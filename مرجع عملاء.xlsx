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showInkAnnotation="0" defaultThemeVersion="124226"/>
  <xr:revisionPtr revIDLastSave="0" documentId="13_ncr:1_{5C5A14D7-E4FF-4378-89E7-ED1B11A619B6}" xr6:coauthVersionLast="47" xr6:coauthVersionMax="47" xr10:uidLastSave="{00000000-0000-0000-0000-000000000000}"/>
  <bookViews>
    <workbookView xWindow="-108" yWindow="-108" windowWidth="23256" windowHeight="12576" tabRatio="913" firstSheet="41" activeTab="49" xr2:uid="{00000000-000D-0000-FFFF-FFFF00000000}"/>
  </bookViews>
  <sheets>
    <sheet name="اكما" sheetId="43" r:id="rId1"/>
    <sheet name="mfb" sheetId="44" r:id="rId2"/>
    <sheet name="ريجينا" sheetId="65" r:id="rId3"/>
    <sheet name="اسمنت مصر" sheetId="85" r:id="rId4"/>
    <sheet name="الدولية للملاحة " sheetId="84" r:id="rId5"/>
    <sheet name="الزيوت" sheetId="92" r:id="rId6"/>
    <sheet name="سيلوباك" sheetId="55" r:id="rId7"/>
    <sheet name="برفكت" sheetId="46" r:id="rId8"/>
    <sheet name="يونايتد" sheetId="38" r:id="rId9"/>
    <sheet name="فيرتكس" sheetId="13" r:id="rId10"/>
    <sheet name="بيردس" sheetId="59" r:id="rId11"/>
    <sheet name="CMS" sheetId="58" r:id="rId12"/>
    <sheet name="تيفاني" sheetId="50" r:id="rId13"/>
    <sheet name="ags" sheetId="64" r:id="rId14"/>
    <sheet name="النهار" sheetId="57" r:id="rId15"/>
    <sheet name="ورلد" sheetId="23" r:id="rId16"/>
    <sheet name="نيو" sheetId="24" r:id="rId17"/>
    <sheet name="ماستر" sheetId="83" r:id="rId18"/>
    <sheet name="برنتو" sheetId="78" r:id="rId19"/>
    <sheet name="فوكس" sheetId="52" r:id="rId20"/>
    <sheet name="احمد عبدالله" sheetId="19" r:id="rId21"/>
    <sheet name="فاطمة" sheetId="4" r:id="rId22"/>
    <sheet name="اسلام" sheetId="28" r:id="rId23"/>
    <sheet name="احمد بحر" sheetId="82" r:id="rId24"/>
    <sheet name="علاء جمعة" sheetId="12" r:id="rId25"/>
    <sheet name="الشيخ حسن" sheetId="22" r:id="rId26"/>
    <sheet name="احمد سنبل" sheetId="16" r:id="rId27"/>
    <sheet name="نافيكس" sheetId="11" r:id="rId28"/>
    <sheet name="محمد عزت" sheetId="73" r:id="rId29"/>
    <sheet name="سامي جرين اب" sheetId="72" r:id="rId30"/>
    <sheet name="البستانية" sheetId="17" r:id="rId31"/>
    <sheet name="ولاء" sheetId="68" r:id="rId32"/>
    <sheet name="عرب اوشن" sheetId="5" r:id="rId33"/>
    <sheet name="رويال" sheetId="47" r:id="rId34"/>
    <sheet name="كرو شيبنج" sheetId="45" r:id="rId35"/>
    <sheet name="العسل" sheetId="30" r:id="rId36"/>
    <sheet name="اوربت" sheetId="8" r:id="rId37"/>
    <sheet name="سي فريجو" sheetId="36" r:id="rId38"/>
    <sheet name="سي ستار" sheetId="35" r:id="rId39"/>
    <sheet name="ميرسك" sheetId="39" r:id="rId40"/>
    <sheet name="يوروتال" sheetId="53" r:id="rId41"/>
    <sheet name="يوروفان" sheetId="60" r:id="rId42"/>
    <sheet name="محمد خالد" sheetId="61" r:id="rId43"/>
    <sheet name="ايمن رضوان" sheetId="62" r:id="rId44"/>
    <sheet name="GFS" sheetId="66" r:id="rId45"/>
    <sheet name="الخليج" sheetId="88" r:id="rId46"/>
    <sheet name="روتس" sheetId="90" r:id="rId47"/>
    <sheet name="ناتورالي" sheetId="91" r:id="rId48"/>
    <sheet name="احمد نصر" sheetId="93" r:id="rId49"/>
    <sheet name="يوسف مجدي" sheetId="94" r:id="rId50"/>
    <sheet name="حمادة سخنة" sheetId="95" r:id="rId51"/>
    <sheet name="العالمية" sheetId="96" r:id="rId52"/>
    <sheet name="مولدات" sheetId="49" r:id="rId53"/>
    <sheet name="بوالص" sheetId="33" r:id="rId54"/>
    <sheet name="اجمالي" sheetId="14" r:id="rId55"/>
    <sheet name="اجمالي بوالص" sheetId="87" r:id="rId56"/>
    <sheet name="cib" sheetId="86" r:id="rId57"/>
  </sheets>
  <definedNames>
    <definedName name="_xlnm._FilterDatabase" localSheetId="53" hidden="1">بوالص!$A$1:$R$4000</definedName>
    <definedName name="_xlnm._FilterDatabase" localSheetId="12" hidden="1">تيفاني!$A$1:$A$347</definedName>
    <definedName name="_xlnm.Print_Area" localSheetId="53">بوالص!$A$1:$Q$2194</definedName>
    <definedName name="_xlnm.Print_Area" localSheetId="24">'علاء جمعة'!$A$1:$M$334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66" l="1"/>
  <c r="N6" i="66" s="1"/>
  <c r="N7" i="66" s="1"/>
  <c r="I5" i="66"/>
  <c r="L5" i="66" s="1"/>
  <c r="J5" i="66"/>
  <c r="F30" i="43"/>
  <c r="F31" i="43"/>
  <c r="I2" i="96" l="1"/>
  <c r="I3" i="96"/>
  <c r="I4" i="96"/>
  <c r="I5" i="96"/>
  <c r="I6" i="96"/>
  <c r="I7" i="96"/>
  <c r="I8" i="96"/>
  <c r="I9" i="96"/>
  <c r="I10" i="96"/>
  <c r="I11" i="96"/>
  <c r="I12" i="96"/>
  <c r="I13" i="96"/>
  <c r="I14" i="96"/>
  <c r="I15" i="96"/>
  <c r="I16" i="96"/>
  <c r="I17" i="96"/>
  <c r="I18" i="96"/>
  <c r="I19" i="96"/>
  <c r="I20" i="96"/>
  <c r="I21" i="96"/>
  <c r="I22" i="96"/>
  <c r="I23" i="96"/>
  <c r="I24" i="96"/>
  <c r="I25" i="96"/>
  <c r="I26" i="96"/>
  <c r="I27" i="96"/>
  <c r="I28" i="96"/>
  <c r="I29" i="96"/>
  <c r="I30" i="96"/>
  <c r="I31" i="96"/>
  <c r="I32" i="96"/>
  <c r="I33" i="96"/>
  <c r="I34" i="96"/>
  <c r="I35" i="96"/>
  <c r="I36" i="96"/>
  <c r="I37" i="96"/>
  <c r="I38" i="96"/>
  <c r="I39" i="96"/>
  <c r="I40" i="96"/>
  <c r="I41" i="96"/>
  <c r="I42" i="96"/>
  <c r="I43" i="96"/>
  <c r="I44" i="96"/>
  <c r="I45" i="96"/>
  <c r="I46" i="96"/>
  <c r="I47" i="96"/>
  <c r="I48" i="96"/>
  <c r="I49" i="96"/>
  <c r="I50" i="96"/>
  <c r="I51" i="96"/>
  <c r="I52" i="96"/>
  <c r="I53" i="96"/>
  <c r="I54" i="96"/>
  <c r="I55" i="96"/>
  <c r="I56" i="96"/>
  <c r="I57" i="96"/>
  <c r="I58" i="96"/>
  <c r="I59" i="96"/>
  <c r="I60" i="96"/>
  <c r="I61" i="96"/>
  <c r="I62" i="96"/>
  <c r="I63" i="96"/>
  <c r="I64" i="96"/>
  <c r="I65" i="96"/>
  <c r="I66" i="96"/>
  <c r="I67" i="96"/>
  <c r="I68" i="96"/>
  <c r="I69" i="96"/>
  <c r="I70" i="96"/>
  <c r="I71" i="96"/>
  <c r="I72" i="96"/>
  <c r="I73" i="96"/>
  <c r="I74" i="96"/>
  <c r="I75" i="96"/>
  <c r="I76" i="96"/>
  <c r="I77" i="96"/>
  <c r="I78" i="96"/>
  <c r="I79" i="96"/>
  <c r="I80" i="96"/>
  <c r="I81" i="96"/>
  <c r="I82" i="96"/>
  <c r="I83" i="96"/>
  <c r="I84" i="96"/>
  <c r="I85" i="96"/>
  <c r="I86" i="96"/>
  <c r="I87" i="96"/>
  <c r="I88" i="96"/>
  <c r="I89" i="96"/>
  <c r="I90" i="96"/>
  <c r="I91" i="96"/>
  <c r="I92" i="96"/>
  <c r="I93" i="96"/>
  <c r="I94" i="96"/>
  <c r="I95" i="96"/>
  <c r="I96" i="96"/>
  <c r="I97" i="96"/>
  <c r="I98" i="96"/>
  <c r="I99" i="96"/>
  <c r="I100" i="96"/>
  <c r="I101" i="96"/>
  <c r="I102" i="96"/>
  <c r="I103" i="96"/>
  <c r="I104" i="96"/>
  <c r="I105" i="96"/>
  <c r="I106" i="96"/>
  <c r="I107" i="96"/>
  <c r="I108" i="96"/>
  <c r="I109" i="96"/>
  <c r="I110" i="96"/>
  <c r="I111" i="96"/>
  <c r="I112" i="96"/>
  <c r="I113" i="96"/>
  <c r="I114" i="96"/>
  <c r="I115" i="96"/>
  <c r="I116" i="96"/>
  <c r="I117" i="96"/>
  <c r="I118" i="96"/>
  <c r="I119" i="96"/>
  <c r="I120" i="96"/>
  <c r="I121" i="96"/>
  <c r="I122" i="96"/>
  <c r="I123" i="96"/>
  <c r="I124" i="96"/>
  <c r="I125" i="96"/>
  <c r="I126" i="96"/>
  <c r="I127" i="96"/>
  <c r="I128" i="96"/>
  <c r="I129" i="96"/>
  <c r="I130" i="96"/>
  <c r="I131" i="96"/>
  <c r="I132" i="96"/>
  <c r="I133" i="96"/>
  <c r="I134" i="96"/>
  <c r="I135" i="96"/>
  <c r="I136" i="96"/>
  <c r="I137" i="96"/>
  <c r="I138" i="96"/>
  <c r="I139" i="96"/>
  <c r="I140" i="96"/>
  <c r="I141" i="96"/>
  <c r="I142" i="96"/>
  <c r="I143" i="96"/>
  <c r="I144" i="96"/>
  <c r="I145" i="96"/>
  <c r="I146" i="96"/>
  <c r="I147" i="96"/>
  <c r="I148" i="96"/>
  <c r="I149" i="96"/>
  <c r="I150" i="96"/>
  <c r="I151" i="96"/>
  <c r="I152" i="96"/>
  <c r="I153" i="96"/>
  <c r="I154" i="96"/>
  <c r="I155" i="96"/>
  <c r="I156" i="96"/>
  <c r="I157" i="96"/>
  <c r="I158" i="96"/>
  <c r="I159" i="96"/>
  <c r="I160" i="96"/>
  <c r="I161" i="96"/>
  <c r="I162" i="96"/>
  <c r="I163" i="96"/>
  <c r="I164" i="96"/>
  <c r="I165" i="96"/>
  <c r="I166" i="96"/>
  <c r="I167" i="96"/>
  <c r="I168" i="96"/>
  <c r="I169" i="96"/>
  <c r="I170" i="96"/>
  <c r="I171" i="96"/>
  <c r="I172" i="96"/>
  <c r="I173" i="96"/>
  <c r="I174" i="96"/>
  <c r="I175" i="96"/>
  <c r="I176" i="96"/>
  <c r="I177" i="96"/>
  <c r="I178" i="96"/>
  <c r="I179" i="96"/>
  <c r="I180" i="96"/>
  <c r="I181" i="96"/>
  <c r="I182" i="96"/>
  <c r="I183" i="96"/>
  <c r="I184" i="96"/>
  <c r="I185" i="96"/>
  <c r="I186" i="96"/>
  <c r="I187" i="96"/>
  <c r="I188" i="96"/>
  <c r="I189" i="96"/>
  <c r="I190" i="96"/>
  <c r="I191" i="96"/>
  <c r="I192" i="96"/>
  <c r="I193" i="96"/>
  <c r="I194" i="96"/>
  <c r="I195" i="96"/>
  <c r="I196" i="96"/>
  <c r="I197" i="96"/>
  <c r="I198" i="96"/>
  <c r="I199" i="96"/>
  <c r="I200" i="96"/>
  <c r="I201" i="96"/>
  <c r="I202" i="96"/>
  <c r="I203" i="96"/>
  <c r="I204" i="96"/>
  <c r="I205" i="96"/>
  <c r="I206" i="96"/>
  <c r="I207" i="96"/>
  <c r="I208" i="96"/>
  <c r="I209" i="96"/>
  <c r="I210" i="96"/>
  <c r="I211" i="96"/>
  <c r="I212" i="96"/>
  <c r="I213" i="96"/>
  <c r="I214" i="96"/>
  <c r="I215" i="96"/>
  <c r="I216" i="96"/>
  <c r="I217" i="96"/>
  <c r="I218" i="96"/>
  <c r="I219" i="96"/>
  <c r="I220" i="96"/>
  <c r="I221" i="96"/>
  <c r="I222" i="96"/>
  <c r="I223" i="96"/>
  <c r="I224" i="96"/>
  <c r="I225" i="96"/>
  <c r="I226" i="96"/>
  <c r="I227" i="96"/>
  <c r="I228" i="96"/>
  <c r="I229" i="96"/>
  <c r="I230" i="96"/>
  <c r="I231" i="96"/>
  <c r="I232" i="96"/>
  <c r="I233" i="96"/>
  <c r="I234" i="96"/>
  <c r="I235" i="96"/>
  <c r="I236" i="96"/>
  <c r="I237" i="96"/>
  <c r="I238" i="96"/>
  <c r="I239" i="96"/>
  <c r="I240" i="96"/>
  <c r="I241" i="96"/>
  <c r="I242" i="96"/>
  <c r="I243" i="96"/>
  <c r="I244" i="96"/>
  <c r="I245" i="96"/>
  <c r="I246" i="96"/>
  <c r="I247" i="96"/>
  <c r="I248" i="96"/>
  <c r="I249" i="96"/>
  <c r="I250" i="96"/>
  <c r="I251" i="96"/>
  <c r="I252" i="96"/>
  <c r="I253" i="96"/>
  <c r="I254" i="96"/>
  <c r="I255" i="96"/>
  <c r="I256" i="96"/>
  <c r="I257" i="96"/>
  <c r="I258" i="96"/>
  <c r="I259" i="96"/>
  <c r="I260" i="96"/>
  <c r="I261" i="96"/>
  <c r="I262" i="96"/>
  <c r="I263" i="96"/>
  <c r="I264" i="96"/>
  <c r="I265" i="96"/>
  <c r="I266" i="96"/>
  <c r="I267" i="96"/>
  <c r="I268" i="96"/>
  <c r="I269" i="96"/>
  <c r="I270" i="96"/>
  <c r="I271" i="96"/>
  <c r="I272" i="96"/>
  <c r="I273" i="96"/>
  <c r="I274" i="96"/>
  <c r="I275" i="96"/>
  <c r="I276" i="96"/>
  <c r="I277" i="96"/>
  <c r="I278" i="96"/>
  <c r="I279" i="96"/>
  <c r="I280" i="96"/>
  <c r="I281" i="96"/>
  <c r="I282" i="96"/>
  <c r="I283" i="96"/>
  <c r="I284" i="96"/>
  <c r="I285" i="96"/>
  <c r="I286" i="96"/>
  <c r="I287" i="96"/>
  <c r="I288" i="96"/>
  <c r="I289" i="96"/>
  <c r="I290" i="96"/>
  <c r="I291" i="96"/>
  <c r="I292" i="96"/>
  <c r="I293" i="96"/>
  <c r="I294" i="96"/>
  <c r="I295" i="96"/>
  <c r="I296" i="96"/>
  <c r="I297" i="96"/>
  <c r="I298" i="96"/>
  <c r="I299" i="96"/>
  <c r="I300" i="96"/>
  <c r="I301" i="96"/>
  <c r="I302" i="96"/>
  <c r="I303" i="96"/>
  <c r="I304" i="96"/>
  <c r="I305" i="96"/>
  <c r="I306" i="96"/>
  <c r="I307" i="96"/>
  <c r="I308" i="96"/>
  <c r="I309" i="96"/>
  <c r="I310" i="96"/>
  <c r="I311" i="96"/>
  <c r="I312" i="96"/>
  <c r="I313" i="96"/>
  <c r="I314" i="96"/>
  <c r="I315" i="96"/>
  <c r="I316" i="96"/>
  <c r="I317" i="96"/>
  <c r="I318" i="96"/>
  <c r="I319" i="96"/>
  <c r="I320" i="96"/>
  <c r="I321" i="96"/>
  <c r="I322" i="96"/>
  <c r="I323" i="96"/>
  <c r="I324" i="96"/>
  <c r="I325" i="96"/>
  <c r="I326" i="96"/>
  <c r="I327" i="96"/>
  <c r="I328" i="96"/>
  <c r="I329" i="96"/>
  <c r="I330" i="96"/>
  <c r="I331" i="96"/>
  <c r="I332" i="96"/>
  <c r="I333" i="96"/>
  <c r="I334" i="96"/>
  <c r="I335" i="96"/>
  <c r="I336" i="96"/>
  <c r="I337" i="96"/>
  <c r="I338" i="96"/>
  <c r="G15" i="11"/>
  <c r="J15" i="11"/>
  <c r="B52" i="14"/>
  <c r="K19" i="73" l="1"/>
  <c r="J29" i="58"/>
  <c r="K51" i="19" l="1"/>
  <c r="K6" i="66" l="1"/>
  <c r="H6" i="66"/>
  <c r="K23" i="82" l="1"/>
  <c r="I61" i="38" l="1"/>
  <c r="I60" i="38"/>
  <c r="I59" i="38"/>
  <c r="I58" i="38"/>
  <c r="I57" i="38"/>
  <c r="G61" i="38"/>
  <c r="G60" i="38"/>
  <c r="K8" i="60" l="1"/>
  <c r="H15" i="11" l="1"/>
  <c r="J14" i="11"/>
  <c r="I64" i="13" l="1"/>
  <c r="I66" i="13" l="1"/>
  <c r="I65" i="13"/>
  <c r="G65" i="13"/>
  <c r="G64" i="13"/>
  <c r="I63" i="13"/>
  <c r="G63" i="13"/>
  <c r="J86" i="46"/>
  <c r="H44" i="43" l="1"/>
  <c r="F44" i="43"/>
  <c r="J101" i="59"/>
  <c r="H101" i="59" l="1"/>
  <c r="J10" i="45"/>
  <c r="K2" i="96" l="1"/>
  <c r="L7" i="96"/>
  <c r="L8" i="96"/>
  <c r="L15" i="96"/>
  <c r="L16" i="96"/>
  <c r="L23" i="96"/>
  <c r="L24" i="96"/>
  <c r="L31" i="96"/>
  <c r="L32" i="96"/>
  <c r="L39" i="96"/>
  <c r="L40" i="96"/>
  <c r="L47" i="96"/>
  <c r="L48" i="96"/>
  <c r="L55" i="96"/>
  <c r="L56" i="96"/>
  <c r="L63" i="96"/>
  <c r="L64" i="96"/>
  <c r="L71" i="96"/>
  <c r="L72" i="96"/>
  <c r="L79" i="96"/>
  <c r="L80" i="96"/>
  <c r="L87" i="96"/>
  <c r="L88" i="96"/>
  <c r="L95" i="96"/>
  <c r="L96" i="96"/>
  <c r="L103" i="96"/>
  <c r="L104" i="96"/>
  <c r="L111" i="96"/>
  <c r="L112" i="96"/>
  <c r="L119" i="96"/>
  <c r="L120" i="96"/>
  <c r="L127" i="96"/>
  <c r="L128" i="96"/>
  <c r="L135" i="96"/>
  <c r="L136" i="96"/>
  <c r="L143" i="96"/>
  <c r="L144" i="96"/>
  <c r="L151" i="96"/>
  <c r="L152" i="96"/>
  <c r="L159" i="96"/>
  <c r="L160" i="96"/>
  <c r="L167" i="96"/>
  <c r="L168" i="96"/>
  <c r="L175" i="96"/>
  <c r="L176" i="96"/>
  <c r="L183" i="96"/>
  <c r="L184" i="96"/>
  <c r="L191" i="96"/>
  <c r="L192" i="96"/>
  <c r="L199" i="96"/>
  <c r="L200" i="96"/>
  <c r="L207" i="96"/>
  <c r="L208" i="96"/>
  <c r="L215" i="96"/>
  <c r="L216" i="96"/>
  <c r="L223" i="96"/>
  <c r="L224" i="96"/>
  <c r="L231" i="96"/>
  <c r="L232" i="96"/>
  <c r="L263" i="96"/>
  <c r="L311" i="96"/>
  <c r="L338" i="96"/>
  <c r="J338" i="96"/>
  <c r="J337" i="96"/>
  <c r="L337" i="96" s="1"/>
  <c r="J336" i="96"/>
  <c r="J335" i="96"/>
  <c r="L335" i="96" s="1"/>
  <c r="J334" i="96"/>
  <c r="L334" i="96" s="1"/>
  <c r="L333" i="96"/>
  <c r="J333" i="96"/>
  <c r="L332" i="96"/>
  <c r="J332" i="96"/>
  <c r="L331" i="96"/>
  <c r="J331" i="96"/>
  <c r="L330" i="96"/>
  <c r="J330" i="96"/>
  <c r="J329" i="96"/>
  <c r="L329" i="96" s="1"/>
  <c r="J328" i="96"/>
  <c r="J327" i="96"/>
  <c r="J326" i="96"/>
  <c r="L326" i="96" s="1"/>
  <c r="L325" i="96"/>
  <c r="J325" i="96"/>
  <c r="L324" i="96"/>
  <c r="J324" i="96"/>
  <c r="L323" i="96"/>
  <c r="J323" i="96"/>
  <c r="L322" i="96"/>
  <c r="J322" i="96"/>
  <c r="J321" i="96"/>
  <c r="L321" i="96" s="1"/>
  <c r="J320" i="96"/>
  <c r="J319" i="96"/>
  <c r="L319" i="96" s="1"/>
  <c r="J318" i="96"/>
  <c r="L318" i="96" s="1"/>
  <c r="L317" i="96"/>
  <c r="J317" i="96"/>
  <c r="L316" i="96"/>
  <c r="J316" i="96"/>
  <c r="L315" i="96"/>
  <c r="J315" i="96"/>
  <c r="L314" i="96"/>
  <c r="J314" i="96"/>
  <c r="J313" i="96"/>
  <c r="L313" i="96" s="1"/>
  <c r="J312" i="96"/>
  <c r="J311" i="96"/>
  <c r="J310" i="96"/>
  <c r="L310" i="96" s="1"/>
  <c r="L309" i="96"/>
  <c r="J309" i="96"/>
  <c r="L308" i="96"/>
  <c r="J308" i="96"/>
  <c r="L307" i="96"/>
  <c r="J307" i="96"/>
  <c r="J306" i="96"/>
  <c r="L306" i="96" s="1"/>
  <c r="L305" i="96"/>
  <c r="J305" i="96"/>
  <c r="J304" i="96"/>
  <c r="J303" i="96"/>
  <c r="L303" i="96" s="1"/>
  <c r="J302" i="96"/>
  <c r="L302" i="96" s="1"/>
  <c r="L301" i="96"/>
  <c r="J301" i="96"/>
  <c r="L300" i="96"/>
  <c r="J300" i="96"/>
  <c r="L299" i="96"/>
  <c r="J299" i="96"/>
  <c r="J298" i="96"/>
  <c r="L298" i="96" s="1"/>
  <c r="L297" i="96"/>
  <c r="J297" i="96"/>
  <c r="J296" i="96"/>
  <c r="J295" i="96"/>
  <c r="J294" i="96"/>
  <c r="L294" i="96" s="1"/>
  <c r="L293" i="96"/>
  <c r="J293" i="96"/>
  <c r="J292" i="96"/>
  <c r="L292" i="96" s="1"/>
  <c r="L291" i="96"/>
  <c r="J291" i="96"/>
  <c r="L290" i="96"/>
  <c r="J290" i="96"/>
  <c r="L289" i="96"/>
  <c r="J289" i="96"/>
  <c r="J288" i="96"/>
  <c r="J287" i="96"/>
  <c r="L287" i="96" s="1"/>
  <c r="J286" i="96"/>
  <c r="L286" i="96" s="1"/>
  <c r="L285" i="96"/>
  <c r="J285" i="96"/>
  <c r="L284" i="96"/>
  <c r="J284" i="96"/>
  <c r="L283" i="96"/>
  <c r="J283" i="96"/>
  <c r="L282" i="96"/>
  <c r="J282" i="96"/>
  <c r="L281" i="96"/>
  <c r="J281" i="96"/>
  <c r="J280" i="96"/>
  <c r="J279" i="96"/>
  <c r="J278" i="96"/>
  <c r="L278" i="96" s="1"/>
  <c r="L277" i="96"/>
  <c r="J277" i="96"/>
  <c r="L276" i="96"/>
  <c r="J276" i="96"/>
  <c r="L275" i="96"/>
  <c r="J275" i="96"/>
  <c r="L274" i="96"/>
  <c r="J274" i="96"/>
  <c r="L273" i="96"/>
  <c r="J273" i="96"/>
  <c r="J272" i="96"/>
  <c r="J271" i="96"/>
  <c r="J270" i="96"/>
  <c r="L270" i="96" s="1"/>
  <c r="L269" i="96"/>
  <c r="J269" i="96"/>
  <c r="J268" i="96"/>
  <c r="L268" i="96" s="1"/>
  <c r="L267" i="96"/>
  <c r="J267" i="96"/>
  <c r="L266" i="96"/>
  <c r="J266" i="96"/>
  <c r="J265" i="96"/>
  <c r="L265" i="96" s="1"/>
  <c r="J264" i="96"/>
  <c r="J263" i="96"/>
  <c r="J262" i="96"/>
  <c r="L262" i="96" s="1"/>
  <c r="L261" i="96"/>
  <c r="J261" i="96"/>
  <c r="L260" i="96"/>
  <c r="J260" i="96"/>
  <c r="L259" i="96"/>
  <c r="J259" i="96"/>
  <c r="L258" i="96"/>
  <c r="J258" i="96"/>
  <c r="L257" i="96"/>
  <c r="J257" i="96"/>
  <c r="J256" i="96"/>
  <c r="J255" i="96"/>
  <c r="J254" i="96"/>
  <c r="L254" i="96" s="1"/>
  <c r="L253" i="96"/>
  <c r="J253" i="96"/>
  <c r="J252" i="96"/>
  <c r="L252" i="96" s="1"/>
  <c r="L251" i="96"/>
  <c r="J251" i="96"/>
  <c r="L250" i="96"/>
  <c r="J250" i="96"/>
  <c r="J249" i="96"/>
  <c r="L249" i="96" s="1"/>
  <c r="J248" i="96"/>
  <c r="J247" i="96"/>
  <c r="J246" i="96"/>
  <c r="L246" i="96" s="1"/>
  <c r="L245" i="96"/>
  <c r="J245" i="96"/>
  <c r="J244" i="96"/>
  <c r="L244" i="96" s="1"/>
  <c r="L243" i="96"/>
  <c r="J243" i="96"/>
  <c r="L242" i="96"/>
  <c r="J242" i="96"/>
  <c r="L241" i="96"/>
  <c r="J241" i="96"/>
  <c r="J240" i="96"/>
  <c r="J239" i="96"/>
  <c r="J238" i="96"/>
  <c r="L238" i="96" s="1"/>
  <c r="L237" i="96"/>
  <c r="L236" i="96"/>
  <c r="L235" i="96"/>
  <c r="L234" i="96"/>
  <c r="L233" i="96"/>
  <c r="L230" i="96"/>
  <c r="L229" i="96"/>
  <c r="L228" i="96"/>
  <c r="L227" i="96"/>
  <c r="L226" i="96"/>
  <c r="L225" i="96"/>
  <c r="L222" i="96"/>
  <c r="L221" i="96"/>
  <c r="L220" i="96"/>
  <c r="L219" i="96"/>
  <c r="L218" i="96"/>
  <c r="L217" i="96"/>
  <c r="L214" i="96"/>
  <c r="L213" i="96"/>
  <c r="L212" i="96"/>
  <c r="L211" i="96"/>
  <c r="L210" i="96"/>
  <c r="L209" i="96"/>
  <c r="L206" i="96"/>
  <c r="L205" i="96"/>
  <c r="L204" i="96"/>
  <c r="L203" i="96"/>
  <c r="L202" i="96"/>
  <c r="L201" i="96"/>
  <c r="L198" i="96"/>
  <c r="L197" i="96"/>
  <c r="L196" i="96"/>
  <c r="L195" i="96"/>
  <c r="L194" i="96"/>
  <c r="L193" i="96"/>
  <c r="L190" i="96"/>
  <c r="L189" i="96"/>
  <c r="L188" i="96"/>
  <c r="L187" i="96"/>
  <c r="L186" i="96"/>
  <c r="L185" i="96"/>
  <c r="L182" i="96"/>
  <c r="L181" i="96"/>
  <c r="L180" i="96"/>
  <c r="L179" i="96"/>
  <c r="L178" i="96"/>
  <c r="L177" i="96"/>
  <c r="L174" i="96"/>
  <c r="L173" i="96"/>
  <c r="L172" i="96"/>
  <c r="L171" i="96"/>
  <c r="L170" i="96"/>
  <c r="L169" i="96"/>
  <c r="L166" i="96"/>
  <c r="L165" i="96"/>
  <c r="L164" i="96"/>
  <c r="L163" i="96"/>
  <c r="L162" i="96"/>
  <c r="L161" i="96"/>
  <c r="L158" i="96"/>
  <c r="L157" i="96"/>
  <c r="L156" i="96"/>
  <c r="L155" i="96"/>
  <c r="L154" i="96"/>
  <c r="L153" i="96"/>
  <c r="L150" i="96"/>
  <c r="L149" i="96"/>
  <c r="L148" i="96"/>
  <c r="L147" i="96"/>
  <c r="L146" i="96"/>
  <c r="L145" i="96"/>
  <c r="L142" i="96"/>
  <c r="L141" i="96"/>
  <c r="L140" i="96"/>
  <c r="L139" i="96"/>
  <c r="L138" i="96"/>
  <c r="L137" i="96"/>
  <c r="L134" i="96"/>
  <c r="L133" i="96"/>
  <c r="L132" i="96"/>
  <c r="L131" i="96"/>
  <c r="L130" i="96"/>
  <c r="L129" i="96"/>
  <c r="L126" i="96"/>
  <c r="L125" i="96"/>
  <c r="L124" i="96"/>
  <c r="L123" i="96"/>
  <c r="L122" i="96"/>
  <c r="L121" i="96"/>
  <c r="L118" i="96"/>
  <c r="L117" i="96"/>
  <c r="L116" i="96"/>
  <c r="L115" i="96"/>
  <c r="L114" i="96"/>
  <c r="L113" i="96"/>
  <c r="L110" i="96"/>
  <c r="L109" i="96"/>
  <c r="L108" i="96"/>
  <c r="L107" i="96"/>
  <c r="L106" i="96"/>
  <c r="L105" i="96"/>
  <c r="L102" i="96"/>
  <c r="L101" i="96"/>
  <c r="L100" i="96"/>
  <c r="L99" i="96"/>
  <c r="L98" i="96"/>
  <c r="L97" i="96"/>
  <c r="L94" i="96"/>
  <c r="L93" i="96"/>
  <c r="L92" i="96"/>
  <c r="L91" i="96"/>
  <c r="L90" i="96"/>
  <c r="L89" i="96"/>
  <c r="L86" i="96"/>
  <c r="L85" i="96"/>
  <c r="L84" i="96"/>
  <c r="L83" i="96"/>
  <c r="L82" i="96"/>
  <c r="L81" i="96"/>
  <c r="L78" i="96"/>
  <c r="L77" i="96"/>
  <c r="L76" i="96"/>
  <c r="L75" i="96"/>
  <c r="L74" i="96"/>
  <c r="L73" i="96"/>
  <c r="L70" i="96"/>
  <c r="L69" i="96"/>
  <c r="L68" i="96"/>
  <c r="L67" i="96"/>
  <c r="L66" i="96"/>
  <c r="L65" i="96"/>
  <c r="L62" i="96"/>
  <c r="L61" i="96"/>
  <c r="L60" i="96"/>
  <c r="L59" i="96"/>
  <c r="L58" i="96"/>
  <c r="L57" i="96"/>
  <c r="L54" i="96"/>
  <c r="L53" i="96"/>
  <c r="L52" i="96"/>
  <c r="L51" i="96"/>
  <c r="L50" i="96"/>
  <c r="L49" i="96"/>
  <c r="L46" i="96"/>
  <c r="L45" i="96"/>
  <c r="L44" i="96"/>
  <c r="L43" i="96"/>
  <c r="L42" i="96"/>
  <c r="L41" i="96"/>
  <c r="L38" i="96"/>
  <c r="L37" i="96"/>
  <c r="L36" i="96"/>
  <c r="L35" i="96"/>
  <c r="L34" i="96"/>
  <c r="L33" i="96"/>
  <c r="L30" i="96"/>
  <c r="L29" i="96"/>
  <c r="L28" i="96"/>
  <c r="L27" i="96"/>
  <c r="L26" i="96"/>
  <c r="L25" i="96"/>
  <c r="L22" i="96"/>
  <c r="L21" i="96"/>
  <c r="L20" i="96"/>
  <c r="L19" i="96"/>
  <c r="L18" i="96"/>
  <c r="L17" i="96"/>
  <c r="L14" i="96"/>
  <c r="L13" i="96"/>
  <c r="L12" i="96"/>
  <c r="L11" i="96"/>
  <c r="L10" i="96"/>
  <c r="L9" i="96"/>
  <c r="L6" i="96"/>
  <c r="L5" i="96"/>
  <c r="L4" i="96"/>
  <c r="L3" i="96"/>
  <c r="L2" i="96"/>
  <c r="N2" i="96" s="1"/>
  <c r="N3" i="96" l="1"/>
  <c r="N4" i="96" s="1"/>
  <c r="N5" i="96" s="1"/>
  <c r="N6" i="96" s="1"/>
  <c r="N7" i="96" s="1"/>
  <c r="N8" i="96" s="1"/>
  <c r="N9" i="96" s="1"/>
  <c r="N10" i="96" s="1"/>
  <c r="N11" i="96" s="1"/>
  <c r="N12" i="96" s="1"/>
  <c r="N13" i="96" s="1"/>
  <c r="N14" i="96" s="1"/>
  <c r="N15" i="96" s="1"/>
  <c r="N16" i="96" s="1"/>
  <c r="N17" i="96" s="1"/>
  <c r="N18" i="96" s="1"/>
  <c r="N19" i="96" s="1"/>
  <c r="N20" i="96" s="1"/>
  <c r="N21" i="96" s="1"/>
  <c r="N22" i="96" s="1"/>
  <c r="N23" i="96" s="1"/>
  <c r="N24" i="96" s="1"/>
  <c r="N25" i="96" s="1"/>
  <c r="N26" i="96" s="1"/>
  <c r="N27" i="96" s="1"/>
  <c r="N28" i="96" s="1"/>
  <c r="N29" i="96" s="1"/>
  <c r="N30" i="96" s="1"/>
  <c r="N31" i="96" s="1"/>
  <c r="N32" i="96" s="1"/>
  <c r="N33" i="96" s="1"/>
  <c r="N34" i="96" s="1"/>
  <c r="N35" i="96" s="1"/>
  <c r="N36" i="96" s="1"/>
  <c r="N37" i="96" s="1"/>
  <c r="N38" i="96" s="1"/>
  <c r="N39" i="96" s="1"/>
  <c r="N40" i="96" s="1"/>
  <c r="N41" i="96" s="1"/>
  <c r="N42" i="96" s="1"/>
  <c r="N43" i="96" s="1"/>
  <c r="N44" i="96" s="1"/>
  <c r="N45" i="96" s="1"/>
  <c r="N46" i="96" s="1"/>
  <c r="N47" i="96" s="1"/>
  <c r="N48" i="96" s="1"/>
  <c r="N49" i="96" s="1"/>
  <c r="N50" i="96" s="1"/>
  <c r="N51" i="96" s="1"/>
  <c r="N52" i="96" s="1"/>
  <c r="N53" i="96" s="1"/>
  <c r="N54" i="96" s="1"/>
  <c r="N55" i="96" s="1"/>
  <c r="N56" i="96" s="1"/>
  <c r="N57" i="96" s="1"/>
  <c r="N58" i="96" s="1"/>
  <c r="N59" i="96" s="1"/>
  <c r="N60" i="96" s="1"/>
  <c r="N61" i="96" s="1"/>
  <c r="N62" i="96" s="1"/>
  <c r="N63" i="96" s="1"/>
  <c r="N64" i="96" s="1"/>
  <c r="N65" i="96" s="1"/>
  <c r="N66" i="96" s="1"/>
  <c r="N67" i="96" s="1"/>
  <c r="N68" i="96" s="1"/>
  <c r="N69" i="96" s="1"/>
  <c r="N70" i="96" s="1"/>
  <c r="N71" i="96" s="1"/>
  <c r="N72" i="96" s="1"/>
  <c r="N73" i="96" s="1"/>
  <c r="N74" i="96" s="1"/>
  <c r="N75" i="96" s="1"/>
  <c r="N76" i="96" s="1"/>
  <c r="N77" i="96" s="1"/>
  <c r="N78" i="96" s="1"/>
  <c r="N79" i="96" s="1"/>
  <c r="N80" i="96" s="1"/>
  <c r="N81" i="96" s="1"/>
  <c r="N82" i="96" s="1"/>
  <c r="N83" i="96" s="1"/>
  <c r="N84" i="96" s="1"/>
  <c r="N85" i="96" s="1"/>
  <c r="N86" i="96" s="1"/>
  <c r="N87" i="96" s="1"/>
  <c r="N88" i="96" s="1"/>
  <c r="N89" i="96" s="1"/>
  <c r="N90" i="96" s="1"/>
  <c r="N91" i="96" s="1"/>
  <c r="N92" i="96" s="1"/>
  <c r="N93" i="96" s="1"/>
  <c r="N94" i="96" s="1"/>
  <c r="N95" i="96" s="1"/>
  <c r="N96" i="96" s="1"/>
  <c r="N97" i="96" s="1"/>
  <c r="N98" i="96" s="1"/>
  <c r="N99" i="96" s="1"/>
  <c r="N100" i="96" s="1"/>
  <c r="N101" i="96" s="1"/>
  <c r="N102" i="96" s="1"/>
  <c r="N103" i="96" s="1"/>
  <c r="N104" i="96" s="1"/>
  <c r="N105" i="96" s="1"/>
  <c r="N106" i="96" s="1"/>
  <c r="N107" i="96" s="1"/>
  <c r="N108" i="96" s="1"/>
  <c r="N109" i="96" s="1"/>
  <c r="N110" i="96" s="1"/>
  <c r="N111" i="96" s="1"/>
  <c r="N112" i="96" s="1"/>
  <c r="N113" i="96" s="1"/>
  <c r="N114" i="96" s="1"/>
  <c r="N115" i="96" s="1"/>
  <c r="N116" i="96" s="1"/>
  <c r="N117" i="96" s="1"/>
  <c r="N118" i="96" s="1"/>
  <c r="N119" i="96" s="1"/>
  <c r="N120" i="96" s="1"/>
  <c r="N121" i="96" s="1"/>
  <c r="N122" i="96" s="1"/>
  <c r="N123" i="96" s="1"/>
  <c r="N124" i="96" s="1"/>
  <c r="N125" i="96" s="1"/>
  <c r="N126" i="96" s="1"/>
  <c r="N127" i="96" s="1"/>
  <c r="N128" i="96" s="1"/>
  <c r="N129" i="96" s="1"/>
  <c r="N130" i="96" s="1"/>
  <c r="N131" i="96" s="1"/>
  <c r="N132" i="96" s="1"/>
  <c r="N133" i="96" s="1"/>
  <c r="N134" i="96" s="1"/>
  <c r="N135" i="96" s="1"/>
  <c r="N136" i="96" s="1"/>
  <c r="N137" i="96" s="1"/>
  <c r="N138" i="96" s="1"/>
  <c r="N139" i="96" s="1"/>
  <c r="N140" i="96" s="1"/>
  <c r="N141" i="96" s="1"/>
  <c r="N142" i="96" s="1"/>
  <c r="N143" i="96" s="1"/>
  <c r="N144" i="96" s="1"/>
  <c r="N145" i="96" s="1"/>
  <c r="N146" i="96" s="1"/>
  <c r="N147" i="96" s="1"/>
  <c r="N148" i="96" s="1"/>
  <c r="N149" i="96" s="1"/>
  <c r="N150" i="96" s="1"/>
  <c r="N151" i="96" s="1"/>
  <c r="N152" i="96" s="1"/>
  <c r="N153" i="96" s="1"/>
  <c r="N154" i="96" s="1"/>
  <c r="N155" i="96" s="1"/>
  <c r="N156" i="96" s="1"/>
  <c r="N157" i="96" s="1"/>
  <c r="N158" i="96" s="1"/>
  <c r="N159" i="96" s="1"/>
  <c r="N160" i="96" s="1"/>
  <c r="N161" i="96" s="1"/>
  <c r="N162" i="96" s="1"/>
  <c r="N163" i="96" s="1"/>
  <c r="N164" i="96" s="1"/>
  <c r="N165" i="96" s="1"/>
  <c r="N166" i="96" s="1"/>
  <c r="N167" i="96" s="1"/>
  <c r="N168" i="96" s="1"/>
  <c r="N169" i="96" s="1"/>
  <c r="N170" i="96" s="1"/>
  <c r="N171" i="96" s="1"/>
  <c r="N172" i="96" s="1"/>
  <c r="N173" i="96" s="1"/>
  <c r="N174" i="96" s="1"/>
  <c r="N175" i="96" s="1"/>
  <c r="N176" i="96" s="1"/>
  <c r="N177" i="96" s="1"/>
  <c r="N178" i="96" s="1"/>
  <c r="N179" i="96" s="1"/>
  <c r="N180" i="96" s="1"/>
  <c r="N181" i="96" s="1"/>
  <c r="N182" i="96" s="1"/>
  <c r="N183" i="96" s="1"/>
  <c r="N184" i="96" s="1"/>
  <c r="N185" i="96" s="1"/>
  <c r="N186" i="96" s="1"/>
  <c r="N187" i="96" s="1"/>
  <c r="N188" i="96" s="1"/>
  <c r="N189" i="96" s="1"/>
  <c r="N190" i="96" s="1"/>
  <c r="N191" i="96" s="1"/>
  <c r="N192" i="96" s="1"/>
  <c r="N193" i="96" s="1"/>
  <c r="N194" i="96" s="1"/>
  <c r="N195" i="96" s="1"/>
  <c r="N196" i="96" s="1"/>
  <c r="N197" i="96" s="1"/>
  <c r="N198" i="96" s="1"/>
  <c r="N199" i="96" s="1"/>
  <c r="N200" i="96" s="1"/>
  <c r="N201" i="96" s="1"/>
  <c r="N202" i="96" s="1"/>
  <c r="N203" i="96" s="1"/>
  <c r="N204" i="96" s="1"/>
  <c r="N205" i="96" s="1"/>
  <c r="N206" i="96" s="1"/>
  <c r="N207" i="96" s="1"/>
  <c r="N208" i="96" s="1"/>
  <c r="N209" i="96" s="1"/>
  <c r="N210" i="96" s="1"/>
  <c r="N211" i="96" s="1"/>
  <c r="N212" i="96" s="1"/>
  <c r="N213" i="96" s="1"/>
  <c r="N214" i="96" s="1"/>
  <c r="N215" i="96" s="1"/>
  <c r="N216" i="96" s="1"/>
  <c r="N217" i="96" s="1"/>
  <c r="N218" i="96" s="1"/>
  <c r="N219" i="96" s="1"/>
  <c r="N220" i="96" s="1"/>
  <c r="N221" i="96" s="1"/>
  <c r="N222" i="96" s="1"/>
  <c r="N223" i="96" s="1"/>
  <c r="N224" i="96" s="1"/>
  <c r="N225" i="96" s="1"/>
  <c r="N226" i="96" s="1"/>
  <c r="N227" i="96" s="1"/>
  <c r="N228" i="96" s="1"/>
  <c r="N229" i="96" s="1"/>
  <c r="N230" i="96" s="1"/>
  <c r="N231" i="96" s="1"/>
  <c r="N232" i="96" s="1"/>
  <c r="N233" i="96" s="1"/>
  <c r="N234" i="96" s="1"/>
  <c r="N235" i="96" s="1"/>
  <c r="N236" i="96" s="1"/>
  <c r="N237" i="96" s="1"/>
  <c r="N238" i="96" s="1"/>
  <c r="N239" i="96" s="1"/>
  <c r="N240" i="96" s="1"/>
  <c r="N241" i="96" s="1"/>
  <c r="N242" i="96" s="1"/>
  <c r="N243" i="96" s="1"/>
  <c r="N244" i="96" s="1"/>
  <c r="N245" i="96" s="1"/>
  <c r="N246" i="96" s="1"/>
  <c r="N247" i="96" s="1"/>
  <c r="N248" i="96" s="1"/>
  <c r="N249" i="96" s="1"/>
  <c r="N250" i="96" s="1"/>
  <c r="N251" i="96" s="1"/>
  <c r="N252" i="96" s="1"/>
  <c r="N253" i="96" s="1"/>
  <c r="N254" i="96" s="1"/>
  <c r="N255" i="96" s="1"/>
  <c r="N256" i="96" s="1"/>
  <c r="N257" i="96" s="1"/>
  <c r="N258" i="96" s="1"/>
  <c r="N259" i="96" s="1"/>
  <c r="N260" i="96" s="1"/>
  <c r="N261" i="96" s="1"/>
  <c r="N262" i="96" s="1"/>
  <c r="N263" i="96" s="1"/>
  <c r="N264" i="96" s="1"/>
  <c r="N265" i="96" s="1"/>
  <c r="N266" i="96" s="1"/>
  <c r="N267" i="96" s="1"/>
  <c r="N268" i="96" s="1"/>
  <c r="N269" i="96" s="1"/>
  <c r="N270" i="96" s="1"/>
  <c r="N271" i="96" s="1"/>
  <c r="N272" i="96" s="1"/>
  <c r="N273" i="96" s="1"/>
  <c r="N274" i="96" s="1"/>
  <c r="N275" i="96" s="1"/>
  <c r="N276" i="96" s="1"/>
  <c r="N277" i="96" s="1"/>
  <c r="N278" i="96" s="1"/>
  <c r="N279" i="96" s="1"/>
  <c r="N280" i="96" s="1"/>
  <c r="N281" i="96" s="1"/>
  <c r="N282" i="96" s="1"/>
  <c r="N283" i="96" s="1"/>
  <c r="N284" i="96" s="1"/>
  <c r="N285" i="96" s="1"/>
  <c r="N286" i="96" s="1"/>
  <c r="N287" i="96" s="1"/>
  <c r="N288" i="96" s="1"/>
  <c r="N289" i="96" s="1"/>
  <c r="N290" i="96" s="1"/>
  <c r="N291" i="96" s="1"/>
  <c r="N292" i="96" s="1"/>
  <c r="N293" i="96" s="1"/>
  <c r="N294" i="96" s="1"/>
  <c r="N295" i="96" s="1"/>
  <c r="N296" i="96" s="1"/>
  <c r="N297" i="96" s="1"/>
  <c r="N298" i="96" s="1"/>
  <c r="N299" i="96" s="1"/>
  <c r="N300" i="96" s="1"/>
  <c r="N301" i="96" s="1"/>
  <c r="N302" i="96" s="1"/>
  <c r="N303" i="96" s="1"/>
  <c r="N304" i="96" s="1"/>
  <c r="N305" i="96" s="1"/>
  <c r="N306" i="96" s="1"/>
  <c r="N307" i="96" s="1"/>
  <c r="N308" i="96" s="1"/>
  <c r="N309" i="96" s="1"/>
  <c r="N310" i="96" s="1"/>
  <c r="N311" i="96" s="1"/>
  <c r="N312" i="96" s="1"/>
  <c r="N313" i="96" s="1"/>
  <c r="N314" i="96" s="1"/>
  <c r="N315" i="96" s="1"/>
  <c r="N316" i="96" s="1"/>
  <c r="N317" i="96" s="1"/>
  <c r="N318" i="96" s="1"/>
  <c r="N319" i="96" s="1"/>
  <c r="N320" i="96" s="1"/>
  <c r="N321" i="96" s="1"/>
  <c r="N322" i="96" s="1"/>
  <c r="N323" i="96" s="1"/>
  <c r="N324" i="96" s="1"/>
  <c r="N325" i="96" s="1"/>
  <c r="N326" i="96" s="1"/>
  <c r="N327" i="96" s="1"/>
  <c r="N328" i="96" s="1"/>
  <c r="N329" i="96" s="1"/>
  <c r="N330" i="96" s="1"/>
  <c r="N331" i="96" s="1"/>
  <c r="N332" i="96" s="1"/>
  <c r="N333" i="96" s="1"/>
  <c r="N334" i="96" s="1"/>
  <c r="N335" i="96" s="1"/>
  <c r="N336" i="96" s="1"/>
  <c r="N337" i="96" s="1"/>
  <c r="N338" i="96" s="1"/>
  <c r="L240" i="96"/>
  <c r="L272" i="96"/>
  <c r="L247" i="96"/>
  <c r="L320" i="96"/>
  <c r="L336" i="96"/>
  <c r="L248" i="96"/>
  <c r="L279" i="96"/>
  <c r="L288" i="96"/>
  <c r="L264" i="96"/>
  <c r="L280" i="96"/>
  <c r="L295" i="96"/>
  <c r="L255" i="96"/>
  <c r="L296" i="96"/>
  <c r="L327" i="96"/>
  <c r="L304" i="96"/>
  <c r="L239" i="96"/>
  <c r="O12" i="96" s="1"/>
  <c r="B53" i="14" s="1"/>
  <c r="L256" i="96"/>
  <c r="L271" i="96"/>
  <c r="L312" i="96"/>
  <c r="L328" i="96"/>
  <c r="J83" i="46"/>
  <c r="J84" i="46"/>
  <c r="J85" i="46"/>
  <c r="H84" i="46"/>
  <c r="M6" i="45"/>
  <c r="M7" i="45" s="1"/>
  <c r="J34" i="22"/>
  <c r="J33" i="22" l="1"/>
  <c r="M71" i="59"/>
  <c r="M72" i="59" s="1"/>
  <c r="M73" i="59" s="1"/>
  <c r="M74" i="59" s="1"/>
  <c r="K71" i="59"/>
  <c r="L53" i="13"/>
  <c r="L54" i="13" s="1"/>
  <c r="L55" i="13" s="1"/>
  <c r="J4" i="52"/>
  <c r="G4" i="52"/>
  <c r="K17" i="73"/>
  <c r="H17" i="73" l="1"/>
  <c r="G20" i="57"/>
  <c r="K2" i="95" l="1"/>
  <c r="L6" i="95"/>
  <c r="L8" i="95"/>
  <c r="L9" i="95"/>
  <c r="L14" i="95"/>
  <c r="L16" i="95"/>
  <c r="L17" i="95"/>
  <c r="L22" i="95"/>
  <c r="L24" i="95"/>
  <c r="L25" i="95"/>
  <c r="L30" i="95"/>
  <c r="L32" i="95"/>
  <c r="L33" i="95"/>
  <c r="L38" i="95"/>
  <c r="L40" i="95"/>
  <c r="L41" i="95"/>
  <c r="L46" i="95"/>
  <c r="L48" i="95"/>
  <c r="L49" i="95"/>
  <c r="L54" i="95"/>
  <c r="L56" i="95"/>
  <c r="L57" i="95"/>
  <c r="L62" i="95"/>
  <c r="L64" i="95"/>
  <c r="L65" i="95"/>
  <c r="L70" i="95"/>
  <c r="L72" i="95"/>
  <c r="L73" i="95"/>
  <c r="L78" i="95"/>
  <c r="L80" i="95"/>
  <c r="L81" i="95"/>
  <c r="L86" i="95"/>
  <c r="L88" i="95"/>
  <c r="L89" i="95"/>
  <c r="L94" i="95"/>
  <c r="L96" i="95"/>
  <c r="L97" i="95"/>
  <c r="L102" i="95"/>
  <c r="L104" i="95"/>
  <c r="L105" i="95"/>
  <c r="L110" i="95"/>
  <c r="L112" i="95"/>
  <c r="L113" i="95"/>
  <c r="L118" i="95"/>
  <c r="L120" i="95"/>
  <c r="L121" i="95"/>
  <c r="L126" i="95"/>
  <c r="L128" i="95"/>
  <c r="L129" i="95"/>
  <c r="L134" i="95"/>
  <c r="L136" i="95"/>
  <c r="L137" i="95"/>
  <c r="L142" i="95"/>
  <c r="L144" i="95"/>
  <c r="L145" i="95"/>
  <c r="L150" i="95"/>
  <c r="L152" i="95"/>
  <c r="L153" i="95"/>
  <c r="L158" i="95"/>
  <c r="L160" i="95"/>
  <c r="L161" i="95"/>
  <c r="L166" i="95"/>
  <c r="L168" i="95"/>
  <c r="L169" i="95"/>
  <c r="L174" i="95"/>
  <c r="L176" i="95"/>
  <c r="L177" i="95"/>
  <c r="L182" i="95"/>
  <c r="L184" i="95"/>
  <c r="L185" i="95"/>
  <c r="L190" i="95"/>
  <c r="L192" i="95"/>
  <c r="L193" i="95"/>
  <c r="L198" i="95"/>
  <c r="L200" i="95"/>
  <c r="L201" i="95"/>
  <c r="L206" i="95"/>
  <c r="L208" i="95"/>
  <c r="L209" i="95"/>
  <c r="L214" i="95"/>
  <c r="L216" i="95"/>
  <c r="L217" i="95"/>
  <c r="L222" i="95"/>
  <c r="L224" i="95"/>
  <c r="L225" i="95"/>
  <c r="L230" i="95"/>
  <c r="L232" i="95"/>
  <c r="L233" i="95"/>
  <c r="L238" i="95"/>
  <c r="L246" i="95"/>
  <c r="L254" i="95"/>
  <c r="L262" i="95"/>
  <c r="L278" i="95"/>
  <c r="L302" i="95"/>
  <c r="L310" i="95"/>
  <c r="L318" i="95"/>
  <c r="L326" i="95"/>
  <c r="L327" i="95"/>
  <c r="L338" i="95"/>
  <c r="J338" i="95"/>
  <c r="J337" i="95"/>
  <c r="J336" i="95"/>
  <c r="L335" i="95"/>
  <c r="J335" i="95"/>
  <c r="J334" i="95"/>
  <c r="L334" i="95" s="1"/>
  <c r="J333" i="95"/>
  <c r="L332" i="95"/>
  <c r="J332" i="95"/>
  <c r="L331" i="95"/>
  <c r="J331" i="95"/>
  <c r="L330" i="95"/>
  <c r="J330" i="95"/>
  <c r="J329" i="95"/>
  <c r="L329" i="95" s="1"/>
  <c r="J328" i="95"/>
  <c r="J327" i="95"/>
  <c r="J326" i="95"/>
  <c r="J325" i="95"/>
  <c r="L325" i="95" s="1"/>
  <c r="L324" i="95"/>
  <c r="J324" i="95"/>
  <c r="L323" i="95"/>
  <c r="J323" i="95"/>
  <c r="L322" i="95"/>
  <c r="J322" i="95"/>
  <c r="J321" i="95"/>
  <c r="J320" i="95"/>
  <c r="L319" i="95"/>
  <c r="J319" i="95"/>
  <c r="J318" i="95"/>
  <c r="J317" i="95"/>
  <c r="L317" i="95" s="1"/>
  <c r="L316" i="95"/>
  <c r="J316" i="95"/>
  <c r="L315" i="95"/>
  <c r="J315" i="95"/>
  <c r="L314" i="95"/>
  <c r="J314" i="95"/>
  <c r="J313" i="95"/>
  <c r="J312" i="95"/>
  <c r="L311" i="95"/>
  <c r="J311" i="95"/>
  <c r="J310" i="95"/>
  <c r="J309" i="95"/>
  <c r="L309" i="95" s="1"/>
  <c r="L308" i="95"/>
  <c r="J308" i="95"/>
  <c r="L307" i="95"/>
  <c r="J307" i="95"/>
  <c r="L306" i="95"/>
  <c r="J306" i="95"/>
  <c r="J305" i="95"/>
  <c r="J304" i="95"/>
  <c r="L304" i="95" s="1"/>
  <c r="L303" i="95"/>
  <c r="J303" i="95"/>
  <c r="J302" i="95"/>
  <c r="J301" i="95"/>
  <c r="L301" i="95" s="1"/>
  <c r="L300" i="95"/>
  <c r="J300" i="95"/>
  <c r="L299" i="95"/>
  <c r="J299" i="95"/>
  <c r="L298" i="95"/>
  <c r="J298" i="95"/>
  <c r="J297" i="95"/>
  <c r="J296" i="95"/>
  <c r="L295" i="95"/>
  <c r="J295" i="95"/>
  <c r="L294" i="95"/>
  <c r="J294" i="95"/>
  <c r="J293" i="95"/>
  <c r="L293" i="95" s="1"/>
  <c r="L292" i="95"/>
  <c r="J292" i="95"/>
  <c r="L291" i="95"/>
  <c r="J291" i="95"/>
  <c r="L290" i="95"/>
  <c r="J290" i="95"/>
  <c r="J289" i="95"/>
  <c r="J288" i="95"/>
  <c r="L287" i="95"/>
  <c r="J287" i="95"/>
  <c r="L286" i="95"/>
  <c r="J286" i="95"/>
  <c r="J285" i="95"/>
  <c r="L285" i="95" s="1"/>
  <c r="L284" i="95"/>
  <c r="J284" i="95"/>
  <c r="L283" i="95"/>
  <c r="J283" i="95"/>
  <c r="L282" i="95"/>
  <c r="J282" i="95"/>
  <c r="J281" i="95"/>
  <c r="J280" i="95"/>
  <c r="L280" i="95" s="1"/>
  <c r="L279" i="95"/>
  <c r="J279" i="95"/>
  <c r="J278" i="95"/>
  <c r="J277" i="95"/>
  <c r="L277" i="95" s="1"/>
  <c r="L276" i="95"/>
  <c r="J276" i="95"/>
  <c r="L275" i="95"/>
  <c r="J275" i="95"/>
  <c r="L274" i="95"/>
  <c r="J274" i="95"/>
  <c r="J273" i="95"/>
  <c r="J272" i="95"/>
  <c r="L271" i="95"/>
  <c r="J271" i="95"/>
  <c r="L270" i="95"/>
  <c r="J270" i="95"/>
  <c r="J269" i="95"/>
  <c r="L269" i="95" s="1"/>
  <c r="L268" i="95"/>
  <c r="J268" i="95"/>
  <c r="L267" i="95"/>
  <c r="J267" i="95"/>
  <c r="L266" i="95"/>
  <c r="J266" i="95"/>
  <c r="J265" i="95"/>
  <c r="L265" i="95" s="1"/>
  <c r="J264" i="95"/>
  <c r="L263" i="95"/>
  <c r="J263" i="95"/>
  <c r="J262" i="95"/>
  <c r="J261" i="95"/>
  <c r="L261" i="95" s="1"/>
  <c r="L260" i="95"/>
  <c r="J260" i="95"/>
  <c r="L259" i="95"/>
  <c r="J259" i="95"/>
  <c r="L258" i="95"/>
  <c r="J258" i="95"/>
  <c r="J257" i="95"/>
  <c r="J256" i="95"/>
  <c r="L255" i="95"/>
  <c r="J255" i="95"/>
  <c r="J254" i="95"/>
  <c r="J253" i="95"/>
  <c r="L253" i="95" s="1"/>
  <c r="L252" i="95"/>
  <c r="J252" i="95"/>
  <c r="L251" i="95"/>
  <c r="J251" i="95"/>
  <c r="L250" i="95"/>
  <c r="J250" i="95"/>
  <c r="J249" i="95"/>
  <c r="J248" i="95"/>
  <c r="L247" i="95"/>
  <c r="J247" i="95"/>
  <c r="J246" i="95"/>
  <c r="J245" i="95"/>
  <c r="L245" i="95" s="1"/>
  <c r="L244" i="95"/>
  <c r="J244" i="95"/>
  <c r="L243" i="95"/>
  <c r="J243" i="95"/>
  <c r="L242" i="95"/>
  <c r="J242" i="95"/>
  <c r="J241" i="95"/>
  <c r="J240" i="95"/>
  <c r="L240" i="95" s="1"/>
  <c r="L239" i="95"/>
  <c r="J239" i="95"/>
  <c r="J238" i="95"/>
  <c r="L237" i="95"/>
  <c r="L236" i="95"/>
  <c r="L235" i="95"/>
  <c r="L234" i="95"/>
  <c r="L231" i="95"/>
  <c r="L229" i="95"/>
  <c r="L228" i="95"/>
  <c r="L227" i="95"/>
  <c r="L226" i="95"/>
  <c r="L223" i="95"/>
  <c r="L221" i="95"/>
  <c r="L220" i="95"/>
  <c r="L219" i="95"/>
  <c r="L218" i="95"/>
  <c r="L215" i="95"/>
  <c r="L213" i="95"/>
  <c r="L212" i="95"/>
  <c r="L211" i="95"/>
  <c r="L210" i="95"/>
  <c r="L207" i="95"/>
  <c r="L205" i="95"/>
  <c r="L204" i="95"/>
  <c r="L203" i="95"/>
  <c r="L202" i="95"/>
  <c r="L199" i="95"/>
  <c r="L197" i="95"/>
  <c r="L196" i="95"/>
  <c r="L195" i="95"/>
  <c r="L194" i="95"/>
  <c r="L191" i="95"/>
  <c r="L189" i="95"/>
  <c r="L188" i="95"/>
  <c r="L187" i="95"/>
  <c r="L186" i="95"/>
  <c r="L183" i="95"/>
  <c r="L181" i="95"/>
  <c r="L180" i="95"/>
  <c r="L179" i="95"/>
  <c r="L178" i="95"/>
  <c r="L175" i="95"/>
  <c r="L173" i="95"/>
  <c r="L172" i="95"/>
  <c r="L171" i="95"/>
  <c r="L170" i="95"/>
  <c r="L167" i="95"/>
  <c r="L165" i="95"/>
  <c r="L164" i="95"/>
  <c r="L163" i="95"/>
  <c r="L162" i="95"/>
  <c r="L159" i="95"/>
  <c r="L157" i="95"/>
  <c r="L156" i="95"/>
  <c r="L155" i="95"/>
  <c r="L154" i="95"/>
  <c r="L151" i="95"/>
  <c r="L149" i="95"/>
  <c r="L148" i="95"/>
  <c r="L147" i="95"/>
  <c r="L146" i="95"/>
  <c r="L143" i="95"/>
  <c r="L141" i="95"/>
  <c r="L140" i="95"/>
  <c r="L139" i="95"/>
  <c r="L138" i="95"/>
  <c r="L135" i="95"/>
  <c r="L133" i="95"/>
  <c r="L132" i="95"/>
  <c r="L131" i="95"/>
  <c r="L130" i="95"/>
  <c r="L127" i="95"/>
  <c r="L125" i="95"/>
  <c r="L124" i="95"/>
  <c r="L123" i="95"/>
  <c r="L122" i="95"/>
  <c r="L119" i="95"/>
  <c r="L117" i="95"/>
  <c r="L116" i="95"/>
  <c r="L115" i="95"/>
  <c r="L114" i="95"/>
  <c r="L111" i="95"/>
  <c r="L109" i="95"/>
  <c r="L108" i="95"/>
  <c r="L107" i="95"/>
  <c r="L106" i="95"/>
  <c r="L103" i="95"/>
  <c r="L101" i="95"/>
  <c r="L100" i="95"/>
  <c r="L99" i="95"/>
  <c r="L98" i="95"/>
  <c r="L95" i="95"/>
  <c r="L93" i="95"/>
  <c r="L92" i="95"/>
  <c r="L91" i="95"/>
  <c r="L90" i="95"/>
  <c r="L87" i="95"/>
  <c r="L85" i="95"/>
  <c r="L84" i="95"/>
  <c r="L83" i="95"/>
  <c r="L82" i="95"/>
  <c r="L79" i="95"/>
  <c r="L77" i="95"/>
  <c r="L76" i="95"/>
  <c r="L75" i="95"/>
  <c r="L74" i="95"/>
  <c r="L71" i="95"/>
  <c r="L69" i="95"/>
  <c r="L68" i="95"/>
  <c r="L67" i="95"/>
  <c r="L66" i="95"/>
  <c r="L63" i="95"/>
  <c r="L61" i="95"/>
  <c r="L60" i="95"/>
  <c r="L59" i="95"/>
  <c r="L58" i="95"/>
  <c r="L55" i="95"/>
  <c r="L53" i="95"/>
  <c r="L52" i="95"/>
  <c r="L51" i="95"/>
  <c r="L50" i="95"/>
  <c r="L47" i="95"/>
  <c r="L45" i="95"/>
  <c r="L44" i="95"/>
  <c r="L43" i="95"/>
  <c r="L42" i="95"/>
  <c r="L39" i="95"/>
  <c r="L37" i="95"/>
  <c r="L36" i="95"/>
  <c r="L35" i="95"/>
  <c r="L34" i="95"/>
  <c r="L31" i="95"/>
  <c r="L29" i="95"/>
  <c r="L28" i="95"/>
  <c r="L27" i="95"/>
  <c r="L26" i="95"/>
  <c r="L23" i="95"/>
  <c r="L21" i="95"/>
  <c r="L20" i="95"/>
  <c r="L19" i="95"/>
  <c r="L18" i="95"/>
  <c r="L15" i="95"/>
  <c r="L13" i="95"/>
  <c r="L12" i="95"/>
  <c r="L11" i="95"/>
  <c r="L10" i="95"/>
  <c r="L7" i="95"/>
  <c r="L5" i="95"/>
  <c r="L4" i="95"/>
  <c r="L3" i="95"/>
  <c r="L2" i="95"/>
  <c r="J5" i="8"/>
  <c r="L305" i="95" l="1"/>
  <c r="L256" i="95"/>
  <c r="L281" i="95"/>
  <c r="L320" i="95"/>
  <c r="L257" i="95"/>
  <c r="L272" i="95"/>
  <c r="L297" i="95"/>
  <c r="L337" i="95"/>
  <c r="L241" i="95"/>
  <c r="L336" i="95"/>
  <c r="L248" i="95"/>
  <c r="L273" i="95"/>
  <c r="L312" i="95"/>
  <c r="L249" i="95"/>
  <c r="L288" i="95"/>
  <c r="L313" i="95"/>
  <c r="L296" i="95"/>
  <c r="L321" i="95"/>
  <c r="L264" i="95"/>
  <c r="L289" i="95"/>
  <c r="L328" i="95"/>
  <c r="L333" i="95"/>
  <c r="N2" i="95"/>
  <c r="N3" i="95" s="1"/>
  <c r="N4" i="95" s="1"/>
  <c r="N5" i="95" s="1"/>
  <c r="N6" i="95" s="1"/>
  <c r="N7" i="95" s="1"/>
  <c r="N8" i="95" s="1"/>
  <c r="N9" i="95" s="1"/>
  <c r="N10" i="95" s="1"/>
  <c r="N11" i="95" s="1"/>
  <c r="N12" i="95" s="1"/>
  <c r="N13" i="95" s="1"/>
  <c r="N14" i="95" s="1"/>
  <c r="N15" i="95" s="1"/>
  <c r="N16" i="95" s="1"/>
  <c r="N17" i="95" s="1"/>
  <c r="N18" i="95" s="1"/>
  <c r="N19" i="95" s="1"/>
  <c r="N20" i="95" s="1"/>
  <c r="N21" i="95" s="1"/>
  <c r="N22" i="95" s="1"/>
  <c r="N23" i="95" s="1"/>
  <c r="N24" i="95" s="1"/>
  <c r="N25" i="95" s="1"/>
  <c r="N26" i="95" s="1"/>
  <c r="N27" i="95" s="1"/>
  <c r="N28" i="95" s="1"/>
  <c r="N29" i="95" s="1"/>
  <c r="N30" i="95" s="1"/>
  <c r="N31" i="95" s="1"/>
  <c r="N32" i="95" s="1"/>
  <c r="N33" i="95" s="1"/>
  <c r="N34" i="95" s="1"/>
  <c r="N35" i="95" s="1"/>
  <c r="N36" i="95" s="1"/>
  <c r="N37" i="95" s="1"/>
  <c r="N38" i="95" s="1"/>
  <c r="N39" i="95" s="1"/>
  <c r="N40" i="95" s="1"/>
  <c r="N41" i="95" s="1"/>
  <c r="N42" i="95" s="1"/>
  <c r="N43" i="95" s="1"/>
  <c r="N44" i="95" s="1"/>
  <c r="N45" i="95" s="1"/>
  <c r="N46" i="95" s="1"/>
  <c r="N47" i="95" s="1"/>
  <c r="N48" i="95" s="1"/>
  <c r="N49" i="95" s="1"/>
  <c r="N50" i="95" s="1"/>
  <c r="N51" i="95" s="1"/>
  <c r="N52" i="95" s="1"/>
  <c r="N53" i="95" s="1"/>
  <c r="N54" i="95" s="1"/>
  <c r="N55" i="95" s="1"/>
  <c r="N56" i="95" s="1"/>
  <c r="N57" i="95" s="1"/>
  <c r="N58" i="95" s="1"/>
  <c r="N59" i="95" s="1"/>
  <c r="N60" i="95" s="1"/>
  <c r="N61" i="95" s="1"/>
  <c r="N62" i="95" s="1"/>
  <c r="N63" i="95" s="1"/>
  <c r="N64" i="95" s="1"/>
  <c r="N65" i="95" s="1"/>
  <c r="N66" i="95" s="1"/>
  <c r="N67" i="95" s="1"/>
  <c r="N68" i="95" s="1"/>
  <c r="N69" i="95" s="1"/>
  <c r="N70" i="95" s="1"/>
  <c r="N71" i="95" s="1"/>
  <c r="N72" i="95" s="1"/>
  <c r="N73" i="95" s="1"/>
  <c r="N74" i="95" s="1"/>
  <c r="N75" i="95" s="1"/>
  <c r="N76" i="95" s="1"/>
  <c r="N77" i="95" s="1"/>
  <c r="N78" i="95" s="1"/>
  <c r="N79" i="95" s="1"/>
  <c r="N80" i="95" s="1"/>
  <c r="N81" i="95" s="1"/>
  <c r="N82" i="95" s="1"/>
  <c r="N83" i="95" s="1"/>
  <c r="N84" i="95" s="1"/>
  <c r="N85" i="95" s="1"/>
  <c r="N86" i="95" s="1"/>
  <c r="N87" i="95" s="1"/>
  <c r="N88" i="95" s="1"/>
  <c r="N89" i="95" s="1"/>
  <c r="N90" i="95" s="1"/>
  <c r="N91" i="95" s="1"/>
  <c r="N92" i="95" s="1"/>
  <c r="N93" i="95" s="1"/>
  <c r="N94" i="95" s="1"/>
  <c r="N95" i="95" s="1"/>
  <c r="N96" i="95" s="1"/>
  <c r="N97" i="95" s="1"/>
  <c r="N98" i="95" s="1"/>
  <c r="N99" i="95" s="1"/>
  <c r="N100" i="95" s="1"/>
  <c r="N101" i="95" s="1"/>
  <c r="N102" i="95" s="1"/>
  <c r="N103" i="95" s="1"/>
  <c r="N104" i="95" s="1"/>
  <c r="N105" i="95" s="1"/>
  <c r="N106" i="95" s="1"/>
  <c r="N107" i="95" s="1"/>
  <c r="N108" i="95" s="1"/>
  <c r="N109" i="95" s="1"/>
  <c r="N110" i="95" s="1"/>
  <c r="N111" i="95" s="1"/>
  <c r="N112" i="95" s="1"/>
  <c r="N113" i="95" s="1"/>
  <c r="N114" i="95" s="1"/>
  <c r="N115" i="95" s="1"/>
  <c r="N116" i="95" s="1"/>
  <c r="N117" i="95" s="1"/>
  <c r="N118" i="95" s="1"/>
  <c r="N119" i="95" s="1"/>
  <c r="N120" i="95" s="1"/>
  <c r="N121" i="95" s="1"/>
  <c r="N122" i="95" s="1"/>
  <c r="N123" i="95" s="1"/>
  <c r="N124" i="95" s="1"/>
  <c r="N125" i="95" s="1"/>
  <c r="N126" i="95" s="1"/>
  <c r="N127" i="95" s="1"/>
  <c r="N128" i="95" s="1"/>
  <c r="N129" i="95" s="1"/>
  <c r="N130" i="95" s="1"/>
  <c r="N131" i="95" s="1"/>
  <c r="N132" i="95" s="1"/>
  <c r="N133" i="95" s="1"/>
  <c r="N134" i="95" s="1"/>
  <c r="N135" i="95" s="1"/>
  <c r="N136" i="95" s="1"/>
  <c r="N137" i="95" s="1"/>
  <c r="N138" i="95" s="1"/>
  <c r="N139" i="95" s="1"/>
  <c r="N140" i="95" s="1"/>
  <c r="N141" i="95" s="1"/>
  <c r="N142" i="95" s="1"/>
  <c r="N143" i="95" s="1"/>
  <c r="N144" i="95" s="1"/>
  <c r="N145" i="95" s="1"/>
  <c r="N146" i="95" s="1"/>
  <c r="N147" i="95" s="1"/>
  <c r="N148" i="95" s="1"/>
  <c r="N149" i="95" s="1"/>
  <c r="N150" i="95" s="1"/>
  <c r="N151" i="95" s="1"/>
  <c r="N152" i="95" s="1"/>
  <c r="N153" i="95" s="1"/>
  <c r="N154" i="95" s="1"/>
  <c r="N155" i="95" s="1"/>
  <c r="N156" i="95" s="1"/>
  <c r="N157" i="95" s="1"/>
  <c r="N158" i="95" s="1"/>
  <c r="N159" i="95" s="1"/>
  <c r="N160" i="95" s="1"/>
  <c r="N161" i="95" s="1"/>
  <c r="N162" i="95" s="1"/>
  <c r="N163" i="95" s="1"/>
  <c r="N164" i="95" s="1"/>
  <c r="N165" i="95" s="1"/>
  <c r="N166" i="95" s="1"/>
  <c r="N167" i="95" s="1"/>
  <c r="N168" i="95" s="1"/>
  <c r="N169" i="95" s="1"/>
  <c r="N170" i="95" s="1"/>
  <c r="N171" i="95" s="1"/>
  <c r="N172" i="95" s="1"/>
  <c r="N173" i="95" s="1"/>
  <c r="N174" i="95" s="1"/>
  <c r="N175" i="95" s="1"/>
  <c r="N176" i="95" s="1"/>
  <c r="N177" i="95" s="1"/>
  <c r="N178" i="95" s="1"/>
  <c r="N179" i="95" s="1"/>
  <c r="N180" i="95" s="1"/>
  <c r="N181" i="95" s="1"/>
  <c r="N182" i="95" s="1"/>
  <c r="N183" i="95" s="1"/>
  <c r="N184" i="95" s="1"/>
  <c r="N185" i="95" s="1"/>
  <c r="N186" i="95" s="1"/>
  <c r="N187" i="95" s="1"/>
  <c r="N188" i="95" s="1"/>
  <c r="N189" i="95" s="1"/>
  <c r="N190" i="95" s="1"/>
  <c r="N191" i="95" s="1"/>
  <c r="N192" i="95" s="1"/>
  <c r="N193" i="95" s="1"/>
  <c r="N194" i="95" s="1"/>
  <c r="N195" i="95" s="1"/>
  <c r="N196" i="95" s="1"/>
  <c r="N197" i="95" s="1"/>
  <c r="N198" i="95" s="1"/>
  <c r="N199" i="95" s="1"/>
  <c r="N200" i="95" s="1"/>
  <c r="N201" i="95" s="1"/>
  <c r="N202" i="95" s="1"/>
  <c r="N203" i="95" s="1"/>
  <c r="N204" i="95" s="1"/>
  <c r="N205" i="95" s="1"/>
  <c r="N206" i="95" s="1"/>
  <c r="N207" i="95" s="1"/>
  <c r="N208" i="95" s="1"/>
  <c r="N209" i="95" s="1"/>
  <c r="N210" i="95" s="1"/>
  <c r="N211" i="95" s="1"/>
  <c r="N212" i="95" s="1"/>
  <c r="N213" i="95" s="1"/>
  <c r="N214" i="95" s="1"/>
  <c r="N215" i="95" s="1"/>
  <c r="N216" i="95" s="1"/>
  <c r="N217" i="95" s="1"/>
  <c r="N218" i="95" s="1"/>
  <c r="N219" i="95" s="1"/>
  <c r="N220" i="95" s="1"/>
  <c r="N221" i="95" s="1"/>
  <c r="N222" i="95" s="1"/>
  <c r="N223" i="95" s="1"/>
  <c r="N224" i="95" s="1"/>
  <c r="N225" i="95" s="1"/>
  <c r="N226" i="95" s="1"/>
  <c r="N227" i="95" s="1"/>
  <c r="N228" i="95" s="1"/>
  <c r="N229" i="95" s="1"/>
  <c r="N230" i="95" s="1"/>
  <c r="N231" i="95" s="1"/>
  <c r="N232" i="95" s="1"/>
  <c r="N233" i="95" s="1"/>
  <c r="N234" i="95" s="1"/>
  <c r="N235" i="95" s="1"/>
  <c r="N236" i="95" s="1"/>
  <c r="N237" i="95" s="1"/>
  <c r="N238" i="95" s="1"/>
  <c r="N239" i="95" s="1"/>
  <c r="N240" i="95" s="1"/>
  <c r="N241" i="95" s="1"/>
  <c r="N242" i="95" s="1"/>
  <c r="N243" i="95" s="1"/>
  <c r="N244" i="95" s="1"/>
  <c r="N245" i="95" s="1"/>
  <c r="N246" i="95" s="1"/>
  <c r="N247" i="95" s="1"/>
  <c r="N248" i="95" s="1"/>
  <c r="N249" i="95" s="1"/>
  <c r="N250" i="95" s="1"/>
  <c r="N251" i="95" s="1"/>
  <c r="N252" i="95" s="1"/>
  <c r="N253" i="95" s="1"/>
  <c r="N254" i="95" s="1"/>
  <c r="N255" i="95" s="1"/>
  <c r="N256" i="95" s="1"/>
  <c r="N257" i="95" s="1"/>
  <c r="N258" i="95" s="1"/>
  <c r="N259" i="95" s="1"/>
  <c r="N260" i="95" s="1"/>
  <c r="N261" i="95" s="1"/>
  <c r="N262" i="95" s="1"/>
  <c r="N263" i="95" s="1"/>
  <c r="N264" i="95" s="1"/>
  <c r="N265" i="95" s="1"/>
  <c r="N266" i="95" s="1"/>
  <c r="N267" i="95" s="1"/>
  <c r="N268" i="95" s="1"/>
  <c r="N269" i="95" s="1"/>
  <c r="N270" i="95" s="1"/>
  <c r="N271" i="95" s="1"/>
  <c r="N272" i="95" s="1"/>
  <c r="N273" i="95" s="1"/>
  <c r="N274" i="95" s="1"/>
  <c r="N275" i="95" s="1"/>
  <c r="N276" i="95" s="1"/>
  <c r="N277" i="95" s="1"/>
  <c r="N278" i="95" s="1"/>
  <c r="N279" i="95" s="1"/>
  <c r="N280" i="95" s="1"/>
  <c r="N281" i="95" s="1"/>
  <c r="N282" i="95" s="1"/>
  <c r="N283" i="95" s="1"/>
  <c r="N284" i="95" s="1"/>
  <c r="N285" i="95" s="1"/>
  <c r="N286" i="95" s="1"/>
  <c r="N287" i="95" s="1"/>
  <c r="N288" i="95" s="1"/>
  <c r="N289" i="95" s="1"/>
  <c r="N290" i="95" s="1"/>
  <c r="N291" i="95" s="1"/>
  <c r="N292" i="95" s="1"/>
  <c r="N293" i="95" s="1"/>
  <c r="N294" i="95" s="1"/>
  <c r="N295" i="95" s="1"/>
  <c r="N296" i="95" s="1"/>
  <c r="N297" i="95" s="1"/>
  <c r="N298" i="95" s="1"/>
  <c r="N299" i="95" s="1"/>
  <c r="N300" i="95" s="1"/>
  <c r="N301" i="95" s="1"/>
  <c r="N302" i="95" s="1"/>
  <c r="N303" i="95" s="1"/>
  <c r="N304" i="95" s="1"/>
  <c r="N305" i="95" s="1"/>
  <c r="N306" i="95" s="1"/>
  <c r="N307" i="95" s="1"/>
  <c r="N308" i="95" s="1"/>
  <c r="N309" i="95" s="1"/>
  <c r="N310" i="95" s="1"/>
  <c r="N311" i="95" s="1"/>
  <c r="N312" i="95" s="1"/>
  <c r="N313" i="95" s="1"/>
  <c r="N314" i="95" s="1"/>
  <c r="N315" i="95" s="1"/>
  <c r="N316" i="95" s="1"/>
  <c r="N317" i="95" s="1"/>
  <c r="N318" i="95" s="1"/>
  <c r="N319" i="95" s="1"/>
  <c r="N320" i="95" s="1"/>
  <c r="N321" i="95" s="1"/>
  <c r="N322" i="95" s="1"/>
  <c r="N323" i="95" s="1"/>
  <c r="N324" i="95" s="1"/>
  <c r="N325" i="95" s="1"/>
  <c r="N326" i="95" s="1"/>
  <c r="N327" i="95" s="1"/>
  <c r="N328" i="95" s="1"/>
  <c r="N329" i="95" s="1"/>
  <c r="N330" i="95" s="1"/>
  <c r="N331" i="95" s="1"/>
  <c r="N332" i="95" s="1"/>
  <c r="N333" i="95" s="1"/>
  <c r="N334" i="95" s="1"/>
  <c r="N335" i="95" s="1"/>
  <c r="N336" i="95" s="1"/>
  <c r="N337" i="95" s="1"/>
  <c r="N338" i="95" s="1"/>
  <c r="I48" i="19"/>
  <c r="I50" i="19"/>
  <c r="H50" i="19"/>
  <c r="M31" i="36"/>
  <c r="M32" i="36" s="1"/>
  <c r="K31" i="36"/>
  <c r="B51" i="14"/>
  <c r="B50" i="14"/>
  <c r="B49" i="14"/>
  <c r="O13" i="8"/>
  <c r="O13" i="68"/>
  <c r="M12" i="17"/>
  <c r="O13" i="11"/>
  <c r="K50" i="19"/>
  <c r="K49" i="19"/>
  <c r="K48" i="19"/>
  <c r="H48" i="19"/>
  <c r="K2" i="94"/>
  <c r="L8" i="94"/>
  <c r="L16" i="94"/>
  <c r="L24" i="94"/>
  <c r="L32" i="94"/>
  <c r="L48" i="94"/>
  <c r="L56" i="94"/>
  <c r="L64" i="94"/>
  <c r="L72" i="94"/>
  <c r="L80" i="94"/>
  <c r="L88" i="94"/>
  <c r="L96" i="94"/>
  <c r="L112" i="94"/>
  <c r="L120" i="94"/>
  <c r="L128" i="94"/>
  <c r="L136" i="94"/>
  <c r="L144" i="94"/>
  <c r="L152" i="94"/>
  <c r="L160" i="94"/>
  <c r="L176" i="94"/>
  <c r="L184" i="94"/>
  <c r="L192" i="94"/>
  <c r="L200" i="94"/>
  <c r="L208" i="94"/>
  <c r="L216" i="94"/>
  <c r="L224" i="94"/>
  <c r="L296" i="94"/>
  <c r="H2" i="94"/>
  <c r="L40" i="94"/>
  <c r="L104" i="94"/>
  <c r="L168" i="94"/>
  <c r="L232" i="94"/>
  <c r="J240" i="94"/>
  <c r="J264" i="94"/>
  <c r="J288" i="94"/>
  <c r="J320" i="94"/>
  <c r="J338" i="94"/>
  <c r="L338" i="94" s="1"/>
  <c r="J337" i="94"/>
  <c r="L337" i="94" s="1"/>
  <c r="J335" i="94"/>
  <c r="L335" i="94" s="1"/>
  <c r="J334" i="94"/>
  <c r="L334" i="94" s="1"/>
  <c r="J333" i="94"/>
  <c r="L333" i="94" s="1"/>
  <c r="J332" i="94"/>
  <c r="L332" i="94" s="1"/>
  <c r="J331" i="94"/>
  <c r="L331" i="94" s="1"/>
  <c r="J330" i="94"/>
  <c r="L330" i="94" s="1"/>
  <c r="J329" i="94"/>
  <c r="L329" i="94" s="1"/>
  <c r="J328" i="94"/>
  <c r="J327" i="94"/>
  <c r="L327" i="94" s="1"/>
  <c r="J326" i="94"/>
  <c r="L326" i="94" s="1"/>
  <c r="J325" i="94"/>
  <c r="L325" i="94" s="1"/>
  <c r="J324" i="94"/>
  <c r="L324" i="94" s="1"/>
  <c r="J323" i="94"/>
  <c r="L323" i="94" s="1"/>
  <c r="J322" i="94"/>
  <c r="L322" i="94" s="1"/>
  <c r="J321" i="94"/>
  <c r="L321" i="94" s="1"/>
  <c r="J319" i="94"/>
  <c r="L319" i="94" s="1"/>
  <c r="J318" i="94"/>
  <c r="L318" i="94" s="1"/>
  <c r="J317" i="94"/>
  <c r="L317" i="94" s="1"/>
  <c r="J316" i="94"/>
  <c r="L316" i="94" s="1"/>
  <c r="J315" i="94"/>
  <c r="L315" i="94" s="1"/>
  <c r="J314" i="94"/>
  <c r="L314" i="94" s="1"/>
  <c r="J313" i="94"/>
  <c r="L313" i="94" s="1"/>
  <c r="J311" i="94"/>
  <c r="L311" i="94" s="1"/>
  <c r="J310" i="94"/>
  <c r="L310" i="94" s="1"/>
  <c r="J309" i="94"/>
  <c r="L309" i="94" s="1"/>
  <c r="J308" i="94"/>
  <c r="L308" i="94" s="1"/>
  <c r="J307" i="94"/>
  <c r="L307" i="94" s="1"/>
  <c r="J306" i="94"/>
  <c r="L306" i="94" s="1"/>
  <c r="J305" i="94"/>
  <c r="L305" i="94" s="1"/>
  <c r="J303" i="94"/>
  <c r="L303" i="94" s="1"/>
  <c r="J302" i="94"/>
  <c r="L302" i="94" s="1"/>
  <c r="J301" i="94"/>
  <c r="L301" i="94" s="1"/>
  <c r="J300" i="94"/>
  <c r="L300" i="94" s="1"/>
  <c r="J299" i="94"/>
  <c r="L299" i="94" s="1"/>
  <c r="J298" i="94"/>
  <c r="L298" i="94" s="1"/>
  <c r="J297" i="94"/>
  <c r="L297" i="94" s="1"/>
  <c r="J296" i="94"/>
  <c r="J295" i="94"/>
  <c r="L295" i="94" s="1"/>
  <c r="J294" i="94"/>
  <c r="L294" i="94" s="1"/>
  <c r="J293" i="94"/>
  <c r="L293" i="94" s="1"/>
  <c r="J292" i="94"/>
  <c r="L292" i="94" s="1"/>
  <c r="J291" i="94"/>
  <c r="L291" i="94" s="1"/>
  <c r="J290" i="94"/>
  <c r="L290" i="94" s="1"/>
  <c r="J289" i="94"/>
  <c r="L289" i="94" s="1"/>
  <c r="J287" i="94"/>
  <c r="L287" i="94" s="1"/>
  <c r="J286" i="94"/>
  <c r="L286" i="94" s="1"/>
  <c r="J285" i="94"/>
  <c r="L285" i="94" s="1"/>
  <c r="J284" i="94"/>
  <c r="L284" i="94" s="1"/>
  <c r="J283" i="94"/>
  <c r="L283" i="94" s="1"/>
  <c r="J282" i="94"/>
  <c r="L282" i="94" s="1"/>
  <c r="J281" i="94"/>
  <c r="L281" i="94" s="1"/>
  <c r="J279" i="94"/>
  <c r="L279" i="94" s="1"/>
  <c r="J278" i="94"/>
  <c r="L278" i="94" s="1"/>
  <c r="J277" i="94"/>
  <c r="L277" i="94" s="1"/>
  <c r="J276" i="94"/>
  <c r="L276" i="94" s="1"/>
  <c r="J275" i="94"/>
  <c r="L275" i="94" s="1"/>
  <c r="J274" i="94"/>
  <c r="L274" i="94" s="1"/>
  <c r="J273" i="94"/>
  <c r="L273" i="94" s="1"/>
  <c r="J271" i="94"/>
  <c r="L271" i="94" s="1"/>
  <c r="J270" i="94"/>
  <c r="L270" i="94" s="1"/>
  <c r="J269" i="94"/>
  <c r="L269" i="94" s="1"/>
  <c r="J268" i="94"/>
  <c r="L268" i="94" s="1"/>
  <c r="J267" i="94"/>
  <c r="L267" i="94" s="1"/>
  <c r="J266" i="94"/>
  <c r="L266" i="94" s="1"/>
  <c r="J265" i="94"/>
  <c r="L265" i="94" s="1"/>
  <c r="J263" i="94"/>
  <c r="L263" i="94" s="1"/>
  <c r="J262" i="94"/>
  <c r="L262" i="94" s="1"/>
  <c r="L261" i="94"/>
  <c r="J261" i="94"/>
  <c r="J260" i="94"/>
  <c r="L260" i="94" s="1"/>
  <c r="J259" i="94"/>
  <c r="L259" i="94" s="1"/>
  <c r="J258" i="94"/>
  <c r="L258" i="94" s="1"/>
  <c r="J257" i="94"/>
  <c r="L257" i="94" s="1"/>
  <c r="J255" i="94"/>
  <c r="L255" i="94" s="1"/>
  <c r="L254" i="94"/>
  <c r="J254" i="94"/>
  <c r="J253" i="94"/>
  <c r="L253" i="94" s="1"/>
  <c r="J252" i="94"/>
  <c r="L252" i="94" s="1"/>
  <c r="J251" i="94"/>
  <c r="L251" i="94" s="1"/>
  <c r="J250" i="94"/>
  <c r="L250" i="94" s="1"/>
  <c r="J249" i="94"/>
  <c r="L249" i="94" s="1"/>
  <c r="J247" i="94"/>
  <c r="L247" i="94" s="1"/>
  <c r="L246" i="94"/>
  <c r="J246" i="94"/>
  <c r="L245" i="94"/>
  <c r="J245" i="94"/>
  <c r="J244" i="94"/>
  <c r="L244" i="94" s="1"/>
  <c r="J243" i="94"/>
  <c r="L243" i="94" s="1"/>
  <c r="J242" i="94"/>
  <c r="L242" i="94" s="1"/>
  <c r="J241" i="94"/>
  <c r="L241" i="94" s="1"/>
  <c r="J239" i="94"/>
  <c r="L239" i="94" s="1"/>
  <c r="J238" i="94"/>
  <c r="L238" i="94" s="1"/>
  <c r="L237" i="94"/>
  <c r="L236" i="94"/>
  <c r="L235" i="94"/>
  <c r="L234" i="94"/>
  <c r="L233" i="94"/>
  <c r="L231" i="94"/>
  <c r="L230" i="94"/>
  <c r="L229" i="94"/>
  <c r="L228" i="94"/>
  <c r="L227" i="94"/>
  <c r="L226" i="94"/>
  <c r="L225" i="94"/>
  <c r="L223" i="94"/>
  <c r="L222" i="94"/>
  <c r="L221" i="94"/>
  <c r="L220" i="94"/>
  <c r="L219" i="94"/>
  <c r="L218" i="94"/>
  <c r="L217" i="94"/>
  <c r="L215" i="94"/>
  <c r="L214" i="94"/>
  <c r="L213" i="94"/>
  <c r="L212" i="94"/>
  <c r="L211" i="94"/>
  <c r="L210" i="94"/>
  <c r="L209" i="94"/>
  <c r="L207" i="94"/>
  <c r="L206" i="94"/>
  <c r="L205" i="94"/>
  <c r="L204" i="94"/>
  <c r="L203" i="94"/>
  <c r="L202" i="94"/>
  <c r="L201" i="94"/>
  <c r="L199" i="94"/>
  <c r="L198" i="94"/>
  <c r="L197" i="94"/>
  <c r="L196" i="94"/>
  <c r="L195" i="94"/>
  <c r="L194" i="94"/>
  <c r="L193" i="94"/>
  <c r="L191" i="94"/>
  <c r="L190" i="94"/>
  <c r="L189" i="94"/>
  <c r="L188" i="94"/>
  <c r="L187" i="94"/>
  <c r="L186" i="94"/>
  <c r="L185" i="94"/>
  <c r="L183" i="94"/>
  <c r="L182" i="94"/>
  <c r="L181" i="94"/>
  <c r="L180" i="94"/>
  <c r="L179" i="94"/>
  <c r="L178" i="94"/>
  <c r="L177" i="94"/>
  <c r="L175" i="94"/>
  <c r="L174" i="94"/>
  <c r="L173" i="94"/>
  <c r="L172" i="94"/>
  <c r="L171" i="94"/>
  <c r="L170" i="94"/>
  <c r="L169" i="94"/>
  <c r="L167" i="94"/>
  <c r="L166" i="94"/>
  <c r="L165" i="94"/>
  <c r="L164" i="94"/>
  <c r="L163" i="94"/>
  <c r="L162" i="94"/>
  <c r="L161" i="94"/>
  <c r="L159" i="94"/>
  <c r="L158" i="94"/>
  <c r="L157" i="94"/>
  <c r="L156" i="94"/>
  <c r="L155" i="94"/>
  <c r="L154" i="94"/>
  <c r="L153" i="94"/>
  <c r="L151" i="94"/>
  <c r="L150" i="94"/>
  <c r="L149" i="94"/>
  <c r="L148" i="94"/>
  <c r="L147" i="94"/>
  <c r="L146" i="94"/>
  <c r="L145" i="94"/>
  <c r="L143" i="94"/>
  <c r="L142" i="94"/>
  <c r="L141" i="94"/>
  <c r="L140" i="94"/>
  <c r="L139" i="94"/>
  <c r="L138" i="94"/>
  <c r="L137" i="94"/>
  <c r="L135" i="94"/>
  <c r="L134" i="94"/>
  <c r="L133" i="94"/>
  <c r="L132" i="94"/>
  <c r="L131" i="94"/>
  <c r="L130" i="94"/>
  <c r="L129" i="94"/>
  <c r="L127" i="94"/>
  <c r="L126" i="94"/>
  <c r="L125" i="94"/>
  <c r="L124" i="94"/>
  <c r="L123" i="94"/>
  <c r="L122" i="94"/>
  <c r="L121" i="94"/>
  <c r="L119" i="94"/>
  <c r="L118" i="94"/>
  <c r="L117" i="94"/>
  <c r="L116" i="94"/>
  <c r="L115" i="94"/>
  <c r="L114" i="94"/>
  <c r="L113" i="94"/>
  <c r="L111" i="94"/>
  <c r="L110" i="94"/>
  <c r="L109" i="94"/>
  <c r="L108" i="94"/>
  <c r="L107" i="94"/>
  <c r="L106" i="94"/>
  <c r="L105" i="94"/>
  <c r="L103" i="94"/>
  <c r="L102" i="94"/>
  <c r="L101" i="94"/>
  <c r="L100" i="94"/>
  <c r="L99" i="94"/>
  <c r="L98" i="94"/>
  <c r="L97" i="94"/>
  <c r="L95" i="94"/>
  <c r="L94" i="94"/>
  <c r="L93" i="94"/>
  <c r="L92" i="94"/>
  <c r="L91" i="94"/>
  <c r="L90" i="94"/>
  <c r="L89" i="94"/>
  <c r="L87" i="94"/>
  <c r="L86" i="94"/>
  <c r="L85" i="94"/>
  <c r="L84" i="94"/>
  <c r="L83" i="94"/>
  <c r="L82" i="94"/>
  <c r="L81" i="94"/>
  <c r="L79" i="94"/>
  <c r="L78" i="94"/>
  <c r="L77" i="94"/>
  <c r="L76" i="94"/>
  <c r="L75" i="94"/>
  <c r="L74" i="94"/>
  <c r="L73" i="94"/>
  <c r="L71" i="94"/>
  <c r="L70" i="94"/>
  <c r="L69" i="94"/>
  <c r="L68" i="94"/>
  <c r="L67" i="94"/>
  <c r="L66" i="94"/>
  <c r="L65" i="94"/>
  <c r="L63" i="94"/>
  <c r="L62" i="94"/>
  <c r="L61" i="94"/>
  <c r="L60" i="94"/>
  <c r="L59" i="94"/>
  <c r="L58" i="94"/>
  <c r="L57" i="94"/>
  <c r="L55" i="94"/>
  <c r="L54" i="94"/>
  <c r="L53" i="94"/>
  <c r="L52" i="94"/>
  <c r="L51" i="94"/>
  <c r="L50" i="94"/>
  <c r="L49" i="94"/>
  <c r="L47" i="94"/>
  <c r="L46" i="94"/>
  <c r="L45" i="94"/>
  <c r="L44" i="94"/>
  <c r="L43" i="94"/>
  <c r="L42" i="94"/>
  <c r="L41" i="94"/>
  <c r="L39" i="94"/>
  <c r="L38" i="94"/>
  <c r="L37" i="94"/>
  <c r="L36" i="94"/>
  <c r="L35" i="94"/>
  <c r="L34" i="94"/>
  <c r="L33" i="94"/>
  <c r="L31" i="94"/>
  <c r="L30" i="94"/>
  <c r="L29" i="94"/>
  <c r="L28" i="94"/>
  <c r="L27" i="94"/>
  <c r="L26" i="94"/>
  <c r="L25" i="94"/>
  <c r="L23" i="94"/>
  <c r="L22" i="94"/>
  <c r="L21" i="94"/>
  <c r="L20" i="94"/>
  <c r="L19" i="94"/>
  <c r="L18" i="94"/>
  <c r="L17" i="94"/>
  <c r="L15" i="94"/>
  <c r="L14" i="94"/>
  <c r="L13" i="94"/>
  <c r="L12" i="94"/>
  <c r="L11" i="94"/>
  <c r="L10" i="94"/>
  <c r="L9" i="94"/>
  <c r="L7" i="94"/>
  <c r="L6" i="94"/>
  <c r="L5" i="94"/>
  <c r="L4" i="94"/>
  <c r="L3" i="94"/>
  <c r="L2" i="94"/>
  <c r="N2" i="94" s="1"/>
  <c r="N3" i="94" s="1"/>
  <c r="O12" i="95" l="1"/>
  <c r="L240" i="94"/>
  <c r="L328" i="94"/>
  <c r="L256" i="94"/>
  <c r="L264" i="94"/>
  <c r="L288" i="94"/>
  <c r="L320" i="94"/>
  <c r="J256" i="94"/>
  <c r="J272" i="94"/>
  <c r="L272" i="94" s="1"/>
  <c r="J304" i="94"/>
  <c r="L304" i="94" s="1"/>
  <c r="J336" i="94"/>
  <c r="L336" i="94" s="1"/>
  <c r="J248" i="94"/>
  <c r="L248" i="94" s="1"/>
  <c r="J280" i="94"/>
  <c r="L280" i="94" s="1"/>
  <c r="J312" i="94"/>
  <c r="L312" i="94" s="1"/>
  <c r="N4" i="94"/>
  <c r="N5" i="94" s="1"/>
  <c r="N6" i="94" s="1"/>
  <c r="N7" i="94" s="1"/>
  <c r="N8" i="94" s="1"/>
  <c r="N9" i="94" s="1"/>
  <c r="N10" i="94" s="1"/>
  <c r="N11" i="94" s="1"/>
  <c r="N12" i="94" s="1"/>
  <c r="N13" i="94" s="1"/>
  <c r="N14" i="94" s="1"/>
  <c r="N15" i="94" s="1"/>
  <c r="N16" i="94" s="1"/>
  <c r="N17" i="94" s="1"/>
  <c r="N18" i="94" s="1"/>
  <c r="N19" i="94" s="1"/>
  <c r="N20" i="94" s="1"/>
  <c r="N21" i="94" s="1"/>
  <c r="N22" i="94" s="1"/>
  <c r="N23" i="94" s="1"/>
  <c r="N24" i="94" s="1"/>
  <c r="N25" i="94" s="1"/>
  <c r="N26" i="94" s="1"/>
  <c r="N27" i="94" s="1"/>
  <c r="N28" i="94" s="1"/>
  <c r="N29" i="94" s="1"/>
  <c r="N30" i="94" s="1"/>
  <c r="N31" i="94" s="1"/>
  <c r="N32" i="94" s="1"/>
  <c r="N33" i="94" s="1"/>
  <c r="N34" i="94" s="1"/>
  <c r="N35" i="94" s="1"/>
  <c r="N36" i="94" s="1"/>
  <c r="N37" i="94" s="1"/>
  <c r="N38" i="94" s="1"/>
  <c r="N39" i="94" s="1"/>
  <c r="N40" i="94" s="1"/>
  <c r="N41" i="94" s="1"/>
  <c r="N42" i="94" s="1"/>
  <c r="N43" i="94" s="1"/>
  <c r="N44" i="94" s="1"/>
  <c r="N45" i="94" s="1"/>
  <c r="N46" i="94" s="1"/>
  <c r="N47" i="94" s="1"/>
  <c r="N48" i="94" s="1"/>
  <c r="N49" i="94" s="1"/>
  <c r="N50" i="94" s="1"/>
  <c r="N51" i="94" s="1"/>
  <c r="N52" i="94" s="1"/>
  <c r="N53" i="94" s="1"/>
  <c r="N54" i="94" s="1"/>
  <c r="N55" i="94" s="1"/>
  <c r="N56" i="94" s="1"/>
  <c r="N57" i="94" s="1"/>
  <c r="N58" i="94" s="1"/>
  <c r="N59" i="94" s="1"/>
  <c r="N60" i="94" s="1"/>
  <c r="N61" i="94" s="1"/>
  <c r="N62" i="94" s="1"/>
  <c r="N63" i="94" s="1"/>
  <c r="N64" i="94" s="1"/>
  <c r="N65" i="94" s="1"/>
  <c r="N66" i="94" s="1"/>
  <c r="N67" i="94" s="1"/>
  <c r="N68" i="94" s="1"/>
  <c r="N69" i="94" s="1"/>
  <c r="N70" i="94" s="1"/>
  <c r="N71" i="94" s="1"/>
  <c r="N72" i="94" s="1"/>
  <c r="N73" i="94" s="1"/>
  <c r="N74" i="94" s="1"/>
  <c r="N75" i="94" s="1"/>
  <c r="N76" i="94" s="1"/>
  <c r="N77" i="94" s="1"/>
  <c r="N78" i="94" s="1"/>
  <c r="N79" i="94" s="1"/>
  <c r="N80" i="94" s="1"/>
  <c r="N81" i="94" s="1"/>
  <c r="N82" i="94" s="1"/>
  <c r="N83" i="94" s="1"/>
  <c r="N84" i="94" s="1"/>
  <c r="N85" i="94" s="1"/>
  <c r="N86" i="94" s="1"/>
  <c r="N87" i="94" s="1"/>
  <c r="N88" i="94" s="1"/>
  <c r="N89" i="94" s="1"/>
  <c r="N90" i="94" s="1"/>
  <c r="N91" i="94" s="1"/>
  <c r="N92" i="94" s="1"/>
  <c r="N93" i="94" s="1"/>
  <c r="N94" i="94" s="1"/>
  <c r="N95" i="94" s="1"/>
  <c r="N96" i="94" s="1"/>
  <c r="N97" i="94" s="1"/>
  <c r="N98" i="94" s="1"/>
  <c r="N99" i="94" s="1"/>
  <c r="N100" i="94" s="1"/>
  <c r="N101" i="94" s="1"/>
  <c r="N102" i="94" s="1"/>
  <c r="N103" i="94" s="1"/>
  <c r="N104" i="94" s="1"/>
  <c r="N105" i="94" s="1"/>
  <c r="N106" i="94" s="1"/>
  <c r="N107" i="94" s="1"/>
  <c r="N108" i="94" s="1"/>
  <c r="N109" i="94" s="1"/>
  <c r="N110" i="94" s="1"/>
  <c r="N111" i="94" s="1"/>
  <c r="N112" i="94" s="1"/>
  <c r="N113" i="94" s="1"/>
  <c r="N114" i="94" s="1"/>
  <c r="N115" i="94" s="1"/>
  <c r="N116" i="94" s="1"/>
  <c r="N117" i="94" s="1"/>
  <c r="N118" i="94" s="1"/>
  <c r="N119" i="94" s="1"/>
  <c r="N120" i="94" s="1"/>
  <c r="N121" i="94" s="1"/>
  <c r="N122" i="94" s="1"/>
  <c r="N123" i="94" s="1"/>
  <c r="N124" i="94" s="1"/>
  <c r="N125" i="94" s="1"/>
  <c r="N126" i="94" s="1"/>
  <c r="N127" i="94" s="1"/>
  <c r="N128" i="94" s="1"/>
  <c r="N129" i="94" s="1"/>
  <c r="N130" i="94" s="1"/>
  <c r="N131" i="94" s="1"/>
  <c r="N132" i="94" s="1"/>
  <c r="N133" i="94" s="1"/>
  <c r="N134" i="94" s="1"/>
  <c r="N135" i="94" s="1"/>
  <c r="N136" i="94" s="1"/>
  <c r="N137" i="94" s="1"/>
  <c r="N138" i="94" s="1"/>
  <c r="N139" i="94" s="1"/>
  <c r="N140" i="94" s="1"/>
  <c r="N141" i="94" s="1"/>
  <c r="N142" i="94" s="1"/>
  <c r="N143" i="94" s="1"/>
  <c r="N144" i="94" s="1"/>
  <c r="N145" i="94" s="1"/>
  <c r="N146" i="94" s="1"/>
  <c r="N147" i="94" s="1"/>
  <c r="N148" i="94" s="1"/>
  <c r="N149" i="94" s="1"/>
  <c r="N150" i="94" s="1"/>
  <c r="N151" i="94" s="1"/>
  <c r="N152" i="94" s="1"/>
  <c r="N153" i="94" s="1"/>
  <c r="N154" i="94" s="1"/>
  <c r="N155" i="94" s="1"/>
  <c r="N156" i="94" s="1"/>
  <c r="N157" i="94" s="1"/>
  <c r="N158" i="94" s="1"/>
  <c r="N159" i="94" s="1"/>
  <c r="N160" i="94" s="1"/>
  <c r="N161" i="94" s="1"/>
  <c r="N162" i="94" s="1"/>
  <c r="N163" i="94" s="1"/>
  <c r="N164" i="94" s="1"/>
  <c r="N165" i="94" s="1"/>
  <c r="N166" i="94" s="1"/>
  <c r="N167" i="94" s="1"/>
  <c r="N168" i="94" s="1"/>
  <c r="N169" i="94" s="1"/>
  <c r="N170" i="94" s="1"/>
  <c r="N171" i="94" s="1"/>
  <c r="N172" i="94" s="1"/>
  <c r="N173" i="94" s="1"/>
  <c r="N174" i="94" s="1"/>
  <c r="N175" i="94" s="1"/>
  <c r="N176" i="94" s="1"/>
  <c r="N177" i="94" s="1"/>
  <c r="N178" i="94" s="1"/>
  <c r="N179" i="94" s="1"/>
  <c r="N180" i="94" s="1"/>
  <c r="N181" i="94" s="1"/>
  <c r="N182" i="94" s="1"/>
  <c r="N183" i="94" s="1"/>
  <c r="N184" i="94" s="1"/>
  <c r="N185" i="94" s="1"/>
  <c r="N186" i="94" s="1"/>
  <c r="N187" i="94" s="1"/>
  <c r="N188" i="94" s="1"/>
  <c r="N189" i="94" s="1"/>
  <c r="N190" i="94" s="1"/>
  <c r="N191" i="94" s="1"/>
  <c r="N192" i="94" s="1"/>
  <c r="N193" i="94" s="1"/>
  <c r="N194" i="94" s="1"/>
  <c r="N195" i="94" s="1"/>
  <c r="N196" i="94" s="1"/>
  <c r="N197" i="94" s="1"/>
  <c r="N198" i="94" s="1"/>
  <c r="N199" i="94" s="1"/>
  <c r="N200" i="94" s="1"/>
  <c r="N201" i="94" s="1"/>
  <c r="N202" i="94" s="1"/>
  <c r="N203" i="94" s="1"/>
  <c r="N204" i="94" s="1"/>
  <c r="N205" i="94" s="1"/>
  <c r="N206" i="94" s="1"/>
  <c r="N207" i="94" s="1"/>
  <c r="N208" i="94" s="1"/>
  <c r="N209" i="94" s="1"/>
  <c r="N210" i="94" s="1"/>
  <c r="N211" i="94" s="1"/>
  <c r="N212" i="94" s="1"/>
  <c r="N213" i="94" s="1"/>
  <c r="N214" i="94" s="1"/>
  <c r="N215" i="94" s="1"/>
  <c r="N216" i="94" s="1"/>
  <c r="N217" i="94" s="1"/>
  <c r="N218" i="94" s="1"/>
  <c r="N219" i="94" s="1"/>
  <c r="N220" i="94" s="1"/>
  <c r="N221" i="94" s="1"/>
  <c r="N222" i="94" s="1"/>
  <c r="N223" i="94" s="1"/>
  <c r="N224" i="94" s="1"/>
  <c r="N225" i="94" s="1"/>
  <c r="N226" i="94" s="1"/>
  <c r="N227" i="94" s="1"/>
  <c r="N228" i="94" s="1"/>
  <c r="N229" i="94" s="1"/>
  <c r="N230" i="94" s="1"/>
  <c r="N231" i="94" s="1"/>
  <c r="N232" i="94" s="1"/>
  <c r="N233" i="94" s="1"/>
  <c r="N234" i="94" s="1"/>
  <c r="N235" i="94" s="1"/>
  <c r="N236" i="94" s="1"/>
  <c r="N237" i="94" s="1"/>
  <c r="N238" i="94" s="1"/>
  <c r="N239" i="94" s="1"/>
  <c r="N240" i="94" s="1"/>
  <c r="N241" i="94" s="1"/>
  <c r="N242" i="94" s="1"/>
  <c r="N243" i="94" s="1"/>
  <c r="N244" i="94" s="1"/>
  <c r="N245" i="94" s="1"/>
  <c r="N246" i="94" s="1"/>
  <c r="N247" i="94" s="1"/>
  <c r="K4" i="93"/>
  <c r="O12" i="94" l="1"/>
  <c r="N248" i="94"/>
  <c r="N249" i="94" s="1"/>
  <c r="N250" i="94" s="1"/>
  <c r="N251" i="94" s="1"/>
  <c r="N252" i="94" s="1"/>
  <c r="N253" i="94" s="1"/>
  <c r="N254" i="94" s="1"/>
  <c r="N255" i="94" s="1"/>
  <c r="N256" i="94" s="1"/>
  <c r="N257" i="94" s="1"/>
  <c r="N258" i="94" s="1"/>
  <c r="N259" i="94" s="1"/>
  <c r="N260" i="94" s="1"/>
  <c r="N261" i="94" s="1"/>
  <c r="N262" i="94" s="1"/>
  <c r="N263" i="94" s="1"/>
  <c r="N264" i="94" s="1"/>
  <c r="N265" i="94" s="1"/>
  <c r="N266" i="94" s="1"/>
  <c r="N267" i="94" s="1"/>
  <c r="N268" i="94" s="1"/>
  <c r="N269" i="94" s="1"/>
  <c r="N270" i="94" s="1"/>
  <c r="N271" i="94" s="1"/>
  <c r="N272" i="94" s="1"/>
  <c r="N273" i="94" s="1"/>
  <c r="N274" i="94" s="1"/>
  <c r="N275" i="94" s="1"/>
  <c r="N276" i="94" s="1"/>
  <c r="N277" i="94" s="1"/>
  <c r="N278" i="94" s="1"/>
  <c r="N279" i="94" s="1"/>
  <c r="N280" i="94" s="1"/>
  <c r="N281" i="94" s="1"/>
  <c r="N282" i="94" s="1"/>
  <c r="N283" i="94" s="1"/>
  <c r="N284" i="94" s="1"/>
  <c r="N285" i="94" s="1"/>
  <c r="N286" i="94" s="1"/>
  <c r="N287" i="94" s="1"/>
  <c r="N288" i="94" s="1"/>
  <c r="N289" i="94" s="1"/>
  <c r="N290" i="94" s="1"/>
  <c r="N291" i="94" s="1"/>
  <c r="N292" i="94" s="1"/>
  <c r="N293" i="94" s="1"/>
  <c r="N294" i="94" s="1"/>
  <c r="N295" i="94" s="1"/>
  <c r="N296" i="94" s="1"/>
  <c r="N297" i="94" s="1"/>
  <c r="N298" i="94" s="1"/>
  <c r="N299" i="94" s="1"/>
  <c r="N300" i="94" s="1"/>
  <c r="N301" i="94" s="1"/>
  <c r="N302" i="94" s="1"/>
  <c r="N303" i="94" s="1"/>
  <c r="N304" i="94" s="1"/>
  <c r="N305" i="94" s="1"/>
  <c r="N306" i="94" s="1"/>
  <c r="N307" i="94" s="1"/>
  <c r="N308" i="94" s="1"/>
  <c r="N309" i="94" s="1"/>
  <c r="N310" i="94" s="1"/>
  <c r="N311" i="94" s="1"/>
  <c r="N312" i="94" s="1"/>
  <c r="N313" i="94" s="1"/>
  <c r="N314" i="94" s="1"/>
  <c r="N315" i="94" s="1"/>
  <c r="N316" i="94" s="1"/>
  <c r="N317" i="94" s="1"/>
  <c r="N318" i="94" s="1"/>
  <c r="N319" i="94" s="1"/>
  <c r="N320" i="94" s="1"/>
  <c r="N321" i="94" s="1"/>
  <c r="N322" i="94" s="1"/>
  <c r="N323" i="94" s="1"/>
  <c r="N324" i="94" s="1"/>
  <c r="N325" i="94" s="1"/>
  <c r="N326" i="94" s="1"/>
  <c r="N327" i="94" s="1"/>
  <c r="N328" i="94" s="1"/>
  <c r="N329" i="94" s="1"/>
  <c r="N330" i="94" s="1"/>
  <c r="N331" i="94" s="1"/>
  <c r="N332" i="94" s="1"/>
  <c r="N333" i="94" s="1"/>
  <c r="N334" i="94" s="1"/>
  <c r="N335" i="94" s="1"/>
  <c r="N336" i="94" s="1"/>
  <c r="N337" i="94" s="1"/>
  <c r="N338" i="94" s="1"/>
  <c r="K15" i="47"/>
  <c r="H15" i="47"/>
  <c r="I56" i="38" l="1"/>
  <c r="I55" i="38"/>
  <c r="I62" i="13" l="1"/>
  <c r="I59" i="13"/>
  <c r="I58" i="13"/>
  <c r="J97" i="59"/>
  <c r="I61" i="13" l="1"/>
  <c r="I60" i="13"/>
  <c r="G62" i="13"/>
  <c r="G59" i="13"/>
  <c r="G58" i="13"/>
  <c r="J100" i="59"/>
  <c r="J99" i="59"/>
  <c r="J98" i="59" l="1"/>
  <c r="H98" i="59"/>
  <c r="H97" i="59"/>
  <c r="H43" i="43" l="1"/>
  <c r="F43" i="43"/>
  <c r="K2" i="93"/>
  <c r="L8" i="93"/>
  <c r="L9" i="93"/>
  <c r="L15" i="93"/>
  <c r="L16" i="93"/>
  <c r="L17" i="93"/>
  <c r="L23" i="93"/>
  <c r="L32" i="93"/>
  <c r="L33" i="93"/>
  <c r="L40" i="93"/>
  <c r="L41" i="93"/>
  <c r="L47" i="93"/>
  <c r="L48" i="93"/>
  <c r="L49" i="93"/>
  <c r="L55" i="93"/>
  <c r="L64" i="93"/>
  <c r="L65" i="93"/>
  <c r="L72" i="93"/>
  <c r="L73" i="93"/>
  <c r="L79" i="93"/>
  <c r="L80" i="93"/>
  <c r="L81" i="93"/>
  <c r="L87" i="93"/>
  <c r="L96" i="93"/>
  <c r="L97" i="93"/>
  <c r="L104" i="93"/>
  <c r="L105" i="93"/>
  <c r="L111" i="93"/>
  <c r="L112" i="93"/>
  <c r="L113" i="93"/>
  <c r="L119" i="93"/>
  <c r="L128" i="93"/>
  <c r="L129" i="93"/>
  <c r="L136" i="93"/>
  <c r="L137" i="93"/>
  <c r="L143" i="93"/>
  <c r="L144" i="93"/>
  <c r="L145" i="93"/>
  <c r="L151" i="93"/>
  <c r="L160" i="93"/>
  <c r="L161" i="93"/>
  <c r="L168" i="93"/>
  <c r="L169" i="93"/>
  <c r="L175" i="93"/>
  <c r="L176" i="93"/>
  <c r="L177" i="93"/>
  <c r="L183" i="93"/>
  <c r="L192" i="93"/>
  <c r="L193" i="93"/>
  <c r="L200" i="93"/>
  <c r="L201" i="93"/>
  <c r="L207" i="93"/>
  <c r="L208" i="93"/>
  <c r="L209" i="93"/>
  <c r="L215" i="93"/>
  <c r="L224" i="93"/>
  <c r="L225" i="93"/>
  <c r="L232" i="93"/>
  <c r="L233" i="93"/>
  <c r="L329" i="93"/>
  <c r="H2" i="93"/>
  <c r="L24" i="93"/>
  <c r="L25" i="93"/>
  <c r="L56" i="93"/>
  <c r="L57" i="93"/>
  <c r="L88" i="93"/>
  <c r="L89" i="93"/>
  <c r="L120" i="93"/>
  <c r="L121" i="93"/>
  <c r="L152" i="93"/>
  <c r="L153" i="93"/>
  <c r="L184" i="93"/>
  <c r="L185" i="93"/>
  <c r="L216" i="93"/>
  <c r="L217" i="93"/>
  <c r="J240" i="93"/>
  <c r="J241" i="93"/>
  <c r="J248" i="93"/>
  <c r="L248" i="93" s="1"/>
  <c r="J256" i="93"/>
  <c r="L256" i="93" s="1"/>
  <c r="J257" i="93"/>
  <c r="J264" i="93"/>
  <c r="J265" i="93"/>
  <c r="J273" i="93"/>
  <c r="J280" i="93"/>
  <c r="J281" i="93"/>
  <c r="J288" i="93"/>
  <c r="L288" i="93" s="1"/>
  <c r="J289" i="93"/>
  <c r="L289" i="93" s="1"/>
  <c r="J297" i="93"/>
  <c r="J304" i="93"/>
  <c r="J305" i="93"/>
  <c r="J312" i="93"/>
  <c r="J320" i="93"/>
  <c r="J328" i="93"/>
  <c r="J336" i="93"/>
  <c r="L336" i="93" s="1"/>
  <c r="J337" i="93"/>
  <c r="L338" i="93"/>
  <c r="J338" i="93"/>
  <c r="J335" i="93"/>
  <c r="J334" i="93"/>
  <c r="L334" i="93" s="1"/>
  <c r="J333" i="93"/>
  <c r="L333" i="93" s="1"/>
  <c r="J332" i="93"/>
  <c r="L332" i="93" s="1"/>
  <c r="J331" i="93"/>
  <c r="L331" i="93" s="1"/>
  <c r="J330" i="93"/>
  <c r="L330" i="93" s="1"/>
  <c r="J329" i="93"/>
  <c r="J327" i="93"/>
  <c r="J326" i="93"/>
  <c r="L326" i="93" s="1"/>
  <c r="J325" i="93"/>
  <c r="L325" i="93" s="1"/>
  <c r="J324" i="93"/>
  <c r="L324" i="93" s="1"/>
  <c r="J323" i="93"/>
  <c r="L323" i="93" s="1"/>
  <c r="J322" i="93"/>
  <c r="L322" i="93" s="1"/>
  <c r="J319" i="93"/>
  <c r="J318" i="93"/>
  <c r="L318" i="93" s="1"/>
  <c r="J317" i="93"/>
  <c r="L317" i="93" s="1"/>
  <c r="J316" i="93"/>
  <c r="L316" i="93" s="1"/>
  <c r="L315" i="93"/>
  <c r="J315" i="93"/>
  <c r="J314" i="93"/>
  <c r="L314" i="93" s="1"/>
  <c r="J313" i="93"/>
  <c r="J311" i="93"/>
  <c r="J310" i="93"/>
  <c r="L310" i="93" s="1"/>
  <c r="J309" i="93"/>
  <c r="L309" i="93" s="1"/>
  <c r="J308" i="93"/>
  <c r="L308" i="93" s="1"/>
  <c r="J307" i="93"/>
  <c r="L307" i="93" s="1"/>
  <c r="J306" i="93"/>
  <c r="L306" i="93" s="1"/>
  <c r="J303" i="93"/>
  <c r="J302" i="93"/>
  <c r="L302" i="93" s="1"/>
  <c r="J301" i="93"/>
  <c r="L301" i="93" s="1"/>
  <c r="J300" i="93"/>
  <c r="L300" i="93" s="1"/>
  <c r="J299" i="93"/>
  <c r="L299" i="93" s="1"/>
  <c r="J298" i="93"/>
  <c r="L298" i="93" s="1"/>
  <c r="J296" i="93"/>
  <c r="J295" i="93"/>
  <c r="J294" i="93"/>
  <c r="L294" i="93" s="1"/>
  <c r="J293" i="93"/>
  <c r="L293" i="93" s="1"/>
  <c r="L292" i="93"/>
  <c r="J292" i="93"/>
  <c r="L291" i="93"/>
  <c r="J291" i="93"/>
  <c r="J290" i="93"/>
  <c r="L290" i="93" s="1"/>
  <c r="J287" i="93"/>
  <c r="J286" i="93"/>
  <c r="L286" i="93" s="1"/>
  <c r="J285" i="93"/>
  <c r="L285" i="93" s="1"/>
  <c r="J284" i="93"/>
  <c r="L284" i="93" s="1"/>
  <c r="J283" i="93"/>
  <c r="L283" i="93" s="1"/>
  <c r="J282" i="93"/>
  <c r="L282" i="93" s="1"/>
  <c r="J279" i="93"/>
  <c r="L279" i="93" s="1"/>
  <c r="J278" i="93"/>
  <c r="L278" i="93" s="1"/>
  <c r="J277" i="93"/>
  <c r="L277" i="93" s="1"/>
  <c r="J276" i="93"/>
  <c r="L276" i="93" s="1"/>
  <c r="J275" i="93"/>
  <c r="L275" i="93" s="1"/>
  <c r="J274" i="93"/>
  <c r="L274" i="93" s="1"/>
  <c r="J272" i="93"/>
  <c r="L272" i="93" s="1"/>
  <c r="J271" i="93"/>
  <c r="L271" i="93" s="1"/>
  <c r="J270" i="93"/>
  <c r="L270" i="93" s="1"/>
  <c r="J269" i="93"/>
  <c r="L269" i="93" s="1"/>
  <c r="J268" i="93"/>
  <c r="L268" i="93" s="1"/>
  <c r="J267" i="93"/>
  <c r="L267" i="93" s="1"/>
  <c r="J266" i="93"/>
  <c r="L266" i="93" s="1"/>
  <c r="J263" i="93"/>
  <c r="L263" i="93" s="1"/>
  <c r="J262" i="93"/>
  <c r="L262" i="93" s="1"/>
  <c r="J261" i="93"/>
  <c r="L261" i="93" s="1"/>
  <c r="J260" i="93"/>
  <c r="L260" i="93" s="1"/>
  <c r="J259" i="93"/>
  <c r="L259" i="93" s="1"/>
  <c r="J258" i="93"/>
  <c r="L258" i="93" s="1"/>
  <c r="J255" i="93"/>
  <c r="J254" i="93"/>
  <c r="L254" i="93" s="1"/>
  <c r="J253" i="93"/>
  <c r="L253" i="93" s="1"/>
  <c r="J252" i="93"/>
  <c r="L252" i="93" s="1"/>
  <c r="J251" i="93"/>
  <c r="L251" i="93" s="1"/>
  <c r="J250" i="93"/>
  <c r="L250" i="93" s="1"/>
  <c r="J249" i="93"/>
  <c r="J247" i="93"/>
  <c r="J246" i="93"/>
  <c r="L246" i="93" s="1"/>
  <c r="J245" i="93"/>
  <c r="L245" i="93" s="1"/>
  <c r="J244" i="93"/>
  <c r="L244" i="93" s="1"/>
  <c r="J243" i="93"/>
  <c r="L243" i="93" s="1"/>
  <c r="J242" i="93"/>
  <c r="L242" i="93" s="1"/>
  <c r="J239" i="93"/>
  <c r="J238" i="93"/>
  <c r="L238" i="93" s="1"/>
  <c r="L237" i="93"/>
  <c r="L236" i="93"/>
  <c r="L235" i="93"/>
  <c r="L234" i="93"/>
  <c r="L231" i="93"/>
  <c r="L230" i="93"/>
  <c r="L229" i="93"/>
  <c r="L228" i="93"/>
  <c r="L227" i="93"/>
  <c r="L226" i="93"/>
  <c r="L223" i="93"/>
  <c r="L222" i="93"/>
  <c r="L221" i="93"/>
  <c r="L220" i="93"/>
  <c r="L219" i="93"/>
  <c r="L218" i="93"/>
  <c r="L214" i="93"/>
  <c r="L213" i="93"/>
  <c r="L212" i="93"/>
  <c r="L211" i="93"/>
  <c r="L210" i="93"/>
  <c r="L206" i="93"/>
  <c r="L205" i="93"/>
  <c r="L204" i="93"/>
  <c r="L203" i="93"/>
  <c r="L202" i="93"/>
  <c r="L199" i="93"/>
  <c r="L198" i="93"/>
  <c r="L197" i="93"/>
  <c r="L196" i="93"/>
  <c r="L195" i="93"/>
  <c r="L194" i="93"/>
  <c r="L191" i="93"/>
  <c r="L190" i="93"/>
  <c r="L189" i="93"/>
  <c r="L188" i="93"/>
  <c r="L187" i="93"/>
  <c r="L186" i="93"/>
  <c r="L182" i="93"/>
  <c r="L181" i="93"/>
  <c r="L180" i="93"/>
  <c r="L179" i="93"/>
  <c r="L178" i="93"/>
  <c r="L174" i="93"/>
  <c r="L173" i="93"/>
  <c r="L172" i="93"/>
  <c r="L171" i="93"/>
  <c r="L170" i="93"/>
  <c r="L167" i="93"/>
  <c r="L166" i="93"/>
  <c r="L165" i="93"/>
  <c r="L164" i="93"/>
  <c r="L163" i="93"/>
  <c r="L162" i="93"/>
  <c r="L159" i="93"/>
  <c r="L158" i="93"/>
  <c r="L157" i="93"/>
  <c r="L156" i="93"/>
  <c r="L155" i="93"/>
  <c r="L154" i="93"/>
  <c r="L150" i="93"/>
  <c r="L149" i="93"/>
  <c r="L148" i="93"/>
  <c r="L147" i="93"/>
  <c r="L146" i="93"/>
  <c r="L142" i="93"/>
  <c r="L141" i="93"/>
  <c r="L140" i="93"/>
  <c r="L139" i="93"/>
  <c r="L138" i="93"/>
  <c r="L135" i="93"/>
  <c r="L134" i="93"/>
  <c r="L133" i="93"/>
  <c r="L132" i="93"/>
  <c r="L131" i="93"/>
  <c r="L130" i="93"/>
  <c r="L127" i="93"/>
  <c r="L126" i="93"/>
  <c r="L125" i="93"/>
  <c r="L124" i="93"/>
  <c r="L123" i="93"/>
  <c r="L122" i="93"/>
  <c r="L118" i="93"/>
  <c r="L117" i="93"/>
  <c r="L116" i="93"/>
  <c r="L115" i="93"/>
  <c r="L114" i="93"/>
  <c r="L110" i="93"/>
  <c r="L109" i="93"/>
  <c r="L108" i="93"/>
  <c r="L107" i="93"/>
  <c r="L106" i="93"/>
  <c r="L103" i="93"/>
  <c r="L102" i="93"/>
  <c r="L101" i="93"/>
  <c r="L100" i="93"/>
  <c r="L99" i="93"/>
  <c r="L98" i="93"/>
  <c r="L95" i="93"/>
  <c r="L94" i="93"/>
  <c r="L93" i="93"/>
  <c r="L92" i="93"/>
  <c r="L91" i="93"/>
  <c r="L90" i="93"/>
  <c r="L86" i="93"/>
  <c r="L85" i="93"/>
  <c r="L84" i="93"/>
  <c r="L83" i="93"/>
  <c r="L82" i="93"/>
  <c r="L78" i="93"/>
  <c r="L77" i="93"/>
  <c r="L76" i="93"/>
  <c r="L75" i="93"/>
  <c r="L74" i="93"/>
  <c r="L71" i="93"/>
  <c r="L70" i="93"/>
  <c r="L69" i="93"/>
  <c r="L68" i="93"/>
  <c r="L67" i="93"/>
  <c r="L66" i="93"/>
  <c r="L63" i="93"/>
  <c r="L62" i="93"/>
  <c r="L61" i="93"/>
  <c r="L60" i="93"/>
  <c r="L59" i="93"/>
  <c r="L58" i="93"/>
  <c r="L54" i="93"/>
  <c r="L53" i="93"/>
  <c r="L52" i="93"/>
  <c r="L51" i="93"/>
  <c r="L50" i="93"/>
  <c r="L46" i="93"/>
  <c r="L45" i="93"/>
  <c r="L44" i="93"/>
  <c r="L43" i="93"/>
  <c r="L42" i="93"/>
  <c r="L39" i="93"/>
  <c r="L38" i="93"/>
  <c r="L37" i="93"/>
  <c r="L36" i="93"/>
  <c r="L35" i="93"/>
  <c r="L34" i="93"/>
  <c r="L31" i="93"/>
  <c r="L30" i="93"/>
  <c r="L29" i="93"/>
  <c r="L28" i="93"/>
  <c r="L27" i="93"/>
  <c r="L26" i="93"/>
  <c r="L22" i="93"/>
  <c r="L21" i="93"/>
  <c r="L20" i="93"/>
  <c r="L19" i="93"/>
  <c r="L18" i="93"/>
  <c r="L14" i="93"/>
  <c r="L13" i="93"/>
  <c r="L12" i="93"/>
  <c r="L11" i="93"/>
  <c r="L10" i="93"/>
  <c r="L7" i="93"/>
  <c r="L6" i="93"/>
  <c r="L5" i="93"/>
  <c r="L4" i="93"/>
  <c r="L3" i="93"/>
  <c r="L2" i="93"/>
  <c r="J2" i="92"/>
  <c r="K87" i="92"/>
  <c r="K104" i="92"/>
  <c r="K226" i="92"/>
  <c r="G2" i="92"/>
  <c r="H8" i="92"/>
  <c r="H9" i="92"/>
  <c r="H17" i="92"/>
  <c r="H24" i="92"/>
  <c r="H25" i="92"/>
  <c r="H40" i="92"/>
  <c r="H41" i="92"/>
  <c r="H48" i="92"/>
  <c r="H49" i="92"/>
  <c r="H57" i="92"/>
  <c r="H64" i="92"/>
  <c r="H65" i="92"/>
  <c r="H72" i="92"/>
  <c r="H80" i="92"/>
  <c r="H81" i="92"/>
  <c r="H88" i="92"/>
  <c r="H89" i="92"/>
  <c r="H97" i="92"/>
  <c r="H105" i="92"/>
  <c r="H112" i="92"/>
  <c r="H121" i="92"/>
  <c r="H128" i="92"/>
  <c r="H137" i="92"/>
  <c r="H144" i="92"/>
  <c r="H152" i="92"/>
  <c r="H153" i="92"/>
  <c r="H160" i="92"/>
  <c r="H168" i="92"/>
  <c r="H169" i="92"/>
  <c r="H176" i="92"/>
  <c r="H177" i="92"/>
  <c r="H184" i="92"/>
  <c r="H185" i="92"/>
  <c r="H192" i="92"/>
  <c r="H193" i="92"/>
  <c r="H201" i="92"/>
  <c r="H208" i="92"/>
  <c r="H209" i="92"/>
  <c r="H216" i="92"/>
  <c r="H224" i="92"/>
  <c r="H225" i="92"/>
  <c r="H232" i="92"/>
  <c r="H233" i="92"/>
  <c r="I241" i="92"/>
  <c r="I249" i="92"/>
  <c r="I253" i="92"/>
  <c r="I257" i="92"/>
  <c r="I261" i="92"/>
  <c r="I265" i="92"/>
  <c r="I269" i="92"/>
  <c r="I273" i="92"/>
  <c r="I277" i="92"/>
  <c r="I281" i="92"/>
  <c r="I285" i="92"/>
  <c r="I289" i="92"/>
  <c r="I293" i="92"/>
  <c r="I297" i="92"/>
  <c r="I301" i="92"/>
  <c r="I305" i="92"/>
  <c r="I309" i="92"/>
  <c r="I313" i="92"/>
  <c r="I317" i="92"/>
  <c r="I321" i="92"/>
  <c r="I325" i="92"/>
  <c r="I329" i="92"/>
  <c r="I333" i="92"/>
  <c r="I337" i="92"/>
  <c r="I338" i="92"/>
  <c r="K338" i="92" s="1"/>
  <c r="I339" i="92"/>
  <c r="H339" i="92"/>
  <c r="H338" i="92"/>
  <c r="I335" i="92"/>
  <c r="K335" i="92" s="1"/>
  <c r="H335" i="92"/>
  <c r="K334" i="92"/>
  <c r="I334" i="92"/>
  <c r="H334" i="92"/>
  <c r="I332" i="92"/>
  <c r="H332" i="92"/>
  <c r="I331" i="92"/>
  <c r="H331" i="92"/>
  <c r="K331" i="92" s="1"/>
  <c r="H330" i="92"/>
  <c r="I327" i="92"/>
  <c r="H327" i="92"/>
  <c r="K326" i="92"/>
  <c r="I326" i="92"/>
  <c r="H326" i="92"/>
  <c r="I324" i="92"/>
  <c r="K324" i="92" s="1"/>
  <c r="H324" i="92"/>
  <c r="I323" i="92"/>
  <c r="H323" i="92"/>
  <c r="K323" i="92" s="1"/>
  <c r="H322" i="92"/>
  <c r="I319" i="92"/>
  <c r="H319" i="92"/>
  <c r="K318" i="92"/>
  <c r="I318" i="92"/>
  <c r="H318" i="92"/>
  <c r="I316" i="92"/>
  <c r="H316" i="92"/>
  <c r="I315" i="92"/>
  <c r="H315" i="92"/>
  <c r="K315" i="92" s="1"/>
  <c r="H314" i="92"/>
  <c r="I311" i="92"/>
  <c r="K311" i="92" s="1"/>
  <c r="H311" i="92"/>
  <c r="I310" i="92"/>
  <c r="H310" i="92"/>
  <c r="K310" i="92" s="1"/>
  <c r="I308" i="92"/>
  <c r="H308" i="92"/>
  <c r="I307" i="92"/>
  <c r="H307" i="92"/>
  <c r="K307" i="92" s="1"/>
  <c r="H306" i="92"/>
  <c r="I303" i="92"/>
  <c r="K303" i="92" s="1"/>
  <c r="H303" i="92"/>
  <c r="K302" i="92"/>
  <c r="I302" i="92"/>
  <c r="H302" i="92"/>
  <c r="I300" i="92"/>
  <c r="H300" i="92"/>
  <c r="I299" i="92"/>
  <c r="H299" i="92"/>
  <c r="K299" i="92" s="1"/>
  <c r="H298" i="92"/>
  <c r="I295" i="92"/>
  <c r="H295" i="92"/>
  <c r="K294" i="92"/>
  <c r="I294" i="92"/>
  <c r="H294" i="92"/>
  <c r="I292" i="92"/>
  <c r="H292" i="92"/>
  <c r="I291" i="92"/>
  <c r="H291" i="92"/>
  <c r="K291" i="92" s="1"/>
  <c r="H290" i="92"/>
  <c r="I287" i="92"/>
  <c r="H287" i="92"/>
  <c r="K286" i="92"/>
  <c r="I286" i="92"/>
  <c r="H286" i="92"/>
  <c r="I284" i="92"/>
  <c r="H284" i="92"/>
  <c r="I283" i="92"/>
  <c r="H283" i="92"/>
  <c r="K283" i="92" s="1"/>
  <c r="H282" i="92"/>
  <c r="I279" i="92"/>
  <c r="H279" i="92"/>
  <c r="I278" i="92"/>
  <c r="H278" i="92"/>
  <c r="K278" i="92" s="1"/>
  <c r="I276" i="92"/>
  <c r="H276" i="92"/>
  <c r="I275" i="92"/>
  <c r="H275" i="92"/>
  <c r="K275" i="92" s="1"/>
  <c r="H274" i="92"/>
  <c r="I271" i="92"/>
  <c r="K271" i="92" s="1"/>
  <c r="H271" i="92"/>
  <c r="K270" i="92"/>
  <c r="I270" i="92"/>
  <c r="H270" i="92"/>
  <c r="I268" i="92"/>
  <c r="H268" i="92"/>
  <c r="I267" i="92"/>
  <c r="H267" i="92"/>
  <c r="K267" i="92" s="1"/>
  <c r="I266" i="92"/>
  <c r="H266" i="92"/>
  <c r="I263" i="92"/>
  <c r="H263" i="92"/>
  <c r="I262" i="92"/>
  <c r="K262" i="92" s="1"/>
  <c r="H262" i="92"/>
  <c r="H261" i="92"/>
  <c r="I260" i="92"/>
  <c r="H260" i="92"/>
  <c r="I259" i="92"/>
  <c r="H259" i="92"/>
  <c r="K259" i="92" s="1"/>
  <c r="I258" i="92"/>
  <c r="H258" i="92"/>
  <c r="K258" i="92" s="1"/>
  <c r="I255" i="92"/>
  <c r="H255" i="92"/>
  <c r="I254" i="92"/>
  <c r="K254" i="92" s="1"/>
  <c r="H254" i="92"/>
  <c r="H253" i="92"/>
  <c r="I252" i="92"/>
  <c r="H252" i="92"/>
  <c r="I251" i="92"/>
  <c r="H251" i="92"/>
  <c r="K251" i="92" s="1"/>
  <c r="I250" i="92"/>
  <c r="H250" i="92"/>
  <c r="I247" i="92"/>
  <c r="H247" i="92"/>
  <c r="I246" i="92"/>
  <c r="K246" i="92" s="1"/>
  <c r="H246" i="92"/>
  <c r="I245" i="92"/>
  <c r="H245" i="92"/>
  <c r="K245" i="92" s="1"/>
  <c r="I244" i="92"/>
  <c r="H244" i="92"/>
  <c r="I243" i="92"/>
  <c r="H243" i="92"/>
  <c r="K243" i="92" s="1"/>
  <c r="I242" i="92"/>
  <c r="H242" i="92"/>
  <c r="I239" i="92"/>
  <c r="H239" i="92"/>
  <c r="H238" i="92"/>
  <c r="K238" i="92" s="1"/>
  <c r="H237" i="92"/>
  <c r="K236" i="92"/>
  <c r="H236" i="92"/>
  <c r="H235" i="92"/>
  <c r="K235" i="92" s="1"/>
  <c r="H234" i="92"/>
  <c r="H231" i="92"/>
  <c r="H230" i="92"/>
  <c r="K230" i="92" s="1"/>
  <c r="H229" i="92"/>
  <c r="K229" i="92" s="1"/>
  <c r="H228" i="92"/>
  <c r="K228" i="92" s="1"/>
  <c r="K227" i="92"/>
  <c r="H227" i="92"/>
  <c r="H226" i="92"/>
  <c r="H223" i="92"/>
  <c r="H222" i="92"/>
  <c r="K222" i="92" s="1"/>
  <c r="H221" i="92"/>
  <c r="K221" i="92" s="1"/>
  <c r="H220" i="92"/>
  <c r="K220" i="92" s="1"/>
  <c r="H219" i="92"/>
  <c r="K219" i="92" s="1"/>
  <c r="H218" i="92"/>
  <c r="K218" i="92" s="1"/>
  <c r="H217" i="92"/>
  <c r="H215" i="92"/>
  <c r="H214" i="92"/>
  <c r="K214" i="92" s="1"/>
  <c r="H213" i="92"/>
  <c r="K213" i="92" s="1"/>
  <c r="H212" i="92"/>
  <c r="K212" i="92" s="1"/>
  <c r="H211" i="92"/>
  <c r="K211" i="92" s="1"/>
  <c r="K210" i="92"/>
  <c r="H210" i="92"/>
  <c r="H207" i="92"/>
  <c r="K207" i="92" s="1"/>
  <c r="H206" i="92"/>
  <c r="K206" i="92" s="1"/>
  <c r="H205" i="92"/>
  <c r="K205" i="92" s="1"/>
  <c r="H204" i="92"/>
  <c r="K204" i="92" s="1"/>
  <c r="H203" i="92"/>
  <c r="K203" i="92" s="1"/>
  <c r="H202" i="92"/>
  <c r="K202" i="92" s="1"/>
  <c r="H200" i="92"/>
  <c r="H199" i="92"/>
  <c r="K199" i="92" s="1"/>
  <c r="H198" i="92"/>
  <c r="K198" i="92" s="1"/>
  <c r="K197" i="92"/>
  <c r="H197" i="92"/>
  <c r="H196" i="92"/>
  <c r="K196" i="92" s="1"/>
  <c r="H195" i="92"/>
  <c r="K195" i="92" s="1"/>
  <c r="H194" i="92"/>
  <c r="K194" i="92" s="1"/>
  <c r="H191" i="92"/>
  <c r="K191" i="92" s="1"/>
  <c r="H190" i="92"/>
  <c r="K190" i="92" s="1"/>
  <c r="H189" i="92"/>
  <c r="K189" i="92" s="1"/>
  <c r="H188" i="92"/>
  <c r="K188" i="92" s="1"/>
  <c r="H187" i="92"/>
  <c r="K187" i="92" s="1"/>
  <c r="H186" i="92"/>
  <c r="K186" i="92" s="1"/>
  <c r="H183" i="92"/>
  <c r="H182" i="92"/>
  <c r="K182" i="92" s="1"/>
  <c r="H181" i="92"/>
  <c r="K181" i="92" s="1"/>
  <c r="H180" i="92"/>
  <c r="K180" i="92" s="1"/>
  <c r="H179" i="92"/>
  <c r="K179" i="92" s="1"/>
  <c r="H178" i="92"/>
  <c r="K178" i="92" s="1"/>
  <c r="H175" i="92"/>
  <c r="H174" i="92"/>
  <c r="K174" i="92" s="1"/>
  <c r="H173" i="92"/>
  <c r="K173" i="92" s="1"/>
  <c r="H172" i="92"/>
  <c r="K172" i="92" s="1"/>
  <c r="K171" i="92"/>
  <c r="H171" i="92"/>
  <c r="H170" i="92"/>
  <c r="K170" i="92" s="1"/>
  <c r="H167" i="92"/>
  <c r="H166" i="92"/>
  <c r="K166" i="92" s="1"/>
  <c r="H165" i="92"/>
  <c r="K165" i="92" s="1"/>
  <c r="H164" i="92"/>
  <c r="K164" i="92" s="1"/>
  <c r="K163" i="92"/>
  <c r="H163" i="92"/>
  <c r="H162" i="92"/>
  <c r="K162" i="92" s="1"/>
  <c r="H161" i="92"/>
  <c r="H159" i="92"/>
  <c r="H158" i="92"/>
  <c r="K158" i="92" s="1"/>
  <c r="H157" i="92"/>
  <c r="K157" i="92" s="1"/>
  <c r="H156" i="92"/>
  <c r="K156" i="92" s="1"/>
  <c r="K155" i="92"/>
  <c r="H155" i="92"/>
  <c r="H154" i="92"/>
  <c r="K154" i="92" s="1"/>
  <c r="H151" i="92"/>
  <c r="K151" i="92" s="1"/>
  <c r="H150" i="92"/>
  <c r="K150" i="92" s="1"/>
  <c r="H149" i="92"/>
  <c r="K149" i="92" s="1"/>
  <c r="H148" i="92"/>
  <c r="K148" i="92" s="1"/>
  <c r="K147" i="92"/>
  <c r="H147" i="92"/>
  <c r="H146" i="92"/>
  <c r="K146" i="92" s="1"/>
  <c r="H145" i="92"/>
  <c r="H143" i="92"/>
  <c r="K143" i="92" s="1"/>
  <c r="H142" i="92"/>
  <c r="K142" i="92" s="1"/>
  <c r="H141" i="92"/>
  <c r="K141" i="92" s="1"/>
  <c r="H140" i="92"/>
  <c r="K140" i="92" s="1"/>
  <c r="K139" i="92"/>
  <c r="H139" i="92"/>
  <c r="H138" i="92"/>
  <c r="K138" i="92" s="1"/>
  <c r="H136" i="92"/>
  <c r="H135" i="92"/>
  <c r="K135" i="92" s="1"/>
  <c r="H134" i="92"/>
  <c r="K134" i="92" s="1"/>
  <c r="H133" i="92"/>
  <c r="K133" i="92" s="1"/>
  <c r="H132" i="92"/>
  <c r="K132" i="92" s="1"/>
  <c r="H131" i="92"/>
  <c r="K131" i="92" s="1"/>
  <c r="H130" i="92"/>
  <c r="K130" i="92" s="1"/>
  <c r="H129" i="92"/>
  <c r="H127" i="92"/>
  <c r="K127" i="92" s="1"/>
  <c r="H126" i="92"/>
  <c r="K126" i="92" s="1"/>
  <c r="H125" i="92"/>
  <c r="K125" i="92" s="1"/>
  <c r="H124" i="92"/>
  <c r="K124" i="92" s="1"/>
  <c r="K123" i="92"/>
  <c r="H123" i="92"/>
  <c r="H122" i="92"/>
  <c r="K122" i="92" s="1"/>
  <c r="H120" i="92"/>
  <c r="H119" i="92"/>
  <c r="K119" i="92" s="1"/>
  <c r="H118" i="92"/>
  <c r="K118" i="92" s="1"/>
  <c r="H117" i="92"/>
  <c r="K117" i="92" s="1"/>
  <c r="H116" i="92"/>
  <c r="K116" i="92" s="1"/>
  <c r="H115" i="92"/>
  <c r="K115" i="92" s="1"/>
  <c r="H114" i="92"/>
  <c r="K114" i="92" s="1"/>
  <c r="H113" i="92"/>
  <c r="H111" i="92"/>
  <c r="K111" i="92" s="1"/>
  <c r="H110" i="92"/>
  <c r="K110" i="92" s="1"/>
  <c r="H109" i="92"/>
  <c r="K109" i="92" s="1"/>
  <c r="H108" i="92"/>
  <c r="K108" i="92" s="1"/>
  <c r="K107" i="92"/>
  <c r="H107" i="92"/>
  <c r="H106" i="92"/>
  <c r="K106" i="92" s="1"/>
  <c r="H104" i="92"/>
  <c r="H103" i="92"/>
  <c r="K103" i="92" s="1"/>
  <c r="H102" i="92"/>
  <c r="K102" i="92" s="1"/>
  <c r="H101" i="92"/>
  <c r="K101" i="92" s="1"/>
  <c r="H100" i="92"/>
  <c r="K100" i="92" s="1"/>
  <c r="H99" i="92"/>
  <c r="K99" i="92" s="1"/>
  <c r="K98" i="92"/>
  <c r="H98" i="92"/>
  <c r="H96" i="92"/>
  <c r="K95" i="92"/>
  <c r="H95" i="92"/>
  <c r="H94" i="92"/>
  <c r="K94" i="92" s="1"/>
  <c r="H93" i="92"/>
  <c r="K93" i="92" s="1"/>
  <c r="H92" i="92"/>
  <c r="K92" i="92" s="1"/>
  <c r="H91" i="92"/>
  <c r="K91" i="92" s="1"/>
  <c r="H90" i="92"/>
  <c r="K90" i="92" s="1"/>
  <c r="H87" i="92"/>
  <c r="H86" i="92"/>
  <c r="K86" i="92" s="1"/>
  <c r="H85" i="92"/>
  <c r="K85" i="92" s="1"/>
  <c r="H84" i="92"/>
  <c r="K84" i="92" s="1"/>
  <c r="H83" i="92"/>
  <c r="K83" i="92" s="1"/>
  <c r="H82" i="92"/>
  <c r="K82" i="92" s="1"/>
  <c r="H79" i="92"/>
  <c r="H78" i="92"/>
  <c r="K78" i="92" s="1"/>
  <c r="H77" i="92"/>
  <c r="K77" i="92" s="1"/>
  <c r="H76" i="92"/>
  <c r="K76" i="92" s="1"/>
  <c r="H75" i="92"/>
  <c r="K75" i="92" s="1"/>
  <c r="H74" i="92"/>
  <c r="K74" i="92" s="1"/>
  <c r="H73" i="92"/>
  <c r="H71" i="92"/>
  <c r="H70" i="92"/>
  <c r="K70" i="92" s="1"/>
  <c r="H69" i="92"/>
  <c r="K69" i="92" s="1"/>
  <c r="H68" i="92"/>
  <c r="K68" i="92" s="1"/>
  <c r="H67" i="92"/>
  <c r="K67" i="92" s="1"/>
  <c r="H66" i="92"/>
  <c r="K66" i="92" s="1"/>
  <c r="H63" i="92"/>
  <c r="H62" i="92"/>
  <c r="K62" i="92" s="1"/>
  <c r="K61" i="92"/>
  <c r="H61" i="92"/>
  <c r="H60" i="92"/>
  <c r="K60" i="92" s="1"/>
  <c r="H59" i="92"/>
  <c r="K59" i="92" s="1"/>
  <c r="H58" i="92"/>
  <c r="K58" i="92" s="1"/>
  <c r="H56" i="92"/>
  <c r="H55" i="92"/>
  <c r="H54" i="92"/>
  <c r="K54" i="92" s="1"/>
  <c r="H53" i="92"/>
  <c r="K53" i="92" s="1"/>
  <c r="H52" i="92"/>
  <c r="K52" i="92" s="1"/>
  <c r="H51" i="92"/>
  <c r="K51" i="92" s="1"/>
  <c r="H50" i="92"/>
  <c r="K50" i="92" s="1"/>
  <c r="H47" i="92"/>
  <c r="K47" i="92" s="1"/>
  <c r="H46" i="92"/>
  <c r="K46" i="92" s="1"/>
  <c r="H45" i="92"/>
  <c r="K45" i="92" s="1"/>
  <c r="H44" i="92"/>
  <c r="K44" i="92" s="1"/>
  <c r="H43" i="92"/>
  <c r="K43" i="92" s="1"/>
  <c r="H42" i="92"/>
  <c r="K42" i="92" s="1"/>
  <c r="H39" i="92"/>
  <c r="K38" i="92"/>
  <c r="H38" i="92"/>
  <c r="H37" i="92"/>
  <c r="K37" i="92" s="1"/>
  <c r="H36" i="92"/>
  <c r="K36" i="92" s="1"/>
  <c r="H35" i="92"/>
  <c r="K35" i="92" s="1"/>
  <c r="H34" i="92"/>
  <c r="K34" i="92" s="1"/>
  <c r="H33" i="92"/>
  <c r="H32" i="92"/>
  <c r="H31" i="92"/>
  <c r="K31" i="92" s="1"/>
  <c r="H30" i="92"/>
  <c r="K30" i="92" s="1"/>
  <c r="H29" i="92"/>
  <c r="K29" i="92" s="1"/>
  <c r="H28" i="92"/>
  <c r="K28" i="92" s="1"/>
  <c r="H27" i="92"/>
  <c r="K27" i="92" s="1"/>
  <c r="H26" i="92"/>
  <c r="K26" i="92" s="1"/>
  <c r="H23" i="92"/>
  <c r="H22" i="92"/>
  <c r="K22" i="92" s="1"/>
  <c r="K21" i="92"/>
  <c r="H21" i="92"/>
  <c r="K20" i="92"/>
  <c r="H20" i="92"/>
  <c r="H19" i="92"/>
  <c r="K19" i="92" s="1"/>
  <c r="H18" i="92"/>
  <c r="K18" i="92" s="1"/>
  <c r="H16" i="92"/>
  <c r="H15" i="92"/>
  <c r="K14" i="92"/>
  <c r="H14" i="92"/>
  <c r="H13" i="92"/>
  <c r="K13" i="92" s="1"/>
  <c r="K12" i="92"/>
  <c r="H12" i="92"/>
  <c r="H11" i="92"/>
  <c r="K11" i="92" s="1"/>
  <c r="K10" i="92"/>
  <c r="H10" i="92"/>
  <c r="H7" i="92"/>
  <c r="K7" i="92" s="1"/>
  <c r="H6" i="92"/>
  <c r="K6" i="92" s="1"/>
  <c r="H5" i="92"/>
  <c r="K5" i="92" s="1"/>
  <c r="H4" i="92"/>
  <c r="K4" i="92" s="1"/>
  <c r="K3" i="92"/>
  <c r="H3" i="92"/>
  <c r="H2" i="92"/>
  <c r="L255" i="93" l="1"/>
  <c r="L320" i="93"/>
  <c r="L280" i="93"/>
  <c r="L240" i="93"/>
  <c r="L241" i="93"/>
  <c r="L247" i="93"/>
  <c r="L327" i="93"/>
  <c r="L335" i="93"/>
  <c r="L312" i="93"/>
  <c r="L273" i="93"/>
  <c r="L249" i="93"/>
  <c r="L311" i="93"/>
  <c r="L319" i="93"/>
  <c r="L305" i="93"/>
  <c r="L265" i="93"/>
  <c r="L281" i="93"/>
  <c r="L239" i="93"/>
  <c r="L287" i="93"/>
  <c r="L295" i="93"/>
  <c r="L303" i="93"/>
  <c r="L313" i="93"/>
  <c r="L304" i="93"/>
  <c r="L264" i="93"/>
  <c r="L328" i="93"/>
  <c r="L296" i="93"/>
  <c r="L337" i="93"/>
  <c r="L297" i="93"/>
  <c r="L257" i="93"/>
  <c r="J321" i="93"/>
  <c r="L321" i="93" s="1"/>
  <c r="N2" i="93"/>
  <c r="N3" i="93" s="1"/>
  <c r="N4" i="93" s="1"/>
  <c r="N5" i="93" s="1"/>
  <c r="N6" i="93" s="1"/>
  <c r="N7" i="93" s="1"/>
  <c r="N8" i="93" s="1"/>
  <c r="N9" i="93" s="1"/>
  <c r="N10" i="93" s="1"/>
  <c r="N11" i="93" s="1"/>
  <c r="N12" i="93" s="1"/>
  <c r="N13" i="93" s="1"/>
  <c r="N14" i="93" s="1"/>
  <c r="N15" i="93" s="1"/>
  <c r="N16" i="93" s="1"/>
  <c r="N17" i="93" s="1"/>
  <c r="N18" i="93" s="1"/>
  <c r="N19" i="93" s="1"/>
  <c r="N20" i="93" s="1"/>
  <c r="N21" i="93" s="1"/>
  <c r="N22" i="93" s="1"/>
  <c r="N23" i="93" s="1"/>
  <c r="N24" i="93" s="1"/>
  <c r="N25" i="93" s="1"/>
  <c r="N26" i="93" s="1"/>
  <c r="N27" i="93" s="1"/>
  <c r="N28" i="93" s="1"/>
  <c r="N29" i="93" s="1"/>
  <c r="N30" i="93" s="1"/>
  <c r="N31" i="93" s="1"/>
  <c r="N32" i="93" s="1"/>
  <c r="N33" i="93" s="1"/>
  <c r="N34" i="93" s="1"/>
  <c r="N35" i="93" s="1"/>
  <c r="N36" i="93" s="1"/>
  <c r="N37" i="93" s="1"/>
  <c r="N38" i="93" s="1"/>
  <c r="N39" i="93" s="1"/>
  <c r="N40" i="93" s="1"/>
  <c r="N41" i="93" s="1"/>
  <c r="N42" i="93" s="1"/>
  <c r="N43" i="93" s="1"/>
  <c r="N44" i="93" s="1"/>
  <c r="N45" i="93" s="1"/>
  <c r="N46" i="93" s="1"/>
  <c r="N47" i="93" s="1"/>
  <c r="N48" i="93" s="1"/>
  <c r="N49" i="93" s="1"/>
  <c r="N50" i="93" s="1"/>
  <c r="N51" i="93" s="1"/>
  <c r="N52" i="93" s="1"/>
  <c r="N53" i="93" s="1"/>
  <c r="N54" i="93" s="1"/>
  <c r="N55" i="93" s="1"/>
  <c r="N56" i="93" s="1"/>
  <c r="N57" i="93" s="1"/>
  <c r="N58" i="93" s="1"/>
  <c r="N59" i="93" s="1"/>
  <c r="N60" i="93" s="1"/>
  <c r="N61" i="93" s="1"/>
  <c r="N62" i="93" s="1"/>
  <c r="N63" i="93" s="1"/>
  <c r="N64" i="93" s="1"/>
  <c r="N65" i="93" s="1"/>
  <c r="N66" i="93" s="1"/>
  <c r="N67" i="93" s="1"/>
  <c r="N68" i="93" s="1"/>
  <c r="N69" i="93" s="1"/>
  <c r="N70" i="93" s="1"/>
  <c r="N71" i="93" s="1"/>
  <c r="N72" i="93" s="1"/>
  <c r="N73" i="93" s="1"/>
  <c r="N74" i="93" s="1"/>
  <c r="N75" i="93" s="1"/>
  <c r="N76" i="93" s="1"/>
  <c r="N77" i="93" s="1"/>
  <c r="N78" i="93" s="1"/>
  <c r="N79" i="93" s="1"/>
  <c r="N80" i="93" s="1"/>
  <c r="N81" i="93" s="1"/>
  <c r="N82" i="93" s="1"/>
  <c r="N83" i="93" s="1"/>
  <c r="N84" i="93" s="1"/>
  <c r="N85" i="93" s="1"/>
  <c r="N86" i="93" s="1"/>
  <c r="N87" i="93" s="1"/>
  <c r="N88" i="93" s="1"/>
  <c r="N89" i="93" s="1"/>
  <c r="N90" i="93" s="1"/>
  <c r="N91" i="93" s="1"/>
  <c r="N92" i="93" s="1"/>
  <c r="N93" i="93" s="1"/>
  <c r="N94" i="93" s="1"/>
  <c r="N95" i="93" s="1"/>
  <c r="N96" i="93" s="1"/>
  <c r="N97" i="93" s="1"/>
  <c r="N98" i="93" s="1"/>
  <c r="N99" i="93" s="1"/>
  <c r="N100" i="93" s="1"/>
  <c r="N101" i="93" s="1"/>
  <c r="N102" i="93" s="1"/>
  <c r="N103" i="93" s="1"/>
  <c r="N104" i="93" s="1"/>
  <c r="N105" i="93" s="1"/>
  <c r="N106" i="93" s="1"/>
  <c r="N107" i="93" s="1"/>
  <c r="N108" i="93" s="1"/>
  <c r="N109" i="93" s="1"/>
  <c r="N110" i="93" s="1"/>
  <c r="N111" i="93" s="1"/>
  <c r="N112" i="93" s="1"/>
  <c r="N113" i="93" s="1"/>
  <c r="N114" i="93" s="1"/>
  <c r="N115" i="93" s="1"/>
  <c r="N116" i="93" s="1"/>
  <c r="N117" i="93" s="1"/>
  <c r="N118" i="93" s="1"/>
  <c r="N119" i="93" s="1"/>
  <c r="N120" i="93" s="1"/>
  <c r="N121" i="93" s="1"/>
  <c r="N122" i="93" s="1"/>
  <c r="N123" i="93" s="1"/>
  <c r="N124" i="93" s="1"/>
  <c r="N125" i="93" s="1"/>
  <c r="N126" i="93" s="1"/>
  <c r="N127" i="93" s="1"/>
  <c r="N128" i="93" s="1"/>
  <c r="N129" i="93" s="1"/>
  <c r="N130" i="93" s="1"/>
  <c r="N131" i="93" s="1"/>
  <c r="N132" i="93" s="1"/>
  <c r="N133" i="93" s="1"/>
  <c r="N134" i="93" s="1"/>
  <c r="N135" i="93" s="1"/>
  <c r="N136" i="93" s="1"/>
  <c r="N137" i="93" s="1"/>
  <c r="N138" i="93" s="1"/>
  <c r="N139" i="93" s="1"/>
  <c r="N140" i="93" s="1"/>
  <c r="N141" i="93" s="1"/>
  <c r="N142" i="93" s="1"/>
  <c r="N143" i="93" s="1"/>
  <c r="N144" i="93" s="1"/>
  <c r="N145" i="93" s="1"/>
  <c r="N146" i="93" s="1"/>
  <c r="N147" i="93" s="1"/>
  <c r="N148" i="93" s="1"/>
  <c r="N149" i="93" s="1"/>
  <c r="N150" i="93" s="1"/>
  <c r="N151" i="93" s="1"/>
  <c r="N152" i="93" s="1"/>
  <c r="N153" i="93" s="1"/>
  <c r="N154" i="93" s="1"/>
  <c r="N155" i="93" s="1"/>
  <c r="N156" i="93" s="1"/>
  <c r="N157" i="93" s="1"/>
  <c r="N158" i="93" s="1"/>
  <c r="N159" i="93" s="1"/>
  <c r="N160" i="93" s="1"/>
  <c r="N161" i="93" s="1"/>
  <c r="N162" i="93" s="1"/>
  <c r="N163" i="93" s="1"/>
  <c r="N164" i="93" s="1"/>
  <c r="N165" i="93" s="1"/>
  <c r="N166" i="93" s="1"/>
  <c r="N167" i="93" s="1"/>
  <c r="N168" i="93" s="1"/>
  <c r="N169" i="93" s="1"/>
  <c r="N170" i="93" s="1"/>
  <c r="N171" i="93" s="1"/>
  <c r="N172" i="93" s="1"/>
  <c r="N173" i="93" s="1"/>
  <c r="N174" i="93" s="1"/>
  <c r="N175" i="93" s="1"/>
  <c r="N176" i="93" s="1"/>
  <c r="N177" i="93" s="1"/>
  <c r="N178" i="93" s="1"/>
  <c r="N179" i="93" s="1"/>
  <c r="N180" i="93" s="1"/>
  <c r="N181" i="93" s="1"/>
  <c r="N182" i="93" s="1"/>
  <c r="N183" i="93" s="1"/>
  <c r="N184" i="93" s="1"/>
  <c r="N185" i="93" s="1"/>
  <c r="N186" i="93" s="1"/>
  <c r="N187" i="93" s="1"/>
  <c r="N188" i="93" s="1"/>
  <c r="N189" i="93" s="1"/>
  <c r="N190" i="93" s="1"/>
  <c r="N191" i="93" s="1"/>
  <c r="N192" i="93" s="1"/>
  <c r="N193" i="93" s="1"/>
  <c r="N194" i="93" s="1"/>
  <c r="N195" i="93" s="1"/>
  <c r="N196" i="93" s="1"/>
  <c r="N197" i="93" s="1"/>
  <c r="N198" i="93" s="1"/>
  <c r="N199" i="93" s="1"/>
  <c r="N200" i="93" s="1"/>
  <c r="N201" i="93" s="1"/>
  <c r="N202" i="93" s="1"/>
  <c r="N203" i="93" s="1"/>
  <c r="N204" i="93" s="1"/>
  <c r="N205" i="93" s="1"/>
  <c r="N206" i="93" s="1"/>
  <c r="N207" i="93" s="1"/>
  <c r="N208" i="93" s="1"/>
  <c r="N209" i="93" s="1"/>
  <c r="N210" i="93" s="1"/>
  <c r="N211" i="93" s="1"/>
  <c r="N212" i="93" s="1"/>
  <c r="N213" i="93" s="1"/>
  <c r="N214" i="93" s="1"/>
  <c r="N215" i="93" s="1"/>
  <c r="N216" i="93" s="1"/>
  <c r="N217" i="93" s="1"/>
  <c r="N218" i="93" s="1"/>
  <c r="N219" i="93" s="1"/>
  <c r="N220" i="93" s="1"/>
  <c r="N221" i="93" s="1"/>
  <c r="N222" i="93" s="1"/>
  <c r="N223" i="93" s="1"/>
  <c r="N224" i="93" s="1"/>
  <c r="N225" i="93" s="1"/>
  <c r="N226" i="93" s="1"/>
  <c r="N227" i="93" s="1"/>
  <c r="N228" i="93" s="1"/>
  <c r="N229" i="93" s="1"/>
  <c r="N230" i="93" s="1"/>
  <c r="N231" i="93" s="1"/>
  <c r="N232" i="93" s="1"/>
  <c r="N233" i="93" s="1"/>
  <c r="N234" i="93" s="1"/>
  <c r="N235" i="93" s="1"/>
  <c r="N236" i="93" s="1"/>
  <c r="N237" i="93" s="1"/>
  <c r="N238" i="93" s="1"/>
  <c r="N239" i="93" s="1"/>
  <c r="N240" i="93" s="1"/>
  <c r="N241" i="93" s="1"/>
  <c r="N242" i="93" s="1"/>
  <c r="N243" i="93" s="1"/>
  <c r="N244" i="93" s="1"/>
  <c r="N245" i="93" s="1"/>
  <c r="N246" i="93" s="1"/>
  <c r="N247" i="93" s="1"/>
  <c r="N248" i="93" s="1"/>
  <c r="N249" i="93" s="1"/>
  <c r="N250" i="93" s="1"/>
  <c r="N251" i="93" s="1"/>
  <c r="N252" i="93" s="1"/>
  <c r="N253" i="93" s="1"/>
  <c r="N254" i="93" s="1"/>
  <c r="N255" i="93" s="1"/>
  <c r="N256" i="93" s="1"/>
  <c r="N257" i="93" s="1"/>
  <c r="N258" i="93" s="1"/>
  <c r="N259" i="93" s="1"/>
  <c r="N260" i="93" s="1"/>
  <c r="N261" i="93" s="1"/>
  <c r="N262" i="93" s="1"/>
  <c r="N263" i="93" s="1"/>
  <c r="N264" i="93" s="1"/>
  <c r="N265" i="93" s="1"/>
  <c r="N266" i="93" s="1"/>
  <c r="N267" i="93" s="1"/>
  <c r="N268" i="93" s="1"/>
  <c r="N269" i="93" s="1"/>
  <c r="N270" i="93" s="1"/>
  <c r="N271" i="93" s="1"/>
  <c r="N272" i="93" s="1"/>
  <c r="N273" i="93" s="1"/>
  <c r="N274" i="93" s="1"/>
  <c r="N275" i="93" s="1"/>
  <c r="N276" i="93" s="1"/>
  <c r="N277" i="93" s="1"/>
  <c r="N278" i="93" s="1"/>
  <c r="N279" i="93" s="1"/>
  <c r="N280" i="93" s="1"/>
  <c r="N281" i="93" s="1"/>
  <c r="N282" i="93" s="1"/>
  <c r="N283" i="93" s="1"/>
  <c r="N284" i="93" s="1"/>
  <c r="N285" i="93" s="1"/>
  <c r="N286" i="93" s="1"/>
  <c r="N287" i="93" s="1"/>
  <c r="N288" i="93" s="1"/>
  <c r="N289" i="93" s="1"/>
  <c r="N290" i="93" s="1"/>
  <c r="N291" i="93" s="1"/>
  <c r="N292" i="93" s="1"/>
  <c r="N293" i="93" s="1"/>
  <c r="N294" i="93" s="1"/>
  <c r="N295" i="93" s="1"/>
  <c r="N296" i="93" s="1"/>
  <c r="N297" i="93" s="1"/>
  <c r="N298" i="93" s="1"/>
  <c r="N299" i="93" s="1"/>
  <c r="N300" i="93" s="1"/>
  <c r="N301" i="93" s="1"/>
  <c r="N302" i="93" s="1"/>
  <c r="N303" i="93" s="1"/>
  <c r="N304" i="93" s="1"/>
  <c r="N305" i="93" s="1"/>
  <c r="N306" i="93" s="1"/>
  <c r="N307" i="93" s="1"/>
  <c r="N308" i="93" s="1"/>
  <c r="N309" i="93" s="1"/>
  <c r="N310" i="93" s="1"/>
  <c r="N311" i="93" s="1"/>
  <c r="N312" i="93" s="1"/>
  <c r="N313" i="93" s="1"/>
  <c r="N314" i="93" s="1"/>
  <c r="N315" i="93" s="1"/>
  <c r="N316" i="93" s="1"/>
  <c r="N317" i="93" s="1"/>
  <c r="N318" i="93" s="1"/>
  <c r="N319" i="93" s="1"/>
  <c r="N320" i="93" s="1"/>
  <c r="K15" i="92"/>
  <c r="K39" i="92"/>
  <c r="K279" i="92"/>
  <c r="K72" i="92"/>
  <c r="K25" i="92"/>
  <c r="K23" i="92"/>
  <c r="K79" i="92"/>
  <c r="K183" i="92"/>
  <c r="K319" i="92"/>
  <c r="K201" i="92"/>
  <c r="K168" i="92"/>
  <c r="K112" i="92"/>
  <c r="K24" i="92"/>
  <c r="K71" i="92"/>
  <c r="K231" i="92"/>
  <c r="K287" i="92"/>
  <c r="K160" i="92"/>
  <c r="K16" i="92"/>
  <c r="K175" i="92"/>
  <c r="K223" i="92"/>
  <c r="K327" i="92"/>
  <c r="K55" i="92"/>
  <c r="K63" i="92"/>
  <c r="K159" i="92"/>
  <c r="K167" i="92"/>
  <c r="K215" i="92"/>
  <c r="K295" i="92"/>
  <c r="K234" i="92"/>
  <c r="K232" i="92"/>
  <c r="K192" i="92"/>
  <c r="K153" i="92"/>
  <c r="K64" i="92"/>
  <c r="K17" i="92"/>
  <c r="K65" i="92"/>
  <c r="K56" i="92"/>
  <c r="K161" i="92"/>
  <c r="K217" i="92"/>
  <c r="K225" i="92"/>
  <c r="K185" i="92"/>
  <c r="K152" i="92"/>
  <c r="K97" i="92"/>
  <c r="K57" i="92"/>
  <c r="K9" i="92"/>
  <c r="K193" i="92"/>
  <c r="K136" i="92"/>
  <c r="K145" i="92"/>
  <c r="K224" i="92"/>
  <c r="K184" i="92"/>
  <c r="K144" i="92"/>
  <c r="K89" i="92"/>
  <c r="K49" i="92"/>
  <c r="K8" i="92"/>
  <c r="K120" i="92"/>
  <c r="K129" i="92"/>
  <c r="K200" i="92"/>
  <c r="K266" i="92"/>
  <c r="K216" i="92"/>
  <c r="K177" i="92"/>
  <c r="K137" i="92"/>
  <c r="K88" i="92"/>
  <c r="K48" i="92"/>
  <c r="K73" i="92"/>
  <c r="K233" i="92"/>
  <c r="K105" i="92"/>
  <c r="K32" i="92"/>
  <c r="K96" i="92"/>
  <c r="K113" i="92"/>
  <c r="K237" i="92"/>
  <c r="K209" i="92"/>
  <c r="K176" i="92"/>
  <c r="K128" i="92"/>
  <c r="K81" i="92"/>
  <c r="K41" i="92"/>
  <c r="K33" i="92"/>
  <c r="K208" i="92"/>
  <c r="K169" i="92"/>
  <c r="K121" i="92"/>
  <c r="K80" i="92"/>
  <c r="K40" i="92"/>
  <c r="K239" i="92"/>
  <c r="K250" i="92"/>
  <c r="K260" i="92"/>
  <c r="K284" i="92"/>
  <c r="K316" i="92"/>
  <c r="K242" i="92"/>
  <c r="K255" i="92"/>
  <c r="K292" i="92"/>
  <c r="K261" i="92"/>
  <c r="K252" i="92"/>
  <c r="K268" i="92"/>
  <c r="K300" i="92"/>
  <c r="K332" i="92"/>
  <c r="K339" i="92"/>
  <c r="K253" i="92"/>
  <c r="K244" i="92"/>
  <c r="K247" i="92"/>
  <c r="K263" i="92"/>
  <c r="K276" i="92"/>
  <c r="K308" i="92"/>
  <c r="K269" i="92"/>
  <c r="K282" i="92"/>
  <c r="H269" i="92"/>
  <c r="I274" i="92"/>
  <c r="K274" i="92" s="1"/>
  <c r="H277" i="92"/>
  <c r="K277" i="92" s="1"/>
  <c r="I282" i="92"/>
  <c r="H285" i="92"/>
  <c r="K285" i="92" s="1"/>
  <c r="I290" i="92"/>
  <c r="K290" i="92" s="1"/>
  <c r="H293" i="92"/>
  <c r="K293" i="92" s="1"/>
  <c r="I298" i="92"/>
  <c r="K298" i="92" s="1"/>
  <c r="H301" i="92"/>
  <c r="K301" i="92" s="1"/>
  <c r="I306" i="92"/>
  <c r="K306" i="92" s="1"/>
  <c r="H309" i="92"/>
  <c r="K309" i="92" s="1"/>
  <c r="I314" i="92"/>
  <c r="K314" i="92" s="1"/>
  <c r="H317" i="92"/>
  <c r="K317" i="92" s="1"/>
  <c r="I322" i="92"/>
  <c r="K322" i="92" s="1"/>
  <c r="H325" i="92"/>
  <c r="K325" i="92" s="1"/>
  <c r="I330" i="92"/>
  <c r="K330" i="92" s="1"/>
  <c r="H333" i="92"/>
  <c r="K333" i="92" s="1"/>
  <c r="H240" i="92"/>
  <c r="O13" i="92" s="1"/>
  <c r="H248" i="92"/>
  <c r="K248" i="92" s="1"/>
  <c r="H256" i="92"/>
  <c r="H264" i="92"/>
  <c r="H272" i="92"/>
  <c r="H280" i="92"/>
  <c r="H288" i="92"/>
  <c r="H296" i="92"/>
  <c r="H304" i="92"/>
  <c r="H312" i="92"/>
  <c r="H320" i="92"/>
  <c r="H328" i="92"/>
  <c r="H336" i="92"/>
  <c r="I240" i="92"/>
  <c r="I248" i="92"/>
  <c r="I256" i="92"/>
  <c r="K256" i="92" s="1"/>
  <c r="I264" i="92"/>
  <c r="K264" i="92" s="1"/>
  <c r="I272" i="92"/>
  <c r="K272" i="92" s="1"/>
  <c r="I280" i="92"/>
  <c r="I288" i="92"/>
  <c r="K288" i="92" s="1"/>
  <c r="I296" i="92"/>
  <c r="K296" i="92" s="1"/>
  <c r="I304" i="92"/>
  <c r="I312" i="92"/>
  <c r="K312" i="92" s="1"/>
  <c r="I320" i="92"/>
  <c r="K320" i="92" s="1"/>
  <c r="I328" i="92"/>
  <c r="K328" i="92" s="1"/>
  <c r="I336" i="92"/>
  <c r="K336" i="92" s="1"/>
  <c r="K2" i="92"/>
  <c r="M2" i="92" s="1"/>
  <c r="M3" i="92" s="1"/>
  <c r="M4" i="92" s="1"/>
  <c r="M5" i="92" s="1"/>
  <c r="M6" i="92" s="1"/>
  <c r="M7" i="92" s="1"/>
  <c r="H241" i="92"/>
  <c r="K241" i="92" s="1"/>
  <c r="H249" i="92"/>
  <c r="K249" i="92" s="1"/>
  <c r="H257" i="92"/>
  <c r="K257" i="92" s="1"/>
  <c r="H265" i="92"/>
  <c r="K265" i="92" s="1"/>
  <c r="H273" i="92"/>
  <c r="K273" i="92" s="1"/>
  <c r="H281" i="92"/>
  <c r="K281" i="92" s="1"/>
  <c r="H289" i="92"/>
  <c r="K289" i="92" s="1"/>
  <c r="H297" i="92"/>
  <c r="K297" i="92" s="1"/>
  <c r="H305" i="92"/>
  <c r="K305" i="92" s="1"/>
  <c r="H313" i="92"/>
  <c r="K313" i="92" s="1"/>
  <c r="H321" i="92"/>
  <c r="K321" i="92" s="1"/>
  <c r="H329" i="92"/>
  <c r="K329" i="92" s="1"/>
  <c r="H337" i="92"/>
  <c r="K337" i="92" s="1"/>
  <c r="O12" i="93" l="1"/>
  <c r="N321" i="93"/>
  <c r="N322" i="93" s="1"/>
  <c r="N323" i="93" s="1"/>
  <c r="N324" i="93" s="1"/>
  <c r="N325" i="93" s="1"/>
  <c r="N326" i="93" s="1"/>
  <c r="N327" i="93" s="1"/>
  <c r="N328" i="93" s="1"/>
  <c r="N329" i="93" s="1"/>
  <c r="N330" i="93" s="1"/>
  <c r="N331" i="93" s="1"/>
  <c r="N332" i="93" s="1"/>
  <c r="N333" i="93" s="1"/>
  <c r="N334" i="93" s="1"/>
  <c r="N335" i="93" s="1"/>
  <c r="N336" i="93" s="1"/>
  <c r="N337" i="93" s="1"/>
  <c r="N338" i="93" s="1"/>
  <c r="M8" i="92"/>
  <c r="M9" i="92" s="1"/>
  <c r="M10" i="92" s="1"/>
  <c r="M11" i="92" s="1"/>
  <c r="M12" i="92" s="1"/>
  <c r="M13" i="92" s="1"/>
  <c r="M14" i="92" s="1"/>
  <c r="M15" i="92" s="1"/>
  <c r="M16" i="92" s="1"/>
  <c r="M17" i="92" s="1"/>
  <c r="M18" i="92" s="1"/>
  <c r="M19" i="92" s="1"/>
  <c r="M20" i="92" s="1"/>
  <c r="M21" i="92" s="1"/>
  <c r="M22" i="92" s="1"/>
  <c r="M23" i="92" s="1"/>
  <c r="M24" i="92" s="1"/>
  <c r="M25" i="92" s="1"/>
  <c r="M26" i="92" s="1"/>
  <c r="M27" i="92" s="1"/>
  <c r="M28" i="92" s="1"/>
  <c r="M29" i="92" s="1"/>
  <c r="M30" i="92" s="1"/>
  <c r="M31" i="92" s="1"/>
  <c r="M32" i="92" s="1"/>
  <c r="M33" i="92" s="1"/>
  <c r="M34" i="92" s="1"/>
  <c r="M35" i="92" s="1"/>
  <c r="M36" i="92" s="1"/>
  <c r="M37" i="92" s="1"/>
  <c r="M38" i="92" s="1"/>
  <c r="M39" i="92" s="1"/>
  <c r="M40" i="92" s="1"/>
  <c r="M41" i="92" s="1"/>
  <c r="M42" i="92" s="1"/>
  <c r="M43" i="92" s="1"/>
  <c r="M44" i="92" s="1"/>
  <c r="M45" i="92" s="1"/>
  <c r="M46" i="92" s="1"/>
  <c r="M47" i="92" s="1"/>
  <c r="M48" i="92" s="1"/>
  <c r="M49" i="92" s="1"/>
  <c r="M50" i="92" s="1"/>
  <c r="M51" i="92" s="1"/>
  <c r="M52" i="92" s="1"/>
  <c r="M53" i="92" s="1"/>
  <c r="M54" i="92" s="1"/>
  <c r="M55" i="92" s="1"/>
  <c r="M56" i="92" s="1"/>
  <c r="M57" i="92" s="1"/>
  <c r="M58" i="92" s="1"/>
  <c r="M59" i="92" s="1"/>
  <c r="M60" i="92" s="1"/>
  <c r="M61" i="92" s="1"/>
  <c r="M62" i="92" s="1"/>
  <c r="M63" i="92" s="1"/>
  <c r="M64" i="92" s="1"/>
  <c r="M65" i="92" s="1"/>
  <c r="M66" i="92" s="1"/>
  <c r="M67" i="92" s="1"/>
  <c r="M68" i="92" s="1"/>
  <c r="M69" i="92" s="1"/>
  <c r="M70" i="92" s="1"/>
  <c r="M71" i="92" s="1"/>
  <c r="M72" i="92" s="1"/>
  <c r="M73" i="92" s="1"/>
  <c r="M74" i="92" s="1"/>
  <c r="M75" i="92" s="1"/>
  <c r="M76" i="92" s="1"/>
  <c r="M77" i="92" s="1"/>
  <c r="M78" i="92" s="1"/>
  <c r="M79" i="92" s="1"/>
  <c r="M80" i="92" s="1"/>
  <c r="M81" i="92" s="1"/>
  <c r="M82" i="92" s="1"/>
  <c r="M83" i="92" s="1"/>
  <c r="M84" i="92" s="1"/>
  <c r="M85" i="92" s="1"/>
  <c r="M86" i="92" s="1"/>
  <c r="M87" i="92" s="1"/>
  <c r="M88" i="92" s="1"/>
  <c r="M89" i="92" s="1"/>
  <c r="M90" i="92" s="1"/>
  <c r="M91" i="92" s="1"/>
  <c r="M92" i="92" s="1"/>
  <c r="M93" i="92" s="1"/>
  <c r="M94" i="92" s="1"/>
  <c r="M95" i="92" s="1"/>
  <c r="M96" i="92" s="1"/>
  <c r="M97" i="92" s="1"/>
  <c r="M98" i="92" s="1"/>
  <c r="M99" i="92" s="1"/>
  <c r="M100" i="92" s="1"/>
  <c r="M101" i="92" s="1"/>
  <c r="M102" i="92" s="1"/>
  <c r="M103" i="92" s="1"/>
  <c r="M104" i="92" s="1"/>
  <c r="M105" i="92" s="1"/>
  <c r="M106" i="92" s="1"/>
  <c r="M107" i="92" s="1"/>
  <c r="M108" i="92" s="1"/>
  <c r="M109" i="92" s="1"/>
  <c r="M110" i="92" s="1"/>
  <c r="M111" i="92" s="1"/>
  <c r="M112" i="92" s="1"/>
  <c r="M113" i="92" s="1"/>
  <c r="M114" i="92" s="1"/>
  <c r="M115" i="92" s="1"/>
  <c r="M116" i="92" s="1"/>
  <c r="M117" i="92" s="1"/>
  <c r="M118" i="92" s="1"/>
  <c r="M119" i="92" s="1"/>
  <c r="M120" i="92" s="1"/>
  <c r="M121" i="92" s="1"/>
  <c r="M122" i="92" s="1"/>
  <c r="M123" i="92" s="1"/>
  <c r="M124" i="92" s="1"/>
  <c r="M125" i="92" s="1"/>
  <c r="M126" i="92" s="1"/>
  <c r="M127" i="92" s="1"/>
  <c r="M128" i="92" s="1"/>
  <c r="M129" i="92" s="1"/>
  <c r="M130" i="92" s="1"/>
  <c r="M131" i="92" s="1"/>
  <c r="M132" i="92" s="1"/>
  <c r="M133" i="92" s="1"/>
  <c r="M134" i="92" s="1"/>
  <c r="M135" i="92" s="1"/>
  <c r="M136" i="92" s="1"/>
  <c r="M137" i="92" s="1"/>
  <c r="M138" i="92" s="1"/>
  <c r="M139" i="92" s="1"/>
  <c r="M140" i="92" s="1"/>
  <c r="M141" i="92" s="1"/>
  <c r="M142" i="92" s="1"/>
  <c r="M143" i="92" s="1"/>
  <c r="M144" i="92" s="1"/>
  <c r="M145" i="92" s="1"/>
  <c r="M146" i="92" s="1"/>
  <c r="M147" i="92" s="1"/>
  <c r="M148" i="92" s="1"/>
  <c r="M149" i="92" s="1"/>
  <c r="M150" i="92" s="1"/>
  <c r="M151" i="92" s="1"/>
  <c r="M152" i="92" s="1"/>
  <c r="M153" i="92" s="1"/>
  <c r="M154" i="92" s="1"/>
  <c r="M155" i="92" s="1"/>
  <c r="M156" i="92" s="1"/>
  <c r="M157" i="92" s="1"/>
  <c r="M158" i="92" s="1"/>
  <c r="M159" i="92" s="1"/>
  <c r="M160" i="92" s="1"/>
  <c r="M161" i="92" s="1"/>
  <c r="M162" i="92" s="1"/>
  <c r="M163" i="92" s="1"/>
  <c r="M164" i="92" s="1"/>
  <c r="M165" i="92" s="1"/>
  <c r="M166" i="92" s="1"/>
  <c r="M167" i="92" s="1"/>
  <c r="M168" i="92" s="1"/>
  <c r="M169" i="92" s="1"/>
  <c r="M170" i="92" s="1"/>
  <c r="M171" i="92" s="1"/>
  <c r="M172" i="92" s="1"/>
  <c r="M173" i="92" s="1"/>
  <c r="M174" i="92" s="1"/>
  <c r="M175" i="92" s="1"/>
  <c r="M176" i="92" s="1"/>
  <c r="M177" i="92" s="1"/>
  <c r="M178" i="92" s="1"/>
  <c r="M179" i="92" s="1"/>
  <c r="M180" i="92" s="1"/>
  <c r="M181" i="92" s="1"/>
  <c r="M182" i="92" s="1"/>
  <c r="M183" i="92" s="1"/>
  <c r="M184" i="92" s="1"/>
  <c r="M185" i="92" s="1"/>
  <c r="M186" i="92" s="1"/>
  <c r="M187" i="92" s="1"/>
  <c r="M188" i="92" s="1"/>
  <c r="M189" i="92" s="1"/>
  <c r="M190" i="92" s="1"/>
  <c r="M191" i="92" s="1"/>
  <c r="M192" i="92" s="1"/>
  <c r="M193" i="92" s="1"/>
  <c r="M194" i="92" s="1"/>
  <c r="M195" i="92" s="1"/>
  <c r="M196" i="92" s="1"/>
  <c r="M197" i="92" s="1"/>
  <c r="M198" i="92" s="1"/>
  <c r="M199" i="92" s="1"/>
  <c r="M200" i="92" s="1"/>
  <c r="M201" i="92" s="1"/>
  <c r="M202" i="92" s="1"/>
  <c r="M203" i="92" s="1"/>
  <c r="M204" i="92" s="1"/>
  <c r="M205" i="92" s="1"/>
  <c r="M206" i="92" s="1"/>
  <c r="M207" i="92" s="1"/>
  <c r="M208" i="92" s="1"/>
  <c r="M209" i="92" s="1"/>
  <c r="M210" i="92" s="1"/>
  <c r="M211" i="92" s="1"/>
  <c r="M212" i="92" s="1"/>
  <c r="M213" i="92" s="1"/>
  <c r="M214" i="92" s="1"/>
  <c r="M215" i="92" s="1"/>
  <c r="M216" i="92" s="1"/>
  <c r="M217" i="92" s="1"/>
  <c r="M218" i="92" s="1"/>
  <c r="M219" i="92" s="1"/>
  <c r="M220" i="92" s="1"/>
  <c r="M221" i="92" s="1"/>
  <c r="M222" i="92" s="1"/>
  <c r="M223" i="92" s="1"/>
  <c r="M224" i="92" s="1"/>
  <c r="M225" i="92" s="1"/>
  <c r="M226" i="92" s="1"/>
  <c r="M227" i="92" s="1"/>
  <c r="M228" i="92" s="1"/>
  <c r="M229" i="92" s="1"/>
  <c r="M230" i="92" s="1"/>
  <c r="M231" i="92" s="1"/>
  <c r="M232" i="92" s="1"/>
  <c r="M233" i="92" s="1"/>
  <c r="M234" i="92" s="1"/>
  <c r="M235" i="92" s="1"/>
  <c r="M236" i="92" s="1"/>
  <c r="M237" i="92" s="1"/>
  <c r="M238" i="92" s="1"/>
  <c r="M239" i="92" s="1"/>
  <c r="M240" i="92" s="1"/>
  <c r="M241" i="92" s="1"/>
  <c r="M242" i="92" s="1"/>
  <c r="M243" i="92" s="1"/>
  <c r="M244" i="92" s="1"/>
  <c r="M245" i="92" s="1"/>
  <c r="M246" i="92" s="1"/>
  <c r="M247" i="92" s="1"/>
  <c r="M248" i="92" s="1"/>
  <c r="M249" i="92" s="1"/>
  <c r="M250" i="92" s="1"/>
  <c r="M251" i="92" s="1"/>
  <c r="M252" i="92" s="1"/>
  <c r="M253" i="92" s="1"/>
  <c r="M254" i="92" s="1"/>
  <c r="M255" i="92" s="1"/>
  <c r="M256" i="92" s="1"/>
  <c r="M257" i="92" s="1"/>
  <c r="M258" i="92" s="1"/>
  <c r="M259" i="92" s="1"/>
  <c r="M260" i="92" s="1"/>
  <c r="M261" i="92" s="1"/>
  <c r="M262" i="92" s="1"/>
  <c r="M263" i="92" s="1"/>
  <c r="M264" i="92" s="1"/>
  <c r="M265" i="92" s="1"/>
  <c r="M266" i="92" s="1"/>
  <c r="M267" i="92" s="1"/>
  <c r="M268" i="92" s="1"/>
  <c r="M269" i="92" s="1"/>
  <c r="M270" i="92" s="1"/>
  <c r="M271" i="92" s="1"/>
  <c r="M272" i="92" s="1"/>
  <c r="M273" i="92" s="1"/>
  <c r="M274" i="92" s="1"/>
  <c r="M275" i="92" s="1"/>
  <c r="M276" i="92" s="1"/>
  <c r="M277" i="92" s="1"/>
  <c r="M278" i="92" s="1"/>
  <c r="M279" i="92" s="1"/>
  <c r="M280" i="92" s="1"/>
  <c r="M281" i="92" s="1"/>
  <c r="M282" i="92" s="1"/>
  <c r="M283" i="92" s="1"/>
  <c r="M284" i="92" s="1"/>
  <c r="M285" i="92" s="1"/>
  <c r="M286" i="92" s="1"/>
  <c r="M287" i="92" s="1"/>
  <c r="M288" i="92" s="1"/>
  <c r="M289" i="92" s="1"/>
  <c r="M290" i="92" s="1"/>
  <c r="M291" i="92" s="1"/>
  <c r="M292" i="92" s="1"/>
  <c r="M293" i="92" s="1"/>
  <c r="M294" i="92" s="1"/>
  <c r="M295" i="92" s="1"/>
  <c r="M296" i="92" s="1"/>
  <c r="M297" i="92" s="1"/>
  <c r="M298" i="92" s="1"/>
  <c r="M299" i="92" s="1"/>
  <c r="M300" i="92" s="1"/>
  <c r="M301" i="92" s="1"/>
  <c r="M302" i="92" s="1"/>
  <c r="M303" i="92" s="1"/>
  <c r="M304" i="92" s="1"/>
  <c r="M305" i="92" s="1"/>
  <c r="M306" i="92" s="1"/>
  <c r="M307" i="92" s="1"/>
  <c r="M308" i="92" s="1"/>
  <c r="M309" i="92" s="1"/>
  <c r="M310" i="92" s="1"/>
  <c r="M311" i="92" s="1"/>
  <c r="M312" i="92" s="1"/>
  <c r="M313" i="92" s="1"/>
  <c r="M314" i="92" s="1"/>
  <c r="M315" i="92" s="1"/>
  <c r="M316" i="92" s="1"/>
  <c r="M317" i="92" s="1"/>
  <c r="M318" i="92" s="1"/>
  <c r="M319" i="92" s="1"/>
  <c r="M320" i="92" s="1"/>
  <c r="M321" i="92" s="1"/>
  <c r="M322" i="92" s="1"/>
  <c r="M323" i="92" s="1"/>
  <c r="M324" i="92" s="1"/>
  <c r="M325" i="92" s="1"/>
  <c r="M326" i="92" s="1"/>
  <c r="M327" i="92" s="1"/>
  <c r="M328" i="92" s="1"/>
  <c r="M329" i="92" s="1"/>
  <c r="M330" i="92" s="1"/>
  <c r="M331" i="92" s="1"/>
  <c r="M332" i="92" s="1"/>
  <c r="M333" i="92" s="1"/>
  <c r="M334" i="92" s="1"/>
  <c r="M335" i="92" s="1"/>
  <c r="M336" i="92" s="1"/>
  <c r="M337" i="92" s="1"/>
  <c r="M338" i="92" s="1"/>
  <c r="M339" i="92" s="1"/>
  <c r="K304" i="92"/>
  <c r="K240" i="92"/>
  <c r="K280" i="92"/>
  <c r="J35" i="84"/>
  <c r="H35" i="84"/>
  <c r="J23" i="58"/>
  <c r="N13" i="92" l="1"/>
  <c r="J27" i="58"/>
  <c r="J26" i="58"/>
  <c r="J25" i="58"/>
  <c r="J24" i="58"/>
  <c r="H42" i="43" l="1"/>
  <c r="F42" i="43"/>
  <c r="J82" i="46"/>
  <c r="J81" i="46"/>
  <c r="J80" i="46" l="1"/>
  <c r="H80" i="46"/>
  <c r="I54" i="38" l="1"/>
  <c r="I53" i="38"/>
  <c r="G54" i="38"/>
  <c r="G53" i="38"/>
  <c r="I20" i="57" l="1"/>
  <c r="G25" i="58"/>
  <c r="G24" i="58"/>
  <c r="G23" i="58"/>
  <c r="I57" i="13" l="1"/>
  <c r="G57" i="13"/>
  <c r="I56" i="13" l="1"/>
  <c r="H3" i="90" l="1"/>
  <c r="I31" i="65"/>
  <c r="K4" i="90"/>
  <c r="K3" i="90"/>
  <c r="K2" i="90"/>
  <c r="K68" i="59"/>
  <c r="J79" i="46"/>
  <c r="H41" i="43" l="1"/>
  <c r="F41" i="43"/>
  <c r="J96" i="59" l="1"/>
  <c r="J95" i="59"/>
  <c r="J94" i="59"/>
  <c r="J93" i="59"/>
  <c r="I51" i="38" l="1"/>
  <c r="I50" i="38"/>
  <c r="G51" i="38"/>
  <c r="G50" i="38"/>
  <c r="K14" i="47" l="1"/>
  <c r="K13" i="47"/>
  <c r="H13" i="47"/>
  <c r="J9" i="45" l="1"/>
  <c r="J8" i="45"/>
  <c r="G9" i="45"/>
  <c r="G8" i="45"/>
  <c r="J76" i="46" l="1"/>
  <c r="J75" i="46"/>
  <c r="H76" i="46"/>
  <c r="H75" i="46"/>
  <c r="J13" i="11" l="1"/>
  <c r="H13" i="11"/>
  <c r="I35" i="65" l="1"/>
  <c r="I34" i="65"/>
  <c r="G34" i="65"/>
  <c r="K4" i="88"/>
  <c r="K3" i="88"/>
  <c r="H3" i="88"/>
  <c r="M44" i="28" l="1"/>
  <c r="M45" i="28" s="1"/>
  <c r="M46" i="28" s="1"/>
  <c r="M47" i="28" s="1"/>
  <c r="K44" i="28"/>
  <c r="J48" i="28"/>
  <c r="G48" i="28"/>
  <c r="J47" i="28"/>
  <c r="J46" i="28"/>
  <c r="J45" i="28"/>
  <c r="G45" i="28"/>
  <c r="K10" i="11" l="1"/>
  <c r="K9" i="11"/>
  <c r="N37" i="19"/>
  <c r="N38" i="19" s="1"/>
  <c r="N39" i="19" s="1"/>
  <c r="L37" i="19"/>
  <c r="K2" i="91"/>
  <c r="H2" i="91"/>
  <c r="L3" i="91" l="1"/>
  <c r="L4" i="91"/>
  <c r="L11" i="91"/>
  <c r="L12" i="91"/>
  <c r="L19" i="91"/>
  <c r="L20" i="91"/>
  <c r="L27" i="91"/>
  <c r="L28" i="91"/>
  <c r="L35" i="91"/>
  <c r="L36" i="91"/>
  <c r="L43" i="91"/>
  <c r="L44" i="91"/>
  <c r="L51" i="91"/>
  <c r="L52" i="91"/>
  <c r="L59" i="91"/>
  <c r="L60" i="91"/>
  <c r="L67" i="91"/>
  <c r="L68" i="91"/>
  <c r="L75" i="91"/>
  <c r="L76" i="91"/>
  <c r="L83" i="91"/>
  <c r="L84" i="91"/>
  <c r="L91" i="91"/>
  <c r="L92" i="91"/>
  <c r="L99" i="91"/>
  <c r="L100" i="91"/>
  <c r="L107" i="91"/>
  <c r="L108" i="91"/>
  <c r="L115" i="91"/>
  <c r="L116" i="91"/>
  <c r="L123" i="91"/>
  <c r="L124" i="91"/>
  <c r="L131" i="91"/>
  <c r="L132" i="91"/>
  <c r="L139" i="91"/>
  <c r="L140" i="91"/>
  <c r="L147" i="91"/>
  <c r="L148" i="91"/>
  <c r="L155" i="91"/>
  <c r="L156" i="91"/>
  <c r="L163" i="91"/>
  <c r="L164" i="91"/>
  <c r="L171" i="91"/>
  <c r="L172" i="91"/>
  <c r="L179" i="91"/>
  <c r="L180" i="91"/>
  <c r="L187" i="91"/>
  <c r="L188" i="91"/>
  <c r="L195" i="91"/>
  <c r="L196" i="91"/>
  <c r="L203" i="91"/>
  <c r="L204" i="91"/>
  <c r="L211" i="91"/>
  <c r="L212" i="91"/>
  <c r="L219" i="91"/>
  <c r="L220" i="91"/>
  <c r="L227" i="91"/>
  <c r="L228" i="91"/>
  <c r="L235" i="91"/>
  <c r="L236" i="91"/>
  <c r="L291" i="91"/>
  <c r="L338" i="91"/>
  <c r="J338" i="91"/>
  <c r="J337" i="91"/>
  <c r="L337" i="91" s="1"/>
  <c r="J336" i="91"/>
  <c r="L336" i="91" s="1"/>
  <c r="J335" i="91"/>
  <c r="L335" i="91" s="1"/>
  <c r="J334" i="91"/>
  <c r="L334" i="91" s="1"/>
  <c r="J333" i="91"/>
  <c r="L333" i="91" s="1"/>
  <c r="J332" i="91"/>
  <c r="L332" i="91" s="1"/>
  <c r="J331" i="91"/>
  <c r="L331" i="91" s="1"/>
  <c r="J330" i="91"/>
  <c r="L330" i="91" s="1"/>
  <c r="J329" i="91"/>
  <c r="L329" i="91" s="1"/>
  <c r="J328" i="91"/>
  <c r="L328" i="91" s="1"/>
  <c r="L327" i="91"/>
  <c r="J327" i="91"/>
  <c r="J326" i="91"/>
  <c r="L326" i="91" s="1"/>
  <c r="J325" i="91"/>
  <c r="L325" i="91" s="1"/>
  <c r="J324" i="91"/>
  <c r="J323" i="91"/>
  <c r="L323" i="91" s="1"/>
  <c r="J322" i="91"/>
  <c r="L322" i="91" s="1"/>
  <c r="J321" i="91"/>
  <c r="L321" i="91" s="1"/>
  <c r="J320" i="91"/>
  <c r="L320" i="91" s="1"/>
  <c r="J319" i="91"/>
  <c r="L319" i="91" s="1"/>
  <c r="J318" i="91"/>
  <c r="L318" i="91" s="1"/>
  <c r="J317" i="91"/>
  <c r="L317" i="91" s="1"/>
  <c r="J316" i="91"/>
  <c r="J315" i="91"/>
  <c r="L315" i="91" s="1"/>
  <c r="J314" i="91"/>
  <c r="L314" i="91" s="1"/>
  <c r="J313" i="91"/>
  <c r="L313" i="91" s="1"/>
  <c r="J312" i="91"/>
  <c r="L312" i="91" s="1"/>
  <c r="J311" i="91"/>
  <c r="L311" i="91" s="1"/>
  <c r="J310" i="91"/>
  <c r="L310" i="91" s="1"/>
  <c r="J309" i="91"/>
  <c r="L309" i="91" s="1"/>
  <c r="J308" i="91"/>
  <c r="J307" i="91"/>
  <c r="L307" i="91" s="1"/>
  <c r="J306" i="91"/>
  <c r="L306" i="91" s="1"/>
  <c r="J305" i="91"/>
  <c r="L305" i="91" s="1"/>
  <c r="J304" i="91"/>
  <c r="L304" i="91" s="1"/>
  <c r="L303" i="91"/>
  <c r="J303" i="91"/>
  <c r="J302" i="91"/>
  <c r="L302" i="91" s="1"/>
  <c r="J301" i="91"/>
  <c r="L301" i="91" s="1"/>
  <c r="J300" i="91"/>
  <c r="L300" i="91" s="1"/>
  <c r="J299" i="91"/>
  <c r="L299" i="91" s="1"/>
  <c r="J298" i="91"/>
  <c r="L298" i="91" s="1"/>
  <c r="J297" i="91"/>
  <c r="L297" i="91" s="1"/>
  <c r="L296" i="91"/>
  <c r="J296" i="91"/>
  <c r="J295" i="91"/>
  <c r="L295" i="91" s="1"/>
  <c r="J294" i="91"/>
  <c r="L294" i="91" s="1"/>
  <c r="J293" i="91"/>
  <c r="L293" i="91" s="1"/>
  <c r="J292" i="91"/>
  <c r="L292" i="91" s="1"/>
  <c r="J291" i="91"/>
  <c r="J290" i="91"/>
  <c r="L290" i="91" s="1"/>
  <c r="J289" i="91"/>
  <c r="L289" i="91" s="1"/>
  <c r="J288" i="91"/>
  <c r="L288" i="91" s="1"/>
  <c r="L287" i="91"/>
  <c r="J287" i="91"/>
  <c r="J286" i="91"/>
  <c r="L286" i="91" s="1"/>
  <c r="J285" i="91"/>
  <c r="L285" i="91" s="1"/>
  <c r="J284" i="91"/>
  <c r="L284" i="91" s="1"/>
  <c r="J283" i="91"/>
  <c r="L283" i="91" s="1"/>
  <c r="J282" i="91"/>
  <c r="L282" i="91" s="1"/>
  <c r="J281" i="91"/>
  <c r="L281" i="91" s="1"/>
  <c r="J280" i="91"/>
  <c r="L280" i="91" s="1"/>
  <c r="J279" i="91"/>
  <c r="L279" i="91" s="1"/>
  <c r="J278" i="91"/>
  <c r="L278" i="91" s="1"/>
  <c r="J277" i="91"/>
  <c r="L277" i="91" s="1"/>
  <c r="J276" i="91"/>
  <c r="L276" i="91" s="1"/>
  <c r="J275" i="91"/>
  <c r="L275" i="91" s="1"/>
  <c r="J274" i="91"/>
  <c r="L274" i="91" s="1"/>
  <c r="J273" i="91"/>
  <c r="L273" i="91" s="1"/>
  <c r="J272" i="91"/>
  <c r="L272" i="91" s="1"/>
  <c r="J271" i="91"/>
  <c r="L271" i="91" s="1"/>
  <c r="J270" i="91"/>
  <c r="L270" i="91" s="1"/>
  <c r="J269" i="91"/>
  <c r="L269" i="91" s="1"/>
  <c r="J268" i="91"/>
  <c r="L268" i="91" s="1"/>
  <c r="J267" i="91"/>
  <c r="L267" i="91" s="1"/>
  <c r="J266" i="91"/>
  <c r="L266" i="91" s="1"/>
  <c r="J265" i="91"/>
  <c r="L265" i="91" s="1"/>
  <c r="J264" i="91"/>
  <c r="L264" i="91" s="1"/>
  <c r="J263" i="91"/>
  <c r="L263" i="91" s="1"/>
  <c r="L262" i="91"/>
  <c r="J262" i="91"/>
  <c r="J261" i="91"/>
  <c r="L261" i="91" s="1"/>
  <c r="J260" i="91"/>
  <c r="L260" i="91" s="1"/>
  <c r="J259" i="91"/>
  <c r="L259" i="91" s="1"/>
  <c r="J258" i="91"/>
  <c r="L258" i="91" s="1"/>
  <c r="J257" i="91"/>
  <c r="L257" i="91" s="1"/>
  <c r="J256" i="91"/>
  <c r="L256" i="91" s="1"/>
  <c r="L255" i="91"/>
  <c r="J255" i="91"/>
  <c r="L254" i="91"/>
  <c r="J254" i="91"/>
  <c r="J253" i="91"/>
  <c r="L253" i="91" s="1"/>
  <c r="J252" i="91"/>
  <c r="J251" i="91"/>
  <c r="L251" i="91" s="1"/>
  <c r="J250" i="91"/>
  <c r="L250" i="91" s="1"/>
  <c r="J249" i="91"/>
  <c r="L249" i="91" s="1"/>
  <c r="J248" i="91"/>
  <c r="L248" i="91" s="1"/>
  <c r="J247" i="91"/>
  <c r="L247" i="91" s="1"/>
  <c r="J246" i="91"/>
  <c r="L246" i="91" s="1"/>
  <c r="J245" i="91"/>
  <c r="L245" i="91" s="1"/>
  <c r="L244" i="91"/>
  <c r="J244" i="91"/>
  <c r="J243" i="91"/>
  <c r="L243" i="91" s="1"/>
  <c r="J242" i="91"/>
  <c r="L242" i="91" s="1"/>
  <c r="J241" i="91"/>
  <c r="L241" i="91" s="1"/>
  <c r="J240" i="91"/>
  <c r="L240" i="91" s="1"/>
  <c r="J239" i="91"/>
  <c r="L239" i="91" s="1"/>
  <c r="J238" i="91"/>
  <c r="L238" i="91" s="1"/>
  <c r="L237" i="91"/>
  <c r="L234" i="91"/>
  <c r="L233" i="91"/>
  <c r="L232" i="91"/>
  <c r="L231" i="91"/>
  <c r="L230" i="91"/>
  <c r="L229" i="91"/>
  <c r="L226" i="91"/>
  <c r="L225" i="91"/>
  <c r="L224" i="91"/>
  <c r="L223" i="91"/>
  <c r="L222" i="91"/>
  <c r="L221" i="91"/>
  <c r="L218" i="91"/>
  <c r="L217" i="91"/>
  <c r="L216" i="91"/>
  <c r="L215" i="91"/>
  <c r="L214" i="91"/>
  <c r="L213" i="91"/>
  <c r="L210" i="91"/>
  <c r="L209" i="91"/>
  <c r="L208" i="91"/>
  <c r="L207" i="91"/>
  <c r="L206" i="91"/>
  <c r="L205" i="91"/>
  <c r="L202" i="91"/>
  <c r="L201" i="91"/>
  <c r="L200" i="91"/>
  <c r="L199" i="91"/>
  <c r="L198" i="91"/>
  <c r="L197" i="91"/>
  <c r="L194" i="91"/>
  <c r="L193" i="91"/>
  <c r="L192" i="91"/>
  <c r="L191" i="91"/>
  <c r="L190" i="91"/>
  <c r="L189" i="91"/>
  <c r="L186" i="91"/>
  <c r="L185" i="91"/>
  <c r="L184" i="91"/>
  <c r="L183" i="91"/>
  <c r="L182" i="91"/>
  <c r="L181" i="91"/>
  <c r="L178" i="91"/>
  <c r="L177" i="91"/>
  <c r="L176" i="91"/>
  <c r="L175" i="91"/>
  <c r="L174" i="91"/>
  <c r="L173" i="91"/>
  <c r="L170" i="91"/>
  <c r="L169" i="91"/>
  <c r="L168" i="91"/>
  <c r="L167" i="91"/>
  <c r="L166" i="91"/>
  <c r="L165" i="91"/>
  <c r="L162" i="91"/>
  <c r="L161" i="91"/>
  <c r="L160" i="91"/>
  <c r="L159" i="91"/>
  <c r="L158" i="91"/>
  <c r="L157" i="91"/>
  <c r="L154" i="91"/>
  <c r="L153" i="91"/>
  <c r="L152" i="91"/>
  <c r="L151" i="91"/>
  <c r="L150" i="91"/>
  <c r="L149" i="91"/>
  <c r="L146" i="91"/>
  <c r="L145" i="91"/>
  <c r="L144" i="91"/>
  <c r="L143" i="91"/>
  <c r="L142" i="91"/>
  <c r="L141" i="91"/>
  <c r="L138" i="91"/>
  <c r="L137" i="91"/>
  <c r="L136" i="91"/>
  <c r="L135" i="91"/>
  <c r="L134" i="91"/>
  <c r="L133" i="91"/>
  <c r="L130" i="91"/>
  <c r="L129" i="91"/>
  <c r="L128" i="91"/>
  <c r="L127" i="91"/>
  <c r="L126" i="91"/>
  <c r="L125" i="91"/>
  <c r="L122" i="91"/>
  <c r="L121" i="91"/>
  <c r="L120" i="91"/>
  <c r="L119" i="91"/>
  <c r="L118" i="91"/>
  <c r="L117" i="91"/>
  <c r="L114" i="91"/>
  <c r="L113" i="91"/>
  <c r="L112" i="91"/>
  <c r="L111" i="91"/>
  <c r="L110" i="91"/>
  <c r="L109" i="91"/>
  <c r="L106" i="91"/>
  <c r="L105" i="91"/>
  <c r="L104" i="91"/>
  <c r="L103" i="91"/>
  <c r="L102" i="91"/>
  <c r="L101" i="91"/>
  <c r="L98" i="91"/>
  <c r="L97" i="91"/>
  <c r="L96" i="91"/>
  <c r="L95" i="91"/>
  <c r="L94" i="91"/>
  <c r="L93" i="91"/>
  <c r="L90" i="91"/>
  <c r="L89" i="91"/>
  <c r="L88" i="91"/>
  <c r="L87" i="91"/>
  <c r="L86" i="91"/>
  <c r="L85" i="91"/>
  <c r="L82" i="91"/>
  <c r="L81" i="91"/>
  <c r="L80" i="91"/>
  <c r="L79" i="91"/>
  <c r="L78" i="91"/>
  <c r="L77" i="91"/>
  <c r="L74" i="91"/>
  <c r="L73" i="91"/>
  <c r="L72" i="91"/>
  <c r="L71" i="91"/>
  <c r="L70" i="91"/>
  <c r="L69" i="91"/>
  <c r="L66" i="91"/>
  <c r="L65" i="91"/>
  <c r="L64" i="91"/>
  <c r="L63" i="91"/>
  <c r="L62" i="91"/>
  <c r="L61" i="91"/>
  <c r="L58" i="91"/>
  <c r="L57" i="91"/>
  <c r="L56" i="91"/>
  <c r="L55" i="91"/>
  <c r="L54" i="91"/>
  <c r="L53" i="91"/>
  <c r="L50" i="91"/>
  <c r="L49" i="91"/>
  <c r="L48" i="91"/>
  <c r="L47" i="91"/>
  <c r="L46" i="91"/>
  <c r="L45" i="91"/>
  <c r="L42" i="91"/>
  <c r="L41" i="91"/>
  <c r="L40" i="91"/>
  <c r="L39" i="91"/>
  <c r="L38" i="91"/>
  <c r="L37" i="91"/>
  <c r="L34" i="91"/>
  <c r="L33" i="91"/>
  <c r="L32" i="91"/>
  <c r="L31" i="91"/>
  <c r="L30" i="91"/>
  <c r="L29" i="91"/>
  <c r="L26" i="91"/>
  <c r="L25" i="91"/>
  <c r="L24" i="91"/>
  <c r="L23" i="91"/>
  <c r="L22" i="91"/>
  <c r="L21" i="91"/>
  <c r="L18" i="91"/>
  <c r="L17" i="91"/>
  <c r="L16" i="91"/>
  <c r="L15" i="91"/>
  <c r="L14" i="91"/>
  <c r="L13" i="91"/>
  <c r="L10" i="91"/>
  <c r="L9" i="91"/>
  <c r="L8" i="91"/>
  <c r="L7" i="91"/>
  <c r="L6" i="91"/>
  <c r="L5" i="91"/>
  <c r="L2" i="91"/>
  <c r="N2" i="91" s="1"/>
  <c r="N3" i="91" s="1"/>
  <c r="N4" i="91" s="1"/>
  <c r="N5" i="91" l="1"/>
  <c r="N6" i="91" s="1"/>
  <c r="N7" i="91" s="1"/>
  <c r="N8" i="91" s="1"/>
  <c r="N9" i="91" s="1"/>
  <c r="N10" i="91" s="1"/>
  <c r="N11" i="91" s="1"/>
  <c r="N12" i="91" s="1"/>
  <c r="N13" i="91" s="1"/>
  <c r="N14" i="91" s="1"/>
  <c r="N15" i="91" s="1"/>
  <c r="N16" i="91" s="1"/>
  <c r="N17" i="91" s="1"/>
  <c r="N18" i="91" s="1"/>
  <c r="N19" i="91" s="1"/>
  <c r="N20" i="91" s="1"/>
  <c r="N21" i="91" s="1"/>
  <c r="N22" i="91" s="1"/>
  <c r="N23" i="91" s="1"/>
  <c r="N24" i="91" s="1"/>
  <c r="N25" i="91" s="1"/>
  <c r="N26" i="91" s="1"/>
  <c r="N27" i="91" s="1"/>
  <c r="N28" i="91" s="1"/>
  <c r="N29" i="91" s="1"/>
  <c r="N30" i="91" s="1"/>
  <c r="N31" i="91" s="1"/>
  <c r="N32" i="91" s="1"/>
  <c r="N33" i="91" s="1"/>
  <c r="N34" i="91" s="1"/>
  <c r="N35" i="91" s="1"/>
  <c r="N36" i="91" s="1"/>
  <c r="N37" i="91" s="1"/>
  <c r="N38" i="91" s="1"/>
  <c r="N39" i="91" s="1"/>
  <c r="N40" i="91" s="1"/>
  <c r="N41" i="91" s="1"/>
  <c r="N42" i="91" s="1"/>
  <c r="N43" i="91" s="1"/>
  <c r="N44" i="91" s="1"/>
  <c r="N45" i="91" s="1"/>
  <c r="N46" i="91" s="1"/>
  <c r="N47" i="91" s="1"/>
  <c r="N48" i="91" s="1"/>
  <c r="N49" i="91" s="1"/>
  <c r="N50" i="91" s="1"/>
  <c r="N51" i="91" s="1"/>
  <c r="N52" i="91" s="1"/>
  <c r="N53" i="91" s="1"/>
  <c r="N54" i="91" s="1"/>
  <c r="N55" i="91" s="1"/>
  <c r="N56" i="91" s="1"/>
  <c r="N57" i="91" s="1"/>
  <c r="N58" i="91" s="1"/>
  <c r="N59" i="91" s="1"/>
  <c r="N60" i="91" s="1"/>
  <c r="N61" i="91" s="1"/>
  <c r="N62" i="91" s="1"/>
  <c r="N63" i="91" s="1"/>
  <c r="N64" i="91" s="1"/>
  <c r="N65" i="91" s="1"/>
  <c r="N66" i="91" s="1"/>
  <c r="N67" i="91" s="1"/>
  <c r="N68" i="91" s="1"/>
  <c r="N69" i="91" s="1"/>
  <c r="N70" i="91" s="1"/>
  <c r="N71" i="91" s="1"/>
  <c r="N72" i="91" s="1"/>
  <c r="N73" i="91" s="1"/>
  <c r="N74" i="91" s="1"/>
  <c r="N75" i="91" s="1"/>
  <c r="N76" i="91" s="1"/>
  <c r="N77" i="91" s="1"/>
  <c r="N78" i="91" s="1"/>
  <c r="N79" i="91" s="1"/>
  <c r="N80" i="91" s="1"/>
  <c r="N81" i="91" s="1"/>
  <c r="N82" i="91" s="1"/>
  <c r="N83" i="91" s="1"/>
  <c r="N84" i="91" s="1"/>
  <c r="N85" i="91" s="1"/>
  <c r="N86" i="91" s="1"/>
  <c r="N87" i="91" s="1"/>
  <c r="N88" i="91" s="1"/>
  <c r="N89" i="91" s="1"/>
  <c r="N90" i="91" s="1"/>
  <c r="N91" i="91" s="1"/>
  <c r="N92" i="91" s="1"/>
  <c r="N93" i="91" s="1"/>
  <c r="N94" i="91" s="1"/>
  <c r="N95" i="91" s="1"/>
  <c r="N96" i="91" s="1"/>
  <c r="N97" i="91" s="1"/>
  <c r="N98" i="91" s="1"/>
  <c r="N99" i="91" s="1"/>
  <c r="N100" i="91" s="1"/>
  <c r="N101" i="91" s="1"/>
  <c r="N102" i="91" s="1"/>
  <c r="N103" i="91" s="1"/>
  <c r="N104" i="91" s="1"/>
  <c r="N105" i="91" s="1"/>
  <c r="N106" i="91" s="1"/>
  <c r="N107" i="91" s="1"/>
  <c r="N108" i="91" s="1"/>
  <c r="N109" i="91" s="1"/>
  <c r="N110" i="91" s="1"/>
  <c r="N111" i="91" s="1"/>
  <c r="N112" i="91" s="1"/>
  <c r="N113" i="91" s="1"/>
  <c r="N114" i="91" s="1"/>
  <c r="N115" i="91" s="1"/>
  <c r="N116" i="91" s="1"/>
  <c r="N117" i="91" s="1"/>
  <c r="N118" i="91" s="1"/>
  <c r="N119" i="91" s="1"/>
  <c r="N120" i="91" s="1"/>
  <c r="N121" i="91" s="1"/>
  <c r="N122" i="91" s="1"/>
  <c r="N123" i="91" s="1"/>
  <c r="N124" i="91" s="1"/>
  <c r="N125" i="91" s="1"/>
  <c r="N126" i="91" s="1"/>
  <c r="N127" i="91" s="1"/>
  <c r="N128" i="91" s="1"/>
  <c r="N129" i="91" s="1"/>
  <c r="N130" i="91" s="1"/>
  <c r="N131" i="91" s="1"/>
  <c r="N132" i="91" s="1"/>
  <c r="N133" i="91" s="1"/>
  <c r="N134" i="91" s="1"/>
  <c r="N135" i="91" s="1"/>
  <c r="N136" i="91" s="1"/>
  <c r="N137" i="91" s="1"/>
  <c r="N138" i="91" s="1"/>
  <c r="N139" i="91" s="1"/>
  <c r="N140" i="91" s="1"/>
  <c r="N141" i="91" s="1"/>
  <c r="N142" i="91" s="1"/>
  <c r="N143" i="91" s="1"/>
  <c r="N144" i="91" s="1"/>
  <c r="N145" i="91" s="1"/>
  <c r="N146" i="91" s="1"/>
  <c r="N147" i="91" s="1"/>
  <c r="N148" i="91" s="1"/>
  <c r="N149" i="91" s="1"/>
  <c r="N150" i="91" s="1"/>
  <c r="N151" i="91" s="1"/>
  <c r="N152" i="91" s="1"/>
  <c r="N153" i="91" s="1"/>
  <c r="N154" i="91" s="1"/>
  <c r="N155" i="91" s="1"/>
  <c r="N156" i="91" s="1"/>
  <c r="N157" i="91" s="1"/>
  <c r="N158" i="91" s="1"/>
  <c r="N159" i="91" s="1"/>
  <c r="N160" i="91" s="1"/>
  <c r="N161" i="91" s="1"/>
  <c r="N162" i="91" s="1"/>
  <c r="N163" i="91" s="1"/>
  <c r="N164" i="91" s="1"/>
  <c r="N165" i="91" s="1"/>
  <c r="N166" i="91" s="1"/>
  <c r="N167" i="91" s="1"/>
  <c r="N168" i="91" s="1"/>
  <c r="N169" i="91" s="1"/>
  <c r="N170" i="91" s="1"/>
  <c r="N171" i="91" s="1"/>
  <c r="N172" i="91" s="1"/>
  <c r="N173" i="91" s="1"/>
  <c r="N174" i="91" s="1"/>
  <c r="N175" i="91" s="1"/>
  <c r="N176" i="91" s="1"/>
  <c r="N177" i="91" s="1"/>
  <c r="N178" i="91" s="1"/>
  <c r="N179" i="91" s="1"/>
  <c r="N180" i="91" s="1"/>
  <c r="N181" i="91" s="1"/>
  <c r="N182" i="91" s="1"/>
  <c r="N183" i="91" s="1"/>
  <c r="N184" i="91" s="1"/>
  <c r="N185" i="91" s="1"/>
  <c r="N186" i="91" s="1"/>
  <c r="N187" i="91" s="1"/>
  <c r="N188" i="91" s="1"/>
  <c r="N189" i="91" s="1"/>
  <c r="N190" i="91" s="1"/>
  <c r="N191" i="91" s="1"/>
  <c r="N192" i="91" s="1"/>
  <c r="N193" i="91" s="1"/>
  <c r="N194" i="91" s="1"/>
  <c r="N195" i="91" s="1"/>
  <c r="N196" i="91" s="1"/>
  <c r="N197" i="91" s="1"/>
  <c r="N198" i="91" s="1"/>
  <c r="N199" i="91" s="1"/>
  <c r="N200" i="91" s="1"/>
  <c r="N201" i="91" s="1"/>
  <c r="N202" i="91" s="1"/>
  <c r="N203" i="91" s="1"/>
  <c r="N204" i="91" s="1"/>
  <c r="N205" i="91" s="1"/>
  <c r="N206" i="91" s="1"/>
  <c r="N207" i="91" s="1"/>
  <c r="N208" i="91" s="1"/>
  <c r="N209" i="91" s="1"/>
  <c r="N210" i="91" s="1"/>
  <c r="N211" i="91" s="1"/>
  <c r="N212" i="91" s="1"/>
  <c r="N213" i="91" s="1"/>
  <c r="N214" i="91" s="1"/>
  <c r="N215" i="91" s="1"/>
  <c r="N216" i="91" s="1"/>
  <c r="N217" i="91" s="1"/>
  <c r="N218" i="91" s="1"/>
  <c r="N219" i="91" s="1"/>
  <c r="N220" i="91" s="1"/>
  <c r="N221" i="91" s="1"/>
  <c r="N222" i="91" s="1"/>
  <c r="N223" i="91" s="1"/>
  <c r="N224" i="91" s="1"/>
  <c r="N225" i="91" s="1"/>
  <c r="N226" i="91" s="1"/>
  <c r="N227" i="91" s="1"/>
  <c r="N228" i="91" s="1"/>
  <c r="N229" i="91" s="1"/>
  <c r="N230" i="91" s="1"/>
  <c r="N231" i="91" s="1"/>
  <c r="N232" i="91" s="1"/>
  <c r="N233" i="91" s="1"/>
  <c r="N234" i="91" s="1"/>
  <c r="N235" i="91" s="1"/>
  <c r="N236" i="91" s="1"/>
  <c r="N237" i="91" s="1"/>
  <c r="N238" i="91" s="1"/>
  <c r="N239" i="91" s="1"/>
  <c r="N240" i="91" s="1"/>
  <c r="N241" i="91" s="1"/>
  <c r="N242" i="91" s="1"/>
  <c r="N243" i="91" s="1"/>
  <c r="N244" i="91" s="1"/>
  <c r="N245" i="91" s="1"/>
  <c r="N246" i="91" s="1"/>
  <c r="N247" i="91" s="1"/>
  <c r="N248" i="91" s="1"/>
  <c r="N249" i="91" s="1"/>
  <c r="N250" i="91" s="1"/>
  <c r="N251" i="91" s="1"/>
  <c r="L308" i="91"/>
  <c r="L324" i="91"/>
  <c r="L252" i="91"/>
  <c r="O12" i="91" s="1"/>
  <c r="B48" i="14" s="1"/>
  <c r="L316" i="91"/>
  <c r="I55" i="13"/>
  <c r="J9" i="12"/>
  <c r="N252" i="91" l="1"/>
  <c r="N253" i="91" s="1"/>
  <c r="N254" i="91" s="1"/>
  <c r="N255" i="91" s="1"/>
  <c r="N256" i="91" s="1"/>
  <c r="N257" i="91" s="1"/>
  <c r="N258" i="91" s="1"/>
  <c r="N259" i="91" s="1"/>
  <c r="N260" i="91" s="1"/>
  <c r="N261" i="91" s="1"/>
  <c r="N262" i="91" s="1"/>
  <c r="N263" i="91" s="1"/>
  <c r="N264" i="91" s="1"/>
  <c r="N265" i="91" s="1"/>
  <c r="N266" i="91" s="1"/>
  <c r="N267" i="91" s="1"/>
  <c r="N268" i="91" s="1"/>
  <c r="N269" i="91" s="1"/>
  <c r="N270" i="91" s="1"/>
  <c r="N271" i="91" s="1"/>
  <c r="N272" i="91" s="1"/>
  <c r="N273" i="91" s="1"/>
  <c r="N274" i="91" s="1"/>
  <c r="N275" i="91" s="1"/>
  <c r="N276" i="91" s="1"/>
  <c r="N277" i="91" s="1"/>
  <c r="N278" i="91" s="1"/>
  <c r="N279" i="91" s="1"/>
  <c r="N280" i="91" s="1"/>
  <c r="N281" i="91" s="1"/>
  <c r="N282" i="91" s="1"/>
  <c r="N283" i="91" s="1"/>
  <c r="N284" i="91" s="1"/>
  <c r="N285" i="91" s="1"/>
  <c r="N286" i="91" s="1"/>
  <c r="N287" i="91" s="1"/>
  <c r="N288" i="91" s="1"/>
  <c r="N289" i="91" s="1"/>
  <c r="N290" i="91" s="1"/>
  <c r="N291" i="91" s="1"/>
  <c r="N292" i="91" s="1"/>
  <c r="N293" i="91" s="1"/>
  <c r="N294" i="91" s="1"/>
  <c r="N295" i="91" s="1"/>
  <c r="N296" i="91" s="1"/>
  <c r="N297" i="91" s="1"/>
  <c r="N298" i="91" s="1"/>
  <c r="N299" i="91" s="1"/>
  <c r="N300" i="91" s="1"/>
  <c r="N301" i="91" s="1"/>
  <c r="N302" i="91" s="1"/>
  <c r="N303" i="91" s="1"/>
  <c r="N304" i="91" s="1"/>
  <c r="N305" i="91" s="1"/>
  <c r="N306" i="91" s="1"/>
  <c r="N307" i="91" s="1"/>
  <c r="N308" i="91" s="1"/>
  <c r="N309" i="91" s="1"/>
  <c r="N310" i="91" s="1"/>
  <c r="N311" i="91" s="1"/>
  <c r="N312" i="91" s="1"/>
  <c r="N313" i="91" s="1"/>
  <c r="N314" i="91" s="1"/>
  <c r="N315" i="91" s="1"/>
  <c r="N316" i="91" s="1"/>
  <c r="N317" i="91" s="1"/>
  <c r="N318" i="91" s="1"/>
  <c r="N319" i="91" s="1"/>
  <c r="N320" i="91" s="1"/>
  <c r="N321" i="91" s="1"/>
  <c r="N322" i="91" s="1"/>
  <c r="N323" i="91" s="1"/>
  <c r="N324" i="91" s="1"/>
  <c r="N325" i="91" s="1"/>
  <c r="N326" i="91" s="1"/>
  <c r="N327" i="91" s="1"/>
  <c r="N328" i="91" s="1"/>
  <c r="N329" i="91" s="1"/>
  <c r="N330" i="91" s="1"/>
  <c r="N331" i="91" s="1"/>
  <c r="N332" i="91" s="1"/>
  <c r="N333" i="91" s="1"/>
  <c r="N334" i="91" s="1"/>
  <c r="N335" i="91" s="1"/>
  <c r="N336" i="91" s="1"/>
  <c r="N337" i="91" s="1"/>
  <c r="N338" i="91" s="1"/>
  <c r="G55" i="13"/>
  <c r="I54" i="13"/>
  <c r="M12" i="5"/>
  <c r="M13" i="5" s="1"/>
  <c r="M14" i="5" s="1"/>
  <c r="M15" i="5" s="1"/>
  <c r="K12" i="5"/>
  <c r="K64" i="59"/>
  <c r="F40" i="43"/>
  <c r="J7" i="45"/>
  <c r="H40" i="43"/>
  <c r="H39" i="43" l="1"/>
  <c r="F39" i="43"/>
  <c r="I49" i="38" l="1"/>
  <c r="G49" i="38"/>
  <c r="K7" i="60" l="1"/>
  <c r="J338" i="90"/>
  <c r="L338" i="90" s="1"/>
  <c r="J337" i="90"/>
  <c r="L337" i="90" s="1"/>
  <c r="J336" i="90"/>
  <c r="L336" i="90" s="1"/>
  <c r="J335" i="90"/>
  <c r="L335" i="90" s="1"/>
  <c r="J334" i="90"/>
  <c r="L334" i="90" s="1"/>
  <c r="J333" i="90"/>
  <c r="L333" i="90" s="1"/>
  <c r="L332" i="90"/>
  <c r="J332" i="90"/>
  <c r="L331" i="90"/>
  <c r="J331" i="90"/>
  <c r="J330" i="90"/>
  <c r="L330" i="90" s="1"/>
  <c r="J329" i="90"/>
  <c r="L329" i="90" s="1"/>
  <c r="L328" i="90"/>
  <c r="J328" i="90"/>
  <c r="J327" i="90"/>
  <c r="L327" i="90" s="1"/>
  <c r="J326" i="90"/>
  <c r="L326" i="90" s="1"/>
  <c r="J325" i="90"/>
  <c r="L325" i="90" s="1"/>
  <c r="L324" i="90"/>
  <c r="J324" i="90"/>
  <c r="L323" i="90"/>
  <c r="J323" i="90"/>
  <c r="J322" i="90"/>
  <c r="L322" i="90" s="1"/>
  <c r="J321" i="90"/>
  <c r="L321" i="90" s="1"/>
  <c r="L320" i="90"/>
  <c r="J320" i="90"/>
  <c r="J319" i="90"/>
  <c r="L319" i="90" s="1"/>
  <c r="J318" i="90"/>
  <c r="L318" i="90" s="1"/>
  <c r="J317" i="90"/>
  <c r="L317" i="90" s="1"/>
  <c r="L316" i="90"/>
  <c r="J316" i="90"/>
  <c r="L315" i="90"/>
  <c r="J315" i="90"/>
  <c r="J314" i="90"/>
  <c r="L314" i="90" s="1"/>
  <c r="J313" i="90"/>
  <c r="L313" i="90" s="1"/>
  <c r="L312" i="90"/>
  <c r="J312" i="90"/>
  <c r="J311" i="90"/>
  <c r="L311" i="90" s="1"/>
  <c r="J310" i="90"/>
  <c r="L310" i="90" s="1"/>
  <c r="J309" i="90"/>
  <c r="L309" i="90" s="1"/>
  <c r="L308" i="90"/>
  <c r="J308" i="90"/>
  <c r="L307" i="90"/>
  <c r="J307" i="90"/>
  <c r="J306" i="90"/>
  <c r="L306" i="90" s="1"/>
  <c r="J305" i="90"/>
  <c r="L305" i="90" s="1"/>
  <c r="L304" i="90"/>
  <c r="J304" i="90"/>
  <c r="J303" i="90"/>
  <c r="L303" i="90" s="1"/>
  <c r="J302" i="90"/>
  <c r="L302" i="90" s="1"/>
  <c r="J301" i="90"/>
  <c r="L301" i="90" s="1"/>
  <c r="L300" i="90"/>
  <c r="J300" i="90"/>
  <c r="L299" i="90"/>
  <c r="J299" i="90"/>
  <c r="J298" i="90"/>
  <c r="L298" i="90" s="1"/>
  <c r="J297" i="90"/>
  <c r="L297" i="90" s="1"/>
  <c r="L296" i="90"/>
  <c r="J296" i="90"/>
  <c r="J295" i="90"/>
  <c r="L295" i="90" s="1"/>
  <c r="J294" i="90"/>
  <c r="L294" i="90" s="1"/>
  <c r="J293" i="90"/>
  <c r="L293" i="90" s="1"/>
  <c r="L292" i="90"/>
  <c r="J292" i="90"/>
  <c r="L291" i="90"/>
  <c r="J291" i="90"/>
  <c r="J290" i="90"/>
  <c r="L290" i="90" s="1"/>
  <c r="J289" i="90"/>
  <c r="L289" i="90" s="1"/>
  <c r="L288" i="90"/>
  <c r="J288" i="90"/>
  <c r="J287" i="90"/>
  <c r="L287" i="90" s="1"/>
  <c r="J286" i="90"/>
  <c r="L286" i="90" s="1"/>
  <c r="J285" i="90"/>
  <c r="L285" i="90" s="1"/>
  <c r="L284" i="90"/>
  <c r="J284" i="90"/>
  <c r="L283" i="90"/>
  <c r="J283" i="90"/>
  <c r="J282" i="90"/>
  <c r="L282" i="90" s="1"/>
  <c r="J281" i="90"/>
  <c r="L281" i="90" s="1"/>
  <c r="L280" i="90"/>
  <c r="J280" i="90"/>
  <c r="J279" i="90"/>
  <c r="L279" i="90" s="1"/>
  <c r="J278" i="90"/>
  <c r="L278" i="90" s="1"/>
  <c r="J277" i="90"/>
  <c r="L277" i="90" s="1"/>
  <c r="L276" i="90"/>
  <c r="J276" i="90"/>
  <c r="L275" i="90"/>
  <c r="J275" i="90"/>
  <c r="L274" i="90"/>
  <c r="J274" i="90"/>
  <c r="J273" i="90"/>
  <c r="L273" i="90" s="1"/>
  <c r="L272" i="90"/>
  <c r="J272" i="90"/>
  <c r="J271" i="90"/>
  <c r="L271" i="90" s="1"/>
  <c r="J270" i="90"/>
  <c r="L270" i="90" s="1"/>
  <c r="J269" i="90"/>
  <c r="L269" i="90" s="1"/>
  <c r="L268" i="90"/>
  <c r="J268" i="90"/>
  <c r="L267" i="90"/>
  <c r="J267" i="90"/>
  <c r="L266" i="90"/>
  <c r="J266" i="90"/>
  <c r="J265" i="90"/>
  <c r="L265" i="90" s="1"/>
  <c r="L264" i="90"/>
  <c r="J264" i="90"/>
  <c r="J263" i="90"/>
  <c r="L263" i="90" s="1"/>
  <c r="J262" i="90"/>
  <c r="L262" i="90" s="1"/>
  <c r="J261" i="90"/>
  <c r="L261" i="90" s="1"/>
  <c r="L260" i="90"/>
  <c r="J260" i="90"/>
  <c r="L259" i="90"/>
  <c r="J259" i="90"/>
  <c r="L258" i="90"/>
  <c r="J258" i="90"/>
  <c r="J257" i="90"/>
  <c r="L257" i="90" s="1"/>
  <c r="L256" i="90"/>
  <c r="J256" i="90"/>
  <c r="J255" i="90"/>
  <c r="L255" i="90" s="1"/>
  <c r="J254" i="90"/>
  <c r="L254" i="90" s="1"/>
  <c r="J253" i="90"/>
  <c r="L253" i="90" s="1"/>
  <c r="L252" i="90"/>
  <c r="J252" i="90"/>
  <c r="L251" i="90"/>
  <c r="J251" i="90"/>
  <c r="L250" i="90"/>
  <c r="J250" i="90"/>
  <c r="J249" i="90"/>
  <c r="L249" i="90" s="1"/>
  <c r="L248" i="90"/>
  <c r="J248" i="90"/>
  <c r="J247" i="90"/>
  <c r="L247" i="90" s="1"/>
  <c r="J246" i="90"/>
  <c r="L246" i="90" s="1"/>
  <c r="J245" i="90"/>
  <c r="L245" i="90" s="1"/>
  <c r="L244" i="90"/>
  <c r="J244" i="90"/>
  <c r="L243" i="90"/>
  <c r="J243" i="90"/>
  <c r="L242" i="90"/>
  <c r="J242" i="90"/>
  <c r="J241" i="90"/>
  <c r="L241" i="90" s="1"/>
  <c r="L240" i="90"/>
  <c r="J240" i="90"/>
  <c r="J239" i="90"/>
  <c r="L239" i="90" s="1"/>
  <c r="J238" i="90"/>
  <c r="L238" i="90" s="1"/>
  <c r="L237" i="90"/>
  <c r="L236" i="90"/>
  <c r="L235" i="90"/>
  <c r="L234" i="90"/>
  <c r="L233" i="90"/>
  <c r="L232" i="90"/>
  <c r="L231" i="90"/>
  <c r="L230" i="90"/>
  <c r="L229" i="90"/>
  <c r="L228" i="90"/>
  <c r="L227" i="90"/>
  <c r="L226" i="90"/>
  <c r="L225" i="90"/>
  <c r="L224" i="90"/>
  <c r="L223" i="90"/>
  <c r="L222" i="90"/>
  <c r="L221" i="90"/>
  <c r="L220" i="90"/>
  <c r="L219" i="90"/>
  <c r="L218" i="90"/>
  <c r="L217" i="90"/>
  <c r="L216" i="90"/>
  <c r="L215" i="90"/>
  <c r="L214" i="90"/>
  <c r="L213" i="90"/>
  <c r="L212" i="90"/>
  <c r="L211" i="90"/>
  <c r="L210" i="90"/>
  <c r="L209" i="90"/>
  <c r="L208" i="90"/>
  <c r="L207" i="90"/>
  <c r="L206" i="90"/>
  <c r="L205" i="90"/>
  <c r="L204" i="90"/>
  <c r="L203" i="90"/>
  <c r="L202" i="90"/>
  <c r="L201" i="90"/>
  <c r="L200" i="90"/>
  <c r="L199" i="90"/>
  <c r="L198" i="90"/>
  <c r="L197" i="90"/>
  <c r="L196" i="90"/>
  <c r="L195" i="90"/>
  <c r="L194" i="90"/>
  <c r="L193" i="90"/>
  <c r="L192" i="90"/>
  <c r="L191" i="90"/>
  <c r="L190" i="90"/>
  <c r="L189" i="90"/>
  <c r="L188" i="90"/>
  <c r="L187" i="90"/>
  <c r="L186" i="90"/>
  <c r="L185" i="90"/>
  <c r="L184" i="90"/>
  <c r="L183" i="90"/>
  <c r="L182" i="90"/>
  <c r="L181" i="90"/>
  <c r="L180" i="90"/>
  <c r="L179" i="90"/>
  <c r="L178" i="90"/>
  <c r="L177" i="90"/>
  <c r="L176" i="90"/>
  <c r="L175" i="90"/>
  <c r="L174" i="90"/>
  <c r="L173" i="90"/>
  <c r="L172" i="90"/>
  <c r="L171" i="90"/>
  <c r="L170" i="90"/>
  <c r="L169" i="90"/>
  <c r="L168" i="90"/>
  <c r="L167" i="90"/>
  <c r="L166" i="90"/>
  <c r="L165" i="90"/>
  <c r="L164" i="90"/>
  <c r="L163" i="90"/>
  <c r="L162" i="90"/>
  <c r="L161" i="90"/>
  <c r="L160" i="90"/>
  <c r="L159" i="90"/>
  <c r="L158" i="90"/>
  <c r="L157" i="90"/>
  <c r="L156" i="90"/>
  <c r="L155" i="90"/>
  <c r="L154" i="90"/>
  <c r="L153" i="90"/>
  <c r="L152" i="90"/>
  <c r="L151" i="90"/>
  <c r="L150" i="90"/>
  <c r="L149" i="90"/>
  <c r="L148" i="90"/>
  <c r="L147" i="90"/>
  <c r="L146" i="90"/>
  <c r="L145" i="90"/>
  <c r="L144" i="90"/>
  <c r="L143" i="90"/>
  <c r="L142" i="90"/>
  <c r="L141" i="90"/>
  <c r="L140" i="90"/>
  <c r="L139" i="90"/>
  <c r="L138" i="90"/>
  <c r="L137" i="90"/>
  <c r="L136" i="90"/>
  <c r="L135" i="90"/>
  <c r="L134" i="90"/>
  <c r="L133" i="90"/>
  <c r="L132" i="90"/>
  <c r="L131" i="90"/>
  <c r="L130" i="90"/>
  <c r="L129" i="90"/>
  <c r="L128" i="90"/>
  <c r="L127" i="90"/>
  <c r="L126" i="90"/>
  <c r="L125" i="90"/>
  <c r="L124" i="90"/>
  <c r="L123" i="90"/>
  <c r="L122" i="90"/>
  <c r="L121" i="90"/>
  <c r="L120" i="90"/>
  <c r="L119" i="90"/>
  <c r="L118" i="90"/>
  <c r="L117" i="90"/>
  <c r="L116" i="90"/>
  <c r="L115" i="90"/>
  <c r="L114" i="90"/>
  <c r="L113" i="90"/>
  <c r="L112" i="90"/>
  <c r="L111" i="90"/>
  <c r="L110" i="90"/>
  <c r="L109" i="90"/>
  <c r="L108" i="90"/>
  <c r="L107" i="90"/>
  <c r="L106" i="90"/>
  <c r="L105" i="90"/>
  <c r="L104" i="90"/>
  <c r="L103" i="90"/>
  <c r="L102" i="90"/>
  <c r="L101" i="90"/>
  <c r="L100" i="90"/>
  <c r="L99" i="90"/>
  <c r="L98" i="90"/>
  <c r="L97" i="90"/>
  <c r="L96" i="90"/>
  <c r="L95" i="90"/>
  <c r="L94" i="90"/>
  <c r="L93" i="90"/>
  <c r="L92" i="90"/>
  <c r="L91" i="90"/>
  <c r="L90" i="90"/>
  <c r="L89" i="90"/>
  <c r="L88" i="90"/>
  <c r="L87" i="90"/>
  <c r="L86" i="90"/>
  <c r="L85" i="90"/>
  <c r="L84" i="90"/>
  <c r="L83" i="90"/>
  <c r="L82" i="90"/>
  <c r="L81" i="90"/>
  <c r="L80" i="90"/>
  <c r="L79" i="90"/>
  <c r="L78" i="90"/>
  <c r="L77" i="90"/>
  <c r="L76" i="90"/>
  <c r="L75" i="90"/>
  <c r="L74" i="90"/>
  <c r="L73" i="90"/>
  <c r="L72" i="90"/>
  <c r="L71" i="90"/>
  <c r="L70" i="90"/>
  <c r="L69" i="90"/>
  <c r="L68" i="90"/>
  <c r="L67" i="90"/>
  <c r="L66" i="90"/>
  <c r="L65" i="90"/>
  <c r="L64" i="90"/>
  <c r="L63" i="90"/>
  <c r="L62" i="90"/>
  <c r="L61" i="90"/>
  <c r="L60" i="90"/>
  <c r="L59" i="90"/>
  <c r="L58" i="90"/>
  <c r="L57" i="90"/>
  <c r="L56" i="90"/>
  <c r="L55" i="90"/>
  <c r="L54" i="90"/>
  <c r="L53" i="90"/>
  <c r="L52" i="90"/>
  <c r="L51" i="90"/>
  <c r="L50" i="90"/>
  <c r="L49" i="90"/>
  <c r="L48" i="90"/>
  <c r="L47" i="90"/>
  <c r="L46" i="90"/>
  <c r="L45" i="90"/>
  <c r="L44" i="90"/>
  <c r="L43" i="90"/>
  <c r="L42" i="90"/>
  <c r="L41" i="90"/>
  <c r="L40" i="90"/>
  <c r="L39" i="90"/>
  <c r="L38" i="90"/>
  <c r="L37" i="90"/>
  <c r="L36" i="90"/>
  <c r="L35" i="90"/>
  <c r="L34" i="90"/>
  <c r="L33" i="90"/>
  <c r="L32" i="90"/>
  <c r="L31" i="90"/>
  <c r="L30" i="90"/>
  <c r="L29" i="90"/>
  <c r="L28" i="90"/>
  <c r="L27" i="90"/>
  <c r="L26" i="90"/>
  <c r="L25" i="90"/>
  <c r="L24" i="90"/>
  <c r="L23" i="90"/>
  <c r="L22" i="90"/>
  <c r="L21" i="90"/>
  <c r="L20" i="90"/>
  <c r="L19" i="90"/>
  <c r="L18" i="90"/>
  <c r="L17" i="90"/>
  <c r="L16" i="90"/>
  <c r="L15" i="90"/>
  <c r="L14" i="90"/>
  <c r="L13" i="90"/>
  <c r="L12" i="90"/>
  <c r="L11" i="90"/>
  <c r="L10" i="90"/>
  <c r="L9" i="90"/>
  <c r="L8" i="90"/>
  <c r="L7" i="90"/>
  <c r="L6" i="90"/>
  <c r="L5" i="90"/>
  <c r="L4" i="90"/>
  <c r="L3" i="90"/>
  <c r="L2" i="90"/>
  <c r="N2" i="90" s="1"/>
  <c r="O12" i="90" l="1"/>
  <c r="B47" i="14" s="1"/>
  <c r="N3" i="90"/>
  <c r="N4" i="90" s="1"/>
  <c r="N5" i="90" s="1"/>
  <c r="N6" i="90" s="1"/>
  <c r="N7" i="90" s="1"/>
  <c r="N8" i="90" s="1"/>
  <c r="N9" i="90" s="1"/>
  <c r="N10" i="90" s="1"/>
  <c r="N11" i="90" s="1"/>
  <c r="N12" i="90" s="1"/>
  <c r="N13" i="90" s="1"/>
  <c r="N14" i="90" s="1"/>
  <c r="N15" i="90" s="1"/>
  <c r="N16" i="90" s="1"/>
  <c r="N17" i="90" s="1"/>
  <c r="N18" i="90" s="1"/>
  <c r="N19" i="90" s="1"/>
  <c r="N20" i="90" s="1"/>
  <c r="N21" i="90" s="1"/>
  <c r="N22" i="90" s="1"/>
  <c r="N23" i="90" s="1"/>
  <c r="N24" i="90" s="1"/>
  <c r="N25" i="90" s="1"/>
  <c r="N26" i="90" s="1"/>
  <c r="N27" i="90" s="1"/>
  <c r="N28" i="90" s="1"/>
  <c r="N29" i="90" s="1"/>
  <c r="N30" i="90" s="1"/>
  <c r="N31" i="90" s="1"/>
  <c r="N32" i="90" s="1"/>
  <c r="N33" i="90" s="1"/>
  <c r="N34" i="90" s="1"/>
  <c r="N35" i="90" s="1"/>
  <c r="N36" i="90" s="1"/>
  <c r="N37" i="90" s="1"/>
  <c r="N38" i="90" s="1"/>
  <c r="N39" i="90" s="1"/>
  <c r="N40" i="90" s="1"/>
  <c r="N41" i="90" s="1"/>
  <c r="N42" i="90" s="1"/>
  <c r="N43" i="90" s="1"/>
  <c r="N44" i="90" s="1"/>
  <c r="N45" i="90" s="1"/>
  <c r="N46" i="90" s="1"/>
  <c r="N47" i="90" s="1"/>
  <c r="N48" i="90" s="1"/>
  <c r="N49" i="90" s="1"/>
  <c r="N50" i="90" s="1"/>
  <c r="N51" i="90" s="1"/>
  <c r="N52" i="90" s="1"/>
  <c r="N53" i="90" s="1"/>
  <c r="N54" i="90" s="1"/>
  <c r="N55" i="90" s="1"/>
  <c r="N56" i="90" s="1"/>
  <c r="N57" i="90" s="1"/>
  <c r="N58" i="90" s="1"/>
  <c r="N59" i="90" s="1"/>
  <c r="N60" i="90" s="1"/>
  <c r="N61" i="90" s="1"/>
  <c r="N62" i="90" s="1"/>
  <c r="N63" i="90" s="1"/>
  <c r="N64" i="90" s="1"/>
  <c r="N65" i="90" s="1"/>
  <c r="N66" i="90" s="1"/>
  <c r="N67" i="90" s="1"/>
  <c r="N68" i="90" s="1"/>
  <c r="N69" i="90" s="1"/>
  <c r="N70" i="90" s="1"/>
  <c r="N71" i="90" s="1"/>
  <c r="N72" i="90" s="1"/>
  <c r="N73" i="90" s="1"/>
  <c r="N74" i="90" s="1"/>
  <c r="N75" i="90" s="1"/>
  <c r="N76" i="90" s="1"/>
  <c r="N77" i="90" s="1"/>
  <c r="N78" i="90" s="1"/>
  <c r="N79" i="90" s="1"/>
  <c r="N80" i="90" s="1"/>
  <c r="N81" i="90" s="1"/>
  <c r="N82" i="90" s="1"/>
  <c r="N83" i="90" s="1"/>
  <c r="N84" i="90" s="1"/>
  <c r="N85" i="90" s="1"/>
  <c r="N86" i="90" s="1"/>
  <c r="N87" i="90" s="1"/>
  <c r="N88" i="90" s="1"/>
  <c r="N89" i="90" s="1"/>
  <c r="N90" i="90" s="1"/>
  <c r="N91" i="90" s="1"/>
  <c r="N92" i="90" s="1"/>
  <c r="N93" i="90" s="1"/>
  <c r="N94" i="90" s="1"/>
  <c r="N95" i="90" s="1"/>
  <c r="N96" i="90" s="1"/>
  <c r="N97" i="90" s="1"/>
  <c r="N98" i="90" s="1"/>
  <c r="N99" i="90" s="1"/>
  <c r="N100" i="90" s="1"/>
  <c r="N101" i="90" s="1"/>
  <c r="N102" i="90" s="1"/>
  <c r="N103" i="90" s="1"/>
  <c r="N104" i="90" s="1"/>
  <c r="N105" i="90" s="1"/>
  <c r="N106" i="90" s="1"/>
  <c r="N107" i="90" s="1"/>
  <c r="N108" i="90" s="1"/>
  <c r="N109" i="90" s="1"/>
  <c r="N110" i="90" s="1"/>
  <c r="N111" i="90" s="1"/>
  <c r="N112" i="90" s="1"/>
  <c r="N113" i="90" s="1"/>
  <c r="N114" i="90" s="1"/>
  <c r="N115" i="90" s="1"/>
  <c r="N116" i="90" s="1"/>
  <c r="N117" i="90" s="1"/>
  <c r="N118" i="90" s="1"/>
  <c r="N119" i="90" s="1"/>
  <c r="N120" i="90" s="1"/>
  <c r="N121" i="90" s="1"/>
  <c r="N122" i="90" s="1"/>
  <c r="N123" i="90" s="1"/>
  <c r="N124" i="90" s="1"/>
  <c r="N125" i="90" s="1"/>
  <c r="N126" i="90" s="1"/>
  <c r="N127" i="90" s="1"/>
  <c r="N128" i="90" s="1"/>
  <c r="N129" i="90" s="1"/>
  <c r="N130" i="90" s="1"/>
  <c r="N131" i="90" s="1"/>
  <c r="N132" i="90" s="1"/>
  <c r="N133" i="90" s="1"/>
  <c r="N134" i="90" s="1"/>
  <c r="N135" i="90" s="1"/>
  <c r="N136" i="90" s="1"/>
  <c r="N137" i="90" s="1"/>
  <c r="N138" i="90" s="1"/>
  <c r="N139" i="90" s="1"/>
  <c r="N140" i="90" s="1"/>
  <c r="N141" i="90" s="1"/>
  <c r="N142" i="90" s="1"/>
  <c r="N143" i="90" s="1"/>
  <c r="N144" i="90" s="1"/>
  <c r="N145" i="90" s="1"/>
  <c r="N146" i="90" s="1"/>
  <c r="N147" i="90" s="1"/>
  <c r="N148" i="90" s="1"/>
  <c r="N149" i="90" s="1"/>
  <c r="N150" i="90" s="1"/>
  <c r="N151" i="90" s="1"/>
  <c r="N152" i="90" s="1"/>
  <c r="N153" i="90" s="1"/>
  <c r="N154" i="90" s="1"/>
  <c r="N155" i="90" s="1"/>
  <c r="N156" i="90" s="1"/>
  <c r="N157" i="90" s="1"/>
  <c r="N158" i="90" s="1"/>
  <c r="N159" i="90" s="1"/>
  <c r="N160" i="90" s="1"/>
  <c r="N161" i="90" s="1"/>
  <c r="N162" i="90" s="1"/>
  <c r="N163" i="90" s="1"/>
  <c r="N164" i="90" s="1"/>
  <c r="N165" i="90" s="1"/>
  <c r="N166" i="90" s="1"/>
  <c r="N167" i="90" s="1"/>
  <c r="N168" i="90" s="1"/>
  <c r="N169" i="90" s="1"/>
  <c r="N170" i="90" s="1"/>
  <c r="N171" i="90" s="1"/>
  <c r="N172" i="90" s="1"/>
  <c r="N173" i="90" s="1"/>
  <c r="N174" i="90" s="1"/>
  <c r="N175" i="90" s="1"/>
  <c r="N176" i="90" s="1"/>
  <c r="N177" i="90" s="1"/>
  <c r="N178" i="90" s="1"/>
  <c r="N179" i="90" s="1"/>
  <c r="N180" i="90" s="1"/>
  <c r="N181" i="90" s="1"/>
  <c r="N182" i="90" s="1"/>
  <c r="N183" i="90" s="1"/>
  <c r="N184" i="90" s="1"/>
  <c r="N185" i="90" s="1"/>
  <c r="N186" i="90" s="1"/>
  <c r="N187" i="90" s="1"/>
  <c r="N188" i="90" s="1"/>
  <c r="N189" i="90" s="1"/>
  <c r="N190" i="90" s="1"/>
  <c r="N191" i="90" s="1"/>
  <c r="N192" i="90" s="1"/>
  <c r="N193" i="90" s="1"/>
  <c r="N194" i="90" s="1"/>
  <c r="N195" i="90" s="1"/>
  <c r="N196" i="90" s="1"/>
  <c r="N197" i="90" s="1"/>
  <c r="N198" i="90" s="1"/>
  <c r="N199" i="90" s="1"/>
  <c r="N200" i="90" s="1"/>
  <c r="N201" i="90" s="1"/>
  <c r="N202" i="90" s="1"/>
  <c r="N203" i="90" s="1"/>
  <c r="N204" i="90" s="1"/>
  <c r="N205" i="90" s="1"/>
  <c r="N206" i="90" s="1"/>
  <c r="N207" i="90" s="1"/>
  <c r="N208" i="90" s="1"/>
  <c r="N209" i="90" s="1"/>
  <c r="N210" i="90" s="1"/>
  <c r="N211" i="90" s="1"/>
  <c r="N212" i="90" s="1"/>
  <c r="N213" i="90" s="1"/>
  <c r="N214" i="90" s="1"/>
  <c r="N215" i="90" s="1"/>
  <c r="N216" i="90" s="1"/>
  <c r="N217" i="90" s="1"/>
  <c r="N218" i="90" s="1"/>
  <c r="N219" i="90" s="1"/>
  <c r="N220" i="90" s="1"/>
  <c r="N221" i="90" s="1"/>
  <c r="N222" i="90" s="1"/>
  <c r="N223" i="90" s="1"/>
  <c r="N224" i="90" s="1"/>
  <c r="N225" i="90" s="1"/>
  <c r="N226" i="90" s="1"/>
  <c r="N227" i="90" s="1"/>
  <c r="N228" i="90" s="1"/>
  <c r="N229" i="90" s="1"/>
  <c r="N230" i="90" s="1"/>
  <c r="N231" i="90" s="1"/>
  <c r="N232" i="90" s="1"/>
  <c r="N233" i="90" s="1"/>
  <c r="N234" i="90" s="1"/>
  <c r="N235" i="90" s="1"/>
  <c r="N236" i="90" s="1"/>
  <c r="N237" i="90" s="1"/>
  <c r="N238" i="90" s="1"/>
  <c r="N239" i="90" s="1"/>
  <c r="N240" i="90" s="1"/>
  <c r="N241" i="90" s="1"/>
  <c r="N242" i="90" s="1"/>
  <c r="N243" i="90" s="1"/>
  <c r="N244" i="90" s="1"/>
  <c r="N245" i="90" s="1"/>
  <c r="N246" i="90" s="1"/>
  <c r="N247" i="90" s="1"/>
  <c r="N248" i="90" s="1"/>
  <c r="N249" i="90" s="1"/>
  <c r="N250" i="90" s="1"/>
  <c r="N251" i="90" s="1"/>
  <c r="N252" i="90" s="1"/>
  <c r="N253" i="90" s="1"/>
  <c r="N254" i="90" s="1"/>
  <c r="N255" i="90" s="1"/>
  <c r="N256" i="90" s="1"/>
  <c r="N257" i="90" s="1"/>
  <c r="N258" i="90" s="1"/>
  <c r="N259" i="90" s="1"/>
  <c r="N260" i="90" s="1"/>
  <c r="N261" i="90" s="1"/>
  <c r="N262" i="90" s="1"/>
  <c r="N263" i="90" s="1"/>
  <c r="N264" i="90" s="1"/>
  <c r="N265" i="90" s="1"/>
  <c r="N266" i="90" s="1"/>
  <c r="N267" i="90" s="1"/>
  <c r="N268" i="90" s="1"/>
  <c r="N269" i="90" s="1"/>
  <c r="N270" i="90" s="1"/>
  <c r="N271" i="90" s="1"/>
  <c r="N272" i="90" s="1"/>
  <c r="N273" i="90" s="1"/>
  <c r="N274" i="90" s="1"/>
  <c r="N275" i="90" s="1"/>
  <c r="N276" i="90" s="1"/>
  <c r="N277" i="90" s="1"/>
  <c r="N278" i="90" s="1"/>
  <c r="N279" i="90" s="1"/>
  <c r="N280" i="90" s="1"/>
  <c r="N281" i="90" s="1"/>
  <c r="N282" i="90" s="1"/>
  <c r="N283" i="90" s="1"/>
  <c r="N284" i="90" s="1"/>
  <c r="N285" i="90" s="1"/>
  <c r="N286" i="90" s="1"/>
  <c r="N287" i="90" s="1"/>
  <c r="N288" i="90" s="1"/>
  <c r="N289" i="90" s="1"/>
  <c r="N290" i="90" s="1"/>
  <c r="N291" i="90" s="1"/>
  <c r="N292" i="90" s="1"/>
  <c r="N293" i="90" s="1"/>
  <c r="N294" i="90" s="1"/>
  <c r="N295" i="90" s="1"/>
  <c r="N296" i="90" s="1"/>
  <c r="N297" i="90" s="1"/>
  <c r="N298" i="90" s="1"/>
  <c r="N299" i="90" s="1"/>
  <c r="N300" i="90" s="1"/>
  <c r="N301" i="90" s="1"/>
  <c r="N302" i="90" s="1"/>
  <c r="N303" i="90" s="1"/>
  <c r="N304" i="90" s="1"/>
  <c r="N305" i="90" s="1"/>
  <c r="N306" i="90" s="1"/>
  <c r="N307" i="90" s="1"/>
  <c r="N308" i="90" s="1"/>
  <c r="N309" i="90" s="1"/>
  <c r="N310" i="90" s="1"/>
  <c r="N311" i="90" s="1"/>
  <c r="N312" i="90" s="1"/>
  <c r="N313" i="90" s="1"/>
  <c r="N314" i="90" s="1"/>
  <c r="N315" i="90" s="1"/>
  <c r="N316" i="90" s="1"/>
  <c r="N317" i="90" s="1"/>
  <c r="N318" i="90" s="1"/>
  <c r="N319" i="90" s="1"/>
  <c r="N320" i="90" s="1"/>
  <c r="N321" i="90" s="1"/>
  <c r="N322" i="90" s="1"/>
  <c r="N323" i="90" s="1"/>
  <c r="N324" i="90" s="1"/>
  <c r="N325" i="90" s="1"/>
  <c r="N326" i="90" s="1"/>
  <c r="N327" i="90" s="1"/>
  <c r="N328" i="90" s="1"/>
  <c r="N329" i="90" s="1"/>
  <c r="N330" i="90" s="1"/>
  <c r="N331" i="90" s="1"/>
  <c r="N332" i="90" s="1"/>
  <c r="N333" i="90" s="1"/>
  <c r="N334" i="90" s="1"/>
  <c r="N335" i="90" s="1"/>
  <c r="N336" i="90" s="1"/>
  <c r="N337" i="90" s="1"/>
  <c r="N338" i="90" s="1"/>
  <c r="K47" i="19"/>
  <c r="K46" i="19"/>
  <c r="K45" i="19"/>
  <c r="H47" i="19"/>
  <c r="J42" i="36" l="1"/>
  <c r="H42" i="36"/>
  <c r="J34" i="4" l="1"/>
  <c r="H34" i="4"/>
  <c r="J33" i="4"/>
  <c r="H33" i="4"/>
  <c r="I32" i="65" l="1"/>
  <c r="I33" i="65"/>
  <c r="K4" i="66"/>
  <c r="K3" i="66"/>
  <c r="K2" i="66"/>
  <c r="I2" i="66"/>
  <c r="I3" i="66"/>
  <c r="I4" i="66"/>
  <c r="I6" i="66"/>
  <c r="I7" i="66"/>
  <c r="I8" i="66"/>
  <c r="I9" i="66"/>
  <c r="I10" i="66"/>
  <c r="I11" i="66"/>
  <c r="I12" i="66"/>
  <c r="I13" i="66"/>
  <c r="I14" i="66"/>
  <c r="I15" i="66"/>
  <c r="I16" i="66"/>
  <c r="I17" i="66"/>
  <c r="I18" i="66"/>
  <c r="I19" i="66"/>
  <c r="I20" i="66"/>
  <c r="I21" i="66"/>
  <c r="I22" i="66"/>
  <c r="I23" i="66"/>
  <c r="I24" i="66"/>
  <c r="I25" i="66"/>
  <c r="I26" i="66"/>
  <c r="I27" i="66"/>
  <c r="I28" i="66"/>
  <c r="I29" i="66"/>
  <c r="I30" i="66"/>
  <c r="I31" i="66"/>
  <c r="I32" i="66"/>
  <c r="I33" i="66"/>
  <c r="I34" i="66"/>
  <c r="I35" i="66"/>
  <c r="I36" i="66"/>
  <c r="I37" i="66"/>
  <c r="I38" i="66"/>
  <c r="I39" i="66"/>
  <c r="I40" i="66"/>
  <c r="I41" i="66"/>
  <c r="I42" i="66"/>
  <c r="I43" i="66"/>
  <c r="I44" i="66"/>
  <c r="I45" i="66"/>
  <c r="I46" i="66"/>
  <c r="I47" i="66"/>
  <c r="I48" i="66"/>
  <c r="I49" i="66"/>
  <c r="I50" i="66"/>
  <c r="I51" i="66"/>
  <c r="I52" i="66"/>
  <c r="I53" i="66"/>
  <c r="I54" i="66"/>
  <c r="I55" i="66"/>
  <c r="I56" i="66"/>
  <c r="I57" i="66"/>
  <c r="I58" i="66"/>
  <c r="I59" i="66"/>
  <c r="I60" i="66"/>
  <c r="I61" i="66"/>
  <c r="I62" i="66"/>
  <c r="I63" i="66"/>
  <c r="I64" i="66"/>
  <c r="I65" i="66"/>
  <c r="I66" i="66"/>
  <c r="I67" i="66"/>
  <c r="I68" i="66"/>
  <c r="I69" i="66"/>
  <c r="I70" i="66"/>
  <c r="I71" i="66"/>
  <c r="I72" i="66"/>
  <c r="I73" i="66"/>
  <c r="I74" i="66"/>
  <c r="I75" i="66"/>
  <c r="I76" i="66"/>
  <c r="I77" i="66"/>
  <c r="I78" i="66"/>
  <c r="I79" i="66"/>
  <c r="I80" i="66"/>
  <c r="I81" i="66"/>
  <c r="I82" i="66"/>
  <c r="I83" i="66"/>
  <c r="I84" i="66"/>
  <c r="I85" i="66"/>
  <c r="I86" i="66"/>
  <c r="I87" i="66"/>
  <c r="I88" i="66"/>
  <c r="I89" i="66"/>
  <c r="I90" i="66"/>
  <c r="I91" i="66"/>
  <c r="I92" i="66"/>
  <c r="I93" i="66"/>
  <c r="I94" i="66"/>
  <c r="I95" i="66"/>
  <c r="I96" i="66"/>
  <c r="I97" i="66"/>
  <c r="I98" i="66"/>
  <c r="I99" i="66"/>
  <c r="I100" i="66"/>
  <c r="I101" i="66"/>
  <c r="I102" i="66"/>
  <c r="I103" i="66"/>
  <c r="I104" i="66"/>
  <c r="I105" i="66"/>
  <c r="I106" i="66"/>
  <c r="I107" i="66"/>
  <c r="I108" i="66"/>
  <c r="I109" i="66"/>
  <c r="I110" i="66"/>
  <c r="I111" i="66"/>
  <c r="I112" i="66"/>
  <c r="I113" i="66"/>
  <c r="I114" i="66"/>
  <c r="I115" i="66"/>
  <c r="I116" i="66"/>
  <c r="I117" i="66"/>
  <c r="I118" i="66"/>
  <c r="I119" i="66"/>
  <c r="I120" i="66"/>
  <c r="I121" i="66"/>
  <c r="I122" i="66"/>
  <c r="I123" i="66"/>
  <c r="I124" i="66"/>
  <c r="I125" i="66"/>
  <c r="I126" i="66"/>
  <c r="I127" i="66"/>
  <c r="I128" i="66"/>
  <c r="I129" i="66"/>
  <c r="I130" i="66"/>
  <c r="I131" i="66"/>
  <c r="I132" i="66"/>
  <c r="I133" i="66"/>
  <c r="I134" i="66"/>
  <c r="I135" i="66"/>
  <c r="I136" i="66"/>
  <c r="I137" i="66"/>
  <c r="I138" i="66"/>
  <c r="I139" i="66"/>
  <c r="I140" i="66"/>
  <c r="I141" i="66"/>
  <c r="I142" i="66"/>
  <c r="I143" i="66"/>
  <c r="I144" i="66"/>
  <c r="I145" i="66"/>
  <c r="I146" i="66"/>
  <c r="I147" i="66"/>
  <c r="I148" i="66"/>
  <c r="I149" i="66"/>
  <c r="I150" i="66"/>
  <c r="I151" i="66"/>
  <c r="I152" i="66"/>
  <c r="I153" i="66"/>
  <c r="I154" i="66"/>
  <c r="I155" i="66"/>
  <c r="I156" i="66"/>
  <c r="I157" i="66"/>
  <c r="I158" i="66"/>
  <c r="I159" i="66"/>
  <c r="I160" i="66"/>
  <c r="I161" i="66"/>
  <c r="I162" i="66"/>
  <c r="I163" i="66"/>
  <c r="I164" i="66"/>
  <c r="I165" i="66"/>
  <c r="I166" i="66"/>
  <c r="I167" i="66"/>
  <c r="I168" i="66"/>
  <c r="I169" i="66"/>
  <c r="I170" i="66"/>
  <c r="I171" i="66"/>
  <c r="I172" i="66"/>
  <c r="I173" i="66"/>
  <c r="I174" i="66"/>
  <c r="I175" i="66"/>
  <c r="I176" i="66"/>
  <c r="I177" i="66"/>
  <c r="I178" i="66"/>
  <c r="I179" i="66"/>
  <c r="I180" i="66"/>
  <c r="I181" i="66"/>
  <c r="I182" i="66"/>
  <c r="I183" i="66"/>
  <c r="I184" i="66"/>
  <c r="I185" i="66"/>
  <c r="I186" i="66"/>
  <c r="I187" i="66"/>
  <c r="I188" i="66"/>
  <c r="I189" i="66"/>
  <c r="I190" i="66"/>
  <c r="I191" i="66"/>
  <c r="I192" i="66"/>
  <c r="I193" i="66"/>
  <c r="I194" i="66"/>
  <c r="I195" i="66"/>
  <c r="I196" i="66"/>
  <c r="I197" i="66"/>
  <c r="I198" i="66"/>
  <c r="I199" i="66"/>
  <c r="I200" i="66"/>
  <c r="I201" i="66"/>
  <c r="I202" i="66"/>
  <c r="I203" i="66"/>
  <c r="I204" i="66"/>
  <c r="I205" i="66"/>
  <c r="I206" i="66"/>
  <c r="I207" i="66"/>
  <c r="I208" i="66"/>
  <c r="I209" i="66"/>
  <c r="I210" i="66"/>
  <c r="I211" i="66"/>
  <c r="I212" i="66"/>
  <c r="I213" i="66"/>
  <c r="I214" i="66"/>
  <c r="I215" i="66"/>
  <c r="I216" i="66"/>
  <c r="I217" i="66"/>
  <c r="I218" i="66"/>
  <c r="I219" i="66"/>
  <c r="I220" i="66"/>
  <c r="I221" i="66"/>
  <c r="I222" i="66"/>
  <c r="I223" i="66"/>
  <c r="I224" i="66"/>
  <c r="I225" i="66"/>
  <c r="I226" i="66"/>
  <c r="I227" i="66"/>
  <c r="I228" i="66"/>
  <c r="I229" i="66"/>
  <c r="I230" i="66"/>
  <c r="I231" i="66"/>
  <c r="I232" i="66"/>
  <c r="I233" i="66"/>
  <c r="I234" i="66"/>
  <c r="I235" i="66"/>
  <c r="I236" i="66"/>
  <c r="I237" i="66"/>
  <c r="I238" i="66"/>
  <c r="I239" i="66"/>
  <c r="I240" i="66"/>
  <c r="I241" i="66"/>
  <c r="I242" i="66"/>
  <c r="I243" i="66"/>
  <c r="I244" i="66"/>
  <c r="I245" i="66"/>
  <c r="I246" i="66"/>
  <c r="I247" i="66"/>
  <c r="I248" i="66"/>
  <c r="I249" i="66"/>
  <c r="I250" i="66"/>
  <c r="I251" i="66"/>
  <c r="I252" i="66"/>
  <c r="I253" i="66"/>
  <c r="I254" i="66"/>
  <c r="I255" i="66"/>
  <c r="I256" i="66"/>
  <c r="I257" i="66"/>
  <c r="I258" i="66"/>
  <c r="I259" i="66"/>
  <c r="I260" i="66"/>
  <c r="I261" i="66"/>
  <c r="I262" i="66"/>
  <c r="I263" i="66"/>
  <c r="I264" i="66"/>
  <c r="I265" i="66"/>
  <c r="I266" i="66"/>
  <c r="I267" i="66"/>
  <c r="I268" i="66"/>
  <c r="I269" i="66"/>
  <c r="I270" i="66"/>
  <c r="I271" i="66"/>
  <c r="I272" i="66"/>
  <c r="I273" i="66"/>
  <c r="I274" i="66"/>
  <c r="I275" i="66"/>
  <c r="I276" i="66"/>
  <c r="I277" i="66"/>
  <c r="I278" i="66"/>
  <c r="I279" i="66"/>
  <c r="I280" i="66"/>
  <c r="I281" i="66"/>
  <c r="I282" i="66"/>
  <c r="I283" i="66"/>
  <c r="I284" i="66"/>
  <c r="I285" i="66"/>
  <c r="I286" i="66"/>
  <c r="I287" i="66"/>
  <c r="I288" i="66"/>
  <c r="I289" i="66"/>
  <c r="I290" i="66"/>
  <c r="I291" i="66"/>
  <c r="I292" i="66"/>
  <c r="I293" i="66"/>
  <c r="I294" i="66"/>
  <c r="I295" i="66"/>
  <c r="I296" i="66"/>
  <c r="I297" i="66"/>
  <c r="I298" i="66"/>
  <c r="I299" i="66"/>
  <c r="I300" i="66"/>
  <c r="I301" i="66"/>
  <c r="I302" i="66"/>
  <c r="I303" i="66"/>
  <c r="I304" i="66"/>
  <c r="I305" i="66"/>
  <c r="I306" i="66"/>
  <c r="I307" i="66"/>
  <c r="I308" i="66"/>
  <c r="I309" i="66"/>
  <c r="I310" i="66"/>
  <c r="I311" i="66"/>
  <c r="I312" i="66"/>
  <c r="I313" i="66"/>
  <c r="I314" i="66"/>
  <c r="I315" i="66"/>
  <c r="I316" i="66"/>
  <c r="I317" i="66"/>
  <c r="I318" i="66"/>
  <c r="I319" i="66"/>
  <c r="I320" i="66"/>
  <c r="I321" i="66"/>
  <c r="I322" i="66"/>
  <c r="I323" i="66"/>
  <c r="I324" i="66"/>
  <c r="I325" i="66"/>
  <c r="I326" i="66"/>
  <c r="I327" i="66"/>
  <c r="I328" i="66"/>
  <c r="I329" i="66"/>
  <c r="I330" i="66"/>
  <c r="I331" i="66"/>
  <c r="I332" i="66"/>
  <c r="I333" i="66"/>
  <c r="I334" i="66"/>
  <c r="I335" i="66"/>
  <c r="I336" i="66"/>
  <c r="I337" i="66"/>
  <c r="I338" i="66"/>
  <c r="I339" i="66"/>
  <c r="P13" i="66" l="1"/>
  <c r="G29" i="22"/>
  <c r="J18" i="24"/>
  <c r="J8" i="61" l="1"/>
  <c r="K21" i="82" l="1"/>
  <c r="J70" i="46"/>
  <c r="I30" i="65"/>
  <c r="I29" i="65"/>
  <c r="I28" i="65"/>
  <c r="I27" i="65"/>
  <c r="G33" i="65"/>
  <c r="G32" i="65"/>
  <c r="G31" i="65"/>
  <c r="G29" i="65"/>
  <c r="K2" i="88"/>
  <c r="L8" i="88"/>
  <c r="L9" i="88"/>
  <c r="L14" i="88"/>
  <c r="L17" i="88"/>
  <c r="L22" i="88"/>
  <c r="L30" i="88"/>
  <c r="L32" i="88"/>
  <c r="L33" i="88"/>
  <c r="L40" i="88"/>
  <c r="L41" i="88"/>
  <c r="L46" i="88"/>
  <c r="L49" i="88"/>
  <c r="L54" i="88"/>
  <c r="L62" i="88"/>
  <c r="L64" i="88"/>
  <c r="L65" i="88"/>
  <c r="L72" i="88"/>
  <c r="L73" i="88"/>
  <c r="L78" i="88"/>
  <c r="L81" i="88"/>
  <c r="L86" i="88"/>
  <c r="L94" i="88"/>
  <c r="L96" i="88"/>
  <c r="L97" i="88"/>
  <c r="L104" i="88"/>
  <c r="L105" i="88"/>
  <c r="L110" i="88"/>
  <c r="L112" i="88"/>
  <c r="L113" i="88"/>
  <c r="L118" i="88"/>
  <c r="L126" i="88"/>
  <c r="L128" i="88"/>
  <c r="L129" i="88"/>
  <c r="L136" i="88"/>
  <c r="L137" i="88"/>
  <c r="L142" i="88"/>
  <c r="L144" i="88"/>
  <c r="L145" i="88"/>
  <c r="L150" i="88"/>
  <c r="L158" i="88"/>
  <c r="L160" i="88"/>
  <c r="L161" i="88"/>
  <c r="L168" i="88"/>
  <c r="L169" i="88"/>
  <c r="L174" i="88"/>
  <c r="L176" i="88"/>
  <c r="L177" i="88"/>
  <c r="L182" i="88"/>
  <c r="L190" i="88"/>
  <c r="L192" i="88"/>
  <c r="L193" i="88"/>
  <c r="L200" i="88"/>
  <c r="L201" i="88"/>
  <c r="L206" i="88"/>
  <c r="L208" i="88"/>
  <c r="L209" i="88"/>
  <c r="L214" i="88"/>
  <c r="L222" i="88"/>
  <c r="L224" i="88"/>
  <c r="L225" i="88"/>
  <c r="L232" i="88"/>
  <c r="L233" i="88"/>
  <c r="H2" i="88"/>
  <c r="L16" i="88"/>
  <c r="L24" i="88"/>
  <c r="L25" i="88"/>
  <c r="L48" i="88"/>
  <c r="L56" i="88"/>
  <c r="L57" i="88"/>
  <c r="L80" i="88"/>
  <c r="L88" i="88"/>
  <c r="L89" i="88"/>
  <c r="L120" i="88"/>
  <c r="L121" i="88"/>
  <c r="L152" i="88"/>
  <c r="L153" i="88"/>
  <c r="L184" i="88"/>
  <c r="L185" i="88"/>
  <c r="L216" i="88"/>
  <c r="L217" i="88"/>
  <c r="J240" i="88"/>
  <c r="J246" i="88"/>
  <c r="J256" i="88"/>
  <c r="L256" i="88" s="1"/>
  <c r="J262" i="88"/>
  <c r="L262" i="88" s="1"/>
  <c r="J272" i="88"/>
  <c r="J278" i="88"/>
  <c r="J286" i="88"/>
  <c r="J288" i="88"/>
  <c r="J289" i="88"/>
  <c r="J296" i="88"/>
  <c r="J302" i="88"/>
  <c r="L302" i="88" s="1"/>
  <c r="J304" i="88"/>
  <c r="L304" i="88" s="1"/>
  <c r="J312" i="88"/>
  <c r="J318" i="88"/>
  <c r="J320" i="88"/>
  <c r="J321" i="88"/>
  <c r="J326" i="88"/>
  <c r="L326" i="88" s="1"/>
  <c r="J334" i="88"/>
  <c r="J336" i="88"/>
  <c r="L336" i="88" s="1"/>
  <c r="J337" i="88"/>
  <c r="L337" i="88" s="1"/>
  <c r="J338" i="88"/>
  <c r="L338" i="88" s="1"/>
  <c r="J335" i="88"/>
  <c r="L335" i="88" s="1"/>
  <c r="J333" i="88"/>
  <c r="L333" i="88" s="1"/>
  <c r="J332" i="88"/>
  <c r="L332" i="88" s="1"/>
  <c r="J331" i="88"/>
  <c r="L331" i="88" s="1"/>
  <c r="J330" i="88"/>
  <c r="L330" i="88" s="1"/>
  <c r="J328" i="88"/>
  <c r="L328" i="88" s="1"/>
  <c r="J327" i="88"/>
  <c r="L327" i="88" s="1"/>
  <c r="J325" i="88"/>
  <c r="L325" i="88" s="1"/>
  <c r="J324" i="88"/>
  <c r="L324" i="88" s="1"/>
  <c r="J323" i="88"/>
  <c r="L323" i="88" s="1"/>
  <c r="J322" i="88"/>
  <c r="L322" i="88" s="1"/>
  <c r="J319" i="88"/>
  <c r="L319" i="88" s="1"/>
  <c r="L317" i="88"/>
  <c r="J317" i="88"/>
  <c r="J316" i="88"/>
  <c r="L316" i="88" s="1"/>
  <c r="L315" i="88"/>
  <c r="J315" i="88"/>
  <c r="J314" i="88"/>
  <c r="L314" i="88" s="1"/>
  <c r="J311" i="88"/>
  <c r="L311" i="88" s="1"/>
  <c r="J310" i="88"/>
  <c r="L310" i="88" s="1"/>
  <c r="L309" i="88"/>
  <c r="J309" i="88"/>
  <c r="J308" i="88"/>
  <c r="L308" i="88" s="1"/>
  <c r="J307" i="88"/>
  <c r="L307" i="88" s="1"/>
  <c r="J306" i="88"/>
  <c r="L306" i="88" s="1"/>
  <c r="J305" i="88"/>
  <c r="J303" i="88"/>
  <c r="L303" i="88" s="1"/>
  <c r="J301" i="88"/>
  <c r="L301" i="88" s="1"/>
  <c r="J300" i="88"/>
  <c r="L300" i="88" s="1"/>
  <c r="J299" i="88"/>
  <c r="L299" i="88" s="1"/>
  <c r="J298" i="88"/>
  <c r="L298" i="88" s="1"/>
  <c r="J295" i="88"/>
  <c r="L295" i="88" s="1"/>
  <c r="J294" i="88"/>
  <c r="L293" i="88"/>
  <c r="J293" i="88"/>
  <c r="L292" i="88"/>
  <c r="J292" i="88"/>
  <c r="J291" i="88"/>
  <c r="L291" i="88" s="1"/>
  <c r="J290" i="88"/>
  <c r="L290" i="88" s="1"/>
  <c r="J287" i="88"/>
  <c r="L287" i="88" s="1"/>
  <c r="L285" i="88"/>
  <c r="J285" i="88"/>
  <c r="J284" i="88"/>
  <c r="L284" i="88" s="1"/>
  <c r="J283" i="88"/>
  <c r="L283" i="88" s="1"/>
  <c r="J282" i="88"/>
  <c r="L282" i="88" s="1"/>
  <c r="J280" i="88"/>
  <c r="L280" i="88" s="1"/>
  <c r="J279" i="88"/>
  <c r="L279" i="88" s="1"/>
  <c r="L277" i="88"/>
  <c r="J277" i="88"/>
  <c r="J276" i="88"/>
  <c r="L276" i="88" s="1"/>
  <c r="J275" i="88"/>
  <c r="L275" i="88" s="1"/>
  <c r="J274" i="88"/>
  <c r="L274" i="88" s="1"/>
  <c r="J271" i="88"/>
  <c r="L271" i="88" s="1"/>
  <c r="J270" i="88"/>
  <c r="L270" i="88" s="1"/>
  <c r="J269" i="88"/>
  <c r="L269" i="88" s="1"/>
  <c r="J268" i="88"/>
  <c r="L268" i="88" s="1"/>
  <c r="J267" i="88"/>
  <c r="L267" i="88" s="1"/>
  <c r="J266" i="88"/>
  <c r="L266" i="88" s="1"/>
  <c r="J264" i="88"/>
  <c r="J263" i="88"/>
  <c r="L263" i="88" s="1"/>
  <c r="L261" i="88"/>
  <c r="J261" i="88"/>
  <c r="J260" i="88"/>
  <c r="L260" i="88" s="1"/>
  <c r="J259" i="88"/>
  <c r="L259" i="88" s="1"/>
  <c r="J258" i="88"/>
  <c r="L258" i="88" s="1"/>
  <c r="J255" i="88"/>
  <c r="L255" i="88" s="1"/>
  <c r="J254" i="88"/>
  <c r="J253" i="88"/>
  <c r="L253" i="88" s="1"/>
  <c r="J252" i="88"/>
  <c r="L252" i="88" s="1"/>
  <c r="L251" i="88"/>
  <c r="J251" i="88"/>
  <c r="J250" i="88"/>
  <c r="L250" i="88" s="1"/>
  <c r="J248" i="88"/>
  <c r="J247" i="88"/>
  <c r="L247" i="88" s="1"/>
  <c r="L245" i="88"/>
  <c r="J245" i="88"/>
  <c r="J244" i="88"/>
  <c r="L244" i="88" s="1"/>
  <c r="J243" i="88"/>
  <c r="L243" i="88" s="1"/>
  <c r="J242" i="88"/>
  <c r="L242" i="88" s="1"/>
  <c r="J239" i="88"/>
  <c r="L239" i="88" s="1"/>
  <c r="J238" i="88"/>
  <c r="L237" i="88"/>
  <c r="L236" i="88"/>
  <c r="L235" i="88"/>
  <c r="L234" i="88"/>
  <c r="L231" i="88"/>
  <c r="L230" i="88"/>
  <c r="L229" i="88"/>
  <c r="L228" i="88"/>
  <c r="L227" i="88"/>
  <c r="L226" i="88"/>
  <c r="L223" i="88"/>
  <c r="L221" i="88"/>
  <c r="L220" i="88"/>
  <c r="L219" i="88"/>
  <c r="L218" i="88"/>
  <c r="L215" i="88"/>
  <c r="L213" i="88"/>
  <c r="L212" i="88"/>
  <c r="L211" i="88"/>
  <c r="L210" i="88"/>
  <c r="L207" i="88"/>
  <c r="L205" i="88"/>
  <c r="L204" i="88"/>
  <c r="L203" i="88"/>
  <c r="L202" i="88"/>
  <c r="L199" i="88"/>
  <c r="L198" i="88"/>
  <c r="L197" i="88"/>
  <c r="L196" i="88"/>
  <c r="L195" i="88"/>
  <c r="L194" i="88"/>
  <c r="L191" i="88"/>
  <c r="L189" i="88"/>
  <c r="L188" i="88"/>
  <c r="L187" i="88"/>
  <c r="L186" i="88"/>
  <c r="L183" i="88"/>
  <c r="L181" i="88"/>
  <c r="L180" i="88"/>
  <c r="L179" i="88"/>
  <c r="L178" i="88"/>
  <c r="L175" i="88"/>
  <c r="L173" i="88"/>
  <c r="L172" i="88"/>
  <c r="L171" i="88"/>
  <c r="L170" i="88"/>
  <c r="L167" i="88"/>
  <c r="L166" i="88"/>
  <c r="L165" i="88"/>
  <c r="L164" i="88"/>
  <c r="L163" i="88"/>
  <c r="L162" i="88"/>
  <c r="L159" i="88"/>
  <c r="L157" i="88"/>
  <c r="L156" i="88"/>
  <c r="L155" i="88"/>
  <c r="L154" i="88"/>
  <c r="L151" i="88"/>
  <c r="L149" i="88"/>
  <c r="L148" i="88"/>
  <c r="L147" i="88"/>
  <c r="L146" i="88"/>
  <c r="L143" i="88"/>
  <c r="L141" i="88"/>
  <c r="L140" i="88"/>
  <c r="L139" i="88"/>
  <c r="L138" i="88"/>
  <c r="L135" i="88"/>
  <c r="L134" i="88"/>
  <c r="L133" i="88"/>
  <c r="L132" i="88"/>
  <c r="L131" i="88"/>
  <c r="L130" i="88"/>
  <c r="L127" i="88"/>
  <c r="L125" i="88"/>
  <c r="L124" i="88"/>
  <c r="L123" i="88"/>
  <c r="L122" i="88"/>
  <c r="L119" i="88"/>
  <c r="L117" i="88"/>
  <c r="L116" i="88"/>
  <c r="L115" i="88"/>
  <c r="L114" i="88"/>
  <c r="L111" i="88"/>
  <c r="L109" i="88"/>
  <c r="L108" i="88"/>
  <c r="L107" i="88"/>
  <c r="L106" i="88"/>
  <c r="L103" i="88"/>
  <c r="L102" i="88"/>
  <c r="L101" i="88"/>
  <c r="L100" i="88"/>
  <c r="L99" i="88"/>
  <c r="L98" i="88"/>
  <c r="L95" i="88"/>
  <c r="L93" i="88"/>
  <c r="L92" i="88"/>
  <c r="L91" i="88"/>
  <c r="L90" i="88"/>
  <c r="L87" i="88"/>
  <c r="L85" i="88"/>
  <c r="L84" i="88"/>
  <c r="L83" i="88"/>
  <c r="L82" i="88"/>
  <c r="L79" i="88"/>
  <c r="L77" i="88"/>
  <c r="L76" i="88"/>
  <c r="L75" i="88"/>
  <c r="L74" i="88"/>
  <c r="L71" i="88"/>
  <c r="L70" i="88"/>
  <c r="L69" i="88"/>
  <c r="L68" i="88"/>
  <c r="L67" i="88"/>
  <c r="L66" i="88"/>
  <c r="L63" i="88"/>
  <c r="L61" i="88"/>
  <c r="L60" i="88"/>
  <c r="L59" i="88"/>
  <c r="L58" i="88"/>
  <c r="L55" i="88"/>
  <c r="L53" i="88"/>
  <c r="L52" i="88"/>
  <c r="L51" i="88"/>
  <c r="L50" i="88"/>
  <c r="L47" i="88"/>
  <c r="L45" i="88"/>
  <c r="L44" i="88"/>
  <c r="L43" i="88"/>
  <c r="L42" i="88"/>
  <c r="L39" i="88"/>
  <c r="L38" i="88"/>
  <c r="L37" i="88"/>
  <c r="L36" i="88"/>
  <c r="L35" i="88"/>
  <c r="L34" i="88"/>
  <c r="L31" i="88"/>
  <c r="L29" i="88"/>
  <c r="L28" i="88"/>
  <c r="L27" i="88"/>
  <c r="L26" i="88"/>
  <c r="L23" i="88"/>
  <c r="L21" i="88"/>
  <c r="L20" i="88"/>
  <c r="L19" i="88"/>
  <c r="L18" i="88"/>
  <c r="L15" i="88"/>
  <c r="L13" i="88"/>
  <c r="L12" i="88"/>
  <c r="L11" i="88"/>
  <c r="L10" i="88"/>
  <c r="L7" i="88"/>
  <c r="L6" i="88"/>
  <c r="L5" i="88"/>
  <c r="L4" i="88"/>
  <c r="L3" i="88"/>
  <c r="L2" i="88"/>
  <c r="N2" i="88" s="1"/>
  <c r="N3" i="88" l="1"/>
  <c r="N4" i="88" s="1"/>
  <c r="N5" i="88" s="1"/>
  <c r="N6" i="88" s="1"/>
  <c r="N7" i="88" s="1"/>
  <c r="N8" i="88" s="1"/>
  <c r="N9" i="88" s="1"/>
  <c r="N10" i="88" s="1"/>
  <c r="N11" i="88" s="1"/>
  <c r="N12" i="88" s="1"/>
  <c r="N13" i="88" s="1"/>
  <c r="N14" i="88" s="1"/>
  <c r="N15" i="88" s="1"/>
  <c r="N16" i="88" s="1"/>
  <c r="N17" i="88" s="1"/>
  <c r="N18" i="88" s="1"/>
  <c r="N19" i="88" s="1"/>
  <c r="N20" i="88" s="1"/>
  <c r="N21" i="88" s="1"/>
  <c r="N22" i="88" s="1"/>
  <c r="N23" i="88" s="1"/>
  <c r="N24" i="88" s="1"/>
  <c r="N25" i="88" s="1"/>
  <c r="N26" i="88" s="1"/>
  <c r="N27" i="88" s="1"/>
  <c r="N28" i="88" s="1"/>
  <c r="N29" i="88" s="1"/>
  <c r="N30" i="88" s="1"/>
  <c r="N31" i="88" s="1"/>
  <c r="N32" i="88" s="1"/>
  <c r="N33" i="88" s="1"/>
  <c r="N34" i="88" s="1"/>
  <c r="N35" i="88" s="1"/>
  <c r="N36" i="88" s="1"/>
  <c r="N37" i="88" s="1"/>
  <c r="N38" i="88" s="1"/>
  <c r="N39" i="88" s="1"/>
  <c r="N40" i="88" s="1"/>
  <c r="N41" i="88" s="1"/>
  <c r="N42" i="88" s="1"/>
  <c r="N43" i="88" s="1"/>
  <c r="N44" i="88" s="1"/>
  <c r="N45" i="88" s="1"/>
  <c r="N46" i="88" s="1"/>
  <c r="N47" i="88" s="1"/>
  <c r="N48" i="88" s="1"/>
  <c r="N49" i="88" s="1"/>
  <c r="N50" i="88" s="1"/>
  <c r="N51" i="88" s="1"/>
  <c r="N52" i="88" s="1"/>
  <c r="N53" i="88" s="1"/>
  <c r="N54" i="88" s="1"/>
  <c r="N55" i="88" s="1"/>
  <c r="N56" i="88" s="1"/>
  <c r="N57" i="88" s="1"/>
  <c r="N58" i="88" s="1"/>
  <c r="N59" i="88" s="1"/>
  <c r="N60" i="88" s="1"/>
  <c r="N61" i="88" s="1"/>
  <c r="N62" i="88" s="1"/>
  <c r="N63" i="88" s="1"/>
  <c r="N64" i="88" s="1"/>
  <c r="N65" i="88" s="1"/>
  <c r="N66" i="88" s="1"/>
  <c r="N67" i="88" s="1"/>
  <c r="N68" i="88" s="1"/>
  <c r="N69" i="88" s="1"/>
  <c r="N70" i="88" s="1"/>
  <c r="N71" i="88" s="1"/>
  <c r="N72" i="88" s="1"/>
  <c r="N73" i="88" s="1"/>
  <c r="N74" i="88" s="1"/>
  <c r="N75" i="88" s="1"/>
  <c r="N76" i="88" s="1"/>
  <c r="N77" i="88" s="1"/>
  <c r="N78" i="88" s="1"/>
  <c r="N79" i="88" s="1"/>
  <c r="N80" i="88" s="1"/>
  <c r="N81" i="88" s="1"/>
  <c r="N82" i="88" s="1"/>
  <c r="N83" i="88" s="1"/>
  <c r="N84" i="88" s="1"/>
  <c r="N85" i="88" s="1"/>
  <c r="N86" i="88" s="1"/>
  <c r="N87" i="88" s="1"/>
  <c r="N88" i="88" s="1"/>
  <c r="N89" i="88" s="1"/>
  <c r="N90" i="88" s="1"/>
  <c r="N91" i="88" s="1"/>
  <c r="N92" i="88" s="1"/>
  <c r="N93" i="88" s="1"/>
  <c r="N94" i="88" s="1"/>
  <c r="N95" i="88" s="1"/>
  <c r="N96" i="88" s="1"/>
  <c r="N97" i="88" s="1"/>
  <c r="N98" i="88" s="1"/>
  <c r="N99" i="88" s="1"/>
  <c r="N100" i="88" s="1"/>
  <c r="N101" i="88" s="1"/>
  <c r="N102" i="88" s="1"/>
  <c r="N103" i="88" s="1"/>
  <c r="N104" i="88" s="1"/>
  <c r="N105" i="88" s="1"/>
  <c r="N106" i="88" s="1"/>
  <c r="N107" i="88" s="1"/>
  <c r="N108" i="88" s="1"/>
  <c r="N109" i="88" s="1"/>
  <c r="N110" i="88" s="1"/>
  <c r="N111" i="88" s="1"/>
  <c r="N112" i="88" s="1"/>
  <c r="N113" i="88" s="1"/>
  <c r="N114" i="88" s="1"/>
  <c r="N115" i="88" s="1"/>
  <c r="N116" i="88" s="1"/>
  <c r="N117" i="88" s="1"/>
  <c r="N118" i="88" s="1"/>
  <c r="N119" i="88" s="1"/>
  <c r="N120" i="88" s="1"/>
  <c r="N121" i="88" s="1"/>
  <c r="N122" i="88" s="1"/>
  <c r="N123" i="88" s="1"/>
  <c r="N124" i="88" s="1"/>
  <c r="N125" i="88" s="1"/>
  <c r="N126" i="88" s="1"/>
  <c r="N127" i="88" s="1"/>
  <c r="N128" i="88" s="1"/>
  <c r="N129" i="88" s="1"/>
  <c r="N130" i="88" s="1"/>
  <c r="N131" i="88" s="1"/>
  <c r="N132" i="88" s="1"/>
  <c r="N133" i="88" s="1"/>
  <c r="N134" i="88" s="1"/>
  <c r="N135" i="88" s="1"/>
  <c r="N136" i="88" s="1"/>
  <c r="N137" i="88" s="1"/>
  <c r="N138" i="88" s="1"/>
  <c r="N139" i="88" s="1"/>
  <c r="N140" i="88" s="1"/>
  <c r="N141" i="88" s="1"/>
  <c r="N142" i="88" s="1"/>
  <c r="N143" i="88" s="1"/>
  <c r="N144" i="88" s="1"/>
  <c r="N145" i="88" s="1"/>
  <c r="N146" i="88" s="1"/>
  <c r="N147" i="88" s="1"/>
  <c r="N148" i="88" s="1"/>
  <c r="N149" i="88" s="1"/>
  <c r="N150" i="88" s="1"/>
  <c r="N151" i="88" s="1"/>
  <c r="N152" i="88" s="1"/>
  <c r="N153" i="88" s="1"/>
  <c r="N154" i="88" s="1"/>
  <c r="N155" i="88" s="1"/>
  <c r="N156" i="88" s="1"/>
  <c r="N157" i="88" s="1"/>
  <c r="N158" i="88" s="1"/>
  <c r="N159" i="88" s="1"/>
  <c r="N160" i="88" s="1"/>
  <c r="N161" i="88" s="1"/>
  <c r="N162" i="88" s="1"/>
  <c r="N163" i="88" s="1"/>
  <c r="N164" i="88" s="1"/>
  <c r="N165" i="88" s="1"/>
  <c r="N166" i="88" s="1"/>
  <c r="N167" i="88" s="1"/>
  <c r="N168" i="88" s="1"/>
  <c r="N169" i="88" s="1"/>
  <c r="N170" i="88" s="1"/>
  <c r="N171" i="88" s="1"/>
  <c r="N172" i="88" s="1"/>
  <c r="N173" i="88" s="1"/>
  <c r="N174" i="88" s="1"/>
  <c r="N175" i="88" s="1"/>
  <c r="N176" i="88" s="1"/>
  <c r="N177" i="88" s="1"/>
  <c r="N178" i="88" s="1"/>
  <c r="N179" i="88" s="1"/>
  <c r="N180" i="88" s="1"/>
  <c r="N181" i="88" s="1"/>
  <c r="N182" i="88" s="1"/>
  <c r="N183" i="88" s="1"/>
  <c r="N184" i="88" s="1"/>
  <c r="N185" i="88" s="1"/>
  <c r="N186" i="88" s="1"/>
  <c r="N187" i="88" s="1"/>
  <c r="N188" i="88" s="1"/>
  <c r="N189" i="88" s="1"/>
  <c r="N190" i="88" s="1"/>
  <c r="N191" i="88" s="1"/>
  <c r="N192" i="88" s="1"/>
  <c r="N193" i="88" s="1"/>
  <c r="N194" i="88" s="1"/>
  <c r="N195" i="88" s="1"/>
  <c r="N196" i="88" s="1"/>
  <c r="N197" i="88" s="1"/>
  <c r="N198" i="88" s="1"/>
  <c r="N199" i="88" s="1"/>
  <c r="N200" i="88" s="1"/>
  <c r="N201" i="88" s="1"/>
  <c r="N202" i="88" s="1"/>
  <c r="N203" i="88" s="1"/>
  <c r="N204" i="88" s="1"/>
  <c r="N205" i="88" s="1"/>
  <c r="N206" i="88" s="1"/>
  <c r="N207" i="88" s="1"/>
  <c r="N208" i="88" s="1"/>
  <c r="N209" i="88" s="1"/>
  <c r="N210" i="88" s="1"/>
  <c r="N211" i="88" s="1"/>
  <c r="N212" i="88" s="1"/>
  <c r="N213" i="88" s="1"/>
  <c r="N214" i="88" s="1"/>
  <c r="N215" i="88" s="1"/>
  <c r="N216" i="88" s="1"/>
  <c r="N217" i="88" s="1"/>
  <c r="N218" i="88" s="1"/>
  <c r="N219" i="88" s="1"/>
  <c r="N220" i="88" s="1"/>
  <c r="N221" i="88" s="1"/>
  <c r="N222" i="88" s="1"/>
  <c r="N223" i="88" s="1"/>
  <c r="N224" i="88" s="1"/>
  <c r="N225" i="88" s="1"/>
  <c r="N226" i="88" s="1"/>
  <c r="N227" i="88" s="1"/>
  <c r="N228" i="88" s="1"/>
  <c r="N229" i="88" s="1"/>
  <c r="N230" i="88" s="1"/>
  <c r="N231" i="88" s="1"/>
  <c r="N232" i="88" s="1"/>
  <c r="N233" i="88" s="1"/>
  <c r="N234" i="88" s="1"/>
  <c r="N235" i="88" s="1"/>
  <c r="N236" i="88" s="1"/>
  <c r="N237" i="88" s="1"/>
  <c r="N238" i="88" s="1"/>
  <c r="N239" i="88" s="1"/>
  <c r="N240" i="88" s="1"/>
  <c r="L334" i="88"/>
  <c r="L296" i="88"/>
  <c r="L246" i="88"/>
  <c r="L240" i="88"/>
  <c r="L254" i="88"/>
  <c r="L264" i="88"/>
  <c r="L321" i="88"/>
  <c r="L288" i="88"/>
  <c r="L305" i="88"/>
  <c r="L320" i="88"/>
  <c r="L286" i="88"/>
  <c r="L238" i="88"/>
  <c r="L248" i="88"/>
  <c r="L294" i="88"/>
  <c r="L318" i="88"/>
  <c r="L278" i="88"/>
  <c r="L289" i="88"/>
  <c r="L312" i="88"/>
  <c r="L272" i="88"/>
  <c r="L249" i="88"/>
  <c r="L265" i="88"/>
  <c r="J249" i="88"/>
  <c r="J265" i="88"/>
  <c r="J281" i="88"/>
  <c r="L281" i="88" s="1"/>
  <c r="J329" i="88"/>
  <c r="L329" i="88" s="1"/>
  <c r="J297" i="88"/>
  <c r="L297" i="88" s="1"/>
  <c r="J313" i="88"/>
  <c r="L313" i="88" s="1"/>
  <c r="J241" i="88"/>
  <c r="L241" i="88" s="1"/>
  <c r="J257" i="88"/>
  <c r="L257" i="88" s="1"/>
  <c r="J273" i="88"/>
  <c r="L273" i="88" s="1"/>
  <c r="O12" i="88" l="1"/>
  <c r="B46" i="14" s="1"/>
  <c r="N241" i="88"/>
  <c r="N242" i="88" s="1"/>
  <c r="N243" i="88" s="1"/>
  <c r="N244" i="88" s="1"/>
  <c r="N245" i="88" s="1"/>
  <c r="N246" i="88" s="1"/>
  <c r="N247" i="88" s="1"/>
  <c r="N248" i="88" s="1"/>
  <c r="N249" i="88" s="1"/>
  <c r="N250" i="88" s="1"/>
  <c r="N251" i="88" s="1"/>
  <c r="N252" i="88" s="1"/>
  <c r="N253" i="88" s="1"/>
  <c r="N254" i="88" s="1"/>
  <c r="N255" i="88" s="1"/>
  <c r="N256" i="88" s="1"/>
  <c r="N257" i="88" s="1"/>
  <c r="N258" i="88" s="1"/>
  <c r="N259" i="88" s="1"/>
  <c r="N260" i="88" s="1"/>
  <c r="N261" i="88" s="1"/>
  <c r="N262" i="88" s="1"/>
  <c r="N263" i="88" s="1"/>
  <c r="N264" i="88" s="1"/>
  <c r="N265" i="88" s="1"/>
  <c r="N266" i="88" s="1"/>
  <c r="N267" i="88" s="1"/>
  <c r="N268" i="88" s="1"/>
  <c r="N269" i="88" s="1"/>
  <c r="N270" i="88" s="1"/>
  <c r="N271" i="88" s="1"/>
  <c r="N272" i="88" s="1"/>
  <c r="N273" i="88" s="1"/>
  <c r="N274" i="88" s="1"/>
  <c r="N275" i="88" s="1"/>
  <c r="N276" i="88" s="1"/>
  <c r="N277" i="88" s="1"/>
  <c r="N278" i="88" s="1"/>
  <c r="N279" i="88" s="1"/>
  <c r="N280" i="88" s="1"/>
  <c r="N281" i="88" s="1"/>
  <c r="N282" i="88" s="1"/>
  <c r="N283" i="88" s="1"/>
  <c r="N284" i="88" s="1"/>
  <c r="N285" i="88" s="1"/>
  <c r="N286" i="88" s="1"/>
  <c r="N287" i="88" s="1"/>
  <c r="N288" i="88" s="1"/>
  <c r="N289" i="88" s="1"/>
  <c r="N290" i="88" s="1"/>
  <c r="N291" i="88" s="1"/>
  <c r="N292" i="88" s="1"/>
  <c r="N293" i="88" s="1"/>
  <c r="N294" i="88" s="1"/>
  <c r="N295" i="88" s="1"/>
  <c r="N296" i="88" s="1"/>
  <c r="N297" i="88" s="1"/>
  <c r="N298" i="88" s="1"/>
  <c r="N299" i="88" s="1"/>
  <c r="N300" i="88" s="1"/>
  <c r="N301" i="88" s="1"/>
  <c r="N302" i="88" s="1"/>
  <c r="N303" i="88" s="1"/>
  <c r="N304" i="88" s="1"/>
  <c r="N305" i="88" s="1"/>
  <c r="N306" i="88" s="1"/>
  <c r="N307" i="88" s="1"/>
  <c r="N308" i="88" s="1"/>
  <c r="N309" i="88" s="1"/>
  <c r="N310" i="88" s="1"/>
  <c r="N311" i="88" s="1"/>
  <c r="N312" i="88" s="1"/>
  <c r="N313" i="88" s="1"/>
  <c r="N314" i="88" s="1"/>
  <c r="N315" i="88" s="1"/>
  <c r="N316" i="88" s="1"/>
  <c r="N317" i="88" s="1"/>
  <c r="N318" i="88" s="1"/>
  <c r="N319" i="88" s="1"/>
  <c r="N320" i="88" s="1"/>
  <c r="N321" i="88" s="1"/>
  <c r="N322" i="88" s="1"/>
  <c r="N323" i="88" s="1"/>
  <c r="N324" i="88" s="1"/>
  <c r="N325" i="88" s="1"/>
  <c r="N326" i="88" s="1"/>
  <c r="N327" i="88" s="1"/>
  <c r="N328" i="88" s="1"/>
  <c r="N329" i="88" s="1"/>
  <c r="N330" i="88" s="1"/>
  <c r="N331" i="88" s="1"/>
  <c r="N332" i="88" s="1"/>
  <c r="N333" i="88" s="1"/>
  <c r="N334" i="88" s="1"/>
  <c r="N335" i="88" s="1"/>
  <c r="N336" i="88" s="1"/>
  <c r="N337" i="88" s="1"/>
  <c r="N338" i="88" s="1"/>
  <c r="J29" i="22"/>
  <c r="J73" i="46" l="1"/>
  <c r="J72" i="46"/>
  <c r="J71" i="46"/>
  <c r="J69" i="46"/>
  <c r="H72" i="46"/>
  <c r="H71" i="46"/>
  <c r="H70" i="46"/>
  <c r="H69" i="46"/>
  <c r="K28" i="36"/>
  <c r="J5" i="45"/>
  <c r="L19" i="65"/>
  <c r="L20" i="65" s="1"/>
  <c r="L21" i="65" s="1"/>
  <c r="L22" i="65" s="1"/>
  <c r="J19" i="65"/>
  <c r="J27" i="22"/>
  <c r="H41" i="36" l="1"/>
  <c r="J41" i="36"/>
  <c r="J33" i="84"/>
  <c r="J32" i="84"/>
  <c r="J31" i="84"/>
  <c r="J30" i="84"/>
  <c r="J6" i="61"/>
  <c r="H6" i="61"/>
  <c r="L31" i="19" l="1"/>
  <c r="J43" i="28" l="1"/>
  <c r="G43" i="28"/>
  <c r="K59" i="59"/>
  <c r="K42" i="19"/>
  <c r="K41" i="19"/>
  <c r="K40" i="19"/>
  <c r="K39" i="19"/>
  <c r="K38" i="19"/>
  <c r="H42" i="19"/>
  <c r="H39" i="19"/>
  <c r="H38" i="19"/>
  <c r="J22" i="58"/>
  <c r="J92" i="59" l="1"/>
  <c r="J91" i="59"/>
  <c r="J90" i="59"/>
  <c r="G5" i="45" l="1"/>
  <c r="J8" i="12" l="1"/>
  <c r="J12" i="11" l="1"/>
  <c r="G12" i="11"/>
  <c r="J68" i="46"/>
  <c r="I19" i="57" l="1"/>
  <c r="I18" i="57" l="1"/>
  <c r="G19" i="57"/>
  <c r="G18" i="57"/>
  <c r="K12" i="47" l="1"/>
  <c r="J24" i="44"/>
  <c r="J23" i="44" l="1"/>
  <c r="H23" i="44"/>
  <c r="H38" i="43"/>
  <c r="F38" i="43"/>
  <c r="I50" i="13" l="1"/>
  <c r="I52" i="13" l="1"/>
  <c r="I51" i="13"/>
  <c r="G52" i="13"/>
  <c r="G51" i="13"/>
  <c r="G50" i="13"/>
  <c r="J66" i="46"/>
  <c r="J65" i="46"/>
  <c r="I64" i="46"/>
  <c r="J89" i="59" l="1"/>
  <c r="H89" i="59"/>
  <c r="G39" i="28" l="1"/>
  <c r="K10" i="5"/>
  <c r="K7" i="62"/>
  <c r="K34" i="19" l="1"/>
  <c r="K33" i="19"/>
  <c r="K32" i="19"/>
  <c r="K6" i="60"/>
  <c r="H6" i="60"/>
  <c r="K5" i="60"/>
  <c r="J29" i="84" l="1"/>
  <c r="N13" i="55"/>
  <c r="M2" i="55"/>
  <c r="H2" i="55"/>
  <c r="H3" i="55"/>
  <c r="H4" i="55"/>
  <c r="H5" i="55"/>
  <c r="H6" i="55"/>
  <c r="H7" i="55"/>
  <c r="H8" i="55"/>
  <c r="H9" i="55"/>
  <c r="H10" i="55"/>
  <c r="H11" i="55"/>
  <c r="H12" i="55"/>
  <c r="H13" i="55"/>
  <c r="H14" i="55"/>
  <c r="H15" i="55"/>
  <c r="H16" i="55"/>
  <c r="H17" i="55"/>
  <c r="H18" i="55"/>
  <c r="H19" i="55"/>
  <c r="H20" i="55"/>
  <c r="H21" i="55"/>
  <c r="H22" i="55"/>
  <c r="H23" i="55"/>
  <c r="H24" i="55"/>
  <c r="H25" i="55"/>
  <c r="H26" i="55"/>
  <c r="H27" i="55"/>
  <c r="H28" i="55"/>
  <c r="H29" i="55"/>
  <c r="H30" i="55"/>
  <c r="H31" i="55"/>
  <c r="H32" i="55"/>
  <c r="H33" i="55"/>
  <c r="H34" i="55"/>
  <c r="H35" i="55"/>
  <c r="H36" i="55"/>
  <c r="H37" i="55"/>
  <c r="H38" i="55"/>
  <c r="H39" i="55"/>
  <c r="H40" i="55"/>
  <c r="H41" i="55"/>
  <c r="H42" i="55"/>
  <c r="H43" i="55"/>
  <c r="H44" i="55"/>
  <c r="H45" i="55"/>
  <c r="H46" i="55"/>
  <c r="H47" i="55"/>
  <c r="H48" i="55"/>
  <c r="H49" i="55"/>
  <c r="H50" i="55"/>
  <c r="H51" i="55"/>
  <c r="H52" i="55"/>
  <c r="H53" i="55"/>
  <c r="H54" i="55"/>
  <c r="H55" i="55"/>
  <c r="H56" i="55"/>
  <c r="H57" i="55"/>
  <c r="H58" i="55"/>
  <c r="H59" i="55"/>
  <c r="H60" i="55"/>
  <c r="H61" i="55"/>
  <c r="H62" i="55"/>
  <c r="H63" i="55"/>
  <c r="H64" i="55"/>
  <c r="H65" i="55"/>
  <c r="H66" i="55"/>
  <c r="H67" i="55"/>
  <c r="H68" i="55"/>
  <c r="H69" i="55"/>
  <c r="H70" i="55"/>
  <c r="H71" i="55"/>
  <c r="H72" i="55"/>
  <c r="H73" i="55"/>
  <c r="H74" i="55"/>
  <c r="H75" i="55"/>
  <c r="H76" i="55"/>
  <c r="H77" i="55"/>
  <c r="H78" i="55"/>
  <c r="H79" i="55"/>
  <c r="H80" i="55"/>
  <c r="H81" i="55"/>
  <c r="H82" i="55"/>
  <c r="H83" i="55"/>
  <c r="H84" i="55"/>
  <c r="H85" i="55"/>
  <c r="H86" i="55"/>
  <c r="H87" i="55"/>
  <c r="H88" i="55"/>
  <c r="H89" i="55"/>
  <c r="H90" i="55"/>
  <c r="H91" i="55"/>
  <c r="H92" i="55"/>
  <c r="H93" i="55"/>
  <c r="H94" i="55"/>
  <c r="H95" i="55"/>
  <c r="H96" i="55"/>
  <c r="H97" i="55"/>
  <c r="H98" i="55"/>
  <c r="H99" i="55"/>
  <c r="H100" i="55"/>
  <c r="H101" i="55"/>
  <c r="H102" i="55"/>
  <c r="H103" i="55"/>
  <c r="H104" i="55"/>
  <c r="H105" i="55"/>
  <c r="H106" i="55"/>
  <c r="H107" i="55"/>
  <c r="H108" i="55"/>
  <c r="H109" i="55"/>
  <c r="H110" i="55"/>
  <c r="H111" i="55"/>
  <c r="H112" i="55"/>
  <c r="H113" i="55"/>
  <c r="H114" i="55"/>
  <c r="H115" i="55"/>
  <c r="H116" i="55"/>
  <c r="H117" i="55"/>
  <c r="H118" i="55"/>
  <c r="H119" i="55"/>
  <c r="H120" i="55"/>
  <c r="H121" i="55"/>
  <c r="H122" i="55"/>
  <c r="H123" i="55"/>
  <c r="H124" i="55"/>
  <c r="H125" i="55"/>
  <c r="H126" i="55"/>
  <c r="H127" i="55"/>
  <c r="H128" i="55"/>
  <c r="H129" i="55"/>
  <c r="H130" i="55"/>
  <c r="H131" i="55"/>
  <c r="H132" i="55"/>
  <c r="H133" i="55"/>
  <c r="H134" i="55"/>
  <c r="H135" i="55"/>
  <c r="H136" i="55"/>
  <c r="H137" i="55"/>
  <c r="H138" i="55"/>
  <c r="H139" i="55"/>
  <c r="H140" i="55"/>
  <c r="H141" i="55"/>
  <c r="H142" i="55"/>
  <c r="H143" i="55"/>
  <c r="H144" i="55"/>
  <c r="H145" i="55"/>
  <c r="H146" i="55"/>
  <c r="H147" i="55"/>
  <c r="H148" i="55"/>
  <c r="H149" i="55"/>
  <c r="H150" i="55"/>
  <c r="H151" i="55"/>
  <c r="H152" i="55"/>
  <c r="H153" i="55"/>
  <c r="H154" i="55"/>
  <c r="H155" i="55"/>
  <c r="H156" i="55"/>
  <c r="H157" i="55"/>
  <c r="H158" i="55"/>
  <c r="H159" i="55"/>
  <c r="H160" i="55"/>
  <c r="H161" i="55"/>
  <c r="H162" i="55"/>
  <c r="H163" i="55"/>
  <c r="H164" i="55"/>
  <c r="H165" i="55"/>
  <c r="H166" i="55"/>
  <c r="H167" i="55"/>
  <c r="H168" i="55"/>
  <c r="H169" i="55"/>
  <c r="H170" i="55"/>
  <c r="H171" i="55"/>
  <c r="H172" i="55"/>
  <c r="H173" i="55"/>
  <c r="H174" i="55"/>
  <c r="H175" i="55"/>
  <c r="H176" i="55"/>
  <c r="H177" i="55"/>
  <c r="H178" i="55"/>
  <c r="H179" i="55"/>
  <c r="H180" i="55"/>
  <c r="H181" i="55"/>
  <c r="H182" i="55"/>
  <c r="H183" i="55"/>
  <c r="H184" i="55"/>
  <c r="H185" i="55"/>
  <c r="H186" i="55"/>
  <c r="H187" i="55"/>
  <c r="H188" i="55"/>
  <c r="H189" i="55"/>
  <c r="H190" i="55"/>
  <c r="H191" i="55"/>
  <c r="H192" i="55"/>
  <c r="H193" i="55"/>
  <c r="H194" i="55"/>
  <c r="H195" i="55"/>
  <c r="H196" i="55"/>
  <c r="H197" i="55"/>
  <c r="H198" i="55"/>
  <c r="H199" i="55"/>
  <c r="H200" i="55"/>
  <c r="H201" i="55"/>
  <c r="H202" i="55"/>
  <c r="H203" i="55"/>
  <c r="H204" i="55"/>
  <c r="H205" i="55"/>
  <c r="H206" i="55"/>
  <c r="H207" i="55"/>
  <c r="H208" i="55"/>
  <c r="H209" i="55"/>
  <c r="H210" i="55"/>
  <c r="H211" i="55"/>
  <c r="H212" i="55"/>
  <c r="H213" i="55"/>
  <c r="H214" i="55"/>
  <c r="H215" i="55"/>
  <c r="H216" i="55"/>
  <c r="H217" i="55"/>
  <c r="H218" i="55"/>
  <c r="H219" i="55"/>
  <c r="H220" i="55"/>
  <c r="H221" i="55"/>
  <c r="H222" i="55"/>
  <c r="H223" i="55"/>
  <c r="H224" i="55"/>
  <c r="H225" i="55"/>
  <c r="H226" i="55"/>
  <c r="H227" i="55"/>
  <c r="H228" i="55"/>
  <c r="H229" i="55"/>
  <c r="H230" i="55"/>
  <c r="H231" i="55"/>
  <c r="H232" i="55"/>
  <c r="H233" i="55"/>
  <c r="H234" i="55"/>
  <c r="H235" i="55"/>
  <c r="H236" i="55"/>
  <c r="H237" i="55"/>
  <c r="H238" i="55"/>
  <c r="H239" i="55"/>
  <c r="H240" i="55"/>
  <c r="H241" i="55"/>
  <c r="H242" i="55"/>
  <c r="H243" i="55"/>
  <c r="H244" i="55"/>
  <c r="H245" i="55"/>
  <c r="H246" i="55"/>
  <c r="H247" i="55"/>
  <c r="H248" i="55"/>
  <c r="H249" i="55"/>
  <c r="H250" i="55"/>
  <c r="H251" i="55"/>
  <c r="H252" i="55"/>
  <c r="H253" i="55"/>
  <c r="H254" i="55"/>
  <c r="H255" i="55"/>
  <c r="H256" i="55"/>
  <c r="H257" i="55"/>
  <c r="H258" i="55"/>
  <c r="H259" i="55"/>
  <c r="H260" i="55"/>
  <c r="H261" i="55"/>
  <c r="H262" i="55"/>
  <c r="H263" i="55"/>
  <c r="H264" i="55"/>
  <c r="H265" i="55"/>
  <c r="H266" i="55"/>
  <c r="H267" i="55"/>
  <c r="H268" i="55"/>
  <c r="H269" i="55"/>
  <c r="H270" i="55"/>
  <c r="H271" i="55"/>
  <c r="H272" i="55"/>
  <c r="H273" i="55"/>
  <c r="H274" i="55"/>
  <c r="H275" i="55"/>
  <c r="H276" i="55"/>
  <c r="H277" i="55"/>
  <c r="H278" i="55"/>
  <c r="H279" i="55"/>
  <c r="H280" i="55"/>
  <c r="H281" i="55"/>
  <c r="H282" i="55"/>
  <c r="H283" i="55"/>
  <c r="H284" i="55"/>
  <c r="H285" i="55"/>
  <c r="H286" i="55"/>
  <c r="H287" i="55"/>
  <c r="H288" i="55"/>
  <c r="H289" i="55"/>
  <c r="H290" i="55"/>
  <c r="H291" i="55"/>
  <c r="H292" i="55"/>
  <c r="H293" i="55"/>
  <c r="H294" i="55"/>
  <c r="H295" i="55"/>
  <c r="H296" i="55"/>
  <c r="H297" i="55"/>
  <c r="H298" i="55"/>
  <c r="H299" i="55"/>
  <c r="H300" i="55"/>
  <c r="H301" i="55"/>
  <c r="H302" i="55"/>
  <c r="H303" i="55"/>
  <c r="H304" i="55"/>
  <c r="H305" i="55"/>
  <c r="H306" i="55"/>
  <c r="H307" i="55"/>
  <c r="H308" i="55"/>
  <c r="H309" i="55"/>
  <c r="H310" i="55"/>
  <c r="H311" i="55"/>
  <c r="H312" i="55"/>
  <c r="H313" i="55"/>
  <c r="H314" i="55"/>
  <c r="H315" i="55"/>
  <c r="H316" i="55"/>
  <c r="H317" i="55"/>
  <c r="H318" i="55"/>
  <c r="H319" i="55"/>
  <c r="H320" i="55"/>
  <c r="H321" i="55"/>
  <c r="H322" i="55"/>
  <c r="H323" i="55"/>
  <c r="H324" i="55"/>
  <c r="H325" i="55"/>
  <c r="H326" i="55"/>
  <c r="H327" i="55"/>
  <c r="H328" i="55"/>
  <c r="H329" i="55"/>
  <c r="H330" i="55"/>
  <c r="H331" i="55"/>
  <c r="H332" i="55"/>
  <c r="H333" i="55"/>
  <c r="H334" i="55"/>
  <c r="H335" i="55"/>
  <c r="H336" i="55"/>
  <c r="H337" i="55"/>
  <c r="H338" i="55"/>
  <c r="H339" i="55"/>
  <c r="J11" i="11" l="1"/>
  <c r="H11" i="11"/>
  <c r="I26" i="65"/>
  <c r="I25" i="65" l="1"/>
  <c r="I47" i="38" l="1"/>
  <c r="I46" i="38"/>
  <c r="I45" i="38"/>
  <c r="G47" i="38"/>
  <c r="G46" i="38"/>
  <c r="K28" i="19"/>
  <c r="H4" i="17"/>
  <c r="H5" i="17" l="1"/>
  <c r="F5" i="17"/>
  <c r="F4" i="17"/>
  <c r="K20" i="82" l="1"/>
  <c r="I49" i="13" l="1"/>
  <c r="G49" i="13"/>
  <c r="H36" i="43"/>
  <c r="H37" i="43" l="1"/>
  <c r="F37" i="43"/>
  <c r="F36" i="43"/>
  <c r="H35" i="43"/>
  <c r="G35" i="43"/>
  <c r="F35" i="43"/>
  <c r="J13" i="5"/>
  <c r="K10" i="47" l="1"/>
  <c r="H10" i="47"/>
  <c r="J64" i="46" l="1"/>
  <c r="I31" i="23" l="1"/>
  <c r="J31" i="4" l="1"/>
  <c r="J30" i="4"/>
  <c r="H30" i="4"/>
  <c r="I47" i="13" l="1"/>
  <c r="I46" i="13"/>
  <c r="I45" i="13"/>
  <c r="I44" i="13"/>
  <c r="I43" i="13"/>
  <c r="G43" i="13"/>
  <c r="J85" i="59" l="1"/>
  <c r="J83" i="59"/>
  <c r="K83" i="59"/>
  <c r="K85" i="59"/>
  <c r="J80" i="59"/>
  <c r="J81" i="59"/>
  <c r="J79" i="59" l="1"/>
  <c r="J88" i="59"/>
  <c r="J87" i="59"/>
  <c r="J86" i="59"/>
  <c r="J84" i="59"/>
  <c r="K84" i="59" s="1"/>
  <c r="J82" i="59"/>
  <c r="H81" i="59"/>
  <c r="J36" i="28" l="1"/>
  <c r="G37" i="28"/>
  <c r="J39" i="28"/>
  <c r="J38" i="28"/>
  <c r="J37" i="28"/>
  <c r="L24" i="19"/>
  <c r="K29" i="19"/>
  <c r="K30" i="19"/>
  <c r="H28" i="19" l="1"/>
  <c r="M48" i="78"/>
  <c r="M49" i="78" s="1"/>
  <c r="M50" i="78" s="1"/>
  <c r="I48" i="78"/>
  <c r="K48" i="78"/>
  <c r="L9" i="85"/>
  <c r="J62" i="46"/>
  <c r="J61" i="46"/>
  <c r="J60" i="46"/>
  <c r="J59" i="46"/>
  <c r="J58" i="46"/>
  <c r="H62" i="46"/>
  <c r="H61" i="46"/>
  <c r="H60" i="46"/>
  <c r="H58" i="46"/>
  <c r="J25" i="22"/>
  <c r="G25" i="22"/>
  <c r="J33" i="28"/>
  <c r="K5" i="62"/>
  <c r="K4" i="62"/>
  <c r="K27" i="36"/>
  <c r="L23" i="19"/>
  <c r="K54" i="59"/>
  <c r="M16" i="84"/>
  <c r="M17" i="84" s="1"/>
  <c r="M18" i="84" s="1"/>
  <c r="I16" i="84"/>
  <c r="K16" i="84"/>
  <c r="I23" i="84"/>
  <c r="K23" i="84"/>
  <c r="J2" i="11"/>
  <c r="I24" i="65"/>
  <c r="I42" i="13"/>
  <c r="G42" i="13"/>
  <c r="I41" i="13"/>
  <c r="I40" i="13"/>
  <c r="G40" i="13"/>
  <c r="K3" i="62"/>
  <c r="K2" i="62"/>
  <c r="K51" i="59"/>
  <c r="G31" i="28"/>
  <c r="J21" i="44"/>
  <c r="J20" i="44"/>
  <c r="H20" i="44"/>
  <c r="J19" i="44"/>
  <c r="H19" i="44"/>
  <c r="H33" i="43"/>
  <c r="H29" i="43"/>
  <c r="F33" i="43"/>
  <c r="H31" i="43"/>
  <c r="H30" i="43"/>
  <c r="F29" i="43"/>
  <c r="H28" i="43"/>
  <c r="G28" i="43"/>
  <c r="G19" i="58"/>
  <c r="G20" i="58"/>
  <c r="K50" i="59"/>
  <c r="J55" i="46"/>
  <c r="J54" i="46"/>
  <c r="H54" i="46"/>
  <c r="I43" i="38"/>
  <c r="I42" i="38"/>
  <c r="I41" i="38"/>
  <c r="G41" i="38"/>
  <c r="G24" i="65"/>
  <c r="J27" i="84"/>
  <c r="J26" i="84"/>
  <c r="J25" i="84"/>
  <c r="H79" i="59"/>
  <c r="J52" i="78"/>
  <c r="G52" i="78"/>
  <c r="J7" i="12"/>
  <c r="G7" i="12"/>
  <c r="K18" i="82"/>
  <c r="J11" i="5"/>
  <c r="M7" i="85"/>
  <c r="M8" i="85" s="1"/>
  <c r="M9" i="85" s="1"/>
  <c r="M10" i="85" s="1"/>
  <c r="K7" i="85"/>
  <c r="K47" i="59"/>
  <c r="K46" i="59"/>
  <c r="J30" i="28"/>
  <c r="J31" i="28"/>
  <c r="J20" i="58"/>
  <c r="J24" i="84"/>
  <c r="H24" i="84"/>
  <c r="H27" i="19"/>
  <c r="H26" i="19"/>
  <c r="K27" i="19"/>
  <c r="K26" i="19"/>
  <c r="K25" i="19"/>
  <c r="J53" i="46"/>
  <c r="J52" i="46"/>
  <c r="J13" i="35"/>
  <c r="I36" i="46"/>
  <c r="J15" i="50"/>
  <c r="H15" i="50"/>
  <c r="H30" i="36"/>
  <c r="J4" i="8"/>
  <c r="J12" i="83"/>
  <c r="J11" i="83"/>
  <c r="J14" i="50"/>
  <c r="H14" i="50"/>
  <c r="G3" i="8"/>
  <c r="I40" i="38"/>
  <c r="J40" i="36"/>
  <c r="H40" i="36"/>
  <c r="J7" i="11"/>
  <c r="G7" i="11"/>
  <c r="H7" i="11" s="1"/>
  <c r="I23" i="65"/>
  <c r="G23" i="65"/>
  <c r="K16" i="82"/>
  <c r="K15" i="82"/>
  <c r="I39" i="13"/>
  <c r="I38" i="13"/>
  <c r="J78" i="59"/>
  <c r="J77" i="59"/>
  <c r="J76" i="59"/>
  <c r="H76" i="59"/>
  <c r="J17" i="65"/>
  <c r="J10" i="83"/>
  <c r="J28" i="28"/>
  <c r="J27" i="28"/>
  <c r="I20" i="84"/>
  <c r="K20" i="84"/>
  <c r="I47" i="46"/>
  <c r="J3" i="45"/>
  <c r="G3" i="45"/>
  <c r="J2" i="45"/>
  <c r="M2" i="30"/>
  <c r="J2" i="30"/>
  <c r="J4" i="30"/>
  <c r="J19" i="58"/>
  <c r="J17" i="58"/>
  <c r="J18" i="58"/>
  <c r="J51" i="78"/>
  <c r="J49" i="78"/>
  <c r="J14" i="84"/>
  <c r="J22" i="84"/>
  <c r="J21" i="84"/>
  <c r="H21" i="84"/>
  <c r="J74" i="59"/>
  <c r="J75" i="59"/>
  <c r="J49" i="46"/>
  <c r="H13" i="50"/>
  <c r="H12" i="50"/>
  <c r="J73" i="59"/>
  <c r="H73" i="59"/>
  <c r="J6" i="12"/>
  <c r="J9" i="5"/>
  <c r="G9" i="5"/>
  <c r="I37" i="13"/>
  <c r="I36" i="13"/>
  <c r="G36" i="13"/>
  <c r="J8" i="85"/>
  <c r="H8" i="85"/>
  <c r="I8" i="85" s="1"/>
  <c r="J13" i="50"/>
  <c r="J12" i="50"/>
  <c r="I39" i="38"/>
  <c r="I38" i="38"/>
  <c r="G38" i="38"/>
  <c r="J47" i="46"/>
  <c r="H47" i="46"/>
  <c r="J46" i="46"/>
  <c r="J17" i="24"/>
  <c r="J39" i="36"/>
  <c r="J38" i="36"/>
  <c r="J21" i="22"/>
  <c r="G21" i="22"/>
  <c r="J50" i="78"/>
  <c r="G49" i="78"/>
  <c r="J36" i="36"/>
  <c r="J37" i="36"/>
  <c r="J35" i="36"/>
  <c r="H37" i="36"/>
  <c r="K12" i="73"/>
  <c r="H3" i="17"/>
  <c r="F3" i="17"/>
  <c r="H2" i="17"/>
  <c r="I218" i="17"/>
  <c r="I219" i="17"/>
  <c r="I226" i="17"/>
  <c r="I227" i="17"/>
  <c r="I234" i="17"/>
  <c r="I235" i="17"/>
  <c r="I4" i="17"/>
  <c r="I6" i="17"/>
  <c r="I13" i="17"/>
  <c r="I14" i="17"/>
  <c r="I21" i="17"/>
  <c r="I22" i="17"/>
  <c r="I29" i="17"/>
  <c r="I30" i="17"/>
  <c r="I37" i="17"/>
  <c r="I38" i="17"/>
  <c r="I45" i="17"/>
  <c r="I46" i="17"/>
  <c r="I53" i="17"/>
  <c r="I54" i="17"/>
  <c r="I61" i="17"/>
  <c r="I62" i="17"/>
  <c r="I66" i="17"/>
  <c r="I69" i="17"/>
  <c r="I70" i="17"/>
  <c r="I74" i="17"/>
  <c r="I77" i="17"/>
  <c r="I78" i="17"/>
  <c r="I82" i="17"/>
  <c r="I85" i="17"/>
  <c r="I86" i="17"/>
  <c r="I90" i="17"/>
  <c r="I93" i="17"/>
  <c r="I94" i="17"/>
  <c r="I98" i="17"/>
  <c r="I101" i="17"/>
  <c r="I102" i="17"/>
  <c r="I106" i="17"/>
  <c r="I109" i="17"/>
  <c r="I110" i="17"/>
  <c r="I114" i="17"/>
  <c r="I117" i="17"/>
  <c r="I118" i="17"/>
  <c r="I122" i="17"/>
  <c r="I125" i="17"/>
  <c r="I126" i="17"/>
  <c r="I130" i="17"/>
  <c r="I133" i="17"/>
  <c r="I134" i="17"/>
  <c r="I138" i="17"/>
  <c r="I141" i="17"/>
  <c r="I142" i="17"/>
  <c r="I146" i="17"/>
  <c r="I149" i="17"/>
  <c r="I150" i="17"/>
  <c r="I154" i="17"/>
  <c r="I157" i="17"/>
  <c r="I158" i="17"/>
  <c r="I162" i="17"/>
  <c r="I165" i="17"/>
  <c r="I166" i="17"/>
  <c r="I170" i="17"/>
  <c r="I173" i="17"/>
  <c r="I174" i="17"/>
  <c r="I178" i="17"/>
  <c r="I181" i="17"/>
  <c r="I182" i="17"/>
  <c r="I186" i="17"/>
  <c r="I189" i="17"/>
  <c r="I190" i="17"/>
  <c r="I194" i="17"/>
  <c r="I197" i="17"/>
  <c r="I198" i="17"/>
  <c r="I202" i="17"/>
  <c r="I205" i="17"/>
  <c r="I206" i="17"/>
  <c r="I210" i="17"/>
  <c r="I213" i="17"/>
  <c r="I241" i="17"/>
  <c r="I245" i="17"/>
  <c r="I248" i="17"/>
  <c r="I249" i="17"/>
  <c r="I253" i="17"/>
  <c r="I256" i="17"/>
  <c r="I257" i="17"/>
  <c r="I261" i="17"/>
  <c r="I264" i="17"/>
  <c r="I265" i="17"/>
  <c r="I269" i="17"/>
  <c r="I272" i="17"/>
  <c r="I273" i="17"/>
  <c r="I277" i="17"/>
  <c r="I280" i="17"/>
  <c r="I281" i="17"/>
  <c r="I285" i="17"/>
  <c r="I288" i="17"/>
  <c r="I289" i="17"/>
  <c r="I293" i="17"/>
  <c r="I296" i="17"/>
  <c r="I297" i="17"/>
  <c r="I301" i="17"/>
  <c r="I304" i="17"/>
  <c r="I305" i="17"/>
  <c r="I309" i="17"/>
  <c r="I312" i="17"/>
  <c r="I313" i="17"/>
  <c r="I317" i="17"/>
  <c r="I320" i="17"/>
  <c r="I321" i="17"/>
  <c r="I325" i="17"/>
  <c r="I328" i="17"/>
  <c r="I329" i="17"/>
  <c r="I333" i="17"/>
  <c r="G4" i="17"/>
  <c r="G5" i="17"/>
  <c r="I5" i="17" s="1"/>
  <c r="G6" i="17"/>
  <c r="G7" i="17"/>
  <c r="I7" i="17" s="1"/>
  <c r="G8" i="17"/>
  <c r="I8" i="17" s="1"/>
  <c r="G9" i="17"/>
  <c r="I9" i="17" s="1"/>
  <c r="G10" i="17"/>
  <c r="I10" i="17" s="1"/>
  <c r="G11" i="17"/>
  <c r="I11" i="17" s="1"/>
  <c r="G12" i="17"/>
  <c r="I12" i="17" s="1"/>
  <c r="G13" i="17"/>
  <c r="G14" i="17"/>
  <c r="G15" i="17"/>
  <c r="I15" i="17" s="1"/>
  <c r="G16" i="17"/>
  <c r="I16" i="17" s="1"/>
  <c r="G17" i="17"/>
  <c r="I17" i="17" s="1"/>
  <c r="G18" i="17"/>
  <c r="I18" i="17" s="1"/>
  <c r="G19" i="17"/>
  <c r="I19" i="17" s="1"/>
  <c r="G20" i="17"/>
  <c r="I20" i="17" s="1"/>
  <c r="G21" i="17"/>
  <c r="G22" i="17"/>
  <c r="G23" i="17"/>
  <c r="I23" i="17" s="1"/>
  <c r="G24" i="17"/>
  <c r="I24" i="17" s="1"/>
  <c r="G25" i="17"/>
  <c r="I25" i="17" s="1"/>
  <c r="G26" i="17"/>
  <c r="I26" i="17" s="1"/>
  <c r="G27" i="17"/>
  <c r="I27" i="17" s="1"/>
  <c r="G28" i="17"/>
  <c r="I28" i="17" s="1"/>
  <c r="G29" i="17"/>
  <c r="G30" i="17"/>
  <c r="G31" i="17"/>
  <c r="I31" i="17" s="1"/>
  <c r="G32" i="17"/>
  <c r="I32" i="17" s="1"/>
  <c r="G33" i="17"/>
  <c r="I33" i="17" s="1"/>
  <c r="G34" i="17"/>
  <c r="I34" i="17" s="1"/>
  <c r="G35" i="17"/>
  <c r="I35" i="17" s="1"/>
  <c r="G36" i="17"/>
  <c r="I36" i="17" s="1"/>
  <c r="G37" i="17"/>
  <c r="G38" i="17"/>
  <c r="G39" i="17"/>
  <c r="I39" i="17" s="1"/>
  <c r="G40" i="17"/>
  <c r="I40" i="17" s="1"/>
  <c r="G41" i="17"/>
  <c r="I41" i="17" s="1"/>
  <c r="G42" i="17"/>
  <c r="I42" i="17" s="1"/>
  <c r="G43" i="17"/>
  <c r="I43" i="17" s="1"/>
  <c r="G44" i="17"/>
  <c r="I44" i="17" s="1"/>
  <c r="G45" i="17"/>
  <c r="G46" i="17"/>
  <c r="G47" i="17"/>
  <c r="I47" i="17" s="1"/>
  <c r="G48" i="17"/>
  <c r="I48" i="17" s="1"/>
  <c r="G49" i="17"/>
  <c r="I49" i="17" s="1"/>
  <c r="G50" i="17"/>
  <c r="I50" i="17" s="1"/>
  <c r="G51" i="17"/>
  <c r="I51" i="17" s="1"/>
  <c r="G52" i="17"/>
  <c r="I52" i="17" s="1"/>
  <c r="G53" i="17"/>
  <c r="G54" i="17"/>
  <c r="G55" i="17"/>
  <c r="I55" i="17" s="1"/>
  <c r="G56" i="17"/>
  <c r="I56" i="17" s="1"/>
  <c r="G57" i="17"/>
  <c r="I57" i="17" s="1"/>
  <c r="G58" i="17"/>
  <c r="I58" i="17" s="1"/>
  <c r="G59" i="17"/>
  <c r="I59" i="17" s="1"/>
  <c r="G60" i="17"/>
  <c r="I60" i="17" s="1"/>
  <c r="G61" i="17"/>
  <c r="G62" i="17"/>
  <c r="G63" i="17"/>
  <c r="I63" i="17" s="1"/>
  <c r="G64" i="17"/>
  <c r="I64" i="17" s="1"/>
  <c r="G65" i="17"/>
  <c r="I65" i="17" s="1"/>
  <c r="G66" i="17"/>
  <c r="G67" i="17"/>
  <c r="I67" i="17" s="1"/>
  <c r="G68" i="17"/>
  <c r="I68" i="17" s="1"/>
  <c r="G69" i="17"/>
  <c r="G70" i="17"/>
  <c r="G71" i="17"/>
  <c r="I71" i="17" s="1"/>
  <c r="G72" i="17"/>
  <c r="I72" i="17" s="1"/>
  <c r="G73" i="17"/>
  <c r="I73" i="17" s="1"/>
  <c r="G74" i="17"/>
  <c r="G75" i="17"/>
  <c r="I75" i="17" s="1"/>
  <c r="G76" i="17"/>
  <c r="I76" i="17" s="1"/>
  <c r="G77" i="17"/>
  <c r="G78" i="17"/>
  <c r="G79" i="17"/>
  <c r="I79" i="17" s="1"/>
  <c r="G80" i="17"/>
  <c r="I80" i="17" s="1"/>
  <c r="G81" i="17"/>
  <c r="I81" i="17" s="1"/>
  <c r="G82" i="17"/>
  <c r="G83" i="17"/>
  <c r="I83" i="17" s="1"/>
  <c r="G84" i="17"/>
  <c r="I84" i="17" s="1"/>
  <c r="G85" i="17"/>
  <c r="G86" i="17"/>
  <c r="G87" i="17"/>
  <c r="I87" i="17" s="1"/>
  <c r="G88" i="17"/>
  <c r="I88" i="17" s="1"/>
  <c r="G89" i="17"/>
  <c r="I89" i="17" s="1"/>
  <c r="G90" i="17"/>
  <c r="G91" i="17"/>
  <c r="I91" i="17" s="1"/>
  <c r="G92" i="17"/>
  <c r="I92" i="17" s="1"/>
  <c r="G93" i="17"/>
  <c r="G94" i="17"/>
  <c r="G95" i="17"/>
  <c r="I95" i="17" s="1"/>
  <c r="G96" i="17"/>
  <c r="I96" i="17" s="1"/>
  <c r="G97" i="17"/>
  <c r="I97" i="17" s="1"/>
  <c r="G98" i="17"/>
  <c r="G99" i="17"/>
  <c r="I99" i="17" s="1"/>
  <c r="G100" i="17"/>
  <c r="I100" i="17" s="1"/>
  <c r="G101" i="17"/>
  <c r="G102" i="17"/>
  <c r="G103" i="17"/>
  <c r="I103" i="17" s="1"/>
  <c r="G104" i="17"/>
  <c r="I104" i="17" s="1"/>
  <c r="G105" i="17"/>
  <c r="I105" i="17" s="1"/>
  <c r="G106" i="17"/>
  <c r="G107" i="17"/>
  <c r="I107" i="17" s="1"/>
  <c r="G108" i="17"/>
  <c r="I108" i="17" s="1"/>
  <c r="G109" i="17"/>
  <c r="G110" i="17"/>
  <c r="G111" i="17"/>
  <c r="I111" i="17" s="1"/>
  <c r="G112" i="17"/>
  <c r="I112" i="17" s="1"/>
  <c r="G113" i="17"/>
  <c r="I113" i="17" s="1"/>
  <c r="G114" i="17"/>
  <c r="G115" i="17"/>
  <c r="I115" i="17" s="1"/>
  <c r="G116" i="17"/>
  <c r="I116" i="17" s="1"/>
  <c r="G117" i="17"/>
  <c r="G118" i="17"/>
  <c r="G119" i="17"/>
  <c r="I119" i="17" s="1"/>
  <c r="G120" i="17"/>
  <c r="I120" i="17" s="1"/>
  <c r="G121" i="17"/>
  <c r="I121" i="17" s="1"/>
  <c r="G122" i="17"/>
  <c r="G123" i="17"/>
  <c r="I123" i="17" s="1"/>
  <c r="G124" i="17"/>
  <c r="I124" i="17" s="1"/>
  <c r="G125" i="17"/>
  <c r="G126" i="17"/>
  <c r="G127" i="17"/>
  <c r="I127" i="17" s="1"/>
  <c r="G128" i="17"/>
  <c r="I128" i="17" s="1"/>
  <c r="G129" i="17"/>
  <c r="I129" i="17" s="1"/>
  <c r="G130" i="17"/>
  <c r="G131" i="17"/>
  <c r="I131" i="17" s="1"/>
  <c r="G132" i="17"/>
  <c r="I132" i="17" s="1"/>
  <c r="G133" i="17"/>
  <c r="G134" i="17"/>
  <c r="G135" i="17"/>
  <c r="I135" i="17" s="1"/>
  <c r="G136" i="17"/>
  <c r="I136" i="17" s="1"/>
  <c r="G137" i="17"/>
  <c r="I137" i="17" s="1"/>
  <c r="G138" i="17"/>
  <c r="G139" i="17"/>
  <c r="I139" i="17" s="1"/>
  <c r="G140" i="17"/>
  <c r="I140" i="17" s="1"/>
  <c r="G141" i="17"/>
  <c r="G142" i="17"/>
  <c r="G143" i="17"/>
  <c r="I143" i="17" s="1"/>
  <c r="G144" i="17"/>
  <c r="I144" i="17" s="1"/>
  <c r="G145" i="17"/>
  <c r="I145" i="17" s="1"/>
  <c r="G146" i="17"/>
  <c r="G147" i="17"/>
  <c r="I147" i="17" s="1"/>
  <c r="G148" i="17"/>
  <c r="I148" i="17" s="1"/>
  <c r="G149" i="17"/>
  <c r="G150" i="17"/>
  <c r="G151" i="17"/>
  <c r="I151" i="17" s="1"/>
  <c r="G152" i="17"/>
  <c r="I152" i="17" s="1"/>
  <c r="G153" i="17"/>
  <c r="I153" i="17" s="1"/>
  <c r="G154" i="17"/>
  <c r="G155" i="17"/>
  <c r="I155" i="17" s="1"/>
  <c r="G156" i="17"/>
  <c r="I156" i="17" s="1"/>
  <c r="G157" i="17"/>
  <c r="G158" i="17"/>
  <c r="G159" i="17"/>
  <c r="I159" i="17" s="1"/>
  <c r="G160" i="17"/>
  <c r="I160" i="17" s="1"/>
  <c r="G161" i="17"/>
  <c r="I161" i="17" s="1"/>
  <c r="G162" i="17"/>
  <c r="G163" i="17"/>
  <c r="I163" i="17" s="1"/>
  <c r="G164" i="17"/>
  <c r="I164" i="17" s="1"/>
  <c r="G165" i="17"/>
  <c r="G166" i="17"/>
  <c r="G167" i="17"/>
  <c r="I167" i="17" s="1"/>
  <c r="G168" i="17"/>
  <c r="I168" i="17" s="1"/>
  <c r="G169" i="17"/>
  <c r="I169" i="17" s="1"/>
  <c r="G170" i="17"/>
  <c r="G171" i="17"/>
  <c r="I171" i="17" s="1"/>
  <c r="G172" i="17"/>
  <c r="I172" i="17" s="1"/>
  <c r="G173" i="17"/>
  <c r="G174" i="17"/>
  <c r="G175" i="17"/>
  <c r="I175" i="17" s="1"/>
  <c r="G176" i="17"/>
  <c r="I176" i="17" s="1"/>
  <c r="G177" i="17"/>
  <c r="I177" i="17" s="1"/>
  <c r="G178" i="17"/>
  <c r="G179" i="17"/>
  <c r="I179" i="17" s="1"/>
  <c r="G180" i="17"/>
  <c r="I180" i="17" s="1"/>
  <c r="G181" i="17"/>
  <c r="G182" i="17"/>
  <c r="G183" i="17"/>
  <c r="I183" i="17" s="1"/>
  <c r="G184" i="17"/>
  <c r="I184" i="17" s="1"/>
  <c r="G185" i="17"/>
  <c r="I185" i="17" s="1"/>
  <c r="G186" i="17"/>
  <c r="G187" i="17"/>
  <c r="I187" i="17" s="1"/>
  <c r="G188" i="17"/>
  <c r="I188" i="17" s="1"/>
  <c r="G189" i="17"/>
  <c r="G190" i="17"/>
  <c r="G191" i="17"/>
  <c r="I191" i="17" s="1"/>
  <c r="G192" i="17"/>
  <c r="I192" i="17" s="1"/>
  <c r="G193" i="17"/>
  <c r="I193" i="17" s="1"/>
  <c r="G194" i="17"/>
  <c r="G195" i="17"/>
  <c r="I195" i="17" s="1"/>
  <c r="G196" i="17"/>
  <c r="I196" i="17" s="1"/>
  <c r="G197" i="17"/>
  <c r="G198" i="17"/>
  <c r="G199" i="17"/>
  <c r="I199" i="17" s="1"/>
  <c r="G200" i="17"/>
  <c r="I200" i="17" s="1"/>
  <c r="G201" i="17"/>
  <c r="I201" i="17" s="1"/>
  <c r="G202" i="17"/>
  <c r="G203" i="17"/>
  <c r="I203" i="17" s="1"/>
  <c r="G204" i="17"/>
  <c r="I204" i="17" s="1"/>
  <c r="G205" i="17"/>
  <c r="G206" i="17"/>
  <c r="G207" i="17"/>
  <c r="I207" i="17" s="1"/>
  <c r="G208" i="17"/>
  <c r="I208" i="17" s="1"/>
  <c r="G209" i="17"/>
  <c r="I209" i="17" s="1"/>
  <c r="G210" i="17"/>
  <c r="G211" i="17"/>
  <c r="I211" i="17" s="1"/>
  <c r="G212" i="17"/>
  <c r="I212" i="17" s="1"/>
  <c r="G213" i="17"/>
  <c r="G214" i="17"/>
  <c r="I214" i="17" s="1"/>
  <c r="G215" i="17"/>
  <c r="I215" i="17" s="1"/>
  <c r="G216" i="17"/>
  <c r="I216" i="17" s="1"/>
  <c r="G217" i="17"/>
  <c r="I217" i="17" s="1"/>
  <c r="G218" i="17"/>
  <c r="G219" i="17"/>
  <c r="G220" i="17"/>
  <c r="I220" i="17" s="1"/>
  <c r="G221" i="17"/>
  <c r="I221" i="17" s="1"/>
  <c r="G222" i="17"/>
  <c r="I222" i="17" s="1"/>
  <c r="G223" i="17"/>
  <c r="I223" i="17" s="1"/>
  <c r="G224" i="17"/>
  <c r="I224" i="17" s="1"/>
  <c r="G225" i="17"/>
  <c r="I225" i="17" s="1"/>
  <c r="G226" i="17"/>
  <c r="G227" i="17"/>
  <c r="G228" i="17"/>
  <c r="I228" i="17" s="1"/>
  <c r="G229" i="17"/>
  <c r="I229" i="17" s="1"/>
  <c r="G230" i="17"/>
  <c r="I230" i="17" s="1"/>
  <c r="G231" i="17"/>
  <c r="I231" i="17" s="1"/>
  <c r="G232" i="17"/>
  <c r="I232" i="17" s="1"/>
  <c r="G233" i="17"/>
  <c r="I233" i="17" s="1"/>
  <c r="G234" i="17"/>
  <c r="G235" i="17"/>
  <c r="G236" i="17"/>
  <c r="I236" i="17" s="1"/>
  <c r="G237" i="17"/>
  <c r="I237" i="17" s="1"/>
  <c r="G238" i="17"/>
  <c r="I238" i="17" s="1"/>
  <c r="G239" i="17"/>
  <c r="I239" i="17" s="1"/>
  <c r="G240" i="17"/>
  <c r="I240" i="17" s="1"/>
  <c r="G241" i="17"/>
  <c r="G242" i="17"/>
  <c r="I242" i="17" s="1"/>
  <c r="G243" i="17"/>
  <c r="I243" i="17" s="1"/>
  <c r="G244" i="17"/>
  <c r="I244" i="17" s="1"/>
  <c r="G245" i="17"/>
  <c r="G246" i="17"/>
  <c r="I246" i="17" s="1"/>
  <c r="G247" i="17"/>
  <c r="I247" i="17" s="1"/>
  <c r="G248" i="17"/>
  <c r="G249" i="17"/>
  <c r="G250" i="17"/>
  <c r="I250" i="17" s="1"/>
  <c r="G251" i="17"/>
  <c r="I251" i="17" s="1"/>
  <c r="G252" i="17"/>
  <c r="I252" i="17" s="1"/>
  <c r="G253" i="17"/>
  <c r="G254" i="17"/>
  <c r="I254" i="17" s="1"/>
  <c r="G255" i="17"/>
  <c r="I255" i="17" s="1"/>
  <c r="G256" i="17"/>
  <c r="G257" i="17"/>
  <c r="G258" i="17"/>
  <c r="I258" i="17" s="1"/>
  <c r="G259" i="17"/>
  <c r="I259" i="17" s="1"/>
  <c r="G260" i="17"/>
  <c r="I260" i="17" s="1"/>
  <c r="G261" i="17"/>
  <c r="G262" i="17"/>
  <c r="I262" i="17" s="1"/>
  <c r="G263" i="17"/>
  <c r="I263" i="17" s="1"/>
  <c r="G264" i="17"/>
  <c r="G265" i="17"/>
  <c r="G266" i="17"/>
  <c r="I266" i="17" s="1"/>
  <c r="G267" i="17"/>
  <c r="I267" i="17" s="1"/>
  <c r="G268" i="17"/>
  <c r="I268" i="17" s="1"/>
  <c r="G269" i="17"/>
  <c r="G270" i="17"/>
  <c r="I270" i="17" s="1"/>
  <c r="G271" i="17"/>
  <c r="I271" i="17" s="1"/>
  <c r="G272" i="17"/>
  <c r="G273" i="17"/>
  <c r="G274" i="17"/>
  <c r="I274" i="17" s="1"/>
  <c r="G275" i="17"/>
  <c r="I275" i="17" s="1"/>
  <c r="G276" i="17"/>
  <c r="I276" i="17" s="1"/>
  <c r="G277" i="17"/>
  <c r="G278" i="17"/>
  <c r="I278" i="17" s="1"/>
  <c r="G279" i="17"/>
  <c r="I279" i="17" s="1"/>
  <c r="G280" i="17"/>
  <c r="G281" i="17"/>
  <c r="G282" i="17"/>
  <c r="I282" i="17" s="1"/>
  <c r="G283" i="17"/>
  <c r="I283" i="17" s="1"/>
  <c r="G284" i="17"/>
  <c r="I284" i="17" s="1"/>
  <c r="G285" i="17"/>
  <c r="G286" i="17"/>
  <c r="I286" i="17" s="1"/>
  <c r="G287" i="17"/>
  <c r="I287" i="17" s="1"/>
  <c r="G288" i="17"/>
  <c r="G289" i="17"/>
  <c r="G290" i="17"/>
  <c r="I290" i="17" s="1"/>
  <c r="G291" i="17"/>
  <c r="I291" i="17" s="1"/>
  <c r="G292" i="17"/>
  <c r="I292" i="17" s="1"/>
  <c r="G293" i="17"/>
  <c r="G294" i="17"/>
  <c r="I294" i="17" s="1"/>
  <c r="G295" i="17"/>
  <c r="I295" i="17" s="1"/>
  <c r="G296" i="17"/>
  <c r="G297" i="17"/>
  <c r="G298" i="17"/>
  <c r="I298" i="17" s="1"/>
  <c r="G299" i="17"/>
  <c r="I299" i="17" s="1"/>
  <c r="G300" i="17"/>
  <c r="I300" i="17" s="1"/>
  <c r="G301" i="17"/>
  <c r="G302" i="17"/>
  <c r="I302" i="17" s="1"/>
  <c r="G303" i="17"/>
  <c r="I303" i="17" s="1"/>
  <c r="G304" i="17"/>
  <c r="G305" i="17"/>
  <c r="G306" i="17"/>
  <c r="I306" i="17" s="1"/>
  <c r="G307" i="17"/>
  <c r="I307" i="17" s="1"/>
  <c r="G308" i="17"/>
  <c r="I308" i="17" s="1"/>
  <c r="G309" i="17"/>
  <c r="G310" i="17"/>
  <c r="I310" i="17" s="1"/>
  <c r="G311" i="17"/>
  <c r="I311" i="17" s="1"/>
  <c r="G312" i="17"/>
  <c r="G313" i="17"/>
  <c r="G314" i="17"/>
  <c r="I314" i="17" s="1"/>
  <c r="G315" i="17"/>
  <c r="I315" i="17" s="1"/>
  <c r="G316" i="17"/>
  <c r="I316" i="17" s="1"/>
  <c r="G317" i="17"/>
  <c r="G318" i="17"/>
  <c r="I318" i="17" s="1"/>
  <c r="G319" i="17"/>
  <c r="I319" i="17" s="1"/>
  <c r="G320" i="17"/>
  <c r="G321" i="17"/>
  <c r="G322" i="17"/>
  <c r="I322" i="17" s="1"/>
  <c r="G323" i="17"/>
  <c r="I323" i="17" s="1"/>
  <c r="G324" i="17"/>
  <c r="I324" i="17" s="1"/>
  <c r="G325" i="17"/>
  <c r="G326" i="17"/>
  <c r="I326" i="17" s="1"/>
  <c r="G327" i="17"/>
  <c r="I327" i="17" s="1"/>
  <c r="G328" i="17"/>
  <c r="G329" i="17"/>
  <c r="G330" i="17"/>
  <c r="I330" i="17" s="1"/>
  <c r="G331" i="17"/>
  <c r="I331" i="17" s="1"/>
  <c r="G332" i="17"/>
  <c r="I332" i="17" s="1"/>
  <c r="G333" i="17"/>
  <c r="F2" i="17"/>
  <c r="G2" i="17" s="1"/>
  <c r="I2" i="17" s="1"/>
  <c r="K2" i="17" s="1"/>
  <c r="K24" i="36"/>
  <c r="M23" i="64"/>
  <c r="M24" i="64" s="1"/>
  <c r="M25" i="64" s="1"/>
  <c r="K20" i="64"/>
  <c r="K19" i="64"/>
  <c r="I15" i="84"/>
  <c r="K15" i="84" s="1"/>
  <c r="I42" i="78"/>
  <c r="I41" i="78"/>
  <c r="I29" i="23"/>
  <c r="J19" i="22"/>
  <c r="J45" i="46"/>
  <c r="J44" i="46"/>
  <c r="J43" i="46"/>
  <c r="J42" i="46"/>
  <c r="H45" i="46"/>
  <c r="H43" i="46"/>
  <c r="H42" i="46"/>
  <c r="J3" i="68"/>
  <c r="J2" i="68"/>
  <c r="H3" i="68"/>
  <c r="J11" i="50"/>
  <c r="G25" i="28"/>
  <c r="H28" i="46"/>
  <c r="J26" i="28"/>
  <c r="G26" i="28"/>
  <c r="J25" i="28"/>
  <c r="K42" i="59"/>
  <c r="K43" i="59"/>
  <c r="G16" i="57"/>
  <c r="G15" i="57"/>
  <c r="G14" i="57"/>
  <c r="I15" i="57"/>
  <c r="I14" i="57"/>
  <c r="I16" i="57"/>
  <c r="I13" i="57"/>
  <c r="G13" i="57"/>
  <c r="F26" i="43"/>
  <c r="G26" i="43" s="1"/>
  <c r="H26" i="43"/>
  <c r="I34" i="13"/>
  <c r="I33" i="13"/>
  <c r="I22" i="65"/>
  <c r="I21" i="65"/>
  <c r="I20" i="65"/>
  <c r="I36" i="78"/>
  <c r="K36" i="78" s="1"/>
  <c r="J8" i="53"/>
  <c r="J7" i="53"/>
  <c r="G8" i="53"/>
  <c r="G7" i="53"/>
  <c r="J6" i="53"/>
  <c r="J67" i="59"/>
  <c r="J69" i="59"/>
  <c r="J70" i="59"/>
  <c r="J72" i="59"/>
  <c r="H70" i="59"/>
  <c r="H69" i="59"/>
  <c r="H67" i="59"/>
  <c r="I36" i="38"/>
  <c r="I35" i="38"/>
  <c r="I34" i="38"/>
  <c r="I33" i="38"/>
  <c r="I32" i="38"/>
  <c r="I31" i="38"/>
  <c r="I30" i="38"/>
  <c r="I29" i="38"/>
  <c r="G36" i="38"/>
  <c r="G31" i="38"/>
  <c r="G30" i="38"/>
  <c r="G29" i="38"/>
  <c r="J6" i="11"/>
  <c r="J4" i="11"/>
  <c r="J5" i="11"/>
  <c r="G6" i="11"/>
  <c r="H6" i="11" s="1"/>
  <c r="G5" i="11"/>
  <c r="H5" i="11" s="1"/>
  <c r="G4" i="11"/>
  <c r="H4" i="11" s="1"/>
  <c r="J24" i="28"/>
  <c r="J16" i="58"/>
  <c r="M2" i="16"/>
  <c r="J2" i="16"/>
  <c r="J47" i="78"/>
  <c r="G47" i="78"/>
  <c r="J16" i="24"/>
  <c r="J27" i="4"/>
  <c r="H27" i="4"/>
  <c r="K14" i="82"/>
  <c r="K5" i="47"/>
  <c r="H5" i="47"/>
  <c r="K37" i="59"/>
  <c r="K17" i="19"/>
  <c r="J40" i="46"/>
  <c r="G3" i="17" l="1"/>
  <c r="J17" i="44"/>
  <c r="J15" i="44"/>
  <c r="I3" i="17" l="1"/>
  <c r="J4" i="53"/>
  <c r="K34" i="59" l="1"/>
  <c r="H17" i="36"/>
  <c r="J16" i="44"/>
  <c r="H16" i="44"/>
  <c r="H14" i="44"/>
  <c r="J14" i="44"/>
  <c r="K20" i="19" l="1"/>
  <c r="K19" i="19"/>
  <c r="K18" i="19"/>
  <c r="K16" i="19"/>
  <c r="K15" i="19"/>
  <c r="K14" i="19"/>
  <c r="H17" i="19"/>
  <c r="H16" i="19"/>
  <c r="H15" i="19"/>
  <c r="J2" i="61"/>
  <c r="K9" i="61"/>
  <c r="K17" i="61"/>
  <c r="K25" i="61"/>
  <c r="K33" i="61"/>
  <c r="K41" i="61"/>
  <c r="K49" i="61"/>
  <c r="K57" i="61"/>
  <c r="K65" i="61"/>
  <c r="K73" i="61"/>
  <c r="K81" i="61"/>
  <c r="K89" i="61"/>
  <c r="K97" i="61"/>
  <c r="K105" i="61"/>
  <c r="K113" i="61"/>
  <c r="K121" i="61"/>
  <c r="K129" i="61"/>
  <c r="K137" i="61"/>
  <c r="K145" i="61"/>
  <c r="K153" i="61"/>
  <c r="K161" i="61"/>
  <c r="K169" i="61"/>
  <c r="K177" i="61"/>
  <c r="K185" i="61"/>
  <c r="K193" i="61"/>
  <c r="K201" i="61"/>
  <c r="K209" i="61"/>
  <c r="K217" i="61"/>
  <c r="K225" i="61"/>
  <c r="K233" i="61"/>
  <c r="K241" i="61"/>
  <c r="K249" i="61"/>
  <c r="K257" i="61"/>
  <c r="K265" i="61"/>
  <c r="K273" i="61"/>
  <c r="K281" i="61"/>
  <c r="K289" i="61"/>
  <c r="K297" i="61"/>
  <c r="K305" i="61"/>
  <c r="K313" i="61"/>
  <c r="K321" i="61"/>
  <c r="K329" i="61"/>
  <c r="K337" i="61"/>
  <c r="K2" i="61"/>
  <c r="K3" i="61"/>
  <c r="K4" i="61"/>
  <c r="K5" i="61"/>
  <c r="K6" i="61"/>
  <c r="K7" i="61"/>
  <c r="K8" i="61"/>
  <c r="K10" i="61"/>
  <c r="K11" i="61"/>
  <c r="K12" i="61"/>
  <c r="K13" i="61"/>
  <c r="K14" i="61"/>
  <c r="K15" i="61"/>
  <c r="K16" i="61"/>
  <c r="K18" i="61"/>
  <c r="K19" i="61"/>
  <c r="K20" i="61"/>
  <c r="K21" i="61"/>
  <c r="K22" i="61"/>
  <c r="K23" i="61"/>
  <c r="K24" i="61"/>
  <c r="K26" i="61"/>
  <c r="K27" i="61"/>
  <c r="K28" i="61"/>
  <c r="K29" i="61"/>
  <c r="K30" i="61"/>
  <c r="K31" i="61"/>
  <c r="K32" i="61"/>
  <c r="K34" i="61"/>
  <c r="K35" i="61"/>
  <c r="K36" i="61"/>
  <c r="K37" i="61"/>
  <c r="K38" i="61"/>
  <c r="K39" i="61"/>
  <c r="K40" i="61"/>
  <c r="K42" i="61"/>
  <c r="K43" i="61"/>
  <c r="K44" i="61"/>
  <c r="K45" i="61"/>
  <c r="K46" i="61"/>
  <c r="K47" i="61"/>
  <c r="K48" i="61"/>
  <c r="K50" i="61"/>
  <c r="K51" i="61"/>
  <c r="K52" i="61"/>
  <c r="K53" i="61"/>
  <c r="K54" i="61"/>
  <c r="K55" i="61"/>
  <c r="K56" i="61"/>
  <c r="K58" i="61"/>
  <c r="K59" i="61"/>
  <c r="K60" i="61"/>
  <c r="K61" i="61"/>
  <c r="K62" i="61"/>
  <c r="K63" i="61"/>
  <c r="K64" i="61"/>
  <c r="K66" i="61"/>
  <c r="K67" i="61"/>
  <c r="K68" i="61"/>
  <c r="K69" i="61"/>
  <c r="K70" i="61"/>
  <c r="K71" i="61"/>
  <c r="K72" i="61"/>
  <c r="K74" i="61"/>
  <c r="K75" i="61"/>
  <c r="K76" i="61"/>
  <c r="K77" i="61"/>
  <c r="K78" i="61"/>
  <c r="K79" i="61"/>
  <c r="K80" i="61"/>
  <c r="K82" i="61"/>
  <c r="K83" i="61"/>
  <c r="K84" i="61"/>
  <c r="K85" i="61"/>
  <c r="K86" i="61"/>
  <c r="K87" i="61"/>
  <c r="K88" i="61"/>
  <c r="K90" i="61"/>
  <c r="K91" i="61"/>
  <c r="K92" i="61"/>
  <c r="K93" i="61"/>
  <c r="K94" i="61"/>
  <c r="K95" i="61"/>
  <c r="K96" i="61"/>
  <c r="K98" i="61"/>
  <c r="K99" i="61"/>
  <c r="K100" i="61"/>
  <c r="K101" i="61"/>
  <c r="K102" i="61"/>
  <c r="K103" i="61"/>
  <c r="K104" i="61"/>
  <c r="K106" i="61"/>
  <c r="K107" i="61"/>
  <c r="K108" i="61"/>
  <c r="K109" i="61"/>
  <c r="K110" i="61"/>
  <c r="K111" i="61"/>
  <c r="K112" i="61"/>
  <c r="K114" i="61"/>
  <c r="K115" i="61"/>
  <c r="K116" i="61"/>
  <c r="K117" i="61"/>
  <c r="K118" i="61"/>
  <c r="K119" i="61"/>
  <c r="K120" i="61"/>
  <c r="K122" i="61"/>
  <c r="K123" i="61"/>
  <c r="K124" i="61"/>
  <c r="K125" i="61"/>
  <c r="K126" i="61"/>
  <c r="K127" i="61"/>
  <c r="K128" i="61"/>
  <c r="K130" i="61"/>
  <c r="K131" i="61"/>
  <c r="K132" i="61"/>
  <c r="K133" i="61"/>
  <c r="K134" i="61"/>
  <c r="K135" i="61"/>
  <c r="K136" i="61"/>
  <c r="K138" i="61"/>
  <c r="K139" i="61"/>
  <c r="K140" i="61"/>
  <c r="K141" i="61"/>
  <c r="K142" i="61"/>
  <c r="K143" i="61"/>
  <c r="K144" i="61"/>
  <c r="K146" i="61"/>
  <c r="K147" i="61"/>
  <c r="K148" i="61"/>
  <c r="K149" i="61"/>
  <c r="K150" i="61"/>
  <c r="K151" i="61"/>
  <c r="K152" i="61"/>
  <c r="K154" i="61"/>
  <c r="K155" i="61"/>
  <c r="K156" i="61"/>
  <c r="K157" i="61"/>
  <c r="K158" i="61"/>
  <c r="K159" i="61"/>
  <c r="K160" i="61"/>
  <c r="K162" i="61"/>
  <c r="K163" i="61"/>
  <c r="K164" i="61"/>
  <c r="K165" i="61"/>
  <c r="K166" i="61"/>
  <c r="K167" i="61"/>
  <c r="K168" i="61"/>
  <c r="K170" i="61"/>
  <c r="K171" i="61"/>
  <c r="K172" i="61"/>
  <c r="K173" i="61"/>
  <c r="K174" i="61"/>
  <c r="K175" i="61"/>
  <c r="K176" i="61"/>
  <c r="K178" i="61"/>
  <c r="K179" i="61"/>
  <c r="K180" i="61"/>
  <c r="K181" i="61"/>
  <c r="K182" i="61"/>
  <c r="K183" i="61"/>
  <c r="K184" i="61"/>
  <c r="K186" i="61"/>
  <c r="K187" i="61"/>
  <c r="K188" i="61"/>
  <c r="K189" i="61"/>
  <c r="K190" i="61"/>
  <c r="K191" i="61"/>
  <c r="K192" i="61"/>
  <c r="K194" i="61"/>
  <c r="K195" i="61"/>
  <c r="K196" i="61"/>
  <c r="K197" i="61"/>
  <c r="K198" i="61"/>
  <c r="K199" i="61"/>
  <c r="K200" i="61"/>
  <c r="K202" i="61"/>
  <c r="K203" i="61"/>
  <c r="K204" i="61"/>
  <c r="K205" i="61"/>
  <c r="K206" i="61"/>
  <c r="K207" i="61"/>
  <c r="K208" i="61"/>
  <c r="K210" i="61"/>
  <c r="K211" i="61"/>
  <c r="K212" i="61"/>
  <c r="K213" i="61"/>
  <c r="K214" i="61"/>
  <c r="K215" i="61"/>
  <c r="K216" i="61"/>
  <c r="K218" i="61"/>
  <c r="K219" i="61"/>
  <c r="K220" i="61"/>
  <c r="K221" i="61"/>
  <c r="K222" i="61"/>
  <c r="K223" i="61"/>
  <c r="K224" i="61"/>
  <c r="K226" i="61"/>
  <c r="K227" i="61"/>
  <c r="K228" i="61"/>
  <c r="K229" i="61"/>
  <c r="K230" i="61"/>
  <c r="K231" i="61"/>
  <c r="K232" i="61"/>
  <c r="K234" i="61"/>
  <c r="K235" i="61"/>
  <c r="K236" i="61"/>
  <c r="K237" i="61"/>
  <c r="K238" i="61"/>
  <c r="K239" i="61"/>
  <c r="K240" i="61"/>
  <c r="K242" i="61"/>
  <c r="K243" i="61"/>
  <c r="K244" i="61"/>
  <c r="K245" i="61"/>
  <c r="K246" i="61"/>
  <c r="K247" i="61"/>
  <c r="K248" i="61"/>
  <c r="K250" i="61"/>
  <c r="K251" i="61"/>
  <c r="K252" i="61"/>
  <c r="K253" i="61"/>
  <c r="K254" i="61"/>
  <c r="K255" i="61"/>
  <c r="K256" i="61"/>
  <c r="K258" i="61"/>
  <c r="K259" i="61"/>
  <c r="K260" i="61"/>
  <c r="K261" i="61"/>
  <c r="K262" i="61"/>
  <c r="K263" i="61"/>
  <c r="K264" i="61"/>
  <c r="K266" i="61"/>
  <c r="K267" i="61"/>
  <c r="K268" i="61"/>
  <c r="K269" i="61"/>
  <c r="K270" i="61"/>
  <c r="K271" i="61"/>
  <c r="K272" i="61"/>
  <c r="K274" i="61"/>
  <c r="K275" i="61"/>
  <c r="K276" i="61"/>
  <c r="K277" i="61"/>
  <c r="K278" i="61"/>
  <c r="K279" i="61"/>
  <c r="K280" i="61"/>
  <c r="K282" i="61"/>
  <c r="K283" i="61"/>
  <c r="K284" i="61"/>
  <c r="K285" i="61"/>
  <c r="K286" i="61"/>
  <c r="K287" i="61"/>
  <c r="K288" i="61"/>
  <c r="K290" i="61"/>
  <c r="K291" i="61"/>
  <c r="K292" i="61"/>
  <c r="K293" i="61"/>
  <c r="K294" i="61"/>
  <c r="K295" i="61"/>
  <c r="K296" i="61"/>
  <c r="K298" i="61"/>
  <c r="K299" i="61"/>
  <c r="K300" i="61"/>
  <c r="K301" i="61"/>
  <c r="K302" i="61"/>
  <c r="K303" i="61"/>
  <c r="K304" i="61"/>
  <c r="K306" i="61"/>
  <c r="K307" i="61"/>
  <c r="K308" i="61"/>
  <c r="K309" i="61"/>
  <c r="K310" i="61"/>
  <c r="K311" i="61"/>
  <c r="K312" i="61"/>
  <c r="K314" i="61"/>
  <c r="K315" i="61"/>
  <c r="K316" i="61"/>
  <c r="K317" i="61"/>
  <c r="K318" i="61"/>
  <c r="K319" i="61"/>
  <c r="K320" i="61"/>
  <c r="K322" i="61"/>
  <c r="K323" i="61"/>
  <c r="K324" i="61"/>
  <c r="K325" i="61"/>
  <c r="K326" i="61"/>
  <c r="K327" i="61"/>
  <c r="K328" i="61"/>
  <c r="K330" i="61"/>
  <c r="K331" i="61"/>
  <c r="K332" i="61"/>
  <c r="K333" i="61"/>
  <c r="K334" i="61"/>
  <c r="K335" i="61"/>
  <c r="K336" i="61"/>
  <c r="K338" i="61"/>
  <c r="K339" i="61"/>
  <c r="K340" i="61"/>
  <c r="H2" i="61"/>
  <c r="I32" i="13" l="1"/>
  <c r="J66" i="59" l="1"/>
  <c r="J65" i="59"/>
  <c r="J3" i="11" l="1"/>
  <c r="H3" i="11"/>
  <c r="G3" i="11"/>
  <c r="G2" i="11" l="1"/>
  <c r="J3" i="8"/>
  <c r="J2" i="8"/>
  <c r="J39" i="46"/>
  <c r="J38" i="46"/>
  <c r="H38" i="46"/>
  <c r="K17" i="64" l="1"/>
  <c r="I30" i="78"/>
  <c r="K30" i="78" s="1"/>
  <c r="L28" i="23"/>
  <c r="J19" i="84"/>
  <c r="H19" i="84" l="1"/>
  <c r="H12" i="84"/>
  <c r="J18" i="84"/>
  <c r="J17" i="84"/>
  <c r="H17" i="84"/>
  <c r="J37" i="46" l="1"/>
  <c r="J36" i="46"/>
  <c r="J35" i="46"/>
  <c r="H36" i="46"/>
  <c r="J10" i="50" l="1"/>
  <c r="J9" i="50"/>
  <c r="H9" i="50"/>
  <c r="I31" i="13" l="1"/>
  <c r="G31" i="13"/>
  <c r="I30" i="13"/>
  <c r="J45" i="78" l="1"/>
  <c r="G45" i="78"/>
  <c r="H2" i="8" l="1"/>
  <c r="H3" i="8"/>
  <c r="H4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L11" i="57" l="1"/>
  <c r="L12" i="57" s="1"/>
  <c r="H11" i="57"/>
  <c r="J11" i="57"/>
  <c r="I12" i="57" l="1"/>
  <c r="G12" i="57"/>
  <c r="I27" i="38"/>
  <c r="G27" i="38"/>
  <c r="J34" i="36" l="1"/>
  <c r="J33" i="36"/>
  <c r="J32" i="36"/>
  <c r="J30" i="36"/>
  <c r="J29" i="36"/>
  <c r="J26" i="36"/>
  <c r="J44" i="78"/>
  <c r="J43" i="78"/>
  <c r="G44" i="78"/>
  <c r="G43" i="78"/>
  <c r="H24" i="4" l="1"/>
  <c r="J23" i="4"/>
  <c r="J21" i="4" l="1"/>
  <c r="J24" i="4"/>
  <c r="J22" i="4"/>
  <c r="H22" i="4"/>
  <c r="K11" i="73"/>
  <c r="J16" i="22" l="1"/>
  <c r="G16" i="22"/>
  <c r="K12" i="82"/>
  <c r="J63" i="59" l="1"/>
  <c r="J62" i="59"/>
  <c r="I28" i="78" l="1"/>
  <c r="K28" i="78" s="1"/>
  <c r="K34" i="11"/>
  <c r="K35" i="11"/>
  <c r="K36" i="11"/>
  <c r="K37" i="11"/>
  <c r="K38" i="11"/>
  <c r="K39" i="11"/>
  <c r="K40" i="11"/>
  <c r="K41" i="11"/>
  <c r="K42" i="11"/>
  <c r="K43" i="11"/>
  <c r="J14" i="24"/>
  <c r="G39" i="78"/>
  <c r="J40" i="78" l="1"/>
  <c r="J39" i="78"/>
  <c r="J38" i="78"/>
  <c r="G38" i="78"/>
  <c r="J34" i="78"/>
  <c r="J37" i="78"/>
  <c r="J20" i="28"/>
  <c r="J14" i="58" l="1"/>
  <c r="J61" i="59" l="1"/>
  <c r="J60" i="59"/>
  <c r="H62" i="59"/>
  <c r="H61" i="59"/>
  <c r="H60" i="59"/>
  <c r="J58" i="59"/>
  <c r="J6" i="85" l="1"/>
  <c r="K3" i="60" l="1"/>
  <c r="K2" i="60" l="1"/>
  <c r="P13" i="60"/>
  <c r="I28" i="13" l="1"/>
  <c r="H31" i="46" l="1"/>
  <c r="J12" i="65"/>
  <c r="I26" i="38"/>
  <c r="I25" i="38"/>
  <c r="I24" i="38"/>
  <c r="I23" i="38"/>
  <c r="I22" i="38"/>
  <c r="I21" i="38"/>
  <c r="G25" i="38"/>
  <c r="G24" i="38"/>
  <c r="I27" i="13"/>
  <c r="J33" i="46" l="1"/>
  <c r="J32" i="46"/>
  <c r="J31" i="46"/>
  <c r="J30" i="46"/>
  <c r="K11" i="82" l="1"/>
  <c r="K11" i="72" l="1"/>
  <c r="K10" i="72"/>
  <c r="K9" i="72"/>
  <c r="K8" i="72"/>
  <c r="J35" i="78"/>
  <c r="G34" i="78"/>
  <c r="J31" i="78"/>
  <c r="J33" i="78"/>
  <c r="J32" i="78"/>
  <c r="K10" i="82" l="1"/>
  <c r="H10" i="82"/>
  <c r="N9" i="82"/>
  <c r="J9" i="82"/>
  <c r="L9" i="82"/>
  <c r="J13" i="24" l="1"/>
  <c r="J12" i="24"/>
  <c r="J57" i="59"/>
  <c r="J56" i="59" l="1"/>
  <c r="I27" i="23" l="1"/>
  <c r="J8" i="83" l="1"/>
  <c r="H8" i="83"/>
  <c r="J22" i="64" l="1"/>
  <c r="G22" i="64"/>
  <c r="J21" i="64"/>
  <c r="K21" i="64" s="1"/>
  <c r="K22" i="64" l="1"/>
  <c r="I18" i="65"/>
  <c r="G18" i="65"/>
  <c r="J25" i="36"/>
  <c r="H25" i="36"/>
  <c r="J23" i="36"/>
  <c r="H23" i="36"/>
  <c r="J5" i="85" l="1"/>
  <c r="H5" i="85"/>
  <c r="J4" i="85"/>
  <c r="H24" i="43" l="1"/>
  <c r="H23" i="43"/>
  <c r="F23" i="43"/>
  <c r="I23" i="78" l="1"/>
  <c r="K23" i="78" s="1"/>
  <c r="N13" i="39"/>
  <c r="I26" i="13"/>
  <c r="I26" i="23" l="1"/>
  <c r="J28" i="46" l="1"/>
  <c r="J27" i="46"/>
  <c r="I25" i="13" l="1"/>
  <c r="I24" i="13"/>
  <c r="G24" i="13"/>
  <c r="G23" i="13"/>
  <c r="I23" i="13"/>
  <c r="I22" i="13"/>
  <c r="G22" i="13"/>
  <c r="I21" i="13"/>
  <c r="G21" i="13"/>
  <c r="I19" i="38" l="1"/>
  <c r="J55" i="59" l="1"/>
  <c r="J53" i="59"/>
  <c r="I10" i="57" l="1"/>
  <c r="G10" i="57"/>
  <c r="J13" i="84" l="1"/>
  <c r="J52" i="59"/>
  <c r="J49" i="59" l="1"/>
  <c r="H49" i="59"/>
  <c r="I18" i="38"/>
  <c r="H22" i="36" l="1"/>
  <c r="J22" i="36"/>
  <c r="H22" i="43"/>
  <c r="F22" i="43"/>
  <c r="H21" i="43"/>
  <c r="F21" i="43"/>
  <c r="H20" i="43"/>
  <c r="F20" i="43"/>
  <c r="J19" i="28" l="1"/>
  <c r="K6" i="47" l="1"/>
  <c r="J12" i="22" l="1"/>
  <c r="J18" i="28" l="1"/>
  <c r="J17" i="28"/>
  <c r="J10" i="35" l="1"/>
  <c r="K11" i="64"/>
  <c r="K12" i="64"/>
  <c r="K11" i="36"/>
  <c r="I19" i="78"/>
  <c r="K19" i="78" s="1"/>
  <c r="H8" i="57"/>
  <c r="J8" i="57" s="1"/>
  <c r="J19" i="36"/>
  <c r="H19" i="36"/>
  <c r="J3" i="12" l="1"/>
  <c r="J29" i="78" l="1"/>
  <c r="G29" i="78"/>
  <c r="J27" i="78"/>
  <c r="J26" i="78" l="1"/>
  <c r="J48" i="59"/>
  <c r="J45" i="59" l="1"/>
  <c r="H45" i="59"/>
  <c r="J44" i="59"/>
  <c r="H44" i="59"/>
  <c r="J41" i="59" l="1"/>
  <c r="J26" i="46" l="1"/>
  <c r="I19" i="13"/>
  <c r="G19" i="13"/>
  <c r="K2" i="47" l="1"/>
  <c r="L2" i="47" s="1"/>
  <c r="N2" i="47" s="1"/>
  <c r="K3" i="47"/>
  <c r="K9" i="73"/>
  <c r="J8" i="35" l="1"/>
  <c r="J7" i="35"/>
  <c r="G7" i="35"/>
  <c r="J6" i="35"/>
  <c r="G6" i="35"/>
  <c r="K8" i="82" l="1"/>
  <c r="J10" i="22" l="1"/>
  <c r="K7" i="36"/>
  <c r="J19" i="4"/>
  <c r="H19" i="4"/>
  <c r="J18" i="4"/>
  <c r="H18" i="4"/>
  <c r="J40" i="59" l="1"/>
  <c r="H40" i="59"/>
  <c r="H18" i="43" l="1"/>
  <c r="H17" i="43"/>
  <c r="J25" i="78" l="1"/>
  <c r="G25" i="78"/>
  <c r="J24" i="78"/>
  <c r="G24" i="78"/>
  <c r="J39" i="59" l="1"/>
  <c r="H39" i="59" l="1"/>
  <c r="I16" i="38"/>
  <c r="J22" i="78" l="1"/>
  <c r="I18" i="13" l="1"/>
  <c r="K8" i="73" l="1"/>
  <c r="K7" i="73"/>
  <c r="G18" i="13"/>
  <c r="I17" i="13"/>
  <c r="K6" i="72" l="1"/>
  <c r="J18" i="64"/>
  <c r="G18" i="64" l="1"/>
  <c r="I16" i="65"/>
  <c r="G16" i="65"/>
  <c r="I15" i="65" l="1"/>
  <c r="J2" i="65"/>
  <c r="J7" i="65"/>
  <c r="J16" i="65"/>
  <c r="J18" i="65"/>
  <c r="J20" i="65"/>
  <c r="J21" i="65"/>
  <c r="J22" i="65"/>
  <c r="J23" i="65"/>
  <c r="J24" i="65"/>
  <c r="J25" i="65"/>
  <c r="J26" i="65"/>
  <c r="J27" i="65"/>
  <c r="J28" i="65"/>
  <c r="J29" i="65"/>
  <c r="J30" i="65"/>
  <c r="J31" i="65"/>
  <c r="J32" i="65"/>
  <c r="J33" i="65"/>
  <c r="J34" i="65"/>
  <c r="J35" i="65"/>
  <c r="J36" i="65"/>
  <c r="J37" i="65"/>
  <c r="J38" i="65"/>
  <c r="J39" i="65"/>
  <c r="J40" i="65"/>
  <c r="J41" i="65"/>
  <c r="J42" i="65"/>
  <c r="J43" i="65"/>
  <c r="J44" i="65"/>
  <c r="J45" i="65"/>
  <c r="J46" i="65"/>
  <c r="J47" i="65"/>
  <c r="J48" i="65"/>
  <c r="J49" i="65"/>
  <c r="J50" i="65"/>
  <c r="J51" i="65"/>
  <c r="J52" i="65"/>
  <c r="J53" i="65"/>
  <c r="J54" i="65"/>
  <c r="J55" i="65"/>
  <c r="J56" i="65"/>
  <c r="J57" i="65"/>
  <c r="J58" i="65"/>
  <c r="J59" i="65"/>
  <c r="J60" i="65"/>
  <c r="J61" i="65"/>
  <c r="J62" i="65"/>
  <c r="J63" i="65"/>
  <c r="J64" i="65"/>
  <c r="J65" i="65"/>
  <c r="J66" i="65"/>
  <c r="J67" i="65"/>
  <c r="J68" i="65"/>
  <c r="J69" i="65"/>
  <c r="J70" i="65"/>
  <c r="J71" i="65"/>
  <c r="J72" i="65"/>
  <c r="J73" i="65"/>
  <c r="J74" i="65"/>
  <c r="J75" i="65"/>
  <c r="J76" i="65"/>
  <c r="J77" i="65"/>
  <c r="J78" i="65"/>
  <c r="J79" i="65"/>
  <c r="J80" i="65"/>
  <c r="J81" i="65"/>
  <c r="J82" i="65"/>
  <c r="J83" i="65"/>
  <c r="J84" i="65"/>
  <c r="J85" i="65"/>
  <c r="J86" i="65"/>
  <c r="J87" i="65"/>
  <c r="J88" i="65"/>
  <c r="J89" i="65"/>
  <c r="J90" i="65"/>
  <c r="J91" i="65"/>
  <c r="J92" i="65"/>
  <c r="J93" i="65"/>
  <c r="J94" i="65"/>
  <c r="J95" i="65"/>
  <c r="J96" i="65"/>
  <c r="J97" i="65"/>
  <c r="J98" i="65"/>
  <c r="J99" i="65"/>
  <c r="J100" i="65"/>
  <c r="J101" i="65"/>
  <c r="J102" i="65"/>
  <c r="J103" i="65"/>
  <c r="J104" i="65"/>
  <c r="J105" i="65"/>
  <c r="J106" i="65"/>
  <c r="J107" i="65"/>
  <c r="J108" i="65"/>
  <c r="J109" i="65"/>
  <c r="J110" i="65"/>
  <c r="J111" i="65"/>
  <c r="J112" i="65"/>
  <c r="J113" i="65"/>
  <c r="J114" i="65"/>
  <c r="J115" i="65"/>
  <c r="J116" i="65"/>
  <c r="J117" i="65"/>
  <c r="J118" i="65"/>
  <c r="J119" i="65"/>
  <c r="J120" i="65"/>
  <c r="J121" i="65"/>
  <c r="J122" i="65"/>
  <c r="J123" i="65"/>
  <c r="J124" i="65"/>
  <c r="J125" i="65"/>
  <c r="J126" i="65"/>
  <c r="J127" i="65"/>
  <c r="J128" i="65"/>
  <c r="J129" i="65"/>
  <c r="J130" i="65"/>
  <c r="J131" i="65"/>
  <c r="J132" i="65"/>
  <c r="J133" i="65"/>
  <c r="J134" i="65"/>
  <c r="J135" i="65"/>
  <c r="J136" i="65"/>
  <c r="J137" i="65"/>
  <c r="J138" i="65"/>
  <c r="J139" i="65"/>
  <c r="J140" i="65"/>
  <c r="J141" i="65"/>
  <c r="J142" i="65"/>
  <c r="J143" i="65"/>
  <c r="J144" i="65"/>
  <c r="J145" i="65"/>
  <c r="J146" i="65"/>
  <c r="J147" i="65"/>
  <c r="J148" i="65"/>
  <c r="J149" i="65"/>
  <c r="J150" i="65"/>
  <c r="J151" i="65"/>
  <c r="J152" i="65"/>
  <c r="J153" i="65"/>
  <c r="J154" i="65"/>
  <c r="J155" i="65"/>
  <c r="J156" i="65"/>
  <c r="J157" i="65"/>
  <c r="J158" i="65"/>
  <c r="J159" i="65"/>
  <c r="J160" i="65"/>
  <c r="J161" i="65"/>
  <c r="J162" i="65"/>
  <c r="J163" i="65"/>
  <c r="J164" i="65"/>
  <c r="J165" i="65"/>
  <c r="J166" i="65"/>
  <c r="J167" i="65"/>
  <c r="J168" i="65"/>
  <c r="J169" i="65"/>
  <c r="J170" i="65"/>
  <c r="J171" i="65"/>
  <c r="J172" i="65"/>
  <c r="J173" i="65"/>
  <c r="J174" i="65"/>
  <c r="J175" i="65"/>
  <c r="J176" i="65"/>
  <c r="J177" i="65"/>
  <c r="J178" i="65"/>
  <c r="J179" i="65"/>
  <c r="J180" i="65"/>
  <c r="J181" i="65"/>
  <c r="J182" i="65"/>
  <c r="J183" i="65"/>
  <c r="J184" i="65"/>
  <c r="J185" i="65"/>
  <c r="J186" i="65"/>
  <c r="J187" i="65"/>
  <c r="J188" i="65"/>
  <c r="J189" i="65"/>
  <c r="J190" i="65"/>
  <c r="J191" i="65"/>
  <c r="J192" i="65"/>
  <c r="J193" i="65"/>
  <c r="J194" i="65"/>
  <c r="J195" i="65"/>
  <c r="J196" i="65"/>
  <c r="J197" i="65"/>
  <c r="J198" i="65"/>
  <c r="J199" i="65"/>
  <c r="J200" i="65"/>
  <c r="J201" i="65"/>
  <c r="J202" i="65"/>
  <c r="J203" i="65"/>
  <c r="J204" i="65"/>
  <c r="J205" i="65"/>
  <c r="J206" i="65"/>
  <c r="J207" i="65"/>
  <c r="J208" i="65"/>
  <c r="J209" i="65"/>
  <c r="J210" i="65"/>
  <c r="J211" i="65"/>
  <c r="J212" i="65"/>
  <c r="J213" i="65"/>
  <c r="J214" i="65"/>
  <c r="J215" i="65"/>
  <c r="J216" i="65"/>
  <c r="J217" i="65"/>
  <c r="J218" i="65"/>
  <c r="J219" i="65"/>
  <c r="J220" i="65"/>
  <c r="J221" i="65"/>
  <c r="J222" i="65"/>
  <c r="J223" i="65"/>
  <c r="J224" i="65"/>
  <c r="J225" i="65"/>
  <c r="J226" i="65"/>
  <c r="J227" i="65"/>
  <c r="J228" i="65"/>
  <c r="J229" i="65"/>
  <c r="J230" i="65"/>
  <c r="J231" i="65"/>
  <c r="J232" i="65"/>
  <c r="J233" i="65"/>
  <c r="J234" i="65"/>
  <c r="J235" i="65"/>
  <c r="J236" i="65"/>
  <c r="J237" i="65"/>
  <c r="J238" i="65"/>
  <c r="J239" i="65"/>
  <c r="J240" i="65"/>
  <c r="J241" i="65"/>
  <c r="J242" i="65"/>
  <c r="J243" i="65"/>
  <c r="J244" i="65"/>
  <c r="J245" i="65"/>
  <c r="J246" i="65"/>
  <c r="J247" i="65"/>
  <c r="J248" i="65"/>
  <c r="J249" i="65"/>
  <c r="J250" i="65"/>
  <c r="J251" i="65"/>
  <c r="J252" i="65"/>
  <c r="J253" i="65"/>
  <c r="J254" i="65"/>
  <c r="J255" i="65"/>
  <c r="J256" i="65"/>
  <c r="J257" i="65"/>
  <c r="J258" i="65"/>
  <c r="J259" i="65"/>
  <c r="J260" i="65"/>
  <c r="J261" i="65"/>
  <c r="J262" i="65"/>
  <c r="J263" i="65"/>
  <c r="J264" i="65"/>
  <c r="J265" i="65"/>
  <c r="J266" i="65"/>
  <c r="J267" i="65"/>
  <c r="J268" i="65"/>
  <c r="J269" i="65"/>
  <c r="J270" i="65"/>
  <c r="J271" i="65"/>
  <c r="J272" i="65"/>
  <c r="J273" i="65"/>
  <c r="J274" i="65"/>
  <c r="J275" i="65"/>
  <c r="J276" i="65"/>
  <c r="J277" i="65"/>
  <c r="J278" i="65"/>
  <c r="J279" i="65"/>
  <c r="J280" i="65"/>
  <c r="J281" i="65"/>
  <c r="J282" i="65"/>
  <c r="J283" i="65"/>
  <c r="J284" i="65"/>
  <c r="J285" i="65"/>
  <c r="J286" i="65"/>
  <c r="J287" i="65"/>
  <c r="J288" i="65"/>
  <c r="J289" i="65"/>
  <c r="J290" i="65"/>
  <c r="J291" i="65"/>
  <c r="J292" i="65"/>
  <c r="J293" i="65"/>
  <c r="J294" i="65"/>
  <c r="J295" i="65"/>
  <c r="J296" i="65"/>
  <c r="J297" i="65"/>
  <c r="J298" i="65"/>
  <c r="J299" i="65"/>
  <c r="J300" i="65"/>
  <c r="J301" i="65"/>
  <c r="J302" i="65"/>
  <c r="J303" i="65"/>
  <c r="J304" i="65"/>
  <c r="J305" i="65"/>
  <c r="J306" i="65"/>
  <c r="J307" i="65"/>
  <c r="J308" i="65"/>
  <c r="J309" i="65"/>
  <c r="J310" i="65"/>
  <c r="J311" i="65"/>
  <c r="J312" i="65"/>
  <c r="J313" i="65"/>
  <c r="J314" i="65"/>
  <c r="J315" i="65"/>
  <c r="J316" i="65"/>
  <c r="J317" i="65"/>
  <c r="J318" i="65"/>
  <c r="J319" i="65"/>
  <c r="J320" i="65"/>
  <c r="J321" i="65"/>
  <c r="J322" i="65"/>
  <c r="J323" i="65"/>
  <c r="J324" i="65"/>
  <c r="J325" i="65"/>
  <c r="J326" i="65"/>
  <c r="J327" i="65"/>
  <c r="J328" i="65"/>
  <c r="J329" i="65"/>
  <c r="J330" i="65"/>
  <c r="J331" i="65"/>
  <c r="J332" i="65"/>
  <c r="J333" i="65"/>
  <c r="J334" i="65"/>
  <c r="J335" i="65"/>
  <c r="J336" i="65"/>
  <c r="J337" i="65"/>
  <c r="J338" i="65"/>
  <c r="J339" i="65"/>
  <c r="J340" i="65"/>
  <c r="J341" i="65"/>
  <c r="J342" i="65"/>
  <c r="J343" i="65"/>
  <c r="J344" i="65"/>
  <c r="J345" i="65"/>
  <c r="J346" i="65"/>
  <c r="J347" i="65"/>
  <c r="J348" i="65"/>
  <c r="J349" i="65"/>
  <c r="G15" i="65"/>
  <c r="I14" i="65"/>
  <c r="J14" i="65" s="1"/>
  <c r="J15" i="65" l="1"/>
  <c r="K9" i="64"/>
  <c r="K14" i="59"/>
  <c r="I10" i="84"/>
  <c r="K10" i="84" s="1"/>
  <c r="I20" i="23"/>
  <c r="J23" i="46" l="1"/>
  <c r="H23" i="46"/>
  <c r="J22" i="46"/>
  <c r="H22" i="46"/>
  <c r="J21" i="78" l="1"/>
  <c r="G21" i="78"/>
  <c r="J20" i="78"/>
  <c r="G20" i="78" l="1"/>
  <c r="J18" i="36" l="1"/>
  <c r="J17" i="36"/>
  <c r="I15" i="38" l="1"/>
  <c r="I14" i="38" l="1"/>
  <c r="J7" i="5" l="1"/>
  <c r="J10" i="58"/>
  <c r="G10" i="58"/>
  <c r="J16" i="4" l="1"/>
  <c r="J12" i="84" l="1"/>
  <c r="J38" i="59" l="1"/>
  <c r="J36" i="59" l="1"/>
  <c r="J35" i="59" l="1"/>
  <c r="H35" i="59"/>
  <c r="J33" i="59" l="1"/>
  <c r="I19" i="23"/>
  <c r="I9" i="57" l="1"/>
  <c r="G9" i="57"/>
  <c r="J5" i="35" l="1"/>
  <c r="G5" i="35"/>
  <c r="I16" i="78" l="1"/>
  <c r="K16" i="78" s="1"/>
  <c r="K7" i="64"/>
  <c r="K9" i="35"/>
  <c r="L7" i="19"/>
  <c r="K4" i="36"/>
  <c r="H5" i="57"/>
  <c r="J5" i="57" s="1"/>
  <c r="K10" i="59"/>
  <c r="J18" i="78"/>
  <c r="J8" i="24"/>
  <c r="J9" i="24"/>
  <c r="J7" i="24"/>
  <c r="J16" i="36" l="1"/>
  <c r="J15" i="36"/>
  <c r="J14" i="36"/>
  <c r="I7" i="57" l="1"/>
  <c r="J30" i="59" l="1"/>
  <c r="J29" i="59"/>
  <c r="H15" i="43" l="1"/>
  <c r="F15" i="43"/>
  <c r="J2" i="53" l="1"/>
  <c r="H2" i="53"/>
  <c r="H3" i="53"/>
  <c r="H4" i="53"/>
  <c r="H5" i="53"/>
  <c r="H6" i="53"/>
  <c r="H7" i="53"/>
  <c r="H8" i="53"/>
  <c r="H9" i="53"/>
  <c r="H10" i="53"/>
  <c r="H11" i="53"/>
  <c r="H12" i="53"/>
  <c r="H13" i="53"/>
  <c r="H14" i="53"/>
  <c r="H15" i="53"/>
  <c r="H16" i="53"/>
  <c r="H17" i="53"/>
  <c r="H18" i="53"/>
  <c r="H19" i="53"/>
  <c r="H20" i="53"/>
  <c r="H21" i="53"/>
  <c r="H22" i="53"/>
  <c r="H23" i="53"/>
  <c r="H24" i="53"/>
  <c r="H25" i="53"/>
  <c r="H26" i="53"/>
  <c r="H27" i="53"/>
  <c r="H28" i="53"/>
  <c r="H29" i="53"/>
  <c r="H30" i="53"/>
  <c r="H31" i="53"/>
  <c r="H32" i="53"/>
  <c r="H33" i="53"/>
  <c r="H34" i="53"/>
  <c r="H35" i="53"/>
  <c r="H36" i="53"/>
  <c r="H37" i="53"/>
  <c r="H38" i="53"/>
  <c r="H39" i="53"/>
  <c r="H40" i="53"/>
  <c r="H41" i="53"/>
  <c r="H42" i="53"/>
  <c r="H43" i="53"/>
  <c r="H44" i="53"/>
  <c r="H45" i="53"/>
  <c r="H46" i="53"/>
  <c r="H47" i="53"/>
  <c r="H48" i="53"/>
  <c r="H49" i="53"/>
  <c r="H50" i="53"/>
  <c r="H51" i="53"/>
  <c r="H52" i="53"/>
  <c r="H53" i="53"/>
  <c r="H54" i="53"/>
  <c r="H55" i="53"/>
  <c r="H56" i="53"/>
  <c r="H57" i="53"/>
  <c r="H58" i="53"/>
  <c r="H59" i="53"/>
  <c r="H60" i="53"/>
  <c r="H61" i="53"/>
  <c r="H62" i="53"/>
  <c r="H63" i="53"/>
  <c r="H64" i="53"/>
  <c r="H65" i="53"/>
  <c r="H66" i="53"/>
  <c r="H67" i="53"/>
  <c r="H68" i="53"/>
  <c r="H69" i="53"/>
  <c r="H70" i="53"/>
  <c r="H71" i="53"/>
  <c r="H72" i="53"/>
  <c r="H73" i="53"/>
  <c r="H74" i="53"/>
  <c r="H75" i="53"/>
  <c r="H76" i="53"/>
  <c r="H77" i="53"/>
  <c r="H78" i="53"/>
  <c r="H79" i="53"/>
  <c r="H80" i="53"/>
  <c r="H81" i="53"/>
  <c r="H82" i="53"/>
  <c r="H83" i="53"/>
  <c r="H84" i="53"/>
  <c r="H85" i="53"/>
  <c r="H86" i="53"/>
  <c r="H87" i="53"/>
  <c r="H88" i="53"/>
  <c r="H89" i="53"/>
  <c r="H90" i="53"/>
  <c r="H91" i="53"/>
  <c r="H92" i="53"/>
  <c r="H93" i="53"/>
  <c r="H94" i="53"/>
  <c r="H95" i="53"/>
  <c r="H96" i="53"/>
  <c r="H97" i="53"/>
  <c r="H98" i="53"/>
  <c r="H99" i="53"/>
  <c r="H100" i="53"/>
  <c r="H101" i="53"/>
  <c r="H102" i="53"/>
  <c r="H103" i="53"/>
  <c r="H104" i="53"/>
  <c r="H105" i="53"/>
  <c r="H106" i="53"/>
  <c r="H107" i="53"/>
  <c r="H108" i="53"/>
  <c r="H109" i="53"/>
  <c r="H110" i="53"/>
  <c r="H111" i="53"/>
  <c r="H112" i="53"/>
  <c r="H113" i="53"/>
  <c r="H114" i="53"/>
  <c r="H115" i="53"/>
  <c r="H116" i="53"/>
  <c r="H117" i="53"/>
  <c r="H118" i="53"/>
  <c r="H119" i="53"/>
  <c r="H120" i="53"/>
  <c r="H121" i="53"/>
  <c r="H122" i="53"/>
  <c r="H123" i="53"/>
  <c r="H124" i="53"/>
  <c r="H125" i="53"/>
  <c r="H126" i="53"/>
  <c r="H127" i="53"/>
  <c r="H128" i="53"/>
  <c r="H129" i="53"/>
  <c r="H130" i="53"/>
  <c r="H131" i="53"/>
  <c r="H132" i="53"/>
  <c r="H133" i="53"/>
  <c r="H134" i="53"/>
  <c r="H135" i="53"/>
  <c r="H136" i="53"/>
  <c r="H137" i="53"/>
  <c r="H138" i="53"/>
  <c r="H139" i="53"/>
  <c r="H140" i="53"/>
  <c r="H141" i="53"/>
  <c r="H142" i="53"/>
  <c r="H143" i="53"/>
  <c r="H144" i="53"/>
  <c r="H145" i="53"/>
  <c r="H146" i="53"/>
  <c r="H147" i="53"/>
  <c r="H148" i="53"/>
  <c r="H149" i="53"/>
  <c r="H150" i="53"/>
  <c r="H151" i="53"/>
  <c r="H152" i="53"/>
  <c r="H153" i="53"/>
  <c r="H154" i="53"/>
  <c r="H155" i="53"/>
  <c r="H156" i="53"/>
  <c r="H157" i="53"/>
  <c r="H158" i="53"/>
  <c r="H159" i="53"/>
  <c r="H160" i="53"/>
  <c r="H161" i="53"/>
  <c r="H162" i="53"/>
  <c r="H163" i="53"/>
  <c r="H164" i="53"/>
  <c r="H165" i="53"/>
  <c r="H166" i="53"/>
  <c r="H167" i="53"/>
  <c r="H168" i="53"/>
  <c r="H169" i="53"/>
  <c r="H170" i="53"/>
  <c r="H171" i="53"/>
  <c r="H172" i="53"/>
  <c r="H173" i="53"/>
  <c r="H174" i="53"/>
  <c r="H175" i="53"/>
  <c r="H176" i="53"/>
  <c r="H177" i="53"/>
  <c r="H178" i="53"/>
  <c r="H179" i="53"/>
  <c r="H180" i="53"/>
  <c r="H181" i="53"/>
  <c r="H182" i="53"/>
  <c r="H183" i="53"/>
  <c r="H184" i="53"/>
  <c r="H185" i="53"/>
  <c r="H186" i="53"/>
  <c r="H187" i="53"/>
  <c r="H188" i="53"/>
  <c r="H189" i="53"/>
  <c r="H190" i="53"/>
  <c r="H191" i="53"/>
  <c r="H192" i="53"/>
  <c r="H193" i="53"/>
  <c r="H194" i="53"/>
  <c r="H195" i="53"/>
  <c r="H196" i="53"/>
  <c r="H197" i="53"/>
  <c r="H198" i="53"/>
  <c r="H199" i="53"/>
  <c r="H200" i="53"/>
  <c r="H201" i="53"/>
  <c r="H202" i="53"/>
  <c r="H203" i="53"/>
  <c r="H204" i="53"/>
  <c r="H205" i="53"/>
  <c r="H206" i="53"/>
  <c r="H207" i="53"/>
  <c r="H208" i="53"/>
  <c r="H209" i="53"/>
  <c r="H210" i="53"/>
  <c r="H211" i="53"/>
  <c r="H212" i="53"/>
  <c r="H213" i="53"/>
  <c r="H214" i="53"/>
  <c r="H215" i="53"/>
  <c r="H216" i="53"/>
  <c r="H217" i="53"/>
  <c r="H218" i="53"/>
  <c r="H219" i="53"/>
  <c r="H220" i="53"/>
  <c r="H221" i="53"/>
  <c r="H222" i="53"/>
  <c r="H223" i="53"/>
  <c r="H224" i="53"/>
  <c r="H225" i="53"/>
  <c r="H226" i="53"/>
  <c r="H227" i="53"/>
  <c r="H228" i="53"/>
  <c r="H229" i="53"/>
  <c r="H230" i="53"/>
  <c r="H231" i="53"/>
  <c r="H232" i="53"/>
  <c r="H233" i="53"/>
  <c r="H234" i="53"/>
  <c r="H235" i="53"/>
  <c r="H236" i="53"/>
  <c r="H237" i="53"/>
  <c r="H238" i="53"/>
  <c r="H239" i="53"/>
  <c r="H240" i="53"/>
  <c r="H241" i="53"/>
  <c r="H242" i="53"/>
  <c r="H243" i="53"/>
  <c r="H244" i="53"/>
  <c r="H245" i="53"/>
  <c r="H246" i="53"/>
  <c r="H247" i="53"/>
  <c r="H248" i="53"/>
  <c r="H249" i="53"/>
  <c r="H250" i="53"/>
  <c r="H251" i="53"/>
  <c r="H252" i="53"/>
  <c r="H253" i="53"/>
  <c r="H254" i="53"/>
  <c r="H255" i="53"/>
  <c r="H256" i="53"/>
  <c r="H257" i="53"/>
  <c r="H258" i="53"/>
  <c r="H259" i="53"/>
  <c r="H260" i="53"/>
  <c r="H261" i="53"/>
  <c r="H262" i="53"/>
  <c r="H263" i="53"/>
  <c r="H264" i="53"/>
  <c r="H265" i="53"/>
  <c r="H266" i="53"/>
  <c r="H267" i="53"/>
  <c r="H268" i="53"/>
  <c r="H269" i="53"/>
  <c r="H270" i="53"/>
  <c r="H271" i="53"/>
  <c r="H272" i="53"/>
  <c r="H273" i="53"/>
  <c r="H274" i="53"/>
  <c r="H275" i="53"/>
  <c r="H276" i="53"/>
  <c r="H277" i="53"/>
  <c r="H278" i="53"/>
  <c r="H279" i="53"/>
  <c r="H280" i="53"/>
  <c r="H281" i="53"/>
  <c r="H282" i="53"/>
  <c r="H283" i="53"/>
  <c r="H284" i="53"/>
  <c r="H285" i="53"/>
  <c r="H286" i="53"/>
  <c r="H287" i="53"/>
  <c r="H288" i="53"/>
  <c r="H289" i="53"/>
  <c r="H290" i="53"/>
  <c r="H291" i="53"/>
  <c r="H292" i="53"/>
  <c r="H293" i="53"/>
  <c r="H294" i="53"/>
  <c r="H295" i="53"/>
  <c r="H296" i="53"/>
  <c r="H297" i="53"/>
  <c r="H298" i="53"/>
  <c r="H299" i="53"/>
  <c r="H300" i="53"/>
  <c r="H301" i="53"/>
  <c r="H302" i="53"/>
  <c r="H303" i="53"/>
  <c r="H304" i="53"/>
  <c r="H305" i="53"/>
  <c r="H306" i="53"/>
  <c r="H307" i="53"/>
  <c r="H308" i="53"/>
  <c r="H309" i="53"/>
  <c r="H310" i="53"/>
  <c r="H311" i="53"/>
  <c r="H312" i="53"/>
  <c r="H313" i="53"/>
  <c r="H314" i="53"/>
  <c r="H315" i="53"/>
  <c r="H316" i="53"/>
  <c r="H317" i="53"/>
  <c r="H318" i="53"/>
  <c r="H319" i="53"/>
  <c r="H320" i="53"/>
  <c r="H321" i="53"/>
  <c r="H322" i="53"/>
  <c r="H323" i="53"/>
  <c r="H324" i="53"/>
  <c r="H325" i="53"/>
  <c r="H326" i="53"/>
  <c r="H327" i="53"/>
  <c r="H328" i="53"/>
  <c r="H329" i="53"/>
  <c r="H330" i="53"/>
  <c r="H331" i="53"/>
  <c r="H332" i="53"/>
  <c r="H333" i="53"/>
  <c r="H334" i="53"/>
  <c r="H335" i="53"/>
  <c r="H336" i="53"/>
  <c r="H337" i="53"/>
  <c r="H338" i="53"/>
  <c r="O9" i="53" l="1"/>
  <c r="J13" i="36"/>
  <c r="H13" i="36"/>
  <c r="J11" i="84" l="1"/>
  <c r="H11" i="84"/>
  <c r="I15" i="13" l="1"/>
  <c r="G15" i="13"/>
  <c r="I14" i="13" l="1"/>
  <c r="G14" i="13"/>
  <c r="I13" i="13" l="1"/>
  <c r="H13" i="13"/>
  <c r="G13" i="13"/>
  <c r="J16" i="64" l="1"/>
  <c r="G16" i="64"/>
  <c r="J13" i="28" l="1"/>
  <c r="G13" i="28"/>
  <c r="J12" i="28"/>
  <c r="G18" i="78" l="1"/>
  <c r="I18" i="23" l="1"/>
  <c r="J6" i="5" l="1"/>
  <c r="K7" i="82" l="1"/>
  <c r="J15" i="4" l="1"/>
  <c r="J14" i="4"/>
  <c r="J21" i="46" l="1"/>
  <c r="H21" i="46"/>
  <c r="J20" i="46"/>
  <c r="J32" i="59" l="1"/>
  <c r="H32" i="59"/>
  <c r="J31" i="59"/>
  <c r="J28" i="59"/>
  <c r="H14" i="43" l="1"/>
  <c r="F14" i="43"/>
  <c r="H13" i="43"/>
  <c r="F13" i="43"/>
  <c r="H12" i="43"/>
  <c r="F12" i="43"/>
  <c r="K5" i="64"/>
  <c r="I5" i="43" l="1"/>
  <c r="I12" i="43"/>
  <c r="I13" i="43"/>
  <c r="I14" i="43"/>
  <c r="I15" i="43"/>
  <c r="I17" i="43"/>
  <c r="I18" i="43"/>
  <c r="I20" i="43"/>
  <c r="I21" i="43"/>
  <c r="I22" i="43"/>
  <c r="I23" i="43"/>
  <c r="I24" i="43"/>
  <c r="I25" i="43"/>
  <c r="I26" i="43"/>
  <c r="I28" i="43"/>
  <c r="I29" i="43"/>
  <c r="I30" i="43"/>
  <c r="I31" i="43"/>
  <c r="I33" i="43"/>
  <c r="I35" i="43"/>
  <c r="I36" i="43"/>
  <c r="I37" i="43"/>
  <c r="I38" i="43"/>
  <c r="I39" i="43"/>
  <c r="I40" i="43"/>
  <c r="I41" i="43"/>
  <c r="I42" i="43"/>
  <c r="I43" i="43"/>
  <c r="I44" i="43"/>
  <c r="I45" i="43"/>
  <c r="I46" i="43"/>
  <c r="I47" i="43"/>
  <c r="I48" i="43"/>
  <c r="I49" i="43"/>
  <c r="I50" i="43"/>
  <c r="I51" i="43"/>
  <c r="I52" i="43"/>
  <c r="I53" i="43"/>
  <c r="I54" i="43"/>
  <c r="I55" i="43"/>
  <c r="I56" i="43"/>
  <c r="I57" i="43"/>
  <c r="I58" i="43"/>
  <c r="I59" i="43"/>
  <c r="I60" i="43"/>
  <c r="I61" i="43"/>
  <c r="I62" i="43"/>
  <c r="I63" i="43"/>
  <c r="I64" i="43"/>
  <c r="I65" i="43"/>
  <c r="I66" i="43"/>
  <c r="I67" i="43"/>
  <c r="I68" i="43"/>
  <c r="I69" i="43"/>
  <c r="I70" i="43"/>
  <c r="I71" i="43"/>
  <c r="I72" i="43"/>
  <c r="I73" i="43"/>
  <c r="I74" i="43"/>
  <c r="I75" i="43"/>
  <c r="I76" i="43"/>
  <c r="I77" i="43"/>
  <c r="I78" i="43"/>
  <c r="I79" i="43"/>
  <c r="I80" i="43"/>
  <c r="I81" i="43"/>
  <c r="I82" i="43"/>
  <c r="I83" i="43"/>
  <c r="I84" i="43"/>
  <c r="I85" i="43"/>
  <c r="I86" i="43"/>
  <c r="I87" i="43"/>
  <c r="I88" i="43"/>
  <c r="I89" i="43"/>
  <c r="I90" i="43"/>
  <c r="I91" i="43"/>
  <c r="I92" i="43"/>
  <c r="I93" i="43"/>
  <c r="I94" i="43"/>
  <c r="I95" i="43"/>
  <c r="I96" i="43"/>
  <c r="I97" i="43"/>
  <c r="I98" i="43"/>
  <c r="I99" i="43"/>
  <c r="I100" i="43"/>
  <c r="I101" i="43"/>
  <c r="I102" i="43"/>
  <c r="I103" i="43"/>
  <c r="I104" i="43"/>
  <c r="I105" i="43"/>
  <c r="I106" i="43"/>
  <c r="I107" i="43"/>
  <c r="I108" i="43"/>
  <c r="I109" i="43"/>
  <c r="I110" i="43"/>
  <c r="I111" i="43"/>
  <c r="I112" i="43"/>
  <c r="I113" i="43"/>
  <c r="I114" i="43"/>
  <c r="I115" i="43"/>
  <c r="I116" i="43"/>
  <c r="I117" i="43"/>
  <c r="I118" i="43"/>
  <c r="I119" i="43"/>
  <c r="I120" i="43"/>
  <c r="I121" i="43"/>
  <c r="I122" i="43"/>
  <c r="I123" i="43"/>
  <c r="I124" i="43"/>
  <c r="I125" i="43"/>
  <c r="I126" i="43"/>
  <c r="I127" i="43"/>
  <c r="I128" i="43"/>
  <c r="I129" i="43"/>
  <c r="I130" i="43"/>
  <c r="I131" i="43"/>
  <c r="I132" i="43"/>
  <c r="I133" i="43"/>
  <c r="I134" i="43"/>
  <c r="I135" i="43"/>
  <c r="I136" i="43"/>
  <c r="I137" i="43"/>
  <c r="I138" i="43"/>
  <c r="I139" i="43"/>
  <c r="I140" i="43"/>
  <c r="I141" i="43"/>
  <c r="I142" i="43"/>
  <c r="I143" i="43"/>
  <c r="I144" i="43"/>
  <c r="I145" i="43"/>
  <c r="I146" i="43"/>
  <c r="I147" i="43"/>
  <c r="I148" i="43"/>
  <c r="I149" i="43"/>
  <c r="I150" i="43"/>
  <c r="I151" i="43"/>
  <c r="I152" i="43"/>
  <c r="I153" i="43"/>
  <c r="I154" i="43"/>
  <c r="I155" i="43"/>
  <c r="I156" i="43"/>
  <c r="I157" i="43"/>
  <c r="I158" i="43"/>
  <c r="I159" i="43"/>
  <c r="I160" i="43"/>
  <c r="I161" i="43"/>
  <c r="I162" i="43"/>
  <c r="I163" i="43"/>
  <c r="I164" i="43"/>
  <c r="I165" i="43"/>
  <c r="I166" i="43"/>
  <c r="I167" i="43"/>
  <c r="I168" i="43"/>
  <c r="I169" i="43"/>
  <c r="I170" i="43"/>
  <c r="I171" i="43"/>
  <c r="I172" i="43"/>
  <c r="I173" i="43"/>
  <c r="I174" i="43"/>
  <c r="I175" i="43"/>
  <c r="I176" i="43"/>
  <c r="I177" i="43"/>
  <c r="I178" i="43"/>
  <c r="I179" i="43"/>
  <c r="I180" i="43"/>
  <c r="I181" i="43"/>
  <c r="I182" i="43"/>
  <c r="I183" i="43"/>
  <c r="I184" i="43"/>
  <c r="I185" i="43"/>
  <c r="I186" i="43"/>
  <c r="I187" i="43"/>
  <c r="I188" i="43"/>
  <c r="I189" i="43"/>
  <c r="I190" i="43"/>
  <c r="I191" i="43"/>
  <c r="I192" i="43"/>
  <c r="I193" i="43"/>
  <c r="I194" i="43"/>
  <c r="I195" i="43"/>
  <c r="I196" i="43"/>
  <c r="I197" i="43"/>
  <c r="I198" i="43"/>
  <c r="I199" i="43"/>
  <c r="I200" i="43"/>
  <c r="I201" i="43"/>
  <c r="I202" i="43"/>
  <c r="I203" i="43"/>
  <c r="I204" i="43"/>
  <c r="I205" i="43"/>
  <c r="I206" i="43"/>
  <c r="I207" i="43"/>
  <c r="I208" i="43"/>
  <c r="I209" i="43"/>
  <c r="I210" i="43"/>
  <c r="I211" i="43"/>
  <c r="I212" i="43"/>
  <c r="I213" i="43"/>
  <c r="I214" i="43"/>
  <c r="I215" i="43"/>
  <c r="I216" i="43"/>
  <c r="I217" i="43"/>
  <c r="I218" i="43"/>
  <c r="I219" i="43"/>
  <c r="I220" i="43"/>
  <c r="I221" i="43"/>
  <c r="I222" i="43"/>
  <c r="I223" i="43"/>
  <c r="I224" i="43"/>
  <c r="I225" i="43"/>
  <c r="I226" i="43"/>
  <c r="I227" i="43"/>
  <c r="I228" i="43"/>
  <c r="I229" i="43"/>
  <c r="I230" i="43"/>
  <c r="I231" i="43"/>
  <c r="I232" i="43"/>
  <c r="I233" i="43"/>
  <c r="I234" i="43"/>
  <c r="I235" i="43"/>
  <c r="I236" i="43"/>
  <c r="I237" i="43"/>
  <c r="I238" i="43"/>
  <c r="I239" i="43"/>
  <c r="I240" i="43"/>
  <c r="I241" i="43"/>
  <c r="I242" i="43"/>
  <c r="I243" i="43"/>
  <c r="I244" i="43"/>
  <c r="I245" i="43"/>
  <c r="I246" i="43"/>
  <c r="I247" i="43"/>
  <c r="I248" i="43"/>
  <c r="I249" i="43"/>
  <c r="I250" i="43"/>
  <c r="I251" i="43"/>
  <c r="I252" i="43"/>
  <c r="I253" i="43"/>
  <c r="I254" i="43"/>
  <c r="I255" i="43"/>
  <c r="I256" i="43"/>
  <c r="I257" i="43"/>
  <c r="I258" i="43"/>
  <c r="I259" i="43"/>
  <c r="I260" i="43"/>
  <c r="I261" i="43"/>
  <c r="I262" i="43"/>
  <c r="I263" i="43"/>
  <c r="I264" i="43"/>
  <c r="I265" i="43"/>
  <c r="I266" i="43"/>
  <c r="I267" i="43"/>
  <c r="I268" i="43"/>
  <c r="I269" i="43"/>
  <c r="I270" i="43"/>
  <c r="I271" i="43"/>
  <c r="I272" i="43"/>
  <c r="I273" i="43"/>
  <c r="I274" i="43"/>
  <c r="I275" i="43"/>
  <c r="I276" i="43"/>
  <c r="I277" i="43"/>
  <c r="I278" i="43"/>
  <c r="I279" i="43"/>
  <c r="I280" i="43"/>
  <c r="I281" i="43"/>
  <c r="I282" i="43"/>
  <c r="I283" i="43"/>
  <c r="I284" i="43"/>
  <c r="I285" i="43"/>
  <c r="I286" i="43"/>
  <c r="I287" i="43"/>
  <c r="I288" i="43"/>
  <c r="I289" i="43"/>
  <c r="I290" i="43"/>
  <c r="I291" i="43"/>
  <c r="I292" i="43"/>
  <c r="I293" i="43"/>
  <c r="I294" i="43"/>
  <c r="I295" i="43"/>
  <c r="I296" i="43"/>
  <c r="I297" i="43"/>
  <c r="I298" i="43"/>
  <c r="I299" i="43"/>
  <c r="I300" i="43"/>
  <c r="I301" i="43"/>
  <c r="I302" i="43"/>
  <c r="I303" i="43"/>
  <c r="I304" i="43"/>
  <c r="I305" i="43"/>
  <c r="I306" i="43"/>
  <c r="I307" i="43"/>
  <c r="I308" i="43"/>
  <c r="I309" i="43"/>
  <c r="I310" i="43"/>
  <c r="I311" i="43"/>
  <c r="I312" i="43"/>
  <c r="I313" i="43"/>
  <c r="I314" i="43"/>
  <c r="I315" i="43"/>
  <c r="I316" i="43"/>
  <c r="I317" i="43"/>
  <c r="I318" i="43"/>
  <c r="I319" i="43"/>
  <c r="I320" i="43"/>
  <c r="I321" i="43"/>
  <c r="I322" i="43"/>
  <c r="I323" i="43"/>
  <c r="I324" i="43"/>
  <c r="I325" i="43"/>
  <c r="I326" i="43"/>
  <c r="I2" i="43"/>
  <c r="H4" i="43"/>
  <c r="J6" i="23"/>
  <c r="M10" i="44"/>
  <c r="M11" i="44" s="1"/>
  <c r="M12" i="44" s="1"/>
  <c r="K10" i="44"/>
  <c r="J11" i="28"/>
  <c r="J10" i="28" l="1"/>
  <c r="G10" i="28"/>
  <c r="J17" i="78"/>
  <c r="G17" i="78"/>
  <c r="J9" i="58" l="1"/>
  <c r="G9" i="58"/>
  <c r="J26" i="59" l="1"/>
  <c r="I6" i="57"/>
  <c r="I13" i="38" l="1"/>
  <c r="I17" i="23" l="1"/>
  <c r="I16" i="23"/>
  <c r="K11" i="19"/>
  <c r="K10" i="19"/>
  <c r="J9" i="84" l="1"/>
  <c r="H9" i="84"/>
  <c r="J8" i="84"/>
  <c r="H8" i="84"/>
  <c r="K5" i="72" l="1"/>
  <c r="K6" i="82" l="1"/>
  <c r="H6" i="82"/>
  <c r="J13" i="64" l="1"/>
  <c r="G13" i="64"/>
  <c r="J25" i="59" l="1"/>
  <c r="J12" i="36"/>
  <c r="J10" i="36" l="1"/>
  <c r="H10" i="36"/>
  <c r="J9" i="36"/>
  <c r="H9" i="36"/>
  <c r="J12" i="44" l="1"/>
  <c r="J11" i="44" l="1"/>
  <c r="H11" i="44"/>
  <c r="I15" i="23" l="1"/>
  <c r="G15" i="23"/>
  <c r="J19" i="46" l="1"/>
  <c r="H19" i="46"/>
  <c r="C14" i="87" l="1"/>
  <c r="I12" i="78"/>
  <c r="K12" i="78" s="1"/>
  <c r="J3" i="35" l="1"/>
  <c r="I12" i="13"/>
  <c r="I13" i="65" l="1"/>
  <c r="G13" i="65" l="1"/>
  <c r="J13" i="65" s="1"/>
  <c r="J22" i="59" l="1"/>
  <c r="F11" i="43" l="1"/>
  <c r="H11" i="43"/>
  <c r="H10" i="43"/>
  <c r="I10" i="43" s="1"/>
  <c r="I11" i="43" l="1"/>
  <c r="J9" i="28"/>
  <c r="J8" i="28"/>
  <c r="J4" i="13" l="1"/>
  <c r="I3" i="39" l="1"/>
  <c r="G3" i="39"/>
  <c r="I2" i="39"/>
  <c r="J23" i="39"/>
  <c r="J167" i="39"/>
  <c r="J279" i="39"/>
  <c r="H2" i="39"/>
  <c r="H4" i="39"/>
  <c r="H5" i="39"/>
  <c r="H6" i="39"/>
  <c r="J6" i="39" s="1"/>
  <c r="H7" i="39"/>
  <c r="H8" i="39"/>
  <c r="H9" i="39"/>
  <c r="H10" i="39"/>
  <c r="H11" i="39"/>
  <c r="H12" i="39"/>
  <c r="H13" i="39"/>
  <c r="H14" i="39"/>
  <c r="J14" i="39" s="1"/>
  <c r="H15" i="39"/>
  <c r="H16" i="39"/>
  <c r="H17" i="39"/>
  <c r="H18" i="39"/>
  <c r="H19" i="39"/>
  <c r="H20" i="39"/>
  <c r="H21" i="39"/>
  <c r="H22" i="39"/>
  <c r="J22" i="39" s="1"/>
  <c r="H23" i="39"/>
  <c r="H24" i="39"/>
  <c r="H25" i="39"/>
  <c r="H26" i="39"/>
  <c r="H27" i="39"/>
  <c r="H28" i="39"/>
  <c r="H29" i="39"/>
  <c r="H30" i="39"/>
  <c r="J30" i="39" s="1"/>
  <c r="H31" i="39"/>
  <c r="H32" i="39"/>
  <c r="H33" i="39"/>
  <c r="H34" i="39"/>
  <c r="H35" i="39"/>
  <c r="H36" i="39"/>
  <c r="H37" i="39"/>
  <c r="H38" i="39"/>
  <c r="J38" i="39" s="1"/>
  <c r="H39" i="39"/>
  <c r="J39" i="39" s="1"/>
  <c r="H40" i="39"/>
  <c r="H41" i="39"/>
  <c r="H42" i="39"/>
  <c r="H43" i="39"/>
  <c r="H44" i="39"/>
  <c r="H45" i="39"/>
  <c r="H46" i="39"/>
  <c r="J46" i="39" s="1"/>
  <c r="H47" i="39"/>
  <c r="H48" i="39"/>
  <c r="H49" i="39"/>
  <c r="H50" i="39"/>
  <c r="H51" i="39"/>
  <c r="H52" i="39"/>
  <c r="H53" i="39"/>
  <c r="H54" i="39"/>
  <c r="J54" i="39" s="1"/>
  <c r="H55" i="39"/>
  <c r="H56" i="39"/>
  <c r="H57" i="39"/>
  <c r="H58" i="39"/>
  <c r="H59" i="39"/>
  <c r="H60" i="39"/>
  <c r="H61" i="39"/>
  <c r="H62" i="39"/>
  <c r="J62" i="39" s="1"/>
  <c r="H63" i="39"/>
  <c r="H64" i="39"/>
  <c r="H65" i="39"/>
  <c r="H66" i="39"/>
  <c r="H67" i="39"/>
  <c r="H68" i="39"/>
  <c r="H69" i="39"/>
  <c r="H70" i="39"/>
  <c r="J70" i="39" s="1"/>
  <c r="H71" i="39"/>
  <c r="H72" i="39"/>
  <c r="H73" i="39"/>
  <c r="H74" i="39"/>
  <c r="H75" i="39"/>
  <c r="H76" i="39"/>
  <c r="H77" i="39"/>
  <c r="H78" i="39"/>
  <c r="J78" i="39" s="1"/>
  <c r="H79" i="39"/>
  <c r="H80" i="39"/>
  <c r="H81" i="39"/>
  <c r="H82" i="39"/>
  <c r="H83" i="39"/>
  <c r="H84" i="39"/>
  <c r="H85" i="39"/>
  <c r="H86" i="39"/>
  <c r="J86" i="39" s="1"/>
  <c r="H87" i="39"/>
  <c r="J87" i="39" s="1"/>
  <c r="H88" i="39"/>
  <c r="H89" i="39"/>
  <c r="H90" i="39"/>
  <c r="H91" i="39"/>
  <c r="H92" i="39"/>
  <c r="H93" i="39"/>
  <c r="H94" i="39"/>
  <c r="J94" i="39" s="1"/>
  <c r="H95" i="39"/>
  <c r="H96" i="39"/>
  <c r="H97" i="39"/>
  <c r="H98" i="39"/>
  <c r="H99" i="39"/>
  <c r="H100" i="39"/>
  <c r="H101" i="39"/>
  <c r="H102" i="39"/>
  <c r="J102" i="39" s="1"/>
  <c r="H103" i="39"/>
  <c r="J103" i="39" s="1"/>
  <c r="H104" i="39"/>
  <c r="H105" i="39"/>
  <c r="H106" i="39"/>
  <c r="H107" i="39"/>
  <c r="H108" i="39"/>
  <c r="H109" i="39"/>
  <c r="H110" i="39"/>
  <c r="J110" i="39" s="1"/>
  <c r="H111" i="39"/>
  <c r="H112" i="39"/>
  <c r="H113" i="39"/>
  <c r="H114" i="39"/>
  <c r="H115" i="39"/>
  <c r="H116" i="39"/>
  <c r="H117" i="39"/>
  <c r="H118" i="39"/>
  <c r="J118" i="39" s="1"/>
  <c r="H119" i="39"/>
  <c r="H120" i="39"/>
  <c r="H121" i="39"/>
  <c r="H122" i="39"/>
  <c r="H123" i="39"/>
  <c r="H124" i="39"/>
  <c r="H125" i="39"/>
  <c r="H126" i="39"/>
  <c r="J126" i="39" s="1"/>
  <c r="H127" i="39"/>
  <c r="H128" i="39"/>
  <c r="H129" i="39"/>
  <c r="H130" i="39"/>
  <c r="H131" i="39"/>
  <c r="H132" i="39"/>
  <c r="H133" i="39"/>
  <c r="H134" i="39"/>
  <c r="J134" i="39" s="1"/>
  <c r="H135" i="39"/>
  <c r="H136" i="39"/>
  <c r="H137" i="39"/>
  <c r="H138" i="39"/>
  <c r="H139" i="39"/>
  <c r="H140" i="39"/>
  <c r="H141" i="39"/>
  <c r="H142" i="39"/>
  <c r="J142" i="39" s="1"/>
  <c r="H143" i="39"/>
  <c r="H144" i="39"/>
  <c r="H145" i="39"/>
  <c r="H146" i="39"/>
  <c r="H147" i="39"/>
  <c r="H148" i="39"/>
  <c r="H149" i="39"/>
  <c r="H150" i="39"/>
  <c r="J150" i="39" s="1"/>
  <c r="H151" i="39"/>
  <c r="J151" i="39" s="1"/>
  <c r="H152" i="39"/>
  <c r="H153" i="39"/>
  <c r="H154" i="39"/>
  <c r="H155" i="39"/>
  <c r="H156" i="39"/>
  <c r="H157" i="39"/>
  <c r="H158" i="39"/>
  <c r="J158" i="39" s="1"/>
  <c r="H159" i="39"/>
  <c r="H160" i="39"/>
  <c r="H161" i="39"/>
  <c r="H162" i="39"/>
  <c r="H163" i="39"/>
  <c r="H164" i="39"/>
  <c r="H165" i="39"/>
  <c r="H166" i="39"/>
  <c r="J166" i="39" s="1"/>
  <c r="H167" i="39"/>
  <c r="H168" i="39"/>
  <c r="H169" i="39"/>
  <c r="H170" i="39"/>
  <c r="H171" i="39"/>
  <c r="H172" i="39"/>
  <c r="H173" i="39"/>
  <c r="H174" i="39"/>
  <c r="J174" i="39" s="1"/>
  <c r="H175" i="39"/>
  <c r="H176" i="39"/>
  <c r="H177" i="39"/>
  <c r="H178" i="39"/>
  <c r="H179" i="39"/>
  <c r="H180" i="39"/>
  <c r="H181" i="39"/>
  <c r="H182" i="39"/>
  <c r="J182" i="39" s="1"/>
  <c r="H183" i="39"/>
  <c r="H184" i="39"/>
  <c r="H185" i="39"/>
  <c r="H186" i="39"/>
  <c r="H187" i="39"/>
  <c r="H188" i="39"/>
  <c r="H189" i="39"/>
  <c r="H190" i="39"/>
  <c r="J190" i="39" s="1"/>
  <c r="H191" i="39"/>
  <c r="H192" i="39"/>
  <c r="H193" i="39"/>
  <c r="H194" i="39"/>
  <c r="H195" i="39"/>
  <c r="H196" i="39"/>
  <c r="H197" i="39"/>
  <c r="H198" i="39"/>
  <c r="J198" i="39" s="1"/>
  <c r="H199" i="39"/>
  <c r="H200" i="39"/>
  <c r="H201" i="39"/>
  <c r="H202" i="39"/>
  <c r="H203" i="39"/>
  <c r="H204" i="39"/>
  <c r="H205" i="39"/>
  <c r="H206" i="39"/>
  <c r="J206" i="39" s="1"/>
  <c r="H207" i="39"/>
  <c r="H208" i="39"/>
  <c r="H209" i="39"/>
  <c r="H210" i="39"/>
  <c r="H211" i="39"/>
  <c r="H212" i="39"/>
  <c r="H213" i="39"/>
  <c r="H214" i="39"/>
  <c r="J214" i="39" s="1"/>
  <c r="H215" i="39"/>
  <c r="J215" i="39" s="1"/>
  <c r="H216" i="39"/>
  <c r="H217" i="39"/>
  <c r="H218" i="39"/>
  <c r="H219" i="39"/>
  <c r="H220" i="39"/>
  <c r="H221" i="39"/>
  <c r="H222" i="39"/>
  <c r="J222" i="39" s="1"/>
  <c r="H223" i="39"/>
  <c r="H224" i="39"/>
  <c r="H225" i="39"/>
  <c r="H226" i="39"/>
  <c r="H227" i="39"/>
  <c r="H228" i="39"/>
  <c r="H229" i="39"/>
  <c r="H230" i="39"/>
  <c r="J230" i="39" s="1"/>
  <c r="H231" i="39"/>
  <c r="J231" i="39" s="1"/>
  <c r="H232" i="39"/>
  <c r="H233" i="39"/>
  <c r="H234" i="39"/>
  <c r="H235" i="39"/>
  <c r="H236" i="39"/>
  <c r="H237" i="39"/>
  <c r="H238" i="39"/>
  <c r="J238" i="39" s="1"/>
  <c r="H239" i="39"/>
  <c r="H240" i="39"/>
  <c r="H241" i="39"/>
  <c r="H242" i="39"/>
  <c r="H243" i="39"/>
  <c r="H244" i="39"/>
  <c r="H245" i="39"/>
  <c r="H246" i="39"/>
  <c r="J246" i="39" s="1"/>
  <c r="H247" i="39"/>
  <c r="H248" i="39"/>
  <c r="H249" i="39"/>
  <c r="H250" i="39"/>
  <c r="H251" i="39"/>
  <c r="H252" i="39"/>
  <c r="H253" i="39"/>
  <c r="H254" i="39"/>
  <c r="J254" i="39" s="1"/>
  <c r="H255" i="39"/>
  <c r="H256" i="39"/>
  <c r="H257" i="39"/>
  <c r="H258" i="39"/>
  <c r="H259" i="39"/>
  <c r="H260" i="39"/>
  <c r="H261" i="39"/>
  <c r="H262" i="39"/>
  <c r="J262" i="39" s="1"/>
  <c r="H263" i="39"/>
  <c r="H264" i="39"/>
  <c r="H265" i="39"/>
  <c r="H266" i="39"/>
  <c r="H267" i="39"/>
  <c r="H268" i="39"/>
  <c r="H269" i="39"/>
  <c r="H270" i="39"/>
  <c r="J270" i="39" s="1"/>
  <c r="H271" i="39"/>
  <c r="H272" i="39"/>
  <c r="H273" i="39"/>
  <c r="H274" i="39"/>
  <c r="H275" i="39"/>
  <c r="H276" i="39"/>
  <c r="H277" i="39"/>
  <c r="H278" i="39"/>
  <c r="J278" i="39" s="1"/>
  <c r="H279" i="39"/>
  <c r="H280" i="39"/>
  <c r="H281" i="39"/>
  <c r="H282" i="39"/>
  <c r="H283" i="39"/>
  <c r="H284" i="39"/>
  <c r="H285" i="39"/>
  <c r="H286" i="39"/>
  <c r="J286" i="39" s="1"/>
  <c r="H287" i="39"/>
  <c r="H288" i="39"/>
  <c r="H289" i="39"/>
  <c r="H290" i="39"/>
  <c r="H291" i="39"/>
  <c r="H292" i="39"/>
  <c r="H293" i="39"/>
  <c r="H294" i="39"/>
  <c r="J294" i="39" s="1"/>
  <c r="H295" i="39"/>
  <c r="J295" i="39" s="1"/>
  <c r="H296" i="39"/>
  <c r="H297" i="39"/>
  <c r="H298" i="39"/>
  <c r="H299" i="39"/>
  <c r="H300" i="39"/>
  <c r="H301" i="39"/>
  <c r="H302" i="39"/>
  <c r="J302" i="39" s="1"/>
  <c r="H303" i="39"/>
  <c r="H304" i="39"/>
  <c r="H305" i="39"/>
  <c r="H306" i="39"/>
  <c r="H307" i="39"/>
  <c r="H308" i="39"/>
  <c r="H309" i="39"/>
  <c r="H310" i="39"/>
  <c r="J310" i="39" s="1"/>
  <c r="H311" i="39"/>
  <c r="H312" i="39"/>
  <c r="H313" i="39"/>
  <c r="H314" i="39"/>
  <c r="H315" i="39"/>
  <c r="H316" i="39"/>
  <c r="H317" i="39"/>
  <c r="H318" i="39"/>
  <c r="J318" i="39" s="1"/>
  <c r="H319" i="39"/>
  <c r="H320" i="39"/>
  <c r="H321" i="39"/>
  <c r="H322" i="39"/>
  <c r="H323" i="39"/>
  <c r="H324" i="39"/>
  <c r="H325" i="39"/>
  <c r="H326" i="39"/>
  <c r="J326" i="39" s="1"/>
  <c r="H327" i="39"/>
  <c r="H328" i="39"/>
  <c r="H329" i="39"/>
  <c r="H330" i="39"/>
  <c r="H331" i="39"/>
  <c r="H332" i="39"/>
  <c r="H333" i="39"/>
  <c r="H334" i="39"/>
  <c r="J334" i="39" s="1"/>
  <c r="H335" i="39"/>
  <c r="H336" i="39"/>
  <c r="H337" i="39"/>
  <c r="H338" i="39"/>
  <c r="H339" i="39"/>
  <c r="H340" i="39"/>
  <c r="H341" i="39"/>
  <c r="H342" i="39"/>
  <c r="J342" i="39" s="1"/>
  <c r="J2" i="39"/>
  <c r="J4" i="39"/>
  <c r="J5" i="39"/>
  <c r="J7" i="39"/>
  <c r="J10" i="39"/>
  <c r="J11" i="39"/>
  <c r="J12" i="39"/>
  <c r="J13" i="39"/>
  <c r="J15" i="39"/>
  <c r="J18" i="39"/>
  <c r="J19" i="39"/>
  <c r="J20" i="39"/>
  <c r="J21" i="39"/>
  <c r="J26" i="39"/>
  <c r="J27" i="39"/>
  <c r="J28" i="39"/>
  <c r="J29" i="39"/>
  <c r="J31" i="39"/>
  <c r="J34" i="39"/>
  <c r="J35" i="39"/>
  <c r="J36" i="39"/>
  <c r="J37" i="39"/>
  <c r="J42" i="39"/>
  <c r="J43" i="39"/>
  <c r="J44" i="39"/>
  <c r="J45" i="39"/>
  <c r="J47" i="39"/>
  <c r="J50" i="39"/>
  <c r="J51" i="39"/>
  <c r="J52" i="39"/>
  <c r="J53" i="39"/>
  <c r="J55" i="39"/>
  <c r="J58" i="39"/>
  <c r="J59" i="39"/>
  <c r="J60" i="39"/>
  <c r="J61" i="39"/>
  <c r="J63" i="39"/>
  <c r="J66" i="39"/>
  <c r="J67" i="39"/>
  <c r="J68" i="39"/>
  <c r="J69" i="39"/>
  <c r="J71" i="39"/>
  <c r="J74" i="39"/>
  <c r="J75" i="39"/>
  <c r="J76" i="39"/>
  <c r="J77" i="39"/>
  <c r="J79" i="39"/>
  <c r="J82" i="39"/>
  <c r="J83" i="39"/>
  <c r="J84" i="39"/>
  <c r="J85" i="39"/>
  <c r="J90" i="39"/>
  <c r="J91" i="39"/>
  <c r="J92" i="39"/>
  <c r="J93" i="39"/>
  <c r="J95" i="39"/>
  <c r="J98" i="39"/>
  <c r="J99" i="39"/>
  <c r="J100" i="39"/>
  <c r="J101" i="39"/>
  <c r="J106" i="39"/>
  <c r="J107" i="39"/>
  <c r="J108" i="39"/>
  <c r="J109" i="39"/>
  <c r="J111" i="39"/>
  <c r="J114" i="39"/>
  <c r="J115" i="39"/>
  <c r="J116" i="39"/>
  <c r="J117" i="39"/>
  <c r="J119" i="39"/>
  <c r="J122" i="39"/>
  <c r="J123" i="39"/>
  <c r="J124" i="39"/>
  <c r="J125" i="39"/>
  <c r="J127" i="39"/>
  <c r="J130" i="39"/>
  <c r="J131" i="39"/>
  <c r="J132" i="39"/>
  <c r="J133" i="39"/>
  <c r="J135" i="39"/>
  <c r="J138" i="39"/>
  <c r="J139" i="39"/>
  <c r="J140" i="39"/>
  <c r="J141" i="39"/>
  <c r="J143" i="39"/>
  <c r="J146" i="39"/>
  <c r="J147" i="39"/>
  <c r="J148" i="39"/>
  <c r="J149" i="39"/>
  <c r="J154" i="39"/>
  <c r="J155" i="39"/>
  <c r="J156" i="39"/>
  <c r="J157" i="39"/>
  <c r="J159" i="39"/>
  <c r="J162" i="39"/>
  <c r="J163" i="39"/>
  <c r="J164" i="39"/>
  <c r="J165" i="39"/>
  <c r="J170" i="39"/>
  <c r="J171" i="39"/>
  <c r="J172" i="39"/>
  <c r="J173" i="39"/>
  <c r="J175" i="39"/>
  <c r="J178" i="39"/>
  <c r="J179" i="39"/>
  <c r="J180" i="39"/>
  <c r="J181" i="39"/>
  <c r="J183" i="39"/>
  <c r="J186" i="39"/>
  <c r="J187" i="39"/>
  <c r="J188" i="39"/>
  <c r="J189" i="39"/>
  <c r="J191" i="39"/>
  <c r="J194" i="39"/>
  <c r="J195" i="39"/>
  <c r="J196" i="39"/>
  <c r="J197" i="39"/>
  <c r="J199" i="39"/>
  <c r="J202" i="39"/>
  <c r="J203" i="39"/>
  <c r="J204" i="39"/>
  <c r="J205" i="39"/>
  <c r="J207" i="39"/>
  <c r="J210" i="39"/>
  <c r="J211" i="39"/>
  <c r="J212" i="39"/>
  <c r="J213" i="39"/>
  <c r="J218" i="39"/>
  <c r="J219" i="39"/>
  <c r="J220" i="39"/>
  <c r="J221" i="39"/>
  <c r="J223" i="39"/>
  <c r="J226" i="39"/>
  <c r="J227" i="39"/>
  <c r="J228" i="39"/>
  <c r="J229" i="39"/>
  <c r="J234" i="39"/>
  <c r="J235" i="39"/>
  <c r="J236" i="39"/>
  <c r="J237" i="39"/>
  <c r="J239" i="39"/>
  <c r="J242" i="39"/>
  <c r="J243" i="39"/>
  <c r="J244" i="39"/>
  <c r="J245" i="39"/>
  <c r="J247" i="39"/>
  <c r="J250" i="39"/>
  <c r="J251" i="39"/>
  <c r="J252" i="39"/>
  <c r="J253" i="39"/>
  <c r="J255" i="39"/>
  <c r="J258" i="39"/>
  <c r="J259" i="39"/>
  <c r="J260" i="39"/>
  <c r="J261" i="39"/>
  <c r="J263" i="39"/>
  <c r="J266" i="39"/>
  <c r="J267" i="39"/>
  <c r="J268" i="39"/>
  <c r="J269" i="39"/>
  <c r="J271" i="39"/>
  <c r="J274" i="39"/>
  <c r="J275" i="39"/>
  <c r="J276" i="39"/>
  <c r="J277" i="39"/>
  <c r="J282" i="39"/>
  <c r="J283" i="39"/>
  <c r="J284" i="39"/>
  <c r="J285" i="39"/>
  <c r="J287" i="39"/>
  <c r="J290" i="39"/>
  <c r="J291" i="39"/>
  <c r="J292" i="39"/>
  <c r="J293" i="39"/>
  <c r="J298" i="39"/>
  <c r="J299" i="39"/>
  <c r="J300" i="39"/>
  <c r="J301" i="39"/>
  <c r="J303" i="39"/>
  <c r="J306" i="39"/>
  <c r="J307" i="39"/>
  <c r="J308" i="39"/>
  <c r="J309" i="39"/>
  <c r="J311" i="39"/>
  <c r="J314" i="39"/>
  <c r="J315" i="39"/>
  <c r="J316" i="39"/>
  <c r="J317" i="39"/>
  <c r="J319" i="39"/>
  <c r="J322" i="39"/>
  <c r="J323" i="39"/>
  <c r="J324" i="39"/>
  <c r="J325" i="39"/>
  <c r="J327" i="39"/>
  <c r="J330" i="39"/>
  <c r="J331" i="39"/>
  <c r="J332" i="39"/>
  <c r="J333" i="39"/>
  <c r="J335" i="39"/>
  <c r="J338" i="39"/>
  <c r="J339" i="39"/>
  <c r="J340" i="39"/>
  <c r="J341" i="39"/>
  <c r="J8" i="36"/>
  <c r="H8" i="36"/>
  <c r="J6" i="36"/>
  <c r="H6" i="36"/>
  <c r="H3" i="39" l="1"/>
  <c r="J3" i="39" s="1"/>
  <c r="J337" i="39"/>
  <c r="J329" i="39"/>
  <c r="J321" i="39"/>
  <c r="J313" i="39"/>
  <c r="J305" i="39"/>
  <c r="J297" i="39"/>
  <c r="J289" i="39"/>
  <c r="J281" i="39"/>
  <c r="J273" i="39"/>
  <c r="J265" i="39"/>
  <c r="J257" i="39"/>
  <c r="J249" i="39"/>
  <c r="J241" i="39"/>
  <c r="J233" i="39"/>
  <c r="J225" i="39"/>
  <c r="J217" i="39"/>
  <c r="J209" i="39"/>
  <c r="J201" i="39"/>
  <c r="J193" i="39"/>
  <c r="J185" i="39"/>
  <c r="J177" i="39"/>
  <c r="J169" i="39"/>
  <c r="J161" i="39"/>
  <c r="J153" i="39"/>
  <c r="J145" i="39"/>
  <c r="J137" i="39"/>
  <c r="J129" i="39"/>
  <c r="J121" i="39"/>
  <c r="J113" i="39"/>
  <c r="J105" i="39"/>
  <c r="J97" i="39"/>
  <c r="J89" i="39"/>
  <c r="J81" i="39"/>
  <c r="J73" i="39"/>
  <c r="J65" i="39"/>
  <c r="J57" i="39"/>
  <c r="J49" i="39"/>
  <c r="J41" i="39"/>
  <c r="J33" i="39"/>
  <c r="J25" i="39"/>
  <c r="J17" i="39"/>
  <c r="J9" i="39"/>
  <c r="J336" i="39"/>
  <c r="J320" i="39"/>
  <c r="J304" i="39"/>
  <c r="J296" i="39"/>
  <c r="J288" i="39"/>
  <c r="J280" i="39"/>
  <c r="J264" i="39"/>
  <c r="J256" i="39"/>
  <c r="J248" i="39"/>
  <c r="J240" i="39"/>
  <c r="J232" i="39"/>
  <c r="J224" i="39"/>
  <c r="J216" i="39"/>
  <c r="J208" i="39"/>
  <c r="J200" i="39"/>
  <c r="J192" i="39"/>
  <c r="J184" i="39"/>
  <c r="J176" i="39"/>
  <c r="J168" i="39"/>
  <c r="J160" i="39"/>
  <c r="J152" i="39"/>
  <c r="J144" i="39"/>
  <c r="J136" i="39"/>
  <c r="J128" i="39"/>
  <c r="J120" i="39"/>
  <c r="J112" i="39"/>
  <c r="J104" i="39"/>
  <c r="J96" i="39"/>
  <c r="J88" i="39"/>
  <c r="J80" i="39"/>
  <c r="J72" i="39"/>
  <c r="J64" i="39"/>
  <c r="J56" i="39"/>
  <c r="J48" i="39"/>
  <c r="J40" i="39"/>
  <c r="J32" i="39"/>
  <c r="J24" i="39"/>
  <c r="J16" i="39"/>
  <c r="J8" i="39"/>
  <c r="J328" i="39"/>
  <c r="J312" i="39"/>
  <c r="J272" i="39"/>
  <c r="J8" i="58"/>
  <c r="G8" i="58"/>
  <c r="J12" i="4" l="1"/>
  <c r="H12" i="4"/>
  <c r="I12" i="38"/>
  <c r="G12" i="38"/>
  <c r="J2" i="35" l="1"/>
  <c r="K9" i="19" l="1"/>
  <c r="I10" i="13" l="1"/>
  <c r="I13" i="23" l="1"/>
  <c r="H8" i="43" l="1"/>
  <c r="F8" i="43"/>
  <c r="I8" i="43" l="1"/>
  <c r="J8" i="22"/>
  <c r="J10" i="64" l="1"/>
  <c r="G10" i="64"/>
  <c r="J8" i="64"/>
  <c r="J6" i="64"/>
  <c r="G6" i="64"/>
  <c r="J4" i="64"/>
  <c r="J15" i="78" l="1"/>
  <c r="G15" i="78"/>
  <c r="J14" i="78"/>
  <c r="G14" i="78"/>
  <c r="J8" i="44" l="1"/>
  <c r="J6" i="44"/>
  <c r="H7" i="44"/>
  <c r="H5" i="44"/>
  <c r="J7" i="44" l="1"/>
  <c r="J5" i="44"/>
  <c r="J16" i="46" l="1"/>
  <c r="H16" i="46"/>
  <c r="J7" i="58" l="1"/>
  <c r="G7" i="58"/>
  <c r="I11" i="65" l="1"/>
  <c r="G11" i="65"/>
  <c r="J11" i="65" s="1"/>
  <c r="J7" i="50" l="1"/>
  <c r="J6" i="50"/>
  <c r="H6" i="50"/>
  <c r="J15" i="46" l="1"/>
  <c r="H15" i="46"/>
  <c r="J14" i="46"/>
  <c r="J13" i="46"/>
  <c r="J12" i="46"/>
  <c r="H12" i="46"/>
  <c r="J5" i="58" l="1"/>
  <c r="J6" i="58"/>
  <c r="I4" i="46"/>
  <c r="K4" i="46" s="1"/>
  <c r="M2" i="46"/>
  <c r="J2" i="52"/>
  <c r="K8" i="19"/>
  <c r="H8" i="19"/>
  <c r="K6" i="19"/>
  <c r="H6" i="19"/>
  <c r="K5" i="19"/>
  <c r="G5" i="58" l="1"/>
  <c r="J6" i="24" l="1"/>
  <c r="J5" i="24"/>
  <c r="M2" i="24"/>
  <c r="K3" i="72" l="1"/>
  <c r="K4" i="82" l="1"/>
  <c r="K15" i="52" l="1"/>
  <c r="K16" i="52"/>
  <c r="K17" i="52"/>
  <c r="K18" i="52"/>
  <c r="K19" i="52"/>
  <c r="K20" i="52"/>
  <c r="K21" i="52"/>
  <c r="K22" i="52"/>
  <c r="K23" i="52"/>
  <c r="K24" i="52"/>
  <c r="K25" i="52"/>
  <c r="K26" i="52"/>
  <c r="K27" i="52"/>
  <c r="K28" i="52"/>
  <c r="K29" i="52"/>
  <c r="K30" i="52"/>
  <c r="K31" i="52"/>
  <c r="K32" i="52"/>
  <c r="G2" i="52" l="1"/>
  <c r="J21" i="59" l="1"/>
  <c r="I12" i="23" l="1"/>
  <c r="I11" i="23" l="1"/>
  <c r="I9" i="13" l="1"/>
  <c r="I8" i="13"/>
  <c r="I7" i="13"/>
  <c r="I11" i="38" l="1"/>
  <c r="I10" i="38"/>
  <c r="J2" i="85" l="1"/>
  <c r="K4" i="85"/>
  <c r="K9" i="85"/>
  <c r="K13" i="85"/>
  <c r="K17" i="85"/>
  <c r="K21" i="85"/>
  <c r="K25" i="85"/>
  <c r="K29" i="85"/>
  <c r="K33" i="85"/>
  <c r="K37" i="85"/>
  <c r="K41" i="85"/>
  <c r="K45" i="85"/>
  <c r="K49" i="85"/>
  <c r="K53" i="85"/>
  <c r="K57" i="85"/>
  <c r="K61" i="85"/>
  <c r="K65" i="85"/>
  <c r="K69" i="85"/>
  <c r="K73" i="85"/>
  <c r="K77" i="85"/>
  <c r="K81" i="85"/>
  <c r="K85" i="85"/>
  <c r="K89" i="85"/>
  <c r="K93" i="85"/>
  <c r="K97" i="85"/>
  <c r="K101" i="85"/>
  <c r="K105" i="85"/>
  <c r="K109" i="85"/>
  <c r="K113" i="85"/>
  <c r="K117" i="85"/>
  <c r="K121" i="85"/>
  <c r="K125" i="85"/>
  <c r="K129" i="85"/>
  <c r="K133" i="85"/>
  <c r="K137" i="85"/>
  <c r="K141" i="85"/>
  <c r="K145" i="85"/>
  <c r="K149" i="85"/>
  <c r="K153" i="85"/>
  <c r="K157" i="85"/>
  <c r="K161" i="85"/>
  <c r="K165" i="85"/>
  <c r="K169" i="85"/>
  <c r="K173" i="85"/>
  <c r="K177" i="85"/>
  <c r="K181" i="85"/>
  <c r="K185" i="85"/>
  <c r="K189" i="85"/>
  <c r="K193" i="85"/>
  <c r="K197" i="85"/>
  <c r="K201" i="85"/>
  <c r="K205" i="85"/>
  <c r="K209" i="85"/>
  <c r="K213" i="85"/>
  <c r="K217" i="85"/>
  <c r="K221" i="85"/>
  <c r="K225" i="85"/>
  <c r="K229" i="85"/>
  <c r="K233" i="85"/>
  <c r="K237" i="85"/>
  <c r="K241" i="85"/>
  <c r="K245" i="85"/>
  <c r="K249" i="85"/>
  <c r="K253" i="85"/>
  <c r="K257" i="85"/>
  <c r="K261" i="85"/>
  <c r="K265" i="85"/>
  <c r="K269" i="85"/>
  <c r="K273" i="85"/>
  <c r="K277" i="85"/>
  <c r="K281" i="85"/>
  <c r="K285" i="85"/>
  <c r="K289" i="85"/>
  <c r="K293" i="85"/>
  <c r="K297" i="85"/>
  <c r="K301" i="85"/>
  <c r="K305" i="85"/>
  <c r="K309" i="85"/>
  <c r="K313" i="85"/>
  <c r="K317" i="85"/>
  <c r="K321" i="85"/>
  <c r="K325" i="85"/>
  <c r="K329" i="85"/>
  <c r="K333" i="85"/>
  <c r="K337" i="85"/>
  <c r="K3" i="85"/>
  <c r="K5" i="85"/>
  <c r="K6" i="85"/>
  <c r="K8" i="85"/>
  <c r="K10" i="85"/>
  <c r="K11" i="85"/>
  <c r="K12" i="85"/>
  <c r="K14" i="85"/>
  <c r="K15" i="85"/>
  <c r="K16" i="85"/>
  <c r="K18" i="85"/>
  <c r="K19" i="85"/>
  <c r="K20" i="85"/>
  <c r="K22" i="85"/>
  <c r="K23" i="85"/>
  <c r="K24" i="85"/>
  <c r="K26" i="85"/>
  <c r="K27" i="85"/>
  <c r="K28" i="85"/>
  <c r="K30" i="85"/>
  <c r="K31" i="85"/>
  <c r="K32" i="85"/>
  <c r="K34" i="85"/>
  <c r="K35" i="85"/>
  <c r="K36" i="85"/>
  <c r="K38" i="85"/>
  <c r="K39" i="85"/>
  <c r="K40" i="85"/>
  <c r="K42" i="85"/>
  <c r="K43" i="85"/>
  <c r="K44" i="85"/>
  <c r="K46" i="85"/>
  <c r="K47" i="85"/>
  <c r="K48" i="85"/>
  <c r="K50" i="85"/>
  <c r="K51" i="85"/>
  <c r="K52" i="85"/>
  <c r="K54" i="85"/>
  <c r="K55" i="85"/>
  <c r="K56" i="85"/>
  <c r="K58" i="85"/>
  <c r="K59" i="85"/>
  <c r="K60" i="85"/>
  <c r="K62" i="85"/>
  <c r="K63" i="85"/>
  <c r="K64" i="85"/>
  <c r="K66" i="85"/>
  <c r="K67" i="85"/>
  <c r="K68" i="85"/>
  <c r="K70" i="85"/>
  <c r="K71" i="85"/>
  <c r="K72" i="85"/>
  <c r="K74" i="85"/>
  <c r="K75" i="85"/>
  <c r="K76" i="85"/>
  <c r="K78" i="85"/>
  <c r="K79" i="85"/>
  <c r="K80" i="85"/>
  <c r="K82" i="85"/>
  <c r="K83" i="85"/>
  <c r="K84" i="85"/>
  <c r="K86" i="85"/>
  <c r="K87" i="85"/>
  <c r="K88" i="85"/>
  <c r="K90" i="85"/>
  <c r="K91" i="85"/>
  <c r="K92" i="85"/>
  <c r="K94" i="85"/>
  <c r="K95" i="85"/>
  <c r="K96" i="85"/>
  <c r="K98" i="85"/>
  <c r="K99" i="85"/>
  <c r="K100" i="85"/>
  <c r="K102" i="85"/>
  <c r="K103" i="85"/>
  <c r="K104" i="85"/>
  <c r="K106" i="85"/>
  <c r="K107" i="85"/>
  <c r="K108" i="85"/>
  <c r="K110" i="85"/>
  <c r="K111" i="85"/>
  <c r="K112" i="85"/>
  <c r="K114" i="85"/>
  <c r="K115" i="85"/>
  <c r="K116" i="85"/>
  <c r="K118" i="85"/>
  <c r="K119" i="85"/>
  <c r="K120" i="85"/>
  <c r="K122" i="85"/>
  <c r="K123" i="85"/>
  <c r="K124" i="85"/>
  <c r="K126" i="85"/>
  <c r="K127" i="85"/>
  <c r="K128" i="85"/>
  <c r="K130" i="85"/>
  <c r="K131" i="85"/>
  <c r="K132" i="85"/>
  <c r="K134" i="85"/>
  <c r="K135" i="85"/>
  <c r="K136" i="85"/>
  <c r="K138" i="85"/>
  <c r="K139" i="85"/>
  <c r="K140" i="85"/>
  <c r="K142" i="85"/>
  <c r="K143" i="85"/>
  <c r="K144" i="85"/>
  <c r="K146" i="85"/>
  <c r="K147" i="85"/>
  <c r="K148" i="85"/>
  <c r="K150" i="85"/>
  <c r="K151" i="85"/>
  <c r="K152" i="85"/>
  <c r="K154" i="85"/>
  <c r="K155" i="85"/>
  <c r="K156" i="85"/>
  <c r="K158" i="85"/>
  <c r="K159" i="85"/>
  <c r="K160" i="85"/>
  <c r="K162" i="85"/>
  <c r="K163" i="85"/>
  <c r="K164" i="85"/>
  <c r="K166" i="85"/>
  <c r="K167" i="85"/>
  <c r="K168" i="85"/>
  <c r="K170" i="85"/>
  <c r="K171" i="85"/>
  <c r="K172" i="85"/>
  <c r="K174" i="85"/>
  <c r="K175" i="85"/>
  <c r="K176" i="85"/>
  <c r="K178" i="85"/>
  <c r="K179" i="85"/>
  <c r="K180" i="85"/>
  <c r="K182" i="85"/>
  <c r="K183" i="85"/>
  <c r="K184" i="85"/>
  <c r="K186" i="85"/>
  <c r="K187" i="85"/>
  <c r="K188" i="85"/>
  <c r="K190" i="85"/>
  <c r="K191" i="85"/>
  <c r="K192" i="85"/>
  <c r="K194" i="85"/>
  <c r="K195" i="85"/>
  <c r="K196" i="85"/>
  <c r="K198" i="85"/>
  <c r="K199" i="85"/>
  <c r="K200" i="85"/>
  <c r="K202" i="85"/>
  <c r="K203" i="85"/>
  <c r="K204" i="85"/>
  <c r="K206" i="85"/>
  <c r="K207" i="85"/>
  <c r="K208" i="85"/>
  <c r="K210" i="85"/>
  <c r="K211" i="85"/>
  <c r="K212" i="85"/>
  <c r="K214" i="85"/>
  <c r="K215" i="85"/>
  <c r="K216" i="85"/>
  <c r="K218" i="85"/>
  <c r="K219" i="85"/>
  <c r="K220" i="85"/>
  <c r="K222" i="85"/>
  <c r="K223" i="85"/>
  <c r="K224" i="85"/>
  <c r="K226" i="85"/>
  <c r="K227" i="85"/>
  <c r="K228" i="85"/>
  <c r="K230" i="85"/>
  <c r="K231" i="85"/>
  <c r="K232" i="85"/>
  <c r="K234" i="85"/>
  <c r="K235" i="85"/>
  <c r="K236" i="85"/>
  <c r="K238" i="85"/>
  <c r="K239" i="85"/>
  <c r="K240" i="85"/>
  <c r="K242" i="85"/>
  <c r="K243" i="85"/>
  <c r="K244" i="85"/>
  <c r="K246" i="85"/>
  <c r="K247" i="85"/>
  <c r="K248" i="85"/>
  <c r="K250" i="85"/>
  <c r="K251" i="85"/>
  <c r="K252" i="85"/>
  <c r="K254" i="85"/>
  <c r="K255" i="85"/>
  <c r="K256" i="85"/>
  <c r="K258" i="85"/>
  <c r="K259" i="85"/>
  <c r="K260" i="85"/>
  <c r="K262" i="85"/>
  <c r="K263" i="85"/>
  <c r="K264" i="85"/>
  <c r="K266" i="85"/>
  <c r="K267" i="85"/>
  <c r="K268" i="85"/>
  <c r="K270" i="85"/>
  <c r="K271" i="85"/>
  <c r="K272" i="85"/>
  <c r="K274" i="85"/>
  <c r="K275" i="85"/>
  <c r="K276" i="85"/>
  <c r="K278" i="85"/>
  <c r="K279" i="85"/>
  <c r="K280" i="85"/>
  <c r="K282" i="85"/>
  <c r="K283" i="85"/>
  <c r="K284" i="85"/>
  <c r="K286" i="85"/>
  <c r="K287" i="85"/>
  <c r="K288" i="85"/>
  <c r="K290" i="85"/>
  <c r="K291" i="85"/>
  <c r="K292" i="85"/>
  <c r="K294" i="85"/>
  <c r="K295" i="85"/>
  <c r="K296" i="85"/>
  <c r="K298" i="85"/>
  <c r="K299" i="85"/>
  <c r="K300" i="85"/>
  <c r="K302" i="85"/>
  <c r="K303" i="85"/>
  <c r="K304" i="85"/>
  <c r="K306" i="85"/>
  <c r="K307" i="85"/>
  <c r="K308" i="85"/>
  <c r="K310" i="85"/>
  <c r="K311" i="85"/>
  <c r="K312" i="85"/>
  <c r="K314" i="85"/>
  <c r="K315" i="85"/>
  <c r="K316" i="85"/>
  <c r="K318" i="85"/>
  <c r="K319" i="85"/>
  <c r="K320" i="85"/>
  <c r="K322" i="85"/>
  <c r="K323" i="85"/>
  <c r="K324" i="85"/>
  <c r="K326" i="85"/>
  <c r="K327" i="85"/>
  <c r="K328" i="85"/>
  <c r="K330" i="85"/>
  <c r="K331" i="85"/>
  <c r="K332" i="85"/>
  <c r="K334" i="85"/>
  <c r="K335" i="85"/>
  <c r="K336" i="85"/>
  <c r="K338" i="85"/>
  <c r="K339" i="85"/>
  <c r="H2" i="85"/>
  <c r="K2" i="85" s="1"/>
  <c r="N13" i="85" l="1"/>
  <c r="K5" i="73"/>
  <c r="N2" i="73" l="1"/>
  <c r="J3" i="44"/>
  <c r="K3" i="44" s="1"/>
  <c r="J2" i="44"/>
  <c r="K7" i="44"/>
  <c r="K8" i="44"/>
  <c r="K9" i="44"/>
  <c r="K16" i="44"/>
  <c r="K17" i="44"/>
  <c r="K18" i="44"/>
  <c r="K24" i="44"/>
  <c r="K26" i="44"/>
  <c r="K32" i="44"/>
  <c r="K34" i="44"/>
  <c r="K40" i="44"/>
  <c r="K41" i="44"/>
  <c r="K42" i="44"/>
  <c r="K49" i="44"/>
  <c r="K50" i="44"/>
  <c r="K57" i="44"/>
  <c r="K65" i="44"/>
  <c r="K66" i="44"/>
  <c r="K72" i="44"/>
  <c r="K73" i="44"/>
  <c r="K74" i="44"/>
  <c r="K80" i="44"/>
  <c r="K81" i="44"/>
  <c r="K82" i="44"/>
  <c r="K88" i="44"/>
  <c r="K90" i="44"/>
  <c r="K96" i="44"/>
  <c r="K98" i="44"/>
  <c r="K104" i="44"/>
  <c r="K105" i="44"/>
  <c r="K106" i="44"/>
  <c r="K113" i="44"/>
  <c r="K114" i="44"/>
  <c r="K121" i="44"/>
  <c r="K129" i="44"/>
  <c r="K130" i="44"/>
  <c r="K136" i="44"/>
  <c r="K137" i="44"/>
  <c r="K138" i="44"/>
  <c r="K144" i="44"/>
  <c r="K145" i="44"/>
  <c r="K146" i="44"/>
  <c r="K152" i="44"/>
  <c r="K154" i="44"/>
  <c r="K160" i="44"/>
  <c r="K162" i="44"/>
  <c r="K168" i="44"/>
  <c r="K169" i="44"/>
  <c r="K170" i="44"/>
  <c r="K177" i="44"/>
  <c r="K178" i="44"/>
  <c r="K185" i="44"/>
  <c r="K193" i="44"/>
  <c r="K194" i="44"/>
  <c r="K200" i="44"/>
  <c r="K201" i="44"/>
  <c r="K202" i="44"/>
  <c r="K208" i="44"/>
  <c r="K209" i="44"/>
  <c r="K210" i="44"/>
  <c r="K216" i="44"/>
  <c r="K218" i="44"/>
  <c r="K224" i="44"/>
  <c r="K226" i="44"/>
  <c r="K232" i="44"/>
  <c r="K233" i="44"/>
  <c r="K234" i="44"/>
  <c r="K241" i="44"/>
  <c r="K242" i="44"/>
  <c r="K249" i="44"/>
  <c r="K257" i="44"/>
  <c r="K258" i="44"/>
  <c r="K264" i="44"/>
  <c r="K265" i="44"/>
  <c r="K266" i="44"/>
  <c r="K272" i="44"/>
  <c r="K273" i="44"/>
  <c r="K274" i="44"/>
  <c r="K280" i="44"/>
  <c r="K282" i="44"/>
  <c r="K288" i="44"/>
  <c r="K290" i="44"/>
  <c r="K296" i="44"/>
  <c r="K297" i="44"/>
  <c r="K298" i="44"/>
  <c r="K305" i="44"/>
  <c r="K306" i="44"/>
  <c r="K313" i="44"/>
  <c r="K321" i="44"/>
  <c r="K322" i="44"/>
  <c r="K328" i="44"/>
  <c r="K329" i="44"/>
  <c r="K330" i="44"/>
  <c r="K336" i="44"/>
  <c r="K337" i="44"/>
  <c r="K338" i="44"/>
  <c r="K344" i="44"/>
  <c r="K346" i="44"/>
  <c r="H2" i="44"/>
  <c r="K25" i="44"/>
  <c r="K33" i="44"/>
  <c r="K89" i="44"/>
  <c r="K97" i="44"/>
  <c r="K153" i="44"/>
  <c r="K161" i="44"/>
  <c r="K217" i="44"/>
  <c r="K225" i="44"/>
  <c r="K281" i="44"/>
  <c r="K289" i="44"/>
  <c r="K345" i="44"/>
  <c r="K2" i="44"/>
  <c r="K4" i="44"/>
  <c r="K5" i="44"/>
  <c r="K6" i="44"/>
  <c r="K11" i="44"/>
  <c r="K12" i="44"/>
  <c r="K13" i="44"/>
  <c r="K14" i="44"/>
  <c r="K15" i="44"/>
  <c r="K19" i="44"/>
  <c r="K20" i="44"/>
  <c r="K21" i="44"/>
  <c r="K22" i="44"/>
  <c r="K23" i="44"/>
  <c r="K27" i="44"/>
  <c r="K28" i="44"/>
  <c r="K29" i="44"/>
  <c r="K30" i="44"/>
  <c r="K31" i="44"/>
  <c r="K35" i="44"/>
  <c r="K36" i="44"/>
  <c r="K37" i="44"/>
  <c r="K38" i="44"/>
  <c r="K39" i="44"/>
  <c r="K43" i="44"/>
  <c r="K44" i="44"/>
  <c r="K45" i="44"/>
  <c r="K46" i="44"/>
  <c r="K47" i="44"/>
  <c r="K48" i="44"/>
  <c r="K51" i="44"/>
  <c r="K52" i="44"/>
  <c r="K53" i="44"/>
  <c r="K54" i="44"/>
  <c r="K55" i="44"/>
  <c r="K56" i="44"/>
  <c r="K58" i="44"/>
  <c r="K59" i="44"/>
  <c r="K60" i="44"/>
  <c r="K61" i="44"/>
  <c r="K62" i="44"/>
  <c r="K63" i="44"/>
  <c r="K64" i="44"/>
  <c r="K67" i="44"/>
  <c r="K68" i="44"/>
  <c r="K69" i="44"/>
  <c r="K70" i="44"/>
  <c r="K71" i="44"/>
  <c r="K75" i="44"/>
  <c r="K76" i="44"/>
  <c r="K77" i="44"/>
  <c r="K78" i="44"/>
  <c r="K79" i="44"/>
  <c r="K83" i="44"/>
  <c r="K84" i="44"/>
  <c r="K85" i="44"/>
  <c r="K86" i="44"/>
  <c r="K87" i="44"/>
  <c r="K91" i="44"/>
  <c r="K92" i="44"/>
  <c r="K93" i="44"/>
  <c r="K94" i="44"/>
  <c r="K95" i="44"/>
  <c r="K99" i="44"/>
  <c r="K100" i="44"/>
  <c r="K101" i="44"/>
  <c r="K102" i="44"/>
  <c r="K103" i="44"/>
  <c r="K107" i="44"/>
  <c r="K108" i="44"/>
  <c r="K109" i="44"/>
  <c r="K110" i="44"/>
  <c r="K111" i="44"/>
  <c r="K112" i="44"/>
  <c r="K115" i="44"/>
  <c r="K116" i="44"/>
  <c r="K117" i="44"/>
  <c r="K118" i="44"/>
  <c r="K119" i="44"/>
  <c r="K120" i="44"/>
  <c r="K122" i="44"/>
  <c r="K123" i="44"/>
  <c r="K124" i="44"/>
  <c r="K125" i="44"/>
  <c r="K126" i="44"/>
  <c r="K127" i="44"/>
  <c r="K128" i="44"/>
  <c r="K131" i="44"/>
  <c r="K132" i="44"/>
  <c r="K133" i="44"/>
  <c r="K134" i="44"/>
  <c r="K135" i="44"/>
  <c r="K139" i="44"/>
  <c r="K140" i="44"/>
  <c r="K141" i="44"/>
  <c r="K142" i="44"/>
  <c r="K143" i="44"/>
  <c r="K147" i="44"/>
  <c r="K148" i="44"/>
  <c r="K149" i="44"/>
  <c r="K150" i="44"/>
  <c r="K151" i="44"/>
  <c r="K155" i="44"/>
  <c r="K156" i="44"/>
  <c r="K157" i="44"/>
  <c r="K158" i="44"/>
  <c r="K159" i="44"/>
  <c r="K163" i="44"/>
  <c r="K164" i="44"/>
  <c r="K165" i="44"/>
  <c r="K166" i="44"/>
  <c r="K167" i="44"/>
  <c r="K171" i="44"/>
  <c r="K172" i="44"/>
  <c r="K173" i="44"/>
  <c r="K174" i="44"/>
  <c r="K175" i="44"/>
  <c r="K176" i="44"/>
  <c r="K179" i="44"/>
  <c r="K180" i="44"/>
  <c r="K181" i="44"/>
  <c r="K182" i="44"/>
  <c r="K183" i="44"/>
  <c r="K184" i="44"/>
  <c r="K186" i="44"/>
  <c r="K187" i="44"/>
  <c r="K188" i="44"/>
  <c r="K189" i="44"/>
  <c r="K190" i="44"/>
  <c r="K191" i="44"/>
  <c r="K192" i="44"/>
  <c r="K195" i="44"/>
  <c r="K196" i="44"/>
  <c r="K197" i="44"/>
  <c r="K198" i="44"/>
  <c r="K199" i="44"/>
  <c r="K203" i="44"/>
  <c r="K204" i="44"/>
  <c r="K205" i="44"/>
  <c r="K206" i="44"/>
  <c r="K207" i="44"/>
  <c r="K211" i="44"/>
  <c r="K212" i="44"/>
  <c r="K213" i="44"/>
  <c r="K214" i="44"/>
  <c r="K215" i="44"/>
  <c r="K219" i="44"/>
  <c r="K220" i="44"/>
  <c r="K221" i="44"/>
  <c r="K222" i="44"/>
  <c r="K223" i="44"/>
  <c r="K227" i="44"/>
  <c r="K228" i="44"/>
  <c r="K229" i="44"/>
  <c r="K230" i="44"/>
  <c r="K231" i="44"/>
  <c r="K235" i="44"/>
  <c r="K236" i="44"/>
  <c r="K237" i="44"/>
  <c r="K238" i="44"/>
  <c r="K239" i="44"/>
  <c r="K240" i="44"/>
  <c r="K243" i="44"/>
  <c r="K244" i="44"/>
  <c r="K245" i="44"/>
  <c r="K246" i="44"/>
  <c r="K247" i="44"/>
  <c r="K248" i="44"/>
  <c r="K250" i="44"/>
  <c r="K251" i="44"/>
  <c r="K252" i="44"/>
  <c r="K253" i="44"/>
  <c r="K254" i="44"/>
  <c r="K255" i="44"/>
  <c r="K256" i="44"/>
  <c r="K259" i="44"/>
  <c r="K260" i="44"/>
  <c r="K261" i="44"/>
  <c r="K262" i="44"/>
  <c r="K263" i="44"/>
  <c r="K267" i="44"/>
  <c r="K268" i="44"/>
  <c r="K269" i="44"/>
  <c r="K270" i="44"/>
  <c r="K271" i="44"/>
  <c r="K275" i="44"/>
  <c r="K276" i="44"/>
  <c r="K277" i="44"/>
  <c r="K278" i="44"/>
  <c r="K279" i="44"/>
  <c r="K283" i="44"/>
  <c r="K284" i="44"/>
  <c r="K285" i="44"/>
  <c r="K286" i="44"/>
  <c r="K287" i="44"/>
  <c r="K291" i="44"/>
  <c r="K292" i="44"/>
  <c r="K293" i="44"/>
  <c r="K294" i="44"/>
  <c r="K295" i="44"/>
  <c r="K299" i="44"/>
  <c r="K300" i="44"/>
  <c r="K301" i="44"/>
  <c r="K302" i="44"/>
  <c r="K303" i="44"/>
  <c r="K304" i="44"/>
  <c r="K307" i="44"/>
  <c r="K308" i="44"/>
  <c r="K309" i="44"/>
  <c r="K310" i="44"/>
  <c r="K311" i="44"/>
  <c r="K312" i="44"/>
  <c r="K314" i="44"/>
  <c r="K315" i="44"/>
  <c r="K316" i="44"/>
  <c r="K317" i="44"/>
  <c r="K318" i="44"/>
  <c r="K319" i="44"/>
  <c r="K320" i="44"/>
  <c r="K323" i="44"/>
  <c r="K324" i="44"/>
  <c r="K325" i="44"/>
  <c r="K326" i="44"/>
  <c r="K327" i="44"/>
  <c r="K331" i="44"/>
  <c r="K332" i="44"/>
  <c r="K333" i="44"/>
  <c r="K334" i="44"/>
  <c r="K335" i="44"/>
  <c r="K339" i="44"/>
  <c r="K340" i="44"/>
  <c r="K341" i="44"/>
  <c r="K342" i="44"/>
  <c r="K343" i="44"/>
  <c r="K347" i="44"/>
  <c r="M2" i="83"/>
  <c r="N9" i="44" l="1"/>
  <c r="M2" i="44"/>
  <c r="M2" i="28"/>
  <c r="J13" i="78"/>
  <c r="J6" i="84"/>
  <c r="G13" i="78"/>
  <c r="J6" i="83" l="1"/>
  <c r="J5" i="83"/>
  <c r="J11" i="4" l="1"/>
  <c r="H11" i="4"/>
  <c r="I8" i="38" l="1"/>
  <c r="J5" i="84" l="1"/>
  <c r="J4" i="84"/>
  <c r="H5" i="84"/>
  <c r="H4" i="84"/>
  <c r="I10" i="23" l="1"/>
  <c r="I9" i="23"/>
  <c r="I8" i="23"/>
  <c r="I6" i="13" l="1"/>
  <c r="J6" i="22" l="1"/>
  <c r="G17" i="87" l="1"/>
  <c r="G18" i="87"/>
  <c r="G19" i="87"/>
  <c r="G20" i="87"/>
  <c r="G21" i="87"/>
  <c r="G22" i="87"/>
  <c r="G23" i="87"/>
  <c r="G24" i="87"/>
  <c r="G25" i="87"/>
  <c r="G26" i="87"/>
  <c r="G27" i="87"/>
  <c r="G28" i="87"/>
  <c r="G29" i="87"/>
  <c r="G30" i="87"/>
  <c r="G31" i="87"/>
  <c r="G32" i="87"/>
  <c r="G33" i="87"/>
  <c r="G34" i="87"/>
  <c r="G35" i="87"/>
  <c r="G36" i="87"/>
  <c r="G37" i="87"/>
  <c r="G38" i="87"/>
  <c r="G39" i="87"/>
  <c r="G40" i="87"/>
  <c r="G41" i="87"/>
  <c r="G42" i="87"/>
  <c r="G43" i="87"/>
  <c r="G44" i="87"/>
  <c r="G45" i="87"/>
  <c r="G46" i="87"/>
  <c r="G47" i="87"/>
  <c r="G48" i="87"/>
  <c r="G49" i="87"/>
  <c r="G50" i="87"/>
  <c r="G51" i="87"/>
  <c r="G52" i="87"/>
  <c r="G53" i="87"/>
  <c r="G54" i="87"/>
  <c r="G55" i="87"/>
  <c r="G56" i="87"/>
  <c r="G57" i="87"/>
  <c r="G58" i="87"/>
  <c r="G59" i="87"/>
  <c r="G60" i="87"/>
  <c r="G61" i="87"/>
  <c r="G62" i="87"/>
  <c r="J11" i="78"/>
  <c r="J10" i="78"/>
  <c r="J9" i="78"/>
  <c r="J8" i="78"/>
  <c r="J10" i="4" l="1"/>
  <c r="J9" i="4"/>
  <c r="H10" i="4"/>
  <c r="J17" i="59" l="1"/>
  <c r="J20" i="59" l="1"/>
  <c r="J19" i="59"/>
  <c r="J18" i="59"/>
  <c r="H18" i="59"/>
  <c r="H17" i="59"/>
  <c r="J16" i="59"/>
  <c r="H16" i="59"/>
  <c r="J4" i="58" l="1"/>
  <c r="J3" i="58"/>
  <c r="G3" i="58"/>
  <c r="J5" i="36" l="1"/>
  <c r="I10" i="65" l="1"/>
  <c r="J10" i="65" s="1"/>
  <c r="I9" i="65"/>
  <c r="J9" i="65" s="1"/>
  <c r="I8" i="65"/>
  <c r="J8" i="65" s="1"/>
  <c r="J11" i="46" l="1"/>
  <c r="H11" i="46"/>
  <c r="J10" i="46"/>
  <c r="H10" i="46"/>
  <c r="H6" i="43" l="1"/>
  <c r="G6" i="43"/>
  <c r="I6" i="43" l="1"/>
  <c r="F4" i="43"/>
  <c r="I4" i="43" s="1"/>
  <c r="K4" i="73"/>
  <c r="H4" i="73"/>
  <c r="J4" i="22"/>
  <c r="G4" i="22"/>
  <c r="K2" i="72" l="1"/>
  <c r="I4" i="57" l="1"/>
  <c r="I3" i="57"/>
  <c r="G4" i="57"/>
  <c r="G3" i="57"/>
  <c r="J4" i="5" l="1"/>
  <c r="G4" i="5"/>
  <c r="I5" i="13" l="1"/>
  <c r="H8" i="4"/>
  <c r="J9" i="46"/>
  <c r="H9" i="46"/>
  <c r="J8" i="46"/>
  <c r="H8" i="46"/>
  <c r="J8" i="4" l="1"/>
  <c r="J7" i="4" l="1"/>
  <c r="H7" i="4"/>
  <c r="K4" i="19" l="1"/>
  <c r="K3" i="19"/>
  <c r="K3" i="82" l="1"/>
  <c r="L3" i="82" l="1"/>
  <c r="J3" i="64"/>
  <c r="J4" i="24" l="1"/>
  <c r="J7" i="28" l="1"/>
  <c r="I7" i="38" l="1"/>
  <c r="I6" i="38"/>
  <c r="I5" i="38"/>
  <c r="I4" i="38"/>
  <c r="J4" i="38" s="1"/>
  <c r="I3" i="38"/>
  <c r="J16" i="38"/>
  <c r="J24" i="38"/>
  <c r="J32" i="38"/>
  <c r="J40" i="38"/>
  <c r="J48" i="38"/>
  <c r="J56" i="38"/>
  <c r="J64" i="38"/>
  <c r="J80" i="38"/>
  <c r="J88" i="38"/>
  <c r="J96" i="38"/>
  <c r="J104" i="38"/>
  <c r="J112" i="38"/>
  <c r="J120" i="38"/>
  <c r="J144" i="38"/>
  <c r="J152" i="38"/>
  <c r="J160" i="38"/>
  <c r="J168" i="38"/>
  <c r="J176" i="38"/>
  <c r="J184" i="38"/>
  <c r="J208" i="38"/>
  <c r="J216" i="38"/>
  <c r="J224" i="38"/>
  <c r="J232" i="38"/>
  <c r="J240" i="38"/>
  <c r="J248" i="38"/>
  <c r="J9" i="38"/>
  <c r="J17" i="38"/>
  <c r="J25" i="38"/>
  <c r="J33" i="38"/>
  <c r="J41" i="38"/>
  <c r="J49" i="38"/>
  <c r="J57" i="38"/>
  <c r="J65" i="38"/>
  <c r="J73" i="38"/>
  <c r="J81" i="38"/>
  <c r="J89" i="38"/>
  <c r="J97" i="38"/>
  <c r="J105" i="38"/>
  <c r="J113" i="38"/>
  <c r="J121" i="38"/>
  <c r="J129" i="38"/>
  <c r="J137" i="38"/>
  <c r="J145" i="38"/>
  <c r="J153" i="38"/>
  <c r="J161" i="38"/>
  <c r="J169" i="38"/>
  <c r="J177" i="38"/>
  <c r="J185" i="38"/>
  <c r="J193" i="38"/>
  <c r="J201" i="38"/>
  <c r="J209" i="38"/>
  <c r="J217" i="38"/>
  <c r="J225" i="38"/>
  <c r="J233" i="38"/>
  <c r="J241" i="38"/>
  <c r="J249" i="38"/>
  <c r="J3" i="38"/>
  <c r="J5" i="38"/>
  <c r="J6" i="38"/>
  <c r="J7" i="38"/>
  <c r="J8" i="38"/>
  <c r="J10" i="38"/>
  <c r="J11" i="38"/>
  <c r="J12" i="38"/>
  <c r="J13" i="38"/>
  <c r="J14" i="38"/>
  <c r="J15" i="38"/>
  <c r="J18" i="38"/>
  <c r="J19" i="38"/>
  <c r="J20" i="38"/>
  <c r="J21" i="38"/>
  <c r="J22" i="38"/>
  <c r="J23" i="38"/>
  <c r="J26" i="38"/>
  <c r="J27" i="38"/>
  <c r="J28" i="38"/>
  <c r="J29" i="38"/>
  <c r="J30" i="38"/>
  <c r="J31" i="38"/>
  <c r="J34" i="38"/>
  <c r="J35" i="38"/>
  <c r="J36" i="38"/>
  <c r="J37" i="38"/>
  <c r="J38" i="38"/>
  <c r="J39" i="38"/>
  <c r="J42" i="38"/>
  <c r="J43" i="38"/>
  <c r="J44" i="38"/>
  <c r="J45" i="38"/>
  <c r="J46" i="38"/>
  <c r="J47" i="38"/>
  <c r="J50" i="38"/>
  <c r="J51" i="38"/>
  <c r="J52" i="38"/>
  <c r="J53" i="38"/>
  <c r="J54" i="38"/>
  <c r="J55" i="38"/>
  <c r="J58" i="38"/>
  <c r="J59" i="38"/>
  <c r="J60" i="38"/>
  <c r="J61" i="38"/>
  <c r="J62" i="38"/>
  <c r="J63" i="38"/>
  <c r="J66" i="38"/>
  <c r="J67" i="38"/>
  <c r="J68" i="38"/>
  <c r="J69" i="38"/>
  <c r="J70" i="38"/>
  <c r="J71" i="38"/>
  <c r="J72" i="38"/>
  <c r="J74" i="38"/>
  <c r="J75" i="38"/>
  <c r="J76" i="38"/>
  <c r="J77" i="38"/>
  <c r="J78" i="38"/>
  <c r="J79" i="38"/>
  <c r="J82" i="38"/>
  <c r="J83" i="38"/>
  <c r="J84" i="38"/>
  <c r="J85" i="38"/>
  <c r="J86" i="38"/>
  <c r="J87" i="38"/>
  <c r="J90" i="38"/>
  <c r="J91" i="38"/>
  <c r="J92" i="38"/>
  <c r="J93" i="38"/>
  <c r="J94" i="38"/>
  <c r="J95" i="38"/>
  <c r="J98" i="38"/>
  <c r="J99" i="38"/>
  <c r="J100" i="38"/>
  <c r="J101" i="38"/>
  <c r="J102" i="38"/>
  <c r="J103" i="38"/>
  <c r="J106" i="38"/>
  <c r="J107" i="38"/>
  <c r="J108" i="38"/>
  <c r="J109" i="38"/>
  <c r="J110" i="38"/>
  <c r="J111" i="38"/>
  <c r="J114" i="38"/>
  <c r="J115" i="38"/>
  <c r="J116" i="38"/>
  <c r="J117" i="38"/>
  <c r="J118" i="38"/>
  <c r="J119" i="38"/>
  <c r="J122" i="38"/>
  <c r="J123" i="38"/>
  <c r="J124" i="38"/>
  <c r="J125" i="38"/>
  <c r="J126" i="38"/>
  <c r="J127" i="38"/>
  <c r="J128" i="38"/>
  <c r="J130" i="38"/>
  <c r="J131" i="38"/>
  <c r="J132" i="38"/>
  <c r="J133" i="38"/>
  <c r="J134" i="38"/>
  <c r="J135" i="38"/>
  <c r="J136" i="38"/>
  <c r="J138" i="38"/>
  <c r="J139" i="38"/>
  <c r="J140" i="38"/>
  <c r="J141" i="38"/>
  <c r="J142" i="38"/>
  <c r="J143" i="38"/>
  <c r="J146" i="38"/>
  <c r="J147" i="38"/>
  <c r="J148" i="38"/>
  <c r="J149" i="38"/>
  <c r="J150" i="38"/>
  <c r="J151" i="38"/>
  <c r="J154" i="38"/>
  <c r="J155" i="38"/>
  <c r="J156" i="38"/>
  <c r="J157" i="38"/>
  <c r="J158" i="38"/>
  <c r="J159" i="38"/>
  <c r="J162" i="38"/>
  <c r="J163" i="38"/>
  <c r="J164" i="38"/>
  <c r="J165" i="38"/>
  <c r="J166" i="38"/>
  <c r="J167" i="38"/>
  <c r="J170" i="38"/>
  <c r="J171" i="38"/>
  <c r="J172" i="38"/>
  <c r="J173" i="38"/>
  <c r="J174" i="38"/>
  <c r="J175" i="38"/>
  <c r="J178" i="38"/>
  <c r="J179" i="38"/>
  <c r="J180" i="38"/>
  <c r="J181" i="38"/>
  <c r="J182" i="38"/>
  <c r="J183" i="38"/>
  <c r="J186" i="38"/>
  <c r="J187" i="38"/>
  <c r="J188" i="38"/>
  <c r="J189" i="38"/>
  <c r="J190" i="38"/>
  <c r="J191" i="38"/>
  <c r="J192" i="38"/>
  <c r="J194" i="38"/>
  <c r="J195" i="38"/>
  <c r="J196" i="38"/>
  <c r="J197" i="38"/>
  <c r="J198" i="38"/>
  <c r="J199" i="38"/>
  <c r="J200" i="38"/>
  <c r="J202" i="38"/>
  <c r="J203" i="38"/>
  <c r="J204" i="38"/>
  <c r="J205" i="38"/>
  <c r="J206" i="38"/>
  <c r="J207" i="38"/>
  <c r="J210" i="38"/>
  <c r="J211" i="38"/>
  <c r="J212" i="38"/>
  <c r="J213" i="38"/>
  <c r="J214" i="38"/>
  <c r="J215" i="38"/>
  <c r="J218" i="38"/>
  <c r="J219" i="38"/>
  <c r="J220" i="38"/>
  <c r="J221" i="38"/>
  <c r="J222" i="38"/>
  <c r="J223" i="38"/>
  <c r="J226" i="38"/>
  <c r="J227" i="38"/>
  <c r="J228" i="38"/>
  <c r="J229" i="38"/>
  <c r="J230" i="38"/>
  <c r="J231" i="38"/>
  <c r="J234" i="38"/>
  <c r="J235" i="38"/>
  <c r="J236" i="38"/>
  <c r="J237" i="38"/>
  <c r="J238" i="38"/>
  <c r="J239" i="38"/>
  <c r="J242" i="38"/>
  <c r="J243" i="38"/>
  <c r="J244" i="38"/>
  <c r="J245" i="38"/>
  <c r="J246" i="38"/>
  <c r="J247" i="38"/>
  <c r="J250" i="38"/>
  <c r="J251" i="38"/>
  <c r="J252" i="38"/>
  <c r="J253" i="38"/>
  <c r="J254" i="38"/>
  <c r="J255" i="38"/>
  <c r="J256" i="38"/>
  <c r="J257" i="38"/>
  <c r="J258" i="38"/>
  <c r="J259" i="38"/>
  <c r="J260" i="38"/>
  <c r="J261" i="38"/>
  <c r="J262" i="38"/>
  <c r="J263" i="38"/>
  <c r="J264" i="38"/>
  <c r="J265" i="38"/>
  <c r="J26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81" i="38"/>
  <c r="J282" i="38"/>
  <c r="J283" i="38"/>
  <c r="J284" i="38"/>
  <c r="J285" i="38"/>
  <c r="J286" i="38"/>
  <c r="J287" i="38"/>
  <c r="J288" i="38"/>
  <c r="J289" i="38"/>
  <c r="J290" i="38"/>
  <c r="J291" i="38"/>
  <c r="J292" i="38"/>
  <c r="J293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1" i="38"/>
  <c r="J312" i="38"/>
  <c r="J313" i="38"/>
  <c r="J314" i="38"/>
  <c r="J315" i="38"/>
  <c r="J316" i="38"/>
  <c r="J317" i="38"/>
  <c r="J318" i="38"/>
  <c r="J319" i="38"/>
  <c r="J320" i="38"/>
  <c r="J321" i="38"/>
  <c r="J322" i="38"/>
  <c r="J323" i="38"/>
  <c r="J324" i="38"/>
  <c r="J325" i="38"/>
  <c r="J326" i="38"/>
  <c r="J327" i="38"/>
  <c r="J328" i="38"/>
  <c r="J329" i="38"/>
  <c r="J330" i="38"/>
  <c r="J331" i="38"/>
  <c r="J332" i="38"/>
  <c r="J333" i="38"/>
  <c r="J334" i="38"/>
  <c r="J335" i="38"/>
  <c r="J336" i="38"/>
  <c r="J337" i="38"/>
  <c r="J338" i="38"/>
  <c r="J339" i="38"/>
  <c r="J2" i="38"/>
  <c r="J3" i="36" l="1"/>
  <c r="J2" i="22" l="1"/>
  <c r="J6" i="28" l="1"/>
  <c r="J5" i="28"/>
  <c r="J4" i="28"/>
  <c r="J3" i="28"/>
  <c r="J3" i="5" l="1"/>
  <c r="I3" i="13" l="1"/>
  <c r="J3" i="13" s="1"/>
  <c r="J9" i="13"/>
  <c r="J10" i="13"/>
  <c r="J21" i="13"/>
  <c r="J5" i="13"/>
  <c r="J6" i="13"/>
  <c r="J7" i="13"/>
  <c r="J8" i="13"/>
  <c r="J12" i="13"/>
  <c r="J13" i="13"/>
  <c r="J14" i="13"/>
  <c r="J15" i="13"/>
  <c r="J17" i="13"/>
  <c r="J18" i="13"/>
  <c r="J19" i="13"/>
  <c r="J22" i="13"/>
  <c r="J23" i="13"/>
  <c r="J24" i="13"/>
  <c r="J25" i="13"/>
  <c r="J26" i="13"/>
  <c r="J27" i="13"/>
  <c r="J28" i="13"/>
  <c r="J30" i="13"/>
  <c r="J31" i="13"/>
  <c r="J32" i="13"/>
  <c r="J33" i="13"/>
  <c r="J34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9" i="13"/>
  <c r="J50" i="13"/>
  <c r="J51" i="13"/>
  <c r="J52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J202" i="13"/>
  <c r="J203" i="13"/>
  <c r="J204" i="13"/>
  <c r="J205" i="13"/>
  <c r="J206" i="13"/>
  <c r="J207" i="13"/>
  <c r="J208" i="13"/>
  <c r="J209" i="13"/>
  <c r="J210" i="13"/>
  <c r="J211" i="13"/>
  <c r="J212" i="13"/>
  <c r="J213" i="13"/>
  <c r="J214" i="13"/>
  <c r="J215" i="13"/>
  <c r="J216" i="13"/>
  <c r="J217" i="13"/>
  <c r="J218" i="13"/>
  <c r="J219" i="13"/>
  <c r="J220" i="13"/>
  <c r="J221" i="13"/>
  <c r="J222" i="13"/>
  <c r="J223" i="13"/>
  <c r="J224" i="13"/>
  <c r="J225" i="13"/>
  <c r="J226" i="13"/>
  <c r="J227" i="13"/>
  <c r="J228" i="13"/>
  <c r="J229" i="13"/>
  <c r="J230" i="13"/>
  <c r="J231" i="13"/>
  <c r="J232" i="13"/>
  <c r="J233" i="13"/>
  <c r="J234" i="13"/>
  <c r="J235" i="13"/>
  <c r="J236" i="13"/>
  <c r="J237" i="13"/>
  <c r="J238" i="13"/>
  <c r="J239" i="13"/>
  <c r="J240" i="13"/>
  <c r="J241" i="13"/>
  <c r="J242" i="13"/>
  <c r="J243" i="13"/>
  <c r="J244" i="13"/>
  <c r="J245" i="13"/>
  <c r="J246" i="13"/>
  <c r="J247" i="13"/>
  <c r="J248" i="13"/>
  <c r="J249" i="13"/>
  <c r="J250" i="13"/>
  <c r="J251" i="13"/>
  <c r="J252" i="13"/>
  <c r="J253" i="13"/>
  <c r="J254" i="13"/>
  <c r="J255" i="13"/>
  <c r="J256" i="13"/>
  <c r="J257" i="13"/>
  <c r="J258" i="13"/>
  <c r="J259" i="13"/>
  <c r="J260" i="13"/>
  <c r="J261" i="13"/>
  <c r="J262" i="13"/>
  <c r="J263" i="13"/>
  <c r="J264" i="13"/>
  <c r="J265" i="13"/>
  <c r="J266" i="13"/>
  <c r="J267" i="13"/>
  <c r="J268" i="13"/>
  <c r="J269" i="13"/>
  <c r="J270" i="13"/>
  <c r="J271" i="13"/>
  <c r="J272" i="13"/>
  <c r="J273" i="13"/>
  <c r="J274" i="13"/>
  <c r="J275" i="13"/>
  <c r="J276" i="13"/>
  <c r="J277" i="13"/>
  <c r="J278" i="13"/>
  <c r="J279" i="13"/>
  <c r="J280" i="13"/>
  <c r="J281" i="13"/>
  <c r="J282" i="13"/>
  <c r="J283" i="13"/>
  <c r="J284" i="13"/>
  <c r="J285" i="13"/>
  <c r="J286" i="13"/>
  <c r="J287" i="13"/>
  <c r="J288" i="13"/>
  <c r="J289" i="13"/>
  <c r="J290" i="13"/>
  <c r="J291" i="13"/>
  <c r="J292" i="13"/>
  <c r="J293" i="13"/>
  <c r="J294" i="13"/>
  <c r="J295" i="13"/>
  <c r="J296" i="13"/>
  <c r="J297" i="13"/>
  <c r="J298" i="13"/>
  <c r="J299" i="13"/>
  <c r="J300" i="13"/>
  <c r="J301" i="13"/>
  <c r="J302" i="13"/>
  <c r="J303" i="13"/>
  <c r="J304" i="13"/>
  <c r="J305" i="13"/>
  <c r="J306" i="13"/>
  <c r="J307" i="13"/>
  <c r="J308" i="13"/>
  <c r="J309" i="13"/>
  <c r="J310" i="13"/>
  <c r="J311" i="13"/>
  <c r="J312" i="13"/>
  <c r="J313" i="13"/>
  <c r="J314" i="13"/>
  <c r="J315" i="13"/>
  <c r="J316" i="13"/>
  <c r="J317" i="13"/>
  <c r="J318" i="13"/>
  <c r="J319" i="13"/>
  <c r="J320" i="13"/>
  <c r="J321" i="13"/>
  <c r="J322" i="13"/>
  <c r="J323" i="13"/>
  <c r="J324" i="13"/>
  <c r="J325" i="13"/>
  <c r="J326" i="13"/>
  <c r="J327" i="13"/>
  <c r="J328" i="13"/>
  <c r="J329" i="13"/>
  <c r="J330" i="13"/>
  <c r="J331" i="13"/>
  <c r="J332" i="13"/>
  <c r="J333" i="13"/>
  <c r="J334" i="13"/>
  <c r="J335" i="13"/>
  <c r="J336" i="13"/>
  <c r="J337" i="13"/>
  <c r="J338" i="13"/>
  <c r="J339" i="13"/>
  <c r="J340" i="13"/>
  <c r="J341" i="13"/>
  <c r="J342" i="13"/>
  <c r="J343" i="13"/>
  <c r="J344" i="13"/>
  <c r="J345" i="13"/>
  <c r="J346" i="13"/>
  <c r="J347" i="13"/>
  <c r="J348" i="13"/>
  <c r="J349" i="13"/>
  <c r="J350" i="13"/>
  <c r="J351" i="13"/>
  <c r="J352" i="13"/>
  <c r="J353" i="13"/>
  <c r="J354" i="13"/>
  <c r="J355" i="13"/>
  <c r="J356" i="13"/>
  <c r="J357" i="13"/>
  <c r="J358" i="13"/>
  <c r="J359" i="13"/>
  <c r="J360" i="13"/>
  <c r="J361" i="13"/>
  <c r="J362" i="13"/>
  <c r="J363" i="13"/>
  <c r="J364" i="13"/>
  <c r="J365" i="13"/>
  <c r="J366" i="13"/>
  <c r="J367" i="13"/>
  <c r="J368" i="13"/>
  <c r="J369" i="13"/>
  <c r="J370" i="13"/>
  <c r="J371" i="13"/>
  <c r="J372" i="13"/>
  <c r="J373" i="13"/>
  <c r="J374" i="13"/>
  <c r="J375" i="13"/>
  <c r="J376" i="13"/>
  <c r="J377" i="13"/>
  <c r="J378" i="13"/>
  <c r="J379" i="13"/>
  <c r="J380" i="13"/>
  <c r="J381" i="13"/>
  <c r="J382" i="13"/>
  <c r="J383" i="13"/>
  <c r="J384" i="13"/>
  <c r="J385" i="13"/>
  <c r="J386" i="13"/>
  <c r="J387" i="13"/>
  <c r="J388" i="13"/>
  <c r="J389" i="13"/>
  <c r="J390" i="13"/>
  <c r="J391" i="13"/>
  <c r="J392" i="13"/>
  <c r="J393" i="13"/>
  <c r="J394" i="13"/>
  <c r="J395" i="13"/>
  <c r="J396" i="13"/>
  <c r="J397" i="13"/>
  <c r="J398" i="13"/>
  <c r="J399" i="13"/>
  <c r="J400" i="13"/>
  <c r="J401" i="13"/>
  <c r="J402" i="13"/>
  <c r="J403" i="13"/>
  <c r="J404" i="13"/>
  <c r="J405" i="13"/>
  <c r="J406" i="13"/>
  <c r="J407" i="13"/>
  <c r="I7" i="23" l="1"/>
  <c r="I5" i="23" l="1"/>
  <c r="J5" i="23" s="1"/>
  <c r="I4" i="23"/>
  <c r="J4" i="23" s="1"/>
  <c r="I3" i="23"/>
  <c r="J3" i="23" s="1"/>
  <c r="J2" i="23"/>
  <c r="J7" i="23"/>
  <c r="J8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6" i="23"/>
  <c r="J27" i="23"/>
  <c r="J28" i="23"/>
  <c r="J29" i="23"/>
  <c r="L29" i="23" s="1"/>
  <c r="L30" i="23" s="1"/>
  <c r="J30" i="23"/>
  <c r="J31" i="23"/>
  <c r="J32" i="23"/>
  <c r="J33" i="23"/>
  <c r="J34" i="23"/>
  <c r="J35" i="23"/>
  <c r="J36" i="23"/>
  <c r="J37" i="23"/>
  <c r="J38" i="23"/>
  <c r="J39" i="23"/>
  <c r="J40" i="23"/>
  <c r="J41" i="23"/>
  <c r="J42" i="23"/>
  <c r="J43" i="23"/>
  <c r="J44" i="23"/>
  <c r="J45" i="23"/>
  <c r="J46" i="23"/>
  <c r="J47" i="23"/>
  <c r="J48" i="23"/>
  <c r="J49" i="23"/>
  <c r="J50" i="23"/>
  <c r="J51" i="23"/>
  <c r="J52" i="23"/>
  <c r="J53" i="23"/>
  <c r="J54" i="23"/>
  <c r="J55" i="23"/>
  <c r="J56" i="23"/>
  <c r="J57" i="23"/>
  <c r="J58" i="23"/>
  <c r="J59" i="23"/>
  <c r="J60" i="23"/>
  <c r="J61" i="23"/>
  <c r="J62" i="23"/>
  <c r="J63" i="23"/>
  <c r="J64" i="23"/>
  <c r="J65" i="23"/>
  <c r="J66" i="23"/>
  <c r="J67" i="23"/>
  <c r="J68" i="23"/>
  <c r="J69" i="23"/>
  <c r="J70" i="23"/>
  <c r="J71" i="23"/>
  <c r="J72" i="23"/>
  <c r="J73" i="23"/>
  <c r="J74" i="23"/>
  <c r="J75" i="23"/>
  <c r="J76" i="23"/>
  <c r="J77" i="23"/>
  <c r="J78" i="23"/>
  <c r="J79" i="23"/>
  <c r="J80" i="23"/>
  <c r="J81" i="23"/>
  <c r="J82" i="23"/>
  <c r="J83" i="23"/>
  <c r="J84" i="23"/>
  <c r="J85" i="23"/>
  <c r="J86" i="23"/>
  <c r="J87" i="23"/>
  <c r="J88" i="23"/>
  <c r="J89" i="23"/>
  <c r="J90" i="23"/>
  <c r="J91" i="23"/>
  <c r="J92" i="23"/>
  <c r="J93" i="23"/>
  <c r="J94" i="23"/>
  <c r="J95" i="23"/>
  <c r="J96" i="23"/>
  <c r="J97" i="23"/>
  <c r="J98" i="23"/>
  <c r="J99" i="23"/>
  <c r="J100" i="23"/>
  <c r="J101" i="23"/>
  <c r="J102" i="23"/>
  <c r="J103" i="23"/>
  <c r="J104" i="23"/>
  <c r="J105" i="23"/>
  <c r="J106" i="23"/>
  <c r="J107" i="23"/>
  <c r="J108" i="23"/>
  <c r="J109" i="23"/>
  <c r="J110" i="23"/>
  <c r="J111" i="23"/>
  <c r="J112" i="23"/>
  <c r="J113" i="23"/>
  <c r="J114" i="23"/>
  <c r="J115" i="23"/>
  <c r="J116" i="23"/>
  <c r="J117" i="23"/>
  <c r="J118" i="23"/>
  <c r="J119" i="23"/>
  <c r="J120" i="23"/>
  <c r="J121" i="23"/>
  <c r="J122" i="23"/>
  <c r="J123" i="23"/>
  <c r="J124" i="23"/>
  <c r="J125" i="23"/>
  <c r="J126" i="23"/>
  <c r="J127" i="23"/>
  <c r="J128" i="23"/>
  <c r="J129" i="23"/>
  <c r="J130" i="23"/>
  <c r="J131" i="23"/>
  <c r="J132" i="23"/>
  <c r="J133" i="23"/>
  <c r="J134" i="23"/>
  <c r="J135" i="23"/>
  <c r="J136" i="23"/>
  <c r="J137" i="23"/>
  <c r="J138" i="23"/>
  <c r="J139" i="23"/>
  <c r="J140" i="23"/>
  <c r="J141" i="23"/>
  <c r="J142" i="23"/>
  <c r="J143" i="23"/>
  <c r="J144" i="23"/>
  <c r="J145" i="23"/>
  <c r="J146" i="23"/>
  <c r="J147" i="23"/>
  <c r="J148" i="23"/>
  <c r="J149" i="23"/>
  <c r="J150" i="23"/>
  <c r="J151" i="23"/>
  <c r="J152" i="23"/>
  <c r="J153" i="23"/>
  <c r="J154" i="23"/>
  <c r="J155" i="23"/>
  <c r="J156" i="23"/>
  <c r="J157" i="23"/>
  <c r="J158" i="23"/>
  <c r="J159" i="23"/>
  <c r="J160" i="23"/>
  <c r="J161" i="23"/>
  <c r="J162" i="23"/>
  <c r="J163" i="23"/>
  <c r="J164" i="23"/>
  <c r="J165" i="23"/>
  <c r="J166" i="23"/>
  <c r="J167" i="23"/>
  <c r="J168" i="23"/>
  <c r="J169" i="23"/>
  <c r="J170" i="23"/>
  <c r="J171" i="23"/>
  <c r="J172" i="23"/>
  <c r="J173" i="23"/>
  <c r="J174" i="23"/>
  <c r="J175" i="23"/>
  <c r="J176" i="23"/>
  <c r="J177" i="23"/>
  <c r="J178" i="23"/>
  <c r="J179" i="23"/>
  <c r="J180" i="23"/>
  <c r="J181" i="23"/>
  <c r="J182" i="23"/>
  <c r="J183" i="23"/>
  <c r="J184" i="23"/>
  <c r="J185" i="23"/>
  <c r="J186" i="23"/>
  <c r="J187" i="23"/>
  <c r="J188" i="23"/>
  <c r="J189" i="23"/>
  <c r="J190" i="23"/>
  <c r="J191" i="23"/>
  <c r="J192" i="23"/>
  <c r="J193" i="23"/>
  <c r="J194" i="23"/>
  <c r="J195" i="23"/>
  <c r="J196" i="23"/>
  <c r="J197" i="23"/>
  <c r="J198" i="23"/>
  <c r="J199" i="23"/>
  <c r="J200" i="23"/>
  <c r="J201" i="23"/>
  <c r="J202" i="23"/>
  <c r="J203" i="23"/>
  <c r="J204" i="23"/>
  <c r="J205" i="23"/>
  <c r="J206" i="23"/>
  <c r="J207" i="23"/>
  <c r="J208" i="23"/>
  <c r="J209" i="23"/>
  <c r="J210" i="23"/>
  <c r="J211" i="23"/>
  <c r="J212" i="23"/>
  <c r="J213" i="23"/>
  <c r="J214" i="23"/>
  <c r="J215" i="23"/>
  <c r="J216" i="23"/>
  <c r="J217" i="23"/>
  <c r="J218" i="23"/>
  <c r="J219" i="23"/>
  <c r="J220" i="23"/>
  <c r="J221" i="23"/>
  <c r="J222" i="23"/>
  <c r="J223" i="23"/>
  <c r="J224" i="23"/>
  <c r="J225" i="23"/>
  <c r="J226" i="23"/>
  <c r="J227" i="23"/>
  <c r="J228" i="23"/>
  <c r="J229" i="23"/>
  <c r="J230" i="23"/>
  <c r="J231" i="23"/>
  <c r="J232" i="23"/>
  <c r="J233" i="23"/>
  <c r="J234" i="23"/>
  <c r="J235" i="23"/>
  <c r="J236" i="23"/>
  <c r="J237" i="23"/>
  <c r="J238" i="23"/>
  <c r="J239" i="23"/>
  <c r="J240" i="23"/>
  <c r="J241" i="23"/>
  <c r="J242" i="23"/>
  <c r="J243" i="23"/>
  <c r="J244" i="23"/>
  <c r="J245" i="23"/>
  <c r="J246" i="23"/>
  <c r="J247" i="23"/>
  <c r="J248" i="23"/>
  <c r="J249" i="23"/>
  <c r="J250" i="23"/>
  <c r="J251" i="23"/>
  <c r="J252" i="23"/>
  <c r="J253" i="23"/>
  <c r="J254" i="23"/>
  <c r="J255" i="23"/>
  <c r="J256" i="23"/>
  <c r="J257" i="23"/>
  <c r="J258" i="23"/>
  <c r="J259" i="23"/>
  <c r="J260" i="23"/>
  <c r="J261" i="23"/>
  <c r="J262" i="23"/>
  <c r="J263" i="23"/>
  <c r="J264" i="23"/>
  <c r="J265" i="23"/>
  <c r="J266" i="23"/>
  <c r="J267" i="23"/>
  <c r="J268" i="23"/>
  <c r="J269" i="23"/>
  <c r="J270" i="23"/>
  <c r="J271" i="23"/>
  <c r="J272" i="23"/>
  <c r="J273" i="23"/>
  <c r="J274" i="23"/>
  <c r="J275" i="23"/>
  <c r="J276" i="23"/>
  <c r="J277" i="23"/>
  <c r="J278" i="23"/>
  <c r="J279" i="23"/>
  <c r="J280" i="23"/>
  <c r="J281" i="23"/>
  <c r="J282" i="23"/>
  <c r="J283" i="23"/>
  <c r="J284" i="23"/>
  <c r="J285" i="23"/>
  <c r="J286" i="23"/>
  <c r="J287" i="23"/>
  <c r="J288" i="23"/>
  <c r="J289" i="23"/>
  <c r="J290" i="23"/>
  <c r="J291" i="23"/>
  <c r="J292" i="23"/>
  <c r="J293" i="23"/>
  <c r="J294" i="23"/>
  <c r="J295" i="23"/>
  <c r="J296" i="23"/>
  <c r="J297" i="23"/>
  <c r="J298" i="23"/>
  <c r="J299" i="23"/>
  <c r="J300" i="23"/>
  <c r="J301" i="23"/>
  <c r="J302" i="23"/>
  <c r="J303" i="23"/>
  <c r="J304" i="23"/>
  <c r="J305" i="23"/>
  <c r="J306" i="23"/>
  <c r="J307" i="23"/>
  <c r="J308" i="23"/>
  <c r="J309" i="23"/>
  <c r="J310" i="23"/>
  <c r="J311" i="23"/>
  <c r="J312" i="23"/>
  <c r="J313" i="23"/>
  <c r="J314" i="23"/>
  <c r="J315" i="23"/>
  <c r="J316" i="23"/>
  <c r="J317" i="23"/>
  <c r="J318" i="23"/>
  <c r="J319" i="23"/>
  <c r="J320" i="23"/>
  <c r="J321" i="23"/>
  <c r="J322" i="23"/>
  <c r="J323" i="23"/>
  <c r="J324" i="23"/>
  <c r="J325" i="23"/>
  <c r="J326" i="23"/>
  <c r="J327" i="23"/>
  <c r="J328" i="23"/>
  <c r="J329" i="23"/>
  <c r="J330" i="23"/>
  <c r="J331" i="23"/>
  <c r="J332" i="23"/>
  <c r="J333" i="23"/>
  <c r="J334" i="23"/>
  <c r="J335" i="23"/>
  <c r="J336" i="23"/>
  <c r="J337" i="23"/>
  <c r="J338" i="23"/>
  <c r="J339" i="23"/>
  <c r="J340" i="23"/>
  <c r="L31" i="23" l="1"/>
  <c r="M18" i="23"/>
  <c r="J15" i="59"/>
  <c r="J13" i="59" l="1"/>
  <c r="J12" i="59"/>
  <c r="K12" i="59" s="1"/>
  <c r="K2" i="59"/>
  <c r="K16" i="59"/>
  <c r="K17" i="59"/>
  <c r="K18" i="59"/>
  <c r="K19" i="59"/>
  <c r="K20" i="59"/>
  <c r="K21" i="59"/>
  <c r="K22" i="59"/>
  <c r="K25" i="59"/>
  <c r="K26" i="59"/>
  <c r="K28" i="59"/>
  <c r="K29" i="59"/>
  <c r="K30" i="59"/>
  <c r="K31" i="59"/>
  <c r="K32" i="59"/>
  <c r="K33" i="59"/>
  <c r="K35" i="59"/>
  <c r="K36" i="59"/>
  <c r="K38" i="59"/>
  <c r="K39" i="59"/>
  <c r="K40" i="59"/>
  <c r="K41" i="59"/>
  <c r="K44" i="59"/>
  <c r="K45" i="59"/>
  <c r="K48" i="59"/>
  <c r="K49" i="59"/>
  <c r="K52" i="59"/>
  <c r="K53" i="59"/>
  <c r="K55" i="59"/>
  <c r="K56" i="59"/>
  <c r="K57" i="59"/>
  <c r="K58" i="59"/>
  <c r="K60" i="59"/>
  <c r="K61" i="59"/>
  <c r="K62" i="59"/>
  <c r="K63" i="59"/>
  <c r="K65" i="59"/>
  <c r="K66" i="59"/>
  <c r="K67" i="59"/>
  <c r="K69" i="59"/>
  <c r="K70" i="59"/>
  <c r="K72" i="59"/>
  <c r="K73" i="59"/>
  <c r="K74" i="59"/>
  <c r="K75" i="59"/>
  <c r="K76" i="59"/>
  <c r="K77" i="59"/>
  <c r="K78" i="59"/>
  <c r="K79" i="59"/>
  <c r="K80" i="59"/>
  <c r="K81" i="59"/>
  <c r="K82" i="59"/>
  <c r="K86" i="59"/>
  <c r="K87" i="59"/>
  <c r="K88" i="59"/>
  <c r="K89" i="59"/>
  <c r="K90" i="59"/>
  <c r="K91" i="59"/>
  <c r="K92" i="59"/>
  <c r="K93" i="59"/>
  <c r="K94" i="59"/>
  <c r="K95" i="59"/>
  <c r="K96" i="59"/>
  <c r="K97" i="59"/>
  <c r="K98" i="59"/>
  <c r="K99" i="59"/>
  <c r="K100" i="59"/>
  <c r="K101" i="59"/>
  <c r="K102" i="59"/>
  <c r="K103" i="59"/>
  <c r="K104" i="59"/>
  <c r="K105" i="59"/>
  <c r="K106" i="59"/>
  <c r="K107" i="59"/>
  <c r="K108" i="59"/>
  <c r="K109" i="59"/>
  <c r="K110" i="59"/>
  <c r="K111" i="59"/>
  <c r="K112" i="59"/>
  <c r="K113" i="59"/>
  <c r="K114" i="59"/>
  <c r="K115" i="59"/>
  <c r="K116" i="59"/>
  <c r="K117" i="59"/>
  <c r="K118" i="59"/>
  <c r="K119" i="59"/>
  <c r="K120" i="59"/>
  <c r="K121" i="59"/>
  <c r="K122" i="59"/>
  <c r="K123" i="59"/>
  <c r="K124" i="59"/>
  <c r="K125" i="59"/>
  <c r="K126" i="59"/>
  <c r="K127" i="59"/>
  <c r="K128" i="59"/>
  <c r="K129" i="59"/>
  <c r="K130" i="59"/>
  <c r="K131" i="59"/>
  <c r="K132" i="59"/>
  <c r="K133" i="59"/>
  <c r="K134" i="59"/>
  <c r="K135" i="59"/>
  <c r="K136" i="59"/>
  <c r="K137" i="59"/>
  <c r="K138" i="59"/>
  <c r="K139" i="59"/>
  <c r="K140" i="59"/>
  <c r="K141" i="59"/>
  <c r="K142" i="59"/>
  <c r="K143" i="59"/>
  <c r="K144" i="59"/>
  <c r="K145" i="59"/>
  <c r="K146" i="59"/>
  <c r="K147" i="59"/>
  <c r="K148" i="59"/>
  <c r="K149" i="59"/>
  <c r="K150" i="59"/>
  <c r="K151" i="59"/>
  <c r="K152" i="59"/>
  <c r="K153" i="59"/>
  <c r="K154" i="59"/>
  <c r="K155" i="59"/>
  <c r="K156" i="59"/>
  <c r="K157" i="59"/>
  <c r="K158" i="59"/>
  <c r="K159" i="59"/>
  <c r="K160" i="59"/>
  <c r="K161" i="59"/>
  <c r="K162" i="59"/>
  <c r="K163" i="59"/>
  <c r="K164" i="59"/>
  <c r="K165" i="59"/>
  <c r="K166" i="59"/>
  <c r="K167" i="59"/>
  <c r="K168" i="59"/>
  <c r="K169" i="59"/>
  <c r="K170" i="59"/>
  <c r="K171" i="59"/>
  <c r="K172" i="59"/>
  <c r="K173" i="59"/>
  <c r="K174" i="59"/>
  <c r="K175" i="59"/>
  <c r="K176" i="59"/>
  <c r="K177" i="59"/>
  <c r="K178" i="59"/>
  <c r="K179" i="59"/>
  <c r="K180" i="59"/>
  <c r="K181" i="59"/>
  <c r="K182" i="59"/>
  <c r="K183" i="59"/>
  <c r="K184" i="59"/>
  <c r="K185" i="59"/>
  <c r="K186" i="59"/>
  <c r="K187" i="59"/>
  <c r="K188" i="59"/>
  <c r="K189" i="59"/>
  <c r="K190" i="59"/>
  <c r="K191" i="59"/>
  <c r="K192" i="59"/>
  <c r="K193" i="59"/>
  <c r="K194" i="59"/>
  <c r="K195" i="59"/>
  <c r="K196" i="59"/>
  <c r="K197" i="59"/>
  <c r="K198" i="59"/>
  <c r="K199" i="59"/>
  <c r="K200" i="59"/>
  <c r="K201" i="59"/>
  <c r="K202" i="59"/>
  <c r="K203" i="59"/>
  <c r="K204" i="59"/>
  <c r="K205" i="59"/>
  <c r="K206" i="59"/>
  <c r="K207" i="59"/>
  <c r="K208" i="59"/>
  <c r="K209" i="59"/>
  <c r="K210" i="59"/>
  <c r="K211" i="59"/>
  <c r="K212" i="59"/>
  <c r="K213" i="59"/>
  <c r="K214" i="59"/>
  <c r="K215" i="59"/>
  <c r="K216" i="59"/>
  <c r="K217" i="59"/>
  <c r="K218" i="59"/>
  <c r="K219" i="59"/>
  <c r="K220" i="59"/>
  <c r="K221" i="59"/>
  <c r="K222" i="59"/>
  <c r="K223" i="59"/>
  <c r="K224" i="59"/>
  <c r="K225" i="59"/>
  <c r="K226" i="59"/>
  <c r="K227" i="59"/>
  <c r="K228" i="59"/>
  <c r="K229" i="59"/>
  <c r="K230" i="59"/>
  <c r="K231" i="59"/>
  <c r="K232" i="59"/>
  <c r="K233" i="59"/>
  <c r="K234" i="59"/>
  <c r="K235" i="59"/>
  <c r="K236" i="59"/>
  <c r="K237" i="59"/>
  <c r="K238" i="59"/>
  <c r="K239" i="59"/>
  <c r="K240" i="59"/>
  <c r="K241" i="59"/>
  <c r="K242" i="59"/>
  <c r="K243" i="59"/>
  <c r="K244" i="59"/>
  <c r="K245" i="59"/>
  <c r="K246" i="59"/>
  <c r="K247" i="59"/>
  <c r="K248" i="59"/>
  <c r="K249" i="59"/>
  <c r="K250" i="59"/>
  <c r="K251" i="59"/>
  <c r="K252" i="59"/>
  <c r="K253" i="59"/>
  <c r="K254" i="59"/>
  <c r="K255" i="59"/>
  <c r="K256" i="59"/>
  <c r="K257" i="59"/>
  <c r="K258" i="59"/>
  <c r="K259" i="59"/>
  <c r="K260" i="59"/>
  <c r="K261" i="59"/>
  <c r="K262" i="59"/>
  <c r="K263" i="59"/>
  <c r="K264" i="59"/>
  <c r="K265" i="59"/>
  <c r="K266" i="59"/>
  <c r="K267" i="59"/>
  <c r="K268" i="59"/>
  <c r="K269" i="59"/>
  <c r="K270" i="59"/>
  <c r="K271" i="59"/>
  <c r="K272" i="59"/>
  <c r="K273" i="59"/>
  <c r="K274" i="59"/>
  <c r="K275" i="59"/>
  <c r="K276" i="59"/>
  <c r="K277" i="59"/>
  <c r="K278" i="59"/>
  <c r="K279" i="59"/>
  <c r="K280" i="59"/>
  <c r="K281" i="59"/>
  <c r="K282" i="59"/>
  <c r="K283" i="59"/>
  <c r="K284" i="59"/>
  <c r="K285" i="59"/>
  <c r="K286" i="59"/>
  <c r="K287" i="59"/>
  <c r="K288" i="59"/>
  <c r="K289" i="59"/>
  <c r="K290" i="59"/>
  <c r="K291" i="59"/>
  <c r="K292" i="59"/>
  <c r="K293" i="59"/>
  <c r="K294" i="59"/>
  <c r="K295" i="59"/>
  <c r="K296" i="59"/>
  <c r="K297" i="59"/>
  <c r="K298" i="59"/>
  <c r="K299" i="59"/>
  <c r="K300" i="59"/>
  <c r="K301" i="59"/>
  <c r="K302" i="59"/>
  <c r="K303" i="59"/>
  <c r="K304" i="59"/>
  <c r="K305" i="59"/>
  <c r="K306" i="59"/>
  <c r="K307" i="59"/>
  <c r="K308" i="59"/>
  <c r="K309" i="59"/>
  <c r="K310" i="59"/>
  <c r="K311" i="59"/>
  <c r="K312" i="59"/>
  <c r="K313" i="59"/>
  <c r="K314" i="59"/>
  <c r="K315" i="59"/>
  <c r="K316" i="59"/>
  <c r="K317" i="59"/>
  <c r="K318" i="59"/>
  <c r="K319" i="59"/>
  <c r="K320" i="59"/>
  <c r="K321" i="59"/>
  <c r="K322" i="59"/>
  <c r="K323" i="59"/>
  <c r="K324" i="59"/>
  <c r="K325" i="59"/>
  <c r="K326" i="59"/>
  <c r="K327" i="59"/>
  <c r="K328" i="59"/>
  <c r="K329" i="59"/>
  <c r="K330" i="59"/>
  <c r="K331" i="59"/>
  <c r="K332" i="59"/>
  <c r="K333" i="59"/>
  <c r="K334" i="59"/>
  <c r="K335" i="59"/>
  <c r="K336" i="59"/>
  <c r="K337" i="59"/>
  <c r="K338" i="59"/>
  <c r="K339" i="59"/>
  <c r="K340" i="59"/>
  <c r="K341" i="59"/>
  <c r="K342" i="59"/>
  <c r="K343" i="59"/>
  <c r="K344" i="59"/>
  <c r="K345" i="59"/>
  <c r="K346" i="59"/>
  <c r="K347" i="59"/>
  <c r="K348" i="59"/>
  <c r="K349" i="59"/>
  <c r="K350" i="59"/>
  <c r="K351" i="59"/>
  <c r="K352" i="59"/>
  <c r="K353" i="59"/>
  <c r="K354" i="59"/>
  <c r="K355" i="59"/>
  <c r="K356" i="59"/>
  <c r="K357" i="59"/>
  <c r="K358" i="59"/>
  <c r="K359" i="59"/>
  <c r="K360" i="59"/>
  <c r="K361" i="59"/>
  <c r="K362" i="59"/>
  <c r="K363" i="59"/>
  <c r="K364" i="59"/>
  <c r="K365" i="59"/>
  <c r="K366" i="59"/>
  <c r="K367" i="59"/>
  <c r="K368" i="59"/>
  <c r="K369" i="59"/>
  <c r="K370" i="59"/>
  <c r="K371" i="59"/>
  <c r="K372" i="59"/>
  <c r="K373" i="59"/>
  <c r="K374" i="59"/>
  <c r="K375" i="59"/>
  <c r="H15" i="59"/>
  <c r="K15" i="59" s="1"/>
  <c r="H13" i="59"/>
  <c r="J11" i="59"/>
  <c r="H11" i="59"/>
  <c r="J9" i="59"/>
  <c r="K9" i="59" s="1"/>
  <c r="K11" i="59" l="1"/>
  <c r="K13" i="59"/>
  <c r="H3" i="43"/>
  <c r="I3" i="43" s="1"/>
  <c r="I328" i="43"/>
  <c r="I330" i="43"/>
  <c r="I336" i="43"/>
  <c r="I338" i="43"/>
  <c r="I344" i="43"/>
  <c r="I346" i="43"/>
  <c r="I352" i="43"/>
  <c r="I354" i="43"/>
  <c r="I360" i="43"/>
  <c r="I362" i="43"/>
  <c r="I327" i="43"/>
  <c r="I329" i="43"/>
  <c r="I331" i="43"/>
  <c r="I332" i="43"/>
  <c r="I333" i="43"/>
  <c r="I334" i="43"/>
  <c r="I335" i="43"/>
  <c r="I337" i="43"/>
  <c r="I339" i="43"/>
  <c r="I340" i="43"/>
  <c r="I341" i="43"/>
  <c r="I342" i="43"/>
  <c r="I343" i="43"/>
  <c r="I345" i="43"/>
  <c r="I347" i="43"/>
  <c r="I348" i="43"/>
  <c r="I349" i="43"/>
  <c r="I350" i="43"/>
  <c r="I351" i="43"/>
  <c r="I353" i="43"/>
  <c r="I355" i="43"/>
  <c r="I356" i="43"/>
  <c r="I357" i="43"/>
  <c r="I358" i="43"/>
  <c r="I359" i="43"/>
  <c r="I361" i="43"/>
  <c r="I363" i="43"/>
  <c r="I364" i="43"/>
  <c r="J6" i="4" l="1"/>
  <c r="J5" i="4"/>
  <c r="H6" i="4"/>
  <c r="H5" i="4"/>
  <c r="J2" i="36" l="1"/>
  <c r="K2" i="36" l="1"/>
  <c r="M2" i="36" s="1"/>
  <c r="K3" i="36"/>
  <c r="K5" i="36"/>
  <c r="K6" i="36"/>
  <c r="K8" i="36"/>
  <c r="K9" i="36"/>
  <c r="K10" i="36"/>
  <c r="K12" i="36"/>
  <c r="K13" i="36"/>
  <c r="K14" i="36"/>
  <c r="K15" i="36"/>
  <c r="K16" i="36"/>
  <c r="K17" i="36"/>
  <c r="K18" i="36"/>
  <c r="K19" i="36"/>
  <c r="K22" i="36"/>
  <c r="K23" i="36"/>
  <c r="K25" i="36"/>
  <c r="K26" i="36"/>
  <c r="K29" i="36"/>
  <c r="K30" i="36"/>
  <c r="K32" i="36"/>
  <c r="K33" i="36"/>
  <c r="K34" i="36"/>
  <c r="K35" i="36"/>
  <c r="K36" i="36"/>
  <c r="K37" i="36"/>
  <c r="K38" i="36"/>
  <c r="K39" i="36"/>
  <c r="K40" i="36"/>
  <c r="K41" i="36"/>
  <c r="K42" i="36"/>
  <c r="K43" i="36"/>
  <c r="K44" i="36"/>
  <c r="K45" i="36"/>
  <c r="K46" i="36"/>
  <c r="K47" i="36"/>
  <c r="K48" i="36"/>
  <c r="K49" i="36"/>
  <c r="K50" i="36"/>
  <c r="K51" i="36"/>
  <c r="K52" i="36"/>
  <c r="K53" i="36"/>
  <c r="K54" i="36"/>
  <c r="K55" i="36"/>
  <c r="K56" i="36"/>
  <c r="K57" i="36"/>
  <c r="K58" i="36"/>
  <c r="K59" i="36"/>
  <c r="K60" i="36"/>
  <c r="K61" i="36"/>
  <c r="K62" i="36"/>
  <c r="K63" i="36"/>
  <c r="K64" i="36"/>
  <c r="K65" i="36"/>
  <c r="K66" i="36"/>
  <c r="K67" i="36"/>
  <c r="K68" i="36"/>
  <c r="K69" i="36"/>
  <c r="K70" i="36"/>
  <c r="K71" i="36"/>
  <c r="K72" i="36"/>
  <c r="K73" i="36"/>
  <c r="K74" i="36"/>
  <c r="K75" i="36"/>
  <c r="K76" i="36"/>
  <c r="K77" i="36"/>
  <c r="K78" i="36"/>
  <c r="K79" i="36"/>
  <c r="K80" i="36"/>
  <c r="K81" i="36"/>
  <c r="K82" i="36"/>
  <c r="K83" i="36"/>
  <c r="K84" i="36"/>
  <c r="K85" i="36"/>
  <c r="K86" i="36"/>
  <c r="K87" i="36"/>
  <c r="K88" i="36"/>
  <c r="K89" i="36"/>
  <c r="K90" i="36"/>
  <c r="K91" i="36"/>
  <c r="K92" i="36"/>
  <c r="K93" i="36"/>
  <c r="K94" i="36"/>
  <c r="K95" i="36"/>
  <c r="K96" i="36"/>
  <c r="K97" i="36"/>
  <c r="K98" i="36"/>
  <c r="K99" i="36"/>
  <c r="K100" i="36"/>
  <c r="K101" i="36"/>
  <c r="K102" i="36"/>
  <c r="K103" i="36"/>
  <c r="K104" i="36"/>
  <c r="K105" i="36"/>
  <c r="K106" i="36"/>
  <c r="K107" i="36"/>
  <c r="K108" i="36"/>
  <c r="K109" i="36"/>
  <c r="K110" i="36"/>
  <c r="K111" i="36"/>
  <c r="K112" i="36"/>
  <c r="K113" i="36"/>
  <c r="K114" i="36"/>
  <c r="K115" i="36"/>
  <c r="K116" i="36"/>
  <c r="K117" i="36"/>
  <c r="K118" i="36"/>
  <c r="K119" i="36"/>
  <c r="K120" i="36"/>
  <c r="K121" i="36"/>
  <c r="K122" i="36"/>
  <c r="K123" i="36"/>
  <c r="K124" i="36"/>
  <c r="K125" i="36"/>
  <c r="K126" i="36"/>
  <c r="K127" i="36"/>
  <c r="K128" i="36"/>
  <c r="K129" i="36"/>
  <c r="K130" i="36"/>
  <c r="K131" i="36"/>
  <c r="K132" i="36"/>
  <c r="K133" i="36"/>
  <c r="K134" i="36"/>
  <c r="K135" i="36"/>
  <c r="K136" i="36"/>
  <c r="K137" i="36"/>
  <c r="K138" i="36"/>
  <c r="K139" i="36"/>
  <c r="K140" i="36"/>
  <c r="K141" i="36"/>
  <c r="K142" i="36"/>
  <c r="K143" i="36"/>
  <c r="K144" i="36"/>
  <c r="K145" i="36"/>
  <c r="K146" i="36"/>
  <c r="K147" i="36"/>
  <c r="K148" i="36"/>
  <c r="K149" i="36"/>
  <c r="K150" i="36"/>
  <c r="K151" i="36"/>
  <c r="K152" i="36"/>
  <c r="K153" i="36"/>
  <c r="K154" i="36"/>
  <c r="K155" i="36"/>
  <c r="K156" i="36"/>
  <c r="K157" i="36"/>
  <c r="K158" i="36"/>
  <c r="K159" i="36"/>
  <c r="K160" i="36"/>
  <c r="K161" i="36"/>
  <c r="K162" i="36"/>
  <c r="K163" i="36"/>
  <c r="K164" i="36"/>
  <c r="K165" i="36"/>
  <c r="K166" i="36"/>
  <c r="K167" i="36"/>
  <c r="K168" i="36"/>
  <c r="K169" i="36"/>
  <c r="K170" i="36"/>
  <c r="K171" i="36"/>
  <c r="K172" i="36"/>
  <c r="K173" i="36"/>
  <c r="K174" i="36"/>
  <c r="K175" i="36"/>
  <c r="K176" i="36"/>
  <c r="K177" i="36"/>
  <c r="K178" i="36"/>
  <c r="K179" i="36"/>
  <c r="K180" i="36"/>
  <c r="K181" i="36"/>
  <c r="K182" i="36"/>
  <c r="K183" i="36"/>
  <c r="K184" i="36"/>
  <c r="K185" i="36"/>
  <c r="K186" i="36"/>
  <c r="K187" i="36"/>
  <c r="K188" i="36"/>
  <c r="K189" i="36"/>
  <c r="K190" i="36"/>
  <c r="K191" i="36"/>
  <c r="K192" i="36"/>
  <c r="K193" i="36"/>
  <c r="K194" i="36"/>
  <c r="K195" i="36"/>
  <c r="K196" i="36"/>
  <c r="K197" i="36"/>
  <c r="K198" i="36"/>
  <c r="K199" i="36"/>
  <c r="K200" i="36"/>
  <c r="K201" i="36"/>
  <c r="K202" i="36"/>
  <c r="K203" i="36"/>
  <c r="K204" i="36"/>
  <c r="K205" i="36"/>
  <c r="K206" i="36"/>
  <c r="K207" i="36"/>
  <c r="K208" i="36"/>
  <c r="K209" i="36"/>
  <c r="K210" i="36"/>
  <c r="K211" i="36"/>
  <c r="K212" i="36"/>
  <c r="K213" i="36"/>
  <c r="K214" i="36"/>
  <c r="K215" i="36"/>
  <c r="K216" i="36"/>
  <c r="K217" i="36"/>
  <c r="K218" i="36"/>
  <c r="K219" i="36"/>
  <c r="K220" i="36"/>
  <c r="K221" i="36"/>
  <c r="K222" i="36"/>
  <c r="K223" i="36"/>
  <c r="K224" i="36"/>
  <c r="K225" i="36"/>
  <c r="K226" i="36"/>
  <c r="K227" i="36"/>
  <c r="K228" i="36"/>
  <c r="K229" i="36"/>
  <c r="K230" i="36"/>
  <c r="K231" i="36"/>
  <c r="K232" i="36"/>
  <c r="K233" i="36"/>
  <c r="K234" i="36"/>
  <c r="K235" i="36"/>
  <c r="K236" i="36"/>
  <c r="K237" i="36"/>
  <c r="K238" i="36"/>
  <c r="K239" i="36"/>
  <c r="K240" i="36"/>
  <c r="K241" i="36"/>
  <c r="K242" i="36"/>
  <c r="K243" i="36"/>
  <c r="K244" i="36"/>
  <c r="K245" i="36"/>
  <c r="K246" i="36"/>
  <c r="K247" i="36"/>
  <c r="K248" i="36"/>
  <c r="K249" i="36"/>
  <c r="K250" i="36"/>
  <c r="K251" i="36"/>
  <c r="K252" i="36"/>
  <c r="K253" i="36"/>
  <c r="K254" i="36"/>
  <c r="K255" i="36"/>
  <c r="K256" i="36"/>
  <c r="K257" i="36"/>
  <c r="K258" i="36"/>
  <c r="K259" i="36"/>
  <c r="K260" i="36"/>
  <c r="K261" i="36"/>
  <c r="K262" i="36"/>
  <c r="K263" i="36"/>
  <c r="K264" i="36"/>
  <c r="K265" i="36"/>
  <c r="K266" i="36"/>
  <c r="K267" i="36"/>
  <c r="K268" i="36"/>
  <c r="K269" i="36"/>
  <c r="K270" i="36"/>
  <c r="K271" i="36"/>
  <c r="K272" i="36"/>
  <c r="K273" i="36"/>
  <c r="K274" i="36"/>
  <c r="K275" i="36"/>
  <c r="K276" i="36"/>
  <c r="K277" i="36"/>
  <c r="K278" i="36"/>
  <c r="K279" i="36"/>
  <c r="K280" i="36"/>
  <c r="K281" i="36"/>
  <c r="K282" i="36"/>
  <c r="K283" i="36"/>
  <c r="K284" i="36"/>
  <c r="K285" i="36"/>
  <c r="K286" i="36"/>
  <c r="K287" i="36"/>
  <c r="K288" i="36"/>
  <c r="K289" i="36"/>
  <c r="K290" i="36"/>
  <c r="K291" i="36"/>
  <c r="K292" i="36"/>
  <c r="K293" i="36"/>
  <c r="K294" i="36"/>
  <c r="K295" i="36"/>
  <c r="K296" i="36"/>
  <c r="K297" i="36"/>
  <c r="K298" i="36"/>
  <c r="K299" i="36"/>
  <c r="K300" i="36"/>
  <c r="K301" i="36"/>
  <c r="K302" i="36"/>
  <c r="K303" i="36"/>
  <c r="K304" i="36"/>
  <c r="K305" i="36"/>
  <c r="K306" i="36"/>
  <c r="K307" i="36"/>
  <c r="K308" i="36"/>
  <c r="K309" i="36"/>
  <c r="K310" i="36"/>
  <c r="K311" i="36"/>
  <c r="K312" i="36"/>
  <c r="K313" i="36"/>
  <c r="K314" i="36"/>
  <c r="K315" i="36"/>
  <c r="K316" i="36"/>
  <c r="K317" i="36"/>
  <c r="K318" i="36"/>
  <c r="K319" i="36"/>
  <c r="K320" i="36"/>
  <c r="K321" i="36"/>
  <c r="K322" i="36"/>
  <c r="K323" i="36"/>
  <c r="K324" i="36"/>
  <c r="K325" i="36"/>
  <c r="K326" i="36"/>
  <c r="K327" i="36"/>
  <c r="K328" i="36"/>
  <c r="K329" i="36"/>
  <c r="K330" i="36"/>
  <c r="K331" i="36"/>
  <c r="K332" i="36"/>
  <c r="K333" i="36"/>
  <c r="K334" i="36"/>
  <c r="K335" i="36"/>
  <c r="K336" i="36"/>
  <c r="K337" i="36"/>
  <c r="K338" i="36"/>
  <c r="K339" i="36"/>
  <c r="K340" i="36"/>
  <c r="K341" i="36"/>
  <c r="K342" i="36"/>
  <c r="K343" i="36"/>
  <c r="K344" i="36"/>
  <c r="K345" i="36"/>
  <c r="K346" i="36"/>
  <c r="K347" i="36"/>
  <c r="J7" i="78"/>
  <c r="J6" i="78"/>
  <c r="G6" i="78"/>
  <c r="N12" i="36" l="1"/>
  <c r="K3" i="73"/>
  <c r="J7" i="46"/>
  <c r="H7" i="46"/>
  <c r="J8" i="59" l="1"/>
  <c r="K8" i="59" s="1"/>
  <c r="J3" i="84"/>
  <c r="J4" i="83"/>
  <c r="J3" i="83"/>
  <c r="K2" i="83"/>
  <c r="K7" i="83"/>
  <c r="K9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39" i="83"/>
  <c r="K40" i="83"/>
  <c r="K41" i="83"/>
  <c r="K42" i="83"/>
  <c r="K43" i="83"/>
  <c r="K44" i="83"/>
  <c r="K45" i="83"/>
  <c r="K46" i="83"/>
  <c r="K47" i="83"/>
  <c r="K48" i="83"/>
  <c r="K49" i="83"/>
  <c r="K50" i="83"/>
  <c r="K51" i="83"/>
  <c r="K52" i="83"/>
  <c r="K53" i="83"/>
  <c r="K54" i="83"/>
  <c r="K55" i="83"/>
  <c r="K56" i="83"/>
  <c r="K57" i="83"/>
  <c r="K58" i="83"/>
  <c r="K59" i="83"/>
  <c r="K60" i="83"/>
  <c r="K61" i="83"/>
  <c r="K62" i="83"/>
  <c r="K63" i="83"/>
  <c r="K64" i="83"/>
  <c r="K65" i="83"/>
  <c r="K66" i="83"/>
  <c r="K67" i="83"/>
  <c r="K68" i="83"/>
  <c r="K69" i="83"/>
  <c r="K70" i="83"/>
  <c r="K71" i="83"/>
  <c r="K72" i="83"/>
  <c r="K73" i="83"/>
  <c r="K74" i="83"/>
  <c r="K75" i="83"/>
  <c r="K76" i="83"/>
  <c r="K77" i="83"/>
  <c r="K78" i="83"/>
  <c r="K79" i="83"/>
  <c r="K80" i="83"/>
  <c r="K81" i="83"/>
  <c r="K82" i="83"/>
  <c r="K83" i="83"/>
  <c r="K84" i="83"/>
  <c r="K85" i="83"/>
  <c r="K86" i="83"/>
  <c r="K87" i="83"/>
  <c r="K88" i="83"/>
  <c r="K89" i="83"/>
  <c r="K90" i="83"/>
  <c r="K91" i="83"/>
  <c r="K92" i="83"/>
  <c r="K93" i="83"/>
  <c r="K94" i="83"/>
  <c r="K95" i="83"/>
  <c r="K96" i="83"/>
  <c r="K97" i="83"/>
  <c r="K98" i="83"/>
  <c r="K99" i="83"/>
  <c r="K100" i="83"/>
  <c r="K101" i="83"/>
  <c r="K102" i="83"/>
  <c r="K103" i="83"/>
  <c r="K104" i="83"/>
  <c r="K105" i="83"/>
  <c r="K106" i="83"/>
  <c r="K107" i="83"/>
  <c r="K108" i="83"/>
  <c r="K109" i="83"/>
  <c r="K110" i="83"/>
  <c r="K111" i="83"/>
  <c r="K112" i="83"/>
  <c r="K113" i="83"/>
  <c r="K114" i="83"/>
  <c r="K115" i="83"/>
  <c r="K116" i="83"/>
  <c r="K117" i="83"/>
  <c r="K118" i="83"/>
  <c r="K119" i="83"/>
  <c r="K120" i="83"/>
  <c r="K121" i="83"/>
  <c r="K122" i="83"/>
  <c r="K123" i="83"/>
  <c r="K124" i="83"/>
  <c r="K125" i="83"/>
  <c r="K126" i="83"/>
  <c r="K127" i="83"/>
  <c r="K128" i="83"/>
  <c r="K129" i="83"/>
  <c r="K130" i="83"/>
  <c r="K131" i="83"/>
  <c r="K132" i="83"/>
  <c r="K133" i="83"/>
  <c r="K134" i="83"/>
  <c r="K135" i="83"/>
  <c r="K136" i="83"/>
  <c r="K137" i="83"/>
  <c r="K138" i="83"/>
  <c r="K139" i="83"/>
  <c r="K140" i="83"/>
  <c r="K141" i="83"/>
  <c r="K142" i="83"/>
  <c r="K143" i="83"/>
  <c r="K144" i="83"/>
  <c r="K145" i="83"/>
  <c r="K146" i="83"/>
  <c r="K147" i="83"/>
  <c r="K148" i="83"/>
  <c r="K149" i="83"/>
  <c r="K150" i="83"/>
  <c r="K151" i="83"/>
  <c r="K152" i="83"/>
  <c r="K153" i="83"/>
  <c r="K154" i="83"/>
  <c r="K155" i="83"/>
  <c r="K156" i="83"/>
  <c r="K157" i="83"/>
  <c r="K158" i="83"/>
  <c r="K159" i="83"/>
  <c r="K160" i="83"/>
  <c r="K161" i="83"/>
  <c r="K162" i="83"/>
  <c r="K163" i="83"/>
  <c r="K164" i="83"/>
  <c r="K165" i="83"/>
  <c r="K166" i="83"/>
  <c r="K167" i="83"/>
  <c r="K168" i="83"/>
  <c r="K169" i="83"/>
  <c r="K170" i="83"/>
  <c r="K171" i="83"/>
  <c r="K172" i="83"/>
  <c r="K173" i="83"/>
  <c r="K174" i="83"/>
  <c r="K175" i="83"/>
  <c r="K176" i="83"/>
  <c r="K177" i="83"/>
  <c r="K178" i="83"/>
  <c r="K179" i="83"/>
  <c r="K180" i="83"/>
  <c r="K181" i="83"/>
  <c r="K182" i="83"/>
  <c r="K183" i="83"/>
  <c r="K184" i="83"/>
  <c r="K185" i="83"/>
  <c r="K186" i="83"/>
  <c r="K187" i="83"/>
  <c r="K188" i="83"/>
  <c r="K189" i="83"/>
  <c r="K190" i="83"/>
  <c r="K191" i="83"/>
  <c r="K192" i="83"/>
  <c r="K193" i="83"/>
  <c r="K194" i="83"/>
  <c r="K195" i="83"/>
  <c r="K196" i="83"/>
  <c r="K197" i="83"/>
  <c r="K198" i="83"/>
  <c r="K199" i="83"/>
  <c r="K200" i="83"/>
  <c r="K201" i="83"/>
  <c r="K202" i="83"/>
  <c r="K203" i="83"/>
  <c r="K204" i="83"/>
  <c r="K205" i="83"/>
  <c r="K206" i="83"/>
  <c r="K207" i="83"/>
  <c r="K208" i="83"/>
  <c r="K209" i="83"/>
  <c r="K210" i="83"/>
  <c r="K211" i="83"/>
  <c r="K212" i="83"/>
  <c r="K213" i="83"/>
  <c r="K214" i="83"/>
  <c r="K215" i="83"/>
  <c r="K216" i="83"/>
  <c r="K217" i="83"/>
  <c r="K218" i="83"/>
  <c r="K219" i="83"/>
  <c r="K220" i="83"/>
  <c r="K221" i="83"/>
  <c r="K222" i="83"/>
  <c r="K223" i="83"/>
  <c r="K224" i="83"/>
  <c r="K225" i="83"/>
  <c r="K226" i="83"/>
  <c r="K227" i="83"/>
  <c r="K228" i="83"/>
  <c r="K229" i="83"/>
  <c r="K230" i="83"/>
  <c r="K231" i="83"/>
  <c r="K232" i="83"/>
  <c r="K233" i="83"/>
  <c r="K234" i="83"/>
  <c r="K235" i="83"/>
  <c r="K236" i="83"/>
  <c r="K237" i="83"/>
  <c r="K238" i="83"/>
  <c r="K239" i="83"/>
  <c r="K240" i="83"/>
  <c r="K241" i="83"/>
  <c r="K242" i="83"/>
  <c r="K243" i="83"/>
  <c r="K244" i="83"/>
  <c r="K245" i="83"/>
  <c r="K246" i="83"/>
  <c r="K247" i="83"/>
  <c r="K248" i="83"/>
  <c r="K249" i="83"/>
  <c r="K250" i="83"/>
  <c r="K251" i="83"/>
  <c r="K252" i="83"/>
  <c r="K253" i="83"/>
  <c r="K254" i="83"/>
  <c r="K255" i="83"/>
  <c r="K256" i="83"/>
  <c r="K257" i="83"/>
  <c r="K258" i="83"/>
  <c r="K259" i="83"/>
  <c r="K260" i="83"/>
  <c r="K261" i="83"/>
  <c r="K262" i="83"/>
  <c r="K263" i="83"/>
  <c r="K264" i="83"/>
  <c r="K265" i="83"/>
  <c r="K266" i="83"/>
  <c r="K267" i="83"/>
  <c r="K268" i="83"/>
  <c r="K269" i="83"/>
  <c r="K270" i="83"/>
  <c r="K271" i="83"/>
  <c r="K272" i="83"/>
  <c r="K273" i="83"/>
  <c r="K274" i="83"/>
  <c r="K275" i="83"/>
  <c r="K276" i="83"/>
  <c r="K277" i="83"/>
  <c r="K278" i="83"/>
  <c r="K279" i="83"/>
  <c r="K280" i="83"/>
  <c r="K281" i="83"/>
  <c r="K282" i="83"/>
  <c r="K283" i="83"/>
  <c r="K284" i="83"/>
  <c r="K285" i="83"/>
  <c r="K286" i="83"/>
  <c r="K287" i="83"/>
  <c r="K288" i="83"/>
  <c r="K289" i="83"/>
  <c r="K290" i="83"/>
  <c r="K291" i="83"/>
  <c r="K292" i="83"/>
  <c r="K293" i="83"/>
  <c r="K294" i="83"/>
  <c r="K295" i="83"/>
  <c r="K296" i="83"/>
  <c r="K297" i="83"/>
  <c r="K298" i="83"/>
  <c r="K299" i="83"/>
  <c r="K300" i="83"/>
  <c r="K301" i="83"/>
  <c r="K302" i="83"/>
  <c r="K303" i="83"/>
  <c r="K304" i="83"/>
  <c r="K305" i="83"/>
  <c r="K306" i="83"/>
  <c r="K307" i="83"/>
  <c r="K308" i="83"/>
  <c r="K309" i="83"/>
  <c r="K310" i="83"/>
  <c r="K311" i="83"/>
  <c r="K312" i="83"/>
  <c r="K313" i="83"/>
  <c r="K314" i="83"/>
  <c r="K315" i="83"/>
  <c r="K316" i="83"/>
  <c r="K317" i="83"/>
  <c r="K318" i="83"/>
  <c r="K319" i="83"/>
  <c r="K320" i="83"/>
  <c r="K321" i="83"/>
  <c r="K322" i="83"/>
  <c r="K323" i="83"/>
  <c r="K324" i="83"/>
  <c r="K325" i="83"/>
  <c r="K326" i="83"/>
  <c r="K327" i="83"/>
  <c r="K328" i="83"/>
  <c r="K329" i="83"/>
  <c r="K330" i="83"/>
  <c r="K331" i="83"/>
  <c r="K332" i="83"/>
  <c r="K333" i="83"/>
  <c r="K334" i="83"/>
  <c r="K335" i="83"/>
  <c r="K336" i="83"/>
  <c r="K337" i="83"/>
  <c r="K338" i="83"/>
  <c r="J4" i="50"/>
  <c r="J3" i="50"/>
  <c r="J2" i="50"/>
  <c r="K5" i="50"/>
  <c r="K8" i="50"/>
  <c r="K16" i="50"/>
  <c r="K17" i="50"/>
  <c r="K18" i="50"/>
  <c r="K19" i="50"/>
  <c r="K20" i="50"/>
  <c r="K21" i="50"/>
  <c r="K22" i="50"/>
  <c r="K23" i="50"/>
  <c r="K24" i="50"/>
  <c r="K25" i="50"/>
  <c r="K26" i="50"/>
  <c r="K27" i="50"/>
  <c r="K28" i="50"/>
  <c r="K29" i="50"/>
  <c r="K30" i="50"/>
  <c r="K31" i="50"/>
  <c r="K32" i="50"/>
  <c r="K33" i="50"/>
  <c r="K34" i="50"/>
  <c r="K35" i="50"/>
  <c r="K36" i="50"/>
  <c r="K37" i="50"/>
  <c r="K38" i="50"/>
  <c r="K39" i="50"/>
  <c r="K40" i="50"/>
  <c r="K41" i="50"/>
  <c r="K42" i="50"/>
  <c r="K43" i="50"/>
  <c r="K44" i="50"/>
  <c r="K45" i="50"/>
  <c r="K46" i="50"/>
  <c r="K47" i="50"/>
  <c r="K48" i="50"/>
  <c r="K49" i="50"/>
  <c r="K50" i="50"/>
  <c r="K51" i="50"/>
  <c r="K52" i="50"/>
  <c r="K53" i="50"/>
  <c r="K54" i="50"/>
  <c r="K55" i="50"/>
  <c r="K56" i="50"/>
  <c r="K57" i="50"/>
  <c r="K58" i="50"/>
  <c r="K59" i="50"/>
  <c r="K60" i="50"/>
  <c r="K61" i="50"/>
  <c r="K62" i="50"/>
  <c r="K63" i="50"/>
  <c r="K64" i="50"/>
  <c r="K65" i="50"/>
  <c r="K66" i="50"/>
  <c r="K67" i="50"/>
  <c r="K68" i="50"/>
  <c r="K69" i="50"/>
  <c r="K70" i="50"/>
  <c r="K71" i="50"/>
  <c r="K72" i="50"/>
  <c r="K73" i="50"/>
  <c r="K74" i="50"/>
  <c r="K75" i="50"/>
  <c r="K76" i="50"/>
  <c r="K77" i="50"/>
  <c r="K78" i="50"/>
  <c r="K79" i="50"/>
  <c r="K80" i="50"/>
  <c r="K81" i="50"/>
  <c r="K82" i="50"/>
  <c r="K83" i="50"/>
  <c r="K84" i="50"/>
  <c r="K85" i="50"/>
  <c r="K86" i="50"/>
  <c r="K87" i="50"/>
  <c r="K88" i="50"/>
  <c r="K89" i="50"/>
  <c r="K90" i="50"/>
  <c r="K91" i="50"/>
  <c r="K92" i="50"/>
  <c r="K93" i="50"/>
  <c r="K94" i="50"/>
  <c r="K95" i="50"/>
  <c r="K96" i="50"/>
  <c r="K97" i="50"/>
  <c r="K98" i="50"/>
  <c r="K99" i="50"/>
  <c r="K100" i="50"/>
  <c r="K101" i="50"/>
  <c r="K102" i="50"/>
  <c r="K103" i="50"/>
  <c r="K104" i="50"/>
  <c r="K105" i="50"/>
  <c r="K106" i="50"/>
  <c r="K107" i="50"/>
  <c r="K108" i="50"/>
  <c r="K109" i="50"/>
  <c r="K110" i="50"/>
  <c r="K111" i="50"/>
  <c r="K112" i="50"/>
  <c r="K113" i="50"/>
  <c r="K114" i="50"/>
  <c r="K115" i="50"/>
  <c r="K116" i="50"/>
  <c r="K117" i="50"/>
  <c r="K118" i="50"/>
  <c r="K119" i="50"/>
  <c r="K120" i="50"/>
  <c r="K121" i="50"/>
  <c r="K122" i="50"/>
  <c r="K123" i="50"/>
  <c r="K124" i="50"/>
  <c r="K125" i="50"/>
  <c r="K126" i="50"/>
  <c r="K127" i="50"/>
  <c r="K128" i="50"/>
  <c r="K129" i="50"/>
  <c r="K130" i="50"/>
  <c r="K131" i="50"/>
  <c r="K132" i="50"/>
  <c r="K133" i="50"/>
  <c r="K134" i="50"/>
  <c r="K135" i="50"/>
  <c r="K136" i="50"/>
  <c r="K137" i="50"/>
  <c r="K138" i="50"/>
  <c r="K139" i="50"/>
  <c r="K140" i="50"/>
  <c r="K141" i="50"/>
  <c r="K142" i="50"/>
  <c r="K143" i="50"/>
  <c r="K144" i="50"/>
  <c r="K145" i="50"/>
  <c r="K146" i="50"/>
  <c r="K147" i="50"/>
  <c r="K148" i="50"/>
  <c r="K149" i="50"/>
  <c r="K150" i="50"/>
  <c r="K151" i="50"/>
  <c r="K152" i="50"/>
  <c r="K153" i="50"/>
  <c r="K154" i="50"/>
  <c r="K155" i="50"/>
  <c r="K156" i="50"/>
  <c r="K157" i="50"/>
  <c r="K158" i="50"/>
  <c r="K159" i="50"/>
  <c r="K160" i="50"/>
  <c r="K161" i="50"/>
  <c r="K162" i="50"/>
  <c r="K163" i="50"/>
  <c r="K164" i="50"/>
  <c r="K165" i="50"/>
  <c r="K166" i="50"/>
  <c r="K167" i="50"/>
  <c r="K168" i="50"/>
  <c r="K169" i="50"/>
  <c r="K170" i="50"/>
  <c r="K171" i="50"/>
  <c r="K172" i="50"/>
  <c r="K173" i="50"/>
  <c r="K174" i="50"/>
  <c r="K175" i="50"/>
  <c r="K176" i="50"/>
  <c r="K177" i="50"/>
  <c r="K178" i="50"/>
  <c r="K179" i="50"/>
  <c r="K180" i="50"/>
  <c r="K181" i="50"/>
  <c r="K182" i="50"/>
  <c r="K183" i="50"/>
  <c r="K184" i="50"/>
  <c r="K185" i="50"/>
  <c r="K186" i="50"/>
  <c r="K187" i="50"/>
  <c r="K188" i="50"/>
  <c r="K189" i="50"/>
  <c r="K190" i="50"/>
  <c r="K191" i="50"/>
  <c r="K192" i="50"/>
  <c r="K193" i="50"/>
  <c r="K194" i="50"/>
  <c r="K195" i="50"/>
  <c r="K196" i="50"/>
  <c r="K197" i="50"/>
  <c r="K198" i="50"/>
  <c r="K199" i="50"/>
  <c r="K200" i="50"/>
  <c r="K201" i="50"/>
  <c r="K202" i="50"/>
  <c r="K203" i="50"/>
  <c r="K204" i="50"/>
  <c r="K205" i="50"/>
  <c r="K206" i="50"/>
  <c r="K207" i="50"/>
  <c r="K208" i="50"/>
  <c r="K209" i="50"/>
  <c r="K210" i="50"/>
  <c r="K211" i="50"/>
  <c r="K212" i="50"/>
  <c r="K213" i="50"/>
  <c r="K214" i="50"/>
  <c r="K215" i="50"/>
  <c r="K216" i="50"/>
  <c r="K217" i="50"/>
  <c r="K218" i="50"/>
  <c r="K219" i="50"/>
  <c r="K220" i="50"/>
  <c r="K221" i="50"/>
  <c r="K222" i="50"/>
  <c r="K223" i="50"/>
  <c r="K224" i="50"/>
  <c r="K225" i="50"/>
  <c r="K226" i="50"/>
  <c r="K227" i="50"/>
  <c r="K228" i="50"/>
  <c r="K229" i="50"/>
  <c r="K230" i="50"/>
  <c r="K231" i="50"/>
  <c r="K232" i="50"/>
  <c r="K233" i="50"/>
  <c r="K234" i="50"/>
  <c r="K235" i="50"/>
  <c r="K236" i="50"/>
  <c r="K237" i="50"/>
  <c r="K238" i="50"/>
  <c r="K239" i="50"/>
  <c r="K240" i="50"/>
  <c r="K241" i="50"/>
  <c r="K242" i="50"/>
  <c r="K243" i="50"/>
  <c r="K244" i="50"/>
  <c r="K245" i="50"/>
  <c r="K246" i="50"/>
  <c r="K247" i="50"/>
  <c r="K248" i="50"/>
  <c r="K249" i="50"/>
  <c r="K250" i="50"/>
  <c r="K251" i="50"/>
  <c r="K252" i="50"/>
  <c r="K253" i="50"/>
  <c r="K254" i="50"/>
  <c r="K255" i="50"/>
  <c r="K256" i="50"/>
  <c r="K257" i="50"/>
  <c r="K258" i="50"/>
  <c r="K259" i="50"/>
  <c r="K260" i="50"/>
  <c r="K261" i="50"/>
  <c r="K262" i="50"/>
  <c r="K263" i="50"/>
  <c r="K264" i="50"/>
  <c r="K265" i="50"/>
  <c r="K266" i="50"/>
  <c r="K267" i="50"/>
  <c r="K268" i="50"/>
  <c r="K269" i="50"/>
  <c r="K270" i="50"/>
  <c r="K271" i="50"/>
  <c r="K272" i="50"/>
  <c r="K273" i="50"/>
  <c r="K274" i="50"/>
  <c r="K275" i="50"/>
  <c r="K276" i="50"/>
  <c r="K277" i="50"/>
  <c r="K278" i="50"/>
  <c r="K279" i="50"/>
  <c r="K280" i="50"/>
  <c r="K281" i="50"/>
  <c r="K282" i="50"/>
  <c r="K283" i="50"/>
  <c r="K284" i="50"/>
  <c r="K285" i="50"/>
  <c r="K286" i="50"/>
  <c r="K287" i="50"/>
  <c r="K288" i="50"/>
  <c r="K289" i="50"/>
  <c r="K290" i="50"/>
  <c r="K291" i="50"/>
  <c r="K292" i="50"/>
  <c r="K293" i="50"/>
  <c r="K294" i="50"/>
  <c r="K295" i="50"/>
  <c r="K296" i="50"/>
  <c r="K297" i="50"/>
  <c r="K298" i="50"/>
  <c r="K299" i="50"/>
  <c r="K300" i="50"/>
  <c r="K301" i="50"/>
  <c r="K302" i="50"/>
  <c r="K303" i="50"/>
  <c r="K304" i="50"/>
  <c r="K305" i="50"/>
  <c r="K306" i="50"/>
  <c r="K307" i="50"/>
  <c r="K308" i="50"/>
  <c r="K309" i="50"/>
  <c r="K310" i="50"/>
  <c r="K311" i="50"/>
  <c r="K312" i="50"/>
  <c r="K313" i="50"/>
  <c r="K314" i="50"/>
  <c r="K315" i="50"/>
  <c r="K316" i="50"/>
  <c r="K317" i="50"/>
  <c r="K318" i="50"/>
  <c r="K319" i="50"/>
  <c r="K320" i="50"/>
  <c r="K321" i="50"/>
  <c r="K322" i="50"/>
  <c r="K323" i="50"/>
  <c r="K324" i="50"/>
  <c r="K325" i="50"/>
  <c r="K326" i="50"/>
  <c r="K327" i="50"/>
  <c r="K328" i="50"/>
  <c r="K329" i="50"/>
  <c r="K330" i="50"/>
  <c r="K331" i="50"/>
  <c r="K332" i="50"/>
  <c r="K333" i="50"/>
  <c r="K334" i="50"/>
  <c r="K335" i="50"/>
  <c r="K336" i="50"/>
  <c r="K337" i="50"/>
  <c r="K338" i="50"/>
  <c r="K339" i="50"/>
  <c r="K340" i="50"/>
  <c r="K341" i="50"/>
  <c r="K342" i="50"/>
  <c r="K343" i="50"/>
  <c r="K344" i="50"/>
  <c r="K345" i="50"/>
  <c r="K346" i="50"/>
  <c r="K347" i="50"/>
  <c r="J6" i="46" l="1"/>
  <c r="J4" i="4" l="1"/>
  <c r="J3" i="4"/>
  <c r="H3" i="4"/>
  <c r="J5" i="78"/>
  <c r="J4" i="78"/>
  <c r="J3" i="78"/>
  <c r="G5" i="78"/>
  <c r="G3" i="78"/>
  <c r="J7" i="59"/>
  <c r="K7" i="59" s="1"/>
  <c r="J6" i="59"/>
  <c r="K6" i="59" s="1"/>
  <c r="J5" i="59"/>
  <c r="K5" i="59" s="1"/>
  <c r="J4" i="59"/>
  <c r="H4" i="59"/>
  <c r="J3" i="59"/>
  <c r="H3" i="59"/>
  <c r="K4" i="59" l="1"/>
  <c r="K3" i="59"/>
  <c r="G3" i="87"/>
  <c r="G4" i="87"/>
  <c r="G5" i="87"/>
  <c r="G6" i="87"/>
  <c r="G7" i="87"/>
  <c r="G8" i="87"/>
  <c r="G9" i="87"/>
  <c r="G10" i="87"/>
  <c r="G11" i="87"/>
  <c r="G12" i="87"/>
  <c r="G13" i="87"/>
  <c r="G14" i="87"/>
  <c r="G15" i="87"/>
  <c r="G16" i="87"/>
  <c r="G2" i="87"/>
  <c r="E2" i="87"/>
  <c r="O16" i="30"/>
  <c r="P18" i="19"/>
  <c r="O10" i="52"/>
  <c r="O20" i="78"/>
  <c r="O16" i="24"/>
  <c r="N18" i="23"/>
  <c r="O21" i="64"/>
  <c r="O13" i="58"/>
  <c r="O16" i="59"/>
  <c r="N15" i="13"/>
  <c r="N9" i="38"/>
  <c r="O13" i="55"/>
  <c r="O13" i="85"/>
  <c r="N14" i="65"/>
  <c r="O9" i="44"/>
  <c r="M18" i="43"/>
  <c r="J9" i="49"/>
  <c r="J5" i="46"/>
  <c r="H5" i="46"/>
  <c r="J3" i="46"/>
  <c r="H3" i="46"/>
  <c r="I3" i="46" s="1"/>
  <c r="I6" i="65"/>
  <c r="I5" i="65"/>
  <c r="I4" i="65"/>
  <c r="I3" i="65"/>
  <c r="G6" i="65"/>
  <c r="G5" i="65"/>
  <c r="J5" i="65" s="1"/>
  <c r="G4" i="65"/>
  <c r="J4" i="65" s="1"/>
  <c r="G3" i="65"/>
  <c r="J3" i="65" s="1"/>
  <c r="P2536" i="33"/>
  <c r="R2536" i="33"/>
  <c r="R2537" i="33" s="1"/>
  <c r="R2538" i="33" s="1"/>
  <c r="R2539" i="33" s="1"/>
  <c r="R2540" i="33" s="1"/>
  <c r="R2541" i="33" s="1"/>
  <c r="R2542" i="33" s="1"/>
  <c r="R2543" i="33" s="1"/>
  <c r="R2544" i="33" s="1"/>
  <c r="R2545" i="33" s="1"/>
  <c r="R2546" i="33" s="1"/>
  <c r="R2547" i="33" s="1"/>
  <c r="R2548" i="33" s="1"/>
  <c r="R2549" i="33" s="1"/>
  <c r="R2550" i="33" s="1"/>
  <c r="R2551" i="33" s="1"/>
  <c r="R2552" i="33" s="1"/>
  <c r="R2553" i="33" s="1"/>
  <c r="R2554" i="33" s="1"/>
  <c r="R2555" i="33" s="1"/>
  <c r="R2556" i="33" s="1"/>
  <c r="R2557" i="33" s="1"/>
  <c r="R2558" i="33" s="1"/>
  <c r="R2559" i="33" s="1"/>
  <c r="R2560" i="33" s="1"/>
  <c r="R2561" i="33" s="1"/>
  <c r="R2562" i="33" s="1"/>
  <c r="R2563" i="33" s="1"/>
  <c r="R2564" i="33" s="1"/>
  <c r="R2565" i="33" s="1"/>
  <c r="R2566" i="33" s="1"/>
  <c r="R2567" i="33" s="1"/>
  <c r="R2568" i="33" s="1"/>
  <c r="R2569" i="33" s="1"/>
  <c r="R2570" i="33" s="1"/>
  <c r="R2571" i="33" s="1"/>
  <c r="R2572" i="33" s="1"/>
  <c r="R2573" i="33" s="1"/>
  <c r="R2574" i="33" s="1"/>
  <c r="R2575" i="33" s="1"/>
  <c r="R2576" i="33" s="1"/>
  <c r="R2577" i="33" s="1"/>
  <c r="R2578" i="33" s="1"/>
  <c r="R2579" i="33" s="1"/>
  <c r="R2580" i="33" s="1"/>
  <c r="R2581" i="33" s="1"/>
  <c r="R2582" i="33" s="1"/>
  <c r="R2583" i="33" s="1"/>
  <c r="R2584" i="33" s="1"/>
  <c r="R2585" i="33" s="1"/>
  <c r="R2586" i="33" s="1"/>
  <c r="R2587" i="33" s="1"/>
  <c r="R2588" i="33" s="1"/>
  <c r="R2589" i="33" s="1"/>
  <c r="R2590" i="33" s="1"/>
  <c r="R2591" i="33" s="1"/>
  <c r="R2592" i="33" s="1"/>
  <c r="R2593" i="33" s="1"/>
  <c r="R2594" i="33" s="1"/>
  <c r="R2595" i="33" s="1"/>
  <c r="R2596" i="33" s="1"/>
  <c r="R2597" i="33" s="1"/>
  <c r="R2598" i="33" s="1"/>
  <c r="R2599" i="33" s="1"/>
  <c r="R2600" i="33" s="1"/>
  <c r="R2601" i="33" s="1"/>
  <c r="R2602" i="33" s="1"/>
  <c r="R2603" i="33" s="1"/>
  <c r="R2604" i="33" s="1"/>
  <c r="R2605" i="33" s="1"/>
  <c r="R2606" i="33" s="1"/>
  <c r="R2607" i="33" s="1"/>
  <c r="R2608" i="33" s="1"/>
  <c r="R2609" i="33" s="1"/>
  <c r="R2610" i="33" s="1"/>
  <c r="R2611" i="33" s="1"/>
  <c r="R2612" i="33" s="1"/>
  <c r="R2613" i="33" s="1"/>
  <c r="R2614" i="33" s="1"/>
  <c r="R2615" i="33" s="1"/>
  <c r="R2616" i="33" s="1"/>
  <c r="R2617" i="33" s="1"/>
  <c r="R2618" i="33" s="1"/>
  <c r="R2619" i="33" s="1"/>
  <c r="R2620" i="33" s="1"/>
  <c r="R2621" i="33" s="1"/>
  <c r="R2622" i="33" s="1"/>
  <c r="R2623" i="33" s="1"/>
  <c r="R2624" i="33" s="1"/>
  <c r="R2625" i="33" s="1"/>
  <c r="R2626" i="33" s="1"/>
  <c r="R2627" i="33" s="1"/>
  <c r="R2628" i="33" s="1"/>
  <c r="R2629" i="33" s="1"/>
  <c r="R2630" i="33" s="1"/>
  <c r="R2631" i="33" s="1"/>
  <c r="R2632" i="33" s="1"/>
  <c r="R2633" i="33" s="1"/>
  <c r="R2634" i="33" s="1"/>
  <c r="R2635" i="33" s="1"/>
  <c r="R2636" i="33" s="1"/>
  <c r="R2637" i="33" s="1"/>
  <c r="R2638" i="33" s="1"/>
  <c r="R2639" i="33" s="1"/>
  <c r="R2640" i="33" s="1"/>
  <c r="R2641" i="33" s="1"/>
  <c r="R2642" i="33" s="1"/>
  <c r="R2643" i="33" s="1"/>
  <c r="R2644" i="33" s="1"/>
  <c r="R2645" i="33" s="1"/>
  <c r="R2646" i="33" s="1"/>
  <c r="R2647" i="33" s="1"/>
  <c r="R2648" i="33" s="1"/>
  <c r="R2649" i="33" s="1"/>
  <c r="R2650" i="33" s="1"/>
  <c r="R2651" i="33" s="1"/>
  <c r="R2652" i="33" s="1"/>
  <c r="R2653" i="33" s="1"/>
  <c r="R2654" i="33" s="1"/>
  <c r="R2655" i="33" s="1"/>
  <c r="R2656" i="33" s="1"/>
  <c r="R2657" i="33" s="1"/>
  <c r="R2658" i="33" s="1"/>
  <c r="R2659" i="33" s="1"/>
  <c r="R2660" i="33" s="1"/>
  <c r="R2661" i="33" s="1"/>
  <c r="R2662" i="33" s="1"/>
  <c r="R2663" i="33" s="1"/>
  <c r="R2664" i="33" s="1"/>
  <c r="R2665" i="33" s="1"/>
  <c r="R2666" i="33" s="1"/>
  <c r="R2667" i="33" s="1"/>
  <c r="R2668" i="33" s="1"/>
  <c r="R2669" i="33" s="1"/>
  <c r="R2670" i="33" s="1"/>
  <c r="R2671" i="33" s="1"/>
  <c r="R2672" i="33" s="1"/>
  <c r="R2673" i="33" s="1"/>
  <c r="R2674" i="33" s="1"/>
  <c r="R2675" i="33" s="1"/>
  <c r="R2676" i="33" s="1"/>
  <c r="R2677" i="33" s="1"/>
  <c r="R2678" i="33" s="1"/>
  <c r="R2679" i="33" s="1"/>
  <c r="R2680" i="33" s="1"/>
  <c r="R2681" i="33" s="1"/>
  <c r="R2682" i="33" s="1"/>
  <c r="R2683" i="33" s="1"/>
  <c r="R2684" i="33" s="1"/>
  <c r="R2685" i="33" s="1"/>
  <c r="R2686" i="33" s="1"/>
  <c r="R2687" i="33" s="1"/>
  <c r="R2688" i="33" s="1"/>
  <c r="R2689" i="33" s="1"/>
  <c r="R2690" i="33" s="1"/>
  <c r="R2691" i="33" s="1"/>
  <c r="R2692" i="33" s="1"/>
  <c r="R2693" i="33" s="1"/>
  <c r="R2694" i="33" s="1"/>
  <c r="R2695" i="33" s="1"/>
  <c r="R2696" i="33" s="1"/>
  <c r="R2697" i="33" s="1"/>
  <c r="R2698" i="33" s="1"/>
  <c r="R2699" i="33" s="1"/>
  <c r="P2537" i="33"/>
  <c r="P2538" i="33"/>
  <c r="P2539" i="33"/>
  <c r="P2540" i="33"/>
  <c r="P2541" i="33"/>
  <c r="P2542" i="33"/>
  <c r="P2543" i="33"/>
  <c r="P2544" i="33"/>
  <c r="P2545" i="33"/>
  <c r="P2546" i="33"/>
  <c r="P2547" i="33"/>
  <c r="P2548" i="33"/>
  <c r="P2549" i="33"/>
  <c r="P2550" i="33"/>
  <c r="P2551" i="33"/>
  <c r="P2552" i="33"/>
  <c r="P2553" i="33"/>
  <c r="P2554" i="33"/>
  <c r="P2555" i="33"/>
  <c r="P2556" i="33"/>
  <c r="P2557" i="33"/>
  <c r="P2558" i="33"/>
  <c r="P2559" i="33"/>
  <c r="P2560" i="33"/>
  <c r="P2561" i="33"/>
  <c r="P2562" i="33"/>
  <c r="P2563" i="33"/>
  <c r="P2564" i="33"/>
  <c r="P2565" i="33"/>
  <c r="P2566" i="33"/>
  <c r="P2567" i="33"/>
  <c r="P2568" i="33"/>
  <c r="P2569" i="33"/>
  <c r="P2570" i="33"/>
  <c r="P2571" i="33"/>
  <c r="P2572" i="33"/>
  <c r="P2573" i="33"/>
  <c r="P2574" i="33"/>
  <c r="P2575" i="33"/>
  <c r="P2576" i="33"/>
  <c r="P2577" i="33"/>
  <c r="P2578" i="33"/>
  <c r="P2579" i="33"/>
  <c r="P2580" i="33"/>
  <c r="P2581" i="33"/>
  <c r="P2582" i="33"/>
  <c r="P2583" i="33"/>
  <c r="P2584" i="33"/>
  <c r="P2585" i="33"/>
  <c r="P2586" i="33"/>
  <c r="P2587" i="33"/>
  <c r="P2588" i="33"/>
  <c r="P2589" i="33"/>
  <c r="P2590" i="33"/>
  <c r="P2591" i="33"/>
  <c r="P2592" i="33"/>
  <c r="P2593" i="33"/>
  <c r="P2594" i="33"/>
  <c r="P2595" i="33"/>
  <c r="P2596" i="33"/>
  <c r="P2597" i="33"/>
  <c r="P2598" i="33"/>
  <c r="P2599" i="33"/>
  <c r="P2600" i="33"/>
  <c r="P2601" i="33"/>
  <c r="P2602" i="33"/>
  <c r="P2603" i="33"/>
  <c r="P2604" i="33"/>
  <c r="P2605" i="33"/>
  <c r="P2606" i="33"/>
  <c r="P2607" i="33"/>
  <c r="P2608" i="33"/>
  <c r="P2609" i="33"/>
  <c r="P2610" i="33"/>
  <c r="P2611" i="33"/>
  <c r="P2612" i="33"/>
  <c r="P2613" i="33"/>
  <c r="P2614" i="33"/>
  <c r="P2615" i="33"/>
  <c r="P2616" i="33"/>
  <c r="P2617" i="33"/>
  <c r="P2618" i="33"/>
  <c r="P2619" i="33"/>
  <c r="P2620" i="33"/>
  <c r="P2621" i="33"/>
  <c r="P2622" i="33"/>
  <c r="P2623" i="33"/>
  <c r="P2624" i="33"/>
  <c r="P2625" i="33"/>
  <c r="P2626" i="33"/>
  <c r="P2627" i="33"/>
  <c r="P2628" i="33"/>
  <c r="P2629" i="33"/>
  <c r="P2630" i="33"/>
  <c r="P2631" i="33"/>
  <c r="P2632" i="33"/>
  <c r="P2633" i="33"/>
  <c r="P2634" i="33"/>
  <c r="P2635" i="33"/>
  <c r="P2636" i="33"/>
  <c r="P2637" i="33"/>
  <c r="P2638" i="33"/>
  <c r="P2639" i="33"/>
  <c r="P2640" i="33"/>
  <c r="P2641" i="33"/>
  <c r="P2642" i="33"/>
  <c r="P2643" i="33"/>
  <c r="P2644" i="33"/>
  <c r="P2645" i="33"/>
  <c r="P2646" i="33"/>
  <c r="P2647" i="33"/>
  <c r="P2648" i="33"/>
  <c r="P2649" i="33"/>
  <c r="P2650" i="33"/>
  <c r="P2651" i="33"/>
  <c r="P2652" i="33"/>
  <c r="P2653" i="33"/>
  <c r="P2654" i="33"/>
  <c r="P2655" i="33"/>
  <c r="P2656" i="33"/>
  <c r="P2657" i="33"/>
  <c r="P2658" i="33"/>
  <c r="P2659" i="33"/>
  <c r="P2660" i="33"/>
  <c r="P2661" i="33"/>
  <c r="P2662" i="33"/>
  <c r="P2663" i="33"/>
  <c r="P2664" i="33"/>
  <c r="P2665" i="33"/>
  <c r="P2666" i="33"/>
  <c r="P2667" i="33"/>
  <c r="P2668" i="33"/>
  <c r="P2669" i="33"/>
  <c r="P2670" i="33"/>
  <c r="P2671" i="33"/>
  <c r="P2672" i="33"/>
  <c r="P2673" i="33"/>
  <c r="P2674" i="33"/>
  <c r="P2675" i="33"/>
  <c r="P2676" i="33"/>
  <c r="P2677" i="33"/>
  <c r="P2678" i="33"/>
  <c r="P2679" i="33"/>
  <c r="P2680" i="33"/>
  <c r="P2681" i="33"/>
  <c r="P2682" i="33"/>
  <c r="P2683" i="33"/>
  <c r="P2684" i="33"/>
  <c r="P2685" i="33"/>
  <c r="P2686" i="33"/>
  <c r="P2687" i="33"/>
  <c r="P2688" i="33"/>
  <c r="P2689" i="33"/>
  <c r="P2690" i="33"/>
  <c r="P2691" i="33"/>
  <c r="P2692" i="33"/>
  <c r="P2693" i="33"/>
  <c r="P2694" i="33"/>
  <c r="P2695" i="33"/>
  <c r="P2696" i="33"/>
  <c r="P2697" i="33"/>
  <c r="P2698" i="33"/>
  <c r="P2699" i="33"/>
  <c r="P2700" i="33"/>
  <c r="R2700" i="33"/>
  <c r="R2701" i="33" s="1"/>
  <c r="R2702" i="33" s="1"/>
  <c r="R2703" i="33" s="1"/>
  <c r="R2704" i="33" s="1"/>
  <c r="R2705" i="33" s="1"/>
  <c r="R2706" i="33" s="1"/>
  <c r="R2707" i="33" s="1"/>
  <c r="R2708" i="33" s="1"/>
  <c r="R2709" i="33" s="1"/>
  <c r="R2710" i="33" s="1"/>
  <c r="R2711" i="33" s="1"/>
  <c r="R2712" i="33" s="1"/>
  <c r="R2713" i="33" s="1"/>
  <c r="R2714" i="33" s="1"/>
  <c r="R2715" i="33" s="1"/>
  <c r="R2716" i="33" s="1"/>
  <c r="R2717" i="33" s="1"/>
  <c r="R2718" i="33" s="1"/>
  <c r="R2719" i="33" s="1"/>
  <c r="R2720" i="33" s="1"/>
  <c r="R2721" i="33" s="1"/>
  <c r="R2722" i="33" s="1"/>
  <c r="R2723" i="33" s="1"/>
  <c r="R2724" i="33" s="1"/>
  <c r="R2725" i="33" s="1"/>
  <c r="R2726" i="33" s="1"/>
  <c r="R2727" i="33" s="1"/>
  <c r="R2728" i="33" s="1"/>
  <c r="R2729" i="33" s="1"/>
  <c r="R2730" i="33" s="1"/>
  <c r="R2731" i="33" s="1"/>
  <c r="R2732" i="33" s="1"/>
  <c r="R2733" i="33" s="1"/>
  <c r="R2734" i="33" s="1"/>
  <c r="R2735" i="33" s="1"/>
  <c r="R2736" i="33" s="1"/>
  <c r="R2737" i="33" s="1"/>
  <c r="R2738" i="33" s="1"/>
  <c r="R2739" i="33" s="1"/>
  <c r="R2740" i="33" s="1"/>
  <c r="R2741" i="33" s="1"/>
  <c r="R2742" i="33" s="1"/>
  <c r="R2743" i="33" s="1"/>
  <c r="R2744" i="33" s="1"/>
  <c r="R2745" i="33" s="1"/>
  <c r="R2746" i="33" s="1"/>
  <c r="R2747" i="33" s="1"/>
  <c r="R2748" i="33" s="1"/>
  <c r="R2749" i="33" s="1"/>
  <c r="R2750" i="33" s="1"/>
  <c r="R2751" i="33" s="1"/>
  <c r="R2752" i="33" s="1"/>
  <c r="R2753" i="33" s="1"/>
  <c r="R2754" i="33" s="1"/>
  <c r="R2755" i="33" s="1"/>
  <c r="R2756" i="33" s="1"/>
  <c r="R2757" i="33" s="1"/>
  <c r="R2758" i="33" s="1"/>
  <c r="R2759" i="33" s="1"/>
  <c r="R2760" i="33" s="1"/>
  <c r="R2761" i="33" s="1"/>
  <c r="R2762" i="33" s="1"/>
  <c r="R2763" i="33" s="1"/>
  <c r="R2764" i="33" s="1"/>
  <c r="R2765" i="33" s="1"/>
  <c r="R2766" i="33" s="1"/>
  <c r="R2767" i="33" s="1"/>
  <c r="R2768" i="33" s="1"/>
  <c r="R2769" i="33" s="1"/>
  <c r="R2770" i="33" s="1"/>
  <c r="R2771" i="33" s="1"/>
  <c r="R2772" i="33" s="1"/>
  <c r="R2773" i="33" s="1"/>
  <c r="R2774" i="33" s="1"/>
  <c r="R2775" i="33" s="1"/>
  <c r="R2776" i="33" s="1"/>
  <c r="R2777" i="33" s="1"/>
  <c r="R2778" i="33" s="1"/>
  <c r="R2779" i="33" s="1"/>
  <c r="R2780" i="33" s="1"/>
  <c r="R2781" i="33" s="1"/>
  <c r="R2782" i="33" s="1"/>
  <c r="R2783" i="33" s="1"/>
  <c r="R2784" i="33" s="1"/>
  <c r="R2785" i="33" s="1"/>
  <c r="R2786" i="33" s="1"/>
  <c r="R2787" i="33" s="1"/>
  <c r="R2788" i="33" s="1"/>
  <c r="R2789" i="33" s="1"/>
  <c r="R2790" i="33" s="1"/>
  <c r="R2791" i="33" s="1"/>
  <c r="R2792" i="33" s="1"/>
  <c r="R2793" i="33" s="1"/>
  <c r="R2794" i="33" s="1"/>
  <c r="R2795" i="33" s="1"/>
  <c r="R2796" i="33" s="1"/>
  <c r="R2797" i="33" s="1"/>
  <c r="R2798" i="33" s="1"/>
  <c r="R2799" i="33" s="1"/>
  <c r="R2800" i="33" s="1"/>
  <c r="R2801" i="33" s="1"/>
  <c r="R2802" i="33" s="1"/>
  <c r="R2803" i="33" s="1"/>
  <c r="R2804" i="33" s="1"/>
  <c r="R2805" i="33" s="1"/>
  <c r="R2806" i="33" s="1"/>
  <c r="R2807" i="33" s="1"/>
  <c r="R2808" i="33" s="1"/>
  <c r="R2809" i="33" s="1"/>
  <c r="R2810" i="33" s="1"/>
  <c r="R2811" i="33" s="1"/>
  <c r="R2812" i="33" s="1"/>
  <c r="R2813" i="33" s="1"/>
  <c r="R2814" i="33" s="1"/>
  <c r="R2815" i="33" s="1"/>
  <c r="R2816" i="33" s="1"/>
  <c r="R2817" i="33" s="1"/>
  <c r="R2818" i="33" s="1"/>
  <c r="R2819" i="33" s="1"/>
  <c r="R2820" i="33" s="1"/>
  <c r="R2821" i="33" s="1"/>
  <c r="R2822" i="33" s="1"/>
  <c r="R2823" i="33" s="1"/>
  <c r="R2824" i="33" s="1"/>
  <c r="R2825" i="33" s="1"/>
  <c r="R2826" i="33" s="1"/>
  <c r="R2827" i="33" s="1"/>
  <c r="R2828" i="33" s="1"/>
  <c r="R2829" i="33" s="1"/>
  <c r="R2830" i="33" s="1"/>
  <c r="R2831" i="33" s="1"/>
  <c r="R2832" i="33" s="1"/>
  <c r="R2833" i="33" s="1"/>
  <c r="R2834" i="33" s="1"/>
  <c r="R2835" i="33" s="1"/>
  <c r="R2836" i="33" s="1"/>
  <c r="R2837" i="33" s="1"/>
  <c r="R2838" i="33" s="1"/>
  <c r="R2839" i="33" s="1"/>
  <c r="R2840" i="33" s="1"/>
  <c r="R2841" i="33" s="1"/>
  <c r="R2842" i="33" s="1"/>
  <c r="R2843" i="33" s="1"/>
  <c r="R2844" i="33" s="1"/>
  <c r="R2845" i="33" s="1"/>
  <c r="R2846" i="33" s="1"/>
  <c r="R2847" i="33" s="1"/>
  <c r="R2848" i="33" s="1"/>
  <c r="R2849" i="33" s="1"/>
  <c r="R2850" i="33" s="1"/>
  <c r="R2851" i="33" s="1"/>
  <c r="R2852" i="33" s="1"/>
  <c r="R2853" i="33" s="1"/>
  <c r="R2854" i="33" s="1"/>
  <c r="R2855" i="33" s="1"/>
  <c r="R2856" i="33" s="1"/>
  <c r="R2857" i="33" s="1"/>
  <c r="R2858" i="33" s="1"/>
  <c r="R2859" i="33" s="1"/>
  <c r="R2860" i="33" s="1"/>
  <c r="R2861" i="33" s="1"/>
  <c r="R2862" i="33" s="1"/>
  <c r="R2863" i="33" s="1"/>
  <c r="R2864" i="33" s="1"/>
  <c r="R2865" i="33" s="1"/>
  <c r="R2866" i="33" s="1"/>
  <c r="R2867" i="33" s="1"/>
  <c r="R2868" i="33" s="1"/>
  <c r="R2869" i="33" s="1"/>
  <c r="R2870" i="33" s="1"/>
  <c r="R2871" i="33" s="1"/>
  <c r="R2872" i="33" s="1"/>
  <c r="R2873" i="33" s="1"/>
  <c r="R2874" i="33" s="1"/>
  <c r="R2875" i="33" s="1"/>
  <c r="R2876" i="33" s="1"/>
  <c r="R2877" i="33" s="1"/>
  <c r="R2878" i="33" s="1"/>
  <c r="R2879" i="33" s="1"/>
  <c r="R2880" i="33" s="1"/>
  <c r="R2881" i="33" s="1"/>
  <c r="R2882" i="33" s="1"/>
  <c r="R2883" i="33" s="1"/>
  <c r="R2884" i="33" s="1"/>
  <c r="R2885" i="33" s="1"/>
  <c r="R2886" i="33" s="1"/>
  <c r="R2887" i="33" s="1"/>
  <c r="R2888" i="33" s="1"/>
  <c r="R2889" i="33" s="1"/>
  <c r="R2890" i="33" s="1"/>
  <c r="R2891" i="33" s="1"/>
  <c r="R2892" i="33" s="1"/>
  <c r="R2893" i="33" s="1"/>
  <c r="R2894" i="33" s="1"/>
  <c r="R2895" i="33" s="1"/>
  <c r="R2896" i="33" s="1"/>
  <c r="R2897" i="33" s="1"/>
  <c r="R2898" i="33" s="1"/>
  <c r="R2899" i="33" s="1"/>
  <c r="R2900" i="33" s="1"/>
  <c r="R2901" i="33" s="1"/>
  <c r="R2902" i="33" s="1"/>
  <c r="R2903" i="33" s="1"/>
  <c r="R2904" i="33" s="1"/>
  <c r="R2905" i="33" s="1"/>
  <c r="R2906" i="33" s="1"/>
  <c r="R2907" i="33" s="1"/>
  <c r="R2908" i="33" s="1"/>
  <c r="R2909" i="33" s="1"/>
  <c r="R2910" i="33" s="1"/>
  <c r="R2911" i="33" s="1"/>
  <c r="R2912" i="33" s="1"/>
  <c r="R2913" i="33" s="1"/>
  <c r="R2914" i="33" s="1"/>
  <c r="R2915" i="33" s="1"/>
  <c r="R2916" i="33" s="1"/>
  <c r="R2917" i="33" s="1"/>
  <c r="R2918" i="33" s="1"/>
  <c r="R2919" i="33" s="1"/>
  <c r="R2920" i="33" s="1"/>
  <c r="R2921" i="33" s="1"/>
  <c r="R2922" i="33" s="1"/>
  <c r="R2923" i="33" s="1"/>
  <c r="R2924" i="33" s="1"/>
  <c r="R2925" i="33" s="1"/>
  <c r="R2926" i="33" s="1"/>
  <c r="R2927" i="33" s="1"/>
  <c r="R2928" i="33" s="1"/>
  <c r="R2929" i="33" s="1"/>
  <c r="R2930" i="33" s="1"/>
  <c r="R2931" i="33" s="1"/>
  <c r="R2932" i="33" s="1"/>
  <c r="R2933" i="33" s="1"/>
  <c r="R2934" i="33" s="1"/>
  <c r="R2935" i="33" s="1"/>
  <c r="R2936" i="33" s="1"/>
  <c r="R2937" i="33" s="1"/>
  <c r="R2938" i="33" s="1"/>
  <c r="R2939" i="33" s="1"/>
  <c r="R2940" i="33" s="1"/>
  <c r="R2941" i="33" s="1"/>
  <c r="R2942" i="33" s="1"/>
  <c r="R2943" i="33" s="1"/>
  <c r="R2944" i="33" s="1"/>
  <c r="R2945" i="33" s="1"/>
  <c r="R2946" i="33" s="1"/>
  <c r="R2947" i="33" s="1"/>
  <c r="R2948" i="33" s="1"/>
  <c r="R2949" i="33" s="1"/>
  <c r="R2950" i="33" s="1"/>
  <c r="R2951" i="33" s="1"/>
  <c r="R2952" i="33" s="1"/>
  <c r="R2953" i="33" s="1"/>
  <c r="R2954" i="33" s="1"/>
  <c r="R2955" i="33" s="1"/>
  <c r="R2956" i="33" s="1"/>
  <c r="R2957" i="33" s="1"/>
  <c r="R2958" i="33" s="1"/>
  <c r="R2959" i="33" s="1"/>
  <c r="R2960" i="33" s="1"/>
  <c r="R2961" i="33" s="1"/>
  <c r="R2962" i="33" s="1"/>
  <c r="R2963" i="33" s="1"/>
  <c r="R2964" i="33" s="1"/>
  <c r="R2965" i="33" s="1"/>
  <c r="R2966" i="33" s="1"/>
  <c r="R2967" i="33" s="1"/>
  <c r="R2968" i="33" s="1"/>
  <c r="R2969" i="33" s="1"/>
  <c r="R2970" i="33" s="1"/>
  <c r="R2971" i="33" s="1"/>
  <c r="R2972" i="33" s="1"/>
  <c r="R2973" i="33" s="1"/>
  <c r="R2974" i="33" s="1"/>
  <c r="R2975" i="33" s="1"/>
  <c r="R2976" i="33" s="1"/>
  <c r="R2977" i="33" s="1"/>
  <c r="R2978" i="33" s="1"/>
  <c r="R2979" i="33" s="1"/>
  <c r="R2980" i="33" s="1"/>
  <c r="R2981" i="33" s="1"/>
  <c r="R2982" i="33" s="1"/>
  <c r="R2983" i="33" s="1"/>
  <c r="R2984" i="33" s="1"/>
  <c r="R2985" i="33" s="1"/>
  <c r="R2986" i="33" s="1"/>
  <c r="R2987" i="33" s="1"/>
  <c r="R2988" i="33" s="1"/>
  <c r="R2989" i="33" s="1"/>
  <c r="R2990" i="33" s="1"/>
  <c r="R2991" i="33" s="1"/>
  <c r="R2992" i="33" s="1"/>
  <c r="R2993" i="33" s="1"/>
  <c r="R2994" i="33" s="1"/>
  <c r="R2995" i="33" s="1"/>
  <c r="R2996" i="33" s="1"/>
  <c r="R2997" i="33" s="1"/>
  <c r="R2998" i="33" s="1"/>
  <c r="R2999" i="33" s="1"/>
  <c r="R3000" i="33" s="1"/>
  <c r="R3001" i="33" s="1"/>
  <c r="R3002" i="33" s="1"/>
  <c r="R3003" i="33" s="1"/>
  <c r="R3004" i="33" s="1"/>
  <c r="R3005" i="33" s="1"/>
  <c r="R3006" i="33" s="1"/>
  <c r="R3007" i="33" s="1"/>
  <c r="R3008" i="33" s="1"/>
  <c r="R3009" i="33" s="1"/>
  <c r="R3010" i="33" s="1"/>
  <c r="R3011" i="33" s="1"/>
  <c r="R3012" i="33" s="1"/>
  <c r="R3013" i="33" s="1"/>
  <c r="R3014" i="33" s="1"/>
  <c r="R3015" i="33" s="1"/>
  <c r="R3016" i="33" s="1"/>
  <c r="R3017" i="33" s="1"/>
  <c r="R3018" i="33" s="1"/>
  <c r="R3019" i="33" s="1"/>
  <c r="R3020" i="33" s="1"/>
  <c r="R3021" i="33" s="1"/>
  <c r="R3022" i="33" s="1"/>
  <c r="R3023" i="33" s="1"/>
  <c r="R3024" i="33" s="1"/>
  <c r="R3025" i="33" s="1"/>
  <c r="R3026" i="33" s="1"/>
  <c r="R3027" i="33" s="1"/>
  <c r="R3028" i="33" s="1"/>
  <c r="R3029" i="33" s="1"/>
  <c r="R3030" i="33" s="1"/>
  <c r="R3031" i="33" s="1"/>
  <c r="R3032" i="33" s="1"/>
  <c r="R3033" i="33" s="1"/>
  <c r="R3034" i="33" s="1"/>
  <c r="R3035" i="33" s="1"/>
  <c r="R3036" i="33" s="1"/>
  <c r="R3037" i="33" s="1"/>
  <c r="R3038" i="33" s="1"/>
  <c r="R3039" i="33" s="1"/>
  <c r="R3040" i="33" s="1"/>
  <c r="R3041" i="33" s="1"/>
  <c r="R3042" i="33" s="1"/>
  <c r="R3043" i="33" s="1"/>
  <c r="R3044" i="33" s="1"/>
  <c r="R3045" i="33" s="1"/>
  <c r="R3046" i="33" s="1"/>
  <c r="R3047" i="33" s="1"/>
  <c r="R3048" i="33" s="1"/>
  <c r="R3049" i="33" s="1"/>
  <c r="R3050" i="33" s="1"/>
  <c r="R3051" i="33" s="1"/>
  <c r="R3052" i="33" s="1"/>
  <c r="R3053" i="33" s="1"/>
  <c r="R3054" i="33" s="1"/>
  <c r="R3055" i="33" s="1"/>
  <c r="R3056" i="33" s="1"/>
  <c r="R3057" i="33" s="1"/>
  <c r="R3058" i="33" s="1"/>
  <c r="R3059" i="33" s="1"/>
  <c r="R3060" i="33" s="1"/>
  <c r="R3061" i="33" s="1"/>
  <c r="R3062" i="33" s="1"/>
  <c r="R3063" i="33" s="1"/>
  <c r="R3064" i="33" s="1"/>
  <c r="R3065" i="33" s="1"/>
  <c r="R3066" i="33" s="1"/>
  <c r="R3067" i="33" s="1"/>
  <c r="R3068" i="33" s="1"/>
  <c r="R3069" i="33" s="1"/>
  <c r="R3070" i="33" s="1"/>
  <c r="R3071" i="33" s="1"/>
  <c r="R3072" i="33" s="1"/>
  <c r="R3073" i="33" s="1"/>
  <c r="R3074" i="33" s="1"/>
  <c r="R3075" i="33" s="1"/>
  <c r="R3076" i="33" s="1"/>
  <c r="R3077" i="33" s="1"/>
  <c r="R3078" i="33" s="1"/>
  <c r="R3079" i="33" s="1"/>
  <c r="R3080" i="33" s="1"/>
  <c r="R3081" i="33" s="1"/>
  <c r="R3082" i="33" s="1"/>
  <c r="R3083" i="33" s="1"/>
  <c r="R3084" i="33" s="1"/>
  <c r="R3085" i="33" s="1"/>
  <c r="R3086" i="33" s="1"/>
  <c r="R3087" i="33" s="1"/>
  <c r="R3088" i="33" s="1"/>
  <c r="R3089" i="33" s="1"/>
  <c r="R3090" i="33" s="1"/>
  <c r="R3091" i="33" s="1"/>
  <c r="R3092" i="33" s="1"/>
  <c r="R3093" i="33" s="1"/>
  <c r="R3094" i="33" s="1"/>
  <c r="R3095" i="33" s="1"/>
  <c r="R3096" i="33" s="1"/>
  <c r="R3097" i="33" s="1"/>
  <c r="R3098" i="33" s="1"/>
  <c r="R3099" i="33" s="1"/>
  <c r="R3100" i="33" s="1"/>
  <c r="R3101" i="33" s="1"/>
  <c r="R3102" i="33" s="1"/>
  <c r="R3103" i="33" s="1"/>
  <c r="R3104" i="33" s="1"/>
  <c r="R3105" i="33" s="1"/>
  <c r="R3106" i="33" s="1"/>
  <c r="R3107" i="33" s="1"/>
  <c r="R3108" i="33" s="1"/>
  <c r="R3109" i="33" s="1"/>
  <c r="R3110" i="33" s="1"/>
  <c r="R3111" i="33" s="1"/>
  <c r="R3112" i="33" s="1"/>
  <c r="R3113" i="33" s="1"/>
  <c r="R3114" i="33" s="1"/>
  <c r="R3115" i="33" s="1"/>
  <c r="R3116" i="33" s="1"/>
  <c r="R3117" i="33" s="1"/>
  <c r="R3118" i="33" s="1"/>
  <c r="R3119" i="33" s="1"/>
  <c r="R3120" i="33" s="1"/>
  <c r="R3121" i="33" s="1"/>
  <c r="R3122" i="33" s="1"/>
  <c r="R3123" i="33" s="1"/>
  <c r="R3124" i="33" s="1"/>
  <c r="R3125" i="33" s="1"/>
  <c r="R3126" i="33" s="1"/>
  <c r="R3127" i="33" s="1"/>
  <c r="R3128" i="33" s="1"/>
  <c r="R3129" i="33" s="1"/>
  <c r="R3130" i="33" s="1"/>
  <c r="R3131" i="33" s="1"/>
  <c r="R3132" i="33" s="1"/>
  <c r="R3133" i="33" s="1"/>
  <c r="R3134" i="33" s="1"/>
  <c r="R3135" i="33" s="1"/>
  <c r="R3136" i="33" s="1"/>
  <c r="R3137" i="33" s="1"/>
  <c r="R3138" i="33" s="1"/>
  <c r="R3139" i="33" s="1"/>
  <c r="R3140" i="33" s="1"/>
  <c r="R3141" i="33" s="1"/>
  <c r="R3142" i="33" s="1"/>
  <c r="R3143" i="33" s="1"/>
  <c r="R3144" i="33" s="1"/>
  <c r="R3145" i="33" s="1"/>
  <c r="R3146" i="33" s="1"/>
  <c r="R3147" i="33" s="1"/>
  <c r="R3148" i="33" s="1"/>
  <c r="R3149" i="33" s="1"/>
  <c r="R3150" i="33" s="1"/>
  <c r="R3151" i="33" s="1"/>
  <c r="R3152" i="33" s="1"/>
  <c r="R3153" i="33" s="1"/>
  <c r="R3154" i="33" s="1"/>
  <c r="R3155" i="33" s="1"/>
  <c r="R3156" i="33" s="1"/>
  <c r="R3157" i="33" s="1"/>
  <c r="R3158" i="33" s="1"/>
  <c r="R3159" i="33" s="1"/>
  <c r="R3160" i="33" s="1"/>
  <c r="R3161" i="33" s="1"/>
  <c r="R3162" i="33" s="1"/>
  <c r="R3163" i="33" s="1"/>
  <c r="R3164" i="33" s="1"/>
  <c r="R3165" i="33" s="1"/>
  <c r="R3166" i="33" s="1"/>
  <c r="R3167" i="33" s="1"/>
  <c r="R3168" i="33" s="1"/>
  <c r="R3169" i="33" s="1"/>
  <c r="R3170" i="33" s="1"/>
  <c r="R3171" i="33" s="1"/>
  <c r="R3172" i="33" s="1"/>
  <c r="R3173" i="33" s="1"/>
  <c r="R3174" i="33" s="1"/>
  <c r="R3175" i="33" s="1"/>
  <c r="R3176" i="33" s="1"/>
  <c r="R3177" i="33" s="1"/>
  <c r="R3178" i="33" s="1"/>
  <c r="R3179" i="33" s="1"/>
  <c r="R3180" i="33" s="1"/>
  <c r="R3181" i="33" s="1"/>
  <c r="R3182" i="33" s="1"/>
  <c r="R3183" i="33" s="1"/>
  <c r="R3184" i="33" s="1"/>
  <c r="R3185" i="33" s="1"/>
  <c r="R3186" i="33" s="1"/>
  <c r="R3187" i="33" s="1"/>
  <c r="R3188" i="33" s="1"/>
  <c r="R3189" i="33" s="1"/>
  <c r="R3190" i="33" s="1"/>
  <c r="R3191" i="33" s="1"/>
  <c r="R3192" i="33" s="1"/>
  <c r="R3193" i="33" s="1"/>
  <c r="R3194" i="33" s="1"/>
  <c r="R3195" i="33" s="1"/>
  <c r="R3196" i="33" s="1"/>
  <c r="R3197" i="33" s="1"/>
  <c r="R3198" i="33" s="1"/>
  <c r="R3199" i="33" s="1"/>
  <c r="R3200" i="33" s="1"/>
  <c r="R3201" i="33" s="1"/>
  <c r="R3202" i="33" s="1"/>
  <c r="R3203" i="33" s="1"/>
  <c r="R3204" i="33" s="1"/>
  <c r="R3205" i="33" s="1"/>
  <c r="R3206" i="33" s="1"/>
  <c r="R3207" i="33" s="1"/>
  <c r="R3208" i="33" s="1"/>
  <c r="R3209" i="33" s="1"/>
  <c r="R3210" i="33" s="1"/>
  <c r="R3211" i="33" s="1"/>
  <c r="R3212" i="33" s="1"/>
  <c r="R3213" i="33" s="1"/>
  <c r="R3214" i="33" s="1"/>
  <c r="R3215" i="33" s="1"/>
  <c r="R3216" i="33" s="1"/>
  <c r="R3217" i="33" s="1"/>
  <c r="R3218" i="33" s="1"/>
  <c r="R3219" i="33" s="1"/>
  <c r="R3220" i="33" s="1"/>
  <c r="R3221" i="33" s="1"/>
  <c r="R3222" i="33" s="1"/>
  <c r="R3223" i="33" s="1"/>
  <c r="R3224" i="33" s="1"/>
  <c r="R3225" i="33" s="1"/>
  <c r="R3226" i="33" s="1"/>
  <c r="R3227" i="33" s="1"/>
  <c r="R3228" i="33" s="1"/>
  <c r="R3229" i="33" s="1"/>
  <c r="R3230" i="33" s="1"/>
  <c r="R3231" i="33" s="1"/>
  <c r="R3232" i="33" s="1"/>
  <c r="R3233" i="33" s="1"/>
  <c r="R3234" i="33" s="1"/>
  <c r="R3235" i="33" s="1"/>
  <c r="R3236" i="33" s="1"/>
  <c r="R3237" i="33" s="1"/>
  <c r="R3238" i="33" s="1"/>
  <c r="R3239" i="33" s="1"/>
  <c r="R3240" i="33" s="1"/>
  <c r="R3241" i="33" s="1"/>
  <c r="R3242" i="33" s="1"/>
  <c r="R3243" i="33" s="1"/>
  <c r="R3244" i="33" s="1"/>
  <c r="R3245" i="33" s="1"/>
  <c r="R3246" i="33" s="1"/>
  <c r="R3247" i="33" s="1"/>
  <c r="R3248" i="33" s="1"/>
  <c r="R3249" i="33" s="1"/>
  <c r="R3250" i="33" s="1"/>
  <c r="R3251" i="33" s="1"/>
  <c r="R3252" i="33" s="1"/>
  <c r="R3253" i="33" s="1"/>
  <c r="R3254" i="33" s="1"/>
  <c r="R3255" i="33" s="1"/>
  <c r="R3256" i="33" s="1"/>
  <c r="R3257" i="33" s="1"/>
  <c r="R3258" i="33" s="1"/>
  <c r="R3259" i="33" s="1"/>
  <c r="R3260" i="33" s="1"/>
  <c r="R3261" i="33" s="1"/>
  <c r="R3262" i="33" s="1"/>
  <c r="R3263" i="33" s="1"/>
  <c r="R3264" i="33" s="1"/>
  <c r="R3265" i="33" s="1"/>
  <c r="R3266" i="33" s="1"/>
  <c r="R3267" i="33" s="1"/>
  <c r="R3268" i="33" s="1"/>
  <c r="R3269" i="33" s="1"/>
  <c r="R3270" i="33" s="1"/>
  <c r="R3271" i="33" s="1"/>
  <c r="R3272" i="33" s="1"/>
  <c r="R3273" i="33" s="1"/>
  <c r="R3274" i="33" s="1"/>
  <c r="R3275" i="33" s="1"/>
  <c r="R3276" i="33" s="1"/>
  <c r="R3277" i="33" s="1"/>
  <c r="R3278" i="33" s="1"/>
  <c r="R3279" i="33" s="1"/>
  <c r="R3280" i="33" s="1"/>
  <c r="R3281" i="33" s="1"/>
  <c r="R3282" i="33" s="1"/>
  <c r="R3283" i="33" s="1"/>
  <c r="R3284" i="33" s="1"/>
  <c r="R3285" i="33" s="1"/>
  <c r="R3286" i="33" s="1"/>
  <c r="R3287" i="33" s="1"/>
  <c r="R3288" i="33" s="1"/>
  <c r="R3289" i="33" s="1"/>
  <c r="R3290" i="33" s="1"/>
  <c r="R3291" i="33" s="1"/>
  <c r="R3292" i="33" s="1"/>
  <c r="R3293" i="33" s="1"/>
  <c r="R3294" i="33" s="1"/>
  <c r="R3295" i="33" s="1"/>
  <c r="R3296" i="33" s="1"/>
  <c r="R3297" i="33" s="1"/>
  <c r="R3298" i="33" s="1"/>
  <c r="R3299" i="33" s="1"/>
  <c r="R3300" i="33" s="1"/>
  <c r="R3301" i="33" s="1"/>
  <c r="R3302" i="33" s="1"/>
  <c r="R3303" i="33" s="1"/>
  <c r="R3304" i="33" s="1"/>
  <c r="R3305" i="33" s="1"/>
  <c r="R3306" i="33" s="1"/>
  <c r="R3307" i="33" s="1"/>
  <c r="R3308" i="33" s="1"/>
  <c r="R3309" i="33" s="1"/>
  <c r="R3310" i="33" s="1"/>
  <c r="R3311" i="33" s="1"/>
  <c r="R3312" i="33" s="1"/>
  <c r="R3313" i="33" s="1"/>
  <c r="R3314" i="33" s="1"/>
  <c r="R3315" i="33" s="1"/>
  <c r="R3316" i="33" s="1"/>
  <c r="R3317" i="33" s="1"/>
  <c r="R3318" i="33" s="1"/>
  <c r="R3319" i="33" s="1"/>
  <c r="R3320" i="33" s="1"/>
  <c r="R3321" i="33" s="1"/>
  <c r="R3322" i="33" s="1"/>
  <c r="R3323" i="33" s="1"/>
  <c r="R3324" i="33" s="1"/>
  <c r="R3325" i="33" s="1"/>
  <c r="R3326" i="33" s="1"/>
  <c r="R3327" i="33" s="1"/>
  <c r="R3328" i="33" s="1"/>
  <c r="R3329" i="33" s="1"/>
  <c r="R3330" i="33" s="1"/>
  <c r="R3331" i="33" s="1"/>
  <c r="R3332" i="33" s="1"/>
  <c r="R3333" i="33" s="1"/>
  <c r="R3334" i="33" s="1"/>
  <c r="R3335" i="33" s="1"/>
  <c r="R3336" i="33" s="1"/>
  <c r="R3337" i="33" s="1"/>
  <c r="R3338" i="33" s="1"/>
  <c r="R3339" i="33" s="1"/>
  <c r="R3340" i="33" s="1"/>
  <c r="R3341" i="33" s="1"/>
  <c r="R3342" i="33" s="1"/>
  <c r="R3343" i="33" s="1"/>
  <c r="R3344" i="33" s="1"/>
  <c r="R3345" i="33" s="1"/>
  <c r="R3346" i="33" s="1"/>
  <c r="R3347" i="33" s="1"/>
  <c r="R3348" i="33" s="1"/>
  <c r="R3349" i="33" s="1"/>
  <c r="R3350" i="33" s="1"/>
  <c r="R3351" i="33" s="1"/>
  <c r="R3352" i="33" s="1"/>
  <c r="R3353" i="33" s="1"/>
  <c r="R3354" i="33" s="1"/>
  <c r="R3355" i="33" s="1"/>
  <c r="R3356" i="33" s="1"/>
  <c r="R3357" i="33" s="1"/>
  <c r="R3358" i="33" s="1"/>
  <c r="R3359" i="33" s="1"/>
  <c r="R3360" i="33" s="1"/>
  <c r="R3361" i="33" s="1"/>
  <c r="R3362" i="33" s="1"/>
  <c r="R3363" i="33" s="1"/>
  <c r="R3364" i="33" s="1"/>
  <c r="R3365" i="33" s="1"/>
  <c r="R3366" i="33" s="1"/>
  <c r="R3367" i="33" s="1"/>
  <c r="R3368" i="33" s="1"/>
  <c r="R3369" i="33" s="1"/>
  <c r="R3370" i="33" s="1"/>
  <c r="R3371" i="33" s="1"/>
  <c r="R3372" i="33" s="1"/>
  <c r="R3373" i="33" s="1"/>
  <c r="R3374" i="33" s="1"/>
  <c r="R3375" i="33" s="1"/>
  <c r="R3376" i="33" s="1"/>
  <c r="R3377" i="33" s="1"/>
  <c r="R3378" i="33" s="1"/>
  <c r="R3379" i="33" s="1"/>
  <c r="R3380" i="33" s="1"/>
  <c r="R3381" i="33" s="1"/>
  <c r="R3382" i="33" s="1"/>
  <c r="R3383" i="33" s="1"/>
  <c r="R3384" i="33" s="1"/>
  <c r="R3385" i="33" s="1"/>
  <c r="R3386" i="33" s="1"/>
  <c r="R3387" i="33" s="1"/>
  <c r="R3388" i="33" s="1"/>
  <c r="R3389" i="33" s="1"/>
  <c r="R3390" i="33" s="1"/>
  <c r="R3391" i="33" s="1"/>
  <c r="R3392" i="33" s="1"/>
  <c r="R3393" i="33" s="1"/>
  <c r="R3394" i="33" s="1"/>
  <c r="R3395" i="33" s="1"/>
  <c r="R3396" i="33" s="1"/>
  <c r="R3397" i="33" s="1"/>
  <c r="R3398" i="33" s="1"/>
  <c r="R3399" i="33" s="1"/>
  <c r="R3400" i="33" s="1"/>
  <c r="R3401" i="33" s="1"/>
  <c r="R3402" i="33" s="1"/>
  <c r="R3403" i="33" s="1"/>
  <c r="R3404" i="33" s="1"/>
  <c r="R3405" i="33" s="1"/>
  <c r="R3406" i="33" s="1"/>
  <c r="R3407" i="33" s="1"/>
  <c r="R3408" i="33" s="1"/>
  <c r="R3409" i="33" s="1"/>
  <c r="R3410" i="33" s="1"/>
  <c r="R3411" i="33" s="1"/>
  <c r="R3412" i="33" s="1"/>
  <c r="R3413" i="33" s="1"/>
  <c r="R3414" i="33" s="1"/>
  <c r="R3415" i="33" s="1"/>
  <c r="R3416" i="33" s="1"/>
  <c r="R3417" i="33" s="1"/>
  <c r="R3418" i="33" s="1"/>
  <c r="R3419" i="33" s="1"/>
  <c r="R3420" i="33" s="1"/>
  <c r="R3421" i="33" s="1"/>
  <c r="R3422" i="33" s="1"/>
  <c r="R3423" i="33" s="1"/>
  <c r="R3424" i="33" s="1"/>
  <c r="R3425" i="33" s="1"/>
  <c r="R3426" i="33" s="1"/>
  <c r="R3427" i="33" s="1"/>
  <c r="R3428" i="33" s="1"/>
  <c r="R3429" i="33" s="1"/>
  <c r="R3430" i="33" s="1"/>
  <c r="R3431" i="33" s="1"/>
  <c r="R3432" i="33" s="1"/>
  <c r="R3433" i="33" s="1"/>
  <c r="R3434" i="33" s="1"/>
  <c r="R3435" i="33" s="1"/>
  <c r="R3436" i="33" s="1"/>
  <c r="R3437" i="33" s="1"/>
  <c r="R3438" i="33" s="1"/>
  <c r="R3439" i="33" s="1"/>
  <c r="R3440" i="33" s="1"/>
  <c r="R3441" i="33" s="1"/>
  <c r="R3442" i="33" s="1"/>
  <c r="R3443" i="33" s="1"/>
  <c r="R3444" i="33" s="1"/>
  <c r="R3445" i="33" s="1"/>
  <c r="R3446" i="33" s="1"/>
  <c r="R3447" i="33" s="1"/>
  <c r="R3448" i="33" s="1"/>
  <c r="R3449" i="33" s="1"/>
  <c r="R3450" i="33" s="1"/>
  <c r="R3451" i="33" s="1"/>
  <c r="R3452" i="33" s="1"/>
  <c r="R3453" i="33" s="1"/>
  <c r="R3454" i="33" s="1"/>
  <c r="R3455" i="33" s="1"/>
  <c r="R3456" i="33" s="1"/>
  <c r="R3457" i="33" s="1"/>
  <c r="R3458" i="33" s="1"/>
  <c r="R3459" i="33" s="1"/>
  <c r="R3460" i="33" s="1"/>
  <c r="R3461" i="33" s="1"/>
  <c r="R3462" i="33" s="1"/>
  <c r="R3463" i="33" s="1"/>
  <c r="R3464" i="33" s="1"/>
  <c r="R3465" i="33" s="1"/>
  <c r="R3466" i="33" s="1"/>
  <c r="R3467" i="33" s="1"/>
  <c r="R3468" i="33" s="1"/>
  <c r="R3469" i="33" s="1"/>
  <c r="R3470" i="33" s="1"/>
  <c r="R3471" i="33" s="1"/>
  <c r="R3472" i="33" s="1"/>
  <c r="R3473" i="33" s="1"/>
  <c r="R3474" i="33" s="1"/>
  <c r="R3475" i="33" s="1"/>
  <c r="R3476" i="33" s="1"/>
  <c r="R3477" i="33" s="1"/>
  <c r="R3478" i="33" s="1"/>
  <c r="R3479" i="33" s="1"/>
  <c r="R3480" i="33" s="1"/>
  <c r="R3481" i="33" s="1"/>
  <c r="R3482" i="33" s="1"/>
  <c r="R3483" i="33" s="1"/>
  <c r="R3484" i="33" s="1"/>
  <c r="R3485" i="33" s="1"/>
  <c r="R3486" i="33" s="1"/>
  <c r="R3487" i="33" s="1"/>
  <c r="R3488" i="33" s="1"/>
  <c r="R3489" i="33" s="1"/>
  <c r="R3490" i="33" s="1"/>
  <c r="R3491" i="33" s="1"/>
  <c r="R3492" i="33" s="1"/>
  <c r="R3493" i="33" s="1"/>
  <c r="R3494" i="33" s="1"/>
  <c r="R3495" i="33" s="1"/>
  <c r="R3496" i="33" s="1"/>
  <c r="R3497" i="33" s="1"/>
  <c r="R3498" i="33" s="1"/>
  <c r="R3499" i="33" s="1"/>
  <c r="R3500" i="33" s="1"/>
  <c r="R3501" i="33" s="1"/>
  <c r="R3502" i="33" s="1"/>
  <c r="R3503" i="33" s="1"/>
  <c r="R3504" i="33" s="1"/>
  <c r="R3505" i="33" s="1"/>
  <c r="R3506" i="33" s="1"/>
  <c r="R3507" i="33" s="1"/>
  <c r="R3508" i="33" s="1"/>
  <c r="R3509" i="33" s="1"/>
  <c r="R3510" i="33" s="1"/>
  <c r="R3511" i="33" s="1"/>
  <c r="R3512" i="33" s="1"/>
  <c r="R3513" i="33" s="1"/>
  <c r="R3514" i="33" s="1"/>
  <c r="R3515" i="33" s="1"/>
  <c r="R3516" i="33" s="1"/>
  <c r="R3517" i="33" s="1"/>
  <c r="R3518" i="33" s="1"/>
  <c r="R3519" i="33" s="1"/>
  <c r="R3520" i="33" s="1"/>
  <c r="R3521" i="33" s="1"/>
  <c r="R3522" i="33" s="1"/>
  <c r="R3523" i="33" s="1"/>
  <c r="R3524" i="33" s="1"/>
  <c r="R3525" i="33" s="1"/>
  <c r="R3526" i="33" s="1"/>
  <c r="R3527" i="33" s="1"/>
  <c r="R3528" i="33" s="1"/>
  <c r="R3529" i="33" s="1"/>
  <c r="R3530" i="33" s="1"/>
  <c r="R3531" i="33" s="1"/>
  <c r="R3532" i="33" s="1"/>
  <c r="R3533" i="33" s="1"/>
  <c r="R3534" i="33" s="1"/>
  <c r="R3535" i="33" s="1"/>
  <c r="R3536" i="33" s="1"/>
  <c r="R3537" i="33" s="1"/>
  <c r="R3538" i="33" s="1"/>
  <c r="R3539" i="33" s="1"/>
  <c r="R3540" i="33" s="1"/>
  <c r="R3541" i="33" s="1"/>
  <c r="R3542" i="33" s="1"/>
  <c r="R3543" i="33" s="1"/>
  <c r="R3544" i="33" s="1"/>
  <c r="R3545" i="33" s="1"/>
  <c r="R3546" i="33" s="1"/>
  <c r="R3547" i="33" s="1"/>
  <c r="R3548" i="33" s="1"/>
  <c r="R3549" i="33" s="1"/>
  <c r="R3550" i="33" s="1"/>
  <c r="R3551" i="33" s="1"/>
  <c r="R3552" i="33" s="1"/>
  <c r="R3553" i="33" s="1"/>
  <c r="R3554" i="33" s="1"/>
  <c r="R3555" i="33" s="1"/>
  <c r="R3556" i="33" s="1"/>
  <c r="R3557" i="33" s="1"/>
  <c r="R3558" i="33" s="1"/>
  <c r="R3559" i="33" s="1"/>
  <c r="R3560" i="33" s="1"/>
  <c r="R3561" i="33" s="1"/>
  <c r="R3562" i="33" s="1"/>
  <c r="R3563" i="33" s="1"/>
  <c r="R3564" i="33" s="1"/>
  <c r="R3565" i="33" s="1"/>
  <c r="R3566" i="33" s="1"/>
  <c r="R3567" i="33" s="1"/>
  <c r="R3568" i="33" s="1"/>
  <c r="R3569" i="33" s="1"/>
  <c r="R3570" i="33" s="1"/>
  <c r="R3571" i="33" s="1"/>
  <c r="R3572" i="33" s="1"/>
  <c r="R3573" i="33" s="1"/>
  <c r="R3574" i="33" s="1"/>
  <c r="R3575" i="33" s="1"/>
  <c r="R3576" i="33" s="1"/>
  <c r="R3577" i="33" s="1"/>
  <c r="R3578" i="33" s="1"/>
  <c r="R3579" i="33" s="1"/>
  <c r="R3580" i="33" s="1"/>
  <c r="R3581" i="33" s="1"/>
  <c r="R3582" i="33" s="1"/>
  <c r="R3583" i="33" s="1"/>
  <c r="R3584" i="33" s="1"/>
  <c r="R3585" i="33" s="1"/>
  <c r="R3586" i="33" s="1"/>
  <c r="R3587" i="33" s="1"/>
  <c r="R3588" i="33" s="1"/>
  <c r="R3589" i="33" s="1"/>
  <c r="R3590" i="33" s="1"/>
  <c r="R3591" i="33" s="1"/>
  <c r="R3592" i="33" s="1"/>
  <c r="R3593" i="33" s="1"/>
  <c r="R3594" i="33" s="1"/>
  <c r="R3595" i="33" s="1"/>
  <c r="R3596" i="33" s="1"/>
  <c r="R3597" i="33" s="1"/>
  <c r="R3598" i="33" s="1"/>
  <c r="R3599" i="33" s="1"/>
  <c r="R3600" i="33" s="1"/>
  <c r="R3601" i="33" s="1"/>
  <c r="R3602" i="33" s="1"/>
  <c r="R3603" i="33" s="1"/>
  <c r="R3604" i="33" s="1"/>
  <c r="R3605" i="33" s="1"/>
  <c r="R3606" i="33" s="1"/>
  <c r="R3607" i="33" s="1"/>
  <c r="R3608" i="33" s="1"/>
  <c r="R3609" i="33" s="1"/>
  <c r="R3610" i="33" s="1"/>
  <c r="R3611" i="33" s="1"/>
  <c r="R3612" i="33" s="1"/>
  <c r="R3613" i="33" s="1"/>
  <c r="R3614" i="33" s="1"/>
  <c r="R3615" i="33" s="1"/>
  <c r="R3616" i="33" s="1"/>
  <c r="R3617" i="33" s="1"/>
  <c r="R3618" i="33" s="1"/>
  <c r="R3619" i="33" s="1"/>
  <c r="R3620" i="33" s="1"/>
  <c r="R3621" i="33" s="1"/>
  <c r="R3622" i="33" s="1"/>
  <c r="R3623" i="33" s="1"/>
  <c r="R3624" i="33" s="1"/>
  <c r="R3625" i="33" s="1"/>
  <c r="R3626" i="33" s="1"/>
  <c r="R3627" i="33" s="1"/>
  <c r="R3628" i="33" s="1"/>
  <c r="R3629" i="33" s="1"/>
  <c r="R3630" i="33" s="1"/>
  <c r="R3631" i="33" s="1"/>
  <c r="R3632" i="33" s="1"/>
  <c r="R3633" i="33" s="1"/>
  <c r="R3634" i="33" s="1"/>
  <c r="R3635" i="33" s="1"/>
  <c r="R3636" i="33" s="1"/>
  <c r="R3637" i="33" s="1"/>
  <c r="R3638" i="33" s="1"/>
  <c r="R3639" i="33" s="1"/>
  <c r="R3640" i="33" s="1"/>
  <c r="R3641" i="33" s="1"/>
  <c r="R3642" i="33" s="1"/>
  <c r="R3643" i="33" s="1"/>
  <c r="R3644" i="33" s="1"/>
  <c r="R3645" i="33" s="1"/>
  <c r="R3646" i="33" s="1"/>
  <c r="R3647" i="33" s="1"/>
  <c r="R3648" i="33" s="1"/>
  <c r="R3649" i="33" s="1"/>
  <c r="R3650" i="33" s="1"/>
  <c r="R3651" i="33" s="1"/>
  <c r="R3652" i="33" s="1"/>
  <c r="R3653" i="33" s="1"/>
  <c r="R3654" i="33" s="1"/>
  <c r="R3655" i="33" s="1"/>
  <c r="R3656" i="33" s="1"/>
  <c r="R3657" i="33" s="1"/>
  <c r="R3658" i="33" s="1"/>
  <c r="R3659" i="33" s="1"/>
  <c r="R3660" i="33" s="1"/>
  <c r="R3661" i="33" s="1"/>
  <c r="R3662" i="33" s="1"/>
  <c r="R3663" i="33" s="1"/>
  <c r="R3664" i="33" s="1"/>
  <c r="R3665" i="33" s="1"/>
  <c r="R3666" i="33" s="1"/>
  <c r="R3667" i="33" s="1"/>
  <c r="R3668" i="33" s="1"/>
  <c r="R3669" i="33" s="1"/>
  <c r="R3670" i="33" s="1"/>
  <c r="R3671" i="33" s="1"/>
  <c r="R3672" i="33" s="1"/>
  <c r="R3673" i="33" s="1"/>
  <c r="R3674" i="33" s="1"/>
  <c r="R3675" i="33" s="1"/>
  <c r="R3676" i="33" s="1"/>
  <c r="R3677" i="33" s="1"/>
  <c r="R3678" i="33" s="1"/>
  <c r="R3679" i="33" s="1"/>
  <c r="R3680" i="33" s="1"/>
  <c r="R3681" i="33" s="1"/>
  <c r="R3682" i="33" s="1"/>
  <c r="R3683" i="33" s="1"/>
  <c r="R3684" i="33" s="1"/>
  <c r="R3685" i="33" s="1"/>
  <c r="R3686" i="33" s="1"/>
  <c r="R3687" i="33" s="1"/>
  <c r="R3688" i="33" s="1"/>
  <c r="R3689" i="33" s="1"/>
  <c r="R3690" i="33" s="1"/>
  <c r="R3691" i="33" s="1"/>
  <c r="R3692" i="33" s="1"/>
  <c r="R3693" i="33" s="1"/>
  <c r="R3694" i="33" s="1"/>
  <c r="R3695" i="33" s="1"/>
  <c r="R3696" i="33" s="1"/>
  <c r="R3697" i="33" s="1"/>
  <c r="R3698" i="33" s="1"/>
  <c r="R3699" i="33" s="1"/>
  <c r="R3700" i="33" s="1"/>
  <c r="R3701" i="33" s="1"/>
  <c r="R3702" i="33" s="1"/>
  <c r="R3703" i="33" s="1"/>
  <c r="R3704" i="33" s="1"/>
  <c r="R3705" i="33" s="1"/>
  <c r="R3706" i="33" s="1"/>
  <c r="R3707" i="33" s="1"/>
  <c r="R3708" i="33" s="1"/>
  <c r="R3709" i="33" s="1"/>
  <c r="R3710" i="33" s="1"/>
  <c r="R3711" i="33" s="1"/>
  <c r="R3712" i="33" s="1"/>
  <c r="R3713" i="33" s="1"/>
  <c r="R3714" i="33" s="1"/>
  <c r="R3715" i="33" s="1"/>
  <c r="R3716" i="33" s="1"/>
  <c r="R3717" i="33" s="1"/>
  <c r="R3718" i="33" s="1"/>
  <c r="R3719" i="33" s="1"/>
  <c r="R3720" i="33" s="1"/>
  <c r="R3721" i="33" s="1"/>
  <c r="R3722" i="33" s="1"/>
  <c r="R3723" i="33" s="1"/>
  <c r="R3724" i="33" s="1"/>
  <c r="R3725" i="33" s="1"/>
  <c r="R3726" i="33" s="1"/>
  <c r="R3727" i="33" s="1"/>
  <c r="R3728" i="33" s="1"/>
  <c r="R3729" i="33" s="1"/>
  <c r="R3730" i="33" s="1"/>
  <c r="R3731" i="33" s="1"/>
  <c r="R3732" i="33" s="1"/>
  <c r="R3733" i="33" s="1"/>
  <c r="R3734" i="33" s="1"/>
  <c r="R3735" i="33" s="1"/>
  <c r="R3736" i="33" s="1"/>
  <c r="R3737" i="33" s="1"/>
  <c r="R3738" i="33" s="1"/>
  <c r="R3739" i="33" s="1"/>
  <c r="R3740" i="33" s="1"/>
  <c r="R3741" i="33" s="1"/>
  <c r="R3742" i="33" s="1"/>
  <c r="R3743" i="33" s="1"/>
  <c r="R3744" i="33" s="1"/>
  <c r="R3745" i="33" s="1"/>
  <c r="R3746" i="33" s="1"/>
  <c r="R3747" i="33" s="1"/>
  <c r="R3748" i="33" s="1"/>
  <c r="R3749" i="33" s="1"/>
  <c r="R3750" i="33" s="1"/>
  <c r="R3751" i="33" s="1"/>
  <c r="R3752" i="33" s="1"/>
  <c r="R3753" i="33" s="1"/>
  <c r="R3754" i="33" s="1"/>
  <c r="R3755" i="33" s="1"/>
  <c r="R3756" i="33" s="1"/>
  <c r="R3757" i="33" s="1"/>
  <c r="R3758" i="33" s="1"/>
  <c r="R3759" i="33" s="1"/>
  <c r="R3760" i="33" s="1"/>
  <c r="R3761" i="33" s="1"/>
  <c r="R3762" i="33" s="1"/>
  <c r="R3763" i="33" s="1"/>
  <c r="R3764" i="33" s="1"/>
  <c r="R3765" i="33" s="1"/>
  <c r="R3766" i="33" s="1"/>
  <c r="R3767" i="33" s="1"/>
  <c r="R3768" i="33" s="1"/>
  <c r="R3769" i="33" s="1"/>
  <c r="R3770" i="33" s="1"/>
  <c r="R3771" i="33" s="1"/>
  <c r="R3772" i="33" s="1"/>
  <c r="R3773" i="33" s="1"/>
  <c r="R3774" i="33" s="1"/>
  <c r="R3775" i="33" s="1"/>
  <c r="R3776" i="33" s="1"/>
  <c r="R3777" i="33" s="1"/>
  <c r="R3778" i="33" s="1"/>
  <c r="R3779" i="33" s="1"/>
  <c r="R3780" i="33" s="1"/>
  <c r="R3781" i="33" s="1"/>
  <c r="R3782" i="33" s="1"/>
  <c r="R3783" i="33" s="1"/>
  <c r="R3784" i="33" s="1"/>
  <c r="R3785" i="33" s="1"/>
  <c r="R3786" i="33" s="1"/>
  <c r="R3787" i="33" s="1"/>
  <c r="R3788" i="33" s="1"/>
  <c r="R3789" i="33" s="1"/>
  <c r="R3790" i="33" s="1"/>
  <c r="R3791" i="33" s="1"/>
  <c r="R3792" i="33" s="1"/>
  <c r="R3793" i="33" s="1"/>
  <c r="R3794" i="33" s="1"/>
  <c r="R3795" i="33" s="1"/>
  <c r="R3796" i="33" s="1"/>
  <c r="R3797" i="33" s="1"/>
  <c r="R3798" i="33" s="1"/>
  <c r="R3799" i="33" s="1"/>
  <c r="R3800" i="33" s="1"/>
  <c r="R3801" i="33" s="1"/>
  <c r="R3802" i="33" s="1"/>
  <c r="R3803" i="33" s="1"/>
  <c r="R3804" i="33" s="1"/>
  <c r="R3805" i="33" s="1"/>
  <c r="R3806" i="33" s="1"/>
  <c r="R3807" i="33" s="1"/>
  <c r="R3808" i="33" s="1"/>
  <c r="R3809" i="33" s="1"/>
  <c r="R3810" i="33" s="1"/>
  <c r="R3811" i="33" s="1"/>
  <c r="R3812" i="33" s="1"/>
  <c r="R3813" i="33" s="1"/>
  <c r="R3814" i="33" s="1"/>
  <c r="R3815" i="33" s="1"/>
  <c r="R3816" i="33" s="1"/>
  <c r="R3817" i="33" s="1"/>
  <c r="R3818" i="33" s="1"/>
  <c r="R3819" i="33" s="1"/>
  <c r="R3820" i="33" s="1"/>
  <c r="R3821" i="33" s="1"/>
  <c r="R3822" i="33" s="1"/>
  <c r="R3823" i="33" s="1"/>
  <c r="R3824" i="33" s="1"/>
  <c r="R3825" i="33" s="1"/>
  <c r="R3826" i="33" s="1"/>
  <c r="R3827" i="33" s="1"/>
  <c r="R3828" i="33" s="1"/>
  <c r="R3829" i="33" s="1"/>
  <c r="R3830" i="33" s="1"/>
  <c r="R3831" i="33" s="1"/>
  <c r="R3832" i="33" s="1"/>
  <c r="R3833" i="33" s="1"/>
  <c r="R3834" i="33" s="1"/>
  <c r="R3835" i="33" s="1"/>
  <c r="R3836" i="33" s="1"/>
  <c r="R3837" i="33" s="1"/>
  <c r="R3838" i="33" s="1"/>
  <c r="R3839" i="33" s="1"/>
  <c r="R3840" i="33" s="1"/>
  <c r="R3841" i="33" s="1"/>
  <c r="R3842" i="33" s="1"/>
  <c r="R3843" i="33" s="1"/>
  <c r="R3844" i="33" s="1"/>
  <c r="R3845" i="33" s="1"/>
  <c r="R3846" i="33" s="1"/>
  <c r="R3847" i="33" s="1"/>
  <c r="R3848" i="33" s="1"/>
  <c r="R3849" i="33" s="1"/>
  <c r="R3850" i="33" s="1"/>
  <c r="R3851" i="33" s="1"/>
  <c r="R3852" i="33" s="1"/>
  <c r="R3853" i="33" s="1"/>
  <c r="R3854" i="33" s="1"/>
  <c r="R3855" i="33" s="1"/>
  <c r="R3856" i="33" s="1"/>
  <c r="R3857" i="33" s="1"/>
  <c r="R3858" i="33" s="1"/>
  <c r="R3859" i="33" s="1"/>
  <c r="R3860" i="33" s="1"/>
  <c r="R3861" i="33" s="1"/>
  <c r="R3862" i="33" s="1"/>
  <c r="R3863" i="33" s="1"/>
  <c r="R3864" i="33" s="1"/>
  <c r="R3865" i="33" s="1"/>
  <c r="R3866" i="33" s="1"/>
  <c r="R3867" i="33" s="1"/>
  <c r="R3868" i="33" s="1"/>
  <c r="R3869" i="33" s="1"/>
  <c r="R3870" i="33" s="1"/>
  <c r="R3871" i="33" s="1"/>
  <c r="R3872" i="33" s="1"/>
  <c r="R3873" i="33" s="1"/>
  <c r="R3874" i="33" s="1"/>
  <c r="R3875" i="33" s="1"/>
  <c r="R3876" i="33" s="1"/>
  <c r="R3877" i="33" s="1"/>
  <c r="R3878" i="33" s="1"/>
  <c r="R3879" i="33" s="1"/>
  <c r="R3880" i="33" s="1"/>
  <c r="R3881" i="33" s="1"/>
  <c r="R3882" i="33" s="1"/>
  <c r="R3883" i="33" s="1"/>
  <c r="R3884" i="33" s="1"/>
  <c r="R3885" i="33" s="1"/>
  <c r="R3886" i="33" s="1"/>
  <c r="R3887" i="33" s="1"/>
  <c r="R3888" i="33" s="1"/>
  <c r="R3889" i="33" s="1"/>
  <c r="R3890" i="33" s="1"/>
  <c r="R3891" i="33" s="1"/>
  <c r="R3892" i="33" s="1"/>
  <c r="R3893" i="33" s="1"/>
  <c r="R3894" i="33" s="1"/>
  <c r="R3895" i="33" s="1"/>
  <c r="R3896" i="33" s="1"/>
  <c r="R3897" i="33" s="1"/>
  <c r="R3898" i="33" s="1"/>
  <c r="R3899" i="33" s="1"/>
  <c r="R3900" i="33" s="1"/>
  <c r="R3901" i="33" s="1"/>
  <c r="R3902" i="33" s="1"/>
  <c r="R3903" i="33" s="1"/>
  <c r="R3904" i="33" s="1"/>
  <c r="R3905" i="33" s="1"/>
  <c r="R3906" i="33" s="1"/>
  <c r="R3907" i="33" s="1"/>
  <c r="R3908" i="33" s="1"/>
  <c r="R3909" i="33" s="1"/>
  <c r="R3910" i="33" s="1"/>
  <c r="R3911" i="33" s="1"/>
  <c r="R3912" i="33" s="1"/>
  <c r="R3913" i="33" s="1"/>
  <c r="R3914" i="33" s="1"/>
  <c r="R3915" i="33" s="1"/>
  <c r="R3916" i="33" s="1"/>
  <c r="R3917" i="33" s="1"/>
  <c r="R3918" i="33" s="1"/>
  <c r="R3919" i="33" s="1"/>
  <c r="R3920" i="33" s="1"/>
  <c r="R3921" i="33" s="1"/>
  <c r="R3922" i="33" s="1"/>
  <c r="R3923" i="33" s="1"/>
  <c r="R3924" i="33" s="1"/>
  <c r="R3925" i="33" s="1"/>
  <c r="R3926" i="33" s="1"/>
  <c r="R3927" i="33" s="1"/>
  <c r="R3928" i="33" s="1"/>
  <c r="R3929" i="33" s="1"/>
  <c r="R3930" i="33" s="1"/>
  <c r="R3931" i="33" s="1"/>
  <c r="R3932" i="33" s="1"/>
  <c r="R3933" i="33" s="1"/>
  <c r="R3934" i="33" s="1"/>
  <c r="R3935" i="33" s="1"/>
  <c r="R3936" i="33" s="1"/>
  <c r="R3937" i="33" s="1"/>
  <c r="R3938" i="33" s="1"/>
  <c r="R3939" i="33" s="1"/>
  <c r="R3940" i="33" s="1"/>
  <c r="R3941" i="33" s="1"/>
  <c r="R3942" i="33" s="1"/>
  <c r="R3943" i="33" s="1"/>
  <c r="R3944" i="33" s="1"/>
  <c r="R3945" i="33" s="1"/>
  <c r="R3946" i="33" s="1"/>
  <c r="R3947" i="33" s="1"/>
  <c r="R3948" i="33" s="1"/>
  <c r="R3949" i="33" s="1"/>
  <c r="R3950" i="33" s="1"/>
  <c r="R3951" i="33" s="1"/>
  <c r="R3952" i="33" s="1"/>
  <c r="R3953" i="33" s="1"/>
  <c r="R3954" i="33" s="1"/>
  <c r="R3955" i="33" s="1"/>
  <c r="R3956" i="33" s="1"/>
  <c r="R3957" i="33" s="1"/>
  <c r="R3958" i="33" s="1"/>
  <c r="R3959" i="33" s="1"/>
  <c r="R3960" i="33" s="1"/>
  <c r="R3961" i="33" s="1"/>
  <c r="R3962" i="33" s="1"/>
  <c r="R3963" i="33" s="1"/>
  <c r="R3964" i="33" s="1"/>
  <c r="R3965" i="33" s="1"/>
  <c r="R3966" i="33" s="1"/>
  <c r="R3967" i="33" s="1"/>
  <c r="R3968" i="33" s="1"/>
  <c r="R3969" i="33" s="1"/>
  <c r="R3970" i="33" s="1"/>
  <c r="R3971" i="33" s="1"/>
  <c r="R3972" i="33" s="1"/>
  <c r="R3973" i="33" s="1"/>
  <c r="R3974" i="33" s="1"/>
  <c r="R3975" i="33" s="1"/>
  <c r="R3976" i="33" s="1"/>
  <c r="R3977" i="33" s="1"/>
  <c r="R3978" i="33" s="1"/>
  <c r="R3979" i="33" s="1"/>
  <c r="R3980" i="33" s="1"/>
  <c r="R3981" i="33" s="1"/>
  <c r="R3982" i="33" s="1"/>
  <c r="R3983" i="33" s="1"/>
  <c r="R3984" i="33" s="1"/>
  <c r="R3985" i="33" s="1"/>
  <c r="R3986" i="33" s="1"/>
  <c r="R3987" i="33" s="1"/>
  <c r="R3988" i="33" s="1"/>
  <c r="R3989" i="33" s="1"/>
  <c r="R3990" i="33" s="1"/>
  <c r="R3991" i="33" s="1"/>
  <c r="R3992" i="33" s="1"/>
  <c r="R3993" i="33" s="1"/>
  <c r="R3994" i="33" s="1"/>
  <c r="R3995" i="33" s="1"/>
  <c r="R3996" i="33" s="1"/>
  <c r="R3997" i="33" s="1"/>
  <c r="R3998" i="33" s="1"/>
  <c r="R3999" i="33" s="1"/>
  <c r="P2701" i="33"/>
  <c r="P2702" i="33"/>
  <c r="P2703" i="33"/>
  <c r="P2704" i="33"/>
  <c r="P2705" i="33"/>
  <c r="P2706" i="33"/>
  <c r="P2707" i="33"/>
  <c r="P2708" i="33"/>
  <c r="P2709" i="33"/>
  <c r="P2710" i="33"/>
  <c r="P2711" i="33"/>
  <c r="P2712" i="33"/>
  <c r="P2713" i="33"/>
  <c r="P2714" i="33"/>
  <c r="P2715" i="33"/>
  <c r="P2716" i="33"/>
  <c r="P2717" i="33"/>
  <c r="P2718" i="33"/>
  <c r="P2719" i="33"/>
  <c r="P2720" i="33"/>
  <c r="P2721" i="33"/>
  <c r="P2722" i="33"/>
  <c r="P2723" i="33"/>
  <c r="P2724" i="33"/>
  <c r="P2725" i="33"/>
  <c r="P2726" i="33"/>
  <c r="P2727" i="33"/>
  <c r="P2728" i="33"/>
  <c r="P2729" i="33"/>
  <c r="P2730" i="33"/>
  <c r="P2731" i="33"/>
  <c r="P2732" i="33"/>
  <c r="P2733" i="33"/>
  <c r="P2734" i="33"/>
  <c r="P2735" i="33"/>
  <c r="P2736" i="33"/>
  <c r="P2737" i="33"/>
  <c r="P2738" i="33"/>
  <c r="P2739" i="33"/>
  <c r="P2740" i="33"/>
  <c r="P2741" i="33"/>
  <c r="P2742" i="33"/>
  <c r="P2743" i="33"/>
  <c r="P2744" i="33"/>
  <c r="P2745" i="33"/>
  <c r="P2746" i="33"/>
  <c r="P2747" i="33"/>
  <c r="P2748" i="33"/>
  <c r="P2749" i="33"/>
  <c r="P2750" i="33"/>
  <c r="P2751" i="33"/>
  <c r="P2752" i="33"/>
  <c r="P2753" i="33"/>
  <c r="P2754" i="33"/>
  <c r="P2755" i="33"/>
  <c r="P2756" i="33"/>
  <c r="P2757" i="33"/>
  <c r="P2758" i="33"/>
  <c r="P2759" i="33"/>
  <c r="P2760" i="33"/>
  <c r="P2761" i="33"/>
  <c r="P2762" i="33"/>
  <c r="P2763" i="33"/>
  <c r="P2764" i="33"/>
  <c r="P2765" i="33"/>
  <c r="P2766" i="33"/>
  <c r="P2767" i="33"/>
  <c r="P2768" i="33"/>
  <c r="P2769" i="33"/>
  <c r="P2770" i="33"/>
  <c r="P2771" i="33"/>
  <c r="P2772" i="33"/>
  <c r="P2773" i="33"/>
  <c r="P2774" i="33"/>
  <c r="P2775" i="33"/>
  <c r="P2776" i="33"/>
  <c r="P2777" i="33"/>
  <c r="P2778" i="33"/>
  <c r="P2779" i="33"/>
  <c r="P2780" i="33"/>
  <c r="P2781" i="33"/>
  <c r="P2782" i="33"/>
  <c r="P2783" i="33"/>
  <c r="P2784" i="33"/>
  <c r="P2785" i="33"/>
  <c r="P2786" i="33"/>
  <c r="P2787" i="33"/>
  <c r="P2788" i="33"/>
  <c r="P2789" i="33"/>
  <c r="P2790" i="33"/>
  <c r="P2791" i="33"/>
  <c r="P2792" i="33"/>
  <c r="P2793" i="33"/>
  <c r="P2794" i="33"/>
  <c r="P2795" i="33"/>
  <c r="P2796" i="33"/>
  <c r="P2797" i="33"/>
  <c r="P2798" i="33"/>
  <c r="P2799" i="33"/>
  <c r="P2800" i="33"/>
  <c r="P2801" i="33"/>
  <c r="P2802" i="33"/>
  <c r="P2803" i="33"/>
  <c r="P2804" i="33"/>
  <c r="P2805" i="33"/>
  <c r="P2806" i="33"/>
  <c r="P2807" i="33"/>
  <c r="P2808" i="33"/>
  <c r="P2809" i="33"/>
  <c r="P2810" i="33"/>
  <c r="P2811" i="33"/>
  <c r="P2812" i="33"/>
  <c r="P2813" i="33"/>
  <c r="P2814" i="33"/>
  <c r="P2815" i="33"/>
  <c r="P2816" i="33"/>
  <c r="P2817" i="33"/>
  <c r="P2818" i="33"/>
  <c r="P2819" i="33"/>
  <c r="P2820" i="33"/>
  <c r="P2821" i="33"/>
  <c r="P2822" i="33"/>
  <c r="P2823" i="33"/>
  <c r="P2824" i="33"/>
  <c r="P2825" i="33"/>
  <c r="P2826" i="33"/>
  <c r="P2827" i="33"/>
  <c r="P2828" i="33"/>
  <c r="P2829" i="33"/>
  <c r="P2830" i="33"/>
  <c r="P2831" i="33"/>
  <c r="P2832" i="33"/>
  <c r="P2833" i="33"/>
  <c r="P2834" i="33"/>
  <c r="P2835" i="33"/>
  <c r="P2836" i="33"/>
  <c r="P2837" i="33"/>
  <c r="P2838" i="33"/>
  <c r="P2839" i="33"/>
  <c r="P2840" i="33"/>
  <c r="P2841" i="33"/>
  <c r="P2842" i="33"/>
  <c r="P2843" i="33"/>
  <c r="P2844" i="33"/>
  <c r="P2845" i="33"/>
  <c r="P2846" i="33"/>
  <c r="P2847" i="33"/>
  <c r="P2848" i="33"/>
  <c r="P2849" i="33"/>
  <c r="P2850" i="33"/>
  <c r="P2851" i="33"/>
  <c r="P2852" i="33"/>
  <c r="P2853" i="33"/>
  <c r="P2854" i="33"/>
  <c r="P2855" i="33"/>
  <c r="P2856" i="33"/>
  <c r="P2857" i="33"/>
  <c r="P2858" i="33"/>
  <c r="P2859" i="33"/>
  <c r="P2860" i="33"/>
  <c r="P2861" i="33"/>
  <c r="P2862" i="33"/>
  <c r="P2863" i="33"/>
  <c r="P2864" i="33"/>
  <c r="P2865" i="33"/>
  <c r="P2866" i="33"/>
  <c r="P2867" i="33"/>
  <c r="P2868" i="33"/>
  <c r="P2869" i="33"/>
  <c r="P2870" i="33"/>
  <c r="P2871" i="33"/>
  <c r="P2872" i="33"/>
  <c r="P2873" i="33"/>
  <c r="P2874" i="33"/>
  <c r="P2875" i="33"/>
  <c r="P2876" i="33"/>
  <c r="P2877" i="33"/>
  <c r="P2878" i="33"/>
  <c r="P2879" i="33"/>
  <c r="P2880" i="33"/>
  <c r="P2881" i="33"/>
  <c r="P2882" i="33"/>
  <c r="P2883" i="33"/>
  <c r="P2884" i="33"/>
  <c r="P2885" i="33"/>
  <c r="P2886" i="33"/>
  <c r="P2887" i="33"/>
  <c r="P2888" i="33"/>
  <c r="P2889" i="33"/>
  <c r="P2890" i="33"/>
  <c r="P2891" i="33"/>
  <c r="P2892" i="33"/>
  <c r="P2893" i="33"/>
  <c r="P2894" i="33"/>
  <c r="P2895" i="33"/>
  <c r="P2896" i="33"/>
  <c r="P2897" i="33"/>
  <c r="P2898" i="33"/>
  <c r="P2899" i="33"/>
  <c r="P2900" i="33"/>
  <c r="P2901" i="33"/>
  <c r="P2902" i="33"/>
  <c r="P2903" i="33"/>
  <c r="P2904" i="33"/>
  <c r="P2905" i="33"/>
  <c r="P2906" i="33"/>
  <c r="P2907" i="33"/>
  <c r="P2908" i="33"/>
  <c r="P2909" i="33"/>
  <c r="P2910" i="33"/>
  <c r="P2911" i="33"/>
  <c r="P2912" i="33"/>
  <c r="P2913" i="33"/>
  <c r="P2914" i="33"/>
  <c r="P2915" i="33"/>
  <c r="P2916" i="33"/>
  <c r="P2917" i="33"/>
  <c r="P2918" i="33"/>
  <c r="P2919" i="33"/>
  <c r="P2920" i="33"/>
  <c r="P2921" i="33"/>
  <c r="P2922" i="33"/>
  <c r="P2923" i="33"/>
  <c r="P2924" i="33"/>
  <c r="P2925" i="33"/>
  <c r="P2926" i="33"/>
  <c r="P2927" i="33"/>
  <c r="P2928" i="33"/>
  <c r="P2929" i="33"/>
  <c r="P2930" i="33"/>
  <c r="P2931" i="33"/>
  <c r="P2932" i="33"/>
  <c r="P2933" i="33"/>
  <c r="P2934" i="33"/>
  <c r="P2935" i="33"/>
  <c r="P2936" i="33"/>
  <c r="P2937" i="33"/>
  <c r="P2938" i="33"/>
  <c r="P2939" i="33"/>
  <c r="P2940" i="33"/>
  <c r="P2941" i="33"/>
  <c r="P2942" i="33"/>
  <c r="P2943" i="33"/>
  <c r="P2944" i="33"/>
  <c r="P2945" i="33"/>
  <c r="P2946" i="33"/>
  <c r="P2947" i="33"/>
  <c r="P2948" i="33"/>
  <c r="P2949" i="33"/>
  <c r="P2950" i="33"/>
  <c r="P2951" i="33"/>
  <c r="P2952" i="33"/>
  <c r="P2953" i="33"/>
  <c r="P2954" i="33"/>
  <c r="P2955" i="33"/>
  <c r="P2956" i="33"/>
  <c r="P2957" i="33"/>
  <c r="P2958" i="33"/>
  <c r="P2959" i="33"/>
  <c r="P2960" i="33"/>
  <c r="P2961" i="33"/>
  <c r="P2962" i="33"/>
  <c r="P2963" i="33"/>
  <c r="P2964" i="33"/>
  <c r="P2965" i="33"/>
  <c r="P2966" i="33"/>
  <c r="P2967" i="33"/>
  <c r="P2968" i="33"/>
  <c r="P2969" i="33"/>
  <c r="P2970" i="33"/>
  <c r="P2971" i="33"/>
  <c r="P2972" i="33"/>
  <c r="P2973" i="33"/>
  <c r="P2974" i="33"/>
  <c r="P2975" i="33"/>
  <c r="P2976" i="33"/>
  <c r="P2977" i="33"/>
  <c r="P2978" i="33"/>
  <c r="P2979" i="33"/>
  <c r="P2980" i="33"/>
  <c r="P2981" i="33"/>
  <c r="P2982" i="33"/>
  <c r="P2983" i="33"/>
  <c r="P2984" i="33"/>
  <c r="P2985" i="33"/>
  <c r="P2986" i="33"/>
  <c r="P2987" i="33"/>
  <c r="P2988" i="33"/>
  <c r="P2989" i="33"/>
  <c r="P2990" i="33"/>
  <c r="P2991" i="33"/>
  <c r="P2992" i="33"/>
  <c r="P2993" i="33"/>
  <c r="P2994" i="33"/>
  <c r="P2995" i="33"/>
  <c r="P2996" i="33"/>
  <c r="P2997" i="33"/>
  <c r="P2998" i="33"/>
  <c r="P2999" i="33"/>
  <c r="P3000" i="33"/>
  <c r="P3001" i="33"/>
  <c r="P3002" i="33"/>
  <c r="P3003" i="33"/>
  <c r="P3004" i="33"/>
  <c r="P3005" i="33"/>
  <c r="P3006" i="33"/>
  <c r="P3007" i="33"/>
  <c r="P3008" i="33"/>
  <c r="P3009" i="33"/>
  <c r="P3010" i="33"/>
  <c r="P3011" i="33"/>
  <c r="P3012" i="33"/>
  <c r="P3013" i="33"/>
  <c r="P3014" i="33"/>
  <c r="P3015" i="33"/>
  <c r="P3016" i="33"/>
  <c r="P3017" i="33"/>
  <c r="P3018" i="33"/>
  <c r="P3019" i="33"/>
  <c r="P3020" i="33"/>
  <c r="P3021" i="33"/>
  <c r="P3022" i="33"/>
  <c r="P3023" i="33"/>
  <c r="P3024" i="33"/>
  <c r="P3025" i="33"/>
  <c r="P3026" i="33"/>
  <c r="P3027" i="33"/>
  <c r="P3028" i="33"/>
  <c r="P3029" i="33"/>
  <c r="P3030" i="33"/>
  <c r="P3031" i="33"/>
  <c r="P3032" i="33"/>
  <c r="P3033" i="33"/>
  <c r="P3034" i="33"/>
  <c r="P3035" i="33"/>
  <c r="P3036" i="33"/>
  <c r="P3037" i="33"/>
  <c r="P3038" i="33"/>
  <c r="P3039" i="33"/>
  <c r="P3040" i="33"/>
  <c r="P3041" i="33"/>
  <c r="P3042" i="33"/>
  <c r="P3043" i="33"/>
  <c r="P3044" i="33"/>
  <c r="P3045" i="33"/>
  <c r="P3046" i="33"/>
  <c r="P3047" i="33"/>
  <c r="P3048" i="33"/>
  <c r="P3049" i="33"/>
  <c r="P3050" i="33"/>
  <c r="P3051" i="33"/>
  <c r="P3052" i="33"/>
  <c r="P3053" i="33"/>
  <c r="P3054" i="33"/>
  <c r="P3055" i="33"/>
  <c r="P3056" i="33"/>
  <c r="P3057" i="33"/>
  <c r="P3058" i="33"/>
  <c r="P3059" i="33"/>
  <c r="P3060" i="33"/>
  <c r="P3061" i="33"/>
  <c r="P3062" i="33"/>
  <c r="P3063" i="33"/>
  <c r="P3064" i="33"/>
  <c r="P3065" i="33"/>
  <c r="P3066" i="33"/>
  <c r="P3067" i="33"/>
  <c r="P3068" i="33"/>
  <c r="P3069" i="33"/>
  <c r="P3070" i="33"/>
  <c r="P3071" i="33"/>
  <c r="P3072" i="33"/>
  <c r="P3073" i="33"/>
  <c r="P3074" i="33"/>
  <c r="P3075" i="33"/>
  <c r="P3076" i="33"/>
  <c r="P3077" i="33"/>
  <c r="P3078" i="33"/>
  <c r="P3079" i="33"/>
  <c r="P3080" i="33"/>
  <c r="P3081" i="33"/>
  <c r="P3082" i="33"/>
  <c r="P3083" i="33"/>
  <c r="P3084" i="33"/>
  <c r="P3085" i="33"/>
  <c r="P3086" i="33"/>
  <c r="P3087" i="33"/>
  <c r="P3088" i="33"/>
  <c r="P3089" i="33"/>
  <c r="P3090" i="33"/>
  <c r="P3091" i="33"/>
  <c r="P3092" i="33"/>
  <c r="P3093" i="33"/>
  <c r="P3094" i="33"/>
  <c r="P3095" i="33"/>
  <c r="P3096" i="33"/>
  <c r="P3097" i="33"/>
  <c r="P3098" i="33"/>
  <c r="P3099" i="33"/>
  <c r="P3100" i="33"/>
  <c r="P3101" i="33"/>
  <c r="P3102" i="33"/>
  <c r="P3103" i="33"/>
  <c r="P3104" i="33"/>
  <c r="P3105" i="33"/>
  <c r="P3106" i="33"/>
  <c r="P3107" i="33"/>
  <c r="P3108" i="33"/>
  <c r="P3109" i="33"/>
  <c r="P3110" i="33"/>
  <c r="P3111" i="33"/>
  <c r="P3112" i="33"/>
  <c r="P3113" i="33"/>
  <c r="P3114" i="33"/>
  <c r="P3115" i="33"/>
  <c r="P3116" i="33"/>
  <c r="P3117" i="33"/>
  <c r="P3118" i="33"/>
  <c r="P3119" i="33"/>
  <c r="P3120" i="33"/>
  <c r="P3121" i="33"/>
  <c r="P3122" i="33"/>
  <c r="P3123" i="33"/>
  <c r="P3124" i="33"/>
  <c r="P3125" i="33"/>
  <c r="P3126" i="33"/>
  <c r="P3127" i="33"/>
  <c r="P3128" i="33"/>
  <c r="P3129" i="33"/>
  <c r="P3130" i="33"/>
  <c r="P3131" i="33"/>
  <c r="P3132" i="33"/>
  <c r="P3133" i="33"/>
  <c r="P3134" i="33"/>
  <c r="P3135" i="33"/>
  <c r="P3136" i="33"/>
  <c r="P3137" i="33"/>
  <c r="P3138" i="33"/>
  <c r="P3139" i="33"/>
  <c r="P3140" i="33"/>
  <c r="P3141" i="33"/>
  <c r="P3142" i="33"/>
  <c r="P3143" i="33"/>
  <c r="P3144" i="33"/>
  <c r="P3145" i="33"/>
  <c r="P3146" i="33"/>
  <c r="P3147" i="33"/>
  <c r="P3148" i="33"/>
  <c r="P3149" i="33"/>
  <c r="P3150" i="33"/>
  <c r="P3151" i="33"/>
  <c r="P3152" i="33"/>
  <c r="P3153" i="33"/>
  <c r="P3154" i="33"/>
  <c r="P3155" i="33"/>
  <c r="P3156" i="33"/>
  <c r="P3157" i="33"/>
  <c r="P3158" i="33"/>
  <c r="P3159" i="33"/>
  <c r="P3160" i="33"/>
  <c r="P3161" i="33"/>
  <c r="P3162" i="33"/>
  <c r="P3163" i="33"/>
  <c r="P3164" i="33"/>
  <c r="P3165" i="33"/>
  <c r="P3166" i="33"/>
  <c r="P3167" i="33"/>
  <c r="P3168" i="33"/>
  <c r="P3169" i="33"/>
  <c r="P3170" i="33"/>
  <c r="P3171" i="33"/>
  <c r="P3172" i="33"/>
  <c r="P3173" i="33"/>
  <c r="P3174" i="33"/>
  <c r="P3175" i="33"/>
  <c r="P3176" i="33"/>
  <c r="P3177" i="33"/>
  <c r="P3178" i="33"/>
  <c r="P3179" i="33"/>
  <c r="P3180" i="33"/>
  <c r="P3181" i="33"/>
  <c r="P3182" i="33"/>
  <c r="P3183" i="33"/>
  <c r="P3184" i="33"/>
  <c r="P3185" i="33"/>
  <c r="P3186" i="33"/>
  <c r="P3187" i="33"/>
  <c r="P3188" i="33"/>
  <c r="P3189" i="33"/>
  <c r="P3190" i="33"/>
  <c r="P3191" i="33"/>
  <c r="P3192" i="33"/>
  <c r="P3193" i="33"/>
  <c r="P3194" i="33"/>
  <c r="P3195" i="33"/>
  <c r="P3196" i="33"/>
  <c r="P3197" i="33"/>
  <c r="P3198" i="33"/>
  <c r="P3199" i="33"/>
  <c r="P3200" i="33"/>
  <c r="P3201" i="33"/>
  <c r="P3202" i="33"/>
  <c r="P3203" i="33"/>
  <c r="P3204" i="33"/>
  <c r="P3205" i="33"/>
  <c r="P3206" i="33"/>
  <c r="P3207" i="33"/>
  <c r="P3208" i="33"/>
  <c r="P3209" i="33"/>
  <c r="P3210" i="33"/>
  <c r="P3211" i="33"/>
  <c r="P3212" i="33"/>
  <c r="P3213" i="33"/>
  <c r="P3214" i="33"/>
  <c r="P3215" i="33"/>
  <c r="P3216" i="33"/>
  <c r="P3217" i="33"/>
  <c r="P3218" i="33"/>
  <c r="P3219" i="33"/>
  <c r="P3220" i="33"/>
  <c r="P3221" i="33"/>
  <c r="P3222" i="33"/>
  <c r="P3223" i="33"/>
  <c r="P3224" i="33"/>
  <c r="P3225" i="33"/>
  <c r="P3226" i="33"/>
  <c r="P3227" i="33"/>
  <c r="P3228" i="33"/>
  <c r="P3229" i="33"/>
  <c r="P3230" i="33"/>
  <c r="P3231" i="33"/>
  <c r="P3232" i="33"/>
  <c r="P3233" i="33"/>
  <c r="P3234" i="33"/>
  <c r="P3235" i="33"/>
  <c r="P3236" i="33"/>
  <c r="P3237" i="33"/>
  <c r="P3238" i="33"/>
  <c r="P3239" i="33"/>
  <c r="P3240" i="33"/>
  <c r="P3241" i="33"/>
  <c r="P3242" i="33"/>
  <c r="P3243" i="33"/>
  <c r="P3244" i="33"/>
  <c r="P3245" i="33"/>
  <c r="P3246" i="33"/>
  <c r="P3247" i="33"/>
  <c r="P3248" i="33"/>
  <c r="P3249" i="33"/>
  <c r="P3250" i="33"/>
  <c r="P3251" i="33"/>
  <c r="P3252" i="33"/>
  <c r="P3253" i="33"/>
  <c r="P3254" i="33"/>
  <c r="P3255" i="33"/>
  <c r="P3256" i="33"/>
  <c r="P3257" i="33"/>
  <c r="P3258" i="33"/>
  <c r="P3259" i="33"/>
  <c r="P3260" i="33"/>
  <c r="P3261" i="33"/>
  <c r="P3262" i="33"/>
  <c r="P3263" i="33"/>
  <c r="P3264" i="33"/>
  <c r="P3265" i="33"/>
  <c r="P3266" i="33"/>
  <c r="P3267" i="33"/>
  <c r="P3268" i="33"/>
  <c r="P3269" i="33"/>
  <c r="P3270" i="33"/>
  <c r="P3271" i="33"/>
  <c r="P3272" i="33"/>
  <c r="P3273" i="33"/>
  <c r="P3274" i="33"/>
  <c r="P3275" i="33"/>
  <c r="P3276" i="33"/>
  <c r="P3277" i="33"/>
  <c r="P3278" i="33"/>
  <c r="P3279" i="33"/>
  <c r="P3280" i="33"/>
  <c r="P3281" i="33"/>
  <c r="P3282" i="33"/>
  <c r="P3283" i="33"/>
  <c r="P3284" i="33"/>
  <c r="P3285" i="33"/>
  <c r="P3286" i="33"/>
  <c r="P3287" i="33"/>
  <c r="P3288" i="33"/>
  <c r="P3289" i="33"/>
  <c r="P3290" i="33"/>
  <c r="P3291" i="33"/>
  <c r="P3292" i="33"/>
  <c r="P3293" i="33"/>
  <c r="P3294" i="33"/>
  <c r="P3295" i="33"/>
  <c r="P3296" i="33"/>
  <c r="P3297" i="33"/>
  <c r="P3298" i="33"/>
  <c r="P3299" i="33"/>
  <c r="P3300" i="33"/>
  <c r="P3301" i="33"/>
  <c r="P3302" i="33"/>
  <c r="P3303" i="33"/>
  <c r="P3304" i="33"/>
  <c r="P3305" i="33"/>
  <c r="P3306" i="33"/>
  <c r="P3307" i="33"/>
  <c r="P3308" i="33"/>
  <c r="P3309" i="33"/>
  <c r="P3310" i="33"/>
  <c r="P3311" i="33"/>
  <c r="P3312" i="33"/>
  <c r="P3313" i="33"/>
  <c r="P3314" i="33"/>
  <c r="P3315" i="33"/>
  <c r="P3316" i="33"/>
  <c r="P3317" i="33"/>
  <c r="P3318" i="33"/>
  <c r="P3319" i="33"/>
  <c r="P3320" i="33"/>
  <c r="P3321" i="33"/>
  <c r="P3322" i="33"/>
  <c r="P3323" i="33"/>
  <c r="P3324" i="33"/>
  <c r="P3325" i="33"/>
  <c r="P3326" i="33"/>
  <c r="P3327" i="33"/>
  <c r="P3328" i="33"/>
  <c r="P3329" i="33"/>
  <c r="P3330" i="33"/>
  <c r="P3331" i="33"/>
  <c r="P3332" i="33"/>
  <c r="P3333" i="33"/>
  <c r="P3334" i="33"/>
  <c r="P3335" i="33"/>
  <c r="P3336" i="33"/>
  <c r="P3337" i="33"/>
  <c r="P3338" i="33"/>
  <c r="P3339" i="33"/>
  <c r="P3340" i="33"/>
  <c r="P3341" i="33"/>
  <c r="P3342" i="33"/>
  <c r="P3343" i="33"/>
  <c r="P3344" i="33"/>
  <c r="P3345" i="33"/>
  <c r="P3346" i="33"/>
  <c r="P3347" i="33"/>
  <c r="P3348" i="33"/>
  <c r="P3349" i="33"/>
  <c r="P3350" i="33"/>
  <c r="P3351" i="33"/>
  <c r="P3352" i="33"/>
  <c r="P3353" i="33"/>
  <c r="P3354" i="33"/>
  <c r="P3355" i="33"/>
  <c r="P3356" i="33"/>
  <c r="P3357" i="33"/>
  <c r="P3358" i="33"/>
  <c r="P3359" i="33"/>
  <c r="P3360" i="33"/>
  <c r="P3361" i="33"/>
  <c r="P3362" i="33"/>
  <c r="P3363" i="33"/>
  <c r="P3364" i="33"/>
  <c r="P3365" i="33"/>
  <c r="P3366" i="33"/>
  <c r="P3367" i="33"/>
  <c r="P3368" i="33"/>
  <c r="P3369" i="33"/>
  <c r="P3370" i="33"/>
  <c r="P3371" i="33"/>
  <c r="P3372" i="33"/>
  <c r="P3373" i="33"/>
  <c r="P3374" i="33"/>
  <c r="P3375" i="33"/>
  <c r="P3376" i="33"/>
  <c r="P3377" i="33"/>
  <c r="P3378" i="33"/>
  <c r="P3379" i="33"/>
  <c r="P3380" i="33"/>
  <c r="P3381" i="33"/>
  <c r="P3382" i="33"/>
  <c r="P3383" i="33"/>
  <c r="P3384" i="33"/>
  <c r="P3385" i="33"/>
  <c r="P3386" i="33"/>
  <c r="P3387" i="33"/>
  <c r="P3388" i="33"/>
  <c r="P3389" i="33"/>
  <c r="P3390" i="33"/>
  <c r="P3391" i="33"/>
  <c r="P3392" i="33"/>
  <c r="P3393" i="33"/>
  <c r="P3394" i="33"/>
  <c r="P3395" i="33"/>
  <c r="P3396" i="33"/>
  <c r="P3397" i="33"/>
  <c r="P3398" i="33"/>
  <c r="P3399" i="33"/>
  <c r="P3400" i="33"/>
  <c r="P3401" i="33"/>
  <c r="P3402" i="33"/>
  <c r="P3403" i="33"/>
  <c r="P3404" i="33"/>
  <c r="P3405" i="33"/>
  <c r="P3406" i="33"/>
  <c r="P3407" i="33"/>
  <c r="P3408" i="33"/>
  <c r="P3409" i="33"/>
  <c r="P3410" i="33"/>
  <c r="P3411" i="33"/>
  <c r="P3412" i="33"/>
  <c r="P3413" i="33"/>
  <c r="P3414" i="33"/>
  <c r="P3415" i="33"/>
  <c r="P3416" i="33"/>
  <c r="P3417" i="33"/>
  <c r="P3418" i="33"/>
  <c r="P3419" i="33"/>
  <c r="P3420" i="33"/>
  <c r="P3421" i="33"/>
  <c r="P3422" i="33"/>
  <c r="P3423" i="33"/>
  <c r="P3424" i="33"/>
  <c r="P3425" i="33"/>
  <c r="P3426" i="33"/>
  <c r="P3427" i="33"/>
  <c r="P3428" i="33"/>
  <c r="P3429" i="33"/>
  <c r="P3430" i="33"/>
  <c r="P3431" i="33"/>
  <c r="P3432" i="33"/>
  <c r="P3433" i="33"/>
  <c r="P3434" i="33"/>
  <c r="P3435" i="33"/>
  <c r="P3436" i="33"/>
  <c r="P3437" i="33"/>
  <c r="P3438" i="33"/>
  <c r="P3439" i="33"/>
  <c r="P3440" i="33"/>
  <c r="P3441" i="33"/>
  <c r="P3442" i="33"/>
  <c r="P3443" i="33"/>
  <c r="P3444" i="33"/>
  <c r="P3445" i="33"/>
  <c r="P3446" i="33"/>
  <c r="P3447" i="33"/>
  <c r="P3448" i="33"/>
  <c r="P3449" i="33"/>
  <c r="P3450" i="33"/>
  <c r="P3451" i="33"/>
  <c r="P3452" i="33"/>
  <c r="P3453" i="33"/>
  <c r="P3454" i="33"/>
  <c r="P3455" i="33"/>
  <c r="P3456" i="33"/>
  <c r="P3457" i="33"/>
  <c r="P3458" i="33"/>
  <c r="P3459" i="33"/>
  <c r="P3460" i="33"/>
  <c r="P3461" i="33"/>
  <c r="P3462" i="33"/>
  <c r="P3463" i="33"/>
  <c r="P3464" i="33"/>
  <c r="P3465" i="33"/>
  <c r="P3466" i="33"/>
  <c r="P3467" i="33"/>
  <c r="P3468" i="33"/>
  <c r="P3469" i="33"/>
  <c r="P3470" i="33"/>
  <c r="P3471" i="33"/>
  <c r="P3472" i="33"/>
  <c r="P3473" i="33"/>
  <c r="P3474" i="33"/>
  <c r="P3475" i="33"/>
  <c r="P3476" i="33"/>
  <c r="P3477" i="33"/>
  <c r="P3478" i="33"/>
  <c r="P3479" i="33"/>
  <c r="P3480" i="33"/>
  <c r="P3481" i="33"/>
  <c r="P3482" i="33"/>
  <c r="P3483" i="33"/>
  <c r="P3484" i="33"/>
  <c r="P3485" i="33"/>
  <c r="P3486" i="33"/>
  <c r="P3487" i="33"/>
  <c r="P3488" i="33"/>
  <c r="P3489" i="33"/>
  <c r="P3490" i="33"/>
  <c r="P3491" i="33"/>
  <c r="P3492" i="33"/>
  <c r="P3493" i="33"/>
  <c r="P3494" i="33"/>
  <c r="P3495" i="33"/>
  <c r="P3496" i="33"/>
  <c r="P3497" i="33"/>
  <c r="P3498" i="33"/>
  <c r="P3499" i="33"/>
  <c r="P3500" i="33"/>
  <c r="P3501" i="33"/>
  <c r="P3502" i="33"/>
  <c r="P3503" i="33"/>
  <c r="P3504" i="33"/>
  <c r="P3505" i="33"/>
  <c r="P3506" i="33"/>
  <c r="P3507" i="33"/>
  <c r="P3508" i="33"/>
  <c r="P3509" i="33"/>
  <c r="P3510" i="33"/>
  <c r="P3511" i="33"/>
  <c r="P3512" i="33"/>
  <c r="P3513" i="33"/>
  <c r="P3514" i="33"/>
  <c r="P3515" i="33"/>
  <c r="P3516" i="33"/>
  <c r="P3517" i="33"/>
  <c r="P3518" i="33"/>
  <c r="P3519" i="33"/>
  <c r="P3520" i="33"/>
  <c r="P3521" i="33"/>
  <c r="P3522" i="33"/>
  <c r="P3523" i="33"/>
  <c r="P3524" i="33"/>
  <c r="P3525" i="33"/>
  <c r="P3526" i="33"/>
  <c r="P3527" i="33"/>
  <c r="P3528" i="33"/>
  <c r="P3529" i="33"/>
  <c r="P3530" i="33"/>
  <c r="P3531" i="33"/>
  <c r="P3532" i="33"/>
  <c r="P3533" i="33"/>
  <c r="P3534" i="33"/>
  <c r="P3535" i="33"/>
  <c r="P3536" i="33"/>
  <c r="P3537" i="33"/>
  <c r="P3538" i="33"/>
  <c r="P3539" i="33"/>
  <c r="P3540" i="33"/>
  <c r="P3541" i="33"/>
  <c r="P3542" i="33"/>
  <c r="P3543" i="33"/>
  <c r="P3544" i="33"/>
  <c r="P3545" i="33"/>
  <c r="P3546" i="33"/>
  <c r="P3547" i="33"/>
  <c r="P3548" i="33"/>
  <c r="P3549" i="33"/>
  <c r="P3550" i="33"/>
  <c r="P3551" i="33"/>
  <c r="P3552" i="33"/>
  <c r="P3553" i="33"/>
  <c r="P3554" i="33"/>
  <c r="P3555" i="33"/>
  <c r="P3556" i="33"/>
  <c r="P3557" i="33"/>
  <c r="P3558" i="33"/>
  <c r="P3559" i="33"/>
  <c r="P3560" i="33"/>
  <c r="P3561" i="33"/>
  <c r="P3562" i="33"/>
  <c r="P3563" i="33"/>
  <c r="P3564" i="33"/>
  <c r="P3565" i="33"/>
  <c r="P3566" i="33"/>
  <c r="P3567" i="33"/>
  <c r="P3568" i="33"/>
  <c r="P3569" i="33"/>
  <c r="P3570" i="33"/>
  <c r="P3571" i="33"/>
  <c r="P3572" i="33"/>
  <c r="P3573" i="33"/>
  <c r="P3574" i="33"/>
  <c r="P3575" i="33"/>
  <c r="P3576" i="33"/>
  <c r="P3577" i="33"/>
  <c r="P3578" i="33"/>
  <c r="P3579" i="33"/>
  <c r="P3580" i="33"/>
  <c r="P3581" i="33"/>
  <c r="P3582" i="33"/>
  <c r="P3583" i="33"/>
  <c r="P3584" i="33"/>
  <c r="P3585" i="33"/>
  <c r="P3586" i="33"/>
  <c r="P3587" i="33"/>
  <c r="P3588" i="33"/>
  <c r="P3589" i="33"/>
  <c r="P3590" i="33"/>
  <c r="P3591" i="33"/>
  <c r="P3592" i="33"/>
  <c r="P3593" i="33"/>
  <c r="P3594" i="33"/>
  <c r="P3595" i="33"/>
  <c r="P3596" i="33"/>
  <c r="P3597" i="33"/>
  <c r="P3598" i="33"/>
  <c r="P3599" i="33"/>
  <c r="P3600" i="33"/>
  <c r="P3601" i="33"/>
  <c r="P3602" i="33"/>
  <c r="P3603" i="33"/>
  <c r="P3604" i="33"/>
  <c r="P3605" i="33"/>
  <c r="P3606" i="33"/>
  <c r="P3607" i="33"/>
  <c r="P3608" i="33"/>
  <c r="P3609" i="33"/>
  <c r="P3610" i="33"/>
  <c r="P3611" i="33"/>
  <c r="P3612" i="33"/>
  <c r="P3613" i="33"/>
  <c r="P3614" i="33"/>
  <c r="P3615" i="33"/>
  <c r="P3616" i="33"/>
  <c r="P3617" i="33"/>
  <c r="P3618" i="33"/>
  <c r="P3619" i="33"/>
  <c r="P3620" i="33"/>
  <c r="P3621" i="33"/>
  <c r="P3622" i="33"/>
  <c r="P3623" i="33"/>
  <c r="P3624" i="33"/>
  <c r="P3625" i="33"/>
  <c r="P3626" i="33"/>
  <c r="P3627" i="33"/>
  <c r="P3628" i="33"/>
  <c r="P3629" i="33"/>
  <c r="P3630" i="33"/>
  <c r="P3631" i="33"/>
  <c r="P3632" i="33"/>
  <c r="P3633" i="33"/>
  <c r="P3634" i="33"/>
  <c r="P3635" i="33"/>
  <c r="P3636" i="33"/>
  <c r="P3637" i="33"/>
  <c r="P3638" i="33"/>
  <c r="P3639" i="33"/>
  <c r="P3640" i="33"/>
  <c r="P3641" i="33"/>
  <c r="P3642" i="33"/>
  <c r="P3643" i="33"/>
  <c r="P3644" i="33"/>
  <c r="P3645" i="33"/>
  <c r="P3646" i="33"/>
  <c r="P3647" i="33"/>
  <c r="P3648" i="33"/>
  <c r="P3649" i="33"/>
  <c r="P3650" i="33"/>
  <c r="P3651" i="33"/>
  <c r="P3652" i="33"/>
  <c r="P3653" i="33"/>
  <c r="P3654" i="33"/>
  <c r="P3655" i="33"/>
  <c r="P3656" i="33"/>
  <c r="P3657" i="33"/>
  <c r="P3658" i="33"/>
  <c r="P3659" i="33"/>
  <c r="P3660" i="33"/>
  <c r="P3661" i="33"/>
  <c r="P3662" i="33"/>
  <c r="P3663" i="33"/>
  <c r="P3664" i="33"/>
  <c r="P3665" i="33"/>
  <c r="P3666" i="33"/>
  <c r="P3667" i="33"/>
  <c r="P3668" i="33"/>
  <c r="P3669" i="33"/>
  <c r="P3670" i="33"/>
  <c r="P3671" i="33"/>
  <c r="P3672" i="33"/>
  <c r="P3673" i="33"/>
  <c r="P3674" i="33"/>
  <c r="P3675" i="33"/>
  <c r="P3676" i="33"/>
  <c r="P3677" i="33"/>
  <c r="P3678" i="33"/>
  <c r="P3679" i="33"/>
  <c r="P3680" i="33"/>
  <c r="P3681" i="33"/>
  <c r="P3682" i="33"/>
  <c r="P3683" i="33"/>
  <c r="P3684" i="33"/>
  <c r="P3685" i="33"/>
  <c r="P3686" i="33"/>
  <c r="P3687" i="33"/>
  <c r="P3688" i="33"/>
  <c r="P3689" i="33"/>
  <c r="P3690" i="33"/>
  <c r="P3691" i="33"/>
  <c r="P3692" i="33"/>
  <c r="P3693" i="33"/>
  <c r="P3694" i="33"/>
  <c r="P3695" i="33"/>
  <c r="P3696" i="33"/>
  <c r="P3697" i="33"/>
  <c r="P3698" i="33"/>
  <c r="P3699" i="33"/>
  <c r="P3700" i="33"/>
  <c r="P3701" i="33"/>
  <c r="P3702" i="33"/>
  <c r="P3703" i="33"/>
  <c r="P3704" i="33"/>
  <c r="P3705" i="33"/>
  <c r="P3706" i="33"/>
  <c r="P3707" i="33"/>
  <c r="P3708" i="33"/>
  <c r="P3709" i="33"/>
  <c r="P3710" i="33"/>
  <c r="P3711" i="33"/>
  <c r="P3712" i="33"/>
  <c r="P3713" i="33"/>
  <c r="P3714" i="33"/>
  <c r="P3715" i="33"/>
  <c r="P3716" i="33"/>
  <c r="P3717" i="33"/>
  <c r="P3718" i="33"/>
  <c r="P3719" i="33"/>
  <c r="P3720" i="33"/>
  <c r="P3721" i="33"/>
  <c r="P3722" i="33"/>
  <c r="P3723" i="33"/>
  <c r="P3724" i="33"/>
  <c r="P3725" i="33"/>
  <c r="P3726" i="33"/>
  <c r="P3727" i="33"/>
  <c r="P3728" i="33"/>
  <c r="P3729" i="33"/>
  <c r="P3730" i="33"/>
  <c r="P3731" i="33"/>
  <c r="P3732" i="33"/>
  <c r="P3733" i="33"/>
  <c r="P3734" i="33"/>
  <c r="P3735" i="33"/>
  <c r="P3736" i="33"/>
  <c r="P3737" i="33"/>
  <c r="P3738" i="33"/>
  <c r="P3739" i="33"/>
  <c r="P3740" i="33"/>
  <c r="P3741" i="33"/>
  <c r="P3742" i="33"/>
  <c r="P3743" i="33"/>
  <c r="P3744" i="33"/>
  <c r="P3745" i="33"/>
  <c r="P3746" i="33"/>
  <c r="P3747" i="33"/>
  <c r="P3748" i="33"/>
  <c r="P3749" i="33"/>
  <c r="P3750" i="33"/>
  <c r="P3751" i="33"/>
  <c r="P3752" i="33"/>
  <c r="P3753" i="33"/>
  <c r="P3754" i="33"/>
  <c r="P3755" i="33"/>
  <c r="P3756" i="33"/>
  <c r="P3757" i="33"/>
  <c r="P3758" i="33"/>
  <c r="P3759" i="33"/>
  <c r="P3760" i="33"/>
  <c r="P3761" i="33"/>
  <c r="P3762" i="33"/>
  <c r="P3763" i="33"/>
  <c r="P3764" i="33"/>
  <c r="P3765" i="33"/>
  <c r="P3766" i="33"/>
  <c r="P3767" i="33"/>
  <c r="P3768" i="33"/>
  <c r="P3769" i="33"/>
  <c r="P3770" i="33"/>
  <c r="P3771" i="33"/>
  <c r="P3772" i="33"/>
  <c r="P3773" i="33"/>
  <c r="P3774" i="33"/>
  <c r="P3775" i="33"/>
  <c r="P3776" i="33"/>
  <c r="P3777" i="33"/>
  <c r="P3778" i="33"/>
  <c r="P3779" i="33"/>
  <c r="P3780" i="33"/>
  <c r="P3781" i="33"/>
  <c r="P3782" i="33"/>
  <c r="P3783" i="33"/>
  <c r="P3784" i="33"/>
  <c r="P3785" i="33"/>
  <c r="P3786" i="33"/>
  <c r="P3787" i="33"/>
  <c r="P3788" i="33"/>
  <c r="P3789" i="33"/>
  <c r="P3790" i="33"/>
  <c r="P3791" i="33"/>
  <c r="P3792" i="33"/>
  <c r="P3793" i="33"/>
  <c r="P3794" i="33"/>
  <c r="P3795" i="33"/>
  <c r="P3796" i="33"/>
  <c r="P3797" i="33"/>
  <c r="P3798" i="33"/>
  <c r="P3799" i="33"/>
  <c r="P3800" i="33"/>
  <c r="P3801" i="33"/>
  <c r="P3802" i="33"/>
  <c r="P3803" i="33"/>
  <c r="P3804" i="33"/>
  <c r="P3805" i="33"/>
  <c r="P3806" i="33"/>
  <c r="P3807" i="33"/>
  <c r="P3808" i="33"/>
  <c r="P3809" i="33"/>
  <c r="P3810" i="33"/>
  <c r="P3811" i="33"/>
  <c r="P3812" i="33"/>
  <c r="P3813" i="33"/>
  <c r="P3814" i="33"/>
  <c r="P3815" i="33"/>
  <c r="P3816" i="33"/>
  <c r="P3817" i="33"/>
  <c r="P3818" i="33"/>
  <c r="P3819" i="33"/>
  <c r="P3820" i="33"/>
  <c r="P3821" i="33"/>
  <c r="P3822" i="33"/>
  <c r="P3823" i="33"/>
  <c r="P3824" i="33"/>
  <c r="P3825" i="33"/>
  <c r="P3826" i="33"/>
  <c r="P3827" i="33"/>
  <c r="P3828" i="33"/>
  <c r="P3829" i="33"/>
  <c r="P3830" i="33"/>
  <c r="P3831" i="33"/>
  <c r="P3832" i="33"/>
  <c r="P3833" i="33"/>
  <c r="P3834" i="33"/>
  <c r="P3835" i="33"/>
  <c r="P3836" i="33"/>
  <c r="P3837" i="33"/>
  <c r="P3838" i="33"/>
  <c r="P3839" i="33"/>
  <c r="P3840" i="33"/>
  <c r="P3841" i="33"/>
  <c r="P3842" i="33"/>
  <c r="P3843" i="33"/>
  <c r="P3844" i="33"/>
  <c r="P3845" i="33"/>
  <c r="P3846" i="33"/>
  <c r="P3847" i="33"/>
  <c r="P3848" i="33"/>
  <c r="P3849" i="33"/>
  <c r="P3850" i="33"/>
  <c r="P3851" i="33"/>
  <c r="P3852" i="33"/>
  <c r="P3853" i="33"/>
  <c r="P3854" i="33"/>
  <c r="P3855" i="33"/>
  <c r="P3856" i="33"/>
  <c r="P3857" i="33"/>
  <c r="P3858" i="33"/>
  <c r="P3859" i="33"/>
  <c r="P3860" i="33"/>
  <c r="P3861" i="33"/>
  <c r="P3862" i="33"/>
  <c r="P3863" i="33"/>
  <c r="P3864" i="33"/>
  <c r="P3865" i="33"/>
  <c r="P3866" i="33"/>
  <c r="P3867" i="33"/>
  <c r="P3868" i="33"/>
  <c r="P3869" i="33"/>
  <c r="P3870" i="33"/>
  <c r="P3871" i="33"/>
  <c r="P3872" i="33"/>
  <c r="P3873" i="33"/>
  <c r="P3874" i="33"/>
  <c r="P3875" i="33"/>
  <c r="P3876" i="33"/>
  <c r="P3877" i="33"/>
  <c r="P3878" i="33"/>
  <c r="P3879" i="33"/>
  <c r="P3880" i="33"/>
  <c r="P3881" i="33"/>
  <c r="P3882" i="33"/>
  <c r="P3883" i="33"/>
  <c r="P3884" i="33"/>
  <c r="P3885" i="33"/>
  <c r="P3886" i="33"/>
  <c r="P3887" i="33"/>
  <c r="P3888" i="33"/>
  <c r="P3889" i="33"/>
  <c r="P3890" i="33"/>
  <c r="P3891" i="33"/>
  <c r="P3892" i="33"/>
  <c r="P3893" i="33"/>
  <c r="P3894" i="33"/>
  <c r="P3895" i="33"/>
  <c r="P3896" i="33"/>
  <c r="P3897" i="33"/>
  <c r="P3898" i="33"/>
  <c r="P3899" i="33"/>
  <c r="P3900" i="33"/>
  <c r="P3901" i="33"/>
  <c r="P3902" i="33"/>
  <c r="P3903" i="33"/>
  <c r="P3904" i="33"/>
  <c r="P3905" i="33"/>
  <c r="P3906" i="33"/>
  <c r="P3907" i="33"/>
  <c r="P3908" i="33"/>
  <c r="P3909" i="33"/>
  <c r="P3910" i="33"/>
  <c r="P3911" i="33"/>
  <c r="P3912" i="33"/>
  <c r="P3913" i="33"/>
  <c r="P3914" i="33"/>
  <c r="P3915" i="33"/>
  <c r="P3916" i="33"/>
  <c r="P3917" i="33"/>
  <c r="P3918" i="33"/>
  <c r="P3919" i="33"/>
  <c r="P3920" i="33"/>
  <c r="P3921" i="33"/>
  <c r="P3922" i="33"/>
  <c r="P3923" i="33"/>
  <c r="P3924" i="33"/>
  <c r="P3925" i="33"/>
  <c r="P3926" i="33"/>
  <c r="P3927" i="33"/>
  <c r="P3928" i="33"/>
  <c r="P3929" i="33"/>
  <c r="P3930" i="33"/>
  <c r="P3931" i="33"/>
  <c r="P3932" i="33"/>
  <c r="P3933" i="33"/>
  <c r="P3934" i="33"/>
  <c r="P3935" i="33"/>
  <c r="P3936" i="33"/>
  <c r="P3937" i="33"/>
  <c r="P3938" i="33"/>
  <c r="P3939" i="33"/>
  <c r="P3940" i="33"/>
  <c r="P3941" i="33"/>
  <c r="P3942" i="33"/>
  <c r="P3943" i="33"/>
  <c r="P3944" i="33"/>
  <c r="P3945" i="33"/>
  <c r="P3946" i="33"/>
  <c r="P3947" i="33"/>
  <c r="P3948" i="33"/>
  <c r="P3949" i="33"/>
  <c r="P3950" i="33"/>
  <c r="P3951" i="33"/>
  <c r="P3952" i="33"/>
  <c r="P3953" i="33"/>
  <c r="P3954" i="33"/>
  <c r="P3955" i="33"/>
  <c r="P3956" i="33"/>
  <c r="P3957" i="33"/>
  <c r="P3958" i="33"/>
  <c r="P3959" i="33"/>
  <c r="P3960" i="33"/>
  <c r="P3961" i="33"/>
  <c r="P3962" i="33"/>
  <c r="P3963" i="33"/>
  <c r="P3964" i="33"/>
  <c r="P3965" i="33"/>
  <c r="P3966" i="33"/>
  <c r="P3967" i="33"/>
  <c r="P3968" i="33"/>
  <c r="P3969" i="33"/>
  <c r="P3970" i="33"/>
  <c r="P3971" i="33"/>
  <c r="P3972" i="33"/>
  <c r="P3973" i="33"/>
  <c r="P3974" i="33"/>
  <c r="P3975" i="33"/>
  <c r="P3976" i="33"/>
  <c r="P3977" i="33"/>
  <c r="P3978" i="33"/>
  <c r="P3979" i="33"/>
  <c r="P3980" i="33"/>
  <c r="P3981" i="33"/>
  <c r="P3982" i="33"/>
  <c r="P3983" i="33"/>
  <c r="P3984" i="33"/>
  <c r="P3985" i="33"/>
  <c r="P3986" i="33"/>
  <c r="P3987" i="33"/>
  <c r="P3988" i="33"/>
  <c r="P3989" i="33"/>
  <c r="P3990" i="33"/>
  <c r="P3991" i="33"/>
  <c r="P3992" i="33"/>
  <c r="P3993" i="33"/>
  <c r="P3994" i="33"/>
  <c r="P3995" i="33"/>
  <c r="P3996" i="33"/>
  <c r="P3997" i="33"/>
  <c r="P3998" i="33"/>
  <c r="P3999" i="33"/>
  <c r="I7" i="83"/>
  <c r="I8" i="83"/>
  <c r="K8" i="83" s="1"/>
  <c r="I9" i="83"/>
  <c r="I10" i="83"/>
  <c r="K10" i="83" s="1"/>
  <c r="I11" i="83"/>
  <c r="K11" i="83" s="1"/>
  <c r="I12" i="83"/>
  <c r="K12" i="83" s="1"/>
  <c r="I13" i="83"/>
  <c r="I14" i="83"/>
  <c r="I15" i="83"/>
  <c r="K7" i="78"/>
  <c r="K8" i="78"/>
  <c r="K9" i="78"/>
  <c r="K10" i="78"/>
  <c r="K11" i="78"/>
  <c r="K13" i="78"/>
  <c r="K14" i="78"/>
  <c r="K15" i="78"/>
  <c r="K17" i="78"/>
  <c r="K18" i="78"/>
  <c r="K20" i="78"/>
  <c r="K21" i="78"/>
  <c r="K22" i="78"/>
  <c r="K24" i="78"/>
  <c r="K25" i="78"/>
  <c r="K26" i="78"/>
  <c r="K27" i="78"/>
  <c r="K29" i="78"/>
  <c r="K31" i="78"/>
  <c r="K32" i="78"/>
  <c r="K33" i="78"/>
  <c r="K34" i="78"/>
  <c r="K35" i="78"/>
  <c r="K37" i="78"/>
  <c r="K38" i="78"/>
  <c r="K39" i="78"/>
  <c r="K40" i="78"/>
  <c r="K43" i="78"/>
  <c r="K44" i="78"/>
  <c r="K45" i="78"/>
  <c r="K47" i="78"/>
  <c r="K49" i="78"/>
  <c r="K50" i="78"/>
  <c r="K51" i="78"/>
  <c r="M51" i="78" s="1"/>
  <c r="M52" i="78" s="1"/>
  <c r="K52" i="78"/>
  <c r="K53" i="78"/>
  <c r="K54" i="78"/>
  <c r="K55" i="78"/>
  <c r="K56" i="78"/>
  <c r="K57" i="78"/>
  <c r="K58" i="78"/>
  <c r="K59" i="78"/>
  <c r="K60" i="78"/>
  <c r="K61" i="78"/>
  <c r="K62" i="78"/>
  <c r="K63" i="78"/>
  <c r="K64" i="78"/>
  <c r="K65" i="78"/>
  <c r="K66" i="78"/>
  <c r="K67" i="78"/>
  <c r="K68" i="78"/>
  <c r="K69" i="78"/>
  <c r="K70" i="78"/>
  <c r="K71" i="78"/>
  <c r="K72" i="78"/>
  <c r="K73" i="78"/>
  <c r="K74" i="78"/>
  <c r="K75" i="78"/>
  <c r="K76" i="78"/>
  <c r="K77" i="78"/>
  <c r="K78" i="78"/>
  <c r="K79" i="78"/>
  <c r="K80" i="78"/>
  <c r="K81" i="78"/>
  <c r="K82" i="78"/>
  <c r="K83" i="78"/>
  <c r="K84" i="78"/>
  <c r="K85" i="78"/>
  <c r="K86" i="78"/>
  <c r="K87" i="78"/>
  <c r="K88" i="78"/>
  <c r="K89" i="78"/>
  <c r="K90" i="78"/>
  <c r="K91" i="78"/>
  <c r="K92" i="78"/>
  <c r="K93" i="78"/>
  <c r="K94" i="78"/>
  <c r="K95" i="78"/>
  <c r="K96" i="78"/>
  <c r="K97" i="78"/>
  <c r="K98" i="78"/>
  <c r="K99" i="78"/>
  <c r="K100" i="78"/>
  <c r="K101" i="78"/>
  <c r="K102" i="78"/>
  <c r="K103" i="78"/>
  <c r="K104" i="78"/>
  <c r="K105" i="78"/>
  <c r="K106" i="78"/>
  <c r="K107" i="78"/>
  <c r="K108" i="78"/>
  <c r="K109" i="78"/>
  <c r="K110" i="78"/>
  <c r="K111" i="78"/>
  <c r="K112" i="78"/>
  <c r="K113" i="78"/>
  <c r="K114" i="78"/>
  <c r="K115" i="78"/>
  <c r="K116" i="78"/>
  <c r="K117" i="78"/>
  <c r="K118" i="78"/>
  <c r="K119" i="78"/>
  <c r="K120" i="78"/>
  <c r="K121" i="78"/>
  <c r="K122" i="78"/>
  <c r="K123" i="78"/>
  <c r="K124" i="78"/>
  <c r="K125" i="78"/>
  <c r="K126" i="78"/>
  <c r="K127" i="78"/>
  <c r="K128" i="78"/>
  <c r="K129" i="78"/>
  <c r="K130" i="78"/>
  <c r="K131" i="78"/>
  <c r="K132" i="78"/>
  <c r="K2" i="68"/>
  <c r="K3" i="68"/>
  <c r="I4" i="68"/>
  <c r="I5" i="68"/>
  <c r="K5" i="68" s="1"/>
  <c r="I6" i="68"/>
  <c r="K6" i="68" s="1"/>
  <c r="I7" i="68"/>
  <c r="K7" i="68" s="1"/>
  <c r="I8" i="68"/>
  <c r="K8" i="68" s="1"/>
  <c r="I9" i="68"/>
  <c r="K9" i="68" s="1"/>
  <c r="I10" i="68"/>
  <c r="K10" i="68" s="1"/>
  <c r="I11" i="68"/>
  <c r="K11" i="68" s="1"/>
  <c r="I12" i="68"/>
  <c r="K12" i="68" s="1"/>
  <c r="I13" i="68"/>
  <c r="K13" i="68" s="1"/>
  <c r="I14" i="68"/>
  <c r="K14" i="68" s="1"/>
  <c r="I15" i="68"/>
  <c r="K15" i="68" s="1"/>
  <c r="I16" i="68"/>
  <c r="K16" i="68" s="1"/>
  <c r="I17" i="68"/>
  <c r="K17" i="68" s="1"/>
  <c r="I18" i="68"/>
  <c r="K18" i="68" s="1"/>
  <c r="I19" i="68"/>
  <c r="K19" i="68" s="1"/>
  <c r="I20" i="68"/>
  <c r="K20" i="68" s="1"/>
  <c r="I21" i="68"/>
  <c r="K21" i="68" s="1"/>
  <c r="K3" i="64"/>
  <c r="K4" i="64"/>
  <c r="K6" i="64"/>
  <c r="K8" i="64"/>
  <c r="K10" i="64"/>
  <c r="K13" i="64"/>
  <c r="K16" i="64"/>
  <c r="K18" i="64"/>
  <c r="K23" i="64"/>
  <c r="K24" i="64"/>
  <c r="K25" i="64"/>
  <c r="K26" i="64"/>
  <c r="K27" i="64"/>
  <c r="K28" i="64"/>
  <c r="K29" i="64"/>
  <c r="K30" i="64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K51" i="64"/>
  <c r="K52" i="64"/>
  <c r="K53" i="64"/>
  <c r="K54" i="64"/>
  <c r="K55" i="64"/>
  <c r="K56" i="64"/>
  <c r="K57" i="64"/>
  <c r="K58" i="64"/>
  <c r="K59" i="64"/>
  <c r="K60" i="64"/>
  <c r="K61" i="64"/>
  <c r="K62" i="64"/>
  <c r="K63" i="64"/>
  <c r="K64" i="64"/>
  <c r="K65" i="64"/>
  <c r="K66" i="64"/>
  <c r="K67" i="64"/>
  <c r="K68" i="64"/>
  <c r="K69" i="64"/>
  <c r="K70" i="64"/>
  <c r="K71" i="64"/>
  <c r="K72" i="64"/>
  <c r="K73" i="64"/>
  <c r="K74" i="64"/>
  <c r="K75" i="64"/>
  <c r="K76" i="64"/>
  <c r="K77" i="64"/>
  <c r="K78" i="64"/>
  <c r="K79" i="64"/>
  <c r="K80" i="64"/>
  <c r="K81" i="64"/>
  <c r="K82" i="64"/>
  <c r="K83" i="64"/>
  <c r="K84" i="64"/>
  <c r="K85" i="64"/>
  <c r="K86" i="64"/>
  <c r="K87" i="64"/>
  <c r="K88" i="64"/>
  <c r="K89" i="64"/>
  <c r="K90" i="64"/>
  <c r="K91" i="64"/>
  <c r="K92" i="64"/>
  <c r="K93" i="64"/>
  <c r="K94" i="64"/>
  <c r="K95" i="64"/>
  <c r="K96" i="64"/>
  <c r="K97" i="64"/>
  <c r="K98" i="64"/>
  <c r="K99" i="64"/>
  <c r="K100" i="64"/>
  <c r="K101" i="64"/>
  <c r="K102" i="64"/>
  <c r="K103" i="64"/>
  <c r="K104" i="64"/>
  <c r="K105" i="64"/>
  <c r="K106" i="64"/>
  <c r="K107" i="64"/>
  <c r="K108" i="64"/>
  <c r="K109" i="64"/>
  <c r="K110" i="64"/>
  <c r="K111" i="64"/>
  <c r="K112" i="64"/>
  <c r="K113" i="64"/>
  <c r="K114" i="64"/>
  <c r="K115" i="64"/>
  <c r="K116" i="64"/>
  <c r="K117" i="64"/>
  <c r="K118" i="64"/>
  <c r="K119" i="64"/>
  <c r="K120" i="64"/>
  <c r="K121" i="64"/>
  <c r="K122" i="64"/>
  <c r="K123" i="64"/>
  <c r="K124" i="64"/>
  <c r="K125" i="64"/>
  <c r="K126" i="64"/>
  <c r="K127" i="64"/>
  <c r="K128" i="64"/>
  <c r="K129" i="64"/>
  <c r="K130" i="64"/>
  <c r="K131" i="64"/>
  <c r="K132" i="64"/>
  <c r="K133" i="64"/>
  <c r="K134" i="64"/>
  <c r="K135" i="64"/>
  <c r="K136" i="64"/>
  <c r="K137" i="64"/>
  <c r="K138" i="64"/>
  <c r="K139" i="64"/>
  <c r="K140" i="64"/>
  <c r="K141" i="64"/>
  <c r="K142" i="64"/>
  <c r="K143" i="64"/>
  <c r="K144" i="64"/>
  <c r="K145" i="64"/>
  <c r="K146" i="64"/>
  <c r="K147" i="64"/>
  <c r="K148" i="64"/>
  <c r="K149" i="64"/>
  <c r="K150" i="64"/>
  <c r="K151" i="64"/>
  <c r="K152" i="64"/>
  <c r="K153" i="64"/>
  <c r="K154" i="64"/>
  <c r="K155" i="64"/>
  <c r="K156" i="64"/>
  <c r="K157" i="64"/>
  <c r="K158" i="64"/>
  <c r="K159" i="64"/>
  <c r="K160" i="64"/>
  <c r="K161" i="64"/>
  <c r="K162" i="64"/>
  <c r="I9" i="50"/>
  <c r="K9" i="50" s="1"/>
  <c r="I10" i="50"/>
  <c r="K10" i="50" s="1"/>
  <c r="I11" i="50"/>
  <c r="K11" i="50" s="1"/>
  <c r="K12" i="50"/>
  <c r="K13" i="50"/>
  <c r="K14" i="50"/>
  <c r="I15" i="50"/>
  <c r="K15" i="50" s="1"/>
  <c r="I16" i="50"/>
  <c r="I17" i="50"/>
  <c r="I18" i="50"/>
  <c r="I19" i="50"/>
  <c r="I20" i="50"/>
  <c r="I21" i="50"/>
  <c r="I22" i="50"/>
  <c r="I23" i="50"/>
  <c r="I24" i="50"/>
  <c r="I25" i="50"/>
  <c r="I26" i="50"/>
  <c r="I27" i="50"/>
  <c r="I28" i="50"/>
  <c r="I29" i="50"/>
  <c r="I30" i="50"/>
  <c r="I31" i="50"/>
  <c r="I32" i="50"/>
  <c r="I33" i="50"/>
  <c r="I34" i="50"/>
  <c r="I35" i="50"/>
  <c r="I36" i="50"/>
  <c r="I37" i="50"/>
  <c r="I38" i="50"/>
  <c r="I39" i="50"/>
  <c r="I40" i="50"/>
  <c r="I41" i="50"/>
  <c r="I42" i="50"/>
  <c r="I43" i="50"/>
  <c r="I44" i="50"/>
  <c r="I45" i="50"/>
  <c r="I46" i="50"/>
  <c r="I47" i="50"/>
  <c r="I48" i="50"/>
  <c r="I49" i="50"/>
  <c r="I50" i="50"/>
  <c r="I51" i="50"/>
  <c r="I52" i="50"/>
  <c r="I53" i="50"/>
  <c r="I54" i="50"/>
  <c r="I55" i="50"/>
  <c r="I56" i="50"/>
  <c r="I57" i="50"/>
  <c r="I58" i="50"/>
  <c r="I59" i="50"/>
  <c r="I60" i="50"/>
  <c r="I61" i="50"/>
  <c r="I62" i="50"/>
  <c r="I63" i="50"/>
  <c r="I64" i="50"/>
  <c r="I65" i="50"/>
  <c r="I66" i="50"/>
  <c r="I67" i="50"/>
  <c r="I68" i="50"/>
  <c r="I69" i="50"/>
  <c r="I70" i="50"/>
  <c r="I71" i="50"/>
  <c r="I72" i="50"/>
  <c r="I73" i="50"/>
  <c r="I74" i="50"/>
  <c r="I75" i="50"/>
  <c r="I76" i="50"/>
  <c r="I77" i="50"/>
  <c r="I78" i="50"/>
  <c r="I79" i="50"/>
  <c r="I80" i="50"/>
  <c r="I81" i="50"/>
  <c r="I82" i="50"/>
  <c r="I83" i="50"/>
  <c r="I84" i="50"/>
  <c r="I85" i="50"/>
  <c r="I86" i="50"/>
  <c r="I87" i="50"/>
  <c r="I88" i="50"/>
  <c r="I89" i="50"/>
  <c r="I90" i="50"/>
  <c r="I91" i="50"/>
  <c r="I92" i="50"/>
  <c r="I93" i="50"/>
  <c r="I94" i="50"/>
  <c r="I95" i="50"/>
  <c r="I96" i="50"/>
  <c r="I97" i="50"/>
  <c r="I98" i="50"/>
  <c r="I99" i="50"/>
  <c r="I100" i="50"/>
  <c r="I101" i="50"/>
  <c r="I102" i="50"/>
  <c r="I103" i="50"/>
  <c r="I104" i="50"/>
  <c r="I105" i="50"/>
  <c r="I106" i="50"/>
  <c r="I107" i="50"/>
  <c r="I108" i="50"/>
  <c r="I109" i="50"/>
  <c r="I110" i="50"/>
  <c r="I111" i="50"/>
  <c r="I112" i="50"/>
  <c r="I113" i="50"/>
  <c r="I114" i="50"/>
  <c r="I115" i="50"/>
  <c r="I116" i="50"/>
  <c r="I117" i="50"/>
  <c r="I118" i="50"/>
  <c r="I119" i="50"/>
  <c r="I120" i="50"/>
  <c r="I121" i="50"/>
  <c r="I122" i="50"/>
  <c r="I123" i="50"/>
  <c r="I124" i="50"/>
  <c r="I125" i="50"/>
  <c r="I126" i="50"/>
  <c r="I127" i="50"/>
  <c r="I128" i="50"/>
  <c r="I129" i="50"/>
  <c r="I130" i="50"/>
  <c r="I131" i="50"/>
  <c r="I132" i="50"/>
  <c r="I133" i="50"/>
  <c r="I134" i="50"/>
  <c r="I135" i="50"/>
  <c r="I136" i="50"/>
  <c r="I137" i="50"/>
  <c r="I138" i="50"/>
  <c r="I139" i="50"/>
  <c r="I140" i="50"/>
  <c r="I141" i="50"/>
  <c r="I142" i="50"/>
  <c r="I143" i="50"/>
  <c r="I144" i="50"/>
  <c r="I145" i="50"/>
  <c r="I146" i="50"/>
  <c r="I147" i="50"/>
  <c r="I148" i="50"/>
  <c r="I149" i="50"/>
  <c r="I150" i="50"/>
  <c r="I151" i="50"/>
  <c r="I152" i="50"/>
  <c r="I153" i="50"/>
  <c r="I154" i="50"/>
  <c r="I155" i="50"/>
  <c r="I156" i="50"/>
  <c r="I157" i="50"/>
  <c r="I158" i="50"/>
  <c r="I159" i="50"/>
  <c r="I160" i="50"/>
  <c r="I161" i="50"/>
  <c r="I162" i="50"/>
  <c r="I163" i="50"/>
  <c r="I164" i="50"/>
  <c r="I165" i="50"/>
  <c r="I166" i="50"/>
  <c r="I167" i="50"/>
  <c r="I168" i="50"/>
  <c r="I169" i="50"/>
  <c r="I170" i="50"/>
  <c r="I171" i="50"/>
  <c r="I172" i="50"/>
  <c r="I173" i="50"/>
  <c r="I174" i="50"/>
  <c r="I175" i="50"/>
  <c r="I176" i="50"/>
  <c r="I177" i="50"/>
  <c r="I178" i="50"/>
  <c r="I179" i="50"/>
  <c r="I180" i="50"/>
  <c r="I181" i="50"/>
  <c r="I182" i="50"/>
  <c r="I183" i="50"/>
  <c r="I184" i="50"/>
  <c r="I185" i="50"/>
  <c r="I186" i="50"/>
  <c r="I187" i="50"/>
  <c r="I188" i="50"/>
  <c r="I189" i="50"/>
  <c r="I190" i="50"/>
  <c r="I191" i="50"/>
  <c r="I192" i="50"/>
  <c r="I193" i="50"/>
  <c r="I194" i="50"/>
  <c r="I195" i="50"/>
  <c r="I196" i="50"/>
  <c r="I197" i="50"/>
  <c r="I198" i="50"/>
  <c r="I199" i="50"/>
  <c r="I200" i="50"/>
  <c r="I201" i="50"/>
  <c r="I202" i="50"/>
  <c r="I203" i="50"/>
  <c r="I204" i="50"/>
  <c r="I205" i="50"/>
  <c r="I206" i="50"/>
  <c r="I207" i="50"/>
  <c r="I208" i="50"/>
  <c r="I209" i="50"/>
  <c r="I210" i="50"/>
  <c r="I211" i="50"/>
  <c r="I212" i="50"/>
  <c r="I213" i="50"/>
  <c r="I214" i="50"/>
  <c r="I215" i="50"/>
  <c r="I216" i="50"/>
  <c r="I217" i="50"/>
  <c r="I218" i="50"/>
  <c r="I219" i="50"/>
  <c r="I220" i="50"/>
  <c r="I221" i="50"/>
  <c r="I222" i="50"/>
  <c r="I223" i="50"/>
  <c r="I224" i="50"/>
  <c r="I225" i="50"/>
  <c r="I226" i="50"/>
  <c r="I227" i="50"/>
  <c r="I228" i="50"/>
  <c r="I229" i="50"/>
  <c r="I230" i="50"/>
  <c r="I231" i="50"/>
  <c r="I232" i="50"/>
  <c r="I233" i="50"/>
  <c r="I234" i="50"/>
  <c r="I235" i="50"/>
  <c r="I236" i="50"/>
  <c r="I237" i="50"/>
  <c r="I238" i="50"/>
  <c r="I239" i="50"/>
  <c r="I240" i="50"/>
  <c r="I241" i="50"/>
  <c r="I242" i="50"/>
  <c r="I243" i="50"/>
  <c r="I244" i="50"/>
  <c r="I245" i="50"/>
  <c r="I246" i="50"/>
  <c r="I247" i="50"/>
  <c r="I248" i="50"/>
  <c r="I249" i="50"/>
  <c r="I250" i="50"/>
  <c r="I251" i="50"/>
  <c r="I252" i="50"/>
  <c r="I253" i="50"/>
  <c r="I254" i="50"/>
  <c r="I255" i="50"/>
  <c r="I256" i="50"/>
  <c r="I257" i="50"/>
  <c r="I258" i="50"/>
  <c r="I259" i="50"/>
  <c r="I260" i="50"/>
  <c r="I261" i="50"/>
  <c r="I262" i="50"/>
  <c r="I263" i="50"/>
  <c r="I264" i="50"/>
  <c r="I265" i="50"/>
  <c r="I266" i="50"/>
  <c r="I267" i="50"/>
  <c r="I268" i="50"/>
  <c r="I269" i="50"/>
  <c r="I270" i="50"/>
  <c r="I271" i="50"/>
  <c r="I272" i="50"/>
  <c r="I273" i="50"/>
  <c r="I274" i="50"/>
  <c r="I275" i="50"/>
  <c r="I276" i="50"/>
  <c r="I277" i="50"/>
  <c r="I278" i="50"/>
  <c r="I279" i="50"/>
  <c r="I2" i="50"/>
  <c r="K2" i="50" s="1"/>
  <c r="I3" i="50"/>
  <c r="K3" i="50" s="1"/>
  <c r="I4" i="50"/>
  <c r="K4" i="50" s="1"/>
  <c r="I5" i="50"/>
  <c r="K6" i="50"/>
  <c r="I7" i="50"/>
  <c r="K7" i="50" s="1"/>
  <c r="K5" i="46"/>
  <c r="K6" i="46"/>
  <c r="I7" i="46"/>
  <c r="K7" i="46" s="1"/>
  <c r="K8" i="46"/>
  <c r="I10" i="46"/>
  <c r="K10" i="46" s="1"/>
  <c r="K11" i="46"/>
  <c r="I12" i="46"/>
  <c r="K12" i="46" s="1"/>
  <c r="I13" i="46"/>
  <c r="K13" i="46" s="1"/>
  <c r="I14" i="46"/>
  <c r="K14" i="46" s="1"/>
  <c r="K15" i="46"/>
  <c r="K16" i="46"/>
  <c r="I18" i="46"/>
  <c r="K18" i="46" s="1"/>
  <c r="I19" i="46"/>
  <c r="K19" i="46" s="1"/>
  <c r="I20" i="46"/>
  <c r="K20" i="46" s="1"/>
  <c r="I21" i="46"/>
  <c r="K21" i="46" s="1"/>
  <c r="I22" i="46"/>
  <c r="K22" i="46" s="1"/>
  <c r="K23" i="46"/>
  <c r="I24" i="46"/>
  <c r="K24" i="46" s="1"/>
  <c r="K26" i="46"/>
  <c r="I27" i="46"/>
  <c r="K27" i="46" s="1"/>
  <c r="I28" i="46"/>
  <c r="K28" i="46" s="1"/>
  <c r="I29" i="46"/>
  <c r="K29" i="46" s="1"/>
  <c r="K30" i="46"/>
  <c r="I31" i="46"/>
  <c r="K31" i="46" s="1"/>
  <c r="I32" i="46"/>
  <c r="K32" i="46" s="1"/>
  <c r="I34" i="46"/>
  <c r="K34" i="46" s="1"/>
  <c r="K35" i="46"/>
  <c r="K36" i="46"/>
  <c r="K37" i="46"/>
  <c r="K38" i="46"/>
  <c r="I39" i="46"/>
  <c r="K39" i="46" s="1"/>
  <c r="I40" i="46"/>
  <c r="K40" i="46" s="1"/>
  <c r="I42" i="46"/>
  <c r="K42" i="46" s="1"/>
  <c r="I43" i="46"/>
  <c r="K43" i="46" s="1"/>
  <c r="I44" i="46"/>
  <c r="K44" i="46" s="1"/>
  <c r="K45" i="46"/>
  <c r="I46" i="46"/>
  <c r="K46" i="46" s="1"/>
  <c r="K47" i="46"/>
  <c r="I48" i="46"/>
  <c r="K48" i="46" s="1"/>
  <c r="I50" i="46"/>
  <c r="K50" i="46" s="1"/>
  <c r="I51" i="46"/>
  <c r="K51" i="46" s="1"/>
  <c r="I52" i="46"/>
  <c r="K52" i="46" s="1"/>
  <c r="I53" i="46"/>
  <c r="K53" i="46" s="1"/>
  <c r="I54" i="46"/>
  <c r="K54" i="46" s="1"/>
  <c r="I55" i="46"/>
  <c r="K55" i="46" s="1"/>
  <c r="I56" i="46"/>
  <c r="K56" i="46" s="1"/>
  <c r="K58" i="46"/>
  <c r="I59" i="46"/>
  <c r="K59" i="46" s="1"/>
  <c r="I60" i="46"/>
  <c r="K60" i="46" s="1"/>
  <c r="I61" i="46"/>
  <c r="K61" i="46" s="1"/>
  <c r="I62" i="46"/>
  <c r="K62" i="46" s="1"/>
  <c r="I63" i="46"/>
  <c r="K63" i="46" s="1"/>
  <c r="K64" i="46"/>
  <c r="I66" i="46"/>
  <c r="K66" i="46" s="1"/>
  <c r="I67" i="46"/>
  <c r="K67" i="46" s="1"/>
  <c r="I68" i="46"/>
  <c r="K68" i="46" s="1"/>
  <c r="I69" i="46"/>
  <c r="K69" i="46" s="1"/>
  <c r="I70" i="46"/>
  <c r="K70" i="46" s="1"/>
  <c r="I71" i="46"/>
  <c r="K71" i="46" s="1"/>
  <c r="I72" i="46"/>
  <c r="K72" i="46" s="1"/>
  <c r="I74" i="46"/>
  <c r="K74" i="46" s="1"/>
  <c r="K75" i="46"/>
  <c r="K76" i="46"/>
  <c r="I77" i="46"/>
  <c r="K77" i="46" s="1"/>
  <c r="I78" i="46"/>
  <c r="K78" i="46" s="1"/>
  <c r="K79" i="46"/>
  <c r="I80" i="46"/>
  <c r="K80" i="46" s="1"/>
  <c r="I82" i="46"/>
  <c r="K82" i="46" s="1"/>
  <c r="I83" i="46"/>
  <c r="K83" i="46" s="1"/>
  <c r="I84" i="46"/>
  <c r="K84" i="46" s="1"/>
  <c r="I85" i="46"/>
  <c r="K85" i="46" s="1"/>
  <c r="I86" i="46"/>
  <c r="K86" i="46" s="1"/>
  <c r="I87" i="46"/>
  <c r="K87" i="46" s="1"/>
  <c r="I88" i="46"/>
  <c r="K88" i="46" s="1"/>
  <c r="I90" i="46"/>
  <c r="K90" i="46" s="1"/>
  <c r="I91" i="46"/>
  <c r="K91" i="46" s="1"/>
  <c r="I92" i="46"/>
  <c r="K92" i="46" s="1"/>
  <c r="I93" i="46"/>
  <c r="K93" i="46" s="1"/>
  <c r="I94" i="46"/>
  <c r="K94" i="46" s="1"/>
  <c r="I95" i="46"/>
  <c r="K95" i="46" s="1"/>
  <c r="I96" i="46"/>
  <c r="K96" i="46" s="1"/>
  <c r="I98" i="46"/>
  <c r="K98" i="46" s="1"/>
  <c r="I99" i="46"/>
  <c r="K99" i="46" s="1"/>
  <c r="I100" i="46"/>
  <c r="K100" i="46" s="1"/>
  <c r="I101" i="46"/>
  <c r="K101" i="46" s="1"/>
  <c r="I102" i="46"/>
  <c r="K102" i="46" s="1"/>
  <c r="I103" i="46"/>
  <c r="K103" i="46" s="1"/>
  <c r="I104" i="46"/>
  <c r="K104" i="46" s="1"/>
  <c r="I106" i="46"/>
  <c r="K106" i="46" s="1"/>
  <c r="I107" i="46"/>
  <c r="K107" i="46" s="1"/>
  <c r="I108" i="46"/>
  <c r="K108" i="46" s="1"/>
  <c r="I109" i="46"/>
  <c r="K109" i="46" s="1"/>
  <c r="I110" i="46"/>
  <c r="K110" i="46" s="1"/>
  <c r="I111" i="46"/>
  <c r="K111" i="46" s="1"/>
  <c r="I112" i="46"/>
  <c r="K112" i="46" s="1"/>
  <c r="I114" i="46"/>
  <c r="K114" i="46" s="1"/>
  <c r="I115" i="46"/>
  <c r="K115" i="46" s="1"/>
  <c r="I116" i="46"/>
  <c r="K116" i="46" s="1"/>
  <c r="I117" i="46"/>
  <c r="K117" i="46" s="1"/>
  <c r="I118" i="46"/>
  <c r="K118" i="46" s="1"/>
  <c r="I119" i="46"/>
  <c r="K119" i="46" s="1"/>
  <c r="I120" i="46"/>
  <c r="K120" i="46" s="1"/>
  <c r="I122" i="46"/>
  <c r="K122" i="46" s="1"/>
  <c r="I123" i="46"/>
  <c r="K123" i="46" s="1"/>
  <c r="I124" i="46"/>
  <c r="K124" i="46" s="1"/>
  <c r="I125" i="46"/>
  <c r="K125" i="46" s="1"/>
  <c r="I126" i="46"/>
  <c r="K126" i="46" s="1"/>
  <c r="I127" i="46"/>
  <c r="K127" i="46" s="1"/>
  <c r="I128" i="46"/>
  <c r="K128" i="46" s="1"/>
  <c r="I130" i="46"/>
  <c r="K130" i="46" s="1"/>
  <c r="I131" i="46"/>
  <c r="K131" i="46" s="1"/>
  <c r="I132" i="46"/>
  <c r="K132" i="46" s="1"/>
  <c r="I133" i="46"/>
  <c r="K133" i="46" s="1"/>
  <c r="I134" i="46"/>
  <c r="K134" i="46" s="1"/>
  <c r="I135" i="46"/>
  <c r="K135" i="46" s="1"/>
  <c r="I136" i="46"/>
  <c r="K136" i="46" s="1"/>
  <c r="I138" i="46"/>
  <c r="K138" i="46" s="1"/>
  <c r="I139" i="46"/>
  <c r="K139" i="46" s="1"/>
  <c r="I140" i="46"/>
  <c r="K140" i="46" s="1"/>
  <c r="I141" i="46"/>
  <c r="K141" i="46" s="1"/>
  <c r="I142" i="46"/>
  <c r="K142" i="46" s="1"/>
  <c r="I143" i="46"/>
  <c r="K143" i="46" s="1"/>
  <c r="I144" i="46"/>
  <c r="K144" i="46" s="1"/>
  <c r="I146" i="46"/>
  <c r="K146" i="46" s="1"/>
  <c r="I147" i="46"/>
  <c r="K147" i="46" s="1"/>
  <c r="I148" i="46"/>
  <c r="K148" i="46" s="1"/>
  <c r="I149" i="46"/>
  <c r="K149" i="46" s="1"/>
  <c r="I150" i="46"/>
  <c r="K150" i="46" s="1"/>
  <c r="I151" i="46"/>
  <c r="K151" i="46" s="1"/>
  <c r="I152" i="46"/>
  <c r="K152" i="46" s="1"/>
  <c r="I154" i="46"/>
  <c r="K154" i="46" s="1"/>
  <c r="I155" i="46"/>
  <c r="K155" i="46" s="1"/>
  <c r="I156" i="46"/>
  <c r="K156" i="46" s="1"/>
  <c r="I157" i="46"/>
  <c r="K157" i="46" s="1"/>
  <c r="I158" i="46"/>
  <c r="K158" i="46" s="1"/>
  <c r="I159" i="46"/>
  <c r="K159" i="46" s="1"/>
  <c r="I160" i="46"/>
  <c r="K160" i="46" s="1"/>
  <c r="I162" i="46"/>
  <c r="K162" i="46" s="1"/>
  <c r="I163" i="46"/>
  <c r="K163" i="46" s="1"/>
  <c r="I164" i="46"/>
  <c r="K164" i="46" s="1"/>
  <c r="I165" i="46"/>
  <c r="K165" i="46" s="1"/>
  <c r="I166" i="46"/>
  <c r="K166" i="46" s="1"/>
  <c r="I167" i="46"/>
  <c r="K167" i="46" s="1"/>
  <c r="I168" i="46"/>
  <c r="K168" i="46" s="1"/>
  <c r="I170" i="46"/>
  <c r="K170" i="46" s="1"/>
  <c r="I171" i="46"/>
  <c r="K171" i="46" s="1"/>
  <c r="I172" i="46"/>
  <c r="K172" i="46" s="1"/>
  <c r="I173" i="46"/>
  <c r="K173" i="46" s="1"/>
  <c r="I174" i="46"/>
  <c r="K174" i="46" s="1"/>
  <c r="I175" i="46"/>
  <c r="K175" i="46" s="1"/>
  <c r="I176" i="46"/>
  <c r="K176" i="46" s="1"/>
  <c r="K2" i="16"/>
  <c r="K3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2" i="11"/>
  <c r="M2" i="11" s="1"/>
  <c r="K3" i="11"/>
  <c r="K4" i="11"/>
  <c r="K5" i="11"/>
  <c r="K6" i="11"/>
  <c r="K7" i="11"/>
  <c r="K8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4" i="68" l="1"/>
  <c r="J6" i="65"/>
  <c r="J1" i="87"/>
  <c r="K3" i="46"/>
  <c r="I169" i="46"/>
  <c r="K169" i="46" s="1"/>
  <c r="I161" i="46"/>
  <c r="K161" i="46" s="1"/>
  <c r="I153" i="46"/>
  <c r="K153" i="46" s="1"/>
  <c r="I145" i="46"/>
  <c r="K145" i="46" s="1"/>
  <c r="I137" i="46"/>
  <c r="K137" i="46" s="1"/>
  <c r="I129" i="46"/>
  <c r="K129" i="46" s="1"/>
  <c r="I121" i="46"/>
  <c r="K121" i="46" s="1"/>
  <c r="I113" i="46"/>
  <c r="K113" i="46" s="1"/>
  <c r="I105" i="46"/>
  <c r="K105" i="46" s="1"/>
  <c r="I97" i="46"/>
  <c r="K97" i="46" s="1"/>
  <c r="I89" i="46"/>
  <c r="K89" i="46" s="1"/>
  <c r="I81" i="46"/>
  <c r="K81" i="46" s="1"/>
  <c r="K73" i="46"/>
  <c r="I65" i="46"/>
  <c r="K65" i="46" s="1"/>
  <c r="I57" i="46"/>
  <c r="K57" i="46" s="1"/>
  <c r="I49" i="46"/>
  <c r="K49" i="46" s="1"/>
  <c r="I41" i="46"/>
  <c r="K41" i="46" s="1"/>
  <c r="I33" i="46"/>
  <c r="K33" i="46" s="1"/>
  <c r="I25" i="46"/>
  <c r="K25" i="46" s="1"/>
  <c r="I17" i="46"/>
  <c r="K17" i="46" s="1"/>
  <c r="I9" i="46"/>
  <c r="K9" i="46" s="1"/>
  <c r="L149" i="19"/>
  <c r="I3" i="84" l="1"/>
  <c r="K3" i="84" s="1"/>
  <c r="I4" i="84"/>
  <c r="K4" i="84" s="1"/>
  <c r="I5" i="84"/>
  <c r="K5" i="84" s="1"/>
  <c r="I6" i="84"/>
  <c r="K6" i="84" s="1"/>
  <c r="I7" i="84"/>
  <c r="K7" i="84" s="1"/>
  <c r="I8" i="84"/>
  <c r="K8" i="84" s="1"/>
  <c r="I9" i="84"/>
  <c r="K9" i="84" s="1"/>
  <c r="I11" i="84"/>
  <c r="K11" i="84" s="1"/>
  <c r="I12" i="84"/>
  <c r="K12" i="84" s="1"/>
  <c r="I13" i="84"/>
  <c r="K13" i="84" s="1"/>
  <c r="I14" i="84"/>
  <c r="K14" i="84" s="1"/>
  <c r="I17" i="84"/>
  <c r="K17" i="84" s="1"/>
  <c r="I18" i="84"/>
  <c r="K18" i="84" s="1"/>
  <c r="I19" i="84"/>
  <c r="K19" i="84" s="1"/>
  <c r="I21" i="84"/>
  <c r="K21" i="84" s="1"/>
  <c r="I22" i="84"/>
  <c r="K22" i="84" s="1"/>
  <c r="I24" i="84"/>
  <c r="K24" i="84" s="1"/>
  <c r="I25" i="84"/>
  <c r="K25" i="84" s="1"/>
  <c r="I26" i="84"/>
  <c r="K26" i="84" s="1"/>
  <c r="I27" i="84"/>
  <c r="K27" i="84" s="1"/>
  <c r="I28" i="84"/>
  <c r="K28" i="84" s="1"/>
  <c r="I29" i="84"/>
  <c r="K29" i="84" s="1"/>
  <c r="I30" i="84"/>
  <c r="K30" i="84" s="1"/>
  <c r="I31" i="84"/>
  <c r="K31" i="84" s="1"/>
  <c r="I32" i="84"/>
  <c r="K32" i="84" s="1"/>
  <c r="I33" i="84"/>
  <c r="K33" i="84" s="1"/>
  <c r="I34" i="84"/>
  <c r="K34" i="84" s="1"/>
  <c r="I35" i="84"/>
  <c r="K35" i="84" s="1"/>
  <c r="I36" i="84"/>
  <c r="K36" i="84" s="1"/>
  <c r="I37" i="84"/>
  <c r="K37" i="84" s="1"/>
  <c r="I38" i="84"/>
  <c r="K38" i="84" s="1"/>
  <c r="I39" i="84"/>
  <c r="K39" i="84" s="1"/>
  <c r="I40" i="84"/>
  <c r="K40" i="84" s="1"/>
  <c r="I41" i="84"/>
  <c r="K41" i="84" s="1"/>
  <c r="I42" i="84"/>
  <c r="K42" i="84" s="1"/>
  <c r="I43" i="84"/>
  <c r="K43" i="84" s="1"/>
  <c r="I44" i="84"/>
  <c r="K44" i="84" s="1"/>
  <c r="I45" i="84"/>
  <c r="K45" i="84" s="1"/>
  <c r="I46" i="84"/>
  <c r="K46" i="84" s="1"/>
  <c r="I47" i="84"/>
  <c r="K47" i="84" s="1"/>
  <c r="I48" i="84"/>
  <c r="K48" i="84" s="1"/>
  <c r="I49" i="84"/>
  <c r="K49" i="84" s="1"/>
  <c r="I50" i="84"/>
  <c r="K50" i="84" s="1"/>
  <c r="I51" i="84"/>
  <c r="K51" i="84" s="1"/>
  <c r="I52" i="84"/>
  <c r="K52" i="84" s="1"/>
  <c r="I53" i="84"/>
  <c r="K53" i="84" s="1"/>
  <c r="I54" i="84"/>
  <c r="K54" i="84" s="1"/>
  <c r="I55" i="84"/>
  <c r="K55" i="84" s="1"/>
  <c r="I56" i="84"/>
  <c r="K56" i="84" s="1"/>
  <c r="I57" i="84"/>
  <c r="K57" i="84" s="1"/>
  <c r="I58" i="84"/>
  <c r="K58" i="84" s="1"/>
  <c r="I59" i="84"/>
  <c r="K59" i="84" s="1"/>
  <c r="I60" i="84"/>
  <c r="K60" i="84" s="1"/>
  <c r="I61" i="84"/>
  <c r="K61" i="84" s="1"/>
  <c r="I62" i="84"/>
  <c r="K62" i="84" s="1"/>
  <c r="I63" i="84"/>
  <c r="K63" i="84" s="1"/>
  <c r="I64" i="84"/>
  <c r="K64" i="84" s="1"/>
  <c r="I65" i="84"/>
  <c r="K65" i="84" s="1"/>
  <c r="I66" i="84"/>
  <c r="K66" i="84" s="1"/>
  <c r="I67" i="84"/>
  <c r="K67" i="84" s="1"/>
  <c r="I68" i="84"/>
  <c r="K68" i="84" s="1"/>
  <c r="I69" i="84"/>
  <c r="K69" i="84" s="1"/>
  <c r="I70" i="84"/>
  <c r="K70" i="84" s="1"/>
  <c r="I71" i="84"/>
  <c r="K71" i="84" s="1"/>
  <c r="I72" i="84"/>
  <c r="K72" i="84" s="1"/>
  <c r="I73" i="84"/>
  <c r="K73" i="84" s="1"/>
  <c r="I74" i="84"/>
  <c r="K74" i="84" s="1"/>
  <c r="I75" i="84"/>
  <c r="K75" i="84" s="1"/>
  <c r="I76" i="84"/>
  <c r="K76" i="84" s="1"/>
  <c r="I77" i="84"/>
  <c r="K77" i="84" s="1"/>
  <c r="I78" i="84"/>
  <c r="K78" i="84" s="1"/>
  <c r="I79" i="84"/>
  <c r="K79" i="84" s="1"/>
  <c r="I80" i="84"/>
  <c r="K80" i="84" s="1"/>
  <c r="I81" i="84"/>
  <c r="K81" i="84" s="1"/>
  <c r="I82" i="84"/>
  <c r="K82" i="84" s="1"/>
  <c r="I83" i="84"/>
  <c r="K83" i="84" s="1"/>
  <c r="I84" i="84"/>
  <c r="K84" i="84" s="1"/>
  <c r="I85" i="84"/>
  <c r="K85" i="84" s="1"/>
  <c r="I86" i="84"/>
  <c r="K86" i="84" s="1"/>
  <c r="I87" i="84"/>
  <c r="K87" i="84" s="1"/>
  <c r="I88" i="84"/>
  <c r="K88" i="84" s="1"/>
  <c r="I89" i="84"/>
  <c r="K89" i="84" s="1"/>
  <c r="I90" i="84"/>
  <c r="K90" i="84" s="1"/>
  <c r="I91" i="84"/>
  <c r="K91" i="84" s="1"/>
  <c r="I92" i="84"/>
  <c r="K92" i="84" s="1"/>
  <c r="I93" i="84"/>
  <c r="K93" i="84" s="1"/>
  <c r="I94" i="84"/>
  <c r="K94" i="84" s="1"/>
  <c r="I95" i="84"/>
  <c r="K95" i="84" s="1"/>
  <c r="I96" i="84"/>
  <c r="K96" i="84" s="1"/>
  <c r="I97" i="84"/>
  <c r="K97" i="84" s="1"/>
  <c r="I98" i="84"/>
  <c r="K98" i="84" s="1"/>
  <c r="I99" i="84"/>
  <c r="K99" i="84" s="1"/>
  <c r="I100" i="84"/>
  <c r="K100" i="84" s="1"/>
  <c r="I101" i="84"/>
  <c r="K101" i="84" s="1"/>
  <c r="I102" i="84"/>
  <c r="K102" i="84" s="1"/>
  <c r="I103" i="84"/>
  <c r="K103" i="84" s="1"/>
  <c r="I104" i="84"/>
  <c r="K104" i="84" s="1"/>
  <c r="I105" i="84"/>
  <c r="K105" i="84" s="1"/>
  <c r="I106" i="84"/>
  <c r="K106" i="84" s="1"/>
  <c r="I107" i="84"/>
  <c r="K107" i="84" s="1"/>
  <c r="I108" i="84"/>
  <c r="K108" i="84" s="1"/>
  <c r="I109" i="84"/>
  <c r="K109" i="84" s="1"/>
  <c r="I110" i="84"/>
  <c r="K110" i="84" s="1"/>
  <c r="I111" i="84"/>
  <c r="K111" i="84" s="1"/>
  <c r="I112" i="84"/>
  <c r="K112" i="84" s="1"/>
  <c r="I113" i="84"/>
  <c r="K113" i="84" s="1"/>
  <c r="I114" i="84"/>
  <c r="K114" i="84" s="1"/>
  <c r="I115" i="84"/>
  <c r="K115" i="84" s="1"/>
  <c r="I116" i="84"/>
  <c r="K116" i="84" s="1"/>
  <c r="I117" i="84"/>
  <c r="K117" i="84" s="1"/>
  <c r="I118" i="84"/>
  <c r="K118" i="84" s="1"/>
  <c r="I119" i="84"/>
  <c r="K119" i="84" s="1"/>
  <c r="I120" i="84"/>
  <c r="K120" i="84" s="1"/>
  <c r="I121" i="84"/>
  <c r="K121" i="84" s="1"/>
  <c r="I122" i="84"/>
  <c r="K122" i="84" s="1"/>
  <c r="I123" i="84"/>
  <c r="K123" i="84" s="1"/>
  <c r="I124" i="84"/>
  <c r="K124" i="84" s="1"/>
  <c r="I125" i="84"/>
  <c r="K125" i="84" s="1"/>
  <c r="I126" i="84"/>
  <c r="K126" i="84" s="1"/>
  <c r="I127" i="84"/>
  <c r="K127" i="84" s="1"/>
  <c r="I128" i="84"/>
  <c r="K128" i="84" s="1"/>
  <c r="I129" i="84"/>
  <c r="K129" i="84" s="1"/>
  <c r="I130" i="84"/>
  <c r="K130" i="84" s="1"/>
  <c r="I131" i="84"/>
  <c r="K131" i="84" s="1"/>
  <c r="I132" i="84"/>
  <c r="K132" i="84" s="1"/>
  <c r="I133" i="84"/>
  <c r="K133" i="84" s="1"/>
  <c r="I134" i="84"/>
  <c r="K134" i="84" s="1"/>
  <c r="I135" i="84"/>
  <c r="K135" i="84" s="1"/>
  <c r="I136" i="84"/>
  <c r="K136" i="84" s="1"/>
  <c r="I137" i="84"/>
  <c r="K137" i="84" s="1"/>
  <c r="I138" i="84"/>
  <c r="K138" i="84" s="1"/>
  <c r="I139" i="84"/>
  <c r="K139" i="84" s="1"/>
  <c r="I140" i="84"/>
  <c r="K140" i="84" s="1"/>
  <c r="I141" i="84"/>
  <c r="K141" i="84" s="1"/>
  <c r="I142" i="84"/>
  <c r="K142" i="84" s="1"/>
  <c r="I143" i="84"/>
  <c r="K143" i="84" s="1"/>
  <c r="I144" i="84"/>
  <c r="K144" i="84" s="1"/>
  <c r="I145" i="84"/>
  <c r="K145" i="84" s="1"/>
  <c r="I146" i="84"/>
  <c r="K146" i="84" s="1"/>
  <c r="I147" i="84"/>
  <c r="K147" i="84" s="1"/>
  <c r="I148" i="84"/>
  <c r="K148" i="84" s="1"/>
  <c r="I149" i="84"/>
  <c r="K149" i="84" s="1"/>
  <c r="I150" i="84"/>
  <c r="K150" i="84" s="1"/>
  <c r="I151" i="84"/>
  <c r="K151" i="84" s="1"/>
  <c r="I152" i="84"/>
  <c r="K152" i="84" s="1"/>
  <c r="I153" i="84"/>
  <c r="K153" i="84" s="1"/>
  <c r="I154" i="84"/>
  <c r="K154" i="84" s="1"/>
  <c r="I155" i="84"/>
  <c r="K155" i="84" s="1"/>
  <c r="I156" i="84"/>
  <c r="K156" i="84" s="1"/>
  <c r="I157" i="84"/>
  <c r="K157" i="84" s="1"/>
  <c r="I158" i="84"/>
  <c r="K158" i="84" s="1"/>
  <c r="I159" i="84"/>
  <c r="K159" i="84" s="1"/>
  <c r="I160" i="84"/>
  <c r="K160" i="84" s="1"/>
  <c r="I161" i="84"/>
  <c r="K161" i="84" s="1"/>
  <c r="I162" i="84"/>
  <c r="K162" i="84" s="1"/>
  <c r="I163" i="84"/>
  <c r="K163" i="84" s="1"/>
  <c r="I164" i="84"/>
  <c r="K164" i="84" s="1"/>
  <c r="I165" i="84"/>
  <c r="K165" i="84" s="1"/>
  <c r="I166" i="84"/>
  <c r="K166" i="84" s="1"/>
  <c r="I167" i="84"/>
  <c r="K167" i="84" s="1"/>
  <c r="I168" i="84"/>
  <c r="K168" i="84" s="1"/>
  <c r="I169" i="84"/>
  <c r="K169" i="84" s="1"/>
  <c r="I170" i="84"/>
  <c r="K170" i="84" s="1"/>
  <c r="I171" i="84"/>
  <c r="K171" i="84" s="1"/>
  <c r="I172" i="84"/>
  <c r="K172" i="84" s="1"/>
  <c r="I173" i="84"/>
  <c r="K173" i="84" s="1"/>
  <c r="I174" i="84"/>
  <c r="K174" i="84" s="1"/>
  <c r="I175" i="84"/>
  <c r="K175" i="84" s="1"/>
  <c r="I176" i="84"/>
  <c r="K176" i="84" s="1"/>
  <c r="I177" i="84"/>
  <c r="K177" i="84" s="1"/>
  <c r="I178" i="84"/>
  <c r="K178" i="84" s="1"/>
  <c r="I179" i="84"/>
  <c r="K179" i="84" s="1"/>
  <c r="I180" i="84"/>
  <c r="K180" i="84" s="1"/>
  <c r="I181" i="84"/>
  <c r="K181" i="84" s="1"/>
  <c r="I182" i="84"/>
  <c r="K182" i="84" s="1"/>
  <c r="I183" i="84"/>
  <c r="K183" i="84" s="1"/>
  <c r="I184" i="84"/>
  <c r="K184" i="84" s="1"/>
  <c r="I185" i="84"/>
  <c r="K185" i="84" s="1"/>
  <c r="I186" i="84"/>
  <c r="K186" i="84" s="1"/>
  <c r="I187" i="84"/>
  <c r="K187" i="84" s="1"/>
  <c r="I188" i="84"/>
  <c r="K188" i="84" s="1"/>
  <c r="I189" i="84"/>
  <c r="K189" i="84" s="1"/>
  <c r="I190" i="84"/>
  <c r="K190" i="84" s="1"/>
  <c r="I191" i="84"/>
  <c r="K191" i="84" s="1"/>
  <c r="I192" i="84"/>
  <c r="K192" i="84" s="1"/>
  <c r="I193" i="84"/>
  <c r="K193" i="84" s="1"/>
  <c r="I194" i="84"/>
  <c r="K194" i="84" s="1"/>
  <c r="I195" i="84"/>
  <c r="K195" i="84" s="1"/>
  <c r="I196" i="84"/>
  <c r="K196" i="84" s="1"/>
  <c r="I197" i="84"/>
  <c r="K197" i="84" s="1"/>
  <c r="I198" i="84"/>
  <c r="K198" i="84" s="1"/>
  <c r="I199" i="84"/>
  <c r="K199" i="84" s="1"/>
  <c r="I200" i="84"/>
  <c r="K200" i="84" s="1"/>
  <c r="I201" i="84"/>
  <c r="K201" i="84" s="1"/>
  <c r="I202" i="84"/>
  <c r="K202" i="84" s="1"/>
  <c r="I203" i="84"/>
  <c r="K203" i="84" s="1"/>
  <c r="I204" i="84"/>
  <c r="K204" i="84" s="1"/>
  <c r="I205" i="84"/>
  <c r="K205" i="84" s="1"/>
  <c r="I206" i="84"/>
  <c r="K206" i="84" s="1"/>
  <c r="I207" i="84"/>
  <c r="K207" i="84" s="1"/>
  <c r="I208" i="84"/>
  <c r="K208" i="84" s="1"/>
  <c r="I209" i="84"/>
  <c r="K209" i="84" s="1"/>
  <c r="I210" i="84"/>
  <c r="K210" i="84" s="1"/>
  <c r="I211" i="84"/>
  <c r="K211" i="84" s="1"/>
  <c r="I212" i="84"/>
  <c r="K212" i="84" s="1"/>
  <c r="I213" i="84"/>
  <c r="K213" i="84" s="1"/>
  <c r="I214" i="84"/>
  <c r="K214" i="84" s="1"/>
  <c r="I215" i="84"/>
  <c r="K215" i="84" s="1"/>
  <c r="I216" i="84"/>
  <c r="K216" i="84" s="1"/>
  <c r="I217" i="84"/>
  <c r="K217" i="84" s="1"/>
  <c r="I218" i="84"/>
  <c r="K218" i="84" s="1"/>
  <c r="I219" i="84"/>
  <c r="K219" i="84" s="1"/>
  <c r="I220" i="84"/>
  <c r="K220" i="84" s="1"/>
  <c r="I221" i="84"/>
  <c r="K221" i="84" s="1"/>
  <c r="I222" i="84"/>
  <c r="K222" i="84" s="1"/>
  <c r="I223" i="84"/>
  <c r="K223" i="84" s="1"/>
  <c r="I224" i="84"/>
  <c r="K224" i="84" s="1"/>
  <c r="I225" i="84"/>
  <c r="K225" i="84" s="1"/>
  <c r="I226" i="84"/>
  <c r="K226" i="84" s="1"/>
  <c r="I227" i="84"/>
  <c r="K227" i="84" s="1"/>
  <c r="I228" i="84"/>
  <c r="K228" i="84" s="1"/>
  <c r="I229" i="84"/>
  <c r="K229" i="84" s="1"/>
  <c r="I230" i="84"/>
  <c r="K230" i="84" s="1"/>
  <c r="I231" i="84"/>
  <c r="K231" i="84" s="1"/>
  <c r="I232" i="84"/>
  <c r="K232" i="84" s="1"/>
  <c r="I233" i="84"/>
  <c r="K233" i="84" s="1"/>
  <c r="I234" i="84"/>
  <c r="K234" i="84" s="1"/>
  <c r="I235" i="84"/>
  <c r="K235" i="84" s="1"/>
  <c r="I236" i="84"/>
  <c r="K236" i="84" s="1"/>
  <c r="I237" i="84"/>
  <c r="K237" i="84" s="1"/>
  <c r="I238" i="84"/>
  <c r="K238" i="84" s="1"/>
  <c r="I239" i="84"/>
  <c r="K239" i="84" s="1"/>
  <c r="I240" i="84"/>
  <c r="K240" i="84" s="1"/>
  <c r="I241" i="84"/>
  <c r="K241" i="84" s="1"/>
  <c r="I242" i="84"/>
  <c r="K242" i="84" s="1"/>
  <c r="I243" i="84"/>
  <c r="K243" i="84" s="1"/>
  <c r="I244" i="84"/>
  <c r="K244" i="84" s="1"/>
  <c r="I245" i="84"/>
  <c r="K245" i="84" s="1"/>
  <c r="I246" i="84"/>
  <c r="K246" i="84" s="1"/>
  <c r="I247" i="84"/>
  <c r="K247" i="84" s="1"/>
  <c r="I248" i="84"/>
  <c r="K248" i="84" s="1"/>
  <c r="I249" i="84"/>
  <c r="K249" i="84" s="1"/>
  <c r="I250" i="84"/>
  <c r="K250" i="84" s="1"/>
  <c r="I251" i="84"/>
  <c r="K251" i="84" s="1"/>
  <c r="I252" i="84"/>
  <c r="K252" i="84" s="1"/>
  <c r="I253" i="84"/>
  <c r="K253" i="84" s="1"/>
  <c r="I254" i="84"/>
  <c r="K254" i="84" s="1"/>
  <c r="I255" i="84"/>
  <c r="K255" i="84" s="1"/>
  <c r="I256" i="84"/>
  <c r="K256" i="84" s="1"/>
  <c r="I257" i="84"/>
  <c r="K257" i="84" s="1"/>
  <c r="I258" i="84"/>
  <c r="K258" i="84" s="1"/>
  <c r="I259" i="84"/>
  <c r="K259" i="84" s="1"/>
  <c r="I260" i="84"/>
  <c r="K260" i="84" s="1"/>
  <c r="I261" i="84"/>
  <c r="K261" i="84" s="1"/>
  <c r="I262" i="84"/>
  <c r="K262" i="84" s="1"/>
  <c r="I263" i="84"/>
  <c r="K263" i="84" s="1"/>
  <c r="I264" i="84"/>
  <c r="K264" i="84" s="1"/>
  <c r="I265" i="84"/>
  <c r="K265" i="84" s="1"/>
  <c r="I266" i="84"/>
  <c r="K266" i="84" s="1"/>
  <c r="I267" i="84"/>
  <c r="K267" i="84" s="1"/>
  <c r="I268" i="84"/>
  <c r="K268" i="84" s="1"/>
  <c r="I269" i="84"/>
  <c r="K269" i="84" s="1"/>
  <c r="I270" i="84"/>
  <c r="K270" i="84" s="1"/>
  <c r="I271" i="84"/>
  <c r="K271" i="84" s="1"/>
  <c r="I272" i="84"/>
  <c r="K272" i="84" s="1"/>
  <c r="I273" i="84"/>
  <c r="K273" i="84" s="1"/>
  <c r="I274" i="84"/>
  <c r="K274" i="84" s="1"/>
  <c r="I275" i="84"/>
  <c r="K275" i="84" s="1"/>
  <c r="I276" i="84"/>
  <c r="K276" i="84" s="1"/>
  <c r="I277" i="84"/>
  <c r="K277" i="84" s="1"/>
  <c r="I278" i="84"/>
  <c r="K278" i="84" s="1"/>
  <c r="I279" i="84"/>
  <c r="K279" i="84" s="1"/>
  <c r="I280" i="84"/>
  <c r="K280" i="84" s="1"/>
  <c r="I281" i="84"/>
  <c r="K281" i="84" s="1"/>
  <c r="I282" i="84"/>
  <c r="K282" i="84" s="1"/>
  <c r="I283" i="84"/>
  <c r="K283" i="84" s="1"/>
  <c r="I284" i="84"/>
  <c r="K284" i="84" s="1"/>
  <c r="I285" i="84"/>
  <c r="K285" i="84" s="1"/>
  <c r="I286" i="84"/>
  <c r="K286" i="84" s="1"/>
  <c r="I287" i="84"/>
  <c r="K287" i="84" s="1"/>
  <c r="I288" i="84"/>
  <c r="K288" i="84" s="1"/>
  <c r="I289" i="84"/>
  <c r="K289" i="84" s="1"/>
  <c r="I290" i="84"/>
  <c r="K290" i="84" s="1"/>
  <c r="I291" i="84"/>
  <c r="K291" i="84" s="1"/>
  <c r="I292" i="84"/>
  <c r="K292" i="84" s="1"/>
  <c r="I293" i="84"/>
  <c r="K293" i="84" s="1"/>
  <c r="I294" i="84"/>
  <c r="K294" i="84" s="1"/>
  <c r="I295" i="84"/>
  <c r="K295" i="84" s="1"/>
  <c r="I296" i="84"/>
  <c r="K296" i="84" s="1"/>
  <c r="I297" i="84"/>
  <c r="K297" i="84" s="1"/>
  <c r="I298" i="84"/>
  <c r="K298" i="84" s="1"/>
  <c r="I299" i="84"/>
  <c r="K299" i="84" s="1"/>
  <c r="I300" i="84"/>
  <c r="K300" i="84" s="1"/>
  <c r="I301" i="84"/>
  <c r="K301" i="84" s="1"/>
  <c r="I302" i="84"/>
  <c r="K302" i="84" s="1"/>
  <c r="I303" i="84"/>
  <c r="K303" i="84" s="1"/>
  <c r="I304" i="84"/>
  <c r="K304" i="84" s="1"/>
  <c r="I305" i="84"/>
  <c r="K305" i="84" s="1"/>
  <c r="I306" i="84"/>
  <c r="K306" i="84" s="1"/>
  <c r="I307" i="84"/>
  <c r="K307" i="84" s="1"/>
  <c r="I308" i="84"/>
  <c r="K308" i="84" s="1"/>
  <c r="I309" i="84"/>
  <c r="K309" i="84" s="1"/>
  <c r="I310" i="84"/>
  <c r="K310" i="84" s="1"/>
  <c r="I311" i="84"/>
  <c r="K311" i="84" s="1"/>
  <c r="I312" i="84"/>
  <c r="K312" i="84" s="1"/>
  <c r="I313" i="84"/>
  <c r="K313" i="84" s="1"/>
  <c r="I314" i="84"/>
  <c r="K314" i="84" s="1"/>
  <c r="I315" i="84"/>
  <c r="K315" i="84" s="1"/>
  <c r="I316" i="84"/>
  <c r="K316" i="84" s="1"/>
  <c r="I317" i="84"/>
  <c r="K317" i="84" s="1"/>
  <c r="I318" i="84"/>
  <c r="K318" i="84" s="1"/>
  <c r="I319" i="84"/>
  <c r="K319" i="84" s="1"/>
  <c r="I320" i="84"/>
  <c r="K320" i="84" s="1"/>
  <c r="I321" i="84"/>
  <c r="K321" i="84" s="1"/>
  <c r="I322" i="84"/>
  <c r="K322" i="84" s="1"/>
  <c r="I323" i="84"/>
  <c r="K323" i="84" s="1"/>
  <c r="I324" i="84"/>
  <c r="K324" i="84" s="1"/>
  <c r="I325" i="84"/>
  <c r="K325" i="84" s="1"/>
  <c r="I326" i="84"/>
  <c r="K326" i="84" s="1"/>
  <c r="I327" i="84"/>
  <c r="K327" i="84" s="1"/>
  <c r="I328" i="84"/>
  <c r="K328" i="84" s="1"/>
  <c r="I329" i="84"/>
  <c r="K329" i="84" s="1"/>
  <c r="I330" i="84"/>
  <c r="K330" i="84" s="1"/>
  <c r="I331" i="84"/>
  <c r="K331" i="84" s="1"/>
  <c r="I332" i="84"/>
  <c r="K332" i="84" s="1"/>
  <c r="I333" i="84"/>
  <c r="K333" i="84" s="1"/>
  <c r="I334" i="84"/>
  <c r="K334" i="84" s="1"/>
  <c r="I335" i="84"/>
  <c r="K335" i="84" s="1"/>
  <c r="I336" i="84"/>
  <c r="K336" i="84" s="1"/>
  <c r="I337" i="84"/>
  <c r="K337" i="84" s="1"/>
  <c r="I338" i="84"/>
  <c r="K338" i="84" s="1"/>
  <c r="I339" i="84"/>
  <c r="K339" i="84" s="1"/>
  <c r="I340" i="84"/>
  <c r="K340" i="84" s="1"/>
  <c r="I341" i="84"/>
  <c r="K341" i="84" s="1"/>
  <c r="I342" i="84"/>
  <c r="K342" i="84" s="1"/>
  <c r="I343" i="84"/>
  <c r="K343" i="84" s="1"/>
  <c r="O13" i="84" l="1"/>
  <c r="M2" i="85"/>
  <c r="I2" i="84"/>
  <c r="K2" i="84" s="1"/>
  <c r="M3" i="85" l="1"/>
  <c r="M4" i="85" s="1"/>
  <c r="M5" i="85" s="1"/>
  <c r="M6" i="85" s="1"/>
  <c r="M11" i="85" s="1"/>
  <c r="M12" i="85" s="1"/>
  <c r="M13" i="85" s="1"/>
  <c r="M14" i="85" s="1"/>
  <c r="M15" i="85" s="1"/>
  <c r="M16" i="85" s="1"/>
  <c r="M17" i="85" s="1"/>
  <c r="M18" i="85" s="1"/>
  <c r="M19" i="85" s="1"/>
  <c r="M20" i="85" s="1"/>
  <c r="M21" i="85" s="1"/>
  <c r="M22" i="85" s="1"/>
  <c r="M23" i="85" s="1"/>
  <c r="M24" i="85" s="1"/>
  <c r="M25" i="85" s="1"/>
  <c r="M26" i="85" s="1"/>
  <c r="M27" i="85" s="1"/>
  <c r="M28" i="85" s="1"/>
  <c r="M29" i="85" s="1"/>
  <c r="M30" i="85" s="1"/>
  <c r="M31" i="85" s="1"/>
  <c r="M32" i="85" s="1"/>
  <c r="M33" i="85" s="1"/>
  <c r="M34" i="85" s="1"/>
  <c r="M35" i="85" s="1"/>
  <c r="M36" i="85" s="1"/>
  <c r="M37" i="85" s="1"/>
  <c r="M38" i="85" s="1"/>
  <c r="M39" i="85" s="1"/>
  <c r="M40" i="85" s="1"/>
  <c r="M41" i="85" s="1"/>
  <c r="M42" i="85" s="1"/>
  <c r="M43" i="85" s="1"/>
  <c r="M44" i="85" s="1"/>
  <c r="M45" i="85" s="1"/>
  <c r="M46" i="85" s="1"/>
  <c r="M47" i="85" s="1"/>
  <c r="M48" i="85" s="1"/>
  <c r="M49" i="85" s="1"/>
  <c r="M50" i="85" s="1"/>
  <c r="M51" i="85" s="1"/>
  <c r="M52" i="85" s="1"/>
  <c r="M53" i="85" s="1"/>
  <c r="M54" i="85" s="1"/>
  <c r="M55" i="85" s="1"/>
  <c r="M56" i="85" s="1"/>
  <c r="M57" i="85" s="1"/>
  <c r="M58" i="85" s="1"/>
  <c r="M59" i="85" s="1"/>
  <c r="M60" i="85" s="1"/>
  <c r="M61" i="85" s="1"/>
  <c r="M62" i="85" s="1"/>
  <c r="M63" i="85" s="1"/>
  <c r="M64" i="85" s="1"/>
  <c r="M65" i="85" s="1"/>
  <c r="M66" i="85" s="1"/>
  <c r="M67" i="85" s="1"/>
  <c r="M68" i="85" s="1"/>
  <c r="M69" i="85" s="1"/>
  <c r="M70" i="85" s="1"/>
  <c r="M71" i="85" s="1"/>
  <c r="M72" i="85" s="1"/>
  <c r="M73" i="85" s="1"/>
  <c r="M74" i="85" s="1"/>
  <c r="M75" i="85" s="1"/>
  <c r="M76" i="85" s="1"/>
  <c r="M77" i="85" s="1"/>
  <c r="M78" i="85" s="1"/>
  <c r="M79" i="85" s="1"/>
  <c r="M80" i="85" s="1"/>
  <c r="M81" i="85" s="1"/>
  <c r="M82" i="85" s="1"/>
  <c r="M83" i="85" s="1"/>
  <c r="M84" i="85" s="1"/>
  <c r="M85" i="85" s="1"/>
  <c r="M86" i="85" s="1"/>
  <c r="M87" i="85" s="1"/>
  <c r="M88" i="85" s="1"/>
  <c r="M89" i="85" s="1"/>
  <c r="M90" i="85" s="1"/>
  <c r="M91" i="85" s="1"/>
  <c r="M92" i="85" s="1"/>
  <c r="M93" i="85" s="1"/>
  <c r="M94" i="85" s="1"/>
  <c r="M95" i="85" s="1"/>
  <c r="M96" i="85" s="1"/>
  <c r="M97" i="85" s="1"/>
  <c r="M98" i="85" s="1"/>
  <c r="M99" i="85" s="1"/>
  <c r="M100" i="85" s="1"/>
  <c r="M101" i="85" s="1"/>
  <c r="M102" i="85" s="1"/>
  <c r="M103" i="85" s="1"/>
  <c r="M104" i="85" s="1"/>
  <c r="M105" i="85" s="1"/>
  <c r="M106" i="85" s="1"/>
  <c r="M107" i="85" s="1"/>
  <c r="M108" i="85" s="1"/>
  <c r="M109" i="85" s="1"/>
  <c r="M110" i="85" s="1"/>
  <c r="M111" i="85" s="1"/>
  <c r="M112" i="85" s="1"/>
  <c r="M113" i="85" s="1"/>
  <c r="M114" i="85" s="1"/>
  <c r="M115" i="85" s="1"/>
  <c r="M116" i="85" s="1"/>
  <c r="M117" i="85" s="1"/>
  <c r="M118" i="85" s="1"/>
  <c r="M119" i="85" s="1"/>
  <c r="M120" i="85" s="1"/>
  <c r="M121" i="85" s="1"/>
  <c r="M122" i="85" s="1"/>
  <c r="M123" i="85" s="1"/>
  <c r="M124" i="85" s="1"/>
  <c r="M125" i="85" s="1"/>
  <c r="M126" i="85" s="1"/>
  <c r="M127" i="85" s="1"/>
  <c r="M128" i="85" s="1"/>
  <c r="M129" i="85" s="1"/>
  <c r="M130" i="85" s="1"/>
  <c r="M131" i="85" s="1"/>
  <c r="M132" i="85" s="1"/>
  <c r="M133" i="85" s="1"/>
  <c r="M134" i="85" s="1"/>
  <c r="M135" i="85" s="1"/>
  <c r="M136" i="85" s="1"/>
  <c r="M137" i="85" s="1"/>
  <c r="M138" i="85" s="1"/>
  <c r="M139" i="85" s="1"/>
  <c r="M140" i="85" s="1"/>
  <c r="M141" i="85" s="1"/>
  <c r="M142" i="85" s="1"/>
  <c r="M143" i="85" s="1"/>
  <c r="M144" i="85" s="1"/>
  <c r="M145" i="85" s="1"/>
  <c r="M146" i="85" s="1"/>
  <c r="M147" i="85" s="1"/>
  <c r="M148" i="85" s="1"/>
  <c r="M149" i="85" s="1"/>
  <c r="M150" i="85" s="1"/>
  <c r="M151" i="85" s="1"/>
  <c r="M152" i="85" s="1"/>
  <c r="M153" i="85" s="1"/>
  <c r="M154" i="85" s="1"/>
  <c r="M155" i="85" s="1"/>
  <c r="M156" i="85" s="1"/>
  <c r="M157" i="85" s="1"/>
  <c r="M158" i="85" s="1"/>
  <c r="M159" i="85" s="1"/>
  <c r="M160" i="85" s="1"/>
  <c r="M161" i="85" s="1"/>
  <c r="M162" i="85" s="1"/>
  <c r="M163" i="85" s="1"/>
  <c r="M164" i="85" s="1"/>
  <c r="M165" i="85" s="1"/>
  <c r="M166" i="85" s="1"/>
  <c r="M167" i="85" s="1"/>
  <c r="M168" i="85" s="1"/>
  <c r="M169" i="85" s="1"/>
  <c r="M170" i="85" s="1"/>
  <c r="M171" i="85" s="1"/>
  <c r="M172" i="85" s="1"/>
  <c r="M173" i="85" s="1"/>
  <c r="M174" i="85" s="1"/>
  <c r="M175" i="85" s="1"/>
  <c r="M176" i="85" s="1"/>
  <c r="M177" i="85" s="1"/>
  <c r="M178" i="85" s="1"/>
  <c r="M179" i="85" s="1"/>
  <c r="M180" i="85" s="1"/>
  <c r="M181" i="85" s="1"/>
  <c r="M182" i="85" s="1"/>
  <c r="M183" i="85" s="1"/>
  <c r="M184" i="85" s="1"/>
  <c r="M185" i="85" s="1"/>
  <c r="M186" i="85" s="1"/>
  <c r="M187" i="85" s="1"/>
  <c r="M188" i="85" s="1"/>
  <c r="M189" i="85" s="1"/>
  <c r="M190" i="85" s="1"/>
  <c r="M191" i="85" s="1"/>
  <c r="M192" i="85" s="1"/>
  <c r="M193" i="85" s="1"/>
  <c r="M194" i="85" s="1"/>
  <c r="M195" i="85" s="1"/>
  <c r="M196" i="85" s="1"/>
  <c r="M197" i="85" s="1"/>
  <c r="M198" i="85" s="1"/>
  <c r="M199" i="85" s="1"/>
  <c r="M200" i="85" s="1"/>
  <c r="M201" i="85" s="1"/>
  <c r="M202" i="85" s="1"/>
  <c r="M203" i="85" s="1"/>
  <c r="M204" i="85" s="1"/>
  <c r="M205" i="85" s="1"/>
  <c r="M206" i="85" s="1"/>
  <c r="M207" i="85" s="1"/>
  <c r="M208" i="85" s="1"/>
  <c r="M209" i="85" s="1"/>
  <c r="M210" i="85" s="1"/>
  <c r="M211" i="85" s="1"/>
  <c r="M212" i="85" s="1"/>
  <c r="M213" i="85" s="1"/>
  <c r="M214" i="85" s="1"/>
  <c r="M215" i="85" s="1"/>
  <c r="M216" i="85" s="1"/>
  <c r="M217" i="85" s="1"/>
  <c r="M218" i="85" s="1"/>
  <c r="M219" i="85" s="1"/>
  <c r="M220" i="85" s="1"/>
  <c r="M221" i="85" s="1"/>
  <c r="M222" i="85" s="1"/>
  <c r="M223" i="85" s="1"/>
  <c r="M224" i="85" s="1"/>
  <c r="M225" i="85" s="1"/>
  <c r="M226" i="85" s="1"/>
  <c r="M227" i="85" s="1"/>
  <c r="M228" i="85" s="1"/>
  <c r="M229" i="85" s="1"/>
  <c r="M230" i="85" s="1"/>
  <c r="M231" i="85" s="1"/>
  <c r="M232" i="85" s="1"/>
  <c r="M233" i="85" s="1"/>
  <c r="M234" i="85" s="1"/>
  <c r="M235" i="85" s="1"/>
  <c r="M236" i="85" s="1"/>
  <c r="M237" i="85" s="1"/>
  <c r="M238" i="85" s="1"/>
  <c r="M239" i="85" s="1"/>
  <c r="M240" i="85" s="1"/>
  <c r="M241" i="85" s="1"/>
  <c r="M242" i="85" s="1"/>
  <c r="M243" i="85" s="1"/>
  <c r="M244" i="85" s="1"/>
  <c r="M245" i="85" s="1"/>
  <c r="M246" i="85" s="1"/>
  <c r="M247" i="85" s="1"/>
  <c r="M248" i="85" s="1"/>
  <c r="M249" i="85" s="1"/>
  <c r="M250" i="85" s="1"/>
  <c r="M251" i="85" s="1"/>
  <c r="M252" i="85" s="1"/>
  <c r="M253" i="85" s="1"/>
  <c r="M254" i="85" s="1"/>
  <c r="M255" i="85" s="1"/>
  <c r="M256" i="85" s="1"/>
  <c r="M257" i="85" s="1"/>
  <c r="M258" i="85" s="1"/>
  <c r="M259" i="85" s="1"/>
  <c r="M260" i="85" s="1"/>
  <c r="M261" i="85" s="1"/>
  <c r="M262" i="85" s="1"/>
  <c r="M263" i="85" s="1"/>
  <c r="M264" i="85" s="1"/>
  <c r="M265" i="85" s="1"/>
  <c r="M266" i="85" s="1"/>
  <c r="M267" i="85" s="1"/>
  <c r="M268" i="85" s="1"/>
  <c r="M269" i="85" s="1"/>
  <c r="M270" i="85" s="1"/>
  <c r="M271" i="85" s="1"/>
  <c r="M272" i="85" s="1"/>
  <c r="M273" i="85" s="1"/>
  <c r="M274" i="85" s="1"/>
  <c r="M275" i="85" s="1"/>
  <c r="M276" i="85" s="1"/>
  <c r="M277" i="85" s="1"/>
  <c r="M278" i="85" s="1"/>
  <c r="M279" i="85" s="1"/>
  <c r="M280" i="85" s="1"/>
  <c r="M281" i="85" s="1"/>
  <c r="M282" i="85" s="1"/>
  <c r="M283" i="85" s="1"/>
  <c r="M284" i="85" s="1"/>
  <c r="M285" i="85" s="1"/>
  <c r="M286" i="85" s="1"/>
  <c r="M287" i="85" s="1"/>
  <c r="M288" i="85" s="1"/>
  <c r="M289" i="85" s="1"/>
  <c r="M290" i="85" s="1"/>
  <c r="M291" i="85" s="1"/>
  <c r="M292" i="85" s="1"/>
  <c r="M293" i="85" s="1"/>
  <c r="M294" i="85" s="1"/>
  <c r="M295" i="85" s="1"/>
  <c r="M296" i="85" s="1"/>
  <c r="M297" i="85" s="1"/>
  <c r="M298" i="85" s="1"/>
  <c r="M299" i="85" s="1"/>
  <c r="M300" i="85" s="1"/>
  <c r="M301" i="85" s="1"/>
  <c r="M302" i="85" s="1"/>
  <c r="M303" i="85" s="1"/>
  <c r="M304" i="85" s="1"/>
  <c r="M305" i="85" s="1"/>
  <c r="M306" i="85" s="1"/>
  <c r="M307" i="85" s="1"/>
  <c r="M308" i="85" s="1"/>
  <c r="M309" i="85" s="1"/>
  <c r="M310" i="85" s="1"/>
  <c r="M311" i="85" s="1"/>
  <c r="M312" i="85" s="1"/>
  <c r="M313" i="85" s="1"/>
  <c r="M314" i="85" s="1"/>
  <c r="M315" i="85" s="1"/>
  <c r="M316" i="85" s="1"/>
  <c r="M317" i="85" s="1"/>
  <c r="M318" i="85" s="1"/>
  <c r="M319" i="85" s="1"/>
  <c r="M320" i="85" s="1"/>
  <c r="M321" i="85" s="1"/>
  <c r="M322" i="85" s="1"/>
  <c r="M323" i="85" s="1"/>
  <c r="M324" i="85" s="1"/>
  <c r="M325" i="85" s="1"/>
  <c r="M326" i="85" s="1"/>
  <c r="M327" i="85" s="1"/>
  <c r="M328" i="85" s="1"/>
  <c r="M329" i="85" s="1"/>
  <c r="M330" i="85" s="1"/>
  <c r="M331" i="85" s="1"/>
  <c r="M332" i="85" s="1"/>
  <c r="M333" i="85" s="1"/>
  <c r="M334" i="85" s="1"/>
  <c r="M335" i="85" s="1"/>
  <c r="M336" i="85" s="1"/>
  <c r="M337" i="85" s="1"/>
  <c r="M338" i="85" s="1"/>
  <c r="M339" i="85" s="1"/>
  <c r="B5" i="14"/>
  <c r="N13" i="84" l="1"/>
  <c r="B6" i="14" s="1"/>
  <c r="M3" i="84"/>
  <c r="M4" i="84" s="1"/>
  <c r="M5" i="84" s="1"/>
  <c r="M6" i="84" s="1"/>
  <c r="M7" i="84" s="1"/>
  <c r="M8" i="84" s="1"/>
  <c r="M9" i="84" s="1"/>
  <c r="M10" i="84" l="1"/>
  <c r="M11" i="84" s="1"/>
  <c r="M12" i="84" s="1"/>
  <c r="M13" i="84" s="1"/>
  <c r="M14" i="84" s="1"/>
  <c r="M15" i="84" s="1"/>
  <c r="M19" i="84" s="1"/>
  <c r="M20" i="84" s="1"/>
  <c r="M21" i="84" s="1"/>
  <c r="M22" i="84" s="1"/>
  <c r="M23" i="84" s="1"/>
  <c r="M24" i="84" s="1"/>
  <c r="M25" i="84" s="1"/>
  <c r="M26" i="84" s="1"/>
  <c r="M27" i="84" s="1"/>
  <c r="M28" i="84" s="1"/>
  <c r="M29" i="84" s="1"/>
  <c r="M30" i="84" s="1"/>
  <c r="M31" i="84" s="1"/>
  <c r="M32" i="84" s="1"/>
  <c r="M33" i="84" s="1"/>
  <c r="M34" i="84" s="1"/>
  <c r="M35" i="84" s="1"/>
  <c r="M36" i="84" s="1"/>
  <c r="M37" i="84" s="1"/>
  <c r="M38" i="84" s="1"/>
  <c r="M39" i="84" s="1"/>
  <c r="M40" i="84" s="1"/>
  <c r="M41" i="84" s="1"/>
  <c r="M42" i="84" s="1"/>
  <c r="M43" i="84" s="1"/>
  <c r="M44" i="84" s="1"/>
  <c r="M45" i="84" s="1"/>
  <c r="M46" i="84" s="1"/>
  <c r="M47" i="84" s="1"/>
  <c r="M48" i="84" s="1"/>
  <c r="M49" i="84" s="1"/>
  <c r="M50" i="84" s="1"/>
  <c r="M51" i="84" s="1"/>
  <c r="M52" i="84" s="1"/>
  <c r="M53" i="84" s="1"/>
  <c r="M54" i="84" s="1"/>
  <c r="M55" i="84" s="1"/>
  <c r="M56" i="84" s="1"/>
  <c r="M57" i="84" s="1"/>
  <c r="M58" i="84" s="1"/>
  <c r="M59" i="84" s="1"/>
  <c r="M60" i="84" s="1"/>
  <c r="M61" i="84" s="1"/>
  <c r="M62" i="84" s="1"/>
  <c r="M63" i="84" s="1"/>
  <c r="M64" i="84" s="1"/>
  <c r="M65" i="84" s="1"/>
  <c r="M66" i="84" s="1"/>
  <c r="M67" i="84" s="1"/>
  <c r="M68" i="84" s="1"/>
  <c r="M69" i="84" s="1"/>
  <c r="M70" i="84" s="1"/>
  <c r="M71" i="84" s="1"/>
  <c r="M72" i="84" s="1"/>
  <c r="M73" i="84" s="1"/>
  <c r="M74" i="84" s="1"/>
  <c r="M75" i="84" s="1"/>
  <c r="M76" i="84" s="1"/>
  <c r="M77" i="84" s="1"/>
  <c r="M78" i="84" s="1"/>
  <c r="M79" i="84" s="1"/>
  <c r="M80" i="84" s="1"/>
  <c r="M81" i="84" s="1"/>
  <c r="M82" i="84" s="1"/>
  <c r="M83" i="84" s="1"/>
  <c r="M84" i="84" s="1"/>
  <c r="M85" i="84" s="1"/>
  <c r="M86" i="84" s="1"/>
  <c r="M87" i="84" s="1"/>
  <c r="M88" i="84" s="1"/>
  <c r="M89" i="84" s="1"/>
  <c r="M90" i="84" s="1"/>
  <c r="M91" i="84" s="1"/>
  <c r="M92" i="84" s="1"/>
  <c r="M93" i="84" s="1"/>
  <c r="M94" i="84" s="1"/>
  <c r="M95" i="84" s="1"/>
  <c r="M96" i="84" s="1"/>
  <c r="M97" i="84" s="1"/>
  <c r="M98" i="84" s="1"/>
  <c r="M99" i="84" s="1"/>
  <c r="M100" i="84" s="1"/>
  <c r="M101" i="84" s="1"/>
  <c r="M102" i="84" s="1"/>
  <c r="M103" i="84" s="1"/>
  <c r="M104" i="84" s="1"/>
  <c r="M105" i="84" s="1"/>
  <c r="M106" i="84" s="1"/>
  <c r="M107" i="84" s="1"/>
  <c r="M108" i="84" s="1"/>
  <c r="M109" i="84" s="1"/>
  <c r="M110" i="84" s="1"/>
  <c r="M111" i="84" s="1"/>
  <c r="M112" i="84" s="1"/>
  <c r="M113" i="84" s="1"/>
  <c r="M114" i="84" s="1"/>
  <c r="M115" i="84" s="1"/>
  <c r="M116" i="84" s="1"/>
  <c r="M117" i="84" s="1"/>
  <c r="M118" i="84" s="1"/>
  <c r="M119" i="84" s="1"/>
  <c r="M120" i="84" s="1"/>
  <c r="M121" i="84" s="1"/>
  <c r="M122" i="84" s="1"/>
  <c r="M123" i="84" s="1"/>
  <c r="M124" i="84" s="1"/>
  <c r="M125" i="84" s="1"/>
  <c r="M126" i="84" s="1"/>
  <c r="M127" i="84" s="1"/>
  <c r="M128" i="84" s="1"/>
  <c r="M129" i="84" s="1"/>
  <c r="M130" i="84" s="1"/>
  <c r="M131" i="84" s="1"/>
  <c r="M132" i="84" s="1"/>
  <c r="M133" i="84" s="1"/>
  <c r="M134" i="84" s="1"/>
  <c r="M135" i="84" s="1"/>
  <c r="M136" i="84" s="1"/>
  <c r="M137" i="84" s="1"/>
  <c r="M138" i="84" s="1"/>
  <c r="M139" i="84" s="1"/>
  <c r="M140" i="84" s="1"/>
  <c r="M141" i="84" s="1"/>
  <c r="M142" i="84" s="1"/>
  <c r="M143" i="84" s="1"/>
  <c r="M144" i="84" s="1"/>
  <c r="M145" i="84" s="1"/>
  <c r="M146" i="84" s="1"/>
  <c r="M147" i="84" s="1"/>
  <c r="M148" i="84" s="1"/>
  <c r="M149" i="84" s="1"/>
  <c r="M150" i="84" s="1"/>
  <c r="M151" i="84" s="1"/>
  <c r="M152" i="84" s="1"/>
  <c r="M153" i="84" s="1"/>
  <c r="M154" i="84" s="1"/>
  <c r="M155" i="84" s="1"/>
  <c r="M156" i="84" s="1"/>
  <c r="M157" i="84" s="1"/>
  <c r="M158" i="84" s="1"/>
  <c r="M159" i="84" s="1"/>
  <c r="M160" i="84" s="1"/>
  <c r="M161" i="84" s="1"/>
  <c r="M162" i="84" s="1"/>
  <c r="M163" i="84" s="1"/>
  <c r="M164" i="84" s="1"/>
  <c r="M165" i="84" s="1"/>
  <c r="M166" i="84" s="1"/>
  <c r="M167" i="84" s="1"/>
  <c r="M168" i="84" s="1"/>
  <c r="M169" i="84" s="1"/>
  <c r="M170" i="84" s="1"/>
  <c r="M171" i="84" s="1"/>
  <c r="M172" i="84" s="1"/>
  <c r="M173" i="84" s="1"/>
  <c r="M174" i="84" s="1"/>
  <c r="M175" i="84" s="1"/>
  <c r="M176" i="84" s="1"/>
  <c r="M177" i="84" s="1"/>
  <c r="M178" i="84" s="1"/>
  <c r="M179" i="84" s="1"/>
  <c r="M180" i="84" s="1"/>
  <c r="M181" i="84" s="1"/>
  <c r="M182" i="84" s="1"/>
  <c r="M183" i="84" s="1"/>
  <c r="M184" i="84" s="1"/>
  <c r="M185" i="84" s="1"/>
  <c r="M186" i="84" s="1"/>
  <c r="M187" i="84" s="1"/>
  <c r="M188" i="84" s="1"/>
  <c r="M189" i="84" s="1"/>
  <c r="M190" i="84" s="1"/>
  <c r="M191" i="84" s="1"/>
  <c r="M192" i="84" s="1"/>
  <c r="M193" i="84" s="1"/>
  <c r="M194" i="84" s="1"/>
  <c r="M195" i="84" s="1"/>
  <c r="M196" i="84" s="1"/>
  <c r="M197" i="84" s="1"/>
  <c r="M198" i="84" s="1"/>
  <c r="M199" i="84" s="1"/>
  <c r="M200" i="84" s="1"/>
  <c r="M201" i="84" s="1"/>
  <c r="M202" i="84" s="1"/>
  <c r="M203" i="84" s="1"/>
  <c r="M204" i="84" s="1"/>
  <c r="M205" i="84" s="1"/>
  <c r="M206" i="84" s="1"/>
  <c r="M207" i="84" s="1"/>
  <c r="M208" i="84" s="1"/>
  <c r="M209" i="84" s="1"/>
  <c r="M210" i="84" s="1"/>
  <c r="M211" i="84" s="1"/>
  <c r="M212" i="84" s="1"/>
  <c r="M213" i="84" s="1"/>
  <c r="M214" i="84" s="1"/>
  <c r="M215" i="84" s="1"/>
  <c r="M216" i="84" s="1"/>
  <c r="M217" i="84" s="1"/>
  <c r="M218" i="84" s="1"/>
  <c r="M219" i="84" s="1"/>
  <c r="M220" i="84" s="1"/>
  <c r="M221" i="84" s="1"/>
  <c r="M222" i="84" s="1"/>
  <c r="M223" i="84" s="1"/>
  <c r="M224" i="84" s="1"/>
  <c r="M225" i="84" s="1"/>
  <c r="M226" i="84" s="1"/>
  <c r="M227" i="84" s="1"/>
  <c r="M228" i="84" s="1"/>
  <c r="M229" i="84" s="1"/>
  <c r="M230" i="84" s="1"/>
  <c r="M231" i="84" s="1"/>
  <c r="M232" i="84" s="1"/>
  <c r="M233" i="84" s="1"/>
  <c r="M234" i="84" s="1"/>
  <c r="M235" i="84" s="1"/>
  <c r="M236" i="84" s="1"/>
  <c r="M237" i="84" s="1"/>
  <c r="M238" i="84" s="1"/>
  <c r="M239" i="84" s="1"/>
  <c r="M240" i="84" s="1"/>
  <c r="M241" i="84" s="1"/>
  <c r="M242" i="84" s="1"/>
  <c r="M243" i="84" s="1"/>
  <c r="M244" i="84" s="1"/>
  <c r="M245" i="84" s="1"/>
  <c r="M246" i="84" s="1"/>
  <c r="M247" i="84" s="1"/>
  <c r="M248" i="84" s="1"/>
  <c r="M249" i="84" s="1"/>
  <c r="M250" i="84" s="1"/>
  <c r="M251" i="84" s="1"/>
  <c r="M252" i="84" s="1"/>
  <c r="M253" i="84" s="1"/>
  <c r="M254" i="84" s="1"/>
  <c r="M255" i="84" s="1"/>
  <c r="M256" i="84" s="1"/>
  <c r="M257" i="84" s="1"/>
  <c r="M258" i="84" s="1"/>
  <c r="M259" i="84" s="1"/>
  <c r="M260" i="84" s="1"/>
  <c r="M261" i="84" s="1"/>
  <c r="M262" i="84" s="1"/>
  <c r="M263" i="84" s="1"/>
  <c r="M264" i="84" s="1"/>
  <c r="M265" i="84" s="1"/>
  <c r="M266" i="84" s="1"/>
  <c r="M267" i="84" s="1"/>
  <c r="M268" i="84" s="1"/>
  <c r="M269" i="84" s="1"/>
  <c r="M270" i="84" s="1"/>
  <c r="M271" i="84" s="1"/>
  <c r="M272" i="84" s="1"/>
  <c r="M273" i="84" s="1"/>
  <c r="M274" i="84" s="1"/>
  <c r="M275" i="84" s="1"/>
  <c r="M276" i="84" s="1"/>
  <c r="M277" i="84" s="1"/>
  <c r="M278" i="84" s="1"/>
  <c r="M279" i="84" s="1"/>
  <c r="M280" i="84" s="1"/>
  <c r="M281" i="84" s="1"/>
  <c r="M282" i="84" s="1"/>
  <c r="M283" i="84" s="1"/>
  <c r="M284" i="84" s="1"/>
  <c r="M285" i="84" s="1"/>
  <c r="M286" i="84" s="1"/>
  <c r="M287" i="84" s="1"/>
  <c r="M288" i="84" s="1"/>
  <c r="M289" i="84" s="1"/>
  <c r="M290" i="84" s="1"/>
  <c r="M291" i="84" s="1"/>
  <c r="M292" i="84" s="1"/>
  <c r="M293" i="84" s="1"/>
  <c r="M294" i="84" s="1"/>
  <c r="M295" i="84" s="1"/>
  <c r="M296" i="84" s="1"/>
  <c r="M297" i="84" s="1"/>
  <c r="M298" i="84" s="1"/>
  <c r="M299" i="84" s="1"/>
  <c r="M300" i="84" s="1"/>
  <c r="M301" i="84" s="1"/>
  <c r="M302" i="84" s="1"/>
  <c r="M303" i="84" s="1"/>
  <c r="M304" i="84" s="1"/>
  <c r="M305" i="84" s="1"/>
  <c r="M306" i="84" s="1"/>
  <c r="M307" i="84" s="1"/>
  <c r="M308" i="84" s="1"/>
  <c r="M309" i="84" s="1"/>
  <c r="M310" i="84" s="1"/>
  <c r="M311" i="84" s="1"/>
  <c r="M312" i="84" s="1"/>
  <c r="M313" i="84" s="1"/>
  <c r="M314" i="84" s="1"/>
  <c r="M315" i="84" s="1"/>
  <c r="M316" i="84" s="1"/>
  <c r="M317" i="84" s="1"/>
  <c r="M318" i="84" s="1"/>
  <c r="M319" i="84" s="1"/>
  <c r="M320" i="84" s="1"/>
  <c r="M321" i="84" s="1"/>
  <c r="M322" i="84" s="1"/>
  <c r="M323" i="84" s="1"/>
  <c r="M324" i="84" s="1"/>
  <c r="M325" i="84" s="1"/>
  <c r="M326" i="84" s="1"/>
  <c r="M327" i="84" s="1"/>
  <c r="M328" i="84" s="1"/>
  <c r="M329" i="84" s="1"/>
  <c r="M330" i="84" s="1"/>
  <c r="M331" i="84" s="1"/>
  <c r="M332" i="84" s="1"/>
  <c r="M333" i="84" s="1"/>
  <c r="M334" i="84" s="1"/>
  <c r="M335" i="84" s="1"/>
  <c r="M336" i="84" s="1"/>
  <c r="M337" i="84" s="1"/>
  <c r="M338" i="84" s="1"/>
  <c r="M339" i="84" s="1"/>
  <c r="M340" i="84" s="1"/>
  <c r="M341" i="84" s="1"/>
  <c r="M342" i="84" s="1"/>
  <c r="M343" i="84" s="1"/>
  <c r="P2249" i="33"/>
  <c r="L144" i="19" l="1"/>
  <c r="K8" i="55" l="1"/>
  <c r="L151" i="19"/>
  <c r="L2" i="19"/>
  <c r="L15" i="19"/>
  <c r="L32" i="19"/>
  <c r="L35" i="19"/>
  <c r="L38" i="19"/>
  <c r="L44" i="19"/>
  <c r="L45" i="19"/>
  <c r="L51" i="19"/>
  <c r="L55" i="19"/>
  <c r="L56" i="19"/>
  <c r="L62" i="19"/>
  <c r="L73" i="19"/>
  <c r="L75" i="19"/>
  <c r="L80" i="19"/>
  <c r="L81" i="19"/>
  <c r="L82" i="19"/>
  <c r="L84" i="19"/>
  <c r="L85" i="19"/>
  <c r="L86" i="19"/>
  <c r="L89" i="19"/>
  <c r="L94" i="19"/>
  <c r="L97" i="19"/>
  <c r="L98" i="19"/>
  <c r="L105" i="19"/>
  <c r="L109" i="19"/>
  <c r="L110" i="19"/>
  <c r="L111" i="19"/>
  <c r="L112" i="19"/>
  <c r="L114" i="19"/>
  <c r="L115" i="19"/>
  <c r="L116" i="19"/>
  <c r="L117" i="19"/>
  <c r="L125" i="19"/>
  <c r="L132" i="19"/>
  <c r="L134" i="19"/>
  <c r="L136" i="19"/>
  <c r="L137" i="19"/>
  <c r="L138" i="19"/>
  <c r="L152" i="19"/>
  <c r="L153" i="19"/>
  <c r="L154" i="19"/>
  <c r="L155" i="19"/>
  <c r="L156" i="19"/>
  <c r="L157" i="19"/>
  <c r="L158" i="19"/>
  <c r="L159" i="19"/>
  <c r="L160" i="19"/>
  <c r="L161" i="19"/>
  <c r="L162" i="19"/>
  <c r="L163" i="19"/>
  <c r="L164" i="19"/>
  <c r="L165" i="19"/>
  <c r="L166" i="19"/>
  <c r="L167" i="19"/>
  <c r="L168" i="19"/>
  <c r="L169" i="19"/>
  <c r="L170" i="19"/>
  <c r="L171" i="19"/>
  <c r="L172" i="19"/>
  <c r="L173" i="19"/>
  <c r="L174" i="19"/>
  <c r="L175" i="19"/>
  <c r="L176" i="19"/>
  <c r="L177" i="19"/>
  <c r="L178" i="19"/>
  <c r="L179" i="19"/>
  <c r="L180" i="19"/>
  <c r="L181" i="19"/>
  <c r="L182" i="19"/>
  <c r="L183" i="19"/>
  <c r="L184" i="19"/>
  <c r="L185" i="19"/>
  <c r="L186" i="19"/>
  <c r="L187" i="19"/>
  <c r="L188" i="19"/>
  <c r="L189" i="19"/>
  <c r="L190" i="19"/>
  <c r="L191" i="19"/>
  <c r="L192" i="19"/>
  <c r="L193" i="19"/>
  <c r="L194" i="19"/>
  <c r="L195" i="19"/>
  <c r="L196" i="19"/>
  <c r="L197" i="19"/>
  <c r="L198" i="19"/>
  <c r="L199" i="19"/>
  <c r="L200" i="19"/>
  <c r="L201" i="19"/>
  <c r="L202" i="19"/>
  <c r="L203" i="19"/>
  <c r="L204" i="19"/>
  <c r="L205" i="19"/>
  <c r="L206" i="19"/>
  <c r="L207" i="19"/>
  <c r="L208" i="19"/>
  <c r="L209" i="19"/>
  <c r="L210" i="19"/>
  <c r="L211" i="19"/>
  <c r="L212" i="19"/>
  <c r="L213" i="19"/>
  <c r="L214" i="19"/>
  <c r="L215" i="19"/>
  <c r="L216" i="19"/>
  <c r="L217" i="19"/>
  <c r="L218" i="19"/>
  <c r="L219" i="19"/>
  <c r="L220" i="19"/>
  <c r="L221" i="19"/>
  <c r="L222" i="19"/>
  <c r="L223" i="19"/>
  <c r="L224" i="19"/>
  <c r="L225" i="19"/>
  <c r="L226" i="19"/>
  <c r="L227" i="19"/>
  <c r="L228" i="19"/>
  <c r="L229" i="19"/>
  <c r="L230" i="19"/>
  <c r="L231" i="19"/>
  <c r="L232" i="19"/>
  <c r="L233" i="19"/>
  <c r="L234" i="19"/>
  <c r="L235" i="19"/>
  <c r="L236" i="19"/>
  <c r="L237" i="19"/>
  <c r="L238" i="19"/>
  <c r="L239" i="19"/>
  <c r="L240" i="19"/>
  <c r="L241" i="19"/>
  <c r="L242" i="19"/>
  <c r="L243" i="19"/>
  <c r="L244" i="19"/>
  <c r="L245" i="19"/>
  <c r="L246" i="19"/>
  <c r="L247" i="19"/>
  <c r="L248" i="19"/>
  <c r="L249" i="19"/>
  <c r="L250" i="19"/>
  <c r="L251" i="19"/>
  <c r="L252" i="19"/>
  <c r="L253" i="19"/>
  <c r="L254" i="19"/>
  <c r="L255" i="19"/>
  <c r="L256" i="19"/>
  <c r="L257" i="19"/>
  <c r="L258" i="19"/>
  <c r="L259" i="19"/>
  <c r="L260" i="19"/>
  <c r="L261" i="19"/>
  <c r="L262" i="19"/>
  <c r="L263" i="19"/>
  <c r="L264" i="19"/>
  <c r="L265" i="19"/>
  <c r="L266" i="19"/>
  <c r="L267" i="19"/>
  <c r="L268" i="19"/>
  <c r="L269" i="19"/>
  <c r="L270" i="19"/>
  <c r="L271" i="19"/>
  <c r="L272" i="19"/>
  <c r="L273" i="19"/>
  <c r="L274" i="19"/>
  <c r="L275" i="19"/>
  <c r="L276" i="19"/>
  <c r="L277" i="19"/>
  <c r="L278" i="19"/>
  <c r="L279" i="19"/>
  <c r="L280" i="19"/>
  <c r="L281" i="19"/>
  <c r="L282" i="19"/>
  <c r="L283" i="19"/>
  <c r="L284" i="19"/>
  <c r="L285" i="19"/>
  <c r="L286" i="19"/>
  <c r="L287" i="19"/>
  <c r="L288" i="19"/>
  <c r="L289" i="19"/>
  <c r="L290" i="19"/>
  <c r="L291" i="19"/>
  <c r="L292" i="19"/>
  <c r="L293" i="19"/>
  <c r="L294" i="19"/>
  <c r="L295" i="19"/>
  <c r="L296" i="19"/>
  <c r="L297" i="19"/>
  <c r="L298" i="19"/>
  <c r="L299" i="19"/>
  <c r="L300" i="19"/>
  <c r="L301" i="19"/>
  <c r="L302" i="19"/>
  <c r="L303" i="19"/>
  <c r="L304" i="19"/>
  <c r="L305" i="19"/>
  <c r="L306" i="19"/>
  <c r="L307" i="19"/>
  <c r="L308" i="19"/>
  <c r="L309" i="19"/>
  <c r="L310" i="19"/>
  <c r="L311" i="19"/>
  <c r="L312" i="19"/>
  <c r="L313" i="19"/>
  <c r="L314" i="19"/>
  <c r="L315" i="19"/>
  <c r="L316" i="19"/>
  <c r="L317" i="19"/>
  <c r="L318" i="19"/>
  <c r="L319" i="19"/>
  <c r="L320" i="19"/>
  <c r="L321" i="19"/>
  <c r="L322" i="19"/>
  <c r="L323" i="19"/>
  <c r="L324" i="19"/>
  <c r="L325" i="19"/>
  <c r="L326" i="19"/>
  <c r="L327" i="19"/>
  <c r="L328" i="19"/>
  <c r="L329" i="19"/>
  <c r="L330" i="19"/>
  <c r="L331" i="19"/>
  <c r="L332" i="19"/>
  <c r="L333" i="19"/>
  <c r="L334" i="19"/>
  <c r="L335" i="19"/>
  <c r="L336" i="19"/>
  <c r="L337" i="19"/>
  <c r="L338" i="19"/>
  <c r="L339" i="19"/>
  <c r="L340" i="19"/>
  <c r="L341" i="19"/>
  <c r="L342" i="19"/>
  <c r="L343" i="19"/>
  <c r="L344" i="19"/>
  <c r="L345" i="19"/>
  <c r="L346" i="19"/>
  <c r="L347" i="19"/>
  <c r="L348" i="19"/>
  <c r="L349" i="19"/>
  <c r="L350" i="19"/>
  <c r="L351" i="19"/>
  <c r="L352" i="19"/>
  <c r="L353" i="19"/>
  <c r="L354" i="19"/>
  <c r="L355" i="19"/>
  <c r="L356" i="19"/>
  <c r="L357" i="19"/>
  <c r="L358" i="19"/>
  <c r="L359" i="19"/>
  <c r="L360" i="19"/>
  <c r="L361" i="19"/>
  <c r="L362" i="19"/>
  <c r="L150" i="19"/>
  <c r="L148" i="19"/>
  <c r="L147" i="19" l="1"/>
  <c r="L146" i="19"/>
  <c r="L145" i="19" l="1"/>
  <c r="L143" i="19" l="1"/>
  <c r="L142" i="19"/>
  <c r="K47" i="58" l="1"/>
  <c r="K46" i="58"/>
  <c r="L141" i="19" l="1"/>
  <c r="L140" i="19"/>
  <c r="I2" i="83" l="1"/>
  <c r="I3" i="83"/>
  <c r="K3" i="83" s="1"/>
  <c r="I4" i="83"/>
  <c r="K4" i="83" s="1"/>
  <c r="I5" i="83"/>
  <c r="K5" i="83" s="1"/>
  <c r="I6" i="83"/>
  <c r="K6" i="83" s="1"/>
  <c r="I16" i="83"/>
  <c r="I17" i="83"/>
  <c r="I18" i="83"/>
  <c r="I19" i="83"/>
  <c r="I20" i="83"/>
  <c r="I21" i="83"/>
  <c r="I22" i="83"/>
  <c r="I23" i="83"/>
  <c r="I24" i="83"/>
  <c r="I25" i="83"/>
  <c r="I26" i="83"/>
  <c r="I27" i="83"/>
  <c r="I28" i="83"/>
  <c r="I29" i="83"/>
  <c r="I30" i="83"/>
  <c r="I31" i="83"/>
  <c r="I32" i="83"/>
  <c r="I33" i="83"/>
  <c r="I34" i="83"/>
  <c r="I35" i="83"/>
  <c r="I36" i="83"/>
  <c r="I37" i="83"/>
  <c r="I38" i="83"/>
  <c r="I39" i="83"/>
  <c r="I40" i="83"/>
  <c r="I41" i="83"/>
  <c r="I42" i="83"/>
  <c r="I43" i="83"/>
  <c r="I44" i="83"/>
  <c r="I45" i="83"/>
  <c r="I46" i="83"/>
  <c r="I47" i="83"/>
  <c r="I48" i="83"/>
  <c r="I49" i="83"/>
  <c r="I50" i="83"/>
  <c r="I51" i="83"/>
  <c r="I52" i="83"/>
  <c r="I53" i="83"/>
  <c r="I54" i="83"/>
  <c r="I55" i="83"/>
  <c r="I56" i="83"/>
  <c r="I57" i="83"/>
  <c r="I58" i="83"/>
  <c r="I59" i="83"/>
  <c r="I60" i="83"/>
  <c r="I61" i="83"/>
  <c r="I62" i="83"/>
  <c r="I63" i="83"/>
  <c r="I64" i="83"/>
  <c r="I65" i="83"/>
  <c r="I66" i="83"/>
  <c r="I67" i="83"/>
  <c r="I68" i="83"/>
  <c r="I69" i="83"/>
  <c r="I70" i="83"/>
  <c r="I71" i="83"/>
  <c r="I72" i="83"/>
  <c r="I73" i="83"/>
  <c r="I74" i="83"/>
  <c r="I75" i="83"/>
  <c r="I76" i="83"/>
  <c r="I77" i="83"/>
  <c r="I78" i="83"/>
  <c r="I79" i="83"/>
  <c r="I80" i="83"/>
  <c r="I81" i="83"/>
  <c r="I82" i="83"/>
  <c r="I83" i="83"/>
  <c r="I84" i="83"/>
  <c r="I85" i="83"/>
  <c r="I86" i="83"/>
  <c r="I87" i="83"/>
  <c r="I88" i="83"/>
  <c r="I89" i="83"/>
  <c r="I90" i="83"/>
  <c r="I91" i="83"/>
  <c r="I92" i="83"/>
  <c r="I93" i="83"/>
  <c r="I94" i="83"/>
  <c r="I95" i="83"/>
  <c r="I96" i="83"/>
  <c r="I97" i="83"/>
  <c r="I98" i="83"/>
  <c r="I99" i="83"/>
  <c r="I100" i="83"/>
  <c r="I101" i="83"/>
  <c r="I102" i="83"/>
  <c r="I103" i="83"/>
  <c r="I104" i="83"/>
  <c r="I105" i="83"/>
  <c r="I106" i="83"/>
  <c r="I107" i="83"/>
  <c r="I108" i="83"/>
  <c r="I109" i="83"/>
  <c r="I110" i="83"/>
  <c r="I111" i="83"/>
  <c r="I112" i="83"/>
  <c r="I113" i="83"/>
  <c r="I114" i="83"/>
  <c r="I115" i="83"/>
  <c r="I116" i="83"/>
  <c r="I117" i="83"/>
  <c r="I118" i="83"/>
  <c r="I119" i="83"/>
  <c r="I120" i="83"/>
  <c r="I121" i="83"/>
  <c r="I122" i="83"/>
  <c r="I123" i="83"/>
  <c r="I124" i="83"/>
  <c r="I125" i="83"/>
  <c r="I126" i="83"/>
  <c r="I127" i="83"/>
  <c r="I128" i="83"/>
  <c r="I129" i="83"/>
  <c r="I130" i="83"/>
  <c r="I131" i="83"/>
  <c r="I132" i="83"/>
  <c r="I133" i="83"/>
  <c r="I134" i="83"/>
  <c r="I135" i="83"/>
  <c r="I136" i="83"/>
  <c r="I137" i="83"/>
  <c r="I138" i="83"/>
  <c r="I139" i="83"/>
  <c r="I140" i="83"/>
  <c r="I141" i="83"/>
  <c r="I142" i="83"/>
  <c r="I143" i="83"/>
  <c r="I144" i="83"/>
  <c r="I145" i="83"/>
  <c r="I146" i="83"/>
  <c r="I147" i="83"/>
  <c r="I148" i="83"/>
  <c r="I149" i="83"/>
  <c r="I150" i="83"/>
  <c r="I151" i="83"/>
  <c r="I152" i="83"/>
  <c r="I153" i="83"/>
  <c r="I154" i="83"/>
  <c r="I155" i="83"/>
  <c r="I156" i="83"/>
  <c r="I157" i="83"/>
  <c r="I158" i="83"/>
  <c r="I159" i="83"/>
  <c r="I160" i="83"/>
  <c r="I161" i="83"/>
  <c r="I162" i="83"/>
  <c r="I163" i="83"/>
  <c r="I164" i="83"/>
  <c r="I165" i="83"/>
  <c r="I166" i="83"/>
  <c r="I167" i="83"/>
  <c r="I168" i="83"/>
  <c r="I169" i="83"/>
  <c r="I170" i="83"/>
  <c r="I171" i="83"/>
  <c r="I172" i="83"/>
  <c r="I173" i="83"/>
  <c r="I174" i="83"/>
  <c r="I175" i="83"/>
  <c r="I176" i="83"/>
  <c r="I177" i="83"/>
  <c r="I178" i="83"/>
  <c r="I179" i="83"/>
  <c r="I180" i="83"/>
  <c r="I181" i="83"/>
  <c r="I182" i="83"/>
  <c r="I183" i="83"/>
  <c r="I184" i="83"/>
  <c r="I185" i="83"/>
  <c r="I186" i="83"/>
  <c r="I187" i="83"/>
  <c r="I188" i="83"/>
  <c r="I189" i="83"/>
  <c r="I190" i="83"/>
  <c r="I191" i="83"/>
  <c r="I192" i="83"/>
  <c r="I193" i="83"/>
  <c r="I194" i="83"/>
  <c r="I195" i="83"/>
  <c r="I196" i="83"/>
  <c r="I197" i="83"/>
  <c r="I198" i="83"/>
  <c r="I199" i="83"/>
  <c r="I200" i="83"/>
  <c r="I201" i="83"/>
  <c r="I202" i="83"/>
  <c r="I203" i="83"/>
  <c r="I204" i="83"/>
  <c r="I205" i="83"/>
  <c r="I206" i="83"/>
  <c r="I207" i="83"/>
  <c r="I208" i="83"/>
  <c r="I209" i="83"/>
  <c r="I210" i="83"/>
  <c r="I211" i="83"/>
  <c r="I212" i="83"/>
  <c r="I213" i="83"/>
  <c r="I214" i="83"/>
  <c r="I215" i="83"/>
  <c r="I216" i="83"/>
  <c r="I217" i="83"/>
  <c r="I218" i="83"/>
  <c r="I219" i="83"/>
  <c r="I220" i="83"/>
  <c r="I221" i="83"/>
  <c r="I222" i="83"/>
  <c r="I223" i="83"/>
  <c r="I224" i="83"/>
  <c r="I225" i="83"/>
  <c r="I226" i="83"/>
  <c r="I227" i="83"/>
  <c r="I228" i="83"/>
  <c r="I229" i="83"/>
  <c r="I230" i="83"/>
  <c r="I231" i="83"/>
  <c r="I232" i="83"/>
  <c r="I233" i="83"/>
  <c r="I234" i="83"/>
  <c r="I235" i="83"/>
  <c r="I236" i="83"/>
  <c r="I237" i="83"/>
  <c r="I238" i="83"/>
  <c r="I239" i="83"/>
  <c r="I240" i="83"/>
  <c r="I241" i="83"/>
  <c r="I242" i="83"/>
  <c r="I243" i="83"/>
  <c r="I244" i="83"/>
  <c r="I245" i="83"/>
  <c r="I246" i="83"/>
  <c r="I247" i="83"/>
  <c r="I248" i="83"/>
  <c r="I249" i="83"/>
  <c r="I250" i="83"/>
  <c r="I251" i="83"/>
  <c r="I252" i="83"/>
  <c r="I253" i="83"/>
  <c r="I254" i="83"/>
  <c r="I255" i="83"/>
  <c r="I256" i="83"/>
  <c r="I257" i="83"/>
  <c r="I258" i="83"/>
  <c r="I259" i="83"/>
  <c r="I260" i="83"/>
  <c r="I261" i="83"/>
  <c r="I262" i="83"/>
  <c r="I263" i="83"/>
  <c r="I264" i="83"/>
  <c r="I265" i="83"/>
  <c r="I266" i="83"/>
  <c r="I267" i="83"/>
  <c r="I268" i="83"/>
  <c r="I269" i="83"/>
  <c r="I270" i="83"/>
  <c r="I271" i="83"/>
  <c r="I272" i="83"/>
  <c r="I273" i="83"/>
  <c r="I274" i="83"/>
  <c r="I275" i="83"/>
  <c r="I276" i="83"/>
  <c r="I277" i="83"/>
  <c r="I278" i="83"/>
  <c r="I279" i="83"/>
  <c r="I280" i="83"/>
  <c r="I281" i="83"/>
  <c r="I282" i="83"/>
  <c r="I283" i="83"/>
  <c r="I284" i="83"/>
  <c r="I285" i="83"/>
  <c r="I286" i="83"/>
  <c r="I287" i="83"/>
  <c r="I288" i="83"/>
  <c r="I289" i="83"/>
  <c r="I290" i="83"/>
  <c r="I291" i="83"/>
  <c r="I292" i="83"/>
  <c r="I293" i="83"/>
  <c r="I294" i="83"/>
  <c r="I295" i="83"/>
  <c r="I296" i="83"/>
  <c r="I297" i="83"/>
  <c r="I298" i="83"/>
  <c r="I299" i="83"/>
  <c r="I300" i="83"/>
  <c r="I301" i="83"/>
  <c r="I302" i="83"/>
  <c r="I303" i="83"/>
  <c r="I304" i="83"/>
  <c r="I305" i="83"/>
  <c r="I306" i="83"/>
  <c r="I307" i="83"/>
  <c r="I308" i="83"/>
  <c r="I309" i="83"/>
  <c r="I310" i="83"/>
  <c r="I311" i="83"/>
  <c r="I312" i="83"/>
  <c r="I313" i="83"/>
  <c r="I314" i="83"/>
  <c r="I315" i="83"/>
  <c r="I316" i="83"/>
  <c r="I317" i="83"/>
  <c r="I318" i="83"/>
  <c r="I319" i="83"/>
  <c r="I320" i="83"/>
  <c r="I321" i="83"/>
  <c r="I322" i="83"/>
  <c r="I323" i="83"/>
  <c r="I324" i="83"/>
  <c r="I325" i="83"/>
  <c r="I326" i="83"/>
  <c r="I327" i="83"/>
  <c r="I328" i="83"/>
  <c r="I329" i="83"/>
  <c r="I330" i="83"/>
  <c r="I331" i="83"/>
  <c r="I332" i="83"/>
  <c r="I333" i="83"/>
  <c r="I334" i="83"/>
  <c r="I335" i="83"/>
  <c r="I336" i="83"/>
  <c r="I337" i="83"/>
  <c r="I338" i="83"/>
  <c r="O12" i="83" l="1"/>
  <c r="N12" i="83"/>
  <c r="B18" i="14" s="1"/>
  <c r="M3" i="83" l="1"/>
  <c r="M4" i="83" s="1"/>
  <c r="M5" i="83" s="1"/>
  <c r="M6" i="83" s="1"/>
  <c r="M7" i="83" s="1"/>
  <c r="M8" i="83" s="1"/>
  <c r="M9" i="83" s="1"/>
  <c r="M10" i="83" s="1"/>
  <c r="M11" i="83" s="1"/>
  <c r="M12" i="83" s="1"/>
  <c r="M13" i="83" s="1"/>
  <c r="M14" i="83" s="1"/>
  <c r="M15" i="83" s="1"/>
  <c r="M16" i="83" s="1"/>
  <c r="M17" i="83" s="1"/>
  <c r="M18" i="83" s="1"/>
  <c r="M19" i="83" s="1"/>
  <c r="M20" i="83" s="1"/>
  <c r="M21" i="83" s="1"/>
  <c r="M22" i="83" s="1"/>
  <c r="M23" i="83" s="1"/>
  <c r="M24" i="83" s="1"/>
  <c r="M25" i="83" s="1"/>
  <c r="M26" i="83" s="1"/>
  <c r="M27" i="83" s="1"/>
  <c r="M28" i="83" s="1"/>
  <c r="M29" i="83" s="1"/>
  <c r="M30" i="83" s="1"/>
  <c r="M31" i="83" s="1"/>
  <c r="M32" i="83" s="1"/>
  <c r="M33" i="83" s="1"/>
  <c r="M34" i="83" s="1"/>
  <c r="M35" i="83" s="1"/>
  <c r="M36" i="83" s="1"/>
  <c r="M37" i="83" s="1"/>
  <c r="M38" i="83" s="1"/>
  <c r="M39" i="83" s="1"/>
  <c r="M40" i="83" s="1"/>
  <c r="M41" i="83" s="1"/>
  <c r="M42" i="83" s="1"/>
  <c r="M43" i="83" s="1"/>
  <c r="M44" i="83" s="1"/>
  <c r="M45" i="83" s="1"/>
  <c r="M46" i="83" s="1"/>
  <c r="M47" i="83" s="1"/>
  <c r="M48" i="83" s="1"/>
  <c r="M49" i="83" s="1"/>
  <c r="M50" i="83" s="1"/>
  <c r="M51" i="83" s="1"/>
  <c r="M52" i="83" s="1"/>
  <c r="M53" i="83" s="1"/>
  <c r="M54" i="83" s="1"/>
  <c r="M55" i="83" s="1"/>
  <c r="M56" i="83" s="1"/>
  <c r="M57" i="83" s="1"/>
  <c r="M58" i="83" s="1"/>
  <c r="M59" i="83" s="1"/>
  <c r="M60" i="83" s="1"/>
  <c r="M61" i="83" s="1"/>
  <c r="M62" i="83" s="1"/>
  <c r="M63" i="83" s="1"/>
  <c r="M64" i="83" s="1"/>
  <c r="M65" i="83" s="1"/>
  <c r="M66" i="83" s="1"/>
  <c r="M67" i="83" s="1"/>
  <c r="M68" i="83" s="1"/>
  <c r="M69" i="83" s="1"/>
  <c r="M70" i="83" s="1"/>
  <c r="M71" i="83" s="1"/>
  <c r="M72" i="83" s="1"/>
  <c r="M73" i="83" s="1"/>
  <c r="M74" i="83" s="1"/>
  <c r="M75" i="83" s="1"/>
  <c r="M76" i="83" s="1"/>
  <c r="M77" i="83" s="1"/>
  <c r="M78" i="83" s="1"/>
  <c r="M79" i="83" s="1"/>
  <c r="M80" i="83" s="1"/>
  <c r="M81" i="83" s="1"/>
  <c r="M82" i="83" s="1"/>
  <c r="M83" i="83" s="1"/>
  <c r="M84" i="83" s="1"/>
  <c r="M85" i="83" s="1"/>
  <c r="M86" i="83" s="1"/>
  <c r="M87" i="83" s="1"/>
  <c r="M88" i="83" s="1"/>
  <c r="M89" i="83" s="1"/>
  <c r="M90" i="83" s="1"/>
  <c r="M91" i="83" s="1"/>
  <c r="M92" i="83" s="1"/>
  <c r="M93" i="83" s="1"/>
  <c r="M94" i="83" s="1"/>
  <c r="M95" i="83" s="1"/>
  <c r="M96" i="83" s="1"/>
  <c r="M97" i="83" s="1"/>
  <c r="M98" i="83" s="1"/>
  <c r="M99" i="83" s="1"/>
  <c r="M100" i="83" s="1"/>
  <c r="M101" i="83" s="1"/>
  <c r="M102" i="83" s="1"/>
  <c r="M103" i="83" s="1"/>
  <c r="M104" i="83" s="1"/>
  <c r="M105" i="83" s="1"/>
  <c r="M106" i="83" s="1"/>
  <c r="M107" i="83" s="1"/>
  <c r="M108" i="83" s="1"/>
  <c r="M109" i="83" s="1"/>
  <c r="M110" i="83" s="1"/>
  <c r="M111" i="83" s="1"/>
  <c r="M112" i="83" s="1"/>
  <c r="M113" i="83" s="1"/>
  <c r="M114" i="83" s="1"/>
  <c r="M115" i="83" s="1"/>
  <c r="M116" i="83" s="1"/>
  <c r="M117" i="83" s="1"/>
  <c r="M118" i="83" s="1"/>
  <c r="M119" i="83" s="1"/>
  <c r="M120" i="83" s="1"/>
  <c r="M121" i="83" s="1"/>
  <c r="M122" i="83" s="1"/>
  <c r="M123" i="83" s="1"/>
  <c r="M124" i="83" s="1"/>
  <c r="M125" i="83" s="1"/>
  <c r="M126" i="83" s="1"/>
  <c r="M127" i="83" s="1"/>
  <c r="M128" i="83" s="1"/>
  <c r="M129" i="83" s="1"/>
  <c r="M130" i="83" s="1"/>
  <c r="M131" i="83" s="1"/>
  <c r="M132" i="83" s="1"/>
  <c r="M133" i="83" s="1"/>
  <c r="M134" i="83" s="1"/>
  <c r="M135" i="83" s="1"/>
  <c r="M136" i="83" s="1"/>
  <c r="M137" i="83" s="1"/>
  <c r="M138" i="83" s="1"/>
  <c r="M139" i="83" s="1"/>
  <c r="M140" i="83" s="1"/>
  <c r="M141" i="83" s="1"/>
  <c r="M142" i="83" s="1"/>
  <c r="M143" i="83" s="1"/>
  <c r="M144" i="83" s="1"/>
  <c r="M145" i="83" s="1"/>
  <c r="M146" i="83" s="1"/>
  <c r="M147" i="83" s="1"/>
  <c r="M148" i="83" s="1"/>
  <c r="M149" i="83" s="1"/>
  <c r="M150" i="83" s="1"/>
  <c r="M151" i="83" s="1"/>
  <c r="M152" i="83" s="1"/>
  <c r="M153" i="83" s="1"/>
  <c r="M154" i="83" s="1"/>
  <c r="M155" i="83" s="1"/>
  <c r="M156" i="83" s="1"/>
  <c r="M157" i="83" s="1"/>
  <c r="M158" i="83" s="1"/>
  <c r="M159" i="83" s="1"/>
  <c r="M160" i="83" s="1"/>
  <c r="M161" i="83" s="1"/>
  <c r="M162" i="83" s="1"/>
  <c r="M163" i="83" s="1"/>
  <c r="M164" i="83" s="1"/>
  <c r="M165" i="83" s="1"/>
  <c r="M166" i="83" s="1"/>
  <c r="M167" i="83" s="1"/>
  <c r="M168" i="83" s="1"/>
  <c r="M169" i="83" s="1"/>
  <c r="M170" i="83" s="1"/>
  <c r="M171" i="83" s="1"/>
  <c r="M172" i="83" s="1"/>
  <c r="M173" i="83" s="1"/>
  <c r="M174" i="83" s="1"/>
  <c r="M175" i="83" s="1"/>
  <c r="M176" i="83" s="1"/>
  <c r="M177" i="83" s="1"/>
  <c r="M178" i="83" s="1"/>
  <c r="M179" i="83" s="1"/>
  <c r="M180" i="83" s="1"/>
  <c r="M181" i="83" s="1"/>
  <c r="M182" i="83" s="1"/>
  <c r="M183" i="83" s="1"/>
  <c r="M184" i="83" s="1"/>
  <c r="M185" i="83" s="1"/>
  <c r="M186" i="83" s="1"/>
  <c r="M187" i="83" s="1"/>
  <c r="M188" i="83" s="1"/>
  <c r="M189" i="83" s="1"/>
  <c r="M190" i="83" s="1"/>
  <c r="M191" i="83" s="1"/>
  <c r="M192" i="83" s="1"/>
  <c r="M193" i="83" s="1"/>
  <c r="M194" i="83" s="1"/>
  <c r="M195" i="83" s="1"/>
  <c r="M196" i="83" s="1"/>
  <c r="M197" i="83" s="1"/>
  <c r="M198" i="83" s="1"/>
  <c r="M199" i="83" s="1"/>
  <c r="M200" i="83" s="1"/>
  <c r="M201" i="83" s="1"/>
  <c r="M202" i="83" s="1"/>
  <c r="M203" i="83" s="1"/>
  <c r="M204" i="83" s="1"/>
  <c r="M205" i="83" s="1"/>
  <c r="M206" i="83" s="1"/>
  <c r="M207" i="83" s="1"/>
  <c r="M208" i="83" s="1"/>
  <c r="M209" i="83" s="1"/>
  <c r="M210" i="83" s="1"/>
  <c r="M211" i="83" s="1"/>
  <c r="M212" i="83" s="1"/>
  <c r="M213" i="83" s="1"/>
  <c r="M214" i="83" s="1"/>
  <c r="M215" i="83" s="1"/>
  <c r="M216" i="83" s="1"/>
  <c r="M217" i="83" s="1"/>
  <c r="M218" i="83" s="1"/>
  <c r="M219" i="83" s="1"/>
  <c r="M220" i="83" s="1"/>
  <c r="M221" i="83" s="1"/>
  <c r="M222" i="83" s="1"/>
  <c r="M223" i="83" s="1"/>
  <c r="M224" i="83" s="1"/>
  <c r="M225" i="83" s="1"/>
  <c r="M226" i="83" s="1"/>
  <c r="M227" i="83" s="1"/>
  <c r="M228" i="83" s="1"/>
  <c r="M229" i="83" s="1"/>
  <c r="M230" i="83" s="1"/>
  <c r="M231" i="83" s="1"/>
  <c r="M232" i="83" s="1"/>
  <c r="M233" i="83" s="1"/>
  <c r="M234" i="83" s="1"/>
  <c r="M235" i="83" s="1"/>
  <c r="M236" i="83" s="1"/>
  <c r="M237" i="83" s="1"/>
  <c r="M238" i="83" s="1"/>
  <c r="M239" i="83" s="1"/>
  <c r="M240" i="83" s="1"/>
  <c r="M241" i="83" s="1"/>
  <c r="M242" i="83" s="1"/>
  <c r="M243" i="83" s="1"/>
  <c r="M244" i="83" s="1"/>
  <c r="M245" i="83" s="1"/>
  <c r="M246" i="83" s="1"/>
  <c r="M247" i="83" s="1"/>
  <c r="M248" i="83" s="1"/>
  <c r="M249" i="83" s="1"/>
  <c r="M250" i="83" s="1"/>
  <c r="M251" i="83" s="1"/>
  <c r="M252" i="83" s="1"/>
  <c r="M253" i="83" s="1"/>
  <c r="M254" i="83" s="1"/>
  <c r="M255" i="83" s="1"/>
  <c r="M256" i="83" s="1"/>
  <c r="M257" i="83" s="1"/>
  <c r="M258" i="83" s="1"/>
  <c r="M259" i="83" s="1"/>
  <c r="M260" i="83" s="1"/>
  <c r="M261" i="83" s="1"/>
  <c r="M262" i="83" s="1"/>
  <c r="M263" i="83" s="1"/>
  <c r="M264" i="83" s="1"/>
  <c r="M265" i="83" s="1"/>
  <c r="M266" i="83" s="1"/>
  <c r="M267" i="83" s="1"/>
  <c r="M268" i="83" s="1"/>
  <c r="M269" i="83" s="1"/>
  <c r="M270" i="83" s="1"/>
  <c r="M271" i="83" s="1"/>
  <c r="M272" i="83" s="1"/>
  <c r="M273" i="83" s="1"/>
  <c r="M274" i="83" s="1"/>
  <c r="M275" i="83" s="1"/>
  <c r="M276" i="83" s="1"/>
  <c r="M277" i="83" s="1"/>
  <c r="M278" i="83" s="1"/>
  <c r="M279" i="83" s="1"/>
  <c r="M280" i="83" s="1"/>
  <c r="M281" i="83" s="1"/>
  <c r="M282" i="83" s="1"/>
  <c r="M283" i="83" s="1"/>
  <c r="M284" i="83" s="1"/>
  <c r="M285" i="83" s="1"/>
  <c r="M286" i="83" s="1"/>
  <c r="M287" i="83" s="1"/>
  <c r="M288" i="83" s="1"/>
  <c r="M289" i="83" s="1"/>
  <c r="M290" i="83" s="1"/>
  <c r="M291" i="83" s="1"/>
  <c r="M292" i="83" s="1"/>
  <c r="M293" i="83" s="1"/>
  <c r="M294" i="83" s="1"/>
  <c r="M295" i="83" s="1"/>
  <c r="M296" i="83" s="1"/>
  <c r="M297" i="83" s="1"/>
  <c r="M298" i="83" s="1"/>
  <c r="M299" i="83" s="1"/>
  <c r="M300" i="83" s="1"/>
  <c r="M301" i="83" s="1"/>
  <c r="M302" i="83" s="1"/>
  <c r="M303" i="83" s="1"/>
  <c r="M304" i="83" s="1"/>
  <c r="M305" i="83" s="1"/>
  <c r="M306" i="83" s="1"/>
  <c r="M307" i="83" s="1"/>
  <c r="M308" i="83" s="1"/>
  <c r="M309" i="83" s="1"/>
  <c r="M310" i="83" s="1"/>
  <c r="M311" i="83" s="1"/>
  <c r="M312" i="83" s="1"/>
  <c r="M313" i="83" s="1"/>
  <c r="M314" i="83" s="1"/>
  <c r="M315" i="83" s="1"/>
  <c r="M316" i="83" s="1"/>
  <c r="M317" i="83" s="1"/>
  <c r="M318" i="83" s="1"/>
  <c r="M319" i="83" s="1"/>
  <c r="M320" i="83" s="1"/>
  <c r="M321" i="83" s="1"/>
  <c r="M322" i="83" s="1"/>
  <c r="M323" i="83" s="1"/>
  <c r="M324" i="83" s="1"/>
  <c r="M325" i="83" s="1"/>
  <c r="M326" i="83" s="1"/>
  <c r="M327" i="83" s="1"/>
  <c r="M328" i="83" s="1"/>
  <c r="M329" i="83" s="1"/>
  <c r="M330" i="83" s="1"/>
  <c r="M331" i="83" s="1"/>
  <c r="M332" i="83" s="1"/>
  <c r="M333" i="83" s="1"/>
  <c r="M334" i="83" s="1"/>
  <c r="M335" i="83" s="1"/>
  <c r="M336" i="83" s="1"/>
  <c r="M337" i="83" s="1"/>
  <c r="M338" i="83" s="1"/>
  <c r="L139" i="19"/>
  <c r="P1805" i="33" l="1"/>
  <c r="P1804" i="33"/>
  <c r="P1798" i="33"/>
  <c r="P1789" i="33"/>
  <c r="P1807" i="33"/>
  <c r="L135" i="19" l="1"/>
  <c r="L133" i="19" l="1"/>
  <c r="L2" i="82"/>
  <c r="J339" i="82"/>
  <c r="L339" i="82" s="1"/>
  <c r="J338" i="82"/>
  <c r="L338" i="82" s="1"/>
  <c r="J337" i="82"/>
  <c r="L337" i="82" s="1"/>
  <c r="J336" i="82"/>
  <c r="L336" i="82" s="1"/>
  <c r="J335" i="82"/>
  <c r="L335" i="82" s="1"/>
  <c r="J334" i="82"/>
  <c r="L334" i="82" s="1"/>
  <c r="J333" i="82"/>
  <c r="L333" i="82" s="1"/>
  <c r="J332" i="82"/>
  <c r="L332" i="82" s="1"/>
  <c r="J331" i="82"/>
  <c r="L331" i="82" s="1"/>
  <c r="J330" i="82"/>
  <c r="L330" i="82" s="1"/>
  <c r="J329" i="82"/>
  <c r="L329" i="82" s="1"/>
  <c r="J328" i="82"/>
  <c r="L328" i="82" s="1"/>
  <c r="J327" i="82"/>
  <c r="L327" i="82" s="1"/>
  <c r="J326" i="82"/>
  <c r="L326" i="82" s="1"/>
  <c r="J325" i="82"/>
  <c r="L325" i="82" s="1"/>
  <c r="J324" i="82"/>
  <c r="L324" i="82" s="1"/>
  <c r="J323" i="82"/>
  <c r="L323" i="82" s="1"/>
  <c r="J322" i="82"/>
  <c r="L322" i="82" s="1"/>
  <c r="J321" i="82"/>
  <c r="L321" i="82" s="1"/>
  <c r="J320" i="82"/>
  <c r="L320" i="82" s="1"/>
  <c r="J319" i="82"/>
  <c r="L319" i="82" s="1"/>
  <c r="J318" i="82"/>
  <c r="L318" i="82" s="1"/>
  <c r="J317" i="82"/>
  <c r="L317" i="82" s="1"/>
  <c r="J316" i="82"/>
  <c r="L316" i="82" s="1"/>
  <c r="J315" i="82"/>
  <c r="L315" i="82" s="1"/>
  <c r="J314" i="82"/>
  <c r="L314" i="82" s="1"/>
  <c r="J313" i="82"/>
  <c r="L313" i="82" s="1"/>
  <c r="J312" i="82"/>
  <c r="L312" i="82" s="1"/>
  <c r="J311" i="82"/>
  <c r="L311" i="82" s="1"/>
  <c r="J310" i="82"/>
  <c r="L310" i="82" s="1"/>
  <c r="J309" i="82"/>
  <c r="L309" i="82" s="1"/>
  <c r="J308" i="82"/>
  <c r="L308" i="82" s="1"/>
  <c r="J307" i="82"/>
  <c r="L307" i="82" s="1"/>
  <c r="J306" i="82"/>
  <c r="L306" i="82" s="1"/>
  <c r="J305" i="82"/>
  <c r="L305" i="82" s="1"/>
  <c r="J304" i="82"/>
  <c r="L304" i="82" s="1"/>
  <c r="J303" i="82"/>
  <c r="L303" i="82" s="1"/>
  <c r="J302" i="82"/>
  <c r="L302" i="82" s="1"/>
  <c r="J301" i="82"/>
  <c r="L301" i="82" s="1"/>
  <c r="J300" i="82"/>
  <c r="L300" i="82" s="1"/>
  <c r="J299" i="82"/>
  <c r="L299" i="82" s="1"/>
  <c r="J298" i="82"/>
  <c r="L298" i="82" s="1"/>
  <c r="J297" i="82"/>
  <c r="L297" i="82" s="1"/>
  <c r="J296" i="82"/>
  <c r="L296" i="82" s="1"/>
  <c r="J295" i="82"/>
  <c r="L295" i="82" s="1"/>
  <c r="J294" i="82"/>
  <c r="L294" i="82" s="1"/>
  <c r="J293" i="82"/>
  <c r="L293" i="82" s="1"/>
  <c r="J292" i="82"/>
  <c r="L292" i="82" s="1"/>
  <c r="J291" i="82"/>
  <c r="L291" i="82" s="1"/>
  <c r="J290" i="82"/>
  <c r="L290" i="82" s="1"/>
  <c r="J289" i="82"/>
  <c r="L289" i="82" s="1"/>
  <c r="J288" i="82"/>
  <c r="L288" i="82" s="1"/>
  <c r="J287" i="82"/>
  <c r="L287" i="82" s="1"/>
  <c r="J286" i="82"/>
  <c r="L286" i="82" s="1"/>
  <c r="J285" i="82"/>
  <c r="L285" i="82" s="1"/>
  <c r="J284" i="82"/>
  <c r="L284" i="82" s="1"/>
  <c r="J283" i="82"/>
  <c r="L283" i="82" s="1"/>
  <c r="J282" i="82"/>
  <c r="L282" i="82" s="1"/>
  <c r="J281" i="82"/>
  <c r="L281" i="82" s="1"/>
  <c r="J280" i="82"/>
  <c r="L280" i="82" s="1"/>
  <c r="J279" i="82"/>
  <c r="L279" i="82" s="1"/>
  <c r="J278" i="82"/>
  <c r="L278" i="82" s="1"/>
  <c r="J277" i="82"/>
  <c r="L277" i="82" s="1"/>
  <c r="J276" i="82"/>
  <c r="L276" i="82" s="1"/>
  <c r="J275" i="82"/>
  <c r="L275" i="82" s="1"/>
  <c r="J274" i="82"/>
  <c r="L274" i="82" s="1"/>
  <c r="J273" i="82"/>
  <c r="L273" i="82" s="1"/>
  <c r="J272" i="82"/>
  <c r="L272" i="82" s="1"/>
  <c r="J271" i="82"/>
  <c r="L271" i="82" s="1"/>
  <c r="J270" i="82"/>
  <c r="L270" i="82" s="1"/>
  <c r="J269" i="82"/>
  <c r="L269" i="82" s="1"/>
  <c r="J268" i="82"/>
  <c r="L268" i="82" s="1"/>
  <c r="J267" i="82"/>
  <c r="L267" i="82" s="1"/>
  <c r="J266" i="82"/>
  <c r="L266" i="82" s="1"/>
  <c r="J265" i="82"/>
  <c r="L265" i="82" s="1"/>
  <c r="J264" i="82"/>
  <c r="L264" i="82" s="1"/>
  <c r="L263" i="82"/>
  <c r="J263" i="82"/>
  <c r="J262" i="82"/>
  <c r="L262" i="82" s="1"/>
  <c r="J261" i="82"/>
  <c r="L261" i="82" s="1"/>
  <c r="J260" i="82"/>
  <c r="L260" i="82" s="1"/>
  <c r="J259" i="82"/>
  <c r="L259" i="82" s="1"/>
  <c r="J258" i="82"/>
  <c r="L258" i="82" s="1"/>
  <c r="J257" i="82"/>
  <c r="L257" i="82" s="1"/>
  <c r="J256" i="82"/>
  <c r="L256" i="82" s="1"/>
  <c r="J255" i="82"/>
  <c r="L255" i="82" s="1"/>
  <c r="J254" i="82"/>
  <c r="L254" i="82" s="1"/>
  <c r="J253" i="82"/>
  <c r="L253" i="82" s="1"/>
  <c r="J252" i="82"/>
  <c r="L252" i="82" s="1"/>
  <c r="J251" i="82"/>
  <c r="L251" i="82" s="1"/>
  <c r="J250" i="82"/>
  <c r="L250" i="82" s="1"/>
  <c r="J249" i="82"/>
  <c r="L249" i="82" s="1"/>
  <c r="J248" i="82"/>
  <c r="L248" i="82" s="1"/>
  <c r="J247" i="82"/>
  <c r="L247" i="82" s="1"/>
  <c r="J246" i="82"/>
  <c r="L246" i="82" s="1"/>
  <c r="J245" i="82"/>
  <c r="L245" i="82" s="1"/>
  <c r="J244" i="82"/>
  <c r="L244" i="82" s="1"/>
  <c r="J243" i="82"/>
  <c r="L243" i="82" s="1"/>
  <c r="J242" i="82"/>
  <c r="L242" i="82" s="1"/>
  <c r="J241" i="82"/>
  <c r="L241" i="82" s="1"/>
  <c r="J240" i="82"/>
  <c r="L240" i="82" s="1"/>
  <c r="J239" i="82"/>
  <c r="L239" i="82" s="1"/>
  <c r="L238" i="82"/>
  <c r="L237" i="82"/>
  <c r="L236" i="82"/>
  <c r="L235" i="82"/>
  <c r="L234" i="82"/>
  <c r="L233" i="82"/>
  <c r="L232" i="82"/>
  <c r="L231" i="82"/>
  <c r="L230" i="82"/>
  <c r="L229" i="82"/>
  <c r="L228" i="82"/>
  <c r="L227" i="82"/>
  <c r="L226" i="82"/>
  <c r="L225" i="82"/>
  <c r="L224" i="82"/>
  <c r="L223" i="82"/>
  <c r="L222" i="82"/>
  <c r="L221" i="82"/>
  <c r="L220" i="82"/>
  <c r="L219" i="82"/>
  <c r="L218" i="82"/>
  <c r="L217" i="82"/>
  <c r="L216" i="82"/>
  <c r="L215" i="82"/>
  <c r="L214" i="82"/>
  <c r="L213" i="82"/>
  <c r="L212" i="82"/>
  <c r="L211" i="82"/>
  <c r="L210" i="82"/>
  <c r="L209" i="82"/>
  <c r="L208" i="82"/>
  <c r="L207" i="82"/>
  <c r="L206" i="82"/>
  <c r="L205" i="82"/>
  <c r="L204" i="82"/>
  <c r="L203" i="82"/>
  <c r="L202" i="82"/>
  <c r="L201" i="82"/>
  <c r="L200" i="82"/>
  <c r="L199" i="82"/>
  <c r="L198" i="82"/>
  <c r="L197" i="82"/>
  <c r="L196" i="82"/>
  <c r="L195" i="82"/>
  <c r="L194" i="82"/>
  <c r="L193" i="82"/>
  <c r="L192" i="82"/>
  <c r="L191" i="82"/>
  <c r="L190" i="82"/>
  <c r="L189" i="82"/>
  <c r="L188" i="82"/>
  <c r="L187" i="82"/>
  <c r="L186" i="82"/>
  <c r="L185" i="82"/>
  <c r="L184" i="82"/>
  <c r="L183" i="82"/>
  <c r="L182" i="82"/>
  <c r="L181" i="82"/>
  <c r="L180" i="82"/>
  <c r="L179" i="82"/>
  <c r="L178" i="82"/>
  <c r="L177" i="82"/>
  <c r="L176" i="82"/>
  <c r="L175" i="82"/>
  <c r="L174" i="82"/>
  <c r="L173" i="82"/>
  <c r="L172" i="82"/>
  <c r="L171" i="82"/>
  <c r="L170" i="82"/>
  <c r="L169" i="82"/>
  <c r="L168" i="82"/>
  <c r="L167" i="82"/>
  <c r="L166" i="82"/>
  <c r="L165" i="82"/>
  <c r="L164" i="82"/>
  <c r="L163" i="82"/>
  <c r="L162" i="82"/>
  <c r="L161" i="82"/>
  <c r="L160" i="82"/>
  <c r="L159" i="82"/>
  <c r="L158" i="82"/>
  <c r="L157" i="82"/>
  <c r="L156" i="82"/>
  <c r="L155" i="82"/>
  <c r="L154" i="82"/>
  <c r="L153" i="82"/>
  <c r="L152" i="82"/>
  <c r="L151" i="82"/>
  <c r="L150" i="82"/>
  <c r="L149" i="82"/>
  <c r="L148" i="82"/>
  <c r="L147" i="82"/>
  <c r="L146" i="82"/>
  <c r="L145" i="82"/>
  <c r="L144" i="82"/>
  <c r="L143" i="82"/>
  <c r="L142" i="82"/>
  <c r="L141" i="82"/>
  <c r="L140" i="82"/>
  <c r="L139" i="82"/>
  <c r="L138" i="82"/>
  <c r="L137" i="82"/>
  <c r="L136" i="82"/>
  <c r="L135" i="82"/>
  <c r="L134" i="82"/>
  <c r="L133" i="82"/>
  <c r="L132" i="82"/>
  <c r="L131" i="82"/>
  <c r="L130" i="82"/>
  <c r="L129" i="82"/>
  <c r="L128" i="82"/>
  <c r="L127" i="82"/>
  <c r="L126" i="82"/>
  <c r="L125" i="82"/>
  <c r="L124" i="82"/>
  <c r="L123" i="82"/>
  <c r="L122" i="82"/>
  <c r="L121" i="82"/>
  <c r="L120" i="82"/>
  <c r="L119" i="82"/>
  <c r="L118" i="82"/>
  <c r="L117" i="82"/>
  <c r="L116" i="82"/>
  <c r="L115" i="82"/>
  <c r="L114" i="82"/>
  <c r="L113" i="82"/>
  <c r="L112" i="82"/>
  <c r="L111" i="82"/>
  <c r="L110" i="82"/>
  <c r="L109" i="82"/>
  <c r="L108" i="82"/>
  <c r="L107" i="82"/>
  <c r="L106" i="82"/>
  <c r="L105" i="82"/>
  <c r="L104" i="82"/>
  <c r="L103" i="82"/>
  <c r="L102" i="82"/>
  <c r="L101" i="82"/>
  <c r="L100" i="82"/>
  <c r="L99" i="82"/>
  <c r="L98" i="82"/>
  <c r="L97" i="82"/>
  <c r="L96" i="82"/>
  <c r="L95" i="82"/>
  <c r="L94" i="82"/>
  <c r="L93" i="82"/>
  <c r="L92" i="82"/>
  <c r="L91" i="82"/>
  <c r="L90" i="82"/>
  <c r="L89" i="82"/>
  <c r="L88" i="82"/>
  <c r="L87" i="82"/>
  <c r="L86" i="82"/>
  <c r="L85" i="82"/>
  <c r="L84" i="82"/>
  <c r="L83" i="82"/>
  <c r="L82" i="82"/>
  <c r="L81" i="82"/>
  <c r="L80" i="82"/>
  <c r="L79" i="82"/>
  <c r="L78" i="82"/>
  <c r="L77" i="82"/>
  <c r="L76" i="82"/>
  <c r="L75" i="82"/>
  <c r="L74" i="82"/>
  <c r="L73" i="82"/>
  <c r="L72" i="82"/>
  <c r="L71" i="82"/>
  <c r="L70" i="82"/>
  <c r="L69" i="82"/>
  <c r="L68" i="82"/>
  <c r="L67" i="82"/>
  <c r="L66" i="82"/>
  <c r="L65" i="82"/>
  <c r="L64" i="82"/>
  <c r="L63" i="82"/>
  <c r="L62" i="82"/>
  <c r="L61" i="82"/>
  <c r="L60" i="82"/>
  <c r="L59" i="82"/>
  <c r="L58" i="82"/>
  <c r="L57" i="82"/>
  <c r="L56" i="82"/>
  <c r="L55" i="82"/>
  <c r="L54" i="82"/>
  <c r="L53" i="82"/>
  <c r="L52" i="82"/>
  <c r="L51" i="82"/>
  <c r="L50" i="82"/>
  <c r="L49" i="82"/>
  <c r="L48" i="82"/>
  <c r="L47" i="82"/>
  <c r="L46" i="82"/>
  <c r="L45" i="82"/>
  <c r="L44" i="82"/>
  <c r="L43" i="82"/>
  <c r="L42" i="82"/>
  <c r="L41" i="82"/>
  <c r="L40" i="82"/>
  <c r="L39" i="82"/>
  <c r="L38" i="82"/>
  <c r="L37" i="82"/>
  <c r="L36" i="82"/>
  <c r="L35" i="82"/>
  <c r="L34" i="82"/>
  <c r="L33" i="82"/>
  <c r="L32" i="82"/>
  <c r="L31" i="82"/>
  <c r="L30" i="82"/>
  <c r="L29" i="82"/>
  <c r="L28" i="82"/>
  <c r="L27" i="82"/>
  <c r="L26" i="82"/>
  <c r="L25" i="82"/>
  <c r="L24" i="82"/>
  <c r="L23" i="82"/>
  <c r="L22" i="82"/>
  <c r="L21" i="82"/>
  <c r="L20" i="82"/>
  <c r="L19" i="82"/>
  <c r="L18" i="82"/>
  <c r="L17" i="82"/>
  <c r="L16" i="82"/>
  <c r="L15" i="82"/>
  <c r="L14" i="82"/>
  <c r="L13" i="82"/>
  <c r="L12" i="82"/>
  <c r="L11" i="82"/>
  <c r="L10" i="82"/>
  <c r="N10" i="82" s="1"/>
  <c r="L8" i="82"/>
  <c r="L7" i="82"/>
  <c r="L6" i="82"/>
  <c r="L5" i="82"/>
  <c r="L4" i="82"/>
  <c r="N11" i="82" l="1"/>
  <c r="N12" i="82" s="1"/>
  <c r="N13" i="82" s="1"/>
  <c r="O13" i="82"/>
  <c r="B24" i="14" s="1"/>
  <c r="N3" i="82"/>
  <c r="N4" i="82" s="1"/>
  <c r="N5" i="82" s="1"/>
  <c r="N6" i="82" s="1"/>
  <c r="N7" i="82" s="1"/>
  <c r="N8" i="82" s="1"/>
  <c r="N14" i="82" l="1"/>
  <c r="N15" i="82" s="1"/>
  <c r="N16" i="82" s="1"/>
  <c r="N17" i="82" s="1"/>
  <c r="N18" i="82" s="1"/>
  <c r="N19" i="82" s="1"/>
  <c r="N20" i="82" s="1"/>
  <c r="N21" i="82" s="1"/>
  <c r="N22" i="82" s="1"/>
  <c r="N23" i="82" s="1"/>
  <c r="N24" i="82" s="1"/>
  <c r="N25" i="82" s="1"/>
  <c r="N26" i="82" s="1"/>
  <c r="N27" i="82" s="1"/>
  <c r="N28" i="82" s="1"/>
  <c r="N29" i="82" s="1"/>
  <c r="N30" i="82" s="1"/>
  <c r="N31" i="82" s="1"/>
  <c r="N32" i="82" s="1"/>
  <c r="N33" i="82" s="1"/>
  <c r="N34" i="82" s="1"/>
  <c r="N35" i="82" s="1"/>
  <c r="N36" i="82" s="1"/>
  <c r="N37" i="82" s="1"/>
  <c r="N38" i="82" s="1"/>
  <c r="N39" i="82" s="1"/>
  <c r="N40" i="82" s="1"/>
  <c r="N41" i="82" s="1"/>
  <c r="N42" i="82" s="1"/>
  <c r="N43" i="82" s="1"/>
  <c r="N44" i="82" s="1"/>
  <c r="N45" i="82" s="1"/>
  <c r="N46" i="82" s="1"/>
  <c r="N47" i="82" s="1"/>
  <c r="N48" i="82" s="1"/>
  <c r="N49" i="82" s="1"/>
  <c r="N50" i="82" s="1"/>
  <c r="N51" i="82" s="1"/>
  <c r="N52" i="82" s="1"/>
  <c r="N53" i="82" s="1"/>
  <c r="N54" i="82" s="1"/>
  <c r="N55" i="82" s="1"/>
  <c r="N56" i="82" s="1"/>
  <c r="N57" i="82" s="1"/>
  <c r="N58" i="82" s="1"/>
  <c r="N59" i="82" s="1"/>
  <c r="N60" i="82" s="1"/>
  <c r="N61" i="82" s="1"/>
  <c r="N62" i="82" s="1"/>
  <c r="N63" i="82" s="1"/>
  <c r="N64" i="82" s="1"/>
  <c r="N65" i="82" s="1"/>
  <c r="N66" i="82" s="1"/>
  <c r="N67" i="82" s="1"/>
  <c r="N68" i="82" s="1"/>
  <c r="N69" i="82" s="1"/>
  <c r="N70" i="82" s="1"/>
  <c r="N71" i="82" s="1"/>
  <c r="N72" i="82" s="1"/>
  <c r="N73" i="82" s="1"/>
  <c r="N74" i="82" s="1"/>
  <c r="N75" i="82" s="1"/>
  <c r="N76" i="82" s="1"/>
  <c r="N77" i="82" s="1"/>
  <c r="N78" i="82" s="1"/>
  <c r="N79" i="82" s="1"/>
  <c r="N80" i="82" s="1"/>
  <c r="N81" i="82" s="1"/>
  <c r="N82" i="82" s="1"/>
  <c r="N83" i="82" s="1"/>
  <c r="N84" i="82" s="1"/>
  <c r="N85" i="82" s="1"/>
  <c r="N86" i="82" s="1"/>
  <c r="N87" i="82" s="1"/>
  <c r="N88" i="82" s="1"/>
  <c r="N89" i="82" s="1"/>
  <c r="N90" i="82" s="1"/>
  <c r="N91" i="82" s="1"/>
  <c r="N92" i="82" s="1"/>
  <c r="N93" i="82" s="1"/>
  <c r="N94" i="82" s="1"/>
  <c r="N95" i="82" s="1"/>
  <c r="N96" i="82" s="1"/>
  <c r="N97" i="82" s="1"/>
  <c r="N98" i="82" s="1"/>
  <c r="N99" i="82" s="1"/>
  <c r="N100" i="82" s="1"/>
  <c r="N101" i="82" s="1"/>
  <c r="N102" i="82" s="1"/>
  <c r="N103" i="82" s="1"/>
  <c r="N104" i="82" s="1"/>
  <c r="N105" i="82" s="1"/>
  <c r="N106" i="82" s="1"/>
  <c r="N107" i="82" s="1"/>
  <c r="N108" i="82" s="1"/>
  <c r="N109" i="82" s="1"/>
  <c r="N110" i="82" s="1"/>
  <c r="N111" i="82" s="1"/>
  <c r="N112" i="82" s="1"/>
  <c r="N113" i="82" s="1"/>
  <c r="N114" i="82" s="1"/>
  <c r="N115" i="82" s="1"/>
  <c r="N116" i="82" s="1"/>
  <c r="N117" i="82" s="1"/>
  <c r="N118" i="82" s="1"/>
  <c r="N119" i="82" s="1"/>
  <c r="N120" i="82" s="1"/>
  <c r="N121" i="82" s="1"/>
  <c r="N122" i="82" s="1"/>
  <c r="N123" i="82" s="1"/>
  <c r="N124" i="82" s="1"/>
  <c r="N125" i="82" s="1"/>
  <c r="N126" i="82" s="1"/>
  <c r="N127" i="82" s="1"/>
  <c r="N128" i="82" s="1"/>
  <c r="N129" i="82" s="1"/>
  <c r="N130" i="82" s="1"/>
  <c r="N131" i="82" s="1"/>
  <c r="N132" i="82" s="1"/>
  <c r="N133" i="82" s="1"/>
  <c r="N134" i="82" s="1"/>
  <c r="N135" i="82" s="1"/>
  <c r="N136" i="82" s="1"/>
  <c r="N137" i="82" s="1"/>
  <c r="N138" i="82" s="1"/>
  <c r="N139" i="82" s="1"/>
  <c r="N140" i="82" s="1"/>
  <c r="N141" i="82" s="1"/>
  <c r="N142" i="82" s="1"/>
  <c r="N143" i="82" s="1"/>
  <c r="N144" i="82" s="1"/>
  <c r="N145" i="82" s="1"/>
  <c r="N146" i="82" s="1"/>
  <c r="N147" i="82" s="1"/>
  <c r="N148" i="82" s="1"/>
  <c r="N149" i="82" s="1"/>
  <c r="N150" i="82" s="1"/>
  <c r="N151" i="82" s="1"/>
  <c r="N152" i="82" s="1"/>
  <c r="N153" i="82" s="1"/>
  <c r="N154" i="82" s="1"/>
  <c r="N155" i="82" s="1"/>
  <c r="N156" i="82" s="1"/>
  <c r="N157" i="82" s="1"/>
  <c r="N158" i="82" s="1"/>
  <c r="N159" i="82" s="1"/>
  <c r="N160" i="82" s="1"/>
  <c r="N161" i="82" s="1"/>
  <c r="N162" i="82" s="1"/>
  <c r="N163" i="82" s="1"/>
  <c r="N164" i="82" s="1"/>
  <c r="N165" i="82" s="1"/>
  <c r="N166" i="82" s="1"/>
  <c r="N167" i="82" s="1"/>
  <c r="N168" i="82" s="1"/>
  <c r="N169" i="82" s="1"/>
  <c r="N170" i="82" s="1"/>
  <c r="N171" i="82" s="1"/>
  <c r="N172" i="82" s="1"/>
  <c r="N173" i="82" s="1"/>
  <c r="N174" i="82" s="1"/>
  <c r="N175" i="82" s="1"/>
  <c r="N176" i="82" s="1"/>
  <c r="N177" i="82" s="1"/>
  <c r="N178" i="82" s="1"/>
  <c r="N179" i="82" s="1"/>
  <c r="N180" i="82" s="1"/>
  <c r="N181" i="82" s="1"/>
  <c r="N182" i="82" s="1"/>
  <c r="N183" i="82" s="1"/>
  <c r="N184" i="82" s="1"/>
  <c r="N185" i="82" s="1"/>
  <c r="N186" i="82" s="1"/>
  <c r="N187" i="82" s="1"/>
  <c r="N188" i="82" s="1"/>
  <c r="N189" i="82" s="1"/>
  <c r="N190" i="82" s="1"/>
  <c r="N191" i="82" s="1"/>
  <c r="N192" i="82" s="1"/>
  <c r="N193" i="82" s="1"/>
  <c r="N194" i="82" s="1"/>
  <c r="N195" i="82" s="1"/>
  <c r="N196" i="82" s="1"/>
  <c r="N197" i="82" s="1"/>
  <c r="N198" i="82" s="1"/>
  <c r="N199" i="82" s="1"/>
  <c r="N200" i="82" s="1"/>
  <c r="N201" i="82" s="1"/>
  <c r="N202" i="82" s="1"/>
  <c r="N203" i="82" s="1"/>
  <c r="N204" i="82" s="1"/>
  <c r="N205" i="82" s="1"/>
  <c r="N206" i="82" s="1"/>
  <c r="N207" i="82" s="1"/>
  <c r="N208" i="82" s="1"/>
  <c r="N209" i="82" s="1"/>
  <c r="N210" i="82" s="1"/>
  <c r="N211" i="82" s="1"/>
  <c r="N212" i="82" s="1"/>
  <c r="N213" i="82" s="1"/>
  <c r="N214" i="82" s="1"/>
  <c r="N215" i="82" s="1"/>
  <c r="N216" i="82" s="1"/>
  <c r="N217" i="82" s="1"/>
  <c r="N218" i="82" s="1"/>
  <c r="N219" i="82" s="1"/>
  <c r="N220" i="82" s="1"/>
  <c r="N221" i="82" s="1"/>
  <c r="N222" i="82" s="1"/>
  <c r="N223" i="82" s="1"/>
  <c r="N224" i="82" s="1"/>
  <c r="N225" i="82" s="1"/>
  <c r="N226" i="82" s="1"/>
  <c r="N227" i="82" s="1"/>
  <c r="N228" i="82" s="1"/>
  <c r="N229" i="82" s="1"/>
  <c r="N230" i="82" s="1"/>
  <c r="N231" i="82" s="1"/>
  <c r="N232" i="82" s="1"/>
  <c r="N233" i="82" s="1"/>
  <c r="N234" i="82" s="1"/>
  <c r="N235" i="82" s="1"/>
  <c r="N236" i="82" s="1"/>
  <c r="N237" i="82" s="1"/>
  <c r="N238" i="82" s="1"/>
  <c r="N239" i="82" s="1"/>
  <c r="N240" i="82" s="1"/>
  <c r="N241" i="82" s="1"/>
  <c r="N242" i="82" s="1"/>
  <c r="N243" i="82" s="1"/>
  <c r="N244" i="82" s="1"/>
  <c r="N245" i="82" s="1"/>
  <c r="N246" i="82" s="1"/>
  <c r="N247" i="82" s="1"/>
  <c r="N248" i="82" s="1"/>
  <c r="N249" i="82" s="1"/>
  <c r="N250" i="82" s="1"/>
  <c r="N251" i="82" s="1"/>
  <c r="N252" i="82" s="1"/>
  <c r="N253" i="82" s="1"/>
  <c r="N254" i="82" s="1"/>
  <c r="N255" i="82" s="1"/>
  <c r="N256" i="82" s="1"/>
  <c r="N257" i="82" s="1"/>
  <c r="N258" i="82" s="1"/>
  <c r="N259" i="82" s="1"/>
  <c r="N260" i="82" s="1"/>
  <c r="N261" i="82" s="1"/>
  <c r="N262" i="82" s="1"/>
  <c r="N263" i="82" s="1"/>
  <c r="N264" i="82" s="1"/>
  <c r="N265" i="82" s="1"/>
  <c r="N266" i="82" s="1"/>
  <c r="N267" i="82" s="1"/>
  <c r="N268" i="82" s="1"/>
  <c r="N269" i="82" s="1"/>
  <c r="N270" i="82" s="1"/>
  <c r="N271" i="82" s="1"/>
  <c r="N272" i="82" s="1"/>
  <c r="N273" i="82" s="1"/>
  <c r="N274" i="82" s="1"/>
  <c r="N275" i="82" s="1"/>
  <c r="N276" i="82" s="1"/>
  <c r="N277" i="82" s="1"/>
  <c r="N278" i="82" s="1"/>
  <c r="N279" i="82" s="1"/>
  <c r="N280" i="82" s="1"/>
  <c r="N281" i="82" s="1"/>
  <c r="N282" i="82" s="1"/>
  <c r="N283" i="82" s="1"/>
  <c r="N284" i="82" s="1"/>
  <c r="N285" i="82" s="1"/>
  <c r="N286" i="82" s="1"/>
  <c r="N287" i="82" s="1"/>
  <c r="N288" i="82" s="1"/>
  <c r="N289" i="82" s="1"/>
  <c r="N290" i="82" s="1"/>
  <c r="N291" i="82" s="1"/>
  <c r="N292" i="82" s="1"/>
  <c r="N293" i="82" s="1"/>
  <c r="N294" i="82" s="1"/>
  <c r="N295" i="82" s="1"/>
  <c r="N296" i="82" s="1"/>
  <c r="N297" i="82" s="1"/>
  <c r="N298" i="82" s="1"/>
  <c r="N299" i="82" s="1"/>
  <c r="N300" i="82" s="1"/>
  <c r="N301" i="82" s="1"/>
  <c r="N302" i="82" s="1"/>
  <c r="N303" i="82" s="1"/>
  <c r="N304" i="82" s="1"/>
  <c r="N305" i="82" s="1"/>
  <c r="N306" i="82" s="1"/>
  <c r="N307" i="82" s="1"/>
  <c r="N308" i="82" s="1"/>
  <c r="N309" i="82" s="1"/>
  <c r="N310" i="82" s="1"/>
  <c r="N311" i="82" s="1"/>
  <c r="N312" i="82" s="1"/>
  <c r="N313" i="82" s="1"/>
  <c r="N314" i="82" s="1"/>
  <c r="N315" i="82" s="1"/>
  <c r="N316" i="82" s="1"/>
  <c r="N317" i="82" s="1"/>
  <c r="N318" i="82" s="1"/>
  <c r="N319" i="82" s="1"/>
  <c r="N320" i="82" s="1"/>
  <c r="N321" i="82" s="1"/>
  <c r="N322" i="82" s="1"/>
  <c r="N323" i="82" s="1"/>
  <c r="N324" i="82" s="1"/>
  <c r="N325" i="82" s="1"/>
  <c r="N326" i="82" s="1"/>
  <c r="N327" i="82" s="1"/>
  <c r="N328" i="82" s="1"/>
  <c r="N329" i="82" s="1"/>
  <c r="N330" i="82" s="1"/>
  <c r="N331" i="82" s="1"/>
  <c r="N332" i="82" s="1"/>
  <c r="N333" i="82" s="1"/>
  <c r="N334" i="82" s="1"/>
  <c r="N335" i="82" s="1"/>
  <c r="N336" i="82" s="1"/>
  <c r="N337" i="82" s="1"/>
  <c r="N338" i="82" s="1"/>
  <c r="N339" i="82" s="1"/>
  <c r="K5" i="78"/>
  <c r="L131" i="19" l="1"/>
  <c r="L130" i="19"/>
  <c r="L129" i="19" l="1"/>
  <c r="K2" i="78" l="1"/>
  <c r="I354" i="78"/>
  <c r="K354" i="78" s="1"/>
  <c r="I353" i="78"/>
  <c r="K353" i="78" s="1"/>
  <c r="I352" i="78"/>
  <c r="K352" i="78" s="1"/>
  <c r="I351" i="78"/>
  <c r="K351" i="78" s="1"/>
  <c r="I350" i="78"/>
  <c r="K350" i="78" s="1"/>
  <c r="I349" i="78"/>
  <c r="K349" i="78" s="1"/>
  <c r="I348" i="78"/>
  <c r="K348" i="78" s="1"/>
  <c r="I347" i="78"/>
  <c r="K347" i="78" s="1"/>
  <c r="I346" i="78"/>
  <c r="K346" i="78" s="1"/>
  <c r="I345" i="78"/>
  <c r="K345" i="78" s="1"/>
  <c r="I344" i="78"/>
  <c r="K344" i="78" s="1"/>
  <c r="I343" i="78"/>
  <c r="K343" i="78" s="1"/>
  <c r="I342" i="78"/>
  <c r="K342" i="78" s="1"/>
  <c r="I341" i="78"/>
  <c r="K341" i="78" s="1"/>
  <c r="I340" i="78"/>
  <c r="K340" i="78" s="1"/>
  <c r="I339" i="78"/>
  <c r="K339" i="78" s="1"/>
  <c r="I338" i="78"/>
  <c r="K338" i="78" s="1"/>
  <c r="I337" i="78"/>
  <c r="K337" i="78" s="1"/>
  <c r="I336" i="78"/>
  <c r="K336" i="78" s="1"/>
  <c r="I335" i="78"/>
  <c r="K335" i="78" s="1"/>
  <c r="I334" i="78"/>
  <c r="K334" i="78" s="1"/>
  <c r="I333" i="78"/>
  <c r="K333" i="78" s="1"/>
  <c r="I332" i="78"/>
  <c r="K332" i="78" s="1"/>
  <c r="I331" i="78"/>
  <c r="K331" i="78" s="1"/>
  <c r="I330" i="78"/>
  <c r="K330" i="78" s="1"/>
  <c r="I329" i="78"/>
  <c r="K329" i="78" s="1"/>
  <c r="I328" i="78"/>
  <c r="K328" i="78" s="1"/>
  <c r="I327" i="78"/>
  <c r="K327" i="78" s="1"/>
  <c r="I326" i="78"/>
  <c r="K326" i="78" s="1"/>
  <c r="I325" i="78"/>
  <c r="K325" i="78" s="1"/>
  <c r="I324" i="78"/>
  <c r="K324" i="78" s="1"/>
  <c r="I323" i="78"/>
  <c r="K323" i="78" s="1"/>
  <c r="I322" i="78"/>
  <c r="K322" i="78" s="1"/>
  <c r="I321" i="78"/>
  <c r="K321" i="78" s="1"/>
  <c r="I320" i="78"/>
  <c r="K320" i="78" s="1"/>
  <c r="I319" i="78"/>
  <c r="K319" i="78" s="1"/>
  <c r="I318" i="78"/>
  <c r="K318" i="78" s="1"/>
  <c r="I317" i="78"/>
  <c r="K317" i="78" s="1"/>
  <c r="I316" i="78"/>
  <c r="K316" i="78" s="1"/>
  <c r="I315" i="78"/>
  <c r="K315" i="78" s="1"/>
  <c r="I314" i="78"/>
  <c r="K314" i="78" s="1"/>
  <c r="I313" i="78"/>
  <c r="K313" i="78" s="1"/>
  <c r="I312" i="78"/>
  <c r="K312" i="78" s="1"/>
  <c r="I311" i="78"/>
  <c r="K311" i="78" s="1"/>
  <c r="I310" i="78"/>
  <c r="K310" i="78" s="1"/>
  <c r="I309" i="78"/>
  <c r="K309" i="78" s="1"/>
  <c r="I308" i="78"/>
  <c r="K308" i="78" s="1"/>
  <c r="I307" i="78"/>
  <c r="K307" i="78" s="1"/>
  <c r="I306" i="78"/>
  <c r="K306" i="78" s="1"/>
  <c r="I305" i="78"/>
  <c r="K305" i="78" s="1"/>
  <c r="I304" i="78"/>
  <c r="K304" i="78" s="1"/>
  <c r="I303" i="78"/>
  <c r="K303" i="78" s="1"/>
  <c r="I302" i="78"/>
  <c r="K302" i="78" s="1"/>
  <c r="I301" i="78"/>
  <c r="K301" i="78" s="1"/>
  <c r="I300" i="78"/>
  <c r="K300" i="78" s="1"/>
  <c r="I299" i="78"/>
  <c r="K299" i="78" s="1"/>
  <c r="I298" i="78"/>
  <c r="K298" i="78" s="1"/>
  <c r="I297" i="78"/>
  <c r="K297" i="78" s="1"/>
  <c r="I296" i="78"/>
  <c r="K296" i="78" s="1"/>
  <c r="I295" i="78"/>
  <c r="K295" i="78" s="1"/>
  <c r="I294" i="78"/>
  <c r="K294" i="78" s="1"/>
  <c r="I293" i="78"/>
  <c r="K293" i="78" s="1"/>
  <c r="I292" i="78"/>
  <c r="K292" i="78" s="1"/>
  <c r="I291" i="78"/>
  <c r="K291" i="78" s="1"/>
  <c r="I290" i="78"/>
  <c r="K290" i="78" s="1"/>
  <c r="I289" i="78"/>
  <c r="K289" i="78" s="1"/>
  <c r="I288" i="78"/>
  <c r="K288" i="78" s="1"/>
  <c r="I287" i="78"/>
  <c r="K287" i="78" s="1"/>
  <c r="I286" i="78"/>
  <c r="K286" i="78" s="1"/>
  <c r="I285" i="78"/>
  <c r="K285" i="78" s="1"/>
  <c r="I284" i="78"/>
  <c r="K284" i="78" s="1"/>
  <c r="I283" i="78"/>
  <c r="K283" i="78" s="1"/>
  <c r="I282" i="78"/>
  <c r="K282" i="78" s="1"/>
  <c r="I281" i="78"/>
  <c r="K281" i="78" s="1"/>
  <c r="I280" i="78"/>
  <c r="K280" i="78" s="1"/>
  <c r="I279" i="78"/>
  <c r="K279" i="78" s="1"/>
  <c r="I278" i="78"/>
  <c r="K278" i="78" s="1"/>
  <c r="I277" i="78"/>
  <c r="K277" i="78" s="1"/>
  <c r="I276" i="78"/>
  <c r="K276" i="78" s="1"/>
  <c r="I275" i="78"/>
  <c r="K275" i="78" s="1"/>
  <c r="I274" i="78"/>
  <c r="K274" i="78" s="1"/>
  <c r="I273" i="78"/>
  <c r="K273" i="78" s="1"/>
  <c r="I272" i="78"/>
  <c r="K272" i="78" s="1"/>
  <c r="I271" i="78"/>
  <c r="K271" i="78" s="1"/>
  <c r="I270" i="78"/>
  <c r="K270" i="78" s="1"/>
  <c r="I269" i="78"/>
  <c r="K269" i="78" s="1"/>
  <c r="I268" i="78"/>
  <c r="K268" i="78" s="1"/>
  <c r="I267" i="78"/>
  <c r="K267" i="78" s="1"/>
  <c r="I266" i="78"/>
  <c r="K266" i="78" s="1"/>
  <c r="I265" i="78"/>
  <c r="K265" i="78" s="1"/>
  <c r="I264" i="78"/>
  <c r="K264" i="78" s="1"/>
  <c r="I263" i="78"/>
  <c r="K263" i="78" s="1"/>
  <c r="I262" i="78"/>
  <c r="K262" i="78" s="1"/>
  <c r="I261" i="78"/>
  <c r="K261" i="78" s="1"/>
  <c r="I260" i="78"/>
  <c r="K260" i="78" s="1"/>
  <c r="I259" i="78"/>
  <c r="K259" i="78" s="1"/>
  <c r="I258" i="78"/>
  <c r="K258" i="78" s="1"/>
  <c r="I257" i="78"/>
  <c r="K257" i="78" s="1"/>
  <c r="I256" i="78"/>
  <c r="K256" i="78" s="1"/>
  <c r="I255" i="78"/>
  <c r="K255" i="78" s="1"/>
  <c r="I254" i="78"/>
  <c r="K254" i="78" s="1"/>
  <c r="K253" i="78"/>
  <c r="K252" i="78"/>
  <c r="K251" i="78"/>
  <c r="K250" i="78"/>
  <c r="K249" i="78"/>
  <c r="K248" i="78"/>
  <c r="K247" i="78"/>
  <c r="K246" i="78"/>
  <c r="K245" i="78"/>
  <c r="K244" i="78"/>
  <c r="K243" i="78"/>
  <c r="K242" i="78"/>
  <c r="K241" i="78"/>
  <c r="K240" i="78"/>
  <c r="K239" i="78"/>
  <c r="K238" i="78"/>
  <c r="K237" i="78"/>
  <c r="K236" i="78"/>
  <c r="K235" i="78"/>
  <c r="K234" i="78"/>
  <c r="K233" i="78"/>
  <c r="K232" i="78"/>
  <c r="K231" i="78"/>
  <c r="K230" i="78"/>
  <c r="K229" i="78"/>
  <c r="K228" i="78"/>
  <c r="K227" i="78"/>
  <c r="K226" i="78"/>
  <c r="K225" i="78"/>
  <c r="K224" i="78"/>
  <c r="K223" i="78"/>
  <c r="K222" i="78"/>
  <c r="K221" i="78"/>
  <c r="K220" i="78"/>
  <c r="K219" i="78"/>
  <c r="K218" i="78"/>
  <c r="K217" i="78"/>
  <c r="K216" i="78"/>
  <c r="K215" i="78"/>
  <c r="K214" i="78"/>
  <c r="K213" i="78"/>
  <c r="K212" i="78"/>
  <c r="K211" i="78"/>
  <c r="K210" i="78"/>
  <c r="K209" i="78"/>
  <c r="K208" i="78"/>
  <c r="K207" i="78"/>
  <c r="K206" i="78"/>
  <c r="K205" i="78"/>
  <c r="K204" i="78"/>
  <c r="K203" i="78"/>
  <c r="K202" i="78"/>
  <c r="K201" i="78"/>
  <c r="K200" i="78"/>
  <c r="K199" i="78"/>
  <c r="K198" i="78"/>
  <c r="K197" i="78"/>
  <c r="K196" i="78"/>
  <c r="K195" i="78"/>
  <c r="K194" i="78"/>
  <c r="K193" i="78"/>
  <c r="K192" i="78"/>
  <c r="K191" i="78"/>
  <c r="K190" i="78"/>
  <c r="K189" i="78"/>
  <c r="K188" i="78"/>
  <c r="K187" i="78"/>
  <c r="K186" i="78"/>
  <c r="K185" i="78"/>
  <c r="K184" i="78"/>
  <c r="K183" i="78"/>
  <c r="K182" i="78"/>
  <c r="K181" i="78"/>
  <c r="K180" i="78"/>
  <c r="K179" i="78"/>
  <c r="K178" i="78"/>
  <c r="K177" i="78"/>
  <c r="K176" i="78"/>
  <c r="K175" i="78"/>
  <c r="K174" i="78"/>
  <c r="K173" i="78"/>
  <c r="K172" i="78"/>
  <c r="K171" i="78"/>
  <c r="K170" i="78"/>
  <c r="K169" i="78"/>
  <c r="K168" i="78"/>
  <c r="K167" i="78"/>
  <c r="K166" i="78"/>
  <c r="K165" i="78"/>
  <c r="K164" i="78"/>
  <c r="K163" i="78"/>
  <c r="K162" i="78"/>
  <c r="K161" i="78"/>
  <c r="K160" i="78"/>
  <c r="K159" i="78"/>
  <c r="K158" i="78"/>
  <c r="K157" i="78"/>
  <c r="K156" i="78"/>
  <c r="K155" i="78"/>
  <c r="K154" i="78"/>
  <c r="K153" i="78"/>
  <c r="K152" i="78"/>
  <c r="K151" i="78"/>
  <c r="K150" i="78"/>
  <c r="K149" i="78"/>
  <c r="K148" i="78"/>
  <c r="K147" i="78"/>
  <c r="K146" i="78"/>
  <c r="K145" i="78"/>
  <c r="K144" i="78"/>
  <c r="K143" i="78"/>
  <c r="K142" i="78"/>
  <c r="K141" i="78"/>
  <c r="K140" i="78"/>
  <c r="K139" i="78"/>
  <c r="K138" i="78"/>
  <c r="K137" i="78"/>
  <c r="K136" i="78"/>
  <c r="K135" i="78"/>
  <c r="K134" i="78"/>
  <c r="K133" i="78"/>
  <c r="K6" i="78"/>
  <c r="K3" i="78"/>
  <c r="K4" i="78" l="1"/>
  <c r="N20" i="78" s="1"/>
  <c r="B19" i="14" s="1"/>
  <c r="M3" i="78"/>
  <c r="M4" i="78" l="1"/>
  <c r="M5" i="78" s="1"/>
  <c r="M6" i="78" s="1"/>
  <c r="M7" i="78" l="1"/>
  <c r="M8" i="78" s="1"/>
  <c r="M9" i="78" s="1"/>
  <c r="M10" i="78" l="1"/>
  <c r="M11" i="78" s="1"/>
  <c r="M12" i="78" s="1"/>
  <c r="M13" i="78" s="1"/>
  <c r="M14" i="78" s="1"/>
  <c r="M15" i="78" s="1"/>
  <c r="M16" i="78" s="1"/>
  <c r="M17" i="78" s="1"/>
  <c r="M18" i="78" s="1"/>
  <c r="M19" i="78" s="1"/>
  <c r="M20" i="78" s="1"/>
  <c r="M21" i="78" s="1"/>
  <c r="M22" i="78" s="1"/>
  <c r="M23" i="78" s="1"/>
  <c r="M24" i="78" s="1"/>
  <c r="M25" i="78" s="1"/>
  <c r="M26" i="78" s="1"/>
  <c r="M27" i="78" s="1"/>
  <c r="M28" i="78" s="1"/>
  <c r="M29" i="78" s="1"/>
  <c r="M30" i="78" s="1"/>
  <c r="M31" i="78" s="1"/>
  <c r="M32" i="78" s="1"/>
  <c r="M33" i="78" s="1"/>
  <c r="M34" i="78" s="1"/>
  <c r="M35" i="78" s="1"/>
  <c r="M36" i="78" s="1"/>
  <c r="M37" i="78" s="1"/>
  <c r="M38" i="78" s="1"/>
  <c r="M39" i="78" s="1"/>
  <c r="M40" i="78" s="1"/>
  <c r="M41" i="78" s="1"/>
  <c r="M42" i="78" s="1"/>
  <c r="M43" i="78" s="1"/>
  <c r="M44" i="78" s="1"/>
  <c r="M45" i="78" s="1"/>
  <c r="M46" i="78" s="1"/>
  <c r="M47" i="78" s="1"/>
  <c r="L13" i="72"/>
  <c r="L128" i="19"/>
  <c r="L127" i="19"/>
  <c r="M53" i="78" l="1"/>
  <c r="M54" i="78" s="1"/>
  <c r="M55" i="78" s="1"/>
  <c r="M56" i="78" s="1"/>
  <c r="M57" i="78" s="1"/>
  <c r="M58" i="78" s="1"/>
  <c r="M59" i="78" s="1"/>
  <c r="M60" i="78" s="1"/>
  <c r="M61" i="78" s="1"/>
  <c r="M62" i="78" s="1"/>
  <c r="M63" i="78" s="1"/>
  <c r="M64" i="78" s="1"/>
  <c r="M65" i="78" s="1"/>
  <c r="M66" i="78" s="1"/>
  <c r="M67" i="78" s="1"/>
  <c r="M68" i="78" s="1"/>
  <c r="M69" i="78" s="1"/>
  <c r="M70" i="78" s="1"/>
  <c r="M71" i="78" s="1"/>
  <c r="M72" i="78" s="1"/>
  <c r="M73" i="78" s="1"/>
  <c r="M74" i="78" s="1"/>
  <c r="M75" i="78" s="1"/>
  <c r="M76" i="78" s="1"/>
  <c r="M77" i="78" s="1"/>
  <c r="M78" i="78" s="1"/>
  <c r="M79" i="78" s="1"/>
  <c r="M80" i="78" s="1"/>
  <c r="M81" i="78" s="1"/>
  <c r="M82" i="78" s="1"/>
  <c r="M83" i="78" s="1"/>
  <c r="M84" i="78" s="1"/>
  <c r="M85" i="78" s="1"/>
  <c r="M86" i="78" s="1"/>
  <c r="M87" i="78" s="1"/>
  <c r="M88" i="78" s="1"/>
  <c r="M89" i="78" s="1"/>
  <c r="M90" i="78" s="1"/>
  <c r="M91" i="78" s="1"/>
  <c r="M92" i="78" s="1"/>
  <c r="M93" i="78" s="1"/>
  <c r="M94" i="78" s="1"/>
  <c r="M95" i="78" s="1"/>
  <c r="M96" i="78" s="1"/>
  <c r="M97" i="78" s="1"/>
  <c r="M98" i="78" s="1"/>
  <c r="M99" i="78" s="1"/>
  <c r="M100" i="78" s="1"/>
  <c r="M101" i="78" s="1"/>
  <c r="M102" i="78" s="1"/>
  <c r="M103" i="78" s="1"/>
  <c r="M104" i="78" s="1"/>
  <c r="M105" i="78" s="1"/>
  <c r="M106" i="78" s="1"/>
  <c r="M107" i="78" s="1"/>
  <c r="M108" i="78" s="1"/>
  <c r="M109" i="78" s="1"/>
  <c r="M110" i="78" s="1"/>
  <c r="M111" i="78" s="1"/>
  <c r="M112" i="78" s="1"/>
  <c r="M113" i="78" s="1"/>
  <c r="M114" i="78" s="1"/>
  <c r="M115" i="78" s="1"/>
  <c r="M116" i="78" s="1"/>
  <c r="M117" i="78" s="1"/>
  <c r="M118" i="78" s="1"/>
  <c r="M119" i="78" s="1"/>
  <c r="M120" i="78" s="1"/>
  <c r="M121" i="78" s="1"/>
  <c r="M122" i="78" s="1"/>
  <c r="M123" i="78" s="1"/>
  <c r="M124" i="78" s="1"/>
  <c r="M125" i="78" s="1"/>
  <c r="M126" i="78" s="1"/>
  <c r="M127" i="78" s="1"/>
  <c r="M128" i="78" s="1"/>
  <c r="M129" i="78" s="1"/>
  <c r="M130" i="78" s="1"/>
  <c r="M131" i="78" s="1"/>
  <c r="M132" i="78" s="1"/>
  <c r="M133" i="78" s="1"/>
  <c r="M134" i="78" s="1"/>
  <c r="M135" i="78" s="1"/>
  <c r="M136" i="78" s="1"/>
  <c r="M137" i="78" s="1"/>
  <c r="M138" i="78" s="1"/>
  <c r="M139" i="78" s="1"/>
  <c r="M140" i="78" s="1"/>
  <c r="M141" i="78" s="1"/>
  <c r="M142" i="78" s="1"/>
  <c r="M143" i="78" s="1"/>
  <c r="M144" i="78" s="1"/>
  <c r="M145" i="78" s="1"/>
  <c r="M146" i="78" s="1"/>
  <c r="M147" i="78" s="1"/>
  <c r="M148" i="78" s="1"/>
  <c r="M149" i="78" s="1"/>
  <c r="M150" i="78" s="1"/>
  <c r="M151" i="78" s="1"/>
  <c r="M152" i="78" s="1"/>
  <c r="M153" i="78" s="1"/>
  <c r="M154" i="78" s="1"/>
  <c r="M155" i="78" s="1"/>
  <c r="M156" i="78" s="1"/>
  <c r="M157" i="78" s="1"/>
  <c r="M158" i="78" s="1"/>
  <c r="M159" i="78" s="1"/>
  <c r="M160" i="78" s="1"/>
  <c r="M161" i="78" s="1"/>
  <c r="M162" i="78" s="1"/>
  <c r="M163" i="78" s="1"/>
  <c r="M164" i="78" s="1"/>
  <c r="M165" i="78" s="1"/>
  <c r="M166" i="78" s="1"/>
  <c r="M167" i="78" s="1"/>
  <c r="M168" i="78" s="1"/>
  <c r="M169" i="78" s="1"/>
  <c r="M170" i="78" s="1"/>
  <c r="M171" i="78" s="1"/>
  <c r="M172" i="78" s="1"/>
  <c r="M173" i="78" s="1"/>
  <c r="M174" i="78" s="1"/>
  <c r="M175" i="78" s="1"/>
  <c r="M176" i="78" s="1"/>
  <c r="M177" i="78" s="1"/>
  <c r="M178" i="78" s="1"/>
  <c r="M179" i="78" s="1"/>
  <c r="M180" i="78" s="1"/>
  <c r="M181" i="78" s="1"/>
  <c r="M182" i="78" s="1"/>
  <c r="M183" i="78" s="1"/>
  <c r="M184" i="78" s="1"/>
  <c r="M185" i="78" s="1"/>
  <c r="M186" i="78" s="1"/>
  <c r="M187" i="78" s="1"/>
  <c r="M188" i="78" s="1"/>
  <c r="M189" i="78" s="1"/>
  <c r="M190" i="78" s="1"/>
  <c r="M191" i="78" s="1"/>
  <c r="M192" i="78" s="1"/>
  <c r="M193" i="78" s="1"/>
  <c r="M194" i="78" s="1"/>
  <c r="M195" i="78" s="1"/>
  <c r="M196" i="78" s="1"/>
  <c r="M197" i="78" s="1"/>
  <c r="M198" i="78" s="1"/>
  <c r="M199" i="78" s="1"/>
  <c r="M200" i="78" s="1"/>
  <c r="M201" i="78" s="1"/>
  <c r="M202" i="78" s="1"/>
  <c r="M203" i="78" s="1"/>
  <c r="M204" i="78" s="1"/>
  <c r="M205" i="78" s="1"/>
  <c r="M206" i="78" s="1"/>
  <c r="M207" i="78" s="1"/>
  <c r="M208" i="78" s="1"/>
  <c r="M209" i="78" s="1"/>
  <c r="M210" i="78" s="1"/>
  <c r="M211" i="78" s="1"/>
  <c r="M212" i="78" s="1"/>
  <c r="M213" i="78" s="1"/>
  <c r="M214" i="78" s="1"/>
  <c r="M215" i="78" s="1"/>
  <c r="M216" i="78" s="1"/>
  <c r="M217" i="78" s="1"/>
  <c r="M218" i="78" s="1"/>
  <c r="M219" i="78" s="1"/>
  <c r="M220" i="78" s="1"/>
  <c r="M221" i="78" s="1"/>
  <c r="M222" i="78" s="1"/>
  <c r="M223" i="78" s="1"/>
  <c r="M224" i="78" s="1"/>
  <c r="M225" i="78" s="1"/>
  <c r="M226" i="78" s="1"/>
  <c r="M227" i="78" s="1"/>
  <c r="M228" i="78" s="1"/>
  <c r="M229" i="78" s="1"/>
  <c r="M230" i="78" s="1"/>
  <c r="M231" i="78" s="1"/>
  <c r="M232" i="78" s="1"/>
  <c r="M233" i="78" s="1"/>
  <c r="M234" i="78" s="1"/>
  <c r="M235" i="78" s="1"/>
  <c r="M236" i="78" s="1"/>
  <c r="M237" i="78" s="1"/>
  <c r="M238" i="78" s="1"/>
  <c r="M239" i="78" s="1"/>
  <c r="M240" i="78" s="1"/>
  <c r="M241" i="78" s="1"/>
  <c r="M242" i="78" s="1"/>
  <c r="M243" i="78" s="1"/>
  <c r="M244" i="78" s="1"/>
  <c r="M245" i="78" s="1"/>
  <c r="M246" i="78" s="1"/>
  <c r="M247" i="78" s="1"/>
  <c r="M248" i="78" s="1"/>
  <c r="M249" i="78" s="1"/>
  <c r="M250" i="78" s="1"/>
  <c r="M251" i="78" s="1"/>
  <c r="M252" i="78" s="1"/>
  <c r="M253" i="78" s="1"/>
  <c r="M254" i="78" s="1"/>
  <c r="M255" i="78" s="1"/>
  <c r="M256" i="78" s="1"/>
  <c r="M257" i="78" s="1"/>
  <c r="M258" i="78" s="1"/>
  <c r="M259" i="78" s="1"/>
  <c r="M260" i="78" s="1"/>
  <c r="M261" i="78" s="1"/>
  <c r="M262" i="78" s="1"/>
  <c r="M263" i="78" s="1"/>
  <c r="M264" i="78" s="1"/>
  <c r="M265" i="78" s="1"/>
  <c r="M266" i="78" s="1"/>
  <c r="M267" i="78" s="1"/>
  <c r="M268" i="78" s="1"/>
  <c r="M269" i="78" s="1"/>
  <c r="M270" i="78" s="1"/>
  <c r="M271" i="78" s="1"/>
  <c r="M272" i="78" s="1"/>
  <c r="M273" i="78" s="1"/>
  <c r="M274" i="78" s="1"/>
  <c r="M275" i="78" s="1"/>
  <c r="M276" i="78" s="1"/>
  <c r="M277" i="78" s="1"/>
  <c r="M278" i="78" s="1"/>
  <c r="M279" i="78" s="1"/>
  <c r="M280" i="78" s="1"/>
  <c r="M281" i="78" s="1"/>
  <c r="M282" i="78" s="1"/>
  <c r="M283" i="78" s="1"/>
  <c r="M284" i="78" s="1"/>
  <c r="M285" i="78" s="1"/>
  <c r="M286" i="78" s="1"/>
  <c r="M287" i="78" s="1"/>
  <c r="M288" i="78" s="1"/>
  <c r="M289" i="78" s="1"/>
  <c r="M290" i="78" s="1"/>
  <c r="M291" i="78" s="1"/>
  <c r="M292" i="78" s="1"/>
  <c r="M293" i="78" s="1"/>
  <c r="M294" i="78" s="1"/>
  <c r="M295" i="78" s="1"/>
  <c r="M296" i="78" s="1"/>
  <c r="M297" i="78" s="1"/>
  <c r="M298" i="78" s="1"/>
  <c r="M299" i="78" s="1"/>
  <c r="M300" i="78" s="1"/>
  <c r="M301" i="78" s="1"/>
  <c r="M302" i="78" s="1"/>
  <c r="M303" i="78" s="1"/>
  <c r="M304" i="78" s="1"/>
  <c r="M305" i="78" s="1"/>
  <c r="M306" i="78" s="1"/>
  <c r="M307" i="78" s="1"/>
  <c r="M308" i="78" s="1"/>
  <c r="M309" i="78" s="1"/>
  <c r="M310" i="78" s="1"/>
  <c r="M311" i="78" s="1"/>
  <c r="M312" i="78" s="1"/>
  <c r="M313" i="78" s="1"/>
  <c r="M314" i="78" s="1"/>
  <c r="M315" i="78" s="1"/>
  <c r="M316" i="78" s="1"/>
  <c r="M317" i="78" s="1"/>
  <c r="M318" i="78" s="1"/>
  <c r="M319" i="78" s="1"/>
  <c r="M320" i="78" s="1"/>
  <c r="M321" i="78" s="1"/>
  <c r="M322" i="78" s="1"/>
  <c r="M323" i="78" s="1"/>
  <c r="M324" i="78" s="1"/>
  <c r="M325" i="78" s="1"/>
  <c r="M326" i="78" s="1"/>
  <c r="M327" i="78" s="1"/>
  <c r="M328" i="78" s="1"/>
  <c r="M329" i="78" s="1"/>
  <c r="M330" i="78" s="1"/>
  <c r="M331" i="78" s="1"/>
  <c r="M332" i="78" s="1"/>
  <c r="M333" i="78" s="1"/>
  <c r="M334" i="78" s="1"/>
  <c r="M335" i="78" s="1"/>
  <c r="M336" i="78" s="1"/>
  <c r="M337" i="78" s="1"/>
  <c r="M338" i="78" s="1"/>
  <c r="M339" i="78" s="1"/>
  <c r="M340" i="78" s="1"/>
  <c r="M341" i="78" s="1"/>
  <c r="M342" i="78" s="1"/>
  <c r="M343" i="78" s="1"/>
  <c r="M344" i="78" s="1"/>
  <c r="M345" i="78" s="1"/>
  <c r="M346" i="78" s="1"/>
  <c r="M347" i="78" s="1"/>
  <c r="M348" i="78" s="1"/>
  <c r="M349" i="78" s="1"/>
  <c r="M350" i="78" s="1"/>
  <c r="M351" i="78" s="1"/>
  <c r="M352" i="78" s="1"/>
  <c r="M353" i="78" s="1"/>
  <c r="M354" i="78" s="1"/>
  <c r="P2106" i="33" l="1"/>
  <c r="P2107" i="33"/>
  <c r="P2108" i="33"/>
  <c r="P2109" i="33"/>
  <c r="P2110" i="33"/>
  <c r="P2111" i="33"/>
  <c r="P2112" i="33"/>
  <c r="P2113" i="33"/>
  <c r="P2114" i="33"/>
  <c r="P2115" i="33"/>
  <c r="P2116" i="33"/>
  <c r="P2117" i="33"/>
  <c r="P2118" i="33"/>
  <c r="P2119" i="33"/>
  <c r="P2120" i="33"/>
  <c r="P2121" i="33"/>
  <c r="P2122" i="33"/>
  <c r="P2123" i="33"/>
  <c r="P2124" i="33"/>
  <c r="P2125" i="33"/>
  <c r="P2126" i="33"/>
  <c r="P2127" i="33"/>
  <c r="P2128" i="33"/>
  <c r="P2129" i="33"/>
  <c r="P2130" i="33"/>
  <c r="P2131" i="33"/>
  <c r="P2132" i="33"/>
  <c r="P2133" i="33"/>
  <c r="P2134" i="33"/>
  <c r="P2135" i="33"/>
  <c r="P2136" i="33"/>
  <c r="P2137" i="33"/>
  <c r="P2138" i="33"/>
  <c r="P2139" i="33"/>
  <c r="P2140" i="33"/>
  <c r="P2141" i="33"/>
  <c r="P2142" i="33"/>
  <c r="P2143" i="33"/>
  <c r="P2144" i="33"/>
  <c r="P2145" i="33"/>
  <c r="P2146" i="33"/>
  <c r="P2147" i="33"/>
  <c r="P2148" i="33"/>
  <c r="P2149" i="33"/>
  <c r="P2150" i="33"/>
  <c r="P2151" i="33"/>
  <c r="P2152" i="33"/>
  <c r="P2153" i="33"/>
  <c r="P2154" i="33"/>
  <c r="P2155" i="33"/>
  <c r="P2156" i="33"/>
  <c r="P2157" i="33"/>
  <c r="P2158" i="33"/>
  <c r="P2159" i="33"/>
  <c r="P2160" i="33"/>
  <c r="P2161" i="33"/>
  <c r="P2162" i="33"/>
  <c r="P2163" i="33"/>
  <c r="P2164" i="33"/>
  <c r="P2165" i="33"/>
  <c r="P2166" i="33"/>
  <c r="P2167" i="33"/>
  <c r="P2168" i="33"/>
  <c r="P2169" i="33"/>
  <c r="P2170" i="33"/>
  <c r="P2171" i="33"/>
  <c r="P2172" i="33"/>
  <c r="P2173" i="33"/>
  <c r="P2174" i="33"/>
  <c r="P2175" i="33"/>
  <c r="P2176" i="33"/>
  <c r="P2177" i="33"/>
  <c r="P2178" i="33"/>
  <c r="P2179" i="33"/>
  <c r="P2180" i="33"/>
  <c r="P2181" i="33"/>
  <c r="P2182" i="33"/>
  <c r="P2183" i="33"/>
  <c r="P2184" i="33"/>
  <c r="P2185" i="33"/>
  <c r="P2186" i="33"/>
  <c r="P2187" i="33"/>
  <c r="P2188" i="33"/>
  <c r="P2189" i="33"/>
  <c r="P2190" i="33"/>
  <c r="P2191" i="33"/>
  <c r="P2192" i="33"/>
  <c r="P2193" i="33"/>
  <c r="P2194" i="33"/>
  <c r="P2195" i="33"/>
  <c r="P2196" i="33"/>
  <c r="P2197" i="33"/>
  <c r="P2198" i="33"/>
  <c r="P2199" i="33"/>
  <c r="P2200" i="33"/>
  <c r="P2201" i="33"/>
  <c r="P2202" i="33"/>
  <c r="P2203" i="33"/>
  <c r="P2204" i="33"/>
  <c r="P2205" i="33"/>
  <c r="P2206" i="33"/>
  <c r="P2207" i="33"/>
  <c r="P2208" i="33"/>
  <c r="P2209" i="33"/>
  <c r="P2210" i="33"/>
  <c r="P2211" i="33"/>
  <c r="P2212" i="33"/>
  <c r="P2213" i="33"/>
  <c r="P2214" i="33"/>
  <c r="P2215" i="33"/>
  <c r="P2216" i="33"/>
  <c r="P2217" i="33"/>
  <c r="P2218" i="33"/>
  <c r="P2219" i="33"/>
  <c r="P2220" i="33"/>
  <c r="P2221" i="33"/>
  <c r="P2222" i="33"/>
  <c r="P2223" i="33"/>
  <c r="P2224" i="33"/>
  <c r="P2225" i="33"/>
  <c r="P2226" i="33"/>
  <c r="P2227" i="33"/>
  <c r="P2228" i="33"/>
  <c r="P2229" i="33"/>
  <c r="P2230" i="33"/>
  <c r="P2231" i="33"/>
  <c r="P2232" i="33"/>
  <c r="P2233" i="33"/>
  <c r="P2234" i="33"/>
  <c r="P2235" i="33"/>
  <c r="P2236" i="33"/>
  <c r="P2237" i="33"/>
  <c r="P2238" i="33"/>
  <c r="P2239" i="33"/>
  <c r="P2240" i="33"/>
  <c r="P2241" i="33"/>
  <c r="P2242" i="33"/>
  <c r="P2243" i="33"/>
  <c r="P2244" i="33"/>
  <c r="P2245" i="33"/>
  <c r="P2246" i="33"/>
  <c r="P2247" i="33"/>
  <c r="P2248" i="33"/>
  <c r="P2250" i="33"/>
  <c r="P2251" i="33"/>
  <c r="P2252" i="33"/>
  <c r="P2253" i="33"/>
  <c r="P2254" i="33"/>
  <c r="P2255" i="33"/>
  <c r="P2256" i="33"/>
  <c r="P2257" i="33"/>
  <c r="P2258" i="33"/>
  <c r="P2259" i="33"/>
  <c r="P2260" i="33"/>
  <c r="P2261" i="33"/>
  <c r="P2262" i="33"/>
  <c r="P2263" i="33"/>
  <c r="P2264" i="33"/>
  <c r="P2265" i="33"/>
  <c r="P2266" i="33"/>
  <c r="P2267" i="33"/>
  <c r="P2268" i="33"/>
  <c r="P2269" i="33"/>
  <c r="P2270" i="33"/>
  <c r="P2271" i="33"/>
  <c r="P2272" i="33"/>
  <c r="P2273" i="33"/>
  <c r="P2274" i="33"/>
  <c r="P2275" i="33"/>
  <c r="P2276" i="33"/>
  <c r="P2277" i="33"/>
  <c r="P2278" i="33"/>
  <c r="P2279" i="33"/>
  <c r="P2280" i="33"/>
  <c r="P2281" i="33"/>
  <c r="P2282" i="33"/>
  <c r="P2283" i="33"/>
  <c r="P2284" i="33"/>
  <c r="P2285" i="33"/>
  <c r="P2286" i="33"/>
  <c r="P2287" i="33"/>
  <c r="P2288" i="33"/>
  <c r="P2289" i="33"/>
  <c r="P2290" i="33"/>
  <c r="P2291" i="33"/>
  <c r="P2292" i="33"/>
  <c r="P2293" i="33"/>
  <c r="P2294" i="33"/>
  <c r="P2295" i="33"/>
  <c r="P2296" i="33"/>
  <c r="P2297" i="33"/>
  <c r="P2298" i="33"/>
  <c r="P2299" i="33"/>
  <c r="P2300" i="33"/>
  <c r="P2301" i="33"/>
  <c r="P2302" i="33"/>
  <c r="P2303" i="33"/>
  <c r="P2304" i="33"/>
  <c r="P2305" i="33"/>
  <c r="P2306" i="33"/>
  <c r="P2307" i="33"/>
  <c r="P2308" i="33"/>
  <c r="P2309" i="33"/>
  <c r="P2310" i="33"/>
  <c r="P2311" i="33"/>
  <c r="P2312" i="33"/>
  <c r="P2313" i="33"/>
  <c r="P2314" i="33"/>
  <c r="P2315" i="33"/>
  <c r="P2316" i="33"/>
  <c r="P2317" i="33"/>
  <c r="P2318" i="33"/>
  <c r="P2319" i="33"/>
  <c r="P2320" i="33"/>
  <c r="P2321" i="33"/>
  <c r="P2322" i="33"/>
  <c r="P2323" i="33"/>
  <c r="P2324" i="33"/>
  <c r="P2325" i="33"/>
  <c r="P2326" i="33"/>
  <c r="P2327" i="33"/>
  <c r="P2328" i="33"/>
  <c r="P2329" i="33"/>
  <c r="P2330" i="33"/>
  <c r="P2331" i="33"/>
  <c r="P2332" i="33"/>
  <c r="P2333" i="33"/>
  <c r="P2334" i="33"/>
  <c r="P2335" i="33"/>
  <c r="P2336" i="33"/>
  <c r="P2337" i="33"/>
  <c r="P2338" i="33"/>
  <c r="P2339" i="33"/>
  <c r="P2340" i="33"/>
  <c r="P2341" i="33"/>
  <c r="P2342" i="33"/>
  <c r="P2343" i="33"/>
  <c r="P2344" i="33"/>
  <c r="P2345" i="33"/>
  <c r="P2346" i="33"/>
  <c r="P2347" i="33"/>
  <c r="P2348" i="33"/>
  <c r="P2349" i="33"/>
  <c r="P2350" i="33"/>
  <c r="P2351" i="33"/>
  <c r="P2352" i="33"/>
  <c r="P2353" i="33"/>
  <c r="P2354" i="33"/>
  <c r="P2355" i="33"/>
  <c r="P2356" i="33"/>
  <c r="P2357" i="33"/>
  <c r="P2358" i="33"/>
  <c r="P2359" i="33"/>
  <c r="P2360" i="33"/>
  <c r="P2361" i="33"/>
  <c r="P2362" i="33"/>
  <c r="P2363" i="33"/>
  <c r="P2364" i="33"/>
  <c r="P2365" i="33"/>
  <c r="P2366" i="33"/>
  <c r="P2367" i="33"/>
  <c r="P2368" i="33"/>
  <c r="P2369" i="33"/>
  <c r="P2370" i="33"/>
  <c r="P2371" i="33"/>
  <c r="P2372" i="33"/>
  <c r="P2373" i="33"/>
  <c r="P2374" i="33"/>
  <c r="P2375" i="33"/>
  <c r="P2376" i="33"/>
  <c r="P2377" i="33"/>
  <c r="P2378" i="33"/>
  <c r="P2379" i="33"/>
  <c r="P2380" i="33"/>
  <c r="P2381" i="33"/>
  <c r="P2382" i="33"/>
  <c r="P2383" i="33"/>
  <c r="P2384" i="33"/>
  <c r="P2385" i="33"/>
  <c r="P2386" i="33"/>
  <c r="P2387" i="33"/>
  <c r="P2388" i="33"/>
  <c r="P2389" i="33"/>
  <c r="P2390" i="33"/>
  <c r="P2391" i="33"/>
  <c r="P2392" i="33"/>
  <c r="P2393" i="33"/>
  <c r="P2394" i="33"/>
  <c r="P2395" i="33"/>
  <c r="P2396" i="33"/>
  <c r="P2397" i="33"/>
  <c r="P2398" i="33"/>
  <c r="P2399" i="33"/>
  <c r="P2400" i="33"/>
  <c r="P2401" i="33"/>
  <c r="P2402" i="33"/>
  <c r="P2403" i="33"/>
  <c r="P2404" i="33"/>
  <c r="P2405" i="33"/>
  <c r="P2406" i="33"/>
  <c r="P2407" i="33"/>
  <c r="P2408" i="33"/>
  <c r="P2409" i="33"/>
  <c r="P2410" i="33"/>
  <c r="P2411" i="33"/>
  <c r="P2412" i="33"/>
  <c r="P2413" i="33"/>
  <c r="P2414" i="33"/>
  <c r="P2415" i="33"/>
  <c r="P2416" i="33"/>
  <c r="P2417" i="33"/>
  <c r="P2418" i="33"/>
  <c r="P2419" i="33"/>
  <c r="P2420" i="33"/>
  <c r="P2421" i="33"/>
  <c r="P2422" i="33"/>
  <c r="P2423" i="33"/>
  <c r="P2424" i="33"/>
  <c r="P2425" i="33"/>
  <c r="P2426" i="33"/>
  <c r="P2427" i="33"/>
  <c r="P2428" i="33"/>
  <c r="P2429" i="33"/>
  <c r="P2430" i="33"/>
  <c r="P2431" i="33"/>
  <c r="P2432" i="33"/>
  <c r="P2433" i="33"/>
  <c r="P2434" i="33"/>
  <c r="P2435" i="33"/>
  <c r="P2436" i="33"/>
  <c r="P2437" i="33"/>
  <c r="P2438" i="33"/>
  <c r="P2439" i="33"/>
  <c r="P2440" i="33"/>
  <c r="P2441" i="33"/>
  <c r="P2442" i="33"/>
  <c r="P2443" i="33"/>
  <c r="P2444" i="33"/>
  <c r="P2445" i="33"/>
  <c r="P2446" i="33"/>
  <c r="P2447" i="33"/>
  <c r="P2448" i="33"/>
  <c r="P2449" i="33"/>
  <c r="P2450" i="33"/>
  <c r="P2451" i="33"/>
  <c r="P2452" i="33"/>
  <c r="P2453" i="33"/>
  <c r="P2454" i="33"/>
  <c r="P2455" i="33"/>
  <c r="P2456" i="33"/>
  <c r="P2457" i="33"/>
  <c r="P2458" i="33"/>
  <c r="P2459" i="33"/>
  <c r="P2460" i="33"/>
  <c r="P2461" i="33"/>
  <c r="P2462" i="33"/>
  <c r="P2463" i="33"/>
  <c r="P2464" i="33"/>
  <c r="P2465" i="33"/>
  <c r="P2466" i="33"/>
  <c r="P2467" i="33"/>
  <c r="P2468" i="33"/>
  <c r="P2469" i="33"/>
  <c r="P2470" i="33"/>
  <c r="P2471" i="33"/>
  <c r="P2472" i="33"/>
  <c r="P2473" i="33"/>
  <c r="P2474" i="33"/>
  <c r="P2475" i="33"/>
  <c r="P2476" i="33"/>
  <c r="P2477" i="33"/>
  <c r="P2478" i="33"/>
  <c r="P2479" i="33"/>
  <c r="P2480" i="33"/>
  <c r="P2481" i="33"/>
  <c r="P2482" i="33"/>
  <c r="P2483" i="33"/>
  <c r="P2484" i="33"/>
  <c r="P2485" i="33"/>
  <c r="P2486" i="33"/>
  <c r="P2487" i="33"/>
  <c r="P2488" i="33"/>
  <c r="P2489" i="33"/>
  <c r="P2490" i="33"/>
  <c r="P2491" i="33"/>
  <c r="P2492" i="33"/>
  <c r="P2493" i="33"/>
  <c r="P2494" i="33"/>
  <c r="P2495" i="33"/>
  <c r="P2496" i="33"/>
  <c r="P2497" i="33"/>
  <c r="P2498" i="33"/>
  <c r="P2499" i="33"/>
  <c r="P2500" i="33"/>
  <c r="P2501" i="33"/>
  <c r="P2502" i="33"/>
  <c r="P2503" i="33"/>
  <c r="P2504" i="33"/>
  <c r="P2505" i="33"/>
  <c r="P2506" i="33"/>
  <c r="P2507" i="33"/>
  <c r="P2508" i="33"/>
  <c r="P2509" i="33"/>
  <c r="P2510" i="33"/>
  <c r="P2511" i="33"/>
  <c r="P2512" i="33"/>
  <c r="P2513" i="33"/>
  <c r="P2514" i="33"/>
  <c r="P2515" i="33"/>
  <c r="P2516" i="33"/>
  <c r="P2517" i="33"/>
  <c r="P2518" i="33"/>
  <c r="P2519" i="33"/>
  <c r="P2520" i="33"/>
  <c r="P2521" i="33"/>
  <c r="P2522" i="33"/>
  <c r="P2523" i="33"/>
  <c r="P2524" i="33"/>
  <c r="P2525" i="33"/>
  <c r="P2526" i="33"/>
  <c r="P2527" i="33"/>
  <c r="P2528" i="33"/>
  <c r="P2529" i="33"/>
  <c r="P2530" i="33"/>
  <c r="P2531" i="33"/>
  <c r="P2532" i="33"/>
  <c r="P2533" i="33"/>
  <c r="P2534" i="33"/>
  <c r="P2535" i="33"/>
  <c r="P2077" i="33" l="1"/>
  <c r="P2078" i="33"/>
  <c r="P2079" i="33"/>
  <c r="P2080" i="33"/>
  <c r="P2081" i="33"/>
  <c r="P2082" i="33"/>
  <c r="P2083" i="33"/>
  <c r="P2084" i="33"/>
  <c r="P2085" i="33"/>
  <c r="P2086" i="33"/>
  <c r="P2087" i="33"/>
  <c r="P2088" i="33"/>
  <c r="P2089" i="33"/>
  <c r="P2090" i="33"/>
  <c r="P2091" i="33"/>
  <c r="P2092" i="33"/>
  <c r="P2093" i="33"/>
  <c r="P2094" i="33"/>
  <c r="P2095" i="33"/>
  <c r="P2096" i="33"/>
  <c r="P2097" i="33"/>
  <c r="P2098" i="33"/>
  <c r="P2099" i="33"/>
  <c r="P2100" i="33"/>
  <c r="P2101" i="33"/>
  <c r="P2102" i="33"/>
  <c r="P2103" i="33"/>
  <c r="P2104" i="33"/>
  <c r="P2105" i="33"/>
  <c r="P2076" i="33"/>
  <c r="P2075" i="33"/>
  <c r="P2074" i="33"/>
  <c r="P2073" i="33"/>
  <c r="P2072" i="33"/>
  <c r="P2071" i="33"/>
  <c r="P2070" i="33"/>
  <c r="P2069" i="33"/>
  <c r="P2068" i="33"/>
  <c r="P2067" i="33"/>
  <c r="P2066" i="33"/>
  <c r="P2065" i="33"/>
  <c r="P2064" i="33"/>
  <c r="P2063" i="33"/>
  <c r="P2062" i="33" l="1"/>
  <c r="P2061" i="33"/>
  <c r="P2060" i="33"/>
  <c r="P2059" i="33"/>
  <c r="P2058" i="33"/>
  <c r="P2057" i="33"/>
  <c r="P2056" i="33"/>
  <c r="P2055" i="33"/>
  <c r="P2054" i="33"/>
  <c r="P2053" i="33"/>
  <c r="P2052" i="33"/>
  <c r="P2051" i="33"/>
  <c r="P2050" i="33"/>
  <c r="K33" i="58" l="1"/>
  <c r="L126" i="19" l="1"/>
  <c r="P1921" i="33" l="1"/>
  <c r="P1922" i="33"/>
  <c r="P1923" i="33"/>
  <c r="K35" i="5"/>
  <c r="L124" i="19" l="1"/>
  <c r="L123" i="19"/>
  <c r="L122" i="19"/>
  <c r="L121" i="19" l="1"/>
  <c r="P1960" i="33" l="1"/>
  <c r="P1961" i="33"/>
  <c r="P1962" i="33"/>
  <c r="P1963" i="33"/>
  <c r="P1964" i="33"/>
  <c r="P1965" i="33"/>
  <c r="P1966" i="33"/>
  <c r="P1967" i="33"/>
  <c r="P1968" i="33"/>
  <c r="P1969" i="33"/>
  <c r="P1970" i="33"/>
  <c r="P1971" i="33"/>
  <c r="P1972" i="33"/>
  <c r="P1973" i="33"/>
  <c r="P1974" i="33"/>
  <c r="P1975" i="33"/>
  <c r="P1976" i="33"/>
  <c r="P1977" i="33"/>
  <c r="P1978" i="33"/>
  <c r="P1979" i="33"/>
  <c r="P1980" i="33"/>
  <c r="P1981" i="33"/>
  <c r="P1982" i="33"/>
  <c r="P1983" i="33"/>
  <c r="P1984" i="33"/>
  <c r="P1985" i="33"/>
  <c r="P1986" i="33"/>
  <c r="P1987" i="33"/>
  <c r="P1988" i="33"/>
  <c r="P1989" i="33"/>
  <c r="P1990" i="33"/>
  <c r="P1991" i="33"/>
  <c r="P1992" i="33"/>
  <c r="P1993" i="33"/>
  <c r="P1994" i="33"/>
  <c r="P1995" i="33"/>
  <c r="P1996" i="33"/>
  <c r="P1997" i="33"/>
  <c r="P1998" i="33"/>
  <c r="P1999" i="33"/>
  <c r="P2000" i="33"/>
  <c r="P2001" i="33"/>
  <c r="P2002" i="33"/>
  <c r="P2003" i="33"/>
  <c r="P2004" i="33"/>
  <c r="P2005" i="33"/>
  <c r="P2006" i="33"/>
  <c r="P2007" i="33"/>
  <c r="P2008" i="33"/>
  <c r="P2009" i="33"/>
  <c r="P2010" i="33"/>
  <c r="P2011" i="33"/>
  <c r="P2012" i="33"/>
  <c r="P2013" i="33"/>
  <c r="P2014" i="33"/>
  <c r="P2015" i="33"/>
  <c r="P2016" i="33"/>
  <c r="P2017" i="33"/>
  <c r="P2018" i="33"/>
  <c r="P2019" i="33"/>
  <c r="P2020" i="33"/>
  <c r="P2021" i="33"/>
  <c r="P2022" i="33"/>
  <c r="P2023" i="33"/>
  <c r="P2024" i="33"/>
  <c r="P2025" i="33"/>
  <c r="P2026" i="33"/>
  <c r="P2027" i="33"/>
  <c r="P2028" i="33"/>
  <c r="P2029" i="33"/>
  <c r="P2030" i="33"/>
  <c r="P2031" i="33"/>
  <c r="P2032" i="33"/>
  <c r="P2033" i="33"/>
  <c r="P2034" i="33"/>
  <c r="P2035" i="33"/>
  <c r="P2036" i="33"/>
  <c r="P2037" i="33"/>
  <c r="P2038" i="33"/>
  <c r="P2039" i="33"/>
  <c r="P2040" i="33"/>
  <c r="P2041" i="33"/>
  <c r="P2042" i="33"/>
  <c r="P2043" i="33"/>
  <c r="P2044" i="33"/>
  <c r="P2045" i="33"/>
  <c r="P2046" i="33"/>
  <c r="P2047" i="33"/>
  <c r="P2048" i="33"/>
  <c r="P2049" i="33"/>
  <c r="L120" i="19" l="1"/>
  <c r="L119" i="19"/>
  <c r="L12" i="72" l="1"/>
  <c r="L14" i="72"/>
  <c r="L11" i="72"/>
  <c r="L118" i="19" l="1"/>
  <c r="L113" i="19" l="1"/>
  <c r="K33" i="5" l="1"/>
  <c r="L22" i="60" l="1"/>
  <c r="P1849" i="33" l="1"/>
  <c r="P1850" i="33"/>
  <c r="P1851" i="33"/>
  <c r="P1852" i="33"/>
  <c r="P1853" i="33"/>
  <c r="P1854" i="33"/>
  <c r="L108" i="19"/>
  <c r="L107" i="19"/>
  <c r="L106" i="19"/>
  <c r="K31" i="5" l="1"/>
  <c r="L104" i="19" l="1"/>
  <c r="P1617" i="33" l="1"/>
  <c r="P1618" i="33"/>
  <c r="P1619" i="33"/>
  <c r="P1620" i="33"/>
  <c r="P1621" i="33"/>
  <c r="P1622" i="33"/>
  <c r="P1623" i="33"/>
  <c r="P1624" i="33"/>
  <c r="P1625" i="33"/>
  <c r="P1626" i="33"/>
  <c r="P1627" i="33"/>
  <c r="P1628" i="33"/>
  <c r="P1629" i="33"/>
  <c r="P1630" i="33"/>
  <c r="P1631" i="33"/>
  <c r="P1632" i="33"/>
  <c r="P1633" i="33"/>
  <c r="P1634" i="33"/>
  <c r="P1635" i="33"/>
  <c r="P1636" i="33"/>
  <c r="P1637" i="33"/>
  <c r="P1638" i="33"/>
  <c r="P1639" i="33"/>
  <c r="P1640" i="33"/>
  <c r="P1641" i="33"/>
  <c r="P1642" i="33"/>
  <c r="P1643" i="33"/>
  <c r="P1644" i="33"/>
  <c r="P1645" i="33"/>
  <c r="P1646" i="33"/>
  <c r="P1647" i="33"/>
  <c r="P1648" i="33"/>
  <c r="P1649" i="33"/>
  <c r="P1650" i="33"/>
  <c r="P1651" i="33"/>
  <c r="P1652" i="33"/>
  <c r="P1653" i="33"/>
  <c r="P1654" i="33"/>
  <c r="P1655" i="33"/>
  <c r="P1656" i="33"/>
  <c r="P1657" i="33"/>
  <c r="P1658" i="33"/>
  <c r="P1659" i="33"/>
  <c r="P1660" i="33"/>
  <c r="P1661" i="33"/>
  <c r="P1662" i="33"/>
  <c r="P1663" i="33"/>
  <c r="P1664" i="33"/>
  <c r="P1665" i="33"/>
  <c r="P1666" i="33"/>
  <c r="P1667" i="33"/>
  <c r="P1668" i="33"/>
  <c r="P1669" i="33"/>
  <c r="P1670" i="33"/>
  <c r="P1671" i="33"/>
  <c r="P1672" i="33"/>
  <c r="P1673" i="33"/>
  <c r="P1674" i="33"/>
  <c r="P1675" i="33"/>
  <c r="P1676" i="33"/>
  <c r="P1677" i="33"/>
  <c r="P1678" i="33"/>
  <c r="P1679" i="33"/>
  <c r="P1680" i="33"/>
  <c r="P1681" i="33"/>
  <c r="P1682" i="33"/>
  <c r="P1683" i="33"/>
  <c r="P1684" i="33"/>
  <c r="P1685" i="33"/>
  <c r="P1686" i="33"/>
  <c r="P1687" i="33"/>
  <c r="P1688" i="33"/>
  <c r="P1689" i="33"/>
  <c r="P1690" i="33"/>
  <c r="P1691" i="33"/>
  <c r="P1692" i="33"/>
  <c r="P1693" i="33"/>
  <c r="P1694" i="33"/>
  <c r="P1696" i="33"/>
  <c r="P1697" i="33"/>
  <c r="P1698" i="33"/>
  <c r="P1699" i="33"/>
  <c r="P1700" i="33"/>
  <c r="P1701" i="33"/>
  <c r="P1702" i="33"/>
  <c r="P1703" i="33"/>
  <c r="P1704" i="33"/>
  <c r="P1705" i="33"/>
  <c r="P1706" i="33"/>
  <c r="P1707" i="33"/>
  <c r="P1708" i="33"/>
  <c r="P1709" i="33"/>
  <c r="P1710" i="33"/>
  <c r="P1711" i="33"/>
  <c r="P1712" i="33"/>
  <c r="P1713" i="33"/>
  <c r="P1714" i="33"/>
  <c r="P1715" i="33"/>
  <c r="P1716" i="33"/>
  <c r="P1717" i="33"/>
  <c r="P1718" i="33"/>
  <c r="P1719" i="33"/>
  <c r="P1720" i="33"/>
  <c r="P1721" i="33"/>
  <c r="P1722" i="33"/>
  <c r="P1723" i="33"/>
  <c r="P1724" i="33"/>
  <c r="P1725" i="33"/>
  <c r="P1726" i="33"/>
  <c r="P1727" i="33"/>
  <c r="P1728" i="33"/>
  <c r="P1729" i="33"/>
  <c r="P1730" i="33"/>
  <c r="P1731" i="33"/>
  <c r="P1732" i="33"/>
  <c r="P1733" i="33"/>
  <c r="P1734" i="33"/>
  <c r="P1735" i="33"/>
  <c r="P1736" i="33"/>
  <c r="P1737" i="33"/>
  <c r="P1738" i="33"/>
  <c r="P1739" i="33"/>
  <c r="P1740" i="33"/>
  <c r="P1741" i="33"/>
  <c r="P1742" i="33"/>
  <c r="P1743" i="33"/>
  <c r="P1744" i="33"/>
  <c r="P1745" i="33"/>
  <c r="P1746" i="33"/>
  <c r="P1747" i="33"/>
  <c r="P1748" i="33"/>
  <c r="P1749" i="33"/>
  <c r="P1750" i="33"/>
  <c r="P1751" i="33"/>
  <c r="P1752" i="33"/>
  <c r="P1753" i="33"/>
  <c r="P1754" i="33"/>
  <c r="P1755" i="33"/>
  <c r="P1756" i="33"/>
  <c r="P1757" i="33"/>
  <c r="P1758" i="33"/>
  <c r="P1759" i="33"/>
  <c r="P1760" i="33"/>
  <c r="P1761" i="33"/>
  <c r="P1762" i="33"/>
  <c r="P1763" i="33"/>
  <c r="P1764" i="33"/>
  <c r="P1765" i="33"/>
  <c r="P1766" i="33"/>
  <c r="P1767" i="33"/>
  <c r="P1768" i="33"/>
  <c r="P1769" i="33"/>
  <c r="P1770" i="33"/>
  <c r="P1771" i="33"/>
  <c r="P1772" i="33"/>
  <c r="P1773" i="33"/>
  <c r="P1774" i="33"/>
  <c r="P1775" i="33"/>
  <c r="P1776" i="33"/>
  <c r="P1777" i="33"/>
  <c r="P1778" i="33"/>
  <c r="P1779" i="33"/>
  <c r="P1780" i="33"/>
  <c r="P1781" i="33"/>
  <c r="P1782" i="33"/>
  <c r="P1783" i="33"/>
  <c r="P1784" i="33"/>
  <c r="P1785" i="33"/>
  <c r="P1786" i="33"/>
  <c r="P1787" i="33"/>
  <c r="P1788" i="33"/>
  <c r="P1790" i="33"/>
  <c r="P1791" i="33"/>
  <c r="P1792" i="33"/>
  <c r="P1793" i="33"/>
  <c r="P1794" i="33"/>
  <c r="P1795" i="33"/>
  <c r="P1796" i="33"/>
  <c r="P1797" i="33"/>
  <c r="P1799" i="33"/>
  <c r="P1800" i="33"/>
  <c r="P1801" i="33"/>
  <c r="P1802" i="33"/>
  <c r="P1803" i="33"/>
  <c r="P1806" i="33"/>
  <c r="P1808" i="33"/>
  <c r="P1809" i="33"/>
  <c r="P1810" i="33"/>
  <c r="P1811" i="33"/>
  <c r="P1812" i="33"/>
  <c r="P1813" i="33"/>
  <c r="P1814" i="33"/>
  <c r="P1815" i="33"/>
  <c r="P1816" i="33"/>
  <c r="P1817" i="33"/>
  <c r="P1818" i="33"/>
  <c r="P1819" i="33"/>
  <c r="P1820" i="33"/>
  <c r="P1821" i="33"/>
  <c r="P1822" i="33"/>
  <c r="P1823" i="33"/>
  <c r="P1824" i="33"/>
  <c r="P1825" i="33"/>
  <c r="P1826" i="33"/>
  <c r="P1827" i="33"/>
  <c r="P1828" i="33"/>
  <c r="P1829" i="33"/>
  <c r="P1830" i="33"/>
  <c r="P1831" i="33"/>
  <c r="P1832" i="33"/>
  <c r="P1833" i="33"/>
  <c r="P1834" i="33"/>
  <c r="P1835" i="33"/>
  <c r="P1836" i="33"/>
  <c r="P1837" i="33"/>
  <c r="P1838" i="33"/>
  <c r="P1839" i="33"/>
  <c r="P1840" i="33"/>
  <c r="P1841" i="33"/>
  <c r="P1842" i="33"/>
  <c r="P1843" i="33"/>
  <c r="P1844" i="33"/>
  <c r="P1845" i="33"/>
  <c r="P1846" i="33"/>
  <c r="P1847" i="33"/>
  <c r="P1848" i="33"/>
  <c r="P1855" i="33"/>
  <c r="P1856" i="33"/>
  <c r="P1857" i="33"/>
  <c r="P1858" i="33"/>
  <c r="P1859" i="33"/>
  <c r="P1860" i="33"/>
  <c r="P1861" i="33"/>
  <c r="P1862" i="33"/>
  <c r="P1863" i="33"/>
  <c r="P1864" i="33"/>
  <c r="P1865" i="33"/>
  <c r="P1866" i="33"/>
  <c r="P1867" i="33"/>
  <c r="P1868" i="33"/>
  <c r="P1869" i="33"/>
  <c r="P1870" i="33"/>
  <c r="P1871" i="33"/>
  <c r="P1872" i="33"/>
  <c r="P1873" i="33"/>
  <c r="P1874" i="33"/>
  <c r="P1875" i="33"/>
  <c r="P1876" i="33"/>
  <c r="P1877" i="33"/>
  <c r="P1878" i="33"/>
  <c r="P1879" i="33"/>
  <c r="P1880" i="33"/>
  <c r="P1881" i="33"/>
  <c r="P1882" i="33"/>
  <c r="P1883" i="33"/>
  <c r="P1884" i="33"/>
  <c r="P1885" i="33"/>
  <c r="P1886" i="33"/>
  <c r="P1887" i="33"/>
  <c r="P1888" i="33"/>
  <c r="P1889" i="33"/>
  <c r="P1890" i="33"/>
  <c r="P1891" i="33"/>
  <c r="P1892" i="33"/>
  <c r="P1893" i="33"/>
  <c r="P1894" i="33"/>
  <c r="P1895" i="33"/>
  <c r="P1896" i="33"/>
  <c r="P1897" i="33"/>
  <c r="P1898" i="33"/>
  <c r="P1899" i="33"/>
  <c r="P1900" i="33"/>
  <c r="P1901" i="33"/>
  <c r="P1902" i="33"/>
  <c r="P1903" i="33"/>
  <c r="P1904" i="33"/>
  <c r="P1905" i="33"/>
  <c r="P1906" i="33"/>
  <c r="P1907" i="33"/>
  <c r="P1908" i="33"/>
  <c r="P1909" i="33"/>
  <c r="P1910" i="33"/>
  <c r="P1911" i="33"/>
  <c r="P1912" i="33"/>
  <c r="P1913" i="33"/>
  <c r="P1914" i="33"/>
  <c r="P1915" i="33"/>
  <c r="P1916" i="33"/>
  <c r="P1917" i="33"/>
  <c r="P1918" i="33"/>
  <c r="P1919" i="33"/>
  <c r="P1920" i="33"/>
  <c r="P1924" i="33"/>
  <c r="P1925" i="33"/>
  <c r="P1926" i="33"/>
  <c r="P1927" i="33"/>
  <c r="P1928" i="33"/>
  <c r="P1929" i="33"/>
  <c r="P1930" i="33"/>
  <c r="P1931" i="33"/>
  <c r="P1932" i="33"/>
  <c r="P1933" i="33"/>
  <c r="P1934" i="33"/>
  <c r="P1935" i="33"/>
  <c r="P1936" i="33"/>
  <c r="P1937" i="33"/>
  <c r="P1938" i="33"/>
  <c r="P1939" i="33"/>
  <c r="P1940" i="33"/>
  <c r="P1941" i="33"/>
  <c r="P1942" i="33"/>
  <c r="P1943" i="33"/>
  <c r="P1944" i="33"/>
  <c r="P1945" i="33"/>
  <c r="P1946" i="33"/>
  <c r="P1947" i="33"/>
  <c r="P1948" i="33"/>
  <c r="P1949" i="33"/>
  <c r="P1950" i="33"/>
  <c r="P1951" i="33"/>
  <c r="P1952" i="33"/>
  <c r="P1953" i="33"/>
  <c r="P1954" i="33"/>
  <c r="P1955" i="33"/>
  <c r="P1956" i="33"/>
  <c r="P1957" i="33"/>
  <c r="P1958" i="33"/>
  <c r="P1959" i="33"/>
  <c r="L102" i="19" l="1"/>
  <c r="L101" i="19"/>
  <c r="L103" i="19" l="1"/>
  <c r="P1508" i="33"/>
  <c r="L100" i="19" l="1"/>
  <c r="L99" i="19"/>
  <c r="K30" i="5" l="1"/>
  <c r="K28" i="5"/>
  <c r="P60" i="33" l="1"/>
  <c r="P61" i="33"/>
  <c r="P62" i="33"/>
  <c r="P63" i="33"/>
  <c r="P64" i="33"/>
  <c r="P65" i="33"/>
  <c r="P66" i="33"/>
  <c r="P67" i="33"/>
  <c r="P68" i="33"/>
  <c r="P69" i="33"/>
  <c r="P70" i="33"/>
  <c r="P71" i="33"/>
  <c r="P72" i="33"/>
  <c r="P73" i="33"/>
  <c r="P74" i="33"/>
  <c r="P75" i="33"/>
  <c r="P76" i="33"/>
  <c r="P77" i="33"/>
  <c r="P78" i="33"/>
  <c r="P79" i="33"/>
  <c r="P80" i="33"/>
  <c r="P81" i="33"/>
  <c r="P82" i="33"/>
  <c r="P83" i="33"/>
  <c r="P84" i="33"/>
  <c r="P85" i="33"/>
  <c r="P86" i="33"/>
  <c r="P87" i="33"/>
  <c r="P88" i="33"/>
  <c r="P89" i="33"/>
  <c r="P90" i="33"/>
  <c r="P91" i="33"/>
  <c r="P92" i="33"/>
  <c r="P93" i="33"/>
  <c r="P94" i="33"/>
  <c r="P95" i="33"/>
  <c r="P96" i="33"/>
  <c r="P97" i="33"/>
  <c r="P98" i="33"/>
  <c r="P99" i="33"/>
  <c r="P100" i="33"/>
  <c r="P101" i="33"/>
  <c r="P102" i="33"/>
  <c r="P103" i="33"/>
  <c r="P104" i="33"/>
  <c r="P105" i="33"/>
  <c r="P106" i="33"/>
  <c r="P107" i="33"/>
  <c r="P108" i="33"/>
  <c r="P109" i="33"/>
  <c r="P110" i="33"/>
  <c r="P111" i="33"/>
  <c r="P112" i="33"/>
  <c r="P113" i="33"/>
  <c r="P114" i="33"/>
  <c r="P115" i="33"/>
  <c r="P116" i="33"/>
  <c r="P117" i="33"/>
  <c r="P118" i="33"/>
  <c r="P119" i="33"/>
  <c r="P120" i="33"/>
  <c r="P121" i="33"/>
  <c r="P122" i="33"/>
  <c r="P123" i="33"/>
  <c r="P124" i="33"/>
  <c r="P125" i="33"/>
  <c r="P126" i="33"/>
  <c r="P127" i="33"/>
  <c r="P128" i="33"/>
  <c r="P129" i="33"/>
  <c r="P130" i="33"/>
  <c r="P131" i="33"/>
  <c r="P132" i="33"/>
  <c r="P133" i="33"/>
  <c r="P134" i="33"/>
  <c r="P135" i="33"/>
  <c r="P136" i="33"/>
  <c r="P137" i="33"/>
  <c r="P138" i="33"/>
  <c r="P139" i="33"/>
  <c r="P140" i="33"/>
  <c r="P141" i="33"/>
  <c r="P142" i="33"/>
  <c r="P143" i="33"/>
  <c r="P144" i="33"/>
  <c r="P145" i="33"/>
  <c r="P146" i="33"/>
  <c r="P147" i="33"/>
  <c r="P148" i="33"/>
  <c r="P149" i="33"/>
  <c r="P150" i="33"/>
  <c r="P151" i="33"/>
  <c r="P152" i="33"/>
  <c r="P153" i="33"/>
  <c r="P154" i="33"/>
  <c r="P155" i="33"/>
  <c r="P156" i="33"/>
  <c r="P157" i="33"/>
  <c r="P158" i="33"/>
  <c r="P159" i="33"/>
  <c r="P160" i="33"/>
  <c r="P161" i="33"/>
  <c r="P162" i="33"/>
  <c r="P163" i="33"/>
  <c r="P164" i="33"/>
  <c r="P165" i="33"/>
  <c r="P166" i="33"/>
  <c r="P167" i="33"/>
  <c r="P168" i="33"/>
  <c r="P169" i="33"/>
  <c r="P170" i="33"/>
  <c r="P171" i="33"/>
  <c r="P172" i="33"/>
  <c r="P173" i="33"/>
  <c r="P174" i="33"/>
  <c r="P175" i="33"/>
  <c r="P176" i="33"/>
  <c r="P177" i="33"/>
  <c r="P178" i="33"/>
  <c r="P179" i="33"/>
  <c r="P180" i="33"/>
  <c r="P181" i="33"/>
  <c r="P182" i="33"/>
  <c r="P183" i="33"/>
  <c r="P184" i="33"/>
  <c r="P185" i="33"/>
  <c r="P186" i="33"/>
  <c r="P187" i="33"/>
  <c r="P188" i="33"/>
  <c r="P189" i="33"/>
  <c r="P190" i="33"/>
  <c r="P191" i="33"/>
  <c r="P192" i="33"/>
  <c r="P193" i="33"/>
  <c r="P194" i="33"/>
  <c r="P195" i="33"/>
  <c r="P196" i="33"/>
  <c r="P197" i="33"/>
  <c r="P198" i="33"/>
  <c r="P199" i="33"/>
  <c r="P200" i="33"/>
  <c r="P201" i="33"/>
  <c r="P202" i="33"/>
  <c r="P203" i="33"/>
  <c r="P204" i="33"/>
  <c r="P205" i="33"/>
  <c r="P206" i="33"/>
  <c r="P207" i="33"/>
  <c r="P208" i="33"/>
  <c r="P209" i="33"/>
  <c r="P210" i="33"/>
  <c r="P211" i="33"/>
  <c r="P212" i="33"/>
  <c r="P213" i="33"/>
  <c r="P214" i="33"/>
  <c r="P215" i="33"/>
  <c r="P216" i="33"/>
  <c r="P217" i="33"/>
  <c r="P218" i="33"/>
  <c r="P219" i="33"/>
  <c r="P220" i="33"/>
  <c r="P221" i="33"/>
  <c r="P222" i="33"/>
  <c r="P223" i="33"/>
  <c r="P224" i="33"/>
  <c r="P225" i="33"/>
  <c r="P226" i="33"/>
  <c r="P227" i="33"/>
  <c r="P228" i="33"/>
  <c r="P229" i="33"/>
  <c r="P230" i="33"/>
  <c r="P231" i="33"/>
  <c r="P232" i="33"/>
  <c r="P233" i="33"/>
  <c r="P234" i="33"/>
  <c r="P235" i="33"/>
  <c r="P236" i="33"/>
  <c r="P237" i="33"/>
  <c r="P238" i="33"/>
  <c r="P239" i="33"/>
  <c r="P240" i="33"/>
  <c r="P241" i="33"/>
  <c r="P242" i="33"/>
  <c r="P243" i="33"/>
  <c r="P244" i="33"/>
  <c r="P245" i="33"/>
  <c r="P246" i="33"/>
  <c r="P247" i="33"/>
  <c r="P248" i="33"/>
  <c r="P249" i="33"/>
  <c r="P250" i="33"/>
  <c r="P251" i="33"/>
  <c r="P252" i="33"/>
  <c r="P253" i="33"/>
  <c r="P254" i="33"/>
  <c r="P255" i="33"/>
  <c r="P256" i="33"/>
  <c r="P257" i="33"/>
  <c r="P258" i="33"/>
  <c r="P259" i="33"/>
  <c r="P260" i="33"/>
  <c r="P261" i="33"/>
  <c r="P262" i="33"/>
  <c r="P263" i="33"/>
  <c r="P264" i="33"/>
  <c r="P265" i="33"/>
  <c r="P266" i="33"/>
  <c r="P267" i="33"/>
  <c r="P268" i="33"/>
  <c r="P269" i="33"/>
  <c r="P270" i="33"/>
  <c r="P271" i="33"/>
  <c r="P272" i="33"/>
  <c r="P273" i="33"/>
  <c r="P274" i="33"/>
  <c r="P275" i="33"/>
  <c r="P276" i="33"/>
  <c r="P277" i="33"/>
  <c r="P278" i="33"/>
  <c r="P279" i="33"/>
  <c r="P280" i="33"/>
  <c r="P281" i="33"/>
  <c r="P282" i="33"/>
  <c r="P283" i="33"/>
  <c r="P284" i="33"/>
  <c r="P285" i="33"/>
  <c r="P286" i="33"/>
  <c r="P287" i="33"/>
  <c r="P288" i="33"/>
  <c r="P289" i="33"/>
  <c r="P290" i="33"/>
  <c r="P291" i="33"/>
  <c r="P292" i="33"/>
  <c r="P293" i="33"/>
  <c r="P294" i="33"/>
  <c r="P295" i="33"/>
  <c r="P296" i="33"/>
  <c r="P297" i="33"/>
  <c r="P298" i="33"/>
  <c r="P299" i="33"/>
  <c r="P300" i="33"/>
  <c r="P301" i="33"/>
  <c r="P302" i="33"/>
  <c r="P303" i="33"/>
  <c r="P304" i="33"/>
  <c r="P305" i="33"/>
  <c r="P306" i="33"/>
  <c r="P307" i="33"/>
  <c r="P308" i="33"/>
  <c r="P309" i="33"/>
  <c r="P310" i="33"/>
  <c r="P311" i="33"/>
  <c r="P312" i="33"/>
  <c r="P313" i="33"/>
  <c r="P314" i="33"/>
  <c r="P315" i="33"/>
  <c r="P316" i="33"/>
  <c r="P317" i="33"/>
  <c r="P318" i="33"/>
  <c r="P319" i="33"/>
  <c r="P320" i="33"/>
  <c r="P321" i="33"/>
  <c r="P322" i="33"/>
  <c r="P323" i="33"/>
  <c r="P324" i="33"/>
  <c r="P325" i="33"/>
  <c r="P326" i="33"/>
  <c r="P327" i="33"/>
  <c r="P328" i="33"/>
  <c r="P329" i="33"/>
  <c r="P330" i="33"/>
  <c r="P331" i="33"/>
  <c r="P332" i="33"/>
  <c r="P333" i="33"/>
  <c r="P334" i="33"/>
  <c r="P335" i="33"/>
  <c r="P336" i="33"/>
  <c r="P337" i="33"/>
  <c r="P338" i="33"/>
  <c r="P339" i="33"/>
  <c r="P340" i="33"/>
  <c r="P341" i="33"/>
  <c r="P342" i="33"/>
  <c r="P343" i="33"/>
  <c r="P344" i="33"/>
  <c r="P345" i="33"/>
  <c r="P346" i="33"/>
  <c r="P347" i="33"/>
  <c r="P348" i="33"/>
  <c r="P349" i="33"/>
  <c r="P350" i="33"/>
  <c r="P351" i="33"/>
  <c r="P352" i="33"/>
  <c r="P353" i="33"/>
  <c r="P354" i="33"/>
  <c r="P355" i="33"/>
  <c r="P356" i="33"/>
  <c r="P357" i="33"/>
  <c r="P358" i="33"/>
  <c r="P359" i="33"/>
  <c r="P360" i="33"/>
  <c r="P361" i="33"/>
  <c r="P362" i="33"/>
  <c r="P363" i="33"/>
  <c r="P364" i="33"/>
  <c r="P365" i="33"/>
  <c r="P366" i="33"/>
  <c r="P367" i="33"/>
  <c r="P368" i="33"/>
  <c r="P369" i="33"/>
  <c r="P370" i="33"/>
  <c r="P371" i="33"/>
  <c r="P372" i="33"/>
  <c r="P373" i="33"/>
  <c r="P374" i="33"/>
  <c r="P375" i="33"/>
  <c r="P376" i="33"/>
  <c r="P377" i="33"/>
  <c r="P378" i="33"/>
  <c r="P379" i="33"/>
  <c r="P380" i="33"/>
  <c r="P381" i="33"/>
  <c r="P382" i="33"/>
  <c r="P383" i="33"/>
  <c r="P384" i="33"/>
  <c r="P385" i="33"/>
  <c r="P386" i="33"/>
  <c r="P387" i="33"/>
  <c r="P388" i="33"/>
  <c r="P389" i="33"/>
  <c r="P390" i="33"/>
  <c r="P391" i="33"/>
  <c r="P392" i="33"/>
  <c r="P393" i="33"/>
  <c r="P394" i="33"/>
  <c r="P395" i="33"/>
  <c r="P396" i="33"/>
  <c r="P397" i="33"/>
  <c r="P398" i="33"/>
  <c r="P399" i="33"/>
  <c r="P400" i="33"/>
  <c r="P401" i="33"/>
  <c r="P402" i="33"/>
  <c r="P403" i="33"/>
  <c r="P404" i="33"/>
  <c r="P405" i="33"/>
  <c r="P406" i="33"/>
  <c r="P407" i="33"/>
  <c r="P408" i="33"/>
  <c r="P409" i="33"/>
  <c r="P410" i="33"/>
  <c r="P411" i="33"/>
  <c r="P412" i="33"/>
  <c r="P413" i="33"/>
  <c r="P414" i="33"/>
  <c r="P415" i="33"/>
  <c r="P416" i="33"/>
  <c r="P417" i="33"/>
  <c r="P418" i="33"/>
  <c r="P419" i="33"/>
  <c r="P420" i="33"/>
  <c r="P421" i="33"/>
  <c r="P422" i="33"/>
  <c r="P423" i="33"/>
  <c r="P424" i="33"/>
  <c r="P425" i="33"/>
  <c r="P426" i="33"/>
  <c r="P427" i="33"/>
  <c r="P428" i="33"/>
  <c r="P429" i="33"/>
  <c r="P430" i="33"/>
  <c r="P431" i="33"/>
  <c r="P432" i="33"/>
  <c r="P433" i="33"/>
  <c r="P434" i="33"/>
  <c r="P435" i="33"/>
  <c r="P436" i="33"/>
  <c r="P437" i="33"/>
  <c r="P438" i="33"/>
  <c r="P439" i="33"/>
  <c r="P440" i="33"/>
  <c r="P441" i="33"/>
  <c r="P442" i="33"/>
  <c r="P443" i="33"/>
  <c r="P444" i="33"/>
  <c r="P445" i="33"/>
  <c r="P446" i="33"/>
  <c r="P447" i="33"/>
  <c r="P448" i="33"/>
  <c r="P449" i="33"/>
  <c r="P450" i="33"/>
  <c r="P451" i="33"/>
  <c r="P452" i="33"/>
  <c r="P453" i="33"/>
  <c r="P454" i="33"/>
  <c r="P455" i="33"/>
  <c r="P456" i="33"/>
  <c r="P457" i="33"/>
  <c r="P458" i="33"/>
  <c r="P459" i="33"/>
  <c r="P460" i="33"/>
  <c r="P461" i="33"/>
  <c r="P462" i="33"/>
  <c r="P463" i="33"/>
  <c r="P464" i="33"/>
  <c r="P465" i="33"/>
  <c r="P466" i="33"/>
  <c r="P467" i="33"/>
  <c r="P468" i="33"/>
  <c r="P469" i="33"/>
  <c r="P470" i="33"/>
  <c r="P471" i="33"/>
  <c r="P472" i="33"/>
  <c r="P473" i="33"/>
  <c r="P474" i="33"/>
  <c r="P475" i="33"/>
  <c r="P476" i="33"/>
  <c r="P477" i="33"/>
  <c r="P478" i="33"/>
  <c r="P479" i="33"/>
  <c r="P480" i="33"/>
  <c r="P481" i="33"/>
  <c r="P482" i="33"/>
  <c r="P483" i="33"/>
  <c r="P484" i="33"/>
  <c r="P485" i="33"/>
  <c r="P486" i="33"/>
  <c r="P487" i="33"/>
  <c r="P488" i="33"/>
  <c r="P489" i="33"/>
  <c r="P490" i="33"/>
  <c r="P491" i="33"/>
  <c r="P492" i="33"/>
  <c r="P493" i="33"/>
  <c r="P494" i="33"/>
  <c r="P495" i="33"/>
  <c r="P496" i="33"/>
  <c r="P497" i="33"/>
  <c r="P498" i="33"/>
  <c r="P499" i="33"/>
  <c r="P500" i="33"/>
  <c r="P501" i="33"/>
  <c r="P502" i="33"/>
  <c r="P503" i="33"/>
  <c r="P504" i="33"/>
  <c r="P505" i="33"/>
  <c r="P506" i="33"/>
  <c r="P507" i="33"/>
  <c r="P508" i="33"/>
  <c r="P509" i="33"/>
  <c r="P510" i="33"/>
  <c r="P511" i="33"/>
  <c r="P512" i="33"/>
  <c r="P513" i="33"/>
  <c r="P514" i="33"/>
  <c r="P515" i="33"/>
  <c r="P516" i="33"/>
  <c r="P517" i="33"/>
  <c r="P518" i="33"/>
  <c r="P519" i="33"/>
  <c r="P520" i="33"/>
  <c r="P521" i="33"/>
  <c r="P522" i="33"/>
  <c r="P523" i="33"/>
  <c r="P524" i="33"/>
  <c r="P525" i="33"/>
  <c r="P526" i="33"/>
  <c r="P527" i="33"/>
  <c r="P528" i="33"/>
  <c r="P529" i="33"/>
  <c r="P530" i="33"/>
  <c r="P531" i="33"/>
  <c r="P532" i="33"/>
  <c r="P533" i="33"/>
  <c r="P534" i="33"/>
  <c r="P535" i="33"/>
  <c r="P536" i="33"/>
  <c r="P537" i="33"/>
  <c r="P538" i="33"/>
  <c r="P539" i="33"/>
  <c r="P540" i="33"/>
  <c r="P541" i="33"/>
  <c r="P542" i="33"/>
  <c r="P543" i="33"/>
  <c r="P544" i="33"/>
  <c r="P545" i="33"/>
  <c r="P546" i="33"/>
  <c r="P547" i="33"/>
  <c r="P548" i="33"/>
  <c r="P549" i="33"/>
  <c r="P550" i="33"/>
  <c r="P551" i="33"/>
  <c r="P552" i="33"/>
  <c r="P553" i="33"/>
  <c r="P554" i="33"/>
  <c r="P555" i="33"/>
  <c r="P556" i="33"/>
  <c r="P557" i="33"/>
  <c r="P558" i="33"/>
  <c r="P559" i="33"/>
  <c r="P560" i="33"/>
  <c r="P561" i="33"/>
  <c r="P562" i="33"/>
  <c r="P563" i="33"/>
  <c r="P564" i="33"/>
  <c r="P565" i="33"/>
  <c r="P566" i="33"/>
  <c r="P567" i="33"/>
  <c r="P568" i="33"/>
  <c r="P569" i="33"/>
  <c r="P570" i="33"/>
  <c r="P571" i="33"/>
  <c r="P572" i="33"/>
  <c r="P573" i="33"/>
  <c r="P574" i="33"/>
  <c r="P575" i="33"/>
  <c r="P576" i="33"/>
  <c r="P577" i="33"/>
  <c r="P578" i="33"/>
  <c r="P579" i="33"/>
  <c r="P580" i="33"/>
  <c r="P581" i="33"/>
  <c r="P582" i="33"/>
  <c r="P583" i="33"/>
  <c r="P584" i="33"/>
  <c r="P585" i="33"/>
  <c r="P586" i="33"/>
  <c r="P587" i="33"/>
  <c r="P588" i="33"/>
  <c r="P589" i="33"/>
  <c r="P590" i="33"/>
  <c r="P591" i="33"/>
  <c r="P592" i="33"/>
  <c r="P593" i="33"/>
  <c r="P594" i="33"/>
  <c r="P595" i="33"/>
  <c r="P596" i="33"/>
  <c r="P597" i="33"/>
  <c r="P598" i="33"/>
  <c r="P599" i="33"/>
  <c r="P600" i="33"/>
  <c r="P601" i="33"/>
  <c r="P602" i="33"/>
  <c r="P603" i="33"/>
  <c r="P604" i="33"/>
  <c r="P605" i="33"/>
  <c r="P606" i="33"/>
  <c r="P607" i="33"/>
  <c r="P608" i="33"/>
  <c r="P609" i="33"/>
  <c r="P610" i="33"/>
  <c r="P611" i="33"/>
  <c r="P612" i="33"/>
  <c r="P613" i="33"/>
  <c r="P614" i="33"/>
  <c r="P615" i="33"/>
  <c r="P616" i="33"/>
  <c r="P617" i="33"/>
  <c r="P618" i="33"/>
  <c r="P619" i="33"/>
  <c r="P620" i="33"/>
  <c r="P621" i="33"/>
  <c r="P622" i="33"/>
  <c r="P623" i="33"/>
  <c r="P624" i="33"/>
  <c r="P625" i="33"/>
  <c r="P626" i="33"/>
  <c r="P627" i="33"/>
  <c r="P628" i="33"/>
  <c r="P629" i="33"/>
  <c r="P630" i="33"/>
  <c r="P631" i="33"/>
  <c r="P632" i="33"/>
  <c r="P633" i="33"/>
  <c r="P634" i="33"/>
  <c r="P635" i="33"/>
  <c r="P636" i="33"/>
  <c r="P637" i="33"/>
  <c r="P638" i="33"/>
  <c r="P639" i="33"/>
  <c r="P640" i="33"/>
  <c r="P641" i="33"/>
  <c r="P642" i="33"/>
  <c r="P643" i="33"/>
  <c r="P644" i="33"/>
  <c r="P645" i="33"/>
  <c r="P646" i="33"/>
  <c r="P647" i="33"/>
  <c r="P648" i="33"/>
  <c r="P649" i="33"/>
  <c r="P650" i="33"/>
  <c r="P651" i="33"/>
  <c r="P652" i="33"/>
  <c r="P653" i="33"/>
  <c r="P654" i="33"/>
  <c r="P655" i="33"/>
  <c r="P656" i="33"/>
  <c r="P657" i="33"/>
  <c r="P658" i="33"/>
  <c r="P659" i="33"/>
  <c r="P660" i="33"/>
  <c r="P661" i="33"/>
  <c r="P662" i="33"/>
  <c r="P663" i="33"/>
  <c r="P664" i="33"/>
  <c r="P665" i="33"/>
  <c r="P666" i="33"/>
  <c r="P667" i="33"/>
  <c r="P668" i="33"/>
  <c r="P669" i="33"/>
  <c r="P670" i="33"/>
  <c r="P671" i="33"/>
  <c r="P672" i="33"/>
  <c r="P673" i="33"/>
  <c r="P674" i="33"/>
  <c r="P675" i="33"/>
  <c r="P676" i="33"/>
  <c r="P677" i="33"/>
  <c r="P678" i="33"/>
  <c r="P679" i="33"/>
  <c r="P680" i="33"/>
  <c r="P681" i="33"/>
  <c r="P682" i="33"/>
  <c r="P683" i="33"/>
  <c r="P684" i="33"/>
  <c r="P685" i="33"/>
  <c r="P686" i="33"/>
  <c r="P687" i="33"/>
  <c r="P688" i="33"/>
  <c r="P689" i="33"/>
  <c r="P690" i="33"/>
  <c r="P691" i="33"/>
  <c r="P692" i="33"/>
  <c r="P693" i="33"/>
  <c r="P694" i="33"/>
  <c r="P695" i="33"/>
  <c r="P696" i="33"/>
  <c r="P697" i="33"/>
  <c r="P698" i="33"/>
  <c r="P699" i="33"/>
  <c r="P700" i="33"/>
  <c r="P701" i="33"/>
  <c r="P702" i="33"/>
  <c r="P703" i="33"/>
  <c r="P704" i="33"/>
  <c r="P705" i="33"/>
  <c r="P706" i="33"/>
  <c r="P707" i="33"/>
  <c r="P708" i="33"/>
  <c r="P709" i="33"/>
  <c r="P710" i="33"/>
  <c r="P711" i="33"/>
  <c r="P712" i="33"/>
  <c r="P713" i="33"/>
  <c r="P714" i="33"/>
  <c r="P715" i="33"/>
  <c r="P716" i="33"/>
  <c r="P717" i="33"/>
  <c r="P718" i="33"/>
  <c r="P719" i="33"/>
  <c r="P720" i="33"/>
  <c r="P721" i="33"/>
  <c r="P722" i="33"/>
  <c r="P723" i="33"/>
  <c r="P724" i="33"/>
  <c r="P725" i="33"/>
  <c r="P726" i="33"/>
  <c r="P727" i="33"/>
  <c r="P728" i="33"/>
  <c r="P729" i="33"/>
  <c r="P730" i="33"/>
  <c r="P731" i="33"/>
  <c r="P732" i="33"/>
  <c r="P733" i="33"/>
  <c r="P734" i="33"/>
  <c r="P735" i="33"/>
  <c r="P736" i="33"/>
  <c r="P737" i="33"/>
  <c r="P738" i="33"/>
  <c r="P739" i="33"/>
  <c r="P740" i="33"/>
  <c r="P741" i="33"/>
  <c r="P742" i="33"/>
  <c r="P743" i="33"/>
  <c r="P744" i="33"/>
  <c r="P745" i="33"/>
  <c r="P746" i="33"/>
  <c r="P747" i="33"/>
  <c r="P748" i="33"/>
  <c r="P749" i="33"/>
  <c r="P750" i="33"/>
  <c r="P751" i="33"/>
  <c r="P752" i="33"/>
  <c r="P753" i="33"/>
  <c r="P754" i="33"/>
  <c r="P755" i="33"/>
  <c r="P756" i="33"/>
  <c r="P757" i="33"/>
  <c r="P758" i="33"/>
  <c r="P759" i="33"/>
  <c r="P760" i="33"/>
  <c r="P761" i="33"/>
  <c r="P762" i="33"/>
  <c r="P763" i="33"/>
  <c r="P764" i="33"/>
  <c r="P765" i="33"/>
  <c r="P766" i="33"/>
  <c r="P767" i="33"/>
  <c r="P768" i="33"/>
  <c r="P769" i="33"/>
  <c r="P770" i="33"/>
  <c r="P771" i="33"/>
  <c r="P772" i="33"/>
  <c r="P773" i="33"/>
  <c r="P774" i="33"/>
  <c r="P775" i="33"/>
  <c r="P776" i="33"/>
  <c r="P777" i="33"/>
  <c r="P778" i="33"/>
  <c r="P779" i="33"/>
  <c r="P780" i="33"/>
  <c r="P781" i="33"/>
  <c r="P782" i="33"/>
  <c r="P783" i="33"/>
  <c r="P784" i="33"/>
  <c r="P785" i="33"/>
  <c r="P786" i="33"/>
  <c r="P787" i="33"/>
  <c r="P788" i="33"/>
  <c r="P789" i="33"/>
  <c r="P790" i="33"/>
  <c r="P791" i="33"/>
  <c r="P792" i="33"/>
  <c r="P793" i="33"/>
  <c r="P794" i="33"/>
  <c r="P795" i="33"/>
  <c r="P796" i="33"/>
  <c r="P797" i="33"/>
  <c r="P798" i="33"/>
  <c r="P799" i="33"/>
  <c r="P800" i="33"/>
  <c r="P801" i="33"/>
  <c r="P802" i="33"/>
  <c r="P803" i="33"/>
  <c r="P804" i="33"/>
  <c r="P805" i="33"/>
  <c r="P806" i="33"/>
  <c r="P807" i="33"/>
  <c r="P808" i="33"/>
  <c r="P809" i="33"/>
  <c r="P810" i="33"/>
  <c r="P811" i="33"/>
  <c r="P812" i="33"/>
  <c r="P813" i="33"/>
  <c r="P814" i="33"/>
  <c r="P815" i="33"/>
  <c r="P816" i="33"/>
  <c r="P817" i="33"/>
  <c r="P818" i="33"/>
  <c r="P819" i="33"/>
  <c r="P820" i="33"/>
  <c r="P821" i="33"/>
  <c r="P822" i="33"/>
  <c r="P823" i="33"/>
  <c r="P824" i="33"/>
  <c r="P825" i="33"/>
  <c r="P826" i="33"/>
  <c r="P827" i="33"/>
  <c r="P828" i="33"/>
  <c r="P829" i="33"/>
  <c r="P830" i="33"/>
  <c r="P831" i="33"/>
  <c r="P832" i="33"/>
  <c r="P833" i="33"/>
  <c r="P834" i="33"/>
  <c r="P835" i="33"/>
  <c r="P836" i="33"/>
  <c r="P837" i="33"/>
  <c r="P838" i="33"/>
  <c r="P839" i="33"/>
  <c r="P840" i="33"/>
  <c r="P841" i="33"/>
  <c r="P842" i="33"/>
  <c r="P843" i="33"/>
  <c r="P844" i="33"/>
  <c r="P845" i="33"/>
  <c r="P846" i="33"/>
  <c r="P847" i="33"/>
  <c r="P848" i="33"/>
  <c r="P849" i="33"/>
  <c r="P850" i="33"/>
  <c r="P851" i="33"/>
  <c r="P852" i="33"/>
  <c r="P853" i="33"/>
  <c r="P854" i="33"/>
  <c r="P855" i="33"/>
  <c r="P856" i="33"/>
  <c r="P857" i="33"/>
  <c r="P858" i="33"/>
  <c r="P859" i="33"/>
  <c r="P860" i="33"/>
  <c r="P861" i="33"/>
  <c r="P862" i="33"/>
  <c r="P863" i="33"/>
  <c r="P864" i="33"/>
  <c r="P865" i="33"/>
  <c r="P866" i="33"/>
  <c r="P867" i="33"/>
  <c r="P868" i="33"/>
  <c r="P869" i="33"/>
  <c r="P870" i="33"/>
  <c r="P871" i="33"/>
  <c r="P872" i="33"/>
  <c r="P873" i="33"/>
  <c r="P874" i="33"/>
  <c r="P875" i="33"/>
  <c r="P876" i="33"/>
  <c r="P877" i="33"/>
  <c r="P878" i="33"/>
  <c r="P879" i="33"/>
  <c r="P880" i="33"/>
  <c r="P881" i="33"/>
  <c r="P882" i="33"/>
  <c r="P883" i="33"/>
  <c r="P884" i="33"/>
  <c r="P885" i="33"/>
  <c r="P886" i="33"/>
  <c r="P887" i="33"/>
  <c r="P888" i="33"/>
  <c r="P889" i="33"/>
  <c r="P890" i="33"/>
  <c r="P891" i="33"/>
  <c r="P892" i="33"/>
  <c r="P893" i="33"/>
  <c r="P894" i="33"/>
  <c r="P895" i="33"/>
  <c r="P896" i="33"/>
  <c r="P897" i="33"/>
  <c r="P898" i="33"/>
  <c r="P899" i="33"/>
  <c r="P900" i="33"/>
  <c r="P901" i="33"/>
  <c r="P902" i="33"/>
  <c r="P903" i="33"/>
  <c r="P904" i="33"/>
  <c r="P905" i="33"/>
  <c r="P906" i="33"/>
  <c r="P907" i="33"/>
  <c r="P908" i="33"/>
  <c r="P909" i="33"/>
  <c r="P910" i="33"/>
  <c r="P911" i="33"/>
  <c r="P912" i="33"/>
  <c r="P913" i="33"/>
  <c r="P914" i="33"/>
  <c r="P915" i="33"/>
  <c r="P916" i="33"/>
  <c r="P917" i="33"/>
  <c r="P918" i="33"/>
  <c r="P919" i="33"/>
  <c r="P920" i="33"/>
  <c r="P921" i="33"/>
  <c r="P922" i="33"/>
  <c r="P923" i="33"/>
  <c r="P924" i="33"/>
  <c r="P925" i="33"/>
  <c r="P926" i="33"/>
  <c r="P927" i="33"/>
  <c r="P928" i="33"/>
  <c r="P929" i="33"/>
  <c r="P930" i="33"/>
  <c r="P931" i="33"/>
  <c r="P932" i="33"/>
  <c r="P933" i="33"/>
  <c r="P934" i="33"/>
  <c r="P935" i="33"/>
  <c r="P936" i="33"/>
  <c r="P937" i="33"/>
  <c r="P938" i="33"/>
  <c r="P939" i="33"/>
  <c r="P940" i="33"/>
  <c r="P941" i="33"/>
  <c r="P942" i="33"/>
  <c r="P943" i="33"/>
  <c r="P944" i="33"/>
  <c r="P945" i="33"/>
  <c r="P946" i="33"/>
  <c r="P947" i="33"/>
  <c r="P948" i="33"/>
  <c r="P949" i="33"/>
  <c r="P950" i="33"/>
  <c r="P951" i="33"/>
  <c r="P952" i="33"/>
  <c r="P953" i="33"/>
  <c r="P954" i="33"/>
  <c r="P955" i="33"/>
  <c r="P956" i="33"/>
  <c r="P957" i="33"/>
  <c r="P958" i="33"/>
  <c r="P959" i="33"/>
  <c r="P960" i="33"/>
  <c r="P961" i="33"/>
  <c r="P962" i="33"/>
  <c r="P963" i="33"/>
  <c r="P964" i="33"/>
  <c r="P965" i="33"/>
  <c r="P966" i="33"/>
  <c r="P967" i="33"/>
  <c r="P968" i="33"/>
  <c r="P969" i="33"/>
  <c r="P970" i="33"/>
  <c r="P971" i="33"/>
  <c r="P972" i="33"/>
  <c r="P973" i="33"/>
  <c r="P974" i="33"/>
  <c r="P975" i="33"/>
  <c r="P976" i="33"/>
  <c r="P977" i="33"/>
  <c r="P978" i="33"/>
  <c r="P979" i="33"/>
  <c r="P980" i="33"/>
  <c r="P981" i="33"/>
  <c r="P982" i="33"/>
  <c r="P983" i="33"/>
  <c r="P984" i="33"/>
  <c r="P985" i="33"/>
  <c r="P986" i="33"/>
  <c r="P987" i="33"/>
  <c r="P988" i="33"/>
  <c r="P989" i="33"/>
  <c r="P990" i="33"/>
  <c r="P991" i="33"/>
  <c r="P992" i="33"/>
  <c r="P993" i="33"/>
  <c r="P994" i="33"/>
  <c r="P995" i="33"/>
  <c r="P996" i="33"/>
  <c r="P997" i="33"/>
  <c r="P998" i="33"/>
  <c r="P999" i="33"/>
  <c r="P1000" i="33"/>
  <c r="P1001" i="33"/>
  <c r="P1002" i="33"/>
  <c r="P1003" i="33"/>
  <c r="P1004" i="33"/>
  <c r="P1005" i="33"/>
  <c r="P1006" i="33"/>
  <c r="P1007" i="33"/>
  <c r="P1008" i="33"/>
  <c r="P1009" i="33"/>
  <c r="P1010" i="33"/>
  <c r="P1011" i="33"/>
  <c r="P1012" i="33"/>
  <c r="P1013" i="33"/>
  <c r="P1014" i="33"/>
  <c r="P1015" i="33"/>
  <c r="P1016" i="33"/>
  <c r="P1017" i="33"/>
  <c r="P1018" i="33"/>
  <c r="P1019" i="33"/>
  <c r="P1020" i="33"/>
  <c r="P1021" i="33"/>
  <c r="P1022" i="33"/>
  <c r="P1023" i="33"/>
  <c r="P1024" i="33"/>
  <c r="P1025" i="33"/>
  <c r="P1026" i="33"/>
  <c r="P1027" i="33"/>
  <c r="P1028" i="33"/>
  <c r="P1029" i="33"/>
  <c r="P1030" i="33"/>
  <c r="P1031" i="33"/>
  <c r="P1032" i="33"/>
  <c r="P1033" i="33"/>
  <c r="P1034" i="33"/>
  <c r="P1035" i="33"/>
  <c r="P1036" i="33"/>
  <c r="P1037" i="33"/>
  <c r="P1038" i="33"/>
  <c r="P1039" i="33"/>
  <c r="P1040" i="33"/>
  <c r="P1041" i="33"/>
  <c r="P1042" i="33"/>
  <c r="P1043" i="33"/>
  <c r="P1044" i="33"/>
  <c r="P1045" i="33"/>
  <c r="P1046" i="33"/>
  <c r="P1047" i="33"/>
  <c r="P1048" i="33"/>
  <c r="P1049" i="33"/>
  <c r="P1050" i="33"/>
  <c r="P1051" i="33"/>
  <c r="P1052" i="33"/>
  <c r="P1053" i="33"/>
  <c r="P1054" i="33"/>
  <c r="P1055" i="33"/>
  <c r="P1056" i="33"/>
  <c r="P1057" i="33"/>
  <c r="P1058" i="33"/>
  <c r="P1059" i="33"/>
  <c r="P1060" i="33"/>
  <c r="P1061" i="33"/>
  <c r="P1062" i="33"/>
  <c r="P1063" i="33"/>
  <c r="P1064" i="33"/>
  <c r="P1065" i="33"/>
  <c r="P1066" i="33"/>
  <c r="P1067" i="33"/>
  <c r="P1068" i="33"/>
  <c r="P1069" i="33"/>
  <c r="P1070" i="33"/>
  <c r="P1071" i="33"/>
  <c r="P1072" i="33"/>
  <c r="P1073" i="33"/>
  <c r="P1074" i="33"/>
  <c r="P1075" i="33"/>
  <c r="P1076" i="33"/>
  <c r="P1077" i="33"/>
  <c r="P1078" i="33"/>
  <c r="P1079" i="33"/>
  <c r="P1080" i="33"/>
  <c r="P1081" i="33"/>
  <c r="P1082" i="33"/>
  <c r="P1083" i="33"/>
  <c r="P1084" i="33"/>
  <c r="P1085" i="33"/>
  <c r="P1086" i="33"/>
  <c r="P1087" i="33"/>
  <c r="P1088" i="33"/>
  <c r="P1089" i="33"/>
  <c r="P1090" i="33"/>
  <c r="P1091" i="33"/>
  <c r="P1092" i="33"/>
  <c r="P1093" i="33"/>
  <c r="P1094" i="33"/>
  <c r="P1095" i="33"/>
  <c r="P1096" i="33"/>
  <c r="P1097" i="33"/>
  <c r="P1098" i="33"/>
  <c r="P1099" i="33"/>
  <c r="P1100" i="33"/>
  <c r="P1101" i="33"/>
  <c r="P1102" i="33"/>
  <c r="P1103" i="33"/>
  <c r="P1104" i="33"/>
  <c r="P1105" i="33"/>
  <c r="P1106" i="33"/>
  <c r="P1107" i="33"/>
  <c r="P1108" i="33"/>
  <c r="P1109" i="33"/>
  <c r="P1110" i="33"/>
  <c r="P1111" i="33"/>
  <c r="P1112" i="33"/>
  <c r="P1113" i="33"/>
  <c r="P1114" i="33"/>
  <c r="P1115" i="33"/>
  <c r="P1116" i="33"/>
  <c r="P1117" i="33"/>
  <c r="P1118" i="33"/>
  <c r="P1119" i="33"/>
  <c r="P1120" i="33"/>
  <c r="P1121" i="33"/>
  <c r="P1122" i="33"/>
  <c r="P1123" i="33"/>
  <c r="P1124" i="33"/>
  <c r="P1125" i="33"/>
  <c r="P1126" i="33"/>
  <c r="P1127" i="33"/>
  <c r="P1128" i="33"/>
  <c r="P1129" i="33"/>
  <c r="P1130" i="33"/>
  <c r="P1131" i="33"/>
  <c r="P1132" i="33"/>
  <c r="P1133" i="33"/>
  <c r="P1134" i="33"/>
  <c r="P1135" i="33"/>
  <c r="P1136" i="33"/>
  <c r="P1137" i="33"/>
  <c r="P1138" i="33"/>
  <c r="P1139" i="33"/>
  <c r="P1140" i="33"/>
  <c r="P1141" i="33"/>
  <c r="P1142" i="33"/>
  <c r="P1143" i="33"/>
  <c r="P1144" i="33"/>
  <c r="P1145" i="33"/>
  <c r="P1146" i="33"/>
  <c r="P1147" i="33"/>
  <c r="P1148" i="33"/>
  <c r="P1149" i="33"/>
  <c r="P1150" i="33"/>
  <c r="P1151" i="33"/>
  <c r="P1152" i="33"/>
  <c r="P1153" i="33"/>
  <c r="P1154" i="33"/>
  <c r="P1155" i="33"/>
  <c r="P1156" i="33"/>
  <c r="P1157" i="33"/>
  <c r="P1158" i="33"/>
  <c r="P1159" i="33"/>
  <c r="P1160" i="33"/>
  <c r="P1161" i="33"/>
  <c r="P1162" i="33"/>
  <c r="P1163" i="33"/>
  <c r="P1164" i="33"/>
  <c r="P1165" i="33"/>
  <c r="P1166" i="33"/>
  <c r="P1167" i="33"/>
  <c r="P1168" i="33"/>
  <c r="P1169" i="33"/>
  <c r="P1170" i="33"/>
  <c r="P1171" i="33"/>
  <c r="P1172" i="33"/>
  <c r="P1173" i="33"/>
  <c r="P1174" i="33"/>
  <c r="P1175" i="33"/>
  <c r="P1176" i="33"/>
  <c r="P1177" i="33"/>
  <c r="P1178" i="33"/>
  <c r="P1179" i="33"/>
  <c r="P1180" i="33"/>
  <c r="P1181" i="33"/>
  <c r="P1182" i="33"/>
  <c r="P1183" i="33"/>
  <c r="P1184" i="33"/>
  <c r="P1185" i="33"/>
  <c r="P1186" i="33"/>
  <c r="P1187" i="33"/>
  <c r="P1188" i="33"/>
  <c r="P1189" i="33"/>
  <c r="P1190" i="33"/>
  <c r="P1191" i="33"/>
  <c r="P1192" i="33"/>
  <c r="P1193" i="33"/>
  <c r="P1194" i="33"/>
  <c r="P1195" i="33"/>
  <c r="P1196" i="33"/>
  <c r="P1197" i="33"/>
  <c r="P1198" i="33"/>
  <c r="P1199" i="33"/>
  <c r="P1200" i="33"/>
  <c r="P1201" i="33"/>
  <c r="P1202" i="33"/>
  <c r="P1203" i="33"/>
  <c r="P1204" i="33"/>
  <c r="P1205" i="33"/>
  <c r="P1206" i="33"/>
  <c r="P1207" i="33"/>
  <c r="P1208" i="33"/>
  <c r="P1209" i="33"/>
  <c r="P1210" i="33"/>
  <c r="P1211" i="33"/>
  <c r="P1212" i="33"/>
  <c r="P1213" i="33"/>
  <c r="P1214" i="33"/>
  <c r="P1215" i="33"/>
  <c r="P1216" i="33"/>
  <c r="P1217" i="33"/>
  <c r="P1218" i="33"/>
  <c r="P1219" i="33"/>
  <c r="P1220" i="33"/>
  <c r="P1221" i="33"/>
  <c r="P1222" i="33"/>
  <c r="P1223" i="33"/>
  <c r="P1224" i="33"/>
  <c r="P1225" i="33"/>
  <c r="P1226" i="33"/>
  <c r="P1227" i="33"/>
  <c r="P1228" i="33"/>
  <c r="P1229" i="33"/>
  <c r="P1230" i="33"/>
  <c r="P1231" i="33"/>
  <c r="P1232" i="33"/>
  <c r="P1233" i="33"/>
  <c r="P1234" i="33"/>
  <c r="P1235" i="33"/>
  <c r="P1236" i="33"/>
  <c r="P1237" i="33"/>
  <c r="P1238" i="33"/>
  <c r="P1239" i="33"/>
  <c r="P1240" i="33"/>
  <c r="P1241" i="33"/>
  <c r="P1242" i="33"/>
  <c r="P1243" i="33"/>
  <c r="P1244" i="33"/>
  <c r="P1245" i="33"/>
  <c r="P1246" i="33"/>
  <c r="P1247" i="33"/>
  <c r="P1248" i="33"/>
  <c r="P1249" i="33"/>
  <c r="P1250" i="33"/>
  <c r="P1251" i="33"/>
  <c r="P1252" i="33"/>
  <c r="P1253" i="33"/>
  <c r="P1254" i="33"/>
  <c r="P1255" i="33"/>
  <c r="P1256" i="33"/>
  <c r="P1257" i="33"/>
  <c r="P1258" i="33"/>
  <c r="P1259" i="33"/>
  <c r="P1260" i="33"/>
  <c r="P1261" i="33"/>
  <c r="P1262" i="33"/>
  <c r="P1263" i="33"/>
  <c r="P1264" i="33"/>
  <c r="P1265" i="33"/>
  <c r="P1266" i="33"/>
  <c r="P1267" i="33"/>
  <c r="P1268" i="33"/>
  <c r="P1269" i="33"/>
  <c r="P1270" i="33"/>
  <c r="P1271" i="33"/>
  <c r="P1272" i="33"/>
  <c r="P1273" i="33"/>
  <c r="P1274" i="33"/>
  <c r="P1275" i="33"/>
  <c r="P1276" i="33"/>
  <c r="P1277" i="33"/>
  <c r="P1278" i="33"/>
  <c r="P1279" i="33"/>
  <c r="P1280" i="33"/>
  <c r="P1281" i="33"/>
  <c r="P1282" i="33"/>
  <c r="P1283" i="33"/>
  <c r="P1284" i="33"/>
  <c r="P1285" i="33"/>
  <c r="P1286" i="33"/>
  <c r="P1287" i="33"/>
  <c r="P1288" i="33"/>
  <c r="P1289" i="33"/>
  <c r="P1290" i="33"/>
  <c r="P1291" i="33"/>
  <c r="P1292" i="33"/>
  <c r="P1293" i="33"/>
  <c r="P1294" i="33"/>
  <c r="P1295" i="33"/>
  <c r="P1296" i="33"/>
  <c r="P1297" i="33"/>
  <c r="P1298" i="33"/>
  <c r="P1299" i="33"/>
  <c r="P1300" i="33"/>
  <c r="P1301" i="33"/>
  <c r="P1302" i="33"/>
  <c r="P1303" i="33"/>
  <c r="P1304" i="33"/>
  <c r="P1305" i="33"/>
  <c r="P1306" i="33"/>
  <c r="P1307" i="33"/>
  <c r="P1308" i="33"/>
  <c r="P1309" i="33"/>
  <c r="P1310" i="33"/>
  <c r="P1311" i="33"/>
  <c r="P1312" i="33"/>
  <c r="P1313" i="33"/>
  <c r="P1314" i="33"/>
  <c r="P1315" i="33"/>
  <c r="P1316" i="33"/>
  <c r="P1317" i="33"/>
  <c r="P1318" i="33"/>
  <c r="P1319" i="33"/>
  <c r="P1320" i="33"/>
  <c r="P1321" i="33"/>
  <c r="P1322" i="33"/>
  <c r="P1323" i="33"/>
  <c r="P1324" i="33"/>
  <c r="P1325" i="33"/>
  <c r="P1326" i="33"/>
  <c r="P1327" i="33"/>
  <c r="P1328" i="33"/>
  <c r="P1329" i="33"/>
  <c r="P1330" i="33"/>
  <c r="P1331" i="33"/>
  <c r="P1332" i="33"/>
  <c r="P1333" i="33"/>
  <c r="P1334" i="33"/>
  <c r="P1335" i="33"/>
  <c r="P1336" i="33"/>
  <c r="P1337" i="33"/>
  <c r="P1338" i="33"/>
  <c r="P1339" i="33"/>
  <c r="P1340" i="33"/>
  <c r="P1341" i="33"/>
  <c r="P1342" i="33"/>
  <c r="P1343" i="33"/>
  <c r="P1344" i="33"/>
  <c r="P1345" i="33"/>
  <c r="P1346" i="33"/>
  <c r="P1347" i="33"/>
  <c r="P1348" i="33"/>
  <c r="P1349" i="33"/>
  <c r="P1350" i="33"/>
  <c r="P1351" i="33"/>
  <c r="P1352" i="33"/>
  <c r="P1353" i="33"/>
  <c r="P1354" i="33"/>
  <c r="P1355" i="33"/>
  <c r="P1356" i="33"/>
  <c r="P1357" i="33"/>
  <c r="P1358" i="33"/>
  <c r="P1359" i="33"/>
  <c r="P1360" i="33"/>
  <c r="P1361" i="33"/>
  <c r="P1362" i="33"/>
  <c r="P1363" i="33"/>
  <c r="P1364" i="33"/>
  <c r="P1365" i="33"/>
  <c r="P1366" i="33"/>
  <c r="P1367" i="33"/>
  <c r="P1368" i="33"/>
  <c r="P1369" i="33"/>
  <c r="P1370" i="33"/>
  <c r="P1371" i="33"/>
  <c r="P1372" i="33"/>
  <c r="P1373" i="33"/>
  <c r="P1374" i="33"/>
  <c r="P1375" i="33"/>
  <c r="P1376" i="33"/>
  <c r="P1377" i="33"/>
  <c r="P1378" i="33"/>
  <c r="P1379" i="33"/>
  <c r="P1380" i="33"/>
  <c r="P1381" i="33"/>
  <c r="P1382" i="33"/>
  <c r="P1383" i="33"/>
  <c r="P1384" i="33"/>
  <c r="P1385" i="33"/>
  <c r="P1386" i="33"/>
  <c r="P1387" i="33"/>
  <c r="P1388" i="33"/>
  <c r="P1389" i="33"/>
  <c r="P1390" i="33"/>
  <c r="P1391" i="33"/>
  <c r="P1392" i="33"/>
  <c r="P1393" i="33"/>
  <c r="P1394" i="33"/>
  <c r="P1395" i="33"/>
  <c r="P1396" i="33"/>
  <c r="P1397" i="33"/>
  <c r="P1398" i="33"/>
  <c r="P1399" i="33"/>
  <c r="P1400" i="33"/>
  <c r="P1401" i="33"/>
  <c r="P1402" i="33"/>
  <c r="P1403" i="33"/>
  <c r="P1404" i="33"/>
  <c r="P1405" i="33"/>
  <c r="P1406" i="33"/>
  <c r="P1407" i="33"/>
  <c r="P1408" i="33"/>
  <c r="P1409" i="33"/>
  <c r="P1410" i="33"/>
  <c r="P1411" i="33"/>
  <c r="P1412" i="33"/>
  <c r="P1413" i="33"/>
  <c r="P1414" i="33"/>
  <c r="P1415" i="33"/>
  <c r="P1416" i="33"/>
  <c r="P1417" i="33"/>
  <c r="P1418" i="33"/>
  <c r="P1419" i="33"/>
  <c r="P1420" i="33"/>
  <c r="P1421" i="33"/>
  <c r="P1422" i="33"/>
  <c r="P1423" i="33"/>
  <c r="P1424" i="33"/>
  <c r="P1425" i="33"/>
  <c r="P1426" i="33"/>
  <c r="P1427" i="33"/>
  <c r="P1428" i="33"/>
  <c r="P1429" i="33"/>
  <c r="P1430" i="33"/>
  <c r="P1431" i="33"/>
  <c r="P1432" i="33"/>
  <c r="P1433" i="33"/>
  <c r="P1434" i="33"/>
  <c r="P1435" i="33"/>
  <c r="P1436" i="33"/>
  <c r="P1437" i="33"/>
  <c r="P1438" i="33"/>
  <c r="P1439" i="33"/>
  <c r="P1440" i="33"/>
  <c r="P1441" i="33"/>
  <c r="P1442" i="33"/>
  <c r="P1443" i="33"/>
  <c r="P1444" i="33"/>
  <c r="P1445" i="33"/>
  <c r="P1446" i="33"/>
  <c r="P1447" i="33"/>
  <c r="P1448" i="33"/>
  <c r="P1449" i="33"/>
  <c r="P1450" i="33"/>
  <c r="P1451" i="33"/>
  <c r="P1452" i="33"/>
  <c r="P1453" i="33"/>
  <c r="P1454" i="33"/>
  <c r="P1455" i="33"/>
  <c r="P1456" i="33"/>
  <c r="P1457" i="33"/>
  <c r="P1458" i="33"/>
  <c r="P1459" i="33"/>
  <c r="P1460" i="33"/>
  <c r="P1461" i="33"/>
  <c r="P1462" i="33"/>
  <c r="P1463" i="33"/>
  <c r="P1464" i="33"/>
  <c r="P1465" i="33"/>
  <c r="P1466" i="33"/>
  <c r="P1467" i="33"/>
  <c r="P1468" i="33"/>
  <c r="P1469" i="33"/>
  <c r="P1470" i="33"/>
  <c r="P1471" i="33"/>
  <c r="P1472" i="33"/>
  <c r="P1473" i="33"/>
  <c r="P1474" i="33"/>
  <c r="P1475" i="33"/>
  <c r="P1476" i="33"/>
  <c r="P1477" i="33"/>
  <c r="P1478" i="33"/>
  <c r="P1479" i="33"/>
  <c r="P1480" i="33"/>
  <c r="P1481" i="33"/>
  <c r="P1482" i="33"/>
  <c r="P1483" i="33"/>
  <c r="P1484" i="33"/>
  <c r="P1485" i="33"/>
  <c r="P1486" i="33"/>
  <c r="P1487" i="33"/>
  <c r="P1488" i="33"/>
  <c r="P1489" i="33"/>
  <c r="P1490" i="33"/>
  <c r="P1491" i="33"/>
  <c r="P1492" i="33"/>
  <c r="P1493" i="33"/>
  <c r="P1494" i="33"/>
  <c r="P1495" i="33"/>
  <c r="P1496" i="33"/>
  <c r="P1497" i="33"/>
  <c r="P1498" i="33"/>
  <c r="P1499" i="33"/>
  <c r="P1500" i="33"/>
  <c r="P1501" i="33"/>
  <c r="P1502" i="33"/>
  <c r="P1503" i="33"/>
  <c r="P1504" i="33"/>
  <c r="P1505" i="33"/>
  <c r="P1506" i="33"/>
  <c r="P1507" i="33"/>
  <c r="P1509" i="33"/>
  <c r="P1510" i="33"/>
  <c r="P1511" i="33"/>
  <c r="P1512" i="33"/>
  <c r="P1513" i="33"/>
  <c r="P1514" i="33"/>
  <c r="P1515" i="33"/>
  <c r="P1516" i="33"/>
  <c r="P1517" i="33"/>
  <c r="P1518" i="33"/>
  <c r="P1519" i="33"/>
  <c r="P1520" i="33"/>
  <c r="P1521" i="33"/>
  <c r="P1522" i="33"/>
  <c r="P1523" i="33"/>
  <c r="P1524" i="33"/>
  <c r="P1525" i="33"/>
  <c r="P1526" i="33"/>
  <c r="P1527" i="33"/>
  <c r="P1528" i="33"/>
  <c r="P1529" i="33"/>
  <c r="P1530" i="33"/>
  <c r="P1531" i="33"/>
  <c r="P1532" i="33"/>
  <c r="P1533" i="33"/>
  <c r="P1534" i="33"/>
  <c r="P1535" i="33"/>
  <c r="P1536" i="33"/>
  <c r="P1537" i="33"/>
  <c r="P1538" i="33"/>
  <c r="P1539" i="33"/>
  <c r="P1540" i="33"/>
  <c r="P1541" i="33"/>
  <c r="P1542" i="33"/>
  <c r="P1543" i="33"/>
  <c r="P1544" i="33"/>
  <c r="P1545" i="33"/>
  <c r="P1546" i="33"/>
  <c r="P1547" i="33"/>
  <c r="P1548" i="33"/>
  <c r="P1549" i="33"/>
  <c r="P1550" i="33"/>
  <c r="P1551" i="33"/>
  <c r="P1552" i="33"/>
  <c r="P1553" i="33"/>
  <c r="P1554" i="33"/>
  <c r="P1555" i="33"/>
  <c r="P1556" i="33"/>
  <c r="P1557" i="33"/>
  <c r="P1558" i="33"/>
  <c r="P1559" i="33"/>
  <c r="P1560" i="33"/>
  <c r="P1561" i="33"/>
  <c r="P1562" i="33"/>
  <c r="P1563" i="33"/>
  <c r="P1564" i="33"/>
  <c r="P1565" i="33"/>
  <c r="P1566" i="33"/>
  <c r="P1567" i="33"/>
  <c r="P1568" i="33"/>
  <c r="P1569" i="33"/>
  <c r="P1570" i="33"/>
  <c r="P1571" i="33"/>
  <c r="P1572" i="33"/>
  <c r="P1573" i="33"/>
  <c r="P1574" i="33"/>
  <c r="P1575" i="33"/>
  <c r="P1576" i="33"/>
  <c r="P1577" i="33"/>
  <c r="P1578" i="33"/>
  <c r="P1579" i="33"/>
  <c r="P1580" i="33"/>
  <c r="P1581" i="33"/>
  <c r="P1582" i="33"/>
  <c r="P1583" i="33"/>
  <c r="P1584" i="33"/>
  <c r="P1585" i="33"/>
  <c r="P1586" i="33"/>
  <c r="P1587" i="33"/>
  <c r="P1588" i="33"/>
  <c r="P1589" i="33"/>
  <c r="P1590" i="33"/>
  <c r="P1591" i="33"/>
  <c r="P1592" i="33"/>
  <c r="P1593" i="33"/>
  <c r="P1594" i="33"/>
  <c r="P1595" i="33"/>
  <c r="P1596" i="33"/>
  <c r="P1597" i="33"/>
  <c r="P1598" i="33"/>
  <c r="P1599" i="33"/>
  <c r="P1600" i="33"/>
  <c r="P1601" i="33"/>
  <c r="P1602" i="33"/>
  <c r="P1603" i="33"/>
  <c r="P1604" i="33"/>
  <c r="P1605" i="33"/>
  <c r="P1606" i="33"/>
  <c r="P1607" i="33"/>
  <c r="P1608" i="33"/>
  <c r="P1609" i="33"/>
  <c r="P1610" i="33"/>
  <c r="P1611" i="33"/>
  <c r="P1612" i="33"/>
  <c r="P1613" i="33"/>
  <c r="P1614" i="33"/>
  <c r="P1615" i="33"/>
  <c r="P1616" i="33"/>
  <c r="K19" i="58" l="1"/>
  <c r="L96" i="19" l="1"/>
  <c r="L95" i="19"/>
  <c r="L20" i="60" l="1"/>
  <c r="L93" i="19" l="1"/>
  <c r="L92" i="19"/>
  <c r="L91" i="19"/>
  <c r="L90" i="19"/>
  <c r="L87" i="19" l="1"/>
  <c r="L2" i="73"/>
  <c r="L3" i="73"/>
  <c r="L5" i="73"/>
  <c r="L7" i="73"/>
  <c r="L9" i="73"/>
  <c r="L11" i="73"/>
  <c r="L117" i="73"/>
  <c r="L119" i="73"/>
  <c r="L121" i="73"/>
  <c r="L123" i="73"/>
  <c r="L125" i="73"/>
  <c r="L127" i="73"/>
  <c r="L129" i="73"/>
  <c r="L131" i="73"/>
  <c r="L133" i="73"/>
  <c r="L135" i="73"/>
  <c r="L137" i="73"/>
  <c r="L139" i="73"/>
  <c r="L141" i="73"/>
  <c r="L143" i="73"/>
  <c r="L145" i="73"/>
  <c r="L147" i="73"/>
  <c r="L149" i="73"/>
  <c r="L151" i="73"/>
  <c r="L153" i="73"/>
  <c r="L155" i="73"/>
  <c r="L157" i="73"/>
  <c r="L159" i="73"/>
  <c r="L161" i="73"/>
  <c r="L163" i="73"/>
  <c r="L165" i="73"/>
  <c r="L167" i="73"/>
  <c r="L169" i="73"/>
  <c r="L171" i="73"/>
  <c r="L173" i="73"/>
  <c r="L175" i="73"/>
  <c r="L177" i="73"/>
  <c r="L179" i="73"/>
  <c r="L181" i="73"/>
  <c r="L183" i="73"/>
  <c r="L185" i="73"/>
  <c r="L187" i="73"/>
  <c r="L189" i="73"/>
  <c r="L191" i="73"/>
  <c r="L193" i="73"/>
  <c r="L195" i="73"/>
  <c r="L197" i="73"/>
  <c r="L199" i="73"/>
  <c r="L201" i="73"/>
  <c r="L203" i="73"/>
  <c r="L205" i="73"/>
  <c r="L207" i="73"/>
  <c r="L209" i="73"/>
  <c r="L211" i="73"/>
  <c r="L213" i="73"/>
  <c r="L215" i="73"/>
  <c r="L217" i="73"/>
  <c r="L219" i="73"/>
  <c r="L221" i="73"/>
  <c r="L223" i="73"/>
  <c r="L225" i="73"/>
  <c r="L227" i="73"/>
  <c r="L229" i="73"/>
  <c r="L231" i="73"/>
  <c r="L233" i="73"/>
  <c r="L235" i="73"/>
  <c r="L237" i="73"/>
  <c r="J338" i="73"/>
  <c r="L338" i="73" s="1"/>
  <c r="J337" i="73"/>
  <c r="L337" i="73" s="1"/>
  <c r="J336" i="73"/>
  <c r="L336" i="73" s="1"/>
  <c r="J335" i="73"/>
  <c r="J334" i="73"/>
  <c r="L334" i="73" s="1"/>
  <c r="J333" i="73"/>
  <c r="L333" i="73" s="1"/>
  <c r="J332" i="73"/>
  <c r="L332" i="73" s="1"/>
  <c r="J331" i="73"/>
  <c r="J330" i="73"/>
  <c r="L330" i="73" s="1"/>
  <c r="J329" i="73"/>
  <c r="L329" i="73" s="1"/>
  <c r="J328" i="73"/>
  <c r="L328" i="73" s="1"/>
  <c r="J327" i="73"/>
  <c r="J326" i="73"/>
  <c r="L326" i="73" s="1"/>
  <c r="J325" i="73"/>
  <c r="L325" i="73" s="1"/>
  <c r="J324" i="73"/>
  <c r="L324" i="73" s="1"/>
  <c r="J323" i="73"/>
  <c r="J322" i="73"/>
  <c r="L322" i="73" s="1"/>
  <c r="J321" i="73"/>
  <c r="L321" i="73" s="1"/>
  <c r="J320" i="73"/>
  <c r="L320" i="73" s="1"/>
  <c r="J319" i="73"/>
  <c r="J318" i="73"/>
  <c r="L318" i="73" s="1"/>
  <c r="J317" i="73"/>
  <c r="L317" i="73" s="1"/>
  <c r="J316" i="73"/>
  <c r="L316" i="73" s="1"/>
  <c r="J315" i="73"/>
  <c r="J314" i="73"/>
  <c r="L314" i="73" s="1"/>
  <c r="J313" i="73"/>
  <c r="L313" i="73" s="1"/>
  <c r="J312" i="73"/>
  <c r="L312" i="73" s="1"/>
  <c r="J311" i="73"/>
  <c r="J310" i="73"/>
  <c r="L310" i="73" s="1"/>
  <c r="J309" i="73"/>
  <c r="L309" i="73" s="1"/>
  <c r="J308" i="73"/>
  <c r="L308" i="73" s="1"/>
  <c r="J307" i="73"/>
  <c r="J306" i="73"/>
  <c r="L306" i="73" s="1"/>
  <c r="J305" i="73"/>
  <c r="L305" i="73" s="1"/>
  <c r="J304" i="73"/>
  <c r="L304" i="73" s="1"/>
  <c r="J303" i="73"/>
  <c r="J302" i="73"/>
  <c r="L302" i="73" s="1"/>
  <c r="J301" i="73"/>
  <c r="L301" i="73" s="1"/>
  <c r="J300" i="73"/>
  <c r="L300" i="73" s="1"/>
  <c r="J299" i="73"/>
  <c r="J298" i="73"/>
  <c r="L298" i="73" s="1"/>
  <c r="J297" i="73"/>
  <c r="L297" i="73" s="1"/>
  <c r="J296" i="73"/>
  <c r="L296" i="73" s="1"/>
  <c r="J295" i="73"/>
  <c r="J294" i="73"/>
  <c r="L294" i="73" s="1"/>
  <c r="J293" i="73"/>
  <c r="L293" i="73" s="1"/>
  <c r="J292" i="73"/>
  <c r="L292" i="73" s="1"/>
  <c r="J291" i="73"/>
  <c r="J290" i="73"/>
  <c r="L290" i="73" s="1"/>
  <c r="J289" i="73"/>
  <c r="L289" i="73" s="1"/>
  <c r="J288" i="73"/>
  <c r="L288" i="73" s="1"/>
  <c r="J287" i="73"/>
  <c r="J286" i="73"/>
  <c r="L286" i="73" s="1"/>
  <c r="J285" i="73"/>
  <c r="L285" i="73" s="1"/>
  <c r="J284" i="73"/>
  <c r="L284" i="73" s="1"/>
  <c r="J283" i="73"/>
  <c r="J282" i="73"/>
  <c r="L282" i="73" s="1"/>
  <c r="J281" i="73"/>
  <c r="L281" i="73" s="1"/>
  <c r="J280" i="73"/>
  <c r="L280" i="73" s="1"/>
  <c r="J279" i="73"/>
  <c r="J278" i="73"/>
  <c r="L278" i="73" s="1"/>
  <c r="J277" i="73"/>
  <c r="L277" i="73" s="1"/>
  <c r="J276" i="73"/>
  <c r="L276" i="73" s="1"/>
  <c r="J275" i="73"/>
  <c r="J274" i="73"/>
  <c r="L274" i="73" s="1"/>
  <c r="J273" i="73"/>
  <c r="L273" i="73" s="1"/>
  <c r="J272" i="73"/>
  <c r="L272" i="73" s="1"/>
  <c r="J271" i="73"/>
  <c r="J270" i="73"/>
  <c r="L270" i="73" s="1"/>
  <c r="J269" i="73"/>
  <c r="L269" i="73" s="1"/>
  <c r="J268" i="73"/>
  <c r="L268" i="73" s="1"/>
  <c r="J267" i="73"/>
  <c r="J266" i="73"/>
  <c r="L266" i="73" s="1"/>
  <c r="J265" i="73"/>
  <c r="L265" i="73" s="1"/>
  <c r="J264" i="73"/>
  <c r="L264" i="73" s="1"/>
  <c r="J263" i="73"/>
  <c r="J262" i="73"/>
  <c r="L262" i="73" s="1"/>
  <c r="J261" i="73"/>
  <c r="L261" i="73" s="1"/>
  <c r="J260" i="73"/>
  <c r="L260" i="73" s="1"/>
  <c r="J259" i="73"/>
  <c r="J258" i="73"/>
  <c r="L258" i="73" s="1"/>
  <c r="J257" i="73"/>
  <c r="L257" i="73" s="1"/>
  <c r="J256" i="73"/>
  <c r="L256" i="73" s="1"/>
  <c r="J255" i="73"/>
  <c r="J254" i="73"/>
  <c r="L254" i="73" s="1"/>
  <c r="J253" i="73"/>
  <c r="L253" i="73" s="1"/>
  <c r="J252" i="73"/>
  <c r="L252" i="73" s="1"/>
  <c r="J251" i="73"/>
  <c r="L251" i="73" s="1"/>
  <c r="J250" i="73"/>
  <c r="L250" i="73" s="1"/>
  <c r="J249" i="73"/>
  <c r="L249" i="73" s="1"/>
  <c r="J248" i="73"/>
  <c r="L248" i="73" s="1"/>
  <c r="J247" i="73"/>
  <c r="L247" i="73" s="1"/>
  <c r="J246" i="73"/>
  <c r="L246" i="73" s="1"/>
  <c r="J245" i="73"/>
  <c r="L245" i="73" s="1"/>
  <c r="J244" i="73"/>
  <c r="L244" i="73" s="1"/>
  <c r="J243" i="73"/>
  <c r="L243" i="73" s="1"/>
  <c r="J242" i="73"/>
  <c r="L242" i="73" s="1"/>
  <c r="J241" i="73"/>
  <c r="L241" i="73" s="1"/>
  <c r="J240" i="73"/>
  <c r="L240" i="73" s="1"/>
  <c r="J239" i="73"/>
  <c r="L239" i="73" s="1"/>
  <c r="J238" i="73"/>
  <c r="L238" i="73" s="1"/>
  <c r="L236" i="73"/>
  <c r="L234" i="73"/>
  <c r="L232" i="73"/>
  <c r="L230" i="73"/>
  <c r="L228" i="73"/>
  <c r="L226" i="73"/>
  <c r="L224" i="73"/>
  <c r="L222" i="73"/>
  <c r="L220" i="73"/>
  <c r="L218" i="73"/>
  <c r="L216" i="73"/>
  <c r="L214" i="73"/>
  <c r="L212" i="73"/>
  <c r="L210" i="73"/>
  <c r="L208" i="73"/>
  <c r="L206" i="73"/>
  <c r="L204" i="73"/>
  <c r="L202" i="73"/>
  <c r="L200" i="73"/>
  <c r="L198" i="73"/>
  <c r="L196" i="73"/>
  <c r="L194" i="73"/>
  <c r="L192" i="73"/>
  <c r="L190" i="73"/>
  <c r="L188" i="73"/>
  <c r="L186" i="73"/>
  <c r="L184" i="73"/>
  <c r="L182" i="73"/>
  <c r="L180" i="73"/>
  <c r="L178" i="73"/>
  <c r="L176" i="73"/>
  <c r="L174" i="73"/>
  <c r="L172" i="73"/>
  <c r="L170" i="73"/>
  <c r="L168" i="73"/>
  <c r="L166" i="73"/>
  <c r="L164" i="73"/>
  <c r="L162" i="73"/>
  <c r="L160" i="73"/>
  <c r="L158" i="73"/>
  <c r="L156" i="73"/>
  <c r="L154" i="73"/>
  <c r="L152" i="73"/>
  <c r="L150" i="73"/>
  <c r="L148" i="73"/>
  <c r="L146" i="73"/>
  <c r="L144" i="73"/>
  <c r="L142" i="73"/>
  <c r="L140" i="73"/>
  <c r="L138" i="73"/>
  <c r="L136" i="73"/>
  <c r="L134" i="73"/>
  <c r="L132" i="73"/>
  <c r="L130" i="73"/>
  <c r="L128" i="73"/>
  <c r="L126" i="73"/>
  <c r="L124" i="73"/>
  <c r="L122" i="73"/>
  <c r="L120" i="73"/>
  <c r="L118" i="73"/>
  <c r="L116" i="73"/>
  <c r="L115" i="73"/>
  <c r="L114" i="73"/>
  <c r="L113" i="73"/>
  <c r="L112" i="73"/>
  <c r="L111" i="73"/>
  <c r="L110" i="73"/>
  <c r="L109" i="73"/>
  <c r="L108" i="73"/>
  <c r="L107" i="73"/>
  <c r="L106" i="73"/>
  <c r="L105" i="73"/>
  <c r="L104" i="73"/>
  <c r="L103" i="73"/>
  <c r="L102" i="73"/>
  <c r="L101" i="73"/>
  <c r="L100" i="73"/>
  <c r="L99" i="73"/>
  <c r="L98" i="73"/>
  <c r="L97" i="73"/>
  <c r="L96" i="73"/>
  <c r="L95" i="73"/>
  <c r="L94" i="73"/>
  <c r="L93" i="73"/>
  <c r="L92" i="73"/>
  <c r="L91" i="73"/>
  <c r="L90" i="73"/>
  <c r="L89" i="73"/>
  <c r="L88" i="73"/>
  <c r="L87" i="73"/>
  <c r="L86" i="73"/>
  <c r="L85" i="73"/>
  <c r="L84" i="73"/>
  <c r="L83" i="73"/>
  <c r="L82" i="73"/>
  <c r="L81" i="73"/>
  <c r="L80" i="73"/>
  <c r="L79" i="73"/>
  <c r="L78" i="73"/>
  <c r="L77" i="73"/>
  <c r="L76" i="73"/>
  <c r="L75" i="73"/>
  <c r="L74" i="73"/>
  <c r="L73" i="73"/>
  <c r="L72" i="73"/>
  <c r="L71" i="73"/>
  <c r="L70" i="73"/>
  <c r="L69" i="73"/>
  <c r="L68" i="73"/>
  <c r="L67" i="73"/>
  <c r="L66" i="73"/>
  <c r="L65" i="73"/>
  <c r="L64" i="73"/>
  <c r="L63" i="73"/>
  <c r="L62" i="73"/>
  <c r="L61" i="73"/>
  <c r="L60" i="73"/>
  <c r="L59" i="73"/>
  <c r="L58" i="73"/>
  <c r="L57" i="73"/>
  <c r="L56" i="73"/>
  <c r="L55" i="73"/>
  <c r="L54" i="73"/>
  <c r="L53" i="73"/>
  <c r="L52" i="73"/>
  <c r="L51" i="73"/>
  <c r="L50" i="73"/>
  <c r="L49" i="73"/>
  <c r="L48" i="73"/>
  <c r="L47" i="73"/>
  <c r="L46" i="73"/>
  <c r="L45" i="73"/>
  <c r="L44" i="73"/>
  <c r="L43" i="73"/>
  <c r="L42" i="73"/>
  <c r="L41" i="73"/>
  <c r="L40" i="73"/>
  <c r="L39" i="73"/>
  <c r="L38" i="73"/>
  <c r="L37" i="73"/>
  <c r="L36" i="73"/>
  <c r="L35" i="73"/>
  <c r="L34" i="73"/>
  <c r="L33" i="73"/>
  <c r="L32" i="73"/>
  <c r="L31" i="73"/>
  <c r="L30" i="73"/>
  <c r="L29" i="73"/>
  <c r="L28" i="73"/>
  <c r="L27" i="73"/>
  <c r="L26" i="73"/>
  <c r="L25" i="73"/>
  <c r="L24" i="73"/>
  <c r="L23" i="73"/>
  <c r="L22" i="73"/>
  <c r="L21" i="73"/>
  <c r="L20" i="73"/>
  <c r="L19" i="73"/>
  <c r="L18" i="73"/>
  <c r="L17" i="73"/>
  <c r="L16" i="73"/>
  <c r="L15" i="73"/>
  <c r="L14" i="73"/>
  <c r="L13" i="73"/>
  <c r="L12" i="73"/>
  <c r="L10" i="73"/>
  <c r="L8" i="73"/>
  <c r="L6" i="73"/>
  <c r="L4" i="73"/>
  <c r="L88" i="19" l="1"/>
  <c r="L255" i="73"/>
  <c r="L259" i="73"/>
  <c r="L263" i="73"/>
  <c r="L267" i="73"/>
  <c r="L271" i="73"/>
  <c r="L275" i="73"/>
  <c r="L279" i="73"/>
  <c r="L283" i="73"/>
  <c r="L287" i="73"/>
  <c r="L291" i="73"/>
  <c r="L295" i="73"/>
  <c r="L299" i="73"/>
  <c r="L303" i="73"/>
  <c r="L307" i="73"/>
  <c r="L311" i="73"/>
  <c r="L315" i="73"/>
  <c r="L319" i="73"/>
  <c r="L323" i="73"/>
  <c r="L327" i="73"/>
  <c r="L331" i="73"/>
  <c r="L335" i="73"/>
  <c r="N3" i="73"/>
  <c r="N4" i="73" s="1"/>
  <c r="N5" i="73" s="1"/>
  <c r="N6" i="73" s="1"/>
  <c r="N7" i="73" s="1"/>
  <c r="N8" i="73" s="1"/>
  <c r="N9" i="73" s="1"/>
  <c r="N10" i="73" s="1"/>
  <c r="N11" i="73" s="1"/>
  <c r="N12" i="73" s="1"/>
  <c r="N13" i="73" s="1"/>
  <c r="N14" i="73" s="1"/>
  <c r="N15" i="73" s="1"/>
  <c r="N16" i="73" s="1"/>
  <c r="N17" i="73" s="1"/>
  <c r="N18" i="73" s="1"/>
  <c r="N19" i="73" s="1"/>
  <c r="N20" i="73" s="1"/>
  <c r="N21" i="73" s="1"/>
  <c r="N22" i="73" s="1"/>
  <c r="N23" i="73" s="1"/>
  <c r="N24" i="73" s="1"/>
  <c r="N25" i="73" s="1"/>
  <c r="N26" i="73" s="1"/>
  <c r="N27" i="73" s="1"/>
  <c r="N28" i="73" s="1"/>
  <c r="N29" i="73" s="1"/>
  <c r="N30" i="73" s="1"/>
  <c r="N31" i="73" s="1"/>
  <c r="N32" i="73" s="1"/>
  <c r="N33" i="73" s="1"/>
  <c r="N34" i="73" s="1"/>
  <c r="N35" i="73" s="1"/>
  <c r="N36" i="73" s="1"/>
  <c r="N37" i="73" s="1"/>
  <c r="N38" i="73" s="1"/>
  <c r="N39" i="73" s="1"/>
  <c r="N40" i="73" s="1"/>
  <c r="N41" i="73" s="1"/>
  <c r="N42" i="73" s="1"/>
  <c r="N43" i="73" s="1"/>
  <c r="N44" i="73" s="1"/>
  <c r="N45" i="73" s="1"/>
  <c r="N46" i="73" s="1"/>
  <c r="N47" i="73" s="1"/>
  <c r="N48" i="73" s="1"/>
  <c r="N49" i="73" s="1"/>
  <c r="N50" i="73" s="1"/>
  <c r="N51" i="73" s="1"/>
  <c r="N52" i="73" s="1"/>
  <c r="N53" i="73" s="1"/>
  <c r="N54" i="73" s="1"/>
  <c r="N55" i="73" s="1"/>
  <c r="N56" i="73" s="1"/>
  <c r="N57" i="73" s="1"/>
  <c r="N58" i="73" s="1"/>
  <c r="N59" i="73" s="1"/>
  <c r="N60" i="73" s="1"/>
  <c r="N61" i="73" s="1"/>
  <c r="N62" i="73" s="1"/>
  <c r="N63" i="73" s="1"/>
  <c r="N64" i="73" s="1"/>
  <c r="N65" i="73" s="1"/>
  <c r="N66" i="73" s="1"/>
  <c r="N67" i="73" s="1"/>
  <c r="N68" i="73" s="1"/>
  <c r="N69" i="73" s="1"/>
  <c r="N70" i="73" s="1"/>
  <c r="N71" i="73" s="1"/>
  <c r="N72" i="73" s="1"/>
  <c r="N73" i="73" s="1"/>
  <c r="N74" i="73" s="1"/>
  <c r="N75" i="73" s="1"/>
  <c r="N76" i="73" s="1"/>
  <c r="N77" i="73" s="1"/>
  <c r="N78" i="73" s="1"/>
  <c r="N79" i="73" s="1"/>
  <c r="N80" i="73" s="1"/>
  <c r="N81" i="73" s="1"/>
  <c r="N82" i="73" s="1"/>
  <c r="N83" i="73" s="1"/>
  <c r="N84" i="73" s="1"/>
  <c r="N85" i="73" s="1"/>
  <c r="N86" i="73" s="1"/>
  <c r="N87" i="73" s="1"/>
  <c r="N88" i="73" s="1"/>
  <c r="N89" i="73" s="1"/>
  <c r="N90" i="73" s="1"/>
  <c r="N91" i="73" s="1"/>
  <c r="N92" i="73" s="1"/>
  <c r="N93" i="73" s="1"/>
  <c r="N94" i="73" s="1"/>
  <c r="N95" i="73" s="1"/>
  <c r="N96" i="73" s="1"/>
  <c r="N97" i="73" s="1"/>
  <c r="N98" i="73" s="1"/>
  <c r="N99" i="73" s="1"/>
  <c r="N100" i="73" s="1"/>
  <c r="N101" i="73" s="1"/>
  <c r="N102" i="73" s="1"/>
  <c r="N103" i="73" s="1"/>
  <c r="N104" i="73" s="1"/>
  <c r="N105" i="73" s="1"/>
  <c r="N106" i="73" s="1"/>
  <c r="N107" i="73" s="1"/>
  <c r="N108" i="73" s="1"/>
  <c r="N109" i="73" s="1"/>
  <c r="N110" i="73" s="1"/>
  <c r="N111" i="73" s="1"/>
  <c r="N112" i="73" s="1"/>
  <c r="N113" i="73" s="1"/>
  <c r="N114" i="73" s="1"/>
  <c r="N115" i="73" s="1"/>
  <c r="N116" i="73" s="1"/>
  <c r="N117" i="73" s="1"/>
  <c r="N118" i="73" s="1"/>
  <c r="N119" i="73" s="1"/>
  <c r="N120" i="73" s="1"/>
  <c r="N121" i="73" s="1"/>
  <c r="N122" i="73" s="1"/>
  <c r="N123" i="73" s="1"/>
  <c r="N124" i="73" s="1"/>
  <c r="N125" i="73" s="1"/>
  <c r="N126" i="73" s="1"/>
  <c r="N127" i="73" s="1"/>
  <c r="N128" i="73" s="1"/>
  <c r="N129" i="73" s="1"/>
  <c r="N130" i="73" s="1"/>
  <c r="N131" i="73" s="1"/>
  <c r="N132" i="73" s="1"/>
  <c r="N133" i="73" s="1"/>
  <c r="N134" i="73" s="1"/>
  <c r="N135" i="73" s="1"/>
  <c r="N136" i="73" s="1"/>
  <c r="N137" i="73" s="1"/>
  <c r="N138" i="73" s="1"/>
  <c r="N139" i="73" s="1"/>
  <c r="N140" i="73" s="1"/>
  <c r="N141" i="73" s="1"/>
  <c r="N142" i="73" s="1"/>
  <c r="N143" i="73" s="1"/>
  <c r="N144" i="73" s="1"/>
  <c r="N145" i="73" s="1"/>
  <c r="N146" i="73" s="1"/>
  <c r="N147" i="73" s="1"/>
  <c r="N148" i="73" s="1"/>
  <c r="N149" i="73" s="1"/>
  <c r="N150" i="73" s="1"/>
  <c r="N151" i="73" s="1"/>
  <c r="N152" i="73" s="1"/>
  <c r="N153" i="73" s="1"/>
  <c r="N154" i="73" s="1"/>
  <c r="N155" i="73" s="1"/>
  <c r="N156" i="73" s="1"/>
  <c r="N157" i="73" s="1"/>
  <c r="N158" i="73" s="1"/>
  <c r="N159" i="73" s="1"/>
  <c r="N160" i="73" s="1"/>
  <c r="N161" i="73" s="1"/>
  <c r="N162" i="73" s="1"/>
  <c r="N163" i="73" s="1"/>
  <c r="N164" i="73" s="1"/>
  <c r="N165" i="73" s="1"/>
  <c r="N166" i="73" s="1"/>
  <c r="N167" i="73" s="1"/>
  <c r="N168" i="73" s="1"/>
  <c r="N169" i="73" s="1"/>
  <c r="N170" i="73" s="1"/>
  <c r="N171" i="73" s="1"/>
  <c r="N172" i="73" s="1"/>
  <c r="N173" i="73" s="1"/>
  <c r="N174" i="73" s="1"/>
  <c r="N175" i="73" s="1"/>
  <c r="N176" i="73" s="1"/>
  <c r="N177" i="73" s="1"/>
  <c r="N178" i="73" s="1"/>
  <c r="N179" i="73" s="1"/>
  <c r="N180" i="73" s="1"/>
  <c r="N181" i="73" s="1"/>
  <c r="N182" i="73" s="1"/>
  <c r="N183" i="73" s="1"/>
  <c r="N184" i="73" s="1"/>
  <c r="N185" i="73" s="1"/>
  <c r="N186" i="73" s="1"/>
  <c r="N187" i="73" s="1"/>
  <c r="N188" i="73" s="1"/>
  <c r="N189" i="73" s="1"/>
  <c r="N190" i="73" s="1"/>
  <c r="N191" i="73" s="1"/>
  <c r="N192" i="73" s="1"/>
  <c r="N193" i="73" s="1"/>
  <c r="N194" i="73" s="1"/>
  <c r="N195" i="73" s="1"/>
  <c r="N196" i="73" s="1"/>
  <c r="N197" i="73" s="1"/>
  <c r="N198" i="73" s="1"/>
  <c r="N199" i="73" s="1"/>
  <c r="N200" i="73" s="1"/>
  <c r="N201" i="73" s="1"/>
  <c r="N202" i="73" s="1"/>
  <c r="N203" i="73" s="1"/>
  <c r="N204" i="73" s="1"/>
  <c r="N205" i="73" s="1"/>
  <c r="N206" i="73" s="1"/>
  <c r="N207" i="73" s="1"/>
  <c r="N208" i="73" s="1"/>
  <c r="N209" i="73" s="1"/>
  <c r="N210" i="73" s="1"/>
  <c r="N211" i="73" s="1"/>
  <c r="N212" i="73" s="1"/>
  <c r="N213" i="73" s="1"/>
  <c r="N214" i="73" s="1"/>
  <c r="N215" i="73" s="1"/>
  <c r="N216" i="73" s="1"/>
  <c r="N217" i="73" s="1"/>
  <c r="N218" i="73" s="1"/>
  <c r="N219" i="73" s="1"/>
  <c r="N220" i="73" s="1"/>
  <c r="N221" i="73" s="1"/>
  <c r="N222" i="73" s="1"/>
  <c r="N223" i="73" s="1"/>
  <c r="N224" i="73" s="1"/>
  <c r="N225" i="73" s="1"/>
  <c r="N226" i="73" s="1"/>
  <c r="N227" i="73" s="1"/>
  <c r="N228" i="73" s="1"/>
  <c r="N229" i="73" s="1"/>
  <c r="N230" i="73" s="1"/>
  <c r="N231" i="73" s="1"/>
  <c r="N232" i="73" s="1"/>
  <c r="N233" i="73" s="1"/>
  <c r="N234" i="73" s="1"/>
  <c r="N235" i="73" s="1"/>
  <c r="N236" i="73" s="1"/>
  <c r="N237" i="73" s="1"/>
  <c r="N238" i="73" s="1"/>
  <c r="N239" i="73" s="1"/>
  <c r="N240" i="73" s="1"/>
  <c r="N241" i="73" s="1"/>
  <c r="N242" i="73" s="1"/>
  <c r="N243" i="73" s="1"/>
  <c r="N244" i="73" s="1"/>
  <c r="N245" i="73" s="1"/>
  <c r="N246" i="73" s="1"/>
  <c r="N247" i="73" s="1"/>
  <c r="N248" i="73" s="1"/>
  <c r="N249" i="73" s="1"/>
  <c r="N250" i="73" s="1"/>
  <c r="N251" i="73" s="1"/>
  <c r="N252" i="73" s="1"/>
  <c r="N253" i="73" s="1"/>
  <c r="N254" i="73" s="1"/>
  <c r="N255" i="73" s="1"/>
  <c r="N256" i="73" s="1"/>
  <c r="N257" i="73" s="1"/>
  <c r="N258" i="73" s="1"/>
  <c r="O12" i="73" l="1"/>
  <c r="B29" i="14" s="1"/>
  <c r="N259" i="73"/>
  <c r="N260" i="73" s="1"/>
  <c r="N261" i="73" s="1"/>
  <c r="N262" i="73" s="1"/>
  <c r="N263" i="73" s="1"/>
  <c r="N264" i="73" s="1"/>
  <c r="N265" i="73" s="1"/>
  <c r="N266" i="73" s="1"/>
  <c r="N267" i="73" s="1"/>
  <c r="N268" i="73" s="1"/>
  <c r="N269" i="73" s="1"/>
  <c r="N270" i="73" s="1"/>
  <c r="N271" i="73" s="1"/>
  <c r="N272" i="73" s="1"/>
  <c r="N273" i="73" s="1"/>
  <c r="N274" i="73" s="1"/>
  <c r="N275" i="73" s="1"/>
  <c r="N276" i="73" s="1"/>
  <c r="N277" i="73" s="1"/>
  <c r="N278" i="73" s="1"/>
  <c r="N279" i="73" s="1"/>
  <c r="N280" i="73" s="1"/>
  <c r="N281" i="73" s="1"/>
  <c r="N282" i="73" s="1"/>
  <c r="N283" i="73" s="1"/>
  <c r="N284" i="73" s="1"/>
  <c r="N285" i="73" s="1"/>
  <c r="N286" i="73" s="1"/>
  <c r="N287" i="73" s="1"/>
  <c r="N288" i="73" s="1"/>
  <c r="N289" i="73" s="1"/>
  <c r="N290" i="73" s="1"/>
  <c r="N291" i="73" s="1"/>
  <c r="N292" i="73" s="1"/>
  <c r="N293" i="73" s="1"/>
  <c r="N294" i="73" s="1"/>
  <c r="N295" i="73" s="1"/>
  <c r="N296" i="73" s="1"/>
  <c r="N297" i="73" s="1"/>
  <c r="N298" i="73" s="1"/>
  <c r="N299" i="73" s="1"/>
  <c r="N300" i="73" s="1"/>
  <c r="N301" i="73" s="1"/>
  <c r="N302" i="73" s="1"/>
  <c r="N303" i="73" s="1"/>
  <c r="N304" i="73" s="1"/>
  <c r="N305" i="73" s="1"/>
  <c r="N306" i="73" s="1"/>
  <c r="N307" i="73" s="1"/>
  <c r="N308" i="73" s="1"/>
  <c r="N309" i="73" s="1"/>
  <c r="N310" i="73" s="1"/>
  <c r="N311" i="73" s="1"/>
  <c r="N312" i="73" s="1"/>
  <c r="N313" i="73" s="1"/>
  <c r="N314" i="73" s="1"/>
  <c r="N315" i="73" s="1"/>
  <c r="N316" i="73" s="1"/>
  <c r="N317" i="73" s="1"/>
  <c r="N318" i="73" s="1"/>
  <c r="N319" i="73" s="1"/>
  <c r="N320" i="73" s="1"/>
  <c r="N321" i="73" s="1"/>
  <c r="N322" i="73" s="1"/>
  <c r="N323" i="73" s="1"/>
  <c r="N324" i="73" s="1"/>
  <c r="N325" i="73" s="1"/>
  <c r="N326" i="73" s="1"/>
  <c r="N327" i="73" s="1"/>
  <c r="N328" i="73" s="1"/>
  <c r="N329" i="73" s="1"/>
  <c r="N330" i="73" s="1"/>
  <c r="N331" i="73" s="1"/>
  <c r="N332" i="73" s="1"/>
  <c r="N333" i="73" s="1"/>
  <c r="N334" i="73" s="1"/>
  <c r="N335" i="73" s="1"/>
  <c r="N336" i="73" s="1"/>
  <c r="N337" i="73" s="1"/>
  <c r="N338" i="73" s="1"/>
  <c r="L2" i="72" l="1"/>
  <c r="J340" i="72"/>
  <c r="L340" i="72" s="1"/>
  <c r="J339" i="72"/>
  <c r="L339" i="72" s="1"/>
  <c r="J338" i="72"/>
  <c r="L338" i="72" s="1"/>
  <c r="J337" i="72"/>
  <c r="L337" i="72" s="1"/>
  <c r="J336" i="72"/>
  <c r="L336" i="72" s="1"/>
  <c r="J335" i="72"/>
  <c r="L335" i="72" s="1"/>
  <c r="J334" i="72"/>
  <c r="L334" i="72" s="1"/>
  <c r="J333" i="72"/>
  <c r="L333" i="72" s="1"/>
  <c r="L332" i="72"/>
  <c r="J332" i="72"/>
  <c r="J331" i="72"/>
  <c r="L331" i="72" s="1"/>
  <c r="J330" i="72"/>
  <c r="L330" i="72" s="1"/>
  <c r="J329" i="72"/>
  <c r="L329" i="72" s="1"/>
  <c r="J328" i="72"/>
  <c r="L328" i="72" s="1"/>
  <c r="J327" i="72"/>
  <c r="L327" i="72" s="1"/>
  <c r="J326" i="72"/>
  <c r="L326" i="72" s="1"/>
  <c r="J325" i="72"/>
  <c r="L325" i="72" s="1"/>
  <c r="J324" i="72"/>
  <c r="L324" i="72" s="1"/>
  <c r="J323" i="72"/>
  <c r="L323" i="72" s="1"/>
  <c r="J322" i="72"/>
  <c r="L322" i="72" s="1"/>
  <c r="J321" i="72"/>
  <c r="L321" i="72" s="1"/>
  <c r="J320" i="72"/>
  <c r="L320" i="72" s="1"/>
  <c r="J319" i="72"/>
  <c r="L319" i="72" s="1"/>
  <c r="J318" i="72"/>
  <c r="L318" i="72" s="1"/>
  <c r="J317" i="72"/>
  <c r="L317" i="72" s="1"/>
  <c r="J316" i="72"/>
  <c r="L316" i="72" s="1"/>
  <c r="J315" i="72"/>
  <c r="L315" i="72" s="1"/>
  <c r="J314" i="72"/>
  <c r="L314" i="72" s="1"/>
  <c r="J313" i="72"/>
  <c r="L313" i="72" s="1"/>
  <c r="J312" i="72"/>
  <c r="L312" i="72" s="1"/>
  <c r="J311" i="72"/>
  <c r="L311" i="72" s="1"/>
  <c r="J310" i="72"/>
  <c r="L310" i="72" s="1"/>
  <c r="J309" i="72"/>
  <c r="L309" i="72" s="1"/>
  <c r="J308" i="72"/>
  <c r="L308" i="72" s="1"/>
  <c r="J307" i="72"/>
  <c r="L307" i="72" s="1"/>
  <c r="J306" i="72"/>
  <c r="L306" i="72" s="1"/>
  <c r="J305" i="72"/>
  <c r="L305" i="72" s="1"/>
  <c r="J304" i="72"/>
  <c r="L304" i="72" s="1"/>
  <c r="J303" i="72"/>
  <c r="L303" i="72" s="1"/>
  <c r="J302" i="72"/>
  <c r="L302" i="72" s="1"/>
  <c r="J301" i="72"/>
  <c r="L301" i="72" s="1"/>
  <c r="J300" i="72"/>
  <c r="L300" i="72" s="1"/>
  <c r="J299" i="72"/>
  <c r="L299" i="72" s="1"/>
  <c r="J298" i="72"/>
  <c r="L298" i="72" s="1"/>
  <c r="J297" i="72"/>
  <c r="L297" i="72" s="1"/>
  <c r="J296" i="72"/>
  <c r="L296" i="72" s="1"/>
  <c r="J295" i="72"/>
  <c r="L295" i="72" s="1"/>
  <c r="J294" i="72"/>
  <c r="L294" i="72" s="1"/>
  <c r="J293" i="72"/>
  <c r="L293" i="72" s="1"/>
  <c r="J292" i="72"/>
  <c r="L292" i="72" s="1"/>
  <c r="J291" i="72"/>
  <c r="L291" i="72" s="1"/>
  <c r="J290" i="72"/>
  <c r="L290" i="72" s="1"/>
  <c r="J289" i="72"/>
  <c r="L289" i="72" s="1"/>
  <c r="J288" i="72"/>
  <c r="L288" i="72" s="1"/>
  <c r="J287" i="72"/>
  <c r="L287" i="72" s="1"/>
  <c r="J286" i="72"/>
  <c r="L286" i="72" s="1"/>
  <c r="J285" i="72"/>
  <c r="L285" i="72" s="1"/>
  <c r="J284" i="72"/>
  <c r="L284" i="72" s="1"/>
  <c r="J283" i="72"/>
  <c r="L283" i="72" s="1"/>
  <c r="J282" i="72"/>
  <c r="L282" i="72" s="1"/>
  <c r="J281" i="72"/>
  <c r="L281" i="72" s="1"/>
  <c r="J280" i="72"/>
  <c r="L280" i="72" s="1"/>
  <c r="J279" i="72"/>
  <c r="L279" i="72" s="1"/>
  <c r="J278" i="72"/>
  <c r="L278" i="72" s="1"/>
  <c r="J277" i="72"/>
  <c r="L277" i="72" s="1"/>
  <c r="J276" i="72"/>
  <c r="L276" i="72" s="1"/>
  <c r="J275" i="72"/>
  <c r="L275" i="72" s="1"/>
  <c r="J274" i="72"/>
  <c r="L274" i="72" s="1"/>
  <c r="J273" i="72"/>
  <c r="L273" i="72" s="1"/>
  <c r="J272" i="72"/>
  <c r="L272" i="72" s="1"/>
  <c r="J271" i="72"/>
  <c r="L271" i="72" s="1"/>
  <c r="J270" i="72"/>
  <c r="L270" i="72" s="1"/>
  <c r="J269" i="72"/>
  <c r="L269" i="72" s="1"/>
  <c r="J268" i="72"/>
  <c r="L268" i="72" s="1"/>
  <c r="J267" i="72"/>
  <c r="L267" i="72" s="1"/>
  <c r="J266" i="72"/>
  <c r="L266" i="72" s="1"/>
  <c r="J265" i="72"/>
  <c r="L265" i="72" s="1"/>
  <c r="L264" i="72"/>
  <c r="J264" i="72"/>
  <c r="J263" i="72"/>
  <c r="L263" i="72" s="1"/>
  <c r="J262" i="72"/>
  <c r="L262" i="72" s="1"/>
  <c r="J261" i="72"/>
  <c r="L261" i="72" s="1"/>
  <c r="J260" i="72"/>
  <c r="L260" i="72" s="1"/>
  <c r="J259" i="72"/>
  <c r="L259" i="72" s="1"/>
  <c r="J258" i="72"/>
  <c r="L258" i="72" s="1"/>
  <c r="J257" i="72"/>
  <c r="L257" i="72" s="1"/>
  <c r="J256" i="72"/>
  <c r="L256" i="72" s="1"/>
  <c r="J255" i="72"/>
  <c r="L255" i="72" s="1"/>
  <c r="J254" i="72"/>
  <c r="L254" i="72" s="1"/>
  <c r="J253" i="72"/>
  <c r="L253" i="72" s="1"/>
  <c r="J252" i="72"/>
  <c r="L252" i="72" s="1"/>
  <c r="J251" i="72"/>
  <c r="L251" i="72" s="1"/>
  <c r="J250" i="72"/>
  <c r="L250" i="72" s="1"/>
  <c r="J249" i="72"/>
  <c r="L249" i="72" s="1"/>
  <c r="J248" i="72"/>
  <c r="L248" i="72" s="1"/>
  <c r="J247" i="72"/>
  <c r="L247" i="72" s="1"/>
  <c r="J246" i="72"/>
  <c r="L246" i="72" s="1"/>
  <c r="J245" i="72"/>
  <c r="L245" i="72" s="1"/>
  <c r="J244" i="72"/>
  <c r="L244" i="72" s="1"/>
  <c r="J243" i="72"/>
  <c r="L243" i="72" s="1"/>
  <c r="J242" i="72"/>
  <c r="L242" i="72" s="1"/>
  <c r="J241" i="72"/>
  <c r="L241" i="72" s="1"/>
  <c r="J240" i="72"/>
  <c r="L240" i="72" s="1"/>
  <c r="L239" i="72"/>
  <c r="L238" i="72"/>
  <c r="L237" i="72"/>
  <c r="L236" i="72"/>
  <c r="L235" i="72"/>
  <c r="L234" i="72"/>
  <c r="L233" i="72"/>
  <c r="L232" i="72"/>
  <c r="L231" i="72"/>
  <c r="L230" i="72"/>
  <c r="L229" i="72"/>
  <c r="L228" i="72"/>
  <c r="L227" i="72"/>
  <c r="L226" i="72"/>
  <c r="L225" i="72"/>
  <c r="L224" i="72"/>
  <c r="L223" i="72"/>
  <c r="L222" i="72"/>
  <c r="L221" i="72"/>
  <c r="L220" i="72"/>
  <c r="L219" i="72"/>
  <c r="L218" i="72"/>
  <c r="L217" i="72"/>
  <c r="L216" i="72"/>
  <c r="L215" i="72"/>
  <c r="L214" i="72"/>
  <c r="L213" i="72"/>
  <c r="L212" i="72"/>
  <c r="L211" i="72"/>
  <c r="L210" i="72"/>
  <c r="L209" i="72"/>
  <c r="L208" i="72"/>
  <c r="L207" i="72"/>
  <c r="L206" i="72"/>
  <c r="L205" i="72"/>
  <c r="L204" i="72"/>
  <c r="L203" i="72"/>
  <c r="L202" i="72"/>
  <c r="L201" i="72"/>
  <c r="L200" i="72"/>
  <c r="L199" i="72"/>
  <c r="L198" i="72"/>
  <c r="L197" i="72"/>
  <c r="L196" i="72"/>
  <c r="L195" i="72"/>
  <c r="L194" i="72"/>
  <c r="L193" i="72"/>
  <c r="L192" i="72"/>
  <c r="L191" i="72"/>
  <c r="L190" i="72"/>
  <c r="L189" i="72"/>
  <c r="L188" i="72"/>
  <c r="L187" i="72"/>
  <c r="L186" i="72"/>
  <c r="L185" i="72"/>
  <c r="L184" i="72"/>
  <c r="L183" i="72"/>
  <c r="L182" i="72"/>
  <c r="L181" i="72"/>
  <c r="L180" i="72"/>
  <c r="L179" i="72"/>
  <c r="L178" i="72"/>
  <c r="L177" i="72"/>
  <c r="L176" i="72"/>
  <c r="L175" i="72"/>
  <c r="L174" i="72"/>
  <c r="L173" i="72"/>
  <c r="L172" i="72"/>
  <c r="L171" i="72"/>
  <c r="L170" i="72"/>
  <c r="L169" i="72"/>
  <c r="L168" i="72"/>
  <c r="L167" i="72"/>
  <c r="L166" i="72"/>
  <c r="L165" i="72"/>
  <c r="L164" i="72"/>
  <c r="L163" i="72"/>
  <c r="L162" i="72"/>
  <c r="L161" i="72"/>
  <c r="L160" i="72"/>
  <c r="L159" i="72"/>
  <c r="L158" i="72"/>
  <c r="L157" i="72"/>
  <c r="L156" i="72"/>
  <c r="L155" i="72"/>
  <c r="L154" i="72"/>
  <c r="L153" i="72"/>
  <c r="L152" i="72"/>
  <c r="L151" i="72"/>
  <c r="L150" i="72"/>
  <c r="L149" i="72"/>
  <c r="L148" i="72"/>
  <c r="L147" i="72"/>
  <c r="L146" i="72"/>
  <c r="L145" i="72"/>
  <c r="L144" i="72"/>
  <c r="L143" i="72"/>
  <c r="L142" i="72"/>
  <c r="L141" i="72"/>
  <c r="L140" i="72"/>
  <c r="L139" i="72"/>
  <c r="L138" i="72"/>
  <c r="L137" i="72"/>
  <c r="L136" i="72"/>
  <c r="L135" i="72"/>
  <c r="L134" i="72"/>
  <c r="L133" i="72"/>
  <c r="L132" i="72"/>
  <c r="L131" i="72"/>
  <c r="L130" i="72"/>
  <c r="L129" i="72"/>
  <c r="L128" i="72"/>
  <c r="L127" i="72"/>
  <c r="L126" i="72"/>
  <c r="L125" i="72"/>
  <c r="L124" i="72"/>
  <c r="L123" i="72"/>
  <c r="L122" i="72"/>
  <c r="L121" i="72"/>
  <c r="L120" i="72"/>
  <c r="L119" i="72"/>
  <c r="L118" i="72"/>
  <c r="L117" i="72"/>
  <c r="L116" i="72"/>
  <c r="L115" i="72"/>
  <c r="L114" i="72"/>
  <c r="L113" i="72"/>
  <c r="L112" i="72"/>
  <c r="L111" i="72"/>
  <c r="L110" i="72"/>
  <c r="L109" i="72"/>
  <c r="L108" i="72"/>
  <c r="L107" i="72"/>
  <c r="L106" i="72"/>
  <c r="L105" i="72"/>
  <c r="L104" i="72"/>
  <c r="L103" i="72"/>
  <c r="L102" i="72"/>
  <c r="L101" i="72"/>
  <c r="L100" i="72"/>
  <c r="L99" i="72"/>
  <c r="L98" i="72"/>
  <c r="L97" i="72"/>
  <c r="L96" i="72"/>
  <c r="L95" i="72"/>
  <c r="L94" i="72"/>
  <c r="L93" i="72"/>
  <c r="L92" i="72"/>
  <c r="L91" i="72"/>
  <c r="L90" i="72"/>
  <c r="L89" i="72"/>
  <c r="L88" i="72"/>
  <c r="L87" i="72"/>
  <c r="L86" i="72"/>
  <c r="L85" i="72"/>
  <c r="L84" i="72"/>
  <c r="L83" i="72"/>
  <c r="L82" i="72"/>
  <c r="L81" i="72"/>
  <c r="L80" i="72"/>
  <c r="L79" i="72"/>
  <c r="L78" i="72"/>
  <c r="L77" i="72"/>
  <c r="L76" i="72"/>
  <c r="L75" i="72"/>
  <c r="L74" i="72"/>
  <c r="L73" i="72"/>
  <c r="L72" i="72"/>
  <c r="L71" i="72"/>
  <c r="L70" i="72"/>
  <c r="L69" i="72"/>
  <c r="L68" i="72"/>
  <c r="L67" i="72"/>
  <c r="L66" i="72"/>
  <c r="L65" i="72"/>
  <c r="L64" i="72"/>
  <c r="L63" i="72"/>
  <c r="L62" i="72"/>
  <c r="L61" i="72"/>
  <c r="L60" i="72"/>
  <c r="L59" i="72"/>
  <c r="L58" i="72"/>
  <c r="L57" i="72"/>
  <c r="L56" i="72"/>
  <c r="L55" i="72"/>
  <c r="L54" i="72"/>
  <c r="L53" i="72"/>
  <c r="L52" i="72"/>
  <c r="L51" i="72"/>
  <c r="L50" i="72"/>
  <c r="L49" i="72"/>
  <c r="L48" i="72"/>
  <c r="L47" i="72"/>
  <c r="L46" i="72"/>
  <c r="L45" i="72"/>
  <c r="L44" i="72"/>
  <c r="L43" i="72"/>
  <c r="L42" i="72"/>
  <c r="L41" i="72"/>
  <c r="L40" i="72"/>
  <c r="L39" i="72"/>
  <c r="L38" i="72"/>
  <c r="L37" i="72"/>
  <c r="L36" i="72"/>
  <c r="L35" i="72"/>
  <c r="L34" i="72"/>
  <c r="L33" i="72"/>
  <c r="L32" i="72"/>
  <c r="L31" i="72"/>
  <c r="L30" i="72"/>
  <c r="L29" i="72"/>
  <c r="L28" i="72"/>
  <c r="L27" i="72"/>
  <c r="L26" i="72"/>
  <c r="L25" i="72"/>
  <c r="L24" i="72"/>
  <c r="L23" i="72"/>
  <c r="L22" i="72"/>
  <c r="L21" i="72"/>
  <c r="L20" i="72"/>
  <c r="L19" i="72"/>
  <c r="L18" i="72"/>
  <c r="L17" i="72"/>
  <c r="L16" i="72"/>
  <c r="L15" i="72"/>
  <c r="L10" i="72"/>
  <c r="L9" i="72"/>
  <c r="L8" i="72"/>
  <c r="L7" i="72"/>
  <c r="L6" i="72"/>
  <c r="L5" i="72"/>
  <c r="L4" i="72"/>
  <c r="L3" i="72"/>
  <c r="O14" i="72" l="1"/>
  <c r="B30" i="14" s="1"/>
  <c r="N2" i="72"/>
  <c r="N3" i="72" s="1"/>
  <c r="N4" i="72" s="1"/>
  <c r="N5" i="72" s="1"/>
  <c r="N6" i="72" s="1"/>
  <c r="N7" i="72" s="1"/>
  <c r="N8" i="72" s="1"/>
  <c r="N9" i="72" s="1"/>
  <c r="N10" i="72" s="1"/>
  <c r="N11" i="72" l="1"/>
  <c r="N12" i="72" s="1"/>
  <c r="N13" i="72" l="1"/>
  <c r="N14" i="72" s="1"/>
  <c r="N15" i="72" s="1"/>
  <c r="N16" i="72" s="1"/>
  <c r="N17" i="72" s="1"/>
  <c r="N18" i="72" s="1"/>
  <c r="N19" i="72" s="1"/>
  <c r="N20" i="72" s="1"/>
  <c r="N21" i="72" s="1"/>
  <c r="N22" i="72" s="1"/>
  <c r="N23" i="72" s="1"/>
  <c r="N24" i="72" s="1"/>
  <c r="N25" i="72" s="1"/>
  <c r="N26" i="72" s="1"/>
  <c r="N27" i="72" s="1"/>
  <c r="N28" i="72" s="1"/>
  <c r="N29" i="72" s="1"/>
  <c r="N30" i="72" s="1"/>
  <c r="N31" i="72" s="1"/>
  <c r="N32" i="72" s="1"/>
  <c r="N33" i="72" s="1"/>
  <c r="N34" i="72" s="1"/>
  <c r="N35" i="72" s="1"/>
  <c r="N36" i="72" s="1"/>
  <c r="N37" i="72" s="1"/>
  <c r="N38" i="72" s="1"/>
  <c r="N39" i="72" s="1"/>
  <c r="N40" i="72" s="1"/>
  <c r="N41" i="72" s="1"/>
  <c r="N42" i="72" s="1"/>
  <c r="N43" i="72" s="1"/>
  <c r="N44" i="72" s="1"/>
  <c r="N45" i="72" s="1"/>
  <c r="N46" i="72" s="1"/>
  <c r="N47" i="72" s="1"/>
  <c r="N48" i="72" s="1"/>
  <c r="N49" i="72" s="1"/>
  <c r="N50" i="72" s="1"/>
  <c r="N51" i="72" s="1"/>
  <c r="N52" i="72" s="1"/>
  <c r="N53" i="72" s="1"/>
  <c r="N54" i="72" s="1"/>
  <c r="N55" i="72" s="1"/>
  <c r="N56" i="72" s="1"/>
  <c r="N57" i="72" s="1"/>
  <c r="N58" i="72" s="1"/>
  <c r="N59" i="72" s="1"/>
  <c r="N60" i="72" s="1"/>
  <c r="N61" i="72" s="1"/>
  <c r="N62" i="72" s="1"/>
  <c r="N63" i="72" s="1"/>
  <c r="N64" i="72" s="1"/>
  <c r="N65" i="72" s="1"/>
  <c r="N66" i="72" s="1"/>
  <c r="N67" i="72" s="1"/>
  <c r="N68" i="72" s="1"/>
  <c r="N69" i="72" s="1"/>
  <c r="N70" i="72" s="1"/>
  <c r="N71" i="72" s="1"/>
  <c r="N72" i="72" s="1"/>
  <c r="N73" i="72" s="1"/>
  <c r="N74" i="72" s="1"/>
  <c r="N75" i="72" s="1"/>
  <c r="N76" i="72" s="1"/>
  <c r="N77" i="72" s="1"/>
  <c r="N78" i="72" s="1"/>
  <c r="N79" i="72" s="1"/>
  <c r="N80" i="72" s="1"/>
  <c r="N81" i="72" s="1"/>
  <c r="N82" i="72" s="1"/>
  <c r="N83" i="72" s="1"/>
  <c r="N84" i="72" s="1"/>
  <c r="N85" i="72" s="1"/>
  <c r="N86" i="72" s="1"/>
  <c r="N87" i="72" s="1"/>
  <c r="N88" i="72" s="1"/>
  <c r="N89" i="72" s="1"/>
  <c r="N90" i="72" s="1"/>
  <c r="N91" i="72" s="1"/>
  <c r="N92" i="72" s="1"/>
  <c r="N93" i="72" s="1"/>
  <c r="N94" i="72" s="1"/>
  <c r="N95" i="72" s="1"/>
  <c r="N96" i="72" s="1"/>
  <c r="N97" i="72" s="1"/>
  <c r="N98" i="72" s="1"/>
  <c r="N99" i="72" s="1"/>
  <c r="N100" i="72" s="1"/>
  <c r="N101" i="72" s="1"/>
  <c r="N102" i="72" s="1"/>
  <c r="N103" i="72" s="1"/>
  <c r="N104" i="72" s="1"/>
  <c r="N105" i="72" s="1"/>
  <c r="N106" i="72" s="1"/>
  <c r="N107" i="72" s="1"/>
  <c r="N108" i="72" s="1"/>
  <c r="N109" i="72" s="1"/>
  <c r="N110" i="72" s="1"/>
  <c r="N111" i="72" s="1"/>
  <c r="N112" i="72" s="1"/>
  <c r="N113" i="72" s="1"/>
  <c r="N114" i="72" s="1"/>
  <c r="N115" i="72" s="1"/>
  <c r="N116" i="72" s="1"/>
  <c r="N117" i="72" s="1"/>
  <c r="N118" i="72" s="1"/>
  <c r="N119" i="72" s="1"/>
  <c r="N120" i="72" s="1"/>
  <c r="N121" i="72" s="1"/>
  <c r="N122" i="72" s="1"/>
  <c r="N123" i="72" s="1"/>
  <c r="N124" i="72" s="1"/>
  <c r="N125" i="72" s="1"/>
  <c r="N126" i="72" s="1"/>
  <c r="N127" i="72" s="1"/>
  <c r="N128" i="72" s="1"/>
  <c r="N129" i="72" s="1"/>
  <c r="N130" i="72" s="1"/>
  <c r="N131" i="72" s="1"/>
  <c r="N132" i="72" s="1"/>
  <c r="N133" i="72" s="1"/>
  <c r="N134" i="72" s="1"/>
  <c r="N135" i="72" s="1"/>
  <c r="N136" i="72" s="1"/>
  <c r="N137" i="72" s="1"/>
  <c r="N138" i="72" s="1"/>
  <c r="N139" i="72" s="1"/>
  <c r="N140" i="72" s="1"/>
  <c r="N141" i="72" s="1"/>
  <c r="N142" i="72" s="1"/>
  <c r="N143" i="72" s="1"/>
  <c r="N144" i="72" s="1"/>
  <c r="N145" i="72" s="1"/>
  <c r="N146" i="72" s="1"/>
  <c r="N147" i="72" s="1"/>
  <c r="N148" i="72" s="1"/>
  <c r="N149" i="72" s="1"/>
  <c r="N150" i="72" s="1"/>
  <c r="N151" i="72" s="1"/>
  <c r="N152" i="72" s="1"/>
  <c r="N153" i="72" s="1"/>
  <c r="N154" i="72" s="1"/>
  <c r="N155" i="72" s="1"/>
  <c r="N156" i="72" s="1"/>
  <c r="N157" i="72" s="1"/>
  <c r="N158" i="72" s="1"/>
  <c r="N159" i="72" s="1"/>
  <c r="N160" i="72" s="1"/>
  <c r="N161" i="72" s="1"/>
  <c r="N162" i="72" s="1"/>
  <c r="N163" i="72" s="1"/>
  <c r="N164" i="72" s="1"/>
  <c r="N165" i="72" s="1"/>
  <c r="N166" i="72" s="1"/>
  <c r="N167" i="72" s="1"/>
  <c r="N168" i="72" s="1"/>
  <c r="N169" i="72" s="1"/>
  <c r="N170" i="72" s="1"/>
  <c r="N171" i="72" s="1"/>
  <c r="N172" i="72" s="1"/>
  <c r="N173" i="72" s="1"/>
  <c r="N174" i="72" s="1"/>
  <c r="N175" i="72" s="1"/>
  <c r="N176" i="72" s="1"/>
  <c r="N177" i="72" s="1"/>
  <c r="N178" i="72" s="1"/>
  <c r="N179" i="72" s="1"/>
  <c r="N180" i="72" s="1"/>
  <c r="N181" i="72" s="1"/>
  <c r="N182" i="72" s="1"/>
  <c r="N183" i="72" s="1"/>
  <c r="N184" i="72" s="1"/>
  <c r="N185" i="72" s="1"/>
  <c r="N186" i="72" s="1"/>
  <c r="N187" i="72" s="1"/>
  <c r="N188" i="72" s="1"/>
  <c r="N189" i="72" s="1"/>
  <c r="N190" i="72" s="1"/>
  <c r="N191" i="72" s="1"/>
  <c r="N192" i="72" s="1"/>
  <c r="N193" i="72" s="1"/>
  <c r="N194" i="72" s="1"/>
  <c r="N195" i="72" s="1"/>
  <c r="N196" i="72" s="1"/>
  <c r="N197" i="72" s="1"/>
  <c r="N198" i="72" s="1"/>
  <c r="N199" i="72" s="1"/>
  <c r="N200" i="72" s="1"/>
  <c r="N201" i="72" s="1"/>
  <c r="N202" i="72" s="1"/>
  <c r="N203" i="72" s="1"/>
  <c r="N204" i="72" s="1"/>
  <c r="N205" i="72" s="1"/>
  <c r="N206" i="72" s="1"/>
  <c r="N207" i="72" s="1"/>
  <c r="N208" i="72" s="1"/>
  <c r="N209" i="72" s="1"/>
  <c r="N210" i="72" s="1"/>
  <c r="N211" i="72" s="1"/>
  <c r="N212" i="72" s="1"/>
  <c r="N213" i="72" s="1"/>
  <c r="N214" i="72" s="1"/>
  <c r="N215" i="72" s="1"/>
  <c r="N216" i="72" s="1"/>
  <c r="N217" i="72" s="1"/>
  <c r="N218" i="72" s="1"/>
  <c r="N219" i="72" s="1"/>
  <c r="N220" i="72" s="1"/>
  <c r="N221" i="72" s="1"/>
  <c r="N222" i="72" s="1"/>
  <c r="N223" i="72" s="1"/>
  <c r="N224" i="72" s="1"/>
  <c r="N225" i="72" s="1"/>
  <c r="N226" i="72" s="1"/>
  <c r="N227" i="72" s="1"/>
  <c r="N228" i="72" s="1"/>
  <c r="N229" i="72" s="1"/>
  <c r="N230" i="72" s="1"/>
  <c r="N231" i="72" s="1"/>
  <c r="N232" i="72" s="1"/>
  <c r="N233" i="72" s="1"/>
  <c r="N234" i="72" s="1"/>
  <c r="N235" i="72" s="1"/>
  <c r="N236" i="72" s="1"/>
  <c r="N237" i="72" s="1"/>
  <c r="N238" i="72" s="1"/>
  <c r="N239" i="72" s="1"/>
  <c r="N240" i="72" s="1"/>
  <c r="N241" i="72" s="1"/>
  <c r="N242" i="72" s="1"/>
  <c r="N243" i="72" s="1"/>
  <c r="N244" i="72" s="1"/>
  <c r="N245" i="72" s="1"/>
  <c r="N246" i="72" s="1"/>
  <c r="N247" i="72" s="1"/>
  <c r="N248" i="72" s="1"/>
  <c r="N249" i="72" s="1"/>
  <c r="N250" i="72" s="1"/>
  <c r="N251" i="72" s="1"/>
  <c r="N252" i="72" s="1"/>
  <c r="N253" i="72" s="1"/>
  <c r="N254" i="72" s="1"/>
  <c r="N255" i="72" s="1"/>
  <c r="N256" i="72" s="1"/>
  <c r="N257" i="72" s="1"/>
  <c r="N258" i="72" s="1"/>
  <c r="N259" i="72" s="1"/>
  <c r="N260" i="72" s="1"/>
  <c r="N261" i="72" s="1"/>
  <c r="N262" i="72" s="1"/>
  <c r="N263" i="72" s="1"/>
  <c r="N264" i="72" s="1"/>
  <c r="N265" i="72" s="1"/>
  <c r="N266" i="72" s="1"/>
  <c r="N267" i="72" s="1"/>
  <c r="N268" i="72" s="1"/>
  <c r="N269" i="72" s="1"/>
  <c r="N270" i="72" s="1"/>
  <c r="N271" i="72" s="1"/>
  <c r="N272" i="72" s="1"/>
  <c r="N273" i="72" s="1"/>
  <c r="N274" i="72" s="1"/>
  <c r="N275" i="72" s="1"/>
  <c r="N276" i="72" s="1"/>
  <c r="N277" i="72" s="1"/>
  <c r="N278" i="72" s="1"/>
  <c r="N279" i="72" s="1"/>
  <c r="N280" i="72" s="1"/>
  <c r="N281" i="72" s="1"/>
  <c r="N282" i="72" s="1"/>
  <c r="N283" i="72" s="1"/>
  <c r="N284" i="72" s="1"/>
  <c r="N285" i="72" s="1"/>
  <c r="N286" i="72" s="1"/>
  <c r="N287" i="72" s="1"/>
  <c r="N288" i="72" s="1"/>
  <c r="N289" i="72" s="1"/>
  <c r="N290" i="72" s="1"/>
  <c r="N291" i="72" s="1"/>
  <c r="N292" i="72" s="1"/>
  <c r="N293" i="72" s="1"/>
  <c r="N294" i="72" s="1"/>
  <c r="N295" i="72" s="1"/>
  <c r="N296" i="72" s="1"/>
  <c r="N297" i="72" s="1"/>
  <c r="N298" i="72" s="1"/>
  <c r="N299" i="72" s="1"/>
  <c r="N300" i="72" s="1"/>
  <c r="N301" i="72" s="1"/>
  <c r="N302" i="72" s="1"/>
  <c r="N303" i="72" s="1"/>
  <c r="N304" i="72" s="1"/>
  <c r="N305" i="72" s="1"/>
  <c r="N306" i="72" s="1"/>
  <c r="N307" i="72" s="1"/>
  <c r="N308" i="72" s="1"/>
  <c r="N309" i="72" s="1"/>
  <c r="N310" i="72" s="1"/>
  <c r="N311" i="72" s="1"/>
  <c r="N312" i="72" s="1"/>
  <c r="N313" i="72" s="1"/>
  <c r="N314" i="72" s="1"/>
  <c r="N315" i="72" s="1"/>
  <c r="N316" i="72" s="1"/>
  <c r="N317" i="72" s="1"/>
  <c r="N318" i="72" s="1"/>
  <c r="N319" i="72" s="1"/>
  <c r="N320" i="72" s="1"/>
  <c r="N321" i="72" s="1"/>
  <c r="N322" i="72" s="1"/>
  <c r="N323" i="72" s="1"/>
  <c r="N324" i="72" s="1"/>
  <c r="N325" i="72" s="1"/>
  <c r="N326" i="72" s="1"/>
  <c r="N327" i="72" s="1"/>
  <c r="N328" i="72" s="1"/>
  <c r="N329" i="72" s="1"/>
  <c r="N330" i="72" s="1"/>
  <c r="N331" i="72" s="1"/>
  <c r="N332" i="72" s="1"/>
  <c r="N333" i="72" s="1"/>
  <c r="N334" i="72" s="1"/>
  <c r="N335" i="72" s="1"/>
  <c r="N336" i="72" s="1"/>
  <c r="N337" i="72" s="1"/>
  <c r="N338" i="72" s="1"/>
  <c r="N339" i="72" s="1"/>
  <c r="N340" i="72" s="1"/>
  <c r="L18" i="60" l="1"/>
  <c r="L83" i="19" l="1"/>
  <c r="L79" i="19" l="1"/>
  <c r="R3" i="33" l="1"/>
  <c r="R4" i="33"/>
  <c r="R5" i="33"/>
  <c r="R6" i="33"/>
  <c r="R7" i="33"/>
  <c r="R8" i="33"/>
  <c r="L78" i="19"/>
  <c r="L77" i="19" l="1"/>
  <c r="L76" i="19"/>
  <c r="L74" i="19" l="1"/>
  <c r="K23" i="5"/>
  <c r="K14" i="58"/>
  <c r="K8" i="52"/>
  <c r="L72" i="19" l="1"/>
  <c r="L71" i="19" l="1"/>
  <c r="L70" i="19"/>
  <c r="L69" i="19"/>
  <c r="L68" i="19"/>
  <c r="L67" i="19" l="1"/>
  <c r="L65" i="19"/>
  <c r="L64" i="19" l="1"/>
  <c r="L66" i="19" l="1"/>
  <c r="L63" i="19" l="1"/>
  <c r="K12" i="58"/>
  <c r="K37" i="12" l="1"/>
  <c r="L61" i="19" l="1"/>
  <c r="L59" i="19"/>
  <c r="L58" i="19"/>
  <c r="L57" i="19"/>
  <c r="P8" i="33"/>
  <c r="R9" i="33"/>
  <c r="L60" i="19" l="1"/>
  <c r="L54" i="19" l="1"/>
  <c r="L53" i="19"/>
  <c r="L52" i="19" l="1"/>
  <c r="L50" i="19" l="1"/>
  <c r="L49" i="19"/>
  <c r="L48" i="19"/>
  <c r="L47" i="19"/>
  <c r="L46" i="19"/>
  <c r="L43" i="19" l="1"/>
  <c r="L42" i="19"/>
  <c r="L41" i="19" l="1"/>
  <c r="L40" i="19"/>
  <c r="L39" i="19" l="1"/>
  <c r="L9" i="60"/>
  <c r="L36" i="19" l="1"/>
  <c r="L33" i="19" l="1"/>
  <c r="L34" i="19"/>
  <c r="I22" i="68" l="1"/>
  <c r="I23" i="68"/>
  <c r="K23" i="68" s="1"/>
  <c r="I24" i="68"/>
  <c r="K24" i="68" s="1"/>
  <c r="I25" i="68"/>
  <c r="K25" i="68" s="1"/>
  <c r="I26" i="68"/>
  <c r="K26" i="68" s="1"/>
  <c r="I27" i="68"/>
  <c r="K27" i="68" s="1"/>
  <c r="I28" i="68"/>
  <c r="K28" i="68" s="1"/>
  <c r="I29" i="68"/>
  <c r="K29" i="68" s="1"/>
  <c r="I30" i="68"/>
  <c r="K30" i="68" s="1"/>
  <c r="I31" i="68"/>
  <c r="K31" i="68" s="1"/>
  <c r="I32" i="68"/>
  <c r="K32" i="68" s="1"/>
  <c r="I33" i="68"/>
  <c r="K33" i="68" s="1"/>
  <c r="I34" i="68"/>
  <c r="K34" i="68" s="1"/>
  <c r="I35" i="68"/>
  <c r="K35" i="68" s="1"/>
  <c r="I36" i="68"/>
  <c r="K36" i="68" s="1"/>
  <c r="I37" i="68"/>
  <c r="K37" i="68" s="1"/>
  <c r="I38" i="68"/>
  <c r="K38" i="68" s="1"/>
  <c r="I39" i="68"/>
  <c r="K39" i="68" s="1"/>
  <c r="I40" i="68"/>
  <c r="K40" i="68" s="1"/>
  <c r="I41" i="68"/>
  <c r="K41" i="68" s="1"/>
  <c r="I42" i="68"/>
  <c r="K42" i="68" s="1"/>
  <c r="I43" i="68"/>
  <c r="K43" i="68" s="1"/>
  <c r="I44" i="68"/>
  <c r="K44" i="68" s="1"/>
  <c r="I45" i="68"/>
  <c r="K45" i="68" s="1"/>
  <c r="I46" i="68"/>
  <c r="K46" i="68" s="1"/>
  <c r="I47" i="68"/>
  <c r="K47" i="68" s="1"/>
  <c r="I48" i="68"/>
  <c r="K48" i="68" s="1"/>
  <c r="I49" i="68"/>
  <c r="K49" i="68" s="1"/>
  <c r="I50" i="68"/>
  <c r="K50" i="68" s="1"/>
  <c r="I51" i="68"/>
  <c r="K51" i="68" s="1"/>
  <c r="I52" i="68"/>
  <c r="K52" i="68" s="1"/>
  <c r="I53" i="68"/>
  <c r="K53" i="68" s="1"/>
  <c r="I54" i="68"/>
  <c r="K54" i="68" s="1"/>
  <c r="I55" i="68"/>
  <c r="K55" i="68" s="1"/>
  <c r="I56" i="68"/>
  <c r="K56" i="68" s="1"/>
  <c r="I57" i="68"/>
  <c r="K57" i="68" s="1"/>
  <c r="I58" i="68"/>
  <c r="K58" i="68" s="1"/>
  <c r="I59" i="68"/>
  <c r="K59" i="68" s="1"/>
  <c r="I60" i="68"/>
  <c r="K60" i="68" s="1"/>
  <c r="I61" i="68"/>
  <c r="K61" i="68" s="1"/>
  <c r="I62" i="68"/>
  <c r="K62" i="68" s="1"/>
  <c r="I63" i="68"/>
  <c r="K63" i="68" s="1"/>
  <c r="I64" i="68"/>
  <c r="K64" i="68" s="1"/>
  <c r="I65" i="68"/>
  <c r="K65" i="68" s="1"/>
  <c r="I66" i="68"/>
  <c r="K66" i="68" s="1"/>
  <c r="I67" i="68"/>
  <c r="K67" i="68" s="1"/>
  <c r="I68" i="68"/>
  <c r="K68" i="68" s="1"/>
  <c r="I69" i="68"/>
  <c r="K69" i="68" s="1"/>
  <c r="I70" i="68"/>
  <c r="K70" i="68" s="1"/>
  <c r="I71" i="68"/>
  <c r="K71" i="68" s="1"/>
  <c r="I72" i="68"/>
  <c r="K72" i="68" s="1"/>
  <c r="I73" i="68"/>
  <c r="K73" i="68" s="1"/>
  <c r="I74" i="68"/>
  <c r="K74" i="68" s="1"/>
  <c r="I75" i="68"/>
  <c r="K75" i="68" s="1"/>
  <c r="I76" i="68"/>
  <c r="K76" i="68" s="1"/>
  <c r="I77" i="68"/>
  <c r="K77" i="68" s="1"/>
  <c r="I78" i="68"/>
  <c r="K78" i="68" s="1"/>
  <c r="I79" i="68"/>
  <c r="K79" i="68" s="1"/>
  <c r="I80" i="68"/>
  <c r="K80" i="68" s="1"/>
  <c r="I81" i="68"/>
  <c r="K81" i="68" s="1"/>
  <c r="I82" i="68"/>
  <c r="K82" i="68" s="1"/>
  <c r="I83" i="68"/>
  <c r="K83" i="68" s="1"/>
  <c r="I84" i="68"/>
  <c r="K84" i="68" s="1"/>
  <c r="I85" i="68"/>
  <c r="K85" i="68" s="1"/>
  <c r="I86" i="68"/>
  <c r="K86" i="68" s="1"/>
  <c r="I87" i="68"/>
  <c r="K87" i="68" s="1"/>
  <c r="I88" i="68"/>
  <c r="K88" i="68" s="1"/>
  <c r="I89" i="68"/>
  <c r="K89" i="68" s="1"/>
  <c r="I90" i="68"/>
  <c r="K90" i="68" s="1"/>
  <c r="I91" i="68"/>
  <c r="K91" i="68" s="1"/>
  <c r="I92" i="68"/>
  <c r="K92" i="68" s="1"/>
  <c r="I93" i="68"/>
  <c r="K93" i="68" s="1"/>
  <c r="I94" i="68"/>
  <c r="K94" i="68" s="1"/>
  <c r="I95" i="68"/>
  <c r="K95" i="68" s="1"/>
  <c r="I96" i="68"/>
  <c r="K96" i="68" s="1"/>
  <c r="I97" i="68"/>
  <c r="K97" i="68" s="1"/>
  <c r="I98" i="68"/>
  <c r="K98" i="68" s="1"/>
  <c r="I99" i="68"/>
  <c r="K99" i="68" s="1"/>
  <c r="I100" i="68"/>
  <c r="K100" i="68" s="1"/>
  <c r="I101" i="68"/>
  <c r="K101" i="68" s="1"/>
  <c r="I102" i="68"/>
  <c r="K102" i="68" s="1"/>
  <c r="I103" i="68"/>
  <c r="K103" i="68" s="1"/>
  <c r="I104" i="68"/>
  <c r="K104" i="68" s="1"/>
  <c r="I105" i="68"/>
  <c r="K105" i="68" s="1"/>
  <c r="I106" i="68"/>
  <c r="K106" i="68" s="1"/>
  <c r="I107" i="68"/>
  <c r="K107" i="68" s="1"/>
  <c r="I108" i="68"/>
  <c r="K108" i="68" s="1"/>
  <c r="I109" i="68"/>
  <c r="K109" i="68" s="1"/>
  <c r="I110" i="68"/>
  <c r="K110" i="68" s="1"/>
  <c r="I111" i="68"/>
  <c r="K111" i="68" s="1"/>
  <c r="I112" i="68"/>
  <c r="K112" i="68" s="1"/>
  <c r="I113" i="68"/>
  <c r="K113" i="68" s="1"/>
  <c r="I114" i="68"/>
  <c r="K114" i="68" s="1"/>
  <c r="I115" i="68"/>
  <c r="K115" i="68" s="1"/>
  <c r="I116" i="68"/>
  <c r="K116" i="68" s="1"/>
  <c r="I117" i="68"/>
  <c r="K117" i="68" s="1"/>
  <c r="I118" i="68"/>
  <c r="K118" i="68" s="1"/>
  <c r="I119" i="68"/>
  <c r="K119" i="68" s="1"/>
  <c r="I120" i="68"/>
  <c r="K120" i="68" s="1"/>
  <c r="I121" i="68"/>
  <c r="K121" i="68" s="1"/>
  <c r="I122" i="68"/>
  <c r="K122" i="68" s="1"/>
  <c r="I123" i="68"/>
  <c r="K123" i="68" s="1"/>
  <c r="I124" i="68"/>
  <c r="K124" i="68" s="1"/>
  <c r="I125" i="68"/>
  <c r="K125" i="68" s="1"/>
  <c r="I126" i="68"/>
  <c r="K126" i="68" s="1"/>
  <c r="I127" i="68"/>
  <c r="K127" i="68" s="1"/>
  <c r="I128" i="68"/>
  <c r="K128" i="68" s="1"/>
  <c r="I129" i="68"/>
  <c r="K129" i="68" s="1"/>
  <c r="I130" i="68"/>
  <c r="K130" i="68" s="1"/>
  <c r="I131" i="68"/>
  <c r="K131" i="68" s="1"/>
  <c r="I132" i="68"/>
  <c r="K132" i="68" s="1"/>
  <c r="I133" i="68"/>
  <c r="K133" i="68" s="1"/>
  <c r="I134" i="68"/>
  <c r="K134" i="68" s="1"/>
  <c r="I135" i="68"/>
  <c r="K135" i="68" s="1"/>
  <c r="I136" i="68"/>
  <c r="K136" i="68" s="1"/>
  <c r="I137" i="68"/>
  <c r="K137" i="68" s="1"/>
  <c r="I138" i="68"/>
  <c r="K138" i="68" s="1"/>
  <c r="I139" i="68"/>
  <c r="K139" i="68" s="1"/>
  <c r="I140" i="68"/>
  <c r="K140" i="68" s="1"/>
  <c r="I141" i="68"/>
  <c r="K141" i="68" s="1"/>
  <c r="I142" i="68"/>
  <c r="K142" i="68" s="1"/>
  <c r="I143" i="68"/>
  <c r="K143" i="68" s="1"/>
  <c r="I144" i="68"/>
  <c r="K144" i="68" s="1"/>
  <c r="I145" i="68"/>
  <c r="K145" i="68" s="1"/>
  <c r="I146" i="68"/>
  <c r="K146" i="68" s="1"/>
  <c r="I147" i="68"/>
  <c r="K147" i="68" s="1"/>
  <c r="I148" i="68"/>
  <c r="K148" i="68" s="1"/>
  <c r="I149" i="68"/>
  <c r="K149" i="68" s="1"/>
  <c r="I150" i="68"/>
  <c r="K150" i="68" s="1"/>
  <c r="I151" i="68"/>
  <c r="K151" i="68" s="1"/>
  <c r="I152" i="68"/>
  <c r="K152" i="68" s="1"/>
  <c r="I153" i="68"/>
  <c r="K153" i="68" s="1"/>
  <c r="I154" i="68"/>
  <c r="K154" i="68" s="1"/>
  <c r="I155" i="68"/>
  <c r="K155" i="68" s="1"/>
  <c r="I156" i="68"/>
  <c r="K156" i="68" s="1"/>
  <c r="I157" i="68"/>
  <c r="K157" i="68" s="1"/>
  <c r="I158" i="68"/>
  <c r="K158" i="68" s="1"/>
  <c r="I159" i="68"/>
  <c r="K159" i="68" s="1"/>
  <c r="I160" i="68"/>
  <c r="K160" i="68" s="1"/>
  <c r="I161" i="68"/>
  <c r="K161" i="68" s="1"/>
  <c r="I162" i="68"/>
  <c r="K162" i="68" s="1"/>
  <c r="I163" i="68"/>
  <c r="K163" i="68" s="1"/>
  <c r="I164" i="68"/>
  <c r="K164" i="68" s="1"/>
  <c r="I165" i="68"/>
  <c r="K165" i="68" s="1"/>
  <c r="I166" i="68"/>
  <c r="K166" i="68" s="1"/>
  <c r="I167" i="68"/>
  <c r="K167" i="68" s="1"/>
  <c r="I168" i="68"/>
  <c r="K168" i="68" s="1"/>
  <c r="I169" i="68"/>
  <c r="K169" i="68" s="1"/>
  <c r="I170" i="68"/>
  <c r="K170" i="68" s="1"/>
  <c r="I171" i="68"/>
  <c r="K171" i="68" s="1"/>
  <c r="I172" i="68"/>
  <c r="K172" i="68" s="1"/>
  <c r="I173" i="68"/>
  <c r="K173" i="68" s="1"/>
  <c r="I174" i="68"/>
  <c r="K174" i="68" s="1"/>
  <c r="I175" i="68"/>
  <c r="K175" i="68" s="1"/>
  <c r="I176" i="68"/>
  <c r="K176" i="68" s="1"/>
  <c r="I177" i="68"/>
  <c r="K177" i="68" s="1"/>
  <c r="I178" i="68"/>
  <c r="K178" i="68" s="1"/>
  <c r="I179" i="68"/>
  <c r="K179" i="68" s="1"/>
  <c r="I180" i="68"/>
  <c r="K180" i="68" s="1"/>
  <c r="I181" i="68"/>
  <c r="K181" i="68" s="1"/>
  <c r="I182" i="68"/>
  <c r="K182" i="68" s="1"/>
  <c r="I183" i="68"/>
  <c r="K183" i="68" s="1"/>
  <c r="I184" i="68"/>
  <c r="K184" i="68" s="1"/>
  <c r="I185" i="68"/>
  <c r="K185" i="68" s="1"/>
  <c r="I186" i="68"/>
  <c r="K186" i="68" s="1"/>
  <c r="I187" i="68"/>
  <c r="K187" i="68" s="1"/>
  <c r="I188" i="68"/>
  <c r="K188" i="68" s="1"/>
  <c r="I189" i="68"/>
  <c r="K189" i="68" s="1"/>
  <c r="I190" i="68"/>
  <c r="K190" i="68" s="1"/>
  <c r="I191" i="68"/>
  <c r="K191" i="68" s="1"/>
  <c r="I192" i="68"/>
  <c r="K192" i="68" s="1"/>
  <c r="I193" i="68"/>
  <c r="K193" i="68" s="1"/>
  <c r="I194" i="68"/>
  <c r="K194" i="68" s="1"/>
  <c r="I195" i="68"/>
  <c r="K195" i="68" s="1"/>
  <c r="I196" i="68"/>
  <c r="K196" i="68" s="1"/>
  <c r="I197" i="68"/>
  <c r="K197" i="68" s="1"/>
  <c r="I198" i="68"/>
  <c r="K198" i="68" s="1"/>
  <c r="I199" i="68"/>
  <c r="K199" i="68" s="1"/>
  <c r="I200" i="68"/>
  <c r="K200" i="68" s="1"/>
  <c r="I201" i="68"/>
  <c r="K201" i="68" s="1"/>
  <c r="I202" i="68"/>
  <c r="K202" i="68" s="1"/>
  <c r="I203" i="68"/>
  <c r="K203" i="68" s="1"/>
  <c r="I204" i="68"/>
  <c r="K204" i="68" s="1"/>
  <c r="I205" i="68"/>
  <c r="K205" i="68" s="1"/>
  <c r="I206" i="68"/>
  <c r="K206" i="68" s="1"/>
  <c r="I207" i="68"/>
  <c r="K207" i="68" s="1"/>
  <c r="I208" i="68"/>
  <c r="K208" i="68" s="1"/>
  <c r="I209" i="68"/>
  <c r="K209" i="68" s="1"/>
  <c r="I210" i="68"/>
  <c r="K210" i="68" s="1"/>
  <c r="I211" i="68"/>
  <c r="K211" i="68" s="1"/>
  <c r="I212" i="68"/>
  <c r="K212" i="68" s="1"/>
  <c r="I213" i="68"/>
  <c r="K213" i="68" s="1"/>
  <c r="I214" i="68"/>
  <c r="K214" i="68" s="1"/>
  <c r="I215" i="68"/>
  <c r="K215" i="68" s="1"/>
  <c r="I216" i="68"/>
  <c r="K216" i="68" s="1"/>
  <c r="I217" i="68"/>
  <c r="K217" i="68" s="1"/>
  <c r="I218" i="68"/>
  <c r="K218" i="68" s="1"/>
  <c r="I219" i="68"/>
  <c r="K219" i="68" s="1"/>
  <c r="I220" i="68"/>
  <c r="K220" i="68" s="1"/>
  <c r="I221" i="68"/>
  <c r="K221" i="68" s="1"/>
  <c r="I222" i="68"/>
  <c r="K222" i="68" s="1"/>
  <c r="I223" i="68"/>
  <c r="K223" i="68" s="1"/>
  <c r="I224" i="68"/>
  <c r="K224" i="68" s="1"/>
  <c r="I225" i="68"/>
  <c r="K225" i="68" s="1"/>
  <c r="I226" i="68"/>
  <c r="K226" i="68" s="1"/>
  <c r="I227" i="68"/>
  <c r="K227" i="68" s="1"/>
  <c r="I228" i="68"/>
  <c r="K228" i="68" s="1"/>
  <c r="I229" i="68"/>
  <c r="K229" i="68" s="1"/>
  <c r="I230" i="68"/>
  <c r="K230" i="68" s="1"/>
  <c r="I231" i="68"/>
  <c r="K231" i="68" s="1"/>
  <c r="I232" i="68"/>
  <c r="K232" i="68" s="1"/>
  <c r="I233" i="68"/>
  <c r="K233" i="68" s="1"/>
  <c r="I234" i="68"/>
  <c r="K234" i="68" s="1"/>
  <c r="I235" i="68"/>
  <c r="K235" i="68" s="1"/>
  <c r="I236" i="68"/>
  <c r="K236" i="68" s="1"/>
  <c r="I237" i="68"/>
  <c r="K237" i="68" s="1"/>
  <c r="I238" i="68"/>
  <c r="K238" i="68" s="1"/>
  <c r="I239" i="68"/>
  <c r="K239" i="68" s="1"/>
  <c r="I240" i="68"/>
  <c r="K240" i="68" s="1"/>
  <c r="I241" i="68"/>
  <c r="K241" i="68" s="1"/>
  <c r="I242" i="68"/>
  <c r="K242" i="68" s="1"/>
  <c r="I243" i="68"/>
  <c r="K243" i="68" s="1"/>
  <c r="I244" i="68"/>
  <c r="K244" i="68" s="1"/>
  <c r="I245" i="68"/>
  <c r="K245" i="68" s="1"/>
  <c r="I246" i="68"/>
  <c r="K246" i="68" s="1"/>
  <c r="I247" i="68"/>
  <c r="K247" i="68" s="1"/>
  <c r="I248" i="68"/>
  <c r="K248" i="68" s="1"/>
  <c r="I249" i="68"/>
  <c r="K249" i="68" s="1"/>
  <c r="I250" i="68"/>
  <c r="K250" i="68" s="1"/>
  <c r="I251" i="68"/>
  <c r="K251" i="68" s="1"/>
  <c r="I252" i="68"/>
  <c r="K252" i="68" s="1"/>
  <c r="I253" i="68"/>
  <c r="K253" i="68" s="1"/>
  <c r="I254" i="68"/>
  <c r="K254" i="68" s="1"/>
  <c r="I255" i="68"/>
  <c r="K255" i="68" s="1"/>
  <c r="I256" i="68"/>
  <c r="K256" i="68" s="1"/>
  <c r="I257" i="68"/>
  <c r="K257" i="68" s="1"/>
  <c r="I258" i="68"/>
  <c r="K258" i="68" s="1"/>
  <c r="I259" i="68"/>
  <c r="K259" i="68" s="1"/>
  <c r="I260" i="68"/>
  <c r="K260" i="68" s="1"/>
  <c r="I261" i="68"/>
  <c r="K261" i="68" s="1"/>
  <c r="I262" i="68"/>
  <c r="K262" i="68" s="1"/>
  <c r="I263" i="68"/>
  <c r="K263" i="68" s="1"/>
  <c r="I264" i="68"/>
  <c r="K264" i="68" s="1"/>
  <c r="I265" i="68"/>
  <c r="K265" i="68" s="1"/>
  <c r="I266" i="68"/>
  <c r="K266" i="68" s="1"/>
  <c r="I267" i="68"/>
  <c r="K267" i="68" s="1"/>
  <c r="I268" i="68"/>
  <c r="K268" i="68" s="1"/>
  <c r="I269" i="68"/>
  <c r="K269" i="68" s="1"/>
  <c r="I270" i="68"/>
  <c r="K270" i="68" s="1"/>
  <c r="I271" i="68"/>
  <c r="K271" i="68" s="1"/>
  <c r="I272" i="68"/>
  <c r="K272" i="68" s="1"/>
  <c r="I273" i="68"/>
  <c r="K273" i="68" s="1"/>
  <c r="I274" i="68"/>
  <c r="K274" i="68" s="1"/>
  <c r="I275" i="68"/>
  <c r="K275" i="68" s="1"/>
  <c r="I276" i="68"/>
  <c r="K276" i="68" s="1"/>
  <c r="I277" i="68"/>
  <c r="K277" i="68" s="1"/>
  <c r="I278" i="68"/>
  <c r="K278" i="68" s="1"/>
  <c r="I279" i="68"/>
  <c r="K279" i="68" s="1"/>
  <c r="I280" i="68"/>
  <c r="K280" i="68" s="1"/>
  <c r="I281" i="68"/>
  <c r="K281" i="68" s="1"/>
  <c r="I282" i="68"/>
  <c r="K282" i="68" s="1"/>
  <c r="I283" i="68"/>
  <c r="K283" i="68" s="1"/>
  <c r="I284" i="68"/>
  <c r="K284" i="68" s="1"/>
  <c r="I285" i="68"/>
  <c r="K285" i="68" s="1"/>
  <c r="I286" i="68"/>
  <c r="K286" i="68" s="1"/>
  <c r="I287" i="68"/>
  <c r="K287" i="68" s="1"/>
  <c r="I288" i="68"/>
  <c r="K288" i="68" s="1"/>
  <c r="I289" i="68"/>
  <c r="K289" i="68" s="1"/>
  <c r="I290" i="68"/>
  <c r="K290" i="68" s="1"/>
  <c r="I291" i="68"/>
  <c r="K291" i="68" s="1"/>
  <c r="I292" i="68"/>
  <c r="K292" i="68" s="1"/>
  <c r="I293" i="68"/>
  <c r="K293" i="68" s="1"/>
  <c r="I294" i="68"/>
  <c r="K294" i="68" s="1"/>
  <c r="I295" i="68"/>
  <c r="K295" i="68" s="1"/>
  <c r="I296" i="68"/>
  <c r="K296" i="68" s="1"/>
  <c r="I297" i="68"/>
  <c r="K297" i="68" s="1"/>
  <c r="I298" i="68"/>
  <c r="K298" i="68" s="1"/>
  <c r="I299" i="68"/>
  <c r="K299" i="68" s="1"/>
  <c r="I300" i="68"/>
  <c r="K300" i="68" s="1"/>
  <c r="I301" i="68"/>
  <c r="K301" i="68" s="1"/>
  <c r="I302" i="68"/>
  <c r="K302" i="68" s="1"/>
  <c r="I303" i="68"/>
  <c r="K303" i="68" s="1"/>
  <c r="I304" i="68"/>
  <c r="K304" i="68" s="1"/>
  <c r="I305" i="68"/>
  <c r="K305" i="68" s="1"/>
  <c r="I306" i="68"/>
  <c r="K306" i="68" s="1"/>
  <c r="I307" i="68"/>
  <c r="K307" i="68" s="1"/>
  <c r="I308" i="68"/>
  <c r="K308" i="68" s="1"/>
  <c r="I309" i="68"/>
  <c r="K309" i="68" s="1"/>
  <c r="I310" i="68"/>
  <c r="K310" i="68" s="1"/>
  <c r="I311" i="68"/>
  <c r="K311" i="68" s="1"/>
  <c r="I312" i="68"/>
  <c r="K312" i="68" s="1"/>
  <c r="I313" i="68"/>
  <c r="K313" i="68" s="1"/>
  <c r="I314" i="68"/>
  <c r="K314" i="68" s="1"/>
  <c r="I315" i="68"/>
  <c r="K315" i="68" s="1"/>
  <c r="I316" i="68"/>
  <c r="K316" i="68" s="1"/>
  <c r="I317" i="68"/>
  <c r="K317" i="68" s="1"/>
  <c r="I318" i="68"/>
  <c r="K318" i="68" s="1"/>
  <c r="I319" i="68"/>
  <c r="K319" i="68" s="1"/>
  <c r="I320" i="68"/>
  <c r="K320" i="68" s="1"/>
  <c r="I321" i="68"/>
  <c r="K321" i="68" s="1"/>
  <c r="I322" i="68"/>
  <c r="K322" i="68" s="1"/>
  <c r="I323" i="68"/>
  <c r="K323" i="68" s="1"/>
  <c r="I324" i="68"/>
  <c r="K324" i="68" s="1"/>
  <c r="I325" i="68"/>
  <c r="K325" i="68" s="1"/>
  <c r="I326" i="68"/>
  <c r="K326" i="68" s="1"/>
  <c r="I327" i="68"/>
  <c r="K327" i="68" s="1"/>
  <c r="I328" i="68"/>
  <c r="K328" i="68" s="1"/>
  <c r="I329" i="68"/>
  <c r="K329" i="68" s="1"/>
  <c r="I330" i="68"/>
  <c r="K330" i="68" s="1"/>
  <c r="I331" i="68"/>
  <c r="K331" i="68" s="1"/>
  <c r="I332" i="68"/>
  <c r="K332" i="68" s="1"/>
  <c r="I333" i="68"/>
  <c r="K333" i="68" s="1"/>
  <c r="I334" i="68"/>
  <c r="K334" i="68" s="1"/>
  <c r="I335" i="68"/>
  <c r="K335" i="68" s="1"/>
  <c r="I336" i="68"/>
  <c r="K336" i="68" s="1"/>
  <c r="I337" i="68"/>
  <c r="K337" i="68" s="1"/>
  <c r="I338" i="68"/>
  <c r="K338" i="68" s="1"/>
  <c r="I339" i="68"/>
  <c r="K339" i="68" s="1"/>
  <c r="J294" i="66"/>
  <c r="L294" i="66" s="1"/>
  <c r="J298" i="66"/>
  <c r="L298" i="66" s="1"/>
  <c r="J302" i="66"/>
  <c r="L302" i="66" s="1"/>
  <c r="J306" i="66"/>
  <c r="L306" i="66" s="1"/>
  <c r="J310" i="66"/>
  <c r="L310" i="66" s="1"/>
  <c r="J314" i="66"/>
  <c r="L314" i="66" s="1"/>
  <c r="J318" i="66"/>
  <c r="L318" i="66" s="1"/>
  <c r="J322" i="66"/>
  <c r="L322" i="66" s="1"/>
  <c r="J326" i="66"/>
  <c r="L326" i="66" s="1"/>
  <c r="J330" i="66"/>
  <c r="L330" i="66" s="1"/>
  <c r="J334" i="66"/>
  <c r="L334" i="66" s="1"/>
  <c r="J338" i="66"/>
  <c r="L338" i="66" s="1"/>
  <c r="J339" i="66"/>
  <c r="L339" i="66" s="1"/>
  <c r="J337" i="66"/>
  <c r="L337" i="66" s="1"/>
  <c r="J336" i="66"/>
  <c r="L336" i="66" s="1"/>
  <c r="J335" i="66"/>
  <c r="L335" i="66" s="1"/>
  <c r="J333" i="66"/>
  <c r="L333" i="66" s="1"/>
  <c r="J332" i="66"/>
  <c r="L332" i="66" s="1"/>
  <c r="J331" i="66"/>
  <c r="L331" i="66" s="1"/>
  <c r="J329" i="66"/>
  <c r="L329" i="66" s="1"/>
  <c r="J328" i="66"/>
  <c r="L328" i="66" s="1"/>
  <c r="J327" i="66"/>
  <c r="L327" i="66" s="1"/>
  <c r="J325" i="66"/>
  <c r="L325" i="66" s="1"/>
  <c r="J324" i="66"/>
  <c r="L324" i="66" s="1"/>
  <c r="J323" i="66"/>
  <c r="L323" i="66" s="1"/>
  <c r="J321" i="66"/>
  <c r="L321" i="66" s="1"/>
  <c r="J320" i="66"/>
  <c r="L320" i="66" s="1"/>
  <c r="J319" i="66"/>
  <c r="L319" i="66" s="1"/>
  <c r="J317" i="66"/>
  <c r="L317" i="66" s="1"/>
  <c r="J316" i="66"/>
  <c r="L316" i="66" s="1"/>
  <c r="J315" i="66"/>
  <c r="L315" i="66" s="1"/>
  <c r="J313" i="66"/>
  <c r="L313" i="66" s="1"/>
  <c r="J312" i="66"/>
  <c r="L312" i="66" s="1"/>
  <c r="J311" i="66"/>
  <c r="L311" i="66" s="1"/>
  <c r="J309" i="66"/>
  <c r="L309" i="66" s="1"/>
  <c r="J308" i="66"/>
  <c r="L308" i="66" s="1"/>
  <c r="J307" i="66"/>
  <c r="L307" i="66" s="1"/>
  <c r="J305" i="66"/>
  <c r="L305" i="66" s="1"/>
  <c r="J304" i="66"/>
  <c r="L304" i="66" s="1"/>
  <c r="J303" i="66"/>
  <c r="L303" i="66" s="1"/>
  <c r="J301" i="66"/>
  <c r="L301" i="66" s="1"/>
  <c r="J300" i="66"/>
  <c r="L300" i="66" s="1"/>
  <c r="J299" i="66"/>
  <c r="L299" i="66" s="1"/>
  <c r="J297" i="66"/>
  <c r="L297" i="66" s="1"/>
  <c r="J296" i="66"/>
  <c r="L296" i="66" s="1"/>
  <c r="J295" i="66"/>
  <c r="L295" i="66" s="1"/>
  <c r="J293" i="66"/>
  <c r="L293" i="66" s="1"/>
  <c r="J292" i="66"/>
  <c r="L292" i="66" s="1"/>
  <c r="J291" i="66"/>
  <c r="L291" i="66" s="1"/>
  <c r="J290" i="66"/>
  <c r="L290" i="66" s="1"/>
  <c r="J289" i="66"/>
  <c r="L289" i="66" s="1"/>
  <c r="J288" i="66"/>
  <c r="L288" i="66" s="1"/>
  <c r="J287" i="66"/>
  <c r="L287" i="66" s="1"/>
  <c r="J286" i="66"/>
  <c r="L286" i="66" s="1"/>
  <c r="J285" i="66"/>
  <c r="L285" i="66" s="1"/>
  <c r="J284" i="66"/>
  <c r="L284" i="66" s="1"/>
  <c r="J283" i="66"/>
  <c r="L283" i="66" s="1"/>
  <c r="J282" i="66"/>
  <c r="L282" i="66" s="1"/>
  <c r="J281" i="66"/>
  <c r="L281" i="66" s="1"/>
  <c r="J280" i="66"/>
  <c r="L280" i="66" s="1"/>
  <c r="J279" i="66"/>
  <c r="L279" i="66" s="1"/>
  <c r="J278" i="66"/>
  <c r="L278" i="66" s="1"/>
  <c r="J277" i="66"/>
  <c r="L277" i="66" s="1"/>
  <c r="J276" i="66"/>
  <c r="L276" i="66" s="1"/>
  <c r="J275" i="66"/>
  <c r="L275" i="66" s="1"/>
  <c r="J274" i="66"/>
  <c r="L274" i="66" s="1"/>
  <c r="J273" i="66"/>
  <c r="L273" i="66" s="1"/>
  <c r="J272" i="66"/>
  <c r="L272" i="66" s="1"/>
  <c r="J271" i="66"/>
  <c r="L271" i="66" s="1"/>
  <c r="J270" i="66"/>
  <c r="L270" i="66" s="1"/>
  <c r="J269" i="66"/>
  <c r="L269" i="66" s="1"/>
  <c r="J268" i="66"/>
  <c r="L268" i="66" s="1"/>
  <c r="J267" i="66"/>
  <c r="L267" i="66" s="1"/>
  <c r="J266" i="66"/>
  <c r="L266" i="66" s="1"/>
  <c r="J265" i="66"/>
  <c r="L265" i="66" s="1"/>
  <c r="J264" i="66"/>
  <c r="L264" i="66" s="1"/>
  <c r="J263" i="66"/>
  <c r="L263" i="66" s="1"/>
  <c r="J262" i="66"/>
  <c r="L262" i="66" s="1"/>
  <c r="J261" i="66"/>
  <c r="L261" i="66" s="1"/>
  <c r="J260" i="66"/>
  <c r="L260" i="66" s="1"/>
  <c r="J259" i="66"/>
  <c r="L259" i="66" s="1"/>
  <c r="J258" i="66"/>
  <c r="L258" i="66" s="1"/>
  <c r="J257" i="66"/>
  <c r="L257" i="66" s="1"/>
  <c r="J256" i="66"/>
  <c r="L256" i="66" s="1"/>
  <c r="J255" i="66"/>
  <c r="L255" i="66" s="1"/>
  <c r="J254" i="66"/>
  <c r="L254" i="66" s="1"/>
  <c r="J253" i="66"/>
  <c r="L253" i="66" s="1"/>
  <c r="J252" i="66"/>
  <c r="L252" i="66" s="1"/>
  <c r="J251" i="66"/>
  <c r="L251" i="66" s="1"/>
  <c r="J250" i="66"/>
  <c r="L250" i="66" s="1"/>
  <c r="J249" i="66"/>
  <c r="L249" i="66" s="1"/>
  <c r="J248" i="66"/>
  <c r="L248" i="66" s="1"/>
  <c r="J247" i="66"/>
  <c r="L247" i="66" s="1"/>
  <c r="J246" i="66"/>
  <c r="L246" i="66" s="1"/>
  <c r="J245" i="66"/>
  <c r="L245" i="66" s="1"/>
  <c r="J244" i="66"/>
  <c r="L244" i="66" s="1"/>
  <c r="J243" i="66"/>
  <c r="L243" i="66" s="1"/>
  <c r="J242" i="66"/>
  <c r="L242" i="66" s="1"/>
  <c r="J241" i="66"/>
  <c r="L241" i="66" s="1"/>
  <c r="J240" i="66"/>
  <c r="L240" i="66" s="1"/>
  <c r="J239" i="66"/>
  <c r="L239" i="66" s="1"/>
  <c r="L238" i="66"/>
  <c r="L237" i="66"/>
  <c r="L236" i="66"/>
  <c r="L235" i="66"/>
  <c r="L234" i="66"/>
  <c r="L233" i="66"/>
  <c r="L232" i="66"/>
  <c r="L231" i="66"/>
  <c r="L230" i="66"/>
  <c r="L229" i="66"/>
  <c r="L228" i="66"/>
  <c r="L227" i="66"/>
  <c r="L226" i="66"/>
  <c r="L225" i="66"/>
  <c r="L224" i="66"/>
  <c r="L223" i="66"/>
  <c r="L222" i="66"/>
  <c r="L221" i="66"/>
  <c r="L220" i="66"/>
  <c r="L219" i="66"/>
  <c r="L218" i="66"/>
  <c r="L217" i="66"/>
  <c r="L216" i="66"/>
  <c r="L215" i="66"/>
  <c r="L214" i="66"/>
  <c r="L213" i="66"/>
  <c r="L212" i="66"/>
  <c r="L211" i="66"/>
  <c r="L210" i="66"/>
  <c r="L209" i="66"/>
  <c r="L208" i="66"/>
  <c r="L207" i="66"/>
  <c r="L206" i="66"/>
  <c r="L205" i="66"/>
  <c r="L204" i="66"/>
  <c r="L203" i="66"/>
  <c r="L202" i="66"/>
  <c r="L201" i="66"/>
  <c r="L200" i="66"/>
  <c r="L199" i="66"/>
  <c r="L198" i="66"/>
  <c r="L197" i="66"/>
  <c r="L196" i="66"/>
  <c r="L195" i="66"/>
  <c r="L194" i="66"/>
  <c r="L193" i="66"/>
  <c r="L192" i="66"/>
  <c r="L191" i="66"/>
  <c r="L190" i="66"/>
  <c r="L189" i="66"/>
  <c r="L188" i="66"/>
  <c r="L187" i="66"/>
  <c r="L186" i="66"/>
  <c r="L185" i="66"/>
  <c r="L184" i="66"/>
  <c r="L183" i="66"/>
  <c r="L182" i="66"/>
  <c r="L181" i="66"/>
  <c r="L180" i="66"/>
  <c r="L179" i="66"/>
  <c r="L178" i="66"/>
  <c r="L177" i="66"/>
  <c r="L176" i="66"/>
  <c r="L175" i="66"/>
  <c r="L174" i="66"/>
  <c r="L173" i="66"/>
  <c r="L172" i="66"/>
  <c r="L171" i="66"/>
  <c r="L170" i="66"/>
  <c r="L169" i="66"/>
  <c r="L168" i="66"/>
  <c r="L167" i="66"/>
  <c r="L166" i="66"/>
  <c r="L165" i="66"/>
  <c r="L164" i="66"/>
  <c r="L163" i="66"/>
  <c r="L162" i="66"/>
  <c r="L161" i="66"/>
  <c r="L160" i="66"/>
  <c r="L159" i="66"/>
  <c r="L158" i="66"/>
  <c r="L157" i="66"/>
  <c r="L156" i="66"/>
  <c r="L155" i="66"/>
  <c r="L154" i="66"/>
  <c r="L153" i="66"/>
  <c r="L152" i="66"/>
  <c r="L151" i="66"/>
  <c r="L150" i="66"/>
  <c r="L149" i="66"/>
  <c r="L148" i="66"/>
  <c r="L147" i="66"/>
  <c r="L146" i="66"/>
  <c r="L145" i="66"/>
  <c r="L144" i="66"/>
  <c r="L143" i="66"/>
  <c r="L142" i="66"/>
  <c r="L141" i="66"/>
  <c r="L140" i="66"/>
  <c r="L139" i="66"/>
  <c r="L138" i="66"/>
  <c r="L137" i="66"/>
  <c r="L136" i="66"/>
  <c r="L135" i="66"/>
  <c r="L134" i="66"/>
  <c r="L133" i="66"/>
  <c r="L132" i="66"/>
  <c r="L131" i="66"/>
  <c r="L130" i="66"/>
  <c r="L129" i="66"/>
  <c r="L128" i="66"/>
  <c r="L127" i="66"/>
  <c r="L126" i="66"/>
  <c r="L125" i="66"/>
  <c r="L124" i="66"/>
  <c r="L123" i="66"/>
  <c r="L122" i="66"/>
  <c r="L121" i="66"/>
  <c r="L120" i="66"/>
  <c r="L119" i="66"/>
  <c r="L118" i="66"/>
  <c r="L117" i="66"/>
  <c r="L116" i="66"/>
  <c r="L115" i="66"/>
  <c r="L114" i="66"/>
  <c r="L113" i="66"/>
  <c r="L112" i="66"/>
  <c r="L111" i="66"/>
  <c r="L110" i="66"/>
  <c r="L109" i="66"/>
  <c r="L108" i="66"/>
  <c r="L107" i="66"/>
  <c r="L106" i="66"/>
  <c r="L105" i="66"/>
  <c r="L104" i="66"/>
  <c r="L103" i="66"/>
  <c r="L102" i="66"/>
  <c r="L101" i="66"/>
  <c r="L100" i="66"/>
  <c r="L99" i="66"/>
  <c r="L98" i="66"/>
  <c r="L97" i="66"/>
  <c r="L96" i="66"/>
  <c r="L95" i="66"/>
  <c r="L94" i="66"/>
  <c r="L93" i="66"/>
  <c r="L92" i="66"/>
  <c r="L91" i="66"/>
  <c r="L90" i="66"/>
  <c r="L89" i="66"/>
  <c r="L88" i="66"/>
  <c r="L87" i="66"/>
  <c r="L86" i="66"/>
  <c r="L85" i="66"/>
  <c r="L84" i="66"/>
  <c r="L83" i="66"/>
  <c r="L82" i="66"/>
  <c r="L81" i="66"/>
  <c r="L80" i="66"/>
  <c r="L79" i="66"/>
  <c r="L78" i="66"/>
  <c r="L77" i="66"/>
  <c r="L76" i="66"/>
  <c r="L75" i="66"/>
  <c r="L74" i="66"/>
  <c r="L73" i="66"/>
  <c r="L72" i="66"/>
  <c r="L71" i="66"/>
  <c r="L70" i="66"/>
  <c r="L69" i="66"/>
  <c r="L68" i="66"/>
  <c r="L67" i="66"/>
  <c r="L66" i="66"/>
  <c r="L65" i="66"/>
  <c r="L64" i="66"/>
  <c r="L63" i="66"/>
  <c r="L62" i="66"/>
  <c r="L61" i="66"/>
  <c r="L60" i="66"/>
  <c r="L59" i="66"/>
  <c r="L58" i="66"/>
  <c r="L57" i="66"/>
  <c r="L56" i="66"/>
  <c r="L55" i="66"/>
  <c r="L54" i="66"/>
  <c r="L53" i="66"/>
  <c r="L52" i="66"/>
  <c r="L51" i="66"/>
  <c r="L50" i="66"/>
  <c r="L49" i="66"/>
  <c r="L48" i="66"/>
  <c r="L47" i="66"/>
  <c r="L46" i="66"/>
  <c r="L45" i="66"/>
  <c r="L44" i="66"/>
  <c r="L43" i="66"/>
  <c r="L42" i="66"/>
  <c r="L41" i="66"/>
  <c r="L40" i="66"/>
  <c r="L39" i="66"/>
  <c r="L38" i="66"/>
  <c r="L37" i="66"/>
  <c r="L36" i="66"/>
  <c r="L35" i="66"/>
  <c r="L34" i="66"/>
  <c r="L33" i="66"/>
  <c r="L32" i="66"/>
  <c r="L31" i="66"/>
  <c r="L30" i="66"/>
  <c r="L29" i="66"/>
  <c r="L28" i="66"/>
  <c r="L27" i="66"/>
  <c r="L26" i="66"/>
  <c r="L25" i="66"/>
  <c r="L24" i="66"/>
  <c r="L23" i="66"/>
  <c r="L22" i="66"/>
  <c r="L21" i="66"/>
  <c r="L20" i="66"/>
  <c r="L19" i="66"/>
  <c r="L18" i="66"/>
  <c r="L17" i="66"/>
  <c r="L16" i="66"/>
  <c r="L15" i="66"/>
  <c r="L14" i="66"/>
  <c r="L13" i="66"/>
  <c r="L12" i="66"/>
  <c r="L11" i="66"/>
  <c r="L10" i="66"/>
  <c r="L9" i="66"/>
  <c r="L8" i="66"/>
  <c r="L7" i="66"/>
  <c r="L6" i="66"/>
  <c r="L4" i="66"/>
  <c r="L3" i="66"/>
  <c r="K22" i="68" l="1"/>
  <c r="N13" i="68" s="1"/>
  <c r="L2" i="66"/>
  <c r="O13" i="66" s="1"/>
  <c r="B45" i="14" s="1"/>
  <c r="M2" i="68"/>
  <c r="M3" i="68" l="1"/>
  <c r="M4" i="68" s="1"/>
  <c r="M5" i="68" s="1"/>
  <c r="M6" i="68" s="1"/>
  <c r="M7" i="68" s="1"/>
  <c r="M8" i="68" s="1"/>
  <c r="M9" i="68" s="1"/>
  <c r="M10" i="68" s="1"/>
  <c r="M11" i="68" s="1"/>
  <c r="M12" i="68" s="1"/>
  <c r="M13" i="68" s="1"/>
  <c r="M14" i="68" s="1"/>
  <c r="M15" i="68" s="1"/>
  <c r="M16" i="68" s="1"/>
  <c r="M17" i="68" s="1"/>
  <c r="M18" i="68" s="1"/>
  <c r="M19" i="68" s="1"/>
  <c r="M20" i="68" s="1"/>
  <c r="M21" i="68" s="1"/>
  <c r="M22" i="68" s="1"/>
  <c r="M23" i="68" s="1"/>
  <c r="M24" i="68" s="1"/>
  <c r="M25" i="68" s="1"/>
  <c r="M26" i="68" s="1"/>
  <c r="M27" i="68" s="1"/>
  <c r="M28" i="68" s="1"/>
  <c r="M29" i="68" s="1"/>
  <c r="M30" i="68" s="1"/>
  <c r="M31" i="68" s="1"/>
  <c r="M32" i="68" s="1"/>
  <c r="M33" i="68" s="1"/>
  <c r="M34" i="68" s="1"/>
  <c r="M35" i="68" s="1"/>
  <c r="M36" i="68" s="1"/>
  <c r="M37" i="68" s="1"/>
  <c r="M38" i="68" s="1"/>
  <c r="M39" i="68" s="1"/>
  <c r="M40" i="68" s="1"/>
  <c r="M41" i="68" s="1"/>
  <c r="M42" i="68" s="1"/>
  <c r="M43" i="68" s="1"/>
  <c r="M44" i="68" s="1"/>
  <c r="M45" i="68" s="1"/>
  <c r="M46" i="68" s="1"/>
  <c r="M47" i="68" s="1"/>
  <c r="M48" i="68" s="1"/>
  <c r="M49" i="68" s="1"/>
  <c r="M50" i="68" s="1"/>
  <c r="M51" i="68" s="1"/>
  <c r="M52" i="68" s="1"/>
  <c r="M53" i="68" s="1"/>
  <c r="M54" i="68" s="1"/>
  <c r="M55" i="68" s="1"/>
  <c r="M56" i="68" s="1"/>
  <c r="M57" i="68" s="1"/>
  <c r="M58" i="68" s="1"/>
  <c r="M59" i="68" s="1"/>
  <c r="M60" i="68" s="1"/>
  <c r="M61" i="68" s="1"/>
  <c r="M62" i="68" s="1"/>
  <c r="M63" i="68" s="1"/>
  <c r="M64" i="68" s="1"/>
  <c r="M65" i="68" s="1"/>
  <c r="M66" i="68" s="1"/>
  <c r="M67" i="68" s="1"/>
  <c r="M68" i="68" s="1"/>
  <c r="M69" i="68" s="1"/>
  <c r="M70" i="68" s="1"/>
  <c r="M71" i="68" s="1"/>
  <c r="M72" i="68" s="1"/>
  <c r="M73" i="68" s="1"/>
  <c r="M74" i="68" s="1"/>
  <c r="M75" i="68" s="1"/>
  <c r="M76" i="68" s="1"/>
  <c r="M77" i="68" s="1"/>
  <c r="M78" i="68" s="1"/>
  <c r="M79" i="68" s="1"/>
  <c r="M80" i="68" s="1"/>
  <c r="M81" i="68" s="1"/>
  <c r="M82" i="68" s="1"/>
  <c r="M83" i="68" s="1"/>
  <c r="M84" i="68" s="1"/>
  <c r="M85" i="68" s="1"/>
  <c r="M86" i="68" s="1"/>
  <c r="M87" i="68" s="1"/>
  <c r="M88" i="68" s="1"/>
  <c r="M89" i="68" s="1"/>
  <c r="M90" i="68" s="1"/>
  <c r="M91" i="68" s="1"/>
  <c r="M92" i="68" s="1"/>
  <c r="M93" i="68" s="1"/>
  <c r="M94" i="68" s="1"/>
  <c r="M95" i="68" s="1"/>
  <c r="M96" i="68" s="1"/>
  <c r="M97" i="68" s="1"/>
  <c r="M98" i="68" s="1"/>
  <c r="M99" i="68" s="1"/>
  <c r="M100" i="68" s="1"/>
  <c r="M101" i="68" s="1"/>
  <c r="M102" i="68" s="1"/>
  <c r="M103" i="68" s="1"/>
  <c r="M104" i="68" s="1"/>
  <c r="M105" i="68" s="1"/>
  <c r="M106" i="68" s="1"/>
  <c r="M107" i="68" s="1"/>
  <c r="M108" i="68" s="1"/>
  <c r="M109" i="68" s="1"/>
  <c r="M110" i="68" s="1"/>
  <c r="M111" i="68" s="1"/>
  <c r="M112" i="68" s="1"/>
  <c r="M113" i="68" s="1"/>
  <c r="M114" i="68" s="1"/>
  <c r="M115" i="68" s="1"/>
  <c r="M116" i="68" s="1"/>
  <c r="M117" i="68" s="1"/>
  <c r="M118" i="68" s="1"/>
  <c r="M119" i="68" s="1"/>
  <c r="M120" i="68" s="1"/>
  <c r="M121" i="68" s="1"/>
  <c r="M122" i="68" s="1"/>
  <c r="M123" i="68" s="1"/>
  <c r="M124" i="68" s="1"/>
  <c r="M125" i="68" s="1"/>
  <c r="M126" i="68" s="1"/>
  <c r="M127" i="68" s="1"/>
  <c r="M128" i="68" s="1"/>
  <c r="M129" i="68" s="1"/>
  <c r="M130" i="68" s="1"/>
  <c r="M131" i="68" s="1"/>
  <c r="M132" i="68" s="1"/>
  <c r="M133" i="68" s="1"/>
  <c r="M134" i="68" s="1"/>
  <c r="M135" i="68" s="1"/>
  <c r="M136" i="68" s="1"/>
  <c r="M137" i="68" s="1"/>
  <c r="M138" i="68" s="1"/>
  <c r="M139" i="68" s="1"/>
  <c r="M140" i="68" s="1"/>
  <c r="M141" i="68" s="1"/>
  <c r="M142" i="68" s="1"/>
  <c r="M143" i="68" s="1"/>
  <c r="M144" i="68" s="1"/>
  <c r="M145" i="68" s="1"/>
  <c r="M146" i="68" s="1"/>
  <c r="M147" i="68" s="1"/>
  <c r="M148" i="68" s="1"/>
  <c r="M149" i="68" s="1"/>
  <c r="M150" i="68" s="1"/>
  <c r="M151" i="68" s="1"/>
  <c r="M152" i="68" s="1"/>
  <c r="M153" i="68" s="1"/>
  <c r="M154" i="68" s="1"/>
  <c r="M155" i="68" s="1"/>
  <c r="M156" i="68" s="1"/>
  <c r="M157" i="68" s="1"/>
  <c r="M158" i="68" s="1"/>
  <c r="M159" i="68" s="1"/>
  <c r="M160" i="68" s="1"/>
  <c r="M161" i="68" s="1"/>
  <c r="M162" i="68" s="1"/>
  <c r="M163" i="68" s="1"/>
  <c r="M164" i="68" s="1"/>
  <c r="M165" i="68" s="1"/>
  <c r="M166" i="68" s="1"/>
  <c r="M167" i="68" s="1"/>
  <c r="M168" i="68" s="1"/>
  <c r="M169" i="68" s="1"/>
  <c r="M170" i="68" s="1"/>
  <c r="M171" i="68" s="1"/>
  <c r="M172" i="68" s="1"/>
  <c r="M173" i="68" s="1"/>
  <c r="M174" i="68" s="1"/>
  <c r="M175" i="68" s="1"/>
  <c r="M176" i="68" s="1"/>
  <c r="M177" i="68" s="1"/>
  <c r="M178" i="68" s="1"/>
  <c r="M179" i="68" s="1"/>
  <c r="M180" i="68" s="1"/>
  <c r="M181" i="68" s="1"/>
  <c r="M182" i="68" s="1"/>
  <c r="M183" i="68" s="1"/>
  <c r="M184" i="68" s="1"/>
  <c r="M185" i="68" s="1"/>
  <c r="M186" i="68" s="1"/>
  <c r="M187" i="68" s="1"/>
  <c r="M188" i="68" s="1"/>
  <c r="M189" i="68" s="1"/>
  <c r="M190" i="68" s="1"/>
  <c r="M191" i="68" s="1"/>
  <c r="M192" i="68" s="1"/>
  <c r="M193" i="68" s="1"/>
  <c r="M194" i="68" s="1"/>
  <c r="M195" i="68" s="1"/>
  <c r="M196" i="68" s="1"/>
  <c r="M197" i="68" s="1"/>
  <c r="M198" i="68" s="1"/>
  <c r="M199" i="68" s="1"/>
  <c r="M200" i="68" s="1"/>
  <c r="M201" i="68" s="1"/>
  <c r="M202" i="68" s="1"/>
  <c r="M203" i="68" s="1"/>
  <c r="M204" i="68" s="1"/>
  <c r="M205" i="68" s="1"/>
  <c r="M206" i="68" s="1"/>
  <c r="M207" i="68" s="1"/>
  <c r="M208" i="68" s="1"/>
  <c r="M209" i="68" s="1"/>
  <c r="M210" i="68" s="1"/>
  <c r="M211" i="68" s="1"/>
  <c r="M212" i="68" s="1"/>
  <c r="M213" i="68" s="1"/>
  <c r="M214" i="68" s="1"/>
  <c r="M215" i="68" s="1"/>
  <c r="M216" i="68" s="1"/>
  <c r="M217" i="68" s="1"/>
  <c r="M218" i="68" s="1"/>
  <c r="M219" i="68" s="1"/>
  <c r="M220" i="68" s="1"/>
  <c r="M221" i="68" s="1"/>
  <c r="M222" i="68" s="1"/>
  <c r="M223" i="68" s="1"/>
  <c r="M224" i="68" s="1"/>
  <c r="M225" i="68" s="1"/>
  <c r="M226" i="68" s="1"/>
  <c r="M227" i="68" s="1"/>
  <c r="M228" i="68" s="1"/>
  <c r="M229" i="68" s="1"/>
  <c r="M230" i="68" s="1"/>
  <c r="M231" i="68" s="1"/>
  <c r="M232" i="68" s="1"/>
  <c r="M233" i="68" s="1"/>
  <c r="M234" i="68" s="1"/>
  <c r="M235" i="68" s="1"/>
  <c r="M236" i="68" s="1"/>
  <c r="M237" i="68" s="1"/>
  <c r="M238" i="68" s="1"/>
  <c r="M239" i="68" s="1"/>
  <c r="M240" i="68" s="1"/>
  <c r="M241" i="68" s="1"/>
  <c r="M242" i="68" s="1"/>
  <c r="M243" i="68" s="1"/>
  <c r="M244" i="68" s="1"/>
  <c r="M245" i="68" s="1"/>
  <c r="M246" i="68" s="1"/>
  <c r="M247" i="68" s="1"/>
  <c r="M248" i="68" s="1"/>
  <c r="M249" i="68" s="1"/>
  <c r="M250" i="68" s="1"/>
  <c r="M251" i="68" s="1"/>
  <c r="M252" i="68" s="1"/>
  <c r="M253" i="68" s="1"/>
  <c r="M254" i="68" s="1"/>
  <c r="M255" i="68" s="1"/>
  <c r="M256" i="68" s="1"/>
  <c r="M257" i="68" s="1"/>
  <c r="M258" i="68" s="1"/>
  <c r="M259" i="68" s="1"/>
  <c r="M260" i="68" s="1"/>
  <c r="M261" i="68" s="1"/>
  <c r="M262" i="68" s="1"/>
  <c r="M263" i="68" s="1"/>
  <c r="M264" i="68" s="1"/>
  <c r="M265" i="68" s="1"/>
  <c r="M266" i="68" s="1"/>
  <c r="M267" i="68" s="1"/>
  <c r="M268" i="68" s="1"/>
  <c r="M269" i="68" s="1"/>
  <c r="M270" i="68" s="1"/>
  <c r="M271" i="68" s="1"/>
  <c r="M272" i="68" s="1"/>
  <c r="M273" i="68" s="1"/>
  <c r="M274" i="68" s="1"/>
  <c r="M275" i="68" s="1"/>
  <c r="M276" i="68" s="1"/>
  <c r="M277" i="68" s="1"/>
  <c r="M278" i="68" s="1"/>
  <c r="M279" i="68" s="1"/>
  <c r="M280" i="68" s="1"/>
  <c r="M281" i="68" s="1"/>
  <c r="M282" i="68" s="1"/>
  <c r="M283" i="68" s="1"/>
  <c r="M284" i="68" s="1"/>
  <c r="M285" i="68" s="1"/>
  <c r="M286" i="68" s="1"/>
  <c r="M287" i="68" s="1"/>
  <c r="M288" i="68" s="1"/>
  <c r="M289" i="68" s="1"/>
  <c r="M290" i="68" s="1"/>
  <c r="M291" i="68" s="1"/>
  <c r="M292" i="68" s="1"/>
  <c r="M293" i="68" s="1"/>
  <c r="M294" i="68" s="1"/>
  <c r="M295" i="68" s="1"/>
  <c r="M296" i="68" s="1"/>
  <c r="M297" i="68" s="1"/>
  <c r="M298" i="68" s="1"/>
  <c r="M299" i="68" s="1"/>
  <c r="M300" i="68" s="1"/>
  <c r="M301" i="68" s="1"/>
  <c r="M302" i="68" s="1"/>
  <c r="M303" i="68" s="1"/>
  <c r="M304" i="68" s="1"/>
  <c r="M305" i="68" s="1"/>
  <c r="M306" i="68" s="1"/>
  <c r="M307" i="68" s="1"/>
  <c r="M308" i="68" s="1"/>
  <c r="M309" i="68" s="1"/>
  <c r="M310" i="68" s="1"/>
  <c r="M311" i="68" s="1"/>
  <c r="M312" i="68" s="1"/>
  <c r="M313" i="68" s="1"/>
  <c r="M314" i="68" s="1"/>
  <c r="M315" i="68" s="1"/>
  <c r="M316" i="68" s="1"/>
  <c r="M317" i="68" s="1"/>
  <c r="M318" i="68" s="1"/>
  <c r="M319" i="68" s="1"/>
  <c r="M320" i="68" s="1"/>
  <c r="M321" i="68" s="1"/>
  <c r="M322" i="68" s="1"/>
  <c r="M323" i="68" s="1"/>
  <c r="M324" i="68" s="1"/>
  <c r="M325" i="68" s="1"/>
  <c r="M326" i="68" s="1"/>
  <c r="M327" i="68" s="1"/>
  <c r="M328" i="68" s="1"/>
  <c r="M329" i="68" s="1"/>
  <c r="M330" i="68" s="1"/>
  <c r="M331" i="68" s="1"/>
  <c r="M332" i="68" s="1"/>
  <c r="M333" i="68" s="1"/>
  <c r="M334" i="68" s="1"/>
  <c r="M335" i="68" s="1"/>
  <c r="M336" i="68" s="1"/>
  <c r="M337" i="68" s="1"/>
  <c r="M338" i="68" s="1"/>
  <c r="M339" i="68" s="1"/>
  <c r="B32" i="14"/>
  <c r="L3" i="65"/>
  <c r="L4" i="65" s="1"/>
  <c r="L5" i="65" s="1"/>
  <c r="L6" i="65" s="1"/>
  <c r="M14" i="65"/>
  <c r="B4" i="14" s="1"/>
  <c r="N2" i="66"/>
  <c r="N3" i="66" s="1"/>
  <c r="N4" i="66" s="1"/>
  <c r="N8" i="66" s="1"/>
  <c r="N9" i="66" s="1"/>
  <c r="N10" i="66" s="1"/>
  <c r="N11" i="66" s="1"/>
  <c r="N12" i="66" s="1"/>
  <c r="N13" i="66" s="1"/>
  <c r="N14" i="66" s="1"/>
  <c r="N15" i="66" s="1"/>
  <c r="N16" i="66" s="1"/>
  <c r="N17" i="66" s="1"/>
  <c r="N18" i="66" s="1"/>
  <c r="N19" i="66" s="1"/>
  <c r="N20" i="66" s="1"/>
  <c r="N21" i="66" s="1"/>
  <c r="N22" i="66" s="1"/>
  <c r="N23" i="66" s="1"/>
  <c r="N24" i="66" s="1"/>
  <c r="N25" i="66" s="1"/>
  <c r="N26" i="66" s="1"/>
  <c r="N27" i="66" s="1"/>
  <c r="N28" i="66" s="1"/>
  <c r="N29" i="66" s="1"/>
  <c r="N30" i="66" s="1"/>
  <c r="N31" i="66" s="1"/>
  <c r="N32" i="66" s="1"/>
  <c r="N33" i="66" s="1"/>
  <c r="N34" i="66" s="1"/>
  <c r="N35" i="66" s="1"/>
  <c r="N36" i="66" s="1"/>
  <c r="N37" i="66" s="1"/>
  <c r="N38" i="66" s="1"/>
  <c r="N39" i="66" s="1"/>
  <c r="N40" i="66" s="1"/>
  <c r="N41" i="66" s="1"/>
  <c r="N42" i="66" s="1"/>
  <c r="N43" i="66" s="1"/>
  <c r="N44" i="66" s="1"/>
  <c r="N45" i="66" s="1"/>
  <c r="N46" i="66" s="1"/>
  <c r="N47" i="66" s="1"/>
  <c r="N48" i="66" s="1"/>
  <c r="N49" i="66" s="1"/>
  <c r="N50" i="66" s="1"/>
  <c r="N51" i="66" s="1"/>
  <c r="N52" i="66" s="1"/>
  <c r="N53" i="66" s="1"/>
  <c r="N54" i="66" s="1"/>
  <c r="N55" i="66" s="1"/>
  <c r="N56" i="66" s="1"/>
  <c r="N57" i="66" s="1"/>
  <c r="N58" i="66" s="1"/>
  <c r="N59" i="66" s="1"/>
  <c r="N60" i="66" s="1"/>
  <c r="N61" i="66" s="1"/>
  <c r="N62" i="66" s="1"/>
  <c r="N63" i="66" s="1"/>
  <c r="N64" i="66" s="1"/>
  <c r="N65" i="66" s="1"/>
  <c r="N66" i="66" s="1"/>
  <c r="N67" i="66" s="1"/>
  <c r="N68" i="66" s="1"/>
  <c r="N69" i="66" s="1"/>
  <c r="N70" i="66" s="1"/>
  <c r="N71" i="66" s="1"/>
  <c r="N72" i="66" s="1"/>
  <c r="N73" i="66" s="1"/>
  <c r="N74" i="66" s="1"/>
  <c r="N75" i="66" s="1"/>
  <c r="N76" i="66" s="1"/>
  <c r="N77" i="66" s="1"/>
  <c r="N78" i="66" s="1"/>
  <c r="N79" i="66" s="1"/>
  <c r="N80" i="66" s="1"/>
  <c r="N81" i="66" s="1"/>
  <c r="N82" i="66" s="1"/>
  <c r="N83" i="66" s="1"/>
  <c r="N84" i="66" s="1"/>
  <c r="N85" i="66" s="1"/>
  <c r="N86" i="66" s="1"/>
  <c r="N87" i="66" s="1"/>
  <c r="N88" i="66" s="1"/>
  <c r="N89" i="66" s="1"/>
  <c r="N90" i="66" s="1"/>
  <c r="N91" i="66" s="1"/>
  <c r="N92" i="66" s="1"/>
  <c r="N93" i="66" s="1"/>
  <c r="N94" i="66" s="1"/>
  <c r="N95" i="66" s="1"/>
  <c r="N96" i="66" s="1"/>
  <c r="N97" i="66" s="1"/>
  <c r="N98" i="66" s="1"/>
  <c r="N99" i="66" s="1"/>
  <c r="N100" i="66" s="1"/>
  <c r="N101" i="66" s="1"/>
  <c r="N102" i="66" s="1"/>
  <c r="N103" i="66" s="1"/>
  <c r="N104" i="66" s="1"/>
  <c r="N105" i="66" s="1"/>
  <c r="N106" i="66" s="1"/>
  <c r="N107" i="66" s="1"/>
  <c r="N108" i="66" s="1"/>
  <c r="N109" i="66" s="1"/>
  <c r="N110" i="66" s="1"/>
  <c r="N111" i="66" s="1"/>
  <c r="N112" i="66" s="1"/>
  <c r="N113" i="66" s="1"/>
  <c r="N114" i="66" s="1"/>
  <c r="N115" i="66" s="1"/>
  <c r="N116" i="66" s="1"/>
  <c r="N117" i="66" s="1"/>
  <c r="N118" i="66" s="1"/>
  <c r="N119" i="66" s="1"/>
  <c r="N120" i="66" s="1"/>
  <c r="N121" i="66" s="1"/>
  <c r="N122" i="66" s="1"/>
  <c r="N123" i="66" s="1"/>
  <c r="N124" i="66" s="1"/>
  <c r="N125" i="66" s="1"/>
  <c r="N126" i="66" s="1"/>
  <c r="N127" i="66" s="1"/>
  <c r="N128" i="66" s="1"/>
  <c r="N129" i="66" s="1"/>
  <c r="N130" i="66" s="1"/>
  <c r="N131" i="66" s="1"/>
  <c r="N132" i="66" s="1"/>
  <c r="N133" i="66" s="1"/>
  <c r="N134" i="66" s="1"/>
  <c r="N135" i="66" s="1"/>
  <c r="N136" i="66" s="1"/>
  <c r="N137" i="66" s="1"/>
  <c r="N138" i="66" s="1"/>
  <c r="N139" i="66" s="1"/>
  <c r="N140" i="66" s="1"/>
  <c r="N141" i="66" s="1"/>
  <c r="N142" i="66" s="1"/>
  <c r="N143" i="66" s="1"/>
  <c r="N144" i="66" s="1"/>
  <c r="N145" i="66" s="1"/>
  <c r="N146" i="66" s="1"/>
  <c r="N147" i="66" s="1"/>
  <c r="N148" i="66" s="1"/>
  <c r="N149" i="66" s="1"/>
  <c r="N150" i="66" s="1"/>
  <c r="N151" i="66" s="1"/>
  <c r="N152" i="66" s="1"/>
  <c r="N153" i="66" s="1"/>
  <c r="N154" i="66" s="1"/>
  <c r="N155" i="66" s="1"/>
  <c r="N156" i="66" s="1"/>
  <c r="N157" i="66" s="1"/>
  <c r="N158" i="66" s="1"/>
  <c r="N159" i="66" s="1"/>
  <c r="N160" i="66" s="1"/>
  <c r="N161" i="66" s="1"/>
  <c r="N162" i="66" s="1"/>
  <c r="N163" i="66" s="1"/>
  <c r="N164" i="66" s="1"/>
  <c r="N165" i="66" s="1"/>
  <c r="N166" i="66" s="1"/>
  <c r="N167" i="66" s="1"/>
  <c r="N168" i="66" s="1"/>
  <c r="N169" i="66" s="1"/>
  <c r="N170" i="66" s="1"/>
  <c r="N171" i="66" s="1"/>
  <c r="N172" i="66" s="1"/>
  <c r="N173" i="66" s="1"/>
  <c r="N174" i="66" s="1"/>
  <c r="N175" i="66" s="1"/>
  <c r="N176" i="66" s="1"/>
  <c r="N177" i="66" s="1"/>
  <c r="N178" i="66" s="1"/>
  <c r="N179" i="66" s="1"/>
  <c r="N180" i="66" s="1"/>
  <c r="N181" i="66" s="1"/>
  <c r="N182" i="66" s="1"/>
  <c r="N183" i="66" s="1"/>
  <c r="N184" i="66" s="1"/>
  <c r="N185" i="66" s="1"/>
  <c r="N186" i="66" s="1"/>
  <c r="N187" i="66" s="1"/>
  <c r="N188" i="66" s="1"/>
  <c r="N189" i="66" s="1"/>
  <c r="N190" i="66" s="1"/>
  <c r="N191" i="66" s="1"/>
  <c r="N192" i="66" s="1"/>
  <c r="N193" i="66" s="1"/>
  <c r="N194" i="66" s="1"/>
  <c r="N195" i="66" s="1"/>
  <c r="N196" i="66" s="1"/>
  <c r="N197" i="66" s="1"/>
  <c r="N198" i="66" s="1"/>
  <c r="N199" i="66" s="1"/>
  <c r="N200" i="66" s="1"/>
  <c r="N201" i="66" s="1"/>
  <c r="N202" i="66" s="1"/>
  <c r="N203" i="66" s="1"/>
  <c r="N204" i="66" s="1"/>
  <c r="N205" i="66" s="1"/>
  <c r="N206" i="66" s="1"/>
  <c r="N207" i="66" s="1"/>
  <c r="N208" i="66" s="1"/>
  <c r="N209" i="66" s="1"/>
  <c r="N210" i="66" s="1"/>
  <c r="N211" i="66" s="1"/>
  <c r="N212" i="66" s="1"/>
  <c r="N213" i="66" s="1"/>
  <c r="N214" i="66" s="1"/>
  <c r="N215" i="66" s="1"/>
  <c r="N216" i="66" s="1"/>
  <c r="N217" i="66" s="1"/>
  <c r="N218" i="66" s="1"/>
  <c r="N219" i="66" s="1"/>
  <c r="N220" i="66" s="1"/>
  <c r="N221" i="66" s="1"/>
  <c r="N222" i="66" s="1"/>
  <c r="N223" i="66" s="1"/>
  <c r="N224" i="66" s="1"/>
  <c r="N225" i="66" s="1"/>
  <c r="N226" i="66" s="1"/>
  <c r="N227" i="66" s="1"/>
  <c r="N228" i="66" s="1"/>
  <c r="N229" i="66" s="1"/>
  <c r="N230" i="66" s="1"/>
  <c r="N231" i="66" s="1"/>
  <c r="N232" i="66" s="1"/>
  <c r="N233" i="66" s="1"/>
  <c r="N234" i="66" s="1"/>
  <c r="N235" i="66" s="1"/>
  <c r="N236" i="66" s="1"/>
  <c r="N237" i="66" s="1"/>
  <c r="N238" i="66" s="1"/>
  <c r="N239" i="66" s="1"/>
  <c r="N240" i="66" s="1"/>
  <c r="N241" i="66" s="1"/>
  <c r="N242" i="66" s="1"/>
  <c r="N243" i="66" s="1"/>
  <c r="N244" i="66" s="1"/>
  <c r="N245" i="66" s="1"/>
  <c r="N246" i="66" s="1"/>
  <c r="N247" i="66" s="1"/>
  <c r="N248" i="66" s="1"/>
  <c r="N249" i="66" s="1"/>
  <c r="N250" i="66" s="1"/>
  <c r="N251" i="66" s="1"/>
  <c r="N252" i="66" s="1"/>
  <c r="N253" i="66" s="1"/>
  <c r="N254" i="66" s="1"/>
  <c r="N255" i="66" s="1"/>
  <c r="N256" i="66" s="1"/>
  <c r="N257" i="66" s="1"/>
  <c r="N258" i="66" s="1"/>
  <c r="N259" i="66" s="1"/>
  <c r="N260" i="66" s="1"/>
  <c r="N261" i="66" s="1"/>
  <c r="N262" i="66" s="1"/>
  <c r="N263" i="66" s="1"/>
  <c r="N264" i="66" s="1"/>
  <c r="N265" i="66" s="1"/>
  <c r="N266" i="66" s="1"/>
  <c r="N267" i="66" s="1"/>
  <c r="N268" i="66" s="1"/>
  <c r="N269" i="66" s="1"/>
  <c r="N270" i="66" s="1"/>
  <c r="N271" i="66" s="1"/>
  <c r="N272" i="66" s="1"/>
  <c r="N273" i="66" s="1"/>
  <c r="N274" i="66" s="1"/>
  <c r="N275" i="66" s="1"/>
  <c r="N276" i="66" s="1"/>
  <c r="N277" i="66" s="1"/>
  <c r="N278" i="66" s="1"/>
  <c r="N279" i="66" s="1"/>
  <c r="N280" i="66" s="1"/>
  <c r="N281" i="66" s="1"/>
  <c r="N282" i="66" s="1"/>
  <c r="N283" i="66" s="1"/>
  <c r="N284" i="66" s="1"/>
  <c r="N285" i="66" s="1"/>
  <c r="N286" i="66" s="1"/>
  <c r="N287" i="66" s="1"/>
  <c r="N288" i="66" s="1"/>
  <c r="N289" i="66" s="1"/>
  <c r="N290" i="66" s="1"/>
  <c r="N291" i="66" s="1"/>
  <c r="N292" i="66" s="1"/>
  <c r="N293" i="66" s="1"/>
  <c r="N294" i="66" s="1"/>
  <c r="N295" i="66" s="1"/>
  <c r="N296" i="66" s="1"/>
  <c r="N297" i="66" s="1"/>
  <c r="N298" i="66" s="1"/>
  <c r="N299" i="66" s="1"/>
  <c r="N300" i="66" s="1"/>
  <c r="N301" i="66" s="1"/>
  <c r="N302" i="66" s="1"/>
  <c r="N303" i="66" s="1"/>
  <c r="N304" i="66" s="1"/>
  <c r="N305" i="66" s="1"/>
  <c r="N306" i="66" s="1"/>
  <c r="N307" i="66" s="1"/>
  <c r="N308" i="66" s="1"/>
  <c r="N309" i="66" s="1"/>
  <c r="N310" i="66" s="1"/>
  <c r="N311" i="66" s="1"/>
  <c r="N312" i="66" s="1"/>
  <c r="N313" i="66" s="1"/>
  <c r="N314" i="66" s="1"/>
  <c r="N315" i="66" s="1"/>
  <c r="N316" i="66" s="1"/>
  <c r="N317" i="66" s="1"/>
  <c r="N318" i="66" s="1"/>
  <c r="N319" i="66" s="1"/>
  <c r="N320" i="66" s="1"/>
  <c r="N321" i="66" s="1"/>
  <c r="N322" i="66" s="1"/>
  <c r="N323" i="66" s="1"/>
  <c r="N324" i="66" s="1"/>
  <c r="N325" i="66" s="1"/>
  <c r="N326" i="66" s="1"/>
  <c r="N327" i="66" s="1"/>
  <c r="N328" i="66" s="1"/>
  <c r="N329" i="66" s="1"/>
  <c r="N330" i="66" s="1"/>
  <c r="N331" i="66" s="1"/>
  <c r="N332" i="66" s="1"/>
  <c r="N333" i="66" s="1"/>
  <c r="N334" i="66" s="1"/>
  <c r="N335" i="66" s="1"/>
  <c r="N336" i="66" s="1"/>
  <c r="N337" i="66" s="1"/>
  <c r="N338" i="66" s="1"/>
  <c r="N339" i="66" s="1"/>
  <c r="L29" i="19"/>
  <c r="L27" i="19"/>
  <c r="L7" i="65" l="1"/>
  <c r="L8" i="65" s="1"/>
  <c r="L9" i="65" s="1"/>
  <c r="L10" i="65" s="1"/>
  <c r="L11" i="65" s="1"/>
  <c r="L12" i="65" s="1"/>
  <c r="L13" i="65" s="1"/>
  <c r="L14" i="65" s="1"/>
  <c r="L15" i="65" s="1"/>
  <c r="L16" i="65" s="1"/>
  <c r="L28" i="19"/>
  <c r="L30" i="19"/>
  <c r="L17" i="65" l="1"/>
  <c r="L18" i="65" s="1"/>
  <c r="L23" i="65" s="1"/>
  <c r="L24" i="65" s="1"/>
  <c r="L25" i="65" s="1"/>
  <c r="L26" i="65" s="1"/>
  <c r="L27" i="65" s="1"/>
  <c r="L28" i="65" s="1"/>
  <c r="L29" i="65" s="1"/>
  <c r="L30" i="65" s="1"/>
  <c r="L31" i="65" s="1"/>
  <c r="L32" i="65" s="1"/>
  <c r="L33" i="65" s="1"/>
  <c r="L34" i="65" s="1"/>
  <c r="L35" i="65" s="1"/>
  <c r="L36" i="65" s="1"/>
  <c r="L37" i="65" s="1"/>
  <c r="L38" i="65" s="1"/>
  <c r="L39" i="65" s="1"/>
  <c r="L40" i="65" l="1"/>
  <c r="L41" i="65" s="1"/>
  <c r="L42" i="65" s="1"/>
  <c r="L43" i="65" s="1"/>
  <c r="L44" i="65" l="1"/>
  <c r="L45" i="65" s="1"/>
  <c r="L46" i="65" s="1"/>
  <c r="L47" i="65" s="1"/>
  <c r="L48" i="65" s="1"/>
  <c r="L49" i="65" s="1"/>
  <c r="L50" i="65" s="1"/>
  <c r="L51" i="65" s="1"/>
  <c r="L52" i="65" s="1"/>
  <c r="L53" i="65" l="1"/>
  <c r="L54" i="65" s="1"/>
  <c r="L55" i="65" s="1"/>
  <c r="L56" i="65" s="1"/>
  <c r="L57" i="65" s="1"/>
  <c r="L58" i="65" s="1"/>
  <c r="L59" i="65" s="1"/>
  <c r="L60" i="65" s="1"/>
  <c r="L61" i="65" s="1"/>
  <c r="L62" i="65" s="1"/>
  <c r="L63" i="65" s="1"/>
  <c r="L64" i="65" s="1"/>
  <c r="L65" i="65" s="1"/>
  <c r="L66" i="65" s="1"/>
  <c r="L67" i="65" s="1"/>
  <c r="L68" i="65" s="1"/>
  <c r="L69" i="65" s="1"/>
  <c r="L70" i="65" s="1"/>
  <c r="L71" i="65" s="1"/>
  <c r="L72" i="65" s="1"/>
  <c r="L73" i="65" s="1"/>
  <c r="L74" i="65" s="1"/>
  <c r="L75" i="65" s="1"/>
  <c r="L76" i="65" s="1"/>
  <c r="L77" i="65" s="1"/>
  <c r="L78" i="65" s="1"/>
  <c r="L79" i="65" s="1"/>
  <c r="L80" i="65" s="1"/>
  <c r="L81" i="65" s="1"/>
  <c r="L82" i="65" s="1"/>
  <c r="L83" i="65" s="1"/>
  <c r="L84" i="65" s="1"/>
  <c r="L85" i="65" s="1"/>
  <c r="L86" i="65" s="1"/>
  <c r="L87" i="65" s="1"/>
  <c r="L88" i="65" s="1"/>
  <c r="L89" i="65" s="1"/>
  <c r="L90" i="65" s="1"/>
  <c r="L91" i="65" s="1"/>
  <c r="L92" i="65" s="1"/>
  <c r="L93" i="65" s="1"/>
  <c r="L94" i="65" s="1"/>
  <c r="L95" i="65" s="1"/>
  <c r="L96" i="65" s="1"/>
  <c r="L97" i="65" s="1"/>
  <c r="L98" i="65" s="1"/>
  <c r="L99" i="65" s="1"/>
  <c r="L100" i="65" s="1"/>
  <c r="L101" i="65" s="1"/>
  <c r="L102" i="65" s="1"/>
  <c r="L103" i="65" s="1"/>
  <c r="L104" i="65" s="1"/>
  <c r="L105" i="65" s="1"/>
  <c r="L106" i="65" s="1"/>
  <c r="L107" i="65" s="1"/>
  <c r="L108" i="65" s="1"/>
  <c r="L109" i="65" s="1"/>
  <c r="L110" i="65" s="1"/>
  <c r="L111" i="65" s="1"/>
  <c r="L112" i="65" s="1"/>
  <c r="L113" i="65" s="1"/>
  <c r="L114" i="65" s="1"/>
  <c r="L115" i="65" s="1"/>
  <c r="L116" i="65" s="1"/>
  <c r="L117" i="65" s="1"/>
  <c r="L118" i="65" s="1"/>
  <c r="L119" i="65" s="1"/>
  <c r="L120" i="65" s="1"/>
  <c r="L121" i="65" s="1"/>
  <c r="L122" i="65" s="1"/>
  <c r="L123" i="65" s="1"/>
  <c r="L124" i="65" s="1"/>
  <c r="L125" i="65" s="1"/>
  <c r="L126" i="65" s="1"/>
  <c r="L127" i="65" s="1"/>
  <c r="L128" i="65" s="1"/>
  <c r="L129" i="65" s="1"/>
  <c r="L130" i="65" s="1"/>
  <c r="L131" i="65" s="1"/>
  <c r="L132" i="65" s="1"/>
  <c r="L133" i="65" s="1"/>
  <c r="L134" i="65" s="1"/>
  <c r="L135" i="65" s="1"/>
  <c r="L136" i="65" s="1"/>
  <c r="L137" i="65" s="1"/>
  <c r="L138" i="65" s="1"/>
  <c r="L139" i="65" s="1"/>
  <c r="L140" i="65" s="1"/>
  <c r="L141" i="65" s="1"/>
  <c r="L142" i="65" s="1"/>
  <c r="L143" i="65" s="1"/>
  <c r="L144" i="65" s="1"/>
  <c r="L145" i="65" s="1"/>
  <c r="L146" i="65" s="1"/>
  <c r="L147" i="65" s="1"/>
  <c r="L148" i="65" s="1"/>
  <c r="L149" i="65" s="1"/>
  <c r="L150" i="65" s="1"/>
  <c r="L151" i="65" s="1"/>
  <c r="L152" i="65" s="1"/>
  <c r="L153" i="65" s="1"/>
  <c r="L154" i="65" s="1"/>
  <c r="L155" i="65" s="1"/>
  <c r="L156" i="65" s="1"/>
  <c r="L157" i="65" s="1"/>
  <c r="L158" i="65" s="1"/>
  <c r="L159" i="65" s="1"/>
  <c r="L160" i="65" s="1"/>
  <c r="L161" i="65" s="1"/>
  <c r="L162" i="65" s="1"/>
  <c r="L163" i="65" s="1"/>
  <c r="L164" i="65" s="1"/>
  <c r="L165" i="65" s="1"/>
  <c r="L166" i="65" s="1"/>
  <c r="L167" i="65" s="1"/>
  <c r="L168" i="65" s="1"/>
  <c r="L169" i="65" s="1"/>
  <c r="L170" i="65" s="1"/>
  <c r="L171" i="65" s="1"/>
  <c r="L172" i="65" s="1"/>
  <c r="L173" i="65" s="1"/>
  <c r="L174" i="65" s="1"/>
  <c r="L175" i="65" s="1"/>
  <c r="L176" i="65" s="1"/>
  <c r="L177" i="65" s="1"/>
  <c r="L178" i="65" s="1"/>
  <c r="L179" i="65" s="1"/>
  <c r="L180" i="65" s="1"/>
  <c r="L181" i="65" s="1"/>
  <c r="L182" i="65" s="1"/>
  <c r="L183" i="65" s="1"/>
  <c r="L184" i="65" s="1"/>
  <c r="L185" i="65" s="1"/>
  <c r="L186" i="65" s="1"/>
  <c r="L187" i="65" s="1"/>
  <c r="L188" i="65" s="1"/>
  <c r="L189" i="65" s="1"/>
  <c r="L190" i="65" s="1"/>
  <c r="L191" i="65" s="1"/>
  <c r="L192" i="65" s="1"/>
  <c r="L193" i="65" s="1"/>
  <c r="L194" i="65" s="1"/>
  <c r="L195" i="65" s="1"/>
  <c r="L196" i="65" s="1"/>
  <c r="L197" i="65" s="1"/>
  <c r="L198" i="65" s="1"/>
  <c r="L199" i="65" s="1"/>
  <c r="L200" i="65" s="1"/>
  <c r="L201" i="65" s="1"/>
  <c r="L202" i="65" s="1"/>
  <c r="L203" i="65" s="1"/>
  <c r="L204" i="65" s="1"/>
  <c r="L205" i="65" s="1"/>
  <c r="L206" i="65" s="1"/>
  <c r="L207" i="65" s="1"/>
  <c r="L208" i="65" s="1"/>
  <c r="L209" i="65" s="1"/>
  <c r="L210" i="65" s="1"/>
  <c r="L211" i="65" s="1"/>
  <c r="L212" i="65" s="1"/>
  <c r="L213" i="65" s="1"/>
  <c r="L214" i="65" s="1"/>
  <c r="L215" i="65" s="1"/>
  <c r="L216" i="65" s="1"/>
  <c r="L217" i="65" s="1"/>
  <c r="L218" i="65" s="1"/>
  <c r="L219" i="65" s="1"/>
  <c r="L220" i="65" s="1"/>
  <c r="L221" i="65" s="1"/>
  <c r="L222" i="65" s="1"/>
  <c r="L223" i="65" s="1"/>
  <c r="L224" i="65" s="1"/>
  <c r="L225" i="65" s="1"/>
  <c r="L226" i="65" s="1"/>
  <c r="L227" i="65" s="1"/>
  <c r="L228" i="65" s="1"/>
  <c r="L229" i="65" s="1"/>
  <c r="L230" i="65" s="1"/>
  <c r="L231" i="65" s="1"/>
  <c r="L232" i="65" s="1"/>
  <c r="L233" i="65" s="1"/>
  <c r="L234" i="65" s="1"/>
  <c r="L235" i="65" s="1"/>
  <c r="L236" i="65" s="1"/>
  <c r="L237" i="65" s="1"/>
  <c r="L238" i="65" s="1"/>
  <c r="L239" i="65" s="1"/>
  <c r="L240" i="65" s="1"/>
  <c r="L241" i="65" s="1"/>
  <c r="L242" i="65" s="1"/>
  <c r="L243" i="65" s="1"/>
  <c r="L244" i="65" s="1"/>
  <c r="L245" i="65" s="1"/>
  <c r="L246" i="65" s="1"/>
  <c r="L247" i="65" s="1"/>
  <c r="L248" i="65" s="1"/>
  <c r="L249" i="65" s="1"/>
  <c r="L250" i="65" s="1"/>
  <c r="L251" i="65" s="1"/>
  <c r="L252" i="65" s="1"/>
  <c r="L253" i="65" s="1"/>
  <c r="L254" i="65" s="1"/>
  <c r="L255" i="65" s="1"/>
  <c r="L256" i="65" s="1"/>
  <c r="L257" i="65" s="1"/>
  <c r="L258" i="65" s="1"/>
  <c r="L259" i="65" s="1"/>
  <c r="L260" i="65" s="1"/>
  <c r="L261" i="65" s="1"/>
  <c r="L262" i="65" s="1"/>
  <c r="L263" i="65" s="1"/>
  <c r="L264" i="65" s="1"/>
  <c r="L265" i="65" s="1"/>
  <c r="L266" i="65" s="1"/>
  <c r="L267" i="65" s="1"/>
  <c r="L268" i="65" s="1"/>
  <c r="L269" i="65" s="1"/>
  <c r="L270" i="65" s="1"/>
  <c r="L271" i="65" s="1"/>
  <c r="L272" i="65" s="1"/>
  <c r="L273" i="65" s="1"/>
  <c r="L274" i="65" s="1"/>
  <c r="L275" i="65" s="1"/>
  <c r="L276" i="65" s="1"/>
  <c r="L277" i="65" s="1"/>
  <c r="L278" i="65" s="1"/>
  <c r="L279" i="65" s="1"/>
  <c r="L280" i="65" s="1"/>
  <c r="L281" i="65" s="1"/>
  <c r="L282" i="65" s="1"/>
  <c r="L283" i="65" s="1"/>
  <c r="L284" i="65" s="1"/>
  <c r="L285" i="65" s="1"/>
  <c r="L286" i="65" s="1"/>
  <c r="L287" i="65" s="1"/>
  <c r="L288" i="65" s="1"/>
  <c r="L289" i="65" s="1"/>
  <c r="L290" i="65" s="1"/>
  <c r="L291" i="65" s="1"/>
  <c r="L292" i="65" s="1"/>
  <c r="L293" i="65" s="1"/>
  <c r="L294" i="65" s="1"/>
  <c r="L295" i="65" s="1"/>
  <c r="L296" i="65" s="1"/>
  <c r="L297" i="65" s="1"/>
  <c r="L298" i="65" s="1"/>
  <c r="L299" i="65" s="1"/>
  <c r="L300" i="65" s="1"/>
  <c r="L301" i="65" s="1"/>
  <c r="L302" i="65" s="1"/>
  <c r="L303" i="65" s="1"/>
  <c r="L304" i="65" s="1"/>
  <c r="L305" i="65" s="1"/>
  <c r="L306" i="65" s="1"/>
  <c r="L307" i="65" s="1"/>
  <c r="L308" i="65" s="1"/>
  <c r="L309" i="65" s="1"/>
  <c r="L310" i="65" s="1"/>
  <c r="L311" i="65" s="1"/>
  <c r="L312" i="65" s="1"/>
  <c r="L313" i="65" s="1"/>
  <c r="L314" i="65" s="1"/>
  <c r="L315" i="65" s="1"/>
  <c r="L316" i="65" s="1"/>
  <c r="L317" i="65" s="1"/>
  <c r="L318" i="65" s="1"/>
  <c r="L319" i="65" s="1"/>
  <c r="L320" i="65" s="1"/>
  <c r="L321" i="65" s="1"/>
  <c r="L322" i="65" s="1"/>
  <c r="L323" i="65" s="1"/>
  <c r="L324" i="65" s="1"/>
  <c r="L325" i="65" s="1"/>
  <c r="L326" i="65" s="1"/>
  <c r="L327" i="65" s="1"/>
  <c r="L328" i="65" s="1"/>
  <c r="L329" i="65" s="1"/>
  <c r="L330" i="65" s="1"/>
  <c r="L331" i="65" s="1"/>
  <c r="L332" i="65" s="1"/>
  <c r="L333" i="65" s="1"/>
  <c r="L334" i="65" s="1"/>
  <c r="L335" i="65" s="1"/>
  <c r="L336" i="65" s="1"/>
  <c r="L337" i="65" s="1"/>
  <c r="L338" i="65" s="1"/>
  <c r="L339" i="65" s="1"/>
  <c r="L340" i="65" s="1"/>
  <c r="L341" i="65" s="1"/>
  <c r="L342" i="65" s="1"/>
  <c r="L343" i="65" s="1"/>
  <c r="L344" i="65" s="1"/>
  <c r="L345" i="65" s="1"/>
  <c r="L346" i="65" s="1"/>
  <c r="L347" i="65" s="1"/>
  <c r="L348" i="65" s="1"/>
  <c r="L349" i="65" s="1"/>
  <c r="L26" i="19" l="1"/>
  <c r="L22" i="19"/>
  <c r="L25" i="19" l="1"/>
  <c r="K345" i="64" l="1"/>
  <c r="K344" i="64"/>
  <c r="K343" i="64"/>
  <c r="K342" i="64"/>
  <c r="K341" i="64"/>
  <c r="K340" i="64"/>
  <c r="K339" i="64"/>
  <c r="K338" i="64"/>
  <c r="K337" i="64"/>
  <c r="K336" i="64"/>
  <c r="K335" i="64"/>
  <c r="K334" i="64"/>
  <c r="K333" i="64"/>
  <c r="K332" i="64"/>
  <c r="K331" i="64"/>
  <c r="K330" i="64"/>
  <c r="K329" i="64"/>
  <c r="K328" i="64"/>
  <c r="K327" i="64"/>
  <c r="K326" i="64"/>
  <c r="K325" i="64"/>
  <c r="K324" i="64"/>
  <c r="K323" i="64"/>
  <c r="K322" i="64"/>
  <c r="K321" i="64"/>
  <c r="K320" i="64"/>
  <c r="K319" i="64"/>
  <c r="K318" i="64"/>
  <c r="K317" i="64"/>
  <c r="K316" i="64"/>
  <c r="K315" i="64"/>
  <c r="K314" i="64"/>
  <c r="K313" i="64"/>
  <c r="K312" i="64"/>
  <c r="K311" i="64"/>
  <c r="K310" i="64"/>
  <c r="K309" i="64"/>
  <c r="K308" i="64"/>
  <c r="K307" i="64"/>
  <c r="K306" i="64"/>
  <c r="K305" i="64"/>
  <c r="K304" i="64"/>
  <c r="K303" i="64"/>
  <c r="K302" i="64"/>
  <c r="K301" i="64"/>
  <c r="K300" i="64"/>
  <c r="K299" i="64"/>
  <c r="K298" i="64"/>
  <c r="K297" i="64"/>
  <c r="K296" i="64"/>
  <c r="K295" i="64"/>
  <c r="K294" i="64"/>
  <c r="K293" i="64"/>
  <c r="K292" i="64"/>
  <c r="K291" i="64"/>
  <c r="K290" i="64"/>
  <c r="K289" i="64"/>
  <c r="K288" i="64"/>
  <c r="K287" i="64"/>
  <c r="K286" i="64"/>
  <c r="K285" i="64"/>
  <c r="K284" i="64"/>
  <c r="K283" i="64"/>
  <c r="K282" i="64"/>
  <c r="K281" i="64"/>
  <c r="K280" i="64"/>
  <c r="K279" i="64"/>
  <c r="K278" i="64"/>
  <c r="K277" i="64"/>
  <c r="K276" i="64"/>
  <c r="K275" i="64"/>
  <c r="K274" i="64"/>
  <c r="K273" i="64"/>
  <c r="K272" i="64"/>
  <c r="K271" i="64"/>
  <c r="K270" i="64"/>
  <c r="K269" i="64"/>
  <c r="K268" i="64"/>
  <c r="K267" i="64"/>
  <c r="K266" i="64"/>
  <c r="K265" i="64"/>
  <c r="K264" i="64"/>
  <c r="K263" i="64"/>
  <c r="K262" i="64"/>
  <c r="K261" i="64"/>
  <c r="K260" i="64"/>
  <c r="K259" i="64"/>
  <c r="K258" i="64"/>
  <c r="K257" i="64"/>
  <c r="K256" i="64"/>
  <c r="K255" i="64"/>
  <c r="K254" i="64"/>
  <c r="K253" i="64"/>
  <c r="K252" i="64"/>
  <c r="K251" i="64"/>
  <c r="K250" i="64"/>
  <c r="K249" i="64"/>
  <c r="K248" i="64"/>
  <c r="K247" i="64"/>
  <c r="K246" i="64"/>
  <c r="K245" i="64"/>
  <c r="K244" i="64"/>
  <c r="K243" i="64"/>
  <c r="K242" i="64"/>
  <c r="K241" i="64"/>
  <c r="K240" i="64"/>
  <c r="K239" i="64"/>
  <c r="K238" i="64"/>
  <c r="K237" i="64"/>
  <c r="K236" i="64"/>
  <c r="K235" i="64"/>
  <c r="K234" i="64"/>
  <c r="K233" i="64"/>
  <c r="K232" i="64"/>
  <c r="K231" i="64"/>
  <c r="K230" i="64"/>
  <c r="K229" i="64"/>
  <c r="K228" i="64"/>
  <c r="K227" i="64"/>
  <c r="K226" i="64"/>
  <c r="K225" i="64"/>
  <c r="K224" i="64"/>
  <c r="K223" i="64"/>
  <c r="K222" i="64"/>
  <c r="K221" i="64"/>
  <c r="K220" i="64"/>
  <c r="K219" i="64"/>
  <c r="K218" i="64"/>
  <c r="K217" i="64"/>
  <c r="K216" i="64"/>
  <c r="K215" i="64"/>
  <c r="K214" i="64"/>
  <c r="K213" i="64"/>
  <c r="K212" i="64"/>
  <c r="K211" i="64"/>
  <c r="K210" i="64"/>
  <c r="K209" i="64"/>
  <c r="K208" i="64"/>
  <c r="K207" i="64"/>
  <c r="K206" i="64"/>
  <c r="K205" i="64"/>
  <c r="K204" i="64"/>
  <c r="K203" i="64"/>
  <c r="K202" i="64"/>
  <c r="K201" i="64"/>
  <c r="K200" i="64"/>
  <c r="K199" i="64"/>
  <c r="K198" i="64"/>
  <c r="K197" i="64"/>
  <c r="K196" i="64"/>
  <c r="K195" i="64"/>
  <c r="K194" i="64"/>
  <c r="K193" i="64"/>
  <c r="K192" i="64"/>
  <c r="K191" i="64"/>
  <c r="K190" i="64"/>
  <c r="K189" i="64"/>
  <c r="K188" i="64"/>
  <c r="K187" i="64"/>
  <c r="K186" i="64"/>
  <c r="K185" i="64"/>
  <c r="K184" i="64"/>
  <c r="K183" i="64"/>
  <c r="K182" i="64"/>
  <c r="K181" i="64"/>
  <c r="K180" i="64"/>
  <c r="K179" i="64"/>
  <c r="K178" i="64"/>
  <c r="K177" i="64"/>
  <c r="K176" i="64"/>
  <c r="K175" i="64"/>
  <c r="K174" i="64"/>
  <c r="K173" i="64"/>
  <c r="K172" i="64"/>
  <c r="K171" i="64"/>
  <c r="K170" i="64"/>
  <c r="K169" i="64"/>
  <c r="K168" i="64"/>
  <c r="K167" i="64"/>
  <c r="K166" i="64"/>
  <c r="K165" i="64"/>
  <c r="K164" i="64"/>
  <c r="K163" i="64"/>
  <c r="K2" i="64" l="1"/>
  <c r="N21" i="64" l="1"/>
  <c r="B14" i="14" s="1"/>
  <c r="M3" i="64"/>
  <c r="M4" i="64" s="1"/>
  <c r="L21" i="19"/>
  <c r="L20" i="19"/>
  <c r="M5" i="64" l="1"/>
  <c r="M6" i="64" s="1"/>
  <c r="M7" i="64" l="1"/>
  <c r="M8" i="64" s="1"/>
  <c r="P2" i="33"/>
  <c r="P3" i="33"/>
  <c r="P4" i="33"/>
  <c r="P5" i="33"/>
  <c r="P7" i="33"/>
  <c r="P10" i="33"/>
  <c r="P6" i="33"/>
  <c r="P30" i="33"/>
  <c r="P12" i="33"/>
  <c r="P14" i="33"/>
  <c r="P25" i="33"/>
  <c r="P24" i="33"/>
  <c r="P20" i="33"/>
  <c r="P27" i="33"/>
  <c r="P28" i="33"/>
  <c r="P29" i="33"/>
  <c r="P33" i="33"/>
  <c r="P36" i="33"/>
  <c r="P38" i="33"/>
  <c r="P18" i="33"/>
  <c r="P11" i="33"/>
  <c r="P13" i="33"/>
  <c r="P15" i="33"/>
  <c r="P17" i="33"/>
  <c r="P35" i="33"/>
  <c r="P16" i="33"/>
  <c r="P31" i="33"/>
  <c r="P34" i="33"/>
  <c r="P19" i="33"/>
  <c r="P21" i="33"/>
  <c r="P22" i="33"/>
  <c r="P26" i="33"/>
  <c r="P37" i="33"/>
  <c r="P32" i="33"/>
  <c r="P23" i="33"/>
  <c r="P39" i="33"/>
  <c r="P49" i="33"/>
  <c r="P41" i="33"/>
  <c r="P42" i="33"/>
  <c r="P43" i="33"/>
  <c r="P44" i="33"/>
  <c r="P45" i="33"/>
  <c r="P52" i="33"/>
  <c r="P54" i="33"/>
  <c r="P51" i="33"/>
  <c r="P53" i="33"/>
  <c r="P46" i="33"/>
  <c r="P47" i="33"/>
  <c r="P48" i="33"/>
  <c r="P50" i="33"/>
  <c r="P55" i="33"/>
  <c r="P56" i="33"/>
  <c r="P40" i="33"/>
  <c r="P57" i="33"/>
  <c r="P59" i="33"/>
  <c r="P58" i="33"/>
  <c r="M9" i="64" l="1"/>
  <c r="M10" i="64" s="1"/>
  <c r="L5" i="62"/>
  <c r="L7" i="62"/>
  <c r="L9" i="62"/>
  <c r="L11" i="62"/>
  <c r="L117" i="62"/>
  <c r="L119" i="62"/>
  <c r="L121" i="62"/>
  <c r="L123" i="62"/>
  <c r="L125" i="62"/>
  <c r="L127" i="62"/>
  <c r="L129" i="62"/>
  <c r="L131" i="62"/>
  <c r="L133" i="62"/>
  <c r="L135" i="62"/>
  <c r="L137" i="62"/>
  <c r="L139" i="62"/>
  <c r="L141" i="62"/>
  <c r="L143" i="62"/>
  <c r="L145" i="62"/>
  <c r="L147" i="62"/>
  <c r="L149" i="62"/>
  <c r="L151" i="62"/>
  <c r="L153" i="62"/>
  <c r="L155" i="62"/>
  <c r="L157" i="62"/>
  <c r="L159" i="62"/>
  <c r="L161" i="62"/>
  <c r="L163" i="62"/>
  <c r="L165" i="62"/>
  <c r="L167" i="62"/>
  <c r="L169" i="62"/>
  <c r="L171" i="62"/>
  <c r="L173" i="62"/>
  <c r="L175" i="62"/>
  <c r="L177" i="62"/>
  <c r="L179" i="62"/>
  <c r="L181" i="62"/>
  <c r="L183" i="62"/>
  <c r="L185" i="62"/>
  <c r="L187" i="62"/>
  <c r="L189" i="62"/>
  <c r="L191" i="62"/>
  <c r="L193" i="62"/>
  <c r="L195" i="62"/>
  <c r="L197" i="62"/>
  <c r="L199" i="62"/>
  <c r="L201" i="62"/>
  <c r="L203" i="62"/>
  <c r="L205" i="62"/>
  <c r="L207" i="62"/>
  <c r="L209" i="62"/>
  <c r="L211" i="62"/>
  <c r="L213" i="62"/>
  <c r="L215" i="62"/>
  <c r="L217" i="62"/>
  <c r="L219" i="62"/>
  <c r="L221" i="62"/>
  <c r="L223" i="62"/>
  <c r="L225" i="62"/>
  <c r="L227" i="62"/>
  <c r="L229" i="62"/>
  <c r="L231" i="62"/>
  <c r="L233" i="62"/>
  <c r="L235" i="62"/>
  <c r="L237" i="62"/>
  <c r="J338" i="62"/>
  <c r="L338" i="62" s="1"/>
  <c r="J337" i="62"/>
  <c r="L337" i="62" s="1"/>
  <c r="J336" i="62"/>
  <c r="L336" i="62" s="1"/>
  <c r="J335" i="62"/>
  <c r="L335" i="62" s="1"/>
  <c r="J334" i="62"/>
  <c r="L334" i="62" s="1"/>
  <c r="J333" i="62"/>
  <c r="J332" i="62"/>
  <c r="L332" i="62" s="1"/>
  <c r="J331" i="62"/>
  <c r="J330" i="62"/>
  <c r="L330" i="62" s="1"/>
  <c r="J329" i="62"/>
  <c r="J328" i="62"/>
  <c r="L328" i="62" s="1"/>
  <c r="J327" i="62"/>
  <c r="J326" i="62"/>
  <c r="L326" i="62" s="1"/>
  <c r="J325" i="62"/>
  <c r="L325" i="62" s="1"/>
  <c r="J324" i="62"/>
  <c r="L324" i="62" s="1"/>
  <c r="J323" i="62"/>
  <c r="L323" i="62" s="1"/>
  <c r="J322" i="62"/>
  <c r="L322" i="62" s="1"/>
  <c r="J321" i="62"/>
  <c r="L321" i="62" s="1"/>
  <c r="J320" i="62"/>
  <c r="L320" i="62" s="1"/>
  <c r="J319" i="62"/>
  <c r="L319" i="62" s="1"/>
  <c r="J318" i="62"/>
  <c r="L318" i="62" s="1"/>
  <c r="J317" i="62"/>
  <c r="J316" i="62"/>
  <c r="L316" i="62" s="1"/>
  <c r="J315" i="62"/>
  <c r="J314" i="62"/>
  <c r="L314" i="62" s="1"/>
  <c r="J313" i="62"/>
  <c r="J312" i="62"/>
  <c r="L312" i="62" s="1"/>
  <c r="J311" i="62"/>
  <c r="J310" i="62"/>
  <c r="L310" i="62" s="1"/>
  <c r="J309" i="62"/>
  <c r="L309" i="62" s="1"/>
  <c r="J308" i="62"/>
  <c r="L308" i="62" s="1"/>
  <c r="J307" i="62"/>
  <c r="L307" i="62" s="1"/>
  <c r="J306" i="62"/>
  <c r="L306" i="62" s="1"/>
  <c r="J305" i="62"/>
  <c r="L305" i="62" s="1"/>
  <c r="J304" i="62"/>
  <c r="L304" i="62" s="1"/>
  <c r="J303" i="62"/>
  <c r="L303" i="62" s="1"/>
  <c r="J302" i="62"/>
  <c r="L302" i="62" s="1"/>
  <c r="J301" i="62"/>
  <c r="J300" i="62"/>
  <c r="L300" i="62" s="1"/>
  <c r="J299" i="62"/>
  <c r="J298" i="62"/>
  <c r="L298" i="62" s="1"/>
  <c r="J297" i="62"/>
  <c r="J296" i="62"/>
  <c r="L296" i="62" s="1"/>
  <c r="J295" i="62"/>
  <c r="J294" i="62"/>
  <c r="L294" i="62" s="1"/>
  <c r="J293" i="62"/>
  <c r="L293" i="62" s="1"/>
  <c r="J292" i="62"/>
  <c r="L292" i="62" s="1"/>
  <c r="J291" i="62"/>
  <c r="L291" i="62" s="1"/>
  <c r="J290" i="62"/>
  <c r="L290" i="62" s="1"/>
  <c r="J289" i="62"/>
  <c r="L289" i="62" s="1"/>
  <c r="J288" i="62"/>
  <c r="L288" i="62" s="1"/>
  <c r="J287" i="62"/>
  <c r="L287" i="62" s="1"/>
  <c r="J286" i="62"/>
  <c r="L286" i="62" s="1"/>
  <c r="J285" i="62"/>
  <c r="J284" i="62"/>
  <c r="L284" i="62" s="1"/>
  <c r="J283" i="62"/>
  <c r="J282" i="62"/>
  <c r="L282" i="62" s="1"/>
  <c r="J281" i="62"/>
  <c r="J280" i="62"/>
  <c r="L280" i="62" s="1"/>
  <c r="J279" i="62"/>
  <c r="J278" i="62"/>
  <c r="L278" i="62" s="1"/>
  <c r="J277" i="62"/>
  <c r="L277" i="62" s="1"/>
  <c r="J276" i="62"/>
  <c r="L276" i="62" s="1"/>
  <c r="J275" i="62"/>
  <c r="L275" i="62" s="1"/>
  <c r="J274" i="62"/>
  <c r="L274" i="62" s="1"/>
  <c r="J273" i="62"/>
  <c r="L273" i="62" s="1"/>
  <c r="J272" i="62"/>
  <c r="L272" i="62" s="1"/>
  <c r="J271" i="62"/>
  <c r="L271" i="62" s="1"/>
  <c r="J270" i="62"/>
  <c r="L270" i="62" s="1"/>
  <c r="J269" i="62"/>
  <c r="J268" i="62"/>
  <c r="L268" i="62" s="1"/>
  <c r="J267" i="62"/>
  <c r="J266" i="62"/>
  <c r="L266" i="62" s="1"/>
  <c r="J265" i="62"/>
  <c r="J264" i="62"/>
  <c r="L264" i="62" s="1"/>
  <c r="J263" i="62"/>
  <c r="J262" i="62"/>
  <c r="L262" i="62" s="1"/>
  <c r="J261" i="62"/>
  <c r="L261" i="62" s="1"/>
  <c r="J260" i="62"/>
  <c r="L260" i="62" s="1"/>
  <c r="J259" i="62"/>
  <c r="L259" i="62" s="1"/>
  <c r="J258" i="62"/>
  <c r="L258" i="62" s="1"/>
  <c r="J257" i="62"/>
  <c r="L257" i="62" s="1"/>
  <c r="J256" i="62"/>
  <c r="L256" i="62" s="1"/>
  <c r="J255" i="62"/>
  <c r="L255" i="62" s="1"/>
  <c r="J254" i="62"/>
  <c r="L254" i="62" s="1"/>
  <c r="J253" i="62"/>
  <c r="J252" i="62"/>
  <c r="L252" i="62" s="1"/>
  <c r="J251" i="62"/>
  <c r="J250" i="62"/>
  <c r="L250" i="62" s="1"/>
  <c r="J249" i="62"/>
  <c r="J248" i="62"/>
  <c r="L248" i="62" s="1"/>
  <c r="J247" i="62"/>
  <c r="J246" i="62"/>
  <c r="L246" i="62" s="1"/>
  <c r="J245" i="62"/>
  <c r="L245" i="62" s="1"/>
  <c r="J244" i="62"/>
  <c r="L244" i="62" s="1"/>
  <c r="J243" i="62"/>
  <c r="L243" i="62" s="1"/>
  <c r="J242" i="62"/>
  <c r="L242" i="62" s="1"/>
  <c r="J241" i="62"/>
  <c r="L241" i="62" s="1"/>
  <c r="J240" i="62"/>
  <c r="L240" i="62" s="1"/>
  <c r="J239" i="62"/>
  <c r="L239" i="62" s="1"/>
  <c r="J238" i="62"/>
  <c r="L238" i="62" s="1"/>
  <c r="L236" i="62"/>
  <c r="L234" i="62"/>
  <c r="L232" i="62"/>
  <c r="L230" i="62"/>
  <c r="L228" i="62"/>
  <c r="L226" i="62"/>
  <c r="L224" i="62"/>
  <c r="L222" i="62"/>
  <c r="L220" i="62"/>
  <c r="L218" i="62"/>
  <c r="L216" i="62"/>
  <c r="L214" i="62"/>
  <c r="L212" i="62"/>
  <c r="L210" i="62"/>
  <c r="L208" i="62"/>
  <c r="L206" i="62"/>
  <c r="L204" i="62"/>
  <c r="L202" i="62"/>
  <c r="L200" i="62"/>
  <c r="L198" i="62"/>
  <c r="L196" i="62"/>
  <c r="L194" i="62"/>
  <c r="L192" i="62"/>
  <c r="L190" i="62"/>
  <c r="L188" i="62"/>
  <c r="L186" i="62"/>
  <c r="L184" i="62"/>
  <c r="L182" i="62"/>
  <c r="L180" i="62"/>
  <c r="L178" i="62"/>
  <c r="L176" i="62"/>
  <c r="L174" i="62"/>
  <c r="L172" i="62"/>
  <c r="L170" i="62"/>
  <c r="L168" i="62"/>
  <c r="L166" i="62"/>
  <c r="L164" i="62"/>
  <c r="L162" i="62"/>
  <c r="L160" i="62"/>
  <c r="L158" i="62"/>
  <c r="L156" i="62"/>
  <c r="L154" i="62"/>
  <c r="L152" i="62"/>
  <c r="L150" i="62"/>
  <c r="L148" i="62"/>
  <c r="L146" i="62"/>
  <c r="L144" i="62"/>
  <c r="L142" i="62"/>
  <c r="L140" i="62"/>
  <c r="L138" i="62"/>
  <c r="L136" i="62"/>
  <c r="L134" i="62"/>
  <c r="L132" i="62"/>
  <c r="L130" i="62"/>
  <c r="L128" i="62"/>
  <c r="L126" i="62"/>
  <c r="L124" i="62"/>
  <c r="L122" i="62"/>
  <c r="L120" i="62"/>
  <c r="L118" i="62"/>
  <c r="L116" i="62"/>
  <c r="L115" i="62"/>
  <c r="L114" i="62"/>
  <c r="L113" i="62"/>
  <c r="L112" i="62"/>
  <c r="L111" i="62"/>
  <c r="L110" i="62"/>
  <c r="L109" i="62"/>
  <c r="L108" i="62"/>
  <c r="L107" i="62"/>
  <c r="L106" i="62"/>
  <c r="L105" i="62"/>
  <c r="L104" i="62"/>
  <c r="L103" i="62"/>
  <c r="L102" i="62"/>
  <c r="L101" i="62"/>
  <c r="L100" i="62"/>
  <c r="L99" i="62"/>
  <c r="L98" i="62"/>
  <c r="L97" i="62"/>
  <c r="L96" i="62"/>
  <c r="L95" i="62"/>
  <c r="L94" i="62"/>
  <c r="L93" i="62"/>
  <c r="L92" i="62"/>
  <c r="L91" i="62"/>
  <c r="L90" i="62"/>
  <c r="L89" i="62"/>
  <c r="L88" i="62"/>
  <c r="L87" i="62"/>
  <c r="L86" i="62"/>
  <c r="L85" i="62"/>
  <c r="L84" i="62"/>
  <c r="L83" i="62"/>
  <c r="L82" i="62"/>
  <c r="L81" i="62"/>
  <c r="L80" i="62"/>
  <c r="L79" i="62"/>
  <c r="L78" i="62"/>
  <c r="L77" i="62"/>
  <c r="L76" i="62"/>
  <c r="L75" i="62"/>
  <c r="L74" i="62"/>
  <c r="L73" i="62"/>
  <c r="L72" i="62"/>
  <c r="L71" i="62"/>
  <c r="L70" i="62"/>
  <c r="L69" i="62"/>
  <c r="L68" i="62"/>
  <c r="L67" i="62"/>
  <c r="L66" i="62"/>
  <c r="L65" i="62"/>
  <c r="L64" i="62"/>
  <c r="L63" i="62"/>
  <c r="L62" i="62"/>
  <c r="L61" i="62"/>
  <c r="L60" i="62"/>
  <c r="L59" i="62"/>
  <c r="L58" i="62"/>
  <c r="L57" i="62"/>
  <c r="L56" i="62"/>
  <c r="L55" i="62"/>
  <c r="L54" i="62"/>
  <c r="L53" i="62"/>
  <c r="L52" i="62"/>
  <c r="L51" i="62"/>
  <c r="L50" i="62"/>
  <c r="L49" i="62"/>
  <c r="L48" i="62"/>
  <c r="L47" i="62"/>
  <c r="L46" i="62"/>
  <c r="L45" i="62"/>
  <c r="L44" i="62"/>
  <c r="L43" i="62"/>
  <c r="L42" i="62"/>
  <c r="L41" i="62"/>
  <c r="L40" i="62"/>
  <c r="L39" i="62"/>
  <c r="L38" i="62"/>
  <c r="L37" i="62"/>
  <c r="L36" i="62"/>
  <c r="L35" i="62"/>
  <c r="L34" i="62"/>
  <c r="L33" i="62"/>
  <c r="L32" i="62"/>
  <c r="L31" i="62"/>
  <c r="L30" i="62"/>
  <c r="L29" i="62"/>
  <c r="L28" i="62"/>
  <c r="L27" i="62"/>
  <c r="L26" i="62"/>
  <c r="L25" i="62"/>
  <c r="L24" i="62"/>
  <c r="L23" i="62"/>
  <c r="L22" i="62"/>
  <c r="L21" i="62"/>
  <c r="L20" i="62"/>
  <c r="L19" i="62"/>
  <c r="L18" i="62"/>
  <c r="L17" i="62"/>
  <c r="L16" i="62"/>
  <c r="L15" i="62"/>
  <c r="L14" i="62"/>
  <c r="L13" i="62"/>
  <c r="L12" i="62"/>
  <c r="L10" i="62"/>
  <c r="L8" i="62"/>
  <c r="L6" i="62"/>
  <c r="L4" i="62"/>
  <c r="M11" i="64" l="1"/>
  <c r="M12" i="64" s="1"/>
  <c r="M13" i="64" s="1"/>
  <c r="L2" i="62"/>
  <c r="N2" i="62" s="1"/>
  <c r="L247" i="62"/>
  <c r="L249" i="62"/>
  <c r="L251" i="62"/>
  <c r="L253" i="62"/>
  <c r="L263" i="62"/>
  <c r="L265" i="62"/>
  <c r="L267" i="62"/>
  <c r="L269" i="62"/>
  <c r="L279" i="62"/>
  <c r="L281" i="62"/>
  <c r="L283" i="62"/>
  <c r="L285" i="62"/>
  <c r="L295" i="62"/>
  <c r="L297" i="62"/>
  <c r="L299" i="62"/>
  <c r="L301" i="62"/>
  <c r="L311" i="62"/>
  <c r="L313" i="62"/>
  <c r="L315" i="62"/>
  <c r="L317" i="62"/>
  <c r="L327" i="62"/>
  <c r="L329" i="62"/>
  <c r="L331" i="62"/>
  <c r="L333" i="62"/>
  <c r="L3" i="62"/>
  <c r="K18" i="5"/>
  <c r="M14" i="64" l="1"/>
  <c r="M15" i="64" s="1"/>
  <c r="M16" i="64" s="1"/>
  <c r="M17" i="64" s="1"/>
  <c r="M18" i="64" s="1"/>
  <c r="M19" i="64" s="1"/>
  <c r="M20" i="64" s="1"/>
  <c r="M21" i="64" s="1"/>
  <c r="M22" i="64" s="1"/>
  <c r="M26" i="64" s="1"/>
  <c r="M27" i="64" s="1"/>
  <c r="M28" i="64" s="1"/>
  <c r="M29" i="64" s="1"/>
  <c r="M30" i="64" s="1"/>
  <c r="M31" i="64" s="1"/>
  <c r="M32" i="64" s="1"/>
  <c r="M33" i="64" s="1"/>
  <c r="M34" i="64" s="1"/>
  <c r="M35" i="64" s="1"/>
  <c r="M36" i="64" s="1"/>
  <c r="M37" i="64" s="1"/>
  <c r="M38" i="64" s="1"/>
  <c r="M39" i="64" s="1"/>
  <c r="M40" i="64" s="1"/>
  <c r="M41" i="64" s="1"/>
  <c r="M42" i="64" s="1"/>
  <c r="M43" i="64" s="1"/>
  <c r="M44" i="64" s="1"/>
  <c r="M45" i="64" s="1"/>
  <c r="M46" i="64" s="1"/>
  <c r="M47" i="64" s="1"/>
  <c r="M48" i="64" s="1"/>
  <c r="M49" i="64" s="1"/>
  <c r="M50" i="64" s="1"/>
  <c r="M51" i="64" s="1"/>
  <c r="M52" i="64" s="1"/>
  <c r="M53" i="64" s="1"/>
  <c r="M54" i="64" s="1"/>
  <c r="M55" i="64" s="1"/>
  <c r="M56" i="64" s="1"/>
  <c r="M57" i="64" s="1"/>
  <c r="M58" i="64" s="1"/>
  <c r="M59" i="64" s="1"/>
  <c r="M60" i="64" s="1"/>
  <c r="M61" i="64" s="1"/>
  <c r="M62" i="64" s="1"/>
  <c r="M63" i="64" s="1"/>
  <c r="M64" i="64" s="1"/>
  <c r="M65" i="64" s="1"/>
  <c r="M66" i="64" s="1"/>
  <c r="M67" i="64" s="1"/>
  <c r="M68" i="64" s="1"/>
  <c r="M69" i="64" s="1"/>
  <c r="M70" i="64" s="1"/>
  <c r="M71" i="64" s="1"/>
  <c r="M72" i="64" s="1"/>
  <c r="M73" i="64" s="1"/>
  <c r="M74" i="64" s="1"/>
  <c r="M75" i="64" s="1"/>
  <c r="M76" i="64" s="1"/>
  <c r="M77" i="64" s="1"/>
  <c r="M78" i="64" s="1"/>
  <c r="M79" i="64" s="1"/>
  <c r="M80" i="64" s="1"/>
  <c r="M81" i="64" s="1"/>
  <c r="M82" i="64" s="1"/>
  <c r="M83" i="64" s="1"/>
  <c r="M84" i="64" s="1"/>
  <c r="M85" i="64" s="1"/>
  <c r="M86" i="64" s="1"/>
  <c r="M87" i="64" s="1"/>
  <c r="M88" i="64" s="1"/>
  <c r="M89" i="64" s="1"/>
  <c r="M90" i="64" s="1"/>
  <c r="M91" i="64" s="1"/>
  <c r="M92" i="64" s="1"/>
  <c r="M93" i="64" s="1"/>
  <c r="M94" i="64" s="1"/>
  <c r="M95" i="64" s="1"/>
  <c r="M96" i="64" s="1"/>
  <c r="M97" i="64" s="1"/>
  <c r="M98" i="64" s="1"/>
  <c r="M99" i="64" s="1"/>
  <c r="M100" i="64" s="1"/>
  <c r="M101" i="64" s="1"/>
  <c r="M102" i="64" s="1"/>
  <c r="M103" i="64" s="1"/>
  <c r="M104" i="64" s="1"/>
  <c r="M105" i="64" s="1"/>
  <c r="M106" i="64" s="1"/>
  <c r="M107" i="64" s="1"/>
  <c r="M108" i="64" s="1"/>
  <c r="M109" i="64" s="1"/>
  <c r="M110" i="64" s="1"/>
  <c r="M111" i="64" s="1"/>
  <c r="M112" i="64" s="1"/>
  <c r="M113" i="64" s="1"/>
  <c r="M114" i="64" s="1"/>
  <c r="M115" i="64" s="1"/>
  <c r="M116" i="64" s="1"/>
  <c r="M117" i="64" s="1"/>
  <c r="M118" i="64" s="1"/>
  <c r="M119" i="64" s="1"/>
  <c r="M120" i="64" s="1"/>
  <c r="M121" i="64" s="1"/>
  <c r="M122" i="64" s="1"/>
  <c r="M123" i="64" s="1"/>
  <c r="M124" i="64" s="1"/>
  <c r="M125" i="64" s="1"/>
  <c r="M126" i="64" s="1"/>
  <c r="M127" i="64" s="1"/>
  <c r="M128" i="64" s="1"/>
  <c r="M129" i="64" s="1"/>
  <c r="M130" i="64" s="1"/>
  <c r="M131" i="64" s="1"/>
  <c r="M132" i="64" s="1"/>
  <c r="M133" i="64" s="1"/>
  <c r="M134" i="64" s="1"/>
  <c r="M135" i="64" s="1"/>
  <c r="M136" i="64" s="1"/>
  <c r="M137" i="64" s="1"/>
  <c r="M138" i="64" s="1"/>
  <c r="M139" i="64" s="1"/>
  <c r="M140" i="64" s="1"/>
  <c r="M141" i="64" s="1"/>
  <c r="M142" i="64" s="1"/>
  <c r="M143" i="64" s="1"/>
  <c r="M144" i="64" s="1"/>
  <c r="M145" i="64" s="1"/>
  <c r="M146" i="64" s="1"/>
  <c r="M147" i="64" s="1"/>
  <c r="M148" i="64" s="1"/>
  <c r="M149" i="64" s="1"/>
  <c r="M150" i="64" s="1"/>
  <c r="M151" i="64" s="1"/>
  <c r="M152" i="64" s="1"/>
  <c r="M153" i="64" s="1"/>
  <c r="M154" i="64" s="1"/>
  <c r="M155" i="64" s="1"/>
  <c r="M156" i="64" s="1"/>
  <c r="M157" i="64" s="1"/>
  <c r="M158" i="64" s="1"/>
  <c r="M159" i="64" s="1"/>
  <c r="M160" i="64" s="1"/>
  <c r="M161" i="64" s="1"/>
  <c r="M162" i="64" s="1"/>
  <c r="M163" i="64" s="1"/>
  <c r="M164" i="64" s="1"/>
  <c r="M165" i="64" s="1"/>
  <c r="M166" i="64" s="1"/>
  <c r="M167" i="64" s="1"/>
  <c r="M168" i="64" s="1"/>
  <c r="M169" i="64" s="1"/>
  <c r="M170" i="64" s="1"/>
  <c r="M171" i="64" s="1"/>
  <c r="M172" i="64" s="1"/>
  <c r="M173" i="64" s="1"/>
  <c r="M174" i="64" s="1"/>
  <c r="M175" i="64" s="1"/>
  <c r="M176" i="64" s="1"/>
  <c r="M177" i="64" s="1"/>
  <c r="M178" i="64" s="1"/>
  <c r="M179" i="64" s="1"/>
  <c r="M180" i="64" s="1"/>
  <c r="M181" i="64" s="1"/>
  <c r="M182" i="64" s="1"/>
  <c r="M183" i="64" s="1"/>
  <c r="M184" i="64" s="1"/>
  <c r="M185" i="64" s="1"/>
  <c r="M186" i="64" s="1"/>
  <c r="M187" i="64" s="1"/>
  <c r="M188" i="64" s="1"/>
  <c r="M189" i="64" s="1"/>
  <c r="M190" i="64" s="1"/>
  <c r="M191" i="64" s="1"/>
  <c r="M192" i="64" s="1"/>
  <c r="M193" i="64" s="1"/>
  <c r="M194" i="64" s="1"/>
  <c r="M195" i="64" s="1"/>
  <c r="M196" i="64" s="1"/>
  <c r="M197" i="64" s="1"/>
  <c r="M198" i="64" s="1"/>
  <c r="M199" i="64" s="1"/>
  <c r="M200" i="64" s="1"/>
  <c r="M201" i="64" s="1"/>
  <c r="M202" i="64" s="1"/>
  <c r="M203" i="64" s="1"/>
  <c r="M204" i="64" s="1"/>
  <c r="M205" i="64" s="1"/>
  <c r="M206" i="64" s="1"/>
  <c r="M207" i="64" s="1"/>
  <c r="M208" i="64" s="1"/>
  <c r="M209" i="64" s="1"/>
  <c r="M210" i="64" s="1"/>
  <c r="M211" i="64" s="1"/>
  <c r="M212" i="64" s="1"/>
  <c r="M213" i="64" s="1"/>
  <c r="M214" i="64" s="1"/>
  <c r="M215" i="64" s="1"/>
  <c r="M216" i="64" s="1"/>
  <c r="M217" i="64" s="1"/>
  <c r="M218" i="64" s="1"/>
  <c r="M219" i="64" s="1"/>
  <c r="M220" i="64" s="1"/>
  <c r="M221" i="64" s="1"/>
  <c r="M222" i="64" s="1"/>
  <c r="M223" i="64" s="1"/>
  <c r="M224" i="64" s="1"/>
  <c r="M225" i="64" s="1"/>
  <c r="M226" i="64" s="1"/>
  <c r="M227" i="64" s="1"/>
  <c r="M228" i="64" s="1"/>
  <c r="M229" i="64" s="1"/>
  <c r="M230" i="64" s="1"/>
  <c r="M231" i="64" s="1"/>
  <c r="M232" i="64" s="1"/>
  <c r="M233" i="64" s="1"/>
  <c r="M234" i="64" s="1"/>
  <c r="M235" i="64" s="1"/>
  <c r="M236" i="64" s="1"/>
  <c r="M237" i="64" s="1"/>
  <c r="M238" i="64" s="1"/>
  <c r="M239" i="64" s="1"/>
  <c r="M240" i="64" s="1"/>
  <c r="M241" i="64" s="1"/>
  <c r="M242" i="64" s="1"/>
  <c r="M243" i="64" s="1"/>
  <c r="M244" i="64" s="1"/>
  <c r="M245" i="64" s="1"/>
  <c r="M246" i="64" s="1"/>
  <c r="M247" i="64" s="1"/>
  <c r="M248" i="64" s="1"/>
  <c r="M249" i="64" s="1"/>
  <c r="M250" i="64" s="1"/>
  <c r="M251" i="64" s="1"/>
  <c r="M252" i="64" s="1"/>
  <c r="M253" i="64" s="1"/>
  <c r="M254" i="64" s="1"/>
  <c r="M255" i="64" s="1"/>
  <c r="M256" i="64" s="1"/>
  <c r="M257" i="64" s="1"/>
  <c r="M258" i="64" s="1"/>
  <c r="M259" i="64" s="1"/>
  <c r="M260" i="64" s="1"/>
  <c r="M261" i="64" s="1"/>
  <c r="M262" i="64" s="1"/>
  <c r="M263" i="64" s="1"/>
  <c r="M264" i="64" s="1"/>
  <c r="M265" i="64" s="1"/>
  <c r="M266" i="64" s="1"/>
  <c r="M267" i="64" s="1"/>
  <c r="M268" i="64" s="1"/>
  <c r="M269" i="64" s="1"/>
  <c r="M270" i="64" s="1"/>
  <c r="M271" i="64" s="1"/>
  <c r="M272" i="64" s="1"/>
  <c r="M273" i="64" s="1"/>
  <c r="M274" i="64" s="1"/>
  <c r="M275" i="64" s="1"/>
  <c r="M276" i="64" s="1"/>
  <c r="M277" i="64" s="1"/>
  <c r="M278" i="64" s="1"/>
  <c r="M279" i="64" s="1"/>
  <c r="M280" i="64" s="1"/>
  <c r="M281" i="64" s="1"/>
  <c r="M282" i="64" s="1"/>
  <c r="M283" i="64" s="1"/>
  <c r="M284" i="64" s="1"/>
  <c r="M285" i="64" s="1"/>
  <c r="M286" i="64" s="1"/>
  <c r="M287" i="64" s="1"/>
  <c r="M288" i="64" s="1"/>
  <c r="M289" i="64" s="1"/>
  <c r="M290" i="64" s="1"/>
  <c r="M291" i="64" s="1"/>
  <c r="M292" i="64" s="1"/>
  <c r="M293" i="64" s="1"/>
  <c r="M294" i="64" s="1"/>
  <c r="M295" i="64" s="1"/>
  <c r="M296" i="64" s="1"/>
  <c r="M297" i="64" s="1"/>
  <c r="M298" i="64" s="1"/>
  <c r="M299" i="64" s="1"/>
  <c r="M300" i="64" s="1"/>
  <c r="M301" i="64" s="1"/>
  <c r="M302" i="64" s="1"/>
  <c r="M303" i="64" s="1"/>
  <c r="M304" i="64" s="1"/>
  <c r="M305" i="64" s="1"/>
  <c r="M306" i="64" s="1"/>
  <c r="M307" i="64" s="1"/>
  <c r="M308" i="64" s="1"/>
  <c r="M309" i="64" s="1"/>
  <c r="M310" i="64" s="1"/>
  <c r="M311" i="64" s="1"/>
  <c r="M312" i="64" s="1"/>
  <c r="M313" i="64" s="1"/>
  <c r="M314" i="64" s="1"/>
  <c r="M315" i="64" s="1"/>
  <c r="M316" i="64" s="1"/>
  <c r="M317" i="64" s="1"/>
  <c r="M318" i="64" s="1"/>
  <c r="M319" i="64" s="1"/>
  <c r="M320" i="64" s="1"/>
  <c r="M321" i="64" s="1"/>
  <c r="M322" i="64" s="1"/>
  <c r="M323" i="64" s="1"/>
  <c r="M324" i="64" s="1"/>
  <c r="M325" i="64" s="1"/>
  <c r="M326" i="64" s="1"/>
  <c r="M327" i="64" s="1"/>
  <c r="M328" i="64" s="1"/>
  <c r="M329" i="64" s="1"/>
  <c r="M330" i="64" s="1"/>
  <c r="M331" i="64" s="1"/>
  <c r="M332" i="64" s="1"/>
  <c r="M333" i="64" s="1"/>
  <c r="M334" i="64" s="1"/>
  <c r="M335" i="64" s="1"/>
  <c r="M336" i="64" s="1"/>
  <c r="M337" i="64" s="1"/>
  <c r="M338" i="64" s="1"/>
  <c r="M339" i="64" s="1"/>
  <c r="M340" i="64" s="1"/>
  <c r="M341" i="64" s="1"/>
  <c r="M342" i="64" s="1"/>
  <c r="M343" i="64" s="1"/>
  <c r="M344" i="64" s="1"/>
  <c r="M345" i="64" s="1"/>
  <c r="O12" i="62"/>
  <c r="B44" i="14" s="1"/>
  <c r="N3" i="62"/>
  <c r="N4" i="62" s="1"/>
  <c r="N5" i="62" s="1"/>
  <c r="N6" i="62" s="1"/>
  <c r="N7" i="62" s="1"/>
  <c r="N8" i="62" s="1"/>
  <c r="N9" i="62" s="1"/>
  <c r="N10" i="62" s="1"/>
  <c r="N11" i="62" s="1"/>
  <c r="N12" i="62" s="1"/>
  <c r="N13" i="62" s="1"/>
  <c r="N14" i="62" s="1"/>
  <c r="N15" i="62" s="1"/>
  <c r="N16" i="62" s="1"/>
  <c r="N17" i="62" s="1"/>
  <c r="N18" i="62" s="1"/>
  <c r="N19" i="62" s="1"/>
  <c r="N20" i="62" s="1"/>
  <c r="N21" i="62" s="1"/>
  <c r="N22" i="62" s="1"/>
  <c r="N23" i="62" s="1"/>
  <c r="N24" i="62" s="1"/>
  <c r="N25" i="62" s="1"/>
  <c r="N26" i="62" s="1"/>
  <c r="N27" i="62" s="1"/>
  <c r="N28" i="62" s="1"/>
  <c r="N29" i="62" s="1"/>
  <c r="N30" i="62" s="1"/>
  <c r="N31" i="62" s="1"/>
  <c r="N32" i="62" s="1"/>
  <c r="N33" i="62" s="1"/>
  <c r="N34" i="62" s="1"/>
  <c r="N35" i="62" s="1"/>
  <c r="N36" i="62" s="1"/>
  <c r="N37" i="62" s="1"/>
  <c r="N38" i="62" s="1"/>
  <c r="N39" i="62" s="1"/>
  <c r="N40" i="62" s="1"/>
  <c r="N41" i="62" s="1"/>
  <c r="N42" i="62" s="1"/>
  <c r="N43" i="62" s="1"/>
  <c r="N44" i="62" s="1"/>
  <c r="N45" i="62" s="1"/>
  <c r="N46" i="62" s="1"/>
  <c r="N47" i="62" s="1"/>
  <c r="N48" i="62" s="1"/>
  <c r="N49" i="62" s="1"/>
  <c r="N50" i="62" s="1"/>
  <c r="N51" i="62" s="1"/>
  <c r="N52" i="62" s="1"/>
  <c r="N53" i="62" s="1"/>
  <c r="N54" i="62" s="1"/>
  <c r="N55" i="62" s="1"/>
  <c r="N56" i="62" s="1"/>
  <c r="N57" i="62" s="1"/>
  <c r="N58" i="62" s="1"/>
  <c r="N59" i="62" s="1"/>
  <c r="N60" i="62" s="1"/>
  <c r="N61" i="62" s="1"/>
  <c r="N62" i="62" s="1"/>
  <c r="N63" i="62" s="1"/>
  <c r="N64" i="62" s="1"/>
  <c r="N65" i="62" s="1"/>
  <c r="N66" i="62" s="1"/>
  <c r="N67" i="62" s="1"/>
  <c r="N68" i="62" s="1"/>
  <c r="N69" i="62" s="1"/>
  <c r="N70" i="62" s="1"/>
  <c r="N71" i="62" s="1"/>
  <c r="N72" i="62" s="1"/>
  <c r="N73" i="62" s="1"/>
  <c r="N74" i="62" s="1"/>
  <c r="N75" i="62" s="1"/>
  <c r="N76" i="62" s="1"/>
  <c r="N77" i="62" s="1"/>
  <c r="N78" i="62" s="1"/>
  <c r="N79" i="62" s="1"/>
  <c r="N80" i="62" s="1"/>
  <c r="N81" i="62" s="1"/>
  <c r="N82" i="62" s="1"/>
  <c r="N83" i="62" s="1"/>
  <c r="N84" i="62" s="1"/>
  <c r="N85" i="62" s="1"/>
  <c r="N86" i="62" s="1"/>
  <c r="N87" i="62" s="1"/>
  <c r="N88" i="62" s="1"/>
  <c r="N89" i="62" s="1"/>
  <c r="N90" i="62" s="1"/>
  <c r="N91" i="62" s="1"/>
  <c r="N92" i="62" s="1"/>
  <c r="N93" i="62" s="1"/>
  <c r="N94" i="62" s="1"/>
  <c r="N95" i="62" s="1"/>
  <c r="N96" i="62" s="1"/>
  <c r="N97" i="62" s="1"/>
  <c r="N98" i="62" s="1"/>
  <c r="N99" i="62" s="1"/>
  <c r="N100" i="62" s="1"/>
  <c r="N101" i="62" s="1"/>
  <c r="N102" i="62" s="1"/>
  <c r="N103" i="62" s="1"/>
  <c r="N104" i="62" s="1"/>
  <c r="N105" i="62" s="1"/>
  <c r="N106" i="62" s="1"/>
  <c r="N107" i="62" s="1"/>
  <c r="N108" i="62" s="1"/>
  <c r="N109" i="62" s="1"/>
  <c r="N110" i="62" s="1"/>
  <c r="N111" i="62" s="1"/>
  <c r="N112" i="62" s="1"/>
  <c r="N113" i="62" s="1"/>
  <c r="N114" i="62" s="1"/>
  <c r="N115" i="62" s="1"/>
  <c r="N116" i="62" s="1"/>
  <c r="N117" i="62" s="1"/>
  <c r="N118" i="62" s="1"/>
  <c r="N119" i="62" s="1"/>
  <c r="N120" i="62" s="1"/>
  <c r="N121" i="62" s="1"/>
  <c r="N122" i="62" s="1"/>
  <c r="N123" i="62" s="1"/>
  <c r="N124" i="62" s="1"/>
  <c r="N125" i="62" s="1"/>
  <c r="N126" i="62" s="1"/>
  <c r="N127" i="62" s="1"/>
  <c r="N128" i="62" s="1"/>
  <c r="N129" i="62" s="1"/>
  <c r="N130" i="62" s="1"/>
  <c r="N131" i="62" s="1"/>
  <c r="N132" i="62" s="1"/>
  <c r="N133" i="62" s="1"/>
  <c r="N134" i="62" s="1"/>
  <c r="N135" i="62" s="1"/>
  <c r="N136" i="62" s="1"/>
  <c r="N137" i="62" s="1"/>
  <c r="N138" i="62" s="1"/>
  <c r="N139" i="62" s="1"/>
  <c r="N140" i="62" s="1"/>
  <c r="N141" i="62" s="1"/>
  <c r="N142" i="62" s="1"/>
  <c r="N143" i="62" s="1"/>
  <c r="N144" i="62" s="1"/>
  <c r="N145" i="62" s="1"/>
  <c r="N146" i="62" s="1"/>
  <c r="N147" i="62" s="1"/>
  <c r="N148" i="62" s="1"/>
  <c r="N149" i="62" s="1"/>
  <c r="N150" i="62" s="1"/>
  <c r="N151" i="62" s="1"/>
  <c r="N152" i="62" s="1"/>
  <c r="N153" i="62" s="1"/>
  <c r="N154" i="62" s="1"/>
  <c r="N155" i="62" s="1"/>
  <c r="N156" i="62" s="1"/>
  <c r="N157" i="62" s="1"/>
  <c r="N158" i="62" s="1"/>
  <c r="N159" i="62" s="1"/>
  <c r="N160" i="62" s="1"/>
  <c r="N161" i="62" s="1"/>
  <c r="N162" i="62" s="1"/>
  <c r="N163" i="62" s="1"/>
  <c r="N164" i="62" s="1"/>
  <c r="N165" i="62" s="1"/>
  <c r="N166" i="62" s="1"/>
  <c r="N167" i="62" s="1"/>
  <c r="N168" i="62" s="1"/>
  <c r="N169" i="62" s="1"/>
  <c r="N170" i="62" s="1"/>
  <c r="N171" i="62" s="1"/>
  <c r="N172" i="62" s="1"/>
  <c r="N173" i="62" s="1"/>
  <c r="N174" i="62" s="1"/>
  <c r="N175" i="62" s="1"/>
  <c r="N176" i="62" s="1"/>
  <c r="N177" i="62" s="1"/>
  <c r="N178" i="62" s="1"/>
  <c r="N179" i="62" s="1"/>
  <c r="N180" i="62" s="1"/>
  <c r="N181" i="62" s="1"/>
  <c r="N182" i="62" s="1"/>
  <c r="N183" i="62" s="1"/>
  <c r="N184" i="62" s="1"/>
  <c r="N185" i="62" s="1"/>
  <c r="N186" i="62" s="1"/>
  <c r="N187" i="62" s="1"/>
  <c r="N188" i="62" s="1"/>
  <c r="N189" i="62" s="1"/>
  <c r="N190" i="62" s="1"/>
  <c r="N191" i="62" s="1"/>
  <c r="N192" i="62" s="1"/>
  <c r="N193" i="62" s="1"/>
  <c r="N194" i="62" s="1"/>
  <c r="N195" i="62" s="1"/>
  <c r="N196" i="62" s="1"/>
  <c r="N197" i="62" s="1"/>
  <c r="N198" i="62" s="1"/>
  <c r="N199" i="62" s="1"/>
  <c r="N200" i="62" s="1"/>
  <c r="N201" i="62" s="1"/>
  <c r="N202" i="62" s="1"/>
  <c r="N203" i="62" s="1"/>
  <c r="N204" i="62" s="1"/>
  <c r="N205" i="62" s="1"/>
  <c r="N206" i="62" s="1"/>
  <c r="N207" i="62" s="1"/>
  <c r="N208" i="62" s="1"/>
  <c r="N209" i="62" s="1"/>
  <c r="N210" i="62" s="1"/>
  <c r="N211" i="62" s="1"/>
  <c r="N212" i="62" s="1"/>
  <c r="N213" i="62" s="1"/>
  <c r="N214" i="62" s="1"/>
  <c r="N215" i="62" s="1"/>
  <c r="N216" i="62" s="1"/>
  <c r="N217" i="62" s="1"/>
  <c r="N218" i="62" s="1"/>
  <c r="N219" i="62" s="1"/>
  <c r="N220" i="62" s="1"/>
  <c r="N221" i="62" s="1"/>
  <c r="N222" i="62" s="1"/>
  <c r="N223" i="62" s="1"/>
  <c r="N224" i="62" s="1"/>
  <c r="N225" i="62" s="1"/>
  <c r="N226" i="62" s="1"/>
  <c r="N227" i="62" s="1"/>
  <c r="N228" i="62" s="1"/>
  <c r="N229" i="62" s="1"/>
  <c r="N230" i="62" s="1"/>
  <c r="N231" i="62" s="1"/>
  <c r="N232" i="62" s="1"/>
  <c r="N233" i="62" s="1"/>
  <c r="N234" i="62" s="1"/>
  <c r="N235" i="62" s="1"/>
  <c r="N236" i="62" s="1"/>
  <c r="N237" i="62" s="1"/>
  <c r="N238" i="62" s="1"/>
  <c r="N239" i="62" s="1"/>
  <c r="N240" i="62" s="1"/>
  <c r="N241" i="62" s="1"/>
  <c r="N242" i="62" s="1"/>
  <c r="N243" i="62" s="1"/>
  <c r="N244" i="62" s="1"/>
  <c r="N245" i="62" s="1"/>
  <c r="N246" i="62" s="1"/>
  <c r="N247" i="62" s="1"/>
  <c r="N248" i="62" s="1"/>
  <c r="N249" i="62" s="1"/>
  <c r="N250" i="62" s="1"/>
  <c r="N251" i="62" s="1"/>
  <c r="N252" i="62" s="1"/>
  <c r="N253" i="62" s="1"/>
  <c r="N254" i="62" s="1"/>
  <c r="N255" i="62" s="1"/>
  <c r="N256" i="62" s="1"/>
  <c r="N257" i="62" s="1"/>
  <c r="N258" i="62" s="1"/>
  <c r="N259" i="62" s="1"/>
  <c r="N260" i="62" s="1"/>
  <c r="N261" i="62" s="1"/>
  <c r="N262" i="62" s="1"/>
  <c r="N263" i="62" s="1"/>
  <c r="N264" i="62" s="1"/>
  <c r="N265" i="62" s="1"/>
  <c r="N266" i="62" s="1"/>
  <c r="N267" i="62" s="1"/>
  <c r="N268" i="62" s="1"/>
  <c r="N269" i="62" s="1"/>
  <c r="N270" i="62" s="1"/>
  <c r="N271" i="62" s="1"/>
  <c r="N272" i="62" s="1"/>
  <c r="N273" i="62" s="1"/>
  <c r="N274" i="62" s="1"/>
  <c r="N275" i="62" s="1"/>
  <c r="N276" i="62" s="1"/>
  <c r="N277" i="62" s="1"/>
  <c r="N278" i="62" s="1"/>
  <c r="N279" i="62" s="1"/>
  <c r="N280" i="62" s="1"/>
  <c r="N281" i="62" s="1"/>
  <c r="N282" i="62" s="1"/>
  <c r="N283" i="62" s="1"/>
  <c r="N284" i="62" s="1"/>
  <c r="N285" i="62" s="1"/>
  <c r="N286" i="62" s="1"/>
  <c r="N287" i="62" s="1"/>
  <c r="N288" i="62" s="1"/>
  <c r="N289" i="62" s="1"/>
  <c r="N290" i="62" s="1"/>
  <c r="N291" i="62" s="1"/>
  <c r="N292" i="62" s="1"/>
  <c r="N293" i="62" s="1"/>
  <c r="N294" i="62" s="1"/>
  <c r="N295" i="62" s="1"/>
  <c r="N296" i="62" s="1"/>
  <c r="N297" i="62" s="1"/>
  <c r="N298" i="62" s="1"/>
  <c r="N299" i="62" s="1"/>
  <c r="N300" i="62" s="1"/>
  <c r="N301" i="62" s="1"/>
  <c r="N302" i="62" s="1"/>
  <c r="N303" i="62" s="1"/>
  <c r="N304" i="62" s="1"/>
  <c r="N305" i="62" s="1"/>
  <c r="N306" i="62" s="1"/>
  <c r="N307" i="62" s="1"/>
  <c r="N308" i="62" s="1"/>
  <c r="N309" i="62" s="1"/>
  <c r="N310" i="62" s="1"/>
  <c r="N311" i="62" s="1"/>
  <c r="N312" i="62" s="1"/>
  <c r="N313" i="62" s="1"/>
  <c r="N314" i="62" s="1"/>
  <c r="N315" i="62" s="1"/>
  <c r="N316" i="62" s="1"/>
  <c r="N317" i="62" s="1"/>
  <c r="N318" i="62" s="1"/>
  <c r="N319" i="62" s="1"/>
  <c r="N320" i="62" s="1"/>
  <c r="N321" i="62" s="1"/>
  <c r="N322" i="62" s="1"/>
  <c r="N323" i="62" s="1"/>
  <c r="N324" i="62" s="1"/>
  <c r="N325" i="62" s="1"/>
  <c r="N326" i="62" s="1"/>
  <c r="N327" i="62" s="1"/>
  <c r="N328" i="62" s="1"/>
  <c r="N329" i="62" s="1"/>
  <c r="N330" i="62" s="1"/>
  <c r="N331" i="62" s="1"/>
  <c r="N332" i="62" s="1"/>
  <c r="N333" i="62" s="1"/>
  <c r="N334" i="62" s="1"/>
  <c r="N335" i="62" s="1"/>
  <c r="N336" i="62" s="1"/>
  <c r="N337" i="62" s="1"/>
  <c r="N338" i="62" s="1"/>
  <c r="M2" i="61" l="1"/>
  <c r="L19" i="19"/>
  <c r="L18" i="19"/>
  <c r="L8" i="60"/>
  <c r="L4" i="60"/>
  <c r="L2" i="60"/>
  <c r="J342" i="60"/>
  <c r="L342" i="60" s="1"/>
  <c r="J341" i="60"/>
  <c r="L341" i="60" s="1"/>
  <c r="J340" i="60"/>
  <c r="L340" i="60" s="1"/>
  <c r="J339" i="60"/>
  <c r="L339" i="60" s="1"/>
  <c r="J338" i="60"/>
  <c r="L338" i="60" s="1"/>
  <c r="J337" i="60"/>
  <c r="L337" i="60" s="1"/>
  <c r="J336" i="60"/>
  <c r="L336" i="60" s="1"/>
  <c r="J335" i="60"/>
  <c r="L335" i="60" s="1"/>
  <c r="J334" i="60"/>
  <c r="L334" i="60" s="1"/>
  <c r="J333" i="60"/>
  <c r="L333" i="60" s="1"/>
  <c r="J332" i="60"/>
  <c r="L332" i="60" s="1"/>
  <c r="J331" i="60"/>
  <c r="L331" i="60" s="1"/>
  <c r="J330" i="60"/>
  <c r="L330" i="60" s="1"/>
  <c r="J329" i="60"/>
  <c r="L329" i="60" s="1"/>
  <c r="J328" i="60"/>
  <c r="L328" i="60" s="1"/>
  <c r="J327" i="60"/>
  <c r="L327" i="60" s="1"/>
  <c r="J326" i="60"/>
  <c r="L326" i="60" s="1"/>
  <c r="J325" i="60"/>
  <c r="L325" i="60" s="1"/>
  <c r="J324" i="60"/>
  <c r="L324" i="60" s="1"/>
  <c r="J323" i="60"/>
  <c r="L323" i="60" s="1"/>
  <c r="J322" i="60"/>
  <c r="L322" i="60" s="1"/>
  <c r="J321" i="60"/>
  <c r="L321" i="60" s="1"/>
  <c r="J320" i="60"/>
  <c r="L320" i="60" s="1"/>
  <c r="J319" i="60"/>
  <c r="L319" i="60" s="1"/>
  <c r="J318" i="60"/>
  <c r="L318" i="60" s="1"/>
  <c r="J317" i="60"/>
  <c r="L317" i="60" s="1"/>
  <c r="J316" i="60"/>
  <c r="L316" i="60" s="1"/>
  <c r="J315" i="60"/>
  <c r="L315" i="60" s="1"/>
  <c r="J314" i="60"/>
  <c r="L314" i="60" s="1"/>
  <c r="J313" i="60"/>
  <c r="L313" i="60" s="1"/>
  <c r="J312" i="60"/>
  <c r="L312" i="60" s="1"/>
  <c r="J311" i="60"/>
  <c r="L311" i="60" s="1"/>
  <c r="J310" i="60"/>
  <c r="L310" i="60" s="1"/>
  <c r="J309" i="60"/>
  <c r="L309" i="60" s="1"/>
  <c r="J308" i="60"/>
  <c r="L308" i="60" s="1"/>
  <c r="J307" i="60"/>
  <c r="L307" i="60" s="1"/>
  <c r="J306" i="60"/>
  <c r="L306" i="60" s="1"/>
  <c r="J305" i="60"/>
  <c r="L305" i="60" s="1"/>
  <c r="J304" i="60"/>
  <c r="L304" i="60" s="1"/>
  <c r="J303" i="60"/>
  <c r="L303" i="60" s="1"/>
  <c r="J302" i="60"/>
  <c r="L302" i="60" s="1"/>
  <c r="J301" i="60"/>
  <c r="L301" i="60" s="1"/>
  <c r="J300" i="60"/>
  <c r="L300" i="60" s="1"/>
  <c r="J299" i="60"/>
  <c r="L299" i="60" s="1"/>
  <c r="J298" i="60"/>
  <c r="L298" i="60" s="1"/>
  <c r="J297" i="60"/>
  <c r="L297" i="60" s="1"/>
  <c r="J296" i="60"/>
  <c r="L296" i="60" s="1"/>
  <c r="J295" i="60"/>
  <c r="L295" i="60" s="1"/>
  <c r="J294" i="60"/>
  <c r="L294" i="60" s="1"/>
  <c r="J293" i="60"/>
  <c r="L293" i="60" s="1"/>
  <c r="J292" i="60"/>
  <c r="L292" i="60" s="1"/>
  <c r="J291" i="60"/>
  <c r="L291" i="60" s="1"/>
  <c r="J290" i="60"/>
  <c r="L290" i="60" s="1"/>
  <c r="J289" i="60"/>
  <c r="L289" i="60" s="1"/>
  <c r="J288" i="60"/>
  <c r="L288" i="60" s="1"/>
  <c r="J287" i="60"/>
  <c r="L287" i="60" s="1"/>
  <c r="J286" i="60"/>
  <c r="L286" i="60" s="1"/>
  <c r="J285" i="60"/>
  <c r="L285" i="60" s="1"/>
  <c r="J284" i="60"/>
  <c r="L284" i="60" s="1"/>
  <c r="J283" i="60"/>
  <c r="L283" i="60" s="1"/>
  <c r="J282" i="60"/>
  <c r="L282" i="60" s="1"/>
  <c r="J281" i="60"/>
  <c r="L281" i="60" s="1"/>
  <c r="J280" i="60"/>
  <c r="L280" i="60" s="1"/>
  <c r="J279" i="60"/>
  <c r="L279" i="60" s="1"/>
  <c r="J278" i="60"/>
  <c r="L278" i="60" s="1"/>
  <c r="J277" i="60"/>
  <c r="L277" i="60" s="1"/>
  <c r="J276" i="60"/>
  <c r="L276" i="60" s="1"/>
  <c r="J275" i="60"/>
  <c r="L275" i="60" s="1"/>
  <c r="J274" i="60"/>
  <c r="L274" i="60" s="1"/>
  <c r="J273" i="60"/>
  <c r="L273" i="60" s="1"/>
  <c r="J272" i="60"/>
  <c r="L272" i="60" s="1"/>
  <c r="J271" i="60"/>
  <c r="L271" i="60" s="1"/>
  <c r="J270" i="60"/>
  <c r="L270" i="60" s="1"/>
  <c r="J269" i="60"/>
  <c r="L269" i="60" s="1"/>
  <c r="J268" i="60"/>
  <c r="L268" i="60" s="1"/>
  <c r="J267" i="60"/>
  <c r="L267" i="60" s="1"/>
  <c r="J266" i="60"/>
  <c r="L266" i="60" s="1"/>
  <c r="J265" i="60"/>
  <c r="L265" i="60" s="1"/>
  <c r="J264" i="60"/>
  <c r="L264" i="60" s="1"/>
  <c r="J263" i="60"/>
  <c r="L263" i="60" s="1"/>
  <c r="J262" i="60"/>
  <c r="L262" i="60" s="1"/>
  <c r="J261" i="60"/>
  <c r="L261" i="60" s="1"/>
  <c r="J260" i="60"/>
  <c r="L260" i="60" s="1"/>
  <c r="J259" i="60"/>
  <c r="L259" i="60" s="1"/>
  <c r="J258" i="60"/>
  <c r="L258" i="60" s="1"/>
  <c r="J257" i="60"/>
  <c r="L257" i="60" s="1"/>
  <c r="J256" i="60"/>
  <c r="L256" i="60" s="1"/>
  <c r="J255" i="60"/>
  <c r="L255" i="60" s="1"/>
  <c r="J254" i="60"/>
  <c r="L254" i="60" s="1"/>
  <c r="J253" i="60"/>
  <c r="L253" i="60" s="1"/>
  <c r="J252" i="60"/>
  <c r="L252" i="60" s="1"/>
  <c r="J251" i="60"/>
  <c r="L251" i="60" s="1"/>
  <c r="J250" i="60"/>
  <c r="L250" i="60" s="1"/>
  <c r="J249" i="60"/>
  <c r="L249" i="60" s="1"/>
  <c r="J248" i="60"/>
  <c r="L248" i="60" s="1"/>
  <c r="J247" i="60"/>
  <c r="L247" i="60" s="1"/>
  <c r="J246" i="60"/>
  <c r="L246" i="60" s="1"/>
  <c r="J245" i="60"/>
  <c r="L245" i="60" s="1"/>
  <c r="J244" i="60"/>
  <c r="L244" i="60" s="1"/>
  <c r="J243" i="60"/>
  <c r="L243" i="60" s="1"/>
  <c r="J242" i="60"/>
  <c r="L242" i="60" s="1"/>
  <c r="L241" i="60"/>
  <c r="L240" i="60"/>
  <c r="L239" i="60"/>
  <c r="L238" i="60"/>
  <c r="L237" i="60"/>
  <c r="L236" i="60"/>
  <c r="L235" i="60"/>
  <c r="L234" i="60"/>
  <c r="L233" i="60"/>
  <c r="L232" i="60"/>
  <c r="L231" i="60"/>
  <c r="L230" i="60"/>
  <c r="L229" i="60"/>
  <c r="L228" i="60"/>
  <c r="L227" i="60"/>
  <c r="L226" i="60"/>
  <c r="L225" i="60"/>
  <c r="L224" i="60"/>
  <c r="L223" i="60"/>
  <c r="L222" i="60"/>
  <c r="L221" i="60"/>
  <c r="L220" i="60"/>
  <c r="L219" i="60"/>
  <c r="L218" i="60"/>
  <c r="L217" i="60"/>
  <c r="L216" i="60"/>
  <c r="L215" i="60"/>
  <c r="L214" i="60"/>
  <c r="L213" i="60"/>
  <c r="L212" i="60"/>
  <c r="L211" i="60"/>
  <c r="L210" i="60"/>
  <c r="L209" i="60"/>
  <c r="L208" i="60"/>
  <c r="L207" i="60"/>
  <c r="L206" i="60"/>
  <c r="L205" i="60"/>
  <c r="L204" i="60"/>
  <c r="L203" i="60"/>
  <c r="L202" i="60"/>
  <c r="L201" i="60"/>
  <c r="L200" i="60"/>
  <c r="L199" i="60"/>
  <c r="L198" i="60"/>
  <c r="L197" i="60"/>
  <c r="L196" i="60"/>
  <c r="L195" i="60"/>
  <c r="L194" i="60"/>
  <c r="L193" i="60"/>
  <c r="L192" i="60"/>
  <c r="L191" i="60"/>
  <c r="L190" i="60"/>
  <c r="L189" i="60"/>
  <c r="L188" i="60"/>
  <c r="L187" i="60"/>
  <c r="L186" i="60"/>
  <c r="L185" i="60"/>
  <c r="L184" i="60"/>
  <c r="L183" i="60"/>
  <c r="L182" i="60"/>
  <c r="L181" i="60"/>
  <c r="L180" i="60"/>
  <c r="L179" i="60"/>
  <c r="L178" i="60"/>
  <c r="L177" i="60"/>
  <c r="L176" i="60"/>
  <c r="L175" i="60"/>
  <c r="L174" i="60"/>
  <c r="L173" i="60"/>
  <c r="L172" i="60"/>
  <c r="L171" i="60"/>
  <c r="L170" i="60"/>
  <c r="L169" i="60"/>
  <c r="L168" i="60"/>
  <c r="L167" i="60"/>
  <c r="L166" i="60"/>
  <c r="L165" i="60"/>
  <c r="L164" i="60"/>
  <c r="L163" i="60"/>
  <c r="L162" i="60"/>
  <c r="L161" i="60"/>
  <c r="L160" i="60"/>
  <c r="L159" i="60"/>
  <c r="L158" i="60"/>
  <c r="L157" i="60"/>
  <c r="L156" i="60"/>
  <c r="L155" i="60"/>
  <c r="L154" i="60"/>
  <c r="L153" i="60"/>
  <c r="L152" i="60"/>
  <c r="L151" i="60"/>
  <c r="L150" i="60"/>
  <c r="L149" i="60"/>
  <c r="L148" i="60"/>
  <c r="L147" i="60"/>
  <c r="L146" i="60"/>
  <c r="L145" i="60"/>
  <c r="L144" i="60"/>
  <c r="L143" i="60"/>
  <c r="L142" i="60"/>
  <c r="L141" i="60"/>
  <c r="L140" i="60"/>
  <c r="L139" i="60"/>
  <c r="L138" i="60"/>
  <c r="L137" i="60"/>
  <c r="L136" i="60"/>
  <c r="L135" i="60"/>
  <c r="L134" i="60"/>
  <c r="L133" i="60"/>
  <c r="L132" i="60"/>
  <c r="L131" i="60"/>
  <c r="L130" i="60"/>
  <c r="L129" i="60"/>
  <c r="L128" i="60"/>
  <c r="L127" i="60"/>
  <c r="L126" i="60"/>
  <c r="L125" i="60"/>
  <c r="L124" i="60"/>
  <c r="L123" i="60"/>
  <c r="L122" i="60"/>
  <c r="L121" i="60"/>
  <c r="L120" i="60"/>
  <c r="L119" i="60"/>
  <c r="L118" i="60"/>
  <c r="L117" i="60"/>
  <c r="L116" i="60"/>
  <c r="L115" i="60"/>
  <c r="L114" i="60"/>
  <c r="L113" i="60"/>
  <c r="L112" i="60"/>
  <c r="L111" i="60"/>
  <c r="L110" i="60"/>
  <c r="L109" i="60"/>
  <c r="L108" i="60"/>
  <c r="L107" i="60"/>
  <c r="L106" i="60"/>
  <c r="L105" i="60"/>
  <c r="L104" i="60"/>
  <c r="L103" i="60"/>
  <c r="L102" i="60"/>
  <c r="L101" i="60"/>
  <c r="L100" i="60"/>
  <c r="L99" i="60"/>
  <c r="L98" i="60"/>
  <c r="L97" i="60"/>
  <c r="L96" i="60"/>
  <c r="L95" i="60"/>
  <c r="L94" i="60"/>
  <c r="L93" i="60"/>
  <c r="L92" i="60"/>
  <c r="L91" i="60"/>
  <c r="L90" i="60"/>
  <c r="L89" i="60"/>
  <c r="L88" i="60"/>
  <c r="L87" i="60"/>
  <c r="L86" i="60"/>
  <c r="L85" i="60"/>
  <c r="L84" i="60"/>
  <c r="L83" i="60"/>
  <c r="L82" i="60"/>
  <c r="L81" i="60"/>
  <c r="L80" i="60"/>
  <c r="L79" i="60"/>
  <c r="L78" i="60"/>
  <c r="L77" i="60"/>
  <c r="L76" i="60"/>
  <c r="L75" i="60"/>
  <c r="L74" i="60"/>
  <c r="L73" i="60"/>
  <c r="L72" i="60"/>
  <c r="L71" i="60"/>
  <c r="L70" i="60"/>
  <c r="L69" i="60"/>
  <c r="L68" i="60"/>
  <c r="L67" i="60"/>
  <c r="L66" i="60"/>
  <c r="L65" i="60"/>
  <c r="L64" i="60"/>
  <c r="L63" i="60"/>
  <c r="L62" i="60"/>
  <c r="L61" i="60"/>
  <c r="L60" i="60"/>
  <c r="L59" i="60"/>
  <c r="L58" i="60"/>
  <c r="L57" i="60"/>
  <c r="L56" i="60"/>
  <c r="L55" i="60"/>
  <c r="L54" i="60"/>
  <c r="L53" i="60"/>
  <c r="L52" i="60"/>
  <c r="L51" i="60"/>
  <c r="L50" i="60"/>
  <c r="L49" i="60"/>
  <c r="L48" i="60"/>
  <c r="L47" i="60"/>
  <c r="L46" i="60"/>
  <c r="L45" i="60"/>
  <c r="L44" i="60"/>
  <c r="L43" i="60"/>
  <c r="L42" i="60"/>
  <c r="L41" i="60"/>
  <c r="L40" i="60"/>
  <c r="L39" i="60"/>
  <c r="L38" i="60"/>
  <c r="L37" i="60"/>
  <c r="L36" i="60"/>
  <c r="L35" i="60"/>
  <c r="L34" i="60"/>
  <c r="L33" i="60"/>
  <c r="L32" i="60"/>
  <c r="L31" i="60"/>
  <c r="L30" i="60"/>
  <c r="L29" i="60"/>
  <c r="L28" i="60"/>
  <c r="L27" i="60"/>
  <c r="L26" i="60"/>
  <c r="L25" i="60"/>
  <c r="L24" i="60"/>
  <c r="L23" i="60"/>
  <c r="L21" i="60"/>
  <c r="L19" i="60"/>
  <c r="L17" i="60"/>
  <c r="L16" i="60"/>
  <c r="L15" i="60"/>
  <c r="L14" i="60"/>
  <c r="L13" i="60"/>
  <c r="L12" i="60"/>
  <c r="L11" i="60"/>
  <c r="L10" i="60"/>
  <c r="L7" i="60"/>
  <c r="L6" i="60"/>
  <c r="N13" i="61" l="1"/>
  <c r="B43" i="14" s="1"/>
  <c r="M3" i="61"/>
  <c r="M4" i="61" s="1"/>
  <c r="M5" i="61" s="1"/>
  <c r="M6" i="61" s="1"/>
  <c r="M7" i="61" s="1"/>
  <c r="M8" i="61" s="1"/>
  <c r="M9" i="61" s="1"/>
  <c r="M10" i="61" s="1"/>
  <c r="M11" i="61" s="1"/>
  <c r="M12" i="61" s="1"/>
  <c r="M13" i="61" s="1"/>
  <c r="L3" i="60"/>
  <c r="N2" i="60"/>
  <c r="L5" i="60"/>
  <c r="M14" i="61" l="1"/>
  <c r="M15" i="61" s="1"/>
  <c r="M16" i="61" s="1"/>
  <c r="M17" i="61" s="1"/>
  <c r="M18" i="61" s="1"/>
  <c r="M19" i="61" s="1"/>
  <c r="M20" i="61" s="1"/>
  <c r="M21" i="61" s="1"/>
  <c r="M22" i="61" s="1"/>
  <c r="M23" i="61" s="1"/>
  <c r="M24" i="61" s="1"/>
  <c r="M25" i="61" s="1"/>
  <c r="M26" i="61" s="1"/>
  <c r="M27" i="61" s="1"/>
  <c r="M28" i="61" s="1"/>
  <c r="M29" i="61" s="1"/>
  <c r="M30" i="61" s="1"/>
  <c r="M31" i="61" s="1"/>
  <c r="M32" i="61" s="1"/>
  <c r="M33" i="61" s="1"/>
  <c r="M34" i="61" s="1"/>
  <c r="M35" i="61" s="1"/>
  <c r="M36" i="61" s="1"/>
  <c r="M37" i="61" s="1"/>
  <c r="M38" i="61" s="1"/>
  <c r="M39" i="61" s="1"/>
  <c r="M40" i="61" s="1"/>
  <c r="M41" i="61" s="1"/>
  <c r="M42" i="61" s="1"/>
  <c r="M43" i="61" s="1"/>
  <c r="M44" i="61" s="1"/>
  <c r="M45" i="61" s="1"/>
  <c r="M46" i="61" s="1"/>
  <c r="M47" i="61" s="1"/>
  <c r="M48" i="61" s="1"/>
  <c r="M49" i="61" s="1"/>
  <c r="M50" i="61" s="1"/>
  <c r="M51" i="61" s="1"/>
  <c r="M52" i="61" s="1"/>
  <c r="M53" i="61" s="1"/>
  <c r="M54" i="61" s="1"/>
  <c r="M55" i="61" s="1"/>
  <c r="M56" i="61" s="1"/>
  <c r="M57" i="61" s="1"/>
  <c r="M58" i="61" s="1"/>
  <c r="M59" i="61" s="1"/>
  <c r="M60" i="61" s="1"/>
  <c r="M61" i="61" s="1"/>
  <c r="M62" i="61" s="1"/>
  <c r="M63" i="61" s="1"/>
  <c r="M64" i="61" s="1"/>
  <c r="M65" i="61" s="1"/>
  <c r="M66" i="61" s="1"/>
  <c r="M67" i="61" s="1"/>
  <c r="M68" i="61" s="1"/>
  <c r="M69" i="61" s="1"/>
  <c r="M70" i="61" s="1"/>
  <c r="M71" i="61" s="1"/>
  <c r="M72" i="61" s="1"/>
  <c r="M73" i="61" s="1"/>
  <c r="M74" i="61" s="1"/>
  <c r="M75" i="61" s="1"/>
  <c r="M76" i="61" s="1"/>
  <c r="M77" i="61" s="1"/>
  <c r="M78" i="61" s="1"/>
  <c r="M79" i="61" s="1"/>
  <c r="M80" i="61" s="1"/>
  <c r="M81" i="61" s="1"/>
  <c r="M82" i="61" s="1"/>
  <c r="M83" i="61" s="1"/>
  <c r="M84" i="61" s="1"/>
  <c r="M85" i="61" s="1"/>
  <c r="M86" i="61" s="1"/>
  <c r="M87" i="61" s="1"/>
  <c r="M88" i="61" s="1"/>
  <c r="M89" i="61" s="1"/>
  <c r="M90" i="61" s="1"/>
  <c r="M91" i="61" s="1"/>
  <c r="M92" i="61" s="1"/>
  <c r="M93" i="61" s="1"/>
  <c r="M94" i="61" s="1"/>
  <c r="M95" i="61" s="1"/>
  <c r="M96" i="61" s="1"/>
  <c r="M97" i="61" s="1"/>
  <c r="M98" i="61" s="1"/>
  <c r="M99" i="61" s="1"/>
  <c r="M100" i="61" s="1"/>
  <c r="M101" i="61" s="1"/>
  <c r="M102" i="61" s="1"/>
  <c r="M103" i="61" s="1"/>
  <c r="M104" i="61" s="1"/>
  <c r="M105" i="61" s="1"/>
  <c r="M106" i="61" s="1"/>
  <c r="M107" i="61" s="1"/>
  <c r="M108" i="61" s="1"/>
  <c r="M109" i="61" s="1"/>
  <c r="M110" i="61" s="1"/>
  <c r="M111" i="61" s="1"/>
  <c r="M112" i="61" s="1"/>
  <c r="M113" i="61" s="1"/>
  <c r="M114" i="61" s="1"/>
  <c r="M115" i="61" s="1"/>
  <c r="M116" i="61" s="1"/>
  <c r="M117" i="61" s="1"/>
  <c r="M118" i="61" s="1"/>
  <c r="M119" i="61" s="1"/>
  <c r="M120" i="61" s="1"/>
  <c r="M121" i="61" s="1"/>
  <c r="M122" i="61" s="1"/>
  <c r="M123" i="61" s="1"/>
  <c r="M124" i="61" s="1"/>
  <c r="M125" i="61" s="1"/>
  <c r="M126" i="61" s="1"/>
  <c r="M127" i="61" s="1"/>
  <c r="M128" i="61" s="1"/>
  <c r="M129" i="61" s="1"/>
  <c r="M130" i="61" s="1"/>
  <c r="M131" i="61" s="1"/>
  <c r="M132" i="61" s="1"/>
  <c r="M133" i="61" s="1"/>
  <c r="M134" i="61" s="1"/>
  <c r="M135" i="61" s="1"/>
  <c r="M136" i="61" s="1"/>
  <c r="M137" i="61" s="1"/>
  <c r="M138" i="61" s="1"/>
  <c r="M139" i="61" s="1"/>
  <c r="M140" i="61" s="1"/>
  <c r="M141" i="61" s="1"/>
  <c r="M142" i="61" s="1"/>
  <c r="M143" i="61" s="1"/>
  <c r="M144" i="61" s="1"/>
  <c r="M145" i="61" s="1"/>
  <c r="M146" i="61" s="1"/>
  <c r="M147" i="61" s="1"/>
  <c r="M148" i="61" s="1"/>
  <c r="M149" i="61" s="1"/>
  <c r="M150" i="61" s="1"/>
  <c r="M151" i="61" s="1"/>
  <c r="M152" i="61" s="1"/>
  <c r="M153" i="61" s="1"/>
  <c r="M154" i="61" s="1"/>
  <c r="M155" i="61" s="1"/>
  <c r="M156" i="61" s="1"/>
  <c r="M157" i="61" s="1"/>
  <c r="M158" i="61" s="1"/>
  <c r="M159" i="61" s="1"/>
  <c r="M160" i="61" s="1"/>
  <c r="M161" i="61" s="1"/>
  <c r="M162" i="61" s="1"/>
  <c r="M163" i="61" s="1"/>
  <c r="M164" i="61" s="1"/>
  <c r="M165" i="61" s="1"/>
  <c r="M166" i="61" s="1"/>
  <c r="M167" i="61" s="1"/>
  <c r="M168" i="61" s="1"/>
  <c r="M169" i="61" s="1"/>
  <c r="M170" i="61" s="1"/>
  <c r="M171" i="61" s="1"/>
  <c r="M172" i="61" s="1"/>
  <c r="M173" i="61" s="1"/>
  <c r="M174" i="61" s="1"/>
  <c r="M175" i="61" s="1"/>
  <c r="M176" i="61" s="1"/>
  <c r="M177" i="61" s="1"/>
  <c r="M178" i="61" s="1"/>
  <c r="M179" i="61" s="1"/>
  <c r="M180" i="61" s="1"/>
  <c r="M181" i="61" s="1"/>
  <c r="M182" i="61" s="1"/>
  <c r="M183" i="61" s="1"/>
  <c r="M184" i="61" s="1"/>
  <c r="M185" i="61" s="1"/>
  <c r="M186" i="61" s="1"/>
  <c r="M187" i="61" s="1"/>
  <c r="M188" i="61" s="1"/>
  <c r="M189" i="61" s="1"/>
  <c r="M190" i="61" s="1"/>
  <c r="M191" i="61" s="1"/>
  <c r="M192" i="61" s="1"/>
  <c r="M193" i="61" s="1"/>
  <c r="M194" i="61" s="1"/>
  <c r="M195" i="61" s="1"/>
  <c r="M196" i="61" s="1"/>
  <c r="M197" i="61" s="1"/>
  <c r="M198" i="61" s="1"/>
  <c r="M199" i="61" s="1"/>
  <c r="M200" i="61" s="1"/>
  <c r="M201" i="61" s="1"/>
  <c r="M202" i="61" s="1"/>
  <c r="M203" i="61" s="1"/>
  <c r="M204" i="61" s="1"/>
  <c r="M205" i="61" s="1"/>
  <c r="M206" i="61" s="1"/>
  <c r="M207" i="61" s="1"/>
  <c r="M208" i="61" s="1"/>
  <c r="M209" i="61" s="1"/>
  <c r="M210" i="61" s="1"/>
  <c r="M211" i="61" s="1"/>
  <c r="M212" i="61" s="1"/>
  <c r="M213" i="61" s="1"/>
  <c r="M214" i="61" s="1"/>
  <c r="M215" i="61" s="1"/>
  <c r="M216" i="61" s="1"/>
  <c r="M217" i="61" s="1"/>
  <c r="M218" i="61" s="1"/>
  <c r="M219" i="61" s="1"/>
  <c r="M220" i="61" s="1"/>
  <c r="M221" i="61" s="1"/>
  <c r="M222" i="61" s="1"/>
  <c r="M223" i="61" s="1"/>
  <c r="M224" i="61" s="1"/>
  <c r="M225" i="61" s="1"/>
  <c r="M226" i="61" s="1"/>
  <c r="M227" i="61" s="1"/>
  <c r="M228" i="61" s="1"/>
  <c r="M229" i="61" s="1"/>
  <c r="M230" i="61" s="1"/>
  <c r="M231" i="61" s="1"/>
  <c r="M232" i="61" s="1"/>
  <c r="M233" i="61" s="1"/>
  <c r="M234" i="61" s="1"/>
  <c r="M235" i="61" s="1"/>
  <c r="M236" i="61" s="1"/>
  <c r="M237" i="61" s="1"/>
  <c r="M238" i="61" s="1"/>
  <c r="M239" i="61" s="1"/>
  <c r="M240" i="61" s="1"/>
  <c r="M241" i="61" s="1"/>
  <c r="M242" i="61" s="1"/>
  <c r="M243" i="61" s="1"/>
  <c r="M244" i="61" s="1"/>
  <c r="M245" i="61" s="1"/>
  <c r="M246" i="61" s="1"/>
  <c r="M247" i="61" s="1"/>
  <c r="M248" i="61" s="1"/>
  <c r="M249" i="61" s="1"/>
  <c r="M250" i="61" s="1"/>
  <c r="M251" i="61" s="1"/>
  <c r="M252" i="61" s="1"/>
  <c r="M253" i="61" s="1"/>
  <c r="M254" i="61" s="1"/>
  <c r="M255" i="61" s="1"/>
  <c r="M256" i="61" s="1"/>
  <c r="M257" i="61" s="1"/>
  <c r="M258" i="61" s="1"/>
  <c r="M259" i="61" s="1"/>
  <c r="M260" i="61" s="1"/>
  <c r="M261" i="61" s="1"/>
  <c r="M262" i="61" s="1"/>
  <c r="M263" i="61" s="1"/>
  <c r="M264" i="61" s="1"/>
  <c r="M265" i="61" s="1"/>
  <c r="M266" i="61" s="1"/>
  <c r="M267" i="61" s="1"/>
  <c r="M268" i="61" s="1"/>
  <c r="M269" i="61" s="1"/>
  <c r="M270" i="61" s="1"/>
  <c r="M271" i="61" s="1"/>
  <c r="M272" i="61" s="1"/>
  <c r="M273" i="61" s="1"/>
  <c r="M274" i="61" s="1"/>
  <c r="M275" i="61" s="1"/>
  <c r="M276" i="61" s="1"/>
  <c r="M277" i="61" s="1"/>
  <c r="M278" i="61" s="1"/>
  <c r="M279" i="61" s="1"/>
  <c r="M280" i="61" s="1"/>
  <c r="M281" i="61" s="1"/>
  <c r="M282" i="61" s="1"/>
  <c r="M283" i="61" s="1"/>
  <c r="M284" i="61" s="1"/>
  <c r="M285" i="61" s="1"/>
  <c r="M286" i="61" s="1"/>
  <c r="M287" i="61" s="1"/>
  <c r="M288" i="61" s="1"/>
  <c r="M289" i="61" s="1"/>
  <c r="M290" i="61" s="1"/>
  <c r="M291" i="61" s="1"/>
  <c r="M292" i="61" s="1"/>
  <c r="M293" i="61" s="1"/>
  <c r="M294" i="61" s="1"/>
  <c r="M295" i="61" s="1"/>
  <c r="M296" i="61" s="1"/>
  <c r="M297" i="61" s="1"/>
  <c r="M298" i="61" s="1"/>
  <c r="M299" i="61" s="1"/>
  <c r="M300" i="61" s="1"/>
  <c r="M301" i="61" s="1"/>
  <c r="M302" i="61" s="1"/>
  <c r="M303" i="61" s="1"/>
  <c r="M304" i="61" s="1"/>
  <c r="M305" i="61" s="1"/>
  <c r="M306" i="61" s="1"/>
  <c r="M307" i="61" s="1"/>
  <c r="M308" i="61" s="1"/>
  <c r="M309" i="61" s="1"/>
  <c r="M310" i="61" s="1"/>
  <c r="M311" i="61" s="1"/>
  <c r="M312" i="61" s="1"/>
  <c r="M313" i="61" s="1"/>
  <c r="M314" i="61" s="1"/>
  <c r="M315" i="61" s="1"/>
  <c r="M316" i="61" s="1"/>
  <c r="M317" i="61" s="1"/>
  <c r="M318" i="61" s="1"/>
  <c r="M319" i="61" s="1"/>
  <c r="M320" i="61" s="1"/>
  <c r="M321" i="61" s="1"/>
  <c r="M322" i="61" s="1"/>
  <c r="M323" i="61" s="1"/>
  <c r="M324" i="61" s="1"/>
  <c r="M325" i="61" s="1"/>
  <c r="M326" i="61" s="1"/>
  <c r="M327" i="61" s="1"/>
  <c r="M328" i="61" s="1"/>
  <c r="M329" i="61" s="1"/>
  <c r="M330" i="61" s="1"/>
  <c r="M331" i="61" s="1"/>
  <c r="M332" i="61" s="1"/>
  <c r="M333" i="61" s="1"/>
  <c r="M334" i="61" s="1"/>
  <c r="M335" i="61" s="1"/>
  <c r="M336" i="61" s="1"/>
  <c r="M337" i="61" s="1"/>
  <c r="M338" i="61" s="1"/>
  <c r="M339" i="61" s="1"/>
  <c r="M340" i="61" s="1"/>
  <c r="O13" i="60"/>
  <c r="B42" i="14" s="1"/>
  <c r="N3" i="60"/>
  <c r="N4" i="60" s="1"/>
  <c r="N5" i="60" s="1"/>
  <c r="N6" i="60" s="1"/>
  <c r="N7" i="60" s="1"/>
  <c r="N8" i="60" s="1"/>
  <c r="H3" i="57"/>
  <c r="J3" i="57" s="1"/>
  <c r="H4" i="57"/>
  <c r="J4" i="57" s="1"/>
  <c r="H6" i="57"/>
  <c r="J6" i="57" s="1"/>
  <c r="H7" i="57"/>
  <c r="J7" i="57" s="1"/>
  <c r="H9" i="57"/>
  <c r="J9" i="57" s="1"/>
  <c r="H10" i="57"/>
  <c r="J10" i="57" s="1"/>
  <c r="H12" i="57"/>
  <c r="J12" i="57" s="1"/>
  <c r="H13" i="57"/>
  <c r="J13" i="57" s="1"/>
  <c r="L13" i="57" s="1"/>
  <c r="H14" i="57"/>
  <c r="J14" i="57" s="1"/>
  <c r="H15" i="57"/>
  <c r="J15" i="57" s="1"/>
  <c r="H16" i="57"/>
  <c r="J16" i="57" s="1"/>
  <c r="H17" i="57"/>
  <c r="J17" i="57" s="1"/>
  <c r="H18" i="57"/>
  <c r="J18" i="57" s="1"/>
  <c r="H19" i="57"/>
  <c r="J19" i="57" s="1"/>
  <c r="H20" i="57"/>
  <c r="J20" i="57" s="1"/>
  <c r="H21" i="57"/>
  <c r="J21" i="57" s="1"/>
  <c r="H22" i="57"/>
  <c r="J22" i="57" s="1"/>
  <c r="H23" i="57"/>
  <c r="J23" i="57" s="1"/>
  <c r="H24" i="57"/>
  <c r="J24" i="57" s="1"/>
  <c r="H25" i="57"/>
  <c r="J25" i="57" s="1"/>
  <c r="H26" i="57"/>
  <c r="J26" i="57" s="1"/>
  <c r="H27" i="57"/>
  <c r="J27" i="57" s="1"/>
  <c r="H28" i="57"/>
  <c r="J28" i="57" s="1"/>
  <c r="H29" i="57"/>
  <c r="J29" i="57" s="1"/>
  <c r="H30" i="57"/>
  <c r="J30" i="57" s="1"/>
  <c r="H31" i="57"/>
  <c r="J31" i="57" s="1"/>
  <c r="H32" i="57"/>
  <c r="J32" i="57" s="1"/>
  <c r="H33" i="57"/>
  <c r="J33" i="57" s="1"/>
  <c r="H34" i="57"/>
  <c r="J34" i="57" s="1"/>
  <c r="H35" i="57"/>
  <c r="J35" i="57" s="1"/>
  <c r="H36" i="57"/>
  <c r="J36" i="57" s="1"/>
  <c r="H37" i="57"/>
  <c r="J37" i="57" s="1"/>
  <c r="H38" i="57"/>
  <c r="J38" i="57" s="1"/>
  <c r="H39" i="57"/>
  <c r="J39" i="57" s="1"/>
  <c r="H40" i="57"/>
  <c r="J40" i="57" s="1"/>
  <c r="H41" i="57"/>
  <c r="J41" i="57" s="1"/>
  <c r="H42" i="57"/>
  <c r="J42" i="57" s="1"/>
  <c r="H43" i="57"/>
  <c r="J43" i="57" s="1"/>
  <c r="H44" i="57"/>
  <c r="J44" i="57" s="1"/>
  <c r="H45" i="57"/>
  <c r="J45" i="57" s="1"/>
  <c r="H46" i="57"/>
  <c r="J46" i="57" s="1"/>
  <c r="H47" i="57"/>
  <c r="J47" i="57" s="1"/>
  <c r="H48" i="57"/>
  <c r="J48" i="57" s="1"/>
  <c r="H49" i="57"/>
  <c r="J49" i="57" s="1"/>
  <c r="H50" i="57"/>
  <c r="J50" i="57" s="1"/>
  <c r="H51" i="57"/>
  <c r="J51" i="57" s="1"/>
  <c r="H52" i="57"/>
  <c r="J52" i="57" s="1"/>
  <c r="H53" i="57"/>
  <c r="J53" i="57" s="1"/>
  <c r="H54" i="57"/>
  <c r="J54" i="57" s="1"/>
  <c r="H55" i="57"/>
  <c r="J55" i="57" s="1"/>
  <c r="H56" i="57"/>
  <c r="J56" i="57" s="1"/>
  <c r="H57" i="57"/>
  <c r="J57" i="57" s="1"/>
  <c r="H58" i="57"/>
  <c r="J58" i="57" s="1"/>
  <c r="H59" i="57"/>
  <c r="J59" i="57" s="1"/>
  <c r="H60" i="57"/>
  <c r="J60" i="57" s="1"/>
  <c r="H61" i="57"/>
  <c r="J61" i="57" s="1"/>
  <c r="H62" i="57"/>
  <c r="J62" i="57" s="1"/>
  <c r="H63" i="57"/>
  <c r="J63" i="57" s="1"/>
  <c r="H64" i="57"/>
  <c r="J64" i="57" s="1"/>
  <c r="H65" i="57"/>
  <c r="J65" i="57" s="1"/>
  <c r="H66" i="57"/>
  <c r="J66" i="57" s="1"/>
  <c r="H67" i="57"/>
  <c r="J67" i="57" s="1"/>
  <c r="H68" i="57"/>
  <c r="J68" i="57" s="1"/>
  <c r="H69" i="57"/>
  <c r="J69" i="57" s="1"/>
  <c r="H70" i="57"/>
  <c r="J70" i="57" s="1"/>
  <c r="H71" i="57"/>
  <c r="J71" i="57" s="1"/>
  <c r="H72" i="57"/>
  <c r="J72" i="57" s="1"/>
  <c r="H73" i="57"/>
  <c r="J73" i="57" s="1"/>
  <c r="H74" i="57"/>
  <c r="J74" i="57" s="1"/>
  <c r="H75" i="57"/>
  <c r="J75" i="57" s="1"/>
  <c r="H76" i="57"/>
  <c r="J76" i="57" s="1"/>
  <c r="H77" i="57"/>
  <c r="J77" i="57" s="1"/>
  <c r="H78" i="57"/>
  <c r="J78" i="57" s="1"/>
  <c r="H79" i="57"/>
  <c r="J79" i="57" s="1"/>
  <c r="H80" i="57"/>
  <c r="J80" i="57" s="1"/>
  <c r="H81" i="57"/>
  <c r="J81" i="57" s="1"/>
  <c r="H82" i="57"/>
  <c r="J82" i="57" s="1"/>
  <c r="H83" i="57"/>
  <c r="J83" i="57" s="1"/>
  <c r="H84" i="57"/>
  <c r="J84" i="57" s="1"/>
  <c r="H85" i="57"/>
  <c r="J85" i="57" s="1"/>
  <c r="H86" i="57"/>
  <c r="J86" i="57" s="1"/>
  <c r="H87" i="57"/>
  <c r="J87" i="57" s="1"/>
  <c r="H88" i="57"/>
  <c r="J88" i="57" s="1"/>
  <c r="H89" i="57"/>
  <c r="J89" i="57" s="1"/>
  <c r="H90" i="57"/>
  <c r="J90" i="57" s="1"/>
  <c r="H91" i="57"/>
  <c r="J91" i="57" s="1"/>
  <c r="H92" i="57"/>
  <c r="J92" i="57" s="1"/>
  <c r="H93" i="57"/>
  <c r="J93" i="57" s="1"/>
  <c r="H94" i="57"/>
  <c r="J94" i="57" s="1"/>
  <c r="H95" i="57"/>
  <c r="J95" i="57" s="1"/>
  <c r="H96" i="57"/>
  <c r="J96" i="57" s="1"/>
  <c r="H97" i="57"/>
  <c r="J97" i="57" s="1"/>
  <c r="H98" i="57"/>
  <c r="J98" i="57" s="1"/>
  <c r="H99" i="57"/>
  <c r="J99" i="57" s="1"/>
  <c r="H100" i="57"/>
  <c r="J100" i="57" s="1"/>
  <c r="H101" i="57"/>
  <c r="J101" i="57" s="1"/>
  <c r="H102" i="57"/>
  <c r="J102" i="57" s="1"/>
  <c r="H103" i="57"/>
  <c r="J103" i="57" s="1"/>
  <c r="H104" i="57"/>
  <c r="J104" i="57" s="1"/>
  <c r="H105" i="57"/>
  <c r="J105" i="57" s="1"/>
  <c r="H106" i="57"/>
  <c r="J106" i="57" s="1"/>
  <c r="H107" i="57"/>
  <c r="J107" i="57" s="1"/>
  <c r="H108" i="57"/>
  <c r="J108" i="57" s="1"/>
  <c r="H109" i="57"/>
  <c r="J109" i="57" s="1"/>
  <c r="H110" i="57"/>
  <c r="J110" i="57" s="1"/>
  <c r="H111" i="57"/>
  <c r="J111" i="57" s="1"/>
  <c r="H112" i="57"/>
  <c r="J112" i="57" s="1"/>
  <c r="H113" i="57"/>
  <c r="J113" i="57" s="1"/>
  <c r="H114" i="57"/>
  <c r="J114" i="57" s="1"/>
  <c r="H115" i="57"/>
  <c r="J115" i="57" s="1"/>
  <c r="H116" i="57"/>
  <c r="J116" i="57" s="1"/>
  <c r="H117" i="57"/>
  <c r="J117" i="57" s="1"/>
  <c r="H118" i="57"/>
  <c r="J118" i="57" s="1"/>
  <c r="H119" i="57"/>
  <c r="J119" i="57" s="1"/>
  <c r="H120" i="57"/>
  <c r="J120" i="57" s="1"/>
  <c r="H121" i="57"/>
  <c r="J121" i="57" s="1"/>
  <c r="H122" i="57"/>
  <c r="J122" i="57" s="1"/>
  <c r="H123" i="57"/>
  <c r="J123" i="57" s="1"/>
  <c r="H124" i="57"/>
  <c r="J124" i="57" s="1"/>
  <c r="H125" i="57"/>
  <c r="J125" i="57" s="1"/>
  <c r="H126" i="57"/>
  <c r="J126" i="57" s="1"/>
  <c r="H127" i="57"/>
  <c r="J127" i="57" s="1"/>
  <c r="H128" i="57"/>
  <c r="J128" i="57" s="1"/>
  <c r="H129" i="57"/>
  <c r="J129" i="57" s="1"/>
  <c r="H130" i="57"/>
  <c r="J130" i="57" s="1"/>
  <c r="H131" i="57"/>
  <c r="J131" i="57" s="1"/>
  <c r="H132" i="57"/>
  <c r="J132" i="57" s="1"/>
  <c r="H133" i="57"/>
  <c r="J133" i="57" s="1"/>
  <c r="H134" i="57"/>
  <c r="J134" i="57" s="1"/>
  <c r="H135" i="57"/>
  <c r="J135" i="57" s="1"/>
  <c r="H136" i="57"/>
  <c r="J136" i="57" s="1"/>
  <c r="H137" i="57"/>
  <c r="J137" i="57" s="1"/>
  <c r="H138" i="57"/>
  <c r="J138" i="57" s="1"/>
  <c r="H139" i="57"/>
  <c r="J139" i="57" s="1"/>
  <c r="H140" i="57"/>
  <c r="J140" i="57" s="1"/>
  <c r="H141" i="57"/>
  <c r="J141" i="57" s="1"/>
  <c r="H142" i="57"/>
  <c r="J142" i="57" s="1"/>
  <c r="H143" i="57"/>
  <c r="J143" i="57" s="1"/>
  <c r="H144" i="57"/>
  <c r="J144" i="57" s="1"/>
  <c r="H145" i="57"/>
  <c r="J145" i="57" s="1"/>
  <c r="H146" i="57"/>
  <c r="J146" i="57" s="1"/>
  <c r="H147" i="57"/>
  <c r="J147" i="57" s="1"/>
  <c r="H148" i="57"/>
  <c r="J148" i="57" s="1"/>
  <c r="H149" i="57"/>
  <c r="J149" i="57" s="1"/>
  <c r="H150" i="57"/>
  <c r="J150" i="57" s="1"/>
  <c r="H151" i="57"/>
  <c r="J151" i="57" s="1"/>
  <c r="H152" i="57"/>
  <c r="J152" i="57" s="1"/>
  <c r="H153" i="57"/>
  <c r="J153" i="57" s="1"/>
  <c r="H154" i="57"/>
  <c r="J154" i="57" s="1"/>
  <c r="H155" i="57"/>
  <c r="J155" i="57" s="1"/>
  <c r="H156" i="57"/>
  <c r="J156" i="57" s="1"/>
  <c r="H157" i="57"/>
  <c r="J157" i="57" s="1"/>
  <c r="H158" i="57"/>
  <c r="J158" i="57" s="1"/>
  <c r="H159" i="57"/>
  <c r="J159" i="57" s="1"/>
  <c r="H160" i="57"/>
  <c r="J160" i="57" s="1"/>
  <c r="H161" i="57"/>
  <c r="J161" i="57" s="1"/>
  <c r="H162" i="57"/>
  <c r="J162" i="57" s="1"/>
  <c r="H163" i="57"/>
  <c r="J163" i="57" s="1"/>
  <c r="H164" i="57"/>
  <c r="J164" i="57" s="1"/>
  <c r="H165" i="57"/>
  <c r="J165" i="57" s="1"/>
  <c r="H166" i="57"/>
  <c r="J166" i="57" s="1"/>
  <c r="H167" i="57"/>
  <c r="J167" i="57" s="1"/>
  <c r="H168" i="57"/>
  <c r="J168" i="57" s="1"/>
  <c r="H169" i="57"/>
  <c r="J169" i="57" s="1"/>
  <c r="H170" i="57"/>
  <c r="J170" i="57" s="1"/>
  <c r="H171" i="57"/>
  <c r="J171" i="57" s="1"/>
  <c r="H172" i="57"/>
  <c r="J172" i="57" s="1"/>
  <c r="H173" i="57"/>
  <c r="J173" i="57" s="1"/>
  <c r="H174" i="57"/>
  <c r="J174" i="57" s="1"/>
  <c r="H175" i="57"/>
  <c r="J175" i="57" s="1"/>
  <c r="H176" i="57"/>
  <c r="J176" i="57" s="1"/>
  <c r="H177" i="57"/>
  <c r="J177" i="57" s="1"/>
  <c r="H178" i="57"/>
  <c r="J178" i="57" s="1"/>
  <c r="H179" i="57"/>
  <c r="J179" i="57" s="1"/>
  <c r="H180" i="57"/>
  <c r="J180" i="57" s="1"/>
  <c r="H181" i="57"/>
  <c r="J181" i="57" s="1"/>
  <c r="H182" i="57"/>
  <c r="J182" i="57" s="1"/>
  <c r="H183" i="57"/>
  <c r="J183" i="57" s="1"/>
  <c r="H184" i="57"/>
  <c r="J184" i="57" s="1"/>
  <c r="H185" i="57"/>
  <c r="J185" i="57" s="1"/>
  <c r="H186" i="57"/>
  <c r="J186" i="57" s="1"/>
  <c r="H187" i="57"/>
  <c r="J187" i="57" s="1"/>
  <c r="H188" i="57"/>
  <c r="J188" i="57" s="1"/>
  <c r="H189" i="57"/>
  <c r="J189" i="57" s="1"/>
  <c r="H190" i="57"/>
  <c r="J190" i="57" s="1"/>
  <c r="H191" i="57"/>
  <c r="J191" i="57" s="1"/>
  <c r="H192" i="57"/>
  <c r="J192" i="57" s="1"/>
  <c r="H193" i="57"/>
  <c r="J193" i="57" s="1"/>
  <c r="H194" i="57"/>
  <c r="J194" i="57" s="1"/>
  <c r="H195" i="57"/>
  <c r="J195" i="57" s="1"/>
  <c r="H196" i="57"/>
  <c r="J196" i="57" s="1"/>
  <c r="H197" i="57"/>
  <c r="J197" i="57" s="1"/>
  <c r="H198" i="57"/>
  <c r="J198" i="57" s="1"/>
  <c r="H199" i="57"/>
  <c r="J199" i="57" s="1"/>
  <c r="H200" i="57"/>
  <c r="J200" i="57" s="1"/>
  <c r="H201" i="57"/>
  <c r="J201" i="57" s="1"/>
  <c r="H202" i="57"/>
  <c r="J202" i="57" s="1"/>
  <c r="H203" i="57"/>
  <c r="J203" i="57" s="1"/>
  <c r="H204" i="57"/>
  <c r="J204" i="57" s="1"/>
  <c r="H205" i="57"/>
  <c r="J205" i="57" s="1"/>
  <c r="H206" i="57"/>
  <c r="J206" i="57" s="1"/>
  <c r="H207" i="57"/>
  <c r="J207" i="57" s="1"/>
  <c r="H208" i="57"/>
  <c r="J208" i="57" s="1"/>
  <c r="H209" i="57"/>
  <c r="J209" i="57" s="1"/>
  <c r="H210" i="57"/>
  <c r="J210" i="57" s="1"/>
  <c r="H211" i="57"/>
  <c r="J211" i="57" s="1"/>
  <c r="H212" i="57"/>
  <c r="J212" i="57" s="1"/>
  <c r="H213" i="57"/>
  <c r="J213" i="57" s="1"/>
  <c r="H214" i="57"/>
  <c r="J214" i="57" s="1"/>
  <c r="H215" i="57"/>
  <c r="J215" i="57" s="1"/>
  <c r="H216" i="57"/>
  <c r="J216" i="57" s="1"/>
  <c r="H217" i="57"/>
  <c r="J217" i="57" s="1"/>
  <c r="H218" i="57"/>
  <c r="J218" i="57" s="1"/>
  <c r="H219" i="57"/>
  <c r="J219" i="57" s="1"/>
  <c r="H220" i="57"/>
  <c r="J220" i="57" s="1"/>
  <c r="H221" i="57"/>
  <c r="J221" i="57" s="1"/>
  <c r="H222" i="57"/>
  <c r="J222" i="57" s="1"/>
  <c r="H223" i="57"/>
  <c r="J223" i="57" s="1"/>
  <c r="H224" i="57"/>
  <c r="J224" i="57" s="1"/>
  <c r="H225" i="57"/>
  <c r="J225" i="57" s="1"/>
  <c r="H226" i="57"/>
  <c r="J226" i="57" s="1"/>
  <c r="H227" i="57"/>
  <c r="J227" i="57" s="1"/>
  <c r="H228" i="57"/>
  <c r="J228" i="57" s="1"/>
  <c r="H229" i="57"/>
  <c r="J229" i="57" s="1"/>
  <c r="H230" i="57"/>
  <c r="J230" i="57" s="1"/>
  <c r="H231" i="57"/>
  <c r="J231" i="57" s="1"/>
  <c r="H232" i="57"/>
  <c r="J232" i="57" s="1"/>
  <c r="H233" i="57"/>
  <c r="J233" i="57" s="1"/>
  <c r="H234" i="57"/>
  <c r="J234" i="57" s="1"/>
  <c r="H235" i="57"/>
  <c r="J235" i="57" s="1"/>
  <c r="H236" i="57"/>
  <c r="J236" i="57" s="1"/>
  <c r="H237" i="57"/>
  <c r="J237" i="57" s="1"/>
  <c r="H238" i="57"/>
  <c r="J238" i="57" s="1"/>
  <c r="H239" i="57"/>
  <c r="J239" i="57" s="1"/>
  <c r="H240" i="57"/>
  <c r="J240" i="57" s="1"/>
  <c r="H241" i="57"/>
  <c r="J241" i="57" s="1"/>
  <c r="H242" i="57"/>
  <c r="J242" i="57" s="1"/>
  <c r="H243" i="57"/>
  <c r="J243" i="57" s="1"/>
  <c r="H244" i="57"/>
  <c r="J244" i="57" s="1"/>
  <c r="H245" i="57"/>
  <c r="J245" i="57" s="1"/>
  <c r="H246" i="57"/>
  <c r="J246" i="57" s="1"/>
  <c r="H247" i="57"/>
  <c r="J247" i="57" s="1"/>
  <c r="H248" i="57"/>
  <c r="J248" i="57" s="1"/>
  <c r="H249" i="57"/>
  <c r="J249" i="57" s="1"/>
  <c r="H250" i="57"/>
  <c r="J250" i="57" s="1"/>
  <c r="H251" i="57"/>
  <c r="J251" i="57" s="1"/>
  <c r="H252" i="57"/>
  <c r="J252" i="57" s="1"/>
  <c r="H253" i="57"/>
  <c r="J253" i="57" s="1"/>
  <c r="H254" i="57"/>
  <c r="J254" i="57" s="1"/>
  <c r="H255" i="57"/>
  <c r="J255" i="57" s="1"/>
  <c r="H256" i="57"/>
  <c r="J256" i="57" s="1"/>
  <c r="H257" i="57"/>
  <c r="J257" i="57" s="1"/>
  <c r="H258" i="57"/>
  <c r="J258" i="57" s="1"/>
  <c r="H259" i="57"/>
  <c r="J259" i="57" s="1"/>
  <c r="H260" i="57"/>
  <c r="J260" i="57" s="1"/>
  <c r="H261" i="57"/>
  <c r="J261" i="57" s="1"/>
  <c r="H262" i="57"/>
  <c r="J262" i="57" s="1"/>
  <c r="H263" i="57"/>
  <c r="J263" i="57" s="1"/>
  <c r="H264" i="57"/>
  <c r="J264" i="57" s="1"/>
  <c r="H265" i="57"/>
  <c r="J265" i="57" s="1"/>
  <c r="H266" i="57"/>
  <c r="J266" i="57" s="1"/>
  <c r="H267" i="57"/>
  <c r="J267" i="57" s="1"/>
  <c r="H268" i="57"/>
  <c r="J268" i="57" s="1"/>
  <c r="H269" i="57"/>
  <c r="J269" i="57" s="1"/>
  <c r="H270" i="57"/>
  <c r="J270" i="57" s="1"/>
  <c r="H271" i="57"/>
  <c r="J271" i="57" s="1"/>
  <c r="H272" i="57"/>
  <c r="J272" i="57" s="1"/>
  <c r="H273" i="57"/>
  <c r="J273" i="57" s="1"/>
  <c r="H274" i="57"/>
  <c r="J274" i="57" s="1"/>
  <c r="H275" i="57"/>
  <c r="J275" i="57" s="1"/>
  <c r="H276" i="57"/>
  <c r="J276" i="57" s="1"/>
  <c r="H277" i="57"/>
  <c r="J277" i="57" s="1"/>
  <c r="H278" i="57"/>
  <c r="J278" i="57" s="1"/>
  <c r="H279" i="57"/>
  <c r="J279" i="57" s="1"/>
  <c r="H280" i="57"/>
  <c r="J280" i="57" s="1"/>
  <c r="H281" i="57"/>
  <c r="J281" i="57" s="1"/>
  <c r="H282" i="57"/>
  <c r="J282" i="57" s="1"/>
  <c r="H283" i="57"/>
  <c r="J283" i="57" s="1"/>
  <c r="H284" i="57"/>
  <c r="J284" i="57" s="1"/>
  <c r="H285" i="57"/>
  <c r="J285" i="57" s="1"/>
  <c r="H286" i="57"/>
  <c r="J286" i="57" s="1"/>
  <c r="H287" i="57"/>
  <c r="J287" i="57" s="1"/>
  <c r="H288" i="57"/>
  <c r="J288" i="57" s="1"/>
  <c r="H289" i="57"/>
  <c r="J289" i="57" s="1"/>
  <c r="H290" i="57"/>
  <c r="J290" i="57" s="1"/>
  <c r="H291" i="57"/>
  <c r="J291" i="57" s="1"/>
  <c r="H292" i="57"/>
  <c r="J292" i="57" s="1"/>
  <c r="H293" i="57"/>
  <c r="J293" i="57" s="1"/>
  <c r="H294" i="57"/>
  <c r="J294" i="57" s="1"/>
  <c r="H295" i="57"/>
  <c r="J295" i="57" s="1"/>
  <c r="H296" i="57"/>
  <c r="J296" i="57" s="1"/>
  <c r="H297" i="57"/>
  <c r="J297" i="57" s="1"/>
  <c r="H298" i="57"/>
  <c r="J298" i="57" s="1"/>
  <c r="H299" i="57"/>
  <c r="J299" i="57" s="1"/>
  <c r="H300" i="57"/>
  <c r="J300" i="57" s="1"/>
  <c r="H301" i="57"/>
  <c r="J301" i="57" s="1"/>
  <c r="H302" i="57"/>
  <c r="J302" i="57" s="1"/>
  <c r="H303" i="57"/>
  <c r="J303" i="57" s="1"/>
  <c r="H304" i="57"/>
  <c r="J304" i="57" s="1"/>
  <c r="H305" i="57"/>
  <c r="J305" i="57" s="1"/>
  <c r="H306" i="57"/>
  <c r="J306" i="57" s="1"/>
  <c r="H307" i="57"/>
  <c r="J307" i="57" s="1"/>
  <c r="H308" i="57"/>
  <c r="J308" i="57" s="1"/>
  <c r="H309" i="57"/>
  <c r="J309" i="57" s="1"/>
  <c r="H310" i="57"/>
  <c r="J310" i="57" s="1"/>
  <c r="H311" i="57"/>
  <c r="J311" i="57" s="1"/>
  <c r="H312" i="57"/>
  <c r="J312" i="57" s="1"/>
  <c r="H313" i="57"/>
  <c r="J313" i="57" s="1"/>
  <c r="H314" i="57"/>
  <c r="J314" i="57" s="1"/>
  <c r="H315" i="57"/>
  <c r="J315" i="57" s="1"/>
  <c r="H316" i="57"/>
  <c r="J316" i="57" s="1"/>
  <c r="H317" i="57"/>
  <c r="J317" i="57" s="1"/>
  <c r="H318" i="57"/>
  <c r="J318" i="57" s="1"/>
  <c r="H319" i="57"/>
  <c r="J319" i="57" s="1"/>
  <c r="H320" i="57"/>
  <c r="J320" i="57" s="1"/>
  <c r="H321" i="57"/>
  <c r="J321" i="57" s="1"/>
  <c r="H322" i="57"/>
  <c r="J322" i="57" s="1"/>
  <c r="H323" i="57"/>
  <c r="J323" i="57" s="1"/>
  <c r="H324" i="57"/>
  <c r="J324" i="57" s="1"/>
  <c r="H325" i="57"/>
  <c r="J325" i="57" s="1"/>
  <c r="H326" i="57"/>
  <c r="J326" i="57" s="1"/>
  <c r="H327" i="57"/>
  <c r="J327" i="57" s="1"/>
  <c r="H328" i="57"/>
  <c r="J328" i="57" s="1"/>
  <c r="H329" i="57"/>
  <c r="J329" i="57" s="1"/>
  <c r="H330" i="57"/>
  <c r="J330" i="57" s="1"/>
  <c r="H331" i="57"/>
  <c r="J331" i="57" s="1"/>
  <c r="H332" i="57"/>
  <c r="J332" i="57" s="1"/>
  <c r="H333" i="57"/>
  <c r="J333" i="57" s="1"/>
  <c r="H334" i="57"/>
  <c r="J334" i="57" s="1"/>
  <c r="H335" i="57"/>
  <c r="J335" i="57" s="1"/>
  <c r="H336" i="57"/>
  <c r="J336" i="57" s="1"/>
  <c r="H337" i="57"/>
  <c r="J337" i="57" s="1"/>
  <c r="H338" i="57"/>
  <c r="J338" i="57" s="1"/>
  <c r="H339" i="57"/>
  <c r="J339" i="57" s="1"/>
  <c r="H340" i="57"/>
  <c r="J340" i="57" s="1"/>
  <c r="H341" i="57"/>
  <c r="J341" i="57" s="1"/>
  <c r="L14" i="57" l="1"/>
  <c r="N9" i="60"/>
  <c r="N10" i="60" s="1"/>
  <c r="N11" i="60" s="1"/>
  <c r="N12" i="60" s="1"/>
  <c r="N13" i="60" s="1"/>
  <c r="N14" i="60" s="1"/>
  <c r="N15" i="60" s="1"/>
  <c r="N16" i="60" s="1"/>
  <c r="N17" i="60" s="1"/>
  <c r="L17" i="19"/>
  <c r="L16" i="19"/>
  <c r="N18" i="60" l="1"/>
  <c r="N19" i="60" s="1"/>
  <c r="N20" i="60" l="1"/>
  <c r="N21" i="60" s="1"/>
  <c r="N22" i="60" l="1"/>
  <c r="N23" i="60" s="1"/>
  <c r="N24" i="60" s="1"/>
  <c r="N25" i="60" s="1"/>
  <c r="N26" i="60" s="1"/>
  <c r="N27" i="60" s="1"/>
  <c r="N28" i="60" s="1"/>
  <c r="N29" i="60" s="1"/>
  <c r="N30" i="60" s="1"/>
  <c r="N31" i="60" s="1"/>
  <c r="N32" i="60" s="1"/>
  <c r="N33" i="60" s="1"/>
  <c r="N34" i="60" s="1"/>
  <c r="N35" i="60" s="1"/>
  <c r="N36" i="60" s="1"/>
  <c r="N37" i="60" s="1"/>
  <c r="N38" i="60" s="1"/>
  <c r="N39" i="60" s="1"/>
  <c r="N40" i="60" s="1"/>
  <c r="N41" i="60" s="1"/>
  <c r="N42" i="60" s="1"/>
  <c r="N43" i="60" s="1"/>
  <c r="N44" i="60" s="1"/>
  <c r="N45" i="60" s="1"/>
  <c r="N46" i="60" s="1"/>
  <c r="N47" i="60" s="1"/>
  <c r="N48" i="60" s="1"/>
  <c r="N49" i="60" s="1"/>
  <c r="N50" i="60" s="1"/>
  <c r="N51" i="60" s="1"/>
  <c r="N52" i="60" s="1"/>
  <c r="N53" i="60" s="1"/>
  <c r="N54" i="60" s="1"/>
  <c r="N55" i="60" s="1"/>
  <c r="N56" i="60" s="1"/>
  <c r="N57" i="60" s="1"/>
  <c r="N58" i="60" s="1"/>
  <c r="N59" i="60" s="1"/>
  <c r="N60" i="60" s="1"/>
  <c r="N61" i="60" s="1"/>
  <c r="N62" i="60" s="1"/>
  <c r="N63" i="60" s="1"/>
  <c r="N64" i="60" s="1"/>
  <c r="N65" i="60" s="1"/>
  <c r="N66" i="60" s="1"/>
  <c r="N67" i="60" s="1"/>
  <c r="N68" i="60" s="1"/>
  <c r="N69" i="60" s="1"/>
  <c r="N70" i="60" s="1"/>
  <c r="N71" i="60" s="1"/>
  <c r="N72" i="60" s="1"/>
  <c r="N73" i="60" s="1"/>
  <c r="N74" i="60" s="1"/>
  <c r="N75" i="60" s="1"/>
  <c r="N76" i="60" s="1"/>
  <c r="N77" i="60" s="1"/>
  <c r="N78" i="60" s="1"/>
  <c r="N79" i="60" s="1"/>
  <c r="N80" i="60" s="1"/>
  <c r="N81" i="60" s="1"/>
  <c r="N82" i="60" s="1"/>
  <c r="N83" i="60" s="1"/>
  <c r="N84" i="60" s="1"/>
  <c r="N85" i="60" s="1"/>
  <c r="N86" i="60" s="1"/>
  <c r="N87" i="60" s="1"/>
  <c r="N88" i="60" s="1"/>
  <c r="N89" i="60" s="1"/>
  <c r="N90" i="60" s="1"/>
  <c r="N91" i="60" s="1"/>
  <c r="N92" i="60" s="1"/>
  <c r="N93" i="60" s="1"/>
  <c r="N94" i="60" s="1"/>
  <c r="N95" i="60" s="1"/>
  <c r="N96" i="60" s="1"/>
  <c r="N97" i="60" s="1"/>
  <c r="N98" i="60" s="1"/>
  <c r="N99" i="60" s="1"/>
  <c r="N100" i="60" s="1"/>
  <c r="N101" i="60" s="1"/>
  <c r="N102" i="60" s="1"/>
  <c r="N103" i="60" s="1"/>
  <c r="N104" i="60" s="1"/>
  <c r="N105" i="60" s="1"/>
  <c r="N106" i="60" s="1"/>
  <c r="N107" i="60" s="1"/>
  <c r="N108" i="60" s="1"/>
  <c r="N109" i="60" s="1"/>
  <c r="N110" i="60" s="1"/>
  <c r="N111" i="60" s="1"/>
  <c r="N112" i="60" s="1"/>
  <c r="N113" i="60" s="1"/>
  <c r="N114" i="60" s="1"/>
  <c r="N115" i="60" s="1"/>
  <c r="N116" i="60" s="1"/>
  <c r="N117" i="60" s="1"/>
  <c r="N118" i="60" s="1"/>
  <c r="N119" i="60" s="1"/>
  <c r="N120" i="60" s="1"/>
  <c r="N121" i="60" s="1"/>
  <c r="N122" i="60" s="1"/>
  <c r="N123" i="60" s="1"/>
  <c r="N124" i="60" s="1"/>
  <c r="N125" i="60" s="1"/>
  <c r="N126" i="60" s="1"/>
  <c r="N127" i="60" s="1"/>
  <c r="N128" i="60" s="1"/>
  <c r="N129" i="60" s="1"/>
  <c r="N130" i="60" s="1"/>
  <c r="N131" i="60" s="1"/>
  <c r="N132" i="60" s="1"/>
  <c r="N133" i="60" s="1"/>
  <c r="N134" i="60" s="1"/>
  <c r="N135" i="60" s="1"/>
  <c r="N136" i="60" s="1"/>
  <c r="N137" i="60" s="1"/>
  <c r="N138" i="60" s="1"/>
  <c r="N139" i="60" s="1"/>
  <c r="N140" i="60" s="1"/>
  <c r="N141" i="60" s="1"/>
  <c r="N142" i="60" s="1"/>
  <c r="N143" i="60" s="1"/>
  <c r="N144" i="60" s="1"/>
  <c r="N145" i="60" s="1"/>
  <c r="N146" i="60" s="1"/>
  <c r="N147" i="60" s="1"/>
  <c r="N148" i="60" s="1"/>
  <c r="N149" i="60" s="1"/>
  <c r="N150" i="60" s="1"/>
  <c r="N151" i="60" s="1"/>
  <c r="N152" i="60" s="1"/>
  <c r="N153" i="60" s="1"/>
  <c r="N154" i="60" s="1"/>
  <c r="N155" i="60" s="1"/>
  <c r="N156" i="60" s="1"/>
  <c r="N157" i="60" s="1"/>
  <c r="N158" i="60" s="1"/>
  <c r="N159" i="60" s="1"/>
  <c r="N160" i="60" s="1"/>
  <c r="N161" i="60" s="1"/>
  <c r="N162" i="60" s="1"/>
  <c r="N163" i="60" s="1"/>
  <c r="N164" i="60" s="1"/>
  <c r="N165" i="60" s="1"/>
  <c r="N166" i="60" s="1"/>
  <c r="N167" i="60" s="1"/>
  <c r="N168" i="60" s="1"/>
  <c r="N169" i="60" s="1"/>
  <c r="N170" i="60" s="1"/>
  <c r="N171" i="60" s="1"/>
  <c r="N172" i="60" s="1"/>
  <c r="N173" i="60" s="1"/>
  <c r="N174" i="60" s="1"/>
  <c r="N175" i="60" s="1"/>
  <c r="N176" i="60" s="1"/>
  <c r="N177" i="60" s="1"/>
  <c r="N178" i="60" s="1"/>
  <c r="N179" i="60" s="1"/>
  <c r="N180" i="60" s="1"/>
  <c r="N181" i="60" s="1"/>
  <c r="N182" i="60" s="1"/>
  <c r="N183" i="60" s="1"/>
  <c r="N184" i="60" s="1"/>
  <c r="N185" i="60" s="1"/>
  <c r="N186" i="60" s="1"/>
  <c r="N187" i="60" s="1"/>
  <c r="N188" i="60" s="1"/>
  <c r="N189" i="60" s="1"/>
  <c r="N190" i="60" s="1"/>
  <c r="N191" i="60" s="1"/>
  <c r="N192" i="60" s="1"/>
  <c r="N193" i="60" s="1"/>
  <c r="N194" i="60" s="1"/>
  <c r="N195" i="60" s="1"/>
  <c r="N196" i="60" s="1"/>
  <c r="N197" i="60" s="1"/>
  <c r="N198" i="60" s="1"/>
  <c r="N199" i="60" s="1"/>
  <c r="N200" i="60" s="1"/>
  <c r="N201" i="60" s="1"/>
  <c r="N202" i="60" s="1"/>
  <c r="N203" i="60" s="1"/>
  <c r="N204" i="60" s="1"/>
  <c r="N205" i="60" s="1"/>
  <c r="N206" i="60" s="1"/>
  <c r="N207" i="60" s="1"/>
  <c r="N208" i="60" s="1"/>
  <c r="N209" i="60" s="1"/>
  <c r="N210" i="60" s="1"/>
  <c r="N211" i="60" s="1"/>
  <c r="N212" i="60" s="1"/>
  <c r="N213" i="60" s="1"/>
  <c r="N214" i="60" s="1"/>
  <c r="N215" i="60" s="1"/>
  <c r="N216" i="60" s="1"/>
  <c r="N217" i="60" s="1"/>
  <c r="N218" i="60" s="1"/>
  <c r="N219" i="60" s="1"/>
  <c r="N220" i="60" s="1"/>
  <c r="N221" i="60" s="1"/>
  <c r="N222" i="60" s="1"/>
  <c r="N223" i="60" s="1"/>
  <c r="N224" i="60" s="1"/>
  <c r="N225" i="60" s="1"/>
  <c r="N226" i="60" s="1"/>
  <c r="N227" i="60" s="1"/>
  <c r="N228" i="60" s="1"/>
  <c r="N229" i="60" s="1"/>
  <c r="N230" i="60" s="1"/>
  <c r="N231" i="60" s="1"/>
  <c r="N232" i="60" s="1"/>
  <c r="N233" i="60" s="1"/>
  <c r="N234" i="60" s="1"/>
  <c r="N235" i="60" s="1"/>
  <c r="N236" i="60" s="1"/>
  <c r="N237" i="60" s="1"/>
  <c r="N238" i="60" s="1"/>
  <c r="N239" i="60" s="1"/>
  <c r="N240" i="60" s="1"/>
  <c r="N241" i="60" s="1"/>
  <c r="N242" i="60" s="1"/>
  <c r="N243" i="60" s="1"/>
  <c r="N244" i="60" s="1"/>
  <c r="N245" i="60" s="1"/>
  <c r="N246" i="60" s="1"/>
  <c r="N247" i="60" s="1"/>
  <c r="N248" i="60" s="1"/>
  <c r="N249" i="60" s="1"/>
  <c r="N250" i="60" s="1"/>
  <c r="N251" i="60" s="1"/>
  <c r="N252" i="60" s="1"/>
  <c r="N253" i="60" s="1"/>
  <c r="N254" i="60" s="1"/>
  <c r="N255" i="60" s="1"/>
  <c r="N256" i="60" s="1"/>
  <c r="N257" i="60" s="1"/>
  <c r="N258" i="60" s="1"/>
  <c r="N259" i="60" s="1"/>
  <c r="N260" i="60" s="1"/>
  <c r="N261" i="60" s="1"/>
  <c r="N262" i="60" s="1"/>
  <c r="N263" i="60" s="1"/>
  <c r="N264" i="60" s="1"/>
  <c r="N265" i="60" s="1"/>
  <c r="N266" i="60" s="1"/>
  <c r="N267" i="60" s="1"/>
  <c r="N268" i="60" s="1"/>
  <c r="N269" i="60" s="1"/>
  <c r="N270" i="60" s="1"/>
  <c r="N271" i="60" s="1"/>
  <c r="N272" i="60" s="1"/>
  <c r="N273" i="60" s="1"/>
  <c r="N274" i="60" s="1"/>
  <c r="N275" i="60" s="1"/>
  <c r="N276" i="60" s="1"/>
  <c r="N277" i="60" s="1"/>
  <c r="N278" i="60" s="1"/>
  <c r="N279" i="60" s="1"/>
  <c r="N280" i="60" s="1"/>
  <c r="N281" i="60" s="1"/>
  <c r="N282" i="60" s="1"/>
  <c r="N283" i="60" s="1"/>
  <c r="N284" i="60" s="1"/>
  <c r="N285" i="60" s="1"/>
  <c r="N286" i="60" s="1"/>
  <c r="N287" i="60" s="1"/>
  <c r="N288" i="60" s="1"/>
  <c r="N289" i="60" s="1"/>
  <c r="N290" i="60" s="1"/>
  <c r="N291" i="60" s="1"/>
  <c r="N292" i="60" s="1"/>
  <c r="N293" i="60" s="1"/>
  <c r="N294" i="60" s="1"/>
  <c r="N295" i="60" s="1"/>
  <c r="N296" i="60" s="1"/>
  <c r="N297" i="60" s="1"/>
  <c r="N298" i="60" s="1"/>
  <c r="N299" i="60" s="1"/>
  <c r="N300" i="60" s="1"/>
  <c r="N301" i="60" s="1"/>
  <c r="N302" i="60" s="1"/>
  <c r="N303" i="60" s="1"/>
  <c r="N304" i="60" s="1"/>
  <c r="N305" i="60" s="1"/>
  <c r="N306" i="60" s="1"/>
  <c r="N307" i="60" s="1"/>
  <c r="N308" i="60" s="1"/>
  <c r="N309" i="60" s="1"/>
  <c r="N310" i="60" s="1"/>
  <c r="N311" i="60" s="1"/>
  <c r="N312" i="60" s="1"/>
  <c r="N313" i="60" s="1"/>
  <c r="N314" i="60" s="1"/>
  <c r="N315" i="60" s="1"/>
  <c r="N316" i="60" s="1"/>
  <c r="N317" i="60" s="1"/>
  <c r="N318" i="60" s="1"/>
  <c r="N319" i="60" s="1"/>
  <c r="N320" i="60" s="1"/>
  <c r="N321" i="60" s="1"/>
  <c r="N322" i="60" s="1"/>
  <c r="N323" i="60" s="1"/>
  <c r="N324" i="60" s="1"/>
  <c r="N325" i="60" s="1"/>
  <c r="N326" i="60" s="1"/>
  <c r="N327" i="60" s="1"/>
  <c r="N328" i="60" s="1"/>
  <c r="N329" i="60" s="1"/>
  <c r="N330" i="60" s="1"/>
  <c r="N331" i="60" s="1"/>
  <c r="N332" i="60" s="1"/>
  <c r="N333" i="60" s="1"/>
  <c r="N334" i="60" s="1"/>
  <c r="N335" i="60" s="1"/>
  <c r="N336" i="60" s="1"/>
  <c r="N337" i="60" s="1"/>
  <c r="N338" i="60" s="1"/>
  <c r="N339" i="60" s="1"/>
  <c r="N340" i="60" s="1"/>
  <c r="N341" i="60" s="1"/>
  <c r="N342" i="60" s="1"/>
  <c r="L14" i="19"/>
  <c r="L13" i="19" l="1"/>
  <c r="L12" i="19"/>
  <c r="N16" i="59" l="1"/>
  <c r="B11" i="14" s="1"/>
  <c r="M3" i="59"/>
  <c r="M4" i="59" s="1"/>
  <c r="M5" i="59" l="1"/>
  <c r="M6" i="59" s="1"/>
  <c r="M7" i="59" s="1"/>
  <c r="M8" i="59" s="1"/>
  <c r="M9" i="59" s="1"/>
  <c r="M10" i="59" l="1"/>
  <c r="M11" i="59" s="1"/>
  <c r="M12" i="59" s="1"/>
  <c r="M13" i="59" s="1"/>
  <c r="M14" i="59" l="1"/>
  <c r="M15" i="59" s="1"/>
  <c r="M16" i="59" s="1"/>
  <c r="M17" i="59" s="1"/>
  <c r="M18" i="59" s="1"/>
  <c r="M19" i="59" s="1"/>
  <c r="M20" i="59" s="1"/>
  <c r="M21" i="59" s="1"/>
  <c r="M22" i="59" s="1"/>
  <c r="M23" i="59" s="1"/>
  <c r="M24" i="59" s="1"/>
  <c r="M25" i="59" s="1"/>
  <c r="M26" i="59" s="1"/>
  <c r="M27" i="59" s="1"/>
  <c r="M28" i="59" s="1"/>
  <c r="M29" i="59" s="1"/>
  <c r="M30" i="59" s="1"/>
  <c r="M31" i="59" s="1"/>
  <c r="K2" i="58" l="1"/>
  <c r="I342" i="58"/>
  <c r="K342" i="58" s="1"/>
  <c r="I341" i="58"/>
  <c r="K341" i="58" s="1"/>
  <c r="I340" i="58"/>
  <c r="K340" i="58" s="1"/>
  <c r="I339" i="58"/>
  <c r="K339" i="58" s="1"/>
  <c r="I338" i="58"/>
  <c r="K338" i="58" s="1"/>
  <c r="I337" i="58"/>
  <c r="K337" i="58" s="1"/>
  <c r="I336" i="58"/>
  <c r="K336" i="58" s="1"/>
  <c r="I335" i="58"/>
  <c r="K335" i="58" s="1"/>
  <c r="I334" i="58"/>
  <c r="K334" i="58" s="1"/>
  <c r="I333" i="58"/>
  <c r="K333" i="58" s="1"/>
  <c r="I332" i="58"/>
  <c r="K332" i="58" s="1"/>
  <c r="I331" i="58"/>
  <c r="K331" i="58" s="1"/>
  <c r="I330" i="58"/>
  <c r="K330" i="58" s="1"/>
  <c r="I329" i="58"/>
  <c r="K329" i="58" s="1"/>
  <c r="I328" i="58"/>
  <c r="K328" i="58" s="1"/>
  <c r="I327" i="58"/>
  <c r="K327" i="58" s="1"/>
  <c r="I326" i="58"/>
  <c r="K326" i="58" s="1"/>
  <c r="I325" i="58"/>
  <c r="K325" i="58" s="1"/>
  <c r="I324" i="58"/>
  <c r="K324" i="58" s="1"/>
  <c r="I323" i="58"/>
  <c r="K323" i="58" s="1"/>
  <c r="I322" i="58"/>
  <c r="K322" i="58" s="1"/>
  <c r="I321" i="58"/>
  <c r="K321" i="58" s="1"/>
  <c r="I320" i="58"/>
  <c r="K320" i="58" s="1"/>
  <c r="I319" i="58"/>
  <c r="K319" i="58" s="1"/>
  <c r="I318" i="58"/>
  <c r="K318" i="58" s="1"/>
  <c r="I317" i="58"/>
  <c r="K317" i="58" s="1"/>
  <c r="I316" i="58"/>
  <c r="K316" i="58" s="1"/>
  <c r="I315" i="58"/>
  <c r="K315" i="58" s="1"/>
  <c r="I314" i="58"/>
  <c r="K314" i="58" s="1"/>
  <c r="I313" i="58"/>
  <c r="K313" i="58" s="1"/>
  <c r="I312" i="58"/>
  <c r="K312" i="58" s="1"/>
  <c r="I311" i="58"/>
  <c r="K311" i="58" s="1"/>
  <c r="I310" i="58"/>
  <c r="K310" i="58" s="1"/>
  <c r="I309" i="58"/>
  <c r="K309" i="58" s="1"/>
  <c r="I308" i="58"/>
  <c r="K308" i="58" s="1"/>
  <c r="I307" i="58"/>
  <c r="K307" i="58" s="1"/>
  <c r="I306" i="58"/>
  <c r="K306" i="58" s="1"/>
  <c r="I305" i="58"/>
  <c r="K305" i="58" s="1"/>
  <c r="I304" i="58"/>
  <c r="K304" i="58" s="1"/>
  <c r="I303" i="58"/>
  <c r="K303" i="58" s="1"/>
  <c r="I302" i="58"/>
  <c r="K302" i="58" s="1"/>
  <c r="I301" i="58"/>
  <c r="K301" i="58" s="1"/>
  <c r="I300" i="58"/>
  <c r="K300" i="58" s="1"/>
  <c r="I299" i="58"/>
  <c r="K299" i="58" s="1"/>
  <c r="I298" i="58"/>
  <c r="K298" i="58" s="1"/>
  <c r="I297" i="58"/>
  <c r="K297" i="58" s="1"/>
  <c r="I296" i="58"/>
  <c r="K296" i="58" s="1"/>
  <c r="I295" i="58"/>
  <c r="K295" i="58" s="1"/>
  <c r="I294" i="58"/>
  <c r="K294" i="58" s="1"/>
  <c r="I293" i="58"/>
  <c r="K293" i="58" s="1"/>
  <c r="I292" i="58"/>
  <c r="K292" i="58" s="1"/>
  <c r="I291" i="58"/>
  <c r="K291" i="58" s="1"/>
  <c r="I290" i="58"/>
  <c r="K290" i="58" s="1"/>
  <c r="I289" i="58"/>
  <c r="K289" i="58" s="1"/>
  <c r="I288" i="58"/>
  <c r="K288" i="58" s="1"/>
  <c r="I287" i="58"/>
  <c r="K287" i="58" s="1"/>
  <c r="I286" i="58"/>
  <c r="K286" i="58" s="1"/>
  <c r="I285" i="58"/>
  <c r="K285" i="58" s="1"/>
  <c r="I284" i="58"/>
  <c r="K284" i="58" s="1"/>
  <c r="I283" i="58"/>
  <c r="K283" i="58" s="1"/>
  <c r="I282" i="58"/>
  <c r="K282" i="58" s="1"/>
  <c r="I281" i="58"/>
  <c r="K281" i="58" s="1"/>
  <c r="I280" i="58"/>
  <c r="K280" i="58" s="1"/>
  <c r="I279" i="58"/>
  <c r="K279" i="58" s="1"/>
  <c r="I278" i="58"/>
  <c r="K278" i="58" s="1"/>
  <c r="I277" i="58"/>
  <c r="K277" i="58" s="1"/>
  <c r="I276" i="58"/>
  <c r="K276" i="58" s="1"/>
  <c r="I275" i="58"/>
  <c r="K275" i="58" s="1"/>
  <c r="I274" i="58"/>
  <c r="K274" i="58" s="1"/>
  <c r="I273" i="58"/>
  <c r="K273" i="58" s="1"/>
  <c r="I272" i="58"/>
  <c r="K272" i="58" s="1"/>
  <c r="I271" i="58"/>
  <c r="K271" i="58" s="1"/>
  <c r="I270" i="58"/>
  <c r="K270" i="58" s="1"/>
  <c r="I269" i="58"/>
  <c r="K269" i="58" s="1"/>
  <c r="I268" i="58"/>
  <c r="K268" i="58" s="1"/>
  <c r="I267" i="58"/>
  <c r="K267" i="58" s="1"/>
  <c r="I266" i="58"/>
  <c r="K266" i="58" s="1"/>
  <c r="I265" i="58"/>
  <c r="K265" i="58" s="1"/>
  <c r="I264" i="58"/>
  <c r="K264" i="58" s="1"/>
  <c r="I263" i="58"/>
  <c r="K263" i="58" s="1"/>
  <c r="I262" i="58"/>
  <c r="K262" i="58" s="1"/>
  <c r="I261" i="58"/>
  <c r="K261" i="58" s="1"/>
  <c r="I260" i="58"/>
  <c r="K260" i="58" s="1"/>
  <c r="I259" i="58"/>
  <c r="K259" i="58" s="1"/>
  <c r="I258" i="58"/>
  <c r="K258" i="58" s="1"/>
  <c r="I257" i="58"/>
  <c r="K257" i="58" s="1"/>
  <c r="I256" i="58"/>
  <c r="K256" i="58" s="1"/>
  <c r="I255" i="58"/>
  <c r="K255" i="58" s="1"/>
  <c r="I254" i="58"/>
  <c r="K254" i="58" s="1"/>
  <c r="I253" i="58"/>
  <c r="K253" i="58" s="1"/>
  <c r="I252" i="58"/>
  <c r="K252" i="58" s="1"/>
  <c r="I251" i="58"/>
  <c r="K251" i="58" s="1"/>
  <c r="I250" i="58"/>
  <c r="K250" i="58" s="1"/>
  <c r="I249" i="58"/>
  <c r="K249" i="58" s="1"/>
  <c r="I248" i="58"/>
  <c r="K248" i="58" s="1"/>
  <c r="I247" i="58"/>
  <c r="K247" i="58" s="1"/>
  <c r="I246" i="58"/>
  <c r="K246" i="58" s="1"/>
  <c r="I245" i="58"/>
  <c r="K245" i="58" s="1"/>
  <c r="I244" i="58"/>
  <c r="K244" i="58" s="1"/>
  <c r="I243" i="58"/>
  <c r="K243" i="58" s="1"/>
  <c r="I242" i="58"/>
  <c r="K242" i="58" s="1"/>
  <c r="K241" i="58"/>
  <c r="K240" i="58"/>
  <c r="K239" i="58"/>
  <c r="K238" i="58"/>
  <c r="K237" i="58"/>
  <c r="K236" i="58"/>
  <c r="K235" i="58"/>
  <c r="K234" i="58"/>
  <c r="K233" i="58"/>
  <c r="K232" i="58"/>
  <c r="K231" i="58"/>
  <c r="K230" i="58"/>
  <c r="K229" i="58"/>
  <c r="K228" i="58"/>
  <c r="K227" i="58"/>
  <c r="K226" i="58"/>
  <c r="K225" i="58"/>
  <c r="K224" i="58"/>
  <c r="K223" i="58"/>
  <c r="K222" i="58"/>
  <c r="K221" i="58"/>
  <c r="K220" i="58"/>
  <c r="K219" i="58"/>
  <c r="K218" i="58"/>
  <c r="K217" i="58"/>
  <c r="K216" i="58"/>
  <c r="K215" i="58"/>
  <c r="K214" i="58"/>
  <c r="K213" i="58"/>
  <c r="K212" i="58"/>
  <c r="K211" i="58"/>
  <c r="K210" i="58"/>
  <c r="K209" i="58"/>
  <c r="K208" i="58"/>
  <c r="K207" i="58"/>
  <c r="K206" i="58"/>
  <c r="K205" i="58"/>
  <c r="K204" i="58"/>
  <c r="K203" i="58"/>
  <c r="K202" i="58"/>
  <c r="K201" i="58"/>
  <c r="K200" i="58"/>
  <c r="K199" i="58"/>
  <c r="K198" i="58"/>
  <c r="K197" i="58"/>
  <c r="K196" i="58"/>
  <c r="K195" i="58"/>
  <c r="K194" i="58"/>
  <c r="K193" i="58"/>
  <c r="K192" i="58"/>
  <c r="K191" i="58"/>
  <c r="K190" i="58"/>
  <c r="K189" i="58"/>
  <c r="K188" i="58"/>
  <c r="K187" i="58"/>
  <c r="K186" i="58"/>
  <c r="K185" i="58"/>
  <c r="K184" i="58"/>
  <c r="K183" i="58"/>
  <c r="K182" i="58"/>
  <c r="K181" i="58"/>
  <c r="K180" i="58"/>
  <c r="K179" i="58"/>
  <c r="K178" i="58"/>
  <c r="K177" i="58"/>
  <c r="K176" i="58"/>
  <c r="K175" i="58"/>
  <c r="K174" i="58"/>
  <c r="K173" i="58"/>
  <c r="K172" i="58"/>
  <c r="K171" i="58"/>
  <c r="K170" i="58"/>
  <c r="K169" i="58"/>
  <c r="K168" i="58"/>
  <c r="K167" i="58"/>
  <c r="K166" i="58"/>
  <c r="K165" i="58"/>
  <c r="K164" i="58"/>
  <c r="K163" i="58"/>
  <c r="K162" i="58"/>
  <c r="K161" i="58"/>
  <c r="K160" i="58"/>
  <c r="K159" i="58"/>
  <c r="K158" i="58"/>
  <c r="K157" i="58"/>
  <c r="K156" i="58"/>
  <c r="K155" i="58"/>
  <c r="K154" i="58"/>
  <c r="K153" i="58"/>
  <c r="K152" i="58"/>
  <c r="K151" i="58"/>
  <c r="K150" i="58"/>
  <c r="K149" i="58"/>
  <c r="K148" i="58"/>
  <c r="K147" i="58"/>
  <c r="K146" i="58"/>
  <c r="K145" i="58"/>
  <c r="K144" i="58"/>
  <c r="K143" i="58"/>
  <c r="K142" i="58"/>
  <c r="K141" i="58"/>
  <c r="K140" i="58"/>
  <c r="K139" i="58"/>
  <c r="K138" i="58"/>
  <c r="K137" i="58"/>
  <c r="K136" i="58"/>
  <c r="K135" i="58"/>
  <c r="K134" i="58"/>
  <c r="K133" i="58"/>
  <c r="K132" i="58"/>
  <c r="K131" i="58"/>
  <c r="K130" i="58"/>
  <c r="K129" i="58"/>
  <c r="K128" i="58"/>
  <c r="K127" i="58"/>
  <c r="K126" i="58"/>
  <c r="K125" i="58"/>
  <c r="K124" i="58"/>
  <c r="K123" i="58"/>
  <c r="K122" i="58"/>
  <c r="K121" i="58"/>
  <c r="K120" i="58"/>
  <c r="K119" i="58"/>
  <c r="K118" i="58"/>
  <c r="K117" i="58"/>
  <c r="K116" i="58"/>
  <c r="K115" i="58"/>
  <c r="K114" i="58"/>
  <c r="K113" i="58"/>
  <c r="K112" i="58"/>
  <c r="K111" i="58"/>
  <c r="K110" i="58"/>
  <c r="K109" i="58"/>
  <c r="K108" i="58"/>
  <c r="K107" i="58"/>
  <c r="K106" i="58"/>
  <c r="K105" i="58"/>
  <c r="K104" i="58"/>
  <c r="K103" i="58"/>
  <c r="K102" i="58"/>
  <c r="K101" i="58"/>
  <c r="K100" i="58"/>
  <c r="K99" i="58"/>
  <c r="K98" i="58"/>
  <c r="K97" i="58"/>
  <c r="K96" i="58"/>
  <c r="K95" i="58"/>
  <c r="K94" i="58"/>
  <c r="K93" i="58"/>
  <c r="K92" i="58"/>
  <c r="K91" i="58"/>
  <c r="K90" i="58"/>
  <c r="K89" i="58"/>
  <c r="K88" i="58"/>
  <c r="K87" i="58"/>
  <c r="K86" i="58"/>
  <c r="K85" i="58"/>
  <c r="K84" i="58"/>
  <c r="K83" i="58"/>
  <c r="K82" i="58"/>
  <c r="K81" i="58"/>
  <c r="K80" i="58"/>
  <c r="K79" i="58"/>
  <c r="K78" i="58"/>
  <c r="K77" i="58"/>
  <c r="K76" i="58"/>
  <c r="K75" i="58"/>
  <c r="K74" i="58"/>
  <c r="K73" i="58"/>
  <c r="K72" i="58"/>
  <c r="K71" i="58"/>
  <c r="K70" i="58"/>
  <c r="K69" i="58"/>
  <c r="K68" i="58"/>
  <c r="K67" i="58"/>
  <c r="K66" i="58"/>
  <c r="K65" i="58"/>
  <c r="K64" i="58"/>
  <c r="K63" i="58"/>
  <c r="K62" i="58"/>
  <c r="K61" i="58"/>
  <c r="K60" i="58"/>
  <c r="K59" i="58"/>
  <c r="K58" i="58"/>
  <c r="K57" i="58"/>
  <c r="K56" i="58"/>
  <c r="K55" i="58"/>
  <c r="K54" i="58"/>
  <c r="K53" i="58"/>
  <c r="K52" i="58"/>
  <c r="K51" i="58"/>
  <c r="K50" i="58"/>
  <c r="K49" i="58"/>
  <c r="K48" i="58"/>
  <c r="K45" i="58"/>
  <c r="K44" i="58"/>
  <c r="K43" i="58"/>
  <c r="K42" i="58"/>
  <c r="K41" i="58"/>
  <c r="K40" i="58"/>
  <c r="K39" i="58"/>
  <c r="K38" i="58"/>
  <c r="K37" i="58"/>
  <c r="K36" i="58"/>
  <c r="K35" i="58"/>
  <c r="K34" i="58"/>
  <c r="K32" i="58"/>
  <c r="K31" i="58"/>
  <c r="K30" i="58"/>
  <c r="K29" i="58"/>
  <c r="K28" i="58"/>
  <c r="K27" i="58"/>
  <c r="K26" i="58"/>
  <c r="K25" i="58"/>
  <c r="K24" i="58"/>
  <c r="K23" i="58"/>
  <c r="K22" i="58"/>
  <c r="K21" i="58"/>
  <c r="K20" i="58"/>
  <c r="K18" i="58"/>
  <c r="K17" i="58"/>
  <c r="K16" i="58"/>
  <c r="K15" i="58"/>
  <c r="K13" i="58"/>
  <c r="K11" i="58"/>
  <c r="K10" i="58"/>
  <c r="K9" i="58"/>
  <c r="K8" i="58"/>
  <c r="K7" i="58"/>
  <c r="K6" i="58"/>
  <c r="K5" i="58"/>
  <c r="K4" i="58"/>
  <c r="K3" i="58"/>
  <c r="N13" i="58" l="1"/>
  <c r="B12" i="14" s="1"/>
  <c r="M32" i="59"/>
  <c r="M33" i="59" s="1"/>
  <c r="M34" i="59" s="1"/>
  <c r="M35" i="59" s="1"/>
  <c r="M36" i="59" s="1"/>
  <c r="M37" i="59" s="1"/>
  <c r="M38" i="59" s="1"/>
  <c r="M39" i="59" s="1"/>
  <c r="M40" i="59" s="1"/>
  <c r="M41" i="59" s="1"/>
  <c r="M42" i="59" s="1"/>
  <c r="M43" i="59" s="1"/>
  <c r="M44" i="59" s="1"/>
  <c r="M45" i="59" s="1"/>
  <c r="M46" i="59" s="1"/>
  <c r="M47" i="59" s="1"/>
  <c r="M48" i="59" s="1"/>
  <c r="M49" i="59" s="1"/>
  <c r="M50" i="59" s="1"/>
  <c r="M51" i="59" s="1"/>
  <c r="M52" i="59" s="1"/>
  <c r="M53" i="59" s="1"/>
  <c r="M3" i="58"/>
  <c r="M4" i="58" s="1"/>
  <c r="M5" i="58" s="1"/>
  <c r="M6" i="58" s="1"/>
  <c r="M7" i="58" s="1"/>
  <c r="M8" i="58" s="1"/>
  <c r="M9" i="58" s="1"/>
  <c r="M10" i="58" s="1"/>
  <c r="M11" i="58" s="1"/>
  <c r="H2" i="57"/>
  <c r="M54" i="59" l="1"/>
  <c r="M55" i="59" s="1"/>
  <c r="M56" i="59" s="1"/>
  <c r="M57" i="59" s="1"/>
  <c r="M58" i="59" s="1"/>
  <c r="M59" i="59" s="1"/>
  <c r="M60" i="59" s="1"/>
  <c r="M61" i="59" s="1"/>
  <c r="M62" i="59" s="1"/>
  <c r="N15" i="57"/>
  <c r="J2" i="57"/>
  <c r="M12" i="58"/>
  <c r="M13" i="58" s="1"/>
  <c r="L3" i="57" l="1"/>
  <c r="L4" i="57" s="1"/>
  <c r="M15" i="57"/>
  <c r="B15" i="14" s="1"/>
  <c r="M14" i="58"/>
  <c r="M15" i="58" s="1"/>
  <c r="M16" i="58" s="1"/>
  <c r="M17" i="58" s="1"/>
  <c r="M18" i="58" s="1"/>
  <c r="L5" i="57" l="1"/>
  <c r="L6" i="57" s="1"/>
  <c r="L7" i="57" s="1"/>
  <c r="M19" i="58"/>
  <c r="M20" i="58" s="1"/>
  <c r="M21" i="58" s="1"/>
  <c r="M22" i="58" s="1"/>
  <c r="M23" i="58" s="1"/>
  <c r="M24" i="58" s="1"/>
  <c r="M25" i="58" s="1"/>
  <c r="M26" i="58" s="1"/>
  <c r="L6" i="19"/>
  <c r="L8" i="57" l="1"/>
  <c r="L9" i="57" s="1"/>
  <c r="L10" i="57" s="1"/>
  <c r="L15" i="57" s="1"/>
  <c r="L16" i="57" s="1"/>
  <c r="L17" i="57" s="1"/>
  <c r="L18" i="57" s="1"/>
  <c r="L19" i="57" s="1"/>
  <c r="L20" i="57" s="1"/>
  <c r="L21" i="57" s="1"/>
  <c r="L22" i="57" s="1"/>
  <c r="L23" i="57" s="1"/>
  <c r="L24" i="57" s="1"/>
  <c r="L25" i="57" s="1"/>
  <c r="L26" i="57" s="1"/>
  <c r="L27" i="57" s="1"/>
  <c r="L28" i="57" s="1"/>
  <c r="L29" i="57" s="1"/>
  <c r="L30" i="57" s="1"/>
  <c r="L31" i="57" s="1"/>
  <c r="L32" i="57" s="1"/>
  <c r="L33" i="57" s="1"/>
  <c r="L34" i="57" s="1"/>
  <c r="L35" i="57" s="1"/>
  <c r="L36" i="57" s="1"/>
  <c r="L37" i="57" s="1"/>
  <c r="L38" i="57" s="1"/>
  <c r="L39" i="57" s="1"/>
  <c r="L40" i="57" s="1"/>
  <c r="L41" i="57" s="1"/>
  <c r="L42" i="57" s="1"/>
  <c r="L43" i="57" s="1"/>
  <c r="L44" i="57" s="1"/>
  <c r="L45" i="57" s="1"/>
  <c r="L46" i="57" s="1"/>
  <c r="L47" i="57" s="1"/>
  <c r="L48" i="57" s="1"/>
  <c r="L49" i="57" s="1"/>
  <c r="L50" i="57" s="1"/>
  <c r="L51" i="57" s="1"/>
  <c r="L52" i="57" s="1"/>
  <c r="L53" i="57" s="1"/>
  <c r="L54" i="57" s="1"/>
  <c r="L55" i="57" s="1"/>
  <c r="L56" i="57" s="1"/>
  <c r="L57" i="57" s="1"/>
  <c r="L58" i="57" s="1"/>
  <c r="L59" i="57" s="1"/>
  <c r="L60" i="57" s="1"/>
  <c r="L61" i="57" s="1"/>
  <c r="L62" i="57" s="1"/>
  <c r="L63" i="57" s="1"/>
  <c r="L64" i="57" s="1"/>
  <c r="L65" i="57" s="1"/>
  <c r="L66" i="57" s="1"/>
  <c r="L67" i="57" s="1"/>
  <c r="L68" i="57" s="1"/>
  <c r="L69" i="57" s="1"/>
  <c r="L70" i="57" s="1"/>
  <c r="L71" i="57" s="1"/>
  <c r="L72" i="57" s="1"/>
  <c r="L73" i="57" s="1"/>
  <c r="L74" i="57" s="1"/>
  <c r="L75" i="57" s="1"/>
  <c r="L76" i="57" s="1"/>
  <c r="L77" i="57" s="1"/>
  <c r="L78" i="57" s="1"/>
  <c r="L79" i="57" s="1"/>
  <c r="L80" i="57" s="1"/>
  <c r="L81" i="57" s="1"/>
  <c r="L82" i="57" s="1"/>
  <c r="L83" i="57" s="1"/>
  <c r="L84" i="57" s="1"/>
  <c r="L85" i="57" s="1"/>
  <c r="L86" i="57" s="1"/>
  <c r="L87" i="57" s="1"/>
  <c r="L88" i="57" s="1"/>
  <c r="L89" i="57" s="1"/>
  <c r="L90" i="57" s="1"/>
  <c r="L91" i="57" s="1"/>
  <c r="L92" i="57" s="1"/>
  <c r="L93" i="57" s="1"/>
  <c r="L94" i="57" s="1"/>
  <c r="L95" i="57" s="1"/>
  <c r="L96" i="57" s="1"/>
  <c r="L97" i="57" s="1"/>
  <c r="L98" i="57" s="1"/>
  <c r="L99" i="57" s="1"/>
  <c r="L100" i="57" s="1"/>
  <c r="L101" i="57" s="1"/>
  <c r="L102" i="57" s="1"/>
  <c r="L103" i="57" s="1"/>
  <c r="L104" i="57" s="1"/>
  <c r="L105" i="57" s="1"/>
  <c r="L106" i="57" s="1"/>
  <c r="L107" i="57" s="1"/>
  <c r="L108" i="57" s="1"/>
  <c r="L109" i="57" s="1"/>
  <c r="L110" i="57" s="1"/>
  <c r="L111" i="57" s="1"/>
  <c r="L112" i="57" s="1"/>
  <c r="L113" i="57" s="1"/>
  <c r="L114" i="57" s="1"/>
  <c r="L115" i="57" s="1"/>
  <c r="L116" i="57" s="1"/>
  <c r="L117" i="57" s="1"/>
  <c r="L118" i="57" s="1"/>
  <c r="L119" i="57" s="1"/>
  <c r="L120" i="57" s="1"/>
  <c r="L121" i="57" s="1"/>
  <c r="L122" i="57" s="1"/>
  <c r="L123" i="57" s="1"/>
  <c r="L124" i="57" s="1"/>
  <c r="L125" i="57" s="1"/>
  <c r="L126" i="57" s="1"/>
  <c r="L127" i="57" s="1"/>
  <c r="L128" i="57" s="1"/>
  <c r="L129" i="57" s="1"/>
  <c r="L130" i="57" s="1"/>
  <c r="L131" i="57" s="1"/>
  <c r="L132" i="57" s="1"/>
  <c r="L133" i="57" s="1"/>
  <c r="L134" i="57" s="1"/>
  <c r="L135" i="57" s="1"/>
  <c r="L136" i="57" s="1"/>
  <c r="L137" i="57" s="1"/>
  <c r="L138" i="57" s="1"/>
  <c r="L139" i="57" s="1"/>
  <c r="L140" i="57" s="1"/>
  <c r="L141" i="57" s="1"/>
  <c r="L142" i="57" s="1"/>
  <c r="L143" i="57" s="1"/>
  <c r="L144" i="57" s="1"/>
  <c r="L145" i="57" s="1"/>
  <c r="L146" i="57" s="1"/>
  <c r="L147" i="57" s="1"/>
  <c r="L148" i="57" s="1"/>
  <c r="L149" i="57" s="1"/>
  <c r="L150" i="57" s="1"/>
  <c r="L151" i="57" s="1"/>
  <c r="L152" i="57" s="1"/>
  <c r="L153" i="57" s="1"/>
  <c r="L154" i="57" s="1"/>
  <c r="L155" i="57" s="1"/>
  <c r="L156" i="57" s="1"/>
  <c r="L157" i="57" s="1"/>
  <c r="L158" i="57" s="1"/>
  <c r="L159" i="57" s="1"/>
  <c r="L160" i="57" s="1"/>
  <c r="L161" i="57" s="1"/>
  <c r="L162" i="57" s="1"/>
  <c r="L163" i="57" s="1"/>
  <c r="L164" i="57" s="1"/>
  <c r="L165" i="57" s="1"/>
  <c r="L166" i="57" s="1"/>
  <c r="L167" i="57" s="1"/>
  <c r="L168" i="57" s="1"/>
  <c r="L169" i="57" s="1"/>
  <c r="L170" i="57" s="1"/>
  <c r="L171" i="57" s="1"/>
  <c r="L172" i="57" s="1"/>
  <c r="L173" i="57" s="1"/>
  <c r="L174" i="57" s="1"/>
  <c r="L175" i="57" s="1"/>
  <c r="L176" i="57" s="1"/>
  <c r="L177" i="57" s="1"/>
  <c r="L178" i="57" s="1"/>
  <c r="L179" i="57" s="1"/>
  <c r="L180" i="57" s="1"/>
  <c r="L181" i="57" s="1"/>
  <c r="L182" i="57" s="1"/>
  <c r="L183" i="57" s="1"/>
  <c r="L184" i="57" s="1"/>
  <c r="L185" i="57" s="1"/>
  <c r="L186" i="57" s="1"/>
  <c r="L187" i="57" s="1"/>
  <c r="L188" i="57" s="1"/>
  <c r="L189" i="57" s="1"/>
  <c r="L190" i="57" s="1"/>
  <c r="L191" i="57" s="1"/>
  <c r="L192" i="57" s="1"/>
  <c r="L193" i="57" s="1"/>
  <c r="L194" i="57" s="1"/>
  <c r="L195" i="57" s="1"/>
  <c r="L196" i="57" s="1"/>
  <c r="L197" i="57" s="1"/>
  <c r="L198" i="57" s="1"/>
  <c r="L199" i="57" s="1"/>
  <c r="L200" i="57" s="1"/>
  <c r="L201" i="57" s="1"/>
  <c r="L202" i="57" s="1"/>
  <c r="L203" i="57" s="1"/>
  <c r="L204" i="57" s="1"/>
  <c r="L205" i="57" s="1"/>
  <c r="L206" i="57" s="1"/>
  <c r="L207" i="57" s="1"/>
  <c r="L208" i="57" s="1"/>
  <c r="L209" i="57" s="1"/>
  <c r="L210" i="57" s="1"/>
  <c r="L211" i="57" s="1"/>
  <c r="L212" i="57" s="1"/>
  <c r="L213" i="57" s="1"/>
  <c r="L214" i="57" s="1"/>
  <c r="L215" i="57" s="1"/>
  <c r="L216" i="57" s="1"/>
  <c r="L217" i="57" s="1"/>
  <c r="L218" i="57" s="1"/>
  <c r="L219" i="57" s="1"/>
  <c r="L220" i="57" s="1"/>
  <c r="L221" i="57" s="1"/>
  <c r="L222" i="57" s="1"/>
  <c r="L223" i="57" s="1"/>
  <c r="L224" i="57" s="1"/>
  <c r="L225" i="57" s="1"/>
  <c r="L226" i="57" s="1"/>
  <c r="L227" i="57" s="1"/>
  <c r="L228" i="57" s="1"/>
  <c r="L229" i="57" s="1"/>
  <c r="L230" i="57" s="1"/>
  <c r="L231" i="57" s="1"/>
  <c r="L232" i="57" s="1"/>
  <c r="L233" i="57" s="1"/>
  <c r="L234" i="57" s="1"/>
  <c r="L235" i="57" s="1"/>
  <c r="L236" i="57" s="1"/>
  <c r="L237" i="57" s="1"/>
  <c r="L238" i="57" s="1"/>
  <c r="L239" i="57" s="1"/>
  <c r="L240" i="57" s="1"/>
  <c r="L241" i="57" s="1"/>
  <c r="L242" i="57" s="1"/>
  <c r="L243" i="57" s="1"/>
  <c r="L244" i="57" s="1"/>
  <c r="L245" i="57" s="1"/>
  <c r="L246" i="57" s="1"/>
  <c r="L247" i="57" s="1"/>
  <c r="L248" i="57" s="1"/>
  <c r="L249" i="57" s="1"/>
  <c r="L250" i="57" s="1"/>
  <c r="L251" i="57" s="1"/>
  <c r="L252" i="57" s="1"/>
  <c r="L253" i="57" s="1"/>
  <c r="L254" i="57" s="1"/>
  <c r="L255" i="57" s="1"/>
  <c r="L256" i="57" s="1"/>
  <c r="L257" i="57" s="1"/>
  <c r="L258" i="57" s="1"/>
  <c r="L259" i="57" s="1"/>
  <c r="L260" i="57" s="1"/>
  <c r="L261" i="57" s="1"/>
  <c r="L262" i="57" s="1"/>
  <c r="L263" i="57" s="1"/>
  <c r="L264" i="57" s="1"/>
  <c r="L265" i="57" s="1"/>
  <c r="L266" i="57" s="1"/>
  <c r="L267" i="57" s="1"/>
  <c r="L268" i="57" s="1"/>
  <c r="L269" i="57" s="1"/>
  <c r="L270" i="57" s="1"/>
  <c r="L271" i="57" s="1"/>
  <c r="L272" i="57" s="1"/>
  <c r="L273" i="57" s="1"/>
  <c r="L274" i="57" s="1"/>
  <c r="L275" i="57" s="1"/>
  <c r="L276" i="57" s="1"/>
  <c r="L277" i="57" s="1"/>
  <c r="L278" i="57" s="1"/>
  <c r="L279" i="57" s="1"/>
  <c r="L280" i="57" s="1"/>
  <c r="L281" i="57" s="1"/>
  <c r="L282" i="57" s="1"/>
  <c r="L283" i="57" s="1"/>
  <c r="L284" i="57" s="1"/>
  <c r="L285" i="57" s="1"/>
  <c r="L286" i="57" s="1"/>
  <c r="L287" i="57" s="1"/>
  <c r="L288" i="57" s="1"/>
  <c r="L289" i="57" s="1"/>
  <c r="L290" i="57" s="1"/>
  <c r="L291" i="57" s="1"/>
  <c r="L292" i="57" s="1"/>
  <c r="L293" i="57" s="1"/>
  <c r="L294" i="57" s="1"/>
  <c r="L295" i="57" s="1"/>
  <c r="L296" i="57" s="1"/>
  <c r="L297" i="57" s="1"/>
  <c r="L298" i="57" s="1"/>
  <c r="L299" i="57" s="1"/>
  <c r="L300" i="57" s="1"/>
  <c r="L301" i="57" s="1"/>
  <c r="L302" i="57" s="1"/>
  <c r="L303" i="57" s="1"/>
  <c r="L304" i="57" s="1"/>
  <c r="L305" i="57" s="1"/>
  <c r="L306" i="57" s="1"/>
  <c r="L307" i="57" s="1"/>
  <c r="L308" i="57" s="1"/>
  <c r="L309" i="57" s="1"/>
  <c r="L310" i="57" s="1"/>
  <c r="L311" i="57" s="1"/>
  <c r="L312" i="57" s="1"/>
  <c r="L313" i="57" s="1"/>
  <c r="L314" i="57" s="1"/>
  <c r="L315" i="57" s="1"/>
  <c r="L316" i="57" s="1"/>
  <c r="L317" i="57" s="1"/>
  <c r="L318" i="57" s="1"/>
  <c r="L319" i="57" s="1"/>
  <c r="L320" i="57" s="1"/>
  <c r="L321" i="57" s="1"/>
  <c r="L322" i="57" s="1"/>
  <c r="L323" i="57" s="1"/>
  <c r="L324" i="57" s="1"/>
  <c r="L325" i="57" s="1"/>
  <c r="L326" i="57" s="1"/>
  <c r="L327" i="57" s="1"/>
  <c r="L328" i="57" s="1"/>
  <c r="L329" i="57" s="1"/>
  <c r="L330" i="57" s="1"/>
  <c r="L331" i="57" s="1"/>
  <c r="L332" i="57" s="1"/>
  <c r="L333" i="57" s="1"/>
  <c r="L334" i="57" s="1"/>
  <c r="L335" i="57" s="1"/>
  <c r="L336" i="57" s="1"/>
  <c r="L337" i="57" s="1"/>
  <c r="L338" i="57" s="1"/>
  <c r="L339" i="57" s="1"/>
  <c r="L340" i="57" s="1"/>
  <c r="L341" i="57" s="1"/>
  <c r="M27" i="58"/>
  <c r="M28" i="58" s="1"/>
  <c r="M29" i="58" s="1"/>
  <c r="M30" i="58" s="1"/>
  <c r="M31" i="58" s="1"/>
  <c r="M32" i="58" s="1"/>
  <c r="M33" i="58" l="1"/>
  <c r="M34" i="58" s="1"/>
  <c r="M35" i="58" s="1"/>
  <c r="M36" i="58" s="1"/>
  <c r="M37" i="58" s="1"/>
  <c r="M38" i="58" s="1"/>
  <c r="M39" i="58" s="1"/>
  <c r="M40" i="58" s="1"/>
  <c r="M41" i="58" s="1"/>
  <c r="M42" i="58" s="1"/>
  <c r="M43" i="58" s="1"/>
  <c r="M44" i="58" s="1"/>
  <c r="M45" i="58" s="1"/>
  <c r="M63" i="59"/>
  <c r="M64" i="59" s="1"/>
  <c r="M65" i="59" s="1"/>
  <c r="M66" i="59" s="1"/>
  <c r="M67" i="59" s="1"/>
  <c r="M68" i="59" s="1"/>
  <c r="M69" i="59" s="1"/>
  <c r="M70" i="59" s="1"/>
  <c r="M46" i="58" l="1"/>
  <c r="M47" i="58" s="1"/>
  <c r="M48" i="58" s="1"/>
  <c r="M49" i="58" s="1"/>
  <c r="M50" i="58" s="1"/>
  <c r="M51" i="58" s="1"/>
  <c r="M52" i="58" s="1"/>
  <c r="M53" i="58" s="1"/>
  <c r="M54" i="58" s="1"/>
  <c r="M55" i="58" s="1"/>
  <c r="M56" i="58" s="1"/>
  <c r="M57" i="58" s="1"/>
  <c r="M58" i="58" s="1"/>
  <c r="M59" i="58" s="1"/>
  <c r="M60" i="58" s="1"/>
  <c r="M61" i="58" s="1"/>
  <c r="M62" i="58" s="1"/>
  <c r="M63" i="58" s="1"/>
  <c r="M64" i="58" s="1"/>
  <c r="M65" i="58" s="1"/>
  <c r="M66" i="58" s="1"/>
  <c r="M67" i="58" s="1"/>
  <c r="M68" i="58" s="1"/>
  <c r="M69" i="58" s="1"/>
  <c r="M70" i="58" s="1"/>
  <c r="M71" i="58" s="1"/>
  <c r="M72" i="58" s="1"/>
  <c r="M73" i="58" s="1"/>
  <c r="M74" i="58" s="1"/>
  <c r="M75" i="58" s="1"/>
  <c r="M76" i="58" s="1"/>
  <c r="M77" i="58" s="1"/>
  <c r="M78" i="58" s="1"/>
  <c r="M79" i="58" s="1"/>
  <c r="M80" i="58" s="1"/>
  <c r="M81" i="58" s="1"/>
  <c r="M82" i="58" s="1"/>
  <c r="M83" i="58" s="1"/>
  <c r="M84" i="58" s="1"/>
  <c r="M85" i="58" s="1"/>
  <c r="M86" i="58" s="1"/>
  <c r="M87" i="58" s="1"/>
  <c r="M88" i="58" s="1"/>
  <c r="M89" i="58" s="1"/>
  <c r="M90" i="58" s="1"/>
  <c r="M91" i="58" s="1"/>
  <c r="M92" i="58" s="1"/>
  <c r="M93" i="58" s="1"/>
  <c r="M94" i="58" s="1"/>
  <c r="M95" i="58" s="1"/>
  <c r="M96" i="58" s="1"/>
  <c r="M97" i="58" s="1"/>
  <c r="M98" i="58" s="1"/>
  <c r="M99" i="58" s="1"/>
  <c r="M100" i="58" s="1"/>
  <c r="M101" i="58" s="1"/>
  <c r="M102" i="58" s="1"/>
  <c r="M103" i="58" s="1"/>
  <c r="M104" i="58" s="1"/>
  <c r="M105" i="58" s="1"/>
  <c r="M106" i="58" s="1"/>
  <c r="M107" i="58" s="1"/>
  <c r="M108" i="58" s="1"/>
  <c r="M109" i="58" s="1"/>
  <c r="M110" i="58" s="1"/>
  <c r="M111" i="58" s="1"/>
  <c r="M112" i="58" s="1"/>
  <c r="M113" i="58" s="1"/>
  <c r="M114" i="58" s="1"/>
  <c r="M115" i="58" s="1"/>
  <c r="M116" i="58" s="1"/>
  <c r="M117" i="58" s="1"/>
  <c r="M118" i="58" s="1"/>
  <c r="M119" i="58" s="1"/>
  <c r="M120" i="58" s="1"/>
  <c r="M121" i="58" s="1"/>
  <c r="M122" i="58" s="1"/>
  <c r="M123" i="58" s="1"/>
  <c r="M124" i="58" s="1"/>
  <c r="M125" i="58" s="1"/>
  <c r="M126" i="58" s="1"/>
  <c r="M127" i="58" s="1"/>
  <c r="M128" i="58" s="1"/>
  <c r="M129" i="58" s="1"/>
  <c r="M130" i="58" s="1"/>
  <c r="M131" i="58" s="1"/>
  <c r="M132" i="58" s="1"/>
  <c r="M133" i="58" s="1"/>
  <c r="M134" i="58" s="1"/>
  <c r="M135" i="58" s="1"/>
  <c r="M136" i="58" s="1"/>
  <c r="M137" i="58" s="1"/>
  <c r="M138" i="58" s="1"/>
  <c r="M139" i="58" s="1"/>
  <c r="M140" i="58" s="1"/>
  <c r="M141" i="58" s="1"/>
  <c r="M142" i="58" s="1"/>
  <c r="M143" i="58" s="1"/>
  <c r="M144" i="58" s="1"/>
  <c r="M145" i="58" s="1"/>
  <c r="M146" i="58" s="1"/>
  <c r="M147" i="58" s="1"/>
  <c r="M148" i="58" s="1"/>
  <c r="M149" i="58" s="1"/>
  <c r="M150" i="58" s="1"/>
  <c r="M151" i="58" s="1"/>
  <c r="M152" i="58" s="1"/>
  <c r="M153" i="58" s="1"/>
  <c r="M154" i="58" s="1"/>
  <c r="M155" i="58" s="1"/>
  <c r="M156" i="58" s="1"/>
  <c r="M157" i="58" s="1"/>
  <c r="M158" i="58" s="1"/>
  <c r="M159" i="58" s="1"/>
  <c r="M160" i="58" s="1"/>
  <c r="M161" i="58" s="1"/>
  <c r="M162" i="58" s="1"/>
  <c r="M163" i="58" s="1"/>
  <c r="M164" i="58" s="1"/>
  <c r="M165" i="58" s="1"/>
  <c r="M166" i="58" s="1"/>
  <c r="M167" i="58" s="1"/>
  <c r="M168" i="58" s="1"/>
  <c r="M169" i="58" s="1"/>
  <c r="M170" i="58" s="1"/>
  <c r="M171" i="58" s="1"/>
  <c r="M172" i="58" s="1"/>
  <c r="M173" i="58" s="1"/>
  <c r="M174" i="58" s="1"/>
  <c r="M175" i="58" s="1"/>
  <c r="M176" i="58" s="1"/>
  <c r="M177" i="58" s="1"/>
  <c r="M178" i="58" s="1"/>
  <c r="M179" i="58" s="1"/>
  <c r="M180" i="58" s="1"/>
  <c r="M181" i="58" s="1"/>
  <c r="M182" i="58" s="1"/>
  <c r="M183" i="58" s="1"/>
  <c r="M184" i="58" s="1"/>
  <c r="M185" i="58" s="1"/>
  <c r="M186" i="58" s="1"/>
  <c r="M187" i="58" s="1"/>
  <c r="M188" i="58" s="1"/>
  <c r="M189" i="58" s="1"/>
  <c r="M190" i="58" s="1"/>
  <c r="M191" i="58" s="1"/>
  <c r="M192" i="58" s="1"/>
  <c r="M193" i="58" s="1"/>
  <c r="M194" i="58" s="1"/>
  <c r="M195" i="58" s="1"/>
  <c r="M196" i="58" s="1"/>
  <c r="M197" i="58" s="1"/>
  <c r="M198" i="58" s="1"/>
  <c r="M199" i="58" s="1"/>
  <c r="M200" i="58" s="1"/>
  <c r="M201" i="58" s="1"/>
  <c r="M202" i="58" s="1"/>
  <c r="M203" i="58" s="1"/>
  <c r="M204" i="58" s="1"/>
  <c r="M205" i="58" s="1"/>
  <c r="M206" i="58" s="1"/>
  <c r="M207" i="58" s="1"/>
  <c r="M208" i="58" s="1"/>
  <c r="M209" i="58" s="1"/>
  <c r="M210" i="58" s="1"/>
  <c r="M211" i="58" s="1"/>
  <c r="M212" i="58" s="1"/>
  <c r="M213" i="58" s="1"/>
  <c r="M214" i="58" s="1"/>
  <c r="M215" i="58" s="1"/>
  <c r="M216" i="58" s="1"/>
  <c r="M217" i="58" s="1"/>
  <c r="M218" i="58" s="1"/>
  <c r="M219" i="58" s="1"/>
  <c r="M220" i="58" s="1"/>
  <c r="M221" i="58" s="1"/>
  <c r="M222" i="58" s="1"/>
  <c r="M223" i="58" s="1"/>
  <c r="M224" i="58" s="1"/>
  <c r="M225" i="58" s="1"/>
  <c r="M226" i="58" s="1"/>
  <c r="M227" i="58" s="1"/>
  <c r="M228" i="58" s="1"/>
  <c r="M229" i="58" s="1"/>
  <c r="M230" i="58" s="1"/>
  <c r="M231" i="58" s="1"/>
  <c r="M232" i="58" s="1"/>
  <c r="M233" i="58" s="1"/>
  <c r="M234" i="58" s="1"/>
  <c r="M235" i="58" s="1"/>
  <c r="M236" i="58" s="1"/>
  <c r="M237" i="58" s="1"/>
  <c r="M238" i="58" s="1"/>
  <c r="M239" i="58" s="1"/>
  <c r="M240" i="58" s="1"/>
  <c r="M241" i="58" s="1"/>
  <c r="M242" i="58" s="1"/>
  <c r="M243" i="58" s="1"/>
  <c r="M244" i="58" s="1"/>
  <c r="M245" i="58" s="1"/>
  <c r="M246" i="58" s="1"/>
  <c r="M247" i="58" s="1"/>
  <c r="M248" i="58" s="1"/>
  <c r="M249" i="58" s="1"/>
  <c r="M250" i="58" s="1"/>
  <c r="M251" i="58" s="1"/>
  <c r="M252" i="58" s="1"/>
  <c r="M253" i="58" s="1"/>
  <c r="M254" i="58" s="1"/>
  <c r="M255" i="58" s="1"/>
  <c r="M256" i="58" s="1"/>
  <c r="M257" i="58" s="1"/>
  <c r="M258" i="58" s="1"/>
  <c r="M259" i="58" s="1"/>
  <c r="M260" i="58" s="1"/>
  <c r="M261" i="58" s="1"/>
  <c r="M262" i="58" s="1"/>
  <c r="M263" i="58" s="1"/>
  <c r="M264" i="58" s="1"/>
  <c r="M265" i="58" s="1"/>
  <c r="M266" i="58" s="1"/>
  <c r="M267" i="58" s="1"/>
  <c r="M268" i="58" s="1"/>
  <c r="M269" i="58" s="1"/>
  <c r="M270" i="58" s="1"/>
  <c r="M271" i="58" s="1"/>
  <c r="M272" i="58" s="1"/>
  <c r="M273" i="58" s="1"/>
  <c r="M274" i="58" s="1"/>
  <c r="M275" i="58" s="1"/>
  <c r="M276" i="58" s="1"/>
  <c r="M277" i="58" s="1"/>
  <c r="M278" i="58" s="1"/>
  <c r="M279" i="58" s="1"/>
  <c r="M280" i="58" s="1"/>
  <c r="M281" i="58" s="1"/>
  <c r="M282" i="58" s="1"/>
  <c r="M283" i="58" s="1"/>
  <c r="M284" i="58" s="1"/>
  <c r="M285" i="58" s="1"/>
  <c r="M286" i="58" s="1"/>
  <c r="M287" i="58" s="1"/>
  <c r="M288" i="58" s="1"/>
  <c r="M289" i="58" s="1"/>
  <c r="M290" i="58" s="1"/>
  <c r="M291" i="58" s="1"/>
  <c r="M292" i="58" s="1"/>
  <c r="M293" i="58" s="1"/>
  <c r="M294" i="58" s="1"/>
  <c r="M295" i="58" s="1"/>
  <c r="M296" i="58" s="1"/>
  <c r="M297" i="58" s="1"/>
  <c r="M298" i="58" s="1"/>
  <c r="M299" i="58" s="1"/>
  <c r="M300" i="58" s="1"/>
  <c r="M301" i="58" s="1"/>
  <c r="M302" i="58" s="1"/>
  <c r="M303" i="58" s="1"/>
  <c r="M304" i="58" s="1"/>
  <c r="M305" i="58" s="1"/>
  <c r="M306" i="58" s="1"/>
  <c r="M307" i="58" s="1"/>
  <c r="M308" i="58" s="1"/>
  <c r="M309" i="58" s="1"/>
  <c r="M310" i="58" s="1"/>
  <c r="M311" i="58" s="1"/>
  <c r="M312" i="58" s="1"/>
  <c r="M313" i="58" s="1"/>
  <c r="M314" i="58" s="1"/>
  <c r="M315" i="58" s="1"/>
  <c r="M316" i="58" s="1"/>
  <c r="M317" i="58" s="1"/>
  <c r="M318" i="58" s="1"/>
  <c r="M319" i="58" s="1"/>
  <c r="M320" i="58" s="1"/>
  <c r="M321" i="58" s="1"/>
  <c r="M322" i="58" s="1"/>
  <c r="M323" i="58" s="1"/>
  <c r="M324" i="58" s="1"/>
  <c r="M325" i="58" s="1"/>
  <c r="M326" i="58" s="1"/>
  <c r="M327" i="58" s="1"/>
  <c r="M328" i="58" s="1"/>
  <c r="M329" i="58" s="1"/>
  <c r="M330" i="58" s="1"/>
  <c r="M331" i="58" s="1"/>
  <c r="M332" i="58" s="1"/>
  <c r="M333" i="58" s="1"/>
  <c r="M334" i="58" s="1"/>
  <c r="M335" i="58" s="1"/>
  <c r="M336" i="58" s="1"/>
  <c r="M337" i="58" s="1"/>
  <c r="M338" i="58" s="1"/>
  <c r="M339" i="58" s="1"/>
  <c r="M340" i="58" s="1"/>
  <c r="M341" i="58" s="1"/>
  <c r="M342" i="58" s="1"/>
  <c r="M75" i="59" l="1"/>
  <c r="M76" i="59" s="1"/>
  <c r="M77" i="59" l="1"/>
  <c r="M78" i="59" s="1"/>
  <c r="M79" i="59" s="1"/>
  <c r="M80" i="59" s="1"/>
  <c r="M81" i="59" s="1"/>
  <c r="M82" i="59" s="1"/>
  <c r="M83" i="59" l="1"/>
  <c r="M84" i="59" s="1"/>
  <c r="M85" i="59" s="1"/>
  <c r="M86" i="59" s="1"/>
  <c r="M87" i="59" s="1"/>
  <c r="M88" i="59" s="1"/>
  <c r="M89" i="59" s="1"/>
  <c r="M90" i="59" s="1"/>
  <c r="M91" i="59" s="1"/>
  <c r="M92" i="59" s="1"/>
  <c r="M93" i="59" s="1"/>
  <c r="M94" i="59" s="1"/>
  <c r="M95" i="59" s="1"/>
  <c r="M96" i="59" s="1"/>
  <c r="L11" i="19" l="1"/>
  <c r="M97" i="59"/>
  <c r="M98" i="59" s="1"/>
  <c r="M99" i="59" s="1"/>
  <c r="M100" i="59" s="1"/>
  <c r="I177" i="46"/>
  <c r="K177" i="46" s="1"/>
  <c r="I178" i="46"/>
  <c r="K178" i="46" s="1"/>
  <c r="I179" i="46"/>
  <c r="K179" i="46" s="1"/>
  <c r="I180" i="46"/>
  <c r="K180" i="46" s="1"/>
  <c r="I181" i="46"/>
  <c r="K181" i="46" s="1"/>
  <c r="I182" i="46"/>
  <c r="K182" i="46" s="1"/>
  <c r="I183" i="46"/>
  <c r="K183" i="46" s="1"/>
  <c r="I184" i="46"/>
  <c r="K184" i="46" s="1"/>
  <c r="I185" i="46"/>
  <c r="K185" i="46" s="1"/>
  <c r="I186" i="46"/>
  <c r="K186" i="46" s="1"/>
  <c r="I187" i="46"/>
  <c r="K187" i="46" s="1"/>
  <c r="I188" i="46"/>
  <c r="K188" i="46" s="1"/>
  <c r="I189" i="46"/>
  <c r="K189" i="46" s="1"/>
  <c r="I190" i="46"/>
  <c r="K190" i="46" s="1"/>
  <c r="I191" i="46"/>
  <c r="K191" i="46" s="1"/>
  <c r="I192" i="46"/>
  <c r="K192" i="46" s="1"/>
  <c r="I193" i="46"/>
  <c r="K193" i="46" s="1"/>
  <c r="I194" i="46"/>
  <c r="K194" i="46" s="1"/>
  <c r="I195" i="46"/>
  <c r="K195" i="46" s="1"/>
  <c r="I196" i="46"/>
  <c r="K196" i="46" s="1"/>
  <c r="I197" i="46"/>
  <c r="K197" i="46" s="1"/>
  <c r="I198" i="46"/>
  <c r="K198" i="46" s="1"/>
  <c r="I199" i="46"/>
  <c r="K199" i="46" s="1"/>
  <c r="I200" i="46"/>
  <c r="K200" i="46" s="1"/>
  <c r="I201" i="46"/>
  <c r="K201" i="46" s="1"/>
  <c r="I202" i="46"/>
  <c r="K202" i="46" s="1"/>
  <c r="I203" i="46"/>
  <c r="K203" i="46" s="1"/>
  <c r="I204" i="46"/>
  <c r="K204" i="46" s="1"/>
  <c r="I205" i="46"/>
  <c r="K205" i="46" s="1"/>
  <c r="I206" i="46"/>
  <c r="K206" i="46" s="1"/>
  <c r="I207" i="46"/>
  <c r="K207" i="46" s="1"/>
  <c r="I208" i="46"/>
  <c r="K208" i="46" s="1"/>
  <c r="I209" i="46"/>
  <c r="K209" i="46" s="1"/>
  <c r="I210" i="46"/>
  <c r="K210" i="46" s="1"/>
  <c r="I211" i="46"/>
  <c r="K211" i="46" s="1"/>
  <c r="I212" i="46"/>
  <c r="K212" i="46" s="1"/>
  <c r="I213" i="46"/>
  <c r="K213" i="46" s="1"/>
  <c r="I214" i="46"/>
  <c r="K214" i="46" s="1"/>
  <c r="I215" i="46"/>
  <c r="K215" i="46" s="1"/>
  <c r="I216" i="46"/>
  <c r="K216" i="46" s="1"/>
  <c r="I217" i="46"/>
  <c r="K217" i="46" s="1"/>
  <c r="I218" i="46"/>
  <c r="K218" i="46" s="1"/>
  <c r="I219" i="46"/>
  <c r="K219" i="46" s="1"/>
  <c r="I220" i="46"/>
  <c r="K220" i="46" s="1"/>
  <c r="I221" i="46"/>
  <c r="K221" i="46" s="1"/>
  <c r="I222" i="46"/>
  <c r="K222" i="46" s="1"/>
  <c r="I223" i="46"/>
  <c r="K223" i="46" s="1"/>
  <c r="I224" i="46"/>
  <c r="K224" i="46" s="1"/>
  <c r="I225" i="46"/>
  <c r="K225" i="46" s="1"/>
  <c r="I226" i="46"/>
  <c r="K226" i="46" s="1"/>
  <c r="I227" i="46"/>
  <c r="K227" i="46" s="1"/>
  <c r="I228" i="46"/>
  <c r="K228" i="46" s="1"/>
  <c r="I229" i="46"/>
  <c r="K229" i="46" s="1"/>
  <c r="I230" i="46"/>
  <c r="K230" i="46" s="1"/>
  <c r="I231" i="46"/>
  <c r="K231" i="46" s="1"/>
  <c r="I232" i="46"/>
  <c r="K232" i="46" s="1"/>
  <c r="I233" i="46"/>
  <c r="K233" i="46" s="1"/>
  <c r="I234" i="46"/>
  <c r="K234" i="46" s="1"/>
  <c r="I235" i="46"/>
  <c r="K235" i="46" s="1"/>
  <c r="I236" i="46"/>
  <c r="K236" i="46" s="1"/>
  <c r="I237" i="46"/>
  <c r="K237" i="46" s="1"/>
  <c r="I238" i="46"/>
  <c r="K238" i="46" s="1"/>
  <c r="I239" i="46"/>
  <c r="K239" i="46" s="1"/>
  <c r="I240" i="46"/>
  <c r="K240" i="46" s="1"/>
  <c r="I241" i="46"/>
  <c r="K241" i="46" s="1"/>
  <c r="I242" i="46"/>
  <c r="K242" i="46" s="1"/>
  <c r="I243" i="46"/>
  <c r="K243" i="46" s="1"/>
  <c r="I244" i="46"/>
  <c r="K244" i="46" s="1"/>
  <c r="I245" i="46"/>
  <c r="K245" i="46" s="1"/>
  <c r="I246" i="46"/>
  <c r="K246" i="46" s="1"/>
  <c r="I247" i="46"/>
  <c r="K247" i="46" s="1"/>
  <c r="I248" i="46"/>
  <c r="K248" i="46" s="1"/>
  <c r="I249" i="46"/>
  <c r="K249" i="46" s="1"/>
  <c r="I250" i="46"/>
  <c r="K250" i="46" s="1"/>
  <c r="I251" i="46"/>
  <c r="K251" i="46" s="1"/>
  <c r="I252" i="46"/>
  <c r="K252" i="46" s="1"/>
  <c r="I253" i="46"/>
  <c r="K253" i="46" s="1"/>
  <c r="I254" i="46"/>
  <c r="K254" i="46" s="1"/>
  <c r="I255" i="46"/>
  <c r="K255" i="46" s="1"/>
  <c r="I256" i="46"/>
  <c r="K256" i="46" s="1"/>
  <c r="I257" i="46"/>
  <c r="K257" i="46" s="1"/>
  <c r="I258" i="46"/>
  <c r="K258" i="46" s="1"/>
  <c r="I259" i="46"/>
  <c r="K259" i="46" s="1"/>
  <c r="I260" i="46"/>
  <c r="K260" i="46" s="1"/>
  <c r="I261" i="46"/>
  <c r="K261" i="46" s="1"/>
  <c r="I262" i="46"/>
  <c r="K262" i="46" s="1"/>
  <c r="I263" i="46"/>
  <c r="K263" i="46" s="1"/>
  <c r="I264" i="46"/>
  <c r="K264" i="46" s="1"/>
  <c r="I265" i="46"/>
  <c r="K265" i="46" s="1"/>
  <c r="I266" i="46"/>
  <c r="K266" i="46" s="1"/>
  <c r="I267" i="46"/>
  <c r="K267" i="46" s="1"/>
  <c r="I268" i="46"/>
  <c r="K268" i="46" s="1"/>
  <c r="I269" i="46"/>
  <c r="K269" i="46" s="1"/>
  <c r="I270" i="46"/>
  <c r="K270" i="46" s="1"/>
  <c r="I271" i="46"/>
  <c r="K271" i="46" s="1"/>
  <c r="I272" i="46"/>
  <c r="K272" i="46" s="1"/>
  <c r="I273" i="46"/>
  <c r="K273" i="46" s="1"/>
  <c r="I274" i="46"/>
  <c r="K274" i="46" s="1"/>
  <c r="I275" i="46"/>
  <c r="K275" i="46" s="1"/>
  <c r="I276" i="46"/>
  <c r="K276" i="46" s="1"/>
  <c r="I277" i="46"/>
  <c r="K277" i="46" s="1"/>
  <c r="I278" i="46"/>
  <c r="K278" i="46" s="1"/>
  <c r="I279" i="46"/>
  <c r="K279" i="46" s="1"/>
  <c r="I280" i="46"/>
  <c r="K280" i="46" s="1"/>
  <c r="I281" i="46"/>
  <c r="K281" i="46" s="1"/>
  <c r="I282" i="46"/>
  <c r="K282" i="46" s="1"/>
  <c r="I283" i="46"/>
  <c r="K283" i="46" s="1"/>
  <c r="I284" i="46"/>
  <c r="K284" i="46" s="1"/>
  <c r="I285" i="46"/>
  <c r="K285" i="46" s="1"/>
  <c r="I286" i="46"/>
  <c r="K286" i="46" s="1"/>
  <c r="I287" i="46"/>
  <c r="K287" i="46" s="1"/>
  <c r="I288" i="46"/>
  <c r="K288" i="46" s="1"/>
  <c r="I289" i="46"/>
  <c r="K289" i="46" s="1"/>
  <c r="I290" i="46"/>
  <c r="K290" i="46" s="1"/>
  <c r="I291" i="46"/>
  <c r="K291" i="46" s="1"/>
  <c r="I292" i="46"/>
  <c r="K292" i="46" s="1"/>
  <c r="I293" i="46"/>
  <c r="K293" i="46" s="1"/>
  <c r="I294" i="46"/>
  <c r="K294" i="46" s="1"/>
  <c r="I295" i="46"/>
  <c r="K295" i="46" s="1"/>
  <c r="I296" i="46"/>
  <c r="K296" i="46" s="1"/>
  <c r="I297" i="46"/>
  <c r="K297" i="46" s="1"/>
  <c r="I298" i="46"/>
  <c r="K298" i="46" s="1"/>
  <c r="I299" i="46"/>
  <c r="K299" i="46" s="1"/>
  <c r="I300" i="46"/>
  <c r="K300" i="46" s="1"/>
  <c r="I301" i="46"/>
  <c r="K301" i="46" s="1"/>
  <c r="I302" i="46"/>
  <c r="K302" i="46" s="1"/>
  <c r="I303" i="46"/>
  <c r="K303" i="46" s="1"/>
  <c r="I304" i="46"/>
  <c r="K304" i="46" s="1"/>
  <c r="I305" i="46"/>
  <c r="K305" i="46" s="1"/>
  <c r="I306" i="46"/>
  <c r="K306" i="46" s="1"/>
  <c r="I307" i="46"/>
  <c r="K307" i="46" s="1"/>
  <c r="I308" i="46"/>
  <c r="K308" i="46" s="1"/>
  <c r="I309" i="46"/>
  <c r="K309" i="46" s="1"/>
  <c r="I310" i="46"/>
  <c r="K310" i="46" s="1"/>
  <c r="I311" i="46"/>
  <c r="K311" i="46" s="1"/>
  <c r="I312" i="46"/>
  <c r="K312" i="46" s="1"/>
  <c r="I313" i="46"/>
  <c r="K313" i="46" s="1"/>
  <c r="I314" i="46"/>
  <c r="K314" i="46" s="1"/>
  <c r="I315" i="46"/>
  <c r="K315" i="46" s="1"/>
  <c r="I316" i="46"/>
  <c r="K316" i="46" s="1"/>
  <c r="I317" i="46"/>
  <c r="K317" i="46" s="1"/>
  <c r="I318" i="46"/>
  <c r="K318" i="46" s="1"/>
  <c r="I319" i="46"/>
  <c r="K319" i="46" s="1"/>
  <c r="I320" i="46"/>
  <c r="K320" i="46" s="1"/>
  <c r="I321" i="46"/>
  <c r="K321" i="46" s="1"/>
  <c r="I322" i="46"/>
  <c r="K322" i="46" s="1"/>
  <c r="I323" i="46"/>
  <c r="K323" i="46" s="1"/>
  <c r="I324" i="46"/>
  <c r="K324" i="46" s="1"/>
  <c r="I325" i="46"/>
  <c r="K325" i="46" s="1"/>
  <c r="I326" i="46"/>
  <c r="K326" i="46" s="1"/>
  <c r="I327" i="46"/>
  <c r="K327" i="46" s="1"/>
  <c r="I328" i="46"/>
  <c r="K328" i="46" s="1"/>
  <c r="I329" i="46"/>
  <c r="K329" i="46" s="1"/>
  <c r="I330" i="46"/>
  <c r="K330" i="46" s="1"/>
  <c r="I331" i="46"/>
  <c r="K331" i="46" s="1"/>
  <c r="I332" i="46"/>
  <c r="K332" i="46" s="1"/>
  <c r="I333" i="46"/>
  <c r="K333" i="46" s="1"/>
  <c r="I334" i="46"/>
  <c r="K334" i="46" s="1"/>
  <c r="I335" i="46"/>
  <c r="K335" i="46" s="1"/>
  <c r="I336" i="46"/>
  <c r="K336" i="46" s="1"/>
  <c r="I337" i="46"/>
  <c r="K337" i="46" s="1"/>
  <c r="I338" i="46"/>
  <c r="K338" i="46" s="1"/>
  <c r="I339" i="46"/>
  <c r="K339" i="46" s="1"/>
  <c r="I340" i="46"/>
  <c r="K340" i="46" s="1"/>
  <c r="M101" i="59" l="1"/>
  <c r="M102" i="59" s="1"/>
  <c r="M103" i="59" s="1"/>
  <c r="M104" i="59" s="1"/>
  <c r="M105" i="59" l="1"/>
  <c r="M106" i="59" s="1"/>
  <c r="M107" i="59" s="1"/>
  <c r="M108" i="59" s="1"/>
  <c r="M109" i="59" s="1"/>
  <c r="M110" i="59" s="1"/>
  <c r="M111" i="59" s="1"/>
  <c r="M112" i="59" s="1"/>
  <c r="M113" i="59" s="1"/>
  <c r="M114" i="59" s="1"/>
  <c r="M115" i="59" s="1"/>
  <c r="M116" i="59" s="1"/>
  <c r="M117" i="59" s="1"/>
  <c r="M118" i="59" s="1"/>
  <c r="M119" i="59" s="1"/>
  <c r="M120" i="59" s="1"/>
  <c r="M121" i="59" s="1"/>
  <c r="M122" i="59" s="1"/>
  <c r="M123" i="59" s="1"/>
  <c r="M124" i="59" s="1"/>
  <c r="M125" i="59" s="1"/>
  <c r="M126" i="59" s="1"/>
  <c r="M127" i="59" s="1"/>
  <c r="M128" i="59" s="1"/>
  <c r="M129" i="59" s="1"/>
  <c r="M130" i="59" s="1"/>
  <c r="M131" i="59" s="1"/>
  <c r="M132" i="59" s="1"/>
  <c r="M133" i="59" s="1"/>
  <c r="M134" i="59" s="1"/>
  <c r="M135" i="59" s="1"/>
  <c r="M136" i="59" s="1"/>
  <c r="M137" i="59" s="1"/>
  <c r="M138" i="59" s="1"/>
  <c r="M139" i="59" s="1"/>
  <c r="M140" i="59" s="1"/>
  <c r="M141" i="59" s="1"/>
  <c r="M142" i="59" s="1"/>
  <c r="M143" i="59" s="1"/>
  <c r="M144" i="59" s="1"/>
  <c r="M145" i="59" s="1"/>
  <c r="M146" i="59" s="1"/>
  <c r="M147" i="59" s="1"/>
  <c r="M148" i="59" s="1"/>
  <c r="M149" i="59" s="1"/>
  <c r="M150" i="59" s="1"/>
  <c r="M151" i="59" s="1"/>
  <c r="M152" i="59" s="1"/>
  <c r="M153" i="59" s="1"/>
  <c r="M154" i="59" s="1"/>
  <c r="M155" i="59" s="1"/>
  <c r="M156" i="59" s="1"/>
  <c r="M157" i="59" s="1"/>
  <c r="M158" i="59" s="1"/>
  <c r="M159" i="59" s="1"/>
  <c r="M160" i="59" s="1"/>
  <c r="M161" i="59" s="1"/>
  <c r="M162" i="59" s="1"/>
  <c r="M163" i="59" s="1"/>
  <c r="M164" i="59" s="1"/>
  <c r="M165" i="59" s="1"/>
  <c r="M166" i="59" s="1"/>
  <c r="M167" i="59" s="1"/>
  <c r="M168" i="59" s="1"/>
  <c r="M169" i="59" s="1"/>
  <c r="M170" i="59" s="1"/>
  <c r="M171" i="59" s="1"/>
  <c r="M172" i="59" s="1"/>
  <c r="M173" i="59" s="1"/>
  <c r="M174" i="59" s="1"/>
  <c r="M175" i="59" s="1"/>
  <c r="M176" i="59" s="1"/>
  <c r="M177" i="59" s="1"/>
  <c r="M178" i="59" s="1"/>
  <c r="M179" i="59" s="1"/>
  <c r="M180" i="59" s="1"/>
  <c r="M181" i="59" s="1"/>
  <c r="M182" i="59" s="1"/>
  <c r="M183" i="59" s="1"/>
  <c r="M184" i="59" s="1"/>
  <c r="M185" i="59" s="1"/>
  <c r="M186" i="59" s="1"/>
  <c r="M187" i="59" s="1"/>
  <c r="M188" i="59" s="1"/>
  <c r="M189" i="59" s="1"/>
  <c r="M190" i="59" s="1"/>
  <c r="M191" i="59" s="1"/>
  <c r="M192" i="59" s="1"/>
  <c r="M193" i="59" s="1"/>
  <c r="M194" i="59" s="1"/>
  <c r="M195" i="59" s="1"/>
  <c r="M196" i="59" s="1"/>
  <c r="M197" i="59" s="1"/>
  <c r="M198" i="59" s="1"/>
  <c r="M199" i="59" s="1"/>
  <c r="M200" i="59" s="1"/>
  <c r="M201" i="59" s="1"/>
  <c r="M202" i="59" s="1"/>
  <c r="M203" i="59" s="1"/>
  <c r="M204" i="59" s="1"/>
  <c r="M205" i="59" s="1"/>
  <c r="M206" i="59" s="1"/>
  <c r="M207" i="59" s="1"/>
  <c r="M208" i="59" s="1"/>
  <c r="M209" i="59" s="1"/>
  <c r="M210" i="59" s="1"/>
  <c r="M211" i="59" s="1"/>
  <c r="M212" i="59" s="1"/>
  <c r="M213" i="59" s="1"/>
  <c r="M214" i="59" s="1"/>
  <c r="M215" i="59" s="1"/>
  <c r="M216" i="59" s="1"/>
  <c r="M217" i="59" s="1"/>
  <c r="M218" i="59" s="1"/>
  <c r="M219" i="59" s="1"/>
  <c r="M220" i="59" s="1"/>
  <c r="M221" i="59" s="1"/>
  <c r="M222" i="59" s="1"/>
  <c r="M223" i="59" s="1"/>
  <c r="M224" i="59" s="1"/>
  <c r="M225" i="59" s="1"/>
  <c r="M226" i="59" s="1"/>
  <c r="M227" i="59" s="1"/>
  <c r="M228" i="59" s="1"/>
  <c r="M229" i="59" s="1"/>
  <c r="M230" i="59" s="1"/>
  <c r="M231" i="59" s="1"/>
  <c r="M232" i="59" s="1"/>
  <c r="M233" i="59" s="1"/>
  <c r="M234" i="59" s="1"/>
  <c r="M235" i="59" s="1"/>
  <c r="M236" i="59" s="1"/>
  <c r="M237" i="59" s="1"/>
  <c r="M238" i="59" s="1"/>
  <c r="M239" i="59" s="1"/>
  <c r="M240" i="59" s="1"/>
  <c r="M241" i="59" s="1"/>
  <c r="M242" i="59" s="1"/>
  <c r="M243" i="59" s="1"/>
  <c r="M244" i="59" s="1"/>
  <c r="M245" i="59" s="1"/>
  <c r="M246" i="59" s="1"/>
  <c r="M247" i="59" s="1"/>
  <c r="M248" i="59" s="1"/>
  <c r="M249" i="59" s="1"/>
  <c r="M250" i="59" s="1"/>
  <c r="M251" i="59" s="1"/>
  <c r="M252" i="59" s="1"/>
  <c r="M253" i="59" s="1"/>
  <c r="M254" i="59" s="1"/>
  <c r="M255" i="59" s="1"/>
  <c r="M256" i="59" s="1"/>
  <c r="M257" i="59" s="1"/>
  <c r="M258" i="59" s="1"/>
  <c r="M259" i="59" s="1"/>
  <c r="M260" i="59" s="1"/>
  <c r="M261" i="59" s="1"/>
  <c r="M262" i="59" s="1"/>
  <c r="M263" i="59" s="1"/>
  <c r="M264" i="59" s="1"/>
  <c r="M265" i="59" s="1"/>
  <c r="M266" i="59" s="1"/>
  <c r="M267" i="59" s="1"/>
  <c r="M268" i="59" s="1"/>
  <c r="M269" i="59" s="1"/>
  <c r="M270" i="59" s="1"/>
  <c r="M271" i="59" s="1"/>
  <c r="M272" i="59" s="1"/>
  <c r="M273" i="59" s="1"/>
  <c r="M274" i="59" s="1"/>
  <c r="M275" i="59" s="1"/>
  <c r="M276" i="59" s="1"/>
  <c r="M277" i="59" s="1"/>
  <c r="M278" i="59" s="1"/>
  <c r="M279" i="59" s="1"/>
  <c r="M280" i="59" s="1"/>
  <c r="M281" i="59" s="1"/>
  <c r="M282" i="59" s="1"/>
  <c r="M283" i="59" s="1"/>
  <c r="M284" i="59" s="1"/>
  <c r="M285" i="59" s="1"/>
  <c r="M286" i="59" s="1"/>
  <c r="M287" i="59" s="1"/>
  <c r="M288" i="59" s="1"/>
  <c r="M289" i="59" s="1"/>
  <c r="M290" i="59" s="1"/>
  <c r="M291" i="59" s="1"/>
  <c r="M292" i="59" s="1"/>
  <c r="M293" i="59" s="1"/>
  <c r="M294" i="59" s="1"/>
  <c r="M295" i="59" s="1"/>
  <c r="M296" i="59" s="1"/>
  <c r="M297" i="59" s="1"/>
  <c r="M298" i="59" s="1"/>
  <c r="M299" i="59" s="1"/>
  <c r="M300" i="59" s="1"/>
  <c r="M301" i="59" s="1"/>
  <c r="M302" i="59" s="1"/>
  <c r="M303" i="59" s="1"/>
  <c r="M304" i="59" s="1"/>
  <c r="M305" i="59" s="1"/>
  <c r="M306" i="59" s="1"/>
  <c r="M307" i="59" s="1"/>
  <c r="M308" i="59" s="1"/>
  <c r="M309" i="59" s="1"/>
  <c r="M310" i="59" s="1"/>
  <c r="M311" i="59" s="1"/>
  <c r="M312" i="59" s="1"/>
  <c r="M313" i="59" s="1"/>
  <c r="M314" i="59" s="1"/>
  <c r="M315" i="59" s="1"/>
  <c r="M316" i="59" s="1"/>
  <c r="M317" i="59" s="1"/>
  <c r="M318" i="59" s="1"/>
  <c r="M319" i="59" s="1"/>
  <c r="M320" i="59" s="1"/>
  <c r="M321" i="59" s="1"/>
  <c r="M322" i="59" s="1"/>
  <c r="M323" i="59" s="1"/>
  <c r="M324" i="59" s="1"/>
  <c r="M325" i="59" s="1"/>
  <c r="M326" i="59" s="1"/>
  <c r="M327" i="59" s="1"/>
  <c r="M328" i="59" s="1"/>
  <c r="M329" i="59" s="1"/>
  <c r="M330" i="59" s="1"/>
  <c r="M331" i="59" s="1"/>
  <c r="M332" i="59" s="1"/>
  <c r="M333" i="59" s="1"/>
  <c r="M334" i="59" s="1"/>
  <c r="M335" i="59" s="1"/>
  <c r="M336" i="59" s="1"/>
  <c r="M337" i="59" s="1"/>
  <c r="M338" i="59" s="1"/>
  <c r="M339" i="59" s="1"/>
  <c r="M340" i="59" s="1"/>
  <c r="M341" i="59" s="1"/>
  <c r="M342" i="59" s="1"/>
  <c r="M343" i="59" s="1"/>
  <c r="M344" i="59" s="1"/>
  <c r="M345" i="59" s="1"/>
  <c r="M346" i="59" s="1"/>
  <c r="M347" i="59" s="1"/>
  <c r="M348" i="59" s="1"/>
  <c r="M349" i="59" s="1"/>
  <c r="M350" i="59" s="1"/>
  <c r="M351" i="59" s="1"/>
  <c r="M352" i="59" s="1"/>
  <c r="M353" i="59" s="1"/>
  <c r="M354" i="59" s="1"/>
  <c r="M355" i="59" s="1"/>
  <c r="M356" i="59" s="1"/>
  <c r="M357" i="59" s="1"/>
  <c r="M358" i="59" s="1"/>
  <c r="M359" i="59" s="1"/>
  <c r="M360" i="59" s="1"/>
  <c r="M361" i="59" s="1"/>
  <c r="M362" i="59" s="1"/>
  <c r="M363" i="59" s="1"/>
  <c r="M364" i="59" s="1"/>
  <c r="M365" i="59" s="1"/>
  <c r="M366" i="59" s="1"/>
  <c r="M367" i="59" s="1"/>
  <c r="M368" i="59" s="1"/>
  <c r="M369" i="59" s="1"/>
  <c r="M370" i="59" s="1"/>
  <c r="M371" i="59" s="1"/>
  <c r="M372" i="59" s="1"/>
  <c r="M373" i="59" s="1"/>
  <c r="M374" i="59" s="1"/>
  <c r="M375" i="59" s="1"/>
  <c r="L10" i="19" l="1"/>
  <c r="K2" i="55" l="1"/>
  <c r="I339" i="55"/>
  <c r="K339" i="55" s="1"/>
  <c r="I338" i="55"/>
  <c r="K338" i="55" s="1"/>
  <c r="I337" i="55"/>
  <c r="K337" i="55" s="1"/>
  <c r="I336" i="55"/>
  <c r="K336" i="55" s="1"/>
  <c r="I335" i="55"/>
  <c r="K335" i="55" s="1"/>
  <c r="I334" i="55"/>
  <c r="K334" i="55" s="1"/>
  <c r="I333" i="55"/>
  <c r="K333" i="55" s="1"/>
  <c r="I332" i="55"/>
  <c r="K332" i="55" s="1"/>
  <c r="I331" i="55"/>
  <c r="K331" i="55" s="1"/>
  <c r="I330" i="55"/>
  <c r="K330" i="55" s="1"/>
  <c r="I329" i="55"/>
  <c r="K329" i="55" s="1"/>
  <c r="I328" i="55"/>
  <c r="K328" i="55" s="1"/>
  <c r="I327" i="55"/>
  <c r="K327" i="55" s="1"/>
  <c r="I326" i="55"/>
  <c r="K326" i="55" s="1"/>
  <c r="I325" i="55"/>
  <c r="K325" i="55" s="1"/>
  <c r="I324" i="55"/>
  <c r="K324" i="55" s="1"/>
  <c r="I323" i="55"/>
  <c r="K323" i="55" s="1"/>
  <c r="I322" i="55"/>
  <c r="K322" i="55" s="1"/>
  <c r="I321" i="55"/>
  <c r="K321" i="55" s="1"/>
  <c r="I320" i="55"/>
  <c r="K320" i="55" s="1"/>
  <c r="I319" i="55"/>
  <c r="K319" i="55" s="1"/>
  <c r="I318" i="55"/>
  <c r="K318" i="55" s="1"/>
  <c r="I317" i="55"/>
  <c r="K317" i="55" s="1"/>
  <c r="I316" i="55"/>
  <c r="K316" i="55" s="1"/>
  <c r="I315" i="55"/>
  <c r="K315" i="55" s="1"/>
  <c r="I314" i="55"/>
  <c r="K314" i="55" s="1"/>
  <c r="I313" i="55"/>
  <c r="K313" i="55" s="1"/>
  <c r="I312" i="55"/>
  <c r="K312" i="55" s="1"/>
  <c r="I311" i="55"/>
  <c r="K311" i="55" s="1"/>
  <c r="I310" i="55"/>
  <c r="K310" i="55" s="1"/>
  <c r="I309" i="55"/>
  <c r="K309" i="55" s="1"/>
  <c r="I308" i="55"/>
  <c r="K308" i="55" s="1"/>
  <c r="I307" i="55"/>
  <c r="K307" i="55" s="1"/>
  <c r="I306" i="55"/>
  <c r="K306" i="55" s="1"/>
  <c r="I305" i="55"/>
  <c r="K305" i="55" s="1"/>
  <c r="I304" i="55"/>
  <c r="K304" i="55" s="1"/>
  <c r="I303" i="55"/>
  <c r="K303" i="55" s="1"/>
  <c r="I302" i="55"/>
  <c r="K302" i="55" s="1"/>
  <c r="I301" i="55"/>
  <c r="K301" i="55" s="1"/>
  <c r="I300" i="55"/>
  <c r="K300" i="55" s="1"/>
  <c r="I299" i="55"/>
  <c r="K299" i="55" s="1"/>
  <c r="I298" i="55"/>
  <c r="K298" i="55" s="1"/>
  <c r="I297" i="55"/>
  <c r="K297" i="55" s="1"/>
  <c r="I296" i="55"/>
  <c r="K296" i="55" s="1"/>
  <c r="I295" i="55"/>
  <c r="K295" i="55" s="1"/>
  <c r="I294" i="55"/>
  <c r="K294" i="55" s="1"/>
  <c r="I293" i="55"/>
  <c r="K293" i="55" s="1"/>
  <c r="I292" i="55"/>
  <c r="K292" i="55" s="1"/>
  <c r="I291" i="55"/>
  <c r="K291" i="55" s="1"/>
  <c r="I290" i="55"/>
  <c r="K290" i="55" s="1"/>
  <c r="I289" i="55"/>
  <c r="K289" i="55" s="1"/>
  <c r="I288" i="55"/>
  <c r="K288" i="55" s="1"/>
  <c r="I287" i="55"/>
  <c r="K287" i="55" s="1"/>
  <c r="I286" i="55"/>
  <c r="K286" i="55" s="1"/>
  <c r="I285" i="55"/>
  <c r="K285" i="55" s="1"/>
  <c r="I284" i="55"/>
  <c r="K284" i="55" s="1"/>
  <c r="I283" i="55"/>
  <c r="K283" i="55" s="1"/>
  <c r="I282" i="55"/>
  <c r="K282" i="55" s="1"/>
  <c r="I281" i="55"/>
  <c r="K281" i="55" s="1"/>
  <c r="I280" i="55"/>
  <c r="K280" i="55" s="1"/>
  <c r="I279" i="55"/>
  <c r="K279" i="55" s="1"/>
  <c r="I278" i="55"/>
  <c r="K278" i="55" s="1"/>
  <c r="I277" i="55"/>
  <c r="K277" i="55" s="1"/>
  <c r="I276" i="55"/>
  <c r="K276" i="55" s="1"/>
  <c r="I275" i="55"/>
  <c r="K275" i="55" s="1"/>
  <c r="I274" i="55"/>
  <c r="K274" i="55" s="1"/>
  <c r="I273" i="55"/>
  <c r="K273" i="55" s="1"/>
  <c r="I272" i="55"/>
  <c r="K272" i="55" s="1"/>
  <c r="I271" i="55"/>
  <c r="K271" i="55" s="1"/>
  <c r="I270" i="55"/>
  <c r="K270" i="55" s="1"/>
  <c r="I269" i="55"/>
  <c r="K269" i="55" s="1"/>
  <c r="I268" i="55"/>
  <c r="K268" i="55" s="1"/>
  <c r="I267" i="55"/>
  <c r="K267" i="55" s="1"/>
  <c r="I266" i="55"/>
  <c r="K266" i="55" s="1"/>
  <c r="I265" i="55"/>
  <c r="K265" i="55" s="1"/>
  <c r="I264" i="55"/>
  <c r="K264" i="55" s="1"/>
  <c r="I263" i="55"/>
  <c r="K263" i="55" s="1"/>
  <c r="I262" i="55"/>
  <c r="K262" i="55" s="1"/>
  <c r="I261" i="55"/>
  <c r="K261" i="55" s="1"/>
  <c r="I260" i="55"/>
  <c r="K260" i="55" s="1"/>
  <c r="I259" i="55"/>
  <c r="K259" i="55" s="1"/>
  <c r="I258" i="55"/>
  <c r="K258" i="55" s="1"/>
  <c r="I257" i="55"/>
  <c r="K257" i="55" s="1"/>
  <c r="I256" i="55"/>
  <c r="K256" i="55" s="1"/>
  <c r="I255" i="55"/>
  <c r="K255" i="55" s="1"/>
  <c r="I254" i="55"/>
  <c r="K254" i="55" s="1"/>
  <c r="I253" i="55"/>
  <c r="K253" i="55" s="1"/>
  <c r="I252" i="55"/>
  <c r="K252" i="55" s="1"/>
  <c r="I251" i="55"/>
  <c r="K251" i="55" s="1"/>
  <c r="I250" i="55"/>
  <c r="K250" i="55" s="1"/>
  <c r="I249" i="55"/>
  <c r="K249" i="55" s="1"/>
  <c r="I248" i="55"/>
  <c r="K248" i="55" s="1"/>
  <c r="I247" i="55"/>
  <c r="K247" i="55" s="1"/>
  <c r="I246" i="55"/>
  <c r="K246" i="55" s="1"/>
  <c r="I245" i="55"/>
  <c r="K245" i="55" s="1"/>
  <c r="I244" i="55"/>
  <c r="K244" i="55" s="1"/>
  <c r="I243" i="55"/>
  <c r="K243" i="55" s="1"/>
  <c r="I242" i="55"/>
  <c r="K242" i="55" s="1"/>
  <c r="I241" i="55"/>
  <c r="K241" i="55" s="1"/>
  <c r="I240" i="55"/>
  <c r="K240" i="55" s="1"/>
  <c r="I239" i="55"/>
  <c r="K239" i="55" s="1"/>
  <c r="K238" i="55"/>
  <c r="K237" i="55"/>
  <c r="K236" i="55"/>
  <c r="K235" i="55"/>
  <c r="K234" i="55"/>
  <c r="K233" i="55"/>
  <c r="K232" i="55"/>
  <c r="K231" i="55"/>
  <c r="K230" i="55"/>
  <c r="K229" i="55"/>
  <c r="K228" i="55"/>
  <c r="K227" i="55"/>
  <c r="K226" i="55"/>
  <c r="K225" i="55"/>
  <c r="K224" i="55"/>
  <c r="K223" i="55"/>
  <c r="K222" i="55"/>
  <c r="K221" i="55"/>
  <c r="K220" i="55"/>
  <c r="K219" i="55"/>
  <c r="K218" i="55"/>
  <c r="K217" i="55"/>
  <c r="K216" i="55"/>
  <c r="K215" i="55"/>
  <c r="K214" i="55"/>
  <c r="K213" i="55"/>
  <c r="K212" i="55"/>
  <c r="K211" i="55"/>
  <c r="K210" i="55"/>
  <c r="K209" i="55"/>
  <c r="K208" i="55"/>
  <c r="K207" i="55"/>
  <c r="K206" i="55"/>
  <c r="K205" i="55"/>
  <c r="K204" i="55"/>
  <c r="K203" i="55"/>
  <c r="K202" i="55"/>
  <c r="K201" i="55"/>
  <c r="K200" i="55"/>
  <c r="K199" i="55"/>
  <c r="K198" i="55"/>
  <c r="K197" i="55"/>
  <c r="K196" i="55"/>
  <c r="K195" i="55"/>
  <c r="K194" i="55"/>
  <c r="K193" i="55"/>
  <c r="K192" i="55"/>
  <c r="K191" i="55"/>
  <c r="K190" i="55"/>
  <c r="K189" i="55"/>
  <c r="K188" i="55"/>
  <c r="K187" i="55"/>
  <c r="K186" i="55"/>
  <c r="K185" i="55"/>
  <c r="K184" i="55"/>
  <c r="K183" i="55"/>
  <c r="K182" i="55"/>
  <c r="K181" i="55"/>
  <c r="K180" i="55"/>
  <c r="K179" i="55"/>
  <c r="K178" i="55"/>
  <c r="K177" i="55"/>
  <c r="K176" i="55"/>
  <c r="K175" i="55"/>
  <c r="K174" i="55"/>
  <c r="K173" i="55"/>
  <c r="K172" i="55"/>
  <c r="K171" i="55"/>
  <c r="K170" i="55"/>
  <c r="K169" i="55"/>
  <c r="K168" i="55"/>
  <c r="K167" i="55"/>
  <c r="K166" i="55"/>
  <c r="K165" i="55"/>
  <c r="K164" i="55"/>
  <c r="K163" i="55"/>
  <c r="K162" i="55"/>
  <c r="K161" i="55"/>
  <c r="K160" i="55"/>
  <c r="K159" i="55"/>
  <c r="K158" i="55"/>
  <c r="K157" i="55"/>
  <c r="K156" i="55"/>
  <c r="K155" i="55"/>
  <c r="K154" i="55"/>
  <c r="K153" i="55"/>
  <c r="K152" i="55"/>
  <c r="K151" i="55"/>
  <c r="K150" i="55"/>
  <c r="K149" i="55"/>
  <c r="K148" i="55"/>
  <c r="K147" i="55"/>
  <c r="K146" i="55"/>
  <c r="K145" i="55"/>
  <c r="K144" i="55"/>
  <c r="K143" i="55"/>
  <c r="K142" i="55"/>
  <c r="K141" i="55"/>
  <c r="K140" i="55"/>
  <c r="K139" i="55"/>
  <c r="K138" i="55"/>
  <c r="K137" i="55"/>
  <c r="K136" i="55"/>
  <c r="K135" i="55"/>
  <c r="K134" i="55"/>
  <c r="K133" i="55"/>
  <c r="K132" i="55"/>
  <c r="K131" i="55"/>
  <c r="K130" i="55"/>
  <c r="K129" i="55"/>
  <c r="K128" i="55"/>
  <c r="K127" i="55"/>
  <c r="K126" i="55"/>
  <c r="K125" i="55"/>
  <c r="K124" i="55"/>
  <c r="K123" i="55"/>
  <c r="K122" i="55"/>
  <c r="K121" i="55"/>
  <c r="K120" i="55"/>
  <c r="K119" i="55"/>
  <c r="K118" i="55"/>
  <c r="K117" i="55"/>
  <c r="K116" i="55"/>
  <c r="K115" i="55"/>
  <c r="K114" i="55"/>
  <c r="K113" i="55"/>
  <c r="K112" i="55"/>
  <c r="K111" i="55"/>
  <c r="K110" i="55"/>
  <c r="K109" i="55"/>
  <c r="K108" i="55"/>
  <c r="K107" i="55"/>
  <c r="K106" i="55"/>
  <c r="K105" i="55"/>
  <c r="K104" i="55"/>
  <c r="K103" i="55"/>
  <c r="K102" i="55"/>
  <c r="K101" i="55"/>
  <c r="K100" i="55"/>
  <c r="K99" i="55"/>
  <c r="K98" i="55"/>
  <c r="K97" i="55"/>
  <c r="K96" i="55"/>
  <c r="K95" i="55"/>
  <c r="K94" i="55"/>
  <c r="K93" i="55"/>
  <c r="K92" i="55"/>
  <c r="K91" i="55"/>
  <c r="K90" i="55"/>
  <c r="K89" i="55"/>
  <c r="K88" i="55"/>
  <c r="K87" i="55"/>
  <c r="K86" i="55"/>
  <c r="K85" i="55"/>
  <c r="K84" i="55"/>
  <c r="K83" i="55"/>
  <c r="K82" i="55"/>
  <c r="K81" i="55"/>
  <c r="K80" i="55"/>
  <c r="K79" i="55"/>
  <c r="K78" i="55"/>
  <c r="K77" i="55"/>
  <c r="K76" i="55"/>
  <c r="K75" i="55"/>
  <c r="K74" i="55"/>
  <c r="K73" i="55"/>
  <c r="K72" i="55"/>
  <c r="K71" i="55"/>
  <c r="K70" i="55"/>
  <c r="K69" i="55"/>
  <c r="K68" i="55"/>
  <c r="K67" i="55"/>
  <c r="K66" i="55"/>
  <c r="K65" i="55"/>
  <c r="K64" i="55"/>
  <c r="K63" i="55"/>
  <c r="K62" i="55"/>
  <c r="K61" i="55"/>
  <c r="K60" i="55"/>
  <c r="K59" i="55"/>
  <c r="K58" i="55"/>
  <c r="K57" i="55"/>
  <c r="K56" i="55"/>
  <c r="K55" i="55"/>
  <c r="K54" i="55"/>
  <c r="K53" i="55"/>
  <c r="K52" i="55"/>
  <c r="K51" i="55"/>
  <c r="K50" i="55"/>
  <c r="K49" i="55"/>
  <c r="K48" i="55"/>
  <c r="K47" i="55"/>
  <c r="K46" i="55"/>
  <c r="K45" i="55"/>
  <c r="K44" i="55"/>
  <c r="K43" i="55"/>
  <c r="K42" i="55"/>
  <c r="K41" i="55"/>
  <c r="K40" i="55"/>
  <c r="K39" i="55"/>
  <c r="K38" i="55"/>
  <c r="K37" i="55"/>
  <c r="K36" i="55"/>
  <c r="K35" i="55"/>
  <c r="K34" i="55"/>
  <c r="K33" i="55"/>
  <c r="K32" i="55"/>
  <c r="K31" i="55"/>
  <c r="K30" i="55"/>
  <c r="K29" i="55"/>
  <c r="K28" i="55"/>
  <c r="K27" i="55"/>
  <c r="K26" i="55"/>
  <c r="K25" i="55"/>
  <c r="K24" i="55"/>
  <c r="K23" i="55"/>
  <c r="K22" i="55"/>
  <c r="K21" i="55"/>
  <c r="K20" i="55"/>
  <c r="K19" i="55"/>
  <c r="K18" i="55"/>
  <c r="K17" i="55"/>
  <c r="K16" i="55"/>
  <c r="K15" i="55"/>
  <c r="K14" i="55"/>
  <c r="K13" i="55"/>
  <c r="K12" i="55"/>
  <c r="K11" i="55"/>
  <c r="K10" i="55"/>
  <c r="K9" i="55"/>
  <c r="K7" i="55"/>
  <c r="K6" i="55"/>
  <c r="K5" i="55"/>
  <c r="K4" i="55"/>
  <c r="K3" i="55"/>
  <c r="L9" i="19"/>
  <c r="B7" i="14" l="1"/>
  <c r="L8" i="19"/>
  <c r="M3" i="55"/>
  <c r="M4" i="55" s="1"/>
  <c r="M5" i="55" s="1"/>
  <c r="M6" i="55" s="1"/>
  <c r="M7" i="55" s="1"/>
  <c r="M8" i="55" l="1"/>
  <c r="M9" i="55" s="1"/>
  <c r="M10" i="55" s="1"/>
  <c r="M11" i="55" s="1"/>
  <c r="M12" i="55" s="1"/>
  <c r="M13" i="55" s="1"/>
  <c r="M14" i="55" s="1"/>
  <c r="M15" i="55" s="1"/>
  <c r="M16" i="55" s="1"/>
  <c r="M17" i="55" s="1"/>
  <c r="M18" i="55" s="1"/>
  <c r="M19" i="55" s="1"/>
  <c r="M20" i="55" s="1"/>
  <c r="M21" i="55" s="1"/>
  <c r="M22" i="55" s="1"/>
  <c r="M23" i="55" s="1"/>
  <c r="M24" i="55" s="1"/>
  <c r="M25" i="55" s="1"/>
  <c r="M26" i="55" s="1"/>
  <c r="M27" i="55" s="1"/>
  <c r="M28" i="55" s="1"/>
  <c r="M29" i="55" s="1"/>
  <c r="M30" i="55" s="1"/>
  <c r="M31" i="55" s="1"/>
  <c r="M32" i="55" s="1"/>
  <c r="M33" i="55" s="1"/>
  <c r="M34" i="55" s="1"/>
  <c r="M35" i="55" s="1"/>
  <c r="M36" i="55" s="1"/>
  <c r="M37" i="55" s="1"/>
  <c r="M38" i="55" s="1"/>
  <c r="M39" i="55" s="1"/>
  <c r="M40" i="55" s="1"/>
  <c r="M41" i="55" s="1"/>
  <c r="M42" i="55" s="1"/>
  <c r="M43" i="55" s="1"/>
  <c r="M44" i="55" s="1"/>
  <c r="M45" i="55" s="1"/>
  <c r="M46" i="55" s="1"/>
  <c r="M47" i="55" s="1"/>
  <c r="M48" i="55" s="1"/>
  <c r="M49" i="55" s="1"/>
  <c r="M50" i="55" s="1"/>
  <c r="M51" i="55" s="1"/>
  <c r="M52" i="55" s="1"/>
  <c r="M53" i="55" s="1"/>
  <c r="M54" i="55" s="1"/>
  <c r="M55" i="55" s="1"/>
  <c r="M56" i="55" s="1"/>
  <c r="M57" i="55" s="1"/>
  <c r="M58" i="55" s="1"/>
  <c r="M59" i="55" s="1"/>
  <c r="M60" i="55" s="1"/>
  <c r="M61" i="55" s="1"/>
  <c r="M62" i="55" s="1"/>
  <c r="M63" i="55" s="1"/>
  <c r="M64" i="55" s="1"/>
  <c r="M65" i="55" s="1"/>
  <c r="M66" i="55" s="1"/>
  <c r="M67" i="55" s="1"/>
  <c r="M68" i="55" s="1"/>
  <c r="M69" i="55" s="1"/>
  <c r="M70" i="55" s="1"/>
  <c r="M71" i="55" s="1"/>
  <c r="M72" i="55" s="1"/>
  <c r="M73" i="55" s="1"/>
  <c r="M74" i="55" s="1"/>
  <c r="M75" i="55" s="1"/>
  <c r="M76" i="55" s="1"/>
  <c r="M77" i="55" s="1"/>
  <c r="M78" i="55" s="1"/>
  <c r="M79" i="55" s="1"/>
  <c r="M80" i="55" s="1"/>
  <c r="M81" i="55" s="1"/>
  <c r="M82" i="55" s="1"/>
  <c r="M83" i="55" s="1"/>
  <c r="M84" i="55" s="1"/>
  <c r="M85" i="55" s="1"/>
  <c r="M86" i="55" s="1"/>
  <c r="M87" i="55" s="1"/>
  <c r="M88" i="55" s="1"/>
  <c r="M89" i="55" s="1"/>
  <c r="M90" i="55" s="1"/>
  <c r="M91" i="55" s="1"/>
  <c r="M92" i="55" s="1"/>
  <c r="M93" i="55" s="1"/>
  <c r="M94" i="55" s="1"/>
  <c r="M95" i="55" s="1"/>
  <c r="M96" i="55" s="1"/>
  <c r="M97" i="55" s="1"/>
  <c r="M98" i="55" s="1"/>
  <c r="M99" i="55" s="1"/>
  <c r="M100" i="55" s="1"/>
  <c r="M101" i="55" s="1"/>
  <c r="M102" i="55" s="1"/>
  <c r="M103" i="55" s="1"/>
  <c r="M104" i="55" s="1"/>
  <c r="M105" i="55" s="1"/>
  <c r="M106" i="55" s="1"/>
  <c r="M107" i="55" s="1"/>
  <c r="M108" i="55" s="1"/>
  <c r="M109" i="55" s="1"/>
  <c r="M110" i="55" s="1"/>
  <c r="M111" i="55" s="1"/>
  <c r="M112" i="55" s="1"/>
  <c r="M113" i="55" s="1"/>
  <c r="M114" i="55" s="1"/>
  <c r="M115" i="55" s="1"/>
  <c r="M116" i="55" s="1"/>
  <c r="M117" i="55" s="1"/>
  <c r="M118" i="55" s="1"/>
  <c r="M119" i="55" s="1"/>
  <c r="M120" i="55" s="1"/>
  <c r="M121" i="55" s="1"/>
  <c r="M122" i="55" s="1"/>
  <c r="M123" i="55" s="1"/>
  <c r="M124" i="55" s="1"/>
  <c r="M125" i="55" s="1"/>
  <c r="M126" i="55" s="1"/>
  <c r="M127" i="55" s="1"/>
  <c r="M128" i="55" s="1"/>
  <c r="M129" i="55" s="1"/>
  <c r="M130" i="55" s="1"/>
  <c r="M131" i="55" s="1"/>
  <c r="M132" i="55" s="1"/>
  <c r="M133" i="55" s="1"/>
  <c r="M134" i="55" s="1"/>
  <c r="M135" i="55" s="1"/>
  <c r="M136" i="55" s="1"/>
  <c r="M137" i="55" s="1"/>
  <c r="M138" i="55" s="1"/>
  <c r="M139" i="55" s="1"/>
  <c r="M140" i="55" s="1"/>
  <c r="M141" i="55" s="1"/>
  <c r="M142" i="55" s="1"/>
  <c r="M143" i="55" s="1"/>
  <c r="M144" i="55" s="1"/>
  <c r="M145" i="55" s="1"/>
  <c r="M146" i="55" s="1"/>
  <c r="M147" i="55" s="1"/>
  <c r="M148" i="55" s="1"/>
  <c r="M149" i="55" s="1"/>
  <c r="M150" i="55" s="1"/>
  <c r="M151" i="55" s="1"/>
  <c r="M152" i="55" s="1"/>
  <c r="M153" i="55" s="1"/>
  <c r="M154" i="55" s="1"/>
  <c r="M155" i="55" s="1"/>
  <c r="M156" i="55" s="1"/>
  <c r="M157" i="55" s="1"/>
  <c r="M158" i="55" s="1"/>
  <c r="M159" i="55" s="1"/>
  <c r="M160" i="55" s="1"/>
  <c r="M161" i="55" s="1"/>
  <c r="M162" i="55" s="1"/>
  <c r="M163" i="55" s="1"/>
  <c r="M164" i="55" s="1"/>
  <c r="M165" i="55" s="1"/>
  <c r="M166" i="55" s="1"/>
  <c r="M167" i="55" s="1"/>
  <c r="M168" i="55" s="1"/>
  <c r="M169" i="55" s="1"/>
  <c r="M170" i="55" s="1"/>
  <c r="M171" i="55" s="1"/>
  <c r="M172" i="55" s="1"/>
  <c r="M173" i="55" s="1"/>
  <c r="M174" i="55" s="1"/>
  <c r="M175" i="55" s="1"/>
  <c r="M176" i="55" s="1"/>
  <c r="M177" i="55" s="1"/>
  <c r="M178" i="55" s="1"/>
  <c r="M179" i="55" s="1"/>
  <c r="M180" i="55" s="1"/>
  <c r="M181" i="55" s="1"/>
  <c r="M182" i="55" s="1"/>
  <c r="M183" i="55" s="1"/>
  <c r="M184" i="55" s="1"/>
  <c r="M185" i="55" s="1"/>
  <c r="M186" i="55" s="1"/>
  <c r="M187" i="55" s="1"/>
  <c r="M188" i="55" s="1"/>
  <c r="M189" i="55" s="1"/>
  <c r="M190" i="55" s="1"/>
  <c r="M191" i="55" s="1"/>
  <c r="M192" i="55" s="1"/>
  <c r="M193" i="55" s="1"/>
  <c r="M194" i="55" s="1"/>
  <c r="M195" i="55" s="1"/>
  <c r="M196" i="55" s="1"/>
  <c r="M197" i="55" s="1"/>
  <c r="M198" i="55" s="1"/>
  <c r="M199" i="55" s="1"/>
  <c r="M200" i="55" s="1"/>
  <c r="M201" i="55" s="1"/>
  <c r="M202" i="55" s="1"/>
  <c r="M203" i="55" s="1"/>
  <c r="M204" i="55" s="1"/>
  <c r="M205" i="55" s="1"/>
  <c r="M206" i="55" s="1"/>
  <c r="M207" i="55" s="1"/>
  <c r="M208" i="55" s="1"/>
  <c r="M209" i="55" s="1"/>
  <c r="M210" i="55" s="1"/>
  <c r="M211" i="55" s="1"/>
  <c r="M212" i="55" s="1"/>
  <c r="M213" i="55" s="1"/>
  <c r="M214" i="55" s="1"/>
  <c r="M215" i="55" s="1"/>
  <c r="M216" i="55" s="1"/>
  <c r="M217" i="55" s="1"/>
  <c r="M218" i="55" s="1"/>
  <c r="M219" i="55" s="1"/>
  <c r="M220" i="55" s="1"/>
  <c r="M221" i="55" s="1"/>
  <c r="M222" i="55" s="1"/>
  <c r="M223" i="55" s="1"/>
  <c r="M224" i="55" s="1"/>
  <c r="M225" i="55" s="1"/>
  <c r="M226" i="55" s="1"/>
  <c r="M227" i="55" s="1"/>
  <c r="M228" i="55" s="1"/>
  <c r="M229" i="55" s="1"/>
  <c r="M230" i="55" s="1"/>
  <c r="M231" i="55" s="1"/>
  <c r="M232" i="55" s="1"/>
  <c r="M233" i="55" s="1"/>
  <c r="M234" i="55" s="1"/>
  <c r="M235" i="55" s="1"/>
  <c r="M236" i="55" s="1"/>
  <c r="M237" i="55" s="1"/>
  <c r="M238" i="55" s="1"/>
  <c r="M239" i="55" s="1"/>
  <c r="M240" i="55" s="1"/>
  <c r="M241" i="55" s="1"/>
  <c r="M242" i="55" s="1"/>
  <c r="M243" i="55" s="1"/>
  <c r="M244" i="55" s="1"/>
  <c r="M245" i="55" s="1"/>
  <c r="M246" i="55" s="1"/>
  <c r="M247" i="55" s="1"/>
  <c r="M248" i="55" s="1"/>
  <c r="M249" i="55" s="1"/>
  <c r="M250" i="55" s="1"/>
  <c r="M251" i="55" s="1"/>
  <c r="M252" i="55" s="1"/>
  <c r="M253" i="55" s="1"/>
  <c r="M254" i="55" s="1"/>
  <c r="M255" i="55" s="1"/>
  <c r="M256" i="55" s="1"/>
  <c r="M257" i="55" s="1"/>
  <c r="M258" i="55" s="1"/>
  <c r="M259" i="55" s="1"/>
  <c r="M260" i="55" s="1"/>
  <c r="M261" i="55" s="1"/>
  <c r="M262" i="55" s="1"/>
  <c r="M263" i="55" s="1"/>
  <c r="M264" i="55" s="1"/>
  <c r="M265" i="55" s="1"/>
  <c r="M266" i="55" s="1"/>
  <c r="M267" i="55" s="1"/>
  <c r="M268" i="55" s="1"/>
  <c r="M269" i="55" s="1"/>
  <c r="M270" i="55" s="1"/>
  <c r="M271" i="55" s="1"/>
  <c r="M272" i="55" s="1"/>
  <c r="M273" i="55" s="1"/>
  <c r="M274" i="55" s="1"/>
  <c r="M275" i="55" s="1"/>
  <c r="M276" i="55" s="1"/>
  <c r="M277" i="55" s="1"/>
  <c r="M278" i="55" s="1"/>
  <c r="M279" i="55" s="1"/>
  <c r="M280" i="55" s="1"/>
  <c r="M281" i="55" s="1"/>
  <c r="M282" i="55" s="1"/>
  <c r="M283" i="55" s="1"/>
  <c r="M284" i="55" s="1"/>
  <c r="M285" i="55" s="1"/>
  <c r="M286" i="55" s="1"/>
  <c r="M287" i="55" s="1"/>
  <c r="M288" i="55" s="1"/>
  <c r="M289" i="55" s="1"/>
  <c r="M290" i="55" s="1"/>
  <c r="M291" i="55" s="1"/>
  <c r="M292" i="55" s="1"/>
  <c r="M293" i="55" s="1"/>
  <c r="M294" i="55" s="1"/>
  <c r="M295" i="55" s="1"/>
  <c r="M296" i="55" s="1"/>
  <c r="M297" i="55" s="1"/>
  <c r="M298" i="55" s="1"/>
  <c r="M299" i="55" s="1"/>
  <c r="M300" i="55" s="1"/>
  <c r="M301" i="55" s="1"/>
  <c r="M302" i="55" s="1"/>
  <c r="M303" i="55" s="1"/>
  <c r="M304" i="55" s="1"/>
  <c r="M305" i="55" s="1"/>
  <c r="M306" i="55" s="1"/>
  <c r="M307" i="55" s="1"/>
  <c r="M308" i="55" s="1"/>
  <c r="M309" i="55" s="1"/>
  <c r="M310" i="55" s="1"/>
  <c r="M311" i="55" s="1"/>
  <c r="M312" i="55" s="1"/>
  <c r="M313" i="55" s="1"/>
  <c r="M314" i="55" s="1"/>
  <c r="M315" i="55" s="1"/>
  <c r="M316" i="55" s="1"/>
  <c r="M317" i="55" s="1"/>
  <c r="M318" i="55" s="1"/>
  <c r="M319" i="55" s="1"/>
  <c r="M320" i="55" s="1"/>
  <c r="M321" i="55" s="1"/>
  <c r="M322" i="55" s="1"/>
  <c r="M323" i="55" s="1"/>
  <c r="M324" i="55" s="1"/>
  <c r="M325" i="55" s="1"/>
  <c r="M326" i="55" s="1"/>
  <c r="M327" i="55" s="1"/>
  <c r="M328" i="55" s="1"/>
  <c r="M329" i="55" s="1"/>
  <c r="M330" i="55" s="1"/>
  <c r="M331" i="55" s="1"/>
  <c r="M332" i="55" s="1"/>
  <c r="M333" i="55" s="1"/>
  <c r="M334" i="55" s="1"/>
  <c r="M335" i="55" s="1"/>
  <c r="M336" i="55" s="1"/>
  <c r="M337" i="55" s="1"/>
  <c r="M338" i="55" s="1"/>
  <c r="M339" i="55" s="1"/>
  <c r="K9" i="5" l="1"/>
  <c r="L2" i="39" l="1"/>
  <c r="L3" i="39" l="1"/>
  <c r="L4" i="39" s="1"/>
  <c r="L5" i="39" s="1"/>
  <c r="L6" i="39" s="1"/>
  <c r="L7" i="39" l="1"/>
  <c r="L8" i="39" s="1"/>
  <c r="L9" i="39" s="1"/>
  <c r="L10" i="39" s="1"/>
  <c r="L11" i="39" s="1"/>
  <c r="L12" i="39" s="1"/>
  <c r="L13" i="39" s="1"/>
  <c r="L14" i="39" s="1"/>
  <c r="L15" i="39" s="1"/>
  <c r="L16" i="39" s="1"/>
  <c r="L17" i="39" s="1"/>
  <c r="L18" i="39" s="1"/>
  <c r="L19" i="39" s="1"/>
  <c r="L20" i="39" s="1"/>
  <c r="L21" i="39" s="1"/>
  <c r="L22" i="39" s="1"/>
  <c r="L23" i="39" s="1"/>
  <c r="L24" i="39" s="1"/>
  <c r="L25" i="39" s="1"/>
  <c r="L26" i="39" s="1"/>
  <c r="L27" i="39" s="1"/>
  <c r="L28" i="39" s="1"/>
  <c r="L29" i="39" s="1"/>
  <c r="L30" i="39" s="1"/>
  <c r="L31" i="39" s="1"/>
  <c r="L32" i="39" s="1"/>
  <c r="L33" i="39" s="1"/>
  <c r="L34" i="39" s="1"/>
  <c r="L35" i="39" s="1"/>
  <c r="L36" i="39" s="1"/>
  <c r="L37" i="39" s="1"/>
  <c r="L38" i="39" s="1"/>
  <c r="L39" i="39" s="1"/>
  <c r="L40" i="39" s="1"/>
  <c r="L41" i="39" s="1"/>
  <c r="L42" i="39" s="1"/>
  <c r="L43" i="39" s="1"/>
  <c r="L44" i="39" s="1"/>
  <c r="L45" i="39" s="1"/>
  <c r="L46" i="39" s="1"/>
  <c r="L47" i="39" s="1"/>
  <c r="L48" i="39" s="1"/>
  <c r="L49" i="39" s="1"/>
  <c r="L50" i="39" s="1"/>
  <c r="L51" i="39" s="1"/>
  <c r="L52" i="39" s="1"/>
  <c r="L53" i="39" s="1"/>
  <c r="L54" i="39" s="1"/>
  <c r="L55" i="39" s="1"/>
  <c r="L56" i="39" s="1"/>
  <c r="L57" i="39" s="1"/>
  <c r="L58" i="39" s="1"/>
  <c r="L59" i="39" s="1"/>
  <c r="L60" i="39" s="1"/>
  <c r="L61" i="39" s="1"/>
  <c r="L62" i="39" s="1"/>
  <c r="L63" i="39" s="1"/>
  <c r="L64" i="39" s="1"/>
  <c r="L65" i="39" s="1"/>
  <c r="L66" i="39" s="1"/>
  <c r="L67" i="39" s="1"/>
  <c r="L68" i="39" s="1"/>
  <c r="L69" i="39" s="1"/>
  <c r="L70" i="39" s="1"/>
  <c r="L71" i="39" s="1"/>
  <c r="L72" i="39" s="1"/>
  <c r="L73" i="39" s="1"/>
  <c r="L74" i="39" s="1"/>
  <c r="L75" i="39" s="1"/>
  <c r="L76" i="39" s="1"/>
  <c r="L77" i="39" s="1"/>
  <c r="L78" i="39" s="1"/>
  <c r="L79" i="39" s="1"/>
  <c r="L80" i="39" s="1"/>
  <c r="L81" i="39" s="1"/>
  <c r="L82" i="39" s="1"/>
  <c r="L83" i="39" s="1"/>
  <c r="L84" i="39" s="1"/>
  <c r="L85" i="39" s="1"/>
  <c r="L86" i="39" s="1"/>
  <c r="L87" i="39" s="1"/>
  <c r="L88" i="39" s="1"/>
  <c r="L89" i="39" s="1"/>
  <c r="L90" i="39" s="1"/>
  <c r="L91" i="39" s="1"/>
  <c r="L92" i="39" s="1"/>
  <c r="L93" i="39" s="1"/>
  <c r="L94" i="39" s="1"/>
  <c r="L95" i="39" s="1"/>
  <c r="L96" i="39" s="1"/>
  <c r="L97" i="39" s="1"/>
  <c r="L98" i="39" s="1"/>
  <c r="L99" i="39" s="1"/>
  <c r="L100" i="39" s="1"/>
  <c r="L101" i="39" s="1"/>
  <c r="L102" i="39" s="1"/>
  <c r="L103" i="39" s="1"/>
  <c r="L104" i="39" s="1"/>
  <c r="L105" i="39" s="1"/>
  <c r="L106" i="39" s="1"/>
  <c r="L107" i="39" s="1"/>
  <c r="L108" i="39" s="1"/>
  <c r="L109" i="39" s="1"/>
  <c r="L110" i="39" s="1"/>
  <c r="L111" i="39" s="1"/>
  <c r="L112" i="39" s="1"/>
  <c r="L113" i="39" s="1"/>
  <c r="L114" i="39" s="1"/>
  <c r="L115" i="39" s="1"/>
  <c r="L116" i="39" s="1"/>
  <c r="L117" i="39" s="1"/>
  <c r="L118" i="39" s="1"/>
  <c r="L119" i="39" s="1"/>
  <c r="L120" i="39" s="1"/>
  <c r="L121" i="39" s="1"/>
  <c r="L122" i="39" s="1"/>
  <c r="L123" i="39" s="1"/>
  <c r="L124" i="39" s="1"/>
  <c r="L125" i="39" s="1"/>
  <c r="L126" i="39" s="1"/>
  <c r="L127" i="39" s="1"/>
  <c r="L128" i="39" s="1"/>
  <c r="L129" i="39" s="1"/>
  <c r="L130" i="39" s="1"/>
  <c r="L131" i="39" s="1"/>
  <c r="L132" i="39" s="1"/>
  <c r="L133" i="39" s="1"/>
  <c r="L134" i="39" s="1"/>
  <c r="L135" i="39" s="1"/>
  <c r="L136" i="39" s="1"/>
  <c r="L137" i="39" s="1"/>
  <c r="L138" i="39" s="1"/>
  <c r="L139" i="39" s="1"/>
  <c r="L140" i="39" s="1"/>
  <c r="L141" i="39" s="1"/>
  <c r="L142" i="39" s="1"/>
  <c r="L143" i="39" s="1"/>
  <c r="L144" i="39" s="1"/>
  <c r="L145" i="39" s="1"/>
  <c r="L146" i="39" s="1"/>
  <c r="L147" i="39" s="1"/>
  <c r="L148" i="39" s="1"/>
  <c r="L149" i="39" s="1"/>
  <c r="L150" i="39" s="1"/>
  <c r="L151" i="39" s="1"/>
  <c r="L152" i="39" s="1"/>
  <c r="L153" i="39" s="1"/>
  <c r="L154" i="39" s="1"/>
  <c r="L155" i="39" s="1"/>
  <c r="L156" i="39" s="1"/>
  <c r="L157" i="39" s="1"/>
  <c r="L158" i="39" s="1"/>
  <c r="L159" i="39" s="1"/>
  <c r="L160" i="39" s="1"/>
  <c r="L161" i="39" s="1"/>
  <c r="L162" i="39" s="1"/>
  <c r="L163" i="39" s="1"/>
  <c r="L164" i="39" s="1"/>
  <c r="L165" i="39" s="1"/>
  <c r="L166" i="39" s="1"/>
  <c r="L167" i="39" s="1"/>
  <c r="L168" i="39" s="1"/>
  <c r="L169" i="39" s="1"/>
  <c r="L170" i="39" s="1"/>
  <c r="L171" i="39" s="1"/>
  <c r="L172" i="39" s="1"/>
  <c r="L173" i="39" s="1"/>
  <c r="L174" i="39" s="1"/>
  <c r="L175" i="39" s="1"/>
  <c r="L176" i="39" s="1"/>
  <c r="L177" i="39" s="1"/>
  <c r="L178" i="39" s="1"/>
  <c r="L179" i="39" s="1"/>
  <c r="L180" i="39" s="1"/>
  <c r="L181" i="39" s="1"/>
  <c r="L182" i="39" s="1"/>
  <c r="L183" i="39" s="1"/>
  <c r="L184" i="39" s="1"/>
  <c r="L185" i="39" s="1"/>
  <c r="L186" i="39" s="1"/>
  <c r="L187" i="39" s="1"/>
  <c r="L188" i="39" s="1"/>
  <c r="L189" i="39" s="1"/>
  <c r="L190" i="39" s="1"/>
  <c r="L191" i="39" s="1"/>
  <c r="L192" i="39" s="1"/>
  <c r="L193" i="39" s="1"/>
  <c r="L194" i="39" s="1"/>
  <c r="L195" i="39" s="1"/>
  <c r="L196" i="39" s="1"/>
  <c r="L197" i="39" s="1"/>
  <c r="L198" i="39" s="1"/>
  <c r="L199" i="39" s="1"/>
  <c r="L200" i="39" s="1"/>
  <c r="L201" i="39" s="1"/>
  <c r="L202" i="39" s="1"/>
  <c r="L203" i="39" s="1"/>
  <c r="L204" i="39" s="1"/>
  <c r="L205" i="39" s="1"/>
  <c r="L206" i="39" s="1"/>
  <c r="L207" i="39" s="1"/>
  <c r="L208" i="39" s="1"/>
  <c r="L209" i="39" s="1"/>
  <c r="L210" i="39" s="1"/>
  <c r="L211" i="39" s="1"/>
  <c r="L212" i="39" s="1"/>
  <c r="L213" i="39" s="1"/>
  <c r="L214" i="39" s="1"/>
  <c r="L215" i="39" s="1"/>
  <c r="L216" i="39" s="1"/>
  <c r="L217" i="39" s="1"/>
  <c r="L218" i="39" s="1"/>
  <c r="L219" i="39" s="1"/>
  <c r="L220" i="39" s="1"/>
  <c r="L221" i="39" s="1"/>
  <c r="L222" i="39" s="1"/>
  <c r="L223" i="39" s="1"/>
  <c r="L224" i="39" s="1"/>
  <c r="L225" i="39" s="1"/>
  <c r="L226" i="39" s="1"/>
  <c r="L227" i="39" s="1"/>
  <c r="L228" i="39" s="1"/>
  <c r="L229" i="39" s="1"/>
  <c r="L230" i="39" s="1"/>
  <c r="L231" i="39" s="1"/>
  <c r="L232" i="39" s="1"/>
  <c r="L233" i="39" s="1"/>
  <c r="L234" i="39" s="1"/>
  <c r="L235" i="39" s="1"/>
  <c r="L236" i="39" s="1"/>
  <c r="L237" i="39" s="1"/>
  <c r="L238" i="39" s="1"/>
  <c r="L239" i="39" s="1"/>
  <c r="L240" i="39" s="1"/>
  <c r="L241" i="39" s="1"/>
  <c r="L242" i="39" s="1"/>
  <c r="L243" i="39" s="1"/>
  <c r="L244" i="39" s="1"/>
  <c r="L245" i="39" s="1"/>
  <c r="L246" i="39" s="1"/>
  <c r="L247" i="39" s="1"/>
  <c r="L248" i="39" s="1"/>
  <c r="L249" i="39" s="1"/>
  <c r="L250" i="39" s="1"/>
  <c r="L251" i="39" s="1"/>
  <c r="L252" i="39" s="1"/>
  <c r="L253" i="39" s="1"/>
  <c r="L254" i="39" s="1"/>
  <c r="L255" i="39" s="1"/>
  <c r="L256" i="39" s="1"/>
  <c r="L257" i="39" s="1"/>
  <c r="L258" i="39" s="1"/>
  <c r="L259" i="39" s="1"/>
  <c r="L260" i="39" s="1"/>
  <c r="L261" i="39" s="1"/>
  <c r="L262" i="39" s="1"/>
  <c r="L263" i="39" s="1"/>
  <c r="L264" i="39" s="1"/>
  <c r="L265" i="39" s="1"/>
  <c r="L266" i="39" s="1"/>
  <c r="L267" i="39" s="1"/>
  <c r="L268" i="39" s="1"/>
  <c r="L269" i="39" s="1"/>
  <c r="L270" i="39" s="1"/>
  <c r="L271" i="39" s="1"/>
  <c r="L272" i="39" s="1"/>
  <c r="L273" i="39" s="1"/>
  <c r="L274" i="39" s="1"/>
  <c r="L275" i="39" s="1"/>
  <c r="L276" i="39" s="1"/>
  <c r="L277" i="39" s="1"/>
  <c r="L278" i="39" s="1"/>
  <c r="L279" i="39" s="1"/>
  <c r="L280" i="39" s="1"/>
  <c r="L281" i="39" s="1"/>
  <c r="L282" i="39" s="1"/>
  <c r="L283" i="39" s="1"/>
  <c r="L284" i="39" s="1"/>
  <c r="L285" i="39" s="1"/>
  <c r="L286" i="39" s="1"/>
  <c r="L287" i="39" s="1"/>
  <c r="L288" i="39" s="1"/>
  <c r="L289" i="39" s="1"/>
  <c r="L290" i="39" s="1"/>
  <c r="L291" i="39" s="1"/>
  <c r="L292" i="39" s="1"/>
  <c r="L293" i="39" s="1"/>
  <c r="L294" i="39" s="1"/>
  <c r="L295" i="39" s="1"/>
  <c r="L296" i="39" s="1"/>
  <c r="L297" i="39" s="1"/>
  <c r="L298" i="39" s="1"/>
  <c r="L299" i="39" s="1"/>
  <c r="L300" i="39" s="1"/>
  <c r="L301" i="39" s="1"/>
  <c r="L302" i="39" s="1"/>
  <c r="L303" i="39" s="1"/>
  <c r="L304" i="39" s="1"/>
  <c r="L305" i="39" s="1"/>
  <c r="L306" i="39" s="1"/>
  <c r="L307" i="39" s="1"/>
  <c r="L308" i="39" s="1"/>
  <c r="L309" i="39" s="1"/>
  <c r="L310" i="39" s="1"/>
  <c r="L311" i="39" s="1"/>
  <c r="L312" i="39" s="1"/>
  <c r="L313" i="39" s="1"/>
  <c r="L314" i="39" s="1"/>
  <c r="L315" i="39" s="1"/>
  <c r="L316" i="39" s="1"/>
  <c r="L317" i="39" s="1"/>
  <c r="L318" i="39" s="1"/>
  <c r="L319" i="39" s="1"/>
  <c r="L320" i="39" s="1"/>
  <c r="L321" i="39" s="1"/>
  <c r="L322" i="39" s="1"/>
  <c r="L323" i="39" s="1"/>
  <c r="L324" i="39" s="1"/>
  <c r="L325" i="39" s="1"/>
  <c r="L326" i="39" s="1"/>
  <c r="L327" i="39" s="1"/>
  <c r="L328" i="39" s="1"/>
  <c r="L329" i="39" s="1"/>
  <c r="L330" i="39" s="1"/>
  <c r="L331" i="39" s="1"/>
  <c r="L332" i="39" s="1"/>
  <c r="L333" i="39" s="1"/>
  <c r="L334" i="39" s="1"/>
  <c r="L335" i="39" s="1"/>
  <c r="L336" i="39" s="1"/>
  <c r="L337" i="39" s="1"/>
  <c r="L338" i="39" s="1"/>
  <c r="L339" i="39" s="1"/>
  <c r="L340" i="39" s="1"/>
  <c r="L341" i="39" s="1"/>
  <c r="L342" i="39" s="1"/>
  <c r="M13" i="39"/>
  <c r="B40" i="14" s="1"/>
  <c r="K4" i="53" l="1"/>
  <c r="K337" i="53"/>
  <c r="K338" i="53"/>
  <c r="K336" i="53"/>
  <c r="K335" i="53"/>
  <c r="K334" i="53"/>
  <c r="K333" i="53"/>
  <c r="K332" i="53"/>
  <c r="K331" i="53"/>
  <c r="K330" i="53"/>
  <c r="K329" i="53"/>
  <c r="K328" i="53"/>
  <c r="K327" i="53"/>
  <c r="K326" i="53"/>
  <c r="K325" i="53"/>
  <c r="K324" i="53"/>
  <c r="K323" i="53"/>
  <c r="K322" i="53"/>
  <c r="K321" i="53"/>
  <c r="K320" i="53"/>
  <c r="K319" i="53"/>
  <c r="K318" i="53"/>
  <c r="K317" i="53"/>
  <c r="K316" i="53"/>
  <c r="K315" i="53"/>
  <c r="K314" i="53"/>
  <c r="K313" i="53"/>
  <c r="K312" i="53"/>
  <c r="K311" i="53"/>
  <c r="K310" i="53"/>
  <c r="K309" i="53"/>
  <c r="K308" i="53"/>
  <c r="K307" i="53"/>
  <c r="K306" i="53"/>
  <c r="K305" i="53"/>
  <c r="K304" i="53"/>
  <c r="K303" i="53"/>
  <c r="K302" i="53"/>
  <c r="K301" i="53"/>
  <c r="K300" i="53"/>
  <c r="K299" i="53"/>
  <c r="K298" i="53"/>
  <c r="K297" i="53"/>
  <c r="K296" i="53"/>
  <c r="K295" i="53"/>
  <c r="K294" i="53"/>
  <c r="K293" i="53"/>
  <c r="K292" i="53"/>
  <c r="K291" i="53"/>
  <c r="K290" i="53"/>
  <c r="K289" i="53"/>
  <c r="K288" i="53"/>
  <c r="K287" i="53"/>
  <c r="K286" i="53"/>
  <c r="K285" i="53"/>
  <c r="K284" i="53"/>
  <c r="K283" i="53"/>
  <c r="K282" i="53"/>
  <c r="K281" i="53"/>
  <c r="K280" i="53"/>
  <c r="K279" i="53"/>
  <c r="K278" i="53"/>
  <c r="K277" i="53"/>
  <c r="K276" i="53"/>
  <c r="K275" i="53"/>
  <c r="K274" i="53"/>
  <c r="K273" i="53"/>
  <c r="K272" i="53"/>
  <c r="K271" i="53"/>
  <c r="K270" i="53"/>
  <c r="K269" i="53"/>
  <c r="K268" i="53"/>
  <c r="K267" i="53"/>
  <c r="K266" i="53"/>
  <c r="K265" i="53"/>
  <c r="K264" i="53"/>
  <c r="K263" i="53"/>
  <c r="K262" i="53"/>
  <c r="K261" i="53"/>
  <c r="K260" i="53"/>
  <c r="K259" i="53"/>
  <c r="K258" i="53"/>
  <c r="K257" i="53"/>
  <c r="K256" i="53"/>
  <c r="K255" i="53"/>
  <c r="K254" i="53"/>
  <c r="K253" i="53"/>
  <c r="K252" i="53"/>
  <c r="K251" i="53"/>
  <c r="K250" i="53"/>
  <c r="K249" i="53"/>
  <c r="K248" i="53"/>
  <c r="K247" i="53"/>
  <c r="K246" i="53"/>
  <c r="K245" i="53"/>
  <c r="K244" i="53"/>
  <c r="K243" i="53"/>
  <c r="K242" i="53"/>
  <c r="K241" i="53"/>
  <c r="K240" i="53"/>
  <c r="K239" i="53"/>
  <c r="K238" i="53"/>
  <c r="K237" i="53"/>
  <c r="K236" i="53"/>
  <c r="K235" i="53"/>
  <c r="K234" i="53"/>
  <c r="K233" i="53"/>
  <c r="K232" i="53"/>
  <c r="K231" i="53"/>
  <c r="K230" i="53"/>
  <c r="K229" i="53"/>
  <c r="K228" i="53"/>
  <c r="K227" i="53"/>
  <c r="K226" i="53"/>
  <c r="K225" i="53"/>
  <c r="K224" i="53"/>
  <c r="K223" i="53"/>
  <c r="K222" i="53"/>
  <c r="K221" i="53"/>
  <c r="K220" i="53"/>
  <c r="K219" i="53"/>
  <c r="K218" i="53"/>
  <c r="K217" i="53"/>
  <c r="K216" i="53"/>
  <c r="K215" i="53"/>
  <c r="K214" i="53"/>
  <c r="K213" i="53"/>
  <c r="K212" i="53"/>
  <c r="K211" i="53"/>
  <c r="K210" i="53"/>
  <c r="K209" i="53"/>
  <c r="K208" i="53"/>
  <c r="K207" i="53"/>
  <c r="K206" i="53"/>
  <c r="K205" i="53"/>
  <c r="K204" i="53"/>
  <c r="K203" i="53"/>
  <c r="K202" i="53"/>
  <c r="K201" i="53"/>
  <c r="K200" i="53"/>
  <c r="K199" i="53"/>
  <c r="K198" i="53"/>
  <c r="K197" i="53"/>
  <c r="K196" i="53"/>
  <c r="K195" i="53"/>
  <c r="K194" i="53"/>
  <c r="K193" i="53"/>
  <c r="K192" i="53"/>
  <c r="K191" i="53"/>
  <c r="K190" i="53"/>
  <c r="K189" i="53"/>
  <c r="K188" i="53"/>
  <c r="K187" i="53"/>
  <c r="K186" i="53"/>
  <c r="K185" i="53"/>
  <c r="K184" i="53"/>
  <c r="K183" i="53"/>
  <c r="K182" i="53"/>
  <c r="K181" i="53"/>
  <c r="K180" i="53"/>
  <c r="K179" i="53"/>
  <c r="K178" i="53"/>
  <c r="K177" i="53"/>
  <c r="K176" i="53"/>
  <c r="K175" i="53"/>
  <c r="K174" i="53"/>
  <c r="K173" i="53"/>
  <c r="K172" i="53"/>
  <c r="K171" i="53"/>
  <c r="K170" i="53"/>
  <c r="K169" i="53"/>
  <c r="K168" i="53"/>
  <c r="K167" i="53"/>
  <c r="K166" i="53"/>
  <c r="K165" i="53"/>
  <c r="K164" i="53"/>
  <c r="K163" i="53"/>
  <c r="K162" i="53"/>
  <c r="K161" i="53"/>
  <c r="K160" i="53"/>
  <c r="K159" i="53"/>
  <c r="K158" i="53"/>
  <c r="K157" i="53"/>
  <c r="K156" i="53"/>
  <c r="K155" i="53"/>
  <c r="K154" i="53"/>
  <c r="K153" i="53"/>
  <c r="K152" i="53"/>
  <c r="K151" i="53"/>
  <c r="K150" i="53"/>
  <c r="K149" i="53"/>
  <c r="K148" i="53"/>
  <c r="K147" i="53"/>
  <c r="K146" i="53"/>
  <c r="K145" i="53"/>
  <c r="K144" i="53"/>
  <c r="K143" i="53"/>
  <c r="K142" i="53"/>
  <c r="K141" i="53"/>
  <c r="K140" i="53"/>
  <c r="K139" i="53"/>
  <c r="K138" i="53"/>
  <c r="K137" i="53"/>
  <c r="K136" i="53"/>
  <c r="K135" i="53"/>
  <c r="K134" i="53"/>
  <c r="K133" i="53"/>
  <c r="K132" i="53"/>
  <c r="K131" i="53"/>
  <c r="K130" i="53"/>
  <c r="K129" i="53"/>
  <c r="K128" i="53"/>
  <c r="K127" i="53"/>
  <c r="K126" i="53"/>
  <c r="K125" i="53"/>
  <c r="K124" i="53"/>
  <c r="K123" i="53"/>
  <c r="K122" i="53"/>
  <c r="K121" i="53"/>
  <c r="K120" i="53"/>
  <c r="K119" i="53"/>
  <c r="K118" i="53"/>
  <c r="K117" i="53"/>
  <c r="K116" i="53"/>
  <c r="K115" i="53"/>
  <c r="K114" i="53"/>
  <c r="K113" i="53"/>
  <c r="K112" i="53"/>
  <c r="K111" i="53"/>
  <c r="K110" i="53"/>
  <c r="K109" i="53"/>
  <c r="K108" i="53"/>
  <c r="K107" i="53"/>
  <c r="K106" i="53"/>
  <c r="K105" i="53"/>
  <c r="K104" i="53"/>
  <c r="K103" i="53"/>
  <c r="K102" i="53"/>
  <c r="K101" i="53"/>
  <c r="K100" i="53"/>
  <c r="K99" i="53"/>
  <c r="K98" i="53"/>
  <c r="K97" i="53"/>
  <c r="K96" i="53"/>
  <c r="K95" i="53"/>
  <c r="K94" i="53"/>
  <c r="K93" i="53"/>
  <c r="K92" i="53"/>
  <c r="K91" i="53"/>
  <c r="K90" i="53"/>
  <c r="K89" i="53"/>
  <c r="K88" i="53"/>
  <c r="K87" i="53"/>
  <c r="K86" i="53"/>
  <c r="K85" i="53"/>
  <c r="K84" i="53"/>
  <c r="K83" i="53"/>
  <c r="K82" i="53"/>
  <c r="K81" i="53"/>
  <c r="K80" i="53"/>
  <c r="K79" i="53"/>
  <c r="K78" i="53"/>
  <c r="K77" i="53"/>
  <c r="K76" i="53"/>
  <c r="K75" i="53"/>
  <c r="K74" i="53"/>
  <c r="K73" i="53"/>
  <c r="K72" i="53"/>
  <c r="K71" i="53"/>
  <c r="K70" i="53"/>
  <c r="K69" i="53"/>
  <c r="K68" i="53"/>
  <c r="K67" i="53"/>
  <c r="K66" i="53"/>
  <c r="K65" i="53"/>
  <c r="K64" i="53"/>
  <c r="K63" i="53"/>
  <c r="K62" i="53"/>
  <c r="K61" i="53"/>
  <c r="K60" i="53"/>
  <c r="K59" i="53"/>
  <c r="K58" i="53"/>
  <c r="K57" i="53"/>
  <c r="K56" i="53"/>
  <c r="K55" i="53"/>
  <c r="K54" i="53"/>
  <c r="K53" i="53"/>
  <c r="K52" i="53"/>
  <c r="K51" i="53"/>
  <c r="K50" i="53"/>
  <c r="K49" i="53"/>
  <c r="K48" i="53"/>
  <c r="K47" i="53"/>
  <c r="K46" i="53"/>
  <c r="K45" i="53"/>
  <c r="K44" i="53"/>
  <c r="K43" i="53"/>
  <c r="K42" i="53"/>
  <c r="K41" i="53"/>
  <c r="K40" i="53"/>
  <c r="K39" i="53"/>
  <c r="K38" i="53"/>
  <c r="K37" i="53"/>
  <c r="K36" i="53"/>
  <c r="K35" i="53"/>
  <c r="K34" i="53"/>
  <c r="K33" i="53"/>
  <c r="K32" i="53"/>
  <c r="K31" i="53"/>
  <c r="K30" i="53"/>
  <c r="K29" i="53"/>
  <c r="K28" i="53"/>
  <c r="K27" i="53"/>
  <c r="K26" i="53"/>
  <c r="K25" i="53"/>
  <c r="K24" i="53"/>
  <c r="K23" i="53"/>
  <c r="K22" i="53"/>
  <c r="K21" i="53"/>
  <c r="K20" i="53"/>
  <c r="K19" i="53"/>
  <c r="K18" i="53"/>
  <c r="K17" i="53"/>
  <c r="K16" i="53"/>
  <c r="K15" i="53"/>
  <c r="K14" i="53"/>
  <c r="K13" i="53"/>
  <c r="K12" i="53"/>
  <c r="K11" i="53"/>
  <c r="K10" i="53"/>
  <c r="K9" i="53"/>
  <c r="K8" i="53"/>
  <c r="K7" i="53"/>
  <c r="K6" i="53"/>
  <c r="K5" i="53"/>
  <c r="K3" i="53"/>
  <c r="K2" i="53"/>
  <c r="N9" i="53" l="1"/>
  <c r="B41" i="14" s="1"/>
  <c r="M2" i="53"/>
  <c r="M3" i="53" s="1"/>
  <c r="M4" i="53" s="1"/>
  <c r="M5" i="53" s="1"/>
  <c r="M6" i="53" s="1"/>
  <c r="M7" i="53" s="1"/>
  <c r="M8" i="53" s="1"/>
  <c r="M9" i="53" s="1"/>
  <c r="M10" i="53" s="1"/>
  <c r="M11" i="53" s="1"/>
  <c r="M12" i="53" s="1"/>
  <c r="M13" i="53" s="1"/>
  <c r="M14" i="53" s="1"/>
  <c r="M15" i="53" s="1"/>
  <c r="M16" i="53" s="1"/>
  <c r="M17" i="53" s="1"/>
  <c r="M18" i="53" s="1"/>
  <c r="M19" i="53" s="1"/>
  <c r="M20" i="53" s="1"/>
  <c r="M21" i="53" s="1"/>
  <c r="M22" i="53" s="1"/>
  <c r="M23" i="53" s="1"/>
  <c r="M24" i="53" s="1"/>
  <c r="M25" i="53" s="1"/>
  <c r="M26" i="53" s="1"/>
  <c r="M27" i="53" s="1"/>
  <c r="M28" i="53" s="1"/>
  <c r="M29" i="53" s="1"/>
  <c r="M30" i="53" s="1"/>
  <c r="M31" i="53" s="1"/>
  <c r="M32" i="53" s="1"/>
  <c r="M33" i="53" s="1"/>
  <c r="M34" i="53" s="1"/>
  <c r="M35" i="53" s="1"/>
  <c r="M36" i="53" s="1"/>
  <c r="M37" i="53" s="1"/>
  <c r="M38" i="53" s="1"/>
  <c r="M39" i="53" s="1"/>
  <c r="M40" i="53" s="1"/>
  <c r="M41" i="53" s="1"/>
  <c r="M42" i="53" s="1"/>
  <c r="M43" i="53" s="1"/>
  <c r="M44" i="53" s="1"/>
  <c r="M45" i="53" s="1"/>
  <c r="M46" i="53" s="1"/>
  <c r="M47" i="53" s="1"/>
  <c r="M48" i="53" s="1"/>
  <c r="M49" i="53" s="1"/>
  <c r="M50" i="53" s="1"/>
  <c r="M51" i="53" s="1"/>
  <c r="M52" i="53" s="1"/>
  <c r="M53" i="53" s="1"/>
  <c r="M54" i="53" s="1"/>
  <c r="M55" i="53" s="1"/>
  <c r="M56" i="53" s="1"/>
  <c r="M57" i="53" s="1"/>
  <c r="M58" i="53" s="1"/>
  <c r="M59" i="53" s="1"/>
  <c r="M60" i="53" s="1"/>
  <c r="M61" i="53" s="1"/>
  <c r="M62" i="53" s="1"/>
  <c r="M63" i="53" s="1"/>
  <c r="M64" i="53" s="1"/>
  <c r="M65" i="53" s="1"/>
  <c r="M66" i="53" s="1"/>
  <c r="M67" i="53" s="1"/>
  <c r="M68" i="53" s="1"/>
  <c r="M69" i="53" s="1"/>
  <c r="M70" i="53" s="1"/>
  <c r="M71" i="53" s="1"/>
  <c r="M72" i="53" s="1"/>
  <c r="M73" i="53" s="1"/>
  <c r="M74" i="53" s="1"/>
  <c r="M75" i="53" s="1"/>
  <c r="M76" i="53" s="1"/>
  <c r="M77" i="53" s="1"/>
  <c r="M78" i="53" s="1"/>
  <c r="M79" i="53" s="1"/>
  <c r="M80" i="53" s="1"/>
  <c r="M81" i="53" s="1"/>
  <c r="M82" i="53" s="1"/>
  <c r="M83" i="53" s="1"/>
  <c r="M84" i="53" s="1"/>
  <c r="M85" i="53" s="1"/>
  <c r="M86" i="53" s="1"/>
  <c r="M87" i="53" s="1"/>
  <c r="M88" i="53" s="1"/>
  <c r="M89" i="53" s="1"/>
  <c r="M90" i="53" s="1"/>
  <c r="M91" i="53" s="1"/>
  <c r="M92" i="53" s="1"/>
  <c r="M93" i="53" s="1"/>
  <c r="M94" i="53" s="1"/>
  <c r="M95" i="53" s="1"/>
  <c r="M96" i="53" s="1"/>
  <c r="M97" i="53" s="1"/>
  <c r="M98" i="53" s="1"/>
  <c r="M99" i="53" s="1"/>
  <c r="M100" i="53" s="1"/>
  <c r="M101" i="53" s="1"/>
  <c r="M102" i="53" s="1"/>
  <c r="M103" i="53" s="1"/>
  <c r="M104" i="53" s="1"/>
  <c r="M105" i="53" s="1"/>
  <c r="M106" i="53" s="1"/>
  <c r="M107" i="53" s="1"/>
  <c r="M108" i="53" s="1"/>
  <c r="M109" i="53" s="1"/>
  <c r="M110" i="53" s="1"/>
  <c r="M111" i="53" s="1"/>
  <c r="M112" i="53" s="1"/>
  <c r="M113" i="53" s="1"/>
  <c r="M114" i="53" s="1"/>
  <c r="M115" i="53" s="1"/>
  <c r="M116" i="53" s="1"/>
  <c r="M117" i="53" s="1"/>
  <c r="M118" i="53" s="1"/>
  <c r="M119" i="53" s="1"/>
  <c r="M120" i="53" s="1"/>
  <c r="M121" i="53" s="1"/>
  <c r="M122" i="53" s="1"/>
  <c r="M123" i="53" s="1"/>
  <c r="M124" i="53" s="1"/>
  <c r="M125" i="53" s="1"/>
  <c r="M126" i="53" s="1"/>
  <c r="M127" i="53" s="1"/>
  <c r="M128" i="53" s="1"/>
  <c r="M129" i="53" s="1"/>
  <c r="M130" i="53" s="1"/>
  <c r="M131" i="53" s="1"/>
  <c r="M132" i="53" s="1"/>
  <c r="M133" i="53" s="1"/>
  <c r="M134" i="53" s="1"/>
  <c r="M135" i="53" s="1"/>
  <c r="M136" i="53" s="1"/>
  <c r="M137" i="53" s="1"/>
  <c r="M138" i="53" s="1"/>
  <c r="M139" i="53" s="1"/>
  <c r="M140" i="53" s="1"/>
  <c r="M141" i="53" s="1"/>
  <c r="M142" i="53" s="1"/>
  <c r="M143" i="53" s="1"/>
  <c r="M144" i="53" s="1"/>
  <c r="M145" i="53" s="1"/>
  <c r="M146" i="53" s="1"/>
  <c r="M147" i="53" s="1"/>
  <c r="M148" i="53" s="1"/>
  <c r="M149" i="53" s="1"/>
  <c r="M150" i="53" s="1"/>
  <c r="M151" i="53" s="1"/>
  <c r="M152" i="53" s="1"/>
  <c r="M153" i="53" s="1"/>
  <c r="M154" i="53" s="1"/>
  <c r="M155" i="53" s="1"/>
  <c r="M156" i="53" s="1"/>
  <c r="M157" i="53" s="1"/>
  <c r="M158" i="53" s="1"/>
  <c r="M159" i="53" s="1"/>
  <c r="M160" i="53" s="1"/>
  <c r="M161" i="53" s="1"/>
  <c r="M162" i="53" s="1"/>
  <c r="M163" i="53" s="1"/>
  <c r="M164" i="53" s="1"/>
  <c r="M165" i="53" s="1"/>
  <c r="M166" i="53" s="1"/>
  <c r="M167" i="53" s="1"/>
  <c r="M168" i="53" s="1"/>
  <c r="M169" i="53" s="1"/>
  <c r="M170" i="53" s="1"/>
  <c r="M171" i="53" s="1"/>
  <c r="M172" i="53" s="1"/>
  <c r="M173" i="53" s="1"/>
  <c r="M174" i="53" s="1"/>
  <c r="M175" i="53" s="1"/>
  <c r="M176" i="53" s="1"/>
  <c r="M177" i="53" s="1"/>
  <c r="M178" i="53" s="1"/>
  <c r="M179" i="53" s="1"/>
  <c r="M180" i="53" s="1"/>
  <c r="M181" i="53" s="1"/>
  <c r="M182" i="53" s="1"/>
  <c r="M183" i="53" s="1"/>
  <c r="M184" i="53" s="1"/>
  <c r="M185" i="53" s="1"/>
  <c r="M186" i="53" s="1"/>
  <c r="M187" i="53" s="1"/>
  <c r="M188" i="53" s="1"/>
  <c r="M189" i="53" s="1"/>
  <c r="M190" i="53" s="1"/>
  <c r="M191" i="53" s="1"/>
  <c r="M192" i="53" s="1"/>
  <c r="M193" i="53" s="1"/>
  <c r="M194" i="53" s="1"/>
  <c r="M195" i="53" s="1"/>
  <c r="M196" i="53" s="1"/>
  <c r="M197" i="53" s="1"/>
  <c r="M198" i="53" s="1"/>
  <c r="M199" i="53" s="1"/>
  <c r="M200" i="53" s="1"/>
  <c r="M201" i="53" s="1"/>
  <c r="M202" i="53" s="1"/>
  <c r="M203" i="53" s="1"/>
  <c r="M204" i="53" s="1"/>
  <c r="M205" i="53" s="1"/>
  <c r="M206" i="53" s="1"/>
  <c r="M207" i="53" s="1"/>
  <c r="M208" i="53" s="1"/>
  <c r="M209" i="53" s="1"/>
  <c r="M210" i="53" s="1"/>
  <c r="M211" i="53" s="1"/>
  <c r="M212" i="53" s="1"/>
  <c r="M213" i="53" s="1"/>
  <c r="M214" i="53" s="1"/>
  <c r="M215" i="53" s="1"/>
  <c r="M216" i="53" s="1"/>
  <c r="M217" i="53" s="1"/>
  <c r="M218" i="53" s="1"/>
  <c r="M219" i="53" s="1"/>
  <c r="M220" i="53" s="1"/>
  <c r="M221" i="53" s="1"/>
  <c r="M222" i="53" s="1"/>
  <c r="M223" i="53" s="1"/>
  <c r="M224" i="53" s="1"/>
  <c r="M225" i="53" s="1"/>
  <c r="M226" i="53" s="1"/>
  <c r="M227" i="53" s="1"/>
  <c r="M228" i="53" s="1"/>
  <c r="M229" i="53" s="1"/>
  <c r="M230" i="53" s="1"/>
  <c r="M231" i="53" s="1"/>
  <c r="M232" i="53" s="1"/>
  <c r="M233" i="53" s="1"/>
  <c r="M234" i="53" s="1"/>
  <c r="M235" i="53" s="1"/>
  <c r="M236" i="53" s="1"/>
  <c r="M237" i="53" s="1"/>
  <c r="M238" i="53" s="1"/>
  <c r="M239" i="53" s="1"/>
  <c r="M240" i="53" s="1"/>
  <c r="M241" i="53" s="1"/>
  <c r="M242" i="53" s="1"/>
  <c r="M243" i="53" s="1"/>
  <c r="M244" i="53" s="1"/>
  <c r="M245" i="53" s="1"/>
  <c r="M246" i="53" s="1"/>
  <c r="M247" i="53" s="1"/>
  <c r="M248" i="53" s="1"/>
  <c r="M249" i="53" s="1"/>
  <c r="M250" i="53" s="1"/>
  <c r="M251" i="53" s="1"/>
  <c r="M252" i="53" s="1"/>
  <c r="M253" i="53" s="1"/>
  <c r="M254" i="53" s="1"/>
  <c r="M255" i="53" s="1"/>
  <c r="M256" i="53" s="1"/>
  <c r="M257" i="53" s="1"/>
  <c r="M258" i="53" s="1"/>
  <c r="M259" i="53" s="1"/>
  <c r="M260" i="53" s="1"/>
  <c r="M261" i="53" s="1"/>
  <c r="M262" i="53" s="1"/>
  <c r="M263" i="53" s="1"/>
  <c r="M264" i="53" s="1"/>
  <c r="M265" i="53" s="1"/>
  <c r="M266" i="53" s="1"/>
  <c r="M267" i="53" s="1"/>
  <c r="M268" i="53" s="1"/>
  <c r="M269" i="53" s="1"/>
  <c r="M270" i="53" s="1"/>
  <c r="M271" i="53" s="1"/>
  <c r="M272" i="53" s="1"/>
  <c r="M273" i="53" s="1"/>
  <c r="M274" i="53" s="1"/>
  <c r="M275" i="53" s="1"/>
  <c r="M276" i="53" s="1"/>
  <c r="M277" i="53" s="1"/>
  <c r="M278" i="53" s="1"/>
  <c r="M279" i="53" s="1"/>
  <c r="M280" i="53" s="1"/>
  <c r="M281" i="53" s="1"/>
  <c r="M282" i="53" s="1"/>
  <c r="M283" i="53" s="1"/>
  <c r="M284" i="53" s="1"/>
  <c r="M285" i="53" s="1"/>
  <c r="M286" i="53" s="1"/>
  <c r="M287" i="53" s="1"/>
  <c r="M288" i="53" s="1"/>
  <c r="M289" i="53" s="1"/>
  <c r="M290" i="53" s="1"/>
  <c r="M291" i="53" s="1"/>
  <c r="M292" i="53" s="1"/>
  <c r="M293" i="53" s="1"/>
  <c r="M294" i="53" s="1"/>
  <c r="M295" i="53" s="1"/>
  <c r="M296" i="53" s="1"/>
  <c r="M297" i="53" s="1"/>
  <c r="M298" i="53" s="1"/>
  <c r="M299" i="53" s="1"/>
  <c r="M300" i="53" s="1"/>
  <c r="M301" i="53" s="1"/>
  <c r="M302" i="53" s="1"/>
  <c r="M303" i="53" s="1"/>
  <c r="M304" i="53" s="1"/>
  <c r="M305" i="53" s="1"/>
  <c r="M306" i="53" s="1"/>
  <c r="M307" i="53" s="1"/>
  <c r="M308" i="53" s="1"/>
  <c r="M309" i="53" s="1"/>
  <c r="M310" i="53" s="1"/>
  <c r="M311" i="53" s="1"/>
  <c r="M312" i="53" s="1"/>
  <c r="M313" i="53" s="1"/>
  <c r="M314" i="53" s="1"/>
  <c r="M315" i="53" s="1"/>
  <c r="M316" i="53" s="1"/>
  <c r="M317" i="53" s="1"/>
  <c r="M318" i="53" s="1"/>
  <c r="M319" i="53" s="1"/>
  <c r="M320" i="53" s="1"/>
  <c r="M321" i="53" s="1"/>
  <c r="M322" i="53" s="1"/>
  <c r="M323" i="53" s="1"/>
  <c r="M324" i="53" s="1"/>
  <c r="M325" i="53" s="1"/>
  <c r="M326" i="53" s="1"/>
  <c r="M327" i="53" s="1"/>
  <c r="M328" i="53" s="1"/>
  <c r="M329" i="53" s="1"/>
  <c r="M330" i="53" s="1"/>
  <c r="M331" i="53" s="1"/>
  <c r="M332" i="53" s="1"/>
  <c r="M333" i="53" s="1"/>
  <c r="M334" i="53" s="1"/>
  <c r="M335" i="53" s="1"/>
  <c r="M336" i="53" s="1"/>
  <c r="M337" i="53" s="1"/>
  <c r="M338" i="53" s="1"/>
  <c r="L5" i="19" l="1"/>
  <c r="K6" i="52"/>
  <c r="K11" i="52"/>
  <c r="K36" i="52"/>
  <c r="K40" i="52"/>
  <c r="K44" i="52"/>
  <c r="K48" i="52"/>
  <c r="K52" i="52"/>
  <c r="K56" i="52"/>
  <c r="K60" i="52"/>
  <c r="K64" i="52"/>
  <c r="K68" i="52"/>
  <c r="K72" i="52"/>
  <c r="K76" i="52"/>
  <c r="K80" i="52"/>
  <c r="K84" i="52"/>
  <c r="K88" i="52"/>
  <c r="K92" i="52"/>
  <c r="K96" i="52"/>
  <c r="K100" i="52"/>
  <c r="K102" i="52"/>
  <c r="K104" i="52"/>
  <c r="K106" i="52"/>
  <c r="K108" i="52"/>
  <c r="K110" i="52"/>
  <c r="K112" i="52"/>
  <c r="K114" i="52"/>
  <c r="K116" i="52"/>
  <c r="K118" i="52"/>
  <c r="K120" i="52"/>
  <c r="K122" i="52"/>
  <c r="K124" i="52"/>
  <c r="K126" i="52"/>
  <c r="K128" i="52"/>
  <c r="K130" i="52"/>
  <c r="K132" i="52"/>
  <c r="K134" i="52"/>
  <c r="K136" i="52"/>
  <c r="K138" i="52"/>
  <c r="K140" i="52"/>
  <c r="K142" i="52"/>
  <c r="K144" i="52"/>
  <c r="K146" i="52"/>
  <c r="K148" i="52"/>
  <c r="K150" i="52"/>
  <c r="K152" i="52"/>
  <c r="K154" i="52"/>
  <c r="K156" i="52"/>
  <c r="K158" i="52"/>
  <c r="K160" i="52"/>
  <c r="K162" i="52"/>
  <c r="K164" i="52"/>
  <c r="K166" i="52"/>
  <c r="K168" i="52"/>
  <c r="K170" i="52"/>
  <c r="K172" i="52"/>
  <c r="K174" i="52"/>
  <c r="K176" i="52"/>
  <c r="K178" i="52"/>
  <c r="K180" i="52"/>
  <c r="K182" i="52"/>
  <c r="K184" i="52"/>
  <c r="K186" i="52"/>
  <c r="K188" i="52"/>
  <c r="K190" i="52"/>
  <c r="K192" i="52"/>
  <c r="K194" i="52"/>
  <c r="K196" i="52"/>
  <c r="K198" i="52"/>
  <c r="K200" i="52"/>
  <c r="K202" i="52"/>
  <c r="K204" i="52"/>
  <c r="K206" i="52"/>
  <c r="K208" i="52"/>
  <c r="K210" i="52"/>
  <c r="K212" i="52"/>
  <c r="K214" i="52"/>
  <c r="K216" i="52"/>
  <c r="K218" i="52"/>
  <c r="K220" i="52"/>
  <c r="K4" i="52"/>
  <c r="K9" i="52"/>
  <c r="K13" i="52"/>
  <c r="K34" i="52"/>
  <c r="K38" i="52"/>
  <c r="K42" i="52"/>
  <c r="K46" i="52"/>
  <c r="K50" i="52"/>
  <c r="K54" i="52"/>
  <c r="K58" i="52"/>
  <c r="K62" i="52"/>
  <c r="K66" i="52"/>
  <c r="K70" i="52"/>
  <c r="K74" i="52"/>
  <c r="K78" i="52"/>
  <c r="K82" i="52"/>
  <c r="K86" i="52"/>
  <c r="K90" i="52"/>
  <c r="K94" i="52"/>
  <c r="K98" i="52"/>
  <c r="K3" i="52"/>
  <c r="K5" i="52"/>
  <c r="K7" i="52"/>
  <c r="K10" i="52"/>
  <c r="K12" i="52"/>
  <c r="K14" i="52"/>
  <c r="K33" i="52"/>
  <c r="K35" i="52"/>
  <c r="K37" i="52"/>
  <c r="K39" i="52"/>
  <c r="K41" i="52"/>
  <c r="K43" i="52"/>
  <c r="K45" i="52"/>
  <c r="K47" i="52"/>
  <c r="K49" i="52"/>
  <c r="K51" i="52"/>
  <c r="K53" i="52"/>
  <c r="K55" i="52"/>
  <c r="K57" i="52"/>
  <c r="K59" i="52"/>
  <c r="K61" i="52"/>
  <c r="K63" i="52"/>
  <c r="K65" i="52"/>
  <c r="K67" i="52"/>
  <c r="K69" i="52"/>
  <c r="K71" i="52"/>
  <c r="K73" i="52"/>
  <c r="K75" i="52"/>
  <c r="K77" i="52"/>
  <c r="K79" i="52"/>
  <c r="K81" i="52"/>
  <c r="K83" i="52"/>
  <c r="K85" i="52"/>
  <c r="K87" i="52"/>
  <c r="K89" i="52"/>
  <c r="K91" i="52"/>
  <c r="K93" i="52"/>
  <c r="K95" i="52"/>
  <c r="K97" i="52"/>
  <c r="K99" i="52"/>
  <c r="K101" i="52"/>
  <c r="K103" i="52"/>
  <c r="K105" i="52"/>
  <c r="K107" i="52"/>
  <c r="K109" i="52"/>
  <c r="K111" i="52"/>
  <c r="K113" i="52"/>
  <c r="K115" i="52"/>
  <c r="K117" i="52"/>
  <c r="K119" i="52"/>
  <c r="K121" i="52"/>
  <c r="K123" i="52"/>
  <c r="K125" i="52"/>
  <c r="K127" i="52"/>
  <c r="K129" i="52"/>
  <c r="K131" i="52"/>
  <c r="K133" i="52"/>
  <c r="K135" i="52"/>
  <c r="K137" i="52"/>
  <c r="K139" i="52"/>
  <c r="K141" i="52"/>
  <c r="K143" i="52"/>
  <c r="K145" i="52"/>
  <c r="K147" i="52"/>
  <c r="K149" i="52"/>
  <c r="K151" i="52"/>
  <c r="K153" i="52"/>
  <c r="K155" i="52"/>
  <c r="K157" i="52"/>
  <c r="K159" i="52"/>
  <c r="K161" i="52"/>
  <c r="K163" i="52"/>
  <c r="K165" i="52"/>
  <c r="K167" i="52"/>
  <c r="K169" i="52"/>
  <c r="K171" i="52"/>
  <c r="K173" i="52"/>
  <c r="K175" i="52"/>
  <c r="K177" i="52"/>
  <c r="K179" i="52"/>
  <c r="K181" i="52"/>
  <c r="K183" i="52"/>
  <c r="K185" i="52"/>
  <c r="K187" i="52"/>
  <c r="K189" i="52"/>
  <c r="K191" i="52"/>
  <c r="K193" i="52"/>
  <c r="K195" i="52"/>
  <c r="K197" i="52"/>
  <c r="K199" i="52"/>
  <c r="K201" i="52"/>
  <c r="K203" i="52"/>
  <c r="K205" i="52"/>
  <c r="K207" i="52"/>
  <c r="K209" i="52"/>
  <c r="K211" i="52"/>
  <c r="K213" i="52"/>
  <c r="K215" i="52"/>
  <c r="K217" i="52"/>
  <c r="K219" i="52"/>
  <c r="K221" i="52"/>
  <c r="K222" i="52"/>
  <c r="K223" i="52"/>
  <c r="K224" i="52"/>
  <c r="K225" i="52"/>
  <c r="K226" i="52"/>
  <c r="K227" i="52"/>
  <c r="K228" i="52"/>
  <c r="K229" i="52"/>
  <c r="K230" i="52"/>
  <c r="K231" i="52"/>
  <c r="K232" i="52"/>
  <c r="K233" i="52"/>
  <c r="K234" i="52"/>
  <c r="K235" i="52"/>
  <c r="K236" i="52"/>
  <c r="K237" i="52"/>
  <c r="K238" i="52"/>
  <c r="K239" i="52"/>
  <c r="K240" i="52"/>
  <c r="K241" i="52"/>
  <c r="K242" i="52"/>
  <c r="K243" i="52"/>
  <c r="K244" i="52"/>
  <c r="K245" i="52"/>
  <c r="K246" i="52"/>
  <c r="K247" i="52"/>
  <c r="K248" i="52"/>
  <c r="K249" i="52"/>
  <c r="K250" i="52"/>
  <c r="K251" i="52"/>
  <c r="K252" i="52"/>
  <c r="K253" i="52"/>
  <c r="K254" i="52"/>
  <c r="K255" i="52"/>
  <c r="K256" i="52"/>
  <c r="K257" i="52"/>
  <c r="K258" i="52"/>
  <c r="K259" i="52"/>
  <c r="K260" i="52"/>
  <c r="K261" i="52"/>
  <c r="K262" i="52"/>
  <c r="K263" i="52"/>
  <c r="K264" i="52"/>
  <c r="K265" i="52"/>
  <c r="K266" i="52"/>
  <c r="K267" i="52"/>
  <c r="K268" i="52"/>
  <c r="K269" i="52"/>
  <c r="K270" i="52"/>
  <c r="K271" i="52"/>
  <c r="K272" i="52"/>
  <c r="K273" i="52"/>
  <c r="K274" i="52"/>
  <c r="K275" i="52"/>
  <c r="K276" i="52"/>
  <c r="K277" i="52"/>
  <c r="K278" i="52"/>
  <c r="K279" i="52"/>
  <c r="K280" i="52"/>
  <c r="K281" i="52"/>
  <c r="K282" i="52"/>
  <c r="K283" i="52"/>
  <c r="K284" i="52"/>
  <c r="K285" i="52"/>
  <c r="K286" i="52"/>
  <c r="K287" i="52"/>
  <c r="K288" i="52"/>
  <c r="K289" i="52"/>
  <c r="K290" i="52"/>
  <c r="K291" i="52"/>
  <c r="K292" i="52"/>
  <c r="K293" i="52"/>
  <c r="K294" i="52"/>
  <c r="K295" i="52"/>
  <c r="K296" i="52"/>
  <c r="K297" i="52"/>
  <c r="K298" i="52"/>
  <c r="K299" i="52"/>
  <c r="K300" i="52"/>
  <c r="K301" i="52"/>
  <c r="K302" i="52"/>
  <c r="K303" i="52"/>
  <c r="K304" i="52"/>
  <c r="K305" i="52"/>
  <c r="K306" i="52"/>
  <c r="K307" i="52"/>
  <c r="K308" i="52"/>
  <c r="K309" i="52"/>
  <c r="K310" i="52"/>
  <c r="K311" i="52"/>
  <c r="K312" i="52"/>
  <c r="K313" i="52"/>
  <c r="K314" i="52"/>
  <c r="K315" i="52"/>
  <c r="K316" i="52"/>
  <c r="K317" i="52"/>
  <c r="K318" i="52"/>
  <c r="K319" i="52"/>
  <c r="K320" i="52"/>
  <c r="K321" i="52"/>
  <c r="K322" i="52"/>
  <c r="K323" i="52"/>
  <c r="K324" i="52"/>
  <c r="K325" i="52"/>
  <c r="K326" i="52"/>
  <c r="K327" i="52"/>
  <c r="K328" i="52"/>
  <c r="K329" i="52"/>
  <c r="K330" i="52"/>
  <c r="K331" i="52"/>
  <c r="K332" i="52"/>
  <c r="K333" i="52"/>
  <c r="K334" i="52"/>
  <c r="K335" i="52"/>
  <c r="K336" i="52"/>
  <c r="K337" i="52"/>
  <c r="K338" i="52"/>
  <c r="K339" i="52"/>
  <c r="K340" i="52"/>
  <c r="K2" i="52" l="1"/>
  <c r="M2" i="52" l="1"/>
  <c r="M3" i="52" s="1"/>
  <c r="M4" i="52" s="1"/>
  <c r="M5" i="52" s="1"/>
  <c r="M6" i="52" s="1"/>
  <c r="M7" i="52" s="1"/>
  <c r="M8" i="52" s="1"/>
  <c r="M9" i="52" s="1"/>
  <c r="M10" i="52" s="1"/>
  <c r="M11" i="52" s="1"/>
  <c r="M12" i="52" s="1"/>
  <c r="M13" i="52" s="1"/>
  <c r="M14" i="52" s="1"/>
  <c r="N10" i="52"/>
  <c r="B20" i="14" s="1"/>
  <c r="M15" i="52" l="1"/>
  <c r="M16" i="52" s="1"/>
  <c r="M17" i="52" s="1"/>
  <c r="M18" i="52" s="1"/>
  <c r="M19" i="52" s="1"/>
  <c r="M20" i="52" s="1"/>
  <c r="M21" i="52" s="1"/>
  <c r="M22" i="52" s="1"/>
  <c r="M23" i="52" s="1"/>
  <c r="M24" i="52" s="1"/>
  <c r="M25" i="52" s="1"/>
  <c r="M26" i="52" s="1"/>
  <c r="M27" i="52" s="1"/>
  <c r="M28" i="52" s="1"/>
  <c r="M29" i="52" s="1"/>
  <c r="M30" i="52" s="1"/>
  <c r="M31" i="52" s="1"/>
  <c r="M32" i="52" s="1"/>
  <c r="M33" i="52" s="1"/>
  <c r="M34" i="52" s="1"/>
  <c r="M35" i="52" s="1"/>
  <c r="M36" i="52" s="1"/>
  <c r="M37" i="52" s="1"/>
  <c r="M38" i="52" s="1"/>
  <c r="M39" i="52" s="1"/>
  <c r="M40" i="52" s="1"/>
  <c r="M41" i="52" s="1"/>
  <c r="M42" i="52" s="1"/>
  <c r="M43" i="52" s="1"/>
  <c r="M44" i="52" s="1"/>
  <c r="M45" i="52" s="1"/>
  <c r="M46" i="52" s="1"/>
  <c r="M47" i="52" s="1"/>
  <c r="M48" i="52" s="1"/>
  <c r="M49" i="52" s="1"/>
  <c r="M50" i="52" s="1"/>
  <c r="M51" i="52" s="1"/>
  <c r="M52" i="52" s="1"/>
  <c r="M53" i="52" s="1"/>
  <c r="M54" i="52" s="1"/>
  <c r="M55" i="52" s="1"/>
  <c r="M56" i="52" s="1"/>
  <c r="M57" i="52" s="1"/>
  <c r="M58" i="52" s="1"/>
  <c r="M59" i="52" s="1"/>
  <c r="M60" i="52" s="1"/>
  <c r="M61" i="52" s="1"/>
  <c r="M62" i="52" s="1"/>
  <c r="M63" i="52" s="1"/>
  <c r="M64" i="52" s="1"/>
  <c r="M65" i="52" s="1"/>
  <c r="M66" i="52" s="1"/>
  <c r="M67" i="52" s="1"/>
  <c r="M68" i="52" s="1"/>
  <c r="M69" i="52" s="1"/>
  <c r="M70" i="52" s="1"/>
  <c r="M71" i="52" s="1"/>
  <c r="M72" i="52" s="1"/>
  <c r="M73" i="52" s="1"/>
  <c r="M74" i="52" s="1"/>
  <c r="M75" i="52" s="1"/>
  <c r="M76" i="52" s="1"/>
  <c r="M77" i="52" s="1"/>
  <c r="M78" i="52" s="1"/>
  <c r="M79" i="52" s="1"/>
  <c r="M80" i="52" s="1"/>
  <c r="M81" i="52" s="1"/>
  <c r="M82" i="52" s="1"/>
  <c r="M83" i="52" s="1"/>
  <c r="M84" i="52" s="1"/>
  <c r="M85" i="52" s="1"/>
  <c r="M86" i="52" s="1"/>
  <c r="M87" i="52" s="1"/>
  <c r="M88" i="52" s="1"/>
  <c r="M89" i="52" s="1"/>
  <c r="M90" i="52" s="1"/>
  <c r="M91" i="52" s="1"/>
  <c r="M92" i="52" s="1"/>
  <c r="M93" i="52" s="1"/>
  <c r="M94" i="52" s="1"/>
  <c r="M95" i="52" s="1"/>
  <c r="M96" i="52" s="1"/>
  <c r="M97" i="52" s="1"/>
  <c r="M98" i="52" s="1"/>
  <c r="M99" i="52" s="1"/>
  <c r="M100" i="52" s="1"/>
  <c r="M101" i="52" s="1"/>
  <c r="M102" i="52" s="1"/>
  <c r="M103" i="52" s="1"/>
  <c r="M104" i="52" s="1"/>
  <c r="M105" i="52" s="1"/>
  <c r="M106" i="52" s="1"/>
  <c r="M107" i="52" s="1"/>
  <c r="M108" i="52" s="1"/>
  <c r="M109" i="52" s="1"/>
  <c r="M110" i="52" s="1"/>
  <c r="M111" i="52" s="1"/>
  <c r="M112" i="52" s="1"/>
  <c r="M113" i="52" s="1"/>
  <c r="M114" i="52" s="1"/>
  <c r="M115" i="52" s="1"/>
  <c r="M116" i="52" s="1"/>
  <c r="M117" i="52" s="1"/>
  <c r="M118" i="52" s="1"/>
  <c r="M119" i="52" s="1"/>
  <c r="M120" i="52" s="1"/>
  <c r="M121" i="52" s="1"/>
  <c r="M122" i="52" s="1"/>
  <c r="M123" i="52" s="1"/>
  <c r="M124" i="52" s="1"/>
  <c r="M125" i="52" s="1"/>
  <c r="M126" i="52" s="1"/>
  <c r="M127" i="52" s="1"/>
  <c r="M128" i="52" s="1"/>
  <c r="M129" i="52" s="1"/>
  <c r="M130" i="52" s="1"/>
  <c r="M131" i="52" s="1"/>
  <c r="M132" i="52" s="1"/>
  <c r="M133" i="52" s="1"/>
  <c r="M134" i="52" s="1"/>
  <c r="M135" i="52" s="1"/>
  <c r="M136" i="52" s="1"/>
  <c r="M137" i="52" s="1"/>
  <c r="M138" i="52" s="1"/>
  <c r="M139" i="52" s="1"/>
  <c r="M140" i="52" s="1"/>
  <c r="M141" i="52" s="1"/>
  <c r="M142" i="52" s="1"/>
  <c r="M143" i="52" s="1"/>
  <c r="M144" i="52" s="1"/>
  <c r="M145" i="52" s="1"/>
  <c r="M146" i="52" s="1"/>
  <c r="M147" i="52" s="1"/>
  <c r="M148" i="52" s="1"/>
  <c r="M149" i="52" s="1"/>
  <c r="M150" i="52" s="1"/>
  <c r="M151" i="52" s="1"/>
  <c r="M152" i="52" s="1"/>
  <c r="M153" i="52" s="1"/>
  <c r="M154" i="52" s="1"/>
  <c r="M155" i="52" s="1"/>
  <c r="M156" i="52" s="1"/>
  <c r="M157" i="52" s="1"/>
  <c r="M158" i="52" s="1"/>
  <c r="M159" i="52" s="1"/>
  <c r="M160" i="52" s="1"/>
  <c r="M161" i="52" s="1"/>
  <c r="M162" i="52" s="1"/>
  <c r="M163" i="52" s="1"/>
  <c r="M164" i="52" s="1"/>
  <c r="M165" i="52" s="1"/>
  <c r="M166" i="52" s="1"/>
  <c r="M167" i="52" s="1"/>
  <c r="M168" i="52" s="1"/>
  <c r="M169" i="52" s="1"/>
  <c r="M170" i="52" s="1"/>
  <c r="M171" i="52" s="1"/>
  <c r="M172" i="52" s="1"/>
  <c r="M173" i="52" s="1"/>
  <c r="M174" i="52" s="1"/>
  <c r="M175" i="52" s="1"/>
  <c r="M176" i="52" s="1"/>
  <c r="M177" i="52" s="1"/>
  <c r="M178" i="52" s="1"/>
  <c r="M179" i="52" s="1"/>
  <c r="M180" i="52" s="1"/>
  <c r="M181" i="52" s="1"/>
  <c r="M182" i="52" s="1"/>
  <c r="M183" i="52" s="1"/>
  <c r="M184" i="52" s="1"/>
  <c r="M185" i="52" s="1"/>
  <c r="M186" i="52" s="1"/>
  <c r="M187" i="52" s="1"/>
  <c r="M188" i="52" s="1"/>
  <c r="M189" i="52" s="1"/>
  <c r="M190" i="52" s="1"/>
  <c r="M191" i="52" s="1"/>
  <c r="M192" i="52" s="1"/>
  <c r="M193" i="52" s="1"/>
  <c r="M194" i="52" s="1"/>
  <c r="M195" i="52" s="1"/>
  <c r="M196" i="52" s="1"/>
  <c r="M197" i="52" s="1"/>
  <c r="M198" i="52" s="1"/>
  <c r="M199" i="52" s="1"/>
  <c r="M200" i="52" s="1"/>
  <c r="M201" i="52" s="1"/>
  <c r="M202" i="52" s="1"/>
  <c r="M203" i="52" s="1"/>
  <c r="M204" i="52" s="1"/>
  <c r="M205" i="52" s="1"/>
  <c r="M206" i="52" s="1"/>
  <c r="M207" i="52" s="1"/>
  <c r="M208" i="52" s="1"/>
  <c r="M209" i="52" s="1"/>
  <c r="M210" i="52" s="1"/>
  <c r="M211" i="52" s="1"/>
  <c r="M212" i="52" s="1"/>
  <c r="M213" i="52" s="1"/>
  <c r="M214" i="52" s="1"/>
  <c r="M215" i="52" s="1"/>
  <c r="M216" i="52" s="1"/>
  <c r="M217" i="52" s="1"/>
  <c r="M218" i="52" s="1"/>
  <c r="M219" i="52" s="1"/>
  <c r="M220" i="52" s="1"/>
  <c r="M221" i="52" s="1"/>
  <c r="M222" i="52" s="1"/>
  <c r="M223" i="52" s="1"/>
  <c r="M224" i="52" s="1"/>
  <c r="M225" i="52" s="1"/>
  <c r="M226" i="52" s="1"/>
  <c r="M227" i="52" s="1"/>
  <c r="M228" i="52" s="1"/>
  <c r="M229" i="52" s="1"/>
  <c r="M230" i="52" s="1"/>
  <c r="M231" i="52" s="1"/>
  <c r="M232" i="52" s="1"/>
  <c r="M233" i="52" s="1"/>
  <c r="M234" i="52" s="1"/>
  <c r="M235" i="52" s="1"/>
  <c r="M236" i="52" s="1"/>
  <c r="M237" i="52" s="1"/>
  <c r="M238" i="52" s="1"/>
  <c r="M239" i="52" s="1"/>
  <c r="M240" i="52" s="1"/>
  <c r="M241" i="52" s="1"/>
  <c r="M242" i="52" s="1"/>
  <c r="M243" i="52" s="1"/>
  <c r="M244" i="52" s="1"/>
  <c r="M245" i="52" s="1"/>
  <c r="M246" i="52" s="1"/>
  <c r="M247" i="52" s="1"/>
  <c r="M248" i="52" s="1"/>
  <c r="M249" i="52" s="1"/>
  <c r="M250" i="52" s="1"/>
  <c r="M251" i="52" s="1"/>
  <c r="M252" i="52" s="1"/>
  <c r="M253" i="52" s="1"/>
  <c r="M254" i="52" s="1"/>
  <c r="M255" i="52" s="1"/>
  <c r="M256" i="52" s="1"/>
  <c r="M257" i="52" s="1"/>
  <c r="M258" i="52" s="1"/>
  <c r="M259" i="52" s="1"/>
  <c r="M260" i="52" s="1"/>
  <c r="M261" i="52" s="1"/>
  <c r="M262" i="52" s="1"/>
  <c r="M263" i="52" s="1"/>
  <c r="M264" i="52" s="1"/>
  <c r="M265" i="52" s="1"/>
  <c r="M266" i="52" s="1"/>
  <c r="M267" i="52" s="1"/>
  <c r="M268" i="52" s="1"/>
  <c r="M269" i="52" s="1"/>
  <c r="M270" i="52" s="1"/>
  <c r="M271" i="52" s="1"/>
  <c r="M272" i="52" s="1"/>
  <c r="M273" i="52" s="1"/>
  <c r="M274" i="52" s="1"/>
  <c r="M275" i="52" s="1"/>
  <c r="M276" i="52" s="1"/>
  <c r="M277" i="52" s="1"/>
  <c r="M278" i="52" s="1"/>
  <c r="M279" i="52" s="1"/>
  <c r="M280" i="52" s="1"/>
  <c r="M281" i="52" s="1"/>
  <c r="M282" i="52" s="1"/>
  <c r="M283" i="52" s="1"/>
  <c r="M284" i="52" s="1"/>
  <c r="M285" i="52" s="1"/>
  <c r="M286" i="52" s="1"/>
  <c r="M287" i="52" s="1"/>
  <c r="M288" i="52" s="1"/>
  <c r="M289" i="52" s="1"/>
  <c r="M290" i="52" s="1"/>
  <c r="M291" i="52" s="1"/>
  <c r="M292" i="52" s="1"/>
  <c r="M293" i="52" s="1"/>
  <c r="M294" i="52" s="1"/>
  <c r="M295" i="52" s="1"/>
  <c r="M296" i="52" s="1"/>
  <c r="M297" i="52" s="1"/>
  <c r="M298" i="52" s="1"/>
  <c r="M299" i="52" s="1"/>
  <c r="M300" i="52" s="1"/>
  <c r="M301" i="52" s="1"/>
  <c r="M302" i="52" s="1"/>
  <c r="M303" i="52" s="1"/>
  <c r="M304" i="52" s="1"/>
  <c r="M305" i="52" s="1"/>
  <c r="M306" i="52" s="1"/>
  <c r="M307" i="52" s="1"/>
  <c r="M308" i="52" s="1"/>
  <c r="M309" i="52" s="1"/>
  <c r="M310" i="52" s="1"/>
  <c r="M311" i="52" s="1"/>
  <c r="M312" i="52" s="1"/>
  <c r="M313" i="52" s="1"/>
  <c r="M314" i="52" s="1"/>
  <c r="M315" i="52" s="1"/>
  <c r="M316" i="52" s="1"/>
  <c r="M317" i="52" s="1"/>
  <c r="M318" i="52" s="1"/>
  <c r="M319" i="52" s="1"/>
  <c r="M320" i="52" s="1"/>
  <c r="M321" i="52" s="1"/>
  <c r="M322" i="52" s="1"/>
  <c r="M323" i="52" s="1"/>
  <c r="M324" i="52" s="1"/>
  <c r="M325" i="52" s="1"/>
  <c r="M326" i="52" s="1"/>
  <c r="M327" i="52" s="1"/>
  <c r="M328" i="52" s="1"/>
  <c r="M329" i="52" s="1"/>
  <c r="M330" i="52" s="1"/>
  <c r="M331" i="52" s="1"/>
  <c r="M332" i="52" s="1"/>
  <c r="M333" i="52" s="1"/>
  <c r="M334" i="52" s="1"/>
  <c r="M335" i="52" s="1"/>
  <c r="M336" i="52" s="1"/>
  <c r="M337" i="52" s="1"/>
  <c r="M338" i="52" s="1"/>
  <c r="M339" i="52" s="1"/>
  <c r="M340" i="52" s="1"/>
  <c r="P9" i="33" l="1"/>
  <c r="O4000" i="33" s="1"/>
  <c r="L4" i="19" l="1"/>
  <c r="L3" i="19"/>
  <c r="I8" i="50"/>
  <c r="K48" i="8" l="1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B3" i="14" l="1"/>
  <c r="M3" i="44"/>
  <c r="M4" i="44" s="1"/>
  <c r="M5" i="44" s="1"/>
  <c r="M6" i="44" s="1"/>
  <c r="M7" i="44" s="1"/>
  <c r="M8" i="44" s="1"/>
  <c r="M9" i="44" s="1"/>
  <c r="M13" i="44" s="1"/>
  <c r="M14" i="44" s="1"/>
  <c r="M15" i="44" s="1"/>
  <c r="M16" i="44" s="1"/>
  <c r="M17" i="44" s="1"/>
  <c r="M18" i="44" s="1"/>
  <c r="M19" i="44" s="1"/>
  <c r="M20" i="44" s="1"/>
  <c r="M21" i="44" s="1"/>
  <c r="M22" i="44" s="1"/>
  <c r="M23" i="44" s="1"/>
  <c r="M24" i="44" s="1"/>
  <c r="M25" i="44" s="1"/>
  <c r="M26" i="44" s="1"/>
  <c r="M27" i="44" l="1"/>
  <c r="M28" i="44" s="1"/>
  <c r="M29" i="44" s="1"/>
  <c r="M30" i="44" l="1"/>
  <c r="M31" i="44" s="1"/>
  <c r="M32" i="44" s="1"/>
  <c r="M33" i="44" s="1"/>
  <c r="M34" i="44" s="1"/>
  <c r="M35" i="44" s="1"/>
  <c r="M36" i="44" s="1"/>
  <c r="M37" i="44" s="1"/>
  <c r="M38" i="44" s="1"/>
  <c r="M39" i="44" s="1"/>
  <c r="M40" i="44" s="1"/>
  <c r="M41" i="44" l="1"/>
  <c r="M42" i="44" s="1"/>
  <c r="M43" i="44" s="1"/>
  <c r="M44" i="44" s="1"/>
  <c r="M45" i="44" s="1"/>
  <c r="L14" i="47"/>
  <c r="M46" i="44" l="1"/>
  <c r="M47" i="44" s="1"/>
  <c r="M48" i="44" s="1"/>
  <c r="M49" i="44" s="1"/>
  <c r="K345" i="4"/>
  <c r="K58" i="5"/>
  <c r="M50" i="44" l="1"/>
  <c r="M51" i="44" s="1"/>
  <c r="M52" i="44" s="1"/>
  <c r="M53" i="44" s="1"/>
  <c r="K8" i="35"/>
  <c r="K7" i="35"/>
  <c r="M54" i="44" l="1"/>
  <c r="M55" i="44" s="1"/>
  <c r="M56" i="44" s="1"/>
  <c r="M57" i="44" s="1"/>
  <c r="M58" i="44" s="1"/>
  <c r="M59" i="44" s="1"/>
  <c r="I347" i="50"/>
  <c r="I346" i="50"/>
  <c r="I345" i="50"/>
  <c r="P27" i="50" l="1"/>
  <c r="M2" i="50"/>
  <c r="M60" i="44"/>
  <c r="M61" i="44" s="1"/>
  <c r="M62" i="44" s="1"/>
  <c r="M63" i="44" s="1"/>
  <c r="M64" i="44" s="1"/>
  <c r="M65" i="44" s="1"/>
  <c r="M66" i="44" s="1"/>
  <c r="M67" i="44" s="1"/>
  <c r="M68" i="44" s="1"/>
  <c r="M69" i="44" s="1"/>
  <c r="M70" i="44" s="1"/>
  <c r="M71" i="44" s="1"/>
  <c r="O27" i="50"/>
  <c r="B13" i="14" s="1"/>
  <c r="K56" i="5"/>
  <c r="M72" i="44" l="1"/>
  <c r="M73" i="44" s="1"/>
  <c r="M74" i="44" s="1"/>
  <c r="M75" i="44" s="1"/>
  <c r="M76" i="44" s="1"/>
  <c r="M3" i="50"/>
  <c r="M4" i="50" s="1"/>
  <c r="M5" i="50" s="1"/>
  <c r="M77" i="44" l="1"/>
  <c r="M78" i="44" s="1"/>
  <c r="M79" i="44" s="1"/>
  <c r="M80" i="44" s="1"/>
  <c r="M81" i="44" s="1"/>
  <c r="M82" i="44" s="1"/>
  <c r="M83" i="44" s="1"/>
  <c r="M84" i="44" s="1"/>
  <c r="M85" i="44" s="1"/>
  <c r="M86" i="44" s="1"/>
  <c r="M87" i="44" s="1"/>
  <c r="M88" i="44" s="1"/>
  <c r="M89" i="44" s="1"/>
  <c r="M90" i="44" s="1"/>
  <c r="M91" i="44" s="1"/>
  <c r="M92" i="44" s="1"/>
  <c r="M93" i="44" s="1"/>
  <c r="M94" i="44" s="1"/>
  <c r="M95" i="44" s="1"/>
  <c r="M96" i="44" s="1"/>
  <c r="M97" i="44" s="1"/>
  <c r="M98" i="44" s="1"/>
  <c r="M99" i="44" s="1"/>
  <c r="M100" i="44" s="1"/>
  <c r="M101" i="44" s="1"/>
  <c r="M102" i="44" s="1"/>
  <c r="M103" i="44" s="1"/>
  <c r="M104" i="44" s="1"/>
  <c r="M105" i="44" s="1"/>
  <c r="M106" i="44" s="1"/>
  <c r="M107" i="44" s="1"/>
  <c r="M108" i="44" s="1"/>
  <c r="M109" i="44" s="1"/>
  <c r="M110" i="44" s="1"/>
  <c r="M111" i="44" s="1"/>
  <c r="M112" i="44" s="1"/>
  <c r="M113" i="44" s="1"/>
  <c r="M114" i="44" s="1"/>
  <c r="M115" i="44" s="1"/>
  <c r="M116" i="44" s="1"/>
  <c r="M117" i="44" s="1"/>
  <c r="M118" i="44" s="1"/>
  <c r="M119" i="44" s="1"/>
  <c r="M120" i="44" s="1"/>
  <c r="M121" i="44" s="1"/>
  <c r="M122" i="44" s="1"/>
  <c r="M123" i="44" s="1"/>
  <c r="M124" i="44" s="1"/>
  <c r="M125" i="44" s="1"/>
  <c r="M126" i="44" s="1"/>
  <c r="M127" i="44" s="1"/>
  <c r="M128" i="44" s="1"/>
  <c r="M129" i="44" s="1"/>
  <c r="M130" i="44" s="1"/>
  <c r="M131" i="44" s="1"/>
  <c r="M132" i="44" s="1"/>
  <c r="M133" i="44" s="1"/>
  <c r="M134" i="44" s="1"/>
  <c r="M135" i="44" s="1"/>
  <c r="M136" i="44" s="1"/>
  <c r="M137" i="44" s="1"/>
  <c r="M138" i="44" s="1"/>
  <c r="M139" i="44" s="1"/>
  <c r="M140" i="44" s="1"/>
  <c r="M141" i="44" s="1"/>
  <c r="M142" i="44" s="1"/>
  <c r="M143" i="44" s="1"/>
  <c r="M144" i="44" s="1"/>
  <c r="M145" i="44" s="1"/>
  <c r="M146" i="44" s="1"/>
  <c r="M147" i="44" s="1"/>
  <c r="M148" i="44" s="1"/>
  <c r="M149" i="44" s="1"/>
  <c r="M150" i="44" s="1"/>
  <c r="M151" i="44" s="1"/>
  <c r="M152" i="44" s="1"/>
  <c r="M153" i="44" s="1"/>
  <c r="M154" i="44" s="1"/>
  <c r="M155" i="44" s="1"/>
  <c r="M156" i="44" s="1"/>
  <c r="M157" i="44" s="1"/>
  <c r="M158" i="44" s="1"/>
  <c r="M159" i="44" s="1"/>
  <c r="M160" i="44" s="1"/>
  <c r="M161" i="44" s="1"/>
  <c r="M162" i="44" s="1"/>
  <c r="M163" i="44" s="1"/>
  <c r="M164" i="44" s="1"/>
  <c r="M165" i="44" s="1"/>
  <c r="M166" i="44" s="1"/>
  <c r="M167" i="44" s="1"/>
  <c r="M168" i="44" s="1"/>
  <c r="M169" i="44" s="1"/>
  <c r="M170" i="44" s="1"/>
  <c r="M171" i="44" s="1"/>
  <c r="M172" i="44" s="1"/>
  <c r="M173" i="44" s="1"/>
  <c r="M174" i="44" s="1"/>
  <c r="M175" i="44" s="1"/>
  <c r="M176" i="44" s="1"/>
  <c r="M177" i="44" s="1"/>
  <c r="M178" i="44" s="1"/>
  <c r="M179" i="44" s="1"/>
  <c r="M180" i="44" s="1"/>
  <c r="M181" i="44" s="1"/>
  <c r="M182" i="44" s="1"/>
  <c r="M183" i="44" s="1"/>
  <c r="M184" i="44" s="1"/>
  <c r="M185" i="44" s="1"/>
  <c r="M186" i="44" s="1"/>
  <c r="M187" i="44" s="1"/>
  <c r="M188" i="44" s="1"/>
  <c r="M189" i="44" s="1"/>
  <c r="M190" i="44" s="1"/>
  <c r="M191" i="44" s="1"/>
  <c r="M192" i="44" s="1"/>
  <c r="M193" i="44" s="1"/>
  <c r="M194" i="44" s="1"/>
  <c r="M195" i="44" s="1"/>
  <c r="M196" i="44" s="1"/>
  <c r="M197" i="44" s="1"/>
  <c r="M198" i="44" s="1"/>
  <c r="M199" i="44" s="1"/>
  <c r="M200" i="44" s="1"/>
  <c r="M201" i="44" s="1"/>
  <c r="M202" i="44" s="1"/>
  <c r="M203" i="44" s="1"/>
  <c r="M204" i="44" s="1"/>
  <c r="M205" i="44" s="1"/>
  <c r="M206" i="44" s="1"/>
  <c r="M207" i="44" s="1"/>
  <c r="M208" i="44" s="1"/>
  <c r="M209" i="44" s="1"/>
  <c r="M210" i="44" s="1"/>
  <c r="M211" i="44" s="1"/>
  <c r="M212" i="44" s="1"/>
  <c r="M213" i="44" s="1"/>
  <c r="M214" i="44" s="1"/>
  <c r="M215" i="44" s="1"/>
  <c r="M216" i="44" s="1"/>
  <c r="M217" i="44" s="1"/>
  <c r="M218" i="44" s="1"/>
  <c r="M219" i="44" s="1"/>
  <c r="M220" i="44" s="1"/>
  <c r="M221" i="44" s="1"/>
  <c r="M222" i="44" s="1"/>
  <c r="M223" i="44" s="1"/>
  <c r="M224" i="44" s="1"/>
  <c r="M225" i="44" s="1"/>
  <c r="M226" i="44" s="1"/>
  <c r="M227" i="44" s="1"/>
  <c r="M228" i="44" s="1"/>
  <c r="M229" i="44" s="1"/>
  <c r="M230" i="44" s="1"/>
  <c r="M231" i="44" s="1"/>
  <c r="M232" i="44" s="1"/>
  <c r="M233" i="44" s="1"/>
  <c r="M234" i="44" s="1"/>
  <c r="M235" i="44" s="1"/>
  <c r="M236" i="44" s="1"/>
  <c r="M237" i="44" s="1"/>
  <c r="M238" i="44" s="1"/>
  <c r="M239" i="44" s="1"/>
  <c r="M240" i="44" s="1"/>
  <c r="M241" i="44" s="1"/>
  <c r="M242" i="44" s="1"/>
  <c r="M243" i="44" s="1"/>
  <c r="M244" i="44" s="1"/>
  <c r="M245" i="44" s="1"/>
  <c r="M246" i="44" s="1"/>
  <c r="M247" i="44" s="1"/>
  <c r="M248" i="44" s="1"/>
  <c r="M249" i="44" s="1"/>
  <c r="M250" i="44" s="1"/>
  <c r="M251" i="44" s="1"/>
  <c r="M252" i="44" s="1"/>
  <c r="M253" i="44" s="1"/>
  <c r="M254" i="44" s="1"/>
  <c r="M255" i="44" s="1"/>
  <c r="M256" i="44" s="1"/>
  <c r="M257" i="44" s="1"/>
  <c r="M258" i="44" s="1"/>
  <c r="M259" i="44" s="1"/>
  <c r="M260" i="44" s="1"/>
  <c r="M261" i="44" s="1"/>
  <c r="M262" i="44" s="1"/>
  <c r="M263" i="44" s="1"/>
  <c r="M264" i="44" s="1"/>
  <c r="M265" i="44" s="1"/>
  <c r="M266" i="44" s="1"/>
  <c r="M267" i="44" s="1"/>
  <c r="M268" i="44" s="1"/>
  <c r="M269" i="44" s="1"/>
  <c r="M270" i="44" s="1"/>
  <c r="M271" i="44" s="1"/>
  <c r="M272" i="44" s="1"/>
  <c r="M273" i="44" s="1"/>
  <c r="M274" i="44" s="1"/>
  <c r="M275" i="44" s="1"/>
  <c r="M276" i="44" s="1"/>
  <c r="M277" i="44" s="1"/>
  <c r="M278" i="44" s="1"/>
  <c r="M279" i="44" s="1"/>
  <c r="M280" i="44" s="1"/>
  <c r="M281" i="44" s="1"/>
  <c r="M282" i="44" s="1"/>
  <c r="M283" i="44" s="1"/>
  <c r="M284" i="44" s="1"/>
  <c r="M285" i="44" s="1"/>
  <c r="M286" i="44" s="1"/>
  <c r="M287" i="44" s="1"/>
  <c r="M288" i="44" s="1"/>
  <c r="M289" i="44" s="1"/>
  <c r="M290" i="44" s="1"/>
  <c r="M291" i="44" s="1"/>
  <c r="M292" i="44" s="1"/>
  <c r="M293" i="44" s="1"/>
  <c r="M294" i="44" s="1"/>
  <c r="M295" i="44" s="1"/>
  <c r="M296" i="44" s="1"/>
  <c r="M297" i="44" s="1"/>
  <c r="M298" i="44" s="1"/>
  <c r="M299" i="44" s="1"/>
  <c r="M300" i="44" s="1"/>
  <c r="M301" i="44" s="1"/>
  <c r="M302" i="44" s="1"/>
  <c r="M303" i="44" s="1"/>
  <c r="M304" i="44" s="1"/>
  <c r="M305" i="44" s="1"/>
  <c r="M306" i="44" s="1"/>
  <c r="M307" i="44" s="1"/>
  <c r="M308" i="44" s="1"/>
  <c r="M309" i="44" s="1"/>
  <c r="M310" i="44" s="1"/>
  <c r="M311" i="44" s="1"/>
  <c r="M312" i="44" s="1"/>
  <c r="M313" i="44" s="1"/>
  <c r="M314" i="44" s="1"/>
  <c r="M315" i="44" s="1"/>
  <c r="M316" i="44" s="1"/>
  <c r="M317" i="44" s="1"/>
  <c r="M318" i="44" s="1"/>
  <c r="M319" i="44" s="1"/>
  <c r="M320" i="44" s="1"/>
  <c r="M321" i="44" s="1"/>
  <c r="M322" i="44" s="1"/>
  <c r="M323" i="44" s="1"/>
  <c r="M324" i="44" s="1"/>
  <c r="M325" i="44" s="1"/>
  <c r="M326" i="44" s="1"/>
  <c r="M327" i="44" s="1"/>
  <c r="M328" i="44" s="1"/>
  <c r="M329" i="44" s="1"/>
  <c r="M330" i="44" s="1"/>
  <c r="M331" i="44" s="1"/>
  <c r="M332" i="44" s="1"/>
  <c r="M333" i="44" s="1"/>
  <c r="M334" i="44" s="1"/>
  <c r="M335" i="44" s="1"/>
  <c r="M336" i="44" s="1"/>
  <c r="M337" i="44" s="1"/>
  <c r="M338" i="44" s="1"/>
  <c r="M339" i="44" s="1"/>
  <c r="M340" i="44" s="1"/>
  <c r="M341" i="44" s="1"/>
  <c r="M342" i="44" s="1"/>
  <c r="M343" i="44" s="1"/>
  <c r="M344" i="44" s="1"/>
  <c r="M345" i="44" s="1"/>
  <c r="M346" i="44" s="1"/>
  <c r="M347" i="44" s="1"/>
  <c r="M6" i="50"/>
  <c r="M7" i="50" s="1"/>
  <c r="M8" i="50" s="1"/>
  <c r="M9" i="50" s="1"/>
  <c r="M10" i="50" s="1"/>
  <c r="M11" i="50" s="1"/>
  <c r="M12" i="50" s="1"/>
  <c r="M13" i="50" s="1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M485" i="4" s="1"/>
  <c r="K486" i="4"/>
  <c r="M486" i="4" s="1"/>
  <c r="K487" i="4"/>
  <c r="M487" i="4" s="1"/>
  <c r="K488" i="4"/>
  <c r="M488" i="4" s="1"/>
  <c r="K489" i="4"/>
  <c r="M489" i="4" s="1"/>
  <c r="K490" i="4"/>
  <c r="M490" i="4" s="1"/>
  <c r="K491" i="4"/>
  <c r="K492" i="4"/>
  <c r="K493" i="4"/>
  <c r="K494" i="4"/>
  <c r="K495" i="4"/>
  <c r="M495" i="4" s="1"/>
  <c r="K496" i="4"/>
  <c r="M496" i="4" s="1"/>
  <c r="K497" i="4"/>
  <c r="M497" i="4" s="1"/>
  <c r="K498" i="4"/>
  <c r="M498" i="4" s="1"/>
  <c r="K499" i="4"/>
  <c r="K500" i="4"/>
  <c r="K501" i="4"/>
  <c r="M501" i="4" s="1"/>
  <c r="K502" i="4"/>
  <c r="M502" i="4" s="1"/>
  <c r="K503" i="4"/>
  <c r="M503" i="4" s="1"/>
  <c r="K504" i="4"/>
  <c r="M504" i="4" s="1"/>
  <c r="K505" i="4"/>
  <c r="M505" i="4" s="1"/>
  <c r="K506" i="4"/>
  <c r="M506" i="4" s="1"/>
  <c r="K507" i="4"/>
  <c r="K508" i="4"/>
  <c r="K509" i="4"/>
  <c r="M509" i="4" s="1"/>
  <c r="K510" i="4"/>
  <c r="M510" i="4" s="1"/>
  <c r="K511" i="4"/>
  <c r="M511" i="4" s="1"/>
  <c r="K512" i="4"/>
  <c r="M512" i="4" s="1"/>
  <c r="K513" i="4"/>
  <c r="M513" i="4" s="1"/>
  <c r="K514" i="4"/>
  <c r="M514" i="4" s="1"/>
  <c r="K515" i="4"/>
  <c r="K516" i="4"/>
  <c r="K517" i="4"/>
  <c r="M517" i="4" s="1"/>
  <c r="K518" i="4"/>
  <c r="M518" i="4" s="1"/>
  <c r="K519" i="4"/>
  <c r="M519" i="4" s="1"/>
  <c r="K520" i="4"/>
  <c r="M520" i="4" s="1"/>
  <c r="K521" i="4"/>
  <c r="M521" i="4" s="1"/>
  <c r="K522" i="4"/>
  <c r="M522" i="4" s="1"/>
  <c r="K523" i="4"/>
  <c r="K524" i="4"/>
  <c r="K525" i="4"/>
  <c r="K526" i="4"/>
  <c r="K527" i="4"/>
  <c r="M527" i="4" s="1"/>
  <c r="K528" i="4"/>
  <c r="M528" i="4" s="1"/>
  <c r="K529" i="4"/>
  <c r="M529" i="4" s="1"/>
  <c r="K530" i="4"/>
  <c r="M530" i="4" s="1"/>
  <c r="K531" i="4"/>
  <c r="K532" i="4"/>
  <c r="K533" i="4"/>
  <c r="M533" i="4" s="1"/>
  <c r="K534" i="4"/>
  <c r="M534" i="4" s="1"/>
  <c r="K535" i="4"/>
  <c r="M535" i="4" s="1"/>
  <c r="K536" i="4"/>
  <c r="M536" i="4" s="1"/>
  <c r="K537" i="4"/>
  <c r="M537" i="4" s="1"/>
  <c r="K538" i="4"/>
  <c r="M538" i="4" s="1"/>
  <c r="K539" i="4"/>
  <c r="K540" i="4"/>
  <c r="K541" i="4"/>
  <c r="M541" i="4" s="1"/>
  <c r="K542" i="4"/>
  <c r="M542" i="4" s="1"/>
  <c r="K543" i="4"/>
  <c r="M543" i="4" s="1"/>
  <c r="K544" i="4"/>
  <c r="K545" i="4"/>
  <c r="M545" i="4" s="1"/>
  <c r="K546" i="4"/>
  <c r="M546" i="4" s="1"/>
  <c r="K547" i="4"/>
  <c r="K548" i="4"/>
  <c r="K549" i="4"/>
  <c r="M549" i="4" s="1"/>
  <c r="K550" i="4"/>
  <c r="M550" i="4" s="1"/>
  <c r="K551" i="4"/>
  <c r="M551" i="4" s="1"/>
  <c r="K552" i="4"/>
  <c r="M552" i="4" s="1"/>
  <c r="K553" i="4"/>
  <c r="M553" i="4" s="1"/>
  <c r="K554" i="4"/>
  <c r="M554" i="4" s="1"/>
  <c r="K555" i="4"/>
  <c r="K556" i="4"/>
  <c r="K557" i="4"/>
  <c r="K558" i="4"/>
  <c r="K559" i="4"/>
  <c r="M559" i="4" s="1"/>
  <c r="K560" i="4"/>
  <c r="K561" i="4"/>
  <c r="M561" i="4" s="1"/>
  <c r="K562" i="4"/>
  <c r="M562" i="4" s="1"/>
  <c r="K563" i="4"/>
  <c r="K564" i="4"/>
  <c r="K565" i="4"/>
  <c r="M565" i="4" s="1"/>
  <c r="K566" i="4"/>
  <c r="M566" i="4" s="1"/>
  <c r="K567" i="4"/>
  <c r="M567" i="4" s="1"/>
  <c r="K568" i="4"/>
  <c r="M568" i="4" s="1"/>
  <c r="K569" i="4"/>
  <c r="M569" i="4" s="1"/>
  <c r="K570" i="4"/>
  <c r="M570" i="4" s="1"/>
  <c r="K571" i="4"/>
  <c r="K572" i="4"/>
  <c r="K573" i="4"/>
  <c r="M573" i="4" s="1"/>
  <c r="K574" i="4"/>
  <c r="M574" i="4" s="1"/>
  <c r="K575" i="4"/>
  <c r="M575" i="4" s="1"/>
  <c r="K576" i="4"/>
  <c r="M576" i="4" s="1"/>
  <c r="K577" i="4"/>
  <c r="M577" i="4" s="1"/>
  <c r="K578" i="4"/>
  <c r="M578" i="4" s="1"/>
  <c r="K579" i="4"/>
  <c r="K580" i="4"/>
  <c r="K581" i="4"/>
  <c r="M581" i="4" s="1"/>
  <c r="K582" i="4"/>
  <c r="M582" i="4" s="1"/>
  <c r="K583" i="4"/>
  <c r="M583" i="4" s="1"/>
  <c r="K584" i="4"/>
  <c r="K585" i="4"/>
  <c r="M585" i="4" s="1"/>
  <c r="K586" i="4"/>
  <c r="M586" i="4" s="1"/>
  <c r="K587" i="4"/>
  <c r="K588" i="4"/>
  <c r="K589" i="4"/>
  <c r="K590" i="4"/>
  <c r="K591" i="4"/>
  <c r="M591" i="4" s="1"/>
  <c r="K592" i="4"/>
  <c r="M592" i="4" s="1"/>
  <c r="K593" i="4"/>
  <c r="M593" i="4" s="1"/>
  <c r="K594" i="4"/>
  <c r="M594" i="4" s="1"/>
  <c r="K595" i="4"/>
  <c r="K596" i="4"/>
  <c r="K597" i="4"/>
  <c r="M597" i="4" s="1"/>
  <c r="K598" i="4"/>
  <c r="M598" i="4" s="1"/>
  <c r="K599" i="4"/>
  <c r="M599" i="4" s="1"/>
  <c r="K600" i="4"/>
  <c r="K601" i="4"/>
  <c r="M601" i="4" s="1"/>
  <c r="K602" i="4"/>
  <c r="M602" i="4" s="1"/>
  <c r="K603" i="4"/>
  <c r="K604" i="4"/>
  <c r="K605" i="4"/>
  <c r="M605" i="4" s="1"/>
  <c r="K606" i="4"/>
  <c r="M606" i="4" s="1"/>
  <c r="K607" i="4"/>
  <c r="M607" i="4" s="1"/>
  <c r="K608" i="4"/>
  <c r="M608" i="4" s="1"/>
  <c r="K609" i="4"/>
  <c r="M609" i="4" s="1"/>
  <c r="K610" i="4"/>
  <c r="M610" i="4" s="1"/>
  <c r="K611" i="4"/>
  <c r="K612" i="4"/>
  <c r="K613" i="4"/>
  <c r="M613" i="4" s="1"/>
  <c r="K614" i="4"/>
  <c r="M614" i="4" s="1"/>
  <c r="K615" i="4"/>
  <c r="M615" i="4" s="1"/>
  <c r="K616" i="4"/>
  <c r="M616" i="4" s="1"/>
  <c r="K617" i="4"/>
  <c r="M617" i="4" s="1"/>
  <c r="K618" i="4"/>
  <c r="M618" i="4" s="1"/>
  <c r="K619" i="4"/>
  <c r="K620" i="4"/>
  <c r="K621" i="4"/>
  <c r="K622" i="4"/>
  <c r="K623" i="4"/>
  <c r="M623" i="4" s="1"/>
  <c r="K624" i="4"/>
  <c r="M624" i="4" s="1"/>
  <c r="K625" i="4"/>
  <c r="M625" i="4" s="1"/>
  <c r="K626" i="4"/>
  <c r="M626" i="4" s="1"/>
  <c r="K627" i="4"/>
  <c r="K628" i="4"/>
  <c r="K629" i="4"/>
  <c r="M629" i="4" s="1"/>
  <c r="K630" i="4"/>
  <c r="M630" i="4" s="1"/>
  <c r="K631" i="4"/>
  <c r="M631" i="4" s="1"/>
  <c r="K632" i="4"/>
  <c r="M632" i="4" s="1"/>
  <c r="K633" i="4"/>
  <c r="M633" i="4" s="1"/>
  <c r="K634" i="4"/>
  <c r="M634" i="4" s="1"/>
  <c r="K635" i="4"/>
  <c r="K636" i="4"/>
  <c r="K637" i="4"/>
  <c r="M637" i="4" s="1"/>
  <c r="K638" i="4"/>
  <c r="M638" i="4" s="1"/>
  <c r="K639" i="4"/>
  <c r="M639" i="4" s="1"/>
  <c r="K640" i="4"/>
  <c r="M640" i="4" s="1"/>
  <c r="K641" i="4"/>
  <c r="M641" i="4" s="1"/>
  <c r="K642" i="4"/>
  <c r="M642" i="4" s="1"/>
  <c r="K643" i="4"/>
  <c r="K644" i="4"/>
  <c r="K645" i="4"/>
  <c r="M645" i="4" s="1"/>
  <c r="K646" i="4"/>
  <c r="M646" i="4" s="1"/>
  <c r="K647" i="4"/>
  <c r="M647" i="4" s="1"/>
  <c r="K648" i="4"/>
  <c r="M648" i="4" s="1"/>
  <c r="K649" i="4"/>
  <c r="M649" i="4" s="1"/>
  <c r="K650" i="4"/>
  <c r="M650" i="4" s="1"/>
  <c r="K651" i="4"/>
  <c r="K652" i="4"/>
  <c r="K653" i="4"/>
  <c r="K654" i="4"/>
  <c r="K655" i="4"/>
  <c r="M655" i="4" s="1"/>
  <c r="K656" i="4"/>
  <c r="M656" i="4" s="1"/>
  <c r="K657" i="4"/>
  <c r="M657" i="4" s="1"/>
  <c r="K658" i="4"/>
  <c r="M658" i="4" s="1"/>
  <c r="K659" i="4"/>
  <c r="K660" i="4"/>
  <c r="K661" i="4"/>
  <c r="M661" i="4" s="1"/>
  <c r="K662" i="4"/>
  <c r="M662" i="4" s="1"/>
  <c r="K663" i="4"/>
  <c r="M663" i="4" s="1"/>
  <c r="K664" i="4"/>
  <c r="M664" i="4" s="1"/>
  <c r="K665" i="4"/>
  <c r="M665" i="4" s="1"/>
  <c r="K666" i="4"/>
  <c r="M666" i="4" s="1"/>
  <c r="K667" i="4"/>
  <c r="K668" i="4"/>
  <c r="K669" i="4"/>
  <c r="M669" i="4" s="1"/>
  <c r="K670" i="4"/>
  <c r="M670" i="4" s="1"/>
  <c r="K671" i="4"/>
  <c r="M671" i="4" s="1"/>
  <c r="K672" i="4"/>
  <c r="K673" i="4"/>
  <c r="M673" i="4" s="1"/>
  <c r="K674" i="4"/>
  <c r="M674" i="4" s="1"/>
  <c r="K675" i="4"/>
  <c r="K676" i="4"/>
  <c r="K677" i="4"/>
  <c r="M677" i="4" s="1"/>
  <c r="K678" i="4"/>
  <c r="M678" i="4" s="1"/>
  <c r="K679" i="4"/>
  <c r="M679" i="4" s="1"/>
  <c r="K680" i="4"/>
  <c r="M680" i="4" s="1"/>
  <c r="K681" i="4"/>
  <c r="M681" i="4" s="1"/>
  <c r="K682" i="4"/>
  <c r="M682" i="4" s="1"/>
  <c r="K683" i="4"/>
  <c r="K684" i="4"/>
  <c r="K685" i="4"/>
  <c r="K686" i="4"/>
  <c r="K687" i="4"/>
  <c r="M687" i="4" s="1"/>
  <c r="K688" i="4"/>
  <c r="K689" i="4"/>
  <c r="M689" i="4" s="1"/>
  <c r="K690" i="4"/>
  <c r="M690" i="4" s="1"/>
  <c r="K691" i="4"/>
  <c r="K692" i="4"/>
  <c r="K693" i="4"/>
  <c r="M693" i="4" s="1"/>
  <c r="K694" i="4"/>
  <c r="M694" i="4" s="1"/>
  <c r="K695" i="4"/>
  <c r="M695" i="4" s="1"/>
  <c r="K696" i="4"/>
  <c r="M696" i="4" s="1"/>
  <c r="K697" i="4"/>
  <c r="M697" i="4" s="1"/>
  <c r="K698" i="4"/>
  <c r="M698" i="4" s="1"/>
  <c r="K699" i="4"/>
  <c r="K700" i="4"/>
  <c r="K701" i="4"/>
  <c r="M701" i="4" s="1"/>
  <c r="K702" i="4"/>
  <c r="M702" i="4" s="1"/>
  <c r="K703" i="4"/>
  <c r="M703" i="4" s="1"/>
  <c r="K704" i="4"/>
  <c r="M704" i="4" s="1"/>
  <c r="K705" i="4"/>
  <c r="M705" i="4" s="1"/>
  <c r="K706" i="4"/>
  <c r="M706" i="4" s="1"/>
  <c r="K707" i="4"/>
  <c r="K708" i="4"/>
  <c r="K709" i="4"/>
  <c r="M709" i="4" s="1"/>
  <c r="K710" i="4"/>
  <c r="M710" i="4" s="1"/>
  <c r="K711" i="4"/>
  <c r="M711" i="4" s="1"/>
  <c r="K712" i="4"/>
  <c r="K713" i="4"/>
  <c r="M713" i="4" s="1"/>
  <c r="K714" i="4"/>
  <c r="M714" i="4" s="1"/>
  <c r="K715" i="4"/>
  <c r="K716" i="4"/>
  <c r="K717" i="4"/>
  <c r="K718" i="4"/>
  <c r="K719" i="4"/>
  <c r="M719" i="4" s="1"/>
  <c r="K720" i="4"/>
  <c r="M720" i="4" s="1"/>
  <c r="K721" i="4"/>
  <c r="M721" i="4" s="1"/>
  <c r="K722" i="4"/>
  <c r="M722" i="4" s="1"/>
  <c r="K723" i="4"/>
  <c r="K724" i="4"/>
  <c r="K725" i="4"/>
  <c r="M725" i="4" s="1"/>
  <c r="K726" i="4"/>
  <c r="M726" i="4" s="1"/>
  <c r="K727" i="4"/>
  <c r="M727" i="4" s="1"/>
  <c r="K728" i="4"/>
  <c r="K729" i="4"/>
  <c r="M729" i="4" s="1"/>
  <c r="K730" i="4"/>
  <c r="M730" i="4" s="1"/>
  <c r="K731" i="4"/>
  <c r="K732" i="4"/>
  <c r="K733" i="4"/>
  <c r="M733" i="4" s="1"/>
  <c r="K734" i="4"/>
  <c r="M734" i="4" s="1"/>
  <c r="K735" i="4"/>
  <c r="M735" i="4" s="1"/>
  <c r="K736" i="4"/>
  <c r="M736" i="4" s="1"/>
  <c r="K737" i="4"/>
  <c r="M737" i="4" s="1"/>
  <c r="K738" i="4"/>
  <c r="M738" i="4" s="1"/>
  <c r="K739" i="4"/>
  <c r="K740" i="4"/>
  <c r="K741" i="4"/>
  <c r="M741" i="4" s="1"/>
  <c r="K742" i="4"/>
  <c r="M742" i="4" s="1"/>
  <c r="K743" i="4"/>
  <c r="M743" i="4" s="1"/>
  <c r="K744" i="4"/>
  <c r="M744" i="4" s="1"/>
  <c r="K745" i="4"/>
  <c r="M745" i="4" s="1"/>
  <c r="K746" i="4"/>
  <c r="M746" i="4" s="1"/>
  <c r="K747" i="4"/>
  <c r="K748" i="4"/>
  <c r="K749" i="4"/>
  <c r="K750" i="4"/>
  <c r="K751" i="4"/>
  <c r="M751" i="4" s="1"/>
  <c r="K752" i="4"/>
  <c r="M752" i="4" s="1"/>
  <c r="K753" i="4"/>
  <c r="M753" i="4" s="1"/>
  <c r="K754" i="4"/>
  <c r="M754" i="4" s="1"/>
  <c r="K755" i="4"/>
  <c r="K756" i="4"/>
  <c r="K757" i="4"/>
  <c r="M757" i="4" s="1"/>
  <c r="K758" i="4"/>
  <c r="M758" i="4" s="1"/>
  <c r="K759" i="4"/>
  <c r="M759" i="4" s="1"/>
  <c r="K760" i="4"/>
  <c r="M760" i="4" s="1"/>
  <c r="K761" i="4"/>
  <c r="M761" i="4" s="1"/>
  <c r="K762" i="4"/>
  <c r="M762" i="4" s="1"/>
  <c r="K763" i="4"/>
  <c r="K764" i="4"/>
  <c r="K765" i="4"/>
  <c r="M765" i="4" s="1"/>
  <c r="K766" i="4"/>
  <c r="M766" i="4" s="1"/>
  <c r="K767" i="4"/>
  <c r="M767" i="4" s="1"/>
  <c r="K768" i="4"/>
  <c r="M768" i="4" s="1"/>
  <c r="K769" i="4"/>
  <c r="M769" i="4" s="1"/>
  <c r="K770" i="4"/>
  <c r="M770" i="4" s="1"/>
  <c r="K771" i="4"/>
  <c r="K772" i="4"/>
  <c r="K773" i="4"/>
  <c r="M773" i="4" s="1"/>
  <c r="K774" i="4"/>
  <c r="M774" i="4" s="1"/>
  <c r="K775" i="4"/>
  <c r="M775" i="4" s="1"/>
  <c r="K776" i="4"/>
  <c r="M776" i="4" s="1"/>
  <c r="K777" i="4"/>
  <c r="M777" i="4" s="1"/>
  <c r="K778" i="4"/>
  <c r="M778" i="4" s="1"/>
  <c r="K779" i="4"/>
  <c r="K780" i="4"/>
  <c r="K781" i="4"/>
  <c r="K782" i="4"/>
  <c r="K783" i="4"/>
  <c r="M783" i="4" s="1"/>
  <c r="K784" i="4"/>
  <c r="M784" i="4" s="1"/>
  <c r="K785" i="4"/>
  <c r="M785" i="4" s="1"/>
  <c r="K786" i="4"/>
  <c r="M786" i="4" s="1"/>
  <c r="K787" i="4"/>
  <c r="K788" i="4"/>
  <c r="K789" i="4"/>
  <c r="M789" i="4" s="1"/>
  <c r="K790" i="4"/>
  <c r="M790" i="4" s="1"/>
  <c r="K791" i="4"/>
  <c r="M791" i="4" s="1"/>
  <c r="K792" i="4"/>
  <c r="M792" i="4" s="1"/>
  <c r="K793" i="4"/>
  <c r="M793" i="4" s="1"/>
  <c r="K794" i="4"/>
  <c r="M794" i="4" s="1"/>
  <c r="K795" i="4"/>
  <c r="K796" i="4"/>
  <c r="K797" i="4"/>
  <c r="M797" i="4" s="1"/>
  <c r="K798" i="4"/>
  <c r="M798" i="4" s="1"/>
  <c r="K799" i="4"/>
  <c r="M799" i="4" s="1"/>
  <c r="K800" i="4"/>
  <c r="K801" i="4"/>
  <c r="M801" i="4" s="1"/>
  <c r="K802" i="4"/>
  <c r="M802" i="4" s="1"/>
  <c r="K803" i="4"/>
  <c r="K804" i="4"/>
  <c r="K805" i="4"/>
  <c r="M805" i="4" s="1"/>
  <c r="K806" i="4"/>
  <c r="M806" i="4" s="1"/>
  <c r="K807" i="4"/>
  <c r="M807" i="4" s="1"/>
  <c r="K808" i="4"/>
  <c r="M808" i="4" s="1"/>
  <c r="K809" i="4"/>
  <c r="M809" i="4" s="1"/>
  <c r="K810" i="4"/>
  <c r="M810" i="4" s="1"/>
  <c r="K811" i="4"/>
  <c r="K812" i="4"/>
  <c r="K813" i="4"/>
  <c r="K814" i="4"/>
  <c r="K815" i="4"/>
  <c r="M815" i="4" s="1"/>
  <c r="K816" i="4"/>
  <c r="K817" i="4"/>
  <c r="M817" i="4" s="1"/>
  <c r="K818" i="4"/>
  <c r="M818" i="4" s="1"/>
  <c r="K819" i="4"/>
  <c r="K820" i="4"/>
  <c r="K821" i="4"/>
  <c r="M821" i="4" s="1"/>
  <c r="K822" i="4"/>
  <c r="M822" i="4" s="1"/>
  <c r="K823" i="4"/>
  <c r="M823" i="4" s="1"/>
  <c r="K824" i="4"/>
  <c r="M824" i="4" s="1"/>
  <c r="K825" i="4"/>
  <c r="M825" i="4" s="1"/>
  <c r="K826" i="4"/>
  <c r="M826" i="4" s="1"/>
  <c r="K827" i="4"/>
  <c r="K828" i="4"/>
  <c r="K829" i="4"/>
  <c r="M829" i="4" s="1"/>
  <c r="K830" i="4"/>
  <c r="M830" i="4" s="1"/>
  <c r="K831" i="4"/>
  <c r="M831" i="4" s="1"/>
  <c r="K832" i="4"/>
  <c r="M832" i="4" s="1"/>
  <c r="K833" i="4"/>
  <c r="M833" i="4" s="1"/>
  <c r="K834" i="4"/>
  <c r="M834" i="4" s="1"/>
  <c r="K835" i="4"/>
  <c r="K836" i="4"/>
  <c r="K837" i="4"/>
  <c r="M837" i="4" s="1"/>
  <c r="K838" i="4"/>
  <c r="M838" i="4" s="1"/>
  <c r="K839" i="4"/>
  <c r="M839" i="4" s="1"/>
  <c r="K840" i="4"/>
  <c r="K841" i="4"/>
  <c r="M841" i="4" s="1"/>
  <c r="K842" i="4"/>
  <c r="M842" i="4" s="1"/>
  <c r="K843" i="4"/>
  <c r="K844" i="4"/>
  <c r="K845" i="4"/>
  <c r="K846" i="4"/>
  <c r="K847" i="4"/>
  <c r="M847" i="4" s="1"/>
  <c r="K848" i="4"/>
  <c r="M848" i="4" s="1"/>
  <c r="K849" i="4"/>
  <c r="M849" i="4" s="1"/>
  <c r="K850" i="4"/>
  <c r="M850" i="4" s="1"/>
  <c r="K851" i="4"/>
  <c r="K852" i="4"/>
  <c r="K853" i="4"/>
  <c r="M853" i="4" s="1"/>
  <c r="K854" i="4"/>
  <c r="M854" i="4" s="1"/>
  <c r="K855" i="4"/>
  <c r="M855" i="4" s="1"/>
  <c r="K856" i="4"/>
  <c r="K857" i="4"/>
  <c r="M857" i="4" s="1"/>
  <c r="K858" i="4"/>
  <c r="M858" i="4" s="1"/>
  <c r="K859" i="4"/>
  <c r="K860" i="4"/>
  <c r="K861" i="4"/>
  <c r="M861" i="4" s="1"/>
  <c r="K862" i="4"/>
  <c r="M862" i="4" s="1"/>
  <c r="K863" i="4"/>
  <c r="M863" i="4" s="1"/>
  <c r="K864" i="4"/>
  <c r="M864" i="4" s="1"/>
  <c r="K865" i="4"/>
  <c r="M865" i="4" s="1"/>
  <c r="K866" i="4"/>
  <c r="M866" i="4" s="1"/>
  <c r="K867" i="4"/>
  <c r="K868" i="4"/>
  <c r="K869" i="4"/>
  <c r="M869" i="4" s="1"/>
  <c r="K870" i="4"/>
  <c r="M870" i="4" s="1"/>
  <c r="K871" i="4"/>
  <c r="M871" i="4" s="1"/>
  <c r="K872" i="4"/>
  <c r="M872" i="4" s="1"/>
  <c r="K873" i="4"/>
  <c r="M873" i="4" s="1"/>
  <c r="K874" i="4"/>
  <c r="M874" i="4" s="1"/>
  <c r="K875" i="4"/>
  <c r="K876" i="4"/>
  <c r="K877" i="4"/>
  <c r="K878" i="4"/>
  <c r="K879" i="4"/>
  <c r="M879" i="4" s="1"/>
  <c r="K880" i="4"/>
  <c r="M880" i="4" s="1"/>
  <c r="K881" i="4"/>
  <c r="M881" i="4" s="1"/>
  <c r="K882" i="4"/>
  <c r="M882" i="4" s="1"/>
  <c r="K883" i="4"/>
  <c r="K884" i="4"/>
  <c r="K885" i="4"/>
  <c r="M885" i="4" s="1"/>
  <c r="K886" i="4"/>
  <c r="M886" i="4" s="1"/>
  <c r="K887" i="4"/>
  <c r="M887" i="4" s="1"/>
  <c r="K888" i="4"/>
  <c r="M888" i="4" s="1"/>
  <c r="K889" i="4"/>
  <c r="M889" i="4" s="1"/>
  <c r="K890" i="4"/>
  <c r="M890" i="4" s="1"/>
  <c r="K891" i="4"/>
  <c r="K892" i="4"/>
  <c r="K893" i="4"/>
  <c r="M893" i="4" s="1"/>
  <c r="K894" i="4"/>
  <c r="M894" i="4" s="1"/>
  <c r="K895" i="4"/>
  <c r="M895" i="4" s="1"/>
  <c r="K896" i="4"/>
  <c r="M896" i="4" s="1"/>
  <c r="K897" i="4"/>
  <c r="M897" i="4" s="1"/>
  <c r="K898" i="4"/>
  <c r="M898" i="4" s="1"/>
  <c r="K899" i="4"/>
  <c r="K900" i="4"/>
  <c r="K901" i="4"/>
  <c r="M901" i="4" s="1"/>
  <c r="K902" i="4"/>
  <c r="M902" i="4" s="1"/>
  <c r="K903" i="4"/>
  <c r="M903" i="4" s="1"/>
  <c r="K904" i="4"/>
  <c r="M904" i="4" s="1"/>
  <c r="K905" i="4"/>
  <c r="M905" i="4" s="1"/>
  <c r="K906" i="4"/>
  <c r="M906" i="4" s="1"/>
  <c r="K907" i="4"/>
  <c r="K908" i="4"/>
  <c r="K909" i="4"/>
  <c r="K910" i="4"/>
  <c r="K911" i="4"/>
  <c r="M911" i="4" s="1"/>
  <c r="K912" i="4"/>
  <c r="M912" i="4" s="1"/>
  <c r="K913" i="4"/>
  <c r="M913" i="4" s="1"/>
  <c r="K914" i="4"/>
  <c r="M914" i="4" s="1"/>
  <c r="K915" i="4"/>
  <c r="K916" i="4"/>
  <c r="K917" i="4"/>
  <c r="M917" i="4" s="1"/>
  <c r="K918" i="4"/>
  <c r="M918" i="4" s="1"/>
  <c r="K919" i="4"/>
  <c r="M919" i="4" s="1"/>
  <c r="K920" i="4"/>
  <c r="M920" i="4" s="1"/>
  <c r="K921" i="4"/>
  <c r="M921" i="4" s="1"/>
  <c r="K922" i="4"/>
  <c r="M922" i="4" s="1"/>
  <c r="K923" i="4"/>
  <c r="K924" i="4"/>
  <c r="K925" i="4"/>
  <c r="M925" i="4" s="1"/>
  <c r="K926" i="4"/>
  <c r="M926" i="4" s="1"/>
  <c r="K927" i="4"/>
  <c r="M927" i="4" s="1"/>
  <c r="K928" i="4"/>
  <c r="K929" i="4"/>
  <c r="M929" i="4" s="1"/>
  <c r="K930" i="4"/>
  <c r="M930" i="4" s="1"/>
  <c r="K931" i="4"/>
  <c r="K932" i="4"/>
  <c r="K933" i="4"/>
  <c r="M933" i="4" s="1"/>
  <c r="K934" i="4"/>
  <c r="M934" i="4" s="1"/>
  <c r="K935" i="4"/>
  <c r="M935" i="4" s="1"/>
  <c r="K936" i="4"/>
  <c r="M936" i="4" s="1"/>
  <c r="K937" i="4"/>
  <c r="M937" i="4" s="1"/>
  <c r="K938" i="4"/>
  <c r="M938" i="4" s="1"/>
  <c r="K939" i="4"/>
  <c r="K940" i="4"/>
  <c r="K941" i="4"/>
  <c r="K942" i="4"/>
  <c r="K943" i="4"/>
  <c r="M943" i="4" s="1"/>
  <c r="K944" i="4"/>
  <c r="K945" i="4"/>
  <c r="M945" i="4" s="1"/>
  <c r="K946" i="4"/>
  <c r="M946" i="4" s="1"/>
  <c r="K947" i="4"/>
  <c r="K948" i="4"/>
  <c r="K949" i="4"/>
  <c r="M949" i="4" s="1"/>
  <c r="K950" i="4"/>
  <c r="M950" i="4" s="1"/>
  <c r="K951" i="4"/>
  <c r="M951" i="4" s="1"/>
  <c r="K952" i="4"/>
  <c r="M952" i="4" s="1"/>
  <c r="K953" i="4"/>
  <c r="M953" i="4" s="1"/>
  <c r="K954" i="4"/>
  <c r="M954" i="4" s="1"/>
  <c r="K955" i="4"/>
  <c r="K956" i="4"/>
  <c r="K957" i="4"/>
  <c r="M957" i="4" s="1"/>
  <c r="K958" i="4"/>
  <c r="M958" i="4" s="1"/>
  <c r="K959" i="4"/>
  <c r="M959" i="4" s="1"/>
  <c r="K960" i="4"/>
  <c r="M960" i="4" s="1"/>
  <c r="K961" i="4"/>
  <c r="M961" i="4" s="1"/>
  <c r="K962" i="4"/>
  <c r="M962" i="4" s="1"/>
  <c r="K963" i="4"/>
  <c r="M963" i="4" s="1"/>
  <c r="K964" i="4"/>
  <c r="M964" i="4" s="1"/>
  <c r="K965" i="4"/>
  <c r="M965" i="4" s="1"/>
  <c r="K966" i="4"/>
  <c r="M966" i="4" s="1"/>
  <c r="K967" i="4"/>
  <c r="M967" i="4" s="1"/>
  <c r="K968" i="4"/>
  <c r="M968" i="4" s="1"/>
  <c r="K969" i="4"/>
  <c r="M969" i="4" s="1"/>
  <c r="K970" i="4"/>
  <c r="M970" i="4" s="1"/>
  <c r="K971" i="4"/>
  <c r="M971" i="4" s="1"/>
  <c r="K972" i="4"/>
  <c r="M972" i="4" s="1"/>
  <c r="K973" i="4"/>
  <c r="K974" i="4"/>
  <c r="M974" i="4" s="1"/>
  <c r="K975" i="4"/>
  <c r="M975" i="4" s="1"/>
  <c r="K976" i="4"/>
  <c r="M976" i="4" s="1"/>
  <c r="K977" i="4"/>
  <c r="M977" i="4" s="1"/>
  <c r="K978" i="4"/>
  <c r="M978" i="4" s="1"/>
  <c r="K979" i="4"/>
  <c r="M979" i="4" s="1"/>
  <c r="K980" i="4"/>
  <c r="M980" i="4" s="1"/>
  <c r="K981" i="4"/>
  <c r="M981" i="4" s="1"/>
  <c r="K982" i="4"/>
  <c r="M982" i="4" s="1"/>
  <c r="K983" i="4"/>
  <c r="M983" i="4" s="1"/>
  <c r="K984" i="4"/>
  <c r="M984" i="4" s="1"/>
  <c r="K985" i="4"/>
  <c r="M985" i="4" s="1"/>
  <c r="K986" i="4"/>
  <c r="M986" i="4" s="1"/>
  <c r="K987" i="4"/>
  <c r="M987" i="4" s="1"/>
  <c r="K988" i="4"/>
  <c r="M988" i="4" s="1"/>
  <c r="K989" i="4"/>
  <c r="M989" i="4" s="1"/>
  <c r="K990" i="4"/>
  <c r="M990" i="4" s="1"/>
  <c r="K991" i="4"/>
  <c r="M991" i="4" s="1"/>
  <c r="K992" i="4"/>
  <c r="M992" i="4" s="1"/>
  <c r="K993" i="4"/>
  <c r="M993" i="4" s="1"/>
  <c r="K994" i="4"/>
  <c r="M994" i="4" s="1"/>
  <c r="K995" i="4"/>
  <c r="M995" i="4" s="1"/>
  <c r="K996" i="4"/>
  <c r="M996" i="4" s="1"/>
  <c r="K997" i="4"/>
  <c r="M997" i="4" s="1"/>
  <c r="K998" i="4"/>
  <c r="M998" i="4" s="1"/>
  <c r="K999" i="4"/>
  <c r="M999" i="4" s="1"/>
  <c r="K1000" i="4"/>
  <c r="M1000" i="4" s="1"/>
  <c r="K1001" i="4"/>
  <c r="M1001" i="4" s="1"/>
  <c r="K1002" i="4"/>
  <c r="M1002" i="4" s="1"/>
  <c r="K1003" i="4"/>
  <c r="M1003" i="4" s="1"/>
  <c r="K1004" i="4"/>
  <c r="M1004" i="4" s="1"/>
  <c r="K1005" i="4"/>
  <c r="M1005" i="4" s="1"/>
  <c r="K1006" i="4"/>
  <c r="M1006" i="4" s="1"/>
  <c r="K1007" i="4"/>
  <c r="M1007" i="4" s="1"/>
  <c r="K1008" i="4"/>
  <c r="M1008" i="4" s="1"/>
  <c r="K1009" i="4"/>
  <c r="M1009" i="4" s="1"/>
  <c r="K1010" i="4"/>
  <c r="M1010" i="4" s="1"/>
  <c r="K1011" i="4"/>
  <c r="M1011" i="4" s="1"/>
  <c r="K1012" i="4"/>
  <c r="M1012" i="4" s="1"/>
  <c r="K1013" i="4"/>
  <c r="M1013" i="4" s="1"/>
  <c r="K1014" i="4"/>
  <c r="M1014" i="4" s="1"/>
  <c r="K1015" i="4"/>
  <c r="M1015" i="4" s="1"/>
  <c r="K1016" i="4"/>
  <c r="M1016" i="4" s="1"/>
  <c r="K1017" i="4"/>
  <c r="M1017" i="4" s="1"/>
  <c r="K1018" i="4"/>
  <c r="M1018" i="4" s="1"/>
  <c r="K1019" i="4"/>
  <c r="M1019" i="4" s="1"/>
  <c r="K1020" i="4"/>
  <c r="M1020" i="4" s="1"/>
  <c r="K1021" i="4"/>
  <c r="K1022" i="4"/>
  <c r="M1022" i="4" s="1"/>
  <c r="K1023" i="4"/>
  <c r="M1023" i="4" s="1"/>
  <c r="K1024" i="4"/>
  <c r="M1024" i="4" s="1"/>
  <c r="K1025" i="4"/>
  <c r="M1025" i="4" s="1"/>
  <c r="K1026" i="4"/>
  <c r="M1026" i="4" s="1"/>
  <c r="K1027" i="4"/>
  <c r="M1027" i="4" s="1"/>
  <c r="K1028" i="4"/>
  <c r="M1028" i="4" s="1"/>
  <c r="K1029" i="4"/>
  <c r="M1029" i="4" s="1"/>
  <c r="K1030" i="4"/>
  <c r="M1030" i="4" s="1"/>
  <c r="K1031" i="4"/>
  <c r="M1031" i="4" s="1"/>
  <c r="K1032" i="4"/>
  <c r="M1032" i="4" s="1"/>
  <c r="K1033" i="4"/>
  <c r="M1033" i="4" s="1"/>
  <c r="K1034" i="4"/>
  <c r="M1034" i="4" s="1"/>
  <c r="K1035" i="4"/>
  <c r="M1035" i="4" s="1"/>
  <c r="K1036" i="4"/>
  <c r="M1036" i="4" s="1"/>
  <c r="K1037" i="4"/>
  <c r="M1037" i="4" s="1"/>
  <c r="K1038" i="4"/>
  <c r="M1038" i="4" s="1"/>
  <c r="K1039" i="4"/>
  <c r="M1039" i="4" s="1"/>
  <c r="K1040" i="4"/>
  <c r="M1040" i="4" s="1"/>
  <c r="K1041" i="4"/>
  <c r="M1041" i="4" s="1"/>
  <c r="K1042" i="4"/>
  <c r="M1042" i="4" s="1"/>
  <c r="K1043" i="4"/>
  <c r="M1043" i="4" s="1"/>
  <c r="K1044" i="4"/>
  <c r="M1044" i="4" s="1"/>
  <c r="K1045" i="4"/>
  <c r="K1046" i="4"/>
  <c r="M1046" i="4" s="1"/>
  <c r="K1047" i="4"/>
  <c r="M1047" i="4" s="1"/>
  <c r="K1048" i="4"/>
  <c r="M1048" i="4" s="1"/>
  <c r="K1049" i="4"/>
  <c r="M1049" i="4" s="1"/>
  <c r="K1050" i="4"/>
  <c r="M1050" i="4" s="1"/>
  <c r="K1051" i="4"/>
  <c r="M1051" i="4" s="1"/>
  <c r="K1052" i="4"/>
  <c r="M1052" i="4" s="1"/>
  <c r="K1053" i="4"/>
  <c r="M1053" i="4" s="1"/>
  <c r="K1054" i="4"/>
  <c r="M1054" i="4" s="1"/>
  <c r="K1055" i="4"/>
  <c r="M1055" i="4" s="1"/>
  <c r="K1056" i="4"/>
  <c r="M1056" i="4" s="1"/>
  <c r="K1057" i="4"/>
  <c r="M1057" i="4" s="1"/>
  <c r="K1058" i="4"/>
  <c r="M1058" i="4" s="1"/>
  <c r="K1059" i="4"/>
  <c r="M1059" i="4" s="1"/>
  <c r="K1060" i="4"/>
  <c r="M1060" i="4" s="1"/>
  <c r="K1061" i="4"/>
  <c r="M1061" i="4" s="1"/>
  <c r="K1062" i="4"/>
  <c r="M1062" i="4" s="1"/>
  <c r="K1063" i="4"/>
  <c r="M1063" i="4" s="1"/>
  <c r="K1064" i="4"/>
  <c r="M1064" i="4" s="1"/>
  <c r="K1065" i="4"/>
  <c r="M1065" i="4" s="1"/>
  <c r="K1066" i="4"/>
  <c r="M1066" i="4" s="1"/>
  <c r="K1067" i="4"/>
  <c r="M1067" i="4" s="1"/>
  <c r="K1068" i="4"/>
  <c r="M1068" i="4" s="1"/>
  <c r="K1069" i="4"/>
  <c r="M1069" i="4" s="1"/>
  <c r="K1070" i="4"/>
  <c r="M1070" i="4" s="1"/>
  <c r="K1071" i="4"/>
  <c r="M1071" i="4" s="1"/>
  <c r="K1072" i="4"/>
  <c r="M1072" i="4" s="1"/>
  <c r="K1073" i="4"/>
  <c r="M1073" i="4" s="1"/>
  <c r="K1074" i="4"/>
  <c r="M1074" i="4" s="1"/>
  <c r="K1075" i="4"/>
  <c r="M1075" i="4" s="1"/>
  <c r="K1076" i="4"/>
  <c r="M1076" i="4" s="1"/>
  <c r="K1077" i="4"/>
  <c r="M1077" i="4" s="1"/>
  <c r="K1078" i="4"/>
  <c r="M1078" i="4" s="1"/>
  <c r="K1079" i="4"/>
  <c r="M1079" i="4" s="1"/>
  <c r="K1080" i="4"/>
  <c r="M1080" i="4" s="1"/>
  <c r="K1081" i="4"/>
  <c r="M1081" i="4" s="1"/>
  <c r="K1082" i="4"/>
  <c r="M1082" i="4" s="1"/>
  <c r="K1083" i="4"/>
  <c r="M1083" i="4" s="1"/>
  <c r="K1084" i="4"/>
  <c r="M1084" i="4" s="1"/>
  <c r="K1085" i="4"/>
  <c r="M1085" i="4" s="1"/>
  <c r="K1086" i="4"/>
  <c r="M1086" i="4" s="1"/>
  <c r="K1087" i="4"/>
  <c r="M1087" i="4" s="1"/>
  <c r="K1088" i="4"/>
  <c r="M1088" i="4" s="1"/>
  <c r="K1089" i="4"/>
  <c r="M1089" i="4" s="1"/>
  <c r="K1090" i="4"/>
  <c r="M1090" i="4" s="1"/>
  <c r="K1091" i="4"/>
  <c r="M1091" i="4" s="1"/>
  <c r="K1092" i="4"/>
  <c r="M1092" i="4" s="1"/>
  <c r="K1093" i="4"/>
  <c r="M1093" i="4" s="1"/>
  <c r="K1094" i="4"/>
  <c r="M1094" i="4" s="1"/>
  <c r="K1095" i="4"/>
  <c r="M1095" i="4" s="1"/>
  <c r="K1096" i="4"/>
  <c r="M1096" i="4" s="1"/>
  <c r="K1097" i="4"/>
  <c r="M1097" i="4" s="1"/>
  <c r="K1098" i="4"/>
  <c r="M1098" i="4" s="1"/>
  <c r="K1099" i="4"/>
  <c r="M1099" i="4" s="1"/>
  <c r="K1100" i="4"/>
  <c r="M1100" i="4" s="1"/>
  <c r="K1101" i="4"/>
  <c r="M1101" i="4" s="1"/>
  <c r="K1102" i="4"/>
  <c r="M1102" i="4" s="1"/>
  <c r="K1103" i="4"/>
  <c r="M1103" i="4" s="1"/>
  <c r="K1104" i="4"/>
  <c r="M1104" i="4" s="1"/>
  <c r="K1105" i="4"/>
  <c r="M1105" i="4" s="1"/>
  <c r="K1106" i="4"/>
  <c r="M1106" i="4" s="1"/>
  <c r="K1107" i="4"/>
  <c r="M1107" i="4" s="1"/>
  <c r="K1108" i="4"/>
  <c r="M1108" i="4" s="1"/>
  <c r="K1109" i="4"/>
  <c r="M1109" i="4" s="1"/>
  <c r="K1110" i="4"/>
  <c r="M1110" i="4" s="1"/>
  <c r="K1111" i="4"/>
  <c r="M1111" i="4" s="1"/>
  <c r="K1112" i="4"/>
  <c r="M1112" i="4" s="1"/>
  <c r="K1113" i="4"/>
  <c r="M1113" i="4" s="1"/>
  <c r="K1114" i="4"/>
  <c r="M1114" i="4" s="1"/>
  <c r="K1115" i="4"/>
  <c r="M1115" i="4" s="1"/>
  <c r="K1116" i="4"/>
  <c r="M1116" i="4" s="1"/>
  <c r="K1117" i="4"/>
  <c r="M1117" i="4" s="1"/>
  <c r="K1118" i="4"/>
  <c r="M1118" i="4" s="1"/>
  <c r="K1119" i="4"/>
  <c r="M1119" i="4" s="1"/>
  <c r="K1120" i="4"/>
  <c r="M1120" i="4" s="1"/>
  <c r="K1121" i="4"/>
  <c r="M1121" i="4" s="1"/>
  <c r="K1122" i="4"/>
  <c r="M1122" i="4" s="1"/>
  <c r="K1123" i="4"/>
  <c r="M1123" i="4" s="1"/>
  <c r="K1124" i="4"/>
  <c r="M1124" i="4" s="1"/>
  <c r="K1125" i="4"/>
  <c r="M1125" i="4" s="1"/>
  <c r="K1126" i="4"/>
  <c r="M1126" i="4" s="1"/>
  <c r="K1127" i="4"/>
  <c r="M1127" i="4" s="1"/>
  <c r="K1128" i="4"/>
  <c r="M1128" i="4" s="1"/>
  <c r="K1129" i="4"/>
  <c r="M1129" i="4" s="1"/>
  <c r="K1130" i="4"/>
  <c r="M1130" i="4" s="1"/>
  <c r="K1131" i="4"/>
  <c r="M1131" i="4" s="1"/>
  <c r="K1132" i="4"/>
  <c r="M1132" i="4" s="1"/>
  <c r="K1133" i="4"/>
  <c r="M1133" i="4" s="1"/>
  <c r="K1134" i="4"/>
  <c r="M1134" i="4" s="1"/>
  <c r="K1135" i="4"/>
  <c r="M1135" i="4" s="1"/>
  <c r="K1136" i="4"/>
  <c r="M1136" i="4" s="1"/>
  <c r="K1137" i="4"/>
  <c r="M1137" i="4" s="1"/>
  <c r="K1138" i="4"/>
  <c r="M1138" i="4" s="1"/>
  <c r="K1139" i="4"/>
  <c r="M1139" i="4" s="1"/>
  <c r="K1140" i="4"/>
  <c r="M1140" i="4" s="1"/>
  <c r="K1141" i="4"/>
  <c r="M1141" i="4" s="1"/>
  <c r="K1142" i="4"/>
  <c r="M1142" i="4" s="1"/>
  <c r="K1143" i="4"/>
  <c r="M1143" i="4" s="1"/>
  <c r="K1144" i="4"/>
  <c r="M1144" i="4" s="1"/>
  <c r="K1145" i="4"/>
  <c r="M1145" i="4" s="1"/>
  <c r="K1146" i="4"/>
  <c r="M1146" i="4" s="1"/>
  <c r="K1147" i="4"/>
  <c r="M1147" i="4" s="1"/>
  <c r="K1148" i="4"/>
  <c r="M1148" i="4" s="1"/>
  <c r="K1149" i="4"/>
  <c r="M1149" i="4" s="1"/>
  <c r="K1150" i="4"/>
  <c r="M1150" i="4" s="1"/>
  <c r="K1151" i="4"/>
  <c r="M1151" i="4" s="1"/>
  <c r="K1152" i="4"/>
  <c r="M1152" i="4" s="1"/>
  <c r="K1153" i="4"/>
  <c r="M1153" i="4" s="1"/>
  <c r="K1154" i="4"/>
  <c r="M1154" i="4" s="1"/>
  <c r="K1155" i="4"/>
  <c r="M1155" i="4" s="1"/>
  <c r="K1156" i="4"/>
  <c r="M1156" i="4" s="1"/>
  <c r="K1157" i="4"/>
  <c r="M1157" i="4" s="1"/>
  <c r="K1158" i="4"/>
  <c r="M1158" i="4" s="1"/>
  <c r="K1159" i="4"/>
  <c r="M1159" i="4" s="1"/>
  <c r="K1160" i="4"/>
  <c r="M1160" i="4" s="1"/>
  <c r="K1161" i="4"/>
  <c r="M1161" i="4" s="1"/>
  <c r="K1162" i="4"/>
  <c r="M1162" i="4" s="1"/>
  <c r="K1163" i="4"/>
  <c r="M1163" i="4" s="1"/>
  <c r="K1164" i="4"/>
  <c r="M1164" i="4" s="1"/>
  <c r="K1165" i="4"/>
  <c r="M1165" i="4" s="1"/>
  <c r="K1166" i="4"/>
  <c r="M1166" i="4" s="1"/>
  <c r="K1167" i="4"/>
  <c r="M1167" i="4" s="1"/>
  <c r="K1168" i="4"/>
  <c r="M1168" i="4" s="1"/>
  <c r="K1169" i="4"/>
  <c r="M1169" i="4" s="1"/>
  <c r="K1170" i="4"/>
  <c r="M1170" i="4" s="1"/>
  <c r="K1171" i="4"/>
  <c r="M1171" i="4" s="1"/>
  <c r="K1172" i="4"/>
  <c r="M1172" i="4" s="1"/>
  <c r="K1173" i="4"/>
  <c r="M1173" i="4" s="1"/>
  <c r="K1174" i="4"/>
  <c r="M1174" i="4" s="1"/>
  <c r="M491" i="4"/>
  <c r="M492" i="4"/>
  <c r="M493" i="4"/>
  <c r="M494" i="4"/>
  <c r="M499" i="4"/>
  <c r="M500" i="4"/>
  <c r="M507" i="4"/>
  <c r="M508" i="4"/>
  <c r="M515" i="4"/>
  <c r="M516" i="4"/>
  <c r="M523" i="4"/>
  <c r="M524" i="4"/>
  <c r="M525" i="4"/>
  <c r="M526" i="4"/>
  <c r="M531" i="4"/>
  <c r="M532" i="4"/>
  <c r="M539" i="4"/>
  <c r="M540" i="4"/>
  <c r="M544" i="4"/>
  <c r="M547" i="4"/>
  <c r="M548" i="4"/>
  <c r="M555" i="4"/>
  <c r="M556" i="4"/>
  <c r="M557" i="4"/>
  <c r="M558" i="4"/>
  <c r="M560" i="4"/>
  <c r="M563" i="4"/>
  <c r="M564" i="4"/>
  <c r="M571" i="4"/>
  <c r="M572" i="4"/>
  <c r="M579" i="4"/>
  <c r="M580" i="4"/>
  <c r="M584" i="4"/>
  <c r="M587" i="4"/>
  <c r="M588" i="4"/>
  <c r="M589" i="4"/>
  <c r="M590" i="4"/>
  <c r="M595" i="4"/>
  <c r="M596" i="4"/>
  <c r="M600" i="4"/>
  <c r="M603" i="4"/>
  <c r="M604" i="4"/>
  <c r="M611" i="4"/>
  <c r="M612" i="4"/>
  <c r="M619" i="4"/>
  <c r="M620" i="4"/>
  <c r="M621" i="4"/>
  <c r="M622" i="4"/>
  <c r="M627" i="4"/>
  <c r="M628" i="4"/>
  <c r="M635" i="4"/>
  <c r="M636" i="4"/>
  <c r="M643" i="4"/>
  <c r="M644" i="4"/>
  <c r="M651" i="4"/>
  <c r="M652" i="4"/>
  <c r="M653" i="4"/>
  <c r="M654" i="4"/>
  <c r="M659" i="4"/>
  <c r="M660" i="4"/>
  <c r="M667" i="4"/>
  <c r="M668" i="4"/>
  <c r="M672" i="4"/>
  <c r="M675" i="4"/>
  <c r="M676" i="4"/>
  <c r="M683" i="4"/>
  <c r="M684" i="4"/>
  <c r="M685" i="4"/>
  <c r="M686" i="4"/>
  <c r="M688" i="4"/>
  <c r="M691" i="4"/>
  <c r="M692" i="4"/>
  <c r="M699" i="4"/>
  <c r="M700" i="4"/>
  <c r="M707" i="4"/>
  <c r="M708" i="4"/>
  <c r="M712" i="4"/>
  <c r="M715" i="4"/>
  <c r="M716" i="4"/>
  <c r="M717" i="4"/>
  <c r="M718" i="4"/>
  <c r="M723" i="4"/>
  <c r="M724" i="4"/>
  <c r="M728" i="4"/>
  <c r="M731" i="4"/>
  <c r="M732" i="4"/>
  <c r="M739" i="4"/>
  <c r="M740" i="4"/>
  <c r="M747" i="4"/>
  <c r="M748" i="4"/>
  <c r="M749" i="4"/>
  <c r="M750" i="4"/>
  <c r="M755" i="4"/>
  <c r="M756" i="4"/>
  <c r="M763" i="4"/>
  <c r="M764" i="4"/>
  <c r="M771" i="4"/>
  <c r="M772" i="4"/>
  <c r="M779" i="4"/>
  <c r="M780" i="4"/>
  <c r="M781" i="4"/>
  <c r="M782" i="4"/>
  <c r="M787" i="4"/>
  <c r="M788" i="4"/>
  <c r="M795" i="4"/>
  <c r="M796" i="4"/>
  <c r="M800" i="4"/>
  <c r="M803" i="4"/>
  <c r="M804" i="4"/>
  <c r="M811" i="4"/>
  <c r="M812" i="4"/>
  <c r="M813" i="4"/>
  <c r="M814" i="4"/>
  <c r="M816" i="4"/>
  <c r="M819" i="4"/>
  <c r="M820" i="4"/>
  <c r="M827" i="4"/>
  <c r="M828" i="4"/>
  <c r="M835" i="4"/>
  <c r="M836" i="4"/>
  <c r="M840" i="4"/>
  <c r="M843" i="4"/>
  <c r="M844" i="4"/>
  <c r="M845" i="4"/>
  <c r="M846" i="4"/>
  <c r="M851" i="4"/>
  <c r="M852" i="4"/>
  <c r="M856" i="4"/>
  <c r="M859" i="4"/>
  <c r="M860" i="4"/>
  <c r="M867" i="4"/>
  <c r="M868" i="4"/>
  <c r="M875" i="4"/>
  <c r="M876" i="4"/>
  <c r="M877" i="4"/>
  <c r="M878" i="4"/>
  <c r="M883" i="4"/>
  <c r="M884" i="4"/>
  <c r="M891" i="4"/>
  <c r="M892" i="4"/>
  <c r="M899" i="4"/>
  <c r="M900" i="4"/>
  <c r="M907" i="4"/>
  <c r="M908" i="4"/>
  <c r="M909" i="4"/>
  <c r="M910" i="4"/>
  <c r="M915" i="4"/>
  <c r="M916" i="4"/>
  <c r="M923" i="4"/>
  <c r="M924" i="4"/>
  <c r="M928" i="4"/>
  <c r="M931" i="4"/>
  <c r="M932" i="4"/>
  <c r="M939" i="4"/>
  <c r="M940" i="4"/>
  <c r="M941" i="4"/>
  <c r="M942" i="4"/>
  <c r="M944" i="4"/>
  <c r="M947" i="4"/>
  <c r="M948" i="4"/>
  <c r="M955" i="4"/>
  <c r="M956" i="4"/>
  <c r="M973" i="4"/>
  <c r="M1021" i="4"/>
  <c r="M1045" i="4"/>
  <c r="K344" i="4"/>
  <c r="K347" i="4"/>
  <c r="K348" i="4"/>
  <c r="K349" i="4"/>
  <c r="K350" i="4"/>
  <c r="K351" i="4"/>
  <c r="K352" i="4"/>
  <c r="K353" i="4"/>
  <c r="K354" i="4"/>
  <c r="K355" i="4"/>
  <c r="M14" i="50" l="1"/>
  <c r="M15" i="50" s="1"/>
  <c r="I3" i="49"/>
  <c r="M16" i="50" l="1"/>
  <c r="M17" i="50" s="1"/>
  <c r="M18" i="50" s="1"/>
  <c r="M19" i="50" s="1"/>
  <c r="M20" i="50" s="1"/>
  <c r="M21" i="50" s="1"/>
  <c r="M22" i="50" s="1"/>
  <c r="M23" i="50" s="1"/>
  <c r="M24" i="50" s="1"/>
  <c r="M25" i="50" s="1"/>
  <c r="M26" i="50" s="1"/>
  <c r="M27" i="50" s="1"/>
  <c r="M28" i="50" s="1"/>
  <c r="M29" i="50" s="1"/>
  <c r="M30" i="50" s="1"/>
  <c r="M31" i="50" s="1"/>
  <c r="M32" i="50" s="1"/>
  <c r="M33" i="50" s="1"/>
  <c r="M34" i="50" s="1"/>
  <c r="M35" i="50" s="1"/>
  <c r="M36" i="50" s="1"/>
  <c r="M37" i="50" s="1"/>
  <c r="M38" i="50" s="1"/>
  <c r="M39" i="50" s="1"/>
  <c r="M40" i="50" s="1"/>
  <c r="M41" i="50" s="1"/>
  <c r="M42" i="50" s="1"/>
  <c r="M43" i="50" s="1"/>
  <c r="M44" i="50" s="1"/>
  <c r="M45" i="50" s="1"/>
  <c r="M46" i="50" s="1"/>
  <c r="M47" i="50" s="1"/>
  <c r="M48" i="50" s="1"/>
  <c r="M49" i="50" s="1"/>
  <c r="M50" i="50" s="1"/>
  <c r="M51" i="50" s="1"/>
  <c r="M52" i="50" s="1"/>
  <c r="M53" i="50" s="1"/>
  <c r="M54" i="50" s="1"/>
  <c r="M55" i="50" s="1"/>
  <c r="M56" i="50" s="1"/>
  <c r="M57" i="50" s="1"/>
  <c r="M58" i="50" s="1"/>
  <c r="M59" i="50" s="1"/>
  <c r="M60" i="50" s="1"/>
  <c r="M61" i="50" s="1"/>
  <c r="M62" i="50" s="1"/>
  <c r="M63" i="50" s="1"/>
  <c r="M64" i="50" s="1"/>
  <c r="M65" i="50" s="1"/>
  <c r="M66" i="50" s="1"/>
  <c r="M67" i="50" s="1"/>
  <c r="M68" i="50" s="1"/>
  <c r="M69" i="50" s="1"/>
  <c r="M70" i="50" s="1"/>
  <c r="M71" i="50" s="1"/>
  <c r="M72" i="50" s="1"/>
  <c r="M73" i="50" s="1"/>
  <c r="M74" i="50" s="1"/>
  <c r="M75" i="50" s="1"/>
  <c r="M76" i="50" s="1"/>
  <c r="M77" i="50" s="1"/>
  <c r="M78" i="50" s="1"/>
  <c r="M79" i="50" s="1"/>
  <c r="M80" i="50" s="1"/>
  <c r="M81" i="50" s="1"/>
  <c r="M82" i="50" s="1"/>
  <c r="M83" i="50" s="1"/>
  <c r="M84" i="50" s="1"/>
  <c r="M85" i="50" s="1"/>
  <c r="M86" i="50" s="1"/>
  <c r="M87" i="50" s="1"/>
  <c r="M88" i="50" s="1"/>
  <c r="M89" i="50" s="1"/>
  <c r="M90" i="50" s="1"/>
  <c r="M91" i="50" s="1"/>
  <c r="M92" i="50" s="1"/>
  <c r="M93" i="50" s="1"/>
  <c r="M94" i="50" s="1"/>
  <c r="M95" i="50" s="1"/>
  <c r="M96" i="50" s="1"/>
  <c r="M97" i="50" s="1"/>
  <c r="M98" i="50" s="1"/>
  <c r="M99" i="50" s="1"/>
  <c r="M100" i="50" s="1"/>
  <c r="M101" i="50" s="1"/>
  <c r="I4" i="49"/>
  <c r="I5" i="49" s="1"/>
  <c r="I6" i="49" s="1"/>
  <c r="I7" i="49" s="1"/>
  <c r="I8" i="49" s="1"/>
  <c r="I9" i="49" s="1"/>
  <c r="I10" i="49" s="1"/>
  <c r="I11" i="49" s="1"/>
  <c r="I12" i="49" s="1"/>
  <c r="I13" i="49" s="1"/>
  <c r="I14" i="49" s="1"/>
  <c r="I15" i="49" s="1"/>
  <c r="I16" i="49" s="1"/>
  <c r="I17" i="49" s="1"/>
  <c r="I18" i="49" s="1"/>
  <c r="I19" i="49" s="1"/>
  <c r="I20" i="49" s="1"/>
  <c r="I21" i="49" s="1"/>
  <c r="I22" i="49" s="1"/>
  <c r="I23" i="49" s="1"/>
  <c r="I24" i="49" s="1"/>
  <c r="I25" i="49" s="1"/>
  <c r="I26" i="49" s="1"/>
  <c r="I27" i="49" s="1"/>
  <c r="I28" i="49" s="1"/>
  <c r="I29" i="49" s="1"/>
  <c r="I30" i="49" s="1"/>
  <c r="I31" i="49" s="1"/>
  <c r="I32" i="49" s="1"/>
  <c r="I33" i="49" s="1"/>
  <c r="I34" i="49" s="1"/>
  <c r="I35" i="49" s="1"/>
  <c r="I36" i="49" s="1"/>
  <c r="I37" i="49" s="1"/>
  <c r="I38" i="49" s="1"/>
  <c r="I39" i="49" s="1"/>
  <c r="I40" i="49" s="1"/>
  <c r="I41" i="49" s="1"/>
  <c r="I42" i="49" s="1"/>
  <c r="I43" i="49" s="1"/>
  <c r="I44" i="49" s="1"/>
  <c r="I45" i="49" s="1"/>
  <c r="I46" i="49" s="1"/>
  <c r="I47" i="49" s="1"/>
  <c r="I48" i="49" s="1"/>
  <c r="I49" i="49" s="1"/>
  <c r="I50" i="49" s="1"/>
  <c r="I51" i="49" s="1"/>
  <c r="I52" i="49" s="1"/>
  <c r="I53" i="49" s="1"/>
  <c r="I54" i="49" s="1"/>
  <c r="I55" i="49" s="1"/>
  <c r="I56" i="49" s="1"/>
  <c r="I57" i="49" s="1"/>
  <c r="I58" i="49" s="1"/>
  <c r="I59" i="49" s="1"/>
  <c r="I60" i="49" s="1"/>
  <c r="I61" i="49" s="1"/>
  <c r="I62" i="49" s="1"/>
  <c r="I63" i="49" s="1"/>
  <c r="I64" i="49" s="1"/>
  <c r="I65" i="49" s="1"/>
  <c r="I66" i="49" s="1"/>
  <c r="I67" i="49" s="1"/>
  <c r="I68" i="49" s="1"/>
  <c r="I69" i="49" s="1"/>
  <c r="I70" i="49" s="1"/>
  <c r="I71" i="49" s="1"/>
  <c r="I72" i="49" s="1"/>
  <c r="I73" i="49" s="1"/>
  <c r="I74" i="49" s="1"/>
  <c r="I75" i="49" s="1"/>
  <c r="I76" i="49" s="1"/>
  <c r="I77" i="49" s="1"/>
  <c r="I78" i="49" s="1"/>
  <c r="I79" i="49" s="1"/>
  <c r="I80" i="49" s="1"/>
  <c r="I81" i="49" s="1"/>
  <c r="I82" i="49" s="1"/>
  <c r="I83" i="49" s="1"/>
  <c r="I84" i="49" s="1"/>
  <c r="I85" i="49" s="1"/>
  <c r="I86" i="49" s="1"/>
  <c r="I87" i="49" s="1"/>
  <c r="I88" i="49" s="1"/>
  <c r="I89" i="49" s="1"/>
  <c r="I90" i="49" s="1"/>
  <c r="I91" i="49" s="1"/>
  <c r="I92" i="49" s="1"/>
  <c r="K5" i="35"/>
  <c r="M102" i="50" l="1"/>
  <c r="M103" i="50" s="1"/>
  <c r="M104" i="50" s="1"/>
  <c r="M105" i="50" s="1"/>
  <c r="M106" i="50" s="1"/>
  <c r="M107" i="50" s="1"/>
  <c r="M108" i="50" s="1"/>
  <c r="M109" i="50" s="1"/>
  <c r="M110" i="50" s="1"/>
  <c r="M111" i="50" s="1"/>
  <c r="M112" i="50" s="1"/>
  <c r="M113" i="50" s="1"/>
  <c r="M114" i="50" s="1"/>
  <c r="M115" i="50" s="1"/>
  <c r="M116" i="50" s="1"/>
  <c r="I338" i="47"/>
  <c r="J339" i="47"/>
  <c r="I339" i="47"/>
  <c r="J338" i="47"/>
  <c r="J337" i="47"/>
  <c r="I337" i="47"/>
  <c r="L336" i="47"/>
  <c r="L335" i="47"/>
  <c r="L334" i="47"/>
  <c r="L333" i="47"/>
  <c r="L332" i="47"/>
  <c r="L331" i="47"/>
  <c r="L330" i="47"/>
  <c r="L329" i="47"/>
  <c r="L328" i="47"/>
  <c r="L327" i="47"/>
  <c r="L326" i="47"/>
  <c r="L325" i="47"/>
  <c r="L324" i="47"/>
  <c r="L323" i="47"/>
  <c r="L322" i="47"/>
  <c r="L321" i="47"/>
  <c r="L320" i="47"/>
  <c r="L319" i="47"/>
  <c r="L318" i="47"/>
  <c r="L317" i="47"/>
  <c r="L316" i="47"/>
  <c r="L315" i="47"/>
  <c r="L314" i="47"/>
  <c r="L313" i="47"/>
  <c r="L312" i="47"/>
  <c r="L311" i="47"/>
  <c r="L310" i="47"/>
  <c r="L309" i="47"/>
  <c r="L308" i="47"/>
  <c r="L307" i="47"/>
  <c r="L306" i="47"/>
  <c r="L305" i="47"/>
  <c r="L304" i="47"/>
  <c r="L303" i="47"/>
  <c r="L302" i="47"/>
  <c r="L301" i="47"/>
  <c r="L300" i="47"/>
  <c r="L299" i="47"/>
  <c r="L298" i="47"/>
  <c r="L297" i="47"/>
  <c r="L296" i="47"/>
  <c r="L295" i="47"/>
  <c r="L294" i="47"/>
  <c r="L293" i="47"/>
  <c r="L292" i="47"/>
  <c r="L291" i="47"/>
  <c r="L290" i="47"/>
  <c r="L289" i="47"/>
  <c r="L288" i="47"/>
  <c r="L287" i="47"/>
  <c r="L286" i="47"/>
  <c r="L285" i="47"/>
  <c r="L284" i="47"/>
  <c r="L283" i="47"/>
  <c r="L282" i="47"/>
  <c r="L281" i="47"/>
  <c r="L280" i="47"/>
  <c r="L279" i="47"/>
  <c r="L278" i="47"/>
  <c r="L277" i="47"/>
  <c r="L276" i="47"/>
  <c r="L275" i="47"/>
  <c r="L274" i="47"/>
  <c r="L273" i="47"/>
  <c r="L272" i="47"/>
  <c r="L271" i="47"/>
  <c r="L270" i="47"/>
  <c r="L269" i="47"/>
  <c r="L268" i="47"/>
  <c r="L267" i="47"/>
  <c r="L266" i="47"/>
  <c r="L265" i="47"/>
  <c r="L264" i="47"/>
  <c r="L263" i="47"/>
  <c r="L262" i="47"/>
  <c r="L261" i="47"/>
  <c r="L260" i="47"/>
  <c r="L259" i="47"/>
  <c r="L258" i="47"/>
  <c r="L257" i="47"/>
  <c r="L256" i="47"/>
  <c r="L255" i="47"/>
  <c r="L254" i="47"/>
  <c r="L253" i="47"/>
  <c r="L252" i="47"/>
  <c r="L251" i="47"/>
  <c r="L250" i="47"/>
  <c r="L249" i="47"/>
  <c r="L248" i="47"/>
  <c r="L247" i="47"/>
  <c r="L246" i="47"/>
  <c r="L245" i="47"/>
  <c r="L244" i="47"/>
  <c r="L243" i="47"/>
  <c r="L242" i="47"/>
  <c r="L241" i="47"/>
  <c r="L240" i="47"/>
  <c r="L239" i="47"/>
  <c r="L238" i="47"/>
  <c r="L237" i="47"/>
  <c r="L236" i="47"/>
  <c r="L235" i="47"/>
  <c r="L234" i="47"/>
  <c r="L233" i="47"/>
  <c r="L232" i="47"/>
  <c r="L231" i="47"/>
  <c r="L230" i="47"/>
  <c r="L229" i="47"/>
  <c r="L228" i="47"/>
  <c r="L227" i="47"/>
  <c r="L226" i="47"/>
  <c r="L225" i="47"/>
  <c r="L224" i="47"/>
  <c r="L223" i="47"/>
  <c r="L222" i="47"/>
  <c r="L221" i="47"/>
  <c r="L220" i="47"/>
  <c r="L219" i="47"/>
  <c r="L218" i="47"/>
  <c r="L217" i="47"/>
  <c r="L216" i="47"/>
  <c r="L215" i="47"/>
  <c r="L214" i="47"/>
  <c r="L213" i="47"/>
  <c r="L212" i="47"/>
  <c r="L211" i="47"/>
  <c r="L210" i="47"/>
  <c r="L209" i="47"/>
  <c r="L208" i="47"/>
  <c r="L207" i="47"/>
  <c r="L206" i="47"/>
  <c r="L205" i="47"/>
  <c r="L204" i="47"/>
  <c r="L203" i="47"/>
  <c r="L202" i="47"/>
  <c r="L201" i="47"/>
  <c r="L200" i="47"/>
  <c r="L199" i="47"/>
  <c r="L198" i="47"/>
  <c r="L197" i="47"/>
  <c r="L196" i="47"/>
  <c r="L195" i="47"/>
  <c r="L194" i="47"/>
  <c r="L193" i="47"/>
  <c r="L192" i="47"/>
  <c r="L191" i="47"/>
  <c r="L190" i="47"/>
  <c r="L189" i="47"/>
  <c r="L188" i="47"/>
  <c r="L187" i="47"/>
  <c r="L186" i="47"/>
  <c r="L185" i="47"/>
  <c r="L184" i="47"/>
  <c r="L183" i="47"/>
  <c r="L182" i="47"/>
  <c r="L181" i="47"/>
  <c r="L180" i="47"/>
  <c r="L179" i="47"/>
  <c r="L178" i="47"/>
  <c r="L177" i="47"/>
  <c r="L176" i="47"/>
  <c r="L175" i="47"/>
  <c r="L174" i="47"/>
  <c r="L173" i="47"/>
  <c r="L172" i="47"/>
  <c r="L171" i="47"/>
  <c r="L170" i="47"/>
  <c r="L169" i="47"/>
  <c r="L168" i="47"/>
  <c r="L167" i="47"/>
  <c r="L166" i="47"/>
  <c r="L165" i="47"/>
  <c r="L164" i="47"/>
  <c r="L163" i="47"/>
  <c r="L162" i="47"/>
  <c r="L161" i="47"/>
  <c r="L160" i="47"/>
  <c r="L159" i="47"/>
  <c r="L158" i="47"/>
  <c r="L157" i="47"/>
  <c r="L156" i="47"/>
  <c r="L155" i="47"/>
  <c r="L154" i="47"/>
  <c r="L153" i="47"/>
  <c r="L152" i="47"/>
  <c r="L151" i="47"/>
  <c r="L150" i="47"/>
  <c r="L149" i="47"/>
  <c r="L148" i="47"/>
  <c r="L147" i="47"/>
  <c r="L146" i="47"/>
  <c r="L145" i="47"/>
  <c r="L144" i="47"/>
  <c r="L143" i="47"/>
  <c r="L142" i="47"/>
  <c r="L141" i="47"/>
  <c r="L140" i="47"/>
  <c r="L139" i="47"/>
  <c r="L138" i="47"/>
  <c r="L137" i="47"/>
  <c r="L136" i="47"/>
  <c r="L135" i="47"/>
  <c r="L134" i="47"/>
  <c r="L133" i="47"/>
  <c r="L132" i="47"/>
  <c r="L131" i="47"/>
  <c r="L130" i="47"/>
  <c r="L129" i="47"/>
  <c r="L128" i="47"/>
  <c r="L127" i="47"/>
  <c r="L126" i="47"/>
  <c r="L125" i="47"/>
  <c r="L124" i="47"/>
  <c r="L123" i="47"/>
  <c r="L122" i="47"/>
  <c r="L121" i="47"/>
  <c r="L120" i="47"/>
  <c r="L119" i="47"/>
  <c r="L118" i="47"/>
  <c r="L117" i="47"/>
  <c r="L116" i="47"/>
  <c r="L115" i="47"/>
  <c r="L114" i="47"/>
  <c r="L113" i="47"/>
  <c r="L112" i="47"/>
  <c r="L111" i="47"/>
  <c r="L110" i="47"/>
  <c r="L109" i="47"/>
  <c r="L108" i="47"/>
  <c r="L107" i="47"/>
  <c r="L106" i="47"/>
  <c r="L105" i="47"/>
  <c r="L104" i="47"/>
  <c r="L103" i="47"/>
  <c r="L102" i="47"/>
  <c r="L101" i="47"/>
  <c r="L100" i="47"/>
  <c r="L99" i="47"/>
  <c r="L98" i="47"/>
  <c r="L97" i="47"/>
  <c r="L96" i="47"/>
  <c r="L95" i="47"/>
  <c r="L94" i="47"/>
  <c r="L93" i="47"/>
  <c r="L92" i="47"/>
  <c r="L91" i="47"/>
  <c r="L90" i="47"/>
  <c r="L89" i="47"/>
  <c r="L88" i="47"/>
  <c r="L87" i="47"/>
  <c r="L86" i="47"/>
  <c r="L85" i="47"/>
  <c r="L84" i="47"/>
  <c r="L83" i="47"/>
  <c r="L82" i="47"/>
  <c r="L81" i="47"/>
  <c r="L80" i="47"/>
  <c r="L79" i="47"/>
  <c r="L78" i="47"/>
  <c r="L77" i="47"/>
  <c r="L76" i="47"/>
  <c r="L75" i="47"/>
  <c r="L74" i="47"/>
  <c r="L73" i="47"/>
  <c r="L72" i="47"/>
  <c r="L71" i="47"/>
  <c r="L70" i="47"/>
  <c r="L69" i="47"/>
  <c r="L68" i="47"/>
  <c r="L67" i="47"/>
  <c r="L66" i="47"/>
  <c r="L65" i="47"/>
  <c r="L64" i="47"/>
  <c r="L63" i="47"/>
  <c r="L62" i="47"/>
  <c r="L61" i="47"/>
  <c r="L60" i="47"/>
  <c r="L59" i="47"/>
  <c r="L58" i="47"/>
  <c r="L57" i="47"/>
  <c r="L56" i="47"/>
  <c r="L55" i="47"/>
  <c r="L54" i="47"/>
  <c r="L53" i="47"/>
  <c r="L52" i="47"/>
  <c r="L51" i="47"/>
  <c r="L50" i="47"/>
  <c r="L49" i="47"/>
  <c r="L48" i="47"/>
  <c r="L47" i="47"/>
  <c r="L46" i="47"/>
  <c r="L45" i="47"/>
  <c r="L44" i="47"/>
  <c r="L43" i="47"/>
  <c r="L42" i="47"/>
  <c r="L41" i="47"/>
  <c r="L40" i="47"/>
  <c r="L39" i="47"/>
  <c r="L38" i="47"/>
  <c r="L37" i="47"/>
  <c r="L36" i="47"/>
  <c r="L35" i="47"/>
  <c r="L34" i="47"/>
  <c r="L33" i="47"/>
  <c r="L32" i="47"/>
  <c r="L31" i="47"/>
  <c r="L30" i="47"/>
  <c r="L29" i="47"/>
  <c r="L28" i="47"/>
  <c r="L27" i="47"/>
  <c r="L26" i="47"/>
  <c r="L25" i="47"/>
  <c r="L23" i="47"/>
  <c r="L22" i="47"/>
  <c r="L21" i="47"/>
  <c r="L20" i="47"/>
  <c r="L19" i="47"/>
  <c r="L18" i="47"/>
  <c r="L17" i="47"/>
  <c r="L16" i="47"/>
  <c r="L15" i="47"/>
  <c r="L13" i="47"/>
  <c r="L12" i="47"/>
  <c r="L11" i="47"/>
  <c r="L10" i="47"/>
  <c r="L9" i="47"/>
  <c r="L8" i="47"/>
  <c r="L7" i="47"/>
  <c r="L6" i="47"/>
  <c r="L5" i="47"/>
  <c r="L4" i="47"/>
  <c r="L3" i="47"/>
  <c r="M117" i="50" l="1"/>
  <c r="M118" i="50" s="1"/>
  <c r="M119" i="50" s="1"/>
  <c r="M120" i="50" s="1"/>
  <c r="M121" i="50" s="1"/>
  <c r="M122" i="50" s="1"/>
  <c r="M123" i="50" s="1"/>
  <c r="M124" i="50" s="1"/>
  <c r="M125" i="50" s="1"/>
  <c r="M126" i="50" s="1"/>
  <c r="M127" i="50" s="1"/>
  <c r="M128" i="50" s="1"/>
  <c r="M129" i="50" s="1"/>
  <c r="L338" i="47"/>
  <c r="L337" i="47"/>
  <c r="O9" i="47" s="1"/>
  <c r="B34" i="14" s="1"/>
  <c r="L339" i="47"/>
  <c r="N3" i="47"/>
  <c r="N4" i="47" s="1"/>
  <c r="N5" i="47" s="1"/>
  <c r="N6" i="47" s="1"/>
  <c r="N7" i="47" s="1"/>
  <c r="N8" i="47" s="1"/>
  <c r="N9" i="47" s="1"/>
  <c r="N10" i="47" s="1"/>
  <c r="N11" i="47" s="1"/>
  <c r="N12" i="47" s="1"/>
  <c r="N13" i="47" s="1"/>
  <c r="M130" i="50" l="1"/>
  <c r="M131" i="50" s="1"/>
  <c r="M132" i="50" s="1"/>
  <c r="M133" i="50" s="1"/>
  <c r="N14" i="47"/>
  <c r="N15" i="47" s="1"/>
  <c r="N16" i="47" s="1"/>
  <c r="N17" i="47" s="1"/>
  <c r="N18" i="47" s="1"/>
  <c r="N19" i="47" s="1"/>
  <c r="N20" i="47" s="1"/>
  <c r="N21" i="47" s="1"/>
  <c r="N22" i="47" s="1"/>
  <c r="N23" i="47" s="1"/>
  <c r="N24" i="47" l="1"/>
  <c r="N25" i="47" s="1"/>
  <c r="N26" i="47" s="1"/>
  <c r="N27" i="47" s="1"/>
  <c r="N28" i="47" s="1"/>
  <c r="N29" i="47" s="1"/>
  <c r="N30" i="47" s="1"/>
  <c r="N31" i="47" s="1"/>
  <c r="N32" i="47" s="1"/>
  <c r="N33" i="47" s="1"/>
  <c r="N34" i="47" s="1"/>
  <c r="N35" i="47" s="1"/>
  <c r="N36" i="47" s="1"/>
  <c r="N37" i="47" s="1"/>
  <c r="N38" i="47" s="1"/>
  <c r="N39" i="47" s="1"/>
  <c r="N40" i="47" s="1"/>
  <c r="N41" i="47" s="1"/>
  <c r="N42" i="47" s="1"/>
  <c r="N43" i="47" s="1"/>
  <c r="N44" i="47" s="1"/>
  <c r="N45" i="47" s="1"/>
  <c r="N46" i="47" s="1"/>
  <c r="N47" i="47" s="1"/>
  <c r="N48" i="47" s="1"/>
  <c r="N49" i="47" s="1"/>
  <c r="N50" i="47" s="1"/>
  <c r="N51" i="47" s="1"/>
  <c r="N52" i="47" s="1"/>
  <c r="N53" i="47" s="1"/>
  <c r="N54" i="47" s="1"/>
  <c r="N55" i="47" s="1"/>
  <c r="N56" i="47" s="1"/>
  <c r="N57" i="47" s="1"/>
  <c r="N58" i="47" s="1"/>
  <c r="N59" i="47" s="1"/>
  <c r="N60" i="47" s="1"/>
  <c r="N61" i="47" s="1"/>
  <c r="N62" i="47" s="1"/>
  <c r="N63" i="47" s="1"/>
  <c r="N64" i="47" s="1"/>
  <c r="N65" i="47" s="1"/>
  <c r="N66" i="47" s="1"/>
  <c r="N67" i="47" s="1"/>
  <c r="N68" i="47" s="1"/>
  <c r="N69" i="47" s="1"/>
  <c r="N70" i="47" s="1"/>
  <c r="N71" i="47" s="1"/>
  <c r="N72" i="47" s="1"/>
  <c r="N73" i="47" s="1"/>
  <c r="N74" i="47" s="1"/>
  <c r="N75" i="47" s="1"/>
  <c r="N76" i="47" s="1"/>
  <c r="N77" i="47" s="1"/>
  <c r="N78" i="47" s="1"/>
  <c r="N79" i="47" s="1"/>
  <c r="N80" i="47" s="1"/>
  <c r="N81" i="47" s="1"/>
  <c r="N82" i="47" s="1"/>
  <c r="N83" i="47" s="1"/>
  <c r="N84" i="47" s="1"/>
  <c r="N85" i="47" s="1"/>
  <c r="N86" i="47" s="1"/>
  <c r="N87" i="47" s="1"/>
  <c r="N88" i="47" s="1"/>
  <c r="N89" i="47" s="1"/>
  <c r="N90" i="47" s="1"/>
  <c r="N91" i="47" s="1"/>
  <c r="N92" i="47" s="1"/>
  <c r="N93" i="47" s="1"/>
  <c r="N94" i="47" s="1"/>
  <c r="N95" i="47" s="1"/>
  <c r="N96" i="47" s="1"/>
  <c r="N97" i="47" s="1"/>
  <c r="N98" i="47" s="1"/>
  <c r="N99" i="47" s="1"/>
  <c r="N100" i="47" s="1"/>
  <c r="N101" i="47" s="1"/>
  <c r="N102" i="47" s="1"/>
  <c r="N103" i="47" s="1"/>
  <c r="N104" i="47" s="1"/>
  <c r="N105" i="47" s="1"/>
  <c r="N106" i="47" s="1"/>
  <c r="N107" i="47" s="1"/>
  <c r="N108" i="47" s="1"/>
  <c r="N109" i="47" s="1"/>
  <c r="N110" i="47" s="1"/>
  <c r="N111" i="47" s="1"/>
  <c r="N112" i="47" s="1"/>
  <c r="N113" i="47" s="1"/>
  <c r="N114" i="47" s="1"/>
  <c r="N115" i="47" s="1"/>
  <c r="N116" i="47" s="1"/>
  <c r="N117" i="47" s="1"/>
  <c r="N118" i="47" s="1"/>
  <c r="N119" i="47" s="1"/>
  <c r="N120" i="47" s="1"/>
  <c r="N121" i="47" s="1"/>
  <c r="N122" i="47" s="1"/>
  <c r="N123" i="47" s="1"/>
  <c r="N124" i="47" s="1"/>
  <c r="N125" i="47" s="1"/>
  <c r="N126" i="47" s="1"/>
  <c r="N127" i="47" s="1"/>
  <c r="N128" i="47" s="1"/>
  <c r="N129" i="47" s="1"/>
  <c r="N130" i="47" s="1"/>
  <c r="N131" i="47" s="1"/>
  <c r="N132" i="47" s="1"/>
  <c r="N133" i="47" s="1"/>
  <c r="N134" i="47" s="1"/>
  <c r="N135" i="47" s="1"/>
  <c r="N136" i="47" s="1"/>
  <c r="N137" i="47" s="1"/>
  <c r="N138" i="47" s="1"/>
  <c r="N139" i="47" s="1"/>
  <c r="N140" i="47" s="1"/>
  <c r="N141" i="47" s="1"/>
  <c r="N142" i="47" s="1"/>
  <c r="N143" i="47" s="1"/>
  <c r="N144" i="47" s="1"/>
  <c r="N145" i="47" s="1"/>
  <c r="N146" i="47" s="1"/>
  <c r="N147" i="47" s="1"/>
  <c r="N148" i="47" s="1"/>
  <c r="N149" i="47" s="1"/>
  <c r="N150" i="47" s="1"/>
  <c r="N151" i="47" s="1"/>
  <c r="N152" i="47" s="1"/>
  <c r="N153" i="47" s="1"/>
  <c r="N154" i="47" s="1"/>
  <c r="N155" i="47" s="1"/>
  <c r="N156" i="47" s="1"/>
  <c r="N157" i="47" s="1"/>
  <c r="N158" i="47" s="1"/>
  <c r="N159" i="47" s="1"/>
  <c r="N160" i="47" s="1"/>
  <c r="N161" i="47" s="1"/>
  <c r="N162" i="47" s="1"/>
  <c r="N163" i="47" s="1"/>
  <c r="N164" i="47" s="1"/>
  <c r="N165" i="47" s="1"/>
  <c r="N166" i="47" s="1"/>
  <c r="N167" i="47" s="1"/>
  <c r="N168" i="47" s="1"/>
  <c r="N169" i="47" s="1"/>
  <c r="N170" i="47" s="1"/>
  <c r="N171" i="47" s="1"/>
  <c r="N172" i="47" s="1"/>
  <c r="N173" i="47" s="1"/>
  <c r="N174" i="47" s="1"/>
  <c r="N175" i="47" s="1"/>
  <c r="N176" i="47" s="1"/>
  <c r="N177" i="47" s="1"/>
  <c r="N178" i="47" s="1"/>
  <c r="N179" i="47" s="1"/>
  <c r="N180" i="47" s="1"/>
  <c r="N181" i="47" s="1"/>
  <c r="N182" i="47" s="1"/>
  <c r="N183" i="47" s="1"/>
  <c r="N184" i="47" s="1"/>
  <c r="N185" i="47" s="1"/>
  <c r="N186" i="47" s="1"/>
  <c r="N187" i="47" s="1"/>
  <c r="N188" i="47" s="1"/>
  <c r="N189" i="47" s="1"/>
  <c r="N190" i="47" s="1"/>
  <c r="N191" i="47" s="1"/>
  <c r="N192" i="47" s="1"/>
  <c r="N193" i="47" s="1"/>
  <c r="N194" i="47" s="1"/>
  <c r="N195" i="47" s="1"/>
  <c r="N196" i="47" s="1"/>
  <c r="N197" i="47" s="1"/>
  <c r="N198" i="47" s="1"/>
  <c r="N199" i="47" s="1"/>
  <c r="N200" i="47" s="1"/>
  <c r="N201" i="47" s="1"/>
  <c r="N202" i="47" s="1"/>
  <c r="N203" i="47" s="1"/>
  <c r="N204" i="47" s="1"/>
  <c r="N205" i="47" s="1"/>
  <c r="N206" i="47" s="1"/>
  <c r="N207" i="47" s="1"/>
  <c r="N208" i="47" s="1"/>
  <c r="N209" i="47" s="1"/>
  <c r="N210" i="47" s="1"/>
  <c r="N211" i="47" s="1"/>
  <c r="N212" i="47" s="1"/>
  <c r="N213" i="47" s="1"/>
  <c r="N214" i="47" s="1"/>
  <c r="N215" i="47" s="1"/>
  <c r="N216" i="47" s="1"/>
  <c r="N217" i="47" s="1"/>
  <c r="N218" i="47" s="1"/>
  <c r="N219" i="47" s="1"/>
  <c r="N220" i="47" s="1"/>
  <c r="N221" i="47" s="1"/>
  <c r="N222" i="47" s="1"/>
  <c r="N223" i="47" s="1"/>
  <c r="N224" i="47" s="1"/>
  <c r="N225" i="47" s="1"/>
  <c r="N226" i="47" s="1"/>
  <c r="N227" i="47" s="1"/>
  <c r="N228" i="47" s="1"/>
  <c r="N229" i="47" s="1"/>
  <c r="N230" i="47" s="1"/>
  <c r="N231" i="47" s="1"/>
  <c r="N232" i="47" s="1"/>
  <c r="N233" i="47" s="1"/>
  <c r="N234" i="47" s="1"/>
  <c r="N235" i="47" s="1"/>
  <c r="N236" i="47" s="1"/>
  <c r="N237" i="47" s="1"/>
  <c r="N238" i="47" s="1"/>
  <c r="N239" i="47" s="1"/>
  <c r="N240" i="47" s="1"/>
  <c r="N241" i="47" s="1"/>
  <c r="N242" i="47" s="1"/>
  <c r="N243" i="47" s="1"/>
  <c r="N244" i="47" s="1"/>
  <c r="N245" i="47" s="1"/>
  <c r="N246" i="47" s="1"/>
  <c r="N247" i="47" s="1"/>
  <c r="N248" i="47" s="1"/>
  <c r="N249" i="47" s="1"/>
  <c r="N250" i="47" s="1"/>
  <c r="N251" i="47" s="1"/>
  <c r="N252" i="47" s="1"/>
  <c r="N253" i="47" s="1"/>
  <c r="N254" i="47" s="1"/>
  <c r="N255" i="47" s="1"/>
  <c r="N256" i="47" s="1"/>
  <c r="N257" i="47" s="1"/>
  <c r="N258" i="47" s="1"/>
  <c r="N259" i="47" s="1"/>
  <c r="N260" i="47" s="1"/>
  <c r="N261" i="47" s="1"/>
  <c r="N262" i="47" s="1"/>
  <c r="N263" i="47" s="1"/>
  <c r="N264" i="47" s="1"/>
  <c r="N265" i="47" s="1"/>
  <c r="N266" i="47" s="1"/>
  <c r="N267" i="47" s="1"/>
  <c r="N268" i="47" s="1"/>
  <c r="N269" i="47" s="1"/>
  <c r="N270" i="47" s="1"/>
  <c r="N271" i="47" s="1"/>
  <c r="N272" i="47" s="1"/>
  <c r="N273" i="47" s="1"/>
  <c r="N274" i="47" s="1"/>
  <c r="N275" i="47" s="1"/>
  <c r="N276" i="47" s="1"/>
  <c r="N277" i="47" s="1"/>
  <c r="N278" i="47" s="1"/>
  <c r="N279" i="47" s="1"/>
  <c r="N280" i="47" s="1"/>
  <c r="N281" i="47" s="1"/>
  <c r="N282" i="47" s="1"/>
  <c r="N283" i="47" s="1"/>
  <c r="N284" i="47" s="1"/>
  <c r="N285" i="47" s="1"/>
  <c r="N286" i="47" s="1"/>
  <c r="N287" i="47" s="1"/>
  <c r="N288" i="47" s="1"/>
  <c r="N289" i="47" s="1"/>
  <c r="N290" i="47" s="1"/>
  <c r="N291" i="47" s="1"/>
  <c r="N292" i="47" s="1"/>
  <c r="N293" i="47" s="1"/>
  <c r="N294" i="47" s="1"/>
  <c r="N295" i="47" s="1"/>
  <c r="N296" i="47" s="1"/>
  <c r="N297" i="47" s="1"/>
  <c r="N298" i="47" s="1"/>
  <c r="N299" i="47" s="1"/>
  <c r="N300" i="47" s="1"/>
  <c r="N301" i="47" s="1"/>
  <c r="N302" i="47" s="1"/>
  <c r="N303" i="47" s="1"/>
  <c r="N304" i="47" s="1"/>
  <c r="N305" i="47" s="1"/>
  <c r="N306" i="47" s="1"/>
  <c r="N307" i="47" s="1"/>
  <c r="N308" i="47" s="1"/>
  <c r="N309" i="47" s="1"/>
  <c r="N310" i="47" s="1"/>
  <c r="N311" i="47" s="1"/>
  <c r="N312" i="47" s="1"/>
  <c r="N313" i="47" s="1"/>
  <c r="N314" i="47" s="1"/>
  <c r="N315" i="47" s="1"/>
  <c r="N316" i="47" s="1"/>
  <c r="N317" i="47" s="1"/>
  <c r="N318" i="47" s="1"/>
  <c r="N319" i="47" s="1"/>
  <c r="N320" i="47" s="1"/>
  <c r="N321" i="47" s="1"/>
  <c r="N322" i="47" s="1"/>
  <c r="N323" i="47" s="1"/>
  <c r="N324" i="47" s="1"/>
  <c r="N325" i="47" s="1"/>
  <c r="N326" i="47" s="1"/>
  <c r="N327" i="47" s="1"/>
  <c r="N328" i="47" s="1"/>
  <c r="N329" i="47" s="1"/>
  <c r="N330" i="47" s="1"/>
  <c r="N331" i="47" s="1"/>
  <c r="N332" i="47" s="1"/>
  <c r="N333" i="47" s="1"/>
  <c r="N334" i="47" s="1"/>
  <c r="N335" i="47" s="1"/>
  <c r="N336" i="47" s="1"/>
  <c r="N337" i="47" s="1"/>
  <c r="N338" i="47" s="1"/>
  <c r="N339" i="47" s="1"/>
  <c r="M134" i="50"/>
  <c r="M135" i="50" s="1"/>
  <c r="M136" i="50" s="1"/>
  <c r="M137" i="50" s="1"/>
  <c r="M138" i="50" s="1"/>
  <c r="M139" i="50" s="1"/>
  <c r="M140" i="50" s="1"/>
  <c r="M141" i="50" s="1"/>
  <c r="M142" i="50" s="1"/>
  <c r="M143" i="50" s="1"/>
  <c r="M144" i="50" s="1"/>
  <c r="M145" i="50" s="1"/>
  <c r="M146" i="50" s="1"/>
  <c r="M147" i="50" s="1"/>
  <c r="M148" i="50" s="1"/>
  <c r="M149" i="50" s="1"/>
  <c r="M150" i="50" s="1"/>
  <c r="M151" i="50" s="1"/>
  <c r="M152" i="50" s="1"/>
  <c r="M153" i="50" s="1"/>
  <c r="M154" i="50" s="1"/>
  <c r="M155" i="50" s="1"/>
  <c r="M156" i="50" s="1"/>
  <c r="M157" i="50" s="1"/>
  <c r="M158" i="50" s="1"/>
  <c r="K6" i="35"/>
  <c r="M159" i="50" l="1"/>
  <c r="M160" i="50" s="1"/>
  <c r="M161" i="50" s="1"/>
  <c r="M162" i="50" s="1"/>
  <c r="M163" i="50" s="1"/>
  <c r="M164" i="50" s="1"/>
  <c r="M165" i="50" s="1"/>
  <c r="M166" i="50" s="1"/>
  <c r="M167" i="50" s="1"/>
  <c r="M168" i="50" s="1"/>
  <c r="M169" i="50" s="1"/>
  <c r="M170" i="50" s="1"/>
  <c r="M171" i="50" s="1"/>
  <c r="M172" i="50" s="1"/>
  <c r="M173" i="50" s="1"/>
  <c r="M174" i="50" s="1"/>
  <c r="M175" i="50" s="1"/>
  <c r="M176" i="50" s="1"/>
  <c r="M177" i="50" s="1"/>
  <c r="M178" i="50" s="1"/>
  <c r="M179" i="50" s="1"/>
  <c r="M180" i="50" s="1"/>
  <c r="M181" i="50" s="1"/>
  <c r="M182" i="50" s="1"/>
  <c r="M183" i="50" s="1"/>
  <c r="M184" i="50" s="1"/>
  <c r="M185" i="50" s="1"/>
  <c r="M186" i="50" l="1"/>
  <c r="M187" i="50" s="1"/>
  <c r="M188" i="50" s="1"/>
  <c r="M189" i="50" s="1"/>
  <c r="M190" i="50" s="1"/>
  <c r="M191" i="50" s="1"/>
  <c r="M192" i="50" s="1"/>
  <c r="M193" i="50" s="1"/>
  <c r="M194" i="50" s="1"/>
  <c r="M195" i="50" s="1"/>
  <c r="M196" i="50" s="1"/>
  <c r="M197" i="50" s="1"/>
  <c r="M198" i="50" s="1"/>
  <c r="M199" i="50" s="1"/>
  <c r="M200" i="50" s="1"/>
  <c r="M201" i="50" s="1"/>
  <c r="M202" i="50" s="1"/>
  <c r="M203" i="50" s="1"/>
  <c r="M204" i="50" s="1"/>
  <c r="M205" i="50" s="1"/>
  <c r="M206" i="50" s="1"/>
  <c r="M207" i="50" s="1"/>
  <c r="M208" i="50" s="1"/>
  <c r="M209" i="50" s="1"/>
  <c r="M210" i="50" s="1"/>
  <c r="M211" i="50" s="1"/>
  <c r="M212" i="50" s="1"/>
  <c r="M213" i="50" s="1"/>
  <c r="M214" i="50" s="1"/>
  <c r="M215" i="50" s="1"/>
  <c r="M216" i="50" s="1"/>
  <c r="M217" i="50" s="1"/>
  <c r="M218" i="50" s="1"/>
  <c r="M219" i="50" s="1"/>
  <c r="M220" i="50" s="1"/>
  <c r="M221" i="50" s="1"/>
  <c r="M222" i="50" s="1"/>
  <c r="M223" i="50" s="1"/>
  <c r="M224" i="50" s="1"/>
  <c r="M225" i="50" s="1"/>
  <c r="M226" i="50" s="1"/>
  <c r="M227" i="50" s="1"/>
  <c r="M228" i="50" s="1"/>
  <c r="M229" i="50" s="1"/>
  <c r="M230" i="50" s="1"/>
  <c r="M231" i="50" s="1"/>
  <c r="M232" i="50" s="1"/>
  <c r="M233" i="50" s="1"/>
  <c r="M234" i="50" s="1"/>
  <c r="M235" i="50" s="1"/>
  <c r="M236" i="50" s="1"/>
  <c r="M237" i="50" s="1"/>
  <c r="M238" i="50" s="1"/>
  <c r="M239" i="50" s="1"/>
  <c r="M240" i="50" s="1"/>
  <c r="M241" i="50" s="1"/>
  <c r="M242" i="50" s="1"/>
  <c r="M243" i="50" s="1"/>
  <c r="M244" i="50" s="1"/>
  <c r="M245" i="50" s="1"/>
  <c r="M246" i="50" s="1"/>
  <c r="M247" i="50" s="1"/>
  <c r="M248" i="50" s="1"/>
  <c r="M249" i="50" s="1"/>
  <c r="M250" i="50" s="1"/>
  <c r="M251" i="50" s="1"/>
  <c r="M252" i="50" s="1"/>
  <c r="M253" i="50" s="1"/>
  <c r="M254" i="50" s="1"/>
  <c r="M255" i="50" s="1"/>
  <c r="M256" i="50" s="1"/>
  <c r="M257" i="50" s="1"/>
  <c r="M258" i="50" s="1"/>
  <c r="M259" i="50" s="1"/>
  <c r="M260" i="50" s="1"/>
  <c r="M261" i="50" s="1"/>
  <c r="M262" i="50" s="1"/>
  <c r="M263" i="50" s="1"/>
  <c r="M264" i="50" s="1"/>
  <c r="M265" i="50" s="1"/>
  <c r="M266" i="50" s="1"/>
  <c r="M267" i="50" s="1"/>
  <c r="M268" i="50" s="1"/>
  <c r="M269" i="50" s="1"/>
  <c r="M270" i="50" s="1"/>
  <c r="M271" i="50" s="1"/>
  <c r="M272" i="50" s="1"/>
  <c r="M273" i="50" s="1"/>
  <c r="M274" i="50" s="1"/>
  <c r="M275" i="50" s="1"/>
  <c r="M276" i="50" s="1"/>
  <c r="M277" i="50" s="1"/>
  <c r="M278" i="50" s="1"/>
  <c r="M279" i="50" s="1"/>
  <c r="M280" i="50" s="1"/>
  <c r="M281" i="50" s="1"/>
  <c r="M282" i="50" s="1"/>
  <c r="M283" i="50" s="1"/>
  <c r="M284" i="50" s="1"/>
  <c r="M285" i="50" s="1"/>
  <c r="M286" i="50" s="1"/>
  <c r="M287" i="50" s="1"/>
  <c r="M288" i="50" s="1"/>
  <c r="M289" i="50" s="1"/>
  <c r="M290" i="50" s="1"/>
  <c r="M291" i="50" s="1"/>
  <c r="M292" i="50" s="1"/>
  <c r="M293" i="50" s="1"/>
  <c r="M294" i="50" s="1"/>
  <c r="M295" i="50" s="1"/>
  <c r="M296" i="50" s="1"/>
  <c r="M297" i="50" s="1"/>
  <c r="M298" i="50" s="1"/>
  <c r="M299" i="50" s="1"/>
  <c r="M300" i="50" s="1"/>
  <c r="M301" i="50" s="1"/>
  <c r="M302" i="50" s="1"/>
  <c r="M303" i="50" s="1"/>
  <c r="M304" i="50" s="1"/>
  <c r="M305" i="50" s="1"/>
  <c r="M306" i="50" s="1"/>
  <c r="M307" i="50" s="1"/>
  <c r="M308" i="50" s="1"/>
  <c r="M309" i="50" s="1"/>
  <c r="M310" i="50" s="1"/>
  <c r="M311" i="50" s="1"/>
  <c r="M312" i="50" s="1"/>
  <c r="M313" i="50" s="1"/>
  <c r="M314" i="50" s="1"/>
  <c r="M315" i="50" s="1"/>
  <c r="M316" i="50" s="1"/>
  <c r="M317" i="50" s="1"/>
  <c r="M318" i="50" s="1"/>
  <c r="M319" i="50" s="1"/>
  <c r="M320" i="50" s="1"/>
  <c r="M321" i="50" s="1"/>
  <c r="M322" i="50" s="1"/>
  <c r="M323" i="50" s="1"/>
  <c r="M324" i="50" s="1"/>
  <c r="M325" i="50" s="1"/>
  <c r="M326" i="50" s="1"/>
  <c r="M327" i="50" s="1"/>
  <c r="M328" i="50" s="1"/>
  <c r="M329" i="50" s="1"/>
  <c r="M330" i="50" s="1"/>
  <c r="M331" i="50" s="1"/>
  <c r="M332" i="50" s="1"/>
  <c r="M333" i="50" s="1"/>
  <c r="M334" i="50" s="1"/>
  <c r="M335" i="50" s="1"/>
  <c r="M336" i="50" s="1"/>
  <c r="M337" i="50" s="1"/>
  <c r="M338" i="50" s="1"/>
  <c r="M339" i="50" s="1"/>
  <c r="M340" i="50" s="1"/>
  <c r="M341" i="50" s="1"/>
  <c r="M342" i="50" s="1"/>
  <c r="M343" i="50" s="1"/>
  <c r="M344" i="50" s="1"/>
  <c r="M345" i="50" s="1"/>
  <c r="M346" i="50" s="1"/>
  <c r="M347" i="50" s="1"/>
  <c r="K10" i="35"/>
  <c r="K11" i="35"/>
  <c r="K12" i="35"/>
  <c r="K13" i="35"/>
  <c r="K14" i="35"/>
  <c r="K15" i="35"/>
  <c r="K16" i="35"/>
  <c r="K17" i="35"/>
  <c r="K18" i="35"/>
  <c r="K19" i="35"/>
  <c r="K20" i="35"/>
  <c r="K21" i="35"/>
  <c r="K22" i="35"/>
  <c r="K23" i="35"/>
  <c r="K24" i="35"/>
  <c r="K25" i="35"/>
  <c r="K26" i="35"/>
  <c r="K27" i="35"/>
  <c r="K28" i="35"/>
  <c r="K29" i="35"/>
  <c r="K30" i="35"/>
  <c r="K31" i="35"/>
  <c r="K32" i="35"/>
  <c r="K33" i="35"/>
  <c r="K34" i="35"/>
  <c r="K35" i="35"/>
  <c r="I252" i="35"/>
  <c r="I253" i="35"/>
  <c r="I254" i="35"/>
  <c r="I255" i="35"/>
  <c r="I256" i="35"/>
  <c r="I257" i="35"/>
  <c r="I258" i="35"/>
  <c r="I259" i="35"/>
  <c r="I260" i="35"/>
  <c r="I261" i="35"/>
  <c r="I262" i="35"/>
  <c r="I263" i="35"/>
  <c r="I264" i="35"/>
  <c r="I265" i="35"/>
  <c r="I266" i="35"/>
  <c r="I267" i="35"/>
  <c r="I268" i="35"/>
  <c r="I269" i="35"/>
  <c r="I270" i="35"/>
  <c r="I271" i="35"/>
  <c r="I272" i="35"/>
  <c r="I273" i="35"/>
  <c r="I274" i="35"/>
  <c r="I275" i="35"/>
  <c r="I276" i="35"/>
  <c r="I277" i="35"/>
  <c r="I278" i="35"/>
  <c r="I279" i="35"/>
  <c r="I280" i="35"/>
  <c r="I281" i="35"/>
  <c r="I282" i="35"/>
  <c r="I283" i="35"/>
  <c r="I284" i="35"/>
  <c r="I285" i="35"/>
  <c r="I286" i="35"/>
  <c r="I287" i="35"/>
  <c r="I288" i="35"/>
  <c r="I289" i="35"/>
  <c r="I290" i="35"/>
  <c r="I291" i="35"/>
  <c r="I292" i="35"/>
  <c r="I293" i="35"/>
  <c r="I294" i="35"/>
  <c r="I295" i="35"/>
  <c r="I296" i="35"/>
  <c r="I297" i="35"/>
  <c r="I298" i="35"/>
  <c r="I299" i="35"/>
  <c r="I300" i="35"/>
  <c r="I301" i="35"/>
  <c r="I302" i="35"/>
  <c r="I303" i="35"/>
  <c r="I304" i="35"/>
  <c r="I305" i="35"/>
  <c r="I306" i="35"/>
  <c r="I307" i="35"/>
  <c r="I308" i="35"/>
  <c r="I309" i="35"/>
  <c r="I310" i="35"/>
  <c r="I311" i="35"/>
  <c r="I312" i="35"/>
  <c r="I313" i="35"/>
  <c r="I314" i="35"/>
  <c r="I315" i="35"/>
  <c r="I316" i="35"/>
  <c r="I317" i="35"/>
  <c r="I318" i="35"/>
  <c r="I319" i="35"/>
  <c r="I320" i="35"/>
  <c r="I321" i="35"/>
  <c r="I322" i="35"/>
  <c r="I323" i="35"/>
  <c r="I324" i="35"/>
  <c r="I325" i="35"/>
  <c r="I326" i="35"/>
  <c r="I327" i="35"/>
  <c r="I328" i="35"/>
  <c r="I329" i="35"/>
  <c r="I330" i="35"/>
  <c r="I331" i="35"/>
  <c r="I332" i="35"/>
  <c r="I333" i="35"/>
  <c r="I334" i="35"/>
  <c r="I335" i="35"/>
  <c r="I336" i="35"/>
  <c r="I337" i="35"/>
  <c r="I338" i="35"/>
  <c r="I339" i="35"/>
  <c r="I340" i="35"/>
  <c r="I341" i="35"/>
  <c r="I2" i="46"/>
  <c r="O10" i="46" s="1"/>
  <c r="R3" i="14" s="1"/>
  <c r="R16" i="14" l="1"/>
  <c r="D11" i="14" s="1"/>
  <c r="K2" i="46"/>
  <c r="N10" i="46" s="1"/>
  <c r="B8" i="14" s="1"/>
  <c r="M3" i="46"/>
  <c r="M4" i="46" s="1"/>
  <c r="M5" i="46" s="1"/>
  <c r="M6" i="46" s="1"/>
  <c r="M7" i="46" s="1"/>
  <c r="M8" i="46" s="1"/>
  <c r="M9" i="46" s="1"/>
  <c r="K49" i="5"/>
  <c r="M10" i="46" l="1"/>
  <c r="M11" i="46" s="1"/>
  <c r="M12" i="46" s="1"/>
  <c r="M13" i="46" s="1"/>
  <c r="M14" i="46" s="1"/>
  <c r="M15" i="46" s="1"/>
  <c r="M16" i="46" s="1"/>
  <c r="M17" i="46" s="1"/>
  <c r="M18" i="46" s="1"/>
  <c r="M19" i="46" s="1"/>
  <c r="M20" i="46" s="1"/>
  <c r="M21" i="46" s="1"/>
  <c r="M22" i="46" s="1"/>
  <c r="M23" i="46" s="1"/>
  <c r="M24" i="46" s="1"/>
  <c r="M25" i="46" s="1"/>
  <c r="M26" i="46" s="1"/>
  <c r="M27" i="46" s="1"/>
  <c r="M28" i="46" s="1"/>
  <c r="M29" i="46" s="1"/>
  <c r="M30" i="46" s="1"/>
  <c r="M31" i="46" s="1"/>
  <c r="M32" i="46" s="1"/>
  <c r="M33" i="46" s="1"/>
  <c r="M34" i="46" s="1"/>
  <c r="M35" i="46" s="1"/>
  <c r="M36" i="46" s="1"/>
  <c r="M37" i="46" s="1"/>
  <c r="M38" i="46" s="1"/>
  <c r="M39" i="46" s="1"/>
  <c r="M40" i="46" s="1"/>
  <c r="M41" i="46" s="1"/>
  <c r="M42" i="46" s="1"/>
  <c r="M43" i="46" s="1"/>
  <c r="M44" i="46" s="1"/>
  <c r="M45" i="46" s="1"/>
  <c r="M46" i="46" s="1"/>
  <c r="M47" i="46" s="1"/>
  <c r="M48" i="46" s="1"/>
  <c r="M49" i="46" s="1"/>
  <c r="M50" i="46" s="1"/>
  <c r="M51" i="46" s="1"/>
  <c r="M52" i="46" s="1"/>
  <c r="M53" i="46" s="1"/>
  <c r="M54" i="46" s="1"/>
  <c r="M55" i="46" s="1"/>
  <c r="M56" i="46" s="1"/>
  <c r="M57" i="46" s="1"/>
  <c r="M58" i="46" s="1"/>
  <c r="M59" i="46" s="1"/>
  <c r="M60" i="46" s="1"/>
  <c r="M61" i="46" s="1"/>
  <c r="M62" i="46" s="1"/>
  <c r="M63" i="46" s="1"/>
  <c r="M64" i="46" s="1"/>
  <c r="M65" i="46" s="1"/>
  <c r="M66" i="46" s="1"/>
  <c r="M67" i="46" s="1"/>
  <c r="M68" i="46" s="1"/>
  <c r="M69" i="46" s="1"/>
  <c r="M70" i="46" s="1"/>
  <c r="M71" i="46" s="1"/>
  <c r="M72" i="46" s="1"/>
  <c r="M73" i="46" s="1"/>
  <c r="M74" i="46" s="1"/>
  <c r="M75" i="46" s="1"/>
  <c r="M76" i="46" s="1"/>
  <c r="M77" i="46" s="1"/>
  <c r="M78" i="46" s="1"/>
  <c r="M79" i="46" s="1"/>
  <c r="M80" i="46" s="1"/>
  <c r="M81" i="46" s="1"/>
  <c r="M82" i="46" s="1"/>
  <c r="M83" i="46" s="1"/>
  <c r="M84" i="46" s="1"/>
  <c r="M85" i="46" s="1"/>
  <c r="M86" i="46" s="1"/>
  <c r="M87" i="46" s="1"/>
  <c r="M88" i="46" s="1"/>
  <c r="M89" i="46" s="1"/>
  <c r="M90" i="46" s="1"/>
  <c r="M91" i="46" s="1"/>
  <c r="M92" i="46" s="1"/>
  <c r="M93" i="46" s="1"/>
  <c r="M94" i="46" s="1"/>
  <c r="M95" i="46" s="1"/>
  <c r="M96" i="46" s="1"/>
  <c r="M97" i="46" s="1"/>
  <c r="M98" i="46" s="1"/>
  <c r="M99" i="46" s="1"/>
  <c r="M100" i="46" s="1"/>
  <c r="M101" i="46" s="1"/>
  <c r="M102" i="46" s="1"/>
  <c r="M103" i="46" s="1"/>
  <c r="M104" i="46" s="1"/>
  <c r="M105" i="46" s="1"/>
  <c r="M106" i="46" s="1"/>
  <c r="M107" i="46" s="1"/>
  <c r="M108" i="46" s="1"/>
  <c r="M109" i="46" s="1"/>
  <c r="M110" i="46" s="1"/>
  <c r="M111" i="46" s="1"/>
  <c r="M112" i="46" s="1"/>
  <c r="M113" i="46" s="1"/>
  <c r="M114" i="46" s="1"/>
  <c r="M115" i="46" s="1"/>
  <c r="M116" i="46" s="1"/>
  <c r="M117" i="46" s="1"/>
  <c r="M118" i="46" s="1"/>
  <c r="M119" i="46" s="1"/>
  <c r="M120" i="46" s="1"/>
  <c r="M121" i="46" s="1"/>
  <c r="M122" i="46" s="1"/>
  <c r="M123" i="46" s="1"/>
  <c r="M124" i="46" s="1"/>
  <c r="M125" i="46" s="1"/>
  <c r="M126" i="46" s="1"/>
  <c r="M127" i="46" s="1"/>
  <c r="M128" i="46" s="1"/>
  <c r="M129" i="46" s="1"/>
  <c r="M130" i="46" s="1"/>
  <c r="M131" i="46" s="1"/>
  <c r="M132" i="46" s="1"/>
  <c r="M133" i="46" s="1"/>
  <c r="M134" i="46" s="1"/>
  <c r="M135" i="46" s="1"/>
  <c r="M136" i="46" s="1"/>
  <c r="M137" i="46" s="1"/>
  <c r="M138" i="46" s="1"/>
  <c r="M139" i="46" s="1"/>
  <c r="M140" i="46" s="1"/>
  <c r="M141" i="46" s="1"/>
  <c r="M142" i="46" s="1"/>
  <c r="M143" i="46" s="1"/>
  <c r="M144" i="46" s="1"/>
  <c r="M145" i="46" s="1"/>
  <c r="M146" i="46" s="1"/>
  <c r="M147" i="46" s="1"/>
  <c r="M148" i="46" s="1"/>
  <c r="M149" i="46" s="1"/>
  <c r="M150" i="46" s="1"/>
  <c r="M151" i="46" s="1"/>
  <c r="M152" i="46" s="1"/>
  <c r="M153" i="46" s="1"/>
  <c r="M154" i="46" s="1"/>
  <c r="M155" i="46" s="1"/>
  <c r="M156" i="46" s="1"/>
  <c r="M157" i="46" s="1"/>
  <c r="M158" i="46" s="1"/>
  <c r="M159" i="46" s="1"/>
  <c r="M160" i="46" s="1"/>
  <c r="M161" i="46" s="1"/>
  <c r="M162" i="46" s="1"/>
  <c r="M163" i="46" s="1"/>
  <c r="M164" i="46" s="1"/>
  <c r="M165" i="46" s="1"/>
  <c r="M166" i="46" s="1"/>
  <c r="M167" i="46" s="1"/>
  <c r="M168" i="46" s="1"/>
  <c r="M169" i="46" s="1"/>
  <c r="M170" i="46" s="1"/>
  <c r="M171" i="46" s="1"/>
  <c r="M172" i="46" s="1"/>
  <c r="M173" i="46" s="1"/>
  <c r="M174" i="46" s="1"/>
  <c r="M175" i="46" s="1"/>
  <c r="M176" i="46" s="1"/>
  <c r="M177" i="46" s="1"/>
  <c r="M178" i="46" s="1"/>
  <c r="M179" i="46" s="1"/>
  <c r="M180" i="46" s="1"/>
  <c r="M181" i="46" s="1"/>
  <c r="M182" i="46" s="1"/>
  <c r="M183" i="46" s="1"/>
  <c r="M184" i="46" s="1"/>
  <c r="M185" i="46" s="1"/>
  <c r="M186" i="46" s="1"/>
  <c r="M187" i="46" s="1"/>
  <c r="M188" i="46" s="1"/>
  <c r="M189" i="46" s="1"/>
  <c r="M190" i="46" s="1"/>
  <c r="M191" i="46" s="1"/>
  <c r="M192" i="46" s="1"/>
  <c r="M193" i="46" s="1"/>
  <c r="M194" i="46" s="1"/>
  <c r="M195" i="46" s="1"/>
  <c r="M196" i="46" s="1"/>
  <c r="M197" i="46" s="1"/>
  <c r="M198" i="46" s="1"/>
  <c r="M199" i="46" s="1"/>
  <c r="M200" i="46" s="1"/>
  <c r="M201" i="46" s="1"/>
  <c r="M202" i="46" s="1"/>
  <c r="M203" i="46" s="1"/>
  <c r="M204" i="46" s="1"/>
  <c r="M205" i="46" s="1"/>
  <c r="M206" i="46" s="1"/>
  <c r="M207" i="46" s="1"/>
  <c r="M208" i="46" s="1"/>
  <c r="M209" i="46" s="1"/>
  <c r="M210" i="46" s="1"/>
  <c r="M211" i="46" s="1"/>
  <c r="M212" i="46" s="1"/>
  <c r="M213" i="46" s="1"/>
  <c r="M214" i="46" s="1"/>
  <c r="M215" i="46" s="1"/>
  <c r="M216" i="46" s="1"/>
  <c r="M217" i="46" s="1"/>
  <c r="M218" i="46" s="1"/>
  <c r="M219" i="46" s="1"/>
  <c r="M220" i="46" s="1"/>
  <c r="M221" i="46" s="1"/>
  <c r="M222" i="46" s="1"/>
  <c r="M223" i="46" s="1"/>
  <c r="M224" i="46" s="1"/>
  <c r="M225" i="46" s="1"/>
  <c r="M226" i="46" s="1"/>
  <c r="M227" i="46" s="1"/>
  <c r="M228" i="46" s="1"/>
  <c r="M229" i="46" s="1"/>
  <c r="M230" i="46" s="1"/>
  <c r="M231" i="46" s="1"/>
  <c r="M232" i="46" s="1"/>
  <c r="M233" i="46" s="1"/>
  <c r="M234" i="46" s="1"/>
  <c r="M235" i="46" s="1"/>
  <c r="M236" i="46" s="1"/>
  <c r="M237" i="46" s="1"/>
  <c r="M238" i="46" s="1"/>
  <c r="M239" i="46" s="1"/>
  <c r="M240" i="46" s="1"/>
  <c r="M241" i="46" s="1"/>
  <c r="M242" i="46" s="1"/>
  <c r="M243" i="46" s="1"/>
  <c r="M244" i="46" s="1"/>
  <c r="M245" i="46" s="1"/>
  <c r="M246" i="46" s="1"/>
  <c r="M247" i="46" s="1"/>
  <c r="M248" i="46" s="1"/>
  <c r="M249" i="46" s="1"/>
  <c r="M250" i="46" s="1"/>
  <c r="M251" i="46" s="1"/>
  <c r="M252" i="46" s="1"/>
  <c r="M253" i="46" s="1"/>
  <c r="M254" i="46" s="1"/>
  <c r="M255" i="46" s="1"/>
  <c r="M256" i="46" s="1"/>
  <c r="M257" i="46" s="1"/>
  <c r="M258" i="46" s="1"/>
  <c r="M259" i="46" s="1"/>
  <c r="M260" i="46" s="1"/>
  <c r="M261" i="46" s="1"/>
  <c r="M262" i="46" s="1"/>
  <c r="M263" i="46" s="1"/>
  <c r="M264" i="46" s="1"/>
  <c r="M265" i="46" s="1"/>
  <c r="M266" i="46" s="1"/>
  <c r="M267" i="46" s="1"/>
  <c r="M268" i="46" s="1"/>
  <c r="M269" i="46" s="1"/>
  <c r="M270" i="46" s="1"/>
  <c r="M271" i="46" s="1"/>
  <c r="M272" i="46" s="1"/>
  <c r="M273" i="46" s="1"/>
  <c r="M274" i="46" s="1"/>
  <c r="M275" i="46" s="1"/>
  <c r="M276" i="46" s="1"/>
  <c r="M277" i="46" s="1"/>
  <c r="M278" i="46" s="1"/>
  <c r="M279" i="46" s="1"/>
  <c r="M280" i="46" s="1"/>
  <c r="M281" i="46" s="1"/>
  <c r="M282" i="46" s="1"/>
  <c r="M283" i="46" s="1"/>
  <c r="M284" i="46" s="1"/>
  <c r="M285" i="46" s="1"/>
  <c r="M286" i="46" s="1"/>
  <c r="M287" i="46" s="1"/>
  <c r="M288" i="46" s="1"/>
  <c r="M289" i="46" s="1"/>
  <c r="M290" i="46" s="1"/>
  <c r="M291" i="46" s="1"/>
  <c r="M292" i="46" s="1"/>
  <c r="M293" i="46" s="1"/>
  <c r="M294" i="46" s="1"/>
  <c r="M295" i="46" s="1"/>
  <c r="M296" i="46" s="1"/>
  <c r="M297" i="46" s="1"/>
  <c r="M298" i="46" s="1"/>
  <c r="M299" i="46" s="1"/>
  <c r="M300" i="46" s="1"/>
  <c r="M301" i="46" s="1"/>
  <c r="M302" i="46" s="1"/>
  <c r="M303" i="46" s="1"/>
  <c r="M304" i="46" s="1"/>
  <c r="M305" i="46" s="1"/>
  <c r="M306" i="46" s="1"/>
  <c r="M307" i="46" s="1"/>
  <c r="M308" i="46" s="1"/>
  <c r="M309" i="46" s="1"/>
  <c r="M310" i="46" s="1"/>
  <c r="M311" i="46" s="1"/>
  <c r="M312" i="46" s="1"/>
  <c r="M313" i="46" s="1"/>
  <c r="M314" i="46" s="1"/>
  <c r="M315" i="46" s="1"/>
  <c r="M316" i="46" s="1"/>
  <c r="M317" i="46" s="1"/>
  <c r="M318" i="46" s="1"/>
  <c r="M319" i="46" s="1"/>
  <c r="M320" i="46" s="1"/>
  <c r="M321" i="46" s="1"/>
  <c r="M322" i="46" s="1"/>
  <c r="M323" i="46" s="1"/>
  <c r="M324" i="46" s="1"/>
  <c r="M325" i="46" s="1"/>
  <c r="M326" i="46" s="1"/>
  <c r="M327" i="46" s="1"/>
  <c r="M328" i="46" s="1"/>
  <c r="M329" i="46" s="1"/>
  <c r="M330" i="46" s="1"/>
  <c r="M331" i="46" s="1"/>
  <c r="M332" i="46" s="1"/>
  <c r="M333" i="46" s="1"/>
  <c r="M334" i="46" s="1"/>
  <c r="M335" i="46" s="1"/>
  <c r="M336" i="46" s="1"/>
  <c r="M337" i="46" s="1"/>
  <c r="M338" i="46" s="1"/>
  <c r="M339" i="46" s="1"/>
  <c r="M340" i="46" s="1"/>
  <c r="N341" i="46"/>
  <c r="K12" i="45"/>
  <c r="K13" i="45"/>
  <c r="K14" i="45"/>
  <c r="K15" i="45"/>
  <c r="K16" i="45"/>
  <c r="K17" i="45"/>
  <c r="K18" i="45"/>
  <c r="K19" i="45"/>
  <c r="K20" i="45"/>
  <c r="K21" i="45"/>
  <c r="K22" i="45"/>
  <c r="K23" i="45"/>
  <c r="K24" i="45"/>
  <c r="K25" i="45"/>
  <c r="K26" i="45"/>
  <c r="K27" i="45"/>
  <c r="K28" i="45"/>
  <c r="K29" i="45"/>
  <c r="K30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49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2" i="45"/>
  <c r="K63" i="45"/>
  <c r="K64" i="45"/>
  <c r="K65" i="45"/>
  <c r="K66" i="45"/>
  <c r="K67" i="45"/>
  <c r="K68" i="45"/>
  <c r="K69" i="45"/>
  <c r="K70" i="45"/>
  <c r="K71" i="45"/>
  <c r="K72" i="45"/>
  <c r="K73" i="45"/>
  <c r="K74" i="45"/>
  <c r="K75" i="45"/>
  <c r="K76" i="45"/>
  <c r="K77" i="45"/>
  <c r="K78" i="45"/>
  <c r="K79" i="45"/>
  <c r="K80" i="45"/>
  <c r="K81" i="45"/>
  <c r="K82" i="45"/>
  <c r="K83" i="45"/>
  <c r="K84" i="45"/>
  <c r="K85" i="45"/>
  <c r="K86" i="45"/>
  <c r="K87" i="45"/>
  <c r="K88" i="45"/>
  <c r="K89" i="45"/>
  <c r="K90" i="45"/>
  <c r="K91" i="45"/>
  <c r="K92" i="45"/>
  <c r="K93" i="45"/>
  <c r="K94" i="45"/>
  <c r="K95" i="45"/>
  <c r="K96" i="45"/>
  <c r="K97" i="45"/>
  <c r="K98" i="45"/>
  <c r="K99" i="45"/>
  <c r="K100" i="45"/>
  <c r="K101" i="45"/>
  <c r="K102" i="45"/>
  <c r="K103" i="45"/>
  <c r="K104" i="45"/>
  <c r="K105" i="45"/>
  <c r="K106" i="45"/>
  <c r="K107" i="45"/>
  <c r="K108" i="45"/>
  <c r="K109" i="45"/>
  <c r="K110" i="45"/>
  <c r="K111" i="45"/>
  <c r="K112" i="45"/>
  <c r="K113" i="45"/>
  <c r="K114" i="45"/>
  <c r="K115" i="45"/>
  <c r="K116" i="45"/>
  <c r="K117" i="45"/>
  <c r="K118" i="45"/>
  <c r="K119" i="45"/>
  <c r="K120" i="45"/>
  <c r="K121" i="45"/>
  <c r="K122" i="45"/>
  <c r="K123" i="45"/>
  <c r="K124" i="45"/>
  <c r="K125" i="45"/>
  <c r="K126" i="45"/>
  <c r="K127" i="45"/>
  <c r="K128" i="45"/>
  <c r="K129" i="45"/>
  <c r="K130" i="45"/>
  <c r="K131" i="45"/>
  <c r="K132" i="45"/>
  <c r="K133" i="45"/>
  <c r="K134" i="45"/>
  <c r="K135" i="45"/>
  <c r="K136" i="45"/>
  <c r="K137" i="45"/>
  <c r="K138" i="45"/>
  <c r="K139" i="45"/>
  <c r="K140" i="45"/>
  <c r="K141" i="45"/>
  <c r="K142" i="45"/>
  <c r="K143" i="45"/>
  <c r="K144" i="45"/>
  <c r="K145" i="45"/>
  <c r="K146" i="45"/>
  <c r="K147" i="45"/>
  <c r="K148" i="45"/>
  <c r="K149" i="45"/>
  <c r="K150" i="45"/>
  <c r="K151" i="45"/>
  <c r="K152" i="45"/>
  <c r="K153" i="45"/>
  <c r="K154" i="45"/>
  <c r="K155" i="45"/>
  <c r="K156" i="45"/>
  <c r="K157" i="45"/>
  <c r="K158" i="45"/>
  <c r="K159" i="45"/>
  <c r="K160" i="45"/>
  <c r="K161" i="45"/>
  <c r="K162" i="45"/>
  <c r="K163" i="45"/>
  <c r="K164" i="45"/>
  <c r="K165" i="45"/>
  <c r="K166" i="45"/>
  <c r="K167" i="45"/>
  <c r="K168" i="45"/>
  <c r="K169" i="45"/>
  <c r="K170" i="45"/>
  <c r="K171" i="45"/>
  <c r="K172" i="45"/>
  <c r="K173" i="45"/>
  <c r="K174" i="45"/>
  <c r="K175" i="45"/>
  <c r="K176" i="45"/>
  <c r="K177" i="45"/>
  <c r="K178" i="45"/>
  <c r="K179" i="45"/>
  <c r="K180" i="45"/>
  <c r="K181" i="45"/>
  <c r="K182" i="45"/>
  <c r="K183" i="45"/>
  <c r="K184" i="45"/>
  <c r="K185" i="45"/>
  <c r="K186" i="45"/>
  <c r="K187" i="45"/>
  <c r="K188" i="45"/>
  <c r="K189" i="45"/>
  <c r="K190" i="45"/>
  <c r="K191" i="45"/>
  <c r="K192" i="45"/>
  <c r="K193" i="45"/>
  <c r="K194" i="45"/>
  <c r="K195" i="45"/>
  <c r="K196" i="45"/>
  <c r="K197" i="45"/>
  <c r="K198" i="45"/>
  <c r="K199" i="45"/>
  <c r="K200" i="45"/>
  <c r="K201" i="45"/>
  <c r="K202" i="45"/>
  <c r="K203" i="45"/>
  <c r="K204" i="45"/>
  <c r="K205" i="45"/>
  <c r="K206" i="45"/>
  <c r="K207" i="45"/>
  <c r="K208" i="45"/>
  <c r="K209" i="45"/>
  <c r="K210" i="45"/>
  <c r="K211" i="45"/>
  <c r="K212" i="45"/>
  <c r="K213" i="45"/>
  <c r="K214" i="45"/>
  <c r="K215" i="45"/>
  <c r="K216" i="45"/>
  <c r="K217" i="45"/>
  <c r="K218" i="45"/>
  <c r="K219" i="45"/>
  <c r="K220" i="45"/>
  <c r="K221" i="45"/>
  <c r="K222" i="45"/>
  <c r="K223" i="45"/>
  <c r="K224" i="45"/>
  <c r="K225" i="45"/>
  <c r="K226" i="45"/>
  <c r="K227" i="45"/>
  <c r="K228" i="45"/>
  <c r="K229" i="45"/>
  <c r="K230" i="45"/>
  <c r="K231" i="45"/>
  <c r="K232" i="45"/>
  <c r="K233" i="45"/>
  <c r="K234" i="45"/>
  <c r="K235" i="45"/>
  <c r="K236" i="45"/>
  <c r="K237" i="45"/>
  <c r="K238" i="45"/>
  <c r="K4" i="45"/>
  <c r="K5" i="45"/>
  <c r="K7" i="45"/>
  <c r="K8" i="45"/>
  <c r="K9" i="45"/>
  <c r="K10" i="45"/>
  <c r="K11" i="45"/>
  <c r="I339" i="45" l="1"/>
  <c r="K339" i="45" s="1"/>
  <c r="I338" i="45"/>
  <c r="K338" i="45" s="1"/>
  <c r="I337" i="45"/>
  <c r="K337" i="45" s="1"/>
  <c r="I336" i="45"/>
  <c r="K336" i="45" s="1"/>
  <c r="I335" i="45"/>
  <c r="K335" i="45" s="1"/>
  <c r="I334" i="45"/>
  <c r="K334" i="45" s="1"/>
  <c r="I333" i="45"/>
  <c r="K333" i="45" s="1"/>
  <c r="I332" i="45"/>
  <c r="K332" i="45" s="1"/>
  <c r="I331" i="45"/>
  <c r="K331" i="45" s="1"/>
  <c r="I330" i="45"/>
  <c r="K330" i="45" s="1"/>
  <c r="I329" i="45"/>
  <c r="K329" i="45" s="1"/>
  <c r="I328" i="45"/>
  <c r="K328" i="45" s="1"/>
  <c r="I327" i="45"/>
  <c r="K327" i="45" s="1"/>
  <c r="I326" i="45"/>
  <c r="K326" i="45" s="1"/>
  <c r="I325" i="45"/>
  <c r="K325" i="45" s="1"/>
  <c r="I324" i="45"/>
  <c r="K324" i="45" s="1"/>
  <c r="I323" i="45"/>
  <c r="K323" i="45" s="1"/>
  <c r="I322" i="45"/>
  <c r="K322" i="45" s="1"/>
  <c r="I321" i="45"/>
  <c r="K321" i="45" s="1"/>
  <c r="I320" i="45"/>
  <c r="K320" i="45" s="1"/>
  <c r="I319" i="45"/>
  <c r="K319" i="45" s="1"/>
  <c r="I318" i="45"/>
  <c r="K318" i="45" s="1"/>
  <c r="I317" i="45"/>
  <c r="K317" i="45" s="1"/>
  <c r="I316" i="45"/>
  <c r="K316" i="45" s="1"/>
  <c r="I315" i="45"/>
  <c r="K315" i="45" s="1"/>
  <c r="I314" i="45"/>
  <c r="K314" i="45" s="1"/>
  <c r="I313" i="45"/>
  <c r="K313" i="45" s="1"/>
  <c r="I312" i="45"/>
  <c r="K312" i="45" s="1"/>
  <c r="I311" i="45"/>
  <c r="K311" i="45" s="1"/>
  <c r="I310" i="45"/>
  <c r="K310" i="45" s="1"/>
  <c r="I309" i="45"/>
  <c r="K309" i="45" s="1"/>
  <c r="I308" i="45"/>
  <c r="K308" i="45" s="1"/>
  <c r="I307" i="45"/>
  <c r="K307" i="45" s="1"/>
  <c r="I306" i="45"/>
  <c r="K306" i="45" s="1"/>
  <c r="I305" i="45"/>
  <c r="K305" i="45" s="1"/>
  <c r="I304" i="45"/>
  <c r="K304" i="45" s="1"/>
  <c r="I303" i="45"/>
  <c r="K303" i="45" s="1"/>
  <c r="I302" i="45"/>
  <c r="K302" i="45" s="1"/>
  <c r="I301" i="45"/>
  <c r="K301" i="45" s="1"/>
  <c r="I300" i="45"/>
  <c r="K300" i="45" s="1"/>
  <c r="I299" i="45"/>
  <c r="K299" i="45" s="1"/>
  <c r="I298" i="45"/>
  <c r="K298" i="45" s="1"/>
  <c r="I297" i="45"/>
  <c r="K297" i="45" s="1"/>
  <c r="I296" i="45"/>
  <c r="K296" i="45" s="1"/>
  <c r="I295" i="45"/>
  <c r="K295" i="45" s="1"/>
  <c r="I294" i="45"/>
  <c r="K294" i="45" s="1"/>
  <c r="I293" i="45"/>
  <c r="K293" i="45" s="1"/>
  <c r="I292" i="45"/>
  <c r="K292" i="45" s="1"/>
  <c r="I291" i="45"/>
  <c r="K291" i="45" s="1"/>
  <c r="I290" i="45"/>
  <c r="K290" i="45" s="1"/>
  <c r="I289" i="45"/>
  <c r="K289" i="45" s="1"/>
  <c r="I288" i="45"/>
  <c r="K288" i="45" s="1"/>
  <c r="I287" i="45"/>
  <c r="K287" i="45" s="1"/>
  <c r="I286" i="45"/>
  <c r="K286" i="45" s="1"/>
  <c r="I285" i="45"/>
  <c r="K285" i="45" s="1"/>
  <c r="I284" i="45"/>
  <c r="K284" i="45" s="1"/>
  <c r="I283" i="45"/>
  <c r="K283" i="45" s="1"/>
  <c r="I282" i="45"/>
  <c r="K282" i="45" s="1"/>
  <c r="I281" i="45"/>
  <c r="K281" i="45" s="1"/>
  <c r="I280" i="45"/>
  <c r="K280" i="45" s="1"/>
  <c r="I279" i="45"/>
  <c r="K279" i="45" s="1"/>
  <c r="I278" i="45"/>
  <c r="K278" i="45" s="1"/>
  <c r="I277" i="45"/>
  <c r="K277" i="45" s="1"/>
  <c r="I276" i="45"/>
  <c r="K276" i="45" s="1"/>
  <c r="I275" i="45"/>
  <c r="K275" i="45" s="1"/>
  <c r="I274" i="45"/>
  <c r="K274" i="45" s="1"/>
  <c r="I273" i="45"/>
  <c r="K273" i="45" s="1"/>
  <c r="I272" i="45"/>
  <c r="K272" i="45" s="1"/>
  <c r="I271" i="45"/>
  <c r="K271" i="45" s="1"/>
  <c r="I270" i="45"/>
  <c r="K270" i="45" s="1"/>
  <c r="I269" i="45"/>
  <c r="K269" i="45" s="1"/>
  <c r="I268" i="45"/>
  <c r="K268" i="45" s="1"/>
  <c r="I267" i="45"/>
  <c r="K267" i="45" s="1"/>
  <c r="I266" i="45"/>
  <c r="K266" i="45" s="1"/>
  <c r="I265" i="45"/>
  <c r="K265" i="45" s="1"/>
  <c r="I264" i="45"/>
  <c r="K264" i="45" s="1"/>
  <c r="I263" i="45"/>
  <c r="K263" i="45" s="1"/>
  <c r="I262" i="45"/>
  <c r="K262" i="45" s="1"/>
  <c r="I261" i="45"/>
  <c r="K261" i="45" s="1"/>
  <c r="I260" i="45"/>
  <c r="K260" i="45" s="1"/>
  <c r="I259" i="45"/>
  <c r="K259" i="45" s="1"/>
  <c r="I258" i="45"/>
  <c r="K258" i="45" s="1"/>
  <c r="I257" i="45"/>
  <c r="K257" i="45" s="1"/>
  <c r="I256" i="45"/>
  <c r="K256" i="45" s="1"/>
  <c r="I255" i="45"/>
  <c r="K255" i="45" s="1"/>
  <c r="I254" i="45"/>
  <c r="K254" i="45" s="1"/>
  <c r="I253" i="45"/>
  <c r="K253" i="45" s="1"/>
  <c r="I252" i="45"/>
  <c r="K252" i="45" s="1"/>
  <c r="I251" i="45"/>
  <c r="K251" i="45" s="1"/>
  <c r="I250" i="45"/>
  <c r="K250" i="45" s="1"/>
  <c r="I249" i="45"/>
  <c r="K249" i="45" s="1"/>
  <c r="I248" i="45"/>
  <c r="K248" i="45" s="1"/>
  <c r="I247" i="45"/>
  <c r="K247" i="45" s="1"/>
  <c r="I246" i="45"/>
  <c r="K246" i="45" s="1"/>
  <c r="I245" i="45"/>
  <c r="K245" i="45" s="1"/>
  <c r="I244" i="45"/>
  <c r="K244" i="45" s="1"/>
  <c r="I243" i="45"/>
  <c r="K243" i="45" s="1"/>
  <c r="I242" i="45"/>
  <c r="K242" i="45" s="1"/>
  <c r="I241" i="45"/>
  <c r="K241" i="45" s="1"/>
  <c r="I240" i="45"/>
  <c r="K240" i="45" s="1"/>
  <c r="I239" i="45"/>
  <c r="K239" i="45" s="1"/>
  <c r="K3" i="45"/>
  <c r="K2" i="45"/>
  <c r="M2" i="45" s="1"/>
  <c r="N13" i="45" l="1"/>
  <c r="B35" i="14" s="1"/>
  <c r="M3" i="45"/>
  <c r="M4" i="45" s="1"/>
  <c r="M5" i="45" s="1"/>
  <c r="K47" i="5"/>
  <c r="M8" i="45" l="1"/>
  <c r="M9" i="45" s="1"/>
  <c r="M10" i="45" s="1"/>
  <c r="M11" i="45" s="1"/>
  <c r="M12" i="45" s="1"/>
  <c r="M13" i="45" s="1"/>
  <c r="M14" i="45" s="1"/>
  <c r="M15" i="45" s="1"/>
  <c r="M16" i="45" s="1"/>
  <c r="M17" i="45" s="1"/>
  <c r="M18" i="45" s="1"/>
  <c r="M19" i="45" s="1"/>
  <c r="M20" i="45" s="1"/>
  <c r="M21" i="45" s="1"/>
  <c r="M22" i="45" s="1"/>
  <c r="M23" i="45" s="1"/>
  <c r="M24" i="45" s="1"/>
  <c r="M25" i="45" s="1"/>
  <c r="M26" i="45" s="1"/>
  <c r="M27" i="45" s="1"/>
  <c r="M28" i="45" s="1"/>
  <c r="M29" i="45" s="1"/>
  <c r="M30" i="45" s="1"/>
  <c r="M31" i="45" s="1"/>
  <c r="M32" i="45" s="1"/>
  <c r="M33" i="45" s="1"/>
  <c r="M34" i="45" s="1"/>
  <c r="M35" i="45" s="1"/>
  <c r="M36" i="45" s="1"/>
  <c r="M37" i="45" s="1"/>
  <c r="M38" i="45" s="1"/>
  <c r="M39" i="45" s="1"/>
  <c r="M40" i="45" s="1"/>
  <c r="M41" i="45" s="1"/>
  <c r="M42" i="45" s="1"/>
  <c r="M43" i="45" s="1"/>
  <c r="M44" i="45" s="1"/>
  <c r="M45" i="45" s="1"/>
  <c r="M46" i="45" s="1"/>
  <c r="M47" i="45" s="1"/>
  <c r="M48" i="45" s="1"/>
  <c r="M49" i="45" s="1"/>
  <c r="M50" i="45" s="1"/>
  <c r="M51" i="45" s="1"/>
  <c r="M52" i="45" s="1"/>
  <c r="M53" i="45" s="1"/>
  <c r="M54" i="45" s="1"/>
  <c r="M55" i="45" s="1"/>
  <c r="M56" i="45" s="1"/>
  <c r="M57" i="45" s="1"/>
  <c r="M58" i="45" s="1"/>
  <c r="M59" i="45" s="1"/>
  <c r="M60" i="45" s="1"/>
  <c r="M61" i="45" s="1"/>
  <c r="M62" i="45" s="1"/>
  <c r="M63" i="45" s="1"/>
  <c r="M64" i="45" s="1"/>
  <c r="M65" i="45" s="1"/>
  <c r="M66" i="45" s="1"/>
  <c r="M67" i="45" s="1"/>
  <c r="M68" i="45" s="1"/>
  <c r="M69" i="45" s="1"/>
  <c r="M70" i="45" s="1"/>
  <c r="M71" i="45" s="1"/>
  <c r="M72" i="45" s="1"/>
  <c r="M73" i="45" s="1"/>
  <c r="M74" i="45" s="1"/>
  <c r="M75" i="45" s="1"/>
  <c r="M76" i="45" s="1"/>
  <c r="M77" i="45" s="1"/>
  <c r="M78" i="45" s="1"/>
  <c r="M79" i="45" s="1"/>
  <c r="M80" i="45" s="1"/>
  <c r="M81" i="45" s="1"/>
  <c r="M82" i="45" s="1"/>
  <c r="M83" i="45" s="1"/>
  <c r="M84" i="45" s="1"/>
  <c r="M85" i="45" s="1"/>
  <c r="M86" i="45" s="1"/>
  <c r="M87" i="45" s="1"/>
  <c r="M88" i="45" s="1"/>
  <c r="M89" i="45" s="1"/>
  <c r="M90" i="45" s="1"/>
  <c r="M91" i="45" s="1"/>
  <c r="M92" i="45" s="1"/>
  <c r="M93" i="45" s="1"/>
  <c r="M94" i="45" s="1"/>
  <c r="M95" i="45" s="1"/>
  <c r="M96" i="45" s="1"/>
  <c r="M97" i="45" s="1"/>
  <c r="M98" i="45" s="1"/>
  <c r="M99" i="45" s="1"/>
  <c r="M100" i="45" s="1"/>
  <c r="M101" i="45" s="1"/>
  <c r="M102" i="45" s="1"/>
  <c r="M103" i="45" s="1"/>
  <c r="M104" i="45" s="1"/>
  <c r="M105" i="45" s="1"/>
  <c r="M106" i="45" s="1"/>
  <c r="M107" i="45" s="1"/>
  <c r="M108" i="45" s="1"/>
  <c r="M109" i="45" s="1"/>
  <c r="M110" i="45" s="1"/>
  <c r="M111" i="45" s="1"/>
  <c r="M112" i="45" s="1"/>
  <c r="M113" i="45" s="1"/>
  <c r="M114" i="45" s="1"/>
  <c r="M115" i="45" s="1"/>
  <c r="M116" i="45" s="1"/>
  <c r="M117" i="45" s="1"/>
  <c r="M118" i="45" s="1"/>
  <c r="M119" i="45" s="1"/>
  <c r="M120" i="45" s="1"/>
  <c r="M121" i="45" s="1"/>
  <c r="M122" i="45" s="1"/>
  <c r="M123" i="45" s="1"/>
  <c r="M124" i="45" s="1"/>
  <c r="M125" i="45" s="1"/>
  <c r="M126" i="45" s="1"/>
  <c r="M127" i="45" s="1"/>
  <c r="M128" i="45" s="1"/>
  <c r="M129" i="45" s="1"/>
  <c r="M130" i="45" s="1"/>
  <c r="M131" i="45" s="1"/>
  <c r="M132" i="45" s="1"/>
  <c r="M133" i="45" s="1"/>
  <c r="M134" i="45" s="1"/>
  <c r="M135" i="45" s="1"/>
  <c r="M136" i="45" s="1"/>
  <c r="M137" i="45" s="1"/>
  <c r="M138" i="45" s="1"/>
  <c r="M139" i="45" s="1"/>
  <c r="M140" i="45" s="1"/>
  <c r="M141" i="45" s="1"/>
  <c r="M142" i="45" s="1"/>
  <c r="M143" i="45" s="1"/>
  <c r="M144" i="45" s="1"/>
  <c r="M145" i="45" s="1"/>
  <c r="M146" i="45" s="1"/>
  <c r="M147" i="45" s="1"/>
  <c r="M148" i="45" s="1"/>
  <c r="M149" i="45" s="1"/>
  <c r="M150" i="45" s="1"/>
  <c r="M151" i="45" s="1"/>
  <c r="M152" i="45" s="1"/>
  <c r="M153" i="45" s="1"/>
  <c r="M154" i="45" s="1"/>
  <c r="M155" i="45" s="1"/>
  <c r="M156" i="45" s="1"/>
  <c r="M157" i="45" s="1"/>
  <c r="M158" i="45" s="1"/>
  <c r="M159" i="45" s="1"/>
  <c r="M160" i="45" s="1"/>
  <c r="M161" i="45" s="1"/>
  <c r="M162" i="45" s="1"/>
  <c r="M163" i="45" s="1"/>
  <c r="M164" i="45" s="1"/>
  <c r="M165" i="45" s="1"/>
  <c r="M166" i="45" s="1"/>
  <c r="M167" i="45" s="1"/>
  <c r="M168" i="45" s="1"/>
  <c r="M169" i="45" s="1"/>
  <c r="M170" i="45" s="1"/>
  <c r="M171" i="45" s="1"/>
  <c r="M172" i="45" s="1"/>
  <c r="M173" i="45" s="1"/>
  <c r="M174" i="45" s="1"/>
  <c r="M175" i="45" s="1"/>
  <c r="M176" i="45" s="1"/>
  <c r="M177" i="45" s="1"/>
  <c r="M178" i="45" s="1"/>
  <c r="M179" i="45" s="1"/>
  <c r="M180" i="45" s="1"/>
  <c r="M181" i="45" s="1"/>
  <c r="M182" i="45" s="1"/>
  <c r="M183" i="45" s="1"/>
  <c r="M184" i="45" s="1"/>
  <c r="M185" i="45" s="1"/>
  <c r="M186" i="45" s="1"/>
  <c r="M187" i="45" s="1"/>
  <c r="M188" i="45" s="1"/>
  <c r="M189" i="45" s="1"/>
  <c r="M190" i="45" s="1"/>
  <c r="M191" i="45" s="1"/>
  <c r="M192" i="45" s="1"/>
  <c r="M193" i="45" s="1"/>
  <c r="M194" i="45" s="1"/>
  <c r="M195" i="45" s="1"/>
  <c r="M196" i="45" s="1"/>
  <c r="M197" i="45" s="1"/>
  <c r="M198" i="45" s="1"/>
  <c r="M199" i="45" s="1"/>
  <c r="M200" i="45" s="1"/>
  <c r="M201" i="45" s="1"/>
  <c r="M202" i="45" s="1"/>
  <c r="M203" i="45" s="1"/>
  <c r="M204" i="45" s="1"/>
  <c r="M205" i="45" s="1"/>
  <c r="M206" i="45" s="1"/>
  <c r="M207" i="45" s="1"/>
  <c r="M208" i="45" s="1"/>
  <c r="M209" i="45" s="1"/>
  <c r="M210" i="45" s="1"/>
  <c r="M211" i="45" s="1"/>
  <c r="M212" i="45" s="1"/>
  <c r="M213" i="45" s="1"/>
  <c r="M214" i="45" s="1"/>
  <c r="M215" i="45" s="1"/>
  <c r="M216" i="45" s="1"/>
  <c r="M217" i="45" s="1"/>
  <c r="M218" i="45" s="1"/>
  <c r="M219" i="45" s="1"/>
  <c r="M220" i="45" s="1"/>
  <c r="M221" i="45" s="1"/>
  <c r="M222" i="45" s="1"/>
  <c r="M223" i="45" s="1"/>
  <c r="M224" i="45" s="1"/>
  <c r="M225" i="45" s="1"/>
  <c r="M226" i="45" s="1"/>
  <c r="M227" i="45" s="1"/>
  <c r="M228" i="45" s="1"/>
  <c r="M229" i="45" s="1"/>
  <c r="M230" i="45" s="1"/>
  <c r="M231" i="45" s="1"/>
  <c r="M232" i="45" s="1"/>
  <c r="M233" i="45" s="1"/>
  <c r="M234" i="45" s="1"/>
  <c r="M235" i="45" s="1"/>
  <c r="M236" i="45" s="1"/>
  <c r="M237" i="45" s="1"/>
  <c r="M238" i="45" s="1"/>
  <c r="M239" i="45" s="1"/>
  <c r="M240" i="45" s="1"/>
  <c r="M241" i="45" s="1"/>
  <c r="M242" i="45" s="1"/>
  <c r="M243" i="45" s="1"/>
  <c r="M244" i="45" s="1"/>
  <c r="M245" i="45" s="1"/>
  <c r="M246" i="45" s="1"/>
  <c r="M247" i="45" s="1"/>
  <c r="M248" i="45" s="1"/>
  <c r="M249" i="45" s="1"/>
  <c r="M250" i="45" s="1"/>
  <c r="M251" i="45" s="1"/>
  <c r="M252" i="45" s="1"/>
  <c r="M253" i="45" s="1"/>
  <c r="M254" i="45" s="1"/>
  <c r="M255" i="45" s="1"/>
  <c r="M256" i="45" s="1"/>
  <c r="M257" i="45" s="1"/>
  <c r="M258" i="45" s="1"/>
  <c r="M259" i="45" s="1"/>
  <c r="M260" i="45" s="1"/>
  <c r="M261" i="45" s="1"/>
  <c r="M262" i="45" s="1"/>
  <c r="M263" i="45" s="1"/>
  <c r="M264" i="45" s="1"/>
  <c r="M265" i="45" s="1"/>
  <c r="M266" i="45" s="1"/>
  <c r="M267" i="45" s="1"/>
  <c r="M268" i="45" s="1"/>
  <c r="M269" i="45" s="1"/>
  <c r="M270" i="45" s="1"/>
  <c r="M271" i="45" s="1"/>
  <c r="M272" i="45" s="1"/>
  <c r="M273" i="45" s="1"/>
  <c r="M274" i="45" s="1"/>
  <c r="M275" i="45" s="1"/>
  <c r="M276" i="45" s="1"/>
  <c r="M277" i="45" s="1"/>
  <c r="M278" i="45" s="1"/>
  <c r="M279" i="45" s="1"/>
  <c r="M280" i="45" s="1"/>
  <c r="M281" i="45" s="1"/>
  <c r="M282" i="45" s="1"/>
  <c r="M283" i="45" s="1"/>
  <c r="M284" i="45" s="1"/>
  <c r="M285" i="45" s="1"/>
  <c r="M286" i="45" s="1"/>
  <c r="M287" i="45" s="1"/>
  <c r="M288" i="45" s="1"/>
  <c r="M289" i="45" s="1"/>
  <c r="M290" i="45" s="1"/>
  <c r="M291" i="45" s="1"/>
  <c r="M292" i="45" s="1"/>
  <c r="M293" i="45" s="1"/>
  <c r="M294" i="45" s="1"/>
  <c r="M295" i="45" s="1"/>
  <c r="M296" i="45" s="1"/>
  <c r="M297" i="45" s="1"/>
  <c r="M298" i="45" s="1"/>
  <c r="M299" i="45" s="1"/>
  <c r="M300" i="45" s="1"/>
  <c r="M301" i="45" s="1"/>
  <c r="M302" i="45" s="1"/>
  <c r="M303" i="45" s="1"/>
  <c r="M304" i="45" s="1"/>
  <c r="M305" i="45" s="1"/>
  <c r="M306" i="45" s="1"/>
  <c r="M307" i="45" s="1"/>
  <c r="M308" i="45" s="1"/>
  <c r="M309" i="45" s="1"/>
  <c r="M310" i="45" s="1"/>
  <c r="M311" i="45" s="1"/>
  <c r="M312" i="45" s="1"/>
  <c r="M313" i="45" s="1"/>
  <c r="M314" i="45" s="1"/>
  <c r="M315" i="45" s="1"/>
  <c r="M316" i="45" s="1"/>
  <c r="M317" i="45" s="1"/>
  <c r="M318" i="45" s="1"/>
  <c r="M319" i="45" s="1"/>
  <c r="M320" i="45" s="1"/>
  <c r="M321" i="45" s="1"/>
  <c r="M322" i="45" s="1"/>
  <c r="M323" i="45" s="1"/>
  <c r="M324" i="45" s="1"/>
  <c r="M325" i="45" s="1"/>
  <c r="M326" i="45" s="1"/>
  <c r="M327" i="45" s="1"/>
  <c r="M328" i="45" s="1"/>
  <c r="M329" i="45" s="1"/>
  <c r="M330" i="45" s="1"/>
  <c r="M331" i="45" s="1"/>
  <c r="M332" i="45" s="1"/>
  <c r="M333" i="45" s="1"/>
  <c r="M334" i="45" s="1"/>
  <c r="M335" i="45" s="1"/>
  <c r="M336" i="45" s="1"/>
  <c r="M337" i="45" s="1"/>
  <c r="M338" i="45" s="1"/>
  <c r="M339" i="45" s="1"/>
  <c r="L18" i="43" l="1"/>
  <c r="B2" i="14" s="1"/>
  <c r="K3" i="43"/>
  <c r="K45" i="5"/>
  <c r="K4" i="43" l="1"/>
  <c r="K5" i="43" l="1"/>
  <c r="K6" i="43" s="1"/>
  <c r="K43" i="5"/>
  <c r="K7" i="43" l="1"/>
  <c r="K8" i="43" s="1"/>
  <c r="K9" i="43" l="1"/>
  <c r="K10" i="43" s="1"/>
  <c r="K11" i="43" s="1"/>
  <c r="K12" i="43" s="1"/>
  <c r="K13" i="43" s="1"/>
  <c r="K14" i="43" s="1"/>
  <c r="K15" i="43" s="1"/>
  <c r="K35" i="8"/>
  <c r="K36" i="8"/>
  <c r="K16" i="43" l="1"/>
  <c r="K17" i="43" s="1"/>
  <c r="K18" i="43" s="1"/>
  <c r="K19" i="43" l="1"/>
  <c r="K20" i="43" s="1"/>
  <c r="K21" i="43" s="1"/>
  <c r="K22" i="43" s="1"/>
  <c r="K23" i="43" s="1"/>
  <c r="K24" i="43" s="1"/>
  <c r="K25" i="43" s="1"/>
  <c r="K26" i="43" s="1"/>
  <c r="K32" i="8"/>
  <c r="K27" i="43" l="1"/>
  <c r="K28" i="43" s="1"/>
  <c r="K29" i="43" s="1"/>
  <c r="K30" i="43" s="1"/>
  <c r="K31" i="43" s="1"/>
  <c r="K32" i="43" l="1"/>
  <c r="K33" i="43" s="1"/>
  <c r="K34" i="43" l="1"/>
  <c r="K35" i="43" s="1"/>
  <c r="K36" i="43" s="1"/>
  <c r="K37" i="43" s="1"/>
  <c r="K38" i="43" s="1"/>
  <c r="K39" i="43" s="1"/>
  <c r="K40" i="43" s="1"/>
  <c r="K41" i="43" s="1"/>
  <c r="K42" i="43" s="1"/>
  <c r="K43" i="43" s="1"/>
  <c r="K44" i="43" s="1"/>
  <c r="K45" i="43" s="1"/>
  <c r="K46" i="43" s="1"/>
  <c r="K47" i="43" s="1"/>
  <c r="K48" i="43" s="1"/>
  <c r="K49" i="43" s="1"/>
  <c r="K50" i="43" s="1"/>
  <c r="K51" i="43" s="1"/>
  <c r="K52" i="43" s="1"/>
  <c r="K53" i="43" s="1"/>
  <c r="K54" i="43" s="1"/>
  <c r="K55" i="43" s="1"/>
  <c r="K56" i="43" s="1"/>
  <c r="M9" i="38"/>
  <c r="B9" i="14" s="1"/>
  <c r="L3" i="38"/>
  <c r="L4" i="38" s="1"/>
  <c r="L5" i="38" s="1"/>
  <c r="L6" i="38" s="1"/>
  <c r="L7" i="38" s="1"/>
  <c r="L8" i="38" s="1"/>
  <c r="L9" i="38" s="1"/>
  <c r="L10" i="38" s="1"/>
  <c r="L11" i="38" s="1"/>
  <c r="L12" i="38" s="1"/>
  <c r="L13" i="38" s="1"/>
  <c r="L14" i="38" s="1"/>
  <c r="L15" i="38" s="1"/>
  <c r="L16" i="38" s="1"/>
  <c r="L17" i="38" s="1"/>
  <c r="L18" i="38" s="1"/>
  <c r="L19" i="38" s="1"/>
  <c r="L20" i="38" s="1"/>
  <c r="L21" i="38" s="1"/>
  <c r="L22" i="38" s="1"/>
  <c r="L23" i="38" s="1"/>
  <c r="L24" i="38" s="1"/>
  <c r="L25" i="38" s="1"/>
  <c r="L26" i="38" s="1"/>
  <c r="L27" i="38" s="1"/>
  <c r="L28" i="38" s="1"/>
  <c r="L29" i="38" s="1"/>
  <c r="L30" i="38" s="1"/>
  <c r="L31" i="38" s="1"/>
  <c r="L32" i="38" s="1"/>
  <c r="L33" i="38" s="1"/>
  <c r="L34" i="38" s="1"/>
  <c r="L35" i="38" s="1"/>
  <c r="L36" i="38" s="1"/>
  <c r="L37" i="38" s="1"/>
  <c r="L38" i="38" s="1"/>
  <c r="L39" i="38" s="1"/>
  <c r="L40" i="38" s="1"/>
  <c r="L41" i="38" s="1"/>
  <c r="L42" i="38" s="1"/>
  <c r="L43" i="38" s="1"/>
  <c r="L44" i="38" s="1"/>
  <c r="L45" i="38" s="1"/>
  <c r="L46" i="38" s="1"/>
  <c r="L47" i="38" s="1"/>
  <c r="L48" i="38" s="1"/>
  <c r="L49" i="38" s="1"/>
  <c r="L50" i="38" l="1"/>
  <c r="L51" i="38" s="1"/>
  <c r="L52" i="38" s="1"/>
  <c r="L53" i="38" s="1"/>
  <c r="L54" i="38" s="1"/>
  <c r="L55" i="38" s="1"/>
  <c r="L56" i="38" s="1"/>
  <c r="L57" i="38" s="1"/>
  <c r="L58" i="38" s="1"/>
  <c r="L59" i="38" s="1"/>
  <c r="L60" i="38" s="1"/>
  <c r="L61" i="38" s="1"/>
  <c r="L62" i="38" s="1"/>
  <c r="L63" i="38" s="1"/>
  <c r="L64" i="38" s="1"/>
  <c r="L65" i="38" s="1"/>
  <c r="L66" i="38" s="1"/>
  <c r="L67" i="38" s="1"/>
  <c r="L68" i="38" s="1"/>
  <c r="L69" i="38" s="1"/>
  <c r="L70" i="38" s="1"/>
  <c r="L71" i="38" s="1"/>
  <c r="L72" i="38" s="1"/>
  <c r="L73" i="38" s="1"/>
  <c r="L74" i="38" s="1"/>
  <c r="L75" i="38" s="1"/>
  <c r="L76" i="38" s="1"/>
  <c r="L77" i="38" s="1"/>
  <c r="L78" i="38" s="1"/>
  <c r="L79" i="38" s="1"/>
  <c r="L80" i="38" s="1"/>
  <c r="L81" i="38" s="1"/>
  <c r="L82" i="38" s="1"/>
  <c r="L83" i="38" s="1"/>
  <c r="L84" i="38" s="1"/>
  <c r="L85" i="38" s="1"/>
  <c r="L86" i="38" s="1"/>
  <c r="L87" i="38" s="1"/>
  <c r="L88" i="38" s="1"/>
  <c r="L89" i="38" s="1"/>
  <c r="L90" i="38" s="1"/>
  <c r="L91" i="38" s="1"/>
  <c r="L92" i="38" s="1"/>
  <c r="L93" i="38" s="1"/>
  <c r="L94" i="38" s="1"/>
  <c r="L95" i="38" s="1"/>
  <c r="L96" i="38" s="1"/>
  <c r="L97" i="38" s="1"/>
  <c r="L98" i="38" s="1"/>
  <c r="L99" i="38" s="1"/>
  <c r="L100" i="38" s="1"/>
  <c r="L101" i="38" s="1"/>
  <c r="L102" i="38" s="1"/>
  <c r="L103" i="38" s="1"/>
  <c r="L104" i="38" s="1"/>
  <c r="L105" i="38" s="1"/>
  <c r="L106" i="38" s="1"/>
  <c r="L107" i="38" s="1"/>
  <c r="L108" i="38" s="1"/>
  <c r="L109" i="38" s="1"/>
  <c r="L110" i="38" s="1"/>
  <c r="L111" i="38" s="1"/>
  <c r="L112" i="38" s="1"/>
  <c r="L113" i="38" s="1"/>
  <c r="L114" i="38" s="1"/>
  <c r="L115" i="38" s="1"/>
  <c r="L116" i="38" s="1"/>
  <c r="L117" i="38" s="1"/>
  <c r="L118" i="38" s="1"/>
  <c r="L119" i="38" s="1"/>
  <c r="L120" i="38" s="1"/>
  <c r="L121" i="38" s="1"/>
  <c r="L122" i="38" s="1"/>
  <c r="L123" i="38" s="1"/>
  <c r="L124" i="38" s="1"/>
  <c r="L125" i="38" s="1"/>
  <c r="L126" i="38" s="1"/>
  <c r="L127" i="38" s="1"/>
  <c r="L128" i="38" s="1"/>
  <c r="L129" i="38" s="1"/>
  <c r="L130" i="38" s="1"/>
  <c r="L131" i="38" s="1"/>
  <c r="L132" i="38" s="1"/>
  <c r="L133" i="38" s="1"/>
  <c r="L134" i="38" s="1"/>
  <c r="L135" i="38" s="1"/>
  <c r="L136" i="38" s="1"/>
  <c r="L137" i="38" s="1"/>
  <c r="L138" i="38" s="1"/>
  <c r="L139" i="38" s="1"/>
  <c r="L140" i="38" s="1"/>
  <c r="L141" i="38" s="1"/>
  <c r="L142" i="38" s="1"/>
  <c r="L143" i="38" s="1"/>
  <c r="L144" i="38" s="1"/>
  <c r="L145" i="38" s="1"/>
  <c r="L146" i="38" s="1"/>
  <c r="L147" i="38" s="1"/>
  <c r="L148" i="38" s="1"/>
  <c r="L149" i="38" s="1"/>
  <c r="L150" i="38" s="1"/>
  <c r="L151" i="38" s="1"/>
  <c r="L152" i="38" s="1"/>
  <c r="L153" i="38" s="1"/>
  <c r="L154" i="38" s="1"/>
  <c r="L155" i="38" s="1"/>
  <c r="L156" i="38" s="1"/>
  <c r="L157" i="38" s="1"/>
  <c r="L158" i="38" s="1"/>
  <c r="L159" i="38" s="1"/>
  <c r="L160" i="38" s="1"/>
  <c r="L161" i="38" s="1"/>
  <c r="L162" i="38" s="1"/>
  <c r="L163" i="38" s="1"/>
  <c r="L164" i="38" s="1"/>
  <c r="L165" i="38" s="1"/>
  <c r="L166" i="38" s="1"/>
  <c r="L167" i="38" s="1"/>
  <c r="L168" i="38" s="1"/>
  <c r="L169" i="38" s="1"/>
  <c r="L170" i="38" s="1"/>
  <c r="L171" i="38" s="1"/>
  <c r="L172" i="38" s="1"/>
  <c r="L173" i="38" s="1"/>
  <c r="L174" i="38" s="1"/>
  <c r="L175" i="38" s="1"/>
  <c r="L176" i="38" s="1"/>
  <c r="L177" i="38" s="1"/>
  <c r="L178" i="38" s="1"/>
  <c r="L179" i="38" s="1"/>
  <c r="L180" i="38" s="1"/>
  <c r="L181" i="38" s="1"/>
  <c r="L182" i="38" s="1"/>
  <c r="L183" i="38" s="1"/>
  <c r="L184" i="38" s="1"/>
  <c r="L185" i="38" s="1"/>
  <c r="L186" i="38" s="1"/>
  <c r="L187" i="38" s="1"/>
  <c r="L188" i="38" s="1"/>
  <c r="L189" i="38" s="1"/>
  <c r="L190" i="38" s="1"/>
  <c r="L191" i="38" s="1"/>
  <c r="L192" i="38" s="1"/>
  <c r="L193" i="38" s="1"/>
  <c r="L194" i="38" s="1"/>
  <c r="L195" i="38" s="1"/>
  <c r="L196" i="38" s="1"/>
  <c r="L197" i="38" s="1"/>
  <c r="L198" i="38" s="1"/>
  <c r="L199" i="38" s="1"/>
  <c r="L200" i="38" s="1"/>
  <c r="L201" i="38" s="1"/>
  <c r="L202" i="38" s="1"/>
  <c r="L203" i="38" s="1"/>
  <c r="L204" i="38" s="1"/>
  <c r="L205" i="38" s="1"/>
  <c r="L206" i="38" s="1"/>
  <c r="L207" i="38" s="1"/>
  <c r="L208" i="38" s="1"/>
  <c r="L209" i="38" s="1"/>
  <c r="L210" i="38" s="1"/>
  <c r="L211" i="38" s="1"/>
  <c r="L212" i="38" s="1"/>
  <c r="L213" i="38" s="1"/>
  <c r="L214" i="38" s="1"/>
  <c r="L215" i="38" s="1"/>
  <c r="L216" i="38" s="1"/>
  <c r="L217" i="38" s="1"/>
  <c r="L218" i="38" s="1"/>
  <c r="L219" i="38" s="1"/>
  <c r="L220" i="38" s="1"/>
  <c r="L221" i="38" s="1"/>
  <c r="L222" i="38" s="1"/>
  <c r="L223" i="38" s="1"/>
  <c r="L224" i="38" s="1"/>
  <c r="L225" i="38" s="1"/>
  <c r="L226" i="38" s="1"/>
  <c r="L227" i="38" s="1"/>
  <c r="L228" i="38" s="1"/>
  <c r="L229" i="38" s="1"/>
  <c r="L230" i="38" s="1"/>
  <c r="L231" i="38" s="1"/>
  <c r="L232" i="38" s="1"/>
  <c r="L233" i="38" s="1"/>
  <c r="L234" i="38" s="1"/>
  <c r="L235" i="38" s="1"/>
  <c r="L236" i="38" s="1"/>
  <c r="L237" i="38" s="1"/>
  <c r="L238" i="38" s="1"/>
  <c r="L239" i="38" s="1"/>
  <c r="L240" i="38" s="1"/>
  <c r="L241" i="38" s="1"/>
  <c r="L242" i="38" s="1"/>
  <c r="L243" i="38" s="1"/>
  <c r="L244" i="38" s="1"/>
  <c r="L245" i="38" s="1"/>
  <c r="L246" i="38" s="1"/>
  <c r="L247" i="38" s="1"/>
  <c r="L248" i="38" s="1"/>
  <c r="L249" i="38" s="1"/>
  <c r="L250" i="38" s="1"/>
  <c r="L251" i="38" s="1"/>
  <c r="L252" i="38" s="1"/>
  <c r="L253" i="38" s="1"/>
  <c r="L254" i="38" s="1"/>
  <c r="L255" i="38" s="1"/>
  <c r="L256" i="38" s="1"/>
  <c r="L257" i="38" s="1"/>
  <c r="L258" i="38" s="1"/>
  <c r="L259" i="38" s="1"/>
  <c r="L260" i="38" s="1"/>
  <c r="L261" i="38" s="1"/>
  <c r="L262" i="38" s="1"/>
  <c r="L263" i="38" s="1"/>
  <c r="L264" i="38" s="1"/>
  <c r="L265" i="38" s="1"/>
  <c r="L266" i="38" s="1"/>
  <c r="L267" i="38" s="1"/>
  <c r="L268" i="38" s="1"/>
  <c r="L269" i="38" s="1"/>
  <c r="L270" i="38" s="1"/>
  <c r="L271" i="38" s="1"/>
  <c r="L272" i="38" s="1"/>
  <c r="L273" i="38" s="1"/>
  <c r="L274" i="38" s="1"/>
  <c r="L275" i="38" s="1"/>
  <c r="L276" i="38" s="1"/>
  <c r="L277" i="38" s="1"/>
  <c r="L278" i="38" s="1"/>
  <c r="L279" i="38" s="1"/>
  <c r="L280" i="38" s="1"/>
  <c r="L281" i="38" s="1"/>
  <c r="L282" i="38" s="1"/>
  <c r="L283" i="38" s="1"/>
  <c r="L284" i="38" s="1"/>
  <c r="L285" i="38" s="1"/>
  <c r="L286" i="38" s="1"/>
  <c r="L287" i="38" s="1"/>
  <c r="L288" i="38" s="1"/>
  <c r="L289" i="38" s="1"/>
  <c r="L290" i="38" s="1"/>
  <c r="L291" i="38" s="1"/>
  <c r="L292" i="38" s="1"/>
  <c r="L293" i="38" s="1"/>
  <c r="L294" i="38" s="1"/>
  <c r="L295" i="38" s="1"/>
  <c r="L296" i="38" s="1"/>
  <c r="L297" i="38" s="1"/>
  <c r="L298" i="38" s="1"/>
  <c r="L299" i="38" s="1"/>
  <c r="L300" i="38" s="1"/>
  <c r="L301" i="38" s="1"/>
  <c r="L302" i="38" s="1"/>
  <c r="L303" i="38" s="1"/>
  <c r="L304" i="38" s="1"/>
  <c r="L305" i="38" s="1"/>
  <c r="L306" i="38" s="1"/>
  <c r="L307" i="38" s="1"/>
  <c r="L308" i="38" s="1"/>
  <c r="L309" i="38" s="1"/>
  <c r="L310" i="38" s="1"/>
  <c r="L311" i="38" s="1"/>
  <c r="L312" i="38" s="1"/>
  <c r="L313" i="38" s="1"/>
  <c r="L314" i="38" s="1"/>
  <c r="L315" i="38" s="1"/>
  <c r="L316" i="38" s="1"/>
  <c r="L317" i="38" s="1"/>
  <c r="L318" i="38" s="1"/>
  <c r="L319" i="38" s="1"/>
  <c r="L320" i="38" s="1"/>
  <c r="L321" i="38" s="1"/>
  <c r="L322" i="38" s="1"/>
  <c r="L323" i="38" s="1"/>
  <c r="L324" i="38" s="1"/>
  <c r="L325" i="38" s="1"/>
  <c r="L326" i="38" s="1"/>
  <c r="L327" i="38" s="1"/>
  <c r="L328" i="38" s="1"/>
  <c r="L329" i="38" s="1"/>
  <c r="L330" i="38" s="1"/>
  <c r="L331" i="38" s="1"/>
  <c r="L332" i="38" s="1"/>
  <c r="L333" i="38" s="1"/>
  <c r="L334" i="38" s="1"/>
  <c r="L335" i="38" s="1"/>
  <c r="L336" i="38" s="1"/>
  <c r="L337" i="38" s="1"/>
  <c r="L338" i="38" s="1"/>
  <c r="L339" i="38" s="1"/>
  <c r="K57" i="43"/>
  <c r="K58" i="43" s="1"/>
  <c r="K59" i="43" l="1"/>
  <c r="K60" i="43" l="1"/>
  <c r="K341" i="35"/>
  <c r="K340" i="35"/>
  <c r="K339" i="35"/>
  <c r="K338" i="35"/>
  <c r="K337" i="35"/>
  <c r="K336" i="35"/>
  <c r="K335" i="35"/>
  <c r="K334" i="35"/>
  <c r="K333" i="35"/>
  <c r="K332" i="35"/>
  <c r="K331" i="35"/>
  <c r="K330" i="35"/>
  <c r="K329" i="35"/>
  <c r="K328" i="35"/>
  <c r="K327" i="35"/>
  <c r="K326" i="35"/>
  <c r="K325" i="35"/>
  <c r="K324" i="35"/>
  <c r="K323" i="35"/>
  <c r="K322" i="35"/>
  <c r="K321" i="35"/>
  <c r="K320" i="35"/>
  <c r="K319" i="35"/>
  <c r="K318" i="35"/>
  <c r="K317" i="35"/>
  <c r="K316" i="35"/>
  <c r="K315" i="35"/>
  <c r="K314" i="35"/>
  <c r="K313" i="35"/>
  <c r="K312" i="35"/>
  <c r="K311" i="35"/>
  <c r="K310" i="35"/>
  <c r="K309" i="35"/>
  <c r="K308" i="35"/>
  <c r="K307" i="35"/>
  <c r="K306" i="35"/>
  <c r="K305" i="35"/>
  <c r="K304" i="35"/>
  <c r="K303" i="35"/>
  <c r="K302" i="35"/>
  <c r="K301" i="35"/>
  <c r="K300" i="35"/>
  <c r="K299" i="35"/>
  <c r="K298" i="35"/>
  <c r="K297" i="35"/>
  <c r="K296" i="35"/>
  <c r="K295" i="35"/>
  <c r="K294" i="35"/>
  <c r="K293" i="35"/>
  <c r="K292" i="35"/>
  <c r="K291" i="35"/>
  <c r="K290" i="35"/>
  <c r="K289" i="35"/>
  <c r="K288" i="35"/>
  <c r="K287" i="35"/>
  <c r="K286" i="35"/>
  <c r="K285" i="35"/>
  <c r="K284" i="35"/>
  <c r="K283" i="35"/>
  <c r="K282" i="35"/>
  <c r="K281" i="35"/>
  <c r="K280" i="35"/>
  <c r="K279" i="35"/>
  <c r="K278" i="35"/>
  <c r="K277" i="35"/>
  <c r="K276" i="35"/>
  <c r="K275" i="35"/>
  <c r="K274" i="35"/>
  <c r="K273" i="35"/>
  <c r="K272" i="35"/>
  <c r="K271" i="35"/>
  <c r="K270" i="35"/>
  <c r="K269" i="35"/>
  <c r="K268" i="35"/>
  <c r="K267" i="35"/>
  <c r="K266" i="35"/>
  <c r="K265" i="35"/>
  <c r="K264" i="35"/>
  <c r="K263" i="35"/>
  <c r="K262" i="35"/>
  <c r="K261" i="35"/>
  <c r="K260" i="35"/>
  <c r="K259" i="35"/>
  <c r="K258" i="35"/>
  <c r="K257" i="35"/>
  <c r="K256" i="35"/>
  <c r="K255" i="35"/>
  <c r="K254" i="35"/>
  <c r="K253" i="35"/>
  <c r="K252" i="35"/>
  <c r="K251" i="35"/>
  <c r="K250" i="35"/>
  <c r="K249" i="35"/>
  <c r="K248" i="35"/>
  <c r="K247" i="35"/>
  <c r="K246" i="35"/>
  <c r="K245" i="35"/>
  <c r="K244" i="35"/>
  <c r="K243" i="35"/>
  <c r="K242" i="35"/>
  <c r="K241" i="35"/>
  <c r="K240" i="35"/>
  <c r="K239" i="35"/>
  <c r="K238" i="35"/>
  <c r="K237" i="35"/>
  <c r="K236" i="35"/>
  <c r="K235" i="35"/>
  <c r="K234" i="35"/>
  <c r="K233" i="35"/>
  <c r="K232" i="35"/>
  <c r="K231" i="35"/>
  <c r="K230" i="35"/>
  <c r="K229" i="35"/>
  <c r="K228" i="35"/>
  <c r="K227" i="35"/>
  <c r="K226" i="35"/>
  <c r="K225" i="35"/>
  <c r="K224" i="35"/>
  <c r="K223" i="35"/>
  <c r="K222" i="35"/>
  <c r="K221" i="35"/>
  <c r="K220" i="35"/>
  <c r="K219" i="35"/>
  <c r="K218" i="35"/>
  <c r="K217" i="35"/>
  <c r="K216" i="35"/>
  <c r="K215" i="35"/>
  <c r="K214" i="35"/>
  <c r="K213" i="35"/>
  <c r="K212" i="35"/>
  <c r="K211" i="35"/>
  <c r="K210" i="35"/>
  <c r="K209" i="35"/>
  <c r="K208" i="35"/>
  <c r="K207" i="35"/>
  <c r="K206" i="35"/>
  <c r="K205" i="35"/>
  <c r="K204" i="35"/>
  <c r="K203" i="35"/>
  <c r="K202" i="35"/>
  <c r="K201" i="35"/>
  <c r="K200" i="35"/>
  <c r="K199" i="35"/>
  <c r="K198" i="35"/>
  <c r="K197" i="35"/>
  <c r="K196" i="35"/>
  <c r="K195" i="35"/>
  <c r="K194" i="35"/>
  <c r="K193" i="35"/>
  <c r="K192" i="35"/>
  <c r="K191" i="35"/>
  <c r="K190" i="35"/>
  <c r="K189" i="35"/>
  <c r="K188" i="35"/>
  <c r="K187" i="35"/>
  <c r="K186" i="35"/>
  <c r="K185" i="35"/>
  <c r="K184" i="35"/>
  <c r="K183" i="35"/>
  <c r="K182" i="35"/>
  <c r="K181" i="35"/>
  <c r="K180" i="35"/>
  <c r="K179" i="35"/>
  <c r="K178" i="35"/>
  <c r="K177" i="35"/>
  <c r="K176" i="35"/>
  <c r="K175" i="35"/>
  <c r="K174" i="35"/>
  <c r="K173" i="35"/>
  <c r="K172" i="35"/>
  <c r="K171" i="35"/>
  <c r="K170" i="35"/>
  <c r="K169" i="35"/>
  <c r="K168" i="35"/>
  <c r="K167" i="35"/>
  <c r="K166" i="35"/>
  <c r="K165" i="35"/>
  <c r="K164" i="35"/>
  <c r="K163" i="35"/>
  <c r="K162" i="35"/>
  <c r="K161" i="35"/>
  <c r="K160" i="35"/>
  <c r="K159" i="35"/>
  <c r="K158" i="35"/>
  <c r="K157" i="35"/>
  <c r="K156" i="35"/>
  <c r="K155" i="35"/>
  <c r="K154" i="35"/>
  <c r="K153" i="35"/>
  <c r="K152" i="35"/>
  <c r="K151" i="35"/>
  <c r="K150" i="35"/>
  <c r="K149" i="35"/>
  <c r="K148" i="35"/>
  <c r="K147" i="35"/>
  <c r="K146" i="35"/>
  <c r="K145" i="35"/>
  <c r="K144" i="35"/>
  <c r="K143" i="35"/>
  <c r="K142" i="35"/>
  <c r="K141" i="35"/>
  <c r="K140" i="35"/>
  <c r="K139" i="35"/>
  <c r="K138" i="35"/>
  <c r="K137" i="35"/>
  <c r="K136" i="35"/>
  <c r="K135" i="35"/>
  <c r="K134" i="35"/>
  <c r="K133" i="35"/>
  <c r="K132" i="35"/>
  <c r="K131" i="35"/>
  <c r="K130" i="35"/>
  <c r="K129" i="35"/>
  <c r="K128" i="35"/>
  <c r="K127" i="35"/>
  <c r="K126" i="35"/>
  <c r="K125" i="35"/>
  <c r="K124" i="35"/>
  <c r="K123" i="35"/>
  <c r="K122" i="35"/>
  <c r="K121" i="35"/>
  <c r="K120" i="35"/>
  <c r="K119" i="35"/>
  <c r="K118" i="35"/>
  <c r="K117" i="35"/>
  <c r="K116" i="35"/>
  <c r="K115" i="35"/>
  <c r="K114" i="35"/>
  <c r="K113" i="35"/>
  <c r="K112" i="35"/>
  <c r="K111" i="35"/>
  <c r="K110" i="35"/>
  <c r="K109" i="35"/>
  <c r="K108" i="35"/>
  <c r="K107" i="35"/>
  <c r="K106" i="35"/>
  <c r="K105" i="35"/>
  <c r="K104" i="35"/>
  <c r="K103" i="35"/>
  <c r="K102" i="35"/>
  <c r="K101" i="35"/>
  <c r="K100" i="35"/>
  <c r="K99" i="35"/>
  <c r="K98" i="35"/>
  <c r="K97" i="35"/>
  <c r="K96" i="35"/>
  <c r="K95" i="35"/>
  <c r="K94" i="35"/>
  <c r="K93" i="35"/>
  <c r="K92" i="35"/>
  <c r="K91" i="35"/>
  <c r="K90" i="35"/>
  <c r="K89" i="35"/>
  <c r="K88" i="35"/>
  <c r="K87" i="35"/>
  <c r="K86" i="35"/>
  <c r="K85" i="35"/>
  <c r="K84" i="35"/>
  <c r="K83" i="35"/>
  <c r="K82" i="35"/>
  <c r="K81" i="35"/>
  <c r="K80" i="35"/>
  <c r="K79" i="35"/>
  <c r="K78" i="35"/>
  <c r="K77" i="35"/>
  <c r="K76" i="35"/>
  <c r="K75" i="35"/>
  <c r="K74" i="35"/>
  <c r="K73" i="35"/>
  <c r="K72" i="35"/>
  <c r="K71" i="35"/>
  <c r="K70" i="35"/>
  <c r="K69" i="35"/>
  <c r="K68" i="35"/>
  <c r="K67" i="35"/>
  <c r="K66" i="35"/>
  <c r="K65" i="35"/>
  <c r="K64" i="35"/>
  <c r="K63" i="35"/>
  <c r="K62" i="35"/>
  <c r="K61" i="35"/>
  <c r="K60" i="35"/>
  <c r="K59" i="35"/>
  <c r="K58" i="35"/>
  <c r="K57" i="35"/>
  <c r="K56" i="35"/>
  <c r="K55" i="35"/>
  <c r="K54" i="35"/>
  <c r="K53" i="35"/>
  <c r="K52" i="35"/>
  <c r="K51" i="35"/>
  <c r="K50" i="35"/>
  <c r="K49" i="35"/>
  <c r="K48" i="35"/>
  <c r="K47" i="35"/>
  <c r="K46" i="35"/>
  <c r="K45" i="35"/>
  <c r="K44" i="35"/>
  <c r="K43" i="35"/>
  <c r="K42" i="35"/>
  <c r="K41" i="35"/>
  <c r="K40" i="35"/>
  <c r="K39" i="35"/>
  <c r="K38" i="35"/>
  <c r="K37" i="35"/>
  <c r="K36" i="35"/>
  <c r="K4" i="35"/>
  <c r="K3" i="35"/>
  <c r="K2" i="35"/>
  <c r="M2" i="35" s="1"/>
  <c r="K61" i="43" l="1"/>
  <c r="K62" i="43" s="1"/>
  <c r="K63" i="43" s="1"/>
  <c r="K64" i="43" s="1"/>
  <c r="K65" i="43" s="1"/>
  <c r="K66" i="43" s="1"/>
  <c r="K67" i="43" s="1"/>
  <c r="B38" i="14"/>
  <c r="N12" i="35"/>
  <c r="B39" i="14" s="1"/>
  <c r="M3" i="36"/>
  <c r="M3" i="35"/>
  <c r="M4" i="35" s="1"/>
  <c r="M4" i="36" l="1"/>
  <c r="M5" i="36" s="1"/>
  <c r="M6" i="36" s="1"/>
  <c r="K68" i="43"/>
  <c r="K69" i="43" s="1"/>
  <c r="K70" i="43" s="1"/>
  <c r="K71" i="43" s="1"/>
  <c r="K72" i="43" s="1"/>
  <c r="M5" i="35"/>
  <c r="M6" i="35" s="1"/>
  <c r="M7" i="36" l="1"/>
  <c r="M8" i="36" s="1"/>
  <c r="M9" i="36" s="1"/>
  <c r="M10" i="36" s="1"/>
  <c r="K73" i="43"/>
  <c r="K74" i="43" s="1"/>
  <c r="M7" i="35"/>
  <c r="M8" i="35" s="1"/>
  <c r="M9" i="35" s="1"/>
  <c r="M10" i="35" s="1"/>
  <c r="M11" i="35" s="1"/>
  <c r="M12" i="35" s="1"/>
  <c r="M13" i="35" s="1"/>
  <c r="M14" i="35" s="1"/>
  <c r="M15" i="35" s="1"/>
  <c r="M16" i="35" s="1"/>
  <c r="M17" i="35" s="1"/>
  <c r="M18" i="35" s="1"/>
  <c r="M19" i="35" s="1"/>
  <c r="M20" i="35" s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M32" i="35" s="1"/>
  <c r="M33" i="35" s="1"/>
  <c r="M34" i="35" s="1"/>
  <c r="M35" i="35" s="1"/>
  <c r="M36" i="35" s="1"/>
  <c r="M37" i="35" s="1"/>
  <c r="M38" i="35" s="1"/>
  <c r="M39" i="35" s="1"/>
  <c r="M40" i="35" s="1"/>
  <c r="M41" i="35" s="1"/>
  <c r="M42" i="35" s="1"/>
  <c r="M43" i="35" s="1"/>
  <c r="M44" i="35" s="1"/>
  <c r="M45" i="35" s="1"/>
  <c r="M46" i="35" s="1"/>
  <c r="M47" i="35" s="1"/>
  <c r="M48" i="35" s="1"/>
  <c r="M49" i="35" s="1"/>
  <c r="M50" i="35" s="1"/>
  <c r="M51" i="35" s="1"/>
  <c r="M52" i="35" s="1"/>
  <c r="M53" i="35" s="1"/>
  <c r="M54" i="35" s="1"/>
  <c r="M55" i="35" s="1"/>
  <c r="M56" i="35" s="1"/>
  <c r="M57" i="35" s="1"/>
  <c r="M58" i="35" s="1"/>
  <c r="M59" i="35" s="1"/>
  <c r="M60" i="35" s="1"/>
  <c r="M61" i="35" s="1"/>
  <c r="M62" i="35" s="1"/>
  <c r="M63" i="35" s="1"/>
  <c r="M64" i="35" s="1"/>
  <c r="M65" i="35" s="1"/>
  <c r="M66" i="35" s="1"/>
  <c r="M67" i="35" s="1"/>
  <c r="M68" i="35" s="1"/>
  <c r="M69" i="35" s="1"/>
  <c r="M70" i="35" s="1"/>
  <c r="M71" i="35" s="1"/>
  <c r="M72" i="35" s="1"/>
  <c r="M73" i="35" s="1"/>
  <c r="M74" i="35" s="1"/>
  <c r="M75" i="35" s="1"/>
  <c r="M76" i="35" s="1"/>
  <c r="M77" i="35" s="1"/>
  <c r="M78" i="35" s="1"/>
  <c r="M79" i="35" s="1"/>
  <c r="M80" i="35" s="1"/>
  <c r="M81" i="35" s="1"/>
  <c r="M82" i="35" s="1"/>
  <c r="M83" i="35" s="1"/>
  <c r="M84" i="35" s="1"/>
  <c r="M85" i="35" s="1"/>
  <c r="M86" i="35" s="1"/>
  <c r="M87" i="35" s="1"/>
  <c r="M88" i="35" s="1"/>
  <c r="M89" i="35" s="1"/>
  <c r="M90" i="35" s="1"/>
  <c r="M91" i="35" s="1"/>
  <c r="M92" i="35" s="1"/>
  <c r="M93" i="35" s="1"/>
  <c r="M94" i="35" s="1"/>
  <c r="M95" i="35" s="1"/>
  <c r="M96" i="35" s="1"/>
  <c r="M97" i="35" s="1"/>
  <c r="M98" i="35" s="1"/>
  <c r="M99" i="35" s="1"/>
  <c r="M100" i="35" s="1"/>
  <c r="M101" i="35" s="1"/>
  <c r="M102" i="35" s="1"/>
  <c r="M103" i="35" s="1"/>
  <c r="M104" i="35" s="1"/>
  <c r="M105" i="35" s="1"/>
  <c r="M106" i="35" s="1"/>
  <c r="M107" i="35" s="1"/>
  <c r="M108" i="35" s="1"/>
  <c r="M109" i="35" s="1"/>
  <c r="M110" i="35" s="1"/>
  <c r="M111" i="35" s="1"/>
  <c r="M112" i="35" s="1"/>
  <c r="M113" i="35" s="1"/>
  <c r="M114" i="35" s="1"/>
  <c r="M115" i="35" s="1"/>
  <c r="M116" i="35" s="1"/>
  <c r="M117" i="35" s="1"/>
  <c r="M118" i="35" s="1"/>
  <c r="M119" i="35" s="1"/>
  <c r="M120" i="35" s="1"/>
  <c r="M121" i="35" s="1"/>
  <c r="M122" i="35" s="1"/>
  <c r="M123" i="35" s="1"/>
  <c r="M124" i="35" s="1"/>
  <c r="M125" i="35" s="1"/>
  <c r="M126" i="35" s="1"/>
  <c r="M127" i="35" s="1"/>
  <c r="M128" i="35" s="1"/>
  <c r="M129" i="35" s="1"/>
  <c r="M130" i="35" s="1"/>
  <c r="M131" i="35" s="1"/>
  <c r="M132" i="35" s="1"/>
  <c r="M133" i="35" s="1"/>
  <c r="M134" i="35" s="1"/>
  <c r="M135" i="35" s="1"/>
  <c r="M136" i="35" s="1"/>
  <c r="M137" i="35" s="1"/>
  <c r="M138" i="35" s="1"/>
  <c r="M139" i="35" s="1"/>
  <c r="M140" i="35" s="1"/>
  <c r="M141" i="35" s="1"/>
  <c r="M142" i="35" s="1"/>
  <c r="M143" i="35" s="1"/>
  <c r="M144" i="35" s="1"/>
  <c r="M145" i="35" s="1"/>
  <c r="M146" i="35" s="1"/>
  <c r="M147" i="35" s="1"/>
  <c r="M148" i="35" s="1"/>
  <c r="M149" i="35" s="1"/>
  <c r="M150" i="35" s="1"/>
  <c r="M151" i="35" s="1"/>
  <c r="M152" i="35" s="1"/>
  <c r="M153" i="35" s="1"/>
  <c r="M154" i="35" s="1"/>
  <c r="M155" i="35" s="1"/>
  <c r="M156" i="35" s="1"/>
  <c r="M157" i="35" s="1"/>
  <c r="M158" i="35" s="1"/>
  <c r="M159" i="35" s="1"/>
  <c r="M160" i="35" s="1"/>
  <c r="M161" i="35" s="1"/>
  <c r="M162" i="35" s="1"/>
  <c r="M163" i="35" s="1"/>
  <c r="M164" i="35" s="1"/>
  <c r="M165" i="35" s="1"/>
  <c r="M166" i="35" s="1"/>
  <c r="M167" i="35" s="1"/>
  <c r="M168" i="35" s="1"/>
  <c r="M169" i="35" s="1"/>
  <c r="M170" i="35" s="1"/>
  <c r="M171" i="35" s="1"/>
  <c r="M172" i="35" s="1"/>
  <c r="M173" i="35" s="1"/>
  <c r="M174" i="35" s="1"/>
  <c r="M175" i="35" s="1"/>
  <c r="M176" i="35" s="1"/>
  <c r="M177" i="35" s="1"/>
  <c r="M178" i="35" s="1"/>
  <c r="M179" i="35" s="1"/>
  <c r="M180" i="35" s="1"/>
  <c r="M181" i="35" s="1"/>
  <c r="M182" i="35" s="1"/>
  <c r="M183" i="35" s="1"/>
  <c r="M184" i="35" s="1"/>
  <c r="M185" i="35" s="1"/>
  <c r="M186" i="35" s="1"/>
  <c r="M187" i="35" s="1"/>
  <c r="M188" i="35" s="1"/>
  <c r="M189" i="35" s="1"/>
  <c r="M190" i="35" s="1"/>
  <c r="M191" i="35" s="1"/>
  <c r="M192" i="35" s="1"/>
  <c r="M193" i="35" s="1"/>
  <c r="M194" i="35" s="1"/>
  <c r="M195" i="35" s="1"/>
  <c r="M196" i="35" s="1"/>
  <c r="M197" i="35" s="1"/>
  <c r="M198" i="35" s="1"/>
  <c r="M199" i="35" s="1"/>
  <c r="M200" i="35" s="1"/>
  <c r="M201" i="35" s="1"/>
  <c r="M202" i="35" s="1"/>
  <c r="M203" i="35" s="1"/>
  <c r="M204" i="35" s="1"/>
  <c r="M205" i="35" s="1"/>
  <c r="M206" i="35" s="1"/>
  <c r="M207" i="35" s="1"/>
  <c r="M208" i="35" s="1"/>
  <c r="M209" i="35" s="1"/>
  <c r="M210" i="35" s="1"/>
  <c r="M211" i="35" s="1"/>
  <c r="M212" i="35" s="1"/>
  <c r="M213" i="35" s="1"/>
  <c r="M214" i="35" s="1"/>
  <c r="M215" i="35" s="1"/>
  <c r="M216" i="35" s="1"/>
  <c r="M217" i="35" s="1"/>
  <c r="M218" i="35" s="1"/>
  <c r="M219" i="35" s="1"/>
  <c r="M220" i="35" s="1"/>
  <c r="M221" i="35" s="1"/>
  <c r="M222" i="35" s="1"/>
  <c r="M223" i="35" s="1"/>
  <c r="M224" i="35" s="1"/>
  <c r="M225" i="35" s="1"/>
  <c r="M226" i="35" s="1"/>
  <c r="M227" i="35" s="1"/>
  <c r="M228" i="35" s="1"/>
  <c r="M229" i="35" s="1"/>
  <c r="M230" i="35" s="1"/>
  <c r="M231" i="35" s="1"/>
  <c r="M232" i="35" s="1"/>
  <c r="M233" i="35" s="1"/>
  <c r="M234" i="35" s="1"/>
  <c r="M235" i="35" s="1"/>
  <c r="M236" i="35" s="1"/>
  <c r="M237" i="35" s="1"/>
  <c r="M238" i="35" s="1"/>
  <c r="M239" i="35" s="1"/>
  <c r="M240" i="35" s="1"/>
  <c r="M241" i="35" s="1"/>
  <c r="M242" i="35" s="1"/>
  <c r="M243" i="35" s="1"/>
  <c r="M244" i="35" s="1"/>
  <c r="M245" i="35" s="1"/>
  <c r="M246" i="35" s="1"/>
  <c r="M247" i="35" s="1"/>
  <c r="M248" i="35" s="1"/>
  <c r="M249" i="35" s="1"/>
  <c r="M250" i="35" s="1"/>
  <c r="M251" i="35" s="1"/>
  <c r="M252" i="35" s="1"/>
  <c r="M253" i="35" s="1"/>
  <c r="M254" i="35" s="1"/>
  <c r="M255" i="35" s="1"/>
  <c r="M256" i="35" s="1"/>
  <c r="M257" i="35" s="1"/>
  <c r="M258" i="35" s="1"/>
  <c r="M259" i="35" s="1"/>
  <c r="M260" i="35" s="1"/>
  <c r="M261" i="35" s="1"/>
  <c r="M262" i="35" s="1"/>
  <c r="M263" i="35" s="1"/>
  <c r="M264" i="35" s="1"/>
  <c r="M265" i="35" s="1"/>
  <c r="M266" i="35" s="1"/>
  <c r="M267" i="35" s="1"/>
  <c r="M268" i="35" s="1"/>
  <c r="M269" i="35" s="1"/>
  <c r="M270" i="35" s="1"/>
  <c r="M271" i="35" s="1"/>
  <c r="M272" i="35" s="1"/>
  <c r="M273" i="35" s="1"/>
  <c r="M274" i="35" s="1"/>
  <c r="M275" i="35" s="1"/>
  <c r="M276" i="35" s="1"/>
  <c r="M277" i="35" s="1"/>
  <c r="M278" i="35" s="1"/>
  <c r="M279" i="35" s="1"/>
  <c r="M280" i="35" s="1"/>
  <c r="M281" i="35" s="1"/>
  <c r="M282" i="35" s="1"/>
  <c r="M283" i="35" s="1"/>
  <c r="M284" i="35" s="1"/>
  <c r="M285" i="35" s="1"/>
  <c r="M286" i="35" s="1"/>
  <c r="M287" i="35" s="1"/>
  <c r="M288" i="35" s="1"/>
  <c r="M289" i="35" s="1"/>
  <c r="M290" i="35" s="1"/>
  <c r="M291" i="35" s="1"/>
  <c r="M292" i="35" s="1"/>
  <c r="M293" i="35" s="1"/>
  <c r="M294" i="35" s="1"/>
  <c r="M295" i="35" s="1"/>
  <c r="M296" i="35" s="1"/>
  <c r="M297" i="35" s="1"/>
  <c r="M298" i="35" s="1"/>
  <c r="M299" i="35" s="1"/>
  <c r="M300" i="35" s="1"/>
  <c r="M301" i="35" s="1"/>
  <c r="M302" i="35" s="1"/>
  <c r="M303" i="35" s="1"/>
  <c r="M304" i="35" s="1"/>
  <c r="M305" i="35" s="1"/>
  <c r="M306" i="35" s="1"/>
  <c r="M307" i="35" s="1"/>
  <c r="M308" i="35" s="1"/>
  <c r="M309" i="35" s="1"/>
  <c r="M310" i="35" s="1"/>
  <c r="M311" i="35" s="1"/>
  <c r="M312" i="35" s="1"/>
  <c r="M313" i="35" s="1"/>
  <c r="M314" i="35" s="1"/>
  <c r="M315" i="35" s="1"/>
  <c r="M316" i="35" s="1"/>
  <c r="M317" i="35" s="1"/>
  <c r="M318" i="35" s="1"/>
  <c r="M319" i="35" s="1"/>
  <c r="M320" i="35" s="1"/>
  <c r="M321" i="35" s="1"/>
  <c r="M322" i="35" s="1"/>
  <c r="M323" i="35" s="1"/>
  <c r="M324" i="35" s="1"/>
  <c r="M325" i="35" s="1"/>
  <c r="M326" i="35" s="1"/>
  <c r="M327" i="35" s="1"/>
  <c r="M328" i="35" s="1"/>
  <c r="M329" i="35" s="1"/>
  <c r="M330" i="35" s="1"/>
  <c r="M331" i="35" s="1"/>
  <c r="M332" i="35" s="1"/>
  <c r="M333" i="35" s="1"/>
  <c r="M334" i="35" s="1"/>
  <c r="M335" i="35" s="1"/>
  <c r="M336" i="35" s="1"/>
  <c r="M337" i="35" s="1"/>
  <c r="M338" i="35" s="1"/>
  <c r="M339" i="35" s="1"/>
  <c r="M340" i="35" s="1"/>
  <c r="M341" i="35" s="1"/>
  <c r="M11" i="36" l="1"/>
  <c r="M12" i="36" s="1"/>
  <c r="M13" i="36" s="1"/>
  <c r="M14" i="36" s="1"/>
  <c r="M15" i="36" s="1"/>
  <c r="M16" i="36" s="1"/>
  <c r="M17" i="36" s="1"/>
  <c r="M18" i="36" s="1"/>
  <c r="M19" i="36" s="1"/>
  <c r="M20" i="36" s="1"/>
  <c r="M21" i="36" s="1"/>
  <c r="M22" i="36" s="1"/>
  <c r="M23" i="36" s="1"/>
  <c r="M24" i="36" s="1"/>
  <c r="M25" i="36" s="1"/>
  <c r="M26" i="36" s="1"/>
  <c r="M27" i="36" s="1"/>
  <c r="M28" i="36" s="1"/>
  <c r="M29" i="36" s="1"/>
  <c r="M30" i="36" s="1"/>
  <c r="K75" i="43"/>
  <c r="K76" i="43" s="1"/>
  <c r="K77" i="43" s="1"/>
  <c r="K78" i="43" s="1"/>
  <c r="K79" i="43" s="1"/>
  <c r="M33" i="36" l="1"/>
  <c r="M34" i="36" s="1"/>
  <c r="M35" i="36" s="1"/>
  <c r="M36" i="36" s="1"/>
  <c r="M37" i="36" s="1"/>
  <c r="M38" i="36" s="1"/>
  <c r="M39" i="36" s="1"/>
  <c r="M40" i="36" s="1"/>
  <c r="M41" i="36" s="1"/>
  <c r="M42" i="36" s="1"/>
  <c r="M43" i="36" s="1"/>
  <c r="M44" i="36" s="1"/>
  <c r="M45" i="36" s="1"/>
  <c r="M46" i="36" s="1"/>
  <c r="M47" i="36" s="1"/>
  <c r="M48" i="36" s="1"/>
  <c r="M49" i="36" s="1"/>
  <c r="M50" i="36" s="1"/>
  <c r="M51" i="36" s="1"/>
  <c r="M52" i="36" s="1"/>
  <c r="M53" i="36" s="1"/>
  <c r="M54" i="36" s="1"/>
  <c r="M55" i="36" s="1"/>
  <c r="M56" i="36" s="1"/>
  <c r="M57" i="36" s="1"/>
  <c r="M58" i="36" s="1"/>
  <c r="M59" i="36" s="1"/>
  <c r="M60" i="36" s="1"/>
  <c r="M61" i="36" s="1"/>
  <c r="M62" i="36" s="1"/>
  <c r="M63" i="36" s="1"/>
  <c r="M64" i="36" s="1"/>
  <c r="M65" i="36" s="1"/>
  <c r="M66" i="36" s="1"/>
  <c r="M67" i="36" s="1"/>
  <c r="M68" i="36" s="1"/>
  <c r="M69" i="36" s="1"/>
  <c r="M70" i="36" s="1"/>
  <c r="M71" i="36" s="1"/>
  <c r="M72" i="36" s="1"/>
  <c r="M73" i="36" s="1"/>
  <c r="M74" i="36" s="1"/>
  <c r="M75" i="36" s="1"/>
  <c r="M76" i="36" s="1"/>
  <c r="M77" i="36" s="1"/>
  <c r="M78" i="36" s="1"/>
  <c r="M79" i="36" s="1"/>
  <c r="M80" i="36" s="1"/>
  <c r="M81" i="36" s="1"/>
  <c r="M82" i="36" s="1"/>
  <c r="M83" i="36" s="1"/>
  <c r="M84" i="36" s="1"/>
  <c r="M85" i="36" s="1"/>
  <c r="M86" i="36" s="1"/>
  <c r="M87" i="36" s="1"/>
  <c r="M88" i="36" s="1"/>
  <c r="M89" i="36" s="1"/>
  <c r="M90" i="36" s="1"/>
  <c r="M91" i="36" s="1"/>
  <c r="M92" i="36" s="1"/>
  <c r="M93" i="36" s="1"/>
  <c r="M94" i="36" s="1"/>
  <c r="M95" i="36" s="1"/>
  <c r="M96" i="36" s="1"/>
  <c r="M97" i="36" s="1"/>
  <c r="M98" i="36" s="1"/>
  <c r="M99" i="36" s="1"/>
  <c r="M100" i="36" s="1"/>
  <c r="M101" i="36" s="1"/>
  <c r="M102" i="36" s="1"/>
  <c r="M103" i="36" s="1"/>
  <c r="M104" i="36" s="1"/>
  <c r="M105" i="36" s="1"/>
  <c r="M106" i="36" s="1"/>
  <c r="M107" i="36" s="1"/>
  <c r="M108" i="36" s="1"/>
  <c r="M109" i="36" s="1"/>
  <c r="M110" i="36" s="1"/>
  <c r="M111" i="36" s="1"/>
  <c r="M112" i="36" s="1"/>
  <c r="M113" i="36" s="1"/>
  <c r="M114" i="36" s="1"/>
  <c r="M115" i="36" s="1"/>
  <c r="M116" i="36" s="1"/>
  <c r="M117" i="36" s="1"/>
  <c r="M118" i="36" s="1"/>
  <c r="M119" i="36" s="1"/>
  <c r="M120" i="36" s="1"/>
  <c r="M121" i="36" s="1"/>
  <c r="M122" i="36" s="1"/>
  <c r="M123" i="36" s="1"/>
  <c r="M124" i="36" s="1"/>
  <c r="M125" i="36" s="1"/>
  <c r="M126" i="36" s="1"/>
  <c r="M127" i="36" s="1"/>
  <c r="M128" i="36" s="1"/>
  <c r="M129" i="36" s="1"/>
  <c r="M130" i="36" s="1"/>
  <c r="M131" i="36" s="1"/>
  <c r="M132" i="36" s="1"/>
  <c r="M133" i="36" s="1"/>
  <c r="M134" i="36" s="1"/>
  <c r="M135" i="36" s="1"/>
  <c r="M136" i="36" s="1"/>
  <c r="M137" i="36" s="1"/>
  <c r="M138" i="36" s="1"/>
  <c r="M139" i="36" s="1"/>
  <c r="M140" i="36" s="1"/>
  <c r="M141" i="36" s="1"/>
  <c r="M142" i="36" s="1"/>
  <c r="M143" i="36" s="1"/>
  <c r="M144" i="36" s="1"/>
  <c r="M145" i="36" s="1"/>
  <c r="M146" i="36" s="1"/>
  <c r="M147" i="36" s="1"/>
  <c r="M148" i="36" s="1"/>
  <c r="M149" i="36" s="1"/>
  <c r="M150" i="36" s="1"/>
  <c r="M151" i="36" s="1"/>
  <c r="M152" i="36" s="1"/>
  <c r="M153" i="36" s="1"/>
  <c r="M154" i="36" s="1"/>
  <c r="M155" i="36" s="1"/>
  <c r="M156" i="36" s="1"/>
  <c r="M157" i="36" s="1"/>
  <c r="M158" i="36" s="1"/>
  <c r="M159" i="36" s="1"/>
  <c r="M160" i="36" s="1"/>
  <c r="M161" i="36" s="1"/>
  <c r="M162" i="36" s="1"/>
  <c r="M163" i="36" s="1"/>
  <c r="M164" i="36" s="1"/>
  <c r="M165" i="36" s="1"/>
  <c r="M166" i="36" s="1"/>
  <c r="M167" i="36" s="1"/>
  <c r="M168" i="36" s="1"/>
  <c r="M169" i="36" s="1"/>
  <c r="M170" i="36" s="1"/>
  <c r="M171" i="36" s="1"/>
  <c r="M172" i="36" s="1"/>
  <c r="M173" i="36" s="1"/>
  <c r="M174" i="36" s="1"/>
  <c r="M175" i="36" s="1"/>
  <c r="M176" i="36" s="1"/>
  <c r="M177" i="36" s="1"/>
  <c r="M178" i="36" s="1"/>
  <c r="M179" i="36" s="1"/>
  <c r="M180" i="36" s="1"/>
  <c r="M181" i="36" s="1"/>
  <c r="M182" i="36" s="1"/>
  <c r="M183" i="36" s="1"/>
  <c r="M184" i="36" s="1"/>
  <c r="M185" i="36" s="1"/>
  <c r="M186" i="36" s="1"/>
  <c r="M187" i="36" s="1"/>
  <c r="M188" i="36" s="1"/>
  <c r="M189" i="36" s="1"/>
  <c r="M190" i="36" s="1"/>
  <c r="M191" i="36" s="1"/>
  <c r="M192" i="36" s="1"/>
  <c r="M193" i="36" s="1"/>
  <c r="M194" i="36" s="1"/>
  <c r="M195" i="36" s="1"/>
  <c r="M196" i="36" s="1"/>
  <c r="M197" i="36" s="1"/>
  <c r="M198" i="36" s="1"/>
  <c r="M199" i="36" s="1"/>
  <c r="M200" i="36" s="1"/>
  <c r="M201" i="36" s="1"/>
  <c r="M202" i="36" s="1"/>
  <c r="M203" i="36" s="1"/>
  <c r="M204" i="36" s="1"/>
  <c r="M205" i="36" s="1"/>
  <c r="M206" i="36" s="1"/>
  <c r="M207" i="36" s="1"/>
  <c r="M208" i="36" s="1"/>
  <c r="M209" i="36" s="1"/>
  <c r="M210" i="36" s="1"/>
  <c r="M211" i="36" s="1"/>
  <c r="M212" i="36" s="1"/>
  <c r="M213" i="36" s="1"/>
  <c r="M214" i="36" s="1"/>
  <c r="M215" i="36" s="1"/>
  <c r="M216" i="36" s="1"/>
  <c r="M217" i="36" s="1"/>
  <c r="M218" i="36" s="1"/>
  <c r="M219" i="36" s="1"/>
  <c r="M220" i="36" s="1"/>
  <c r="M221" i="36" s="1"/>
  <c r="M222" i="36" s="1"/>
  <c r="M223" i="36" s="1"/>
  <c r="M224" i="36" s="1"/>
  <c r="M225" i="36" s="1"/>
  <c r="M226" i="36" s="1"/>
  <c r="M227" i="36" s="1"/>
  <c r="M228" i="36" s="1"/>
  <c r="M229" i="36" s="1"/>
  <c r="M230" i="36" s="1"/>
  <c r="M231" i="36" s="1"/>
  <c r="M232" i="36" s="1"/>
  <c r="M233" i="36" s="1"/>
  <c r="M234" i="36" s="1"/>
  <c r="M235" i="36" s="1"/>
  <c r="M236" i="36" s="1"/>
  <c r="M237" i="36" s="1"/>
  <c r="M238" i="36" s="1"/>
  <c r="M239" i="36" s="1"/>
  <c r="M240" i="36" s="1"/>
  <c r="M241" i="36" s="1"/>
  <c r="M242" i="36" s="1"/>
  <c r="M243" i="36" s="1"/>
  <c r="M244" i="36" s="1"/>
  <c r="M245" i="36" s="1"/>
  <c r="M246" i="36" s="1"/>
  <c r="M247" i="36" s="1"/>
  <c r="M248" i="36" s="1"/>
  <c r="M249" i="36" s="1"/>
  <c r="M250" i="36" s="1"/>
  <c r="M251" i="36" s="1"/>
  <c r="M252" i="36" s="1"/>
  <c r="M253" i="36" s="1"/>
  <c r="M254" i="36" s="1"/>
  <c r="M255" i="36" s="1"/>
  <c r="M256" i="36" s="1"/>
  <c r="M257" i="36" s="1"/>
  <c r="M258" i="36" s="1"/>
  <c r="M259" i="36" s="1"/>
  <c r="M260" i="36" s="1"/>
  <c r="M261" i="36" s="1"/>
  <c r="M262" i="36" s="1"/>
  <c r="M263" i="36" s="1"/>
  <c r="M264" i="36" s="1"/>
  <c r="M265" i="36" s="1"/>
  <c r="M266" i="36" s="1"/>
  <c r="M267" i="36" s="1"/>
  <c r="M268" i="36" s="1"/>
  <c r="M269" i="36" s="1"/>
  <c r="M270" i="36" s="1"/>
  <c r="M271" i="36" s="1"/>
  <c r="M272" i="36" s="1"/>
  <c r="M273" i="36" s="1"/>
  <c r="M274" i="36" s="1"/>
  <c r="M275" i="36" s="1"/>
  <c r="M276" i="36" s="1"/>
  <c r="M277" i="36" s="1"/>
  <c r="M278" i="36" s="1"/>
  <c r="M279" i="36" s="1"/>
  <c r="M280" i="36" s="1"/>
  <c r="M281" i="36" s="1"/>
  <c r="M282" i="36" s="1"/>
  <c r="M283" i="36" s="1"/>
  <c r="M284" i="36" s="1"/>
  <c r="M285" i="36" s="1"/>
  <c r="M286" i="36" s="1"/>
  <c r="M287" i="36" s="1"/>
  <c r="M288" i="36" s="1"/>
  <c r="M289" i="36" s="1"/>
  <c r="M290" i="36" s="1"/>
  <c r="M291" i="36" s="1"/>
  <c r="M292" i="36" s="1"/>
  <c r="M293" i="36" s="1"/>
  <c r="M294" i="36" s="1"/>
  <c r="M295" i="36" s="1"/>
  <c r="M296" i="36" s="1"/>
  <c r="M297" i="36" s="1"/>
  <c r="M298" i="36" s="1"/>
  <c r="M299" i="36" s="1"/>
  <c r="M300" i="36" s="1"/>
  <c r="M301" i="36" s="1"/>
  <c r="M302" i="36" s="1"/>
  <c r="M303" i="36" s="1"/>
  <c r="M304" i="36" s="1"/>
  <c r="M305" i="36" s="1"/>
  <c r="M306" i="36" s="1"/>
  <c r="M307" i="36" s="1"/>
  <c r="M308" i="36" s="1"/>
  <c r="M309" i="36" s="1"/>
  <c r="M310" i="36" s="1"/>
  <c r="M311" i="36" s="1"/>
  <c r="M312" i="36" s="1"/>
  <c r="M313" i="36" s="1"/>
  <c r="M314" i="36" s="1"/>
  <c r="M315" i="36" s="1"/>
  <c r="M316" i="36" s="1"/>
  <c r="M317" i="36" s="1"/>
  <c r="M318" i="36" s="1"/>
  <c r="M319" i="36" s="1"/>
  <c r="M320" i="36" s="1"/>
  <c r="M321" i="36" s="1"/>
  <c r="M322" i="36" s="1"/>
  <c r="M323" i="36" s="1"/>
  <c r="M324" i="36" s="1"/>
  <c r="M325" i="36" s="1"/>
  <c r="M326" i="36" s="1"/>
  <c r="M327" i="36" s="1"/>
  <c r="M328" i="36" s="1"/>
  <c r="M329" i="36" s="1"/>
  <c r="M330" i="36" s="1"/>
  <c r="M331" i="36" s="1"/>
  <c r="M332" i="36" s="1"/>
  <c r="M333" i="36" s="1"/>
  <c r="M334" i="36" s="1"/>
  <c r="M335" i="36" s="1"/>
  <c r="M336" i="36" s="1"/>
  <c r="M337" i="36" s="1"/>
  <c r="M338" i="36" s="1"/>
  <c r="M339" i="36" s="1"/>
  <c r="M340" i="36" s="1"/>
  <c r="M341" i="36" s="1"/>
  <c r="M342" i="36" s="1"/>
  <c r="M343" i="36" s="1"/>
  <c r="M344" i="36" s="1"/>
  <c r="M345" i="36" s="1"/>
  <c r="M346" i="36" s="1"/>
  <c r="M347" i="36" s="1"/>
  <c r="K80" i="43"/>
  <c r="K81" i="43" s="1"/>
  <c r="K82" i="43" s="1"/>
  <c r="K83" i="43" s="1"/>
  <c r="K84" i="43" l="1"/>
  <c r="K85" i="43" s="1"/>
  <c r="K86" i="43" s="1"/>
  <c r="K30" i="22"/>
  <c r="K87" i="43" l="1"/>
  <c r="K88" i="43" s="1"/>
  <c r="K89" i="43" s="1"/>
  <c r="K90" i="43" s="1"/>
  <c r="K91" i="43" s="1"/>
  <c r="K92" i="43" s="1"/>
  <c r="K93" i="43" s="1"/>
  <c r="K94" i="43" l="1"/>
  <c r="K95" i="43" s="1"/>
  <c r="K96" i="43" s="1"/>
  <c r="K97" i="43" s="1"/>
  <c r="K98" i="43" l="1"/>
  <c r="K99" i="43" s="1"/>
  <c r="K100" i="43" s="1"/>
  <c r="K101" i="43" l="1"/>
  <c r="K102" i="43" s="1"/>
  <c r="K103" i="43" s="1"/>
  <c r="K104" i="43" s="1"/>
  <c r="K105" i="43" s="1"/>
  <c r="K106" i="43" s="1"/>
  <c r="K107" i="43" l="1"/>
  <c r="K108" i="43" s="1"/>
  <c r="K109" i="43" s="1"/>
  <c r="K110" i="43" l="1"/>
  <c r="K111" i="43" s="1"/>
  <c r="K112" i="43" s="1"/>
  <c r="K113" i="43" s="1"/>
  <c r="K114" i="43" l="1"/>
  <c r="K115" i="43" s="1"/>
  <c r="K116" i="43" s="1"/>
  <c r="K117" i="43" s="1"/>
  <c r="K118" i="43" s="1"/>
  <c r="K119" i="43" s="1"/>
  <c r="K120" i="43" s="1"/>
  <c r="K121" i="43" s="1"/>
  <c r="K122" i="43" s="1"/>
  <c r="K123" i="43" s="1"/>
  <c r="K124" i="43" s="1"/>
  <c r="K125" i="43" s="1"/>
  <c r="K126" i="43" s="1"/>
  <c r="K127" i="43" s="1"/>
  <c r="K128" i="43" s="1"/>
  <c r="K129" i="43" s="1"/>
  <c r="K130" i="43" s="1"/>
  <c r="K131" i="43" s="1"/>
  <c r="K132" i="43" s="1"/>
  <c r="K133" i="43" s="1"/>
  <c r="K134" i="43" s="1"/>
  <c r="K135" i="43" s="1"/>
  <c r="K136" i="43" s="1"/>
  <c r="K137" i="43" s="1"/>
  <c r="K138" i="43" s="1"/>
  <c r="K139" i="43" s="1"/>
  <c r="K140" i="43" s="1"/>
  <c r="K141" i="43" s="1"/>
  <c r="K142" i="43" s="1"/>
  <c r="K143" i="43" s="1"/>
  <c r="K144" i="43" s="1"/>
  <c r="K145" i="43" s="1"/>
  <c r="K146" i="43" s="1"/>
  <c r="K147" i="43" s="1"/>
  <c r="K148" i="43" s="1"/>
  <c r="K149" i="43" s="1"/>
  <c r="K150" i="43" s="1"/>
  <c r="K151" i="43" s="1"/>
  <c r="K152" i="43" s="1"/>
  <c r="K153" i="43" s="1"/>
  <c r="K154" i="43" s="1"/>
  <c r="K155" i="43" s="1"/>
  <c r="K156" i="43" s="1"/>
  <c r="K157" i="43" s="1"/>
  <c r="K158" i="43" s="1"/>
  <c r="K159" i="43" s="1"/>
  <c r="K160" i="43" s="1"/>
  <c r="K161" i="43" s="1"/>
  <c r="K162" i="43" s="1"/>
  <c r="K163" i="43" s="1"/>
  <c r="K164" i="43" s="1"/>
  <c r="K165" i="43" s="1"/>
  <c r="K166" i="43" s="1"/>
  <c r="K167" i="43" s="1"/>
  <c r="K168" i="43" s="1"/>
  <c r="K169" i="43" s="1"/>
  <c r="K170" i="43" s="1"/>
  <c r="K171" i="43" s="1"/>
  <c r="K172" i="43" s="1"/>
  <c r="K173" i="43" s="1"/>
  <c r="K174" i="43" s="1"/>
  <c r="K175" i="43" s="1"/>
  <c r="K176" i="43" s="1"/>
  <c r="K177" i="43" s="1"/>
  <c r="K178" i="43" s="1"/>
  <c r="K179" i="43" s="1"/>
  <c r="K180" i="43" s="1"/>
  <c r="K181" i="43" s="1"/>
  <c r="K182" i="43" s="1"/>
  <c r="K183" i="43" s="1"/>
  <c r="K184" i="43" s="1"/>
  <c r="K185" i="43" s="1"/>
  <c r="K186" i="43" s="1"/>
  <c r="K187" i="43" s="1"/>
  <c r="K188" i="43" s="1"/>
  <c r="K189" i="43" s="1"/>
  <c r="K190" i="43" s="1"/>
  <c r="K191" i="43" s="1"/>
  <c r="K192" i="43" s="1"/>
  <c r="K193" i="43" s="1"/>
  <c r="K194" i="43" s="1"/>
  <c r="K195" i="43" s="1"/>
  <c r="K196" i="43" s="1"/>
  <c r="K197" i="43" s="1"/>
  <c r="K198" i="43" s="1"/>
  <c r="K199" i="43" s="1"/>
  <c r="K200" i="43" s="1"/>
  <c r="K201" i="43" s="1"/>
  <c r="K202" i="43" s="1"/>
  <c r="K203" i="43" s="1"/>
  <c r="K204" i="43" s="1"/>
  <c r="K205" i="43" s="1"/>
  <c r="K206" i="43" s="1"/>
  <c r="K207" i="43" s="1"/>
  <c r="K208" i="43" s="1"/>
  <c r="K209" i="43" s="1"/>
  <c r="K210" i="43" s="1"/>
  <c r="K211" i="43" s="1"/>
  <c r="K212" i="43" s="1"/>
  <c r="K213" i="43" s="1"/>
  <c r="K214" i="43" s="1"/>
  <c r="K215" i="43" s="1"/>
  <c r="K216" i="43" s="1"/>
  <c r="K217" i="43" s="1"/>
  <c r="K218" i="43" s="1"/>
  <c r="K219" i="43" s="1"/>
  <c r="K220" i="43" s="1"/>
  <c r="K221" i="43" s="1"/>
  <c r="K222" i="43" s="1"/>
  <c r="K223" i="43" s="1"/>
  <c r="K224" i="43" s="1"/>
  <c r="K225" i="43" s="1"/>
  <c r="K226" i="43" s="1"/>
  <c r="K227" i="43" s="1"/>
  <c r="K228" i="43" s="1"/>
  <c r="K229" i="43" s="1"/>
  <c r="K230" i="43" s="1"/>
  <c r="K231" i="43" s="1"/>
  <c r="K232" i="43" s="1"/>
  <c r="K233" i="43" s="1"/>
  <c r="K234" i="43" s="1"/>
  <c r="K235" i="43" s="1"/>
  <c r="K236" i="43" s="1"/>
  <c r="K237" i="43" s="1"/>
  <c r="K238" i="43" s="1"/>
  <c r="K239" i="43" s="1"/>
  <c r="K240" i="43" s="1"/>
  <c r="K241" i="43" s="1"/>
  <c r="K242" i="43" s="1"/>
  <c r="K243" i="43" s="1"/>
  <c r="K244" i="43" s="1"/>
  <c r="K245" i="43" s="1"/>
  <c r="K246" i="43" s="1"/>
  <c r="K247" i="43" s="1"/>
  <c r="K248" i="43" s="1"/>
  <c r="K249" i="43" s="1"/>
  <c r="K250" i="43" s="1"/>
  <c r="K251" i="43" s="1"/>
  <c r="K252" i="43" s="1"/>
  <c r="K253" i="43" s="1"/>
  <c r="K254" i="43" s="1"/>
  <c r="K255" i="43" s="1"/>
  <c r="K256" i="43" s="1"/>
  <c r="K257" i="43" s="1"/>
  <c r="K258" i="43" s="1"/>
  <c r="K259" i="43" s="1"/>
  <c r="K260" i="43" s="1"/>
  <c r="K261" i="43" s="1"/>
  <c r="K262" i="43" s="1"/>
  <c r="K263" i="43" s="1"/>
  <c r="K264" i="43" s="1"/>
  <c r="K265" i="43" s="1"/>
  <c r="K266" i="43" s="1"/>
  <c r="K267" i="43" s="1"/>
  <c r="K268" i="43" s="1"/>
  <c r="K269" i="43" s="1"/>
  <c r="K270" i="43" s="1"/>
  <c r="K271" i="43" s="1"/>
  <c r="K272" i="43" s="1"/>
  <c r="K273" i="43" s="1"/>
  <c r="K274" i="43" s="1"/>
  <c r="K275" i="43" s="1"/>
  <c r="K276" i="43" s="1"/>
  <c r="K277" i="43" s="1"/>
  <c r="K278" i="43" s="1"/>
  <c r="K279" i="43" s="1"/>
  <c r="K280" i="43" s="1"/>
  <c r="K281" i="43" s="1"/>
  <c r="K282" i="43" s="1"/>
  <c r="K283" i="43" s="1"/>
  <c r="K284" i="43" s="1"/>
  <c r="K285" i="43" s="1"/>
  <c r="K286" i="43" s="1"/>
  <c r="K287" i="43" s="1"/>
  <c r="K288" i="43" s="1"/>
  <c r="K289" i="43" s="1"/>
  <c r="K290" i="43" s="1"/>
  <c r="K291" i="43" s="1"/>
  <c r="K292" i="43" s="1"/>
  <c r="K293" i="43" s="1"/>
  <c r="K294" i="43" s="1"/>
  <c r="K295" i="43" s="1"/>
  <c r="K296" i="43" s="1"/>
  <c r="K297" i="43" s="1"/>
  <c r="K298" i="43" s="1"/>
  <c r="K299" i="43" s="1"/>
  <c r="K300" i="43" s="1"/>
  <c r="K301" i="43" s="1"/>
  <c r="K302" i="43" s="1"/>
  <c r="K303" i="43" s="1"/>
  <c r="K304" i="43" s="1"/>
  <c r="K305" i="43" s="1"/>
  <c r="K306" i="43" s="1"/>
  <c r="K307" i="43" s="1"/>
  <c r="K308" i="43" s="1"/>
  <c r="K309" i="43" s="1"/>
  <c r="K310" i="43" s="1"/>
  <c r="K311" i="43" s="1"/>
  <c r="K312" i="43" s="1"/>
  <c r="K313" i="43" s="1"/>
  <c r="K314" i="43" s="1"/>
  <c r="K315" i="43" s="1"/>
  <c r="K316" i="43" s="1"/>
  <c r="K317" i="43" s="1"/>
  <c r="K318" i="43" s="1"/>
  <c r="K319" i="43" s="1"/>
  <c r="K320" i="43" s="1"/>
  <c r="K321" i="43" s="1"/>
  <c r="K322" i="43" s="1"/>
  <c r="K323" i="43" s="1"/>
  <c r="K324" i="43" s="1"/>
  <c r="K325" i="43" s="1"/>
  <c r="K326" i="43" s="1"/>
  <c r="K327" i="43" s="1"/>
  <c r="K328" i="43" s="1"/>
  <c r="K329" i="43" s="1"/>
  <c r="K330" i="43" s="1"/>
  <c r="K331" i="43" s="1"/>
  <c r="K332" i="43" s="1"/>
  <c r="K333" i="43" s="1"/>
  <c r="K334" i="43" s="1"/>
  <c r="K335" i="43" s="1"/>
  <c r="K336" i="43" s="1"/>
  <c r="K337" i="43" s="1"/>
  <c r="K338" i="43" s="1"/>
  <c r="K339" i="43" s="1"/>
  <c r="K340" i="43" s="1"/>
  <c r="K341" i="43" s="1"/>
  <c r="K342" i="43" s="1"/>
  <c r="K343" i="43" s="1"/>
  <c r="K344" i="43" s="1"/>
  <c r="K345" i="43" s="1"/>
  <c r="K346" i="43" s="1"/>
  <c r="K347" i="43" s="1"/>
  <c r="K348" i="43" s="1"/>
  <c r="K349" i="43" s="1"/>
  <c r="K350" i="43" s="1"/>
  <c r="K351" i="43" s="1"/>
  <c r="K352" i="43" s="1"/>
  <c r="K353" i="43" s="1"/>
  <c r="K354" i="43" s="1"/>
  <c r="K355" i="43" s="1"/>
  <c r="K356" i="43" s="1"/>
  <c r="K357" i="43" s="1"/>
  <c r="K358" i="43" s="1"/>
  <c r="K359" i="43" s="1"/>
  <c r="K360" i="43" s="1"/>
  <c r="K361" i="43" s="1"/>
  <c r="K362" i="43" s="1"/>
  <c r="K363" i="43" s="1"/>
  <c r="K364" i="43" s="1"/>
  <c r="K365" i="43" s="1"/>
  <c r="K366" i="43" s="1"/>
  <c r="K367" i="43" s="1"/>
  <c r="K368" i="43" s="1"/>
  <c r="K369" i="43" s="1"/>
  <c r="K370" i="43" s="1"/>
  <c r="K371" i="43" s="1"/>
  <c r="K372" i="43" s="1"/>
  <c r="K373" i="43" s="1"/>
  <c r="K374" i="43" s="1"/>
  <c r="K338" i="30" l="1"/>
  <c r="K337" i="30"/>
  <c r="K336" i="30"/>
  <c r="K335" i="30"/>
  <c r="K334" i="30"/>
  <c r="K333" i="30"/>
  <c r="K332" i="30"/>
  <c r="K331" i="30"/>
  <c r="K330" i="30"/>
  <c r="K329" i="30"/>
  <c r="K328" i="30"/>
  <c r="K327" i="30"/>
  <c r="K326" i="30"/>
  <c r="K325" i="30"/>
  <c r="K324" i="30"/>
  <c r="K323" i="30"/>
  <c r="K322" i="30"/>
  <c r="K321" i="30"/>
  <c r="K320" i="30"/>
  <c r="K319" i="30"/>
  <c r="K318" i="30"/>
  <c r="K317" i="30"/>
  <c r="K316" i="30"/>
  <c r="K315" i="30"/>
  <c r="K314" i="30"/>
  <c r="K313" i="30"/>
  <c r="K312" i="30"/>
  <c r="K311" i="30"/>
  <c r="K310" i="30"/>
  <c r="K309" i="30"/>
  <c r="K308" i="30"/>
  <c r="K307" i="30"/>
  <c r="K306" i="30"/>
  <c r="K305" i="30"/>
  <c r="K304" i="30"/>
  <c r="K303" i="30"/>
  <c r="K302" i="30"/>
  <c r="K301" i="30"/>
  <c r="K300" i="30"/>
  <c r="K299" i="30"/>
  <c r="K298" i="30"/>
  <c r="K297" i="30"/>
  <c r="K296" i="30"/>
  <c r="K295" i="30"/>
  <c r="K294" i="30"/>
  <c r="K293" i="30"/>
  <c r="K292" i="30"/>
  <c r="K291" i="30"/>
  <c r="K290" i="30"/>
  <c r="K289" i="30"/>
  <c r="K288" i="30"/>
  <c r="K287" i="30"/>
  <c r="K286" i="30"/>
  <c r="K285" i="30"/>
  <c r="K284" i="30"/>
  <c r="K283" i="30"/>
  <c r="K282" i="30"/>
  <c r="K281" i="30"/>
  <c r="K280" i="30"/>
  <c r="K279" i="30"/>
  <c r="K278" i="30"/>
  <c r="K277" i="30"/>
  <c r="K276" i="30"/>
  <c r="K275" i="30"/>
  <c r="K274" i="30"/>
  <c r="K273" i="30"/>
  <c r="K272" i="30"/>
  <c r="K271" i="30"/>
  <c r="K270" i="30"/>
  <c r="K269" i="30"/>
  <c r="K268" i="30"/>
  <c r="K267" i="30"/>
  <c r="K266" i="30"/>
  <c r="K265" i="30"/>
  <c r="K264" i="30"/>
  <c r="K263" i="30"/>
  <c r="K262" i="30"/>
  <c r="K261" i="30"/>
  <c r="K260" i="30"/>
  <c r="K259" i="30"/>
  <c r="K258" i="30"/>
  <c r="K257" i="30"/>
  <c r="K256" i="30"/>
  <c r="K255" i="30"/>
  <c r="K254" i="30"/>
  <c r="K253" i="30"/>
  <c r="K252" i="30"/>
  <c r="K251" i="30"/>
  <c r="K250" i="30"/>
  <c r="K249" i="30"/>
  <c r="K248" i="30"/>
  <c r="K247" i="30"/>
  <c r="K246" i="30"/>
  <c r="K245" i="30"/>
  <c r="K244" i="30"/>
  <c r="K243" i="30"/>
  <c r="K242" i="30"/>
  <c r="K241" i="30"/>
  <c r="K240" i="30"/>
  <c r="K239" i="30"/>
  <c r="K238" i="30"/>
  <c r="K237" i="30"/>
  <c r="K236" i="30"/>
  <c r="K235" i="30"/>
  <c r="K234" i="30"/>
  <c r="K233" i="30"/>
  <c r="K232" i="30"/>
  <c r="K231" i="30"/>
  <c r="K230" i="30"/>
  <c r="K229" i="30"/>
  <c r="K228" i="30"/>
  <c r="K227" i="30"/>
  <c r="K226" i="30"/>
  <c r="K225" i="30"/>
  <c r="K224" i="30"/>
  <c r="K223" i="30"/>
  <c r="K222" i="30"/>
  <c r="K221" i="30"/>
  <c r="K220" i="30"/>
  <c r="K219" i="30"/>
  <c r="K218" i="30"/>
  <c r="K217" i="30"/>
  <c r="K216" i="30"/>
  <c r="K215" i="30"/>
  <c r="K214" i="30"/>
  <c r="K213" i="30"/>
  <c r="K212" i="30"/>
  <c r="K211" i="30"/>
  <c r="K210" i="30"/>
  <c r="K209" i="30"/>
  <c r="K208" i="30"/>
  <c r="K207" i="30"/>
  <c r="K206" i="30"/>
  <c r="K205" i="30"/>
  <c r="K204" i="30"/>
  <c r="K203" i="30"/>
  <c r="K202" i="30"/>
  <c r="K201" i="30"/>
  <c r="K200" i="30"/>
  <c r="K199" i="30"/>
  <c r="K198" i="30"/>
  <c r="K197" i="30"/>
  <c r="K196" i="30"/>
  <c r="K195" i="30"/>
  <c r="K194" i="30"/>
  <c r="K193" i="30"/>
  <c r="K192" i="30"/>
  <c r="K191" i="30"/>
  <c r="K190" i="30"/>
  <c r="K189" i="30"/>
  <c r="K188" i="30"/>
  <c r="K187" i="30"/>
  <c r="K186" i="30"/>
  <c r="K185" i="30"/>
  <c r="K184" i="30"/>
  <c r="K183" i="30"/>
  <c r="K182" i="30"/>
  <c r="K181" i="30"/>
  <c r="K180" i="30"/>
  <c r="K179" i="30"/>
  <c r="K178" i="30"/>
  <c r="K177" i="30"/>
  <c r="K176" i="30"/>
  <c r="K175" i="30"/>
  <c r="K174" i="30"/>
  <c r="K173" i="30"/>
  <c r="K172" i="30"/>
  <c r="K171" i="30"/>
  <c r="K170" i="30"/>
  <c r="K169" i="30"/>
  <c r="K168" i="30"/>
  <c r="K167" i="30"/>
  <c r="K166" i="30"/>
  <c r="K165" i="30"/>
  <c r="K164" i="30"/>
  <c r="K163" i="30"/>
  <c r="K162" i="30"/>
  <c r="K161" i="30"/>
  <c r="K160" i="30"/>
  <c r="K159" i="30"/>
  <c r="K158" i="30"/>
  <c r="K157" i="30"/>
  <c r="K156" i="30"/>
  <c r="K155" i="30"/>
  <c r="K154" i="30"/>
  <c r="K153" i="30"/>
  <c r="K152" i="30"/>
  <c r="K151" i="30"/>
  <c r="K150" i="30"/>
  <c r="K149" i="30"/>
  <c r="K148" i="30"/>
  <c r="K147" i="30"/>
  <c r="K146" i="30"/>
  <c r="K145" i="30"/>
  <c r="K144" i="30"/>
  <c r="K143" i="30"/>
  <c r="K142" i="30"/>
  <c r="K141" i="30"/>
  <c r="K140" i="30"/>
  <c r="K139" i="30"/>
  <c r="K138" i="30"/>
  <c r="K137" i="30"/>
  <c r="K136" i="30"/>
  <c r="K135" i="30"/>
  <c r="K134" i="30"/>
  <c r="K133" i="30"/>
  <c r="K132" i="30"/>
  <c r="K131" i="30"/>
  <c r="K130" i="30"/>
  <c r="K129" i="30"/>
  <c r="K128" i="30"/>
  <c r="K127" i="30"/>
  <c r="K126" i="30"/>
  <c r="K125" i="30"/>
  <c r="K124" i="30"/>
  <c r="K123" i="30"/>
  <c r="K122" i="30"/>
  <c r="K121" i="30"/>
  <c r="K120" i="30"/>
  <c r="K119" i="30"/>
  <c r="K118" i="30"/>
  <c r="K117" i="30"/>
  <c r="K116" i="30"/>
  <c r="K115" i="30"/>
  <c r="K114" i="30"/>
  <c r="K113" i="30"/>
  <c r="K112" i="30"/>
  <c r="K111" i="30"/>
  <c r="K110" i="30"/>
  <c r="K109" i="30"/>
  <c r="K108" i="30"/>
  <c r="K107" i="30"/>
  <c r="K106" i="30"/>
  <c r="K105" i="30"/>
  <c r="K104" i="30"/>
  <c r="K103" i="30"/>
  <c r="K102" i="30"/>
  <c r="K101" i="30"/>
  <c r="K100" i="30"/>
  <c r="K99" i="30"/>
  <c r="K98" i="30"/>
  <c r="K97" i="30"/>
  <c r="K96" i="30"/>
  <c r="K95" i="30"/>
  <c r="K94" i="30"/>
  <c r="K93" i="30"/>
  <c r="K92" i="30"/>
  <c r="K91" i="30"/>
  <c r="K90" i="30"/>
  <c r="K89" i="30"/>
  <c r="K88" i="30"/>
  <c r="K87" i="30"/>
  <c r="K86" i="30"/>
  <c r="K85" i="30"/>
  <c r="K84" i="30"/>
  <c r="K83" i="30"/>
  <c r="K82" i="30"/>
  <c r="K81" i="30"/>
  <c r="K80" i="30"/>
  <c r="K79" i="30"/>
  <c r="K78" i="30"/>
  <c r="K77" i="30"/>
  <c r="K76" i="30"/>
  <c r="K75" i="30"/>
  <c r="K74" i="30"/>
  <c r="K73" i="30"/>
  <c r="K72" i="30"/>
  <c r="K71" i="30"/>
  <c r="K70" i="30"/>
  <c r="K69" i="30"/>
  <c r="K68" i="30"/>
  <c r="K67" i="30"/>
  <c r="K66" i="30"/>
  <c r="K65" i="30"/>
  <c r="K64" i="30"/>
  <c r="K63" i="30"/>
  <c r="K62" i="30"/>
  <c r="K61" i="30"/>
  <c r="K60" i="30"/>
  <c r="K59" i="30"/>
  <c r="K58" i="30"/>
  <c r="K57" i="30"/>
  <c r="K56" i="30"/>
  <c r="K55" i="30"/>
  <c r="K54" i="30"/>
  <c r="K53" i="30"/>
  <c r="K52" i="30"/>
  <c r="K51" i="30"/>
  <c r="K50" i="30"/>
  <c r="K49" i="30"/>
  <c r="K48" i="30"/>
  <c r="K47" i="30"/>
  <c r="K46" i="30"/>
  <c r="K45" i="30"/>
  <c r="K44" i="30"/>
  <c r="K43" i="30"/>
  <c r="K42" i="30"/>
  <c r="K41" i="30"/>
  <c r="K40" i="30"/>
  <c r="K39" i="30"/>
  <c r="K38" i="30"/>
  <c r="K37" i="30"/>
  <c r="K36" i="30"/>
  <c r="K35" i="30"/>
  <c r="K34" i="30"/>
  <c r="K33" i="30"/>
  <c r="K32" i="30"/>
  <c r="K31" i="30"/>
  <c r="K30" i="30"/>
  <c r="K29" i="30"/>
  <c r="K28" i="30"/>
  <c r="K27" i="30"/>
  <c r="K26" i="30"/>
  <c r="K25" i="30"/>
  <c r="K24" i="30"/>
  <c r="K23" i="30"/>
  <c r="K22" i="30"/>
  <c r="K21" i="30"/>
  <c r="K20" i="30"/>
  <c r="K19" i="30"/>
  <c r="K18" i="30"/>
  <c r="K17" i="30"/>
  <c r="K16" i="30"/>
  <c r="K15" i="30"/>
  <c r="K14" i="30"/>
  <c r="K13" i="30"/>
  <c r="K12" i="30"/>
  <c r="K11" i="30"/>
  <c r="K10" i="30"/>
  <c r="K9" i="30"/>
  <c r="K8" i="30"/>
  <c r="K7" i="30"/>
  <c r="K6" i="30"/>
  <c r="K5" i="30"/>
  <c r="K4" i="30"/>
  <c r="N16" i="30" s="1"/>
  <c r="K3" i="30"/>
  <c r="K2" i="30"/>
  <c r="B36" i="14" l="1"/>
  <c r="M3" i="30"/>
  <c r="M4" i="30" s="1"/>
  <c r="M5" i="30" s="1"/>
  <c r="M6" i="30" s="1"/>
  <c r="M7" i="30" s="1"/>
  <c r="M8" i="30" s="1"/>
  <c r="M9" i="30" s="1"/>
  <c r="M10" i="30" s="1"/>
  <c r="M11" i="30" s="1"/>
  <c r="M12" i="30" s="1"/>
  <c r="M13" i="30" s="1"/>
  <c r="M14" i="30" s="1"/>
  <c r="M15" i="30" s="1"/>
  <c r="M16" i="30" s="1"/>
  <c r="M17" i="30" s="1"/>
  <c r="M18" i="30" s="1"/>
  <c r="M19" i="30" s="1"/>
  <c r="M20" i="30" s="1"/>
  <c r="M21" i="30" s="1"/>
  <c r="M22" i="30" s="1"/>
  <c r="M23" i="30" s="1"/>
  <c r="M24" i="30" s="1"/>
  <c r="M25" i="30" s="1"/>
  <c r="M26" i="30" s="1"/>
  <c r="M27" i="30" s="1"/>
  <c r="M28" i="30" s="1"/>
  <c r="M29" i="30" s="1"/>
  <c r="M30" i="30" s="1"/>
  <c r="M31" i="30" s="1"/>
  <c r="M32" i="30" s="1"/>
  <c r="M33" i="30" s="1"/>
  <c r="M34" i="30" s="1"/>
  <c r="M35" i="30" s="1"/>
  <c r="M36" i="30" s="1"/>
  <c r="M37" i="30" s="1"/>
  <c r="M38" i="30" s="1"/>
  <c r="M39" i="30" s="1"/>
  <c r="M40" i="30" s="1"/>
  <c r="M41" i="30" s="1"/>
  <c r="M42" i="30" s="1"/>
  <c r="M43" i="30" s="1"/>
  <c r="M44" i="30" s="1"/>
  <c r="M45" i="30" s="1"/>
  <c r="M46" i="30" s="1"/>
  <c r="M47" i="30" s="1"/>
  <c r="M48" i="30" s="1"/>
  <c r="M49" i="30" s="1"/>
  <c r="M50" i="30" s="1"/>
  <c r="M51" i="30" s="1"/>
  <c r="M52" i="30" s="1"/>
  <c r="M53" i="30" s="1"/>
  <c r="M54" i="30" s="1"/>
  <c r="M55" i="30" s="1"/>
  <c r="M56" i="30" s="1"/>
  <c r="M57" i="30" s="1"/>
  <c r="M58" i="30" s="1"/>
  <c r="M59" i="30" s="1"/>
  <c r="M60" i="30" s="1"/>
  <c r="M61" i="30" s="1"/>
  <c r="M62" i="30" s="1"/>
  <c r="M63" i="30" s="1"/>
  <c r="M64" i="30" s="1"/>
  <c r="M65" i="30" s="1"/>
  <c r="M66" i="30" s="1"/>
  <c r="M67" i="30" s="1"/>
  <c r="M68" i="30" s="1"/>
  <c r="M69" i="30" s="1"/>
  <c r="M70" i="30" s="1"/>
  <c r="M71" i="30" s="1"/>
  <c r="M72" i="30" s="1"/>
  <c r="M73" i="30" s="1"/>
  <c r="M74" i="30" s="1"/>
  <c r="M75" i="30" s="1"/>
  <c r="M76" i="30" s="1"/>
  <c r="M77" i="30" s="1"/>
  <c r="M78" i="30" s="1"/>
  <c r="M79" i="30" s="1"/>
  <c r="M80" i="30" s="1"/>
  <c r="M81" i="30" s="1"/>
  <c r="M82" i="30" s="1"/>
  <c r="M83" i="30" s="1"/>
  <c r="M84" i="30" s="1"/>
  <c r="M85" i="30" s="1"/>
  <c r="M86" i="30" s="1"/>
  <c r="M87" i="30" s="1"/>
  <c r="M88" i="30" s="1"/>
  <c r="M89" i="30" s="1"/>
  <c r="M90" i="30" s="1"/>
  <c r="M91" i="30" s="1"/>
  <c r="M92" i="30" s="1"/>
  <c r="M93" i="30" s="1"/>
  <c r="M94" i="30" s="1"/>
  <c r="M95" i="30" s="1"/>
  <c r="M96" i="30" s="1"/>
  <c r="M97" i="30" s="1"/>
  <c r="M98" i="30" s="1"/>
  <c r="M99" i="30" s="1"/>
  <c r="M100" i="30" s="1"/>
  <c r="M101" i="30" s="1"/>
  <c r="M102" i="30" s="1"/>
  <c r="M103" i="30" s="1"/>
  <c r="M104" i="30" s="1"/>
  <c r="M105" i="30" s="1"/>
  <c r="M106" i="30" s="1"/>
  <c r="M107" i="30" s="1"/>
  <c r="M108" i="30" s="1"/>
  <c r="M109" i="30" s="1"/>
  <c r="M110" i="30" s="1"/>
  <c r="M111" i="30" s="1"/>
  <c r="M112" i="30" s="1"/>
  <c r="M113" i="30" s="1"/>
  <c r="M114" i="30" s="1"/>
  <c r="M115" i="30" s="1"/>
  <c r="M116" i="30" s="1"/>
  <c r="M117" i="30" s="1"/>
  <c r="M118" i="30" s="1"/>
  <c r="M119" i="30" s="1"/>
  <c r="M120" i="30" s="1"/>
  <c r="M121" i="30" s="1"/>
  <c r="M122" i="30" s="1"/>
  <c r="M123" i="30" s="1"/>
  <c r="M124" i="30" s="1"/>
  <c r="M125" i="30" s="1"/>
  <c r="M126" i="30" s="1"/>
  <c r="M127" i="30" s="1"/>
  <c r="M128" i="30" s="1"/>
  <c r="M129" i="30" s="1"/>
  <c r="M130" i="30" s="1"/>
  <c r="M131" i="30" s="1"/>
  <c r="M132" i="30" s="1"/>
  <c r="M133" i="30" s="1"/>
  <c r="M134" i="30" s="1"/>
  <c r="M135" i="30" s="1"/>
  <c r="M136" i="30" s="1"/>
  <c r="M137" i="30" s="1"/>
  <c r="M138" i="30" s="1"/>
  <c r="M139" i="30" s="1"/>
  <c r="M140" i="30" s="1"/>
  <c r="M141" i="30" s="1"/>
  <c r="M142" i="30" s="1"/>
  <c r="M143" i="30" s="1"/>
  <c r="M144" i="30" s="1"/>
  <c r="M145" i="30" s="1"/>
  <c r="M146" i="30" s="1"/>
  <c r="M147" i="30" s="1"/>
  <c r="M148" i="30" s="1"/>
  <c r="M149" i="30" s="1"/>
  <c r="M150" i="30" s="1"/>
  <c r="M151" i="30" s="1"/>
  <c r="M152" i="30" s="1"/>
  <c r="M153" i="30" s="1"/>
  <c r="M154" i="30" s="1"/>
  <c r="M155" i="30" s="1"/>
  <c r="M156" i="30" s="1"/>
  <c r="M157" i="30" s="1"/>
  <c r="M158" i="30" s="1"/>
  <c r="M159" i="30" s="1"/>
  <c r="M160" i="30" s="1"/>
  <c r="M161" i="30" s="1"/>
  <c r="M162" i="30" s="1"/>
  <c r="M163" i="30" s="1"/>
  <c r="M164" i="30" s="1"/>
  <c r="M165" i="30" s="1"/>
  <c r="M166" i="30" s="1"/>
  <c r="M167" i="30" s="1"/>
  <c r="M168" i="30" s="1"/>
  <c r="M169" i="30" s="1"/>
  <c r="M170" i="30" s="1"/>
  <c r="M171" i="30" s="1"/>
  <c r="M172" i="30" s="1"/>
  <c r="M173" i="30" s="1"/>
  <c r="M174" i="30" s="1"/>
  <c r="M175" i="30" s="1"/>
  <c r="M176" i="30" s="1"/>
  <c r="M177" i="30" s="1"/>
  <c r="M178" i="30" s="1"/>
  <c r="M179" i="30" s="1"/>
  <c r="M180" i="30" s="1"/>
  <c r="M181" i="30" s="1"/>
  <c r="M182" i="30" s="1"/>
  <c r="M183" i="30" s="1"/>
  <c r="M184" i="30" s="1"/>
  <c r="M185" i="30" s="1"/>
  <c r="M186" i="30" s="1"/>
  <c r="M187" i="30" s="1"/>
  <c r="M188" i="30" s="1"/>
  <c r="M189" i="30" s="1"/>
  <c r="M190" i="30" s="1"/>
  <c r="M191" i="30" s="1"/>
  <c r="M192" i="30" s="1"/>
  <c r="M193" i="30" s="1"/>
  <c r="M194" i="30" s="1"/>
  <c r="M195" i="30" s="1"/>
  <c r="M196" i="30" s="1"/>
  <c r="M197" i="30" s="1"/>
  <c r="M198" i="30" s="1"/>
  <c r="M199" i="30" s="1"/>
  <c r="M200" i="30" s="1"/>
  <c r="M201" i="30" s="1"/>
  <c r="M202" i="30" s="1"/>
  <c r="M203" i="30" s="1"/>
  <c r="M204" i="30" s="1"/>
  <c r="M205" i="30" s="1"/>
  <c r="M206" i="30" s="1"/>
  <c r="M207" i="30" s="1"/>
  <c r="M208" i="30" s="1"/>
  <c r="M209" i="30" s="1"/>
  <c r="M210" i="30" s="1"/>
  <c r="M211" i="30" s="1"/>
  <c r="M212" i="30" s="1"/>
  <c r="M213" i="30" s="1"/>
  <c r="M214" i="30" s="1"/>
  <c r="M215" i="30" s="1"/>
  <c r="M216" i="30" s="1"/>
  <c r="M217" i="30" s="1"/>
  <c r="M218" i="30" s="1"/>
  <c r="M219" i="30" s="1"/>
  <c r="M220" i="30" s="1"/>
  <c r="M221" i="30" s="1"/>
  <c r="M222" i="30" s="1"/>
  <c r="M223" i="30" s="1"/>
  <c r="M224" i="30" s="1"/>
  <c r="M225" i="30" s="1"/>
  <c r="M226" i="30" s="1"/>
  <c r="M227" i="30" s="1"/>
  <c r="M228" i="30" s="1"/>
  <c r="M229" i="30" s="1"/>
  <c r="M230" i="30" s="1"/>
  <c r="M231" i="30" s="1"/>
  <c r="M232" i="30" s="1"/>
  <c r="M233" i="30" s="1"/>
  <c r="M234" i="30" s="1"/>
  <c r="M235" i="30" s="1"/>
  <c r="M236" i="30" s="1"/>
  <c r="M237" i="30" s="1"/>
  <c r="M238" i="30" s="1"/>
  <c r="M239" i="30" s="1"/>
  <c r="M240" i="30" s="1"/>
  <c r="M241" i="30" s="1"/>
  <c r="M242" i="30" s="1"/>
  <c r="M243" i="30" s="1"/>
  <c r="M244" i="30" s="1"/>
  <c r="M245" i="30" s="1"/>
  <c r="M246" i="30" s="1"/>
  <c r="M247" i="30" s="1"/>
  <c r="M248" i="30" s="1"/>
  <c r="M249" i="30" s="1"/>
  <c r="M250" i="30" s="1"/>
  <c r="M251" i="30" s="1"/>
  <c r="M252" i="30" s="1"/>
  <c r="M253" i="30" s="1"/>
  <c r="M254" i="30" s="1"/>
  <c r="M255" i="30" s="1"/>
  <c r="M256" i="30" s="1"/>
  <c r="M257" i="30" s="1"/>
  <c r="M258" i="30" s="1"/>
  <c r="M259" i="30" s="1"/>
  <c r="M260" i="30" s="1"/>
  <c r="M261" i="30" s="1"/>
  <c r="M262" i="30" s="1"/>
  <c r="M263" i="30" s="1"/>
  <c r="M264" i="30" s="1"/>
  <c r="M265" i="30" s="1"/>
  <c r="M266" i="30" s="1"/>
  <c r="M267" i="30" s="1"/>
  <c r="M268" i="30" s="1"/>
  <c r="M269" i="30" s="1"/>
  <c r="M270" i="30" s="1"/>
  <c r="M271" i="30" s="1"/>
  <c r="M272" i="30" s="1"/>
  <c r="M273" i="30" s="1"/>
  <c r="M274" i="30" s="1"/>
  <c r="M275" i="30" s="1"/>
  <c r="M276" i="30" s="1"/>
  <c r="M277" i="30" s="1"/>
  <c r="M278" i="30" s="1"/>
  <c r="M279" i="30" s="1"/>
  <c r="M280" i="30" s="1"/>
  <c r="M281" i="30" s="1"/>
  <c r="M282" i="30" s="1"/>
  <c r="M283" i="30" s="1"/>
  <c r="M284" i="30" s="1"/>
  <c r="M285" i="30" s="1"/>
  <c r="M286" i="30" s="1"/>
  <c r="M287" i="30" s="1"/>
  <c r="M288" i="30" s="1"/>
  <c r="M289" i="30" s="1"/>
  <c r="M290" i="30" s="1"/>
  <c r="M291" i="30" s="1"/>
  <c r="M292" i="30" s="1"/>
  <c r="M293" i="30" s="1"/>
  <c r="M294" i="30" s="1"/>
  <c r="M295" i="30" s="1"/>
  <c r="M296" i="30" s="1"/>
  <c r="M297" i="30" s="1"/>
  <c r="M298" i="30" s="1"/>
  <c r="M299" i="30" s="1"/>
  <c r="M300" i="30" s="1"/>
  <c r="M301" i="30" s="1"/>
  <c r="M302" i="30" s="1"/>
  <c r="M303" i="30" s="1"/>
  <c r="M304" i="30" s="1"/>
  <c r="M305" i="30" s="1"/>
  <c r="M306" i="30" s="1"/>
  <c r="M307" i="30" s="1"/>
  <c r="M308" i="30" s="1"/>
  <c r="M309" i="30" s="1"/>
  <c r="M310" i="30" s="1"/>
  <c r="M311" i="30" s="1"/>
  <c r="M312" i="30" s="1"/>
  <c r="M313" i="30" s="1"/>
  <c r="M314" i="30" s="1"/>
  <c r="M315" i="30" s="1"/>
  <c r="M316" i="30" s="1"/>
  <c r="M317" i="30" s="1"/>
  <c r="M318" i="30" s="1"/>
  <c r="M319" i="30" s="1"/>
  <c r="M320" i="30" s="1"/>
  <c r="M321" i="30" s="1"/>
  <c r="M322" i="30" s="1"/>
  <c r="M323" i="30" s="1"/>
  <c r="M324" i="30" s="1"/>
  <c r="M325" i="30" s="1"/>
  <c r="M326" i="30" s="1"/>
  <c r="M327" i="30" s="1"/>
  <c r="M328" i="30" s="1"/>
  <c r="M329" i="30" s="1"/>
  <c r="M330" i="30" s="1"/>
  <c r="M331" i="30" s="1"/>
  <c r="M332" i="30" s="1"/>
  <c r="M333" i="30" s="1"/>
  <c r="M334" i="30" s="1"/>
  <c r="M335" i="30" s="1"/>
  <c r="M336" i="30" s="1"/>
  <c r="M337" i="30" s="1"/>
  <c r="M338" i="30" s="1"/>
  <c r="K272" i="4" l="1"/>
  <c r="K280" i="4"/>
  <c r="K337" i="28" l="1"/>
  <c r="K336" i="28"/>
  <c r="K335" i="28"/>
  <c r="K334" i="28"/>
  <c r="K333" i="28"/>
  <c r="K332" i="28"/>
  <c r="K331" i="28"/>
  <c r="K330" i="28"/>
  <c r="K329" i="28"/>
  <c r="K328" i="28"/>
  <c r="K327" i="28"/>
  <c r="K326" i="28"/>
  <c r="K325" i="28"/>
  <c r="K324" i="28"/>
  <c r="K323" i="28"/>
  <c r="K322" i="28"/>
  <c r="K321" i="28"/>
  <c r="K320" i="28"/>
  <c r="K319" i="28"/>
  <c r="K318" i="28"/>
  <c r="K317" i="28"/>
  <c r="K316" i="28"/>
  <c r="K315" i="28"/>
  <c r="K314" i="28"/>
  <c r="K313" i="28"/>
  <c r="K312" i="28"/>
  <c r="K311" i="28"/>
  <c r="K310" i="28"/>
  <c r="K309" i="28"/>
  <c r="K308" i="28"/>
  <c r="K307" i="28"/>
  <c r="K306" i="28"/>
  <c r="K305" i="28"/>
  <c r="K304" i="28"/>
  <c r="K303" i="28"/>
  <c r="K302" i="28"/>
  <c r="K301" i="28"/>
  <c r="K300" i="28"/>
  <c r="K299" i="28"/>
  <c r="K298" i="28"/>
  <c r="K297" i="28"/>
  <c r="K296" i="28"/>
  <c r="K295" i="28"/>
  <c r="K294" i="28"/>
  <c r="K293" i="28"/>
  <c r="K292" i="28"/>
  <c r="K291" i="28"/>
  <c r="K290" i="28"/>
  <c r="K289" i="28"/>
  <c r="K288" i="28"/>
  <c r="K287" i="28"/>
  <c r="K286" i="28"/>
  <c r="K285" i="28"/>
  <c r="K284" i="28"/>
  <c r="K283" i="28"/>
  <c r="K282" i="28"/>
  <c r="K281" i="28"/>
  <c r="K280" i="28"/>
  <c r="K279" i="28"/>
  <c r="K278" i="28"/>
  <c r="K277" i="28"/>
  <c r="K276" i="28"/>
  <c r="K275" i="28"/>
  <c r="K274" i="28"/>
  <c r="K273" i="28"/>
  <c r="K272" i="28"/>
  <c r="K271" i="28"/>
  <c r="K270" i="28"/>
  <c r="K269" i="28"/>
  <c r="K268" i="28"/>
  <c r="K267" i="28"/>
  <c r="K266" i="28"/>
  <c r="K265" i="28"/>
  <c r="K264" i="28"/>
  <c r="K263" i="28"/>
  <c r="K262" i="28"/>
  <c r="K261" i="28"/>
  <c r="K260" i="28"/>
  <c r="K259" i="28"/>
  <c r="K258" i="28"/>
  <c r="K257" i="28"/>
  <c r="K256" i="28"/>
  <c r="K255" i="28"/>
  <c r="K254" i="28"/>
  <c r="K253" i="28"/>
  <c r="K252" i="28"/>
  <c r="K251" i="28"/>
  <c r="K250" i="28"/>
  <c r="K249" i="28"/>
  <c r="K248" i="28"/>
  <c r="K247" i="28"/>
  <c r="K246" i="28"/>
  <c r="K245" i="28"/>
  <c r="K244" i="28"/>
  <c r="K243" i="28"/>
  <c r="K242" i="28"/>
  <c r="K241" i="28"/>
  <c r="K240" i="28"/>
  <c r="K239" i="28"/>
  <c r="K238" i="28"/>
  <c r="K237" i="28"/>
  <c r="K236" i="28"/>
  <c r="K235" i="28"/>
  <c r="K234" i="28"/>
  <c r="K233" i="28"/>
  <c r="K232" i="28"/>
  <c r="K231" i="28"/>
  <c r="K230" i="28"/>
  <c r="K229" i="28"/>
  <c r="K228" i="28"/>
  <c r="K227" i="28"/>
  <c r="K226" i="28"/>
  <c r="K225" i="28"/>
  <c r="K224" i="28"/>
  <c r="K223" i="28"/>
  <c r="K222" i="28"/>
  <c r="K221" i="28"/>
  <c r="K220" i="28"/>
  <c r="K219" i="28"/>
  <c r="K218" i="28"/>
  <c r="K217" i="28"/>
  <c r="K216" i="28"/>
  <c r="K215" i="28"/>
  <c r="K214" i="28"/>
  <c r="K213" i="28"/>
  <c r="K212" i="28"/>
  <c r="K211" i="28"/>
  <c r="K210" i="28"/>
  <c r="K209" i="28"/>
  <c r="K208" i="28"/>
  <c r="K207" i="28"/>
  <c r="K206" i="28"/>
  <c r="K205" i="28"/>
  <c r="K204" i="28"/>
  <c r="K203" i="28"/>
  <c r="K202" i="28"/>
  <c r="K201" i="28"/>
  <c r="K200" i="28"/>
  <c r="K199" i="28"/>
  <c r="K198" i="28"/>
  <c r="K197" i="28"/>
  <c r="K196" i="28"/>
  <c r="K195" i="28"/>
  <c r="K194" i="28"/>
  <c r="K193" i="28"/>
  <c r="K192" i="28"/>
  <c r="K191" i="28"/>
  <c r="K190" i="28"/>
  <c r="K189" i="28"/>
  <c r="K188" i="28"/>
  <c r="K187" i="28"/>
  <c r="K186" i="28"/>
  <c r="K185" i="28"/>
  <c r="K184" i="28"/>
  <c r="K183" i="28"/>
  <c r="K182" i="28"/>
  <c r="K181" i="28"/>
  <c r="K180" i="28"/>
  <c r="K179" i="28"/>
  <c r="K178" i="28"/>
  <c r="K177" i="28"/>
  <c r="K176" i="28"/>
  <c r="K175" i="28"/>
  <c r="K174" i="28"/>
  <c r="K173" i="28"/>
  <c r="K172" i="28"/>
  <c r="K171" i="28"/>
  <c r="K170" i="28"/>
  <c r="K169" i="28"/>
  <c r="K168" i="28"/>
  <c r="K167" i="28"/>
  <c r="K166" i="28"/>
  <c r="K165" i="28"/>
  <c r="K164" i="28"/>
  <c r="K163" i="28"/>
  <c r="K162" i="28"/>
  <c r="K161" i="28"/>
  <c r="K160" i="28"/>
  <c r="K159" i="28"/>
  <c r="K158" i="28"/>
  <c r="K157" i="28"/>
  <c r="K156" i="28"/>
  <c r="K155" i="28"/>
  <c r="K154" i="28"/>
  <c r="K153" i="28"/>
  <c r="K152" i="28"/>
  <c r="K151" i="28"/>
  <c r="K150" i="28"/>
  <c r="K149" i="28"/>
  <c r="K148" i="28"/>
  <c r="K147" i="28"/>
  <c r="K146" i="28"/>
  <c r="K145" i="28"/>
  <c r="K144" i="28"/>
  <c r="K143" i="28"/>
  <c r="K142" i="28"/>
  <c r="K141" i="28"/>
  <c r="K140" i="28"/>
  <c r="K139" i="28"/>
  <c r="K138" i="28"/>
  <c r="K137" i="28"/>
  <c r="K136" i="28"/>
  <c r="K135" i="28"/>
  <c r="K134" i="28"/>
  <c r="K133" i="28"/>
  <c r="K132" i="28"/>
  <c r="K131" i="28"/>
  <c r="K130" i="28"/>
  <c r="K129" i="28"/>
  <c r="K128" i="28"/>
  <c r="K127" i="28"/>
  <c r="K126" i="28"/>
  <c r="K125" i="28"/>
  <c r="K124" i="28"/>
  <c r="K123" i="28"/>
  <c r="K122" i="28"/>
  <c r="K121" i="28"/>
  <c r="K120" i="28"/>
  <c r="K119" i="28"/>
  <c r="K118" i="28"/>
  <c r="K117" i="28"/>
  <c r="K116" i="28"/>
  <c r="K115" i="28"/>
  <c r="K114" i="28"/>
  <c r="K113" i="28"/>
  <c r="K112" i="28"/>
  <c r="K111" i="28"/>
  <c r="K110" i="28"/>
  <c r="K109" i="28"/>
  <c r="K108" i="28"/>
  <c r="K107" i="28"/>
  <c r="K106" i="28"/>
  <c r="K105" i="28"/>
  <c r="K104" i="28"/>
  <c r="K103" i="28"/>
  <c r="K102" i="28"/>
  <c r="K101" i="28"/>
  <c r="K100" i="28"/>
  <c r="K99" i="28"/>
  <c r="K98" i="28"/>
  <c r="K97" i="28"/>
  <c r="K96" i="28"/>
  <c r="K95" i="28"/>
  <c r="K94" i="28"/>
  <c r="K93" i="28"/>
  <c r="K92" i="28"/>
  <c r="K91" i="28"/>
  <c r="K90" i="28"/>
  <c r="K89" i="28"/>
  <c r="K88" i="28"/>
  <c r="K87" i="28"/>
  <c r="K86" i="28"/>
  <c r="K85" i="28"/>
  <c r="K84" i="28"/>
  <c r="K83" i="28"/>
  <c r="K82" i="28"/>
  <c r="K81" i="28"/>
  <c r="K80" i="28"/>
  <c r="K79" i="28"/>
  <c r="K78" i="28"/>
  <c r="K77" i="28"/>
  <c r="K76" i="28"/>
  <c r="K75" i="28"/>
  <c r="K74" i="28"/>
  <c r="K73" i="28"/>
  <c r="K72" i="28"/>
  <c r="K71" i="28"/>
  <c r="K70" i="28"/>
  <c r="K69" i="28"/>
  <c r="K68" i="28"/>
  <c r="K67" i="28"/>
  <c r="K66" i="28"/>
  <c r="K65" i="28"/>
  <c r="K64" i="28"/>
  <c r="K63" i="28"/>
  <c r="K62" i="28"/>
  <c r="K61" i="28"/>
  <c r="K60" i="28"/>
  <c r="K59" i="28"/>
  <c r="K58" i="28"/>
  <c r="K57" i="28"/>
  <c r="K56" i="28"/>
  <c r="K55" i="28"/>
  <c r="K54" i="28"/>
  <c r="K53" i="28"/>
  <c r="K52" i="28"/>
  <c r="K51" i="28"/>
  <c r="K50" i="28"/>
  <c r="K49" i="28"/>
  <c r="K48" i="28"/>
  <c r="K47" i="28"/>
  <c r="K46" i="28"/>
  <c r="K45" i="28"/>
  <c r="K43" i="28"/>
  <c r="K42" i="28"/>
  <c r="K41" i="28"/>
  <c r="K40" i="28"/>
  <c r="K39" i="28"/>
  <c r="K38" i="28"/>
  <c r="K37" i="28"/>
  <c r="K36" i="28"/>
  <c r="K35" i="28"/>
  <c r="K34" i="28"/>
  <c r="K33" i="28"/>
  <c r="K32" i="28"/>
  <c r="K31" i="28"/>
  <c r="K30" i="28"/>
  <c r="K29" i="28"/>
  <c r="K28" i="28"/>
  <c r="K27" i="28"/>
  <c r="K26" i="28"/>
  <c r="K25" i="28"/>
  <c r="K24" i="28"/>
  <c r="K23" i="28"/>
  <c r="K22" i="28"/>
  <c r="K21" i="28"/>
  <c r="K20" i="28"/>
  <c r="K19" i="28"/>
  <c r="K18" i="28"/>
  <c r="K17" i="28"/>
  <c r="K16" i="28"/>
  <c r="K15" i="28"/>
  <c r="K14" i="28"/>
  <c r="K13" i="28"/>
  <c r="K12" i="28"/>
  <c r="K11" i="28"/>
  <c r="K10" i="28"/>
  <c r="K9" i="28"/>
  <c r="K8" i="28"/>
  <c r="K7" i="28"/>
  <c r="K6" i="28"/>
  <c r="K5" i="28"/>
  <c r="K4" i="28"/>
  <c r="K3" i="28"/>
  <c r="K2" i="28"/>
  <c r="N15" i="28" l="1"/>
  <c r="B23" i="14" s="1"/>
  <c r="M3" i="28"/>
  <c r="M4" i="28" s="1"/>
  <c r="M5" i="28" s="1"/>
  <c r="M6" i="28" s="1"/>
  <c r="M7" i="28" s="1"/>
  <c r="M8" i="28" s="1"/>
  <c r="M9" i="28" s="1"/>
  <c r="M10" i="28" s="1"/>
  <c r="M11" i="28" s="1"/>
  <c r="M12" i="28" s="1"/>
  <c r="M13" i="28" l="1"/>
  <c r="M14" i="28" s="1"/>
  <c r="M15" i="28" s="1"/>
  <c r="M16" i="28" s="1"/>
  <c r="M17" i="28" s="1"/>
  <c r="M18" i="28" s="1"/>
  <c r="M19" i="28" s="1"/>
  <c r="M20" i="28" s="1"/>
  <c r="M21" i="28" s="1"/>
  <c r="M22" i="28" s="1"/>
  <c r="M23" i="28" s="1"/>
  <c r="M24" i="28" s="1"/>
  <c r="M25" i="28" s="1"/>
  <c r="M26" i="28" s="1"/>
  <c r="M27" i="28" s="1"/>
  <c r="M28" i="28" s="1"/>
  <c r="M29" i="28" s="1"/>
  <c r="M30" i="28" s="1"/>
  <c r="M31" i="28" s="1"/>
  <c r="M32" i="28" s="1"/>
  <c r="M33" i="28" s="1"/>
  <c r="M34" i="28" s="1"/>
  <c r="M35" i="28" s="1"/>
  <c r="M36" i="28" s="1"/>
  <c r="M37" i="28" s="1"/>
  <c r="M38" i="28" s="1"/>
  <c r="M39" i="28" s="1"/>
  <c r="M40" i="28" s="1"/>
  <c r="M41" i="28" s="1"/>
  <c r="M42" i="28" s="1"/>
  <c r="M43" i="28" l="1"/>
  <c r="M48" i="28" s="1"/>
  <c r="M49" i="28" s="1"/>
  <c r="M50" i="28" s="1"/>
  <c r="M51" i="28" s="1"/>
  <c r="M52" i="28" s="1"/>
  <c r="M53" i="28" s="1"/>
  <c r="M54" i="28" s="1"/>
  <c r="M55" i="28" s="1"/>
  <c r="M56" i="28" s="1"/>
  <c r="M57" i="28" s="1"/>
  <c r="M58" i="28" s="1"/>
  <c r="M59" i="28" s="1"/>
  <c r="M60" i="28" s="1"/>
  <c r="M61" i="28" s="1"/>
  <c r="M62" i="28" s="1"/>
  <c r="M63" i="28" s="1"/>
  <c r="M64" i="28" s="1"/>
  <c r="M65" i="28" s="1"/>
  <c r="M66" i="28" s="1"/>
  <c r="M67" i="28" s="1"/>
  <c r="M68" i="28" s="1"/>
  <c r="M69" i="28" s="1"/>
  <c r="M70" i="28" s="1"/>
  <c r="M71" i="28" s="1"/>
  <c r="M72" i="28" s="1"/>
  <c r="M73" i="28" s="1"/>
  <c r="M74" i="28" s="1"/>
  <c r="M75" i="28" s="1"/>
  <c r="M76" i="28" s="1"/>
  <c r="M77" i="28" s="1"/>
  <c r="M78" i="28" s="1"/>
  <c r="M79" i="28" s="1"/>
  <c r="M80" i="28" s="1"/>
  <c r="M81" i="28" s="1"/>
  <c r="M82" i="28" s="1"/>
  <c r="M83" i="28" s="1"/>
  <c r="M84" i="28" s="1"/>
  <c r="M85" i="28" s="1"/>
  <c r="M86" i="28" s="1"/>
  <c r="M87" i="28" s="1"/>
  <c r="M88" i="28" s="1"/>
  <c r="M89" i="28" s="1"/>
  <c r="M90" i="28" s="1"/>
  <c r="M91" i="28" s="1"/>
  <c r="M92" i="28" s="1"/>
  <c r="M93" i="28" s="1"/>
  <c r="M94" i="28" s="1"/>
  <c r="M95" i="28" s="1"/>
  <c r="M96" i="28" s="1"/>
  <c r="M97" i="28" s="1"/>
  <c r="M98" i="28" s="1"/>
  <c r="M99" i="28" s="1"/>
  <c r="M100" i="28" s="1"/>
  <c r="M101" i="28" s="1"/>
  <c r="M102" i="28" s="1"/>
  <c r="M103" i="28" s="1"/>
  <c r="M104" i="28" s="1"/>
  <c r="M105" i="28" s="1"/>
  <c r="M106" i="28" s="1"/>
  <c r="M107" i="28" s="1"/>
  <c r="M108" i="28" s="1"/>
  <c r="M109" i="28" s="1"/>
  <c r="M110" i="28" s="1"/>
  <c r="M111" i="28" s="1"/>
  <c r="M112" i="28" s="1"/>
  <c r="M113" i="28" s="1"/>
  <c r="M114" i="28" s="1"/>
  <c r="M115" i="28" s="1"/>
  <c r="M116" i="28" s="1"/>
  <c r="M117" i="28" s="1"/>
  <c r="M118" i="28" s="1"/>
  <c r="M119" i="28" s="1"/>
  <c r="M120" i="28" s="1"/>
  <c r="M121" i="28" s="1"/>
  <c r="M122" i="28" s="1"/>
  <c r="M123" i="28" s="1"/>
  <c r="M124" i="28" s="1"/>
  <c r="M125" i="28" s="1"/>
  <c r="M126" i="28" s="1"/>
  <c r="M127" i="28" s="1"/>
  <c r="M128" i="28" s="1"/>
  <c r="M129" i="28" s="1"/>
  <c r="M130" i="28" s="1"/>
  <c r="M131" i="28" s="1"/>
  <c r="M132" i="28" s="1"/>
  <c r="M133" i="28" s="1"/>
  <c r="M134" i="28" s="1"/>
  <c r="M135" i="28" s="1"/>
  <c r="M136" i="28" s="1"/>
  <c r="M137" i="28" s="1"/>
  <c r="M138" i="28" s="1"/>
  <c r="M139" i="28" s="1"/>
  <c r="M140" i="28" s="1"/>
  <c r="M141" i="28" s="1"/>
  <c r="M142" i="28" s="1"/>
  <c r="M143" i="28" s="1"/>
  <c r="M144" i="28" s="1"/>
  <c r="M145" i="28" s="1"/>
  <c r="M146" i="28" s="1"/>
  <c r="M147" i="28" s="1"/>
  <c r="M148" i="28" s="1"/>
  <c r="M149" i="28" s="1"/>
  <c r="M150" i="28" s="1"/>
  <c r="M151" i="28" s="1"/>
  <c r="M152" i="28" s="1"/>
  <c r="M153" i="28" s="1"/>
  <c r="M154" i="28" s="1"/>
  <c r="M155" i="28" s="1"/>
  <c r="M156" i="28" s="1"/>
  <c r="M157" i="28" s="1"/>
  <c r="M158" i="28" s="1"/>
  <c r="M159" i="28" s="1"/>
  <c r="M160" i="28" s="1"/>
  <c r="M161" i="28" s="1"/>
  <c r="M162" i="28" s="1"/>
  <c r="M163" i="28" s="1"/>
  <c r="M164" i="28" s="1"/>
  <c r="M165" i="28" s="1"/>
  <c r="M166" i="28" s="1"/>
  <c r="M167" i="28" s="1"/>
  <c r="M168" i="28" s="1"/>
  <c r="M169" i="28" s="1"/>
  <c r="M170" i="28" s="1"/>
  <c r="M171" i="28" s="1"/>
  <c r="M172" i="28" s="1"/>
  <c r="M173" i="28" s="1"/>
  <c r="M174" i="28" s="1"/>
  <c r="M175" i="28" s="1"/>
  <c r="M176" i="28" s="1"/>
  <c r="M177" i="28" s="1"/>
  <c r="M178" i="28" s="1"/>
  <c r="M179" i="28" s="1"/>
  <c r="M180" i="28" s="1"/>
  <c r="M181" i="28" s="1"/>
  <c r="M182" i="28" s="1"/>
  <c r="M183" i="28" s="1"/>
  <c r="M184" i="28" s="1"/>
  <c r="M185" i="28" s="1"/>
  <c r="M186" i="28" s="1"/>
  <c r="M187" i="28" s="1"/>
  <c r="M188" i="28" s="1"/>
  <c r="M189" i="28" s="1"/>
  <c r="M190" i="28" s="1"/>
  <c r="M191" i="28" s="1"/>
  <c r="M192" i="28" s="1"/>
  <c r="M193" i="28" s="1"/>
  <c r="M194" i="28" s="1"/>
  <c r="M195" i="28" s="1"/>
  <c r="M196" i="28" s="1"/>
  <c r="M197" i="28" s="1"/>
  <c r="M198" i="28" s="1"/>
  <c r="M199" i="28" s="1"/>
  <c r="M200" i="28" s="1"/>
  <c r="M201" i="28" s="1"/>
  <c r="M202" i="28" s="1"/>
  <c r="M203" i="28" s="1"/>
  <c r="M204" i="28" s="1"/>
  <c r="M205" i="28" s="1"/>
  <c r="M206" i="28" s="1"/>
  <c r="M207" i="28" s="1"/>
  <c r="M208" i="28" s="1"/>
  <c r="M209" i="28" s="1"/>
  <c r="M210" i="28" s="1"/>
  <c r="M211" i="28" s="1"/>
  <c r="M212" i="28" s="1"/>
  <c r="M213" i="28" s="1"/>
  <c r="M214" i="28" s="1"/>
  <c r="M215" i="28" s="1"/>
  <c r="M216" i="28" s="1"/>
  <c r="M217" i="28" s="1"/>
  <c r="M218" i="28" s="1"/>
  <c r="M219" i="28" s="1"/>
  <c r="M220" i="28" s="1"/>
  <c r="M221" i="28" s="1"/>
  <c r="M222" i="28" s="1"/>
  <c r="M223" i="28" s="1"/>
  <c r="M224" i="28" s="1"/>
  <c r="M225" i="28" s="1"/>
  <c r="M226" i="28" s="1"/>
  <c r="M227" i="28" s="1"/>
  <c r="M228" i="28" s="1"/>
  <c r="M229" i="28" s="1"/>
  <c r="M230" i="28" s="1"/>
  <c r="M231" i="28" s="1"/>
  <c r="M232" i="28" s="1"/>
  <c r="M233" i="28" s="1"/>
  <c r="M234" i="28" s="1"/>
  <c r="M235" i="28" s="1"/>
  <c r="M236" i="28" s="1"/>
  <c r="M237" i="28" s="1"/>
  <c r="M238" i="28" s="1"/>
  <c r="M239" i="28" s="1"/>
  <c r="M240" i="28" s="1"/>
  <c r="M241" i="28" s="1"/>
  <c r="M242" i="28" s="1"/>
  <c r="M243" i="28" s="1"/>
  <c r="M244" i="28" s="1"/>
  <c r="M245" i="28" s="1"/>
  <c r="M246" i="28" s="1"/>
  <c r="M247" i="28" s="1"/>
  <c r="M248" i="28" s="1"/>
  <c r="M249" i="28" s="1"/>
  <c r="M250" i="28" s="1"/>
  <c r="M251" i="28" s="1"/>
  <c r="M252" i="28" s="1"/>
  <c r="M253" i="28" s="1"/>
  <c r="M254" i="28" s="1"/>
  <c r="M255" i="28" s="1"/>
  <c r="M256" i="28" s="1"/>
  <c r="M257" i="28" s="1"/>
  <c r="M258" i="28" s="1"/>
  <c r="M259" i="28" s="1"/>
  <c r="M260" i="28" s="1"/>
  <c r="M261" i="28" s="1"/>
  <c r="M262" i="28" s="1"/>
  <c r="M263" i="28" s="1"/>
  <c r="M264" i="28" s="1"/>
  <c r="M265" i="28" s="1"/>
  <c r="M266" i="28" s="1"/>
  <c r="M267" i="28" s="1"/>
  <c r="M268" i="28" s="1"/>
  <c r="M269" i="28" s="1"/>
  <c r="M270" i="28" s="1"/>
  <c r="M271" i="28" s="1"/>
  <c r="M272" i="28" s="1"/>
  <c r="M273" i="28" s="1"/>
  <c r="M274" i="28" s="1"/>
  <c r="M275" i="28" s="1"/>
  <c r="M276" i="28" s="1"/>
  <c r="M277" i="28" s="1"/>
  <c r="M278" i="28" s="1"/>
  <c r="M279" i="28" s="1"/>
  <c r="M280" i="28" s="1"/>
  <c r="M281" i="28" s="1"/>
  <c r="M282" i="28" s="1"/>
  <c r="M283" i="28" s="1"/>
  <c r="M284" i="28" s="1"/>
  <c r="M285" i="28" s="1"/>
  <c r="M286" i="28" s="1"/>
  <c r="M287" i="28" s="1"/>
  <c r="M288" i="28" s="1"/>
  <c r="M289" i="28" s="1"/>
  <c r="M290" i="28" s="1"/>
  <c r="M291" i="28" s="1"/>
  <c r="M292" i="28" s="1"/>
  <c r="M293" i="28" s="1"/>
  <c r="M294" i="28" s="1"/>
  <c r="M295" i="28" s="1"/>
  <c r="M296" i="28" s="1"/>
  <c r="M297" i="28" s="1"/>
  <c r="M298" i="28" s="1"/>
  <c r="M299" i="28" s="1"/>
  <c r="M300" i="28" s="1"/>
  <c r="M301" i="28" s="1"/>
  <c r="M302" i="28" s="1"/>
  <c r="M303" i="28" s="1"/>
  <c r="M304" i="28" s="1"/>
  <c r="M305" i="28" s="1"/>
  <c r="M306" i="28" s="1"/>
  <c r="M307" i="28" s="1"/>
  <c r="M308" i="28" s="1"/>
  <c r="M309" i="28" s="1"/>
  <c r="M310" i="28" s="1"/>
  <c r="M311" i="28" s="1"/>
  <c r="M312" i="28" s="1"/>
  <c r="M313" i="28" s="1"/>
  <c r="M314" i="28" s="1"/>
  <c r="M315" i="28" s="1"/>
  <c r="M316" i="28" s="1"/>
  <c r="M317" i="28" s="1"/>
  <c r="M318" i="28" s="1"/>
  <c r="M319" i="28" s="1"/>
  <c r="M320" i="28" s="1"/>
  <c r="M321" i="28" s="1"/>
  <c r="M322" i="28" s="1"/>
  <c r="M323" i="28" s="1"/>
  <c r="M324" i="28" s="1"/>
  <c r="M325" i="28" s="1"/>
  <c r="M326" i="28" s="1"/>
  <c r="M327" i="28" s="1"/>
  <c r="M328" i="28" s="1"/>
  <c r="M329" i="28" s="1"/>
  <c r="M330" i="28" s="1"/>
  <c r="M331" i="28" s="1"/>
  <c r="M332" i="28" s="1"/>
  <c r="M333" i="28" s="1"/>
  <c r="M334" i="28" s="1"/>
  <c r="M335" i="28" s="1"/>
  <c r="M336" i="28" s="1"/>
  <c r="M337" i="28" s="1"/>
  <c r="K26" i="5"/>
  <c r="K244" i="4" l="1"/>
  <c r="K228" i="4" l="1"/>
  <c r="K227" i="4"/>
  <c r="K229" i="4" l="1"/>
  <c r="K337" i="24" l="1"/>
  <c r="K338" i="24"/>
  <c r="K336" i="24"/>
  <c r="K335" i="24"/>
  <c r="K334" i="24"/>
  <c r="K333" i="24"/>
  <c r="K332" i="24"/>
  <c r="K331" i="24"/>
  <c r="K330" i="24"/>
  <c r="K329" i="24"/>
  <c r="K328" i="24"/>
  <c r="K327" i="24"/>
  <c r="K326" i="24"/>
  <c r="K325" i="24"/>
  <c r="K324" i="24"/>
  <c r="K323" i="24"/>
  <c r="K322" i="24"/>
  <c r="K321" i="24"/>
  <c r="K320" i="24"/>
  <c r="K319" i="24"/>
  <c r="K318" i="24"/>
  <c r="K317" i="24"/>
  <c r="K316" i="24"/>
  <c r="K315" i="24"/>
  <c r="K314" i="24"/>
  <c r="K313" i="24"/>
  <c r="K312" i="24"/>
  <c r="K311" i="24"/>
  <c r="K310" i="24"/>
  <c r="K309" i="24"/>
  <c r="K308" i="24"/>
  <c r="K307" i="24"/>
  <c r="K306" i="24"/>
  <c r="K305" i="24"/>
  <c r="K304" i="24"/>
  <c r="K303" i="24"/>
  <c r="K302" i="24"/>
  <c r="K301" i="24"/>
  <c r="K300" i="24"/>
  <c r="K299" i="24"/>
  <c r="K298" i="24"/>
  <c r="K297" i="24"/>
  <c r="K296" i="24"/>
  <c r="K295" i="24"/>
  <c r="K294" i="24"/>
  <c r="K293" i="24"/>
  <c r="K292" i="24"/>
  <c r="K291" i="24"/>
  <c r="K290" i="24"/>
  <c r="K289" i="24"/>
  <c r="K288" i="24"/>
  <c r="K287" i="24"/>
  <c r="K286" i="24"/>
  <c r="K285" i="24"/>
  <c r="K284" i="24"/>
  <c r="K283" i="24"/>
  <c r="K282" i="24"/>
  <c r="K281" i="24"/>
  <c r="K280" i="24"/>
  <c r="K279" i="24"/>
  <c r="K278" i="24"/>
  <c r="K277" i="24"/>
  <c r="K276" i="24"/>
  <c r="K275" i="24"/>
  <c r="K274" i="24"/>
  <c r="K273" i="24"/>
  <c r="K272" i="24"/>
  <c r="K271" i="24"/>
  <c r="K270" i="24"/>
  <c r="K269" i="24"/>
  <c r="K268" i="24"/>
  <c r="K267" i="24"/>
  <c r="K266" i="24"/>
  <c r="K265" i="24"/>
  <c r="K264" i="24"/>
  <c r="K263" i="24"/>
  <c r="K262" i="24"/>
  <c r="K261" i="24"/>
  <c r="K260" i="24"/>
  <c r="K259" i="24"/>
  <c r="K258" i="24"/>
  <c r="K257" i="24"/>
  <c r="K256" i="24"/>
  <c r="K255" i="24"/>
  <c r="K254" i="24"/>
  <c r="K253" i="24"/>
  <c r="K252" i="24"/>
  <c r="K251" i="24"/>
  <c r="K250" i="24"/>
  <c r="K249" i="24"/>
  <c r="K248" i="24"/>
  <c r="K247" i="24"/>
  <c r="K246" i="24"/>
  <c r="K245" i="24"/>
  <c r="K244" i="24"/>
  <c r="K243" i="24"/>
  <c r="K242" i="24"/>
  <c r="K241" i="24"/>
  <c r="K240" i="24"/>
  <c r="K239" i="24"/>
  <c r="K238" i="24"/>
  <c r="K237" i="24"/>
  <c r="K236" i="24"/>
  <c r="K235" i="24"/>
  <c r="K234" i="24"/>
  <c r="K233" i="24"/>
  <c r="K232" i="24"/>
  <c r="K231" i="24"/>
  <c r="K230" i="24"/>
  <c r="K229" i="24"/>
  <c r="K228" i="24"/>
  <c r="K227" i="24"/>
  <c r="K226" i="24"/>
  <c r="K225" i="24"/>
  <c r="K224" i="24"/>
  <c r="K223" i="24"/>
  <c r="K222" i="24"/>
  <c r="K221" i="24"/>
  <c r="K220" i="24"/>
  <c r="K219" i="24"/>
  <c r="K218" i="24"/>
  <c r="K217" i="24"/>
  <c r="K216" i="24"/>
  <c r="K215" i="24"/>
  <c r="K214" i="24"/>
  <c r="K213" i="24"/>
  <c r="K212" i="24"/>
  <c r="K211" i="24"/>
  <c r="K210" i="24"/>
  <c r="K209" i="24"/>
  <c r="K208" i="24"/>
  <c r="K207" i="24"/>
  <c r="K206" i="24"/>
  <c r="K205" i="24"/>
  <c r="K204" i="24"/>
  <c r="K203" i="24"/>
  <c r="K202" i="24"/>
  <c r="K201" i="24"/>
  <c r="K200" i="24"/>
  <c r="K199" i="24"/>
  <c r="K198" i="24"/>
  <c r="K197" i="24"/>
  <c r="K196" i="24"/>
  <c r="K195" i="24"/>
  <c r="K194" i="24"/>
  <c r="K193" i="24"/>
  <c r="K192" i="24"/>
  <c r="K191" i="24"/>
  <c r="K190" i="24"/>
  <c r="K189" i="24"/>
  <c r="K188" i="24"/>
  <c r="K187" i="24"/>
  <c r="K186" i="24"/>
  <c r="K185" i="24"/>
  <c r="K184" i="24"/>
  <c r="K183" i="24"/>
  <c r="K182" i="24"/>
  <c r="K181" i="24"/>
  <c r="K180" i="24"/>
  <c r="K179" i="24"/>
  <c r="K178" i="24"/>
  <c r="K177" i="24"/>
  <c r="K176" i="24"/>
  <c r="K175" i="24"/>
  <c r="K174" i="24"/>
  <c r="K173" i="24"/>
  <c r="K172" i="24"/>
  <c r="K171" i="24"/>
  <c r="K170" i="24"/>
  <c r="K169" i="24"/>
  <c r="K168" i="24"/>
  <c r="K167" i="24"/>
  <c r="K166" i="24"/>
  <c r="K165" i="24"/>
  <c r="K164" i="24"/>
  <c r="K163" i="24"/>
  <c r="K162" i="24"/>
  <c r="K161" i="24"/>
  <c r="K160" i="24"/>
  <c r="K159" i="24"/>
  <c r="K158" i="24"/>
  <c r="K157" i="24"/>
  <c r="K156" i="24"/>
  <c r="K155" i="24"/>
  <c r="K154" i="24"/>
  <c r="K153" i="24"/>
  <c r="K152" i="24"/>
  <c r="K151" i="24"/>
  <c r="K150" i="24"/>
  <c r="K149" i="24"/>
  <c r="K148" i="24"/>
  <c r="K147" i="24"/>
  <c r="K146" i="24"/>
  <c r="K145" i="24"/>
  <c r="K144" i="24"/>
  <c r="K143" i="24"/>
  <c r="K142" i="24"/>
  <c r="K141" i="24"/>
  <c r="K140" i="24"/>
  <c r="K139" i="24"/>
  <c r="K138" i="24"/>
  <c r="K137" i="24"/>
  <c r="K136" i="24"/>
  <c r="K135" i="24"/>
  <c r="K134" i="24"/>
  <c r="K133" i="24"/>
  <c r="K132" i="24"/>
  <c r="K131" i="24"/>
  <c r="K130" i="24"/>
  <c r="K129" i="24"/>
  <c r="K128" i="24"/>
  <c r="K127" i="24"/>
  <c r="K126" i="24"/>
  <c r="K125" i="24"/>
  <c r="K124" i="24"/>
  <c r="K123" i="24"/>
  <c r="K122" i="24"/>
  <c r="K121" i="24"/>
  <c r="K120" i="24"/>
  <c r="K119" i="24"/>
  <c r="K118" i="24"/>
  <c r="K117" i="24"/>
  <c r="K116" i="24"/>
  <c r="K115" i="24"/>
  <c r="K114" i="24"/>
  <c r="K113" i="24"/>
  <c r="K112" i="24"/>
  <c r="K111" i="24"/>
  <c r="K110" i="24"/>
  <c r="K109" i="24"/>
  <c r="K108" i="24"/>
  <c r="K107" i="24"/>
  <c r="K106" i="24"/>
  <c r="K105" i="24"/>
  <c r="K104" i="24"/>
  <c r="K103" i="24"/>
  <c r="K102" i="24"/>
  <c r="K101" i="24"/>
  <c r="K100" i="24"/>
  <c r="K99" i="24"/>
  <c r="K98" i="24"/>
  <c r="K97" i="24"/>
  <c r="K96" i="24"/>
  <c r="K95" i="24"/>
  <c r="K94" i="24"/>
  <c r="K93" i="24"/>
  <c r="K92" i="24"/>
  <c r="K91" i="24"/>
  <c r="K90" i="24"/>
  <c r="K89" i="24"/>
  <c r="K88" i="24"/>
  <c r="K87" i="24"/>
  <c r="K86" i="24"/>
  <c r="K85" i="24"/>
  <c r="K84" i="24"/>
  <c r="K83" i="24"/>
  <c r="K82" i="24"/>
  <c r="K81" i="24"/>
  <c r="K80" i="24"/>
  <c r="K79" i="24"/>
  <c r="K78" i="24"/>
  <c r="K77" i="24"/>
  <c r="K76" i="24"/>
  <c r="K75" i="24"/>
  <c r="K74" i="24"/>
  <c r="K73" i="24"/>
  <c r="K72" i="24"/>
  <c r="K71" i="24"/>
  <c r="K70" i="24"/>
  <c r="K69" i="24"/>
  <c r="K68" i="24"/>
  <c r="K67" i="24"/>
  <c r="K66" i="24"/>
  <c r="K65" i="24"/>
  <c r="K64" i="24"/>
  <c r="K63" i="24"/>
  <c r="K62" i="24"/>
  <c r="K61" i="24"/>
  <c r="K60" i="24"/>
  <c r="K59" i="24"/>
  <c r="K58" i="24"/>
  <c r="K57" i="24"/>
  <c r="K56" i="24"/>
  <c r="K55" i="24"/>
  <c r="K54" i="24"/>
  <c r="K53" i="24"/>
  <c r="K52" i="24"/>
  <c r="K51" i="24"/>
  <c r="K50" i="24"/>
  <c r="K49" i="24"/>
  <c r="K48" i="24"/>
  <c r="K47" i="24"/>
  <c r="K46" i="24"/>
  <c r="K45" i="24"/>
  <c r="K44" i="24"/>
  <c r="K43" i="24"/>
  <c r="K42" i="24"/>
  <c r="K41" i="24"/>
  <c r="K40" i="24"/>
  <c r="K39" i="24"/>
  <c r="K38" i="24"/>
  <c r="K37" i="24"/>
  <c r="K36" i="24"/>
  <c r="K35" i="24"/>
  <c r="K34" i="24"/>
  <c r="K33" i="24"/>
  <c r="K32" i="24"/>
  <c r="K31" i="24"/>
  <c r="K30" i="24"/>
  <c r="K29" i="24"/>
  <c r="K28" i="24"/>
  <c r="K27" i="24"/>
  <c r="K26" i="24"/>
  <c r="K25" i="24"/>
  <c r="K24" i="24"/>
  <c r="K23" i="24"/>
  <c r="K22" i="24"/>
  <c r="K21" i="24"/>
  <c r="K20" i="24"/>
  <c r="K19" i="24"/>
  <c r="K18" i="24"/>
  <c r="K17" i="24"/>
  <c r="K16" i="24"/>
  <c r="K15" i="24"/>
  <c r="K14" i="24"/>
  <c r="K13" i="24"/>
  <c r="K12" i="24"/>
  <c r="K11" i="24"/>
  <c r="K10" i="24"/>
  <c r="K9" i="24"/>
  <c r="K8" i="24"/>
  <c r="K7" i="24"/>
  <c r="K6" i="24"/>
  <c r="K5" i="24"/>
  <c r="K4" i="24"/>
  <c r="K3" i="24"/>
  <c r="K2" i="24"/>
  <c r="N16" i="24" l="1"/>
  <c r="B17" i="14" s="1"/>
  <c r="M3" i="24"/>
  <c r="M4" i="24" s="1"/>
  <c r="M5" i="24" s="1"/>
  <c r="M6" i="24" s="1"/>
  <c r="M7" i="24" s="1"/>
  <c r="M8" i="24" s="1"/>
  <c r="M9" i="24" s="1"/>
  <c r="M10" i="24" s="1"/>
  <c r="M11" i="24" s="1"/>
  <c r="M12" i="24" s="1"/>
  <c r="M13" i="24" s="1"/>
  <c r="M14" i="24" s="1"/>
  <c r="M15" i="24" s="1"/>
  <c r="M16" i="24" s="1"/>
  <c r="M17" i="24" s="1"/>
  <c r="M18" i="24" s="1"/>
  <c r="M19" i="24" s="1"/>
  <c r="M20" i="24" s="1"/>
  <c r="M21" i="24" s="1"/>
  <c r="M22" i="24" s="1"/>
  <c r="M23" i="24" s="1"/>
  <c r="M24" i="24" s="1"/>
  <c r="M25" i="24" s="1"/>
  <c r="M26" i="24" s="1"/>
  <c r="M27" i="24" s="1"/>
  <c r="M28" i="24" s="1"/>
  <c r="M29" i="24" s="1"/>
  <c r="M30" i="24" s="1"/>
  <c r="M31" i="24" s="1"/>
  <c r="M32" i="24" s="1"/>
  <c r="M33" i="24" s="1"/>
  <c r="M34" i="24" s="1"/>
  <c r="M35" i="24" s="1"/>
  <c r="M36" i="24" s="1"/>
  <c r="M37" i="24" s="1"/>
  <c r="M38" i="24" s="1"/>
  <c r="M39" i="24" s="1"/>
  <c r="M40" i="24" s="1"/>
  <c r="M41" i="24" s="1"/>
  <c r="M42" i="24" s="1"/>
  <c r="M43" i="24" s="1"/>
  <c r="M44" i="24" s="1"/>
  <c r="M45" i="24" s="1"/>
  <c r="M46" i="24" s="1"/>
  <c r="M47" i="24" s="1"/>
  <c r="M48" i="24" s="1"/>
  <c r="M49" i="24" s="1"/>
  <c r="M50" i="24" s="1"/>
  <c r="M51" i="24" s="1"/>
  <c r="M52" i="24" s="1"/>
  <c r="M53" i="24" s="1"/>
  <c r="M54" i="24" s="1"/>
  <c r="M55" i="24" s="1"/>
  <c r="M56" i="24" s="1"/>
  <c r="M57" i="24" s="1"/>
  <c r="M58" i="24" s="1"/>
  <c r="M59" i="24" s="1"/>
  <c r="M60" i="24" s="1"/>
  <c r="M61" i="24" s="1"/>
  <c r="M62" i="24" s="1"/>
  <c r="M63" i="24" s="1"/>
  <c r="M64" i="24" s="1"/>
  <c r="M65" i="24" s="1"/>
  <c r="M66" i="24" s="1"/>
  <c r="M67" i="24" s="1"/>
  <c r="M68" i="24" s="1"/>
  <c r="M69" i="24" s="1"/>
  <c r="M70" i="24" s="1"/>
  <c r="M71" i="24" s="1"/>
  <c r="M72" i="24" s="1"/>
  <c r="M73" i="24" s="1"/>
  <c r="M74" i="24" s="1"/>
  <c r="M75" i="24" s="1"/>
  <c r="M76" i="24" s="1"/>
  <c r="M77" i="24" s="1"/>
  <c r="M78" i="24" s="1"/>
  <c r="M79" i="24" s="1"/>
  <c r="M80" i="24" s="1"/>
  <c r="M81" i="24" s="1"/>
  <c r="M82" i="24" s="1"/>
  <c r="M83" i="24" s="1"/>
  <c r="M84" i="24" s="1"/>
  <c r="M85" i="24" s="1"/>
  <c r="M86" i="24" s="1"/>
  <c r="M87" i="24" s="1"/>
  <c r="M88" i="24" s="1"/>
  <c r="M89" i="24" s="1"/>
  <c r="M90" i="24" s="1"/>
  <c r="M91" i="24" s="1"/>
  <c r="M92" i="24" s="1"/>
  <c r="M93" i="24" s="1"/>
  <c r="M94" i="24" s="1"/>
  <c r="M95" i="24" s="1"/>
  <c r="M96" i="24" s="1"/>
  <c r="M97" i="24" s="1"/>
  <c r="M98" i="24" s="1"/>
  <c r="M99" i="24" s="1"/>
  <c r="M100" i="24" s="1"/>
  <c r="M101" i="24" s="1"/>
  <c r="M102" i="24" s="1"/>
  <c r="M103" i="24" s="1"/>
  <c r="M104" i="24" s="1"/>
  <c r="M105" i="24" s="1"/>
  <c r="M106" i="24" s="1"/>
  <c r="M107" i="24" s="1"/>
  <c r="M108" i="24" s="1"/>
  <c r="M109" i="24" s="1"/>
  <c r="M110" i="24" s="1"/>
  <c r="M111" i="24" s="1"/>
  <c r="M112" i="24" s="1"/>
  <c r="M113" i="24" s="1"/>
  <c r="M114" i="24" s="1"/>
  <c r="M115" i="24" s="1"/>
  <c r="M116" i="24" s="1"/>
  <c r="M117" i="24" s="1"/>
  <c r="M118" i="24" s="1"/>
  <c r="M119" i="24" s="1"/>
  <c r="M120" i="24" s="1"/>
  <c r="M121" i="24" s="1"/>
  <c r="M122" i="24" s="1"/>
  <c r="M123" i="24" s="1"/>
  <c r="M124" i="24" s="1"/>
  <c r="M125" i="24" s="1"/>
  <c r="M126" i="24" s="1"/>
  <c r="M127" i="24" s="1"/>
  <c r="M128" i="24" s="1"/>
  <c r="M129" i="24" s="1"/>
  <c r="M130" i="24" s="1"/>
  <c r="M131" i="24" s="1"/>
  <c r="M132" i="24" s="1"/>
  <c r="M133" i="24" s="1"/>
  <c r="M134" i="24" s="1"/>
  <c r="M135" i="24" s="1"/>
  <c r="M136" i="24" s="1"/>
  <c r="M137" i="24" s="1"/>
  <c r="M138" i="24" s="1"/>
  <c r="M139" i="24" s="1"/>
  <c r="M140" i="24" s="1"/>
  <c r="M141" i="24" s="1"/>
  <c r="M142" i="24" s="1"/>
  <c r="M143" i="24" s="1"/>
  <c r="M144" i="24" s="1"/>
  <c r="M145" i="24" s="1"/>
  <c r="M146" i="24" s="1"/>
  <c r="M147" i="24" s="1"/>
  <c r="M148" i="24" s="1"/>
  <c r="M149" i="24" s="1"/>
  <c r="M150" i="24" s="1"/>
  <c r="M151" i="24" s="1"/>
  <c r="M152" i="24" s="1"/>
  <c r="M153" i="24" s="1"/>
  <c r="M154" i="24" s="1"/>
  <c r="M155" i="24" s="1"/>
  <c r="M156" i="24" s="1"/>
  <c r="M157" i="24" s="1"/>
  <c r="M158" i="24" s="1"/>
  <c r="M159" i="24" s="1"/>
  <c r="M160" i="24" s="1"/>
  <c r="M161" i="24" s="1"/>
  <c r="M162" i="24" s="1"/>
  <c r="M163" i="24" s="1"/>
  <c r="M164" i="24" s="1"/>
  <c r="M165" i="24" s="1"/>
  <c r="M166" i="24" s="1"/>
  <c r="M167" i="24" s="1"/>
  <c r="M168" i="24" s="1"/>
  <c r="M169" i="24" s="1"/>
  <c r="M170" i="24" s="1"/>
  <c r="M171" i="24" s="1"/>
  <c r="M172" i="24" s="1"/>
  <c r="M173" i="24" s="1"/>
  <c r="M174" i="24" s="1"/>
  <c r="M175" i="24" s="1"/>
  <c r="M176" i="24" s="1"/>
  <c r="M177" i="24" s="1"/>
  <c r="M178" i="24" s="1"/>
  <c r="M179" i="24" s="1"/>
  <c r="M180" i="24" s="1"/>
  <c r="M181" i="24" s="1"/>
  <c r="M182" i="24" s="1"/>
  <c r="M183" i="24" s="1"/>
  <c r="M184" i="24" s="1"/>
  <c r="M185" i="24" s="1"/>
  <c r="M186" i="24" s="1"/>
  <c r="M187" i="24" s="1"/>
  <c r="M188" i="24" s="1"/>
  <c r="M189" i="24" s="1"/>
  <c r="M190" i="24" s="1"/>
  <c r="M191" i="24" s="1"/>
  <c r="M192" i="24" s="1"/>
  <c r="M193" i="24" s="1"/>
  <c r="M194" i="24" s="1"/>
  <c r="M195" i="24" s="1"/>
  <c r="M196" i="24" s="1"/>
  <c r="M197" i="24" s="1"/>
  <c r="M198" i="24" s="1"/>
  <c r="M199" i="24" s="1"/>
  <c r="M200" i="24" s="1"/>
  <c r="M201" i="24" s="1"/>
  <c r="M202" i="24" s="1"/>
  <c r="M203" i="24" s="1"/>
  <c r="M204" i="24" s="1"/>
  <c r="M205" i="24" s="1"/>
  <c r="M206" i="24" s="1"/>
  <c r="M207" i="24" s="1"/>
  <c r="M208" i="24" s="1"/>
  <c r="M209" i="24" s="1"/>
  <c r="M210" i="24" s="1"/>
  <c r="M211" i="24" s="1"/>
  <c r="M212" i="24" s="1"/>
  <c r="M213" i="24" s="1"/>
  <c r="M214" i="24" s="1"/>
  <c r="M215" i="24" s="1"/>
  <c r="M216" i="24" s="1"/>
  <c r="M217" i="24" s="1"/>
  <c r="M218" i="24" s="1"/>
  <c r="M219" i="24" s="1"/>
  <c r="M220" i="24" s="1"/>
  <c r="M221" i="24" s="1"/>
  <c r="M222" i="24" s="1"/>
  <c r="M223" i="24" s="1"/>
  <c r="M224" i="24" s="1"/>
  <c r="M225" i="24" s="1"/>
  <c r="M226" i="24" s="1"/>
  <c r="M227" i="24" s="1"/>
  <c r="M228" i="24" s="1"/>
  <c r="M229" i="24" s="1"/>
  <c r="M230" i="24" s="1"/>
  <c r="M231" i="24" s="1"/>
  <c r="M232" i="24" s="1"/>
  <c r="M233" i="24" s="1"/>
  <c r="M234" i="24" s="1"/>
  <c r="M235" i="24" s="1"/>
  <c r="M236" i="24" s="1"/>
  <c r="M237" i="24" s="1"/>
  <c r="M238" i="24" s="1"/>
  <c r="M239" i="24" s="1"/>
  <c r="M240" i="24" s="1"/>
  <c r="M241" i="24" s="1"/>
  <c r="M242" i="24" s="1"/>
  <c r="M243" i="24" s="1"/>
  <c r="M244" i="24" s="1"/>
  <c r="M245" i="24" s="1"/>
  <c r="M246" i="24" s="1"/>
  <c r="M247" i="24" s="1"/>
  <c r="M248" i="24" s="1"/>
  <c r="M249" i="24" s="1"/>
  <c r="M250" i="24" s="1"/>
  <c r="M251" i="24" s="1"/>
  <c r="M252" i="24" s="1"/>
  <c r="M253" i="24" s="1"/>
  <c r="M254" i="24" s="1"/>
  <c r="M255" i="24" s="1"/>
  <c r="M256" i="24" s="1"/>
  <c r="M257" i="24" s="1"/>
  <c r="M258" i="24" s="1"/>
  <c r="M259" i="24" s="1"/>
  <c r="M260" i="24" s="1"/>
  <c r="M261" i="24" s="1"/>
  <c r="M262" i="24" s="1"/>
  <c r="M263" i="24" s="1"/>
  <c r="M264" i="24" s="1"/>
  <c r="M265" i="24" s="1"/>
  <c r="M266" i="24" s="1"/>
  <c r="M267" i="24" s="1"/>
  <c r="M268" i="24" s="1"/>
  <c r="M269" i="24" s="1"/>
  <c r="M270" i="24" s="1"/>
  <c r="M271" i="24" s="1"/>
  <c r="M272" i="24" s="1"/>
  <c r="M273" i="24" s="1"/>
  <c r="M274" i="24" s="1"/>
  <c r="M275" i="24" s="1"/>
  <c r="M276" i="24" s="1"/>
  <c r="M277" i="24" s="1"/>
  <c r="M278" i="24" s="1"/>
  <c r="M279" i="24" s="1"/>
  <c r="M280" i="24" s="1"/>
  <c r="M281" i="24" s="1"/>
  <c r="M282" i="24" s="1"/>
  <c r="M283" i="24" s="1"/>
  <c r="M284" i="24" s="1"/>
  <c r="M285" i="24" s="1"/>
  <c r="M286" i="24" s="1"/>
  <c r="M287" i="24" s="1"/>
  <c r="M288" i="24" s="1"/>
  <c r="M289" i="24" s="1"/>
  <c r="M290" i="24" s="1"/>
  <c r="M291" i="24" s="1"/>
  <c r="M292" i="24" s="1"/>
  <c r="M293" i="24" s="1"/>
  <c r="M294" i="24" s="1"/>
  <c r="M295" i="24" s="1"/>
  <c r="M296" i="24" s="1"/>
  <c r="M297" i="24" s="1"/>
  <c r="M298" i="24" s="1"/>
  <c r="M299" i="24" s="1"/>
  <c r="M300" i="24" s="1"/>
  <c r="M301" i="24" s="1"/>
  <c r="M302" i="24" s="1"/>
  <c r="M303" i="24" s="1"/>
  <c r="M304" i="24" s="1"/>
  <c r="M305" i="24" s="1"/>
  <c r="M306" i="24" s="1"/>
  <c r="M307" i="24" s="1"/>
  <c r="M308" i="24" s="1"/>
  <c r="M309" i="24" s="1"/>
  <c r="M310" i="24" s="1"/>
  <c r="M311" i="24" s="1"/>
  <c r="M312" i="24" s="1"/>
  <c r="M313" i="24" s="1"/>
  <c r="M314" i="24" s="1"/>
  <c r="M315" i="24" s="1"/>
  <c r="M316" i="24" s="1"/>
  <c r="M317" i="24" s="1"/>
  <c r="M318" i="24" s="1"/>
  <c r="M319" i="24" s="1"/>
  <c r="M320" i="24" s="1"/>
  <c r="M321" i="24" s="1"/>
  <c r="M322" i="24" s="1"/>
  <c r="M323" i="24" s="1"/>
  <c r="M324" i="24" s="1"/>
  <c r="M325" i="24" s="1"/>
  <c r="M326" i="24" s="1"/>
  <c r="M327" i="24" s="1"/>
  <c r="M328" i="24" s="1"/>
  <c r="M329" i="24" s="1"/>
  <c r="M330" i="24" s="1"/>
  <c r="M331" i="24" s="1"/>
  <c r="M332" i="24" s="1"/>
  <c r="M333" i="24" s="1"/>
  <c r="M334" i="24" s="1"/>
  <c r="M335" i="24" s="1"/>
  <c r="M336" i="24" s="1"/>
  <c r="M337" i="24" s="1"/>
  <c r="M338" i="24" s="1"/>
  <c r="L3" i="23" l="1"/>
  <c r="L4" i="23" s="1"/>
  <c r="L5" i="23" s="1"/>
  <c r="L6" i="23" s="1"/>
  <c r="L7" i="23" s="1"/>
  <c r="L8" i="23" s="1"/>
  <c r="L9" i="23" s="1"/>
  <c r="L10" i="23" s="1"/>
  <c r="L11" i="23" s="1"/>
  <c r="L12" i="23" s="1"/>
  <c r="L13" i="23" l="1"/>
  <c r="L14" i="23" s="1"/>
  <c r="L15" i="23" s="1"/>
  <c r="L16" i="23" s="1"/>
  <c r="L17" i="23" s="1"/>
  <c r="L18" i="23" s="1"/>
  <c r="L19" i="23" s="1"/>
  <c r="L20" i="23" s="1"/>
  <c r="L21" i="23" s="1"/>
  <c r="L22" i="23" s="1"/>
  <c r="L23" i="23" s="1"/>
  <c r="B16" i="14"/>
  <c r="L32" i="23" l="1"/>
  <c r="L33" i="23" s="1"/>
  <c r="L34" i="23" s="1"/>
  <c r="L35" i="23" s="1"/>
  <c r="L36" i="23" s="1"/>
  <c r="L37" i="23" s="1"/>
  <c r="L38" i="23" s="1"/>
  <c r="L39" i="23" s="1"/>
  <c r="L40" i="23" s="1"/>
  <c r="L41" i="23" s="1"/>
  <c r="L42" i="23" s="1"/>
  <c r="L43" i="23" s="1"/>
  <c r="L44" i="23" s="1"/>
  <c r="L45" i="23" s="1"/>
  <c r="L46" i="23" s="1"/>
  <c r="L47" i="23" s="1"/>
  <c r="L48" i="23" s="1"/>
  <c r="L49" i="23" s="1"/>
  <c r="L50" i="23" s="1"/>
  <c r="L51" i="23" s="1"/>
  <c r="L52" i="23" s="1"/>
  <c r="L53" i="23" s="1"/>
  <c r="L54" i="23" s="1"/>
  <c r="L55" i="23" s="1"/>
  <c r="L56" i="23" s="1"/>
  <c r="L57" i="23" s="1"/>
  <c r="L58" i="23" s="1"/>
  <c r="L59" i="23" s="1"/>
  <c r="L60" i="23" s="1"/>
  <c r="L61" i="23" s="1"/>
  <c r="L62" i="23" s="1"/>
  <c r="L63" i="23" s="1"/>
  <c r="L64" i="23" s="1"/>
  <c r="L65" i="23" s="1"/>
  <c r="L66" i="23" s="1"/>
  <c r="L67" i="23" s="1"/>
  <c r="L68" i="23" s="1"/>
  <c r="L69" i="23" s="1"/>
  <c r="L70" i="23" s="1"/>
  <c r="L71" i="23" s="1"/>
  <c r="L72" i="23" s="1"/>
  <c r="L73" i="23" s="1"/>
  <c r="L74" i="23" s="1"/>
  <c r="L75" i="23" s="1"/>
  <c r="L76" i="23" s="1"/>
  <c r="L77" i="23" s="1"/>
  <c r="L78" i="23" s="1"/>
  <c r="L79" i="23" s="1"/>
  <c r="L80" i="23" s="1"/>
  <c r="L81" i="23" s="1"/>
  <c r="L82" i="23" s="1"/>
  <c r="L83" i="23" s="1"/>
  <c r="L84" i="23" s="1"/>
  <c r="L85" i="23" s="1"/>
  <c r="L86" i="23" s="1"/>
  <c r="L87" i="23" s="1"/>
  <c r="L88" i="23" s="1"/>
  <c r="L89" i="23" s="1"/>
  <c r="L90" i="23" s="1"/>
  <c r="L91" i="23" s="1"/>
  <c r="L92" i="23" s="1"/>
  <c r="L93" i="23" s="1"/>
  <c r="L94" i="23" s="1"/>
  <c r="L95" i="23" s="1"/>
  <c r="L96" i="23" s="1"/>
  <c r="L97" i="23" s="1"/>
  <c r="L98" i="23" s="1"/>
  <c r="L99" i="23" s="1"/>
  <c r="L100" i="23" s="1"/>
  <c r="L101" i="23" s="1"/>
  <c r="L102" i="23" s="1"/>
  <c r="L103" i="23" s="1"/>
  <c r="L104" i="23" s="1"/>
  <c r="L105" i="23" s="1"/>
  <c r="L106" i="23" s="1"/>
  <c r="L107" i="23" s="1"/>
  <c r="L108" i="23" s="1"/>
  <c r="L109" i="23" s="1"/>
  <c r="L110" i="23" s="1"/>
  <c r="L111" i="23" s="1"/>
  <c r="L112" i="23" s="1"/>
  <c r="L113" i="23" s="1"/>
  <c r="L114" i="23" s="1"/>
  <c r="L115" i="23" s="1"/>
  <c r="L116" i="23" s="1"/>
  <c r="L117" i="23" s="1"/>
  <c r="L118" i="23" s="1"/>
  <c r="L119" i="23" s="1"/>
  <c r="L120" i="23" s="1"/>
  <c r="L121" i="23" s="1"/>
  <c r="L122" i="23" s="1"/>
  <c r="L123" i="23" s="1"/>
  <c r="L124" i="23" s="1"/>
  <c r="L125" i="23" s="1"/>
  <c r="L126" i="23" s="1"/>
  <c r="L127" i="23" s="1"/>
  <c r="L128" i="23" s="1"/>
  <c r="L129" i="23" s="1"/>
  <c r="L130" i="23" s="1"/>
  <c r="L131" i="23" s="1"/>
  <c r="L132" i="23" s="1"/>
  <c r="L133" i="23" s="1"/>
  <c r="L134" i="23" s="1"/>
  <c r="L135" i="23" s="1"/>
  <c r="L136" i="23" s="1"/>
  <c r="L137" i="23" s="1"/>
  <c r="L138" i="23" s="1"/>
  <c r="L139" i="23" s="1"/>
  <c r="L140" i="23" s="1"/>
  <c r="L141" i="23" s="1"/>
  <c r="L142" i="23" s="1"/>
  <c r="L143" i="23" s="1"/>
  <c r="L144" i="23" s="1"/>
  <c r="L145" i="23" s="1"/>
  <c r="L146" i="23" s="1"/>
  <c r="L147" i="23" s="1"/>
  <c r="L148" i="23" s="1"/>
  <c r="L149" i="23" s="1"/>
  <c r="L150" i="23" s="1"/>
  <c r="L151" i="23" s="1"/>
  <c r="L152" i="23" s="1"/>
  <c r="L153" i="23" s="1"/>
  <c r="L154" i="23" s="1"/>
  <c r="L155" i="23" s="1"/>
  <c r="L156" i="23" s="1"/>
  <c r="L157" i="23" s="1"/>
  <c r="L158" i="23" s="1"/>
  <c r="L159" i="23" s="1"/>
  <c r="L160" i="23" s="1"/>
  <c r="L161" i="23" s="1"/>
  <c r="L162" i="23" s="1"/>
  <c r="L163" i="23" s="1"/>
  <c r="L164" i="23" s="1"/>
  <c r="L165" i="23" s="1"/>
  <c r="L166" i="23" s="1"/>
  <c r="L167" i="23" s="1"/>
  <c r="L168" i="23" s="1"/>
  <c r="L169" i="23" s="1"/>
  <c r="L170" i="23" s="1"/>
  <c r="L171" i="23" s="1"/>
  <c r="L172" i="23" s="1"/>
  <c r="L173" i="23" s="1"/>
  <c r="L174" i="23" s="1"/>
  <c r="L175" i="23" s="1"/>
  <c r="L176" i="23" s="1"/>
  <c r="L177" i="23" s="1"/>
  <c r="L178" i="23" s="1"/>
  <c r="L179" i="23" s="1"/>
  <c r="L180" i="23" s="1"/>
  <c r="L181" i="23" s="1"/>
  <c r="L182" i="23" s="1"/>
  <c r="L183" i="23" s="1"/>
  <c r="L184" i="23" s="1"/>
  <c r="L185" i="23" s="1"/>
  <c r="L186" i="23" s="1"/>
  <c r="L187" i="23" s="1"/>
  <c r="L188" i="23" s="1"/>
  <c r="L189" i="23" s="1"/>
  <c r="L190" i="23" s="1"/>
  <c r="L191" i="23" s="1"/>
  <c r="L192" i="23" s="1"/>
  <c r="L193" i="23" s="1"/>
  <c r="L194" i="23" s="1"/>
  <c r="L195" i="23" s="1"/>
  <c r="L196" i="23" s="1"/>
  <c r="L197" i="23" s="1"/>
  <c r="L198" i="23" s="1"/>
  <c r="L199" i="23" s="1"/>
  <c r="L200" i="23" s="1"/>
  <c r="L201" i="23" s="1"/>
  <c r="L202" i="23" s="1"/>
  <c r="L203" i="23" s="1"/>
  <c r="L204" i="23" s="1"/>
  <c r="L205" i="23" s="1"/>
  <c r="L206" i="23" s="1"/>
  <c r="L207" i="23" s="1"/>
  <c r="L208" i="23" s="1"/>
  <c r="L209" i="23" s="1"/>
  <c r="L210" i="23" s="1"/>
  <c r="L211" i="23" s="1"/>
  <c r="L212" i="23" s="1"/>
  <c r="L213" i="23" s="1"/>
  <c r="L214" i="23" s="1"/>
  <c r="L215" i="23" s="1"/>
  <c r="L216" i="23" s="1"/>
  <c r="L217" i="23" s="1"/>
  <c r="L218" i="23" s="1"/>
  <c r="L219" i="23" s="1"/>
  <c r="L220" i="23" s="1"/>
  <c r="L221" i="23" s="1"/>
  <c r="L222" i="23" s="1"/>
  <c r="L223" i="23" s="1"/>
  <c r="L224" i="23" s="1"/>
  <c r="L225" i="23" s="1"/>
  <c r="L226" i="23" s="1"/>
  <c r="L227" i="23" s="1"/>
  <c r="L228" i="23" s="1"/>
  <c r="L229" i="23" s="1"/>
  <c r="L230" i="23" s="1"/>
  <c r="L231" i="23" s="1"/>
  <c r="L232" i="23" s="1"/>
  <c r="L233" i="23" s="1"/>
  <c r="L234" i="23" s="1"/>
  <c r="L235" i="23" s="1"/>
  <c r="L236" i="23" s="1"/>
  <c r="L237" i="23" s="1"/>
  <c r="L238" i="23" s="1"/>
  <c r="L239" i="23" s="1"/>
  <c r="L240" i="23" s="1"/>
  <c r="L241" i="23" s="1"/>
  <c r="L242" i="23" s="1"/>
  <c r="L243" i="23" s="1"/>
  <c r="L244" i="23" s="1"/>
  <c r="L245" i="23" s="1"/>
  <c r="L246" i="23" s="1"/>
  <c r="L247" i="23" s="1"/>
  <c r="L248" i="23" s="1"/>
  <c r="L249" i="23" s="1"/>
  <c r="L250" i="23" s="1"/>
  <c r="L251" i="23" s="1"/>
  <c r="L252" i="23" s="1"/>
  <c r="L253" i="23" s="1"/>
  <c r="L254" i="23" s="1"/>
  <c r="L255" i="23" s="1"/>
  <c r="L256" i="23" s="1"/>
  <c r="L257" i="23" s="1"/>
  <c r="L258" i="23" s="1"/>
  <c r="L259" i="23" s="1"/>
  <c r="L260" i="23" s="1"/>
  <c r="L261" i="23" s="1"/>
  <c r="L262" i="23" s="1"/>
  <c r="L263" i="23" s="1"/>
  <c r="L264" i="23" s="1"/>
  <c r="L265" i="23" s="1"/>
  <c r="L266" i="23" s="1"/>
  <c r="L267" i="23" s="1"/>
  <c r="L268" i="23" s="1"/>
  <c r="L269" i="23" s="1"/>
  <c r="L270" i="23" s="1"/>
  <c r="L271" i="23" s="1"/>
  <c r="L272" i="23" s="1"/>
  <c r="L273" i="23" s="1"/>
  <c r="L274" i="23" s="1"/>
  <c r="L275" i="23" s="1"/>
  <c r="L276" i="23" s="1"/>
  <c r="L277" i="23" s="1"/>
  <c r="L278" i="23" s="1"/>
  <c r="L279" i="23" s="1"/>
  <c r="L280" i="23" s="1"/>
  <c r="L281" i="23" s="1"/>
  <c r="L282" i="23" s="1"/>
  <c r="L283" i="23" s="1"/>
  <c r="L284" i="23" s="1"/>
  <c r="L285" i="23" s="1"/>
  <c r="L286" i="23" s="1"/>
  <c r="L287" i="23" s="1"/>
  <c r="L288" i="23" s="1"/>
  <c r="L289" i="23" s="1"/>
  <c r="L290" i="23" s="1"/>
  <c r="L291" i="23" s="1"/>
  <c r="L292" i="23" s="1"/>
  <c r="L293" i="23" s="1"/>
  <c r="L294" i="23" s="1"/>
  <c r="L295" i="23" s="1"/>
  <c r="L296" i="23" s="1"/>
  <c r="L297" i="23" s="1"/>
  <c r="L298" i="23" s="1"/>
  <c r="L299" i="23" s="1"/>
  <c r="L300" i="23" s="1"/>
  <c r="L301" i="23" s="1"/>
  <c r="L302" i="23" s="1"/>
  <c r="L303" i="23" s="1"/>
  <c r="L304" i="23" s="1"/>
  <c r="L305" i="23" s="1"/>
  <c r="L306" i="23" s="1"/>
  <c r="L307" i="23" s="1"/>
  <c r="L308" i="23" s="1"/>
  <c r="L309" i="23" s="1"/>
  <c r="L310" i="23" s="1"/>
  <c r="L311" i="23" s="1"/>
  <c r="L312" i="23" s="1"/>
  <c r="L313" i="23" s="1"/>
  <c r="L314" i="23" s="1"/>
  <c r="L315" i="23" s="1"/>
  <c r="L316" i="23" s="1"/>
  <c r="L317" i="23" s="1"/>
  <c r="L318" i="23" s="1"/>
  <c r="L319" i="23" s="1"/>
  <c r="L320" i="23" s="1"/>
  <c r="L321" i="23" s="1"/>
  <c r="L322" i="23" s="1"/>
  <c r="L323" i="23" s="1"/>
  <c r="L324" i="23" s="1"/>
  <c r="L325" i="23" s="1"/>
  <c r="L326" i="23" s="1"/>
  <c r="L327" i="23" s="1"/>
  <c r="L328" i="23" s="1"/>
  <c r="L329" i="23" s="1"/>
  <c r="L330" i="23" s="1"/>
  <c r="L331" i="23" s="1"/>
  <c r="L332" i="23" s="1"/>
  <c r="L333" i="23" s="1"/>
  <c r="L334" i="23" s="1"/>
  <c r="L335" i="23" s="1"/>
  <c r="L336" i="23" s="1"/>
  <c r="L337" i="23" s="1"/>
  <c r="L338" i="23" s="1"/>
  <c r="L339" i="23" s="1"/>
  <c r="L340" i="23" s="1"/>
  <c r="L24" i="23"/>
  <c r="L25" i="23" s="1"/>
  <c r="L26" i="23" s="1"/>
  <c r="L27" i="23" s="1"/>
  <c r="K338" i="22"/>
  <c r="K337" i="22"/>
  <c r="K336" i="22"/>
  <c r="K335" i="22"/>
  <c r="K334" i="22"/>
  <c r="K333" i="22"/>
  <c r="K332" i="22"/>
  <c r="K331" i="22"/>
  <c r="K330" i="22"/>
  <c r="K329" i="22"/>
  <c r="K328" i="22"/>
  <c r="K327" i="22"/>
  <c r="K326" i="22"/>
  <c r="K325" i="22"/>
  <c r="K324" i="22"/>
  <c r="K323" i="22"/>
  <c r="K322" i="22"/>
  <c r="K321" i="22"/>
  <c r="K320" i="22"/>
  <c r="K319" i="22"/>
  <c r="K318" i="22"/>
  <c r="K317" i="22"/>
  <c r="K316" i="22"/>
  <c r="K315" i="22"/>
  <c r="K314" i="22"/>
  <c r="K313" i="22"/>
  <c r="K312" i="22"/>
  <c r="K311" i="22"/>
  <c r="K310" i="22"/>
  <c r="K309" i="22"/>
  <c r="K308" i="22"/>
  <c r="K307" i="22"/>
  <c r="K306" i="22"/>
  <c r="K305" i="22"/>
  <c r="K304" i="22"/>
  <c r="K303" i="22"/>
  <c r="K302" i="22"/>
  <c r="K301" i="22"/>
  <c r="K300" i="22"/>
  <c r="K299" i="22"/>
  <c r="K298" i="22"/>
  <c r="K297" i="22"/>
  <c r="K296" i="22"/>
  <c r="K295" i="22"/>
  <c r="K294" i="22"/>
  <c r="K293" i="22"/>
  <c r="K292" i="22"/>
  <c r="K291" i="22"/>
  <c r="K290" i="22"/>
  <c r="K289" i="22"/>
  <c r="K288" i="22"/>
  <c r="K287" i="22"/>
  <c r="K286" i="22"/>
  <c r="K285" i="22"/>
  <c r="K284" i="22"/>
  <c r="K283" i="22"/>
  <c r="K282" i="22"/>
  <c r="K281" i="22"/>
  <c r="K280" i="22"/>
  <c r="K279" i="22"/>
  <c r="K278" i="22"/>
  <c r="K277" i="22"/>
  <c r="K276" i="22"/>
  <c r="K275" i="22"/>
  <c r="K274" i="22"/>
  <c r="K273" i="22"/>
  <c r="K272" i="22"/>
  <c r="K271" i="22"/>
  <c r="K270" i="22"/>
  <c r="K269" i="22"/>
  <c r="K268" i="22"/>
  <c r="K267" i="22"/>
  <c r="K266" i="22"/>
  <c r="K265" i="22"/>
  <c r="K264" i="22"/>
  <c r="K263" i="22"/>
  <c r="K262" i="22"/>
  <c r="K261" i="22"/>
  <c r="K260" i="22"/>
  <c r="K259" i="22"/>
  <c r="K258" i="22"/>
  <c r="K257" i="22"/>
  <c r="K256" i="22"/>
  <c r="K255" i="22"/>
  <c r="K254" i="22"/>
  <c r="K253" i="22"/>
  <c r="K252" i="22"/>
  <c r="K251" i="22"/>
  <c r="K250" i="22"/>
  <c r="K249" i="22"/>
  <c r="K248" i="22"/>
  <c r="K247" i="22"/>
  <c r="K246" i="22"/>
  <c r="K245" i="22"/>
  <c r="K244" i="22"/>
  <c r="K243" i="22"/>
  <c r="K242" i="22"/>
  <c r="K241" i="22"/>
  <c r="K240" i="22"/>
  <c r="K239" i="22"/>
  <c r="K238" i="22"/>
  <c r="K237" i="22"/>
  <c r="K236" i="22"/>
  <c r="K235" i="22"/>
  <c r="K234" i="22"/>
  <c r="K233" i="22"/>
  <c r="K232" i="22"/>
  <c r="K231" i="22"/>
  <c r="K230" i="22"/>
  <c r="K229" i="22"/>
  <c r="K228" i="22"/>
  <c r="K227" i="22"/>
  <c r="K226" i="22"/>
  <c r="K225" i="22"/>
  <c r="K224" i="22"/>
  <c r="K223" i="22"/>
  <c r="K222" i="22"/>
  <c r="K221" i="22"/>
  <c r="K220" i="22"/>
  <c r="K219" i="22"/>
  <c r="K218" i="22"/>
  <c r="K217" i="22"/>
  <c r="K216" i="22"/>
  <c r="K215" i="22"/>
  <c r="K214" i="22"/>
  <c r="K213" i="22"/>
  <c r="K212" i="22"/>
  <c r="K211" i="22"/>
  <c r="K210" i="22"/>
  <c r="K209" i="22"/>
  <c r="K208" i="22"/>
  <c r="K207" i="22"/>
  <c r="K206" i="22"/>
  <c r="K205" i="22"/>
  <c r="K204" i="22"/>
  <c r="K203" i="22"/>
  <c r="K202" i="22"/>
  <c r="K201" i="22"/>
  <c r="K200" i="22"/>
  <c r="K199" i="22"/>
  <c r="K198" i="22"/>
  <c r="K197" i="22"/>
  <c r="K196" i="22"/>
  <c r="K195" i="22"/>
  <c r="K194" i="22"/>
  <c r="K193" i="22"/>
  <c r="K192" i="22"/>
  <c r="K191" i="22"/>
  <c r="K190" i="22"/>
  <c r="K189" i="22"/>
  <c r="K188" i="22"/>
  <c r="K187" i="22"/>
  <c r="K186" i="22"/>
  <c r="K185" i="22"/>
  <c r="K184" i="22"/>
  <c r="K183" i="22"/>
  <c r="K182" i="22"/>
  <c r="K181" i="22"/>
  <c r="K180" i="22"/>
  <c r="K179" i="22"/>
  <c r="K178" i="22"/>
  <c r="K177" i="22"/>
  <c r="K176" i="22"/>
  <c r="K175" i="22"/>
  <c r="K174" i="22"/>
  <c r="K173" i="22"/>
  <c r="K172" i="22"/>
  <c r="K171" i="22"/>
  <c r="K170" i="22"/>
  <c r="K169" i="22"/>
  <c r="K168" i="22"/>
  <c r="K167" i="22"/>
  <c r="K166" i="22"/>
  <c r="K165" i="22"/>
  <c r="K164" i="22"/>
  <c r="K163" i="22"/>
  <c r="K162" i="22"/>
  <c r="K161" i="22"/>
  <c r="K160" i="22"/>
  <c r="K159" i="22"/>
  <c r="K158" i="22"/>
  <c r="K157" i="22"/>
  <c r="K156" i="22"/>
  <c r="K155" i="22"/>
  <c r="K154" i="22"/>
  <c r="K153" i="22"/>
  <c r="K152" i="22"/>
  <c r="K151" i="22"/>
  <c r="K150" i="22"/>
  <c r="K149" i="22"/>
  <c r="K148" i="22"/>
  <c r="K147" i="22"/>
  <c r="K146" i="22"/>
  <c r="K145" i="22"/>
  <c r="K144" i="22"/>
  <c r="K143" i="22"/>
  <c r="K142" i="22"/>
  <c r="K141" i="22"/>
  <c r="K140" i="22"/>
  <c r="K139" i="22"/>
  <c r="K138" i="22"/>
  <c r="K137" i="22"/>
  <c r="K136" i="22"/>
  <c r="K135" i="22"/>
  <c r="K134" i="22"/>
  <c r="K133" i="22"/>
  <c r="K132" i="22"/>
  <c r="K131" i="22"/>
  <c r="K130" i="22"/>
  <c r="K129" i="22"/>
  <c r="K128" i="22"/>
  <c r="K127" i="22"/>
  <c r="K126" i="22"/>
  <c r="K125" i="22"/>
  <c r="K124" i="22"/>
  <c r="K123" i="22"/>
  <c r="K122" i="22"/>
  <c r="K121" i="22"/>
  <c r="K120" i="22"/>
  <c r="K119" i="22"/>
  <c r="K118" i="22"/>
  <c r="K117" i="22"/>
  <c r="K116" i="22"/>
  <c r="K115" i="22"/>
  <c r="K114" i="22"/>
  <c r="K113" i="22"/>
  <c r="K112" i="22"/>
  <c r="K111" i="22"/>
  <c r="K110" i="22"/>
  <c r="K109" i="22"/>
  <c r="K108" i="22"/>
  <c r="K107" i="22"/>
  <c r="K106" i="22"/>
  <c r="K105" i="22"/>
  <c r="K104" i="22"/>
  <c r="K103" i="22"/>
  <c r="K102" i="22"/>
  <c r="K101" i="22"/>
  <c r="K100" i="22"/>
  <c r="K99" i="22"/>
  <c r="K98" i="22"/>
  <c r="K97" i="22"/>
  <c r="K96" i="22"/>
  <c r="K95" i="22"/>
  <c r="K94" i="22"/>
  <c r="K93" i="22"/>
  <c r="K92" i="22"/>
  <c r="K91" i="22"/>
  <c r="K90" i="22"/>
  <c r="K89" i="22"/>
  <c r="K88" i="22"/>
  <c r="K87" i="22"/>
  <c r="K86" i="22"/>
  <c r="K85" i="22"/>
  <c r="K84" i="22"/>
  <c r="K83" i="22"/>
  <c r="K82" i="22"/>
  <c r="K81" i="22"/>
  <c r="K80" i="22"/>
  <c r="K79" i="22"/>
  <c r="K78" i="22"/>
  <c r="K77" i="22"/>
  <c r="K76" i="22"/>
  <c r="K75" i="22"/>
  <c r="K74" i="22"/>
  <c r="K73" i="22"/>
  <c r="K72" i="22"/>
  <c r="K71" i="22"/>
  <c r="K70" i="22"/>
  <c r="K69" i="22"/>
  <c r="K68" i="22"/>
  <c r="K67" i="22"/>
  <c r="K66" i="22"/>
  <c r="K65" i="22"/>
  <c r="K64" i="22"/>
  <c r="K63" i="22"/>
  <c r="K62" i="22"/>
  <c r="K61" i="22"/>
  <c r="K60" i="22"/>
  <c r="K59" i="22"/>
  <c r="K58" i="22"/>
  <c r="K57" i="22"/>
  <c r="K56" i="22"/>
  <c r="K55" i="22"/>
  <c r="K54" i="22"/>
  <c r="K53" i="22"/>
  <c r="K52" i="22"/>
  <c r="K51" i="22"/>
  <c r="K50" i="22"/>
  <c r="K49" i="22"/>
  <c r="K48" i="22"/>
  <c r="K47" i="22"/>
  <c r="K46" i="22"/>
  <c r="K45" i="22"/>
  <c r="K44" i="22"/>
  <c r="K43" i="22"/>
  <c r="K42" i="22"/>
  <c r="K41" i="22"/>
  <c r="K40" i="22"/>
  <c r="K39" i="22"/>
  <c r="K38" i="22"/>
  <c r="K37" i="22"/>
  <c r="K36" i="22"/>
  <c r="K35" i="22"/>
  <c r="K34" i="22"/>
  <c r="K33" i="22"/>
  <c r="K32" i="22"/>
  <c r="K31" i="22"/>
  <c r="K29" i="22"/>
  <c r="K28" i="22"/>
  <c r="K27" i="22"/>
  <c r="K26" i="22"/>
  <c r="K25" i="22"/>
  <c r="K24" i="22"/>
  <c r="K23" i="22"/>
  <c r="K22" i="22"/>
  <c r="K21" i="22"/>
  <c r="K20" i="22"/>
  <c r="K19" i="22"/>
  <c r="K18" i="22"/>
  <c r="K17" i="22"/>
  <c r="K16" i="22"/>
  <c r="K15" i="22"/>
  <c r="K14" i="22"/>
  <c r="K13" i="22"/>
  <c r="K12" i="22"/>
  <c r="K11" i="22"/>
  <c r="K10" i="22"/>
  <c r="K9" i="22"/>
  <c r="K8" i="22"/>
  <c r="K7" i="22"/>
  <c r="K6" i="22"/>
  <c r="K5" i="22"/>
  <c r="K4" i="22"/>
  <c r="K3" i="22"/>
  <c r="K2" i="22"/>
  <c r="N16" i="22" l="1"/>
  <c r="B26" i="14" s="1"/>
  <c r="M2" i="22"/>
  <c r="M3" i="22" s="1"/>
  <c r="M4" i="22" s="1"/>
  <c r="M5" i="22" s="1"/>
  <c r="M6" i="22" s="1"/>
  <c r="M7" i="22" s="1"/>
  <c r="M8" i="22" s="1"/>
  <c r="M9" i="22" s="1"/>
  <c r="M10" i="22" s="1"/>
  <c r="M11" i="22" s="1"/>
  <c r="M12" i="22" s="1"/>
  <c r="M13" i="22" s="1"/>
  <c r="M14" i="22" s="1"/>
  <c r="M15" i="22" s="1"/>
  <c r="M16" i="22" s="1"/>
  <c r="M17" i="22" s="1"/>
  <c r="M18" i="22" s="1"/>
  <c r="M19" i="22" s="1"/>
  <c r="M20" i="22" s="1"/>
  <c r="M21" i="22" s="1"/>
  <c r="M22" i="22" s="1"/>
  <c r="M23" i="22" s="1"/>
  <c r="M24" i="22" s="1"/>
  <c r="M25" i="22" s="1"/>
  <c r="M26" i="22" s="1"/>
  <c r="M27" i="22" s="1"/>
  <c r="M28" i="22" s="1"/>
  <c r="M29" i="22" s="1"/>
  <c r="M30" i="22" s="1"/>
  <c r="M31" i="22" s="1"/>
  <c r="M32" i="22" s="1"/>
  <c r="M33" i="22" s="1"/>
  <c r="M34" i="22" s="1"/>
  <c r="M35" i="22" s="1"/>
  <c r="M36" i="22" s="1"/>
  <c r="M37" i="22" s="1"/>
  <c r="M38" i="22" s="1"/>
  <c r="M39" i="22" s="1"/>
  <c r="M40" i="22" s="1"/>
  <c r="M41" i="22" s="1"/>
  <c r="M42" i="22" s="1"/>
  <c r="M43" i="22" s="1"/>
  <c r="M44" i="22" s="1"/>
  <c r="M45" i="22" s="1"/>
  <c r="M46" i="22" s="1"/>
  <c r="M47" i="22" s="1"/>
  <c r="M48" i="22" s="1"/>
  <c r="M49" i="22" s="1"/>
  <c r="M50" i="22" s="1"/>
  <c r="M51" i="22" s="1"/>
  <c r="M52" i="22" s="1"/>
  <c r="M53" i="22" s="1"/>
  <c r="M54" i="22" s="1"/>
  <c r="M55" i="22" s="1"/>
  <c r="M56" i="22" s="1"/>
  <c r="M57" i="22" s="1"/>
  <c r="M58" i="22" s="1"/>
  <c r="M59" i="22" s="1"/>
  <c r="M60" i="22" s="1"/>
  <c r="M61" i="22" s="1"/>
  <c r="M62" i="22" s="1"/>
  <c r="M63" i="22" s="1"/>
  <c r="M64" i="22" s="1"/>
  <c r="M65" i="22" s="1"/>
  <c r="M66" i="22" s="1"/>
  <c r="M67" i="22" s="1"/>
  <c r="M68" i="22" s="1"/>
  <c r="M69" i="22" s="1"/>
  <c r="M70" i="22" s="1"/>
  <c r="M71" i="22" s="1"/>
  <c r="M72" i="22" s="1"/>
  <c r="M73" i="22" s="1"/>
  <c r="M74" i="22" s="1"/>
  <c r="M75" i="22" s="1"/>
  <c r="M76" i="22" s="1"/>
  <c r="M77" i="22" s="1"/>
  <c r="M78" i="22" s="1"/>
  <c r="M79" i="22" s="1"/>
  <c r="M80" i="22" s="1"/>
  <c r="M81" i="22" s="1"/>
  <c r="M82" i="22" s="1"/>
  <c r="M83" i="22" s="1"/>
  <c r="M84" i="22" s="1"/>
  <c r="M85" i="22" s="1"/>
  <c r="M86" i="22" s="1"/>
  <c r="M87" i="22" s="1"/>
  <c r="M88" i="22" s="1"/>
  <c r="M89" i="22" s="1"/>
  <c r="M90" i="22" s="1"/>
  <c r="M91" i="22" s="1"/>
  <c r="M92" i="22" l="1"/>
  <c r="M93" i="22" s="1"/>
  <c r="M94" i="22" s="1"/>
  <c r="M95" i="22" s="1"/>
  <c r="M96" i="22" s="1"/>
  <c r="M97" i="22" s="1"/>
  <c r="M98" i="22" s="1"/>
  <c r="M99" i="22" s="1"/>
  <c r="M100" i="22" s="1"/>
  <c r="M101" i="22" s="1"/>
  <c r="M102" i="22" s="1"/>
  <c r="M103" i="22" s="1"/>
  <c r="M104" i="22" s="1"/>
  <c r="M105" i="22" s="1"/>
  <c r="M106" i="22" s="1"/>
  <c r="M107" i="22" s="1"/>
  <c r="M108" i="22" s="1"/>
  <c r="M109" i="22" s="1"/>
  <c r="M110" i="22" s="1"/>
  <c r="M111" i="22" s="1"/>
  <c r="M112" i="22" s="1"/>
  <c r="M113" i="22" s="1"/>
  <c r="M114" i="22" s="1"/>
  <c r="M115" i="22" s="1"/>
  <c r="M116" i="22" s="1"/>
  <c r="M117" i="22" s="1"/>
  <c r="M118" i="22" s="1"/>
  <c r="M119" i="22" s="1"/>
  <c r="M120" i="22" s="1"/>
  <c r="M121" i="22" s="1"/>
  <c r="M122" i="22" s="1"/>
  <c r="M123" i="22" s="1"/>
  <c r="M124" i="22" s="1"/>
  <c r="M125" i="22" s="1"/>
  <c r="M126" i="22" s="1"/>
  <c r="M127" i="22" s="1"/>
  <c r="M128" i="22" s="1"/>
  <c r="M129" i="22" s="1"/>
  <c r="M130" i="22" s="1"/>
  <c r="M131" i="22" s="1"/>
  <c r="M132" i="22" s="1"/>
  <c r="M133" i="22" s="1"/>
  <c r="M134" i="22" s="1"/>
  <c r="M135" i="22" s="1"/>
  <c r="M136" i="22" s="1"/>
  <c r="M137" i="22" s="1"/>
  <c r="M138" i="22" s="1"/>
  <c r="M139" i="22" s="1"/>
  <c r="M140" i="22" s="1"/>
  <c r="M141" i="22" s="1"/>
  <c r="M142" i="22" s="1"/>
  <c r="M143" i="22" s="1"/>
  <c r="M144" i="22" s="1"/>
  <c r="M145" i="22" s="1"/>
  <c r="M146" i="22" s="1"/>
  <c r="M147" i="22" s="1"/>
  <c r="M148" i="22" s="1"/>
  <c r="M149" i="22" s="1"/>
  <c r="M150" i="22" s="1"/>
  <c r="M151" i="22" s="1"/>
  <c r="M152" i="22" s="1"/>
  <c r="M153" i="22" s="1"/>
  <c r="M154" i="22" s="1"/>
  <c r="M155" i="22" s="1"/>
  <c r="M156" i="22" s="1"/>
  <c r="M157" i="22" s="1"/>
  <c r="M158" i="22" s="1"/>
  <c r="M159" i="22" s="1"/>
  <c r="M160" i="22" s="1"/>
  <c r="M161" i="22" s="1"/>
  <c r="M162" i="22" s="1"/>
  <c r="M163" i="22" s="1"/>
  <c r="M164" i="22" s="1"/>
  <c r="M165" i="22" s="1"/>
  <c r="M166" i="22" s="1"/>
  <c r="M167" i="22" s="1"/>
  <c r="M168" i="22" s="1"/>
  <c r="M169" i="22" s="1"/>
  <c r="M170" i="22" s="1"/>
  <c r="M171" i="22" s="1"/>
  <c r="M172" i="22" s="1"/>
  <c r="M173" i="22" s="1"/>
  <c r="M174" i="22" s="1"/>
  <c r="M175" i="22" s="1"/>
  <c r="M176" i="22" s="1"/>
  <c r="M177" i="22" s="1"/>
  <c r="M178" i="22" s="1"/>
  <c r="M179" i="22" s="1"/>
  <c r="M180" i="22" s="1"/>
  <c r="M181" i="22" s="1"/>
  <c r="M182" i="22" s="1"/>
  <c r="M183" i="22" s="1"/>
  <c r="M184" i="22" s="1"/>
  <c r="M185" i="22" s="1"/>
  <c r="M186" i="22" s="1"/>
  <c r="M187" i="22" s="1"/>
  <c r="M188" i="22" s="1"/>
  <c r="M189" i="22" s="1"/>
  <c r="M190" i="22" s="1"/>
  <c r="M191" i="22" s="1"/>
  <c r="M192" i="22" s="1"/>
  <c r="M193" i="22" s="1"/>
  <c r="M194" i="22" s="1"/>
  <c r="M195" i="22" s="1"/>
  <c r="M196" i="22" s="1"/>
  <c r="M197" i="22" s="1"/>
  <c r="M198" i="22" s="1"/>
  <c r="M199" i="22" s="1"/>
  <c r="M200" i="22" s="1"/>
  <c r="M201" i="22" s="1"/>
  <c r="M202" i="22" s="1"/>
  <c r="M203" i="22" s="1"/>
  <c r="M204" i="22" s="1"/>
  <c r="M205" i="22" s="1"/>
  <c r="M206" i="22" s="1"/>
  <c r="M207" i="22" s="1"/>
  <c r="M208" i="22" s="1"/>
  <c r="M209" i="22" s="1"/>
  <c r="M210" i="22" s="1"/>
  <c r="M211" i="22" s="1"/>
  <c r="M212" i="22" s="1"/>
  <c r="M213" i="22" s="1"/>
  <c r="M214" i="22" s="1"/>
  <c r="M215" i="22" s="1"/>
  <c r="M216" i="22" s="1"/>
  <c r="M217" i="22" s="1"/>
  <c r="M218" i="22" s="1"/>
  <c r="M219" i="22" s="1"/>
  <c r="M220" i="22" s="1"/>
  <c r="M221" i="22" s="1"/>
  <c r="M222" i="22" s="1"/>
  <c r="M223" i="22" s="1"/>
  <c r="M224" i="22" s="1"/>
  <c r="M225" i="22" s="1"/>
  <c r="M226" i="22" s="1"/>
  <c r="M227" i="22" s="1"/>
  <c r="M228" i="22" s="1"/>
  <c r="M229" i="22" s="1"/>
  <c r="M230" i="22" s="1"/>
  <c r="M231" i="22" s="1"/>
  <c r="M232" i="22" s="1"/>
  <c r="M233" i="22" s="1"/>
  <c r="M234" i="22" s="1"/>
  <c r="M235" i="22" s="1"/>
  <c r="M236" i="22" s="1"/>
  <c r="M237" i="22" s="1"/>
  <c r="M238" i="22" s="1"/>
  <c r="M239" i="22" s="1"/>
  <c r="M240" i="22" s="1"/>
  <c r="M241" i="22" s="1"/>
  <c r="M242" i="22" s="1"/>
  <c r="M243" i="22" s="1"/>
  <c r="M244" i="22" s="1"/>
  <c r="M245" i="22" s="1"/>
  <c r="M246" i="22" s="1"/>
  <c r="M247" i="22" s="1"/>
  <c r="M248" i="22" s="1"/>
  <c r="M249" i="22" s="1"/>
  <c r="M250" i="22" s="1"/>
  <c r="M251" i="22" s="1"/>
  <c r="M252" i="22" s="1"/>
  <c r="M253" i="22" s="1"/>
  <c r="M254" i="22" s="1"/>
  <c r="M255" i="22" s="1"/>
  <c r="M256" i="22" s="1"/>
  <c r="M257" i="22" s="1"/>
  <c r="M258" i="22" s="1"/>
  <c r="M259" i="22" s="1"/>
  <c r="M260" i="22" s="1"/>
  <c r="M261" i="22" s="1"/>
  <c r="M262" i="22" s="1"/>
  <c r="M263" i="22" s="1"/>
  <c r="M264" i="22" s="1"/>
  <c r="M265" i="22" s="1"/>
  <c r="M266" i="22" s="1"/>
  <c r="M267" i="22" s="1"/>
  <c r="M268" i="22" s="1"/>
  <c r="M269" i="22" s="1"/>
  <c r="M270" i="22" s="1"/>
  <c r="M271" i="22" s="1"/>
  <c r="M272" i="22" s="1"/>
  <c r="M273" i="22" s="1"/>
  <c r="M274" i="22" s="1"/>
  <c r="M275" i="22" s="1"/>
  <c r="M276" i="22" s="1"/>
  <c r="M277" i="22" s="1"/>
  <c r="M278" i="22" s="1"/>
  <c r="M279" i="22" s="1"/>
  <c r="M280" i="22" s="1"/>
  <c r="M281" i="22" s="1"/>
  <c r="M282" i="22" s="1"/>
  <c r="M283" i="22" s="1"/>
  <c r="M284" i="22" s="1"/>
  <c r="M285" i="22" s="1"/>
  <c r="M286" i="22" s="1"/>
  <c r="M287" i="22" s="1"/>
  <c r="M288" i="22" s="1"/>
  <c r="M289" i="22" s="1"/>
  <c r="M290" i="22" s="1"/>
  <c r="M291" i="22" s="1"/>
  <c r="M292" i="22" s="1"/>
  <c r="M293" i="22" s="1"/>
  <c r="M294" i="22" s="1"/>
  <c r="M295" i="22" s="1"/>
  <c r="M296" i="22" s="1"/>
  <c r="M297" i="22" s="1"/>
  <c r="M298" i="22" s="1"/>
  <c r="M299" i="22" s="1"/>
  <c r="M300" i="22" s="1"/>
  <c r="M301" i="22" s="1"/>
  <c r="M302" i="22" s="1"/>
  <c r="M303" i="22" s="1"/>
  <c r="M304" i="22" s="1"/>
  <c r="M305" i="22" s="1"/>
  <c r="M306" i="22" s="1"/>
  <c r="M307" i="22" s="1"/>
  <c r="M308" i="22" s="1"/>
  <c r="M309" i="22" s="1"/>
  <c r="M310" i="22" s="1"/>
  <c r="M311" i="22" s="1"/>
  <c r="M312" i="22" s="1"/>
  <c r="M313" i="22" s="1"/>
  <c r="M314" i="22" s="1"/>
  <c r="M315" i="22" s="1"/>
  <c r="M316" i="22" s="1"/>
  <c r="M317" i="22" s="1"/>
  <c r="M318" i="22" s="1"/>
  <c r="M319" i="22" s="1"/>
  <c r="M320" i="22" s="1"/>
  <c r="M321" i="22" s="1"/>
  <c r="M322" i="22" s="1"/>
  <c r="M323" i="22" s="1"/>
  <c r="M324" i="22" s="1"/>
  <c r="M325" i="22" s="1"/>
  <c r="M326" i="22" s="1"/>
  <c r="M327" i="22" s="1"/>
  <c r="M328" i="22" s="1"/>
  <c r="M329" i="22" s="1"/>
  <c r="M330" i="22" s="1"/>
  <c r="M331" i="22" s="1"/>
  <c r="M332" i="22" s="1"/>
  <c r="M333" i="22" s="1"/>
  <c r="M334" i="22" s="1"/>
  <c r="M335" i="22" s="1"/>
  <c r="M336" i="22" s="1"/>
  <c r="M337" i="22" s="1"/>
  <c r="M338" i="22" s="1"/>
  <c r="K21" i="5" l="1"/>
  <c r="K172" i="4" l="1"/>
  <c r="O18" i="19" l="1"/>
  <c r="B21" i="14" s="1"/>
  <c r="N3" i="19"/>
  <c r="N4" i="19" s="1"/>
  <c r="N5" i="19" s="1"/>
  <c r="N6" i="19" s="1"/>
  <c r="N7" i="19" s="1"/>
  <c r="N8" i="19" s="1"/>
  <c r="N9" i="19" s="1"/>
  <c r="N10" i="19" s="1"/>
  <c r="N11" i="19" s="1"/>
  <c r="N12" i="19" s="1"/>
  <c r="N13" i="19" s="1"/>
  <c r="N14" i="19" s="1"/>
  <c r="N15" i="19" s="1"/>
  <c r="N16" i="19" s="1"/>
  <c r="N17" i="19" s="1"/>
  <c r="N18" i="19" s="1"/>
  <c r="N19" i="19" s="1"/>
  <c r="N20" i="19" s="1"/>
  <c r="N21" i="19" s="1"/>
  <c r="N22" i="19" s="1"/>
  <c r="N23" i="19" l="1"/>
  <c r="K15" i="5"/>
  <c r="N24" i="19" l="1"/>
  <c r="N25" i="19" s="1"/>
  <c r="N26" i="19" s="1"/>
  <c r="N27" i="19" s="1"/>
  <c r="N28" i="19" s="1"/>
  <c r="L12" i="17"/>
  <c r="B31" i="14" s="1"/>
  <c r="K3" i="17"/>
  <c r="K4" i="17" s="1"/>
  <c r="K5" i="17" s="1"/>
  <c r="K6" i="17" s="1"/>
  <c r="K7" i="17" s="1"/>
  <c r="K8" i="17" s="1"/>
  <c r="K9" i="17" s="1"/>
  <c r="K10" i="17" s="1"/>
  <c r="K11" i="17" s="1"/>
  <c r="K12" i="17" s="1"/>
  <c r="K13" i="17" s="1"/>
  <c r="K14" i="17" s="1"/>
  <c r="K15" i="17" s="1"/>
  <c r="K16" i="17" s="1"/>
  <c r="K17" i="17" s="1"/>
  <c r="K18" i="17" s="1"/>
  <c r="K19" i="17" s="1"/>
  <c r="K20" i="17" s="1"/>
  <c r="K21" i="17" s="1"/>
  <c r="K22" i="17" s="1"/>
  <c r="K23" i="17" s="1"/>
  <c r="K24" i="17" s="1"/>
  <c r="K25" i="17" s="1"/>
  <c r="K26" i="17" s="1"/>
  <c r="K27" i="17" s="1"/>
  <c r="K28" i="17" s="1"/>
  <c r="K29" i="17" s="1"/>
  <c r="K30" i="17" s="1"/>
  <c r="K31" i="17" s="1"/>
  <c r="K32" i="17" s="1"/>
  <c r="K33" i="17" s="1"/>
  <c r="K34" i="17" s="1"/>
  <c r="K35" i="17" s="1"/>
  <c r="K36" i="17" s="1"/>
  <c r="K37" i="17" s="1"/>
  <c r="K38" i="17" s="1"/>
  <c r="K39" i="17" s="1"/>
  <c r="K40" i="17" s="1"/>
  <c r="K41" i="17" s="1"/>
  <c r="K42" i="17" s="1"/>
  <c r="K43" i="17" s="1"/>
  <c r="K44" i="17" s="1"/>
  <c r="K45" i="17" s="1"/>
  <c r="K46" i="17" s="1"/>
  <c r="K47" i="17" s="1"/>
  <c r="K48" i="17" s="1"/>
  <c r="K49" i="17" s="1"/>
  <c r="K50" i="17" s="1"/>
  <c r="K51" i="17" s="1"/>
  <c r="K52" i="17" s="1"/>
  <c r="K53" i="17" s="1"/>
  <c r="K54" i="17" s="1"/>
  <c r="K55" i="17" s="1"/>
  <c r="K56" i="17" s="1"/>
  <c r="K57" i="17" s="1"/>
  <c r="K58" i="17" s="1"/>
  <c r="K59" i="17" s="1"/>
  <c r="K60" i="17" s="1"/>
  <c r="K61" i="17" s="1"/>
  <c r="K62" i="17" s="1"/>
  <c r="K63" i="17" s="1"/>
  <c r="K64" i="17" s="1"/>
  <c r="K65" i="17" s="1"/>
  <c r="K66" i="17" s="1"/>
  <c r="K67" i="17" s="1"/>
  <c r="K68" i="17" s="1"/>
  <c r="K69" i="17" s="1"/>
  <c r="K70" i="17" s="1"/>
  <c r="K71" i="17" s="1"/>
  <c r="K72" i="17" s="1"/>
  <c r="K73" i="17" s="1"/>
  <c r="K74" i="17" s="1"/>
  <c r="K75" i="17" s="1"/>
  <c r="K76" i="17" s="1"/>
  <c r="K77" i="17" s="1"/>
  <c r="K78" i="17" s="1"/>
  <c r="K79" i="17" s="1"/>
  <c r="K80" i="17" s="1"/>
  <c r="K81" i="17" s="1"/>
  <c r="K82" i="17" s="1"/>
  <c r="K83" i="17" s="1"/>
  <c r="K84" i="17" s="1"/>
  <c r="K85" i="17" s="1"/>
  <c r="K86" i="17" s="1"/>
  <c r="K87" i="17" s="1"/>
  <c r="K88" i="17" s="1"/>
  <c r="K89" i="17" s="1"/>
  <c r="K90" i="17" s="1"/>
  <c r="K91" i="17" s="1"/>
  <c r="K92" i="17" s="1"/>
  <c r="K93" i="17" s="1"/>
  <c r="K94" i="17" s="1"/>
  <c r="K95" i="17" s="1"/>
  <c r="K96" i="17" s="1"/>
  <c r="K97" i="17" s="1"/>
  <c r="K98" i="17" s="1"/>
  <c r="K99" i="17" s="1"/>
  <c r="K100" i="17" s="1"/>
  <c r="K101" i="17" s="1"/>
  <c r="K102" i="17" s="1"/>
  <c r="K103" i="17" s="1"/>
  <c r="K104" i="17" s="1"/>
  <c r="K105" i="17" s="1"/>
  <c r="K106" i="17" s="1"/>
  <c r="K107" i="17" s="1"/>
  <c r="K108" i="17" s="1"/>
  <c r="K109" i="17" s="1"/>
  <c r="K110" i="17" s="1"/>
  <c r="K111" i="17" s="1"/>
  <c r="K112" i="17" s="1"/>
  <c r="K113" i="17" s="1"/>
  <c r="K114" i="17" s="1"/>
  <c r="K115" i="17" s="1"/>
  <c r="K116" i="17" s="1"/>
  <c r="K117" i="17" s="1"/>
  <c r="K118" i="17" s="1"/>
  <c r="K119" i="17" s="1"/>
  <c r="K120" i="17" s="1"/>
  <c r="K121" i="17" s="1"/>
  <c r="K122" i="17" s="1"/>
  <c r="K123" i="17" s="1"/>
  <c r="K124" i="17" s="1"/>
  <c r="K125" i="17" s="1"/>
  <c r="K126" i="17" s="1"/>
  <c r="K127" i="17" s="1"/>
  <c r="K128" i="17" s="1"/>
  <c r="K129" i="17" s="1"/>
  <c r="K130" i="17" s="1"/>
  <c r="K131" i="17" s="1"/>
  <c r="K132" i="17" s="1"/>
  <c r="K133" i="17" s="1"/>
  <c r="K134" i="17" s="1"/>
  <c r="K135" i="17" s="1"/>
  <c r="K136" i="17" s="1"/>
  <c r="K137" i="17" s="1"/>
  <c r="K138" i="17" s="1"/>
  <c r="K139" i="17" s="1"/>
  <c r="K140" i="17" s="1"/>
  <c r="K141" i="17" s="1"/>
  <c r="K142" i="17" s="1"/>
  <c r="K143" i="17" s="1"/>
  <c r="K144" i="17" s="1"/>
  <c r="K145" i="17" s="1"/>
  <c r="K146" i="17" s="1"/>
  <c r="K147" i="17" s="1"/>
  <c r="K148" i="17" s="1"/>
  <c r="K149" i="17" s="1"/>
  <c r="K150" i="17" s="1"/>
  <c r="K151" i="17" s="1"/>
  <c r="K152" i="17" s="1"/>
  <c r="K153" i="17" s="1"/>
  <c r="K154" i="17" s="1"/>
  <c r="K155" i="17" s="1"/>
  <c r="K156" i="17" s="1"/>
  <c r="K157" i="17" s="1"/>
  <c r="K158" i="17" s="1"/>
  <c r="K159" i="17" s="1"/>
  <c r="K160" i="17" s="1"/>
  <c r="K161" i="17" s="1"/>
  <c r="K162" i="17" s="1"/>
  <c r="K163" i="17" s="1"/>
  <c r="K164" i="17" s="1"/>
  <c r="K165" i="17" s="1"/>
  <c r="K166" i="17" s="1"/>
  <c r="K167" i="17" s="1"/>
  <c r="K168" i="17" s="1"/>
  <c r="K169" i="17" s="1"/>
  <c r="K170" i="17" s="1"/>
  <c r="K171" i="17" s="1"/>
  <c r="K172" i="17" s="1"/>
  <c r="K173" i="17" s="1"/>
  <c r="K174" i="17" s="1"/>
  <c r="K175" i="17" s="1"/>
  <c r="K176" i="17" s="1"/>
  <c r="K177" i="17" s="1"/>
  <c r="K178" i="17" s="1"/>
  <c r="K179" i="17" s="1"/>
  <c r="K180" i="17" s="1"/>
  <c r="K181" i="17" s="1"/>
  <c r="K182" i="17" s="1"/>
  <c r="K183" i="17" s="1"/>
  <c r="K184" i="17" s="1"/>
  <c r="K185" i="17" s="1"/>
  <c r="K186" i="17" s="1"/>
  <c r="K187" i="17" s="1"/>
  <c r="K188" i="17" s="1"/>
  <c r="K189" i="17" s="1"/>
  <c r="K190" i="17" s="1"/>
  <c r="K191" i="17" s="1"/>
  <c r="K192" i="17" s="1"/>
  <c r="K193" i="17" s="1"/>
  <c r="K194" i="17" s="1"/>
  <c r="K195" i="17" s="1"/>
  <c r="K196" i="17" s="1"/>
  <c r="K197" i="17" s="1"/>
  <c r="K198" i="17" s="1"/>
  <c r="K199" i="17" s="1"/>
  <c r="K200" i="17" s="1"/>
  <c r="K201" i="17" s="1"/>
  <c r="K202" i="17" s="1"/>
  <c r="K203" i="17" s="1"/>
  <c r="K204" i="17" s="1"/>
  <c r="K205" i="17" s="1"/>
  <c r="K206" i="17" s="1"/>
  <c r="K207" i="17" s="1"/>
  <c r="K208" i="17" s="1"/>
  <c r="K209" i="17" s="1"/>
  <c r="K210" i="17" s="1"/>
  <c r="K211" i="17" s="1"/>
  <c r="K212" i="17" s="1"/>
  <c r="K213" i="17" s="1"/>
  <c r="K214" i="17" s="1"/>
  <c r="K215" i="17" s="1"/>
  <c r="K216" i="17" s="1"/>
  <c r="K217" i="17" s="1"/>
  <c r="K218" i="17" s="1"/>
  <c r="K219" i="17" s="1"/>
  <c r="K220" i="17" s="1"/>
  <c r="K221" i="17" s="1"/>
  <c r="K222" i="17" s="1"/>
  <c r="K223" i="17" s="1"/>
  <c r="K224" i="17" s="1"/>
  <c r="K225" i="17" s="1"/>
  <c r="K226" i="17" s="1"/>
  <c r="K227" i="17" s="1"/>
  <c r="K228" i="17" s="1"/>
  <c r="K229" i="17" s="1"/>
  <c r="K230" i="17" s="1"/>
  <c r="K231" i="17" s="1"/>
  <c r="K232" i="17" s="1"/>
  <c r="K233" i="17" s="1"/>
  <c r="K234" i="17" s="1"/>
  <c r="K235" i="17" s="1"/>
  <c r="K236" i="17" s="1"/>
  <c r="K237" i="17" s="1"/>
  <c r="K238" i="17" s="1"/>
  <c r="K239" i="17" s="1"/>
  <c r="K240" i="17" s="1"/>
  <c r="K241" i="17" s="1"/>
  <c r="K242" i="17" s="1"/>
  <c r="K243" i="17" s="1"/>
  <c r="K244" i="17" s="1"/>
  <c r="K245" i="17" s="1"/>
  <c r="K246" i="17" s="1"/>
  <c r="K247" i="17" s="1"/>
  <c r="K248" i="17" s="1"/>
  <c r="K249" i="17" s="1"/>
  <c r="K250" i="17" s="1"/>
  <c r="K251" i="17" s="1"/>
  <c r="K252" i="17" s="1"/>
  <c r="K253" i="17" s="1"/>
  <c r="K254" i="17" s="1"/>
  <c r="K255" i="17" s="1"/>
  <c r="K256" i="17" s="1"/>
  <c r="K257" i="17" s="1"/>
  <c r="K258" i="17" s="1"/>
  <c r="K259" i="17" s="1"/>
  <c r="K260" i="17" s="1"/>
  <c r="K261" i="17" s="1"/>
  <c r="K262" i="17" s="1"/>
  <c r="K263" i="17" s="1"/>
  <c r="K264" i="17" s="1"/>
  <c r="K265" i="17" s="1"/>
  <c r="K266" i="17" s="1"/>
  <c r="K267" i="17" s="1"/>
  <c r="K268" i="17" s="1"/>
  <c r="K269" i="17" s="1"/>
  <c r="K270" i="17" s="1"/>
  <c r="K271" i="17" s="1"/>
  <c r="K272" i="17" s="1"/>
  <c r="K273" i="17" s="1"/>
  <c r="K274" i="17" s="1"/>
  <c r="K275" i="17" s="1"/>
  <c r="K276" i="17" s="1"/>
  <c r="K277" i="17" s="1"/>
  <c r="K278" i="17" s="1"/>
  <c r="K279" i="17" s="1"/>
  <c r="K280" i="17" s="1"/>
  <c r="K281" i="17" s="1"/>
  <c r="K282" i="17" s="1"/>
  <c r="K283" i="17" s="1"/>
  <c r="K284" i="17" s="1"/>
  <c r="K285" i="17" s="1"/>
  <c r="K286" i="17" s="1"/>
  <c r="K287" i="17" s="1"/>
  <c r="K288" i="17" s="1"/>
  <c r="K289" i="17" s="1"/>
  <c r="K290" i="17" s="1"/>
  <c r="K291" i="17" s="1"/>
  <c r="K292" i="17" s="1"/>
  <c r="K293" i="17" s="1"/>
  <c r="K294" i="17" s="1"/>
  <c r="K295" i="17" s="1"/>
  <c r="K296" i="17" s="1"/>
  <c r="K297" i="17" s="1"/>
  <c r="K298" i="17" s="1"/>
  <c r="K299" i="17" s="1"/>
  <c r="K300" i="17" s="1"/>
  <c r="K301" i="17" s="1"/>
  <c r="K302" i="17" s="1"/>
  <c r="K303" i="17" s="1"/>
  <c r="K304" i="17" s="1"/>
  <c r="K305" i="17" s="1"/>
  <c r="K306" i="17" s="1"/>
  <c r="K307" i="17" s="1"/>
  <c r="K308" i="17" s="1"/>
  <c r="K309" i="17" s="1"/>
  <c r="K310" i="17" s="1"/>
  <c r="K311" i="17" s="1"/>
  <c r="K312" i="17" s="1"/>
  <c r="K313" i="17" s="1"/>
  <c r="K314" i="17" s="1"/>
  <c r="K315" i="17" s="1"/>
  <c r="K316" i="17" s="1"/>
  <c r="K317" i="17" s="1"/>
  <c r="K318" i="17" s="1"/>
  <c r="K319" i="17" s="1"/>
  <c r="K320" i="17" s="1"/>
  <c r="K321" i="17" s="1"/>
  <c r="K322" i="17" s="1"/>
  <c r="K323" i="17" s="1"/>
  <c r="K324" i="17" s="1"/>
  <c r="K325" i="17" s="1"/>
  <c r="K326" i="17" s="1"/>
  <c r="K327" i="17" s="1"/>
  <c r="K328" i="17" s="1"/>
  <c r="K329" i="17" s="1"/>
  <c r="K330" i="17" s="1"/>
  <c r="K331" i="17" s="1"/>
  <c r="K332" i="17" s="1"/>
  <c r="K333" i="17" s="1"/>
  <c r="N29" i="19" l="1"/>
  <c r="N30" i="19" s="1"/>
  <c r="K157" i="4"/>
  <c r="K158" i="4"/>
  <c r="K165" i="4"/>
  <c r="K166" i="4"/>
  <c r="K167" i="4"/>
  <c r="K4" i="4"/>
  <c r="K5" i="4"/>
  <c r="K6" i="4"/>
  <c r="K8" i="4"/>
  <c r="K10" i="4"/>
  <c r="K11" i="4"/>
  <c r="K13" i="4"/>
  <c r="K19" i="4"/>
  <c r="K23" i="4"/>
  <c r="K24" i="4"/>
  <c r="K26" i="4"/>
  <c r="K37" i="4"/>
  <c r="K38" i="4"/>
  <c r="K40" i="4"/>
  <c r="K42" i="4"/>
  <c r="K45" i="4"/>
  <c r="K46" i="4"/>
  <c r="K47" i="4"/>
  <c r="K51" i="4"/>
  <c r="K55" i="4"/>
  <c r="K58" i="4"/>
  <c r="K59" i="4"/>
  <c r="K64" i="4"/>
  <c r="K65" i="4"/>
  <c r="K68" i="4"/>
  <c r="K76" i="4"/>
  <c r="K77" i="4"/>
  <c r="K86" i="4"/>
  <c r="K91" i="4"/>
  <c r="K92" i="4"/>
  <c r="K93" i="4"/>
  <c r="K98" i="4"/>
  <c r="K99" i="4"/>
  <c r="K101" i="4"/>
  <c r="K102" i="4"/>
  <c r="K103" i="4"/>
  <c r="K113" i="4"/>
  <c r="K117" i="4"/>
  <c r="K122" i="4"/>
  <c r="K123" i="4"/>
  <c r="K132" i="4"/>
  <c r="K133" i="4"/>
  <c r="K134" i="4"/>
  <c r="K137" i="4"/>
  <c r="K138" i="4"/>
  <c r="K144" i="4"/>
  <c r="K145" i="4"/>
  <c r="K146" i="4"/>
  <c r="K147" i="4"/>
  <c r="K148" i="4"/>
  <c r="K149" i="4"/>
  <c r="K154" i="4"/>
  <c r="K155" i="4"/>
  <c r="K168" i="4"/>
  <c r="K169" i="4"/>
  <c r="K170" i="4"/>
  <c r="K171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3" i="4"/>
  <c r="K274" i="4"/>
  <c r="K275" i="4"/>
  <c r="K276" i="4"/>
  <c r="K277" i="4"/>
  <c r="K278" i="4"/>
  <c r="K279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N31" i="19" l="1"/>
  <c r="N32" i="19" s="1"/>
  <c r="N33" i="19" s="1"/>
  <c r="N34" i="19" s="1"/>
  <c r="N35" i="19" s="1"/>
  <c r="N36" i="19" s="1"/>
  <c r="N40" i="19" s="1"/>
  <c r="N41" i="19" s="1"/>
  <c r="N42" i="19" s="1"/>
  <c r="N43" i="19" s="1"/>
  <c r="N44" i="19" s="1"/>
  <c r="N45" i="19" s="1"/>
  <c r="N46" i="19" s="1"/>
  <c r="N47" i="19" s="1"/>
  <c r="N48" i="19" s="1"/>
  <c r="N49" i="19" s="1"/>
  <c r="N50" i="19" s="1"/>
  <c r="N51" i="19" s="1"/>
  <c r="N52" i="19" s="1"/>
  <c r="N53" i="19" s="1"/>
  <c r="N54" i="19" s="1"/>
  <c r="N55" i="19" s="1"/>
  <c r="N56" i="19" s="1"/>
  <c r="N57" i="19" s="1"/>
  <c r="N58" i="19" s="1"/>
  <c r="N59" i="19" s="1"/>
  <c r="N60" i="19" s="1"/>
  <c r="N61" i="19" s="1"/>
  <c r="N62" i="19" s="1"/>
  <c r="N63" i="19" s="1"/>
  <c r="N64" i="19" s="1"/>
  <c r="N65" i="19" s="1"/>
  <c r="N66" i="19" s="1"/>
  <c r="N67" i="19" s="1"/>
  <c r="N68" i="19" s="1"/>
  <c r="N69" i="19" s="1"/>
  <c r="N70" i="19" s="1"/>
  <c r="N71" i="19" s="1"/>
  <c r="N72" i="19" s="1"/>
  <c r="N73" i="19" s="1"/>
  <c r="N74" i="19" s="1"/>
  <c r="N75" i="19" s="1"/>
  <c r="N76" i="19" s="1"/>
  <c r="N77" i="19" s="1"/>
  <c r="N78" i="19" s="1"/>
  <c r="N79" i="19" s="1"/>
  <c r="N80" i="19" s="1"/>
  <c r="N81" i="19" s="1"/>
  <c r="N82" i="19" s="1"/>
  <c r="N83" i="19" s="1"/>
  <c r="N84" i="19" s="1"/>
  <c r="N85" i="19" s="1"/>
  <c r="N86" i="19" s="1"/>
  <c r="N87" i="19" s="1"/>
  <c r="N88" i="19" s="1"/>
  <c r="N89" i="19" s="1"/>
  <c r="N90" i="19" s="1"/>
  <c r="N91" i="19" s="1"/>
  <c r="N92" i="19" s="1"/>
  <c r="N93" i="19" s="1"/>
  <c r="N94" i="19" s="1"/>
  <c r="N95" i="19" s="1"/>
  <c r="N96" i="19" s="1"/>
  <c r="N97" i="19" s="1"/>
  <c r="N98" i="19" s="1"/>
  <c r="N99" i="19" s="1"/>
  <c r="N100" i="19" s="1"/>
  <c r="N101" i="19" s="1"/>
  <c r="N102" i="19" s="1"/>
  <c r="N103" i="19" s="1"/>
  <c r="N104" i="19" s="1"/>
  <c r="N105" i="19" s="1"/>
  <c r="N106" i="19" s="1"/>
  <c r="N107" i="19" s="1"/>
  <c r="N108" i="19" s="1"/>
  <c r="N109" i="19" s="1"/>
  <c r="N110" i="19" s="1"/>
  <c r="N111" i="19" s="1"/>
  <c r="N112" i="19" s="1"/>
  <c r="N113" i="19" s="1"/>
  <c r="N114" i="19" s="1"/>
  <c r="N115" i="19" s="1"/>
  <c r="N116" i="19" s="1"/>
  <c r="N117" i="19" s="1"/>
  <c r="N118" i="19" s="1"/>
  <c r="N119" i="19" s="1"/>
  <c r="N120" i="19" s="1"/>
  <c r="N121" i="19" s="1"/>
  <c r="N122" i="19" s="1"/>
  <c r="N123" i="19" s="1"/>
  <c r="N124" i="19" s="1"/>
  <c r="N125" i="19" s="1"/>
  <c r="N126" i="19" s="1"/>
  <c r="N127" i="19" s="1"/>
  <c r="N128" i="19" s="1"/>
  <c r="N129" i="19" s="1"/>
  <c r="N130" i="19" s="1"/>
  <c r="N131" i="19" s="1"/>
  <c r="N132" i="19" s="1"/>
  <c r="N133" i="19" s="1"/>
  <c r="N134" i="19" s="1"/>
  <c r="N135" i="19" s="1"/>
  <c r="N136" i="19" s="1"/>
  <c r="N137" i="19" s="1"/>
  <c r="N138" i="19" s="1"/>
  <c r="N139" i="19" s="1"/>
  <c r="N140" i="19" s="1"/>
  <c r="N141" i="19" s="1"/>
  <c r="N142" i="19" s="1"/>
  <c r="N143" i="19" s="1"/>
  <c r="N144" i="19" s="1"/>
  <c r="N145" i="19" s="1"/>
  <c r="N146" i="19" s="1"/>
  <c r="N147" i="19" s="1"/>
  <c r="N148" i="19" s="1"/>
  <c r="N149" i="19" s="1"/>
  <c r="N150" i="19" s="1"/>
  <c r="N151" i="19" s="1"/>
  <c r="N152" i="19" s="1"/>
  <c r="N153" i="19" s="1"/>
  <c r="N154" i="19" s="1"/>
  <c r="N155" i="19" s="1"/>
  <c r="N156" i="19" s="1"/>
  <c r="N157" i="19" s="1"/>
  <c r="N158" i="19" s="1"/>
  <c r="N159" i="19" s="1"/>
  <c r="N160" i="19" s="1"/>
  <c r="N161" i="19" s="1"/>
  <c r="N162" i="19" s="1"/>
  <c r="N163" i="19" s="1"/>
  <c r="N164" i="19" s="1"/>
  <c r="N165" i="19" s="1"/>
  <c r="N166" i="19" s="1"/>
  <c r="N167" i="19" s="1"/>
  <c r="N168" i="19" s="1"/>
  <c r="N169" i="19" s="1"/>
  <c r="N170" i="19" s="1"/>
  <c r="N171" i="19" s="1"/>
  <c r="N172" i="19" s="1"/>
  <c r="N173" i="19" s="1"/>
  <c r="N174" i="19" s="1"/>
  <c r="N175" i="19" s="1"/>
  <c r="N176" i="19" s="1"/>
  <c r="N177" i="19" s="1"/>
  <c r="N178" i="19" s="1"/>
  <c r="N179" i="19" s="1"/>
  <c r="N180" i="19" s="1"/>
  <c r="N181" i="19" s="1"/>
  <c r="N182" i="19" s="1"/>
  <c r="N183" i="19" s="1"/>
  <c r="N184" i="19" s="1"/>
  <c r="N185" i="19" s="1"/>
  <c r="N186" i="19" s="1"/>
  <c r="N187" i="19" s="1"/>
  <c r="N188" i="19" s="1"/>
  <c r="N189" i="19" s="1"/>
  <c r="N190" i="19" s="1"/>
  <c r="N191" i="19" s="1"/>
  <c r="N192" i="19" s="1"/>
  <c r="N193" i="19" s="1"/>
  <c r="N194" i="19" s="1"/>
  <c r="N195" i="19" s="1"/>
  <c r="N196" i="19" s="1"/>
  <c r="N197" i="19" s="1"/>
  <c r="N198" i="19" s="1"/>
  <c r="N199" i="19" s="1"/>
  <c r="N200" i="19" s="1"/>
  <c r="N201" i="19" s="1"/>
  <c r="N202" i="19" s="1"/>
  <c r="N203" i="19" s="1"/>
  <c r="N204" i="19" s="1"/>
  <c r="N205" i="19" s="1"/>
  <c r="N206" i="19" s="1"/>
  <c r="N207" i="19" s="1"/>
  <c r="N208" i="19" s="1"/>
  <c r="N209" i="19" s="1"/>
  <c r="N210" i="19" s="1"/>
  <c r="N211" i="19" s="1"/>
  <c r="N212" i="19" s="1"/>
  <c r="N213" i="19" s="1"/>
  <c r="N214" i="19" s="1"/>
  <c r="N215" i="19" s="1"/>
  <c r="N216" i="19" s="1"/>
  <c r="N217" i="19" s="1"/>
  <c r="N218" i="19" s="1"/>
  <c r="N219" i="19" s="1"/>
  <c r="N220" i="19" s="1"/>
  <c r="N221" i="19" s="1"/>
  <c r="N222" i="19" s="1"/>
  <c r="N223" i="19" s="1"/>
  <c r="N224" i="19" s="1"/>
  <c r="N225" i="19" s="1"/>
  <c r="N226" i="19" s="1"/>
  <c r="N227" i="19" s="1"/>
  <c r="N228" i="19" s="1"/>
  <c r="N229" i="19" s="1"/>
  <c r="N230" i="19" s="1"/>
  <c r="N231" i="19" s="1"/>
  <c r="N232" i="19" s="1"/>
  <c r="N233" i="19" s="1"/>
  <c r="N234" i="19" s="1"/>
  <c r="N235" i="19" s="1"/>
  <c r="N236" i="19" s="1"/>
  <c r="N237" i="19" s="1"/>
  <c r="N238" i="19" s="1"/>
  <c r="N239" i="19" s="1"/>
  <c r="N240" i="19" s="1"/>
  <c r="N241" i="19" s="1"/>
  <c r="N242" i="19" s="1"/>
  <c r="N243" i="19" s="1"/>
  <c r="N244" i="19" s="1"/>
  <c r="N245" i="19" s="1"/>
  <c r="N246" i="19" s="1"/>
  <c r="N247" i="19" s="1"/>
  <c r="N248" i="19" s="1"/>
  <c r="N249" i="19" s="1"/>
  <c r="N250" i="19" s="1"/>
  <c r="N251" i="19" s="1"/>
  <c r="N252" i="19" s="1"/>
  <c r="N253" i="19" s="1"/>
  <c r="N254" i="19" s="1"/>
  <c r="N255" i="19" s="1"/>
  <c r="N256" i="19" s="1"/>
  <c r="N257" i="19" s="1"/>
  <c r="N258" i="19" s="1"/>
  <c r="N259" i="19" s="1"/>
  <c r="N260" i="19" s="1"/>
  <c r="N261" i="19" s="1"/>
  <c r="N262" i="19" s="1"/>
  <c r="N263" i="19" s="1"/>
  <c r="N264" i="19" s="1"/>
  <c r="N265" i="19" s="1"/>
  <c r="N266" i="19" s="1"/>
  <c r="N267" i="19" s="1"/>
  <c r="N268" i="19" s="1"/>
  <c r="N269" i="19" s="1"/>
  <c r="N270" i="19" s="1"/>
  <c r="N271" i="19" s="1"/>
  <c r="N272" i="19" s="1"/>
  <c r="N273" i="19" s="1"/>
  <c r="N274" i="19" s="1"/>
  <c r="N275" i="19" s="1"/>
  <c r="N276" i="19" s="1"/>
  <c r="N277" i="19" s="1"/>
  <c r="N278" i="19" s="1"/>
  <c r="N279" i="19" s="1"/>
  <c r="N280" i="19" s="1"/>
  <c r="N281" i="19" s="1"/>
  <c r="N282" i="19" s="1"/>
  <c r="N283" i="19" s="1"/>
  <c r="N284" i="19" s="1"/>
  <c r="N285" i="19" s="1"/>
  <c r="N286" i="19" s="1"/>
  <c r="N287" i="19" s="1"/>
  <c r="N288" i="19" s="1"/>
  <c r="N289" i="19" s="1"/>
  <c r="N290" i="19" s="1"/>
  <c r="N291" i="19" s="1"/>
  <c r="N292" i="19" s="1"/>
  <c r="N293" i="19" s="1"/>
  <c r="N294" i="19" s="1"/>
  <c r="N295" i="19" s="1"/>
  <c r="N296" i="19" s="1"/>
  <c r="N297" i="19" s="1"/>
  <c r="N298" i="19" s="1"/>
  <c r="N299" i="19" s="1"/>
  <c r="N300" i="19" s="1"/>
  <c r="N301" i="19" s="1"/>
  <c r="N302" i="19" s="1"/>
  <c r="N303" i="19" s="1"/>
  <c r="N304" i="19" s="1"/>
  <c r="N305" i="19" s="1"/>
  <c r="N306" i="19" s="1"/>
  <c r="N307" i="19" s="1"/>
  <c r="N308" i="19" s="1"/>
  <c r="N309" i="19" s="1"/>
  <c r="N310" i="19" s="1"/>
  <c r="N311" i="19" s="1"/>
  <c r="N312" i="19" s="1"/>
  <c r="N313" i="19" s="1"/>
  <c r="N314" i="19" s="1"/>
  <c r="N315" i="19" s="1"/>
  <c r="N316" i="19" s="1"/>
  <c r="N317" i="19" s="1"/>
  <c r="N318" i="19" s="1"/>
  <c r="N319" i="19" s="1"/>
  <c r="N320" i="19" s="1"/>
  <c r="N321" i="19" s="1"/>
  <c r="N322" i="19" s="1"/>
  <c r="N323" i="19" s="1"/>
  <c r="N324" i="19" s="1"/>
  <c r="N325" i="19" s="1"/>
  <c r="N326" i="19" s="1"/>
  <c r="N327" i="19" s="1"/>
  <c r="N328" i="19" s="1"/>
  <c r="N329" i="19" s="1"/>
  <c r="N330" i="19" s="1"/>
  <c r="N331" i="19" s="1"/>
  <c r="N332" i="19" s="1"/>
  <c r="N333" i="19" s="1"/>
  <c r="N334" i="19" s="1"/>
  <c r="N335" i="19" s="1"/>
  <c r="N336" i="19" s="1"/>
  <c r="N337" i="19" s="1"/>
  <c r="N338" i="19" s="1"/>
  <c r="N339" i="19" s="1"/>
  <c r="N340" i="19" s="1"/>
  <c r="N341" i="19" s="1"/>
  <c r="N342" i="19" s="1"/>
  <c r="N343" i="19" s="1"/>
  <c r="N344" i="19" s="1"/>
  <c r="N345" i="19" s="1"/>
  <c r="N346" i="19" s="1"/>
  <c r="N347" i="19" s="1"/>
  <c r="N348" i="19" s="1"/>
  <c r="N349" i="19" s="1"/>
  <c r="N350" i="19" s="1"/>
  <c r="N351" i="19" s="1"/>
  <c r="N352" i="19" s="1"/>
  <c r="N353" i="19" s="1"/>
  <c r="N354" i="19" s="1"/>
  <c r="N355" i="19" s="1"/>
  <c r="N356" i="19" s="1"/>
  <c r="N357" i="19" s="1"/>
  <c r="N358" i="19" s="1"/>
  <c r="N359" i="19" s="1"/>
  <c r="N360" i="19" s="1"/>
  <c r="N361" i="19" s="1"/>
  <c r="N362" i="19" s="1"/>
  <c r="K164" i="4"/>
  <c r="K348" i="16" l="1"/>
  <c r="K347" i="16"/>
  <c r="K346" i="16"/>
  <c r="K345" i="16"/>
  <c r="K344" i="16"/>
  <c r="K343" i="16"/>
  <c r="K342" i="16"/>
  <c r="K341" i="16"/>
  <c r="K340" i="16"/>
  <c r="K339" i="16"/>
  <c r="K338" i="16"/>
  <c r="K337" i="16"/>
  <c r="K336" i="16"/>
  <c r="K335" i="16"/>
  <c r="K334" i="16"/>
  <c r="K333" i="16"/>
  <c r="K332" i="16"/>
  <c r="K331" i="16"/>
  <c r="K330" i="16"/>
  <c r="K329" i="16"/>
  <c r="K328" i="16"/>
  <c r="K327" i="16"/>
  <c r="K326" i="16"/>
  <c r="K325" i="16"/>
  <c r="K324" i="16"/>
  <c r="K323" i="16"/>
  <c r="K322" i="16"/>
  <c r="K321" i="16"/>
  <c r="K320" i="16"/>
  <c r="K319" i="16"/>
  <c r="K318" i="16"/>
  <c r="K317" i="16"/>
  <c r="K316" i="16"/>
  <c r="K315" i="16"/>
  <c r="K314" i="16"/>
  <c r="K313" i="16"/>
  <c r="K312" i="16"/>
  <c r="K311" i="16"/>
  <c r="K310" i="16"/>
  <c r="K309" i="16"/>
  <c r="K308" i="16"/>
  <c r="K307" i="16"/>
  <c r="K306" i="16"/>
  <c r="K305" i="16"/>
  <c r="K304" i="16"/>
  <c r="K303" i="16"/>
  <c r="K302" i="16"/>
  <c r="K301" i="16"/>
  <c r="K300" i="16"/>
  <c r="K299" i="16"/>
  <c r="K298" i="16"/>
  <c r="K297" i="16"/>
  <c r="K296" i="16"/>
  <c r="K295" i="16"/>
  <c r="K294" i="16"/>
  <c r="K293" i="16"/>
  <c r="K292" i="16"/>
  <c r="K291" i="16"/>
  <c r="K290" i="16"/>
  <c r="K289" i="16"/>
  <c r="K288" i="16"/>
  <c r="K287" i="16"/>
  <c r="K286" i="16"/>
  <c r="K285" i="16"/>
  <c r="K284" i="16"/>
  <c r="K283" i="16"/>
  <c r="K282" i="16"/>
  <c r="K281" i="16"/>
  <c r="K280" i="16"/>
  <c r="K279" i="16"/>
  <c r="K278" i="16"/>
  <c r="K277" i="16"/>
  <c r="K276" i="16"/>
  <c r="K275" i="16"/>
  <c r="K274" i="16"/>
  <c r="K273" i="16"/>
  <c r="K272" i="16"/>
  <c r="K271" i="16"/>
  <c r="K270" i="16"/>
  <c r="K269" i="16"/>
  <c r="K268" i="16"/>
  <c r="K267" i="16"/>
  <c r="K266" i="16"/>
  <c r="K265" i="16"/>
  <c r="K264" i="16"/>
  <c r="K263" i="16"/>
  <c r="K262" i="16"/>
  <c r="K261" i="16"/>
  <c r="K260" i="16"/>
  <c r="K259" i="16"/>
  <c r="K258" i="16"/>
  <c r="K257" i="16"/>
  <c r="K256" i="16"/>
  <c r="K255" i="16"/>
  <c r="K254" i="16"/>
  <c r="K253" i="16"/>
  <c r="K252" i="16"/>
  <c r="K251" i="16"/>
  <c r="K250" i="16"/>
  <c r="K249" i="16"/>
  <c r="K248" i="16"/>
  <c r="K247" i="16"/>
  <c r="K246" i="16"/>
  <c r="K245" i="16"/>
  <c r="K244" i="16"/>
  <c r="K243" i="16"/>
  <c r="K242" i="16"/>
  <c r="K241" i="16"/>
  <c r="K240" i="16"/>
  <c r="K239" i="16"/>
  <c r="K238" i="16"/>
  <c r="K237" i="16"/>
  <c r="K236" i="16"/>
  <c r="K235" i="16"/>
  <c r="K234" i="16"/>
  <c r="K233" i="16"/>
  <c r="K232" i="16"/>
  <c r="K231" i="16"/>
  <c r="K230" i="16"/>
  <c r="K229" i="16"/>
  <c r="K228" i="16"/>
  <c r="K227" i="16"/>
  <c r="K226" i="16"/>
  <c r="K225" i="16"/>
  <c r="K224" i="16"/>
  <c r="K223" i="16"/>
  <c r="K222" i="16"/>
  <c r="K221" i="16"/>
  <c r="K220" i="16"/>
  <c r="K219" i="16"/>
  <c r="K218" i="16"/>
  <c r="K217" i="16"/>
  <c r="K216" i="16"/>
  <c r="K215" i="16"/>
  <c r="K214" i="16"/>
  <c r="K213" i="16"/>
  <c r="K212" i="16"/>
  <c r="K211" i="16"/>
  <c r="K210" i="16"/>
  <c r="K209" i="16"/>
  <c r="K208" i="16"/>
  <c r="K207" i="16"/>
  <c r="K206" i="16"/>
  <c r="K205" i="16"/>
  <c r="K204" i="16"/>
  <c r="K203" i="16"/>
  <c r="K202" i="16"/>
  <c r="K201" i="16"/>
  <c r="K200" i="16"/>
  <c r="K199" i="16"/>
  <c r="K198" i="16"/>
  <c r="K197" i="16"/>
  <c r="K196" i="16"/>
  <c r="K195" i="16"/>
  <c r="K194" i="16"/>
  <c r="K193" i="16"/>
  <c r="K192" i="16"/>
  <c r="K191" i="16"/>
  <c r="K190" i="16"/>
  <c r="K189" i="16"/>
  <c r="K188" i="16"/>
  <c r="K187" i="16"/>
  <c r="K186" i="16"/>
  <c r="K185" i="16"/>
  <c r="K184" i="16"/>
  <c r="K183" i="16"/>
  <c r="K182" i="16"/>
  <c r="K181" i="16"/>
  <c r="K180" i="16"/>
  <c r="K179" i="16"/>
  <c r="K178" i="16"/>
  <c r="K177" i="16"/>
  <c r="K176" i="16"/>
  <c r="K175" i="16"/>
  <c r="K174" i="16"/>
  <c r="K173" i="16"/>
  <c r="K172" i="16"/>
  <c r="K171" i="16"/>
  <c r="K170" i="16"/>
  <c r="K169" i="16"/>
  <c r="K168" i="16"/>
  <c r="K167" i="16"/>
  <c r="K166" i="16"/>
  <c r="K165" i="16"/>
  <c r="K164" i="16"/>
  <c r="K163" i="16"/>
  <c r="K162" i="16"/>
  <c r="K161" i="16"/>
  <c r="K160" i="16"/>
  <c r="K159" i="16"/>
  <c r="K158" i="16"/>
  <c r="K157" i="16"/>
  <c r="K156" i="16"/>
  <c r="K155" i="16"/>
  <c r="K154" i="16"/>
  <c r="K153" i="16"/>
  <c r="K152" i="16"/>
  <c r="K151" i="16"/>
  <c r="K150" i="16"/>
  <c r="K149" i="16"/>
  <c r="K148" i="16"/>
  <c r="K147" i="16"/>
  <c r="K146" i="16"/>
  <c r="K145" i="16"/>
  <c r="K144" i="16"/>
  <c r="K143" i="16"/>
  <c r="K142" i="16"/>
  <c r="K141" i="16"/>
  <c r="K140" i="16"/>
  <c r="K139" i="16"/>
  <c r="K138" i="16"/>
  <c r="K137" i="16"/>
  <c r="K136" i="16"/>
  <c r="K135" i="16"/>
  <c r="K134" i="16"/>
  <c r="K133" i="16"/>
  <c r="K132" i="16"/>
  <c r="K131" i="16"/>
  <c r="K130" i="16"/>
  <c r="K129" i="16"/>
  <c r="K128" i="16"/>
  <c r="K127" i="16"/>
  <c r="K126" i="16"/>
  <c r="K125" i="16"/>
  <c r="K124" i="16"/>
  <c r="K123" i="16"/>
  <c r="K122" i="16"/>
  <c r="K121" i="16"/>
  <c r="K120" i="16"/>
  <c r="K119" i="16"/>
  <c r="K118" i="16"/>
  <c r="K117" i="16"/>
  <c r="K116" i="16"/>
  <c r="K115" i="16"/>
  <c r="K114" i="16"/>
  <c r="K113" i="16"/>
  <c r="K112" i="16"/>
  <c r="K111" i="16"/>
  <c r="K110" i="16"/>
  <c r="K109" i="16"/>
  <c r="K108" i="16"/>
  <c r="K107" i="16"/>
  <c r="K106" i="16"/>
  <c r="K105" i="16"/>
  <c r="K104" i="16"/>
  <c r="K103" i="16"/>
  <c r="K102" i="16"/>
  <c r="K101" i="16"/>
  <c r="K100" i="16"/>
  <c r="K99" i="16"/>
  <c r="K98" i="16"/>
  <c r="K97" i="16"/>
  <c r="K96" i="16"/>
  <c r="K95" i="16"/>
  <c r="K94" i="16"/>
  <c r="K93" i="16"/>
  <c r="K92" i="16"/>
  <c r="K91" i="16"/>
  <c r="K90" i="16"/>
  <c r="K89" i="16"/>
  <c r="K88" i="16"/>
  <c r="K87" i="16"/>
  <c r="K86" i="16"/>
  <c r="K85" i="16"/>
  <c r="K84" i="16"/>
  <c r="K83" i="16"/>
  <c r="K82" i="16"/>
  <c r="K81" i="16"/>
  <c r="K80" i="16"/>
  <c r="K79" i="16"/>
  <c r="K78" i="16"/>
  <c r="K77" i="16"/>
  <c r="K76" i="16"/>
  <c r="K75" i="16"/>
  <c r="K74" i="16"/>
  <c r="K73" i="16"/>
  <c r="K72" i="16"/>
  <c r="K71" i="16"/>
  <c r="K70" i="16"/>
  <c r="K69" i="16"/>
  <c r="K68" i="16"/>
  <c r="K67" i="16"/>
  <c r="K66" i="16"/>
  <c r="K65" i="16"/>
  <c r="K64" i="16"/>
  <c r="K63" i="16"/>
  <c r="K62" i="16"/>
  <c r="K61" i="16"/>
  <c r="K60" i="16"/>
  <c r="K59" i="16"/>
  <c r="K58" i="16"/>
  <c r="K57" i="16"/>
  <c r="K56" i="16"/>
  <c r="M56" i="16" s="1"/>
  <c r="K55" i="16"/>
  <c r="K54" i="16"/>
  <c r="K53" i="16"/>
  <c r="K52" i="16"/>
  <c r="K51" i="16"/>
  <c r="K50" i="16"/>
  <c r="K49" i="16"/>
  <c r="K48" i="16"/>
  <c r="K47" i="16"/>
  <c r="K46" i="16"/>
  <c r="K45" i="16"/>
  <c r="K44" i="16"/>
  <c r="K43" i="16"/>
  <c r="K42" i="16"/>
  <c r="K41" i="16"/>
  <c r="K40" i="16"/>
  <c r="K39" i="16"/>
  <c r="K38" i="16"/>
  <c r="K37" i="16"/>
  <c r="K36" i="16"/>
  <c r="K35" i="16"/>
  <c r="K34" i="16"/>
  <c r="K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N11" i="16" l="1"/>
  <c r="B27" i="14" s="1"/>
  <c r="M3" i="16"/>
  <c r="M4" i="16" s="1"/>
  <c r="M5" i="16" s="1"/>
  <c r="M6" i="16" s="1"/>
  <c r="M7" i="16" s="1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M29" i="16" s="1"/>
  <c r="M30" i="16" s="1"/>
  <c r="M31" i="16" s="1"/>
  <c r="M32" i="16" s="1"/>
  <c r="M33" i="16" s="1"/>
  <c r="M34" i="16" s="1"/>
  <c r="M35" i="16" s="1"/>
  <c r="M36" i="16" s="1"/>
  <c r="M37" i="16" s="1"/>
  <c r="M38" i="16" s="1"/>
  <c r="M39" i="16" s="1"/>
  <c r="M40" i="16" s="1"/>
  <c r="M41" i="16" s="1"/>
  <c r="M42" i="16" s="1"/>
  <c r="M43" i="16" s="1"/>
  <c r="M44" i="16" s="1"/>
  <c r="M45" i="16" s="1"/>
  <c r="M46" i="16" s="1"/>
  <c r="M47" i="16" s="1"/>
  <c r="M48" i="16" s="1"/>
  <c r="M49" i="16" s="1"/>
  <c r="M50" i="16" s="1"/>
  <c r="M51" i="16" s="1"/>
  <c r="M52" i="16" s="1"/>
  <c r="M53" i="16" s="1"/>
  <c r="M54" i="16" s="1"/>
  <c r="M57" i="16"/>
  <c r="M58" i="16" s="1"/>
  <c r="M59" i="16" s="1"/>
  <c r="M60" i="16" s="1"/>
  <c r="M61" i="16" s="1"/>
  <c r="M62" i="16" s="1"/>
  <c r="M63" i="16" s="1"/>
  <c r="M64" i="16" s="1"/>
  <c r="M65" i="16" s="1"/>
  <c r="M66" i="16" s="1"/>
  <c r="M67" i="16" s="1"/>
  <c r="M68" i="16" s="1"/>
  <c r="M69" i="16" s="1"/>
  <c r="M70" i="16" s="1"/>
  <c r="M71" i="16" s="1"/>
  <c r="M72" i="16" s="1"/>
  <c r="M73" i="16" s="1"/>
  <c r="M74" i="16" s="1"/>
  <c r="M75" i="16" s="1"/>
  <c r="M76" i="16" s="1"/>
  <c r="M77" i="16" s="1"/>
  <c r="M78" i="16" s="1"/>
  <c r="M79" i="16" s="1"/>
  <c r="M80" i="16" s="1"/>
  <c r="M81" i="16" s="1"/>
  <c r="M82" i="16" s="1"/>
  <c r="M83" i="16" s="1"/>
  <c r="M84" i="16" s="1"/>
  <c r="M85" i="16" s="1"/>
  <c r="M86" i="16" s="1"/>
  <c r="M87" i="16" s="1"/>
  <c r="M88" i="16" s="1"/>
  <c r="M89" i="16" s="1"/>
  <c r="M90" i="16" s="1"/>
  <c r="M91" i="16" s="1"/>
  <c r="M92" i="16" s="1"/>
  <c r="M93" i="16" s="1"/>
  <c r="M94" i="16" s="1"/>
  <c r="M95" i="16" s="1"/>
  <c r="M96" i="16" s="1"/>
  <c r="M97" i="16" s="1"/>
  <c r="M98" i="16" s="1"/>
  <c r="M99" i="16" s="1"/>
  <c r="M100" i="16" s="1"/>
  <c r="M101" i="16" s="1"/>
  <c r="M102" i="16" s="1"/>
  <c r="M103" i="16" s="1"/>
  <c r="M104" i="16" s="1"/>
  <c r="M105" i="16" s="1"/>
  <c r="M106" i="16" s="1"/>
  <c r="M107" i="16" s="1"/>
  <c r="M108" i="16" s="1"/>
  <c r="M109" i="16" s="1"/>
  <c r="M110" i="16" s="1"/>
  <c r="M111" i="16" s="1"/>
  <c r="M112" i="16" s="1"/>
  <c r="M113" i="16" s="1"/>
  <c r="M114" i="16" s="1"/>
  <c r="M115" i="16" s="1"/>
  <c r="M116" i="16" s="1"/>
  <c r="M117" i="16" s="1"/>
  <c r="M118" i="16" s="1"/>
  <c r="M119" i="16" s="1"/>
  <c r="M120" i="16" s="1"/>
  <c r="M121" i="16" s="1"/>
  <c r="M122" i="16" s="1"/>
  <c r="M123" i="16" s="1"/>
  <c r="M124" i="16" s="1"/>
  <c r="M125" i="16" s="1"/>
  <c r="M126" i="16" s="1"/>
  <c r="M127" i="16" s="1"/>
  <c r="M128" i="16" s="1"/>
  <c r="M129" i="16" s="1"/>
  <c r="M130" i="16" s="1"/>
  <c r="M131" i="16" s="1"/>
  <c r="M132" i="16" s="1"/>
  <c r="M133" i="16" s="1"/>
  <c r="M134" i="16" s="1"/>
  <c r="M135" i="16" s="1"/>
  <c r="M136" i="16" s="1"/>
  <c r="M137" i="16" s="1"/>
  <c r="M138" i="16" s="1"/>
  <c r="M139" i="16" s="1"/>
  <c r="M140" i="16" s="1"/>
  <c r="M141" i="16" s="1"/>
  <c r="M142" i="16" s="1"/>
  <c r="M143" i="16" s="1"/>
  <c r="M144" i="16" s="1"/>
  <c r="M145" i="16" s="1"/>
  <c r="M146" i="16" s="1"/>
  <c r="M147" i="16" s="1"/>
  <c r="M148" i="16" s="1"/>
  <c r="M149" i="16" s="1"/>
  <c r="M150" i="16" s="1"/>
  <c r="M151" i="16" s="1"/>
  <c r="M152" i="16" s="1"/>
  <c r="M153" i="16" s="1"/>
  <c r="M154" i="16" s="1"/>
  <c r="M155" i="16" s="1"/>
  <c r="M156" i="16" s="1"/>
  <c r="M157" i="16" s="1"/>
  <c r="M158" i="16" s="1"/>
  <c r="M159" i="16" s="1"/>
  <c r="M160" i="16" s="1"/>
  <c r="M161" i="16" s="1"/>
  <c r="M162" i="16" s="1"/>
  <c r="M163" i="16" s="1"/>
  <c r="M164" i="16" s="1"/>
  <c r="M165" i="16" s="1"/>
  <c r="M166" i="16" s="1"/>
  <c r="M167" i="16" s="1"/>
  <c r="M168" i="16" s="1"/>
  <c r="M169" i="16" s="1"/>
  <c r="M170" i="16" s="1"/>
  <c r="M171" i="16" s="1"/>
  <c r="M172" i="16" s="1"/>
  <c r="M173" i="16" s="1"/>
  <c r="M174" i="16" s="1"/>
  <c r="M175" i="16" s="1"/>
  <c r="M176" i="16" s="1"/>
  <c r="M177" i="16" s="1"/>
  <c r="M178" i="16" s="1"/>
  <c r="M179" i="16" s="1"/>
  <c r="M180" i="16" s="1"/>
  <c r="M181" i="16" s="1"/>
  <c r="M182" i="16" s="1"/>
  <c r="M183" i="16" s="1"/>
  <c r="M184" i="16" s="1"/>
  <c r="M185" i="16" s="1"/>
  <c r="M186" i="16" s="1"/>
  <c r="M187" i="16" s="1"/>
  <c r="M188" i="16" s="1"/>
  <c r="M189" i="16" s="1"/>
  <c r="M190" i="16" s="1"/>
  <c r="M191" i="16" s="1"/>
  <c r="M192" i="16" s="1"/>
  <c r="M193" i="16" s="1"/>
  <c r="M194" i="16" s="1"/>
  <c r="M195" i="16" s="1"/>
  <c r="M196" i="16" s="1"/>
  <c r="M197" i="16" s="1"/>
  <c r="M198" i="16" s="1"/>
  <c r="M199" i="16" s="1"/>
  <c r="M200" i="16" s="1"/>
  <c r="M201" i="16" s="1"/>
  <c r="M202" i="16" s="1"/>
  <c r="M203" i="16" s="1"/>
  <c r="M204" i="16" s="1"/>
  <c r="M205" i="16" s="1"/>
  <c r="M206" i="16" s="1"/>
  <c r="M207" i="16" s="1"/>
  <c r="M208" i="16" s="1"/>
  <c r="M209" i="16" s="1"/>
  <c r="M210" i="16" s="1"/>
  <c r="M211" i="16" s="1"/>
  <c r="M212" i="16" s="1"/>
  <c r="M213" i="16" s="1"/>
  <c r="M214" i="16" s="1"/>
  <c r="M215" i="16" s="1"/>
  <c r="M216" i="16" s="1"/>
  <c r="M217" i="16" s="1"/>
  <c r="M218" i="16" s="1"/>
  <c r="M219" i="16" s="1"/>
  <c r="M220" i="16" s="1"/>
  <c r="M221" i="16" s="1"/>
  <c r="M222" i="16" s="1"/>
  <c r="M223" i="16" s="1"/>
  <c r="M224" i="16" s="1"/>
  <c r="M225" i="16" s="1"/>
  <c r="M226" i="16" s="1"/>
  <c r="M227" i="16" s="1"/>
  <c r="M228" i="16" s="1"/>
  <c r="M229" i="16" s="1"/>
  <c r="M230" i="16" s="1"/>
  <c r="M231" i="16" s="1"/>
  <c r="M232" i="16" s="1"/>
  <c r="M233" i="16" s="1"/>
  <c r="M234" i="16" s="1"/>
  <c r="M235" i="16" s="1"/>
  <c r="M236" i="16" s="1"/>
  <c r="M237" i="16" s="1"/>
  <c r="M238" i="16" s="1"/>
  <c r="M239" i="16" s="1"/>
  <c r="M240" i="16" s="1"/>
  <c r="M241" i="16" s="1"/>
  <c r="M242" i="16" s="1"/>
  <c r="M243" i="16" s="1"/>
  <c r="M244" i="16" s="1"/>
  <c r="M245" i="16" s="1"/>
  <c r="M246" i="16" s="1"/>
  <c r="M247" i="16" s="1"/>
  <c r="M248" i="16" s="1"/>
  <c r="M249" i="16" s="1"/>
  <c r="M250" i="16" s="1"/>
  <c r="M251" i="16" s="1"/>
  <c r="M252" i="16" s="1"/>
  <c r="M253" i="16" s="1"/>
  <c r="M254" i="16" s="1"/>
  <c r="M255" i="16" s="1"/>
  <c r="M256" i="16" s="1"/>
  <c r="M257" i="16" s="1"/>
  <c r="M258" i="16" s="1"/>
  <c r="M259" i="16" s="1"/>
  <c r="M260" i="16" s="1"/>
  <c r="M261" i="16" s="1"/>
  <c r="M262" i="16" s="1"/>
  <c r="M263" i="16" s="1"/>
  <c r="M264" i="16" s="1"/>
  <c r="M265" i="16" s="1"/>
  <c r="M266" i="16" s="1"/>
  <c r="M267" i="16" s="1"/>
  <c r="M268" i="16" s="1"/>
  <c r="M269" i="16" s="1"/>
  <c r="M270" i="16" s="1"/>
  <c r="M271" i="16" s="1"/>
  <c r="M272" i="16" s="1"/>
  <c r="M273" i="16" s="1"/>
  <c r="M274" i="16" s="1"/>
  <c r="M275" i="16" s="1"/>
  <c r="M276" i="16" s="1"/>
  <c r="M277" i="16" s="1"/>
  <c r="M278" i="16" s="1"/>
  <c r="M279" i="16" s="1"/>
  <c r="M280" i="16" s="1"/>
  <c r="M281" i="16" s="1"/>
  <c r="M282" i="16" s="1"/>
  <c r="M283" i="16" s="1"/>
  <c r="M284" i="16" s="1"/>
  <c r="M285" i="16" s="1"/>
  <c r="M286" i="16" s="1"/>
  <c r="M287" i="16" s="1"/>
  <c r="M288" i="16" s="1"/>
  <c r="M289" i="16" s="1"/>
  <c r="M290" i="16" s="1"/>
  <c r="M291" i="16" s="1"/>
  <c r="M292" i="16" s="1"/>
  <c r="M293" i="16" s="1"/>
  <c r="M294" i="16" s="1"/>
  <c r="M295" i="16" s="1"/>
  <c r="M296" i="16" s="1"/>
  <c r="M297" i="16" s="1"/>
  <c r="M298" i="16" s="1"/>
  <c r="M299" i="16" s="1"/>
  <c r="M300" i="16" s="1"/>
  <c r="M301" i="16" s="1"/>
  <c r="M302" i="16" s="1"/>
  <c r="M303" i="16" s="1"/>
  <c r="M304" i="16" s="1"/>
  <c r="M305" i="16" s="1"/>
  <c r="M306" i="16" s="1"/>
  <c r="M307" i="16" s="1"/>
  <c r="M308" i="16" s="1"/>
  <c r="M309" i="16" s="1"/>
  <c r="M310" i="16" s="1"/>
  <c r="M311" i="16" s="1"/>
  <c r="M312" i="16" s="1"/>
  <c r="M313" i="16" s="1"/>
  <c r="M314" i="16" s="1"/>
  <c r="M315" i="16" s="1"/>
  <c r="M316" i="16" s="1"/>
  <c r="M317" i="16" s="1"/>
  <c r="M318" i="16" s="1"/>
  <c r="M319" i="16" s="1"/>
  <c r="M320" i="16" s="1"/>
  <c r="M321" i="16" s="1"/>
  <c r="M322" i="16" s="1"/>
  <c r="M323" i="16" s="1"/>
  <c r="M324" i="16" s="1"/>
  <c r="M325" i="16" s="1"/>
  <c r="M326" i="16" s="1"/>
  <c r="M327" i="16" s="1"/>
  <c r="M328" i="16" s="1"/>
  <c r="M329" i="16" s="1"/>
  <c r="M330" i="16" s="1"/>
  <c r="M331" i="16" s="1"/>
  <c r="M332" i="16" s="1"/>
  <c r="M333" i="16" s="1"/>
  <c r="M334" i="16" s="1"/>
  <c r="M335" i="16" s="1"/>
  <c r="M336" i="16" s="1"/>
  <c r="M337" i="16" s="1"/>
  <c r="M338" i="16" s="1"/>
  <c r="M339" i="16" s="1"/>
  <c r="M340" i="16" s="1"/>
  <c r="M341" i="16" s="1"/>
  <c r="M342" i="16" s="1"/>
  <c r="M343" i="16" s="1"/>
  <c r="M344" i="16" s="1"/>
  <c r="M345" i="16" s="1"/>
  <c r="M346" i="16" s="1"/>
  <c r="M347" i="16" s="1"/>
  <c r="M348" i="16" s="1"/>
  <c r="L3" i="13" l="1"/>
  <c r="L4" i="13" s="1"/>
  <c r="L5" i="13" s="1"/>
  <c r="L6" i="13" s="1"/>
  <c r="L7" i="13" s="1"/>
  <c r="M15" i="13"/>
  <c r="B10" i="14" s="1"/>
  <c r="K334" i="12"/>
  <c r="K333" i="12"/>
  <c r="K332" i="12"/>
  <c r="K331" i="12"/>
  <c r="K330" i="12"/>
  <c r="K329" i="12"/>
  <c r="K328" i="12"/>
  <c r="K327" i="12"/>
  <c r="K326" i="12"/>
  <c r="K325" i="12"/>
  <c r="K324" i="12"/>
  <c r="K323" i="12"/>
  <c r="K322" i="12"/>
  <c r="K321" i="12"/>
  <c r="K320" i="12"/>
  <c r="K319" i="12"/>
  <c r="K318" i="12"/>
  <c r="K317" i="12"/>
  <c r="K316" i="12"/>
  <c r="K315" i="12"/>
  <c r="K314" i="12"/>
  <c r="K313" i="12"/>
  <c r="K312" i="12"/>
  <c r="K311" i="12"/>
  <c r="K310" i="12"/>
  <c r="K309" i="12"/>
  <c r="K308" i="12"/>
  <c r="K307" i="12"/>
  <c r="K306" i="12"/>
  <c r="K305" i="12"/>
  <c r="K304" i="12"/>
  <c r="K303" i="12"/>
  <c r="K302" i="12"/>
  <c r="K301" i="12"/>
  <c r="K300" i="12"/>
  <c r="K299" i="12"/>
  <c r="K298" i="12"/>
  <c r="K297" i="12"/>
  <c r="K296" i="12"/>
  <c r="K295" i="12"/>
  <c r="K294" i="12"/>
  <c r="K293" i="12"/>
  <c r="K292" i="12"/>
  <c r="K291" i="12"/>
  <c r="K290" i="12"/>
  <c r="K289" i="12"/>
  <c r="K288" i="12"/>
  <c r="K287" i="12"/>
  <c r="K286" i="12"/>
  <c r="K285" i="12"/>
  <c r="K284" i="12"/>
  <c r="K283" i="12"/>
  <c r="K282" i="12"/>
  <c r="K281" i="12"/>
  <c r="K280" i="12"/>
  <c r="K279" i="12"/>
  <c r="K278" i="12"/>
  <c r="K277" i="12"/>
  <c r="K276" i="12"/>
  <c r="K275" i="12"/>
  <c r="K274" i="12"/>
  <c r="K273" i="12"/>
  <c r="K272" i="12"/>
  <c r="K271" i="12"/>
  <c r="K270" i="12"/>
  <c r="K269" i="12"/>
  <c r="K268" i="12"/>
  <c r="K267" i="12"/>
  <c r="K266" i="12"/>
  <c r="K265" i="12"/>
  <c r="K264" i="12"/>
  <c r="K263" i="12"/>
  <c r="K262" i="12"/>
  <c r="K261" i="12"/>
  <c r="K260" i="12"/>
  <c r="K259" i="12"/>
  <c r="K258" i="12"/>
  <c r="K257" i="12"/>
  <c r="K256" i="12"/>
  <c r="K255" i="12"/>
  <c r="K254" i="12"/>
  <c r="K253" i="12"/>
  <c r="K252" i="12"/>
  <c r="K251" i="12"/>
  <c r="K250" i="12"/>
  <c r="K249" i="12"/>
  <c r="K248" i="12"/>
  <c r="K247" i="12"/>
  <c r="K246" i="12"/>
  <c r="K245" i="12"/>
  <c r="K244" i="12"/>
  <c r="K243" i="12"/>
  <c r="K242" i="12"/>
  <c r="K241" i="12"/>
  <c r="K240" i="12"/>
  <c r="K239" i="12"/>
  <c r="K238" i="12"/>
  <c r="K237" i="12"/>
  <c r="K236" i="12"/>
  <c r="K235" i="12"/>
  <c r="K234" i="12"/>
  <c r="K233" i="12"/>
  <c r="K232" i="12"/>
  <c r="K231" i="12"/>
  <c r="K230" i="12"/>
  <c r="K229" i="12"/>
  <c r="K228" i="12"/>
  <c r="K227" i="12"/>
  <c r="K226" i="12"/>
  <c r="K225" i="12"/>
  <c r="K224" i="12"/>
  <c r="K223" i="12"/>
  <c r="K222" i="12"/>
  <c r="K221" i="12"/>
  <c r="K220" i="12"/>
  <c r="K219" i="12"/>
  <c r="K218" i="12"/>
  <c r="K217" i="12"/>
  <c r="K216" i="12"/>
  <c r="K215" i="12"/>
  <c r="K214" i="12"/>
  <c r="K213" i="12"/>
  <c r="K212" i="12"/>
  <c r="K211" i="12"/>
  <c r="K210" i="12"/>
  <c r="K209" i="12"/>
  <c r="K208" i="12"/>
  <c r="K207" i="12"/>
  <c r="K206" i="12"/>
  <c r="K205" i="12"/>
  <c r="K204" i="12"/>
  <c r="K203" i="12"/>
  <c r="K202" i="12"/>
  <c r="K201" i="12"/>
  <c r="K200" i="12"/>
  <c r="K199" i="12"/>
  <c r="K198" i="12"/>
  <c r="K197" i="12"/>
  <c r="K196" i="12"/>
  <c r="K195" i="12"/>
  <c r="K194" i="12"/>
  <c r="K193" i="12"/>
  <c r="K192" i="12"/>
  <c r="K191" i="12"/>
  <c r="K190" i="12"/>
  <c r="K189" i="12"/>
  <c r="K188" i="12"/>
  <c r="K187" i="12"/>
  <c r="K186" i="12"/>
  <c r="K185" i="12"/>
  <c r="K184" i="12"/>
  <c r="K183" i="12"/>
  <c r="K182" i="12"/>
  <c r="K181" i="12"/>
  <c r="K180" i="12"/>
  <c r="K179" i="12"/>
  <c r="K178" i="12"/>
  <c r="K177" i="12"/>
  <c r="K176" i="12"/>
  <c r="K175" i="12"/>
  <c r="K174" i="12"/>
  <c r="K173" i="12"/>
  <c r="K172" i="12"/>
  <c r="K171" i="12"/>
  <c r="K170" i="12"/>
  <c r="K169" i="12"/>
  <c r="K168" i="12"/>
  <c r="K167" i="12"/>
  <c r="K166" i="12"/>
  <c r="K165" i="12"/>
  <c r="K164" i="12"/>
  <c r="K163" i="12"/>
  <c r="K162" i="12"/>
  <c r="K161" i="12"/>
  <c r="K160" i="12"/>
  <c r="K159" i="12"/>
  <c r="K158" i="12"/>
  <c r="K157" i="12"/>
  <c r="K156" i="12"/>
  <c r="K155" i="12"/>
  <c r="K154" i="12"/>
  <c r="K153" i="12"/>
  <c r="K152" i="12"/>
  <c r="K151" i="12"/>
  <c r="K150" i="12"/>
  <c r="K149" i="12"/>
  <c r="K148" i="12"/>
  <c r="K147" i="12"/>
  <c r="K146" i="12"/>
  <c r="K145" i="12"/>
  <c r="K144" i="12"/>
  <c r="K143" i="12"/>
  <c r="K142" i="12"/>
  <c r="K141" i="12"/>
  <c r="K140" i="12"/>
  <c r="K139" i="12"/>
  <c r="K138" i="12"/>
  <c r="K137" i="12"/>
  <c r="K136" i="12"/>
  <c r="K135" i="12"/>
  <c r="K134" i="12"/>
  <c r="K133" i="12"/>
  <c r="K132" i="12"/>
  <c r="K131" i="12"/>
  <c r="K130" i="12"/>
  <c r="K129" i="12"/>
  <c r="K128" i="12"/>
  <c r="K127" i="12"/>
  <c r="K126" i="12"/>
  <c r="K125" i="12"/>
  <c r="K124" i="12"/>
  <c r="K123" i="12"/>
  <c r="K122" i="12"/>
  <c r="K121" i="12"/>
  <c r="K120" i="12"/>
  <c r="K119" i="12"/>
  <c r="K118" i="12"/>
  <c r="K117" i="12"/>
  <c r="K116" i="12"/>
  <c r="K115" i="12"/>
  <c r="K114" i="12"/>
  <c r="K113" i="12"/>
  <c r="K112" i="12"/>
  <c r="K111" i="12"/>
  <c r="K110" i="12"/>
  <c r="K109" i="12"/>
  <c r="K108" i="12"/>
  <c r="K107" i="12"/>
  <c r="K106" i="12"/>
  <c r="K105" i="12"/>
  <c r="K104" i="12"/>
  <c r="K103" i="12"/>
  <c r="K102" i="12"/>
  <c r="K101" i="12"/>
  <c r="K100" i="12"/>
  <c r="K99" i="12"/>
  <c r="K98" i="12"/>
  <c r="K97" i="12"/>
  <c r="K96" i="12"/>
  <c r="K95" i="12"/>
  <c r="K94" i="12"/>
  <c r="K93" i="12"/>
  <c r="K92" i="12"/>
  <c r="K91" i="12"/>
  <c r="K90" i="12"/>
  <c r="K89" i="12"/>
  <c r="K88" i="12"/>
  <c r="K87" i="12"/>
  <c r="K86" i="12"/>
  <c r="K85" i="12"/>
  <c r="K83" i="12"/>
  <c r="K82" i="12"/>
  <c r="K81" i="12"/>
  <c r="K80" i="12"/>
  <c r="K79" i="12"/>
  <c r="K78" i="12"/>
  <c r="K77" i="12"/>
  <c r="K76" i="12"/>
  <c r="K75" i="12"/>
  <c r="K74" i="12"/>
  <c r="K73" i="12"/>
  <c r="K72" i="12"/>
  <c r="K71" i="12"/>
  <c r="K70" i="12"/>
  <c r="K69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3" i="12"/>
  <c r="K2" i="12"/>
  <c r="L8" i="13" l="1"/>
  <c r="L9" i="13" s="1"/>
  <c r="L10" i="13" s="1"/>
  <c r="N14" i="12"/>
  <c r="B25" i="14" s="1"/>
  <c r="M3" i="12"/>
  <c r="M4" i="12" s="1"/>
  <c r="M5" i="12" s="1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M35" i="12" s="1"/>
  <c r="M36" i="12" s="1"/>
  <c r="K335" i="11"/>
  <c r="K334" i="11"/>
  <c r="K333" i="11"/>
  <c r="K332" i="11"/>
  <c r="K331" i="11"/>
  <c r="K330" i="11"/>
  <c r="K329" i="11"/>
  <c r="K328" i="11"/>
  <c r="K327" i="11"/>
  <c r="K326" i="11"/>
  <c r="K325" i="11"/>
  <c r="K324" i="11"/>
  <c r="K323" i="11"/>
  <c r="K322" i="11"/>
  <c r="K321" i="11"/>
  <c r="K320" i="11"/>
  <c r="K319" i="11"/>
  <c r="K318" i="11"/>
  <c r="K317" i="11"/>
  <c r="K316" i="11"/>
  <c r="K315" i="11"/>
  <c r="K314" i="11"/>
  <c r="K313" i="11"/>
  <c r="K312" i="11"/>
  <c r="K311" i="11"/>
  <c r="K310" i="11"/>
  <c r="K309" i="11"/>
  <c r="K308" i="11"/>
  <c r="K307" i="11"/>
  <c r="K306" i="11"/>
  <c r="K305" i="11"/>
  <c r="K304" i="11"/>
  <c r="K303" i="11"/>
  <c r="K302" i="11"/>
  <c r="K301" i="11"/>
  <c r="K300" i="11"/>
  <c r="K299" i="11"/>
  <c r="K298" i="11"/>
  <c r="K297" i="11"/>
  <c r="K296" i="11"/>
  <c r="K295" i="11"/>
  <c r="K294" i="11"/>
  <c r="K293" i="11"/>
  <c r="K292" i="11"/>
  <c r="K291" i="11"/>
  <c r="K290" i="11"/>
  <c r="K289" i="11"/>
  <c r="K288" i="11"/>
  <c r="K287" i="11"/>
  <c r="K286" i="11"/>
  <c r="K285" i="11"/>
  <c r="K284" i="11"/>
  <c r="K283" i="11"/>
  <c r="K282" i="11"/>
  <c r="K281" i="11"/>
  <c r="K280" i="11"/>
  <c r="K279" i="11"/>
  <c r="K278" i="11"/>
  <c r="K277" i="11"/>
  <c r="K276" i="11"/>
  <c r="K275" i="11"/>
  <c r="K274" i="11"/>
  <c r="K273" i="11"/>
  <c r="K272" i="11"/>
  <c r="K271" i="11"/>
  <c r="K270" i="11"/>
  <c r="K269" i="11"/>
  <c r="K268" i="11"/>
  <c r="K267" i="11"/>
  <c r="K266" i="11"/>
  <c r="K265" i="11"/>
  <c r="K264" i="11"/>
  <c r="K263" i="11"/>
  <c r="K262" i="11"/>
  <c r="K261" i="11"/>
  <c r="K260" i="11"/>
  <c r="K259" i="11"/>
  <c r="K258" i="11"/>
  <c r="K257" i="11"/>
  <c r="K256" i="11"/>
  <c r="K255" i="11"/>
  <c r="K254" i="11"/>
  <c r="K253" i="11"/>
  <c r="K252" i="11"/>
  <c r="K251" i="11"/>
  <c r="K250" i="11"/>
  <c r="K249" i="11"/>
  <c r="K248" i="11"/>
  <c r="K247" i="11"/>
  <c r="K246" i="11"/>
  <c r="K245" i="11"/>
  <c r="K244" i="11"/>
  <c r="K243" i="11"/>
  <c r="K242" i="11"/>
  <c r="K241" i="11"/>
  <c r="K240" i="11"/>
  <c r="K239" i="11"/>
  <c r="K238" i="11"/>
  <c r="K237" i="11"/>
  <c r="K236" i="11"/>
  <c r="K235" i="11"/>
  <c r="K234" i="11"/>
  <c r="K233" i="11"/>
  <c r="K232" i="11"/>
  <c r="K231" i="11"/>
  <c r="K230" i="11"/>
  <c r="K229" i="11"/>
  <c r="K228" i="11"/>
  <c r="K227" i="11"/>
  <c r="K226" i="11"/>
  <c r="K225" i="11"/>
  <c r="K224" i="11"/>
  <c r="K223" i="11"/>
  <c r="K222" i="11"/>
  <c r="K221" i="11"/>
  <c r="K220" i="11"/>
  <c r="K219" i="11"/>
  <c r="K218" i="11"/>
  <c r="K217" i="11"/>
  <c r="K216" i="11"/>
  <c r="K215" i="11"/>
  <c r="K214" i="11"/>
  <c r="K213" i="11"/>
  <c r="K212" i="11"/>
  <c r="K211" i="11"/>
  <c r="K210" i="11"/>
  <c r="K209" i="11"/>
  <c r="K208" i="11"/>
  <c r="K207" i="11"/>
  <c r="K206" i="11"/>
  <c r="K205" i="11"/>
  <c r="K204" i="11"/>
  <c r="K203" i="11"/>
  <c r="K202" i="11"/>
  <c r="K201" i="11"/>
  <c r="K200" i="11"/>
  <c r="K199" i="11"/>
  <c r="K198" i="11"/>
  <c r="K197" i="11"/>
  <c r="K196" i="11"/>
  <c r="K195" i="11"/>
  <c r="K194" i="11"/>
  <c r="K193" i="11"/>
  <c r="K192" i="11"/>
  <c r="K191" i="11"/>
  <c r="K190" i="11"/>
  <c r="K189" i="11"/>
  <c r="K188" i="11"/>
  <c r="K187" i="11"/>
  <c r="K186" i="11"/>
  <c r="K185" i="11"/>
  <c r="K184" i="11"/>
  <c r="K183" i="11"/>
  <c r="K182" i="11"/>
  <c r="K181" i="11"/>
  <c r="K180" i="11"/>
  <c r="K179" i="11"/>
  <c r="K178" i="11"/>
  <c r="K177" i="11"/>
  <c r="K176" i="11"/>
  <c r="K175" i="11"/>
  <c r="K174" i="11"/>
  <c r="K173" i="11"/>
  <c r="K172" i="11"/>
  <c r="K171" i="11"/>
  <c r="K170" i="11"/>
  <c r="K169" i="11"/>
  <c r="K168" i="11"/>
  <c r="K167" i="11"/>
  <c r="K166" i="11"/>
  <c r="K165" i="11"/>
  <c r="K164" i="11"/>
  <c r="K163" i="11"/>
  <c r="K162" i="11"/>
  <c r="K161" i="11"/>
  <c r="K160" i="11"/>
  <c r="K159" i="11"/>
  <c r="K158" i="11"/>
  <c r="K157" i="11"/>
  <c r="K156" i="11"/>
  <c r="K155" i="11"/>
  <c r="K154" i="11"/>
  <c r="K153" i="11"/>
  <c r="K152" i="11"/>
  <c r="K151" i="11"/>
  <c r="K150" i="11"/>
  <c r="K149" i="11"/>
  <c r="K148" i="11"/>
  <c r="K147" i="11"/>
  <c r="K146" i="11"/>
  <c r="K145" i="11"/>
  <c r="K144" i="11"/>
  <c r="K143" i="11"/>
  <c r="K142" i="11"/>
  <c r="K141" i="11"/>
  <c r="K140" i="11"/>
  <c r="K139" i="11"/>
  <c r="K138" i="11"/>
  <c r="K137" i="11"/>
  <c r="K136" i="11"/>
  <c r="K135" i="11"/>
  <c r="K134" i="11"/>
  <c r="K133" i="11"/>
  <c r="K132" i="11"/>
  <c r="K131" i="11"/>
  <c r="K130" i="11"/>
  <c r="K129" i="11"/>
  <c r="K128" i="11"/>
  <c r="K127" i="11"/>
  <c r="K126" i="11"/>
  <c r="K125" i="11"/>
  <c r="K124" i="11"/>
  <c r="K123" i="11"/>
  <c r="K122" i="11"/>
  <c r="K121" i="11"/>
  <c r="K120" i="11"/>
  <c r="K119" i="11"/>
  <c r="K118" i="11"/>
  <c r="K117" i="11"/>
  <c r="K116" i="11"/>
  <c r="K115" i="11"/>
  <c r="K114" i="11"/>
  <c r="K113" i="11"/>
  <c r="K112" i="11"/>
  <c r="K111" i="11"/>
  <c r="K110" i="11"/>
  <c r="K109" i="11"/>
  <c r="K108" i="11"/>
  <c r="K107" i="11"/>
  <c r="N13" i="11" l="1"/>
  <c r="B28" i="14" s="1"/>
  <c r="L11" i="13"/>
  <c r="L12" i="13" s="1"/>
  <c r="L13" i="13" s="1"/>
  <c r="L14" i="13" s="1"/>
  <c r="L15" i="13" s="1"/>
  <c r="M37" i="12"/>
  <c r="M38" i="12" s="1"/>
  <c r="M39" i="12" s="1"/>
  <c r="M40" i="12" s="1"/>
  <c r="M41" i="12" s="1"/>
  <c r="M42" i="12" s="1"/>
  <c r="M43" i="12" s="1"/>
  <c r="M44" i="12" s="1"/>
  <c r="M45" i="12" s="1"/>
  <c r="M46" i="12" s="1"/>
  <c r="M47" i="12" s="1"/>
  <c r="M48" i="12" s="1"/>
  <c r="M49" i="12" s="1"/>
  <c r="M50" i="12" s="1"/>
  <c r="M51" i="12" s="1"/>
  <c r="M52" i="12" s="1"/>
  <c r="M53" i="12" s="1"/>
  <c r="M54" i="12" s="1"/>
  <c r="M55" i="12" s="1"/>
  <c r="M56" i="12" s="1"/>
  <c r="M57" i="12" s="1"/>
  <c r="M58" i="12" s="1"/>
  <c r="M59" i="12" s="1"/>
  <c r="M60" i="12" s="1"/>
  <c r="M61" i="12" s="1"/>
  <c r="M62" i="12" s="1"/>
  <c r="M63" i="12" s="1"/>
  <c r="M64" i="12" s="1"/>
  <c r="M65" i="12" s="1"/>
  <c r="M66" i="12" s="1"/>
  <c r="M67" i="12" s="1"/>
  <c r="M68" i="12" s="1"/>
  <c r="M69" i="12" s="1"/>
  <c r="M70" i="12" s="1"/>
  <c r="M71" i="12" s="1"/>
  <c r="M72" i="12" s="1"/>
  <c r="M73" i="12" s="1"/>
  <c r="M74" i="12" s="1"/>
  <c r="M75" i="12" s="1"/>
  <c r="M76" i="12" s="1"/>
  <c r="M77" i="12" s="1"/>
  <c r="M78" i="12" s="1"/>
  <c r="M79" i="12" s="1"/>
  <c r="M80" i="12" s="1"/>
  <c r="M81" i="12" s="1"/>
  <c r="M82" i="12" s="1"/>
  <c r="M83" i="12" s="1"/>
  <c r="M84" i="12" s="1"/>
  <c r="M85" i="12" s="1"/>
  <c r="M86" i="12" s="1"/>
  <c r="M87" i="12" s="1"/>
  <c r="M88" i="12" s="1"/>
  <c r="M89" i="12" s="1"/>
  <c r="M90" i="12" s="1"/>
  <c r="M91" i="12" s="1"/>
  <c r="M92" i="12" s="1"/>
  <c r="M93" i="12" s="1"/>
  <c r="M94" i="12" s="1"/>
  <c r="M95" i="12" s="1"/>
  <c r="M96" i="12" s="1"/>
  <c r="M97" i="12" s="1"/>
  <c r="M98" i="12" s="1"/>
  <c r="M99" i="12" s="1"/>
  <c r="M100" i="12" s="1"/>
  <c r="M101" i="12" s="1"/>
  <c r="M102" i="12" s="1"/>
  <c r="M103" i="12" s="1"/>
  <c r="M104" i="12" s="1"/>
  <c r="M105" i="12" s="1"/>
  <c r="M106" i="12" s="1"/>
  <c r="M107" i="12" s="1"/>
  <c r="M108" i="12" s="1"/>
  <c r="M109" i="12" s="1"/>
  <c r="M110" i="12" s="1"/>
  <c r="M111" i="12" s="1"/>
  <c r="M112" i="12" s="1"/>
  <c r="M113" i="12" s="1"/>
  <c r="M114" i="12" s="1"/>
  <c r="M115" i="12" s="1"/>
  <c r="M116" i="12" s="1"/>
  <c r="M117" i="12" s="1"/>
  <c r="M118" i="12" s="1"/>
  <c r="M119" i="12" s="1"/>
  <c r="M120" i="12" s="1"/>
  <c r="M121" i="12" s="1"/>
  <c r="M122" i="12" s="1"/>
  <c r="M123" i="12" s="1"/>
  <c r="M124" i="12" s="1"/>
  <c r="M125" i="12" s="1"/>
  <c r="M126" i="12" s="1"/>
  <c r="M127" i="12" s="1"/>
  <c r="M128" i="12" s="1"/>
  <c r="M129" i="12" s="1"/>
  <c r="M130" i="12" s="1"/>
  <c r="M131" i="12" s="1"/>
  <c r="M132" i="12" s="1"/>
  <c r="M133" i="12" s="1"/>
  <c r="M134" i="12" s="1"/>
  <c r="M135" i="12" s="1"/>
  <c r="M136" i="12" s="1"/>
  <c r="M137" i="12" s="1"/>
  <c r="M138" i="12" s="1"/>
  <c r="M139" i="12" s="1"/>
  <c r="M140" i="12" s="1"/>
  <c r="M141" i="12" s="1"/>
  <c r="M142" i="12" s="1"/>
  <c r="M143" i="12" s="1"/>
  <c r="M144" i="12" s="1"/>
  <c r="M145" i="12" s="1"/>
  <c r="M146" i="12" s="1"/>
  <c r="M147" i="12" s="1"/>
  <c r="M148" i="12" s="1"/>
  <c r="M149" i="12" s="1"/>
  <c r="M150" i="12" s="1"/>
  <c r="M151" i="12" s="1"/>
  <c r="M152" i="12" s="1"/>
  <c r="M153" i="12" s="1"/>
  <c r="M154" i="12" s="1"/>
  <c r="M155" i="12" s="1"/>
  <c r="M156" i="12" s="1"/>
  <c r="M157" i="12" s="1"/>
  <c r="M158" i="12" s="1"/>
  <c r="M159" i="12" s="1"/>
  <c r="M160" i="12" s="1"/>
  <c r="M161" i="12" s="1"/>
  <c r="M162" i="12" s="1"/>
  <c r="M163" i="12" s="1"/>
  <c r="M164" i="12" s="1"/>
  <c r="M165" i="12" s="1"/>
  <c r="M166" i="12" s="1"/>
  <c r="M167" i="12" s="1"/>
  <c r="M168" i="12" s="1"/>
  <c r="M169" i="12" s="1"/>
  <c r="M170" i="12" s="1"/>
  <c r="M171" i="12" s="1"/>
  <c r="M172" i="12" s="1"/>
  <c r="M173" i="12" s="1"/>
  <c r="M174" i="12" s="1"/>
  <c r="M175" i="12" s="1"/>
  <c r="M176" i="12" s="1"/>
  <c r="M177" i="12" s="1"/>
  <c r="M178" i="12" s="1"/>
  <c r="M179" i="12" s="1"/>
  <c r="M180" i="12" s="1"/>
  <c r="M181" i="12" s="1"/>
  <c r="M182" i="12" s="1"/>
  <c r="M183" i="12" s="1"/>
  <c r="M184" i="12" s="1"/>
  <c r="M185" i="12" s="1"/>
  <c r="M186" i="12" s="1"/>
  <c r="M187" i="12" s="1"/>
  <c r="M188" i="12" s="1"/>
  <c r="M189" i="12" s="1"/>
  <c r="M190" i="12" s="1"/>
  <c r="M191" i="12" s="1"/>
  <c r="M192" i="12" s="1"/>
  <c r="M193" i="12" s="1"/>
  <c r="M194" i="12" s="1"/>
  <c r="M195" i="12" s="1"/>
  <c r="M196" i="12" s="1"/>
  <c r="M197" i="12" s="1"/>
  <c r="M198" i="12" s="1"/>
  <c r="M199" i="12" s="1"/>
  <c r="M200" i="12" s="1"/>
  <c r="M201" i="12" s="1"/>
  <c r="M202" i="12" s="1"/>
  <c r="M203" i="12" s="1"/>
  <c r="M204" i="12" s="1"/>
  <c r="M205" i="12" s="1"/>
  <c r="M206" i="12" s="1"/>
  <c r="M207" i="12" s="1"/>
  <c r="M208" i="12" s="1"/>
  <c r="M209" i="12" s="1"/>
  <c r="M210" i="12" s="1"/>
  <c r="M211" i="12" s="1"/>
  <c r="M212" i="12" s="1"/>
  <c r="M213" i="12" s="1"/>
  <c r="M214" i="12" s="1"/>
  <c r="M215" i="12" s="1"/>
  <c r="M216" i="12" s="1"/>
  <c r="M217" i="12" s="1"/>
  <c r="M218" i="12" s="1"/>
  <c r="M219" i="12" s="1"/>
  <c r="M220" i="12" s="1"/>
  <c r="M221" i="12" s="1"/>
  <c r="M222" i="12" s="1"/>
  <c r="M223" i="12" s="1"/>
  <c r="M224" i="12" s="1"/>
  <c r="M225" i="12" s="1"/>
  <c r="M226" i="12" s="1"/>
  <c r="M227" i="12" s="1"/>
  <c r="M228" i="12" s="1"/>
  <c r="M229" i="12" s="1"/>
  <c r="M230" i="12" s="1"/>
  <c r="M231" i="12" s="1"/>
  <c r="M232" i="12" s="1"/>
  <c r="M233" i="12" s="1"/>
  <c r="M234" i="12" s="1"/>
  <c r="M235" i="12" s="1"/>
  <c r="M236" i="12" s="1"/>
  <c r="M237" i="12" s="1"/>
  <c r="M238" i="12" s="1"/>
  <c r="M239" i="12" s="1"/>
  <c r="M240" i="12" s="1"/>
  <c r="M241" i="12" s="1"/>
  <c r="M242" i="12" s="1"/>
  <c r="M243" i="12" s="1"/>
  <c r="M244" i="12" s="1"/>
  <c r="M245" i="12" s="1"/>
  <c r="M246" i="12" s="1"/>
  <c r="M247" i="12" s="1"/>
  <c r="M248" i="12" s="1"/>
  <c r="M249" i="12" s="1"/>
  <c r="M250" i="12" s="1"/>
  <c r="M251" i="12" s="1"/>
  <c r="M252" i="12" s="1"/>
  <c r="M253" i="12" s="1"/>
  <c r="M254" i="12" s="1"/>
  <c r="M255" i="12" s="1"/>
  <c r="M256" i="12" s="1"/>
  <c r="M257" i="12" s="1"/>
  <c r="M258" i="12" s="1"/>
  <c r="M259" i="12" s="1"/>
  <c r="M260" i="12" s="1"/>
  <c r="M261" i="12" s="1"/>
  <c r="M262" i="12" s="1"/>
  <c r="M263" i="12" s="1"/>
  <c r="M264" i="12" s="1"/>
  <c r="M265" i="12" s="1"/>
  <c r="M266" i="12" s="1"/>
  <c r="M267" i="12" s="1"/>
  <c r="M268" i="12" s="1"/>
  <c r="M269" i="12" s="1"/>
  <c r="M270" i="12" s="1"/>
  <c r="M271" i="12" s="1"/>
  <c r="M272" i="12" s="1"/>
  <c r="M273" i="12" s="1"/>
  <c r="M274" i="12" s="1"/>
  <c r="M275" i="12" s="1"/>
  <c r="M276" i="12" s="1"/>
  <c r="M277" i="12" s="1"/>
  <c r="M278" i="12" s="1"/>
  <c r="M279" i="12" s="1"/>
  <c r="M280" i="12" s="1"/>
  <c r="M281" i="12" s="1"/>
  <c r="M282" i="12" s="1"/>
  <c r="M283" i="12" s="1"/>
  <c r="M284" i="12" s="1"/>
  <c r="M285" i="12" s="1"/>
  <c r="M286" i="12" s="1"/>
  <c r="M287" i="12" s="1"/>
  <c r="M288" i="12" s="1"/>
  <c r="M289" i="12" s="1"/>
  <c r="M290" i="12" s="1"/>
  <c r="M291" i="12" s="1"/>
  <c r="M292" i="12" s="1"/>
  <c r="M293" i="12" s="1"/>
  <c r="M294" i="12" s="1"/>
  <c r="M295" i="12" s="1"/>
  <c r="M296" i="12" s="1"/>
  <c r="M297" i="12" s="1"/>
  <c r="M298" i="12" s="1"/>
  <c r="M299" i="12" s="1"/>
  <c r="M300" i="12" s="1"/>
  <c r="M301" i="12" s="1"/>
  <c r="M302" i="12" s="1"/>
  <c r="M303" i="12" s="1"/>
  <c r="M304" i="12" s="1"/>
  <c r="M305" i="12" s="1"/>
  <c r="M306" i="12" s="1"/>
  <c r="M307" i="12" s="1"/>
  <c r="M308" i="12" s="1"/>
  <c r="M309" i="12" s="1"/>
  <c r="M310" i="12" s="1"/>
  <c r="M311" i="12" s="1"/>
  <c r="M312" i="12" s="1"/>
  <c r="M313" i="12" s="1"/>
  <c r="M314" i="12" s="1"/>
  <c r="M315" i="12" s="1"/>
  <c r="M316" i="12" s="1"/>
  <c r="M317" i="12" s="1"/>
  <c r="M318" i="12" s="1"/>
  <c r="M319" i="12" s="1"/>
  <c r="M320" i="12" s="1"/>
  <c r="M321" i="12" s="1"/>
  <c r="M322" i="12" s="1"/>
  <c r="M323" i="12" s="1"/>
  <c r="M324" i="12" s="1"/>
  <c r="M325" i="12" s="1"/>
  <c r="M326" i="12" s="1"/>
  <c r="M327" i="12" s="1"/>
  <c r="M328" i="12" s="1"/>
  <c r="M329" i="12" s="1"/>
  <c r="M330" i="12" s="1"/>
  <c r="M331" i="12" s="1"/>
  <c r="M332" i="12" s="1"/>
  <c r="M333" i="12" s="1"/>
  <c r="M334" i="12" s="1"/>
  <c r="M3" i="11"/>
  <c r="M4" i="11" s="1"/>
  <c r="M5" i="11" s="1"/>
  <c r="M6" i="11" s="1"/>
  <c r="M7" i="11" s="1"/>
  <c r="M8" i="11" s="1"/>
  <c r="M9" i="11" l="1"/>
  <c r="M10" i="11" s="1"/>
  <c r="M11" i="11" s="1"/>
  <c r="M12" i="11" s="1"/>
  <c r="L16" i="13"/>
  <c r="L17" i="13" s="1"/>
  <c r="L18" i="13" s="1"/>
  <c r="L19" i="13" s="1"/>
  <c r="L20" i="13" s="1"/>
  <c r="L21" i="13" s="1"/>
  <c r="L22" i="13" s="1"/>
  <c r="L23" i="13" s="1"/>
  <c r="L24" i="13" s="1"/>
  <c r="L25" i="13" s="1"/>
  <c r="L26" i="13" s="1"/>
  <c r="L27" i="13" s="1"/>
  <c r="L28" i="13" s="1"/>
  <c r="L29" i="13" s="1"/>
  <c r="L30" i="13" s="1"/>
  <c r="L31" i="13" s="1"/>
  <c r="L32" i="13" s="1"/>
  <c r="L33" i="13" s="1"/>
  <c r="M13" i="11" l="1"/>
  <c r="M14" i="11" s="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M42" i="11" s="1"/>
  <c r="M43" i="11" s="1"/>
  <c r="M44" i="11" s="1"/>
  <c r="M45" i="11" s="1"/>
  <c r="M46" i="11" s="1"/>
  <c r="M47" i="11" s="1"/>
  <c r="M48" i="11" s="1"/>
  <c r="M49" i="11" s="1"/>
  <c r="M50" i="11" s="1"/>
  <c r="M51" i="11" s="1"/>
  <c r="M52" i="11" s="1"/>
  <c r="M53" i="11" s="1"/>
  <c r="M54" i="11" s="1"/>
  <c r="M55" i="11" s="1"/>
  <c r="M56" i="11" s="1"/>
  <c r="M57" i="11" s="1"/>
  <c r="M58" i="11" s="1"/>
  <c r="M59" i="11" s="1"/>
  <c r="M60" i="11" s="1"/>
  <c r="M61" i="11" s="1"/>
  <c r="M62" i="11" s="1"/>
  <c r="M63" i="11" s="1"/>
  <c r="M64" i="11" s="1"/>
  <c r="M65" i="11" s="1"/>
  <c r="M66" i="11" s="1"/>
  <c r="M67" i="11" s="1"/>
  <c r="M68" i="11" s="1"/>
  <c r="M69" i="11" s="1"/>
  <c r="M70" i="11" s="1"/>
  <c r="M71" i="11" s="1"/>
  <c r="M72" i="11" s="1"/>
  <c r="M73" i="11" s="1"/>
  <c r="M74" i="11" s="1"/>
  <c r="M75" i="11" s="1"/>
  <c r="M76" i="11" s="1"/>
  <c r="M77" i="11" s="1"/>
  <c r="M78" i="11" s="1"/>
  <c r="M79" i="11" s="1"/>
  <c r="M80" i="11" s="1"/>
  <c r="M81" i="11" s="1"/>
  <c r="M82" i="11" s="1"/>
  <c r="M83" i="11" s="1"/>
  <c r="M84" i="11" s="1"/>
  <c r="M85" i="11" s="1"/>
  <c r="M86" i="11" s="1"/>
  <c r="M87" i="11" s="1"/>
  <c r="M88" i="11" s="1"/>
  <c r="M89" i="11" s="1"/>
  <c r="M90" i="11" s="1"/>
  <c r="M91" i="11" s="1"/>
  <c r="M92" i="11" s="1"/>
  <c r="M93" i="11" s="1"/>
  <c r="M94" i="11" s="1"/>
  <c r="M95" i="11" s="1"/>
  <c r="M96" i="11" s="1"/>
  <c r="M97" i="11" s="1"/>
  <c r="M98" i="11" s="1"/>
  <c r="M99" i="11" s="1"/>
  <c r="M100" i="11" s="1"/>
  <c r="M101" i="11" s="1"/>
  <c r="M102" i="11" s="1"/>
  <c r="M103" i="11" s="1"/>
  <c r="M104" i="11" s="1"/>
  <c r="M105" i="11" s="1"/>
  <c r="M106" i="11" s="1"/>
  <c r="M107" i="11" s="1"/>
  <c r="M108" i="11" s="1"/>
  <c r="M109" i="11" s="1"/>
  <c r="M110" i="11" s="1"/>
  <c r="M111" i="11" s="1"/>
  <c r="M112" i="11" s="1"/>
  <c r="M113" i="11" s="1"/>
  <c r="M114" i="11" s="1"/>
  <c r="M115" i="11" s="1"/>
  <c r="M116" i="11" s="1"/>
  <c r="M117" i="11" s="1"/>
  <c r="M118" i="11" s="1"/>
  <c r="M119" i="11" s="1"/>
  <c r="M120" i="11" s="1"/>
  <c r="M121" i="11" s="1"/>
  <c r="M122" i="11" s="1"/>
  <c r="M123" i="11" s="1"/>
  <c r="M124" i="11" s="1"/>
  <c r="M125" i="11" s="1"/>
  <c r="M126" i="11" s="1"/>
  <c r="M127" i="11" s="1"/>
  <c r="M128" i="11" s="1"/>
  <c r="M129" i="11" s="1"/>
  <c r="M130" i="11" s="1"/>
  <c r="M131" i="11" s="1"/>
  <c r="M132" i="11" s="1"/>
  <c r="M133" i="11" s="1"/>
  <c r="M134" i="11" s="1"/>
  <c r="M135" i="11" s="1"/>
  <c r="M136" i="11" s="1"/>
  <c r="M137" i="11" s="1"/>
  <c r="M138" i="11" s="1"/>
  <c r="M139" i="11" s="1"/>
  <c r="M140" i="11" s="1"/>
  <c r="M141" i="11" s="1"/>
  <c r="M142" i="11" s="1"/>
  <c r="M143" i="11" s="1"/>
  <c r="M144" i="11" s="1"/>
  <c r="M145" i="11" s="1"/>
  <c r="M146" i="11" s="1"/>
  <c r="M147" i="11" s="1"/>
  <c r="M148" i="11" s="1"/>
  <c r="M149" i="11" s="1"/>
  <c r="M150" i="11" s="1"/>
  <c r="M151" i="11" s="1"/>
  <c r="M152" i="11" s="1"/>
  <c r="M153" i="11" s="1"/>
  <c r="M154" i="11" s="1"/>
  <c r="M155" i="11" s="1"/>
  <c r="M156" i="11" s="1"/>
  <c r="M157" i="11" s="1"/>
  <c r="M158" i="11" s="1"/>
  <c r="M159" i="11" s="1"/>
  <c r="M160" i="11" s="1"/>
  <c r="M161" i="11" s="1"/>
  <c r="M162" i="11" s="1"/>
  <c r="M163" i="11" s="1"/>
  <c r="M164" i="11" s="1"/>
  <c r="M165" i="11" s="1"/>
  <c r="M166" i="11" s="1"/>
  <c r="M167" i="11" s="1"/>
  <c r="M168" i="11" s="1"/>
  <c r="M169" i="11" s="1"/>
  <c r="M170" i="11" s="1"/>
  <c r="M171" i="11" s="1"/>
  <c r="M172" i="11" s="1"/>
  <c r="M173" i="11" s="1"/>
  <c r="M174" i="11" s="1"/>
  <c r="M175" i="11" s="1"/>
  <c r="M176" i="11" s="1"/>
  <c r="M177" i="11" s="1"/>
  <c r="M178" i="11" s="1"/>
  <c r="M179" i="11" s="1"/>
  <c r="M180" i="11" s="1"/>
  <c r="M181" i="11" s="1"/>
  <c r="M182" i="11" s="1"/>
  <c r="M183" i="11" s="1"/>
  <c r="M184" i="11" s="1"/>
  <c r="M185" i="11" s="1"/>
  <c r="M186" i="11" s="1"/>
  <c r="M187" i="11" s="1"/>
  <c r="M188" i="11" s="1"/>
  <c r="M189" i="11" s="1"/>
  <c r="M190" i="11" s="1"/>
  <c r="M191" i="11" s="1"/>
  <c r="M192" i="11" s="1"/>
  <c r="M193" i="11" s="1"/>
  <c r="M194" i="11" s="1"/>
  <c r="M195" i="11" s="1"/>
  <c r="M196" i="11" s="1"/>
  <c r="M197" i="11" s="1"/>
  <c r="M198" i="11" s="1"/>
  <c r="M199" i="11" s="1"/>
  <c r="M200" i="11" s="1"/>
  <c r="M201" i="11" s="1"/>
  <c r="M202" i="11" s="1"/>
  <c r="M203" i="11" s="1"/>
  <c r="M204" i="11" s="1"/>
  <c r="M205" i="11" s="1"/>
  <c r="M206" i="11" s="1"/>
  <c r="M207" i="11" s="1"/>
  <c r="M208" i="11" s="1"/>
  <c r="M209" i="11" s="1"/>
  <c r="M210" i="11" s="1"/>
  <c r="M211" i="11" s="1"/>
  <c r="M212" i="11" s="1"/>
  <c r="M213" i="11" s="1"/>
  <c r="M214" i="11" s="1"/>
  <c r="M215" i="11" s="1"/>
  <c r="M216" i="11" s="1"/>
  <c r="M217" i="11" s="1"/>
  <c r="M218" i="11" s="1"/>
  <c r="M219" i="11" s="1"/>
  <c r="M220" i="11" s="1"/>
  <c r="M221" i="11" s="1"/>
  <c r="M222" i="11" s="1"/>
  <c r="M223" i="11" s="1"/>
  <c r="M224" i="11" s="1"/>
  <c r="M225" i="11" s="1"/>
  <c r="M226" i="11" s="1"/>
  <c r="M227" i="11" s="1"/>
  <c r="M228" i="11" s="1"/>
  <c r="M229" i="11" s="1"/>
  <c r="M230" i="11" s="1"/>
  <c r="M231" i="11" s="1"/>
  <c r="M232" i="11" s="1"/>
  <c r="M233" i="11" s="1"/>
  <c r="M234" i="11" s="1"/>
  <c r="M235" i="11" s="1"/>
  <c r="M236" i="11" s="1"/>
  <c r="M237" i="11" s="1"/>
  <c r="M238" i="11" s="1"/>
  <c r="M239" i="11" s="1"/>
  <c r="M240" i="11" s="1"/>
  <c r="M241" i="11" s="1"/>
  <c r="M242" i="11" s="1"/>
  <c r="M243" i="11" s="1"/>
  <c r="M244" i="11" s="1"/>
  <c r="M245" i="11" s="1"/>
  <c r="M246" i="11" s="1"/>
  <c r="M247" i="11" s="1"/>
  <c r="M248" i="11" s="1"/>
  <c r="M249" i="11" s="1"/>
  <c r="M250" i="11" s="1"/>
  <c r="M251" i="11" s="1"/>
  <c r="M252" i="11" s="1"/>
  <c r="M253" i="11" s="1"/>
  <c r="M254" i="11" s="1"/>
  <c r="M255" i="11" s="1"/>
  <c r="M256" i="11" s="1"/>
  <c r="M257" i="11" s="1"/>
  <c r="M258" i="11" s="1"/>
  <c r="M259" i="11" s="1"/>
  <c r="M260" i="11" s="1"/>
  <c r="M261" i="11" s="1"/>
  <c r="M262" i="11" s="1"/>
  <c r="M263" i="11" s="1"/>
  <c r="M264" i="11" s="1"/>
  <c r="M265" i="11" s="1"/>
  <c r="M266" i="11" s="1"/>
  <c r="M267" i="11" s="1"/>
  <c r="M268" i="11" s="1"/>
  <c r="M269" i="11" s="1"/>
  <c r="M270" i="11" s="1"/>
  <c r="M271" i="11" s="1"/>
  <c r="M272" i="11" s="1"/>
  <c r="M273" i="11" s="1"/>
  <c r="M274" i="11" s="1"/>
  <c r="M275" i="11" s="1"/>
  <c r="M276" i="11" s="1"/>
  <c r="M277" i="11" s="1"/>
  <c r="M278" i="11" s="1"/>
  <c r="M279" i="11" s="1"/>
  <c r="M280" i="11" s="1"/>
  <c r="M281" i="11" s="1"/>
  <c r="M282" i="11" s="1"/>
  <c r="M283" i="11" s="1"/>
  <c r="M284" i="11" s="1"/>
  <c r="M285" i="11" s="1"/>
  <c r="M286" i="11" s="1"/>
  <c r="M287" i="11" s="1"/>
  <c r="M288" i="11" s="1"/>
  <c r="M289" i="11" s="1"/>
  <c r="M290" i="11" s="1"/>
  <c r="M291" i="11" s="1"/>
  <c r="M292" i="11" s="1"/>
  <c r="M293" i="11" s="1"/>
  <c r="M294" i="11" s="1"/>
  <c r="M295" i="11" s="1"/>
  <c r="M296" i="11" s="1"/>
  <c r="M297" i="11" s="1"/>
  <c r="M298" i="11" s="1"/>
  <c r="M299" i="11" s="1"/>
  <c r="M300" i="11" s="1"/>
  <c r="M301" i="11" s="1"/>
  <c r="M302" i="11" s="1"/>
  <c r="M303" i="11" s="1"/>
  <c r="M304" i="11" s="1"/>
  <c r="M305" i="11" s="1"/>
  <c r="M306" i="11" s="1"/>
  <c r="M307" i="11" s="1"/>
  <c r="M308" i="11" s="1"/>
  <c r="M309" i="11" s="1"/>
  <c r="M310" i="11" s="1"/>
  <c r="M311" i="11" s="1"/>
  <c r="M312" i="11" s="1"/>
  <c r="M313" i="11" s="1"/>
  <c r="M314" i="11" s="1"/>
  <c r="M315" i="11" s="1"/>
  <c r="M316" i="11" s="1"/>
  <c r="M317" i="11" s="1"/>
  <c r="M318" i="11" s="1"/>
  <c r="M319" i="11" s="1"/>
  <c r="M320" i="11" s="1"/>
  <c r="M321" i="11" s="1"/>
  <c r="M322" i="11" s="1"/>
  <c r="M323" i="11" s="1"/>
  <c r="M324" i="11" s="1"/>
  <c r="M325" i="11" s="1"/>
  <c r="M326" i="11" s="1"/>
  <c r="M327" i="11" s="1"/>
  <c r="M328" i="11" s="1"/>
  <c r="M329" i="11" s="1"/>
  <c r="M330" i="11" s="1"/>
  <c r="M331" i="11" s="1"/>
  <c r="M332" i="11" s="1"/>
  <c r="M333" i="11" s="1"/>
  <c r="M334" i="11" s="1"/>
  <c r="M335" i="11" s="1"/>
  <c r="L34" i="13"/>
  <c r="L35" i="13" s="1"/>
  <c r="L36" i="13" s="1"/>
  <c r="L37" i="13" s="1"/>
  <c r="L38" i="13" s="1"/>
  <c r="L39" i="13" s="1"/>
  <c r="L40" i="13" s="1"/>
  <c r="L41" i="13" s="1"/>
  <c r="L42" i="13" s="1"/>
  <c r="K339" i="8"/>
  <c r="K338" i="8"/>
  <c r="K337" i="8"/>
  <c r="K336" i="8"/>
  <c r="K335" i="8"/>
  <c r="K334" i="8"/>
  <c r="K333" i="8"/>
  <c r="K332" i="8"/>
  <c r="K331" i="8"/>
  <c r="K330" i="8"/>
  <c r="K329" i="8"/>
  <c r="K328" i="8"/>
  <c r="K327" i="8"/>
  <c r="K326" i="8"/>
  <c r="K325" i="8"/>
  <c r="K324" i="8"/>
  <c r="K323" i="8"/>
  <c r="K322" i="8"/>
  <c r="K321" i="8"/>
  <c r="K320" i="8"/>
  <c r="K319" i="8"/>
  <c r="K318" i="8"/>
  <c r="K317" i="8"/>
  <c r="K316" i="8"/>
  <c r="K315" i="8"/>
  <c r="K314" i="8"/>
  <c r="K313" i="8"/>
  <c r="K312" i="8"/>
  <c r="K311" i="8"/>
  <c r="K310" i="8"/>
  <c r="K309" i="8"/>
  <c r="K308" i="8"/>
  <c r="K307" i="8"/>
  <c r="K306" i="8"/>
  <c r="K305" i="8"/>
  <c r="K304" i="8"/>
  <c r="K303" i="8"/>
  <c r="K302" i="8"/>
  <c r="K301" i="8"/>
  <c r="K300" i="8"/>
  <c r="K299" i="8"/>
  <c r="K298" i="8"/>
  <c r="K297" i="8"/>
  <c r="K296" i="8"/>
  <c r="K295" i="8"/>
  <c r="K294" i="8"/>
  <c r="K293" i="8"/>
  <c r="K292" i="8"/>
  <c r="K291" i="8"/>
  <c r="K290" i="8"/>
  <c r="K289" i="8"/>
  <c r="K288" i="8"/>
  <c r="K287" i="8"/>
  <c r="K286" i="8"/>
  <c r="K285" i="8"/>
  <c r="K284" i="8"/>
  <c r="K283" i="8"/>
  <c r="K282" i="8"/>
  <c r="K281" i="8"/>
  <c r="K280" i="8"/>
  <c r="K279" i="8"/>
  <c r="K278" i="8"/>
  <c r="K277" i="8"/>
  <c r="K276" i="8"/>
  <c r="K275" i="8"/>
  <c r="K274" i="8"/>
  <c r="K273" i="8"/>
  <c r="K272" i="8"/>
  <c r="K271" i="8"/>
  <c r="K270" i="8"/>
  <c r="K269" i="8"/>
  <c r="K268" i="8"/>
  <c r="K267" i="8"/>
  <c r="K266" i="8"/>
  <c r="K265" i="8"/>
  <c r="K264" i="8"/>
  <c r="K263" i="8"/>
  <c r="K262" i="8"/>
  <c r="K261" i="8"/>
  <c r="K260" i="8"/>
  <c r="K259" i="8"/>
  <c r="K258" i="8"/>
  <c r="K257" i="8"/>
  <c r="K256" i="8"/>
  <c r="K255" i="8"/>
  <c r="K254" i="8"/>
  <c r="K253" i="8"/>
  <c r="K252" i="8"/>
  <c r="K251" i="8"/>
  <c r="K250" i="8"/>
  <c r="K249" i="8"/>
  <c r="K248" i="8"/>
  <c r="K247" i="8"/>
  <c r="K246" i="8"/>
  <c r="K245" i="8"/>
  <c r="K244" i="8"/>
  <c r="K243" i="8"/>
  <c r="K242" i="8"/>
  <c r="K241" i="8"/>
  <c r="K240" i="8"/>
  <c r="K239" i="8"/>
  <c r="K238" i="8"/>
  <c r="K237" i="8"/>
  <c r="K236" i="8"/>
  <c r="K235" i="8"/>
  <c r="K234" i="8"/>
  <c r="K233" i="8"/>
  <c r="K232" i="8"/>
  <c r="K231" i="8"/>
  <c r="K230" i="8"/>
  <c r="K229" i="8"/>
  <c r="K228" i="8"/>
  <c r="K227" i="8"/>
  <c r="K226" i="8"/>
  <c r="K225" i="8"/>
  <c r="K224" i="8"/>
  <c r="K223" i="8"/>
  <c r="K222" i="8"/>
  <c r="K221" i="8"/>
  <c r="K220" i="8"/>
  <c r="K219" i="8"/>
  <c r="K218" i="8"/>
  <c r="K217" i="8"/>
  <c r="K216" i="8"/>
  <c r="K215" i="8"/>
  <c r="K214" i="8"/>
  <c r="K213" i="8"/>
  <c r="K212" i="8"/>
  <c r="K211" i="8"/>
  <c r="K210" i="8"/>
  <c r="K209" i="8"/>
  <c r="K208" i="8"/>
  <c r="K207" i="8"/>
  <c r="K206" i="8"/>
  <c r="K205" i="8"/>
  <c r="K204" i="8"/>
  <c r="K203" i="8"/>
  <c r="K202" i="8"/>
  <c r="K201" i="8"/>
  <c r="K200" i="8"/>
  <c r="K199" i="8"/>
  <c r="K198" i="8"/>
  <c r="K197" i="8"/>
  <c r="K196" i="8"/>
  <c r="K195" i="8"/>
  <c r="K194" i="8"/>
  <c r="K193" i="8"/>
  <c r="K192" i="8"/>
  <c r="K47" i="8"/>
  <c r="K46" i="8"/>
  <c r="K45" i="8"/>
  <c r="K44" i="8"/>
  <c r="K43" i="8"/>
  <c r="K41" i="8"/>
  <c r="K40" i="8"/>
  <c r="K39" i="8"/>
  <c r="K38" i="8"/>
  <c r="K37" i="8"/>
  <c r="K34" i="8"/>
  <c r="K33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M2" i="8" l="1"/>
  <c r="M3" i="8" s="1"/>
  <c r="M4" i="8" s="1"/>
  <c r="M5" i="8" s="1"/>
  <c r="M6" i="8" s="1"/>
  <c r="M7" i="8" s="1"/>
  <c r="M8" i="8" s="1"/>
  <c r="M9" i="8" s="1"/>
  <c r="M10" i="8" s="1"/>
  <c r="M11" i="8" s="1"/>
  <c r="M12" i="8" s="1"/>
  <c r="M13" i="8" s="1"/>
  <c r="M14" i="8" s="1"/>
  <c r="M15" i="8" s="1"/>
  <c r="M16" i="8" s="1"/>
  <c r="M17" i="8" s="1"/>
  <c r="M18" i="8" s="1"/>
  <c r="N13" i="8"/>
  <c r="B37" i="14" s="1"/>
  <c r="L43" i="13" l="1"/>
  <c r="L44" i="13" s="1"/>
  <c r="M19" i="8"/>
  <c r="M20" i="8" s="1"/>
  <c r="M21" i="8" s="1"/>
  <c r="M22" i="8" s="1"/>
  <c r="M23" i="8" s="1"/>
  <c r="M24" i="8" s="1"/>
  <c r="M25" i="8" s="1"/>
  <c r="M26" i="8" s="1"/>
  <c r="M27" i="8" s="1"/>
  <c r="M28" i="8" s="1"/>
  <c r="M29" i="8" s="1"/>
  <c r="M30" i="8" s="1"/>
  <c r="M31" i="8" s="1"/>
  <c r="L45" i="13" l="1"/>
  <c r="L46" i="13" s="1"/>
  <c r="L47" i="13" s="1"/>
  <c r="L48" i="13" s="1"/>
  <c r="L49" i="13" s="1"/>
  <c r="L50" i="13" s="1"/>
  <c r="M32" i="8"/>
  <c r="M33" i="8" s="1"/>
  <c r="M34" i="8" s="1"/>
  <c r="M35" i="8" l="1"/>
  <c r="M36" i="8" s="1"/>
  <c r="M37" i="8" s="1"/>
  <c r="M38" i="8" s="1"/>
  <c r="M39" i="8" s="1"/>
  <c r="M40" i="8" s="1"/>
  <c r="M41" i="8" s="1"/>
  <c r="L51" i="13" l="1"/>
  <c r="M42" i="8"/>
  <c r="M43" i="8" s="1"/>
  <c r="M44" i="8" s="1"/>
  <c r="M45" i="8" s="1"/>
  <c r="M46" i="8" s="1"/>
  <c r="M47" i="8" s="1"/>
  <c r="M48" i="8" s="1"/>
  <c r="M49" i="8" s="1"/>
  <c r="M50" i="8" s="1"/>
  <c r="M51" i="8" s="1"/>
  <c r="M52" i="8" s="1"/>
  <c r="M53" i="8" s="1"/>
  <c r="M54" i="8" s="1"/>
  <c r="M55" i="8" s="1"/>
  <c r="M56" i="8" s="1"/>
  <c r="M57" i="8" s="1"/>
  <c r="L52" i="13" l="1"/>
  <c r="L56" i="13" s="1"/>
  <c r="L57" i="13" s="1"/>
  <c r="L58" i="13" s="1"/>
  <c r="L59" i="13" s="1"/>
  <c r="L60" i="13" s="1"/>
  <c r="L61" i="13" s="1"/>
  <c r="L62" i="13" s="1"/>
  <c r="L63" i="13" s="1"/>
  <c r="L64" i="13" s="1"/>
  <c r="L65" i="13" s="1"/>
  <c r="L66" i="13" s="1"/>
  <c r="L67" i="13" s="1"/>
  <c r="L68" i="13" s="1"/>
  <c r="L69" i="13" s="1"/>
  <c r="L70" i="13" s="1"/>
  <c r="L71" i="13" s="1"/>
  <c r="L72" i="13" s="1"/>
  <c r="L73" i="13" s="1"/>
  <c r="L74" i="13" s="1"/>
  <c r="L75" i="13" s="1"/>
  <c r="L76" i="13" s="1"/>
  <c r="L77" i="13" s="1"/>
  <c r="M58" i="8"/>
  <c r="M59" i="8" s="1"/>
  <c r="M60" i="8" s="1"/>
  <c r="M61" i="8" s="1"/>
  <c r="M62" i="8" s="1"/>
  <c r="M63" i="8" s="1"/>
  <c r="M64" i="8" s="1"/>
  <c r="M65" i="8" s="1"/>
  <c r="M66" i="8" s="1"/>
  <c r="M67" i="8" s="1"/>
  <c r="M68" i="8" s="1"/>
  <c r="M69" i="8" s="1"/>
  <c r="M70" i="8" s="1"/>
  <c r="M71" i="8" s="1"/>
  <c r="M72" i="8" s="1"/>
  <c r="M73" i="8" s="1"/>
  <c r="M74" i="8" s="1"/>
  <c r="M75" i="8" s="1"/>
  <c r="M76" i="8" s="1"/>
  <c r="M77" i="8" s="1"/>
  <c r="M78" i="8" s="1"/>
  <c r="M79" i="8" s="1"/>
  <c r="M80" i="8" s="1"/>
  <c r="M81" i="8" s="1"/>
  <c r="M82" i="8" s="1"/>
  <c r="M83" i="8" s="1"/>
  <c r="M84" i="8" s="1"/>
  <c r="M85" i="8" s="1"/>
  <c r="M86" i="8" s="1"/>
  <c r="M87" i="8" s="1"/>
  <c r="M88" i="8" s="1"/>
  <c r="M89" i="8" s="1"/>
  <c r="M90" i="8" s="1"/>
  <c r="M91" i="8" s="1"/>
  <c r="M92" i="8" s="1"/>
  <c r="M93" i="8" s="1"/>
  <c r="M94" i="8" s="1"/>
  <c r="M95" i="8" s="1"/>
  <c r="M96" i="8" s="1"/>
  <c r="M97" i="8" s="1"/>
  <c r="M98" i="8" s="1"/>
  <c r="M99" i="8" s="1"/>
  <c r="M100" i="8" s="1"/>
  <c r="M101" i="8" s="1"/>
  <c r="M102" i="8" s="1"/>
  <c r="M103" i="8" s="1"/>
  <c r="M104" i="8" s="1"/>
  <c r="M105" i="8" s="1"/>
  <c r="M106" i="8" s="1"/>
  <c r="M107" i="8" s="1"/>
  <c r="M108" i="8" s="1"/>
  <c r="M109" i="8" s="1"/>
  <c r="M110" i="8" s="1"/>
  <c r="M111" i="8" s="1"/>
  <c r="M112" i="8" s="1"/>
  <c r="M113" i="8" s="1"/>
  <c r="M114" i="8" s="1"/>
  <c r="M115" i="8" s="1"/>
  <c r="M116" i="8" s="1"/>
  <c r="M117" i="8" s="1"/>
  <c r="M118" i="8" s="1"/>
  <c r="M119" i="8" s="1"/>
  <c r="M120" i="8" s="1"/>
  <c r="M121" i="8" s="1"/>
  <c r="M122" i="8" s="1"/>
  <c r="M123" i="8" s="1"/>
  <c r="M124" i="8" s="1"/>
  <c r="M125" i="8" s="1"/>
  <c r="M126" i="8" s="1"/>
  <c r="M127" i="8" s="1"/>
  <c r="M128" i="8" s="1"/>
  <c r="M129" i="8" s="1"/>
  <c r="M130" i="8" s="1"/>
  <c r="M131" i="8" s="1"/>
  <c r="M132" i="8" s="1"/>
  <c r="M133" i="8" s="1"/>
  <c r="M134" i="8" s="1"/>
  <c r="M135" i="8" s="1"/>
  <c r="M136" i="8" s="1"/>
  <c r="M137" i="8" s="1"/>
  <c r="M138" i="8" s="1"/>
  <c r="M139" i="8" s="1"/>
  <c r="M140" i="8" s="1"/>
  <c r="M141" i="8" s="1"/>
  <c r="M142" i="8" s="1"/>
  <c r="M143" i="8" s="1"/>
  <c r="M144" i="8" s="1"/>
  <c r="M145" i="8" s="1"/>
  <c r="M146" i="8" s="1"/>
  <c r="M147" i="8" s="1"/>
  <c r="M148" i="8" s="1"/>
  <c r="M149" i="8" s="1"/>
  <c r="M150" i="8" s="1"/>
  <c r="M151" i="8" s="1"/>
  <c r="M152" i="8" s="1"/>
  <c r="M153" i="8" s="1"/>
  <c r="M154" i="8" s="1"/>
  <c r="M155" i="8" s="1"/>
  <c r="M156" i="8" s="1"/>
  <c r="M157" i="8" s="1"/>
  <c r="M158" i="8" s="1"/>
  <c r="M159" i="8" s="1"/>
  <c r="M160" i="8" s="1"/>
  <c r="M161" i="8" s="1"/>
  <c r="M162" i="8" s="1"/>
  <c r="M163" i="8" s="1"/>
  <c r="M164" i="8" s="1"/>
  <c r="M165" i="8" s="1"/>
  <c r="M166" i="8" s="1"/>
  <c r="M167" i="8" s="1"/>
  <c r="M168" i="8" s="1"/>
  <c r="M169" i="8" s="1"/>
  <c r="M170" i="8" s="1"/>
  <c r="M171" i="8" s="1"/>
  <c r="M172" i="8" s="1"/>
  <c r="M173" i="8" s="1"/>
  <c r="M174" i="8" s="1"/>
  <c r="M175" i="8" s="1"/>
  <c r="M176" i="8" s="1"/>
  <c r="M177" i="8" s="1"/>
  <c r="M178" i="8" s="1"/>
  <c r="M179" i="8" s="1"/>
  <c r="M180" i="8" s="1"/>
  <c r="M181" i="8" s="1"/>
  <c r="M182" i="8" s="1"/>
  <c r="M183" i="8" s="1"/>
  <c r="M184" i="8" s="1"/>
  <c r="M185" i="8" s="1"/>
  <c r="M186" i="8" s="1"/>
  <c r="M187" i="8" s="1"/>
  <c r="M188" i="8" s="1"/>
  <c r="M189" i="8" s="1"/>
  <c r="M190" i="8" s="1"/>
  <c r="M191" i="8" s="1"/>
  <c r="M192" i="8" s="1"/>
  <c r="M193" i="8" s="1"/>
  <c r="M194" i="8" s="1"/>
  <c r="M195" i="8" s="1"/>
  <c r="M196" i="8" s="1"/>
  <c r="M197" i="8" s="1"/>
  <c r="M198" i="8" s="1"/>
  <c r="M199" i="8" s="1"/>
  <c r="M200" i="8" s="1"/>
  <c r="M201" i="8" s="1"/>
  <c r="M202" i="8" s="1"/>
  <c r="M203" i="8" s="1"/>
  <c r="M204" i="8" s="1"/>
  <c r="M205" i="8" s="1"/>
  <c r="M206" i="8" s="1"/>
  <c r="M207" i="8" s="1"/>
  <c r="M208" i="8" s="1"/>
  <c r="M209" i="8" s="1"/>
  <c r="M210" i="8" s="1"/>
  <c r="M211" i="8" s="1"/>
  <c r="M212" i="8" s="1"/>
  <c r="M213" i="8" s="1"/>
  <c r="M214" i="8" s="1"/>
  <c r="M215" i="8" s="1"/>
  <c r="M216" i="8" s="1"/>
  <c r="M217" i="8" s="1"/>
  <c r="M218" i="8" s="1"/>
  <c r="M219" i="8" s="1"/>
  <c r="M220" i="8" s="1"/>
  <c r="M221" i="8" s="1"/>
  <c r="M222" i="8" s="1"/>
  <c r="M223" i="8" s="1"/>
  <c r="M224" i="8" s="1"/>
  <c r="M225" i="8" s="1"/>
  <c r="M226" i="8" s="1"/>
  <c r="M227" i="8" s="1"/>
  <c r="M228" i="8" s="1"/>
  <c r="M229" i="8" s="1"/>
  <c r="M230" i="8" s="1"/>
  <c r="M231" i="8" s="1"/>
  <c r="M232" i="8" s="1"/>
  <c r="M233" i="8" s="1"/>
  <c r="M234" i="8" s="1"/>
  <c r="M235" i="8" s="1"/>
  <c r="M236" i="8" s="1"/>
  <c r="M237" i="8" s="1"/>
  <c r="M238" i="8" s="1"/>
  <c r="M239" i="8" s="1"/>
  <c r="M240" i="8" s="1"/>
  <c r="M241" i="8" s="1"/>
  <c r="M242" i="8" s="1"/>
  <c r="M243" i="8" s="1"/>
  <c r="M244" i="8" s="1"/>
  <c r="M245" i="8" s="1"/>
  <c r="M246" i="8" s="1"/>
  <c r="M247" i="8" s="1"/>
  <c r="M248" i="8" s="1"/>
  <c r="M249" i="8" s="1"/>
  <c r="M250" i="8" s="1"/>
  <c r="M251" i="8" s="1"/>
  <c r="M252" i="8" s="1"/>
  <c r="M253" i="8" s="1"/>
  <c r="M254" i="8" s="1"/>
  <c r="M255" i="8" s="1"/>
  <c r="M256" i="8" s="1"/>
  <c r="M257" i="8" s="1"/>
  <c r="M258" i="8" s="1"/>
  <c r="M259" i="8" s="1"/>
  <c r="M260" i="8" s="1"/>
  <c r="M261" i="8" s="1"/>
  <c r="M262" i="8" s="1"/>
  <c r="M263" i="8" s="1"/>
  <c r="M264" i="8" s="1"/>
  <c r="M265" i="8" s="1"/>
  <c r="M266" i="8" s="1"/>
  <c r="M267" i="8" s="1"/>
  <c r="M268" i="8" s="1"/>
  <c r="M269" i="8" s="1"/>
  <c r="M270" i="8" s="1"/>
  <c r="M271" i="8" s="1"/>
  <c r="M272" i="8" s="1"/>
  <c r="M273" i="8" s="1"/>
  <c r="M274" i="8" s="1"/>
  <c r="M275" i="8" s="1"/>
  <c r="M276" i="8" s="1"/>
  <c r="M277" i="8" s="1"/>
  <c r="M278" i="8" s="1"/>
  <c r="M279" i="8" s="1"/>
  <c r="M280" i="8" s="1"/>
  <c r="M281" i="8" s="1"/>
  <c r="M282" i="8" s="1"/>
  <c r="M283" i="8" s="1"/>
  <c r="M284" i="8" s="1"/>
  <c r="M285" i="8" s="1"/>
  <c r="M286" i="8" s="1"/>
  <c r="M287" i="8" s="1"/>
  <c r="M288" i="8" s="1"/>
  <c r="M289" i="8" s="1"/>
  <c r="M290" i="8" s="1"/>
  <c r="M291" i="8" s="1"/>
  <c r="M292" i="8" s="1"/>
  <c r="M293" i="8" s="1"/>
  <c r="M294" i="8" s="1"/>
  <c r="M295" i="8" s="1"/>
  <c r="M296" i="8" s="1"/>
  <c r="M297" i="8" s="1"/>
  <c r="M298" i="8" s="1"/>
  <c r="M299" i="8" s="1"/>
  <c r="M300" i="8" s="1"/>
  <c r="M301" i="8" s="1"/>
  <c r="M302" i="8" s="1"/>
  <c r="M303" i="8" s="1"/>
  <c r="M304" i="8" s="1"/>
  <c r="M305" i="8" s="1"/>
  <c r="M306" i="8" s="1"/>
  <c r="M307" i="8" s="1"/>
  <c r="M308" i="8" s="1"/>
  <c r="M309" i="8" s="1"/>
  <c r="M310" i="8" s="1"/>
  <c r="M311" i="8" s="1"/>
  <c r="M312" i="8" s="1"/>
  <c r="M313" i="8" s="1"/>
  <c r="M314" i="8" s="1"/>
  <c r="M315" i="8" s="1"/>
  <c r="M316" i="8" s="1"/>
  <c r="M317" i="8" s="1"/>
  <c r="M318" i="8" s="1"/>
  <c r="M319" i="8" s="1"/>
  <c r="M320" i="8" s="1"/>
  <c r="M321" i="8" s="1"/>
  <c r="M322" i="8" s="1"/>
  <c r="M323" i="8" s="1"/>
  <c r="M324" i="8" s="1"/>
  <c r="M325" i="8" s="1"/>
  <c r="M326" i="8" s="1"/>
  <c r="M327" i="8" s="1"/>
  <c r="M328" i="8" s="1"/>
  <c r="M329" i="8" s="1"/>
  <c r="M330" i="8" s="1"/>
  <c r="M331" i="8" s="1"/>
  <c r="M332" i="8" s="1"/>
  <c r="M333" i="8" s="1"/>
  <c r="M334" i="8" s="1"/>
  <c r="M335" i="8" s="1"/>
  <c r="M336" i="8" s="1"/>
  <c r="M337" i="8" s="1"/>
  <c r="M338" i="8" s="1"/>
  <c r="M339" i="8" s="1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7" i="5"/>
  <c r="K55" i="5"/>
  <c r="K54" i="5"/>
  <c r="K53" i="5"/>
  <c r="K52" i="5"/>
  <c r="K51" i="5"/>
  <c r="K50" i="5"/>
  <c r="K48" i="5"/>
  <c r="K46" i="5"/>
  <c r="K44" i="5"/>
  <c r="K42" i="5"/>
  <c r="K41" i="5"/>
  <c r="K40" i="5"/>
  <c r="K39" i="5"/>
  <c r="K38" i="5"/>
  <c r="K37" i="5"/>
  <c r="K36" i="5"/>
  <c r="K34" i="5"/>
  <c r="K32" i="5"/>
  <c r="K29" i="5"/>
  <c r="K27" i="5"/>
  <c r="K25" i="5"/>
  <c r="K24" i="5"/>
  <c r="K22" i="5"/>
  <c r="K20" i="5"/>
  <c r="K19" i="5"/>
  <c r="K17" i="5"/>
  <c r="K16" i="5"/>
  <c r="K14" i="5"/>
  <c r="K13" i="5"/>
  <c r="K8" i="5"/>
  <c r="K7" i="5"/>
  <c r="K6" i="5"/>
  <c r="K5" i="5"/>
  <c r="K3" i="5"/>
  <c r="K2" i="5"/>
  <c r="L78" i="13" l="1"/>
  <c r="L79" i="13" s="1"/>
  <c r="L80" i="13" s="1"/>
  <c r="L81" i="13" s="1"/>
  <c r="L82" i="13" s="1"/>
  <c r="K4" i="5"/>
  <c r="M3" i="5"/>
  <c r="K11" i="5"/>
  <c r="N17" i="5" l="1"/>
  <c r="B33" i="14" s="1"/>
  <c r="L83" i="13"/>
  <c r="L84" i="13" s="1"/>
  <c r="L85" i="13" s="1"/>
  <c r="L86" i="13" s="1"/>
  <c r="L87" i="13" s="1"/>
  <c r="L88" i="13" s="1"/>
  <c r="L89" i="13" s="1"/>
  <c r="L90" i="13" s="1"/>
  <c r="L91" i="13" s="1"/>
  <c r="L92" i="13" s="1"/>
  <c r="L93" i="13" s="1"/>
  <c r="L94" i="13" s="1"/>
  <c r="L95" i="13" s="1"/>
  <c r="L96" i="13" s="1"/>
  <c r="M4" i="5"/>
  <c r="M5" i="5" s="1"/>
  <c r="M6" i="5" s="1"/>
  <c r="M7" i="5" s="1"/>
  <c r="M8" i="5" s="1"/>
  <c r="K163" i="4"/>
  <c r="K161" i="4"/>
  <c r="K160" i="4"/>
  <c r="K156" i="4"/>
  <c r="K153" i="4"/>
  <c r="K151" i="4"/>
  <c r="K150" i="4"/>
  <c r="K143" i="4"/>
  <c r="K142" i="4"/>
  <c r="K136" i="4"/>
  <c r="K135" i="4"/>
  <c r="K131" i="4"/>
  <c r="K128" i="4"/>
  <c r="K127" i="4"/>
  <c r="K126" i="4"/>
  <c r="K125" i="4"/>
  <c r="K124" i="4"/>
  <c r="K121" i="4"/>
  <c r="K120" i="4"/>
  <c r="K119" i="4"/>
  <c r="K118" i="4"/>
  <c r="K116" i="4"/>
  <c r="K115" i="4"/>
  <c r="K114" i="4"/>
  <c r="K112" i="4"/>
  <c r="K110" i="4"/>
  <c r="K109" i="4"/>
  <c r="K108" i="4"/>
  <c r="K107" i="4"/>
  <c r="K106" i="4"/>
  <c r="K100" i="4"/>
  <c r="K97" i="4"/>
  <c r="K96" i="4"/>
  <c r="K94" i="4"/>
  <c r="K90" i="4"/>
  <c r="K89" i="4"/>
  <c r="K88" i="4"/>
  <c r="K87" i="4"/>
  <c r="K84" i="4"/>
  <c r="K83" i="4"/>
  <c r="K82" i="4"/>
  <c r="K81" i="4"/>
  <c r="K80" i="4"/>
  <c r="K79" i="4"/>
  <c r="K78" i="4"/>
  <c r="K74" i="4"/>
  <c r="K73" i="4"/>
  <c r="K71" i="4"/>
  <c r="K70" i="4"/>
  <c r="K69" i="4"/>
  <c r="K67" i="4"/>
  <c r="K66" i="4"/>
  <c r="K63" i="4"/>
  <c r="K62" i="4"/>
  <c r="K61" i="4"/>
  <c r="K60" i="4"/>
  <c r="K57" i="4"/>
  <c r="K56" i="4"/>
  <c r="K54" i="4"/>
  <c r="K53" i="4"/>
  <c r="K52" i="4"/>
  <c r="K50" i="4"/>
  <c r="K49" i="4"/>
  <c r="K48" i="4"/>
  <c r="K44" i="4"/>
  <c r="K43" i="4"/>
  <c r="K41" i="4"/>
  <c r="K39" i="4"/>
  <c r="K36" i="4"/>
  <c r="K35" i="4"/>
  <c r="K34" i="4"/>
  <c r="K33" i="4"/>
  <c r="K32" i="4"/>
  <c r="K31" i="4"/>
  <c r="K30" i="4"/>
  <c r="K29" i="4"/>
  <c r="K28" i="4"/>
  <c r="K27" i="4"/>
  <c r="K25" i="4"/>
  <c r="K22" i="4"/>
  <c r="K21" i="4"/>
  <c r="K20" i="4"/>
  <c r="K18" i="4"/>
  <c r="K17" i="4"/>
  <c r="K16" i="4"/>
  <c r="K15" i="4"/>
  <c r="K14" i="4"/>
  <c r="K12" i="4"/>
  <c r="K9" i="4"/>
  <c r="K7" i="4"/>
  <c r="K3" i="4"/>
  <c r="L97" i="13" l="1"/>
  <c r="L98" i="13" s="1"/>
  <c r="L99" i="13" s="1"/>
  <c r="L100" i="13" s="1"/>
  <c r="L101" i="13" s="1"/>
  <c r="M9" i="5"/>
  <c r="K2" i="4"/>
  <c r="K72" i="4"/>
  <c r="K75" i="4"/>
  <c r="K85" i="4"/>
  <c r="K95" i="4"/>
  <c r="K104" i="4"/>
  <c r="K105" i="4"/>
  <c r="K111" i="4"/>
  <c r="K129" i="4"/>
  <c r="K130" i="4"/>
  <c r="K139" i="4"/>
  <c r="K140" i="4"/>
  <c r="K141" i="4"/>
  <c r="K152" i="4"/>
  <c r="K159" i="4"/>
  <c r="K162" i="4"/>
  <c r="M3" i="4"/>
  <c r="M4" i="4" s="1"/>
  <c r="M5" i="4" s="1"/>
  <c r="M6" i="4" s="1"/>
  <c r="M7" i="4" s="1"/>
  <c r="M8" i="4" s="1"/>
  <c r="M10" i="5" l="1"/>
  <c r="M11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M27" i="5" s="1"/>
  <c r="M9" i="4"/>
  <c r="M10" i="4" s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M69" i="4" s="1"/>
  <c r="M70" i="4" s="1"/>
  <c r="M71" i="4" s="1"/>
  <c r="M72" i="4" s="1"/>
  <c r="M73" i="4" s="1"/>
  <c r="M74" i="4" s="1"/>
  <c r="M75" i="4" s="1"/>
  <c r="M76" i="4" s="1"/>
  <c r="M77" i="4" s="1"/>
  <c r="M78" i="4" s="1"/>
  <c r="M79" i="4" s="1"/>
  <c r="M80" i="4" s="1"/>
  <c r="M81" i="4" s="1"/>
  <c r="M82" i="4" s="1"/>
  <c r="M83" i="4" s="1"/>
  <c r="M84" i="4" s="1"/>
  <c r="M85" i="4" s="1"/>
  <c r="M86" i="4" s="1"/>
  <c r="M87" i="4" s="1"/>
  <c r="M88" i="4" s="1"/>
  <c r="M89" i="4" s="1"/>
  <c r="M90" i="4" s="1"/>
  <c r="M91" i="4" s="1"/>
  <c r="M92" i="4" s="1"/>
  <c r="M93" i="4" s="1"/>
  <c r="M94" i="4" s="1"/>
  <c r="M95" i="4" s="1"/>
  <c r="M96" i="4" s="1"/>
  <c r="M97" i="4" s="1"/>
  <c r="M98" i="4" s="1"/>
  <c r="M99" i="4" s="1"/>
  <c r="M100" i="4" s="1"/>
  <c r="M101" i="4" s="1"/>
  <c r="M102" i="4" s="1"/>
  <c r="M103" i="4" s="1"/>
  <c r="M104" i="4" s="1"/>
  <c r="M105" i="4" s="1"/>
  <c r="M106" i="4" s="1"/>
  <c r="M107" i="4" s="1"/>
  <c r="M108" i="4" s="1"/>
  <c r="M109" i="4" s="1"/>
  <c r="M110" i="4" s="1"/>
  <c r="M111" i="4" s="1"/>
  <c r="M112" i="4" s="1"/>
  <c r="M113" i="4" s="1"/>
  <c r="M114" i="4" s="1"/>
  <c r="M115" i="4" s="1"/>
  <c r="M116" i="4" s="1"/>
  <c r="M117" i="4" s="1"/>
  <c r="M118" i="4" s="1"/>
  <c r="M119" i="4" s="1"/>
  <c r="M120" i="4" s="1"/>
  <c r="M121" i="4" s="1"/>
  <c r="M122" i="4" s="1"/>
  <c r="M123" i="4" s="1"/>
  <c r="M124" i="4" s="1"/>
  <c r="M125" i="4" s="1"/>
  <c r="M126" i="4" s="1"/>
  <c r="M127" i="4" s="1"/>
  <c r="M128" i="4" s="1"/>
  <c r="M129" i="4" s="1"/>
  <c r="M130" i="4" s="1"/>
  <c r="M131" i="4" s="1"/>
  <c r="M132" i="4" s="1"/>
  <c r="M133" i="4" s="1"/>
  <c r="M134" i="4" s="1"/>
  <c r="M135" i="4" s="1"/>
  <c r="M136" i="4" s="1"/>
  <c r="M137" i="4" s="1"/>
  <c r="M138" i="4" s="1"/>
  <c r="M139" i="4" s="1"/>
  <c r="M140" i="4" s="1"/>
  <c r="M141" i="4" s="1"/>
  <c r="M142" i="4" s="1"/>
  <c r="M143" i="4" s="1"/>
  <c r="M144" i="4" s="1"/>
  <c r="M145" i="4" s="1"/>
  <c r="M146" i="4" s="1"/>
  <c r="M147" i="4" s="1"/>
  <c r="M148" i="4" s="1"/>
  <c r="M149" i="4" s="1"/>
  <c r="M150" i="4" s="1"/>
  <c r="M151" i="4" s="1"/>
  <c r="M152" i="4" s="1"/>
  <c r="M153" i="4" s="1"/>
  <c r="M154" i="4" s="1"/>
  <c r="M155" i="4" s="1"/>
  <c r="M156" i="4" s="1"/>
  <c r="M157" i="4" s="1"/>
  <c r="M158" i="4" s="1"/>
  <c r="M159" i="4" s="1"/>
  <c r="M160" i="4" s="1"/>
  <c r="M161" i="4" s="1"/>
  <c r="M162" i="4" s="1"/>
  <c r="M163" i="4" s="1"/>
  <c r="M164" i="4" s="1"/>
  <c r="M165" i="4" s="1"/>
  <c r="M166" i="4" s="1"/>
  <c r="M167" i="4" s="1"/>
  <c r="M168" i="4" s="1"/>
  <c r="M169" i="4" s="1"/>
  <c r="M170" i="4" s="1"/>
  <c r="M171" i="4" s="1"/>
  <c r="L102" i="13"/>
  <c r="L103" i="13" s="1"/>
  <c r="L104" i="13" s="1"/>
  <c r="L105" i="13" s="1"/>
  <c r="L106" i="13" s="1"/>
  <c r="L107" i="13" s="1"/>
  <c r="L108" i="13" s="1"/>
  <c r="L109" i="13" l="1"/>
  <c r="L110" i="13" s="1"/>
  <c r="M28" i="5"/>
  <c r="M29" i="5" s="1"/>
  <c r="M172" i="4"/>
  <c r="M173" i="4" s="1"/>
  <c r="M174" i="4" s="1"/>
  <c r="M175" i="4" s="1"/>
  <c r="M176" i="4" s="1"/>
  <c r="M177" i="4" s="1"/>
  <c r="M178" i="4" s="1"/>
  <c r="M179" i="4" s="1"/>
  <c r="M180" i="4" s="1"/>
  <c r="M181" i="4" s="1"/>
  <c r="M182" i="4" s="1"/>
  <c r="M183" i="4" s="1"/>
  <c r="M184" i="4" s="1"/>
  <c r="M185" i="4" s="1"/>
  <c r="M186" i="4" s="1"/>
  <c r="M187" i="4" s="1"/>
  <c r="M188" i="4" s="1"/>
  <c r="M189" i="4" s="1"/>
  <c r="M190" i="4" s="1"/>
  <c r="M191" i="4" s="1"/>
  <c r="M192" i="4" s="1"/>
  <c r="M193" i="4" s="1"/>
  <c r="M194" i="4" s="1"/>
  <c r="M195" i="4" s="1"/>
  <c r="M196" i="4" s="1"/>
  <c r="M197" i="4" s="1"/>
  <c r="M198" i="4" s="1"/>
  <c r="M199" i="4" s="1"/>
  <c r="M200" i="4" s="1"/>
  <c r="M201" i="4" s="1"/>
  <c r="M202" i="4" s="1"/>
  <c r="M203" i="4" s="1"/>
  <c r="M204" i="4" s="1"/>
  <c r="M205" i="4" s="1"/>
  <c r="M206" i="4" s="1"/>
  <c r="M207" i="4" s="1"/>
  <c r="M208" i="4" s="1"/>
  <c r="M209" i="4" s="1"/>
  <c r="M210" i="4" s="1"/>
  <c r="M211" i="4" s="1"/>
  <c r="M212" i="4" s="1"/>
  <c r="M213" i="4" s="1"/>
  <c r="M214" i="4" s="1"/>
  <c r="M215" i="4" s="1"/>
  <c r="M216" i="4" s="1"/>
  <c r="M217" i="4" s="1"/>
  <c r="M218" i="4" s="1"/>
  <c r="M219" i="4" s="1"/>
  <c r="M220" i="4" s="1"/>
  <c r="M221" i="4" s="1"/>
  <c r="M222" i="4" s="1"/>
  <c r="M223" i="4" s="1"/>
  <c r="M224" i="4" s="1"/>
  <c r="M225" i="4" s="1"/>
  <c r="M226" i="4" s="1"/>
  <c r="L111" i="13" l="1"/>
  <c r="L112" i="13" s="1"/>
  <c r="L113" i="13" s="1"/>
  <c r="L114" i="13" s="1"/>
  <c r="L115" i="13" s="1"/>
  <c r="L116" i="13" s="1"/>
  <c r="L117" i="13" s="1"/>
  <c r="L118" i="13" s="1"/>
  <c r="L119" i="13" s="1"/>
  <c r="L120" i="13" s="1"/>
  <c r="L121" i="13" s="1"/>
  <c r="L122" i="13" s="1"/>
  <c r="L123" i="13" s="1"/>
  <c r="L124" i="13" s="1"/>
  <c r="L125" i="13" s="1"/>
  <c r="L126" i="13" s="1"/>
  <c r="L127" i="13" s="1"/>
  <c r="L128" i="13" s="1"/>
  <c r="L129" i="13" s="1"/>
  <c r="L130" i="13" s="1"/>
  <c r="L131" i="13" s="1"/>
  <c r="L132" i="13" s="1"/>
  <c r="L133" i="13" s="1"/>
  <c r="L134" i="13" s="1"/>
  <c r="L135" i="13" s="1"/>
  <c r="L136" i="13" s="1"/>
  <c r="L137" i="13" s="1"/>
  <c r="L138" i="13" s="1"/>
  <c r="L139" i="13" s="1"/>
  <c r="L140" i="13" s="1"/>
  <c r="L141" i="13" s="1"/>
  <c r="L142" i="13" s="1"/>
  <c r="L143" i="13" s="1"/>
  <c r="L144" i="13" s="1"/>
  <c r="L145" i="13" s="1"/>
  <c r="L146" i="13" s="1"/>
  <c r="L147" i="13" s="1"/>
  <c r="L148" i="13" s="1"/>
  <c r="L149" i="13" s="1"/>
  <c r="L150" i="13" s="1"/>
  <c r="L151" i="13" s="1"/>
  <c r="L152" i="13" s="1"/>
  <c r="L153" i="13" s="1"/>
  <c r="L154" i="13" s="1"/>
  <c r="L155" i="13" s="1"/>
  <c r="L156" i="13" s="1"/>
  <c r="L157" i="13" s="1"/>
  <c r="L158" i="13" s="1"/>
  <c r="L159" i="13" s="1"/>
  <c r="L160" i="13" s="1"/>
  <c r="L161" i="13" s="1"/>
  <c r="L162" i="13" s="1"/>
  <c r="L163" i="13" s="1"/>
  <c r="L164" i="13" s="1"/>
  <c r="L165" i="13" s="1"/>
  <c r="L166" i="13" s="1"/>
  <c r="L167" i="13" s="1"/>
  <c r="L168" i="13" s="1"/>
  <c r="L169" i="13" s="1"/>
  <c r="L170" i="13" s="1"/>
  <c r="L171" i="13" s="1"/>
  <c r="L172" i="13" s="1"/>
  <c r="L173" i="13" s="1"/>
  <c r="L174" i="13" s="1"/>
  <c r="L175" i="13" s="1"/>
  <c r="L176" i="13" s="1"/>
  <c r="L177" i="13" s="1"/>
  <c r="L178" i="13" s="1"/>
  <c r="L179" i="13" s="1"/>
  <c r="L180" i="13" s="1"/>
  <c r="L181" i="13" s="1"/>
  <c r="L182" i="13" s="1"/>
  <c r="L183" i="13" s="1"/>
  <c r="L184" i="13" s="1"/>
  <c r="L185" i="13" s="1"/>
  <c r="L186" i="13" s="1"/>
  <c r="L187" i="13" s="1"/>
  <c r="L188" i="13" s="1"/>
  <c r="L189" i="13" s="1"/>
  <c r="L190" i="13" s="1"/>
  <c r="L191" i="13" s="1"/>
  <c r="L192" i="13" s="1"/>
  <c r="L193" i="13" s="1"/>
  <c r="L194" i="13" s="1"/>
  <c r="L195" i="13" s="1"/>
  <c r="L196" i="13" s="1"/>
  <c r="L197" i="13" s="1"/>
  <c r="L198" i="13" s="1"/>
  <c r="L199" i="13" s="1"/>
  <c r="L200" i="13" s="1"/>
  <c r="M30" i="5"/>
  <c r="M227" i="4"/>
  <c r="M228" i="4" s="1"/>
  <c r="M229" i="4" s="1"/>
  <c r="M230" i="4" s="1"/>
  <c r="M231" i="4" s="1"/>
  <c r="M232" i="4" s="1"/>
  <c r="M233" i="4" s="1"/>
  <c r="M234" i="4" s="1"/>
  <c r="M235" i="4" s="1"/>
  <c r="M236" i="4" s="1"/>
  <c r="M237" i="4" s="1"/>
  <c r="M238" i="4" s="1"/>
  <c r="M239" i="4" s="1"/>
  <c r="M240" i="4" s="1"/>
  <c r="M241" i="4" s="1"/>
  <c r="M242" i="4" s="1"/>
  <c r="M243" i="4" s="1"/>
  <c r="M31" i="5" l="1"/>
  <c r="M32" i="5" s="1"/>
  <c r="L201" i="13"/>
  <c r="L202" i="13" s="1"/>
  <c r="L203" i="13" s="1"/>
  <c r="L204" i="13" s="1"/>
  <c r="M244" i="4"/>
  <c r="M245" i="4" s="1"/>
  <c r="M246" i="4" s="1"/>
  <c r="M247" i="4" s="1"/>
  <c r="M248" i="4" s="1"/>
  <c r="M249" i="4" s="1"/>
  <c r="M250" i="4" s="1"/>
  <c r="M251" i="4" s="1"/>
  <c r="M252" i="4" s="1"/>
  <c r="M253" i="4" s="1"/>
  <c r="M254" i="4" s="1"/>
  <c r="M255" i="4" s="1"/>
  <c r="M256" i="4" s="1"/>
  <c r="M257" i="4" s="1"/>
  <c r="M258" i="4" s="1"/>
  <c r="M259" i="4" s="1"/>
  <c r="M33" i="5" l="1"/>
  <c r="M34" i="5" s="1"/>
  <c r="L205" i="13"/>
  <c r="L206" i="13" s="1"/>
  <c r="L207" i="13" s="1"/>
  <c r="M260" i="4"/>
  <c r="M261" i="4" s="1"/>
  <c r="M262" i="4" s="1"/>
  <c r="M263" i="4" s="1"/>
  <c r="M264" i="4" s="1"/>
  <c r="M265" i="4" s="1"/>
  <c r="M266" i="4" s="1"/>
  <c r="M267" i="4" s="1"/>
  <c r="M268" i="4" s="1"/>
  <c r="M269" i="4" s="1"/>
  <c r="M270" i="4" s="1"/>
  <c r="M271" i="4" s="1"/>
  <c r="M272" i="4" s="1"/>
  <c r="M273" i="4" s="1"/>
  <c r="M274" i="4" s="1"/>
  <c r="M275" i="4" s="1"/>
  <c r="M276" i="4" s="1"/>
  <c r="M277" i="4" s="1"/>
  <c r="M278" i="4" s="1"/>
  <c r="M279" i="4" s="1"/>
  <c r="M280" i="4" s="1"/>
  <c r="M281" i="4" s="1"/>
  <c r="M282" i="4" s="1"/>
  <c r="M283" i="4" s="1"/>
  <c r="M284" i="4" s="1"/>
  <c r="M285" i="4" s="1"/>
  <c r="M286" i="4" s="1"/>
  <c r="M287" i="4" s="1"/>
  <c r="M288" i="4" s="1"/>
  <c r="M289" i="4" s="1"/>
  <c r="M290" i="4" s="1"/>
  <c r="M291" i="4" s="1"/>
  <c r="M292" i="4" s="1"/>
  <c r="M293" i="4" s="1"/>
  <c r="M294" i="4" s="1"/>
  <c r="M295" i="4" s="1"/>
  <c r="M296" i="4" s="1"/>
  <c r="M297" i="4" s="1"/>
  <c r="M298" i="4" s="1"/>
  <c r="M299" i="4" s="1"/>
  <c r="M300" i="4" s="1"/>
  <c r="M301" i="4" s="1"/>
  <c r="M302" i="4" s="1"/>
  <c r="M303" i="4" s="1"/>
  <c r="M304" i="4" s="1"/>
  <c r="M305" i="4" s="1"/>
  <c r="M306" i="4" s="1"/>
  <c r="M307" i="4" s="1"/>
  <c r="M308" i="4" s="1"/>
  <c r="M309" i="4" s="1"/>
  <c r="M310" i="4" s="1"/>
  <c r="M311" i="4" s="1"/>
  <c r="M312" i="4" s="1"/>
  <c r="M313" i="4" s="1"/>
  <c r="M314" i="4" s="1"/>
  <c r="M315" i="4" s="1"/>
  <c r="M316" i="4" s="1"/>
  <c r="M317" i="4" s="1"/>
  <c r="M318" i="4" s="1"/>
  <c r="M319" i="4" s="1"/>
  <c r="M320" i="4" s="1"/>
  <c r="M321" i="4" s="1"/>
  <c r="M322" i="4" s="1"/>
  <c r="M323" i="4" s="1"/>
  <c r="M324" i="4" s="1"/>
  <c r="M325" i="4" s="1"/>
  <c r="M326" i="4" s="1"/>
  <c r="M327" i="4" s="1"/>
  <c r="M328" i="4" s="1"/>
  <c r="M329" i="4" s="1"/>
  <c r="M330" i="4" s="1"/>
  <c r="M331" i="4" s="1"/>
  <c r="M332" i="4" s="1"/>
  <c r="M333" i="4" s="1"/>
  <c r="M334" i="4" s="1"/>
  <c r="M335" i="4" s="1"/>
  <c r="M336" i="4" s="1"/>
  <c r="M337" i="4" s="1"/>
  <c r="M338" i="4" s="1"/>
  <c r="M339" i="4" s="1"/>
  <c r="M340" i="4" s="1"/>
  <c r="M341" i="4" s="1"/>
  <c r="M342" i="4" s="1"/>
  <c r="M343" i="4" s="1"/>
  <c r="M344" i="4" s="1"/>
  <c r="M345" i="4" s="1"/>
  <c r="M35" i="5" l="1"/>
  <c r="M36" i="5" s="1"/>
  <c r="M37" i="5" s="1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M81" i="5" s="1"/>
  <c r="M82" i="5" s="1"/>
  <c r="M83" i="5" s="1"/>
  <c r="M84" i="5" s="1"/>
  <c r="M85" i="5" s="1"/>
  <c r="M86" i="5" s="1"/>
  <c r="M87" i="5" s="1"/>
  <c r="M88" i="5" s="1"/>
  <c r="M89" i="5" s="1"/>
  <c r="M90" i="5" s="1"/>
  <c r="M91" i="5" s="1"/>
  <c r="M92" i="5" s="1"/>
  <c r="M93" i="5" s="1"/>
  <c r="M94" i="5" s="1"/>
  <c r="M95" i="5" s="1"/>
  <c r="M96" i="5" s="1"/>
  <c r="M97" i="5" s="1"/>
  <c r="M98" i="5" s="1"/>
  <c r="M99" i="5" s="1"/>
  <c r="M100" i="5" s="1"/>
  <c r="M101" i="5" s="1"/>
  <c r="M102" i="5" s="1"/>
  <c r="M103" i="5" s="1"/>
  <c r="M104" i="5" s="1"/>
  <c r="M105" i="5" s="1"/>
  <c r="M106" i="5" s="1"/>
  <c r="M107" i="5" s="1"/>
  <c r="M108" i="5" s="1"/>
  <c r="M109" i="5" s="1"/>
  <c r="M110" i="5" s="1"/>
  <c r="M111" i="5" s="1"/>
  <c r="M112" i="5" s="1"/>
  <c r="M113" i="5" s="1"/>
  <c r="M114" i="5" s="1"/>
  <c r="M115" i="5" s="1"/>
  <c r="M116" i="5" s="1"/>
  <c r="M117" i="5" s="1"/>
  <c r="M118" i="5" s="1"/>
  <c r="M119" i="5" s="1"/>
  <c r="M120" i="5" s="1"/>
  <c r="M121" i="5" s="1"/>
  <c r="M122" i="5" s="1"/>
  <c r="M123" i="5" s="1"/>
  <c r="M124" i="5" s="1"/>
  <c r="M125" i="5" s="1"/>
  <c r="M126" i="5" s="1"/>
  <c r="M127" i="5" s="1"/>
  <c r="M128" i="5" s="1"/>
  <c r="M129" i="5" s="1"/>
  <c r="M130" i="5" s="1"/>
  <c r="M131" i="5" s="1"/>
  <c r="M132" i="5" s="1"/>
  <c r="M133" i="5" s="1"/>
  <c r="M134" i="5" s="1"/>
  <c r="M135" i="5" s="1"/>
  <c r="M136" i="5" s="1"/>
  <c r="M137" i="5" s="1"/>
  <c r="M138" i="5" s="1"/>
  <c r="M139" i="5" s="1"/>
  <c r="M140" i="5" s="1"/>
  <c r="M141" i="5" s="1"/>
  <c r="M142" i="5" s="1"/>
  <c r="M143" i="5" s="1"/>
  <c r="M144" i="5" s="1"/>
  <c r="M145" i="5" s="1"/>
  <c r="M146" i="5" s="1"/>
  <c r="M147" i="5" s="1"/>
  <c r="M148" i="5" s="1"/>
  <c r="M149" i="5" s="1"/>
  <c r="M150" i="5" s="1"/>
  <c r="M151" i="5" s="1"/>
  <c r="M152" i="5" s="1"/>
  <c r="M153" i="5" s="1"/>
  <c r="M154" i="5" s="1"/>
  <c r="M155" i="5" s="1"/>
  <c r="M156" i="5" s="1"/>
  <c r="M157" i="5" s="1"/>
  <c r="M158" i="5" s="1"/>
  <c r="M159" i="5" s="1"/>
  <c r="M160" i="5" s="1"/>
  <c r="M161" i="5" s="1"/>
  <c r="M162" i="5" s="1"/>
  <c r="M163" i="5" s="1"/>
  <c r="M164" i="5" s="1"/>
  <c r="M165" i="5" s="1"/>
  <c r="M166" i="5" s="1"/>
  <c r="M167" i="5" s="1"/>
  <c r="M168" i="5" s="1"/>
  <c r="M169" i="5" s="1"/>
  <c r="M170" i="5" s="1"/>
  <c r="M171" i="5" s="1"/>
  <c r="M172" i="5" s="1"/>
  <c r="M173" i="5" s="1"/>
  <c r="M174" i="5" s="1"/>
  <c r="M175" i="5" s="1"/>
  <c r="M176" i="5" s="1"/>
  <c r="M177" i="5" s="1"/>
  <c r="M178" i="5" s="1"/>
  <c r="M179" i="5" s="1"/>
  <c r="M180" i="5" s="1"/>
  <c r="M181" i="5" s="1"/>
  <c r="M182" i="5" s="1"/>
  <c r="M183" i="5" s="1"/>
  <c r="M184" i="5" s="1"/>
  <c r="M185" i="5" s="1"/>
  <c r="M186" i="5" s="1"/>
  <c r="M187" i="5" s="1"/>
  <c r="M188" i="5" s="1"/>
  <c r="M189" i="5" s="1"/>
  <c r="M190" i="5" s="1"/>
  <c r="M191" i="5" s="1"/>
  <c r="M192" i="5" s="1"/>
  <c r="M193" i="5" s="1"/>
  <c r="M194" i="5" s="1"/>
  <c r="M195" i="5" s="1"/>
  <c r="M196" i="5" s="1"/>
  <c r="M197" i="5" s="1"/>
  <c r="M198" i="5" s="1"/>
  <c r="M199" i="5" s="1"/>
  <c r="M200" i="5" s="1"/>
  <c r="M201" i="5" s="1"/>
  <c r="M202" i="5" s="1"/>
  <c r="M203" i="5" s="1"/>
  <c r="M204" i="5" s="1"/>
  <c r="M205" i="5" s="1"/>
  <c r="M206" i="5" s="1"/>
  <c r="M207" i="5" s="1"/>
  <c r="M208" i="5" s="1"/>
  <c r="M209" i="5" s="1"/>
  <c r="M210" i="5" s="1"/>
  <c r="M211" i="5" s="1"/>
  <c r="M212" i="5" s="1"/>
  <c r="M213" i="5" s="1"/>
  <c r="M214" i="5" s="1"/>
  <c r="M215" i="5" s="1"/>
  <c r="M216" i="5" s="1"/>
  <c r="M217" i="5" s="1"/>
  <c r="M218" i="5" s="1"/>
  <c r="M219" i="5" s="1"/>
  <c r="M220" i="5" s="1"/>
  <c r="M221" i="5" s="1"/>
  <c r="M222" i="5" s="1"/>
  <c r="M223" i="5" s="1"/>
  <c r="M224" i="5" s="1"/>
  <c r="M225" i="5" s="1"/>
  <c r="M226" i="5" s="1"/>
  <c r="M227" i="5" s="1"/>
  <c r="M228" i="5" s="1"/>
  <c r="M229" i="5" s="1"/>
  <c r="M230" i="5" s="1"/>
  <c r="M231" i="5" s="1"/>
  <c r="M232" i="5" s="1"/>
  <c r="M233" i="5" s="1"/>
  <c r="M234" i="5" s="1"/>
  <c r="M235" i="5" s="1"/>
  <c r="M236" i="5" s="1"/>
  <c r="M237" i="5" s="1"/>
  <c r="M238" i="5" s="1"/>
  <c r="M239" i="5" s="1"/>
  <c r="M240" i="5" s="1"/>
  <c r="M241" i="5" s="1"/>
  <c r="M242" i="5" s="1"/>
  <c r="M243" i="5" s="1"/>
  <c r="M244" i="5" s="1"/>
  <c r="M245" i="5" s="1"/>
  <c r="M246" i="5" s="1"/>
  <c r="M247" i="5" s="1"/>
  <c r="M248" i="5" s="1"/>
  <c r="M249" i="5" s="1"/>
  <c r="M250" i="5" s="1"/>
  <c r="M251" i="5" s="1"/>
  <c r="M252" i="5" s="1"/>
  <c r="M253" i="5" s="1"/>
  <c r="M254" i="5" s="1"/>
  <c r="M255" i="5" s="1"/>
  <c r="M256" i="5" s="1"/>
  <c r="M257" i="5" s="1"/>
  <c r="M258" i="5" s="1"/>
  <c r="M259" i="5" s="1"/>
  <c r="M260" i="5" s="1"/>
  <c r="M261" i="5" s="1"/>
  <c r="M262" i="5" s="1"/>
  <c r="M263" i="5" s="1"/>
  <c r="M264" i="5" s="1"/>
  <c r="M265" i="5" s="1"/>
  <c r="M266" i="5" s="1"/>
  <c r="M267" i="5" s="1"/>
  <c r="M268" i="5" s="1"/>
  <c r="M269" i="5" s="1"/>
  <c r="M270" i="5" s="1"/>
  <c r="M271" i="5" s="1"/>
  <c r="M272" i="5" s="1"/>
  <c r="M273" i="5" s="1"/>
  <c r="M274" i="5" s="1"/>
  <c r="M275" i="5" s="1"/>
  <c r="M276" i="5" s="1"/>
  <c r="M277" i="5" s="1"/>
  <c r="M278" i="5" s="1"/>
  <c r="M279" i="5" s="1"/>
  <c r="M280" i="5" s="1"/>
  <c r="M281" i="5" s="1"/>
  <c r="M282" i="5" s="1"/>
  <c r="M283" i="5" s="1"/>
  <c r="M284" i="5" s="1"/>
  <c r="M285" i="5" s="1"/>
  <c r="M286" i="5" s="1"/>
  <c r="M287" i="5" s="1"/>
  <c r="M288" i="5" s="1"/>
  <c r="M289" i="5" s="1"/>
  <c r="M290" i="5" s="1"/>
  <c r="M291" i="5" s="1"/>
  <c r="M292" i="5" s="1"/>
  <c r="M293" i="5" s="1"/>
  <c r="M294" i="5" s="1"/>
  <c r="M295" i="5" s="1"/>
  <c r="M296" i="5" s="1"/>
  <c r="M297" i="5" s="1"/>
  <c r="M298" i="5" s="1"/>
  <c r="M299" i="5" s="1"/>
  <c r="M300" i="5" s="1"/>
  <c r="M301" i="5" s="1"/>
  <c r="M302" i="5" s="1"/>
  <c r="M303" i="5" s="1"/>
  <c r="M304" i="5" s="1"/>
  <c r="M305" i="5" s="1"/>
  <c r="M306" i="5" s="1"/>
  <c r="M307" i="5" s="1"/>
  <c r="M308" i="5" s="1"/>
  <c r="M309" i="5" s="1"/>
  <c r="M310" i="5" s="1"/>
  <c r="M311" i="5" s="1"/>
  <c r="M312" i="5" s="1"/>
  <c r="M313" i="5" s="1"/>
  <c r="M314" i="5" s="1"/>
  <c r="M315" i="5" s="1"/>
  <c r="M316" i="5" s="1"/>
  <c r="M317" i="5" s="1"/>
  <c r="M318" i="5" s="1"/>
  <c r="M319" i="5" s="1"/>
  <c r="M320" i="5" s="1"/>
  <c r="M321" i="5" s="1"/>
  <c r="M322" i="5" s="1"/>
  <c r="M323" i="5" s="1"/>
  <c r="M324" i="5" s="1"/>
  <c r="M325" i="5" s="1"/>
  <c r="M326" i="5" s="1"/>
  <c r="M327" i="5" s="1"/>
  <c r="M328" i="5" s="1"/>
  <c r="M329" i="5" s="1"/>
  <c r="M330" i="5" s="1"/>
  <c r="M331" i="5" s="1"/>
  <c r="M332" i="5" s="1"/>
  <c r="M333" i="5" s="1"/>
  <c r="M334" i="5" s="1"/>
  <c r="M335" i="5" s="1"/>
  <c r="M336" i="5" s="1"/>
  <c r="M337" i="5" s="1"/>
  <c r="M338" i="5" s="1"/>
  <c r="M339" i="5" s="1"/>
  <c r="M340" i="5" s="1"/>
  <c r="M341" i="5" s="1"/>
  <c r="M342" i="5" s="1"/>
  <c r="M343" i="5" s="1"/>
  <c r="M344" i="5" s="1"/>
  <c r="M345" i="5" s="1"/>
  <c r="M346" i="5" s="1"/>
  <c r="M347" i="5" s="1"/>
  <c r="M348" i="5" s="1"/>
  <c r="M349" i="5" s="1"/>
  <c r="M350" i="5" s="1"/>
  <c r="M351" i="5" s="1"/>
  <c r="M352" i="5" s="1"/>
  <c r="M353" i="5" s="1"/>
  <c r="L208" i="13"/>
  <c r="L209" i="13" s="1"/>
  <c r="L210" i="13" s="1"/>
  <c r="L211" i="13" s="1"/>
  <c r="L212" i="13" s="1"/>
  <c r="L213" i="13" s="1"/>
  <c r="L214" i="13" s="1"/>
  <c r="L215" i="13" l="1"/>
  <c r="L216" i="13" s="1"/>
  <c r="L217" i="13" s="1"/>
  <c r="L218" i="13" s="1"/>
  <c r="L219" i="13" s="1"/>
  <c r="L220" i="13" s="1"/>
  <c r="L221" i="13" s="1"/>
  <c r="L222" i="13" s="1"/>
  <c r="L223" i="13" s="1"/>
  <c r="L224" i="13" s="1"/>
  <c r="L225" i="13" s="1"/>
  <c r="L226" i="13" s="1"/>
  <c r="L227" i="13" s="1"/>
  <c r="L228" i="13" l="1"/>
  <c r="L229" i="13" s="1"/>
  <c r="L230" i="13" s="1"/>
  <c r="L231" i="13" l="1"/>
  <c r="L232" i="13" s="1"/>
  <c r="L233" i="13" s="1"/>
  <c r="L234" i="13" l="1"/>
  <c r="L235" i="13" s="1"/>
  <c r="L236" i="13" s="1"/>
  <c r="L237" i="13" s="1"/>
  <c r="L238" i="13" s="1"/>
  <c r="L239" i="13" s="1"/>
  <c r="L240" i="13" s="1"/>
  <c r="L241" i="13" s="1"/>
  <c r="L242" i="13" s="1"/>
  <c r="L243" i="13" s="1"/>
  <c r="L244" i="13" s="1"/>
  <c r="L245" i="13" s="1"/>
  <c r="L246" i="13" l="1"/>
  <c r="L247" i="13" s="1"/>
  <c r="L248" i="13" s="1"/>
  <c r="L249" i="13" l="1"/>
  <c r="L250" i="13" s="1"/>
  <c r="L251" i="13" s="1"/>
  <c r="L252" i="13" l="1"/>
  <c r="L253" i="13" s="1"/>
  <c r="L254" i="13" s="1"/>
  <c r="L255" i="13" s="1"/>
  <c r="L256" i="13" s="1"/>
  <c r="L257" i="13" s="1"/>
  <c r="L258" i="13" s="1"/>
  <c r="L259" i="13" l="1"/>
  <c r="L260" i="13" s="1"/>
  <c r="L261" i="13" s="1"/>
  <c r="L262" i="13" s="1"/>
  <c r="L263" i="13" l="1"/>
  <c r="L264" i="13" s="1"/>
  <c r="L265" i="13" s="1"/>
  <c r="L266" i="13" s="1"/>
  <c r="L267" i="13" s="1"/>
  <c r="L268" i="13" s="1"/>
  <c r="L269" i="13" s="1"/>
  <c r="L270" i="13" l="1"/>
  <c r="L271" i="13" s="1"/>
  <c r="L272" i="13" l="1"/>
  <c r="L273" i="13" s="1"/>
  <c r="L274" i="13" l="1"/>
  <c r="L275" i="13" s="1"/>
  <c r="L276" i="13" s="1"/>
  <c r="L277" i="13" s="1"/>
  <c r="L278" i="13" s="1"/>
  <c r="L279" i="13" s="1"/>
  <c r="L280" i="13" l="1"/>
  <c r="L281" i="13" s="1"/>
  <c r="L282" i="13" s="1"/>
  <c r="L283" i="13" s="1"/>
  <c r="L284" i="13" s="1"/>
  <c r="L285" i="13" s="1"/>
  <c r="L286" i="13" s="1"/>
  <c r="L287" i="13" s="1"/>
  <c r="L288" i="13" s="1"/>
  <c r="L289" i="13" s="1"/>
  <c r="L290" i="13" s="1"/>
  <c r="L291" i="13" s="1"/>
  <c r="L292" i="13" s="1"/>
  <c r="L293" i="13" l="1"/>
  <c r="L294" i="13" s="1"/>
  <c r="L295" i="13" s="1"/>
  <c r="L296" i="13" s="1"/>
  <c r="L297" i="13" s="1"/>
  <c r="L298" i="13" s="1"/>
  <c r="L299" i="13" s="1"/>
  <c r="L300" i="13" s="1"/>
  <c r="L301" i="13" s="1"/>
  <c r="L302" i="13" s="1"/>
  <c r="L303" i="13" s="1"/>
  <c r="I93" i="49"/>
  <c r="I94" i="49" s="1"/>
  <c r="I95" i="49" s="1"/>
  <c r="I96" i="49" s="1"/>
  <c r="I97" i="49" s="1"/>
  <c r="I98" i="49" s="1"/>
  <c r="I99" i="49" s="1"/>
  <c r="I100" i="49" s="1"/>
  <c r="I101" i="49" s="1"/>
  <c r="I102" i="49" s="1"/>
  <c r="I103" i="49" s="1"/>
  <c r="I104" i="49" s="1"/>
  <c r="I105" i="49" s="1"/>
  <c r="I106" i="49" s="1"/>
  <c r="I107" i="49" s="1"/>
  <c r="I108" i="49" s="1"/>
  <c r="I109" i="49" s="1"/>
  <c r="I110" i="49" s="1"/>
  <c r="I111" i="49" s="1"/>
  <c r="I112" i="49" s="1"/>
  <c r="I113" i="49" s="1"/>
  <c r="I114" i="49" s="1"/>
  <c r="I115" i="49" s="1"/>
  <c r="I116" i="49" s="1"/>
  <c r="I117" i="49" s="1"/>
  <c r="I118" i="49" s="1"/>
  <c r="I119" i="49" s="1"/>
  <c r="I120" i="49" s="1"/>
  <c r="I121" i="49" s="1"/>
  <c r="I122" i="49" s="1"/>
  <c r="I123" i="49" s="1"/>
  <c r="I124" i="49" s="1"/>
  <c r="I125" i="49" s="1"/>
  <c r="I126" i="49" s="1"/>
  <c r="I127" i="49" s="1"/>
  <c r="I128" i="49" s="1"/>
  <c r="I129" i="49" s="1"/>
  <c r="I130" i="49" s="1"/>
  <c r="I131" i="49" s="1"/>
  <c r="I132" i="49" s="1"/>
  <c r="I133" i="49" s="1"/>
  <c r="I134" i="49" s="1"/>
  <c r="I135" i="49" s="1"/>
  <c r="I136" i="49" s="1"/>
  <c r="I137" i="49" s="1"/>
  <c r="I138" i="49" s="1"/>
  <c r="I139" i="49" s="1"/>
  <c r="I140" i="49" s="1"/>
  <c r="I141" i="49" s="1"/>
  <c r="I142" i="49" s="1"/>
  <c r="I143" i="49" s="1"/>
  <c r="I144" i="49" s="1"/>
  <c r="I145" i="49" s="1"/>
  <c r="I146" i="49" s="1"/>
  <c r="I147" i="49" s="1"/>
  <c r="I148" i="49" s="1"/>
  <c r="I149" i="49" s="1"/>
  <c r="I150" i="49" s="1"/>
  <c r="I151" i="49" s="1"/>
  <c r="I152" i="49" s="1"/>
  <c r="I153" i="49" s="1"/>
  <c r="I154" i="49" s="1"/>
  <c r="I155" i="49" s="1"/>
  <c r="I156" i="49" s="1"/>
  <c r="I157" i="49" s="1"/>
  <c r="I158" i="49" s="1"/>
  <c r="I159" i="49" s="1"/>
  <c r="I160" i="49" s="1"/>
  <c r="I161" i="49" s="1"/>
  <c r="I162" i="49" s="1"/>
  <c r="I163" i="49" s="1"/>
  <c r="I164" i="49" s="1"/>
  <c r="I165" i="49" s="1"/>
  <c r="I166" i="49" s="1"/>
  <c r="I167" i="49" s="1"/>
  <c r="I168" i="49" s="1"/>
  <c r="I169" i="49" s="1"/>
  <c r="I170" i="49" s="1"/>
  <c r="I171" i="49" s="1"/>
  <c r="I172" i="49" s="1"/>
  <c r="I173" i="49" s="1"/>
  <c r="I174" i="49" s="1"/>
  <c r="I175" i="49" s="1"/>
  <c r="I176" i="49" s="1"/>
  <c r="I177" i="49" s="1"/>
  <c r="I178" i="49" s="1"/>
  <c r="I179" i="49" s="1"/>
  <c r="I180" i="49" s="1"/>
  <c r="I181" i="49" s="1"/>
  <c r="I182" i="49" s="1"/>
  <c r="I183" i="49" s="1"/>
  <c r="I184" i="49" s="1"/>
  <c r="I185" i="49" s="1"/>
  <c r="I186" i="49" s="1"/>
  <c r="I187" i="49" s="1"/>
  <c r="I188" i="49" s="1"/>
  <c r="I189" i="49" s="1"/>
  <c r="I190" i="49" s="1"/>
  <c r="I191" i="49" s="1"/>
  <c r="I192" i="49" s="1"/>
  <c r="I193" i="49" s="1"/>
  <c r="I194" i="49" s="1"/>
  <c r="I195" i="49" s="1"/>
  <c r="I196" i="49" s="1"/>
  <c r="I197" i="49" s="1"/>
  <c r="I198" i="49" s="1"/>
  <c r="I199" i="49" s="1"/>
  <c r="I200" i="49" s="1"/>
  <c r="I201" i="49" s="1"/>
  <c r="I202" i="49" s="1"/>
  <c r="I203" i="49" s="1"/>
  <c r="I204" i="49" s="1"/>
  <c r="I205" i="49" s="1"/>
  <c r="I206" i="49" s="1"/>
  <c r="I207" i="49" s="1"/>
  <c r="I208" i="49" s="1"/>
  <c r="I209" i="49" s="1"/>
  <c r="I210" i="49" s="1"/>
  <c r="I211" i="49" s="1"/>
  <c r="I212" i="49" s="1"/>
  <c r="I213" i="49" s="1"/>
  <c r="I214" i="49" s="1"/>
  <c r="I215" i="49" s="1"/>
  <c r="I216" i="49" s="1"/>
  <c r="I217" i="49" s="1"/>
  <c r="I218" i="49" s="1"/>
  <c r="I219" i="49" s="1"/>
  <c r="I220" i="49" s="1"/>
  <c r="I221" i="49" s="1"/>
  <c r="I222" i="49" s="1"/>
  <c r="I223" i="49" s="1"/>
  <c r="I224" i="49" s="1"/>
  <c r="I225" i="49" s="1"/>
  <c r="I226" i="49" s="1"/>
  <c r="I227" i="49" s="1"/>
  <c r="I228" i="49" s="1"/>
  <c r="I229" i="49" s="1"/>
  <c r="I230" i="49" s="1"/>
  <c r="I231" i="49" s="1"/>
  <c r="I232" i="49" s="1"/>
  <c r="I233" i="49" s="1"/>
  <c r="I234" i="49" s="1"/>
  <c r="I235" i="49" s="1"/>
  <c r="I236" i="49" s="1"/>
  <c r="I237" i="49" s="1"/>
  <c r="I238" i="49" s="1"/>
  <c r="I239" i="49" s="1"/>
  <c r="I240" i="49" s="1"/>
  <c r="I241" i="49" s="1"/>
  <c r="I242" i="49" s="1"/>
  <c r="I243" i="49" s="1"/>
  <c r="I244" i="49" s="1"/>
  <c r="I245" i="49" s="1"/>
  <c r="I246" i="49" s="1"/>
  <c r="I247" i="49" s="1"/>
  <c r="I248" i="49" s="1"/>
  <c r="I249" i="49" s="1"/>
  <c r="I250" i="49" s="1"/>
  <c r="I251" i="49" s="1"/>
  <c r="I252" i="49" s="1"/>
  <c r="I253" i="49" s="1"/>
  <c r="I254" i="49" s="1"/>
  <c r="I255" i="49" s="1"/>
  <c r="I256" i="49" s="1"/>
  <c r="I257" i="49" s="1"/>
  <c r="I258" i="49" s="1"/>
  <c r="I259" i="49" s="1"/>
  <c r="I260" i="49" s="1"/>
  <c r="I261" i="49" s="1"/>
  <c r="I262" i="49" s="1"/>
  <c r="I263" i="49" s="1"/>
  <c r="I264" i="49" s="1"/>
  <c r="I265" i="49" s="1"/>
  <c r="I266" i="49" s="1"/>
  <c r="I267" i="49" s="1"/>
  <c r="I268" i="49" s="1"/>
  <c r="I269" i="49" s="1"/>
  <c r="I270" i="49" s="1"/>
  <c r="I271" i="49" s="1"/>
  <c r="I272" i="49" s="1"/>
  <c r="I273" i="49" s="1"/>
  <c r="I274" i="49" s="1"/>
  <c r="I275" i="49" s="1"/>
  <c r="I276" i="49" s="1"/>
  <c r="I277" i="49" s="1"/>
  <c r="I278" i="49" s="1"/>
  <c r="I279" i="49" s="1"/>
  <c r="I280" i="49" s="1"/>
  <c r="I281" i="49" s="1"/>
  <c r="I282" i="49" s="1"/>
  <c r="I283" i="49" s="1"/>
  <c r="I284" i="49" s="1"/>
  <c r="I285" i="49" s="1"/>
  <c r="I286" i="49" s="1"/>
  <c r="I287" i="49" s="1"/>
  <c r="I288" i="49" s="1"/>
  <c r="I289" i="49" s="1"/>
  <c r="I290" i="49" s="1"/>
  <c r="I291" i="49" s="1"/>
  <c r="I292" i="49" s="1"/>
  <c r="I293" i="49" s="1"/>
  <c r="I294" i="49" s="1"/>
  <c r="I295" i="49" s="1"/>
  <c r="I296" i="49" s="1"/>
  <c r="I297" i="49" s="1"/>
  <c r="I298" i="49" s="1"/>
  <c r="I299" i="49" s="1"/>
  <c r="I300" i="49" s="1"/>
  <c r="I301" i="49" s="1"/>
  <c r="I302" i="49" s="1"/>
  <c r="I303" i="49" s="1"/>
  <c r="I304" i="49" s="1"/>
  <c r="I305" i="49" s="1"/>
  <c r="I306" i="49" s="1"/>
  <c r="I307" i="49" s="1"/>
  <c r="I308" i="49" s="1"/>
  <c r="I309" i="49" s="1"/>
  <c r="I310" i="49" s="1"/>
  <c r="I311" i="49" s="1"/>
  <c r="I312" i="49" s="1"/>
  <c r="I313" i="49" s="1"/>
  <c r="I314" i="49" s="1"/>
  <c r="I315" i="49" s="1"/>
  <c r="I316" i="49" s="1"/>
  <c r="I317" i="49" s="1"/>
  <c r="I318" i="49" s="1"/>
  <c r="I319" i="49" s="1"/>
  <c r="I320" i="49" s="1"/>
  <c r="I321" i="49" s="1"/>
  <c r="I322" i="49" s="1"/>
  <c r="I323" i="49" s="1"/>
  <c r="I324" i="49" s="1"/>
  <c r="I325" i="49" s="1"/>
  <c r="I326" i="49" s="1"/>
  <c r="I327" i="49" s="1"/>
  <c r="I328" i="49" s="1"/>
  <c r="I329" i="49" s="1"/>
  <c r="I330" i="49" s="1"/>
  <c r="I331" i="49" s="1"/>
  <c r="I332" i="49" s="1"/>
  <c r="I333" i="49" s="1"/>
  <c r="I334" i="49" s="1"/>
  <c r="I335" i="49" s="1"/>
  <c r="I336" i="49" s="1"/>
  <c r="I337" i="49" s="1"/>
  <c r="I338" i="49" s="1"/>
  <c r="L304" i="13" l="1"/>
  <c r="L305" i="13" s="1"/>
  <c r="L306" i="13" s="1"/>
  <c r="L307" i="13" s="1"/>
  <c r="L308" i="13" s="1"/>
  <c r="L309" i="13" s="1"/>
  <c r="L310" i="13" s="1"/>
  <c r="L311" i="13" s="1"/>
  <c r="L312" i="13" s="1"/>
  <c r="L313" i="13" s="1"/>
  <c r="L314" i="13" l="1"/>
  <c r="K346" i="4"/>
  <c r="O164" i="4" s="1"/>
  <c r="M346" i="4" l="1"/>
  <c r="M347" i="4" s="1"/>
  <c r="M348" i="4" s="1"/>
  <c r="M349" i="4" s="1"/>
  <c r="M350" i="4" s="1"/>
  <c r="M351" i="4" s="1"/>
  <c r="M352" i="4" s="1"/>
  <c r="M353" i="4" s="1"/>
  <c r="M354" i="4" s="1"/>
  <c r="M355" i="4" s="1"/>
  <c r="M356" i="4" s="1"/>
  <c r="M357" i="4" s="1"/>
  <c r="M358" i="4" s="1"/>
  <c r="M359" i="4" s="1"/>
  <c r="M360" i="4" s="1"/>
  <c r="M361" i="4" s="1"/>
  <c r="M362" i="4" s="1"/>
  <c r="M363" i="4" s="1"/>
  <c r="M364" i="4" s="1"/>
  <c r="M365" i="4" s="1"/>
  <c r="M366" i="4" s="1"/>
  <c r="M367" i="4" s="1"/>
  <c r="M368" i="4" s="1"/>
  <c r="M369" i="4" s="1"/>
  <c r="M370" i="4" s="1"/>
  <c r="M371" i="4" s="1"/>
  <c r="M372" i="4" s="1"/>
  <c r="M373" i="4" s="1"/>
  <c r="M374" i="4" s="1"/>
  <c r="M375" i="4" s="1"/>
  <c r="M376" i="4" s="1"/>
  <c r="M377" i="4" s="1"/>
  <c r="M378" i="4" s="1"/>
  <c r="M379" i="4" s="1"/>
  <c r="M380" i="4" s="1"/>
  <c r="M381" i="4" s="1"/>
  <c r="M382" i="4" s="1"/>
  <c r="M383" i="4" s="1"/>
  <c r="M384" i="4" s="1"/>
  <c r="M385" i="4" s="1"/>
  <c r="M386" i="4" s="1"/>
  <c r="M387" i="4" s="1"/>
  <c r="M388" i="4" s="1"/>
  <c r="M389" i="4" s="1"/>
  <c r="M390" i="4" s="1"/>
  <c r="M391" i="4" s="1"/>
  <c r="M392" i="4" s="1"/>
  <c r="M393" i="4" s="1"/>
  <c r="M394" i="4" s="1"/>
  <c r="M395" i="4" s="1"/>
  <c r="M396" i="4" s="1"/>
  <c r="M397" i="4" s="1"/>
  <c r="M398" i="4" s="1"/>
  <c r="M399" i="4" s="1"/>
  <c r="M400" i="4" s="1"/>
  <c r="M401" i="4" s="1"/>
  <c r="M402" i="4" s="1"/>
  <c r="M403" i="4" s="1"/>
  <c r="M404" i="4" s="1"/>
  <c r="M405" i="4" s="1"/>
  <c r="M406" i="4" s="1"/>
  <c r="M407" i="4" s="1"/>
  <c r="M408" i="4" s="1"/>
  <c r="M409" i="4" s="1"/>
  <c r="M410" i="4" s="1"/>
  <c r="M411" i="4" s="1"/>
  <c r="M412" i="4" s="1"/>
  <c r="M413" i="4" s="1"/>
  <c r="M414" i="4" s="1"/>
  <c r="M415" i="4" s="1"/>
  <c r="M416" i="4" s="1"/>
  <c r="M417" i="4" s="1"/>
  <c r="M418" i="4" s="1"/>
  <c r="M419" i="4" s="1"/>
  <c r="M420" i="4" s="1"/>
  <c r="M421" i="4" s="1"/>
  <c r="M422" i="4" s="1"/>
  <c r="M423" i="4" s="1"/>
  <c r="M424" i="4" s="1"/>
  <c r="M425" i="4" s="1"/>
  <c r="M426" i="4" s="1"/>
  <c r="M427" i="4" s="1"/>
  <c r="M428" i="4" s="1"/>
  <c r="M429" i="4" s="1"/>
  <c r="M430" i="4" s="1"/>
  <c r="M431" i="4" s="1"/>
  <c r="M432" i="4" s="1"/>
  <c r="M433" i="4" s="1"/>
  <c r="M434" i="4" s="1"/>
  <c r="M435" i="4" s="1"/>
  <c r="M436" i="4" s="1"/>
  <c r="M437" i="4" s="1"/>
  <c r="M438" i="4" s="1"/>
  <c r="M439" i="4" s="1"/>
  <c r="M440" i="4" s="1"/>
  <c r="M441" i="4" s="1"/>
  <c r="M442" i="4" s="1"/>
  <c r="M443" i="4" s="1"/>
  <c r="M444" i="4" s="1"/>
  <c r="M445" i="4" s="1"/>
  <c r="M446" i="4" s="1"/>
  <c r="M447" i="4" s="1"/>
  <c r="M448" i="4" s="1"/>
  <c r="M449" i="4" s="1"/>
  <c r="M450" i="4" s="1"/>
  <c r="M451" i="4" s="1"/>
  <c r="M452" i="4" s="1"/>
  <c r="M453" i="4" s="1"/>
  <c r="M454" i="4" s="1"/>
  <c r="M455" i="4" s="1"/>
  <c r="M456" i="4" s="1"/>
  <c r="M457" i="4" s="1"/>
  <c r="M458" i="4" s="1"/>
  <c r="M459" i="4" s="1"/>
  <c r="M460" i="4" s="1"/>
  <c r="M461" i="4" s="1"/>
  <c r="M462" i="4" s="1"/>
  <c r="M463" i="4" s="1"/>
  <c r="M464" i="4" s="1"/>
  <c r="M465" i="4" s="1"/>
  <c r="M466" i="4" s="1"/>
  <c r="M467" i="4" s="1"/>
  <c r="M468" i="4" s="1"/>
  <c r="M469" i="4" s="1"/>
  <c r="M470" i="4" s="1"/>
  <c r="M471" i="4" s="1"/>
  <c r="M472" i="4" s="1"/>
  <c r="M473" i="4" s="1"/>
  <c r="M474" i="4" s="1"/>
  <c r="M475" i="4" s="1"/>
  <c r="M476" i="4" s="1"/>
  <c r="M477" i="4" s="1"/>
  <c r="M478" i="4" s="1"/>
  <c r="M479" i="4" s="1"/>
  <c r="M480" i="4" s="1"/>
  <c r="M481" i="4" s="1"/>
  <c r="M482" i="4" s="1"/>
  <c r="M483" i="4" s="1"/>
  <c r="M484" i="4" s="1"/>
  <c r="N9" i="4"/>
  <c r="L315" i="13"/>
  <c r="B22" i="14" l="1"/>
  <c r="J2" i="14" s="1"/>
  <c r="L316" i="13"/>
  <c r="L317" i="13" s="1"/>
  <c r="L318" i="13" s="1"/>
  <c r="L319" i="13" s="1"/>
  <c r="L320" i="13" s="1"/>
  <c r="L321" i="13" s="1"/>
  <c r="L322" i="13" s="1"/>
  <c r="L323" i="13" s="1"/>
  <c r="L324" i="13" s="1"/>
  <c r="L325" i="13" s="1"/>
  <c r="L326" i="13" s="1"/>
  <c r="L327" i="13" s="1"/>
  <c r="L328" i="13" s="1"/>
  <c r="L329" i="13" s="1"/>
  <c r="L330" i="13" s="1"/>
  <c r="L331" i="13" s="1"/>
  <c r="L332" i="13" s="1"/>
  <c r="L333" i="13" s="1"/>
  <c r="L334" i="13" s="1"/>
  <c r="L335" i="13" s="1"/>
  <c r="L336" i="13" s="1"/>
  <c r="L337" i="13" s="1"/>
  <c r="L338" i="13" s="1"/>
  <c r="L339" i="13" s="1"/>
  <c r="L340" i="13" s="1"/>
  <c r="L341" i="13" s="1"/>
  <c r="L342" i="13" s="1"/>
  <c r="L343" i="13" s="1"/>
  <c r="L344" i="13" s="1"/>
  <c r="L345" i="13" s="1"/>
  <c r="L346" i="13" s="1"/>
  <c r="L347" i="13" s="1"/>
  <c r="L348" i="13" s="1"/>
  <c r="L349" i="13" s="1"/>
  <c r="L350" i="13" s="1"/>
  <c r="L351" i="13" s="1"/>
  <c r="L352" i="13" s="1"/>
  <c r="L353" i="13" s="1"/>
  <c r="L354" i="13" s="1"/>
  <c r="L355" i="13" s="1"/>
  <c r="L356" i="13" s="1"/>
  <c r="L357" i="13" s="1"/>
  <c r="L358" i="13" s="1"/>
  <c r="L359" i="13" s="1"/>
  <c r="L360" i="13" s="1"/>
  <c r="L361" i="13" s="1"/>
  <c r="L362" i="13" s="1"/>
  <c r="L363" i="13" s="1"/>
  <c r="L364" i="13" s="1"/>
  <c r="L365" i="13" s="1"/>
  <c r="L366" i="13" s="1"/>
  <c r="L367" i="13" s="1"/>
  <c r="L368" i="13" s="1"/>
  <c r="L369" i="13" s="1"/>
  <c r="L370" i="13" s="1"/>
  <c r="L371" i="13" s="1"/>
  <c r="L372" i="13" s="1"/>
  <c r="L373" i="13" s="1"/>
  <c r="L374" i="13" s="1"/>
  <c r="L375" i="13" s="1"/>
  <c r="L376" i="13" s="1"/>
  <c r="L377" i="13" s="1"/>
  <c r="L378" i="13" s="1"/>
  <c r="L379" i="13" s="1"/>
  <c r="L380" i="13" s="1"/>
  <c r="L381" i="13" s="1"/>
  <c r="L382" i="13" s="1"/>
  <c r="L383" i="13" s="1"/>
  <c r="L384" i="13" s="1"/>
  <c r="L385" i="13" s="1"/>
  <c r="L386" i="13" s="1"/>
  <c r="L387" i="13" s="1"/>
  <c r="L388" i="13" s="1"/>
  <c r="L389" i="13" s="1"/>
  <c r="L390" i="13" s="1"/>
  <c r="L391" i="13" s="1"/>
  <c r="L392" i="13" s="1"/>
  <c r="L393" i="13" s="1"/>
  <c r="L394" i="13" s="1"/>
  <c r="L395" i="13" s="1"/>
  <c r="L396" i="13" s="1"/>
  <c r="L397" i="13" s="1"/>
  <c r="L398" i="13" s="1"/>
  <c r="L399" i="13" s="1"/>
  <c r="L400" i="13" s="1"/>
  <c r="L401" i="13" s="1"/>
  <c r="L402" i="13" s="1"/>
  <c r="L403" i="13" s="1"/>
  <c r="L404" i="13" s="1"/>
  <c r="L405" i="13" s="1"/>
  <c r="L406" i="13" s="1"/>
  <c r="L407" i="13" s="1"/>
  <c r="L2" i="14" l="1"/>
  <c r="H2" i="14"/>
  <c r="R10" i="33" l="1"/>
  <c r="R11" i="33" s="1"/>
  <c r="R12" i="33" s="1"/>
  <c r="R13" i="33" s="1"/>
  <c r="R14" i="33" s="1"/>
  <c r="R15" i="33" s="1"/>
  <c r="R16" i="33" s="1"/>
  <c r="R17" i="33" s="1"/>
  <c r="R18" i="33" s="1"/>
  <c r="R19" i="33" s="1"/>
  <c r="R20" i="33" s="1"/>
  <c r="R21" i="33" s="1"/>
  <c r="R22" i="33" s="1"/>
  <c r="R23" i="33" s="1"/>
  <c r="R24" i="33" s="1"/>
  <c r="R25" i="33" s="1"/>
  <c r="R26" i="33" s="1"/>
  <c r="R27" i="33" s="1"/>
  <c r="R28" i="33" s="1"/>
  <c r="R29" i="33" s="1"/>
  <c r="R30" i="33" s="1"/>
  <c r="R31" i="33" s="1"/>
  <c r="R32" i="33" s="1"/>
  <c r="R33" i="33" s="1"/>
  <c r="R34" i="33" s="1"/>
  <c r="R35" i="33" s="1"/>
  <c r="R36" i="33" s="1"/>
  <c r="R37" i="33" s="1"/>
  <c r="R38" i="33" s="1"/>
  <c r="R39" i="33" s="1"/>
  <c r="R40" i="33" s="1"/>
  <c r="R41" i="33" s="1"/>
  <c r="R42" i="33" s="1"/>
  <c r="R43" i="33" s="1"/>
  <c r="R44" i="33" s="1"/>
  <c r="R45" i="33" s="1"/>
  <c r="R46" i="33" s="1"/>
  <c r="R47" i="33" s="1"/>
  <c r="R48" i="33" s="1"/>
  <c r="R49" i="33" s="1"/>
  <c r="R50" i="33" s="1"/>
  <c r="R51" i="33" s="1"/>
  <c r="R52" i="33" s="1"/>
  <c r="R53" i="33" s="1"/>
  <c r="R54" i="33" s="1"/>
  <c r="R55" i="33" s="1"/>
  <c r="R56" i="33" s="1"/>
  <c r="R57" i="33" s="1"/>
  <c r="R58" i="33" s="1"/>
  <c r="R59" i="33" s="1"/>
  <c r="R60" i="33" s="1"/>
  <c r="R61" i="33" s="1"/>
  <c r="R62" i="33" s="1"/>
  <c r="R63" i="33" s="1"/>
  <c r="R64" i="33" s="1"/>
  <c r="R65" i="33" s="1"/>
  <c r="R66" i="33" s="1"/>
  <c r="R67" i="33" s="1"/>
  <c r="R68" i="33" s="1"/>
  <c r="R69" i="33" s="1"/>
  <c r="R70" i="33" s="1"/>
  <c r="R71" i="33" s="1"/>
  <c r="R72" i="33" s="1"/>
  <c r="R73" i="33" s="1"/>
  <c r="R74" i="33" s="1"/>
  <c r="R75" i="33" s="1"/>
  <c r="R76" i="33" s="1"/>
  <c r="R77" i="33" s="1"/>
  <c r="R78" i="33" s="1"/>
  <c r="R79" i="33" s="1"/>
  <c r="R80" i="33" s="1"/>
  <c r="R81" i="33" s="1"/>
  <c r="R82" i="33" s="1"/>
  <c r="R83" i="33" s="1"/>
  <c r="R84" i="33" s="1"/>
  <c r="R85" i="33" s="1"/>
  <c r="R86" i="33" s="1"/>
  <c r="R87" i="33" s="1"/>
  <c r="R88" i="33" s="1"/>
  <c r="R89" i="33" s="1"/>
  <c r="R90" i="33" s="1"/>
  <c r="R91" i="33" s="1"/>
  <c r="R92" i="33" s="1"/>
  <c r="R93" i="33" s="1"/>
  <c r="R94" i="33" s="1"/>
  <c r="R95" i="33" s="1"/>
  <c r="R96" i="33" s="1"/>
  <c r="R97" i="33" s="1"/>
  <c r="R98" i="33" s="1"/>
  <c r="R99" i="33" s="1"/>
  <c r="R100" i="33" s="1"/>
  <c r="R101" i="33" s="1"/>
  <c r="R102" i="33" s="1"/>
  <c r="R103" i="33" s="1"/>
  <c r="R104" i="33" s="1"/>
  <c r="R105" i="33" s="1"/>
  <c r="R106" i="33" s="1"/>
  <c r="R107" i="33" s="1"/>
  <c r="R108" i="33" s="1"/>
  <c r="R109" i="33" s="1"/>
  <c r="R110" i="33" s="1"/>
  <c r="R111" i="33" s="1"/>
  <c r="R112" i="33" s="1"/>
  <c r="R113" i="33" s="1"/>
  <c r="R114" i="33" s="1"/>
  <c r="R115" i="33" s="1"/>
  <c r="R116" i="33" s="1"/>
  <c r="R117" i="33" s="1"/>
  <c r="R118" i="33" s="1"/>
  <c r="R119" i="33" s="1"/>
  <c r="R120" i="33" s="1"/>
  <c r="R121" i="33" s="1"/>
  <c r="R122" i="33" s="1"/>
  <c r="R123" i="33" s="1"/>
  <c r="R124" i="33" s="1"/>
  <c r="R125" i="33" s="1"/>
  <c r="R126" i="33" s="1"/>
  <c r="R127" i="33" s="1"/>
  <c r="R128" i="33" s="1"/>
  <c r="R129" i="33" s="1"/>
  <c r="R130" i="33" s="1"/>
  <c r="R131" i="33" s="1"/>
  <c r="R132" i="33" s="1"/>
  <c r="R133" i="33" s="1"/>
  <c r="R134" i="33" s="1"/>
  <c r="R135" i="33" s="1"/>
  <c r="R136" i="33" s="1"/>
  <c r="R137" i="33" s="1"/>
  <c r="R138" i="33" s="1"/>
  <c r="R139" i="33" s="1"/>
  <c r="R140" i="33" s="1"/>
  <c r="R141" i="33" s="1"/>
  <c r="R142" i="33" s="1"/>
  <c r="R143" i="33" s="1"/>
  <c r="R144" i="33" s="1"/>
  <c r="R145" i="33" s="1"/>
  <c r="R146" i="33" s="1"/>
  <c r="R147" i="33" s="1"/>
  <c r="R148" i="33" s="1"/>
  <c r="R149" i="33" s="1"/>
  <c r="R150" i="33" s="1"/>
  <c r="R151" i="33" s="1"/>
  <c r="R152" i="33" s="1"/>
  <c r="R153" i="33" s="1"/>
  <c r="R154" i="33" s="1"/>
  <c r="R155" i="33" s="1"/>
  <c r="R156" i="33" s="1"/>
  <c r="R157" i="33" s="1"/>
  <c r="R158" i="33" s="1"/>
  <c r="R159" i="33" s="1"/>
  <c r="R160" i="33" s="1"/>
  <c r="R161" i="33" s="1"/>
  <c r="R162" i="33" s="1"/>
  <c r="R163" i="33" s="1"/>
  <c r="R164" i="33" s="1"/>
  <c r="R165" i="33" s="1"/>
  <c r="R166" i="33" s="1"/>
  <c r="R167" i="33" s="1"/>
  <c r="R168" i="33" s="1"/>
  <c r="R169" i="33" s="1"/>
  <c r="R170" i="33" s="1"/>
  <c r="R171" i="33" s="1"/>
  <c r="R172" i="33" s="1"/>
  <c r="R173" i="33" s="1"/>
  <c r="R174" i="33" s="1"/>
  <c r="R175" i="33" s="1"/>
  <c r="R176" i="33" s="1"/>
  <c r="R177" i="33" s="1"/>
  <c r="R178" i="33" s="1"/>
  <c r="R179" i="33" s="1"/>
  <c r="R180" i="33" s="1"/>
  <c r="R181" i="33" s="1"/>
  <c r="R182" i="33" s="1"/>
  <c r="R183" i="33" s="1"/>
  <c r="R184" i="33" s="1"/>
  <c r="R185" i="33" s="1"/>
  <c r="R186" i="33" s="1"/>
  <c r="R187" i="33" s="1"/>
  <c r="R188" i="33" s="1"/>
  <c r="R189" i="33" s="1"/>
  <c r="R190" i="33" s="1"/>
  <c r="R191" i="33" s="1"/>
  <c r="R192" i="33" s="1"/>
  <c r="R193" i="33" s="1"/>
  <c r="R194" i="33" s="1"/>
  <c r="R195" i="33" s="1"/>
  <c r="R196" i="33" s="1"/>
  <c r="R197" i="33" s="1"/>
  <c r="R198" i="33" s="1"/>
  <c r="R199" i="33" s="1"/>
  <c r="R200" i="33" s="1"/>
  <c r="R201" i="33" s="1"/>
  <c r="R202" i="33" s="1"/>
  <c r="R203" i="33" s="1"/>
  <c r="R204" i="33" s="1"/>
  <c r="R205" i="33" s="1"/>
  <c r="R206" i="33" s="1"/>
  <c r="R207" i="33" s="1"/>
  <c r="R208" i="33" s="1"/>
  <c r="R209" i="33" s="1"/>
  <c r="R210" i="33" s="1"/>
  <c r="R211" i="33" s="1"/>
  <c r="R212" i="33" s="1"/>
  <c r="R213" i="33" s="1"/>
  <c r="R214" i="33" s="1"/>
  <c r="R215" i="33" s="1"/>
  <c r="R216" i="33" s="1"/>
  <c r="R217" i="33" s="1"/>
  <c r="R218" i="33" s="1"/>
  <c r="R219" i="33" s="1"/>
  <c r="R220" i="33" s="1"/>
  <c r="R221" i="33" s="1"/>
  <c r="R222" i="33" s="1"/>
  <c r="R223" i="33" s="1"/>
  <c r="R224" i="33" s="1"/>
  <c r="R225" i="33" s="1"/>
  <c r="R226" i="33" s="1"/>
  <c r="R227" i="33" s="1"/>
  <c r="R228" i="33" s="1"/>
  <c r="R229" i="33" s="1"/>
  <c r="R230" i="33" s="1"/>
  <c r="R231" i="33" s="1"/>
  <c r="R232" i="33" s="1"/>
  <c r="R233" i="33" s="1"/>
  <c r="R234" i="33" s="1"/>
  <c r="R235" i="33" s="1"/>
  <c r="R236" i="33" s="1"/>
  <c r="R237" i="33" s="1"/>
  <c r="R238" i="33" s="1"/>
  <c r="R239" i="33" s="1"/>
  <c r="R240" i="33" s="1"/>
  <c r="R241" i="33" s="1"/>
  <c r="R242" i="33" s="1"/>
  <c r="R243" i="33" s="1"/>
  <c r="R244" i="33" s="1"/>
  <c r="R245" i="33" s="1"/>
  <c r="R246" i="33" s="1"/>
  <c r="R247" i="33" s="1"/>
  <c r="R248" i="33" s="1"/>
  <c r="R249" i="33" s="1"/>
  <c r="R250" i="33" s="1"/>
  <c r="R251" i="33" s="1"/>
  <c r="R252" i="33" s="1"/>
  <c r="R253" i="33" s="1"/>
  <c r="R254" i="33" s="1"/>
  <c r="R255" i="33" s="1"/>
  <c r="R256" i="33" s="1"/>
  <c r="R257" i="33" s="1"/>
  <c r="R258" i="33" s="1"/>
  <c r="R259" i="33" s="1"/>
  <c r="R260" i="33" s="1"/>
  <c r="R261" i="33" s="1"/>
  <c r="R262" i="33" s="1"/>
  <c r="R263" i="33" s="1"/>
  <c r="R264" i="33" s="1"/>
  <c r="R265" i="33" s="1"/>
  <c r="R266" i="33" s="1"/>
  <c r="R267" i="33" s="1"/>
  <c r="R268" i="33" s="1"/>
  <c r="R269" i="33" s="1"/>
  <c r="R270" i="33" s="1"/>
  <c r="R271" i="33" s="1"/>
  <c r="R272" i="33" s="1"/>
  <c r="R273" i="33" s="1"/>
  <c r="R274" i="33" s="1"/>
  <c r="R275" i="33" s="1"/>
  <c r="R276" i="33" s="1"/>
  <c r="R277" i="33" s="1"/>
  <c r="R278" i="33" s="1"/>
  <c r="R279" i="33" s="1"/>
  <c r="R280" i="33" s="1"/>
  <c r="R281" i="33" s="1"/>
  <c r="R282" i="33" s="1"/>
  <c r="R283" i="33" s="1"/>
  <c r="R284" i="33" s="1"/>
  <c r="R285" i="33" s="1"/>
  <c r="R286" i="33" s="1"/>
  <c r="R287" i="33" s="1"/>
  <c r="R288" i="33" s="1"/>
  <c r="R289" i="33" s="1"/>
  <c r="R290" i="33" s="1"/>
  <c r="R291" i="33" s="1"/>
  <c r="R292" i="33" s="1"/>
  <c r="R293" i="33" s="1"/>
  <c r="R294" i="33" s="1"/>
  <c r="R295" i="33" s="1"/>
  <c r="R296" i="33" s="1"/>
  <c r="R297" i="33" s="1"/>
  <c r="R298" i="33" s="1"/>
  <c r="R299" i="33" s="1"/>
  <c r="R300" i="33" s="1"/>
  <c r="R301" i="33" s="1"/>
  <c r="R302" i="33" s="1"/>
  <c r="R303" i="33" s="1"/>
  <c r="R304" i="33" s="1"/>
  <c r="R305" i="33" s="1"/>
  <c r="R306" i="33" s="1"/>
  <c r="R307" i="33" s="1"/>
  <c r="R308" i="33" s="1"/>
  <c r="R309" i="33" s="1"/>
  <c r="R310" i="33" s="1"/>
  <c r="R311" i="33" s="1"/>
  <c r="R312" i="33" s="1"/>
  <c r="R313" i="33" s="1"/>
  <c r="R314" i="33" s="1"/>
  <c r="R315" i="33" s="1"/>
  <c r="R316" i="33" s="1"/>
  <c r="R317" i="33" s="1"/>
  <c r="R318" i="33" s="1"/>
  <c r="R319" i="33" s="1"/>
  <c r="R320" i="33" s="1"/>
  <c r="R321" i="33" s="1"/>
  <c r="R322" i="33" s="1"/>
  <c r="R323" i="33" s="1"/>
  <c r="R324" i="33" s="1"/>
  <c r="R325" i="33" s="1"/>
  <c r="R326" i="33" s="1"/>
  <c r="R327" i="33" s="1"/>
  <c r="R328" i="33" s="1"/>
  <c r="R329" i="33" s="1"/>
  <c r="R330" i="33" s="1"/>
  <c r="R331" i="33" s="1"/>
  <c r="R332" i="33" s="1"/>
  <c r="R333" i="33" s="1"/>
  <c r="R334" i="33" s="1"/>
  <c r="R335" i="33" s="1"/>
  <c r="R336" i="33" s="1"/>
  <c r="R337" i="33" s="1"/>
  <c r="R338" i="33" s="1"/>
  <c r="R339" i="33" s="1"/>
  <c r="R340" i="33" s="1"/>
  <c r="R341" i="33" s="1"/>
  <c r="R342" i="33" s="1"/>
  <c r="R343" i="33" s="1"/>
  <c r="R344" i="33" s="1"/>
  <c r="R345" i="33" s="1"/>
  <c r="R346" i="33" s="1"/>
  <c r="R347" i="33" s="1"/>
  <c r="R348" i="33" s="1"/>
  <c r="R349" i="33" s="1"/>
  <c r="R350" i="33" s="1"/>
  <c r="R351" i="33" s="1"/>
  <c r="R352" i="33" s="1"/>
  <c r="R353" i="33" s="1"/>
  <c r="R354" i="33" s="1"/>
  <c r="R355" i="33" s="1"/>
  <c r="R356" i="33" s="1"/>
  <c r="R357" i="33" s="1"/>
  <c r="R358" i="33" s="1"/>
  <c r="R359" i="33" s="1"/>
  <c r="R360" i="33" s="1"/>
  <c r="R361" i="33" s="1"/>
  <c r="R362" i="33" s="1"/>
  <c r="R363" i="33" s="1"/>
  <c r="R364" i="33" s="1"/>
  <c r="R365" i="33" s="1"/>
  <c r="R366" i="33" s="1"/>
  <c r="R367" i="33" s="1"/>
  <c r="R368" i="33" s="1"/>
  <c r="R369" i="33" s="1"/>
  <c r="R370" i="33" s="1"/>
  <c r="R371" i="33" s="1"/>
  <c r="R372" i="33" s="1"/>
  <c r="R373" i="33" s="1"/>
  <c r="R374" i="33" s="1"/>
  <c r="R375" i="33" s="1"/>
  <c r="R376" i="33" s="1"/>
  <c r="R377" i="33" s="1"/>
  <c r="R378" i="33" s="1"/>
  <c r="R379" i="33" s="1"/>
  <c r="R380" i="33" s="1"/>
  <c r="R381" i="33" s="1"/>
  <c r="R382" i="33" s="1"/>
  <c r="R383" i="33" s="1"/>
  <c r="R384" i="33" s="1"/>
  <c r="R385" i="33" s="1"/>
  <c r="R386" i="33" s="1"/>
  <c r="R387" i="33" s="1"/>
  <c r="R388" i="33" s="1"/>
  <c r="R389" i="33" s="1"/>
  <c r="R390" i="33" s="1"/>
  <c r="R391" i="33" s="1"/>
  <c r="R392" i="33" s="1"/>
  <c r="R393" i="33" s="1"/>
  <c r="R394" i="33" s="1"/>
  <c r="R395" i="33" s="1"/>
  <c r="R396" i="33" s="1"/>
  <c r="R397" i="33" s="1"/>
  <c r="R398" i="33" s="1"/>
  <c r="R399" i="33" s="1"/>
  <c r="R400" i="33" s="1"/>
  <c r="R401" i="33" s="1"/>
  <c r="R402" i="33" s="1"/>
  <c r="R403" i="33" s="1"/>
  <c r="R404" i="33" s="1"/>
  <c r="R405" i="33" s="1"/>
  <c r="R406" i="33" s="1"/>
  <c r="R407" i="33" s="1"/>
  <c r="R408" i="33" s="1"/>
  <c r="R409" i="33" s="1"/>
  <c r="R410" i="33" s="1"/>
  <c r="R411" i="33" s="1"/>
  <c r="R412" i="33" s="1"/>
  <c r="R413" i="33" s="1"/>
  <c r="R414" i="33" s="1"/>
  <c r="R415" i="33" s="1"/>
  <c r="R416" i="33" s="1"/>
  <c r="R417" i="33" s="1"/>
  <c r="R418" i="33" s="1"/>
  <c r="R419" i="33" s="1"/>
  <c r="R420" i="33" s="1"/>
  <c r="R421" i="33" s="1"/>
  <c r="R422" i="33" s="1"/>
  <c r="R423" i="33" s="1"/>
  <c r="R424" i="33" s="1"/>
  <c r="R425" i="33" s="1"/>
  <c r="R426" i="33" s="1"/>
  <c r="R427" i="33" s="1"/>
  <c r="R428" i="33" s="1"/>
  <c r="R429" i="33" s="1"/>
  <c r="R430" i="33" s="1"/>
  <c r="R431" i="33" s="1"/>
  <c r="R432" i="33" s="1"/>
  <c r="R433" i="33" s="1"/>
  <c r="R434" i="33" s="1"/>
  <c r="R435" i="33" s="1"/>
  <c r="R436" i="33" s="1"/>
  <c r="R437" i="33" s="1"/>
  <c r="R438" i="33" s="1"/>
  <c r="R439" i="33" s="1"/>
  <c r="R440" i="33" s="1"/>
  <c r="R441" i="33" s="1"/>
  <c r="R442" i="33" s="1"/>
  <c r="R443" i="33" s="1"/>
  <c r="R444" i="33" s="1"/>
  <c r="R445" i="33" s="1"/>
  <c r="R446" i="33" s="1"/>
  <c r="R447" i="33" s="1"/>
  <c r="R448" i="33" s="1"/>
  <c r="R449" i="33" s="1"/>
  <c r="R450" i="33" s="1"/>
  <c r="R451" i="33" s="1"/>
  <c r="R452" i="33" s="1"/>
  <c r="R453" i="33" s="1"/>
  <c r="R454" i="33" s="1"/>
  <c r="R455" i="33" s="1"/>
  <c r="R456" i="33" s="1"/>
  <c r="R457" i="33" s="1"/>
  <c r="R458" i="33" s="1"/>
  <c r="R459" i="33" s="1"/>
  <c r="R460" i="33" s="1"/>
  <c r="R461" i="33" s="1"/>
  <c r="R462" i="33" s="1"/>
  <c r="R463" i="33" s="1"/>
  <c r="R464" i="33" s="1"/>
  <c r="R465" i="33" s="1"/>
  <c r="R466" i="33" s="1"/>
  <c r="R467" i="33" s="1"/>
  <c r="R468" i="33" s="1"/>
  <c r="R469" i="33" s="1"/>
  <c r="R470" i="33" s="1"/>
  <c r="R471" i="33" s="1"/>
  <c r="R472" i="33" s="1"/>
  <c r="R473" i="33" s="1"/>
  <c r="R474" i="33" s="1"/>
  <c r="R475" i="33" s="1"/>
  <c r="R476" i="33" s="1"/>
  <c r="R477" i="33" s="1"/>
  <c r="R478" i="33" s="1"/>
  <c r="R479" i="33" s="1"/>
  <c r="R480" i="33" s="1"/>
  <c r="R481" i="33" s="1"/>
  <c r="R482" i="33" s="1"/>
  <c r="R483" i="33" s="1"/>
  <c r="R484" i="33" s="1"/>
  <c r="R485" i="33" s="1"/>
  <c r="R486" i="33" s="1"/>
  <c r="R487" i="33" s="1"/>
  <c r="R488" i="33" s="1"/>
  <c r="R489" i="33" s="1"/>
  <c r="R490" i="33" s="1"/>
  <c r="R491" i="33" s="1"/>
  <c r="R492" i="33" s="1"/>
  <c r="R493" i="33" s="1"/>
  <c r="R494" i="33" s="1"/>
  <c r="R495" i="33" s="1"/>
  <c r="R496" i="33" s="1"/>
  <c r="R497" i="33" s="1"/>
  <c r="R498" i="33" s="1"/>
  <c r="R499" i="33" s="1"/>
  <c r="R500" i="33" s="1"/>
  <c r="R501" i="33" s="1"/>
  <c r="R502" i="33" s="1"/>
  <c r="R503" i="33" s="1"/>
  <c r="R504" i="33" s="1"/>
  <c r="R505" i="33" s="1"/>
  <c r="R506" i="33" s="1"/>
  <c r="R507" i="33" s="1"/>
  <c r="R508" i="33" s="1"/>
  <c r="R509" i="33" s="1"/>
  <c r="R510" i="33" s="1"/>
  <c r="R511" i="33" s="1"/>
  <c r="R512" i="33" s="1"/>
  <c r="R513" i="33" s="1"/>
  <c r="R514" i="33" s="1"/>
  <c r="R515" i="33" s="1"/>
  <c r="R516" i="33" s="1"/>
  <c r="R517" i="33" s="1"/>
  <c r="R518" i="33" s="1"/>
  <c r="R519" i="33" s="1"/>
  <c r="R520" i="33" s="1"/>
  <c r="R521" i="33" s="1"/>
  <c r="R522" i="33" s="1"/>
  <c r="R523" i="33" s="1"/>
  <c r="R524" i="33" s="1"/>
  <c r="R525" i="33" s="1"/>
  <c r="R526" i="33" s="1"/>
  <c r="R527" i="33" s="1"/>
  <c r="R528" i="33" s="1"/>
  <c r="R529" i="33" s="1"/>
  <c r="R530" i="33" s="1"/>
  <c r="R531" i="33" s="1"/>
  <c r="R532" i="33" s="1"/>
  <c r="R533" i="33" s="1"/>
  <c r="R534" i="33" s="1"/>
  <c r="R535" i="33" s="1"/>
  <c r="R536" i="33" s="1"/>
  <c r="R537" i="33" s="1"/>
  <c r="R538" i="33" s="1"/>
  <c r="R539" i="33" s="1"/>
  <c r="R540" i="33" s="1"/>
  <c r="R541" i="33" s="1"/>
  <c r="R542" i="33" s="1"/>
  <c r="R543" i="33" s="1"/>
  <c r="R544" i="33" s="1"/>
  <c r="R545" i="33" s="1"/>
  <c r="R546" i="33" s="1"/>
  <c r="R547" i="33" s="1"/>
  <c r="R548" i="33" s="1"/>
  <c r="R549" i="33" s="1"/>
  <c r="R550" i="33" s="1"/>
  <c r="R551" i="33" s="1"/>
  <c r="R552" i="33" s="1"/>
  <c r="R553" i="33" s="1"/>
  <c r="R554" i="33" s="1"/>
  <c r="R555" i="33" s="1"/>
  <c r="R556" i="33" s="1"/>
  <c r="R557" i="33" s="1"/>
  <c r="R558" i="33" s="1"/>
  <c r="R559" i="33" s="1"/>
  <c r="R560" i="33" s="1"/>
  <c r="R561" i="33" s="1"/>
  <c r="R562" i="33" s="1"/>
  <c r="R563" i="33" s="1"/>
  <c r="R564" i="33" s="1"/>
  <c r="R565" i="33" s="1"/>
  <c r="R566" i="33" s="1"/>
  <c r="R567" i="33" s="1"/>
  <c r="R568" i="33" s="1"/>
  <c r="R569" i="33" s="1"/>
  <c r="R570" i="33" s="1"/>
  <c r="R571" i="33" s="1"/>
  <c r="R572" i="33" s="1"/>
  <c r="R573" i="33" s="1"/>
  <c r="R574" i="33" s="1"/>
  <c r="R575" i="33" s="1"/>
  <c r="R576" i="33" s="1"/>
  <c r="R577" i="33" s="1"/>
  <c r="R578" i="33" s="1"/>
  <c r="R579" i="33" s="1"/>
  <c r="R580" i="33" s="1"/>
  <c r="R581" i="33" s="1"/>
  <c r="R582" i="33" s="1"/>
  <c r="R583" i="33" s="1"/>
  <c r="R584" i="33" s="1"/>
  <c r="R585" i="33" s="1"/>
  <c r="R586" i="33" s="1"/>
  <c r="R587" i="33" s="1"/>
  <c r="R588" i="33" s="1"/>
  <c r="R589" i="33" s="1"/>
  <c r="R590" i="33" s="1"/>
  <c r="R591" i="33" s="1"/>
  <c r="R592" i="33" s="1"/>
  <c r="R593" i="33" s="1"/>
  <c r="R594" i="33" s="1"/>
  <c r="R595" i="33" s="1"/>
  <c r="R596" i="33" s="1"/>
  <c r="R597" i="33" s="1"/>
  <c r="R598" i="33" s="1"/>
  <c r="R599" i="33" s="1"/>
  <c r="R600" i="33" s="1"/>
  <c r="R601" i="33" s="1"/>
  <c r="R602" i="33" s="1"/>
  <c r="R603" i="33" s="1"/>
  <c r="R604" i="33" s="1"/>
  <c r="R605" i="33" s="1"/>
  <c r="R606" i="33" s="1"/>
  <c r="R607" i="33" s="1"/>
  <c r="R608" i="33" s="1"/>
  <c r="R609" i="33" s="1"/>
  <c r="R610" i="33" s="1"/>
  <c r="R611" i="33" s="1"/>
  <c r="R612" i="33" s="1"/>
  <c r="R613" i="33" s="1"/>
  <c r="R614" i="33" s="1"/>
  <c r="R615" i="33" s="1"/>
  <c r="R616" i="33" s="1"/>
  <c r="R617" i="33" s="1"/>
  <c r="R618" i="33" s="1"/>
  <c r="R619" i="33" s="1"/>
  <c r="R620" i="33" s="1"/>
  <c r="R621" i="33" s="1"/>
  <c r="R622" i="33" s="1"/>
  <c r="R623" i="33" s="1"/>
  <c r="R624" i="33" s="1"/>
  <c r="R625" i="33" s="1"/>
  <c r="R626" i="33" s="1"/>
  <c r="R627" i="33" s="1"/>
  <c r="R628" i="33" s="1"/>
  <c r="R629" i="33" s="1"/>
  <c r="R630" i="33" s="1"/>
  <c r="R631" i="33" s="1"/>
  <c r="R632" i="33" s="1"/>
  <c r="R633" i="33" s="1"/>
  <c r="R634" i="33" s="1"/>
  <c r="R635" i="33" s="1"/>
  <c r="R636" i="33" s="1"/>
  <c r="R637" i="33" s="1"/>
  <c r="R638" i="33" s="1"/>
  <c r="R639" i="33" s="1"/>
  <c r="R640" i="33" s="1"/>
  <c r="R641" i="33" s="1"/>
  <c r="R642" i="33" s="1"/>
  <c r="R643" i="33" s="1"/>
  <c r="R644" i="33" s="1"/>
  <c r="R645" i="33" s="1"/>
  <c r="R646" i="33" s="1"/>
  <c r="R647" i="33" s="1"/>
  <c r="R648" i="33" s="1"/>
  <c r="R649" i="33" s="1"/>
  <c r="R650" i="33" s="1"/>
  <c r="R651" i="33" s="1"/>
  <c r="R652" i="33" s="1"/>
  <c r="R653" i="33" s="1"/>
  <c r="R654" i="33" s="1"/>
  <c r="R655" i="33" s="1"/>
  <c r="R656" i="33" s="1"/>
  <c r="R657" i="33" s="1"/>
  <c r="R658" i="33" s="1"/>
  <c r="R659" i="33" s="1"/>
  <c r="R660" i="33" s="1"/>
  <c r="R661" i="33" s="1"/>
  <c r="R662" i="33" s="1"/>
  <c r="R663" i="33" s="1"/>
  <c r="R664" i="33" s="1"/>
  <c r="R665" i="33" s="1"/>
  <c r="R666" i="33" s="1"/>
  <c r="R667" i="33" s="1"/>
  <c r="R668" i="33" s="1"/>
  <c r="R669" i="33" s="1"/>
  <c r="R670" i="33" s="1"/>
  <c r="R671" i="33" s="1"/>
  <c r="R672" i="33" s="1"/>
  <c r="R673" i="33" s="1"/>
  <c r="R674" i="33" s="1"/>
  <c r="R675" i="33" s="1"/>
  <c r="R676" i="33" s="1"/>
  <c r="R677" i="33" s="1"/>
  <c r="R678" i="33" s="1"/>
  <c r="R679" i="33" s="1"/>
  <c r="R680" i="33" s="1"/>
  <c r="R681" i="33" s="1"/>
  <c r="R682" i="33" s="1"/>
  <c r="R683" i="33" s="1"/>
  <c r="R684" i="33" s="1"/>
  <c r="R685" i="33" s="1"/>
  <c r="R686" i="33" s="1"/>
  <c r="R687" i="33" s="1"/>
  <c r="R688" i="33" s="1"/>
  <c r="R689" i="33" s="1"/>
  <c r="R690" i="33" s="1"/>
  <c r="R691" i="33" s="1"/>
  <c r="R692" i="33" s="1"/>
  <c r="R693" i="33" s="1"/>
  <c r="R694" i="33" s="1"/>
  <c r="R695" i="33" s="1"/>
  <c r="R696" i="33" s="1"/>
  <c r="R697" i="33" s="1"/>
  <c r="R698" i="33" s="1"/>
  <c r="R699" i="33" s="1"/>
  <c r="R700" i="33" s="1"/>
  <c r="R701" i="33" s="1"/>
  <c r="R702" i="33" s="1"/>
  <c r="R703" i="33" s="1"/>
  <c r="R704" i="33" s="1"/>
  <c r="R705" i="33" s="1"/>
  <c r="R706" i="33" s="1"/>
  <c r="R707" i="33" s="1"/>
  <c r="R708" i="33" s="1"/>
  <c r="R709" i="33" s="1"/>
  <c r="R710" i="33" s="1"/>
  <c r="R711" i="33" s="1"/>
  <c r="R712" i="33" s="1"/>
  <c r="R713" i="33" s="1"/>
  <c r="R714" i="33" s="1"/>
  <c r="R715" i="33" s="1"/>
  <c r="R716" i="33" s="1"/>
  <c r="R717" i="33" s="1"/>
  <c r="R718" i="33" s="1"/>
  <c r="R719" i="33" s="1"/>
  <c r="R720" i="33" s="1"/>
  <c r="R721" i="33" s="1"/>
  <c r="R722" i="33" s="1"/>
  <c r="R723" i="33" s="1"/>
  <c r="R724" i="33" s="1"/>
  <c r="R725" i="33" s="1"/>
  <c r="R726" i="33" s="1"/>
  <c r="R727" i="33" s="1"/>
  <c r="R728" i="33" s="1"/>
  <c r="R729" i="33" s="1"/>
  <c r="R730" i="33" s="1"/>
  <c r="R731" i="33" s="1"/>
  <c r="R732" i="33" s="1"/>
  <c r="R733" i="33" s="1"/>
  <c r="R734" i="33" s="1"/>
  <c r="R735" i="33" s="1"/>
  <c r="R736" i="33" s="1"/>
  <c r="R737" i="33" s="1"/>
  <c r="R738" i="33" s="1"/>
  <c r="R739" i="33" s="1"/>
  <c r="R740" i="33" s="1"/>
  <c r="R741" i="33" s="1"/>
  <c r="R742" i="33" s="1"/>
  <c r="R743" i="33" s="1"/>
  <c r="R744" i="33" s="1"/>
  <c r="R745" i="33" s="1"/>
  <c r="R746" i="33" s="1"/>
  <c r="R747" i="33" s="1"/>
  <c r="R748" i="33" s="1"/>
  <c r="R749" i="33" s="1"/>
  <c r="R750" i="33" s="1"/>
  <c r="R751" i="33" s="1"/>
  <c r="R752" i="33" s="1"/>
  <c r="R753" i="33" s="1"/>
  <c r="R754" i="33" s="1"/>
  <c r="R755" i="33" s="1"/>
  <c r="R756" i="33" s="1"/>
  <c r="R757" i="33" s="1"/>
  <c r="R758" i="33" s="1"/>
  <c r="R759" i="33" s="1"/>
  <c r="R760" i="33" s="1"/>
  <c r="R761" i="33" s="1"/>
  <c r="R762" i="33" s="1"/>
  <c r="R763" i="33" s="1"/>
  <c r="R764" i="33" s="1"/>
  <c r="R765" i="33" s="1"/>
  <c r="R766" i="33" s="1"/>
  <c r="R767" i="33" s="1"/>
  <c r="R768" i="33" s="1"/>
  <c r="R769" i="33" s="1"/>
  <c r="R770" i="33" s="1"/>
  <c r="R771" i="33" s="1"/>
  <c r="R772" i="33" s="1"/>
  <c r="R773" i="33" s="1"/>
  <c r="R774" i="33" s="1"/>
  <c r="R775" i="33" s="1"/>
  <c r="R776" i="33" s="1"/>
  <c r="R777" i="33" s="1"/>
  <c r="R778" i="33" s="1"/>
  <c r="R779" i="33" s="1"/>
  <c r="R780" i="33" s="1"/>
  <c r="R781" i="33" s="1"/>
  <c r="R782" i="33" s="1"/>
  <c r="R783" i="33" s="1"/>
  <c r="R784" i="33" s="1"/>
  <c r="R785" i="33" s="1"/>
  <c r="R786" i="33" s="1"/>
  <c r="R787" i="33" s="1"/>
  <c r="R788" i="33" s="1"/>
  <c r="R789" i="33" s="1"/>
  <c r="R790" i="33" s="1"/>
  <c r="R791" i="33" s="1"/>
  <c r="R792" i="33" s="1"/>
  <c r="R793" i="33" s="1"/>
  <c r="R794" i="33" s="1"/>
  <c r="R795" i="33" s="1"/>
  <c r="R796" i="33" s="1"/>
  <c r="R797" i="33" s="1"/>
  <c r="R798" i="33" s="1"/>
  <c r="R799" i="33" s="1"/>
  <c r="R800" i="33" s="1"/>
  <c r="R801" i="33" s="1"/>
  <c r="R802" i="33" s="1"/>
  <c r="R803" i="33" s="1"/>
  <c r="R804" i="33" s="1"/>
  <c r="R805" i="33" s="1"/>
  <c r="R806" i="33" s="1"/>
  <c r="R807" i="33" s="1"/>
  <c r="R808" i="33" s="1"/>
  <c r="R809" i="33" s="1"/>
  <c r="R810" i="33" s="1"/>
  <c r="R811" i="33" s="1"/>
  <c r="R812" i="33" s="1"/>
  <c r="R813" i="33" s="1"/>
  <c r="R814" i="33" s="1"/>
  <c r="R815" i="33" s="1"/>
  <c r="R816" i="33" s="1"/>
  <c r="R817" i="33" s="1"/>
  <c r="R818" i="33" s="1"/>
  <c r="R819" i="33" s="1"/>
  <c r="R820" i="33" s="1"/>
  <c r="R821" i="33" s="1"/>
  <c r="R822" i="33" s="1"/>
  <c r="R823" i="33" s="1"/>
  <c r="R824" i="33" s="1"/>
  <c r="R825" i="33" s="1"/>
  <c r="R826" i="33" s="1"/>
  <c r="R827" i="33" s="1"/>
  <c r="R828" i="33" s="1"/>
  <c r="R829" i="33" s="1"/>
  <c r="R830" i="33" s="1"/>
  <c r="R831" i="33" s="1"/>
  <c r="R832" i="33" s="1"/>
  <c r="R833" i="33" s="1"/>
  <c r="R834" i="33" s="1"/>
  <c r="R835" i="33" s="1"/>
  <c r="R836" i="33" s="1"/>
  <c r="R837" i="33" s="1"/>
  <c r="R838" i="33" s="1"/>
  <c r="R839" i="33" s="1"/>
  <c r="R840" i="33" s="1"/>
  <c r="R841" i="33" s="1"/>
  <c r="R842" i="33" s="1"/>
  <c r="R843" i="33" s="1"/>
  <c r="R844" i="33" s="1"/>
  <c r="R845" i="33" s="1"/>
  <c r="R846" i="33" s="1"/>
  <c r="R847" i="33" s="1"/>
  <c r="R848" i="33" s="1"/>
  <c r="R849" i="33" s="1"/>
  <c r="R850" i="33" s="1"/>
  <c r="R851" i="33" s="1"/>
  <c r="R852" i="33" s="1"/>
  <c r="R853" i="33" s="1"/>
  <c r="R854" i="33" s="1"/>
  <c r="R855" i="33" s="1"/>
  <c r="R856" i="33" s="1"/>
  <c r="R857" i="33" s="1"/>
  <c r="R858" i="33" s="1"/>
  <c r="R859" i="33" s="1"/>
  <c r="R860" i="33" s="1"/>
  <c r="R861" i="33" s="1"/>
  <c r="R862" i="33" s="1"/>
  <c r="R863" i="33" s="1"/>
  <c r="R864" i="33" s="1"/>
  <c r="R865" i="33" s="1"/>
  <c r="R866" i="33" s="1"/>
  <c r="R867" i="33" s="1"/>
  <c r="R868" i="33" s="1"/>
  <c r="R869" i="33" s="1"/>
  <c r="R870" i="33" s="1"/>
  <c r="R871" i="33" s="1"/>
  <c r="R872" i="33" s="1"/>
  <c r="R873" i="33" s="1"/>
  <c r="R874" i="33" s="1"/>
  <c r="R875" i="33" s="1"/>
  <c r="R876" i="33" s="1"/>
  <c r="R877" i="33" s="1"/>
  <c r="R878" i="33" s="1"/>
  <c r="R879" i="33" s="1"/>
  <c r="R880" i="33" s="1"/>
  <c r="R881" i="33" s="1"/>
  <c r="R882" i="33" s="1"/>
  <c r="R883" i="33" s="1"/>
  <c r="R884" i="33" s="1"/>
  <c r="R885" i="33" s="1"/>
  <c r="R886" i="33" s="1"/>
  <c r="R887" i="33" s="1"/>
  <c r="R888" i="33" s="1"/>
  <c r="R889" i="33" s="1"/>
  <c r="R890" i="33" s="1"/>
  <c r="R891" i="33" s="1"/>
  <c r="R892" i="33" s="1"/>
  <c r="R893" i="33" s="1"/>
  <c r="R894" i="33" s="1"/>
  <c r="R895" i="33" s="1"/>
  <c r="R896" i="33" s="1"/>
  <c r="R897" i="33" s="1"/>
  <c r="R898" i="33" s="1"/>
  <c r="R899" i="33" s="1"/>
  <c r="R900" i="33" s="1"/>
  <c r="R901" i="33" s="1"/>
  <c r="R902" i="33" s="1"/>
  <c r="R903" i="33" s="1"/>
  <c r="R904" i="33" s="1"/>
  <c r="R905" i="33" s="1"/>
  <c r="R906" i="33" s="1"/>
  <c r="R907" i="33" s="1"/>
  <c r="R908" i="33" s="1"/>
  <c r="R909" i="33" s="1"/>
  <c r="R910" i="33" s="1"/>
  <c r="R911" i="33" s="1"/>
  <c r="R912" i="33" s="1"/>
  <c r="R913" i="33" s="1"/>
  <c r="R914" i="33" s="1"/>
  <c r="R915" i="33" s="1"/>
  <c r="R916" i="33" s="1"/>
  <c r="R917" i="33" s="1"/>
  <c r="R918" i="33" s="1"/>
  <c r="R919" i="33" s="1"/>
  <c r="R920" i="33" s="1"/>
  <c r="R921" i="33" s="1"/>
  <c r="R922" i="33" s="1"/>
  <c r="R923" i="33" s="1"/>
  <c r="R924" i="33" s="1"/>
  <c r="R925" i="33" s="1"/>
  <c r="R926" i="33" s="1"/>
  <c r="R927" i="33" s="1"/>
  <c r="R928" i="33" s="1"/>
  <c r="R929" i="33" s="1"/>
  <c r="R930" i="33" s="1"/>
  <c r="R931" i="33" s="1"/>
  <c r="R932" i="33" s="1"/>
  <c r="R933" i="33" s="1"/>
  <c r="R934" i="33" s="1"/>
  <c r="R935" i="33" s="1"/>
  <c r="R936" i="33" s="1"/>
  <c r="R937" i="33" s="1"/>
  <c r="R938" i="33" s="1"/>
  <c r="R939" i="33" s="1"/>
  <c r="R940" i="33" s="1"/>
  <c r="R941" i="33" s="1"/>
  <c r="R942" i="33" s="1"/>
  <c r="R943" i="33" s="1"/>
  <c r="R944" i="33" s="1"/>
  <c r="R945" i="33" s="1"/>
  <c r="R946" i="33" s="1"/>
  <c r="R947" i="33" s="1"/>
  <c r="R948" i="33" s="1"/>
  <c r="R949" i="33" s="1"/>
  <c r="R950" i="33" s="1"/>
  <c r="R951" i="33" s="1"/>
  <c r="R952" i="33" s="1"/>
  <c r="R953" i="33" s="1"/>
  <c r="R954" i="33" s="1"/>
  <c r="R955" i="33" s="1"/>
  <c r="R956" i="33" s="1"/>
  <c r="R957" i="33" s="1"/>
  <c r="R958" i="33" s="1"/>
  <c r="R959" i="33" s="1"/>
  <c r="R960" i="33" s="1"/>
  <c r="R961" i="33" s="1"/>
  <c r="R962" i="33" s="1"/>
  <c r="R963" i="33" s="1"/>
  <c r="R964" i="33" s="1"/>
  <c r="R965" i="33" s="1"/>
  <c r="R966" i="33" s="1"/>
  <c r="R967" i="33" s="1"/>
  <c r="R968" i="33" s="1"/>
  <c r="R969" i="33" s="1"/>
  <c r="R970" i="33" s="1"/>
  <c r="R971" i="33" s="1"/>
  <c r="R972" i="33" s="1"/>
  <c r="R973" i="33" s="1"/>
  <c r="R974" i="33" s="1"/>
  <c r="R975" i="33" s="1"/>
  <c r="R976" i="33" s="1"/>
  <c r="R977" i="33" s="1"/>
  <c r="R978" i="33" s="1"/>
  <c r="R979" i="33" s="1"/>
  <c r="R980" i="33" s="1"/>
  <c r="R981" i="33" s="1"/>
  <c r="R982" i="33" s="1"/>
  <c r="R983" i="33" s="1"/>
  <c r="R984" i="33" s="1"/>
  <c r="R985" i="33" s="1"/>
  <c r="R986" i="33" s="1"/>
  <c r="R987" i="33" s="1"/>
  <c r="R988" i="33" s="1"/>
  <c r="R989" i="33" s="1"/>
  <c r="R990" i="33" s="1"/>
  <c r="R991" i="33" s="1"/>
  <c r="R992" i="33" s="1"/>
  <c r="R993" i="33" s="1"/>
  <c r="R994" i="33" s="1"/>
  <c r="R995" i="33" s="1"/>
  <c r="R996" i="33" s="1"/>
  <c r="R997" i="33" s="1"/>
  <c r="R998" i="33" s="1"/>
  <c r="R999" i="33" s="1"/>
  <c r="R1000" i="33" s="1"/>
  <c r="R1001" i="33" s="1"/>
  <c r="R1002" i="33" s="1"/>
  <c r="R1003" i="33" s="1"/>
  <c r="R1004" i="33" s="1"/>
  <c r="R1005" i="33" s="1"/>
  <c r="R1006" i="33" s="1"/>
  <c r="R1007" i="33" s="1"/>
  <c r="R1008" i="33" s="1"/>
  <c r="R1009" i="33" s="1"/>
  <c r="R1010" i="33" s="1"/>
  <c r="R1011" i="33" s="1"/>
  <c r="R1012" i="33" s="1"/>
  <c r="R1013" i="33" s="1"/>
  <c r="R1014" i="33" s="1"/>
  <c r="R1015" i="33" s="1"/>
  <c r="R1016" i="33" s="1"/>
  <c r="R1017" i="33" s="1"/>
  <c r="R1018" i="33" s="1"/>
  <c r="R1019" i="33" s="1"/>
  <c r="R1020" i="33" s="1"/>
  <c r="R1021" i="33" s="1"/>
  <c r="R1022" i="33" s="1"/>
  <c r="R1023" i="33" s="1"/>
  <c r="R1024" i="33" s="1"/>
  <c r="R1025" i="33" s="1"/>
  <c r="R1026" i="33" s="1"/>
  <c r="R1027" i="33" s="1"/>
  <c r="R1028" i="33" s="1"/>
  <c r="R1029" i="33" s="1"/>
  <c r="R1030" i="33" s="1"/>
  <c r="R1031" i="33" s="1"/>
  <c r="R1032" i="33" s="1"/>
  <c r="R1033" i="33" s="1"/>
  <c r="R1034" i="33" s="1"/>
  <c r="R1035" i="33" s="1"/>
  <c r="R1036" i="33" s="1"/>
  <c r="R1037" i="33" s="1"/>
  <c r="R1038" i="33" s="1"/>
  <c r="R1039" i="33" s="1"/>
  <c r="R1040" i="33" s="1"/>
  <c r="R1041" i="33" s="1"/>
  <c r="R1042" i="33" s="1"/>
  <c r="R1043" i="33" s="1"/>
  <c r="R1044" i="33" s="1"/>
  <c r="R1045" i="33" s="1"/>
  <c r="R1046" i="33" s="1"/>
  <c r="R1047" i="33" s="1"/>
  <c r="R1048" i="33" s="1"/>
  <c r="R1049" i="33" s="1"/>
  <c r="R1050" i="33" s="1"/>
  <c r="R1051" i="33" s="1"/>
  <c r="R1052" i="33" s="1"/>
  <c r="R1053" i="33" s="1"/>
  <c r="R1054" i="33" s="1"/>
  <c r="R1055" i="33" s="1"/>
  <c r="R1056" i="33" s="1"/>
  <c r="R1057" i="33" s="1"/>
  <c r="R1058" i="33" s="1"/>
  <c r="R1059" i="33" s="1"/>
  <c r="R1060" i="33" s="1"/>
  <c r="R1061" i="33" s="1"/>
  <c r="R1062" i="33" s="1"/>
  <c r="R1063" i="33" s="1"/>
  <c r="R1064" i="33" s="1"/>
  <c r="R1065" i="33" s="1"/>
  <c r="R1066" i="33" s="1"/>
  <c r="R1067" i="33" s="1"/>
  <c r="R1068" i="33" s="1"/>
  <c r="R1069" i="33" s="1"/>
  <c r="R1070" i="33" s="1"/>
  <c r="R1072" i="33" l="1"/>
  <c r="R1073" i="33" s="1"/>
  <c r="R1074" i="33" s="1"/>
  <c r="R1075" i="33" s="1"/>
  <c r="R1076" i="33" s="1"/>
  <c r="R1077" i="33" s="1"/>
  <c r="R1078" i="33" s="1"/>
  <c r="R1079" i="33" s="1"/>
  <c r="R1080" i="33" s="1"/>
  <c r="R1081" i="33" s="1"/>
  <c r="R1082" i="33" s="1"/>
  <c r="R1083" i="33" s="1"/>
  <c r="R1084" i="33" s="1"/>
  <c r="R1085" i="33" s="1"/>
  <c r="R1086" i="33" s="1"/>
  <c r="R1087" i="33" s="1"/>
  <c r="R1088" i="33" s="1"/>
  <c r="R1089" i="33" s="1"/>
  <c r="R1090" i="33" s="1"/>
  <c r="R1091" i="33" s="1"/>
  <c r="R1092" i="33" s="1"/>
  <c r="R1093" i="33" s="1"/>
  <c r="R1094" i="33" s="1"/>
  <c r="R1095" i="33" s="1"/>
  <c r="R1096" i="33" s="1"/>
  <c r="R1097" i="33" s="1"/>
  <c r="R1098" i="33" s="1"/>
  <c r="R1099" i="33" s="1"/>
  <c r="R1100" i="33" s="1"/>
  <c r="R1101" i="33" s="1"/>
  <c r="R1102" i="33" s="1"/>
  <c r="R1103" i="33" s="1"/>
  <c r="R1104" i="33" s="1"/>
  <c r="R1105" i="33" s="1"/>
  <c r="R1106" i="33" s="1"/>
  <c r="R1107" i="33" s="1"/>
  <c r="R1108" i="33" s="1"/>
  <c r="R1109" i="33" s="1"/>
  <c r="R1110" i="33" s="1"/>
  <c r="R1111" i="33" s="1"/>
  <c r="R1112" i="33" s="1"/>
  <c r="R1113" i="33" s="1"/>
  <c r="R1114" i="33" s="1"/>
  <c r="R1115" i="33" s="1"/>
  <c r="R1116" i="33" s="1"/>
  <c r="R1117" i="33" s="1"/>
  <c r="R1118" i="33" s="1"/>
  <c r="R1119" i="33" s="1"/>
  <c r="R1120" i="33" s="1"/>
  <c r="R1121" i="33" s="1"/>
  <c r="R1122" i="33" s="1"/>
  <c r="R1123" i="33" s="1"/>
  <c r="R1124" i="33" s="1"/>
  <c r="R1125" i="33" s="1"/>
  <c r="R1126" i="33" s="1"/>
  <c r="R1127" i="33" s="1"/>
  <c r="R1128" i="33" s="1"/>
  <c r="R1129" i="33" s="1"/>
  <c r="R1130" i="33" s="1"/>
  <c r="R1131" i="33" s="1"/>
  <c r="R1132" i="33" s="1"/>
  <c r="R1133" i="33" s="1"/>
  <c r="R1134" i="33" s="1"/>
  <c r="R1135" i="33" s="1"/>
  <c r="R1136" i="33" s="1"/>
  <c r="R1137" i="33" s="1"/>
  <c r="R1138" i="33" s="1"/>
  <c r="R1139" i="33" s="1"/>
  <c r="R1140" i="33" s="1"/>
  <c r="R1141" i="33" s="1"/>
  <c r="R1142" i="33" s="1"/>
  <c r="R1143" i="33" s="1"/>
  <c r="R1144" i="33" s="1"/>
  <c r="R1145" i="33" s="1"/>
  <c r="R1146" i="33" s="1"/>
  <c r="R1147" i="33" s="1"/>
  <c r="R1148" i="33" s="1"/>
  <c r="R1149" i="33" s="1"/>
  <c r="R1150" i="33" s="1"/>
  <c r="R1151" i="33" s="1"/>
  <c r="R1152" i="33" s="1"/>
  <c r="R1153" i="33" s="1"/>
  <c r="R1154" i="33" s="1"/>
  <c r="R1155" i="33" s="1"/>
  <c r="R1156" i="33" s="1"/>
  <c r="R1157" i="33" s="1"/>
  <c r="R1158" i="33" s="1"/>
  <c r="R1159" i="33" s="1"/>
  <c r="R1160" i="33" s="1"/>
  <c r="R1161" i="33" s="1"/>
  <c r="R1162" i="33" s="1"/>
  <c r="R1163" i="33" s="1"/>
  <c r="R1164" i="33" s="1"/>
  <c r="R1165" i="33" s="1"/>
  <c r="R1166" i="33" s="1"/>
  <c r="R1167" i="33" s="1"/>
  <c r="R1168" i="33" s="1"/>
  <c r="R1169" i="33" s="1"/>
  <c r="R1170" i="33" s="1"/>
  <c r="R1171" i="33" s="1"/>
  <c r="R1172" i="33" s="1"/>
  <c r="R1173" i="33" s="1"/>
  <c r="R1174" i="33" s="1"/>
  <c r="R1175" i="33" s="1"/>
  <c r="R1176" i="33" s="1"/>
  <c r="R1177" i="33" s="1"/>
  <c r="R1178" i="33" s="1"/>
  <c r="R1179" i="33" s="1"/>
  <c r="R1180" i="33" s="1"/>
  <c r="R1181" i="33" s="1"/>
  <c r="R1182" i="33" s="1"/>
  <c r="R1183" i="33" s="1"/>
  <c r="R1184" i="33" s="1"/>
  <c r="R1185" i="33" s="1"/>
  <c r="R1186" i="33" s="1"/>
  <c r="R1187" i="33" s="1"/>
  <c r="R1188" i="33" s="1"/>
  <c r="R1189" i="33" s="1"/>
  <c r="R1190" i="33" s="1"/>
  <c r="R1191" i="33" s="1"/>
  <c r="R1192" i="33" s="1"/>
  <c r="R1193" i="33" s="1"/>
  <c r="R1194" i="33" s="1"/>
  <c r="R1195" i="33" s="1"/>
  <c r="R1196" i="33" s="1"/>
  <c r="R1197" i="33" s="1"/>
  <c r="R1198" i="33" s="1"/>
  <c r="R1199" i="33" s="1"/>
  <c r="R1200" i="33" s="1"/>
  <c r="R1201" i="33" s="1"/>
  <c r="R1202" i="33" s="1"/>
  <c r="R1203" i="33" s="1"/>
  <c r="R1204" i="33" s="1"/>
  <c r="R1205" i="33" s="1"/>
  <c r="R1206" i="33" s="1"/>
  <c r="R1207" i="33" s="1"/>
  <c r="R1208" i="33" s="1"/>
  <c r="R1209" i="33" s="1"/>
  <c r="R1210" i="33" s="1"/>
  <c r="R1211" i="33" s="1"/>
  <c r="R1212" i="33" s="1"/>
  <c r="R1213" i="33" s="1"/>
  <c r="R1214" i="33" s="1"/>
  <c r="R1215" i="33" s="1"/>
  <c r="R1216" i="33" s="1"/>
  <c r="R1217" i="33" s="1"/>
  <c r="R1218" i="33" s="1"/>
  <c r="R1219" i="33" s="1"/>
  <c r="R1220" i="33" s="1"/>
  <c r="R1221" i="33" s="1"/>
  <c r="R1222" i="33" s="1"/>
  <c r="R1223" i="33" s="1"/>
  <c r="R1224" i="33" s="1"/>
  <c r="R1225" i="33" s="1"/>
  <c r="R1226" i="33" s="1"/>
  <c r="R1227" i="33" s="1"/>
  <c r="R1228" i="33" s="1"/>
  <c r="R1229" i="33" s="1"/>
  <c r="R1230" i="33" s="1"/>
  <c r="R1231" i="33" s="1"/>
  <c r="R1232" i="33" s="1"/>
  <c r="R1233" i="33" s="1"/>
  <c r="R1234" i="33" s="1"/>
  <c r="R1235" i="33" s="1"/>
  <c r="R1236" i="33" s="1"/>
  <c r="R1237" i="33" s="1"/>
  <c r="R1238" i="33" s="1"/>
  <c r="R1239" i="33" s="1"/>
  <c r="R1240" i="33" s="1"/>
  <c r="R1241" i="33" s="1"/>
  <c r="R1242" i="33" s="1"/>
  <c r="R1243" i="33" s="1"/>
  <c r="R1244" i="33" s="1"/>
  <c r="R1245" i="33" s="1"/>
  <c r="R1246" i="33" s="1"/>
  <c r="R1247" i="33" s="1"/>
  <c r="R1248" i="33" s="1"/>
  <c r="R1249" i="33" s="1"/>
  <c r="R1250" i="33" s="1"/>
  <c r="R1251" i="33" s="1"/>
  <c r="R1252" i="33" s="1"/>
  <c r="R1253" i="33" s="1"/>
  <c r="R1254" i="33" s="1"/>
  <c r="R1255" i="33" s="1"/>
  <c r="R1256" i="33" s="1"/>
  <c r="R1257" i="33" s="1"/>
  <c r="R1258" i="33" s="1"/>
  <c r="R1259" i="33" s="1"/>
  <c r="R1260" i="33" s="1"/>
  <c r="R1261" i="33" s="1"/>
  <c r="R1262" i="33" s="1"/>
  <c r="R1263" i="33" s="1"/>
  <c r="R1264" i="33" s="1"/>
  <c r="R1265" i="33" s="1"/>
  <c r="R1266" i="33" s="1"/>
  <c r="R1267" i="33" s="1"/>
  <c r="R1268" i="33" s="1"/>
  <c r="R1269" i="33" s="1"/>
  <c r="R1270" i="33" s="1"/>
  <c r="R1271" i="33" s="1"/>
  <c r="R1272" i="33" s="1"/>
  <c r="R1273" i="33" s="1"/>
  <c r="R1274" i="33" s="1"/>
  <c r="R1275" i="33" s="1"/>
  <c r="R1276" i="33" s="1"/>
  <c r="R1277" i="33" s="1"/>
  <c r="R1278" i="33" s="1"/>
  <c r="R1279" i="33" s="1"/>
  <c r="R1280" i="33" s="1"/>
  <c r="R1281" i="33" s="1"/>
  <c r="R1282" i="33" s="1"/>
  <c r="R1283" i="33" s="1"/>
  <c r="R1284" i="33" s="1"/>
  <c r="R1285" i="33" s="1"/>
  <c r="R1286" i="33" s="1"/>
  <c r="R1287" i="33" s="1"/>
  <c r="R1288" i="33" s="1"/>
  <c r="R1289" i="33" s="1"/>
  <c r="R1290" i="33" s="1"/>
  <c r="R1291" i="33" s="1"/>
  <c r="R1292" i="33" s="1"/>
  <c r="R1293" i="33" s="1"/>
  <c r="R1294" i="33" s="1"/>
  <c r="R1295" i="33" s="1"/>
  <c r="R1296" i="33" s="1"/>
  <c r="R1297" i="33" s="1"/>
  <c r="R1298" i="33" s="1"/>
  <c r="R1299" i="33" s="1"/>
  <c r="R1300" i="33" s="1"/>
  <c r="R1301" i="33" s="1"/>
  <c r="R1302" i="33" s="1"/>
  <c r="R1303" i="33" s="1"/>
  <c r="R1304" i="33" s="1"/>
  <c r="R1305" i="33" s="1"/>
  <c r="R1306" i="33" s="1"/>
  <c r="R1307" i="33" s="1"/>
  <c r="R1308" i="33" s="1"/>
  <c r="R1309" i="33" s="1"/>
  <c r="R1310" i="33" s="1"/>
  <c r="R1311" i="33" s="1"/>
  <c r="R1312" i="33" s="1"/>
  <c r="R1313" i="33" s="1"/>
  <c r="R1314" i="33" s="1"/>
  <c r="R1315" i="33" s="1"/>
  <c r="R1316" i="33" s="1"/>
  <c r="R1317" i="33" s="1"/>
  <c r="R1318" i="33" s="1"/>
  <c r="R1319" i="33" s="1"/>
  <c r="R1320" i="33" s="1"/>
  <c r="R1321" i="33" s="1"/>
  <c r="R1322" i="33" s="1"/>
  <c r="R1323" i="33" s="1"/>
  <c r="R1324" i="33" s="1"/>
  <c r="R1325" i="33" s="1"/>
  <c r="R1326" i="33" s="1"/>
  <c r="R1327" i="33" s="1"/>
  <c r="R1328" i="33" s="1"/>
  <c r="R1329" i="33" s="1"/>
  <c r="R1330" i="33" s="1"/>
  <c r="R1331" i="33" s="1"/>
  <c r="R1332" i="33" s="1"/>
  <c r="R1333" i="33" s="1"/>
  <c r="R1334" i="33" s="1"/>
  <c r="R1335" i="33" s="1"/>
  <c r="R1336" i="33" s="1"/>
  <c r="R1337" i="33" s="1"/>
  <c r="R1338" i="33" s="1"/>
  <c r="R1339" i="33" s="1"/>
  <c r="R1340" i="33" s="1"/>
  <c r="R1341" i="33" s="1"/>
  <c r="R1342" i="33" s="1"/>
  <c r="R1343" i="33" s="1"/>
  <c r="R1344" i="33" s="1"/>
  <c r="R1345" i="33" s="1"/>
  <c r="R1346" i="33" s="1"/>
  <c r="R1347" i="33" s="1"/>
  <c r="R1348" i="33" s="1"/>
  <c r="R1349" i="33" s="1"/>
  <c r="R1350" i="33" s="1"/>
  <c r="R1351" i="33" s="1"/>
  <c r="R1352" i="33" s="1"/>
  <c r="R1353" i="33" s="1"/>
  <c r="R1354" i="33" s="1"/>
  <c r="R1355" i="33" s="1"/>
  <c r="R1356" i="33" s="1"/>
  <c r="R1357" i="33" s="1"/>
  <c r="R1358" i="33" s="1"/>
  <c r="R1359" i="33" s="1"/>
  <c r="R1360" i="33" s="1"/>
  <c r="R1361" i="33" s="1"/>
  <c r="R1362" i="33" s="1"/>
  <c r="R1363" i="33" s="1"/>
  <c r="R1364" i="33" s="1"/>
  <c r="R1365" i="33" s="1"/>
  <c r="R1366" i="33" s="1"/>
  <c r="R1367" i="33" s="1"/>
  <c r="R1368" i="33" s="1"/>
  <c r="R1369" i="33" s="1"/>
  <c r="R1370" i="33" s="1"/>
  <c r="R1371" i="33" s="1"/>
  <c r="R1372" i="33" s="1"/>
  <c r="R1373" i="33" s="1"/>
  <c r="R1374" i="33" s="1"/>
  <c r="R1375" i="33" s="1"/>
  <c r="R1376" i="33" s="1"/>
  <c r="R1377" i="33" s="1"/>
  <c r="R1378" i="33" s="1"/>
  <c r="R1379" i="33" s="1"/>
  <c r="R1380" i="33" s="1"/>
  <c r="R1381" i="33" s="1"/>
  <c r="R1382" i="33" s="1"/>
  <c r="R1383" i="33" s="1"/>
  <c r="R1384" i="33" s="1"/>
  <c r="R1385" i="33" s="1"/>
  <c r="R1386" i="33" s="1"/>
  <c r="R1387" i="33" s="1"/>
  <c r="R1388" i="33" s="1"/>
  <c r="R1389" i="33" s="1"/>
  <c r="R1390" i="33" s="1"/>
  <c r="R1391" i="33" s="1"/>
  <c r="R1392" i="33" s="1"/>
  <c r="R1393" i="33" s="1"/>
  <c r="R1394" i="33" s="1"/>
  <c r="R1395" i="33" s="1"/>
  <c r="R1396" i="33" s="1"/>
  <c r="R1397" i="33" s="1"/>
  <c r="R1398" i="33" s="1"/>
  <c r="R1399" i="33" s="1"/>
  <c r="R1400" i="33" s="1"/>
  <c r="R1401" i="33" s="1"/>
  <c r="R1402" i="33" s="1"/>
  <c r="R1403" i="33" s="1"/>
  <c r="R1404" i="33" s="1"/>
  <c r="R1405" i="33" s="1"/>
  <c r="R1406" i="33" s="1"/>
  <c r="R1407" i="33" s="1"/>
  <c r="R1408" i="33" s="1"/>
  <c r="R1409" i="33" s="1"/>
  <c r="R1410" i="33" s="1"/>
  <c r="R1411" i="33" s="1"/>
  <c r="R1412" i="33" s="1"/>
  <c r="R1413" i="33" s="1"/>
  <c r="R1414" i="33" s="1"/>
  <c r="R1415" i="33" s="1"/>
  <c r="R1416" i="33" s="1"/>
  <c r="R1417" i="33" s="1"/>
  <c r="R1418" i="33" s="1"/>
  <c r="R1419" i="33" s="1"/>
  <c r="R1420" i="33" s="1"/>
  <c r="R1421" i="33" s="1"/>
  <c r="R1422" i="33" s="1"/>
  <c r="R1423" i="33" s="1"/>
  <c r="R1424" i="33" s="1"/>
  <c r="R1425" i="33" s="1"/>
  <c r="R1426" i="33" s="1"/>
  <c r="R1427" i="33" s="1"/>
  <c r="R1428" i="33" s="1"/>
  <c r="R1429" i="33" s="1"/>
  <c r="R1430" i="33" s="1"/>
  <c r="R1431" i="33" s="1"/>
  <c r="R1432" i="33" s="1"/>
  <c r="R1433" i="33" s="1"/>
  <c r="R1434" i="33" s="1"/>
  <c r="R1435" i="33" s="1"/>
  <c r="R1436" i="33" s="1"/>
  <c r="R1437" i="33" s="1"/>
  <c r="R1438" i="33" s="1"/>
  <c r="R1439" i="33" s="1"/>
  <c r="R1440" i="33" s="1"/>
  <c r="R1441" i="33" s="1"/>
  <c r="R1442" i="33" s="1"/>
  <c r="R1443" i="33" s="1"/>
  <c r="R1444" i="33" s="1"/>
  <c r="R1445" i="33" s="1"/>
  <c r="R1446" i="33" s="1"/>
  <c r="R1447" i="33" s="1"/>
  <c r="R1448" i="33" s="1"/>
  <c r="R1449" i="33" s="1"/>
  <c r="R1450" i="33" s="1"/>
  <c r="R1451" i="33" s="1"/>
  <c r="R1452" i="33" s="1"/>
  <c r="R1453" i="33" s="1"/>
  <c r="R1454" i="33" s="1"/>
  <c r="R1455" i="33" s="1"/>
  <c r="R1456" i="33" s="1"/>
  <c r="R1457" i="33" s="1"/>
  <c r="R1458" i="33" s="1"/>
  <c r="R1459" i="33" s="1"/>
  <c r="R1460" i="33" s="1"/>
  <c r="R1461" i="33" s="1"/>
  <c r="R1462" i="33" s="1"/>
  <c r="R1463" i="33" s="1"/>
  <c r="R1464" i="33" s="1"/>
  <c r="R1465" i="33" s="1"/>
  <c r="R1466" i="33" s="1"/>
  <c r="R1467" i="33" s="1"/>
  <c r="R1468" i="33" s="1"/>
  <c r="R1469" i="33" s="1"/>
  <c r="R1470" i="33" s="1"/>
  <c r="R1471" i="33" s="1"/>
  <c r="R1472" i="33" s="1"/>
  <c r="R1473" i="33" s="1"/>
  <c r="R1474" i="33" s="1"/>
  <c r="R1475" i="33" s="1"/>
  <c r="R1476" i="33" s="1"/>
  <c r="R1477" i="33" s="1"/>
  <c r="R1478" i="33" s="1"/>
  <c r="R1479" i="33" s="1"/>
  <c r="R1480" i="33" s="1"/>
  <c r="R1481" i="33" s="1"/>
  <c r="R1482" i="33" s="1"/>
  <c r="R1483" i="33" s="1"/>
  <c r="R1484" i="33" s="1"/>
  <c r="R1485" i="33" s="1"/>
  <c r="R1486" i="33" s="1"/>
  <c r="R1487" i="33" s="1"/>
  <c r="R1488" i="33" s="1"/>
  <c r="R1489" i="33" s="1"/>
  <c r="R1490" i="33" s="1"/>
  <c r="R1491" i="33" s="1"/>
  <c r="R1492" i="33" s="1"/>
  <c r="R1493" i="33" s="1"/>
  <c r="R1494" i="33" s="1"/>
  <c r="R1495" i="33" s="1"/>
  <c r="R1496" i="33" s="1"/>
  <c r="R1497" i="33" s="1"/>
  <c r="R1498" i="33" s="1"/>
  <c r="R1499" i="33" s="1"/>
  <c r="R1500" i="33" s="1"/>
  <c r="R1501" i="33" s="1"/>
  <c r="R1502" i="33" s="1"/>
  <c r="R1503" i="33" s="1"/>
  <c r="R1504" i="33" s="1"/>
  <c r="R1505" i="33" s="1"/>
  <c r="R1506" i="33" s="1"/>
  <c r="R1507" i="33" s="1"/>
  <c r="R1508" i="33" s="1"/>
  <c r="R1509" i="33" s="1"/>
  <c r="R1510" i="33" s="1"/>
  <c r="R1511" i="33" s="1"/>
  <c r="R1512" i="33" s="1"/>
  <c r="R1513" i="33" s="1"/>
  <c r="R1514" i="33" s="1"/>
  <c r="R1515" i="33" s="1"/>
  <c r="R1516" i="33" s="1"/>
  <c r="R1517" i="33" s="1"/>
  <c r="R1518" i="33" s="1"/>
  <c r="R1519" i="33" s="1"/>
  <c r="R1520" i="33" s="1"/>
  <c r="R1521" i="33" s="1"/>
  <c r="R1522" i="33" s="1"/>
  <c r="R1523" i="33" s="1"/>
  <c r="R1524" i="33" s="1"/>
  <c r="R1525" i="33" s="1"/>
  <c r="R1526" i="33" s="1"/>
  <c r="R1527" i="33" s="1"/>
  <c r="R1528" i="33" s="1"/>
  <c r="R1529" i="33" s="1"/>
  <c r="R1530" i="33" s="1"/>
  <c r="R1531" i="33" s="1"/>
  <c r="R1532" i="33" s="1"/>
  <c r="R1533" i="33" s="1"/>
  <c r="R1534" i="33" s="1"/>
  <c r="R1535" i="33" s="1"/>
  <c r="R1536" i="33" s="1"/>
  <c r="R1537" i="33" s="1"/>
  <c r="R1538" i="33" s="1"/>
  <c r="R1539" i="33" s="1"/>
  <c r="R1540" i="33" s="1"/>
  <c r="R1541" i="33" s="1"/>
  <c r="R1542" i="33" s="1"/>
  <c r="R1543" i="33" s="1"/>
  <c r="R1544" i="33" s="1"/>
  <c r="R1545" i="33" s="1"/>
  <c r="R1546" i="33" s="1"/>
  <c r="R1547" i="33" s="1"/>
  <c r="R1548" i="33" s="1"/>
  <c r="R1549" i="33" s="1"/>
  <c r="R1550" i="33" s="1"/>
  <c r="R1551" i="33" s="1"/>
  <c r="R1552" i="33" s="1"/>
  <c r="R1553" i="33" s="1"/>
  <c r="R1554" i="33" s="1"/>
  <c r="R1555" i="33" s="1"/>
  <c r="R1556" i="33" s="1"/>
  <c r="R1557" i="33" s="1"/>
  <c r="R1558" i="33" s="1"/>
  <c r="R1559" i="33" s="1"/>
  <c r="R1560" i="33" s="1"/>
  <c r="R1561" i="33" s="1"/>
  <c r="R1562" i="33" s="1"/>
  <c r="R1563" i="33" s="1"/>
  <c r="R1564" i="33" s="1"/>
  <c r="R1565" i="33" s="1"/>
  <c r="R1566" i="33" s="1"/>
  <c r="R1567" i="33" s="1"/>
  <c r="R1568" i="33" s="1"/>
  <c r="R1569" i="33" s="1"/>
  <c r="R1570" i="33" s="1"/>
  <c r="R1571" i="33" s="1"/>
  <c r="R1572" i="33" s="1"/>
  <c r="R1573" i="33" s="1"/>
  <c r="R1574" i="33" s="1"/>
  <c r="R1575" i="33" s="1"/>
  <c r="R1576" i="33" s="1"/>
  <c r="R1577" i="33" s="1"/>
  <c r="R1578" i="33" s="1"/>
  <c r="R1579" i="33" s="1"/>
  <c r="R1580" i="33" s="1"/>
  <c r="R1581" i="33" s="1"/>
  <c r="R1582" i="33" s="1"/>
  <c r="R1583" i="33" s="1"/>
  <c r="R1584" i="33" s="1"/>
  <c r="R1585" i="33" s="1"/>
  <c r="R1586" i="33" s="1"/>
  <c r="R1587" i="33" s="1"/>
  <c r="R1588" i="33" s="1"/>
  <c r="R1589" i="33" s="1"/>
  <c r="R1590" i="33" s="1"/>
  <c r="R1591" i="33" s="1"/>
  <c r="R1592" i="33" s="1"/>
  <c r="R1593" i="33" s="1"/>
  <c r="R1594" i="33" s="1"/>
  <c r="R1595" i="33" s="1"/>
  <c r="R1596" i="33" s="1"/>
  <c r="R1597" i="33" s="1"/>
  <c r="R1598" i="33" s="1"/>
  <c r="R1599" i="33" s="1"/>
  <c r="R1600" i="33" s="1"/>
  <c r="R1601" i="33" s="1"/>
  <c r="R1602" i="33" s="1"/>
  <c r="R1603" i="33" s="1"/>
  <c r="R1604" i="33" s="1"/>
  <c r="R1605" i="33" s="1"/>
  <c r="R1606" i="33" s="1"/>
  <c r="R1607" i="33" s="1"/>
  <c r="R1608" i="33" s="1"/>
  <c r="R1609" i="33" s="1"/>
  <c r="R1610" i="33" s="1"/>
  <c r="R1611" i="33" s="1"/>
  <c r="R1612" i="33" s="1"/>
  <c r="R1613" i="33" s="1"/>
  <c r="R1614" i="33" s="1"/>
  <c r="R1615" i="33" s="1"/>
  <c r="R1616" i="33" s="1"/>
  <c r="R1617" i="33" s="1"/>
  <c r="R1618" i="33" s="1"/>
  <c r="R1619" i="33" s="1"/>
  <c r="R1620" i="33" s="1"/>
  <c r="R1621" i="33" s="1"/>
  <c r="R1622" i="33" s="1"/>
  <c r="R1623" i="33" s="1"/>
  <c r="R1624" i="33" s="1"/>
  <c r="R1625" i="33" s="1"/>
  <c r="R1626" i="33" s="1"/>
  <c r="R1627" i="33" s="1"/>
  <c r="R1628" i="33" s="1"/>
  <c r="R1629" i="33" s="1"/>
  <c r="R1630" i="33" s="1"/>
  <c r="R1631" i="33" s="1"/>
  <c r="R1632" i="33" s="1"/>
  <c r="R1633" i="33" s="1"/>
  <c r="R1634" i="33" s="1"/>
  <c r="R1635" i="33" s="1"/>
  <c r="R1636" i="33" s="1"/>
  <c r="R1637" i="33" s="1"/>
  <c r="R1638" i="33" s="1"/>
  <c r="R1639" i="33" s="1"/>
  <c r="R1640" i="33" s="1"/>
  <c r="R1641" i="33" s="1"/>
  <c r="R1642" i="33" s="1"/>
  <c r="R1643" i="33" s="1"/>
  <c r="R1644" i="33" s="1"/>
  <c r="R1645" i="33" s="1"/>
  <c r="R1646" i="33" s="1"/>
  <c r="R1647" i="33" s="1"/>
  <c r="R1648" i="33" s="1"/>
  <c r="R1649" i="33" s="1"/>
  <c r="R1650" i="33" s="1"/>
  <c r="R1651" i="33" s="1"/>
  <c r="R1652" i="33" s="1"/>
  <c r="R1653" i="33" s="1"/>
  <c r="R1654" i="33" s="1"/>
  <c r="R1655" i="33" s="1"/>
  <c r="R1656" i="33" s="1"/>
  <c r="R1657" i="33" s="1"/>
  <c r="R1658" i="33" s="1"/>
  <c r="R1659" i="33" s="1"/>
  <c r="R1660" i="33" s="1"/>
  <c r="R1661" i="33" s="1"/>
  <c r="R1662" i="33" s="1"/>
  <c r="R1663" i="33" s="1"/>
  <c r="R1664" i="33" s="1"/>
  <c r="R1665" i="33" s="1"/>
  <c r="R1666" i="33" s="1"/>
  <c r="R1667" i="33" s="1"/>
  <c r="R1668" i="33" s="1"/>
  <c r="R1669" i="33" s="1"/>
  <c r="R1670" i="33" s="1"/>
  <c r="R1671" i="33" s="1"/>
  <c r="R1672" i="33" s="1"/>
  <c r="R1673" i="33" s="1"/>
  <c r="R1674" i="33" s="1"/>
  <c r="R1675" i="33" s="1"/>
  <c r="R1676" i="33" s="1"/>
  <c r="R1677" i="33" s="1"/>
  <c r="R1678" i="33" s="1"/>
  <c r="R1679" i="33" s="1"/>
  <c r="R1680" i="33" s="1"/>
  <c r="R1681" i="33" s="1"/>
  <c r="R1682" i="33" s="1"/>
  <c r="R1683" i="33" s="1"/>
  <c r="R1684" i="33" s="1"/>
  <c r="R1685" i="33" s="1"/>
  <c r="R1686" i="33" s="1"/>
  <c r="R1687" i="33" s="1"/>
  <c r="R1688" i="33" s="1"/>
  <c r="R1689" i="33" s="1"/>
  <c r="R1690" i="33" s="1"/>
  <c r="R1691" i="33" s="1"/>
  <c r="R1692" i="33" s="1"/>
  <c r="R1693" i="33" s="1"/>
  <c r="R1694" i="33" s="1"/>
  <c r="R1695" i="33" s="1"/>
  <c r="R1696" i="33" s="1"/>
  <c r="R1697" i="33" s="1"/>
  <c r="R1698" i="33" s="1"/>
  <c r="R1699" i="33" s="1"/>
  <c r="R1700" i="33" s="1"/>
  <c r="R1701" i="33" s="1"/>
  <c r="R1702" i="33" s="1"/>
  <c r="R1703" i="33" s="1"/>
  <c r="R1704" i="33" s="1"/>
  <c r="R1705" i="33" s="1"/>
  <c r="R1706" i="33" s="1"/>
  <c r="R1707" i="33" s="1"/>
  <c r="R1708" i="33" s="1"/>
  <c r="R1709" i="33" s="1"/>
  <c r="R1710" i="33" s="1"/>
  <c r="R1711" i="33" s="1"/>
  <c r="R1712" i="33" s="1"/>
  <c r="R1713" i="33" s="1"/>
  <c r="R1714" i="33" s="1"/>
  <c r="R1715" i="33" s="1"/>
  <c r="R1716" i="33" s="1"/>
  <c r="R1717" i="33" s="1"/>
  <c r="R1718" i="33" s="1"/>
  <c r="R1719" i="33" s="1"/>
  <c r="R1720" i="33" s="1"/>
  <c r="R1721" i="33" s="1"/>
  <c r="R1722" i="33" s="1"/>
  <c r="R1723" i="33" s="1"/>
  <c r="R1724" i="33" s="1"/>
  <c r="R1725" i="33" s="1"/>
  <c r="R1726" i="33" s="1"/>
  <c r="R1727" i="33" s="1"/>
  <c r="R1728" i="33" s="1"/>
  <c r="R1729" i="33" s="1"/>
  <c r="R1730" i="33" s="1"/>
  <c r="R1731" i="33" s="1"/>
  <c r="R1732" i="33" s="1"/>
  <c r="R1733" i="33" s="1"/>
  <c r="R1734" i="33" s="1"/>
  <c r="R1735" i="33" s="1"/>
  <c r="R1736" i="33" s="1"/>
  <c r="R1737" i="33" s="1"/>
  <c r="R1738" i="33" s="1"/>
  <c r="R1739" i="33" s="1"/>
  <c r="R1740" i="33" s="1"/>
  <c r="R1741" i="33" s="1"/>
  <c r="R1742" i="33" s="1"/>
  <c r="R1743" i="33" s="1"/>
  <c r="R1744" i="33" s="1"/>
  <c r="R1745" i="33" s="1"/>
  <c r="R1746" i="33" s="1"/>
  <c r="R1747" i="33" s="1"/>
  <c r="R1748" i="33" s="1"/>
  <c r="R1749" i="33" s="1"/>
  <c r="R1750" i="33" s="1"/>
  <c r="R1751" i="33" s="1"/>
  <c r="R1752" i="33" s="1"/>
  <c r="R1753" i="33" s="1"/>
  <c r="R1754" i="33" s="1"/>
  <c r="R1755" i="33" s="1"/>
  <c r="R1756" i="33" s="1"/>
  <c r="R1757" i="33" s="1"/>
  <c r="R1758" i="33" s="1"/>
  <c r="R1760" i="33" s="1"/>
  <c r="R1761" i="33" s="1"/>
  <c r="R1762" i="33" s="1"/>
  <c r="R1763" i="33" s="1"/>
  <c r="R1764" i="33" s="1"/>
  <c r="R1765" i="33" s="1"/>
  <c r="R1766" i="33" s="1"/>
  <c r="R1767" i="33" s="1"/>
  <c r="R1768" i="33" s="1"/>
  <c r="R1769" i="33" s="1"/>
  <c r="R1770" i="33" s="1"/>
  <c r="R1771" i="33" s="1"/>
  <c r="R1772" i="33" s="1"/>
  <c r="R1773" i="33" s="1"/>
  <c r="R1774" i="33" s="1"/>
  <c r="R1775" i="33" s="1"/>
  <c r="R1776" i="33" s="1"/>
  <c r="R1777" i="33" s="1"/>
  <c r="R1778" i="33" s="1"/>
  <c r="R1779" i="33" s="1"/>
  <c r="R1780" i="33" s="1"/>
  <c r="R1781" i="33" s="1"/>
  <c r="R1782" i="33" s="1"/>
  <c r="R1783" i="33" s="1"/>
  <c r="R1784" i="33" s="1"/>
  <c r="R1785" i="33" s="1"/>
  <c r="R1786" i="33" s="1"/>
  <c r="R1787" i="33" s="1"/>
  <c r="R1788" i="33" s="1"/>
  <c r="R1789" i="33" s="1"/>
  <c r="R1790" i="33" s="1"/>
  <c r="R1791" i="33" s="1"/>
  <c r="R1792" i="33" s="1"/>
  <c r="R1793" i="33" s="1"/>
  <c r="R1794" i="33" s="1"/>
  <c r="R1795" i="33" s="1"/>
  <c r="R1796" i="33" s="1"/>
  <c r="R1797" i="33" s="1"/>
  <c r="R1798" i="33" s="1"/>
  <c r="R1799" i="33" s="1"/>
  <c r="R1800" i="33" s="1"/>
  <c r="R1801" i="33" s="1"/>
  <c r="R1802" i="33" s="1"/>
  <c r="R1803" i="33" s="1"/>
  <c r="R1804" i="33" s="1"/>
  <c r="R1805" i="33" s="1"/>
  <c r="R1806" i="33" s="1"/>
  <c r="R1807" i="33" s="1"/>
  <c r="R1808" i="33" s="1"/>
  <c r="R1809" i="33" s="1"/>
  <c r="R1810" i="33" s="1"/>
  <c r="R1811" i="33" s="1"/>
  <c r="R1812" i="33" s="1"/>
  <c r="R1813" i="33" s="1"/>
  <c r="R1814" i="33" s="1"/>
  <c r="R1815" i="33" s="1"/>
  <c r="R1816" i="33" s="1"/>
  <c r="R1817" i="33" s="1"/>
  <c r="R1818" i="33" s="1"/>
  <c r="R1819" i="33" s="1"/>
  <c r="R1820" i="33" s="1"/>
  <c r="R1821" i="33" s="1"/>
  <c r="R1822" i="33" s="1"/>
  <c r="R1823" i="33" s="1"/>
  <c r="R1824" i="33" s="1"/>
  <c r="R1825" i="33" s="1"/>
  <c r="R1826" i="33" s="1"/>
  <c r="R1827" i="33" s="1"/>
  <c r="R1828" i="33" s="1"/>
  <c r="R1829" i="33" s="1"/>
  <c r="R1830" i="33" s="1"/>
  <c r="R1831" i="33" s="1"/>
  <c r="R1832" i="33" s="1"/>
  <c r="R1833" i="33" s="1"/>
  <c r="R1834" i="33" s="1"/>
  <c r="R1835" i="33" s="1"/>
  <c r="R1836" i="33" s="1"/>
  <c r="R1837" i="33" s="1"/>
  <c r="R1838" i="33" s="1"/>
  <c r="R1839" i="33" s="1"/>
  <c r="R1840" i="33" s="1"/>
  <c r="R1841" i="33" s="1"/>
  <c r="R1842" i="33" s="1"/>
  <c r="R1843" i="33" s="1"/>
  <c r="R1844" i="33" s="1"/>
  <c r="R1845" i="33" s="1"/>
  <c r="R1846" i="33" s="1"/>
  <c r="R1847" i="33" s="1"/>
  <c r="R1848" i="33" s="1"/>
  <c r="R1071" i="33"/>
  <c r="R1849" i="33" l="1"/>
  <c r="R1850" i="33" s="1"/>
  <c r="R1851" i="33" s="1"/>
  <c r="R1852" i="33" s="1"/>
  <c r="R1853" i="33" s="1"/>
  <c r="R1854" i="33" s="1"/>
  <c r="R1855" i="33" s="1"/>
  <c r="R1856" i="33" s="1"/>
  <c r="R1857" i="33" s="1"/>
  <c r="R1858" i="33" s="1"/>
  <c r="R1859" i="33" s="1"/>
  <c r="R1860" i="33" s="1"/>
  <c r="R1861" i="33" s="1"/>
  <c r="R1862" i="33" s="1"/>
  <c r="R1863" i="33" s="1"/>
  <c r="R1864" i="33" s="1"/>
  <c r="R1865" i="33" s="1"/>
  <c r="R1866" i="33" s="1"/>
  <c r="R1867" i="33" s="1"/>
  <c r="R1868" i="33" s="1"/>
  <c r="R1869" i="33" s="1"/>
  <c r="R1870" i="33" s="1"/>
  <c r="R1871" i="33" s="1"/>
  <c r="R1872" i="33" s="1"/>
  <c r="R1873" i="33" s="1"/>
  <c r="R1874" i="33" s="1"/>
  <c r="R1875" i="33" s="1"/>
  <c r="R1876" i="33" s="1"/>
  <c r="R1877" i="33" s="1"/>
  <c r="R1878" i="33" s="1"/>
  <c r="R1879" i="33" s="1"/>
  <c r="R1880" i="33" s="1"/>
  <c r="R1881" i="33" s="1"/>
  <c r="R1882" i="33" s="1"/>
  <c r="R1883" i="33" s="1"/>
  <c r="R1884" i="33" s="1"/>
  <c r="R1885" i="33" s="1"/>
  <c r="R1886" i="33" s="1"/>
  <c r="R1887" i="33" s="1"/>
  <c r="R1888" i="33" s="1"/>
  <c r="R1889" i="33" s="1"/>
  <c r="R1890" i="33" s="1"/>
  <c r="R1891" i="33" s="1"/>
  <c r="R1892" i="33" s="1"/>
  <c r="R1893" i="33" s="1"/>
  <c r="R1894" i="33" s="1"/>
  <c r="R1895" i="33" s="1"/>
  <c r="R1896" i="33" s="1"/>
  <c r="R1897" i="33" s="1"/>
  <c r="R1898" i="33" s="1"/>
  <c r="R1899" i="33" s="1"/>
  <c r="R1900" i="33" s="1"/>
  <c r="R1901" i="33" s="1"/>
  <c r="R1902" i="33" s="1"/>
  <c r="R1903" i="33" s="1"/>
  <c r="R1904" i="33" s="1"/>
  <c r="R1905" i="33" s="1"/>
  <c r="R1906" i="33" s="1"/>
  <c r="R1907" i="33" s="1"/>
  <c r="R1908" i="33" s="1"/>
  <c r="R1909" i="33" s="1"/>
  <c r="R1910" i="33" s="1"/>
  <c r="R1911" i="33" s="1"/>
  <c r="R1912" i="33" s="1"/>
  <c r="R1913" i="33" s="1"/>
  <c r="R1914" i="33" s="1"/>
  <c r="R1915" i="33" s="1"/>
  <c r="R1916" i="33" s="1"/>
  <c r="R1917" i="33" s="1"/>
  <c r="R1918" i="33" s="1"/>
  <c r="R1919" i="33" s="1"/>
  <c r="R1920" i="33" s="1"/>
  <c r="R1921" i="33" l="1"/>
  <c r="R1922" i="33" s="1"/>
  <c r="R1923" i="33" s="1"/>
  <c r="R1924" i="33" s="1"/>
  <c r="R1925" i="33" s="1"/>
  <c r="R1926" i="33" s="1"/>
  <c r="R1927" i="33" s="1"/>
  <c r="R1928" i="33" s="1"/>
  <c r="R1929" i="33" s="1"/>
  <c r="R1930" i="33" s="1"/>
  <c r="R1931" i="33" s="1"/>
  <c r="R1932" i="33" s="1"/>
  <c r="R1933" i="33" s="1"/>
  <c r="R1934" i="33" s="1"/>
  <c r="R1935" i="33" s="1"/>
  <c r="R1936" i="33" s="1"/>
  <c r="R1937" i="33" s="1"/>
  <c r="R1938" i="33" s="1"/>
  <c r="R1939" i="33" s="1"/>
  <c r="R1940" i="33" s="1"/>
  <c r="R1941" i="33" s="1"/>
  <c r="R1942" i="33" s="1"/>
  <c r="R1943" i="33" s="1"/>
  <c r="R1944" i="33" s="1"/>
  <c r="R1945" i="33" s="1"/>
  <c r="R1946" i="33" s="1"/>
  <c r="R1947" i="33" s="1"/>
  <c r="R1948" i="33" s="1"/>
  <c r="R1949" i="33" s="1"/>
  <c r="R1950" i="33" s="1"/>
  <c r="R1951" i="33" s="1"/>
  <c r="R1952" i="33" s="1"/>
  <c r="R1953" i="33" s="1"/>
  <c r="R1954" i="33" s="1"/>
  <c r="R1955" i="33" s="1"/>
  <c r="R1956" i="33" s="1"/>
  <c r="R1957" i="33" s="1"/>
  <c r="R1958" i="33" s="1"/>
  <c r="R1959" i="33" s="1"/>
  <c r="R1960" i="33" s="1"/>
  <c r="R1961" i="33" s="1"/>
  <c r="R1962" i="33" s="1"/>
  <c r="R1963" i="33" s="1"/>
  <c r="R1964" i="33" s="1"/>
  <c r="R1965" i="33" s="1"/>
  <c r="R1966" i="33" s="1"/>
  <c r="R1967" i="33" s="1"/>
  <c r="R1968" i="33" s="1"/>
  <c r="R1969" i="33" s="1"/>
  <c r="R1970" i="33" s="1"/>
  <c r="R1971" i="33" s="1"/>
  <c r="R1972" i="33" s="1"/>
  <c r="R1973" i="33" s="1"/>
  <c r="R1974" i="33" s="1"/>
  <c r="R1975" i="33" s="1"/>
  <c r="R1976" i="33" s="1"/>
  <c r="R1977" i="33" s="1"/>
  <c r="R1978" i="33" s="1"/>
  <c r="R1979" i="33" s="1"/>
  <c r="R1980" i="33" s="1"/>
  <c r="R1981" i="33" s="1"/>
  <c r="R1982" i="33" s="1"/>
  <c r="R1983" i="33" s="1"/>
  <c r="R1984" i="33" s="1"/>
  <c r="R1985" i="33" s="1"/>
  <c r="R1986" i="33" s="1"/>
  <c r="R1987" i="33" s="1"/>
  <c r="R1988" i="33" s="1"/>
  <c r="R1989" i="33" s="1"/>
  <c r="R1990" i="33" s="1"/>
  <c r="R1991" i="33" s="1"/>
  <c r="R1992" i="33" s="1"/>
  <c r="R1993" i="33" s="1"/>
  <c r="R1994" i="33" s="1"/>
  <c r="R1995" i="33" s="1"/>
  <c r="R1996" i="33" s="1"/>
  <c r="R1997" i="33" s="1"/>
  <c r="R1998" i="33" s="1"/>
  <c r="R1999" i="33" s="1"/>
  <c r="R2000" i="33" s="1"/>
  <c r="R2001" i="33" s="1"/>
  <c r="R2002" i="33" s="1"/>
  <c r="R2003" i="33" s="1"/>
  <c r="R2004" i="33" s="1"/>
  <c r="R2005" i="33" s="1"/>
  <c r="R2006" i="33" s="1"/>
  <c r="R2007" i="33" s="1"/>
  <c r="R2008" i="33" s="1"/>
  <c r="R2009" i="33" s="1"/>
  <c r="R2010" i="33" s="1"/>
  <c r="R2011" i="33" s="1"/>
  <c r="R2012" i="33" s="1"/>
  <c r="R2013" i="33" s="1"/>
  <c r="R2014" i="33" s="1"/>
  <c r="R2015" i="33" s="1"/>
  <c r="R2016" i="33" s="1"/>
  <c r="R2017" i="33" s="1"/>
  <c r="R2018" i="33" s="1"/>
  <c r="R2019" i="33" s="1"/>
  <c r="R2020" i="33" s="1"/>
  <c r="R2021" i="33" s="1"/>
  <c r="R2022" i="33" s="1"/>
  <c r="R2023" i="33" s="1"/>
  <c r="R2024" i="33" s="1"/>
  <c r="R2025" i="33" s="1"/>
  <c r="R2026" i="33" s="1"/>
  <c r="R2027" i="33" s="1"/>
  <c r="R2028" i="33" s="1"/>
  <c r="R2029" i="33" s="1"/>
  <c r="R2030" i="33" s="1"/>
  <c r="R2031" i="33" s="1"/>
  <c r="R2032" i="33" s="1"/>
  <c r="R2033" i="33" s="1"/>
  <c r="R2034" i="33" s="1"/>
  <c r="R2035" i="33" s="1"/>
  <c r="R2036" i="33" s="1"/>
  <c r="R2037" i="33" s="1"/>
  <c r="R2038" i="33" s="1"/>
  <c r="R2039" i="33" s="1"/>
  <c r="R2040" i="33" s="1"/>
  <c r="R2041" i="33" s="1"/>
  <c r="R2042" i="33" s="1"/>
  <c r="R2043" i="33" s="1"/>
  <c r="R2044" i="33" s="1"/>
  <c r="R2045" i="33" s="1"/>
  <c r="R2046" i="33" s="1"/>
  <c r="R2047" i="33" s="1"/>
  <c r="R2048" i="33" s="1"/>
  <c r="R2049" i="33" s="1"/>
  <c r="R2050" i="33" s="1"/>
  <c r="R2051" i="33" s="1"/>
  <c r="R2052" i="33" s="1"/>
  <c r="R2053" i="33" s="1"/>
  <c r="R2054" i="33" s="1"/>
  <c r="R2055" i="33" s="1"/>
  <c r="R2056" i="33" s="1"/>
  <c r="R2057" i="33" s="1"/>
  <c r="R2058" i="33" s="1"/>
  <c r="R2059" i="33" s="1"/>
  <c r="R2060" i="33" s="1"/>
  <c r="R2061" i="33" s="1"/>
  <c r="R2062" i="33" s="1"/>
  <c r="R2063" i="33" s="1"/>
  <c r="R2064" i="33" s="1"/>
  <c r="R2065" i="33" s="1"/>
  <c r="R2066" i="33" s="1"/>
  <c r="R2067" i="33" s="1"/>
  <c r="R2068" i="33" s="1"/>
  <c r="R2069" i="33" s="1"/>
  <c r="R2070" i="33" s="1"/>
  <c r="R2071" i="33" s="1"/>
  <c r="R2072" i="33" s="1"/>
  <c r="R2073" i="33" s="1"/>
  <c r="R2074" i="33" s="1"/>
  <c r="R2075" i="33" s="1"/>
  <c r="R2076" i="33" s="1"/>
  <c r="R2077" i="33" s="1"/>
  <c r="R2078" i="33" s="1"/>
  <c r="R2079" i="33" s="1"/>
  <c r="R2080" i="33" s="1"/>
  <c r="R2081" i="33" s="1"/>
  <c r="R2082" i="33" s="1"/>
  <c r="R2083" i="33" s="1"/>
  <c r="R2084" i="33" s="1"/>
  <c r="R2085" i="33" s="1"/>
  <c r="R2086" i="33" s="1"/>
  <c r="R2087" i="33" s="1"/>
  <c r="R2088" i="33" s="1"/>
  <c r="R2089" i="33" s="1"/>
  <c r="R2090" i="33" s="1"/>
  <c r="R2091" i="33" s="1"/>
  <c r="R2092" i="33" s="1"/>
  <c r="R2093" i="33" s="1"/>
  <c r="R2094" i="33" s="1"/>
  <c r="R2095" i="33" s="1"/>
  <c r="R2096" i="33" s="1"/>
  <c r="R2097" i="33" s="1"/>
  <c r="R2098" i="33" s="1"/>
  <c r="R2099" i="33" s="1"/>
  <c r="R2100" i="33" s="1"/>
  <c r="R2101" i="33" s="1"/>
  <c r="R2102" i="33" s="1"/>
  <c r="R2103" i="33" s="1"/>
  <c r="R2104" i="33" s="1"/>
  <c r="R2105" i="33" s="1"/>
  <c r="R2106" i="33" s="1"/>
  <c r="R2107" i="33" s="1"/>
  <c r="R2108" i="33" s="1"/>
  <c r="R2109" i="33" s="1"/>
  <c r="R2110" i="33" s="1"/>
  <c r="R2111" i="33" s="1"/>
  <c r="R2112" i="33" s="1"/>
  <c r="R2113" i="33" s="1"/>
  <c r="R2114" i="33" s="1"/>
  <c r="R2115" i="33" s="1"/>
  <c r="R2116" i="33" s="1"/>
  <c r="R2117" i="33" s="1"/>
  <c r="R2118" i="33" s="1"/>
  <c r="R2119" i="33" s="1"/>
  <c r="R2120" i="33" s="1"/>
  <c r="R2121" i="33" s="1"/>
  <c r="R2122" i="33" s="1"/>
  <c r="R2123" i="33" s="1"/>
  <c r="R2124" i="33" s="1"/>
  <c r="R2125" i="33" s="1"/>
  <c r="R2126" i="33" s="1"/>
  <c r="R2127" i="33" s="1"/>
  <c r="R2128" i="33" s="1"/>
  <c r="R2129" i="33" s="1"/>
  <c r="R2130" i="33" s="1"/>
  <c r="R2131" i="33" s="1"/>
  <c r="R2132" i="33" s="1"/>
  <c r="R2133" i="33" s="1"/>
  <c r="R2134" i="33" s="1"/>
  <c r="R2135" i="33" s="1"/>
  <c r="R2136" i="33" s="1"/>
  <c r="R2137" i="33" s="1"/>
  <c r="R2138" i="33" s="1"/>
  <c r="R2139" i="33" s="1"/>
  <c r="R2140" i="33" s="1"/>
  <c r="R2141" i="33" s="1"/>
  <c r="R2142" i="33" s="1"/>
  <c r="R2143" i="33" s="1"/>
  <c r="R2144" i="33" s="1"/>
  <c r="R2145" i="33" s="1"/>
  <c r="R2146" i="33" s="1"/>
  <c r="R2147" i="33" s="1"/>
  <c r="R2148" i="33" s="1"/>
  <c r="R2149" i="33" s="1"/>
  <c r="R2150" i="33" s="1"/>
  <c r="R2151" i="33" s="1"/>
  <c r="R2152" i="33" s="1"/>
  <c r="R2153" i="33" s="1"/>
  <c r="R2154" i="33" s="1"/>
  <c r="R2155" i="33" s="1"/>
  <c r="R2156" i="33" s="1"/>
  <c r="R2157" i="33" s="1"/>
  <c r="R2158" i="33" s="1"/>
  <c r="R2159" i="33" s="1"/>
  <c r="R2160" i="33" s="1"/>
  <c r="R2161" i="33" s="1"/>
  <c r="R2162" i="33" s="1"/>
  <c r="R2163" i="33" s="1"/>
  <c r="R2164" i="33" s="1"/>
  <c r="R2165" i="33" s="1"/>
  <c r="R2166" i="33" s="1"/>
  <c r="R2167" i="33" s="1"/>
  <c r="R2168" i="33" s="1"/>
  <c r="R2169" i="33" s="1"/>
  <c r="R2170" i="33" s="1"/>
  <c r="R2171" i="33" s="1"/>
  <c r="R2172" i="33" s="1"/>
  <c r="R2173" i="33" s="1"/>
  <c r="R2174" i="33" s="1"/>
  <c r="R2175" i="33" s="1"/>
  <c r="R2176" i="33" s="1"/>
  <c r="R2177" i="33" s="1"/>
  <c r="R2178" i="33" s="1"/>
  <c r="R2179" i="33" s="1"/>
  <c r="R2180" i="33" s="1"/>
  <c r="R2181" i="33" s="1"/>
  <c r="R2182" i="33" s="1"/>
  <c r="R2183" i="33" s="1"/>
  <c r="R2184" i="33" s="1"/>
  <c r="R2185" i="33" s="1"/>
  <c r="R2186" i="33" s="1"/>
  <c r="R2187" i="33" s="1"/>
  <c r="R2188" i="33" s="1"/>
  <c r="R2189" i="33" s="1"/>
  <c r="R2190" i="33" s="1"/>
  <c r="R2191" i="33" s="1"/>
  <c r="R2192" i="33" s="1"/>
  <c r="R2193" i="33" s="1"/>
  <c r="R2194" i="33" s="1"/>
  <c r="R2195" i="33" s="1"/>
  <c r="R2196" i="33" s="1"/>
  <c r="R2197" i="33" s="1"/>
  <c r="R2198" i="33" s="1"/>
  <c r="R2199" i="33" s="1"/>
  <c r="R2200" i="33" s="1"/>
  <c r="R2201" i="33" s="1"/>
  <c r="R2202" i="33" s="1"/>
  <c r="R2203" i="33" s="1"/>
  <c r="R2204" i="33" s="1"/>
  <c r="R2205" i="33" s="1"/>
  <c r="R2206" i="33" s="1"/>
  <c r="R2207" i="33" s="1"/>
  <c r="R2208" i="33" s="1"/>
  <c r="R2209" i="33" s="1"/>
  <c r="R2210" i="33" s="1"/>
  <c r="R2211" i="33" s="1"/>
  <c r="R2212" i="33" s="1"/>
  <c r="R2213" i="33" s="1"/>
  <c r="R2214" i="33" s="1"/>
  <c r="R2215" i="33" s="1"/>
  <c r="R2216" i="33" s="1"/>
  <c r="R2217" i="33" s="1"/>
  <c r="R2218" i="33" s="1"/>
  <c r="R2219" i="33" s="1"/>
  <c r="R2220" i="33" s="1"/>
  <c r="R2221" i="33" s="1"/>
  <c r="R2222" i="33" s="1"/>
  <c r="R2223" i="33" s="1"/>
  <c r="R2224" i="33" s="1"/>
  <c r="R2225" i="33" s="1"/>
  <c r="R2226" i="33" s="1"/>
  <c r="R2227" i="33" s="1"/>
  <c r="R2228" i="33" s="1"/>
  <c r="R2229" i="33" s="1"/>
  <c r="R2230" i="33" s="1"/>
  <c r="R2231" i="33" s="1"/>
  <c r="R2232" i="33" s="1"/>
  <c r="R2233" i="33" s="1"/>
  <c r="R2234" i="33" s="1"/>
  <c r="R2235" i="33" s="1"/>
  <c r="R2236" i="33" s="1"/>
  <c r="R2237" i="33" s="1"/>
  <c r="R2238" i="33" s="1"/>
  <c r="R2239" i="33" s="1"/>
  <c r="R2240" i="33" s="1"/>
  <c r="R2241" i="33" s="1"/>
  <c r="R2242" i="33" s="1"/>
  <c r="R2243" i="33" s="1"/>
  <c r="R2244" i="33" s="1"/>
  <c r="R2245" i="33" s="1"/>
  <c r="R2246" i="33" s="1"/>
  <c r="R2247" i="33" s="1"/>
  <c r="R2248" i="33" s="1"/>
  <c r="R2249" i="33" s="1"/>
  <c r="R2250" i="33" s="1"/>
  <c r="R2251" i="33" s="1"/>
  <c r="R2252" i="33" s="1"/>
  <c r="R2253" i="33" s="1"/>
  <c r="R2254" i="33" s="1"/>
  <c r="R2255" i="33" s="1"/>
  <c r="R2256" i="33" s="1"/>
  <c r="R2257" i="33" s="1"/>
  <c r="R2258" i="33" s="1"/>
  <c r="R2259" i="33" s="1"/>
  <c r="R2260" i="33" s="1"/>
  <c r="R2261" i="33" s="1"/>
  <c r="R2262" i="33" s="1"/>
  <c r="R2263" i="33" s="1"/>
  <c r="R2264" i="33" s="1"/>
  <c r="R2265" i="33" s="1"/>
  <c r="R2266" i="33" s="1"/>
  <c r="R2267" i="33" s="1"/>
  <c r="R2268" i="33" s="1"/>
  <c r="R2269" i="33" s="1"/>
  <c r="R2270" i="33" s="1"/>
  <c r="R2271" i="33" s="1"/>
  <c r="R2272" i="33" s="1"/>
  <c r="R2273" i="33" s="1"/>
  <c r="R2274" i="33" s="1"/>
  <c r="R2275" i="33" s="1"/>
  <c r="R2276" i="33" s="1"/>
  <c r="R2277" i="33" s="1"/>
  <c r="R2278" i="33" s="1"/>
  <c r="R2279" i="33" s="1"/>
  <c r="R2280" i="33" s="1"/>
  <c r="R2281" i="33" s="1"/>
  <c r="R2282" i="33" s="1"/>
  <c r="R2283" i="33" s="1"/>
  <c r="R2284" i="33" s="1"/>
  <c r="R2285" i="33" s="1"/>
  <c r="R2286" i="33" s="1"/>
  <c r="R2287" i="33" s="1"/>
  <c r="R2288" i="33" s="1"/>
  <c r="R2289" i="33" s="1"/>
  <c r="R2290" i="33" s="1"/>
  <c r="R2291" i="33" s="1"/>
  <c r="R2292" i="33" s="1"/>
  <c r="R2293" i="33" s="1"/>
  <c r="R2294" i="33" s="1"/>
  <c r="R2295" i="33" s="1"/>
  <c r="R2296" i="33" s="1"/>
  <c r="R2297" i="33" s="1"/>
  <c r="R2298" i="33" s="1"/>
  <c r="R2299" i="33" s="1"/>
  <c r="R2300" i="33" s="1"/>
  <c r="R2301" i="33" s="1"/>
  <c r="R2302" i="33" s="1"/>
  <c r="R2303" i="33" s="1"/>
  <c r="R2304" i="33" s="1"/>
  <c r="R2305" i="33" s="1"/>
  <c r="R2306" i="33" s="1"/>
  <c r="R2307" i="33" s="1"/>
  <c r="R2308" i="33" s="1"/>
  <c r="R2309" i="33" s="1"/>
  <c r="R2310" i="33" s="1"/>
  <c r="R2311" i="33" s="1"/>
  <c r="R2312" i="33" s="1"/>
  <c r="R2313" i="33" s="1"/>
  <c r="R2314" i="33" s="1"/>
  <c r="R2315" i="33" s="1"/>
  <c r="R2316" i="33" s="1"/>
  <c r="R2317" i="33" s="1"/>
  <c r="R2318" i="33" s="1"/>
  <c r="R2319" i="33" s="1"/>
  <c r="R2320" i="33" s="1"/>
  <c r="R2321" i="33" s="1"/>
  <c r="R2322" i="33" s="1"/>
  <c r="R2323" i="33" s="1"/>
  <c r="R2324" i="33" s="1"/>
  <c r="R2325" i="33" s="1"/>
  <c r="R2326" i="33" s="1"/>
  <c r="R2327" i="33" s="1"/>
  <c r="R2328" i="33" s="1"/>
  <c r="R2329" i="33" s="1"/>
  <c r="R2330" i="33" s="1"/>
  <c r="R2331" i="33" s="1"/>
  <c r="R2332" i="33" s="1"/>
  <c r="R2333" i="33" s="1"/>
  <c r="R2334" i="33" s="1"/>
  <c r="R2335" i="33" s="1"/>
  <c r="R2336" i="33" s="1"/>
  <c r="R2337" i="33" s="1"/>
  <c r="R2338" i="33" s="1"/>
  <c r="R2339" i="33" s="1"/>
  <c r="R2340" i="33" s="1"/>
  <c r="R2341" i="33" s="1"/>
  <c r="R2342" i="33" s="1"/>
  <c r="R2343" i="33" s="1"/>
  <c r="R2344" i="33" s="1"/>
  <c r="R2345" i="33" s="1"/>
  <c r="R2346" i="33" s="1"/>
  <c r="R2347" i="33" s="1"/>
  <c r="R2348" i="33" s="1"/>
  <c r="R2349" i="33" s="1"/>
  <c r="R2350" i="33" s="1"/>
  <c r="R2351" i="33" s="1"/>
  <c r="R2352" i="33" s="1"/>
  <c r="R2353" i="33" s="1"/>
  <c r="R2354" i="33" s="1"/>
  <c r="R2355" i="33" s="1"/>
  <c r="R2356" i="33" s="1"/>
  <c r="R2357" i="33" s="1"/>
  <c r="R2358" i="33" s="1"/>
  <c r="R2359" i="33" s="1"/>
  <c r="R2360" i="33" s="1"/>
  <c r="R2361" i="33" s="1"/>
  <c r="R2362" i="33" s="1"/>
  <c r="R2363" i="33" s="1"/>
  <c r="R2364" i="33" s="1"/>
  <c r="R2365" i="33" s="1"/>
  <c r="R2366" i="33" s="1"/>
  <c r="R2367" i="33" s="1"/>
  <c r="R2368" i="33" s="1"/>
  <c r="R2369" i="33" s="1"/>
  <c r="R2370" i="33" s="1"/>
  <c r="R2371" i="33" s="1"/>
  <c r="R2372" i="33" s="1"/>
  <c r="R2373" i="33" s="1"/>
  <c r="R2374" i="33" s="1"/>
  <c r="R2375" i="33" s="1"/>
  <c r="R2376" i="33" s="1"/>
  <c r="R2377" i="33" s="1"/>
  <c r="R2378" i="33" s="1"/>
  <c r="R2379" i="33" s="1"/>
  <c r="R2380" i="33" s="1"/>
  <c r="R2381" i="33" s="1"/>
  <c r="R2382" i="33" s="1"/>
  <c r="R2383" i="33" s="1"/>
  <c r="R2384" i="33" s="1"/>
  <c r="R2385" i="33" s="1"/>
  <c r="R2386" i="33" s="1"/>
  <c r="R2387" i="33" s="1"/>
  <c r="R2388" i="33" s="1"/>
  <c r="R2389" i="33" s="1"/>
  <c r="R2390" i="33" s="1"/>
  <c r="R2391" i="33" s="1"/>
  <c r="R2392" i="33" s="1"/>
  <c r="R2393" i="33" s="1"/>
  <c r="R2394" i="33" s="1"/>
  <c r="R2395" i="33" s="1"/>
  <c r="R2396" i="33" s="1"/>
  <c r="R2397" i="33" s="1"/>
  <c r="R2398" i="33" s="1"/>
  <c r="R2399" i="33" s="1"/>
  <c r="R2400" i="33" s="1"/>
  <c r="R2401" i="33" s="1"/>
  <c r="R2402" i="33" s="1"/>
  <c r="R2403" i="33" s="1"/>
  <c r="R2404" i="33" s="1"/>
  <c r="R2405" i="33" s="1"/>
  <c r="R2406" i="33" s="1"/>
  <c r="R2407" i="33" s="1"/>
  <c r="R2408" i="33" s="1"/>
  <c r="R2409" i="33" s="1"/>
  <c r="R2410" i="33" s="1"/>
  <c r="R2411" i="33" s="1"/>
  <c r="R2412" i="33" s="1"/>
  <c r="R2413" i="33" s="1"/>
  <c r="R2414" i="33" s="1"/>
  <c r="R2415" i="33" s="1"/>
  <c r="R2416" i="33" s="1"/>
  <c r="R2417" i="33" s="1"/>
  <c r="R2418" i="33" s="1"/>
  <c r="R2419" i="33" s="1"/>
  <c r="R2420" i="33" s="1"/>
  <c r="R2421" i="33" s="1"/>
  <c r="R2422" i="33" s="1"/>
  <c r="R2423" i="33" s="1"/>
  <c r="R2424" i="33" s="1"/>
  <c r="R2425" i="33" s="1"/>
  <c r="R2426" i="33" s="1"/>
  <c r="R2427" i="33" s="1"/>
  <c r="R2428" i="33" s="1"/>
  <c r="R2429" i="33" s="1"/>
  <c r="R2430" i="33" s="1"/>
  <c r="R2431" i="33" s="1"/>
  <c r="R2432" i="33" s="1"/>
  <c r="R2433" i="33" s="1"/>
  <c r="R2434" i="33" s="1"/>
  <c r="R2435" i="33" s="1"/>
  <c r="R2436" i="33" s="1"/>
  <c r="R2437" i="33" s="1"/>
  <c r="R2438" i="33" s="1"/>
  <c r="R2439" i="33" s="1"/>
  <c r="R2440" i="33" s="1"/>
  <c r="R2441" i="33" s="1"/>
  <c r="R2442" i="33" s="1"/>
  <c r="R2443" i="33" s="1"/>
  <c r="R2444" i="33" s="1"/>
  <c r="R2445" i="33" s="1"/>
  <c r="R2446" i="33" s="1"/>
  <c r="R2447" i="33" s="1"/>
  <c r="R2448" i="33" s="1"/>
  <c r="R2449" i="33" s="1"/>
  <c r="R2450" i="33" s="1"/>
  <c r="R2451" i="33" s="1"/>
  <c r="R2452" i="33" s="1"/>
  <c r="R2453" i="33" s="1"/>
  <c r="R2454" i="33" s="1"/>
  <c r="R2455" i="33" s="1"/>
  <c r="R2456" i="33" s="1"/>
  <c r="R2457" i="33" s="1"/>
  <c r="R2458" i="33" s="1"/>
  <c r="R2459" i="33" s="1"/>
  <c r="R2460" i="33" s="1"/>
  <c r="R2461" i="33" s="1"/>
  <c r="R2462" i="33" s="1"/>
  <c r="R2463" i="33" s="1"/>
  <c r="R2464" i="33" s="1"/>
  <c r="R2465" i="33" s="1"/>
  <c r="R2466" i="33" s="1"/>
  <c r="R2467" i="33" s="1"/>
  <c r="R2468" i="33" s="1"/>
  <c r="R2469" i="33" s="1"/>
  <c r="R2470" i="33" s="1"/>
  <c r="R2471" i="33" s="1"/>
  <c r="R2472" i="33" s="1"/>
  <c r="R2473" i="33" s="1"/>
  <c r="R2474" i="33" s="1"/>
  <c r="R2475" i="33" s="1"/>
  <c r="R2476" i="33" s="1"/>
  <c r="R2477" i="33" s="1"/>
  <c r="R2478" i="33" s="1"/>
  <c r="R2479" i="33" s="1"/>
  <c r="R2480" i="33" s="1"/>
  <c r="R2481" i="33" s="1"/>
  <c r="R2482" i="33" s="1"/>
  <c r="R2483" i="33" s="1"/>
  <c r="R2484" i="33" s="1"/>
  <c r="R2485" i="33" s="1"/>
  <c r="R2486" i="33" s="1"/>
  <c r="R2487" i="33" s="1"/>
  <c r="R2488" i="33" s="1"/>
  <c r="R2489" i="33" s="1"/>
  <c r="R2490" i="33" s="1"/>
  <c r="R2491" i="33" s="1"/>
  <c r="R2492" i="33" s="1"/>
  <c r="R2493" i="33" s="1"/>
  <c r="R2494" i="33" s="1"/>
  <c r="R2495" i="33" s="1"/>
  <c r="R2496" i="33" s="1"/>
  <c r="R2497" i="33" s="1"/>
  <c r="R2498" i="33" s="1"/>
  <c r="R2499" i="33" s="1"/>
  <c r="R2500" i="33" s="1"/>
  <c r="R2501" i="33" s="1"/>
  <c r="R2502" i="33" s="1"/>
  <c r="R2503" i="33" s="1"/>
  <c r="R2504" i="33" s="1"/>
  <c r="R2505" i="33" s="1"/>
  <c r="R2506" i="33" s="1"/>
  <c r="R2507" i="33" s="1"/>
  <c r="R2508" i="33" s="1"/>
  <c r="R2509" i="33" s="1"/>
  <c r="R2510" i="33" s="1"/>
  <c r="R2511" i="33" s="1"/>
  <c r="R2512" i="33" s="1"/>
  <c r="R2513" i="33" s="1"/>
  <c r="R2514" i="33" s="1"/>
  <c r="R2515" i="33" s="1"/>
  <c r="R2516" i="33" s="1"/>
  <c r="R2517" i="33" s="1"/>
  <c r="R2518" i="33" s="1"/>
  <c r="R2519" i="33" s="1"/>
  <c r="R2520" i="33" s="1"/>
  <c r="R2521" i="33" s="1"/>
  <c r="R2522" i="33" s="1"/>
  <c r="R2523" i="33" s="1"/>
  <c r="R2524" i="33" s="1"/>
  <c r="R2525" i="33" s="1"/>
  <c r="R2526" i="33" s="1"/>
  <c r="R2527" i="33" s="1"/>
  <c r="R2528" i="33" s="1"/>
  <c r="R2529" i="33" s="1"/>
  <c r="R2530" i="33" s="1"/>
  <c r="R2531" i="33" s="1"/>
  <c r="R2532" i="33" s="1"/>
  <c r="R2533" i="33" s="1"/>
  <c r="R2534" i="33" s="1"/>
  <c r="R2535" i="33" s="1"/>
</calcChain>
</file>

<file path=xl/sharedStrings.xml><?xml version="1.0" encoding="utf-8"?>
<sst xmlns="http://schemas.openxmlformats.org/spreadsheetml/2006/main" count="3594" uniqueCount="653">
  <si>
    <t>م</t>
  </si>
  <si>
    <t>التاريخ</t>
  </si>
  <si>
    <t xml:space="preserve">اسم الشركه </t>
  </si>
  <si>
    <t>العنوان</t>
  </si>
  <si>
    <t>رقم الاذن</t>
  </si>
  <si>
    <t>عدد الحاويات</t>
  </si>
  <si>
    <t>النولون</t>
  </si>
  <si>
    <t>قيمة مضافة</t>
  </si>
  <si>
    <t>خصم أ ت ص</t>
  </si>
  <si>
    <t>الايصالات</t>
  </si>
  <si>
    <t>اجمالي الفاتوره</t>
  </si>
  <si>
    <t>الدفعات</t>
  </si>
  <si>
    <t>اجمالي الحساب</t>
  </si>
  <si>
    <t>Column1</t>
  </si>
  <si>
    <t>خصم 3%</t>
  </si>
  <si>
    <t>فاتورة</t>
  </si>
  <si>
    <t>الحساب</t>
  </si>
  <si>
    <t>فاطمة</t>
  </si>
  <si>
    <t>عرب اوشن</t>
  </si>
  <si>
    <t>فيرتكس</t>
  </si>
  <si>
    <t>Column2</t>
  </si>
  <si>
    <t>اسم المورد</t>
  </si>
  <si>
    <t>طارق</t>
  </si>
  <si>
    <t>احمد عليمي</t>
  </si>
  <si>
    <t>احمد ظريف</t>
  </si>
  <si>
    <t>احمد عادل</t>
  </si>
  <si>
    <t>مكتب</t>
  </si>
  <si>
    <t>احمد سنبل</t>
  </si>
  <si>
    <t>الشيخ حسن</t>
  </si>
  <si>
    <t>علاء جمعة</t>
  </si>
  <si>
    <t>يونايتد</t>
  </si>
  <si>
    <t xml:space="preserve">عهدة </t>
  </si>
  <si>
    <t xml:space="preserve">رقم الفاتورة </t>
  </si>
  <si>
    <t>اجمالي العملاء</t>
  </si>
  <si>
    <t>اجمالي الموردين</t>
  </si>
  <si>
    <t>الفرق</t>
  </si>
  <si>
    <t>اسلام</t>
  </si>
  <si>
    <t xml:space="preserve">تاريخ </t>
  </si>
  <si>
    <t xml:space="preserve">رقم البوليصة </t>
  </si>
  <si>
    <t>اسم الشركة</t>
  </si>
  <si>
    <t xml:space="preserve">الجهة </t>
  </si>
  <si>
    <t xml:space="preserve">رقم الحاوية </t>
  </si>
  <si>
    <t xml:space="preserve">رقم السيارة </t>
  </si>
  <si>
    <t>اسم السائق</t>
  </si>
  <si>
    <t xml:space="preserve">صاحب السيارة </t>
  </si>
  <si>
    <t xml:space="preserve">نولون </t>
  </si>
  <si>
    <t xml:space="preserve">بياتة </t>
  </si>
  <si>
    <t xml:space="preserve">باقى </t>
  </si>
  <si>
    <t xml:space="preserve">اجمالى </t>
  </si>
  <si>
    <t>بوالص</t>
  </si>
  <si>
    <t>العملاء</t>
  </si>
  <si>
    <t>اجمالي</t>
  </si>
  <si>
    <t>اكما</t>
  </si>
  <si>
    <t>عدد المولدات</t>
  </si>
  <si>
    <t>مولدات</t>
  </si>
  <si>
    <t>تيفاني</t>
  </si>
  <si>
    <t>اسم صاحب البيان</t>
  </si>
  <si>
    <t>التصنيف</t>
  </si>
  <si>
    <t xml:space="preserve">خصم </t>
  </si>
  <si>
    <t xml:space="preserve">تحويلة </t>
  </si>
  <si>
    <t>الاجمالي</t>
  </si>
  <si>
    <t>رويال</t>
  </si>
  <si>
    <t>احمد عبدالله</t>
  </si>
  <si>
    <t>فوكس</t>
  </si>
  <si>
    <t>برفكت</t>
  </si>
  <si>
    <t>النهار</t>
  </si>
  <si>
    <t>CMS</t>
  </si>
  <si>
    <t>مطابق</t>
  </si>
  <si>
    <t>استخلاص</t>
  </si>
  <si>
    <t>/</t>
  </si>
  <si>
    <t>بيردس</t>
  </si>
  <si>
    <t>ريجينا</t>
  </si>
  <si>
    <t>احمد بحر</t>
  </si>
  <si>
    <t>ماستر</t>
  </si>
  <si>
    <t>Total</t>
  </si>
  <si>
    <t>ضمانات</t>
  </si>
  <si>
    <t>اسمنت مصر</t>
  </si>
  <si>
    <t>الدولية للملاحة</t>
  </si>
  <si>
    <t>دفعة</t>
  </si>
  <si>
    <t>MFB</t>
  </si>
  <si>
    <t>AGS</t>
  </si>
  <si>
    <t>ورلد</t>
  </si>
  <si>
    <t>نيو</t>
  </si>
  <si>
    <t>برونتو</t>
  </si>
  <si>
    <t>عزت</t>
  </si>
  <si>
    <t>سامي جرين اب</t>
  </si>
  <si>
    <t>3/1/2026</t>
  </si>
  <si>
    <t>توكيل</t>
  </si>
  <si>
    <t>ESL</t>
  </si>
  <si>
    <t>ميرسك</t>
  </si>
  <si>
    <t>10*20</t>
  </si>
  <si>
    <t>5*40</t>
  </si>
  <si>
    <t>2*40</t>
  </si>
  <si>
    <t>فابريك</t>
  </si>
  <si>
    <t>العاشر</t>
  </si>
  <si>
    <t>محمد جميل</t>
  </si>
  <si>
    <t>أكتوبر</t>
  </si>
  <si>
    <t>2ملاكي</t>
  </si>
  <si>
    <t>اوبا</t>
  </si>
  <si>
    <t>بوالص 2025</t>
  </si>
  <si>
    <t>اوربت</t>
  </si>
  <si>
    <t>الاوبريشن</t>
  </si>
  <si>
    <t>Column3</t>
  </si>
  <si>
    <t>اجمالي قيمة مضافة</t>
  </si>
  <si>
    <t>المتبقي</t>
  </si>
  <si>
    <t xml:space="preserve">التاريخ </t>
  </si>
  <si>
    <t>العهد</t>
  </si>
  <si>
    <t>الخصم</t>
  </si>
  <si>
    <t>الكمسيون</t>
  </si>
  <si>
    <t>الصرف</t>
  </si>
  <si>
    <t>1/1/2026</t>
  </si>
  <si>
    <t>4/1/2026</t>
  </si>
  <si>
    <t>6/1/2026</t>
  </si>
  <si>
    <t>8/1/2026</t>
  </si>
  <si>
    <t>8/1/206</t>
  </si>
  <si>
    <t>الريعي</t>
  </si>
  <si>
    <t>الحناوي</t>
  </si>
  <si>
    <t>يونايتد باك</t>
  </si>
  <si>
    <t>السادات</t>
  </si>
  <si>
    <t>ابوحماد</t>
  </si>
  <si>
    <t>1*20 ثق</t>
  </si>
  <si>
    <t>1*40</t>
  </si>
  <si>
    <t>كفر الدوار</t>
  </si>
  <si>
    <t>سمارت</t>
  </si>
  <si>
    <t>وادي الرياض</t>
  </si>
  <si>
    <t>الخطاطبة</t>
  </si>
  <si>
    <t>الاسماعلية</t>
  </si>
  <si>
    <t>حلواني</t>
  </si>
  <si>
    <t>1*20 جزء</t>
  </si>
  <si>
    <t>1*20 ثقيل</t>
  </si>
  <si>
    <t>مصر اسبانيا</t>
  </si>
  <si>
    <t>الفحم</t>
  </si>
  <si>
    <t>برج العرب</t>
  </si>
  <si>
    <t>2*20</t>
  </si>
  <si>
    <t>تخصيص</t>
  </si>
  <si>
    <t>10/1/2026</t>
  </si>
  <si>
    <t>الدولية</t>
  </si>
  <si>
    <t>ايه كي اتش</t>
  </si>
  <si>
    <t>سقارة</t>
  </si>
  <si>
    <t>البراوي</t>
  </si>
  <si>
    <t>الكيلو 59</t>
  </si>
  <si>
    <t>اجرو جرين</t>
  </si>
  <si>
    <t>جمصة</t>
  </si>
  <si>
    <t>1*40 ث</t>
  </si>
  <si>
    <t>سي فريجو</t>
  </si>
  <si>
    <t>جرين لاند</t>
  </si>
  <si>
    <t>12/1/2026</t>
  </si>
  <si>
    <t>فيوتشر</t>
  </si>
  <si>
    <t>15/1/2026</t>
  </si>
  <si>
    <t>14/1/2026</t>
  </si>
  <si>
    <t>17/1/2026</t>
  </si>
  <si>
    <t>الاكرامي</t>
  </si>
  <si>
    <t>اركانا</t>
  </si>
  <si>
    <t>نتس لاند</t>
  </si>
  <si>
    <t>بورسعيد / الصالحية</t>
  </si>
  <si>
    <t>فري دوم</t>
  </si>
  <si>
    <t>نيوستار</t>
  </si>
  <si>
    <t>بورسعيد</t>
  </si>
  <si>
    <t>3*40</t>
  </si>
  <si>
    <t>1*20</t>
  </si>
  <si>
    <t>فيتوكلور</t>
  </si>
  <si>
    <t>بوتمان</t>
  </si>
  <si>
    <t>الفيوم</t>
  </si>
  <si>
    <t>عامرية / ابوقير</t>
  </si>
  <si>
    <t>الباز</t>
  </si>
  <si>
    <t>طلخا</t>
  </si>
  <si>
    <t>فود لاين</t>
  </si>
  <si>
    <t>ايزومصر</t>
  </si>
  <si>
    <t>المصرية للتريكو</t>
  </si>
  <si>
    <t>قويسنا</t>
  </si>
  <si>
    <t>السراج</t>
  </si>
  <si>
    <t>السويدي بوليمرز</t>
  </si>
  <si>
    <t>تايجل</t>
  </si>
  <si>
    <t>ماي فارم</t>
  </si>
  <si>
    <t>الرحاب</t>
  </si>
  <si>
    <t>كفر شكر</t>
  </si>
  <si>
    <t>المصرية الاوربية</t>
  </si>
  <si>
    <t>صعيد مصر</t>
  </si>
  <si>
    <t>بني سويف</t>
  </si>
  <si>
    <t>الملكة والأمير</t>
  </si>
  <si>
    <t>مزارع دينا</t>
  </si>
  <si>
    <t>4*40</t>
  </si>
  <si>
    <t>18/1/2026</t>
  </si>
  <si>
    <t>نيوبيبي</t>
  </si>
  <si>
    <t>7*40</t>
  </si>
  <si>
    <t>اورينت</t>
  </si>
  <si>
    <t>8*40</t>
  </si>
  <si>
    <t>20/1/2026</t>
  </si>
  <si>
    <t>19/1/2026</t>
  </si>
  <si>
    <t>جرين بايو</t>
  </si>
  <si>
    <t>الصالحية</t>
  </si>
  <si>
    <t>الفرسان</t>
  </si>
  <si>
    <t>4*40 ث</t>
  </si>
  <si>
    <t>جرين اب</t>
  </si>
  <si>
    <t>الصاوي والقداح</t>
  </si>
  <si>
    <t>العامرية</t>
  </si>
  <si>
    <t>1*20+1*40</t>
  </si>
  <si>
    <t>100واط</t>
  </si>
  <si>
    <t>21/1/2026</t>
  </si>
  <si>
    <t>22/1/2026</t>
  </si>
  <si>
    <t>22*40</t>
  </si>
  <si>
    <t>بالتة</t>
  </si>
  <si>
    <t>مسابك القاهرة</t>
  </si>
  <si>
    <t>بلبيس</t>
  </si>
  <si>
    <t>10*40</t>
  </si>
  <si>
    <t>عبدالرحمن مصطفى</t>
  </si>
  <si>
    <t>م نصر</t>
  </si>
  <si>
    <t>CMA</t>
  </si>
  <si>
    <t>COSCO</t>
  </si>
  <si>
    <t>برتاية</t>
  </si>
  <si>
    <t>دلتا فلكس</t>
  </si>
  <si>
    <t>شبرا ملس</t>
  </si>
  <si>
    <t>حوش عيسى</t>
  </si>
  <si>
    <t>اتش تي ام</t>
  </si>
  <si>
    <t>الخطاطبة / الفيوم</t>
  </si>
  <si>
    <t>874650A</t>
  </si>
  <si>
    <t>874650B</t>
  </si>
  <si>
    <t>5/1/2026</t>
  </si>
  <si>
    <t>7/1/2026</t>
  </si>
  <si>
    <t>9/1/2026</t>
  </si>
  <si>
    <t>11/1/2026</t>
  </si>
  <si>
    <t>13/1/2026</t>
  </si>
  <si>
    <t>24/1/2026</t>
  </si>
  <si>
    <t>لوجيك</t>
  </si>
  <si>
    <t>النوبارية</t>
  </si>
  <si>
    <t>اتش بي</t>
  </si>
  <si>
    <t>2جامبو</t>
  </si>
  <si>
    <t>5*20</t>
  </si>
  <si>
    <t>645SPE171A</t>
  </si>
  <si>
    <t>601GOA089A</t>
  </si>
  <si>
    <t>بليسد تري</t>
  </si>
  <si>
    <t>مينا تك</t>
  </si>
  <si>
    <t>اللوتس</t>
  </si>
  <si>
    <t>م بدر</t>
  </si>
  <si>
    <t>المجد</t>
  </si>
  <si>
    <t>26/1/2026</t>
  </si>
  <si>
    <t>28/1/2026</t>
  </si>
  <si>
    <t>31/1/2026</t>
  </si>
  <si>
    <t>لوجيا</t>
  </si>
  <si>
    <t>الصف</t>
  </si>
  <si>
    <t>24*20</t>
  </si>
  <si>
    <t>زونج</t>
  </si>
  <si>
    <t>صور ضوئية</t>
  </si>
  <si>
    <t>برستيج</t>
  </si>
  <si>
    <t>اسمنت</t>
  </si>
  <si>
    <t>4*20</t>
  </si>
  <si>
    <t>او ان تي</t>
  </si>
  <si>
    <t>هيتاشي</t>
  </si>
  <si>
    <t>ارستون</t>
  </si>
  <si>
    <t>اروماتك</t>
  </si>
  <si>
    <t>الاندلس</t>
  </si>
  <si>
    <t>انشاص/العاشر</t>
  </si>
  <si>
    <t>بي سيفتي</t>
  </si>
  <si>
    <t>الصعيد</t>
  </si>
  <si>
    <t>الاسراء</t>
  </si>
  <si>
    <t>قها</t>
  </si>
  <si>
    <t>3/2/2026</t>
  </si>
  <si>
    <t>الانارة العامة</t>
  </si>
  <si>
    <t>انا لسيز</t>
  </si>
  <si>
    <t>حدايق أكتوبر</t>
  </si>
  <si>
    <t>1*40+1*20</t>
  </si>
  <si>
    <t xml:space="preserve">كريستال </t>
  </si>
  <si>
    <t>شبرا</t>
  </si>
  <si>
    <t>ليفار</t>
  </si>
  <si>
    <t xml:space="preserve">دي بي </t>
  </si>
  <si>
    <t>4/2/2026</t>
  </si>
  <si>
    <t>12*20</t>
  </si>
  <si>
    <t>22*20</t>
  </si>
  <si>
    <t>التوفيقية</t>
  </si>
  <si>
    <t>كينج اورنج</t>
  </si>
  <si>
    <t>نهاد</t>
  </si>
  <si>
    <t>275/2026</t>
  </si>
  <si>
    <t>2*40 ث</t>
  </si>
  <si>
    <t>الفاتح</t>
  </si>
  <si>
    <t>271/2026</t>
  </si>
  <si>
    <t>7/2/2026</t>
  </si>
  <si>
    <t>خط المطابخ</t>
  </si>
  <si>
    <t>المريوطية</t>
  </si>
  <si>
    <t>ابيك</t>
  </si>
  <si>
    <t>كوم حماده</t>
  </si>
  <si>
    <t>ال جي</t>
  </si>
  <si>
    <t>حلوان</t>
  </si>
  <si>
    <t>سي ستار</t>
  </si>
  <si>
    <t>بوصلة</t>
  </si>
  <si>
    <t>كابلات</t>
  </si>
  <si>
    <t>6*40</t>
  </si>
  <si>
    <t>النيل</t>
  </si>
  <si>
    <t>المصرية الاسترالية</t>
  </si>
  <si>
    <t>8/2/2026</t>
  </si>
  <si>
    <t>جرين روضة</t>
  </si>
  <si>
    <t>5*40 ث</t>
  </si>
  <si>
    <t>9/2/2026</t>
  </si>
  <si>
    <t>10/2/2026</t>
  </si>
  <si>
    <t>11/2/2026</t>
  </si>
  <si>
    <t>ايجل</t>
  </si>
  <si>
    <t>3*20</t>
  </si>
  <si>
    <t>بيدو</t>
  </si>
  <si>
    <t>12/2/2026</t>
  </si>
  <si>
    <t>ابيس</t>
  </si>
  <si>
    <t>14/2/2026</t>
  </si>
  <si>
    <t>18*20</t>
  </si>
  <si>
    <t>جي فريش</t>
  </si>
  <si>
    <t>351/2026</t>
  </si>
  <si>
    <t>الكرم</t>
  </si>
  <si>
    <t>معبد فارم</t>
  </si>
  <si>
    <t>القناطر</t>
  </si>
  <si>
    <t>لاكي</t>
  </si>
  <si>
    <t>طنطا / بورسعيد</t>
  </si>
  <si>
    <t>13/2/2026</t>
  </si>
  <si>
    <t>15/2/2026</t>
  </si>
  <si>
    <t>ايجي جلاس</t>
  </si>
  <si>
    <t>16/2/2026</t>
  </si>
  <si>
    <t>17/2/2026</t>
  </si>
  <si>
    <t>18/2/2026</t>
  </si>
  <si>
    <t>من دفعة 180 الف</t>
  </si>
  <si>
    <t>21/2/2026</t>
  </si>
  <si>
    <t>8*20</t>
  </si>
  <si>
    <t>14*20</t>
  </si>
  <si>
    <t>كمبيو هوم</t>
  </si>
  <si>
    <t>النور</t>
  </si>
  <si>
    <t>انترواكو</t>
  </si>
  <si>
    <t>ناتورالي</t>
  </si>
  <si>
    <t>سوبر فروت</t>
  </si>
  <si>
    <t>22/2/2026</t>
  </si>
  <si>
    <t>مانجمنت</t>
  </si>
  <si>
    <t>العاشر / ج بدر</t>
  </si>
  <si>
    <t>تي فارم</t>
  </si>
  <si>
    <t>الهندسية للصناعات</t>
  </si>
  <si>
    <t>أي تي او</t>
  </si>
  <si>
    <t>يوروتال</t>
  </si>
  <si>
    <t>العبور</t>
  </si>
  <si>
    <t>1*20 ث</t>
  </si>
  <si>
    <t>الصديق</t>
  </si>
  <si>
    <t>كفرالشيخ</t>
  </si>
  <si>
    <t>ميما فودز</t>
  </si>
  <si>
    <t>23/2/2026</t>
  </si>
  <si>
    <t>24/2/2026</t>
  </si>
  <si>
    <t>25/2/2026</t>
  </si>
  <si>
    <t>26/2/2026</t>
  </si>
  <si>
    <t>تامينات</t>
  </si>
  <si>
    <t>العليمي</t>
  </si>
  <si>
    <t>دين</t>
  </si>
  <si>
    <t>1/3/2026</t>
  </si>
  <si>
    <t>وزنة</t>
  </si>
  <si>
    <t>4*40+1*20</t>
  </si>
  <si>
    <t>اوركيد</t>
  </si>
  <si>
    <t>جولدن فيو</t>
  </si>
  <si>
    <t>منيا القمح</t>
  </si>
  <si>
    <t>الماكس</t>
  </si>
  <si>
    <t>المعمار</t>
  </si>
  <si>
    <t>باسوس / بدر</t>
  </si>
  <si>
    <t>2/3/2026</t>
  </si>
  <si>
    <t>اجري فود</t>
  </si>
  <si>
    <t>رشيد</t>
  </si>
  <si>
    <t>نورمله</t>
  </si>
  <si>
    <t>3/3/2026</t>
  </si>
  <si>
    <t>4/3/2026</t>
  </si>
  <si>
    <t>من مبلغ</t>
  </si>
  <si>
    <t>من 250 الف</t>
  </si>
  <si>
    <t>ميدكون</t>
  </si>
  <si>
    <t>ايجيبت</t>
  </si>
  <si>
    <t>النخلة تكس</t>
  </si>
  <si>
    <t>8*40 ث</t>
  </si>
  <si>
    <t>فليكس</t>
  </si>
  <si>
    <t>طرد</t>
  </si>
  <si>
    <t>انجنيرنج</t>
  </si>
  <si>
    <t>العلمين</t>
  </si>
  <si>
    <t>5/3/2026</t>
  </si>
  <si>
    <t>7/3/2026</t>
  </si>
  <si>
    <t>تومكو</t>
  </si>
  <si>
    <t>المنيا</t>
  </si>
  <si>
    <t>8/3/2026</t>
  </si>
  <si>
    <t>9/3/2026</t>
  </si>
  <si>
    <t xml:space="preserve">بني سويف /ابوقير </t>
  </si>
  <si>
    <t>المعادي</t>
  </si>
  <si>
    <t>محمد رمضان</t>
  </si>
  <si>
    <t>دمنهور</t>
  </si>
  <si>
    <t>11/3/2026</t>
  </si>
  <si>
    <t>12/3/2026</t>
  </si>
  <si>
    <t>14/3/2026</t>
  </si>
  <si>
    <t>المصرية للبذور</t>
  </si>
  <si>
    <t>الجيزة</t>
  </si>
  <si>
    <t>28/2/2026</t>
  </si>
  <si>
    <t>الكرنك</t>
  </si>
  <si>
    <t>بوليدو</t>
  </si>
  <si>
    <t>مكارم تكس</t>
  </si>
  <si>
    <t>أبو رواش</t>
  </si>
  <si>
    <t>15/3/2026</t>
  </si>
  <si>
    <t>16/3/2026</t>
  </si>
  <si>
    <t>17/3/2026</t>
  </si>
  <si>
    <t>18/3/2026</t>
  </si>
  <si>
    <t>24/3/2026</t>
  </si>
  <si>
    <t>26/3/2026</t>
  </si>
  <si>
    <t>ام اس</t>
  </si>
  <si>
    <t>الامل</t>
  </si>
  <si>
    <t>العربية</t>
  </si>
  <si>
    <t>2*40+1*20</t>
  </si>
  <si>
    <t>الملاحي</t>
  </si>
  <si>
    <t>28/3/2026</t>
  </si>
  <si>
    <t>نايلكس</t>
  </si>
  <si>
    <t>أكتوبر //</t>
  </si>
  <si>
    <t>3*40 ث</t>
  </si>
  <si>
    <t>الجمل</t>
  </si>
  <si>
    <t>3 أماكن</t>
  </si>
  <si>
    <t>9*40</t>
  </si>
  <si>
    <t>29/3/2026</t>
  </si>
  <si>
    <t>ايتال دور</t>
  </si>
  <si>
    <t>30/3/2026</t>
  </si>
  <si>
    <t>وادي النطرون</t>
  </si>
  <si>
    <t>37*20</t>
  </si>
  <si>
    <t>الفيحاء</t>
  </si>
  <si>
    <t>618/2026</t>
  </si>
  <si>
    <t>سنابل الخير</t>
  </si>
  <si>
    <t>الامراء</t>
  </si>
  <si>
    <t>الفارس للحلاوة</t>
  </si>
  <si>
    <t>مكنسل</t>
  </si>
  <si>
    <t>896318/894052</t>
  </si>
  <si>
    <t>31/3/2026</t>
  </si>
  <si>
    <t>1/4/2026</t>
  </si>
  <si>
    <t>السادات / ابوقير</t>
  </si>
  <si>
    <t>2/4/2026</t>
  </si>
  <si>
    <t>كينج مريوط</t>
  </si>
  <si>
    <t>ألوكس</t>
  </si>
  <si>
    <t>6/4/2026</t>
  </si>
  <si>
    <t>يونيتك</t>
  </si>
  <si>
    <t>فروت</t>
  </si>
  <si>
    <t>ميجا بورت</t>
  </si>
  <si>
    <t>فارما سويدي</t>
  </si>
  <si>
    <t>اوشن</t>
  </si>
  <si>
    <t>هيبريون</t>
  </si>
  <si>
    <t>جيمستون</t>
  </si>
  <si>
    <t>انشاص</t>
  </si>
  <si>
    <t>9/4/2026</t>
  </si>
  <si>
    <t>مصر العبور</t>
  </si>
  <si>
    <t>جسر السويس</t>
  </si>
  <si>
    <t>7/4/2026</t>
  </si>
  <si>
    <t>وزارة الدفاع</t>
  </si>
  <si>
    <t>القاهرة</t>
  </si>
  <si>
    <t>دهشور</t>
  </si>
  <si>
    <t>يوروفان</t>
  </si>
  <si>
    <t>المصرية السعودية</t>
  </si>
  <si>
    <t>1*45</t>
  </si>
  <si>
    <t>12/4/2026</t>
  </si>
  <si>
    <t>شمال افرقيا</t>
  </si>
  <si>
    <t>الدولية / وارد</t>
  </si>
  <si>
    <t>سينجر</t>
  </si>
  <si>
    <t>حصني</t>
  </si>
  <si>
    <t>شق التعبان</t>
  </si>
  <si>
    <t>طرود</t>
  </si>
  <si>
    <t>سوفتكس</t>
  </si>
  <si>
    <t>اجرولاند</t>
  </si>
  <si>
    <t>اتش دي</t>
  </si>
  <si>
    <t>ايتاي البارود</t>
  </si>
  <si>
    <t>1*40 اوبن</t>
  </si>
  <si>
    <t>ام كي</t>
  </si>
  <si>
    <t>7*20</t>
  </si>
  <si>
    <t>14/4/2026</t>
  </si>
  <si>
    <t>15/4/2026</t>
  </si>
  <si>
    <t>المصرية ميدكال</t>
  </si>
  <si>
    <t>خوري ستاند</t>
  </si>
  <si>
    <t>ميجامار</t>
  </si>
  <si>
    <t>المتحدة للمسابك</t>
  </si>
  <si>
    <t>جلوبال جرين</t>
  </si>
  <si>
    <t>البارق</t>
  </si>
  <si>
    <t>ايتامكو</t>
  </si>
  <si>
    <t>اجروفودز</t>
  </si>
  <si>
    <t>الزهراء</t>
  </si>
  <si>
    <t>14*40</t>
  </si>
  <si>
    <t>ط التحدي</t>
  </si>
  <si>
    <t>سموحة</t>
  </si>
  <si>
    <t>17/4/2026</t>
  </si>
  <si>
    <t>الدولية للبن</t>
  </si>
  <si>
    <t>نافيكس</t>
  </si>
  <si>
    <t>20/4/2026</t>
  </si>
  <si>
    <t>23/4/2026</t>
  </si>
  <si>
    <t>24/4/2026</t>
  </si>
  <si>
    <t>أبو المطامير</t>
  </si>
  <si>
    <t>المنسي</t>
  </si>
  <si>
    <t>كفر الزيات</t>
  </si>
  <si>
    <t>اوبال شعراوي</t>
  </si>
  <si>
    <t>شبرا / بدر</t>
  </si>
  <si>
    <t>هيتاك</t>
  </si>
  <si>
    <t>931A</t>
  </si>
  <si>
    <t>931B</t>
  </si>
  <si>
    <t>931C</t>
  </si>
  <si>
    <t>15*20</t>
  </si>
  <si>
    <t>5*40+2*40OT</t>
  </si>
  <si>
    <t>3*40+1*20+1*20OT</t>
  </si>
  <si>
    <t>كادمار</t>
  </si>
  <si>
    <t>فيمص</t>
  </si>
  <si>
    <t>السعد</t>
  </si>
  <si>
    <t>دمياط</t>
  </si>
  <si>
    <t>مؤسسة الزكاة/بدر</t>
  </si>
  <si>
    <t>مشكل</t>
  </si>
  <si>
    <t>15*40</t>
  </si>
  <si>
    <t>تغليف</t>
  </si>
  <si>
    <t>تستيف</t>
  </si>
  <si>
    <t>16606551/511</t>
  </si>
  <si>
    <t>الوفاق السعودي</t>
  </si>
  <si>
    <t>استيل</t>
  </si>
  <si>
    <t>4*40 OT</t>
  </si>
  <si>
    <t>بيوند</t>
  </si>
  <si>
    <t>الأقصر</t>
  </si>
  <si>
    <t>650 دولار</t>
  </si>
  <si>
    <t>م دينا</t>
  </si>
  <si>
    <t>سفير</t>
  </si>
  <si>
    <t>فود اليانس</t>
  </si>
  <si>
    <t>أبو غالب</t>
  </si>
  <si>
    <t>30/4/2026</t>
  </si>
  <si>
    <t>طنطا</t>
  </si>
  <si>
    <t>المصرية اليابانية</t>
  </si>
  <si>
    <t>2 فرش</t>
  </si>
  <si>
    <t>سمارت لاند</t>
  </si>
  <si>
    <t>ظلال الشام</t>
  </si>
  <si>
    <t>العاشر/ دمياط</t>
  </si>
  <si>
    <t>فريست</t>
  </si>
  <si>
    <t>الحوامدية</t>
  </si>
  <si>
    <t xml:space="preserve">المراعي </t>
  </si>
  <si>
    <t>سفنكس</t>
  </si>
  <si>
    <t>العسل</t>
  </si>
  <si>
    <t>دسوق</t>
  </si>
  <si>
    <t>البستانية</t>
  </si>
  <si>
    <t>ولاء</t>
  </si>
  <si>
    <t>تاج</t>
  </si>
  <si>
    <t xml:space="preserve">ايجل </t>
  </si>
  <si>
    <t>انستا</t>
  </si>
  <si>
    <t>جرين لاينر</t>
  </si>
  <si>
    <t>ماكستيلا</t>
  </si>
  <si>
    <t>إسطنبول</t>
  </si>
  <si>
    <t>منتريد</t>
  </si>
  <si>
    <t>سيناتور</t>
  </si>
  <si>
    <t>سفاجا</t>
  </si>
  <si>
    <t>6*20</t>
  </si>
  <si>
    <t>613-117A</t>
  </si>
  <si>
    <t>9*20</t>
  </si>
  <si>
    <t>البوشي</t>
  </si>
  <si>
    <t>613-130</t>
  </si>
  <si>
    <t>عامل كلارك</t>
  </si>
  <si>
    <t>بافاريا</t>
  </si>
  <si>
    <t>منترا</t>
  </si>
  <si>
    <t>تتفريغ</t>
  </si>
  <si>
    <t>ايزيس</t>
  </si>
  <si>
    <t>جمصه</t>
  </si>
  <si>
    <t xml:space="preserve"> 2بالتة</t>
  </si>
  <si>
    <t>الكوثر</t>
  </si>
  <si>
    <t>613-133</t>
  </si>
  <si>
    <t>دلتا للتجارة</t>
  </si>
  <si>
    <t>613-210</t>
  </si>
  <si>
    <t>اوريانتا</t>
  </si>
  <si>
    <t>المصرية للتكيفات</t>
  </si>
  <si>
    <t>انشاص/ العبور</t>
  </si>
  <si>
    <t>خصم</t>
  </si>
  <si>
    <t>صن رايز</t>
  </si>
  <si>
    <t>عرب مساعد</t>
  </si>
  <si>
    <t>ادفاليو</t>
  </si>
  <si>
    <t>اسبايس</t>
  </si>
  <si>
    <t>دبابة مقفول</t>
  </si>
  <si>
    <t>براند ايد</t>
  </si>
  <si>
    <t>مؤسسة الزكاة</t>
  </si>
  <si>
    <t>فيوتشر بايب</t>
  </si>
  <si>
    <t>كروشيبنج</t>
  </si>
  <si>
    <t>ايمن رضوان</t>
  </si>
  <si>
    <t>محمد خالد</t>
  </si>
  <si>
    <t>1*20 ثقي</t>
  </si>
  <si>
    <t>الزاوية</t>
  </si>
  <si>
    <t>أي اس</t>
  </si>
  <si>
    <t>كير بلس</t>
  </si>
  <si>
    <t>عامرية</t>
  </si>
  <si>
    <t>5*40+1*20فلات</t>
  </si>
  <si>
    <t>نيموس</t>
  </si>
  <si>
    <t>القطا</t>
  </si>
  <si>
    <t>ذا روك</t>
  </si>
  <si>
    <t>26/5/2026</t>
  </si>
  <si>
    <t>28/4/2026</t>
  </si>
  <si>
    <t>يوروكيم</t>
  </si>
  <si>
    <t>شبين</t>
  </si>
  <si>
    <t>ايجل واي</t>
  </si>
  <si>
    <t>انيرجيا</t>
  </si>
  <si>
    <t>ماندوليز</t>
  </si>
  <si>
    <t>نوفارم</t>
  </si>
  <si>
    <t>فلامنجو</t>
  </si>
  <si>
    <t>جسر السويس / بدر</t>
  </si>
  <si>
    <t>ايقون</t>
  </si>
  <si>
    <t>17*40</t>
  </si>
  <si>
    <t>11*40</t>
  </si>
  <si>
    <t>لات</t>
  </si>
  <si>
    <t>سيلوباك</t>
  </si>
  <si>
    <t>كايرو فروت</t>
  </si>
  <si>
    <t>اورجانيك</t>
  </si>
  <si>
    <t>ان اوتو</t>
  </si>
  <si>
    <t xml:space="preserve">نور الدين </t>
  </si>
  <si>
    <t>2/6/2026</t>
  </si>
  <si>
    <t>بريلي</t>
  </si>
  <si>
    <t>617-95</t>
  </si>
  <si>
    <t>909100B</t>
  </si>
  <si>
    <t>ايديال استاندر</t>
  </si>
  <si>
    <t>الحمامي</t>
  </si>
  <si>
    <t>20*20</t>
  </si>
  <si>
    <t>انترباك</t>
  </si>
  <si>
    <t>فيرست</t>
  </si>
  <si>
    <t>كفر الشيخ</t>
  </si>
  <si>
    <t>ايدن فودز</t>
  </si>
  <si>
    <t>محمد أسامة</t>
  </si>
  <si>
    <t>العريش</t>
  </si>
  <si>
    <t>الرافة</t>
  </si>
  <si>
    <t>مركز بدر</t>
  </si>
  <si>
    <t>الخليج</t>
  </si>
  <si>
    <t>ميت غمر</t>
  </si>
  <si>
    <t>كوسكو</t>
  </si>
  <si>
    <t>MSC</t>
  </si>
  <si>
    <t>ONE</t>
  </si>
  <si>
    <t>راضي الدولية</t>
  </si>
  <si>
    <t>المصرية الألمانية</t>
  </si>
  <si>
    <t>جولدن اوربت</t>
  </si>
  <si>
    <t>مكس تندر</t>
  </si>
  <si>
    <t>فلورا</t>
  </si>
  <si>
    <t>GFS</t>
  </si>
  <si>
    <t>غرامة 310 دولار</t>
  </si>
  <si>
    <t>غبور مصر</t>
  </si>
  <si>
    <t>بريف مان</t>
  </si>
  <si>
    <t>شبرا الخيمة</t>
  </si>
  <si>
    <t>24*40</t>
  </si>
  <si>
    <t>روتس</t>
  </si>
  <si>
    <t>12*40 ث</t>
  </si>
  <si>
    <t>المصرية الاسبانية</t>
  </si>
  <si>
    <t>618-133</t>
  </si>
  <si>
    <t>618-134</t>
  </si>
  <si>
    <t>618-025</t>
  </si>
  <si>
    <t>اتش ام</t>
  </si>
  <si>
    <t>42*40</t>
  </si>
  <si>
    <t>الزيوت</t>
  </si>
  <si>
    <t>محرم بك</t>
  </si>
  <si>
    <t>العالمية</t>
  </si>
  <si>
    <t>سيروبلاست</t>
  </si>
  <si>
    <t>926404A</t>
  </si>
  <si>
    <t>926404B</t>
  </si>
  <si>
    <t>راما للزيوت</t>
  </si>
  <si>
    <t>كوم + بدر</t>
  </si>
  <si>
    <t>العدوي</t>
  </si>
  <si>
    <t>كينج فريش</t>
  </si>
  <si>
    <t>احمد نصر</t>
  </si>
  <si>
    <t>يوسف مجدي</t>
  </si>
  <si>
    <t xml:space="preserve">دانتي </t>
  </si>
  <si>
    <t>بلوم</t>
  </si>
  <si>
    <t>التجمع</t>
  </si>
  <si>
    <t>مرغم</t>
  </si>
  <si>
    <t>أي اس او</t>
  </si>
  <si>
    <t>سامسونج</t>
  </si>
  <si>
    <t>619-3</t>
  </si>
  <si>
    <t xml:space="preserve">السويدي </t>
  </si>
  <si>
    <t>5 بالتة</t>
  </si>
  <si>
    <t>كاريزما</t>
  </si>
  <si>
    <t>حماده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</si>
</sst>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scheme val="minor"/>
    </font>
    <font>
      <b/>
      <sz val="14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2" borderId="0" xfId="0" applyFont="1" applyFill="1" applyAlignment="1">
      <alignment horizontal="center" vertical="center"/>
    </xf>
    <xf numFmtId="16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" fontId="2" fillId="2" borderId="0" xfId="0" applyNumberFormat="1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" fontId="1" fillId="8" borderId="1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7" fontId="1" fillId="6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6" fontId="8" fillId="2" borderId="0" xfId="0" applyNumberFormat="1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" fontId="6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6" fontId="9" fillId="2" borderId="0" xfId="0" applyNumberFormat="1" applyFont="1" applyFill="1" applyAlignment="1">
      <alignment horizontal="center" vertical="center"/>
    </xf>
    <xf numFmtId="16" fontId="5" fillId="2" borderId="0" xfId="0" applyNumberFormat="1" applyFont="1" applyFill="1" applyAlignment="1">
      <alignment horizontal="center" vertical="center"/>
    </xf>
    <xf numFmtId="17" fontId="1" fillId="2" borderId="0" xfId="0" applyNumberFormat="1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" fontId="10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" fontId="7" fillId="2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6" fontId="15" fillId="2" borderId="0" xfId="0" applyNumberFormat="1" applyFont="1" applyFill="1" applyAlignment="1">
      <alignment horizontal="center" vertical="center"/>
    </xf>
    <xf numFmtId="17" fontId="15" fillId="2" borderId="0" xfId="0" applyNumberFormat="1" applyFont="1" applyFill="1" applyAlignment="1">
      <alignment horizontal="center" vertical="center"/>
    </xf>
    <xf numFmtId="14" fontId="15" fillId="2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16" fontId="18" fillId="2" borderId="0" xfId="0" applyNumberFormat="1" applyFont="1" applyFill="1" applyAlignment="1">
      <alignment horizontal="center" vertical="center"/>
    </xf>
    <xf numFmtId="16" fontId="17" fillId="2" borderId="0" xfId="0" applyNumberFormat="1" applyFont="1" applyFill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" fontId="3" fillId="2" borderId="0" xfId="0" applyNumberFormat="1" applyFont="1" applyFill="1" applyAlignment="1">
      <alignment horizontal="center" vertical="center"/>
    </xf>
    <xf numFmtId="16" fontId="22" fillId="2" borderId="0" xfId="0" applyNumberFormat="1" applyFont="1" applyFill="1" applyAlignment="1">
      <alignment horizontal="center" vertical="center"/>
    </xf>
    <xf numFmtId="16" fontId="16" fillId="2" borderId="0" xfId="0" applyNumberFormat="1" applyFont="1" applyFill="1" applyAlignment="1">
      <alignment horizontal="center" vertical="center"/>
    </xf>
    <xf numFmtId="16" fontId="21" fillId="2" borderId="0" xfId="0" applyNumberFormat="1" applyFont="1" applyFill="1" applyAlignment="1">
      <alignment horizontal="center" vertical="center"/>
    </xf>
    <xf numFmtId="9" fontId="1" fillId="2" borderId="0" xfId="0" applyNumberFormat="1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7" fontId="10" fillId="2" borderId="1" xfId="0" applyNumberFormat="1" applyFont="1" applyFill="1" applyBorder="1" applyAlignment="1">
      <alignment horizontal="center" vertical="center"/>
    </xf>
    <xf numFmtId="16" fontId="11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16" fontId="1" fillId="13" borderId="0" xfId="0" applyNumberFormat="1" applyFont="1" applyFill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21" fillId="13" borderId="0" xfId="0" applyFont="1" applyFill="1" applyAlignment="1">
      <alignment horizontal="center" vertical="center"/>
    </xf>
    <xf numFmtId="0" fontId="22" fillId="13" borderId="0" xfId="0" applyFont="1" applyFill="1" applyAlignment="1">
      <alignment horizontal="center" vertical="center"/>
    </xf>
    <xf numFmtId="16" fontId="15" fillId="13" borderId="0" xfId="0" applyNumberFormat="1" applyFont="1" applyFill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16" fontId="21" fillId="13" borderId="0" xfId="0" applyNumberFormat="1" applyFont="1" applyFill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16" fontId="2" fillId="13" borderId="0" xfId="0" applyNumberFormat="1" applyFont="1" applyFill="1" applyAlignment="1">
      <alignment horizontal="center" vertical="center"/>
    </xf>
    <xf numFmtId="16" fontId="22" fillId="13" borderId="0" xfId="0" applyNumberFormat="1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21" fillId="15" borderId="0" xfId="0" applyFont="1" applyFill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13" borderId="0" xfId="0" applyFont="1" applyFill="1" applyAlignment="1">
      <alignment horizontal="center" vertical="center"/>
    </xf>
    <xf numFmtId="14" fontId="1" fillId="13" borderId="0" xfId="0" applyNumberFormat="1" applyFont="1" applyFill="1" applyAlignment="1">
      <alignment horizontal="center" vertical="center"/>
    </xf>
    <xf numFmtId="16" fontId="24" fillId="13" borderId="0" xfId="0" applyNumberFormat="1" applyFont="1" applyFill="1" applyAlignment="1">
      <alignment horizontal="center" vertical="center"/>
    </xf>
    <xf numFmtId="14" fontId="24" fillId="13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5" fillId="13" borderId="0" xfId="0" applyFont="1" applyFill="1" applyAlignment="1">
      <alignment horizontal="center" vertical="center"/>
    </xf>
    <xf numFmtId="16" fontId="25" fillId="13" borderId="0" xfId="0" applyNumberFormat="1" applyFont="1" applyFill="1" applyAlignment="1">
      <alignment horizontal="center" vertical="center"/>
    </xf>
    <xf numFmtId="16" fontId="17" fillId="13" borderId="0" xfId="0" applyNumberFormat="1" applyFont="1" applyFill="1" applyAlignment="1">
      <alignment horizontal="center" vertical="center"/>
    </xf>
    <xf numFmtId="16" fontId="24" fillId="2" borderId="0" xfId="0" applyNumberFormat="1" applyFont="1" applyFill="1" applyAlignment="1">
      <alignment horizontal="center" vertical="center"/>
    </xf>
    <xf numFmtId="0" fontId="24" fillId="11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4" fillId="2" borderId="0" xfId="0" applyNumberFormat="1" applyFont="1" applyFill="1" applyAlignment="1">
      <alignment horizontal="center" vertical="center"/>
    </xf>
    <xf numFmtId="0" fontId="24" fillId="1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86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13000000}" name="Table11819202310303132353839" displayName="Table11819202310303132353839" ref="B1:M374" totalsRowShown="0" headerRowDxfId="852" dataDxfId="851">
  <autoFilter ref="B1:M374" xr:uid="{00000000-0009-0000-0100-000026000000}"/>
  <tableColumns count="12">
    <tableColumn id="1" xr3:uid="{00000000-0010-0000-1300-000001000000}" name="م" dataDxfId="850"/>
    <tableColumn id="7" xr3:uid="{00000000-0010-0000-1300-000007000000}" name="التاريخ" dataDxfId="849"/>
    <tableColumn id="10" xr3:uid="{00000000-0010-0000-1300-00000A000000}" name="رقم الاذن" dataDxfId="848"/>
    <tableColumn id="3" xr3:uid="{00000000-0010-0000-1300-000003000000}" name="عدد الحاويات" dataDxfId="847"/>
    <tableColumn id="4" xr3:uid="{00000000-0010-0000-1300-000004000000}" name="النولون" dataDxfId="846">
      <calculatedColumnFormula>3*23000</calculatedColumnFormula>
    </tableColumn>
    <tableColumn id="13" xr3:uid="{00000000-0010-0000-1300-00000D000000}" name="قيمة مضافة" dataDxfId="845"/>
    <tableColumn id="5" xr3:uid="{00000000-0010-0000-1300-000005000000}" name="الايصالات" dataDxfId="844">
      <calculatedColumnFormula>100+100+100+101.07+363.44+102.24+102.24+665.11+665.11+180+350+350+350+150.5+14921+3140</calculatedColumnFormula>
    </tableColumn>
    <tableColumn id="8" xr3:uid="{00000000-0010-0000-1300-000008000000}" name="اجمالي الفاتوره" dataDxfId="843">
      <calculatedColumnFormula>Table11819202310303132353839[[#This Row],[النولون]]+Table11819202310303132353839[[#This Row],[الايصالات]]-#REF!+Table11819202310303132353839[[#This Row],[قيمة مضافة]]</calculatedColumnFormula>
    </tableColumn>
    <tableColumn id="9" xr3:uid="{00000000-0010-0000-1300-000009000000}" name="الدفعات" dataDxfId="842"/>
    <tableColumn id="6" xr3:uid="{00000000-0010-0000-1300-000006000000}" name="اجمالي الحساب" dataDxfId="841">
      <calculatedColumnFormula>Table11819202310303132353839[[#This Row],[اجمالي الفاتوره]]-Table11819202310303132353839[[#This Row],[الدفعات]]</calculatedColumnFormula>
    </tableColumn>
    <tableColumn id="14" xr3:uid="{00000000-0010-0000-1300-00000E000000}" name="Column1" dataDxfId="840"/>
    <tableColumn id="15" xr3:uid="{F9C86C14-D5BC-48D1-857D-A627C8FFA113}" name="Column2" dataDxfId="839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15000000}" name="Table1181920231030313235383940" displayName="Table1181920231030313235383940" ref="B1:O347" totalsRowShown="0" headerRowDxfId="838" dataDxfId="837">
  <autoFilter ref="B1:O347" xr:uid="{00000000-0009-0000-0100-000027000000}"/>
  <tableColumns count="14">
    <tableColumn id="1" xr3:uid="{00000000-0010-0000-1500-000001000000}" name="م" dataDxfId="836"/>
    <tableColumn id="7" xr3:uid="{00000000-0010-0000-1500-000007000000}" name="التاريخ" dataDxfId="835"/>
    <tableColumn id="2" xr3:uid="{00000000-0010-0000-1500-000002000000}" name="اسم الشركه " dataDxfId="834"/>
    <tableColumn id="11" xr3:uid="{00000000-0010-0000-1500-00000B000000}" name="العنوان" dataDxfId="833"/>
    <tableColumn id="10" xr3:uid="{00000000-0010-0000-1500-00000A000000}" name="رقم الاذن" dataDxfId="832"/>
    <tableColumn id="3" xr3:uid="{00000000-0010-0000-1500-000003000000}" name="عدد الحاويات" dataDxfId="831"/>
    <tableColumn id="4" xr3:uid="{00000000-0010-0000-1500-000004000000}" name="النولون" dataDxfId="830"/>
    <tableColumn id="13" xr3:uid="{00000000-0010-0000-1500-00000D000000}" name="قيمة مضافة" dataDxfId="829"/>
    <tableColumn id="5" xr3:uid="{00000000-0010-0000-1500-000005000000}" name="الايصالات" dataDxfId="828">
      <calculatedColumnFormula>250+50+145+100</calculatedColumnFormula>
    </tableColumn>
    <tableColumn id="8" xr3:uid="{00000000-0010-0000-1500-000008000000}" name="اجمالي الفاتوره" dataDxfId="827">
      <calculatedColumnFormula>Table1181920231030313235383940[[#This Row],[النولون]]+Table1181920231030313235383940[[#This Row],[الايصالات]]+Table1181920231030313235383940[[#This Row],[قيمة مضافة]]</calculatedColumnFormula>
    </tableColumn>
    <tableColumn id="9" xr3:uid="{00000000-0010-0000-1500-000009000000}" name="الدفعات" dataDxfId="826"/>
    <tableColumn id="6" xr3:uid="{00000000-0010-0000-1500-000006000000}" name="اجمالي الحساب" dataDxfId="825">
      <calculatedColumnFormula>Table1181920231030313235383940[[#This Row],[اجمالي الفاتوره]]-Table1181920231030313235383940[[#This Row],[الدفعات]]</calculatedColumnFormula>
    </tableColumn>
    <tableColumn id="14" xr3:uid="{00000000-0010-0000-1500-00000E000000}" name="Column1" dataDxfId="824"/>
    <tableColumn id="15" xr3:uid="{3821E7A9-2E07-4173-A1D6-785111573375}" name="Column2" dataDxfId="823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24000000}" name="Table118192023103031323538394041481115182028" displayName="Table118192023103031323538394041481115182028" ref="B1:N349" totalsRowShown="0" headerRowDxfId="822" dataDxfId="821">
  <autoFilter ref="B1:N349" xr:uid="{00000000-0009-0000-0100-00001B000000}"/>
  <tableColumns count="13">
    <tableColumn id="1" xr3:uid="{00000000-0010-0000-2400-000001000000}" name="م" dataDxfId="820"/>
    <tableColumn id="7" xr3:uid="{00000000-0010-0000-2400-000007000000}" name="التاريخ" dataDxfId="819"/>
    <tableColumn id="10" xr3:uid="{00000000-0010-0000-2400-00000A000000}" name="رقم الاذن" dataDxfId="818"/>
    <tableColumn id="2" xr3:uid="{A46ED21E-66DB-40E4-AC3D-B9BE02EE0D0F}" name="توكيل" dataDxfId="817"/>
    <tableColumn id="3" xr3:uid="{00000000-0010-0000-2400-000003000000}" name="عدد الحاويات" dataDxfId="816"/>
    <tableColumn id="4" xr3:uid="{00000000-0010-0000-2400-000004000000}" name="النولون" dataDxfId="815"/>
    <tableColumn id="13" xr3:uid="{00000000-0010-0000-2400-00000D000000}" name="قيمة مضافة" dataDxfId="814"/>
    <tableColumn id="5" xr3:uid="{00000000-0010-0000-2400-000005000000}" name="الايصالات" dataDxfId="813">
      <calculatedColumnFormula>80+80.84+338.77+1000+3538</calculatedColumnFormula>
    </tableColumn>
    <tableColumn id="8" xr3:uid="{00000000-0010-0000-2400-000008000000}" name="اجمالي الفاتوره" dataDxfId="812">
      <calculatedColumnFormula>Table118192023103031323538394041481115182028[[#This Row],[النولون]]+Table118192023103031323538394041481115182028[[#This Row],[الايصالات]]+Table118192023103031323538394041481115182028[[#This Row],[قيمة مضافة]]</calculatedColumnFormula>
    </tableColumn>
    <tableColumn id="9" xr3:uid="{00000000-0010-0000-2400-000009000000}" name="الدفعات" dataDxfId="811"/>
    <tableColumn id="6" xr3:uid="{00000000-0010-0000-2400-000006000000}" name="اجمالي الحساب" dataDxfId="810">
      <calculatedColumnFormula>Table118192023103031323538394041481115182028[[#This Row],[اجمالي الفاتوره]]-Table118192023103031323538394041481115182028[[#This Row],[الدفعات]]</calculatedColumnFormula>
    </tableColumn>
    <tableColumn id="14" xr3:uid="{00000000-0010-0000-2400-00000E000000}" name="Column1" dataDxfId="809"/>
    <tableColumn id="11" xr3:uid="{E3AFF22F-CDE3-47E4-9DDF-5A2E02BBB6E3}" name="Column2" dataDxfId="808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3000000}" name="Table1181920231030313235383940414811151820284359" displayName="Table1181920231030313235383940414811151820284359" ref="B1:O339" totalsRowShown="0" headerRowDxfId="807" dataDxfId="806">
  <autoFilter ref="B1:O339" xr:uid="{00000000-0009-0000-0100-00003A000000}"/>
  <tableColumns count="14">
    <tableColumn id="1" xr3:uid="{00000000-0010-0000-3300-000001000000}" name="م" dataDxfId="805"/>
    <tableColumn id="7" xr3:uid="{00000000-0010-0000-3300-000007000000}" name="التاريخ" dataDxfId="804"/>
    <tableColumn id="2" xr3:uid="{00000000-0010-0000-3300-000002000000}" name="اسم الشركه " dataDxfId="803"/>
    <tableColumn id="11" xr3:uid="{00000000-0010-0000-3300-00000B000000}" name="العنوان" dataDxfId="802"/>
    <tableColumn id="10" xr3:uid="{00000000-0010-0000-3300-00000A000000}" name="رقم الاذن" dataDxfId="801"/>
    <tableColumn id="3" xr3:uid="{00000000-0010-0000-3300-000003000000}" name="عدد الحاويات" dataDxfId="800"/>
    <tableColumn id="4" xr3:uid="{00000000-0010-0000-3300-000004000000}" name="النولون" dataDxfId="799"/>
    <tableColumn id="13" xr3:uid="{00000000-0010-0000-3300-00000D000000}" name="قيمة مضافة" dataDxfId="798"/>
    <tableColumn id="5" xr3:uid="{00000000-0010-0000-3300-000005000000}" name="الايصالات" dataDxfId="797">
      <calculatedColumnFormula>80+80.84+338.77+1000+3538</calculatedColumnFormula>
    </tableColumn>
    <tableColumn id="8" xr3:uid="{00000000-0010-0000-3300-000008000000}" name="اجمالي الفاتوره" dataDxfId="796">
      <calculatedColumnFormula>Table1181920231030313235383940414811151820284359[[#This Row],[النولون]]+Table1181920231030313235383940414811151820284359[[#This Row],[الايصالات]]+Table1181920231030313235383940414811151820284359[[#This Row],[قيمة مضافة]]</calculatedColumnFormula>
    </tableColumn>
    <tableColumn id="9" xr3:uid="{00000000-0010-0000-3300-000009000000}" name="الدفعات" dataDxfId="795"/>
    <tableColumn id="6" xr3:uid="{00000000-0010-0000-3300-000006000000}" name="اجمالي الحساب" dataDxfId="794">
      <calculatedColumnFormula>Table1181920231030313235383940414811151820284359[[#This Row],[اجمالي الفاتوره]]-Table1181920231030313235383940414811151820284359[[#This Row],[الدفعات]]</calculatedColumnFormula>
    </tableColumn>
    <tableColumn id="14" xr3:uid="{00000000-0010-0000-3300-00000E000000}" name="Column1" dataDxfId="793"/>
    <tableColumn id="15" xr3:uid="{A2F363A6-021D-41D1-B7B5-978E6AB4FD77}" name="Column2" dataDxfId="792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32000000}" name="Table11819202310303132353839404148111518202843" displayName="Table11819202310303132353839404148111518202843" ref="B1:O343" totalsRowShown="0" headerRowDxfId="791" dataDxfId="790">
  <autoFilter ref="B1:O343" xr:uid="{00000000-0009-0000-0100-00002A000000}"/>
  <tableColumns count="14">
    <tableColumn id="1" xr3:uid="{00000000-0010-0000-3200-000001000000}" name="م" dataDxfId="789"/>
    <tableColumn id="7" xr3:uid="{00000000-0010-0000-3200-000007000000}" name="التاريخ" dataDxfId="788"/>
    <tableColumn id="2" xr3:uid="{00000000-0010-0000-3200-000002000000}" name="اسم الشركه " dataDxfId="787"/>
    <tableColumn id="11" xr3:uid="{00000000-0010-0000-3200-00000B000000}" name="العنوان" dataDxfId="786"/>
    <tableColumn id="10" xr3:uid="{00000000-0010-0000-3200-00000A000000}" name="رقم الاذن" dataDxfId="785"/>
    <tableColumn id="3" xr3:uid="{00000000-0010-0000-3200-000003000000}" name="عدد الحاويات" dataDxfId="784"/>
    <tableColumn id="4" xr3:uid="{00000000-0010-0000-3200-000004000000}" name="النولون" dataDxfId="783"/>
    <tableColumn id="13" xr3:uid="{00000000-0010-0000-3200-00000D000000}" name="قيمة مضافة" dataDxfId="782">
      <calculatedColumnFormula>0.14*Table11819202310303132353839404148111518202843[[#This Row],[النولون]]</calculatedColumnFormula>
    </tableColumn>
    <tableColumn id="5" xr3:uid="{00000000-0010-0000-3200-000005000000}" name="الايصالات" dataDxfId="781">
      <calculatedColumnFormula>80+80.84+338.77+1000+3538</calculatedColumnFormula>
    </tableColumn>
    <tableColumn id="8" xr3:uid="{00000000-0010-0000-3200-000008000000}" name="اجمالي الفاتوره" dataDxfId="780">
      <calculatedColumnFormula>Table11819202310303132353839404148111518202843[[#This Row],[النولون]]+Table11819202310303132353839404148111518202843[[#This Row],[الايصالات]]+Table11819202310303132353839404148111518202843[[#This Row],[قيمة مضافة]]</calculatedColumnFormula>
    </tableColumn>
    <tableColumn id="9" xr3:uid="{00000000-0010-0000-3200-000009000000}" name="الدفعات" dataDxfId="779"/>
    <tableColumn id="6" xr3:uid="{00000000-0010-0000-3200-000006000000}" name="اجمالي الحساب" dataDxfId="778">
      <calculatedColumnFormula>Table11819202310303132353839404148111518202843[[#This Row],[اجمالي الفاتوره]]-Table11819202310303132353839404148111518202843[[#This Row],[الدفعات]]</calculatedColumnFormula>
    </tableColumn>
    <tableColumn id="14" xr3:uid="{00000000-0010-0000-3200-00000E000000}" name="Column1" dataDxfId="777"/>
    <tableColumn id="15" xr3:uid="{5DC2A4CE-BFD6-4D19-B572-B57002A76286}" name="Column2" dataDxfId="776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DC5135D-3430-4FE9-927E-EA2D19A70575}" name="Table118192023103031323538394041430" displayName="Table118192023103031323538394041430" ref="A1:O339" totalsRowShown="0" headerRowDxfId="775" dataDxfId="774">
  <autoFilter ref="A1:O339" xr:uid="{8DC5135D-3430-4FE9-927E-EA2D19A70575}"/>
  <tableColumns count="15">
    <tableColumn id="1" xr3:uid="{0F56E3CD-3CF6-4F1B-ABED-3F226A323E6C}" name="م" dataDxfId="773"/>
    <tableColumn id="7" xr3:uid="{5E1D908F-25E1-4F2F-AB22-FD03A2C41BF9}" name="التاريخ" dataDxfId="772"/>
    <tableColumn id="2" xr3:uid="{7610729C-CED4-46C8-BBCF-8F8F7EF69D64}" name="اسم الشركه " dataDxfId="771"/>
    <tableColumn id="11" xr3:uid="{31552B64-517D-490B-B662-B1EF8712045A}" name="العنوان" dataDxfId="770"/>
    <tableColumn id="10" xr3:uid="{A1FC310A-C476-4F47-A1FA-E8C6ADC2AE23}" name="رقم الاذن" dataDxfId="769"/>
    <tableColumn id="3" xr3:uid="{F0664355-1A8E-4FA6-A07B-5A64B55A79B1}" name="عدد الحاويات" dataDxfId="768"/>
    <tableColumn id="4" xr3:uid="{9DEB2F2E-4B14-4620-86F2-3943D246CF16}" name="النولون" dataDxfId="767"/>
    <tableColumn id="13" xr3:uid="{1EACB647-B217-4B56-A85B-6677594908EB}" name="قيمة مضافة" dataDxfId="766">
      <calculatedColumnFormula>0.14*Table118192023103031323538394041430[[#This Row],[النولون]]</calculatedColumnFormula>
    </tableColumn>
    <tableColumn id="12" xr3:uid="{D53775F7-E2E7-467A-BC97-39B6654E60F3}" name="خصم أ ت ص" dataDxfId="765">
      <calculatedColumnFormula>0.03*Table118192023103031323538394041430[[#This Row],[النولون]]</calculatedColumnFormula>
    </tableColumn>
    <tableColumn id="5" xr3:uid="{71A5A5C4-F6F3-4E37-8EEF-459F4E88D82E}" name="الايصالات" dataDxfId="764">
      <calculatedColumnFormula>80+80.84+338.77+1000+3538</calculatedColumnFormula>
    </tableColumn>
    <tableColumn id="8" xr3:uid="{A0CA37C4-9A0E-4CF6-BAEE-30482006E4EA}" name="اجمالي الفاتوره" dataDxfId="763">
      <calculatedColumnFormula>Table118192023103031323538394041430[[#This Row],[النولون]]+Table118192023103031323538394041430[[#This Row],[الايصالات]]-Table118192023103031323538394041430[[#This Row],[خصم أ ت ص]]+Table118192023103031323538394041430[[#This Row],[قيمة مضافة]]</calculatedColumnFormula>
    </tableColumn>
    <tableColumn id="9" xr3:uid="{0C7A71D3-6B2A-4E63-B653-D59C58F3DE2E}" name="الدفعات" dataDxfId="762"/>
    <tableColumn id="6" xr3:uid="{B60BF2F7-33BD-4865-B089-3D6FA90886A0}" name="اجمالي الحساب" dataDxfId="761">
      <calculatedColumnFormula>Table118192023103031323538394041430[[#This Row],[اجمالي الفاتوره]]-Table118192023103031323538394041430[[#This Row],[الدفعات]]</calculatedColumnFormula>
    </tableColumn>
    <tableColumn id="14" xr3:uid="{1F7D65AF-FBFF-46E6-A5A0-6A978A00233D}" name="Column1" dataDxfId="760"/>
    <tableColumn id="15" xr3:uid="{E5FDFA1F-6AF0-45F8-AC38-2859F368E9E7}" name="Column2" dataDxfId="759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1B000000}" name="Table1181920231030313235383940414" displayName="Table1181920231030313235383940414" ref="A1:O339" totalsRowShown="0" headerRowDxfId="758" dataDxfId="757">
  <autoFilter ref="A1:O339" xr:uid="{00000000-0009-0000-0100-000003000000}"/>
  <tableColumns count="15">
    <tableColumn id="1" xr3:uid="{00000000-0010-0000-1B00-000001000000}" name="م" dataDxfId="756"/>
    <tableColumn id="7" xr3:uid="{00000000-0010-0000-1B00-000007000000}" name="التاريخ" dataDxfId="755"/>
    <tableColumn id="2" xr3:uid="{00000000-0010-0000-1B00-000002000000}" name="اسم الشركه " dataDxfId="754"/>
    <tableColumn id="11" xr3:uid="{00000000-0010-0000-1B00-00000B000000}" name="العنوان" dataDxfId="753"/>
    <tableColumn id="10" xr3:uid="{00000000-0010-0000-1B00-00000A000000}" name="رقم الاذن" dataDxfId="752"/>
    <tableColumn id="3" xr3:uid="{00000000-0010-0000-1B00-000003000000}" name="عدد الحاويات" dataDxfId="751"/>
    <tableColumn id="4" xr3:uid="{00000000-0010-0000-1B00-000004000000}" name="النولون" dataDxfId="750"/>
    <tableColumn id="13" xr3:uid="{00000000-0010-0000-1B00-00000D000000}" name="قيمة مضافة" dataDxfId="749">
      <calculatedColumnFormula>0.14*Table1181920231030313235383940414[[#This Row],[النولون]]</calculatedColumnFormula>
    </tableColumn>
    <tableColumn id="12" xr3:uid="{00000000-0010-0000-1B00-00000C000000}" name="خصم أ ت ص" dataDxfId="748">
      <calculatedColumnFormula>0.03*Table1181920231030313235383940414[[#This Row],[النولون]]</calculatedColumnFormula>
    </tableColumn>
    <tableColumn id="5" xr3:uid="{00000000-0010-0000-1B00-000005000000}" name="الايصالات" dataDxfId="747">
      <calculatedColumnFormula>80+80.84+338.77+1000+3538</calculatedColumnFormula>
    </tableColumn>
    <tableColumn id="8" xr3:uid="{00000000-0010-0000-1B00-000008000000}" name="اجمالي الفاتوره" dataDxfId="746">
      <calculatedColumnFormula>Table1181920231030313235383940414[[#This Row],[النولون]]+Table1181920231030313235383940414[[#This Row],[الايصالات]]-Table1181920231030313235383940414[[#This Row],[خصم أ ت ص]]+Table1181920231030313235383940414[[#This Row],[قيمة مضافة]]</calculatedColumnFormula>
    </tableColumn>
    <tableColumn id="9" xr3:uid="{00000000-0010-0000-1B00-000009000000}" name="الدفعات" dataDxfId="745"/>
    <tableColumn id="6" xr3:uid="{00000000-0010-0000-1B00-000006000000}" name="اجمالي الحساب" dataDxfId="744">
      <calculatedColumnFormula>Table1181920231030313235383940414[[#This Row],[اجمالي الفاتوره]]-Table1181920231030313235383940414[[#This Row],[الدفعات]]</calculatedColumnFormula>
    </tableColumn>
    <tableColumn id="14" xr3:uid="{00000000-0010-0000-1B00-00000E000000}" name="Column1" dataDxfId="743"/>
    <tableColumn id="15" xr3:uid="{4F3A03C5-34F3-4C01-BD5A-4107DCCD3AE6}" name="Column2" dataDxfId="742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16000000}" name="Table118192023103031323538394042" displayName="Table118192023103031323538394042" ref="B1:O341" totalsRowCount="1" headerRowDxfId="741" dataDxfId="740" totalsRowDxfId="739">
  <autoFilter ref="B1:O340" xr:uid="{00000000-0009-0000-0100-000029000000}"/>
  <tableColumns count="14">
    <tableColumn id="1" xr3:uid="{00000000-0010-0000-1600-000001000000}" name="م" totalsRowLabel="Total" dataDxfId="738" totalsRowDxfId="737"/>
    <tableColumn id="7" xr3:uid="{00000000-0010-0000-1600-000007000000}" name="التاريخ" dataDxfId="736" totalsRowDxfId="735"/>
    <tableColumn id="2" xr3:uid="{00000000-0010-0000-1600-000002000000}" name="اسم الشركه " dataDxfId="734" totalsRowDxfId="733"/>
    <tableColumn id="11" xr3:uid="{00000000-0010-0000-1600-00000B000000}" name="العنوان" dataDxfId="732" totalsRowDxfId="731"/>
    <tableColumn id="10" xr3:uid="{00000000-0010-0000-1600-00000A000000}" name="رقم الاذن" dataDxfId="730" totalsRowDxfId="729"/>
    <tableColumn id="3" xr3:uid="{00000000-0010-0000-1600-000003000000}" name="عدد الحاويات" dataDxfId="728" totalsRowDxfId="727"/>
    <tableColumn id="4" xr3:uid="{00000000-0010-0000-1600-000004000000}" name="النولون" dataDxfId="726" totalsRowDxfId="725"/>
    <tableColumn id="13" xr3:uid="{00000000-0010-0000-1600-00000D000000}" name="قيمة مضافة" dataDxfId="724" totalsRowDxfId="723">
      <calculatedColumnFormula>0.14*Table118192023103031323538394042[[#This Row],[النولون]]</calculatedColumnFormula>
    </tableColumn>
    <tableColumn id="5" xr3:uid="{00000000-0010-0000-1600-000005000000}" name="الايصالات" dataDxfId="722" totalsRowDxfId="721">
      <calculatedColumnFormula>250+50+145+100</calculatedColumnFormula>
    </tableColumn>
    <tableColumn id="8" xr3:uid="{00000000-0010-0000-1600-000008000000}" name="اجمالي الفاتوره" dataDxfId="720" totalsRowDxfId="719">
      <calculatedColumnFormula>Table118192023103031323538394042[[#This Row],[النولون]]+Table118192023103031323538394042[[#This Row],[الايصالات]]+Table118192023103031323538394042[[#This Row],[قيمة مضافة]]</calculatedColumnFormula>
    </tableColumn>
    <tableColumn id="9" xr3:uid="{00000000-0010-0000-1600-000009000000}" name="الدفعات" dataDxfId="718" totalsRowDxfId="717"/>
    <tableColumn id="6" xr3:uid="{00000000-0010-0000-1600-000006000000}" name="اجمالي الحساب" dataDxfId="716" totalsRowDxfId="715">
      <calculatedColumnFormula>Table118192023103031323538394042[[#This Row],[اجمالي الفاتوره]]-Table118192023103031323538394042[[#This Row],[الدفعات]]</calculatedColumnFormula>
    </tableColumn>
    <tableColumn id="14" xr3:uid="{00000000-0010-0000-1600-00000E000000}" name="Column1" totalsRowFunction="sum" dataDxfId="714" totalsRowDxfId="713"/>
    <tableColumn id="12" xr3:uid="{B23B15AC-C8E7-487B-A751-19DF6B01A962}" name="Column2" dataDxfId="712" totalsRowDxfId="711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11000000}" name="Table1181920231030313235" displayName="Table1181920231030313235" ref="A1:N339" totalsRowShown="0" headerRowDxfId="710" dataDxfId="709">
  <autoFilter ref="A1:N339" xr:uid="{00000000-0009-0000-0100-000022000000}"/>
  <tableColumns count="14">
    <tableColumn id="1" xr3:uid="{00000000-0010-0000-1100-000001000000}" name="فاتورة" dataDxfId="708"/>
    <tableColumn id="7" xr3:uid="{00000000-0010-0000-1100-000007000000}" name="التاريخ" dataDxfId="707"/>
    <tableColumn id="2" xr3:uid="{00000000-0010-0000-1100-000002000000}" name="اسم الشركه " dataDxfId="706"/>
    <tableColumn id="11" xr3:uid="{00000000-0010-0000-1100-00000B000000}" name="العنوان" dataDxfId="705"/>
    <tableColumn id="10" xr3:uid="{00000000-0010-0000-1100-00000A000000}" name="رقم الاذن" dataDxfId="704"/>
    <tableColumn id="3" xr3:uid="{00000000-0010-0000-1100-000003000000}" name="عدد الحاويات" dataDxfId="703"/>
    <tableColumn id="4" xr3:uid="{00000000-0010-0000-1100-000004000000}" name="النولون" dataDxfId="702"/>
    <tableColumn id="13" xr3:uid="{00000000-0010-0000-1100-00000D000000}" name="قيمة مضافة" dataDxfId="701"/>
    <tableColumn id="5" xr3:uid="{00000000-0010-0000-1100-000005000000}" name="الايصالات" dataDxfId="700">
      <calculatedColumnFormula>250+50+145+100</calculatedColumnFormula>
    </tableColumn>
    <tableColumn id="8" xr3:uid="{00000000-0010-0000-1100-000008000000}" name="اجمالي الفاتوره" dataDxfId="699">
      <calculatedColumnFormula>Table1181920231030313235[[#This Row],[النولون]]+Table1181920231030313235[[#This Row],[الايصالات]]+Table1181920231030313235[[#This Row],[قيمة مضافة]]</calculatedColumnFormula>
    </tableColumn>
    <tableColumn id="9" xr3:uid="{00000000-0010-0000-1100-000009000000}" name="الدفعات" dataDxfId="698"/>
    <tableColumn id="6" xr3:uid="{00000000-0010-0000-1100-000006000000}" name="اجمالي الحساب" dataDxfId="697">
      <calculatedColumnFormula>Table1181920231030313235[[#This Row],[اجمالي الفاتوره]]-Table1181920231030313235[[#This Row],[الدفعات]]</calculatedColumnFormula>
    </tableColumn>
    <tableColumn id="14" xr3:uid="{00000000-0010-0000-1100-00000E000000}" name="Column1" dataDxfId="696"/>
    <tableColumn id="15" xr3:uid="{04657943-5359-4F87-BB8A-2E7A61D6E85F}" name="Column2" dataDxfId="695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D000000}" name="Table114" displayName="Table114" ref="A1:N407" totalsRowShown="0" headerRowDxfId="694" dataDxfId="693">
  <autoFilter ref="A1:N407" xr:uid="{00000000-0009-0000-0100-00000D000000}"/>
  <tableColumns count="14">
    <tableColumn id="1" xr3:uid="{00000000-0010-0000-0D00-000001000000}" name="م" dataDxfId="692"/>
    <tableColumn id="7" xr3:uid="{00000000-0010-0000-0D00-000007000000}" name="التاريخ" dataDxfId="691"/>
    <tableColumn id="2" xr3:uid="{00000000-0010-0000-0D00-000002000000}" name="اسم الشركه " dataDxfId="690"/>
    <tableColumn id="11" xr3:uid="{00000000-0010-0000-0D00-00000B000000}" name="العنوان" dataDxfId="689"/>
    <tableColumn id="10" xr3:uid="{00000000-0010-0000-0D00-00000A000000}" name="رقم الاذن" dataDxfId="688"/>
    <tableColumn id="3" xr3:uid="{00000000-0010-0000-0D00-000003000000}" name="عدد الحاويات" dataDxfId="687"/>
    <tableColumn id="4" xr3:uid="{00000000-0010-0000-0D00-000004000000}" name="النولون" dataDxfId="686"/>
    <tableColumn id="13" xr3:uid="{00000000-0010-0000-0D00-00000D000000}" name="قيمة مضافة" dataDxfId="685"/>
    <tableColumn id="5" xr3:uid="{00000000-0010-0000-0D00-000005000000}" name="الايصالات" dataDxfId="684">
      <calculatedColumnFormula>250+50+145+100</calculatedColumnFormula>
    </tableColumn>
    <tableColumn id="8" xr3:uid="{00000000-0010-0000-0D00-000008000000}" name="اجمالي الفاتوره" dataDxfId="683">
      <calculatedColumnFormula>Table114[[#This Row],[النولون]]+Table114[[#This Row],[الايصالات]]-#REF!+Table114[[#This Row],[قيمة مضافة]]</calculatedColumnFormula>
    </tableColumn>
    <tableColumn id="9" xr3:uid="{00000000-0010-0000-0D00-000009000000}" name="الدفعات" dataDxfId="682"/>
    <tableColumn id="6" xr3:uid="{00000000-0010-0000-0D00-000006000000}" name="اجمالي الحساب" dataDxfId="681">
      <calculatedColumnFormula>Table114[[#This Row],[اجمالي الفاتوره]]-Table114[[#This Row],[الدفعات]]</calculatedColumnFormula>
    </tableColumn>
    <tableColumn id="14" xr3:uid="{00000000-0010-0000-0D00-00000E000000}" name="Column1" dataDxfId="680"/>
    <tableColumn id="15" xr3:uid="{A1842E49-4C0B-4F3E-96B9-D79CF61B241E}" name="Column2" dataDxfId="679"/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F000000}" name="Table1181920231030313235383940414811" displayName="Table1181920231030313235383940414811" ref="B1:O375" totalsRowShown="0" headerRowDxfId="678" dataDxfId="677">
  <autoFilter ref="B1:O375" xr:uid="{00000000-0009-0000-0100-00000A000000}"/>
  <tableColumns count="14">
    <tableColumn id="1" xr3:uid="{00000000-0010-0000-1F00-000001000000}" name="م" dataDxfId="676"/>
    <tableColumn id="7" xr3:uid="{00000000-0010-0000-1F00-000007000000}" name="التاريخ" dataDxfId="675"/>
    <tableColumn id="2" xr3:uid="{00000000-0010-0000-1F00-000002000000}" name="اسم الشركه " dataDxfId="674"/>
    <tableColumn id="11" xr3:uid="{00000000-0010-0000-1F00-00000B000000}" name="العنوان" dataDxfId="673"/>
    <tableColumn id="10" xr3:uid="{00000000-0010-0000-1F00-00000A000000}" name="رقم الاذن" dataDxfId="672"/>
    <tableColumn id="3" xr3:uid="{00000000-0010-0000-1F00-000003000000}" name="عدد الحاويات" dataDxfId="671"/>
    <tableColumn id="4" xr3:uid="{00000000-0010-0000-1F00-000004000000}" name="النولون" dataDxfId="670"/>
    <tableColumn id="13" xr3:uid="{00000000-0010-0000-1F00-00000D000000}" name="قيمة مضافة" dataDxfId="669"/>
    <tableColumn id="5" xr3:uid="{00000000-0010-0000-1F00-000005000000}" name="الايصالات" dataDxfId="668">
      <calculatedColumnFormula>80+80.84+338.77+1000+3538</calculatedColumnFormula>
    </tableColumn>
    <tableColumn id="8" xr3:uid="{00000000-0010-0000-1F00-000008000000}" name="اجمالي الفاتوره" dataDxfId="667">
      <calculatedColumnFormula>Table1181920231030313235383940414811[[#This Row],[النولون]]+Table1181920231030313235383940414811[[#This Row],[الايصالات]]+Table1181920231030313235383940414811[[#This Row],[قيمة مضافة]]</calculatedColumnFormula>
    </tableColumn>
    <tableColumn id="9" xr3:uid="{00000000-0010-0000-1F00-000009000000}" name="الدفعات" dataDxfId="666"/>
    <tableColumn id="6" xr3:uid="{00000000-0010-0000-1F00-000006000000}" name="اجمالي الحساب" dataDxfId="665">
      <calculatedColumnFormula>Table1181920231030313235383940414811[[#This Row],[اجمالي الفاتوره]]-Table1181920231030313235383940414811[[#This Row],[الدفعات]]</calculatedColumnFormula>
    </tableColumn>
    <tableColumn id="14" xr3:uid="{00000000-0010-0000-1F00-00000E000000}" name="Column1" dataDxfId="664"/>
    <tableColumn id="15" xr3:uid="{97A3979D-E575-401A-B0A1-C8EBCAB8A702}" name="Column2" dataDxfId="663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21000000}" name="Table1181920231030313235383940414810" displayName="Table1181920231030313235383940414810" ref="A1:O342" totalsRowShown="0" headerRowDxfId="662" dataDxfId="661">
  <autoFilter ref="A1:O342" xr:uid="{00000000-0009-0000-0100-000009000000}"/>
  <tableColumns count="15">
    <tableColumn id="1" xr3:uid="{00000000-0010-0000-2100-000001000000}" name="م" dataDxfId="660"/>
    <tableColumn id="7" xr3:uid="{00000000-0010-0000-2100-000007000000}" name="التاريخ" dataDxfId="659"/>
    <tableColumn id="2" xr3:uid="{00000000-0010-0000-2100-000002000000}" name="اسم الشركه " dataDxfId="658"/>
    <tableColumn id="11" xr3:uid="{00000000-0010-0000-2100-00000B000000}" name="العنوان" dataDxfId="657"/>
    <tableColumn id="10" xr3:uid="{00000000-0010-0000-2100-00000A000000}" name="رقم الاذن" dataDxfId="656"/>
    <tableColumn id="3" xr3:uid="{00000000-0010-0000-2100-000003000000}" name="عدد الحاويات" dataDxfId="655"/>
    <tableColumn id="4" xr3:uid="{00000000-0010-0000-2100-000004000000}" name="النولون" dataDxfId="654"/>
    <tableColumn id="13" xr3:uid="{00000000-0010-0000-2100-00000D000000}" name="قيمة مضافة" dataDxfId="653"/>
    <tableColumn id="12" xr3:uid="{00000000-0010-0000-2100-00000C000000}" name="خصم أ ت ص" dataDxfId="652">
      <calculatedColumnFormula>0.03*Table1181920231030313235383940414810[[#This Row],[النولون]]</calculatedColumnFormula>
    </tableColumn>
    <tableColumn id="5" xr3:uid="{00000000-0010-0000-2100-000005000000}" name="الايصالات" dataDxfId="651">
      <calculatedColumnFormula>80+80.84+338.77+1000+3538</calculatedColumnFormula>
    </tableColumn>
    <tableColumn id="8" xr3:uid="{00000000-0010-0000-2100-000008000000}" name="اجمالي الفاتوره" dataDxfId="650">
      <calculatedColumnFormula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calculatedColumnFormula>
    </tableColumn>
    <tableColumn id="9" xr3:uid="{00000000-0010-0000-2100-000009000000}" name="الدفعات" dataDxfId="649"/>
    <tableColumn id="6" xr3:uid="{00000000-0010-0000-2100-000006000000}" name="اجمالي الحساب" dataDxfId="648">
      <calculatedColumnFormula>Table1181920231030313235383940414810[[#This Row],[اجمالي الفاتوره]]-Table1181920231030313235383940414810[[#This Row],[الدفعات]]</calculatedColumnFormula>
    </tableColumn>
    <tableColumn id="14" xr3:uid="{00000000-0010-0000-2100-00000E000000}" name="Column1" dataDxfId="647"/>
    <tableColumn id="15" xr3:uid="{7E4C6E4E-9E7B-4F77-B440-185F5A9BE415}" name="Column2" dataDxfId="646"/>
  </tableColumns>
  <tableStyleInfo name="TableStyleLight2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19000000}" name="Table11819202310303132353839404243444647" displayName="Table11819202310303132353839404243444647" ref="B1:P347" totalsRowShown="0" headerRowDxfId="645" dataDxfId="644">
  <autoFilter ref="B1:P347" xr:uid="{00000000-0009-0000-0100-00002E000000}"/>
  <tableColumns count="15">
    <tableColumn id="1" xr3:uid="{00000000-0010-0000-1900-000001000000}" name="م" dataDxfId="643"/>
    <tableColumn id="7" xr3:uid="{00000000-0010-0000-1900-000007000000}" name="التاريخ" dataDxfId="642"/>
    <tableColumn id="2" xr3:uid="{00000000-0010-0000-1900-000002000000}" name="اسم الشركه " dataDxfId="641"/>
    <tableColumn id="11" xr3:uid="{00000000-0010-0000-1900-00000B000000}" name="العنوان" dataDxfId="640"/>
    <tableColumn id="10" xr3:uid="{00000000-0010-0000-1900-00000A000000}" name="رقم الاذن" dataDxfId="639"/>
    <tableColumn id="3" xr3:uid="{00000000-0010-0000-1900-000003000000}" name="عدد الحاويات" dataDxfId="638"/>
    <tableColumn id="4" xr3:uid="{00000000-0010-0000-1900-000004000000}" name="النولون" dataDxfId="637"/>
    <tableColumn id="13" xr3:uid="{00000000-0010-0000-1900-00000D000000}" name="قيمة مضافة" dataDxfId="636">
      <calculatedColumnFormula>0.14*Table11819202310303132353839404243444647[[#This Row],[النولون]]</calculatedColumnFormula>
    </tableColumn>
    <tableColumn id="5" xr3:uid="{00000000-0010-0000-1900-000005000000}" name="الايصالات" dataDxfId="635"/>
    <tableColumn id="8" xr3:uid="{00000000-0010-0000-1900-000008000000}" name="اجمالي الفاتوره" dataDxfId="634">
      <calculatedColumnFormula>Table11819202310303132353839404243444647[[#This Row],[النولون]]+Table11819202310303132353839404243444647[[#This Row],[قيمة مضافة]]+Table11819202310303132353839404243444647[[#This Row],[الايصالات]]</calculatedColumnFormula>
    </tableColumn>
    <tableColumn id="9" xr3:uid="{00000000-0010-0000-1900-000009000000}" name="الدفعات" dataDxfId="633"/>
    <tableColumn id="6" xr3:uid="{00000000-0010-0000-1900-000006000000}" name="اجمالي الحساب" dataDxfId="632">
      <calculatedColumnFormula>Table11819202310303132353839404243444647[[#This Row],[اجمالي الفاتوره]]-Table11819202310303132353839404243444647[[#This Row],[الدفعات]]</calculatedColumnFormula>
    </tableColumn>
    <tableColumn id="14" xr3:uid="{00000000-0010-0000-1900-00000E000000}" name="الاوبريشن" dataDxfId="631"/>
    <tableColumn id="15" xr3:uid="{00000000-0010-0000-1900-00000F000000}" name="Column2" dataDxfId="630"/>
    <tableColumn id="16" xr3:uid="{B6AFDCBC-20FE-46B2-A05F-BF0D604E35E8}" name="Column3" dataDxfId="629"/>
  </tableColumns>
  <tableStyleInfo name="TableStyleLight2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23000000}" name="Table1" displayName="Table1" ref="A1:O345" totalsRowShown="0" headerRowDxfId="628" dataDxfId="627">
  <autoFilter ref="A1:O345" xr:uid="{00000000-0009-0000-0100-000018000000}"/>
  <tableColumns count="15">
    <tableColumn id="1" xr3:uid="{00000000-0010-0000-2300-000001000000}" name="م" dataDxfId="626"/>
    <tableColumn id="7" xr3:uid="{00000000-0010-0000-2300-000007000000}" name="التاريخ" dataDxfId="625"/>
    <tableColumn id="2" xr3:uid="{00000000-0010-0000-2300-000002000000}" name="اسم الشركه " dataDxfId="624"/>
    <tableColumn id="11" xr3:uid="{00000000-0010-0000-2300-00000B000000}" name="العنوان" dataDxfId="623"/>
    <tableColumn id="10" xr3:uid="{00000000-0010-0000-2300-00000A000000}" name="رقم الاذن" dataDxfId="622"/>
    <tableColumn id="3" xr3:uid="{00000000-0010-0000-2300-000003000000}" name="عدد الحاويات" dataDxfId="621"/>
    <tableColumn id="4" xr3:uid="{00000000-0010-0000-2300-000004000000}" name="النولون" dataDxfId="620"/>
    <tableColumn id="13" xr3:uid="{00000000-0010-0000-2300-00000D000000}" name="قيمة مضافة" dataDxfId="619"/>
    <tableColumn id="12" xr3:uid="{00000000-0010-0000-2300-00000C000000}" name="خصم أ ت ص" dataDxfId="618"/>
    <tableColumn id="5" xr3:uid="{00000000-0010-0000-2300-000005000000}" name="الايصالات" dataDxfId="617">
      <calculatedColumnFormula>250+50+145+100</calculatedColumnFormula>
    </tableColumn>
    <tableColumn id="8" xr3:uid="{00000000-0010-0000-2300-000008000000}" name="اجمالي الفاتوره" dataDxfId="616">
      <calculatedColumnFormula>Table1[[#This Row],[النولون]]+Table1[[#This Row],[الايصالات]]-Table1[[#This Row],[خصم أ ت ص]]+Table1[[#This Row],[قيمة مضافة]]</calculatedColumnFormula>
    </tableColumn>
    <tableColumn id="9" xr3:uid="{00000000-0010-0000-2300-000009000000}" name="الدفعات" dataDxfId="615"/>
    <tableColumn id="6" xr3:uid="{00000000-0010-0000-2300-000006000000}" name="اجمالي الحساب" dataDxfId="614">
      <calculatedColumnFormula>Table1[[#This Row],[اجمالي الفاتوره]]-Table1[[#This Row],[الدفعات]]</calculatedColumnFormula>
    </tableColumn>
    <tableColumn id="14" xr3:uid="{00000000-0010-0000-2300-00000E000000}" name="Column1" dataDxfId="613"/>
    <tableColumn id="15" xr3:uid="{8E085767-6723-496D-9E5E-6BDB7FEF2C36}" name="Column2" dataDxfId="612"/>
  </tableColumns>
  <tableStyleInfo name="TableStyleLight2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D000000}" name="Table11819202310303132353839404148" displayName="Table11819202310303132353839404148" ref="A1:N341" totalsRowShown="0" headerRowDxfId="611" dataDxfId="610">
  <autoFilter ref="A1:N341" xr:uid="{00000000-0009-0000-0100-000007000000}"/>
  <tableColumns count="14">
    <tableColumn id="1" xr3:uid="{00000000-0010-0000-1D00-000001000000}" name="م" dataDxfId="609"/>
    <tableColumn id="7" xr3:uid="{00000000-0010-0000-1D00-000007000000}" name="التاريخ" dataDxfId="608"/>
    <tableColumn id="2" xr3:uid="{00000000-0010-0000-1D00-000002000000}" name="اسم الشركه " dataDxfId="607"/>
    <tableColumn id="11" xr3:uid="{00000000-0010-0000-1D00-00000B000000}" name="العنوان" dataDxfId="606"/>
    <tableColumn id="10" xr3:uid="{00000000-0010-0000-1D00-00000A000000}" name="رقم الاذن" dataDxfId="605"/>
    <tableColumn id="3" xr3:uid="{00000000-0010-0000-1D00-000003000000}" name="عدد الحاويات" dataDxfId="604"/>
    <tableColumn id="4" xr3:uid="{00000000-0010-0000-1D00-000004000000}" name="النولون" dataDxfId="603"/>
    <tableColumn id="13" xr3:uid="{00000000-0010-0000-1D00-00000D000000}" name="قيمة مضافة" dataDxfId="602">
      <calculatedColumnFormula>0.14*Table11819202310303132353839404148[[#This Row],[النولون]]</calculatedColumnFormula>
    </tableColumn>
    <tableColumn id="5" xr3:uid="{00000000-0010-0000-1D00-000005000000}" name="الايصالات" dataDxfId="601">
      <calculatedColumnFormula>80+80.84+338.77+1000+3538</calculatedColumnFormula>
    </tableColumn>
    <tableColumn id="8" xr3:uid="{00000000-0010-0000-1D00-000008000000}" name="اجمالي الفاتوره" dataDxfId="600">
      <calculatedColumnFormula>Table11819202310303132353839404148[[#This Row],[النولون]]+Table11819202310303132353839404148[[#This Row],[الايصالات]]+Table11819202310303132353839404148[[#This Row],[قيمة مضافة]]</calculatedColumnFormula>
    </tableColumn>
    <tableColumn id="9" xr3:uid="{00000000-0010-0000-1D00-000009000000}" name="الدفعات" dataDxfId="599"/>
    <tableColumn id="6" xr3:uid="{00000000-0010-0000-1D00-000006000000}" name="اجمالي الحساب" dataDxfId="598">
      <calculatedColumnFormula>Table11819202310303132353839404148[[#This Row],[اجمالي الفاتوره]]-Table11819202310303132353839404148[[#This Row],[الدفعات]]</calculatedColumnFormula>
    </tableColumn>
    <tableColumn id="14" xr3:uid="{00000000-0010-0000-1D00-00000E000000}" name="Column1" dataDxfId="597"/>
    <tableColumn id="15" xr3:uid="{62CBB00B-DBA9-456A-B87E-242D7E9617B9}" name="Column2" dataDxfId="596"/>
  </tableColumns>
  <tableStyleInfo name="TableStyleLight2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2000000}" name="Table118192023" displayName="Table118192023" ref="A1:N340" totalsRowShown="0" headerRowDxfId="595" dataDxfId="594">
  <autoFilter ref="A1:N340" xr:uid="{00000000-0009-0000-0100-000016000000}"/>
  <tableColumns count="14">
    <tableColumn id="1" xr3:uid="{00000000-0010-0000-0200-000001000000}" name="م" dataDxfId="593"/>
    <tableColumn id="7" xr3:uid="{00000000-0010-0000-0200-000007000000}" name="التاريخ" dataDxfId="592"/>
    <tableColumn id="2" xr3:uid="{00000000-0010-0000-0200-000002000000}" name="اسم الشركه " dataDxfId="591"/>
    <tableColumn id="11" xr3:uid="{00000000-0010-0000-0200-00000B000000}" name="العنوان" dataDxfId="590"/>
    <tableColumn id="10" xr3:uid="{00000000-0010-0000-0200-00000A000000}" name="رقم الاذن" dataDxfId="589"/>
    <tableColumn id="3" xr3:uid="{00000000-0010-0000-0200-000003000000}" name="عدد الحاويات" dataDxfId="588"/>
    <tableColumn id="4" xr3:uid="{00000000-0010-0000-0200-000004000000}" name="النولون" dataDxfId="587"/>
    <tableColumn id="13" xr3:uid="{00000000-0010-0000-0200-00000D000000}" name="قيمة مضافة" dataDxfId="586"/>
    <tableColumn id="5" xr3:uid="{00000000-0010-0000-0200-000005000000}" name="الايصالات" dataDxfId="585">
      <calculatedColumnFormula>250+50+145+100</calculatedColumnFormula>
    </tableColumn>
    <tableColumn id="8" xr3:uid="{00000000-0010-0000-0200-000008000000}" name="اجمالي الفاتوره" dataDxfId="584">
      <calculatedColumnFormula>Table118192023[[#This Row],[النولون]]+Table118192023[[#This Row],[الايصالات]]+Table118192023[[#This Row],[قيمة مضافة]]</calculatedColumnFormula>
    </tableColumn>
    <tableColumn id="9" xr3:uid="{00000000-0010-0000-0200-000009000000}" name="الدفعات" dataDxfId="583"/>
    <tableColumn id="6" xr3:uid="{00000000-0010-0000-0200-000006000000}" name="اجمالي الحساب" dataDxfId="582">
      <calculatedColumnFormula>Table118192023[[#This Row],[اجمالي الفاتوره]]-Table118192023[[#This Row],[الدفعات]]</calculatedColumnFormula>
    </tableColumn>
    <tableColumn id="14" xr3:uid="{00000000-0010-0000-0200-00000E000000}" name="Column1" dataDxfId="581"/>
    <tableColumn id="15" xr3:uid="{DB86A017-E3DF-4A7C-A437-91A4C95D1269}" name="Column2" dataDxfId="580"/>
  </tableColumns>
  <tableStyleInfo name="TableStyleLight2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B000000}" name="Table11819202324" displayName="Table11819202324" ref="A1:O338" totalsRowShown="0" headerRowDxfId="579" dataDxfId="578">
  <autoFilter ref="A1:O338" xr:uid="{00000000-0009-0000-0100-000017000000}"/>
  <tableColumns count="15">
    <tableColumn id="1" xr3:uid="{00000000-0010-0000-0B00-000001000000}" name="م" dataDxfId="577"/>
    <tableColumn id="7" xr3:uid="{00000000-0010-0000-0B00-000007000000}" name="التاريخ" dataDxfId="576"/>
    <tableColumn id="2" xr3:uid="{00000000-0010-0000-0B00-000002000000}" name="اسم الشركه " dataDxfId="575"/>
    <tableColumn id="11" xr3:uid="{00000000-0010-0000-0B00-00000B000000}" name="العنوان" dataDxfId="574"/>
    <tableColumn id="10" xr3:uid="{00000000-0010-0000-0B00-00000A000000}" name="رقم الاذن" dataDxfId="573"/>
    <tableColumn id="3" xr3:uid="{00000000-0010-0000-0B00-000003000000}" name="عدد الحاويات" dataDxfId="572"/>
    <tableColumn id="4" xr3:uid="{00000000-0010-0000-0B00-000004000000}" name="النولون" dataDxfId="571"/>
    <tableColumn id="13" xr3:uid="{00000000-0010-0000-0B00-00000D000000}" name="قيمة مضافة" dataDxfId="570"/>
    <tableColumn id="12" xr3:uid="{00000000-0010-0000-0B00-00000C000000}" name="خصم أ ت ص" dataDxfId="569"/>
    <tableColumn id="5" xr3:uid="{00000000-0010-0000-0B00-000005000000}" name="الايصالات" dataDxfId="568">
      <calculatedColumnFormula>250+50+145+100</calculatedColumnFormula>
    </tableColumn>
    <tableColumn id="8" xr3:uid="{00000000-0010-0000-0B00-000008000000}" name="اجمالي الفاتوره" dataDxfId="567">
      <calculatedColumnFormula>Table11819202324[[#This Row],[النولون]]+Table11819202324[[#This Row],[الايصالات]]-Table11819202324[[#This Row],[خصم أ ت ص]]+Table11819202324[[#This Row],[قيمة مضافة]]</calculatedColumnFormula>
    </tableColumn>
    <tableColumn id="9" xr3:uid="{00000000-0010-0000-0B00-000009000000}" name="الدفعات" dataDxfId="566"/>
    <tableColumn id="6" xr3:uid="{00000000-0010-0000-0B00-000006000000}" name="اجمالي الحساب" dataDxfId="565">
      <calculatedColumnFormula>Table11819202324[[#This Row],[اجمالي الفاتوره]]-Table11819202324[[#This Row],[الدفعات]]</calculatedColumnFormula>
    </tableColumn>
    <tableColumn id="14" xr3:uid="{00000000-0010-0000-0B00-00000E000000}" name="Column1" dataDxfId="564"/>
    <tableColumn id="15" xr3:uid="{247AA15B-289C-415D-AB5F-11D77A0FFC1A}" name="Column2" dataDxfId="563"/>
  </tableColumns>
  <tableStyleInfo name="TableStyleLight2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1000000}" name="Table1181920231030313235383940414811151820283753565758" displayName="Table1181920231030313235383940414811151820283753565758" ref="B1:O338" totalsRowShown="0" headerRowDxfId="562" dataDxfId="561">
  <autoFilter ref="B1:O338" xr:uid="{00000000-0009-0000-0100-000039000000}"/>
  <tableColumns count="14">
    <tableColumn id="1" xr3:uid="{00000000-0010-0000-3100-000001000000}" name="م" dataDxfId="560"/>
    <tableColumn id="7" xr3:uid="{00000000-0010-0000-3100-000007000000}" name="التاريخ" dataDxfId="559"/>
    <tableColumn id="2" xr3:uid="{00000000-0010-0000-3100-000002000000}" name="اسم الشركه " dataDxfId="558"/>
    <tableColumn id="11" xr3:uid="{00000000-0010-0000-3100-00000B000000}" name="العنوان" dataDxfId="557"/>
    <tableColumn id="10" xr3:uid="{00000000-0010-0000-3100-00000A000000}" name="رقم الاذن" dataDxfId="556"/>
    <tableColumn id="3" xr3:uid="{00000000-0010-0000-3100-000003000000}" name="عدد الحاويات" dataDxfId="555"/>
    <tableColumn id="4" xr3:uid="{00000000-0010-0000-3100-000004000000}" name="النولون" dataDxfId="554"/>
    <tableColumn id="13" xr3:uid="{00000000-0010-0000-3100-00000D000000}" name="قيمة مضافة" dataDxfId="553">
      <calculatedColumnFormula>0.14*Table1181920231030313235383940414811151820283753565758[[#This Row],[النولون]]</calculatedColumnFormula>
    </tableColumn>
    <tableColumn id="5" xr3:uid="{00000000-0010-0000-3100-000005000000}" name="الايصالات" dataDxfId="552">
      <calculatedColumnFormula>80+80.84+338.77+1000+3538</calculatedColumnFormula>
    </tableColumn>
    <tableColumn id="8" xr3:uid="{00000000-0010-0000-3100-000008000000}" name="اجمالي الفاتوره" dataDxfId="551">
      <calculatedColumnFormula>Table1181920231030313235383940414811151820283753565758[[#This Row],[النولون]]+Table1181920231030313235383940414811151820283753565758[[#This Row],[الايصالات]]+Table1181920231030313235383940414811151820283753565758[[#This Row],[قيمة مضافة]]</calculatedColumnFormula>
    </tableColumn>
    <tableColumn id="9" xr3:uid="{00000000-0010-0000-3100-000009000000}" name="الدفعات" dataDxfId="550"/>
    <tableColumn id="6" xr3:uid="{00000000-0010-0000-3100-000006000000}" name="اجمالي الحساب" dataDxfId="549">
      <calculatedColumnFormula>Table1181920231030313235383940414811151820283753565758[[#This Row],[اجمالي الفاتوره]]-Table1181920231030313235383940414811151820283753565758[[#This Row],[الدفعات]]</calculatedColumnFormula>
    </tableColumn>
    <tableColumn id="14" xr3:uid="{00000000-0010-0000-3100-00000E000000}" name="Column1" dataDxfId="548"/>
    <tableColumn id="15" xr3:uid="{E7FD9426-DBBF-4DCC-BD62-5CC30E1AA374}" name="Column2" dataDxfId="547"/>
  </tableColumns>
  <tableStyleInfo name="TableStyleLight2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2D000000}" name="Table11819202310303132353839404148111518202837535450" displayName="Table11819202310303132353839404148111518202837535450" ref="A1:O354" totalsRowShown="0" headerRowDxfId="546" dataDxfId="545">
  <autoFilter ref="A1:O354" xr:uid="{00000000-0009-0000-0100-000031000000}"/>
  <tableColumns count="15">
    <tableColumn id="1" xr3:uid="{00000000-0010-0000-2D00-000001000000}" name="م" dataDxfId="544"/>
    <tableColumn id="7" xr3:uid="{00000000-0010-0000-2D00-000007000000}" name="التاريخ" dataDxfId="543"/>
    <tableColumn id="2" xr3:uid="{00000000-0010-0000-2D00-000002000000}" name="اسم الشركه " dataDxfId="542"/>
    <tableColumn id="11" xr3:uid="{00000000-0010-0000-2D00-00000B000000}" name="العنوان" dataDxfId="541"/>
    <tableColumn id="10" xr3:uid="{00000000-0010-0000-2D00-00000A000000}" name="رقم الاذن" dataDxfId="540"/>
    <tableColumn id="3" xr3:uid="{00000000-0010-0000-2D00-000003000000}" name="عدد الحاويات" dataDxfId="539"/>
    <tableColumn id="4" xr3:uid="{00000000-0010-0000-2D00-000004000000}" name="النولون" dataDxfId="538"/>
    <tableColumn id="13" xr3:uid="{00000000-0010-0000-2D00-00000D000000}" name="قيمة مضافة" dataDxfId="537"/>
    <tableColumn id="12" xr3:uid="{00000000-0010-0000-2D00-00000C000000}" name="خصم أ ت ص" dataDxfId="536">
      <calculatedColumnFormula>0.03*Table11819202310303132353839404148111518202837535450[[#This Row],[النولون]]</calculatedColumnFormula>
    </tableColumn>
    <tableColumn id="5" xr3:uid="{00000000-0010-0000-2D00-000005000000}" name="الايصالات" dataDxfId="535">
      <calculatedColumnFormula>80+80.84+338.77+1000+3538</calculatedColumnFormula>
    </tableColumn>
    <tableColumn id="8" xr3:uid="{00000000-0010-0000-2D00-000008000000}" name="اجمالي الفاتوره" dataDxfId="534">
      <calculatedColumnFormula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calculatedColumnFormula>
    </tableColumn>
    <tableColumn id="9" xr3:uid="{00000000-0010-0000-2D00-000009000000}" name="الدفعات" dataDxfId="533"/>
    <tableColumn id="6" xr3:uid="{00000000-0010-0000-2D00-000006000000}" name="اجمالي الحساب" dataDxfId="532">
      <calculatedColumnFormula>Table11819202310303132353839404148111518202837535450[[#This Row],[اجمالي الفاتوره]]-Table11819202310303132353839404148111518202837535450[[#This Row],[الدفعات]]</calculatedColumnFormula>
    </tableColumn>
    <tableColumn id="14" xr3:uid="{00000000-0010-0000-2D00-00000E000000}" name="Column1" dataDxfId="531"/>
    <tableColumn id="15" xr3:uid="{A2D1F525-9AF4-4EFE-B0EE-8227099A1FDC}" name="Column2" dataDxfId="530"/>
  </tableColumns>
  <tableStyleInfo name="TableStyleLight2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1A000000}" name="Table1181920231030313236" displayName="Table1181920231030313236" ref="A1:O340" totalsRowShown="0" headerRowDxfId="529" dataDxfId="528">
  <autoFilter ref="A1:O340" xr:uid="{00000000-0009-0000-0100-000023000000}"/>
  <tableColumns count="15">
    <tableColumn id="1" xr3:uid="{00000000-0010-0000-1A00-000001000000}" name="م" dataDxfId="527"/>
    <tableColumn id="7" xr3:uid="{00000000-0010-0000-1A00-000007000000}" name="التاريخ" dataDxfId="526"/>
    <tableColumn id="2" xr3:uid="{00000000-0010-0000-1A00-000002000000}" name="اسم الشركه " dataDxfId="525"/>
    <tableColumn id="11" xr3:uid="{00000000-0010-0000-1A00-00000B000000}" name="العنوان" dataDxfId="524"/>
    <tableColumn id="10" xr3:uid="{00000000-0010-0000-1A00-00000A000000}" name="رقم الاذن" dataDxfId="523"/>
    <tableColumn id="3" xr3:uid="{00000000-0010-0000-1A00-000003000000}" name="عدد الحاويات" dataDxfId="522"/>
    <tableColumn id="4" xr3:uid="{00000000-0010-0000-1A00-000004000000}" name="النولون" dataDxfId="521"/>
    <tableColumn id="13" xr3:uid="{00000000-0010-0000-1A00-00000D000000}" name="قيمة مضافة" dataDxfId="520"/>
    <tableColumn id="12" xr3:uid="{00000000-0010-0000-1A00-00000C000000}" name="خصم أ ت ص" dataDxfId="519"/>
    <tableColumn id="5" xr3:uid="{00000000-0010-0000-1A00-000005000000}" name="الايصالات" dataDxfId="518">
      <calculatedColumnFormula>250+50+145+100</calculatedColumnFormula>
    </tableColumn>
    <tableColumn id="8" xr3:uid="{00000000-0010-0000-1A00-000008000000}" name="اجمالي الفاتوره" dataDxfId="517">
      <calculatedColumnFormula>Table1181920231030313236[[#This Row],[النولون]]+Table1181920231030313236[[#This Row],[الايصالات]]-Table1181920231030313236[[#This Row],[خصم أ ت ص]]+Table1181920231030313236[[#This Row],[قيمة مضافة]]</calculatedColumnFormula>
    </tableColumn>
    <tableColumn id="9" xr3:uid="{00000000-0010-0000-1A00-000009000000}" name="الدفعات" dataDxfId="516"/>
    <tableColumn id="6" xr3:uid="{00000000-0010-0000-1A00-000006000000}" name="اجمالي الحساب" dataDxfId="515">
      <calculatedColumnFormula>Table1181920231030313236[[#This Row],[اجمالي الفاتوره]]-Table1181920231030313236[[#This Row],[الدفعات]]</calculatedColumnFormula>
    </tableColumn>
    <tableColumn id="14" xr3:uid="{00000000-0010-0000-1A00-00000E000000}" name="Column1" dataDxfId="514"/>
    <tableColumn id="15" xr3:uid="{9B7B5496-4FFA-4B51-8BF4-170FA6690D1D}" name="Column2" dataDxfId="513"/>
  </tableColumns>
  <tableStyleInfo name="TableStyleLight2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9000000}" name="Table11819" displayName="Table11819" ref="A1:P362" totalsRowShown="0" headerRowDxfId="512" dataDxfId="511">
  <autoFilter ref="A1:P362" xr:uid="{00000000-0009-0000-0100-000012000000}"/>
  <tableColumns count="16">
    <tableColumn id="15" xr3:uid="{00000000-0010-0000-0900-00000F000000}" name="رقم الفاتورة " dataDxfId="510"/>
    <tableColumn id="1" xr3:uid="{00000000-0010-0000-0900-000001000000}" name="م" dataDxfId="509"/>
    <tableColumn id="7" xr3:uid="{00000000-0010-0000-0900-000007000000}" name="التاريخ" dataDxfId="508"/>
    <tableColumn id="2" xr3:uid="{00000000-0010-0000-0900-000002000000}" name="اسم الشركه " dataDxfId="507"/>
    <tableColumn id="11" xr3:uid="{00000000-0010-0000-0900-00000B000000}" name="العنوان" dataDxfId="506"/>
    <tableColumn id="10" xr3:uid="{00000000-0010-0000-0900-00000A000000}" name="رقم الاذن" dataDxfId="505"/>
    <tableColumn id="3" xr3:uid="{00000000-0010-0000-0900-000003000000}" name="عدد الحاويات" dataDxfId="504"/>
    <tableColumn id="4" xr3:uid="{00000000-0010-0000-0900-000004000000}" name="النولون" dataDxfId="503"/>
    <tableColumn id="13" xr3:uid="{00000000-0010-0000-0900-00000D000000}" name="قيمة مضافة" dataDxfId="502"/>
    <tableColumn id="12" xr3:uid="{00000000-0010-0000-0900-00000C000000}" name="خصم أ ت ص" dataDxfId="501"/>
    <tableColumn id="5" xr3:uid="{00000000-0010-0000-0900-000005000000}" name="الايصالات" dataDxfId="500">
      <calculatedColumnFormula>250+50+145+100</calculatedColumnFormula>
    </tableColumn>
    <tableColumn id="8" xr3:uid="{00000000-0010-0000-0900-000008000000}" name="اجمالي الفاتوره" dataDxfId="499">
      <calculatedColumnFormula>Table11819[[#This Row],[النولون]]+Table11819[[#This Row],[الايصالات]]-Table11819[[#This Row],[خصم أ ت ص]]+Table11819[[#This Row],[قيمة مضافة]]</calculatedColumnFormula>
    </tableColumn>
    <tableColumn id="9" xr3:uid="{00000000-0010-0000-0900-000009000000}" name="الدفعات" dataDxfId="498"/>
    <tableColumn id="6" xr3:uid="{00000000-0010-0000-0900-000006000000}" name="اجمالي الحساب" dataDxfId="497">
      <calculatedColumnFormula>Table11819[[#This Row],[اجمالي الفاتوره]]-Table11819[[#This Row],[الدفعات]]</calculatedColumnFormula>
    </tableColumn>
    <tableColumn id="14" xr3:uid="{00000000-0010-0000-0900-00000E000000}" name="Column1" dataDxfId="496"/>
    <tableColumn id="16" xr3:uid="{A0F1BF32-0CE9-4F4B-AF14-A35BF05E1B79}" name="Column2" dataDxfId="495"/>
  </tableColumns>
  <tableStyleInfo name="TableStyleLight2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le15" displayName="Table15" ref="B1:O1174" totalsRowShown="0" headerRowDxfId="494" dataDxfId="493">
  <autoFilter ref="B1:O1174" xr:uid="{00000000-0009-0000-0100-000004000000}"/>
  <tableColumns count="14">
    <tableColumn id="1" xr3:uid="{00000000-0010-0000-0500-000001000000}" name="م" dataDxfId="492"/>
    <tableColumn id="7" xr3:uid="{00000000-0010-0000-0500-000007000000}" name="التاريخ" dataDxfId="491"/>
    <tableColumn id="2" xr3:uid="{00000000-0010-0000-0500-000002000000}" name="اسم الشركه " dataDxfId="490"/>
    <tableColumn id="11" xr3:uid="{00000000-0010-0000-0500-00000B000000}" name="العنوان" dataDxfId="489"/>
    <tableColumn id="10" xr3:uid="{00000000-0010-0000-0500-00000A000000}" name="رقم الاذن" dataDxfId="488"/>
    <tableColumn id="3" xr3:uid="{00000000-0010-0000-0500-000003000000}" name="عدد الحاويات" dataDxfId="487"/>
    <tableColumn id="4" xr3:uid="{00000000-0010-0000-0500-000004000000}" name="النولون" dataDxfId="486"/>
    <tableColumn id="14" xr3:uid="{00000000-0010-0000-0500-00000E000000}" name="خصم 3%" dataDxfId="485"/>
    <tableColumn id="5" xr3:uid="{00000000-0010-0000-0500-000005000000}" name="الايصالات" dataDxfId="484"/>
    <tableColumn id="8" xr3:uid="{00000000-0010-0000-0500-000008000000}" name="اجمالي الفاتوره" dataDxfId="483">
      <calculatedColumnFormula>Table15[[#This Row],[الايصالات]]+Table15[[#This Row],[النولون]]-Table15[[#This Row],[خصم 3%]]</calculatedColumnFormula>
    </tableColumn>
    <tableColumn id="9" xr3:uid="{00000000-0010-0000-0500-000009000000}" name="الدفعات" dataDxfId="482"/>
    <tableColumn id="6" xr3:uid="{00000000-0010-0000-0500-000006000000}" name="اجمالي الحساب" dataDxfId="481">
      <calculatedColumnFormula>Table15[[#This Row],[اجمالي الفاتوره]]-Table15[[#This Row],[الدفعات]]</calculatedColumnFormula>
    </tableColumn>
    <tableColumn id="12" xr3:uid="{00000000-0010-0000-0500-00000C000000}" name="Column1" dataDxfId="480"/>
    <tableColumn id="13" xr3:uid="{00000000-0010-0000-0500-00000D000000}" name="Column2" dataDxfId="479"/>
  </tableColumns>
  <tableStyleInfo name="TableStyleLight2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C000000}" name="Table11819202327" displayName="Table11819202327" ref="A1:N337" totalsRowShown="0" headerRowDxfId="478" dataDxfId="477">
  <autoFilter ref="A1:N337" xr:uid="{00000000-0009-0000-0100-00001A000000}"/>
  <tableColumns count="14">
    <tableColumn id="1" xr3:uid="{00000000-0010-0000-0C00-000001000000}" name="م" dataDxfId="476"/>
    <tableColumn id="7" xr3:uid="{00000000-0010-0000-0C00-000007000000}" name="التاريخ" dataDxfId="475"/>
    <tableColumn id="2" xr3:uid="{00000000-0010-0000-0C00-000002000000}" name="اسم الشركه " dataDxfId="474"/>
    <tableColumn id="11" xr3:uid="{00000000-0010-0000-0C00-00000B000000}" name="العنوان" dataDxfId="473"/>
    <tableColumn id="10" xr3:uid="{00000000-0010-0000-0C00-00000A000000}" name="رقم الاذن" dataDxfId="472"/>
    <tableColumn id="3" xr3:uid="{00000000-0010-0000-0C00-000003000000}" name="عدد الحاويات" dataDxfId="471"/>
    <tableColumn id="4" xr3:uid="{00000000-0010-0000-0C00-000004000000}" name="النولون" dataDxfId="470"/>
    <tableColumn id="13" xr3:uid="{00000000-0010-0000-0C00-00000D000000}" name="قيمة مضافة" dataDxfId="469"/>
    <tableColumn id="12" xr3:uid="{00000000-0010-0000-0C00-00000C000000}" name="خصم أ ت ص" dataDxfId="468"/>
    <tableColumn id="5" xr3:uid="{00000000-0010-0000-0C00-000005000000}" name="الايصالات" dataDxfId="467">
      <calculatedColumnFormula>250+50+145+100</calculatedColumnFormula>
    </tableColumn>
    <tableColumn id="8" xr3:uid="{00000000-0010-0000-0C00-000008000000}" name="اجمالي الفاتوره" dataDxfId="466">
      <calculatedColumnFormula>Table11819202327[[#This Row],[النولون]]+Table11819202327[[#This Row],[الايصالات]]-Table11819202327[[#This Row],[خصم أ ت ص]]+Table11819202327[[#This Row],[قيمة مضافة]]</calculatedColumnFormula>
    </tableColumn>
    <tableColumn id="9" xr3:uid="{00000000-0010-0000-0C00-000009000000}" name="الدفعات" dataDxfId="465"/>
    <tableColumn id="6" xr3:uid="{00000000-0010-0000-0C00-000006000000}" name="اجمالي الحساب" dataDxfId="464">
      <calculatedColumnFormula>Table11819202327[[#This Row],[اجمالي الفاتوره]]-Table11819202327[[#This Row],[الدفعات]]</calculatedColumnFormula>
    </tableColumn>
    <tableColumn id="14" xr3:uid="{00000000-0010-0000-0C00-00000E000000}" name="Column1" dataDxfId="463"/>
  </tableColumns>
  <tableStyleInfo name="TableStyleLight2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0000000}" name="Table11819202310303132353839404148111518202837535657" displayName="Table11819202310303132353839404148111518202837535657" ref="B1:O339" totalsRowShown="0" headerRowDxfId="868" dataDxfId="867">
  <autoFilter ref="B1:O339" xr:uid="{00000000-0009-0000-0100-000038000000}"/>
  <tableColumns count="14">
    <tableColumn id="1" xr3:uid="{00000000-0010-0000-3000-000001000000}" name="م" dataDxfId="866"/>
    <tableColumn id="7" xr3:uid="{00000000-0010-0000-3000-000007000000}" name="التاريخ" dataDxfId="865"/>
    <tableColumn id="2" xr3:uid="{00000000-0010-0000-3000-000002000000}" name="اسم الشركه " dataDxfId="864"/>
    <tableColumn id="11" xr3:uid="{00000000-0010-0000-3000-00000B000000}" name="العنوان" dataDxfId="863"/>
    <tableColumn id="10" xr3:uid="{00000000-0010-0000-3000-00000A000000}" name="رقم الاذن" dataDxfId="862"/>
    <tableColumn id="3" xr3:uid="{00000000-0010-0000-3000-000003000000}" name="عدد الحاويات" dataDxfId="861"/>
    <tableColumn id="4" xr3:uid="{00000000-0010-0000-3000-000004000000}" name="النولون" dataDxfId="860"/>
    <tableColumn id="13" xr3:uid="{00000000-0010-0000-3000-00000D000000}" name="قيمة مضافة" dataDxfId="859"/>
    <tableColumn id="12" xr3:uid="{00000000-0010-0000-3000-00000C000000}" name="خصم أ ت ص" dataDxfId="858">
      <calculatedColumnFormula>0.03*Table11819202310303132353839404148111518202837535657[[#This Row],[النولون]]</calculatedColumnFormula>
    </tableColumn>
    <tableColumn id="5" xr3:uid="{00000000-0010-0000-3000-000005000000}" name="الايصالات" dataDxfId="857">
      <calculatedColumnFormula>80+80.84+338.77+1000+3538</calculatedColumnFormula>
    </tableColumn>
    <tableColumn id="8" xr3:uid="{00000000-0010-0000-3000-000008000000}" name="اجمالي الفاتوره" dataDxfId="856">
      <calculatedColumnFormula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calculatedColumnFormula>
    </tableColumn>
    <tableColumn id="9" xr3:uid="{00000000-0010-0000-3000-000009000000}" name="الدفعات" dataDxfId="855"/>
    <tableColumn id="6" xr3:uid="{00000000-0010-0000-3000-000006000000}" name="اجمالي الحساب" dataDxfId="854">
      <calculatedColumnFormula>Table11819202310303132353839404148111518202837535657[[#This Row],[اجمالي الفاتوره]]-Table11819202310303132353839404148111518202837535657[[#This Row],[الدفعات]]</calculatedColumnFormula>
    </tableColumn>
    <tableColumn id="14" xr3:uid="{00000000-0010-0000-3000-00000E000000}" name="Column1" dataDxfId="853"/>
  </tableColumns>
  <tableStyleInfo name="TableStyleLight2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8000000}" name="Table113" displayName="Table113" ref="A1:N334" totalsRowShown="0" headerRowDxfId="462" dataDxfId="461">
  <autoFilter ref="A1:N334" xr:uid="{00000000-0009-0000-0100-00000C000000}"/>
  <tableColumns count="14">
    <tableColumn id="1" xr3:uid="{00000000-0010-0000-0800-000001000000}" name="م" dataDxfId="460"/>
    <tableColumn id="7" xr3:uid="{00000000-0010-0000-0800-000007000000}" name="التاريخ" dataDxfId="459"/>
    <tableColumn id="2" xr3:uid="{00000000-0010-0000-0800-000002000000}" name="اسم الشركه " dataDxfId="458"/>
    <tableColumn id="11" xr3:uid="{00000000-0010-0000-0800-00000B000000}" name="العنوان" dataDxfId="457"/>
    <tableColumn id="10" xr3:uid="{00000000-0010-0000-0800-00000A000000}" name="رقم الاذن" dataDxfId="456"/>
    <tableColumn id="3" xr3:uid="{00000000-0010-0000-0800-000003000000}" name="عدد الحاويات" dataDxfId="455"/>
    <tableColumn id="4" xr3:uid="{00000000-0010-0000-0800-000004000000}" name="النولون" dataDxfId="454"/>
    <tableColumn id="13" xr3:uid="{00000000-0010-0000-0800-00000D000000}" name="استخلاص" dataDxfId="453"/>
    <tableColumn id="12" xr3:uid="{00000000-0010-0000-0800-00000C000000}" name="خصم " dataDxfId="452"/>
    <tableColumn id="5" xr3:uid="{00000000-0010-0000-0800-000005000000}" name="الايصالات" dataDxfId="451">
      <calculatedColumnFormula>250+50+145+100</calculatedColumnFormula>
    </tableColumn>
    <tableColumn id="8" xr3:uid="{00000000-0010-0000-0800-000008000000}" name="اجمالي الفاتوره" dataDxfId="450">
      <calculatedColumnFormula>Table113[[#This Row],[النولون]]+Table113[[#This Row],[الايصالات]]-Table113[[#This Row],[خصم ]]+Table113[[#This Row],[استخلاص]]</calculatedColumnFormula>
    </tableColumn>
    <tableColumn id="9" xr3:uid="{00000000-0010-0000-0800-000009000000}" name="الدفعات" dataDxfId="449"/>
    <tableColumn id="6" xr3:uid="{00000000-0010-0000-0800-000006000000}" name="اجمالي الحساب" dataDxfId="448">
      <calculatedColumnFormula>Table113[[#This Row],[اجمالي الفاتوره]]-Table113[[#This Row],[الدفعات]]</calculatedColumnFormula>
    </tableColumn>
    <tableColumn id="14" xr3:uid="{00000000-0010-0000-0800-00000E000000}" name="Column1" dataDxfId="447"/>
  </tableColumns>
  <tableStyleInfo name="TableStyleLight2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Table11819202122" displayName="Table11819202122" ref="A1:N338" totalsRowShown="0" headerRowDxfId="446" dataDxfId="445">
  <autoFilter ref="A1:N338" xr:uid="{00000000-0009-0000-0100-000015000000}"/>
  <tableColumns count="14">
    <tableColumn id="1" xr3:uid="{00000000-0010-0000-0A00-000001000000}" name="م" dataDxfId="444"/>
    <tableColumn id="7" xr3:uid="{00000000-0010-0000-0A00-000007000000}" name="التاريخ" dataDxfId="443"/>
    <tableColumn id="2" xr3:uid="{00000000-0010-0000-0A00-000002000000}" name="اسم الشركه " dataDxfId="442"/>
    <tableColumn id="11" xr3:uid="{00000000-0010-0000-0A00-00000B000000}" name="العنوان" dataDxfId="441"/>
    <tableColumn id="10" xr3:uid="{00000000-0010-0000-0A00-00000A000000}" name="رقم الاذن" dataDxfId="440"/>
    <tableColumn id="3" xr3:uid="{00000000-0010-0000-0A00-000003000000}" name="عدد الحاويات" dataDxfId="439"/>
    <tableColumn id="4" xr3:uid="{00000000-0010-0000-0A00-000004000000}" name="النولون" dataDxfId="438"/>
    <tableColumn id="13" xr3:uid="{00000000-0010-0000-0A00-00000D000000}" name="قيمة مضافة" dataDxfId="437"/>
    <tableColumn id="12" xr3:uid="{00000000-0010-0000-0A00-00000C000000}" name="خصم أ ت ص" dataDxfId="436"/>
    <tableColumn id="5" xr3:uid="{00000000-0010-0000-0A00-000005000000}" name="الايصالات" dataDxfId="435">
      <calculatedColumnFormula>250+50+145+100</calculatedColumnFormula>
    </tableColumn>
    <tableColumn id="8" xr3:uid="{00000000-0010-0000-0A00-000008000000}" name="اجمالي الفاتوره" dataDxfId="434">
      <calculatedColumnFormula>Table11819202122[[#This Row],[النولون]]+Table11819202122[[#This Row],[الايصالات]]-Table11819202122[[#This Row],[خصم أ ت ص]]+Table11819202122[[#This Row],[قيمة مضافة]]</calculatedColumnFormula>
    </tableColumn>
    <tableColumn id="9" xr3:uid="{00000000-0010-0000-0A00-000009000000}" name="الدفعات" dataDxfId="433"/>
    <tableColumn id="6" xr3:uid="{00000000-0010-0000-0A00-000006000000}" name="اجمالي الحساب" dataDxfId="432">
      <calculatedColumnFormula>Table11819202122[[#This Row],[اجمالي الفاتوره]]-Table11819202122[[#This Row],[الدفعات]]</calculatedColumnFormula>
    </tableColumn>
    <tableColumn id="14" xr3:uid="{00000000-0010-0000-0A00-00000E000000}" name="Column1" dataDxfId="431"/>
  </tableColumns>
  <tableStyleInfo name="TableStyleLight2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0000000}" name="Table1101516" displayName="Table1101516" ref="A1:N348" totalsRowShown="0" headerRowDxfId="430" dataDxfId="429">
  <autoFilter ref="A1:N348" xr:uid="{00000000-0009-0000-0100-00000F000000}"/>
  <tableColumns count="14">
    <tableColumn id="1" xr3:uid="{00000000-0010-0000-0000-000001000000}" name="م" dataDxfId="428"/>
    <tableColumn id="7" xr3:uid="{00000000-0010-0000-0000-000007000000}" name="التاريخ" dataDxfId="427"/>
    <tableColumn id="2" xr3:uid="{00000000-0010-0000-0000-000002000000}" name="اسم الشركه " dataDxfId="426"/>
    <tableColumn id="11" xr3:uid="{00000000-0010-0000-0000-00000B000000}" name="العنوان" dataDxfId="425"/>
    <tableColumn id="10" xr3:uid="{00000000-0010-0000-0000-00000A000000}" name="رقم الاذن" dataDxfId="424"/>
    <tableColumn id="3" xr3:uid="{00000000-0010-0000-0000-000003000000}" name="عدد الحاويات" dataDxfId="423"/>
    <tableColumn id="4" xr3:uid="{00000000-0010-0000-0000-000004000000}" name="النولون" dataDxfId="422"/>
    <tableColumn id="13" xr3:uid="{00000000-0010-0000-0000-00000D000000}" name="قيمة مضافة" dataDxfId="421"/>
    <tableColumn id="12" xr3:uid="{00000000-0010-0000-0000-00000C000000}" name="خصم أ ت ص" dataDxfId="420"/>
    <tableColumn id="5" xr3:uid="{00000000-0010-0000-0000-000005000000}" name="الايصالات" dataDxfId="419">
      <calculatedColumnFormula>250+50+145+100</calculatedColumnFormula>
    </tableColumn>
    <tableColumn id="8" xr3:uid="{00000000-0010-0000-0000-000008000000}" name="اجمالي الفاتوره" dataDxfId="418">
      <calculatedColumnFormula>Table1101516[[#This Row],[النولون]]+Table1101516[[#This Row],[الايصالات]]-Table1101516[[#This Row],[خصم أ ت ص]]+Table1101516[[#This Row],[قيمة مضافة]]</calculatedColumnFormula>
    </tableColumn>
    <tableColumn id="9" xr3:uid="{00000000-0010-0000-0000-000009000000}" name="الدفعات" dataDxfId="417"/>
    <tableColumn id="6" xr3:uid="{00000000-0010-0000-0000-000006000000}" name="اجمالي الحساب" dataDxfId="416">
      <calculatedColumnFormula>Table1101516[[#This Row],[اجمالي الفاتوره]]-Table1101516[[#This Row],[الدفعات]]</calculatedColumnFormula>
    </tableColumn>
    <tableColumn id="14" xr3:uid="{00000000-0010-0000-0000-00000E000000}" name="Column1" dataDxfId="415"/>
  </tableColumns>
  <tableStyleInfo name="TableStyleLight2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1000000}" name="Table112" displayName="Table112" ref="A1:O335" totalsRowShown="0" headerRowDxfId="414" dataDxfId="413">
  <autoFilter ref="A1:O335" xr:uid="{00000000-0009-0000-0100-00000B000000}"/>
  <tableColumns count="15">
    <tableColumn id="1" xr3:uid="{00000000-0010-0000-0100-000001000000}" name="م" dataDxfId="412"/>
    <tableColumn id="7" xr3:uid="{00000000-0010-0000-0100-000007000000}" name="التاريخ" dataDxfId="411"/>
    <tableColumn id="2" xr3:uid="{00000000-0010-0000-0100-000002000000}" name="اسم الشركه " dataDxfId="410"/>
    <tableColumn id="11" xr3:uid="{00000000-0010-0000-0100-00000B000000}" name="العنوان" dataDxfId="409"/>
    <tableColumn id="10" xr3:uid="{00000000-0010-0000-0100-00000A000000}" name="رقم الاذن" dataDxfId="408"/>
    <tableColumn id="3" xr3:uid="{00000000-0010-0000-0100-000003000000}" name="عدد الحاويات" dataDxfId="407"/>
    <tableColumn id="4" xr3:uid="{00000000-0010-0000-0100-000004000000}" name="النولون" dataDxfId="406"/>
    <tableColumn id="13" xr3:uid="{00000000-0010-0000-0100-00000D000000}" name="قيمة مضافة" dataDxfId="405"/>
    <tableColumn id="12" xr3:uid="{00000000-0010-0000-0100-00000C000000}" name="خصم أ ت ص" dataDxfId="404"/>
    <tableColumn id="5" xr3:uid="{00000000-0010-0000-0100-000005000000}" name="الايصالات" dataDxfId="403">
      <calculatedColumnFormula>250+50+145+100</calculatedColumnFormula>
    </tableColumn>
    <tableColumn id="8" xr3:uid="{00000000-0010-0000-0100-000008000000}" name="اجمالي الفاتوره" dataDxfId="402">
      <calculatedColumnFormula>Table112[[#This Row],[النولون]]+Table112[[#This Row],[الايصالات]]-Table112[[#This Row],[خصم أ ت ص]]+Table112[[#This Row],[قيمة مضافة]]</calculatedColumnFormula>
    </tableColumn>
    <tableColumn id="9" xr3:uid="{00000000-0010-0000-0100-000009000000}" name="الدفعات" dataDxfId="401"/>
    <tableColumn id="6" xr3:uid="{00000000-0010-0000-0100-000006000000}" name="اجمالي الحساب" dataDxfId="400">
      <calculatedColumnFormula>Table112[[#This Row],[اجمالي الفاتوره]]-Table112[[#This Row],[الدفعات]]</calculatedColumnFormula>
    </tableColumn>
    <tableColumn id="14" xr3:uid="{00000000-0010-0000-0100-00000E000000}" name="Column1" dataDxfId="399"/>
    <tableColumn id="15" xr3:uid="{A475FDC0-0602-4594-8827-A5D2100C896D}" name="Column2" dataDxfId="398"/>
  </tableColumns>
  <tableStyleInfo name="TableStyleLight2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A000000}" name="Table1181920231030313235383940414811151820284349" displayName="Table1181920231030313235383940414811151820284349" ref="B1:O338" totalsRowShown="0" headerRowDxfId="397" dataDxfId="396">
  <autoFilter ref="B1:O338" xr:uid="{00000000-0009-0000-0100-000030000000}"/>
  <tableColumns count="14">
    <tableColumn id="1" xr3:uid="{00000000-0010-0000-2A00-000001000000}" name="م" dataDxfId="395"/>
    <tableColumn id="7" xr3:uid="{00000000-0010-0000-2A00-000007000000}" name="التاريخ" dataDxfId="394"/>
    <tableColumn id="2" xr3:uid="{00000000-0010-0000-2A00-000002000000}" name="اسم الشركه " dataDxfId="393"/>
    <tableColumn id="11" xr3:uid="{00000000-0010-0000-2A00-00000B000000}" name="العنوان" dataDxfId="392"/>
    <tableColumn id="10" xr3:uid="{00000000-0010-0000-2A00-00000A000000}" name="رقم الاذن" dataDxfId="391"/>
    <tableColumn id="3" xr3:uid="{00000000-0010-0000-2A00-000003000000}" name="عدد الحاويات" dataDxfId="390"/>
    <tableColumn id="4" xr3:uid="{00000000-0010-0000-2A00-000004000000}" name="النولون" dataDxfId="389"/>
    <tableColumn id="13" xr3:uid="{00000000-0010-0000-2A00-00000D000000}" name="قيمة مضافة" dataDxfId="388"/>
    <tableColumn id="12" xr3:uid="{00000000-0010-0000-2A00-00000C000000}" name="خصم أ ت ص" dataDxfId="387">
      <calculatedColumnFormula>0.03*Table1181920231030313235383940414811151820284349[[#This Row],[النولون]]</calculatedColumnFormula>
    </tableColumn>
    <tableColumn id="5" xr3:uid="{00000000-0010-0000-2A00-000005000000}" name="الايصالات" dataDxfId="386">
      <calculatedColumnFormula>80+80.84+338.77+1000+3538</calculatedColumnFormula>
    </tableColumn>
    <tableColumn id="8" xr3:uid="{00000000-0010-0000-2A00-000008000000}" name="اجمالي الفاتوره" dataDxfId="385">
      <calculatedColumnFormula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calculatedColumnFormula>
    </tableColumn>
    <tableColumn id="9" xr3:uid="{00000000-0010-0000-2A00-000009000000}" name="الدفعات" dataDxfId="384"/>
    <tableColumn id="6" xr3:uid="{00000000-0010-0000-2A00-000006000000}" name="اجمالي الحساب" dataDxfId="383">
      <calculatedColumnFormula>Table1181920231030313235383940414811151820284349[[#This Row],[اجمالي الفاتوره]]-Table1181920231030313235383940414811151820284349[[#This Row],[الدفعات]]</calculatedColumnFormula>
    </tableColumn>
    <tableColumn id="14" xr3:uid="{00000000-0010-0000-2A00-00000E000000}" name="Column1" dataDxfId="382"/>
  </tableColumns>
  <tableStyleInfo name="TableStyleLight2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9000000}" name="Table1181920231030313235383940414811151820284348" displayName="Table1181920231030313235383940414811151820284348" ref="B1:O340" totalsRowShown="0" headerRowDxfId="381" dataDxfId="380">
  <autoFilter ref="B1:O340" xr:uid="{00000000-0009-0000-0100-00002F000000}"/>
  <tableColumns count="14">
    <tableColumn id="1" xr3:uid="{00000000-0010-0000-2900-000001000000}" name="م" dataDxfId="379"/>
    <tableColumn id="7" xr3:uid="{00000000-0010-0000-2900-000007000000}" name="التاريخ" dataDxfId="378"/>
    <tableColumn id="2" xr3:uid="{00000000-0010-0000-2900-000002000000}" name="اسم الشركه " dataDxfId="377"/>
    <tableColumn id="11" xr3:uid="{00000000-0010-0000-2900-00000B000000}" name="العنوان" dataDxfId="376"/>
    <tableColumn id="10" xr3:uid="{00000000-0010-0000-2900-00000A000000}" name="رقم الاذن" dataDxfId="375"/>
    <tableColumn id="3" xr3:uid="{00000000-0010-0000-2900-000003000000}" name="عدد الحاويات" dataDxfId="374"/>
    <tableColumn id="4" xr3:uid="{00000000-0010-0000-2900-000004000000}" name="النولون" dataDxfId="373"/>
    <tableColumn id="13" xr3:uid="{00000000-0010-0000-2900-00000D000000}" name="قيمة مضافة" dataDxfId="372"/>
    <tableColumn id="12" xr3:uid="{00000000-0010-0000-2900-00000C000000}" name="خصم أ ت ص" dataDxfId="371">
      <calculatedColumnFormula>0.03*Table1181920231030313235383940414811151820284348[[#This Row],[النولون]]</calculatedColumnFormula>
    </tableColumn>
    <tableColumn id="5" xr3:uid="{00000000-0010-0000-2900-000005000000}" name="الايصالات" dataDxfId="370">
      <calculatedColumnFormula>80+80.84+338.77+1000+3538</calculatedColumnFormula>
    </tableColumn>
    <tableColumn id="8" xr3:uid="{00000000-0010-0000-2900-000008000000}" name="اجمالي الفاتوره" dataDxfId="369">
      <calculatedColumnFormula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calculatedColumnFormula>
    </tableColumn>
    <tableColumn id="9" xr3:uid="{00000000-0010-0000-2900-000009000000}" name="الدفعات" dataDxfId="368"/>
    <tableColumn id="6" xr3:uid="{00000000-0010-0000-2900-000006000000}" name="اجمالي الحساب" dataDxfId="367">
      <calculatedColumnFormula>Table1181920231030313235383940414811151820284348[[#This Row],[اجمالي الفاتوره]]-Table1181920231030313235383940414811151820284348[[#This Row],[الدفعات]]</calculatedColumnFormula>
    </tableColumn>
    <tableColumn id="14" xr3:uid="{00000000-0010-0000-2900-00000E000000}" name="Column1" dataDxfId="366"/>
  </tableColumns>
  <tableStyleInfo name="TableStyleLight2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4000000}" name="Table11217" displayName="Table11217" ref="A1:M333" totalsRowShown="0" headerRowDxfId="365" dataDxfId="364">
  <autoFilter ref="A1:M333" xr:uid="{00000000-0009-0000-0100-000010000000}"/>
  <tableColumns count="13">
    <tableColumn id="1" xr3:uid="{00000000-0010-0000-0400-000001000000}" name="م" dataDxfId="363"/>
    <tableColumn id="7" xr3:uid="{00000000-0010-0000-0400-000007000000}" name="التاريخ" dataDxfId="362"/>
    <tableColumn id="11" xr3:uid="{00000000-0010-0000-0400-00000B000000}" name="العنوان" dataDxfId="361"/>
    <tableColumn id="10" xr3:uid="{00000000-0010-0000-0400-00000A000000}" name="رقم الاذن" dataDxfId="360"/>
    <tableColumn id="3" xr3:uid="{00000000-0010-0000-0400-000003000000}" name="عدد الحاويات" dataDxfId="359"/>
    <tableColumn id="4" xr3:uid="{00000000-0010-0000-0400-000004000000}" name="النولون" dataDxfId="358"/>
    <tableColumn id="13" xr3:uid="{00000000-0010-0000-0400-00000D000000}" name="قيمة مضافة" dataDxfId="357">
      <calculatedColumnFormula>0.14*Table11217[[#This Row],[النولون]]</calculatedColumnFormula>
    </tableColumn>
    <tableColumn id="5" xr3:uid="{00000000-0010-0000-0400-000005000000}" name="الايصالات" dataDxfId="356">
      <calculatedColumnFormula>250+50+145+100</calculatedColumnFormula>
    </tableColumn>
    <tableColumn id="8" xr3:uid="{00000000-0010-0000-0400-000008000000}" name="اجمالي الفاتوره" dataDxfId="355">
      <calculatedColumnFormula>Table11217[[#This Row],[النولون]]+Table11217[[#This Row],[الايصالات]]+Table11217[[#This Row],[قيمة مضافة]]</calculatedColumnFormula>
    </tableColumn>
    <tableColumn id="9" xr3:uid="{00000000-0010-0000-0400-000009000000}" name="الدفعات" dataDxfId="354"/>
    <tableColumn id="6" xr3:uid="{00000000-0010-0000-0400-000006000000}" name="اجمالي الحساب" dataDxfId="353">
      <calculatedColumnFormula>Table11217[[#This Row],[اجمالي الفاتوره]]-Table11217[[#This Row],[الدفعات]]</calculatedColumnFormula>
    </tableColumn>
    <tableColumn id="14" xr3:uid="{00000000-0010-0000-0400-00000E000000}" name="Column1" dataDxfId="352"/>
    <tableColumn id="2" xr3:uid="{8DA2FA7C-4C8A-4E88-BAAB-AA0713F9622A}" name="Column2" dataDxfId="351"/>
  </tableColumns>
  <tableStyleInfo name="TableStyleLight2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6000000}" name="Table1181920231030313235383940414811151820283134" displayName="Table1181920231030313235383940414811151820283134" ref="B1:O339" totalsRowShown="0" headerRowDxfId="350" dataDxfId="349">
  <autoFilter ref="B1:O339" xr:uid="{00000000-0009-0000-0100-000021000000}"/>
  <tableColumns count="14">
    <tableColumn id="1" xr3:uid="{00000000-0010-0000-2600-000001000000}" name="م" dataDxfId="348"/>
    <tableColumn id="7" xr3:uid="{00000000-0010-0000-2600-000007000000}" name="التاريخ" dataDxfId="347"/>
    <tableColumn id="2" xr3:uid="{00000000-0010-0000-2600-000002000000}" name="اسم الشركه " dataDxfId="346"/>
    <tableColumn id="11" xr3:uid="{00000000-0010-0000-2600-00000B000000}" name="العنوان" dataDxfId="345"/>
    <tableColumn id="10" xr3:uid="{00000000-0010-0000-2600-00000A000000}" name="رقم الاذن" dataDxfId="344"/>
    <tableColumn id="3" xr3:uid="{00000000-0010-0000-2600-000003000000}" name="عدد الحاويات" dataDxfId="343"/>
    <tableColumn id="4" xr3:uid="{00000000-0010-0000-2600-000004000000}" name="النولون" dataDxfId="342"/>
    <tableColumn id="13" xr3:uid="{00000000-0010-0000-2600-00000D000000}" name="قيمة مضافة" dataDxfId="341">
      <calculatedColumnFormula>0.14*Table1181920231030313235383940414811151820283134[[#This Row],[النولون]]</calculatedColumnFormula>
    </tableColumn>
    <tableColumn id="5" xr3:uid="{00000000-0010-0000-2600-000005000000}" name="الايصالات" dataDxfId="340">
      <calculatedColumnFormula>80+80.84+338.77+1000+3538</calculatedColumnFormula>
    </tableColumn>
    <tableColumn id="8" xr3:uid="{00000000-0010-0000-2600-000008000000}" name="اجمالي الفاتوره" dataDxfId="339">
      <calculatedColumnFormula>Table1181920231030313235383940414811151820283134[[#This Row],[النولون]]+Table1181920231030313235383940414811151820283134[[#This Row],[الايصالات]]+Table1181920231030313235383940414811151820283134[[#This Row],[قيمة مضافة]]</calculatedColumnFormula>
    </tableColumn>
    <tableColumn id="9" xr3:uid="{00000000-0010-0000-2600-000009000000}" name="الدفعات" dataDxfId="338"/>
    <tableColumn id="6" xr3:uid="{00000000-0010-0000-2600-000006000000}" name="اجمالي الحساب" dataDxfId="337">
      <calculatedColumnFormula>Table1181920231030313235383940414811151820283134[[#This Row],[اجمالي الفاتوره]]-Table1181920231030313235383940414811151820283134[[#This Row],[الدفعات]]</calculatedColumnFormula>
    </tableColumn>
    <tableColumn id="14" xr3:uid="{00000000-0010-0000-2600-00000E000000}" name="Column1" dataDxfId="336"/>
    <tableColumn id="12" xr3:uid="{798E22CA-868A-4FD9-B79C-2546F14F9A5E}" name="Column2" dataDxfId="335"/>
  </tableColumns>
  <tableStyleInfo name="TableStyleLight2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able16" displayName="Table16" ref="A1:N353" totalsRowShown="0" headerRowDxfId="334" dataDxfId="333">
  <autoFilter ref="A1:N353" xr:uid="{00000000-0009-0000-0100-000005000000}"/>
  <tableColumns count="14">
    <tableColumn id="1" xr3:uid="{00000000-0010-0000-0600-000001000000}" name="م" dataDxfId="332"/>
    <tableColumn id="7" xr3:uid="{00000000-0010-0000-0600-000007000000}" name="التاريخ" dataDxfId="331"/>
    <tableColumn id="2" xr3:uid="{00000000-0010-0000-0600-000002000000}" name="اسم الشركه " dataDxfId="330"/>
    <tableColumn id="11" xr3:uid="{00000000-0010-0000-0600-00000B000000}" name="العنوان" dataDxfId="329"/>
    <tableColumn id="10" xr3:uid="{00000000-0010-0000-0600-00000A000000}" name="رقم الاذن" dataDxfId="328"/>
    <tableColumn id="3" xr3:uid="{00000000-0010-0000-0600-000003000000}" name="عدد الحاويات" dataDxfId="327"/>
    <tableColumn id="4" xr3:uid="{00000000-0010-0000-0600-000004000000}" name="النولون" dataDxfId="326"/>
    <tableColumn id="13" xr3:uid="{00000000-0010-0000-0600-00000D000000}" name="قيمة مضافة" dataDxfId="325"/>
    <tableColumn id="12" xr3:uid="{00000000-0010-0000-0600-00000C000000}" name="خصم أ ت ص" dataDxfId="324"/>
    <tableColumn id="5" xr3:uid="{00000000-0010-0000-0600-000005000000}" name="الايصالات" dataDxfId="323"/>
    <tableColumn id="8" xr3:uid="{00000000-0010-0000-0600-000008000000}" name="اجمالي الفاتوره" dataDxfId="322">
      <calculatedColumnFormula>Table16[[#This Row],[النولون]]+Table16[[#This Row],[الايصالات]]-Table16[[#This Row],[خصم أ ت ص]]+Table16[[#This Row],[قيمة مضافة]]</calculatedColumnFormula>
    </tableColumn>
    <tableColumn id="9" xr3:uid="{00000000-0010-0000-0600-000009000000}" name="الدفعات" dataDxfId="321"/>
    <tableColumn id="6" xr3:uid="{00000000-0010-0000-0600-000006000000}" name="اجمالي الحساب" dataDxfId="320">
      <calculatedColumnFormula>Table16[[#This Row],[اجمالي الفاتوره]]-Table16[[#This Row],[الدفعات]]</calculatedColumnFormula>
    </tableColumn>
    <tableColumn id="14" xr3:uid="{00000000-0010-0000-0600-00000E000000}" name="Column1" dataDxfId="319"/>
  </tableColumns>
  <tableStyleInfo name="TableStyleLight2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17000000}" name="Table1181920231030313235383940424344" displayName="Table1181920231030313235383940424344" ref="B1:O339" totalsRowShown="0" headerRowDxfId="318" dataDxfId="317">
  <autoFilter ref="B1:O339" xr:uid="{00000000-0009-0000-0100-00002B000000}"/>
  <tableColumns count="14">
    <tableColumn id="1" xr3:uid="{00000000-0010-0000-1700-000001000000}" name="م" dataDxfId="316"/>
    <tableColumn id="7" xr3:uid="{00000000-0010-0000-1700-000007000000}" name="التاريخ" dataDxfId="315"/>
    <tableColumn id="2" xr3:uid="{00000000-0010-0000-1700-000002000000}" name="اسم الشركه " dataDxfId="314"/>
    <tableColumn id="11" xr3:uid="{00000000-0010-0000-1700-00000B000000}" name="العنوان" dataDxfId="313"/>
    <tableColumn id="10" xr3:uid="{00000000-0010-0000-1700-00000A000000}" name="رقم الاذن" dataDxfId="312"/>
    <tableColumn id="3" xr3:uid="{00000000-0010-0000-1700-000003000000}" name="عدد الحاويات" dataDxfId="311"/>
    <tableColumn id="4" xr3:uid="{00000000-0010-0000-1700-000004000000}" name="النولون" dataDxfId="310"/>
    <tableColumn id="13" xr3:uid="{00000000-0010-0000-1700-00000D000000}" name="قيمة مضافة" dataDxfId="309">
      <calculatedColumnFormula>0.14*Table1181920231030313235383940424344[[#This Row],[النولون]]</calculatedColumnFormula>
    </tableColumn>
    <tableColumn id="12" xr3:uid="{00000000-0010-0000-1700-00000C000000}" name="خصم أ ت ص" dataDxfId="308">
      <calculatedColumnFormula>0.03*Table1181920231030313235383940424344[[#This Row],[النولون]]</calculatedColumnFormula>
    </tableColumn>
    <tableColumn id="5" xr3:uid="{00000000-0010-0000-1700-000005000000}" name="الايصالات" dataDxfId="307">
      <calculatedColumnFormula>250+50+145+100</calculatedColumnFormula>
    </tableColumn>
    <tableColumn id="8" xr3:uid="{00000000-0010-0000-1700-000008000000}" name="اجمالي الفاتوره" dataDxfId="306">
      <calculatedColumnFormula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calculatedColumnFormula>
    </tableColumn>
    <tableColumn id="9" xr3:uid="{00000000-0010-0000-1700-000009000000}" name="الدفعات" dataDxfId="305"/>
    <tableColumn id="6" xr3:uid="{00000000-0010-0000-1700-000006000000}" name="اجمالي الحساب" dataDxfId="304">
      <calculatedColumnFormula>Table1181920231030313235383940424344[[#This Row],[اجمالي الفاتوره]]-Table1181920231030313235383940424344[[#This Row],[الدفعات]]</calculatedColumnFormula>
    </tableColumn>
    <tableColumn id="14" xr3:uid="{00000000-0010-0000-1700-00000E000000}" name="Column1" dataDxfId="303"/>
  </tableColumns>
  <tableStyleInfo name="TableStyleLight2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14000000}" name="Table118192023103031323538394041" displayName="Table118192023103031323538394041" ref="A1:N339" totalsRowShown="0" headerRowDxfId="302" dataDxfId="301">
  <autoFilter ref="A1:N339" xr:uid="{00000000-0009-0000-0100-000028000000}"/>
  <tableColumns count="14">
    <tableColumn id="1" xr3:uid="{00000000-0010-0000-1400-000001000000}" name="م" dataDxfId="300"/>
    <tableColumn id="7" xr3:uid="{00000000-0010-0000-1400-000007000000}" name="التاريخ" dataDxfId="299"/>
    <tableColumn id="2" xr3:uid="{00000000-0010-0000-1400-000002000000}" name="اسم الشركه " dataDxfId="298"/>
    <tableColumn id="11" xr3:uid="{00000000-0010-0000-1400-00000B000000}" name="العنوان" dataDxfId="297"/>
    <tableColumn id="10" xr3:uid="{00000000-0010-0000-1400-00000A000000}" name="رقم الاذن" dataDxfId="296"/>
    <tableColumn id="3" xr3:uid="{00000000-0010-0000-1400-000003000000}" name="عدد الحاويات" dataDxfId="295"/>
    <tableColumn id="4" xr3:uid="{00000000-0010-0000-1400-000004000000}" name="النولون" dataDxfId="294"/>
    <tableColumn id="13" xr3:uid="{00000000-0010-0000-1400-00000D000000}" name="قيمة مضافة" dataDxfId="293"/>
    <tableColumn id="12" xr3:uid="{00000000-0010-0000-1400-00000C000000}" name="خصم أ ت ص" dataDxfId="292">
      <calculatedColumnFormula>0.03*Table118192023103031323538394041[[#This Row],[النولون]]</calculatedColumnFormula>
    </tableColumn>
    <tableColumn id="5" xr3:uid="{00000000-0010-0000-1400-000005000000}" name="الايصالات" dataDxfId="291">
      <calculatedColumnFormula>80+80.84+338.77+1000+3538</calculatedColumnFormula>
    </tableColumn>
    <tableColumn id="8" xr3:uid="{00000000-0010-0000-1400-000008000000}" name="اجمالي الفاتوره" dataDxfId="290">
      <calculatedColumnFormula>Table118192023103031323538394041[[#This Row],[النولون]]+Table118192023103031323538394041[[#This Row],[الايصالات]]-Table118192023103031323538394041[[#This Row],[خصم أ ت ص]]+Table118192023103031323538394041[[#This Row],[قيمة مضافة]]</calculatedColumnFormula>
    </tableColumn>
    <tableColumn id="9" xr3:uid="{00000000-0010-0000-1400-000009000000}" name="الدفعات" dataDxfId="289"/>
    <tableColumn id="6" xr3:uid="{00000000-0010-0000-1400-000006000000}" name="اجمالي الحساب" dataDxfId="288">
      <calculatedColumnFormula>Table118192023103031323538394041[[#This Row],[اجمالي الفاتوره]]-Table118192023103031323538394041[[#This Row],[الدفعات]]</calculatedColumnFormula>
    </tableColumn>
    <tableColumn id="14" xr3:uid="{00000000-0010-0000-1400-00000E000000}" name="Column1" dataDxfId="287"/>
  </tableColumns>
  <tableStyleInfo name="TableStyleLight2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3000000}" name="Table118192023272829" displayName="Table118192023272829" ref="A1:O338" totalsRowShown="0" headerRowDxfId="286" dataDxfId="285">
  <autoFilter ref="A1:O338" xr:uid="{00000000-0009-0000-0100-00001C000000}"/>
  <tableColumns count="15">
    <tableColumn id="1" xr3:uid="{00000000-0010-0000-0300-000001000000}" name="م" dataDxfId="284"/>
    <tableColumn id="7" xr3:uid="{00000000-0010-0000-0300-000007000000}" name="التاريخ" dataDxfId="283"/>
    <tableColumn id="2" xr3:uid="{00000000-0010-0000-0300-000002000000}" name="اسم الشركه " dataDxfId="282"/>
    <tableColumn id="11" xr3:uid="{00000000-0010-0000-0300-00000B000000}" name="العنوان" dataDxfId="281"/>
    <tableColumn id="10" xr3:uid="{00000000-0010-0000-0300-00000A000000}" name="رقم الاذن" dataDxfId="280"/>
    <tableColumn id="3" xr3:uid="{00000000-0010-0000-0300-000003000000}" name="عدد الحاويات" dataDxfId="279"/>
    <tableColumn id="4" xr3:uid="{00000000-0010-0000-0300-000004000000}" name="النولون" dataDxfId="278"/>
    <tableColumn id="13" xr3:uid="{00000000-0010-0000-0300-00000D000000}" name="قيمة مضافة" dataDxfId="277"/>
    <tableColumn id="12" xr3:uid="{00000000-0010-0000-0300-00000C000000}" name="خصم أ ت ص" dataDxfId="276"/>
    <tableColumn id="5" xr3:uid="{00000000-0010-0000-0300-000005000000}" name="الايصالات" dataDxfId="275">
      <calculatedColumnFormula>250+50+145+100</calculatedColumnFormula>
    </tableColumn>
    <tableColumn id="8" xr3:uid="{00000000-0010-0000-0300-000008000000}" name="اجمالي الفاتوره" dataDxfId="274">
      <calculatedColumnFormula>Table118192023272829[[#This Row],[النولون]]+Table118192023272829[[#This Row],[الايصالات]]-Table118192023272829[[#This Row],[خصم أ ت ص]]+Table118192023272829[[#This Row],[قيمة مضافة]]</calculatedColumnFormula>
    </tableColumn>
    <tableColumn id="9" xr3:uid="{00000000-0010-0000-0300-000009000000}" name="الدفعات" dataDxfId="273"/>
    <tableColumn id="6" xr3:uid="{00000000-0010-0000-0300-000006000000}" name="اجمالي الحساب" dataDxfId="272">
      <calculatedColumnFormula>Table118192023272829[[#This Row],[اجمالي الفاتوره]]-Table118192023272829[[#This Row],[الدفعات]]</calculatedColumnFormula>
    </tableColumn>
    <tableColumn id="14" xr3:uid="{00000000-0010-0000-0300-00000E000000}" name="Column1" dataDxfId="271"/>
    <tableColumn id="15" xr3:uid="{1587F4EA-9E12-4180-858A-7C73BA6AA797}" name="Column2" dataDxfId="270"/>
  </tableColumns>
  <tableStyleInfo name="TableStyleLight2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19" displayName="Table19" ref="A1:O339" totalsRowShown="0" headerRowDxfId="269" dataDxfId="268">
  <autoFilter ref="A1:O339" xr:uid="{00000000-0009-0000-0100-000008000000}"/>
  <tableColumns count="15">
    <tableColumn id="1" xr3:uid="{00000000-0010-0000-0700-000001000000}" name="م" dataDxfId="267"/>
    <tableColumn id="7" xr3:uid="{00000000-0010-0000-0700-000007000000}" name="التاريخ" dataDxfId="266"/>
    <tableColumn id="2" xr3:uid="{00000000-0010-0000-0700-000002000000}" name="اسم الشركه " dataDxfId="265"/>
    <tableColumn id="11" xr3:uid="{00000000-0010-0000-0700-00000B000000}" name="العنوان" dataDxfId="264"/>
    <tableColumn id="10" xr3:uid="{00000000-0010-0000-0700-00000A000000}" name="رقم الاذن" dataDxfId="263"/>
    <tableColumn id="3" xr3:uid="{00000000-0010-0000-0700-000003000000}" name="عدد الحاويات" dataDxfId="262"/>
    <tableColumn id="4" xr3:uid="{00000000-0010-0000-0700-000004000000}" name="النولون" dataDxfId="261"/>
    <tableColumn id="13" xr3:uid="{00000000-0010-0000-0700-00000D000000}" name="قيمة مضافة" dataDxfId="260">
      <calculatedColumnFormula>0.14*Table19[[#This Row],[النولون]]</calculatedColumnFormula>
    </tableColumn>
    <tableColumn id="12" xr3:uid="{00000000-0010-0000-0700-00000C000000}" name="خصم أ ت ص" dataDxfId="259"/>
    <tableColumn id="5" xr3:uid="{00000000-0010-0000-0700-000005000000}" name="الايصالات" dataDxfId="258">
      <calculatedColumnFormula>250+50+145+100</calculatedColumnFormula>
    </tableColumn>
    <tableColumn id="8" xr3:uid="{00000000-0010-0000-0700-000008000000}" name="اجمالي الفاتوره" dataDxfId="257">
      <calculatedColumnFormula>Table19[[#This Row],[النولون]]+Table19[[#This Row],[الايصالات]]-Table19[[#This Row],[خصم أ ت ص]]+Table19[[#This Row],[قيمة مضافة]]</calculatedColumnFormula>
    </tableColumn>
    <tableColumn id="9" xr3:uid="{00000000-0010-0000-0700-000009000000}" name="الدفعات" dataDxfId="256"/>
    <tableColumn id="6" xr3:uid="{00000000-0010-0000-0700-000006000000}" name="اجمالي الحساب" dataDxfId="255">
      <calculatedColumnFormula>Table19[[#This Row],[اجمالي الفاتوره]]-Table19[[#This Row],[الدفعات]]</calculatedColumnFormula>
    </tableColumn>
    <tableColumn id="14" xr3:uid="{00000000-0010-0000-0700-00000E000000}" name="Column1" dataDxfId="254"/>
    <tableColumn id="15" xr3:uid="{995FFB4A-8D87-4388-98C6-6D6DA16F8C3F}" name="Column2" dataDxfId="253"/>
  </tableColumns>
  <tableStyleInfo name="TableStyleLight2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F000000}" name="Table1181920231030313233" displayName="Table1181920231030313233" ref="B1:N347" totalsRowShown="0" headerRowDxfId="252" dataDxfId="251">
  <autoFilter ref="B1:N347" xr:uid="{00000000-0009-0000-0100-000020000000}"/>
  <tableColumns count="13">
    <tableColumn id="1" xr3:uid="{00000000-0010-0000-0F00-000001000000}" name="م" dataDxfId="250"/>
    <tableColumn id="7" xr3:uid="{00000000-0010-0000-0F00-000007000000}" name="التاريخ" dataDxfId="249"/>
    <tableColumn id="2" xr3:uid="{00000000-0010-0000-0F00-000002000000}" name="اسم الشركه " dataDxfId="248"/>
    <tableColumn id="11" xr3:uid="{00000000-0010-0000-0F00-00000B000000}" name="العنوان" dataDxfId="247"/>
    <tableColumn id="10" xr3:uid="{00000000-0010-0000-0F00-00000A000000}" name="رقم الاذن" dataDxfId="246"/>
    <tableColumn id="3" xr3:uid="{00000000-0010-0000-0F00-000003000000}" name="عدد الحاويات" dataDxfId="245"/>
    <tableColumn id="4" xr3:uid="{00000000-0010-0000-0F00-000004000000}" name="النولون" dataDxfId="244"/>
    <tableColumn id="13" xr3:uid="{00000000-0010-0000-0F00-00000D000000}" name="قيمة مضافة" dataDxfId="243"/>
    <tableColumn id="5" xr3:uid="{00000000-0010-0000-0F00-000005000000}" name="الايصالات" dataDxfId="242">
      <calculatedColumnFormula>250+50+145+100</calculatedColumnFormula>
    </tableColumn>
    <tableColumn id="8" xr3:uid="{00000000-0010-0000-0F00-000008000000}" name="اجمالي الفاتوره" dataDxfId="241">
      <calculatedColumnFormula>Table1181920231030313233[[#This Row],[النولون]]+Table1181920231030313233[[#This Row],[الايصالات]]+Table1181920231030313233[[#This Row],[قيمة مضافة]]</calculatedColumnFormula>
    </tableColumn>
    <tableColumn id="9" xr3:uid="{00000000-0010-0000-0F00-000009000000}" name="الدفعات" dataDxfId="240"/>
    <tableColumn id="6" xr3:uid="{00000000-0010-0000-0F00-000006000000}" name="اجمالي الحساب" dataDxfId="239">
      <calculatedColumnFormula>Table1181920231030313233[[#This Row],[اجمالي الفاتوره]]-Table1181920231030313233[[#This Row],[الدفعات]]</calculatedColumnFormula>
    </tableColumn>
    <tableColumn id="14" xr3:uid="{00000000-0010-0000-0F00-00000E000000}" name="Column1" dataDxfId="238"/>
  </tableColumns>
  <tableStyleInfo name="TableStyleLight2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0000000}" name="Table11819202310303132" displayName="Table11819202310303132" ref="A1:N341" totalsRowShown="0" headerRowDxfId="237" dataDxfId="236">
  <autoFilter ref="A1:N341" xr:uid="{00000000-0009-0000-0100-00001F000000}"/>
  <tableColumns count="14">
    <tableColumn id="1" xr3:uid="{00000000-0010-0000-1000-000001000000}" name="م" dataDxfId="235"/>
    <tableColumn id="7" xr3:uid="{00000000-0010-0000-1000-000007000000}" name="التاريخ" dataDxfId="234"/>
    <tableColumn id="2" xr3:uid="{00000000-0010-0000-1000-000002000000}" name="اسم الشركه " dataDxfId="233"/>
    <tableColumn id="11" xr3:uid="{00000000-0010-0000-1000-00000B000000}" name="العنوان" dataDxfId="232"/>
    <tableColumn id="10" xr3:uid="{00000000-0010-0000-1000-00000A000000}" name="رقم الاذن" dataDxfId="231"/>
    <tableColumn id="3" xr3:uid="{00000000-0010-0000-1000-000003000000}" name="عدد الحاويات" dataDxfId="230"/>
    <tableColumn id="4" xr3:uid="{00000000-0010-0000-1000-000004000000}" name="النولون" dataDxfId="229"/>
    <tableColumn id="13" xr3:uid="{00000000-0010-0000-1000-00000D000000}" name="قيمة مضافة" dataDxfId="228"/>
    <tableColumn id="12" xr3:uid="{00000000-0010-0000-1000-00000C000000}" name="خصم أ ت ص" dataDxfId="227">
      <calculatedColumnFormula>0.03*Table11819202310303132[[#This Row],[النولون]]</calculatedColumnFormula>
    </tableColumn>
    <tableColumn id="5" xr3:uid="{00000000-0010-0000-1000-000005000000}" name="الايصالات" dataDxfId="226">
      <calculatedColumnFormula>250+50+145+100</calculatedColumnFormula>
    </tableColumn>
    <tableColumn id="8" xr3:uid="{00000000-0010-0000-1000-000008000000}" name="اجمالي الفاتوره" dataDxfId="225">
      <calculatedColumnFormula>Table11819202310303132[[#This Row],[النولون]]+Table11819202310303132[[#This Row],[الايصالات]]-Table11819202310303132[[#This Row],[خصم أ ت ص]]+Table11819202310303132[[#This Row],[قيمة مضافة]]</calculatedColumnFormula>
    </tableColumn>
    <tableColumn id="9" xr3:uid="{00000000-0010-0000-1000-000009000000}" name="الدفعات" dataDxfId="224"/>
    <tableColumn id="6" xr3:uid="{00000000-0010-0000-1000-000006000000}" name="اجمالي الحساب" dataDxfId="223">
      <calculatedColumnFormula>Table11819202310303132[[#This Row],[اجمالي الفاتوره]]-Table11819202310303132[[#This Row],[الدفعات]]</calculatedColumnFormula>
    </tableColumn>
    <tableColumn id="14" xr3:uid="{00000000-0010-0000-1000-00000E000000}" name="Column1" dataDxfId="222"/>
  </tableColumns>
  <tableStyleInfo name="TableStyleLight2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12000000}" name="Table118192023103031323" displayName="Table118192023103031323" ref="A1:N342" totalsRowShown="0" headerRowDxfId="221" dataDxfId="220">
  <autoFilter ref="A1:N342" xr:uid="{00000000-0009-0000-0100-000002000000}"/>
  <tableColumns count="14">
    <tableColumn id="1" xr3:uid="{00000000-0010-0000-1200-000001000000}" name="م" dataDxfId="219"/>
    <tableColumn id="7" xr3:uid="{00000000-0010-0000-1200-000007000000}" name="التاريخ" dataDxfId="218"/>
    <tableColumn id="2" xr3:uid="{00000000-0010-0000-1200-000002000000}" name="اسم الشركه " dataDxfId="217"/>
    <tableColumn id="11" xr3:uid="{00000000-0010-0000-1200-00000B000000}" name="العنوان" dataDxfId="216"/>
    <tableColumn id="10" xr3:uid="{00000000-0010-0000-1200-00000A000000}" name="رقم الاذن" dataDxfId="215"/>
    <tableColumn id="3" xr3:uid="{00000000-0010-0000-1200-000003000000}" name="عدد الحاويات" dataDxfId="214"/>
    <tableColumn id="4" xr3:uid="{00000000-0010-0000-1200-000004000000}" name="النولون" dataDxfId="213"/>
    <tableColumn id="13" xr3:uid="{00000000-0010-0000-1200-00000D000000}" name="قيمة مضافة" dataDxfId="212">
      <calculatedColumnFormula>0.14*Table118192023103031323[[#This Row],[النولون]]</calculatedColumnFormula>
    </tableColumn>
    <tableColumn id="5" xr3:uid="{00000000-0010-0000-1200-000005000000}" name="الايصالات" dataDxfId="211">
      <calculatedColumnFormula>250+50+145+100</calculatedColumnFormula>
    </tableColumn>
    <tableColumn id="8" xr3:uid="{00000000-0010-0000-1200-000008000000}" name="اجمالي الفاتوره" dataDxfId="210">
      <calculatedColumnFormula>Table118192023103031323[[#This Row],[النولون]]+Table118192023103031323[[#This Row],[الايصالات]]+Table118192023103031323[[#This Row],[قيمة مضافة]]</calculatedColumnFormula>
    </tableColumn>
    <tableColumn id="9" xr3:uid="{00000000-0010-0000-1200-000009000000}" name="الدفعات" dataDxfId="209"/>
    <tableColumn id="6" xr3:uid="{00000000-0010-0000-1200-000006000000}" name="اجمالي الحساب" dataDxfId="208">
      <calculatedColumnFormula>Table118192023103031323[[#This Row],[اجمالي الفاتوره]]-Table118192023103031323[[#This Row],[الدفعات]]</calculatedColumnFormula>
    </tableColumn>
    <tableColumn id="14" xr3:uid="{00000000-0010-0000-1200-00000E000000}" name="Column1" dataDxfId="207"/>
    <tableColumn id="12" xr3:uid="{6C64B2CC-EC92-454C-982A-142FB3814A5D}" name="Column2" dataDxfId="206"/>
  </tableColumns>
  <tableStyleInfo name="TableStyleLight2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1C000000}" name="Table11819202310303132362" displayName="Table11819202310303132362" ref="A1:O338" totalsRowShown="0" headerRowDxfId="205" dataDxfId="204">
  <autoFilter ref="A1:O338" xr:uid="{00000000-0009-0000-0100-000001000000}"/>
  <tableColumns count="15">
    <tableColumn id="1" xr3:uid="{00000000-0010-0000-1C00-000001000000}" name="م" dataDxfId="203"/>
    <tableColumn id="7" xr3:uid="{00000000-0010-0000-1C00-000007000000}" name="التاريخ" dataDxfId="202"/>
    <tableColumn id="2" xr3:uid="{00000000-0010-0000-1C00-000002000000}" name="اسم الشركه " dataDxfId="201"/>
    <tableColumn id="11" xr3:uid="{00000000-0010-0000-1C00-00000B000000}" name="العنوان" dataDxfId="200"/>
    <tableColumn id="10" xr3:uid="{00000000-0010-0000-1C00-00000A000000}" name="رقم الاذن" dataDxfId="199"/>
    <tableColumn id="3" xr3:uid="{00000000-0010-0000-1C00-000003000000}" name="عدد الحاويات" dataDxfId="198"/>
    <tableColumn id="4" xr3:uid="{00000000-0010-0000-1C00-000004000000}" name="النولون" dataDxfId="197"/>
    <tableColumn id="13" xr3:uid="{00000000-0010-0000-1C00-00000D000000}" name="قيمة مضافة" dataDxfId="196">
      <calculatedColumnFormula>0.14*Table11819202310303132362[[#This Row],[النولون]]</calculatedColumnFormula>
    </tableColumn>
    <tableColumn id="12" xr3:uid="{00000000-0010-0000-1C00-00000C000000}" name="خصم أ ت ص" dataDxfId="195"/>
    <tableColumn id="5" xr3:uid="{00000000-0010-0000-1C00-000005000000}" name="الايصالات" dataDxfId="194">
      <calculatedColumnFormula>250+50+145+100</calculatedColumnFormula>
    </tableColumn>
    <tableColumn id="8" xr3:uid="{00000000-0010-0000-1C00-000008000000}" name="اجمالي الفاتوره" dataDxfId="193">
      <calculatedColumnFormula>Table11819202310303132362[[#This Row],[النولون]]+Table11819202310303132362[[#This Row],[الايصالات]]-Table11819202310303132362[[#This Row],[خصم أ ت ص]]+Table11819202310303132362[[#This Row],[قيمة مضافة]]</calculatedColumnFormula>
    </tableColumn>
    <tableColumn id="9" xr3:uid="{00000000-0010-0000-1C00-000009000000}" name="الدفعات" dataDxfId="192"/>
    <tableColumn id="6" xr3:uid="{00000000-0010-0000-1C00-000006000000}" name="اجمالي الحساب" dataDxfId="191">
      <calculatedColumnFormula>Table11819202310303132362[[#This Row],[اجمالي الفاتوره]]-Table11819202310303132362[[#This Row],[الدفعات]]</calculatedColumnFormula>
    </tableColumn>
    <tableColumn id="14" xr3:uid="{00000000-0010-0000-1C00-00000E000000}" name="Column1" dataDxfId="190"/>
    <tableColumn id="15" xr3:uid="{32EA07B5-A541-4FE1-B0F0-1CAB66F88C43}" name="Column2" dataDxfId="189"/>
  </tableColumns>
  <tableStyleInfo name="TableStyleLight2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E000000}" name="Table118192023103031323538394041481115" displayName="Table118192023103031323538394041481115" ref="B1:P342" totalsRowShown="0" headerRowDxfId="188" dataDxfId="187">
  <autoFilter ref="B1:P342" xr:uid="{00000000-0009-0000-0100-00000E000000}"/>
  <tableColumns count="15">
    <tableColumn id="1" xr3:uid="{00000000-0010-0000-1E00-000001000000}" name="م" dataDxfId="186"/>
    <tableColumn id="7" xr3:uid="{00000000-0010-0000-1E00-000007000000}" name="التاريخ" dataDxfId="185"/>
    <tableColumn id="2" xr3:uid="{00000000-0010-0000-1E00-000002000000}" name="اسم الشركه " dataDxfId="184"/>
    <tableColumn id="11" xr3:uid="{00000000-0010-0000-1E00-00000B000000}" name="العنوان" dataDxfId="183"/>
    <tableColumn id="10" xr3:uid="{00000000-0010-0000-1E00-00000A000000}" name="رقم الاذن" dataDxfId="182"/>
    <tableColumn id="3" xr3:uid="{00000000-0010-0000-1E00-000003000000}" name="عدد الحاويات" dataDxfId="181"/>
    <tableColumn id="4" xr3:uid="{00000000-0010-0000-1E00-000004000000}" name="النولون" dataDxfId="180"/>
    <tableColumn id="13" xr3:uid="{00000000-0010-0000-1E00-00000D000000}" name="قيمة مضافة" dataDxfId="179"/>
    <tableColumn id="12" xr3:uid="{00000000-0010-0000-1E00-00000C000000}" name="خصم أ ت ص" dataDxfId="178">
      <calculatedColumnFormula>0.03*Table118192023103031323538394041481115[[#This Row],[النولون]]</calculatedColumnFormula>
    </tableColumn>
    <tableColumn id="5" xr3:uid="{00000000-0010-0000-1E00-000005000000}" name="الايصالات" dataDxfId="177">
      <calculatedColumnFormula>80+80.84+338.77+1000+3538</calculatedColumnFormula>
    </tableColumn>
    <tableColumn id="8" xr3:uid="{00000000-0010-0000-1E00-000008000000}" name="اجمالي الفاتوره" dataDxfId="176">
      <calculatedColumnFormula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calculatedColumnFormula>
    </tableColumn>
    <tableColumn id="9" xr3:uid="{00000000-0010-0000-1E00-000009000000}" name="الدفعات" dataDxfId="175"/>
    <tableColumn id="6" xr3:uid="{00000000-0010-0000-1E00-000006000000}" name="اجمالي الحساب" dataDxfId="174">
      <calculatedColumnFormula>Table118192023103031323538394041481115[[#This Row],[اجمالي الفاتوره]]-Table118192023103031323538394041481115[[#This Row],[الدفعات]]</calculatedColumnFormula>
    </tableColumn>
    <tableColumn id="14" xr3:uid="{00000000-0010-0000-1E00-00000E000000}" name="Column1" dataDxfId="173"/>
    <tableColumn id="15" xr3:uid="{D9C7CA7E-0BEB-4292-9CE7-CD6076C140C0}" name="Column2" dataDxfId="172"/>
  </tableColumns>
  <tableStyleInfo name="TableStyleLight2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20000000}" name="Table11819202310303132353839404148111518" displayName="Table11819202310303132353839404148111518" ref="B1:N340" totalsRowShown="0" headerRowDxfId="171" dataDxfId="170">
  <autoFilter ref="B1:N340" xr:uid="{00000000-0009-0000-0100-000011000000}"/>
  <tableColumns count="13">
    <tableColumn id="1" xr3:uid="{00000000-0010-0000-2000-000001000000}" name="م" dataDxfId="169"/>
    <tableColumn id="7" xr3:uid="{00000000-0010-0000-2000-000007000000}" name="التاريخ" dataDxfId="168"/>
    <tableColumn id="2" xr3:uid="{00000000-0010-0000-2000-000002000000}" name="اسم الشركه " dataDxfId="167"/>
    <tableColumn id="11" xr3:uid="{00000000-0010-0000-2000-00000B000000}" name="العنوان" dataDxfId="166"/>
    <tableColumn id="10" xr3:uid="{00000000-0010-0000-2000-00000A000000}" name="رقم الاذن" dataDxfId="165"/>
    <tableColumn id="3" xr3:uid="{00000000-0010-0000-2000-000003000000}" name="عدد الحاويات" dataDxfId="164"/>
    <tableColumn id="4" xr3:uid="{00000000-0010-0000-2000-000004000000}" name="النولون" dataDxfId="163"/>
    <tableColumn id="13" xr3:uid="{00000000-0010-0000-2000-00000D000000}" name="قيمة مضافة" dataDxfId="162"/>
    <tableColumn id="5" xr3:uid="{00000000-0010-0000-2000-000005000000}" name="الايصالات" dataDxfId="161">
      <calculatedColumnFormula>80+80.84+338.77+1000+3538</calculatedColumnFormula>
    </tableColumn>
    <tableColumn id="8" xr3:uid="{00000000-0010-0000-2000-000008000000}" name="اجمالي الفاتوره" dataDxfId="160">
      <calculatedColumnFormula>Table11819202310303132353839404148111518[[#This Row],[النولون]]+Table11819202310303132353839404148111518[[#This Row],[الايصالات]]+Table11819202310303132353839404148111518[[#This Row],[قيمة مضافة]]</calculatedColumnFormula>
    </tableColumn>
    <tableColumn id="9" xr3:uid="{00000000-0010-0000-2000-000009000000}" name="الدفعات" dataDxfId="159"/>
    <tableColumn id="6" xr3:uid="{00000000-0010-0000-2000-000006000000}" name="اجمالي الحساب" dataDxfId="158">
      <calculatedColumnFormula>Table11819202310303132353839404148111518[[#This Row],[اجمالي الفاتوره]]-Table11819202310303132353839404148111518[[#This Row],[الدفعات]]</calculatedColumnFormula>
    </tableColumn>
    <tableColumn id="14" xr3:uid="{00000000-0010-0000-2000-00000E000000}" name="Column1" dataDxfId="157"/>
  </tableColumns>
  <tableStyleInfo name="TableStyleLight2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22000000}" name="Table1181920231030313235383940414811151820" displayName="Table1181920231030313235383940414811151820" ref="B1:O338" totalsRowShown="0" headerRowDxfId="156" dataDxfId="155">
  <autoFilter ref="B1:O338" xr:uid="{00000000-0009-0000-0100-000013000000}"/>
  <tableColumns count="14">
    <tableColumn id="1" xr3:uid="{00000000-0010-0000-2200-000001000000}" name="م" dataDxfId="154"/>
    <tableColumn id="7" xr3:uid="{00000000-0010-0000-2200-000007000000}" name="التاريخ" dataDxfId="153"/>
    <tableColumn id="2" xr3:uid="{00000000-0010-0000-2200-000002000000}" name="اسم الشركه " dataDxfId="152"/>
    <tableColumn id="11" xr3:uid="{00000000-0010-0000-2200-00000B000000}" name="العنوان" dataDxfId="151"/>
    <tableColumn id="10" xr3:uid="{00000000-0010-0000-2200-00000A000000}" name="رقم الاذن" dataDxfId="150"/>
    <tableColumn id="3" xr3:uid="{00000000-0010-0000-2200-000003000000}" name="عدد الحاويات" dataDxfId="149"/>
    <tableColumn id="4" xr3:uid="{00000000-0010-0000-2200-000004000000}" name="النولون" dataDxfId="148"/>
    <tableColumn id="13" xr3:uid="{00000000-0010-0000-2200-00000D000000}" name="قيمة مضافة" dataDxfId="147"/>
    <tableColumn id="12" xr3:uid="{00000000-0010-0000-2200-00000C000000}" name="خصم أ ت ص" dataDxfId="146">
      <calculatedColumnFormula>0.03*Table1181920231030313235383940414811151820[[#This Row],[النولون]]</calculatedColumnFormula>
    </tableColumn>
    <tableColumn id="5" xr3:uid="{00000000-0010-0000-2200-000005000000}" name="الايصالات" dataDxfId="145">
      <calculatedColumnFormula>80+80.84+338.77+1000+3538</calculatedColumnFormula>
    </tableColumn>
    <tableColumn id="8" xr3:uid="{00000000-0010-0000-2200-000008000000}" name="اجمالي الفاتوره" dataDxfId="144">
      <calculatedColumnFormula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calculatedColumnFormula>
    </tableColumn>
    <tableColumn id="9" xr3:uid="{00000000-0010-0000-2200-000009000000}" name="الدفعات" dataDxfId="143"/>
    <tableColumn id="6" xr3:uid="{00000000-0010-0000-2200-000006000000}" name="اجمالي الحساب" dataDxfId="142">
      <calculatedColumnFormula>Table1181920231030313235383940414811151820[[#This Row],[اجمالي الفاتوره]]-Table1181920231030313235383940414811151820[[#This Row],[الدفعات]]</calculatedColumnFormula>
    </tableColumn>
    <tableColumn id="14" xr3:uid="{00000000-0010-0000-2200-00000E000000}" name="Column1" dataDxfId="141"/>
  </tableColumns>
  <tableStyleInfo name="TableStyleLight2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25000000}" name="Table11819202310303132353839404148111518202831" displayName="Table11819202310303132353839404148111518202831" ref="B1:P339" totalsRowShown="0" headerRowDxfId="140" dataDxfId="139">
  <autoFilter ref="B1:P339" xr:uid="{00000000-0009-0000-0100-00001E000000}"/>
  <tableColumns count="15">
    <tableColumn id="1" xr3:uid="{00000000-0010-0000-2500-000001000000}" name="م" dataDxfId="138"/>
    <tableColumn id="7" xr3:uid="{00000000-0010-0000-2500-000007000000}" name="التاريخ" dataDxfId="137"/>
    <tableColumn id="2" xr3:uid="{00000000-0010-0000-2500-000002000000}" name="اسم الشركه " dataDxfId="136"/>
    <tableColumn id="11" xr3:uid="{00000000-0010-0000-2500-00000B000000}" name="العنوان" dataDxfId="135"/>
    <tableColumn id="10" xr3:uid="{00000000-0010-0000-2500-00000A000000}" name="رقم الاذن" dataDxfId="134"/>
    <tableColumn id="3" xr3:uid="{00000000-0010-0000-2500-000003000000}" name="عدد الحاويات" dataDxfId="133"/>
    <tableColumn id="4" xr3:uid="{00000000-0010-0000-2500-000004000000}" name="النولون" dataDxfId="132"/>
    <tableColumn id="13" xr3:uid="{00000000-0010-0000-2500-00000D000000}" name="قيمة مضافة" dataDxfId="131">
      <calculatedColumnFormula>0.14*Table11819202310303132353839404148111518202831[[#This Row],[النولون]]</calculatedColumnFormula>
    </tableColumn>
    <tableColumn id="12" xr3:uid="{00000000-0010-0000-2500-00000C000000}" name="خصم أ ت ص" dataDxfId="130">
      <calculatedColumnFormula>0.03*Table11819202310303132353839404148111518202831[[#This Row],[النولون]]</calculatedColumnFormula>
    </tableColumn>
    <tableColumn id="5" xr3:uid="{00000000-0010-0000-2500-000005000000}" name="الايصالات" dataDxfId="129">
      <calculatedColumnFormula>80+80.84+338.77+1000+3538</calculatedColumnFormula>
    </tableColumn>
    <tableColumn id="8" xr3:uid="{00000000-0010-0000-2500-000008000000}" name="اجمالي الفاتوره" dataDxfId="128">
      <calculatedColumnFormula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calculatedColumnFormula>
    </tableColumn>
    <tableColumn id="9" xr3:uid="{00000000-0010-0000-2500-000009000000}" name="الدفعات" dataDxfId="127"/>
    <tableColumn id="6" xr3:uid="{00000000-0010-0000-2500-000006000000}" name="اجمالي الحساب" dataDxfId="126">
      <calculatedColumnFormula>Table11819202310303132353839404148111518202831[[#This Row],[اجمالي الفاتوره]]-Table11819202310303132353839404148111518202831[[#This Row],[الدفعات]]</calculatedColumnFormula>
    </tableColumn>
    <tableColumn id="14" xr3:uid="{00000000-0010-0000-2500-00000E000000}" name="Column1" dataDxfId="125"/>
    <tableColumn id="15" xr3:uid="{89EC7183-9A34-487C-9275-D86117D47707}" name="Column2" dataDxfId="124"/>
  </tableColumns>
  <tableStyleInfo name="TableStyleLight2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6C68C3A-79B5-4914-A0D0-2D8438B5D14D}" name="Table118192023103031323538394041481115182028317" displayName="Table118192023103031323538394041481115182028317" ref="B1:O338" totalsRowShown="0" headerRowDxfId="123" dataDxfId="122">
  <autoFilter ref="B1:O338" xr:uid="{96C68C3A-79B5-4914-A0D0-2D8438B5D14D}"/>
  <tableColumns count="14">
    <tableColumn id="1" xr3:uid="{03A434F4-2355-44CB-9595-47A115249076}" name="م" dataDxfId="121"/>
    <tableColumn id="7" xr3:uid="{BE8A9A23-F3C5-4C73-9008-0A2F4EE0CF18}" name="التاريخ" dataDxfId="120"/>
    <tableColumn id="2" xr3:uid="{2296D1C0-6C18-43C0-920F-A5505F02EAF4}" name="اسم الشركه " dataDxfId="119"/>
    <tableColumn id="11" xr3:uid="{83D0A244-2F7C-4F75-B022-38CCAB923F11}" name="العنوان" dataDxfId="118"/>
    <tableColumn id="10" xr3:uid="{5CC4293E-455F-4C9F-89D0-A8512F99A8DC}" name="رقم الاذن" dataDxfId="117"/>
    <tableColumn id="3" xr3:uid="{B542A40F-49BE-402D-BD09-A8B59DAA43B8}" name="عدد الحاويات" dataDxfId="116"/>
    <tableColumn id="4" xr3:uid="{1C637CBE-3EE2-4956-B050-AAC8E7C2BCF2}" name="النولون" dataDxfId="115"/>
    <tableColumn id="13" xr3:uid="{E6E8DE98-4A3D-4056-9B89-B0F885788BC0}" name="قيمة مضافة" dataDxfId="114"/>
    <tableColumn id="12" xr3:uid="{508C20E8-2670-4A50-8203-D934583DF710}" name="خصم أ ت ص" dataDxfId="113">
      <calculatedColumnFormula>0.03*Table118192023103031323538394041481115182028317[[#This Row],[النولون]]</calculatedColumnFormula>
    </tableColumn>
    <tableColumn id="5" xr3:uid="{FF80BB0B-E69A-4B0B-B9E7-CE6B6F71412C}" name="الايصالات" dataDxfId="112">
      <calculatedColumnFormula>80+80.84+338.77+1000+3538</calculatedColumnFormula>
    </tableColumn>
    <tableColumn id="8" xr3:uid="{8E4AF6A8-3BF7-426E-AF38-D76DA58CD221}" name="اجمالي الفاتوره" dataDxfId="111">
      <calculatedColumnFormula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calculatedColumnFormula>
    </tableColumn>
    <tableColumn id="9" xr3:uid="{C5B37295-D71F-4491-99F4-CF6EED947D69}" name="الدفعات" dataDxfId="110"/>
    <tableColumn id="6" xr3:uid="{3F1724E9-A719-48DE-95C1-788E653CDCB8}" name="اجمالي الحساب" dataDxfId="109">
      <calculatedColumnFormula>Table118192023103031323538394041481115182028317[[#This Row],[اجمالي الفاتوره]]-Table118192023103031323538394041481115182028317[[#This Row],[الدفعات]]</calculatedColumnFormula>
    </tableColumn>
    <tableColumn id="14" xr3:uid="{AE3A13F0-45E1-4CF4-8638-7F17F9A4F858}" name="Column1" dataDxfId="108"/>
  </tableColumns>
  <tableStyleInfo name="TableStyleLight2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0BF0AF5-EA54-4C4E-8E47-46AF4F88E0C9}" name="Table11819202310303132353839404148111518202831721" displayName="Table11819202310303132353839404148111518202831721" ref="B1:O338" totalsRowShown="0" headerRowDxfId="107" dataDxfId="106">
  <autoFilter ref="B1:O338" xr:uid="{60BF0AF5-EA54-4C4E-8E47-46AF4F88E0C9}"/>
  <tableColumns count="14">
    <tableColumn id="1" xr3:uid="{D4BA11BB-892F-410F-9D49-B0E849613E5A}" name="م" dataDxfId="105"/>
    <tableColumn id="7" xr3:uid="{0BDF9FC9-FB9D-46CB-8D23-D745A5450B7B}" name="التاريخ" dataDxfId="104"/>
    <tableColumn id="2" xr3:uid="{2E3DAADB-8C9C-431E-8564-418FEE5EF15C}" name="اسم الشركه " dataDxfId="103"/>
    <tableColumn id="11" xr3:uid="{4524DEC3-6A1F-4059-AD51-21B1B7F844F4}" name="العنوان" dataDxfId="102"/>
    <tableColumn id="10" xr3:uid="{B114DCD3-3AA7-47AC-BB72-8F15630C5811}" name="رقم الاذن" dataDxfId="101"/>
    <tableColumn id="3" xr3:uid="{9EB4E928-C7ED-454A-B867-21FF7D335356}" name="عدد الحاويات" dataDxfId="100"/>
    <tableColumn id="4" xr3:uid="{9DC6BB58-9078-4E27-B5F9-1DD011C3828E}" name="النولون" dataDxfId="99"/>
    <tableColumn id="13" xr3:uid="{173152B9-0075-468C-8CF7-29BE3C601FCB}" name="قيمة مضافة" dataDxfId="98"/>
    <tableColumn id="12" xr3:uid="{53001F97-3C5D-46FC-A863-3DC95DA2F85D}" name="خصم أ ت ص" dataDxfId="97">
      <calculatedColumnFormula>0.03*Table11819202310303132353839404148111518202831721[[#This Row],[النولون]]</calculatedColumnFormula>
    </tableColumn>
    <tableColumn id="5" xr3:uid="{16132B59-3F07-4479-8A7B-673F4C5D315C}" name="الايصالات" dataDxfId="96">
      <calculatedColumnFormula>80+80.84+338.77+1000+3538</calculatedColumnFormula>
    </tableColumn>
    <tableColumn id="8" xr3:uid="{430CC4FC-6927-47D3-B874-7E4A959BD070}" name="اجمالي الفاتوره" dataDxfId="95">
      <calculatedColumnFormula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calculatedColumnFormula>
    </tableColumn>
    <tableColumn id="9" xr3:uid="{3CCC9F49-350D-40D2-86F3-DDC2624401EC}" name="الدفعات" dataDxfId="94"/>
    <tableColumn id="6" xr3:uid="{68F0331D-F4D0-4289-8E8F-7E1B30C3DC85}" name="اجمالي الحساب" dataDxfId="93">
      <calculatedColumnFormula>Table11819202310303132353839404148111518202831721[[#This Row],[اجمالي الفاتوره]]-Table11819202310303132353839404148111518202831721[[#This Row],[الدفعات]]</calculatedColumnFormula>
    </tableColumn>
    <tableColumn id="14" xr3:uid="{D6800D88-AB6A-40B2-AAFC-221B7A8F3286}" name="Column1" dataDxfId="92"/>
  </tableColumns>
  <tableStyleInfo name="TableStyleLight2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5000311-16E2-4B2E-BF37-19C588500F0F}" name="Table1181920231030313235383940414811151820283172126" displayName="Table1181920231030313235383940414811151820283172126" ref="B1:O338" totalsRowShown="0" headerRowDxfId="91" dataDxfId="90">
  <autoFilter ref="B1:O338" xr:uid="{25000311-16E2-4B2E-BF37-19C588500F0F}"/>
  <tableColumns count="14">
    <tableColumn id="1" xr3:uid="{ADABEEF9-D36A-40C4-BF15-986DC768FF97}" name="م" dataDxfId="89"/>
    <tableColumn id="7" xr3:uid="{3127991C-BB24-4CBB-A130-75E2D3D4CFFE}" name="التاريخ" dataDxfId="88"/>
    <tableColumn id="2" xr3:uid="{269CB159-AEA8-4805-BBF6-F1AD5C4F97DE}" name="اسم الشركه " dataDxfId="87"/>
    <tableColumn id="11" xr3:uid="{244606D1-2D6D-48FF-B9F3-988E1258E2A4}" name="العنوان" dataDxfId="86"/>
    <tableColumn id="10" xr3:uid="{D011D2F7-0992-4365-A0D0-DFD0887B7569}" name="رقم الاذن" dataDxfId="85"/>
    <tableColumn id="3" xr3:uid="{881D556A-CC9C-495C-86EC-77E67CF580E5}" name="عدد الحاويات" dataDxfId="84"/>
    <tableColumn id="4" xr3:uid="{1DB46DB2-C321-4798-A6F1-0D75EA4228DD}" name="النولون" dataDxfId="83"/>
    <tableColumn id="13" xr3:uid="{F35BFBD2-22A0-4B23-AB35-D5C638B95CAD}" name="قيمة مضافة" dataDxfId="82"/>
    <tableColumn id="12" xr3:uid="{F0E58A32-0B66-4295-AF7F-178E3293C673}" name="خصم أ ت ص" dataDxfId="81">
      <calculatedColumnFormula>0.03*Table1181920231030313235383940414811151820283172126[[#This Row],[النولون]]</calculatedColumnFormula>
    </tableColumn>
    <tableColumn id="5" xr3:uid="{EB959F60-0C34-4301-A139-30AE80A1E472}" name="الايصالات" dataDxfId="80">
      <calculatedColumnFormula>80+80.84+338.77+1000+3538</calculatedColumnFormula>
    </tableColumn>
    <tableColumn id="8" xr3:uid="{EC1B16DA-2CBF-4659-8C08-3B66D3B398E9}" name="اجمالي الفاتوره" dataDxfId="79">
      <calculatedColumnFormula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calculatedColumnFormula>
    </tableColumn>
    <tableColumn id="9" xr3:uid="{6E9D25A6-6CD2-4D1F-8A86-CA4E9C19F1A1}" name="الدفعات" dataDxfId="78"/>
    <tableColumn id="6" xr3:uid="{73D6BA6B-C2D9-43ED-876D-156AE4D690F3}" name="اجمالي الحساب" dataDxfId="77">
      <calculatedColumnFormula>Table1181920231030313235383940414811151820283172126[[#This Row],[اجمالي الفاتوره]]-Table1181920231030313235383940414811151820283172126[[#This Row],[الدفعات]]</calculatedColumnFormula>
    </tableColumn>
    <tableColumn id="14" xr3:uid="{86F155E3-87CE-427F-B024-AD947CE585F2}" name="Column1" dataDxfId="76"/>
  </tableColumns>
  <tableStyleInfo name="TableStyleLight2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174C14BA-630E-496C-9F2B-9379C12A6988}" name="Table118192023103031323538394041481115182028317212637" displayName="Table118192023103031323538394041481115182028317212637" ref="B1:O338" totalsRowShown="0" headerRowDxfId="75" dataDxfId="74">
  <autoFilter ref="B1:O338" xr:uid="{174C14BA-630E-496C-9F2B-9379C12A6988}"/>
  <tableColumns count="14">
    <tableColumn id="1" xr3:uid="{737F3614-6C2D-496B-90DF-E2195C799E91}" name="م" dataDxfId="73"/>
    <tableColumn id="7" xr3:uid="{CE93E744-ED08-4A65-9728-5C12BAC9262B}" name="التاريخ" dataDxfId="72"/>
    <tableColumn id="2" xr3:uid="{A53BC817-9F44-4A49-8B51-8DF852373FB0}" name="اسم الشركه " dataDxfId="71"/>
    <tableColumn id="11" xr3:uid="{3E401DCD-EDDE-46C9-974B-745777DDE608}" name="العنوان" dataDxfId="70"/>
    <tableColumn id="10" xr3:uid="{FE9254FD-3ADF-4ED9-9AD6-B7C0B7D2AF70}" name="رقم الاذن" dataDxfId="69"/>
    <tableColumn id="3" xr3:uid="{8A28C4FD-2D59-4A35-8FC1-378BB5746354}" name="عدد الحاويات" dataDxfId="68"/>
    <tableColumn id="4" xr3:uid="{FE607D8B-F2BE-41BF-AE0B-0212062CDE6F}" name="النولون" dataDxfId="67"/>
    <tableColumn id="13" xr3:uid="{407A31D0-D380-425A-B629-89F858D66D3E}" name="قيمة مضافة" dataDxfId="66"/>
    <tableColumn id="12" xr3:uid="{AE1523DB-6ECB-422B-9C7C-8E3E35D5DD93}" name="خصم أ ت ص" dataDxfId="65">
      <calculatedColumnFormula>0.03*Table118192023103031323538394041481115182028317212637[[#This Row],[النولون]]</calculatedColumnFormula>
    </tableColumn>
    <tableColumn id="5" xr3:uid="{86B68899-69C9-4F19-9DF2-EF7CEF37D78A}" name="الايصالات" dataDxfId="64">
      <calculatedColumnFormula>80+80.84+338.77+1000+3538</calculatedColumnFormula>
    </tableColumn>
    <tableColumn id="8" xr3:uid="{60609585-D9C4-47A1-9A83-16901B2F2CCB}" name="اجمالي الفاتوره" dataDxfId="63">
      <calculatedColumnFormula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calculatedColumnFormula>
    </tableColumn>
    <tableColumn id="9" xr3:uid="{E79266ED-5C8F-4761-B640-DC3656D898A4}" name="الدفعات" dataDxfId="62"/>
    <tableColumn id="6" xr3:uid="{45763E37-114B-40B2-AF82-718270BDB4C9}" name="اجمالي الحساب" dataDxfId="61">
      <calculatedColumnFormula>Table118192023103031323538394041481115182028317212637[[#This Row],[اجمالي الفاتوره]]-Table118192023103031323538394041481115182028317212637[[#This Row],[الدفعات]]</calculatedColumnFormula>
    </tableColumn>
    <tableColumn id="14" xr3:uid="{7E003F10-2DFC-44EE-99D0-8729375F5223}" name="Column1" dataDxfId="60"/>
  </tableColumns>
  <tableStyleInfo name="TableStyleLight2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37B361D-7B69-43FE-9ADE-4F98AA2D4D61}" name="Table11819202310303132353839404148111518202831721263738" displayName="Table11819202310303132353839404148111518202831721263738" ref="B1:O338" totalsRowShown="0" headerRowDxfId="59" dataDxfId="58">
  <autoFilter ref="B1:O338" xr:uid="{937B361D-7B69-43FE-9ADE-4F98AA2D4D61}"/>
  <tableColumns count="14">
    <tableColumn id="1" xr3:uid="{690F8923-BF0C-43DA-89CB-85846406EE35}" name="م" dataDxfId="57"/>
    <tableColumn id="7" xr3:uid="{F5D3CA4F-D20B-4CD9-8039-3F76A40B89C7}" name="التاريخ" dataDxfId="56"/>
    <tableColumn id="2" xr3:uid="{F011858C-268F-4A4D-9065-60F6AC5F29A5}" name="اسم الشركه " dataDxfId="55"/>
    <tableColumn id="11" xr3:uid="{FBA14F76-228E-4B8C-9371-55746365D531}" name="العنوان" dataDxfId="54"/>
    <tableColumn id="10" xr3:uid="{ACDADA2C-6443-475E-8734-3C87A23C6A95}" name="رقم الاذن" dataDxfId="53"/>
    <tableColumn id="3" xr3:uid="{BF1FBEF2-DB59-43B8-BCDB-0DD1F2358BF6}" name="عدد الحاويات" dataDxfId="52"/>
    <tableColumn id="4" xr3:uid="{5F723AAA-E78A-4FD1-B921-193999E5475A}" name="النولون" dataDxfId="51"/>
    <tableColumn id="13" xr3:uid="{5F10D90E-A38D-4735-8FF8-31EF19C85DA9}" name="قيمة مضافة" dataDxfId="50"/>
    <tableColumn id="12" xr3:uid="{00C8A10C-0A1B-4408-894A-7AF4EAB502EC}" name="خصم أ ت ص" dataDxfId="49">
      <calculatedColumnFormula>0.03*Table11819202310303132353839404148111518202831721263738[[#This Row],[النولون]]</calculatedColumnFormula>
    </tableColumn>
    <tableColumn id="5" xr3:uid="{2728F337-2D2E-4001-AFC2-8927FD6FEBCA}" name="الايصالات" dataDxfId="48">
      <calculatedColumnFormula>80+80.84+338.77+1000+3538</calculatedColumnFormula>
    </tableColumn>
    <tableColumn id="8" xr3:uid="{C0FDBB32-4E0C-40C3-9F82-C446A6771948}" name="اجمالي الفاتوره" dataDxfId="47">
      <calculatedColumnFormula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calculatedColumnFormula>
    </tableColumn>
    <tableColumn id="9" xr3:uid="{5D663739-3ACA-4026-86D7-09B751C308EC}" name="الدفعات" dataDxfId="46"/>
    <tableColumn id="6" xr3:uid="{8B8CF9D0-4A16-48F2-A1F8-48080F4F0A00}" name="اجمالي الحساب" dataDxfId="45">
      <calculatedColumnFormula>Table11819202310303132353839404148111518202831721263738[[#This Row],[اجمالي الفاتوره]]-Table11819202310303132353839404148111518202831721263738[[#This Row],[الدفعات]]</calculatedColumnFormula>
    </tableColumn>
    <tableColumn id="14" xr3:uid="{264E8ADB-AD15-4DDC-BAC7-87FA63A4F856}" name="Column1" dataDxfId="44"/>
  </tableColumns>
  <tableStyleInfo name="TableStyleLight2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2A56F7C4-1C2B-4F01-9197-2122DD0FB3AA}" name="Table1181920231030313235383940414811151820283172126373846" displayName="Table1181920231030313235383940414811151820283172126373846" ref="B1:O338" totalsRowShown="0" headerRowDxfId="43" dataDxfId="42">
  <autoFilter ref="B1:O338" xr:uid="{2A56F7C4-1C2B-4F01-9197-2122DD0FB3AA}"/>
  <tableColumns count="14">
    <tableColumn id="1" xr3:uid="{1B996A4F-9541-4A26-A9DF-610F4FB66ADD}" name="م" dataDxfId="41"/>
    <tableColumn id="7" xr3:uid="{0FF5D57C-D7D3-4E81-8887-54A0FBAF09F1}" name="التاريخ" dataDxfId="40"/>
    <tableColumn id="2" xr3:uid="{3154220C-D359-455E-ACEC-7E10583E034A}" name="اسم الشركه " dataDxfId="39"/>
    <tableColumn id="11" xr3:uid="{2F2875EF-4653-4186-B46A-6FD808477E48}" name="العنوان" dataDxfId="38"/>
    <tableColumn id="10" xr3:uid="{DF10015C-4094-4551-90AC-893602BE6EA4}" name="رقم الاذن" dataDxfId="37"/>
    <tableColumn id="3" xr3:uid="{679361ED-0E03-46AC-9FD4-966C6B27A9A8}" name="عدد الحاويات" dataDxfId="36"/>
    <tableColumn id="4" xr3:uid="{3A71DEDB-1F7A-49A0-AB6A-8A1F527F2E03}" name="النولون" dataDxfId="35"/>
    <tableColumn id="13" xr3:uid="{7EC6A249-1191-4078-809A-978B40B3701D}" name="قيمة مضافة" dataDxfId="34"/>
    <tableColumn id="12" xr3:uid="{8F8C640E-63BF-4C75-AEE1-2C7F15AD9AF0}" name="خصم أ ت ص" dataDxfId="33">
      <calculatedColumnFormula>0.03*Table1181920231030313235383940414811151820283172126373846[[#This Row],[النولون]]</calculatedColumnFormula>
    </tableColumn>
    <tableColumn id="5" xr3:uid="{0DBC4A01-F084-4A51-948E-815193AE2717}" name="الايصالات" dataDxfId="32">
      <calculatedColumnFormula>80+80.84+338.77+1000+3538</calculatedColumnFormula>
    </tableColumn>
    <tableColumn id="8" xr3:uid="{402DE21F-6077-4355-B023-1C77BCE8091A}" name="اجمالي الفاتوره" dataDxfId="31">
      <calculatedColumnFormula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calculatedColumnFormula>
    </tableColumn>
    <tableColumn id="9" xr3:uid="{3FB41A2B-5B21-46CD-B894-81483A6C3D53}" name="الدفعات" dataDxfId="30"/>
    <tableColumn id="6" xr3:uid="{1F808087-C1CF-47E9-AD06-938E3AD1000E}" name="اجمالي الحساب" dataDxfId="29">
      <calculatedColumnFormula>Table1181920231030313235383940414811151820283172126373846[[#This Row],[اجمالي الفاتوره]]-Table1181920231030313235383940414811151820283172126373846[[#This Row],[الدفعات]]</calculatedColumnFormula>
    </tableColumn>
    <tableColumn id="14" xr3:uid="{C691788E-8E62-4A82-93B1-EE586BBD5D7C}" name="Column1" dataDxfId="28"/>
  </tableColumns>
  <tableStyleInfo name="TableStyleLight2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8CBB87C4-ADD0-4A64-89AA-0417A62462EB}" name="Table118192023103031323538394041481115182028317212637384651" displayName="Table118192023103031323538394041481115182028317212637384651" ref="B1:O338" totalsRowShown="0" headerRowDxfId="27" dataDxfId="26">
  <autoFilter ref="B1:O338" xr:uid="{8CBB87C4-ADD0-4A64-89AA-0417A62462EB}"/>
  <tableColumns count="14">
    <tableColumn id="1" xr3:uid="{75473876-EC7B-4DC3-8C60-C00A1E6EF19C}" name="م" dataDxfId="25"/>
    <tableColumn id="7" xr3:uid="{FAC8AC23-36F3-48E9-BE88-F33A2CBF8342}" name="التاريخ" dataDxfId="24"/>
    <tableColumn id="2" xr3:uid="{5B59C516-B748-4E35-94CD-A5F2CCE0577E}" name="اسم الشركه " dataDxfId="23"/>
    <tableColumn id="11" xr3:uid="{50CDAFE7-DFC8-4A60-BAB4-39A3BB386AA5}" name="العنوان" dataDxfId="22"/>
    <tableColumn id="10" xr3:uid="{67209D8D-0B34-4940-8314-659402CB076A}" name="رقم الاذن" dataDxfId="21"/>
    <tableColumn id="3" xr3:uid="{F0877A47-7217-4F8A-BACE-6D7CF1C33A4C}" name="عدد الحاويات" dataDxfId="20"/>
    <tableColumn id="4" xr3:uid="{47D92F84-70BF-4CEB-87A5-CC14ABC0E28C}" name="النولون" dataDxfId="19"/>
    <tableColumn id="13" xr3:uid="{27FF3769-9020-4E09-87F6-7E264575DF62}" name="قيمة مضافة" dataDxfId="0">
      <calculatedColumnFormula>0.14*Table118192023103031323538394041481115182028317212637384651[[#This Row],[النولون]]</calculatedColumnFormula>
    </tableColumn>
    <tableColumn id="12" xr3:uid="{B4305DC6-2F8E-431C-B407-A2C51042D420}" name="خصم أ ت ص" dataDxfId="18">
      <calculatedColumnFormula>0.03*Table118192023103031323538394041481115182028317212637384651[[#This Row],[النولون]]</calculatedColumnFormula>
    </tableColumn>
    <tableColumn id="5" xr3:uid="{3AFFE88E-A0B6-45A4-92F9-C9E77A811A56}" name="الايصالات" dataDxfId="17">
      <calculatedColumnFormula>80+80.84+338.77+1000+3538</calculatedColumnFormula>
    </tableColumn>
    <tableColumn id="8" xr3:uid="{A05443DC-1292-4A9C-A632-300C09E6ACA0}" name="اجمالي الفاتوره" dataDxfId="16">
      <calculatedColumnFormula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calculatedColumnFormula>
    </tableColumn>
    <tableColumn id="9" xr3:uid="{C58D8EA3-0E5F-4628-86A4-AB6554205F10}" name="الدفعات" dataDxfId="15"/>
    <tableColumn id="6" xr3:uid="{453E8B72-7DB9-433F-BE01-7B0D62519F9F}" name="اجمالي الحساب" dataDxfId="14">
      <calculatedColumnFormula>Table118192023103031323538394041481115182028317212637384651[[#This Row],[اجمالي الفاتوره]]-Table118192023103031323538394041481115182028317212637384651[[#This Row],[الدفعات]]</calculatedColumnFormula>
    </tableColumn>
    <tableColumn id="14" xr3:uid="{AC61F3B5-D47E-43A8-A659-F3C61E3FE516}" name="Column1" dataDxfId="13"/>
  </tableColumns>
  <tableStyleInfo name="TableStyleLight21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35000000}" name="Table118192023103031323538394042434445" displayName="Table118192023103031323538394042434445" ref="A1:J338" totalsRowShown="0" headerRowDxfId="12" dataDxfId="11">
  <autoFilter ref="A1:J338" xr:uid="{00000000-0009-0000-0100-00002C000000}"/>
  <tableColumns count="10">
    <tableColumn id="1" xr3:uid="{00000000-0010-0000-3500-000001000000}" name="م" dataDxfId="10"/>
    <tableColumn id="7" xr3:uid="{00000000-0010-0000-3500-000007000000}" name="التاريخ" dataDxfId="9"/>
    <tableColumn id="2" xr3:uid="{00000000-0010-0000-3500-000002000000}" name="اسم الشركه " dataDxfId="8"/>
    <tableColumn id="11" xr3:uid="{00000000-0010-0000-3500-00000B000000}" name="العنوان" dataDxfId="7"/>
    <tableColumn id="10" xr3:uid="{00000000-0010-0000-3500-00000A000000}" name="رقم الاذن" dataDxfId="6"/>
    <tableColumn id="3" xr3:uid="{00000000-0010-0000-3500-000003000000}" name="عدد المولدات" dataDxfId="5"/>
    <tableColumn id="4" xr3:uid="{00000000-0010-0000-3500-000004000000}" name="النولون" dataDxfId="4"/>
    <tableColumn id="8" xr3:uid="{00000000-0010-0000-3500-000008000000}" name="الدفعات" dataDxfId="3"/>
    <tableColumn id="9" xr3:uid="{00000000-0010-0000-3500-000009000000}" name="اجمالي" dataDxfId="2">
      <calculatedColumnFormula>I1-Table118192023103031323538394042434445[[#This Row],[الدفعات]]</calculatedColumnFormula>
    </tableColumn>
    <tableColumn id="14" xr3:uid="{00000000-0010-0000-3500-00000E000000}" name="Column1" dataDxfId="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38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3.xml"/><Relationship Id="rId1" Type="http://schemas.openxmlformats.org/officeDocument/2006/relationships/printerSettings" Target="../printerSettings/printerSettings41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74"/>
  <sheetViews>
    <sheetView rightToLeft="1" zoomScale="110" zoomScaleNormal="110" workbookViewId="0">
      <pane ySplit="1" topLeftCell="A34" activePane="bottomLeft" state="frozen"/>
      <selection activeCell="C17" sqref="C17"/>
      <selection pane="bottomLeft" activeCell="J38" sqref="J38"/>
    </sheetView>
  </sheetViews>
  <sheetFormatPr defaultColWidth="9.109375" defaultRowHeight="15.6" x14ac:dyDescent="0.3"/>
  <cols>
    <col min="1" max="1" width="5.6640625" style="6" bestFit="1" customWidth="1"/>
    <col min="2" max="2" width="5.44140625" style="1" customWidth="1"/>
    <col min="3" max="3" width="11" style="1" customWidth="1"/>
    <col min="4" max="4" width="14.77734375" style="1" bestFit="1" customWidth="1"/>
    <col min="5" max="5" width="11.88671875" style="1" customWidth="1"/>
    <col min="6" max="6" width="11" style="1" customWidth="1"/>
    <col min="7" max="7" width="9.77734375" style="1" customWidth="1"/>
    <col min="8" max="8" width="11.44140625" style="1" customWidth="1"/>
    <col min="9" max="9" width="12" style="1" customWidth="1"/>
    <col min="10" max="10" width="15.77734375" style="1" customWidth="1"/>
    <col min="11" max="11" width="15.21875" style="1" customWidth="1"/>
    <col min="12" max="16384" width="9.109375" style="1"/>
  </cols>
  <sheetData>
    <row r="1" spans="1:13" ht="26.25" customHeight="1" x14ac:dyDescent="0.3">
      <c r="A1" s="6" t="s">
        <v>15</v>
      </c>
      <c r="B1" s="1" t="s">
        <v>0</v>
      </c>
      <c r="C1" s="1" t="s">
        <v>1</v>
      </c>
      <c r="D1" s="1" t="s">
        <v>4</v>
      </c>
      <c r="E1" s="1" t="s">
        <v>5</v>
      </c>
      <c r="F1" s="1" t="s">
        <v>6</v>
      </c>
      <c r="G1" s="55" t="s">
        <v>7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48" t="s">
        <v>20</v>
      </c>
    </row>
    <row r="2" spans="1:13" ht="26.25" customHeight="1" x14ac:dyDescent="0.3">
      <c r="C2" s="2"/>
      <c r="I2" s="1">
        <f>Table11819202310303132353839[[#This Row],[النولون]]+Table11819202310303132353839[[#This Row],[الايصالات]]+Table11819202310303132353839[[#This Row],[قيمة مضافة]]</f>
        <v>0</v>
      </c>
      <c r="K2" s="1">
        <v>0</v>
      </c>
      <c r="M2" s="48"/>
    </row>
    <row r="3" spans="1:13" ht="26.25" customHeight="1" x14ac:dyDescent="0.3">
      <c r="A3" s="6">
        <v>1225</v>
      </c>
      <c r="B3" s="1">
        <v>1</v>
      </c>
      <c r="C3" s="2" t="s">
        <v>149</v>
      </c>
      <c r="D3" s="1">
        <v>871542</v>
      </c>
      <c r="E3" s="1" t="s">
        <v>133</v>
      </c>
      <c r="F3" s="1">
        <v>26800</v>
      </c>
      <c r="H3" s="1">
        <f>100+365.21+1100+420+50+1482+300+342</f>
        <v>4159.21</v>
      </c>
      <c r="I3" s="1">
        <f>Table11819202310303132353839[[#This Row],[النولون]]+Table11819202310303132353839[[#This Row],[الايصالات]]+Table11819202310303132353839[[#This Row],[قيمة مضافة]]</f>
        <v>30959.21</v>
      </c>
      <c r="K3" s="1">
        <f>K2+Table11819202310303132353839[[#This Row],[اجمالي الفاتوره]]-Table11819202310303132353839[[#This Row],[الدفعات]]</f>
        <v>30959.21</v>
      </c>
      <c r="L3" s="2"/>
      <c r="M3" s="48"/>
    </row>
    <row r="4" spans="1:13" ht="26.25" customHeight="1" x14ac:dyDescent="0.3">
      <c r="A4" s="6">
        <v>1244</v>
      </c>
      <c r="B4" s="20">
        <v>2</v>
      </c>
      <c r="C4" s="2" t="s">
        <v>199</v>
      </c>
      <c r="D4" s="20">
        <v>1260082</v>
      </c>
      <c r="E4" s="1" t="s">
        <v>200</v>
      </c>
      <c r="F4" s="20">
        <f>18500*22</f>
        <v>407000</v>
      </c>
      <c r="G4" s="20"/>
      <c r="H4" s="20">
        <f>12*350+26*100+120*2+483.63+483.63+483.63+480.8+480.8+480.8+480.8+480.8+829.66+829.66+365.21+365.21+365.21+365.21+365.21+365.21+648.88+869.38+909.09+789.94+869.38+581.31+800+7700+22000+6*1150+9*1140+1350+1135*2+800+1050+1100*2</f>
        <v>74743.449999999983</v>
      </c>
      <c r="I4" s="1">
        <f>Table11819202310303132353839[[#This Row],[النولون]]+Table11819202310303132353839[[#This Row],[الايصالات]]+Table11819202310303132353839[[#This Row],[قيمة مضافة]]</f>
        <v>481743.44999999995</v>
      </c>
      <c r="J4" s="20"/>
      <c r="K4" s="1">
        <f>K3+Table11819202310303132353839[[#This Row],[اجمالي الفاتوره]]-Table11819202310303132353839[[#This Row],[الدفعات]]</f>
        <v>512702.66</v>
      </c>
      <c r="L4" s="20"/>
      <c r="M4" s="48"/>
    </row>
    <row r="5" spans="1:13" ht="26.25" customHeight="1" x14ac:dyDescent="0.3">
      <c r="A5" s="74"/>
      <c r="B5" s="76"/>
      <c r="C5" s="73" t="s">
        <v>312</v>
      </c>
      <c r="D5" s="76"/>
      <c r="E5" s="76"/>
      <c r="F5" s="76"/>
      <c r="G5" s="76"/>
      <c r="H5" s="76"/>
      <c r="I5" s="72">
        <f>Table11819202310303132353839[[#This Row],[النولون]]+Table11819202310303132353839[[#This Row],[الايصالات]]+Table11819202310303132353839[[#This Row],[قيمة مضافة]]</f>
        <v>0</v>
      </c>
      <c r="J5" s="76">
        <v>512703</v>
      </c>
      <c r="K5" s="72">
        <f>K4+Table11819202310303132353839[[#This Row],[اجمالي الفاتوره]]-Table11819202310303132353839[[#This Row],[الدفعات]]</f>
        <v>-0.34000000002561137</v>
      </c>
      <c r="L5" s="48"/>
      <c r="M5" s="48"/>
    </row>
    <row r="6" spans="1:13" ht="26.25" customHeight="1" x14ac:dyDescent="0.3">
      <c r="A6" s="6">
        <v>1245</v>
      </c>
      <c r="B6" s="1">
        <v>3</v>
      </c>
      <c r="C6" s="2" t="s">
        <v>199</v>
      </c>
      <c r="D6" s="1">
        <v>20179</v>
      </c>
      <c r="E6" s="1" t="s">
        <v>201</v>
      </c>
      <c r="F6" s="1">
        <v>6000</v>
      </c>
      <c r="G6" s="1">
        <f>0.14*Table11819202310303132353839[[#This Row],[النولون]]</f>
        <v>840.00000000000011</v>
      </c>
      <c r="H6" s="1">
        <f>255+88.61</f>
        <v>343.61</v>
      </c>
      <c r="I6" s="1">
        <f>Table11819202310303132353839[[#This Row],[النولون]]+Table11819202310303132353839[[#This Row],[الايصالات]]+Table11819202310303132353839[[#This Row],[قيمة مضافة]]</f>
        <v>7183.61</v>
      </c>
      <c r="K6" s="1">
        <f>K5+Table11819202310303132353839[[#This Row],[اجمالي الفاتوره]]-Table11819202310303132353839[[#This Row],[الدفعات]]</f>
        <v>7183.2699999999741</v>
      </c>
      <c r="M6" s="48"/>
    </row>
    <row r="7" spans="1:13" ht="26.25" customHeight="1" x14ac:dyDescent="0.3">
      <c r="A7" s="74"/>
      <c r="B7" s="76"/>
      <c r="C7" s="73" t="s">
        <v>313</v>
      </c>
      <c r="D7" s="76"/>
      <c r="E7" s="76"/>
      <c r="F7" s="76"/>
      <c r="G7" s="76"/>
      <c r="H7" s="76"/>
      <c r="I7" s="76"/>
      <c r="J7" s="76">
        <v>7183.61</v>
      </c>
      <c r="K7" s="72">
        <f>K6+Table11819202310303132353839[[#This Row],[اجمالي الفاتوره]]-Table11819202310303132353839[[#This Row],[الدفعات]]</f>
        <v>-0.34000000002561137</v>
      </c>
      <c r="L7" s="48"/>
      <c r="M7" s="48"/>
    </row>
    <row r="8" spans="1:13" ht="26.25" customHeight="1" x14ac:dyDescent="0.3">
      <c r="A8" s="6">
        <v>1272</v>
      </c>
      <c r="B8" s="1">
        <v>4</v>
      </c>
      <c r="C8" s="2" t="s">
        <v>275</v>
      </c>
      <c r="D8" s="1">
        <v>1260107</v>
      </c>
      <c r="E8" s="1" t="s">
        <v>200</v>
      </c>
      <c r="F8" s="1">
        <f>18500*22</f>
        <v>407000</v>
      </c>
      <c r="H8" s="1">
        <f>25*100+600+7700+22000+1100+1000+3*1140+1140+1100+15*1150+392.75+790.15+477.98+862.19+916.37+829.66+477.98+869.38+909.28+483.63*5+4*480.8+365.21*4+45.15*2+20*350</f>
        <v>77228.23000000001</v>
      </c>
      <c r="I8" s="1">
        <f>Table11819202310303132353839[[#This Row],[النولون]]+Table11819202310303132353839[[#This Row],[الايصالات]]+Table11819202310303132353839[[#This Row],[قيمة مضافة]]</f>
        <v>484228.23</v>
      </c>
      <c r="K8" s="1">
        <f>K7+Table11819202310303132353839[[#This Row],[اجمالي الفاتوره]]-Table11819202310303132353839[[#This Row],[الدفعات]]</f>
        <v>484227.88999999996</v>
      </c>
      <c r="M8" s="48"/>
    </row>
    <row r="9" spans="1:13" ht="26.25" customHeight="1" x14ac:dyDescent="0.3">
      <c r="A9" s="74"/>
      <c r="B9" s="76"/>
      <c r="C9" s="73" t="s">
        <v>378</v>
      </c>
      <c r="D9" s="76"/>
      <c r="E9" s="76"/>
      <c r="F9" s="76">
        <v>0</v>
      </c>
      <c r="G9" s="76"/>
      <c r="H9" s="76">
        <v>0</v>
      </c>
      <c r="I9" s="76">
        <v>0</v>
      </c>
      <c r="J9" s="76">
        <v>484228</v>
      </c>
      <c r="K9" s="72">
        <f>K8+Table11819202310303132353839[[#This Row],[اجمالي الفاتوره]]-Table11819202310303132353839[[#This Row],[الدفعات]]</f>
        <v>-0.11000000004423782</v>
      </c>
      <c r="L9" s="48"/>
      <c r="M9" s="48"/>
    </row>
    <row r="10" spans="1:13" ht="26.25" customHeight="1" x14ac:dyDescent="0.3">
      <c r="A10" s="6">
        <v>1283</v>
      </c>
      <c r="B10" s="1">
        <v>5</v>
      </c>
      <c r="C10" s="2" t="s">
        <v>293</v>
      </c>
      <c r="D10" s="1">
        <v>1470800</v>
      </c>
      <c r="E10" s="1" t="s">
        <v>133</v>
      </c>
      <c r="F10" s="1">
        <v>24000</v>
      </c>
      <c r="H10" s="1">
        <f>100*2+1350+1256.52+490+1435+1071.83+50.2</f>
        <v>5853.55</v>
      </c>
      <c r="I10" s="1">
        <f>Table11819202310303132353839[[#This Row],[النولون]]+Table11819202310303132353839[[#This Row],[الايصالات]]+Table11819202310303132353839[[#This Row],[قيمة مضافة]]</f>
        <v>29853.55</v>
      </c>
      <c r="K10" s="1">
        <f>K9+Table11819202310303132353839[[#This Row],[اجمالي الفاتوره]]-Table11819202310303132353839[[#This Row],[الدفعات]]</f>
        <v>29853.439999999955</v>
      </c>
      <c r="M10" s="48"/>
    </row>
    <row r="11" spans="1:13" ht="26.25" customHeight="1" x14ac:dyDescent="0.3">
      <c r="A11" s="6">
        <v>1284</v>
      </c>
      <c r="B11" s="1">
        <v>6</v>
      </c>
      <c r="C11" s="2" t="s">
        <v>293</v>
      </c>
      <c r="D11" s="1">
        <v>871744</v>
      </c>
      <c r="E11" s="1" t="s">
        <v>90</v>
      </c>
      <c r="F11" s="1">
        <f>24000*5</f>
        <v>120000</v>
      </c>
      <c r="H11" s="1">
        <f>100*4+50*3+850+378.98+385.86+365.21*3+105.79*3+68.08*2+45.15+560*3+490*2+1245*2+1350*3+1500+1710+250.8</f>
        <v>16419.95</v>
      </c>
      <c r="I11" s="1">
        <f>Table11819202310303132353839[[#This Row],[النولون]]+Table11819202310303132353839[[#This Row],[الايصالات]]+Table11819202310303132353839[[#This Row],[قيمة مضافة]]</f>
        <v>136419.95000000001</v>
      </c>
      <c r="K11" s="1">
        <f>K10+Table11819202310303132353839[[#This Row],[اجمالي الفاتوره]]-Table11819202310303132353839[[#This Row],[الدفعات]]</f>
        <v>166273.38999999996</v>
      </c>
      <c r="M11" s="48"/>
    </row>
    <row r="12" spans="1:13" ht="26.25" customHeight="1" x14ac:dyDescent="0.3">
      <c r="A12" s="6">
        <v>1299</v>
      </c>
      <c r="B12" s="20">
        <v>7</v>
      </c>
      <c r="C12" s="2" t="s">
        <v>315</v>
      </c>
      <c r="D12" s="20">
        <v>883888</v>
      </c>
      <c r="E12" s="1" t="s">
        <v>316</v>
      </c>
      <c r="F12" s="20">
        <f>24000*4</f>
        <v>96000</v>
      </c>
      <c r="G12" s="20"/>
      <c r="H12" s="20">
        <f>4*100+409.96+1150+392.75+1150+392.75+1350+365.21+1150+490*4+6680.4+1200+1368</f>
        <v>17969.07</v>
      </c>
      <c r="I12" s="1">
        <f>Table11819202310303132353839[[#This Row],[النولون]]+Table11819202310303132353839[[#This Row],[الايصالات]]+Table11819202310303132353839[[#This Row],[قيمة مضافة]]</f>
        <v>113969.07</v>
      </c>
      <c r="J12" s="20"/>
      <c r="K12" s="1">
        <f>K11+Table11819202310303132353839[[#This Row],[اجمالي الفاتوره]]-Table11819202310303132353839[[#This Row],[الدفعات]]</f>
        <v>280242.45999999996</v>
      </c>
      <c r="L12" s="20"/>
      <c r="M12" s="48"/>
    </row>
    <row r="13" spans="1:13" ht="26.25" customHeight="1" x14ac:dyDescent="0.3">
      <c r="A13" s="6">
        <v>1300</v>
      </c>
      <c r="B13" s="1">
        <v>8</v>
      </c>
      <c r="C13" s="2" t="s">
        <v>315</v>
      </c>
      <c r="D13" s="1">
        <v>2319607560</v>
      </c>
      <c r="E13" s="1" t="s">
        <v>317</v>
      </c>
      <c r="F13" s="1">
        <f>24000*7</f>
        <v>168000</v>
      </c>
      <c r="H13" s="1">
        <f>850+7*100+365.21*6+603.72+490*7+11012.4+1350*5+1150*2+684</f>
        <v>28521.379999999997</v>
      </c>
      <c r="I13" s="1">
        <f>Table11819202310303132353839[[#This Row],[النولون]]+Table11819202310303132353839[[#This Row],[الايصالات]]+Table11819202310303132353839[[#This Row],[قيمة مضافة]]</f>
        <v>196521.38</v>
      </c>
      <c r="K13" s="1">
        <f>K12+Table11819202310303132353839[[#This Row],[اجمالي الفاتوره]]-Table11819202310303132353839[[#This Row],[الدفعات]]</f>
        <v>476763.83999999997</v>
      </c>
      <c r="M13" s="48"/>
    </row>
    <row r="14" spans="1:13" ht="26.25" customHeight="1" x14ac:dyDescent="0.3">
      <c r="A14" s="6">
        <v>1301</v>
      </c>
      <c r="B14" s="1">
        <v>9</v>
      </c>
      <c r="C14" s="2" t="s">
        <v>315</v>
      </c>
      <c r="D14" s="1">
        <v>15748539</v>
      </c>
      <c r="E14" s="1" t="s">
        <v>295</v>
      </c>
      <c r="F14" s="1">
        <f>18500+24000</f>
        <v>42500</v>
      </c>
      <c r="H14" s="1">
        <f>100+60+220.89+700+365.21+1350+1000+490+1485</f>
        <v>5771.1</v>
      </c>
      <c r="I14" s="1">
        <f>Table11819202310303132353839[[#This Row],[النولون]]+Table11819202310303132353839[[#This Row],[الايصالات]]+Table11819202310303132353839[[#This Row],[قيمة مضافة]]</f>
        <v>48271.1</v>
      </c>
      <c r="K14" s="1">
        <f>K13+Table11819202310303132353839[[#This Row],[اجمالي الفاتوره]]-Table11819202310303132353839[[#This Row],[الدفعات]]</f>
        <v>525034.93999999994</v>
      </c>
      <c r="M14" s="48"/>
    </row>
    <row r="15" spans="1:13" ht="26.25" customHeight="1" x14ac:dyDescent="0.3">
      <c r="A15" s="6">
        <v>1307</v>
      </c>
      <c r="B15" s="20">
        <v>10</v>
      </c>
      <c r="C15" s="2" t="s">
        <v>323</v>
      </c>
      <c r="D15" s="20">
        <v>265402165</v>
      </c>
      <c r="E15" s="1" t="s">
        <v>316</v>
      </c>
      <c r="F15" s="20">
        <f>24000*4</f>
        <v>96000</v>
      </c>
      <c r="G15" s="20"/>
      <c r="H15" s="20">
        <f>4*100+810+365.21*4+1350*4+490*4+1977+11491.2+24021</f>
        <v>47520.04</v>
      </c>
      <c r="I15" s="1">
        <f>Table11819202310303132353839[[#This Row],[النولون]]+Table11819202310303132353839[[#This Row],[الايصالات]]+Table11819202310303132353839[[#This Row],[قيمة مضافة]]</f>
        <v>143520.04</v>
      </c>
      <c r="J15" s="20"/>
      <c r="K15" s="1">
        <f>K14+Table11819202310303132353839[[#This Row],[اجمالي الفاتوره]]-Table11819202310303132353839[[#This Row],[الدفعات]]</f>
        <v>668554.98</v>
      </c>
      <c r="L15" s="20"/>
      <c r="M15" s="48"/>
    </row>
    <row r="16" spans="1:13" ht="26.25" customHeight="1" x14ac:dyDescent="0.3">
      <c r="A16" s="74"/>
      <c r="B16" s="76"/>
      <c r="C16" s="73" t="s">
        <v>417</v>
      </c>
      <c r="D16" s="76"/>
      <c r="E16" s="76"/>
      <c r="F16" s="76"/>
      <c r="G16" s="76"/>
      <c r="H16" s="76"/>
      <c r="I16" s="76"/>
      <c r="J16" s="76">
        <v>668554</v>
      </c>
      <c r="K16" s="72">
        <f>K15+Table11819202310303132353839[[#This Row],[اجمالي الفاتوره]]-Table11819202310303132353839[[#This Row],[الدفعات]]</f>
        <v>0.97999999998137355</v>
      </c>
      <c r="L16" s="48"/>
      <c r="M16" s="48"/>
    </row>
    <row r="17" spans="1:13" ht="26.25" customHeight="1" x14ac:dyDescent="0.3">
      <c r="A17" s="6">
        <v>1326</v>
      </c>
      <c r="B17" s="20">
        <v>11</v>
      </c>
      <c r="C17" s="2" t="s">
        <v>368</v>
      </c>
      <c r="D17" s="20">
        <v>75808</v>
      </c>
      <c r="E17" s="1" t="s">
        <v>133</v>
      </c>
      <c r="F17" s="20">
        <v>24000</v>
      </c>
      <c r="G17" s="20"/>
      <c r="H17" s="20">
        <f>100+375.54+490+1436.4+456+114+1350</f>
        <v>4321.9400000000005</v>
      </c>
      <c r="I17" s="1">
        <f>Table11819202310303132353839[[#This Row],[النولون]]+Table11819202310303132353839[[#This Row],[الايصالات]]+Table11819202310303132353839[[#This Row],[قيمة مضافة]]</f>
        <v>28321.940000000002</v>
      </c>
      <c r="J17" s="20"/>
      <c r="K17" s="1">
        <f>K16+Table11819202310303132353839[[#This Row],[اجمالي الفاتوره]]-Table11819202310303132353839[[#This Row],[الدفعات]]</f>
        <v>28322.919999999984</v>
      </c>
      <c r="L17" s="20"/>
      <c r="M17" s="48"/>
    </row>
    <row r="18" spans="1:13" ht="26.25" customHeight="1" x14ac:dyDescent="0.3">
      <c r="A18" s="6">
        <v>1327</v>
      </c>
      <c r="B18" s="1">
        <v>12</v>
      </c>
      <c r="C18" s="2" t="s">
        <v>368</v>
      </c>
      <c r="D18" s="1">
        <v>2320876560</v>
      </c>
      <c r="E18" s="1" t="s">
        <v>133</v>
      </c>
      <c r="F18" s="1">
        <v>24000</v>
      </c>
      <c r="H18" s="1">
        <f>100+365.21+490+1573.2+1350</f>
        <v>3878.41</v>
      </c>
      <c r="I18" s="1">
        <f>Table11819202310303132353839[[#This Row],[النولون]]+Table11819202310303132353839[[#This Row],[الايصالات]]+Table11819202310303132353839[[#This Row],[قيمة مضافة]]</f>
        <v>27878.41</v>
      </c>
      <c r="K18" s="1">
        <f>K17+Table11819202310303132353839[[#This Row],[اجمالي الفاتوره]]-Table11819202310303132353839[[#This Row],[الدفعات]]</f>
        <v>56201.329999999987</v>
      </c>
      <c r="L18" s="1">
        <f>SUM(I:I)-SUM(J:J)+K2</f>
        <v>2221981.4</v>
      </c>
      <c r="M18" s="48">
        <f>SUM(Table11819202310303132353839[قيمة مضافة])</f>
        <v>16184.000000000004</v>
      </c>
    </row>
    <row r="19" spans="1:13" ht="26.25" customHeight="1" x14ac:dyDescent="0.3">
      <c r="A19" s="74"/>
      <c r="B19" s="76"/>
      <c r="C19" s="73" t="s">
        <v>432</v>
      </c>
      <c r="D19" s="76"/>
      <c r="E19" s="76"/>
      <c r="F19" s="76"/>
      <c r="G19" s="76"/>
      <c r="H19" s="76"/>
      <c r="I19" s="76"/>
      <c r="J19" s="76">
        <v>56200</v>
      </c>
      <c r="K19" s="72">
        <f>K18+Table11819202310303132353839[[#This Row],[اجمالي الفاتوره]]-Table11819202310303132353839[[#This Row],[الدفعات]]</f>
        <v>1.3299999999871943</v>
      </c>
      <c r="L19" s="48"/>
      <c r="M19" s="48"/>
    </row>
    <row r="20" spans="1:13" ht="26.25" customHeight="1" x14ac:dyDescent="0.3">
      <c r="A20" s="6">
        <v>1329</v>
      </c>
      <c r="B20" s="20">
        <v>13</v>
      </c>
      <c r="C20" s="2" t="s">
        <v>398</v>
      </c>
      <c r="D20" s="20">
        <v>2260190</v>
      </c>
      <c r="E20" s="1" t="s">
        <v>92</v>
      </c>
      <c r="F20" s="20">
        <f>2*21300</f>
        <v>42600</v>
      </c>
      <c r="G20" s="20"/>
      <c r="H20" s="20">
        <f>100*2+810+1140+1150+883.84+493.96+700+350*2+2000</f>
        <v>8077.8</v>
      </c>
      <c r="I20" s="1">
        <f>Table11819202310303132353839[[#This Row],[النولون]]+Table11819202310303132353839[[#This Row],[الايصالات]]+Table11819202310303132353839[[#This Row],[قيمة مضافة]]</f>
        <v>50677.8</v>
      </c>
      <c r="J20" s="20"/>
      <c r="K20" s="1">
        <f>K19+Table11819202310303132353839[[#This Row],[اجمالي الفاتوره]]-Table11819202310303132353839[[#This Row],[الدفعات]]</f>
        <v>50679.12999999999</v>
      </c>
      <c r="L20" s="20"/>
      <c r="M20" s="48"/>
    </row>
    <row r="21" spans="1:13" ht="26.25" customHeight="1" x14ac:dyDescent="0.3">
      <c r="A21" s="6">
        <v>1330</v>
      </c>
      <c r="B21" s="1">
        <v>14</v>
      </c>
      <c r="C21" s="2" t="s">
        <v>398</v>
      </c>
      <c r="D21" s="1">
        <v>891559</v>
      </c>
      <c r="E21" s="1" t="s">
        <v>90</v>
      </c>
      <c r="F21" s="1">
        <f>27600*5</f>
        <v>138000</v>
      </c>
      <c r="H21" s="1">
        <f>5*100+850+810+365.21*4+406.52+45.15+105.79+105.79+68.08+105.79+490*4+560+1350*5+250.8+1500+1710</f>
        <v>17188.759999999998</v>
      </c>
      <c r="I21" s="1">
        <f>Table11819202310303132353839[[#This Row],[النولون]]+Table11819202310303132353839[[#This Row],[الايصالات]]+Table11819202310303132353839[[#This Row],[قيمة مضافة]]</f>
        <v>155188.76</v>
      </c>
      <c r="K21" s="1">
        <f>K20+Table11819202310303132353839[[#This Row],[اجمالي الفاتوره]]-Table11819202310303132353839[[#This Row],[الدفعات]]</f>
        <v>205867.89</v>
      </c>
      <c r="M21" s="48"/>
    </row>
    <row r="22" spans="1:13" ht="26.25" customHeight="1" x14ac:dyDescent="0.3">
      <c r="A22" s="6">
        <v>1131</v>
      </c>
      <c r="B22" s="20">
        <v>15</v>
      </c>
      <c r="C22" s="2" t="s">
        <v>398</v>
      </c>
      <c r="D22" s="20">
        <v>884426</v>
      </c>
      <c r="E22" s="1" t="s">
        <v>90</v>
      </c>
      <c r="F22" s="20">
        <f>5*27600</f>
        <v>138000</v>
      </c>
      <c r="G22" s="20"/>
      <c r="H22" s="20">
        <f>5*100+850+447.83+451.28+406.52+403.08+368.65+5*490+250+13110+1500+1710+1350*4+1100</f>
        <v>28947.360000000001</v>
      </c>
      <c r="I22" s="1">
        <f>Table11819202310303132353839[[#This Row],[النولون]]+Table11819202310303132353839[[#This Row],[الايصالات]]+Table11819202310303132353839[[#This Row],[قيمة مضافة]]</f>
        <v>166947.35999999999</v>
      </c>
      <c r="J22" s="20"/>
      <c r="K22" s="1">
        <f>K21+Table11819202310303132353839[[#This Row],[اجمالي الفاتوره]]-Table11819202310303132353839[[#This Row],[الدفعات]]</f>
        <v>372815.25</v>
      </c>
      <c r="L22" s="20"/>
      <c r="M22" s="48"/>
    </row>
    <row r="23" spans="1:13" ht="26.25" customHeight="1" x14ac:dyDescent="0.3">
      <c r="A23" s="6">
        <v>1344</v>
      </c>
      <c r="B23" s="1">
        <v>16</v>
      </c>
      <c r="C23" s="2" t="s">
        <v>407</v>
      </c>
      <c r="D23" s="1">
        <v>2321317690</v>
      </c>
      <c r="E23" s="1" t="s">
        <v>316</v>
      </c>
      <c r="F23" s="1">
        <f>27600*4</f>
        <v>110400</v>
      </c>
      <c r="H23" s="1">
        <f>100*6+850*2+365.21*4+560+490*3+1350*4+7113.6+342</f>
        <v>18646.440000000002</v>
      </c>
      <c r="I23" s="1">
        <f>Table11819202310303132353839[[#This Row],[النولون]]+Table11819202310303132353839[[#This Row],[الايصالات]]+Table11819202310303132353839[[#This Row],[قيمة مضافة]]</f>
        <v>129046.44</v>
      </c>
      <c r="K23" s="1">
        <f>K22+Table11819202310303132353839[[#This Row],[اجمالي الفاتوره]]-Table11819202310303132353839[[#This Row],[الدفعات]]</f>
        <v>501861.69</v>
      </c>
      <c r="M23" s="48"/>
    </row>
    <row r="24" spans="1:13" ht="26.25" customHeight="1" x14ac:dyDescent="0.3">
      <c r="A24" s="6">
        <v>1345</v>
      </c>
      <c r="B24" s="20">
        <v>17</v>
      </c>
      <c r="C24" s="2" t="s">
        <v>407</v>
      </c>
      <c r="D24" s="20">
        <v>266986048</v>
      </c>
      <c r="E24" s="1" t="s">
        <v>133</v>
      </c>
      <c r="F24" s="20">
        <v>27600</v>
      </c>
      <c r="G24" s="20"/>
      <c r="H24" s="20">
        <f>100+365.21+490+1350+497+2872.8+6224</f>
        <v>11899.01</v>
      </c>
      <c r="I24" s="1">
        <f>Table11819202310303132353839[[#This Row],[النولون]]+Table11819202310303132353839[[#This Row],[الايصالات]]+Table11819202310303132353839[[#This Row],[قيمة مضافة]]</f>
        <v>39499.01</v>
      </c>
      <c r="J24" s="20"/>
      <c r="K24" s="1">
        <f>K23+Table11819202310303132353839[[#This Row],[اجمالي الفاتوره]]-Table11819202310303132353839[[#This Row],[الدفعات]]</f>
        <v>541360.69999999995</v>
      </c>
      <c r="L24" s="20"/>
      <c r="M24" s="48"/>
    </row>
    <row r="25" spans="1:13" ht="26.25" customHeight="1" x14ac:dyDescent="0.3">
      <c r="A25" s="74"/>
      <c r="B25" s="72"/>
      <c r="C25" s="73">
        <v>46135</v>
      </c>
      <c r="D25" s="72"/>
      <c r="E25" s="72"/>
      <c r="F25" s="72"/>
      <c r="G25" s="72"/>
      <c r="H25" s="72"/>
      <c r="I25" s="72">
        <f>Table11819202310303132353839[[#This Row],[النولون]]+Table11819202310303132353839[[#This Row],[الايصالات]]+Table11819202310303132353839[[#This Row],[قيمة مضافة]]</f>
        <v>0</v>
      </c>
      <c r="J25" s="72">
        <v>541359</v>
      </c>
      <c r="K25" s="72">
        <f>K24+Table11819202310303132353839[[#This Row],[اجمالي الفاتوره]]-Table11819202310303132353839[[#This Row],[الدفعات]]</f>
        <v>1.6999999999534339</v>
      </c>
      <c r="M25" s="48"/>
    </row>
    <row r="26" spans="1:13" ht="26.25" customHeight="1" x14ac:dyDescent="0.3">
      <c r="A26" s="6">
        <v>1416</v>
      </c>
      <c r="B26" s="1">
        <v>18</v>
      </c>
      <c r="C26" s="2">
        <v>46138</v>
      </c>
      <c r="D26" s="1">
        <v>178343</v>
      </c>
      <c r="E26" s="1" t="s">
        <v>92</v>
      </c>
      <c r="F26" s="1">
        <f>20500*2</f>
        <v>41000</v>
      </c>
      <c r="G26" s="1">
        <f>0.14*Table11819202310303132353839[[#This Row],[النولون]]</f>
        <v>5740.0000000000009</v>
      </c>
      <c r="H26" s="1">
        <f>100*2+1135*2+377.5+739.95+350*2+1282.5*2+228+719+16758+20089.31</f>
        <v>44646.76</v>
      </c>
      <c r="I26" s="1">
        <f>Table11819202310303132353839[[#This Row],[النولون]]+Table11819202310303132353839[[#This Row],[الايصالات]]+Table11819202310303132353839[[#This Row],[قيمة مضافة]]</f>
        <v>91386.760000000009</v>
      </c>
      <c r="K26" s="1">
        <f>K25+Table11819202310303132353839[[#This Row],[اجمالي الفاتوره]]-Table11819202310303132353839[[#This Row],[الدفعات]]</f>
        <v>91388.459999999963</v>
      </c>
      <c r="M26" s="48"/>
    </row>
    <row r="27" spans="1:13" ht="26.25" customHeight="1" x14ac:dyDescent="0.3">
      <c r="A27" s="74"/>
      <c r="B27" s="96"/>
      <c r="C27" s="98">
        <v>46176</v>
      </c>
      <c r="D27" s="96"/>
      <c r="E27" s="96"/>
      <c r="F27" s="96"/>
      <c r="G27" s="96"/>
      <c r="H27" s="96"/>
      <c r="I27" s="96"/>
      <c r="J27" s="96">
        <v>91388.46</v>
      </c>
      <c r="K27" s="72">
        <f>K26+Table11819202310303132353839[[#This Row],[اجمالي الفاتوره]]-Table11819202310303132353839[[#This Row],[الدفعات]]</f>
        <v>0</v>
      </c>
      <c r="L27" s="95"/>
      <c r="M27" s="95"/>
    </row>
    <row r="28" spans="1:13" ht="26.25" customHeight="1" x14ac:dyDescent="0.3">
      <c r="A28" s="6">
        <v>1471</v>
      </c>
      <c r="B28" s="1">
        <v>19</v>
      </c>
      <c r="C28" s="2">
        <v>46159</v>
      </c>
      <c r="D28" s="1">
        <v>197530</v>
      </c>
      <c r="E28" s="1" t="s">
        <v>133</v>
      </c>
      <c r="F28" s="1">
        <v>27600</v>
      </c>
      <c r="G28" s="1">
        <f>0.14*Table11819202310303132353839[[#This Row],[النولون]]</f>
        <v>3864.0000000000005</v>
      </c>
      <c r="H28" s="1">
        <f>100+5010+100+1150+1284.87+560+1596+100+399+4446+10401.25</f>
        <v>25147.119999999999</v>
      </c>
      <c r="I28" s="1">
        <f>Table11819202310303132353839[[#This Row],[النولون]]+Table11819202310303132353839[[#This Row],[الايصالات]]+Table11819202310303132353839[[#This Row],[قيمة مضافة]]</f>
        <v>56611.119999999995</v>
      </c>
      <c r="K28" s="1">
        <f>K27+Table11819202310303132353839[[#This Row],[اجمالي الفاتوره]]-Table11819202310303132353839[[#This Row],[الدفعات]]</f>
        <v>56611.119999999995</v>
      </c>
      <c r="M28" s="48"/>
    </row>
    <row r="29" spans="1:13" ht="26.25" customHeight="1" x14ac:dyDescent="0.3">
      <c r="A29" s="6">
        <v>1472</v>
      </c>
      <c r="B29" s="41">
        <v>20</v>
      </c>
      <c r="C29" s="45">
        <v>46159</v>
      </c>
      <c r="D29" s="41">
        <v>911142</v>
      </c>
      <c r="E29" s="1" t="s">
        <v>316</v>
      </c>
      <c r="F29" s="41">
        <f>27600*4</f>
        <v>110400</v>
      </c>
      <c r="G29" s="41"/>
      <c r="H29" s="41">
        <f>100*4+850+45.15+68.08+45.15+45.15+365.21+365.21+365.21+365.21+490*4+1200+1368+319.2+1350*4</f>
        <v>13161.57</v>
      </c>
      <c r="I29" s="1">
        <f>Table11819202310303132353839[[#This Row],[النولون]]+Table11819202310303132353839[[#This Row],[الايصالات]]+Table11819202310303132353839[[#This Row],[قيمة مضافة]]</f>
        <v>123561.57</v>
      </c>
      <c r="J29" s="41"/>
      <c r="K29" s="1">
        <f>K28+Table11819202310303132353839[[#This Row],[اجمالي الفاتوره]]-Table11819202310303132353839[[#This Row],[الدفعات]]</f>
        <v>180172.69</v>
      </c>
      <c r="L29" s="41"/>
      <c r="M29" s="48"/>
    </row>
    <row r="30" spans="1:13" ht="26.25" customHeight="1" x14ac:dyDescent="0.3">
      <c r="A30" s="6">
        <v>1473</v>
      </c>
      <c r="B30" s="1">
        <v>21</v>
      </c>
      <c r="C30" s="2">
        <v>46159</v>
      </c>
      <c r="D30" s="1">
        <v>904038</v>
      </c>
      <c r="E30" s="1" t="s">
        <v>90</v>
      </c>
      <c r="F30" s="1">
        <f>5*27600+2*2000+1000</f>
        <v>143000</v>
      </c>
      <c r="H30" s="1">
        <f>6*100+850+810+105.79+68.08+68.08+45.15+365.21*4+368.65+560*5+1250*4+1245+5000+1500+1710+399</f>
        <v>22030.59</v>
      </c>
      <c r="I30" s="1">
        <f>Table11819202310303132353839[[#This Row],[النولون]]+Table11819202310303132353839[[#This Row],[الايصالات]]+Table11819202310303132353839[[#This Row],[قيمة مضافة]]</f>
        <v>165030.59</v>
      </c>
      <c r="K30" s="1">
        <f>K29+Table11819202310303132353839[[#This Row],[اجمالي الفاتوره]]-Table11819202310303132353839[[#This Row],[الدفعات]]</f>
        <v>345203.28</v>
      </c>
      <c r="M30" s="48"/>
    </row>
    <row r="31" spans="1:13" ht="26.25" customHeight="1" x14ac:dyDescent="0.3">
      <c r="A31" s="6">
        <v>1474</v>
      </c>
      <c r="B31" s="1">
        <v>22</v>
      </c>
      <c r="C31" s="2">
        <v>46159</v>
      </c>
      <c r="D31" s="1">
        <v>2326365110</v>
      </c>
      <c r="E31" s="1" t="s">
        <v>90</v>
      </c>
      <c r="F31" s="1">
        <f>5*27600+3000</f>
        <v>141000</v>
      </c>
      <c r="H31" s="1">
        <f>5*100+365.21*5+490*5+1150*4+1350+10602</f>
        <v>21328.05</v>
      </c>
      <c r="I31" s="1">
        <f>Table11819202310303132353839[[#This Row],[النولون]]+Table11819202310303132353839[[#This Row],[الايصالات]]+Table11819202310303132353839[[#This Row],[قيمة مضافة]]</f>
        <v>162328.04999999999</v>
      </c>
      <c r="K31" s="1">
        <f>K30+Table11819202310303132353839[[#This Row],[اجمالي الفاتوره]]-Table11819202310303132353839[[#This Row],[الدفعات]]</f>
        <v>507531.33</v>
      </c>
      <c r="M31" s="48"/>
    </row>
    <row r="32" spans="1:13" ht="26.25" customHeight="1" x14ac:dyDescent="0.3">
      <c r="A32" s="74"/>
      <c r="B32" s="96"/>
      <c r="C32" s="98">
        <v>46198</v>
      </c>
      <c r="D32" s="96"/>
      <c r="E32" s="96"/>
      <c r="F32" s="96"/>
      <c r="G32" s="96"/>
      <c r="H32" s="96"/>
      <c r="I32" s="96"/>
      <c r="J32" s="96">
        <v>451020</v>
      </c>
      <c r="K32" s="72">
        <f>K31+Table11819202310303132353839[[#This Row],[اجمالي الفاتوره]]-Table11819202310303132353839[[#This Row],[الدفعات]]</f>
        <v>56511.330000000016</v>
      </c>
      <c r="L32" s="95"/>
      <c r="M32" s="95"/>
    </row>
    <row r="33" spans="1:13" ht="26.25" customHeight="1" x14ac:dyDescent="0.3">
      <c r="A33" s="6">
        <v>1475</v>
      </c>
      <c r="B33" s="1">
        <v>23</v>
      </c>
      <c r="C33" s="2">
        <v>46159</v>
      </c>
      <c r="D33" s="1">
        <v>5260305</v>
      </c>
      <c r="E33" s="1" t="s">
        <v>184</v>
      </c>
      <c r="F33" s="1">
        <f>20500*7</f>
        <v>143500</v>
      </c>
      <c r="H33" s="1">
        <f>7*100+120+810+1350+1245+1250+1245+1245+1150+480.8*4+365.21*3+1610+2450+7000+4*350+6840+1100</f>
        <v>32533.83</v>
      </c>
      <c r="I33" s="1">
        <f>Table11819202310303132353839[[#This Row],[النولون]]+Table11819202310303132353839[[#This Row],[الايصالات]]+Table11819202310303132353839[[#This Row],[قيمة مضافة]]</f>
        <v>176033.83000000002</v>
      </c>
      <c r="K33" s="1">
        <f>K32+Table11819202310303132353839[[#This Row],[اجمالي الفاتوره]]-Table11819202310303132353839[[#This Row],[الدفعات]]</f>
        <v>232545.16000000003</v>
      </c>
      <c r="M33" s="48"/>
    </row>
    <row r="34" spans="1:13" ht="26.25" customHeight="1" x14ac:dyDescent="0.3">
      <c r="A34" s="74"/>
      <c r="B34" s="109"/>
      <c r="C34" s="98">
        <v>46211</v>
      </c>
      <c r="D34" s="96"/>
      <c r="E34" s="96"/>
      <c r="F34" s="109"/>
      <c r="G34" s="109"/>
      <c r="H34" s="109"/>
      <c r="I34" s="109"/>
      <c r="J34" s="96">
        <v>232544.95</v>
      </c>
      <c r="K34" s="72">
        <f>K33+Table11819202310303132353839[[#This Row],[اجمالي الفاتوره]]-Table11819202310303132353839[[#This Row],[الدفعات]]</f>
        <v>0.21000000002095476</v>
      </c>
      <c r="L34" s="108"/>
      <c r="M34" s="108"/>
    </row>
    <row r="35" spans="1:13" ht="26.25" customHeight="1" x14ac:dyDescent="0.3">
      <c r="A35" s="6">
        <v>1486</v>
      </c>
      <c r="B35" s="1">
        <v>24</v>
      </c>
      <c r="C35" s="45">
        <v>46174</v>
      </c>
      <c r="D35" s="41">
        <v>209408</v>
      </c>
      <c r="E35" s="1" t="s">
        <v>92</v>
      </c>
      <c r="F35" s="41">
        <f>20500*2</f>
        <v>41000</v>
      </c>
      <c r="G35" s="41">
        <f>Table11819202310303132353839[[#This Row],[النولون]]*0.14</f>
        <v>5740.0000000000009</v>
      </c>
      <c r="H35" s="41">
        <f>100+1105+1105+344.34+386.5+350+1852.5+1282.5+200+719+20531.17+16758</f>
        <v>44734.009999999995</v>
      </c>
      <c r="I35" s="1">
        <f>Table11819202310303132353839[[#This Row],[النولون]]+Table11819202310303132353839[[#This Row],[الايصالات]]+Table11819202310303132353839[[#This Row],[قيمة مضافة]]</f>
        <v>91474.01</v>
      </c>
      <c r="J35" s="41"/>
      <c r="K35" s="1">
        <f>K34+Table11819202310303132353839[[#This Row],[اجمالي الفاتوره]]-Table11819202310303132353839[[#This Row],[الدفعات]]</f>
        <v>91474.220000000016</v>
      </c>
      <c r="L35" s="41"/>
      <c r="M35" s="48"/>
    </row>
    <row r="36" spans="1:13" ht="26.25" customHeight="1" x14ac:dyDescent="0.3">
      <c r="A36" s="6">
        <v>1487</v>
      </c>
      <c r="B36" s="1">
        <v>25</v>
      </c>
      <c r="C36" s="2">
        <v>46174</v>
      </c>
      <c r="D36" s="1">
        <v>2328038790</v>
      </c>
      <c r="E36" s="1" t="s">
        <v>90</v>
      </c>
      <c r="F36" s="1">
        <f>27600*5</f>
        <v>138000</v>
      </c>
      <c r="H36" s="1">
        <f>100*5+365.21*4+409.96+5*560+8892+1350*5</f>
        <v>20812.8</v>
      </c>
      <c r="I36" s="1">
        <f>Table11819202310303132353839[[#This Row],[النولون]]+Table11819202310303132353839[[#This Row],[الايصالات]]+Table11819202310303132353839[[#This Row],[قيمة مضافة]]</f>
        <v>158812.79999999999</v>
      </c>
      <c r="K36" s="1">
        <f>K35+Table11819202310303132353839[[#This Row],[اجمالي الفاتوره]]-Table11819202310303132353839[[#This Row],[الدفعات]]</f>
        <v>250287.02000000002</v>
      </c>
      <c r="M36" s="48"/>
    </row>
    <row r="37" spans="1:13" ht="26.25" customHeight="1" x14ac:dyDescent="0.3">
      <c r="A37" s="6">
        <v>1488</v>
      </c>
      <c r="B37" s="1">
        <v>26</v>
      </c>
      <c r="C37" s="2">
        <v>46174</v>
      </c>
      <c r="D37" s="1">
        <v>2326783040</v>
      </c>
      <c r="E37" s="1" t="s">
        <v>532</v>
      </c>
      <c r="F37" s="1">
        <f>27600*3</f>
        <v>82800</v>
      </c>
      <c r="H37" s="1">
        <f>3*100+365.21*3+1350*3+560*3+6361.2</f>
        <v>13486.83</v>
      </c>
      <c r="I37" s="1">
        <f>Table11819202310303132353839[[#This Row],[النولون]]+Table11819202310303132353839[[#This Row],[الايصالات]]+Table11819202310303132353839[[#This Row],[قيمة مضافة]]</f>
        <v>96286.83</v>
      </c>
      <c r="K37" s="1">
        <f>K36+Table11819202310303132353839[[#This Row],[اجمالي الفاتوره]]-Table11819202310303132353839[[#This Row],[الدفعات]]</f>
        <v>346573.85000000003</v>
      </c>
      <c r="M37" s="48"/>
    </row>
    <row r="38" spans="1:13" ht="26.25" customHeight="1" x14ac:dyDescent="0.3">
      <c r="A38" s="6">
        <v>1507</v>
      </c>
      <c r="B38" s="1">
        <v>27</v>
      </c>
      <c r="C38" s="2">
        <v>46180</v>
      </c>
      <c r="D38" s="1">
        <v>920218</v>
      </c>
      <c r="E38" s="1" t="s">
        <v>90</v>
      </c>
      <c r="F38" s="1">
        <f>27600*5</f>
        <v>138000</v>
      </c>
      <c r="H38" s="1">
        <f>114+100*5+120+368.65+600.75+365.21*3+105.79+45.15+560*3+1350*4+1315+1500+1710+399</f>
        <v>14953.97</v>
      </c>
      <c r="I38" s="1">
        <f>Table11819202310303132353839[[#This Row],[النولون]]+Table11819202310303132353839[[#This Row],[الايصالات]]+Table11819202310303132353839[[#This Row],[قيمة مضافة]]</f>
        <v>152953.97</v>
      </c>
      <c r="K38" s="1">
        <f>K37+Table11819202310303132353839[[#This Row],[اجمالي الفاتوره]]-Table11819202310303132353839[[#This Row],[الدفعات]]</f>
        <v>499527.82000000007</v>
      </c>
      <c r="M38" s="48"/>
    </row>
    <row r="39" spans="1:13" ht="26.25" customHeight="1" x14ac:dyDescent="0.3">
      <c r="A39" s="6">
        <v>1548</v>
      </c>
      <c r="B39" s="1">
        <v>28</v>
      </c>
      <c r="C39" s="2">
        <v>46187</v>
      </c>
      <c r="D39" s="1">
        <v>2327908940</v>
      </c>
      <c r="E39" s="1" t="s">
        <v>90</v>
      </c>
      <c r="F39" s="1">
        <f>27600*5</f>
        <v>138000</v>
      </c>
      <c r="H39" s="1">
        <f>100*5+5*365.21+490*4+8892+5*1350</f>
        <v>19928.05</v>
      </c>
      <c r="I39" s="1">
        <f>Table11819202310303132353839[[#This Row],[النولون]]+Table11819202310303132353839[[#This Row],[الايصالات]]+Table11819202310303132353839[[#This Row],[قيمة مضافة]]</f>
        <v>157928.04999999999</v>
      </c>
      <c r="K39" s="1">
        <f>K38+Table11819202310303132353839[[#This Row],[اجمالي الفاتوره]]-Table11819202310303132353839[[#This Row],[الدفعات]]</f>
        <v>657455.87000000011</v>
      </c>
      <c r="M39" s="48"/>
    </row>
    <row r="40" spans="1:13" ht="26.25" customHeight="1" x14ac:dyDescent="0.3">
      <c r="A40" s="6">
        <v>1549</v>
      </c>
      <c r="B40" s="41">
        <v>29</v>
      </c>
      <c r="C40" s="45">
        <v>46187</v>
      </c>
      <c r="D40" s="41">
        <v>2327908590</v>
      </c>
      <c r="E40" s="1" t="s">
        <v>245</v>
      </c>
      <c r="F40" s="41">
        <f>2*27600</f>
        <v>55200</v>
      </c>
      <c r="G40" s="41"/>
      <c r="H40" s="41">
        <f>100*2+365.21*2+490*2+3556.8+1350+1350</f>
        <v>8167.22</v>
      </c>
      <c r="I40" s="1">
        <f>Table11819202310303132353839[[#This Row],[النولون]]+Table11819202310303132353839[[#This Row],[الايصالات]]+Table11819202310303132353839[[#This Row],[قيمة مضافة]]</f>
        <v>63367.22</v>
      </c>
      <c r="J40" s="41"/>
      <c r="K40" s="1">
        <f>K39+Table11819202310303132353839[[#This Row],[اجمالي الفاتوره]]-Table11819202310303132353839[[#This Row],[الدفعات]]</f>
        <v>720823.09000000008</v>
      </c>
      <c r="L40" s="41"/>
      <c r="M40" s="48"/>
    </row>
    <row r="41" spans="1:13" ht="26.25" customHeight="1" x14ac:dyDescent="0.3">
      <c r="A41" s="6">
        <v>1556</v>
      </c>
      <c r="B41" s="1">
        <v>30</v>
      </c>
      <c r="C41" s="2">
        <v>46194</v>
      </c>
      <c r="D41" s="1">
        <v>2327909370</v>
      </c>
      <c r="E41" s="1" t="s">
        <v>90</v>
      </c>
      <c r="F41" s="1">
        <f>27500*5</f>
        <v>137500</v>
      </c>
      <c r="H41" s="1">
        <f>100*6+850+365.21*5+560*4+490+10602+1250*4+1350</f>
        <v>22958.05</v>
      </c>
      <c r="I41" s="1">
        <f>Table11819202310303132353839[[#This Row],[النولون]]+Table11819202310303132353839[[#This Row],[الايصالات]]+Table11819202310303132353839[[#This Row],[قيمة مضافة]]</f>
        <v>160458.04999999999</v>
      </c>
      <c r="K41" s="1">
        <f>K40+Table11819202310303132353839[[#This Row],[اجمالي الفاتوره]]-Table11819202310303132353839[[#This Row],[الدفعات]]</f>
        <v>881281.14000000013</v>
      </c>
      <c r="M41" s="48"/>
    </row>
    <row r="42" spans="1:13" ht="26.25" customHeight="1" x14ac:dyDescent="0.3">
      <c r="A42" s="6">
        <v>1567</v>
      </c>
      <c r="B42" s="1">
        <v>31</v>
      </c>
      <c r="C42" s="2">
        <v>46196</v>
      </c>
      <c r="D42" s="1">
        <v>60384</v>
      </c>
      <c r="E42" s="1" t="s">
        <v>629</v>
      </c>
      <c r="F42" s="1">
        <f>20500*42</f>
        <v>861000</v>
      </c>
      <c r="H42" s="1">
        <f>850*2+12*25+43*100+114+120*2+1315+1065+7*1100+11*1250+22*1350+25*350+280+7*365.21+480.8*6+477.98*3+789.94*2+475.15*2+469.5*2+829.66*3+463.84+484.86+481.42+793.55+559.71+821.13+721.35+789.94+750.23+482.03+833.91+938.14+797.16+829.66+491.75+1150+460+690+14700+12000+30000+3420+6840</f>
        <v>161546.05000000005</v>
      </c>
      <c r="I42" s="1">
        <f>Table11819202310303132353839[[#This Row],[النولون]]+Table11819202310303132353839[[#This Row],[الايصالات]]+Table11819202310303132353839[[#This Row],[قيمة مضافة]]</f>
        <v>1022546.05</v>
      </c>
      <c r="K42" s="1">
        <f>K41+Table11819202310303132353839[[#This Row],[اجمالي الفاتوره]]-Table11819202310303132353839[[#This Row],[الدفعات]]</f>
        <v>1903827.1900000002</v>
      </c>
      <c r="M42" s="48"/>
    </row>
    <row r="43" spans="1:13" ht="26.25" customHeight="1" x14ac:dyDescent="0.3">
      <c r="A43" s="6">
        <v>1570</v>
      </c>
      <c r="B43" s="1">
        <v>32</v>
      </c>
      <c r="C43" s="2">
        <v>46200</v>
      </c>
      <c r="D43" s="1">
        <v>911286</v>
      </c>
      <c r="E43" s="1" t="s">
        <v>90</v>
      </c>
      <c r="F43" s="1">
        <f>27500*5</f>
        <v>137500</v>
      </c>
      <c r="H43" s="1">
        <f>5*100+120+850+416.85+365.21+105.79+68.08*2+365.21*3+105.79+490*4+1350*4+1140+1500+1710+5000+399</f>
        <v>20804.43</v>
      </c>
      <c r="I43" s="1">
        <f>Table11819202310303132353839[[#This Row],[النولون]]+Table11819202310303132353839[[#This Row],[الايصالات]]+Table11819202310303132353839[[#This Row],[قيمة مضافة]]</f>
        <v>158304.43</v>
      </c>
      <c r="K43" s="1">
        <f>K42+Table11819202310303132353839[[#This Row],[اجمالي الفاتوره]]-Table11819202310303132353839[[#This Row],[الدفعات]]</f>
        <v>2062131.62</v>
      </c>
      <c r="M43" s="48"/>
    </row>
    <row r="44" spans="1:13" ht="26.25" customHeight="1" x14ac:dyDescent="0.3">
      <c r="A44" s="6">
        <v>1579</v>
      </c>
      <c r="B44" s="1">
        <v>33</v>
      </c>
      <c r="C44" s="2">
        <v>46208</v>
      </c>
      <c r="D44" s="1">
        <v>2332448650</v>
      </c>
      <c r="E44" s="1" t="s">
        <v>90</v>
      </c>
      <c r="F44" s="1">
        <f>27500*5</f>
        <v>137500</v>
      </c>
      <c r="H44" s="1">
        <f>850+100*4+120+365.21*3+382.42+733.73+560*5+342+684+8892+1350*2+1100+1100+1150</f>
        <v>22349.78</v>
      </c>
      <c r="I44" s="1">
        <f>Table11819202310303132353839[[#This Row],[النولون]]+Table11819202310303132353839[[#This Row],[الايصالات]]+Table11819202310303132353839[[#This Row],[قيمة مضافة]]</f>
        <v>159849.78</v>
      </c>
      <c r="K44" s="1">
        <f>K43+Table11819202310303132353839[[#This Row],[اجمالي الفاتوره]]-Table11819202310303132353839[[#This Row],[الدفعات]]</f>
        <v>2221981.4</v>
      </c>
      <c r="M44" s="48"/>
    </row>
    <row r="45" spans="1:13" ht="26.25" customHeight="1" x14ac:dyDescent="0.3">
      <c r="C45" s="2"/>
      <c r="I45" s="1">
        <f>Table11819202310303132353839[[#This Row],[النولون]]+Table11819202310303132353839[[#This Row],[الايصالات]]+Table11819202310303132353839[[#This Row],[قيمة مضافة]]</f>
        <v>0</v>
      </c>
      <c r="K45" s="1">
        <f>K44+Table11819202310303132353839[[#This Row],[اجمالي الفاتوره]]-Table11819202310303132353839[[#This Row],[الدفعات]]</f>
        <v>2221981.4</v>
      </c>
      <c r="M45" s="48"/>
    </row>
    <row r="46" spans="1:13" ht="26.25" customHeight="1" x14ac:dyDescent="0.3">
      <c r="C46" s="2"/>
      <c r="I46" s="1">
        <f>Table11819202310303132353839[[#This Row],[النولون]]+Table11819202310303132353839[[#This Row],[الايصالات]]+Table11819202310303132353839[[#This Row],[قيمة مضافة]]</f>
        <v>0</v>
      </c>
      <c r="K46" s="1">
        <f>K45+Table11819202310303132353839[[#This Row],[اجمالي الفاتوره]]-Table11819202310303132353839[[#This Row],[الدفعات]]</f>
        <v>2221981.4</v>
      </c>
      <c r="M46" s="48"/>
    </row>
    <row r="47" spans="1:13" ht="26.25" customHeight="1" x14ac:dyDescent="0.3">
      <c r="C47" s="2"/>
      <c r="I47" s="1">
        <f>Table11819202310303132353839[[#This Row],[النولون]]+Table11819202310303132353839[[#This Row],[الايصالات]]+Table11819202310303132353839[[#This Row],[قيمة مضافة]]</f>
        <v>0</v>
      </c>
      <c r="K47" s="1">
        <f>K46+Table11819202310303132353839[[#This Row],[اجمالي الفاتوره]]-Table11819202310303132353839[[#This Row],[الدفعات]]</f>
        <v>2221981.4</v>
      </c>
      <c r="M47" s="48"/>
    </row>
    <row r="48" spans="1:13" ht="26.25" customHeight="1" x14ac:dyDescent="0.3">
      <c r="B48" s="41"/>
      <c r="C48" s="45"/>
      <c r="D48" s="41"/>
      <c r="E48" s="41"/>
      <c r="F48" s="41"/>
      <c r="G48" s="41"/>
      <c r="H48" s="41"/>
      <c r="I48" s="1">
        <f>Table11819202310303132353839[[#This Row],[النولون]]+Table11819202310303132353839[[#This Row],[الايصالات]]+Table11819202310303132353839[[#This Row],[قيمة مضافة]]</f>
        <v>0</v>
      </c>
      <c r="J48" s="41"/>
      <c r="K48" s="1">
        <f>K47+Table11819202310303132353839[[#This Row],[اجمالي الفاتوره]]-Table11819202310303132353839[[#This Row],[الدفعات]]</f>
        <v>2221981.4</v>
      </c>
      <c r="L48" s="41"/>
      <c r="M48" s="48"/>
    </row>
    <row r="49" spans="2:13" ht="26.25" customHeight="1" x14ac:dyDescent="0.3">
      <c r="C49" s="2"/>
      <c r="I49" s="1">
        <f>Table11819202310303132353839[[#This Row],[النولون]]+Table11819202310303132353839[[#This Row],[الايصالات]]+Table11819202310303132353839[[#This Row],[قيمة مضافة]]</f>
        <v>0</v>
      </c>
      <c r="K49" s="1">
        <f>K48+Table11819202310303132353839[[#This Row],[اجمالي الفاتوره]]-Table11819202310303132353839[[#This Row],[الدفعات]]</f>
        <v>2221981.4</v>
      </c>
      <c r="M49" s="48"/>
    </row>
    <row r="50" spans="2:13" ht="26.25" customHeight="1" x14ac:dyDescent="0.3">
      <c r="C50" s="2"/>
      <c r="I50" s="1">
        <f>Table11819202310303132353839[[#This Row],[النولون]]+Table11819202310303132353839[[#This Row],[الايصالات]]+Table11819202310303132353839[[#This Row],[قيمة مضافة]]</f>
        <v>0</v>
      </c>
      <c r="K50" s="1">
        <f>K49+Table11819202310303132353839[[#This Row],[اجمالي الفاتوره]]-Table11819202310303132353839[[#This Row],[الدفعات]]</f>
        <v>2221981.4</v>
      </c>
      <c r="M50" s="48"/>
    </row>
    <row r="51" spans="2:13" ht="26.25" customHeight="1" x14ac:dyDescent="0.3">
      <c r="C51" s="2"/>
      <c r="I51" s="1">
        <f>Table11819202310303132353839[[#This Row],[النولون]]+Table11819202310303132353839[[#This Row],[الايصالات]]+Table11819202310303132353839[[#This Row],[قيمة مضافة]]</f>
        <v>0</v>
      </c>
      <c r="K51" s="1">
        <f>K50+Table11819202310303132353839[[#This Row],[اجمالي الفاتوره]]-Table11819202310303132353839[[#This Row],[الدفعات]]</f>
        <v>2221981.4</v>
      </c>
      <c r="M51" s="48"/>
    </row>
    <row r="52" spans="2:13" ht="26.25" customHeight="1" x14ac:dyDescent="0.3">
      <c r="C52" s="2"/>
      <c r="I52" s="1">
        <f>Table11819202310303132353839[[#This Row],[النولون]]+Table11819202310303132353839[[#This Row],[الايصالات]]+Table11819202310303132353839[[#This Row],[قيمة مضافة]]</f>
        <v>0</v>
      </c>
      <c r="K52" s="1">
        <f>K51+Table11819202310303132353839[[#This Row],[اجمالي الفاتوره]]-Table11819202310303132353839[[#This Row],[الدفعات]]</f>
        <v>2221981.4</v>
      </c>
      <c r="M52" s="48"/>
    </row>
    <row r="53" spans="2:13" ht="26.25" customHeight="1" x14ac:dyDescent="0.3">
      <c r="B53" s="41"/>
      <c r="C53" s="45"/>
      <c r="D53" s="41"/>
      <c r="E53" s="41"/>
      <c r="F53" s="41"/>
      <c r="G53" s="41"/>
      <c r="H53" s="41"/>
      <c r="I53" s="1">
        <f>Table11819202310303132353839[[#This Row],[النولون]]+Table11819202310303132353839[[#This Row],[الايصالات]]+Table11819202310303132353839[[#This Row],[قيمة مضافة]]</f>
        <v>0</v>
      </c>
      <c r="J53" s="41"/>
      <c r="K53" s="1">
        <f>K52+Table11819202310303132353839[[#This Row],[اجمالي الفاتوره]]-Table11819202310303132353839[[#This Row],[الدفعات]]</f>
        <v>2221981.4</v>
      </c>
      <c r="L53" s="41"/>
      <c r="M53" s="48"/>
    </row>
    <row r="54" spans="2:13" ht="26.25" customHeight="1" x14ac:dyDescent="0.3">
      <c r="C54" s="2"/>
      <c r="I54" s="1">
        <f>Table11819202310303132353839[[#This Row],[النولون]]+Table11819202310303132353839[[#This Row],[الايصالات]]+Table11819202310303132353839[[#This Row],[قيمة مضافة]]</f>
        <v>0</v>
      </c>
      <c r="K54" s="1">
        <f>K53+Table11819202310303132353839[[#This Row],[اجمالي الفاتوره]]-Table11819202310303132353839[[#This Row],[الدفعات]]</f>
        <v>2221981.4</v>
      </c>
      <c r="M54" s="48"/>
    </row>
    <row r="55" spans="2:13" ht="26.25" customHeight="1" x14ac:dyDescent="0.3">
      <c r="C55" s="2"/>
      <c r="I55" s="1">
        <f>Table11819202310303132353839[[#This Row],[النولون]]+Table11819202310303132353839[[#This Row],[الايصالات]]+Table11819202310303132353839[[#This Row],[قيمة مضافة]]</f>
        <v>0</v>
      </c>
      <c r="K55" s="1">
        <f>K54+Table11819202310303132353839[[#This Row],[اجمالي الفاتوره]]-Table11819202310303132353839[[#This Row],[الدفعات]]</f>
        <v>2221981.4</v>
      </c>
      <c r="M55" s="48"/>
    </row>
    <row r="56" spans="2:13" ht="26.25" customHeight="1" x14ac:dyDescent="0.3">
      <c r="C56" s="2"/>
      <c r="I56" s="1">
        <f>Table11819202310303132353839[[#This Row],[النولون]]+Table11819202310303132353839[[#This Row],[الايصالات]]+Table11819202310303132353839[[#This Row],[قيمة مضافة]]</f>
        <v>0</v>
      </c>
      <c r="K56" s="1">
        <f>K55+Table11819202310303132353839[[#This Row],[اجمالي الفاتوره]]-Table11819202310303132353839[[#This Row],[الدفعات]]</f>
        <v>2221981.4</v>
      </c>
      <c r="M56" s="48"/>
    </row>
    <row r="57" spans="2:13" ht="26.25" customHeight="1" x14ac:dyDescent="0.3">
      <c r="B57" s="41"/>
      <c r="C57" s="45"/>
      <c r="D57" s="41"/>
      <c r="E57" s="41"/>
      <c r="F57" s="41"/>
      <c r="G57" s="41"/>
      <c r="H57" s="41"/>
      <c r="I57" s="1">
        <f>Table11819202310303132353839[[#This Row],[النولون]]+Table11819202310303132353839[[#This Row],[الايصالات]]+Table11819202310303132353839[[#This Row],[قيمة مضافة]]</f>
        <v>0</v>
      </c>
      <c r="J57" s="41"/>
      <c r="K57" s="1">
        <f>K56+Table11819202310303132353839[[#This Row],[اجمالي الفاتوره]]-Table11819202310303132353839[[#This Row],[الدفعات]]</f>
        <v>2221981.4</v>
      </c>
      <c r="L57" s="41"/>
      <c r="M57" s="48"/>
    </row>
    <row r="58" spans="2:13" ht="26.25" customHeight="1" x14ac:dyDescent="0.3">
      <c r="C58" s="2"/>
      <c r="I58" s="1">
        <f>Table11819202310303132353839[[#This Row],[النولون]]+Table11819202310303132353839[[#This Row],[الايصالات]]+Table11819202310303132353839[[#This Row],[قيمة مضافة]]</f>
        <v>0</v>
      </c>
      <c r="K58" s="1">
        <f>K57+Table11819202310303132353839[[#This Row],[اجمالي الفاتوره]]-Table11819202310303132353839[[#This Row],[الدفعات]]</f>
        <v>2221981.4</v>
      </c>
      <c r="M58" s="48"/>
    </row>
    <row r="59" spans="2:13" ht="26.25" customHeight="1" x14ac:dyDescent="0.3">
      <c r="C59" s="2"/>
      <c r="I59" s="1">
        <f>Table11819202310303132353839[[#This Row],[النولون]]+Table11819202310303132353839[[#This Row],[الايصالات]]+Table11819202310303132353839[[#This Row],[قيمة مضافة]]</f>
        <v>0</v>
      </c>
      <c r="K59" s="1">
        <f>K58+Table11819202310303132353839[[#This Row],[اجمالي الفاتوره]]-Table11819202310303132353839[[#This Row],[الدفعات]]</f>
        <v>2221981.4</v>
      </c>
      <c r="M59" s="48"/>
    </row>
    <row r="60" spans="2:13" ht="26.25" customHeight="1" x14ac:dyDescent="0.3">
      <c r="C60" s="2"/>
      <c r="I60" s="1">
        <f>Table11819202310303132353839[[#This Row],[النولون]]+Table11819202310303132353839[[#This Row],[الايصالات]]+Table11819202310303132353839[[#This Row],[قيمة مضافة]]</f>
        <v>0</v>
      </c>
      <c r="K60" s="1">
        <f>K59+Table11819202310303132353839[[#This Row],[اجمالي الفاتوره]]-Table11819202310303132353839[[#This Row],[الدفعات]]</f>
        <v>2221981.4</v>
      </c>
      <c r="M60" s="48"/>
    </row>
    <row r="61" spans="2:13" ht="26.25" customHeight="1" x14ac:dyDescent="0.3">
      <c r="B61" s="41"/>
      <c r="C61" s="45"/>
      <c r="D61" s="41"/>
      <c r="E61" s="41"/>
      <c r="F61" s="41"/>
      <c r="G61" s="41"/>
      <c r="H61" s="41"/>
      <c r="I61" s="1">
        <f>Table11819202310303132353839[[#This Row],[النولون]]+Table11819202310303132353839[[#This Row],[الايصالات]]+Table11819202310303132353839[[#This Row],[قيمة مضافة]]</f>
        <v>0</v>
      </c>
      <c r="J61" s="41"/>
      <c r="K61" s="1">
        <f>K60+Table11819202310303132353839[[#This Row],[اجمالي الفاتوره]]-Table11819202310303132353839[[#This Row],[الدفعات]]</f>
        <v>2221981.4</v>
      </c>
      <c r="L61" s="41"/>
      <c r="M61" s="48"/>
    </row>
    <row r="62" spans="2:13" ht="26.25" customHeight="1" x14ac:dyDescent="0.3">
      <c r="C62" s="2"/>
      <c r="I62" s="1">
        <f>Table11819202310303132353839[[#This Row],[النولون]]+Table11819202310303132353839[[#This Row],[الايصالات]]+Table11819202310303132353839[[#This Row],[قيمة مضافة]]</f>
        <v>0</v>
      </c>
      <c r="K62" s="1">
        <f>K61+Table11819202310303132353839[[#This Row],[اجمالي الفاتوره]]-Table11819202310303132353839[[#This Row],[الدفعات]]</f>
        <v>2221981.4</v>
      </c>
      <c r="M62" s="48"/>
    </row>
    <row r="63" spans="2:13" ht="26.25" customHeight="1" x14ac:dyDescent="0.3">
      <c r="C63" s="2"/>
      <c r="I63" s="1">
        <f>Table11819202310303132353839[[#This Row],[النولون]]+Table11819202310303132353839[[#This Row],[الايصالات]]+Table11819202310303132353839[[#This Row],[قيمة مضافة]]</f>
        <v>0</v>
      </c>
      <c r="K63" s="1">
        <f>K62+Table11819202310303132353839[[#This Row],[اجمالي الفاتوره]]-Table11819202310303132353839[[#This Row],[الدفعات]]</f>
        <v>2221981.4</v>
      </c>
      <c r="M63" s="48"/>
    </row>
    <row r="64" spans="2:13" ht="26.25" customHeight="1" x14ac:dyDescent="0.3">
      <c r="C64" s="2"/>
      <c r="I64" s="1">
        <f>Table11819202310303132353839[[#This Row],[النولون]]+Table11819202310303132353839[[#This Row],[الايصالات]]+Table11819202310303132353839[[#This Row],[قيمة مضافة]]</f>
        <v>0</v>
      </c>
      <c r="K64" s="1">
        <f>K63+Table11819202310303132353839[[#This Row],[اجمالي الفاتوره]]-Table11819202310303132353839[[#This Row],[الدفعات]]</f>
        <v>2221981.4</v>
      </c>
      <c r="M64" s="48"/>
    </row>
    <row r="65" spans="2:13" ht="26.25" customHeight="1" x14ac:dyDescent="0.3">
      <c r="C65" s="2"/>
      <c r="I65" s="1">
        <f>Table11819202310303132353839[[#This Row],[النولون]]+Table11819202310303132353839[[#This Row],[الايصالات]]+Table11819202310303132353839[[#This Row],[قيمة مضافة]]</f>
        <v>0</v>
      </c>
      <c r="K65" s="1">
        <f>K64+Table11819202310303132353839[[#This Row],[اجمالي الفاتوره]]-Table11819202310303132353839[[#This Row],[الدفعات]]</f>
        <v>2221981.4</v>
      </c>
      <c r="M65" s="48"/>
    </row>
    <row r="66" spans="2:13" ht="26.25" customHeight="1" x14ac:dyDescent="0.3">
      <c r="C66" s="2"/>
      <c r="I66" s="1">
        <f>Table11819202310303132353839[[#This Row],[النولون]]+Table11819202310303132353839[[#This Row],[الايصالات]]+Table11819202310303132353839[[#This Row],[قيمة مضافة]]</f>
        <v>0</v>
      </c>
      <c r="K66" s="1">
        <f>K65+Table11819202310303132353839[[#This Row],[اجمالي الفاتوره]]-Table11819202310303132353839[[#This Row],[الدفعات]]</f>
        <v>2221981.4</v>
      </c>
      <c r="M66" s="48"/>
    </row>
    <row r="67" spans="2:13" ht="26.25" customHeight="1" x14ac:dyDescent="0.3">
      <c r="C67" s="2"/>
      <c r="I67" s="1">
        <f>Table11819202310303132353839[[#This Row],[النولون]]+Table11819202310303132353839[[#This Row],[الايصالات]]+Table11819202310303132353839[[#This Row],[قيمة مضافة]]</f>
        <v>0</v>
      </c>
      <c r="K67" s="1">
        <f>K66+Table11819202310303132353839[[#This Row],[اجمالي الفاتوره]]-Table11819202310303132353839[[#This Row],[الدفعات]]</f>
        <v>2221981.4</v>
      </c>
      <c r="M67" s="48"/>
    </row>
    <row r="68" spans="2:13" ht="26.25" customHeight="1" x14ac:dyDescent="0.3">
      <c r="B68" s="41"/>
      <c r="C68" s="45"/>
      <c r="D68" s="41"/>
      <c r="E68" s="41"/>
      <c r="F68" s="41"/>
      <c r="G68" s="41"/>
      <c r="H68" s="41"/>
      <c r="I68" s="1">
        <f>Table11819202310303132353839[[#This Row],[النولون]]+Table11819202310303132353839[[#This Row],[الايصالات]]+Table11819202310303132353839[[#This Row],[قيمة مضافة]]</f>
        <v>0</v>
      </c>
      <c r="J68" s="41"/>
      <c r="K68" s="1">
        <f>K67+Table11819202310303132353839[[#This Row],[اجمالي الفاتوره]]-Table11819202310303132353839[[#This Row],[الدفعات]]</f>
        <v>2221981.4</v>
      </c>
      <c r="L68" s="41"/>
      <c r="M68" s="48"/>
    </row>
    <row r="69" spans="2:13" ht="26.25" customHeight="1" x14ac:dyDescent="0.3">
      <c r="C69" s="2"/>
      <c r="I69" s="1">
        <f>Table11819202310303132353839[[#This Row],[النولون]]+Table11819202310303132353839[[#This Row],[الايصالات]]+Table11819202310303132353839[[#This Row],[قيمة مضافة]]</f>
        <v>0</v>
      </c>
      <c r="K69" s="1">
        <f>K68+Table11819202310303132353839[[#This Row],[اجمالي الفاتوره]]-Table11819202310303132353839[[#This Row],[الدفعات]]</f>
        <v>2221981.4</v>
      </c>
      <c r="M69" s="48"/>
    </row>
    <row r="70" spans="2:13" ht="26.25" customHeight="1" x14ac:dyDescent="0.3">
      <c r="C70" s="2"/>
      <c r="I70" s="1">
        <f>Table11819202310303132353839[[#This Row],[النولون]]+Table11819202310303132353839[[#This Row],[الايصالات]]+Table11819202310303132353839[[#This Row],[قيمة مضافة]]</f>
        <v>0</v>
      </c>
      <c r="K70" s="1">
        <f>K69+Table11819202310303132353839[[#This Row],[اجمالي الفاتوره]]-Table11819202310303132353839[[#This Row],[الدفعات]]</f>
        <v>2221981.4</v>
      </c>
      <c r="M70" s="48"/>
    </row>
    <row r="71" spans="2:13" ht="26.25" customHeight="1" x14ac:dyDescent="0.3">
      <c r="C71" s="2"/>
      <c r="I71" s="1">
        <f>Table11819202310303132353839[[#This Row],[النولون]]+Table11819202310303132353839[[#This Row],[الايصالات]]+Table11819202310303132353839[[#This Row],[قيمة مضافة]]</f>
        <v>0</v>
      </c>
      <c r="K71" s="1">
        <f>K70+Table11819202310303132353839[[#This Row],[اجمالي الفاتوره]]-Table11819202310303132353839[[#This Row],[الدفعات]]</f>
        <v>2221981.4</v>
      </c>
      <c r="M71" s="48"/>
    </row>
    <row r="72" spans="2:13" ht="26.25" customHeight="1" x14ac:dyDescent="0.3">
      <c r="C72" s="2"/>
      <c r="I72" s="1">
        <f>Table11819202310303132353839[[#This Row],[النولون]]+Table11819202310303132353839[[#This Row],[الايصالات]]+Table11819202310303132353839[[#This Row],[قيمة مضافة]]</f>
        <v>0</v>
      </c>
      <c r="K72" s="1">
        <f>K71+Table11819202310303132353839[[#This Row],[اجمالي الفاتوره]]-Table11819202310303132353839[[#This Row],[الدفعات]]</f>
        <v>2221981.4</v>
      </c>
      <c r="M72" s="48"/>
    </row>
    <row r="73" spans="2:13" ht="26.25" customHeight="1" x14ac:dyDescent="0.3">
      <c r="B73" s="41"/>
      <c r="C73" s="45"/>
      <c r="D73" s="41"/>
      <c r="E73" s="41"/>
      <c r="F73" s="41"/>
      <c r="G73" s="41"/>
      <c r="H73" s="41"/>
      <c r="I73" s="1">
        <f>Table11819202310303132353839[[#This Row],[النولون]]+Table11819202310303132353839[[#This Row],[الايصالات]]+Table11819202310303132353839[[#This Row],[قيمة مضافة]]</f>
        <v>0</v>
      </c>
      <c r="J73" s="41"/>
      <c r="K73" s="1">
        <f>K72+Table11819202310303132353839[[#This Row],[اجمالي الفاتوره]]-Table11819202310303132353839[[#This Row],[الدفعات]]</f>
        <v>2221981.4</v>
      </c>
      <c r="L73" s="41"/>
      <c r="M73" s="48"/>
    </row>
    <row r="74" spans="2:13" ht="26.25" customHeight="1" x14ac:dyDescent="0.3">
      <c r="C74" s="2"/>
      <c r="I74" s="1">
        <f>Table11819202310303132353839[[#This Row],[النولون]]+Table11819202310303132353839[[#This Row],[الايصالات]]+Table11819202310303132353839[[#This Row],[قيمة مضافة]]</f>
        <v>0</v>
      </c>
      <c r="K74" s="1">
        <f>K73+Table11819202310303132353839[[#This Row],[اجمالي الفاتوره]]-Table11819202310303132353839[[#This Row],[الدفعات]]</f>
        <v>2221981.4</v>
      </c>
      <c r="M74" s="48"/>
    </row>
    <row r="75" spans="2:13" ht="26.25" customHeight="1" x14ac:dyDescent="0.3">
      <c r="B75" s="41"/>
      <c r="C75" s="45"/>
      <c r="D75" s="41"/>
      <c r="E75" s="41"/>
      <c r="F75" s="41"/>
      <c r="G75" s="41"/>
      <c r="H75" s="41"/>
      <c r="I75" s="1">
        <f>Table11819202310303132353839[[#This Row],[النولون]]+Table11819202310303132353839[[#This Row],[الايصالات]]+Table11819202310303132353839[[#This Row],[قيمة مضافة]]</f>
        <v>0</v>
      </c>
      <c r="J75" s="41"/>
      <c r="K75" s="1">
        <f>K74+Table11819202310303132353839[[#This Row],[اجمالي الفاتوره]]-Table11819202310303132353839[[#This Row],[الدفعات]]</f>
        <v>2221981.4</v>
      </c>
      <c r="L75" s="41"/>
      <c r="M75" s="48"/>
    </row>
    <row r="76" spans="2:13" ht="26.25" customHeight="1" x14ac:dyDescent="0.3">
      <c r="C76" s="2"/>
      <c r="I76" s="1">
        <f>Table11819202310303132353839[[#This Row],[النولون]]+Table11819202310303132353839[[#This Row],[الايصالات]]+Table11819202310303132353839[[#This Row],[قيمة مضافة]]</f>
        <v>0</v>
      </c>
      <c r="K76" s="1">
        <f>K75+Table11819202310303132353839[[#This Row],[اجمالي الفاتوره]]-Table11819202310303132353839[[#This Row],[الدفعات]]</f>
        <v>2221981.4</v>
      </c>
      <c r="M76" s="48"/>
    </row>
    <row r="77" spans="2:13" ht="26.25" customHeight="1" x14ac:dyDescent="0.3">
      <c r="C77" s="2"/>
      <c r="I77" s="1">
        <f>Table11819202310303132353839[[#This Row],[النولون]]+Table11819202310303132353839[[#This Row],[الايصالات]]+Table11819202310303132353839[[#This Row],[قيمة مضافة]]</f>
        <v>0</v>
      </c>
      <c r="K77" s="1">
        <f>K76+Table11819202310303132353839[[#This Row],[اجمالي الفاتوره]]-Table11819202310303132353839[[#This Row],[الدفعات]]</f>
        <v>2221981.4</v>
      </c>
      <c r="M77" s="48"/>
    </row>
    <row r="78" spans="2:13" ht="26.25" customHeight="1" x14ac:dyDescent="0.3">
      <c r="C78" s="2"/>
      <c r="I78" s="1">
        <f>Table11819202310303132353839[[#This Row],[النولون]]+Table11819202310303132353839[[#This Row],[الايصالات]]+Table11819202310303132353839[[#This Row],[قيمة مضافة]]</f>
        <v>0</v>
      </c>
      <c r="K78" s="1">
        <f>K77+Table11819202310303132353839[[#This Row],[اجمالي الفاتوره]]-Table11819202310303132353839[[#This Row],[الدفعات]]</f>
        <v>2221981.4</v>
      </c>
      <c r="M78" s="48"/>
    </row>
    <row r="79" spans="2:13" ht="26.25" customHeight="1" x14ac:dyDescent="0.3">
      <c r="C79" s="2"/>
      <c r="I79" s="1">
        <f>Table11819202310303132353839[[#This Row],[النولون]]+Table11819202310303132353839[[#This Row],[الايصالات]]+Table11819202310303132353839[[#This Row],[قيمة مضافة]]</f>
        <v>0</v>
      </c>
      <c r="K79" s="1">
        <f>K78+Table11819202310303132353839[[#This Row],[اجمالي الفاتوره]]-Table11819202310303132353839[[#This Row],[الدفعات]]</f>
        <v>2221981.4</v>
      </c>
      <c r="M79" s="48"/>
    </row>
    <row r="80" spans="2:13" ht="26.25" customHeight="1" x14ac:dyDescent="0.3">
      <c r="B80" s="41"/>
      <c r="C80" s="45"/>
      <c r="D80" s="41"/>
      <c r="E80" s="41"/>
      <c r="F80" s="41"/>
      <c r="G80" s="41"/>
      <c r="H80" s="41"/>
      <c r="I80" s="1">
        <f>Table11819202310303132353839[[#This Row],[النولون]]+Table11819202310303132353839[[#This Row],[الايصالات]]+Table11819202310303132353839[[#This Row],[قيمة مضافة]]</f>
        <v>0</v>
      </c>
      <c r="J80" s="41"/>
      <c r="K80" s="1">
        <f>K79+Table11819202310303132353839[[#This Row],[اجمالي الفاتوره]]-Table11819202310303132353839[[#This Row],[الدفعات]]</f>
        <v>2221981.4</v>
      </c>
      <c r="L80" s="41"/>
      <c r="M80" s="48"/>
    </row>
    <row r="81" spans="2:13" ht="26.25" customHeight="1" x14ac:dyDescent="0.3">
      <c r="C81" s="2"/>
      <c r="I81" s="1">
        <f>Table11819202310303132353839[[#This Row],[النولون]]+Table11819202310303132353839[[#This Row],[الايصالات]]+Table11819202310303132353839[[#This Row],[قيمة مضافة]]</f>
        <v>0</v>
      </c>
      <c r="K81" s="1">
        <f>K80+Table11819202310303132353839[[#This Row],[اجمالي الفاتوره]]-Table11819202310303132353839[[#This Row],[الدفعات]]</f>
        <v>2221981.4</v>
      </c>
      <c r="M81" s="48"/>
    </row>
    <row r="82" spans="2:13" ht="26.25" customHeight="1" x14ac:dyDescent="0.3">
      <c r="C82" s="2"/>
      <c r="I82" s="1">
        <f>Table11819202310303132353839[[#This Row],[النولون]]+Table11819202310303132353839[[#This Row],[الايصالات]]+Table11819202310303132353839[[#This Row],[قيمة مضافة]]</f>
        <v>0</v>
      </c>
      <c r="K82" s="1">
        <f>K81+Table11819202310303132353839[[#This Row],[اجمالي الفاتوره]]-Table11819202310303132353839[[#This Row],[الدفعات]]</f>
        <v>2221981.4</v>
      </c>
      <c r="M82" s="48"/>
    </row>
    <row r="83" spans="2:13" ht="26.25" customHeight="1" x14ac:dyDescent="0.3">
      <c r="C83" s="2"/>
      <c r="I83" s="1">
        <f>Table11819202310303132353839[[#This Row],[النولون]]+Table11819202310303132353839[[#This Row],[الايصالات]]+Table11819202310303132353839[[#This Row],[قيمة مضافة]]</f>
        <v>0</v>
      </c>
      <c r="K83" s="1">
        <f>K82+Table11819202310303132353839[[#This Row],[اجمالي الفاتوره]]-Table11819202310303132353839[[#This Row],[الدفعات]]</f>
        <v>2221981.4</v>
      </c>
      <c r="M83" s="48"/>
    </row>
    <row r="84" spans="2:13" ht="26.25" customHeight="1" x14ac:dyDescent="0.3">
      <c r="B84" s="41"/>
      <c r="C84" s="45"/>
      <c r="D84" s="41"/>
      <c r="E84" s="41"/>
      <c r="F84" s="41"/>
      <c r="G84" s="41"/>
      <c r="H84" s="41"/>
      <c r="I84" s="1">
        <f>Table11819202310303132353839[[#This Row],[النولون]]+Table11819202310303132353839[[#This Row],[الايصالات]]+Table11819202310303132353839[[#This Row],[قيمة مضافة]]</f>
        <v>0</v>
      </c>
      <c r="J84" s="41"/>
      <c r="K84" s="1">
        <f>K83+Table11819202310303132353839[[#This Row],[اجمالي الفاتوره]]-Table11819202310303132353839[[#This Row],[الدفعات]]</f>
        <v>2221981.4</v>
      </c>
      <c r="L84" s="41"/>
      <c r="M84" s="48"/>
    </row>
    <row r="85" spans="2:13" ht="26.25" customHeight="1" x14ac:dyDescent="0.3">
      <c r="C85" s="2"/>
      <c r="I85" s="1">
        <f>Table11819202310303132353839[[#This Row],[النولون]]+Table11819202310303132353839[[#This Row],[الايصالات]]+Table11819202310303132353839[[#This Row],[قيمة مضافة]]</f>
        <v>0</v>
      </c>
      <c r="K85" s="1">
        <f>K84+Table11819202310303132353839[[#This Row],[اجمالي الفاتوره]]-Table11819202310303132353839[[#This Row],[الدفعات]]</f>
        <v>2221981.4</v>
      </c>
      <c r="M85" s="48"/>
    </row>
    <row r="86" spans="2:13" ht="26.25" customHeight="1" x14ac:dyDescent="0.3">
      <c r="C86" s="2"/>
      <c r="I86" s="1">
        <f>Table11819202310303132353839[[#This Row],[النولون]]+Table11819202310303132353839[[#This Row],[الايصالات]]+Table11819202310303132353839[[#This Row],[قيمة مضافة]]</f>
        <v>0</v>
      </c>
      <c r="K86" s="1">
        <f>K85+Table11819202310303132353839[[#This Row],[اجمالي الفاتوره]]-Table11819202310303132353839[[#This Row],[الدفعات]]</f>
        <v>2221981.4</v>
      </c>
      <c r="M86" s="48"/>
    </row>
    <row r="87" spans="2:13" ht="26.25" customHeight="1" x14ac:dyDescent="0.3">
      <c r="B87" s="41"/>
      <c r="C87" s="45"/>
      <c r="D87" s="41"/>
      <c r="E87" s="41"/>
      <c r="F87" s="41"/>
      <c r="G87" s="41"/>
      <c r="H87" s="41"/>
      <c r="I87" s="1">
        <f>Table11819202310303132353839[[#This Row],[النولون]]+Table11819202310303132353839[[#This Row],[الايصالات]]+Table11819202310303132353839[[#This Row],[قيمة مضافة]]</f>
        <v>0</v>
      </c>
      <c r="J87" s="41"/>
      <c r="K87" s="1">
        <f>K86+Table11819202310303132353839[[#This Row],[اجمالي الفاتوره]]-Table11819202310303132353839[[#This Row],[الدفعات]]</f>
        <v>2221981.4</v>
      </c>
      <c r="L87" s="41"/>
      <c r="M87" s="48"/>
    </row>
    <row r="88" spans="2:13" ht="26.25" customHeight="1" x14ac:dyDescent="0.3">
      <c r="C88" s="2"/>
      <c r="I88" s="1">
        <f>Table11819202310303132353839[[#This Row],[النولون]]+Table11819202310303132353839[[#This Row],[الايصالات]]+Table11819202310303132353839[[#This Row],[قيمة مضافة]]</f>
        <v>0</v>
      </c>
      <c r="K88" s="1">
        <f>K87+Table11819202310303132353839[[#This Row],[اجمالي الفاتوره]]-Table11819202310303132353839[[#This Row],[الدفعات]]</f>
        <v>2221981.4</v>
      </c>
      <c r="M88" s="48"/>
    </row>
    <row r="89" spans="2:13" ht="26.25" customHeight="1" x14ac:dyDescent="0.3">
      <c r="C89" s="2"/>
      <c r="I89" s="1">
        <f>Table11819202310303132353839[[#This Row],[النولون]]+Table11819202310303132353839[[#This Row],[الايصالات]]+Table11819202310303132353839[[#This Row],[قيمة مضافة]]</f>
        <v>0</v>
      </c>
      <c r="K89" s="1">
        <f>K88+Table11819202310303132353839[[#This Row],[اجمالي الفاتوره]]-Table11819202310303132353839[[#This Row],[الدفعات]]</f>
        <v>2221981.4</v>
      </c>
      <c r="M89" s="48"/>
    </row>
    <row r="90" spans="2:13" ht="26.25" customHeight="1" x14ac:dyDescent="0.3">
      <c r="C90" s="2"/>
      <c r="I90" s="1">
        <f>Table11819202310303132353839[[#This Row],[النولون]]+Table11819202310303132353839[[#This Row],[الايصالات]]+Table11819202310303132353839[[#This Row],[قيمة مضافة]]</f>
        <v>0</v>
      </c>
      <c r="K90" s="1">
        <f>K89+Table11819202310303132353839[[#This Row],[اجمالي الفاتوره]]-Table11819202310303132353839[[#This Row],[الدفعات]]</f>
        <v>2221981.4</v>
      </c>
      <c r="M90" s="48"/>
    </row>
    <row r="91" spans="2:13" ht="26.25" customHeight="1" x14ac:dyDescent="0.3">
      <c r="C91" s="2"/>
      <c r="I91" s="1">
        <f>Table11819202310303132353839[[#This Row],[النولون]]+Table11819202310303132353839[[#This Row],[الايصالات]]+Table11819202310303132353839[[#This Row],[قيمة مضافة]]</f>
        <v>0</v>
      </c>
      <c r="K91" s="1">
        <f>K90+Table11819202310303132353839[[#This Row],[اجمالي الفاتوره]]-Table11819202310303132353839[[#This Row],[الدفعات]]</f>
        <v>2221981.4</v>
      </c>
      <c r="M91" s="48"/>
    </row>
    <row r="92" spans="2:13" ht="26.25" customHeight="1" x14ac:dyDescent="0.3">
      <c r="C92" s="2"/>
      <c r="I92" s="1">
        <f>Table11819202310303132353839[[#This Row],[النولون]]+Table11819202310303132353839[[#This Row],[الايصالات]]+Table11819202310303132353839[[#This Row],[قيمة مضافة]]</f>
        <v>0</v>
      </c>
      <c r="K92" s="1">
        <f>K91+Table11819202310303132353839[[#This Row],[اجمالي الفاتوره]]-Table11819202310303132353839[[#This Row],[الدفعات]]</f>
        <v>2221981.4</v>
      </c>
      <c r="M92" s="48"/>
    </row>
    <row r="93" spans="2:13" ht="26.25" customHeight="1" x14ac:dyDescent="0.3">
      <c r="C93" s="2"/>
      <c r="I93" s="1">
        <f>Table11819202310303132353839[[#This Row],[النولون]]+Table11819202310303132353839[[#This Row],[الايصالات]]+Table11819202310303132353839[[#This Row],[قيمة مضافة]]</f>
        <v>0</v>
      </c>
      <c r="K93" s="1">
        <f>K92+Table11819202310303132353839[[#This Row],[اجمالي الفاتوره]]-Table11819202310303132353839[[#This Row],[الدفعات]]</f>
        <v>2221981.4</v>
      </c>
      <c r="M93" s="48"/>
    </row>
    <row r="94" spans="2:13" ht="26.25" customHeight="1" x14ac:dyDescent="0.3">
      <c r="B94" s="41"/>
      <c r="C94" s="45"/>
      <c r="D94" s="41"/>
      <c r="E94" s="41"/>
      <c r="F94" s="41"/>
      <c r="G94" s="41"/>
      <c r="H94" s="41"/>
      <c r="I94" s="1">
        <f>Table11819202310303132353839[[#This Row],[النولون]]+Table11819202310303132353839[[#This Row],[الايصالات]]+Table11819202310303132353839[[#This Row],[قيمة مضافة]]</f>
        <v>0</v>
      </c>
      <c r="J94" s="41"/>
      <c r="K94" s="1">
        <f>K93+Table11819202310303132353839[[#This Row],[اجمالي الفاتوره]]-Table11819202310303132353839[[#This Row],[الدفعات]]</f>
        <v>2221981.4</v>
      </c>
      <c r="L94" s="41"/>
      <c r="M94" s="48"/>
    </row>
    <row r="95" spans="2:13" ht="26.25" customHeight="1" x14ac:dyDescent="0.3">
      <c r="C95" s="2"/>
      <c r="I95" s="1">
        <f>Table11819202310303132353839[[#This Row],[النولون]]+Table11819202310303132353839[[#This Row],[الايصالات]]+Table11819202310303132353839[[#This Row],[قيمة مضافة]]</f>
        <v>0</v>
      </c>
      <c r="K95" s="1">
        <f>K94+Table11819202310303132353839[[#This Row],[اجمالي الفاتوره]]-Table11819202310303132353839[[#This Row],[الدفعات]]</f>
        <v>2221981.4</v>
      </c>
      <c r="M95" s="48"/>
    </row>
    <row r="96" spans="2:13" ht="26.25" customHeight="1" x14ac:dyDescent="0.3">
      <c r="C96" s="2"/>
      <c r="I96" s="1">
        <f>Table11819202310303132353839[[#This Row],[النولون]]+Table11819202310303132353839[[#This Row],[الايصالات]]+Table11819202310303132353839[[#This Row],[قيمة مضافة]]</f>
        <v>0</v>
      </c>
      <c r="K96" s="1">
        <f>K95+Table11819202310303132353839[[#This Row],[اجمالي الفاتوره]]-Table11819202310303132353839[[#This Row],[الدفعات]]</f>
        <v>2221981.4</v>
      </c>
      <c r="M96" s="48"/>
    </row>
    <row r="97" spans="2:13" ht="26.25" customHeight="1" x14ac:dyDescent="0.3">
      <c r="C97" s="2"/>
      <c r="I97" s="1">
        <f>Table11819202310303132353839[[#This Row],[النولون]]+Table11819202310303132353839[[#This Row],[الايصالات]]+Table11819202310303132353839[[#This Row],[قيمة مضافة]]</f>
        <v>0</v>
      </c>
      <c r="K97" s="1">
        <f>K96+Table11819202310303132353839[[#This Row],[اجمالي الفاتوره]]-Table11819202310303132353839[[#This Row],[الدفعات]]</f>
        <v>2221981.4</v>
      </c>
      <c r="M97" s="48"/>
    </row>
    <row r="98" spans="2:13" ht="26.25" customHeight="1" x14ac:dyDescent="0.3">
      <c r="C98" s="2"/>
      <c r="I98" s="1">
        <f>Table11819202310303132353839[[#This Row],[النولون]]+Table11819202310303132353839[[#This Row],[الايصالات]]+Table11819202310303132353839[[#This Row],[قيمة مضافة]]</f>
        <v>0</v>
      </c>
      <c r="K98" s="1">
        <f>K97+Table11819202310303132353839[[#This Row],[اجمالي الفاتوره]]-Table11819202310303132353839[[#This Row],[الدفعات]]</f>
        <v>2221981.4</v>
      </c>
      <c r="M98" s="48"/>
    </row>
    <row r="99" spans="2:13" ht="26.25" customHeight="1" x14ac:dyDescent="0.3">
      <c r="C99" s="2"/>
      <c r="I99" s="1">
        <f>Table11819202310303132353839[[#This Row],[النولون]]+Table11819202310303132353839[[#This Row],[الايصالات]]+Table11819202310303132353839[[#This Row],[قيمة مضافة]]</f>
        <v>0</v>
      </c>
      <c r="K99" s="1">
        <f>K98+Table11819202310303132353839[[#This Row],[اجمالي الفاتوره]]-Table11819202310303132353839[[#This Row],[الدفعات]]</f>
        <v>2221981.4</v>
      </c>
      <c r="M99" s="48"/>
    </row>
    <row r="100" spans="2:13" ht="26.25" customHeight="1" x14ac:dyDescent="0.3">
      <c r="C100" s="2"/>
      <c r="I100" s="1">
        <f>Table11819202310303132353839[[#This Row],[النولون]]+Table11819202310303132353839[[#This Row],[الايصالات]]+Table11819202310303132353839[[#This Row],[قيمة مضافة]]</f>
        <v>0</v>
      </c>
      <c r="K100" s="1">
        <f>K99+Table11819202310303132353839[[#This Row],[اجمالي الفاتوره]]-Table11819202310303132353839[[#This Row],[الدفعات]]</f>
        <v>2221981.4</v>
      </c>
      <c r="M100" s="48"/>
    </row>
    <row r="101" spans="2:13" ht="26.25" customHeight="1" x14ac:dyDescent="0.3">
      <c r="B101" s="48"/>
      <c r="C101" s="54"/>
      <c r="D101" s="48"/>
      <c r="E101" s="48"/>
      <c r="F101" s="48"/>
      <c r="G101" s="48"/>
      <c r="H101" s="48"/>
      <c r="I101" s="1">
        <f>Table11819202310303132353839[[#This Row],[النولون]]+Table11819202310303132353839[[#This Row],[الايصالات]]+Table11819202310303132353839[[#This Row],[قيمة مضافة]]</f>
        <v>0</v>
      </c>
      <c r="J101" s="48"/>
      <c r="K101" s="1">
        <f>K100+Table11819202310303132353839[[#This Row],[اجمالي الفاتوره]]-Table11819202310303132353839[[#This Row],[الدفعات]]</f>
        <v>2221981.4</v>
      </c>
      <c r="L101" s="48"/>
      <c r="M101" s="48"/>
    </row>
    <row r="102" spans="2:13" ht="26.25" customHeight="1" x14ac:dyDescent="0.3">
      <c r="C102" s="2"/>
      <c r="I102" s="1">
        <f>Table11819202310303132353839[[#This Row],[النولون]]+Table11819202310303132353839[[#This Row],[الايصالات]]+Table11819202310303132353839[[#This Row],[قيمة مضافة]]</f>
        <v>0</v>
      </c>
      <c r="K102" s="1">
        <f>K101+Table11819202310303132353839[[#This Row],[اجمالي الفاتوره]]-Table11819202310303132353839[[#This Row],[الدفعات]]</f>
        <v>2221981.4</v>
      </c>
      <c r="M102" s="48"/>
    </row>
    <row r="103" spans="2:13" ht="26.25" customHeight="1" x14ac:dyDescent="0.3">
      <c r="C103" s="2"/>
      <c r="I103" s="1">
        <f>Table11819202310303132353839[[#This Row],[النولون]]+Table11819202310303132353839[[#This Row],[الايصالات]]+Table11819202310303132353839[[#This Row],[قيمة مضافة]]</f>
        <v>0</v>
      </c>
      <c r="K103" s="1">
        <f>K102+Table11819202310303132353839[[#This Row],[اجمالي الفاتوره]]-Table11819202310303132353839[[#This Row],[الدفعات]]</f>
        <v>2221981.4</v>
      </c>
      <c r="M103" s="48"/>
    </row>
    <row r="104" spans="2:13" ht="26.25" customHeight="1" x14ac:dyDescent="0.3">
      <c r="C104" s="2"/>
      <c r="I104" s="1">
        <f>Table11819202310303132353839[[#This Row],[النولون]]+Table11819202310303132353839[[#This Row],[الايصالات]]+Table11819202310303132353839[[#This Row],[قيمة مضافة]]</f>
        <v>0</v>
      </c>
      <c r="K104" s="1">
        <f>K103+Table11819202310303132353839[[#This Row],[اجمالي الفاتوره]]-Table11819202310303132353839[[#This Row],[الدفعات]]</f>
        <v>2221981.4</v>
      </c>
      <c r="M104" s="48"/>
    </row>
    <row r="105" spans="2:13" ht="26.25" customHeight="1" x14ac:dyDescent="0.3">
      <c r="C105" s="2"/>
      <c r="E105" s="30"/>
      <c r="I105" s="1">
        <f>Table11819202310303132353839[[#This Row],[النولون]]+Table11819202310303132353839[[#This Row],[الايصالات]]+Table11819202310303132353839[[#This Row],[قيمة مضافة]]</f>
        <v>0</v>
      </c>
      <c r="K105" s="1">
        <f>K104+Table11819202310303132353839[[#This Row],[اجمالي الفاتوره]]-Table11819202310303132353839[[#This Row],[الدفعات]]</f>
        <v>2221981.4</v>
      </c>
      <c r="M105" s="48"/>
    </row>
    <row r="106" spans="2:13" ht="26.25" customHeight="1" x14ac:dyDescent="0.3">
      <c r="C106" s="2"/>
      <c r="I106" s="1">
        <f>Table11819202310303132353839[[#This Row],[النولون]]+Table11819202310303132353839[[#This Row],[الايصالات]]+Table11819202310303132353839[[#This Row],[قيمة مضافة]]</f>
        <v>0</v>
      </c>
      <c r="K106" s="1">
        <f>K105+Table11819202310303132353839[[#This Row],[اجمالي الفاتوره]]-Table11819202310303132353839[[#This Row],[الدفعات]]</f>
        <v>2221981.4</v>
      </c>
      <c r="M106" s="48"/>
    </row>
    <row r="107" spans="2:13" ht="26.25" customHeight="1" x14ac:dyDescent="0.3">
      <c r="B107" s="48"/>
      <c r="C107" s="54"/>
      <c r="D107" s="48"/>
      <c r="E107" s="48"/>
      <c r="F107" s="48"/>
      <c r="G107" s="48"/>
      <c r="H107" s="48"/>
      <c r="I107" s="1">
        <f>Table11819202310303132353839[[#This Row],[النولون]]+Table11819202310303132353839[[#This Row],[الايصالات]]+Table11819202310303132353839[[#This Row],[قيمة مضافة]]</f>
        <v>0</v>
      </c>
      <c r="J107" s="48"/>
      <c r="K107" s="1">
        <f>K106+Table11819202310303132353839[[#This Row],[اجمالي الفاتوره]]-Table11819202310303132353839[[#This Row],[الدفعات]]</f>
        <v>2221981.4</v>
      </c>
      <c r="L107" s="48"/>
      <c r="M107" s="48"/>
    </row>
    <row r="108" spans="2:13" ht="26.25" customHeight="1" x14ac:dyDescent="0.3">
      <c r="C108" s="2"/>
      <c r="D108" s="47"/>
      <c r="I108" s="1">
        <f>Table11819202310303132353839[[#This Row],[النولون]]+Table11819202310303132353839[[#This Row],[الايصالات]]+Table11819202310303132353839[[#This Row],[قيمة مضافة]]</f>
        <v>0</v>
      </c>
      <c r="K108" s="1">
        <f>K107+Table11819202310303132353839[[#This Row],[اجمالي الفاتوره]]-Table11819202310303132353839[[#This Row],[الدفعات]]</f>
        <v>2221981.4</v>
      </c>
      <c r="L108" s="1">
        <v>1</v>
      </c>
      <c r="M108" s="48"/>
    </row>
    <row r="109" spans="2:13" ht="26.25" customHeight="1" x14ac:dyDescent="0.3">
      <c r="C109" s="2"/>
      <c r="I109" s="1">
        <f>Table11819202310303132353839[[#This Row],[النولون]]+Table11819202310303132353839[[#This Row],[الايصالات]]+Table11819202310303132353839[[#This Row],[قيمة مضافة]]</f>
        <v>0</v>
      </c>
      <c r="K109" s="1">
        <f>K108+Table11819202310303132353839[[#This Row],[اجمالي الفاتوره]]-Table11819202310303132353839[[#This Row],[الدفعات]]</f>
        <v>2221981.4</v>
      </c>
      <c r="L109" s="1">
        <v>1</v>
      </c>
      <c r="M109" s="48"/>
    </row>
    <row r="110" spans="2:13" ht="26.25" customHeight="1" x14ac:dyDescent="0.3">
      <c r="B110" s="48"/>
      <c r="C110" s="54"/>
      <c r="D110" s="48"/>
      <c r="E110" s="48"/>
      <c r="F110" s="48"/>
      <c r="G110" s="48"/>
      <c r="H110" s="48"/>
      <c r="I110" s="1">
        <f>Table11819202310303132353839[[#This Row],[النولون]]+Table11819202310303132353839[[#This Row],[الايصالات]]+Table11819202310303132353839[[#This Row],[قيمة مضافة]]</f>
        <v>0</v>
      </c>
      <c r="J110" s="48"/>
      <c r="K110" s="1">
        <f>K109+Table11819202310303132353839[[#This Row],[اجمالي الفاتوره]]-Table11819202310303132353839[[#This Row],[الدفعات]]</f>
        <v>2221981.4</v>
      </c>
      <c r="L110" s="48"/>
      <c r="M110" s="48"/>
    </row>
    <row r="111" spans="2:13" ht="26.25" customHeight="1" x14ac:dyDescent="0.3">
      <c r="C111" s="2"/>
      <c r="I111" s="1">
        <f>Table11819202310303132353839[[#This Row],[النولون]]+Table11819202310303132353839[[#This Row],[الايصالات]]+Table11819202310303132353839[[#This Row],[قيمة مضافة]]</f>
        <v>0</v>
      </c>
      <c r="K111" s="1">
        <f>K110+Table11819202310303132353839[[#This Row],[اجمالي الفاتوره]]-Table11819202310303132353839[[#This Row],[الدفعات]]</f>
        <v>2221981.4</v>
      </c>
      <c r="L111" s="1">
        <v>1</v>
      </c>
      <c r="M111" s="48"/>
    </row>
    <row r="112" spans="2:13" ht="26.25" customHeight="1" x14ac:dyDescent="0.3">
      <c r="C112" s="2"/>
      <c r="I112" s="1">
        <f>Table11819202310303132353839[[#This Row],[النولون]]+Table11819202310303132353839[[#This Row],[الايصالات]]+Table11819202310303132353839[[#This Row],[قيمة مضافة]]</f>
        <v>0</v>
      </c>
      <c r="K112" s="1">
        <f>K111+Table11819202310303132353839[[#This Row],[اجمالي الفاتوره]]-Table11819202310303132353839[[#This Row],[الدفعات]]</f>
        <v>2221981.4</v>
      </c>
      <c r="L112" s="1">
        <v>1</v>
      </c>
      <c r="M112" s="48"/>
    </row>
    <row r="113" spans="2:13" ht="26.25" customHeight="1" x14ac:dyDescent="0.3">
      <c r="C113" s="2"/>
      <c r="I113" s="1">
        <f>Table11819202310303132353839[[#This Row],[النولون]]+Table11819202310303132353839[[#This Row],[الايصالات]]+Table11819202310303132353839[[#This Row],[قيمة مضافة]]</f>
        <v>0</v>
      </c>
      <c r="K113" s="1">
        <f>K112+Table11819202310303132353839[[#This Row],[اجمالي الفاتوره]]-Table11819202310303132353839[[#This Row],[الدفعات]]</f>
        <v>2221981.4</v>
      </c>
      <c r="L113" s="1">
        <v>1</v>
      </c>
      <c r="M113" s="48"/>
    </row>
    <row r="114" spans="2:13" ht="26.25" customHeight="1" x14ac:dyDescent="0.3">
      <c r="B114" s="48"/>
      <c r="C114" s="54"/>
      <c r="D114" s="48"/>
      <c r="E114" s="48"/>
      <c r="F114" s="48"/>
      <c r="G114" s="48"/>
      <c r="H114" s="48"/>
      <c r="I114" s="1">
        <f>Table11819202310303132353839[[#This Row],[النولون]]+Table11819202310303132353839[[#This Row],[الايصالات]]+Table11819202310303132353839[[#This Row],[قيمة مضافة]]</f>
        <v>0</v>
      </c>
      <c r="J114" s="48"/>
      <c r="K114" s="1">
        <f>K113+Table11819202310303132353839[[#This Row],[اجمالي الفاتوره]]-Table11819202310303132353839[[#This Row],[الدفعات]]</f>
        <v>2221981.4</v>
      </c>
      <c r="L114" s="48"/>
      <c r="M114" s="48"/>
    </row>
    <row r="115" spans="2:13" ht="26.25" customHeight="1" x14ac:dyDescent="0.3">
      <c r="C115" s="2"/>
      <c r="I115" s="1">
        <f>Table11819202310303132353839[[#This Row],[النولون]]+Table11819202310303132353839[[#This Row],[الايصالات]]+Table11819202310303132353839[[#This Row],[قيمة مضافة]]</f>
        <v>0</v>
      </c>
      <c r="K115" s="1">
        <f>K114+Table11819202310303132353839[[#This Row],[اجمالي الفاتوره]]-Table11819202310303132353839[[#This Row],[الدفعات]]</f>
        <v>2221981.4</v>
      </c>
      <c r="M115" s="48"/>
    </row>
    <row r="116" spans="2:13" ht="26.25" customHeight="1" x14ac:dyDescent="0.3">
      <c r="C116" s="2"/>
      <c r="I116" s="1">
        <f>Table11819202310303132353839[[#This Row],[النولون]]+Table11819202310303132353839[[#This Row],[الايصالات]]+Table11819202310303132353839[[#This Row],[قيمة مضافة]]</f>
        <v>0</v>
      </c>
      <c r="K116" s="1">
        <f>K115+Table11819202310303132353839[[#This Row],[اجمالي الفاتوره]]-Table11819202310303132353839[[#This Row],[الدفعات]]</f>
        <v>2221981.4</v>
      </c>
      <c r="M116" s="48"/>
    </row>
    <row r="117" spans="2:13" ht="26.25" customHeight="1" x14ac:dyDescent="0.3">
      <c r="C117" s="2"/>
      <c r="I117" s="1">
        <f>Table11819202310303132353839[[#This Row],[النولون]]+Table11819202310303132353839[[#This Row],[الايصالات]]+Table11819202310303132353839[[#This Row],[قيمة مضافة]]</f>
        <v>0</v>
      </c>
      <c r="K117" s="1">
        <f>K116+Table11819202310303132353839[[#This Row],[اجمالي الفاتوره]]-Table11819202310303132353839[[#This Row],[الدفعات]]</f>
        <v>2221981.4</v>
      </c>
      <c r="M117" s="48"/>
    </row>
    <row r="118" spans="2:13" ht="26.25" customHeight="1" x14ac:dyDescent="0.3">
      <c r="C118" s="2"/>
      <c r="I118" s="1">
        <f>Table11819202310303132353839[[#This Row],[النولون]]+Table11819202310303132353839[[#This Row],[الايصالات]]+Table11819202310303132353839[[#This Row],[قيمة مضافة]]</f>
        <v>0</v>
      </c>
      <c r="K118" s="1">
        <f>K117+Table11819202310303132353839[[#This Row],[اجمالي الفاتوره]]-Table11819202310303132353839[[#This Row],[الدفعات]]</f>
        <v>2221981.4</v>
      </c>
      <c r="M118" s="48"/>
    </row>
    <row r="119" spans="2:13" ht="26.25" customHeight="1" x14ac:dyDescent="0.3">
      <c r="I119" s="1">
        <f>Table11819202310303132353839[[#This Row],[النولون]]+Table11819202310303132353839[[#This Row],[الايصالات]]+Table11819202310303132353839[[#This Row],[قيمة مضافة]]</f>
        <v>0</v>
      </c>
      <c r="K119" s="1">
        <f>K118+Table11819202310303132353839[[#This Row],[اجمالي الفاتوره]]-Table11819202310303132353839[[#This Row],[الدفعات]]</f>
        <v>2221981.4</v>
      </c>
      <c r="M119" s="48"/>
    </row>
    <row r="120" spans="2:13" ht="26.25" customHeight="1" x14ac:dyDescent="0.3">
      <c r="I120" s="1">
        <f>Table11819202310303132353839[[#This Row],[النولون]]+Table11819202310303132353839[[#This Row],[الايصالات]]+Table11819202310303132353839[[#This Row],[قيمة مضافة]]</f>
        <v>0</v>
      </c>
      <c r="K120" s="1">
        <f>K119+Table11819202310303132353839[[#This Row],[اجمالي الفاتوره]]-Table11819202310303132353839[[#This Row],[الدفعات]]</f>
        <v>2221981.4</v>
      </c>
      <c r="M120" s="48"/>
    </row>
    <row r="121" spans="2:13" ht="26.25" customHeight="1" x14ac:dyDescent="0.3">
      <c r="I121" s="1">
        <f>Table11819202310303132353839[[#This Row],[النولون]]+Table11819202310303132353839[[#This Row],[الايصالات]]+Table11819202310303132353839[[#This Row],[قيمة مضافة]]</f>
        <v>0</v>
      </c>
      <c r="K121" s="1">
        <f>K120+Table11819202310303132353839[[#This Row],[اجمالي الفاتوره]]-Table11819202310303132353839[[#This Row],[الدفعات]]</f>
        <v>2221981.4</v>
      </c>
      <c r="M121" s="48"/>
    </row>
    <row r="122" spans="2:13" ht="26.25" customHeight="1" x14ac:dyDescent="0.3">
      <c r="I122" s="1">
        <f>Table11819202310303132353839[[#This Row],[النولون]]+Table11819202310303132353839[[#This Row],[الايصالات]]+Table11819202310303132353839[[#This Row],[قيمة مضافة]]</f>
        <v>0</v>
      </c>
      <c r="K122" s="1">
        <f>K121+Table11819202310303132353839[[#This Row],[اجمالي الفاتوره]]-Table11819202310303132353839[[#This Row],[الدفعات]]</f>
        <v>2221981.4</v>
      </c>
      <c r="M122" s="48"/>
    </row>
    <row r="123" spans="2:13" ht="26.25" customHeight="1" x14ac:dyDescent="0.3">
      <c r="I123" s="1">
        <f>Table11819202310303132353839[[#This Row],[النولون]]+Table11819202310303132353839[[#This Row],[الايصالات]]+Table11819202310303132353839[[#This Row],[قيمة مضافة]]</f>
        <v>0</v>
      </c>
      <c r="K123" s="1">
        <f>K122+Table11819202310303132353839[[#This Row],[اجمالي الفاتوره]]-Table11819202310303132353839[[#This Row],[الدفعات]]</f>
        <v>2221981.4</v>
      </c>
      <c r="M123" s="48"/>
    </row>
    <row r="124" spans="2:13" ht="26.25" customHeight="1" x14ac:dyDescent="0.3">
      <c r="I124" s="1">
        <f>Table11819202310303132353839[[#This Row],[النولون]]+Table11819202310303132353839[[#This Row],[الايصالات]]+Table11819202310303132353839[[#This Row],[قيمة مضافة]]</f>
        <v>0</v>
      </c>
      <c r="K124" s="1">
        <f>K123+Table11819202310303132353839[[#This Row],[اجمالي الفاتوره]]-Table11819202310303132353839[[#This Row],[الدفعات]]</f>
        <v>2221981.4</v>
      </c>
      <c r="M124" s="48"/>
    </row>
    <row r="125" spans="2:13" ht="26.25" customHeight="1" x14ac:dyDescent="0.3">
      <c r="I125" s="1">
        <f>Table11819202310303132353839[[#This Row],[النولون]]+Table11819202310303132353839[[#This Row],[الايصالات]]+Table11819202310303132353839[[#This Row],[قيمة مضافة]]</f>
        <v>0</v>
      </c>
      <c r="K125" s="1">
        <f>K124+Table11819202310303132353839[[#This Row],[اجمالي الفاتوره]]-Table11819202310303132353839[[#This Row],[الدفعات]]</f>
        <v>2221981.4</v>
      </c>
      <c r="M125" s="48"/>
    </row>
    <row r="126" spans="2:13" ht="26.25" customHeight="1" x14ac:dyDescent="0.3">
      <c r="I126" s="1">
        <f>Table11819202310303132353839[[#This Row],[النولون]]+Table11819202310303132353839[[#This Row],[الايصالات]]+Table11819202310303132353839[[#This Row],[قيمة مضافة]]</f>
        <v>0</v>
      </c>
      <c r="K126" s="1">
        <f>K125+Table11819202310303132353839[[#This Row],[اجمالي الفاتوره]]-Table11819202310303132353839[[#This Row],[الدفعات]]</f>
        <v>2221981.4</v>
      </c>
      <c r="M126" s="48"/>
    </row>
    <row r="127" spans="2:13" ht="26.25" customHeight="1" x14ac:dyDescent="0.3">
      <c r="I127" s="1">
        <f>Table11819202310303132353839[[#This Row],[النولون]]+Table11819202310303132353839[[#This Row],[الايصالات]]+Table11819202310303132353839[[#This Row],[قيمة مضافة]]</f>
        <v>0</v>
      </c>
      <c r="K127" s="1">
        <f>K126+Table11819202310303132353839[[#This Row],[اجمالي الفاتوره]]-Table11819202310303132353839[[#This Row],[الدفعات]]</f>
        <v>2221981.4</v>
      </c>
      <c r="M127" s="48"/>
    </row>
    <row r="128" spans="2:13" ht="26.25" customHeight="1" x14ac:dyDescent="0.3">
      <c r="I128" s="1">
        <f>Table11819202310303132353839[[#This Row],[النولون]]+Table11819202310303132353839[[#This Row],[الايصالات]]+Table11819202310303132353839[[#This Row],[قيمة مضافة]]</f>
        <v>0</v>
      </c>
      <c r="K128" s="1">
        <f>K127+Table11819202310303132353839[[#This Row],[اجمالي الفاتوره]]-Table11819202310303132353839[[#This Row],[الدفعات]]</f>
        <v>2221981.4</v>
      </c>
      <c r="M128" s="48"/>
    </row>
    <row r="129" spans="9:13" ht="26.25" customHeight="1" x14ac:dyDescent="0.3">
      <c r="I129" s="1">
        <f>Table11819202310303132353839[[#This Row],[النولون]]+Table11819202310303132353839[[#This Row],[الايصالات]]+Table11819202310303132353839[[#This Row],[قيمة مضافة]]</f>
        <v>0</v>
      </c>
      <c r="K129" s="1">
        <f>K128+Table11819202310303132353839[[#This Row],[اجمالي الفاتوره]]-Table11819202310303132353839[[#This Row],[الدفعات]]</f>
        <v>2221981.4</v>
      </c>
      <c r="M129" s="48"/>
    </row>
    <row r="130" spans="9:13" ht="26.25" customHeight="1" x14ac:dyDescent="0.3">
      <c r="I130" s="1">
        <f>Table11819202310303132353839[[#This Row],[النولون]]+Table11819202310303132353839[[#This Row],[الايصالات]]+Table11819202310303132353839[[#This Row],[قيمة مضافة]]</f>
        <v>0</v>
      </c>
      <c r="K130" s="1">
        <f>K129+Table11819202310303132353839[[#This Row],[اجمالي الفاتوره]]-Table11819202310303132353839[[#This Row],[الدفعات]]</f>
        <v>2221981.4</v>
      </c>
      <c r="M130" s="48"/>
    </row>
    <row r="131" spans="9:13" ht="26.25" customHeight="1" x14ac:dyDescent="0.3">
      <c r="I131" s="1">
        <f>Table11819202310303132353839[[#This Row],[النولون]]+Table11819202310303132353839[[#This Row],[الايصالات]]+Table11819202310303132353839[[#This Row],[قيمة مضافة]]</f>
        <v>0</v>
      </c>
      <c r="K131" s="1">
        <f>K130+Table11819202310303132353839[[#This Row],[اجمالي الفاتوره]]-Table11819202310303132353839[[#This Row],[الدفعات]]</f>
        <v>2221981.4</v>
      </c>
      <c r="M131" s="48"/>
    </row>
    <row r="132" spans="9:13" ht="26.25" customHeight="1" x14ac:dyDescent="0.3">
      <c r="I132" s="1">
        <f>Table11819202310303132353839[[#This Row],[النولون]]+Table11819202310303132353839[[#This Row],[الايصالات]]+Table11819202310303132353839[[#This Row],[قيمة مضافة]]</f>
        <v>0</v>
      </c>
      <c r="K132" s="1">
        <f>K131+Table11819202310303132353839[[#This Row],[اجمالي الفاتوره]]-Table11819202310303132353839[[#This Row],[الدفعات]]</f>
        <v>2221981.4</v>
      </c>
      <c r="M132" s="48"/>
    </row>
    <row r="133" spans="9:13" ht="26.25" customHeight="1" x14ac:dyDescent="0.3">
      <c r="I133" s="1">
        <f>Table11819202310303132353839[[#This Row],[النولون]]+Table11819202310303132353839[[#This Row],[الايصالات]]+Table11819202310303132353839[[#This Row],[قيمة مضافة]]</f>
        <v>0</v>
      </c>
      <c r="K133" s="1">
        <f>K132+Table11819202310303132353839[[#This Row],[اجمالي الفاتوره]]-Table11819202310303132353839[[#This Row],[الدفعات]]</f>
        <v>2221981.4</v>
      </c>
      <c r="M133" s="48"/>
    </row>
    <row r="134" spans="9:13" ht="26.25" customHeight="1" x14ac:dyDescent="0.3">
      <c r="I134" s="1">
        <f>Table11819202310303132353839[[#This Row],[النولون]]+Table11819202310303132353839[[#This Row],[الايصالات]]+Table11819202310303132353839[[#This Row],[قيمة مضافة]]</f>
        <v>0</v>
      </c>
      <c r="K134" s="1">
        <f>K133+Table11819202310303132353839[[#This Row],[اجمالي الفاتوره]]-Table11819202310303132353839[[#This Row],[الدفعات]]</f>
        <v>2221981.4</v>
      </c>
      <c r="M134" s="48"/>
    </row>
    <row r="135" spans="9:13" ht="26.25" customHeight="1" x14ac:dyDescent="0.3">
      <c r="I135" s="1">
        <f>Table11819202310303132353839[[#This Row],[النولون]]+Table11819202310303132353839[[#This Row],[الايصالات]]+Table11819202310303132353839[[#This Row],[قيمة مضافة]]</f>
        <v>0</v>
      </c>
      <c r="K135" s="1">
        <f>K134+Table11819202310303132353839[[#This Row],[اجمالي الفاتوره]]-Table11819202310303132353839[[#This Row],[الدفعات]]</f>
        <v>2221981.4</v>
      </c>
      <c r="M135" s="48"/>
    </row>
    <row r="136" spans="9:13" ht="26.25" customHeight="1" x14ac:dyDescent="0.3">
      <c r="I136" s="1">
        <f>Table11819202310303132353839[[#This Row],[النولون]]+Table11819202310303132353839[[#This Row],[الايصالات]]+Table11819202310303132353839[[#This Row],[قيمة مضافة]]</f>
        <v>0</v>
      </c>
      <c r="K136" s="1">
        <f>K135+Table11819202310303132353839[[#This Row],[اجمالي الفاتوره]]-Table11819202310303132353839[[#This Row],[الدفعات]]</f>
        <v>2221981.4</v>
      </c>
      <c r="M136" s="48"/>
    </row>
    <row r="137" spans="9:13" ht="26.25" customHeight="1" x14ac:dyDescent="0.3">
      <c r="I137" s="1">
        <f>Table11819202310303132353839[[#This Row],[النولون]]+Table11819202310303132353839[[#This Row],[الايصالات]]+Table11819202310303132353839[[#This Row],[قيمة مضافة]]</f>
        <v>0</v>
      </c>
      <c r="K137" s="1">
        <f>K136+Table11819202310303132353839[[#This Row],[اجمالي الفاتوره]]-Table11819202310303132353839[[#This Row],[الدفعات]]</f>
        <v>2221981.4</v>
      </c>
      <c r="M137" s="48"/>
    </row>
    <row r="138" spans="9:13" ht="26.25" customHeight="1" x14ac:dyDescent="0.3">
      <c r="I138" s="1">
        <f>Table11819202310303132353839[[#This Row],[النولون]]+Table11819202310303132353839[[#This Row],[الايصالات]]+Table11819202310303132353839[[#This Row],[قيمة مضافة]]</f>
        <v>0</v>
      </c>
      <c r="K138" s="1">
        <f>K137+Table11819202310303132353839[[#This Row],[اجمالي الفاتوره]]-Table11819202310303132353839[[#This Row],[الدفعات]]</f>
        <v>2221981.4</v>
      </c>
      <c r="M138" s="48"/>
    </row>
    <row r="139" spans="9:13" ht="26.25" customHeight="1" x14ac:dyDescent="0.3">
      <c r="I139" s="1">
        <f>Table11819202310303132353839[[#This Row],[النولون]]+Table11819202310303132353839[[#This Row],[الايصالات]]+Table11819202310303132353839[[#This Row],[قيمة مضافة]]</f>
        <v>0</v>
      </c>
      <c r="K139" s="1">
        <f>K138+Table11819202310303132353839[[#This Row],[اجمالي الفاتوره]]-Table11819202310303132353839[[#This Row],[الدفعات]]</f>
        <v>2221981.4</v>
      </c>
      <c r="M139" s="48"/>
    </row>
    <row r="140" spans="9:13" ht="26.25" customHeight="1" x14ac:dyDescent="0.3">
      <c r="I140" s="1">
        <f>Table11819202310303132353839[[#This Row],[النولون]]+Table11819202310303132353839[[#This Row],[الايصالات]]+Table11819202310303132353839[[#This Row],[قيمة مضافة]]</f>
        <v>0</v>
      </c>
      <c r="K140" s="1">
        <f>K139+Table11819202310303132353839[[#This Row],[اجمالي الفاتوره]]-Table11819202310303132353839[[#This Row],[الدفعات]]</f>
        <v>2221981.4</v>
      </c>
      <c r="M140" s="48"/>
    </row>
    <row r="141" spans="9:13" ht="26.25" customHeight="1" x14ac:dyDescent="0.3">
      <c r="I141" s="1">
        <f>Table11819202310303132353839[[#This Row],[النولون]]+Table11819202310303132353839[[#This Row],[الايصالات]]+Table11819202310303132353839[[#This Row],[قيمة مضافة]]</f>
        <v>0</v>
      </c>
      <c r="K141" s="1">
        <f>K140+Table11819202310303132353839[[#This Row],[اجمالي الفاتوره]]-Table11819202310303132353839[[#This Row],[الدفعات]]</f>
        <v>2221981.4</v>
      </c>
      <c r="M141" s="48"/>
    </row>
    <row r="142" spans="9:13" ht="26.25" customHeight="1" x14ac:dyDescent="0.3">
      <c r="I142" s="1">
        <f>Table11819202310303132353839[[#This Row],[النولون]]+Table11819202310303132353839[[#This Row],[الايصالات]]+Table11819202310303132353839[[#This Row],[قيمة مضافة]]</f>
        <v>0</v>
      </c>
      <c r="K142" s="1">
        <f>K141+Table11819202310303132353839[[#This Row],[اجمالي الفاتوره]]-Table11819202310303132353839[[#This Row],[الدفعات]]</f>
        <v>2221981.4</v>
      </c>
      <c r="M142" s="48"/>
    </row>
    <row r="143" spans="9:13" ht="26.25" customHeight="1" x14ac:dyDescent="0.3">
      <c r="I143" s="1">
        <f>Table11819202310303132353839[[#This Row],[النولون]]+Table11819202310303132353839[[#This Row],[الايصالات]]+Table11819202310303132353839[[#This Row],[قيمة مضافة]]</f>
        <v>0</v>
      </c>
      <c r="K143" s="1">
        <f>K142+Table11819202310303132353839[[#This Row],[اجمالي الفاتوره]]-Table11819202310303132353839[[#This Row],[الدفعات]]</f>
        <v>2221981.4</v>
      </c>
      <c r="M143" s="48"/>
    </row>
    <row r="144" spans="9:13" ht="26.25" customHeight="1" x14ac:dyDescent="0.3">
      <c r="I144" s="1">
        <f>Table11819202310303132353839[[#This Row],[النولون]]+Table11819202310303132353839[[#This Row],[الايصالات]]+Table11819202310303132353839[[#This Row],[قيمة مضافة]]</f>
        <v>0</v>
      </c>
      <c r="K144" s="1">
        <f>K143+Table11819202310303132353839[[#This Row],[اجمالي الفاتوره]]-Table11819202310303132353839[[#This Row],[الدفعات]]</f>
        <v>2221981.4</v>
      </c>
      <c r="M144" s="48"/>
    </row>
    <row r="145" spans="9:13" ht="26.25" customHeight="1" x14ac:dyDescent="0.3">
      <c r="I145" s="1">
        <f>Table11819202310303132353839[[#This Row],[النولون]]+Table11819202310303132353839[[#This Row],[الايصالات]]+Table11819202310303132353839[[#This Row],[قيمة مضافة]]</f>
        <v>0</v>
      </c>
      <c r="K145" s="1">
        <f>K144+Table11819202310303132353839[[#This Row],[اجمالي الفاتوره]]-Table11819202310303132353839[[#This Row],[الدفعات]]</f>
        <v>2221981.4</v>
      </c>
      <c r="M145" s="48"/>
    </row>
    <row r="146" spans="9:13" ht="26.25" customHeight="1" x14ac:dyDescent="0.3">
      <c r="I146" s="1">
        <f>Table11819202310303132353839[[#This Row],[النولون]]+Table11819202310303132353839[[#This Row],[الايصالات]]+Table11819202310303132353839[[#This Row],[قيمة مضافة]]</f>
        <v>0</v>
      </c>
      <c r="K146" s="1">
        <f>K145+Table11819202310303132353839[[#This Row],[اجمالي الفاتوره]]-Table11819202310303132353839[[#This Row],[الدفعات]]</f>
        <v>2221981.4</v>
      </c>
      <c r="M146" s="48"/>
    </row>
    <row r="147" spans="9:13" ht="26.25" customHeight="1" x14ac:dyDescent="0.3">
      <c r="I147" s="1">
        <f>Table11819202310303132353839[[#This Row],[النولون]]+Table11819202310303132353839[[#This Row],[الايصالات]]+Table11819202310303132353839[[#This Row],[قيمة مضافة]]</f>
        <v>0</v>
      </c>
      <c r="K147" s="1">
        <f>K146+Table11819202310303132353839[[#This Row],[اجمالي الفاتوره]]-Table11819202310303132353839[[#This Row],[الدفعات]]</f>
        <v>2221981.4</v>
      </c>
      <c r="M147" s="48"/>
    </row>
    <row r="148" spans="9:13" ht="26.25" customHeight="1" x14ac:dyDescent="0.3">
      <c r="I148" s="1">
        <f>Table11819202310303132353839[[#This Row],[النولون]]+Table11819202310303132353839[[#This Row],[الايصالات]]+Table11819202310303132353839[[#This Row],[قيمة مضافة]]</f>
        <v>0</v>
      </c>
      <c r="K148" s="1">
        <f>K147+Table11819202310303132353839[[#This Row],[اجمالي الفاتوره]]-Table11819202310303132353839[[#This Row],[الدفعات]]</f>
        <v>2221981.4</v>
      </c>
      <c r="M148" s="48"/>
    </row>
    <row r="149" spans="9:13" ht="26.25" customHeight="1" x14ac:dyDescent="0.3">
      <c r="I149" s="1">
        <f>Table11819202310303132353839[[#This Row],[النولون]]+Table11819202310303132353839[[#This Row],[الايصالات]]+Table11819202310303132353839[[#This Row],[قيمة مضافة]]</f>
        <v>0</v>
      </c>
      <c r="K149" s="1">
        <f>K148+Table11819202310303132353839[[#This Row],[اجمالي الفاتوره]]-Table11819202310303132353839[[#This Row],[الدفعات]]</f>
        <v>2221981.4</v>
      </c>
      <c r="M149" s="48"/>
    </row>
    <row r="150" spans="9:13" ht="26.25" customHeight="1" x14ac:dyDescent="0.3">
      <c r="I150" s="1">
        <f>Table11819202310303132353839[[#This Row],[النولون]]+Table11819202310303132353839[[#This Row],[الايصالات]]+Table11819202310303132353839[[#This Row],[قيمة مضافة]]</f>
        <v>0</v>
      </c>
      <c r="K150" s="1">
        <f>K149+Table11819202310303132353839[[#This Row],[اجمالي الفاتوره]]-Table11819202310303132353839[[#This Row],[الدفعات]]</f>
        <v>2221981.4</v>
      </c>
      <c r="M150" s="48"/>
    </row>
    <row r="151" spans="9:13" ht="26.25" customHeight="1" x14ac:dyDescent="0.3">
      <c r="I151" s="1">
        <f>Table11819202310303132353839[[#This Row],[النولون]]+Table11819202310303132353839[[#This Row],[الايصالات]]+Table11819202310303132353839[[#This Row],[قيمة مضافة]]</f>
        <v>0</v>
      </c>
      <c r="K151" s="1">
        <f>K150+Table11819202310303132353839[[#This Row],[اجمالي الفاتوره]]-Table11819202310303132353839[[#This Row],[الدفعات]]</f>
        <v>2221981.4</v>
      </c>
      <c r="M151" s="48"/>
    </row>
    <row r="152" spans="9:13" ht="26.25" customHeight="1" x14ac:dyDescent="0.3">
      <c r="I152" s="1">
        <f>Table11819202310303132353839[[#This Row],[النولون]]+Table11819202310303132353839[[#This Row],[الايصالات]]+Table11819202310303132353839[[#This Row],[قيمة مضافة]]</f>
        <v>0</v>
      </c>
      <c r="K152" s="1">
        <f>K151+Table11819202310303132353839[[#This Row],[اجمالي الفاتوره]]-Table11819202310303132353839[[#This Row],[الدفعات]]</f>
        <v>2221981.4</v>
      </c>
      <c r="M152" s="48"/>
    </row>
    <row r="153" spans="9:13" ht="26.25" customHeight="1" x14ac:dyDescent="0.3">
      <c r="I153" s="1">
        <f>Table11819202310303132353839[[#This Row],[النولون]]+Table11819202310303132353839[[#This Row],[الايصالات]]+Table11819202310303132353839[[#This Row],[قيمة مضافة]]</f>
        <v>0</v>
      </c>
      <c r="K153" s="1">
        <f>K152+Table11819202310303132353839[[#This Row],[اجمالي الفاتوره]]-Table11819202310303132353839[[#This Row],[الدفعات]]</f>
        <v>2221981.4</v>
      </c>
      <c r="M153" s="48"/>
    </row>
    <row r="154" spans="9:13" ht="26.25" customHeight="1" x14ac:dyDescent="0.3">
      <c r="I154" s="1">
        <f>Table11819202310303132353839[[#This Row],[النولون]]+Table11819202310303132353839[[#This Row],[الايصالات]]+Table11819202310303132353839[[#This Row],[قيمة مضافة]]</f>
        <v>0</v>
      </c>
      <c r="K154" s="1">
        <f>K153+Table11819202310303132353839[[#This Row],[اجمالي الفاتوره]]-Table11819202310303132353839[[#This Row],[الدفعات]]</f>
        <v>2221981.4</v>
      </c>
      <c r="M154" s="48"/>
    </row>
    <row r="155" spans="9:13" ht="26.25" customHeight="1" x14ac:dyDescent="0.3">
      <c r="I155" s="1">
        <f>Table11819202310303132353839[[#This Row],[النولون]]+Table11819202310303132353839[[#This Row],[الايصالات]]+Table11819202310303132353839[[#This Row],[قيمة مضافة]]</f>
        <v>0</v>
      </c>
      <c r="K155" s="1">
        <f>K154+Table11819202310303132353839[[#This Row],[اجمالي الفاتوره]]-Table11819202310303132353839[[#This Row],[الدفعات]]</f>
        <v>2221981.4</v>
      </c>
      <c r="M155" s="48"/>
    </row>
    <row r="156" spans="9:13" ht="26.25" customHeight="1" x14ac:dyDescent="0.3">
      <c r="I156" s="1">
        <f>Table11819202310303132353839[[#This Row],[النولون]]+Table11819202310303132353839[[#This Row],[الايصالات]]+Table11819202310303132353839[[#This Row],[قيمة مضافة]]</f>
        <v>0</v>
      </c>
      <c r="K156" s="1">
        <f>K155+Table11819202310303132353839[[#This Row],[اجمالي الفاتوره]]-Table11819202310303132353839[[#This Row],[الدفعات]]</f>
        <v>2221981.4</v>
      </c>
      <c r="M156" s="48"/>
    </row>
    <row r="157" spans="9:13" ht="26.25" customHeight="1" x14ac:dyDescent="0.3">
      <c r="I157" s="1">
        <f>Table11819202310303132353839[[#This Row],[النولون]]+Table11819202310303132353839[[#This Row],[الايصالات]]+Table11819202310303132353839[[#This Row],[قيمة مضافة]]</f>
        <v>0</v>
      </c>
      <c r="K157" s="1">
        <f>K156+Table11819202310303132353839[[#This Row],[اجمالي الفاتوره]]-Table11819202310303132353839[[#This Row],[الدفعات]]</f>
        <v>2221981.4</v>
      </c>
      <c r="M157" s="48"/>
    </row>
    <row r="158" spans="9:13" ht="26.25" customHeight="1" x14ac:dyDescent="0.3">
      <c r="I158" s="1">
        <f>Table11819202310303132353839[[#This Row],[النولون]]+Table11819202310303132353839[[#This Row],[الايصالات]]+Table11819202310303132353839[[#This Row],[قيمة مضافة]]</f>
        <v>0</v>
      </c>
      <c r="K158" s="1">
        <f>K157+Table11819202310303132353839[[#This Row],[اجمالي الفاتوره]]-Table11819202310303132353839[[#This Row],[الدفعات]]</f>
        <v>2221981.4</v>
      </c>
      <c r="M158" s="48"/>
    </row>
    <row r="159" spans="9:13" ht="26.25" customHeight="1" x14ac:dyDescent="0.3">
      <c r="I159" s="1">
        <f>Table11819202310303132353839[[#This Row],[النولون]]+Table11819202310303132353839[[#This Row],[الايصالات]]+Table11819202310303132353839[[#This Row],[قيمة مضافة]]</f>
        <v>0</v>
      </c>
      <c r="K159" s="1">
        <f>K158+Table11819202310303132353839[[#This Row],[اجمالي الفاتوره]]-Table11819202310303132353839[[#This Row],[الدفعات]]</f>
        <v>2221981.4</v>
      </c>
      <c r="M159" s="48"/>
    </row>
    <row r="160" spans="9:13" ht="26.25" customHeight="1" x14ac:dyDescent="0.3">
      <c r="I160" s="1">
        <f>Table11819202310303132353839[[#This Row],[النولون]]+Table11819202310303132353839[[#This Row],[الايصالات]]+Table11819202310303132353839[[#This Row],[قيمة مضافة]]</f>
        <v>0</v>
      </c>
      <c r="K160" s="1">
        <f>K159+Table11819202310303132353839[[#This Row],[اجمالي الفاتوره]]-Table11819202310303132353839[[#This Row],[الدفعات]]</f>
        <v>2221981.4</v>
      </c>
      <c r="M160" s="48"/>
    </row>
    <row r="161" spans="9:13" ht="26.25" customHeight="1" x14ac:dyDescent="0.3">
      <c r="I161" s="1">
        <f>Table11819202310303132353839[[#This Row],[النولون]]+Table11819202310303132353839[[#This Row],[الايصالات]]+Table11819202310303132353839[[#This Row],[قيمة مضافة]]</f>
        <v>0</v>
      </c>
      <c r="K161" s="1">
        <f>K160+Table11819202310303132353839[[#This Row],[اجمالي الفاتوره]]-Table11819202310303132353839[[#This Row],[الدفعات]]</f>
        <v>2221981.4</v>
      </c>
      <c r="M161" s="48"/>
    </row>
    <row r="162" spans="9:13" ht="26.25" customHeight="1" x14ac:dyDescent="0.3">
      <c r="I162" s="1">
        <f>Table11819202310303132353839[[#This Row],[النولون]]+Table11819202310303132353839[[#This Row],[الايصالات]]+Table11819202310303132353839[[#This Row],[قيمة مضافة]]</f>
        <v>0</v>
      </c>
      <c r="K162" s="1">
        <f>K161+Table11819202310303132353839[[#This Row],[اجمالي الفاتوره]]-Table11819202310303132353839[[#This Row],[الدفعات]]</f>
        <v>2221981.4</v>
      </c>
      <c r="M162" s="48"/>
    </row>
    <row r="163" spans="9:13" ht="26.25" customHeight="1" x14ac:dyDescent="0.3">
      <c r="I163" s="1">
        <f>Table11819202310303132353839[[#This Row],[النولون]]+Table11819202310303132353839[[#This Row],[الايصالات]]+Table11819202310303132353839[[#This Row],[قيمة مضافة]]</f>
        <v>0</v>
      </c>
      <c r="K163" s="1">
        <f>K162+Table11819202310303132353839[[#This Row],[اجمالي الفاتوره]]-Table11819202310303132353839[[#This Row],[الدفعات]]</f>
        <v>2221981.4</v>
      </c>
      <c r="M163" s="48"/>
    </row>
    <row r="164" spans="9:13" ht="26.25" customHeight="1" x14ac:dyDescent="0.3">
      <c r="I164" s="1">
        <f>Table11819202310303132353839[[#This Row],[النولون]]+Table11819202310303132353839[[#This Row],[الايصالات]]+Table11819202310303132353839[[#This Row],[قيمة مضافة]]</f>
        <v>0</v>
      </c>
      <c r="K164" s="1">
        <f>K163+Table11819202310303132353839[[#This Row],[اجمالي الفاتوره]]-Table11819202310303132353839[[#This Row],[الدفعات]]</f>
        <v>2221981.4</v>
      </c>
      <c r="M164" s="48"/>
    </row>
    <row r="165" spans="9:13" ht="26.25" customHeight="1" x14ac:dyDescent="0.3">
      <c r="I165" s="1">
        <f>Table11819202310303132353839[[#This Row],[النولون]]+Table11819202310303132353839[[#This Row],[الايصالات]]+Table11819202310303132353839[[#This Row],[قيمة مضافة]]</f>
        <v>0</v>
      </c>
      <c r="K165" s="1">
        <f>K164+Table11819202310303132353839[[#This Row],[اجمالي الفاتوره]]-Table11819202310303132353839[[#This Row],[الدفعات]]</f>
        <v>2221981.4</v>
      </c>
      <c r="M165" s="48"/>
    </row>
    <row r="166" spans="9:13" ht="26.25" customHeight="1" x14ac:dyDescent="0.3">
      <c r="I166" s="1">
        <f>Table11819202310303132353839[[#This Row],[النولون]]+Table11819202310303132353839[[#This Row],[الايصالات]]+Table11819202310303132353839[[#This Row],[قيمة مضافة]]</f>
        <v>0</v>
      </c>
      <c r="K166" s="1">
        <f>K165+Table11819202310303132353839[[#This Row],[اجمالي الفاتوره]]-Table11819202310303132353839[[#This Row],[الدفعات]]</f>
        <v>2221981.4</v>
      </c>
      <c r="M166" s="48"/>
    </row>
    <row r="167" spans="9:13" ht="26.25" customHeight="1" x14ac:dyDescent="0.3">
      <c r="I167" s="1">
        <f>Table11819202310303132353839[[#This Row],[النولون]]+Table11819202310303132353839[[#This Row],[الايصالات]]+Table11819202310303132353839[[#This Row],[قيمة مضافة]]</f>
        <v>0</v>
      </c>
      <c r="K167" s="1">
        <f>K166+Table11819202310303132353839[[#This Row],[اجمالي الفاتوره]]-Table11819202310303132353839[[#This Row],[الدفعات]]</f>
        <v>2221981.4</v>
      </c>
      <c r="M167" s="48"/>
    </row>
    <row r="168" spans="9:13" ht="26.25" customHeight="1" x14ac:dyDescent="0.3">
      <c r="I168" s="1">
        <f>Table11819202310303132353839[[#This Row],[النولون]]+Table11819202310303132353839[[#This Row],[الايصالات]]+Table11819202310303132353839[[#This Row],[قيمة مضافة]]</f>
        <v>0</v>
      </c>
      <c r="K168" s="1">
        <f>K167+Table11819202310303132353839[[#This Row],[اجمالي الفاتوره]]-Table11819202310303132353839[[#This Row],[الدفعات]]</f>
        <v>2221981.4</v>
      </c>
      <c r="M168" s="48"/>
    </row>
    <row r="169" spans="9:13" ht="26.25" customHeight="1" x14ac:dyDescent="0.3">
      <c r="I169" s="1">
        <f>Table11819202310303132353839[[#This Row],[النولون]]+Table11819202310303132353839[[#This Row],[الايصالات]]+Table11819202310303132353839[[#This Row],[قيمة مضافة]]</f>
        <v>0</v>
      </c>
      <c r="K169" s="1">
        <f>K168+Table11819202310303132353839[[#This Row],[اجمالي الفاتوره]]-Table11819202310303132353839[[#This Row],[الدفعات]]</f>
        <v>2221981.4</v>
      </c>
      <c r="M169" s="48"/>
    </row>
    <row r="170" spans="9:13" ht="26.25" customHeight="1" x14ac:dyDescent="0.3">
      <c r="I170" s="1">
        <f>Table11819202310303132353839[[#This Row],[النولون]]+Table11819202310303132353839[[#This Row],[الايصالات]]+Table11819202310303132353839[[#This Row],[قيمة مضافة]]</f>
        <v>0</v>
      </c>
      <c r="K170" s="1">
        <f>K169+Table11819202310303132353839[[#This Row],[اجمالي الفاتوره]]-Table11819202310303132353839[[#This Row],[الدفعات]]</f>
        <v>2221981.4</v>
      </c>
      <c r="M170" s="48"/>
    </row>
    <row r="171" spans="9:13" ht="26.25" customHeight="1" x14ac:dyDescent="0.3">
      <c r="I171" s="1">
        <f>Table11819202310303132353839[[#This Row],[النولون]]+Table11819202310303132353839[[#This Row],[الايصالات]]+Table11819202310303132353839[[#This Row],[قيمة مضافة]]</f>
        <v>0</v>
      </c>
      <c r="K171" s="1">
        <f>K170+Table11819202310303132353839[[#This Row],[اجمالي الفاتوره]]-Table11819202310303132353839[[#This Row],[الدفعات]]</f>
        <v>2221981.4</v>
      </c>
      <c r="M171" s="48"/>
    </row>
    <row r="172" spans="9:13" ht="26.25" customHeight="1" x14ac:dyDescent="0.3">
      <c r="I172" s="1">
        <f>Table11819202310303132353839[[#This Row],[النولون]]+Table11819202310303132353839[[#This Row],[الايصالات]]+Table11819202310303132353839[[#This Row],[قيمة مضافة]]</f>
        <v>0</v>
      </c>
      <c r="K172" s="1">
        <f>K171+Table11819202310303132353839[[#This Row],[اجمالي الفاتوره]]-Table11819202310303132353839[[#This Row],[الدفعات]]</f>
        <v>2221981.4</v>
      </c>
      <c r="M172" s="48"/>
    </row>
    <row r="173" spans="9:13" ht="26.25" customHeight="1" x14ac:dyDescent="0.3">
      <c r="I173" s="1">
        <f>Table11819202310303132353839[[#This Row],[النولون]]+Table11819202310303132353839[[#This Row],[الايصالات]]+Table11819202310303132353839[[#This Row],[قيمة مضافة]]</f>
        <v>0</v>
      </c>
      <c r="K173" s="1">
        <f>K172+Table11819202310303132353839[[#This Row],[اجمالي الفاتوره]]-Table11819202310303132353839[[#This Row],[الدفعات]]</f>
        <v>2221981.4</v>
      </c>
      <c r="M173" s="48"/>
    </row>
    <row r="174" spans="9:13" ht="26.25" customHeight="1" x14ac:dyDescent="0.3">
      <c r="I174" s="1">
        <f>Table11819202310303132353839[[#This Row],[النولون]]+Table11819202310303132353839[[#This Row],[الايصالات]]+Table11819202310303132353839[[#This Row],[قيمة مضافة]]</f>
        <v>0</v>
      </c>
      <c r="K174" s="1">
        <f>K173+Table11819202310303132353839[[#This Row],[اجمالي الفاتوره]]-Table11819202310303132353839[[#This Row],[الدفعات]]</f>
        <v>2221981.4</v>
      </c>
      <c r="M174" s="48"/>
    </row>
    <row r="175" spans="9:13" ht="26.25" customHeight="1" x14ac:dyDescent="0.3">
      <c r="I175" s="1">
        <f>Table11819202310303132353839[[#This Row],[النولون]]+Table11819202310303132353839[[#This Row],[الايصالات]]+Table11819202310303132353839[[#This Row],[قيمة مضافة]]</f>
        <v>0</v>
      </c>
      <c r="K175" s="1">
        <f>K174+Table11819202310303132353839[[#This Row],[اجمالي الفاتوره]]-Table11819202310303132353839[[#This Row],[الدفعات]]</f>
        <v>2221981.4</v>
      </c>
      <c r="M175" s="48"/>
    </row>
    <row r="176" spans="9:13" ht="26.25" customHeight="1" x14ac:dyDescent="0.3">
      <c r="I176" s="1">
        <f>Table11819202310303132353839[[#This Row],[النولون]]+Table11819202310303132353839[[#This Row],[الايصالات]]+Table11819202310303132353839[[#This Row],[قيمة مضافة]]</f>
        <v>0</v>
      </c>
      <c r="K176" s="1">
        <f>K175+Table11819202310303132353839[[#This Row],[اجمالي الفاتوره]]-Table11819202310303132353839[[#This Row],[الدفعات]]</f>
        <v>2221981.4</v>
      </c>
      <c r="M176" s="48"/>
    </row>
    <row r="177" spans="9:13" ht="26.25" customHeight="1" x14ac:dyDescent="0.3">
      <c r="I177" s="1">
        <f>Table11819202310303132353839[[#This Row],[النولون]]+Table11819202310303132353839[[#This Row],[الايصالات]]+Table11819202310303132353839[[#This Row],[قيمة مضافة]]</f>
        <v>0</v>
      </c>
      <c r="K177" s="1">
        <f>K176+Table11819202310303132353839[[#This Row],[اجمالي الفاتوره]]-Table11819202310303132353839[[#This Row],[الدفعات]]</f>
        <v>2221981.4</v>
      </c>
      <c r="M177" s="48"/>
    </row>
    <row r="178" spans="9:13" ht="26.25" customHeight="1" x14ac:dyDescent="0.3">
      <c r="I178" s="1">
        <f>Table11819202310303132353839[[#This Row],[النولون]]+Table11819202310303132353839[[#This Row],[الايصالات]]+Table11819202310303132353839[[#This Row],[قيمة مضافة]]</f>
        <v>0</v>
      </c>
      <c r="K178" s="1">
        <f>K177+Table11819202310303132353839[[#This Row],[اجمالي الفاتوره]]-Table11819202310303132353839[[#This Row],[الدفعات]]</f>
        <v>2221981.4</v>
      </c>
      <c r="M178" s="48"/>
    </row>
    <row r="179" spans="9:13" ht="26.25" customHeight="1" x14ac:dyDescent="0.3">
      <c r="I179" s="1">
        <f>Table11819202310303132353839[[#This Row],[النولون]]+Table11819202310303132353839[[#This Row],[الايصالات]]+Table11819202310303132353839[[#This Row],[قيمة مضافة]]</f>
        <v>0</v>
      </c>
      <c r="K179" s="1">
        <f>K178+Table11819202310303132353839[[#This Row],[اجمالي الفاتوره]]-Table11819202310303132353839[[#This Row],[الدفعات]]</f>
        <v>2221981.4</v>
      </c>
      <c r="M179" s="48"/>
    </row>
    <row r="180" spans="9:13" ht="26.25" customHeight="1" x14ac:dyDescent="0.3">
      <c r="I180" s="1">
        <f>Table11819202310303132353839[[#This Row],[النولون]]+Table11819202310303132353839[[#This Row],[الايصالات]]+Table11819202310303132353839[[#This Row],[قيمة مضافة]]</f>
        <v>0</v>
      </c>
      <c r="K180" s="1">
        <f>K179+Table11819202310303132353839[[#This Row],[اجمالي الفاتوره]]-Table11819202310303132353839[[#This Row],[الدفعات]]</f>
        <v>2221981.4</v>
      </c>
      <c r="M180" s="48"/>
    </row>
    <row r="181" spans="9:13" ht="26.25" customHeight="1" x14ac:dyDescent="0.3">
      <c r="I181" s="1">
        <f>Table11819202310303132353839[[#This Row],[النولون]]+Table11819202310303132353839[[#This Row],[الايصالات]]+Table11819202310303132353839[[#This Row],[قيمة مضافة]]</f>
        <v>0</v>
      </c>
      <c r="K181" s="1">
        <f>K180+Table11819202310303132353839[[#This Row],[اجمالي الفاتوره]]-Table11819202310303132353839[[#This Row],[الدفعات]]</f>
        <v>2221981.4</v>
      </c>
      <c r="M181" s="48"/>
    </row>
    <row r="182" spans="9:13" ht="26.25" customHeight="1" x14ac:dyDescent="0.3">
      <c r="I182" s="1">
        <f>Table11819202310303132353839[[#This Row],[النولون]]+Table11819202310303132353839[[#This Row],[الايصالات]]+Table11819202310303132353839[[#This Row],[قيمة مضافة]]</f>
        <v>0</v>
      </c>
      <c r="K182" s="1">
        <f>K181+Table11819202310303132353839[[#This Row],[اجمالي الفاتوره]]-Table11819202310303132353839[[#This Row],[الدفعات]]</f>
        <v>2221981.4</v>
      </c>
      <c r="M182" s="48"/>
    </row>
    <row r="183" spans="9:13" ht="26.25" customHeight="1" x14ac:dyDescent="0.3">
      <c r="I183" s="1">
        <f>Table11819202310303132353839[[#This Row],[النولون]]+Table11819202310303132353839[[#This Row],[الايصالات]]+Table11819202310303132353839[[#This Row],[قيمة مضافة]]</f>
        <v>0</v>
      </c>
      <c r="K183" s="1">
        <f>K182+Table11819202310303132353839[[#This Row],[اجمالي الفاتوره]]-Table11819202310303132353839[[#This Row],[الدفعات]]</f>
        <v>2221981.4</v>
      </c>
      <c r="M183" s="48"/>
    </row>
    <row r="184" spans="9:13" ht="26.25" customHeight="1" x14ac:dyDescent="0.3">
      <c r="I184" s="1">
        <f>Table11819202310303132353839[[#This Row],[النولون]]+Table11819202310303132353839[[#This Row],[الايصالات]]+Table11819202310303132353839[[#This Row],[قيمة مضافة]]</f>
        <v>0</v>
      </c>
      <c r="K184" s="1">
        <f>K183+Table11819202310303132353839[[#This Row],[اجمالي الفاتوره]]-Table11819202310303132353839[[#This Row],[الدفعات]]</f>
        <v>2221981.4</v>
      </c>
      <c r="M184" s="48"/>
    </row>
    <row r="185" spans="9:13" ht="26.25" customHeight="1" x14ac:dyDescent="0.3">
      <c r="I185" s="1">
        <f>Table11819202310303132353839[[#This Row],[النولون]]+Table11819202310303132353839[[#This Row],[الايصالات]]+Table11819202310303132353839[[#This Row],[قيمة مضافة]]</f>
        <v>0</v>
      </c>
      <c r="K185" s="1">
        <f>K184+Table11819202310303132353839[[#This Row],[اجمالي الفاتوره]]-Table11819202310303132353839[[#This Row],[الدفعات]]</f>
        <v>2221981.4</v>
      </c>
      <c r="M185" s="48"/>
    </row>
    <row r="186" spans="9:13" ht="26.25" customHeight="1" x14ac:dyDescent="0.3">
      <c r="I186" s="1">
        <f>Table11819202310303132353839[[#This Row],[النولون]]+Table11819202310303132353839[[#This Row],[الايصالات]]+Table11819202310303132353839[[#This Row],[قيمة مضافة]]</f>
        <v>0</v>
      </c>
      <c r="K186" s="1">
        <f>K185+Table11819202310303132353839[[#This Row],[اجمالي الفاتوره]]-Table11819202310303132353839[[#This Row],[الدفعات]]</f>
        <v>2221981.4</v>
      </c>
      <c r="M186" s="48"/>
    </row>
    <row r="187" spans="9:13" ht="26.25" customHeight="1" x14ac:dyDescent="0.3">
      <c r="I187" s="1">
        <f>Table11819202310303132353839[[#This Row],[النولون]]+Table11819202310303132353839[[#This Row],[الايصالات]]+Table11819202310303132353839[[#This Row],[قيمة مضافة]]</f>
        <v>0</v>
      </c>
      <c r="K187" s="1">
        <f>K186+Table11819202310303132353839[[#This Row],[اجمالي الفاتوره]]-Table11819202310303132353839[[#This Row],[الدفعات]]</f>
        <v>2221981.4</v>
      </c>
      <c r="M187" s="48"/>
    </row>
    <row r="188" spans="9:13" ht="26.25" customHeight="1" x14ac:dyDescent="0.3">
      <c r="I188" s="1">
        <f>Table11819202310303132353839[[#This Row],[النولون]]+Table11819202310303132353839[[#This Row],[الايصالات]]+Table11819202310303132353839[[#This Row],[قيمة مضافة]]</f>
        <v>0</v>
      </c>
      <c r="K188" s="1">
        <f>K187+Table11819202310303132353839[[#This Row],[اجمالي الفاتوره]]-Table11819202310303132353839[[#This Row],[الدفعات]]</f>
        <v>2221981.4</v>
      </c>
      <c r="M188" s="48"/>
    </row>
    <row r="189" spans="9:13" ht="26.25" customHeight="1" x14ac:dyDescent="0.3">
      <c r="I189" s="1">
        <f>Table11819202310303132353839[[#This Row],[النولون]]+Table11819202310303132353839[[#This Row],[الايصالات]]+Table11819202310303132353839[[#This Row],[قيمة مضافة]]</f>
        <v>0</v>
      </c>
      <c r="K189" s="1">
        <f>K188+Table11819202310303132353839[[#This Row],[اجمالي الفاتوره]]-Table11819202310303132353839[[#This Row],[الدفعات]]</f>
        <v>2221981.4</v>
      </c>
      <c r="M189" s="48"/>
    </row>
    <row r="190" spans="9:13" ht="26.25" customHeight="1" x14ac:dyDescent="0.3">
      <c r="I190" s="1">
        <f>Table11819202310303132353839[[#This Row],[النولون]]+Table11819202310303132353839[[#This Row],[الايصالات]]+Table11819202310303132353839[[#This Row],[قيمة مضافة]]</f>
        <v>0</v>
      </c>
      <c r="K190" s="1">
        <f>K189+Table11819202310303132353839[[#This Row],[اجمالي الفاتوره]]-Table11819202310303132353839[[#This Row],[الدفعات]]</f>
        <v>2221981.4</v>
      </c>
      <c r="M190" s="48"/>
    </row>
    <row r="191" spans="9:13" ht="26.25" customHeight="1" x14ac:dyDescent="0.3">
      <c r="I191" s="1">
        <f>Table11819202310303132353839[[#This Row],[النولون]]+Table11819202310303132353839[[#This Row],[الايصالات]]+Table11819202310303132353839[[#This Row],[قيمة مضافة]]</f>
        <v>0</v>
      </c>
      <c r="K191" s="1">
        <f>K190+Table11819202310303132353839[[#This Row],[اجمالي الفاتوره]]-Table11819202310303132353839[[#This Row],[الدفعات]]</f>
        <v>2221981.4</v>
      </c>
      <c r="M191" s="48"/>
    </row>
    <row r="192" spans="9:13" ht="26.25" customHeight="1" x14ac:dyDescent="0.3">
      <c r="I192" s="1">
        <f>Table11819202310303132353839[[#This Row],[النولون]]+Table11819202310303132353839[[#This Row],[الايصالات]]+Table11819202310303132353839[[#This Row],[قيمة مضافة]]</f>
        <v>0</v>
      </c>
      <c r="K192" s="1">
        <f>K191+Table11819202310303132353839[[#This Row],[اجمالي الفاتوره]]-Table11819202310303132353839[[#This Row],[الدفعات]]</f>
        <v>2221981.4</v>
      </c>
      <c r="M192" s="48"/>
    </row>
    <row r="193" spans="9:13" ht="26.25" customHeight="1" x14ac:dyDescent="0.3">
      <c r="I193" s="1">
        <f>Table11819202310303132353839[[#This Row],[النولون]]+Table11819202310303132353839[[#This Row],[الايصالات]]+Table11819202310303132353839[[#This Row],[قيمة مضافة]]</f>
        <v>0</v>
      </c>
      <c r="K193" s="1">
        <f>K192+Table11819202310303132353839[[#This Row],[اجمالي الفاتوره]]-Table11819202310303132353839[[#This Row],[الدفعات]]</f>
        <v>2221981.4</v>
      </c>
      <c r="M193" s="48"/>
    </row>
    <row r="194" spans="9:13" ht="26.25" customHeight="1" x14ac:dyDescent="0.3">
      <c r="I194" s="1">
        <f>Table11819202310303132353839[[#This Row],[النولون]]+Table11819202310303132353839[[#This Row],[الايصالات]]+Table11819202310303132353839[[#This Row],[قيمة مضافة]]</f>
        <v>0</v>
      </c>
      <c r="K194" s="1">
        <f>K193+Table11819202310303132353839[[#This Row],[اجمالي الفاتوره]]-Table11819202310303132353839[[#This Row],[الدفعات]]</f>
        <v>2221981.4</v>
      </c>
      <c r="M194" s="48"/>
    </row>
    <row r="195" spans="9:13" ht="26.25" customHeight="1" x14ac:dyDescent="0.3">
      <c r="I195" s="1">
        <f>Table11819202310303132353839[[#This Row],[النولون]]+Table11819202310303132353839[[#This Row],[الايصالات]]+Table11819202310303132353839[[#This Row],[قيمة مضافة]]</f>
        <v>0</v>
      </c>
      <c r="K195" s="1">
        <f>K194+Table11819202310303132353839[[#This Row],[اجمالي الفاتوره]]-Table11819202310303132353839[[#This Row],[الدفعات]]</f>
        <v>2221981.4</v>
      </c>
      <c r="M195" s="48"/>
    </row>
    <row r="196" spans="9:13" ht="26.25" customHeight="1" x14ac:dyDescent="0.3">
      <c r="I196" s="1">
        <f>Table11819202310303132353839[[#This Row],[النولون]]+Table11819202310303132353839[[#This Row],[الايصالات]]+Table11819202310303132353839[[#This Row],[قيمة مضافة]]</f>
        <v>0</v>
      </c>
      <c r="K196" s="1">
        <f>K195+Table11819202310303132353839[[#This Row],[اجمالي الفاتوره]]-Table11819202310303132353839[[#This Row],[الدفعات]]</f>
        <v>2221981.4</v>
      </c>
      <c r="M196" s="48"/>
    </row>
    <row r="197" spans="9:13" ht="26.25" customHeight="1" x14ac:dyDescent="0.3">
      <c r="I197" s="1">
        <f>Table11819202310303132353839[[#This Row],[النولون]]+Table11819202310303132353839[[#This Row],[الايصالات]]+Table11819202310303132353839[[#This Row],[قيمة مضافة]]</f>
        <v>0</v>
      </c>
      <c r="K197" s="1">
        <f>K196+Table11819202310303132353839[[#This Row],[اجمالي الفاتوره]]-Table11819202310303132353839[[#This Row],[الدفعات]]</f>
        <v>2221981.4</v>
      </c>
      <c r="M197" s="48"/>
    </row>
    <row r="198" spans="9:13" ht="26.25" customHeight="1" x14ac:dyDescent="0.3">
      <c r="I198" s="1">
        <f>Table11819202310303132353839[[#This Row],[النولون]]+Table11819202310303132353839[[#This Row],[الايصالات]]+Table11819202310303132353839[[#This Row],[قيمة مضافة]]</f>
        <v>0</v>
      </c>
      <c r="K198" s="1">
        <f>K197+Table11819202310303132353839[[#This Row],[اجمالي الفاتوره]]-Table11819202310303132353839[[#This Row],[الدفعات]]</f>
        <v>2221981.4</v>
      </c>
      <c r="M198" s="48"/>
    </row>
    <row r="199" spans="9:13" ht="26.25" customHeight="1" x14ac:dyDescent="0.3">
      <c r="I199" s="1">
        <f>Table11819202310303132353839[[#This Row],[النولون]]+Table11819202310303132353839[[#This Row],[الايصالات]]+Table11819202310303132353839[[#This Row],[قيمة مضافة]]</f>
        <v>0</v>
      </c>
      <c r="K199" s="1">
        <f>K198+Table11819202310303132353839[[#This Row],[اجمالي الفاتوره]]-Table11819202310303132353839[[#This Row],[الدفعات]]</f>
        <v>2221981.4</v>
      </c>
      <c r="M199" s="48"/>
    </row>
    <row r="200" spans="9:13" ht="26.25" customHeight="1" x14ac:dyDescent="0.3">
      <c r="I200" s="1">
        <f>Table11819202310303132353839[[#This Row],[النولون]]+Table11819202310303132353839[[#This Row],[الايصالات]]-+Table11819202310303132353839[[#This Row],[قيمة مضافة]]</f>
        <v>0</v>
      </c>
      <c r="K200" s="1">
        <f>K199+Table11819202310303132353839[[#This Row],[اجمالي الفاتوره]]-Table11819202310303132353839[[#This Row],[الدفعات]]</f>
        <v>2221981.4</v>
      </c>
      <c r="M200" s="48"/>
    </row>
    <row r="201" spans="9:13" ht="26.25" customHeight="1" x14ac:dyDescent="0.3">
      <c r="I201" s="1">
        <f>Table11819202310303132353839[[#This Row],[النولون]]+Table11819202310303132353839[[#This Row],[الايصالات]]-+Table11819202310303132353839[[#This Row],[قيمة مضافة]]</f>
        <v>0</v>
      </c>
      <c r="K201" s="1">
        <f>K200+Table11819202310303132353839[[#This Row],[اجمالي الفاتوره]]-Table11819202310303132353839[[#This Row],[الدفعات]]</f>
        <v>2221981.4</v>
      </c>
      <c r="M201" s="48"/>
    </row>
    <row r="202" spans="9:13" ht="26.25" customHeight="1" x14ac:dyDescent="0.3">
      <c r="I202" s="1">
        <f>Table11819202310303132353839[[#This Row],[النولون]]+Table11819202310303132353839[[#This Row],[الايصالات]]-+Table11819202310303132353839[[#This Row],[قيمة مضافة]]</f>
        <v>0</v>
      </c>
      <c r="K202" s="1">
        <f>K201+Table11819202310303132353839[[#This Row],[اجمالي الفاتوره]]-Table11819202310303132353839[[#This Row],[الدفعات]]</f>
        <v>2221981.4</v>
      </c>
      <c r="M202" s="48"/>
    </row>
    <row r="203" spans="9:13" ht="26.25" customHeight="1" x14ac:dyDescent="0.3">
      <c r="I203" s="1">
        <f>Table11819202310303132353839[[#This Row],[النولون]]+Table11819202310303132353839[[#This Row],[الايصالات]]-+Table11819202310303132353839[[#This Row],[قيمة مضافة]]</f>
        <v>0</v>
      </c>
      <c r="K203" s="1">
        <f>K202+Table11819202310303132353839[[#This Row],[اجمالي الفاتوره]]-Table11819202310303132353839[[#This Row],[الدفعات]]</f>
        <v>2221981.4</v>
      </c>
      <c r="M203" s="48"/>
    </row>
    <row r="204" spans="9:13" ht="26.25" customHeight="1" x14ac:dyDescent="0.3">
      <c r="I204" s="1">
        <f>Table11819202310303132353839[[#This Row],[النولون]]+Table11819202310303132353839[[#This Row],[الايصالات]]-+Table11819202310303132353839[[#This Row],[قيمة مضافة]]</f>
        <v>0</v>
      </c>
      <c r="K204" s="1">
        <f>K203+Table11819202310303132353839[[#This Row],[اجمالي الفاتوره]]-Table11819202310303132353839[[#This Row],[الدفعات]]</f>
        <v>2221981.4</v>
      </c>
      <c r="M204" s="48"/>
    </row>
    <row r="205" spans="9:13" ht="26.25" customHeight="1" x14ac:dyDescent="0.3">
      <c r="I205" s="1">
        <f>Table11819202310303132353839[[#This Row],[النولون]]+Table11819202310303132353839[[#This Row],[الايصالات]]-+Table11819202310303132353839[[#This Row],[قيمة مضافة]]</f>
        <v>0</v>
      </c>
      <c r="K205" s="1">
        <f>K204+Table11819202310303132353839[[#This Row],[اجمالي الفاتوره]]-Table11819202310303132353839[[#This Row],[الدفعات]]</f>
        <v>2221981.4</v>
      </c>
      <c r="M205" s="48"/>
    </row>
    <row r="206" spans="9:13" ht="26.25" customHeight="1" x14ac:dyDescent="0.3">
      <c r="I206" s="1">
        <f>Table11819202310303132353839[[#This Row],[النولون]]+Table11819202310303132353839[[#This Row],[الايصالات]]-+Table11819202310303132353839[[#This Row],[قيمة مضافة]]</f>
        <v>0</v>
      </c>
      <c r="K206" s="1">
        <f>K205+Table11819202310303132353839[[#This Row],[اجمالي الفاتوره]]-Table11819202310303132353839[[#This Row],[الدفعات]]</f>
        <v>2221981.4</v>
      </c>
      <c r="M206" s="48"/>
    </row>
    <row r="207" spans="9:13" ht="26.25" customHeight="1" x14ac:dyDescent="0.3">
      <c r="I207" s="1">
        <f>Table11819202310303132353839[[#This Row],[النولون]]+Table11819202310303132353839[[#This Row],[الايصالات]]-+Table11819202310303132353839[[#This Row],[قيمة مضافة]]</f>
        <v>0</v>
      </c>
      <c r="K207" s="1">
        <f>K206+Table11819202310303132353839[[#This Row],[اجمالي الفاتوره]]-Table11819202310303132353839[[#This Row],[الدفعات]]</f>
        <v>2221981.4</v>
      </c>
      <c r="M207" s="48"/>
    </row>
    <row r="208" spans="9:13" ht="26.25" customHeight="1" x14ac:dyDescent="0.3">
      <c r="I208" s="1">
        <f>Table11819202310303132353839[[#This Row],[النولون]]+Table11819202310303132353839[[#This Row],[الايصالات]]-+Table11819202310303132353839[[#This Row],[قيمة مضافة]]</f>
        <v>0</v>
      </c>
      <c r="K208" s="1">
        <f>K207+Table11819202310303132353839[[#This Row],[اجمالي الفاتوره]]-Table11819202310303132353839[[#This Row],[الدفعات]]</f>
        <v>2221981.4</v>
      </c>
      <c r="M208" s="48"/>
    </row>
    <row r="209" spans="9:13" ht="26.25" customHeight="1" x14ac:dyDescent="0.3">
      <c r="I209" s="1">
        <f>Table11819202310303132353839[[#This Row],[النولون]]+Table11819202310303132353839[[#This Row],[الايصالات]]-+Table11819202310303132353839[[#This Row],[قيمة مضافة]]</f>
        <v>0</v>
      </c>
      <c r="K209" s="1">
        <f>K208+Table11819202310303132353839[[#This Row],[اجمالي الفاتوره]]-Table11819202310303132353839[[#This Row],[الدفعات]]</f>
        <v>2221981.4</v>
      </c>
      <c r="M209" s="48"/>
    </row>
    <row r="210" spans="9:13" ht="26.25" customHeight="1" x14ac:dyDescent="0.3">
      <c r="I210" s="1">
        <f>Table11819202310303132353839[[#This Row],[النولون]]+Table11819202310303132353839[[#This Row],[الايصالات]]-+Table11819202310303132353839[[#This Row],[قيمة مضافة]]</f>
        <v>0</v>
      </c>
      <c r="K210" s="1">
        <f>K209+Table11819202310303132353839[[#This Row],[اجمالي الفاتوره]]-Table11819202310303132353839[[#This Row],[الدفعات]]</f>
        <v>2221981.4</v>
      </c>
      <c r="M210" s="48"/>
    </row>
    <row r="211" spans="9:13" ht="26.25" customHeight="1" x14ac:dyDescent="0.3">
      <c r="I211" s="1">
        <f>Table11819202310303132353839[[#This Row],[النولون]]+Table11819202310303132353839[[#This Row],[الايصالات]]-+Table11819202310303132353839[[#This Row],[قيمة مضافة]]</f>
        <v>0</v>
      </c>
      <c r="K211" s="1">
        <f>K210+Table11819202310303132353839[[#This Row],[اجمالي الفاتوره]]-Table11819202310303132353839[[#This Row],[الدفعات]]</f>
        <v>2221981.4</v>
      </c>
      <c r="M211" s="48"/>
    </row>
    <row r="212" spans="9:13" ht="26.25" customHeight="1" x14ac:dyDescent="0.3">
      <c r="I212" s="1">
        <f>Table11819202310303132353839[[#This Row],[النولون]]+Table11819202310303132353839[[#This Row],[الايصالات]]-+Table11819202310303132353839[[#This Row],[قيمة مضافة]]</f>
        <v>0</v>
      </c>
      <c r="K212" s="1">
        <f>K211+Table11819202310303132353839[[#This Row],[اجمالي الفاتوره]]-Table11819202310303132353839[[#This Row],[الدفعات]]</f>
        <v>2221981.4</v>
      </c>
      <c r="M212" s="48"/>
    </row>
    <row r="213" spans="9:13" ht="26.25" customHeight="1" x14ac:dyDescent="0.3">
      <c r="I213" s="1">
        <f>Table11819202310303132353839[[#This Row],[النولون]]+Table11819202310303132353839[[#This Row],[الايصالات]]-+Table11819202310303132353839[[#This Row],[قيمة مضافة]]</f>
        <v>0</v>
      </c>
      <c r="K213" s="1">
        <f>K212+Table11819202310303132353839[[#This Row],[اجمالي الفاتوره]]-Table11819202310303132353839[[#This Row],[الدفعات]]</f>
        <v>2221981.4</v>
      </c>
      <c r="M213" s="48"/>
    </row>
    <row r="214" spans="9:13" ht="26.25" customHeight="1" x14ac:dyDescent="0.3">
      <c r="I214" s="1">
        <f>Table11819202310303132353839[[#This Row],[النولون]]+Table11819202310303132353839[[#This Row],[الايصالات]]-+Table11819202310303132353839[[#This Row],[قيمة مضافة]]</f>
        <v>0</v>
      </c>
      <c r="K214" s="1">
        <f>K213+Table11819202310303132353839[[#This Row],[اجمالي الفاتوره]]-Table11819202310303132353839[[#This Row],[الدفعات]]</f>
        <v>2221981.4</v>
      </c>
      <c r="M214" s="48"/>
    </row>
    <row r="215" spans="9:13" ht="26.25" customHeight="1" x14ac:dyDescent="0.3">
      <c r="I215" s="1">
        <f>Table11819202310303132353839[[#This Row],[النولون]]+Table11819202310303132353839[[#This Row],[الايصالات]]-+Table11819202310303132353839[[#This Row],[قيمة مضافة]]</f>
        <v>0</v>
      </c>
      <c r="K215" s="1">
        <f>K214+Table11819202310303132353839[[#This Row],[اجمالي الفاتوره]]-Table11819202310303132353839[[#This Row],[الدفعات]]</f>
        <v>2221981.4</v>
      </c>
      <c r="M215" s="48"/>
    </row>
    <row r="216" spans="9:13" ht="26.25" customHeight="1" x14ac:dyDescent="0.3">
      <c r="I216" s="1">
        <f>Table11819202310303132353839[[#This Row],[النولون]]+Table11819202310303132353839[[#This Row],[الايصالات]]-+Table11819202310303132353839[[#This Row],[قيمة مضافة]]</f>
        <v>0</v>
      </c>
      <c r="K216" s="1">
        <f>K215+Table11819202310303132353839[[#This Row],[اجمالي الفاتوره]]-Table11819202310303132353839[[#This Row],[الدفعات]]</f>
        <v>2221981.4</v>
      </c>
      <c r="M216" s="48"/>
    </row>
    <row r="217" spans="9:13" ht="26.25" customHeight="1" x14ac:dyDescent="0.3">
      <c r="I217" s="1">
        <f>Table11819202310303132353839[[#This Row],[النولون]]+Table11819202310303132353839[[#This Row],[الايصالات]]-+Table11819202310303132353839[[#This Row],[قيمة مضافة]]</f>
        <v>0</v>
      </c>
      <c r="K217" s="1">
        <f>K216+Table11819202310303132353839[[#This Row],[اجمالي الفاتوره]]-Table11819202310303132353839[[#This Row],[الدفعات]]</f>
        <v>2221981.4</v>
      </c>
      <c r="M217" s="48"/>
    </row>
    <row r="218" spans="9:13" ht="26.25" customHeight="1" x14ac:dyDescent="0.3">
      <c r="I218" s="1">
        <f>Table11819202310303132353839[[#This Row],[النولون]]+Table11819202310303132353839[[#This Row],[الايصالات]]-+Table11819202310303132353839[[#This Row],[قيمة مضافة]]</f>
        <v>0</v>
      </c>
      <c r="K218" s="1">
        <f>K217+Table11819202310303132353839[[#This Row],[اجمالي الفاتوره]]-Table11819202310303132353839[[#This Row],[الدفعات]]</f>
        <v>2221981.4</v>
      </c>
      <c r="M218" s="48"/>
    </row>
    <row r="219" spans="9:13" ht="26.25" customHeight="1" x14ac:dyDescent="0.3">
      <c r="I219" s="1">
        <f>Table11819202310303132353839[[#This Row],[النولون]]+Table11819202310303132353839[[#This Row],[الايصالات]]-+Table11819202310303132353839[[#This Row],[قيمة مضافة]]</f>
        <v>0</v>
      </c>
      <c r="K219" s="1">
        <f>K218+Table11819202310303132353839[[#This Row],[اجمالي الفاتوره]]-Table11819202310303132353839[[#This Row],[الدفعات]]</f>
        <v>2221981.4</v>
      </c>
      <c r="M219" s="48"/>
    </row>
    <row r="220" spans="9:13" ht="26.25" customHeight="1" x14ac:dyDescent="0.3">
      <c r="I220" s="1">
        <f>Table11819202310303132353839[[#This Row],[النولون]]+Table11819202310303132353839[[#This Row],[الايصالات]]-+Table11819202310303132353839[[#This Row],[قيمة مضافة]]</f>
        <v>0</v>
      </c>
      <c r="K220" s="1">
        <f>K219+Table11819202310303132353839[[#This Row],[اجمالي الفاتوره]]-Table11819202310303132353839[[#This Row],[الدفعات]]</f>
        <v>2221981.4</v>
      </c>
      <c r="M220" s="48"/>
    </row>
    <row r="221" spans="9:13" ht="26.25" customHeight="1" x14ac:dyDescent="0.3">
      <c r="I221" s="1">
        <f>Table11819202310303132353839[[#This Row],[النولون]]+Table11819202310303132353839[[#This Row],[الايصالات]]-+Table11819202310303132353839[[#This Row],[قيمة مضافة]]</f>
        <v>0</v>
      </c>
      <c r="K221" s="1">
        <f>K220+Table11819202310303132353839[[#This Row],[اجمالي الفاتوره]]-Table11819202310303132353839[[#This Row],[الدفعات]]</f>
        <v>2221981.4</v>
      </c>
      <c r="M221" s="48"/>
    </row>
    <row r="222" spans="9:13" ht="26.25" customHeight="1" x14ac:dyDescent="0.3">
      <c r="I222" s="1">
        <f>Table11819202310303132353839[[#This Row],[النولون]]+Table11819202310303132353839[[#This Row],[الايصالات]]-+Table11819202310303132353839[[#This Row],[قيمة مضافة]]</f>
        <v>0</v>
      </c>
      <c r="K222" s="1">
        <f>K221+Table11819202310303132353839[[#This Row],[اجمالي الفاتوره]]-Table11819202310303132353839[[#This Row],[الدفعات]]</f>
        <v>2221981.4</v>
      </c>
      <c r="M222" s="48"/>
    </row>
    <row r="223" spans="9:13" ht="26.25" customHeight="1" x14ac:dyDescent="0.3">
      <c r="I223" s="1">
        <f>Table11819202310303132353839[[#This Row],[النولون]]+Table11819202310303132353839[[#This Row],[الايصالات]]-+Table11819202310303132353839[[#This Row],[قيمة مضافة]]</f>
        <v>0</v>
      </c>
      <c r="K223" s="1">
        <f>K222+Table11819202310303132353839[[#This Row],[اجمالي الفاتوره]]-Table11819202310303132353839[[#This Row],[الدفعات]]</f>
        <v>2221981.4</v>
      </c>
      <c r="M223" s="48"/>
    </row>
    <row r="224" spans="9:13" ht="26.25" customHeight="1" x14ac:dyDescent="0.3">
      <c r="I224" s="1">
        <f>Table11819202310303132353839[[#This Row],[النولون]]+Table11819202310303132353839[[#This Row],[الايصالات]]-+Table11819202310303132353839[[#This Row],[قيمة مضافة]]</f>
        <v>0</v>
      </c>
      <c r="K224" s="1">
        <f>K223+Table11819202310303132353839[[#This Row],[اجمالي الفاتوره]]-Table11819202310303132353839[[#This Row],[الدفعات]]</f>
        <v>2221981.4</v>
      </c>
      <c r="M224" s="48"/>
    </row>
    <row r="225" spans="9:13" ht="26.25" customHeight="1" x14ac:dyDescent="0.3">
      <c r="I225" s="1">
        <f>Table11819202310303132353839[[#This Row],[النولون]]+Table11819202310303132353839[[#This Row],[الايصالات]]-+Table11819202310303132353839[[#This Row],[قيمة مضافة]]</f>
        <v>0</v>
      </c>
      <c r="K225" s="1">
        <f>K224+Table11819202310303132353839[[#This Row],[اجمالي الفاتوره]]-Table11819202310303132353839[[#This Row],[الدفعات]]</f>
        <v>2221981.4</v>
      </c>
      <c r="M225" s="48"/>
    </row>
    <row r="226" spans="9:13" ht="26.25" customHeight="1" x14ac:dyDescent="0.3">
      <c r="I226" s="1">
        <f>Table11819202310303132353839[[#This Row],[النولون]]+Table11819202310303132353839[[#This Row],[الايصالات]]-+Table11819202310303132353839[[#This Row],[قيمة مضافة]]</f>
        <v>0</v>
      </c>
      <c r="K226" s="1">
        <f>K225+Table11819202310303132353839[[#This Row],[اجمالي الفاتوره]]-Table11819202310303132353839[[#This Row],[الدفعات]]</f>
        <v>2221981.4</v>
      </c>
      <c r="M226" s="48"/>
    </row>
    <row r="227" spans="9:13" ht="26.25" customHeight="1" x14ac:dyDescent="0.3">
      <c r="I227" s="1">
        <f>Table11819202310303132353839[[#This Row],[النولون]]+Table11819202310303132353839[[#This Row],[الايصالات]]-+Table11819202310303132353839[[#This Row],[قيمة مضافة]]</f>
        <v>0</v>
      </c>
      <c r="K227" s="1">
        <f>K226+Table11819202310303132353839[[#This Row],[اجمالي الفاتوره]]-Table11819202310303132353839[[#This Row],[الدفعات]]</f>
        <v>2221981.4</v>
      </c>
      <c r="M227" s="48"/>
    </row>
    <row r="228" spans="9:13" ht="26.25" customHeight="1" x14ac:dyDescent="0.3">
      <c r="I228" s="1">
        <f>Table11819202310303132353839[[#This Row],[النولون]]+Table11819202310303132353839[[#This Row],[الايصالات]]-+Table11819202310303132353839[[#This Row],[قيمة مضافة]]</f>
        <v>0</v>
      </c>
      <c r="K228" s="1">
        <f>K227+Table11819202310303132353839[[#This Row],[اجمالي الفاتوره]]-Table11819202310303132353839[[#This Row],[الدفعات]]</f>
        <v>2221981.4</v>
      </c>
      <c r="M228" s="48"/>
    </row>
    <row r="229" spans="9:13" ht="26.25" customHeight="1" x14ac:dyDescent="0.3">
      <c r="I229" s="1">
        <f>Table11819202310303132353839[[#This Row],[النولون]]+Table11819202310303132353839[[#This Row],[الايصالات]]-+Table11819202310303132353839[[#This Row],[قيمة مضافة]]</f>
        <v>0</v>
      </c>
      <c r="K229" s="1">
        <f>K228+Table11819202310303132353839[[#This Row],[اجمالي الفاتوره]]-Table11819202310303132353839[[#This Row],[الدفعات]]</f>
        <v>2221981.4</v>
      </c>
      <c r="M229" s="48"/>
    </row>
    <row r="230" spans="9:13" ht="26.25" customHeight="1" x14ac:dyDescent="0.3">
      <c r="I230" s="1">
        <f>Table11819202310303132353839[[#This Row],[النولون]]+Table11819202310303132353839[[#This Row],[الايصالات]]-+Table11819202310303132353839[[#This Row],[قيمة مضافة]]</f>
        <v>0</v>
      </c>
      <c r="K230" s="1">
        <f>K229+Table11819202310303132353839[[#This Row],[اجمالي الفاتوره]]-Table11819202310303132353839[[#This Row],[الدفعات]]</f>
        <v>2221981.4</v>
      </c>
      <c r="M230" s="48"/>
    </row>
    <row r="231" spans="9:13" ht="26.25" customHeight="1" x14ac:dyDescent="0.3">
      <c r="I231" s="1">
        <f>Table11819202310303132353839[[#This Row],[النولون]]+Table11819202310303132353839[[#This Row],[الايصالات]]-+Table11819202310303132353839[[#This Row],[قيمة مضافة]]</f>
        <v>0</v>
      </c>
      <c r="K231" s="1">
        <f>K230+Table11819202310303132353839[[#This Row],[اجمالي الفاتوره]]-Table11819202310303132353839[[#This Row],[الدفعات]]</f>
        <v>2221981.4</v>
      </c>
      <c r="M231" s="48"/>
    </row>
    <row r="232" spans="9:13" ht="26.25" customHeight="1" x14ac:dyDescent="0.3">
      <c r="I232" s="1">
        <f>Table11819202310303132353839[[#This Row],[النولون]]+Table11819202310303132353839[[#This Row],[الايصالات]]-+Table11819202310303132353839[[#This Row],[قيمة مضافة]]</f>
        <v>0</v>
      </c>
      <c r="K232" s="1">
        <f>K231+Table11819202310303132353839[[#This Row],[اجمالي الفاتوره]]-Table11819202310303132353839[[#This Row],[الدفعات]]</f>
        <v>2221981.4</v>
      </c>
      <c r="M232" s="48"/>
    </row>
    <row r="233" spans="9:13" ht="26.25" customHeight="1" x14ac:dyDescent="0.3">
      <c r="I233" s="1">
        <f>Table11819202310303132353839[[#This Row],[النولون]]+Table11819202310303132353839[[#This Row],[الايصالات]]-+Table11819202310303132353839[[#This Row],[قيمة مضافة]]</f>
        <v>0</v>
      </c>
      <c r="K233" s="1">
        <f>K232+Table11819202310303132353839[[#This Row],[اجمالي الفاتوره]]-Table11819202310303132353839[[#This Row],[الدفعات]]</f>
        <v>2221981.4</v>
      </c>
      <c r="M233" s="48"/>
    </row>
    <row r="234" spans="9:13" ht="26.25" customHeight="1" x14ac:dyDescent="0.3">
      <c r="I234" s="1">
        <f>Table11819202310303132353839[[#This Row],[النولون]]+Table11819202310303132353839[[#This Row],[الايصالات]]-+Table11819202310303132353839[[#This Row],[قيمة مضافة]]</f>
        <v>0</v>
      </c>
      <c r="K234" s="1">
        <f>K233+Table11819202310303132353839[[#This Row],[اجمالي الفاتوره]]-Table11819202310303132353839[[#This Row],[الدفعات]]</f>
        <v>2221981.4</v>
      </c>
      <c r="M234" s="48"/>
    </row>
    <row r="235" spans="9:13" ht="26.25" customHeight="1" x14ac:dyDescent="0.3">
      <c r="I235" s="1">
        <f>Table11819202310303132353839[[#This Row],[النولون]]+Table11819202310303132353839[[#This Row],[الايصالات]]-+Table11819202310303132353839[[#This Row],[قيمة مضافة]]</f>
        <v>0</v>
      </c>
      <c r="K235" s="1">
        <f>K234+Table11819202310303132353839[[#This Row],[اجمالي الفاتوره]]-Table11819202310303132353839[[#This Row],[الدفعات]]</f>
        <v>2221981.4</v>
      </c>
      <c r="M235" s="48"/>
    </row>
    <row r="236" spans="9:13" ht="26.25" customHeight="1" x14ac:dyDescent="0.3">
      <c r="I236" s="1">
        <f>Table11819202310303132353839[[#This Row],[النولون]]+Table11819202310303132353839[[#This Row],[الايصالات]]-+Table11819202310303132353839[[#This Row],[قيمة مضافة]]</f>
        <v>0</v>
      </c>
      <c r="K236" s="1">
        <f>K235+Table11819202310303132353839[[#This Row],[اجمالي الفاتوره]]-Table11819202310303132353839[[#This Row],[الدفعات]]</f>
        <v>2221981.4</v>
      </c>
      <c r="M236" s="48"/>
    </row>
    <row r="237" spans="9:13" ht="26.25" customHeight="1" x14ac:dyDescent="0.3">
      <c r="I237" s="1">
        <f>Table11819202310303132353839[[#This Row],[النولون]]+Table11819202310303132353839[[#This Row],[الايصالات]]-+Table11819202310303132353839[[#This Row],[قيمة مضافة]]</f>
        <v>0</v>
      </c>
      <c r="K237" s="1">
        <f>K236+Table11819202310303132353839[[#This Row],[اجمالي الفاتوره]]-Table11819202310303132353839[[#This Row],[الدفعات]]</f>
        <v>2221981.4</v>
      </c>
      <c r="M237" s="48"/>
    </row>
    <row r="238" spans="9:13" ht="26.25" customHeight="1" x14ac:dyDescent="0.3">
      <c r="I238" s="1">
        <f>Table11819202310303132353839[[#This Row],[النولون]]+Table11819202310303132353839[[#This Row],[الايصالات]]-+Table11819202310303132353839[[#This Row],[قيمة مضافة]]</f>
        <v>0</v>
      </c>
      <c r="K238" s="1">
        <f>K237+Table11819202310303132353839[[#This Row],[اجمالي الفاتوره]]-Table11819202310303132353839[[#This Row],[الدفعات]]</f>
        <v>2221981.4</v>
      </c>
      <c r="M238" s="48"/>
    </row>
    <row r="239" spans="9:13" ht="26.25" customHeight="1" x14ac:dyDescent="0.3">
      <c r="I239" s="1">
        <f>Table11819202310303132353839[[#This Row],[النولون]]+Table11819202310303132353839[[#This Row],[الايصالات]]-+Table11819202310303132353839[[#This Row],[قيمة مضافة]]</f>
        <v>0</v>
      </c>
      <c r="K239" s="1">
        <f>K238+Table11819202310303132353839[[#This Row],[اجمالي الفاتوره]]-Table11819202310303132353839[[#This Row],[الدفعات]]</f>
        <v>2221981.4</v>
      </c>
      <c r="M239" s="48"/>
    </row>
    <row r="240" spans="9:13" ht="26.25" customHeight="1" x14ac:dyDescent="0.3">
      <c r="I240" s="1">
        <f>Table11819202310303132353839[[#This Row],[النولون]]+Table11819202310303132353839[[#This Row],[الايصالات]]-+Table11819202310303132353839[[#This Row],[قيمة مضافة]]</f>
        <v>0</v>
      </c>
      <c r="K240" s="1">
        <f>K239+Table11819202310303132353839[[#This Row],[اجمالي الفاتوره]]-Table11819202310303132353839[[#This Row],[الدفعات]]</f>
        <v>2221981.4</v>
      </c>
      <c r="M240" s="48"/>
    </row>
    <row r="241" spans="9:13" ht="26.25" customHeight="1" x14ac:dyDescent="0.3">
      <c r="I241" s="1">
        <f>Table11819202310303132353839[[#This Row],[النولون]]+Table11819202310303132353839[[#This Row],[الايصالات]]-+Table11819202310303132353839[[#This Row],[قيمة مضافة]]</f>
        <v>0</v>
      </c>
      <c r="K241" s="1">
        <f>K240+Table11819202310303132353839[[#This Row],[اجمالي الفاتوره]]-Table11819202310303132353839[[#This Row],[الدفعات]]</f>
        <v>2221981.4</v>
      </c>
      <c r="M241" s="48"/>
    </row>
    <row r="242" spans="9:13" ht="26.25" customHeight="1" x14ac:dyDescent="0.3">
      <c r="I242" s="1">
        <f>Table11819202310303132353839[[#This Row],[النولون]]+Table11819202310303132353839[[#This Row],[الايصالات]]-+Table11819202310303132353839[[#This Row],[قيمة مضافة]]</f>
        <v>0</v>
      </c>
      <c r="K242" s="1">
        <f>K241+Table11819202310303132353839[[#This Row],[اجمالي الفاتوره]]-Table11819202310303132353839[[#This Row],[الدفعات]]</f>
        <v>2221981.4</v>
      </c>
      <c r="M242" s="48"/>
    </row>
    <row r="243" spans="9:13" ht="26.25" customHeight="1" x14ac:dyDescent="0.3">
      <c r="I243" s="1">
        <f>Table11819202310303132353839[[#This Row],[النولون]]+Table11819202310303132353839[[#This Row],[الايصالات]]-+Table11819202310303132353839[[#This Row],[قيمة مضافة]]</f>
        <v>0</v>
      </c>
      <c r="K243" s="1">
        <f>K242+Table11819202310303132353839[[#This Row],[اجمالي الفاتوره]]-Table11819202310303132353839[[#This Row],[الدفعات]]</f>
        <v>2221981.4</v>
      </c>
      <c r="M243" s="48"/>
    </row>
    <row r="244" spans="9:13" ht="26.25" customHeight="1" x14ac:dyDescent="0.3">
      <c r="I244" s="1">
        <f>Table11819202310303132353839[[#This Row],[النولون]]+Table11819202310303132353839[[#This Row],[الايصالات]]-+Table11819202310303132353839[[#This Row],[قيمة مضافة]]</f>
        <v>0</v>
      </c>
      <c r="K244" s="1">
        <f>K243+Table11819202310303132353839[[#This Row],[اجمالي الفاتوره]]-Table11819202310303132353839[[#This Row],[الدفعات]]</f>
        <v>2221981.4</v>
      </c>
      <c r="M244" s="48"/>
    </row>
    <row r="245" spans="9:13" ht="26.25" customHeight="1" x14ac:dyDescent="0.3">
      <c r="I245" s="1">
        <f>Table11819202310303132353839[[#This Row],[النولون]]+Table11819202310303132353839[[#This Row],[الايصالات]]-+Table11819202310303132353839[[#This Row],[قيمة مضافة]]</f>
        <v>0</v>
      </c>
      <c r="K245" s="1">
        <f>K244+Table11819202310303132353839[[#This Row],[اجمالي الفاتوره]]-Table11819202310303132353839[[#This Row],[الدفعات]]</f>
        <v>2221981.4</v>
      </c>
      <c r="M245" s="48"/>
    </row>
    <row r="246" spans="9:13" ht="26.25" customHeight="1" x14ac:dyDescent="0.3">
      <c r="I246" s="1">
        <f>Table11819202310303132353839[[#This Row],[النولون]]+Table11819202310303132353839[[#This Row],[الايصالات]]-+Table11819202310303132353839[[#This Row],[قيمة مضافة]]</f>
        <v>0</v>
      </c>
      <c r="K246" s="1">
        <f>K245+Table11819202310303132353839[[#This Row],[اجمالي الفاتوره]]-Table11819202310303132353839[[#This Row],[الدفعات]]</f>
        <v>2221981.4</v>
      </c>
      <c r="M246" s="48"/>
    </row>
    <row r="247" spans="9:13" ht="26.25" customHeight="1" x14ac:dyDescent="0.3">
      <c r="I247" s="1">
        <f>Table11819202310303132353839[[#This Row],[النولون]]+Table11819202310303132353839[[#This Row],[الايصالات]]-+Table11819202310303132353839[[#This Row],[قيمة مضافة]]</f>
        <v>0</v>
      </c>
      <c r="K247" s="1">
        <f>K246+Table11819202310303132353839[[#This Row],[اجمالي الفاتوره]]-Table11819202310303132353839[[#This Row],[الدفعات]]</f>
        <v>2221981.4</v>
      </c>
      <c r="M247" s="48"/>
    </row>
    <row r="248" spans="9:13" ht="26.25" customHeight="1" x14ac:dyDescent="0.3">
      <c r="I248" s="1">
        <f>Table11819202310303132353839[[#This Row],[النولون]]+Table11819202310303132353839[[#This Row],[الايصالات]]-+Table11819202310303132353839[[#This Row],[قيمة مضافة]]</f>
        <v>0</v>
      </c>
      <c r="K248" s="1">
        <f>K247+Table11819202310303132353839[[#This Row],[اجمالي الفاتوره]]-Table11819202310303132353839[[#This Row],[الدفعات]]</f>
        <v>2221981.4</v>
      </c>
      <c r="M248" s="48"/>
    </row>
    <row r="249" spans="9:13" ht="26.25" customHeight="1" x14ac:dyDescent="0.3">
      <c r="I249" s="1">
        <f>Table11819202310303132353839[[#This Row],[النولون]]+Table11819202310303132353839[[#This Row],[الايصالات]]-+Table11819202310303132353839[[#This Row],[قيمة مضافة]]</f>
        <v>0</v>
      </c>
      <c r="K249" s="1">
        <f>K248+Table11819202310303132353839[[#This Row],[اجمالي الفاتوره]]-Table11819202310303132353839[[#This Row],[الدفعات]]</f>
        <v>2221981.4</v>
      </c>
      <c r="M249" s="48"/>
    </row>
    <row r="250" spans="9:13" ht="26.25" customHeight="1" x14ac:dyDescent="0.3">
      <c r="I250" s="1">
        <f>Table11819202310303132353839[[#This Row],[النولون]]+Table11819202310303132353839[[#This Row],[الايصالات]]-+Table11819202310303132353839[[#This Row],[قيمة مضافة]]</f>
        <v>0</v>
      </c>
      <c r="K250" s="1">
        <f>K249+Table11819202310303132353839[[#This Row],[اجمالي الفاتوره]]-Table11819202310303132353839[[#This Row],[الدفعات]]</f>
        <v>2221981.4</v>
      </c>
      <c r="M250" s="48"/>
    </row>
    <row r="251" spans="9:13" ht="26.25" customHeight="1" x14ac:dyDescent="0.3">
      <c r="I251" s="1">
        <f>Table11819202310303132353839[[#This Row],[النولون]]+Table11819202310303132353839[[#This Row],[الايصالات]]-+Table11819202310303132353839[[#This Row],[قيمة مضافة]]</f>
        <v>0</v>
      </c>
      <c r="K251" s="1">
        <f>K250+Table11819202310303132353839[[#This Row],[اجمالي الفاتوره]]-Table11819202310303132353839[[#This Row],[الدفعات]]</f>
        <v>2221981.4</v>
      </c>
      <c r="M251" s="48"/>
    </row>
    <row r="252" spans="9:13" ht="26.25" customHeight="1" x14ac:dyDescent="0.3">
      <c r="I252" s="1">
        <f>Table11819202310303132353839[[#This Row],[النولون]]+Table11819202310303132353839[[#This Row],[الايصالات]]-+Table11819202310303132353839[[#This Row],[قيمة مضافة]]</f>
        <v>0</v>
      </c>
      <c r="K252" s="1">
        <f>K251+Table11819202310303132353839[[#This Row],[اجمالي الفاتوره]]-Table11819202310303132353839[[#This Row],[الدفعات]]</f>
        <v>2221981.4</v>
      </c>
      <c r="M252" s="48"/>
    </row>
    <row r="253" spans="9:13" ht="26.25" customHeight="1" x14ac:dyDescent="0.3">
      <c r="I253" s="1">
        <f>Table11819202310303132353839[[#This Row],[النولون]]+Table11819202310303132353839[[#This Row],[الايصالات]]-+Table11819202310303132353839[[#This Row],[قيمة مضافة]]</f>
        <v>0</v>
      </c>
      <c r="K253" s="1">
        <f>K252+Table11819202310303132353839[[#This Row],[اجمالي الفاتوره]]-Table11819202310303132353839[[#This Row],[الدفعات]]</f>
        <v>2221981.4</v>
      </c>
      <c r="M253" s="48"/>
    </row>
    <row r="254" spans="9:13" ht="26.25" customHeight="1" x14ac:dyDescent="0.3">
      <c r="I254" s="1">
        <f>Table11819202310303132353839[[#This Row],[النولون]]+Table11819202310303132353839[[#This Row],[الايصالات]]-+Table11819202310303132353839[[#This Row],[قيمة مضافة]]</f>
        <v>0</v>
      </c>
      <c r="K254" s="1">
        <f>K253+Table11819202310303132353839[[#This Row],[اجمالي الفاتوره]]-Table11819202310303132353839[[#This Row],[الدفعات]]</f>
        <v>2221981.4</v>
      </c>
      <c r="M254" s="48"/>
    </row>
    <row r="255" spans="9:13" ht="26.25" customHeight="1" x14ac:dyDescent="0.3">
      <c r="I255" s="1">
        <f>Table11819202310303132353839[[#This Row],[النولون]]+Table11819202310303132353839[[#This Row],[الايصالات]]-+Table11819202310303132353839[[#This Row],[قيمة مضافة]]</f>
        <v>0</v>
      </c>
      <c r="K255" s="1">
        <f>K254+Table11819202310303132353839[[#This Row],[اجمالي الفاتوره]]-Table11819202310303132353839[[#This Row],[الدفعات]]</f>
        <v>2221981.4</v>
      </c>
      <c r="M255" s="48"/>
    </row>
    <row r="256" spans="9:13" ht="26.25" customHeight="1" x14ac:dyDescent="0.3">
      <c r="I256" s="1">
        <f>Table11819202310303132353839[[#This Row],[النولون]]+Table11819202310303132353839[[#This Row],[الايصالات]]-+Table11819202310303132353839[[#This Row],[قيمة مضافة]]</f>
        <v>0</v>
      </c>
      <c r="K256" s="1">
        <f>K255+Table11819202310303132353839[[#This Row],[اجمالي الفاتوره]]-Table11819202310303132353839[[#This Row],[الدفعات]]</f>
        <v>2221981.4</v>
      </c>
      <c r="M256" s="48"/>
    </row>
    <row r="257" spans="9:13" ht="26.25" customHeight="1" x14ac:dyDescent="0.3">
      <c r="I257" s="1">
        <f>Table11819202310303132353839[[#This Row],[النولون]]+Table11819202310303132353839[[#This Row],[الايصالات]]-+Table11819202310303132353839[[#This Row],[قيمة مضافة]]</f>
        <v>0</v>
      </c>
      <c r="K257" s="1">
        <f>K256+Table11819202310303132353839[[#This Row],[اجمالي الفاتوره]]-Table11819202310303132353839[[#This Row],[الدفعات]]</f>
        <v>2221981.4</v>
      </c>
      <c r="M257" s="48"/>
    </row>
    <row r="258" spans="9:13" ht="26.25" customHeight="1" x14ac:dyDescent="0.3">
      <c r="I258" s="1">
        <f>Table11819202310303132353839[[#This Row],[النولون]]+Table11819202310303132353839[[#This Row],[الايصالات]]-+Table11819202310303132353839[[#This Row],[قيمة مضافة]]</f>
        <v>0</v>
      </c>
      <c r="K258" s="1">
        <f>K257+Table11819202310303132353839[[#This Row],[اجمالي الفاتوره]]-Table11819202310303132353839[[#This Row],[الدفعات]]</f>
        <v>2221981.4</v>
      </c>
      <c r="M258" s="48"/>
    </row>
    <row r="259" spans="9:13" ht="26.25" customHeight="1" x14ac:dyDescent="0.3">
      <c r="I259" s="1">
        <f>Table11819202310303132353839[[#This Row],[النولون]]+Table11819202310303132353839[[#This Row],[الايصالات]]-+Table11819202310303132353839[[#This Row],[قيمة مضافة]]</f>
        <v>0</v>
      </c>
      <c r="K259" s="1">
        <f>K258+Table11819202310303132353839[[#This Row],[اجمالي الفاتوره]]-Table11819202310303132353839[[#This Row],[الدفعات]]</f>
        <v>2221981.4</v>
      </c>
      <c r="M259" s="48"/>
    </row>
    <row r="260" spans="9:13" ht="26.25" customHeight="1" x14ac:dyDescent="0.3">
      <c r="I260" s="1">
        <f>Table11819202310303132353839[[#This Row],[النولون]]+Table11819202310303132353839[[#This Row],[الايصالات]]-+Table11819202310303132353839[[#This Row],[قيمة مضافة]]</f>
        <v>0</v>
      </c>
      <c r="K260" s="1">
        <f>K259+Table11819202310303132353839[[#This Row],[اجمالي الفاتوره]]-Table11819202310303132353839[[#This Row],[الدفعات]]</f>
        <v>2221981.4</v>
      </c>
      <c r="M260" s="48"/>
    </row>
    <row r="261" spans="9:13" ht="26.25" customHeight="1" x14ac:dyDescent="0.3">
      <c r="I261" s="1">
        <f>Table11819202310303132353839[[#This Row],[النولون]]+Table11819202310303132353839[[#This Row],[الايصالات]]-+Table11819202310303132353839[[#This Row],[قيمة مضافة]]</f>
        <v>0</v>
      </c>
      <c r="K261" s="1">
        <f>K260+Table11819202310303132353839[[#This Row],[اجمالي الفاتوره]]-Table11819202310303132353839[[#This Row],[الدفعات]]</f>
        <v>2221981.4</v>
      </c>
      <c r="M261" s="48"/>
    </row>
    <row r="262" spans="9:13" ht="26.25" customHeight="1" x14ac:dyDescent="0.3">
      <c r="I262" s="1">
        <f>Table11819202310303132353839[[#This Row],[النولون]]+Table11819202310303132353839[[#This Row],[الايصالات]]-+Table11819202310303132353839[[#This Row],[قيمة مضافة]]</f>
        <v>0</v>
      </c>
      <c r="K262" s="1">
        <f>K261+Table11819202310303132353839[[#This Row],[اجمالي الفاتوره]]-Table11819202310303132353839[[#This Row],[الدفعات]]</f>
        <v>2221981.4</v>
      </c>
      <c r="M262" s="48"/>
    </row>
    <row r="263" spans="9:13" ht="26.25" customHeight="1" x14ac:dyDescent="0.3">
      <c r="I263" s="1">
        <f>Table11819202310303132353839[[#This Row],[النولون]]+Table11819202310303132353839[[#This Row],[الايصالات]]-+Table11819202310303132353839[[#This Row],[قيمة مضافة]]</f>
        <v>0</v>
      </c>
      <c r="K263" s="1">
        <f>K262+Table11819202310303132353839[[#This Row],[اجمالي الفاتوره]]-Table11819202310303132353839[[#This Row],[الدفعات]]</f>
        <v>2221981.4</v>
      </c>
      <c r="M263" s="48"/>
    </row>
    <row r="264" spans="9:13" ht="26.25" customHeight="1" x14ac:dyDescent="0.3">
      <c r="I264" s="1">
        <f>Table11819202310303132353839[[#This Row],[النولون]]+Table11819202310303132353839[[#This Row],[الايصالات]]-+Table11819202310303132353839[[#This Row],[قيمة مضافة]]</f>
        <v>0</v>
      </c>
      <c r="K264" s="1">
        <f>K263+Table11819202310303132353839[[#This Row],[اجمالي الفاتوره]]-Table11819202310303132353839[[#This Row],[الدفعات]]</f>
        <v>2221981.4</v>
      </c>
      <c r="M264" s="48"/>
    </row>
    <row r="265" spans="9:13" ht="26.25" customHeight="1" x14ac:dyDescent="0.3">
      <c r="I265" s="1">
        <f>Table11819202310303132353839[[#This Row],[النولون]]+Table11819202310303132353839[[#This Row],[الايصالات]]-+Table11819202310303132353839[[#This Row],[قيمة مضافة]]</f>
        <v>0</v>
      </c>
      <c r="K265" s="1">
        <f>K264+Table11819202310303132353839[[#This Row],[اجمالي الفاتوره]]-Table11819202310303132353839[[#This Row],[الدفعات]]</f>
        <v>2221981.4</v>
      </c>
      <c r="M265" s="48"/>
    </row>
    <row r="266" spans="9:13" ht="26.25" customHeight="1" x14ac:dyDescent="0.3">
      <c r="I266" s="1">
        <f>Table11819202310303132353839[[#This Row],[النولون]]+Table11819202310303132353839[[#This Row],[الايصالات]]-+Table11819202310303132353839[[#This Row],[قيمة مضافة]]</f>
        <v>0</v>
      </c>
      <c r="K266" s="1">
        <f>K265+Table11819202310303132353839[[#This Row],[اجمالي الفاتوره]]-Table11819202310303132353839[[#This Row],[الدفعات]]</f>
        <v>2221981.4</v>
      </c>
      <c r="M266" s="48"/>
    </row>
    <row r="267" spans="9:13" ht="26.25" customHeight="1" x14ac:dyDescent="0.3">
      <c r="I267" s="1">
        <f>Table11819202310303132353839[[#This Row],[النولون]]+Table11819202310303132353839[[#This Row],[الايصالات]]-+Table11819202310303132353839[[#This Row],[قيمة مضافة]]</f>
        <v>0</v>
      </c>
      <c r="K267" s="1">
        <f>K266+Table11819202310303132353839[[#This Row],[اجمالي الفاتوره]]-Table11819202310303132353839[[#This Row],[الدفعات]]</f>
        <v>2221981.4</v>
      </c>
      <c r="M267" s="48"/>
    </row>
    <row r="268" spans="9:13" ht="26.25" customHeight="1" x14ac:dyDescent="0.3">
      <c r="I268" s="1">
        <f>Table11819202310303132353839[[#This Row],[النولون]]+Table11819202310303132353839[[#This Row],[الايصالات]]-+Table11819202310303132353839[[#This Row],[قيمة مضافة]]</f>
        <v>0</v>
      </c>
      <c r="K268" s="1">
        <f>K267+Table11819202310303132353839[[#This Row],[اجمالي الفاتوره]]-Table11819202310303132353839[[#This Row],[الدفعات]]</f>
        <v>2221981.4</v>
      </c>
      <c r="M268" s="48"/>
    </row>
    <row r="269" spans="9:13" ht="26.25" customHeight="1" x14ac:dyDescent="0.3">
      <c r="I269" s="1">
        <f>Table11819202310303132353839[[#This Row],[النولون]]+Table11819202310303132353839[[#This Row],[الايصالات]]-+Table11819202310303132353839[[#This Row],[قيمة مضافة]]</f>
        <v>0</v>
      </c>
      <c r="K269" s="1">
        <f>K268+Table11819202310303132353839[[#This Row],[اجمالي الفاتوره]]-Table11819202310303132353839[[#This Row],[الدفعات]]</f>
        <v>2221981.4</v>
      </c>
      <c r="M269" s="48"/>
    </row>
    <row r="270" spans="9:13" ht="26.25" customHeight="1" x14ac:dyDescent="0.3">
      <c r="I270" s="1">
        <f>Table11819202310303132353839[[#This Row],[النولون]]+Table11819202310303132353839[[#This Row],[الايصالات]]-+Table11819202310303132353839[[#This Row],[قيمة مضافة]]</f>
        <v>0</v>
      </c>
      <c r="K270" s="1">
        <f>K269+Table11819202310303132353839[[#This Row],[اجمالي الفاتوره]]-Table11819202310303132353839[[#This Row],[الدفعات]]</f>
        <v>2221981.4</v>
      </c>
      <c r="M270" s="48"/>
    </row>
    <row r="271" spans="9:13" ht="26.25" customHeight="1" x14ac:dyDescent="0.3">
      <c r="I271" s="1">
        <f>Table11819202310303132353839[[#This Row],[النولون]]+Table11819202310303132353839[[#This Row],[الايصالات]]-+Table11819202310303132353839[[#This Row],[قيمة مضافة]]</f>
        <v>0</v>
      </c>
      <c r="K271" s="1">
        <f>K270+Table11819202310303132353839[[#This Row],[اجمالي الفاتوره]]-Table11819202310303132353839[[#This Row],[الدفعات]]</f>
        <v>2221981.4</v>
      </c>
      <c r="M271" s="48"/>
    </row>
    <row r="272" spans="9:13" ht="26.25" customHeight="1" x14ac:dyDescent="0.3">
      <c r="I272" s="1">
        <f>Table11819202310303132353839[[#This Row],[النولون]]+Table11819202310303132353839[[#This Row],[الايصالات]]-+Table11819202310303132353839[[#This Row],[قيمة مضافة]]</f>
        <v>0</v>
      </c>
      <c r="K272" s="1">
        <f>K271+Table11819202310303132353839[[#This Row],[اجمالي الفاتوره]]-Table11819202310303132353839[[#This Row],[الدفعات]]</f>
        <v>2221981.4</v>
      </c>
      <c r="M272" s="48"/>
    </row>
    <row r="273" spans="9:13" ht="26.25" customHeight="1" x14ac:dyDescent="0.3">
      <c r="I273" s="1">
        <f>Table11819202310303132353839[[#This Row],[النولون]]+Table11819202310303132353839[[#This Row],[الايصالات]]-+Table11819202310303132353839[[#This Row],[قيمة مضافة]]</f>
        <v>0</v>
      </c>
      <c r="K273" s="1">
        <f>K272+Table11819202310303132353839[[#This Row],[اجمالي الفاتوره]]-Table11819202310303132353839[[#This Row],[الدفعات]]</f>
        <v>2221981.4</v>
      </c>
      <c r="M273" s="48"/>
    </row>
    <row r="274" spans="9:13" ht="26.25" customHeight="1" x14ac:dyDescent="0.3">
      <c r="I274" s="1">
        <f>Table11819202310303132353839[[#This Row],[النولون]]+Table11819202310303132353839[[#This Row],[الايصالات]]-+Table11819202310303132353839[[#This Row],[قيمة مضافة]]</f>
        <v>0</v>
      </c>
      <c r="K274" s="1">
        <f>K273+Table11819202310303132353839[[#This Row],[اجمالي الفاتوره]]-Table11819202310303132353839[[#This Row],[الدفعات]]</f>
        <v>2221981.4</v>
      </c>
      <c r="M274" s="48"/>
    </row>
    <row r="275" spans="9:13" ht="26.25" customHeight="1" x14ac:dyDescent="0.3">
      <c r="I275" s="1">
        <f>Table11819202310303132353839[[#This Row],[النولون]]+Table11819202310303132353839[[#This Row],[الايصالات]]-+Table11819202310303132353839[[#This Row],[قيمة مضافة]]</f>
        <v>0</v>
      </c>
      <c r="K275" s="1">
        <f>K274+Table11819202310303132353839[[#This Row],[اجمالي الفاتوره]]-Table11819202310303132353839[[#This Row],[الدفعات]]</f>
        <v>2221981.4</v>
      </c>
      <c r="M275" s="48"/>
    </row>
    <row r="276" spans="9:13" ht="26.25" customHeight="1" x14ac:dyDescent="0.3">
      <c r="I276" s="1">
        <f>Table11819202310303132353839[[#This Row],[النولون]]+Table11819202310303132353839[[#This Row],[الايصالات]]-+Table11819202310303132353839[[#This Row],[قيمة مضافة]]</f>
        <v>0</v>
      </c>
      <c r="K276" s="1">
        <f>K275+Table11819202310303132353839[[#This Row],[اجمالي الفاتوره]]-Table11819202310303132353839[[#This Row],[الدفعات]]</f>
        <v>2221981.4</v>
      </c>
      <c r="M276" s="48"/>
    </row>
    <row r="277" spans="9:13" ht="26.25" customHeight="1" x14ac:dyDescent="0.3">
      <c r="I277" s="1">
        <f>Table11819202310303132353839[[#This Row],[النولون]]+Table11819202310303132353839[[#This Row],[الايصالات]]-+Table11819202310303132353839[[#This Row],[قيمة مضافة]]</f>
        <v>0</v>
      </c>
      <c r="K277" s="1">
        <f>K276+Table11819202310303132353839[[#This Row],[اجمالي الفاتوره]]-Table11819202310303132353839[[#This Row],[الدفعات]]</f>
        <v>2221981.4</v>
      </c>
      <c r="M277" s="48"/>
    </row>
    <row r="278" spans="9:13" ht="26.25" customHeight="1" x14ac:dyDescent="0.3">
      <c r="I278" s="1">
        <f>Table11819202310303132353839[[#This Row],[النولون]]+Table11819202310303132353839[[#This Row],[الايصالات]]-+Table11819202310303132353839[[#This Row],[قيمة مضافة]]</f>
        <v>0</v>
      </c>
      <c r="K278" s="1">
        <f>K277+Table11819202310303132353839[[#This Row],[اجمالي الفاتوره]]-Table11819202310303132353839[[#This Row],[الدفعات]]</f>
        <v>2221981.4</v>
      </c>
      <c r="M278" s="48"/>
    </row>
    <row r="279" spans="9:13" ht="26.25" customHeight="1" x14ac:dyDescent="0.3">
      <c r="I279" s="1">
        <f>Table11819202310303132353839[[#This Row],[النولون]]+Table11819202310303132353839[[#This Row],[الايصالات]]-+Table11819202310303132353839[[#This Row],[قيمة مضافة]]</f>
        <v>0</v>
      </c>
      <c r="K279" s="1">
        <f>K278+Table11819202310303132353839[[#This Row],[اجمالي الفاتوره]]-Table11819202310303132353839[[#This Row],[الدفعات]]</f>
        <v>2221981.4</v>
      </c>
      <c r="M279" s="48"/>
    </row>
    <row r="280" spans="9:13" ht="26.25" customHeight="1" x14ac:dyDescent="0.3">
      <c r="I280" s="1">
        <f>Table11819202310303132353839[[#This Row],[النولون]]+Table11819202310303132353839[[#This Row],[الايصالات]]-+Table11819202310303132353839[[#This Row],[قيمة مضافة]]</f>
        <v>0</v>
      </c>
      <c r="K280" s="1">
        <f>K279+Table11819202310303132353839[[#This Row],[اجمالي الفاتوره]]-Table11819202310303132353839[[#This Row],[الدفعات]]</f>
        <v>2221981.4</v>
      </c>
      <c r="M280" s="48"/>
    </row>
    <row r="281" spans="9:13" ht="26.25" customHeight="1" x14ac:dyDescent="0.3">
      <c r="I281" s="1">
        <f>Table11819202310303132353839[[#This Row],[النولون]]+Table11819202310303132353839[[#This Row],[الايصالات]]-+Table11819202310303132353839[[#This Row],[قيمة مضافة]]</f>
        <v>0</v>
      </c>
      <c r="K281" s="1">
        <f>K280+Table11819202310303132353839[[#This Row],[اجمالي الفاتوره]]-Table11819202310303132353839[[#This Row],[الدفعات]]</f>
        <v>2221981.4</v>
      </c>
      <c r="M281" s="48"/>
    </row>
    <row r="282" spans="9:13" ht="26.25" customHeight="1" x14ac:dyDescent="0.3">
      <c r="I282" s="1">
        <f>Table11819202310303132353839[[#This Row],[النولون]]+Table11819202310303132353839[[#This Row],[الايصالات]]-+Table11819202310303132353839[[#This Row],[قيمة مضافة]]</f>
        <v>0</v>
      </c>
      <c r="K282" s="1">
        <f>K281+Table11819202310303132353839[[#This Row],[اجمالي الفاتوره]]-Table11819202310303132353839[[#This Row],[الدفعات]]</f>
        <v>2221981.4</v>
      </c>
      <c r="M282" s="48"/>
    </row>
    <row r="283" spans="9:13" ht="26.25" customHeight="1" x14ac:dyDescent="0.3">
      <c r="I283" s="1">
        <f>Table11819202310303132353839[[#This Row],[النولون]]+Table11819202310303132353839[[#This Row],[الايصالات]]-+Table11819202310303132353839[[#This Row],[قيمة مضافة]]</f>
        <v>0</v>
      </c>
      <c r="K283" s="1">
        <f>K282+Table11819202310303132353839[[#This Row],[اجمالي الفاتوره]]-Table11819202310303132353839[[#This Row],[الدفعات]]</f>
        <v>2221981.4</v>
      </c>
      <c r="M283" s="48"/>
    </row>
    <row r="284" spans="9:13" ht="26.25" customHeight="1" x14ac:dyDescent="0.3">
      <c r="I284" s="1">
        <f>Table11819202310303132353839[[#This Row],[النولون]]+Table11819202310303132353839[[#This Row],[الايصالات]]-+Table11819202310303132353839[[#This Row],[قيمة مضافة]]</f>
        <v>0</v>
      </c>
      <c r="K284" s="1">
        <f>K283+Table11819202310303132353839[[#This Row],[اجمالي الفاتوره]]-Table11819202310303132353839[[#This Row],[الدفعات]]</f>
        <v>2221981.4</v>
      </c>
      <c r="M284" s="48"/>
    </row>
    <row r="285" spans="9:13" ht="26.25" customHeight="1" x14ac:dyDescent="0.3">
      <c r="I285" s="1">
        <f>Table11819202310303132353839[[#This Row],[النولون]]+Table11819202310303132353839[[#This Row],[الايصالات]]-+Table11819202310303132353839[[#This Row],[قيمة مضافة]]</f>
        <v>0</v>
      </c>
      <c r="K285" s="1">
        <f>K284+Table11819202310303132353839[[#This Row],[اجمالي الفاتوره]]-Table11819202310303132353839[[#This Row],[الدفعات]]</f>
        <v>2221981.4</v>
      </c>
      <c r="M285" s="48"/>
    </row>
    <row r="286" spans="9:13" ht="26.25" customHeight="1" x14ac:dyDescent="0.3">
      <c r="I286" s="1">
        <f>Table11819202310303132353839[[#This Row],[النولون]]+Table11819202310303132353839[[#This Row],[الايصالات]]-+Table11819202310303132353839[[#This Row],[قيمة مضافة]]</f>
        <v>0</v>
      </c>
      <c r="K286" s="1">
        <f>K285+Table11819202310303132353839[[#This Row],[اجمالي الفاتوره]]-Table11819202310303132353839[[#This Row],[الدفعات]]</f>
        <v>2221981.4</v>
      </c>
      <c r="M286" s="48"/>
    </row>
    <row r="287" spans="9:13" ht="26.25" customHeight="1" x14ac:dyDescent="0.3">
      <c r="I287" s="1">
        <f>Table11819202310303132353839[[#This Row],[النولون]]+Table11819202310303132353839[[#This Row],[الايصالات]]-+Table11819202310303132353839[[#This Row],[قيمة مضافة]]</f>
        <v>0</v>
      </c>
      <c r="K287" s="1">
        <f>K286+Table11819202310303132353839[[#This Row],[اجمالي الفاتوره]]-Table11819202310303132353839[[#This Row],[الدفعات]]</f>
        <v>2221981.4</v>
      </c>
      <c r="M287" s="48"/>
    </row>
    <row r="288" spans="9:13" ht="26.25" customHeight="1" x14ac:dyDescent="0.3">
      <c r="I288" s="1">
        <f>Table11819202310303132353839[[#This Row],[النولون]]+Table11819202310303132353839[[#This Row],[الايصالات]]-+Table11819202310303132353839[[#This Row],[قيمة مضافة]]</f>
        <v>0</v>
      </c>
      <c r="K288" s="1">
        <f>K287+Table11819202310303132353839[[#This Row],[اجمالي الفاتوره]]-Table11819202310303132353839[[#This Row],[الدفعات]]</f>
        <v>2221981.4</v>
      </c>
      <c r="M288" s="48"/>
    </row>
    <row r="289" spans="9:13" ht="26.25" customHeight="1" x14ac:dyDescent="0.3">
      <c r="I289" s="1">
        <f>Table11819202310303132353839[[#This Row],[النولون]]+Table11819202310303132353839[[#This Row],[الايصالات]]-+Table11819202310303132353839[[#This Row],[قيمة مضافة]]</f>
        <v>0</v>
      </c>
      <c r="K289" s="1">
        <f>K288+Table11819202310303132353839[[#This Row],[اجمالي الفاتوره]]-Table11819202310303132353839[[#This Row],[الدفعات]]</f>
        <v>2221981.4</v>
      </c>
      <c r="M289" s="48"/>
    </row>
    <row r="290" spans="9:13" ht="26.25" customHeight="1" x14ac:dyDescent="0.3">
      <c r="I290" s="1">
        <f>Table11819202310303132353839[[#This Row],[النولون]]+Table11819202310303132353839[[#This Row],[الايصالات]]-+Table11819202310303132353839[[#This Row],[قيمة مضافة]]</f>
        <v>0</v>
      </c>
      <c r="K290" s="1">
        <f>K289+Table11819202310303132353839[[#This Row],[اجمالي الفاتوره]]-Table11819202310303132353839[[#This Row],[الدفعات]]</f>
        <v>2221981.4</v>
      </c>
      <c r="M290" s="48"/>
    </row>
    <row r="291" spans="9:13" ht="26.25" customHeight="1" x14ac:dyDescent="0.3">
      <c r="I291" s="1">
        <f>Table11819202310303132353839[[#This Row],[النولون]]+Table11819202310303132353839[[#This Row],[الايصالات]]-+Table11819202310303132353839[[#This Row],[قيمة مضافة]]</f>
        <v>0</v>
      </c>
      <c r="K291" s="1">
        <f>K290+Table11819202310303132353839[[#This Row],[اجمالي الفاتوره]]-Table11819202310303132353839[[#This Row],[الدفعات]]</f>
        <v>2221981.4</v>
      </c>
      <c r="M291" s="48"/>
    </row>
    <row r="292" spans="9:13" ht="26.25" customHeight="1" x14ac:dyDescent="0.3">
      <c r="I292" s="1">
        <f>Table11819202310303132353839[[#This Row],[النولون]]+Table11819202310303132353839[[#This Row],[الايصالات]]-+Table11819202310303132353839[[#This Row],[قيمة مضافة]]</f>
        <v>0</v>
      </c>
      <c r="K292" s="1">
        <f>K291+Table11819202310303132353839[[#This Row],[اجمالي الفاتوره]]-Table11819202310303132353839[[#This Row],[الدفعات]]</f>
        <v>2221981.4</v>
      </c>
      <c r="M292" s="48"/>
    </row>
    <row r="293" spans="9:13" ht="26.25" customHeight="1" x14ac:dyDescent="0.3">
      <c r="I293" s="1">
        <f>Table11819202310303132353839[[#This Row],[النولون]]+Table11819202310303132353839[[#This Row],[الايصالات]]-+Table11819202310303132353839[[#This Row],[قيمة مضافة]]</f>
        <v>0</v>
      </c>
      <c r="K293" s="1">
        <f>K292+Table11819202310303132353839[[#This Row],[اجمالي الفاتوره]]-Table11819202310303132353839[[#This Row],[الدفعات]]</f>
        <v>2221981.4</v>
      </c>
      <c r="M293" s="48"/>
    </row>
    <row r="294" spans="9:13" ht="26.25" customHeight="1" x14ac:dyDescent="0.3">
      <c r="I294" s="1">
        <f>Table11819202310303132353839[[#This Row],[النولون]]+Table11819202310303132353839[[#This Row],[الايصالات]]-+Table11819202310303132353839[[#This Row],[قيمة مضافة]]</f>
        <v>0</v>
      </c>
      <c r="K294" s="1">
        <f>K293+Table11819202310303132353839[[#This Row],[اجمالي الفاتوره]]-Table11819202310303132353839[[#This Row],[الدفعات]]</f>
        <v>2221981.4</v>
      </c>
      <c r="M294" s="48"/>
    </row>
    <row r="295" spans="9:13" ht="26.25" customHeight="1" x14ac:dyDescent="0.3">
      <c r="I295" s="1">
        <f>Table11819202310303132353839[[#This Row],[النولون]]+Table11819202310303132353839[[#This Row],[الايصالات]]-+Table11819202310303132353839[[#This Row],[قيمة مضافة]]</f>
        <v>0</v>
      </c>
      <c r="K295" s="1">
        <f>K294+Table11819202310303132353839[[#This Row],[اجمالي الفاتوره]]-Table11819202310303132353839[[#This Row],[الدفعات]]</f>
        <v>2221981.4</v>
      </c>
      <c r="M295" s="48"/>
    </row>
    <row r="296" spans="9:13" ht="26.25" customHeight="1" x14ac:dyDescent="0.3">
      <c r="I296" s="1">
        <f>Table11819202310303132353839[[#This Row],[النولون]]+Table11819202310303132353839[[#This Row],[الايصالات]]-+Table11819202310303132353839[[#This Row],[قيمة مضافة]]</f>
        <v>0</v>
      </c>
      <c r="K296" s="1">
        <f>K295+Table11819202310303132353839[[#This Row],[اجمالي الفاتوره]]-Table11819202310303132353839[[#This Row],[الدفعات]]</f>
        <v>2221981.4</v>
      </c>
      <c r="M296" s="48"/>
    </row>
    <row r="297" spans="9:13" ht="26.25" customHeight="1" x14ac:dyDescent="0.3">
      <c r="I297" s="1">
        <f>Table11819202310303132353839[[#This Row],[النولون]]+Table11819202310303132353839[[#This Row],[الايصالات]]-+Table11819202310303132353839[[#This Row],[قيمة مضافة]]</f>
        <v>0</v>
      </c>
      <c r="K297" s="1">
        <f>K296+Table11819202310303132353839[[#This Row],[اجمالي الفاتوره]]-Table11819202310303132353839[[#This Row],[الدفعات]]</f>
        <v>2221981.4</v>
      </c>
      <c r="M297" s="48"/>
    </row>
    <row r="298" spans="9:13" ht="26.25" customHeight="1" x14ac:dyDescent="0.3">
      <c r="I298" s="1">
        <f>Table11819202310303132353839[[#This Row],[النولون]]+Table11819202310303132353839[[#This Row],[الايصالات]]-+Table11819202310303132353839[[#This Row],[قيمة مضافة]]</f>
        <v>0</v>
      </c>
      <c r="K298" s="1">
        <f>K297+Table11819202310303132353839[[#This Row],[اجمالي الفاتوره]]-Table11819202310303132353839[[#This Row],[الدفعات]]</f>
        <v>2221981.4</v>
      </c>
      <c r="M298" s="48"/>
    </row>
    <row r="299" spans="9:13" ht="26.25" customHeight="1" x14ac:dyDescent="0.3">
      <c r="I299" s="1">
        <f>Table11819202310303132353839[[#This Row],[النولون]]+Table11819202310303132353839[[#This Row],[الايصالات]]-+Table11819202310303132353839[[#This Row],[قيمة مضافة]]</f>
        <v>0</v>
      </c>
      <c r="K299" s="1">
        <f>K298+Table11819202310303132353839[[#This Row],[اجمالي الفاتوره]]-Table11819202310303132353839[[#This Row],[الدفعات]]</f>
        <v>2221981.4</v>
      </c>
      <c r="M299" s="48"/>
    </row>
    <row r="300" spans="9:13" ht="26.25" customHeight="1" x14ac:dyDescent="0.3">
      <c r="I300" s="1">
        <f>Table11819202310303132353839[[#This Row],[النولون]]+Table11819202310303132353839[[#This Row],[الايصالات]]-+Table11819202310303132353839[[#This Row],[قيمة مضافة]]</f>
        <v>0</v>
      </c>
      <c r="K300" s="1">
        <f>K299+Table11819202310303132353839[[#This Row],[اجمالي الفاتوره]]-Table11819202310303132353839[[#This Row],[الدفعات]]</f>
        <v>2221981.4</v>
      </c>
      <c r="M300" s="48"/>
    </row>
    <row r="301" spans="9:13" ht="26.25" customHeight="1" x14ac:dyDescent="0.3">
      <c r="I301" s="1">
        <f>Table11819202310303132353839[[#This Row],[النولون]]+Table11819202310303132353839[[#This Row],[الايصالات]]-+Table11819202310303132353839[[#This Row],[قيمة مضافة]]</f>
        <v>0</v>
      </c>
      <c r="K301" s="1">
        <f>K300+Table11819202310303132353839[[#This Row],[اجمالي الفاتوره]]-Table11819202310303132353839[[#This Row],[الدفعات]]</f>
        <v>2221981.4</v>
      </c>
      <c r="M301" s="48"/>
    </row>
    <row r="302" spans="9:13" ht="26.25" customHeight="1" x14ac:dyDescent="0.3">
      <c r="I302" s="1">
        <f>Table11819202310303132353839[[#This Row],[النولون]]+Table11819202310303132353839[[#This Row],[الايصالات]]-+Table11819202310303132353839[[#This Row],[قيمة مضافة]]</f>
        <v>0</v>
      </c>
      <c r="K302" s="1">
        <f>K301+Table11819202310303132353839[[#This Row],[اجمالي الفاتوره]]-Table11819202310303132353839[[#This Row],[الدفعات]]</f>
        <v>2221981.4</v>
      </c>
      <c r="M302" s="48"/>
    </row>
    <row r="303" spans="9:13" ht="26.25" customHeight="1" x14ac:dyDescent="0.3">
      <c r="I303" s="1">
        <f>Table11819202310303132353839[[#This Row],[النولون]]+Table11819202310303132353839[[#This Row],[الايصالات]]-+Table11819202310303132353839[[#This Row],[قيمة مضافة]]</f>
        <v>0</v>
      </c>
      <c r="K303" s="1">
        <f>K302+Table11819202310303132353839[[#This Row],[اجمالي الفاتوره]]-Table11819202310303132353839[[#This Row],[الدفعات]]</f>
        <v>2221981.4</v>
      </c>
      <c r="M303" s="48"/>
    </row>
    <row r="304" spans="9:13" ht="26.25" customHeight="1" x14ac:dyDescent="0.3">
      <c r="I304" s="1">
        <f>Table11819202310303132353839[[#This Row],[النولون]]+Table11819202310303132353839[[#This Row],[الايصالات]]-+Table11819202310303132353839[[#This Row],[قيمة مضافة]]</f>
        <v>0</v>
      </c>
      <c r="K304" s="1">
        <f>K303+Table11819202310303132353839[[#This Row],[اجمالي الفاتوره]]-Table11819202310303132353839[[#This Row],[الدفعات]]</f>
        <v>2221981.4</v>
      </c>
      <c r="M304" s="48"/>
    </row>
    <row r="305" spans="9:13" ht="26.25" customHeight="1" x14ac:dyDescent="0.3">
      <c r="I305" s="1">
        <f>Table11819202310303132353839[[#This Row],[النولون]]+Table11819202310303132353839[[#This Row],[الايصالات]]-+Table11819202310303132353839[[#This Row],[قيمة مضافة]]</f>
        <v>0</v>
      </c>
      <c r="K305" s="1">
        <f>K304+Table11819202310303132353839[[#This Row],[اجمالي الفاتوره]]-Table11819202310303132353839[[#This Row],[الدفعات]]</f>
        <v>2221981.4</v>
      </c>
      <c r="M305" s="48"/>
    </row>
    <row r="306" spans="9:13" ht="26.25" customHeight="1" x14ac:dyDescent="0.3">
      <c r="I306" s="1">
        <f>Table11819202310303132353839[[#This Row],[النولون]]+Table11819202310303132353839[[#This Row],[الايصالات]]-+Table11819202310303132353839[[#This Row],[قيمة مضافة]]</f>
        <v>0</v>
      </c>
      <c r="K306" s="1">
        <f>K305+Table11819202310303132353839[[#This Row],[اجمالي الفاتوره]]-Table11819202310303132353839[[#This Row],[الدفعات]]</f>
        <v>2221981.4</v>
      </c>
      <c r="M306" s="48"/>
    </row>
    <row r="307" spans="9:13" ht="26.25" customHeight="1" x14ac:dyDescent="0.3">
      <c r="I307" s="1">
        <f>Table11819202310303132353839[[#This Row],[النولون]]+Table11819202310303132353839[[#This Row],[الايصالات]]-+Table11819202310303132353839[[#This Row],[قيمة مضافة]]</f>
        <v>0</v>
      </c>
      <c r="K307" s="1">
        <f>K306+Table11819202310303132353839[[#This Row],[اجمالي الفاتوره]]-Table11819202310303132353839[[#This Row],[الدفعات]]</f>
        <v>2221981.4</v>
      </c>
      <c r="M307" s="48"/>
    </row>
    <row r="308" spans="9:13" ht="26.25" customHeight="1" x14ac:dyDescent="0.3">
      <c r="I308" s="1">
        <f>Table11819202310303132353839[[#This Row],[النولون]]+Table11819202310303132353839[[#This Row],[الايصالات]]-+Table11819202310303132353839[[#This Row],[قيمة مضافة]]</f>
        <v>0</v>
      </c>
      <c r="K308" s="1">
        <f>K307+Table11819202310303132353839[[#This Row],[اجمالي الفاتوره]]-Table11819202310303132353839[[#This Row],[الدفعات]]</f>
        <v>2221981.4</v>
      </c>
      <c r="M308" s="48"/>
    </row>
    <row r="309" spans="9:13" ht="26.25" customHeight="1" x14ac:dyDescent="0.3">
      <c r="I309" s="1">
        <f>Table11819202310303132353839[[#This Row],[النولون]]+Table11819202310303132353839[[#This Row],[الايصالات]]-+Table11819202310303132353839[[#This Row],[قيمة مضافة]]</f>
        <v>0</v>
      </c>
      <c r="K309" s="1">
        <f>K308+Table11819202310303132353839[[#This Row],[اجمالي الفاتوره]]-Table11819202310303132353839[[#This Row],[الدفعات]]</f>
        <v>2221981.4</v>
      </c>
      <c r="M309" s="48"/>
    </row>
    <row r="310" spans="9:13" ht="26.25" customHeight="1" x14ac:dyDescent="0.3">
      <c r="I310" s="1">
        <f>Table11819202310303132353839[[#This Row],[النولون]]+Table11819202310303132353839[[#This Row],[الايصالات]]-+Table11819202310303132353839[[#This Row],[قيمة مضافة]]</f>
        <v>0</v>
      </c>
      <c r="K310" s="1">
        <f>K309+Table11819202310303132353839[[#This Row],[اجمالي الفاتوره]]-Table11819202310303132353839[[#This Row],[الدفعات]]</f>
        <v>2221981.4</v>
      </c>
      <c r="M310" s="48"/>
    </row>
    <row r="311" spans="9:13" ht="26.25" customHeight="1" x14ac:dyDescent="0.3">
      <c r="I311" s="1">
        <f>Table11819202310303132353839[[#This Row],[النولون]]+Table11819202310303132353839[[#This Row],[الايصالات]]-+Table11819202310303132353839[[#This Row],[قيمة مضافة]]</f>
        <v>0</v>
      </c>
      <c r="K311" s="1">
        <f>K310+Table11819202310303132353839[[#This Row],[اجمالي الفاتوره]]-Table11819202310303132353839[[#This Row],[الدفعات]]</f>
        <v>2221981.4</v>
      </c>
      <c r="M311" s="48"/>
    </row>
    <row r="312" spans="9:13" ht="26.25" customHeight="1" x14ac:dyDescent="0.3">
      <c r="I312" s="1">
        <f>Table11819202310303132353839[[#This Row],[النولون]]+Table11819202310303132353839[[#This Row],[الايصالات]]-+Table11819202310303132353839[[#This Row],[قيمة مضافة]]</f>
        <v>0</v>
      </c>
      <c r="K312" s="1">
        <f>K311+Table11819202310303132353839[[#This Row],[اجمالي الفاتوره]]-Table11819202310303132353839[[#This Row],[الدفعات]]</f>
        <v>2221981.4</v>
      </c>
      <c r="M312" s="48"/>
    </row>
    <row r="313" spans="9:13" ht="26.25" customHeight="1" x14ac:dyDescent="0.3">
      <c r="I313" s="1">
        <f>Table11819202310303132353839[[#This Row],[النولون]]+Table11819202310303132353839[[#This Row],[الايصالات]]-+Table11819202310303132353839[[#This Row],[قيمة مضافة]]</f>
        <v>0</v>
      </c>
      <c r="K313" s="1">
        <f>K312+Table11819202310303132353839[[#This Row],[اجمالي الفاتوره]]-Table11819202310303132353839[[#This Row],[الدفعات]]</f>
        <v>2221981.4</v>
      </c>
      <c r="M313" s="48"/>
    </row>
    <row r="314" spans="9:13" ht="26.25" customHeight="1" x14ac:dyDescent="0.3">
      <c r="I314" s="1">
        <f>Table11819202310303132353839[[#This Row],[النولون]]+Table11819202310303132353839[[#This Row],[الايصالات]]-+Table11819202310303132353839[[#This Row],[قيمة مضافة]]</f>
        <v>0</v>
      </c>
      <c r="K314" s="1">
        <f>K313+Table11819202310303132353839[[#This Row],[اجمالي الفاتوره]]-Table11819202310303132353839[[#This Row],[الدفعات]]</f>
        <v>2221981.4</v>
      </c>
      <c r="M314" s="48"/>
    </row>
    <row r="315" spans="9:13" ht="26.25" customHeight="1" x14ac:dyDescent="0.3">
      <c r="I315" s="1">
        <f>Table11819202310303132353839[[#This Row],[النولون]]+Table11819202310303132353839[[#This Row],[الايصالات]]-+Table11819202310303132353839[[#This Row],[قيمة مضافة]]</f>
        <v>0</v>
      </c>
      <c r="K315" s="1">
        <f>K314+Table11819202310303132353839[[#This Row],[اجمالي الفاتوره]]-Table11819202310303132353839[[#This Row],[الدفعات]]</f>
        <v>2221981.4</v>
      </c>
      <c r="M315" s="48"/>
    </row>
    <row r="316" spans="9:13" ht="26.25" customHeight="1" x14ac:dyDescent="0.3">
      <c r="I316" s="1">
        <f>Table11819202310303132353839[[#This Row],[النولون]]+Table11819202310303132353839[[#This Row],[الايصالات]]-+Table11819202310303132353839[[#This Row],[قيمة مضافة]]</f>
        <v>0</v>
      </c>
      <c r="K316" s="1">
        <f>K315+Table11819202310303132353839[[#This Row],[اجمالي الفاتوره]]-Table11819202310303132353839[[#This Row],[الدفعات]]</f>
        <v>2221981.4</v>
      </c>
      <c r="M316" s="48"/>
    </row>
    <row r="317" spans="9:13" ht="26.25" customHeight="1" x14ac:dyDescent="0.3">
      <c r="I317" s="1">
        <f>Table11819202310303132353839[[#This Row],[النولون]]+Table11819202310303132353839[[#This Row],[الايصالات]]-+Table11819202310303132353839[[#This Row],[قيمة مضافة]]</f>
        <v>0</v>
      </c>
      <c r="K317" s="1">
        <f>K316+Table11819202310303132353839[[#This Row],[اجمالي الفاتوره]]-Table11819202310303132353839[[#This Row],[الدفعات]]</f>
        <v>2221981.4</v>
      </c>
      <c r="M317" s="48"/>
    </row>
    <row r="318" spans="9:13" ht="26.25" customHeight="1" x14ac:dyDescent="0.3">
      <c r="I318" s="1">
        <f>Table11819202310303132353839[[#This Row],[النولون]]+Table11819202310303132353839[[#This Row],[الايصالات]]-+Table11819202310303132353839[[#This Row],[قيمة مضافة]]</f>
        <v>0</v>
      </c>
      <c r="K318" s="1">
        <f>K317+Table11819202310303132353839[[#This Row],[اجمالي الفاتوره]]-Table11819202310303132353839[[#This Row],[الدفعات]]</f>
        <v>2221981.4</v>
      </c>
      <c r="M318" s="48"/>
    </row>
    <row r="319" spans="9:13" ht="26.25" customHeight="1" x14ac:dyDescent="0.3">
      <c r="I319" s="1">
        <f>Table11819202310303132353839[[#This Row],[النولون]]+Table11819202310303132353839[[#This Row],[الايصالات]]-+Table11819202310303132353839[[#This Row],[قيمة مضافة]]</f>
        <v>0</v>
      </c>
      <c r="K319" s="1">
        <f>K318+Table11819202310303132353839[[#This Row],[اجمالي الفاتوره]]-Table11819202310303132353839[[#This Row],[الدفعات]]</f>
        <v>2221981.4</v>
      </c>
      <c r="M319" s="48"/>
    </row>
    <row r="320" spans="9:13" ht="26.25" customHeight="1" x14ac:dyDescent="0.3">
      <c r="I320" s="1">
        <f>Table11819202310303132353839[[#This Row],[النولون]]+Table11819202310303132353839[[#This Row],[الايصالات]]-+Table11819202310303132353839[[#This Row],[قيمة مضافة]]</f>
        <v>0</v>
      </c>
      <c r="K320" s="1">
        <f>K319+Table11819202310303132353839[[#This Row],[اجمالي الفاتوره]]-Table11819202310303132353839[[#This Row],[الدفعات]]</f>
        <v>2221981.4</v>
      </c>
      <c r="M320" s="48"/>
    </row>
    <row r="321" spans="9:13" ht="26.25" customHeight="1" x14ac:dyDescent="0.3">
      <c r="I321" s="1">
        <f>Table11819202310303132353839[[#This Row],[النولون]]+Table11819202310303132353839[[#This Row],[الايصالات]]-+Table11819202310303132353839[[#This Row],[قيمة مضافة]]</f>
        <v>0</v>
      </c>
      <c r="K321" s="1">
        <f>K320+Table11819202310303132353839[[#This Row],[اجمالي الفاتوره]]-Table11819202310303132353839[[#This Row],[الدفعات]]</f>
        <v>2221981.4</v>
      </c>
      <c r="M321" s="48"/>
    </row>
    <row r="322" spans="9:13" ht="26.25" customHeight="1" x14ac:dyDescent="0.3">
      <c r="I322" s="1">
        <f>Table11819202310303132353839[[#This Row],[النولون]]+Table11819202310303132353839[[#This Row],[الايصالات]]-+Table11819202310303132353839[[#This Row],[قيمة مضافة]]</f>
        <v>0</v>
      </c>
      <c r="K322" s="1">
        <f>K321+Table11819202310303132353839[[#This Row],[اجمالي الفاتوره]]-Table11819202310303132353839[[#This Row],[الدفعات]]</f>
        <v>2221981.4</v>
      </c>
      <c r="M322" s="48"/>
    </row>
    <row r="323" spans="9:13" ht="26.25" customHeight="1" x14ac:dyDescent="0.3">
      <c r="I323" s="1">
        <f>Table11819202310303132353839[[#This Row],[النولون]]+Table11819202310303132353839[[#This Row],[الايصالات]]-+Table11819202310303132353839[[#This Row],[قيمة مضافة]]</f>
        <v>0</v>
      </c>
      <c r="K323" s="1">
        <f>K322+Table11819202310303132353839[[#This Row],[اجمالي الفاتوره]]-Table11819202310303132353839[[#This Row],[الدفعات]]</f>
        <v>2221981.4</v>
      </c>
      <c r="M323" s="48"/>
    </row>
    <row r="324" spans="9:13" ht="26.25" customHeight="1" x14ac:dyDescent="0.3">
      <c r="I324" s="1">
        <f>Table11819202310303132353839[[#This Row],[النولون]]+Table11819202310303132353839[[#This Row],[الايصالات]]-+Table11819202310303132353839[[#This Row],[قيمة مضافة]]</f>
        <v>0</v>
      </c>
      <c r="K324" s="1">
        <f>K323+Table11819202310303132353839[[#This Row],[اجمالي الفاتوره]]-Table11819202310303132353839[[#This Row],[الدفعات]]</f>
        <v>2221981.4</v>
      </c>
      <c r="M324" s="48"/>
    </row>
    <row r="325" spans="9:13" ht="26.25" customHeight="1" x14ac:dyDescent="0.3">
      <c r="I325" s="1">
        <f>Table11819202310303132353839[[#This Row],[النولون]]+Table11819202310303132353839[[#This Row],[الايصالات]]-+Table11819202310303132353839[[#This Row],[قيمة مضافة]]</f>
        <v>0</v>
      </c>
      <c r="K325" s="1">
        <f>K324+Table11819202310303132353839[[#This Row],[اجمالي الفاتوره]]-Table11819202310303132353839[[#This Row],[الدفعات]]</f>
        <v>2221981.4</v>
      </c>
      <c r="M325" s="48"/>
    </row>
    <row r="326" spans="9:13" ht="26.25" customHeight="1" x14ac:dyDescent="0.3">
      <c r="I326" s="1">
        <f>Table11819202310303132353839[[#This Row],[النولون]]+Table11819202310303132353839[[#This Row],[الايصالات]]-+Table11819202310303132353839[[#This Row],[قيمة مضافة]]</f>
        <v>0</v>
      </c>
      <c r="K326" s="1">
        <f>K325+Table11819202310303132353839[[#This Row],[اجمالي الفاتوره]]-Table11819202310303132353839[[#This Row],[الدفعات]]</f>
        <v>2221981.4</v>
      </c>
      <c r="M326" s="48"/>
    </row>
    <row r="327" spans="9:13" ht="26.25" customHeight="1" x14ac:dyDescent="0.3">
      <c r="I327" s="1">
        <f>Table11819202310303132353839[[#This Row],[النولون]]+Table11819202310303132353839[[#This Row],[الايصالات]]-+Table11819202310303132353839[[#This Row],[قيمة مضافة]]</f>
        <v>0</v>
      </c>
      <c r="K327" s="1">
        <f>K326+Table11819202310303132353839[[#This Row],[اجمالي الفاتوره]]-Table11819202310303132353839[[#This Row],[الدفعات]]</f>
        <v>2221981.4</v>
      </c>
      <c r="M327" s="48"/>
    </row>
    <row r="328" spans="9:13" ht="26.25" customHeight="1" x14ac:dyDescent="0.3">
      <c r="I328" s="1">
        <f>Table11819202310303132353839[[#This Row],[النولون]]+Table11819202310303132353839[[#This Row],[الايصالات]]-+Table11819202310303132353839[[#This Row],[قيمة مضافة]]</f>
        <v>0</v>
      </c>
      <c r="K328" s="1">
        <f>K327+Table11819202310303132353839[[#This Row],[اجمالي الفاتوره]]-Table11819202310303132353839[[#This Row],[الدفعات]]</f>
        <v>2221981.4</v>
      </c>
      <c r="M328" s="48"/>
    </row>
    <row r="329" spans="9:13" ht="26.25" customHeight="1" x14ac:dyDescent="0.3">
      <c r="I329" s="1">
        <f>Table11819202310303132353839[[#This Row],[النولون]]+Table11819202310303132353839[[#This Row],[الايصالات]]-+Table11819202310303132353839[[#This Row],[قيمة مضافة]]</f>
        <v>0</v>
      </c>
      <c r="K329" s="1">
        <f>K328+Table11819202310303132353839[[#This Row],[اجمالي الفاتوره]]-Table11819202310303132353839[[#This Row],[الدفعات]]</f>
        <v>2221981.4</v>
      </c>
      <c r="M329" s="48"/>
    </row>
    <row r="330" spans="9:13" ht="26.25" customHeight="1" x14ac:dyDescent="0.3">
      <c r="I330" s="1">
        <f>Table11819202310303132353839[[#This Row],[النولون]]+Table11819202310303132353839[[#This Row],[الايصالات]]-+Table11819202310303132353839[[#This Row],[قيمة مضافة]]</f>
        <v>0</v>
      </c>
      <c r="K330" s="1">
        <f>K329+Table11819202310303132353839[[#This Row],[اجمالي الفاتوره]]-Table11819202310303132353839[[#This Row],[الدفعات]]</f>
        <v>2221981.4</v>
      </c>
      <c r="M330" s="48"/>
    </row>
    <row r="331" spans="9:13" ht="26.25" customHeight="1" x14ac:dyDescent="0.3">
      <c r="I331" s="1">
        <f>Table11819202310303132353839[[#This Row],[النولون]]+Table11819202310303132353839[[#This Row],[الايصالات]]-+Table11819202310303132353839[[#This Row],[قيمة مضافة]]</f>
        <v>0</v>
      </c>
      <c r="K331" s="1">
        <f>K330+Table11819202310303132353839[[#This Row],[اجمالي الفاتوره]]-Table11819202310303132353839[[#This Row],[الدفعات]]</f>
        <v>2221981.4</v>
      </c>
      <c r="M331" s="48"/>
    </row>
    <row r="332" spans="9:13" ht="26.25" customHeight="1" x14ac:dyDescent="0.3">
      <c r="I332" s="1">
        <f>Table11819202310303132353839[[#This Row],[النولون]]+Table11819202310303132353839[[#This Row],[الايصالات]]-+Table11819202310303132353839[[#This Row],[قيمة مضافة]]</f>
        <v>0</v>
      </c>
      <c r="K332" s="1">
        <f>K331+Table11819202310303132353839[[#This Row],[اجمالي الفاتوره]]-Table11819202310303132353839[[#This Row],[الدفعات]]</f>
        <v>2221981.4</v>
      </c>
      <c r="M332" s="48"/>
    </row>
    <row r="333" spans="9:13" ht="26.25" customHeight="1" x14ac:dyDescent="0.3">
      <c r="I333" s="1">
        <f>Table11819202310303132353839[[#This Row],[النولون]]+Table11819202310303132353839[[#This Row],[الايصالات]]-+Table11819202310303132353839[[#This Row],[قيمة مضافة]]</f>
        <v>0</v>
      </c>
      <c r="K333" s="1">
        <f>K332+Table11819202310303132353839[[#This Row],[اجمالي الفاتوره]]-Table11819202310303132353839[[#This Row],[الدفعات]]</f>
        <v>2221981.4</v>
      </c>
      <c r="M333" s="48"/>
    </row>
    <row r="334" spans="9:13" ht="26.25" customHeight="1" x14ac:dyDescent="0.3">
      <c r="I334" s="1">
        <f>Table11819202310303132353839[[#This Row],[النولون]]+Table11819202310303132353839[[#This Row],[الايصالات]]-+Table11819202310303132353839[[#This Row],[قيمة مضافة]]</f>
        <v>0</v>
      </c>
      <c r="K334" s="1">
        <f>K333+Table11819202310303132353839[[#This Row],[اجمالي الفاتوره]]-Table11819202310303132353839[[#This Row],[الدفعات]]</f>
        <v>2221981.4</v>
      </c>
      <c r="M334" s="48"/>
    </row>
    <row r="335" spans="9:13" ht="26.25" customHeight="1" x14ac:dyDescent="0.3">
      <c r="I335" s="1">
        <f>Table11819202310303132353839[[#This Row],[النولون]]+Table11819202310303132353839[[#This Row],[الايصالات]]-+Table11819202310303132353839[[#This Row],[قيمة مضافة]]</f>
        <v>0</v>
      </c>
      <c r="K335" s="1">
        <f>K334+Table11819202310303132353839[[#This Row],[اجمالي الفاتوره]]-Table11819202310303132353839[[#This Row],[الدفعات]]</f>
        <v>2221981.4</v>
      </c>
      <c r="M335" s="48"/>
    </row>
    <row r="336" spans="9:13" ht="26.25" customHeight="1" x14ac:dyDescent="0.3">
      <c r="I336" s="1">
        <f>Table11819202310303132353839[[#This Row],[النولون]]+Table11819202310303132353839[[#This Row],[الايصالات]]-+Table11819202310303132353839[[#This Row],[قيمة مضافة]]</f>
        <v>0</v>
      </c>
      <c r="K336" s="1">
        <f>K335+Table11819202310303132353839[[#This Row],[اجمالي الفاتوره]]-Table11819202310303132353839[[#This Row],[الدفعات]]</f>
        <v>2221981.4</v>
      </c>
      <c r="M336" s="48"/>
    </row>
    <row r="337" spans="9:13" ht="26.25" customHeight="1" x14ac:dyDescent="0.3">
      <c r="I337" s="1">
        <f>Table11819202310303132353839[[#This Row],[النولون]]+Table11819202310303132353839[[#This Row],[الايصالات]]-+Table11819202310303132353839[[#This Row],[قيمة مضافة]]</f>
        <v>0</v>
      </c>
      <c r="K337" s="1">
        <f>K336+Table11819202310303132353839[[#This Row],[اجمالي الفاتوره]]-Table11819202310303132353839[[#This Row],[الدفعات]]</f>
        <v>2221981.4</v>
      </c>
      <c r="M337" s="48"/>
    </row>
    <row r="338" spans="9:13" ht="26.25" customHeight="1" x14ac:dyDescent="0.3">
      <c r="I338" s="1">
        <f>Table11819202310303132353839[[#This Row],[النولون]]+Table11819202310303132353839[[#This Row],[الايصالات]]-+Table11819202310303132353839[[#This Row],[قيمة مضافة]]</f>
        <v>0</v>
      </c>
      <c r="K338" s="1">
        <f>K337+Table11819202310303132353839[[#This Row],[اجمالي الفاتوره]]-Table11819202310303132353839[[#This Row],[الدفعات]]</f>
        <v>2221981.4</v>
      </c>
      <c r="M338" s="48"/>
    </row>
    <row r="339" spans="9:13" ht="26.25" customHeight="1" x14ac:dyDescent="0.3">
      <c r="I339" s="1">
        <f>Table11819202310303132353839[[#This Row],[النولون]]+Table11819202310303132353839[[#This Row],[الايصالات]]-+Table11819202310303132353839[[#This Row],[قيمة مضافة]]</f>
        <v>0</v>
      </c>
      <c r="K339" s="1">
        <f>K338+Table11819202310303132353839[[#This Row],[اجمالي الفاتوره]]-Table11819202310303132353839[[#This Row],[الدفعات]]</f>
        <v>2221981.4</v>
      </c>
      <c r="M339" s="48"/>
    </row>
    <row r="340" spans="9:13" ht="26.25" customHeight="1" x14ac:dyDescent="0.3">
      <c r="I340" s="1">
        <f>Table11819202310303132353839[[#This Row],[النولون]]+Table11819202310303132353839[[#This Row],[الايصالات]]-+Table11819202310303132353839[[#This Row],[قيمة مضافة]]</f>
        <v>0</v>
      </c>
      <c r="K340" s="1">
        <f>K339+Table11819202310303132353839[[#This Row],[اجمالي الفاتوره]]-Table11819202310303132353839[[#This Row],[الدفعات]]</f>
        <v>2221981.4</v>
      </c>
      <c r="M340" s="48"/>
    </row>
    <row r="341" spans="9:13" ht="26.25" customHeight="1" x14ac:dyDescent="0.3">
      <c r="I341" s="1">
        <f>Table11819202310303132353839[[#This Row],[النولون]]+Table11819202310303132353839[[#This Row],[الايصالات]]-+Table11819202310303132353839[[#This Row],[قيمة مضافة]]</f>
        <v>0</v>
      </c>
      <c r="K341" s="1">
        <f>K340+Table11819202310303132353839[[#This Row],[اجمالي الفاتوره]]-Table11819202310303132353839[[#This Row],[الدفعات]]</f>
        <v>2221981.4</v>
      </c>
      <c r="M341" s="48"/>
    </row>
    <row r="342" spans="9:13" ht="26.25" customHeight="1" x14ac:dyDescent="0.3">
      <c r="I342" s="1">
        <f>Table11819202310303132353839[[#This Row],[النولون]]+Table11819202310303132353839[[#This Row],[الايصالات]]-+Table11819202310303132353839[[#This Row],[قيمة مضافة]]</f>
        <v>0</v>
      </c>
      <c r="K342" s="1">
        <f>K341+Table11819202310303132353839[[#This Row],[اجمالي الفاتوره]]-Table11819202310303132353839[[#This Row],[الدفعات]]</f>
        <v>2221981.4</v>
      </c>
      <c r="M342" s="48"/>
    </row>
    <row r="343" spans="9:13" ht="26.25" customHeight="1" x14ac:dyDescent="0.3">
      <c r="I343" s="1">
        <f>Table11819202310303132353839[[#This Row],[النولون]]+Table11819202310303132353839[[#This Row],[الايصالات]]-+Table11819202310303132353839[[#This Row],[قيمة مضافة]]</f>
        <v>0</v>
      </c>
      <c r="K343" s="1">
        <f>K342+Table11819202310303132353839[[#This Row],[اجمالي الفاتوره]]-Table11819202310303132353839[[#This Row],[الدفعات]]</f>
        <v>2221981.4</v>
      </c>
      <c r="M343" s="48"/>
    </row>
    <row r="344" spans="9:13" ht="26.25" customHeight="1" x14ac:dyDescent="0.3">
      <c r="I344" s="1">
        <f>Table11819202310303132353839[[#This Row],[النولون]]+Table11819202310303132353839[[#This Row],[الايصالات]]-+Table11819202310303132353839[[#This Row],[قيمة مضافة]]</f>
        <v>0</v>
      </c>
      <c r="K344" s="1">
        <f>K343+Table11819202310303132353839[[#This Row],[اجمالي الفاتوره]]-Table11819202310303132353839[[#This Row],[الدفعات]]</f>
        <v>2221981.4</v>
      </c>
      <c r="M344" s="48"/>
    </row>
    <row r="345" spans="9:13" ht="26.25" customHeight="1" x14ac:dyDescent="0.3">
      <c r="I345" s="1">
        <f>Table11819202310303132353839[[#This Row],[النولون]]+Table11819202310303132353839[[#This Row],[الايصالات]]-+Table11819202310303132353839[[#This Row],[قيمة مضافة]]</f>
        <v>0</v>
      </c>
      <c r="K345" s="1">
        <f>K344+Table11819202310303132353839[[#This Row],[اجمالي الفاتوره]]-Table11819202310303132353839[[#This Row],[الدفعات]]</f>
        <v>2221981.4</v>
      </c>
      <c r="M345" s="48"/>
    </row>
    <row r="346" spans="9:13" ht="26.25" customHeight="1" x14ac:dyDescent="0.3">
      <c r="I346" s="1">
        <f>Table11819202310303132353839[[#This Row],[النولون]]+Table11819202310303132353839[[#This Row],[الايصالات]]-+Table11819202310303132353839[[#This Row],[قيمة مضافة]]</f>
        <v>0</v>
      </c>
      <c r="K346" s="1">
        <f>K345+Table11819202310303132353839[[#This Row],[اجمالي الفاتوره]]-Table11819202310303132353839[[#This Row],[الدفعات]]</f>
        <v>2221981.4</v>
      </c>
      <c r="M346" s="48"/>
    </row>
    <row r="347" spans="9:13" ht="26.25" customHeight="1" x14ac:dyDescent="0.3">
      <c r="I347" s="1">
        <f>Table11819202310303132353839[[#This Row],[النولون]]+Table11819202310303132353839[[#This Row],[الايصالات]]-+Table11819202310303132353839[[#This Row],[قيمة مضافة]]</f>
        <v>0</v>
      </c>
      <c r="K347" s="1">
        <f>K346+Table11819202310303132353839[[#This Row],[اجمالي الفاتوره]]-Table11819202310303132353839[[#This Row],[الدفعات]]</f>
        <v>2221981.4</v>
      </c>
      <c r="M347" s="48"/>
    </row>
    <row r="348" spans="9:13" ht="26.25" customHeight="1" x14ac:dyDescent="0.3">
      <c r="I348" s="1">
        <f>Table11819202310303132353839[[#This Row],[النولون]]+Table11819202310303132353839[[#This Row],[الايصالات]]-+Table11819202310303132353839[[#This Row],[قيمة مضافة]]</f>
        <v>0</v>
      </c>
      <c r="K348" s="1">
        <f>K347+Table11819202310303132353839[[#This Row],[اجمالي الفاتوره]]-Table11819202310303132353839[[#This Row],[الدفعات]]</f>
        <v>2221981.4</v>
      </c>
      <c r="M348" s="48"/>
    </row>
    <row r="349" spans="9:13" ht="26.25" customHeight="1" x14ac:dyDescent="0.3">
      <c r="I349" s="1">
        <f>Table11819202310303132353839[[#This Row],[النولون]]+Table11819202310303132353839[[#This Row],[الايصالات]]-+Table11819202310303132353839[[#This Row],[قيمة مضافة]]</f>
        <v>0</v>
      </c>
      <c r="K349" s="1">
        <f>K348+Table11819202310303132353839[[#This Row],[اجمالي الفاتوره]]-Table11819202310303132353839[[#This Row],[الدفعات]]</f>
        <v>2221981.4</v>
      </c>
      <c r="M349" s="48"/>
    </row>
    <row r="350" spans="9:13" ht="26.25" customHeight="1" x14ac:dyDescent="0.3">
      <c r="I350" s="1">
        <f>Table11819202310303132353839[[#This Row],[النولون]]+Table11819202310303132353839[[#This Row],[الايصالات]]-+Table11819202310303132353839[[#This Row],[قيمة مضافة]]</f>
        <v>0</v>
      </c>
      <c r="K350" s="1">
        <f>K349+Table11819202310303132353839[[#This Row],[اجمالي الفاتوره]]-Table11819202310303132353839[[#This Row],[الدفعات]]</f>
        <v>2221981.4</v>
      </c>
      <c r="M350" s="48"/>
    </row>
    <row r="351" spans="9:13" ht="26.25" customHeight="1" x14ac:dyDescent="0.3">
      <c r="I351" s="1">
        <f>Table11819202310303132353839[[#This Row],[النولون]]+Table11819202310303132353839[[#This Row],[الايصالات]]-+Table11819202310303132353839[[#This Row],[قيمة مضافة]]</f>
        <v>0</v>
      </c>
      <c r="K351" s="1">
        <f>K350+Table11819202310303132353839[[#This Row],[اجمالي الفاتوره]]-Table11819202310303132353839[[#This Row],[الدفعات]]</f>
        <v>2221981.4</v>
      </c>
      <c r="M351" s="48"/>
    </row>
    <row r="352" spans="9:13" ht="26.25" customHeight="1" x14ac:dyDescent="0.3">
      <c r="I352" s="1">
        <f>Table11819202310303132353839[[#This Row],[النولون]]+Table11819202310303132353839[[#This Row],[الايصالات]]-+Table11819202310303132353839[[#This Row],[قيمة مضافة]]</f>
        <v>0</v>
      </c>
      <c r="K352" s="1">
        <f>K351+Table11819202310303132353839[[#This Row],[اجمالي الفاتوره]]-Table11819202310303132353839[[#This Row],[الدفعات]]</f>
        <v>2221981.4</v>
      </c>
      <c r="M352" s="48"/>
    </row>
    <row r="353" spans="9:13" ht="26.25" customHeight="1" x14ac:dyDescent="0.3">
      <c r="I353" s="1">
        <f>Table11819202310303132353839[[#This Row],[النولون]]+Table11819202310303132353839[[#This Row],[الايصالات]]-+Table11819202310303132353839[[#This Row],[قيمة مضافة]]</f>
        <v>0</v>
      </c>
      <c r="K353" s="1">
        <f>K352+Table11819202310303132353839[[#This Row],[اجمالي الفاتوره]]-Table11819202310303132353839[[#This Row],[الدفعات]]</f>
        <v>2221981.4</v>
      </c>
      <c r="M353" s="48"/>
    </row>
    <row r="354" spans="9:13" ht="26.25" customHeight="1" x14ac:dyDescent="0.3">
      <c r="I354" s="1">
        <f>Table11819202310303132353839[[#This Row],[النولون]]+Table11819202310303132353839[[#This Row],[الايصالات]]-+Table11819202310303132353839[[#This Row],[قيمة مضافة]]</f>
        <v>0</v>
      </c>
      <c r="K354" s="1">
        <f>K353+Table11819202310303132353839[[#This Row],[اجمالي الفاتوره]]-Table11819202310303132353839[[#This Row],[الدفعات]]</f>
        <v>2221981.4</v>
      </c>
      <c r="M354" s="48"/>
    </row>
    <row r="355" spans="9:13" ht="26.25" customHeight="1" x14ac:dyDescent="0.3">
      <c r="I355" s="1">
        <f>Table11819202310303132353839[[#This Row],[النولون]]+Table11819202310303132353839[[#This Row],[الايصالات]]-+Table11819202310303132353839[[#This Row],[قيمة مضافة]]</f>
        <v>0</v>
      </c>
      <c r="K355" s="1">
        <f>K354+Table11819202310303132353839[[#This Row],[اجمالي الفاتوره]]-Table11819202310303132353839[[#This Row],[الدفعات]]</f>
        <v>2221981.4</v>
      </c>
      <c r="M355" s="48"/>
    </row>
    <row r="356" spans="9:13" ht="26.25" customHeight="1" x14ac:dyDescent="0.3">
      <c r="I356" s="1">
        <f>Table11819202310303132353839[[#This Row],[النولون]]+Table11819202310303132353839[[#This Row],[الايصالات]]-+Table11819202310303132353839[[#This Row],[قيمة مضافة]]</f>
        <v>0</v>
      </c>
      <c r="K356" s="1">
        <f>K355+Table11819202310303132353839[[#This Row],[اجمالي الفاتوره]]-Table11819202310303132353839[[#This Row],[الدفعات]]</f>
        <v>2221981.4</v>
      </c>
      <c r="M356" s="48"/>
    </row>
    <row r="357" spans="9:13" ht="26.25" customHeight="1" x14ac:dyDescent="0.3">
      <c r="I357" s="1">
        <f>Table11819202310303132353839[[#This Row],[النولون]]+Table11819202310303132353839[[#This Row],[الايصالات]]-+Table11819202310303132353839[[#This Row],[قيمة مضافة]]</f>
        <v>0</v>
      </c>
      <c r="K357" s="1">
        <f>K356+Table11819202310303132353839[[#This Row],[اجمالي الفاتوره]]-Table11819202310303132353839[[#This Row],[الدفعات]]</f>
        <v>2221981.4</v>
      </c>
      <c r="M357" s="48"/>
    </row>
    <row r="358" spans="9:13" ht="26.25" customHeight="1" x14ac:dyDescent="0.3">
      <c r="I358" s="1">
        <f>Table11819202310303132353839[[#This Row],[النولون]]+Table11819202310303132353839[[#This Row],[الايصالات]]-+Table11819202310303132353839[[#This Row],[قيمة مضافة]]</f>
        <v>0</v>
      </c>
      <c r="K358" s="1">
        <f>K357+Table11819202310303132353839[[#This Row],[اجمالي الفاتوره]]-Table11819202310303132353839[[#This Row],[الدفعات]]</f>
        <v>2221981.4</v>
      </c>
      <c r="M358" s="48"/>
    </row>
    <row r="359" spans="9:13" ht="26.25" customHeight="1" x14ac:dyDescent="0.3">
      <c r="I359" s="1">
        <f>Table11819202310303132353839[[#This Row],[النولون]]+Table11819202310303132353839[[#This Row],[الايصالات]]-+Table11819202310303132353839[[#This Row],[قيمة مضافة]]</f>
        <v>0</v>
      </c>
      <c r="K359" s="1">
        <f>K358+Table11819202310303132353839[[#This Row],[اجمالي الفاتوره]]-Table11819202310303132353839[[#This Row],[الدفعات]]</f>
        <v>2221981.4</v>
      </c>
      <c r="M359" s="48"/>
    </row>
    <row r="360" spans="9:13" ht="26.25" customHeight="1" x14ac:dyDescent="0.3">
      <c r="I360" s="1">
        <f>Table11819202310303132353839[[#This Row],[النولون]]+Table11819202310303132353839[[#This Row],[الايصالات]]-+Table11819202310303132353839[[#This Row],[قيمة مضافة]]</f>
        <v>0</v>
      </c>
      <c r="K360" s="1">
        <f>K359+Table11819202310303132353839[[#This Row],[اجمالي الفاتوره]]-Table11819202310303132353839[[#This Row],[الدفعات]]</f>
        <v>2221981.4</v>
      </c>
      <c r="M360" s="48"/>
    </row>
    <row r="361" spans="9:13" ht="26.25" customHeight="1" x14ac:dyDescent="0.3">
      <c r="I361" s="1">
        <f>Table11819202310303132353839[[#This Row],[النولون]]+Table11819202310303132353839[[#This Row],[الايصالات]]-+Table11819202310303132353839[[#This Row],[قيمة مضافة]]</f>
        <v>0</v>
      </c>
      <c r="K361" s="1">
        <f>K360+Table11819202310303132353839[[#This Row],[اجمالي الفاتوره]]-Table11819202310303132353839[[#This Row],[الدفعات]]</f>
        <v>2221981.4</v>
      </c>
      <c r="M361" s="48"/>
    </row>
    <row r="362" spans="9:13" ht="26.25" customHeight="1" x14ac:dyDescent="0.3">
      <c r="I362" s="1">
        <f>Table11819202310303132353839[[#This Row],[النولون]]+Table11819202310303132353839[[#This Row],[الايصالات]]-+Table11819202310303132353839[[#This Row],[قيمة مضافة]]</f>
        <v>0</v>
      </c>
      <c r="K362" s="1">
        <f>K361+Table11819202310303132353839[[#This Row],[اجمالي الفاتوره]]-Table11819202310303132353839[[#This Row],[الدفعات]]</f>
        <v>2221981.4</v>
      </c>
      <c r="M362" s="48"/>
    </row>
    <row r="363" spans="9:13" ht="26.25" customHeight="1" x14ac:dyDescent="0.3">
      <c r="I363" s="1">
        <f>Table11819202310303132353839[[#This Row],[النولون]]+Table11819202310303132353839[[#This Row],[الايصالات]]-+Table11819202310303132353839[[#This Row],[قيمة مضافة]]</f>
        <v>0</v>
      </c>
      <c r="K363" s="1">
        <f>K362+Table11819202310303132353839[[#This Row],[اجمالي الفاتوره]]-Table11819202310303132353839[[#This Row],[الدفعات]]</f>
        <v>2221981.4</v>
      </c>
      <c r="M363" s="48"/>
    </row>
    <row r="364" spans="9:13" ht="26.25" customHeight="1" x14ac:dyDescent="0.3">
      <c r="I364" s="1">
        <f>Table11819202310303132353839[[#This Row],[النولون]]+Table11819202310303132353839[[#This Row],[الايصالات]]-+Table11819202310303132353839[[#This Row],[قيمة مضافة]]</f>
        <v>0</v>
      </c>
      <c r="K364" s="1">
        <f>K363+Table11819202310303132353839[[#This Row],[اجمالي الفاتوره]]-Table11819202310303132353839[[#This Row],[الدفعات]]</f>
        <v>2221981.4</v>
      </c>
      <c r="M364" s="48"/>
    </row>
    <row r="365" spans="9:13" ht="26.25" customHeight="1" x14ac:dyDescent="0.3">
      <c r="K365" s="1">
        <f>K364+Table11819202310303132353839[[#This Row],[اجمالي الفاتوره]]-Table11819202310303132353839[[#This Row],[الدفعات]]</f>
        <v>2221981.4</v>
      </c>
      <c r="M365" s="48"/>
    </row>
    <row r="366" spans="9:13" ht="26.25" customHeight="1" x14ac:dyDescent="0.3">
      <c r="K366" s="1">
        <f>K365+Table11819202310303132353839[[#This Row],[اجمالي الفاتوره]]-Table11819202310303132353839[[#This Row],[الدفعات]]</f>
        <v>2221981.4</v>
      </c>
      <c r="M366" s="48"/>
    </row>
    <row r="367" spans="9:13" ht="26.25" customHeight="1" x14ac:dyDescent="0.3">
      <c r="K367" s="1">
        <f>K366+Table11819202310303132353839[[#This Row],[اجمالي الفاتوره]]-Table11819202310303132353839[[#This Row],[الدفعات]]</f>
        <v>2221981.4</v>
      </c>
      <c r="M367" s="48"/>
    </row>
    <row r="368" spans="9:13" ht="26.25" customHeight="1" x14ac:dyDescent="0.3">
      <c r="K368" s="1">
        <f>K367+Table11819202310303132353839[[#This Row],[اجمالي الفاتوره]]-Table11819202310303132353839[[#This Row],[الدفعات]]</f>
        <v>2221981.4</v>
      </c>
      <c r="M368" s="48"/>
    </row>
    <row r="369" spans="11:13" ht="26.25" customHeight="1" x14ac:dyDescent="0.3">
      <c r="K369" s="1">
        <f>K368+Table11819202310303132353839[[#This Row],[اجمالي الفاتوره]]-Table11819202310303132353839[[#This Row],[الدفعات]]</f>
        <v>2221981.4</v>
      </c>
      <c r="M369" s="48"/>
    </row>
    <row r="370" spans="11:13" ht="26.25" customHeight="1" x14ac:dyDescent="0.3">
      <c r="K370" s="1">
        <f>K369+Table11819202310303132353839[[#This Row],[اجمالي الفاتوره]]-Table11819202310303132353839[[#This Row],[الدفعات]]</f>
        <v>2221981.4</v>
      </c>
      <c r="M370" s="48"/>
    </row>
    <row r="371" spans="11:13" ht="26.25" customHeight="1" x14ac:dyDescent="0.3">
      <c r="K371" s="1">
        <f>K370+Table11819202310303132353839[[#This Row],[اجمالي الفاتوره]]-Table11819202310303132353839[[#This Row],[الدفعات]]</f>
        <v>2221981.4</v>
      </c>
      <c r="M371" s="48"/>
    </row>
    <row r="372" spans="11:13" ht="26.25" customHeight="1" x14ac:dyDescent="0.3">
      <c r="K372" s="1">
        <f>K371+Table11819202310303132353839[[#This Row],[اجمالي الفاتوره]]-Table11819202310303132353839[[#This Row],[الدفعات]]</f>
        <v>2221981.4</v>
      </c>
      <c r="M372" s="48"/>
    </row>
    <row r="373" spans="11:13" ht="26.25" customHeight="1" x14ac:dyDescent="0.3">
      <c r="K373" s="1">
        <f>K372+Table11819202310303132353839[[#This Row],[اجمالي الفاتوره]]-Table11819202310303132353839[[#This Row],[الدفعات]]</f>
        <v>2221981.4</v>
      </c>
      <c r="M373" s="48"/>
    </row>
    <row r="374" spans="11:13" ht="26.25" customHeight="1" x14ac:dyDescent="0.3">
      <c r="K374" s="1">
        <f>K373+Table11819202310303132353839[[#This Row],[اجمالي الفاتوره]]-Table11819202310303132353839[[#This Row],[الدفعات]]</f>
        <v>2221981.4</v>
      </c>
      <c r="M374" s="48"/>
    </row>
  </sheetData>
  <phoneticPr fontId="2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347"/>
  <sheetViews>
    <sheetView rightToLeft="1" topLeftCell="A14" zoomScaleNormal="100" workbookViewId="0">
      <selection activeCell="E27" sqref="E27"/>
    </sheetView>
  </sheetViews>
  <sheetFormatPr defaultColWidth="9.109375" defaultRowHeight="15.6" x14ac:dyDescent="0.3"/>
  <cols>
    <col min="1" max="1" width="6.77734375" style="6" customWidth="1"/>
    <col min="2" max="2" width="5.44140625" style="1" customWidth="1"/>
    <col min="3" max="3" width="11" style="1" customWidth="1"/>
    <col min="4" max="4" width="14.77734375" style="1" customWidth="1"/>
    <col min="5" max="5" width="11.21875" style="1" customWidth="1"/>
    <col min="6" max="6" width="13.33203125" style="1" customWidth="1"/>
    <col min="7" max="7" width="12.33203125" style="1" customWidth="1"/>
    <col min="8" max="8" width="11.6640625" style="1" customWidth="1"/>
    <col min="9" max="9" width="8.21875" style="1" customWidth="1"/>
    <col min="10" max="10" width="10.77734375" style="1" customWidth="1"/>
    <col min="11" max="11" width="12.109375" style="1" customWidth="1"/>
    <col min="12" max="12" width="11.77734375" style="1" customWidth="1"/>
    <col min="13" max="13" width="15.21875" style="1" customWidth="1"/>
    <col min="14" max="14" width="11" style="1" customWidth="1"/>
    <col min="15" max="16384" width="9.109375" style="1"/>
  </cols>
  <sheetData>
    <row r="1" spans="1:15" ht="26.25" customHeight="1" x14ac:dyDescent="0.3">
      <c r="A1" s="6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8" t="s">
        <v>20</v>
      </c>
    </row>
    <row r="2" spans="1:15" ht="26.25" customHeight="1" x14ac:dyDescent="0.3">
      <c r="A2" s="6">
        <v>1261</v>
      </c>
      <c r="C2" s="2" t="s">
        <v>237</v>
      </c>
      <c r="D2" s="1" t="s">
        <v>238</v>
      </c>
      <c r="E2" s="1" t="s">
        <v>239</v>
      </c>
      <c r="F2" s="1">
        <v>874984</v>
      </c>
      <c r="G2" s="1" t="s">
        <v>240</v>
      </c>
      <c r="H2" s="1">
        <f>12*26800</f>
        <v>321600</v>
      </c>
      <c r="J2" s="1">
        <f>24*120+100+11*560+365.21*8+382.42*2+399.64+420.29+3*1215+3*1250+6*1350+850*2+3192+3762+2736+1200+17784+3600+4104</f>
        <v>67219.45</v>
      </c>
      <c r="K2" s="1">
        <f>Table1181920231030313235383940[[#This Row],[النولون]]+Table1181920231030313235383940[[#This Row],[الايصالات]]+Table1181920231030313235383940[[#This Row],[قيمة مضافة]]</f>
        <v>388819.45</v>
      </c>
      <c r="M2" s="1">
        <f>Table1181920231030313235383940[[#This Row],[اجمالي الفاتوره]]</f>
        <v>388819.45</v>
      </c>
      <c r="O2" s="48"/>
    </row>
    <row r="3" spans="1:15" ht="26.25" customHeight="1" x14ac:dyDescent="0.3">
      <c r="B3" s="1">
        <v>1</v>
      </c>
      <c r="C3" s="2" t="s">
        <v>237</v>
      </c>
      <c r="D3" s="1" t="s">
        <v>238</v>
      </c>
      <c r="H3" s="1">
        <v>2500</v>
      </c>
      <c r="J3" s="1">
        <f>23*200+2410+35+574.7+3405+600</f>
        <v>11624.7</v>
      </c>
      <c r="K3" s="1">
        <f>Table1181920231030313235383940[[#This Row],[النولون]]+Table1181920231030313235383940[[#This Row],[الايصالات]]+Table1181920231030313235383940[[#This Row],[قيمة مضافة]]</f>
        <v>14124.7</v>
      </c>
      <c r="M3" s="1">
        <f>M2+Table1181920231030313235383940[[#This Row],[اجمالي الفاتوره]]-Table1181920231030313235383940[[#This Row],[الدفعات]]</f>
        <v>402944.15</v>
      </c>
      <c r="O3" s="48"/>
    </row>
    <row r="4" spans="1:15" ht="26.25" customHeight="1" x14ac:dyDescent="0.3">
      <c r="B4" s="1">
        <v>2</v>
      </c>
      <c r="C4" s="2" t="s">
        <v>237</v>
      </c>
      <c r="D4" s="1" t="s">
        <v>241</v>
      </c>
      <c r="E4" s="1" t="s">
        <v>242</v>
      </c>
      <c r="J4" s="1">
        <v>1010</v>
      </c>
      <c r="K4" s="1">
        <f>Table1181920231030313235383940[[#This Row],[النولون]]+Table1181920231030313235383940[[#This Row],[الايصالات]]+Table1181920231030313235383940[[#This Row],[قيمة مضافة]]</f>
        <v>1010</v>
      </c>
      <c r="M4" s="1">
        <f>M3+Table1181920231030313235383940[[#This Row],[اجمالي الفاتوره]]-Table1181920231030313235383940[[#This Row],[الدفعات]]</f>
        <v>403954.15</v>
      </c>
      <c r="O4" s="48"/>
    </row>
    <row r="5" spans="1:15" ht="26.25" customHeight="1" x14ac:dyDescent="0.3">
      <c r="A5" s="6">
        <v>1270</v>
      </c>
      <c r="C5" s="2" t="s">
        <v>265</v>
      </c>
      <c r="D5" s="1" t="s">
        <v>238</v>
      </c>
      <c r="E5" s="1" t="s">
        <v>239</v>
      </c>
      <c r="F5" s="1">
        <v>1346</v>
      </c>
      <c r="G5" s="1" t="s">
        <v>266</v>
      </c>
      <c r="H5" s="1">
        <f>26800*6</f>
        <v>160800</v>
      </c>
      <c r="J5" s="1">
        <f>12*120+1350+1772.87+1250+1315*4+5*365.21+180+600+560*6+2017.8+6726</f>
        <v>25782.719999999998</v>
      </c>
      <c r="K5" s="1">
        <f>Table1181920231030313235383940[[#This Row],[النولون]]+Table1181920231030313235383940[[#This Row],[الايصالات]]+Table1181920231030313235383940[[#This Row],[قيمة مضافة]]</f>
        <v>186582.72</v>
      </c>
      <c r="M5" s="1">
        <f>M4+Table1181920231030313235383940[[#This Row],[اجمالي الفاتوره]]-Table1181920231030313235383940[[#This Row],[الدفعات]]</f>
        <v>590536.87</v>
      </c>
      <c r="O5" s="48"/>
    </row>
    <row r="6" spans="1:15" ht="26.25" customHeight="1" x14ac:dyDescent="0.3">
      <c r="B6" s="1">
        <v>3</v>
      </c>
      <c r="C6" s="2" t="s">
        <v>265</v>
      </c>
      <c r="D6" s="1" t="s">
        <v>238</v>
      </c>
      <c r="E6" s="1" t="s">
        <v>239</v>
      </c>
      <c r="H6" s="1">
        <v>2500</v>
      </c>
      <c r="J6" s="1">
        <f>11*200+1210+35+574.7</f>
        <v>4019.7</v>
      </c>
      <c r="K6" s="1">
        <f>Table1181920231030313235383940[[#This Row],[النولون]]+Table1181920231030313235383940[[#This Row],[الايصالات]]+Table1181920231030313235383940[[#This Row],[قيمة مضافة]]</f>
        <v>6519.7</v>
      </c>
      <c r="M6" s="1">
        <f>M5+Table1181920231030313235383940[[#This Row],[اجمالي الفاتوره]]-Table1181920231030313235383940[[#This Row],[الدفعات]]</f>
        <v>597056.56999999995</v>
      </c>
      <c r="O6" s="48"/>
    </row>
    <row r="7" spans="1:15" ht="26.25" customHeight="1" x14ac:dyDescent="0.3">
      <c r="A7" s="6">
        <v>1271</v>
      </c>
      <c r="C7" s="2" t="s">
        <v>265</v>
      </c>
      <c r="D7" s="1" t="s">
        <v>238</v>
      </c>
      <c r="E7" s="1" t="s">
        <v>239</v>
      </c>
      <c r="F7" s="1">
        <v>878005</v>
      </c>
      <c r="G7" s="1" t="s">
        <v>267</v>
      </c>
      <c r="H7" s="1">
        <f>11*26800</f>
        <v>294800</v>
      </c>
      <c r="J7" s="1">
        <f>850+24*120+365.21*11+1350+1250+1315*9+420+560*8+16302+1368+3300+3762</f>
        <v>51814.31</v>
      </c>
      <c r="K7" s="1">
        <f>Table1181920231030313235383940[[#This Row],[النولون]]+Table1181920231030313235383940[[#This Row],[الايصالات]]+Table1181920231030313235383940[[#This Row],[قيمة مضافة]]</f>
        <v>346614.31</v>
      </c>
      <c r="M7" s="1">
        <f>M6+Table1181920231030313235383940[[#This Row],[اجمالي الفاتوره]]-Table1181920231030313235383940[[#This Row],[الدفعات]]</f>
        <v>943670.87999999989</v>
      </c>
      <c r="O7" s="48"/>
    </row>
    <row r="8" spans="1:15" ht="26.25" customHeight="1" x14ac:dyDescent="0.3">
      <c r="B8" s="1">
        <v>4</v>
      </c>
      <c r="C8" s="2" t="s">
        <v>265</v>
      </c>
      <c r="D8" s="1" t="s">
        <v>238</v>
      </c>
      <c r="E8" s="1" t="s">
        <v>239</v>
      </c>
      <c r="H8" s="1">
        <v>2500</v>
      </c>
      <c r="J8" s="1">
        <f>21*200+2210+35+574.7</f>
        <v>7019.7</v>
      </c>
      <c r="K8" s="1">
        <f>Table1181920231030313235383940[[#This Row],[النولون]]+Table1181920231030313235383940[[#This Row],[الايصالات]]+Table1181920231030313235383940[[#This Row],[قيمة مضافة]]</f>
        <v>9519.7000000000007</v>
      </c>
      <c r="M8" s="1">
        <f>M7+Table1181920231030313235383940[[#This Row],[اجمالي الفاتوره]]-Table1181920231030313235383940[[#This Row],[الدفعات]]</f>
        <v>953190.57999999984</v>
      </c>
      <c r="O8" s="48"/>
    </row>
    <row r="9" spans="1:15" ht="26.25" customHeight="1" x14ac:dyDescent="0.3">
      <c r="A9" s="74"/>
      <c r="B9" s="72"/>
      <c r="C9" s="73" t="s">
        <v>288</v>
      </c>
      <c r="D9" s="72"/>
      <c r="E9" s="72"/>
      <c r="F9" s="72"/>
      <c r="G9" s="72"/>
      <c r="H9" s="72"/>
      <c r="I9" s="72"/>
      <c r="J9" s="72"/>
      <c r="K9" s="72">
        <f>Table1181920231030313235383940[[#This Row],[النولون]]+Table1181920231030313235383940[[#This Row],[الايصالات]]+Table1181920231030313235383940[[#This Row],[قيمة مضافة]]</f>
        <v>0</v>
      </c>
      <c r="L9" s="72">
        <v>589956.56999999995</v>
      </c>
      <c r="M9" s="72">
        <f>M8+Table1181920231030313235383940[[#This Row],[اجمالي الفاتوره]]-Table1181920231030313235383940[[#This Row],[الدفعات]]</f>
        <v>363234.00999999989</v>
      </c>
      <c r="N9" s="1">
        <f>SUM(K:K)-SUM(L:L)</f>
        <v>0</v>
      </c>
      <c r="O9" s="48">
        <f>SUM(I:I)</f>
        <v>0</v>
      </c>
    </row>
    <row r="10" spans="1:15" ht="26.25" customHeight="1" x14ac:dyDescent="0.3">
      <c r="A10" s="74"/>
      <c r="B10" s="76"/>
      <c r="C10" s="80"/>
      <c r="D10" s="76"/>
      <c r="E10" s="76"/>
      <c r="F10" s="76"/>
      <c r="G10" s="76"/>
      <c r="H10" s="76"/>
      <c r="I10" s="76"/>
      <c r="J10" s="76"/>
      <c r="K10" s="76">
        <f>Table1181920231030313235383940[[#This Row],[النولون]]+Table1181920231030313235383940[[#This Row],[الايصالات]]+Table1181920231030313235383940[[#This Row],[قيمة مضافة]]</f>
        <v>0</v>
      </c>
      <c r="L10" s="76">
        <v>356134.01</v>
      </c>
      <c r="M10" s="72">
        <f>M9+Table1181920231030313235383940[[#This Row],[اجمالي الفاتوره]]-Table1181920231030313235383940[[#This Row],[الدفعات]]</f>
        <v>7099.9999999998836</v>
      </c>
      <c r="N10" s="48"/>
      <c r="O10" s="48"/>
    </row>
    <row r="11" spans="1:15" ht="26.25" customHeight="1" x14ac:dyDescent="0.3">
      <c r="A11" s="6">
        <v>1288</v>
      </c>
      <c r="C11" s="2" t="s">
        <v>299</v>
      </c>
      <c r="D11" s="1" t="s">
        <v>238</v>
      </c>
      <c r="E11" s="1" t="s">
        <v>239</v>
      </c>
      <c r="F11" s="1">
        <v>878872</v>
      </c>
      <c r="G11" s="1" t="s">
        <v>300</v>
      </c>
      <c r="H11" s="1">
        <f>26800*9</f>
        <v>241200</v>
      </c>
      <c r="J11" s="1">
        <f>850+560*9+614.9+1065+389.31+1115+389.31+1115+365.21*6+1115*3+1065+1150*2+45.15*2+105.79*7+18*120+2700+3078+451.45</f>
        <v>28700.059999999998</v>
      </c>
      <c r="K11" s="1">
        <f>Table1181920231030313235383940[[#This Row],[النولون]]+Table1181920231030313235383940[[#This Row],[الايصالات]]+Table1181920231030313235383940[[#This Row],[قيمة مضافة]]</f>
        <v>269900.06</v>
      </c>
      <c r="M11" s="1">
        <f>M10+Table1181920231030313235383940[[#This Row],[اجمالي الفاتوره]]-Table1181920231030313235383940[[#This Row],[الدفعات]]</f>
        <v>277000.05999999988</v>
      </c>
      <c r="O11" s="48"/>
    </row>
    <row r="12" spans="1:15" ht="26.25" customHeight="1" x14ac:dyDescent="0.3">
      <c r="B12" s="1">
        <v>5</v>
      </c>
      <c r="C12" s="2" t="s">
        <v>299</v>
      </c>
      <c r="D12" s="1" t="s">
        <v>238</v>
      </c>
      <c r="E12" s="1" t="s">
        <v>239</v>
      </c>
      <c r="H12" s="1">
        <v>2500</v>
      </c>
      <c r="J12" s="1">
        <f>574.7+17*200</f>
        <v>3974.7</v>
      </c>
      <c r="K12" s="1">
        <f>Table1181920231030313235383940[[#This Row],[النولون]]+Table1181920231030313235383940[[#This Row],[الايصالات]]+Table1181920231030313235383940[[#This Row],[قيمة مضافة]]</f>
        <v>6474.7</v>
      </c>
      <c r="M12" s="1">
        <f>M11+Table1181920231030313235383940[[#This Row],[اجمالي الفاتوره]]-Table1181920231030313235383940[[#This Row],[الدفعات]]</f>
        <v>283474.75999999989</v>
      </c>
      <c r="O12" s="48"/>
    </row>
    <row r="13" spans="1:15" ht="26.25" customHeight="1" x14ac:dyDescent="0.3">
      <c r="A13" s="74"/>
      <c r="B13" s="72"/>
      <c r="C13" s="73" t="s">
        <v>356</v>
      </c>
      <c r="D13" s="72"/>
      <c r="E13" s="72"/>
      <c r="F13" s="72"/>
      <c r="G13" s="72"/>
      <c r="H13" s="72"/>
      <c r="I13" s="72"/>
      <c r="J13" s="72"/>
      <c r="K13" s="72">
        <f>Table1181920231030313235383940[[#This Row],[النولون]]+Table1181920231030313235383940[[#This Row],[الايصالات]]+Table1181920231030313235383940[[#This Row],[قيمة مضافة]]</f>
        <v>0</v>
      </c>
      <c r="L13" s="72">
        <v>283474.76</v>
      </c>
      <c r="M13" s="72">
        <f>M12+Table1181920231030313235383940[[#This Row],[اجمالي الفاتوره]]-Table1181920231030313235383940[[#This Row],[الدفعات]]</f>
        <v>0</v>
      </c>
      <c r="O13" s="48"/>
    </row>
    <row r="14" spans="1:15" ht="26.25" customHeight="1" x14ac:dyDescent="0.3">
      <c r="A14" s="6">
        <v>1388</v>
      </c>
      <c r="C14" s="2">
        <v>46130</v>
      </c>
      <c r="D14" s="1" t="s">
        <v>238</v>
      </c>
      <c r="E14" s="1" t="s">
        <v>239</v>
      </c>
      <c r="F14" s="1">
        <v>4965</v>
      </c>
      <c r="G14" s="1" t="s">
        <v>300</v>
      </c>
      <c r="H14" s="1">
        <f>9*28000</f>
        <v>252000</v>
      </c>
      <c r="J14" s="1">
        <f>1368+13748.4+1080+1350*4+1115*2+1315*3+365.21*2+375.54+372.09+372.09+836.05+389.31+385.86+372.09+850+560*8+16*120</f>
        <v>38854.850000000006</v>
      </c>
      <c r="K14" s="1">
        <f>Table1181920231030313235383940[[#This Row],[النولون]]+Table1181920231030313235383940[[#This Row],[الايصالات]]+Table1181920231030313235383940[[#This Row],[قيمة مضافة]]</f>
        <v>290854.84999999998</v>
      </c>
      <c r="M14" s="1">
        <f>M13+Table1181920231030313235383940[[#This Row],[اجمالي الفاتوره]]-Table1181920231030313235383940[[#This Row],[الدفعات]]</f>
        <v>290854.84999999998</v>
      </c>
      <c r="O14" s="48"/>
    </row>
    <row r="15" spans="1:15" ht="26.25" customHeight="1" x14ac:dyDescent="0.3">
      <c r="B15" s="1">
        <v>6</v>
      </c>
      <c r="C15" s="2">
        <v>46130</v>
      </c>
      <c r="D15" s="1" t="s">
        <v>238</v>
      </c>
      <c r="E15" s="1" t="s">
        <v>239</v>
      </c>
      <c r="H15" s="1">
        <v>2500</v>
      </c>
      <c r="J15" s="1">
        <f>35+574.7+200*17</f>
        <v>4009.7</v>
      </c>
      <c r="K15" s="1">
        <f>Table1181920231030313235383940[[#This Row],[النولون]]+Table1181920231030313235383940[[#This Row],[الايصالات]]+Table1181920231030313235383940[[#This Row],[قيمة مضافة]]</f>
        <v>6509.7</v>
      </c>
      <c r="M15" s="1">
        <f>M14+Table1181920231030313235383940[[#This Row],[اجمالي الفاتوره]]-Table1181920231030313235383940[[#This Row],[الدفعات]]</f>
        <v>297364.55</v>
      </c>
      <c r="O15" s="48"/>
    </row>
    <row r="16" spans="1:15" ht="26.25" customHeight="1" x14ac:dyDescent="0.3">
      <c r="A16" s="6">
        <v>1389</v>
      </c>
      <c r="B16" s="20"/>
      <c r="C16" s="23">
        <v>46130</v>
      </c>
      <c r="D16" s="1" t="s">
        <v>238</v>
      </c>
      <c r="E16" s="1" t="s">
        <v>239</v>
      </c>
      <c r="F16" s="20">
        <v>4973</v>
      </c>
      <c r="G16" s="1" t="s">
        <v>300</v>
      </c>
      <c r="H16" s="20">
        <f>9*28000</f>
        <v>252000</v>
      </c>
      <c r="I16" s="20"/>
      <c r="J16" s="20">
        <f>850*2+1080+21*120+9*560+2394+13748.4+9*1315+6*365.21+399.64+600.75+396.19</f>
        <v>41905.240000000005</v>
      </c>
      <c r="K16" s="20">
        <f>Table1181920231030313235383940[[#This Row],[النولون]]+Table1181920231030313235383940[[#This Row],[الايصالات]]+Table1181920231030313235383940[[#This Row],[قيمة مضافة]]</f>
        <v>293905.24</v>
      </c>
      <c r="L16" s="20"/>
      <c r="M16" s="1">
        <f>M15+Table1181920231030313235383940[[#This Row],[اجمالي الفاتوره]]-Table1181920231030313235383940[[#This Row],[الدفعات]]</f>
        <v>591269.79</v>
      </c>
      <c r="N16" s="20"/>
      <c r="O16" s="48"/>
    </row>
    <row r="17" spans="1:15" ht="26.25" customHeight="1" x14ac:dyDescent="0.3">
      <c r="B17" s="1">
        <v>7</v>
      </c>
      <c r="C17" s="2">
        <v>46130</v>
      </c>
      <c r="D17" s="1" t="s">
        <v>238</v>
      </c>
      <c r="E17" s="1" t="s">
        <v>239</v>
      </c>
      <c r="H17" s="1">
        <v>2500</v>
      </c>
      <c r="J17" s="1">
        <f>35+574.7+200*17</f>
        <v>4009.7</v>
      </c>
      <c r="K17" s="1">
        <f>Table1181920231030313235383940[[#This Row],[النولون]]+Table1181920231030313235383940[[#This Row],[الايصالات]]+Table1181920231030313235383940[[#This Row],[قيمة مضافة]]</f>
        <v>6509.7</v>
      </c>
      <c r="M17" s="1">
        <f>M16+Table1181920231030313235383940[[#This Row],[اجمالي الفاتوره]]-Table1181920231030313235383940[[#This Row],[الدفعات]]</f>
        <v>597779.49</v>
      </c>
      <c r="O17" s="48"/>
    </row>
    <row r="18" spans="1:15" ht="26.25" customHeight="1" x14ac:dyDescent="0.3">
      <c r="A18" s="74"/>
      <c r="B18" s="72"/>
      <c r="C18" s="73">
        <v>46139</v>
      </c>
      <c r="D18" s="72"/>
      <c r="E18" s="72"/>
      <c r="F18" s="72"/>
      <c r="G18" s="72"/>
      <c r="H18" s="72"/>
      <c r="I18" s="72"/>
      <c r="J18" s="72"/>
      <c r="K18" s="72">
        <f>Table1181920231030313235383940[[#This Row],[النولون]]+Table1181920231030313235383940[[#This Row],[الايصالات]]+Table1181920231030313235383940[[#This Row],[قيمة مضافة]]</f>
        <v>0</v>
      </c>
      <c r="L18" s="72">
        <v>597779.49</v>
      </c>
      <c r="M18" s="72">
        <f>M17+Table1181920231030313235383940[[#This Row],[اجمالي الفاتوره]]-Table1181920231030313235383940[[#This Row],[الدفعات]]</f>
        <v>0</v>
      </c>
      <c r="O18" s="48"/>
    </row>
    <row r="19" spans="1:15" ht="26.25" customHeight="1" x14ac:dyDescent="0.3">
      <c r="B19" s="1">
        <v>8</v>
      </c>
      <c r="C19" s="2">
        <v>46159</v>
      </c>
      <c r="D19" s="1" t="s">
        <v>552</v>
      </c>
      <c r="E19" s="1" t="s">
        <v>553</v>
      </c>
      <c r="F19" s="1">
        <v>913136</v>
      </c>
      <c r="G19" s="1" t="s">
        <v>90</v>
      </c>
      <c r="H19" s="1">
        <f>26000*5</f>
        <v>130000</v>
      </c>
      <c r="J19" s="1">
        <f>114+13*120+2100+389.31+375.54+1100+45.15+1150+365.21+365.21+1150+2150+365.21+45.15+45.15+5*560+4963.56+399+1500+1710</f>
        <v>22692.489999999998</v>
      </c>
      <c r="K19" s="1">
        <f>Table1181920231030313235383940[[#This Row],[النولون]]+Table1181920231030313235383940[[#This Row],[الايصالات]]+Table1181920231030313235383940[[#This Row],[قيمة مضافة]]</f>
        <v>152692.49</v>
      </c>
      <c r="M19" s="1">
        <f>M18+Table1181920231030313235383940[[#This Row],[اجمالي الفاتوره]]-Table1181920231030313235383940[[#This Row],[الدفعات]]</f>
        <v>152692.49</v>
      </c>
      <c r="O19" s="48"/>
    </row>
    <row r="20" spans="1:15" ht="26.25" customHeight="1" x14ac:dyDescent="0.3">
      <c r="A20" s="6">
        <v>1476</v>
      </c>
      <c r="C20" s="2">
        <v>46159</v>
      </c>
      <c r="D20" s="1" t="s">
        <v>238</v>
      </c>
      <c r="E20" s="1" t="s">
        <v>239</v>
      </c>
      <c r="F20" s="1">
        <v>919283</v>
      </c>
      <c r="G20" s="1" t="s">
        <v>240</v>
      </c>
      <c r="H20" s="1">
        <f>28000*12</f>
        <v>336000</v>
      </c>
      <c r="J20" s="1">
        <f>27*120+850+11*560+350+22230+6840+1200+3*570+3600+4104+7*365.21+396.19*2+372.09+389.31+413.41+1350*7+1200*2+1250+1315*2</f>
        <v>70537.66</v>
      </c>
      <c r="K20" s="1">
        <f>Table1181920231030313235383940[[#This Row],[النولون]]+Table1181920231030313235383940[[#This Row],[الايصالات]]+Table1181920231030313235383940[[#This Row],[قيمة مضافة]]</f>
        <v>406537.66000000003</v>
      </c>
      <c r="M20" s="1">
        <f>M19+Table1181920231030313235383940[[#This Row],[اجمالي الفاتوره]]-Table1181920231030313235383940[[#This Row],[الدفعات]]</f>
        <v>559230.15</v>
      </c>
      <c r="O20" s="48"/>
    </row>
    <row r="21" spans="1:15" ht="26.25" customHeight="1" x14ac:dyDescent="0.3">
      <c r="B21" s="1">
        <v>9</v>
      </c>
      <c r="C21" s="2">
        <v>46159</v>
      </c>
      <c r="D21" s="1" t="s">
        <v>238</v>
      </c>
      <c r="E21" s="1" t="s">
        <v>239</v>
      </c>
      <c r="H21" s="1">
        <v>2500</v>
      </c>
      <c r="J21" s="1">
        <f>2410+35+642+23*200</f>
        <v>7687</v>
      </c>
      <c r="K21" s="1">
        <f>Table1181920231030313235383940[[#This Row],[النولون]]+Table1181920231030313235383940[[#This Row],[الايصالات]]+Table1181920231030313235383940[[#This Row],[قيمة مضافة]]</f>
        <v>10187</v>
      </c>
      <c r="M21" s="1">
        <f>M20+Table1181920231030313235383940[[#This Row],[اجمالي الفاتوره]]-Table1181920231030313235383940[[#This Row],[الدفعات]]</f>
        <v>569417.15</v>
      </c>
      <c r="O21" s="48"/>
    </row>
    <row r="22" spans="1:15" ht="26.25" customHeight="1" x14ac:dyDescent="0.3">
      <c r="A22" s="74"/>
      <c r="B22" s="72"/>
      <c r="C22" s="73">
        <v>46177</v>
      </c>
      <c r="D22" s="72"/>
      <c r="E22" s="72"/>
      <c r="F22" s="72"/>
      <c r="G22" s="72"/>
      <c r="H22" s="72"/>
      <c r="I22" s="72"/>
      <c r="J22" s="72"/>
      <c r="K22" s="72">
        <f>Table1181920231030313235383940[[#This Row],[النولون]]+Table1181920231030313235383940[[#This Row],[الايصالات]]+Table1181920231030313235383940[[#This Row],[قيمة مضافة]]</f>
        <v>0</v>
      </c>
      <c r="L22" s="72">
        <v>569417.15</v>
      </c>
      <c r="M22" s="72">
        <f>M21+Table1181920231030313235383940[[#This Row],[اجمالي الفاتوره]]-Table1181920231030313235383940[[#This Row],[الدفعات]]</f>
        <v>0</v>
      </c>
      <c r="O22" s="48"/>
    </row>
    <row r="23" spans="1:15" ht="26.25" customHeight="1" x14ac:dyDescent="0.3">
      <c r="A23" s="6">
        <v>1508</v>
      </c>
      <c r="C23" s="2">
        <v>46180</v>
      </c>
      <c r="D23" s="1" t="s">
        <v>238</v>
      </c>
      <c r="E23" s="1" t="s">
        <v>239</v>
      </c>
      <c r="F23" s="1">
        <v>925680</v>
      </c>
      <c r="G23" s="1" t="s">
        <v>267</v>
      </c>
      <c r="H23" s="1">
        <f>28000*11</f>
        <v>308000</v>
      </c>
      <c r="J23" s="1">
        <f>120*23+6*560+850+171.2+105.79*4+68.08+68.08+105.79+365.21*11+1250*2+1215*8+1250+5000+3300+3762+877.8</f>
        <v>38233.42</v>
      </c>
      <c r="K23" s="1">
        <f>Table1181920231030313235383940[[#This Row],[النولون]]+Table1181920231030313235383940[[#This Row],[الايصالات]]+Table1181920231030313235383940[[#This Row],[قيمة مضافة]]</f>
        <v>346233.42</v>
      </c>
      <c r="M23" s="1">
        <f>M22+Table1181920231030313235383940[[#This Row],[اجمالي الفاتوره]]-Table1181920231030313235383940[[#This Row],[الدفعات]]</f>
        <v>346233.42</v>
      </c>
      <c r="O23" s="48"/>
    </row>
    <row r="24" spans="1:15" ht="26.25" customHeight="1" x14ac:dyDescent="0.3">
      <c r="B24" s="1">
        <v>10</v>
      </c>
      <c r="C24" s="2">
        <v>46180</v>
      </c>
      <c r="D24" s="1" t="s">
        <v>238</v>
      </c>
      <c r="E24" s="1" t="s">
        <v>239</v>
      </c>
      <c r="H24" s="1">
        <v>2500</v>
      </c>
      <c r="J24" s="1">
        <f>21*200+574.7+35+1010</f>
        <v>5819.7</v>
      </c>
      <c r="K24" s="1">
        <f>Table1181920231030313235383940[[#This Row],[النولون]]+Table1181920231030313235383940[[#This Row],[الايصالات]]+Table1181920231030313235383940[[#This Row],[قيمة مضافة]]</f>
        <v>8319.7000000000007</v>
      </c>
      <c r="L24" s="1">
        <v>10</v>
      </c>
      <c r="M24" s="1">
        <f>M23+Table1181920231030313235383940[[#This Row],[اجمالي الفاتوره]]-Table1181920231030313235383940[[#This Row],[الدفعات]]</f>
        <v>354543.12</v>
      </c>
      <c r="O24" s="48"/>
    </row>
    <row r="25" spans="1:15" ht="26.25" customHeight="1" x14ac:dyDescent="0.3">
      <c r="A25" s="74"/>
      <c r="B25" s="72"/>
      <c r="C25" s="73">
        <v>46190</v>
      </c>
      <c r="D25" s="72"/>
      <c r="E25" s="72"/>
      <c r="F25" s="72"/>
      <c r="G25" s="72"/>
      <c r="H25" s="72"/>
      <c r="I25" s="72"/>
      <c r="J25" s="72"/>
      <c r="K25" s="72">
        <f>Table1181920231030313235383940[[#This Row],[النولون]]+Table1181920231030313235383940[[#This Row],[الايصالات]]+Table1181920231030313235383940[[#This Row],[قيمة مضافة]]</f>
        <v>0</v>
      </c>
      <c r="L25" s="72">
        <v>354543.12</v>
      </c>
      <c r="M25" s="72">
        <f>M24+Table1181920231030313235383940[[#This Row],[اجمالي الفاتوره]]-Table1181920231030313235383940[[#This Row],[الدفعات]]</f>
        <v>0</v>
      </c>
      <c r="O25" s="48"/>
    </row>
    <row r="26" spans="1:15" ht="26.25" customHeight="1" x14ac:dyDescent="0.3">
      <c r="K26" s="1">
        <f>Table1181920231030313235383940[[#This Row],[النولون]]+Table1181920231030313235383940[[#This Row],[الايصالات]]+Table1181920231030313235383940[[#This Row],[قيمة مضافة]]</f>
        <v>0</v>
      </c>
      <c r="M26" s="1">
        <f>M25+Table1181920231030313235383940[[#This Row],[اجمالي الفاتوره]]-Table1181920231030313235383940[[#This Row],[الدفعات]]</f>
        <v>0</v>
      </c>
      <c r="O26" s="48"/>
    </row>
    <row r="27" spans="1:15" ht="26.25" customHeight="1" x14ac:dyDescent="0.3">
      <c r="B27" s="41"/>
      <c r="C27" s="45"/>
      <c r="D27" s="41"/>
      <c r="E27" s="41"/>
      <c r="F27" s="41"/>
      <c r="G27" s="41"/>
      <c r="H27" s="41"/>
      <c r="I27" s="41"/>
      <c r="J27" s="41"/>
      <c r="K27" s="41">
        <f>Table1181920231030313235383940[[#This Row],[النولون]]+Table1181920231030313235383940[[#This Row],[الايصالات]]+Table1181920231030313235383940[[#This Row],[قيمة مضافة]]</f>
        <v>0</v>
      </c>
      <c r="L27" s="41"/>
      <c r="M27" s="1">
        <f>M26+Table1181920231030313235383940[[#This Row],[اجمالي الفاتوره]]-Table1181920231030313235383940[[#This Row],[الدفعات]]</f>
        <v>0</v>
      </c>
      <c r="N27" s="41"/>
      <c r="O27" s="48"/>
    </row>
    <row r="28" spans="1:15" ht="26.25" customHeight="1" x14ac:dyDescent="0.3">
      <c r="C28" s="2"/>
      <c r="K28" s="1">
        <f>Table1181920231030313235383940[[#This Row],[النولون]]+Table1181920231030313235383940[[#This Row],[الايصالات]]+Table1181920231030313235383940[[#This Row],[قيمة مضافة]]</f>
        <v>0</v>
      </c>
      <c r="M28" s="1">
        <f>M27+Table1181920231030313235383940[[#This Row],[اجمالي الفاتوره]]-Table1181920231030313235383940[[#This Row],[الدفعات]]</f>
        <v>0</v>
      </c>
      <c r="O28" s="48"/>
    </row>
    <row r="29" spans="1:15" ht="26.25" customHeight="1" x14ac:dyDescent="0.3">
      <c r="C29" s="2"/>
      <c r="K29" s="1">
        <f>Table1181920231030313235383940[[#This Row],[النولون]]+Table1181920231030313235383940[[#This Row],[الايصالات]]+Table1181920231030313235383940[[#This Row],[قيمة مضافة]]</f>
        <v>0</v>
      </c>
      <c r="M29" s="1">
        <f>M28+Table1181920231030313235383940[[#This Row],[اجمالي الفاتوره]]-Table1181920231030313235383940[[#This Row],[الدفعات]]</f>
        <v>0</v>
      </c>
      <c r="O29" s="48"/>
    </row>
    <row r="30" spans="1:15" ht="26.25" customHeight="1" x14ac:dyDescent="0.3">
      <c r="B30" s="41"/>
      <c r="C30" s="45"/>
      <c r="D30" s="41"/>
      <c r="E30" s="41"/>
      <c r="F30" s="41"/>
      <c r="G30" s="41"/>
      <c r="H30" s="41"/>
      <c r="I30" s="41"/>
      <c r="J30" s="41"/>
      <c r="K30" s="41">
        <f>Table1181920231030313235383940[[#This Row],[النولون]]+Table1181920231030313235383940[[#This Row],[الايصالات]]+Table1181920231030313235383940[[#This Row],[قيمة مضافة]]</f>
        <v>0</v>
      </c>
      <c r="L30" s="41"/>
      <c r="M30" s="1">
        <f>M29+Table1181920231030313235383940[[#This Row],[اجمالي الفاتوره]]-Table1181920231030313235383940[[#This Row],[الدفعات]]</f>
        <v>0</v>
      </c>
      <c r="N30" s="41"/>
      <c r="O30" s="48"/>
    </row>
    <row r="31" spans="1:15" ht="26.25" customHeight="1" x14ac:dyDescent="0.3">
      <c r="C31" s="2"/>
      <c r="K31" s="1">
        <f>Table1181920231030313235383940[[#This Row],[النولون]]+Table1181920231030313235383940[[#This Row],[الايصالات]]+Table1181920231030313235383940[[#This Row],[قيمة مضافة]]</f>
        <v>0</v>
      </c>
      <c r="M31" s="1">
        <f>M30+Table1181920231030313235383940[[#This Row],[اجمالي الفاتوره]]-Table1181920231030313235383940[[#This Row],[الدفعات]]</f>
        <v>0</v>
      </c>
      <c r="O31" s="48"/>
    </row>
    <row r="32" spans="1:15" ht="26.25" customHeight="1" x14ac:dyDescent="0.3">
      <c r="C32" s="2"/>
      <c r="K32" s="1">
        <f>Table1181920231030313235383940[[#This Row],[النولون]]+Table1181920231030313235383940[[#This Row],[الايصالات]]+Table1181920231030313235383940[[#This Row],[قيمة مضافة]]</f>
        <v>0</v>
      </c>
      <c r="M32" s="1">
        <f>M31+Table1181920231030313235383940[[#This Row],[اجمالي الفاتوره]]-Table1181920231030313235383940[[#This Row],[الدفعات]]</f>
        <v>0</v>
      </c>
      <c r="O32" s="48"/>
    </row>
    <row r="33" spans="2:15" ht="26.25" customHeight="1" x14ac:dyDescent="0.3">
      <c r="C33" s="2"/>
      <c r="K33" s="1">
        <f>Table1181920231030313235383940[[#This Row],[النولون]]+Table1181920231030313235383940[[#This Row],[الايصالات]]+Table1181920231030313235383940[[#This Row],[قيمة مضافة]]</f>
        <v>0</v>
      </c>
      <c r="M33" s="1">
        <f>M32+Table1181920231030313235383940[[#This Row],[اجمالي الفاتوره]]-Table1181920231030313235383940[[#This Row],[الدفعات]]</f>
        <v>0</v>
      </c>
      <c r="O33" s="48"/>
    </row>
    <row r="34" spans="2:15" ht="26.25" customHeight="1" x14ac:dyDescent="0.3">
      <c r="K34" s="1">
        <f>Table1181920231030313235383940[[#This Row],[النولون]]+Table1181920231030313235383940[[#This Row],[الايصالات]]+Table1181920231030313235383940[[#This Row],[قيمة مضافة]]</f>
        <v>0</v>
      </c>
      <c r="M34" s="1">
        <f>M33+Table1181920231030313235383940[[#This Row],[اجمالي الفاتوره]]-Table1181920231030313235383940[[#This Row],[الدفعات]]</f>
        <v>0</v>
      </c>
      <c r="O34" s="48"/>
    </row>
    <row r="35" spans="2:15" ht="26.25" customHeight="1" x14ac:dyDescent="0.3">
      <c r="C35" s="2"/>
      <c r="K35" s="1">
        <f>Table1181920231030313235383940[[#This Row],[النولون]]+Table1181920231030313235383940[[#This Row],[الايصالات]]+Table1181920231030313235383940[[#This Row],[قيمة مضافة]]</f>
        <v>0</v>
      </c>
      <c r="M35" s="1">
        <f>M34+Table1181920231030313235383940[[#This Row],[اجمالي الفاتوره]]-Table1181920231030313235383940[[#This Row],[الدفعات]]</f>
        <v>0</v>
      </c>
      <c r="O35" s="48"/>
    </row>
    <row r="36" spans="2:15" ht="26.25" customHeight="1" x14ac:dyDescent="0.3">
      <c r="C36" s="2"/>
      <c r="K36" s="1">
        <f>Table1181920231030313235383940[[#This Row],[النولون]]+Table1181920231030313235383940[[#This Row],[الايصالات]]+Table1181920231030313235383940[[#This Row],[قيمة مضافة]]</f>
        <v>0</v>
      </c>
      <c r="M36" s="1">
        <f>M35+Table1181920231030313235383940[[#This Row],[اجمالي الفاتوره]]-Table1181920231030313235383940[[#This Row],[الدفعات]]</f>
        <v>0</v>
      </c>
      <c r="O36" s="48"/>
    </row>
    <row r="37" spans="2:15" ht="26.25" customHeight="1" x14ac:dyDescent="0.3">
      <c r="C37" s="2"/>
      <c r="K37" s="1">
        <f>Table1181920231030313235383940[[#This Row],[النولون]]+Table1181920231030313235383940[[#This Row],[الايصالات]]+Table1181920231030313235383940[[#This Row],[قيمة مضافة]]</f>
        <v>0</v>
      </c>
      <c r="M37" s="1">
        <f>M36+Table1181920231030313235383940[[#This Row],[اجمالي الفاتوره]]-Table1181920231030313235383940[[#This Row],[الدفعات]]</f>
        <v>0</v>
      </c>
      <c r="O37" s="48"/>
    </row>
    <row r="38" spans="2:15" ht="26.25" customHeight="1" x14ac:dyDescent="0.3">
      <c r="D38" s="2"/>
      <c r="K38" s="1">
        <f>Table1181920231030313235383940[[#This Row],[النولون]]+Table1181920231030313235383940[[#This Row],[الايصالات]]+Table1181920231030313235383940[[#This Row],[قيمة مضافة]]</f>
        <v>0</v>
      </c>
      <c r="M38" s="1">
        <f>M37+Table1181920231030313235383940[[#This Row],[اجمالي الفاتوره]]-Table1181920231030313235383940[[#This Row],[الدفعات]]</f>
        <v>0</v>
      </c>
      <c r="O38" s="48"/>
    </row>
    <row r="39" spans="2:15" ht="26.25" customHeight="1" x14ac:dyDescent="0.3">
      <c r="C39" s="2"/>
      <c r="D39" s="2"/>
      <c r="K39" s="1">
        <f>Table1181920231030313235383940[[#This Row],[النولون]]+Table1181920231030313235383940[[#This Row],[الايصالات]]+Table1181920231030313235383940[[#This Row],[قيمة مضافة]]</f>
        <v>0</v>
      </c>
      <c r="M39" s="1">
        <f>M38+Table1181920231030313235383940[[#This Row],[اجمالي الفاتوره]]-Table1181920231030313235383940[[#This Row],[الدفعات]]</f>
        <v>0</v>
      </c>
      <c r="O39" s="48"/>
    </row>
    <row r="40" spans="2:15" ht="26.25" customHeight="1" x14ac:dyDescent="0.3">
      <c r="K40" s="1">
        <f>Table1181920231030313235383940[[#This Row],[النولون]]+Table1181920231030313235383940[[#This Row],[الايصالات]]+Table1181920231030313235383940[[#This Row],[قيمة مضافة]]</f>
        <v>0</v>
      </c>
      <c r="M40" s="1">
        <f>M39+Table1181920231030313235383940[[#This Row],[اجمالي الفاتوره]]-Table1181920231030313235383940[[#This Row],[الدفعات]]</f>
        <v>0</v>
      </c>
      <c r="O40" s="48"/>
    </row>
    <row r="41" spans="2:15" ht="26.25" customHeight="1" x14ac:dyDescent="0.3">
      <c r="B41" s="41"/>
      <c r="C41" s="45"/>
      <c r="D41" s="41"/>
      <c r="E41" s="41"/>
      <c r="F41" s="41"/>
      <c r="G41" s="41"/>
      <c r="H41" s="41"/>
      <c r="I41" s="41"/>
      <c r="J41" s="41"/>
      <c r="K41" s="41">
        <f>Table1181920231030313235383940[[#This Row],[النولون]]+Table1181920231030313235383940[[#This Row],[الايصالات]]+Table1181920231030313235383940[[#This Row],[قيمة مضافة]]</f>
        <v>0</v>
      </c>
      <c r="L41" s="41"/>
      <c r="M41" s="1">
        <f>M40+Table1181920231030313235383940[[#This Row],[اجمالي الفاتوره]]-Table1181920231030313235383940[[#This Row],[الدفعات]]</f>
        <v>0</v>
      </c>
      <c r="N41" s="41"/>
      <c r="O41" s="48"/>
    </row>
    <row r="42" spans="2:15" ht="26.25" customHeight="1" x14ac:dyDescent="0.3">
      <c r="C42" s="2"/>
      <c r="K42" s="1">
        <f>Table1181920231030313235383940[[#This Row],[النولون]]+Table1181920231030313235383940[[#This Row],[الايصالات]]+Table1181920231030313235383940[[#This Row],[قيمة مضافة]]</f>
        <v>0</v>
      </c>
      <c r="M42" s="1">
        <f>M41+Table1181920231030313235383940[[#This Row],[اجمالي الفاتوره]]-Table1181920231030313235383940[[#This Row],[الدفعات]]</f>
        <v>0</v>
      </c>
      <c r="O42" s="48"/>
    </row>
    <row r="43" spans="2:15" ht="26.25" customHeight="1" x14ac:dyDescent="0.3">
      <c r="K43" s="1">
        <f>Table1181920231030313235383940[[#This Row],[النولون]]+Table1181920231030313235383940[[#This Row],[الايصالات]]+Table1181920231030313235383940[[#This Row],[قيمة مضافة]]</f>
        <v>0</v>
      </c>
      <c r="M43" s="1">
        <f>M42+Table1181920231030313235383940[[#This Row],[اجمالي الفاتوره]]-Table1181920231030313235383940[[#This Row],[الدفعات]]</f>
        <v>0</v>
      </c>
      <c r="O43" s="48"/>
    </row>
    <row r="44" spans="2:15" ht="26.25" customHeight="1" x14ac:dyDescent="0.3">
      <c r="C44" s="2"/>
      <c r="K44" s="1">
        <f>Table1181920231030313235383940[[#This Row],[النولون]]+Table1181920231030313235383940[[#This Row],[الايصالات]]+Table1181920231030313235383940[[#This Row],[قيمة مضافة]]</f>
        <v>0</v>
      </c>
      <c r="M44" s="1">
        <f>M43+Table1181920231030313235383940[[#This Row],[اجمالي الفاتوره]]-Table1181920231030313235383940[[#This Row],[الدفعات]]</f>
        <v>0</v>
      </c>
      <c r="O44" s="48"/>
    </row>
    <row r="45" spans="2:15" ht="26.25" customHeight="1" x14ac:dyDescent="0.3">
      <c r="K45" s="1">
        <f>Table1181920231030313235383940[[#This Row],[النولون]]+Table1181920231030313235383940[[#This Row],[الايصالات]]+Table1181920231030313235383940[[#This Row],[قيمة مضافة]]</f>
        <v>0</v>
      </c>
      <c r="M45" s="1">
        <f>M44+Table1181920231030313235383940[[#This Row],[اجمالي الفاتوره]]-Table1181920231030313235383940[[#This Row],[الدفعات]]</f>
        <v>0</v>
      </c>
      <c r="O45" s="48"/>
    </row>
    <row r="46" spans="2:15" ht="26.25" customHeight="1" x14ac:dyDescent="0.3">
      <c r="B46" s="41"/>
      <c r="C46" s="45"/>
      <c r="D46" s="41"/>
      <c r="E46" s="41"/>
      <c r="F46" s="41"/>
      <c r="G46" s="41"/>
      <c r="H46" s="41"/>
      <c r="I46" s="41"/>
      <c r="J46" s="41"/>
      <c r="K46" s="41">
        <f>Table1181920231030313235383940[[#This Row],[النولون]]+Table1181920231030313235383940[[#This Row],[الايصالات]]+Table1181920231030313235383940[[#This Row],[قيمة مضافة]]</f>
        <v>0</v>
      </c>
      <c r="L46" s="41"/>
      <c r="M46" s="1">
        <f>M45+Table1181920231030313235383940[[#This Row],[اجمالي الفاتوره]]-Table1181920231030313235383940[[#This Row],[الدفعات]]</f>
        <v>0</v>
      </c>
      <c r="N46" s="41"/>
      <c r="O46" s="48"/>
    </row>
    <row r="47" spans="2:15" ht="26.25" customHeight="1" x14ac:dyDescent="0.3">
      <c r="C47" s="2"/>
      <c r="K47" s="1">
        <f>Table1181920231030313235383940[[#This Row],[النولون]]+Table1181920231030313235383940[[#This Row],[الايصالات]]+Table1181920231030313235383940[[#This Row],[قيمة مضافة]]</f>
        <v>0</v>
      </c>
      <c r="M47" s="1">
        <f>M46+Table1181920231030313235383940[[#This Row],[اجمالي الفاتوره]]-Table1181920231030313235383940[[#This Row],[الدفعات]]</f>
        <v>0</v>
      </c>
      <c r="O47" s="48"/>
    </row>
    <row r="48" spans="2:15" ht="26.25" customHeight="1" x14ac:dyDescent="0.3">
      <c r="C48" s="2"/>
      <c r="K48" s="1">
        <f>Table1181920231030313235383940[[#This Row],[النولون]]+Table1181920231030313235383940[[#This Row],[الايصالات]]+Table1181920231030313235383940[[#This Row],[قيمة مضافة]]</f>
        <v>0</v>
      </c>
      <c r="M48" s="1">
        <f>M47+Table1181920231030313235383940[[#This Row],[اجمالي الفاتوره]]-Table1181920231030313235383940[[#This Row],[الدفعات]]</f>
        <v>0</v>
      </c>
      <c r="O48" s="48"/>
    </row>
    <row r="49" spans="2:15" ht="26.25" customHeight="1" x14ac:dyDescent="0.3">
      <c r="K49" s="1">
        <f>Table1181920231030313235383940[[#This Row],[النولون]]+Table1181920231030313235383940[[#This Row],[الايصالات]]+Table1181920231030313235383940[[#This Row],[قيمة مضافة]]</f>
        <v>0</v>
      </c>
      <c r="M49" s="1">
        <f>M48+Table1181920231030313235383940[[#This Row],[اجمالي الفاتوره]]-Table1181920231030313235383940[[#This Row],[الدفعات]]</f>
        <v>0</v>
      </c>
      <c r="O49" s="48"/>
    </row>
    <row r="50" spans="2:15" ht="26.25" customHeight="1" x14ac:dyDescent="0.3">
      <c r="B50" s="41"/>
      <c r="C50" s="45"/>
      <c r="D50" s="41"/>
      <c r="E50" s="41"/>
      <c r="F50" s="41"/>
      <c r="G50" s="41"/>
      <c r="H50" s="41"/>
      <c r="I50" s="41"/>
      <c r="J50" s="41"/>
      <c r="K50" s="41">
        <f>Table1181920231030313235383940[[#This Row],[النولون]]+Table1181920231030313235383940[[#This Row],[الايصالات]]+Table1181920231030313235383940[[#This Row],[قيمة مضافة]]</f>
        <v>0</v>
      </c>
      <c r="L50" s="41"/>
      <c r="M50" s="1">
        <f>M49+Table1181920231030313235383940[[#This Row],[اجمالي الفاتوره]]-Table1181920231030313235383940[[#This Row],[الدفعات]]</f>
        <v>0</v>
      </c>
      <c r="N50" s="41"/>
      <c r="O50" s="48"/>
    </row>
    <row r="51" spans="2:15" ht="26.25" customHeight="1" x14ac:dyDescent="0.3">
      <c r="C51" s="2"/>
      <c r="K51" s="1">
        <f>Table1181920231030313235383940[[#This Row],[النولون]]+Table1181920231030313235383940[[#This Row],[الايصالات]]+Table1181920231030313235383940[[#This Row],[قيمة مضافة]]</f>
        <v>0</v>
      </c>
      <c r="M51" s="1">
        <f>M50+Table1181920231030313235383940[[#This Row],[اجمالي الفاتوره]]-Table1181920231030313235383940[[#This Row],[الدفعات]]</f>
        <v>0</v>
      </c>
      <c r="O51" s="48"/>
    </row>
    <row r="52" spans="2:15" ht="26.25" customHeight="1" x14ac:dyDescent="0.3">
      <c r="K52" s="1">
        <f>Table1181920231030313235383940[[#This Row],[النولون]]+Table1181920231030313235383940[[#This Row],[الايصالات]]+Table1181920231030313235383940[[#This Row],[قيمة مضافة]]</f>
        <v>0</v>
      </c>
      <c r="M52" s="1">
        <f>M51+Table1181920231030313235383940[[#This Row],[اجمالي الفاتوره]]-Table1181920231030313235383940[[#This Row],[الدفعات]]</f>
        <v>0</v>
      </c>
      <c r="O52" s="48"/>
    </row>
    <row r="53" spans="2:15" ht="26.25" customHeight="1" x14ac:dyDescent="0.3">
      <c r="C53" s="2"/>
      <c r="K53" s="1">
        <f>Table1181920231030313235383940[[#This Row],[النولون]]+Table1181920231030313235383940[[#This Row],[الايصالات]]+Table1181920231030313235383940[[#This Row],[قيمة مضافة]]</f>
        <v>0</v>
      </c>
      <c r="M53" s="1">
        <f>M52+Table1181920231030313235383940[[#This Row],[اجمالي الفاتوره]]-Table1181920231030313235383940[[#This Row],[الدفعات]]</f>
        <v>0</v>
      </c>
      <c r="O53" s="48"/>
    </row>
    <row r="54" spans="2:15" ht="26.25" customHeight="1" x14ac:dyDescent="0.3">
      <c r="B54" s="41"/>
      <c r="C54" s="45"/>
      <c r="D54" s="41"/>
      <c r="E54" s="41"/>
      <c r="F54" s="41"/>
      <c r="G54" s="41"/>
      <c r="H54" s="41"/>
      <c r="I54" s="41"/>
      <c r="J54" s="41"/>
      <c r="K54" s="41">
        <f>Table1181920231030313235383940[[#This Row],[النولون]]+Table1181920231030313235383940[[#This Row],[الايصالات]]+Table1181920231030313235383940[[#This Row],[قيمة مضافة]]</f>
        <v>0</v>
      </c>
      <c r="L54" s="41"/>
      <c r="M54" s="1">
        <f>M53+Table1181920231030313235383940[[#This Row],[اجمالي الفاتوره]]-Table1181920231030313235383940[[#This Row],[الدفعات]]</f>
        <v>0</v>
      </c>
      <c r="N54" s="41"/>
      <c r="O54" s="48"/>
    </row>
    <row r="55" spans="2:15" ht="26.25" customHeight="1" x14ac:dyDescent="0.3">
      <c r="C55" s="2"/>
      <c r="K55" s="1">
        <f>Table1181920231030313235383940[[#This Row],[النولون]]+Table1181920231030313235383940[[#This Row],[الايصالات]]+Table1181920231030313235383940[[#This Row],[قيمة مضافة]]</f>
        <v>0</v>
      </c>
      <c r="M55" s="1">
        <f>M54+Table1181920231030313235383940[[#This Row],[اجمالي الفاتوره]]-Table1181920231030313235383940[[#This Row],[الدفعات]]</f>
        <v>0</v>
      </c>
      <c r="O55" s="48"/>
    </row>
    <row r="56" spans="2:15" ht="26.25" customHeight="1" x14ac:dyDescent="0.3">
      <c r="C56" s="2"/>
      <c r="K56" s="1">
        <f>Table1181920231030313235383940[[#This Row],[النولون]]+Table1181920231030313235383940[[#This Row],[الايصالات]]+Table1181920231030313235383940[[#This Row],[قيمة مضافة]]</f>
        <v>0</v>
      </c>
      <c r="M56" s="1">
        <f>M55+Table1181920231030313235383940[[#This Row],[اجمالي الفاتوره]]-Table1181920231030313235383940[[#This Row],[الدفعات]]</f>
        <v>0</v>
      </c>
      <c r="O56" s="48"/>
    </row>
    <row r="57" spans="2:15" ht="26.25" customHeight="1" x14ac:dyDescent="0.3">
      <c r="C57" s="2"/>
      <c r="K57" s="1">
        <f>Table1181920231030313235383940[[#This Row],[النولون]]+Table1181920231030313235383940[[#This Row],[الايصالات]]+Table1181920231030313235383940[[#This Row],[قيمة مضافة]]</f>
        <v>0</v>
      </c>
      <c r="M57" s="1">
        <f>M56+Table1181920231030313235383940[[#This Row],[اجمالي الفاتوره]]-Table1181920231030313235383940[[#This Row],[الدفعات]]</f>
        <v>0</v>
      </c>
      <c r="O57" s="48"/>
    </row>
    <row r="58" spans="2:15" ht="26.25" customHeight="1" x14ac:dyDescent="0.3">
      <c r="C58" s="2"/>
      <c r="K58" s="1">
        <f>Table1181920231030313235383940[[#This Row],[النولون]]+Table1181920231030313235383940[[#This Row],[الايصالات]]+Table1181920231030313235383940[[#This Row],[قيمة مضافة]]</f>
        <v>0</v>
      </c>
      <c r="M58" s="1">
        <f>M57+Table1181920231030313235383940[[#This Row],[اجمالي الفاتوره]]-Table1181920231030313235383940[[#This Row],[الدفعات]]</f>
        <v>0</v>
      </c>
      <c r="O58" s="48"/>
    </row>
    <row r="59" spans="2:15" ht="26.25" customHeight="1" x14ac:dyDescent="0.3">
      <c r="C59" s="2"/>
      <c r="K59" s="1">
        <f>Table1181920231030313235383940[[#This Row],[النولون]]+Table1181920231030313235383940[[#This Row],[الايصالات]]+Table1181920231030313235383940[[#This Row],[قيمة مضافة]]</f>
        <v>0</v>
      </c>
      <c r="M59" s="1">
        <f>M58+Table1181920231030313235383940[[#This Row],[اجمالي الفاتوره]]-Table1181920231030313235383940[[#This Row],[الدفعات]]</f>
        <v>0</v>
      </c>
      <c r="O59" s="48"/>
    </row>
    <row r="60" spans="2:15" ht="26.25" customHeight="1" x14ac:dyDescent="0.3">
      <c r="B60" s="41"/>
      <c r="C60" s="45"/>
      <c r="D60" s="41"/>
      <c r="E60" s="41"/>
      <c r="F60" s="41"/>
      <c r="G60" s="41"/>
      <c r="H60" s="41"/>
      <c r="I60" s="41"/>
      <c r="J60" s="41"/>
      <c r="K60" s="41">
        <f>Table1181920231030313235383940[[#This Row],[النولون]]+Table1181920231030313235383940[[#This Row],[الايصالات]]+Table1181920231030313235383940[[#This Row],[قيمة مضافة]]</f>
        <v>0</v>
      </c>
      <c r="L60" s="41"/>
      <c r="M60" s="1">
        <f>M59+Table1181920231030313235383940[[#This Row],[اجمالي الفاتوره]]-Table1181920231030313235383940[[#This Row],[الدفعات]]</f>
        <v>0</v>
      </c>
      <c r="N60" s="41"/>
      <c r="O60" s="48"/>
    </row>
    <row r="61" spans="2:15" ht="26.25" customHeight="1" x14ac:dyDescent="0.3">
      <c r="C61" s="2"/>
      <c r="K61" s="1">
        <f>Table1181920231030313235383940[[#This Row],[النولون]]+Table1181920231030313235383940[[#This Row],[الايصالات]]+Table1181920231030313235383940[[#This Row],[قيمة مضافة]]</f>
        <v>0</v>
      </c>
      <c r="M61" s="1">
        <f>M60+Table1181920231030313235383940[[#This Row],[اجمالي الفاتوره]]-Table1181920231030313235383940[[#This Row],[الدفعات]]</f>
        <v>0</v>
      </c>
      <c r="O61" s="48"/>
    </row>
    <row r="62" spans="2:15" ht="26.25" customHeight="1" x14ac:dyDescent="0.3">
      <c r="K62" s="1">
        <f>Table1181920231030313235383940[[#This Row],[النولون]]+Table1181920231030313235383940[[#This Row],[الايصالات]]+Table1181920231030313235383940[[#This Row],[قيمة مضافة]]</f>
        <v>0</v>
      </c>
      <c r="M62" s="1">
        <f>M61+Table1181920231030313235383940[[#This Row],[اجمالي الفاتوره]]-Table1181920231030313235383940[[#This Row],[الدفعات]]</f>
        <v>0</v>
      </c>
      <c r="O62" s="48"/>
    </row>
    <row r="63" spans="2:15" ht="26.25" customHeight="1" x14ac:dyDescent="0.3">
      <c r="C63" s="2"/>
      <c r="D63" s="2"/>
      <c r="K63" s="1">
        <f>Table1181920231030313235383940[[#This Row],[النولون]]+Table1181920231030313235383940[[#This Row],[الايصالات]]+Table1181920231030313235383940[[#This Row],[قيمة مضافة]]</f>
        <v>0</v>
      </c>
      <c r="M63" s="1">
        <f>M62+Table1181920231030313235383940[[#This Row],[اجمالي الفاتوره]]-Table1181920231030313235383940[[#This Row],[الدفعات]]</f>
        <v>0</v>
      </c>
      <c r="O63" s="48"/>
    </row>
    <row r="64" spans="2:15" ht="26.25" customHeight="1" x14ac:dyDescent="0.3">
      <c r="C64" s="2"/>
      <c r="K64" s="1">
        <f>Table1181920231030313235383940[[#This Row],[النولون]]+Table1181920231030313235383940[[#This Row],[الايصالات]]+Table1181920231030313235383940[[#This Row],[قيمة مضافة]]</f>
        <v>0</v>
      </c>
      <c r="M64" s="1">
        <f>M63+Table1181920231030313235383940[[#This Row],[اجمالي الفاتوره]]-Table1181920231030313235383940[[#This Row],[الدفعات]]</f>
        <v>0</v>
      </c>
      <c r="O64" s="48"/>
    </row>
    <row r="65" spans="2:15" ht="26.25" customHeight="1" x14ac:dyDescent="0.3">
      <c r="K65" s="1">
        <f>Table1181920231030313235383940[[#This Row],[النولون]]+Table1181920231030313235383940[[#This Row],[الايصالات]]+Table1181920231030313235383940[[#This Row],[قيمة مضافة]]</f>
        <v>0</v>
      </c>
      <c r="M65" s="1">
        <f>M64+Table1181920231030313235383940[[#This Row],[اجمالي الفاتوره]]-Table1181920231030313235383940[[#This Row],[الدفعات]]</f>
        <v>0</v>
      </c>
      <c r="O65" s="48"/>
    </row>
    <row r="66" spans="2:15" ht="26.25" customHeight="1" x14ac:dyDescent="0.3">
      <c r="C66" s="2"/>
      <c r="K66" s="1">
        <f>Table1181920231030313235383940[[#This Row],[النولون]]+Table1181920231030313235383940[[#This Row],[الايصالات]]+Table1181920231030313235383940[[#This Row],[قيمة مضافة]]</f>
        <v>0</v>
      </c>
      <c r="M66" s="1">
        <f>M65+Table1181920231030313235383940[[#This Row],[اجمالي الفاتوره]]-Table1181920231030313235383940[[#This Row],[الدفعات]]</f>
        <v>0</v>
      </c>
      <c r="O66" s="48"/>
    </row>
    <row r="67" spans="2:15" ht="26.25" customHeight="1" x14ac:dyDescent="0.3">
      <c r="K67" s="1">
        <f>Table1181920231030313235383940[[#This Row],[النولون]]+Table1181920231030313235383940[[#This Row],[الايصالات]]+Table1181920231030313235383940[[#This Row],[قيمة مضافة]]</f>
        <v>0</v>
      </c>
      <c r="M67" s="1">
        <f>M66+Table1181920231030313235383940[[#This Row],[اجمالي الفاتوره]]-Table1181920231030313235383940[[#This Row],[الدفعات]]</f>
        <v>0</v>
      </c>
      <c r="O67" s="48"/>
    </row>
    <row r="68" spans="2:15" ht="26.25" customHeight="1" x14ac:dyDescent="0.3">
      <c r="C68" s="2"/>
      <c r="K68" s="1">
        <f>Table1181920231030313235383940[[#This Row],[النولون]]+Table1181920231030313235383940[[#This Row],[الايصالات]]+Table1181920231030313235383940[[#This Row],[قيمة مضافة]]</f>
        <v>0</v>
      </c>
      <c r="M68" s="1">
        <f>M67+Table1181920231030313235383940[[#This Row],[اجمالي الفاتوره]]-Table1181920231030313235383940[[#This Row],[الدفعات]]</f>
        <v>0</v>
      </c>
      <c r="O68" s="48"/>
    </row>
    <row r="69" spans="2:15" ht="26.25" customHeight="1" x14ac:dyDescent="0.3">
      <c r="K69" s="1">
        <f>Table1181920231030313235383940[[#This Row],[النولون]]+Table1181920231030313235383940[[#This Row],[الايصالات]]+Table1181920231030313235383940[[#This Row],[قيمة مضافة]]</f>
        <v>0</v>
      </c>
      <c r="M69" s="1">
        <f>M68+Table1181920231030313235383940[[#This Row],[اجمالي الفاتوره]]-Table1181920231030313235383940[[#This Row],[الدفعات]]</f>
        <v>0</v>
      </c>
      <c r="O69" s="48"/>
    </row>
    <row r="70" spans="2:15" ht="26.25" customHeight="1" x14ac:dyDescent="0.3">
      <c r="C70" s="2"/>
      <c r="K70" s="1">
        <f>Table1181920231030313235383940[[#This Row],[النولون]]+Table1181920231030313235383940[[#This Row],[الايصالات]]+Table1181920231030313235383940[[#This Row],[قيمة مضافة]]</f>
        <v>0</v>
      </c>
      <c r="M70" s="1">
        <f>M69+Table1181920231030313235383940[[#This Row],[اجمالي الفاتوره]]-Table1181920231030313235383940[[#This Row],[الدفعات]]</f>
        <v>0</v>
      </c>
      <c r="O70" s="48"/>
    </row>
    <row r="71" spans="2:15" ht="26.25" customHeight="1" x14ac:dyDescent="0.3">
      <c r="C71" s="2"/>
      <c r="K71" s="1">
        <f>Table1181920231030313235383940[[#This Row],[النولون]]+Table1181920231030313235383940[[#This Row],[الايصالات]]+Table1181920231030313235383940[[#This Row],[قيمة مضافة]]</f>
        <v>0</v>
      </c>
      <c r="M71" s="1">
        <f>M70+Table1181920231030313235383940[[#This Row],[اجمالي الفاتوره]]-Table1181920231030313235383940[[#This Row],[الدفعات]]</f>
        <v>0</v>
      </c>
      <c r="O71" s="48"/>
    </row>
    <row r="72" spans="2:15" ht="26.25" customHeight="1" x14ac:dyDescent="0.3">
      <c r="B72" s="48"/>
      <c r="C72" s="54"/>
      <c r="D72" s="48"/>
      <c r="E72" s="48"/>
      <c r="F72" s="48"/>
      <c r="G72" s="48"/>
      <c r="H72" s="48"/>
      <c r="I72" s="48"/>
      <c r="J72" s="48"/>
      <c r="K72" s="48">
        <f>Table1181920231030313235383940[[#This Row],[النولون]]+Table1181920231030313235383940[[#This Row],[الايصالات]]+Table1181920231030313235383940[[#This Row],[قيمة مضافة]]</f>
        <v>0</v>
      </c>
      <c r="L72" s="48"/>
      <c r="M72" s="1">
        <f>M71+Table1181920231030313235383940[[#This Row],[اجمالي الفاتوره]]-Table1181920231030313235383940[[#This Row],[الدفعات]]</f>
        <v>0</v>
      </c>
      <c r="N72" s="48"/>
      <c r="O72" s="48"/>
    </row>
    <row r="73" spans="2:15" ht="26.25" customHeight="1" x14ac:dyDescent="0.3">
      <c r="C73" s="2"/>
      <c r="K73" s="1">
        <f>Table1181920231030313235383940[[#This Row],[النولون]]+Table1181920231030313235383940[[#This Row],[الايصالات]]+Table1181920231030313235383940[[#This Row],[قيمة مضافة]]</f>
        <v>0</v>
      </c>
      <c r="M73" s="1">
        <f>M72+Table1181920231030313235383940[[#This Row],[اجمالي الفاتوره]]-Table1181920231030313235383940[[#This Row],[الدفعات]]</f>
        <v>0</v>
      </c>
      <c r="O73" s="48"/>
    </row>
    <row r="74" spans="2:15" ht="26.25" customHeight="1" x14ac:dyDescent="0.3">
      <c r="K74" s="1">
        <f>Table1181920231030313235383940[[#This Row],[النولون]]+Table1181920231030313235383940[[#This Row],[الايصالات]]+Table1181920231030313235383940[[#This Row],[قيمة مضافة]]</f>
        <v>0</v>
      </c>
      <c r="M74" s="1">
        <f>M73+Table1181920231030313235383940[[#This Row],[اجمالي الفاتوره]]-Table1181920231030313235383940[[#This Row],[الدفعات]]</f>
        <v>0</v>
      </c>
      <c r="O74" s="48"/>
    </row>
    <row r="75" spans="2:15" ht="26.25" customHeight="1" x14ac:dyDescent="0.3">
      <c r="C75" s="2"/>
      <c r="K75" s="1">
        <f>Table1181920231030313235383940[[#This Row],[النولون]]+Table1181920231030313235383940[[#This Row],[الايصالات]]+Table1181920231030313235383940[[#This Row],[قيمة مضافة]]</f>
        <v>0</v>
      </c>
      <c r="M75" s="1">
        <f>M74+Table1181920231030313235383940[[#This Row],[اجمالي الفاتوره]]-Table1181920231030313235383940[[#This Row],[الدفعات]]</f>
        <v>0</v>
      </c>
      <c r="O75" s="48"/>
    </row>
    <row r="76" spans="2:15" ht="26.25" customHeight="1" x14ac:dyDescent="0.3">
      <c r="K76" s="1">
        <f>Table1181920231030313235383940[[#This Row],[النولون]]+Table1181920231030313235383940[[#This Row],[الايصالات]]+Table1181920231030313235383940[[#This Row],[قيمة مضافة]]</f>
        <v>0</v>
      </c>
      <c r="M76" s="1">
        <f>M75+Table1181920231030313235383940[[#This Row],[اجمالي الفاتوره]]-Table1181920231030313235383940[[#This Row],[الدفعات]]</f>
        <v>0</v>
      </c>
      <c r="O76" s="48"/>
    </row>
    <row r="77" spans="2:15" ht="26.25" customHeight="1" x14ac:dyDescent="0.3">
      <c r="C77" s="2"/>
      <c r="K77" s="1">
        <f>Table1181920231030313235383940[[#This Row],[النولون]]+Table1181920231030313235383940[[#This Row],[الايصالات]]+Table1181920231030313235383940[[#This Row],[قيمة مضافة]]</f>
        <v>0</v>
      </c>
      <c r="M77" s="1">
        <f>M76+Table1181920231030313235383940[[#This Row],[اجمالي الفاتوره]]-Table1181920231030313235383940[[#This Row],[الدفعات]]</f>
        <v>0</v>
      </c>
      <c r="O77" s="48"/>
    </row>
    <row r="78" spans="2:15" ht="26.25" customHeight="1" x14ac:dyDescent="0.3">
      <c r="C78" s="2"/>
      <c r="K78" s="1">
        <f>Table1181920231030313235383940[[#This Row],[النولون]]+Table1181920231030313235383940[[#This Row],[الايصالات]]+Table1181920231030313235383940[[#This Row],[قيمة مضافة]]</f>
        <v>0</v>
      </c>
      <c r="M78" s="1">
        <f>M77+Table1181920231030313235383940[[#This Row],[اجمالي الفاتوره]]-Table1181920231030313235383940[[#This Row],[الدفعات]]</f>
        <v>0</v>
      </c>
      <c r="O78" s="48"/>
    </row>
    <row r="79" spans="2:15" ht="26.25" customHeight="1" x14ac:dyDescent="0.3">
      <c r="C79" s="2"/>
      <c r="K79" s="1">
        <f>Table1181920231030313235383940[[#This Row],[النولون]]+Table1181920231030313235383940[[#This Row],[الايصالات]]+Table1181920231030313235383940[[#This Row],[قيمة مضافة]]</f>
        <v>0</v>
      </c>
      <c r="M79" s="1">
        <f>M78+Table1181920231030313235383940[[#This Row],[اجمالي الفاتوره]]-Table1181920231030313235383940[[#This Row],[الدفعات]]</f>
        <v>0</v>
      </c>
      <c r="O79" s="48"/>
    </row>
    <row r="80" spans="2:15" ht="26.25" customHeight="1" x14ac:dyDescent="0.3">
      <c r="C80" s="2"/>
      <c r="K80" s="1">
        <f>Table1181920231030313235383940[[#This Row],[النولون]]+Table1181920231030313235383940[[#This Row],[الايصالات]]+Table1181920231030313235383940[[#This Row],[قيمة مضافة]]</f>
        <v>0</v>
      </c>
      <c r="M80" s="1">
        <f>M79+Table1181920231030313235383940[[#This Row],[اجمالي الفاتوره]]-Table1181920231030313235383940[[#This Row],[الدفعات]]</f>
        <v>0</v>
      </c>
      <c r="O80" s="48"/>
    </row>
    <row r="81" spans="3:15" ht="26.25" customHeight="1" x14ac:dyDescent="0.3">
      <c r="C81" s="2"/>
      <c r="K81" s="1">
        <f>Table1181920231030313235383940[[#This Row],[النولون]]+Table1181920231030313235383940[[#This Row],[الايصالات]]+Table1181920231030313235383940[[#This Row],[قيمة مضافة]]</f>
        <v>0</v>
      </c>
      <c r="M81" s="1">
        <f>M80+Table1181920231030313235383940[[#This Row],[اجمالي الفاتوره]]-Table1181920231030313235383940[[#This Row],[الدفعات]]</f>
        <v>0</v>
      </c>
      <c r="O81" s="48"/>
    </row>
    <row r="82" spans="3:15" ht="26.25" customHeight="1" x14ac:dyDescent="0.3">
      <c r="K82" s="1">
        <f>Table1181920231030313235383940[[#This Row],[النولون]]+Table1181920231030313235383940[[#This Row],[الايصالات]]+Table1181920231030313235383940[[#This Row],[قيمة مضافة]]</f>
        <v>0</v>
      </c>
      <c r="M82" s="1">
        <f>M81+Table1181920231030313235383940[[#This Row],[اجمالي الفاتوره]]-Table1181920231030313235383940[[#This Row],[الدفعات]]</f>
        <v>0</v>
      </c>
      <c r="O82" s="48"/>
    </row>
    <row r="83" spans="3:15" ht="26.25" customHeight="1" x14ac:dyDescent="0.3">
      <c r="C83" s="2"/>
      <c r="K83" s="1">
        <f>Table1181920231030313235383940[[#This Row],[النولون]]+Table1181920231030313235383940[[#This Row],[الايصالات]]+Table1181920231030313235383940[[#This Row],[قيمة مضافة]]</f>
        <v>0</v>
      </c>
      <c r="M83" s="1">
        <f>M82+Table1181920231030313235383940[[#This Row],[اجمالي الفاتوره]]-Table1181920231030313235383940[[#This Row],[الدفعات]]</f>
        <v>0</v>
      </c>
      <c r="O83" s="48"/>
    </row>
    <row r="84" spans="3:15" ht="26.25" customHeight="1" x14ac:dyDescent="0.3">
      <c r="K84" s="1">
        <f>Table1181920231030313235383940[[#This Row],[النولون]]+Table1181920231030313235383940[[#This Row],[الايصالات]]+Table1181920231030313235383940[[#This Row],[قيمة مضافة]]</f>
        <v>0</v>
      </c>
      <c r="M84" s="1">
        <f>M83+Table1181920231030313235383940[[#This Row],[اجمالي الفاتوره]]-Table1181920231030313235383940[[#This Row],[الدفعات]]</f>
        <v>0</v>
      </c>
      <c r="O84" s="48"/>
    </row>
    <row r="85" spans="3:15" ht="26.25" customHeight="1" x14ac:dyDescent="0.3">
      <c r="C85" s="2"/>
      <c r="K85" s="1">
        <f>Table1181920231030313235383940[[#This Row],[النولون]]+Table1181920231030313235383940[[#This Row],[الايصالات]]+Table1181920231030313235383940[[#This Row],[قيمة مضافة]]</f>
        <v>0</v>
      </c>
      <c r="M85" s="1">
        <f>M84+Table1181920231030313235383940[[#This Row],[اجمالي الفاتوره]]-Table1181920231030313235383940[[#This Row],[الدفعات]]</f>
        <v>0</v>
      </c>
      <c r="O85" s="48"/>
    </row>
    <row r="86" spans="3:15" ht="26.25" customHeight="1" x14ac:dyDescent="0.3">
      <c r="K86" s="1">
        <f>Table1181920231030313235383940[[#This Row],[النولون]]+Table1181920231030313235383940[[#This Row],[الايصالات]]+Table1181920231030313235383940[[#This Row],[قيمة مضافة]]</f>
        <v>0</v>
      </c>
      <c r="M86" s="1">
        <f>M85+Table1181920231030313235383940[[#This Row],[اجمالي الفاتوره]]-Table1181920231030313235383940[[#This Row],[الدفعات]]</f>
        <v>0</v>
      </c>
      <c r="O86" s="48"/>
    </row>
    <row r="87" spans="3:15" ht="26.25" customHeight="1" x14ac:dyDescent="0.3">
      <c r="K87" s="1">
        <f>Table1181920231030313235383940[[#This Row],[النولون]]+Table1181920231030313235383940[[#This Row],[الايصالات]]+Table1181920231030313235383940[[#This Row],[قيمة مضافة]]</f>
        <v>0</v>
      </c>
      <c r="M87" s="1">
        <f>M86+Table1181920231030313235383940[[#This Row],[اجمالي الفاتوره]]-Table1181920231030313235383940[[#This Row],[الدفعات]]</f>
        <v>0</v>
      </c>
      <c r="O87" s="48"/>
    </row>
    <row r="88" spans="3:15" ht="26.25" customHeight="1" x14ac:dyDescent="0.3">
      <c r="K88" s="1">
        <f>Table1181920231030313235383940[[#This Row],[النولون]]+Table1181920231030313235383940[[#This Row],[الايصالات]]+Table1181920231030313235383940[[#This Row],[قيمة مضافة]]</f>
        <v>0</v>
      </c>
      <c r="M88" s="1">
        <f>M87+Table1181920231030313235383940[[#This Row],[اجمالي الفاتوره]]-Table1181920231030313235383940[[#This Row],[الدفعات]]</f>
        <v>0</v>
      </c>
      <c r="O88" s="48"/>
    </row>
    <row r="89" spans="3:15" ht="26.25" customHeight="1" x14ac:dyDescent="0.3">
      <c r="K89" s="1">
        <f>Table1181920231030313235383940[[#This Row],[النولون]]+Table1181920231030313235383940[[#This Row],[الايصالات]]+Table1181920231030313235383940[[#This Row],[قيمة مضافة]]</f>
        <v>0</v>
      </c>
      <c r="M89" s="1">
        <f>M88+Table1181920231030313235383940[[#This Row],[اجمالي الفاتوره]]-Table1181920231030313235383940[[#This Row],[الدفعات]]</f>
        <v>0</v>
      </c>
      <c r="O89" s="48"/>
    </row>
    <row r="90" spans="3:15" ht="26.25" customHeight="1" x14ac:dyDescent="0.3">
      <c r="K90" s="1">
        <f>Table1181920231030313235383940[[#This Row],[النولون]]+Table1181920231030313235383940[[#This Row],[الايصالات]]+Table1181920231030313235383940[[#This Row],[قيمة مضافة]]</f>
        <v>0</v>
      </c>
      <c r="M90" s="1">
        <f>M89+Table1181920231030313235383940[[#This Row],[اجمالي الفاتوره]]-Table1181920231030313235383940[[#This Row],[الدفعات]]</f>
        <v>0</v>
      </c>
      <c r="O90" s="48"/>
    </row>
    <row r="91" spans="3:15" ht="26.25" customHeight="1" x14ac:dyDescent="0.3">
      <c r="K91" s="1">
        <f>Table1181920231030313235383940[[#This Row],[النولون]]+Table1181920231030313235383940[[#This Row],[الايصالات]]+Table1181920231030313235383940[[#This Row],[قيمة مضافة]]</f>
        <v>0</v>
      </c>
      <c r="M91" s="1">
        <f>M90+Table1181920231030313235383940[[#This Row],[اجمالي الفاتوره]]-Table1181920231030313235383940[[#This Row],[الدفعات]]</f>
        <v>0</v>
      </c>
      <c r="O91" s="48"/>
    </row>
    <row r="92" spans="3:15" ht="26.25" customHeight="1" x14ac:dyDescent="0.3">
      <c r="K92" s="1">
        <f>Table1181920231030313235383940[[#This Row],[النولون]]+Table1181920231030313235383940[[#This Row],[الايصالات]]+Table1181920231030313235383940[[#This Row],[قيمة مضافة]]</f>
        <v>0</v>
      </c>
      <c r="M92" s="1">
        <f>M91+Table1181920231030313235383940[[#This Row],[اجمالي الفاتوره]]-Table1181920231030313235383940[[#This Row],[الدفعات]]</f>
        <v>0</v>
      </c>
      <c r="O92" s="48"/>
    </row>
    <row r="93" spans="3:15" ht="26.25" customHeight="1" x14ac:dyDescent="0.3">
      <c r="K93" s="1">
        <f>Table1181920231030313235383940[[#This Row],[النولون]]+Table1181920231030313235383940[[#This Row],[الايصالات]]+Table1181920231030313235383940[[#This Row],[قيمة مضافة]]</f>
        <v>0</v>
      </c>
      <c r="M93" s="1">
        <f>M92+Table1181920231030313235383940[[#This Row],[اجمالي الفاتوره]]-Table1181920231030313235383940[[#This Row],[الدفعات]]</f>
        <v>0</v>
      </c>
      <c r="O93" s="48"/>
    </row>
    <row r="94" spans="3:15" ht="26.25" customHeight="1" x14ac:dyDescent="0.3">
      <c r="K94" s="1">
        <f>Table1181920231030313235383940[[#This Row],[النولون]]+Table1181920231030313235383940[[#This Row],[الايصالات]]+Table1181920231030313235383940[[#This Row],[قيمة مضافة]]</f>
        <v>0</v>
      </c>
      <c r="M94" s="1">
        <f>M93+Table1181920231030313235383940[[#This Row],[اجمالي الفاتوره]]-Table1181920231030313235383940[[#This Row],[الدفعات]]</f>
        <v>0</v>
      </c>
      <c r="O94" s="48"/>
    </row>
    <row r="95" spans="3:15" ht="26.25" customHeight="1" x14ac:dyDescent="0.3">
      <c r="K95" s="1">
        <f>Table1181920231030313235383940[[#This Row],[النولون]]+Table1181920231030313235383940[[#This Row],[الايصالات]]+Table1181920231030313235383940[[#This Row],[قيمة مضافة]]</f>
        <v>0</v>
      </c>
      <c r="M95" s="1">
        <f>M94+Table1181920231030313235383940[[#This Row],[اجمالي الفاتوره]]-Table1181920231030313235383940[[#This Row],[الدفعات]]</f>
        <v>0</v>
      </c>
      <c r="O95" s="48"/>
    </row>
    <row r="96" spans="3:15" ht="26.25" customHeight="1" x14ac:dyDescent="0.3">
      <c r="K96" s="1">
        <f>Table1181920231030313235383940[[#This Row],[النولون]]+Table1181920231030313235383940[[#This Row],[الايصالات]]+Table1181920231030313235383940[[#This Row],[قيمة مضافة]]</f>
        <v>0</v>
      </c>
      <c r="M96" s="1">
        <f>M95+Table1181920231030313235383940[[#This Row],[اجمالي الفاتوره]]-Table1181920231030313235383940[[#This Row],[الدفعات]]</f>
        <v>0</v>
      </c>
      <c r="O96" s="48"/>
    </row>
    <row r="97" spans="11:15" ht="26.25" customHeight="1" x14ac:dyDescent="0.3">
      <c r="K97" s="1">
        <f>Table1181920231030313235383940[[#This Row],[النولون]]+Table1181920231030313235383940[[#This Row],[الايصالات]]+Table1181920231030313235383940[[#This Row],[قيمة مضافة]]</f>
        <v>0</v>
      </c>
      <c r="M97" s="1">
        <f>M96+Table1181920231030313235383940[[#This Row],[اجمالي الفاتوره]]-Table1181920231030313235383940[[#This Row],[الدفعات]]</f>
        <v>0</v>
      </c>
      <c r="O97" s="48"/>
    </row>
    <row r="98" spans="11:15" ht="26.25" customHeight="1" x14ac:dyDescent="0.3">
      <c r="K98" s="1">
        <f>Table1181920231030313235383940[[#This Row],[النولون]]+Table1181920231030313235383940[[#This Row],[الايصالات]]+Table1181920231030313235383940[[#This Row],[قيمة مضافة]]</f>
        <v>0</v>
      </c>
      <c r="M98" s="1">
        <f>M97+Table1181920231030313235383940[[#This Row],[اجمالي الفاتوره]]-Table1181920231030313235383940[[#This Row],[الدفعات]]</f>
        <v>0</v>
      </c>
      <c r="O98" s="48"/>
    </row>
    <row r="99" spans="11:15" ht="26.25" customHeight="1" x14ac:dyDescent="0.3">
      <c r="K99" s="1">
        <f>Table1181920231030313235383940[[#This Row],[النولون]]+Table1181920231030313235383940[[#This Row],[الايصالات]]+Table1181920231030313235383940[[#This Row],[قيمة مضافة]]</f>
        <v>0</v>
      </c>
      <c r="M99" s="1">
        <f>M98+Table1181920231030313235383940[[#This Row],[اجمالي الفاتوره]]-Table1181920231030313235383940[[#This Row],[الدفعات]]</f>
        <v>0</v>
      </c>
      <c r="O99" s="48"/>
    </row>
    <row r="100" spans="11:15" ht="26.25" customHeight="1" x14ac:dyDescent="0.3">
      <c r="K100" s="1">
        <f>Table1181920231030313235383940[[#This Row],[النولون]]+Table1181920231030313235383940[[#This Row],[الايصالات]]+Table1181920231030313235383940[[#This Row],[قيمة مضافة]]</f>
        <v>0</v>
      </c>
      <c r="M100" s="1">
        <f>M99+Table1181920231030313235383940[[#This Row],[اجمالي الفاتوره]]-Table1181920231030313235383940[[#This Row],[الدفعات]]</f>
        <v>0</v>
      </c>
      <c r="O100" s="48"/>
    </row>
    <row r="101" spans="11:15" ht="26.25" customHeight="1" x14ac:dyDescent="0.3">
      <c r="K101" s="1">
        <f>Table1181920231030313235383940[[#This Row],[النولون]]+Table1181920231030313235383940[[#This Row],[الايصالات]]+Table1181920231030313235383940[[#This Row],[قيمة مضافة]]</f>
        <v>0</v>
      </c>
      <c r="M101" s="1">
        <f>M100+Table1181920231030313235383940[[#This Row],[اجمالي الفاتوره]]-Table1181920231030313235383940[[#This Row],[الدفعات]]</f>
        <v>0</v>
      </c>
      <c r="O101" s="48"/>
    </row>
    <row r="102" spans="11:15" ht="26.25" customHeight="1" x14ac:dyDescent="0.3">
      <c r="K102" s="1">
        <f>Table1181920231030313235383940[[#This Row],[النولون]]+Table1181920231030313235383940[[#This Row],[الايصالات]]+Table1181920231030313235383940[[#This Row],[قيمة مضافة]]</f>
        <v>0</v>
      </c>
      <c r="M102" s="1">
        <f>M101+Table1181920231030313235383940[[#This Row],[اجمالي الفاتوره]]-Table1181920231030313235383940[[#This Row],[الدفعات]]</f>
        <v>0</v>
      </c>
      <c r="O102" s="48"/>
    </row>
    <row r="103" spans="11:15" ht="26.25" customHeight="1" x14ac:dyDescent="0.3">
      <c r="K103" s="1">
        <f>Table1181920231030313235383940[[#This Row],[النولون]]+Table1181920231030313235383940[[#This Row],[الايصالات]]+Table1181920231030313235383940[[#This Row],[قيمة مضافة]]</f>
        <v>0</v>
      </c>
      <c r="M103" s="1">
        <f>M102+Table1181920231030313235383940[[#This Row],[اجمالي الفاتوره]]-Table1181920231030313235383940[[#This Row],[الدفعات]]</f>
        <v>0</v>
      </c>
      <c r="O103" s="48"/>
    </row>
    <row r="104" spans="11:15" ht="26.25" customHeight="1" x14ac:dyDescent="0.3">
      <c r="K104" s="1">
        <f>Table1181920231030313235383940[[#This Row],[النولون]]+Table1181920231030313235383940[[#This Row],[الايصالات]]+Table1181920231030313235383940[[#This Row],[قيمة مضافة]]</f>
        <v>0</v>
      </c>
      <c r="M104" s="1">
        <f>M103+Table1181920231030313235383940[[#This Row],[اجمالي الفاتوره]]-Table1181920231030313235383940[[#This Row],[الدفعات]]</f>
        <v>0</v>
      </c>
      <c r="O104" s="48"/>
    </row>
    <row r="105" spans="11:15" ht="26.25" customHeight="1" x14ac:dyDescent="0.3">
      <c r="K105" s="1">
        <f>Table1181920231030313235383940[[#This Row],[النولون]]+Table1181920231030313235383940[[#This Row],[الايصالات]]+Table1181920231030313235383940[[#This Row],[قيمة مضافة]]</f>
        <v>0</v>
      </c>
      <c r="M105" s="1">
        <f>M104+Table1181920231030313235383940[[#This Row],[اجمالي الفاتوره]]-Table1181920231030313235383940[[#This Row],[الدفعات]]</f>
        <v>0</v>
      </c>
      <c r="O105" s="48"/>
    </row>
    <row r="106" spans="11:15" ht="26.25" customHeight="1" x14ac:dyDescent="0.3">
      <c r="K106" s="1">
        <f>Table1181920231030313235383940[[#This Row],[النولون]]+Table1181920231030313235383940[[#This Row],[الايصالات]]+Table1181920231030313235383940[[#This Row],[قيمة مضافة]]</f>
        <v>0</v>
      </c>
      <c r="M106" s="1">
        <f>M105+Table1181920231030313235383940[[#This Row],[اجمالي الفاتوره]]-Table1181920231030313235383940[[#This Row],[الدفعات]]</f>
        <v>0</v>
      </c>
      <c r="O106" s="48"/>
    </row>
    <row r="107" spans="11:15" ht="26.25" customHeight="1" x14ac:dyDescent="0.3">
      <c r="K107" s="1">
        <f>Table1181920231030313235383940[[#This Row],[النولون]]+Table1181920231030313235383940[[#This Row],[الايصالات]]+Table1181920231030313235383940[[#This Row],[قيمة مضافة]]</f>
        <v>0</v>
      </c>
      <c r="M107" s="1">
        <f>M106+Table1181920231030313235383940[[#This Row],[اجمالي الفاتوره]]-Table1181920231030313235383940[[#This Row],[الدفعات]]</f>
        <v>0</v>
      </c>
      <c r="O107" s="48"/>
    </row>
    <row r="108" spans="11:15" ht="26.25" customHeight="1" x14ac:dyDescent="0.3">
      <c r="K108" s="1">
        <f>Table1181920231030313235383940[[#This Row],[النولون]]+Table1181920231030313235383940[[#This Row],[الايصالات]]+Table1181920231030313235383940[[#This Row],[قيمة مضافة]]</f>
        <v>0</v>
      </c>
      <c r="M108" s="1">
        <f>M107+Table1181920231030313235383940[[#This Row],[اجمالي الفاتوره]]-Table1181920231030313235383940[[#This Row],[الدفعات]]</f>
        <v>0</v>
      </c>
      <c r="O108" s="48"/>
    </row>
    <row r="109" spans="11:15" ht="26.25" customHeight="1" x14ac:dyDescent="0.3">
      <c r="K109" s="1">
        <f>Table1181920231030313235383940[[#This Row],[النولون]]+Table1181920231030313235383940[[#This Row],[الايصالات]]+Table1181920231030313235383940[[#This Row],[قيمة مضافة]]</f>
        <v>0</v>
      </c>
      <c r="M109" s="1">
        <f>M108+Table1181920231030313235383940[[#This Row],[اجمالي الفاتوره]]-Table1181920231030313235383940[[#This Row],[الدفعات]]</f>
        <v>0</v>
      </c>
      <c r="O109" s="48"/>
    </row>
    <row r="110" spans="11:15" ht="26.25" customHeight="1" x14ac:dyDescent="0.3">
      <c r="K110" s="1">
        <f>Table1181920231030313235383940[[#This Row],[النولون]]+Table1181920231030313235383940[[#This Row],[الايصالات]]+Table1181920231030313235383940[[#This Row],[قيمة مضافة]]</f>
        <v>0</v>
      </c>
      <c r="M110" s="1">
        <f>M109+Table1181920231030313235383940[[#This Row],[اجمالي الفاتوره]]-Table1181920231030313235383940[[#This Row],[الدفعات]]</f>
        <v>0</v>
      </c>
      <c r="O110" s="48"/>
    </row>
    <row r="111" spans="11:15" ht="26.25" customHeight="1" x14ac:dyDescent="0.3">
      <c r="K111" s="1">
        <f>Table1181920231030313235383940[[#This Row],[النولون]]+Table1181920231030313235383940[[#This Row],[الايصالات]]+Table1181920231030313235383940[[#This Row],[قيمة مضافة]]</f>
        <v>0</v>
      </c>
      <c r="M111" s="1">
        <f>M110+Table1181920231030313235383940[[#This Row],[اجمالي الفاتوره]]-Table1181920231030313235383940[[#This Row],[الدفعات]]</f>
        <v>0</v>
      </c>
      <c r="O111" s="48"/>
    </row>
    <row r="112" spans="11:15" ht="26.25" customHeight="1" x14ac:dyDescent="0.3">
      <c r="K112" s="1">
        <f>Table1181920231030313235383940[[#This Row],[النولون]]+Table1181920231030313235383940[[#This Row],[الايصالات]]+Table1181920231030313235383940[[#This Row],[قيمة مضافة]]</f>
        <v>0</v>
      </c>
      <c r="M112" s="1">
        <f>M111+Table1181920231030313235383940[[#This Row],[اجمالي الفاتوره]]-Table1181920231030313235383940[[#This Row],[الدفعات]]</f>
        <v>0</v>
      </c>
      <c r="O112" s="48"/>
    </row>
    <row r="113" spans="11:15" ht="26.25" customHeight="1" x14ac:dyDescent="0.3">
      <c r="K113" s="1">
        <f>Table1181920231030313235383940[[#This Row],[النولون]]+Table1181920231030313235383940[[#This Row],[الايصالات]]+Table1181920231030313235383940[[#This Row],[قيمة مضافة]]</f>
        <v>0</v>
      </c>
      <c r="M113" s="1">
        <f>M112+Table1181920231030313235383940[[#This Row],[اجمالي الفاتوره]]-Table1181920231030313235383940[[#This Row],[الدفعات]]</f>
        <v>0</v>
      </c>
      <c r="O113" s="48"/>
    </row>
    <row r="114" spans="11:15" ht="26.25" customHeight="1" x14ac:dyDescent="0.3">
      <c r="K114" s="1">
        <f>Table1181920231030313235383940[[#This Row],[النولون]]+Table1181920231030313235383940[[#This Row],[الايصالات]]+Table1181920231030313235383940[[#This Row],[قيمة مضافة]]</f>
        <v>0</v>
      </c>
      <c r="M114" s="1">
        <f>M113+Table1181920231030313235383940[[#This Row],[اجمالي الفاتوره]]-Table1181920231030313235383940[[#This Row],[الدفعات]]</f>
        <v>0</v>
      </c>
      <c r="O114" s="48"/>
    </row>
    <row r="115" spans="11:15" ht="26.25" customHeight="1" x14ac:dyDescent="0.3">
      <c r="K115" s="1">
        <f>Table1181920231030313235383940[[#This Row],[النولون]]+Table1181920231030313235383940[[#This Row],[الايصالات]]+Table1181920231030313235383940[[#This Row],[قيمة مضافة]]</f>
        <v>0</v>
      </c>
      <c r="M115" s="1">
        <f>M114+Table1181920231030313235383940[[#This Row],[اجمالي الفاتوره]]-Table1181920231030313235383940[[#This Row],[الدفعات]]</f>
        <v>0</v>
      </c>
      <c r="O115" s="48"/>
    </row>
    <row r="116" spans="11:15" ht="26.25" customHeight="1" x14ac:dyDescent="0.3">
      <c r="K116" s="1">
        <f>Table1181920231030313235383940[[#This Row],[النولون]]+Table1181920231030313235383940[[#This Row],[الايصالات]]+Table1181920231030313235383940[[#This Row],[قيمة مضافة]]</f>
        <v>0</v>
      </c>
      <c r="M116" s="1">
        <f>M115+Table1181920231030313235383940[[#This Row],[اجمالي الفاتوره]]-Table1181920231030313235383940[[#This Row],[الدفعات]]</f>
        <v>0</v>
      </c>
      <c r="O116" s="48"/>
    </row>
    <row r="117" spans="11:15" ht="26.25" customHeight="1" x14ac:dyDescent="0.3">
      <c r="K117" s="1">
        <f>Table1181920231030313235383940[[#This Row],[النولون]]+Table1181920231030313235383940[[#This Row],[الايصالات]]+Table1181920231030313235383940[[#This Row],[قيمة مضافة]]</f>
        <v>0</v>
      </c>
      <c r="M117" s="1">
        <f>M116+Table1181920231030313235383940[[#This Row],[اجمالي الفاتوره]]-Table1181920231030313235383940[[#This Row],[الدفعات]]</f>
        <v>0</v>
      </c>
      <c r="O117" s="48"/>
    </row>
    <row r="118" spans="11:15" ht="26.25" customHeight="1" x14ac:dyDescent="0.3">
      <c r="K118" s="1">
        <f>Table1181920231030313235383940[[#This Row],[النولون]]+Table1181920231030313235383940[[#This Row],[الايصالات]]+Table1181920231030313235383940[[#This Row],[قيمة مضافة]]</f>
        <v>0</v>
      </c>
      <c r="M118" s="1">
        <f>M117+Table1181920231030313235383940[[#This Row],[اجمالي الفاتوره]]-Table1181920231030313235383940[[#This Row],[الدفعات]]</f>
        <v>0</v>
      </c>
      <c r="O118" s="48"/>
    </row>
    <row r="119" spans="11:15" ht="26.25" customHeight="1" x14ac:dyDescent="0.3">
      <c r="K119" s="1">
        <f>Table1181920231030313235383940[[#This Row],[النولون]]+Table1181920231030313235383940[[#This Row],[الايصالات]]+Table1181920231030313235383940[[#This Row],[قيمة مضافة]]</f>
        <v>0</v>
      </c>
      <c r="M119" s="1">
        <f>M118+Table1181920231030313235383940[[#This Row],[اجمالي الفاتوره]]-Table1181920231030313235383940[[#This Row],[الدفعات]]</f>
        <v>0</v>
      </c>
      <c r="O119" s="48"/>
    </row>
    <row r="120" spans="11:15" ht="26.25" customHeight="1" x14ac:dyDescent="0.3">
      <c r="K120" s="1">
        <f>Table1181920231030313235383940[[#This Row],[النولون]]+Table1181920231030313235383940[[#This Row],[الايصالات]]+Table1181920231030313235383940[[#This Row],[قيمة مضافة]]</f>
        <v>0</v>
      </c>
      <c r="M120" s="1">
        <f>M119+Table1181920231030313235383940[[#This Row],[اجمالي الفاتوره]]-Table1181920231030313235383940[[#This Row],[الدفعات]]</f>
        <v>0</v>
      </c>
      <c r="O120" s="48"/>
    </row>
    <row r="121" spans="11:15" ht="26.25" customHeight="1" x14ac:dyDescent="0.3">
      <c r="K121" s="1">
        <f>Table1181920231030313235383940[[#This Row],[النولون]]+Table1181920231030313235383940[[#This Row],[الايصالات]]+Table1181920231030313235383940[[#This Row],[قيمة مضافة]]</f>
        <v>0</v>
      </c>
      <c r="M121" s="1">
        <f>M120+Table1181920231030313235383940[[#This Row],[اجمالي الفاتوره]]-Table1181920231030313235383940[[#This Row],[الدفعات]]</f>
        <v>0</v>
      </c>
      <c r="O121" s="48"/>
    </row>
    <row r="122" spans="11:15" ht="26.25" customHeight="1" x14ac:dyDescent="0.3">
      <c r="K122" s="1">
        <f>Table1181920231030313235383940[[#This Row],[النولون]]+Table1181920231030313235383940[[#This Row],[الايصالات]]+Table1181920231030313235383940[[#This Row],[قيمة مضافة]]</f>
        <v>0</v>
      </c>
      <c r="M122" s="1">
        <f>M121+Table1181920231030313235383940[[#This Row],[اجمالي الفاتوره]]-Table1181920231030313235383940[[#This Row],[الدفعات]]</f>
        <v>0</v>
      </c>
      <c r="O122" s="48"/>
    </row>
    <row r="123" spans="11:15" ht="26.25" customHeight="1" x14ac:dyDescent="0.3">
      <c r="K123" s="1">
        <f>Table1181920231030313235383940[[#This Row],[النولون]]+Table1181920231030313235383940[[#This Row],[الايصالات]]+Table1181920231030313235383940[[#This Row],[قيمة مضافة]]</f>
        <v>0</v>
      </c>
      <c r="M123" s="1">
        <f>M122+Table1181920231030313235383940[[#This Row],[اجمالي الفاتوره]]-Table1181920231030313235383940[[#This Row],[الدفعات]]</f>
        <v>0</v>
      </c>
      <c r="O123" s="48"/>
    </row>
    <row r="124" spans="11:15" ht="26.25" customHeight="1" x14ac:dyDescent="0.3">
      <c r="K124" s="1">
        <f>Table1181920231030313235383940[[#This Row],[النولون]]+Table1181920231030313235383940[[#This Row],[الايصالات]]+Table1181920231030313235383940[[#This Row],[قيمة مضافة]]</f>
        <v>0</v>
      </c>
      <c r="M124" s="1">
        <f>M123+Table1181920231030313235383940[[#This Row],[اجمالي الفاتوره]]-Table1181920231030313235383940[[#This Row],[الدفعات]]</f>
        <v>0</v>
      </c>
      <c r="O124" s="48"/>
    </row>
    <row r="125" spans="11:15" ht="26.25" customHeight="1" x14ac:dyDescent="0.3">
      <c r="K125" s="1">
        <f>Table1181920231030313235383940[[#This Row],[النولون]]+Table1181920231030313235383940[[#This Row],[الايصالات]]+Table1181920231030313235383940[[#This Row],[قيمة مضافة]]</f>
        <v>0</v>
      </c>
      <c r="M125" s="1">
        <f>M124+Table1181920231030313235383940[[#This Row],[اجمالي الفاتوره]]-Table1181920231030313235383940[[#This Row],[الدفعات]]</f>
        <v>0</v>
      </c>
      <c r="O125" s="48"/>
    </row>
    <row r="126" spans="11:15" ht="26.25" customHeight="1" x14ac:dyDescent="0.3">
      <c r="K126" s="1">
        <f>Table1181920231030313235383940[[#This Row],[النولون]]+Table1181920231030313235383940[[#This Row],[الايصالات]]+Table1181920231030313235383940[[#This Row],[قيمة مضافة]]</f>
        <v>0</v>
      </c>
      <c r="M126" s="1">
        <f>M125+Table1181920231030313235383940[[#This Row],[اجمالي الفاتوره]]-Table1181920231030313235383940[[#This Row],[الدفعات]]</f>
        <v>0</v>
      </c>
      <c r="O126" s="48"/>
    </row>
    <row r="127" spans="11:15" ht="26.25" customHeight="1" x14ac:dyDescent="0.3">
      <c r="K127" s="1">
        <f>Table1181920231030313235383940[[#This Row],[النولون]]+Table1181920231030313235383940[[#This Row],[الايصالات]]+Table1181920231030313235383940[[#This Row],[قيمة مضافة]]</f>
        <v>0</v>
      </c>
      <c r="M127" s="1">
        <f>M126+Table1181920231030313235383940[[#This Row],[اجمالي الفاتوره]]-Table1181920231030313235383940[[#This Row],[الدفعات]]</f>
        <v>0</v>
      </c>
      <c r="O127" s="48"/>
    </row>
    <row r="128" spans="11:15" ht="26.25" customHeight="1" x14ac:dyDescent="0.3">
      <c r="K128" s="1">
        <f>Table1181920231030313235383940[[#This Row],[النولون]]+Table1181920231030313235383940[[#This Row],[الايصالات]]+Table1181920231030313235383940[[#This Row],[قيمة مضافة]]</f>
        <v>0</v>
      </c>
      <c r="M128" s="1">
        <f>M127+Table1181920231030313235383940[[#This Row],[اجمالي الفاتوره]]-Table1181920231030313235383940[[#This Row],[الدفعات]]</f>
        <v>0</v>
      </c>
      <c r="O128" s="48"/>
    </row>
    <row r="129" spans="11:15" ht="26.25" customHeight="1" x14ac:dyDescent="0.3">
      <c r="K129" s="1">
        <f>Table1181920231030313235383940[[#This Row],[النولون]]+Table1181920231030313235383940[[#This Row],[الايصالات]]+Table1181920231030313235383940[[#This Row],[قيمة مضافة]]</f>
        <v>0</v>
      </c>
      <c r="M129" s="1">
        <f>M128+Table1181920231030313235383940[[#This Row],[اجمالي الفاتوره]]-Table1181920231030313235383940[[#This Row],[الدفعات]]</f>
        <v>0</v>
      </c>
      <c r="O129" s="48"/>
    </row>
    <row r="130" spans="11:15" ht="26.25" customHeight="1" x14ac:dyDescent="0.3">
      <c r="K130" s="1">
        <f>Table1181920231030313235383940[[#This Row],[النولون]]+Table1181920231030313235383940[[#This Row],[الايصالات]]+Table1181920231030313235383940[[#This Row],[قيمة مضافة]]</f>
        <v>0</v>
      </c>
      <c r="M130" s="1">
        <f>M129+Table1181920231030313235383940[[#This Row],[اجمالي الفاتوره]]-Table1181920231030313235383940[[#This Row],[الدفعات]]</f>
        <v>0</v>
      </c>
      <c r="O130" s="48"/>
    </row>
    <row r="131" spans="11:15" ht="26.25" customHeight="1" x14ac:dyDescent="0.3">
      <c r="K131" s="1">
        <f>Table1181920231030313235383940[[#This Row],[النولون]]+Table1181920231030313235383940[[#This Row],[الايصالات]]+Table1181920231030313235383940[[#This Row],[قيمة مضافة]]</f>
        <v>0</v>
      </c>
      <c r="M131" s="1">
        <f>M130+Table1181920231030313235383940[[#This Row],[اجمالي الفاتوره]]-Table1181920231030313235383940[[#This Row],[الدفعات]]</f>
        <v>0</v>
      </c>
      <c r="O131" s="48"/>
    </row>
    <row r="132" spans="11:15" ht="26.25" customHeight="1" x14ac:dyDescent="0.3">
      <c r="K132" s="1">
        <f>Table1181920231030313235383940[[#This Row],[النولون]]+Table1181920231030313235383940[[#This Row],[الايصالات]]+Table1181920231030313235383940[[#This Row],[قيمة مضافة]]</f>
        <v>0</v>
      </c>
      <c r="M132" s="1">
        <f>M131+Table1181920231030313235383940[[#This Row],[اجمالي الفاتوره]]-Table1181920231030313235383940[[#This Row],[الدفعات]]</f>
        <v>0</v>
      </c>
      <c r="O132" s="48"/>
    </row>
    <row r="133" spans="11:15" ht="26.25" customHeight="1" x14ac:dyDescent="0.3">
      <c r="K133" s="1">
        <f>Table1181920231030313235383940[[#This Row],[النولون]]+Table1181920231030313235383940[[#This Row],[الايصالات]]+Table1181920231030313235383940[[#This Row],[قيمة مضافة]]</f>
        <v>0</v>
      </c>
      <c r="M133" s="1">
        <f>M132+Table1181920231030313235383940[[#This Row],[اجمالي الفاتوره]]-Table1181920231030313235383940[[#This Row],[الدفعات]]</f>
        <v>0</v>
      </c>
      <c r="O133" s="48"/>
    </row>
    <row r="134" spans="11:15" ht="26.25" customHeight="1" x14ac:dyDescent="0.3">
      <c r="K134" s="1">
        <f>Table1181920231030313235383940[[#This Row],[النولون]]+Table1181920231030313235383940[[#This Row],[الايصالات]]+Table1181920231030313235383940[[#This Row],[قيمة مضافة]]</f>
        <v>0</v>
      </c>
      <c r="M134" s="1">
        <f>M133+Table1181920231030313235383940[[#This Row],[اجمالي الفاتوره]]-Table1181920231030313235383940[[#This Row],[الدفعات]]</f>
        <v>0</v>
      </c>
      <c r="O134" s="48"/>
    </row>
    <row r="135" spans="11:15" ht="26.25" customHeight="1" x14ac:dyDescent="0.3">
      <c r="K135" s="1">
        <f>Table1181920231030313235383940[[#This Row],[النولون]]+Table1181920231030313235383940[[#This Row],[الايصالات]]+Table1181920231030313235383940[[#This Row],[قيمة مضافة]]</f>
        <v>0</v>
      </c>
      <c r="M135" s="1">
        <f>M134+Table1181920231030313235383940[[#This Row],[اجمالي الفاتوره]]-Table1181920231030313235383940[[#This Row],[الدفعات]]</f>
        <v>0</v>
      </c>
      <c r="O135" s="48"/>
    </row>
    <row r="136" spans="11:15" ht="26.25" customHeight="1" x14ac:dyDescent="0.3">
      <c r="K136" s="1">
        <f>Table1181920231030313235383940[[#This Row],[النولون]]+Table1181920231030313235383940[[#This Row],[الايصالات]]+Table1181920231030313235383940[[#This Row],[قيمة مضافة]]</f>
        <v>0</v>
      </c>
      <c r="M136" s="1">
        <f>M135+Table1181920231030313235383940[[#This Row],[اجمالي الفاتوره]]-Table1181920231030313235383940[[#This Row],[الدفعات]]</f>
        <v>0</v>
      </c>
      <c r="O136" s="48"/>
    </row>
    <row r="137" spans="11:15" ht="26.25" customHeight="1" x14ac:dyDescent="0.3">
      <c r="K137" s="1">
        <f>Table1181920231030313235383940[[#This Row],[النولون]]+Table1181920231030313235383940[[#This Row],[الايصالات]]+Table1181920231030313235383940[[#This Row],[قيمة مضافة]]</f>
        <v>0</v>
      </c>
      <c r="M137" s="1">
        <f>M136+Table1181920231030313235383940[[#This Row],[اجمالي الفاتوره]]-Table1181920231030313235383940[[#This Row],[الدفعات]]</f>
        <v>0</v>
      </c>
      <c r="O137" s="48"/>
    </row>
    <row r="138" spans="11:15" ht="26.25" customHeight="1" x14ac:dyDescent="0.3">
      <c r="K138" s="1">
        <f>Table1181920231030313235383940[[#This Row],[النولون]]+Table1181920231030313235383940[[#This Row],[الايصالات]]+Table1181920231030313235383940[[#This Row],[قيمة مضافة]]</f>
        <v>0</v>
      </c>
      <c r="M138" s="1">
        <f>M137+Table1181920231030313235383940[[#This Row],[اجمالي الفاتوره]]-Table1181920231030313235383940[[#This Row],[الدفعات]]</f>
        <v>0</v>
      </c>
      <c r="O138" s="48"/>
    </row>
    <row r="139" spans="11:15" ht="26.25" customHeight="1" x14ac:dyDescent="0.3">
      <c r="K139" s="1">
        <f>Table1181920231030313235383940[[#This Row],[النولون]]+Table1181920231030313235383940[[#This Row],[الايصالات]]+Table1181920231030313235383940[[#This Row],[قيمة مضافة]]</f>
        <v>0</v>
      </c>
      <c r="M139" s="1">
        <f>M138+Table1181920231030313235383940[[#This Row],[اجمالي الفاتوره]]-Table1181920231030313235383940[[#This Row],[الدفعات]]</f>
        <v>0</v>
      </c>
      <c r="O139" s="48"/>
    </row>
    <row r="140" spans="11:15" ht="26.25" customHeight="1" x14ac:dyDescent="0.3">
      <c r="K140" s="1">
        <f>Table1181920231030313235383940[[#This Row],[النولون]]+Table1181920231030313235383940[[#This Row],[الايصالات]]+Table1181920231030313235383940[[#This Row],[قيمة مضافة]]</f>
        <v>0</v>
      </c>
      <c r="M140" s="1">
        <f>M139+Table1181920231030313235383940[[#This Row],[اجمالي الفاتوره]]-Table1181920231030313235383940[[#This Row],[الدفعات]]</f>
        <v>0</v>
      </c>
      <c r="O140" s="48"/>
    </row>
    <row r="141" spans="11:15" ht="26.25" customHeight="1" x14ac:dyDescent="0.3">
      <c r="K141" s="1">
        <f>Table1181920231030313235383940[[#This Row],[النولون]]+Table1181920231030313235383940[[#This Row],[الايصالات]]+Table1181920231030313235383940[[#This Row],[قيمة مضافة]]</f>
        <v>0</v>
      </c>
      <c r="M141" s="1">
        <f>M140+Table1181920231030313235383940[[#This Row],[اجمالي الفاتوره]]-Table1181920231030313235383940[[#This Row],[الدفعات]]</f>
        <v>0</v>
      </c>
      <c r="O141" s="48"/>
    </row>
    <row r="142" spans="11:15" ht="26.25" customHeight="1" x14ac:dyDescent="0.3">
      <c r="K142" s="1">
        <f>Table1181920231030313235383940[[#This Row],[النولون]]+Table1181920231030313235383940[[#This Row],[الايصالات]]+Table1181920231030313235383940[[#This Row],[قيمة مضافة]]</f>
        <v>0</v>
      </c>
      <c r="M142" s="1">
        <f>M141+Table1181920231030313235383940[[#This Row],[اجمالي الفاتوره]]-Table1181920231030313235383940[[#This Row],[الدفعات]]</f>
        <v>0</v>
      </c>
      <c r="O142" s="48"/>
    </row>
    <row r="143" spans="11:15" ht="26.25" customHeight="1" x14ac:dyDescent="0.3">
      <c r="K143" s="1">
        <f>Table1181920231030313235383940[[#This Row],[النولون]]+Table1181920231030313235383940[[#This Row],[الايصالات]]+Table1181920231030313235383940[[#This Row],[قيمة مضافة]]</f>
        <v>0</v>
      </c>
      <c r="M143" s="1">
        <f>M142+Table1181920231030313235383940[[#This Row],[اجمالي الفاتوره]]-Table1181920231030313235383940[[#This Row],[الدفعات]]</f>
        <v>0</v>
      </c>
      <c r="O143" s="48"/>
    </row>
    <row r="144" spans="11:15" ht="26.25" customHeight="1" x14ac:dyDescent="0.3">
      <c r="K144" s="1">
        <f>Table1181920231030313235383940[[#This Row],[النولون]]+Table1181920231030313235383940[[#This Row],[الايصالات]]+Table1181920231030313235383940[[#This Row],[قيمة مضافة]]</f>
        <v>0</v>
      </c>
      <c r="M144" s="1">
        <f>M143+Table1181920231030313235383940[[#This Row],[اجمالي الفاتوره]]-Table1181920231030313235383940[[#This Row],[الدفعات]]</f>
        <v>0</v>
      </c>
      <c r="O144" s="48"/>
    </row>
    <row r="145" spans="11:15" ht="26.25" customHeight="1" x14ac:dyDescent="0.3">
      <c r="K145" s="1">
        <f>Table1181920231030313235383940[[#This Row],[النولون]]+Table1181920231030313235383940[[#This Row],[الايصالات]]+Table1181920231030313235383940[[#This Row],[قيمة مضافة]]</f>
        <v>0</v>
      </c>
      <c r="M145" s="1">
        <f>M144+Table1181920231030313235383940[[#This Row],[اجمالي الفاتوره]]-Table1181920231030313235383940[[#This Row],[الدفعات]]</f>
        <v>0</v>
      </c>
      <c r="O145" s="48"/>
    </row>
    <row r="146" spans="11:15" ht="26.25" customHeight="1" x14ac:dyDescent="0.3">
      <c r="K146" s="1">
        <f>Table1181920231030313235383940[[#This Row],[النولون]]+Table1181920231030313235383940[[#This Row],[الايصالات]]+Table1181920231030313235383940[[#This Row],[قيمة مضافة]]</f>
        <v>0</v>
      </c>
      <c r="M146" s="1">
        <f>M145+Table1181920231030313235383940[[#This Row],[اجمالي الفاتوره]]-Table1181920231030313235383940[[#This Row],[الدفعات]]</f>
        <v>0</v>
      </c>
      <c r="O146" s="48"/>
    </row>
    <row r="147" spans="11:15" ht="26.25" customHeight="1" x14ac:dyDescent="0.3">
      <c r="K147" s="1">
        <f>Table1181920231030313235383940[[#This Row],[النولون]]+Table1181920231030313235383940[[#This Row],[الايصالات]]+Table1181920231030313235383940[[#This Row],[قيمة مضافة]]</f>
        <v>0</v>
      </c>
      <c r="M147" s="1">
        <f>M146+Table1181920231030313235383940[[#This Row],[اجمالي الفاتوره]]-Table1181920231030313235383940[[#This Row],[الدفعات]]</f>
        <v>0</v>
      </c>
      <c r="O147" s="48"/>
    </row>
    <row r="148" spans="11:15" ht="26.25" customHeight="1" x14ac:dyDescent="0.3">
      <c r="K148" s="1">
        <f>Table1181920231030313235383940[[#This Row],[النولون]]+Table1181920231030313235383940[[#This Row],[الايصالات]]+Table1181920231030313235383940[[#This Row],[قيمة مضافة]]</f>
        <v>0</v>
      </c>
      <c r="M148" s="1">
        <f>M147+Table1181920231030313235383940[[#This Row],[اجمالي الفاتوره]]-Table1181920231030313235383940[[#This Row],[الدفعات]]</f>
        <v>0</v>
      </c>
      <c r="O148" s="48"/>
    </row>
    <row r="149" spans="11:15" ht="26.25" customHeight="1" x14ac:dyDescent="0.3">
      <c r="K149" s="1">
        <f>Table1181920231030313235383940[[#This Row],[النولون]]+Table1181920231030313235383940[[#This Row],[الايصالات]]+Table1181920231030313235383940[[#This Row],[قيمة مضافة]]</f>
        <v>0</v>
      </c>
      <c r="M149" s="1">
        <f>M148+Table1181920231030313235383940[[#This Row],[اجمالي الفاتوره]]-Table1181920231030313235383940[[#This Row],[الدفعات]]</f>
        <v>0</v>
      </c>
      <c r="O149" s="48"/>
    </row>
    <row r="150" spans="11:15" ht="26.25" customHeight="1" x14ac:dyDescent="0.3">
      <c r="K150" s="1">
        <f>Table1181920231030313235383940[[#This Row],[النولون]]+Table1181920231030313235383940[[#This Row],[الايصالات]]+Table1181920231030313235383940[[#This Row],[قيمة مضافة]]</f>
        <v>0</v>
      </c>
      <c r="M150" s="1">
        <f>M149+Table1181920231030313235383940[[#This Row],[اجمالي الفاتوره]]-Table1181920231030313235383940[[#This Row],[الدفعات]]</f>
        <v>0</v>
      </c>
      <c r="O150" s="48"/>
    </row>
    <row r="151" spans="11:15" ht="26.25" customHeight="1" x14ac:dyDescent="0.3">
      <c r="K151" s="1">
        <f>Table1181920231030313235383940[[#This Row],[النولون]]+Table1181920231030313235383940[[#This Row],[الايصالات]]+Table1181920231030313235383940[[#This Row],[قيمة مضافة]]</f>
        <v>0</v>
      </c>
      <c r="M151" s="1">
        <f>M150+Table1181920231030313235383940[[#This Row],[اجمالي الفاتوره]]-Table1181920231030313235383940[[#This Row],[الدفعات]]</f>
        <v>0</v>
      </c>
      <c r="O151" s="48"/>
    </row>
    <row r="152" spans="11:15" ht="26.25" customHeight="1" x14ac:dyDescent="0.3">
      <c r="K152" s="1">
        <f>Table1181920231030313235383940[[#This Row],[النولون]]+Table1181920231030313235383940[[#This Row],[الايصالات]]+Table1181920231030313235383940[[#This Row],[قيمة مضافة]]</f>
        <v>0</v>
      </c>
      <c r="M152" s="1">
        <f>M151+Table1181920231030313235383940[[#This Row],[اجمالي الفاتوره]]-Table1181920231030313235383940[[#This Row],[الدفعات]]</f>
        <v>0</v>
      </c>
      <c r="O152" s="48"/>
    </row>
    <row r="153" spans="11:15" ht="26.25" customHeight="1" x14ac:dyDescent="0.3">
      <c r="K153" s="1">
        <f>Table1181920231030313235383940[[#This Row],[النولون]]+Table1181920231030313235383940[[#This Row],[الايصالات]]+Table1181920231030313235383940[[#This Row],[قيمة مضافة]]</f>
        <v>0</v>
      </c>
      <c r="M153" s="1">
        <f>M152+Table1181920231030313235383940[[#This Row],[اجمالي الفاتوره]]-Table1181920231030313235383940[[#This Row],[الدفعات]]</f>
        <v>0</v>
      </c>
      <c r="O153" s="48"/>
    </row>
    <row r="154" spans="11:15" ht="26.25" customHeight="1" x14ac:dyDescent="0.3">
      <c r="K154" s="1">
        <f>Table1181920231030313235383940[[#This Row],[النولون]]+Table1181920231030313235383940[[#This Row],[الايصالات]]+Table1181920231030313235383940[[#This Row],[قيمة مضافة]]</f>
        <v>0</v>
      </c>
      <c r="M154" s="1">
        <f>M153+Table1181920231030313235383940[[#This Row],[اجمالي الفاتوره]]-Table1181920231030313235383940[[#This Row],[الدفعات]]</f>
        <v>0</v>
      </c>
      <c r="O154" s="48"/>
    </row>
    <row r="155" spans="11:15" ht="26.25" customHeight="1" x14ac:dyDescent="0.3">
      <c r="K155" s="1">
        <f>Table1181920231030313235383940[[#This Row],[النولون]]+Table1181920231030313235383940[[#This Row],[الايصالات]]+Table1181920231030313235383940[[#This Row],[قيمة مضافة]]</f>
        <v>0</v>
      </c>
      <c r="M155" s="1">
        <f>M154+Table1181920231030313235383940[[#This Row],[اجمالي الفاتوره]]-Table1181920231030313235383940[[#This Row],[الدفعات]]</f>
        <v>0</v>
      </c>
      <c r="O155" s="48"/>
    </row>
    <row r="156" spans="11:15" ht="26.25" customHeight="1" x14ac:dyDescent="0.3">
      <c r="K156" s="1">
        <f>Table1181920231030313235383940[[#This Row],[النولون]]+Table1181920231030313235383940[[#This Row],[الايصالات]]+Table1181920231030313235383940[[#This Row],[قيمة مضافة]]</f>
        <v>0</v>
      </c>
      <c r="M156" s="1">
        <f>M155+Table1181920231030313235383940[[#This Row],[اجمالي الفاتوره]]-Table1181920231030313235383940[[#This Row],[الدفعات]]</f>
        <v>0</v>
      </c>
      <c r="O156" s="48"/>
    </row>
    <row r="157" spans="11:15" ht="26.25" customHeight="1" x14ac:dyDescent="0.3">
      <c r="K157" s="1">
        <f>Table1181920231030313235383940[[#This Row],[النولون]]+Table1181920231030313235383940[[#This Row],[الايصالات]]+Table1181920231030313235383940[[#This Row],[قيمة مضافة]]</f>
        <v>0</v>
      </c>
      <c r="M157" s="1">
        <f>M156+Table1181920231030313235383940[[#This Row],[اجمالي الفاتوره]]-Table1181920231030313235383940[[#This Row],[الدفعات]]</f>
        <v>0</v>
      </c>
      <c r="O157" s="48"/>
    </row>
    <row r="158" spans="11:15" ht="26.25" customHeight="1" x14ac:dyDescent="0.3">
      <c r="K158" s="1">
        <f>Table1181920231030313235383940[[#This Row],[النولون]]+Table1181920231030313235383940[[#This Row],[الايصالات]]+Table1181920231030313235383940[[#This Row],[قيمة مضافة]]</f>
        <v>0</v>
      </c>
      <c r="M158" s="1">
        <f>M157+Table1181920231030313235383940[[#This Row],[اجمالي الفاتوره]]-Table1181920231030313235383940[[#This Row],[الدفعات]]</f>
        <v>0</v>
      </c>
      <c r="O158" s="48"/>
    </row>
    <row r="159" spans="11:15" ht="26.25" customHeight="1" x14ac:dyDescent="0.3">
      <c r="K159" s="1">
        <f>Table1181920231030313235383940[[#This Row],[النولون]]+Table1181920231030313235383940[[#This Row],[الايصالات]]+Table1181920231030313235383940[[#This Row],[قيمة مضافة]]</f>
        <v>0</v>
      </c>
      <c r="M159" s="1">
        <f>M158+Table1181920231030313235383940[[#This Row],[اجمالي الفاتوره]]-Table1181920231030313235383940[[#This Row],[الدفعات]]</f>
        <v>0</v>
      </c>
      <c r="O159" s="48"/>
    </row>
    <row r="160" spans="11:15" ht="26.25" customHeight="1" x14ac:dyDescent="0.3">
      <c r="K160" s="1">
        <f>Table1181920231030313235383940[[#This Row],[النولون]]+Table1181920231030313235383940[[#This Row],[الايصالات]]+Table1181920231030313235383940[[#This Row],[قيمة مضافة]]</f>
        <v>0</v>
      </c>
      <c r="M160" s="1">
        <f>M159+Table1181920231030313235383940[[#This Row],[اجمالي الفاتوره]]-Table1181920231030313235383940[[#This Row],[الدفعات]]</f>
        <v>0</v>
      </c>
      <c r="O160" s="48"/>
    </row>
    <row r="161" spans="11:15" ht="26.25" customHeight="1" x14ac:dyDescent="0.3">
      <c r="K161" s="1">
        <f>Table1181920231030313235383940[[#This Row],[النولون]]+Table1181920231030313235383940[[#This Row],[الايصالات]]+Table1181920231030313235383940[[#This Row],[قيمة مضافة]]</f>
        <v>0</v>
      </c>
      <c r="M161" s="1">
        <f>M160+Table1181920231030313235383940[[#This Row],[اجمالي الفاتوره]]-Table1181920231030313235383940[[#This Row],[الدفعات]]</f>
        <v>0</v>
      </c>
      <c r="O161" s="48"/>
    </row>
    <row r="162" spans="11:15" ht="26.25" customHeight="1" x14ac:dyDescent="0.3">
      <c r="K162" s="1">
        <f>Table1181920231030313235383940[[#This Row],[النولون]]+Table1181920231030313235383940[[#This Row],[الايصالات]]+Table1181920231030313235383940[[#This Row],[قيمة مضافة]]</f>
        <v>0</v>
      </c>
      <c r="M162" s="1">
        <f>M161+Table1181920231030313235383940[[#This Row],[اجمالي الفاتوره]]-Table1181920231030313235383940[[#This Row],[الدفعات]]</f>
        <v>0</v>
      </c>
      <c r="O162" s="48"/>
    </row>
    <row r="163" spans="11:15" ht="26.25" customHeight="1" x14ac:dyDescent="0.3">
      <c r="K163" s="1">
        <f>Table1181920231030313235383940[[#This Row],[النولون]]+Table1181920231030313235383940[[#This Row],[الايصالات]]+Table1181920231030313235383940[[#This Row],[قيمة مضافة]]</f>
        <v>0</v>
      </c>
      <c r="M163" s="1">
        <f>M162+Table1181920231030313235383940[[#This Row],[اجمالي الفاتوره]]-Table1181920231030313235383940[[#This Row],[الدفعات]]</f>
        <v>0</v>
      </c>
      <c r="O163" s="48"/>
    </row>
    <row r="164" spans="11:15" ht="26.25" customHeight="1" x14ac:dyDescent="0.3">
      <c r="K164" s="1">
        <f>Table1181920231030313235383940[[#This Row],[النولون]]+Table1181920231030313235383940[[#This Row],[الايصالات]]+Table1181920231030313235383940[[#This Row],[قيمة مضافة]]</f>
        <v>0</v>
      </c>
      <c r="M164" s="1">
        <f>M163+Table1181920231030313235383940[[#This Row],[اجمالي الفاتوره]]-Table1181920231030313235383940[[#This Row],[الدفعات]]</f>
        <v>0</v>
      </c>
      <c r="O164" s="48"/>
    </row>
    <row r="165" spans="11:15" ht="26.25" customHeight="1" x14ac:dyDescent="0.3">
      <c r="K165" s="1">
        <f>Table1181920231030313235383940[[#This Row],[النولون]]+Table1181920231030313235383940[[#This Row],[الايصالات]]+Table1181920231030313235383940[[#This Row],[قيمة مضافة]]</f>
        <v>0</v>
      </c>
      <c r="M165" s="1">
        <f>M164+Table1181920231030313235383940[[#This Row],[اجمالي الفاتوره]]-Table1181920231030313235383940[[#This Row],[الدفعات]]</f>
        <v>0</v>
      </c>
      <c r="O165" s="48"/>
    </row>
    <row r="166" spans="11:15" ht="26.25" customHeight="1" x14ac:dyDescent="0.3">
      <c r="K166" s="1">
        <f>Table1181920231030313235383940[[#This Row],[النولون]]+Table1181920231030313235383940[[#This Row],[الايصالات]]+Table1181920231030313235383940[[#This Row],[قيمة مضافة]]</f>
        <v>0</v>
      </c>
      <c r="M166" s="1">
        <f>M165+Table1181920231030313235383940[[#This Row],[اجمالي الفاتوره]]-Table1181920231030313235383940[[#This Row],[الدفعات]]</f>
        <v>0</v>
      </c>
      <c r="O166" s="48"/>
    </row>
    <row r="167" spans="11:15" ht="26.25" customHeight="1" x14ac:dyDescent="0.3">
      <c r="K167" s="1">
        <f>Table1181920231030313235383940[[#This Row],[النولون]]+Table1181920231030313235383940[[#This Row],[الايصالات]]+Table1181920231030313235383940[[#This Row],[قيمة مضافة]]</f>
        <v>0</v>
      </c>
      <c r="M167" s="1">
        <f>M166+Table1181920231030313235383940[[#This Row],[اجمالي الفاتوره]]-Table1181920231030313235383940[[#This Row],[الدفعات]]</f>
        <v>0</v>
      </c>
      <c r="O167" s="48"/>
    </row>
    <row r="168" spans="11:15" ht="26.25" customHeight="1" x14ac:dyDescent="0.3">
      <c r="K168" s="1">
        <f>Table1181920231030313235383940[[#This Row],[النولون]]+Table1181920231030313235383940[[#This Row],[الايصالات]]+Table1181920231030313235383940[[#This Row],[قيمة مضافة]]</f>
        <v>0</v>
      </c>
      <c r="M168" s="1">
        <f>M167+Table1181920231030313235383940[[#This Row],[اجمالي الفاتوره]]-Table1181920231030313235383940[[#This Row],[الدفعات]]</f>
        <v>0</v>
      </c>
      <c r="O168" s="48"/>
    </row>
    <row r="169" spans="11:15" ht="26.25" customHeight="1" x14ac:dyDescent="0.3">
      <c r="K169" s="1">
        <f>Table1181920231030313235383940[[#This Row],[النولون]]+Table1181920231030313235383940[[#This Row],[الايصالات]]+Table1181920231030313235383940[[#This Row],[قيمة مضافة]]</f>
        <v>0</v>
      </c>
      <c r="M169" s="1">
        <f>M168+Table1181920231030313235383940[[#This Row],[اجمالي الفاتوره]]-Table1181920231030313235383940[[#This Row],[الدفعات]]</f>
        <v>0</v>
      </c>
      <c r="O169" s="48"/>
    </row>
    <row r="170" spans="11:15" ht="26.25" customHeight="1" x14ac:dyDescent="0.3">
      <c r="K170" s="1">
        <f>Table1181920231030313235383940[[#This Row],[النولون]]+Table1181920231030313235383940[[#This Row],[الايصالات]]+Table1181920231030313235383940[[#This Row],[قيمة مضافة]]</f>
        <v>0</v>
      </c>
      <c r="M170" s="1">
        <f>M169+Table1181920231030313235383940[[#This Row],[اجمالي الفاتوره]]-Table1181920231030313235383940[[#This Row],[الدفعات]]</f>
        <v>0</v>
      </c>
      <c r="O170" s="48"/>
    </row>
    <row r="171" spans="11:15" ht="26.25" customHeight="1" x14ac:dyDescent="0.3">
      <c r="K171" s="1">
        <f>Table1181920231030313235383940[[#This Row],[النولون]]+Table1181920231030313235383940[[#This Row],[الايصالات]]+Table1181920231030313235383940[[#This Row],[قيمة مضافة]]</f>
        <v>0</v>
      </c>
      <c r="M171" s="1">
        <f>M170+Table1181920231030313235383940[[#This Row],[اجمالي الفاتوره]]-Table1181920231030313235383940[[#This Row],[الدفعات]]</f>
        <v>0</v>
      </c>
      <c r="O171" s="48"/>
    </row>
    <row r="172" spans="11:15" ht="26.25" customHeight="1" x14ac:dyDescent="0.3">
      <c r="K172" s="1">
        <f>Table1181920231030313235383940[[#This Row],[النولون]]+Table1181920231030313235383940[[#This Row],[الايصالات]]+Table1181920231030313235383940[[#This Row],[قيمة مضافة]]</f>
        <v>0</v>
      </c>
      <c r="M172" s="1">
        <f>M171+Table1181920231030313235383940[[#This Row],[اجمالي الفاتوره]]-Table1181920231030313235383940[[#This Row],[الدفعات]]</f>
        <v>0</v>
      </c>
      <c r="O172" s="48"/>
    </row>
    <row r="173" spans="11:15" ht="26.25" customHeight="1" x14ac:dyDescent="0.3">
      <c r="K173" s="1">
        <f>Table1181920231030313235383940[[#This Row],[النولون]]+Table1181920231030313235383940[[#This Row],[الايصالات]]+Table1181920231030313235383940[[#This Row],[قيمة مضافة]]</f>
        <v>0</v>
      </c>
      <c r="M173" s="1">
        <f>M172+Table1181920231030313235383940[[#This Row],[اجمالي الفاتوره]]-Table1181920231030313235383940[[#This Row],[الدفعات]]</f>
        <v>0</v>
      </c>
      <c r="O173" s="48"/>
    </row>
    <row r="174" spans="11:15" ht="26.25" customHeight="1" x14ac:dyDescent="0.3">
      <c r="K174" s="1">
        <f>Table1181920231030313235383940[[#This Row],[النولون]]+Table1181920231030313235383940[[#This Row],[الايصالات]]+Table1181920231030313235383940[[#This Row],[قيمة مضافة]]</f>
        <v>0</v>
      </c>
      <c r="M174" s="1">
        <f>M173+Table1181920231030313235383940[[#This Row],[اجمالي الفاتوره]]-Table1181920231030313235383940[[#This Row],[الدفعات]]</f>
        <v>0</v>
      </c>
      <c r="O174" s="48"/>
    </row>
    <row r="175" spans="11:15" ht="26.25" customHeight="1" x14ac:dyDescent="0.3">
      <c r="K175" s="1">
        <f>Table1181920231030313235383940[[#This Row],[النولون]]+Table1181920231030313235383940[[#This Row],[الايصالات]]+Table1181920231030313235383940[[#This Row],[قيمة مضافة]]</f>
        <v>0</v>
      </c>
      <c r="M175" s="1">
        <f>M174+Table1181920231030313235383940[[#This Row],[اجمالي الفاتوره]]-Table1181920231030313235383940[[#This Row],[الدفعات]]</f>
        <v>0</v>
      </c>
      <c r="O175" s="48"/>
    </row>
    <row r="176" spans="11:15" ht="26.25" customHeight="1" x14ac:dyDescent="0.3">
      <c r="K176" s="1">
        <f>Table1181920231030313235383940[[#This Row],[النولون]]+Table1181920231030313235383940[[#This Row],[الايصالات]]+Table1181920231030313235383940[[#This Row],[قيمة مضافة]]</f>
        <v>0</v>
      </c>
      <c r="M176" s="1">
        <f>M175+Table1181920231030313235383940[[#This Row],[اجمالي الفاتوره]]-Table1181920231030313235383940[[#This Row],[الدفعات]]</f>
        <v>0</v>
      </c>
      <c r="O176" s="48"/>
    </row>
    <row r="177" spans="11:15" ht="26.25" customHeight="1" x14ac:dyDescent="0.3">
      <c r="K177" s="1">
        <f>Table1181920231030313235383940[[#This Row],[النولون]]+Table1181920231030313235383940[[#This Row],[الايصالات]]+Table1181920231030313235383940[[#This Row],[قيمة مضافة]]</f>
        <v>0</v>
      </c>
      <c r="M177" s="1">
        <f>M176+Table1181920231030313235383940[[#This Row],[اجمالي الفاتوره]]-Table1181920231030313235383940[[#This Row],[الدفعات]]</f>
        <v>0</v>
      </c>
      <c r="O177" s="48"/>
    </row>
    <row r="178" spans="11:15" ht="26.25" customHeight="1" x14ac:dyDescent="0.3">
      <c r="K178" s="1">
        <f>Table1181920231030313235383940[[#This Row],[النولون]]+Table1181920231030313235383940[[#This Row],[الايصالات]]+Table1181920231030313235383940[[#This Row],[قيمة مضافة]]</f>
        <v>0</v>
      </c>
      <c r="M178" s="1">
        <f>M177+Table1181920231030313235383940[[#This Row],[اجمالي الفاتوره]]-Table1181920231030313235383940[[#This Row],[الدفعات]]</f>
        <v>0</v>
      </c>
      <c r="O178" s="48"/>
    </row>
    <row r="179" spans="11:15" ht="26.25" customHeight="1" x14ac:dyDescent="0.3">
      <c r="K179" s="1">
        <f>Table1181920231030313235383940[[#This Row],[النولون]]+Table1181920231030313235383940[[#This Row],[الايصالات]]+Table1181920231030313235383940[[#This Row],[قيمة مضافة]]</f>
        <v>0</v>
      </c>
      <c r="M179" s="1">
        <f>M178+Table1181920231030313235383940[[#This Row],[اجمالي الفاتوره]]-Table1181920231030313235383940[[#This Row],[الدفعات]]</f>
        <v>0</v>
      </c>
      <c r="O179" s="48"/>
    </row>
    <row r="180" spans="11:15" ht="26.25" customHeight="1" x14ac:dyDescent="0.3">
      <c r="K180" s="1">
        <f>Table1181920231030313235383940[[#This Row],[النولون]]+Table1181920231030313235383940[[#This Row],[الايصالات]]+Table1181920231030313235383940[[#This Row],[قيمة مضافة]]</f>
        <v>0</v>
      </c>
      <c r="M180" s="1">
        <f>M179+Table1181920231030313235383940[[#This Row],[اجمالي الفاتوره]]-Table1181920231030313235383940[[#This Row],[الدفعات]]</f>
        <v>0</v>
      </c>
      <c r="O180" s="48"/>
    </row>
    <row r="181" spans="11:15" ht="26.25" customHeight="1" x14ac:dyDescent="0.3">
      <c r="K181" s="1">
        <f>Table1181920231030313235383940[[#This Row],[النولون]]+Table1181920231030313235383940[[#This Row],[الايصالات]]+Table1181920231030313235383940[[#This Row],[قيمة مضافة]]</f>
        <v>0</v>
      </c>
      <c r="M181" s="1">
        <f>M180+Table1181920231030313235383940[[#This Row],[اجمالي الفاتوره]]-Table1181920231030313235383940[[#This Row],[الدفعات]]</f>
        <v>0</v>
      </c>
      <c r="O181" s="48"/>
    </row>
    <row r="182" spans="11:15" ht="26.25" customHeight="1" x14ac:dyDescent="0.3">
      <c r="K182" s="1">
        <f>Table1181920231030313235383940[[#This Row],[النولون]]+Table1181920231030313235383940[[#This Row],[الايصالات]]+Table1181920231030313235383940[[#This Row],[قيمة مضافة]]</f>
        <v>0</v>
      </c>
      <c r="M182" s="1">
        <f>M181+Table1181920231030313235383940[[#This Row],[اجمالي الفاتوره]]-Table1181920231030313235383940[[#This Row],[الدفعات]]</f>
        <v>0</v>
      </c>
      <c r="O182" s="48"/>
    </row>
    <row r="183" spans="11:15" ht="26.25" customHeight="1" x14ac:dyDescent="0.3">
      <c r="K183" s="1">
        <f>Table1181920231030313235383940[[#This Row],[النولون]]+Table1181920231030313235383940[[#This Row],[الايصالات]]+Table1181920231030313235383940[[#This Row],[قيمة مضافة]]</f>
        <v>0</v>
      </c>
      <c r="M183" s="1">
        <f>M182+Table1181920231030313235383940[[#This Row],[اجمالي الفاتوره]]-Table1181920231030313235383940[[#This Row],[الدفعات]]</f>
        <v>0</v>
      </c>
      <c r="O183" s="48"/>
    </row>
    <row r="184" spans="11:15" ht="26.25" customHeight="1" x14ac:dyDescent="0.3">
      <c r="K184" s="1">
        <f>Table1181920231030313235383940[[#This Row],[النولون]]+Table1181920231030313235383940[[#This Row],[الايصالات]]+Table1181920231030313235383940[[#This Row],[قيمة مضافة]]</f>
        <v>0</v>
      </c>
      <c r="M184" s="1">
        <f>M183+Table1181920231030313235383940[[#This Row],[اجمالي الفاتوره]]-Table1181920231030313235383940[[#This Row],[الدفعات]]</f>
        <v>0</v>
      </c>
      <c r="O184" s="48"/>
    </row>
    <row r="185" spans="11:15" ht="26.25" customHeight="1" x14ac:dyDescent="0.3">
      <c r="K185" s="1">
        <f>Table1181920231030313235383940[[#This Row],[النولون]]+Table1181920231030313235383940[[#This Row],[الايصالات]]+Table1181920231030313235383940[[#This Row],[قيمة مضافة]]</f>
        <v>0</v>
      </c>
      <c r="M185" s="1">
        <f>M184+Table1181920231030313235383940[[#This Row],[اجمالي الفاتوره]]-Table1181920231030313235383940[[#This Row],[الدفعات]]</f>
        <v>0</v>
      </c>
      <c r="O185" s="48"/>
    </row>
    <row r="186" spans="11:15" ht="26.25" customHeight="1" x14ac:dyDescent="0.3">
      <c r="K186" s="1">
        <f>Table1181920231030313235383940[[#This Row],[النولون]]+Table1181920231030313235383940[[#This Row],[الايصالات]]+Table1181920231030313235383940[[#This Row],[قيمة مضافة]]</f>
        <v>0</v>
      </c>
      <c r="M186" s="1">
        <f>M185+Table1181920231030313235383940[[#This Row],[اجمالي الفاتوره]]-Table1181920231030313235383940[[#This Row],[الدفعات]]</f>
        <v>0</v>
      </c>
      <c r="O186" s="48"/>
    </row>
    <row r="187" spans="11:15" ht="26.25" customHeight="1" x14ac:dyDescent="0.3">
      <c r="K187" s="1">
        <f>Table1181920231030313235383940[[#This Row],[النولون]]+Table1181920231030313235383940[[#This Row],[الايصالات]]+Table1181920231030313235383940[[#This Row],[قيمة مضافة]]</f>
        <v>0</v>
      </c>
      <c r="M187" s="1">
        <f>M186+Table1181920231030313235383940[[#This Row],[اجمالي الفاتوره]]-Table1181920231030313235383940[[#This Row],[الدفعات]]</f>
        <v>0</v>
      </c>
      <c r="O187" s="48"/>
    </row>
    <row r="188" spans="11:15" ht="26.25" customHeight="1" x14ac:dyDescent="0.3">
      <c r="K188" s="1">
        <f>Table1181920231030313235383940[[#This Row],[النولون]]+Table1181920231030313235383940[[#This Row],[الايصالات]]+Table1181920231030313235383940[[#This Row],[قيمة مضافة]]</f>
        <v>0</v>
      </c>
      <c r="M188" s="1">
        <f>M187+Table1181920231030313235383940[[#This Row],[اجمالي الفاتوره]]-Table1181920231030313235383940[[#This Row],[الدفعات]]</f>
        <v>0</v>
      </c>
      <c r="O188" s="48"/>
    </row>
    <row r="189" spans="11:15" ht="26.25" customHeight="1" x14ac:dyDescent="0.3">
      <c r="K189" s="1">
        <f>Table1181920231030313235383940[[#This Row],[النولون]]+Table1181920231030313235383940[[#This Row],[الايصالات]]+Table1181920231030313235383940[[#This Row],[قيمة مضافة]]</f>
        <v>0</v>
      </c>
      <c r="M189" s="1">
        <f>M188+Table1181920231030313235383940[[#This Row],[اجمالي الفاتوره]]-Table1181920231030313235383940[[#This Row],[الدفعات]]</f>
        <v>0</v>
      </c>
      <c r="O189" s="48"/>
    </row>
    <row r="190" spans="11:15" ht="26.25" customHeight="1" x14ac:dyDescent="0.3">
      <c r="K190" s="1">
        <f>Table1181920231030313235383940[[#This Row],[النولون]]+Table1181920231030313235383940[[#This Row],[الايصالات]]+Table1181920231030313235383940[[#This Row],[قيمة مضافة]]</f>
        <v>0</v>
      </c>
      <c r="M190" s="1">
        <f>M189+Table1181920231030313235383940[[#This Row],[اجمالي الفاتوره]]-Table1181920231030313235383940[[#This Row],[الدفعات]]</f>
        <v>0</v>
      </c>
      <c r="O190" s="48"/>
    </row>
    <row r="191" spans="11:15" ht="26.25" customHeight="1" x14ac:dyDescent="0.3">
      <c r="K191" s="1">
        <f>Table1181920231030313235383940[[#This Row],[النولون]]+Table1181920231030313235383940[[#This Row],[الايصالات]]+Table1181920231030313235383940[[#This Row],[قيمة مضافة]]</f>
        <v>0</v>
      </c>
      <c r="M191" s="1">
        <f>M190+Table1181920231030313235383940[[#This Row],[اجمالي الفاتوره]]-Table1181920231030313235383940[[#This Row],[الدفعات]]</f>
        <v>0</v>
      </c>
      <c r="O191" s="48"/>
    </row>
    <row r="192" spans="11:15" ht="26.25" customHeight="1" x14ac:dyDescent="0.3">
      <c r="K192" s="1">
        <f>Table1181920231030313235383940[[#This Row],[النولون]]+Table1181920231030313235383940[[#This Row],[الايصالات]]+Table1181920231030313235383940[[#This Row],[قيمة مضافة]]</f>
        <v>0</v>
      </c>
      <c r="M192" s="1">
        <f>M191+Table1181920231030313235383940[[#This Row],[اجمالي الفاتوره]]-Table1181920231030313235383940[[#This Row],[الدفعات]]</f>
        <v>0</v>
      </c>
      <c r="O192" s="48"/>
    </row>
    <row r="193" spans="11:15" ht="26.25" customHeight="1" x14ac:dyDescent="0.3">
      <c r="K193" s="1">
        <f>Table1181920231030313235383940[[#This Row],[النولون]]+Table1181920231030313235383940[[#This Row],[الايصالات]]+Table1181920231030313235383940[[#This Row],[قيمة مضافة]]</f>
        <v>0</v>
      </c>
      <c r="M193" s="1">
        <f>M192+Table1181920231030313235383940[[#This Row],[اجمالي الفاتوره]]-Table1181920231030313235383940[[#This Row],[الدفعات]]</f>
        <v>0</v>
      </c>
      <c r="O193" s="48"/>
    </row>
    <row r="194" spans="11:15" ht="26.25" customHeight="1" x14ac:dyDescent="0.3">
      <c r="K194" s="1">
        <f>Table1181920231030313235383940[[#This Row],[النولون]]+Table1181920231030313235383940[[#This Row],[الايصالات]]+Table1181920231030313235383940[[#This Row],[قيمة مضافة]]</f>
        <v>0</v>
      </c>
      <c r="M194" s="1">
        <f>M193+Table1181920231030313235383940[[#This Row],[اجمالي الفاتوره]]-Table1181920231030313235383940[[#This Row],[الدفعات]]</f>
        <v>0</v>
      </c>
      <c r="O194" s="48"/>
    </row>
    <row r="195" spans="11:15" ht="26.25" customHeight="1" x14ac:dyDescent="0.3">
      <c r="K195" s="1">
        <f>Table1181920231030313235383940[[#This Row],[النولون]]+Table1181920231030313235383940[[#This Row],[الايصالات]]+Table1181920231030313235383940[[#This Row],[قيمة مضافة]]</f>
        <v>0</v>
      </c>
      <c r="M195" s="1">
        <f>M194+Table1181920231030313235383940[[#This Row],[اجمالي الفاتوره]]-Table1181920231030313235383940[[#This Row],[الدفعات]]</f>
        <v>0</v>
      </c>
      <c r="O195" s="48"/>
    </row>
    <row r="196" spans="11:15" ht="26.25" customHeight="1" x14ac:dyDescent="0.3">
      <c r="K196" s="1">
        <f>Table1181920231030313235383940[[#This Row],[النولون]]+Table1181920231030313235383940[[#This Row],[الايصالات]]+Table1181920231030313235383940[[#This Row],[قيمة مضافة]]</f>
        <v>0</v>
      </c>
      <c r="M196" s="1">
        <f>M195+Table1181920231030313235383940[[#This Row],[اجمالي الفاتوره]]-Table1181920231030313235383940[[#This Row],[الدفعات]]</f>
        <v>0</v>
      </c>
      <c r="O196" s="48"/>
    </row>
    <row r="197" spans="11:15" ht="26.25" customHeight="1" x14ac:dyDescent="0.3">
      <c r="K197" s="1">
        <f>Table1181920231030313235383940[[#This Row],[النولون]]+Table1181920231030313235383940[[#This Row],[الايصالات]]+Table1181920231030313235383940[[#This Row],[قيمة مضافة]]</f>
        <v>0</v>
      </c>
      <c r="M197" s="1">
        <f>M196+Table1181920231030313235383940[[#This Row],[اجمالي الفاتوره]]-Table1181920231030313235383940[[#This Row],[الدفعات]]</f>
        <v>0</v>
      </c>
      <c r="O197" s="48"/>
    </row>
    <row r="198" spans="11:15" ht="26.25" customHeight="1" x14ac:dyDescent="0.3">
      <c r="K198" s="1">
        <f>Table1181920231030313235383940[[#This Row],[النولون]]+Table1181920231030313235383940[[#This Row],[الايصالات]]+Table1181920231030313235383940[[#This Row],[قيمة مضافة]]</f>
        <v>0</v>
      </c>
      <c r="M198" s="1">
        <f>M197+Table1181920231030313235383940[[#This Row],[اجمالي الفاتوره]]-Table1181920231030313235383940[[#This Row],[الدفعات]]</f>
        <v>0</v>
      </c>
      <c r="O198" s="48"/>
    </row>
    <row r="199" spans="11:15" ht="26.25" customHeight="1" x14ac:dyDescent="0.3">
      <c r="K199" s="1">
        <f>Table1181920231030313235383940[[#This Row],[النولون]]+Table1181920231030313235383940[[#This Row],[الايصالات]]+Table1181920231030313235383940[[#This Row],[قيمة مضافة]]</f>
        <v>0</v>
      </c>
      <c r="M199" s="1">
        <f>M198+Table1181920231030313235383940[[#This Row],[اجمالي الفاتوره]]-Table1181920231030313235383940[[#This Row],[الدفعات]]</f>
        <v>0</v>
      </c>
      <c r="O199" s="48"/>
    </row>
    <row r="200" spans="11:15" ht="26.25" customHeight="1" x14ac:dyDescent="0.3">
      <c r="K200" s="1">
        <f>Table1181920231030313235383940[[#This Row],[النولون]]+Table1181920231030313235383940[[#This Row],[الايصالات]]+Table1181920231030313235383940[[#This Row],[قيمة مضافة]]</f>
        <v>0</v>
      </c>
      <c r="M200" s="1">
        <f>M199+Table1181920231030313235383940[[#This Row],[اجمالي الفاتوره]]-Table1181920231030313235383940[[#This Row],[الدفعات]]</f>
        <v>0</v>
      </c>
      <c r="O200" s="48"/>
    </row>
    <row r="201" spans="11:15" ht="26.25" customHeight="1" x14ac:dyDescent="0.3">
      <c r="K201" s="1">
        <f>Table1181920231030313235383940[[#This Row],[النولون]]+Table1181920231030313235383940[[#This Row],[الايصالات]]+Table1181920231030313235383940[[#This Row],[قيمة مضافة]]</f>
        <v>0</v>
      </c>
      <c r="M201" s="1">
        <f>M200+Table1181920231030313235383940[[#This Row],[اجمالي الفاتوره]]-Table1181920231030313235383940[[#This Row],[الدفعات]]</f>
        <v>0</v>
      </c>
      <c r="O201" s="48"/>
    </row>
    <row r="202" spans="11:15" ht="26.25" customHeight="1" x14ac:dyDescent="0.3">
      <c r="K202" s="1">
        <f>Table1181920231030313235383940[[#This Row],[النولون]]+Table1181920231030313235383940[[#This Row],[الايصالات]]+Table1181920231030313235383940[[#This Row],[قيمة مضافة]]</f>
        <v>0</v>
      </c>
      <c r="M202" s="1">
        <f>M201+Table1181920231030313235383940[[#This Row],[اجمالي الفاتوره]]-Table1181920231030313235383940[[#This Row],[الدفعات]]</f>
        <v>0</v>
      </c>
      <c r="O202" s="48"/>
    </row>
    <row r="203" spans="11:15" ht="26.25" customHeight="1" x14ac:dyDescent="0.3">
      <c r="K203" s="1">
        <f>Table1181920231030313235383940[[#This Row],[النولون]]+Table1181920231030313235383940[[#This Row],[الايصالات]]+Table1181920231030313235383940[[#This Row],[قيمة مضافة]]</f>
        <v>0</v>
      </c>
      <c r="M203" s="1">
        <f>M202+Table1181920231030313235383940[[#This Row],[اجمالي الفاتوره]]-Table1181920231030313235383940[[#This Row],[الدفعات]]</f>
        <v>0</v>
      </c>
      <c r="O203" s="48"/>
    </row>
    <row r="204" spans="11:15" ht="26.25" customHeight="1" x14ac:dyDescent="0.3">
      <c r="K204" s="1">
        <f>Table1181920231030313235383940[[#This Row],[النولون]]+Table1181920231030313235383940[[#This Row],[الايصالات]]+Table1181920231030313235383940[[#This Row],[قيمة مضافة]]</f>
        <v>0</v>
      </c>
      <c r="M204" s="1">
        <f>M203+Table1181920231030313235383940[[#This Row],[اجمالي الفاتوره]]-Table1181920231030313235383940[[#This Row],[الدفعات]]</f>
        <v>0</v>
      </c>
      <c r="O204" s="48"/>
    </row>
    <row r="205" spans="11:15" ht="26.25" customHeight="1" x14ac:dyDescent="0.3">
      <c r="K205" s="1">
        <f>Table1181920231030313235383940[[#This Row],[النولون]]+Table1181920231030313235383940[[#This Row],[الايصالات]]+Table1181920231030313235383940[[#This Row],[قيمة مضافة]]</f>
        <v>0</v>
      </c>
      <c r="M205" s="1">
        <f>M204+Table1181920231030313235383940[[#This Row],[اجمالي الفاتوره]]-Table1181920231030313235383940[[#This Row],[الدفعات]]</f>
        <v>0</v>
      </c>
      <c r="O205" s="48"/>
    </row>
    <row r="206" spans="11:15" ht="26.25" customHeight="1" x14ac:dyDescent="0.3">
      <c r="K206" s="1">
        <f>Table1181920231030313235383940[[#This Row],[النولون]]+Table1181920231030313235383940[[#This Row],[الايصالات]]+Table1181920231030313235383940[[#This Row],[قيمة مضافة]]</f>
        <v>0</v>
      </c>
      <c r="M206" s="1">
        <f>M205+Table1181920231030313235383940[[#This Row],[اجمالي الفاتوره]]-Table1181920231030313235383940[[#This Row],[الدفعات]]</f>
        <v>0</v>
      </c>
      <c r="O206" s="48"/>
    </row>
    <row r="207" spans="11:15" ht="26.25" customHeight="1" x14ac:dyDescent="0.3">
      <c r="K207" s="1">
        <f>Table1181920231030313235383940[[#This Row],[النولون]]+Table1181920231030313235383940[[#This Row],[الايصالات]]+Table1181920231030313235383940[[#This Row],[قيمة مضافة]]</f>
        <v>0</v>
      </c>
      <c r="M207" s="1">
        <f>M206+Table1181920231030313235383940[[#This Row],[اجمالي الفاتوره]]-Table1181920231030313235383940[[#This Row],[الدفعات]]</f>
        <v>0</v>
      </c>
      <c r="O207" s="48"/>
    </row>
    <row r="208" spans="11:15" ht="26.25" customHeight="1" x14ac:dyDescent="0.3">
      <c r="K208" s="1">
        <f>Table1181920231030313235383940[[#This Row],[النولون]]+Table1181920231030313235383940[[#This Row],[الايصالات]]+Table1181920231030313235383940[[#This Row],[قيمة مضافة]]</f>
        <v>0</v>
      </c>
      <c r="M208" s="1">
        <f>M207+Table1181920231030313235383940[[#This Row],[اجمالي الفاتوره]]-Table1181920231030313235383940[[#This Row],[الدفعات]]</f>
        <v>0</v>
      </c>
      <c r="O208" s="48"/>
    </row>
    <row r="209" spans="11:15" ht="26.25" customHeight="1" x14ac:dyDescent="0.3">
      <c r="K209" s="1">
        <f>Table1181920231030313235383940[[#This Row],[النولون]]+Table1181920231030313235383940[[#This Row],[الايصالات]]+Table1181920231030313235383940[[#This Row],[قيمة مضافة]]</f>
        <v>0</v>
      </c>
      <c r="M209" s="1">
        <f>M208+Table1181920231030313235383940[[#This Row],[اجمالي الفاتوره]]-Table1181920231030313235383940[[#This Row],[الدفعات]]</f>
        <v>0</v>
      </c>
      <c r="O209" s="48"/>
    </row>
    <row r="210" spans="11:15" ht="26.25" customHeight="1" x14ac:dyDescent="0.3">
      <c r="K210" s="1">
        <f>Table1181920231030313235383940[[#This Row],[النولون]]+Table1181920231030313235383940[[#This Row],[الايصالات]]+Table1181920231030313235383940[[#This Row],[قيمة مضافة]]</f>
        <v>0</v>
      </c>
      <c r="M210" s="1">
        <f>M209+Table1181920231030313235383940[[#This Row],[اجمالي الفاتوره]]-Table1181920231030313235383940[[#This Row],[الدفعات]]</f>
        <v>0</v>
      </c>
      <c r="O210" s="48"/>
    </row>
    <row r="211" spans="11:15" ht="26.25" customHeight="1" x14ac:dyDescent="0.3">
      <c r="K211" s="1">
        <f>Table1181920231030313235383940[[#This Row],[النولون]]+Table1181920231030313235383940[[#This Row],[الايصالات]]+Table1181920231030313235383940[[#This Row],[قيمة مضافة]]</f>
        <v>0</v>
      </c>
      <c r="M211" s="1">
        <f>M210+Table1181920231030313235383940[[#This Row],[اجمالي الفاتوره]]-Table1181920231030313235383940[[#This Row],[الدفعات]]</f>
        <v>0</v>
      </c>
      <c r="O211" s="48"/>
    </row>
    <row r="212" spans="11:15" ht="26.25" customHeight="1" x14ac:dyDescent="0.3">
      <c r="K212" s="1">
        <f>Table1181920231030313235383940[[#This Row],[النولون]]+Table1181920231030313235383940[[#This Row],[الايصالات]]+Table1181920231030313235383940[[#This Row],[قيمة مضافة]]</f>
        <v>0</v>
      </c>
      <c r="M212" s="1">
        <f>M211+Table1181920231030313235383940[[#This Row],[اجمالي الفاتوره]]-Table1181920231030313235383940[[#This Row],[الدفعات]]</f>
        <v>0</v>
      </c>
      <c r="O212" s="48"/>
    </row>
    <row r="213" spans="11:15" ht="26.25" customHeight="1" x14ac:dyDescent="0.3">
      <c r="K213" s="1">
        <f>Table1181920231030313235383940[[#This Row],[النولون]]+Table1181920231030313235383940[[#This Row],[الايصالات]]+Table1181920231030313235383940[[#This Row],[قيمة مضافة]]</f>
        <v>0</v>
      </c>
      <c r="M213" s="1">
        <f>M212+Table1181920231030313235383940[[#This Row],[اجمالي الفاتوره]]-Table1181920231030313235383940[[#This Row],[الدفعات]]</f>
        <v>0</v>
      </c>
      <c r="O213" s="48"/>
    </row>
    <row r="214" spans="11:15" ht="26.25" customHeight="1" x14ac:dyDescent="0.3">
      <c r="K214" s="1">
        <f>Table1181920231030313235383940[[#This Row],[النولون]]+Table1181920231030313235383940[[#This Row],[الايصالات]]+Table1181920231030313235383940[[#This Row],[قيمة مضافة]]</f>
        <v>0</v>
      </c>
      <c r="M214" s="1">
        <f>M213+Table1181920231030313235383940[[#This Row],[اجمالي الفاتوره]]-Table1181920231030313235383940[[#This Row],[الدفعات]]</f>
        <v>0</v>
      </c>
      <c r="O214" s="48"/>
    </row>
    <row r="215" spans="11:15" ht="26.25" customHeight="1" x14ac:dyDescent="0.3">
      <c r="K215" s="1">
        <f>Table1181920231030313235383940[[#This Row],[النولون]]+Table1181920231030313235383940[[#This Row],[الايصالات]]+Table1181920231030313235383940[[#This Row],[قيمة مضافة]]</f>
        <v>0</v>
      </c>
      <c r="M215" s="1">
        <f>M214+Table1181920231030313235383940[[#This Row],[اجمالي الفاتوره]]-Table1181920231030313235383940[[#This Row],[الدفعات]]</f>
        <v>0</v>
      </c>
      <c r="O215" s="48"/>
    </row>
    <row r="216" spans="11:15" ht="26.25" customHeight="1" x14ac:dyDescent="0.3">
      <c r="K216" s="1">
        <f>Table1181920231030313235383940[[#This Row],[النولون]]+Table1181920231030313235383940[[#This Row],[الايصالات]]+Table1181920231030313235383940[[#This Row],[قيمة مضافة]]</f>
        <v>0</v>
      </c>
      <c r="M216" s="1">
        <f>M215+Table1181920231030313235383940[[#This Row],[اجمالي الفاتوره]]-Table1181920231030313235383940[[#This Row],[الدفعات]]</f>
        <v>0</v>
      </c>
      <c r="O216" s="48"/>
    </row>
    <row r="217" spans="11:15" ht="26.25" customHeight="1" x14ac:dyDescent="0.3">
      <c r="K217" s="1">
        <f>Table1181920231030313235383940[[#This Row],[النولون]]+Table1181920231030313235383940[[#This Row],[الايصالات]]+Table1181920231030313235383940[[#This Row],[قيمة مضافة]]</f>
        <v>0</v>
      </c>
      <c r="M217" s="1">
        <f>M216+Table1181920231030313235383940[[#This Row],[اجمالي الفاتوره]]-Table1181920231030313235383940[[#This Row],[الدفعات]]</f>
        <v>0</v>
      </c>
      <c r="O217" s="48"/>
    </row>
    <row r="218" spans="11:15" ht="26.25" customHeight="1" x14ac:dyDescent="0.3">
      <c r="K218" s="1">
        <f>Table1181920231030313235383940[[#This Row],[النولون]]+Table1181920231030313235383940[[#This Row],[الايصالات]]+Table1181920231030313235383940[[#This Row],[قيمة مضافة]]</f>
        <v>0</v>
      </c>
      <c r="M218" s="1">
        <f>M217+Table1181920231030313235383940[[#This Row],[اجمالي الفاتوره]]-Table1181920231030313235383940[[#This Row],[الدفعات]]</f>
        <v>0</v>
      </c>
      <c r="O218" s="48"/>
    </row>
    <row r="219" spans="11:15" ht="26.25" customHeight="1" x14ac:dyDescent="0.3">
      <c r="K219" s="1">
        <f>Table1181920231030313235383940[[#This Row],[النولون]]+Table1181920231030313235383940[[#This Row],[الايصالات]]+Table1181920231030313235383940[[#This Row],[قيمة مضافة]]</f>
        <v>0</v>
      </c>
      <c r="M219" s="1">
        <f>M218+Table1181920231030313235383940[[#This Row],[اجمالي الفاتوره]]-Table1181920231030313235383940[[#This Row],[الدفعات]]</f>
        <v>0</v>
      </c>
      <c r="O219" s="48"/>
    </row>
    <row r="220" spans="11:15" ht="26.25" customHeight="1" x14ac:dyDescent="0.3">
      <c r="K220" s="1">
        <f>Table1181920231030313235383940[[#This Row],[النولون]]+Table1181920231030313235383940[[#This Row],[الايصالات]]+Table1181920231030313235383940[[#This Row],[قيمة مضافة]]</f>
        <v>0</v>
      </c>
      <c r="M220" s="1">
        <f>M219+Table1181920231030313235383940[[#This Row],[اجمالي الفاتوره]]-Table1181920231030313235383940[[#This Row],[الدفعات]]</f>
        <v>0</v>
      </c>
      <c r="O220" s="48"/>
    </row>
    <row r="221" spans="11:15" ht="26.25" customHeight="1" x14ac:dyDescent="0.3">
      <c r="K221" s="1">
        <f>Table1181920231030313235383940[[#This Row],[النولون]]+Table1181920231030313235383940[[#This Row],[الايصالات]]+Table1181920231030313235383940[[#This Row],[قيمة مضافة]]</f>
        <v>0</v>
      </c>
      <c r="M221" s="1">
        <f>M220+Table1181920231030313235383940[[#This Row],[اجمالي الفاتوره]]-Table1181920231030313235383940[[#This Row],[الدفعات]]</f>
        <v>0</v>
      </c>
      <c r="O221" s="48"/>
    </row>
    <row r="222" spans="11:15" ht="26.25" customHeight="1" x14ac:dyDescent="0.3">
      <c r="K222" s="1">
        <f>Table1181920231030313235383940[[#This Row],[النولون]]+Table1181920231030313235383940[[#This Row],[الايصالات]]+Table1181920231030313235383940[[#This Row],[قيمة مضافة]]</f>
        <v>0</v>
      </c>
      <c r="M222" s="1">
        <f>M221+Table1181920231030313235383940[[#This Row],[اجمالي الفاتوره]]-Table1181920231030313235383940[[#This Row],[الدفعات]]</f>
        <v>0</v>
      </c>
      <c r="O222" s="48"/>
    </row>
    <row r="223" spans="11:15" ht="26.25" customHeight="1" x14ac:dyDescent="0.3">
      <c r="K223" s="1">
        <f>Table1181920231030313235383940[[#This Row],[النولون]]+Table1181920231030313235383940[[#This Row],[الايصالات]]+Table1181920231030313235383940[[#This Row],[قيمة مضافة]]</f>
        <v>0</v>
      </c>
      <c r="M223" s="1">
        <f>M222+Table1181920231030313235383940[[#This Row],[اجمالي الفاتوره]]-Table1181920231030313235383940[[#This Row],[الدفعات]]</f>
        <v>0</v>
      </c>
      <c r="O223" s="48"/>
    </row>
    <row r="224" spans="11:15" ht="26.25" customHeight="1" x14ac:dyDescent="0.3">
      <c r="K224" s="1">
        <f>Table1181920231030313235383940[[#This Row],[النولون]]+Table1181920231030313235383940[[#This Row],[الايصالات]]+Table1181920231030313235383940[[#This Row],[قيمة مضافة]]</f>
        <v>0</v>
      </c>
      <c r="M224" s="1">
        <f>M223+Table1181920231030313235383940[[#This Row],[اجمالي الفاتوره]]-Table1181920231030313235383940[[#This Row],[الدفعات]]</f>
        <v>0</v>
      </c>
      <c r="O224" s="48"/>
    </row>
    <row r="225" spans="11:15" ht="26.25" customHeight="1" x14ac:dyDescent="0.3">
      <c r="K225" s="1">
        <f>Table1181920231030313235383940[[#This Row],[النولون]]+Table1181920231030313235383940[[#This Row],[الايصالات]]+Table1181920231030313235383940[[#This Row],[قيمة مضافة]]</f>
        <v>0</v>
      </c>
      <c r="M225" s="1">
        <f>M224+Table1181920231030313235383940[[#This Row],[اجمالي الفاتوره]]-Table1181920231030313235383940[[#This Row],[الدفعات]]</f>
        <v>0</v>
      </c>
      <c r="O225" s="48"/>
    </row>
    <row r="226" spans="11:15" ht="26.25" customHeight="1" x14ac:dyDescent="0.3">
      <c r="K226" s="1">
        <f>Table1181920231030313235383940[[#This Row],[النولون]]+Table1181920231030313235383940[[#This Row],[الايصالات]]+Table1181920231030313235383940[[#This Row],[قيمة مضافة]]</f>
        <v>0</v>
      </c>
      <c r="M226" s="1">
        <f>M225+Table1181920231030313235383940[[#This Row],[اجمالي الفاتوره]]-Table1181920231030313235383940[[#This Row],[الدفعات]]</f>
        <v>0</v>
      </c>
      <c r="O226" s="48"/>
    </row>
    <row r="227" spans="11:15" ht="26.25" customHeight="1" x14ac:dyDescent="0.3">
      <c r="K227" s="1">
        <f>Table1181920231030313235383940[[#This Row],[النولون]]+Table1181920231030313235383940[[#This Row],[الايصالات]]+Table1181920231030313235383940[[#This Row],[قيمة مضافة]]</f>
        <v>0</v>
      </c>
      <c r="M227" s="1">
        <f>M226+Table1181920231030313235383940[[#This Row],[اجمالي الفاتوره]]-Table1181920231030313235383940[[#This Row],[الدفعات]]</f>
        <v>0</v>
      </c>
      <c r="O227" s="48"/>
    </row>
    <row r="228" spans="11:15" ht="26.25" customHeight="1" x14ac:dyDescent="0.3">
      <c r="K228" s="1">
        <f>Table1181920231030313235383940[[#This Row],[النولون]]+Table1181920231030313235383940[[#This Row],[الايصالات]]+Table1181920231030313235383940[[#This Row],[قيمة مضافة]]</f>
        <v>0</v>
      </c>
      <c r="M228" s="1">
        <f>M227+Table1181920231030313235383940[[#This Row],[اجمالي الفاتوره]]-Table1181920231030313235383940[[#This Row],[الدفعات]]</f>
        <v>0</v>
      </c>
      <c r="O228" s="48"/>
    </row>
    <row r="229" spans="11:15" ht="26.25" customHeight="1" x14ac:dyDescent="0.3">
      <c r="K229" s="1">
        <f>Table1181920231030313235383940[[#This Row],[النولون]]+Table1181920231030313235383940[[#This Row],[الايصالات]]+Table1181920231030313235383940[[#This Row],[قيمة مضافة]]</f>
        <v>0</v>
      </c>
      <c r="M229" s="1">
        <f>M228+Table1181920231030313235383940[[#This Row],[اجمالي الفاتوره]]-Table1181920231030313235383940[[#This Row],[الدفعات]]</f>
        <v>0</v>
      </c>
      <c r="O229" s="48"/>
    </row>
    <row r="230" spans="11:15" ht="26.25" customHeight="1" x14ac:dyDescent="0.3">
      <c r="K230" s="1">
        <f>Table1181920231030313235383940[[#This Row],[النولون]]+Table1181920231030313235383940[[#This Row],[الايصالات]]+Table1181920231030313235383940[[#This Row],[قيمة مضافة]]</f>
        <v>0</v>
      </c>
      <c r="M230" s="1">
        <f>M229+Table1181920231030313235383940[[#This Row],[اجمالي الفاتوره]]-Table1181920231030313235383940[[#This Row],[الدفعات]]</f>
        <v>0</v>
      </c>
      <c r="O230" s="48"/>
    </row>
    <row r="231" spans="11:15" ht="26.25" customHeight="1" x14ac:dyDescent="0.3">
      <c r="K231" s="1">
        <f>Table1181920231030313235383940[[#This Row],[النولون]]+Table1181920231030313235383940[[#This Row],[الايصالات]]+Table1181920231030313235383940[[#This Row],[قيمة مضافة]]</f>
        <v>0</v>
      </c>
      <c r="M231" s="1">
        <f>M230+Table1181920231030313235383940[[#This Row],[اجمالي الفاتوره]]-Table1181920231030313235383940[[#This Row],[الدفعات]]</f>
        <v>0</v>
      </c>
      <c r="O231" s="48"/>
    </row>
    <row r="232" spans="11:15" ht="26.25" customHeight="1" x14ac:dyDescent="0.3">
      <c r="K232" s="1">
        <f>Table1181920231030313235383940[[#This Row],[النولون]]+Table1181920231030313235383940[[#This Row],[الايصالات]]+Table1181920231030313235383940[[#This Row],[قيمة مضافة]]</f>
        <v>0</v>
      </c>
      <c r="M232" s="1">
        <f>M231+Table1181920231030313235383940[[#This Row],[اجمالي الفاتوره]]-Table1181920231030313235383940[[#This Row],[الدفعات]]</f>
        <v>0</v>
      </c>
      <c r="O232" s="48"/>
    </row>
    <row r="233" spans="11:15" ht="26.25" customHeight="1" x14ac:dyDescent="0.3">
      <c r="K233" s="1">
        <f>Table1181920231030313235383940[[#This Row],[النولون]]+Table1181920231030313235383940[[#This Row],[الايصالات]]+Table1181920231030313235383940[[#This Row],[قيمة مضافة]]</f>
        <v>0</v>
      </c>
      <c r="M233" s="1">
        <f>M232+Table1181920231030313235383940[[#This Row],[اجمالي الفاتوره]]-Table1181920231030313235383940[[#This Row],[الدفعات]]</f>
        <v>0</v>
      </c>
      <c r="O233" s="48"/>
    </row>
    <row r="234" spans="11:15" ht="26.25" customHeight="1" x14ac:dyDescent="0.3">
      <c r="K234" s="1">
        <f>Table1181920231030313235383940[[#This Row],[النولون]]+Table1181920231030313235383940[[#This Row],[الايصالات]]+Table1181920231030313235383940[[#This Row],[قيمة مضافة]]</f>
        <v>0</v>
      </c>
      <c r="M234" s="1">
        <f>M233+Table1181920231030313235383940[[#This Row],[اجمالي الفاتوره]]-Table1181920231030313235383940[[#This Row],[الدفعات]]</f>
        <v>0</v>
      </c>
      <c r="O234" s="48"/>
    </row>
    <row r="235" spans="11:15" ht="26.25" customHeight="1" x14ac:dyDescent="0.3">
      <c r="K235" s="1">
        <f>Table1181920231030313235383940[[#This Row],[النولون]]+Table1181920231030313235383940[[#This Row],[الايصالات]]+Table1181920231030313235383940[[#This Row],[قيمة مضافة]]</f>
        <v>0</v>
      </c>
      <c r="M235" s="1">
        <f>M234+Table1181920231030313235383940[[#This Row],[اجمالي الفاتوره]]-Table1181920231030313235383940[[#This Row],[الدفعات]]</f>
        <v>0</v>
      </c>
      <c r="O235" s="48"/>
    </row>
    <row r="236" spans="11:15" ht="26.25" customHeight="1" x14ac:dyDescent="0.3">
      <c r="K236" s="1">
        <f>Table1181920231030313235383940[[#This Row],[النولون]]+Table1181920231030313235383940[[#This Row],[الايصالات]]+Table1181920231030313235383940[[#This Row],[قيمة مضافة]]</f>
        <v>0</v>
      </c>
      <c r="M236" s="1">
        <f>M235+Table1181920231030313235383940[[#This Row],[اجمالي الفاتوره]]-Table1181920231030313235383940[[#This Row],[الدفعات]]</f>
        <v>0</v>
      </c>
      <c r="O236" s="48"/>
    </row>
    <row r="237" spans="11:15" ht="26.25" customHeight="1" x14ac:dyDescent="0.3">
      <c r="K237" s="1">
        <f>Table1181920231030313235383940[[#This Row],[النولون]]+Table1181920231030313235383940[[#This Row],[الايصالات]]+Table1181920231030313235383940[[#This Row],[قيمة مضافة]]</f>
        <v>0</v>
      </c>
      <c r="M237" s="1">
        <f>M236+Table1181920231030313235383940[[#This Row],[اجمالي الفاتوره]]-Table1181920231030313235383940[[#This Row],[الدفعات]]</f>
        <v>0</v>
      </c>
      <c r="O237" s="48"/>
    </row>
    <row r="238" spans="11:15" ht="26.25" customHeight="1" x14ac:dyDescent="0.3">
      <c r="K238" s="1">
        <f>Table1181920231030313235383940[[#This Row],[النولون]]+Table1181920231030313235383940[[#This Row],[الايصالات]]+Table1181920231030313235383940[[#This Row],[قيمة مضافة]]</f>
        <v>0</v>
      </c>
      <c r="M238" s="1">
        <f>M237+Table1181920231030313235383940[[#This Row],[اجمالي الفاتوره]]-Table1181920231030313235383940[[#This Row],[الدفعات]]</f>
        <v>0</v>
      </c>
      <c r="O238" s="48"/>
    </row>
    <row r="239" spans="11:15" ht="26.25" customHeight="1" x14ac:dyDescent="0.3">
      <c r="K239" s="1">
        <f>Table1181920231030313235383940[[#This Row],[النولون]]+Table1181920231030313235383940[[#This Row],[الايصالات]]+Table1181920231030313235383940[[#This Row],[قيمة مضافة]]</f>
        <v>0</v>
      </c>
      <c r="M239" s="1">
        <f>M238+Table1181920231030313235383940[[#This Row],[اجمالي الفاتوره]]-Table1181920231030313235383940[[#This Row],[الدفعات]]</f>
        <v>0</v>
      </c>
      <c r="O239" s="48"/>
    </row>
    <row r="240" spans="11:15" ht="26.25" customHeight="1" x14ac:dyDescent="0.3">
      <c r="K240" s="1">
        <f>Table1181920231030313235383940[[#This Row],[النولون]]+Table1181920231030313235383940[[#This Row],[الايصالات]]+Table1181920231030313235383940[[#This Row],[قيمة مضافة]]</f>
        <v>0</v>
      </c>
      <c r="M240" s="1">
        <f>M239+Table1181920231030313235383940[[#This Row],[اجمالي الفاتوره]]-Table1181920231030313235383940[[#This Row],[الدفعات]]</f>
        <v>0</v>
      </c>
      <c r="O240" s="48"/>
    </row>
    <row r="241" spans="11:15" ht="26.25" customHeight="1" x14ac:dyDescent="0.3">
      <c r="K241" s="1">
        <f>Table1181920231030313235383940[[#This Row],[النولون]]+Table1181920231030313235383940[[#This Row],[الايصالات]]+Table1181920231030313235383940[[#This Row],[قيمة مضافة]]</f>
        <v>0</v>
      </c>
      <c r="M241" s="1">
        <f>M240+Table1181920231030313235383940[[#This Row],[اجمالي الفاتوره]]-Table1181920231030313235383940[[#This Row],[الدفعات]]</f>
        <v>0</v>
      </c>
      <c r="O241" s="48"/>
    </row>
    <row r="242" spans="11:15" ht="26.25" customHeight="1" x14ac:dyDescent="0.3">
      <c r="K242" s="1">
        <f>Table1181920231030313235383940[[#This Row],[النولون]]+Table1181920231030313235383940[[#This Row],[الايصالات]]+Table1181920231030313235383940[[#This Row],[قيمة مضافة]]</f>
        <v>0</v>
      </c>
      <c r="M242" s="1">
        <f>M241+Table1181920231030313235383940[[#This Row],[اجمالي الفاتوره]]-Table1181920231030313235383940[[#This Row],[الدفعات]]</f>
        <v>0</v>
      </c>
      <c r="O242" s="48"/>
    </row>
    <row r="243" spans="11:15" ht="26.25" customHeight="1" x14ac:dyDescent="0.3">
      <c r="K243" s="1">
        <f>Table1181920231030313235383940[[#This Row],[النولون]]+Table1181920231030313235383940[[#This Row],[الايصالات]]+Table1181920231030313235383940[[#This Row],[قيمة مضافة]]</f>
        <v>0</v>
      </c>
      <c r="M243" s="1">
        <f>M242+Table1181920231030313235383940[[#This Row],[اجمالي الفاتوره]]-Table1181920231030313235383940[[#This Row],[الدفعات]]</f>
        <v>0</v>
      </c>
      <c r="O243" s="48"/>
    </row>
    <row r="244" spans="11:15" ht="26.25" customHeight="1" x14ac:dyDescent="0.3">
      <c r="K244" s="1">
        <f>Table1181920231030313235383940[[#This Row],[النولون]]+Table1181920231030313235383940[[#This Row],[الايصالات]]+Table1181920231030313235383940[[#This Row],[قيمة مضافة]]</f>
        <v>0</v>
      </c>
      <c r="M244" s="1">
        <f>M243+Table1181920231030313235383940[[#This Row],[اجمالي الفاتوره]]-Table1181920231030313235383940[[#This Row],[الدفعات]]</f>
        <v>0</v>
      </c>
      <c r="O244" s="48"/>
    </row>
    <row r="245" spans="11:15" ht="26.25" customHeight="1" x14ac:dyDescent="0.3">
      <c r="K245" s="1">
        <f>Table1181920231030313235383940[[#This Row],[النولون]]+Table1181920231030313235383940[[#This Row],[الايصالات]]+Table1181920231030313235383940[[#This Row],[قيمة مضافة]]</f>
        <v>0</v>
      </c>
      <c r="M245" s="1">
        <f>M244+Table1181920231030313235383940[[#This Row],[اجمالي الفاتوره]]-Table1181920231030313235383940[[#This Row],[الدفعات]]</f>
        <v>0</v>
      </c>
      <c r="O245" s="48"/>
    </row>
    <row r="246" spans="11:15" ht="26.25" customHeight="1" x14ac:dyDescent="0.3">
      <c r="K246" s="1">
        <f>Table1181920231030313235383940[[#This Row],[النولون]]+Table1181920231030313235383940[[#This Row],[الايصالات]]+Table1181920231030313235383940[[#This Row],[قيمة مضافة]]</f>
        <v>0</v>
      </c>
      <c r="M246" s="1">
        <f>M245+Table1181920231030313235383940[[#This Row],[اجمالي الفاتوره]]-Table1181920231030313235383940[[#This Row],[الدفعات]]</f>
        <v>0</v>
      </c>
      <c r="O246" s="48"/>
    </row>
    <row r="247" spans="11:15" ht="26.25" customHeight="1" x14ac:dyDescent="0.3">
      <c r="K247" s="1">
        <f>Table1181920231030313235383940[[#This Row],[النولون]]+Table1181920231030313235383940[[#This Row],[الايصالات]]+Table1181920231030313235383940[[#This Row],[قيمة مضافة]]</f>
        <v>0</v>
      </c>
      <c r="M247" s="1">
        <f>M246+Table1181920231030313235383940[[#This Row],[اجمالي الفاتوره]]-Table1181920231030313235383940[[#This Row],[الدفعات]]</f>
        <v>0</v>
      </c>
      <c r="O247" s="48"/>
    </row>
    <row r="248" spans="11:15" ht="26.25" customHeight="1" x14ac:dyDescent="0.3">
      <c r="K248" s="1">
        <f>Table1181920231030313235383940[[#This Row],[النولون]]+Table1181920231030313235383940[[#This Row],[الايصالات]]+Table1181920231030313235383940[[#This Row],[قيمة مضافة]]</f>
        <v>0</v>
      </c>
      <c r="M248" s="1">
        <f>M247+Table1181920231030313235383940[[#This Row],[اجمالي الفاتوره]]-Table1181920231030313235383940[[#This Row],[الدفعات]]</f>
        <v>0</v>
      </c>
      <c r="O248" s="48"/>
    </row>
    <row r="249" spans="11:15" ht="26.25" customHeight="1" x14ac:dyDescent="0.3">
      <c r="K249" s="1">
        <f>Table1181920231030313235383940[[#This Row],[النولون]]+Table1181920231030313235383940[[#This Row],[الايصالات]]+Table1181920231030313235383940[[#This Row],[قيمة مضافة]]</f>
        <v>0</v>
      </c>
      <c r="M249" s="1">
        <f>M248+Table1181920231030313235383940[[#This Row],[اجمالي الفاتوره]]-Table1181920231030313235383940[[#This Row],[الدفعات]]</f>
        <v>0</v>
      </c>
      <c r="O249" s="48"/>
    </row>
    <row r="250" spans="11:15" ht="26.25" customHeight="1" x14ac:dyDescent="0.3">
      <c r="K250" s="1">
        <f>Table1181920231030313235383940[[#This Row],[النولون]]+Table1181920231030313235383940[[#This Row],[الايصالات]]+Table1181920231030313235383940[[#This Row],[قيمة مضافة]]</f>
        <v>0</v>
      </c>
      <c r="M250" s="1">
        <f>M249+Table1181920231030313235383940[[#This Row],[اجمالي الفاتوره]]-Table1181920231030313235383940[[#This Row],[الدفعات]]</f>
        <v>0</v>
      </c>
      <c r="O250" s="48"/>
    </row>
    <row r="251" spans="11:15" ht="26.25" customHeight="1" x14ac:dyDescent="0.3">
      <c r="K251" s="1">
        <f>Table1181920231030313235383940[[#This Row],[النولون]]+Table1181920231030313235383940[[#This Row],[الايصالات]]+Table1181920231030313235383940[[#This Row],[قيمة مضافة]]</f>
        <v>0</v>
      </c>
      <c r="M251" s="1">
        <f>M250+Table1181920231030313235383940[[#This Row],[اجمالي الفاتوره]]-Table1181920231030313235383940[[#This Row],[الدفعات]]</f>
        <v>0</v>
      </c>
      <c r="O251" s="48"/>
    </row>
    <row r="252" spans="11:15" ht="26.25" customHeight="1" x14ac:dyDescent="0.3">
      <c r="K252" s="1">
        <f>Table1181920231030313235383940[[#This Row],[النولون]]+Table1181920231030313235383940[[#This Row],[الايصالات]]+Table1181920231030313235383940[[#This Row],[قيمة مضافة]]</f>
        <v>0</v>
      </c>
      <c r="M252" s="1">
        <f>M251+Table1181920231030313235383940[[#This Row],[اجمالي الفاتوره]]-Table1181920231030313235383940[[#This Row],[الدفعات]]</f>
        <v>0</v>
      </c>
      <c r="O252" s="48"/>
    </row>
    <row r="253" spans="11:15" ht="26.25" customHeight="1" x14ac:dyDescent="0.3">
      <c r="K253" s="1">
        <f>Table1181920231030313235383940[[#This Row],[النولون]]+Table1181920231030313235383940[[#This Row],[الايصالات]]+Table1181920231030313235383940[[#This Row],[قيمة مضافة]]</f>
        <v>0</v>
      </c>
      <c r="M253" s="1">
        <f>M252+Table1181920231030313235383940[[#This Row],[اجمالي الفاتوره]]-Table1181920231030313235383940[[#This Row],[الدفعات]]</f>
        <v>0</v>
      </c>
      <c r="O253" s="48"/>
    </row>
    <row r="254" spans="11:15" ht="26.25" customHeight="1" x14ac:dyDescent="0.3">
      <c r="K254" s="1">
        <f>Table1181920231030313235383940[[#This Row],[النولون]]+Table1181920231030313235383940[[#This Row],[الايصالات]]+Table1181920231030313235383940[[#This Row],[قيمة مضافة]]</f>
        <v>0</v>
      </c>
      <c r="M254" s="1">
        <f>M253+Table1181920231030313235383940[[#This Row],[اجمالي الفاتوره]]-Table1181920231030313235383940[[#This Row],[الدفعات]]</f>
        <v>0</v>
      </c>
      <c r="O254" s="48"/>
    </row>
    <row r="255" spans="11:15" ht="26.25" customHeight="1" x14ac:dyDescent="0.3">
      <c r="K255" s="1">
        <f>Table1181920231030313235383940[[#This Row],[النولون]]+Table1181920231030313235383940[[#This Row],[الايصالات]]+Table1181920231030313235383940[[#This Row],[قيمة مضافة]]</f>
        <v>0</v>
      </c>
      <c r="M255" s="1">
        <f>M254+Table1181920231030313235383940[[#This Row],[اجمالي الفاتوره]]-Table1181920231030313235383940[[#This Row],[الدفعات]]</f>
        <v>0</v>
      </c>
      <c r="O255" s="48"/>
    </row>
    <row r="256" spans="11:15" ht="26.25" customHeight="1" x14ac:dyDescent="0.3">
      <c r="K256" s="1">
        <f>Table1181920231030313235383940[[#This Row],[النولون]]+Table1181920231030313235383940[[#This Row],[الايصالات]]+Table1181920231030313235383940[[#This Row],[قيمة مضافة]]</f>
        <v>0</v>
      </c>
      <c r="M256" s="1">
        <f>M255+Table1181920231030313235383940[[#This Row],[اجمالي الفاتوره]]-Table1181920231030313235383940[[#This Row],[الدفعات]]</f>
        <v>0</v>
      </c>
      <c r="O256" s="48"/>
    </row>
    <row r="257" spans="11:15" ht="26.25" customHeight="1" x14ac:dyDescent="0.3">
      <c r="K257" s="1">
        <f>Table1181920231030313235383940[[#This Row],[النولون]]+Table1181920231030313235383940[[#This Row],[الايصالات]]+Table1181920231030313235383940[[#This Row],[قيمة مضافة]]</f>
        <v>0</v>
      </c>
      <c r="M257" s="1">
        <f>M256+Table1181920231030313235383940[[#This Row],[اجمالي الفاتوره]]-Table1181920231030313235383940[[#This Row],[الدفعات]]</f>
        <v>0</v>
      </c>
      <c r="O257" s="48"/>
    </row>
    <row r="258" spans="11:15" ht="26.25" customHeight="1" x14ac:dyDescent="0.3">
      <c r="K258" s="1">
        <f>Table1181920231030313235383940[[#This Row],[النولون]]+Table1181920231030313235383940[[#This Row],[الايصالات]]+Table1181920231030313235383940[[#This Row],[قيمة مضافة]]</f>
        <v>0</v>
      </c>
      <c r="M258" s="1">
        <f>M257+Table1181920231030313235383940[[#This Row],[اجمالي الفاتوره]]-Table1181920231030313235383940[[#This Row],[الدفعات]]</f>
        <v>0</v>
      </c>
      <c r="O258" s="48"/>
    </row>
    <row r="259" spans="11:15" ht="26.25" customHeight="1" x14ac:dyDescent="0.3">
      <c r="K259" s="1">
        <f>Table1181920231030313235383940[[#This Row],[النولون]]+Table1181920231030313235383940[[#This Row],[الايصالات]]+Table1181920231030313235383940[[#This Row],[قيمة مضافة]]</f>
        <v>0</v>
      </c>
      <c r="M259" s="1">
        <f>M258+Table1181920231030313235383940[[#This Row],[اجمالي الفاتوره]]-Table1181920231030313235383940[[#This Row],[الدفعات]]</f>
        <v>0</v>
      </c>
      <c r="O259" s="48"/>
    </row>
    <row r="260" spans="11:15" ht="26.25" customHeight="1" x14ac:dyDescent="0.3">
      <c r="K260" s="1">
        <f>Table1181920231030313235383940[[#This Row],[النولون]]+Table1181920231030313235383940[[#This Row],[الايصالات]]+Table1181920231030313235383940[[#This Row],[قيمة مضافة]]</f>
        <v>0</v>
      </c>
      <c r="M260" s="1">
        <f>M259+Table1181920231030313235383940[[#This Row],[اجمالي الفاتوره]]-Table1181920231030313235383940[[#This Row],[الدفعات]]</f>
        <v>0</v>
      </c>
      <c r="O260" s="48"/>
    </row>
    <row r="261" spans="11:15" ht="26.25" customHeight="1" x14ac:dyDescent="0.3">
      <c r="K261" s="1">
        <f>Table1181920231030313235383940[[#This Row],[النولون]]+Table1181920231030313235383940[[#This Row],[الايصالات]]+Table1181920231030313235383940[[#This Row],[قيمة مضافة]]</f>
        <v>0</v>
      </c>
      <c r="M261" s="1">
        <f>M260+Table1181920231030313235383940[[#This Row],[اجمالي الفاتوره]]-Table1181920231030313235383940[[#This Row],[الدفعات]]</f>
        <v>0</v>
      </c>
      <c r="O261" s="48"/>
    </row>
    <row r="262" spans="11:15" ht="26.25" customHeight="1" x14ac:dyDescent="0.3">
      <c r="K262" s="1">
        <f>Table1181920231030313235383940[[#This Row],[النولون]]+Table1181920231030313235383940[[#This Row],[الايصالات]]+Table1181920231030313235383940[[#This Row],[قيمة مضافة]]</f>
        <v>0</v>
      </c>
      <c r="M262" s="1">
        <f>M261+Table1181920231030313235383940[[#This Row],[اجمالي الفاتوره]]-Table1181920231030313235383940[[#This Row],[الدفعات]]</f>
        <v>0</v>
      </c>
      <c r="O262" s="48"/>
    </row>
    <row r="263" spans="11:15" ht="26.25" customHeight="1" x14ac:dyDescent="0.3">
      <c r="K263" s="1">
        <f>Table1181920231030313235383940[[#This Row],[النولون]]+Table1181920231030313235383940[[#This Row],[الايصالات]]+Table1181920231030313235383940[[#This Row],[قيمة مضافة]]</f>
        <v>0</v>
      </c>
      <c r="M263" s="1">
        <f>M262+Table1181920231030313235383940[[#This Row],[اجمالي الفاتوره]]-Table1181920231030313235383940[[#This Row],[الدفعات]]</f>
        <v>0</v>
      </c>
      <c r="O263" s="48"/>
    </row>
    <row r="264" spans="11:15" ht="26.25" customHeight="1" x14ac:dyDescent="0.3">
      <c r="K264" s="1">
        <f>Table1181920231030313235383940[[#This Row],[النولون]]+Table1181920231030313235383940[[#This Row],[الايصالات]]+Table1181920231030313235383940[[#This Row],[قيمة مضافة]]</f>
        <v>0</v>
      </c>
      <c r="M264" s="1">
        <f>M263+Table1181920231030313235383940[[#This Row],[اجمالي الفاتوره]]-Table1181920231030313235383940[[#This Row],[الدفعات]]</f>
        <v>0</v>
      </c>
      <c r="O264" s="48"/>
    </row>
    <row r="265" spans="11:15" ht="26.25" customHeight="1" x14ac:dyDescent="0.3">
      <c r="K265" s="1">
        <f>Table1181920231030313235383940[[#This Row],[النولون]]+Table1181920231030313235383940[[#This Row],[الايصالات]]+Table1181920231030313235383940[[#This Row],[قيمة مضافة]]</f>
        <v>0</v>
      </c>
      <c r="M265" s="1">
        <f>M264+Table1181920231030313235383940[[#This Row],[اجمالي الفاتوره]]-Table1181920231030313235383940[[#This Row],[الدفعات]]</f>
        <v>0</v>
      </c>
      <c r="O265" s="48"/>
    </row>
    <row r="266" spans="11:15" ht="26.25" customHeight="1" x14ac:dyDescent="0.3">
      <c r="K266" s="1">
        <f>Table1181920231030313235383940[[#This Row],[النولون]]+Table1181920231030313235383940[[#This Row],[الايصالات]]+Table1181920231030313235383940[[#This Row],[قيمة مضافة]]</f>
        <v>0</v>
      </c>
      <c r="M266" s="1">
        <f>M265+Table1181920231030313235383940[[#This Row],[اجمالي الفاتوره]]-Table1181920231030313235383940[[#This Row],[الدفعات]]</f>
        <v>0</v>
      </c>
      <c r="O266" s="48"/>
    </row>
    <row r="267" spans="11:15" ht="26.25" customHeight="1" x14ac:dyDescent="0.3">
      <c r="K267" s="1">
        <f>Table1181920231030313235383940[[#This Row],[النولون]]+Table1181920231030313235383940[[#This Row],[الايصالات]]+Table1181920231030313235383940[[#This Row],[قيمة مضافة]]</f>
        <v>0</v>
      </c>
      <c r="M267" s="1">
        <f>M266+Table1181920231030313235383940[[#This Row],[اجمالي الفاتوره]]-Table1181920231030313235383940[[#This Row],[الدفعات]]</f>
        <v>0</v>
      </c>
      <c r="O267" s="48"/>
    </row>
    <row r="268" spans="11:15" ht="26.25" customHeight="1" x14ac:dyDescent="0.3">
      <c r="K268" s="1">
        <f>Table1181920231030313235383940[[#This Row],[النولون]]+Table1181920231030313235383940[[#This Row],[الايصالات]]+Table1181920231030313235383940[[#This Row],[قيمة مضافة]]</f>
        <v>0</v>
      </c>
      <c r="M268" s="1">
        <f>M267+Table1181920231030313235383940[[#This Row],[اجمالي الفاتوره]]-Table1181920231030313235383940[[#This Row],[الدفعات]]</f>
        <v>0</v>
      </c>
      <c r="O268" s="48"/>
    </row>
    <row r="269" spans="11:15" ht="26.25" customHeight="1" x14ac:dyDescent="0.3">
      <c r="K269" s="1">
        <f>Table1181920231030313235383940[[#This Row],[النولون]]+Table1181920231030313235383940[[#This Row],[الايصالات]]+Table1181920231030313235383940[[#This Row],[قيمة مضافة]]</f>
        <v>0</v>
      </c>
      <c r="M269" s="1">
        <f>M268+Table1181920231030313235383940[[#This Row],[اجمالي الفاتوره]]-Table1181920231030313235383940[[#This Row],[الدفعات]]</f>
        <v>0</v>
      </c>
      <c r="O269" s="48"/>
    </row>
    <row r="270" spans="11:15" ht="26.25" customHeight="1" x14ac:dyDescent="0.3">
      <c r="K270" s="1">
        <f>Table1181920231030313235383940[[#This Row],[النولون]]+Table1181920231030313235383940[[#This Row],[الايصالات]]+Table1181920231030313235383940[[#This Row],[قيمة مضافة]]</f>
        <v>0</v>
      </c>
      <c r="M270" s="1">
        <f>M269+Table1181920231030313235383940[[#This Row],[اجمالي الفاتوره]]-Table1181920231030313235383940[[#This Row],[الدفعات]]</f>
        <v>0</v>
      </c>
      <c r="O270" s="48"/>
    </row>
    <row r="271" spans="11:15" ht="26.25" customHeight="1" x14ac:dyDescent="0.3">
      <c r="K271" s="1">
        <f>Table1181920231030313235383940[[#This Row],[النولون]]+Table1181920231030313235383940[[#This Row],[الايصالات]]+Table1181920231030313235383940[[#This Row],[قيمة مضافة]]</f>
        <v>0</v>
      </c>
      <c r="M271" s="1">
        <f>M270+Table1181920231030313235383940[[#This Row],[اجمالي الفاتوره]]-Table1181920231030313235383940[[#This Row],[الدفعات]]</f>
        <v>0</v>
      </c>
      <c r="O271" s="48"/>
    </row>
    <row r="272" spans="11:15" ht="26.25" customHeight="1" x14ac:dyDescent="0.3">
      <c r="K272" s="1">
        <f>Table1181920231030313235383940[[#This Row],[النولون]]+Table1181920231030313235383940[[#This Row],[الايصالات]]+Table1181920231030313235383940[[#This Row],[قيمة مضافة]]</f>
        <v>0</v>
      </c>
      <c r="M272" s="1">
        <f>M271+Table1181920231030313235383940[[#This Row],[اجمالي الفاتوره]]-Table1181920231030313235383940[[#This Row],[الدفعات]]</f>
        <v>0</v>
      </c>
      <c r="O272" s="48"/>
    </row>
    <row r="273" spans="11:15" ht="26.25" customHeight="1" x14ac:dyDescent="0.3">
      <c r="K273" s="1">
        <f>Table1181920231030313235383940[[#This Row],[النولون]]+Table1181920231030313235383940[[#This Row],[الايصالات]]+Table1181920231030313235383940[[#This Row],[قيمة مضافة]]</f>
        <v>0</v>
      </c>
      <c r="M273" s="1">
        <f>M272+Table1181920231030313235383940[[#This Row],[اجمالي الفاتوره]]-Table1181920231030313235383940[[#This Row],[الدفعات]]</f>
        <v>0</v>
      </c>
      <c r="O273" s="48"/>
    </row>
    <row r="274" spans="11:15" ht="26.25" customHeight="1" x14ac:dyDescent="0.3">
      <c r="K274" s="1">
        <f>Table1181920231030313235383940[[#This Row],[النولون]]+Table1181920231030313235383940[[#This Row],[الايصالات]]+Table1181920231030313235383940[[#This Row],[قيمة مضافة]]</f>
        <v>0</v>
      </c>
      <c r="M274" s="1">
        <f>M273+Table1181920231030313235383940[[#This Row],[اجمالي الفاتوره]]-Table1181920231030313235383940[[#This Row],[الدفعات]]</f>
        <v>0</v>
      </c>
      <c r="O274" s="48"/>
    </row>
    <row r="275" spans="11:15" ht="26.25" customHeight="1" x14ac:dyDescent="0.3">
      <c r="K275" s="1">
        <f>Table1181920231030313235383940[[#This Row],[النولون]]+Table1181920231030313235383940[[#This Row],[الايصالات]]+Table1181920231030313235383940[[#This Row],[قيمة مضافة]]</f>
        <v>0</v>
      </c>
      <c r="M275" s="1">
        <f>M274+Table1181920231030313235383940[[#This Row],[اجمالي الفاتوره]]-Table1181920231030313235383940[[#This Row],[الدفعات]]</f>
        <v>0</v>
      </c>
      <c r="O275" s="48"/>
    </row>
    <row r="276" spans="11:15" ht="26.25" customHeight="1" x14ac:dyDescent="0.3">
      <c r="K276" s="1">
        <f>Table1181920231030313235383940[[#This Row],[النولون]]+Table1181920231030313235383940[[#This Row],[الايصالات]]+Table1181920231030313235383940[[#This Row],[قيمة مضافة]]</f>
        <v>0</v>
      </c>
      <c r="M276" s="1">
        <f>M275+Table1181920231030313235383940[[#This Row],[اجمالي الفاتوره]]-Table1181920231030313235383940[[#This Row],[الدفعات]]</f>
        <v>0</v>
      </c>
      <c r="O276" s="48"/>
    </row>
    <row r="277" spans="11:15" ht="26.25" customHeight="1" x14ac:dyDescent="0.3">
      <c r="K277" s="1">
        <f>Table1181920231030313235383940[[#This Row],[النولون]]+Table1181920231030313235383940[[#This Row],[الايصالات]]+Table1181920231030313235383940[[#This Row],[قيمة مضافة]]</f>
        <v>0</v>
      </c>
      <c r="M277" s="1">
        <f>M276+Table1181920231030313235383940[[#This Row],[اجمالي الفاتوره]]-Table1181920231030313235383940[[#This Row],[الدفعات]]</f>
        <v>0</v>
      </c>
      <c r="O277" s="48"/>
    </row>
    <row r="278" spans="11:15" ht="26.25" customHeight="1" x14ac:dyDescent="0.3">
      <c r="K278" s="1">
        <f>Table1181920231030313235383940[[#This Row],[النولون]]+Table1181920231030313235383940[[#This Row],[الايصالات]]+Table1181920231030313235383940[[#This Row],[قيمة مضافة]]</f>
        <v>0</v>
      </c>
      <c r="M278" s="1">
        <f>M277+Table1181920231030313235383940[[#This Row],[اجمالي الفاتوره]]-Table1181920231030313235383940[[#This Row],[الدفعات]]</f>
        <v>0</v>
      </c>
      <c r="O278" s="48"/>
    </row>
    <row r="279" spans="11:15" ht="26.25" customHeight="1" x14ac:dyDescent="0.3">
      <c r="K279" s="1">
        <f>Table1181920231030313235383940[[#This Row],[النولون]]+Table1181920231030313235383940[[#This Row],[الايصالات]]+Table1181920231030313235383940[[#This Row],[قيمة مضافة]]</f>
        <v>0</v>
      </c>
      <c r="M279" s="1">
        <f>M278+Table1181920231030313235383940[[#This Row],[اجمالي الفاتوره]]-Table1181920231030313235383940[[#This Row],[الدفعات]]</f>
        <v>0</v>
      </c>
      <c r="O279" s="48"/>
    </row>
    <row r="280" spans="11:15" ht="26.25" customHeight="1" x14ac:dyDescent="0.3">
      <c r="K280" s="1">
        <f>Table1181920231030313235383940[[#This Row],[النولون]]+Table1181920231030313235383940[[#This Row],[الايصالات]]+Table1181920231030313235383940[[#This Row],[قيمة مضافة]]</f>
        <v>0</v>
      </c>
      <c r="M280" s="1">
        <f>M279+Table1181920231030313235383940[[#This Row],[اجمالي الفاتوره]]-Table1181920231030313235383940[[#This Row],[الدفعات]]</f>
        <v>0</v>
      </c>
      <c r="O280" s="48"/>
    </row>
    <row r="281" spans="11:15" ht="26.25" customHeight="1" x14ac:dyDescent="0.3">
      <c r="K281" s="1">
        <f>Table1181920231030313235383940[[#This Row],[النولون]]+Table1181920231030313235383940[[#This Row],[الايصالات]]+Table1181920231030313235383940[[#This Row],[قيمة مضافة]]</f>
        <v>0</v>
      </c>
      <c r="M281" s="1">
        <f>M280+Table1181920231030313235383940[[#This Row],[اجمالي الفاتوره]]-Table1181920231030313235383940[[#This Row],[الدفعات]]</f>
        <v>0</v>
      </c>
      <c r="O281" s="48"/>
    </row>
    <row r="282" spans="11:15" ht="26.25" customHeight="1" x14ac:dyDescent="0.3">
      <c r="K282" s="1">
        <f>Table1181920231030313235383940[[#This Row],[النولون]]+Table1181920231030313235383940[[#This Row],[الايصالات]]+Table1181920231030313235383940[[#This Row],[قيمة مضافة]]</f>
        <v>0</v>
      </c>
      <c r="M282" s="1">
        <f>M281+Table1181920231030313235383940[[#This Row],[اجمالي الفاتوره]]-Table1181920231030313235383940[[#This Row],[الدفعات]]</f>
        <v>0</v>
      </c>
      <c r="O282" s="48"/>
    </row>
    <row r="283" spans="11:15" ht="26.25" customHeight="1" x14ac:dyDescent="0.3">
      <c r="K283" s="1">
        <f>Table1181920231030313235383940[[#This Row],[النولون]]+Table1181920231030313235383940[[#This Row],[الايصالات]]+Table1181920231030313235383940[[#This Row],[قيمة مضافة]]</f>
        <v>0</v>
      </c>
      <c r="M283" s="1">
        <f>M282+Table1181920231030313235383940[[#This Row],[اجمالي الفاتوره]]-Table1181920231030313235383940[[#This Row],[الدفعات]]</f>
        <v>0</v>
      </c>
      <c r="O283" s="48"/>
    </row>
    <row r="284" spans="11:15" ht="26.25" customHeight="1" x14ac:dyDescent="0.3">
      <c r="K284" s="1">
        <f>Table1181920231030313235383940[[#This Row],[النولون]]+Table1181920231030313235383940[[#This Row],[الايصالات]]+Table1181920231030313235383940[[#This Row],[قيمة مضافة]]</f>
        <v>0</v>
      </c>
      <c r="M284" s="1">
        <f>M283+Table1181920231030313235383940[[#This Row],[اجمالي الفاتوره]]-Table1181920231030313235383940[[#This Row],[الدفعات]]</f>
        <v>0</v>
      </c>
      <c r="O284" s="48"/>
    </row>
    <row r="285" spans="11:15" ht="26.25" customHeight="1" x14ac:dyDescent="0.3">
      <c r="K285" s="1">
        <f>Table1181920231030313235383940[[#This Row],[النولون]]+Table1181920231030313235383940[[#This Row],[الايصالات]]+Table1181920231030313235383940[[#This Row],[قيمة مضافة]]</f>
        <v>0</v>
      </c>
      <c r="M285" s="1">
        <f>M284+Table1181920231030313235383940[[#This Row],[اجمالي الفاتوره]]-Table1181920231030313235383940[[#This Row],[الدفعات]]</f>
        <v>0</v>
      </c>
      <c r="O285" s="48"/>
    </row>
    <row r="286" spans="11:15" ht="26.25" customHeight="1" x14ac:dyDescent="0.3">
      <c r="K286" s="1">
        <f>Table1181920231030313235383940[[#This Row],[النولون]]+Table1181920231030313235383940[[#This Row],[الايصالات]]+Table1181920231030313235383940[[#This Row],[قيمة مضافة]]</f>
        <v>0</v>
      </c>
      <c r="M286" s="1">
        <f>M285+Table1181920231030313235383940[[#This Row],[اجمالي الفاتوره]]-Table1181920231030313235383940[[#This Row],[الدفعات]]</f>
        <v>0</v>
      </c>
      <c r="O286" s="48"/>
    </row>
    <row r="287" spans="11:15" ht="26.25" customHeight="1" x14ac:dyDescent="0.3">
      <c r="K287" s="1">
        <f>Table1181920231030313235383940[[#This Row],[النولون]]+Table1181920231030313235383940[[#This Row],[الايصالات]]+Table1181920231030313235383940[[#This Row],[قيمة مضافة]]</f>
        <v>0</v>
      </c>
      <c r="M287" s="1">
        <f>M286+Table1181920231030313235383940[[#This Row],[اجمالي الفاتوره]]-Table1181920231030313235383940[[#This Row],[الدفعات]]</f>
        <v>0</v>
      </c>
      <c r="O287" s="48"/>
    </row>
    <row r="288" spans="11:15" ht="26.25" customHeight="1" x14ac:dyDescent="0.3">
      <c r="K288" s="1">
        <f>Table1181920231030313235383940[[#This Row],[النولون]]+Table1181920231030313235383940[[#This Row],[الايصالات]]+Table1181920231030313235383940[[#This Row],[قيمة مضافة]]</f>
        <v>0</v>
      </c>
      <c r="M288" s="1">
        <f>M287+Table1181920231030313235383940[[#This Row],[اجمالي الفاتوره]]-Table1181920231030313235383940[[#This Row],[الدفعات]]</f>
        <v>0</v>
      </c>
      <c r="O288" s="48"/>
    </row>
    <row r="289" spans="11:15" ht="26.25" customHeight="1" x14ac:dyDescent="0.3">
      <c r="K289" s="1">
        <f>Table1181920231030313235383940[[#This Row],[النولون]]+Table1181920231030313235383940[[#This Row],[الايصالات]]+Table1181920231030313235383940[[#This Row],[قيمة مضافة]]</f>
        <v>0</v>
      </c>
      <c r="M289" s="1">
        <f>M288+Table1181920231030313235383940[[#This Row],[اجمالي الفاتوره]]-Table1181920231030313235383940[[#This Row],[الدفعات]]</f>
        <v>0</v>
      </c>
      <c r="O289" s="48"/>
    </row>
    <row r="290" spans="11:15" ht="26.25" customHeight="1" x14ac:dyDescent="0.3">
      <c r="K290" s="1">
        <f>Table1181920231030313235383940[[#This Row],[النولون]]+Table1181920231030313235383940[[#This Row],[الايصالات]]+Table1181920231030313235383940[[#This Row],[قيمة مضافة]]</f>
        <v>0</v>
      </c>
      <c r="M290" s="1">
        <f>M289+Table1181920231030313235383940[[#This Row],[اجمالي الفاتوره]]-Table1181920231030313235383940[[#This Row],[الدفعات]]</f>
        <v>0</v>
      </c>
      <c r="O290" s="48"/>
    </row>
    <row r="291" spans="11:15" ht="26.25" customHeight="1" x14ac:dyDescent="0.3">
      <c r="K291" s="1">
        <f>Table1181920231030313235383940[[#This Row],[النولون]]+Table1181920231030313235383940[[#This Row],[الايصالات]]+Table1181920231030313235383940[[#This Row],[قيمة مضافة]]</f>
        <v>0</v>
      </c>
      <c r="M291" s="1">
        <f>M290+Table1181920231030313235383940[[#This Row],[اجمالي الفاتوره]]-Table1181920231030313235383940[[#This Row],[الدفعات]]</f>
        <v>0</v>
      </c>
      <c r="O291" s="48"/>
    </row>
    <row r="292" spans="11:15" ht="26.25" customHeight="1" x14ac:dyDescent="0.3">
      <c r="K292" s="1">
        <f>Table1181920231030313235383940[[#This Row],[النولون]]+Table1181920231030313235383940[[#This Row],[الايصالات]]+Table1181920231030313235383940[[#This Row],[قيمة مضافة]]</f>
        <v>0</v>
      </c>
      <c r="M292" s="1">
        <f>M291+Table1181920231030313235383940[[#This Row],[اجمالي الفاتوره]]-Table1181920231030313235383940[[#This Row],[الدفعات]]</f>
        <v>0</v>
      </c>
      <c r="O292" s="48"/>
    </row>
    <row r="293" spans="11:15" ht="26.25" customHeight="1" x14ac:dyDescent="0.3">
      <c r="K293" s="1">
        <f>Table1181920231030313235383940[[#This Row],[النولون]]+Table1181920231030313235383940[[#This Row],[الايصالات]]+Table1181920231030313235383940[[#This Row],[قيمة مضافة]]</f>
        <v>0</v>
      </c>
      <c r="M293" s="1">
        <f>M292+Table1181920231030313235383940[[#This Row],[اجمالي الفاتوره]]-Table1181920231030313235383940[[#This Row],[الدفعات]]</f>
        <v>0</v>
      </c>
      <c r="O293" s="48"/>
    </row>
    <row r="294" spans="11:15" ht="26.25" customHeight="1" x14ac:dyDescent="0.3">
      <c r="K294" s="1">
        <f>Table1181920231030313235383940[[#This Row],[النولون]]+Table1181920231030313235383940[[#This Row],[الايصالات]]+Table1181920231030313235383940[[#This Row],[قيمة مضافة]]</f>
        <v>0</v>
      </c>
      <c r="M294" s="1">
        <f>M293+Table1181920231030313235383940[[#This Row],[اجمالي الفاتوره]]-Table1181920231030313235383940[[#This Row],[الدفعات]]</f>
        <v>0</v>
      </c>
      <c r="O294" s="48"/>
    </row>
    <row r="295" spans="11:15" ht="26.25" customHeight="1" x14ac:dyDescent="0.3">
      <c r="K295" s="1">
        <f>Table1181920231030313235383940[[#This Row],[النولون]]+Table1181920231030313235383940[[#This Row],[الايصالات]]+Table1181920231030313235383940[[#This Row],[قيمة مضافة]]</f>
        <v>0</v>
      </c>
      <c r="M295" s="1">
        <f>M294+Table1181920231030313235383940[[#This Row],[اجمالي الفاتوره]]-Table1181920231030313235383940[[#This Row],[الدفعات]]</f>
        <v>0</v>
      </c>
      <c r="O295" s="48"/>
    </row>
    <row r="296" spans="11:15" ht="26.25" customHeight="1" x14ac:dyDescent="0.3">
      <c r="K296" s="1">
        <f>Table1181920231030313235383940[[#This Row],[النولون]]+Table1181920231030313235383940[[#This Row],[الايصالات]]+Table1181920231030313235383940[[#This Row],[قيمة مضافة]]</f>
        <v>0</v>
      </c>
      <c r="M296" s="1">
        <f>M295+Table1181920231030313235383940[[#This Row],[اجمالي الفاتوره]]-Table1181920231030313235383940[[#This Row],[الدفعات]]</f>
        <v>0</v>
      </c>
      <c r="O296" s="48"/>
    </row>
    <row r="297" spans="11:15" ht="26.25" customHeight="1" x14ac:dyDescent="0.3">
      <c r="K297" s="1">
        <f>Table1181920231030313235383940[[#This Row],[النولون]]+Table1181920231030313235383940[[#This Row],[الايصالات]]+Table1181920231030313235383940[[#This Row],[قيمة مضافة]]</f>
        <v>0</v>
      </c>
      <c r="M297" s="1">
        <f>M296+Table1181920231030313235383940[[#This Row],[اجمالي الفاتوره]]-Table1181920231030313235383940[[#This Row],[الدفعات]]</f>
        <v>0</v>
      </c>
      <c r="O297" s="48"/>
    </row>
    <row r="298" spans="11:15" ht="26.25" customHeight="1" x14ac:dyDescent="0.3">
      <c r="K298" s="1">
        <f>Table1181920231030313235383940[[#This Row],[النولون]]+Table1181920231030313235383940[[#This Row],[الايصالات]]+Table1181920231030313235383940[[#This Row],[قيمة مضافة]]</f>
        <v>0</v>
      </c>
      <c r="M298" s="1">
        <f>M297+Table1181920231030313235383940[[#This Row],[اجمالي الفاتوره]]-Table1181920231030313235383940[[#This Row],[الدفعات]]</f>
        <v>0</v>
      </c>
      <c r="O298" s="48"/>
    </row>
    <row r="299" spans="11:15" ht="26.25" customHeight="1" x14ac:dyDescent="0.3">
      <c r="K299" s="1">
        <f>Table1181920231030313235383940[[#This Row],[النولون]]+Table1181920231030313235383940[[#This Row],[الايصالات]]+Table1181920231030313235383940[[#This Row],[قيمة مضافة]]</f>
        <v>0</v>
      </c>
      <c r="M299" s="1">
        <f>M298+Table1181920231030313235383940[[#This Row],[اجمالي الفاتوره]]-Table1181920231030313235383940[[#This Row],[الدفعات]]</f>
        <v>0</v>
      </c>
      <c r="O299" s="48"/>
    </row>
    <row r="300" spans="11:15" ht="26.25" customHeight="1" x14ac:dyDescent="0.3">
      <c r="K300" s="1">
        <f>Table1181920231030313235383940[[#This Row],[النولون]]+Table1181920231030313235383940[[#This Row],[الايصالات]]+Table1181920231030313235383940[[#This Row],[قيمة مضافة]]</f>
        <v>0</v>
      </c>
      <c r="M300" s="1">
        <f>M299+Table1181920231030313235383940[[#This Row],[اجمالي الفاتوره]]-Table1181920231030313235383940[[#This Row],[الدفعات]]</f>
        <v>0</v>
      </c>
      <c r="O300" s="48"/>
    </row>
    <row r="301" spans="11:15" ht="26.25" customHeight="1" x14ac:dyDescent="0.3">
      <c r="K301" s="1">
        <f>Table1181920231030313235383940[[#This Row],[النولون]]+Table1181920231030313235383940[[#This Row],[الايصالات]]+Table1181920231030313235383940[[#This Row],[قيمة مضافة]]</f>
        <v>0</v>
      </c>
      <c r="M301" s="1">
        <f>M300+Table1181920231030313235383940[[#This Row],[اجمالي الفاتوره]]-Table1181920231030313235383940[[#This Row],[الدفعات]]</f>
        <v>0</v>
      </c>
      <c r="O301" s="48"/>
    </row>
    <row r="302" spans="11:15" ht="26.25" customHeight="1" x14ac:dyDescent="0.3">
      <c r="K302" s="1">
        <f>Table1181920231030313235383940[[#This Row],[النولون]]+Table1181920231030313235383940[[#This Row],[الايصالات]]+Table1181920231030313235383940[[#This Row],[قيمة مضافة]]</f>
        <v>0</v>
      </c>
      <c r="M302" s="1">
        <f>M301+Table1181920231030313235383940[[#This Row],[اجمالي الفاتوره]]-Table1181920231030313235383940[[#This Row],[الدفعات]]</f>
        <v>0</v>
      </c>
      <c r="O302" s="48"/>
    </row>
    <row r="303" spans="11:15" ht="26.25" customHeight="1" x14ac:dyDescent="0.3">
      <c r="K303" s="1">
        <f>Table1181920231030313235383940[[#This Row],[النولون]]+Table1181920231030313235383940[[#This Row],[الايصالات]]+Table1181920231030313235383940[[#This Row],[قيمة مضافة]]</f>
        <v>0</v>
      </c>
      <c r="M303" s="1">
        <f>M302+Table1181920231030313235383940[[#This Row],[اجمالي الفاتوره]]-Table1181920231030313235383940[[#This Row],[الدفعات]]</f>
        <v>0</v>
      </c>
      <c r="O303" s="48"/>
    </row>
    <row r="304" spans="11:15" ht="26.25" customHeight="1" x14ac:dyDescent="0.3">
      <c r="K304" s="1">
        <f>Table1181920231030313235383940[[#This Row],[النولون]]+Table1181920231030313235383940[[#This Row],[الايصالات]]+Table1181920231030313235383940[[#This Row],[قيمة مضافة]]</f>
        <v>0</v>
      </c>
      <c r="M304" s="1">
        <f>M303+Table1181920231030313235383940[[#This Row],[اجمالي الفاتوره]]-Table1181920231030313235383940[[#This Row],[الدفعات]]</f>
        <v>0</v>
      </c>
      <c r="O304" s="48"/>
    </row>
    <row r="305" spans="11:15" ht="26.25" customHeight="1" x14ac:dyDescent="0.3">
      <c r="K305" s="1">
        <f>Table1181920231030313235383940[[#This Row],[النولون]]+Table1181920231030313235383940[[#This Row],[الايصالات]]+Table1181920231030313235383940[[#This Row],[قيمة مضافة]]</f>
        <v>0</v>
      </c>
      <c r="M305" s="1">
        <f>M304+Table1181920231030313235383940[[#This Row],[اجمالي الفاتوره]]-Table1181920231030313235383940[[#This Row],[الدفعات]]</f>
        <v>0</v>
      </c>
      <c r="O305" s="48"/>
    </row>
    <row r="306" spans="11:15" ht="26.25" customHeight="1" x14ac:dyDescent="0.3">
      <c r="K306" s="1">
        <f>Table1181920231030313235383940[[#This Row],[النولون]]+Table1181920231030313235383940[[#This Row],[الايصالات]]+Table1181920231030313235383940[[#This Row],[قيمة مضافة]]</f>
        <v>0</v>
      </c>
      <c r="M306" s="1">
        <f>M305+Table1181920231030313235383940[[#This Row],[اجمالي الفاتوره]]-Table1181920231030313235383940[[#This Row],[الدفعات]]</f>
        <v>0</v>
      </c>
      <c r="O306" s="48"/>
    </row>
    <row r="307" spans="11:15" ht="26.25" customHeight="1" x14ac:dyDescent="0.3">
      <c r="K307" s="1">
        <f>Table1181920231030313235383940[[#This Row],[النولون]]+Table1181920231030313235383940[[#This Row],[الايصالات]]+Table1181920231030313235383940[[#This Row],[قيمة مضافة]]</f>
        <v>0</v>
      </c>
      <c r="M307" s="1">
        <f>M306+Table1181920231030313235383940[[#This Row],[اجمالي الفاتوره]]-Table1181920231030313235383940[[#This Row],[الدفعات]]</f>
        <v>0</v>
      </c>
      <c r="O307" s="48"/>
    </row>
    <row r="308" spans="11:15" ht="26.25" customHeight="1" x14ac:dyDescent="0.3">
      <c r="K308" s="1">
        <f>Table1181920231030313235383940[[#This Row],[النولون]]+Table1181920231030313235383940[[#This Row],[الايصالات]]+Table1181920231030313235383940[[#This Row],[قيمة مضافة]]</f>
        <v>0</v>
      </c>
      <c r="M308" s="1">
        <f>M307+Table1181920231030313235383940[[#This Row],[اجمالي الفاتوره]]-Table1181920231030313235383940[[#This Row],[الدفعات]]</f>
        <v>0</v>
      </c>
      <c r="O308" s="48"/>
    </row>
    <row r="309" spans="11:15" ht="26.25" customHeight="1" x14ac:dyDescent="0.3">
      <c r="K309" s="1">
        <f>Table1181920231030313235383940[[#This Row],[النولون]]+Table1181920231030313235383940[[#This Row],[الايصالات]]+Table1181920231030313235383940[[#This Row],[قيمة مضافة]]</f>
        <v>0</v>
      </c>
      <c r="M309" s="1">
        <f>M308+Table1181920231030313235383940[[#This Row],[اجمالي الفاتوره]]-Table1181920231030313235383940[[#This Row],[الدفعات]]</f>
        <v>0</v>
      </c>
      <c r="O309" s="48"/>
    </row>
    <row r="310" spans="11:15" ht="26.25" customHeight="1" x14ac:dyDescent="0.3">
      <c r="K310" s="1">
        <f>Table1181920231030313235383940[[#This Row],[النولون]]+Table1181920231030313235383940[[#This Row],[الايصالات]]+Table1181920231030313235383940[[#This Row],[قيمة مضافة]]</f>
        <v>0</v>
      </c>
      <c r="M310" s="1">
        <f>M309+Table1181920231030313235383940[[#This Row],[اجمالي الفاتوره]]-Table1181920231030313235383940[[#This Row],[الدفعات]]</f>
        <v>0</v>
      </c>
      <c r="O310" s="48"/>
    </row>
    <row r="311" spans="11:15" ht="26.25" customHeight="1" x14ac:dyDescent="0.3">
      <c r="K311" s="1">
        <f>Table1181920231030313235383940[[#This Row],[النولون]]+Table1181920231030313235383940[[#This Row],[الايصالات]]+Table1181920231030313235383940[[#This Row],[قيمة مضافة]]</f>
        <v>0</v>
      </c>
      <c r="M311" s="1">
        <f>M310+Table1181920231030313235383940[[#This Row],[اجمالي الفاتوره]]-Table1181920231030313235383940[[#This Row],[الدفعات]]</f>
        <v>0</v>
      </c>
      <c r="O311" s="48"/>
    </row>
    <row r="312" spans="11:15" ht="26.25" customHeight="1" x14ac:dyDescent="0.3">
      <c r="K312" s="1">
        <f>Table1181920231030313235383940[[#This Row],[النولون]]+Table1181920231030313235383940[[#This Row],[الايصالات]]+Table1181920231030313235383940[[#This Row],[قيمة مضافة]]</f>
        <v>0</v>
      </c>
      <c r="M312" s="1">
        <f>M311+Table1181920231030313235383940[[#This Row],[اجمالي الفاتوره]]-Table1181920231030313235383940[[#This Row],[الدفعات]]</f>
        <v>0</v>
      </c>
      <c r="O312" s="48"/>
    </row>
    <row r="313" spans="11:15" ht="26.25" customHeight="1" x14ac:dyDescent="0.3">
      <c r="K313" s="1">
        <f>Table1181920231030313235383940[[#This Row],[النولون]]+Table1181920231030313235383940[[#This Row],[الايصالات]]+Table1181920231030313235383940[[#This Row],[قيمة مضافة]]</f>
        <v>0</v>
      </c>
      <c r="M313" s="1">
        <f>M312+Table1181920231030313235383940[[#This Row],[اجمالي الفاتوره]]-Table1181920231030313235383940[[#This Row],[الدفعات]]</f>
        <v>0</v>
      </c>
      <c r="O313" s="48"/>
    </row>
    <row r="314" spans="11:15" ht="26.25" customHeight="1" x14ac:dyDescent="0.3">
      <c r="K314" s="1">
        <f>Table1181920231030313235383940[[#This Row],[النولون]]+Table1181920231030313235383940[[#This Row],[الايصالات]]+Table1181920231030313235383940[[#This Row],[قيمة مضافة]]</f>
        <v>0</v>
      </c>
      <c r="M314" s="1">
        <f>M313+Table1181920231030313235383940[[#This Row],[اجمالي الفاتوره]]-Table1181920231030313235383940[[#This Row],[الدفعات]]</f>
        <v>0</v>
      </c>
      <c r="O314" s="48"/>
    </row>
    <row r="315" spans="11:15" ht="26.25" customHeight="1" x14ac:dyDescent="0.3">
      <c r="K315" s="1">
        <f>Table1181920231030313235383940[[#This Row],[النولون]]+Table1181920231030313235383940[[#This Row],[الايصالات]]+Table1181920231030313235383940[[#This Row],[قيمة مضافة]]</f>
        <v>0</v>
      </c>
      <c r="M315" s="1">
        <f>M314+Table1181920231030313235383940[[#This Row],[اجمالي الفاتوره]]-Table1181920231030313235383940[[#This Row],[الدفعات]]</f>
        <v>0</v>
      </c>
      <c r="O315" s="48"/>
    </row>
    <row r="316" spans="11:15" ht="26.25" customHeight="1" x14ac:dyDescent="0.3">
      <c r="K316" s="1">
        <f>Table1181920231030313235383940[[#This Row],[النولون]]+Table1181920231030313235383940[[#This Row],[الايصالات]]+Table1181920231030313235383940[[#This Row],[قيمة مضافة]]</f>
        <v>0</v>
      </c>
      <c r="M316" s="1">
        <f>M315+Table1181920231030313235383940[[#This Row],[اجمالي الفاتوره]]-Table1181920231030313235383940[[#This Row],[الدفعات]]</f>
        <v>0</v>
      </c>
      <c r="O316" s="48"/>
    </row>
    <row r="317" spans="11:15" ht="26.25" customHeight="1" x14ac:dyDescent="0.3">
      <c r="K317" s="1">
        <f>Table1181920231030313235383940[[#This Row],[النولون]]+Table1181920231030313235383940[[#This Row],[الايصالات]]+Table1181920231030313235383940[[#This Row],[قيمة مضافة]]</f>
        <v>0</v>
      </c>
      <c r="M317" s="1">
        <f>M316+Table1181920231030313235383940[[#This Row],[اجمالي الفاتوره]]-Table1181920231030313235383940[[#This Row],[الدفعات]]</f>
        <v>0</v>
      </c>
      <c r="O317" s="48"/>
    </row>
    <row r="318" spans="11:15" ht="26.25" customHeight="1" x14ac:dyDescent="0.3">
      <c r="K318" s="1">
        <f>Table1181920231030313235383940[[#This Row],[النولون]]+Table1181920231030313235383940[[#This Row],[الايصالات]]+Table1181920231030313235383940[[#This Row],[قيمة مضافة]]</f>
        <v>0</v>
      </c>
      <c r="M318" s="1">
        <f>M317+Table1181920231030313235383940[[#This Row],[اجمالي الفاتوره]]-Table1181920231030313235383940[[#This Row],[الدفعات]]</f>
        <v>0</v>
      </c>
      <c r="O318" s="48"/>
    </row>
    <row r="319" spans="11:15" ht="26.25" customHeight="1" x14ac:dyDescent="0.3">
      <c r="K319" s="1">
        <f>Table1181920231030313235383940[[#This Row],[النولون]]+Table1181920231030313235383940[[#This Row],[الايصالات]]+Table1181920231030313235383940[[#This Row],[قيمة مضافة]]</f>
        <v>0</v>
      </c>
      <c r="M319" s="1">
        <f>M318+Table1181920231030313235383940[[#This Row],[اجمالي الفاتوره]]-Table1181920231030313235383940[[#This Row],[الدفعات]]</f>
        <v>0</v>
      </c>
      <c r="O319" s="48"/>
    </row>
    <row r="320" spans="11:15" ht="26.25" customHeight="1" x14ac:dyDescent="0.3">
      <c r="K320" s="1">
        <f>Table1181920231030313235383940[[#This Row],[النولون]]+Table1181920231030313235383940[[#This Row],[الايصالات]]+Table1181920231030313235383940[[#This Row],[قيمة مضافة]]</f>
        <v>0</v>
      </c>
      <c r="M320" s="1">
        <f>M319+Table1181920231030313235383940[[#This Row],[اجمالي الفاتوره]]-Table1181920231030313235383940[[#This Row],[الدفعات]]</f>
        <v>0</v>
      </c>
      <c r="O320" s="48"/>
    </row>
    <row r="321" spans="11:15" ht="26.25" customHeight="1" x14ac:dyDescent="0.3">
      <c r="K321" s="1">
        <f>Table1181920231030313235383940[[#This Row],[النولون]]+Table1181920231030313235383940[[#This Row],[الايصالات]]+Table1181920231030313235383940[[#This Row],[قيمة مضافة]]</f>
        <v>0</v>
      </c>
      <c r="M321" s="1">
        <f>M320+Table1181920231030313235383940[[#This Row],[اجمالي الفاتوره]]-Table1181920231030313235383940[[#This Row],[الدفعات]]</f>
        <v>0</v>
      </c>
      <c r="O321" s="48"/>
    </row>
    <row r="322" spans="11:15" ht="26.25" customHeight="1" x14ac:dyDescent="0.3">
      <c r="K322" s="1">
        <f>Table1181920231030313235383940[[#This Row],[النولون]]+Table1181920231030313235383940[[#This Row],[الايصالات]]+Table1181920231030313235383940[[#This Row],[قيمة مضافة]]</f>
        <v>0</v>
      </c>
      <c r="M322" s="1">
        <f>M321+Table1181920231030313235383940[[#This Row],[اجمالي الفاتوره]]-Table1181920231030313235383940[[#This Row],[الدفعات]]</f>
        <v>0</v>
      </c>
      <c r="O322" s="48"/>
    </row>
    <row r="323" spans="11:15" ht="26.25" customHeight="1" x14ac:dyDescent="0.3">
      <c r="K323" s="1">
        <f>Table1181920231030313235383940[[#This Row],[النولون]]+Table1181920231030313235383940[[#This Row],[الايصالات]]+Table1181920231030313235383940[[#This Row],[قيمة مضافة]]</f>
        <v>0</v>
      </c>
      <c r="M323" s="1">
        <f>M322+Table1181920231030313235383940[[#This Row],[اجمالي الفاتوره]]-Table1181920231030313235383940[[#This Row],[الدفعات]]</f>
        <v>0</v>
      </c>
      <c r="O323" s="48"/>
    </row>
    <row r="324" spans="11:15" ht="26.25" customHeight="1" x14ac:dyDescent="0.3">
      <c r="K324" s="1">
        <f>Table1181920231030313235383940[[#This Row],[النولون]]+Table1181920231030313235383940[[#This Row],[الايصالات]]+Table1181920231030313235383940[[#This Row],[قيمة مضافة]]</f>
        <v>0</v>
      </c>
      <c r="M324" s="1">
        <f>M323+Table1181920231030313235383940[[#This Row],[اجمالي الفاتوره]]-Table1181920231030313235383940[[#This Row],[الدفعات]]</f>
        <v>0</v>
      </c>
      <c r="O324" s="48"/>
    </row>
    <row r="325" spans="11:15" ht="26.25" customHeight="1" x14ac:dyDescent="0.3">
      <c r="K325" s="1">
        <f>Table1181920231030313235383940[[#This Row],[النولون]]+Table1181920231030313235383940[[#This Row],[الايصالات]]+Table1181920231030313235383940[[#This Row],[قيمة مضافة]]</f>
        <v>0</v>
      </c>
      <c r="M325" s="1">
        <f>M324+Table1181920231030313235383940[[#This Row],[اجمالي الفاتوره]]-Table1181920231030313235383940[[#This Row],[الدفعات]]</f>
        <v>0</v>
      </c>
      <c r="O325" s="48"/>
    </row>
    <row r="326" spans="11:15" ht="26.25" customHeight="1" x14ac:dyDescent="0.3">
      <c r="K326" s="1">
        <f>Table1181920231030313235383940[[#This Row],[النولون]]+Table1181920231030313235383940[[#This Row],[الايصالات]]+Table1181920231030313235383940[[#This Row],[قيمة مضافة]]</f>
        <v>0</v>
      </c>
      <c r="M326" s="1">
        <f>M325+Table1181920231030313235383940[[#This Row],[اجمالي الفاتوره]]-Table1181920231030313235383940[[#This Row],[الدفعات]]</f>
        <v>0</v>
      </c>
      <c r="O326" s="48"/>
    </row>
    <row r="327" spans="11:15" ht="26.25" customHeight="1" x14ac:dyDescent="0.3">
      <c r="K327" s="1">
        <f>Table1181920231030313235383940[[#This Row],[النولون]]+Table1181920231030313235383940[[#This Row],[الايصالات]]+Table1181920231030313235383940[[#This Row],[قيمة مضافة]]</f>
        <v>0</v>
      </c>
      <c r="M327" s="1">
        <f>M326+Table1181920231030313235383940[[#This Row],[اجمالي الفاتوره]]-Table1181920231030313235383940[[#This Row],[الدفعات]]</f>
        <v>0</v>
      </c>
      <c r="O327" s="48"/>
    </row>
    <row r="328" spans="11:15" ht="26.25" customHeight="1" x14ac:dyDescent="0.3">
      <c r="K328" s="1">
        <f>Table1181920231030313235383940[[#This Row],[النولون]]+Table1181920231030313235383940[[#This Row],[الايصالات]]+Table1181920231030313235383940[[#This Row],[قيمة مضافة]]</f>
        <v>0</v>
      </c>
      <c r="M328" s="1">
        <f>M327+Table1181920231030313235383940[[#This Row],[اجمالي الفاتوره]]-Table1181920231030313235383940[[#This Row],[الدفعات]]</f>
        <v>0</v>
      </c>
      <c r="O328" s="48"/>
    </row>
    <row r="329" spans="11:15" ht="26.25" customHeight="1" x14ac:dyDescent="0.3">
      <c r="K329" s="1">
        <f>Table1181920231030313235383940[[#This Row],[النولون]]+Table1181920231030313235383940[[#This Row],[الايصالات]]+Table1181920231030313235383940[[#This Row],[قيمة مضافة]]</f>
        <v>0</v>
      </c>
      <c r="M329" s="1">
        <f>M328+Table1181920231030313235383940[[#This Row],[اجمالي الفاتوره]]-Table1181920231030313235383940[[#This Row],[الدفعات]]</f>
        <v>0</v>
      </c>
      <c r="O329" s="48"/>
    </row>
    <row r="330" spans="11:15" ht="26.25" customHeight="1" x14ac:dyDescent="0.3">
      <c r="K330" s="1">
        <f>Table1181920231030313235383940[[#This Row],[النولون]]+Table1181920231030313235383940[[#This Row],[الايصالات]]+Table1181920231030313235383940[[#This Row],[قيمة مضافة]]</f>
        <v>0</v>
      </c>
      <c r="M330" s="1">
        <f>M329+Table1181920231030313235383940[[#This Row],[اجمالي الفاتوره]]-Table1181920231030313235383940[[#This Row],[الدفعات]]</f>
        <v>0</v>
      </c>
      <c r="O330" s="48"/>
    </row>
    <row r="331" spans="11:15" ht="26.25" customHeight="1" x14ac:dyDescent="0.3">
      <c r="K331" s="1">
        <f>Table1181920231030313235383940[[#This Row],[النولون]]+Table1181920231030313235383940[[#This Row],[الايصالات]]+Table1181920231030313235383940[[#This Row],[قيمة مضافة]]</f>
        <v>0</v>
      </c>
      <c r="M331" s="1">
        <f>M330+Table1181920231030313235383940[[#This Row],[اجمالي الفاتوره]]-Table1181920231030313235383940[[#This Row],[الدفعات]]</f>
        <v>0</v>
      </c>
      <c r="O331" s="48"/>
    </row>
    <row r="332" spans="11:15" ht="26.25" customHeight="1" x14ac:dyDescent="0.3">
      <c r="K332" s="1">
        <f>Table1181920231030313235383940[[#This Row],[النولون]]+Table1181920231030313235383940[[#This Row],[الايصالات]]+Table1181920231030313235383940[[#This Row],[قيمة مضافة]]</f>
        <v>0</v>
      </c>
      <c r="M332" s="1">
        <f>M331+Table1181920231030313235383940[[#This Row],[اجمالي الفاتوره]]-Table1181920231030313235383940[[#This Row],[الدفعات]]</f>
        <v>0</v>
      </c>
      <c r="O332" s="48"/>
    </row>
    <row r="333" spans="11:15" ht="26.25" customHeight="1" x14ac:dyDescent="0.3">
      <c r="K333" s="1">
        <f>Table1181920231030313235383940[[#This Row],[النولون]]+Table1181920231030313235383940[[#This Row],[الايصالات]]+Table1181920231030313235383940[[#This Row],[قيمة مضافة]]</f>
        <v>0</v>
      </c>
      <c r="M333" s="1">
        <f>M332+Table1181920231030313235383940[[#This Row],[اجمالي الفاتوره]]-Table1181920231030313235383940[[#This Row],[الدفعات]]</f>
        <v>0</v>
      </c>
      <c r="O333" s="48"/>
    </row>
    <row r="334" spans="11:15" ht="26.25" customHeight="1" x14ac:dyDescent="0.3">
      <c r="K334" s="1">
        <f>Table1181920231030313235383940[[#This Row],[النولون]]+Table1181920231030313235383940[[#This Row],[الايصالات]]+Table1181920231030313235383940[[#This Row],[قيمة مضافة]]</f>
        <v>0</v>
      </c>
      <c r="M334" s="1">
        <f>M333+Table1181920231030313235383940[[#This Row],[اجمالي الفاتوره]]-Table1181920231030313235383940[[#This Row],[الدفعات]]</f>
        <v>0</v>
      </c>
      <c r="O334" s="48"/>
    </row>
    <row r="335" spans="11:15" ht="26.25" customHeight="1" x14ac:dyDescent="0.3">
      <c r="K335" s="1">
        <f>Table1181920231030313235383940[[#This Row],[النولون]]+Table1181920231030313235383940[[#This Row],[الايصالات]]+Table1181920231030313235383940[[#This Row],[قيمة مضافة]]</f>
        <v>0</v>
      </c>
      <c r="M335" s="1">
        <f>M334+Table1181920231030313235383940[[#This Row],[اجمالي الفاتوره]]-Table1181920231030313235383940[[#This Row],[الدفعات]]</f>
        <v>0</v>
      </c>
      <c r="O335" s="48"/>
    </row>
    <row r="336" spans="11:15" ht="26.25" customHeight="1" x14ac:dyDescent="0.3">
      <c r="K336" s="1">
        <f>Table1181920231030313235383940[[#This Row],[النولون]]+Table1181920231030313235383940[[#This Row],[الايصالات]]+Table1181920231030313235383940[[#This Row],[قيمة مضافة]]</f>
        <v>0</v>
      </c>
      <c r="M336" s="1">
        <f>M335+Table1181920231030313235383940[[#This Row],[اجمالي الفاتوره]]-Table1181920231030313235383940[[#This Row],[الدفعات]]</f>
        <v>0</v>
      </c>
      <c r="O336" s="48"/>
    </row>
    <row r="337" spans="11:15" ht="26.25" customHeight="1" x14ac:dyDescent="0.3">
      <c r="K337" s="1">
        <f>Table1181920231030313235383940[[#This Row],[النولون]]+Table1181920231030313235383940[[#This Row],[الايصالات]]+Table1181920231030313235383940[[#This Row],[قيمة مضافة]]</f>
        <v>0</v>
      </c>
      <c r="M337" s="1">
        <f>M336+Table1181920231030313235383940[[#This Row],[اجمالي الفاتوره]]-Table1181920231030313235383940[[#This Row],[الدفعات]]</f>
        <v>0</v>
      </c>
      <c r="O337" s="48"/>
    </row>
    <row r="338" spans="11:15" ht="26.25" customHeight="1" x14ac:dyDescent="0.3">
      <c r="K338" s="1">
        <f>Table1181920231030313235383940[[#This Row],[النولون]]+Table1181920231030313235383940[[#This Row],[الايصالات]]+Table1181920231030313235383940[[#This Row],[قيمة مضافة]]</f>
        <v>0</v>
      </c>
      <c r="M338" s="1">
        <f>M337+Table1181920231030313235383940[[#This Row],[اجمالي الفاتوره]]-Table1181920231030313235383940[[#This Row],[الدفعات]]</f>
        <v>0</v>
      </c>
      <c r="O338" s="48"/>
    </row>
    <row r="339" spans="11:15" ht="26.25" customHeight="1" x14ac:dyDescent="0.3">
      <c r="K339" s="1">
        <f>Table1181920231030313235383940[[#This Row],[النولون]]+Table1181920231030313235383940[[#This Row],[الايصالات]]+Table1181920231030313235383940[[#This Row],[قيمة مضافة]]</f>
        <v>0</v>
      </c>
      <c r="M339" s="1">
        <f>M338+Table1181920231030313235383940[[#This Row],[اجمالي الفاتوره]]-Table1181920231030313235383940[[#This Row],[الدفعات]]</f>
        <v>0</v>
      </c>
      <c r="O339" s="48"/>
    </row>
    <row r="340" spans="11:15" ht="26.25" customHeight="1" x14ac:dyDescent="0.3">
      <c r="K340" s="1">
        <f>Table1181920231030313235383940[[#This Row],[النولون]]+Table1181920231030313235383940[[#This Row],[الايصالات]]+Table1181920231030313235383940[[#This Row],[قيمة مضافة]]</f>
        <v>0</v>
      </c>
      <c r="M340" s="1">
        <f>M339+Table1181920231030313235383940[[#This Row],[اجمالي الفاتوره]]-Table1181920231030313235383940[[#This Row],[الدفعات]]</f>
        <v>0</v>
      </c>
      <c r="O340" s="48"/>
    </row>
    <row r="341" spans="11:15" ht="26.25" customHeight="1" x14ac:dyDescent="0.3">
      <c r="K341" s="1">
        <f>Table1181920231030313235383940[[#This Row],[النولون]]+Table1181920231030313235383940[[#This Row],[الايصالات]]+Table1181920231030313235383940[[#This Row],[قيمة مضافة]]</f>
        <v>0</v>
      </c>
      <c r="M341" s="1">
        <f>M340+Table1181920231030313235383940[[#This Row],[اجمالي الفاتوره]]-Table1181920231030313235383940[[#This Row],[الدفعات]]</f>
        <v>0</v>
      </c>
      <c r="O341" s="48"/>
    </row>
    <row r="342" spans="11:15" ht="26.25" customHeight="1" x14ac:dyDescent="0.3">
      <c r="K342" s="1">
        <f>Table1181920231030313235383940[[#This Row],[النولون]]+Table1181920231030313235383940[[#This Row],[الايصالات]]+Table1181920231030313235383940[[#This Row],[قيمة مضافة]]</f>
        <v>0</v>
      </c>
      <c r="M342" s="1">
        <f>M341+Table1181920231030313235383940[[#This Row],[اجمالي الفاتوره]]-Table1181920231030313235383940[[#This Row],[الدفعات]]</f>
        <v>0</v>
      </c>
      <c r="O342" s="48"/>
    </row>
    <row r="343" spans="11:15" ht="26.25" customHeight="1" x14ac:dyDescent="0.3">
      <c r="K343" s="1">
        <f>Table1181920231030313235383940[[#This Row],[النولون]]+Table1181920231030313235383940[[#This Row],[الايصالات]]+Table1181920231030313235383940[[#This Row],[قيمة مضافة]]</f>
        <v>0</v>
      </c>
      <c r="M343" s="1">
        <f>M342+Table1181920231030313235383940[[#This Row],[اجمالي الفاتوره]]-Table1181920231030313235383940[[#This Row],[الدفعات]]</f>
        <v>0</v>
      </c>
      <c r="O343" s="48"/>
    </row>
    <row r="344" spans="11:15" ht="26.25" customHeight="1" x14ac:dyDescent="0.3">
      <c r="K344" s="1">
        <f>Table1181920231030313235383940[[#This Row],[النولون]]+Table1181920231030313235383940[[#This Row],[الايصالات]]+Table1181920231030313235383940[[#This Row],[قيمة مضافة]]</f>
        <v>0</v>
      </c>
      <c r="M344" s="1">
        <f>M343+Table1181920231030313235383940[[#This Row],[اجمالي الفاتوره]]-Table1181920231030313235383940[[#This Row],[الدفعات]]</f>
        <v>0</v>
      </c>
      <c r="O344" s="48"/>
    </row>
    <row r="345" spans="11:15" ht="26.25" customHeight="1" x14ac:dyDescent="0.3">
      <c r="K345" s="1">
        <f>Table1181920231030313235383940[[#This Row],[النولون]]+Table1181920231030313235383940[[#This Row],[الايصالات]]+Table1181920231030313235383940[[#This Row],[قيمة مضافة]]</f>
        <v>0</v>
      </c>
      <c r="M345" s="1">
        <f>M344+Table1181920231030313235383940[[#This Row],[اجمالي الفاتوره]]-Table1181920231030313235383940[[#This Row],[الدفعات]]</f>
        <v>0</v>
      </c>
      <c r="O345" s="48"/>
    </row>
    <row r="346" spans="11:15" ht="26.25" customHeight="1" x14ac:dyDescent="0.3">
      <c r="K346" s="1">
        <f>Table1181920231030313235383940[[#This Row],[النولون]]+Table1181920231030313235383940[[#This Row],[الايصالات]]+Table1181920231030313235383940[[#This Row],[قيمة مضافة]]</f>
        <v>0</v>
      </c>
      <c r="M346" s="1">
        <f>M345+Table1181920231030313235383940[[#This Row],[اجمالي الفاتوره]]-Table1181920231030313235383940[[#This Row],[الدفعات]]</f>
        <v>0</v>
      </c>
      <c r="O346" s="48"/>
    </row>
    <row r="347" spans="11:15" ht="26.25" customHeight="1" x14ac:dyDescent="0.3">
      <c r="K347" s="1">
        <f>Table1181920231030313235383940[[#This Row],[النولون]]+Table1181920231030313235383940[[#This Row],[الايصالات]]+Table1181920231030313235383940[[#This Row],[قيمة مضافة]]</f>
        <v>0</v>
      </c>
      <c r="M347" s="1">
        <f>M346+Table1181920231030313235383940[[#This Row],[اجمالي الفاتوره]]-Table1181920231030313235383940[[#This Row],[الدفعات]]</f>
        <v>0</v>
      </c>
      <c r="O347" s="48"/>
    </row>
  </sheetData>
  <phoneticPr fontId="2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N349"/>
  <sheetViews>
    <sheetView rightToLeft="1" topLeftCell="A16" workbookViewId="0">
      <selection activeCell="D27" sqref="D27"/>
    </sheetView>
  </sheetViews>
  <sheetFormatPr defaultColWidth="9.109375" defaultRowHeight="24" customHeight="1" x14ac:dyDescent="0.3"/>
  <cols>
    <col min="1" max="1" width="9.109375" style="6"/>
    <col min="2" max="2" width="5.44140625" style="1" customWidth="1"/>
    <col min="3" max="3" width="11" style="1" customWidth="1"/>
    <col min="4" max="5" width="13.33203125" style="1" customWidth="1"/>
    <col min="6" max="6" width="11.88671875" style="1" customWidth="1"/>
    <col min="7" max="7" width="11.6640625" style="1" customWidth="1"/>
    <col min="8" max="8" width="8.33203125" style="1" customWidth="1"/>
    <col min="9" max="9" width="10.77734375" style="1" customWidth="1"/>
    <col min="10" max="10" width="12" style="1" customWidth="1"/>
    <col min="11" max="11" width="11.88671875" style="1" customWidth="1"/>
    <col min="12" max="12" width="15.21875" style="1" customWidth="1"/>
    <col min="13" max="16384" width="9.109375" style="1"/>
  </cols>
  <sheetData>
    <row r="1" spans="1:14" ht="24" customHeight="1" x14ac:dyDescent="0.3">
      <c r="A1" s="6" t="s">
        <v>15</v>
      </c>
      <c r="B1" s="1" t="s">
        <v>0</v>
      </c>
      <c r="C1" s="1" t="s">
        <v>1</v>
      </c>
      <c r="D1" s="1" t="s">
        <v>4</v>
      </c>
      <c r="E1" s="1" t="s">
        <v>87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8" t="s">
        <v>20</v>
      </c>
    </row>
    <row r="2" spans="1:14" ht="24" customHeight="1" x14ac:dyDescent="0.3">
      <c r="C2" s="2"/>
      <c r="J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" s="1">
        <v>0</v>
      </c>
      <c r="N2" s="48"/>
    </row>
    <row r="3" spans="1:14" ht="24" customHeight="1" x14ac:dyDescent="0.3">
      <c r="A3" s="6">
        <v>1212</v>
      </c>
      <c r="B3" s="1">
        <v>1</v>
      </c>
      <c r="C3" s="2" t="s">
        <v>86</v>
      </c>
      <c r="D3" s="1">
        <v>31804</v>
      </c>
      <c r="E3" s="1" t="s">
        <v>88</v>
      </c>
      <c r="F3" s="1" t="s">
        <v>90</v>
      </c>
      <c r="G3" s="1">
        <f>5*17500</f>
        <v>87500</v>
      </c>
      <c r="I3" s="1">
        <f>850+5*60+365.21*5+5*1130+7410+1500</f>
        <v>17536.05</v>
      </c>
      <c r="J3" s="1">
        <f>Table118192023103031323538394041481115182028[[#This Row],[النولون]]+Table118192023103031323538394041481115182028[[#This Row],[الايصالات]]+Table118192023103031323538394041481115182028[[#This Row],[قيمة مضافة]]</f>
        <v>105036.05</v>
      </c>
      <c r="L3" s="1">
        <f>L2+Table118192023103031323538394041481115182028[[#This Row],[اجمالي الفاتوره]]-Table118192023103031323538394041481115182028[[#This Row],[الدفعات]]</f>
        <v>105036.05</v>
      </c>
      <c r="N3" s="48"/>
    </row>
    <row r="4" spans="1:14" ht="24" customHeight="1" x14ac:dyDescent="0.3">
      <c r="A4" s="42">
        <v>1213</v>
      </c>
      <c r="B4" s="1">
        <v>2</v>
      </c>
      <c r="C4" s="2" t="s">
        <v>86</v>
      </c>
      <c r="D4" s="1">
        <v>263510355</v>
      </c>
      <c r="E4" s="1" t="s">
        <v>89</v>
      </c>
      <c r="F4" s="1" t="s">
        <v>91</v>
      </c>
      <c r="G4" s="1">
        <f>13000*5</f>
        <v>65000</v>
      </c>
      <c r="I4" s="1">
        <f>5*60+3*100+4*1130+1150+591.35+446.88+487.65+441.22+469.5+11736.3+2487+21291</f>
        <v>44220.9</v>
      </c>
      <c r="J4" s="1">
        <f>Table118192023103031323538394041481115182028[[#This Row],[النولون]]+Table118192023103031323538394041481115182028[[#This Row],[الايصالات]]+Table118192023103031323538394041481115182028[[#This Row],[قيمة مضافة]]</f>
        <v>109220.9</v>
      </c>
      <c r="L4" s="1">
        <f>L3+Table118192023103031323538394041481115182028[[#This Row],[اجمالي الفاتوره]]-Table118192023103031323538394041481115182028[[#This Row],[الدفعات]]</f>
        <v>214256.95</v>
      </c>
      <c r="N4" s="48"/>
    </row>
    <row r="5" spans="1:14" ht="24" customHeight="1" x14ac:dyDescent="0.3">
      <c r="A5" s="6">
        <v>1214</v>
      </c>
      <c r="B5" s="1">
        <v>3</v>
      </c>
      <c r="C5" s="2" t="s">
        <v>86</v>
      </c>
      <c r="D5" s="1">
        <v>263510215</v>
      </c>
      <c r="E5" s="1" t="s">
        <v>89</v>
      </c>
      <c r="F5" s="1" t="s">
        <v>92</v>
      </c>
      <c r="G5" s="1">
        <f>2*13000</f>
        <v>26000</v>
      </c>
      <c r="I5" s="1">
        <f>100+1130+1100+710.5+461.01+60*2+4393.56+997+8517</f>
        <v>17529.07</v>
      </c>
      <c r="J5" s="1">
        <f>Table118192023103031323538394041481115182028[[#This Row],[النولون]]+Table118192023103031323538394041481115182028[[#This Row],[الايصالات]]+Table118192023103031323538394041481115182028[[#This Row],[قيمة مضافة]]</f>
        <v>43529.07</v>
      </c>
      <c r="L5" s="1">
        <f>L4+Table118192023103031323538394041481115182028[[#This Row],[اجمالي الفاتوره]]-Table118192023103031323538394041481115182028[[#This Row],[الدفعات]]</f>
        <v>257786.02000000002</v>
      </c>
      <c r="N5" s="48"/>
    </row>
    <row r="6" spans="1:14" ht="24" customHeight="1" x14ac:dyDescent="0.3">
      <c r="A6" s="6">
        <v>1215</v>
      </c>
      <c r="B6" s="1">
        <v>4</v>
      </c>
      <c r="C6" s="2" t="s">
        <v>86</v>
      </c>
      <c r="D6" s="1">
        <v>31766</v>
      </c>
      <c r="E6" s="1" t="s">
        <v>88</v>
      </c>
      <c r="F6" s="1" t="s">
        <v>92</v>
      </c>
      <c r="G6" s="1">
        <f>2*13000</f>
        <v>26000</v>
      </c>
      <c r="I6" s="1">
        <f>1130*2+452.53+461.01+60*2+2280+500</f>
        <v>6073.54</v>
      </c>
      <c r="J6" s="1">
        <f>Table118192023103031323538394041481115182028[[#This Row],[النولون]]+Table118192023103031323538394041481115182028[[#This Row],[الايصالات]]+Table118192023103031323538394041481115182028[[#This Row],[قيمة مضافة]]</f>
        <v>32073.54</v>
      </c>
      <c r="L6" s="1">
        <f>L5+Table118192023103031323538394041481115182028[[#This Row],[اجمالي الفاتوره]]-Table118192023103031323538394041481115182028[[#This Row],[الدفعات]]</f>
        <v>289859.56</v>
      </c>
      <c r="N6" s="48"/>
    </row>
    <row r="7" spans="1:14" ht="24" customHeight="1" x14ac:dyDescent="0.3">
      <c r="A7" s="74"/>
      <c r="B7" s="76"/>
      <c r="C7" s="73" t="s">
        <v>356</v>
      </c>
      <c r="D7" s="72" t="s">
        <v>357</v>
      </c>
      <c r="E7" s="72">
        <v>400524.28</v>
      </c>
      <c r="F7" s="76"/>
      <c r="G7" s="76"/>
      <c r="H7" s="76"/>
      <c r="I7" s="76">
        <v>0</v>
      </c>
      <c r="J7" s="76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K7" s="76">
        <v>75602.61</v>
      </c>
      <c r="L7" s="72">
        <f>L6+Table118192023103031323538394041481115182028[[#This Row],[اجمالي الفاتوره]]-Table118192023103031323538394041481115182028[[#This Row],[الدفعات]]</f>
        <v>214256.95</v>
      </c>
      <c r="M7" s="48"/>
      <c r="N7" s="48"/>
    </row>
    <row r="8" spans="1:14" ht="24" customHeight="1" x14ac:dyDescent="0.3">
      <c r="A8" s="6">
        <v>1247</v>
      </c>
      <c r="B8" s="1">
        <v>5</v>
      </c>
      <c r="C8" s="2" t="s">
        <v>199</v>
      </c>
      <c r="D8" s="1">
        <v>874062</v>
      </c>
      <c r="E8" s="1" t="s">
        <v>207</v>
      </c>
      <c r="F8" s="1" t="s">
        <v>120</v>
      </c>
      <c r="G8" s="1">
        <v>13000</v>
      </c>
      <c r="I8" s="1">
        <f>850+100+60+75.47+527.54+550+25.1+150+171</f>
        <v>2509.11</v>
      </c>
      <c r="J8" s="1">
        <f>Table118192023103031323538394041481115182028[[#This Row],[النولون]]+Table118192023103031323538394041481115182028[[#This Row],[الايصالات]]+Table118192023103031323538394041481115182028[[#This Row],[قيمة مضافة]]</f>
        <v>15509.11</v>
      </c>
      <c r="L8" s="1">
        <f>L7+Table118192023103031323538394041481115182028[[#This Row],[اجمالي الفاتوره]]-Table118192023103031323538394041481115182028[[#This Row],[الدفعات]]</f>
        <v>229766.06</v>
      </c>
      <c r="N8" s="48"/>
    </row>
    <row r="9" spans="1:14" ht="24" customHeight="1" x14ac:dyDescent="0.3">
      <c r="A9" s="6">
        <v>1248</v>
      </c>
      <c r="B9" s="1">
        <v>6</v>
      </c>
      <c r="C9" s="2" t="s">
        <v>199</v>
      </c>
      <c r="D9" s="1">
        <v>6442485680</v>
      </c>
      <c r="E9" s="1" t="s">
        <v>208</v>
      </c>
      <c r="F9" s="1" t="s">
        <v>121</v>
      </c>
      <c r="G9" s="1">
        <v>13000</v>
      </c>
      <c r="I9" s="1">
        <f>100+1130+710.5+60+2006.4+342</f>
        <v>4348.8999999999996</v>
      </c>
      <c r="J9" s="1">
        <f>Table118192023103031323538394041481115182028[[#This Row],[النولون]]+Table118192023103031323538394041481115182028[[#This Row],[الايصالات]]+Table118192023103031323538394041481115182028[[#This Row],[قيمة مضافة]]</f>
        <v>17348.900000000001</v>
      </c>
      <c r="L9" s="1">
        <f>L8+Table118192023103031323538394041481115182028[[#This Row],[اجمالي الفاتوره]]-Table118192023103031323538394041481115182028[[#This Row],[الدفعات]]</f>
        <v>247114.96</v>
      </c>
      <c r="N9" s="48"/>
    </row>
    <row r="10" spans="1:14" ht="24" customHeight="1" x14ac:dyDescent="0.3">
      <c r="A10" s="6">
        <v>1249</v>
      </c>
      <c r="B10" s="1">
        <v>7</v>
      </c>
      <c r="C10" s="2" t="s">
        <v>199</v>
      </c>
      <c r="D10" s="20">
        <v>6442492950</v>
      </c>
      <c r="E10" s="1" t="s">
        <v>208</v>
      </c>
      <c r="F10" s="1" t="s">
        <v>121</v>
      </c>
      <c r="G10" s="1">
        <v>13000</v>
      </c>
      <c r="I10" s="1">
        <f>60+1130+710.5+228+342</f>
        <v>2470.5</v>
      </c>
      <c r="J10" s="1">
        <f>Table118192023103031323538394041481115182028[[#This Row],[النولون]]+Table118192023103031323538394041481115182028[[#This Row],[الايصالات]]+Table118192023103031323538394041481115182028[[#This Row],[قيمة مضافة]]</f>
        <v>15470.5</v>
      </c>
      <c r="L10" s="1">
        <f>L9+Table118192023103031323538394041481115182028[[#This Row],[اجمالي الفاتوره]]-Table118192023103031323538394041481115182028[[#This Row],[الدفعات]]</f>
        <v>262585.45999999996</v>
      </c>
      <c r="N10" s="48"/>
    </row>
    <row r="11" spans="1:14" ht="24" customHeight="1" x14ac:dyDescent="0.3">
      <c r="A11" s="6">
        <v>1269</v>
      </c>
      <c r="B11" s="1">
        <v>8</v>
      </c>
      <c r="C11" s="2" t="s">
        <v>256</v>
      </c>
      <c r="D11" s="20">
        <v>26109546</v>
      </c>
      <c r="E11" s="1" t="s">
        <v>264</v>
      </c>
      <c r="F11" s="1" t="s">
        <v>90</v>
      </c>
      <c r="G11" s="1">
        <f>17500*5</f>
        <v>87500</v>
      </c>
      <c r="I11" s="1">
        <f>810*2+850*2+150+100*5+60*5+268.42+365.21*4+1130*4+1150+10000+456+500+10716+1824</f>
        <v>35165.26</v>
      </c>
      <c r="J11" s="1">
        <f>Table118192023103031323538394041481115182028[[#This Row],[النولون]]+Table118192023103031323538394041481115182028[[#This Row],[الايصالات]]+Table118192023103031323538394041481115182028[[#This Row],[قيمة مضافة]]</f>
        <v>122665.26000000001</v>
      </c>
      <c r="L11" s="1">
        <f>L10+Table118192023103031323538394041481115182028[[#This Row],[اجمالي الفاتوره]]-Table118192023103031323538394041481115182028[[#This Row],[الدفعات]]</f>
        <v>385250.72</v>
      </c>
      <c r="N11" s="48"/>
    </row>
    <row r="12" spans="1:14" ht="24" customHeight="1" x14ac:dyDescent="0.3">
      <c r="A12" s="74"/>
      <c r="B12" s="76"/>
      <c r="C12" s="73" t="s">
        <v>423</v>
      </c>
      <c r="D12" s="76"/>
      <c r="E12" s="72"/>
      <c r="F12" s="76"/>
      <c r="G12" s="76"/>
      <c r="H12" s="76"/>
      <c r="I12" s="76"/>
      <c r="J12" s="76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K12" s="76">
        <v>350085.46</v>
      </c>
      <c r="L12" s="72">
        <f>L11+Table118192023103031323538394041481115182028[[#This Row],[اجمالي الفاتوره]]-Table118192023103031323538394041481115182028[[#This Row],[الدفعات]]</f>
        <v>35165.259999999951</v>
      </c>
      <c r="M12" s="48"/>
      <c r="N12" s="48"/>
    </row>
    <row r="13" spans="1:14" ht="24" customHeight="1" x14ac:dyDescent="0.3">
      <c r="A13" s="6">
        <v>1286</v>
      </c>
      <c r="B13" s="1">
        <v>9</v>
      </c>
      <c r="C13" s="2" t="s">
        <v>293</v>
      </c>
      <c r="D13" s="20">
        <v>1964551</v>
      </c>
      <c r="E13" s="1" t="s">
        <v>207</v>
      </c>
      <c r="F13" s="1" t="s">
        <v>295</v>
      </c>
      <c r="G13" s="1">
        <f>17500+13000</f>
        <v>30500</v>
      </c>
      <c r="I13" s="1">
        <f>50+100*2+60*2+372.25+213.5+1130+580+2394+45+513+450</f>
        <v>6067.75</v>
      </c>
      <c r="J13" s="1">
        <f>Table118192023103031323538394041481115182028[[#This Row],[النولون]]+Table118192023103031323538394041481115182028[[#This Row],[الايصالات]]+Table118192023103031323538394041481115182028[[#This Row],[قيمة مضافة]]</f>
        <v>36567.75</v>
      </c>
      <c r="L13" s="1">
        <f>L12+Table118192023103031323538394041481115182028[[#This Row],[اجمالي الفاتوره]]-Table118192023103031323538394041481115182028[[#This Row],[الدفعات]]</f>
        <v>71733.009999999951</v>
      </c>
      <c r="N13" s="48"/>
    </row>
    <row r="14" spans="1:14" ht="24" customHeight="1" x14ac:dyDescent="0.3">
      <c r="A14" s="6">
        <v>1321</v>
      </c>
      <c r="B14" s="1">
        <v>10</v>
      </c>
      <c r="C14" s="2" t="s">
        <v>356</v>
      </c>
      <c r="D14" s="1">
        <v>6445256130</v>
      </c>
      <c r="E14" s="1" t="s">
        <v>208</v>
      </c>
      <c r="F14" s="1" t="s">
        <v>121</v>
      </c>
      <c r="G14" s="1">
        <v>13000</v>
      </c>
      <c r="I14" s="1">
        <f>850+100+60+1130+480.8+45.15+1072.97+25.1+342</f>
        <v>4106.0200000000004</v>
      </c>
      <c r="J14" s="1">
        <f>Table118192023103031323538394041481115182028[[#This Row],[النولون]]+Table118192023103031323538394041481115182028[[#This Row],[الايصالات]]+Table118192023103031323538394041481115182028[[#This Row],[قيمة مضافة]]</f>
        <v>17106.02</v>
      </c>
      <c r="L14" s="1">
        <f>L13+Table118192023103031323538394041481115182028[[#This Row],[اجمالي الفاتوره]]-Table118192023103031323538394041481115182028[[#This Row],[الدفعات]]</f>
        <v>88839.029999999955</v>
      </c>
      <c r="M14" s="1">
        <f>SUM(J:J)-SUM(K:K)+L2</f>
        <v>712185.53</v>
      </c>
      <c r="N14" s="48">
        <f>SUM(H:H)</f>
        <v>0</v>
      </c>
    </row>
    <row r="15" spans="1:14" ht="24" customHeight="1" x14ac:dyDescent="0.3">
      <c r="A15" s="6">
        <v>1322</v>
      </c>
      <c r="B15" s="1">
        <v>11</v>
      </c>
      <c r="C15" s="2" t="s">
        <v>356</v>
      </c>
      <c r="D15" s="1">
        <v>35462</v>
      </c>
      <c r="E15" s="1" t="s">
        <v>359</v>
      </c>
      <c r="F15" s="1" t="s">
        <v>181</v>
      </c>
      <c r="G15" s="1">
        <f>13000*4</f>
        <v>52000</v>
      </c>
      <c r="I15" s="1">
        <f>810*2+850+50+60*4+1130+477.98+365.21*3+1130+1100+1100+263+787+5244+1000+2000*2</f>
        <v>20087.61</v>
      </c>
      <c r="J15" s="1">
        <f>Table118192023103031323538394041481115182028[[#This Row],[النولون]]+Table118192023103031323538394041481115182028[[#This Row],[الايصالات]]+Table118192023103031323538394041481115182028[[#This Row],[قيمة مضافة]]</f>
        <v>72087.61</v>
      </c>
      <c r="L15" s="1">
        <f>L14+Table118192023103031323538394041481115182028[[#This Row],[اجمالي الفاتوره]]-Table118192023103031323538394041481115182028[[#This Row],[الدفعات]]</f>
        <v>160926.63999999996</v>
      </c>
      <c r="N15" s="48"/>
    </row>
    <row r="16" spans="1:14" ht="24" customHeight="1" x14ac:dyDescent="0.3">
      <c r="A16" s="6">
        <v>1323</v>
      </c>
      <c r="B16" s="41">
        <v>12</v>
      </c>
      <c r="C16" s="2" t="s">
        <v>356</v>
      </c>
      <c r="D16" s="41">
        <v>497</v>
      </c>
      <c r="E16" s="1" t="s">
        <v>360</v>
      </c>
      <c r="F16" s="1" t="s">
        <v>90</v>
      </c>
      <c r="G16" s="41">
        <f>17500*5</f>
        <v>87500</v>
      </c>
      <c r="H16" s="41"/>
      <c r="I16" s="41">
        <f>850+365.21*4+372.09+60*5+10000+500+10146+2850+1130*4+1150</f>
        <v>32148.93</v>
      </c>
      <c r="J16" s="41">
        <f>Table118192023103031323538394041481115182028[[#This Row],[النولون]]+Table118192023103031323538394041481115182028[[#This Row],[الايصالات]]+Table118192023103031323538394041481115182028[[#This Row],[قيمة مضافة]]</f>
        <v>119648.93</v>
      </c>
      <c r="K16" s="41"/>
      <c r="L16" s="1">
        <f>L15+Table118192023103031323538394041481115182028[[#This Row],[اجمالي الفاتوره]]-Table118192023103031323538394041481115182028[[#This Row],[الدفعات]]</f>
        <v>280575.56999999995</v>
      </c>
      <c r="M16" s="41"/>
      <c r="N16" s="48"/>
    </row>
    <row r="17" spans="1:14" ht="24" customHeight="1" x14ac:dyDescent="0.3">
      <c r="A17" s="74"/>
      <c r="B17" s="96"/>
      <c r="C17" s="98">
        <v>46147</v>
      </c>
      <c r="D17" s="96"/>
      <c r="E17" s="72"/>
      <c r="F17" s="96"/>
      <c r="G17" s="96"/>
      <c r="H17" s="96"/>
      <c r="I17" s="96"/>
      <c r="J17" s="96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K17" s="96">
        <v>280575.57</v>
      </c>
      <c r="L17" s="72">
        <f>L16+Table118192023103031323538394041481115182028[[#This Row],[اجمالي الفاتوره]]-Table118192023103031323538394041481115182028[[#This Row],[الدفعات]]</f>
        <v>0</v>
      </c>
      <c r="M17" s="95"/>
      <c r="N17" s="95"/>
    </row>
    <row r="18" spans="1:14" ht="24" customHeight="1" x14ac:dyDescent="0.3">
      <c r="A18" s="6">
        <v>1346</v>
      </c>
      <c r="B18" s="41">
        <v>13</v>
      </c>
      <c r="C18" s="2" t="s">
        <v>407</v>
      </c>
      <c r="D18" s="41">
        <v>896498</v>
      </c>
      <c r="E18" s="1" t="s">
        <v>207</v>
      </c>
      <c r="F18" s="1" t="s">
        <v>409</v>
      </c>
      <c r="G18" s="41">
        <f>18*19500+14500</f>
        <v>365500</v>
      </c>
      <c r="H18" s="41"/>
      <c r="I18" s="41">
        <f>570+1100*2+1130*16+19*60+3*100+850*2+200+928+5550+6327+105.79*11+45.15*5+82.86+140.22+358.87+667.62*2+786.78+747.18+327.5+327.5+365.21*12+13*3500</f>
        <v>92373.11</v>
      </c>
      <c r="J18" s="41">
        <f>Table118192023103031323538394041481115182028[[#This Row],[النولون]]+Table118192023103031323538394041481115182028[[#This Row],[الايصالات]]+Table118192023103031323538394041481115182028[[#This Row],[قيمة مضافة]]</f>
        <v>457873.11</v>
      </c>
      <c r="K18" s="41"/>
      <c r="L18" s="1">
        <f>L17+Table118192023103031323538394041481115182028[[#This Row],[اجمالي الفاتوره]]-Table118192023103031323538394041481115182028[[#This Row],[الدفعات]]</f>
        <v>457873.11</v>
      </c>
      <c r="M18" s="41"/>
      <c r="N18" s="48"/>
    </row>
    <row r="19" spans="1:14" ht="24" customHeight="1" x14ac:dyDescent="0.3">
      <c r="A19" s="74"/>
      <c r="B19" s="96"/>
      <c r="C19" s="98">
        <v>46184</v>
      </c>
      <c r="D19" s="96"/>
      <c r="E19" s="72"/>
      <c r="F19" s="96"/>
      <c r="G19" s="96"/>
      <c r="H19" s="96"/>
      <c r="I19" s="96"/>
      <c r="J19" s="96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K19" s="96">
        <v>365500</v>
      </c>
      <c r="L19" s="72">
        <f>L18+Table118192023103031323538394041481115182028[[#This Row],[اجمالي الفاتوره]]-Table118192023103031323538394041481115182028[[#This Row],[الدفعات]]</f>
        <v>92373.109999999986</v>
      </c>
      <c r="M19" s="95"/>
      <c r="N19" s="95"/>
    </row>
    <row r="20" spans="1:14" ht="24" customHeight="1" x14ac:dyDescent="0.3">
      <c r="A20" s="6">
        <v>1413</v>
      </c>
      <c r="B20" s="41">
        <v>14</v>
      </c>
      <c r="C20" s="2">
        <v>46138</v>
      </c>
      <c r="D20" s="1">
        <v>18908900</v>
      </c>
      <c r="E20" s="1" t="s">
        <v>488</v>
      </c>
      <c r="F20" s="1" t="s">
        <v>121</v>
      </c>
      <c r="G20" s="1">
        <v>14500</v>
      </c>
      <c r="I20" s="1">
        <f>1130+466.67+68.08+60+850+1187.2+700+700</f>
        <v>5161.95</v>
      </c>
      <c r="J20" s="1">
        <f>Table118192023103031323538394041481115182028[[#This Row],[النولون]]+Table118192023103031323538394041481115182028[[#This Row],[الايصالات]]+Table118192023103031323538394041481115182028[[#This Row],[قيمة مضافة]]</f>
        <v>19661.95</v>
      </c>
      <c r="L20" s="1">
        <f>L19+Table118192023103031323538394041481115182028[[#This Row],[اجمالي الفاتوره]]-Table118192023103031323538394041481115182028[[#This Row],[الدفعات]]</f>
        <v>112035.05999999998</v>
      </c>
      <c r="N20" s="48"/>
    </row>
    <row r="21" spans="1:14" ht="24" customHeight="1" x14ac:dyDescent="0.3">
      <c r="A21" s="6">
        <v>1414</v>
      </c>
      <c r="B21" s="41">
        <v>15</v>
      </c>
      <c r="C21" s="2">
        <v>46138</v>
      </c>
      <c r="D21" s="1">
        <v>69571500</v>
      </c>
      <c r="E21" s="1" t="s">
        <v>488</v>
      </c>
      <c r="F21" s="1" t="s">
        <v>121</v>
      </c>
      <c r="G21" s="1">
        <v>14500</v>
      </c>
      <c r="I21" s="1">
        <f>1130+909.09+68.08+60+850+1187.2+700*2</f>
        <v>5604.37</v>
      </c>
      <c r="J21" s="1">
        <f>Table118192023103031323538394041481115182028[[#This Row],[النولون]]+Table118192023103031323538394041481115182028[[#This Row],[الايصالات]]+Table118192023103031323538394041481115182028[[#This Row],[قيمة مضافة]]</f>
        <v>20104.37</v>
      </c>
      <c r="L21" s="1">
        <f>L20+Table118192023103031323538394041481115182028[[#This Row],[اجمالي الفاتوره]]-Table118192023103031323538394041481115182028[[#This Row],[الدفعات]]</f>
        <v>132139.43</v>
      </c>
      <c r="N21" s="48"/>
    </row>
    <row r="22" spans="1:14" ht="24" customHeight="1" x14ac:dyDescent="0.3">
      <c r="A22" s="6">
        <v>1415</v>
      </c>
      <c r="B22" s="41">
        <v>16</v>
      </c>
      <c r="C22" s="2">
        <v>46138</v>
      </c>
      <c r="D22" s="1">
        <v>22579600</v>
      </c>
      <c r="E22" s="1" t="s">
        <v>488</v>
      </c>
      <c r="F22" s="1" t="s">
        <v>121</v>
      </c>
      <c r="G22" s="1">
        <v>14500</v>
      </c>
      <c r="I22" s="1">
        <f>1100+458.19+68.08+60+1187.2+700*2+119.7</f>
        <v>4393.17</v>
      </c>
      <c r="J22" s="1">
        <f>Table118192023103031323538394041481115182028[[#This Row],[النولون]]+Table118192023103031323538394041481115182028[[#This Row],[الايصالات]]+Table118192023103031323538394041481115182028[[#This Row],[قيمة مضافة]]</f>
        <v>18893.169999999998</v>
      </c>
      <c r="L22" s="1">
        <f>L21+Table118192023103031323538394041481115182028[[#This Row],[اجمالي الفاتوره]]-Table118192023103031323538394041481115182028[[#This Row],[الدفعات]]</f>
        <v>151032.59999999998</v>
      </c>
      <c r="N22" s="48"/>
    </row>
    <row r="23" spans="1:14" ht="24" customHeight="1" x14ac:dyDescent="0.3">
      <c r="A23" s="6">
        <v>1446</v>
      </c>
      <c r="B23" s="1">
        <v>17</v>
      </c>
      <c r="C23" s="2">
        <v>46151</v>
      </c>
      <c r="D23" s="1">
        <v>914230</v>
      </c>
      <c r="E23" s="1" t="s">
        <v>207</v>
      </c>
      <c r="F23" s="1" t="s">
        <v>532</v>
      </c>
      <c r="G23" s="1">
        <f>19500*3</f>
        <v>58500</v>
      </c>
      <c r="I23" s="1">
        <f>60*3+810+866.22+365.21+330.94+6881.04+752.4+1100*3+900+1026</f>
        <v>15411.81</v>
      </c>
      <c r="J23" s="1">
        <f>Table118192023103031323538394041481115182028[[#This Row],[النولون]]+Table118192023103031323538394041481115182028[[#This Row],[الايصالات]]+Table118192023103031323538394041481115182028[[#This Row],[قيمة مضافة]]</f>
        <v>73911.81</v>
      </c>
      <c r="L23" s="1">
        <f>L22+Table118192023103031323538394041481115182028[[#This Row],[اجمالي الفاتوره]]-Table118192023103031323538394041481115182028[[#This Row],[الدفعات]]</f>
        <v>224944.40999999997</v>
      </c>
      <c r="N23" s="48"/>
    </row>
    <row r="24" spans="1:14" ht="24" customHeight="1" x14ac:dyDescent="0.3">
      <c r="A24" s="6">
        <v>1466</v>
      </c>
      <c r="B24" s="1">
        <v>18</v>
      </c>
      <c r="C24" s="2">
        <v>46158</v>
      </c>
      <c r="D24" s="1">
        <v>9166178</v>
      </c>
      <c r="E24" s="1" t="s">
        <v>207</v>
      </c>
      <c r="F24" s="1" t="s">
        <v>455</v>
      </c>
      <c r="G24" s="1">
        <f>3*19500+14500</f>
        <v>73000</v>
      </c>
      <c r="I24" s="1">
        <f>251.21+365.21*3+4*60+200+15333+1130+600+1100*2+1197+1050+2500*3</f>
        <v>30796.84</v>
      </c>
      <c r="J24" s="1">
        <f>Table118192023103031323538394041481115182028[[#This Row],[النولون]]+Table118192023103031323538394041481115182028[[#This Row],[الايصالات]]+Table118192023103031323538394041481115182028[[#This Row],[قيمة مضافة]]</f>
        <v>103796.84</v>
      </c>
      <c r="L24" s="1">
        <f>L23+Table118192023103031323538394041481115182028[[#This Row],[اجمالي الفاتوره]]-Table118192023103031323538394041481115182028[[#This Row],[الدفعات]]</f>
        <v>328741.25</v>
      </c>
      <c r="N24" s="48"/>
    </row>
    <row r="25" spans="1:14" ht="24" customHeight="1" x14ac:dyDescent="0.3">
      <c r="A25" s="6">
        <v>1494</v>
      </c>
      <c r="B25" s="41">
        <v>19</v>
      </c>
      <c r="C25" s="45">
        <v>46174</v>
      </c>
      <c r="D25" s="41">
        <v>76804</v>
      </c>
      <c r="E25" s="1" t="s">
        <v>585</v>
      </c>
      <c r="F25" s="1" t="s">
        <v>121</v>
      </c>
      <c r="G25" s="41">
        <v>14500</v>
      </c>
      <c r="H25" s="41"/>
      <c r="I25" s="41">
        <f>810+210+1100+105.79+441.22+60+478.8+228+114+150</f>
        <v>3697.8100000000004</v>
      </c>
      <c r="J25" s="41">
        <f>Table118192023103031323538394041481115182028[[#This Row],[النولون]]+Table118192023103031323538394041481115182028[[#This Row],[الايصالات]]+Table118192023103031323538394041481115182028[[#This Row],[قيمة مضافة]]</f>
        <v>18197.810000000001</v>
      </c>
      <c r="K25" s="41"/>
      <c r="L25" s="1">
        <f>L24+Table118192023103031323538394041481115182028[[#This Row],[اجمالي الفاتوره]]-Table118192023103031323538394041481115182028[[#This Row],[الدفعات]]</f>
        <v>346939.06</v>
      </c>
      <c r="M25" s="41"/>
      <c r="N25" s="48"/>
    </row>
    <row r="26" spans="1:14" ht="24" customHeight="1" x14ac:dyDescent="0.3">
      <c r="A26" s="6">
        <v>1495</v>
      </c>
      <c r="B26" s="1">
        <v>20</v>
      </c>
      <c r="C26" s="2">
        <v>46174</v>
      </c>
      <c r="D26" s="1">
        <v>76805</v>
      </c>
      <c r="E26" s="1" t="s">
        <v>585</v>
      </c>
      <c r="F26" s="1" t="s">
        <v>121</v>
      </c>
      <c r="G26" s="1">
        <v>14500</v>
      </c>
      <c r="I26" s="1">
        <f>210+1100+442.45+60+2633.4+228+114+150+2500</f>
        <v>7437.85</v>
      </c>
      <c r="J26" s="1">
        <f>Table118192023103031323538394041481115182028[[#This Row],[النولون]]+Table118192023103031323538394041481115182028[[#This Row],[الايصالات]]+Table118192023103031323538394041481115182028[[#This Row],[قيمة مضافة]]</f>
        <v>21937.85</v>
      </c>
      <c r="L26" s="1">
        <f>L25+Table118192023103031323538394041481115182028[[#This Row],[اجمالي الفاتوره]]-Table118192023103031323538394041481115182028[[#This Row],[الدفعات]]</f>
        <v>368876.91</v>
      </c>
      <c r="N26" s="48"/>
    </row>
    <row r="27" spans="1:14" ht="24" customHeight="1" x14ac:dyDescent="0.3">
      <c r="A27" s="6">
        <v>1531</v>
      </c>
      <c r="B27" s="41">
        <v>21</v>
      </c>
      <c r="C27" s="2">
        <v>46186</v>
      </c>
      <c r="D27" s="1">
        <v>6503773540</v>
      </c>
      <c r="E27" s="1" t="s">
        <v>608</v>
      </c>
      <c r="F27" s="1" t="s">
        <v>121</v>
      </c>
      <c r="G27" s="1">
        <v>14500</v>
      </c>
      <c r="I27" s="1">
        <f>210+1100+790.06+909.09+60+1909.5+342+150+3000</f>
        <v>8470.65</v>
      </c>
      <c r="J27" s="1">
        <f>Table118192023103031323538394041481115182028[[#This Row],[النولون]]+Table118192023103031323538394041481115182028[[#This Row],[الايصالات]]+Table118192023103031323538394041481115182028[[#This Row],[قيمة مضافة]]</f>
        <v>22970.65</v>
      </c>
      <c r="L27" s="1">
        <f>L26+Table118192023103031323538394041481115182028[[#This Row],[اجمالي الفاتوره]]-Table118192023103031323538394041481115182028[[#This Row],[الدفعات]]</f>
        <v>391847.56</v>
      </c>
      <c r="N27" s="48"/>
    </row>
    <row r="28" spans="1:14" ht="24" customHeight="1" x14ac:dyDescent="0.3">
      <c r="A28" s="6">
        <v>1532</v>
      </c>
      <c r="B28" s="1">
        <v>22</v>
      </c>
      <c r="C28" s="2">
        <v>46186</v>
      </c>
      <c r="D28" s="1">
        <v>6503773550</v>
      </c>
      <c r="E28" s="1" t="s">
        <v>608</v>
      </c>
      <c r="F28" s="1" t="s">
        <v>121</v>
      </c>
      <c r="G28" s="1">
        <v>14500</v>
      </c>
      <c r="I28" s="1">
        <f>210+1100+909.09+60+1909.5+342+150</f>
        <v>4680.59</v>
      </c>
      <c r="J28" s="1">
        <f>Table118192023103031323538394041481115182028[[#This Row],[النولون]]+Table118192023103031323538394041481115182028[[#This Row],[الايصالات]]+Table118192023103031323538394041481115182028[[#This Row],[قيمة مضافة]]</f>
        <v>19180.59</v>
      </c>
      <c r="L28" s="1">
        <f>L27+Table118192023103031323538394041481115182028[[#This Row],[اجمالي الفاتوره]]-Table118192023103031323538394041481115182028[[#This Row],[الدفعات]]</f>
        <v>411028.15</v>
      </c>
      <c r="N28" s="48"/>
    </row>
    <row r="29" spans="1:14" ht="24" customHeight="1" x14ac:dyDescent="0.3">
      <c r="A29" s="6">
        <v>1533</v>
      </c>
      <c r="B29" s="41">
        <v>23</v>
      </c>
      <c r="C29" s="2">
        <v>46186</v>
      </c>
      <c r="D29" s="1">
        <v>17222907</v>
      </c>
      <c r="E29" s="1" t="s">
        <v>609</v>
      </c>
      <c r="F29" s="1" t="s">
        <v>121</v>
      </c>
      <c r="G29" s="1">
        <f>14500+5000</f>
        <v>19500</v>
      </c>
      <c r="I29" s="1">
        <f>850+1100+210+60+204+1713.6+2000+2500+1000</f>
        <v>9637.6</v>
      </c>
      <c r="J29" s="1">
        <f>Table118192023103031323538394041481115182028[[#This Row],[النولون]]+Table118192023103031323538394041481115182028[[#This Row],[الايصالات]]+Table118192023103031323538394041481115182028[[#This Row],[قيمة مضافة]]</f>
        <v>29137.599999999999</v>
      </c>
      <c r="L29" s="1">
        <f>L28+Table118192023103031323538394041481115182028[[#This Row],[اجمالي الفاتوره]]-Table118192023103031323538394041481115182028[[#This Row],[الدفعات]]</f>
        <v>440165.75</v>
      </c>
      <c r="N29" s="48"/>
    </row>
    <row r="30" spans="1:14" ht="24" customHeight="1" x14ac:dyDescent="0.3">
      <c r="A30" s="6">
        <v>1534</v>
      </c>
      <c r="B30" s="1">
        <v>24</v>
      </c>
      <c r="C30" s="2">
        <v>46186</v>
      </c>
      <c r="D30" s="1">
        <v>6238300</v>
      </c>
      <c r="E30" s="1" t="s">
        <v>610</v>
      </c>
      <c r="F30" s="1" t="s">
        <v>121</v>
      </c>
      <c r="G30" s="1">
        <v>14500</v>
      </c>
      <c r="I30" s="1">
        <f>150+60+1130+750.23+1345+4615+855</f>
        <v>8905.23</v>
      </c>
      <c r="J30" s="1">
        <f>Table118192023103031323538394041481115182028[[#This Row],[النولون]]+Table118192023103031323538394041481115182028[[#This Row],[الايصالات]]+Table118192023103031323538394041481115182028[[#This Row],[قيمة مضافة]]</f>
        <v>23405.23</v>
      </c>
      <c r="L30" s="1">
        <f>L29+Table118192023103031323538394041481115182028[[#This Row],[اجمالي الفاتوره]]-Table118192023103031323538394041481115182028[[#This Row],[الدفعات]]</f>
        <v>463570.98</v>
      </c>
      <c r="N30" s="48"/>
    </row>
    <row r="31" spans="1:14" ht="24" customHeight="1" x14ac:dyDescent="0.3">
      <c r="A31" s="6">
        <v>1535</v>
      </c>
      <c r="B31" s="41">
        <v>25</v>
      </c>
      <c r="C31" s="2">
        <v>46186</v>
      </c>
      <c r="D31" s="1">
        <v>925261</v>
      </c>
      <c r="E31" s="1" t="s">
        <v>207</v>
      </c>
      <c r="F31" s="1" t="s">
        <v>92</v>
      </c>
      <c r="G31" s="1">
        <f>14500*2</f>
        <v>29000</v>
      </c>
      <c r="I31" s="1">
        <f>1100+1100+464.45+463.84+60+5000+400+570+2500*2</f>
        <v>14158.29</v>
      </c>
      <c r="J31" s="1">
        <f>Table118192023103031323538394041481115182028[[#This Row],[النولون]]+Table118192023103031323538394041481115182028[[#This Row],[الايصالات]]+Table118192023103031323538394041481115182028[[#This Row],[قيمة مضافة]]</f>
        <v>43158.29</v>
      </c>
      <c r="L31" s="1">
        <f>L30+Table118192023103031323538394041481115182028[[#This Row],[اجمالي الفاتوره]]-Table118192023103031323538394041481115182028[[#This Row],[الدفعات]]</f>
        <v>506729.26999999996</v>
      </c>
      <c r="N31" s="48"/>
    </row>
    <row r="32" spans="1:14" ht="24" customHeight="1" x14ac:dyDescent="0.3">
      <c r="A32" s="6">
        <v>1538</v>
      </c>
      <c r="B32" s="1">
        <v>26</v>
      </c>
      <c r="C32" s="2">
        <v>46186</v>
      </c>
      <c r="D32" s="1">
        <v>77014</v>
      </c>
      <c r="E32" s="1" t="s">
        <v>585</v>
      </c>
      <c r="F32" s="1" t="s">
        <v>92</v>
      </c>
      <c r="G32" s="1">
        <f>14500*2</f>
        <v>29000</v>
      </c>
      <c r="I32" s="1">
        <f>850+410+1100+1130+45.15+469.5+710.5+60*2+478.8+200+1500*2+456*2</f>
        <v>9425.9500000000007</v>
      </c>
      <c r="J32" s="1">
        <f>Table118192023103031323538394041481115182028[[#This Row],[النولون]]+Table118192023103031323538394041481115182028[[#This Row],[الايصالات]]+Table118192023103031323538394041481115182028[[#This Row],[قيمة مضافة]]</f>
        <v>38425.949999999997</v>
      </c>
      <c r="L32" s="1">
        <f>L31+Table118192023103031323538394041481115182028[[#This Row],[اجمالي الفاتوره]]-Table118192023103031323538394041481115182028[[#This Row],[الدفعات]]</f>
        <v>545155.22</v>
      </c>
      <c r="N32" s="48"/>
    </row>
    <row r="33" spans="1:14" ht="24" customHeight="1" x14ac:dyDescent="0.3">
      <c r="A33" s="6">
        <v>1537</v>
      </c>
      <c r="B33" s="41">
        <v>27</v>
      </c>
      <c r="C33" s="2">
        <v>46186</v>
      </c>
      <c r="D33" s="1">
        <v>77015</v>
      </c>
      <c r="E33" s="1" t="s">
        <v>585</v>
      </c>
      <c r="F33" s="1" t="s">
        <v>158</v>
      </c>
      <c r="G33" s="1">
        <f>14500*3</f>
        <v>43500</v>
      </c>
      <c r="I33" s="1">
        <f>610+1100*2+1150+68.08+68.08+750.23+710.5+710.5+60*3+250+6583.5+1500*3+684*2</f>
        <v>19148.89</v>
      </c>
      <c r="J33" s="1">
        <f>Table118192023103031323538394041481115182028[[#This Row],[النولون]]+Table118192023103031323538394041481115182028[[#This Row],[الايصالات]]+Table118192023103031323538394041481115182028[[#This Row],[قيمة مضافة]]</f>
        <v>62648.89</v>
      </c>
      <c r="L33" s="1">
        <f>L32+Table118192023103031323538394041481115182028[[#This Row],[اجمالي الفاتوره]]-Table118192023103031323538394041481115182028[[#This Row],[الدفعات]]</f>
        <v>607804.11</v>
      </c>
      <c r="N33" s="48"/>
    </row>
    <row r="34" spans="1:14" ht="24" customHeight="1" x14ac:dyDescent="0.3">
      <c r="A34" s="6">
        <v>1550</v>
      </c>
      <c r="B34" s="1">
        <v>28</v>
      </c>
      <c r="C34" s="2">
        <v>46194</v>
      </c>
      <c r="D34" s="1">
        <v>928762</v>
      </c>
      <c r="E34" s="1" t="s">
        <v>207</v>
      </c>
      <c r="F34" s="1" t="s">
        <v>532</v>
      </c>
      <c r="G34" s="1">
        <f>3*19500</f>
        <v>58500</v>
      </c>
      <c r="I34" s="1">
        <f>3*2500+850+2*60+365.21+413.41+385.86+1130+1100*2+7866+900+1026</f>
        <v>22756.48</v>
      </c>
      <c r="J34" s="1">
        <f>Table118192023103031323538394041481115182028[[#This Row],[النولون]]+Table118192023103031323538394041481115182028[[#This Row],[الايصالات]]+Table118192023103031323538394041481115182028[[#This Row],[قيمة مضافة]]</f>
        <v>81256.479999999996</v>
      </c>
      <c r="L34" s="1">
        <f>L33+Table118192023103031323538394041481115182028[[#This Row],[اجمالي الفاتوره]]-Table118192023103031323538394041481115182028[[#This Row],[الدفعات]]</f>
        <v>689060.59</v>
      </c>
      <c r="N34" s="48"/>
    </row>
    <row r="35" spans="1:14" ht="24" customHeight="1" x14ac:dyDescent="0.3">
      <c r="A35" s="6">
        <v>1551</v>
      </c>
      <c r="B35" s="41">
        <v>29</v>
      </c>
      <c r="C35" s="45">
        <v>46194</v>
      </c>
      <c r="D35" s="41">
        <v>925317</v>
      </c>
      <c r="E35" s="1" t="s">
        <v>207</v>
      </c>
      <c r="F35" s="1" t="s">
        <v>121</v>
      </c>
      <c r="G35" s="41">
        <v>14500</v>
      </c>
      <c r="H35" s="41"/>
      <c r="I35" s="41">
        <f>2*2500+60+1150+789.94+1140+200+285</f>
        <v>8624.94</v>
      </c>
      <c r="J35" s="41">
        <f>Table118192023103031323538394041481115182028[[#This Row],[النولون]]+Table118192023103031323538394041481115182028[[#This Row],[الايصالات]]+Table118192023103031323538394041481115182028[[#This Row],[قيمة مضافة]]</f>
        <v>23124.940000000002</v>
      </c>
      <c r="K35" s="41"/>
      <c r="L35" s="1">
        <f>L34+Table118192023103031323538394041481115182028[[#This Row],[اجمالي الفاتوره]]-Table118192023103031323538394041481115182028[[#This Row],[الدفعات]]</f>
        <v>712185.53</v>
      </c>
      <c r="M35" s="41"/>
      <c r="N35" s="48"/>
    </row>
    <row r="36" spans="1:14" ht="24" customHeight="1" x14ac:dyDescent="0.3">
      <c r="C36" s="2"/>
      <c r="J3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6" s="1">
        <f>L35+Table118192023103031323538394041481115182028[[#This Row],[اجمالي الفاتوره]]-Table118192023103031323538394041481115182028[[#This Row],[الدفعات]]</f>
        <v>712185.53</v>
      </c>
      <c r="N36" s="48"/>
    </row>
    <row r="37" spans="1:14" ht="24" customHeight="1" x14ac:dyDescent="0.3">
      <c r="C37" s="2"/>
      <c r="J3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7" s="1">
        <f>L36+Table118192023103031323538394041481115182028[[#This Row],[اجمالي الفاتوره]]-Table118192023103031323538394041481115182028[[#This Row],[الدفعات]]</f>
        <v>712185.53</v>
      </c>
      <c r="N37" s="48"/>
    </row>
    <row r="38" spans="1:14" ht="24" customHeight="1" x14ac:dyDescent="0.3">
      <c r="C38" s="2"/>
      <c r="J3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8" s="1">
        <f>L37+Table118192023103031323538394041481115182028[[#This Row],[اجمالي الفاتوره]]-Table118192023103031323538394041481115182028[[#This Row],[الدفعات]]</f>
        <v>712185.53</v>
      </c>
      <c r="N38" s="48"/>
    </row>
    <row r="39" spans="1:14" ht="24" customHeight="1" x14ac:dyDescent="0.3">
      <c r="C39" s="2"/>
      <c r="J3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9" s="1">
        <f>L38+Table118192023103031323538394041481115182028[[#This Row],[اجمالي الفاتوره]]-Table118192023103031323538394041481115182028[[#This Row],[الدفعات]]</f>
        <v>712185.53</v>
      </c>
      <c r="N39" s="48"/>
    </row>
    <row r="40" spans="1:14" ht="24" customHeight="1" x14ac:dyDescent="0.3">
      <c r="B40" s="48"/>
      <c r="C40" s="54"/>
      <c r="D40" s="48"/>
      <c r="E40" s="48"/>
      <c r="F40" s="48"/>
      <c r="G40" s="48"/>
      <c r="H40" s="48"/>
      <c r="I40" s="48"/>
      <c r="J40" s="48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K40" s="48"/>
      <c r="L40" s="1">
        <f>L39+Table118192023103031323538394041481115182028[[#This Row],[اجمالي الفاتوره]]-Table118192023103031323538394041481115182028[[#This Row],[الدفعات]]</f>
        <v>712185.53</v>
      </c>
      <c r="M40" s="48"/>
      <c r="N40" s="48"/>
    </row>
    <row r="41" spans="1:14" ht="24" customHeight="1" x14ac:dyDescent="0.3">
      <c r="C41" s="2"/>
      <c r="J4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41" s="1">
        <f>L40+Table118192023103031323538394041481115182028[[#This Row],[اجمالي الفاتوره]]-Table118192023103031323538394041481115182028[[#This Row],[الدفعات]]</f>
        <v>712185.53</v>
      </c>
      <c r="N41" s="48"/>
    </row>
    <row r="42" spans="1:14" ht="24" customHeight="1" x14ac:dyDescent="0.3">
      <c r="C42" s="2"/>
      <c r="J4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42" s="1">
        <f>L41+Table118192023103031323538394041481115182028[[#This Row],[اجمالي الفاتوره]]-Table118192023103031323538394041481115182028[[#This Row],[الدفعات]]</f>
        <v>712185.53</v>
      </c>
      <c r="N42" s="48"/>
    </row>
    <row r="43" spans="1:14" ht="24" customHeight="1" x14ac:dyDescent="0.3">
      <c r="C43" s="2"/>
      <c r="J4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43" s="1">
        <f>L42+Table118192023103031323538394041481115182028[[#This Row],[اجمالي الفاتوره]]-Table118192023103031323538394041481115182028[[#This Row],[الدفعات]]</f>
        <v>712185.53</v>
      </c>
      <c r="N43" s="48"/>
    </row>
    <row r="44" spans="1:14" ht="24" customHeight="1" x14ac:dyDescent="0.3">
      <c r="B44" s="48"/>
      <c r="C44" s="54"/>
      <c r="D44" s="48"/>
      <c r="E44" s="48"/>
      <c r="F44" s="48"/>
      <c r="G44" s="48"/>
      <c r="H44" s="48"/>
      <c r="I44" s="48"/>
      <c r="J44" s="48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K44" s="48"/>
      <c r="L44" s="1">
        <f>L43+Table118192023103031323538394041481115182028[[#This Row],[اجمالي الفاتوره]]-Table118192023103031323538394041481115182028[[#This Row],[الدفعات]]</f>
        <v>712185.53</v>
      </c>
      <c r="M44" s="48"/>
      <c r="N44" s="48"/>
    </row>
    <row r="45" spans="1:14" ht="24" customHeight="1" x14ac:dyDescent="0.3">
      <c r="C45" s="2"/>
      <c r="J4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45" s="1">
        <f>L44+Table118192023103031323538394041481115182028[[#This Row],[اجمالي الفاتوره]]-Table118192023103031323538394041481115182028[[#This Row],[الدفعات]]</f>
        <v>712185.53</v>
      </c>
      <c r="N45" s="48"/>
    </row>
    <row r="46" spans="1:14" ht="24" customHeight="1" x14ac:dyDescent="0.3">
      <c r="C46" s="2"/>
      <c r="J4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46" s="1">
        <f>L45+Table118192023103031323538394041481115182028[[#This Row],[اجمالي الفاتوره]]-Table118192023103031323538394041481115182028[[#This Row],[الدفعات]]</f>
        <v>712185.53</v>
      </c>
      <c r="N46" s="48"/>
    </row>
    <row r="47" spans="1:14" ht="24" customHeight="1" x14ac:dyDescent="0.3">
      <c r="C47" s="2"/>
      <c r="J4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47" s="1">
        <f>L46+Table118192023103031323538394041481115182028[[#This Row],[اجمالي الفاتوره]]-Table118192023103031323538394041481115182028[[#This Row],[الدفعات]]</f>
        <v>712185.53</v>
      </c>
      <c r="N47" s="48"/>
    </row>
    <row r="48" spans="1:14" ht="24" customHeight="1" x14ac:dyDescent="0.3">
      <c r="C48" s="2"/>
      <c r="J4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48" s="1">
        <f>L47+Table118192023103031323538394041481115182028[[#This Row],[اجمالي الفاتوره]]-Table118192023103031323538394041481115182028[[#This Row],[الدفعات]]</f>
        <v>712185.53</v>
      </c>
      <c r="N48" s="48"/>
    </row>
    <row r="49" spans="2:14" ht="24" customHeight="1" x14ac:dyDescent="0.3">
      <c r="C49" s="2"/>
      <c r="J4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49" s="1">
        <f>L48+Table118192023103031323538394041481115182028[[#This Row],[اجمالي الفاتوره]]-Table118192023103031323538394041481115182028[[#This Row],[الدفعات]]</f>
        <v>712185.53</v>
      </c>
      <c r="N49" s="48"/>
    </row>
    <row r="50" spans="2:14" ht="24" customHeight="1" x14ac:dyDescent="0.3">
      <c r="C50" s="2"/>
      <c r="J5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50" s="1">
        <f>L49+Table118192023103031323538394041481115182028[[#This Row],[اجمالي الفاتوره]]-Table118192023103031323538394041481115182028[[#This Row],[الدفعات]]</f>
        <v>712185.53</v>
      </c>
      <c r="N50" s="48"/>
    </row>
    <row r="51" spans="2:14" ht="24" customHeight="1" x14ac:dyDescent="0.3">
      <c r="C51" s="2"/>
      <c r="J5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51" s="1">
        <f>L50+Table118192023103031323538394041481115182028[[#This Row],[اجمالي الفاتوره]]-Table118192023103031323538394041481115182028[[#This Row],[الدفعات]]</f>
        <v>712185.53</v>
      </c>
      <c r="N51" s="48"/>
    </row>
    <row r="52" spans="2:14" ht="24" customHeight="1" x14ac:dyDescent="0.3">
      <c r="C52" s="2"/>
      <c r="J5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52" s="1">
        <f>L51+Table118192023103031323538394041481115182028[[#This Row],[اجمالي الفاتوره]]-Table118192023103031323538394041481115182028[[#This Row],[الدفعات]]</f>
        <v>712185.53</v>
      </c>
      <c r="N52" s="48"/>
    </row>
    <row r="53" spans="2:14" ht="24" customHeight="1" x14ac:dyDescent="0.3">
      <c r="B53" s="48"/>
      <c r="C53" s="54"/>
      <c r="D53" s="48"/>
      <c r="E53" s="48"/>
      <c r="F53" s="48"/>
      <c r="G53" s="48"/>
      <c r="H53" s="48"/>
      <c r="I53" s="48"/>
      <c r="J53" s="48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K53" s="48"/>
      <c r="L53" s="1">
        <f>L52+Table118192023103031323538394041481115182028[[#This Row],[اجمالي الفاتوره]]-Table118192023103031323538394041481115182028[[#This Row],[الدفعات]]</f>
        <v>712185.53</v>
      </c>
      <c r="M53" s="48"/>
      <c r="N53" s="48"/>
    </row>
    <row r="54" spans="2:14" ht="24" customHeight="1" x14ac:dyDescent="0.3">
      <c r="C54" s="2"/>
      <c r="J5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54" s="1">
        <f>L53+Table118192023103031323538394041481115182028[[#This Row],[اجمالي الفاتوره]]-Table118192023103031323538394041481115182028[[#This Row],[الدفعات]]</f>
        <v>712185.53</v>
      </c>
      <c r="N54" s="48"/>
    </row>
    <row r="55" spans="2:14" ht="24" customHeight="1" x14ac:dyDescent="0.3">
      <c r="C55" s="2"/>
      <c r="J5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55" s="1">
        <f>L54+Table118192023103031323538394041481115182028[[#This Row],[اجمالي الفاتوره]]-Table118192023103031323538394041481115182028[[#This Row],[الدفعات]]</f>
        <v>712185.53</v>
      </c>
      <c r="N55" s="48"/>
    </row>
    <row r="56" spans="2:14" ht="24" customHeight="1" x14ac:dyDescent="0.3">
      <c r="C56" s="2"/>
      <c r="J5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56" s="1">
        <f>L55+Table118192023103031323538394041481115182028[[#This Row],[اجمالي الفاتوره]]-Table118192023103031323538394041481115182028[[#This Row],[الدفعات]]</f>
        <v>712185.53</v>
      </c>
      <c r="N56" s="48"/>
    </row>
    <row r="57" spans="2:14" ht="24" customHeight="1" x14ac:dyDescent="0.3">
      <c r="C57" s="2"/>
      <c r="J5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57" s="1">
        <f>L56+Table118192023103031323538394041481115182028[[#This Row],[اجمالي الفاتوره]]-Table118192023103031323538394041481115182028[[#This Row],[الدفعات]]</f>
        <v>712185.53</v>
      </c>
      <c r="N57" s="48"/>
    </row>
    <row r="58" spans="2:14" ht="24" customHeight="1" x14ac:dyDescent="0.3">
      <c r="C58" s="2"/>
      <c r="J5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58" s="1">
        <f>L57+Table118192023103031323538394041481115182028[[#This Row],[اجمالي الفاتوره]]-Table118192023103031323538394041481115182028[[#This Row],[الدفعات]]</f>
        <v>712185.53</v>
      </c>
      <c r="N58" s="48"/>
    </row>
    <row r="59" spans="2:14" ht="24" customHeight="1" x14ac:dyDescent="0.3">
      <c r="C59" s="2"/>
      <c r="J5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59" s="1">
        <f>L58+Table118192023103031323538394041481115182028[[#This Row],[اجمالي الفاتوره]]-Table118192023103031323538394041481115182028[[#This Row],[الدفعات]]</f>
        <v>712185.53</v>
      </c>
      <c r="N59" s="48"/>
    </row>
    <row r="60" spans="2:14" ht="24" customHeight="1" x14ac:dyDescent="0.3">
      <c r="C60" s="2"/>
      <c r="J6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60" s="1">
        <f>L59+Table118192023103031323538394041481115182028[[#This Row],[اجمالي الفاتوره]]-Table118192023103031323538394041481115182028[[#This Row],[الدفعات]]</f>
        <v>712185.53</v>
      </c>
      <c r="N60" s="48"/>
    </row>
    <row r="61" spans="2:14" ht="24" customHeight="1" x14ac:dyDescent="0.3">
      <c r="C61" s="2"/>
      <c r="J6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61" s="1">
        <f>L60+Table118192023103031323538394041481115182028[[#This Row],[اجمالي الفاتوره]]-Table118192023103031323538394041481115182028[[#This Row],[الدفعات]]</f>
        <v>712185.53</v>
      </c>
      <c r="N61" s="48"/>
    </row>
    <row r="62" spans="2:14" ht="24" customHeight="1" x14ac:dyDescent="0.3">
      <c r="C62" s="2"/>
      <c r="J6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62" s="1">
        <f>L61+Table118192023103031323538394041481115182028[[#This Row],[اجمالي الفاتوره]]-Table118192023103031323538394041481115182028[[#This Row],[الدفعات]]</f>
        <v>712185.53</v>
      </c>
      <c r="N62" s="48"/>
    </row>
    <row r="63" spans="2:14" ht="24" customHeight="1" x14ac:dyDescent="0.3">
      <c r="C63" s="2"/>
      <c r="J6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63" s="1">
        <f>L62+Table118192023103031323538394041481115182028[[#This Row],[اجمالي الفاتوره]]-Table118192023103031323538394041481115182028[[#This Row],[الدفعات]]</f>
        <v>712185.53</v>
      </c>
      <c r="N63" s="48"/>
    </row>
    <row r="64" spans="2:14" ht="24" customHeight="1" x14ac:dyDescent="0.3">
      <c r="C64" s="2"/>
      <c r="J6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64" s="1">
        <f>L63+Table118192023103031323538394041481115182028[[#This Row],[اجمالي الفاتوره]]-Table118192023103031323538394041481115182028[[#This Row],[الدفعات]]</f>
        <v>712185.53</v>
      </c>
      <c r="N64" s="48"/>
    </row>
    <row r="65" spans="3:14" ht="24" customHeight="1" x14ac:dyDescent="0.3">
      <c r="C65" s="2"/>
      <c r="J6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65" s="1">
        <f>L64+Table118192023103031323538394041481115182028[[#This Row],[اجمالي الفاتوره]]-Table118192023103031323538394041481115182028[[#This Row],[الدفعات]]</f>
        <v>712185.53</v>
      </c>
      <c r="N65" s="48"/>
    </row>
    <row r="66" spans="3:14" ht="24" customHeight="1" x14ac:dyDescent="0.3">
      <c r="C66" s="2"/>
      <c r="J6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66" s="1">
        <f>L65+Table118192023103031323538394041481115182028[[#This Row],[اجمالي الفاتوره]]-Table118192023103031323538394041481115182028[[#This Row],[الدفعات]]</f>
        <v>712185.53</v>
      </c>
      <c r="N66" s="48"/>
    </row>
    <row r="67" spans="3:14" ht="24" customHeight="1" x14ac:dyDescent="0.3">
      <c r="C67" s="2"/>
      <c r="J6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67" s="1">
        <f>L66+Table118192023103031323538394041481115182028[[#This Row],[اجمالي الفاتوره]]-Table118192023103031323538394041481115182028[[#This Row],[الدفعات]]</f>
        <v>712185.53</v>
      </c>
      <c r="N67" s="48"/>
    </row>
    <row r="68" spans="3:14" ht="24" customHeight="1" x14ac:dyDescent="0.3">
      <c r="C68" s="2"/>
      <c r="J6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68" s="1">
        <f>L67+Table118192023103031323538394041481115182028[[#This Row],[اجمالي الفاتوره]]-Table118192023103031323538394041481115182028[[#This Row],[الدفعات]]</f>
        <v>712185.53</v>
      </c>
      <c r="N68" s="48"/>
    </row>
    <row r="69" spans="3:14" ht="24" customHeight="1" x14ac:dyDescent="0.3">
      <c r="C69" s="2"/>
      <c r="J6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69" s="1">
        <f>L68+Table118192023103031323538394041481115182028[[#This Row],[اجمالي الفاتوره]]-Table118192023103031323538394041481115182028[[#This Row],[الدفعات]]</f>
        <v>712185.53</v>
      </c>
      <c r="N69" s="48"/>
    </row>
    <row r="70" spans="3:14" ht="24" customHeight="1" x14ac:dyDescent="0.3">
      <c r="C70" s="2"/>
      <c r="J7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70" s="1">
        <f>L69+Table118192023103031323538394041481115182028[[#This Row],[اجمالي الفاتوره]]-Table118192023103031323538394041481115182028[[#This Row],[الدفعات]]</f>
        <v>712185.53</v>
      </c>
      <c r="N70" s="48"/>
    </row>
    <row r="71" spans="3:14" ht="24" customHeight="1" x14ac:dyDescent="0.3">
      <c r="C71" s="2"/>
      <c r="J7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71" s="1">
        <f>L70+Table118192023103031323538394041481115182028[[#This Row],[اجمالي الفاتوره]]-Table118192023103031323538394041481115182028[[#This Row],[الدفعات]]</f>
        <v>712185.53</v>
      </c>
      <c r="N71" s="48"/>
    </row>
    <row r="72" spans="3:14" ht="24" customHeight="1" x14ac:dyDescent="0.3">
      <c r="C72" s="2"/>
      <c r="J7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72" s="1">
        <f>L71+Table118192023103031323538394041481115182028[[#This Row],[اجمالي الفاتوره]]-Table118192023103031323538394041481115182028[[#This Row],[الدفعات]]</f>
        <v>712185.53</v>
      </c>
      <c r="N72" s="48"/>
    </row>
    <row r="73" spans="3:14" ht="24" customHeight="1" x14ac:dyDescent="0.3">
      <c r="C73" s="2"/>
      <c r="J7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73" s="1">
        <f>L72+Table118192023103031323538394041481115182028[[#This Row],[اجمالي الفاتوره]]-Table118192023103031323538394041481115182028[[#This Row],[الدفعات]]</f>
        <v>712185.53</v>
      </c>
      <c r="N73" s="48"/>
    </row>
    <row r="74" spans="3:14" ht="24" customHeight="1" x14ac:dyDescent="0.3">
      <c r="C74" s="2"/>
      <c r="J7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74" s="1">
        <f>L73+Table118192023103031323538394041481115182028[[#This Row],[اجمالي الفاتوره]]-Table118192023103031323538394041481115182028[[#This Row],[الدفعات]]</f>
        <v>712185.53</v>
      </c>
      <c r="N74" s="48"/>
    </row>
    <row r="75" spans="3:14" ht="24" customHeight="1" x14ac:dyDescent="0.3">
      <c r="J7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75" s="1">
        <f>L74+Table118192023103031323538394041481115182028[[#This Row],[اجمالي الفاتوره]]-Table118192023103031323538394041481115182028[[#This Row],[الدفعات]]</f>
        <v>712185.53</v>
      </c>
      <c r="N75" s="48"/>
    </row>
    <row r="76" spans="3:14" ht="24" customHeight="1" x14ac:dyDescent="0.3">
      <c r="J7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76" s="1">
        <f>L75+Table118192023103031323538394041481115182028[[#This Row],[اجمالي الفاتوره]]-Table118192023103031323538394041481115182028[[#This Row],[الدفعات]]</f>
        <v>712185.53</v>
      </c>
      <c r="N76" s="48"/>
    </row>
    <row r="77" spans="3:14" ht="24" customHeight="1" x14ac:dyDescent="0.3">
      <c r="J7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77" s="1">
        <f>L76+Table118192023103031323538394041481115182028[[#This Row],[اجمالي الفاتوره]]-Table118192023103031323538394041481115182028[[#This Row],[الدفعات]]</f>
        <v>712185.53</v>
      </c>
      <c r="N77" s="48"/>
    </row>
    <row r="78" spans="3:14" ht="24" customHeight="1" x14ac:dyDescent="0.3">
      <c r="J7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78" s="1">
        <f>L77+Table118192023103031323538394041481115182028[[#This Row],[اجمالي الفاتوره]]-Table118192023103031323538394041481115182028[[#This Row],[الدفعات]]</f>
        <v>712185.53</v>
      </c>
      <c r="N78" s="48"/>
    </row>
    <row r="79" spans="3:14" ht="24" customHeight="1" x14ac:dyDescent="0.3">
      <c r="J7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79" s="1">
        <f>L78+Table118192023103031323538394041481115182028[[#This Row],[اجمالي الفاتوره]]-Table118192023103031323538394041481115182028[[#This Row],[الدفعات]]</f>
        <v>712185.53</v>
      </c>
      <c r="N79" s="48"/>
    </row>
    <row r="80" spans="3:14" ht="24" customHeight="1" x14ac:dyDescent="0.3">
      <c r="J8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80" s="1">
        <f>L79+Table118192023103031323538394041481115182028[[#This Row],[اجمالي الفاتوره]]-Table118192023103031323538394041481115182028[[#This Row],[الدفعات]]</f>
        <v>712185.53</v>
      </c>
      <c r="N80" s="48"/>
    </row>
    <row r="81" spans="10:14" ht="24" customHeight="1" x14ac:dyDescent="0.3">
      <c r="J8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81" s="1">
        <f>L80+Table118192023103031323538394041481115182028[[#This Row],[اجمالي الفاتوره]]-Table118192023103031323538394041481115182028[[#This Row],[الدفعات]]</f>
        <v>712185.53</v>
      </c>
      <c r="N81" s="48"/>
    </row>
    <row r="82" spans="10:14" ht="24" customHeight="1" x14ac:dyDescent="0.3">
      <c r="J8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82" s="1">
        <f>L81+Table118192023103031323538394041481115182028[[#This Row],[اجمالي الفاتوره]]-Table118192023103031323538394041481115182028[[#This Row],[الدفعات]]</f>
        <v>712185.53</v>
      </c>
      <c r="N82" s="48"/>
    </row>
    <row r="83" spans="10:14" ht="24" customHeight="1" x14ac:dyDescent="0.3">
      <c r="J8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83" s="1">
        <f>L82+Table118192023103031323538394041481115182028[[#This Row],[اجمالي الفاتوره]]-Table118192023103031323538394041481115182028[[#This Row],[الدفعات]]</f>
        <v>712185.53</v>
      </c>
      <c r="N83" s="48"/>
    </row>
    <row r="84" spans="10:14" ht="24" customHeight="1" x14ac:dyDescent="0.3">
      <c r="J8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84" s="1">
        <f>L83+Table118192023103031323538394041481115182028[[#This Row],[اجمالي الفاتوره]]-Table118192023103031323538394041481115182028[[#This Row],[الدفعات]]</f>
        <v>712185.53</v>
      </c>
      <c r="N84" s="48"/>
    </row>
    <row r="85" spans="10:14" ht="24" customHeight="1" x14ac:dyDescent="0.3">
      <c r="J8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85" s="1">
        <f>L84+Table118192023103031323538394041481115182028[[#This Row],[اجمالي الفاتوره]]-Table118192023103031323538394041481115182028[[#This Row],[الدفعات]]</f>
        <v>712185.53</v>
      </c>
      <c r="N85" s="48"/>
    </row>
    <row r="86" spans="10:14" ht="24" customHeight="1" x14ac:dyDescent="0.3">
      <c r="J8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86" s="1">
        <f>L85+Table118192023103031323538394041481115182028[[#This Row],[اجمالي الفاتوره]]-Table118192023103031323538394041481115182028[[#This Row],[الدفعات]]</f>
        <v>712185.53</v>
      </c>
      <c r="N86" s="48"/>
    </row>
    <row r="87" spans="10:14" ht="24" customHeight="1" x14ac:dyDescent="0.3">
      <c r="J8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87" s="1">
        <f>L86+Table118192023103031323538394041481115182028[[#This Row],[اجمالي الفاتوره]]-Table118192023103031323538394041481115182028[[#This Row],[الدفعات]]</f>
        <v>712185.53</v>
      </c>
      <c r="N87" s="48"/>
    </row>
    <row r="88" spans="10:14" ht="24" customHeight="1" x14ac:dyDescent="0.3">
      <c r="J8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88" s="1">
        <f>L87+Table118192023103031323538394041481115182028[[#This Row],[اجمالي الفاتوره]]-Table118192023103031323538394041481115182028[[#This Row],[الدفعات]]</f>
        <v>712185.53</v>
      </c>
      <c r="N88" s="48"/>
    </row>
    <row r="89" spans="10:14" ht="24" customHeight="1" x14ac:dyDescent="0.3">
      <c r="J8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89" s="1">
        <f>L88+Table118192023103031323538394041481115182028[[#This Row],[اجمالي الفاتوره]]-Table118192023103031323538394041481115182028[[#This Row],[الدفعات]]</f>
        <v>712185.53</v>
      </c>
      <c r="N89" s="48"/>
    </row>
    <row r="90" spans="10:14" ht="24" customHeight="1" x14ac:dyDescent="0.3">
      <c r="J9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90" s="1">
        <f>L89+Table118192023103031323538394041481115182028[[#This Row],[اجمالي الفاتوره]]-Table118192023103031323538394041481115182028[[#This Row],[الدفعات]]</f>
        <v>712185.53</v>
      </c>
      <c r="N90" s="48"/>
    </row>
    <row r="91" spans="10:14" ht="24" customHeight="1" x14ac:dyDescent="0.3">
      <c r="J9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91" s="1">
        <f>L90+Table118192023103031323538394041481115182028[[#This Row],[اجمالي الفاتوره]]-Table118192023103031323538394041481115182028[[#This Row],[الدفعات]]</f>
        <v>712185.53</v>
      </c>
      <c r="N91" s="48"/>
    </row>
    <row r="92" spans="10:14" ht="24" customHeight="1" x14ac:dyDescent="0.3">
      <c r="J9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92" s="1">
        <f>L91+Table118192023103031323538394041481115182028[[#This Row],[اجمالي الفاتوره]]-Table118192023103031323538394041481115182028[[#This Row],[الدفعات]]</f>
        <v>712185.53</v>
      </c>
      <c r="N92" s="48"/>
    </row>
    <row r="93" spans="10:14" ht="24" customHeight="1" x14ac:dyDescent="0.3">
      <c r="J9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93" s="1">
        <f>L92+Table118192023103031323538394041481115182028[[#This Row],[اجمالي الفاتوره]]-Table118192023103031323538394041481115182028[[#This Row],[الدفعات]]</f>
        <v>712185.53</v>
      </c>
      <c r="N93" s="48"/>
    </row>
    <row r="94" spans="10:14" ht="24" customHeight="1" x14ac:dyDescent="0.3">
      <c r="J9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94" s="1">
        <f>L93+Table118192023103031323538394041481115182028[[#This Row],[اجمالي الفاتوره]]-Table118192023103031323538394041481115182028[[#This Row],[الدفعات]]</f>
        <v>712185.53</v>
      </c>
      <c r="N94" s="48"/>
    </row>
    <row r="95" spans="10:14" ht="24" customHeight="1" x14ac:dyDescent="0.3">
      <c r="J9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95" s="1">
        <f>L94+Table118192023103031323538394041481115182028[[#This Row],[اجمالي الفاتوره]]-Table118192023103031323538394041481115182028[[#This Row],[الدفعات]]</f>
        <v>712185.53</v>
      </c>
      <c r="N95" s="48"/>
    </row>
    <row r="96" spans="10:14" ht="24" customHeight="1" x14ac:dyDescent="0.3">
      <c r="J9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96" s="1">
        <f>L95+Table118192023103031323538394041481115182028[[#This Row],[اجمالي الفاتوره]]-Table118192023103031323538394041481115182028[[#This Row],[الدفعات]]</f>
        <v>712185.53</v>
      </c>
      <c r="N96" s="48"/>
    </row>
    <row r="97" spans="10:14" ht="24" customHeight="1" x14ac:dyDescent="0.3">
      <c r="J9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97" s="1">
        <f>L96+Table118192023103031323538394041481115182028[[#This Row],[اجمالي الفاتوره]]-Table118192023103031323538394041481115182028[[#This Row],[الدفعات]]</f>
        <v>712185.53</v>
      </c>
      <c r="N97" s="48"/>
    </row>
    <row r="98" spans="10:14" ht="24" customHeight="1" x14ac:dyDescent="0.3">
      <c r="J9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98" s="1">
        <f>L97+Table118192023103031323538394041481115182028[[#This Row],[اجمالي الفاتوره]]-Table118192023103031323538394041481115182028[[#This Row],[الدفعات]]</f>
        <v>712185.53</v>
      </c>
      <c r="N98" s="48"/>
    </row>
    <row r="99" spans="10:14" ht="24" customHeight="1" x14ac:dyDescent="0.3">
      <c r="J9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99" s="1">
        <f>L98+Table118192023103031323538394041481115182028[[#This Row],[اجمالي الفاتوره]]-Table118192023103031323538394041481115182028[[#This Row],[الدفعات]]</f>
        <v>712185.53</v>
      </c>
      <c r="N99" s="48"/>
    </row>
    <row r="100" spans="10:14" ht="24" customHeight="1" x14ac:dyDescent="0.3">
      <c r="J10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00" s="1">
        <f>L99+Table118192023103031323538394041481115182028[[#This Row],[اجمالي الفاتوره]]-Table118192023103031323538394041481115182028[[#This Row],[الدفعات]]</f>
        <v>712185.53</v>
      </c>
      <c r="N100" s="48"/>
    </row>
    <row r="101" spans="10:14" ht="24" customHeight="1" x14ac:dyDescent="0.3">
      <c r="J10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01" s="1">
        <f>L100+Table118192023103031323538394041481115182028[[#This Row],[اجمالي الفاتوره]]-Table118192023103031323538394041481115182028[[#This Row],[الدفعات]]</f>
        <v>712185.53</v>
      </c>
      <c r="N101" s="48"/>
    </row>
    <row r="102" spans="10:14" ht="24" customHeight="1" x14ac:dyDescent="0.3">
      <c r="J10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02" s="1">
        <f>L101+Table118192023103031323538394041481115182028[[#This Row],[اجمالي الفاتوره]]-Table118192023103031323538394041481115182028[[#This Row],[الدفعات]]</f>
        <v>712185.53</v>
      </c>
      <c r="N102" s="48"/>
    </row>
    <row r="103" spans="10:14" ht="24" customHeight="1" x14ac:dyDescent="0.3">
      <c r="J10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03" s="1">
        <f>L102+Table118192023103031323538394041481115182028[[#This Row],[اجمالي الفاتوره]]-Table118192023103031323538394041481115182028[[#This Row],[الدفعات]]</f>
        <v>712185.53</v>
      </c>
      <c r="N103" s="48"/>
    </row>
    <row r="104" spans="10:14" ht="24" customHeight="1" x14ac:dyDescent="0.3">
      <c r="J10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04" s="1">
        <f>L103+Table118192023103031323538394041481115182028[[#This Row],[اجمالي الفاتوره]]-Table118192023103031323538394041481115182028[[#This Row],[الدفعات]]</f>
        <v>712185.53</v>
      </c>
      <c r="N104" s="48"/>
    </row>
    <row r="105" spans="10:14" ht="24" customHeight="1" x14ac:dyDescent="0.3">
      <c r="J10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05" s="1">
        <f>L104+Table118192023103031323538394041481115182028[[#This Row],[اجمالي الفاتوره]]-Table118192023103031323538394041481115182028[[#This Row],[الدفعات]]</f>
        <v>712185.53</v>
      </c>
      <c r="N105" s="48"/>
    </row>
    <row r="106" spans="10:14" ht="24" customHeight="1" x14ac:dyDescent="0.3">
      <c r="J10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06" s="1">
        <f>L105+Table118192023103031323538394041481115182028[[#This Row],[اجمالي الفاتوره]]-Table118192023103031323538394041481115182028[[#This Row],[الدفعات]]</f>
        <v>712185.53</v>
      </c>
      <c r="N106" s="48"/>
    </row>
    <row r="107" spans="10:14" ht="24" customHeight="1" x14ac:dyDescent="0.3">
      <c r="J10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07" s="1">
        <f>L106+Table118192023103031323538394041481115182028[[#This Row],[اجمالي الفاتوره]]-Table118192023103031323538394041481115182028[[#This Row],[الدفعات]]</f>
        <v>712185.53</v>
      </c>
      <c r="N107" s="48"/>
    </row>
    <row r="108" spans="10:14" ht="24" customHeight="1" x14ac:dyDescent="0.3">
      <c r="J10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08" s="1">
        <f>L107+Table118192023103031323538394041481115182028[[#This Row],[اجمالي الفاتوره]]-Table118192023103031323538394041481115182028[[#This Row],[الدفعات]]</f>
        <v>712185.53</v>
      </c>
      <c r="N108" s="48"/>
    </row>
    <row r="109" spans="10:14" ht="24" customHeight="1" x14ac:dyDescent="0.3">
      <c r="J10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09" s="1">
        <f>L108+Table118192023103031323538394041481115182028[[#This Row],[اجمالي الفاتوره]]-Table118192023103031323538394041481115182028[[#This Row],[الدفعات]]</f>
        <v>712185.53</v>
      </c>
      <c r="N109" s="48"/>
    </row>
    <row r="110" spans="10:14" ht="24" customHeight="1" x14ac:dyDescent="0.3">
      <c r="J11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10" s="1">
        <f>L109+Table118192023103031323538394041481115182028[[#This Row],[اجمالي الفاتوره]]-Table118192023103031323538394041481115182028[[#This Row],[الدفعات]]</f>
        <v>712185.53</v>
      </c>
      <c r="N110" s="48"/>
    </row>
    <row r="111" spans="10:14" ht="24" customHeight="1" x14ac:dyDescent="0.3">
      <c r="J11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11" s="1">
        <f>L110+Table118192023103031323538394041481115182028[[#This Row],[اجمالي الفاتوره]]-Table118192023103031323538394041481115182028[[#This Row],[الدفعات]]</f>
        <v>712185.53</v>
      </c>
      <c r="N111" s="48"/>
    </row>
    <row r="112" spans="10:14" ht="24" customHeight="1" x14ac:dyDescent="0.3">
      <c r="J11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12" s="1">
        <f>L111+Table118192023103031323538394041481115182028[[#This Row],[اجمالي الفاتوره]]-Table118192023103031323538394041481115182028[[#This Row],[الدفعات]]</f>
        <v>712185.53</v>
      </c>
      <c r="N112" s="48"/>
    </row>
    <row r="113" spans="1:14" ht="24" customHeight="1" x14ac:dyDescent="0.3">
      <c r="J11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13" s="1">
        <f>L112+Table118192023103031323538394041481115182028[[#This Row],[اجمالي الفاتوره]]-Table118192023103031323538394041481115182028[[#This Row],[الدفعات]]</f>
        <v>712185.53</v>
      </c>
      <c r="N113" s="48"/>
    </row>
    <row r="114" spans="1:14" ht="24" customHeight="1" x14ac:dyDescent="0.3">
      <c r="J11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14" s="1">
        <f>L113+Table118192023103031323538394041481115182028[[#This Row],[اجمالي الفاتوره]]-Table118192023103031323538394041481115182028[[#This Row],[الدفعات]]</f>
        <v>712185.53</v>
      </c>
      <c r="N114" s="48"/>
    </row>
    <row r="115" spans="1:14" ht="24" customHeight="1" x14ac:dyDescent="0.3">
      <c r="J11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15" s="1">
        <f>L114+Table118192023103031323538394041481115182028[[#This Row],[اجمالي الفاتوره]]-Table118192023103031323538394041481115182028[[#This Row],[الدفعات]]</f>
        <v>712185.53</v>
      </c>
      <c r="N115" s="48"/>
    </row>
    <row r="116" spans="1:14" ht="24" customHeight="1" x14ac:dyDescent="0.3">
      <c r="J11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16" s="1">
        <f>L115+Table118192023103031323538394041481115182028[[#This Row],[اجمالي الفاتوره]]-Table118192023103031323538394041481115182028[[#This Row],[الدفعات]]</f>
        <v>712185.53</v>
      </c>
      <c r="N116" s="48"/>
    </row>
    <row r="117" spans="1:14" ht="24" customHeight="1" x14ac:dyDescent="0.3">
      <c r="J11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17" s="1">
        <f>L116+Table118192023103031323538394041481115182028[[#This Row],[اجمالي الفاتوره]]-Table118192023103031323538394041481115182028[[#This Row],[الدفعات]]</f>
        <v>712185.53</v>
      </c>
      <c r="N117" s="48"/>
    </row>
    <row r="118" spans="1:14" ht="24" customHeight="1" x14ac:dyDescent="0.3">
      <c r="J11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18" s="1">
        <f>L117+Table118192023103031323538394041481115182028[[#This Row],[اجمالي الفاتوره]]-Table118192023103031323538394041481115182028[[#This Row],[الدفعات]]</f>
        <v>712185.53</v>
      </c>
      <c r="N118" s="48"/>
    </row>
    <row r="119" spans="1:14" ht="24" customHeight="1" x14ac:dyDescent="0.3">
      <c r="J11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19" s="1">
        <f>L118+Table118192023103031323538394041481115182028[[#This Row],[اجمالي الفاتوره]]-Table118192023103031323538394041481115182028[[#This Row],[الدفعات]]</f>
        <v>712185.53</v>
      </c>
      <c r="N119" s="48"/>
    </row>
    <row r="120" spans="1:14" ht="24" customHeight="1" x14ac:dyDescent="0.3">
      <c r="A120" s="1"/>
      <c r="J12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20" s="1">
        <f>L119+Table118192023103031323538394041481115182028[[#This Row],[اجمالي الفاتوره]]-Table118192023103031323538394041481115182028[[#This Row],[الدفعات]]</f>
        <v>712185.53</v>
      </c>
      <c r="N120" s="48"/>
    </row>
    <row r="121" spans="1:14" ht="24" customHeight="1" x14ac:dyDescent="0.3">
      <c r="A121" s="1"/>
      <c r="J12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21" s="1">
        <f>L120+Table118192023103031323538394041481115182028[[#This Row],[اجمالي الفاتوره]]-Table118192023103031323538394041481115182028[[#This Row],[الدفعات]]</f>
        <v>712185.53</v>
      </c>
      <c r="N121" s="48"/>
    </row>
    <row r="122" spans="1:14" ht="24" customHeight="1" x14ac:dyDescent="0.3">
      <c r="A122" s="1"/>
      <c r="J12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22" s="1">
        <f>L121+Table118192023103031323538394041481115182028[[#This Row],[اجمالي الفاتوره]]-Table118192023103031323538394041481115182028[[#This Row],[الدفعات]]</f>
        <v>712185.53</v>
      </c>
      <c r="N122" s="48"/>
    </row>
    <row r="123" spans="1:14" ht="24" customHeight="1" x14ac:dyDescent="0.3">
      <c r="A123" s="1"/>
      <c r="J12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23" s="1">
        <f>L122+Table118192023103031323538394041481115182028[[#This Row],[اجمالي الفاتوره]]-Table118192023103031323538394041481115182028[[#This Row],[الدفعات]]</f>
        <v>712185.53</v>
      </c>
      <c r="N123" s="48"/>
    </row>
    <row r="124" spans="1:14" ht="24" customHeight="1" x14ac:dyDescent="0.3">
      <c r="A124" s="1"/>
      <c r="J12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24" s="1">
        <f>L123+Table118192023103031323538394041481115182028[[#This Row],[اجمالي الفاتوره]]-Table118192023103031323538394041481115182028[[#This Row],[الدفعات]]</f>
        <v>712185.53</v>
      </c>
      <c r="N124" s="48"/>
    </row>
    <row r="125" spans="1:14" ht="24" customHeight="1" x14ac:dyDescent="0.3">
      <c r="A125" s="1"/>
      <c r="J12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25" s="1">
        <f>L124+Table118192023103031323538394041481115182028[[#This Row],[اجمالي الفاتوره]]-Table118192023103031323538394041481115182028[[#This Row],[الدفعات]]</f>
        <v>712185.53</v>
      </c>
      <c r="N125" s="48"/>
    </row>
    <row r="126" spans="1:14" ht="24" customHeight="1" x14ac:dyDescent="0.3">
      <c r="A126" s="1"/>
      <c r="J12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26" s="1">
        <f>L125+Table118192023103031323538394041481115182028[[#This Row],[اجمالي الفاتوره]]-Table118192023103031323538394041481115182028[[#This Row],[الدفعات]]</f>
        <v>712185.53</v>
      </c>
      <c r="N126" s="48"/>
    </row>
    <row r="127" spans="1:14" ht="24" customHeight="1" x14ac:dyDescent="0.3">
      <c r="A127" s="1"/>
      <c r="J12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27" s="1">
        <f>L126+Table118192023103031323538394041481115182028[[#This Row],[اجمالي الفاتوره]]-Table118192023103031323538394041481115182028[[#This Row],[الدفعات]]</f>
        <v>712185.53</v>
      </c>
      <c r="N127" s="48"/>
    </row>
    <row r="128" spans="1:14" ht="24" customHeight="1" x14ac:dyDescent="0.3">
      <c r="A128" s="1"/>
      <c r="J12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28" s="1">
        <f>L127+Table118192023103031323538394041481115182028[[#This Row],[اجمالي الفاتوره]]-Table118192023103031323538394041481115182028[[#This Row],[الدفعات]]</f>
        <v>712185.53</v>
      </c>
      <c r="N128" s="48"/>
    </row>
    <row r="129" spans="1:14" ht="24" customHeight="1" x14ac:dyDescent="0.3">
      <c r="A129" s="1"/>
      <c r="J12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29" s="1">
        <f>L128+Table118192023103031323538394041481115182028[[#This Row],[اجمالي الفاتوره]]-Table118192023103031323538394041481115182028[[#This Row],[الدفعات]]</f>
        <v>712185.53</v>
      </c>
      <c r="N129" s="48"/>
    </row>
    <row r="130" spans="1:14" ht="24" customHeight="1" x14ac:dyDescent="0.3">
      <c r="A130" s="1"/>
      <c r="J13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30" s="1">
        <f>L129+Table118192023103031323538394041481115182028[[#This Row],[اجمالي الفاتوره]]-Table118192023103031323538394041481115182028[[#This Row],[الدفعات]]</f>
        <v>712185.53</v>
      </c>
      <c r="N130" s="48"/>
    </row>
    <row r="131" spans="1:14" ht="24" customHeight="1" x14ac:dyDescent="0.3">
      <c r="A131" s="1"/>
      <c r="J13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31" s="1">
        <f>L130+Table118192023103031323538394041481115182028[[#This Row],[اجمالي الفاتوره]]-Table118192023103031323538394041481115182028[[#This Row],[الدفعات]]</f>
        <v>712185.53</v>
      </c>
      <c r="N131" s="48"/>
    </row>
    <row r="132" spans="1:14" ht="24" customHeight="1" x14ac:dyDescent="0.3">
      <c r="A132" s="1"/>
      <c r="J13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32" s="1">
        <f>L131+Table118192023103031323538394041481115182028[[#This Row],[اجمالي الفاتوره]]-Table118192023103031323538394041481115182028[[#This Row],[الدفعات]]</f>
        <v>712185.53</v>
      </c>
      <c r="N132" s="48"/>
    </row>
    <row r="133" spans="1:14" ht="24" customHeight="1" x14ac:dyDescent="0.3">
      <c r="A133" s="1"/>
      <c r="J13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33" s="1">
        <f>L132+Table118192023103031323538394041481115182028[[#This Row],[اجمالي الفاتوره]]-Table118192023103031323538394041481115182028[[#This Row],[الدفعات]]</f>
        <v>712185.53</v>
      </c>
      <c r="N133" s="48"/>
    </row>
    <row r="134" spans="1:14" ht="24" customHeight="1" x14ac:dyDescent="0.3">
      <c r="A134" s="1"/>
      <c r="J13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34" s="1">
        <f>L133+Table118192023103031323538394041481115182028[[#This Row],[اجمالي الفاتوره]]-Table118192023103031323538394041481115182028[[#This Row],[الدفعات]]</f>
        <v>712185.53</v>
      </c>
      <c r="N134" s="48"/>
    </row>
    <row r="135" spans="1:14" ht="24" customHeight="1" x14ac:dyDescent="0.3">
      <c r="A135" s="1"/>
      <c r="J13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35" s="1">
        <f>L134+Table118192023103031323538394041481115182028[[#This Row],[اجمالي الفاتوره]]-Table118192023103031323538394041481115182028[[#This Row],[الدفعات]]</f>
        <v>712185.53</v>
      </c>
      <c r="N135" s="48"/>
    </row>
    <row r="136" spans="1:14" ht="24" customHeight="1" x14ac:dyDescent="0.3">
      <c r="A136" s="1"/>
      <c r="J13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36" s="1">
        <f>L135+Table118192023103031323538394041481115182028[[#This Row],[اجمالي الفاتوره]]-Table118192023103031323538394041481115182028[[#This Row],[الدفعات]]</f>
        <v>712185.53</v>
      </c>
      <c r="N136" s="48"/>
    </row>
    <row r="137" spans="1:14" ht="24" customHeight="1" x14ac:dyDescent="0.3">
      <c r="A137" s="1"/>
      <c r="J13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37" s="1">
        <f>L136+Table118192023103031323538394041481115182028[[#This Row],[اجمالي الفاتوره]]-Table118192023103031323538394041481115182028[[#This Row],[الدفعات]]</f>
        <v>712185.53</v>
      </c>
      <c r="N137" s="48"/>
    </row>
    <row r="138" spans="1:14" ht="24" customHeight="1" x14ac:dyDescent="0.3">
      <c r="A138" s="1"/>
      <c r="J13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38" s="1">
        <f>L137+Table118192023103031323538394041481115182028[[#This Row],[اجمالي الفاتوره]]-Table118192023103031323538394041481115182028[[#This Row],[الدفعات]]</f>
        <v>712185.53</v>
      </c>
      <c r="N138" s="48"/>
    </row>
    <row r="139" spans="1:14" ht="24" customHeight="1" x14ac:dyDescent="0.3">
      <c r="A139" s="1"/>
      <c r="J13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39" s="1">
        <f>L138+Table118192023103031323538394041481115182028[[#This Row],[اجمالي الفاتوره]]-Table118192023103031323538394041481115182028[[#This Row],[الدفعات]]</f>
        <v>712185.53</v>
      </c>
      <c r="N139" s="48"/>
    </row>
    <row r="140" spans="1:14" ht="24" customHeight="1" x14ac:dyDescent="0.3">
      <c r="A140" s="1"/>
      <c r="J14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40" s="1">
        <f>L139+Table118192023103031323538394041481115182028[[#This Row],[اجمالي الفاتوره]]-Table118192023103031323538394041481115182028[[#This Row],[الدفعات]]</f>
        <v>712185.53</v>
      </c>
      <c r="N140" s="48"/>
    </row>
    <row r="141" spans="1:14" ht="24" customHeight="1" x14ac:dyDescent="0.3">
      <c r="A141" s="1"/>
      <c r="J14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41" s="1">
        <f>L140+Table118192023103031323538394041481115182028[[#This Row],[اجمالي الفاتوره]]-Table118192023103031323538394041481115182028[[#This Row],[الدفعات]]</f>
        <v>712185.53</v>
      </c>
      <c r="N141" s="48"/>
    </row>
    <row r="142" spans="1:14" ht="24" customHeight="1" x14ac:dyDescent="0.3">
      <c r="A142" s="1"/>
      <c r="J14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42" s="1">
        <f>L141+Table118192023103031323538394041481115182028[[#This Row],[اجمالي الفاتوره]]-Table118192023103031323538394041481115182028[[#This Row],[الدفعات]]</f>
        <v>712185.53</v>
      </c>
      <c r="N142" s="48"/>
    </row>
    <row r="143" spans="1:14" ht="24" customHeight="1" x14ac:dyDescent="0.3">
      <c r="A143" s="1"/>
      <c r="J14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43" s="1">
        <f>L142+Table118192023103031323538394041481115182028[[#This Row],[اجمالي الفاتوره]]-Table118192023103031323538394041481115182028[[#This Row],[الدفعات]]</f>
        <v>712185.53</v>
      </c>
      <c r="N143" s="48"/>
    </row>
    <row r="144" spans="1:14" ht="24" customHeight="1" x14ac:dyDescent="0.3">
      <c r="A144" s="1"/>
      <c r="J14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44" s="1">
        <f>L143+Table118192023103031323538394041481115182028[[#This Row],[اجمالي الفاتوره]]-Table118192023103031323538394041481115182028[[#This Row],[الدفعات]]</f>
        <v>712185.53</v>
      </c>
      <c r="N144" s="48"/>
    </row>
    <row r="145" spans="1:14" ht="24" customHeight="1" x14ac:dyDescent="0.3">
      <c r="A145" s="1"/>
      <c r="J14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45" s="1">
        <f>L144+Table118192023103031323538394041481115182028[[#This Row],[اجمالي الفاتوره]]-Table118192023103031323538394041481115182028[[#This Row],[الدفعات]]</f>
        <v>712185.53</v>
      </c>
      <c r="N145" s="48"/>
    </row>
    <row r="146" spans="1:14" ht="24" customHeight="1" x14ac:dyDescent="0.3">
      <c r="A146" s="1"/>
      <c r="J14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46" s="1">
        <f>L145+Table118192023103031323538394041481115182028[[#This Row],[اجمالي الفاتوره]]-Table118192023103031323538394041481115182028[[#This Row],[الدفعات]]</f>
        <v>712185.53</v>
      </c>
      <c r="N146" s="48"/>
    </row>
    <row r="147" spans="1:14" ht="24" customHeight="1" x14ac:dyDescent="0.3">
      <c r="A147" s="1"/>
      <c r="J14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47" s="1">
        <f>L146+Table118192023103031323538394041481115182028[[#This Row],[اجمالي الفاتوره]]-Table118192023103031323538394041481115182028[[#This Row],[الدفعات]]</f>
        <v>712185.53</v>
      </c>
      <c r="N147" s="48"/>
    </row>
    <row r="148" spans="1:14" ht="24" customHeight="1" x14ac:dyDescent="0.3">
      <c r="A148" s="1"/>
      <c r="J14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48" s="1">
        <f>L147+Table118192023103031323538394041481115182028[[#This Row],[اجمالي الفاتوره]]-Table118192023103031323538394041481115182028[[#This Row],[الدفعات]]</f>
        <v>712185.53</v>
      </c>
      <c r="N148" s="48"/>
    </row>
    <row r="149" spans="1:14" ht="24" customHeight="1" x14ac:dyDescent="0.3">
      <c r="A149" s="1"/>
      <c r="J14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49" s="1">
        <f>L148+Table118192023103031323538394041481115182028[[#This Row],[اجمالي الفاتوره]]-Table118192023103031323538394041481115182028[[#This Row],[الدفعات]]</f>
        <v>712185.53</v>
      </c>
      <c r="N149" s="48"/>
    </row>
    <row r="150" spans="1:14" ht="24" customHeight="1" x14ac:dyDescent="0.3">
      <c r="A150" s="1"/>
      <c r="J15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50" s="1">
        <f>L149+Table118192023103031323538394041481115182028[[#This Row],[اجمالي الفاتوره]]-Table118192023103031323538394041481115182028[[#This Row],[الدفعات]]</f>
        <v>712185.53</v>
      </c>
      <c r="N150" s="48"/>
    </row>
    <row r="151" spans="1:14" ht="24" customHeight="1" x14ac:dyDescent="0.3">
      <c r="A151" s="1"/>
      <c r="J15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51" s="1">
        <f>L150+Table118192023103031323538394041481115182028[[#This Row],[اجمالي الفاتوره]]-Table118192023103031323538394041481115182028[[#This Row],[الدفعات]]</f>
        <v>712185.53</v>
      </c>
      <c r="N151" s="48"/>
    </row>
    <row r="152" spans="1:14" ht="24" customHeight="1" x14ac:dyDescent="0.3">
      <c r="A152" s="1"/>
      <c r="J15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52" s="1">
        <f>L151+Table118192023103031323538394041481115182028[[#This Row],[اجمالي الفاتوره]]-Table118192023103031323538394041481115182028[[#This Row],[الدفعات]]</f>
        <v>712185.53</v>
      </c>
      <c r="N152" s="48"/>
    </row>
    <row r="153" spans="1:14" ht="24" customHeight="1" x14ac:dyDescent="0.3">
      <c r="A153" s="1"/>
      <c r="J15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53" s="1">
        <f>L152+Table118192023103031323538394041481115182028[[#This Row],[اجمالي الفاتوره]]-Table118192023103031323538394041481115182028[[#This Row],[الدفعات]]</f>
        <v>712185.53</v>
      </c>
      <c r="N153" s="48"/>
    </row>
    <row r="154" spans="1:14" ht="24" customHeight="1" x14ac:dyDescent="0.3">
      <c r="A154" s="1"/>
      <c r="J15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54" s="1">
        <f>L153+Table118192023103031323538394041481115182028[[#This Row],[اجمالي الفاتوره]]-Table118192023103031323538394041481115182028[[#This Row],[الدفعات]]</f>
        <v>712185.53</v>
      </c>
      <c r="N154" s="48"/>
    </row>
    <row r="155" spans="1:14" ht="24" customHeight="1" x14ac:dyDescent="0.3">
      <c r="A155" s="1"/>
      <c r="J15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55" s="1">
        <f>L154+Table118192023103031323538394041481115182028[[#This Row],[اجمالي الفاتوره]]-Table118192023103031323538394041481115182028[[#This Row],[الدفعات]]</f>
        <v>712185.53</v>
      </c>
      <c r="N155" s="48"/>
    </row>
    <row r="156" spans="1:14" ht="24" customHeight="1" x14ac:dyDescent="0.3">
      <c r="A156" s="1"/>
      <c r="J15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56" s="1">
        <f>L155+Table118192023103031323538394041481115182028[[#This Row],[اجمالي الفاتوره]]-Table118192023103031323538394041481115182028[[#This Row],[الدفعات]]</f>
        <v>712185.53</v>
      </c>
      <c r="N156" s="48"/>
    </row>
    <row r="157" spans="1:14" ht="24" customHeight="1" x14ac:dyDescent="0.3">
      <c r="A157" s="1"/>
      <c r="J15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57" s="1">
        <f>L156+Table118192023103031323538394041481115182028[[#This Row],[اجمالي الفاتوره]]-Table118192023103031323538394041481115182028[[#This Row],[الدفعات]]</f>
        <v>712185.53</v>
      </c>
      <c r="N157" s="48"/>
    </row>
    <row r="158" spans="1:14" ht="24" customHeight="1" x14ac:dyDescent="0.3">
      <c r="A158" s="1"/>
      <c r="J15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58" s="1">
        <f>L157+Table118192023103031323538394041481115182028[[#This Row],[اجمالي الفاتوره]]-Table118192023103031323538394041481115182028[[#This Row],[الدفعات]]</f>
        <v>712185.53</v>
      </c>
      <c r="N158" s="48"/>
    </row>
    <row r="159" spans="1:14" ht="24" customHeight="1" x14ac:dyDescent="0.3">
      <c r="A159" s="1"/>
      <c r="J15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59" s="1">
        <f>L158+Table118192023103031323538394041481115182028[[#This Row],[اجمالي الفاتوره]]-Table118192023103031323538394041481115182028[[#This Row],[الدفعات]]</f>
        <v>712185.53</v>
      </c>
      <c r="N159" s="48"/>
    </row>
    <row r="160" spans="1:14" ht="24" customHeight="1" x14ac:dyDescent="0.3">
      <c r="A160" s="1"/>
      <c r="J16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60" s="1">
        <f>L159+Table118192023103031323538394041481115182028[[#This Row],[اجمالي الفاتوره]]-Table118192023103031323538394041481115182028[[#This Row],[الدفعات]]</f>
        <v>712185.53</v>
      </c>
      <c r="N160" s="48"/>
    </row>
    <row r="161" spans="1:14" ht="24" customHeight="1" x14ac:dyDescent="0.3">
      <c r="A161" s="1"/>
      <c r="J16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61" s="1">
        <f>L160+Table118192023103031323538394041481115182028[[#This Row],[اجمالي الفاتوره]]-Table118192023103031323538394041481115182028[[#This Row],[الدفعات]]</f>
        <v>712185.53</v>
      </c>
      <c r="N161" s="48"/>
    </row>
    <row r="162" spans="1:14" ht="24" customHeight="1" x14ac:dyDescent="0.3">
      <c r="A162" s="1"/>
      <c r="J16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62" s="1">
        <f>L161+Table118192023103031323538394041481115182028[[#This Row],[اجمالي الفاتوره]]-Table118192023103031323538394041481115182028[[#This Row],[الدفعات]]</f>
        <v>712185.53</v>
      </c>
      <c r="N162" s="48"/>
    </row>
    <row r="163" spans="1:14" ht="24" customHeight="1" x14ac:dyDescent="0.3">
      <c r="A163" s="1"/>
      <c r="J16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63" s="1">
        <f>L162+Table118192023103031323538394041481115182028[[#This Row],[اجمالي الفاتوره]]-Table118192023103031323538394041481115182028[[#This Row],[الدفعات]]</f>
        <v>712185.53</v>
      </c>
      <c r="N163" s="48"/>
    </row>
    <row r="164" spans="1:14" ht="24" customHeight="1" x14ac:dyDescent="0.3">
      <c r="A164" s="1"/>
      <c r="J16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64" s="1">
        <f>L163+Table118192023103031323538394041481115182028[[#This Row],[اجمالي الفاتوره]]-Table118192023103031323538394041481115182028[[#This Row],[الدفعات]]</f>
        <v>712185.53</v>
      </c>
      <c r="N164" s="48"/>
    </row>
    <row r="165" spans="1:14" ht="24" customHeight="1" x14ac:dyDescent="0.3">
      <c r="A165" s="1"/>
      <c r="J16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65" s="1">
        <f>L164+Table118192023103031323538394041481115182028[[#This Row],[اجمالي الفاتوره]]-Table118192023103031323538394041481115182028[[#This Row],[الدفعات]]</f>
        <v>712185.53</v>
      </c>
      <c r="N165" s="48"/>
    </row>
    <row r="166" spans="1:14" ht="24" customHeight="1" x14ac:dyDescent="0.3">
      <c r="A166" s="1"/>
      <c r="J16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66" s="1">
        <f>L165+Table118192023103031323538394041481115182028[[#This Row],[اجمالي الفاتوره]]-Table118192023103031323538394041481115182028[[#This Row],[الدفعات]]</f>
        <v>712185.53</v>
      </c>
      <c r="N166" s="48"/>
    </row>
    <row r="167" spans="1:14" ht="24" customHeight="1" x14ac:dyDescent="0.3">
      <c r="A167" s="1"/>
      <c r="J16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67" s="1">
        <f>L166+Table118192023103031323538394041481115182028[[#This Row],[اجمالي الفاتوره]]-Table118192023103031323538394041481115182028[[#This Row],[الدفعات]]</f>
        <v>712185.53</v>
      </c>
      <c r="N167" s="48"/>
    </row>
    <row r="168" spans="1:14" ht="24" customHeight="1" x14ac:dyDescent="0.3">
      <c r="A168" s="1"/>
      <c r="J16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68" s="1">
        <f>L167+Table118192023103031323538394041481115182028[[#This Row],[اجمالي الفاتوره]]-Table118192023103031323538394041481115182028[[#This Row],[الدفعات]]</f>
        <v>712185.53</v>
      </c>
      <c r="N168" s="48"/>
    </row>
    <row r="169" spans="1:14" ht="24" customHeight="1" x14ac:dyDescent="0.3">
      <c r="A169" s="1"/>
      <c r="J16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69" s="1">
        <f>L168+Table118192023103031323538394041481115182028[[#This Row],[اجمالي الفاتوره]]-Table118192023103031323538394041481115182028[[#This Row],[الدفعات]]</f>
        <v>712185.53</v>
      </c>
      <c r="N169" s="48"/>
    </row>
    <row r="170" spans="1:14" ht="24" customHeight="1" x14ac:dyDescent="0.3">
      <c r="A170" s="1"/>
      <c r="J17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70" s="1">
        <f>L169+Table118192023103031323538394041481115182028[[#This Row],[اجمالي الفاتوره]]-Table118192023103031323538394041481115182028[[#This Row],[الدفعات]]</f>
        <v>712185.53</v>
      </c>
      <c r="N170" s="48"/>
    </row>
    <row r="171" spans="1:14" ht="24" customHeight="1" x14ac:dyDescent="0.3">
      <c r="A171" s="1"/>
      <c r="J17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71" s="1">
        <f>L170+Table118192023103031323538394041481115182028[[#This Row],[اجمالي الفاتوره]]-Table118192023103031323538394041481115182028[[#This Row],[الدفعات]]</f>
        <v>712185.53</v>
      </c>
      <c r="N171" s="48"/>
    </row>
    <row r="172" spans="1:14" ht="24" customHeight="1" x14ac:dyDescent="0.3">
      <c r="A172" s="1"/>
      <c r="J17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72" s="1">
        <f>L171+Table118192023103031323538394041481115182028[[#This Row],[اجمالي الفاتوره]]-Table118192023103031323538394041481115182028[[#This Row],[الدفعات]]</f>
        <v>712185.53</v>
      </c>
      <c r="N172" s="48"/>
    </row>
    <row r="173" spans="1:14" ht="24" customHeight="1" x14ac:dyDescent="0.3">
      <c r="A173" s="1"/>
      <c r="J17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73" s="1">
        <f>L172+Table118192023103031323538394041481115182028[[#This Row],[اجمالي الفاتوره]]-Table118192023103031323538394041481115182028[[#This Row],[الدفعات]]</f>
        <v>712185.53</v>
      </c>
      <c r="N173" s="48"/>
    </row>
    <row r="174" spans="1:14" ht="24" customHeight="1" x14ac:dyDescent="0.3">
      <c r="A174" s="1"/>
      <c r="J17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74" s="1">
        <f>L173+Table118192023103031323538394041481115182028[[#This Row],[اجمالي الفاتوره]]-Table118192023103031323538394041481115182028[[#This Row],[الدفعات]]</f>
        <v>712185.53</v>
      </c>
      <c r="N174" s="48"/>
    </row>
    <row r="175" spans="1:14" ht="24" customHeight="1" x14ac:dyDescent="0.3">
      <c r="A175" s="1"/>
      <c r="J17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75" s="1">
        <f>L174+Table118192023103031323538394041481115182028[[#This Row],[اجمالي الفاتوره]]-Table118192023103031323538394041481115182028[[#This Row],[الدفعات]]</f>
        <v>712185.53</v>
      </c>
      <c r="N175" s="48"/>
    </row>
    <row r="176" spans="1:14" ht="24" customHeight="1" x14ac:dyDescent="0.3">
      <c r="A176" s="1"/>
      <c r="J17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76" s="1">
        <f>L175+Table118192023103031323538394041481115182028[[#This Row],[اجمالي الفاتوره]]-Table118192023103031323538394041481115182028[[#This Row],[الدفعات]]</f>
        <v>712185.53</v>
      </c>
      <c r="N176" s="48"/>
    </row>
    <row r="177" spans="1:14" ht="24" customHeight="1" x14ac:dyDescent="0.3">
      <c r="A177" s="1"/>
      <c r="J17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77" s="1">
        <f>L176+Table118192023103031323538394041481115182028[[#This Row],[اجمالي الفاتوره]]-Table118192023103031323538394041481115182028[[#This Row],[الدفعات]]</f>
        <v>712185.53</v>
      </c>
      <c r="N177" s="48"/>
    </row>
    <row r="178" spans="1:14" ht="24" customHeight="1" x14ac:dyDescent="0.3">
      <c r="A178" s="1"/>
      <c r="J17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78" s="1">
        <f>L177+Table118192023103031323538394041481115182028[[#This Row],[اجمالي الفاتوره]]-Table118192023103031323538394041481115182028[[#This Row],[الدفعات]]</f>
        <v>712185.53</v>
      </c>
      <c r="N178" s="48"/>
    </row>
    <row r="179" spans="1:14" ht="24" customHeight="1" x14ac:dyDescent="0.3">
      <c r="A179" s="1"/>
      <c r="J17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79" s="1">
        <f>L178+Table118192023103031323538394041481115182028[[#This Row],[اجمالي الفاتوره]]-Table118192023103031323538394041481115182028[[#This Row],[الدفعات]]</f>
        <v>712185.53</v>
      </c>
      <c r="N179" s="48"/>
    </row>
    <row r="180" spans="1:14" ht="24" customHeight="1" x14ac:dyDescent="0.3">
      <c r="A180" s="1"/>
      <c r="J18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80" s="1">
        <f>L179+Table118192023103031323538394041481115182028[[#This Row],[اجمالي الفاتوره]]-Table118192023103031323538394041481115182028[[#This Row],[الدفعات]]</f>
        <v>712185.53</v>
      </c>
      <c r="N180" s="48"/>
    </row>
    <row r="181" spans="1:14" ht="24" customHeight="1" x14ac:dyDescent="0.3">
      <c r="A181" s="1"/>
      <c r="J18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81" s="1">
        <f>L180+Table118192023103031323538394041481115182028[[#This Row],[اجمالي الفاتوره]]-Table118192023103031323538394041481115182028[[#This Row],[الدفعات]]</f>
        <v>712185.53</v>
      </c>
      <c r="N181" s="48"/>
    </row>
    <row r="182" spans="1:14" ht="24" customHeight="1" x14ac:dyDescent="0.3">
      <c r="A182" s="1"/>
      <c r="J18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82" s="1">
        <f>L181+Table118192023103031323538394041481115182028[[#This Row],[اجمالي الفاتوره]]-Table118192023103031323538394041481115182028[[#This Row],[الدفعات]]</f>
        <v>712185.53</v>
      </c>
      <c r="N182" s="48"/>
    </row>
    <row r="183" spans="1:14" ht="24" customHeight="1" x14ac:dyDescent="0.3">
      <c r="A183" s="1"/>
      <c r="J18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83" s="1">
        <f>L182+Table118192023103031323538394041481115182028[[#This Row],[اجمالي الفاتوره]]-Table118192023103031323538394041481115182028[[#This Row],[الدفعات]]</f>
        <v>712185.53</v>
      </c>
      <c r="N183" s="48"/>
    </row>
    <row r="184" spans="1:14" ht="24" customHeight="1" x14ac:dyDescent="0.3">
      <c r="A184" s="1"/>
      <c r="J18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84" s="1">
        <f>L183+Table118192023103031323538394041481115182028[[#This Row],[اجمالي الفاتوره]]-Table118192023103031323538394041481115182028[[#This Row],[الدفعات]]</f>
        <v>712185.53</v>
      </c>
      <c r="N184" s="48"/>
    </row>
    <row r="185" spans="1:14" ht="24" customHeight="1" x14ac:dyDescent="0.3">
      <c r="A185" s="1"/>
      <c r="J18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85" s="1">
        <f>L184+Table118192023103031323538394041481115182028[[#This Row],[اجمالي الفاتوره]]-Table118192023103031323538394041481115182028[[#This Row],[الدفعات]]</f>
        <v>712185.53</v>
      </c>
      <c r="N185" s="48"/>
    </row>
    <row r="186" spans="1:14" ht="24" customHeight="1" x14ac:dyDescent="0.3">
      <c r="A186" s="1"/>
      <c r="J18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86" s="1">
        <f>L185+Table118192023103031323538394041481115182028[[#This Row],[اجمالي الفاتوره]]-Table118192023103031323538394041481115182028[[#This Row],[الدفعات]]</f>
        <v>712185.53</v>
      </c>
      <c r="N186" s="48"/>
    </row>
    <row r="187" spans="1:14" ht="24" customHeight="1" x14ac:dyDescent="0.3">
      <c r="A187" s="1"/>
      <c r="J18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87" s="1">
        <f>L186+Table118192023103031323538394041481115182028[[#This Row],[اجمالي الفاتوره]]-Table118192023103031323538394041481115182028[[#This Row],[الدفعات]]</f>
        <v>712185.53</v>
      </c>
      <c r="N187" s="48"/>
    </row>
    <row r="188" spans="1:14" ht="24" customHeight="1" x14ac:dyDescent="0.3">
      <c r="A188" s="1"/>
      <c r="J18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88" s="1">
        <f>L187+Table118192023103031323538394041481115182028[[#This Row],[اجمالي الفاتوره]]-Table118192023103031323538394041481115182028[[#This Row],[الدفعات]]</f>
        <v>712185.53</v>
      </c>
      <c r="N188" s="48"/>
    </row>
    <row r="189" spans="1:14" ht="24" customHeight="1" x14ac:dyDescent="0.3">
      <c r="A189" s="1"/>
      <c r="J18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89" s="1">
        <f>L188+Table118192023103031323538394041481115182028[[#This Row],[اجمالي الفاتوره]]-Table118192023103031323538394041481115182028[[#This Row],[الدفعات]]</f>
        <v>712185.53</v>
      </c>
      <c r="N189" s="48"/>
    </row>
    <row r="190" spans="1:14" ht="24" customHeight="1" x14ac:dyDescent="0.3">
      <c r="A190" s="1"/>
      <c r="J19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90" s="1">
        <f>L189+Table118192023103031323538394041481115182028[[#This Row],[اجمالي الفاتوره]]-Table118192023103031323538394041481115182028[[#This Row],[الدفعات]]</f>
        <v>712185.53</v>
      </c>
      <c r="N190" s="48"/>
    </row>
    <row r="191" spans="1:14" ht="24" customHeight="1" x14ac:dyDescent="0.3">
      <c r="A191" s="1"/>
      <c r="J19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91" s="1">
        <f>L190+Table118192023103031323538394041481115182028[[#This Row],[اجمالي الفاتوره]]-Table118192023103031323538394041481115182028[[#This Row],[الدفعات]]</f>
        <v>712185.53</v>
      </c>
      <c r="N191" s="48"/>
    </row>
    <row r="192" spans="1:14" ht="24" customHeight="1" x14ac:dyDescent="0.3">
      <c r="A192" s="1"/>
      <c r="J19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92" s="1">
        <f>L191+Table118192023103031323538394041481115182028[[#This Row],[اجمالي الفاتوره]]-Table118192023103031323538394041481115182028[[#This Row],[الدفعات]]</f>
        <v>712185.53</v>
      </c>
      <c r="N192" s="48"/>
    </row>
    <row r="193" spans="1:14" ht="24" customHeight="1" x14ac:dyDescent="0.3">
      <c r="A193" s="1"/>
      <c r="J19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93" s="1">
        <f>L192+Table118192023103031323538394041481115182028[[#This Row],[اجمالي الفاتوره]]-Table118192023103031323538394041481115182028[[#This Row],[الدفعات]]</f>
        <v>712185.53</v>
      </c>
      <c r="N193" s="48"/>
    </row>
    <row r="194" spans="1:14" ht="24" customHeight="1" x14ac:dyDescent="0.3">
      <c r="A194" s="1"/>
      <c r="J19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94" s="1">
        <f>L193+Table118192023103031323538394041481115182028[[#This Row],[اجمالي الفاتوره]]-Table118192023103031323538394041481115182028[[#This Row],[الدفعات]]</f>
        <v>712185.53</v>
      </c>
      <c r="N194" s="48"/>
    </row>
    <row r="195" spans="1:14" ht="24" customHeight="1" x14ac:dyDescent="0.3">
      <c r="A195" s="1"/>
      <c r="J19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95" s="1">
        <f>L194+Table118192023103031323538394041481115182028[[#This Row],[اجمالي الفاتوره]]-Table118192023103031323538394041481115182028[[#This Row],[الدفعات]]</f>
        <v>712185.53</v>
      </c>
      <c r="N195" s="48"/>
    </row>
    <row r="196" spans="1:14" ht="24" customHeight="1" x14ac:dyDescent="0.3">
      <c r="A196" s="1"/>
      <c r="J19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96" s="1">
        <f>L195+Table118192023103031323538394041481115182028[[#This Row],[اجمالي الفاتوره]]-Table118192023103031323538394041481115182028[[#This Row],[الدفعات]]</f>
        <v>712185.53</v>
      </c>
      <c r="N196" s="48"/>
    </row>
    <row r="197" spans="1:14" ht="24" customHeight="1" x14ac:dyDescent="0.3">
      <c r="A197" s="1"/>
      <c r="J19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97" s="1">
        <f>L196+Table118192023103031323538394041481115182028[[#This Row],[اجمالي الفاتوره]]-Table118192023103031323538394041481115182028[[#This Row],[الدفعات]]</f>
        <v>712185.53</v>
      </c>
      <c r="N197" s="48"/>
    </row>
    <row r="198" spans="1:14" ht="24" customHeight="1" x14ac:dyDescent="0.3">
      <c r="A198" s="1"/>
      <c r="J19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98" s="1">
        <f>L197+Table118192023103031323538394041481115182028[[#This Row],[اجمالي الفاتوره]]-Table118192023103031323538394041481115182028[[#This Row],[الدفعات]]</f>
        <v>712185.53</v>
      </c>
      <c r="N198" s="48"/>
    </row>
    <row r="199" spans="1:14" ht="24" customHeight="1" x14ac:dyDescent="0.3">
      <c r="A199" s="1"/>
      <c r="J19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199" s="1">
        <f>L198+Table118192023103031323538394041481115182028[[#This Row],[اجمالي الفاتوره]]-Table118192023103031323538394041481115182028[[#This Row],[الدفعات]]</f>
        <v>712185.53</v>
      </c>
      <c r="N199" s="48"/>
    </row>
    <row r="200" spans="1:14" ht="24" customHeight="1" x14ac:dyDescent="0.3">
      <c r="A200" s="1"/>
      <c r="J20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00" s="1">
        <f>L199+Table118192023103031323538394041481115182028[[#This Row],[اجمالي الفاتوره]]-Table118192023103031323538394041481115182028[[#This Row],[الدفعات]]</f>
        <v>712185.53</v>
      </c>
      <c r="N200" s="48"/>
    </row>
    <row r="201" spans="1:14" ht="24" customHeight="1" x14ac:dyDescent="0.3">
      <c r="A201" s="1"/>
      <c r="J20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01" s="1">
        <f>L200+Table118192023103031323538394041481115182028[[#This Row],[اجمالي الفاتوره]]-Table118192023103031323538394041481115182028[[#This Row],[الدفعات]]</f>
        <v>712185.53</v>
      </c>
      <c r="N201" s="48"/>
    </row>
    <row r="202" spans="1:14" ht="24" customHeight="1" x14ac:dyDescent="0.3">
      <c r="A202" s="1"/>
      <c r="J20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02" s="1">
        <f>L201+Table118192023103031323538394041481115182028[[#This Row],[اجمالي الفاتوره]]-Table118192023103031323538394041481115182028[[#This Row],[الدفعات]]</f>
        <v>712185.53</v>
      </c>
      <c r="N202" s="48"/>
    </row>
    <row r="203" spans="1:14" ht="24" customHeight="1" x14ac:dyDescent="0.3">
      <c r="A203" s="1"/>
      <c r="J20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03" s="1">
        <f>L202+Table118192023103031323538394041481115182028[[#This Row],[اجمالي الفاتوره]]-Table118192023103031323538394041481115182028[[#This Row],[الدفعات]]</f>
        <v>712185.53</v>
      </c>
      <c r="N203" s="48"/>
    </row>
    <row r="204" spans="1:14" ht="24" customHeight="1" x14ac:dyDescent="0.3">
      <c r="A204" s="1"/>
      <c r="J20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04" s="1">
        <f>L203+Table118192023103031323538394041481115182028[[#This Row],[اجمالي الفاتوره]]-Table118192023103031323538394041481115182028[[#This Row],[الدفعات]]</f>
        <v>712185.53</v>
      </c>
      <c r="N204" s="48"/>
    </row>
    <row r="205" spans="1:14" ht="24" customHeight="1" x14ac:dyDescent="0.3">
      <c r="A205" s="1"/>
      <c r="J20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05" s="1">
        <f>L204+Table118192023103031323538394041481115182028[[#This Row],[اجمالي الفاتوره]]-Table118192023103031323538394041481115182028[[#This Row],[الدفعات]]</f>
        <v>712185.53</v>
      </c>
      <c r="N205" s="48"/>
    </row>
    <row r="206" spans="1:14" ht="24" customHeight="1" x14ac:dyDescent="0.3">
      <c r="A206" s="1"/>
      <c r="J20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06" s="1">
        <f>L205+Table118192023103031323538394041481115182028[[#This Row],[اجمالي الفاتوره]]-Table118192023103031323538394041481115182028[[#This Row],[الدفعات]]</f>
        <v>712185.53</v>
      </c>
      <c r="N206" s="48"/>
    </row>
    <row r="207" spans="1:14" ht="24" customHeight="1" x14ac:dyDescent="0.3">
      <c r="A207" s="1"/>
      <c r="J20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07" s="1">
        <f>L206+Table118192023103031323538394041481115182028[[#This Row],[اجمالي الفاتوره]]-Table118192023103031323538394041481115182028[[#This Row],[الدفعات]]</f>
        <v>712185.53</v>
      </c>
      <c r="N207" s="48"/>
    </row>
    <row r="208" spans="1:14" ht="24" customHeight="1" x14ac:dyDescent="0.3">
      <c r="A208" s="1"/>
      <c r="J20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08" s="1">
        <f>L207+Table118192023103031323538394041481115182028[[#This Row],[اجمالي الفاتوره]]-Table118192023103031323538394041481115182028[[#This Row],[الدفعات]]</f>
        <v>712185.53</v>
      </c>
      <c r="N208" s="48"/>
    </row>
    <row r="209" spans="1:14" ht="24" customHeight="1" x14ac:dyDescent="0.3">
      <c r="A209" s="1"/>
      <c r="J20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09" s="1">
        <f>L208+Table118192023103031323538394041481115182028[[#This Row],[اجمالي الفاتوره]]-Table118192023103031323538394041481115182028[[#This Row],[الدفعات]]</f>
        <v>712185.53</v>
      </c>
      <c r="N209" s="48"/>
    </row>
    <row r="210" spans="1:14" ht="24" customHeight="1" x14ac:dyDescent="0.3">
      <c r="A210" s="1"/>
      <c r="J21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10" s="1">
        <f>L209+Table118192023103031323538394041481115182028[[#This Row],[اجمالي الفاتوره]]-Table118192023103031323538394041481115182028[[#This Row],[الدفعات]]</f>
        <v>712185.53</v>
      </c>
      <c r="N210" s="48"/>
    </row>
    <row r="211" spans="1:14" ht="24" customHeight="1" x14ac:dyDescent="0.3">
      <c r="A211" s="1"/>
      <c r="J21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11" s="1">
        <f>L210+Table118192023103031323538394041481115182028[[#This Row],[اجمالي الفاتوره]]-Table118192023103031323538394041481115182028[[#This Row],[الدفعات]]</f>
        <v>712185.53</v>
      </c>
      <c r="N211" s="48"/>
    </row>
    <row r="212" spans="1:14" ht="24" customHeight="1" x14ac:dyDescent="0.3">
      <c r="A212" s="1"/>
      <c r="J21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12" s="1">
        <f>L211+Table118192023103031323538394041481115182028[[#This Row],[اجمالي الفاتوره]]-Table118192023103031323538394041481115182028[[#This Row],[الدفعات]]</f>
        <v>712185.53</v>
      </c>
      <c r="N212" s="48"/>
    </row>
    <row r="213" spans="1:14" ht="24" customHeight="1" x14ac:dyDescent="0.3">
      <c r="A213" s="1"/>
      <c r="J21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13" s="1">
        <f>L212+Table118192023103031323538394041481115182028[[#This Row],[اجمالي الفاتوره]]-Table118192023103031323538394041481115182028[[#This Row],[الدفعات]]</f>
        <v>712185.53</v>
      </c>
      <c r="N213" s="48"/>
    </row>
    <row r="214" spans="1:14" ht="24" customHeight="1" x14ac:dyDescent="0.3">
      <c r="A214" s="1"/>
      <c r="J21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14" s="1">
        <f>L213+Table118192023103031323538394041481115182028[[#This Row],[اجمالي الفاتوره]]-Table118192023103031323538394041481115182028[[#This Row],[الدفعات]]</f>
        <v>712185.53</v>
      </c>
      <c r="N214" s="48"/>
    </row>
    <row r="215" spans="1:14" ht="24" customHeight="1" x14ac:dyDescent="0.3">
      <c r="A215" s="1"/>
      <c r="J21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15" s="1">
        <f>L214+Table118192023103031323538394041481115182028[[#This Row],[اجمالي الفاتوره]]-Table118192023103031323538394041481115182028[[#This Row],[الدفعات]]</f>
        <v>712185.53</v>
      </c>
      <c r="N215" s="48"/>
    </row>
    <row r="216" spans="1:14" ht="24" customHeight="1" x14ac:dyDescent="0.3">
      <c r="A216" s="1"/>
      <c r="J21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16" s="1">
        <f>L215+Table118192023103031323538394041481115182028[[#This Row],[اجمالي الفاتوره]]-Table118192023103031323538394041481115182028[[#This Row],[الدفعات]]</f>
        <v>712185.53</v>
      </c>
      <c r="N216" s="48"/>
    </row>
    <row r="217" spans="1:14" ht="24" customHeight="1" x14ac:dyDescent="0.3">
      <c r="A217" s="1"/>
      <c r="J21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17" s="1">
        <f>L216+Table118192023103031323538394041481115182028[[#This Row],[اجمالي الفاتوره]]-Table118192023103031323538394041481115182028[[#This Row],[الدفعات]]</f>
        <v>712185.53</v>
      </c>
      <c r="N217" s="48"/>
    </row>
    <row r="218" spans="1:14" ht="24" customHeight="1" x14ac:dyDescent="0.3">
      <c r="A218" s="1"/>
      <c r="J21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18" s="1">
        <f>L217+Table118192023103031323538394041481115182028[[#This Row],[اجمالي الفاتوره]]-Table118192023103031323538394041481115182028[[#This Row],[الدفعات]]</f>
        <v>712185.53</v>
      </c>
      <c r="N218" s="48"/>
    </row>
    <row r="219" spans="1:14" ht="24" customHeight="1" x14ac:dyDescent="0.3">
      <c r="A219" s="1"/>
      <c r="J21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19" s="1">
        <f>L218+Table118192023103031323538394041481115182028[[#This Row],[اجمالي الفاتوره]]-Table118192023103031323538394041481115182028[[#This Row],[الدفعات]]</f>
        <v>712185.53</v>
      </c>
      <c r="N219" s="48"/>
    </row>
    <row r="220" spans="1:14" ht="24" customHeight="1" x14ac:dyDescent="0.3">
      <c r="A220" s="1"/>
      <c r="J22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20" s="1">
        <f>L219+Table118192023103031323538394041481115182028[[#This Row],[اجمالي الفاتوره]]-Table118192023103031323538394041481115182028[[#This Row],[الدفعات]]</f>
        <v>712185.53</v>
      </c>
      <c r="N220" s="48"/>
    </row>
    <row r="221" spans="1:14" ht="24" customHeight="1" x14ac:dyDescent="0.3">
      <c r="A221" s="1"/>
      <c r="J22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21" s="1">
        <f>L220+Table118192023103031323538394041481115182028[[#This Row],[اجمالي الفاتوره]]-Table118192023103031323538394041481115182028[[#This Row],[الدفعات]]</f>
        <v>712185.53</v>
      </c>
      <c r="N221" s="48"/>
    </row>
    <row r="222" spans="1:14" ht="24" customHeight="1" x14ac:dyDescent="0.3">
      <c r="A222" s="1"/>
      <c r="J22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22" s="1">
        <f>L221+Table118192023103031323538394041481115182028[[#This Row],[اجمالي الفاتوره]]-Table118192023103031323538394041481115182028[[#This Row],[الدفعات]]</f>
        <v>712185.53</v>
      </c>
      <c r="N222" s="48"/>
    </row>
    <row r="223" spans="1:14" ht="24" customHeight="1" x14ac:dyDescent="0.3">
      <c r="A223" s="1"/>
      <c r="J22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23" s="1">
        <f>L222+Table118192023103031323538394041481115182028[[#This Row],[اجمالي الفاتوره]]-Table118192023103031323538394041481115182028[[#This Row],[الدفعات]]</f>
        <v>712185.53</v>
      </c>
      <c r="N223" s="48"/>
    </row>
    <row r="224" spans="1:14" ht="24" customHeight="1" x14ac:dyDescent="0.3">
      <c r="A224" s="1"/>
      <c r="J22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24" s="1">
        <f>L223+Table118192023103031323538394041481115182028[[#This Row],[اجمالي الفاتوره]]-Table118192023103031323538394041481115182028[[#This Row],[الدفعات]]</f>
        <v>712185.53</v>
      </c>
      <c r="N224" s="48"/>
    </row>
    <row r="225" spans="1:14" ht="24" customHeight="1" x14ac:dyDescent="0.3">
      <c r="A225" s="1"/>
      <c r="J22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25" s="1">
        <f>L224+Table118192023103031323538394041481115182028[[#This Row],[اجمالي الفاتوره]]-Table118192023103031323538394041481115182028[[#This Row],[الدفعات]]</f>
        <v>712185.53</v>
      </c>
      <c r="N225" s="48"/>
    </row>
    <row r="226" spans="1:14" ht="24" customHeight="1" x14ac:dyDescent="0.3">
      <c r="A226" s="1"/>
      <c r="J22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26" s="1">
        <f>L225+Table118192023103031323538394041481115182028[[#This Row],[اجمالي الفاتوره]]-Table118192023103031323538394041481115182028[[#This Row],[الدفعات]]</f>
        <v>712185.53</v>
      </c>
      <c r="N226" s="48"/>
    </row>
    <row r="227" spans="1:14" ht="24" customHeight="1" x14ac:dyDescent="0.3">
      <c r="A227" s="1"/>
      <c r="J22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27" s="1">
        <f>L226+Table118192023103031323538394041481115182028[[#This Row],[اجمالي الفاتوره]]-Table118192023103031323538394041481115182028[[#This Row],[الدفعات]]</f>
        <v>712185.53</v>
      </c>
      <c r="N227" s="48"/>
    </row>
    <row r="228" spans="1:14" ht="24" customHeight="1" x14ac:dyDescent="0.3">
      <c r="A228" s="1"/>
      <c r="J22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28" s="1">
        <f>L227+Table118192023103031323538394041481115182028[[#This Row],[اجمالي الفاتوره]]-Table118192023103031323538394041481115182028[[#This Row],[الدفعات]]</f>
        <v>712185.53</v>
      </c>
      <c r="N228" s="48"/>
    </row>
    <row r="229" spans="1:14" ht="24" customHeight="1" x14ac:dyDescent="0.3">
      <c r="A229" s="1"/>
      <c r="J22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29" s="1">
        <f>L228+Table118192023103031323538394041481115182028[[#This Row],[اجمالي الفاتوره]]-Table118192023103031323538394041481115182028[[#This Row],[الدفعات]]</f>
        <v>712185.53</v>
      </c>
      <c r="N229" s="48"/>
    </row>
    <row r="230" spans="1:14" ht="24" customHeight="1" x14ac:dyDescent="0.3">
      <c r="A230" s="1"/>
      <c r="J23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30" s="1">
        <f>L229+Table118192023103031323538394041481115182028[[#This Row],[اجمالي الفاتوره]]-Table118192023103031323538394041481115182028[[#This Row],[الدفعات]]</f>
        <v>712185.53</v>
      </c>
      <c r="N230" s="48"/>
    </row>
    <row r="231" spans="1:14" ht="24" customHeight="1" x14ac:dyDescent="0.3">
      <c r="A231" s="1"/>
      <c r="J23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31" s="1">
        <f>L230+Table118192023103031323538394041481115182028[[#This Row],[اجمالي الفاتوره]]-Table118192023103031323538394041481115182028[[#This Row],[الدفعات]]</f>
        <v>712185.53</v>
      </c>
      <c r="N231" s="48"/>
    </row>
    <row r="232" spans="1:14" ht="24" customHeight="1" x14ac:dyDescent="0.3">
      <c r="A232" s="1"/>
      <c r="J23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32" s="1">
        <f>L231+Table118192023103031323538394041481115182028[[#This Row],[اجمالي الفاتوره]]-Table118192023103031323538394041481115182028[[#This Row],[الدفعات]]</f>
        <v>712185.53</v>
      </c>
      <c r="N232" s="48"/>
    </row>
    <row r="233" spans="1:14" ht="24" customHeight="1" x14ac:dyDescent="0.3">
      <c r="A233" s="1"/>
      <c r="J23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33" s="1">
        <f>L232+Table118192023103031323538394041481115182028[[#This Row],[اجمالي الفاتوره]]-Table118192023103031323538394041481115182028[[#This Row],[الدفعات]]</f>
        <v>712185.53</v>
      </c>
      <c r="N233" s="48"/>
    </row>
    <row r="234" spans="1:14" ht="24" customHeight="1" x14ac:dyDescent="0.3">
      <c r="A234" s="1"/>
      <c r="J23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34" s="1">
        <f>L233+Table118192023103031323538394041481115182028[[#This Row],[اجمالي الفاتوره]]-Table118192023103031323538394041481115182028[[#This Row],[الدفعات]]</f>
        <v>712185.53</v>
      </c>
      <c r="N234" s="48"/>
    </row>
    <row r="235" spans="1:14" ht="24" customHeight="1" x14ac:dyDescent="0.3">
      <c r="A235" s="1"/>
      <c r="J23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35" s="1">
        <f>L234+Table118192023103031323538394041481115182028[[#This Row],[اجمالي الفاتوره]]-Table118192023103031323538394041481115182028[[#This Row],[الدفعات]]</f>
        <v>712185.53</v>
      </c>
      <c r="N235" s="48"/>
    </row>
    <row r="236" spans="1:14" ht="24" customHeight="1" x14ac:dyDescent="0.3">
      <c r="A236" s="1"/>
      <c r="J23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36" s="1">
        <f>L235+Table118192023103031323538394041481115182028[[#This Row],[اجمالي الفاتوره]]-Table118192023103031323538394041481115182028[[#This Row],[الدفعات]]</f>
        <v>712185.53</v>
      </c>
      <c r="N236" s="48"/>
    </row>
    <row r="237" spans="1:14" ht="24" customHeight="1" x14ac:dyDescent="0.3">
      <c r="A237" s="1"/>
      <c r="J23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37" s="1">
        <f>L236+Table118192023103031323538394041481115182028[[#This Row],[اجمالي الفاتوره]]-Table118192023103031323538394041481115182028[[#This Row],[الدفعات]]</f>
        <v>712185.53</v>
      </c>
      <c r="N237" s="48"/>
    </row>
    <row r="238" spans="1:14" ht="24" customHeight="1" x14ac:dyDescent="0.3">
      <c r="A238" s="1"/>
      <c r="J23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38" s="1">
        <f>L237+Table118192023103031323538394041481115182028[[#This Row],[اجمالي الفاتوره]]-Table118192023103031323538394041481115182028[[#This Row],[الدفعات]]</f>
        <v>712185.53</v>
      </c>
      <c r="N238" s="48"/>
    </row>
    <row r="239" spans="1:14" ht="24" customHeight="1" x14ac:dyDescent="0.3">
      <c r="A239" s="1"/>
      <c r="J23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39" s="1">
        <f>L238+Table118192023103031323538394041481115182028[[#This Row],[اجمالي الفاتوره]]-Table118192023103031323538394041481115182028[[#This Row],[الدفعات]]</f>
        <v>712185.53</v>
      </c>
      <c r="N239" s="48"/>
    </row>
    <row r="240" spans="1:14" ht="24" customHeight="1" x14ac:dyDescent="0.3">
      <c r="A240" s="1"/>
      <c r="J24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40" s="1">
        <f>L239+Table118192023103031323538394041481115182028[[#This Row],[اجمالي الفاتوره]]-Table118192023103031323538394041481115182028[[#This Row],[الدفعات]]</f>
        <v>712185.53</v>
      </c>
      <c r="N240" s="48"/>
    </row>
    <row r="241" spans="1:14" ht="24" customHeight="1" x14ac:dyDescent="0.3">
      <c r="A241" s="1"/>
      <c r="J24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41" s="1">
        <f>L240+Table118192023103031323538394041481115182028[[#This Row],[اجمالي الفاتوره]]-Table118192023103031323538394041481115182028[[#This Row],[الدفعات]]</f>
        <v>712185.53</v>
      </c>
      <c r="N241" s="48"/>
    </row>
    <row r="242" spans="1:14" ht="24" customHeight="1" x14ac:dyDescent="0.3">
      <c r="A242" s="1"/>
      <c r="J24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42" s="1">
        <f>L241+Table118192023103031323538394041481115182028[[#This Row],[اجمالي الفاتوره]]-Table118192023103031323538394041481115182028[[#This Row],[الدفعات]]</f>
        <v>712185.53</v>
      </c>
      <c r="N242" s="48"/>
    </row>
    <row r="243" spans="1:14" ht="24" customHeight="1" x14ac:dyDescent="0.3">
      <c r="A243" s="1"/>
      <c r="J24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43" s="1">
        <f>L242+Table118192023103031323538394041481115182028[[#This Row],[اجمالي الفاتوره]]-Table118192023103031323538394041481115182028[[#This Row],[الدفعات]]</f>
        <v>712185.53</v>
      </c>
      <c r="N243" s="48"/>
    </row>
    <row r="244" spans="1:14" ht="24" customHeight="1" x14ac:dyDescent="0.3">
      <c r="A244" s="1"/>
      <c r="J24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44" s="1">
        <f>L243+Table118192023103031323538394041481115182028[[#This Row],[اجمالي الفاتوره]]-Table118192023103031323538394041481115182028[[#This Row],[الدفعات]]</f>
        <v>712185.53</v>
      </c>
      <c r="N244" s="48"/>
    </row>
    <row r="245" spans="1:14" ht="24" customHeight="1" x14ac:dyDescent="0.3">
      <c r="A245" s="1"/>
      <c r="J24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45" s="1">
        <f>L244+Table118192023103031323538394041481115182028[[#This Row],[اجمالي الفاتوره]]-Table118192023103031323538394041481115182028[[#This Row],[الدفعات]]</f>
        <v>712185.53</v>
      </c>
      <c r="N245" s="48"/>
    </row>
    <row r="246" spans="1:14" ht="24" customHeight="1" x14ac:dyDescent="0.3">
      <c r="A246" s="1"/>
      <c r="J24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46" s="1">
        <f>L245+Table118192023103031323538394041481115182028[[#This Row],[اجمالي الفاتوره]]-Table118192023103031323538394041481115182028[[#This Row],[الدفعات]]</f>
        <v>712185.53</v>
      </c>
      <c r="N246" s="48"/>
    </row>
    <row r="247" spans="1:14" ht="24" customHeight="1" x14ac:dyDescent="0.3">
      <c r="A247" s="1"/>
      <c r="J24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47" s="1">
        <f>L246+Table118192023103031323538394041481115182028[[#This Row],[اجمالي الفاتوره]]-Table118192023103031323538394041481115182028[[#This Row],[الدفعات]]</f>
        <v>712185.53</v>
      </c>
      <c r="N247" s="48"/>
    </row>
    <row r="248" spans="1:14" ht="24" customHeight="1" x14ac:dyDescent="0.3">
      <c r="A248" s="1"/>
      <c r="J24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48" s="1">
        <f>L247+Table118192023103031323538394041481115182028[[#This Row],[اجمالي الفاتوره]]-Table118192023103031323538394041481115182028[[#This Row],[الدفعات]]</f>
        <v>712185.53</v>
      </c>
      <c r="N248" s="48"/>
    </row>
    <row r="249" spans="1:14" ht="24" customHeight="1" x14ac:dyDescent="0.3">
      <c r="A249" s="1"/>
      <c r="J24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49" s="1">
        <f>L248+Table118192023103031323538394041481115182028[[#This Row],[اجمالي الفاتوره]]-Table118192023103031323538394041481115182028[[#This Row],[الدفعات]]</f>
        <v>712185.53</v>
      </c>
      <c r="N249" s="48"/>
    </row>
    <row r="250" spans="1:14" ht="24" customHeight="1" x14ac:dyDescent="0.3">
      <c r="A250" s="1"/>
      <c r="J25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50" s="1">
        <f>L249+Table118192023103031323538394041481115182028[[#This Row],[اجمالي الفاتوره]]-Table118192023103031323538394041481115182028[[#This Row],[الدفعات]]</f>
        <v>712185.53</v>
      </c>
      <c r="N250" s="48"/>
    </row>
    <row r="251" spans="1:14" ht="24" customHeight="1" x14ac:dyDescent="0.3">
      <c r="A251" s="1"/>
      <c r="J25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51" s="1">
        <f>L250+Table118192023103031323538394041481115182028[[#This Row],[اجمالي الفاتوره]]-Table118192023103031323538394041481115182028[[#This Row],[الدفعات]]</f>
        <v>712185.53</v>
      </c>
      <c r="N251" s="48"/>
    </row>
    <row r="252" spans="1:14" ht="24" customHeight="1" x14ac:dyDescent="0.3">
      <c r="A252" s="1"/>
      <c r="J25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52" s="1">
        <f>L251+Table118192023103031323538394041481115182028[[#This Row],[اجمالي الفاتوره]]-Table118192023103031323538394041481115182028[[#This Row],[الدفعات]]</f>
        <v>712185.53</v>
      </c>
      <c r="N252" s="48"/>
    </row>
    <row r="253" spans="1:14" ht="24" customHeight="1" x14ac:dyDescent="0.3">
      <c r="A253" s="1"/>
      <c r="J25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53" s="1">
        <f>L252+Table118192023103031323538394041481115182028[[#This Row],[اجمالي الفاتوره]]-Table118192023103031323538394041481115182028[[#This Row],[الدفعات]]</f>
        <v>712185.53</v>
      </c>
      <c r="N253" s="48"/>
    </row>
    <row r="254" spans="1:14" ht="24" customHeight="1" x14ac:dyDescent="0.3">
      <c r="A254" s="1"/>
      <c r="J25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54" s="1">
        <f>L253+Table118192023103031323538394041481115182028[[#This Row],[اجمالي الفاتوره]]-Table118192023103031323538394041481115182028[[#This Row],[الدفعات]]</f>
        <v>712185.53</v>
      </c>
      <c r="N254" s="48"/>
    </row>
    <row r="255" spans="1:14" ht="24" customHeight="1" x14ac:dyDescent="0.3">
      <c r="A255" s="1"/>
      <c r="J25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55" s="1">
        <f>L254+Table118192023103031323538394041481115182028[[#This Row],[اجمالي الفاتوره]]-Table118192023103031323538394041481115182028[[#This Row],[الدفعات]]</f>
        <v>712185.53</v>
      </c>
      <c r="N255" s="48"/>
    </row>
    <row r="256" spans="1:14" ht="24" customHeight="1" x14ac:dyDescent="0.3">
      <c r="A256" s="1"/>
      <c r="J25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56" s="1">
        <f>L255+Table118192023103031323538394041481115182028[[#This Row],[اجمالي الفاتوره]]-Table118192023103031323538394041481115182028[[#This Row],[الدفعات]]</f>
        <v>712185.53</v>
      </c>
      <c r="N256" s="48"/>
    </row>
    <row r="257" spans="1:14" ht="24" customHeight="1" x14ac:dyDescent="0.3">
      <c r="A257" s="1"/>
      <c r="J25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57" s="1">
        <f>L256+Table118192023103031323538394041481115182028[[#This Row],[اجمالي الفاتوره]]-Table118192023103031323538394041481115182028[[#This Row],[الدفعات]]</f>
        <v>712185.53</v>
      </c>
      <c r="N257" s="48"/>
    </row>
    <row r="258" spans="1:14" ht="24" customHeight="1" x14ac:dyDescent="0.3">
      <c r="A258" s="1"/>
      <c r="J25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58" s="1">
        <f>L257+Table118192023103031323538394041481115182028[[#This Row],[اجمالي الفاتوره]]-Table118192023103031323538394041481115182028[[#This Row],[الدفعات]]</f>
        <v>712185.53</v>
      </c>
      <c r="N258" s="48"/>
    </row>
    <row r="259" spans="1:14" ht="24" customHeight="1" x14ac:dyDescent="0.3">
      <c r="A259" s="1"/>
      <c r="J25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59" s="1">
        <f>L258+Table118192023103031323538394041481115182028[[#This Row],[اجمالي الفاتوره]]-Table118192023103031323538394041481115182028[[#This Row],[الدفعات]]</f>
        <v>712185.53</v>
      </c>
      <c r="N259" s="48"/>
    </row>
    <row r="260" spans="1:14" ht="24" customHeight="1" x14ac:dyDescent="0.3">
      <c r="A260" s="1"/>
      <c r="J26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60" s="1">
        <f>L259+Table118192023103031323538394041481115182028[[#This Row],[اجمالي الفاتوره]]-Table118192023103031323538394041481115182028[[#This Row],[الدفعات]]</f>
        <v>712185.53</v>
      </c>
      <c r="N260" s="48"/>
    </row>
    <row r="261" spans="1:14" ht="24" customHeight="1" x14ac:dyDescent="0.3">
      <c r="A261" s="1"/>
      <c r="J26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61" s="1">
        <f>L260+Table118192023103031323538394041481115182028[[#This Row],[اجمالي الفاتوره]]-Table118192023103031323538394041481115182028[[#This Row],[الدفعات]]</f>
        <v>712185.53</v>
      </c>
      <c r="N261" s="48"/>
    </row>
    <row r="262" spans="1:14" ht="24" customHeight="1" x14ac:dyDescent="0.3">
      <c r="A262" s="1"/>
      <c r="J26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62" s="1">
        <f>L261+Table118192023103031323538394041481115182028[[#This Row],[اجمالي الفاتوره]]-Table118192023103031323538394041481115182028[[#This Row],[الدفعات]]</f>
        <v>712185.53</v>
      </c>
      <c r="N262" s="48"/>
    </row>
    <row r="263" spans="1:14" ht="24" customHeight="1" x14ac:dyDescent="0.3">
      <c r="A263" s="1"/>
      <c r="J26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63" s="1">
        <f>L262+Table118192023103031323538394041481115182028[[#This Row],[اجمالي الفاتوره]]-Table118192023103031323538394041481115182028[[#This Row],[الدفعات]]</f>
        <v>712185.53</v>
      </c>
      <c r="N263" s="48"/>
    </row>
    <row r="264" spans="1:14" ht="24" customHeight="1" x14ac:dyDescent="0.3">
      <c r="A264" s="1"/>
      <c r="J26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64" s="1">
        <f>L263+Table118192023103031323538394041481115182028[[#This Row],[اجمالي الفاتوره]]-Table118192023103031323538394041481115182028[[#This Row],[الدفعات]]</f>
        <v>712185.53</v>
      </c>
      <c r="N264" s="48"/>
    </row>
    <row r="265" spans="1:14" ht="24" customHeight="1" x14ac:dyDescent="0.3">
      <c r="A265" s="1"/>
      <c r="J26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65" s="1">
        <f>L264+Table118192023103031323538394041481115182028[[#This Row],[اجمالي الفاتوره]]-Table118192023103031323538394041481115182028[[#This Row],[الدفعات]]</f>
        <v>712185.53</v>
      </c>
      <c r="N265" s="48"/>
    </row>
    <row r="266" spans="1:14" ht="24" customHeight="1" x14ac:dyDescent="0.3">
      <c r="A266" s="1"/>
      <c r="J26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66" s="1">
        <f>L265+Table118192023103031323538394041481115182028[[#This Row],[اجمالي الفاتوره]]-Table118192023103031323538394041481115182028[[#This Row],[الدفعات]]</f>
        <v>712185.53</v>
      </c>
      <c r="N266" s="48"/>
    </row>
    <row r="267" spans="1:14" ht="24" customHeight="1" x14ac:dyDescent="0.3">
      <c r="A267" s="1"/>
      <c r="J26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67" s="1">
        <f>L266+Table118192023103031323538394041481115182028[[#This Row],[اجمالي الفاتوره]]-Table118192023103031323538394041481115182028[[#This Row],[الدفعات]]</f>
        <v>712185.53</v>
      </c>
      <c r="N267" s="48"/>
    </row>
    <row r="268" spans="1:14" ht="24" customHeight="1" x14ac:dyDescent="0.3">
      <c r="A268" s="1"/>
      <c r="J26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68" s="1">
        <f>L267+Table118192023103031323538394041481115182028[[#This Row],[اجمالي الفاتوره]]-Table118192023103031323538394041481115182028[[#This Row],[الدفعات]]</f>
        <v>712185.53</v>
      </c>
      <c r="N268" s="48"/>
    </row>
    <row r="269" spans="1:14" ht="24" customHeight="1" x14ac:dyDescent="0.3">
      <c r="A269" s="1"/>
      <c r="J26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69" s="1">
        <f>L268+Table118192023103031323538394041481115182028[[#This Row],[اجمالي الفاتوره]]-Table118192023103031323538394041481115182028[[#This Row],[الدفعات]]</f>
        <v>712185.53</v>
      </c>
      <c r="N269" s="48"/>
    </row>
    <row r="270" spans="1:14" ht="24" customHeight="1" x14ac:dyDescent="0.3">
      <c r="A270" s="1"/>
      <c r="J27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70" s="1">
        <f>L269+Table118192023103031323538394041481115182028[[#This Row],[اجمالي الفاتوره]]-Table118192023103031323538394041481115182028[[#This Row],[الدفعات]]</f>
        <v>712185.53</v>
      </c>
      <c r="N270" s="48"/>
    </row>
    <row r="271" spans="1:14" ht="24" customHeight="1" x14ac:dyDescent="0.3">
      <c r="A271" s="1"/>
      <c r="J27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71" s="1">
        <f>L270+Table118192023103031323538394041481115182028[[#This Row],[اجمالي الفاتوره]]-Table118192023103031323538394041481115182028[[#This Row],[الدفعات]]</f>
        <v>712185.53</v>
      </c>
      <c r="N271" s="48"/>
    </row>
    <row r="272" spans="1:14" ht="24" customHeight="1" x14ac:dyDescent="0.3">
      <c r="A272" s="1"/>
      <c r="J27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72" s="1">
        <f>L271+Table118192023103031323538394041481115182028[[#This Row],[اجمالي الفاتوره]]-Table118192023103031323538394041481115182028[[#This Row],[الدفعات]]</f>
        <v>712185.53</v>
      </c>
      <c r="N272" s="48"/>
    </row>
    <row r="273" spans="1:14" ht="24" customHeight="1" x14ac:dyDescent="0.3">
      <c r="A273" s="1"/>
      <c r="J27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73" s="1">
        <f>L272+Table118192023103031323538394041481115182028[[#This Row],[اجمالي الفاتوره]]-Table118192023103031323538394041481115182028[[#This Row],[الدفعات]]</f>
        <v>712185.53</v>
      </c>
      <c r="N273" s="48"/>
    </row>
    <row r="274" spans="1:14" ht="24" customHeight="1" x14ac:dyDescent="0.3">
      <c r="A274" s="1"/>
      <c r="J27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74" s="1">
        <f>L273+Table118192023103031323538394041481115182028[[#This Row],[اجمالي الفاتوره]]-Table118192023103031323538394041481115182028[[#This Row],[الدفعات]]</f>
        <v>712185.53</v>
      </c>
      <c r="N274" s="48"/>
    </row>
    <row r="275" spans="1:14" ht="24" customHeight="1" x14ac:dyDescent="0.3">
      <c r="A275" s="1"/>
      <c r="J27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75" s="1">
        <f>L274+Table118192023103031323538394041481115182028[[#This Row],[اجمالي الفاتوره]]-Table118192023103031323538394041481115182028[[#This Row],[الدفعات]]</f>
        <v>712185.53</v>
      </c>
      <c r="N275" s="48"/>
    </row>
    <row r="276" spans="1:14" ht="24" customHeight="1" x14ac:dyDescent="0.3">
      <c r="A276" s="1"/>
      <c r="J27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76" s="1">
        <f>L275+Table118192023103031323538394041481115182028[[#This Row],[اجمالي الفاتوره]]-Table118192023103031323538394041481115182028[[#This Row],[الدفعات]]</f>
        <v>712185.53</v>
      </c>
      <c r="N276" s="48"/>
    </row>
    <row r="277" spans="1:14" ht="24" customHeight="1" x14ac:dyDescent="0.3">
      <c r="A277" s="1"/>
      <c r="J27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77" s="1">
        <f>L276+Table118192023103031323538394041481115182028[[#This Row],[اجمالي الفاتوره]]-Table118192023103031323538394041481115182028[[#This Row],[الدفعات]]</f>
        <v>712185.53</v>
      </c>
      <c r="N277" s="48"/>
    </row>
    <row r="278" spans="1:14" ht="24" customHeight="1" x14ac:dyDescent="0.3">
      <c r="A278" s="1"/>
      <c r="J27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78" s="1">
        <f>L277+Table118192023103031323538394041481115182028[[#This Row],[اجمالي الفاتوره]]-Table118192023103031323538394041481115182028[[#This Row],[الدفعات]]</f>
        <v>712185.53</v>
      </c>
      <c r="N278" s="48"/>
    </row>
    <row r="279" spans="1:14" ht="24" customHeight="1" x14ac:dyDescent="0.3">
      <c r="A279" s="1"/>
      <c r="J27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79" s="1">
        <f>L278+Table118192023103031323538394041481115182028[[#This Row],[اجمالي الفاتوره]]-Table118192023103031323538394041481115182028[[#This Row],[الدفعات]]</f>
        <v>712185.53</v>
      </c>
      <c r="N279" s="48"/>
    </row>
    <row r="280" spans="1:14" ht="24" customHeight="1" x14ac:dyDescent="0.3">
      <c r="A280" s="1"/>
      <c r="J28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80" s="1">
        <f>L279+Table118192023103031323538394041481115182028[[#This Row],[اجمالي الفاتوره]]-Table118192023103031323538394041481115182028[[#This Row],[الدفعات]]</f>
        <v>712185.53</v>
      </c>
      <c r="N280" s="48"/>
    </row>
    <row r="281" spans="1:14" ht="24" customHeight="1" x14ac:dyDescent="0.3">
      <c r="A281" s="1"/>
      <c r="J28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81" s="1">
        <f>L280+Table118192023103031323538394041481115182028[[#This Row],[اجمالي الفاتوره]]-Table118192023103031323538394041481115182028[[#This Row],[الدفعات]]</f>
        <v>712185.53</v>
      </c>
      <c r="N281" s="48"/>
    </row>
    <row r="282" spans="1:14" ht="24" customHeight="1" x14ac:dyDescent="0.3">
      <c r="A282" s="1"/>
      <c r="J28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82" s="1">
        <f>L281+Table118192023103031323538394041481115182028[[#This Row],[اجمالي الفاتوره]]-Table118192023103031323538394041481115182028[[#This Row],[الدفعات]]</f>
        <v>712185.53</v>
      </c>
      <c r="N282" s="48"/>
    </row>
    <row r="283" spans="1:14" ht="24" customHeight="1" x14ac:dyDescent="0.3">
      <c r="A283" s="1"/>
      <c r="J28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83" s="1">
        <f>L282+Table118192023103031323538394041481115182028[[#This Row],[اجمالي الفاتوره]]-Table118192023103031323538394041481115182028[[#This Row],[الدفعات]]</f>
        <v>712185.53</v>
      </c>
      <c r="N283" s="48"/>
    </row>
    <row r="284" spans="1:14" ht="24" customHeight="1" x14ac:dyDescent="0.3">
      <c r="A284" s="1"/>
      <c r="J28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84" s="1">
        <f>L283+Table118192023103031323538394041481115182028[[#This Row],[اجمالي الفاتوره]]-Table118192023103031323538394041481115182028[[#This Row],[الدفعات]]</f>
        <v>712185.53</v>
      </c>
      <c r="N284" s="48"/>
    </row>
    <row r="285" spans="1:14" ht="24" customHeight="1" x14ac:dyDescent="0.3">
      <c r="A285" s="1"/>
      <c r="J28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85" s="1">
        <f>L284+Table118192023103031323538394041481115182028[[#This Row],[اجمالي الفاتوره]]-Table118192023103031323538394041481115182028[[#This Row],[الدفعات]]</f>
        <v>712185.53</v>
      </c>
      <c r="N285" s="48"/>
    </row>
    <row r="286" spans="1:14" ht="24" customHeight="1" x14ac:dyDescent="0.3">
      <c r="A286" s="1"/>
      <c r="J28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86" s="1">
        <f>L285+Table118192023103031323538394041481115182028[[#This Row],[اجمالي الفاتوره]]-Table118192023103031323538394041481115182028[[#This Row],[الدفعات]]</f>
        <v>712185.53</v>
      </c>
      <c r="N286" s="48"/>
    </row>
    <row r="287" spans="1:14" ht="24" customHeight="1" x14ac:dyDescent="0.3">
      <c r="A287" s="1"/>
      <c r="J28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87" s="1">
        <f>L286+Table118192023103031323538394041481115182028[[#This Row],[اجمالي الفاتوره]]-Table118192023103031323538394041481115182028[[#This Row],[الدفعات]]</f>
        <v>712185.53</v>
      </c>
      <c r="N287" s="48"/>
    </row>
    <row r="288" spans="1:14" ht="24" customHeight="1" x14ac:dyDescent="0.3">
      <c r="A288" s="1"/>
      <c r="J28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88" s="1">
        <f>L287+Table118192023103031323538394041481115182028[[#This Row],[اجمالي الفاتوره]]-Table118192023103031323538394041481115182028[[#This Row],[الدفعات]]</f>
        <v>712185.53</v>
      </c>
      <c r="N288" s="48"/>
    </row>
    <row r="289" spans="1:14" ht="24" customHeight="1" x14ac:dyDescent="0.3">
      <c r="A289" s="1"/>
      <c r="J28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89" s="1">
        <f>L288+Table118192023103031323538394041481115182028[[#This Row],[اجمالي الفاتوره]]-Table118192023103031323538394041481115182028[[#This Row],[الدفعات]]</f>
        <v>712185.53</v>
      </c>
      <c r="N289" s="48"/>
    </row>
    <row r="290" spans="1:14" ht="24" customHeight="1" x14ac:dyDescent="0.3">
      <c r="A290" s="1"/>
      <c r="J29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90" s="1">
        <f>L289+Table118192023103031323538394041481115182028[[#This Row],[اجمالي الفاتوره]]-Table118192023103031323538394041481115182028[[#This Row],[الدفعات]]</f>
        <v>712185.53</v>
      </c>
      <c r="N290" s="48"/>
    </row>
    <row r="291" spans="1:14" ht="24" customHeight="1" x14ac:dyDescent="0.3">
      <c r="A291" s="1"/>
      <c r="J29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91" s="1">
        <f>L290+Table118192023103031323538394041481115182028[[#This Row],[اجمالي الفاتوره]]-Table118192023103031323538394041481115182028[[#This Row],[الدفعات]]</f>
        <v>712185.53</v>
      </c>
      <c r="N291" s="48"/>
    </row>
    <row r="292" spans="1:14" ht="24" customHeight="1" x14ac:dyDescent="0.3">
      <c r="A292" s="1"/>
      <c r="J29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92" s="1">
        <f>L291+Table118192023103031323538394041481115182028[[#This Row],[اجمالي الفاتوره]]-Table118192023103031323538394041481115182028[[#This Row],[الدفعات]]</f>
        <v>712185.53</v>
      </c>
      <c r="N292" s="48"/>
    </row>
    <row r="293" spans="1:14" ht="24" customHeight="1" x14ac:dyDescent="0.3">
      <c r="A293" s="1"/>
      <c r="J29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93" s="1">
        <f>L292+Table118192023103031323538394041481115182028[[#This Row],[اجمالي الفاتوره]]-Table118192023103031323538394041481115182028[[#This Row],[الدفعات]]</f>
        <v>712185.53</v>
      </c>
      <c r="N293" s="48"/>
    </row>
    <row r="294" spans="1:14" ht="24" customHeight="1" x14ac:dyDescent="0.3">
      <c r="A294" s="1"/>
      <c r="J29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94" s="1">
        <f>L293+Table118192023103031323538394041481115182028[[#This Row],[اجمالي الفاتوره]]-Table118192023103031323538394041481115182028[[#This Row],[الدفعات]]</f>
        <v>712185.53</v>
      </c>
      <c r="N294" s="48"/>
    </row>
    <row r="295" spans="1:14" ht="24" customHeight="1" x14ac:dyDescent="0.3">
      <c r="A295" s="1"/>
      <c r="J29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95" s="1">
        <f>L294+Table118192023103031323538394041481115182028[[#This Row],[اجمالي الفاتوره]]-Table118192023103031323538394041481115182028[[#This Row],[الدفعات]]</f>
        <v>712185.53</v>
      </c>
      <c r="N295" s="48"/>
    </row>
    <row r="296" spans="1:14" ht="24" customHeight="1" x14ac:dyDescent="0.3">
      <c r="A296" s="1"/>
      <c r="J29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96" s="1">
        <f>L295+Table118192023103031323538394041481115182028[[#This Row],[اجمالي الفاتوره]]-Table118192023103031323538394041481115182028[[#This Row],[الدفعات]]</f>
        <v>712185.53</v>
      </c>
      <c r="N296" s="48"/>
    </row>
    <row r="297" spans="1:14" ht="24" customHeight="1" x14ac:dyDescent="0.3">
      <c r="A297" s="1"/>
      <c r="J29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97" s="1">
        <f>L296+Table118192023103031323538394041481115182028[[#This Row],[اجمالي الفاتوره]]-Table118192023103031323538394041481115182028[[#This Row],[الدفعات]]</f>
        <v>712185.53</v>
      </c>
      <c r="N297" s="48"/>
    </row>
    <row r="298" spans="1:14" ht="24" customHeight="1" x14ac:dyDescent="0.3">
      <c r="A298" s="1"/>
      <c r="J29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98" s="1">
        <f>L297+Table118192023103031323538394041481115182028[[#This Row],[اجمالي الفاتوره]]-Table118192023103031323538394041481115182028[[#This Row],[الدفعات]]</f>
        <v>712185.53</v>
      </c>
      <c r="N298" s="48"/>
    </row>
    <row r="299" spans="1:14" ht="24" customHeight="1" x14ac:dyDescent="0.3">
      <c r="A299" s="1"/>
      <c r="J29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299" s="1">
        <f>L298+Table118192023103031323538394041481115182028[[#This Row],[اجمالي الفاتوره]]-Table118192023103031323538394041481115182028[[#This Row],[الدفعات]]</f>
        <v>712185.53</v>
      </c>
      <c r="N299" s="48"/>
    </row>
    <row r="300" spans="1:14" ht="24" customHeight="1" x14ac:dyDescent="0.3">
      <c r="A300" s="1"/>
      <c r="J30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00" s="1">
        <f>L299+Table118192023103031323538394041481115182028[[#This Row],[اجمالي الفاتوره]]-Table118192023103031323538394041481115182028[[#This Row],[الدفعات]]</f>
        <v>712185.53</v>
      </c>
      <c r="N300" s="48"/>
    </row>
    <row r="301" spans="1:14" ht="24" customHeight="1" x14ac:dyDescent="0.3">
      <c r="A301" s="1"/>
      <c r="J30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01" s="1">
        <f>L300+Table118192023103031323538394041481115182028[[#This Row],[اجمالي الفاتوره]]-Table118192023103031323538394041481115182028[[#This Row],[الدفعات]]</f>
        <v>712185.53</v>
      </c>
      <c r="N301" s="48"/>
    </row>
    <row r="302" spans="1:14" ht="24" customHeight="1" x14ac:dyDescent="0.3">
      <c r="A302" s="1"/>
      <c r="J30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02" s="1">
        <f>L301+Table118192023103031323538394041481115182028[[#This Row],[اجمالي الفاتوره]]-Table118192023103031323538394041481115182028[[#This Row],[الدفعات]]</f>
        <v>712185.53</v>
      </c>
      <c r="N302" s="48"/>
    </row>
    <row r="303" spans="1:14" ht="24" customHeight="1" x14ac:dyDescent="0.3">
      <c r="A303" s="1"/>
      <c r="J30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03" s="1">
        <f>L302+Table118192023103031323538394041481115182028[[#This Row],[اجمالي الفاتوره]]-Table118192023103031323538394041481115182028[[#This Row],[الدفعات]]</f>
        <v>712185.53</v>
      </c>
      <c r="N303" s="48"/>
    </row>
    <row r="304" spans="1:14" ht="24" customHeight="1" x14ac:dyDescent="0.3">
      <c r="A304" s="1"/>
      <c r="J30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04" s="1">
        <f>L303+Table118192023103031323538394041481115182028[[#This Row],[اجمالي الفاتوره]]-Table118192023103031323538394041481115182028[[#This Row],[الدفعات]]</f>
        <v>712185.53</v>
      </c>
      <c r="N304" s="48"/>
    </row>
    <row r="305" spans="1:14" ht="24" customHeight="1" x14ac:dyDescent="0.3">
      <c r="A305" s="1"/>
      <c r="J30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05" s="1">
        <f>L304+Table118192023103031323538394041481115182028[[#This Row],[اجمالي الفاتوره]]-Table118192023103031323538394041481115182028[[#This Row],[الدفعات]]</f>
        <v>712185.53</v>
      </c>
      <c r="N305" s="48"/>
    </row>
    <row r="306" spans="1:14" ht="24" customHeight="1" x14ac:dyDescent="0.3">
      <c r="A306" s="1"/>
      <c r="J30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06" s="1">
        <f>L305+Table118192023103031323538394041481115182028[[#This Row],[اجمالي الفاتوره]]-Table118192023103031323538394041481115182028[[#This Row],[الدفعات]]</f>
        <v>712185.53</v>
      </c>
      <c r="N306" s="48"/>
    </row>
    <row r="307" spans="1:14" ht="24" customHeight="1" x14ac:dyDescent="0.3">
      <c r="A307" s="1"/>
      <c r="J30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07" s="1">
        <f>L306+Table118192023103031323538394041481115182028[[#This Row],[اجمالي الفاتوره]]-Table118192023103031323538394041481115182028[[#This Row],[الدفعات]]</f>
        <v>712185.53</v>
      </c>
      <c r="N307" s="48"/>
    </row>
    <row r="308" spans="1:14" ht="24" customHeight="1" x14ac:dyDescent="0.3">
      <c r="A308" s="1"/>
      <c r="J30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08" s="1">
        <f>L307+Table118192023103031323538394041481115182028[[#This Row],[اجمالي الفاتوره]]-Table118192023103031323538394041481115182028[[#This Row],[الدفعات]]</f>
        <v>712185.53</v>
      </c>
      <c r="N308" s="48"/>
    </row>
    <row r="309" spans="1:14" ht="24" customHeight="1" x14ac:dyDescent="0.3">
      <c r="A309" s="1"/>
      <c r="J30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09" s="1">
        <f>L308+Table118192023103031323538394041481115182028[[#This Row],[اجمالي الفاتوره]]-Table118192023103031323538394041481115182028[[#This Row],[الدفعات]]</f>
        <v>712185.53</v>
      </c>
      <c r="N309" s="48"/>
    </row>
    <row r="310" spans="1:14" ht="24" customHeight="1" x14ac:dyDescent="0.3">
      <c r="A310" s="1"/>
      <c r="J31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10" s="1">
        <f>L309+Table118192023103031323538394041481115182028[[#This Row],[اجمالي الفاتوره]]-Table118192023103031323538394041481115182028[[#This Row],[الدفعات]]</f>
        <v>712185.53</v>
      </c>
      <c r="N310" s="48"/>
    </row>
    <row r="311" spans="1:14" ht="24" customHeight="1" x14ac:dyDescent="0.3">
      <c r="A311" s="1"/>
      <c r="J31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11" s="1">
        <f>L310+Table118192023103031323538394041481115182028[[#This Row],[اجمالي الفاتوره]]-Table118192023103031323538394041481115182028[[#This Row],[الدفعات]]</f>
        <v>712185.53</v>
      </c>
      <c r="N311" s="48"/>
    </row>
    <row r="312" spans="1:14" ht="24" customHeight="1" x14ac:dyDescent="0.3">
      <c r="A312" s="1"/>
      <c r="J31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12" s="1">
        <f>L311+Table118192023103031323538394041481115182028[[#This Row],[اجمالي الفاتوره]]-Table118192023103031323538394041481115182028[[#This Row],[الدفعات]]</f>
        <v>712185.53</v>
      </c>
      <c r="N312" s="48"/>
    </row>
    <row r="313" spans="1:14" ht="24" customHeight="1" x14ac:dyDescent="0.3">
      <c r="A313" s="1"/>
      <c r="J31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13" s="1">
        <f>L312+Table118192023103031323538394041481115182028[[#This Row],[اجمالي الفاتوره]]-Table118192023103031323538394041481115182028[[#This Row],[الدفعات]]</f>
        <v>712185.53</v>
      </c>
      <c r="N313" s="48"/>
    </row>
    <row r="314" spans="1:14" ht="24" customHeight="1" x14ac:dyDescent="0.3">
      <c r="A314" s="1"/>
      <c r="J31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14" s="1">
        <f>L313+Table118192023103031323538394041481115182028[[#This Row],[اجمالي الفاتوره]]-Table118192023103031323538394041481115182028[[#This Row],[الدفعات]]</f>
        <v>712185.53</v>
      </c>
      <c r="N314" s="48"/>
    </row>
    <row r="315" spans="1:14" ht="24" customHeight="1" x14ac:dyDescent="0.3">
      <c r="A315" s="1"/>
      <c r="J31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15" s="1">
        <f>L314+Table118192023103031323538394041481115182028[[#This Row],[اجمالي الفاتوره]]-Table118192023103031323538394041481115182028[[#This Row],[الدفعات]]</f>
        <v>712185.53</v>
      </c>
      <c r="N315" s="48"/>
    </row>
    <row r="316" spans="1:14" ht="24" customHeight="1" x14ac:dyDescent="0.3">
      <c r="A316" s="1"/>
      <c r="J31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16" s="1">
        <f>L315+Table118192023103031323538394041481115182028[[#This Row],[اجمالي الفاتوره]]-Table118192023103031323538394041481115182028[[#This Row],[الدفعات]]</f>
        <v>712185.53</v>
      </c>
      <c r="N316" s="48"/>
    </row>
    <row r="317" spans="1:14" ht="24" customHeight="1" x14ac:dyDescent="0.3">
      <c r="A317" s="1"/>
      <c r="J31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17" s="1">
        <f>L316+Table118192023103031323538394041481115182028[[#This Row],[اجمالي الفاتوره]]-Table118192023103031323538394041481115182028[[#This Row],[الدفعات]]</f>
        <v>712185.53</v>
      </c>
      <c r="N317" s="48"/>
    </row>
    <row r="318" spans="1:14" ht="24" customHeight="1" x14ac:dyDescent="0.3">
      <c r="A318" s="1"/>
      <c r="J31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18" s="1">
        <f>L317+Table118192023103031323538394041481115182028[[#This Row],[اجمالي الفاتوره]]-Table118192023103031323538394041481115182028[[#This Row],[الدفعات]]</f>
        <v>712185.53</v>
      </c>
      <c r="N318" s="48"/>
    </row>
    <row r="319" spans="1:14" ht="24" customHeight="1" x14ac:dyDescent="0.3">
      <c r="A319" s="1"/>
      <c r="J31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19" s="1">
        <f>L318+Table118192023103031323538394041481115182028[[#This Row],[اجمالي الفاتوره]]-Table118192023103031323538394041481115182028[[#This Row],[الدفعات]]</f>
        <v>712185.53</v>
      </c>
      <c r="N319" s="48"/>
    </row>
    <row r="320" spans="1:14" ht="24" customHeight="1" x14ac:dyDescent="0.3">
      <c r="A320" s="1"/>
      <c r="J32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20" s="1">
        <f>L319+Table118192023103031323538394041481115182028[[#This Row],[اجمالي الفاتوره]]-Table118192023103031323538394041481115182028[[#This Row],[الدفعات]]</f>
        <v>712185.53</v>
      </c>
      <c r="N320" s="48"/>
    </row>
    <row r="321" spans="1:14" ht="24" customHeight="1" x14ac:dyDescent="0.3">
      <c r="A321" s="1"/>
      <c r="J32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21" s="1">
        <f>L320+Table118192023103031323538394041481115182028[[#This Row],[اجمالي الفاتوره]]-Table118192023103031323538394041481115182028[[#This Row],[الدفعات]]</f>
        <v>712185.53</v>
      </c>
      <c r="N321" s="48"/>
    </row>
    <row r="322" spans="1:14" ht="24" customHeight="1" x14ac:dyDescent="0.3">
      <c r="A322" s="1"/>
      <c r="J32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22" s="1">
        <f>L321+Table118192023103031323538394041481115182028[[#This Row],[اجمالي الفاتوره]]-Table118192023103031323538394041481115182028[[#This Row],[الدفعات]]</f>
        <v>712185.53</v>
      </c>
      <c r="N322" s="48"/>
    </row>
    <row r="323" spans="1:14" ht="24" customHeight="1" x14ac:dyDescent="0.3">
      <c r="A323" s="1"/>
      <c r="J32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23" s="1">
        <f>L322+Table118192023103031323538394041481115182028[[#This Row],[اجمالي الفاتوره]]-Table118192023103031323538394041481115182028[[#This Row],[الدفعات]]</f>
        <v>712185.53</v>
      </c>
      <c r="N323" s="48"/>
    </row>
    <row r="324" spans="1:14" ht="24" customHeight="1" x14ac:dyDescent="0.3">
      <c r="A324" s="1"/>
      <c r="J32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24" s="1">
        <f>L323+Table118192023103031323538394041481115182028[[#This Row],[اجمالي الفاتوره]]-Table118192023103031323538394041481115182028[[#This Row],[الدفعات]]</f>
        <v>712185.53</v>
      </c>
      <c r="N324" s="48"/>
    </row>
    <row r="325" spans="1:14" ht="24" customHeight="1" x14ac:dyDescent="0.3">
      <c r="A325" s="1"/>
      <c r="J32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25" s="1">
        <f>L324+Table118192023103031323538394041481115182028[[#This Row],[اجمالي الفاتوره]]-Table118192023103031323538394041481115182028[[#This Row],[الدفعات]]</f>
        <v>712185.53</v>
      </c>
      <c r="N325" s="48"/>
    </row>
    <row r="326" spans="1:14" ht="24" customHeight="1" x14ac:dyDescent="0.3">
      <c r="A326" s="1"/>
      <c r="J32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26" s="1">
        <f>L325+Table118192023103031323538394041481115182028[[#This Row],[اجمالي الفاتوره]]-Table118192023103031323538394041481115182028[[#This Row],[الدفعات]]</f>
        <v>712185.53</v>
      </c>
      <c r="N326" s="48"/>
    </row>
    <row r="327" spans="1:14" ht="24" customHeight="1" x14ac:dyDescent="0.3">
      <c r="A327" s="1"/>
      <c r="J32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27" s="1">
        <f>L326+Table118192023103031323538394041481115182028[[#This Row],[اجمالي الفاتوره]]-Table118192023103031323538394041481115182028[[#This Row],[الدفعات]]</f>
        <v>712185.53</v>
      </c>
      <c r="N327" s="48"/>
    </row>
    <row r="328" spans="1:14" ht="24" customHeight="1" x14ac:dyDescent="0.3">
      <c r="A328" s="1"/>
      <c r="J32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28" s="1">
        <f>L327+Table118192023103031323538394041481115182028[[#This Row],[اجمالي الفاتوره]]-Table118192023103031323538394041481115182028[[#This Row],[الدفعات]]</f>
        <v>712185.53</v>
      </c>
      <c r="N328" s="48"/>
    </row>
    <row r="329" spans="1:14" ht="24" customHeight="1" x14ac:dyDescent="0.3">
      <c r="A329" s="1"/>
      <c r="J32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29" s="1">
        <f>L328+Table118192023103031323538394041481115182028[[#This Row],[اجمالي الفاتوره]]-Table118192023103031323538394041481115182028[[#This Row],[الدفعات]]</f>
        <v>712185.53</v>
      </c>
      <c r="N329" s="48"/>
    </row>
    <row r="330" spans="1:14" ht="24" customHeight="1" x14ac:dyDescent="0.3">
      <c r="A330" s="1"/>
      <c r="J33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30" s="1">
        <f>L329+Table118192023103031323538394041481115182028[[#This Row],[اجمالي الفاتوره]]-Table118192023103031323538394041481115182028[[#This Row],[الدفعات]]</f>
        <v>712185.53</v>
      </c>
      <c r="N330" s="48"/>
    </row>
    <row r="331" spans="1:14" ht="24" customHeight="1" x14ac:dyDescent="0.3">
      <c r="A331" s="1"/>
      <c r="J33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31" s="1">
        <f>L330+Table118192023103031323538394041481115182028[[#This Row],[اجمالي الفاتوره]]-Table118192023103031323538394041481115182028[[#This Row],[الدفعات]]</f>
        <v>712185.53</v>
      </c>
      <c r="N331" s="48"/>
    </row>
    <row r="332" spans="1:14" ht="24" customHeight="1" x14ac:dyDescent="0.3">
      <c r="A332" s="1"/>
      <c r="J33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32" s="1">
        <f>L331+Table118192023103031323538394041481115182028[[#This Row],[اجمالي الفاتوره]]-Table118192023103031323538394041481115182028[[#This Row],[الدفعات]]</f>
        <v>712185.53</v>
      </c>
      <c r="N332" s="48"/>
    </row>
    <row r="333" spans="1:14" ht="24" customHeight="1" x14ac:dyDescent="0.3">
      <c r="A333" s="1"/>
      <c r="J33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33" s="1">
        <f>L332+Table118192023103031323538394041481115182028[[#This Row],[اجمالي الفاتوره]]-Table118192023103031323538394041481115182028[[#This Row],[الدفعات]]</f>
        <v>712185.53</v>
      </c>
      <c r="N333" s="48"/>
    </row>
    <row r="334" spans="1:14" ht="24" customHeight="1" x14ac:dyDescent="0.3">
      <c r="A334" s="1"/>
      <c r="J33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34" s="1">
        <f>L333+Table118192023103031323538394041481115182028[[#This Row],[اجمالي الفاتوره]]-Table118192023103031323538394041481115182028[[#This Row],[الدفعات]]</f>
        <v>712185.53</v>
      </c>
      <c r="N334" s="48"/>
    </row>
    <row r="335" spans="1:14" ht="24" customHeight="1" x14ac:dyDescent="0.3">
      <c r="A335" s="1"/>
      <c r="J33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35" s="1">
        <f>L334+Table118192023103031323538394041481115182028[[#This Row],[اجمالي الفاتوره]]-Table118192023103031323538394041481115182028[[#This Row],[الدفعات]]</f>
        <v>712185.53</v>
      </c>
      <c r="N335" s="48"/>
    </row>
    <row r="336" spans="1:14" ht="24" customHeight="1" x14ac:dyDescent="0.3">
      <c r="A336" s="1"/>
      <c r="J33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36" s="1">
        <f>L335+Table118192023103031323538394041481115182028[[#This Row],[اجمالي الفاتوره]]-Table118192023103031323538394041481115182028[[#This Row],[الدفعات]]</f>
        <v>712185.53</v>
      </c>
      <c r="N336" s="48"/>
    </row>
    <row r="337" spans="1:14" ht="24" customHeight="1" x14ac:dyDescent="0.3">
      <c r="A337" s="1"/>
      <c r="J33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37" s="1">
        <f>L336+Table118192023103031323538394041481115182028[[#This Row],[اجمالي الفاتوره]]-Table118192023103031323538394041481115182028[[#This Row],[الدفعات]]</f>
        <v>712185.53</v>
      </c>
      <c r="N337" s="48"/>
    </row>
    <row r="338" spans="1:14" ht="24" customHeight="1" x14ac:dyDescent="0.3">
      <c r="A338" s="1"/>
      <c r="J33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38" s="1">
        <f>L337+Table118192023103031323538394041481115182028[[#This Row],[اجمالي الفاتوره]]-Table118192023103031323538394041481115182028[[#This Row],[الدفعات]]</f>
        <v>712185.53</v>
      </c>
      <c r="N338" s="48"/>
    </row>
    <row r="339" spans="1:14" ht="24" customHeight="1" x14ac:dyDescent="0.3">
      <c r="A339" s="1"/>
      <c r="J33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39" s="1">
        <f>L338+Table118192023103031323538394041481115182028[[#This Row],[اجمالي الفاتوره]]-Table118192023103031323538394041481115182028[[#This Row],[الدفعات]]</f>
        <v>712185.53</v>
      </c>
      <c r="N339" s="48"/>
    </row>
    <row r="340" spans="1:14" ht="24" customHeight="1" x14ac:dyDescent="0.3">
      <c r="A340" s="1"/>
      <c r="J340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40" s="1">
        <f>L339+Table118192023103031323538394041481115182028[[#This Row],[اجمالي الفاتوره]]-Table118192023103031323538394041481115182028[[#This Row],[الدفعات]]</f>
        <v>712185.53</v>
      </c>
      <c r="N340" s="48"/>
    </row>
    <row r="341" spans="1:14" ht="24" customHeight="1" x14ac:dyDescent="0.3">
      <c r="A341" s="1"/>
      <c r="J341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41" s="1">
        <f>L340+Table118192023103031323538394041481115182028[[#This Row],[اجمالي الفاتوره]]-Table118192023103031323538394041481115182028[[#This Row],[الدفعات]]</f>
        <v>712185.53</v>
      </c>
      <c r="N341" s="48"/>
    </row>
    <row r="342" spans="1:14" ht="24" customHeight="1" x14ac:dyDescent="0.3">
      <c r="A342" s="1"/>
      <c r="J342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42" s="1">
        <f>L341+Table118192023103031323538394041481115182028[[#This Row],[اجمالي الفاتوره]]-Table118192023103031323538394041481115182028[[#This Row],[الدفعات]]</f>
        <v>712185.53</v>
      </c>
      <c r="N342" s="48"/>
    </row>
    <row r="343" spans="1:14" ht="24" customHeight="1" x14ac:dyDescent="0.3">
      <c r="A343" s="1"/>
      <c r="J343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43" s="1">
        <f>L342+Table118192023103031323538394041481115182028[[#This Row],[اجمالي الفاتوره]]-Table118192023103031323538394041481115182028[[#This Row],[الدفعات]]</f>
        <v>712185.53</v>
      </c>
      <c r="N343" s="48"/>
    </row>
    <row r="344" spans="1:14" ht="24" customHeight="1" x14ac:dyDescent="0.3">
      <c r="A344" s="1"/>
      <c r="J344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44" s="1">
        <f>L343+Table118192023103031323538394041481115182028[[#This Row],[اجمالي الفاتوره]]-Table118192023103031323538394041481115182028[[#This Row],[الدفعات]]</f>
        <v>712185.53</v>
      </c>
      <c r="N344" s="48"/>
    </row>
    <row r="345" spans="1:14" ht="24" customHeight="1" x14ac:dyDescent="0.3">
      <c r="A345" s="1"/>
      <c r="J345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45" s="1">
        <f>L344+Table118192023103031323538394041481115182028[[#This Row],[اجمالي الفاتوره]]-Table118192023103031323538394041481115182028[[#This Row],[الدفعات]]</f>
        <v>712185.53</v>
      </c>
      <c r="N345" s="48"/>
    </row>
    <row r="346" spans="1:14" ht="24" customHeight="1" x14ac:dyDescent="0.3">
      <c r="A346" s="1"/>
      <c r="J346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46" s="1">
        <f>L345+Table118192023103031323538394041481115182028[[#This Row],[اجمالي الفاتوره]]-Table118192023103031323538394041481115182028[[#This Row],[الدفعات]]</f>
        <v>712185.53</v>
      </c>
      <c r="N346" s="48"/>
    </row>
    <row r="347" spans="1:14" ht="24" customHeight="1" x14ac:dyDescent="0.3">
      <c r="A347" s="1"/>
      <c r="J347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47" s="1">
        <f>L346+Table118192023103031323538394041481115182028[[#This Row],[اجمالي الفاتوره]]-Table118192023103031323538394041481115182028[[#This Row],[الدفعات]]</f>
        <v>712185.53</v>
      </c>
      <c r="N347" s="48"/>
    </row>
    <row r="348" spans="1:14" ht="24" customHeight="1" x14ac:dyDescent="0.3">
      <c r="A348" s="1"/>
      <c r="J348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48" s="1">
        <f>L347+Table118192023103031323538394041481115182028[[#This Row],[اجمالي الفاتوره]]-Table118192023103031323538394041481115182028[[#This Row],[الدفعات]]</f>
        <v>712185.53</v>
      </c>
      <c r="N348" s="48"/>
    </row>
    <row r="349" spans="1:14" ht="24" customHeight="1" x14ac:dyDescent="0.3">
      <c r="A349" s="1"/>
      <c r="J349" s="1">
        <f>Table118192023103031323538394041481115182028[[#This Row],[النولون]]+Table118192023103031323538394041481115182028[[#This Row],[الايصالات]]+Table118192023103031323538394041481115182028[[#This Row],[قيمة مضافة]]</f>
        <v>0</v>
      </c>
      <c r="L349" s="1">
        <f>L348+Table118192023103031323538394041481115182028[[#This Row],[اجمالي الفاتوره]]-Table118192023103031323538394041481115182028[[#This Row],[الدفعات]]</f>
        <v>712185.53</v>
      </c>
      <c r="N349" s="48"/>
    </row>
  </sheetData>
  <phoneticPr fontId="2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339"/>
  <sheetViews>
    <sheetView rightToLeft="1" topLeftCell="A2" workbookViewId="0">
      <selection activeCell="I8" sqref="I8"/>
    </sheetView>
  </sheetViews>
  <sheetFormatPr defaultColWidth="9.109375" defaultRowHeight="15.6" x14ac:dyDescent="0.3"/>
  <cols>
    <col min="1" max="1" width="9.109375" style="6"/>
    <col min="2" max="2" width="5.44140625" style="1" customWidth="1"/>
    <col min="3" max="3" width="11" style="1" customWidth="1"/>
    <col min="4" max="4" width="15.109375" style="1" customWidth="1"/>
    <col min="5" max="5" width="14.77734375" style="1" customWidth="1"/>
    <col min="6" max="6" width="13.33203125" style="1" customWidth="1"/>
    <col min="7" max="7" width="11.88671875" style="1" customWidth="1"/>
    <col min="8" max="8" width="11.6640625" style="1" customWidth="1"/>
    <col min="9" max="9" width="8.33203125" style="1" customWidth="1"/>
    <col min="10" max="10" width="10.77734375" style="1" customWidth="1"/>
    <col min="11" max="11" width="12" style="1" customWidth="1"/>
    <col min="12" max="12" width="12.77734375" style="1" customWidth="1"/>
    <col min="13" max="13" width="15.21875" style="1" customWidth="1"/>
    <col min="14" max="16384" width="9.109375" style="1"/>
  </cols>
  <sheetData>
    <row r="1" spans="1:15" ht="26.25" customHeight="1" x14ac:dyDescent="0.3">
      <c r="A1" s="6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8" t="s">
        <v>20</v>
      </c>
    </row>
    <row r="2" spans="1:15" ht="26.25" customHeight="1" x14ac:dyDescent="0.3">
      <c r="A2" s="6">
        <v>1262</v>
      </c>
      <c r="B2" s="1">
        <v>1</v>
      </c>
      <c r="C2" s="2" t="s">
        <v>237</v>
      </c>
      <c r="D2" s="1" t="s">
        <v>244</v>
      </c>
      <c r="E2" s="1" t="s">
        <v>373</v>
      </c>
      <c r="F2" s="1">
        <v>1257</v>
      </c>
      <c r="G2" s="1" t="s">
        <v>245</v>
      </c>
      <c r="H2" s="1">
        <f>29500*2</f>
        <v>59000</v>
      </c>
      <c r="J2" s="1">
        <f>100*2+5*50+240+490*2+1100*2+97.5*2+475.5+425.5+8433.36</f>
        <v>13399.36</v>
      </c>
      <c r="K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72399.360000000001</v>
      </c>
      <c r="M2" s="1">
        <f>Table1181920231030313235383940414811151820284359[[#This Row],[اجمالي الفاتوره]]-L2</f>
        <v>72399.360000000001</v>
      </c>
      <c r="O2" s="48"/>
    </row>
    <row r="3" spans="1:15" ht="26.25" customHeight="1" x14ac:dyDescent="0.3">
      <c r="A3" s="74"/>
      <c r="B3" s="72"/>
      <c r="C3" s="73" t="s">
        <v>388</v>
      </c>
      <c r="D3" s="73"/>
      <c r="E3" s="72"/>
      <c r="F3" s="72"/>
      <c r="G3" s="72"/>
      <c r="H3" s="72"/>
      <c r="I3" s="72"/>
      <c r="J3" s="72"/>
      <c r="K3" s="72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L3" s="72">
        <v>70629.36</v>
      </c>
      <c r="M3" s="72">
        <f>M2+Table1181920231030313235383940414811151820284359[[#This Row],[اجمالي الفاتوره]]-Table1181920231030313235383940414811151820284359[[#This Row],[الدفعات]]</f>
        <v>1770</v>
      </c>
      <c r="O3" s="48"/>
    </row>
    <row r="4" spans="1:15" ht="26.25" customHeight="1" x14ac:dyDescent="0.3">
      <c r="A4" s="50">
        <v>1342</v>
      </c>
      <c r="B4" s="1">
        <v>2</v>
      </c>
      <c r="C4" s="2" t="s">
        <v>407</v>
      </c>
      <c r="D4" s="1" t="s">
        <v>244</v>
      </c>
      <c r="E4" s="1" t="s">
        <v>373</v>
      </c>
      <c r="F4" s="1">
        <v>3748</v>
      </c>
      <c r="G4" s="1" t="s">
        <v>133</v>
      </c>
      <c r="H4" s="1">
        <v>32500</v>
      </c>
      <c r="J4" s="1">
        <f>850+100*3+120+1150+443+197.5+2108.34</f>
        <v>5168.84</v>
      </c>
      <c r="K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37668.839999999997</v>
      </c>
      <c r="M4" s="1">
        <f>M3+Table1181920231030313235383940414811151820284359[[#This Row],[اجمالي الفاتوره]]-Table1181920231030313235383940414811151820284359[[#This Row],[الدفعات]]</f>
        <v>39438.839999999997</v>
      </c>
      <c r="O4" s="48"/>
    </row>
    <row r="5" spans="1:15" ht="26.25" customHeight="1" x14ac:dyDescent="0.3">
      <c r="A5" s="6">
        <v>1344</v>
      </c>
      <c r="B5" s="1">
        <v>3</v>
      </c>
      <c r="C5" s="2" t="s">
        <v>407</v>
      </c>
      <c r="D5" s="1" t="s">
        <v>244</v>
      </c>
      <c r="E5" s="1" t="s">
        <v>178</v>
      </c>
      <c r="F5" s="1">
        <v>2807800</v>
      </c>
      <c r="G5" s="1" t="s">
        <v>266</v>
      </c>
      <c r="H5" s="1">
        <f>28000*6</f>
        <v>168000</v>
      </c>
      <c r="J5" s="1">
        <f>8*100+120+9*50+5*490+365.21*6+12684+8250+1200*6+9496.2</f>
        <v>43641.460000000006</v>
      </c>
      <c r="K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211641.46000000002</v>
      </c>
      <c r="M5" s="1">
        <f>M4+Table1181920231030313235383940414811151820284359[[#This Row],[اجمالي الفاتوره]]-Table1181920231030313235383940414811151820284359[[#This Row],[الدفعات]]</f>
        <v>251080.30000000002</v>
      </c>
      <c r="O5" s="48"/>
    </row>
    <row r="6" spans="1:15" ht="26.25" customHeight="1" x14ac:dyDescent="0.3">
      <c r="A6" s="6">
        <v>1365</v>
      </c>
      <c r="B6" s="1">
        <v>4</v>
      </c>
      <c r="C6" s="2">
        <v>46119</v>
      </c>
      <c r="D6" s="1" t="s">
        <v>244</v>
      </c>
      <c r="E6" s="1" t="s">
        <v>178</v>
      </c>
      <c r="F6" s="1">
        <v>899831</v>
      </c>
      <c r="G6" s="1" t="s">
        <v>133</v>
      </c>
      <c r="H6" s="1">
        <v>28000</v>
      </c>
      <c r="J6" s="1">
        <f>100*2+850+365.21+105.79+490+1200+798+342+300+79.8</f>
        <v>4730.8</v>
      </c>
      <c r="K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32730.799999999999</v>
      </c>
      <c r="M6" s="1">
        <f>M5+Table1181920231030313235383940414811151820284359[[#This Row],[اجمالي الفاتوره]]-Table1181920231030313235383940414811151820284359[[#This Row],[الدفعات]]</f>
        <v>283811.10000000003</v>
      </c>
      <c r="O6" s="48"/>
    </row>
    <row r="7" spans="1:15" ht="26.25" customHeight="1" x14ac:dyDescent="0.3">
      <c r="A7" s="74"/>
      <c r="B7" s="96"/>
      <c r="C7" s="98">
        <v>46158</v>
      </c>
      <c r="D7" s="96"/>
      <c r="E7" s="96"/>
      <c r="F7" s="96"/>
      <c r="G7" s="96"/>
      <c r="H7" s="96"/>
      <c r="I7" s="96"/>
      <c r="J7" s="96"/>
      <c r="K7" s="96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L7" s="96">
        <v>282040.7</v>
      </c>
      <c r="M7" s="72">
        <f>M6+Table1181920231030313235383940414811151820284359[[#This Row],[اجمالي الفاتوره]]-Table1181920231030313235383940414811151820284359[[#This Row],[الدفعات]]</f>
        <v>1770.4000000000233</v>
      </c>
      <c r="N7" s="95"/>
      <c r="O7" s="95"/>
    </row>
    <row r="8" spans="1:15" ht="26.25" customHeight="1" x14ac:dyDescent="0.3">
      <c r="A8" s="6">
        <v>1439</v>
      </c>
      <c r="B8" s="1">
        <v>5</v>
      </c>
      <c r="C8" s="2">
        <v>46145</v>
      </c>
      <c r="D8" s="1" t="s">
        <v>244</v>
      </c>
      <c r="E8" s="1" t="s">
        <v>178</v>
      </c>
      <c r="F8" s="1">
        <v>172629</v>
      </c>
      <c r="G8" s="1" t="s">
        <v>245</v>
      </c>
      <c r="H8" s="1">
        <f>28000*2</f>
        <v>56000</v>
      </c>
      <c r="I8" s="1">
        <f>0.14*Table1181920231030313235383940414811151820284359[[#This Row],[النولون]]</f>
        <v>7840.0000000000009</v>
      </c>
      <c r="J8" s="1">
        <f>100*3+1130+1150+1440.8+105.79+1150.1+490+2964*2</f>
        <v>11694.69</v>
      </c>
      <c r="K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75534.69</v>
      </c>
      <c r="M8" s="1">
        <f>M7+Table1181920231030313235383940414811151820284359[[#This Row],[اجمالي الفاتوره]]-Table1181920231030313235383940414811151820284359[[#This Row],[الدفعات]]</f>
        <v>77305.090000000026</v>
      </c>
      <c r="O8" s="48"/>
    </row>
    <row r="9" spans="1:15" ht="26.25" customHeight="1" x14ac:dyDescent="0.3">
      <c r="A9" s="74"/>
      <c r="B9" s="72"/>
      <c r="C9" s="73">
        <v>46166</v>
      </c>
      <c r="D9" s="72"/>
      <c r="E9" s="72"/>
      <c r="F9" s="72"/>
      <c r="G9" s="85"/>
      <c r="H9" s="72"/>
      <c r="I9" s="72"/>
      <c r="J9" s="72"/>
      <c r="K9" s="72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L9" s="72">
        <f>63840+11694.69</f>
        <v>75534.69</v>
      </c>
      <c r="M9" s="72">
        <f>M8+Table1181920231030313235383940414811151820284359[[#This Row],[اجمالي الفاتوره]]-Table1181920231030313235383940414811151820284359[[#This Row],[الدفعات]]</f>
        <v>1770.4000000000233</v>
      </c>
      <c r="O9" s="48"/>
    </row>
    <row r="10" spans="1:15" ht="26.25" customHeight="1" x14ac:dyDescent="0.3">
      <c r="C10" s="2"/>
      <c r="E10" s="20"/>
      <c r="F10" s="20"/>
      <c r="K1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0" s="1">
        <f>M9+Table1181920231030313235383940414811151820284359[[#This Row],[اجمالي الفاتوره]]-Table1181920231030313235383940414811151820284359[[#This Row],[الدفعات]]</f>
        <v>1770.4000000000233</v>
      </c>
      <c r="O10" s="48"/>
    </row>
    <row r="11" spans="1:15" ht="26.25" customHeight="1" x14ac:dyDescent="0.3">
      <c r="C11" s="2"/>
      <c r="F11" s="20"/>
      <c r="K1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1" s="1">
        <f>M10+Table1181920231030313235383940414811151820284359[[#This Row],[اجمالي الفاتوره]]-Table1181920231030313235383940414811151820284359[[#This Row],[الدفعات]]</f>
        <v>1770.4000000000233</v>
      </c>
      <c r="O11" s="48"/>
    </row>
    <row r="12" spans="1:15" ht="26.25" customHeight="1" x14ac:dyDescent="0.3">
      <c r="C12" s="2"/>
      <c r="F12" s="20"/>
      <c r="K1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2" s="1">
        <f>M11+Table1181920231030313235383940414811151820284359[[#This Row],[اجمالي الفاتوره]]-Table1181920231030313235383940414811151820284359[[#This Row],[الدفعات]]</f>
        <v>1770.4000000000233</v>
      </c>
      <c r="O12" s="48"/>
    </row>
    <row r="13" spans="1:15" ht="26.25" customHeight="1" x14ac:dyDescent="0.3">
      <c r="C13" s="2"/>
      <c r="K1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3" s="1">
        <f>M12+Table1181920231030313235383940414811151820284359[[#This Row],[اجمالي الفاتوره]]-Table1181920231030313235383940414811151820284359[[#This Row],[الدفعات]]</f>
        <v>1770.4000000000233</v>
      </c>
      <c r="N13" s="1">
        <f>SUM(K:K)-SUM(L:L)</f>
        <v>1770.4000000000233</v>
      </c>
      <c r="O13" s="48">
        <f>SUM(I:I)</f>
        <v>7840.0000000000009</v>
      </c>
    </row>
    <row r="14" spans="1:15" ht="26.25" customHeight="1" x14ac:dyDescent="0.3">
      <c r="C14" s="2"/>
      <c r="K1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4" s="1">
        <f>M13+Table1181920231030313235383940414811151820284359[[#This Row],[اجمالي الفاتوره]]-Table1181920231030313235383940414811151820284359[[#This Row],[الدفعات]]</f>
        <v>1770.4000000000233</v>
      </c>
      <c r="O14" s="48"/>
    </row>
    <row r="15" spans="1:15" ht="26.25" customHeight="1" x14ac:dyDescent="0.3">
      <c r="C15" s="2"/>
      <c r="K1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5" s="1">
        <f>M14+Table1181920231030313235383940414811151820284359[[#This Row],[اجمالي الفاتوره]]-Table1181920231030313235383940414811151820284359[[#This Row],[الدفعات]]</f>
        <v>1770.4000000000233</v>
      </c>
      <c r="O15" s="48"/>
    </row>
    <row r="16" spans="1:15" ht="26.25" customHeight="1" x14ac:dyDescent="0.3">
      <c r="C16" s="2"/>
      <c r="K1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6" s="1">
        <f>M15+Table1181920231030313235383940414811151820284359[[#This Row],[اجمالي الفاتوره]]-Table1181920231030313235383940414811151820284359[[#This Row],[الدفعات]]</f>
        <v>1770.4000000000233</v>
      </c>
      <c r="O16" s="48"/>
    </row>
    <row r="17" spans="1:15" ht="26.25" customHeight="1" x14ac:dyDescent="0.3">
      <c r="C17" s="2"/>
      <c r="K1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7" s="1">
        <f>M16+Table1181920231030313235383940414811151820284359[[#This Row],[اجمالي الفاتوره]]-Table1181920231030313235383940414811151820284359[[#This Row],[الدفعات]]</f>
        <v>1770.4000000000233</v>
      </c>
      <c r="O17" s="48"/>
    </row>
    <row r="18" spans="1:15" x14ac:dyDescent="0.3">
      <c r="A18" s="1"/>
      <c r="C18" s="2"/>
      <c r="K1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8" s="1">
        <f>M17+Table1181920231030313235383940414811151820284359[[#This Row],[اجمالي الفاتوره]]-Table1181920231030313235383940414811151820284359[[#This Row],[الدفعات]]</f>
        <v>1770.4000000000233</v>
      </c>
      <c r="O18" s="48"/>
    </row>
    <row r="19" spans="1:15" x14ac:dyDescent="0.3">
      <c r="A19" s="1"/>
      <c r="C19" s="2"/>
      <c r="K1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9" s="1">
        <f>M18+Table1181920231030313235383940414811151820284359[[#This Row],[اجمالي الفاتوره]]-Table1181920231030313235383940414811151820284359[[#This Row],[الدفعات]]</f>
        <v>1770.4000000000233</v>
      </c>
      <c r="O19" s="48"/>
    </row>
    <row r="20" spans="1:15" x14ac:dyDescent="0.3">
      <c r="A20" s="1"/>
      <c r="C20" s="2"/>
      <c r="K2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0" s="1">
        <f>M19+Table1181920231030313235383940414811151820284359[[#This Row],[اجمالي الفاتوره]]-Table1181920231030313235383940414811151820284359[[#This Row],[الدفعات]]</f>
        <v>1770.4000000000233</v>
      </c>
      <c r="O20" s="48"/>
    </row>
    <row r="21" spans="1:15" x14ac:dyDescent="0.3">
      <c r="A21" s="1"/>
      <c r="C21" s="2"/>
      <c r="K2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1" s="1">
        <f>M20+Table1181920231030313235383940414811151820284359[[#This Row],[اجمالي الفاتوره]]-Table1181920231030313235383940414811151820284359[[#This Row],[الدفعات]]</f>
        <v>1770.4000000000233</v>
      </c>
      <c r="O21" s="48"/>
    </row>
    <row r="22" spans="1:15" x14ac:dyDescent="0.3">
      <c r="A22" s="1"/>
      <c r="C22" s="2"/>
      <c r="K2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2" s="1">
        <f>M21+Table1181920231030313235383940414811151820284359[[#This Row],[اجمالي الفاتوره]]-Table1181920231030313235383940414811151820284359[[#This Row],[الدفعات]]</f>
        <v>1770.4000000000233</v>
      </c>
      <c r="O22" s="48"/>
    </row>
    <row r="23" spans="1:15" x14ac:dyDescent="0.3">
      <c r="A23" s="1"/>
      <c r="C23" s="2"/>
      <c r="K2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3" s="1">
        <f>M22+Table1181920231030313235383940414811151820284359[[#This Row],[اجمالي الفاتوره]]-Table1181920231030313235383940414811151820284359[[#This Row],[الدفعات]]</f>
        <v>1770.4000000000233</v>
      </c>
      <c r="O23" s="48"/>
    </row>
    <row r="24" spans="1:15" x14ac:dyDescent="0.3">
      <c r="A24" s="1"/>
      <c r="C24" s="2"/>
      <c r="K2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4" s="1">
        <f>M23+Table1181920231030313235383940414811151820284359[[#This Row],[اجمالي الفاتوره]]-Table1181920231030313235383940414811151820284359[[#This Row],[الدفعات]]</f>
        <v>1770.4000000000233</v>
      </c>
      <c r="O24" s="48"/>
    </row>
    <row r="25" spans="1:15" x14ac:dyDescent="0.3">
      <c r="A25" s="1"/>
      <c r="K2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5" s="1">
        <f>M24+Table1181920231030313235383940414811151820284359[[#This Row],[اجمالي الفاتوره]]-Table1181920231030313235383940414811151820284359[[#This Row],[الدفعات]]</f>
        <v>1770.4000000000233</v>
      </c>
      <c r="O25" s="48"/>
    </row>
    <row r="26" spans="1:15" x14ac:dyDescent="0.3">
      <c r="A26" s="1"/>
      <c r="K2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6" s="1">
        <f>M25+Table1181920231030313235383940414811151820284359[[#This Row],[اجمالي الفاتوره]]-Table1181920231030313235383940414811151820284359[[#This Row],[الدفعات]]</f>
        <v>1770.4000000000233</v>
      </c>
      <c r="O26" s="48"/>
    </row>
    <row r="27" spans="1:15" x14ac:dyDescent="0.3">
      <c r="A27" s="1"/>
      <c r="C27" s="2"/>
      <c r="K2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7" s="1">
        <f>M26+Table1181920231030313235383940414811151820284359[[#This Row],[اجمالي الفاتوره]]-Table1181920231030313235383940414811151820284359[[#This Row],[الدفعات]]</f>
        <v>1770.4000000000233</v>
      </c>
      <c r="O27" s="48"/>
    </row>
    <row r="28" spans="1:15" x14ac:dyDescent="0.3">
      <c r="A28" s="1"/>
      <c r="C28" s="2"/>
      <c r="K2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8" s="1">
        <f>M27+Table1181920231030313235383940414811151820284359[[#This Row],[اجمالي الفاتوره]]-Table1181920231030313235383940414811151820284359[[#This Row],[الدفعات]]</f>
        <v>1770.4000000000233</v>
      </c>
      <c r="O28" s="48"/>
    </row>
    <row r="29" spans="1:15" x14ac:dyDescent="0.3">
      <c r="A29" s="1"/>
      <c r="C29" s="2"/>
      <c r="K2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9" s="1">
        <f>M28+Table1181920231030313235383940414811151820284359[[#This Row],[اجمالي الفاتوره]]-Table1181920231030313235383940414811151820284359[[#This Row],[الدفعات]]</f>
        <v>1770.4000000000233</v>
      </c>
      <c r="O29" s="48"/>
    </row>
    <row r="30" spans="1:15" x14ac:dyDescent="0.3">
      <c r="A30" s="1"/>
      <c r="C30" s="2"/>
      <c r="K3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0" s="1">
        <f>M29+Table1181920231030313235383940414811151820284359[[#This Row],[اجمالي الفاتوره]]-Table1181920231030313235383940414811151820284359[[#This Row],[الدفعات]]</f>
        <v>1770.4000000000233</v>
      </c>
      <c r="O30" s="48"/>
    </row>
    <row r="31" spans="1:15" x14ac:dyDescent="0.3">
      <c r="A31" s="1"/>
      <c r="K3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1" s="1">
        <f>M30+Table1181920231030313235383940414811151820284359[[#This Row],[اجمالي الفاتوره]]-Table1181920231030313235383940414811151820284359[[#This Row],[الدفعات]]</f>
        <v>1770.4000000000233</v>
      </c>
      <c r="O31" s="48"/>
    </row>
    <row r="32" spans="1:15" x14ac:dyDescent="0.3">
      <c r="A32" s="1"/>
      <c r="C32" s="2"/>
      <c r="K3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2" s="1">
        <f>M31+Table1181920231030313235383940414811151820284359[[#This Row],[اجمالي الفاتوره]]-Table1181920231030313235383940414811151820284359[[#This Row],[الدفعات]]</f>
        <v>1770.4000000000233</v>
      </c>
      <c r="O32" s="48"/>
    </row>
    <row r="33" spans="1:15" x14ac:dyDescent="0.3">
      <c r="A33" s="1"/>
      <c r="K3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3" s="1">
        <f>M32+Table1181920231030313235383940414811151820284359[[#This Row],[اجمالي الفاتوره]]-Table1181920231030313235383940414811151820284359[[#This Row],[الدفعات]]</f>
        <v>1770.4000000000233</v>
      </c>
      <c r="O33" s="48"/>
    </row>
    <row r="34" spans="1:15" x14ac:dyDescent="0.3">
      <c r="A34" s="1"/>
      <c r="K3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4" s="1">
        <f>M33+Table1181920231030313235383940414811151820284359[[#This Row],[اجمالي الفاتوره]]-Table1181920231030313235383940414811151820284359[[#This Row],[الدفعات]]</f>
        <v>1770.4000000000233</v>
      </c>
      <c r="O34" s="48"/>
    </row>
    <row r="35" spans="1:15" x14ac:dyDescent="0.3">
      <c r="A35" s="1"/>
      <c r="K3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5" s="1">
        <f>M34+Table1181920231030313235383940414811151820284359[[#This Row],[اجمالي الفاتوره]]-Table1181920231030313235383940414811151820284359[[#This Row],[الدفعات]]</f>
        <v>1770.4000000000233</v>
      </c>
      <c r="O35" s="48"/>
    </row>
    <row r="36" spans="1:15" x14ac:dyDescent="0.3">
      <c r="A36" s="1"/>
      <c r="C36" s="2"/>
      <c r="D36" s="2"/>
      <c r="K3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6" s="1">
        <f>M35+Table1181920231030313235383940414811151820284359[[#This Row],[اجمالي الفاتوره]]-Table1181920231030313235383940414811151820284359[[#This Row],[الدفعات]]</f>
        <v>1770.4000000000233</v>
      </c>
      <c r="O36" s="48"/>
    </row>
    <row r="37" spans="1:15" x14ac:dyDescent="0.3">
      <c r="A37" s="1"/>
      <c r="K3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7" s="1">
        <f>M36+Table1181920231030313235383940414811151820284359[[#This Row],[اجمالي الفاتوره]]-Table1181920231030313235383940414811151820284359[[#This Row],[الدفعات]]</f>
        <v>1770.4000000000233</v>
      </c>
      <c r="O37" s="48"/>
    </row>
    <row r="38" spans="1:15" x14ac:dyDescent="0.3">
      <c r="A38" s="1"/>
      <c r="K3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8" s="1">
        <f>M37+Table1181920231030313235383940414811151820284359[[#This Row],[اجمالي الفاتوره]]-Table1181920231030313235383940414811151820284359[[#This Row],[الدفعات]]</f>
        <v>1770.4000000000233</v>
      </c>
      <c r="O38" s="48"/>
    </row>
    <row r="39" spans="1:15" x14ac:dyDescent="0.3">
      <c r="A39" s="1"/>
      <c r="K3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9" s="1">
        <f>M38+Table1181920231030313235383940414811151820284359[[#This Row],[اجمالي الفاتوره]]-Table1181920231030313235383940414811151820284359[[#This Row],[الدفعات]]</f>
        <v>1770.4000000000233</v>
      </c>
      <c r="O39" s="48"/>
    </row>
    <row r="40" spans="1:15" x14ac:dyDescent="0.3">
      <c r="A40" s="1"/>
      <c r="K4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40" s="1">
        <f>M39+Table1181920231030313235383940414811151820284359[[#This Row],[اجمالي الفاتوره]]-Table1181920231030313235383940414811151820284359[[#This Row],[الدفعات]]</f>
        <v>1770.4000000000233</v>
      </c>
      <c r="O40" s="48"/>
    </row>
    <row r="41" spans="1:15" x14ac:dyDescent="0.3">
      <c r="A41" s="1"/>
      <c r="K4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41" s="1">
        <f>M40+Table1181920231030313235383940414811151820284359[[#This Row],[اجمالي الفاتوره]]-Table1181920231030313235383940414811151820284359[[#This Row],[الدفعات]]</f>
        <v>1770.4000000000233</v>
      </c>
      <c r="O41" s="48"/>
    </row>
    <row r="42" spans="1:15" x14ac:dyDescent="0.3">
      <c r="A42" s="1"/>
      <c r="K4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42" s="1">
        <f>M41+Table1181920231030313235383940414811151820284359[[#This Row],[اجمالي الفاتوره]]-Table1181920231030313235383940414811151820284359[[#This Row],[الدفعات]]</f>
        <v>1770.4000000000233</v>
      </c>
      <c r="O42" s="48"/>
    </row>
    <row r="43" spans="1:15" x14ac:dyDescent="0.3">
      <c r="A43" s="1"/>
      <c r="K4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43" s="1">
        <f>M42+Table1181920231030313235383940414811151820284359[[#This Row],[اجمالي الفاتوره]]-Table1181920231030313235383940414811151820284359[[#This Row],[الدفعات]]</f>
        <v>1770.4000000000233</v>
      </c>
      <c r="O43" s="48"/>
    </row>
    <row r="44" spans="1:15" x14ac:dyDescent="0.3">
      <c r="A44" s="1"/>
      <c r="K4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44" s="1">
        <f>M43+Table1181920231030313235383940414811151820284359[[#This Row],[اجمالي الفاتوره]]-Table1181920231030313235383940414811151820284359[[#This Row],[الدفعات]]</f>
        <v>1770.4000000000233</v>
      </c>
      <c r="O44" s="48"/>
    </row>
    <row r="45" spans="1:15" x14ac:dyDescent="0.3">
      <c r="A45" s="1"/>
      <c r="K4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45" s="1">
        <f>M44+Table1181920231030313235383940414811151820284359[[#This Row],[اجمالي الفاتوره]]-Table1181920231030313235383940414811151820284359[[#This Row],[الدفعات]]</f>
        <v>1770.4000000000233</v>
      </c>
      <c r="O45" s="48"/>
    </row>
    <row r="46" spans="1:15" x14ac:dyDescent="0.3">
      <c r="A46" s="1"/>
      <c r="K4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46" s="1">
        <f>M45+Table1181920231030313235383940414811151820284359[[#This Row],[اجمالي الفاتوره]]-Table1181920231030313235383940414811151820284359[[#This Row],[الدفعات]]</f>
        <v>1770.4000000000233</v>
      </c>
      <c r="O46" s="48"/>
    </row>
    <row r="47" spans="1:15" x14ac:dyDescent="0.3">
      <c r="A47" s="1"/>
      <c r="K4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47" s="1">
        <f>M46+Table1181920231030313235383940414811151820284359[[#This Row],[اجمالي الفاتوره]]-Table1181920231030313235383940414811151820284359[[#This Row],[الدفعات]]</f>
        <v>1770.4000000000233</v>
      </c>
      <c r="O47" s="48"/>
    </row>
    <row r="48" spans="1:15" x14ac:dyDescent="0.3">
      <c r="A48" s="1"/>
      <c r="K4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48" s="1">
        <f>M47+Table1181920231030313235383940414811151820284359[[#This Row],[اجمالي الفاتوره]]-Table1181920231030313235383940414811151820284359[[#This Row],[الدفعات]]</f>
        <v>1770.4000000000233</v>
      </c>
      <c r="O48" s="48"/>
    </row>
    <row r="49" spans="1:15" x14ac:dyDescent="0.3">
      <c r="A49" s="1"/>
      <c r="K4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49" s="1">
        <f>M48+Table1181920231030313235383940414811151820284359[[#This Row],[اجمالي الفاتوره]]-Table1181920231030313235383940414811151820284359[[#This Row],[الدفعات]]</f>
        <v>1770.4000000000233</v>
      </c>
      <c r="O49" s="48"/>
    </row>
    <row r="50" spans="1:15" x14ac:dyDescent="0.3">
      <c r="A50" s="1"/>
      <c r="K5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50" s="1">
        <f>M49+Table1181920231030313235383940414811151820284359[[#This Row],[اجمالي الفاتوره]]-Table1181920231030313235383940414811151820284359[[#This Row],[الدفعات]]</f>
        <v>1770.4000000000233</v>
      </c>
      <c r="O50" s="48"/>
    </row>
    <row r="51" spans="1:15" x14ac:dyDescent="0.3">
      <c r="A51" s="1"/>
      <c r="K5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51" s="1">
        <f>M50+Table1181920231030313235383940414811151820284359[[#This Row],[اجمالي الفاتوره]]-Table1181920231030313235383940414811151820284359[[#This Row],[الدفعات]]</f>
        <v>1770.4000000000233</v>
      </c>
      <c r="O51" s="48"/>
    </row>
    <row r="52" spans="1:15" x14ac:dyDescent="0.3">
      <c r="A52" s="1"/>
      <c r="K5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52" s="1">
        <f>M51+Table1181920231030313235383940414811151820284359[[#This Row],[اجمالي الفاتوره]]-Table1181920231030313235383940414811151820284359[[#This Row],[الدفعات]]</f>
        <v>1770.4000000000233</v>
      </c>
      <c r="O52" s="48"/>
    </row>
    <row r="53" spans="1:15" x14ac:dyDescent="0.3">
      <c r="A53" s="1"/>
      <c r="K5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53" s="1">
        <f>M52+Table1181920231030313235383940414811151820284359[[#This Row],[اجمالي الفاتوره]]-Table1181920231030313235383940414811151820284359[[#This Row],[الدفعات]]</f>
        <v>1770.4000000000233</v>
      </c>
      <c r="O53" s="48"/>
    </row>
    <row r="54" spans="1:15" x14ac:dyDescent="0.3">
      <c r="A54" s="1"/>
      <c r="K5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54" s="1">
        <f>M53+Table1181920231030313235383940414811151820284359[[#This Row],[اجمالي الفاتوره]]-Table1181920231030313235383940414811151820284359[[#This Row],[الدفعات]]</f>
        <v>1770.4000000000233</v>
      </c>
      <c r="O54" s="48"/>
    </row>
    <row r="55" spans="1:15" x14ac:dyDescent="0.3">
      <c r="A55" s="1"/>
      <c r="K5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55" s="1">
        <f>M54+Table1181920231030313235383940414811151820284359[[#This Row],[اجمالي الفاتوره]]-Table1181920231030313235383940414811151820284359[[#This Row],[الدفعات]]</f>
        <v>1770.4000000000233</v>
      </c>
      <c r="O55" s="48"/>
    </row>
    <row r="56" spans="1:15" x14ac:dyDescent="0.3">
      <c r="A56" s="1"/>
      <c r="K5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56" s="1">
        <f>M55+Table1181920231030313235383940414811151820284359[[#This Row],[اجمالي الفاتوره]]-Table1181920231030313235383940414811151820284359[[#This Row],[الدفعات]]</f>
        <v>1770.4000000000233</v>
      </c>
      <c r="O56" s="48"/>
    </row>
    <row r="57" spans="1:15" x14ac:dyDescent="0.3">
      <c r="A57" s="1"/>
      <c r="K5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57" s="1">
        <f>M56+Table1181920231030313235383940414811151820284359[[#This Row],[اجمالي الفاتوره]]-Table1181920231030313235383940414811151820284359[[#This Row],[الدفعات]]</f>
        <v>1770.4000000000233</v>
      </c>
      <c r="O57" s="48"/>
    </row>
    <row r="58" spans="1:15" x14ac:dyDescent="0.3">
      <c r="A58" s="1"/>
      <c r="K5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58" s="1">
        <f>M57+Table1181920231030313235383940414811151820284359[[#This Row],[اجمالي الفاتوره]]-Table1181920231030313235383940414811151820284359[[#This Row],[الدفعات]]</f>
        <v>1770.4000000000233</v>
      </c>
      <c r="O58" s="48"/>
    </row>
    <row r="59" spans="1:15" x14ac:dyDescent="0.3">
      <c r="A59" s="1"/>
      <c r="K5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59" s="1">
        <f>M58+Table1181920231030313235383940414811151820284359[[#This Row],[اجمالي الفاتوره]]-Table1181920231030313235383940414811151820284359[[#This Row],[الدفعات]]</f>
        <v>1770.4000000000233</v>
      </c>
      <c r="O59" s="48"/>
    </row>
    <row r="60" spans="1:15" x14ac:dyDescent="0.3">
      <c r="A60" s="1"/>
      <c r="K6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60" s="1">
        <f>M59+Table1181920231030313235383940414811151820284359[[#This Row],[اجمالي الفاتوره]]-Table1181920231030313235383940414811151820284359[[#This Row],[الدفعات]]</f>
        <v>1770.4000000000233</v>
      </c>
      <c r="O60" s="48"/>
    </row>
    <row r="61" spans="1:15" x14ac:dyDescent="0.3">
      <c r="A61" s="1"/>
      <c r="K6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61" s="1">
        <f>M60+Table1181920231030313235383940414811151820284359[[#This Row],[اجمالي الفاتوره]]-Table1181920231030313235383940414811151820284359[[#This Row],[الدفعات]]</f>
        <v>1770.4000000000233</v>
      </c>
      <c r="O61" s="48"/>
    </row>
    <row r="62" spans="1:15" x14ac:dyDescent="0.3">
      <c r="A62" s="1"/>
      <c r="K6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62" s="1">
        <f>M61+Table1181920231030313235383940414811151820284359[[#This Row],[اجمالي الفاتوره]]-Table1181920231030313235383940414811151820284359[[#This Row],[الدفعات]]</f>
        <v>1770.4000000000233</v>
      </c>
      <c r="O62" s="48"/>
    </row>
    <row r="63" spans="1:15" x14ac:dyDescent="0.3">
      <c r="A63" s="1"/>
      <c r="K6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63" s="1">
        <f>M62+Table1181920231030313235383940414811151820284359[[#This Row],[اجمالي الفاتوره]]-Table1181920231030313235383940414811151820284359[[#This Row],[الدفعات]]</f>
        <v>1770.4000000000233</v>
      </c>
      <c r="O63" s="48"/>
    </row>
    <row r="64" spans="1:15" x14ac:dyDescent="0.3">
      <c r="A64" s="1"/>
      <c r="K6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64" s="1">
        <f>M63+Table1181920231030313235383940414811151820284359[[#This Row],[اجمالي الفاتوره]]-Table1181920231030313235383940414811151820284359[[#This Row],[الدفعات]]</f>
        <v>1770.4000000000233</v>
      </c>
      <c r="O64" s="48"/>
    </row>
    <row r="65" spans="1:15" x14ac:dyDescent="0.3">
      <c r="A65" s="1"/>
      <c r="K6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65" s="1">
        <f>M64+Table1181920231030313235383940414811151820284359[[#This Row],[اجمالي الفاتوره]]-Table1181920231030313235383940414811151820284359[[#This Row],[الدفعات]]</f>
        <v>1770.4000000000233</v>
      </c>
      <c r="O65" s="48"/>
    </row>
    <row r="66" spans="1:15" x14ac:dyDescent="0.3">
      <c r="A66" s="1"/>
      <c r="K6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66" s="1">
        <f>M65+Table1181920231030313235383940414811151820284359[[#This Row],[اجمالي الفاتوره]]-Table1181920231030313235383940414811151820284359[[#This Row],[الدفعات]]</f>
        <v>1770.4000000000233</v>
      </c>
      <c r="O66" s="48"/>
    </row>
    <row r="67" spans="1:15" x14ac:dyDescent="0.3">
      <c r="A67" s="1"/>
      <c r="K6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67" s="1">
        <f>M66+Table1181920231030313235383940414811151820284359[[#This Row],[اجمالي الفاتوره]]-Table1181920231030313235383940414811151820284359[[#This Row],[الدفعات]]</f>
        <v>1770.4000000000233</v>
      </c>
      <c r="O67" s="48"/>
    </row>
    <row r="68" spans="1:15" x14ac:dyDescent="0.3">
      <c r="A68" s="1"/>
      <c r="K6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68" s="1">
        <f>M67+Table1181920231030313235383940414811151820284359[[#This Row],[اجمالي الفاتوره]]-Table1181920231030313235383940414811151820284359[[#This Row],[الدفعات]]</f>
        <v>1770.4000000000233</v>
      </c>
      <c r="O68" s="48"/>
    </row>
    <row r="69" spans="1:15" x14ac:dyDescent="0.3">
      <c r="A69" s="1"/>
      <c r="K6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69" s="1">
        <f>M68+Table1181920231030313235383940414811151820284359[[#This Row],[اجمالي الفاتوره]]-Table1181920231030313235383940414811151820284359[[#This Row],[الدفعات]]</f>
        <v>1770.4000000000233</v>
      </c>
      <c r="O69" s="48"/>
    </row>
    <row r="70" spans="1:15" x14ac:dyDescent="0.3">
      <c r="A70" s="1"/>
      <c r="K7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70" s="1">
        <f>M69+Table1181920231030313235383940414811151820284359[[#This Row],[اجمالي الفاتوره]]-Table1181920231030313235383940414811151820284359[[#This Row],[الدفعات]]</f>
        <v>1770.4000000000233</v>
      </c>
      <c r="O70" s="48"/>
    </row>
    <row r="71" spans="1:15" x14ac:dyDescent="0.3">
      <c r="A71" s="1"/>
      <c r="K7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71" s="1">
        <f>M70+Table1181920231030313235383940414811151820284359[[#This Row],[اجمالي الفاتوره]]-Table1181920231030313235383940414811151820284359[[#This Row],[الدفعات]]</f>
        <v>1770.4000000000233</v>
      </c>
      <c r="O71" s="48"/>
    </row>
    <row r="72" spans="1:15" x14ac:dyDescent="0.3">
      <c r="A72" s="1"/>
      <c r="K7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72" s="1">
        <f>M71+Table1181920231030313235383940414811151820284359[[#This Row],[اجمالي الفاتوره]]-Table1181920231030313235383940414811151820284359[[#This Row],[الدفعات]]</f>
        <v>1770.4000000000233</v>
      </c>
      <c r="O72" s="48"/>
    </row>
    <row r="73" spans="1:15" x14ac:dyDescent="0.3">
      <c r="A73" s="1"/>
      <c r="K7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73" s="1">
        <f>M72+Table1181920231030313235383940414811151820284359[[#This Row],[اجمالي الفاتوره]]-Table1181920231030313235383940414811151820284359[[#This Row],[الدفعات]]</f>
        <v>1770.4000000000233</v>
      </c>
      <c r="O73" s="48"/>
    </row>
    <row r="74" spans="1:15" x14ac:dyDescent="0.3">
      <c r="A74" s="1"/>
      <c r="K7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74" s="1">
        <f>M73+Table1181920231030313235383940414811151820284359[[#This Row],[اجمالي الفاتوره]]-Table1181920231030313235383940414811151820284359[[#This Row],[الدفعات]]</f>
        <v>1770.4000000000233</v>
      </c>
      <c r="O74" s="48"/>
    </row>
    <row r="75" spans="1:15" x14ac:dyDescent="0.3">
      <c r="A75" s="1"/>
      <c r="K7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75" s="1">
        <f>M74+Table1181920231030313235383940414811151820284359[[#This Row],[اجمالي الفاتوره]]-Table1181920231030313235383940414811151820284359[[#This Row],[الدفعات]]</f>
        <v>1770.4000000000233</v>
      </c>
      <c r="O75" s="48"/>
    </row>
    <row r="76" spans="1:15" x14ac:dyDescent="0.3">
      <c r="A76" s="1"/>
      <c r="K7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76" s="1">
        <f>M75+Table1181920231030313235383940414811151820284359[[#This Row],[اجمالي الفاتوره]]-Table1181920231030313235383940414811151820284359[[#This Row],[الدفعات]]</f>
        <v>1770.4000000000233</v>
      </c>
      <c r="O76" s="48"/>
    </row>
    <row r="77" spans="1:15" x14ac:dyDescent="0.3">
      <c r="A77" s="1"/>
      <c r="K7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77" s="1">
        <f>M76+Table1181920231030313235383940414811151820284359[[#This Row],[اجمالي الفاتوره]]-Table1181920231030313235383940414811151820284359[[#This Row],[الدفعات]]</f>
        <v>1770.4000000000233</v>
      </c>
      <c r="O77" s="48"/>
    </row>
    <row r="78" spans="1:15" x14ac:dyDescent="0.3">
      <c r="A78" s="1"/>
      <c r="K7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78" s="1">
        <f>M77+Table1181920231030313235383940414811151820284359[[#This Row],[اجمالي الفاتوره]]-Table1181920231030313235383940414811151820284359[[#This Row],[الدفعات]]</f>
        <v>1770.4000000000233</v>
      </c>
      <c r="O78" s="48"/>
    </row>
    <row r="79" spans="1:15" x14ac:dyDescent="0.3">
      <c r="A79" s="1"/>
      <c r="K7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79" s="1">
        <f>M78+Table1181920231030313235383940414811151820284359[[#This Row],[اجمالي الفاتوره]]-Table1181920231030313235383940414811151820284359[[#This Row],[الدفعات]]</f>
        <v>1770.4000000000233</v>
      </c>
      <c r="O79" s="48"/>
    </row>
    <row r="80" spans="1:15" x14ac:dyDescent="0.3">
      <c r="A80" s="1"/>
      <c r="K8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80" s="1">
        <f>M79+Table1181920231030313235383940414811151820284359[[#This Row],[اجمالي الفاتوره]]-Table1181920231030313235383940414811151820284359[[#This Row],[الدفعات]]</f>
        <v>1770.4000000000233</v>
      </c>
      <c r="O80" s="48"/>
    </row>
    <row r="81" spans="1:15" x14ac:dyDescent="0.3">
      <c r="A81" s="1"/>
      <c r="K8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81" s="1">
        <f>M80+Table1181920231030313235383940414811151820284359[[#This Row],[اجمالي الفاتوره]]-Table1181920231030313235383940414811151820284359[[#This Row],[الدفعات]]</f>
        <v>1770.4000000000233</v>
      </c>
      <c r="O81" s="48"/>
    </row>
    <row r="82" spans="1:15" x14ac:dyDescent="0.3">
      <c r="A82" s="1"/>
      <c r="K8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82" s="1">
        <f>M81+Table1181920231030313235383940414811151820284359[[#This Row],[اجمالي الفاتوره]]-Table1181920231030313235383940414811151820284359[[#This Row],[الدفعات]]</f>
        <v>1770.4000000000233</v>
      </c>
      <c r="O82" s="48"/>
    </row>
    <row r="83" spans="1:15" x14ac:dyDescent="0.3">
      <c r="A83" s="1"/>
      <c r="K8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83" s="1">
        <f>M82+Table1181920231030313235383940414811151820284359[[#This Row],[اجمالي الفاتوره]]-Table1181920231030313235383940414811151820284359[[#This Row],[الدفعات]]</f>
        <v>1770.4000000000233</v>
      </c>
      <c r="O83" s="48"/>
    </row>
    <row r="84" spans="1:15" x14ac:dyDescent="0.3">
      <c r="A84" s="1"/>
      <c r="K8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84" s="1">
        <f>M83+Table1181920231030313235383940414811151820284359[[#This Row],[اجمالي الفاتوره]]-Table1181920231030313235383940414811151820284359[[#This Row],[الدفعات]]</f>
        <v>1770.4000000000233</v>
      </c>
      <c r="O84" s="48"/>
    </row>
    <row r="85" spans="1:15" x14ac:dyDescent="0.3">
      <c r="A85" s="1"/>
      <c r="K8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85" s="1">
        <f>M84+Table1181920231030313235383940414811151820284359[[#This Row],[اجمالي الفاتوره]]-Table1181920231030313235383940414811151820284359[[#This Row],[الدفعات]]</f>
        <v>1770.4000000000233</v>
      </c>
      <c r="O85" s="48"/>
    </row>
    <row r="86" spans="1:15" x14ac:dyDescent="0.3">
      <c r="A86" s="1"/>
      <c r="K8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86" s="1">
        <f>M85+Table1181920231030313235383940414811151820284359[[#This Row],[اجمالي الفاتوره]]-Table1181920231030313235383940414811151820284359[[#This Row],[الدفعات]]</f>
        <v>1770.4000000000233</v>
      </c>
      <c r="O86" s="48"/>
    </row>
    <row r="87" spans="1:15" x14ac:dyDescent="0.3">
      <c r="A87" s="1"/>
      <c r="K8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87" s="1">
        <f>M86+Table1181920231030313235383940414811151820284359[[#This Row],[اجمالي الفاتوره]]-Table1181920231030313235383940414811151820284359[[#This Row],[الدفعات]]</f>
        <v>1770.4000000000233</v>
      </c>
      <c r="O87" s="48"/>
    </row>
    <row r="88" spans="1:15" x14ac:dyDescent="0.3">
      <c r="A88" s="1"/>
      <c r="K8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88" s="1">
        <f>M87+Table1181920231030313235383940414811151820284359[[#This Row],[اجمالي الفاتوره]]-Table1181920231030313235383940414811151820284359[[#This Row],[الدفعات]]</f>
        <v>1770.4000000000233</v>
      </c>
      <c r="O88" s="48"/>
    </row>
    <row r="89" spans="1:15" x14ac:dyDescent="0.3">
      <c r="A89" s="1"/>
      <c r="K8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89" s="1">
        <f>M88+Table1181920231030313235383940414811151820284359[[#This Row],[اجمالي الفاتوره]]-Table1181920231030313235383940414811151820284359[[#This Row],[الدفعات]]</f>
        <v>1770.4000000000233</v>
      </c>
      <c r="O89" s="48"/>
    </row>
    <row r="90" spans="1:15" x14ac:dyDescent="0.3">
      <c r="A90" s="1"/>
      <c r="K9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90" s="1">
        <f>M89+Table1181920231030313235383940414811151820284359[[#This Row],[اجمالي الفاتوره]]-Table1181920231030313235383940414811151820284359[[#This Row],[الدفعات]]</f>
        <v>1770.4000000000233</v>
      </c>
      <c r="O90" s="48"/>
    </row>
    <row r="91" spans="1:15" x14ac:dyDescent="0.3">
      <c r="A91" s="1"/>
      <c r="K9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91" s="1">
        <f>M90+Table1181920231030313235383940414811151820284359[[#This Row],[اجمالي الفاتوره]]-Table1181920231030313235383940414811151820284359[[#This Row],[الدفعات]]</f>
        <v>1770.4000000000233</v>
      </c>
      <c r="O91" s="48"/>
    </row>
    <row r="92" spans="1:15" x14ac:dyDescent="0.3">
      <c r="A92" s="1"/>
      <c r="K9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92" s="1">
        <f>M91+Table1181920231030313235383940414811151820284359[[#This Row],[اجمالي الفاتوره]]-Table1181920231030313235383940414811151820284359[[#This Row],[الدفعات]]</f>
        <v>1770.4000000000233</v>
      </c>
      <c r="O92" s="48"/>
    </row>
    <row r="93" spans="1:15" x14ac:dyDescent="0.3">
      <c r="A93" s="1"/>
      <c r="K9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93" s="1">
        <f>M92+Table1181920231030313235383940414811151820284359[[#This Row],[اجمالي الفاتوره]]-Table1181920231030313235383940414811151820284359[[#This Row],[الدفعات]]</f>
        <v>1770.4000000000233</v>
      </c>
      <c r="O93" s="48"/>
    </row>
    <row r="94" spans="1:15" x14ac:dyDescent="0.3">
      <c r="A94" s="1"/>
      <c r="K9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94" s="1">
        <f>M93+Table1181920231030313235383940414811151820284359[[#This Row],[اجمالي الفاتوره]]-Table1181920231030313235383940414811151820284359[[#This Row],[الدفعات]]</f>
        <v>1770.4000000000233</v>
      </c>
      <c r="O94" s="48"/>
    </row>
    <row r="95" spans="1:15" x14ac:dyDescent="0.3">
      <c r="A95" s="1"/>
      <c r="K9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95" s="1">
        <f>M94+Table1181920231030313235383940414811151820284359[[#This Row],[اجمالي الفاتوره]]-Table1181920231030313235383940414811151820284359[[#This Row],[الدفعات]]</f>
        <v>1770.4000000000233</v>
      </c>
      <c r="O95" s="48"/>
    </row>
    <row r="96" spans="1:15" x14ac:dyDescent="0.3">
      <c r="A96" s="1"/>
      <c r="K9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96" s="1">
        <f>M95+Table1181920231030313235383940414811151820284359[[#This Row],[اجمالي الفاتوره]]-Table1181920231030313235383940414811151820284359[[#This Row],[الدفعات]]</f>
        <v>1770.4000000000233</v>
      </c>
      <c r="O96" s="48"/>
    </row>
    <row r="97" spans="1:15" x14ac:dyDescent="0.3">
      <c r="A97" s="1"/>
      <c r="K9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97" s="1">
        <f>M96+Table1181920231030313235383940414811151820284359[[#This Row],[اجمالي الفاتوره]]-Table1181920231030313235383940414811151820284359[[#This Row],[الدفعات]]</f>
        <v>1770.4000000000233</v>
      </c>
      <c r="O97" s="48"/>
    </row>
    <row r="98" spans="1:15" x14ac:dyDescent="0.3">
      <c r="A98" s="1"/>
      <c r="K9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98" s="1">
        <f>M97+Table1181920231030313235383940414811151820284359[[#This Row],[اجمالي الفاتوره]]-Table1181920231030313235383940414811151820284359[[#This Row],[الدفعات]]</f>
        <v>1770.4000000000233</v>
      </c>
      <c r="O98" s="48"/>
    </row>
    <row r="99" spans="1:15" x14ac:dyDescent="0.3">
      <c r="A99" s="1"/>
      <c r="K9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99" s="1">
        <f>M98+Table1181920231030313235383940414811151820284359[[#This Row],[اجمالي الفاتوره]]-Table1181920231030313235383940414811151820284359[[#This Row],[الدفعات]]</f>
        <v>1770.4000000000233</v>
      </c>
      <c r="O99" s="48"/>
    </row>
    <row r="100" spans="1:15" x14ac:dyDescent="0.3">
      <c r="A100" s="1"/>
      <c r="K10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00" s="1">
        <f>M99+Table1181920231030313235383940414811151820284359[[#This Row],[اجمالي الفاتوره]]-Table1181920231030313235383940414811151820284359[[#This Row],[الدفعات]]</f>
        <v>1770.4000000000233</v>
      </c>
      <c r="O100" s="48"/>
    </row>
    <row r="101" spans="1:15" x14ac:dyDescent="0.3">
      <c r="A101" s="1"/>
      <c r="K10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01" s="1">
        <f>M100+Table1181920231030313235383940414811151820284359[[#This Row],[اجمالي الفاتوره]]-Table1181920231030313235383940414811151820284359[[#This Row],[الدفعات]]</f>
        <v>1770.4000000000233</v>
      </c>
      <c r="O101" s="48"/>
    </row>
    <row r="102" spans="1:15" x14ac:dyDescent="0.3">
      <c r="A102" s="1"/>
      <c r="K10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02" s="1">
        <f>M101+Table1181920231030313235383940414811151820284359[[#This Row],[اجمالي الفاتوره]]-Table1181920231030313235383940414811151820284359[[#This Row],[الدفعات]]</f>
        <v>1770.4000000000233</v>
      </c>
      <c r="O102" s="48"/>
    </row>
    <row r="103" spans="1:15" x14ac:dyDescent="0.3">
      <c r="A103" s="1"/>
      <c r="K10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03" s="1">
        <f>M102+Table1181920231030313235383940414811151820284359[[#This Row],[اجمالي الفاتوره]]-Table1181920231030313235383940414811151820284359[[#This Row],[الدفعات]]</f>
        <v>1770.4000000000233</v>
      </c>
      <c r="O103" s="48"/>
    </row>
    <row r="104" spans="1:15" x14ac:dyDescent="0.3">
      <c r="A104" s="1"/>
      <c r="K10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04" s="1">
        <f>M103+Table1181920231030313235383940414811151820284359[[#This Row],[اجمالي الفاتوره]]-Table1181920231030313235383940414811151820284359[[#This Row],[الدفعات]]</f>
        <v>1770.4000000000233</v>
      </c>
      <c r="O104" s="48"/>
    </row>
    <row r="105" spans="1:15" x14ac:dyDescent="0.3">
      <c r="A105" s="1"/>
      <c r="K10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05" s="1">
        <f>M104+Table1181920231030313235383940414811151820284359[[#This Row],[اجمالي الفاتوره]]-Table1181920231030313235383940414811151820284359[[#This Row],[الدفعات]]</f>
        <v>1770.4000000000233</v>
      </c>
      <c r="O105" s="48"/>
    </row>
    <row r="106" spans="1:15" x14ac:dyDescent="0.3">
      <c r="A106" s="1"/>
      <c r="K10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06" s="1">
        <f>M105+Table1181920231030313235383940414811151820284359[[#This Row],[اجمالي الفاتوره]]-Table1181920231030313235383940414811151820284359[[#This Row],[الدفعات]]</f>
        <v>1770.4000000000233</v>
      </c>
      <c r="O106" s="48"/>
    </row>
    <row r="107" spans="1:15" x14ac:dyDescent="0.3">
      <c r="A107" s="1"/>
      <c r="K10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07" s="1">
        <f>M106+Table1181920231030313235383940414811151820284359[[#This Row],[اجمالي الفاتوره]]-Table1181920231030313235383940414811151820284359[[#This Row],[الدفعات]]</f>
        <v>1770.4000000000233</v>
      </c>
      <c r="O107" s="48"/>
    </row>
    <row r="108" spans="1:15" x14ac:dyDescent="0.3">
      <c r="A108" s="1"/>
      <c r="K10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08" s="1">
        <f>M107+Table1181920231030313235383940414811151820284359[[#This Row],[اجمالي الفاتوره]]-Table1181920231030313235383940414811151820284359[[#This Row],[الدفعات]]</f>
        <v>1770.4000000000233</v>
      </c>
      <c r="O108" s="48"/>
    </row>
    <row r="109" spans="1:15" x14ac:dyDescent="0.3">
      <c r="A109" s="1"/>
      <c r="K10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09" s="1">
        <f>M108+Table1181920231030313235383940414811151820284359[[#This Row],[اجمالي الفاتوره]]-Table1181920231030313235383940414811151820284359[[#This Row],[الدفعات]]</f>
        <v>1770.4000000000233</v>
      </c>
      <c r="O109" s="48"/>
    </row>
    <row r="110" spans="1:15" x14ac:dyDescent="0.3">
      <c r="A110" s="1"/>
      <c r="K11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10" s="1">
        <f>M109+Table1181920231030313235383940414811151820284359[[#This Row],[اجمالي الفاتوره]]-Table1181920231030313235383940414811151820284359[[#This Row],[الدفعات]]</f>
        <v>1770.4000000000233</v>
      </c>
      <c r="O110" s="48"/>
    </row>
    <row r="111" spans="1:15" x14ac:dyDescent="0.3">
      <c r="A111" s="1"/>
      <c r="K11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11" s="1">
        <f>M110+Table1181920231030313235383940414811151820284359[[#This Row],[اجمالي الفاتوره]]-Table1181920231030313235383940414811151820284359[[#This Row],[الدفعات]]</f>
        <v>1770.4000000000233</v>
      </c>
      <c r="O111" s="48"/>
    </row>
    <row r="112" spans="1:15" x14ac:dyDescent="0.3">
      <c r="A112" s="1"/>
      <c r="K11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12" s="1">
        <f>M111+Table1181920231030313235383940414811151820284359[[#This Row],[اجمالي الفاتوره]]-Table1181920231030313235383940414811151820284359[[#This Row],[الدفعات]]</f>
        <v>1770.4000000000233</v>
      </c>
      <c r="O112" s="48"/>
    </row>
    <row r="113" spans="1:15" x14ac:dyDescent="0.3">
      <c r="A113" s="1"/>
      <c r="K11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13" s="1">
        <f>M112+Table1181920231030313235383940414811151820284359[[#This Row],[اجمالي الفاتوره]]-Table1181920231030313235383940414811151820284359[[#This Row],[الدفعات]]</f>
        <v>1770.4000000000233</v>
      </c>
      <c r="O113" s="48"/>
    </row>
    <row r="114" spans="1:15" x14ac:dyDescent="0.3">
      <c r="A114" s="1"/>
      <c r="K11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14" s="1">
        <f>M113+Table1181920231030313235383940414811151820284359[[#This Row],[اجمالي الفاتوره]]-Table1181920231030313235383940414811151820284359[[#This Row],[الدفعات]]</f>
        <v>1770.4000000000233</v>
      </c>
      <c r="O114" s="48"/>
    </row>
    <row r="115" spans="1:15" x14ac:dyDescent="0.3">
      <c r="A115" s="1"/>
      <c r="K11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15" s="1">
        <f>M114+Table1181920231030313235383940414811151820284359[[#This Row],[اجمالي الفاتوره]]-Table1181920231030313235383940414811151820284359[[#This Row],[الدفعات]]</f>
        <v>1770.4000000000233</v>
      </c>
      <c r="O115" s="48"/>
    </row>
    <row r="116" spans="1:15" x14ac:dyDescent="0.3">
      <c r="A116" s="1"/>
      <c r="K11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16" s="1">
        <f>M115+Table1181920231030313235383940414811151820284359[[#This Row],[اجمالي الفاتوره]]-Table1181920231030313235383940414811151820284359[[#This Row],[الدفعات]]</f>
        <v>1770.4000000000233</v>
      </c>
      <c r="O116" s="48"/>
    </row>
    <row r="117" spans="1:15" x14ac:dyDescent="0.3">
      <c r="A117" s="1"/>
      <c r="K11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17" s="1">
        <f>M116+Table1181920231030313235383940414811151820284359[[#This Row],[اجمالي الفاتوره]]-Table1181920231030313235383940414811151820284359[[#This Row],[الدفعات]]</f>
        <v>1770.4000000000233</v>
      </c>
      <c r="O117" s="48"/>
    </row>
    <row r="118" spans="1:15" x14ac:dyDescent="0.3">
      <c r="A118" s="1"/>
      <c r="K11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18" s="1">
        <f>M117+Table1181920231030313235383940414811151820284359[[#This Row],[اجمالي الفاتوره]]-Table1181920231030313235383940414811151820284359[[#This Row],[الدفعات]]</f>
        <v>1770.4000000000233</v>
      </c>
      <c r="O118" s="48"/>
    </row>
    <row r="119" spans="1:15" x14ac:dyDescent="0.3">
      <c r="A119" s="1"/>
      <c r="K11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19" s="1">
        <f>M118+Table1181920231030313235383940414811151820284359[[#This Row],[اجمالي الفاتوره]]-Table1181920231030313235383940414811151820284359[[#This Row],[الدفعات]]</f>
        <v>1770.4000000000233</v>
      </c>
      <c r="O119" s="48"/>
    </row>
    <row r="120" spans="1:15" x14ac:dyDescent="0.3">
      <c r="A120" s="1"/>
      <c r="K12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20" s="1">
        <f>M119+Table1181920231030313235383940414811151820284359[[#This Row],[اجمالي الفاتوره]]-Table1181920231030313235383940414811151820284359[[#This Row],[الدفعات]]</f>
        <v>1770.4000000000233</v>
      </c>
      <c r="O120" s="48"/>
    </row>
    <row r="121" spans="1:15" x14ac:dyDescent="0.3">
      <c r="A121" s="1"/>
      <c r="K12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21" s="1">
        <f>M120+Table1181920231030313235383940414811151820284359[[#This Row],[اجمالي الفاتوره]]-Table1181920231030313235383940414811151820284359[[#This Row],[الدفعات]]</f>
        <v>1770.4000000000233</v>
      </c>
      <c r="O121" s="48"/>
    </row>
    <row r="122" spans="1:15" x14ac:dyDescent="0.3">
      <c r="A122" s="1"/>
      <c r="K12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22" s="1">
        <f>M121+Table1181920231030313235383940414811151820284359[[#This Row],[اجمالي الفاتوره]]-Table1181920231030313235383940414811151820284359[[#This Row],[الدفعات]]</f>
        <v>1770.4000000000233</v>
      </c>
      <c r="O122" s="48"/>
    </row>
    <row r="123" spans="1:15" x14ac:dyDescent="0.3">
      <c r="A123" s="1"/>
      <c r="K12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23" s="1">
        <f>M122+Table1181920231030313235383940414811151820284359[[#This Row],[اجمالي الفاتوره]]-Table1181920231030313235383940414811151820284359[[#This Row],[الدفعات]]</f>
        <v>1770.4000000000233</v>
      </c>
      <c r="O123" s="48"/>
    </row>
    <row r="124" spans="1:15" x14ac:dyDescent="0.3">
      <c r="A124" s="1"/>
      <c r="K12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24" s="1">
        <f>M123+Table1181920231030313235383940414811151820284359[[#This Row],[اجمالي الفاتوره]]-Table1181920231030313235383940414811151820284359[[#This Row],[الدفعات]]</f>
        <v>1770.4000000000233</v>
      </c>
      <c r="O124" s="48"/>
    </row>
    <row r="125" spans="1:15" x14ac:dyDescent="0.3">
      <c r="A125" s="1"/>
      <c r="K12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25" s="1">
        <f>M124+Table1181920231030313235383940414811151820284359[[#This Row],[اجمالي الفاتوره]]-Table1181920231030313235383940414811151820284359[[#This Row],[الدفعات]]</f>
        <v>1770.4000000000233</v>
      </c>
      <c r="O125" s="48"/>
    </row>
    <row r="126" spans="1:15" x14ac:dyDescent="0.3">
      <c r="A126" s="1"/>
      <c r="K12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26" s="1">
        <f>M125+Table1181920231030313235383940414811151820284359[[#This Row],[اجمالي الفاتوره]]-Table1181920231030313235383940414811151820284359[[#This Row],[الدفعات]]</f>
        <v>1770.4000000000233</v>
      </c>
      <c r="O126" s="48"/>
    </row>
    <row r="127" spans="1:15" x14ac:dyDescent="0.3">
      <c r="A127" s="1"/>
      <c r="K12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27" s="1">
        <f>M126+Table1181920231030313235383940414811151820284359[[#This Row],[اجمالي الفاتوره]]-Table1181920231030313235383940414811151820284359[[#This Row],[الدفعات]]</f>
        <v>1770.4000000000233</v>
      </c>
      <c r="O127" s="48"/>
    </row>
    <row r="128" spans="1:15" x14ac:dyDescent="0.3">
      <c r="A128" s="1"/>
      <c r="K12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28" s="1">
        <f>M127+Table1181920231030313235383940414811151820284359[[#This Row],[اجمالي الفاتوره]]-Table1181920231030313235383940414811151820284359[[#This Row],[الدفعات]]</f>
        <v>1770.4000000000233</v>
      </c>
      <c r="O128" s="48"/>
    </row>
    <row r="129" spans="1:15" x14ac:dyDescent="0.3">
      <c r="A129" s="1"/>
      <c r="K12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29" s="1">
        <f>M128+Table1181920231030313235383940414811151820284359[[#This Row],[اجمالي الفاتوره]]-Table1181920231030313235383940414811151820284359[[#This Row],[الدفعات]]</f>
        <v>1770.4000000000233</v>
      </c>
      <c r="O129" s="48"/>
    </row>
    <row r="130" spans="1:15" x14ac:dyDescent="0.3">
      <c r="A130" s="1"/>
      <c r="K13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30" s="1">
        <f>M129+Table1181920231030313235383940414811151820284359[[#This Row],[اجمالي الفاتوره]]-Table1181920231030313235383940414811151820284359[[#This Row],[الدفعات]]</f>
        <v>1770.4000000000233</v>
      </c>
      <c r="O130" s="48"/>
    </row>
    <row r="131" spans="1:15" x14ac:dyDescent="0.3">
      <c r="A131" s="1"/>
      <c r="K13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31" s="1">
        <f>M130+Table1181920231030313235383940414811151820284359[[#This Row],[اجمالي الفاتوره]]-Table1181920231030313235383940414811151820284359[[#This Row],[الدفعات]]</f>
        <v>1770.4000000000233</v>
      </c>
      <c r="O131" s="48"/>
    </row>
    <row r="132" spans="1:15" x14ac:dyDescent="0.3">
      <c r="A132" s="1"/>
      <c r="K13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32" s="1">
        <f>M131+Table1181920231030313235383940414811151820284359[[#This Row],[اجمالي الفاتوره]]-Table1181920231030313235383940414811151820284359[[#This Row],[الدفعات]]</f>
        <v>1770.4000000000233</v>
      </c>
      <c r="O132" s="48"/>
    </row>
    <row r="133" spans="1:15" x14ac:dyDescent="0.3">
      <c r="A133" s="1"/>
      <c r="K13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33" s="1">
        <f>M132+Table1181920231030313235383940414811151820284359[[#This Row],[اجمالي الفاتوره]]-Table1181920231030313235383940414811151820284359[[#This Row],[الدفعات]]</f>
        <v>1770.4000000000233</v>
      </c>
      <c r="O133" s="48"/>
    </row>
    <row r="134" spans="1:15" x14ac:dyDescent="0.3">
      <c r="A134" s="1"/>
      <c r="K13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34" s="1">
        <f>M133+Table1181920231030313235383940414811151820284359[[#This Row],[اجمالي الفاتوره]]-Table1181920231030313235383940414811151820284359[[#This Row],[الدفعات]]</f>
        <v>1770.4000000000233</v>
      </c>
      <c r="O134" s="48"/>
    </row>
    <row r="135" spans="1:15" x14ac:dyDescent="0.3">
      <c r="A135" s="1"/>
      <c r="K13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35" s="1">
        <f>M134+Table1181920231030313235383940414811151820284359[[#This Row],[اجمالي الفاتوره]]-Table1181920231030313235383940414811151820284359[[#This Row],[الدفعات]]</f>
        <v>1770.4000000000233</v>
      </c>
      <c r="O135" s="48"/>
    </row>
    <row r="136" spans="1:15" x14ac:dyDescent="0.3">
      <c r="A136" s="1"/>
      <c r="K13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36" s="1">
        <f>M135+Table1181920231030313235383940414811151820284359[[#This Row],[اجمالي الفاتوره]]-Table1181920231030313235383940414811151820284359[[#This Row],[الدفعات]]</f>
        <v>1770.4000000000233</v>
      </c>
      <c r="O136" s="48"/>
    </row>
    <row r="137" spans="1:15" x14ac:dyDescent="0.3">
      <c r="A137" s="1"/>
      <c r="K13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37" s="1">
        <f>M136+Table1181920231030313235383940414811151820284359[[#This Row],[اجمالي الفاتوره]]-Table1181920231030313235383940414811151820284359[[#This Row],[الدفعات]]</f>
        <v>1770.4000000000233</v>
      </c>
      <c r="O137" s="48"/>
    </row>
    <row r="138" spans="1:15" x14ac:dyDescent="0.3">
      <c r="A138" s="1"/>
      <c r="K13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38" s="1">
        <f>M137+Table1181920231030313235383940414811151820284359[[#This Row],[اجمالي الفاتوره]]-Table1181920231030313235383940414811151820284359[[#This Row],[الدفعات]]</f>
        <v>1770.4000000000233</v>
      </c>
      <c r="O138" s="48"/>
    </row>
    <row r="139" spans="1:15" x14ac:dyDescent="0.3">
      <c r="A139" s="1"/>
      <c r="K13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39" s="1">
        <f>M138+Table1181920231030313235383940414811151820284359[[#This Row],[اجمالي الفاتوره]]-Table1181920231030313235383940414811151820284359[[#This Row],[الدفعات]]</f>
        <v>1770.4000000000233</v>
      </c>
      <c r="O139" s="48"/>
    </row>
    <row r="140" spans="1:15" x14ac:dyDescent="0.3">
      <c r="A140" s="1"/>
      <c r="K14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40" s="1">
        <f>M139+Table1181920231030313235383940414811151820284359[[#This Row],[اجمالي الفاتوره]]-Table1181920231030313235383940414811151820284359[[#This Row],[الدفعات]]</f>
        <v>1770.4000000000233</v>
      </c>
      <c r="O140" s="48"/>
    </row>
    <row r="141" spans="1:15" x14ac:dyDescent="0.3">
      <c r="A141" s="1"/>
      <c r="K14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41" s="1">
        <f>M140+Table1181920231030313235383940414811151820284359[[#This Row],[اجمالي الفاتوره]]-Table1181920231030313235383940414811151820284359[[#This Row],[الدفعات]]</f>
        <v>1770.4000000000233</v>
      </c>
      <c r="O141" s="48"/>
    </row>
    <row r="142" spans="1:15" x14ac:dyDescent="0.3">
      <c r="A142" s="1"/>
      <c r="K14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42" s="1">
        <f>M141+Table1181920231030313235383940414811151820284359[[#This Row],[اجمالي الفاتوره]]-Table1181920231030313235383940414811151820284359[[#This Row],[الدفعات]]</f>
        <v>1770.4000000000233</v>
      </c>
      <c r="O142" s="48"/>
    </row>
    <row r="143" spans="1:15" x14ac:dyDescent="0.3">
      <c r="A143" s="1"/>
      <c r="K14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43" s="1">
        <f>M142+Table1181920231030313235383940414811151820284359[[#This Row],[اجمالي الفاتوره]]-Table1181920231030313235383940414811151820284359[[#This Row],[الدفعات]]</f>
        <v>1770.4000000000233</v>
      </c>
      <c r="O143" s="48"/>
    </row>
    <row r="144" spans="1:15" x14ac:dyDescent="0.3">
      <c r="A144" s="1"/>
      <c r="K14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44" s="1">
        <f>M143+Table1181920231030313235383940414811151820284359[[#This Row],[اجمالي الفاتوره]]-Table1181920231030313235383940414811151820284359[[#This Row],[الدفعات]]</f>
        <v>1770.4000000000233</v>
      </c>
      <c r="O144" s="48"/>
    </row>
    <row r="145" spans="1:15" x14ac:dyDescent="0.3">
      <c r="A145" s="1"/>
      <c r="K14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45" s="1">
        <f>M144+Table1181920231030313235383940414811151820284359[[#This Row],[اجمالي الفاتوره]]-Table1181920231030313235383940414811151820284359[[#This Row],[الدفعات]]</f>
        <v>1770.4000000000233</v>
      </c>
      <c r="O145" s="48"/>
    </row>
    <row r="146" spans="1:15" x14ac:dyDescent="0.3">
      <c r="A146" s="1"/>
      <c r="K14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46" s="1">
        <f>M145+Table1181920231030313235383940414811151820284359[[#This Row],[اجمالي الفاتوره]]-Table1181920231030313235383940414811151820284359[[#This Row],[الدفعات]]</f>
        <v>1770.4000000000233</v>
      </c>
      <c r="O146" s="48"/>
    </row>
    <row r="147" spans="1:15" x14ac:dyDescent="0.3">
      <c r="A147" s="1"/>
      <c r="K14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47" s="1">
        <f>M146+Table1181920231030313235383940414811151820284359[[#This Row],[اجمالي الفاتوره]]-Table1181920231030313235383940414811151820284359[[#This Row],[الدفعات]]</f>
        <v>1770.4000000000233</v>
      </c>
      <c r="O147" s="48"/>
    </row>
    <row r="148" spans="1:15" x14ac:dyDescent="0.3">
      <c r="A148" s="1"/>
      <c r="K14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48" s="1">
        <f>M147+Table1181920231030313235383940414811151820284359[[#This Row],[اجمالي الفاتوره]]-Table1181920231030313235383940414811151820284359[[#This Row],[الدفعات]]</f>
        <v>1770.4000000000233</v>
      </c>
      <c r="O148" s="48"/>
    </row>
    <row r="149" spans="1:15" x14ac:dyDescent="0.3">
      <c r="A149" s="1"/>
      <c r="K14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49" s="1">
        <f>M148+Table1181920231030313235383940414811151820284359[[#This Row],[اجمالي الفاتوره]]-Table1181920231030313235383940414811151820284359[[#This Row],[الدفعات]]</f>
        <v>1770.4000000000233</v>
      </c>
      <c r="O149" s="48"/>
    </row>
    <row r="150" spans="1:15" x14ac:dyDescent="0.3">
      <c r="A150" s="1"/>
      <c r="K15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50" s="1">
        <f>M149+Table1181920231030313235383940414811151820284359[[#This Row],[اجمالي الفاتوره]]-Table1181920231030313235383940414811151820284359[[#This Row],[الدفعات]]</f>
        <v>1770.4000000000233</v>
      </c>
      <c r="O150" s="48"/>
    </row>
    <row r="151" spans="1:15" x14ac:dyDescent="0.3">
      <c r="A151" s="1"/>
      <c r="K15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51" s="1">
        <f>M150+Table1181920231030313235383940414811151820284359[[#This Row],[اجمالي الفاتوره]]-Table1181920231030313235383940414811151820284359[[#This Row],[الدفعات]]</f>
        <v>1770.4000000000233</v>
      </c>
      <c r="O151" s="48"/>
    </row>
    <row r="152" spans="1:15" x14ac:dyDescent="0.3">
      <c r="A152" s="1"/>
      <c r="K15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52" s="1">
        <f>M151+Table1181920231030313235383940414811151820284359[[#This Row],[اجمالي الفاتوره]]-Table1181920231030313235383940414811151820284359[[#This Row],[الدفعات]]</f>
        <v>1770.4000000000233</v>
      </c>
      <c r="O152" s="48"/>
    </row>
    <row r="153" spans="1:15" x14ac:dyDescent="0.3">
      <c r="A153" s="1"/>
      <c r="K15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53" s="1">
        <f>M152+Table1181920231030313235383940414811151820284359[[#This Row],[اجمالي الفاتوره]]-Table1181920231030313235383940414811151820284359[[#This Row],[الدفعات]]</f>
        <v>1770.4000000000233</v>
      </c>
      <c r="O153" s="48"/>
    </row>
    <row r="154" spans="1:15" x14ac:dyDescent="0.3">
      <c r="A154" s="1"/>
      <c r="K15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54" s="1">
        <f>M153+Table1181920231030313235383940414811151820284359[[#This Row],[اجمالي الفاتوره]]-Table1181920231030313235383940414811151820284359[[#This Row],[الدفعات]]</f>
        <v>1770.4000000000233</v>
      </c>
      <c r="O154" s="48"/>
    </row>
    <row r="155" spans="1:15" x14ac:dyDescent="0.3">
      <c r="A155" s="1"/>
      <c r="K15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55" s="1">
        <f>M154+Table1181920231030313235383940414811151820284359[[#This Row],[اجمالي الفاتوره]]-Table1181920231030313235383940414811151820284359[[#This Row],[الدفعات]]</f>
        <v>1770.4000000000233</v>
      </c>
      <c r="O155" s="48"/>
    </row>
    <row r="156" spans="1:15" x14ac:dyDescent="0.3">
      <c r="A156" s="1"/>
      <c r="K15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56" s="1">
        <f>M155+Table1181920231030313235383940414811151820284359[[#This Row],[اجمالي الفاتوره]]-Table1181920231030313235383940414811151820284359[[#This Row],[الدفعات]]</f>
        <v>1770.4000000000233</v>
      </c>
      <c r="O156" s="48"/>
    </row>
    <row r="157" spans="1:15" x14ac:dyDescent="0.3">
      <c r="A157" s="1"/>
      <c r="K15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57" s="1">
        <f>M156+Table1181920231030313235383940414811151820284359[[#This Row],[اجمالي الفاتوره]]-Table1181920231030313235383940414811151820284359[[#This Row],[الدفعات]]</f>
        <v>1770.4000000000233</v>
      </c>
      <c r="O157" s="48"/>
    </row>
    <row r="158" spans="1:15" x14ac:dyDescent="0.3">
      <c r="A158" s="1"/>
      <c r="K15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58" s="1">
        <f>M157+Table1181920231030313235383940414811151820284359[[#This Row],[اجمالي الفاتوره]]-Table1181920231030313235383940414811151820284359[[#This Row],[الدفعات]]</f>
        <v>1770.4000000000233</v>
      </c>
      <c r="O158" s="48"/>
    </row>
    <row r="159" spans="1:15" x14ac:dyDescent="0.3">
      <c r="A159" s="1"/>
      <c r="K15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59" s="1">
        <f>M158+Table1181920231030313235383940414811151820284359[[#This Row],[اجمالي الفاتوره]]-Table1181920231030313235383940414811151820284359[[#This Row],[الدفعات]]</f>
        <v>1770.4000000000233</v>
      </c>
      <c r="O159" s="48"/>
    </row>
    <row r="160" spans="1:15" x14ac:dyDescent="0.3">
      <c r="A160" s="1"/>
      <c r="K16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60" s="1">
        <f>M159+Table1181920231030313235383940414811151820284359[[#This Row],[اجمالي الفاتوره]]-Table1181920231030313235383940414811151820284359[[#This Row],[الدفعات]]</f>
        <v>1770.4000000000233</v>
      </c>
      <c r="O160" s="48"/>
    </row>
    <row r="161" spans="1:15" x14ac:dyDescent="0.3">
      <c r="A161" s="1"/>
      <c r="K16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61" s="1">
        <f>M160+Table1181920231030313235383940414811151820284359[[#This Row],[اجمالي الفاتوره]]-Table1181920231030313235383940414811151820284359[[#This Row],[الدفعات]]</f>
        <v>1770.4000000000233</v>
      </c>
      <c r="O161" s="48"/>
    </row>
    <row r="162" spans="1:15" x14ac:dyDescent="0.3">
      <c r="A162" s="1"/>
      <c r="K16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62" s="1">
        <f>M161+Table1181920231030313235383940414811151820284359[[#This Row],[اجمالي الفاتوره]]-Table1181920231030313235383940414811151820284359[[#This Row],[الدفعات]]</f>
        <v>1770.4000000000233</v>
      </c>
      <c r="O162" s="48"/>
    </row>
    <row r="163" spans="1:15" x14ac:dyDescent="0.3">
      <c r="A163" s="1"/>
      <c r="K16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63" s="1">
        <f>M162+Table1181920231030313235383940414811151820284359[[#This Row],[اجمالي الفاتوره]]-Table1181920231030313235383940414811151820284359[[#This Row],[الدفعات]]</f>
        <v>1770.4000000000233</v>
      </c>
      <c r="O163" s="48"/>
    </row>
    <row r="164" spans="1:15" x14ac:dyDescent="0.3">
      <c r="A164" s="1"/>
      <c r="K16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64" s="1">
        <f>M163+Table1181920231030313235383940414811151820284359[[#This Row],[اجمالي الفاتوره]]-Table1181920231030313235383940414811151820284359[[#This Row],[الدفعات]]</f>
        <v>1770.4000000000233</v>
      </c>
      <c r="O164" s="48"/>
    </row>
    <row r="165" spans="1:15" x14ac:dyDescent="0.3">
      <c r="A165" s="1"/>
      <c r="K16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65" s="1">
        <f>M164+Table1181920231030313235383940414811151820284359[[#This Row],[اجمالي الفاتوره]]-Table1181920231030313235383940414811151820284359[[#This Row],[الدفعات]]</f>
        <v>1770.4000000000233</v>
      </c>
      <c r="O165" s="48"/>
    </row>
    <row r="166" spans="1:15" x14ac:dyDescent="0.3">
      <c r="A166" s="1"/>
      <c r="K16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66" s="1">
        <f>M165+Table1181920231030313235383940414811151820284359[[#This Row],[اجمالي الفاتوره]]-Table1181920231030313235383940414811151820284359[[#This Row],[الدفعات]]</f>
        <v>1770.4000000000233</v>
      </c>
      <c r="O166" s="48"/>
    </row>
    <row r="167" spans="1:15" x14ac:dyDescent="0.3">
      <c r="A167" s="1"/>
      <c r="K16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67" s="1">
        <f>M166+Table1181920231030313235383940414811151820284359[[#This Row],[اجمالي الفاتوره]]-Table1181920231030313235383940414811151820284359[[#This Row],[الدفعات]]</f>
        <v>1770.4000000000233</v>
      </c>
      <c r="O167" s="48"/>
    </row>
    <row r="168" spans="1:15" x14ac:dyDescent="0.3">
      <c r="A168" s="1"/>
      <c r="K16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68" s="1">
        <f>M167+Table1181920231030313235383940414811151820284359[[#This Row],[اجمالي الفاتوره]]-Table1181920231030313235383940414811151820284359[[#This Row],[الدفعات]]</f>
        <v>1770.4000000000233</v>
      </c>
      <c r="O168" s="48"/>
    </row>
    <row r="169" spans="1:15" x14ac:dyDescent="0.3">
      <c r="A169" s="1"/>
      <c r="K16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69" s="1">
        <f>M168+Table1181920231030313235383940414811151820284359[[#This Row],[اجمالي الفاتوره]]-Table1181920231030313235383940414811151820284359[[#This Row],[الدفعات]]</f>
        <v>1770.4000000000233</v>
      </c>
      <c r="O169" s="48"/>
    </row>
    <row r="170" spans="1:15" x14ac:dyDescent="0.3">
      <c r="A170" s="1"/>
      <c r="K17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70" s="1">
        <f>M169+Table1181920231030313235383940414811151820284359[[#This Row],[اجمالي الفاتوره]]-Table1181920231030313235383940414811151820284359[[#This Row],[الدفعات]]</f>
        <v>1770.4000000000233</v>
      </c>
      <c r="O170" s="48"/>
    </row>
    <row r="171" spans="1:15" x14ac:dyDescent="0.3">
      <c r="A171" s="1"/>
      <c r="K17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71" s="1">
        <f>M170+Table1181920231030313235383940414811151820284359[[#This Row],[اجمالي الفاتوره]]-Table1181920231030313235383940414811151820284359[[#This Row],[الدفعات]]</f>
        <v>1770.4000000000233</v>
      </c>
      <c r="O171" s="48"/>
    </row>
    <row r="172" spans="1:15" x14ac:dyDescent="0.3">
      <c r="A172" s="1"/>
      <c r="K17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72" s="1">
        <f>M171+Table1181920231030313235383940414811151820284359[[#This Row],[اجمالي الفاتوره]]-Table1181920231030313235383940414811151820284359[[#This Row],[الدفعات]]</f>
        <v>1770.4000000000233</v>
      </c>
      <c r="O172" s="48"/>
    </row>
    <row r="173" spans="1:15" x14ac:dyDescent="0.3">
      <c r="A173" s="1"/>
      <c r="K17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73" s="1">
        <f>M172+Table1181920231030313235383940414811151820284359[[#This Row],[اجمالي الفاتوره]]-Table1181920231030313235383940414811151820284359[[#This Row],[الدفعات]]</f>
        <v>1770.4000000000233</v>
      </c>
      <c r="O173" s="48"/>
    </row>
    <row r="174" spans="1:15" x14ac:dyDescent="0.3">
      <c r="A174" s="1"/>
      <c r="K17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74" s="1">
        <f>M173+Table1181920231030313235383940414811151820284359[[#This Row],[اجمالي الفاتوره]]-Table1181920231030313235383940414811151820284359[[#This Row],[الدفعات]]</f>
        <v>1770.4000000000233</v>
      </c>
      <c r="O174" s="48"/>
    </row>
    <row r="175" spans="1:15" x14ac:dyDescent="0.3">
      <c r="A175" s="1"/>
      <c r="K17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75" s="1">
        <f>M174+Table1181920231030313235383940414811151820284359[[#This Row],[اجمالي الفاتوره]]-Table1181920231030313235383940414811151820284359[[#This Row],[الدفعات]]</f>
        <v>1770.4000000000233</v>
      </c>
      <c r="O175" s="48"/>
    </row>
    <row r="176" spans="1:15" x14ac:dyDescent="0.3">
      <c r="A176" s="1"/>
      <c r="K17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76" s="1">
        <f>M175+Table1181920231030313235383940414811151820284359[[#This Row],[اجمالي الفاتوره]]-Table1181920231030313235383940414811151820284359[[#This Row],[الدفعات]]</f>
        <v>1770.4000000000233</v>
      </c>
      <c r="O176" s="48"/>
    </row>
    <row r="177" spans="1:15" x14ac:dyDescent="0.3">
      <c r="A177" s="1"/>
      <c r="K17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77" s="1">
        <f>M176+Table1181920231030313235383940414811151820284359[[#This Row],[اجمالي الفاتوره]]-Table1181920231030313235383940414811151820284359[[#This Row],[الدفعات]]</f>
        <v>1770.4000000000233</v>
      </c>
      <c r="O177" s="48"/>
    </row>
    <row r="178" spans="1:15" x14ac:dyDescent="0.3">
      <c r="A178" s="1"/>
      <c r="K17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78" s="1">
        <f>M177+Table1181920231030313235383940414811151820284359[[#This Row],[اجمالي الفاتوره]]-Table1181920231030313235383940414811151820284359[[#This Row],[الدفعات]]</f>
        <v>1770.4000000000233</v>
      </c>
      <c r="O178" s="48"/>
    </row>
    <row r="179" spans="1:15" x14ac:dyDescent="0.3">
      <c r="A179" s="1"/>
      <c r="K17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79" s="1">
        <f>M178+Table1181920231030313235383940414811151820284359[[#This Row],[اجمالي الفاتوره]]-Table1181920231030313235383940414811151820284359[[#This Row],[الدفعات]]</f>
        <v>1770.4000000000233</v>
      </c>
      <c r="O179" s="48"/>
    </row>
    <row r="180" spans="1:15" x14ac:dyDescent="0.3">
      <c r="A180" s="1"/>
      <c r="K18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80" s="1">
        <f>M179+Table1181920231030313235383940414811151820284359[[#This Row],[اجمالي الفاتوره]]-Table1181920231030313235383940414811151820284359[[#This Row],[الدفعات]]</f>
        <v>1770.4000000000233</v>
      </c>
      <c r="O180" s="48"/>
    </row>
    <row r="181" spans="1:15" x14ac:dyDescent="0.3">
      <c r="A181" s="1"/>
      <c r="K18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81" s="1">
        <f>M180+Table1181920231030313235383940414811151820284359[[#This Row],[اجمالي الفاتوره]]-Table1181920231030313235383940414811151820284359[[#This Row],[الدفعات]]</f>
        <v>1770.4000000000233</v>
      </c>
      <c r="O181" s="48"/>
    </row>
    <row r="182" spans="1:15" x14ac:dyDescent="0.3">
      <c r="A182" s="1"/>
      <c r="K18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82" s="1">
        <f>M181+Table1181920231030313235383940414811151820284359[[#This Row],[اجمالي الفاتوره]]-Table1181920231030313235383940414811151820284359[[#This Row],[الدفعات]]</f>
        <v>1770.4000000000233</v>
      </c>
      <c r="O182" s="48"/>
    </row>
    <row r="183" spans="1:15" x14ac:dyDescent="0.3">
      <c r="A183" s="1"/>
      <c r="K18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83" s="1">
        <f>M182+Table1181920231030313235383940414811151820284359[[#This Row],[اجمالي الفاتوره]]-Table1181920231030313235383940414811151820284359[[#This Row],[الدفعات]]</f>
        <v>1770.4000000000233</v>
      </c>
      <c r="O183" s="48"/>
    </row>
    <row r="184" spans="1:15" x14ac:dyDescent="0.3">
      <c r="A184" s="1"/>
      <c r="K18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84" s="1">
        <f>M183+Table1181920231030313235383940414811151820284359[[#This Row],[اجمالي الفاتوره]]-Table1181920231030313235383940414811151820284359[[#This Row],[الدفعات]]</f>
        <v>1770.4000000000233</v>
      </c>
      <c r="O184" s="48"/>
    </row>
    <row r="185" spans="1:15" x14ac:dyDescent="0.3">
      <c r="A185" s="1"/>
      <c r="K18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85" s="1">
        <f>M184+Table1181920231030313235383940414811151820284359[[#This Row],[اجمالي الفاتوره]]-Table1181920231030313235383940414811151820284359[[#This Row],[الدفعات]]</f>
        <v>1770.4000000000233</v>
      </c>
      <c r="O185" s="48"/>
    </row>
    <row r="186" spans="1:15" x14ac:dyDescent="0.3">
      <c r="A186" s="1"/>
      <c r="K18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86" s="1">
        <f>M185+Table1181920231030313235383940414811151820284359[[#This Row],[اجمالي الفاتوره]]-Table1181920231030313235383940414811151820284359[[#This Row],[الدفعات]]</f>
        <v>1770.4000000000233</v>
      </c>
      <c r="O186" s="48"/>
    </row>
    <row r="187" spans="1:15" x14ac:dyDescent="0.3">
      <c r="A187" s="1"/>
      <c r="K18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87" s="1">
        <f>M186+Table1181920231030313235383940414811151820284359[[#This Row],[اجمالي الفاتوره]]-Table1181920231030313235383940414811151820284359[[#This Row],[الدفعات]]</f>
        <v>1770.4000000000233</v>
      </c>
      <c r="O187" s="48"/>
    </row>
    <row r="188" spans="1:15" x14ac:dyDescent="0.3">
      <c r="A188" s="1"/>
      <c r="K18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88" s="1">
        <f>M187+Table1181920231030313235383940414811151820284359[[#This Row],[اجمالي الفاتوره]]-Table1181920231030313235383940414811151820284359[[#This Row],[الدفعات]]</f>
        <v>1770.4000000000233</v>
      </c>
      <c r="O188" s="48"/>
    </row>
    <row r="189" spans="1:15" x14ac:dyDescent="0.3">
      <c r="A189" s="1"/>
      <c r="K18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89" s="1">
        <f>M188+Table1181920231030313235383940414811151820284359[[#This Row],[اجمالي الفاتوره]]-Table1181920231030313235383940414811151820284359[[#This Row],[الدفعات]]</f>
        <v>1770.4000000000233</v>
      </c>
      <c r="O189" s="48"/>
    </row>
    <row r="190" spans="1:15" x14ac:dyDescent="0.3">
      <c r="A190" s="1"/>
      <c r="K19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90" s="1">
        <f>M189+Table1181920231030313235383940414811151820284359[[#This Row],[اجمالي الفاتوره]]-Table1181920231030313235383940414811151820284359[[#This Row],[الدفعات]]</f>
        <v>1770.4000000000233</v>
      </c>
      <c r="O190" s="48"/>
    </row>
    <row r="191" spans="1:15" x14ac:dyDescent="0.3">
      <c r="A191" s="1"/>
      <c r="K19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91" s="1">
        <f>M190+Table1181920231030313235383940414811151820284359[[#This Row],[اجمالي الفاتوره]]-Table1181920231030313235383940414811151820284359[[#This Row],[الدفعات]]</f>
        <v>1770.4000000000233</v>
      </c>
      <c r="O191" s="48"/>
    </row>
    <row r="192" spans="1:15" x14ac:dyDescent="0.3">
      <c r="A192" s="1"/>
      <c r="K19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92" s="1">
        <f>M191+Table1181920231030313235383940414811151820284359[[#This Row],[اجمالي الفاتوره]]-Table1181920231030313235383940414811151820284359[[#This Row],[الدفعات]]</f>
        <v>1770.4000000000233</v>
      </c>
      <c r="O192" s="48"/>
    </row>
    <row r="193" spans="1:15" x14ac:dyDescent="0.3">
      <c r="A193" s="1"/>
      <c r="K19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93" s="1">
        <f>M192+Table1181920231030313235383940414811151820284359[[#This Row],[اجمالي الفاتوره]]-Table1181920231030313235383940414811151820284359[[#This Row],[الدفعات]]</f>
        <v>1770.4000000000233</v>
      </c>
      <c r="O193" s="48"/>
    </row>
    <row r="194" spans="1:15" x14ac:dyDescent="0.3">
      <c r="A194" s="1"/>
      <c r="K19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94" s="1">
        <f>M193+Table1181920231030313235383940414811151820284359[[#This Row],[اجمالي الفاتوره]]-Table1181920231030313235383940414811151820284359[[#This Row],[الدفعات]]</f>
        <v>1770.4000000000233</v>
      </c>
      <c r="O194" s="48"/>
    </row>
    <row r="195" spans="1:15" x14ac:dyDescent="0.3">
      <c r="A195" s="1"/>
      <c r="K19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95" s="1">
        <f>M194+Table1181920231030313235383940414811151820284359[[#This Row],[اجمالي الفاتوره]]-Table1181920231030313235383940414811151820284359[[#This Row],[الدفعات]]</f>
        <v>1770.4000000000233</v>
      </c>
      <c r="O195" s="48"/>
    </row>
    <row r="196" spans="1:15" x14ac:dyDescent="0.3">
      <c r="A196" s="1"/>
      <c r="K19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96" s="1">
        <f>M195+Table1181920231030313235383940414811151820284359[[#This Row],[اجمالي الفاتوره]]-Table1181920231030313235383940414811151820284359[[#This Row],[الدفعات]]</f>
        <v>1770.4000000000233</v>
      </c>
      <c r="O196" s="48"/>
    </row>
    <row r="197" spans="1:15" x14ac:dyDescent="0.3">
      <c r="A197" s="1"/>
      <c r="K19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97" s="1">
        <f>M196+Table1181920231030313235383940414811151820284359[[#This Row],[اجمالي الفاتوره]]-Table1181920231030313235383940414811151820284359[[#This Row],[الدفعات]]</f>
        <v>1770.4000000000233</v>
      </c>
      <c r="O197" s="48"/>
    </row>
    <row r="198" spans="1:15" x14ac:dyDescent="0.3">
      <c r="A198" s="1"/>
      <c r="K19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98" s="1">
        <f>M197+Table1181920231030313235383940414811151820284359[[#This Row],[اجمالي الفاتوره]]-Table1181920231030313235383940414811151820284359[[#This Row],[الدفعات]]</f>
        <v>1770.4000000000233</v>
      </c>
      <c r="O198" s="48"/>
    </row>
    <row r="199" spans="1:15" x14ac:dyDescent="0.3">
      <c r="A199" s="1"/>
      <c r="K19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199" s="1">
        <f>M198+Table1181920231030313235383940414811151820284359[[#This Row],[اجمالي الفاتوره]]-Table1181920231030313235383940414811151820284359[[#This Row],[الدفعات]]</f>
        <v>1770.4000000000233</v>
      </c>
      <c r="O199" s="48"/>
    </row>
    <row r="200" spans="1:15" x14ac:dyDescent="0.3">
      <c r="A200" s="1"/>
      <c r="K20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00" s="1">
        <f>M199+Table1181920231030313235383940414811151820284359[[#This Row],[اجمالي الفاتوره]]-Table1181920231030313235383940414811151820284359[[#This Row],[الدفعات]]</f>
        <v>1770.4000000000233</v>
      </c>
      <c r="O200" s="48"/>
    </row>
    <row r="201" spans="1:15" x14ac:dyDescent="0.3">
      <c r="A201" s="1"/>
      <c r="K20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01" s="1">
        <f>M200+Table1181920231030313235383940414811151820284359[[#This Row],[اجمالي الفاتوره]]-Table1181920231030313235383940414811151820284359[[#This Row],[الدفعات]]</f>
        <v>1770.4000000000233</v>
      </c>
      <c r="O201" s="48"/>
    </row>
    <row r="202" spans="1:15" x14ac:dyDescent="0.3">
      <c r="A202" s="1"/>
      <c r="K20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02" s="1">
        <f>M201+Table1181920231030313235383940414811151820284359[[#This Row],[اجمالي الفاتوره]]-Table1181920231030313235383940414811151820284359[[#This Row],[الدفعات]]</f>
        <v>1770.4000000000233</v>
      </c>
      <c r="O202" s="48"/>
    </row>
    <row r="203" spans="1:15" x14ac:dyDescent="0.3">
      <c r="A203" s="1"/>
      <c r="K20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03" s="1">
        <f>M202+Table1181920231030313235383940414811151820284359[[#This Row],[اجمالي الفاتوره]]-Table1181920231030313235383940414811151820284359[[#This Row],[الدفعات]]</f>
        <v>1770.4000000000233</v>
      </c>
      <c r="O203" s="48"/>
    </row>
    <row r="204" spans="1:15" x14ac:dyDescent="0.3">
      <c r="A204" s="1"/>
      <c r="K20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04" s="1">
        <f>M203+Table1181920231030313235383940414811151820284359[[#This Row],[اجمالي الفاتوره]]-Table1181920231030313235383940414811151820284359[[#This Row],[الدفعات]]</f>
        <v>1770.4000000000233</v>
      </c>
      <c r="O204" s="48"/>
    </row>
    <row r="205" spans="1:15" x14ac:dyDescent="0.3">
      <c r="A205" s="1"/>
      <c r="K20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05" s="1">
        <f>M204+Table1181920231030313235383940414811151820284359[[#This Row],[اجمالي الفاتوره]]-Table1181920231030313235383940414811151820284359[[#This Row],[الدفعات]]</f>
        <v>1770.4000000000233</v>
      </c>
      <c r="O205" s="48"/>
    </row>
    <row r="206" spans="1:15" x14ac:dyDescent="0.3">
      <c r="A206" s="1"/>
      <c r="K20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06" s="1">
        <f>M205+Table1181920231030313235383940414811151820284359[[#This Row],[اجمالي الفاتوره]]-Table1181920231030313235383940414811151820284359[[#This Row],[الدفعات]]</f>
        <v>1770.4000000000233</v>
      </c>
      <c r="O206" s="48"/>
    </row>
    <row r="207" spans="1:15" x14ac:dyDescent="0.3">
      <c r="A207" s="1"/>
      <c r="K20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07" s="1">
        <f>M206+Table1181920231030313235383940414811151820284359[[#This Row],[اجمالي الفاتوره]]-Table1181920231030313235383940414811151820284359[[#This Row],[الدفعات]]</f>
        <v>1770.4000000000233</v>
      </c>
      <c r="O207" s="48"/>
    </row>
    <row r="208" spans="1:15" x14ac:dyDescent="0.3">
      <c r="A208" s="1"/>
      <c r="K20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08" s="1">
        <f>M207+Table1181920231030313235383940414811151820284359[[#This Row],[اجمالي الفاتوره]]-Table1181920231030313235383940414811151820284359[[#This Row],[الدفعات]]</f>
        <v>1770.4000000000233</v>
      </c>
      <c r="O208" s="48"/>
    </row>
    <row r="209" spans="1:15" x14ac:dyDescent="0.3">
      <c r="A209" s="1"/>
      <c r="K20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09" s="1">
        <f>M208+Table1181920231030313235383940414811151820284359[[#This Row],[اجمالي الفاتوره]]-Table1181920231030313235383940414811151820284359[[#This Row],[الدفعات]]</f>
        <v>1770.4000000000233</v>
      </c>
      <c r="O209" s="48"/>
    </row>
    <row r="210" spans="1:15" x14ac:dyDescent="0.3">
      <c r="A210" s="1"/>
      <c r="K21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10" s="1">
        <f>M209+Table1181920231030313235383940414811151820284359[[#This Row],[اجمالي الفاتوره]]-Table1181920231030313235383940414811151820284359[[#This Row],[الدفعات]]</f>
        <v>1770.4000000000233</v>
      </c>
      <c r="O210" s="48"/>
    </row>
    <row r="211" spans="1:15" x14ac:dyDescent="0.3">
      <c r="A211" s="1"/>
      <c r="K21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11" s="1">
        <f>M210+Table1181920231030313235383940414811151820284359[[#This Row],[اجمالي الفاتوره]]-Table1181920231030313235383940414811151820284359[[#This Row],[الدفعات]]</f>
        <v>1770.4000000000233</v>
      </c>
      <c r="O211" s="48"/>
    </row>
    <row r="212" spans="1:15" x14ac:dyDescent="0.3">
      <c r="A212" s="1"/>
      <c r="K21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12" s="1">
        <f>M211+Table1181920231030313235383940414811151820284359[[#This Row],[اجمالي الفاتوره]]-Table1181920231030313235383940414811151820284359[[#This Row],[الدفعات]]</f>
        <v>1770.4000000000233</v>
      </c>
      <c r="O212" s="48"/>
    </row>
    <row r="213" spans="1:15" x14ac:dyDescent="0.3">
      <c r="A213" s="1"/>
      <c r="K21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13" s="1">
        <f>M212+Table1181920231030313235383940414811151820284359[[#This Row],[اجمالي الفاتوره]]-Table1181920231030313235383940414811151820284359[[#This Row],[الدفعات]]</f>
        <v>1770.4000000000233</v>
      </c>
      <c r="O213" s="48"/>
    </row>
    <row r="214" spans="1:15" x14ac:dyDescent="0.3">
      <c r="A214" s="1"/>
      <c r="K21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14" s="1">
        <f>M213+Table1181920231030313235383940414811151820284359[[#This Row],[اجمالي الفاتوره]]-Table1181920231030313235383940414811151820284359[[#This Row],[الدفعات]]</f>
        <v>1770.4000000000233</v>
      </c>
      <c r="O214" s="48"/>
    </row>
    <row r="215" spans="1:15" x14ac:dyDescent="0.3">
      <c r="A215" s="1"/>
      <c r="K21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15" s="1">
        <f>M214+Table1181920231030313235383940414811151820284359[[#This Row],[اجمالي الفاتوره]]-Table1181920231030313235383940414811151820284359[[#This Row],[الدفعات]]</f>
        <v>1770.4000000000233</v>
      </c>
      <c r="O215" s="48"/>
    </row>
    <row r="216" spans="1:15" x14ac:dyDescent="0.3">
      <c r="A216" s="1"/>
      <c r="K21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16" s="1">
        <f>M215+Table1181920231030313235383940414811151820284359[[#This Row],[اجمالي الفاتوره]]-Table1181920231030313235383940414811151820284359[[#This Row],[الدفعات]]</f>
        <v>1770.4000000000233</v>
      </c>
      <c r="O216" s="48"/>
    </row>
    <row r="217" spans="1:15" x14ac:dyDescent="0.3">
      <c r="A217" s="1"/>
      <c r="K21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17" s="1">
        <f>M216+Table1181920231030313235383940414811151820284359[[#This Row],[اجمالي الفاتوره]]-Table1181920231030313235383940414811151820284359[[#This Row],[الدفعات]]</f>
        <v>1770.4000000000233</v>
      </c>
      <c r="O217" s="48"/>
    </row>
    <row r="218" spans="1:15" x14ac:dyDescent="0.3">
      <c r="A218" s="1"/>
      <c r="K21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18" s="1">
        <f>M217+Table1181920231030313235383940414811151820284359[[#This Row],[اجمالي الفاتوره]]-Table1181920231030313235383940414811151820284359[[#This Row],[الدفعات]]</f>
        <v>1770.4000000000233</v>
      </c>
      <c r="O218" s="48"/>
    </row>
    <row r="219" spans="1:15" x14ac:dyDescent="0.3">
      <c r="A219" s="1"/>
      <c r="K21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19" s="1">
        <f>M218+Table1181920231030313235383940414811151820284359[[#This Row],[اجمالي الفاتوره]]-Table1181920231030313235383940414811151820284359[[#This Row],[الدفعات]]</f>
        <v>1770.4000000000233</v>
      </c>
      <c r="O219" s="48"/>
    </row>
    <row r="220" spans="1:15" x14ac:dyDescent="0.3">
      <c r="A220" s="1"/>
      <c r="K22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20" s="1">
        <f>M219+Table1181920231030313235383940414811151820284359[[#This Row],[اجمالي الفاتوره]]-Table1181920231030313235383940414811151820284359[[#This Row],[الدفعات]]</f>
        <v>1770.4000000000233</v>
      </c>
      <c r="O220" s="48"/>
    </row>
    <row r="221" spans="1:15" x14ac:dyDescent="0.3">
      <c r="A221" s="1"/>
      <c r="K22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21" s="1">
        <f>M220+Table1181920231030313235383940414811151820284359[[#This Row],[اجمالي الفاتوره]]-Table1181920231030313235383940414811151820284359[[#This Row],[الدفعات]]</f>
        <v>1770.4000000000233</v>
      </c>
      <c r="O221" s="48"/>
    </row>
    <row r="222" spans="1:15" x14ac:dyDescent="0.3">
      <c r="A222" s="1"/>
      <c r="K22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22" s="1">
        <f>M221+Table1181920231030313235383940414811151820284359[[#This Row],[اجمالي الفاتوره]]-Table1181920231030313235383940414811151820284359[[#This Row],[الدفعات]]</f>
        <v>1770.4000000000233</v>
      </c>
      <c r="O222" s="48"/>
    </row>
    <row r="223" spans="1:15" x14ac:dyDescent="0.3">
      <c r="A223" s="1"/>
      <c r="K22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23" s="1">
        <f>M222+Table1181920231030313235383940414811151820284359[[#This Row],[اجمالي الفاتوره]]-Table1181920231030313235383940414811151820284359[[#This Row],[الدفعات]]</f>
        <v>1770.4000000000233</v>
      </c>
      <c r="O223" s="48"/>
    </row>
    <row r="224" spans="1:15" x14ac:dyDescent="0.3">
      <c r="A224" s="1"/>
      <c r="K22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24" s="1">
        <f>M223+Table1181920231030313235383940414811151820284359[[#This Row],[اجمالي الفاتوره]]-Table1181920231030313235383940414811151820284359[[#This Row],[الدفعات]]</f>
        <v>1770.4000000000233</v>
      </c>
      <c r="O224" s="48"/>
    </row>
    <row r="225" spans="1:15" x14ac:dyDescent="0.3">
      <c r="A225" s="1"/>
      <c r="K22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25" s="1">
        <f>M224+Table1181920231030313235383940414811151820284359[[#This Row],[اجمالي الفاتوره]]-Table1181920231030313235383940414811151820284359[[#This Row],[الدفعات]]</f>
        <v>1770.4000000000233</v>
      </c>
      <c r="O225" s="48"/>
    </row>
    <row r="226" spans="1:15" x14ac:dyDescent="0.3">
      <c r="A226" s="1"/>
      <c r="K22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26" s="1">
        <f>M225+Table1181920231030313235383940414811151820284359[[#This Row],[اجمالي الفاتوره]]-Table1181920231030313235383940414811151820284359[[#This Row],[الدفعات]]</f>
        <v>1770.4000000000233</v>
      </c>
      <c r="O226" s="48"/>
    </row>
    <row r="227" spans="1:15" x14ac:dyDescent="0.3">
      <c r="A227" s="1"/>
      <c r="K22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27" s="1">
        <f>M226+Table1181920231030313235383940414811151820284359[[#This Row],[اجمالي الفاتوره]]-Table1181920231030313235383940414811151820284359[[#This Row],[الدفعات]]</f>
        <v>1770.4000000000233</v>
      </c>
      <c r="O227" s="48"/>
    </row>
    <row r="228" spans="1:15" x14ac:dyDescent="0.3">
      <c r="A228" s="1"/>
      <c r="K22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28" s="1">
        <f>M227+Table1181920231030313235383940414811151820284359[[#This Row],[اجمالي الفاتوره]]-Table1181920231030313235383940414811151820284359[[#This Row],[الدفعات]]</f>
        <v>1770.4000000000233</v>
      </c>
      <c r="O228" s="48"/>
    </row>
    <row r="229" spans="1:15" x14ac:dyDescent="0.3">
      <c r="A229" s="1"/>
      <c r="K22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29" s="1">
        <f>M228+Table1181920231030313235383940414811151820284359[[#This Row],[اجمالي الفاتوره]]-Table1181920231030313235383940414811151820284359[[#This Row],[الدفعات]]</f>
        <v>1770.4000000000233</v>
      </c>
      <c r="O229" s="48"/>
    </row>
    <row r="230" spans="1:15" x14ac:dyDescent="0.3">
      <c r="A230" s="1"/>
      <c r="K23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30" s="1">
        <f>M229+Table1181920231030313235383940414811151820284359[[#This Row],[اجمالي الفاتوره]]-Table1181920231030313235383940414811151820284359[[#This Row],[الدفعات]]</f>
        <v>1770.4000000000233</v>
      </c>
      <c r="O230" s="48"/>
    </row>
    <row r="231" spans="1:15" x14ac:dyDescent="0.3">
      <c r="A231" s="1"/>
      <c r="K23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31" s="1">
        <f>M230+Table1181920231030313235383940414811151820284359[[#This Row],[اجمالي الفاتوره]]-Table1181920231030313235383940414811151820284359[[#This Row],[الدفعات]]</f>
        <v>1770.4000000000233</v>
      </c>
      <c r="O231" s="48"/>
    </row>
    <row r="232" spans="1:15" x14ac:dyDescent="0.3">
      <c r="A232" s="1"/>
      <c r="K23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32" s="1">
        <f>M231+Table1181920231030313235383940414811151820284359[[#This Row],[اجمالي الفاتوره]]-Table1181920231030313235383940414811151820284359[[#This Row],[الدفعات]]</f>
        <v>1770.4000000000233</v>
      </c>
      <c r="O232" s="48"/>
    </row>
    <row r="233" spans="1:15" x14ac:dyDescent="0.3">
      <c r="A233" s="1"/>
      <c r="K23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33" s="1">
        <f>M232+Table1181920231030313235383940414811151820284359[[#This Row],[اجمالي الفاتوره]]-Table1181920231030313235383940414811151820284359[[#This Row],[الدفعات]]</f>
        <v>1770.4000000000233</v>
      </c>
      <c r="O233" s="48"/>
    </row>
    <row r="234" spans="1:15" x14ac:dyDescent="0.3">
      <c r="A234" s="1"/>
      <c r="K23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34" s="1">
        <f>M233+Table1181920231030313235383940414811151820284359[[#This Row],[اجمالي الفاتوره]]-Table1181920231030313235383940414811151820284359[[#This Row],[الدفعات]]</f>
        <v>1770.4000000000233</v>
      </c>
      <c r="O234" s="48"/>
    </row>
    <row r="235" spans="1:15" x14ac:dyDescent="0.3">
      <c r="A235" s="1"/>
      <c r="K23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35" s="1">
        <f>M234+Table1181920231030313235383940414811151820284359[[#This Row],[اجمالي الفاتوره]]-Table1181920231030313235383940414811151820284359[[#This Row],[الدفعات]]</f>
        <v>1770.4000000000233</v>
      </c>
      <c r="O235" s="48"/>
    </row>
    <row r="236" spans="1:15" x14ac:dyDescent="0.3">
      <c r="A236" s="1"/>
      <c r="K23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36" s="1">
        <f>M235+Table1181920231030313235383940414811151820284359[[#This Row],[اجمالي الفاتوره]]-Table1181920231030313235383940414811151820284359[[#This Row],[الدفعات]]</f>
        <v>1770.4000000000233</v>
      </c>
      <c r="O236" s="48"/>
    </row>
    <row r="237" spans="1:15" x14ac:dyDescent="0.3">
      <c r="A237" s="1"/>
      <c r="K23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37" s="1">
        <f>M236+Table1181920231030313235383940414811151820284359[[#This Row],[اجمالي الفاتوره]]-Table1181920231030313235383940414811151820284359[[#This Row],[الدفعات]]</f>
        <v>1770.4000000000233</v>
      </c>
      <c r="O237" s="48"/>
    </row>
    <row r="238" spans="1:15" x14ac:dyDescent="0.3">
      <c r="A238" s="1"/>
      <c r="K23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38" s="1">
        <f>M237+Table1181920231030313235383940414811151820284359[[#This Row],[اجمالي الفاتوره]]-Table1181920231030313235383940414811151820284359[[#This Row],[الدفعات]]</f>
        <v>1770.4000000000233</v>
      </c>
      <c r="O238" s="48"/>
    </row>
    <row r="239" spans="1:15" x14ac:dyDescent="0.3">
      <c r="A239" s="1"/>
      <c r="K23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39" s="1">
        <f>M238+Table1181920231030313235383940414811151820284359[[#This Row],[اجمالي الفاتوره]]-Table1181920231030313235383940414811151820284359[[#This Row],[الدفعات]]</f>
        <v>1770.4000000000233</v>
      </c>
      <c r="O239" s="48"/>
    </row>
    <row r="240" spans="1:15" x14ac:dyDescent="0.3">
      <c r="A240" s="1"/>
      <c r="K24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40" s="1">
        <f>M239+Table1181920231030313235383940414811151820284359[[#This Row],[اجمالي الفاتوره]]-Table1181920231030313235383940414811151820284359[[#This Row],[الدفعات]]</f>
        <v>1770.4000000000233</v>
      </c>
      <c r="O240" s="48"/>
    </row>
    <row r="241" spans="1:15" x14ac:dyDescent="0.3">
      <c r="A241" s="1"/>
      <c r="K24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41" s="1">
        <f>M240+Table1181920231030313235383940414811151820284359[[#This Row],[اجمالي الفاتوره]]-Table1181920231030313235383940414811151820284359[[#This Row],[الدفعات]]</f>
        <v>1770.4000000000233</v>
      </c>
      <c r="O241" s="48"/>
    </row>
    <row r="242" spans="1:15" x14ac:dyDescent="0.3">
      <c r="A242" s="1"/>
      <c r="K24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42" s="1">
        <f>M241+Table1181920231030313235383940414811151820284359[[#This Row],[اجمالي الفاتوره]]-Table1181920231030313235383940414811151820284359[[#This Row],[الدفعات]]</f>
        <v>1770.4000000000233</v>
      </c>
      <c r="O242" s="48"/>
    </row>
    <row r="243" spans="1:15" x14ac:dyDescent="0.3">
      <c r="A243" s="1"/>
      <c r="K24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43" s="1">
        <f>M242+Table1181920231030313235383940414811151820284359[[#This Row],[اجمالي الفاتوره]]-Table1181920231030313235383940414811151820284359[[#This Row],[الدفعات]]</f>
        <v>1770.4000000000233</v>
      </c>
      <c r="O243" s="48"/>
    </row>
    <row r="244" spans="1:15" x14ac:dyDescent="0.3">
      <c r="A244" s="1"/>
      <c r="K24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44" s="1">
        <f>M243+Table1181920231030313235383940414811151820284359[[#This Row],[اجمالي الفاتوره]]-Table1181920231030313235383940414811151820284359[[#This Row],[الدفعات]]</f>
        <v>1770.4000000000233</v>
      </c>
      <c r="O244" s="48"/>
    </row>
    <row r="245" spans="1:15" x14ac:dyDescent="0.3">
      <c r="A245" s="1"/>
      <c r="K24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45" s="1">
        <f>M244+Table1181920231030313235383940414811151820284359[[#This Row],[اجمالي الفاتوره]]-Table1181920231030313235383940414811151820284359[[#This Row],[الدفعات]]</f>
        <v>1770.4000000000233</v>
      </c>
      <c r="O245" s="48"/>
    </row>
    <row r="246" spans="1:15" x14ac:dyDescent="0.3">
      <c r="A246" s="1"/>
      <c r="K24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46" s="1">
        <f>M245+Table1181920231030313235383940414811151820284359[[#This Row],[اجمالي الفاتوره]]-Table1181920231030313235383940414811151820284359[[#This Row],[الدفعات]]</f>
        <v>1770.4000000000233</v>
      </c>
      <c r="O246" s="48"/>
    </row>
    <row r="247" spans="1:15" x14ac:dyDescent="0.3">
      <c r="A247" s="1"/>
      <c r="K24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47" s="1">
        <f>M246+Table1181920231030313235383940414811151820284359[[#This Row],[اجمالي الفاتوره]]-Table1181920231030313235383940414811151820284359[[#This Row],[الدفعات]]</f>
        <v>1770.4000000000233</v>
      </c>
      <c r="O247" s="48"/>
    </row>
    <row r="248" spans="1:15" x14ac:dyDescent="0.3">
      <c r="A248" s="1"/>
      <c r="K24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48" s="1">
        <f>M247+Table1181920231030313235383940414811151820284359[[#This Row],[اجمالي الفاتوره]]-Table1181920231030313235383940414811151820284359[[#This Row],[الدفعات]]</f>
        <v>1770.4000000000233</v>
      </c>
      <c r="O248" s="48"/>
    </row>
    <row r="249" spans="1:15" x14ac:dyDescent="0.3">
      <c r="A249" s="1"/>
      <c r="K24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49" s="1">
        <f>M248+Table1181920231030313235383940414811151820284359[[#This Row],[اجمالي الفاتوره]]-Table1181920231030313235383940414811151820284359[[#This Row],[الدفعات]]</f>
        <v>1770.4000000000233</v>
      </c>
      <c r="O249" s="48"/>
    </row>
    <row r="250" spans="1:15" x14ac:dyDescent="0.3">
      <c r="A250" s="1"/>
      <c r="K25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50" s="1">
        <f>M249+Table1181920231030313235383940414811151820284359[[#This Row],[اجمالي الفاتوره]]-Table1181920231030313235383940414811151820284359[[#This Row],[الدفعات]]</f>
        <v>1770.4000000000233</v>
      </c>
      <c r="O250" s="48"/>
    </row>
    <row r="251" spans="1:15" x14ac:dyDescent="0.3">
      <c r="A251" s="1"/>
      <c r="K25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51" s="1">
        <f>M250+Table1181920231030313235383940414811151820284359[[#This Row],[اجمالي الفاتوره]]-Table1181920231030313235383940414811151820284359[[#This Row],[الدفعات]]</f>
        <v>1770.4000000000233</v>
      </c>
      <c r="O251" s="48"/>
    </row>
    <row r="252" spans="1:15" x14ac:dyDescent="0.3">
      <c r="A252" s="1"/>
      <c r="K25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52" s="1">
        <f>M251+Table1181920231030313235383940414811151820284359[[#This Row],[اجمالي الفاتوره]]-Table1181920231030313235383940414811151820284359[[#This Row],[الدفعات]]</f>
        <v>1770.4000000000233</v>
      </c>
      <c r="O252" s="48"/>
    </row>
    <row r="253" spans="1:15" x14ac:dyDescent="0.3">
      <c r="A253" s="1"/>
      <c r="K25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53" s="1">
        <f>M252+Table1181920231030313235383940414811151820284359[[#This Row],[اجمالي الفاتوره]]-Table1181920231030313235383940414811151820284359[[#This Row],[الدفعات]]</f>
        <v>1770.4000000000233</v>
      </c>
      <c r="O253" s="48"/>
    </row>
    <row r="254" spans="1:15" x14ac:dyDescent="0.3">
      <c r="A254" s="1"/>
      <c r="K25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54" s="1">
        <f>M253+Table1181920231030313235383940414811151820284359[[#This Row],[اجمالي الفاتوره]]-Table1181920231030313235383940414811151820284359[[#This Row],[الدفعات]]</f>
        <v>1770.4000000000233</v>
      </c>
      <c r="O254" s="48"/>
    </row>
    <row r="255" spans="1:15" x14ac:dyDescent="0.3">
      <c r="A255" s="1"/>
      <c r="K25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55" s="1">
        <f>M254+Table1181920231030313235383940414811151820284359[[#This Row],[اجمالي الفاتوره]]-Table1181920231030313235383940414811151820284359[[#This Row],[الدفعات]]</f>
        <v>1770.4000000000233</v>
      </c>
      <c r="O255" s="48"/>
    </row>
    <row r="256" spans="1:15" x14ac:dyDescent="0.3">
      <c r="A256" s="1"/>
      <c r="K25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56" s="1">
        <f>M255+Table1181920231030313235383940414811151820284359[[#This Row],[اجمالي الفاتوره]]-Table1181920231030313235383940414811151820284359[[#This Row],[الدفعات]]</f>
        <v>1770.4000000000233</v>
      </c>
      <c r="O256" s="48"/>
    </row>
    <row r="257" spans="1:15" x14ac:dyDescent="0.3">
      <c r="A257" s="1"/>
      <c r="K25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57" s="1">
        <f>M256+Table1181920231030313235383940414811151820284359[[#This Row],[اجمالي الفاتوره]]-Table1181920231030313235383940414811151820284359[[#This Row],[الدفعات]]</f>
        <v>1770.4000000000233</v>
      </c>
      <c r="O257" s="48"/>
    </row>
    <row r="258" spans="1:15" x14ac:dyDescent="0.3">
      <c r="A258" s="1"/>
      <c r="K25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58" s="1">
        <f>M257+Table1181920231030313235383940414811151820284359[[#This Row],[اجمالي الفاتوره]]-Table1181920231030313235383940414811151820284359[[#This Row],[الدفعات]]</f>
        <v>1770.4000000000233</v>
      </c>
      <c r="O258" s="48"/>
    </row>
    <row r="259" spans="1:15" x14ac:dyDescent="0.3">
      <c r="A259" s="1"/>
      <c r="K25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59" s="1">
        <f>M258+Table1181920231030313235383940414811151820284359[[#This Row],[اجمالي الفاتوره]]-Table1181920231030313235383940414811151820284359[[#This Row],[الدفعات]]</f>
        <v>1770.4000000000233</v>
      </c>
      <c r="O259" s="48"/>
    </row>
    <row r="260" spans="1:15" x14ac:dyDescent="0.3">
      <c r="A260" s="1"/>
      <c r="K26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60" s="1">
        <f>M259+Table1181920231030313235383940414811151820284359[[#This Row],[اجمالي الفاتوره]]-Table1181920231030313235383940414811151820284359[[#This Row],[الدفعات]]</f>
        <v>1770.4000000000233</v>
      </c>
      <c r="O260" s="48"/>
    </row>
    <row r="261" spans="1:15" x14ac:dyDescent="0.3">
      <c r="A261" s="1"/>
      <c r="K26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61" s="1">
        <f>M260+Table1181920231030313235383940414811151820284359[[#This Row],[اجمالي الفاتوره]]-Table1181920231030313235383940414811151820284359[[#This Row],[الدفعات]]</f>
        <v>1770.4000000000233</v>
      </c>
      <c r="O261" s="48"/>
    </row>
    <row r="262" spans="1:15" x14ac:dyDescent="0.3">
      <c r="A262" s="1"/>
      <c r="K26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62" s="1">
        <f>M261+Table1181920231030313235383940414811151820284359[[#This Row],[اجمالي الفاتوره]]-Table1181920231030313235383940414811151820284359[[#This Row],[الدفعات]]</f>
        <v>1770.4000000000233</v>
      </c>
      <c r="O262" s="48"/>
    </row>
    <row r="263" spans="1:15" x14ac:dyDescent="0.3">
      <c r="A263" s="1"/>
      <c r="K26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63" s="1">
        <f>M262+Table1181920231030313235383940414811151820284359[[#This Row],[اجمالي الفاتوره]]-Table1181920231030313235383940414811151820284359[[#This Row],[الدفعات]]</f>
        <v>1770.4000000000233</v>
      </c>
      <c r="O263" s="48"/>
    </row>
    <row r="264" spans="1:15" x14ac:dyDescent="0.3">
      <c r="A264" s="1"/>
      <c r="K26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64" s="1">
        <f>M263+Table1181920231030313235383940414811151820284359[[#This Row],[اجمالي الفاتوره]]-Table1181920231030313235383940414811151820284359[[#This Row],[الدفعات]]</f>
        <v>1770.4000000000233</v>
      </c>
      <c r="O264" s="48"/>
    </row>
    <row r="265" spans="1:15" x14ac:dyDescent="0.3">
      <c r="A265" s="1"/>
      <c r="K26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65" s="1">
        <f>M264+Table1181920231030313235383940414811151820284359[[#This Row],[اجمالي الفاتوره]]-Table1181920231030313235383940414811151820284359[[#This Row],[الدفعات]]</f>
        <v>1770.4000000000233</v>
      </c>
      <c r="O265" s="48"/>
    </row>
    <row r="266" spans="1:15" x14ac:dyDescent="0.3">
      <c r="A266" s="1"/>
      <c r="K26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66" s="1">
        <f>M265+Table1181920231030313235383940414811151820284359[[#This Row],[اجمالي الفاتوره]]-Table1181920231030313235383940414811151820284359[[#This Row],[الدفعات]]</f>
        <v>1770.4000000000233</v>
      </c>
      <c r="O266" s="48"/>
    </row>
    <row r="267" spans="1:15" x14ac:dyDescent="0.3">
      <c r="A267" s="1"/>
      <c r="K26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67" s="1">
        <f>M266+Table1181920231030313235383940414811151820284359[[#This Row],[اجمالي الفاتوره]]-Table1181920231030313235383940414811151820284359[[#This Row],[الدفعات]]</f>
        <v>1770.4000000000233</v>
      </c>
      <c r="O267" s="48"/>
    </row>
    <row r="268" spans="1:15" x14ac:dyDescent="0.3">
      <c r="A268" s="1"/>
      <c r="K26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68" s="1">
        <f>M267+Table1181920231030313235383940414811151820284359[[#This Row],[اجمالي الفاتوره]]-Table1181920231030313235383940414811151820284359[[#This Row],[الدفعات]]</f>
        <v>1770.4000000000233</v>
      </c>
      <c r="O268" s="48"/>
    </row>
    <row r="269" spans="1:15" x14ac:dyDescent="0.3">
      <c r="A269" s="1"/>
      <c r="K26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69" s="1">
        <f>M268+Table1181920231030313235383940414811151820284359[[#This Row],[اجمالي الفاتوره]]-Table1181920231030313235383940414811151820284359[[#This Row],[الدفعات]]</f>
        <v>1770.4000000000233</v>
      </c>
      <c r="O269" s="48"/>
    </row>
    <row r="270" spans="1:15" x14ac:dyDescent="0.3">
      <c r="A270" s="1"/>
      <c r="K27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70" s="1">
        <f>M269+Table1181920231030313235383940414811151820284359[[#This Row],[اجمالي الفاتوره]]-Table1181920231030313235383940414811151820284359[[#This Row],[الدفعات]]</f>
        <v>1770.4000000000233</v>
      </c>
      <c r="O270" s="48"/>
    </row>
    <row r="271" spans="1:15" x14ac:dyDescent="0.3">
      <c r="A271" s="1"/>
      <c r="K27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71" s="1">
        <f>M270+Table1181920231030313235383940414811151820284359[[#This Row],[اجمالي الفاتوره]]-Table1181920231030313235383940414811151820284359[[#This Row],[الدفعات]]</f>
        <v>1770.4000000000233</v>
      </c>
      <c r="O271" s="48"/>
    </row>
    <row r="272" spans="1:15" x14ac:dyDescent="0.3">
      <c r="A272" s="1"/>
      <c r="K27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72" s="1">
        <f>M271+Table1181920231030313235383940414811151820284359[[#This Row],[اجمالي الفاتوره]]-Table1181920231030313235383940414811151820284359[[#This Row],[الدفعات]]</f>
        <v>1770.4000000000233</v>
      </c>
      <c r="O272" s="48"/>
    </row>
    <row r="273" spans="1:15" x14ac:dyDescent="0.3">
      <c r="A273" s="1"/>
      <c r="K27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73" s="1">
        <f>M272+Table1181920231030313235383940414811151820284359[[#This Row],[اجمالي الفاتوره]]-Table1181920231030313235383940414811151820284359[[#This Row],[الدفعات]]</f>
        <v>1770.4000000000233</v>
      </c>
      <c r="O273" s="48"/>
    </row>
    <row r="274" spans="1:15" x14ac:dyDescent="0.3">
      <c r="A274" s="1"/>
      <c r="K27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74" s="1">
        <f>M273+Table1181920231030313235383940414811151820284359[[#This Row],[اجمالي الفاتوره]]-Table1181920231030313235383940414811151820284359[[#This Row],[الدفعات]]</f>
        <v>1770.4000000000233</v>
      </c>
      <c r="O274" s="48"/>
    </row>
    <row r="275" spans="1:15" x14ac:dyDescent="0.3">
      <c r="A275" s="1"/>
      <c r="K27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75" s="1">
        <f>M274+Table1181920231030313235383940414811151820284359[[#This Row],[اجمالي الفاتوره]]-Table1181920231030313235383940414811151820284359[[#This Row],[الدفعات]]</f>
        <v>1770.4000000000233</v>
      </c>
      <c r="O275" s="48"/>
    </row>
    <row r="276" spans="1:15" x14ac:dyDescent="0.3">
      <c r="A276" s="1"/>
      <c r="K27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76" s="1">
        <f>M275+Table1181920231030313235383940414811151820284359[[#This Row],[اجمالي الفاتوره]]-Table1181920231030313235383940414811151820284359[[#This Row],[الدفعات]]</f>
        <v>1770.4000000000233</v>
      </c>
      <c r="O276" s="48"/>
    </row>
    <row r="277" spans="1:15" x14ac:dyDescent="0.3">
      <c r="A277" s="1"/>
      <c r="K27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77" s="1">
        <f>M276+Table1181920231030313235383940414811151820284359[[#This Row],[اجمالي الفاتوره]]-Table1181920231030313235383940414811151820284359[[#This Row],[الدفعات]]</f>
        <v>1770.4000000000233</v>
      </c>
      <c r="O277" s="48"/>
    </row>
    <row r="278" spans="1:15" x14ac:dyDescent="0.3">
      <c r="A278" s="1"/>
      <c r="K27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78" s="1">
        <f>M277+Table1181920231030313235383940414811151820284359[[#This Row],[اجمالي الفاتوره]]-Table1181920231030313235383940414811151820284359[[#This Row],[الدفعات]]</f>
        <v>1770.4000000000233</v>
      </c>
      <c r="O278" s="48"/>
    </row>
    <row r="279" spans="1:15" x14ac:dyDescent="0.3">
      <c r="A279" s="1"/>
      <c r="K27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79" s="1">
        <f>M278+Table1181920231030313235383940414811151820284359[[#This Row],[اجمالي الفاتوره]]-Table1181920231030313235383940414811151820284359[[#This Row],[الدفعات]]</f>
        <v>1770.4000000000233</v>
      </c>
      <c r="O279" s="48"/>
    </row>
    <row r="280" spans="1:15" x14ac:dyDescent="0.3">
      <c r="A280" s="1"/>
      <c r="K28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80" s="1">
        <f>M279+Table1181920231030313235383940414811151820284359[[#This Row],[اجمالي الفاتوره]]-Table1181920231030313235383940414811151820284359[[#This Row],[الدفعات]]</f>
        <v>1770.4000000000233</v>
      </c>
      <c r="O280" s="48"/>
    </row>
    <row r="281" spans="1:15" x14ac:dyDescent="0.3">
      <c r="A281" s="1"/>
      <c r="K28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81" s="1">
        <f>M280+Table1181920231030313235383940414811151820284359[[#This Row],[اجمالي الفاتوره]]-Table1181920231030313235383940414811151820284359[[#This Row],[الدفعات]]</f>
        <v>1770.4000000000233</v>
      </c>
      <c r="O281" s="48"/>
    </row>
    <row r="282" spans="1:15" x14ac:dyDescent="0.3">
      <c r="A282" s="1"/>
      <c r="K28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82" s="1">
        <f>M281+Table1181920231030313235383940414811151820284359[[#This Row],[اجمالي الفاتوره]]-Table1181920231030313235383940414811151820284359[[#This Row],[الدفعات]]</f>
        <v>1770.4000000000233</v>
      </c>
      <c r="O282" s="48"/>
    </row>
    <row r="283" spans="1:15" x14ac:dyDescent="0.3">
      <c r="A283" s="1"/>
      <c r="K28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83" s="1">
        <f>M282+Table1181920231030313235383940414811151820284359[[#This Row],[اجمالي الفاتوره]]-Table1181920231030313235383940414811151820284359[[#This Row],[الدفعات]]</f>
        <v>1770.4000000000233</v>
      </c>
      <c r="O283" s="48"/>
    </row>
    <row r="284" spans="1:15" x14ac:dyDescent="0.3">
      <c r="A284" s="1"/>
      <c r="K28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84" s="1">
        <f>M283+Table1181920231030313235383940414811151820284359[[#This Row],[اجمالي الفاتوره]]-Table1181920231030313235383940414811151820284359[[#This Row],[الدفعات]]</f>
        <v>1770.4000000000233</v>
      </c>
      <c r="O284" s="48"/>
    </row>
    <row r="285" spans="1:15" x14ac:dyDescent="0.3">
      <c r="A285" s="1"/>
      <c r="K28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85" s="1">
        <f>M284+Table1181920231030313235383940414811151820284359[[#This Row],[اجمالي الفاتوره]]-Table1181920231030313235383940414811151820284359[[#This Row],[الدفعات]]</f>
        <v>1770.4000000000233</v>
      </c>
      <c r="O285" s="48"/>
    </row>
    <row r="286" spans="1:15" x14ac:dyDescent="0.3">
      <c r="A286" s="1"/>
      <c r="K28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86" s="1">
        <f>M285+Table1181920231030313235383940414811151820284359[[#This Row],[اجمالي الفاتوره]]-Table1181920231030313235383940414811151820284359[[#This Row],[الدفعات]]</f>
        <v>1770.4000000000233</v>
      </c>
      <c r="O286" s="48"/>
    </row>
    <row r="287" spans="1:15" x14ac:dyDescent="0.3">
      <c r="A287" s="1"/>
      <c r="K28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87" s="1">
        <f>M286+Table1181920231030313235383940414811151820284359[[#This Row],[اجمالي الفاتوره]]-Table1181920231030313235383940414811151820284359[[#This Row],[الدفعات]]</f>
        <v>1770.4000000000233</v>
      </c>
      <c r="O287" s="48"/>
    </row>
    <row r="288" spans="1:15" x14ac:dyDescent="0.3">
      <c r="A288" s="1"/>
      <c r="K28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88" s="1">
        <f>M287+Table1181920231030313235383940414811151820284359[[#This Row],[اجمالي الفاتوره]]-Table1181920231030313235383940414811151820284359[[#This Row],[الدفعات]]</f>
        <v>1770.4000000000233</v>
      </c>
      <c r="O288" s="48"/>
    </row>
    <row r="289" spans="1:15" x14ac:dyDescent="0.3">
      <c r="A289" s="1"/>
      <c r="K28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89" s="1">
        <f>M288+Table1181920231030313235383940414811151820284359[[#This Row],[اجمالي الفاتوره]]-Table1181920231030313235383940414811151820284359[[#This Row],[الدفعات]]</f>
        <v>1770.4000000000233</v>
      </c>
      <c r="O289" s="48"/>
    </row>
    <row r="290" spans="1:15" x14ac:dyDescent="0.3">
      <c r="A290" s="1"/>
      <c r="K29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90" s="1">
        <f>M289+Table1181920231030313235383940414811151820284359[[#This Row],[اجمالي الفاتوره]]-Table1181920231030313235383940414811151820284359[[#This Row],[الدفعات]]</f>
        <v>1770.4000000000233</v>
      </c>
      <c r="O290" s="48"/>
    </row>
    <row r="291" spans="1:15" x14ac:dyDescent="0.3">
      <c r="A291" s="1"/>
      <c r="K29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91" s="1">
        <f>M290+Table1181920231030313235383940414811151820284359[[#This Row],[اجمالي الفاتوره]]-Table1181920231030313235383940414811151820284359[[#This Row],[الدفعات]]</f>
        <v>1770.4000000000233</v>
      </c>
      <c r="O291" s="48"/>
    </row>
    <row r="292" spans="1:15" x14ac:dyDescent="0.3">
      <c r="A292" s="1"/>
      <c r="K29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92" s="1">
        <f>M291+Table1181920231030313235383940414811151820284359[[#This Row],[اجمالي الفاتوره]]-Table1181920231030313235383940414811151820284359[[#This Row],[الدفعات]]</f>
        <v>1770.4000000000233</v>
      </c>
      <c r="O292" s="48"/>
    </row>
    <row r="293" spans="1:15" x14ac:dyDescent="0.3">
      <c r="A293" s="1"/>
      <c r="K29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93" s="1">
        <f>M292+Table1181920231030313235383940414811151820284359[[#This Row],[اجمالي الفاتوره]]-Table1181920231030313235383940414811151820284359[[#This Row],[الدفعات]]</f>
        <v>1770.4000000000233</v>
      </c>
      <c r="O293" s="48"/>
    </row>
    <row r="294" spans="1:15" x14ac:dyDescent="0.3">
      <c r="A294" s="1"/>
      <c r="K29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94" s="1">
        <f>M293+Table1181920231030313235383940414811151820284359[[#This Row],[اجمالي الفاتوره]]-Table1181920231030313235383940414811151820284359[[#This Row],[الدفعات]]</f>
        <v>1770.4000000000233</v>
      </c>
      <c r="O294" s="48"/>
    </row>
    <row r="295" spans="1:15" x14ac:dyDescent="0.3">
      <c r="A295" s="1"/>
      <c r="K29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95" s="1">
        <f>M294+Table1181920231030313235383940414811151820284359[[#This Row],[اجمالي الفاتوره]]-Table1181920231030313235383940414811151820284359[[#This Row],[الدفعات]]</f>
        <v>1770.4000000000233</v>
      </c>
      <c r="O295" s="48"/>
    </row>
    <row r="296" spans="1:15" x14ac:dyDescent="0.3">
      <c r="A296" s="1"/>
      <c r="K29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96" s="1">
        <f>M295+Table1181920231030313235383940414811151820284359[[#This Row],[اجمالي الفاتوره]]-Table1181920231030313235383940414811151820284359[[#This Row],[الدفعات]]</f>
        <v>1770.4000000000233</v>
      </c>
      <c r="O296" s="48"/>
    </row>
    <row r="297" spans="1:15" x14ac:dyDescent="0.3">
      <c r="A297" s="1"/>
      <c r="K29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97" s="1">
        <f>M296+Table1181920231030313235383940414811151820284359[[#This Row],[اجمالي الفاتوره]]-Table1181920231030313235383940414811151820284359[[#This Row],[الدفعات]]</f>
        <v>1770.4000000000233</v>
      </c>
      <c r="O297" s="48"/>
    </row>
    <row r="298" spans="1:15" x14ac:dyDescent="0.3">
      <c r="A298" s="1"/>
      <c r="K29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98" s="1">
        <f>M297+Table1181920231030313235383940414811151820284359[[#This Row],[اجمالي الفاتوره]]-Table1181920231030313235383940414811151820284359[[#This Row],[الدفعات]]</f>
        <v>1770.4000000000233</v>
      </c>
      <c r="O298" s="48"/>
    </row>
    <row r="299" spans="1:15" x14ac:dyDescent="0.3">
      <c r="A299" s="1"/>
      <c r="K29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299" s="1">
        <f>M298+Table1181920231030313235383940414811151820284359[[#This Row],[اجمالي الفاتوره]]-Table1181920231030313235383940414811151820284359[[#This Row],[الدفعات]]</f>
        <v>1770.4000000000233</v>
      </c>
      <c r="O299" s="48"/>
    </row>
    <row r="300" spans="1:15" x14ac:dyDescent="0.3">
      <c r="A300" s="1"/>
      <c r="K30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00" s="1">
        <f>M299+Table1181920231030313235383940414811151820284359[[#This Row],[اجمالي الفاتوره]]-Table1181920231030313235383940414811151820284359[[#This Row],[الدفعات]]</f>
        <v>1770.4000000000233</v>
      </c>
      <c r="O300" s="48"/>
    </row>
    <row r="301" spans="1:15" x14ac:dyDescent="0.3">
      <c r="A301" s="1"/>
      <c r="K30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01" s="1">
        <f>M300+Table1181920231030313235383940414811151820284359[[#This Row],[اجمالي الفاتوره]]-Table1181920231030313235383940414811151820284359[[#This Row],[الدفعات]]</f>
        <v>1770.4000000000233</v>
      </c>
      <c r="O301" s="48"/>
    </row>
    <row r="302" spans="1:15" x14ac:dyDescent="0.3">
      <c r="A302" s="1"/>
      <c r="K30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02" s="1">
        <f>M301+Table1181920231030313235383940414811151820284359[[#This Row],[اجمالي الفاتوره]]-Table1181920231030313235383940414811151820284359[[#This Row],[الدفعات]]</f>
        <v>1770.4000000000233</v>
      </c>
      <c r="O302" s="48"/>
    </row>
    <row r="303" spans="1:15" x14ac:dyDescent="0.3">
      <c r="A303" s="1"/>
      <c r="K30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03" s="1">
        <f>M302+Table1181920231030313235383940414811151820284359[[#This Row],[اجمالي الفاتوره]]-Table1181920231030313235383940414811151820284359[[#This Row],[الدفعات]]</f>
        <v>1770.4000000000233</v>
      </c>
      <c r="O303" s="48"/>
    </row>
    <row r="304" spans="1:15" x14ac:dyDescent="0.3">
      <c r="A304" s="1"/>
      <c r="K30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04" s="1">
        <f>M303+Table1181920231030313235383940414811151820284359[[#This Row],[اجمالي الفاتوره]]-Table1181920231030313235383940414811151820284359[[#This Row],[الدفعات]]</f>
        <v>1770.4000000000233</v>
      </c>
      <c r="O304" s="48"/>
    </row>
    <row r="305" spans="1:15" x14ac:dyDescent="0.3">
      <c r="A305" s="1"/>
      <c r="K30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05" s="1">
        <f>M304+Table1181920231030313235383940414811151820284359[[#This Row],[اجمالي الفاتوره]]-Table1181920231030313235383940414811151820284359[[#This Row],[الدفعات]]</f>
        <v>1770.4000000000233</v>
      </c>
      <c r="O305" s="48"/>
    </row>
    <row r="306" spans="1:15" x14ac:dyDescent="0.3">
      <c r="A306" s="1"/>
      <c r="K30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06" s="1">
        <f>M305+Table1181920231030313235383940414811151820284359[[#This Row],[اجمالي الفاتوره]]-Table1181920231030313235383940414811151820284359[[#This Row],[الدفعات]]</f>
        <v>1770.4000000000233</v>
      </c>
      <c r="O306" s="48"/>
    </row>
    <row r="307" spans="1:15" x14ac:dyDescent="0.3">
      <c r="A307" s="1"/>
      <c r="K30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07" s="1">
        <f>M306+Table1181920231030313235383940414811151820284359[[#This Row],[اجمالي الفاتوره]]-Table1181920231030313235383940414811151820284359[[#This Row],[الدفعات]]</f>
        <v>1770.4000000000233</v>
      </c>
      <c r="O307" s="48"/>
    </row>
    <row r="308" spans="1:15" x14ac:dyDescent="0.3">
      <c r="A308" s="1"/>
      <c r="K30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08" s="1">
        <f>M307+Table1181920231030313235383940414811151820284359[[#This Row],[اجمالي الفاتوره]]-Table1181920231030313235383940414811151820284359[[#This Row],[الدفعات]]</f>
        <v>1770.4000000000233</v>
      </c>
      <c r="O308" s="48"/>
    </row>
    <row r="309" spans="1:15" x14ac:dyDescent="0.3">
      <c r="A309" s="1"/>
      <c r="K30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09" s="1">
        <f>M308+Table1181920231030313235383940414811151820284359[[#This Row],[اجمالي الفاتوره]]-Table1181920231030313235383940414811151820284359[[#This Row],[الدفعات]]</f>
        <v>1770.4000000000233</v>
      </c>
      <c r="O309" s="48"/>
    </row>
    <row r="310" spans="1:15" x14ac:dyDescent="0.3">
      <c r="A310" s="1"/>
      <c r="K31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10" s="1">
        <f>M309+Table1181920231030313235383940414811151820284359[[#This Row],[اجمالي الفاتوره]]-Table1181920231030313235383940414811151820284359[[#This Row],[الدفعات]]</f>
        <v>1770.4000000000233</v>
      </c>
      <c r="O310" s="48"/>
    </row>
    <row r="311" spans="1:15" x14ac:dyDescent="0.3">
      <c r="A311" s="1"/>
      <c r="K31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11" s="1">
        <f>M310+Table1181920231030313235383940414811151820284359[[#This Row],[اجمالي الفاتوره]]-Table1181920231030313235383940414811151820284359[[#This Row],[الدفعات]]</f>
        <v>1770.4000000000233</v>
      </c>
      <c r="O311" s="48"/>
    </row>
    <row r="312" spans="1:15" x14ac:dyDescent="0.3">
      <c r="A312" s="1"/>
      <c r="K31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12" s="1">
        <f>M311+Table1181920231030313235383940414811151820284359[[#This Row],[اجمالي الفاتوره]]-Table1181920231030313235383940414811151820284359[[#This Row],[الدفعات]]</f>
        <v>1770.4000000000233</v>
      </c>
      <c r="O312" s="48"/>
    </row>
    <row r="313" spans="1:15" x14ac:dyDescent="0.3">
      <c r="A313" s="1"/>
      <c r="K31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13" s="1">
        <f>M312+Table1181920231030313235383940414811151820284359[[#This Row],[اجمالي الفاتوره]]-Table1181920231030313235383940414811151820284359[[#This Row],[الدفعات]]</f>
        <v>1770.4000000000233</v>
      </c>
      <c r="O313" s="48"/>
    </row>
    <row r="314" spans="1:15" x14ac:dyDescent="0.3">
      <c r="A314" s="1"/>
      <c r="K31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14" s="1">
        <f>M313+Table1181920231030313235383940414811151820284359[[#This Row],[اجمالي الفاتوره]]-Table1181920231030313235383940414811151820284359[[#This Row],[الدفعات]]</f>
        <v>1770.4000000000233</v>
      </c>
      <c r="O314" s="48"/>
    </row>
    <row r="315" spans="1:15" x14ac:dyDescent="0.3">
      <c r="A315" s="1"/>
      <c r="K31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15" s="1">
        <f>M314+Table1181920231030313235383940414811151820284359[[#This Row],[اجمالي الفاتوره]]-Table1181920231030313235383940414811151820284359[[#This Row],[الدفعات]]</f>
        <v>1770.4000000000233</v>
      </c>
      <c r="O315" s="48"/>
    </row>
    <row r="316" spans="1:15" x14ac:dyDescent="0.3">
      <c r="A316" s="1"/>
      <c r="K31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16" s="1">
        <f>M315+Table1181920231030313235383940414811151820284359[[#This Row],[اجمالي الفاتوره]]-Table1181920231030313235383940414811151820284359[[#This Row],[الدفعات]]</f>
        <v>1770.4000000000233</v>
      </c>
      <c r="O316" s="48"/>
    </row>
    <row r="317" spans="1:15" x14ac:dyDescent="0.3">
      <c r="A317" s="1"/>
      <c r="K31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17" s="1">
        <f>M316+Table1181920231030313235383940414811151820284359[[#This Row],[اجمالي الفاتوره]]-Table1181920231030313235383940414811151820284359[[#This Row],[الدفعات]]</f>
        <v>1770.4000000000233</v>
      </c>
      <c r="O317" s="48"/>
    </row>
    <row r="318" spans="1:15" x14ac:dyDescent="0.3">
      <c r="A318" s="1"/>
      <c r="K31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18" s="1">
        <f>M317+Table1181920231030313235383940414811151820284359[[#This Row],[اجمالي الفاتوره]]-Table1181920231030313235383940414811151820284359[[#This Row],[الدفعات]]</f>
        <v>1770.4000000000233</v>
      </c>
      <c r="O318" s="48"/>
    </row>
    <row r="319" spans="1:15" x14ac:dyDescent="0.3">
      <c r="A319" s="1"/>
      <c r="K31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19" s="1">
        <f>M318+Table1181920231030313235383940414811151820284359[[#This Row],[اجمالي الفاتوره]]-Table1181920231030313235383940414811151820284359[[#This Row],[الدفعات]]</f>
        <v>1770.4000000000233</v>
      </c>
      <c r="O319" s="48"/>
    </row>
    <row r="320" spans="1:15" x14ac:dyDescent="0.3">
      <c r="A320" s="1"/>
      <c r="K32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20" s="1">
        <f>M319+Table1181920231030313235383940414811151820284359[[#This Row],[اجمالي الفاتوره]]-Table1181920231030313235383940414811151820284359[[#This Row],[الدفعات]]</f>
        <v>1770.4000000000233</v>
      </c>
      <c r="O320" s="48"/>
    </row>
    <row r="321" spans="1:15" x14ac:dyDescent="0.3">
      <c r="A321" s="1"/>
      <c r="K32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21" s="1">
        <f>M320+Table1181920231030313235383940414811151820284359[[#This Row],[اجمالي الفاتوره]]-Table1181920231030313235383940414811151820284359[[#This Row],[الدفعات]]</f>
        <v>1770.4000000000233</v>
      </c>
      <c r="O321" s="48"/>
    </row>
    <row r="322" spans="1:15" x14ac:dyDescent="0.3">
      <c r="A322" s="1"/>
      <c r="K32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22" s="1">
        <f>M321+Table1181920231030313235383940414811151820284359[[#This Row],[اجمالي الفاتوره]]-Table1181920231030313235383940414811151820284359[[#This Row],[الدفعات]]</f>
        <v>1770.4000000000233</v>
      </c>
      <c r="O322" s="48"/>
    </row>
    <row r="323" spans="1:15" x14ac:dyDescent="0.3">
      <c r="A323" s="1"/>
      <c r="K32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23" s="1">
        <f>M322+Table1181920231030313235383940414811151820284359[[#This Row],[اجمالي الفاتوره]]-Table1181920231030313235383940414811151820284359[[#This Row],[الدفعات]]</f>
        <v>1770.4000000000233</v>
      </c>
      <c r="O323" s="48"/>
    </row>
    <row r="324" spans="1:15" x14ac:dyDescent="0.3">
      <c r="A324" s="1"/>
      <c r="K32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24" s="1">
        <f>M323+Table1181920231030313235383940414811151820284359[[#This Row],[اجمالي الفاتوره]]-Table1181920231030313235383940414811151820284359[[#This Row],[الدفعات]]</f>
        <v>1770.4000000000233</v>
      </c>
      <c r="O324" s="48"/>
    </row>
    <row r="325" spans="1:15" x14ac:dyDescent="0.3">
      <c r="A325" s="1"/>
      <c r="K32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25" s="1">
        <f>M324+Table1181920231030313235383940414811151820284359[[#This Row],[اجمالي الفاتوره]]-Table1181920231030313235383940414811151820284359[[#This Row],[الدفعات]]</f>
        <v>1770.4000000000233</v>
      </c>
      <c r="O325" s="48"/>
    </row>
    <row r="326" spans="1:15" x14ac:dyDescent="0.3">
      <c r="A326" s="1"/>
      <c r="K32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26" s="1">
        <f>M325+Table1181920231030313235383940414811151820284359[[#This Row],[اجمالي الفاتوره]]-Table1181920231030313235383940414811151820284359[[#This Row],[الدفعات]]</f>
        <v>1770.4000000000233</v>
      </c>
      <c r="O326" s="48"/>
    </row>
    <row r="327" spans="1:15" x14ac:dyDescent="0.3">
      <c r="A327" s="1"/>
      <c r="K32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27" s="1">
        <f>M326+Table1181920231030313235383940414811151820284359[[#This Row],[اجمالي الفاتوره]]-Table1181920231030313235383940414811151820284359[[#This Row],[الدفعات]]</f>
        <v>1770.4000000000233</v>
      </c>
      <c r="O327" s="48"/>
    </row>
    <row r="328" spans="1:15" x14ac:dyDescent="0.3">
      <c r="A328" s="1"/>
      <c r="K32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28" s="1">
        <f>M327+Table1181920231030313235383940414811151820284359[[#This Row],[اجمالي الفاتوره]]-Table1181920231030313235383940414811151820284359[[#This Row],[الدفعات]]</f>
        <v>1770.4000000000233</v>
      </c>
      <c r="O328" s="48"/>
    </row>
    <row r="329" spans="1:15" x14ac:dyDescent="0.3">
      <c r="A329" s="1"/>
      <c r="K32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29" s="1">
        <f>M328+Table1181920231030313235383940414811151820284359[[#This Row],[اجمالي الفاتوره]]-Table1181920231030313235383940414811151820284359[[#This Row],[الدفعات]]</f>
        <v>1770.4000000000233</v>
      </c>
      <c r="O329" s="48"/>
    </row>
    <row r="330" spans="1:15" x14ac:dyDescent="0.3">
      <c r="A330" s="1"/>
      <c r="K330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30" s="1">
        <f>M329+Table1181920231030313235383940414811151820284359[[#This Row],[اجمالي الفاتوره]]-Table1181920231030313235383940414811151820284359[[#This Row],[الدفعات]]</f>
        <v>1770.4000000000233</v>
      </c>
      <c r="O330" s="48"/>
    </row>
    <row r="331" spans="1:15" x14ac:dyDescent="0.3">
      <c r="A331" s="1"/>
      <c r="K331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31" s="1">
        <f>M330+Table1181920231030313235383940414811151820284359[[#This Row],[اجمالي الفاتوره]]-Table1181920231030313235383940414811151820284359[[#This Row],[الدفعات]]</f>
        <v>1770.4000000000233</v>
      </c>
      <c r="O331" s="48"/>
    </row>
    <row r="332" spans="1:15" x14ac:dyDescent="0.3">
      <c r="A332" s="1"/>
      <c r="K332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32" s="1">
        <f>M331+Table1181920231030313235383940414811151820284359[[#This Row],[اجمالي الفاتوره]]-Table1181920231030313235383940414811151820284359[[#This Row],[الدفعات]]</f>
        <v>1770.4000000000233</v>
      </c>
      <c r="O332" s="48"/>
    </row>
    <row r="333" spans="1:15" x14ac:dyDescent="0.3">
      <c r="A333" s="1"/>
      <c r="K333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33" s="1">
        <f>M332+Table1181920231030313235383940414811151820284359[[#This Row],[اجمالي الفاتوره]]-Table1181920231030313235383940414811151820284359[[#This Row],[الدفعات]]</f>
        <v>1770.4000000000233</v>
      </c>
      <c r="O333" s="48"/>
    </row>
    <row r="334" spans="1:15" x14ac:dyDescent="0.3">
      <c r="A334" s="1"/>
      <c r="K334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34" s="1">
        <f>M333+Table1181920231030313235383940414811151820284359[[#This Row],[اجمالي الفاتوره]]-Table1181920231030313235383940414811151820284359[[#This Row],[الدفعات]]</f>
        <v>1770.4000000000233</v>
      </c>
      <c r="O334" s="48"/>
    </row>
    <row r="335" spans="1:15" x14ac:dyDescent="0.3">
      <c r="A335" s="1"/>
      <c r="K335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35" s="1">
        <f>M334+Table1181920231030313235383940414811151820284359[[#This Row],[اجمالي الفاتوره]]-Table1181920231030313235383940414811151820284359[[#This Row],[الدفعات]]</f>
        <v>1770.4000000000233</v>
      </c>
      <c r="O335" s="48"/>
    </row>
    <row r="336" spans="1:15" x14ac:dyDescent="0.3">
      <c r="A336" s="1"/>
      <c r="K336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36" s="1">
        <f>M335+Table1181920231030313235383940414811151820284359[[#This Row],[اجمالي الفاتوره]]-Table1181920231030313235383940414811151820284359[[#This Row],[الدفعات]]</f>
        <v>1770.4000000000233</v>
      </c>
      <c r="O336" s="48"/>
    </row>
    <row r="337" spans="1:15" x14ac:dyDescent="0.3">
      <c r="A337" s="1"/>
      <c r="K337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37" s="1">
        <f>M336+Table1181920231030313235383940414811151820284359[[#This Row],[اجمالي الفاتوره]]-Table1181920231030313235383940414811151820284359[[#This Row],[الدفعات]]</f>
        <v>1770.4000000000233</v>
      </c>
      <c r="O337" s="48"/>
    </row>
    <row r="338" spans="1:15" x14ac:dyDescent="0.3">
      <c r="A338" s="1"/>
      <c r="K338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38" s="1">
        <f>M337+Table1181920231030313235383940414811151820284359[[#This Row],[اجمالي الفاتوره]]-Table1181920231030313235383940414811151820284359[[#This Row],[الدفعات]]</f>
        <v>1770.4000000000233</v>
      </c>
      <c r="O338" s="48"/>
    </row>
    <row r="339" spans="1:15" x14ac:dyDescent="0.3">
      <c r="A339" s="1"/>
      <c r="K339" s="1">
        <f>Table1181920231030313235383940414811151820284359[[#This Row],[النولون]]+Table1181920231030313235383940414811151820284359[[#This Row],[الايصالات]]+Table1181920231030313235383940414811151820284359[[#This Row],[قيمة مضافة]]</f>
        <v>0</v>
      </c>
      <c r="M339" s="1">
        <f>M338+Table1181920231030313235383940414811151820284359[[#This Row],[اجمالي الفاتوره]]-Table1181920231030313235383940414811151820284359[[#This Row],[الدفعات]]</f>
        <v>1770.4000000000233</v>
      </c>
      <c r="O339" s="48"/>
    </row>
  </sheetData>
  <phoneticPr fontId="2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343"/>
  <sheetViews>
    <sheetView rightToLeft="1" topLeftCell="A24" workbookViewId="0">
      <selection activeCell="F37" sqref="F37"/>
    </sheetView>
  </sheetViews>
  <sheetFormatPr defaultColWidth="9.109375" defaultRowHeight="24.6" customHeight="1" x14ac:dyDescent="0.3"/>
  <cols>
    <col min="1" max="1" width="9.109375" style="6"/>
    <col min="2" max="2" width="5.44140625" style="1" customWidth="1"/>
    <col min="3" max="3" width="11" style="1" customWidth="1"/>
    <col min="4" max="4" width="15.109375" style="1" customWidth="1"/>
    <col min="5" max="5" width="11.21875" style="1" customWidth="1"/>
    <col min="6" max="6" width="13.33203125" style="1" customWidth="1"/>
    <col min="7" max="7" width="11.88671875" style="1" customWidth="1"/>
    <col min="8" max="8" width="11.6640625" style="1" customWidth="1"/>
    <col min="9" max="9" width="8.33203125" style="1" customWidth="1"/>
    <col min="10" max="10" width="10.77734375" style="1" customWidth="1"/>
    <col min="11" max="11" width="12" style="1" customWidth="1"/>
    <col min="12" max="12" width="12.77734375" style="1" customWidth="1"/>
    <col min="13" max="13" width="15.21875" style="1" customWidth="1"/>
    <col min="14" max="14" width="14" style="1" bestFit="1" customWidth="1"/>
    <col min="15" max="16384" width="9.109375" style="1"/>
  </cols>
  <sheetData>
    <row r="1" spans="1:15" ht="24.6" customHeight="1" x14ac:dyDescent="0.3">
      <c r="A1" s="6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8" t="s">
        <v>20</v>
      </c>
    </row>
    <row r="2" spans="1:15" ht="24.6" customHeight="1" x14ac:dyDescent="0.3">
      <c r="C2" s="2"/>
      <c r="I2" s="1">
        <f>0.14*Table11819202310303132353839404148111518202843[[#This Row],[النولون]]</f>
        <v>0</v>
      </c>
      <c r="K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" s="1">
        <v>0</v>
      </c>
      <c r="O2" s="48"/>
    </row>
    <row r="3" spans="1:15" ht="24.6" customHeight="1" x14ac:dyDescent="0.3">
      <c r="A3" s="6">
        <v>1222</v>
      </c>
      <c r="B3" s="1">
        <v>1</v>
      </c>
      <c r="C3" s="2" t="s">
        <v>113</v>
      </c>
      <c r="D3" s="2" t="s">
        <v>131</v>
      </c>
      <c r="E3" s="1" t="s">
        <v>132</v>
      </c>
      <c r="F3" s="1">
        <v>870140</v>
      </c>
      <c r="G3" s="1" t="s">
        <v>133</v>
      </c>
      <c r="H3" s="1">
        <v>11000</v>
      </c>
      <c r="I3" s="1">
        <f>0.14*Table11819202310303132353839404148111518202843[[#This Row],[النولون]]</f>
        <v>1540.0000000000002</v>
      </c>
      <c r="J3" s="1">
        <f>210+45.15+365.21+1120+342+300+200+50.2</f>
        <v>2632.56</v>
      </c>
      <c r="K3" s="1">
        <f>Table11819202310303132353839404148111518202843[[#This Row],[النولون]]+Table11819202310303132353839404148111518202843[[#This Row],[الايصالات]]+Table11819202310303132353839404148111518202843[[#This Row],[قيمة مضافة]]</f>
        <v>15172.56</v>
      </c>
      <c r="M3" s="1">
        <f>M2+Table11819202310303132353839404148111518202843[[#This Row],[اجمالي الفاتوره]]-Table11819202310303132353839404148111518202843[[#This Row],[الدفعات]]</f>
        <v>15172.56</v>
      </c>
      <c r="O3" s="48"/>
    </row>
    <row r="4" spans="1:15" ht="24.6" customHeight="1" x14ac:dyDescent="0.3">
      <c r="A4" s="42">
        <v>1254</v>
      </c>
      <c r="B4" s="1">
        <v>2</v>
      </c>
      <c r="C4" s="2" t="s">
        <v>222</v>
      </c>
      <c r="D4" s="1" t="s">
        <v>131</v>
      </c>
      <c r="E4" s="1" t="s">
        <v>132</v>
      </c>
      <c r="F4" s="1">
        <v>870249</v>
      </c>
      <c r="G4" s="1" t="s">
        <v>227</v>
      </c>
      <c r="H4" s="1">
        <f>11000*2+5500</f>
        <v>27500</v>
      </c>
      <c r="I4" s="1">
        <f>0.14*Table11819202310303132353839404148111518202843[[#This Row],[النولون]]</f>
        <v>3850.0000000000005</v>
      </c>
      <c r="J4" s="1">
        <f>392.75+378.98*2+3705+1150*3+537+750+855+250</f>
        <v>10697.71</v>
      </c>
      <c r="K4" s="1">
        <f>Table11819202310303132353839404148111518202843[[#This Row],[النولون]]+Table11819202310303132353839404148111518202843[[#This Row],[الايصالات]]+Table11819202310303132353839404148111518202843[[#This Row],[قيمة مضافة]]</f>
        <v>42047.71</v>
      </c>
      <c r="L4" s="1">
        <v>200</v>
      </c>
      <c r="M4" s="1">
        <f>M3+Table11819202310303132353839404148111518202843[[#This Row],[اجمالي الفاتوره]]-Table11819202310303132353839404148111518202843[[#This Row],[الدفعات]]</f>
        <v>57020.27</v>
      </c>
      <c r="O4" s="48"/>
    </row>
    <row r="5" spans="1:15" ht="24.6" customHeight="1" x14ac:dyDescent="0.3">
      <c r="A5" s="6">
        <v>1255</v>
      </c>
      <c r="B5" s="1">
        <v>3</v>
      </c>
      <c r="C5" s="2" t="s">
        <v>222</v>
      </c>
      <c r="D5" s="1" t="s">
        <v>131</v>
      </c>
      <c r="E5" s="1" t="s">
        <v>132</v>
      </c>
      <c r="F5" s="1">
        <v>870085</v>
      </c>
      <c r="G5" s="1" t="s">
        <v>227</v>
      </c>
      <c r="H5" s="1">
        <f>11000*2+5500</f>
        <v>27500</v>
      </c>
      <c r="I5" s="1">
        <f>0.14*Table11819202310303132353839404148111518202843[[#This Row],[النولون]]</f>
        <v>3850.0000000000005</v>
      </c>
      <c r="J5" s="1">
        <f>327.5+365.21+537+1026+3705+1150*2+250+855+750</f>
        <v>10115.709999999999</v>
      </c>
      <c r="K5" s="1">
        <f>Table11819202310303132353839404148111518202843[[#This Row],[النولون]]+Table11819202310303132353839404148111518202843[[#This Row],[الايصالات]]+Table11819202310303132353839404148111518202843[[#This Row],[قيمة مضافة]]</f>
        <v>41465.71</v>
      </c>
      <c r="M5" s="1">
        <f>M4+Table11819202310303132353839404148111518202843[[#This Row],[اجمالي الفاتوره]]-Table11819202310303132353839404148111518202843[[#This Row],[الدفعات]]</f>
        <v>98485.98</v>
      </c>
      <c r="O5" s="48"/>
    </row>
    <row r="6" spans="1:15" ht="24.6" customHeight="1" x14ac:dyDescent="0.3">
      <c r="A6" s="6">
        <v>1259</v>
      </c>
      <c r="B6" s="1">
        <v>4</v>
      </c>
      <c r="C6" s="2" t="s">
        <v>222</v>
      </c>
      <c r="D6" s="1" t="s">
        <v>131</v>
      </c>
      <c r="E6" s="1" t="s">
        <v>132</v>
      </c>
      <c r="F6" s="1">
        <v>871416</v>
      </c>
      <c r="G6" s="1" t="s">
        <v>133</v>
      </c>
      <c r="H6" s="1">
        <v>11000</v>
      </c>
      <c r="I6" s="1">
        <f>0.14*Table11819202310303132353839404148111518202843[[#This Row],[النولون]]</f>
        <v>1540.0000000000002</v>
      </c>
      <c r="J6" s="1">
        <f>1120+365.21+300+342+300+342+210+200+1482</f>
        <v>4661.21</v>
      </c>
      <c r="K6" s="1">
        <f>Table11819202310303132353839404148111518202843[[#This Row],[النولون]]+Table11819202310303132353839404148111518202843[[#This Row],[الايصالات]]+Table11819202310303132353839404148111518202843[[#This Row],[قيمة مضافة]]</f>
        <v>17201.21</v>
      </c>
      <c r="M6" s="1">
        <f>M5+Table11819202310303132353839404148111518202843[[#This Row],[اجمالي الفاتوره]]-Table11819202310303132353839404148111518202843[[#This Row],[الدفعات]]</f>
        <v>115687.19</v>
      </c>
      <c r="O6" s="48"/>
    </row>
    <row r="7" spans="1:15" ht="24.6" customHeight="1" x14ac:dyDescent="0.3">
      <c r="A7" s="74"/>
      <c r="B7" s="72"/>
      <c r="C7" s="73" t="s">
        <v>288</v>
      </c>
      <c r="D7" s="72"/>
      <c r="E7" s="72"/>
      <c r="F7" s="72"/>
      <c r="G7" s="72"/>
      <c r="H7" s="72"/>
      <c r="I7" s="72">
        <f>0.14*Table11819202310303132353839404148111518202843[[#This Row],[النولون]]</f>
        <v>0</v>
      </c>
      <c r="J7" s="72"/>
      <c r="K7" s="72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L7" s="72">
        <v>115687.19</v>
      </c>
      <c r="M7" s="72">
        <f>M6+Table11819202310303132353839404148111518202843[[#This Row],[اجمالي الفاتوره]]-Table11819202310303132353839404148111518202843[[#This Row],[الدفعات]]</f>
        <v>0</v>
      </c>
      <c r="O7" s="48"/>
    </row>
    <row r="8" spans="1:15" ht="24.6" customHeight="1" x14ac:dyDescent="0.3">
      <c r="A8" s="6">
        <v>1292</v>
      </c>
      <c r="B8" s="1">
        <v>5</v>
      </c>
      <c r="C8" s="2" t="s">
        <v>299</v>
      </c>
      <c r="D8" s="1" t="s">
        <v>131</v>
      </c>
      <c r="E8" s="1" t="s">
        <v>132</v>
      </c>
      <c r="F8" s="1">
        <v>879957</v>
      </c>
      <c r="G8" s="1" t="s">
        <v>227</v>
      </c>
      <c r="H8" s="1">
        <f>11000*2+8500</f>
        <v>30500</v>
      </c>
      <c r="I8" s="1">
        <f>0.14*Table11819202310303132353839404148111518202843[[#This Row],[النولون]]</f>
        <v>4270</v>
      </c>
      <c r="J8" s="1">
        <f>850+365.21+251.21+365.21+1120+580+1150+4218+855+750+250</f>
        <v>10754.630000000001</v>
      </c>
      <c r="K8" s="1">
        <f>Table11819202310303132353839404148111518202843[[#This Row],[النولون]]+Table11819202310303132353839404148111518202843[[#This Row],[الايصالات]]+Table11819202310303132353839404148111518202843[[#This Row],[قيمة مضافة]]</f>
        <v>45524.630000000005</v>
      </c>
      <c r="M8" s="1">
        <f>M7+Table11819202310303132353839404148111518202843[[#This Row],[اجمالي الفاتوره]]-Table11819202310303132353839404148111518202843[[#This Row],[الدفعات]]</f>
        <v>45524.630000000005</v>
      </c>
      <c r="O8" s="48"/>
    </row>
    <row r="9" spans="1:15" ht="24.6" customHeight="1" x14ac:dyDescent="0.3">
      <c r="A9" s="6">
        <v>1293</v>
      </c>
      <c r="B9" s="1">
        <v>6</v>
      </c>
      <c r="C9" s="2" t="s">
        <v>299</v>
      </c>
      <c r="D9" s="1" t="s">
        <v>131</v>
      </c>
      <c r="E9" s="1" t="s">
        <v>132</v>
      </c>
      <c r="F9" s="20">
        <v>882622</v>
      </c>
      <c r="G9" s="1" t="s">
        <v>295</v>
      </c>
      <c r="H9" s="1">
        <f>11000+8500</f>
        <v>19500</v>
      </c>
      <c r="I9" s="1">
        <f>0.14*Table11819202310303132353839404148111518202843[[#This Row],[النولون]]</f>
        <v>2730.0000000000005</v>
      </c>
      <c r="J9" s="1">
        <f>304.08+389.31+550+1100+150+2223+450+513+250</f>
        <v>5929.3899999999994</v>
      </c>
      <c r="K9" s="1">
        <f>Table11819202310303132353839404148111518202843[[#This Row],[النولون]]+Table11819202310303132353839404148111518202843[[#This Row],[الايصالات]]+Table11819202310303132353839404148111518202843[[#This Row],[قيمة مضافة]]</f>
        <v>28159.39</v>
      </c>
      <c r="M9" s="1">
        <f>M8+Table11819202310303132353839404148111518202843[[#This Row],[اجمالي الفاتوره]]-Table11819202310303132353839404148111518202843[[#This Row],[الدفعات]]</f>
        <v>73684.02</v>
      </c>
      <c r="O9" s="48"/>
    </row>
    <row r="10" spans="1:15" ht="24.6" customHeight="1" x14ac:dyDescent="0.3">
      <c r="A10" s="74"/>
      <c r="B10" s="76"/>
      <c r="C10" s="73" t="s">
        <v>355</v>
      </c>
      <c r="D10" s="76"/>
      <c r="E10" s="76"/>
      <c r="F10" s="76"/>
      <c r="G10" s="76"/>
      <c r="H10" s="76"/>
      <c r="I10" s="76">
        <f>0.14*Table11819202310303132353839404148111518202843[[#This Row],[النولون]]</f>
        <v>0</v>
      </c>
      <c r="J10" s="76"/>
      <c r="K10" s="76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L10" s="76">
        <v>73684.02</v>
      </c>
      <c r="M10" s="72">
        <f>M9+Table11819202310303132353839404148111518202843[[#This Row],[اجمالي الفاتوره]]-Table11819202310303132353839404148111518202843[[#This Row],[الدفعات]]</f>
        <v>0</v>
      </c>
      <c r="N10" s="48"/>
      <c r="O10" s="48"/>
    </row>
    <row r="11" spans="1:15" ht="24.6" customHeight="1" x14ac:dyDescent="0.3">
      <c r="A11" s="6">
        <v>1305</v>
      </c>
      <c r="B11" s="1">
        <v>7</v>
      </c>
      <c r="C11" s="2" t="s">
        <v>323</v>
      </c>
      <c r="D11" s="1" t="s">
        <v>328</v>
      </c>
      <c r="E11" s="1" t="s">
        <v>132</v>
      </c>
      <c r="F11" s="20">
        <v>71856</v>
      </c>
      <c r="G11" s="1" t="s">
        <v>245</v>
      </c>
      <c r="H11" s="1">
        <f>11000*2</f>
        <v>22000</v>
      </c>
      <c r="I11" s="1">
        <f>0.14*Table11819202310303132353839404148111518202843[[#This Row],[النولون]]</f>
        <v>3080.0000000000005</v>
      </c>
      <c r="J11" s="1">
        <f>1150*2+1060.74+1015.77+2166+1824+1140+38607.66</f>
        <v>48114.170000000006</v>
      </c>
      <c r="K11" s="1">
        <f>Table11819202310303132353839404148111518202843[[#This Row],[النولون]]+Table11819202310303132353839404148111518202843[[#This Row],[الايصالات]]+Table11819202310303132353839404148111518202843[[#This Row],[قيمة مضافة]]</f>
        <v>73194.170000000013</v>
      </c>
      <c r="M11" s="1">
        <f>M10+Table11819202310303132353839404148111518202843[[#This Row],[اجمالي الفاتوره]]-Table11819202310303132353839404148111518202843[[#This Row],[الدفعات]]</f>
        <v>73194.170000000013</v>
      </c>
      <c r="O11" s="48"/>
    </row>
    <row r="12" spans="1:15" ht="24.6" customHeight="1" x14ac:dyDescent="0.3">
      <c r="A12" s="6">
        <v>1383</v>
      </c>
      <c r="B12" s="1">
        <v>8</v>
      </c>
      <c r="C12" s="2" t="s">
        <v>342</v>
      </c>
      <c r="D12" s="1" t="s">
        <v>328</v>
      </c>
      <c r="E12" s="1" t="s">
        <v>348</v>
      </c>
      <c r="F12" s="20">
        <v>92304</v>
      </c>
      <c r="G12" s="1" t="s">
        <v>92</v>
      </c>
      <c r="H12" s="1">
        <f>6400*2</f>
        <v>12800</v>
      </c>
      <c r="I12" s="1">
        <f>0.14*Table11819202310303132353839404148111518202843[[#This Row],[النولون]]</f>
        <v>1792.0000000000002</v>
      </c>
      <c r="J12" s="1">
        <f>810+388.67+633.85+1050+200+250+1050+200+850+517</f>
        <v>5949.52</v>
      </c>
      <c r="K12" s="72">
        <f>Table11819202310303132353839404148111518202843[[#This Row],[النولون]]+Table11819202310303132353839404148111518202843[[#This Row],[الايصالات]]+Table11819202310303132353839404148111518202843[[#This Row],[قيمة مضافة]]</f>
        <v>20541.52</v>
      </c>
      <c r="M12" s="1">
        <f>M11+Table11819202310303132353839404148111518202843[[#This Row],[اجمالي الفاتوره]]-Table11819202310303132353839404148111518202843[[#This Row],[الدفعات]]</f>
        <v>93735.690000000017</v>
      </c>
      <c r="O12" s="48"/>
    </row>
    <row r="13" spans="1:15" ht="24.6" customHeight="1" x14ac:dyDescent="0.3">
      <c r="A13" s="6">
        <v>1376</v>
      </c>
      <c r="B13" s="1">
        <v>9</v>
      </c>
      <c r="C13" s="2" t="s">
        <v>398</v>
      </c>
      <c r="D13" s="1" t="s">
        <v>328</v>
      </c>
      <c r="E13" s="1" t="s">
        <v>348</v>
      </c>
      <c r="F13" s="1">
        <v>119251</v>
      </c>
      <c r="G13" s="1" t="s">
        <v>133</v>
      </c>
      <c r="H13" s="1">
        <v>8300</v>
      </c>
      <c r="I13" s="1">
        <f>0.14*Table11819202310303132353839404148111518202843[[#This Row],[النولون]]</f>
        <v>1162</v>
      </c>
      <c r="J13" s="1">
        <f>850+2235+1611.75+1232*2+150</f>
        <v>7310.75</v>
      </c>
      <c r="K13" s="72">
        <f>Table11819202310303132353839404148111518202843[[#This Row],[النولون]]+Table11819202310303132353839404148111518202843[[#This Row],[الايصالات]]+Table11819202310303132353839404148111518202843[[#This Row],[قيمة مضافة]]</f>
        <v>16772.75</v>
      </c>
      <c r="M13" s="1">
        <f>M12+Table11819202310303132353839404148111518202843[[#This Row],[اجمالي الفاتوره]]-Table11819202310303132353839404148111518202843[[#This Row],[الدفعات]]</f>
        <v>110508.44000000002</v>
      </c>
      <c r="N13" s="1">
        <f>SUM(K:K)-SUM(L:L)+M2</f>
        <v>40931.379999999888</v>
      </c>
      <c r="O13" s="48">
        <f>SUM(Table11819202310303132353839404148111518202843[قيمة مضافة])</f>
        <v>61460.000000000007</v>
      </c>
    </row>
    <row r="14" spans="1:15" ht="24.6" customHeight="1" x14ac:dyDescent="0.3">
      <c r="A14" s="6">
        <v>1377</v>
      </c>
      <c r="B14" s="1">
        <v>10</v>
      </c>
      <c r="C14" s="2" t="s">
        <v>398</v>
      </c>
      <c r="D14" s="1" t="s">
        <v>328</v>
      </c>
      <c r="E14" s="1" t="s">
        <v>348</v>
      </c>
      <c r="F14" s="1">
        <v>119200</v>
      </c>
      <c r="G14" s="1" t="s">
        <v>133</v>
      </c>
      <c r="H14" s="1">
        <v>8300</v>
      </c>
      <c r="I14" s="1">
        <f>0.14*Table11819202310303132353839404148111518202843[[#This Row],[النولون]]</f>
        <v>1162</v>
      </c>
      <c r="J14" s="1">
        <f>810+1075.8+4140+100+150</f>
        <v>6275.8</v>
      </c>
      <c r="K14" s="72">
        <f>Table11819202310303132353839404148111518202843[[#This Row],[النولون]]+Table11819202310303132353839404148111518202843[[#This Row],[الايصالات]]+Table11819202310303132353839404148111518202843[[#This Row],[قيمة مضافة]]</f>
        <v>15737.8</v>
      </c>
      <c r="L14" s="1">
        <v>60</v>
      </c>
      <c r="M14" s="1">
        <f>M13+Table11819202310303132353839404148111518202843[[#This Row],[اجمالي الفاتوره]]-Table11819202310303132353839404148111518202843[[#This Row],[الدفعات]]</f>
        <v>126186.24000000002</v>
      </c>
      <c r="O14" s="48"/>
    </row>
    <row r="15" spans="1:15" ht="24.6" customHeight="1" x14ac:dyDescent="0.3">
      <c r="A15" s="74"/>
      <c r="B15" s="96"/>
      <c r="C15" s="98">
        <v>46142</v>
      </c>
      <c r="D15" s="96"/>
      <c r="E15" s="96"/>
      <c r="F15" s="96"/>
      <c r="G15" s="96"/>
      <c r="H15" s="96"/>
      <c r="I15" s="96">
        <f>0.14*Table11819202310303132353839404148111518202843[[#This Row],[النولون]]</f>
        <v>0</v>
      </c>
      <c r="J15" s="96"/>
      <c r="K15" s="96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L15" s="96">
        <v>52992.07</v>
      </c>
      <c r="M15" s="72">
        <f>M14+Table11819202310303132353839404148111518202843[[#This Row],[اجمالي الفاتوره]]-Table11819202310303132353839404148111518202843[[#This Row],[الدفعات]]</f>
        <v>73194.170000000013</v>
      </c>
      <c r="N15" s="95"/>
      <c r="O15" s="95"/>
    </row>
    <row r="16" spans="1:15" ht="24.6" customHeight="1" x14ac:dyDescent="0.3">
      <c r="A16" s="74"/>
      <c r="B16" s="96"/>
      <c r="C16" s="73" t="s">
        <v>432</v>
      </c>
      <c r="D16" s="96"/>
      <c r="E16" s="96"/>
      <c r="F16" s="96"/>
      <c r="G16" s="96"/>
      <c r="H16" s="96"/>
      <c r="I16" s="96">
        <f>0.14*Table11819202310303132353839404148111518202843[[#This Row],[النولون]]</f>
        <v>0</v>
      </c>
      <c r="J16" s="96"/>
      <c r="K16" s="96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L16" s="96">
        <v>73194.17</v>
      </c>
      <c r="M16" s="72">
        <f>M15+Table11819202310303132353839404148111518202843[[#This Row],[اجمالي الفاتوره]]-Table11819202310303132353839404148111518202843[[#This Row],[الدفعات]]</f>
        <v>0</v>
      </c>
      <c r="N16" s="95"/>
      <c r="O16" s="95"/>
    </row>
    <row r="17" spans="1:15" ht="24.6" customHeight="1" x14ac:dyDescent="0.3">
      <c r="A17" s="6">
        <v>1380</v>
      </c>
      <c r="B17" s="1">
        <v>11</v>
      </c>
      <c r="C17" s="2">
        <v>46126</v>
      </c>
      <c r="D17" s="1" t="s">
        <v>131</v>
      </c>
      <c r="E17" s="1" t="s">
        <v>132</v>
      </c>
      <c r="F17" s="1">
        <v>16388159</v>
      </c>
      <c r="G17" s="1" t="s">
        <v>295</v>
      </c>
      <c r="H17" s="1">
        <f>12000+9300</f>
        <v>21300</v>
      </c>
      <c r="I17" s="1">
        <f>0.14*Table11819202310303132353839404148111518202843[[#This Row],[النولون]]</f>
        <v>2982.0000000000005</v>
      </c>
      <c r="J17" s="1">
        <f>610+365.21+332.88+1135+4455+9864</f>
        <v>16762.09</v>
      </c>
      <c r="K17" s="1">
        <f>Table11819202310303132353839404148111518202843[[#This Row],[النولون]]+Table11819202310303132353839404148111518202843[[#This Row],[الايصالات]]+Table11819202310303132353839404148111518202843[[#This Row],[قيمة مضافة]]</f>
        <v>41044.089999999997</v>
      </c>
      <c r="M17" s="1">
        <f>M16+Table11819202310303132353839404148111518202843[[#This Row],[اجمالي الفاتوره]]-Table11819202310303132353839404148111518202843[[#This Row],[الدفعات]]</f>
        <v>41044.089999999997</v>
      </c>
      <c r="O17" s="48"/>
    </row>
    <row r="18" spans="1:15" ht="24.6" customHeight="1" x14ac:dyDescent="0.3">
      <c r="A18" s="6">
        <v>1381</v>
      </c>
      <c r="B18" s="1">
        <v>12</v>
      </c>
      <c r="C18" s="2">
        <v>46126</v>
      </c>
      <c r="D18" s="1" t="s">
        <v>131</v>
      </c>
      <c r="E18" s="1" t="s">
        <v>132</v>
      </c>
      <c r="F18" s="1">
        <v>16388191</v>
      </c>
      <c r="G18" s="1" t="s">
        <v>133</v>
      </c>
      <c r="H18" s="1">
        <v>12000</v>
      </c>
      <c r="I18" s="1">
        <f>0.14*Table11819202310303132353839404148111518202843[[#This Row],[النولون]]</f>
        <v>1680.0000000000002</v>
      </c>
      <c r="J18" s="1">
        <f>210+389.31+1150+3540+6576</f>
        <v>11865.31</v>
      </c>
      <c r="K18" s="1">
        <f>Table11819202310303132353839404148111518202843[[#This Row],[النولون]]+Table11819202310303132353839404148111518202843[[#This Row],[الايصالات]]+Table11819202310303132353839404148111518202843[[#This Row],[قيمة مضافة]]</f>
        <v>25545.309999999998</v>
      </c>
      <c r="M18" s="1">
        <f>M17+Table11819202310303132353839404148111518202843[[#This Row],[اجمالي الفاتوره]]-Table11819202310303132353839404148111518202843[[#This Row],[الدفعات]]</f>
        <v>66589.399999999994</v>
      </c>
      <c r="O18" s="48"/>
    </row>
    <row r="19" spans="1:15" ht="24.6" customHeight="1" x14ac:dyDescent="0.3">
      <c r="A19" s="6">
        <v>1382</v>
      </c>
      <c r="B19" s="1">
        <v>13</v>
      </c>
      <c r="C19" s="2">
        <v>46127</v>
      </c>
      <c r="D19" s="1" t="s">
        <v>131</v>
      </c>
      <c r="E19" s="1" t="s">
        <v>132</v>
      </c>
      <c r="F19" s="1">
        <v>16459101</v>
      </c>
      <c r="G19" s="1" t="s">
        <v>455</v>
      </c>
      <c r="H19" s="1">
        <f>3*12000+9300</f>
        <v>45300</v>
      </c>
      <c r="I19" s="1">
        <f>0.14*Table11819202310303132353839404148111518202843[[#This Row],[النولون]]</f>
        <v>6342.0000000000009</v>
      </c>
      <c r="J19" s="1">
        <f>740+1700+600+1150*3+375.54*3+360.17+105.79*4+23016</f>
        <v>31415.95</v>
      </c>
      <c r="K19" s="1">
        <f>Table11819202310303132353839404148111518202843[[#This Row],[النولون]]+Table11819202310303132353839404148111518202843[[#This Row],[الايصالات]]+Table11819202310303132353839404148111518202843[[#This Row],[قيمة مضافة]]</f>
        <v>83057.95</v>
      </c>
      <c r="M19" s="1">
        <f>M18+Table11819202310303132353839404148111518202843[[#This Row],[اجمالي الفاتوره]]-Table11819202310303132353839404148111518202843[[#This Row],[الدفعات]]</f>
        <v>149647.34999999998</v>
      </c>
      <c r="O19" s="48"/>
    </row>
    <row r="20" spans="1:15" ht="24.6" customHeight="1" x14ac:dyDescent="0.3">
      <c r="A20" s="74"/>
      <c r="B20" s="96"/>
      <c r="C20" s="98">
        <v>46146</v>
      </c>
      <c r="D20" s="96"/>
      <c r="E20" s="96"/>
      <c r="F20" s="96"/>
      <c r="G20" s="96"/>
      <c r="H20" s="96"/>
      <c r="I20" s="96">
        <f>0.14*Table11819202310303132353839404148111518202843[[#This Row],[النولون]]</f>
        <v>0</v>
      </c>
      <c r="J20" s="96"/>
      <c r="K20" s="96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L20" s="96">
        <v>149647.35</v>
      </c>
      <c r="M20" s="72">
        <f>M19+Table11819202310303132353839404148111518202843[[#This Row],[اجمالي الفاتوره]]-Table11819202310303132353839404148111518202843[[#This Row],[الدفعات]]</f>
        <v>0</v>
      </c>
      <c r="N20" s="95"/>
      <c r="O20" s="95"/>
    </row>
    <row r="21" spans="1:15" ht="24.6" customHeight="1" x14ac:dyDescent="0.3">
      <c r="A21" s="6">
        <v>1441</v>
      </c>
      <c r="B21" s="1">
        <v>14</v>
      </c>
      <c r="C21" s="2">
        <v>46145</v>
      </c>
      <c r="D21" s="1" t="s">
        <v>131</v>
      </c>
      <c r="E21" s="1" t="s">
        <v>132</v>
      </c>
      <c r="F21" s="1">
        <v>183848</v>
      </c>
      <c r="G21" s="1" t="s">
        <v>227</v>
      </c>
      <c r="H21" s="1">
        <f>12000*2+9300</f>
        <v>33300</v>
      </c>
      <c r="I21" s="1">
        <f>0.14*Table11819202310303132353839404148111518202843[[#This Row],[النولون]]</f>
        <v>4662</v>
      </c>
      <c r="J21" s="1">
        <f>810+5360+1150+580+1106.58+1769.03+1910.49+2740+1370+2740+150</f>
        <v>19686.099999999999</v>
      </c>
      <c r="K21" s="1">
        <f>Table11819202310303132353839404148111518202843[[#This Row],[النولون]]+Table11819202310303132353839404148111518202843[[#This Row],[الايصالات]]+Table11819202310303132353839404148111518202843[[#This Row],[قيمة مضافة]]</f>
        <v>57648.1</v>
      </c>
      <c r="M21" s="1">
        <f>M20+Table11819202310303132353839404148111518202843[[#This Row],[اجمالي الفاتوره]]-Table11819202310303132353839404148111518202843[[#This Row],[الدفعات]]</f>
        <v>57648.1</v>
      </c>
      <c r="O21" s="48"/>
    </row>
    <row r="22" spans="1:15" ht="24.6" customHeight="1" x14ac:dyDescent="0.3">
      <c r="A22" s="6">
        <v>1442</v>
      </c>
      <c r="B22" s="1">
        <v>15</v>
      </c>
      <c r="C22" s="2">
        <v>46145</v>
      </c>
      <c r="D22" s="1" t="s">
        <v>328</v>
      </c>
      <c r="E22" s="1" t="s">
        <v>348</v>
      </c>
      <c r="F22" s="1">
        <v>209570</v>
      </c>
      <c r="G22" s="1" t="s">
        <v>121</v>
      </c>
      <c r="H22" s="1">
        <v>6400</v>
      </c>
      <c r="I22" s="1">
        <f>0.14*Table11819202310303132353839404148111518202843[[#This Row],[النولون]]</f>
        <v>896.00000000000011</v>
      </c>
      <c r="J22" s="1">
        <f>344.34+1200</f>
        <v>1544.34</v>
      </c>
      <c r="K22" s="1">
        <f>Table11819202310303132353839404148111518202843[[#This Row],[النولون]]+Table11819202310303132353839404148111518202843[[#This Row],[الايصالات]]+Table11819202310303132353839404148111518202843[[#This Row],[قيمة مضافة]]</f>
        <v>8840.34</v>
      </c>
      <c r="M22" s="1">
        <f>M21+Table11819202310303132353839404148111518202843[[#This Row],[اجمالي الفاتوره]]-Table11819202310303132353839404148111518202843[[#This Row],[الدفعات]]</f>
        <v>66488.44</v>
      </c>
      <c r="O22" s="48"/>
    </row>
    <row r="23" spans="1:15" ht="24.6" customHeight="1" x14ac:dyDescent="0.3">
      <c r="A23" s="74"/>
      <c r="B23" s="96"/>
      <c r="C23" s="98">
        <v>46162</v>
      </c>
      <c r="D23" s="96"/>
      <c r="E23" s="96"/>
      <c r="F23" s="96"/>
      <c r="G23" s="96"/>
      <c r="H23" s="96"/>
      <c r="I23" s="96">
        <f>0.14*Table11819202310303132353839404148111518202843[[#This Row],[النولون]]</f>
        <v>0</v>
      </c>
      <c r="J23" s="96"/>
      <c r="K23" s="96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L23" s="96">
        <v>8800</v>
      </c>
      <c r="M23" s="72">
        <f>M22+Table11819202310303132353839404148111518202843[[#This Row],[اجمالي الفاتوره]]-Table11819202310303132353839404148111518202843[[#This Row],[الدفعات]]</f>
        <v>57688.44</v>
      </c>
      <c r="N23" s="95"/>
      <c r="O23" s="95"/>
    </row>
    <row r="24" spans="1:15" ht="24.6" customHeight="1" x14ac:dyDescent="0.3">
      <c r="A24" s="6">
        <v>1462</v>
      </c>
      <c r="B24" s="1">
        <v>16</v>
      </c>
      <c r="C24" s="2">
        <v>46154</v>
      </c>
      <c r="D24" s="1" t="s">
        <v>131</v>
      </c>
      <c r="E24" s="1" t="s">
        <v>132</v>
      </c>
      <c r="F24" s="1">
        <v>16781021</v>
      </c>
      <c r="G24" s="1" t="s">
        <v>227</v>
      </c>
      <c r="H24" s="1">
        <f>2*12000+9300</f>
        <v>33300</v>
      </c>
      <c r="I24" s="1">
        <f>0.14*Table11819202310303132353839404148111518202843[[#This Row],[النولون]]</f>
        <v>4662</v>
      </c>
      <c r="J24" s="1">
        <f>510+850*2+1610+327.5+105.79+45.15+1584.31+411.36+1150+16439+300+200</f>
        <v>24383.11</v>
      </c>
      <c r="K24" s="1">
        <f>Table11819202310303132353839404148111518202843[[#This Row],[النولون]]+Table11819202310303132353839404148111518202843[[#This Row],[الايصالات]]+Table11819202310303132353839404148111518202843[[#This Row],[قيمة مضافة]]</f>
        <v>62345.11</v>
      </c>
      <c r="M24" s="1">
        <f>M23+Table11819202310303132353839404148111518202843[[#This Row],[اجمالي الفاتوره]]-Table11819202310303132353839404148111518202843[[#This Row],[الدفعات]]</f>
        <v>120033.55</v>
      </c>
      <c r="O24" s="48"/>
    </row>
    <row r="25" spans="1:15" ht="24.6" customHeight="1" x14ac:dyDescent="0.3">
      <c r="A25" s="6">
        <v>1463</v>
      </c>
      <c r="B25" s="1">
        <v>17</v>
      </c>
      <c r="C25" s="2">
        <v>46158</v>
      </c>
      <c r="D25" s="1" t="s">
        <v>131</v>
      </c>
      <c r="E25" s="1" t="s">
        <v>132</v>
      </c>
      <c r="F25" s="1">
        <v>1681110</v>
      </c>
      <c r="G25" s="1" t="s">
        <v>133</v>
      </c>
      <c r="H25" s="1">
        <v>12000</v>
      </c>
      <c r="I25" s="1">
        <f>0.14*Table11819202310303132353839404148111518202843[[#This Row],[النولون]]</f>
        <v>1680.0000000000002</v>
      </c>
      <c r="J25" s="1">
        <f>365.21+1150+2970+6576+150+100</f>
        <v>11311.21</v>
      </c>
      <c r="K25" s="1">
        <f>Table11819202310303132353839404148111518202843[[#This Row],[النولون]]+Table11819202310303132353839404148111518202843[[#This Row],[الايصالات]]+Table11819202310303132353839404148111518202843[[#This Row],[قيمة مضافة]]</f>
        <v>24991.21</v>
      </c>
      <c r="M25" s="1">
        <f>M24+Table11819202310303132353839404148111518202843[[#This Row],[اجمالي الفاتوره]]-Table11819202310303132353839404148111518202843[[#This Row],[الدفعات]]</f>
        <v>145024.76</v>
      </c>
      <c r="O25" s="48"/>
    </row>
    <row r="26" spans="1:15" ht="24.6" customHeight="1" x14ac:dyDescent="0.3">
      <c r="A26" s="6">
        <v>1464</v>
      </c>
      <c r="B26" s="1">
        <v>18</v>
      </c>
      <c r="C26" s="2">
        <v>46158</v>
      </c>
      <c r="D26" s="1" t="s">
        <v>131</v>
      </c>
      <c r="E26" s="1" t="s">
        <v>132</v>
      </c>
      <c r="F26" s="1">
        <v>1681117</v>
      </c>
      <c r="G26" s="1" t="s">
        <v>133</v>
      </c>
      <c r="H26" s="1">
        <v>12000</v>
      </c>
      <c r="I26" s="1">
        <f>0.14*Table11819202310303132353839404148111518202843[[#This Row],[النولون]]</f>
        <v>1680.0000000000002</v>
      </c>
      <c r="J26" s="1">
        <f>210+1415.4+2970+6576+150+100</f>
        <v>11421.4</v>
      </c>
      <c r="K26" s="1">
        <f>Table11819202310303132353839404148111518202843[[#This Row],[النولون]]+Table11819202310303132353839404148111518202843[[#This Row],[الايصالات]]+Table11819202310303132353839404148111518202843[[#This Row],[قيمة مضافة]]</f>
        <v>25101.4</v>
      </c>
      <c r="M26" s="1">
        <f>M25+Table11819202310303132353839404148111518202843[[#This Row],[اجمالي الفاتوره]]-Table11819202310303132353839404148111518202843[[#This Row],[الدفعات]]</f>
        <v>170126.16</v>
      </c>
      <c r="O26" s="48"/>
    </row>
    <row r="27" spans="1:15" ht="24.6" customHeight="1" x14ac:dyDescent="0.3">
      <c r="A27" s="6">
        <v>1465</v>
      </c>
      <c r="B27" s="1">
        <v>19</v>
      </c>
      <c r="C27" s="2">
        <v>46158</v>
      </c>
      <c r="D27" s="1" t="s">
        <v>131</v>
      </c>
      <c r="E27" s="1" t="s">
        <v>132</v>
      </c>
      <c r="F27" s="1">
        <v>1681116</v>
      </c>
      <c r="G27" s="1" t="s">
        <v>133</v>
      </c>
      <c r="H27" s="1">
        <v>12000</v>
      </c>
      <c r="I27" s="1">
        <f>0.14*Table11819202310303132353839404148111518202843[[#This Row],[النولون]]</f>
        <v>1680.0000000000002</v>
      </c>
      <c r="J27" s="1">
        <f>210+365.21+2970+1150+6576+150+100</f>
        <v>11521.21</v>
      </c>
      <c r="K27" s="1">
        <f>Table11819202310303132353839404148111518202843[[#This Row],[النولون]]+Table11819202310303132353839404148111518202843[[#This Row],[الايصالات]]+Table11819202310303132353839404148111518202843[[#This Row],[قيمة مضافة]]</f>
        <v>25201.21</v>
      </c>
      <c r="L27" s="1">
        <v>640.34</v>
      </c>
      <c r="M27" s="1">
        <f>M26+Table11819202310303132353839404148111518202843[[#This Row],[اجمالي الفاتوره]]-Table11819202310303132353839404148111518202843[[#This Row],[الدفعات]]</f>
        <v>194687.03</v>
      </c>
      <c r="O27" s="48"/>
    </row>
    <row r="28" spans="1:15" ht="24.6" customHeight="1" x14ac:dyDescent="0.3">
      <c r="A28" s="74"/>
      <c r="B28" s="72"/>
      <c r="C28" s="73">
        <v>46166</v>
      </c>
      <c r="D28" s="72"/>
      <c r="E28" s="72"/>
      <c r="F28" s="72"/>
      <c r="G28" s="72"/>
      <c r="H28" s="72"/>
      <c r="I28" s="72">
        <f>0.14*Table11819202310303132353839404148111518202843[[#This Row],[النولون]]</f>
        <v>0</v>
      </c>
      <c r="J28" s="72"/>
      <c r="K28" s="72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L28" s="72">
        <v>194687.03</v>
      </c>
      <c r="M28" s="72">
        <f>M27+Table11819202310303132353839404148111518202843[[#This Row],[اجمالي الفاتوره]]-Table11819202310303132353839404148111518202843[[#This Row],[الدفعات]]</f>
        <v>0</v>
      </c>
      <c r="O28" s="48"/>
    </row>
    <row r="29" spans="1:15" ht="24.6" customHeight="1" x14ac:dyDescent="0.3">
      <c r="A29" s="6">
        <v>1498</v>
      </c>
      <c r="B29" s="1">
        <v>20</v>
      </c>
      <c r="C29" s="24">
        <v>46174</v>
      </c>
      <c r="D29" s="1" t="s">
        <v>328</v>
      </c>
      <c r="E29" s="1" t="s">
        <v>348</v>
      </c>
      <c r="F29" s="1">
        <v>239619</v>
      </c>
      <c r="G29" s="1" t="s">
        <v>121</v>
      </c>
      <c r="H29" s="1">
        <v>6400</v>
      </c>
      <c r="I29" s="1">
        <f>0.14*Table11819202310303132353839404148111518202843[[#This Row],[النولون]]</f>
        <v>896.00000000000011</v>
      </c>
      <c r="J29" s="1">
        <f>434.37+1300</f>
        <v>1734.37</v>
      </c>
      <c r="K29" s="1">
        <f>Table11819202310303132353839404148111518202843[[#This Row],[النولون]]+Table11819202310303132353839404148111518202843[[#This Row],[الايصالات]]+Table11819202310303132353839404148111518202843[[#This Row],[قيمة مضافة]]</f>
        <v>9030.3700000000008</v>
      </c>
      <c r="M29" s="1">
        <f>M28+Table11819202310303132353839404148111518202843[[#This Row],[اجمالي الفاتوره]]-Table11819202310303132353839404148111518202843[[#This Row],[الدفعات]]</f>
        <v>9030.3700000000008</v>
      </c>
      <c r="O29" s="48"/>
    </row>
    <row r="30" spans="1:15" ht="24.6" customHeight="1" x14ac:dyDescent="0.3">
      <c r="A30" s="6">
        <v>1522</v>
      </c>
      <c r="B30" s="1">
        <v>21</v>
      </c>
      <c r="C30" s="2">
        <v>46182</v>
      </c>
      <c r="D30" s="1" t="s">
        <v>328</v>
      </c>
      <c r="E30" s="1" t="s">
        <v>132</v>
      </c>
      <c r="F30" s="1">
        <v>277629</v>
      </c>
      <c r="G30" s="1" t="s">
        <v>331</v>
      </c>
      <c r="H30" s="1">
        <v>9300</v>
      </c>
      <c r="I30" s="1">
        <f>0.14*Table11819202310303132353839404148111518202843[[#This Row],[النولون]]</f>
        <v>1302.0000000000002</v>
      </c>
      <c r="J30" s="1">
        <f>620+560+533.54+1112+100</f>
        <v>2925.54</v>
      </c>
      <c r="K30" s="1">
        <f>Table11819202310303132353839404148111518202843[[#This Row],[النولون]]+Table11819202310303132353839404148111518202843[[#This Row],[الايصالات]]+Table11819202310303132353839404148111518202843[[#This Row],[قيمة مضافة]]</f>
        <v>13527.54</v>
      </c>
      <c r="M30" s="1">
        <f>M29+Table11819202310303132353839404148111518202843[[#This Row],[اجمالي الفاتوره]]-Table11819202310303132353839404148111518202843[[#This Row],[الدفعات]]</f>
        <v>22557.910000000003</v>
      </c>
      <c r="O30" s="48"/>
    </row>
    <row r="31" spans="1:15" ht="24.6" customHeight="1" x14ac:dyDescent="0.3">
      <c r="A31" s="6">
        <v>1523</v>
      </c>
      <c r="B31" s="1">
        <v>22</v>
      </c>
      <c r="C31" s="2">
        <v>46182</v>
      </c>
      <c r="D31" s="1" t="s">
        <v>328</v>
      </c>
      <c r="E31" s="1" t="s">
        <v>132</v>
      </c>
      <c r="F31" s="1">
        <v>277749</v>
      </c>
      <c r="G31" s="1" t="s">
        <v>331</v>
      </c>
      <c r="H31" s="1">
        <v>9300</v>
      </c>
      <c r="I31" s="1">
        <f>0.14*Table11819202310303132353839404148111518202843[[#This Row],[النولون]]</f>
        <v>1302.0000000000002</v>
      </c>
      <c r="J31" s="1">
        <f>590+283.89+1374</f>
        <v>2247.89</v>
      </c>
      <c r="K31" s="1">
        <f>Table11819202310303132353839404148111518202843[[#This Row],[النولون]]+Table11819202310303132353839404148111518202843[[#This Row],[الايصالات]]+Table11819202310303132353839404148111518202843[[#This Row],[قيمة مضافة]]</f>
        <v>12849.89</v>
      </c>
      <c r="M31" s="1">
        <f>M30+Table11819202310303132353839404148111518202843[[#This Row],[اجمالي الفاتوره]]-Table11819202310303132353839404148111518202843[[#This Row],[الدفعات]]</f>
        <v>35407.800000000003</v>
      </c>
      <c r="O31" s="48"/>
    </row>
    <row r="32" spans="1:15" ht="24.6" customHeight="1" x14ac:dyDescent="0.3">
      <c r="A32" s="6">
        <v>1524</v>
      </c>
      <c r="B32" s="1">
        <v>23</v>
      </c>
      <c r="C32" s="2">
        <v>46182</v>
      </c>
      <c r="D32" s="1" t="s">
        <v>328</v>
      </c>
      <c r="E32" s="1" t="s">
        <v>132</v>
      </c>
      <c r="F32" s="1">
        <v>278314</v>
      </c>
      <c r="G32" s="1" t="s">
        <v>133</v>
      </c>
      <c r="H32" s="1">
        <v>12000</v>
      </c>
      <c r="I32" s="1">
        <f>0.14*Table11819202310303132353839404148111518202843[[#This Row],[النولون]]</f>
        <v>1680.0000000000002</v>
      </c>
      <c r="J32" s="1">
        <f>1120+1115.23+1374+2172</f>
        <v>5781.23</v>
      </c>
      <c r="K32" s="1">
        <f>Table11819202310303132353839404148111518202843[[#This Row],[النولون]]+Table11819202310303132353839404148111518202843[[#This Row],[الايصالات]]+Table11819202310303132353839404148111518202843[[#This Row],[قيمة مضافة]]</f>
        <v>19461.23</v>
      </c>
      <c r="M32" s="1">
        <f>M31+Table11819202310303132353839404148111518202843[[#This Row],[اجمالي الفاتوره]]-Table11819202310303132353839404148111518202843[[#This Row],[الدفعات]]</f>
        <v>54869.03</v>
      </c>
      <c r="O32" s="48"/>
    </row>
    <row r="33" spans="1:15" ht="24.6" customHeight="1" x14ac:dyDescent="0.3">
      <c r="A33" s="6">
        <v>1525</v>
      </c>
      <c r="B33" s="1">
        <v>24</v>
      </c>
      <c r="C33" s="2">
        <v>46182</v>
      </c>
      <c r="D33" s="1" t="s">
        <v>328</v>
      </c>
      <c r="E33" s="1" t="s">
        <v>132</v>
      </c>
      <c r="F33" s="1">
        <v>276481</v>
      </c>
      <c r="G33" s="1" t="s">
        <v>133</v>
      </c>
      <c r="H33" s="1">
        <v>12000</v>
      </c>
      <c r="I33" s="1">
        <f>0.14*Table11819202310303132353839404148111518202843[[#This Row],[النولون]]</f>
        <v>1680.0000000000002</v>
      </c>
      <c r="J33" s="1">
        <f>1150+1131.27+1112+1112</f>
        <v>4505.2700000000004</v>
      </c>
      <c r="K33" s="1">
        <f>Table11819202310303132353839404148111518202843[[#This Row],[النولون]]+Table11819202310303132353839404148111518202843[[#This Row],[الايصالات]]+Table11819202310303132353839404148111518202843[[#This Row],[قيمة مضافة]]</f>
        <v>18185.27</v>
      </c>
      <c r="M33" s="1">
        <f>M32+Table11819202310303132353839404148111518202843[[#This Row],[اجمالي الفاتوره]]-Table11819202310303132353839404148111518202843[[#This Row],[الدفعات]]</f>
        <v>73054.3</v>
      </c>
      <c r="O33" s="48"/>
    </row>
    <row r="34" spans="1:15" ht="24.6" customHeight="1" x14ac:dyDescent="0.3">
      <c r="A34" s="74"/>
      <c r="B34" s="72"/>
      <c r="C34" s="73">
        <v>46189</v>
      </c>
      <c r="D34" s="72"/>
      <c r="E34" s="72"/>
      <c r="F34" s="72"/>
      <c r="G34" s="72"/>
      <c r="H34" s="72"/>
      <c r="I34" s="72">
        <f>0.14*Table11819202310303132353839404148111518202843[[#This Row],[النولون]]</f>
        <v>0</v>
      </c>
      <c r="J34" s="72"/>
      <c r="K34" s="72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L34" s="72">
        <v>73054.3</v>
      </c>
      <c r="M34" s="72">
        <f>M33+Table11819202310303132353839404148111518202843[[#This Row],[اجمالي الفاتوره]]-Table11819202310303132353839404148111518202843[[#This Row],[الدفعات]]</f>
        <v>0</v>
      </c>
      <c r="O34" s="48"/>
    </row>
    <row r="35" spans="1:15" ht="24.6" customHeight="1" x14ac:dyDescent="0.3">
      <c r="A35" s="6">
        <v>1568</v>
      </c>
      <c r="B35" s="1">
        <v>25</v>
      </c>
      <c r="C35" s="24">
        <v>46196</v>
      </c>
      <c r="D35" s="1" t="s">
        <v>328</v>
      </c>
      <c r="E35" s="1" t="s">
        <v>132</v>
      </c>
      <c r="F35" s="1">
        <v>292964</v>
      </c>
      <c r="G35" s="1" t="s">
        <v>245</v>
      </c>
      <c r="H35" s="1">
        <f>2*12000</f>
        <v>24000</v>
      </c>
      <c r="I35" s="1">
        <f>0.14*Table11819202310303132353839404148111518202843[[#This Row],[النولون]]</f>
        <v>3360.0000000000005</v>
      </c>
      <c r="J35" s="1">
        <f>1150+2062.35+1769.03+2740+4824+1026</f>
        <v>13571.380000000001</v>
      </c>
      <c r="K35" s="1">
        <f>Table11819202310303132353839404148111518202843[[#This Row],[النولون]]+Table11819202310303132353839404148111518202843[[#This Row],[الايصالات]]+Table11819202310303132353839404148111518202843[[#This Row],[قيمة مضافة]]</f>
        <v>40931.380000000005</v>
      </c>
      <c r="M35" s="1">
        <f>M34+Table11819202310303132353839404148111518202843[[#This Row],[اجمالي الفاتوره]]-Table11819202310303132353839404148111518202843[[#This Row],[الدفعات]]</f>
        <v>40931.380000000005</v>
      </c>
      <c r="O35" s="48"/>
    </row>
    <row r="36" spans="1:15" ht="24.6" customHeight="1" x14ac:dyDescent="0.3">
      <c r="C36" s="2"/>
      <c r="I36" s="1">
        <f>0.14*Table11819202310303132353839404148111518202843[[#This Row],[النولون]]</f>
        <v>0</v>
      </c>
      <c r="K3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6" s="1">
        <f>M35+Table11819202310303132353839404148111518202843[[#This Row],[اجمالي الفاتوره]]-Table11819202310303132353839404148111518202843[[#This Row],[الدفعات]]</f>
        <v>40931.380000000005</v>
      </c>
      <c r="O36" s="48"/>
    </row>
    <row r="37" spans="1:15" ht="24.6" customHeight="1" x14ac:dyDescent="0.3">
      <c r="I37" s="1">
        <f>0.14*Table11819202310303132353839404148111518202843[[#This Row],[النولون]]</f>
        <v>0</v>
      </c>
      <c r="K3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7" s="1">
        <f>M36+Table11819202310303132353839404148111518202843[[#This Row],[اجمالي الفاتوره]]-Table11819202310303132353839404148111518202843[[#This Row],[الدفعات]]</f>
        <v>40931.380000000005</v>
      </c>
      <c r="O37" s="48"/>
    </row>
    <row r="38" spans="1:15" ht="24.6" customHeight="1" x14ac:dyDescent="0.3">
      <c r="I38" s="1">
        <f>0.14*Table11819202310303132353839404148111518202843[[#This Row],[النولون]]</f>
        <v>0</v>
      </c>
      <c r="K3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8" s="1">
        <f>M37+Table11819202310303132353839404148111518202843[[#This Row],[اجمالي الفاتوره]]-Table11819202310303132353839404148111518202843[[#This Row],[الدفعات]]</f>
        <v>40931.380000000005</v>
      </c>
      <c r="O38" s="48"/>
    </row>
    <row r="39" spans="1:15" ht="24.6" customHeight="1" x14ac:dyDescent="0.3">
      <c r="I39" s="1">
        <f>0.14*Table11819202310303132353839404148111518202843[[#This Row],[النولون]]</f>
        <v>0</v>
      </c>
      <c r="K3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9" s="1">
        <f>M38+Table11819202310303132353839404148111518202843[[#This Row],[اجمالي الفاتوره]]-Table11819202310303132353839404148111518202843[[#This Row],[الدفعات]]</f>
        <v>40931.380000000005</v>
      </c>
      <c r="O39" s="48"/>
    </row>
    <row r="40" spans="1:15" ht="24.6" customHeight="1" x14ac:dyDescent="0.3">
      <c r="C40" s="2"/>
      <c r="D40" s="2"/>
      <c r="I40" s="1">
        <f>0.14*Table11819202310303132353839404148111518202843[[#This Row],[النولون]]</f>
        <v>0</v>
      </c>
      <c r="K4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40" s="1">
        <f>M39+Table11819202310303132353839404148111518202843[[#This Row],[اجمالي الفاتوره]]-Table11819202310303132353839404148111518202843[[#This Row],[الدفعات]]</f>
        <v>40931.380000000005</v>
      </c>
      <c r="O40" s="48"/>
    </row>
    <row r="41" spans="1:15" ht="24.6" customHeight="1" x14ac:dyDescent="0.3">
      <c r="I41" s="1">
        <f>0.14*Table11819202310303132353839404148111518202843[[#This Row],[النولون]]</f>
        <v>0</v>
      </c>
      <c r="K4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41" s="1">
        <f>M40+Table11819202310303132353839404148111518202843[[#This Row],[اجمالي الفاتوره]]-Table11819202310303132353839404148111518202843[[#This Row],[الدفعات]]</f>
        <v>40931.380000000005</v>
      </c>
      <c r="O41" s="48"/>
    </row>
    <row r="42" spans="1:15" ht="24.6" customHeight="1" x14ac:dyDescent="0.3">
      <c r="I42" s="1">
        <f>0.14*Table11819202310303132353839404148111518202843[[#This Row],[النولون]]</f>
        <v>0</v>
      </c>
      <c r="K4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42" s="1">
        <f>M41+Table11819202310303132353839404148111518202843[[#This Row],[اجمالي الفاتوره]]-Table11819202310303132353839404148111518202843[[#This Row],[الدفعات]]</f>
        <v>40931.380000000005</v>
      </c>
      <c r="O42" s="48"/>
    </row>
    <row r="43" spans="1:15" ht="24.6" customHeight="1" x14ac:dyDescent="0.3">
      <c r="I43" s="1">
        <f>0.14*Table11819202310303132353839404148111518202843[[#This Row],[النولون]]</f>
        <v>0</v>
      </c>
      <c r="K4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43" s="1">
        <f>M42+Table11819202310303132353839404148111518202843[[#This Row],[اجمالي الفاتوره]]-Table11819202310303132353839404148111518202843[[#This Row],[الدفعات]]</f>
        <v>40931.380000000005</v>
      </c>
      <c r="O43" s="48"/>
    </row>
    <row r="44" spans="1:15" ht="24.6" customHeight="1" x14ac:dyDescent="0.3">
      <c r="I44" s="1">
        <f>0.14*Table11819202310303132353839404148111518202843[[#This Row],[النولون]]</f>
        <v>0</v>
      </c>
      <c r="K4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44" s="1">
        <f>M43+Table11819202310303132353839404148111518202843[[#This Row],[اجمالي الفاتوره]]-Table11819202310303132353839404148111518202843[[#This Row],[الدفعات]]</f>
        <v>40931.380000000005</v>
      </c>
      <c r="O44" s="48"/>
    </row>
    <row r="45" spans="1:15" ht="24.6" customHeight="1" x14ac:dyDescent="0.3">
      <c r="I45" s="1">
        <f>0.14*Table11819202310303132353839404148111518202843[[#This Row],[النولون]]</f>
        <v>0</v>
      </c>
      <c r="K4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45" s="1">
        <f>M44+Table11819202310303132353839404148111518202843[[#This Row],[اجمالي الفاتوره]]-Table11819202310303132353839404148111518202843[[#This Row],[الدفعات]]</f>
        <v>40931.380000000005</v>
      </c>
      <c r="O45" s="48"/>
    </row>
    <row r="46" spans="1:15" ht="24.6" customHeight="1" x14ac:dyDescent="0.3">
      <c r="I46" s="1">
        <f>0.14*Table11819202310303132353839404148111518202843[[#This Row],[النولون]]</f>
        <v>0</v>
      </c>
      <c r="K4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46" s="1">
        <f>M45+Table11819202310303132353839404148111518202843[[#This Row],[اجمالي الفاتوره]]-Table11819202310303132353839404148111518202843[[#This Row],[الدفعات]]</f>
        <v>40931.380000000005</v>
      </c>
      <c r="O46" s="48"/>
    </row>
    <row r="47" spans="1:15" ht="24.6" customHeight="1" x14ac:dyDescent="0.3">
      <c r="I47" s="1">
        <f>0.14*Table11819202310303132353839404148111518202843[[#This Row],[النولون]]</f>
        <v>0</v>
      </c>
      <c r="K4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47" s="1">
        <f>M46+Table11819202310303132353839404148111518202843[[#This Row],[اجمالي الفاتوره]]-Table11819202310303132353839404148111518202843[[#This Row],[الدفعات]]</f>
        <v>40931.380000000005</v>
      </c>
      <c r="O47" s="48"/>
    </row>
    <row r="48" spans="1:15" ht="24.6" customHeight="1" x14ac:dyDescent="0.3">
      <c r="I48" s="1">
        <f>0.14*Table11819202310303132353839404148111518202843[[#This Row],[النولون]]</f>
        <v>0</v>
      </c>
      <c r="K4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48" s="1">
        <f>M47+Table11819202310303132353839404148111518202843[[#This Row],[اجمالي الفاتوره]]-Table11819202310303132353839404148111518202843[[#This Row],[الدفعات]]</f>
        <v>40931.380000000005</v>
      </c>
      <c r="O48" s="48"/>
    </row>
    <row r="49" spans="9:15" ht="24.6" customHeight="1" x14ac:dyDescent="0.3">
      <c r="I49" s="1">
        <f>0.14*Table11819202310303132353839404148111518202843[[#This Row],[النولون]]</f>
        <v>0</v>
      </c>
      <c r="K4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49" s="1">
        <f>M48+Table11819202310303132353839404148111518202843[[#This Row],[اجمالي الفاتوره]]-Table11819202310303132353839404148111518202843[[#This Row],[الدفعات]]</f>
        <v>40931.380000000005</v>
      </c>
      <c r="O49" s="48"/>
    </row>
    <row r="50" spans="9:15" ht="24.6" customHeight="1" x14ac:dyDescent="0.3">
      <c r="I50" s="1">
        <f>0.14*Table11819202310303132353839404148111518202843[[#This Row],[النولون]]</f>
        <v>0</v>
      </c>
      <c r="K5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50" s="1">
        <f>M49+Table11819202310303132353839404148111518202843[[#This Row],[اجمالي الفاتوره]]-Table11819202310303132353839404148111518202843[[#This Row],[الدفعات]]</f>
        <v>40931.380000000005</v>
      </c>
      <c r="O50" s="48"/>
    </row>
    <row r="51" spans="9:15" ht="24.6" customHeight="1" x14ac:dyDescent="0.3">
      <c r="I51" s="1">
        <f>0.14*Table11819202310303132353839404148111518202843[[#This Row],[النولون]]</f>
        <v>0</v>
      </c>
      <c r="K5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51" s="1">
        <f>M50+Table11819202310303132353839404148111518202843[[#This Row],[اجمالي الفاتوره]]-Table11819202310303132353839404148111518202843[[#This Row],[الدفعات]]</f>
        <v>40931.380000000005</v>
      </c>
      <c r="O51" s="48"/>
    </row>
    <row r="52" spans="9:15" ht="24.6" customHeight="1" x14ac:dyDescent="0.3">
      <c r="I52" s="1">
        <f>0.14*Table11819202310303132353839404148111518202843[[#This Row],[النولون]]</f>
        <v>0</v>
      </c>
      <c r="K5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52" s="1">
        <f>M51+Table11819202310303132353839404148111518202843[[#This Row],[اجمالي الفاتوره]]-Table11819202310303132353839404148111518202843[[#This Row],[الدفعات]]</f>
        <v>40931.380000000005</v>
      </c>
      <c r="O52" s="48"/>
    </row>
    <row r="53" spans="9:15" ht="24.6" customHeight="1" x14ac:dyDescent="0.3">
      <c r="I53" s="1">
        <f>0.14*Table11819202310303132353839404148111518202843[[#This Row],[النولون]]</f>
        <v>0</v>
      </c>
      <c r="K5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53" s="1">
        <f>M52+Table11819202310303132353839404148111518202843[[#This Row],[اجمالي الفاتوره]]-Table11819202310303132353839404148111518202843[[#This Row],[الدفعات]]</f>
        <v>40931.380000000005</v>
      </c>
      <c r="O53" s="48"/>
    </row>
    <row r="54" spans="9:15" ht="24.6" customHeight="1" x14ac:dyDescent="0.3">
      <c r="I54" s="1">
        <f>0.14*Table11819202310303132353839404148111518202843[[#This Row],[النولون]]</f>
        <v>0</v>
      </c>
      <c r="K5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54" s="1">
        <f>M53+Table11819202310303132353839404148111518202843[[#This Row],[اجمالي الفاتوره]]-Table11819202310303132353839404148111518202843[[#This Row],[الدفعات]]</f>
        <v>40931.380000000005</v>
      </c>
      <c r="O54" s="48"/>
    </row>
    <row r="55" spans="9:15" ht="24.6" customHeight="1" x14ac:dyDescent="0.3">
      <c r="I55" s="1">
        <f>0.14*Table11819202310303132353839404148111518202843[[#This Row],[النولون]]</f>
        <v>0</v>
      </c>
      <c r="K5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55" s="1">
        <f>M54+Table11819202310303132353839404148111518202843[[#This Row],[اجمالي الفاتوره]]-Table11819202310303132353839404148111518202843[[#This Row],[الدفعات]]</f>
        <v>40931.380000000005</v>
      </c>
      <c r="O55" s="48"/>
    </row>
    <row r="56" spans="9:15" ht="24.6" customHeight="1" x14ac:dyDescent="0.3">
      <c r="I56" s="1">
        <f>0.14*Table11819202310303132353839404148111518202843[[#This Row],[النولون]]</f>
        <v>0</v>
      </c>
      <c r="K5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56" s="1">
        <f>M55+Table11819202310303132353839404148111518202843[[#This Row],[اجمالي الفاتوره]]-Table11819202310303132353839404148111518202843[[#This Row],[الدفعات]]</f>
        <v>40931.380000000005</v>
      </c>
      <c r="O56" s="48"/>
    </row>
    <row r="57" spans="9:15" ht="24.6" customHeight="1" x14ac:dyDescent="0.3">
      <c r="I57" s="1">
        <f>0.14*Table11819202310303132353839404148111518202843[[#This Row],[النولون]]</f>
        <v>0</v>
      </c>
      <c r="K5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57" s="1">
        <f>M56+Table11819202310303132353839404148111518202843[[#This Row],[اجمالي الفاتوره]]-Table11819202310303132353839404148111518202843[[#This Row],[الدفعات]]</f>
        <v>40931.380000000005</v>
      </c>
      <c r="O57" s="48"/>
    </row>
    <row r="58" spans="9:15" ht="24.6" customHeight="1" x14ac:dyDescent="0.3">
      <c r="I58" s="1">
        <f>0.14*Table11819202310303132353839404148111518202843[[#This Row],[النولون]]</f>
        <v>0</v>
      </c>
      <c r="K5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58" s="1">
        <f>M57+Table11819202310303132353839404148111518202843[[#This Row],[اجمالي الفاتوره]]-Table11819202310303132353839404148111518202843[[#This Row],[الدفعات]]</f>
        <v>40931.380000000005</v>
      </c>
      <c r="O58" s="48"/>
    </row>
    <row r="59" spans="9:15" ht="24.6" customHeight="1" x14ac:dyDescent="0.3">
      <c r="I59" s="1">
        <f>0.14*Table11819202310303132353839404148111518202843[[#This Row],[النولون]]</f>
        <v>0</v>
      </c>
      <c r="K5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59" s="1">
        <f>M58+Table11819202310303132353839404148111518202843[[#This Row],[اجمالي الفاتوره]]-Table11819202310303132353839404148111518202843[[#This Row],[الدفعات]]</f>
        <v>40931.380000000005</v>
      </c>
      <c r="O59" s="48"/>
    </row>
    <row r="60" spans="9:15" ht="24.6" customHeight="1" x14ac:dyDescent="0.3">
      <c r="I60" s="1">
        <f>0.14*Table11819202310303132353839404148111518202843[[#This Row],[النولون]]</f>
        <v>0</v>
      </c>
      <c r="K6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60" s="1">
        <f>M59+Table11819202310303132353839404148111518202843[[#This Row],[اجمالي الفاتوره]]-Table11819202310303132353839404148111518202843[[#This Row],[الدفعات]]</f>
        <v>40931.380000000005</v>
      </c>
      <c r="O60" s="48"/>
    </row>
    <row r="61" spans="9:15" ht="24.6" customHeight="1" x14ac:dyDescent="0.3">
      <c r="I61" s="1">
        <f>0.14*Table11819202310303132353839404148111518202843[[#This Row],[النولون]]</f>
        <v>0</v>
      </c>
      <c r="K6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61" s="1">
        <f>M60+Table11819202310303132353839404148111518202843[[#This Row],[اجمالي الفاتوره]]-Table11819202310303132353839404148111518202843[[#This Row],[الدفعات]]</f>
        <v>40931.380000000005</v>
      </c>
      <c r="O61" s="48"/>
    </row>
    <row r="62" spans="9:15" ht="24.6" customHeight="1" x14ac:dyDescent="0.3">
      <c r="I62" s="1">
        <f>0.14*Table11819202310303132353839404148111518202843[[#This Row],[النولون]]</f>
        <v>0</v>
      </c>
      <c r="K6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62" s="1">
        <f>M61+Table11819202310303132353839404148111518202843[[#This Row],[اجمالي الفاتوره]]-Table11819202310303132353839404148111518202843[[#This Row],[الدفعات]]</f>
        <v>40931.380000000005</v>
      </c>
      <c r="O62" s="48"/>
    </row>
    <row r="63" spans="9:15" ht="24.6" customHeight="1" x14ac:dyDescent="0.3">
      <c r="I63" s="1">
        <f>0.14*Table11819202310303132353839404148111518202843[[#This Row],[النولون]]</f>
        <v>0</v>
      </c>
      <c r="K6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63" s="1">
        <f>M62+Table11819202310303132353839404148111518202843[[#This Row],[اجمالي الفاتوره]]-Table11819202310303132353839404148111518202843[[#This Row],[الدفعات]]</f>
        <v>40931.380000000005</v>
      </c>
      <c r="O63" s="48"/>
    </row>
    <row r="64" spans="9:15" ht="24.6" customHeight="1" x14ac:dyDescent="0.3">
      <c r="I64" s="1">
        <f>0.14*Table11819202310303132353839404148111518202843[[#This Row],[النولون]]</f>
        <v>0</v>
      </c>
      <c r="K6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64" s="1">
        <f>M63+Table11819202310303132353839404148111518202843[[#This Row],[اجمالي الفاتوره]]-Table11819202310303132353839404148111518202843[[#This Row],[الدفعات]]</f>
        <v>40931.380000000005</v>
      </c>
      <c r="O64" s="48"/>
    </row>
    <row r="65" spans="9:15" ht="24.6" customHeight="1" x14ac:dyDescent="0.3">
      <c r="I65" s="1">
        <f>0.14*Table11819202310303132353839404148111518202843[[#This Row],[النولون]]</f>
        <v>0</v>
      </c>
      <c r="K6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65" s="1">
        <f>M64+Table11819202310303132353839404148111518202843[[#This Row],[اجمالي الفاتوره]]-Table11819202310303132353839404148111518202843[[#This Row],[الدفعات]]</f>
        <v>40931.380000000005</v>
      </c>
      <c r="O65" s="48"/>
    </row>
    <row r="66" spans="9:15" ht="24.6" customHeight="1" x14ac:dyDescent="0.3">
      <c r="I66" s="1">
        <f>0.14*Table11819202310303132353839404148111518202843[[#This Row],[النولون]]</f>
        <v>0</v>
      </c>
      <c r="K6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66" s="1">
        <f>M65+Table11819202310303132353839404148111518202843[[#This Row],[اجمالي الفاتوره]]-Table11819202310303132353839404148111518202843[[#This Row],[الدفعات]]</f>
        <v>40931.380000000005</v>
      </c>
      <c r="O66" s="48"/>
    </row>
    <row r="67" spans="9:15" ht="24.6" customHeight="1" x14ac:dyDescent="0.3">
      <c r="I67" s="1">
        <f>0.14*Table11819202310303132353839404148111518202843[[#This Row],[النولون]]</f>
        <v>0</v>
      </c>
      <c r="K6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67" s="1">
        <f>M66+Table11819202310303132353839404148111518202843[[#This Row],[اجمالي الفاتوره]]-Table11819202310303132353839404148111518202843[[#This Row],[الدفعات]]</f>
        <v>40931.380000000005</v>
      </c>
      <c r="O67" s="48"/>
    </row>
    <row r="68" spans="9:15" ht="24.6" customHeight="1" x14ac:dyDescent="0.3">
      <c r="I68" s="1">
        <f>0.14*Table11819202310303132353839404148111518202843[[#This Row],[النولون]]</f>
        <v>0</v>
      </c>
      <c r="K6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68" s="1">
        <f>M67+Table11819202310303132353839404148111518202843[[#This Row],[اجمالي الفاتوره]]-Table11819202310303132353839404148111518202843[[#This Row],[الدفعات]]</f>
        <v>40931.380000000005</v>
      </c>
      <c r="O68" s="48"/>
    </row>
    <row r="69" spans="9:15" ht="24.6" customHeight="1" x14ac:dyDescent="0.3">
      <c r="I69" s="1">
        <f>0.14*Table11819202310303132353839404148111518202843[[#This Row],[النولون]]</f>
        <v>0</v>
      </c>
      <c r="K6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69" s="1">
        <f>M68+Table11819202310303132353839404148111518202843[[#This Row],[اجمالي الفاتوره]]-Table11819202310303132353839404148111518202843[[#This Row],[الدفعات]]</f>
        <v>40931.380000000005</v>
      </c>
      <c r="O69" s="48"/>
    </row>
    <row r="70" spans="9:15" ht="24.6" customHeight="1" x14ac:dyDescent="0.3">
      <c r="I70" s="1">
        <f>0.14*Table11819202310303132353839404148111518202843[[#This Row],[النولون]]</f>
        <v>0</v>
      </c>
      <c r="K7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70" s="1">
        <f>M69+Table11819202310303132353839404148111518202843[[#This Row],[اجمالي الفاتوره]]-Table11819202310303132353839404148111518202843[[#This Row],[الدفعات]]</f>
        <v>40931.380000000005</v>
      </c>
      <c r="O70" s="48"/>
    </row>
    <row r="71" spans="9:15" ht="24.6" customHeight="1" x14ac:dyDescent="0.3">
      <c r="I71" s="1">
        <f>0.14*Table11819202310303132353839404148111518202843[[#This Row],[النولون]]</f>
        <v>0</v>
      </c>
      <c r="K7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71" s="1">
        <f>M70+Table11819202310303132353839404148111518202843[[#This Row],[اجمالي الفاتوره]]-Table11819202310303132353839404148111518202843[[#This Row],[الدفعات]]</f>
        <v>40931.380000000005</v>
      </c>
      <c r="O71" s="48"/>
    </row>
    <row r="72" spans="9:15" ht="24.6" customHeight="1" x14ac:dyDescent="0.3">
      <c r="I72" s="1">
        <f>0.14*Table11819202310303132353839404148111518202843[[#This Row],[النولون]]</f>
        <v>0</v>
      </c>
      <c r="K7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72" s="1">
        <f>M71+Table11819202310303132353839404148111518202843[[#This Row],[اجمالي الفاتوره]]-Table11819202310303132353839404148111518202843[[#This Row],[الدفعات]]</f>
        <v>40931.380000000005</v>
      </c>
      <c r="O72" s="48"/>
    </row>
    <row r="73" spans="9:15" ht="24.6" customHeight="1" x14ac:dyDescent="0.3">
      <c r="I73" s="1">
        <f>0.14*Table11819202310303132353839404148111518202843[[#This Row],[النولون]]</f>
        <v>0</v>
      </c>
      <c r="K7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73" s="1">
        <f>M72+Table11819202310303132353839404148111518202843[[#This Row],[اجمالي الفاتوره]]-Table11819202310303132353839404148111518202843[[#This Row],[الدفعات]]</f>
        <v>40931.380000000005</v>
      </c>
      <c r="O73" s="48"/>
    </row>
    <row r="74" spans="9:15" ht="24.6" customHeight="1" x14ac:dyDescent="0.3">
      <c r="I74" s="1">
        <f>0.14*Table11819202310303132353839404148111518202843[[#This Row],[النولون]]</f>
        <v>0</v>
      </c>
      <c r="K7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74" s="1">
        <f>M73+Table11819202310303132353839404148111518202843[[#This Row],[اجمالي الفاتوره]]-Table11819202310303132353839404148111518202843[[#This Row],[الدفعات]]</f>
        <v>40931.380000000005</v>
      </c>
      <c r="O74" s="48"/>
    </row>
    <row r="75" spans="9:15" ht="24.6" customHeight="1" x14ac:dyDescent="0.3">
      <c r="I75" s="1">
        <f>0.14*Table11819202310303132353839404148111518202843[[#This Row],[النولون]]</f>
        <v>0</v>
      </c>
      <c r="K7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75" s="1">
        <f>M74+Table11819202310303132353839404148111518202843[[#This Row],[اجمالي الفاتوره]]-Table11819202310303132353839404148111518202843[[#This Row],[الدفعات]]</f>
        <v>40931.380000000005</v>
      </c>
      <c r="O75" s="48"/>
    </row>
    <row r="76" spans="9:15" ht="24.6" customHeight="1" x14ac:dyDescent="0.3">
      <c r="I76" s="1">
        <f>0.14*Table11819202310303132353839404148111518202843[[#This Row],[النولون]]</f>
        <v>0</v>
      </c>
      <c r="K7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76" s="1">
        <f>M75+Table11819202310303132353839404148111518202843[[#This Row],[اجمالي الفاتوره]]-Table11819202310303132353839404148111518202843[[#This Row],[الدفعات]]</f>
        <v>40931.380000000005</v>
      </c>
      <c r="O76" s="48"/>
    </row>
    <row r="77" spans="9:15" ht="24.6" customHeight="1" x14ac:dyDescent="0.3">
      <c r="I77" s="1">
        <f>0.14*Table11819202310303132353839404148111518202843[[#This Row],[النولون]]</f>
        <v>0</v>
      </c>
      <c r="K7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77" s="1">
        <f>M76+Table11819202310303132353839404148111518202843[[#This Row],[اجمالي الفاتوره]]-Table11819202310303132353839404148111518202843[[#This Row],[الدفعات]]</f>
        <v>40931.380000000005</v>
      </c>
      <c r="O77" s="48"/>
    </row>
    <row r="78" spans="9:15" ht="24.6" customHeight="1" x14ac:dyDescent="0.3">
      <c r="I78" s="1">
        <f>0.14*Table11819202310303132353839404148111518202843[[#This Row],[النولون]]</f>
        <v>0</v>
      </c>
      <c r="K7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78" s="1">
        <f>M77+Table11819202310303132353839404148111518202843[[#This Row],[اجمالي الفاتوره]]-Table11819202310303132353839404148111518202843[[#This Row],[الدفعات]]</f>
        <v>40931.380000000005</v>
      </c>
      <c r="O78" s="48"/>
    </row>
    <row r="79" spans="9:15" ht="24.6" customHeight="1" x14ac:dyDescent="0.3">
      <c r="I79" s="1">
        <f>0.14*Table11819202310303132353839404148111518202843[[#This Row],[النولون]]</f>
        <v>0</v>
      </c>
      <c r="K7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79" s="1">
        <f>M78+Table11819202310303132353839404148111518202843[[#This Row],[اجمالي الفاتوره]]-Table11819202310303132353839404148111518202843[[#This Row],[الدفعات]]</f>
        <v>40931.380000000005</v>
      </c>
      <c r="O79" s="48"/>
    </row>
    <row r="80" spans="9:15" ht="24.6" customHeight="1" x14ac:dyDescent="0.3">
      <c r="I80" s="1">
        <f>0.14*Table11819202310303132353839404148111518202843[[#This Row],[النولون]]</f>
        <v>0</v>
      </c>
      <c r="K8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80" s="1">
        <f>M79+Table11819202310303132353839404148111518202843[[#This Row],[اجمالي الفاتوره]]-Table11819202310303132353839404148111518202843[[#This Row],[الدفعات]]</f>
        <v>40931.380000000005</v>
      </c>
      <c r="O80" s="48"/>
    </row>
    <row r="81" spans="9:15" ht="24.6" customHeight="1" x14ac:dyDescent="0.3">
      <c r="I81" s="1">
        <f>0.14*Table11819202310303132353839404148111518202843[[#This Row],[النولون]]</f>
        <v>0</v>
      </c>
      <c r="K8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81" s="1">
        <f>M80+Table11819202310303132353839404148111518202843[[#This Row],[اجمالي الفاتوره]]-Table11819202310303132353839404148111518202843[[#This Row],[الدفعات]]</f>
        <v>40931.380000000005</v>
      </c>
      <c r="O81" s="48"/>
    </row>
    <row r="82" spans="9:15" ht="24.6" customHeight="1" x14ac:dyDescent="0.3">
      <c r="I82" s="1">
        <f>0.14*Table11819202310303132353839404148111518202843[[#This Row],[النولون]]</f>
        <v>0</v>
      </c>
      <c r="K8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82" s="1">
        <f>M81+Table11819202310303132353839404148111518202843[[#This Row],[اجمالي الفاتوره]]-Table11819202310303132353839404148111518202843[[#This Row],[الدفعات]]</f>
        <v>40931.380000000005</v>
      </c>
      <c r="O82" s="48"/>
    </row>
    <row r="83" spans="9:15" ht="24.6" customHeight="1" x14ac:dyDescent="0.3">
      <c r="I83" s="1">
        <f>0.14*Table11819202310303132353839404148111518202843[[#This Row],[النولون]]</f>
        <v>0</v>
      </c>
      <c r="K8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83" s="1">
        <f>M82+Table11819202310303132353839404148111518202843[[#This Row],[اجمالي الفاتوره]]-Table11819202310303132353839404148111518202843[[#This Row],[الدفعات]]</f>
        <v>40931.380000000005</v>
      </c>
      <c r="O83" s="48"/>
    </row>
    <row r="84" spans="9:15" ht="24.6" customHeight="1" x14ac:dyDescent="0.3">
      <c r="I84" s="1">
        <f>0.14*Table11819202310303132353839404148111518202843[[#This Row],[النولون]]</f>
        <v>0</v>
      </c>
      <c r="K8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84" s="1">
        <f>M83+Table11819202310303132353839404148111518202843[[#This Row],[اجمالي الفاتوره]]-Table11819202310303132353839404148111518202843[[#This Row],[الدفعات]]</f>
        <v>40931.380000000005</v>
      </c>
      <c r="O84" s="48"/>
    </row>
    <row r="85" spans="9:15" ht="24.6" customHeight="1" x14ac:dyDescent="0.3">
      <c r="I85" s="1">
        <f>0.14*Table11819202310303132353839404148111518202843[[#This Row],[النولون]]</f>
        <v>0</v>
      </c>
      <c r="K8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85" s="1">
        <f>M84+Table11819202310303132353839404148111518202843[[#This Row],[اجمالي الفاتوره]]-Table11819202310303132353839404148111518202843[[#This Row],[الدفعات]]</f>
        <v>40931.380000000005</v>
      </c>
      <c r="O85" s="48"/>
    </row>
    <row r="86" spans="9:15" ht="24.6" customHeight="1" x14ac:dyDescent="0.3">
      <c r="I86" s="1">
        <f>0.14*Table11819202310303132353839404148111518202843[[#This Row],[النولون]]</f>
        <v>0</v>
      </c>
      <c r="K8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86" s="1">
        <f>M85+Table11819202310303132353839404148111518202843[[#This Row],[اجمالي الفاتوره]]-Table11819202310303132353839404148111518202843[[#This Row],[الدفعات]]</f>
        <v>40931.380000000005</v>
      </c>
      <c r="O86" s="48"/>
    </row>
    <row r="87" spans="9:15" ht="24.6" customHeight="1" x14ac:dyDescent="0.3">
      <c r="I87" s="1">
        <f>0.14*Table11819202310303132353839404148111518202843[[#This Row],[النولون]]</f>
        <v>0</v>
      </c>
      <c r="K8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87" s="1">
        <f>M86+Table11819202310303132353839404148111518202843[[#This Row],[اجمالي الفاتوره]]-Table11819202310303132353839404148111518202843[[#This Row],[الدفعات]]</f>
        <v>40931.380000000005</v>
      </c>
      <c r="O87" s="48"/>
    </row>
    <row r="88" spans="9:15" ht="24.6" customHeight="1" x14ac:dyDescent="0.3">
      <c r="I88" s="1">
        <f>0.14*Table11819202310303132353839404148111518202843[[#This Row],[النولون]]</f>
        <v>0</v>
      </c>
      <c r="K8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88" s="1">
        <f>M87+Table11819202310303132353839404148111518202843[[#This Row],[اجمالي الفاتوره]]-Table11819202310303132353839404148111518202843[[#This Row],[الدفعات]]</f>
        <v>40931.380000000005</v>
      </c>
      <c r="O88" s="48"/>
    </row>
    <row r="89" spans="9:15" ht="24.6" customHeight="1" x14ac:dyDescent="0.3">
      <c r="I89" s="1">
        <f>0.14*Table11819202310303132353839404148111518202843[[#This Row],[النولون]]</f>
        <v>0</v>
      </c>
      <c r="K8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89" s="1">
        <f>M88+Table11819202310303132353839404148111518202843[[#This Row],[اجمالي الفاتوره]]-Table11819202310303132353839404148111518202843[[#This Row],[الدفعات]]</f>
        <v>40931.380000000005</v>
      </c>
      <c r="O89" s="48"/>
    </row>
    <row r="90" spans="9:15" ht="24.6" customHeight="1" x14ac:dyDescent="0.3">
      <c r="I90" s="1">
        <f>0.14*Table11819202310303132353839404148111518202843[[#This Row],[النولون]]</f>
        <v>0</v>
      </c>
      <c r="K9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90" s="1">
        <f>M89+Table11819202310303132353839404148111518202843[[#This Row],[اجمالي الفاتوره]]-Table11819202310303132353839404148111518202843[[#This Row],[الدفعات]]</f>
        <v>40931.380000000005</v>
      </c>
      <c r="O90" s="48"/>
    </row>
    <row r="91" spans="9:15" ht="24.6" customHeight="1" x14ac:dyDescent="0.3">
      <c r="I91" s="1">
        <f>0.14*Table11819202310303132353839404148111518202843[[#This Row],[النولون]]</f>
        <v>0</v>
      </c>
      <c r="K9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91" s="1">
        <f>M90+Table11819202310303132353839404148111518202843[[#This Row],[اجمالي الفاتوره]]-Table11819202310303132353839404148111518202843[[#This Row],[الدفعات]]</f>
        <v>40931.380000000005</v>
      </c>
      <c r="O91" s="48"/>
    </row>
    <row r="92" spans="9:15" ht="24.6" customHeight="1" x14ac:dyDescent="0.3">
      <c r="I92" s="1">
        <f>0.14*Table11819202310303132353839404148111518202843[[#This Row],[النولون]]</f>
        <v>0</v>
      </c>
      <c r="K9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92" s="1">
        <f>M91+Table11819202310303132353839404148111518202843[[#This Row],[اجمالي الفاتوره]]-Table11819202310303132353839404148111518202843[[#This Row],[الدفعات]]</f>
        <v>40931.380000000005</v>
      </c>
      <c r="O92" s="48"/>
    </row>
    <row r="93" spans="9:15" ht="24.6" customHeight="1" x14ac:dyDescent="0.3">
      <c r="I93" s="1">
        <f>0.14*Table11819202310303132353839404148111518202843[[#This Row],[النولون]]</f>
        <v>0</v>
      </c>
      <c r="K9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93" s="1">
        <f>M92+Table11819202310303132353839404148111518202843[[#This Row],[اجمالي الفاتوره]]-Table11819202310303132353839404148111518202843[[#This Row],[الدفعات]]</f>
        <v>40931.380000000005</v>
      </c>
      <c r="O93" s="48"/>
    </row>
    <row r="94" spans="9:15" ht="24.6" customHeight="1" x14ac:dyDescent="0.3">
      <c r="I94" s="1">
        <f>0.14*Table11819202310303132353839404148111518202843[[#This Row],[النولون]]</f>
        <v>0</v>
      </c>
      <c r="K9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94" s="1">
        <f>M93+Table11819202310303132353839404148111518202843[[#This Row],[اجمالي الفاتوره]]-Table11819202310303132353839404148111518202843[[#This Row],[الدفعات]]</f>
        <v>40931.380000000005</v>
      </c>
      <c r="O94" s="48"/>
    </row>
    <row r="95" spans="9:15" ht="24.6" customHeight="1" x14ac:dyDescent="0.3">
      <c r="I95" s="1">
        <f>0.14*Table11819202310303132353839404148111518202843[[#This Row],[النولون]]</f>
        <v>0</v>
      </c>
      <c r="K9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95" s="1">
        <f>M94+Table11819202310303132353839404148111518202843[[#This Row],[اجمالي الفاتوره]]-Table11819202310303132353839404148111518202843[[#This Row],[الدفعات]]</f>
        <v>40931.380000000005</v>
      </c>
      <c r="O95" s="48"/>
    </row>
    <row r="96" spans="9:15" ht="24.6" customHeight="1" x14ac:dyDescent="0.3">
      <c r="I96" s="1">
        <f>0.14*Table11819202310303132353839404148111518202843[[#This Row],[النولون]]</f>
        <v>0</v>
      </c>
      <c r="K9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96" s="1">
        <f>M95+Table11819202310303132353839404148111518202843[[#This Row],[اجمالي الفاتوره]]-Table11819202310303132353839404148111518202843[[#This Row],[الدفعات]]</f>
        <v>40931.380000000005</v>
      </c>
      <c r="O96" s="48"/>
    </row>
    <row r="97" spans="9:15" ht="24.6" customHeight="1" x14ac:dyDescent="0.3">
      <c r="I97" s="1">
        <f>0.14*Table11819202310303132353839404148111518202843[[#This Row],[النولون]]</f>
        <v>0</v>
      </c>
      <c r="K9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97" s="1">
        <f>M96+Table11819202310303132353839404148111518202843[[#This Row],[اجمالي الفاتوره]]-Table11819202310303132353839404148111518202843[[#This Row],[الدفعات]]</f>
        <v>40931.380000000005</v>
      </c>
      <c r="O97" s="48"/>
    </row>
    <row r="98" spans="9:15" ht="24.6" customHeight="1" x14ac:dyDescent="0.3">
      <c r="I98" s="1">
        <f>0.14*Table11819202310303132353839404148111518202843[[#This Row],[النولون]]</f>
        <v>0</v>
      </c>
      <c r="K9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98" s="1">
        <f>M97+Table11819202310303132353839404148111518202843[[#This Row],[اجمالي الفاتوره]]-Table11819202310303132353839404148111518202843[[#This Row],[الدفعات]]</f>
        <v>40931.380000000005</v>
      </c>
      <c r="O98" s="48"/>
    </row>
    <row r="99" spans="9:15" ht="24.6" customHeight="1" x14ac:dyDescent="0.3">
      <c r="I99" s="1">
        <f>0.14*Table11819202310303132353839404148111518202843[[#This Row],[النولون]]</f>
        <v>0</v>
      </c>
      <c r="K9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99" s="1">
        <f>M98+Table11819202310303132353839404148111518202843[[#This Row],[اجمالي الفاتوره]]-Table11819202310303132353839404148111518202843[[#This Row],[الدفعات]]</f>
        <v>40931.380000000005</v>
      </c>
      <c r="O99" s="48"/>
    </row>
    <row r="100" spans="9:15" ht="24.6" customHeight="1" x14ac:dyDescent="0.3">
      <c r="I100" s="1">
        <f>0.14*Table11819202310303132353839404148111518202843[[#This Row],[النولون]]</f>
        <v>0</v>
      </c>
      <c r="K10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00" s="1">
        <f>M99+Table11819202310303132353839404148111518202843[[#This Row],[اجمالي الفاتوره]]-Table11819202310303132353839404148111518202843[[#This Row],[الدفعات]]</f>
        <v>40931.380000000005</v>
      </c>
      <c r="O100" s="48"/>
    </row>
    <row r="101" spans="9:15" ht="24.6" customHeight="1" x14ac:dyDescent="0.3">
      <c r="I101" s="1">
        <f>0.14*Table11819202310303132353839404148111518202843[[#This Row],[النولون]]</f>
        <v>0</v>
      </c>
      <c r="K10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01" s="1">
        <f>M100+Table11819202310303132353839404148111518202843[[#This Row],[اجمالي الفاتوره]]-Table11819202310303132353839404148111518202843[[#This Row],[الدفعات]]</f>
        <v>40931.380000000005</v>
      </c>
      <c r="O101" s="48"/>
    </row>
    <row r="102" spans="9:15" ht="24.6" customHeight="1" x14ac:dyDescent="0.3">
      <c r="I102" s="1">
        <f>0.14*Table11819202310303132353839404148111518202843[[#This Row],[النولون]]</f>
        <v>0</v>
      </c>
      <c r="K10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02" s="1">
        <f>M101+Table11819202310303132353839404148111518202843[[#This Row],[اجمالي الفاتوره]]-Table11819202310303132353839404148111518202843[[#This Row],[الدفعات]]</f>
        <v>40931.380000000005</v>
      </c>
      <c r="O102" s="48"/>
    </row>
    <row r="103" spans="9:15" ht="24.6" customHeight="1" x14ac:dyDescent="0.3">
      <c r="I103" s="1">
        <f>0.14*Table11819202310303132353839404148111518202843[[#This Row],[النولون]]</f>
        <v>0</v>
      </c>
      <c r="K10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03" s="1">
        <f>M102+Table11819202310303132353839404148111518202843[[#This Row],[اجمالي الفاتوره]]-Table11819202310303132353839404148111518202843[[#This Row],[الدفعات]]</f>
        <v>40931.380000000005</v>
      </c>
      <c r="O103" s="48"/>
    </row>
    <row r="104" spans="9:15" ht="24.6" customHeight="1" x14ac:dyDescent="0.3">
      <c r="I104" s="1">
        <f>0.14*Table11819202310303132353839404148111518202843[[#This Row],[النولون]]</f>
        <v>0</v>
      </c>
      <c r="K10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04" s="1">
        <f>M103+Table11819202310303132353839404148111518202843[[#This Row],[اجمالي الفاتوره]]-Table11819202310303132353839404148111518202843[[#This Row],[الدفعات]]</f>
        <v>40931.380000000005</v>
      </c>
      <c r="O104" s="48"/>
    </row>
    <row r="105" spans="9:15" ht="24.6" customHeight="1" x14ac:dyDescent="0.3">
      <c r="I105" s="1">
        <f>0.14*Table11819202310303132353839404148111518202843[[#This Row],[النولون]]</f>
        <v>0</v>
      </c>
      <c r="K10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05" s="1">
        <f>M104+Table11819202310303132353839404148111518202843[[#This Row],[اجمالي الفاتوره]]-Table11819202310303132353839404148111518202843[[#This Row],[الدفعات]]</f>
        <v>40931.380000000005</v>
      </c>
      <c r="O105" s="48"/>
    </row>
    <row r="106" spans="9:15" ht="24.6" customHeight="1" x14ac:dyDescent="0.3">
      <c r="I106" s="1">
        <f>0.14*Table11819202310303132353839404148111518202843[[#This Row],[النولون]]</f>
        <v>0</v>
      </c>
      <c r="K10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06" s="1">
        <f>M105+Table11819202310303132353839404148111518202843[[#This Row],[اجمالي الفاتوره]]-Table11819202310303132353839404148111518202843[[#This Row],[الدفعات]]</f>
        <v>40931.380000000005</v>
      </c>
      <c r="O106" s="48"/>
    </row>
    <row r="107" spans="9:15" ht="24.6" customHeight="1" x14ac:dyDescent="0.3">
      <c r="I107" s="1">
        <f>0.14*Table11819202310303132353839404148111518202843[[#This Row],[النولون]]</f>
        <v>0</v>
      </c>
      <c r="K10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07" s="1">
        <f>M106+Table11819202310303132353839404148111518202843[[#This Row],[اجمالي الفاتوره]]-Table11819202310303132353839404148111518202843[[#This Row],[الدفعات]]</f>
        <v>40931.380000000005</v>
      </c>
      <c r="O107" s="48"/>
    </row>
    <row r="108" spans="9:15" ht="24.6" customHeight="1" x14ac:dyDescent="0.3">
      <c r="I108" s="1">
        <f>0.14*Table11819202310303132353839404148111518202843[[#This Row],[النولون]]</f>
        <v>0</v>
      </c>
      <c r="K10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08" s="1">
        <f>M107+Table11819202310303132353839404148111518202843[[#This Row],[اجمالي الفاتوره]]-Table11819202310303132353839404148111518202843[[#This Row],[الدفعات]]</f>
        <v>40931.380000000005</v>
      </c>
      <c r="O108" s="48"/>
    </row>
    <row r="109" spans="9:15" ht="24.6" customHeight="1" x14ac:dyDescent="0.3">
      <c r="I109" s="1">
        <f>0.14*Table11819202310303132353839404148111518202843[[#This Row],[النولون]]</f>
        <v>0</v>
      </c>
      <c r="K10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09" s="1">
        <f>M108+Table11819202310303132353839404148111518202843[[#This Row],[اجمالي الفاتوره]]-Table11819202310303132353839404148111518202843[[#This Row],[الدفعات]]</f>
        <v>40931.380000000005</v>
      </c>
      <c r="O109" s="48"/>
    </row>
    <row r="110" spans="9:15" ht="24.6" customHeight="1" x14ac:dyDescent="0.3">
      <c r="I110" s="1">
        <f>0.14*Table11819202310303132353839404148111518202843[[#This Row],[النولون]]</f>
        <v>0</v>
      </c>
      <c r="K11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10" s="1">
        <f>M109+Table11819202310303132353839404148111518202843[[#This Row],[اجمالي الفاتوره]]-Table11819202310303132353839404148111518202843[[#This Row],[الدفعات]]</f>
        <v>40931.380000000005</v>
      </c>
      <c r="O110" s="48"/>
    </row>
    <row r="111" spans="9:15" ht="24.6" customHeight="1" x14ac:dyDescent="0.3">
      <c r="I111" s="1">
        <f>0.14*Table11819202310303132353839404148111518202843[[#This Row],[النولون]]</f>
        <v>0</v>
      </c>
      <c r="K11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11" s="1">
        <f>M110+Table11819202310303132353839404148111518202843[[#This Row],[اجمالي الفاتوره]]-Table11819202310303132353839404148111518202843[[#This Row],[الدفعات]]</f>
        <v>40931.380000000005</v>
      </c>
      <c r="O111" s="48"/>
    </row>
    <row r="112" spans="9:15" ht="24.6" customHeight="1" x14ac:dyDescent="0.3">
      <c r="I112" s="1">
        <f>0.14*Table11819202310303132353839404148111518202843[[#This Row],[النولون]]</f>
        <v>0</v>
      </c>
      <c r="K11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12" s="1">
        <f>M111+Table11819202310303132353839404148111518202843[[#This Row],[اجمالي الفاتوره]]-Table11819202310303132353839404148111518202843[[#This Row],[الدفعات]]</f>
        <v>40931.380000000005</v>
      </c>
      <c r="O112" s="48"/>
    </row>
    <row r="113" spans="9:15" ht="24.6" customHeight="1" x14ac:dyDescent="0.3">
      <c r="I113" s="1">
        <f>0.14*Table11819202310303132353839404148111518202843[[#This Row],[النولون]]</f>
        <v>0</v>
      </c>
      <c r="K11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13" s="1">
        <f>M112+Table11819202310303132353839404148111518202843[[#This Row],[اجمالي الفاتوره]]-Table11819202310303132353839404148111518202843[[#This Row],[الدفعات]]</f>
        <v>40931.380000000005</v>
      </c>
      <c r="O113" s="48"/>
    </row>
    <row r="114" spans="9:15" ht="24.6" customHeight="1" x14ac:dyDescent="0.3">
      <c r="I114" s="1">
        <f>0.14*Table11819202310303132353839404148111518202843[[#This Row],[النولون]]</f>
        <v>0</v>
      </c>
      <c r="K11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14" s="1">
        <f>M113+Table11819202310303132353839404148111518202843[[#This Row],[اجمالي الفاتوره]]-Table11819202310303132353839404148111518202843[[#This Row],[الدفعات]]</f>
        <v>40931.380000000005</v>
      </c>
      <c r="O114" s="48"/>
    </row>
    <row r="115" spans="9:15" ht="24.6" customHeight="1" x14ac:dyDescent="0.3">
      <c r="I115" s="1">
        <f>0.14*Table11819202310303132353839404148111518202843[[#This Row],[النولون]]</f>
        <v>0</v>
      </c>
      <c r="K11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15" s="1">
        <f>M114+Table11819202310303132353839404148111518202843[[#This Row],[اجمالي الفاتوره]]-Table11819202310303132353839404148111518202843[[#This Row],[الدفعات]]</f>
        <v>40931.380000000005</v>
      </c>
      <c r="O115" s="48"/>
    </row>
    <row r="116" spans="9:15" ht="24.6" customHeight="1" x14ac:dyDescent="0.3">
      <c r="I116" s="1">
        <f>0.14*Table11819202310303132353839404148111518202843[[#This Row],[النولون]]</f>
        <v>0</v>
      </c>
      <c r="K11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16" s="1">
        <f>M115+Table11819202310303132353839404148111518202843[[#This Row],[اجمالي الفاتوره]]-Table11819202310303132353839404148111518202843[[#This Row],[الدفعات]]</f>
        <v>40931.380000000005</v>
      </c>
      <c r="O116" s="48"/>
    </row>
    <row r="117" spans="9:15" ht="24.6" customHeight="1" x14ac:dyDescent="0.3">
      <c r="I117" s="1">
        <f>0.14*Table11819202310303132353839404148111518202843[[#This Row],[النولون]]</f>
        <v>0</v>
      </c>
      <c r="K11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17" s="1">
        <f>M116+Table11819202310303132353839404148111518202843[[#This Row],[اجمالي الفاتوره]]-Table11819202310303132353839404148111518202843[[#This Row],[الدفعات]]</f>
        <v>40931.380000000005</v>
      </c>
      <c r="O117" s="48"/>
    </row>
    <row r="118" spans="9:15" ht="24.6" customHeight="1" x14ac:dyDescent="0.3">
      <c r="I118" s="1">
        <f>0.14*Table11819202310303132353839404148111518202843[[#This Row],[النولون]]</f>
        <v>0</v>
      </c>
      <c r="K11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18" s="1">
        <f>M117+Table11819202310303132353839404148111518202843[[#This Row],[اجمالي الفاتوره]]-Table11819202310303132353839404148111518202843[[#This Row],[الدفعات]]</f>
        <v>40931.380000000005</v>
      </c>
      <c r="O118" s="48"/>
    </row>
    <row r="119" spans="9:15" ht="24.6" customHeight="1" x14ac:dyDescent="0.3">
      <c r="I119" s="1">
        <f>0.14*Table11819202310303132353839404148111518202843[[#This Row],[النولون]]</f>
        <v>0</v>
      </c>
      <c r="K11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19" s="1">
        <f>M118+Table11819202310303132353839404148111518202843[[#This Row],[اجمالي الفاتوره]]-Table11819202310303132353839404148111518202843[[#This Row],[الدفعات]]</f>
        <v>40931.380000000005</v>
      </c>
      <c r="O119" s="48"/>
    </row>
    <row r="120" spans="9:15" ht="24.6" customHeight="1" x14ac:dyDescent="0.3">
      <c r="I120" s="1">
        <f>0.14*Table11819202310303132353839404148111518202843[[#This Row],[النولون]]</f>
        <v>0</v>
      </c>
      <c r="K12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20" s="1">
        <f>M119+Table11819202310303132353839404148111518202843[[#This Row],[اجمالي الفاتوره]]-Table11819202310303132353839404148111518202843[[#This Row],[الدفعات]]</f>
        <v>40931.380000000005</v>
      </c>
      <c r="O120" s="48"/>
    </row>
    <row r="121" spans="9:15" ht="24.6" customHeight="1" x14ac:dyDescent="0.3">
      <c r="I121" s="1">
        <f>0.14*Table11819202310303132353839404148111518202843[[#This Row],[النولون]]</f>
        <v>0</v>
      </c>
      <c r="K12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21" s="1">
        <f>M120+Table11819202310303132353839404148111518202843[[#This Row],[اجمالي الفاتوره]]-Table11819202310303132353839404148111518202843[[#This Row],[الدفعات]]</f>
        <v>40931.380000000005</v>
      </c>
      <c r="O121" s="48"/>
    </row>
    <row r="122" spans="9:15" ht="24.6" customHeight="1" x14ac:dyDescent="0.3">
      <c r="I122" s="1">
        <f>0.14*Table11819202310303132353839404148111518202843[[#This Row],[النولون]]</f>
        <v>0</v>
      </c>
      <c r="K12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22" s="1">
        <f>M121+Table11819202310303132353839404148111518202843[[#This Row],[اجمالي الفاتوره]]-Table11819202310303132353839404148111518202843[[#This Row],[الدفعات]]</f>
        <v>40931.380000000005</v>
      </c>
      <c r="O122" s="48"/>
    </row>
    <row r="123" spans="9:15" ht="24.6" customHeight="1" x14ac:dyDescent="0.3">
      <c r="I123" s="1">
        <f>0.14*Table11819202310303132353839404148111518202843[[#This Row],[النولون]]</f>
        <v>0</v>
      </c>
      <c r="K12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23" s="1">
        <f>M122+Table11819202310303132353839404148111518202843[[#This Row],[اجمالي الفاتوره]]-Table11819202310303132353839404148111518202843[[#This Row],[الدفعات]]</f>
        <v>40931.380000000005</v>
      </c>
      <c r="O123" s="48"/>
    </row>
    <row r="124" spans="9:15" ht="24.6" customHeight="1" x14ac:dyDescent="0.3">
      <c r="I124" s="1">
        <f>0.14*Table11819202310303132353839404148111518202843[[#This Row],[النولون]]</f>
        <v>0</v>
      </c>
      <c r="K12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24" s="1">
        <f>M123+Table11819202310303132353839404148111518202843[[#This Row],[اجمالي الفاتوره]]-Table11819202310303132353839404148111518202843[[#This Row],[الدفعات]]</f>
        <v>40931.380000000005</v>
      </c>
      <c r="O124" s="48"/>
    </row>
    <row r="125" spans="9:15" ht="24.6" customHeight="1" x14ac:dyDescent="0.3">
      <c r="I125" s="1">
        <f>0.14*Table11819202310303132353839404148111518202843[[#This Row],[النولون]]</f>
        <v>0</v>
      </c>
      <c r="K12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25" s="1">
        <f>M124+Table11819202310303132353839404148111518202843[[#This Row],[اجمالي الفاتوره]]-Table11819202310303132353839404148111518202843[[#This Row],[الدفعات]]</f>
        <v>40931.380000000005</v>
      </c>
      <c r="O125" s="48"/>
    </row>
    <row r="126" spans="9:15" ht="24.6" customHeight="1" x14ac:dyDescent="0.3">
      <c r="I126" s="1">
        <f>0.14*Table11819202310303132353839404148111518202843[[#This Row],[النولون]]</f>
        <v>0</v>
      </c>
      <c r="K12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26" s="1">
        <f>M125+Table11819202310303132353839404148111518202843[[#This Row],[اجمالي الفاتوره]]-Table11819202310303132353839404148111518202843[[#This Row],[الدفعات]]</f>
        <v>40931.380000000005</v>
      </c>
      <c r="O126" s="48"/>
    </row>
    <row r="127" spans="9:15" ht="24.6" customHeight="1" x14ac:dyDescent="0.3">
      <c r="I127" s="1">
        <f>0.14*Table11819202310303132353839404148111518202843[[#This Row],[النولون]]</f>
        <v>0</v>
      </c>
      <c r="K12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27" s="1">
        <f>M126+Table11819202310303132353839404148111518202843[[#This Row],[اجمالي الفاتوره]]-Table11819202310303132353839404148111518202843[[#This Row],[الدفعات]]</f>
        <v>40931.380000000005</v>
      </c>
      <c r="O127" s="48"/>
    </row>
    <row r="128" spans="9:15" ht="24.6" customHeight="1" x14ac:dyDescent="0.3">
      <c r="I128" s="1">
        <f>0.14*Table11819202310303132353839404148111518202843[[#This Row],[النولون]]</f>
        <v>0</v>
      </c>
      <c r="K12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28" s="1">
        <f>M127+Table11819202310303132353839404148111518202843[[#This Row],[اجمالي الفاتوره]]-Table11819202310303132353839404148111518202843[[#This Row],[الدفعات]]</f>
        <v>40931.380000000005</v>
      </c>
      <c r="O128" s="48"/>
    </row>
    <row r="129" spans="1:15" ht="24.6" customHeight="1" x14ac:dyDescent="0.3">
      <c r="I129" s="1">
        <f>0.14*Table11819202310303132353839404148111518202843[[#This Row],[النولون]]</f>
        <v>0</v>
      </c>
      <c r="K12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29" s="1">
        <f>M128+Table11819202310303132353839404148111518202843[[#This Row],[اجمالي الفاتوره]]-Table11819202310303132353839404148111518202843[[#This Row],[الدفعات]]</f>
        <v>40931.380000000005</v>
      </c>
      <c r="O129" s="48"/>
    </row>
    <row r="130" spans="1:15" ht="24.6" customHeight="1" x14ac:dyDescent="0.3">
      <c r="I130" s="1">
        <f>0.14*Table11819202310303132353839404148111518202843[[#This Row],[النولون]]</f>
        <v>0</v>
      </c>
      <c r="K13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30" s="1">
        <f>M129+Table11819202310303132353839404148111518202843[[#This Row],[اجمالي الفاتوره]]-Table11819202310303132353839404148111518202843[[#This Row],[الدفعات]]</f>
        <v>40931.380000000005</v>
      </c>
      <c r="O130" s="48"/>
    </row>
    <row r="131" spans="1:15" ht="24.6" customHeight="1" x14ac:dyDescent="0.3">
      <c r="I131" s="1">
        <f>0.14*Table11819202310303132353839404148111518202843[[#This Row],[النولون]]</f>
        <v>0</v>
      </c>
      <c r="K13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31" s="1">
        <f>M130+Table11819202310303132353839404148111518202843[[#This Row],[اجمالي الفاتوره]]-Table11819202310303132353839404148111518202843[[#This Row],[الدفعات]]</f>
        <v>40931.380000000005</v>
      </c>
      <c r="O131" s="48"/>
    </row>
    <row r="132" spans="1:15" ht="24.6" customHeight="1" x14ac:dyDescent="0.3">
      <c r="I132" s="1">
        <f>0.14*Table11819202310303132353839404148111518202843[[#This Row],[النولون]]</f>
        <v>0</v>
      </c>
      <c r="K13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32" s="1">
        <f>M131+Table11819202310303132353839404148111518202843[[#This Row],[اجمالي الفاتوره]]-Table11819202310303132353839404148111518202843[[#This Row],[الدفعات]]</f>
        <v>40931.380000000005</v>
      </c>
      <c r="O132" s="48"/>
    </row>
    <row r="133" spans="1:15" ht="24.6" customHeight="1" x14ac:dyDescent="0.3">
      <c r="I133" s="1">
        <f>0.14*Table11819202310303132353839404148111518202843[[#This Row],[النولون]]</f>
        <v>0</v>
      </c>
      <c r="K13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33" s="1">
        <f>M132+Table11819202310303132353839404148111518202843[[#This Row],[اجمالي الفاتوره]]-Table11819202310303132353839404148111518202843[[#This Row],[الدفعات]]</f>
        <v>40931.380000000005</v>
      </c>
      <c r="O133" s="48"/>
    </row>
    <row r="134" spans="1:15" ht="24.6" customHeight="1" x14ac:dyDescent="0.3">
      <c r="I134" s="1">
        <f>0.14*Table11819202310303132353839404148111518202843[[#This Row],[النولون]]</f>
        <v>0</v>
      </c>
      <c r="K13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34" s="1">
        <f>M133+Table11819202310303132353839404148111518202843[[#This Row],[اجمالي الفاتوره]]-Table11819202310303132353839404148111518202843[[#This Row],[الدفعات]]</f>
        <v>40931.380000000005</v>
      </c>
      <c r="O134" s="48"/>
    </row>
    <row r="135" spans="1:15" ht="24.6" customHeight="1" x14ac:dyDescent="0.3">
      <c r="I135" s="1">
        <f>0.14*Table11819202310303132353839404148111518202843[[#This Row],[النولون]]</f>
        <v>0</v>
      </c>
      <c r="K13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35" s="1">
        <f>M134+Table11819202310303132353839404148111518202843[[#This Row],[اجمالي الفاتوره]]-Table11819202310303132353839404148111518202843[[#This Row],[الدفعات]]</f>
        <v>40931.380000000005</v>
      </c>
      <c r="O135" s="48"/>
    </row>
    <row r="136" spans="1:15" ht="24.6" customHeight="1" x14ac:dyDescent="0.3">
      <c r="I136" s="1">
        <f>0.14*Table11819202310303132353839404148111518202843[[#This Row],[النولون]]</f>
        <v>0</v>
      </c>
      <c r="K13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36" s="1">
        <f>M135+Table11819202310303132353839404148111518202843[[#This Row],[اجمالي الفاتوره]]-Table11819202310303132353839404148111518202843[[#This Row],[الدفعات]]</f>
        <v>40931.380000000005</v>
      </c>
      <c r="O136" s="48"/>
    </row>
    <row r="137" spans="1:15" ht="24.6" customHeight="1" x14ac:dyDescent="0.3">
      <c r="I137" s="1">
        <f>0.14*Table11819202310303132353839404148111518202843[[#This Row],[النولون]]</f>
        <v>0</v>
      </c>
      <c r="K13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37" s="1">
        <f>M136+Table11819202310303132353839404148111518202843[[#This Row],[اجمالي الفاتوره]]-Table11819202310303132353839404148111518202843[[#This Row],[الدفعات]]</f>
        <v>40931.380000000005</v>
      </c>
      <c r="O137" s="48"/>
    </row>
    <row r="138" spans="1:15" ht="24.6" customHeight="1" x14ac:dyDescent="0.3">
      <c r="I138" s="1">
        <f>0.14*Table11819202310303132353839404148111518202843[[#This Row],[النولون]]</f>
        <v>0</v>
      </c>
      <c r="K13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38" s="1">
        <f>M137+Table11819202310303132353839404148111518202843[[#This Row],[اجمالي الفاتوره]]-Table11819202310303132353839404148111518202843[[#This Row],[الدفعات]]</f>
        <v>40931.380000000005</v>
      </c>
      <c r="O138" s="48"/>
    </row>
    <row r="139" spans="1:15" ht="24.6" customHeight="1" x14ac:dyDescent="0.3">
      <c r="I139" s="1">
        <f>0.14*Table11819202310303132353839404148111518202843[[#This Row],[النولون]]</f>
        <v>0</v>
      </c>
      <c r="K13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39" s="1">
        <f>M138+Table11819202310303132353839404148111518202843[[#This Row],[اجمالي الفاتوره]]-Table11819202310303132353839404148111518202843[[#This Row],[الدفعات]]</f>
        <v>40931.380000000005</v>
      </c>
      <c r="O139" s="48"/>
    </row>
    <row r="140" spans="1:15" ht="24.6" customHeight="1" x14ac:dyDescent="0.3">
      <c r="I140" s="1">
        <f>0.14*Table11819202310303132353839404148111518202843[[#This Row],[النولون]]</f>
        <v>0</v>
      </c>
      <c r="K14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40" s="1">
        <f>M139+Table11819202310303132353839404148111518202843[[#This Row],[اجمالي الفاتوره]]-Table11819202310303132353839404148111518202843[[#This Row],[الدفعات]]</f>
        <v>40931.380000000005</v>
      </c>
      <c r="O140" s="48"/>
    </row>
    <row r="141" spans="1:15" ht="24.6" customHeight="1" x14ac:dyDescent="0.3">
      <c r="A141" s="1"/>
      <c r="I141" s="1">
        <f>0.14*Table11819202310303132353839404148111518202843[[#This Row],[النولون]]</f>
        <v>0</v>
      </c>
      <c r="K14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41" s="1">
        <f>M140+Table11819202310303132353839404148111518202843[[#This Row],[اجمالي الفاتوره]]-Table11819202310303132353839404148111518202843[[#This Row],[الدفعات]]</f>
        <v>40931.380000000005</v>
      </c>
      <c r="O141" s="48"/>
    </row>
    <row r="142" spans="1:15" ht="24.6" customHeight="1" x14ac:dyDescent="0.3">
      <c r="A142" s="1"/>
      <c r="I142" s="1">
        <f>0.14*Table11819202310303132353839404148111518202843[[#This Row],[النولون]]</f>
        <v>0</v>
      </c>
      <c r="K14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42" s="1">
        <f>M141+Table11819202310303132353839404148111518202843[[#This Row],[اجمالي الفاتوره]]-Table11819202310303132353839404148111518202843[[#This Row],[الدفعات]]</f>
        <v>40931.380000000005</v>
      </c>
      <c r="O142" s="48"/>
    </row>
    <row r="143" spans="1:15" ht="24.6" customHeight="1" x14ac:dyDescent="0.3">
      <c r="A143" s="1"/>
      <c r="I143" s="1">
        <f>0.14*Table11819202310303132353839404148111518202843[[#This Row],[النولون]]</f>
        <v>0</v>
      </c>
      <c r="K14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43" s="1">
        <f>M142+Table11819202310303132353839404148111518202843[[#This Row],[اجمالي الفاتوره]]-Table11819202310303132353839404148111518202843[[#This Row],[الدفعات]]</f>
        <v>40931.380000000005</v>
      </c>
      <c r="O143" s="48"/>
    </row>
    <row r="144" spans="1:15" ht="24.6" customHeight="1" x14ac:dyDescent="0.3">
      <c r="A144" s="1"/>
      <c r="I144" s="1">
        <f>0.14*Table11819202310303132353839404148111518202843[[#This Row],[النولون]]</f>
        <v>0</v>
      </c>
      <c r="K14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44" s="1">
        <f>M143+Table11819202310303132353839404148111518202843[[#This Row],[اجمالي الفاتوره]]-Table11819202310303132353839404148111518202843[[#This Row],[الدفعات]]</f>
        <v>40931.380000000005</v>
      </c>
      <c r="O144" s="48"/>
    </row>
    <row r="145" spans="1:15" ht="24.6" customHeight="1" x14ac:dyDescent="0.3">
      <c r="A145" s="1"/>
      <c r="I145" s="1">
        <f>0.14*Table11819202310303132353839404148111518202843[[#This Row],[النولون]]</f>
        <v>0</v>
      </c>
      <c r="K14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45" s="1">
        <f>M144+Table11819202310303132353839404148111518202843[[#This Row],[اجمالي الفاتوره]]-Table11819202310303132353839404148111518202843[[#This Row],[الدفعات]]</f>
        <v>40931.380000000005</v>
      </c>
      <c r="O145" s="48"/>
    </row>
    <row r="146" spans="1:15" ht="24.6" customHeight="1" x14ac:dyDescent="0.3">
      <c r="A146" s="1"/>
      <c r="I146" s="1">
        <f>0.14*Table11819202310303132353839404148111518202843[[#This Row],[النولون]]</f>
        <v>0</v>
      </c>
      <c r="K14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46" s="1">
        <f>M145+Table11819202310303132353839404148111518202843[[#This Row],[اجمالي الفاتوره]]-Table11819202310303132353839404148111518202843[[#This Row],[الدفعات]]</f>
        <v>40931.380000000005</v>
      </c>
      <c r="O146" s="48"/>
    </row>
    <row r="147" spans="1:15" ht="24.6" customHeight="1" x14ac:dyDescent="0.3">
      <c r="A147" s="1"/>
      <c r="I147" s="1">
        <f>0.14*Table11819202310303132353839404148111518202843[[#This Row],[النولون]]</f>
        <v>0</v>
      </c>
      <c r="K14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47" s="1">
        <f>M146+Table11819202310303132353839404148111518202843[[#This Row],[اجمالي الفاتوره]]-Table11819202310303132353839404148111518202843[[#This Row],[الدفعات]]</f>
        <v>40931.380000000005</v>
      </c>
      <c r="O147" s="48"/>
    </row>
    <row r="148" spans="1:15" ht="24.6" customHeight="1" x14ac:dyDescent="0.3">
      <c r="A148" s="1"/>
      <c r="I148" s="1">
        <f>0.14*Table11819202310303132353839404148111518202843[[#This Row],[النولون]]</f>
        <v>0</v>
      </c>
      <c r="K14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48" s="1">
        <f>M147+Table11819202310303132353839404148111518202843[[#This Row],[اجمالي الفاتوره]]-Table11819202310303132353839404148111518202843[[#This Row],[الدفعات]]</f>
        <v>40931.380000000005</v>
      </c>
      <c r="O148" s="48"/>
    </row>
    <row r="149" spans="1:15" ht="24.6" customHeight="1" x14ac:dyDescent="0.3">
      <c r="A149" s="1"/>
      <c r="I149" s="1">
        <f>0.14*Table11819202310303132353839404148111518202843[[#This Row],[النولون]]</f>
        <v>0</v>
      </c>
      <c r="K14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49" s="1">
        <f>M148+Table11819202310303132353839404148111518202843[[#This Row],[اجمالي الفاتوره]]-Table11819202310303132353839404148111518202843[[#This Row],[الدفعات]]</f>
        <v>40931.380000000005</v>
      </c>
      <c r="O149" s="48"/>
    </row>
    <row r="150" spans="1:15" ht="24.6" customHeight="1" x14ac:dyDescent="0.3">
      <c r="A150" s="1"/>
      <c r="I150" s="1">
        <f>0.14*Table11819202310303132353839404148111518202843[[#This Row],[النولون]]</f>
        <v>0</v>
      </c>
      <c r="K15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50" s="1">
        <f>M149+Table11819202310303132353839404148111518202843[[#This Row],[اجمالي الفاتوره]]-Table11819202310303132353839404148111518202843[[#This Row],[الدفعات]]</f>
        <v>40931.380000000005</v>
      </c>
      <c r="O150" s="48"/>
    </row>
    <row r="151" spans="1:15" ht="24.6" customHeight="1" x14ac:dyDescent="0.3">
      <c r="A151" s="1"/>
      <c r="I151" s="1">
        <f>0.14*Table11819202310303132353839404148111518202843[[#This Row],[النولون]]</f>
        <v>0</v>
      </c>
      <c r="K15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51" s="1">
        <f>M150+Table11819202310303132353839404148111518202843[[#This Row],[اجمالي الفاتوره]]-Table11819202310303132353839404148111518202843[[#This Row],[الدفعات]]</f>
        <v>40931.380000000005</v>
      </c>
      <c r="O151" s="48"/>
    </row>
    <row r="152" spans="1:15" ht="24.6" customHeight="1" x14ac:dyDescent="0.3">
      <c r="A152" s="1"/>
      <c r="I152" s="1">
        <f>0.14*Table11819202310303132353839404148111518202843[[#This Row],[النولون]]</f>
        <v>0</v>
      </c>
      <c r="K15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52" s="1">
        <f>M151+Table11819202310303132353839404148111518202843[[#This Row],[اجمالي الفاتوره]]-Table11819202310303132353839404148111518202843[[#This Row],[الدفعات]]</f>
        <v>40931.380000000005</v>
      </c>
      <c r="O152" s="48"/>
    </row>
    <row r="153" spans="1:15" ht="24.6" customHeight="1" x14ac:dyDescent="0.3">
      <c r="A153" s="1"/>
      <c r="I153" s="1">
        <f>0.14*Table11819202310303132353839404148111518202843[[#This Row],[النولون]]</f>
        <v>0</v>
      </c>
      <c r="K15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53" s="1">
        <f>M152+Table11819202310303132353839404148111518202843[[#This Row],[اجمالي الفاتوره]]-Table11819202310303132353839404148111518202843[[#This Row],[الدفعات]]</f>
        <v>40931.380000000005</v>
      </c>
      <c r="O153" s="48"/>
    </row>
    <row r="154" spans="1:15" ht="24.6" customHeight="1" x14ac:dyDescent="0.3">
      <c r="A154" s="1"/>
      <c r="I154" s="1">
        <f>0.14*Table11819202310303132353839404148111518202843[[#This Row],[النولون]]</f>
        <v>0</v>
      </c>
      <c r="K15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54" s="1">
        <f>M153+Table11819202310303132353839404148111518202843[[#This Row],[اجمالي الفاتوره]]-Table11819202310303132353839404148111518202843[[#This Row],[الدفعات]]</f>
        <v>40931.380000000005</v>
      </c>
      <c r="O154" s="48"/>
    </row>
    <row r="155" spans="1:15" ht="24.6" customHeight="1" x14ac:dyDescent="0.3">
      <c r="A155" s="1"/>
      <c r="I155" s="1">
        <f>0.14*Table11819202310303132353839404148111518202843[[#This Row],[النولون]]</f>
        <v>0</v>
      </c>
      <c r="K15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55" s="1">
        <f>M154+Table11819202310303132353839404148111518202843[[#This Row],[اجمالي الفاتوره]]-Table11819202310303132353839404148111518202843[[#This Row],[الدفعات]]</f>
        <v>40931.380000000005</v>
      </c>
      <c r="O155" s="48"/>
    </row>
    <row r="156" spans="1:15" ht="24.6" customHeight="1" x14ac:dyDescent="0.3">
      <c r="A156" s="1"/>
      <c r="I156" s="1">
        <f>0.14*Table11819202310303132353839404148111518202843[[#This Row],[النولون]]</f>
        <v>0</v>
      </c>
      <c r="K15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56" s="1">
        <f>M155+Table11819202310303132353839404148111518202843[[#This Row],[اجمالي الفاتوره]]-Table11819202310303132353839404148111518202843[[#This Row],[الدفعات]]</f>
        <v>40931.380000000005</v>
      </c>
      <c r="O156" s="48"/>
    </row>
    <row r="157" spans="1:15" ht="24.6" customHeight="1" x14ac:dyDescent="0.3">
      <c r="A157" s="1"/>
      <c r="I157" s="1">
        <f>0.14*Table11819202310303132353839404148111518202843[[#This Row],[النولون]]</f>
        <v>0</v>
      </c>
      <c r="K15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57" s="1">
        <f>M156+Table11819202310303132353839404148111518202843[[#This Row],[اجمالي الفاتوره]]-Table11819202310303132353839404148111518202843[[#This Row],[الدفعات]]</f>
        <v>40931.380000000005</v>
      </c>
      <c r="O157" s="48"/>
    </row>
    <row r="158" spans="1:15" ht="24.6" customHeight="1" x14ac:dyDescent="0.3">
      <c r="A158" s="1"/>
      <c r="I158" s="1">
        <f>0.14*Table11819202310303132353839404148111518202843[[#This Row],[النولون]]</f>
        <v>0</v>
      </c>
      <c r="K15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58" s="1">
        <f>M157+Table11819202310303132353839404148111518202843[[#This Row],[اجمالي الفاتوره]]-Table11819202310303132353839404148111518202843[[#This Row],[الدفعات]]</f>
        <v>40931.380000000005</v>
      </c>
      <c r="O158" s="48"/>
    </row>
    <row r="159" spans="1:15" ht="24.6" customHeight="1" x14ac:dyDescent="0.3">
      <c r="A159" s="1"/>
      <c r="I159" s="1">
        <f>0.14*Table11819202310303132353839404148111518202843[[#This Row],[النولون]]</f>
        <v>0</v>
      </c>
      <c r="K15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59" s="1">
        <f>M158+Table11819202310303132353839404148111518202843[[#This Row],[اجمالي الفاتوره]]-Table11819202310303132353839404148111518202843[[#This Row],[الدفعات]]</f>
        <v>40931.380000000005</v>
      </c>
      <c r="O159" s="48"/>
    </row>
    <row r="160" spans="1:15" ht="24.6" customHeight="1" x14ac:dyDescent="0.3">
      <c r="A160" s="1"/>
      <c r="I160" s="1">
        <f>0.14*Table11819202310303132353839404148111518202843[[#This Row],[النولون]]</f>
        <v>0</v>
      </c>
      <c r="K16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60" s="1">
        <f>M159+Table11819202310303132353839404148111518202843[[#This Row],[اجمالي الفاتوره]]-Table11819202310303132353839404148111518202843[[#This Row],[الدفعات]]</f>
        <v>40931.380000000005</v>
      </c>
      <c r="O160" s="48"/>
    </row>
    <row r="161" spans="1:15" ht="24.6" customHeight="1" x14ac:dyDescent="0.3">
      <c r="A161" s="1"/>
      <c r="I161" s="1">
        <f>0.14*Table11819202310303132353839404148111518202843[[#This Row],[النولون]]</f>
        <v>0</v>
      </c>
      <c r="K16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61" s="1">
        <f>M160+Table11819202310303132353839404148111518202843[[#This Row],[اجمالي الفاتوره]]-Table11819202310303132353839404148111518202843[[#This Row],[الدفعات]]</f>
        <v>40931.380000000005</v>
      </c>
      <c r="O161" s="48"/>
    </row>
    <row r="162" spans="1:15" ht="24.6" customHeight="1" x14ac:dyDescent="0.3">
      <c r="A162" s="1"/>
      <c r="I162" s="1">
        <f>0.14*Table11819202310303132353839404148111518202843[[#This Row],[النولون]]</f>
        <v>0</v>
      </c>
      <c r="K16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62" s="1">
        <f>M161+Table11819202310303132353839404148111518202843[[#This Row],[اجمالي الفاتوره]]-Table11819202310303132353839404148111518202843[[#This Row],[الدفعات]]</f>
        <v>40931.380000000005</v>
      </c>
      <c r="O162" s="48"/>
    </row>
    <row r="163" spans="1:15" ht="24.6" customHeight="1" x14ac:dyDescent="0.3">
      <c r="A163" s="1"/>
      <c r="I163" s="1">
        <f>0.14*Table11819202310303132353839404148111518202843[[#This Row],[النولون]]</f>
        <v>0</v>
      </c>
      <c r="K16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63" s="1">
        <f>M162+Table11819202310303132353839404148111518202843[[#This Row],[اجمالي الفاتوره]]-Table11819202310303132353839404148111518202843[[#This Row],[الدفعات]]</f>
        <v>40931.380000000005</v>
      </c>
      <c r="O163" s="48"/>
    </row>
    <row r="164" spans="1:15" ht="24.6" customHeight="1" x14ac:dyDescent="0.3">
      <c r="A164" s="1"/>
      <c r="I164" s="1">
        <f>0.14*Table11819202310303132353839404148111518202843[[#This Row],[النولون]]</f>
        <v>0</v>
      </c>
      <c r="K16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64" s="1">
        <f>M163+Table11819202310303132353839404148111518202843[[#This Row],[اجمالي الفاتوره]]-Table11819202310303132353839404148111518202843[[#This Row],[الدفعات]]</f>
        <v>40931.380000000005</v>
      </c>
      <c r="O164" s="48"/>
    </row>
    <row r="165" spans="1:15" ht="24.6" customHeight="1" x14ac:dyDescent="0.3">
      <c r="A165" s="1"/>
      <c r="I165" s="1">
        <f>0.14*Table11819202310303132353839404148111518202843[[#This Row],[النولون]]</f>
        <v>0</v>
      </c>
      <c r="K16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65" s="1">
        <f>M164+Table11819202310303132353839404148111518202843[[#This Row],[اجمالي الفاتوره]]-Table11819202310303132353839404148111518202843[[#This Row],[الدفعات]]</f>
        <v>40931.380000000005</v>
      </c>
      <c r="O165" s="48"/>
    </row>
    <row r="166" spans="1:15" ht="24.6" customHeight="1" x14ac:dyDescent="0.3">
      <c r="A166" s="1"/>
      <c r="I166" s="1">
        <f>0.14*Table11819202310303132353839404148111518202843[[#This Row],[النولون]]</f>
        <v>0</v>
      </c>
      <c r="K16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66" s="1">
        <f>M165+Table11819202310303132353839404148111518202843[[#This Row],[اجمالي الفاتوره]]-Table11819202310303132353839404148111518202843[[#This Row],[الدفعات]]</f>
        <v>40931.380000000005</v>
      </c>
      <c r="O166" s="48"/>
    </row>
    <row r="167" spans="1:15" ht="24.6" customHeight="1" x14ac:dyDescent="0.3">
      <c r="A167" s="1"/>
      <c r="I167" s="1">
        <f>0.14*Table11819202310303132353839404148111518202843[[#This Row],[النولون]]</f>
        <v>0</v>
      </c>
      <c r="K16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67" s="1">
        <f>M166+Table11819202310303132353839404148111518202843[[#This Row],[اجمالي الفاتوره]]-Table11819202310303132353839404148111518202843[[#This Row],[الدفعات]]</f>
        <v>40931.380000000005</v>
      </c>
      <c r="O167" s="48"/>
    </row>
    <row r="168" spans="1:15" ht="24.6" customHeight="1" x14ac:dyDescent="0.3">
      <c r="A168" s="1"/>
      <c r="I168" s="1">
        <f>0.14*Table11819202310303132353839404148111518202843[[#This Row],[النولون]]</f>
        <v>0</v>
      </c>
      <c r="K16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68" s="1">
        <f>M167+Table11819202310303132353839404148111518202843[[#This Row],[اجمالي الفاتوره]]-Table11819202310303132353839404148111518202843[[#This Row],[الدفعات]]</f>
        <v>40931.380000000005</v>
      </c>
      <c r="O168" s="48"/>
    </row>
    <row r="169" spans="1:15" ht="24.6" customHeight="1" x14ac:dyDescent="0.3">
      <c r="A169" s="1"/>
      <c r="I169" s="1">
        <f>0.14*Table11819202310303132353839404148111518202843[[#This Row],[النولون]]</f>
        <v>0</v>
      </c>
      <c r="K16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69" s="1">
        <f>M168+Table11819202310303132353839404148111518202843[[#This Row],[اجمالي الفاتوره]]-Table11819202310303132353839404148111518202843[[#This Row],[الدفعات]]</f>
        <v>40931.380000000005</v>
      </c>
      <c r="O169" s="48"/>
    </row>
    <row r="170" spans="1:15" ht="24.6" customHeight="1" x14ac:dyDescent="0.3">
      <c r="A170" s="1"/>
      <c r="I170" s="1">
        <f>0.14*Table11819202310303132353839404148111518202843[[#This Row],[النولون]]</f>
        <v>0</v>
      </c>
      <c r="K17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70" s="1">
        <f>M169+Table11819202310303132353839404148111518202843[[#This Row],[اجمالي الفاتوره]]-Table11819202310303132353839404148111518202843[[#This Row],[الدفعات]]</f>
        <v>40931.380000000005</v>
      </c>
      <c r="O170" s="48"/>
    </row>
    <row r="171" spans="1:15" ht="24.6" customHeight="1" x14ac:dyDescent="0.3">
      <c r="A171" s="1"/>
      <c r="I171" s="1">
        <f>0.14*Table11819202310303132353839404148111518202843[[#This Row],[النولون]]</f>
        <v>0</v>
      </c>
      <c r="K17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71" s="1">
        <f>M170+Table11819202310303132353839404148111518202843[[#This Row],[اجمالي الفاتوره]]-Table11819202310303132353839404148111518202843[[#This Row],[الدفعات]]</f>
        <v>40931.380000000005</v>
      </c>
      <c r="O171" s="48"/>
    </row>
    <row r="172" spans="1:15" ht="24.6" customHeight="1" x14ac:dyDescent="0.3">
      <c r="A172" s="1"/>
      <c r="I172" s="1">
        <f>0.14*Table11819202310303132353839404148111518202843[[#This Row],[النولون]]</f>
        <v>0</v>
      </c>
      <c r="K17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72" s="1">
        <f>M171+Table11819202310303132353839404148111518202843[[#This Row],[اجمالي الفاتوره]]-Table11819202310303132353839404148111518202843[[#This Row],[الدفعات]]</f>
        <v>40931.380000000005</v>
      </c>
      <c r="O172" s="48"/>
    </row>
    <row r="173" spans="1:15" ht="24.6" customHeight="1" x14ac:dyDescent="0.3">
      <c r="A173" s="1"/>
      <c r="I173" s="1">
        <f>0.14*Table11819202310303132353839404148111518202843[[#This Row],[النولون]]</f>
        <v>0</v>
      </c>
      <c r="K17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73" s="1">
        <f>M172+Table11819202310303132353839404148111518202843[[#This Row],[اجمالي الفاتوره]]-Table11819202310303132353839404148111518202843[[#This Row],[الدفعات]]</f>
        <v>40931.380000000005</v>
      </c>
      <c r="O173" s="48"/>
    </row>
    <row r="174" spans="1:15" ht="24.6" customHeight="1" x14ac:dyDescent="0.3">
      <c r="A174" s="1"/>
      <c r="I174" s="1">
        <f>0.14*Table11819202310303132353839404148111518202843[[#This Row],[النولون]]</f>
        <v>0</v>
      </c>
      <c r="K17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74" s="1">
        <f>M173+Table11819202310303132353839404148111518202843[[#This Row],[اجمالي الفاتوره]]-Table11819202310303132353839404148111518202843[[#This Row],[الدفعات]]</f>
        <v>40931.380000000005</v>
      </c>
      <c r="O174" s="48"/>
    </row>
    <row r="175" spans="1:15" ht="24.6" customHeight="1" x14ac:dyDescent="0.3">
      <c r="A175" s="1"/>
      <c r="I175" s="1">
        <f>0.14*Table11819202310303132353839404148111518202843[[#This Row],[النولون]]</f>
        <v>0</v>
      </c>
      <c r="K17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75" s="1">
        <f>M174+Table11819202310303132353839404148111518202843[[#This Row],[اجمالي الفاتوره]]-Table11819202310303132353839404148111518202843[[#This Row],[الدفعات]]</f>
        <v>40931.380000000005</v>
      </c>
      <c r="O175" s="48"/>
    </row>
    <row r="176" spans="1:15" ht="24.6" customHeight="1" x14ac:dyDescent="0.3">
      <c r="A176" s="1"/>
      <c r="I176" s="1">
        <f>0.14*Table11819202310303132353839404148111518202843[[#This Row],[النولون]]</f>
        <v>0</v>
      </c>
      <c r="K17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76" s="1">
        <f>M175+Table11819202310303132353839404148111518202843[[#This Row],[اجمالي الفاتوره]]-Table11819202310303132353839404148111518202843[[#This Row],[الدفعات]]</f>
        <v>40931.380000000005</v>
      </c>
      <c r="O176" s="48"/>
    </row>
    <row r="177" spans="1:15" ht="24.6" customHeight="1" x14ac:dyDescent="0.3">
      <c r="A177" s="1"/>
      <c r="I177" s="1">
        <f>0.14*Table11819202310303132353839404148111518202843[[#This Row],[النولون]]</f>
        <v>0</v>
      </c>
      <c r="K17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77" s="1">
        <f>M176+Table11819202310303132353839404148111518202843[[#This Row],[اجمالي الفاتوره]]-Table11819202310303132353839404148111518202843[[#This Row],[الدفعات]]</f>
        <v>40931.380000000005</v>
      </c>
      <c r="O177" s="48"/>
    </row>
    <row r="178" spans="1:15" ht="24.6" customHeight="1" x14ac:dyDescent="0.3">
      <c r="A178" s="1"/>
      <c r="I178" s="1">
        <f>0.14*Table11819202310303132353839404148111518202843[[#This Row],[النولون]]</f>
        <v>0</v>
      </c>
      <c r="K17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78" s="1">
        <f>M177+Table11819202310303132353839404148111518202843[[#This Row],[اجمالي الفاتوره]]-Table11819202310303132353839404148111518202843[[#This Row],[الدفعات]]</f>
        <v>40931.380000000005</v>
      </c>
      <c r="O178" s="48"/>
    </row>
    <row r="179" spans="1:15" ht="24.6" customHeight="1" x14ac:dyDescent="0.3">
      <c r="A179" s="1"/>
      <c r="I179" s="1">
        <f>0.14*Table11819202310303132353839404148111518202843[[#This Row],[النولون]]</f>
        <v>0</v>
      </c>
      <c r="K17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79" s="1">
        <f>M178+Table11819202310303132353839404148111518202843[[#This Row],[اجمالي الفاتوره]]-Table11819202310303132353839404148111518202843[[#This Row],[الدفعات]]</f>
        <v>40931.380000000005</v>
      </c>
      <c r="O179" s="48"/>
    </row>
    <row r="180" spans="1:15" ht="24.6" customHeight="1" x14ac:dyDescent="0.3">
      <c r="A180" s="1"/>
      <c r="I180" s="1">
        <f>0.14*Table11819202310303132353839404148111518202843[[#This Row],[النولون]]</f>
        <v>0</v>
      </c>
      <c r="K18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80" s="1">
        <f>M179+Table11819202310303132353839404148111518202843[[#This Row],[اجمالي الفاتوره]]-Table11819202310303132353839404148111518202843[[#This Row],[الدفعات]]</f>
        <v>40931.380000000005</v>
      </c>
      <c r="O180" s="48"/>
    </row>
    <row r="181" spans="1:15" ht="24.6" customHeight="1" x14ac:dyDescent="0.3">
      <c r="A181" s="1"/>
      <c r="I181" s="1">
        <f>0.14*Table11819202310303132353839404148111518202843[[#This Row],[النولون]]</f>
        <v>0</v>
      </c>
      <c r="K18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81" s="1">
        <f>M180+Table11819202310303132353839404148111518202843[[#This Row],[اجمالي الفاتوره]]-Table11819202310303132353839404148111518202843[[#This Row],[الدفعات]]</f>
        <v>40931.380000000005</v>
      </c>
      <c r="O181" s="48"/>
    </row>
    <row r="182" spans="1:15" ht="24.6" customHeight="1" x14ac:dyDescent="0.3">
      <c r="A182" s="1"/>
      <c r="I182" s="1">
        <f>0.14*Table11819202310303132353839404148111518202843[[#This Row],[النولون]]</f>
        <v>0</v>
      </c>
      <c r="K18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82" s="1">
        <f>M181+Table11819202310303132353839404148111518202843[[#This Row],[اجمالي الفاتوره]]-Table11819202310303132353839404148111518202843[[#This Row],[الدفعات]]</f>
        <v>40931.380000000005</v>
      </c>
      <c r="O182" s="48"/>
    </row>
    <row r="183" spans="1:15" ht="24.6" customHeight="1" x14ac:dyDescent="0.3">
      <c r="A183" s="1"/>
      <c r="I183" s="1">
        <f>0.14*Table11819202310303132353839404148111518202843[[#This Row],[النولون]]</f>
        <v>0</v>
      </c>
      <c r="K18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83" s="1">
        <f>M182+Table11819202310303132353839404148111518202843[[#This Row],[اجمالي الفاتوره]]-Table11819202310303132353839404148111518202843[[#This Row],[الدفعات]]</f>
        <v>40931.380000000005</v>
      </c>
      <c r="O183" s="48"/>
    </row>
    <row r="184" spans="1:15" ht="24.6" customHeight="1" x14ac:dyDescent="0.3">
      <c r="A184" s="1"/>
      <c r="I184" s="1">
        <f>0.14*Table11819202310303132353839404148111518202843[[#This Row],[النولون]]</f>
        <v>0</v>
      </c>
      <c r="K18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84" s="1">
        <f>M183+Table11819202310303132353839404148111518202843[[#This Row],[اجمالي الفاتوره]]-Table11819202310303132353839404148111518202843[[#This Row],[الدفعات]]</f>
        <v>40931.380000000005</v>
      </c>
      <c r="O184" s="48"/>
    </row>
    <row r="185" spans="1:15" ht="24.6" customHeight="1" x14ac:dyDescent="0.3">
      <c r="A185" s="1"/>
      <c r="I185" s="1">
        <f>0.14*Table11819202310303132353839404148111518202843[[#This Row],[النولون]]</f>
        <v>0</v>
      </c>
      <c r="K18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85" s="1">
        <f>M184+Table11819202310303132353839404148111518202843[[#This Row],[اجمالي الفاتوره]]-Table11819202310303132353839404148111518202843[[#This Row],[الدفعات]]</f>
        <v>40931.380000000005</v>
      </c>
      <c r="O185" s="48"/>
    </row>
    <row r="186" spans="1:15" ht="24.6" customHeight="1" x14ac:dyDescent="0.3">
      <c r="A186" s="1"/>
      <c r="I186" s="1">
        <f>0.14*Table11819202310303132353839404148111518202843[[#This Row],[النولون]]</f>
        <v>0</v>
      </c>
      <c r="K18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86" s="1">
        <f>M185+Table11819202310303132353839404148111518202843[[#This Row],[اجمالي الفاتوره]]-Table11819202310303132353839404148111518202843[[#This Row],[الدفعات]]</f>
        <v>40931.380000000005</v>
      </c>
      <c r="O186" s="48"/>
    </row>
    <row r="187" spans="1:15" ht="24.6" customHeight="1" x14ac:dyDescent="0.3">
      <c r="A187" s="1"/>
      <c r="I187" s="1">
        <f>0.14*Table11819202310303132353839404148111518202843[[#This Row],[النولون]]</f>
        <v>0</v>
      </c>
      <c r="K18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87" s="1">
        <f>M186+Table11819202310303132353839404148111518202843[[#This Row],[اجمالي الفاتوره]]-Table11819202310303132353839404148111518202843[[#This Row],[الدفعات]]</f>
        <v>40931.380000000005</v>
      </c>
      <c r="O187" s="48"/>
    </row>
    <row r="188" spans="1:15" ht="24.6" customHeight="1" x14ac:dyDescent="0.3">
      <c r="A188" s="1"/>
      <c r="I188" s="1">
        <f>0.14*Table11819202310303132353839404148111518202843[[#This Row],[النولون]]</f>
        <v>0</v>
      </c>
      <c r="K18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88" s="1">
        <f>M187+Table11819202310303132353839404148111518202843[[#This Row],[اجمالي الفاتوره]]-Table11819202310303132353839404148111518202843[[#This Row],[الدفعات]]</f>
        <v>40931.380000000005</v>
      </c>
      <c r="O188" s="48"/>
    </row>
    <row r="189" spans="1:15" ht="24.6" customHeight="1" x14ac:dyDescent="0.3">
      <c r="A189" s="1"/>
      <c r="I189" s="1">
        <f>0.14*Table11819202310303132353839404148111518202843[[#This Row],[النولون]]</f>
        <v>0</v>
      </c>
      <c r="K18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89" s="1">
        <f>M188+Table11819202310303132353839404148111518202843[[#This Row],[اجمالي الفاتوره]]-Table11819202310303132353839404148111518202843[[#This Row],[الدفعات]]</f>
        <v>40931.380000000005</v>
      </c>
      <c r="O189" s="48"/>
    </row>
    <row r="190" spans="1:15" ht="24.6" customHeight="1" x14ac:dyDescent="0.3">
      <c r="A190" s="1"/>
      <c r="I190" s="1">
        <f>0.14*Table11819202310303132353839404148111518202843[[#This Row],[النولون]]</f>
        <v>0</v>
      </c>
      <c r="K19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90" s="1">
        <f>M189+Table11819202310303132353839404148111518202843[[#This Row],[اجمالي الفاتوره]]-Table11819202310303132353839404148111518202843[[#This Row],[الدفعات]]</f>
        <v>40931.380000000005</v>
      </c>
      <c r="O190" s="48"/>
    </row>
    <row r="191" spans="1:15" ht="24.6" customHeight="1" x14ac:dyDescent="0.3">
      <c r="A191" s="1"/>
      <c r="I191" s="1">
        <f>0.14*Table11819202310303132353839404148111518202843[[#This Row],[النولون]]</f>
        <v>0</v>
      </c>
      <c r="K19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91" s="1">
        <f>M190+Table11819202310303132353839404148111518202843[[#This Row],[اجمالي الفاتوره]]-Table11819202310303132353839404148111518202843[[#This Row],[الدفعات]]</f>
        <v>40931.380000000005</v>
      </c>
      <c r="O191" s="48"/>
    </row>
    <row r="192" spans="1:15" ht="24.6" customHeight="1" x14ac:dyDescent="0.3">
      <c r="A192" s="1"/>
      <c r="I192" s="1">
        <f>0.14*Table11819202310303132353839404148111518202843[[#This Row],[النولون]]</f>
        <v>0</v>
      </c>
      <c r="K19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92" s="1">
        <f>M191+Table11819202310303132353839404148111518202843[[#This Row],[اجمالي الفاتوره]]-Table11819202310303132353839404148111518202843[[#This Row],[الدفعات]]</f>
        <v>40931.380000000005</v>
      </c>
      <c r="O192" s="48"/>
    </row>
    <row r="193" spans="1:15" ht="24.6" customHeight="1" x14ac:dyDescent="0.3">
      <c r="A193" s="1"/>
      <c r="I193" s="1">
        <f>0.14*Table11819202310303132353839404148111518202843[[#This Row],[النولون]]</f>
        <v>0</v>
      </c>
      <c r="K19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93" s="1">
        <f>M192+Table11819202310303132353839404148111518202843[[#This Row],[اجمالي الفاتوره]]-Table11819202310303132353839404148111518202843[[#This Row],[الدفعات]]</f>
        <v>40931.380000000005</v>
      </c>
      <c r="O193" s="48"/>
    </row>
    <row r="194" spans="1:15" ht="24.6" customHeight="1" x14ac:dyDescent="0.3">
      <c r="A194" s="1"/>
      <c r="I194" s="1">
        <f>0.14*Table11819202310303132353839404148111518202843[[#This Row],[النولون]]</f>
        <v>0</v>
      </c>
      <c r="K19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94" s="1">
        <f>M193+Table11819202310303132353839404148111518202843[[#This Row],[اجمالي الفاتوره]]-Table11819202310303132353839404148111518202843[[#This Row],[الدفعات]]</f>
        <v>40931.380000000005</v>
      </c>
      <c r="O194" s="48"/>
    </row>
    <row r="195" spans="1:15" ht="24.6" customHeight="1" x14ac:dyDescent="0.3">
      <c r="A195" s="1"/>
      <c r="I195" s="1">
        <f>0.14*Table11819202310303132353839404148111518202843[[#This Row],[النولون]]</f>
        <v>0</v>
      </c>
      <c r="K19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95" s="1">
        <f>M194+Table11819202310303132353839404148111518202843[[#This Row],[اجمالي الفاتوره]]-Table11819202310303132353839404148111518202843[[#This Row],[الدفعات]]</f>
        <v>40931.380000000005</v>
      </c>
      <c r="O195" s="48"/>
    </row>
    <row r="196" spans="1:15" ht="24.6" customHeight="1" x14ac:dyDescent="0.3">
      <c r="A196" s="1"/>
      <c r="I196" s="1">
        <f>0.14*Table11819202310303132353839404148111518202843[[#This Row],[النولون]]</f>
        <v>0</v>
      </c>
      <c r="K19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96" s="1">
        <f>M195+Table11819202310303132353839404148111518202843[[#This Row],[اجمالي الفاتوره]]-Table11819202310303132353839404148111518202843[[#This Row],[الدفعات]]</f>
        <v>40931.380000000005</v>
      </c>
      <c r="O196" s="48"/>
    </row>
    <row r="197" spans="1:15" ht="24.6" customHeight="1" x14ac:dyDescent="0.3">
      <c r="A197" s="1"/>
      <c r="I197" s="1">
        <f>0.14*Table11819202310303132353839404148111518202843[[#This Row],[النولون]]</f>
        <v>0</v>
      </c>
      <c r="K19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97" s="1">
        <f>M196+Table11819202310303132353839404148111518202843[[#This Row],[اجمالي الفاتوره]]-Table11819202310303132353839404148111518202843[[#This Row],[الدفعات]]</f>
        <v>40931.380000000005</v>
      </c>
      <c r="O197" s="48"/>
    </row>
    <row r="198" spans="1:15" ht="24.6" customHeight="1" x14ac:dyDescent="0.3">
      <c r="A198" s="1"/>
      <c r="I198" s="1">
        <f>0.14*Table11819202310303132353839404148111518202843[[#This Row],[النولون]]</f>
        <v>0</v>
      </c>
      <c r="K19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98" s="1">
        <f>M197+Table11819202310303132353839404148111518202843[[#This Row],[اجمالي الفاتوره]]-Table11819202310303132353839404148111518202843[[#This Row],[الدفعات]]</f>
        <v>40931.380000000005</v>
      </c>
      <c r="O198" s="48"/>
    </row>
    <row r="199" spans="1:15" ht="24.6" customHeight="1" x14ac:dyDescent="0.3">
      <c r="A199" s="1"/>
      <c r="I199" s="1">
        <f>0.14*Table11819202310303132353839404148111518202843[[#This Row],[النولون]]</f>
        <v>0</v>
      </c>
      <c r="K19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199" s="1">
        <f>M198+Table11819202310303132353839404148111518202843[[#This Row],[اجمالي الفاتوره]]-Table11819202310303132353839404148111518202843[[#This Row],[الدفعات]]</f>
        <v>40931.380000000005</v>
      </c>
      <c r="O199" s="48"/>
    </row>
    <row r="200" spans="1:15" ht="24.6" customHeight="1" x14ac:dyDescent="0.3">
      <c r="A200" s="1"/>
      <c r="I200" s="1">
        <f>0.14*Table11819202310303132353839404148111518202843[[#This Row],[النولون]]</f>
        <v>0</v>
      </c>
      <c r="K20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00" s="1">
        <f>M199+Table11819202310303132353839404148111518202843[[#This Row],[اجمالي الفاتوره]]-Table11819202310303132353839404148111518202843[[#This Row],[الدفعات]]</f>
        <v>40931.380000000005</v>
      </c>
      <c r="O200" s="48"/>
    </row>
    <row r="201" spans="1:15" ht="24.6" customHeight="1" x14ac:dyDescent="0.3">
      <c r="A201" s="1"/>
      <c r="I201" s="1">
        <f>0.14*Table11819202310303132353839404148111518202843[[#This Row],[النولون]]</f>
        <v>0</v>
      </c>
      <c r="K20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01" s="1">
        <f>M200+Table11819202310303132353839404148111518202843[[#This Row],[اجمالي الفاتوره]]-Table11819202310303132353839404148111518202843[[#This Row],[الدفعات]]</f>
        <v>40931.380000000005</v>
      </c>
      <c r="O201" s="48"/>
    </row>
    <row r="202" spans="1:15" ht="24.6" customHeight="1" x14ac:dyDescent="0.3">
      <c r="A202" s="1"/>
      <c r="I202" s="1">
        <f>0.14*Table11819202310303132353839404148111518202843[[#This Row],[النولون]]</f>
        <v>0</v>
      </c>
      <c r="K20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02" s="1">
        <f>M201+Table11819202310303132353839404148111518202843[[#This Row],[اجمالي الفاتوره]]-Table11819202310303132353839404148111518202843[[#This Row],[الدفعات]]</f>
        <v>40931.380000000005</v>
      </c>
      <c r="O202" s="48"/>
    </row>
    <row r="203" spans="1:15" ht="24.6" customHeight="1" x14ac:dyDescent="0.3">
      <c r="A203" s="1"/>
      <c r="I203" s="1">
        <f>0.14*Table11819202310303132353839404148111518202843[[#This Row],[النولون]]</f>
        <v>0</v>
      </c>
      <c r="K20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03" s="1">
        <f>M202+Table11819202310303132353839404148111518202843[[#This Row],[اجمالي الفاتوره]]-Table11819202310303132353839404148111518202843[[#This Row],[الدفعات]]</f>
        <v>40931.380000000005</v>
      </c>
      <c r="O203" s="48"/>
    </row>
    <row r="204" spans="1:15" ht="24.6" customHeight="1" x14ac:dyDescent="0.3">
      <c r="A204" s="1"/>
      <c r="I204" s="1">
        <f>0.14*Table11819202310303132353839404148111518202843[[#This Row],[النولون]]</f>
        <v>0</v>
      </c>
      <c r="K20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04" s="1">
        <f>M203+Table11819202310303132353839404148111518202843[[#This Row],[اجمالي الفاتوره]]-Table11819202310303132353839404148111518202843[[#This Row],[الدفعات]]</f>
        <v>40931.380000000005</v>
      </c>
      <c r="O204" s="48"/>
    </row>
    <row r="205" spans="1:15" ht="24.6" customHeight="1" x14ac:dyDescent="0.3">
      <c r="A205" s="1"/>
      <c r="I205" s="1">
        <f>0.14*Table11819202310303132353839404148111518202843[[#This Row],[النولون]]</f>
        <v>0</v>
      </c>
      <c r="K20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05" s="1">
        <f>M204+Table11819202310303132353839404148111518202843[[#This Row],[اجمالي الفاتوره]]-Table11819202310303132353839404148111518202843[[#This Row],[الدفعات]]</f>
        <v>40931.380000000005</v>
      </c>
      <c r="O205" s="48"/>
    </row>
    <row r="206" spans="1:15" ht="24.6" customHeight="1" x14ac:dyDescent="0.3">
      <c r="A206" s="1"/>
      <c r="I206" s="1">
        <f>0.14*Table11819202310303132353839404148111518202843[[#This Row],[النولون]]</f>
        <v>0</v>
      </c>
      <c r="K20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06" s="1">
        <f>M205+Table11819202310303132353839404148111518202843[[#This Row],[اجمالي الفاتوره]]-Table11819202310303132353839404148111518202843[[#This Row],[الدفعات]]</f>
        <v>40931.380000000005</v>
      </c>
      <c r="O206" s="48"/>
    </row>
    <row r="207" spans="1:15" ht="24.6" customHeight="1" x14ac:dyDescent="0.3">
      <c r="A207" s="1"/>
      <c r="I207" s="1">
        <f>0.14*Table11819202310303132353839404148111518202843[[#This Row],[النولون]]</f>
        <v>0</v>
      </c>
      <c r="K20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07" s="1">
        <f>M206+Table11819202310303132353839404148111518202843[[#This Row],[اجمالي الفاتوره]]-Table11819202310303132353839404148111518202843[[#This Row],[الدفعات]]</f>
        <v>40931.380000000005</v>
      </c>
      <c r="O207" s="48"/>
    </row>
    <row r="208" spans="1:15" ht="24.6" customHeight="1" x14ac:dyDescent="0.3">
      <c r="A208" s="1"/>
      <c r="I208" s="1">
        <f>0.14*Table11819202310303132353839404148111518202843[[#This Row],[النولون]]</f>
        <v>0</v>
      </c>
      <c r="K20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08" s="1">
        <f>M207+Table11819202310303132353839404148111518202843[[#This Row],[اجمالي الفاتوره]]-Table11819202310303132353839404148111518202843[[#This Row],[الدفعات]]</f>
        <v>40931.380000000005</v>
      </c>
      <c r="O208" s="48"/>
    </row>
    <row r="209" spans="1:15" ht="24.6" customHeight="1" x14ac:dyDescent="0.3">
      <c r="A209" s="1"/>
      <c r="I209" s="1">
        <f>0.14*Table11819202310303132353839404148111518202843[[#This Row],[النولون]]</f>
        <v>0</v>
      </c>
      <c r="K20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09" s="1">
        <f>M208+Table11819202310303132353839404148111518202843[[#This Row],[اجمالي الفاتوره]]-Table11819202310303132353839404148111518202843[[#This Row],[الدفعات]]</f>
        <v>40931.380000000005</v>
      </c>
      <c r="O209" s="48"/>
    </row>
    <row r="210" spans="1:15" ht="24.6" customHeight="1" x14ac:dyDescent="0.3">
      <c r="A210" s="1"/>
      <c r="I210" s="1">
        <f>0.14*Table11819202310303132353839404148111518202843[[#This Row],[النولون]]</f>
        <v>0</v>
      </c>
      <c r="K21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10" s="1">
        <f>M209+Table11819202310303132353839404148111518202843[[#This Row],[اجمالي الفاتوره]]-Table11819202310303132353839404148111518202843[[#This Row],[الدفعات]]</f>
        <v>40931.380000000005</v>
      </c>
      <c r="O210" s="48"/>
    </row>
    <row r="211" spans="1:15" ht="24.6" customHeight="1" x14ac:dyDescent="0.3">
      <c r="A211" s="1"/>
      <c r="I211" s="1">
        <f>0.14*Table11819202310303132353839404148111518202843[[#This Row],[النولون]]</f>
        <v>0</v>
      </c>
      <c r="K21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11" s="1">
        <f>M210+Table11819202310303132353839404148111518202843[[#This Row],[اجمالي الفاتوره]]-Table11819202310303132353839404148111518202843[[#This Row],[الدفعات]]</f>
        <v>40931.380000000005</v>
      </c>
      <c r="O211" s="48"/>
    </row>
    <row r="212" spans="1:15" ht="24.6" customHeight="1" x14ac:dyDescent="0.3">
      <c r="A212" s="1"/>
      <c r="I212" s="1">
        <f>0.14*Table11819202310303132353839404148111518202843[[#This Row],[النولون]]</f>
        <v>0</v>
      </c>
      <c r="K21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12" s="1">
        <f>M211+Table11819202310303132353839404148111518202843[[#This Row],[اجمالي الفاتوره]]-Table11819202310303132353839404148111518202843[[#This Row],[الدفعات]]</f>
        <v>40931.380000000005</v>
      </c>
      <c r="O212" s="48"/>
    </row>
    <row r="213" spans="1:15" ht="24.6" customHeight="1" x14ac:dyDescent="0.3">
      <c r="A213" s="1"/>
      <c r="I213" s="1">
        <f>0.14*Table11819202310303132353839404148111518202843[[#This Row],[النولون]]</f>
        <v>0</v>
      </c>
      <c r="K21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13" s="1">
        <f>M212+Table11819202310303132353839404148111518202843[[#This Row],[اجمالي الفاتوره]]-Table11819202310303132353839404148111518202843[[#This Row],[الدفعات]]</f>
        <v>40931.380000000005</v>
      </c>
      <c r="O213" s="48"/>
    </row>
    <row r="214" spans="1:15" ht="24.6" customHeight="1" x14ac:dyDescent="0.3">
      <c r="A214" s="1"/>
      <c r="I214" s="1">
        <f>0.14*Table11819202310303132353839404148111518202843[[#This Row],[النولون]]</f>
        <v>0</v>
      </c>
      <c r="K21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14" s="1">
        <f>M213+Table11819202310303132353839404148111518202843[[#This Row],[اجمالي الفاتوره]]-Table11819202310303132353839404148111518202843[[#This Row],[الدفعات]]</f>
        <v>40931.380000000005</v>
      </c>
      <c r="O214" s="48"/>
    </row>
    <row r="215" spans="1:15" ht="24.6" customHeight="1" x14ac:dyDescent="0.3">
      <c r="A215" s="1"/>
      <c r="I215" s="1">
        <f>0.14*Table11819202310303132353839404148111518202843[[#This Row],[النولون]]</f>
        <v>0</v>
      </c>
      <c r="K21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15" s="1">
        <f>M214+Table11819202310303132353839404148111518202843[[#This Row],[اجمالي الفاتوره]]-Table11819202310303132353839404148111518202843[[#This Row],[الدفعات]]</f>
        <v>40931.380000000005</v>
      </c>
      <c r="O215" s="48"/>
    </row>
    <row r="216" spans="1:15" ht="24.6" customHeight="1" x14ac:dyDescent="0.3">
      <c r="A216" s="1"/>
      <c r="I216" s="1">
        <f>0.14*Table11819202310303132353839404148111518202843[[#This Row],[النولون]]</f>
        <v>0</v>
      </c>
      <c r="K21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16" s="1">
        <f>M215+Table11819202310303132353839404148111518202843[[#This Row],[اجمالي الفاتوره]]-Table11819202310303132353839404148111518202843[[#This Row],[الدفعات]]</f>
        <v>40931.380000000005</v>
      </c>
      <c r="O216" s="48"/>
    </row>
    <row r="217" spans="1:15" ht="24.6" customHeight="1" x14ac:dyDescent="0.3">
      <c r="A217" s="1"/>
      <c r="I217" s="1">
        <f>0.14*Table11819202310303132353839404148111518202843[[#This Row],[النولون]]</f>
        <v>0</v>
      </c>
      <c r="K21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17" s="1">
        <f>M216+Table11819202310303132353839404148111518202843[[#This Row],[اجمالي الفاتوره]]-Table11819202310303132353839404148111518202843[[#This Row],[الدفعات]]</f>
        <v>40931.380000000005</v>
      </c>
      <c r="O217" s="48"/>
    </row>
    <row r="218" spans="1:15" ht="24.6" customHeight="1" x14ac:dyDescent="0.3">
      <c r="A218" s="1"/>
      <c r="I218" s="1">
        <f>0.14*Table11819202310303132353839404148111518202843[[#This Row],[النولون]]</f>
        <v>0</v>
      </c>
      <c r="K21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18" s="1">
        <f>M217+Table11819202310303132353839404148111518202843[[#This Row],[اجمالي الفاتوره]]-Table11819202310303132353839404148111518202843[[#This Row],[الدفعات]]</f>
        <v>40931.380000000005</v>
      </c>
      <c r="O218" s="48"/>
    </row>
    <row r="219" spans="1:15" ht="24.6" customHeight="1" x14ac:dyDescent="0.3">
      <c r="A219" s="1"/>
      <c r="I219" s="1">
        <f>0.14*Table11819202310303132353839404148111518202843[[#This Row],[النولون]]</f>
        <v>0</v>
      </c>
      <c r="K21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19" s="1">
        <f>M218+Table11819202310303132353839404148111518202843[[#This Row],[اجمالي الفاتوره]]-Table11819202310303132353839404148111518202843[[#This Row],[الدفعات]]</f>
        <v>40931.380000000005</v>
      </c>
      <c r="O219" s="48"/>
    </row>
    <row r="220" spans="1:15" ht="24.6" customHeight="1" x14ac:dyDescent="0.3">
      <c r="A220" s="1"/>
      <c r="I220" s="1">
        <f>0.14*Table11819202310303132353839404148111518202843[[#This Row],[النولون]]</f>
        <v>0</v>
      </c>
      <c r="K22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20" s="1">
        <f>M219+Table11819202310303132353839404148111518202843[[#This Row],[اجمالي الفاتوره]]-Table11819202310303132353839404148111518202843[[#This Row],[الدفعات]]</f>
        <v>40931.380000000005</v>
      </c>
      <c r="O220" s="48"/>
    </row>
    <row r="221" spans="1:15" ht="24.6" customHeight="1" x14ac:dyDescent="0.3">
      <c r="A221" s="1"/>
      <c r="I221" s="1">
        <f>0.14*Table11819202310303132353839404148111518202843[[#This Row],[النولون]]</f>
        <v>0</v>
      </c>
      <c r="K22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21" s="1">
        <f>M220+Table11819202310303132353839404148111518202843[[#This Row],[اجمالي الفاتوره]]-Table11819202310303132353839404148111518202843[[#This Row],[الدفعات]]</f>
        <v>40931.380000000005</v>
      </c>
      <c r="O221" s="48"/>
    </row>
    <row r="222" spans="1:15" ht="24.6" customHeight="1" x14ac:dyDescent="0.3">
      <c r="A222" s="1"/>
      <c r="I222" s="1">
        <f>0.14*Table11819202310303132353839404148111518202843[[#This Row],[النولون]]</f>
        <v>0</v>
      </c>
      <c r="K22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22" s="1">
        <f>M221+Table11819202310303132353839404148111518202843[[#This Row],[اجمالي الفاتوره]]-Table11819202310303132353839404148111518202843[[#This Row],[الدفعات]]</f>
        <v>40931.380000000005</v>
      </c>
      <c r="O222" s="48"/>
    </row>
    <row r="223" spans="1:15" ht="24.6" customHeight="1" x14ac:dyDescent="0.3">
      <c r="A223" s="1"/>
      <c r="I223" s="1">
        <f>0.14*Table11819202310303132353839404148111518202843[[#This Row],[النولون]]</f>
        <v>0</v>
      </c>
      <c r="K22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23" s="1">
        <f>M222+Table11819202310303132353839404148111518202843[[#This Row],[اجمالي الفاتوره]]-Table11819202310303132353839404148111518202843[[#This Row],[الدفعات]]</f>
        <v>40931.380000000005</v>
      </c>
      <c r="O223" s="48"/>
    </row>
    <row r="224" spans="1:15" ht="24.6" customHeight="1" x14ac:dyDescent="0.3">
      <c r="A224" s="1"/>
      <c r="I224" s="1">
        <f>0.14*Table11819202310303132353839404148111518202843[[#This Row],[النولون]]</f>
        <v>0</v>
      </c>
      <c r="K22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24" s="1">
        <f>M223+Table11819202310303132353839404148111518202843[[#This Row],[اجمالي الفاتوره]]-Table11819202310303132353839404148111518202843[[#This Row],[الدفعات]]</f>
        <v>40931.380000000005</v>
      </c>
      <c r="O224" s="48"/>
    </row>
    <row r="225" spans="1:15" ht="24.6" customHeight="1" x14ac:dyDescent="0.3">
      <c r="A225" s="1"/>
      <c r="I225" s="1">
        <f>0.14*Table11819202310303132353839404148111518202843[[#This Row],[النولون]]</f>
        <v>0</v>
      </c>
      <c r="K22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25" s="1">
        <f>M224+Table11819202310303132353839404148111518202843[[#This Row],[اجمالي الفاتوره]]-Table11819202310303132353839404148111518202843[[#This Row],[الدفعات]]</f>
        <v>40931.380000000005</v>
      </c>
      <c r="O225" s="48"/>
    </row>
    <row r="226" spans="1:15" ht="24.6" customHeight="1" x14ac:dyDescent="0.3">
      <c r="A226" s="1"/>
      <c r="I226" s="1">
        <f>0.14*Table11819202310303132353839404148111518202843[[#This Row],[النولون]]</f>
        <v>0</v>
      </c>
      <c r="K22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26" s="1">
        <f>M225+Table11819202310303132353839404148111518202843[[#This Row],[اجمالي الفاتوره]]-Table11819202310303132353839404148111518202843[[#This Row],[الدفعات]]</f>
        <v>40931.380000000005</v>
      </c>
      <c r="O226" s="48"/>
    </row>
    <row r="227" spans="1:15" ht="24.6" customHeight="1" x14ac:dyDescent="0.3">
      <c r="A227" s="1"/>
      <c r="I227" s="1">
        <f>0.14*Table11819202310303132353839404148111518202843[[#This Row],[النولون]]</f>
        <v>0</v>
      </c>
      <c r="K22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27" s="1">
        <f>M226+Table11819202310303132353839404148111518202843[[#This Row],[اجمالي الفاتوره]]-Table11819202310303132353839404148111518202843[[#This Row],[الدفعات]]</f>
        <v>40931.380000000005</v>
      </c>
      <c r="O227" s="48"/>
    </row>
    <row r="228" spans="1:15" ht="24.6" customHeight="1" x14ac:dyDescent="0.3">
      <c r="A228" s="1"/>
      <c r="I228" s="1">
        <f>0.14*Table11819202310303132353839404148111518202843[[#This Row],[النولون]]</f>
        <v>0</v>
      </c>
      <c r="K22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28" s="1">
        <f>M227+Table11819202310303132353839404148111518202843[[#This Row],[اجمالي الفاتوره]]-Table11819202310303132353839404148111518202843[[#This Row],[الدفعات]]</f>
        <v>40931.380000000005</v>
      </c>
      <c r="O228" s="48"/>
    </row>
    <row r="229" spans="1:15" ht="24.6" customHeight="1" x14ac:dyDescent="0.3">
      <c r="A229" s="1"/>
      <c r="I229" s="1">
        <f>0.14*Table11819202310303132353839404148111518202843[[#This Row],[النولون]]</f>
        <v>0</v>
      </c>
      <c r="K22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29" s="1">
        <f>M228+Table11819202310303132353839404148111518202843[[#This Row],[اجمالي الفاتوره]]-Table11819202310303132353839404148111518202843[[#This Row],[الدفعات]]</f>
        <v>40931.380000000005</v>
      </c>
      <c r="O229" s="48"/>
    </row>
    <row r="230" spans="1:15" ht="24.6" customHeight="1" x14ac:dyDescent="0.3">
      <c r="A230" s="1"/>
      <c r="I230" s="1">
        <f>0.14*Table11819202310303132353839404148111518202843[[#This Row],[النولون]]</f>
        <v>0</v>
      </c>
      <c r="K23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30" s="1">
        <f>M229+Table11819202310303132353839404148111518202843[[#This Row],[اجمالي الفاتوره]]-Table11819202310303132353839404148111518202843[[#This Row],[الدفعات]]</f>
        <v>40931.380000000005</v>
      </c>
      <c r="O230" s="48"/>
    </row>
    <row r="231" spans="1:15" ht="24.6" customHeight="1" x14ac:dyDescent="0.3">
      <c r="A231" s="1"/>
      <c r="I231" s="1">
        <f>0.14*Table11819202310303132353839404148111518202843[[#This Row],[النولون]]</f>
        <v>0</v>
      </c>
      <c r="K23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31" s="1">
        <f>M230+Table11819202310303132353839404148111518202843[[#This Row],[اجمالي الفاتوره]]-Table11819202310303132353839404148111518202843[[#This Row],[الدفعات]]</f>
        <v>40931.380000000005</v>
      </c>
      <c r="O231" s="48"/>
    </row>
    <row r="232" spans="1:15" ht="24.6" customHeight="1" x14ac:dyDescent="0.3">
      <c r="A232" s="1"/>
      <c r="I232" s="1">
        <f>0.14*Table11819202310303132353839404148111518202843[[#This Row],[النولون]]</f>
        <v>0</v>
      </c>
      <c r="K23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32" s="1">
        <f>M231+Table11819202310303132353839404148111518202843[[#This Row],[اجمالي الفاتوره]]-Table11819202310303132353839404148111518202843[[#This Row],[الدفعات]]</f>
        <v>40931.380000000005</v>
      </c>
      <c r="O232" s="48"/>
    </row>
    <row r="233" spans="1:15" ht="24.6" customHeight="1" x14ac:dyDescent="0.3">
      <c r="A233" s="1"/>
      <c r="I233" s="1">
        <f>0.14*Table11819202310303132353839404148111518202843[[#This Row],[النولون]]</f>
        <v>0</v>
      </c>
      <c r="K23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33" s="1">
        <f>M232+Table11819202310303132353839404148111518202843[[#This Row],[اجمالي الفاتوره]]-Table11819202310303132353839404148111518202843[[#This Row],[الدفعات]]</f>
        <v>40931.380000000005</v>
      </c>
      <c r="O233" s="48"/>
    </row>
    <row r="234" spans="1:15" ht="24.6" customHeight="1" x14ac:dyDescent="0.3">
      <c r="A234" s="1"/>
      <c r="I234" s="1">
        <f>0.14*Table11819202310303132353839404148111518202843[[#This Row],[النولون]]</f>
        <v>0</v>
      </c>
      <c r="K23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34" s="1">
        <f>M233+Table11819202310303132353839404148111518202843[[#This Row],[اجمالي الفاتوره]]-Table11819202310303132353839404148111518202843[[#This Row],[الدفعات]]</f>
        <v>40931.380000000005</v>
      </c>
      <c r="O234" s="48"/>
    </row>
    <row r="235" spans="1:15" ht="24.6" customHeight="1" x14ac:dyDescent="0.3">
      <c r="A235" s="1"/>
      <c r="I235" s="1">
        <f>0.14*Table11819202310303132353839404148111518202843[[#This Row],[النولون]]</f>
        <v>0</v>
      </c>
      <c r="K23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35" s="1">
        <f>M234+Table11819202310303132353839404148111518202843[[#This Row],[اجمالي الفاتوره]]-Table11819202310303132353839404148111518202843[[#This Row],[الدفعات]]</f>
        <v>40931.380000000005</v>
      </c>
      <c r="O235" s="48"/>
    </row>
    <row r="236" spans="1:15" ht="24.6" customHeight="1" x14ac:dyDescent="0.3">
      <c r="A236" s="1"/>
      <c r="I236" s="1">
        <f>0.14*Table11819202310303132353839404148111518202843[[#This Row],[النولون]]</f>
        <v>0</v>
      </c>
      <c r="K23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36" s="1">
        <f>M235+Table11819202310303132353839404148111518202843[[#This Row],[اجمالي الفاتوره]]-Table11819202310303132353839404148111518202843[[#This Row],[الدفعات]]</f>
        <v>40931.380000000005</v>
      </c>
      <c r="O236" s="48"/>
    </row>
    <row r="237" spans="1:15" ht="24.6" customHeight="1" x14ac:dyDescent="0.3">
      <c r="A237" s="1"/>
      <c r="I237" s="1">
        <f>0.14*Table11819202310303132353839404148111518202843[[#This Row],[النولون]]</f>
        <v>0</v>
      </c>
      <c r="K23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37" s="1">
        <f>M236+Table11819202310303132353839404148111518202843[[#This Row],[اجمالي الفاتوره]]-Table11819202310303132353839404148111518202843[[#This Row],[الدفعات]]</f>
        <v>40931.380000000005</v>
      </c>
      <c r="O237" s="48"/>
    </row>
    <row r="238" spans="1:15" ht="24.6" customHeight="1" x14ac:dyDescent="0.3">
      <c r="A238" s="1"/>
      <c r="I238" s="1">
        <f>0.14*Table11819202310303132353839404148111518202843[[#This Row],[النولون]]</f>
        <v>0</v>
      </c>
      <c r="K23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38" s="1">
        <f>M237+Table11819202310303132353839404148111518202843[[#This Row],[اجمالي الفاتوره]]-Table11819202310303132353839404148111518202843[[#This Row],[الدفعات]]</f>
        <v>40931.380000000005</v>
      </c>
      <c r="O238" s="48"/>
    </row>
    <row r="239" spans="1:15" ht="24.6" customHeight="1" x14ac:dyDescent="0.3">
      <c r="A239" s="1"/>
      <c r="I239" s="1">
        <f>0.14*Table11819202310303132353839404148111518202843[[#This Row],[النولون]]</f>
        <v>0</v>
      </c>
      <c r="K23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39" s="1">
        <f>M238+Table11819202310303132353839404148111518202843[[#This Row],[اجمالي الفاتوره]]-Table11819202310303132353839404148111518202843[[#This Row],[الدفعات]]</f>
        <v>40931.380000000005</v>
      </c>
      <c r="O239" s="48"/>
    </row>
    <row r="240" spans="1:15" ht="24.6" customHeight="1" x14ac:dyDescent="0.3">
      <c r="A240" s="1"/>
      <c r="I240" s="1">
        <f>0.14*Table11819202310303132353839404148111518202843[[#This Row],[النولون]]</f>
        <v>0</v>
      </c>
      <c r="K24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40" s="1">
        <f>M239+Table11819202310303132353839404148111518202843[[#This Row],[اجمالي الفاتوره]]-Table11819202310303132353839404148111518202843[[#This Row],[الدفعات]]</f>
        <v>40931.380000000005</v>
      </c>
      <c r="O240" s="48"/>
    </row>
    <row r="241" spans="1:15" ht="24.6" customHeight="1" x14ac:dyDescent="0.3">
      <c r="A241" s="1"/>
      <c r="I241" s="1">
        <f>0.14*Table11819202310303132353839404148111518202843[[#This Row],[النولون]]</f>
        <v>0</v>
      </c>
      <c r="K24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41" s="1">
        <f>M240+Table11819202310303132353839404148111518202843[[#This Row],[اجمالي الفاتوره]]-Table11819202310303132353839404148111518202843[[#This Row],[الدفعات]]</f>
        <v>40931.380000000005</v>
      </c>
      <c r="O241" s="48"/>
    </row>
    <row r="242" spans="1:15" ht="24.6" customHeight="1" x14ac:dyDescent="0.3">
      <c r="A242" s="1"/>
      <c r="I242" s="1">
        <f>0.14*Table11819202310303132353839404148111518202843[[#This Row],[النولون]]</f>
        <v>0</v>
      </c>
      <c r="K24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42" s="1">
        <f>M241+Table11819202310303132353839404148111518202843[[#This Row],[اجمالي الفاتوره]]-Table11819202310303132353839404148111518202843[[#This Row],[الدفعات]]</f>
        <v>40931.380000000005</v>
      </c>
      <c r="O242" s="48"/>
    </row>
    <row r="243" spans="1:15" ht="24.6" customHeight="1" x14ac:dyDescent="0.3">
      <c r="A243" s="1"/>
      <c r="I243" s="1">
        <f>0.14*Table11819202310303132353839404148111518202843[[#This Row],[النولون]]</f>
        <v>0</v>
      </c>
      <c r="K24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43" s="1">
        <f>M242+Table11819202310303132353839404148111518202843[[#This Row],[اجمالي الفاتوره]]-Table11819202310303132353839404148111518202843[[#This Row],[الدفعات]]</f>
        <v>40931.380000000005</v>
      </c>
      <c r="O243" s="48"/>
    </row>
    <row r="244" spans="1:15" ht="24.6" customHeight="1" x14ac:dyDescent="0.3">
      <c r="A244" s="1"/>
      <c r="I244" s="1">
        <f>0.14*Table11819202310303132353839404148111518202843[[#This Row],[النولون]]</f>
        <v>0</v>
      </c>
      <c r="K24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44" s="1">
        <f>M243+Table11819202310303132353839404148111518202843[[#This Row],[اجمالي الفاتوره]]-Table11819202310303132353839404148111518202843[[#This Row],[الدفعات]]</f>
        <v>40931.380000000005</v>
      </c>
      <c r="O244" s="48"/>
    </row>
    <row r="245" spans="1:15" ht="24.6" customHeight="1" x14ac:dyDescent="0.3">
      <c r="A245" s="1"/>
      <c r="I245" s="1">
        <f>0.14*Table11819202310303132353839404148111518202843[[#This Row],[النولون]]</f>
        <v>0</v>
      </c>
      <c r="K24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45" s="1">
        <f>M244+Table11819202310303132353839404148111518202843[[#This Row],[اجمالي الفاتوره]]-Table11819202310303132353839404148111518202843[[#This Row],[الدفعات]]</f>
        <v>40931.380000000005</v>
      </c>
      <c r="O245" s="48"/>
    </row>
    <row r="246" spans="1:15" ht="24.6" customHeight="1" x14ac:dyDescent="0.3">
      <c r="A246" s="1"/>
      <c r="I246" s="1">
        <f>0.14*Table11819202310303132353839404148111518202843[[#This Row],[النولون]]</f>
        <v>0</v>
      </c>
      <c r="K24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46" s="1">
        <f>M245+Table11819202310303132353839404148111518202843[[#This Row],[اجمالي الفاتوره]]-Table11819202310303132353839404148111518202843[[#This Row],[الدفعات]]</f>
        <v>40931.380000000005</v>
      </c>
      <c r="O246" s="48"/>
    </row>
    <row r="247" spans="1:15" ht="24.6" customHeight="1" x14ac:dyDescent="0.3">
      <c r="A247" s="1"/>
      <c r="I247" s="1">
        <f>0.14*Table11819202310303132353839404148111518202843[[#This Row],[النولون]]</f>
        <v>0</v>
      </c>
      <c r="K24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47" s="1">
        <f>M246+Table11819202310303132353839404148111518202843[[#This Row],[اجمالي الفاتوره]]-Table11819202310303132353839404148111518202843[[#This Row],[الدفعات]]</f>
        <v>40931.380000000005</v>
      </c>
      <c r="O247" s="48"/>
    </row>
    <row r="248" spans="1:15" ht="24.6" customHeight="1" x14ac:dyDescent="0.3">
      <c r="A248" s="1"/>
      <c r="I248" s="1">
        <f>0.14*Table11819202310303132353839404148111518202843[[#This Row],[النولون]]</f>
        <v>0</v>
      </c>
      <c r="K24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48" s="1">
        <f>M247+Table11819202310303132353839404148111518202843[[#This Row],[اجمالي الفاتوره]]-Table11819202310303132353839404148111518202843[[#This Row],[الدفعات]]</f>
        <v>40931.380000000005</v>
      </c>
      <c r="O248" s="48"/>
    </row>
    <row r="249" spans="1:15" ht="24.6" customHeight="1" x14ac:dyDescent="0.3">
      <c r="A249" s="1"/>
      <c r="I249" s="1">
        <f>0.14*Table11819202310303132353839404148111518202843[[#This Row],[النولون]]</f>
        <v>0</v>
      </c>
      <c r="K24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49" s="1">
        <f>M248+Table11819202310303132353839404148111518202843[[#This Row],[اجمالي الفاتوره]]-Table11819202310303132353839404148111518202843[[#This Row],[الدفعات]]</f>
        <v>40931.380000000005</v>
      </c>
      <c r="O249" s="48"/>
    </row>
    <row r="250" spans="1:15" ht="24.6" customHeight="1" x14ac:dyDescent="0.3">
      <c r="A250" s="1"/>
      <c r="I250" s="1">
        <f>0.14*Table11819202310303132353839404148111518202843[[#This Row],[النولون]]</f>
        <v>0</v>
      </c>
      <c r="K25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50" s="1">
        <f>M249+Table11819202310303132353839404148111518202843[[#This Row],[اجمالي الفاتوره]]-Table11819202310303132353839404148111518202843[[#This Row],[الدفعات]]</f>
        <v>40931.380000000005</v>
      </c>
      <c r="O250" s="48"/>
    </row>
    <row r="251" spans="1:15" ht="24.6" customHeight="1" x14ac:dyDescent="0.3">
      <c r="A251" s="1"/>
      <c r="I251" s="1">
        <f>0.14*Table11819202310303132353839404148111518202843[[#This Row],[النولون]]</f>
        <v>0</v>
      </c>
      <c r="K25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51" s="1">
        <f>M250+Table11819202310303132353839404148111518202843[[#This Row],[اجمالي الفاتوره]]-Table11819202310303132353839404148111518202843[[#This Row],[الدفعات]]</f>
        <v>40931.380000000005</v>
      </c>
      <c r="O251" s="48"/>
    </row>
    <row r="252" spans="1:15" ht="24.6" customHeight="1" x14ac:dyDescent="0.3">
      <c r="A252" s="1"/>
      <c r="I252" s="1">
        <f>0.14*Table11819202310303132353839404148111518202843[[#This Row],[النولون]]</f>
        <v>0</v>
      </c>
      <c r="K25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52" s="1">
        <f>M251+Table11819202310303132353839404148111518202843[[#This Row],[اجمالي الفاتوره]]-Table11819202310303132353839404148111518202843[[#This Row],[الدفعات]]</f>
        <v>40931.380000000005</v>
      </c>
      <c r="O252" s="48"/>
    </row>
    <row r="253" spans="1:15" ht="24.6" customHeight="1" x14ac:dyDescent="0.3">
      <c r="A253" s="1"/>
      <c r="I253" s="1">
        <f>0.14*Table11819202310303132353839404148111518202843[[#This Row],[النولون]]</f>
        <v>0</v>
      </c>
      <c r="K25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53" s="1">
        <f>M252+Table11819202310303132353839404148111518202843[[#This Row],[اجمالي الفاتوره]]-Table11819202310303132353839404148111518202843[[#This Row],[الدفعات]]</f>
        <v>40931.380000000005</v>
      </c>
      <c r="O253" s="48"/>
    </row>
    <row r="254" spans="1:15" ht="24.6" customHeight="1" x14ac:dyDescent="0.3">
      <c r="A254" s="1"/>
      <c r="I254" s="1">
        <f>0.14*Table11819202310303132353839404148111518202843[[#This Row],[النولون]]</f>
        <v>0</v>
      </c>
      <c r="K25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54" s="1">
        <f>M253+Table11819202310303132353839404148111518202843[[#This Row],[اجمالي الفاتوره]]-Table11819202310303132353839404148111518202843[[#This Row],[الدفعات]]</f>
        <v>40931.380000000005</v>
      </c>
      <c r="O254" s="48"/>
    </row>
    <row r="255" spans="1:15" ht="24.6" customHeight="1" x14ac:dyDescent="0.3">
      <c r="A255" s="1"/>
      <c r="I255" s="1">
        <f>0.14*Table11819202310303132353839404148111518202843[[#This Row],[النولون]]</f>
        <v>0</v>
      </c>
      <c r="K25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55" s="1">
        <f>M254+Table11819202310303132353839404148111518202843[[#This Row],[اجمالي الفاتوره]]-Table11819202310303132353839404148111518202843[[#This Row],[الدفعات]]</f>
        <v>40931.380000000005</v>
      </c>
      <c r="O255" s="48"/>
    </row>
    <row r="256" spans="1:15" ht="24.6" customHeight="1" x14ac:dyDescent="0.3">
      <c r="A256" s="1"/>
      <c r="I256" s="1">
        <f>0.14*Table11819202310303132353839404148111518202843[[#This Row],[النولون]]</f>
        <v>0</v>
      </c>
      <c r="K25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56" s="1">
        <f>M255+Table11819202310303132353839404148111518202843[[#This Row],[اجمالي الفاتوره]]-Table11819202310303132353839404148111518202843[[#This Row],[الدفعات]]</f>
        <v>40931.380000000005</v>
      </c>
      <c r="O256" s="48"/>
    </row>
    <row r="257" spans="1:15" ht="24.6" customHeight="1" x14ac:dyDescent="0.3">
      <c r="A257" s="1"/>
      <c r="I257" s="1">
        <f>0.14*Table11819202310303132353839404148111518202843[[#This Row],[النولون]]</f>
        <v>0</v>
      </c>
      <c r="K25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57" s="1">
        <f>M256+Table11819202310303132353839404148111518202843[[#This Row],[اجمالي الفاتوره]]-Table11819202310303132353839404148111518202843[[#This Row],[الدفعات]]</f>
        <v>40931.380000000005</v>
      </c>
      <c r="O257" s="48"/>
    </row>
    <row r="258" spans="1:15" ht="24.6" customHeight="1" x14ac:dyDescent="0.3">
      <c r="A258" s="1"/>
      <c r="I258" s="1">
        <f>0.14*Table11819202310303132353839404148111518202843[[#This Row],[النولون]]</f>
        <v>0</v>
      </c>
      <c r="K25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58" s="1">
        <f>M257+Table11819202310303132353839404148111518202843[[#This Row],[اجمالي الفاتوره]]-Table11819202310303132353839404148111518202843[[#This Row],[الدفعات]]</f>
        <v>40931.380000000005</v>
      </c>
      <c r="O258" s="48"/>
    </row>
    <row r="259" spans="1:15" ht="24.6" customHeight="1" x14ac:dyDescent="0.3">
      <c r="A259" s="1"/>
      <c r="I259" s="1">
        <f>0.14*Table11819202310303132353839404148111518202843[[#This Row],[النولون]]</f>
        <v>0</v>
      </c>
      <c r="K25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59" s="1">
        <f>M258+Table11819202310303132353839404148111518202843[[#This Row],[اجمالي الفاتوره]]-Table11819202310303132353839404148111518202843[[#This Row],[الدفعات]]</f>
        <v>40931.380000000005</v>
      </c>
      <c r="O259" s="48"/>
    </row>
    <row r="260" spans="1:15" ht="24.6" customHeight="1" x14ac:dyDescent="0.3">
      <c r="A260" s="1"/>
      <c r="I260" s="1">
        <f>0.14*Table11819202310303132353839404148111518202843[[#This Row],[النولون]]</f>
        <v>0</v>
      </c>
      <c r="K26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60" s="1">
        <f>M259+Table11819202310303132353839404148111518202843[[#This Row],[اجمالي الفاتوره]]-Table11819202310303132353839404148111518202843[[#This Row],[الدفعات]]</f>
        <v>40931.380000000005</v>
      </c>
      <c r="O260" s="48"/>
    </row>
    <row r="261" spans="1:15" ht="24.6" customHeight="1" x14ac:dyDescent="0.3">
      <c r="A261" s="1"/>
      <c r="I261" s="1">
        <f>0.14*Table11819202310303132353839404148111518202843[[#This Row],[النولون]]</f>
        <v>0</v>
      </c>
      <c r="K26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61" s="1">
        <f>M260+Table11819202310303132353839404148111518202843[[#This Row],[اجمالي الفاتوره]]-Table11819202310303132353839404148111518202843[[#This Row],[الدفعات]]</f>
        <v>40931.380000000005</v>
      </c>
      <c r="O261" s="48"/>
    </row>
    <row r="262" spans="1:15" ht="24.6" customHeight="1" x14ac:dyDescent="0.3">
      <c r="A262" s="1"/>
      <c r="I262" s="1">
        <f>0.14*Table11819202310303132353839404148111518202843[[#This Row],[النولون]]</f>
        <v>0</v>
      </c>
      <c r="K26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62" s="1">
        <f>M261+Table11819202310303132353839404148111518202843[[#This Row],[اجمالي الفاتوره]]-Table11819202310303132353839404148111518202843[[#This Row],[الدفعات]]</f>
        <v>40931.380000000005</v>
      </c>
      <c r="O262" s="48"/>
    </row>
    <row r="263" spans="1:15" ht="24.6" customHeight="1" x14ac:dyDescent="0.3">
      <c r="A263" s="1"/>
      <c r="I263" s="1">
        <f>0.14*Table11819202310303132353839404148111518202843[[#This Row],[النولون]]</f>
        <v>0</v>
      </c>
      <c r="K26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63" s="1">
        <f>M262+Table11819202310303132353839404148111518202843[[#This Row],[اجمالي الفاتوره]]-Table11819202310303132353839404148111518202843[[#This Row],[الدفعات]]</f>
        <v>40931.380000000005</v>
      </c>
      <c r="O263" s="48"/>
    </row>
    <row r="264" spans="1:15" ht="24.6" customHeight="1" x14ac:dyDescent="0.3">
      <c r="A264" s="1"/>
      <c r="I264" s="1">
        <f>0.14*Table11819202310303132353839404148111518202843[[#This Row],[النولون]]</f>
        <v>0</v>
      </c>
      <c r="K26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64" s="1">
        <f>M263+Table11819202310303132353839404148111518202843[[#This Row],[اجمالي الفاتوره]]-Table11819202310303132353839404148111518202843[[#This Row],[الدفعات]]</f>
        <v>40931.380000000005</v>
      </c>
      <c r="O264" s="48"/>
    </row>
    <row r="265" spans="1:15" ht="24.6" customHeight="1" x14ac:dyDescent="0.3">
      <c r="A265" s="1"/>
      <c r="I265" s="1">
        <f>0.14*Table11819202310303132353839404148111518202843[[#This Row],[النولون]]</f>
        <v>0</v>
      </c>
      <c r="K26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65" s="1">
        <f>M264+Table11819202310303132353839404148111518202843[[#This Row],[اجمالي الفاتوره]]-Table11819202310303132353839404148111518202843[[#This Row],[الدفعات]]</f>
        <v>40931.380000000005</v>
      </c>
      <c r="O265" s="48"/>
    </row>
    <row r="266" spans="1:15" ht="24.6" customHeight="1" x14ac:dyDescent="0.3">
      <c r="A266" s="1"/>
      <c r="I266" s="1">
        <f>0.14*Table11819202310303132353839404148111518202843[[#This Row],[النولون]]</f>
        <v>0</v>
      </c>
      <c r="K26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66" s="1">
        <f>M265+Table11819202310303132353839404148111518202843[[#This Row],[اجمالي الفاتوره]]-Table11819202310303132353839404148111518202843[[#This Row],[الدفعات]]</f>
        <v>40931.380000000005</v>
      </c>
      <c r="O266" s="48"/>
    </row>
    <row r="267" spans="1:15" ht="24.6" customHeight="1" x14ac:dyDescent="0.3">
      <c r="A267" s="1"/>
      <c r="I267" s="1">
        <f>0.14*Table11819202310303132353839404148111518202843[[#This Row],[النولون]]</f>
        <v>0</v>
      </c>
      <c r="K26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67" s="1">
        <f>M266+Table11819202310303132353839404148111518202843[[#This Row],[اجمالي الفاتوره]]-Table11819202310303132353839404148111518202843[[#This Row],[الدفعات]]</f>
        <v>40931.380000000005</v>
      </c>
      <c r="O267" s="48"/>
    </row>
    <row r="268" spans="1:15" ht="24.6" customHeight="1" x14ac:dyDescent="0.3">
      <c r="A268" s="1"/>
      <c r="I268" s="1">
        <f>0.14*Table11819202310303132353839404148111518202843[[#This Row],[النولون]]</f>
        <v>0</v>
      </c>
      <c r="K26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68" s="1">
        <f>M267+Table11819202310303132353839404148111518202843[[#This Row],[اجمالي الفاتوره]]-Table11819202310303132353839404148111518202843[[#This Row],[الدفعات]]</f>
        <v>40931.380000000005</v>
      </c>
      <c r="O268" s="48"/>
    </row>
    <row r="269" spans="1:15" ht="24.6" customHeight="1" x14ac:dyDescent="0.3">
      <c r="A269" s="1"/>
      <c r="I269" s="1">
        <f>0.14*Table11819202310303132353839404148111518202843[[#This Row],[النولون]]</f>
        <v>0</v>
      </c>
      <c r="K26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69" s="1">
        <f>M268+Table11819202310303132353839404148111518202843[[#This Row],[اجمالي الفاتوره]]-Table11819202310303132353839404148111518202843[[#This Row],[الدفعات]]</f>
        <v>40931.380000000005</v>
      </c>
      <c r="O269" s="48"/>
    </row>
    <row r="270" spans="1:15" ht="24.6" customHeight="1" x14ac:dyDescent="0.3">
      <c r="A270" s="1"/>
      <c r="I270" s="1">
        <f>0.14*Table11819202310303132353839404148111518202843[[#This Row],[النولون]]</f>
        <v>0</v>
      </c>
      <c r="K27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70" s="1">
        <f>M269+Table11819202310303132353839404148111518202843[[#This Row],[اجمالي الفاتوره]]-Table11819202310303132353839404148111518202843[[#This Row],[الدفعات]]</f>
        <v>40931.380000000005</v>
      </c>
      <c r="O270" s="48"/>
    </row>
    <row r="271" spans="1:15" ht="24.6" customHeight="1" x14ac:dyDescent="0.3">
      <c r="A271" s="1"/>
      <c r="I271" s="1">
        <f>0.14*Table11819202310303132353839404148111518202843[[#This Row],[النولون]]</f>
        <v>0</v>
      </c>
      <c r="K27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71" s="1">
        <f>M270+Table11819202310303132353839404148111518202843[[#This Row],[اجمالي الفاتوره]]-Table11819202310303132353839404148111518202843[[#This Row],[الدفعات]]</f>
        <v>40931.380000000005</v>
      </c>
      <c r="O271" s="48"/>
    </row>
    <row r="272" spans="1:15" ht="24.6" customHeight="1" x14ac:dyDescent="0.3">
      <c r="A272" s="1"/>
      <c r="I272" s="1">
        <f>0.14*Table11819202310303132353839404148111518202843[[#This Row],[النولون]]</f>
        <v>0</v>
      </c>
      <c r="K27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72" s="1">
        <f>M271+Table11819202310303132353839404148111518202843[[#This Row],[اجمالي الفاتوره]]-Table11819202310303132353839404148111518202843[[#This Row],[الدفعات]]</f>
        <v>40931.380000000005</v>
      </c>
      <c r="O272" s="48"/>
    </row>
    <row r="273" spans="1:15" ht="24.6" customHeight="1" x14ac:dyDescent="0.3">
      <c r="A273" s="1"/>
      <c r="I273" s="1">
        <f>0.14*Table11819202310303132353839404148111518202843[[#This Row],[النولون]]</f>
        <v>0</v>
      </c>
      <c r="K27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73" s="1">
        <f>M272+Table11819202310303132353839404148111518202843[[#This Row],[اجمالي الفاتوره]]-Table11819202310303132353839404148111518202843[[#This Row],[الدفعات]]</f>
        <v>40931.380000000005</v>
      </c>
      <c r="O273" s="48"/>
    </row>
    <row r="274" spans="1:15" ht="24.6" customHeight="1" x14ac:dyDescent="0.3">
      <c r="A274" s="1"/>
      <c r="I274" s="1">
        <f>0.14*Table11819202310303132353839404148111518202843[[#This Row],[النولون]]</f>
        <v>0</v>
      </c>
      <c r="K27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74" s="1">
        <f>M273+Table11819202310303132353839404148111518202843[[#This Row],[اجمالي الفاتوره]]-Table11819202310303132353839404148111518202843[[#This Row],[الدفعات]]</f>
        <v>40931.380000000005</v>
      </c>
      <c r="O274" s="48"/>
    </row>
    <row r="275" spans="1:15" ht="24.6" customHeight="1" x14ac:dyDescent="0.3">
      <c r="A275" s="1"/>
      <c r="I275" s="1">
        <f>0.14*Table11819202310303132353839404148111518202843[[#This Row],[النولون]]</f>
        <v>0</v>
      </c>
      <c r="K27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75" s="1">
        <f>M274+Table11819202310303132353839404148111518202843[[#This Row],[اجمالي الفاتوره]]-Table11819202310303132353839404148111518202843[[#This Row],[الدفعات]]</f>
        <v>40931.380000000005</v>
      </c>
      <c r="O275" s="48"/>
    </row>
    <row r="276" spans="1:15" ht="24.6" customHeight="1" x14ac:dyDescent="0.3">
      <c r="A276" s="1"/>
      <c r="I276" s="1">
        <f>0.14*Table11819202310303132353839404148111518202843[[#This Row],[النولون]]</f>
        <v>0</v>
      </c>
      <c r="K27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76" s="1">
        <f>M275+Table11819202310303132353839404148111518202843[[#This Row],[اجمالي الفاتوره]]-Table11819202310303132353839404148111518202843[[#This Row],[الدفعات]]</f>
        <v>40931.380000000005</v>
      </c>
      <c r="O276" s="48"/>
    </row>
    <row r="277" spans="1:15" ht="24.6" customHeight="1" x14ac:dyDescent="0.3">
      <c r="A277" s="1"/>
      <c r="I277" s="1">
        <f>0.14*Table11819202310303132353839404148111518202843[[#This Row],[النولون]]</f>
        <v>0</v>
      </c>
      <c r="K27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77" s="1">
        <f>M276+Table11819202310303132353839404148111518202843[[#This Row],[اجمالي الفاتوره]]-Table11819202310303132353839404148111518202843[[#This Row],[الدفعات]]</f>
        <v>40931.380000000005</v>
      </c>
      <c r="O277" s="48"/>
    </row>
    <row r="278" spans="1:15" ht="24.6" customHeight="1" x14ac:dyDescent="0.3">
      <c r="A278" s="1"/>
      <c r="I278" s="1">
        <f>0.14*Table11819202310303132353839404148111518202843[[#This Row],[النولون]]</f>
        <v>0</v>
      </c>
      <c r="K27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78" s="1">
        <f>M277+Table11819202310303132353839404148111518202843[[#This Row],[اجمالي الفاتوره]]-Table11819202310303132353839404148111518202843[[#This Row],[الدفعات]]</f>
        <v>40931.380000000005</v>
      </c>
      <c r="O278" s="48"/>
    </row>
    <row r="279" spans="1:15" ht="24.6" customHeight="1" x14ac:dyDescent="0.3">
      <c r="A279" s="1"/>
      <c r="I279" s="1">
        <f>0.14*Table11819202310303132353839404148111518202843[[#This Row],[النولون]]</f>
        <v>0</v>
      </c>
      <c r="K27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79" s="1">
        <f>M278+Table11819202310303132353839404148111518202843[[#This Row],[اجمالي الفاتوره]]-Table11819202310303132353839404148111518202843[[#This Row],[الدفعات]]</f>
        <v>40931.380000000005</v>
      </c>
      <c r="O279" s="48"/>
    </row>
    <row r="280" spans="1:15" ht="24.6" customHeight="1" x14ac:dyDescent="0.3">
      <c r="A280" s="1"/>
      <c r="I280" s="1">
        <f>0.14*Table11819202310303132353839404148111518202843[[#This Row],[النولون]]</f>
        <v>0</v>
      </c>
      <c r="K28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80" s="1">
        <f>M279+Table11819202310303132353839404148111518202843[[#This Row],[اجمالي الفاتوره]]-Table11819202310303132353839404148111518202843[[#This Row],[الدفعات]]</f>
        <v>40931.380000000005</v>
      </c>
      <c r="O280" s="48"/>
    </row>
    <row r="281" spans="1:15" ht="24.6" customHeight="1" x14ac:dyDescent="0.3">
      <c r="A281" s="1"/>
      <c r="I281" s="1">
        <f>0.14*Table11819202310303132353839404148111518202843[[#This Row],[النولون]]</f>
        <v>0</v>
      </c>
      <c r="K28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81" s="1">
        <f>M280+Table11819202310303132353839404148111518202843[[#This Row],[اجمالي الفاتوره]]-Table11819202310303132353839404148111518202843[[#This Row],[الدفعات]]</f>
        <v>40931.380000000005</v>
      </c>
      <c r="O281" s="48"/>
    </row>
    <row r="282" spans="1:15" ht="24.6" customHeight="1" x14ac:dyDescent="0.3">
      <c r="A282" s="1"/>
      <c r="I282" s="1">
        <f>0.14*Table11819202310303132353839404148111518202843[[#This Row],[النولون]]</f>
        <v>0</v>
      </c>
      <c r="K28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82" s="1">
        <f>M281+Table11819202310303132353839404148111518202843[[#This Row],[اجمالي الفاتوره]]-Table11819202310303132353839404148111518202843[[#This Row],[الدفعات]]</f>
        <v>40931.380000000005</v>
      </c>
      <c r="O282" s="48"/>
    </row>
    <row r="283" spans="1:15" ht="24.6" customHeight="1" x14ac:dyDescent="0.3">
      <c r="A283" s="1"/>
      <c r="I283" s="1">
        <f>0.14*Table11819202310303132353839404148111518202843[[#This Row],[النولون]]</f>
        <v>0</v>
      </c>
      <c r="K28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83" s="1">
        <f>M282+Table11819202310303132353839404148111518202843[[#This Row],[اجمالي الفاتوره]]-Table11819202310303132353839404148111518202843[[#This Row],[الدفعات]]</f>
        <v>40931.380000000005</v>
      </c>
      <c r="O283" s="48"/>
    </row>
    <row r="284" spans="1:15" ht="24.6" customHeight="1" x14ac:dyDescent="0.3">
      <c r="A284" s="1"/>
      <c r="I284" s="1">
        <f>0.14*Table11819202310303132353839404148111518202843[[#This Row],[النولون]]</f>
        <v>0</v>
      </c>
      <c r="K28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84" s="1">
        <f>M283+Table11819202310303132353839404148111518202843[[#This Row],[اجمالي الفاتوره]]-Table11819202310303132353839404148111518202843[[#This Row],[الدفعات]]</f>
        <v>40931.380000000005</v>
      </c>
      <c r="O284" s="48"/>
    </row>
    <row r="285" spans="1:15" ht="24.6" customHeight="1" x14ac:dyDescent="0.3">
      <c r="A285" s="1"/>
      <c r="I285" s="1">
        <f>0.14*Table11819202310303132353839404148111518202843[[#This Row],[النولون]]</f>
        <v>0</v>
      </c>
      <c r="K28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85" s="1">
        <f>M284+Table11819202310303132353839404148111518202843[[#This Row],[اجمالي الفاتوره]]-Table11819202310303132353839404148111518202843[[#This Row],[الدفعات]]</f>
        <v>40931.380000000005</v>
      </c>
      <c r="O285" s="48"/>
    </row>
    <row r="286" spans="1:15" ht="24.6" customHeight="1" x14ac:dyDescent="0.3">
      <c r="A286" s="1"/>
      <c r="I286" s="1">
        <f>0.14*Table11819202310303132353839404148111518202843[[#This Row],[النولون]]</f>
        <v>0</v>
      </c>
      <c r="K28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86" s="1">
        <f>M285+Table11819202310303132353839404148111518202843[[#This Row],[اجمالي الفاتوره]]-Table11819202310303132353839404148111518202843[[#This Row],[الدفعات]]</f>
        <v>40931.380000000005</v>
      </c>
      <c r="O286" s="48"/>
    </row>
    <row r="287" spans="1:15" ht="24.6" customHeight="1" x14ac:dyDescent="0.3">
      <c r="A287" s="1"/>
      <c r="I287" s="1">
        <f>0.14*Table11819202310303132353839404148111518202843[[#This Row],[النولون]]</f>
        <v>0</v>
      </c>
      <c r="K28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87" s="1">
        <f>M286+Table11819202310303132353839404148111518202843[[#This Row],[اجمالي الفاتوره]]-Table11819202310303132353839404148111518202843[[#This Row],[الدفعات]]</f>
        <v>40931.380000000005</v>
      </c>
      <c r="O287" s="48"/>
    </row>
    <row r="288" spans="1:15" ht="24.6" customHeight="1" x14ac:dyDescent="0.3">
      <c r="A288" s="1"/>
      <c r="I288" s="1">
        <f>0.14*Table11819202310303132353839404148111518202843[[#This Row],[النولون]]</f>
        <v>0</v>
      </c>
      <c r="K28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88" s="1">
        <f>M287+Table11819202310303132353839404148111518202843[[#This Row],[اجمالي الفاتوره]]-Table11819202310303132353839404148111518202843[[#This Row],[الدفعات]]</f>
        <v>40931.380000000005</v>
      </c>
      <c r="O288" s="48"/>
    </row>
    <row r="289" spans="1:15" ht="24.6" customHeight="1" x14ac:dyDescent="0.3">
      <c r="A289" s="1"/>
      <c r="I289" s="1">
        <f>0.14*Table11819202310303132353839404148111518202843[[#This Row],[النولون]]</f>
        <v>0</v>
      </c>
      <c r="K28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89" s="1">
        <f>M288+Table11819202310303132353839404148111518202843[[#This Row],[اجمالي الفاتوره]]-Table11819202310303132353839404148111518202843[[#This Row],[الدفعات]]</f>
        <v>40931.380000000005</v>
      </c>
      <c r="O289" s="48"/>
    </row>
    <row r="290" spans="1:15" ht="24.6" customHeight="1" x14ac:dyDescent="0.3">
      <c r="A290" s="1"/>
      <c r="I290" s="1">
        <f>0.14*Table11819202310303132353839404148111518202843[[#This Row],[النولون]]</f>
        <v>0</v>
      </c>
      <c r="K29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90" s="1">
        <f>M289+Table11819202310303132353839404148111518202843[[#This Row],[اجمالي الفاتوره]]-Table11819202310303132353839404148111518202843[[#This Row],[الدفعات]]</f>
        <v>40931.380000000005</v>
      </c>
      <c r="O290" s="48"/>
    </row>
    <row r="291" spans="1:15" ht="24.6" customHeight="1" x14ac:dyDescent="0.3">
      <c r="A291" s="1"/>
      <c r="I291" s="1">
        <f>0.14*Table11819202310303132353839404148111518202843[[#This Row],[النولون]]</f>
        <v>0</v>
      </c>
      <c r="K29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91" s="1">
        <f>M290+Table11819202310303132353839404148111518202843[[#This Row],[اجمالي الفاتوره]]-Table11819202310303132353839404148111518202843[[#This Row],[الدفعات]]</f>
        <v>40931.380000000005</v>
      </c>
      <c r="O291" s="48"/>
    </row>
    <row r="292" spans="1:15" ht="24.6" customHeight="1" x14ac:dyDescent="0.3">
      <c r="A292" s="1"/>
      <c r="I292" s="1">
        <f>0.14*Table11819202310303132353839404148111518202843[[#This Row],[النولون]]</f>
        <v>0</v>
      </c>
      <c r="K29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92" s="1">
        <f>M291+Table11819202310303132353839404148111518202843[[#This Row],[اجمالي الفاتوره]]-Table11819202310303132353839404148111518202843[[#This Row],[الدفعات]]</f>
        <v>40931.380000000005</v>
      </c>
      <c r="O292" s="48"/>
    </row>
    <row r="293" spans="1:15" ht="24.6" customHeight="1" x14ac:dyDescent="0.3">
      <c r="A293" s="1"/>
      <c r="I293" s="1">
        <f>0.14*Table11819202310303132353839404148111518202843[[#This Row],[النولون]]</f>
        <v>0</v>
      </c>
      <c r="K29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93" s="1">
        <f>M292+Table11819202310303132353839404148111518202843[[#This Row],[اجمالي الفاتوره]]-Table11819202310303132353839404148111518202843[[#This Row],[الدفعات]]</f>
        <v>40931.380000000005</v>
      </c>
      <c r="O293" s="48"/>
    </row>
    <row r="294" spans="1:15" ht="24.6" customHeight="1" x14ac:dyDescent="0.3">
      <c r="A294" s="1"/>
      <c r="I294" s="1">
        <f>0.14*Table11819202310303132353839404148111518202843[[#This Row],[النولون]]</f>
        <v>0</v>
      </c>
      <c r="K29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94" s="1">
        <f>M293+Table11819202310303132353839404148111518202843[[#This Row],[اجمالي الفاتوره]]-Table11819202310303132353839404148111518202843[[#This Row],[الدفعات]]</f>
        <v>40931.380000000005</v>
      </c>
      <c r="O294" s="48"/>
    </row>
    <row r="295" spans="1:15" ht="24.6" customHeight="1" x14ac:dyDescent="0.3">
      <c r="A295" s="1"/>
      <c r="I295" s="1">
        <f>0.14*Table11819202310303132353839404148111518202843[[#This Row],[النولون]]</f>
        <v>0</v>
      </c>
      <c r="K29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95" s="1">
        <f>M294+Table11819202310303132353839404148111518202843[[#This Row],[اجمالي الفاتوره]]-Table11819202310303132353839404148111518202843[[#This Row],[الدفعات]]</f>
        <v>40931.380000000005</v>
      </c>
      <c r="O295" s="48"/>
    </row>
    <row r="296" spans="1:15" ht="24.6" customHeight="1" x14ac:dyDescent="0.3">
      <c r="A296" s="1"/>
      <c r="I296" s="1">
        <f>0.14*Table11819202310303132353839404148111518202843[[#This Row],[النولون]]</f>
        <v>0</v>
      </c>
      <c r="K29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96" s="1">
        <f>M295+Table11819202310303132353839404148111518202843[[#This Row],[اجمالي الفاتوره]]-Table11819202310303132353839404148111518202843[[#This Row],[الدفعات]]</f>
        <v>40931.380000000005</v>
      </c>
      <c r="O296" s="48"/>
    </row>
    <row r="297" spans="1:15" ht="24.6" customHeight="1" x14ac:dyDescent="0.3">
      <c r="A297" s="1"/>
      <c r="I297" s="1">
        <f>0.14*Table11819202310303132353839404148111518202843[[#This Row],[النولون]]</f>
        <v>0</v>
      </c>
      <c r="K29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97" s="1">
        <f>M296+Table11819202310303132353839404148111518202843[[#This Row],[اجمالي الفاتوره]]-Table11819202310303132353839404148111518202843[[#This Row],[الدفعات]]</f>
        <v>40931.380000000005</v>
      </c>
      <c r="O297" s="48"/>
    </row>
    <row r="298" spans="1:15" ht="24.6" customHeight="1" x14ac:dyDescent="0.3">
      <c r="A298" s="1"/>
      <c r="I298" s="1">
        <f>0.14*Table11819202310303132353839404148111518202843[[#This Row],[النولون]]</f>
        <v>0</v>
      </c>
      <c r="K29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98" s="1">
        <f>M297+Table11819202310303132353839404148111518202843[[#This Row],[اجمالي الفاتوره]]-Table11819202310303132353839404148111518202843[[#This Row],[الدفعات]]</f>
        <v>40931.380000000005</v>
      </c>
      <c r="O298" s="48"/>
    </row>
    <row r="299" spans="1:15" ht="24.6" customHeight="1" x14ac:dyDescent="0.3">
      <c r="A299" s="1"/>
      <c r="I299" s="1">
        <f>0.14*Table11819202310303132353839404148111518202843[[#This Row],[النولون]]</f>
        <v>0</v>
      </c>
      <c r="K29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299" s="1">
        <f>M298+Table11819202310303132353839404148111518202843[[#This Row],[اجمالي الفاتوره]]-Table11819202310303132353839404148111518202843[[#This Row],[الدفعات]]</f>
        <v>40931.380000000005</v>
      </c>
      <c r="O299" s="48"/>
    </row>
    <row r="300" spans="1:15" ht="24.6" customHeight="1" x14ac:dyDescent="0.3">
      <c r="A300" s="1"/>
      <c r="I300" s="1">
        <f>0.14*Table11819202310303132353839404148111518202843[[#This Row],[النولون]]</f>
        <v>0</v>
      </c>
      <c r="K30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00" s="1">
        <f>M299+Table11819202310303132353839404148111518202843[[#This Row],[اجمالي الفاتوره]]-Table11819202310303132353839404148111518202843[[#This Row],[الدفعات]]</f>
        <v>40931.380000000005</v>
      </c>
      <c r="O300" s="48"/>
    </row>
    <row r="301" spans="1:15" ht="24.6" customHeight="1" x14ac:dyDescent="0.3">
      <c r="A301" s="1"/>
      <c r="I301" s="1">
        <f>0.14*Table11819202310303132353839404148111518202843[[#This Row],[النولون]]</f>
        <v>0</v>
      </c>
      <c r="K30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01" s="1">
        <f>M300+Table11819202310303132353839404148111518202843[[#This Row],[اجمالي الفاتوره]]-Table11819202310303132353839404148111518202843[[#This Row],[الدفعات]]</f>
        <v>40931.380000000005</v>
      </c>
      <c r="O301" s="48"/>
    </row>
    <row r="302" spans="1:15" ht="24.6" customHeight="1" x14ac:dyDescent="0.3">
      <c r="A302" s="1"/>
      <c r="I302" s="1">
        <f>0.14*Table11819202310303132353839404148111518202843[[#This Row],[النولون]]</f>
        <v>0</v>
      </c>
      <c r="K30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02" s="1">
        <f>M301+Table11819202310303132353839404148111518202843[[#This Row],[اجمالي الفاتوره]]-Table11819202310303132353839404148111518202843[[#This Row],[الدفعات]]</f>
        <v>40931.380000000005</v>
      </c>
      <c r="O302" s="48"/>
    </row>
    <row r="303" spans="1:15" ht="24.6" customHeight="1" x14ac:dyDescent="0.3">
      <c r="A303" s="1"/>
      <c r="I303" s="1">
        <f>0.14*Table11819202310303132353839404148111518202843[[#This Row],[النولون]]</f>
        <v>0</v>
      </c>
      <c r="K30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03" s="1">
        <f>M302+Table11819202310303132353839404148111518202843[[#This Row],[اجمالي الفاتوره]]-Table11819202310303132353839404148111518202843[[#This Row],[الدفعات]]</f>
        <v>40931.380000000005</v>
      </c>
      <c r="O303" s="48"/>
    </row>
    <row r="304" spans="1:15" ht="24.6" customHeight="1" x14ac:dyDescent="0.3">
      <c r="A304" s="1"/>
      <c r="I304" s="1">
        <f>0.14*Table11819202310303132353839404148111518202843[[#This Row],[النولون]]</f>
        <v>0</v>
      </c>
      <c r="K30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04" s="1">
        <f>M303+Table11819202310303132353839404148111518202843[[#This Row],[اجمالي الفاتوره]]-Table11819202310303132353839404148111518202843[[#This Row],[الدفعات]]</f>
        <v>40931.380000000005</v>
      </c>
      <c r="O304" s="48"/>
    </row>
    <row r="305" spans="1:15" ht="24.6" customHeight="1" x14ac:dyDescent="0.3">
      <c r="A305" s="1"/>
      <c r="I305" s="1">
        <f>0.14*Table11819202310303132353839404148111518202843[[#This Row],[النولون]]</f>
        <v>0</v>
      </c>
      <c r="K30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05" s="1">
        <f>M304+Table11819202310303132353839404148111518202843[[#This Row],[اجمالي الفاتوره]]-Table11819202310303132353839404148111518202843[[#This Row],[الدفعات]]</f>
        <v>40931.380000000005</v>
      </c>
      <c r="O305" s="48"/>
    </row>
    <row r="306" spans="1:15" ht="24.6" customHeight="1" x14ac:dyDescent="0.3">
      <c r="A306" s="1"/>
      <c r="I306" s="1">
        <f>0.14*Table11819202310303132353839404148111518202843[[#This Row],[النولون]]</f>
        <v>0</v>
      </c>
      <c r="K30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06" s="1">
        <f>M305+Table11819202310303132353839404148111518202843[[#This Row],[اجمالي الفاتوره]]-Table11819202310303132353839404148111518202843[[#This Row],[الدفعات]]</f>
        <v>40931.380000000005</v>
      </c>
      <c r="O306" s="48"/>
    </row>
    <row r="307" spans="1:15" ht="24.6" customHeight="1" x14ac:dyDescent="0.3">
      <c r="A307" s="1"/>
      <c r="I307" s="1">
        <f>0.14*Table11819202310303132353839404148111518202843[[#This Row],[النولون]]</f>
        <v>0</v>
      </c>
      <c r="K30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07" s="1">
        <f>M306+Table11819202310303132353839404148111518202843[[#This Row],[اجمالي الفاتوره]]-Table11819202310303132353839404148111518202843[[#This Row],[الدفعات]]</f>
        <v>40931.380000000005</v>
      </c>
      <c r="O307" s="48"/>
    </row>
    <row r="308" spans="1:15" ht="24.6" customHeight="1" x14ac:dyDescent="0.3">
      <c r="A308" s="1"/>
      <c r="I308" s="1">
        <f>0.14*Table11819202310303132353839404148111518202843[[#This Row],[النولون]]</f>
        <v>0</v>
      </c>
      <c r="K30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08" s="1">
        <f>M307+Table11819202310303132353839404148111518202843[[#This Row],[اجمالي الفاتوره]]-Table11819202310303132353839404148111518202843[[#This Row],[الدفعات]]</f>
        <v>40931.380000000005</v>
      </c>
      <c r="O308" s="48"/>
    </row>
    <row r="309" spans="1:15" ht="24.6" customHeight="1" x14ac:dyDescent="0.3">
      <c r="A309" s="1"/>
      <c r="I309" s="1">
        <f>0.14*Table11819202310303132353839404148111518202843[[#This Row],[النولون]]</f>
        <v>0</v>
      </c>
      <c r="K30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09" s="1">
        <f>M308+Table11819202310303132353839404148111518202843[[#This Row],[اجمالي الفاتوره]]-Table11819202310303132353839404148111518202843[[#This Row],[الدفعات]]</f>
        <v>40931.380000000005</v>
      </c>
      <c r="O309" s="48"/>
    </row>
    <row r="310" spans="1:15" ht="24.6" customHeight="1" x14ac:dyDescent="0.3">
      <c r="A310" s="1"/>
      <c r="I310" s="1">
        <f>0.14*Table11819202310303132353839404148111518202843[[#This Row],[النولون]]</f>
        <v>0</v>
      </c>
      <c r="K31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10" s="1">
        <f>M309+Table11819202310303132353839404148111518202843[[#This Row],[اجمالي الفاتوره]]-Table11819202310303132353839404148111518202843[[#This Row],[الدفعات]]</f>
        <v>40931.380000000005</v>
      </c>
      <c r="O310" s="48"/>
    </row>
    <row r="311" spans="1:15" ht="24.6" customHeight="1" x14ac:dyDescent="0.3">
      <c r="A311" s="1"/>
      <c r="I311" s="1">
        <f>0.14*Table11819202310303132353839404148111518202843[[#This Row],[النولون]]</f>
        <v>0</v>
      </c>
      <c r="K31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11" s="1">
        <f>M310+Table11819202310303132353839404148111518202843[[#This Row],[اجمالي الفاتوره]]-Table11819202310303132353839404148111518202843[[#This Row],[الدفعات]]</f>
        <v>40931.380000000005</v>
      </c>
      <c r="O311" s="48"/>
    </row>
    <row r="312" spans="1:15" ht="24.6" customHeight="1" x14ac:dyDescent="0.3">
      <c r="A312" s="1"/>
      <c r="I312" s="1">
        <f>0.14*Table11819202310303132353839404148111518202843[[#This Row],[النولون]]</f>
        <v>0</v>
      </c>
      <c r="K31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12" s="1">
        <f>M311+Table11819202310303132353839404148111518202843[[#This Row],[اجمالي الفاتوره]]-Table11819202310303132353839404148111518202843[[#This Row],[الدفعات]]</f>
        <v>40931.380000000005</v>
      </c>
      <c r="O312" s="48"/>
    </row>
    <row r="313" spans="1:15" ht="24.6" customHeight="1" x14ac:dyDescent="0.3">
      <c r="A313" s="1"/>
      <c r="I313" s="1">
        <f>0.14*Table11819202310303132353839404148111518202843[[#This Row],[النولون]]</f>
        <v>0</v>
      </c>
      <c r="K31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13" s="1">
        <f>M312+Table11819202310303132353839404148111518202843[[#This Row],[اجمالي الفاتوره]]-Table11819202310303132353839404148111518202843[[#This Row],[الدفعات]]</f>
        <v>40931.380000000005</v>
      </c>
      <c r="O313" s="48"/>
    </row>
    <row r="314" spans="1:15" ht="24.6" customHeight="1" x14ac:dyDescent="0.3">
      <c r="A314" s="1"/>
      <c r="I314" s="1">
        <f>0.14*Table11819202310303132353839404148111518202843[[#This Row],[النولون]]</f>
        <v>0</v>
      </c>
      <c r="K31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14" s="1">
        <f>M313+Table11819202310303132353839404148111518202843[[#This Row],[اجمالي الفاتوره]]-Table11819202310303132353839404148111518202843[[#This Row],[الدفعات]]</f>
        <v>40931.380000000005</v>
      </c>
      <c r="O314" s="48"/>
    </row>
    <row r="315" spans="1:15" ht="24.6" customHeight="1" x14ac:dyDescent="0.3">
      <c r="A315" s="1"/>
      <c r="I315" s="1">
        <f>0.14*Table11819202310303132353839404148111518202843[[#This Row],[النولون]]</f>
        <v>0</v>
      </c>
      <c r="K31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15" s="1">
        <f>M314+Table11819202310303132353839404148111518202843[[#This Row],[اجمالي الفاتوره]]-Table11819202310303132353839404148111518202843[[#This Row],[الدفعات]]</f>
        <v>40931.380000000005</v>
      </c>
      <c r="O315" s="48"/>
    </row>
    <row r="316" spans="1:15" ht="24.6" customHeight="1" x14ac:dyDescent="0.3">
      <c r="A316" s="1"/>
      <c r="I316" s="1">
        <f>0.14*Table11819202310303132353839404148111518202843[[#This Row],[النولون]]</f>
        <v>0</v>
      </c>
      <c r="K31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16" s="1">
        <f>M315+Table11819202310303132353839404148111518202843[[#This Row],[اجمالي الفاتوره]]-Table11819202310303132353839404148111518202843[[#This Row],[الدفعات]]</f>
        <v>40931.380000000005</v>
      </c>
      <c r="O316" s="48"/>
    </row>
    <row r="317" spans="1:15" ht="24.6" customHeight="1" x14ac:dyDescent="0.3">
      <c r="A317" s="1"/>
      <c r="I317" s="1">
        <f>0.14*Table11819202310303132353839404148111518202843[[#This Row],[النولون]]</f>
        <v>0</v>
      </c>
      <c r="K31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17" s="1">
        <f>M316+Table11819202310303132353839404148111518202843[[#This Row],[اجمالي الفاتوره]]-Table11819202310303132353839404148111518202843[[#This Row],[الدفعات]]</f>
        <v>40931.380000000005</v>
      </c>
      <c r="O317" s="48"/>
    </row>
    <row r="318" spans="1:15" ht="24.6" customHeight="1" x14ac:dyDescent="0.3">
      <c r="A318" s="1"/>
      <c r="I318" s="1">
        <f>0.14*Table11819202310303132353839404148111518202843[[#This Row],[النولون]]</f>
        <v>0</v>
      </c>
      <c r="K31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18" s="1">
        <f>M317+Table11819202310303132353839404148111518202843[[#This Row],[اجمالي الفاتوره]]-Table11819202310303132353839404148111518202843[[#This Row],[الدفعات]]</f>
        <v>40931.380000000005</v>
      </c>
      <c r="O318" s="48"/>
    </row>
    <row r="319" spans="1:15" ht="24.6" customHeight="1" x14ac:dyDescent="0.3">
      <c r="A319" s="1"/>
      <c r="I319" s="1">
        <f>0.14*Table11819202310303132353839404148111518202843[[#This Row],[النولون]]</f>
        <v>0</v>
      </c>
      <c r="K31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19" s="1">
        <f>M318+Table11819202310303132353839404148111518202843[[#This Row],[اجمالي الفاتوره]]-Table11819202310303132353839404148111518202843[[#This Row],[الدفعات]]</f>
        <v>40931.380000000005</v>
      </c>
      <c r="O319" s="48"/>
    </row>
    <row r="320" spans="1:15" ht="24.6" customHeight="1" x14ac:dyDescent="0.3">
      <c r="A320" s="1"/>
      <c r="I320" s="1">
        <f>0.14*Table11819202310303132353839404148111518202843[[#This Row],[النولون]]</f>
        <v>0</v>
      </c>
      <c r="K32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20" s="1">
        <f>M319+Table11819202310303132353839404148111518202843[[#This Row],[اجمالي الفاتوره]]-Table11819202310303132353839404148111518202843[[#This Row],[الدفعات]]</f>
        <v>40931.380000000005</v>
      </c>
      <c r="O320" s="48"/>
    </row>
    <row r="321" spans="1:15" ht="24.6" customHeight="1" x14ac:dyDescent="0.3">
      <c r="A321" s="1"/>
      <c r="I321" s="1">
        <f>0.14*Table11819202310303132353839404148111518202843[[#This Row],[النولون]]</f>
        <v>0</v>
      </c>
      <c r="K32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21" s="1">
        <f>M320+Table11819202310303132353839404148111518202843[[#This Row],[اجمالي الفاتوره]]-Table11819202310303132353839404148111518202843[[#This Row],[الدفعات]]</f>
        <v>40931.380000000005</v>
      </c>
      <c r="O321" s="48"/>
    </row>
    <row r="322" spans="1:15" ht="24.6" customHeight="1" x14ac:dyDescent="0.3">
      <c r="A322" s="1"/>
      <c r="I322" s="1">
        <f>0.14*Table11819202310303132353839404148111518202843[[#This Row],[النولون]]</f>
        <v>0</v>
      </c>
      <c r="K32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22" s="1">
        <f>M321+Table11819202310303132353839404148111518202843[[#This Row],[اجمالي الفاتوره]]-Table11819202310303132353839404148111518202843[[#This Row],[الدفعات]]</f>
        <v>40931.380000000005</v>
      </c>
      <c r="O322" s="48"/>
    </row>
    <row r="323" spans="1:15" ht="24.6" customHeight="1" x14ac:dyDescent="0.3">
      <c r="A323" s="1"/>
      <c r="I323" s="1">
        <f>0.14*Table11819202310303132353839404148111518202843[[#This Row],[النولون]]</f>
        <v>0</v>
      </c>
      <c r="K32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23" s="1">
        <f>M322+Table11819202310303132353839404148111518202843[[#This Row],[اجمالي الفاتوره]]-Table11819202310303132353839404148111518202843[[#This Row],[الدفعات]]</f>
        <v>40931.380000000005</v>
      </c>
      <c r="O323" s="48"/>
    </row>
    <row r="324" spans="1:15" ht="24.6" customHeight="1" x14ac:dyDescent="0.3">
      <c r="A324" s="1"/>
      <c r="I324" s="1">
        <f>0.14*Table11819202310303132353839404148111518202843[[#This Row],[النولون]]</f>
        <v>0</v>
      </c>
      <c r="K32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24" s="1">
        <f>M323+Table11819202310303132353839404148111518202843[[#This Row],[اجمالي الفاتوره]]-Table11819202310303132353839404148111518202843[[#This Row],[الدفعات]]</f>
        <v>40931.380000000005</v>
      </c>
      <c r="O324" s="48"/>
    </row>
    <row r="325" spans="1:15" ht="24.6" customHeight="1" x14ac:dyDescent="0.3">
      <c r="A325" s="1"/>
      <c r="I325" s="1">
        <f>0.14*Table11819202310303132353839404148111518202843[[#This Row],[النولون]]</f>
        <v>0</v>
      </c>
      <c r="K32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25" s="1">
        <f>M324+Table11819202310303132353839404148111518202843[[#This Row],[اجمالي الفاتوره]]-Table11819202310303132353839404148111518202843[[#This Row],[الدفعات]]</f>
        <v>40931.380000000005</v>
      </c>
      <c r="O325" s="48"/>
    </row>
    <row r="326" spans="1:15" ht="24.6" customHeight="1" x14ac:dyDescent="0.3">
      <c r="A326" s="1"/>
      <c r="I326" s="1">
        <f>0.14*Table11819202310303132353839404148111518202843[[#This Row],[النولون]]</f>
        <v>0</v>
      </c>
      <c r="K32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26" s="1">
        <f>M325+Table11819202310303132353839404148111518202843[[#This Row],[اجمالي الفاتوره]]-Table11819202310303132353839404148111518202843[[#This Row],[الدفعات]]</f>
        <v>40931.380000000005</v>
      </c>
      <c r="O326" s="48"/>
    </row>
    <row r="327" spans="1:15" ht="24.6" customHeight="1" x14ac:dyDescent="0.3">
      <c r="A327" s="1"/>
      <c r="I327" s="1">
        <f>0.14*Table11819202310303132353839404148111518202843[[#This Row],[النولون]]</f>
        <v>0</v>
      </c>
      <c r="K32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27" s="1">
        <f>M326+Table11819202310303132353839404148111518202843[[#This Row],[اجمالي الفاتوره]]-Table11819202310303132353839404148111518202843[[#This Row],[الدفعات]]</f>
        <v>40931.380000000005</v>
      </c>
      <c r="O327" s="48"/>
    </row>
    <row r="328" spans="1:15" ht="24.6" customHeight="1" x14ac:dyDescent="0.3">
      <c r="A328" s="1"/>
      <c r="I328" s="1">
        <f>0.14*Table11819202310303132353839404148111518202843[[#This Row],[النولون]]</f>
        <v>0</v>
      </c>
      <c r="K32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28" s="1">
        <f>M327+Table11819202310303132353839404148111518202843[[#This Row],[اجمالي الفاتوره]]-Table11819202310303132353839404148111518202843[[#This Row],[الدفعات]]</f>
        <v>40931.380000000005</v>
      </c>
      <c r="O328" s="48"/>
    </row>
    <row r="329" spans="1:15" ht="24.6" customHeight="1" x14ac:dyDescent="0.3">
      <c r="A329" s="1"/>
      <c r="I329" s="1">
        <f>0.14*Table11819202310303132353839404148111518202843[[#This Row],[النولون]]</f>
        <v>0</v>
      </c>
      <c r="K32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29" s="1">
        <f>M328+Table11819202310303132353839404148111518202843[[#This Row],[اجمالي الفاتوره]]-Table11819202310303132353839404148111518202843[[#This Row],[الدفعات]]</f>
        <v>40931.380000000005</v>
      </c>
      <c r="O329" s="48"/>
    </row>
    <row r="330" spans="1:15" ht="24.6" customHeight="1" x14ac:dyDescent="0.3">
      <c r="A330" s="1"/>
      <c r="I330" s="1">
        <f>0.14*Table11819202310303132353839404148111518202843[[#This Row],[النولون]]</f>
        <v>0</v>
      </c>
      <c r="K33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30" s="1">
        <f>M329+Table11819202310303132353839404148111518202843[[#This Row],[اجمالي الفاتوره]]-Table11819202310303132353839404148111518202843[[#This Row],[الدفعات]]</f>
        <v>40931.380000000005</v>
      </c>
      <c r="O330" s="48"/>
    </row>
    <row r="331" spans="1:15" ht="24.6" customHeight="1" x14ac:dyDescent="0.3">
      <c r="A331" s="1"/>
      <c r="I331" s="1">
        <f>0.14*Table11819202310303132353839404148111518202843[[#This Row],[النولون]]</f>
        <v>0</v>
      </c>
      <c r="K33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31" s="1">
        <f>M330+Table11819202310303132353839404148111518202843[[#This Row],[اجمالي الفاتوره]]-Table11819202310303132353839404148111518202843[[#This Row],[الدفعات]]</f>
        <v>40931.380000000005</v>
      </c>
      <c r="O331" s="48"/>
    </row>
    <row r="332" spans="1:15" ht="24.6" customHeight="1" x14ac:dyDescent="0.3">
      <c r="A332" s="1"/>
      <c r="I332" s="1">
        <f>0.14*Table11819202310303132353839404148111518202843[[#This Row],[النولون]]</f>
        <v>0</v>
      </c>
      <c r="K33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32" s="1">
        <f>M331+Table11819202310303132353839404148111518202843[[#This Row],[اجمالي الفاتوره]]-Table11819202310303132353839404148111518202843[[#This Row],[الدفعات]]</f>
        <v>40931.380000000005</v>
      </c>
      <c r="O332" s="48"/>
    </row>
    <row r="333" spans="1:15" ht="24.6" customHeight="1" x14ac:dyDescent="0.3">
      <c r="A333" s="1"/>
      <c r="I333" s="1">
        <f>0.14*Table11819202310303132353839404148111518202843[[#This Row],[النولون]]</f>
        <v>0</v>
      </c>
      <c r="K33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33" s="1">
        <f>M332+Table11819202310303132353839404148111518202843[[#This Row],[اجمالي الفاتوره]]-Table11819202310303132353839404148111518202843[[#This Row],[الدفعات]]</f>
        <v>40931.380000000005</v>
      </c>
      <c r="O333" s="48"/>
    </row>
    <row r="334" spans="1:15" ht="24.6" customHeight="1" x14ac:dyDescent="0.3">
      <c r="A334" s="1"/>
      <c r="I334" s="1">
        <f>0.14*Table11819202310303132353839404148111518202843[[#This Row],[النولون]]</f>
        <v>0</v>
      </c>
      <c r="K334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34" s="1">
        <f>M333+Table11819202310303132353839404148111518202843[[#This Row],[اجمالي الفاتوره]]-Table11819202310303132353839404148111518202843[[#This Row],[الدفعات]]</f>
        <v>40931.380000000005</v>
      </c>
      <c r="O334" s="48"/>
    </row>
    <row r="335" spans="1:15" ht="24.6" customHeight="1" x14ac:dyDescent="0.3">
      <c r="A335" s="1"/>
      <c r="I335" s="1">
        <f>0.14*Table11819202310303132353839404148111518202843[[#This Row],[النولون]]</f>
        <v>0</v>
      </c>
      <c r="K335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35" s="1">
        <f>M334+Table11819202310303132353839404148111518202843[[#This Row],[اجمالي الفاتوره]]-Table11819202310303132353839404148111518202843[[#This Row],[الدفعات]]</f>
        <v>40931.380000000005</v>
      </c>
      <c r="O335" s="48"/>
    </row>
    <row r="336" spans="1:15" ht="24.6" customHeight="1" x14ac:dyDescent="0.3">
      <c r="A336" s="1"/>
      <c r="I336" s="1">
        <f>0.14*Table11819202310303132353839404148111518202843[[#This Row],[النولون]]</f>
        <v>0</v>
      </c>
      <c r="K336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36" s="1">
        <f>M335+Table11819202310303132353839404148111518202843[[#This Row],[اجمالي الفاتوره]]-Table11819202310303132353839404148111518202843[[#This Row],[الدفعات]]</f>
        <v>40931.380000000005</v>
      </c>
      <c r="O336" s="48"/>
    </row>
    <row r="337" spans="1:15" ht="24.6" customHeight="1" x14ac:dyDescent="0.3">
      <c r="A337" s="1"/>
      <c r="I337" s="1">
        <f>0.14*Table11819202310303132353839404148111518202843[[#This Row],[النولون]]</f>
        <v>0</v>
      </c>
      <c r="K337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37" s="1">
        <f>M336+Table11819202310303132353839404148111518202843[[#This Row],[اجمالي الفاتوره]]-Table11819202310303132353839404148111518202843[[#This Row],[الدفعات]]</f>
        <v>40931.380000000005</v>
      </c>
      <c r="O337" s="48"/>
    </row>
    <row r="338" spans="1:15" ht="24.6" customHeight="1" x14ac:dyDescent="0.3">
      <c r="A338" s="1"/>
      <c r="I338" s="1">
        <f>0.14*Table11819202310303132353839404148111518202843[[#This Row],[النولون]]</f>
        <v>0</v>
      </c>
      <c r="K338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38" s="1">
        <f>M337+Table11819202310303132353839404148111518202843[[#This Row],[اجمالي الفاتوره]]-Table11819202310303132353839404148111518202843[[#This Row],[الدفعات]]</f>
        <v>40931.380000000005</v>
      </c>
      <c r="O338" s="48"/>
    </row>
    <row r="339" spans="1:15" ht="24.6" customHeight="1" x14ac:dyDescent="0.3">
      <c r="A339" s="1"/>
      <c r="I339" s="1">
        <f>0.14*Table11819202310303132353839404148111518202843[[#This Row],[النولون]]</f>
        <v>0</v>
      </c>
      <c r="K339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39" s="1">
        <f>M338+Table11819202310303132353839404148111518202843[[#This Row],[اجمالي الفاتوره]]-Table11819202310303132353839404148111518202843[[#This Row],[الدفعات]]</f>
        <v>40931.380000000005</v>
      </c>
      <c r="O339" s="48"/>
    </row>
    <row r="340" spans="1:15" ht="24.6" customHeight="1" x14ac:dyDescent="0.3">
      <c r="A340" s="1"/>
      <c r="I340" s="1">
        <f>0.14*Table11819202310303132353839404148111518202843[[#This Row],[النولون]]</f>
        <v>0</v>
      </c>
      <c r="K340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40" s="1">
        <f>M339+Table11819202310303132353839404148111518202843[[#This Row],[اجمالي الفاتوره]]-Table11819202310303132353839404148111518202843[[#This Row],[الدفعات]]</f>
        <v>40931.380000000005</v>
      </c>
      <c r="O340" s="48"/>
    </row>
    <row r="341" spans="1:15" ht="24.6" customHeight="1" x14ac:dyDescent="0.3">
      <c r="A341" s="1"/>
      <c r="I341" s="1">
        <f>0.14*Table11819202310303132353839404148111518202843[[#This Row],[النولون]]</f>
        <v>0</v>
      </c>
      <c r="K341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41" s="1">
        <f>M340+Table11819202310303132353839404148111518202843[[#This Row],[اجمالي الفاتوره]]-Table11819202310303132353839404148111518202843[[#This Row],[الدفعات]]</f>
        <v>40931.380000000005</v>
      </c>
      <c r="O341" s="48"/>
    </row>
    <row r="342" spans="1:15" ht="24.6" customHeight="1" x14ac:dyDescent="0.3">
      <c r="A342" s="1"/>
      <c r="I342" s="1">
        <f>0.14*Table11819202310303132353839404148111518202843[[#This Row],[النولون]]</f>
        <v>0</v>
      </c>
      <c r="K342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42" s="1">
        <f>M341+Table11819202310303132353839404148111518202843[[#This Row],[اجمالي الفاتوره]]-Table11819202310303132353839404148111518202843[[#This Row],[الدفعات]]</f>
        <v>40931.380000000005</v>
      </c>
      <c r="O342" s="48"/>
    </row>
    <row r="343" spans="1:15" ht="24.6" customHeight="1" x14ac:dyDescent="0.3">
      <c r="A343" s="1"/>
      <c r="I343" s="1">
        <f>0.14*Table11819202310303132353839404148111518202843[[#This Row],[النولون]]</f>
        <v>0</v>
      </c>
      <c r="K343" s="1">
        <f>Table11819202310303132353839404148111518202843[[#This Row],[النولون]]+Table11819202310303132353839404148111518202843[[#This Row],[الايصالات]]+Table11819202310303132353839404148111518202843[[#This Row],[قيمة مضافة]]</f>
        <v>0</v>
      </c>
      <c r="M343" s="1">
        <f>M342+Table11819202310303132353839404148111518202843[[#This Row],[اجمالي الفاتوره]]-Table11819202310303132353839404148111518202843[[#This Row],[الدفعات]]</f>
        <v>40931.380000000005</v>
      </c>
      <c r="O343" s="48"/>
    </row>
  </sheetData>
  <phoneticPr fontId="2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06821-79CF-4B58-B1F9-FD7753FF5AEA}">
  <dimension ref="A1:O339"/>
  <sheetViews>
    <sheetView rightToLeft="1" workbookViewId="0">
      <selection activeCell="H2" sqref="H2"/>
    </sheetView>
  </sheetViews>
  <sheetFormatPr defaultColWidth="9.109375" defaultRowHeight="15.6" x14ac:dyDescent="0.3"/>
  <cols>
    <col min="1" max="1" width="5.44140625" style="1" customWidth="1"/>
    <col min="2" max="2" width="11" style="1" customWidth="1"/>
    <col min="3" max="3" width="15.109375" style="1" customWidth="1"/>
    <col min="4" max="4" width="11.21875" style="1" customWidth="1"/>
    <col min="5" max="5" width="13.33203125" style="1" customWidth="1"/>
    <col min="6" max="6" width="13" style="1" customWidth="1"/>
    <col min="7" max="7" width="11.6640625" style="1" customWidth="1"/>
    <col min="8" max="8" width="11.77734375" style="1" customWidth="1"/>
    <col min="9" max="9" width="8.21875" style="1" customWidth="1"/>
    <col min="10" max="10" width="10.77734375" style="1" customWidth="1"/>
    <col min="11" max="11" width="12" style="1" customWidth="1"/>
    <col min="12" max="12" width="12.77734375" style="1" customWidth="1"/>
    <col min="13" max="13" width="15.21875" style="1" customWidth="1"/>
    <col min="14" max="16384" width="9.109375" style="1"/>
  </cols>
  <sheetData>
    <row r="1" spans="1:15" ht="26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8" t="s">
        <v>20</v>
      </c>
    </row>
    <row r="2" spans="1:15" ht="26.25" customHeight="1" x14ac:dyDescent="0.3">
      <c r="A2" s="1">
        <v>1569</v>
      </c>
      <c r="B2" s="2">
        <v>46196</v>
      </c>
      <c r="C2" s="1" t="s">
        <v>630</v>
      </c>
      <c r="D2" s="1" t="s">
        <v>631</v>
      </c>
      <c r="E2" s="1">
        <v>304750</v>
      </c>
      <c r="F2" s="1" t="s">
        <v>181</v>
      </c>
      <c r="G2" s="1">
        <f>6800*4</f>
        <v>27200</v>
      </c>
      <c r="H2" s="1">
        <f>0.14*Table118192023103031323538394041430[[#This Row],[النولون]]</f>
        <v>3808.0000000000005</v>
      </c>
      <c r="J2" s="1">
        <f>9560+810*2+1135+1105+1150+684.08+424.07+393.86+767.12+2148.9+1578.9+2148.9+1920.9+150</f>
        <v>24786.730000000007</v>
      </c>
      <c r="K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55794.73000000001</v>
      </c>
      <c r="M2" s="1">
        <f>Table118192023103031323538394041430[[#This Row],[اجمالي الفاتوره]]</f>
        <v>55794.73000000001</v>
      </c>
      <c r="O2" s="48"/>
    </row>
    <row r="3" spans="1:15" ht="26.25" customHeight="1" x14ac:dyDescent="0.3">
      <c r="B3" s="2"/>
      <c r="H3" s="1">
        <f>0.14*Table118192023103031323538394041430[[#This Row],[النولون]]</f>
        <v>0</v>
      </c>
      <c r="K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" s="1">
        <f>M2+Table118192023103031323538394041430[[#This Row],[اجمالي الفاتوره]]-Table118192023103031323538394041430[[#This Row],[الدفعات]]</f>
        <v>55794.73000000001</v>
      </c>
      <c r="O3" s="48"/>
    </row>
    <row r="4" spans="1:15" ht="26.25" customHeight="1" x14ac:dyDescent="0.3">
      <c r="B4" s="2"/>
      <c r="H4" s="1">
        <f>0.14*Table118192023103031323538394041430[[#This Row],[النولون]]</f>
        <v>0</v>
      </c>
      <c r="K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4" s="1">
        <f>M3+Table118192023103031323538394041430[[#This Row],[اجمالي الفاتوره]]-Table118192023103031323538394041430[[#This Row],[الدفعات]]</f>
        <v>55794.73000000001</v>
      </c>
      <c r="O4" s="48"/>
    </row>
    <row r="5" spans="1:15" ht="26.25" customHeight="1" x14ac:dyDescent="0.3">
      <c r="B5" s="2"/>
      <c r="H5" s="1">
        <f>0.14*Table118192023103031323538394041430[[#This Row],[النولون]]</f>
        <v>0</v>
      </c>
      <c r="K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5" s="1">
        <f>M4+Table118192023103031323538394041430[[#This Row],[اجمالي الفاتوره]]-Table118192023103031323538394041430[[#This Row],[الدفعات]]</f>
        <v>55794.73000000001</v>
      </c>
      <c r="O5" s="48"/>
    </row>
    <row r="6" spans="1:15" ht="26.25" customHeight="1" x14ac:dyDescent="0.3">
      <c r="B6" s="2"/>
      <c r="H6" s="1">
        <f>0.14*Table118192023103031323538394041430[[#This Row],[النولون]]</f>
        <v>0</v>
      </c>
      <c r="K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6" s="1">
        <f>M5+Table118192023103031323538394041430[[#This Row],[اجمالي الفاتوره]]-Table118192023103031323538394041430[[#This Row],[الدفعات]]</f>
        <v>55794.73000000001</v>
      </c>
      <c r="O6" s="48"/>
    </row>
    <row r="7" spans="1:15" ht="26.25" customHeight="1" x14ac:dyDescent="0.3">
      <c r="B7" s="2"/>
      <c r="H7" s="1">
        <f>0.14*Table118192023103031323538394041430[[#This Row],[النولون]]</f>
        <v>0</v>
      </c>
      <c r="K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7" s="1">
        <f>M6+Table118192023103031323538394041430[[#This Row],[اجمالي الفاتوره]]-Table118192023103031323538394041430[[#This Row],[الدفعات]]</f>
        <v>55794.73000000001</v>
      </c>
      <c r="O7" s="48"/>
    </row>
    <row r="8" spans="1:15" ht="26.25" customHeight="1" x14ac:dyDescent="0.3">
      <c r="A8" s="48"/>
      <c r="B8" s="54"/>
      <c r="C8" s="48"/>
      <c r="D8" s="48"/>
      <c r="E8" s="48"/>
      <c r="F8" s="48"/>
      <c r="G8" s="48"/>
      <c r="H8" s="48">
        <f>0.14*Table118192023103031323538394041430[[#This Row],[النولون]]</f>
        <v>0</v>
      </c>
      <c r="I8" s="48"/>
      <c r="J8" s="48"/>
      <c r="K8" s="48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L8" s="48"/>
      <c r="M8" s="1">
        <f>M7+Table118192023103031323538394041430[[#This Row],[اجمالي الفاتوره]]-Table118192023103031323538394041430[[#This Row],[الدفعات]]</f>
        <v>55794.73000000001</v>
      </c>
      <c r="N8" s="48"/>
      <c r="O8" s="48"/>
    </row>
    <row r="9" spans="1:15" ht="26.25" customHeight="1" x14ac:dyDescent="0.3">
      <c r="B9" s="2"/>
      <c r="H9" s="1">
        <f>0.14*Table118192023103031323538394041430[[#This Row],[النولون]]</f>
        <v>0</v>
      </c>
      <c r="K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9" s="1">
        <f>M8+Table118192023103031323538394041430[[#This Row],[اجمالي الفاتوره]]-Table118192023103031323538394041430[[#This Row],[الدفعات]]</f>
        <v>55794.73000000001</v>
      </c>
      <c r="O9" s="48"/>
    </row>
    <row r="10" spans="1:15" ht="26.25" customHeight="1" x14ac:dyDescent="0.3">
      <c r="B10" s="2"/>
      <c r="C10" s="2"/>
      <c r="D10" s="20"/>
      <c r="E10" s="20"/>
      <c r="H10" s="1">
        <f>0.14*Table118192023103031323538394041430[[#This Row],[النولون]]</f>
        <v>0</v>
      </c>
      <c r="K1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0" s="1">
        <f>M9+Table118192023103031323538394041430[[#This Row],[اجمالي الفاتوره]]-Table118192023103031323538394041430[[#This Row],[الدفعات]]</f>
        <v>55794.73000000001</v>
      </c>
      <c r="O10" s="48"/>
    </row>
    <row r="11" spans="1:15" ht="26.25" customHeight="1" x14ac:dyDescent="0.3">
      <c r="B11" s="2"/>
      <c r="E11" s="20"/>
      <c r="H11" s="1">
        <f>0.14*Table118192023103031323538394041430[[#This Row],[النولون]]</f>
        <v>0</v>
      </c>
      <c r="K1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1" s="1">
        <f>M10+Table118192023103031323538394041430[[#This Row],[اجمالي الفاتوره]]-Table118192023103031323538394041430[[#This Row],[الدفعات]]</f>
        <v>55794.73000000001</v>
      </c>
      <c r="O11" s="48"/>
    </row>
    <row r="12" spans="1:15" ht="26.25" customHeight="1" x14ac:dyDescent="0.3">
      <c r="B12" s="2"/>
      <c r="E12" s="20"/>
      <c r="H12" s="1">
        <f>0.14*Table118192023103031323538394041430[[#This Row],[النولون]]</f>
        <v>0</v>
      </c>
      <c r="K1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2" s="1">
        <f>M11+Table118192023103031323538394041430[[#This Row],[اجمالي الفاتوره]]-Table118192023103031323538394041430[[#This Row],[الدفعات]]</f>
        <v>55794.73000000001</v>
      </c>
      <c r="O12" s="48"/>
    </row>
    <row r="13" spans="1:15" ht="26.25" customHeight="1" x14ac:dyDescent="0.3">
      <c r="B13" s="2"/>
      <c r="H13" s="1">
        <f>0.14*Table118192023103031323538394041430[[#This Row],[النولون]]</f>
        <v>0</v>
      </c>
      <c r="K1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3" s="1">
        <f>M12+Table118192023103031323538394041430[[#This Row],[اجمالي الفاتوره]]-Table118192023103031323538394041430[[#This Row],[الدفعات]]</f>
        <v>55794.73000000001</v>
      </c>
      <c r="N13" s="1">
        <f>SUM(K:K)-SUM(L:L)</f>
        <v>55794.73000000001</v>
      </c>
      <c r="O13" s="48">
        <f>SUM(H:H)</f>
        <v>3808.0000000000005</v>
      </c>
    </row>
    <row r="14" spans="1:15" ht="26.25" customHeight="1" x14ac:dyDescent="0.3">
      <c r="B14" s="2"/>
      <c r="H14" s="1">
        <f>0.14*Table118192023103031323538394041430[[#This Row],[النولون]]</f>
        <v>0</v>
      </c>
      <c r="K1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4" s="1">
        <f>M13+Table118192023103031323538394041430[[#This Row],[اجمالي الفاتوره]]-Table118192023103031323538394041430[[#This Row],[الدفعات]]</f>
        <v>55794.73000000001</v>
      </c>
      <c r="O14" s="48"/>
    </row>
    <row r="15" spans="1:15" ht="26.25" customHeight="1" x14ac:dyDescent="0.3">
      <c r="B15" s="2"/>
      <c r="H15" s="1">
        <f>0.14*Table118192023103031323538394041430[[#This Row],[النولون]]</f>
        <v>0</v>
      </c>
      <c r="K1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5" s="1">
        <f>M14+Table118192023103031323538394041430[[#This Row],[اجمالي الفاتوره]]-Table118192023103031323538394041430[[#This Row],[الدفعات]]</f>
        <v>55794.73000000001</v>
      </c>
      <c r="O15" s="48"/>
    </row>
    <row r="16" spans="1:15" ht="26.25" customHeight="1" x14ac:dyDescent="0.3">
      <c r="B16" s="2"/>
      <c r="H16" s="1">
        <f>0.14*Table118192023103031323538394041430[[#This Row],[النولون]]</f>
        <v>0</v>
      </c>
      <c r="K1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6" s="1">
        <f>M15+Table118192023103031323538394041430[[#This Row],[اجمالي الفاتوره]]-Table118192023103031323538394041430[[#This Row],[الدفعات]]</f>
        <v>55794.73000000001</v>
      </c>
      <c r="O16" s="48"/>
    </row>
    <row r="17" spans="2:15" ht="26.25" customHeight="1" x14ac:dyDescent="0.3">
      <c r="B17" s="2"/>
      <c r="H17" s="1">
        <f>0.14*Table118192023103031323538394041430[[#This Row],[النولون]]</f>
        <v>0</v>
      </c>
      <c r="K1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7" s="1">
        <f>M16+Table118192023103031323538394041430[[#This Row],[اجمالي الفاتوره]]-Table118192023103031323538394041430[[#This Row],[الدفعات]]</f>
        <v>55794.73000000001</v>
      </c>
      <c r="O17" s="48"/>
    </row>
    <row r="18" spans="2:15" ht="26.25" customHeight="1" x14ac:dyDescent="0.3">
      <c r="B18" s="2"/>
      <c r="H18" s="1">
        <f>0.14*Table118192023103031323538394041430[[#This Row],[النولون]]</f>
        <v>0</v>
      </c>
      <c r="K1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8" s="1">
        <f>M17+Table118192023103031323538394041430[[#This Row],[اجمالي الفاتوره]]-Table118192023103031323538394041430[[#This Row],[الدفعات]]</f>
        <v>55794.73000000001</v>
      </c>
      <c r="O18" s="48"/>
    </row>
    <row r="19" spans="2:15" ht="26.25" customHeight="1" x14ac:dyDescent="0.3">
      <c r="B19" s="2"/>
      <c r="H19" s="1">
        <f>0.14*Table118192023103031323538394041430[[#This Row],[النولون]]</f>
        <v>0</v>
      </c>
      <c r="K1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9" s="1">
        <f>M18+Table118192023103031323538394041430[[#This Row],[اجمالي الفاتوره]]-Table118192023103031323538394041430[[#This Row],[الدفعات]]</f>
        <v>55794.73000000001</v>
      </c>
      <c r="O19" s="48"/>
    </row>
    <row r="20" spans="2:15" ht="26.25" customHeight="1" x14ac:dyDescent="0.3">
      <c r="B20" s="2"/>
      <c r="H20" s="1">
        <f>0.14*Table118192023103031323538394041430[[#This Row],[النولون]]</f>
        <v>0</v>
      </c>
      <c r="K2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0" s="1">
        <f>M19+Table118192023103031323538394041430[[#This Row],[اجمالي الفاتوره]]-Table118192023103031323538394041430[[#This Row],[الدفعات]]</f>
        <v>55794.73000000001</v>
      </c>
      <c r="O20" s="48"/>
    </row>
    <row r="21" spans="2:15" ht="26.25" customHeight="1" x14ac:dyDescent="0.3">
      <c r="B21" s="2"/>
      <c r="H21" s="1">
        <f>0.14*Table118192023103031323538394041430[[#This Row],[النولون]]</f>
        <v>0</v>
      </c>
      <c r="K2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1" s="1">
        <f>M20+Table118192023103031323538394041430[[#This Row],[اجمالي الفاتوره]]-Table118192023103031323538394041430[[#This Row],[الدفعات]]</f>
        <v>55794.73000000001</v>
      </c>
      <c r="O21" s="48"/>
    </row>
    <row r="22" spans="2:15" ht="26.25" customHeight="1" x14ac:dyDescent="0.3">
      <c r="B22" s="2"/>
      <c r="H22" s="1">
        <f>0.14*Table118192023103031323538394041430[[#This Row],[النولون]]</f>
        <v>0</v>
      </c>
      <c r="K2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2" s="1">
        <f>M21+Table118192023103031323538394041430[[#This Row],[اجمالي الفاتوره]]-Table118192023103031323538394041430[[#This Row],[الدفعات]]</f>
        <v>55794.73000000001</v>
      </c>
      <c r="O22" s="48"/>
    </row>
    <row r="23" spans="2:15" ht="26.25" customHeight="1" x14ac:dyDescent="0.3">
      <c r="B23" s="2"/>
      <c r="H23" s="1">
        <f>0.14*Table118192023103031323538394041430[[#This Row],[النولون]]</f>
        <v>0</v>
      </c>
      <c r="K2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3" s="1">
        <f>M22+Table118192023103031323538394041430[[#This Row],[اجمالي الفاتوره]]-Table118192023103031323538394041430[[#This Row],[الدفعات]]</f>
        <v>55794.73000000001</v>
      </c>
      <c r="O23" s="48"/>
    </row>
    <row r="24" spans="2:15" ht="26.25" customHeight="1" x14ac:dyDescent="0.3">
      <c r="B24" s="2"/>
      <c r="H24" s="1">
        <f>0.14*Table118192023103031323538394041430[[#This Row],[النولون]]</f>
        <v>0</v>
      </c>
      <c r="K2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4" s="1">
        <f>M23+Table118192023103031323538394041430[[#This Row],[اجمالي الفاتوره]]-Table118192023103031323538394041430[[#This Row],[الدفعات]]</f>
        <v>55794.73000000001</v>
      </c>
      <c r="O24" s="48"/>
    </row>
    <row r="25" spans="2:15" ht="26.25" customHeight="1" x14ac:dyDescent="0.3">
      <c r="H25" s="1">
        <f>0.14*Table118192023103031323538394041430[[#This Row],[النولون]]</f>
        <v>0</v>
      </c>
      <c r="K2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5" s="1">
        <f>M24+Table118192023103031323538394041430[[#This Row],[اجمالي الفاتوره]]-Table118192023103031323538394041430[[#This Row],[الدفعات]]</f>
        <v>55794.73000000001</v>
      </c>
      <c r="O25" s="48"/>
    </row>
    <row r="26" spans="2:15" ht="26.25" customHeight="1" x14ac:dyDescent="0.3">
      <c r="H26" s="1">
        <f>0.14*Table118192023103031323538394041430[[#This Row],[النولون]]</f>
        <v>0</v>
      </c>
      <c r="K2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6" s="1">
        <f>M25+Table118192023103031323538394041430[[#This Row],[اجمالي الفاتوره]]-Table118192023103031323538394041430[[#This Row],[الدفعات]]</f>
        <v>55794.73000000001</v>
      </c>
      <c r="O26" s="48"/>
    </row>
    <row r="27" spans="2:15" ht="26.25" customHeight="1" x14ac:dyDescent="0.3">
      <c r="B27" s="2"/>
      <c r="H27" s="1">
        <f>0.14*Table118192023103031323538394041430[[#This Row],[النولون]]</f>
        <v>0</v>
      </c>
      <c r="K2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7" s="1">
        <f>M26+Table118192023103031323538394041430[[#This Row],[اجمالي الفاتوره]]-Table118192023103031323538394041430[[#This Row],[الدفعات]]</f>
        <v>55794.73000000001</v>
      </c>
      <c r="O27" s="48"/>
    </row>
    <row r="28" spans="2:15" ht="26.25" customHeight="1" x14ac:dyDescent="0.3">
      <c r="B28" s="2"/>
      <c r="H28" s="1">
        <f>0.14*Table118192023103031323538394041430[[#This Row],[النولون]]</f>
        <v>0</v>
      </c>
      <c r="K2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8" s="1">
        <f>M27+Table118192023103031323538394041430[[#This Row],[اجمالي الفاتوره]]-Table118192023103031323538394041430[[#This Row],[الدفعات]]</f>
        <v>55794.73000000001</v>
      </c>
      <c r="O28" s="48"/>
    </row>
    <row r="29" spans="2:15" ht="26.25" customHeight="1" x14ac:dyDescent="0.3">
      <c r="B29" s="2"/>
      <c r="H29" s="1">
        <f>0.14*Table118192023103031323538394041430[[#This Row],[النولون]]</f>
        <v>0</v>
      </c>
      <c r="K2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9" s="1">
        <f>M28+Table118192023103031323538394041430[[#This Row],[اجمالي الفاتوره]]-Table118192023103031323538394041430[[#This Row],[الدفعات]]</f>
        <v>55794.73000000001</v>
      </c>
      <c r="O29" s="48"/>
    </row>
    <row r="30" spans="2:15" ht="26.25" customHeight="1" x14ac:dyDescent="0.3">
      <c r="B30" s="2"/>
      <c r="H30" s="1">
        <f>0.14*Table118192023103031323538394041430[[#This Row],[النولون]]</f>
        <v>0</v>
      </c>
      <c r="K3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0" s="1">
        <f>M29+Table118192023103031323538394041430[[#This Row],[اجمالي الفاتوره]]-Table118192023103031323538394041430[[#This Row],[الدفعات]]</f>
        <v>55794.73000000001</v>
      </c>
      <c r="O30" s="48"/>
    </row>
    <row r="31" spans="2:15" ht="26.25" customHeight="1" x14ac:dyDescent="0.3">
      <c r="H31" s="1">
        <f>0.14*Table118192023103031323538394041430[[#This Row],[النولون]]</f>
        <v>0</v>
      </c>
      <c r="K3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1" s="1">
        <f>M30+Table118192023103031323538394041430[[#This Row],[اجمالي الفاتوره]]-Table118192023103031323538394041430[[#This Row],[الدفعات]]</f>
        <v>55794.73000000001</v>
      </c>
      <c r="O31" s="48"/>
    </row>
    <row r="32" spans="2:15" ht="26.25" customHeight="1" x14ac:dyDescent="0.3">
      <c r="B32" s="2"/>
      <c r="H32" s="1">
        <f>0.14*Table118192023103031323538394041430[[#This Row],[النولون]]</f>
        <v>0</v>
      </c>
      <c r="K3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2" s="1">
        <f>M31+Table118192023103031323538394041430[[#This Row],[اجمالي الفاتوره]]-Table118192023103031323538394041430[[#This Row],[الدفعات]]</f>
        <v>55794.73000000001</v>
      </c>
      <c r="O32" s="48"/>
    </row>
    <row r="33" spans="2:15" ht="26.25" customHeight="1" x14ac:dyDescent="0.3">
      <c r="H33" s="1">
        <f>0.14*Table118192023103031323538394041430[[#This Row],[النولون]]</f>
        <v>0</v>
      </c>
      <c r="K3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3" s="1">
        <f>M32+Table118192023103031323538394041430[[#This Row],[اجمالي الفاتوره]]-Table118192023103031323538394041430[[#This Row],[الدفعات]]</f>
        <v>55794.73000000001</v>
      </c>
      <c r="O33" s="48"/>
    </row>
    <row r="34" spans="2:15" ht="26.25" customHeight="1" x14ac:dyDescent="0.3">
      <c r="H34" s="1">
        <f>0.14*Table118192023103031323538394041430[[#This Row],[النولون]]</f>
        <v>0</v>
      </c>
      <c r="K3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4" s="1">
        <f>M33+Table118192023103031323538394041430[[#This Row],[اجمالي الفاتوره]]-Table118192023103031323538394041430[[#This Row],[الدفعات]]</f>
        <v>55794.73000000001</v>
      </c>
      <c r="O34" s="48"/>
    </row>
    <row r="35" spans="2:15" ht="26.25" customHeight="1" x14ac:dyDescent="0.3">
      <c r="H35" s="1">
        <f>0.14*Table118192023103031323538394041430[[#This Row],[النولون]]</f>
        <v>0</v>
      </c>
      <c r="K3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5" s="1">
        <f>M34+Table118192023103031323538394041430[[#This Row],[اجمالي الفاتوره]]-Table118192023103031323538394041430[[#This Row],[الدفعات]]</f>
        <v>55794.73000000001</v>
      </c>
      <c r="O35" s="48"/>
    </row>
    <row r="36" spans="2:15" ht="26.25" customHeight="1" x14ac:dyDescent="0.3">
      <c r="B36" s="2"/>
      <c r="C36" s="2"/>
      <c r="H36" s="1">
        <f>0.14*Table118192023103031323538394041430[[#This Row],[النولون]]</f>
        <v>0</v>
      </c>
      <c r="K3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6" s="1">
        <f>M35+Table118192023103031323538394041430[[#This Row],[اجمالي الفاتوره]]-Table118192023103031323538394041430[[#This Row],[الدفعات]]</f>
        <v>55794.73000000001</v>
      </c>
      <c r="O36" s="48"/>
    </row>
    <row r="37" spans="2:15" ht="26.25" customHeight="1" x14ac:dyDescent="0.3">
      <c r="H37" s="1">
        <f>0.14*Table118192023103031323538394041430[[#This Row],[النولون]]</f>
        <v>0</v>
      </c>
      <c r="K3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7" s="1">
        <f>M36+Table118192023103031323538394041430[[#This Row],[اجمالي الفاتوره]]-Table118192023103031323538394041430[[#This Row],[الدفعات]]</f>
        <v>55794.73000000001</v>
      </c>
      <c r="O37" s="48"/>
    </row>
    <row r="38" spans="2:15" ht="26.25" customHeight="1" x14ac:dyDescent="0.3">
      <c r="H38" s="1">
        <f>0.14*Table118192023103031323538394041430[[#This Row],[النولون]]</f>
        <v>0</v>
      </c>
      <c r="K3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8" s="1">
        <f>M37+Table118192023103031323538394041430[[#This Row],[اجمالي الفاتوره]]-Table118192023103031323538394041430[[#This Row],[الدفعات]]</f>
        <v>55794.73000000001</v>
      </c>
      <c r="O38" s="48"/>
    </row>
    <row r="39" spans="2:15" ht="26.25" customHeight="1" x14ac:dyDescent="0.3">
      <c r="H39" s="1">
        <f>0.14*Table118192023103031323538394041430[[#This Row],[النولون]]</f>
        <v>0</v>
      </c>
      <c r="K3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9" s="1">
        <f>M38+Table118192023103031323538394041430[[#This Row],[اجمالي الفاتوره]]-Table118192023103031323538394041430[[#This Row],[الدفعات]]</f>
        <v>55794.73000000001</v>
      </c>
      <c r="O39" s="48"/>
    </row>
    <row r="40" spans="2:15" ht="26.25" customHeight="1" x14ac:dyDescent="0.3">
      <c r="H40" s="1">
        <f>0.14*Table118192023103031323538394041430[[#This Row],[النولون]]</f>
        <v>0</v>
      </c>
      <c r="K4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40" s="1">
        <f>M39+Table118192023103031323538394041430[[#This Row],[اجمالي الفاتوره]]-Table118192023103031323538394041430[[#This Row],[الدفعات]]</f>
        <v>55794.73000000001</v>
      </c>
      <c r="O40" s="48"/>
    </row>
    <row r="41" spans="2:15" ht="26.25" customHeight="1" x14ac:dyDescent="0.3">
      <c r="H41" s="1">
        <f>0.14*Table118192023103031323538394041430[[#This Row],[النولون]]</f>
        <v>0</v>
      </c>
      <c r="K4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41" s="1">
        <f>M40+Table118192023103031323538394041430[[#This Row],[اجمالي الفاتوره]]-Table118192023103031323538394041430[[#This Row],[الدفعات]]</f>
        <v>55794.73000000001</v>
      </c>
      <c r="O41" s="48"/>
    </row>
    <row r="42" spans="2:15" ht="26.25" customHeight="1" x14ac:dyDescent="0.3">
      <c r="H42" s="1">
        <f>0.14*Table118192023103031323538394041430[[#This Row],[النولون]]</f>
        <v>0</v>
      </c>
      <c r="K4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42" s="1">
        <f>M41+Table118192023103031323538394041430[[#This Row],[اجمالي الفاتوره]]-Table118192023103031323538394041430[[#This Row],[الدفعات]]</f>
        <v>55794.73000000001</v>
      </c>
      <c r="O42" s="48"/>
    </row>
    <row r="43" spans="2:15" ht="26.25" customHeight="1" x14ac:dyDescent="0.3">
      <c r="H43" s="1">
        <f>0.14*Table118192023103031323538394041430[[#This Row],[النولون]]</f>
        <v>0</v>
      </c>
      <c r="K4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43" s="1">
        <f>M42+Table118192023103031323538394041430[[#This Row],[اجمالي الفاتوره]]-Table118192023103031323538394041430[[#This Row],[الدفعات]]</f>
        <v>55794.73000000001</v>
      </c>
      <c r="O43" s="48"/>
    </row>
    <row r="44" spans="2:15" ht="26.25" customHeight="1" x14ac:dyDescent="0.3">
      <c r="H44" s="1">
        <f>0.14*Table118192023103031323538394041430[[#This Row],[النولون]]</f>
        <v>0</v>
      </c>
      <c r="K4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44" s="1">
        <f>M43+Table118192023103031323538394041430[[#This Row],[اجمالي الفاتوره]]-Table118192023103031323538394041430[[#This Row],[الدفعات]]</f>
        <v>55794.73000000001</v>
      </c>
      <c r="O44" s="48"/>
    </row>
    <row r="45" spans="2:15" ht="26.25" customHeight="1" x14ac:dyDescent="0.3">
      <c r="H45" s="1">
        <f>0.14*Table118192023103031323538394041430[[#This Row],[النولون]]</f>
        <v>0</v>
      </c>
      <c r="K4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45" s="1">
        <f>M44+Table118192023103031323538394041430[[#This Row],[اجمالي الفاتوره]]-Table118192023103031323538394041430[[#This Row],[الدفعات]]</f>
        <v>55794.73000000001</v>
      </c>
      <c r="O45" s="48"/>
    </row>
    <row r="46" spans="2:15" ht="26.25" customHeight="1" x14ac:dyDescent="0.3">
      <c r="H46" s="1">
        <f>0.14*Table118192023103031323538394041430[[#This Row],[النولون]]</f>
        <v>0</v>
      </c>
      <c r="K4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46" s="1">
        <f>M45+Table118192023103031323538394041430[[#This Row],[اجمالي الفاتوره]]-Table118192023103031323538394041430[[#This Row],[الدفعات]]</f>
        <v>55794.73000000001</v>
      </c>
      <c r="O46" s="48"/>
    </row>
    <row r="47" spans="2:15" ht="26.25" customHeight="1" x14ac:dyDescent="0.3">
      <c r="H47" s="1">
        <f>0.14*Table118192023103031323538394041430[[#This Row],[النولون]]</f>
        <v>0</v>
      </c>
      <c r="K4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47" s="1">
        <f>M46+Table118192023103031323538394041430[[#This Row],[اجمالي الفاتوره]]-Table118192023103031323538394041430[[#This Row],[الدفعات]]</f>
        <v>55794.73000000001</v>
      </c>
      <c r="O47" s="48"/>
    </row>
    <row r="48" spans="2:15" ht="26.25" customHeight="1" x14ac:dyDescent="0.3">
      <c r="H48" s="1">
        <f>0.14*Table118192023103031323538394041430[[#This Row],[النولون]]</f>
        <v>0</v>
      </c>
      <c r="K4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48" s="1">
        <f>M47+Table118192023103031323538394041430[[#This Row],[اجمالي الفاتوره]]-Table118192023103031323538394041430[[#This Row],[الدفعات]]</f>
        <v>55794.73000000001</v>
      </c>
      <c r="O48" s="48"/>
    </row>
    <row r="49" spans="8:15" ht="26.25" customHeight="1" x14ac:dyDescent="0.3">
      <c r="H49" s="1">
        <f>0.14*Table118192023103031323538394041430[[#This Row],[النولون]]</f>
        <v>0</v>
      </c>
      <c r="K4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49" s="1">
        <f>M48+Table118192023103031323538394041430[[#This Row],[اجمالي الفاتوره]]-Table118192023103031323538394041430[[#This Row],[الدفعات]]</f>
        <v>55794.73000000001</v>
      </c>
      <c r="O49" s="48"/>
    </row>
    <row r="50" spans="8:15" ht="26.25" customHeight="1" x14ac:dyDescent="0.3">
      <c r="H50" s="1">
        <f>0.14*Table118192023103031323538394041430[[#This Row],[النولون]]</f>
        <v>0</v>
      </c>
      <c r="K5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50" s="1">
        <f>M49+Table118192023103031323538394041430[[#This Row],[اجمالي الفاتوره]]-Table118192023103031323538394041430[[#This Row],[الدفعات]]</f>
        <v>55794.73000000001</v>
      </c>
      <c r="O50" s="48"/>
    </row>
    <row r="51" spans="8:15" ht="26.25" customHeight="1" x14ac:dyDescent="0.3">
      <c r="H51" s="1">
        <f>0.14*Table118192023103031323538394041430[[#This Row],[النولون]]</f>
        <v>0</v>
      </c>
      <c r="K5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51" s="1">
        <f>M50+Table118192023103031323538394041430[[#This Row],[اجمالي الفاتوره]]-Table118192023103031323538394041430[[#This Row],[الدفعات]]</f>
        <v>55794.73000000001</v>
      </c>
      <c r="O51" s="48"/>
    </row>
    <row r="52" spans="8:15" ht="26.25" customHeight="1" x14ac:dyDescent="0.3">
      <c r="H52" s="1">
        <f>0.14*Table118192023103031323538394041430[[#This Row],[النولون]]</f>
        <v>0</v>
      </c>
      <c r="K5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52" s="1">
        <f>M51+Table118192023103031323538394041430[[#This Row],[اجمالي الفاتوره]]-Table118192023103031323538394041430[[#This Row],[الدفعات]]</f>
        <v>55794.73000000001</v>
      </c>
      <c r="O52" s="48"/>
    </row>
    <row r="53" spans="8:15" ht="26.25" customHeight="1" x14ac:dyDescent="0.3">
      <c r="H53" s="1">
        <f>0.14*Table118192023103031323538394041430[[#This Row],[النولون]]</f>
        <v>0</v>
      </c>
      <c r="K5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53" s="1">
        <f>M52+Table118192023103031323538394041430[[#This Row],[اجمالي الفاتوره]]-Table118192023103031323538394041430[[#This Row],[الدفعات]]</f>
        <v>55794.73000000001</v>
      </c>
      <c r="O53" s="48"/>
    </row>
    <row r="54" spans="8:15" ht="26.25" customHeight="1" x14ac:dyDescent="0.3">
      <c r="H54" s="1">
        <f>0.14*Table118192023103031323538394041430[[#This Row],[النولون]]</f>
        <v>0</v>
      </c>
      <c r="K5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54" s="1">
        <f>M53+Table118192023103031323538394041430[[#This Row],[اجمالي الفاتوره]]-Table118192023103031323538394041430[[#This Row],[الدفعات]]</f>
        <v>55794.73000000001</v>
      </c>
      <c r="O54" s="48"/>
    </row>
    <row r="55" spans="8:15" ht="26.25" customHeight="1" x14ac:dyDescent="0.3">
      <c r="H55" s="1">
        <f>0.14*Table118192023103031323538394041430[[#This Row],[النولون]]</f>
        <v>0</v>
      </c>
      <c r="K5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55" s="1">
        <f>M54+Table118192023103031323538394041430[[#This Row],[اجمالي الفاتوره]]-Table118192023103031323538394041430[[#This Row],[الدفعات]]</f>
        <v>55794.73000000001</v>
      </c>
      <c r="O55" s="48"/>
    </row>
    <row r="56" spans="8:15" ht="26.25" customHeight="1" x14ac:dyDescent="0.3">
      <c r="H56" s="1">
        <f>0.14*Table118192023103031323538394041430[[#This Row],[النولون]]</f>
        <v>0</v>
      </c>
      <c r="K5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56" s="1">
        <f>M55+Table118192023103031323538394041430[[#This Row],[اجمالي الفاتوره]]-Table118192023103031323538394041430[[#This Row],[الدفعات]]</f>
        <v>55794.73000000001</v>
      </c>
      <c r="O56" s="48"/>
    </row>
    <row r="57" spans="8:15" ht="26.25" customHeight="1" x14ac:dyDescent="0.3">
      <c r="H57" s="1">
        <f>0.14*Table118192023103031323538394041430[[#This Row],[النولون]]</f>
        <v>0</v>
      </c>
      <c r="K5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57" s="1">
        <f>M56+Table118192023103031323538394041430[[#This Row],[اجمالي الفاتوره]]-Table118192023103031323538394041430[[#This Row],[الدفعات]]</f>
        <v>55794.73000000001</v>
      </c>
      <c r="O57" s="48"/>
    </row>
    <row r="58" spans="8:15" ht="26.25" customHeight="1" x14ac:dyDescent="0.3">
      <c r="H58" s="1">
        <f>0.14*Table118192023103031323538394041430[[#This Row],[النولون]]</f>
        <v>0</v>
      </c>
      <c r="K5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58" s="1">
        <f>M57+Table118192023103031323538394041430[[#This Row],[اجمالي الفاتوره]]-Table118192023103031323538394041430[[#This Row],[الدفعات]]</f>
        <v>55794.73000000001</v>
      </c>
      <c r="O58" s="48"/>
    </row>
    <row r="59" spans="8:15" ht="26.25" customHeight="1" x14ac:dyDescent="0.3">
      <c r="H59" s="1">
        <f>0.14*Table118192023103031323538394041430[[#This Row],[النولون]]</f>
        <v>0</v>
      </c>
      <c r="K5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59" s="1">
        <f>M58+Table118192023103031323538394041430[[#This Row],[اجمالي الفاتوره]]-Table118192023103031323538394041430[[#This Row],[الدفعات]]</f>
        <v>55794.73000000001</v>
      </c>
      <c r="O59" s="48"/>
    </row>
    <row r="60" spans="8:15" ht="26.25" customHeight="1" x14ac:dyDescent="0.3">
      <c r="H60" s="1">
        <f>0.14*Table118192023103031323538394041430[[#This Row],[النولون]]</f>
        <v>0</v>
      </c>
      <c r="K6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60" s="1">
        <f>M59+Table118192023103031323538394041430[[#This Row],[اجمالي الفاتوره]]-Table118192023103031323538394041430[[#This Row],[الدفعات]]</f>
        <v>55794.73000000001</v>
      </c>
      <c r="O60" s="48"/>
    </row>
    <row r="61" spans="8:15" ht="26.25" customHeight="1" x14ac:dyDescent="0.3">
      <c r="H61" s="1">
        <f>0.14*Table118192023103031323538394041430[[#This Row],[النولون]]</f>
        <v>0</v>
      </c>
      <c r="K6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61" s="1">
        <f>M60+Table118192023103031323538394041430[[#This Row],[اجمالي الفاتوره]]-Table118192023103031323538394041430[[#This Row],[الدفعات]]</f>
        <v>55794.73000000001</v>
      </c>
      <c r="O61" s="48"/>
    </row>
    <row r="62" spans="8:15" ht="26.25" customHeight="1" x14ac:dyDescent="0.3">
      <c r="H62" s="1">
        <f>0.14*Table118192023103031323538394041430[[#This Row],[النولون]]</f>
        <v>0</v>
      </c>
      <c r="K6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62" s="1">
        <f>M61+Table118192023103031323538394041430[[#This Row],[اجمالي الفاتوره]]-Table118192023103031323538394041430[[#This Row],[الدفعات]]</f>
        <v>55794.73000000001</v>
      </c>
      <c r="O62" s="48"/>
    </row>
    <row r="63" spans="8:15" ht="26.25" customHeight="1" x14ac:dyDescent="0.3">
      <c r="H63" s="1">
        <f>0.14*Table118192023103031323538394041430[[#This Row],[النولون]]</f>
        <v>0</v>
      </c>
      <c r="K6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63" s="1">
        <f>M62+Table118192023103031323538394041430[[#This Row],[اجمالي الفاتوره]]-Table118192023103031323538394041430[[#This Row],[الدفعات]]</f>
        <v>55794.73000000001</v>
      </c>
      <c r="O63" s="48"/>
    </row>
    <row r="64" spans="8:15" ht="26.25" customHeight="1" x14ac:dyDescent="0.3">
      <c r="H64" s="1">
        <f>0.14*Table118192023103031323538394041430[[#This Row],[النولون]]</f>
        <v>0</v>
      </c>
      <c r="K6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64" s="1">
        <f>M63+Table118192023103031323538394041430[[#This Row],[اجمالي الفاتوره]]-Table118192023103031323538394041430[[#This Row],[الدفعات]]</f>
        <v>55794.73000000001</v>
      </c>
      <c r="O64" s="48"/>
    </row>
    <row r="65" spans="8:15" ht="26.25" customHeight="1" x14ac:dyDescent="0.3">
      <c r="H65" s="1">
        <f>0.14*Table118192023103031323538394041430[[#This Row],[النولون]]</f>
        <v>0</v>
      </c>
      <c r="K6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65" s="1">
        <f>M64+Table118192023103031323538394041430[[#This Row],[اجمالي الفاتوره]]-Table118192023103031323538394041430[[#This Row],[الدفعات]]</f>
        <v>55794.73000000001</v>
      </c>
      <c r="O65" s="48"/>
    </row>
    <row r="66" spans="8:15" ht="26.25" customHeight="1" x14ac:dyDescent="0.3">
      <c r="H66" s="1">
        <f>0.14*Table118192023103031323538394041430[[#This Row],[النولون]]</f>
        <v>0</v>
      </c>
      <c r="K6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66" s="1">
        <f>M65+Table118192023103031323538394041430[[#This Row],[اجمالي الفاتوره]]-Table118192023103031323538394041430[[#This Row],[الدفعات]]</f>
        <v>55794.73000000001</v>
      </c>
      <c r="O66" s="48"/>
    </row>
    <row r="67" spans="8:15" ht="26.25" customHeight="1" x14ac:dyDescent="0.3">
      <c r="H67" s="1">
        <f>0.14*Table118192023103031323538394041430[[#This Row],[النولون]]</f>
        <v>0</v>
      </c>
      <c r="K6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67" s="1">
        <f>M66+Table118192023103031323538394041430[[#This Row],[اجمالي الفاتوره]]-Table118192023103031323538394041430[[#This Row],[الدفعات]]</f>
        <v>55794.73000000001</v>
      </c>
      <c r="O67" s="48"/>
    </row>
    <row r="68" spans="8:15" ht="26.25" customHeight="1" x14ac:dyDescent="0.3">
      <c r="H68" s="1">
        <f>0.14*Table118192023103031323538394041430[[#This Row],[النولون]]</f>
        <v>0</v>
      </c>
      <c r="K6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68" s="1">
        <f>M67+Table118192023103031323538394041430[[#This Row],[اجمالي الفاتوره]]-Table118192023103031323538394041430[[#This Row],[الدفعات]]</f>
        <v>55794.73000000001</v>
      </c>
      <c r="O68" s="48"/>
    </row>
    <row r="69" spans="8:15" ht="26.25" customHeight="1" x14ac:dyDescent="0.3">
      <c r="H69" s="1">
        <f>0.14*Table118192023103031323538394041430[[#This Row],[النولون]]</f>
        <v>0</v>
      </c>
      <c r="K6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69" s="1">
        <f>M68+Table118192023103031323538394041430[[#This Row],[اجمالي الفاتوره]]-Table118192023103031323538394041430[[#This Row],[الدفعات]]</f>
        <v>55794.73000000001</v>
      </c>
      <c r="O69" s="48"/>
    </row>
    <row r="70" spans="8:15" ht="26.25" customHeight="1" x14ac:dyDescent="0.3">
      <c r="H70" s="1">
        <f>0.14*Table118192023103031323538394041430[[#This Row],[النولون]]</f>
        <v>0</v>
      </c>
      <c r="K7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70" s="1">
        <f>M69+Table118192023103031323538394041430[[#This Row],[اجمالي الفاتوره]]-Table118192023103031323538394041430[[#This Row],[الدفعات]]</f>
        <v>55794.73000000001</v>
      </c>
      <c r="O70" s="48"/>
    </row>
    <row r="71" spans="8:15" ht="26.25" customHeight="1" x14ac:dyDescent="0.3">
      <c r="H71" s="1">
        <f>0.14*Table118192023103031323538394041430[[#This Row],[النولون]]</f>
        <v>0</v>
      </c>
      <c r="K7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71" s="1">
        <f>M70+Table118192023103031323538394041430[[#This Row],[اجمالي الفاتوره]]-Table118192023103031323538394041430[[#This Row],[الدفعات]]</f>
        <v>55794.73000000001</v>
      </c>
      <c r="O71" s="48"/>
    </row>
    <row r="72" spans="8:15" ht="26.25" customHeight="1" x14ac:dyDescent="0.3">
      <c r="H72" s="1">
        <f>0.14*Table118192023103031323538394041430[[#This Row],[النولون]]</f>
        <v>0</v>
      </c>
      <c r="K7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72" s="1">
        <f>M71+Table118192023103031323538394041430[[#This Row],[اجمالي الفاتوره]]-Table118192023103031323538394041430[[#This Row],[الدفعات]]</f>
        <v>55794.73000000001</v>
      </c>
      <c r="O72" s="48"/>
    </row>
    <row r="73" spans="8:15" ht="26.25" customHeight="1" x14ac:dyDescent="0.3">
      <c r="H73" s="1">
        <f>0.14*Table118192023103031323538394041430[[#This Row],[النولون]]</f>
        <v>0</v>
      </c>
      <c r="K7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73" s="1">
        <f>M72+Table118192023103031323538394041430[[#This Row],[اجمالي الفاتوره]]-Table118192023103031323538394041430[[#This Row],[الدفعات]]</f>
        <v>55794.73000000001</v>
      </c>
      <c r="O73" s="48"/>
    </row>
    <row r="74" spans="8:15" ht="26.25" customHeight="1" x14ac:dyDescent="0.3">
      <c r="H74" s="1">
        <f>0.14*Table118192023103031323538394041430[[#This Row],[النولون]]</f>
        <v>0</v>
      </c>
      <c r="K7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74" s="1">
        <f>M73+Table118192023103031323538394041430[[#This Row],[اجمالي الفاتوره]]-Table118192023103031323538394041430[[#This Row],[الدفعات]]</f>
        <v>55794.73000000001</v>
      </c>
      <c r="O74" s="48"/>
    </row>
    <row r="75" spans="8:15" ht="26.25" customHeight="1" x14ac:dyDescent="0.3">
      <c r="H75" s="1">
        <f>0.14*Table118192023103031323538394041430[[#This Row],[النولون]]</f>
        <v>0</v>
      </c>
      <c r="K7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75" s="1">
        <f>M74+Table118192023103031323538394041430[[#This Row],[اجمالي الفاتوره]]-Table118192023103031323538394041430[[#This Row],[الدفعات]]</f>
        <v>55794.73000000001</v>
      </c>
      <c r="O75" s="48"/>
    </row>
    <row r="76" spans="8:15" ht="26.25" customHeight="1" x14ac:dyDescent="0.3">
      <c r="H76" s="1">
        <f>0.14*Table118192023103031323538394041430[[#This Row],[النولون]]</f>
        <v>0</v>
      </c>
      <c r="K7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76" s="1">
        <f>M75+Table118192023103031323538394041430[[#This Row],[اجمالي الفاتوره]]-Table118192023103031323538394041430[[#This Row],[الدفعات]]</f>
        <v>55794.73000000001</v>
      </c>
      <c r="O76" s="48"/>
    </row>
    <row r="77" spans="8:15" ht="26.25" customHeight="1" x14ac:dyDescent="0.3">
      <c r="H77" s="1">
        <f>0.14*Table118192023103031323538394041430[[#This Row],[النولون]]</f>
        <v>0</v>
      </c>
      <c r="K7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77" s="1">
        <f>M76+Table118192023103031323538394041430[[#This Row],[اجمالي الفاتوره]]-Table118192023103031323538394041430[[#This Row],[الدفعات]]</f>
        <v>55794.73000000001</v>
      </c>
      <c r="O77" s="48"/>
    </row>
    <row r="78" spans="8:15" ht="26.25" customHeight="1" x14ac:dyDescent="0.3">
      <c r="H78" s="1">
        <f>0.14*Table118192023103031323538394041430[[#This Row],[النولون]]</f>
        <v>0</v>
      </c>
      <c r="K7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78" s="1">
        <f>M77+Table118192023103031323538394041430[[#This Row],[اجمالي الفاتوره]]-Table118192023103031323538394041430[[#This Row],[الدفعات]]</f>
        <v>55794.73000000001</v>
      </c>
      <c r="O78" s="48"/>
    </row>
    <row r="79" spans="8:15" ht="26.25" customHeight="1" x14ac:dyDescent="0.3">
      <c r="H79" s="1">
        <f>0.14*Table118192023103031323538394041430[[#This Row],[النولون]]</f>
        <v>0</v>
      </c>
      <c r="K7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79" s="1">
        <f>M78+Table118192023103031323538394041430[[#This Row],[اجمالي الفاتوره]]-Table118192023103031323538394041430[[#This Row],[الدفعات]]</f>
        <v>55794.73000000001</v>
      </c>
      <c r="O79" s="48"/>
    </row>
    <row r="80" spans="8:15" ht="26.25" customHeight="1" x14ac:dyDescent="0.3">
      <c r="H80" s="1">
        <f>0.14*Table118192023103031323538394041430[[#This Row],[النولون]]</f>
        <v>0</v>
      </c>
      <c r="K8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80" s="1">
        <f>M79+Table118192023103031323538394041430[[#This Row],[اجمالي الفاتوره]]-Table118192023103031323538394041430[[#This Row],[الدفعات]]</f>
        <v>55794.73000000001</v>
      </c>
      <c r="O80" s="48"/>
    </row>
    <row r="81" spans="8:15" ht="26.25" customHeight="1" x14ac:dyDescent="0.3">
      <c r="H81" s="1">
        <f>0.14*Table118192023103031323538394041430[[#This Row],[النولون]]</f>
        <v>0</v>
      </c>
      <c r="K8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81" s="1">
        <f>M80+Table118192023103031323538394041430[[#This Row],[اجمالي الفاتوره]]-Table118192023103031323538394041430[[#This Row],[الدفعات]]</f>
        <v>55794.73000000001</v>
      </c>
      <c r="O81" s="48"/>
    </row>
    <row r="82" spans="8:15" ht="26.25" customHeight="1" x14ac:dyDescent="0.3">
      <c r="H82" s="1">
        <f>0.14*Table118192023103031323538394041430[[#This Row],[النولون]]</f>
        <v>0</v>
      </c>
      <c r="K8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82" s="1">
        <f>M81+Table118192023103031323538394041430[[#This Row],[اجمالي الفاتوره]]-Table118192023103031323538394041430[[#This Row],[الدفعات]]</f>
        <v>55794.73000000001</v>
      </c>
      <c r="O82" s="48"/>
    </row>
    <row r="83" spans="8:15" ht="26.25" customHeight="1" x14ac:dyDescent="0.3">
      <c r="H83" s="1">
        <f>0.14*Table118192023103031323538394041430[[#This Row],[النولون]]</f>
        <v>0</v>
      </c>
      <c r="K8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83" s="1">
        <f>M82+Table118192023103031323538394041430[[#This Row],[اجمالي الفاتوره]]-Table118192023103031323538394041430[[#This Row],[الدفعات]]</f>
        <v>55794.73000000001</v>
      </c>
      <c r="O83" s="48"/>
    </row>
    <row r="84" spans="8:15" ht="26.25" customHeight="1" x14ac:dyDescent="0.3">
      <c r="H84" s="1">
        <f>0.14*Table118192023103031323538394041430[[#This Row],[النولون]]</f>
        <v>0</v>
      </c>
      <c r="K8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84" s="1">
        <f>M83+Table118192023103031323538394041430[[#This Row],[اجمالي الفاتوره]]-Table118192023103031323538394041430[[#This Row],[الدفعات]]</f>
        <v>55794.73000000001</v>
      </c>
      <c r="O84" s="48"/>
    </row>
    <row r="85" spans="8:15" ht="26.25" customHeight="1" x14ac:dyDescent="0.3">
      <c r="H85" s="1">
        <f>0.14*Table118192023103031323538394041430[[#This Row],[النولون]]</f>
        <v>0</v>
      </c>
      <c r="K8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85" s="1">
        <f>M84+Table118192023103031323538394041430[[#This Row],[اجمالي الفاتوره]]-Table118192023103031323538394041430[[#This Row],[الدفعات]]</f>
        <v>55794.73000000001</v>
      </c>
      <c r="O85" s="48"/>
    </row>
    <row r="86" spans="8:15" ht="26.25" customHeight="1" x14ac:dyDescent="0.3">
      <c r="H86" s="1">
        <f>0.14*Table118192023103031323538394041430[[#This Row],[النولون]]</f>
        <v>0</v>
      </c>
      <c r="K8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86" s="1">
        <f>M85+Table118192023103031323538394041430[[#This Row],[اجمالي الفاتوره]]-Table118192023103031323538394041430[[#This Row],[الدفعات]]</f>
        <v>55794.73000000001</v>
      </c>
      <c r="O86" s="48"/>
    </row>
    <row r="87" spans="8:15" ht="26.25" customHeight="1" x14ac:dyDescent="0.3">
      <c r="H87" s="1">
        <f>0.14*Table118192023103031323538394041430[[#This Row],[النولون]]</f>
        <v>0</v>
      </c>
      <c r="K8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87" s="1">
        <f>M86+Table118192023103031323538394041430[[#This Row],[اجمالي الفاتوره]]-Table118192023103031323538394041430[[#This Row],[الدفعات]]</f>
        <v>55794.73000000001</v>
      </c>
      <c r="O87" s="48"/>
    </row>
    <row r="88" spans="8:15" ht="26.25" customHeight="1" x14ac:dyDescent="0.3">
      <c r="H88" s="1">
        <f>0.14*Table118192023103031323538394041430[[#This Row],[النولون]]</f>
        <v>0</v>
      </c>
      <c r="K8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88" s="1">
        <f>M87+Table118192023103031323538394041430[[#This Row],[اجمالي الفاتوره]]-Table118192023103031323538394041430[[#This Row],[الدفعات]]</f>
        <v>55794.73000000001</v>
      </c>
      <c r="O88" s="48"/>
    </row>
    <row r="89" spans="8:15" ht="26.25" customHeight="1" x14ac:dyDescent="0.3">
      <c r="H89" s="1">
        <f>0.14*Table118192023103031323538394041430[[#This Row],[النولون]]</f>
        <v>0</v>
      </c>
      <c r="K8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89" s="1">
        <f>M88+Table118192023103031323538394041430[[#This Row],[اجمالي الفاتوره]]-Table118192023103031323538394041430[[#This Row],[الدفعات]]</f>
        <v>55794.73000000001</v>
      </c>
      <c r="O89" s="48"/>
    </row>
    <row r="90" spans="8:15" ht="26.25" customHeight="1" x14ac:dyDescent="0.3">
      <c r="H90" s="1">
        <f>0.14*Table118192023103031323538394041430[[#This Row],[النولون]]</f>
        <v>0</v>
      </c>
      <c r="K9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90" s="1">
        <f>M89+Table118192023103031323538394041430[[#This Row],[اجمالي الفاتوره]]-Table118192023103031323538394041430[[#This Row],[الدفعات]]</f>
        <v>55794.73000000001</v>
      </c>
      <c r="O90" s="48"/>
    </row>
    <row r="91" spans="8:15" ht="26.25" customHeight="1" x14ac:dyDescent="0.3">
      <c r="H91" s="1">
        <f>0.14*Table118192023103031323538394041430[[#This Row],[النولون]]</f>
        <v>0</v>
      </c>
      <c r="K9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91" s="1">
        <f>M90+Table118192023103031323538394041430[[#This Row],[اجمالي الفاتوره]]-Table118192023103031323538394041430[[#This Row],[الدفعات]]</f>
        <v>55794.73000000001</v>
      </c>
      <c r="O91" s="48"/>
    </row>
    <row r="92" spans="8:15" ht="26.25" customHeight="1" x14ac:dyDescent="0.3">
      <c r="H92" s="1">
        <f>0.14*Table118192023103031323538394041430[[#This Row],[النولون]]</f>
        <v>0</v>
      </c>
      <c r="K9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92" s="1">
        <f>M91+Table118192023103031323538394041430[[#This Row],[اجمالي الفاتوره]]-Table118192023103031323538394041430[[#This Row],[الدفعات]]</f>
        <v>55794.73000000001</v>
      </c>
      <c r="O92" s="48"/>
    </row>
    <row r="93" spans="8:15" ht="26.25" customHeight="1" x14ac:dyDescent="0.3">
      <c r="H93" s="1">
        <f>0.14*Table118192023103031323538394041430[[#This Row],[النولون]]</f>
        <v>0</v>
      </c>
      <c r="K9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93" s="1">
        <f>M92+Table118192023103031323538394041430[[#This Row],[اجمالي الفاتوره]]-Table118192023103031323538394041430[[#This Row],[الدفعات]]</f>
        <v>55794.73000000001</v>
      </c>
      <c r="O93" s="48"/>
    </row>
    <row r="94" spans="8:15" ht="26.25" customHeight="1" x14ac:dyDescent="0.3">
      <c r="H94" s="1">
        <f>0.14*Table118192023103031323538394041430[[#This Row],[النولون]]</f>
        <v>0</v>
      </c>
      <c r="K9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94" s="1">
        <f>M93+Table118192023103031323538394041430[[#This Row],[اجمالي الفاتوره]]-Table118192023103031323538394041430[[#This Row],[الدفعات]]</f>
        <v>55794.73000000001</v>
      </c>
      <c r="O94" s="48"/>
    </row>
    <row r="95" spans="8:15" ht="26.25" customHeight="1" x14ac:dyDescent="0.3">
      <c r="H95" s="1">
        <f>0.14*Table118192023103031323538394041430[[#This Row],[النولون]]</f>
        <v>0</v>
      </c>
      <c r="K9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95" s="1">
        <f>M94+Table118192023103031323538394041430[[#This Row],[اجمالي الفاتوره]]-Table118192023103031323538394041430[[#This Row],[الدفعات]]</f>
        <v>55794.73000000001</v>
      </c>
      <c r="O95" s="48"/>
    </row>
    <row r="96" spans="8:15" ht="26.25" customHeight="1" x14ac:dyDescent="0.3">
      <c r="H96" s="1">
        <f>0.14*Table118192023103031323538394041430[[#This Row],[النولون]]</f>
        <v>0</v>
      </c>
      <c r="K9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96" s="1">
        <f>M95+Table118192023103031323538394041430[[#This Row],[اجمالي الفاتوره]]-Table118192023103031323538394041430[[#This Row],[الدفعات]]</f>
        <v>55794.73000000001</v>
      </c>
      <c r="O96" s="48"/>
    </row>
    <row r="97" spans="8:15" ht="26.25" customHeight="1" x14ac:dyDescent="0.3">
      <c r="H97" s="1">
        <f>0.14*Table118192023103031323538394041430[[#This Row],[النولون]]</f>
        <v>0</v>
      </c>
      <c r="K9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97" s="1">
        <f>M96+Table118192023103031323538394041430[[#This Row],[اجمالي الفاتوره]]-Table118192023103031323538394041430[[#This Row],[الدفعات]]</f>
        <v>55794.73000000001</v>
      </c>
      <c r="O97" s="48"/>
    </row>
    <row r="98" spans="8:15" ht="26.25" customHeight="1" x14ac:dyDescent="0.3">
      <c r="H98" s="1">
        <f>0.14*Table118192023103031323538394041430[[#This Row],[النولون]]</f>
        <v>0</v>
      </c>
      <c r="K9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98" s="1">
        <f>M97+Table118192023103031323538394041430[[#This Row],[اجمالي الفاتوره]]-Table118192023103031323538394041430[[#This Row],[الدفعات]]</f>
        <v>55794.73000000001</v>
      </c>
      <c r="O98" s="48"/>
    </row>
    <row r="99" spans="8:15" ht="26.25" customHeight="1" x14ac:dyDescent="0.3">
      <c r="H99" s="1">
        <f>0.14*Table118192023103031323538394041430[[#This Row],[النولون]]</f>
        <v>0</v>
      </c>
      <c r="K9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99" s="1">
        <f>M98+Table118192023103031323538394041430[[#This Row],[اجمالي الفاتوره]]-Table118192023103031323538394041430[[#This Row],[الدفعات]]</f>
        <v>55794.73000000001</v>
      </c>
      <c r="O99" s="48"/>
    </row>
    <row r="100" spans="8:15" ht="26.25" customHeight="1" x14ac:dyDescent="0.3">
      <c r="H100" s="1">
        <f>0.14*Table118192023103031323538394041430[[#This Row],[النولون]]</f>
        <v>0</v>
      </c>
      <c r="K10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00" s="1">
        <f>M99+Table118192023103031323538394041430[[#This Row],[اجمالي الفاتوره]]-Table118192023103031323538394041430[[#This Row],[الدفعات]]</f>
        <v>55794.73000000001</v>
      </c>
      <c r="O100" s="48"/>
    </row>
    <row r="101" spans="8:15" ht="26.25" customHeight="1" x14ac:dyDescent="0.3">
      <c r="H101" s="1">
        <f>0.14*Table118192023103031323538394041430[[#This Row],[النولون]]</f>
        <v>0</v>
      </c>
      <c r="K10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01" s="1">
        <f>M100+Table118192023103031323538394041430[[#This Row],[اجمالي الفاتوره]]-Table118192023103031323538394041430[[#This Row],[الدفعات]]</f>
        <v>55794.73000000001</v>
      </c>
      <c r="O101" s="48"/>
    </row>
    <row r="102" spans="8:15" ht="26.25" customHeight="1" x14ac:dyDescent="0.3">
      <c r="H102" s="1">
        <f>0.14*Table118192023103031323538394041430[[#This Row],[النولون]]</f>
        <v>0</v>
      </c>
      <c r="K10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02" s="1">
        <f>M101+Table118192023103031323538394041430[[#This Row],[اجمالي الفاتوره]]-Table118192023103031323538394041430[[#This Row],[الدفعات]]</f>
        <v>55794.73000000001</v>
      </c>
      <c r="O102" s="48"/>
    </row>
    <row r="103" spans="8:15" ht="26.25" customHeight="1" x14ac:dyDescent="0.3">
      <c r="H103" s="1">
        <f>0.14*Table118192023103031323538394041430[[#This Row],[النولون]]</f>
        <v>0</v>
      </c>
      <c r="K10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03" s="1">
        <f>M102+Table118192023103031323538394041430[[#This Row],[اجمالي الفاتوره]]-Table118192023103031323538394041430[[#This Row],[الدفعات]]</f>
        <v>55794.73000000001</v>
      </c>
      <c r="O103" s="48"/>
    </row>
    <row r="104" spans="8:15" ht="26.25" customHeight="1" x14ac:dyDescent="0.3">
      <c r="H104" s="1">
        <f>0.14*Table118192023103031323538394041430[[#This Row],[النولون]]</f>
        <v>0</v>
      </c>
      <c r="K10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04" s="1">
        <f>M103+Table118192023103031323538394041430[[#This Row],[اجمالي الفاتوره]]-Table118192023103031323538394041430[[#This Row],[الدفعات]]</f>
        <v>55794.73000000001</v>
      </c>
      <c r="O104" s="48"/>
    </row>
    <row r="105" spans="8:15" ht="26.25" customHeight="1" x14ac:dyDescent="0.3">
      <c r="H105" s="1">
        <f>0.14*Table118192023103031323538394041430[[#This Row],[النولون]]</f>
        <v>0</v>
      </c>
      <c r="K10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05" s="1">
        <f>M104+Table118192023103031323538394041430[[#This Row],[اجمالي الفاتوره]]-Table118192023103031323538394041430[[#This Row],[الدفعات]]</f>
        <v>55794.73000000001</v>
      </c>
      <c r="O105" s="48"/>
    </row>
    <row r="106" spans="8:15" ht="26.25" customHeight="1" x14ac:dyDescent="0.3">
      <c r="H106" s="1">
        <f>0.14*Table118192023103031323538394041430[[#This Row],[النولون]]</f>
        <v>0</v>
      </c>
      <c r="K10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06" s="1">
        <f>M105+Table118192023103031323538394041430[[#This Row],[اجمالي الفاتوره]]-Table118192023103031323538394041430[[#This Row],[الدفعات]]</f>
        <v>55794.73000000001</v>
      </c>
      <c r="O106" s="48"/>
    </row>
    <row r="107" spans="8:15" ht="26.25" customHeight="1" x14ac:dyDescent="0.3">
      <c r="H107" s="1">
        <f>0.14*Table118192023103031323538394041430[[#This Row],[النولون]]</f>
        <v>0</v>
      </c>
      <c r="K10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07" s="1">
        <f>M106+Table118192023103031323538394041430[[#This Row],[اجمالي الفاتوره]]-Table118192023103031323538394041430[[#This Row],[الدفعات]]</f>
        <v>55794.73000000001</v>
      </c>
      <c r="O107" s="48"/>
    </row>
    <row r="108" spans="8:15" ht="26.25" customHeight="1" x14ac:dyDescent="0.3">
      <c r="H108" s="1">
        <f>0.14*Table118192023103031323538394041430[[#This Row],[النولون]]</f>
        <v>0</v>
      </c>
      <c r="K10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08" s="1">
        <f>M107+Table118192023103031323538394041430[[#This Row],[اجمالي الفاتوره]]-Table118192023103031323538394041430[[#This Row],[الدفعات]]</f>
        <v>55794.73000000001</v>
      </c>
      <c r="O108" s="48"/>
    </row>
    <row r="109" spans="8:15" ht="26.25" customHeight="1" x14ac:dyDescent="0.3">
      <c r="H109" s="1">
        <f>0.14*Table118192023103031323538394041430[[#This Row],[النولون]]</f>
        <v>0</v>
      </c>
      <c r="K10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09" s="1">
        <f>M108+Table118192023103031323538394041430[[#This Row],[اجمالي الفاتوره]]-Table118192023103031323538394041430[[#This Row],[الدفعات]]</f>
        <v>55794.73000000001</v>
      </c>
      <c r="O109" s="48"/>
    </row>
    <row r="110" spans="8:15" ht="26.25" customHeight="1" x14ac:dyDescent="0.3">
      <c r="H110" s="1">
        <f>0.14*Table118192023103031323538394041430[[#This Row],[النولون]]</f>
        <v>0</v>
      </c>
      <c r="K11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10" s="1">
        <f>M109+Table118192023103031323538394041430[[#This Row],[اجمالي الفاتوره]]-Table118192023103031323538394041430[[#This Row],[الدفعات]]</f>
        <v>55794.73000000001</v>
      </c>
      <c r="O110" s="48"/>
    </row>
    <row r="111" spans="8:15" ht="26.25" customHeight="1" x14ac:dyDescent="0.3">
      <c r="H111" s="1">
        <f>0.14*Table118192023103031323538394041430[[#This Row],[النولون]]</f>
        <v>0</v>
      </c>
      <c r="K11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11" s="1">
        <f>M110+Table118192023103031323538394041430[[#This Row],[اجمالي الفاتوره]]-Table118192023103031323538394041430[[#This Row],[الدفعات]]</f>
        <v>55794.73000000001</v>
      </c>
      <c r="O111" s="48"/>
    </row>
    <row r="112" spans="8:15" ht="26.25" customHeight="1" x14ac:dyDescent="0.3">
      <c r="H112" s="1">
        <f>0.14*Table118192023103031323538394041430[[#This Row],[النولون]]</f>
        <v>0</v>
      </c>
      <c r="K11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12" s="1">
        <f>M111+Table118192023103031323538394041430[[#This Row],[اجمالي الفاتوره]]-Table118192023103031323538394041430[[#This Row],[الدفعات]]</f>
        <v>55794.73000000001</v>
      </c>
      <c r="O112" s="48"/>
    </row>
    <row r="113" spans="8:15" ht="26.25" customHeight="1" x14ac:dyDescent="0.3">
      <c r="H113" s="1">
        <f>0.14*Table118192023103031323538394041430[[#This Row],[النولون]]</f>
        <v>0</v>
      </c>
      <c r="K11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13" s="1">
        <f>M112+Table118192023103031323538394041430[[#This Row],[اجمالي الفاتوره]]-Table118192023103031323538394041430[[#This Row],[الدفعات]]</f>
        <v>55794.73000000001</v>
      </c>
      <c r="O113" s="48"/>
    </row>
    <row r="114" spans="8:15" ht="26.25" customHeight="1" x14ac:dyDescent="0.3">
      <c r="H114" s="1">
        <f>0.14*Table118192023103031323538394041430[[#This Row],[النولون]]</f>
        <v>0</v>
      </c>
      <c r="K11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14" s="1">
        <f>M113+Table118192023103031323538394041430[[#This Row],[اجمالي الفاتوره]]-Table118192023103031323538394041430[[#This Row],[الدفعات]]</f>
        <v>55794.73000000001</v>
      </c>
      <c r="O114" s="48"/>
    </row>
    <row r="115" spans="8:15" ht="26.25" customHeight="1" x14ac:dyDescent="0.3">
      <c r="H115" s="1">
        <f>0.14*Table118192023103031323538394041430[[#This Row],[النولون]]</f>
        <v>0</v>
      </c>
      <c r="K11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15" s="1">
        <f>M114+Table118192023103031323538394041430[[#This Row],[اجمالي الفاتوره]]-Table118192023103031323538394041430[[#This Row],[الدفعات]]</f>
        <v>55794.73000000001</v>
      </c>
      <c r="O115" s="48"/>
    </row>
    <row r="116" spans="8:15" ht="26.25" customHeight="1" x14ac:dyDescent="0.3">
      <c r="H116" s="1">
        <f>0.14*Table118192023103031323538394041430[[#This Row],[النولون]]</f>
        <v>0</v>
      </c>
      <c r="K11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16" s="1">
        <f>M115+Table118192023103031323538394041430[[#This Row],[اجمالي الفاتوره]]-Table118192023103031323538394041430[[#This Row],[الدفعات]]</f>
        <v>55794.73000000001</v>
      </c>
      <c r="O116" s="48"/>
    </row>
    <row r="117" spans="8:15" ht="26.25" customHeight="1" x14ac:dyDescent="0.3">
      <c r="H117" s="1">
        <f>0.14*Table118192023103031323538394041430[[#This Row],[النولون]]</f>
        <v>0</v>
      </c>
      <c r="K11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17" s="1">
        <f>M116+Table118192023103031323538394041430[[#This Row],[اجمالي الفاتوره]]-Table118192023103031323538394041430[[#This Row],[الدفعات]]</f>
        <v>55794.73000000001</v>
      </c>
      <c r="O117" s="48"/>
    </row>
    <row r="118" spans="8:15" ht="26.25" customHeight="1" x14ac:dyDescent="0.3">
      <c r="H118" s="1">
        <f>0.14*Table118192023103031323538394041430[[#This Row],[النولون]]</f>
        <v>0</v>
      </c>
      <c r="K11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18" s="1">
        <f>M117+Table118192023103031323538394041430[[#This Row],[اجمالي الفاتوره]]-Table118192023103031323538394041430[[#This Row],[الدفعات]]</f>
        <v>55794.73000000001</v>
      </c>
      <c r="O118" s="48"/>
    </row>
    <row r="119" spans="8:15" ht="26.25" customHeight="1" x14ac:dyDescent="0.3">
      <c r="H119" s="1">
        <f>0.14*Table118192023103031323538394041430[[#This Row],[النولون]]</f>
        <v>0</v>
      </c>
      <c r="K11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19" s="1">
        <f>M118+Table118192023103031323538394041430[[#This Row],[اجمالي الفاتوره]]-Table118192023103031323538394041430[[#This Row],[الدفعات]]</f>
        <v>55794.73000000001</v>
      </c>
      <c r="O119" s="48"/>
    </row>
    <row r="120" spans="8:15" ht="26.25" customHeight="1" x14ac:dyDescent="0.3">
      <c r="H120" s="1">
        <f>0.14*Table118192023103031323538394041430[[#This Row],[النولون]]</f>
        <v>0</v>
      </c>
      <c r="K12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20" s="1">
        <f>M119+Table118192023103031323538394041430[[#This Row],[اجمالي الفاتوره]]-Table118192023103031323538394041430[[#This Row],[الدفعات]]</f>
        <v>55794.73000000001</v>
      </c>
      <c r="O120" s="48"/>
    </row>
    <row r="121" spans="8:15" ht="26.25" customHeight="1" x14ac:dyDescent="0.3">
      <c r="H121" s="1">
        <f>0.14*Table118192023103031323538394041430[[#This Row],[النولون]]</f>
        <v>0</v>
      </c>
      <c r="K12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21" s="1">
        <f>M120+Table118192023103031323538394041430[[#This Row],[اجمالي الفاتوره]]-Table118192023103031323538394041430[[#This Row],[الدفعات]]</f>
        <v>55794.73000000001</v>
      </c>
      <c r="O121" s="48"/>
    </row>
    <row r="122" spans="8:15" ht="26.25" customHeight="1" x14ac:dyDescent="0.3">
      <c r="H122" s="1">
        <f>0.14*Table118192023103031323538394041430[[#This Row],[النولون]]</f>
        <v>0</v>
      </c>
      <c r="K12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22" s="1">
        <f>M121+Table118192023103031323538394041430[[#This Row],[اجمالي الفاتوره]]-Table118192023103031323538394041430[[#This Row],[الدفعات]]</f>
        <v>55794.73000000001</v>
      </c>
      <c r="O122" s="48"/>
    </row>
    <row r="123" spans="8:15" ht="26.25" customHeight="1" x14ac:dyDescent="0.3">
      <c r="H123" s="1">
        <f>0.14*Table118192023103031323538394041430[[#This Row],[النولون]]</f>
        <v>0</v>
      </c>
      <c r="K12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23" s="1">
        <f>M122+Table118192023103031323538394041430[[#This Row],[اجمالي الفاتوره]]-Table118192023103031323538394041430[[#This Row],[الدفعات]]</f>
        <v>55794.73000000001</v>
      </c>
      <c r="O123" s="48"/>
    </row>
    <row r="124" spans="8:15" ht="26.25" customHeight="1" x14ac:dyDescent="0.3">
      <c r="H124" s="1">
        <f>0.14*Table118192023103031323538394041430[[#This Row],[النولون]]</f>
        <v>0</v>
      </c>
      <c r="K12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24" s="1">
        <f>M123+Table118192023103031323538394041430[[#This Row],[اجمالي الفاتوره]]-Table118192023103031323538394041430[[#This Row],[الدفعات]]</f>
        <v>55794.73000000001</v>
      </c>
      <c r="O124" s="48"/>
    </row>
    <row r="125" spans="8:15" ht="26.25" customHeight="1" x14ac:dyDescent="0.3">
      <c r="H125" s="1">
        <f>0.14*Table118192023103031323538394041430[[#This Row],[النولون]]</f>
        <v>0</v>
      </c>
      <c r="K12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25" s="1">
        <f>M124+Table118192023103031323538394041430[[#This Row],[اجمالي الفاتوره]]-Table118192023103031323538394041430[[#This Row],[الدفعات]]</f>
        <v>55794.73000000001</v>
      </c>
      <c r="O125" s="48"/>
    </row>
    <row r="126" spans="8:15" ht="26.25" customHeight="1" x14ac:dyDescent="0.3">
      <c r="H126" s="1">
        <f>0.14*Table118192023103031323538394041430[[#This Row],[النولون]]</f>
        <v>0</v>
      </c>
      <c r="K12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26" s="1">
        <f>M125+Table118192023103031323538394041430[[#This Row],[اجمالي الفاتوره]]-Table118192023103031323538394041430[[#This Row],[الدفعات]]</f>
        <v>55794.73000000001</v>
      </c>
      <c r="O126" s="48"/>
    </row>
    <row r="127" spans="8:15" ht="26.25" customHeight="1" x14ac:dyDescent="0.3">
      <c r="H127" s="1">
        <f>0.14*Table118192023103031323538394041430[[#This Row],[النولون]]</f>
        <v>0</v>
      </c>
      <c r="K12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27" s="1">
        <f>M126+Table118192023103031323538394041430[[#This Row],[اجمالي الفاتوره]]-Table118192023103031323538394041430[[#This Row],[الدفعات]]</f>
        <v>55794.73000000001</v>
      </c>
      <c r="O127" s="48"/>
    </row>
    <row r="128" spans="8:15" ht="26.25" customHeight="1" x14ac:dyDescent="0.3">
      <c r="H128" s="1">
        <f>0.14*Table118192023103031323538394041430[[#This Row],[النولون]]</f>
        <v>0</v>
      </c>
      <c r="K12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28" s="1">
        <f>M127+Table118192023103031323538394041430[[#This Row],[اجمالي الفاتوره]]-Table118192023103031323538394041430[[#This Row],[الدفعات]]</f>
        <v>55794.73000000001</v>
      </c>
      <c r="O128" s="48"/>
    </row>
    <row r="129" spans="8:15" ht="26.25" customHeight="1" x14ac:dyDescent="0.3">
      <c r="H129" s="1">
        <f>0.14*Table118192023103031323538394041430[[#This Row],[النولون]]</f>
        <v>0</v>
      </c>
      <c r="K12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29" s="1">
        <f>M128+Table118192023103031323538394041430[[#This Row],[اجمالي الفاتوره]]-Table118192023103031323538394041430[[#This Row],[الدفعات]]</f>
        <v>55794.73000000001</v>
      </c>
      <c r="O129" s="48"/>
    </row>
    <row r="130" spans="8:15" ht="26.25" customHeight="1" x14ac:dyDescent="0.3">
      <c r="H130" s="1">
        <f>0.14*Table118192023103031323538394041430[[#This Row],[النولون]]</f>
        <v>0</v>
      </c>
      <c r="K13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30" s="1">
        <f>M129+Table118192023103031323538394041430[[#This Row],[اجمالي الفاتوره]]-Table118192023103031323538394041430[[#This Row],[الدفعات]]</f>
        <v>55794.73000000001</v>
      </c>
      <c r="O130" s="48"/>
    </row>
    <row r="131" spans="8:15" ht="26.25" customHeight="1" x14ac:dyDescent="0.3">
      <c r="H131" s="1">
        <f>0.14*Table118192023103031323538394041430[[#This Row],[النولون]]</f>
        <v>0</v>
      </c>
      <c r="K13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31" s="1">
        <f>M130+Table118192023103031323538394041430[[#This Row],[اجمالي الفاتوره]]-Table118192023103031323538394041430[[#This Row],[الدفعات]]</f>
        <v>55794.73000000001</v>
      </c>
      <c r="O131" s="48"/>
    </row>
    <row r="132" spans="8:15" ht="26.25" customHeight="1" x14ac:dyDescent="0.3">
      <c r="H132" s="1">
        <f>0.14*Table118192023103031323538394041430[[#This Row],[النولون]]</f>
        <v>0</v>
      </c>
      <c r="K13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32" s="1">
        <f>M131+Table118192023103031323538394041430[[#This Row],[اجمالي الفاتوره]]-Table118192023103031323538394041430[[#This Row],[الدفعات]]</f>
        <v>55794.73000000001</v>
      </c>
      <c r="O132" s="48"/>
    </row>
    <row r="133" spans="8:15" ht="26.25" customHeight="1" x14ac:dyDescent="0.3">
      <c r="H133" s="1">
        <f>0.14*Table118192023103031323538394041430[[#This Row],[النولون]]</f>
        <v>0</v>
      </c>
      <c r="K13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33" s="1">
        <f>M132+Table118192023103031323538394041430[[#This Row],[اجمالي الفاتوره]]-Table118192023103031323538394041430[[#This Row],[الدفعات]]</f>
        <v>55794.73000000001</v>
      </c>
      <c r="O133" s="48"/>
    </row>
    <row r="134" spans="8:15" ht="26.25" customHeight="1" x14ac:dyDescent="0.3">
      <c r="H134" s="1">
        <f>0.14*Table118192023103031323538394041430[[#This Row],[النولون]]</f>
        <v>0</v>
      </c>
      <c r="K13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34" s="1">
        <f>M133+Table118192023103031323538394041430[[#This Row],[اجمالي الفاتوره]]-Table118192023103031323538394041430[[#This Row],[الدفعات]]</f>
        <v>55794.73000000001</v>
      </c>
      <c r="O134" s="48"/>
    </row>
    <row r="135" spans="8:15" ht="26.25" customHeight="1" x14ac:dyDescent="0.3">
      <c r="H135" s="1">
        <f>0.14*Table118192023103031323538394041430[[#This Row],[النولون]]</f>
        <v>0</v>
      </c>
      <c r="K13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35" s="1">
        <f>M134+Table118192023103031323538394041430[[#This Row],[اجمالي الفاتوره]]-Table118192023103031323538394041430[[#This Row],[الدفعات]]</f>
        <v>55794.73000000001</v>
      </c>
      <c r="O135" s="48"/>
    </row>
    <row r="136" spans="8:15" ht="26.25" customHeight="1" x14ac:dyDescent="0.3">
      <c r="H136" s="1">
        <f>0.14*Table118192023103031323538394041430[[#This Row],[النولون]]</f>
        <v>0</v>
      </c>
      <c r="K13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36" s="1">
        <f>M135+Table118192023103031323538394041430[[#This Row],[اجمالي الفاتوره]]-Table118192023103031323538394041430[[#This Row],[الدفعات]]</f>
        <v>55794.73000000001</v>
      </c>
      <c r="O136" s="48"/>
    </row>
    <row r="137" spans="8:15" ht="26.25" customHeight="1" x14ac:dyDescent="0.3">
      <c r="H137" s="1">
        <f>0.14*Table118192023103031323538394041430[[#This Row],[النولون]]</f>
        <v>0</v>
      </c>
      <c r="K13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37" s="1">
        <f>M136+Table118192023103031323538394041430[[#This Row],[اجمالي الفاتوره]]-Table118192023103031323538394041430[[#This Row],[الدفعات]]</f>
        <v>55794.73000000001</v>
      </c>
      <c r="O137" s="48"/>
    </row>
    <row r="138" spans="8:15" ht="26.25" customHeight="1" x14ac:dyDescent="0.3">
      <c r="H138" s="1">
        <f>0.14*Table118192023103031323538394041430[[#This Row],[النولون]]</f>
        <v>0</v>
      </c>
      <c r="K13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38" s="1">
        <f>M137+Table118192023103031323538394041430[[#This Row],[اجمالي الفاتوره]]-Table118192023103031323538394041430[[#This Row],[الدفعات]]</f>
        <v>55794.73000000001</v>
      </c>
      <c r="O138" s="48"/>
    </row>
    <row r="139" spans="8:15" ht="26.25" customHeight="1" x14ac:dyDescent="0.3">
      <c r="H139" s="1">
        <f>0.14*Table118192023103031323538394041430[[#This Row],[النولون]]</f>
        <v>0</v>
      </c>
      <c r="K13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39" s="1">
        <f>M138+Table118192023103031323538394041430[[#This Row],[اجمالي الفاتوره]]-Table118192023103031323538394041430[[#This Row],[الدفعات]]</f>
        <v>55794.73000000001</v>
      </c>
      <c r="O139" s="48"/>
    </row>
    <row r="140" spans="8:15" ht="26.25" customHeight="1" x14ac:dyDescent="0.3">
      <c r="H140" s="1">
        <f>0.14*Table118192023103031323538394041430[[#This Row],[النولون]]</f>
        <v>0</v>
      </c>
      <c r="K14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40" s="1">
        <f>M139+Table118192023103031323538394041430[[#This Row],[اجمالي الفاتوره]]-Table118192023103031323538394041430[[#This Row],[الدفعات]]</f>
        <v>55794.73000000001</v>
      </c>
      <c r="O140" s="48"/>
    </row>
    <row r="141" spans="8:15" ht="26.25" customHeight="1" x14ac:dyDescent="0.3">
      <c r="H141" s="1">
        <f>0.14*Table118192023103031323538394041430[[#This Row],[النولون]]</f>
        <v>0</v>
      </c>
      <c r="K14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41" s="1">
        <f>M140+Table118192023103031323538394041430[[#This Row],[اجمالي الفاتوره]]-Table118192023103031323538394041430[[#This Row],[الدفعات]]</f>
        <v>55794.73000000001</v>
      </c>
      <c r="O141" s="48"/>
    </row>
    <row r="142" spans="8:15" ht="26.25" customHeight="1" x14ac:dyDescent="0.3">
      <c r="H142" s="1">
        <f>0.14*Table118192023103031323538394041430[[#This Row],[النولون]]</f>
        <v>0</v>
      </c>
      <c r="K14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42" s="1">
        <f>M141+Table118192023103031323538394041430[[#This Row],[اجمالي الفاتوره]]-Table118192023103031323538394041430[[#This Row],[الدفعات]]</f>
        <v>55794.73000000001</v>
      </c>
      <c r="O142" s="48"/>
    </row>
    <row r="143" spans="8:15" ht="26.25" customHeight="1" x14ac:dyDescent="0.3">
      <c r="H143" s="1">
        <f>0.14*Table118192023103031323538394041430[[#This Row],[النولون]]</f>
        <v>0</v>
      </c>
      <c r="K14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43" s="1">
        <f>M142+Table118192023103031323538394041430[[#This Row],[اجمالي الفاتوره]]-Table118192023103031323538394041430[[#This Row],[الدفعات]]</f>
        <v>55794.73000000001</v>
      </c>
      <c r="O143" s="48"/>
    </row>
    <row r="144" spans="8:15" ht="26.25" customHeight="1" x14ac:dyDescent="0.3">
      <c r="H144" s="1">
        <f>0.14*Table118192023103031323538394041430[[#This Row],[النولون]]</f>
        <v>0</v>
      </c>
      <c r="K14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44" s="1">
        <f>M143+Table118192023103031323538394041430[[#This Row],[اجمالي الفاتوره]]-Table118192023103031323538394041430[[#This Row],[الدفعات]]</f>
        <v>55794.73000000001</v>
      </c>
      <c r="O144" s="48"/>
    </row>
    <row r="145" spans="8:15" ht="26.25" customHeight="1" x14ac:dyDescent="0.3">
      <c r="H145" s="1">
        <f>0.14*Table118192023103031323538394041430[[#This Row],[النولون]]</f>
        <v>0</v>
      </c>
      <c r="K14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45" s="1">
        <f>M144+Table118192023103031323538394041430[[#This Row],[اجمالي الفاتوره]]-Table118192023103031323538394041430[[#This Row],[الدفعات]]</f>
        <v>55794.73000000001</v>
      </c>
      <c r="O145" s="48"/>
    </row>
    <row r="146" spans="8:15" ht="26.25" customHeight="1" x14ac:dyDescent="0.3">
      <c r="H146" s="1">
        <f>0.14*Table118192023103031323538394041430[[#This Row],[النولون]]</f>
        <v>0</v>
      </c>
      <c r="K14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46" s="1">
        <f>M145+Table118192023103031323538394041430[[#This Row],[اجمالي الفاتوره]]-Table118192023103031323538394041430[[#This Row],[الدفعات]]</f>
        <v>55794.73000000001</v>
      </c>
      <c r="O146" s="48"/>
    </row>
    <row r="147" spans="8:15" ht="26.25" customHeight="1" x14ac:dyDescent="0.3">
      <c r="H147" s="1">
        <f>0.14*Table118192023103031323538394041430[[#This Row],[النولون]]</f>
        <v>0</v>
      </c>
      <c r="K14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47" s="1">
        <f>M146+Table118192023103031323538394041430[[#This Row],[اجمالي الفاتوره]]-Table118192023103031323538394041430[[#This Row],[الدفعات]]</f>
        <v>55794.73000000001</v>
      </c>
      <c r="O147" s="48"/>
    </row>
    <row r="148" spans="8:15" ht="26.25" customHeight="1" x14ac:dyDescent="0.3">
      <c r="H148" s="1">
        <f>0.14*Table118192023103031323538394041430[[#This Row],[النولون]]</f>
        <v>0</v>
      </c>
      <c r="K14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48" s="1">
        <f>M147+Table118192023103031323538394041430[[#This Row],[اجمالي الفاتوره]]-Table118192023103031323538394041430[[#This Row],[الدفعات]]</f>
        <v>55794.73000000001</v>
      </c>
      <c r="O148" s="48"/>
    </row>
    <row r="149" spans="8:15" ht="26.25" customHeight="1" x14ac:dyDescent="0.3">
      <c r="H149" s="1">
        <f>0.14*Table118192023103031323538394041430[[#This Row],[النولون]]</f>
        <v>0</v>
      </c>
      <c r="K14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49" s="1">
        <f>M148+Table118192023103031323538394041430[[#This Row],[اجمالي الفاتوره]]-Table118192023103031323538394041430[[#This Row],[الدفعات]]</f>
        <v>55794.73000000001</v>
      </c>
      <c r="O149" s="48"/>
    </row>
    <row r="150" spans="8:15" ht="26.25" customHeight="1" x14ac:dyDescent="0.3">
      <c r="H150" s="1">
        <f>0.14*Table118192023103031323538394041430[[#This Row],[النولون]]</f>
        <v>0</v>
      </c>
      <c r="K15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50" s="1">
        <f>M149+Table118192023103031323538394041430[[#This Row],[اجمالي الفاتوره]]-Table118192023103031323538394041430[[#This Row],[الدفعات]]</f>
        <v>55794.73000000001</v>
      </c>
      <c r="O150" s="48"/>
    </row>
    <row r="151" spans="8:15" ht="26.25" customHeight="1" x14ac:dyDescent="0.3">
      <c r="H151" s="1">
        <f>0.14*Table118192023103031323538394041430[[#This Row],[النولون]]</f>
        <v>0</v>
      </c>
      <c r="K15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51" s="1">
        <f>M150+Table118192023103031323538394041430[[#This Row],[اجمالي الفاتوره]]-Table118192023103031323538394041430[[#This Row],[الدفعات]]</f>
        <v>55794.73000000001</v>
      </c>
      <c r="O151" s="48"/>
    </row>
    <row r="152" spans="8:15" ht="26.25" customHeight="1" x14ac:dyDescent="0.3">
      <c r="H152" s="1">
        <f>0.14*Table118192023103031323538394041430[[#This Row],[النولون]]</f>
        <v>0</v>
      </c>
      <c r="K15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52" s="1">
        <f>M151+Table118192023103031323538394041430[[#This Row],[اجمالي الفاتوره]]-Table118192023103031323538394041430[[#This Row],[الدفعات]]</f>
        <v>55794.73000000001</v>
      </c>
      <c r="O152" s="48"/>
    </row>
    <row r="153" spans="8:15" ht="26.25" customHeight="1" x14ac:dyDescent="0.3">
      <c r="H153" s="1">
        <f>0.14*Table118192023103031323538394041430[[#This Row],[النولون]]</f>
        <v>0</v>
      </c>
      <c r="K15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53" s="1">
        <f>M152+Table118192023103031323538394041430[[#This Row],[اجمالي الفاتوره]]-Table118192023103031323538394041430[[#This Row],[الدفعات]]</f>
        <v>55794.73000000001</v>
      </c>
      <c r="O153" s="48"/>
    </row>
    <row r="154" spans="8:15" ht="26.25" customHeight="1" x14ac:dyDescent="0.3">
      <c r="H154" s="1">
        <f>0.14*Table118192023103031323538394041430[[#This Row],[النولون]]</f>
        <v>0</v>
      </c>
      <c r="K15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54" s="1">
        <f>M153+Table118192023103031323538394041430[[#This Row],[اجمالي الفاتوره]]-Table118192023103031323538394041430[[#This Row],[الدفعات]]</f>
        <v>55794.73000000001</v>
      </c>
      <c r="O154" s="48"/>
    </row>
    <row r="155" spans="8:15" ht="26.25" customHeight="1" x14ac:dyDescent="0.3">
      <c r="H155" s="1">
        <f>0.14*Table118192023103031323538394041430[[#This Row],[النولون]]</f>
        <v>0</v>
      </c>
      <c r="K15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55" s="1">
        <f>M154+Table118192023103031323538394041430[[#This Row],[اجمالي الفاتوره]]-Table118192023103031323538394041430[[#This Row],[الدفعات]]</f>
        <v>55794.73000000001</v>
      </c>
      <c r="O155" s="48"/>
    </row>
    <row r="156" spans="8:15" ht="26.25" customHeight="1" x14ac:dyDescent="0.3">
      <c r="H156" s="1">
        <f>0.14*Table118192023103031323538394041430[[#This Row],[النولون]]</f>
        <v>0</v>
      </c>
      <c r="K15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56" s="1">
        <f>M155+Table118192023103031323538394041430[[#This Row],[اجمالي الفاتوره]]-Table118192023103031323538394041430[[#This Row],[الدفعات]]</f>
        <v>55794.73000000001</v>
      </c>
      <c r="O156" s="48"/>
    </row>
    <row r="157" spans="8:15" ht="26.25" customHeight="1" x14ac:dyDescent="0.3">
      <c r="H157" s="1">
        <f>0.14*Table118192023103031323538394041430[[#This Row],[النولون]]</f>
        <v>0</v>
      </c>
      <c r="K15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57" s="1">
        <f>M156+Table118192023103031323538394041430[[#This Row],[اجمالي الفاتوره]]-Table118192023103031323538394041430[[#This Row],[الدفعات]]</f>
        <v>55794.73000000001</v>
      </c>
      <c r="O157" s="48"/>
    </row>
    <row r="158" spans="8:15" ht="26.25" customHeight="1" x14ac:dyDescent="0.3">
      <c r="H158" s="1">
        <f>0.14*Table118192023103031323538394041430[[#This Row],[النولون]]</f>
        <v>0</v>
      </c>
      <c r="K15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58" s="1">
        <f>M157+Table118192023103031323538394041430[[#This Row],[اجمالي الفاتوره]]-Table118192023103031323538394041430[[#This Row],[الدفعات]]</f>
        <v>55794.73000000001</v>
      </c>
      <c r="O158" s="48"/>
    </row>
    <row r="159" spans="8:15" ht="26.25" customHeight="1" x14ac:dyDescent="0.3">
      <c r="H159" s="1">
        <f>0.14*Table118192023103031323538394041430[[#This Row],[النولون]]</f>
        <v>0</v>
      </c>
      <c r="K15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59" s="1">
        <f>M158+Table118192023103031323538394041430[[#This Row],[اجمالي الفاتوره]]-Table118192023103031323538394041430[[#This Row],[الدفعات]]</f>
        <v>55794.73000000001</v>
      </c>
      <c r="O159" s="48"/>
    </row>
    <row r="160" spans="8:15" ht="26.25" customHeight="1" x14ac:dyDescent="0.3">
      <c r="H160" s="1">
        <f>0.14*Table118192023103031323538394041430[[#This Row],[النولون]]</f>
        <v>0</v>
      </c>
      <c r="K16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60" s="1">
        <f>M159+Table118192023103031323538394041430[[#This Row],[اجمالي الفاتوره]]-Table118192023103031323538394041430[[#This Row],[الدفعات]]</f>
        <v>55794.73000000001</v>
      </c>
      <c r="O160" s="48"/>
    </row>
    <row r="161" spans="8:15" ht="26.25" customHeight="1" x14ac:dyDescent="0.3">
      <c r="H161" s="1">
        <f>0.14*Table118192023103031323538394041430[[#This Row],[النولون]]</f>
        <v>0</v>
      </c>
      <c r="K16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61" s="1">
        <f>M160+Table118192023103031323538394041430[[#This Row],[اجمالي الفاتوره]]-Table118192023103031323538394041430[[#This Row],[الدفعات]]</f>
        <v>55794.73000000001</v>
      </c>
      <c r="O161" s="48"/>
    </row>
    <row r="162" spans="8:15" ht="26.25" customHeight="1" x14ac:dyDescent="0.3">
      <c r="H162" s="1">
        <f>0.14*Table118192023103031323538394041430[[#This Row],[النولون]]</f>
        <v>0</v>
      </c>
      <c r="K16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62" s="1">
        <f>M161+Table118192023103031323538394041430[[#This Row],[اجمالي الفاتوره]]-Table118192023103031323538394041430[[#This Row],[الدفعات]]</f>
        <v>55794.73000000001</v>
      </c>
      <c r="O162" s="48"/>
    </row>
    <row r="163" spans="8:15" ht="26.25" customHeight="1" x14ac:dyDescent="0.3">
      <c r="H163" s="1">
        <f>0.14*Table118192023103031323538394041430[[#This Row],[النولون]]</f>
        <v>0</v>
      </c>
      <c r="K16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63" s="1">
        <f>M162+Table118192023103031323538394041430[[#This Row],[اجمالي الفاتوره]]-Table118192023103031323538394041430[[#This Row],[الدفعات]]</f>
        <v>55794.73000000001</v>
      </c>
      <c r="O163" s="48"/>
    </row>
    <row r="164" spans="8:15" ht="26.25" customHeight="1" x14ac:dyDescent="0.3">
      <c r="H164" s="1">
        <f>0.14*Table118192023103031323538394041430[[#This Row],[النولون]]</f>
        <v>0</v>
      </c>
      <c r="K16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64" s="1">
        <f>M163+Table118192023103031323538394041430[[#This Row],[اجمالي الفاتوره]]-Table118192023103031323538394041430[[#This Row],[الدفعات]]</f>
        <v>55794.73000000001</v>
      </c>
      <c r="O164" s="48"/>
    </row>
    <row r="165" spans="8:15" ht="26.25" customHeight="1" x14ac:dyDescent="0.3">
      <c r="H165" s="1">
        <f>0.14*Table118192023103031323538394041430[[#This Row],[النولون]]</f>
        <v>0</v>
      </c>
      <c r="K16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65" s="1">
        <f>M164+Table118192023103031323538394041430[[#This Row],[اجمالي الفاتوره]]-Table118192023103031323538394041430[[#This Row],[الدفعات]]</f>
        <v>55794.73000000001</v>
      </c>
      <c r="O165" s="48"/>
    </row>
    <row r="166" spans="8:15" ht="26.25" customHeight="1" x14ac:dyDescent="0.3">
      <c r="H166" s="1">
        <f>0.14*Table118192023103031323538394041430[[#This Row],[النولون]]</f>
        <v>0</v>
      </c>
      <c r="K16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66" s="1">
        <f>M165+Table118192023103031323538394041430[[#This Row],[اجمالي الفاتوره]]-Table118192023103031323538394041430[[#This Row],[الدفعات]]</f>
        <v>55794.73000000001</v>
      </c>
      <c r="O166" s="48"/>
    </row>
    <row r="167" spans="8:15" ht="26.25" customHeight="1" x14ac:dyDescent="0.3">
      <c r="H167" s="1">
        <f>0.14*Table118192023103031323538394041430[[#This Row],[النولون]]</f>
        <v>0</v>
      </c>
      <c r="K16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67" s="1">
        <f>M166+Table118192023103031323538394041430[[#This Row],[اجمالي الفاتوره]]-Table118192023103031323538394041430[[#This Row],[الدفعات]]</f>
        <v>55794.73000000001</v>
      </c>
      <c r="O167" s="48"/>
    </row>
    <row r="168" spans="8:15" ht="26.25" customHeight="1" x14ac:dyDescent="0.3">
      <c r="H168" s="1">
        <f>0.14*Table118192023103031323538394041430[[#This Row],[النولون]]</f>
        <v>0</v>
      </c>
      <c r="K16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68" s="1">
        <f>M167+Table118192023103031323538394041430[[#This Row],[اجمالي الفاتوره]]-Table118192023103031323538394041430[[#This Row],[الدفعات]]</f>
        <v>55794.73000000001</v>
      </c>
      <c r="O168" s="48"/>
    </row>
    <row r="169" spans="8:15" ht="26.25" customHeight="1" x14ac:dyDescent="0.3">
      <c r="H169" s="1">
        <f>0.14*Table118192023103031323538394041430[[#This Row],[النولون]]</f>
        <v>0</v>
      </c>
      <c r="K16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69" s="1">
        <f>M168+Table118192023103031323538394041430[[#This Row],[اجمالي الفاتوره]]-Table118192023103031323538394041430[[#This Row],[الدفعات]]</f>
        <v>55794.73000000001</v>
      </c>
      <c r="O169" s="48"/>
    </row>
    <row r="170" spans="8:15" ht="26.25" customHeight="1" x14ac:dyDescent="0.3">
      <c r="H170" s="1">
        <f>0.14*Table118192023103031323538394041430[[#This Row],[النولون]]</f>
        <v>0</v>
      </c>
      <c r="K17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70" s="1">
        <f>M169+Table118192023103031323538394041430[[#This Row],[اجمالي الفاتوره]]-Table118192023103031323538394041430[[#This Row],[الدفعات]]</f>
        <v>55794.73000000001</v>
      </c>
      <c r="O170" s="48"/>
    </row>
    <row r="171" spans="8:15" ht="26.25" customHeight="1" x14ac:dyDescent="0.3">
      <c r="H171" s="1">
        <f>0.14*Table118192023103031323538394041430[[#This Row],[النولون]]</f>
        <v>0</v>
      </c>
      <c r="K17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71" s="1">
        <f>M170+Table118192023103031323538394041430[[#This Row],[اجمالي الفاتوره]]-Table118192023103031323538394041430[[#This Row],[الدفعات]]</f>
        <v>55794.73000000001</v>
      </c>
      <c r="O171" s="48"/>
    </row>
    <row r="172" spans="8:15" ht="26.25" customHeight="1" x14ac:dyDescent="0.3">
      <c r="H172" s="1">
        <f>0.14*Table118192023103031323538394041430[[#This Row],[النولون]]</f>
        <v>0</v>
      </c>
      <c r="K17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72" s="1">
        <f>M171+Table118192023103031323538394041430[[#This Row],[اجمالي الفاتوره]]-Table118192023103031323538394041430[[#This Row],[الدفعات]]</f>
        <v>55794.73000000001</v>
      </c>
      <c r="O172" s="48"/>
    </row>
    <row r="173" spans="8:15" ht="26.25" customHeight="1" x14ac:dyDescent="0.3">
      <c r="H173" s="1">
        <f>0.14*Table118192023103031323538394041430[[#This Row],[النولون]]</f>
        <v>0</v>
      </c>
      <c r="K17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73" s="1">
        <f>M172+Table118192023103031323538394041430[[#This Row],[اجمالي الفاتوره]]-Table118192023103031323538394041430[[#This Row],[الدفعات]]</f>
        <v>55794.73000000001</v>
      </c>
      <c r="O173" s="48"/>
    </row>
    <row r="174" spans="8:15" ht="26.25" customHeight="1" x14ac:dyDescent="0.3">
      <c r="H174" s="1">
        <f>0.14*Table118192023103031323538394041430[[#This Row],[النولون]]</f>
        <v>0</v>
      </c>
      <c r="K17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74" s="1">
        <f>M173+Table118192023103031323538394041430[[#This Row],[اجمالي الفاتوره]]-Table118192023103031323538394041430[[#This Row],[الدفعات]]</f>
        <v>55794.73000000001</v>
      </c>
      <c r="O174" s="48"/>
    </row>
    <row r="175" spans="8:15" ht="26.25" customHeight="1" x14ac:dyDescent="0.3">
      <c r="H175" s="1">
        <f>0.14*Table118192023103031323538394041430[[#This Row],[النولون]]</f>
        <v>0</v>
      </c>
      <c r="K17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75" s="1">
        <f>M174+Table118192023103031323538394041430[[#This Row],[اجمالي الفاتوره]]-Table118192023103031323538394041430[[#This Row],[الدفعات]]</f>
        <v>55794.73000000001</v>
      </c>
      <c r="O175" s="48"/>
    </row>
    <row r="176" spans="8:15" ht="26.25" customHeight="1" x14ac:dyDescent="0.3">
      <c r="H176" s="1">
        <f>0.14*Table118192023103031323538394041430[[#This Row],[النولون]]</f>
        <v>0</v>
      </c>
      <c r="K17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76" s="1">
        <f>M175+Table118192023103031323538394041430[[#This Row],[اجمالي الفاتوره]]-Table118192023103031323538394041430[[#This Row],[الدفعات]]</f>
        <v>55794.73000000001</v>
      </c>
      <c r="O176" s="48"/>
    </row>
    <row r="177" spans="8:15" ht="26.25" customHeight="1" x14ac:dyDescent="0.3">
      <c r="H177" s="1">
        <f>0.14*Table118192023103031323538394041430[[#This Row],[النولون]]</f>
        <v>0</v>
      </c>
      <c r="K17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77" s="1">
        <f>M176+Table118192023103031323538394041430[[#This Row],[اجمالي الفاتوره]]-Table118192023103031323538394041430[[#This Row],[الدفعات]]</f>
        <v>55794.73000000001</v>
      </c>
      <c r="O177" s="48"/>
    </row>
    <row r="178" spans="8:15" ht="26.25" customHeight="1" x14ac:dyDescent="0.3">
      <c r="H178" s="1">
        <f>0.14*Table118192023103031323538394041430[[#This Row],[النولون]]</f>
        <v>0</v>
      </c>
      <c r="K17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78" s="1">
        <f>M177+Table118192023103031323538394041430[[#This Row],[اجمالي الفاتوره]]-Table118192023103031323538394041430[[#This Row],[الدفعات]]</f>
        <v>55794.73000000001</v>
      </c>
      <c r="O178" s="48"/>
    </row>
    <row r="179" spans="8:15" ht="26.25" customHeight="1" x14ac:dyDescent="0.3">
      <c r="H179" s="1">
        <f>0.14*Table118192023103031323538394041430[[#This Row],[النولون]]</f>
        <v>0</v>
      </c>
      <c r="K17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79" s="1">
        <f>M178+Table118192023103031323538394041430[[#This Row],[اجمالي الفاتوره]]-Table118192023103031323538394041430[[#This Row],[الدفعات]]</f>
        <v>55794.73000000001</v>
      </c>
      <c r="O179" s="48"/>
    </row>
    <row r="180" spans="8:15" ht="26.25" customHeight="1" x14ac:dyDescent="0.3">
      <c r="H180" s="1">
        <f>0.14*Table118192023103031323538394041430[[#This Row],[النولون]]</f>
        <v>0</v>
      </c>
      <c r="K18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80" s="1">
        <f>M179+Table118192023103031323538394041430[[#This Row],[اجمالي الفاتوره]]-Table118192023103031323538394041430[[#This Row],[الدفعات]]</f>
        <v>55794.73000000001</v>
      </c>
      <c r="O180" s="48"/>
    </row>
    <row r="181" spans="8:15" ht="26.25" customHeight="1" x14ac:dyDescent="0.3">
      <c r="H181" s="1">
        <f>0.14*Table118192023103031323538394041430[[#This Row],[النولون]]</f>
        <v>0</v>
      </c>
      <c r="K18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81" s="1">
        <f>M180+Table118192023103031323538394041430[[#This Row],[اجمالي الفاتوره]]-Table118192023103031323538394041430[[#This Row],[الدفعات]]</f>
        <v>55794.73000000001</v>
      </c>
      <c r="O181" s="48"/>
    </row>
    <row r="182" spans="8:15" ht="26.25" customHeight="1" x14ac:dyDescent="0.3">
      <c r="H182" s="1">
        <f>0.14*Table118192023103031323538394041430[[#This Row],[النولون]]</f>
        <v>0</v>
      </c>
      <c r="K18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82" s="1">
        <f>M181+Table118192023103031323538394041430[[#This Row],[اجمالي الفاتوره]]-Table118192023103031323538394041430[[#This Row],[الدفعات]]</f>
        <v>55794.73000000001</v>
      </c>
      <c r="O182" s="48"/>
    </row>
    <row r="183" spans="8:15" ht="26.25" customHeight="1" x14ac:dyDescent="0.3">
      <c r="H183" s="1">
        <f>0.14*Table118192023103031323538394041430[[#This Row],[النولون]]</f>
        <v>0</v>
      </c>
      <c r="K18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83" s="1">
        <f>M182+Table118192023103031323538394041430[[#This Row],[اجمالي الفاتوره]]-Table118192023103031323538394041430[[#This Row],[الدفعات]]</f>
        <v>55794.73000000001</v>
      </c>
      <c r="O183" s="48"/>
    </row>
    <row r="184" spans="8:15" ht="26.25" customHeight="1" x14ac:dyDescent="0.3">
      <c r="H184" s="1">
        <f>0.14*Table118192023103031323538394041430[[#This Row],[النولون]]</f>
        <v>0</v>
      </c>
      <c r="K18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84" s="1">
        <f>M183+Table118192023103031323538394041430[[#This Row],[اجمالي الفاتوره]]-Table118192023103031323538394041430[[#This Row],[الدفعات]]</f>
        <v>55794.73000000001</v>
      </c>
      <c r="O184" s="48"/>
    </row>
    <row r="185" spans="8:15" ht="26.25" customHeight="1" x14ac:dyDescent="0.3">
      <c r="H185" s="1">
        <f>0.14*Table118192023103031323538394041430[[#This Row],[النولون]]</f>
        <v>0</v>
      </c>
      <c r="K18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85" s="1">
        <f>M184+Table118192023103031323538394041430[[#This Row],[اجمالي الفاتوره]]-Table118192023103031323538394041430[[#This Row],[الدفعات]]</f>
        <v>55794.73000000001</v>
      </c>
      <c r="O185" s="48"/>
    </row>
    <row r="186" spans="8:15" ht="26.25" customHeight="1" x14ac:dyDescent="0.3">
      <c r="H186" s="1">
        <f>0.14*Table118192023103031323538394041430[[#This Row],[النولون]]</f>
        <v>0</v>
      </c>
      <c r="K18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86" s="1">
        <f>M185+Table118192023103031323538394041430[[#This Row],[اجمالي الفاتوره]]-Table118192023103031323538394041430[[#This Row],[الدفعات]]</f>
        <v>55794.73000000001</v>
      </c>
      <c r="O186" s="48"/>
    </row>
    <row r="187" spans="8:15" ht="26.25" customHeight="1" x14ac:dyDescent="0.3">
      <c r="H187" s="1">
        <f>0.14*Table118192023103031323538394041430[[#This Row],[النولون]]</f>
        <v>0</v>
      </c>
      <c r="K18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87" s="1">
        <f>M186+Table118192023103031323538394041430[[#This Row],[اجمالي الفاتوره]]-Table118192023103031323538394041430[[#This Row],[الدفعات]]</f>
        <v>55794.73000000001</v>
      </c>
      <c r="O187" s="48"/>
    </row>
    <row r="188" spans="8:15" ht="26.25" customHeight="1" x14ac:dyDescent="0.3">
      <c r="H188" s="1">
        <f>0.14*Table118192023103031323538394041430[[#This Row],[النولون]]</f>
        <v>0</v>
      </c>
      <c r="K18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88" s="1">
        <f>M187+Table118192023103031323538394041430[[#This Row],[اجمالي الفاتوره]]-Table118192023103031323538394041430[[#This Row],[الدفعات]]</f>
        <v>55794.73000000001</v>
      </c>
      <c r="O188" s="48"/>
    </row>
    <row r="189" spans="8:15" ht="26.25" customHeight="1" x14ac:dyDescent="0.3">
      <c r="H189" s="1">
        <f>0.14*Table118192023103031323538394041430[[#This Row],[النولون]]</f>
        <v>0</v>
      </c>
      <c r="K18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89" s="1">
        <f>M188+Table118192023103031323538394041430[[#This Row],[اجمالي الفاتوره]]-Table118192023103031323538394041430[[#This Row],[الدفعات]]</f>
        <v>55794.73000000001</v>
      </c>
      <c r="O189" s="48"/>
    </row>
    <row r="190" spans="8:15" ht="26.25" customHeight="1" x14ac:dyDescent="0.3">
      <c r="H190" s="1">
        <f>0.14*Table118192023103031323538394041430[[#This Row],[النولون]]</f>
        <v>0</v>
      </c>
      <c r="K19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90" s="1">
        <f>M189+Table118192023103031323538394041430[[#This Row],[اجمالي الفاتوره]]-Table118192023103031323538394041430[[#This Row],[الدفعات]]</f>
        <v>55794.73000000001</v>
      </c>
      <c r="O190" s="48"/>
    </row>
    <row r="191" spans="8:15" ht="26.25" customHeight="1" x14ac:dyDescent="0.3">
      <c r="H191" s="1">
        <f>0.14*Table118192023103031323538394041430[[#This Row],[النولون]]</f>
        <v>0</v>
      </c>
      <c r="K19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91" s="1">
        <f>M190+Table118192023103031323538394041430[[#This Row],[اجمالي الفاتوره]]-Table118192023103031323538394041430[[#This Row],[الدفعات]]</f>
        <v>55794.73000000001</v>
      </c>
      <c r="O191" s="48"/>
    </row>
    <row r="192" spans="8:15" ht="26.25" customHeight="1" x14ac:dyDescent="0.3">
      <c r="H192" s="1">
        <f>0.14*Table118192023103031323538394041430[[#This Row],[النولون]]</f>
        <v>0</v>
      </c>
      <c r="K19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92" s="1">
        <f>M191+Table118192023103031323538394041430[[#This Row],[اجمالي الفاتوره]]-Table118192023103031323538394041430[[#This Row],[الدفعات]]</f>
        <v>55794.73000000001</v>
      </c>
      <c r="O192" s="48"/>
    </row>
    <row r="193" spans="8:15" ht="26.25" customHeight="1" x14ac:dyDescent="0.3">
      <c r="H193" s="1">
        <f>0.14*Table118192023103031323538394041430[[#This Row],[النولون]]</f>
        <v>0</v>
      </c>
      <c r="K19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93" s="1">
        <f>M192+Table118192023103031323538394041430[[#This Row],[اجمالي الفاتوره]]-Table118192023103031323538394041430[[#This Row],[الدفعات]]</f>
        <v>55794.73000000001</v>
      </c>
      <c r="O193" s="48"/>
    </row>
    <row r="194" spans="8:15" ht="26.25" customHeight="1" x14ac:dyDescent="0.3">
      <c r="H194" s="1">
        <f>0.14*Table118192023103031323538394041430[[#This Row],[النولون]]</f>
        <v>0</v>
      </c>
      <c r="K19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94" s="1">
        <f>M193+Table118192023103031323538394041430[[#This Row],[اجمالي الفاتوره]]-Table118192023103031323538394041430[[#This Row],[الدفعات]]</f>
        <v>55794.73000000001</v>
      </c>
      <c r="O194" s="48"/>
    </row>
    <row r="195" spans="8:15" ht="26.25" customHeight="1" x14ac:dyDescent="0.3">
      <c r="H195" s="1">
        <f>0.14*Table118192023103031323538394041430[[#This Row],[النولون]]</f>
        <v>0</v>
      </c>
      <c r="K19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95" s="1">
        <f>M194+Table118192023103031323538394041430[[#This Row],[اجمالي الفاتوره]]-Table118192023103031323538394041430[[#This Row],[الدفعات]]</f>
        <v>55794.73000000001</v>
      </c>
      <c r="O195" s="48"/>
    </row>
    <row r="196" spans="8:15" ht="26.25" customHeight="1" x14ac:dyDescent="0.3">
      <c r="H196" s="1">
        <f>0.14*Table118192023103031323538394041430[[#This Row],[النولون]]</f>
        <v>0</v>
      </c>
      <c r="K19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96" s="1">
        <f>M195+Table118192023103031323538394041430[[#This Row],[اجمالي الفاتوره]]-Table118192023103031323538394041430[[#This Row],[الدفعات]]</f>
        <v>55794.73000000001</v>
      </c>
      <c r="O196" s="48"/>
    </row>
    <row r="197" spans="8:15" ht="26.25" customHeight="1" x14ac:dyDescent="0.3">
      <c r="H197" s="1">
        <f>0.14*Table118192023103031323538394041430[[#This Row],[النولون]]</f>
        <v>0</v>
      </c>
      <c r="K19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97" s="1">
        <f>M196+Table118192023103031323538394041430[[#This Row],[اجمالي الفاتوره]]-Table118192023103031323538394041430[[#This Row],[الدفعات]]</f>
        <v>55794.73000000001</v>
      </c>
      <c r="O197" s="48"/>
    </row>
    <row r="198" spans="8:15" ht="26.25" customHeight="1" x14ac:dyDescent="0.3">
      <c r="H198" s="1">
        <f>0.14*Table118192023103031323538394041430[[#This Row],[النولون]]</f>
        <v>0</v>
      </c>
      <c r="K19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98" s="1">
        <f>M197+Table118192023103031323538394041430[[#This Row],[اجمالي الفاتوره]]-Table118192023103031323538394041430[[#This Row],[الدفعات]]</f>
        <v>55794.73000000001</v>
      </c>
      <c r="O198" s="48"/>
    </row>
    <row r="199" spans="8:15" ht="26.25" customHeight="1" x14ac:dyDescent="0.3">
      <c r="H199" s="1">
        <f>0.14*Table118192023103031323538394041430[[#This Row],[النولون]]</f>
        <v>0</v>
      </c>
      <c r="K19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199" s="1">
        <f>M198+Table118192023103031323538394041430[[#This Row],[اجمالي الفاتوره]]-Table118192023103031323538394041430[[#This Row],[الدفعات]]</f>
        <v>55794.73000000001</v>
      </c>
      <c r="O199" s="48"/>
    </row>
    <row r="200" spans="8:15" ht="26.25" customHeight="1" x14ac:dyDescent="0.3">
      <c r="H200" s="1">
        <f>0.14*Table118192023103031323538394041430[[#This Row],[النولون]]</f>
        <v>0</v>
      </c>
      <c r="K20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00" s="1">
        <f>M199+Table118192023103031323538394041430[[#This Row],[اجمالي الفاتوره]]-Table118192023103031323538394041430[[#This Row],[الدفعات]]</f>
        <v>55794.73000000001</v>
      </c>
      <c r="O200" s="48"/>
    </row>
    <row r="201" spans="8:15" ht="26.25" customHeight="1" x14ac:dyDescent="0.3">
      <c r="H201" s="1">
        <f>0.14*Table118192023103031323538394041430[[#This Row],[النولون]]</f>
        <v>0</v>
      </c>
      <c r="K20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01" s="1">
        <f>M200+Table118192023103031323538394041430[[#This Row],[اجمالي الفاتوره]]-Table118192023103031323538394041430[[#This Row],[الدفعات]]</f>
        <v>55794.73000000001</v>
      </c>
      <c r="O201" s="48"/>
    </row>
    <row r="202" spans="8:15" ht="26.25" customHeight="1" x14ac:dyDescent="0.3">
      <c r="H202" s="1">
        <f>0.14*Table118192023103031323538394041430[[#This Row],[النولون]]</f>
        <v>0</v>
      </c>
      <c r="K20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02" s="1">
        <f>M201+Table118192023103031323538394041430[[#This Row],[اجمالي الفاتوره]]-Table118192023103031323538394041430[[#This Row],[الدفعات]]</f>
        <v>55794.73000000001</v>
      </c>
      <c r="O202" s="48"/>
    </row>
    <row r="203" spans="8:15" ht="26.25" customHeight="1" x14ac:dyDescent="0.3">
      <c r="H203" s="1">
        <f>0.14*Table118192023103031323538394041430[[#This Row],[النولون]]</f>
        <v>0</v>
      </c>
      <c r="K20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03" s="1">
        <f>M202+Table118192023103031323538394041430[[#This Row],[اجمالي الفاتوره]]-Table118192023103031323538394041430[[#This Row],[الدفعات]]</f>
        <v>55794.73000000001</v>
      </c>
      <c r="O203" s="48"/>
    </row>
    <row r="204" spans="8:15" ht="26.25" customHeight="1" x14ac:dyDescent="0.3">
      <c r="H204" s="1">
        <f>0.14*Table118192023103031323538394041430[[#This Row],[النولون]]</f>
        <v>0</v>
      </c>
      <c r="K20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04" s="1">
        <f>M203+Table118192023103031323538394041430[[#This Row],[اجمالي الفاتوره]]-Table118192023103031323538394041430[[#This Row],[الدفعات]]</f>
        <v>55794.73000000001</v>
      </c>
      <c r="O204" s="48"/>
    </row>
    <row r="205" spans="8:15" ht="26.25" customHeight="1" x14ac:dyDescent="0.3">
      <c r="H205" s="1">
        <f>0.14*Table118192023103031323538394041430[[#This Row],[النولون]]</f>
        <v>0</v>
      </c>
      <c r="K20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05" s="1">
        <f>M204+Table118192023103031323538394041430[[#This Row],[اجمالي الفاتوره]]-Table118192023103031323538394041430[[#This Row],[الدفعات]]</f>
        <v>55794.73000000001</v>
      </c>
      <c r="O205" s="48"/>
    </row>
    <row r="206" spans="8:15" ht="26.25" customHeight="1" x14ac:dyDescent="0.3">
      <c r="H206" s="1">
        <f>0.14*Table118192023103031323538394041430[[#This Row],[النولون]]</f>
        <v>0</v>
      </c>
      <c r="K20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06" s="1">
        <f>M205+Table118192023103031323538394041430[[#This Row],[اجمالي الفاتوره]]-Table118192023103031323538394041430[[#This Row],[الدفعات]]</f>
        <v>55794.73000000001</v>
      </c>
      <c r="O206" s="48"/>
    </row>
    <row r="207" spans="8:15" ht="26.25" customHeight="1" x14ac:dyDescent="0.3">
      <c r="H207" s="1">
        <f>0.14*Table118192023103031323538394041430[[#This Row],[النولون]]</f>
        <v>0</v>
      </c>
      <c r="K20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07" s="1">
        <f>M206+Table118192023103031323538394041430[[#This Row],[اجمالي الفاتوره]]-Table118192023103031323538394041430[[#This Row],[الدفعات]]</f>
        <v>55794.73000000001</v>
      </c>
      <c r="O207" s="48"/>
    </row>
    <row r="208" spans="8:15" ht="26.25" customHeight="1" x14ac:dyDescent="0.3">
      <c r="H208" s="1">
        <f>0.14*Table118192023103031323538394041430[[#This Row],[النولون]]</f>
        <v>0</v>
      </c>
      <c r="K20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08" s="1">
        <f>M207+Table118192023103031323538394041430[[#This Row],[اجمالي الفاتوره]]-Table118192023103031323538394041430[[#This Row],[الدفعات]]</f>
        <v>55794.73000000001</v>
      </c>
      <c r="O208" s="48"/>
    </row>
    <row r="209" spans="8:15" ht="26.25" customHeight="1" x14ac:dyDescent="0.3">
      <c r="H209" s="1">
        <f>0.14*Table118192023103031323538394041430[[#This Row],[النولون]]</f>
        <v>0</v>
      </c>
      <c r="K20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09" s="1">
        <f>M208+Table118192023103031323538394041430[[#This Row],[اجمالي الفاتوره]]-Table118192023103031323538394041430[[#This Row],[الدفعات]]</f>
        <v>55794.73000000001</v>
      </c>
      <c r="O209" s="48"/>
    </row>
    <row r="210" spans="8:15" ht="26.25" customHeight="1" x14ac:dyDescent="0.3">
      <c r="H210" s="1">
        <f>0.14*Table118192023103031323538394041430[[#This Row],[النولون]]</f>
        <v>0</v>
      </c>
      <c r="K21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10" s="1">
        <f>M209+Table118192023103031323538394041430[[#This Row],[اجمالي الفاتوره]]-Table118192023103031323538394041430[[#This Row],[الدفعات]]</f>
        <v>55794.73000000001</v>
      </c>
      <c r="O210" s="48"/>
    </row>
    <row r="211" spans="8:15" ht="26.25" customHeight="1" x14ac:dyDescent="0.3">
      <c r="H211" s="1">
        <f>0.14*Table118192023103031323538394041430[[#This Row],[النولون]]</f>
        <v>0</v>
      </c>
      <c r="K21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11" s="1">
        <f>M210+Table118192023103031323538394041430[[#This Row],[اجمالي الفاتوره]]-Table118192023103031323538394041430[[#This Row],[الدفعات]]</f>
        <v>55794.73000000001</v>
      </c>
      <c r="O211" s="48"/>
    </row>
    <row r="212" spans="8:15" ht="26.25" customHeight="1" x14ac:dyDescent="0.3">
      <c r="H212" s="1">
        <f>0.14*Table118192023103031323538394041430[[#This Row],[النولون]]</f>
        <v>0</v>
      </c>
      <c r="K21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12" s="1">
        <f>M211+Table118192023103031323538394041430[[#This Row],[اجمالي الفاتوره]]-Table118192023103031323538394041430[[#This Row],[الدفعات]]</f>
        <v>55794.73000000001</v>
      </c>
      <c r="O212" s="48"/>
    </row>
    <row r="213" spans="8:15" ht="26.25" customHeight="1" x14ac:dyDescent="0.3">
      <c r="H213" s="1">
        <f>0.14*Table118192023103031323538394041430[[#This Row],[النولون]]</f>
        <v>0</v>
      </c>
      <c r="K21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13" s="1">
        <f>M212+Table118192023103031323538394041430[[#This Row],[اجمالي الفاتوره]]-Table118192023103031323538394041430[[#This Row],[الدفعات]]</f>
        <v>55794.73000000001</v>
      </c>
      <c r="O213" s="48"/>
    </row>
    <row r="214" spans="8:15" ht="26.25" customHeight="1" x14ac:dyDescent="0.3">
      <c r="H214" s="1">
        <f>0.14*Table118192023103031323538394041430[[#This Row],[النولون]]</f>
        <v>0</v>
      </c>
      <c r="K21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14" s="1">
        <f>M213+Table118192023103031323538394041430[[#This Row],[اجمالي الفاتوره]]-Table118192023103031323538394041430[[#This Row],[الدفعات]]</f>
        <v>55794.73000000001</v>
      </c>
      <c r="O214" s="48"/>
    </row>
    <row r="215" spans="8:15" ht="26.25" customHeight="1" x14ac:dyDescent="0.3">
      <c r="H215" s="1">
        <f>0.14*Table118192023103031323538394041430[[#This Row],[النولون]]</f>
        <v>0</v>
      </c>
      <c r="K21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15" s="1">
        <f>M214+Table118192023103031323538394041430[[#This Row],[اجمالي الفاتوره]]-Table118192023103031323538394041430[[#This Row],[الدفعات]]</f>
        <v>55794.73000000001</v>
      </c>
      <c r="O215" s="48"/>
    </row>
    <row r="216" spans="8:15" ht="26.25" customHeight="1" x14ac:dyDescent="0.3">
      <c r="H216" s="1">
        <f>0.14*Table118192023103031323538394041430[[#This Row],[النولون]]</f>
        <v>0</v>
      </c>
      <c r="K21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16" s="1">
        <f>M215+Table118192023103031323538394041430[[#This Row],[اجمالي الفاتوره]]-Table118192023103031323538394041430[[#This Row],[الدفعات]]</f>
        <v>55794.73000000001</v>
      </c>
      <c r="O216" s="48"/>
    </row>
    <row r="217" spans="8:15" ht="26.25" customHeight="1" x14ac:dyDescent="0.3">
      <c r="H217" s="1">
        <f>0.14*Table118192023103031323538394041430[[#This Row],[النولون]]</f>
        <v>0</v>
      </c>
      <c r="K21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17" s="1">
        <f>M216+Table118192023103031323538394041430[[#This Row],[اجمالي الفاتوره]]-Table118192023103031323538394041430[[#This Row],[الدفعات]]</f>
        <v>55794.73000000001</v>
      </c>
      <c r="O217" s="48"/>
    </row>
    <row r="218" spans="8:15" ht="26.25" customHeight="1" x14ac:dyDescent="0.3">
      <c r="H218" s="1">
        <f>0.14*Table118192023103031323538394041430[[#This Row],[النولون]]</f>
        <v>0</v>
      </c>
      <c r="K21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18" s="1">
        <f>M217+Table118192023103031323538394041430[[#This Row],[اجمالي الفاتوره]]-Table118192023103031323538394041430[[#This Row],[الدفعات]]</f>
        <v>55794.73000000001</v>
      </c>
      <c r="O218" s="48"/>
    </row>
    <row r="219" spans="8:15" ht="26.25" customHeight="1" x14ac:dyDescent="0.3">
      <c r="H219" s="1">
        <f>0.14*Table118192023103031323538394041430[[#This Row],[النولون]]</f>
        <v>0</v>
      </c>
      <c r="K21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19" s="1">
        <f>M218+Table118192023103031323538394041430[[#This Row],[اجمالي الفاتوره]]-Table118192023103031323538394041430[[#This Row],[الدفعات]]</f>
        <v>55794.73000000001</v>
      </c>
      <c r="O219" s="48"/>
    </row>
    <row r="220" spans="8:15" ht="26.25" customHeight="1" x14ac:dyDescent="0.3">
      <c r="H220" s="1">
        <f>0.14*Table118192023103031323538394041430[[#This Row],[النولون]]</f>
        <v>0</v>
      </c>
      <c r="K22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20" s="1">
        <f>M219+Table118192023103031323538394041430[[#This Row],[اجمالي الفاتوره]]-Table118192023103031323538394041430[[#This Row],[الدفعات]]</f>
        <v>55794.73000000001</v>
      </c>
      <c r="O220" s="48"/>
    </row>
    <row r="221" spans="8:15" ht="26.25" customHeight="1" x14ac:dyDescent="0.3">
      <c r="H221" s="1">
        <f>0.14*Table118192023103031323538394041430[[#This Row],[النولون]]</f>
        <v>0</v>
      </c>
      <c r="K22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21" s="1">
        <f>M220+Table118192023103031323538394041430[[#This Row],[اجمالي الفاتوره]]-Table118192023103031323538394041430[[#This Row],[الدفعات]]</f>
        <v>55794.73000000001</v>
      </c>
      <c r="O221" s="48"/>
    </row>
    <row r="222" spans="8:15" ht="26.25" customHeight="1" x14ac:dyDescent="0.3">
      <c r="H222" s="1">
        <f>0.14*Table118192023103031323538394041430[[#This Row],[النولون]]</f>
        <v>0</v>
      </c>
      <c r="K22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22" s="1">
        <f>M221+Table118192023103031323538394041430[[#This Row],[اجمالي الفاتوره]]-Table118192023103031323538394041430[[#This Row],[الدفعات]]</f>
        <v>55794.73000000001</v>
      </c>
      <c r="O222" s="48"/>
    </row>
    <row r="223" spans="8:15" ht="26.25" customHeight="1" x14ac:dyDescent="0.3">
      <c r="H223" s="1">
        <f>0.14*Table118192023103031323538394041430[[#This Row],[النولون]]</f>
        <v>0</v>
      </c>
      <c r="K22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23" s="1">
        <f>M222+Table118192023103031323538394041430[[#This Row],[اجمالي الفاتوره]]-Table118192023103031323538394041430[[#This Row],[الدفعات]]</f>
        <v>55794.73000000001</v>
      </c>
      <c r="O223" s="48"/>
    </row>
    <row r="224" spans="8:15" ht="26.25" customHeight="1" x14ac:dyDescent="0.3">
      <c r="H224" s="1">
        <f>0.14*Table118192023103031323538394041430[[#This Row],[النولون]]</f>
        <v>0</v>
      </c>
      <c r="K22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24" s="1">
        <f>M223+Table118192023103031323538394041430[[#This Row],[اجمالي الفاتوره]]-Table118192023103031323538394041430[[#This Row],[الدفعات]]</f>
        <v>55794.73000000001</v>
      </c>
      <c r="O224" s="48"/>
    </row>
    <row r="225" spans="8:15" ht="26.25" customHeight="1" x14ac:dyDescent="0.3">
      <c r="H225" s="1">
        <f>0.14*Table118192023103031323538394041430[[#This Row],[النولون]]</f>
        <v>0</v>
      </c>
      <c r="K22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25" s="1">
        <f>M224+Table118192023103031323538394041430[[#This Row],[اجمالي الفاتوره]]-Table118192023103031323538394041430[[#This Row],[الدفعات]]</f>
        <v>55794.73000000001</v>
      </c>
      <c r="O225" s="48"/>
    </row>
    <row r="226" spans="8:15" ht="26.25" customHeight="1" x14ac:dyDescent="0.3">
      <c r="H226" s="1">
        <f>0.14*Table118192023103031323538394041430[[#This Row],[النولون]]</f>
        <v>0</v>
      </c>
      <c r="K22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26" s="1">
        <f>M225+Table118192023103031323538394041430[[#This Row],[اجمالي الفاتوره]]-Table118192023103031323538394041430[[#This Row],[الدفعات]]</f>
        <v>55794.73000000001</v>
      </c>
      <c r="O226" s="48"/>
    </row>
    <row r="227" spans="8:15" ht="26.25" customHeight="1" x14ac:dyDescent="0.3">
      <c r="H227" s="1">
        <f>0.14*Table118192023103031323538394041430[[#This Row],[النولون]]</f>
        <v>0</v>
      </c>
      <c r="K22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27" s="1">
        <f>M226+Table118192023103031323538394041430[[#This Row],[اجمالي الفاتوره]]-Table118192023103031323538394041430[[#This Row],[الدفعات]]</f>
        <v>55794.73000000001</v>
      </c>
      <c r="O227" s="48"/>
    </row>
    <row r="228" spans="8:15" ht="26.25" customHeight="1" x14ac:dyDescent="0.3">
      <c r="H228" s="1">
        <f>0.14*Table118192023103031323538394041430[[#This Row],[النولون]]</f>
        <v>0</v>
      </c>
      <c r="K22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28" s="1">
        <f>M227+Table118192023103031323538394041430[[#This Row],[اجمالي الفاتوره]]-Table118192023103031323538394041430[[#This Row],[الدفعات]]</f>
        <v>55794.73000000001</v>
      </c>
      <c r="O228" s="48"/>
    </row>
    <row r="229" spans="8:15" ht="26.25" customHeight="1" x14ac:dyDescent="0.3">
      <c r="H229" s="1">
        <f>0.14*Table118192023103031323538394041430[[#This Row],[النولون]]</f>
        <v>0</v>
      </c>
      <c r="K22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29" s="1">
        <f>M228+Table118192023103031323538394041430[[#This Row],[اجمالي الفاتوره]]-Table118192023103031323538394041430[[#This Row],[الدفعات]]</f>
        <v>55794.73000000001</v>
      </c>
      <c r="O229" s="48"/>
    </row>
    <row r="230" spans="8:15" ht="26.25" customHeight="1" x14ac:dyDescent="0.3">
      <c r="H230" s="1">
        <f>0.14*Table118192023103031323538394041430[[#This Row],[النولون]]</f>
        <v>0</v>
      </c>
      <c r="K23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30" s="1">
        <f>M229+Table118192023103031323538394041430[[#This Row],[اجمالي الفاتوره]]-Table118192023103031323538394041430[[#This Row],[الدفعات]]</f>
        <v>55794.73000000001</v>
      </c>
      <c r="O230" s="48"/>
    </row>
    <row r="231" spans="8:15" ht="26.25" customHeight="1" x14ac:dyDescent="0.3">
      <c r="H231" s="1">
        <f>0.14*Table118192023103031323538394041430[[#This Row],[النولون]]</f>
        <v>0</v>
      </c>
      <c r="K23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31" s="1">
        <f>M230+Table118192023103031323538394041430[[#This Row],[اجمالي الفاتوره]]-Table118192023103031323538394041430[[#This Row],[الدفعات]]</f>
        <v>55794.73000000001</v>
      </c>
      <c r="O231" s="48"/>
    </row>
    <row r="232" spans="8:15" ht="26.25" customHeight="1" x14ac:dyDescent="0.3">
      <c r="H232" s="1">
        <f>0.14*Table118192023103031323538394041430[[#This Row],[النولون]]</f>
        <v>0</v>
      </c>
      <c r="K23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32" s="1">
        <f>M231+Table118192023103031323538394041430[[#This Row],[اجمالي الفاتوره]]-Table118192023103031323538394041430[[#This Row],[الدفعات]]</f>
        <v>55794.73000000001</v>
      </c>
      <c r="O232" s="48"/>
    </row>
    <row r="233" spans="8:15" ht="26.25" customHeight="1" x14ac:dyDescent="0.3">
      <c r="H233" s="1">
        <f>0.14*Table118192023103031323538394041430[[#This Row],[النولون]]</f>
        <v>0</v>
      </c>
      <c r="K23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33" s="1">
        <f>M232+Table118192023103031323538394041430[[#This Row],[اجمالي الفاتوره]]-Table118192023103031323538394041430[[#This Row],[الدفعات]]</f>
        <v>55794.73000000001</v>
      </c>
      <c r="O233" s="48"/>
    </row>
    <row r="234" spans="8:15" ht="26.25" customHeight="1" x14ac:dyDescent="0.3">
      <c r="H234" s="1">
        <f>0.14*Table118192023103031323538394041430[[#This Row],[النولون]]</f>
        <v>0</v>
      </c>
      <c r="K23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34" s="1">
        <f>M233+Table118192023103031323538394041430[[#This Row],[اجمالي الفاتوره]]-Table118192023103031323538394041430[[#This Row],[الدفعات]]</f>
        <v>55794.73000000001</v>
      </c>
      <c r="O234" s="48"/>
    </row>
    <row r="235" spans="8:15" ht="26.25" customHeight="1" x14ac:dyDescent="0.3">
      <c r="H235" s="1">
        <f>0.14*Table118192023103031323538394041430[[#This Row],[النولون]]</f>
        <v>0</v>
      </c>
      <c r="K23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35" s="1">
        <f>M234+Table118192023103031323538394041430[[#This Row],[اجمالي الفاتوره]]-Table118192023103031323538394041430[[#This Row],[الدفعات]]</f>
        <v>55794.73000000001</v>
      </c>
      <c r="O235" s="48"/>
    </row>
    <row r="236" spans="8:15" ht="26.25" customHeight="1" x14ac:dyDescent="0.3">
      <c r="H236" s="1">
        <f>0.14*Table118192023103031323538394041430[[#This Row],[النولون]]</f>
        <v>0</v>
      </c>
      <c r="K23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36" s="1">
        <f>M235+Table118192023103031323538394041430[[#This Row],[اجمالي الفاتوره]]-Table118192023103031323538394041430[[#This Row],[الدفعات]]</f>
        <v>55794.73000000001</v>
      </c>
      <c r="O236" s="48"/>
    </row>
    <row r="237" spans="8:15" ht="26.25" customHeight="1" x14ac:dyDescent="0.3">
      <c r="H237" s="1">
        <f>0.14*Table118192023103031323538394041430[[#This Row],[النولون]]</f>
        <v>0</v>
      </c>
      <c r="K23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37" s="1">
        <f>M236+Table118192023103031323538394041430[[#This Row],[اجمالي الفاتوره]]-Table118192023103031323538394041430[[#This Row],[الدفعات]]</f>
        <v>55794.73000000001</v>
      </c>
      <c r="O237" s="48"/>
    </row>
    <row r="238" spans="8:15" ht="26.25" customHeight="1" x14ac:dyDescent="0.3">
      <c r="H238" s="1">
        <f>0.14*Table118192023103031323538394041430[[#This Row],[النولون]]</f>
        <v>0</v>
      </c>
      <c r="K23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38" s="1">
        <f>M237+Table118192023103031323538394041430[[#This Row],[اجمالي الفاتوره]]-Table118192023103031323538394041430[[#This Row],[الدفعات]]</f>
        <v>55794.73000000001</v>
      </c>
      <c r="O238" s="48"/>
    </row>
    <row r="239" spans="8:15" ht="26.25" customHeight="1" x14ac:dyDescent="0.3">
      <c r="H239" s="1">
        <f>0.14*Table118192023103031323538394041430[[#This Row],[النولون]]</f>
        <v>0</v>
      </c>
      <c r="I239" s="1">
        <f>0.03*Table118192023103031323538394041430[[#This Row],[النولون]]</f>
        <v>0</v>
      </c>
      <c r="K23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39" s="1">
        <f>M238+Table118192023103031323538394041430[[#This Row],[اجمالي الفاتوره]]-Table118192023103031323538394041430[[#This Row],[الدفعات]]</f>
        <v>55794.73000000001</v>
      </c>
      <c r="O239" s="48"/>
    </row>
    <row r="240" spans="8:15" ht="26.25" customHeight="1" x14ac:dyDescent="0.3">
      <c r="H240" s="1">
        <f>0.14*Table118192023103031323538394041430[[#This Row],[النولون]]</f>
        <v>0</v>
      </c>
      <c r="I240" s="1">
        <f>0.03*Table118192023103031323538394041430[[#This Row],[النولون]]</f>
        <v>0</v>
      </c>
      <c r="K24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40" s="1">
        <f>M239+Table118192023103031323538394041430[[#This Row],[اجمالي الفاتوره]]-Table118192023103031323538394041430[[#This Row],[الدفعات]]</f>
        <v>55794.73000000001</v>
      </c>
      <c r="O240" s="48"/>
    </row>
    <row r="241" spans="8:15" ht="26.25" customHeight="1" x14ac:dyDescent="0.3">
      <c r="H241" s="1">
        <f>0.14*Table118192023103031323538394041430[[#This Row],[النولون]]</f>
        <v>0</v>
      </c>
      <c r="I241" s="1">
        <f>0.03*Table118192023103031323538394041430[[#This Row],[النولون]]</f>
        <v>0</v>
      </c>
      <c r="K24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41" s="1">
        <f>M240+Table118192023103031323538394041430[[#This Row],[اجمالي الفاتوره]]-Table118192023103031323538394041430[[#This Row],[الدفعات]]</f>
        <v>55794.73000000001</v>
      </c>
      <c r="O241" s="48"/>
    </row>
    <row r="242" spans="8:15" ht="26.25" customHeight="1" x14ac:dyDescent="0.3">
      <c r="H242" s="1">
        <f>0.14*Table118192023103031323538394041430[[#This Row],[النولون]]</f>
        <v>0</v>
      </c>
      <c r="I242" s="1">
        <f>0.03*Table118192023103031323538394041430[[#This Row],[النولون]]</f>
        <v>0</v>
      </c>
      <c r="K24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42" s="1">
        <f>M241+Table118192023103031323538394041430[[#This Row],[اجمالي الفاتوره]]-Table118192023103031323538394041430[[#This Row],[الدفعات]]</f>
        <v>55794.73000000001</v>
      </c>
      <c r="O242" s="48"/>
    </row>
    <row r="243" spans="8:15" ht="26.25" customHeight="1" x14ac:dyDescent="0.3">
      <c r="H243" s="1">
        <f>0.14*Table118192023103031323538394041430[[#This Row],[النولون]]</f>
        <v>0</v>
      </c>
      <c r="I243" s="1">
        <f>0.03*Table118192023103031323538394041430[[#This Row],[النولون]]</f>
        <v>0</v>
      </c>
      <c r="K24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43" s="1">
        <f>M242+Table118192023103031323538394041430[[#This Row],[اجمالي الفاتوره]]-Table118192023103031323538394041430[[#This Row],[الدفعات]]</f>
        <v>55794.73000000001</v>
      </c>
      <c r="O243" s="48"/>
    </row>
    <row r="244" spans="8:15" ht="26.25" customHeight="1" x14ac:dyDescent="0.3">
      <c r="H244" s="1">
        <f>0.14*Table118192023103031323538394041430[[#This Row],[النولون]]</f>
        <v>0</v>
      </c>
      <c r="I244" s="1">
        <f>0.03*Table118192023103031323538394041430[[#This Row],[النولون]]</f>
        <v>0</v>
      </c>
      <c r="K24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44" s="1">
        <f>M243+Table118192023103031323538394041430[[#This Row],[اجمالي الفاتوره]]-Table118192023103031323538394041430[[#This Row],[الدفعات]]</f>
        <v>55794.73000000001</v>
      </c>
      <c r="O244" s="48"/>
    </row>
    <row r="245" spans="8:15" ht="26.25" customHeight="1" x14ac:dyDescent="0.3">
      <c r="H245" s="1">
        <f>0.14*Table118192023103031323538394041430[[#This Row],[النولون]]</f>
        <v>0</v>
      </c>
      <c r="I245" s="1">
        <f>0.03*Table118192023103031323538394041430[[#This Row],[النولون]]</f>
        <v>0</v>
      </c>
      <c r="K24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45" s="1">
        <f>M244+Table118192023103031323538394041430[[#This Row],[اجمالي الفاتوره]]-Table118192023103031323538394041430[[#This Row],[الدفعات]]</f>
        <v>55794.73000000001</v>
      </c>
      <c r="O245" s="48"/>
    </row>
    <row r="246" spans="8:15" ht="26.25" customHeight="1" x14ac:dyDescent="0.3">
      <c r="H246" s="1">
        <f>0.14*Table118192023103031323538394041430[[#This Row],[النولون]]</f>
        <v>0</v>
      </c>
      <c r="I246" s="1">
        <f>0.03*Table118192023103031323538394041430[[#This Row],[النولون]]</f>
        <v>0</v>
      </c>
      <c r="K24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46" s="1">
        <f>M245+Table118192023103031323538394041430[[#This Row],[اجمالي الفاتوره]]-Table118192023103031323538394041430[[#This Row],[الدفعات]]</f>
        <v>55794.73000000001</v>
      </c>
      <c r="O246" s="48"/>
    </row>
    <row r="247" spans="8:15" ht="26.25" customHeight="1" x14ac:dyDescent="0.3">
      <c r="H247" s="1">
        <f>0.14*Table118192023103031323538394041430[[#This Row],[النولون]]</f>
        <v>0</v>
      </c>
      <c r="I247" s="1">
        <f>0.03*Table118192023103031323538394041430[[#This Row],[النولون]]</f>
        <v>0</v>
      </c>
      <c r="K24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47" s="1">
        <f>M246+Table118192023103031323538394041430[[#This Row],[اجمالي الفاتوره]]-Table118192023103031323538394041430[[#This Row],[الدفعات]]</f>
        <v>55794.73000000001</v>
      </c>
      <c r="O247" s="48"/>
    </row>
    <row r="248" spans="8:15" ht="26.25" customHeight="1" x14ac:dyDescent="0.3">
      <c r="H248" s="1">
        <f>0.14*Table118192023103031323538394041430[[#This Row],[النولون]]</f>
        <v>0</v>
      </c>
      <c r="I248" s="1">
        <f>0.03*Table118192023103031323538394041430[[#This Row],[النولون]]</f>
        <v>0</v>
      </c>
      <c r="K24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48" s="1">
        <f>M247+Table118192023103031323538394041430[[#This Row],[اجمالي الفاتوره]]-Table118192023103031323538394041430[[#This Row],[الدفعات]]</f>
        <v>55794.73000000001</v>
      </c>
      <c r="O248" s="48"/>
    </row>
    <row r="249" spans="8:15" ht="26.25" customHeight="1" x14ac:dyDescent="0.3">
      <c r="H249" s="1">
        <f>0.14*Table118192023103031323538394041430[[#This Row],[النولون]]</f>
        <v>0</v>
      </c>
      <c r="I249" s="1">
        <f>0.03*Table118192023103031323538394041430[[#This Row],[النولون]]</f>
        <v>0</v>
      </c>
      <c r="K24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49" s="1">
        <f>M248+Table118192023103031323538394041430[[#This Row],[اجمالي الفاتوره]]-Table118192023103031323538394041430[[#This Row],[الدفعات]]</f>
        <v>55794.73000000001</v>
      </c>
      <c r="O249" s="48"/>
    </row>
    <row r="250" spans="8:15" ht="26.25" customHeight="1" x14ac:dyDescent="0.3">
      <c r="H250" s="1">
        <f>0.14*Table118192023103031323538394041430[[#This Row],[النولون]]</f>
        <v>0</v>
      </c>
      <c r="I250" s="1">
        <f>0.03*Table118192023103031323538394041430[[#This Row],[النولون]]</f>
        <v>0</v>
      </c>
      <c r="K25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50" s="1">
        <f>M249+Table118192023103031323538394041430[[#This Row],[اجمالي الفاتوره]]-Table118192023103031323538394041430[[#This Row],[الدفعات]]</f>
        <v>55794.73000000001</v>
      </c>
      <c r="O250" s="48"/>
    </row>
    <row r="251" spans="8:15" ht="26.25" customHeight="1" x14ac:dyDescent="0.3">
      <c r="H251" s="1">
        <f>0.14*Table118192023103031323538394041430[[#This Row],[النولون]]</f>
        <v>0</v>
      </c>
      <c r="I251" s="1">
        <f>0.03*Table118192023103031323538394041430[[#This Row],[النولون]]</f>
        <v>0</v>
      </c>
      <c r="K25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51" s="1">
        <f>M250+Table118192023103031323538394041430[[#This Row],[اجمالي الفاتوره]]-Table118192023103031323538394041430[[#This Row],[الدفعات]]</f>
        <v>55794.73000000001</v>
      </c>
      <c r="O251" s="48"/>
    </row>
    <row r="252" spans="8:15" ht="26.25" customHeight="1" x14ac:dyDescent="0.3">
      <c r="H252" s="1">
        <f>0.14*Table118192023103031323538394041430[[#This Row],[النولون]]</f>
        <v>0</v>
      </c>
      <c r="I252" s="1">
        <f>0.03*Table118192023103031323538394041430[[#This Row],[النولون]]</f>
        <v>0</v>
      </c>
      <c r="K25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52" s="1">
        <f>M251+Table118192023103031323538394041430[[#This Row],[اجمالي الفاتوره]]-Table118192023103031323538394041430[[#This Row],[الدفعات]]</f>
        <v>55794.73000000001</v>
      </c>
      <c r="O252" s="48"/>
    </row>
    <row r="253" spans="8:15" ht="26.25" customHeight="1" x14ac:dyDescent="0.3">
      <c r="H253" s="1">
        <f>0.14*Table118192023103031323538394041430[[#This Row],[النولون]]</f>
        <v>0</v>
      </c>
      <c r="I253" s="1">
        <f>0.03*Table118192023103031323538394041430[[#This Row],[النولون]]</f>
        <v>0</v>
      </c>
      <c r="K25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53" s="1">
        <f>M252+Table118192023103031323538394041430[[#This Row],[اجمالي الفاتوره]]-Table118192023103031323538394041430[[#This Row],[الدفعات]]</f>
        <v>55794.73000000001</v>
      </c>
      <c r="O253" s="48"/>
    </row>
    <row r="254" spans="8:15" ht="26.25" customHeight="1" x14ac:dyDescent="0.3">
      <c r="H254" s="1">
        <f>0.14*Table118192023103031323538394041430[[#This Row],[النولون]]</f>
        <v>0</v>
      </c>
      <c r="I254" s="1">
        <f>0.03*Table118192023103031323538394041430[[#This Row],[النولون]]</f>
        <v>0</v>
      </c>
      <c r="K25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54" s="1">
        <f>M253+Table118192023103031323538394041430[[#This Row],[اجمالي الفاتوره]]-Table118192023103031323538394041430[[#This Row],[الدفعات]]</f>
        <v>55794.73000000001</v>
      </c>
      <c r="O254" s="48"/>
    </row>
    <row r="255" spans="8:15" ht="26.25" customHeight="1" x14ac:dyDescent="0.3">
      <c r="H255" s="1">
        <f>0.14*Table118192023103031323538394041430[[#This Row],[النولون]]</f>
        <v>0</v>
      </c>
      <c r="I255" s="1">
        <f>0.03*Table118192023103031323538394041430[[#This Row],[النولون]]</f>
        <v>0</v>
      </c>
      <c r="K25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55" s="1">
        <f>M254+Table118192023103031323538394041430[[#This Row],[اجمالي الفاتوره]]-Table118192023103031323538394041430[[#This Row],[الدفعات]]</f>
        <v>55794.73000000001</v>
      </c>
      <c r="O255" s="48"/>
    </row>
    <row r="256" spans="8:15" ht="26.25" customHeight="1" x14ac:dyDescent="0.3">
      <c r="H256" s="1">
        <f>0.14*Table118192023103031323538394041430[[#This Row],[النولون]]</f>
        <v>0</v>
      </c>
      <c r="I256" s="1">
        <f>0.03*Table118192023103031323538394041430[[#This Row],[النولون]]</f>
        <v>0</v>
      </c>
      <c r="K25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56" s="1">
        <f>M255+Table118192023103031323538394041430[[#This Row],[اجمالي الفاتوره]]-Table118192023103031323538394041430[[#This Row],[الدفعات]]</f>
        <v>55794.73000000001</v>
      </c>
      <c r="O256" s="48"/>
    </row>
    <row r="257" spans="8:15" ht="26.25" customHeight="1" x14ac:dyDescent="0.3">
      <c r="H257" s="1">
        <f>0.14*Table118192023103031323538394041430[[#This Row],[النولون]]</f>
        <v>0</v>
      </c>
      <c r="I257" s="1">
        <f>0.03*Table118192023103031323538394041430[[#This Row],[النولون]]</f>
        <v>0</v>
      </c>
      <c r="K25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57" s="1">
        <f>M256+Table118192023103031323538394041430[[#This Row],[اجمالي الفاتوره]]-Table118192023103031323538394041430[[#This Row],[الدفعات]]</f>
        <v>55794.73000000001</v>
      </c>
      <c r="O257" s="48"/>
    </row>
    <row r="258" spans="8:15" ht="26.25" customHeight="1" x14ac:dyDescent="0.3">
      <c r="H258" s="1">
        <f>0.14*Table118192023103031323538394041430[[#This Row],[النولون]]</f>
        <v>0</v>
      </c>
      <c r="I258" s="1">
        <f>0.03*Table118192023103031323538394041430[[#This Row],[النولون]]</f>
        <v>0</v>
      </c>
      <c r="K25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58" s="1">
        <f>M257+Table118192023103031323538394041430[[#This Row],[اجمالي الفاتوره]]-Table118192023103031323538394041430[[#This Row],[الدفعات]]</f>
        <v>55794.73000000001</v>
      </c>
      <c r="O258" s="48"/>
    </row>
    <row r="259" spans="8:15" ht="26.25" customHeight="1" x14ac:dyDescent="0.3">
      <c r="H259" s="1">
        <f>0.14*Table118192023103031323538394041430[[#This Row],[النولون]]</f>
        <v>0</v>
      </c>
      <c r="I259" s="1">
        <f>0.03*Table118192023103031323538394041430[[#This Row],[النولون]]</f>
        <v>0</v>
      </c>
      <c r="K25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59" s="1">
        <f>M258+Table118192023103031323538394041430[[#This Row],[اجمالي الفاتوره]]-Table118192023103031323538394041430[[#This Row],[الدفعات]]</f>
        <v>55794.73000000001</v>
      </c>
      <c r="O259" s="48"/>
    </row>
    <row r="260" spans="8:15" ht="26.25" customHeight="1" x14ac:dyDescent="0.3">
      <c r="H260" s="1">
        <f>0.14*Table118192023103031323538394041430[[#This Row],[النولون]]</f>
        <v>0</v>
      </c>
      <c r="I260" s="1">
        <f>0.03*Table118192023103031323538394041430[[#This Row],[النولون]]</f>
        <v>0</v>
      </c>
      <c r="K26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60" s="1">
        <f>M259+Table118192023103031323538394041430[[#This Row],[اجمالي الفاتوره]]-Table118192023103031323538394041430[[#This Row],[الدفعات]]</f>
        <v>55794.73000000001</v>
      </c>
      <c r="O260" s="48"/>
    </row>
    <row r="261" spans="8:15" ht="26.25" customHeight="1" x14ac:dyDescent="0.3">
      <c r="H261" s="1">
        <f>0.14*Table118192023103031323538394041430[[#This Row],[النولون]]</f>
        <v>0</v>
      </c>
      <c r="I261" s="1">
        <f>0.03*Table118192023103031323538394041430[[#This Row],[النولون]]</f>
        <v>0</v>
      </c>
      <c r="K26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61" s="1">
        <f>M260+Table118192023103031323538394041430[[#This Row],[اجمالي الفاتوره]]-Table118192023103031323538394041430[[#This Row],[الدفعات]]</f>
        <v>55794.73000000001</v>
      </c>
      <c r="O261" s="48"/>
    </row>
    <row r="262" spans="8:15" ht="26.25" customHeight="1" x14ac:dyDescent="0.3">
      <c r="H262" s="1">
        <f>0.14*Table118192023103031323538394041430[[#This Row],[النولون]]</f>
        <v>0</v>
      </c>
      <c r="I262" s="1">
        <f>0.03*Table118192023103031323538394041430[[#This Row],[النولون]]</f>
        <v>0</v>
      </c>
      <c r="K26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62" s="1">
        <f>M261+Table118192023103031323538394041430[[#This Row],[اجمالي الفاتوره]]-Table118192023103031323538394041430[[#This Row],[الدفعات]]</f>
        <v>55794.73000000001</v>
      </c>
      <c r="O262" s="48"/>
    </row>
    <row r="263" spans="8:15" ht="26.25" customHeight="1" x14ac:dyDescent="0.3">
      <c r="H263" s="1">
        <f>0.14*Table118192023103031323538394041430[[#This Row],[النولون]]</f>
        <v>0</v>
      </c>
      <c r="I263" s="1">
        <f>0.03*Table118192023103031323538394041430[[#This Row],[النولون]]</f>
        <v>0</v>
      </c>
      <c r="K26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63" s="1">
        <f>M262+Table118192023103031323538394041430[[#This Row],[اجمالي الفاتوره]]-Table118192023103031323538394041430[[#This Row],[الدفعات]]</f>
        <v>55794.73000000001</v>
      </c>
      <c r="O263" s="48"/>
    </row>
    <row r="264" spans="8:15" ht="26.25" customHeight="1" x14ac:dyDescent="0.3">
      <c r="H264" s="1">
        <f>0.14*Table118192023103031323538394041430[[#This Row],[النولون]]</f>
        <v>0</v>
      </c>
      <c r="I264" s="1">
        <f>0.03*Table118192023103031323538394041430[[#This Row],[النولون]]</f>
        <v>0</v>
      </c>
      <c r="K26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64" s="1">
        <f>M263+Table118192023103031323538394041430[[#This Row],[اجمالي الفاتوره]]-Table118192023103031323538394041430[[#This Row],[الدفعات]]</f>
        <v>55794.73000000001</v>
      </c>
      <c r="O264" s="48"/>
    </row>
    <row r="265" spans="8:15" ht="26.25" customHeight="1" x14ac:dyDescent="0.3">
      <c r="H265" s="1">
        <f>0.14*Table118192023103031323538394041430[[#This Row],[النولون]]</f>
        <v>0</v>
      </c>
      <c r="I265" s="1">
        <f>0.03*Table118192023103031323538394041430[[#This Row],[النولون]]</f>
        <v>0</v>
      </c>
      <c r="K26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65" s="1">
        <f>M264+Table118192023103031323538394041430[[#This Row],[اجمالي الفاتوره]]-Table118192023103031323538394041430[[#This Row],[الدفعات]]</f>
        <v>55794.73000000001</v>
      </c>
      <c r="O265" s="48"/>
    </row>
    <row r="266" spans="8:15" ht="26.25" customHeight="1" x14ac:dyDescent="0.3">
      <c r="H266" s="1">
        <f>0.14*Table118192023103031323538394041430[[#This Row],[النولون]]</f>
        <v>0</v>
      </c>
      <c r="I266" s="1">
        <f>0.03*Table118192023103031323538394041430[[#This Row],[النولون]]</f>
        <v>0</v>
      </c>
      <c r="K26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66" s="1">
        <f>M265+Table118192023103031323538394041430[[#This Row],[اجمالي الفاتوره]]-Table118192023103031323538394041430[[#This Row],[الدفعات]]</f>
        <v>55794.73000000001</v>
      </c>
      <c r="O266" s="48"/>
    </row>
    <row r="267" spans="8:15" ht="26.25" customHeight="1" x14ac:dyDescent="0.3">
      <c r="H267" s="1">
        <f>0.14*Table118192023103031323538394041430[[#This Row],[النولون]]</f>
        <v>0</v>
      </c>
      <c r="I267" s="1">
        <f>0.03*Table118192023103031323538394041430[[#This Row],[النولون]]</f>
        <v>0</v>
      </c>
      <c r="K26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67" s="1">
        <f>M266+Table118192023103031323538394041430[[#This Row],[اجمالي الفاتوره]]-Table118192023103031323538394041430[[#This Row],[الدفعات]]</f>
        <v>55794.73000000001</v>
      </c>
      <c r="O267" s="48"/>
    </row>
    <row r="268" spans="8:15" ht="26.25" customHeight="1" x14ac:dyDescent="0.3">
      <c r="H268" s="1">
        <f>0.14*Table118192023103031323538394041430[[#This Row],[النولون]]</f>
        <v>0</v>
      </c>
      <c r="I268" s="1">
        <f>0.03*Table118192023103031323538394041430[[#This Row],[النولون]]</f>
        <v>0</v>
      </c>
      <c r="K26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68" s="1">
        <f>M267+Table118192023103031323538394041430[[#This Row],[اجمالي الفاتوره]]-Table118192023103031323538394041430[[#This Row],[الدفعات]]</f>
        <v>55794.73000000001</v>
      </c>
      <c r="O268" s="48"/>
    </row>
    <row r="269" spans="8:15" ht="26.25" customHeight="1" x14ac:dyDescent="0.3">
      <c r="H269" s="1">
        <f>0.14*Table118192023103031323538394041430[[#This Row],[النولون]]</f>
        <v>0</v>
      </c>
      <c r="I269" s="1">
        <f>0.03*Table118192023103031323538394041430[[#This Row],[النولون]]</f>
        <v>0</v>
      </c>
      <c r="K26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69" s="1">
        <f>M268+Table118192023103031323538394041430[[#This Row],[اجمالي الفاتوره]]-Table118192023103031323538394041430[[#This Row],[الدفعات]]</f>
        <v>55794.73000000001</v>
      </c>
      <c r="O269" s="48"/>
    </row>
    <row r="270" spans="8:15" ht="26.25" customHeight="1" x14ac:dyDescent="0.3">
      <c r="H270" s="1">
        <f>0.14*Table118192023103031323538394041430[[#This Row],[النولون]]</f>
        <v>0</v>
      </c>
      <c r="I270" s="1">
        <f>0.03*Table118192023103031323538394041430[[#This Row],[النولون]]</f>
        <v>0</v>
      </c>
      <c r="K27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70" s="1">
        <f>M269+Table118192023103031323538394041430[[#This Row],[اجمالي الفاتوره]]-Table118192023103031323538394041430[[#This Row],[الدفعات]]</f>
        <v>55794.73000000001</v>
      </c>
      <c r="O270" s="48"/>
    </row>
    <row r="271" spans="8:15" ht="26.25" customHeight="1" x14ac:dyDescent="0.3">
      <c r="H271" s="1">
        <f>0.14*Table118192023103031323538394041430[[#This Row],[النولون]]</f>
        <v>0</v>
      </c>
      <c r="I271" s="1">
        <f>0.03*Table118192023103031323538394041430[[#This Row],[النولون]]</f>
        <v>0</v>
      </c>
      <c r="K27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71" s="1">
        <f>M270+Table118192023103031323538394041430[[#This Row],[اجمالي الفاتوره]]-Table118192023103031323538394041430[[#This Row],[الدفعات]]</f>
        <v>55794.73000000001</v>
      </c>
      <c r="O271" s="48"/>
    </row>
    <row r="272" spans="8:15" ht="26.25" customHeight="1" x14ac:dyDescent="0.3">
      <c r="H272" s="1">
        <f>0.14*Table118192023103031323538394041430[[#This Row],[النولون]]</f>
        <v>0</v>
      </c>
      <c r="I272" s="1">
        <f>0.03*Table118192023103031323538394041430[[#This Row],[النولون]]</f>
        <v>0</v>
      </c>
      <c r="K27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72" s="1">
        <f>M271+Table118192023103031323538394041430[[#This Row],[اجمالي الفاتوره]]-Table118192023103031323538394041430[[#This Row],[الدفعات]]</f>
        <v>55794.73000000001</v>
      </c>
      <c r="O272" s="48"/>
    </row>
    <row r="273" spans="8:15" ht="26.25" customHeight="1" x14ac:dyDescent="0.3">
      <c r="H273" s="1">
        <f>0.14*Table118192023103031323538394041430[[#This Row],[النولون]]</f>
        <v>0</v>
      </c>
      <c r="I273" s="1">
        <f>0.03*Table118192023103031323538394041430[[#This Row],[النولون]]</f>
        <v>0</v>
      </c>
      <c r="K27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73" s="1">
        <f>M272+Table118192023103031323538394041430[[#This Row],[اجمالي الفاتوره]]-Table118192023103031323538394041430[[#This Row],[الدفعات]]</f>
        <v>55794.73000000001</v>
      </c>
      <c r="O273" s="48"/>
    </row>
    <row r="274" spans="8:15" ht="26.25" customHeight="1" x14ac:dyDescent="0.3">
      <c r="H274" s="1">
        <f>0.14*Table118192023103031323538394041430[[#This Row],[النولون]]</f>
        <v>0</v>
      </c>
      <c r="I274" s="1">
        <f>0.03*Table118192023103031323538394041430[[#This Row],[النولون]]</f>
        <v>0</v>
      </c>
      <c r="K27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74" s="1">
        <f>M273+Table118192023103031323538394041430[[#This Row],[اجمالي الفاتوره]]-Table118192023103031323538394041430[[#This Row],[الدفعات]]</f>
        <v>55794.73000000001</v>
      </c>
      <c r="O274" s="48"/>
    </row>
    <row r="275" spans="8:15" ht="26.25" customHeight="1" x14ac:dyDescent="0.3">
      <c r="H275" s="1">
        <f>0.14*Table118192023103031323538394041430[[#This Row],[النولون]]</f>
        <v>0</v>
      </c>
      <c r="I275" s="1">
        <f>0.03*Table118192023103031323538394041430[[#This Row],[النولون]]</f>
        <v>0</v>
      </c>
      <c r="K27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75" s="1">
        <f>M274+Table118192023103031323538394041430[[#This Row],[اجمالي الفاتوره]]-Table118192023103031323538394041430[[#This Row],[الدفعات]]</f>
        <v>55794.73000000001</v>
      </c>
      <c r="O275" s="48"/>
    </row>
    <row r="276" spans="8:15" ht="26.25" customHeight="1" x14ac:dyDescent="0.3">
      <c r="H276" s="1">
        <f>0.14*Table118192023103031323538394041430[[#This Row],[النولون]]</f>
        <v>0</v>
      </c>
      <c r="I276" s="1">
        <f>0.03*Table118192023103031323538394041430[[#This Row],[النولون]]</f>
        <v>0</v>
      </c>
      <c r="K27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76" s="1">
        <f>M275+Table118192023103031323538394041430[[#This Row],[اجمالي الفاتوره]]-Table118192023103031323538394041430[[#This Row],[الدفعات]]</f>
        <v>55794.73000000001</v>
      </c>
      <c r="O276" s="48"/>
    </row>
    <row r="277" spans="8:15" ht="26.25" customHeight="1" x14ac:dyDescent="0.3">
      <c r="H277" s="1">
        <f>0.14*Table118192023103031323538394041430[[#This Row],[النولون]]</f>
        <v>0</v>
      </c>
      <c r="I277" s="1">
        <f>0.03*Table118192023103031323538394041430[[#This Row],[النولون]]</f>
        <v>0</v>
      </c>
      <c r="K27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77" s="1">
        <f>M276+Table118192023103031323538394041430[[#This Row],[اجمالي الفاتوره]]-Table118192023103031323538394041430[[#This Row],[الدفعات]]</f>
        <v>55794.73000000001</v>
      </c>
      <c r="O277" s="48"/>
    </row>
    <row r="278" spans="8:15" ht="26.25" customHeight="1" x14ac:dyDescent="0.3">
      <c r="H278" s="1">
        <f>0.14*Table118192023103031323538394041430[[#This Row],[النولون]]</f>
        <v>0</v>
      </c>
      <c r="I278" s="1">
        <f>0.03*Table118192023103031323538394041430[[#This Row],[النولون]]</f>
        <v>0</v>
      </c>
      <c r="K27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78" s="1">
        <f>M277+Table118192023103031323538394041430[[#This Row],[اجمالي الفاتوره]]-Table118192023103031323538394041430[[#This Row],[الدفعات]]</f>
        <v>55794.73000000001</v>
      </c>
      <c r="O278" s="48"/>
    </row>
    <row r="279" spans="8:15" ht="26.25" customHeight="1" x14ac:dyDescent="0.3">
      <c r="H279" s="1">
        <f>0.14*Table118192023103031323538394041430[[#This Row],[النولون]]</f>
        <v>0</v>
      </c>
      <c r="I279" s="1">
        <f>0.03*Table118192023103031323538394041430[[#This Row],[النولون]]</f>
        <v>0</v>
      </c>
      <c r="K27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79" s="1">
        <f>M278+Table118192023103031323538394041430[[#This Row],[اجمالي الفاتوره]]-Table118192023103031323538394041430[[#This Row],[الدفعات]]</f>
        <v>55794.73000000001</v>
      </c>
      <c r="O279" s="48"/>
    </row>
    <row r="280" spans="8:15" ht="26.25" customHeight="1" x14ac:dyDescent="0.3">
      <c r="H280" s="1">
        <f>0.14*Table118192023103031323538394041430[[#This Row],[النولون]]</f>
        <v>0</v>
      </c>
      <c r="I280" s="1">
        <f>0.03*Table118192023103031323538394041430[[#This Row],[النولون]]</f>
        <v>0</v>
      </c>
      <c r="K28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80" s="1">
        <f>M279+Table118192023103031323538394041430[[#This Row],[اجمالي الفاتوره]]-Table118192023103031323538394041430[[#This Row],[الدفعات]]</f>
        <v>55794.73000000001</v>
      </c>
      <c r="O280" s="48"/>
    </row>
    <row r="281" spans="8:15" ht="26.25" customHeight="1" x14ac:dyDescent="0.3">
      <c r="H281" s="1">
        <f>0.14*Table118192023103031323538394041430[[#This Row],[النولون]]</f>
        <v>0</v>
      </c>
      <c r="I281" s="1">
        <f>0.03*Table118192023103031323538394041430[[#This Row],[النولون]]</f>
        <v>0</v>
      </c>
      <c r="K28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81" s="1">
        <f>M280+Table118192023103031323538394041430[[#This Row],[اجمالي الفاتوره]]-Table118192023103031323538394041430[[#This Row],[الدفعات]]</f>
        <v>55794.73000000001</v>
      </c>
      <c r="O281" s="48"/>
    </row>
    <row r="282" spans="8:15" ht="26.25" customHeight="1" x14ac:dyDescent="0.3">
      <c r="H282" s="1">
        <f>0.14*Table118192023103031323538394041430[[#This Row],[النولون]]</f>
        <v>0</v>
      </c>
      <c r="I282" s="1">
        <f>0.03*Table118192023103031323538394041430[[#This Row],[النولون]]</f>
        <v>0</v>
      </c>
      <c r="K28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82" s="1">
        <f>M281+Table118192023103031323538394041430[[#This Row],[اجمالي الفاتوره]]-Table118192023103031323538394041430[[#This Row],[الدفعات]]</f>
        <v>55794.73000000001</v>
      </c>
      <c r="O282" s="48"/>
    </row>
    <row r="283" spans="8:15" ht="26.25" customHeight="1" x14ac:dyDescent="0.3">
      <c r="H283" s="1">
        <f>0.14*Table118192023103031323538394041430[[#This Row],[النولون]]</f>
        <v>0</v>
      </c>
      <c r="I283" s="1">
        <f>0.03*Table118192023103031323538394041430[[#This Row],[النولون]]</f>
        <v>0</v>
      </c>
      <c r="K28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83" s="1">
        <f>M282+Table118192023103031323538394041430[[#This Row],[اجمالي الفاتوره]]-Table118192023103031323538394041430[[#This Row],[الدفعات]]</f>
        <v>55794.73000000001</v>
      </c>
      <c r="O283" s="48"/>
    </row>
    <row r="284" spans="8:15" ht="26.25" customHeight="1" x14ac:dyDescent="0.3">
      <c r="H284" s="1">
        <f>0.14*Table118192023103031323538394041430[[#This Row],[النولون]]</f>
        <v>0</v>
      </c>
      <c r="I284" s="1">
        <f>0.03*Table118192023103031323538394041430[[#This Row],[النولون]]</f>
        <v>0</v>
      </c>
      <c r="K28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84" s="1">
        <f>M283+Table118192023103031323538394041430[[#This Row],[اجمالي الفاتوره]]-Table118192023103031323538394041430[[#This Row],[الدفعات]]</f>
        <v>55794.73000000001</v>
      </c>
      <c r="O284" s="48"/>
    </row>
    <row r="285" spans="8:15" ht="26.25" customHeight="1" x14ac:dyDescent="0.3">
      <c r="H285" s="1">
        <f>0.14*Table118192023103031323538394041430[[#This Row],[النولون]]</f>
        <v>0</v>
      </c>
      <c r="I285" s="1">
        <f>0.03*Table118192023103031323538394041430[[#This Row],[النولون]]</f>
        <v>0</v>
      </c>
      <c r="K28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85" s="1">
        <f>M284+Table118192023103031323538394041430[[#This Row],[اجمالي الفاتوره]]-Table118192023103031323538394041430[[#This Row],[الدفعات]]</f>
        <v>55794.73000000001</v>
      </c>
      <c r="O285" s="48"/>
    </row>
    <row r="286" spans="8:15" ht="26.25" customHeight="1" x14ac:dyDescent="0.3">
      <c r="H286" s="1">
        <f>0.14*Table118192023103031323538394041430[[#This Row],[النولون]]</f>
        <v>0</v>
      </c>
      <c r="I286" s="1">
        <f>0.03*Table118192023103031323538394041430[[#This Row],[النولون]]</f>
        <v>0</v>
      </c>
      <c r="K28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86" s="1">
        <f>M285+Table118192023103031323538394041430[[#This Row],[اجمالي الفاتوره]]-Table118192023103031323538394041430[[#This Row],[الدفعات]]</f>
        <v>55794.73000000001</v>
      </c>
      <c r="O286" s="48"/>
    </row>
    <row r="287" spans="8:15" ht="26.25" customHeight="1" x14ac:dyDescent="0.3">
      <c r="H287" s="1">
        <f>0.14*Table118192023103031323538394041430[[#This Row],[النولون]]</f>
        <v>0</v>
      </c>
      <c r="I287" s="1">
        <f>0.03*Table118192023103031323538394041430[[#This Row],[النولون]]</f>
        <v>0</v>
      </c>
      <c r="K28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87" s="1">
        <f>M286+Table118192023103031323538394041430[[#This Row],[اجمالي الفاتوره]]-Table118192023103031323538394041430[[#This Row],[الدفعات]]</f>
        <v>55794.73000000001</v>
      </c>
      <c r="O287" s="48"/>
    </row>
    <row r="288" spans="8:15" ht="26.25" customHeight="1" x14ac:dyDescent="0.3">
      <c r="H288" s="1">
        <f>0.14*Table118192023103031323538394041430[[#This Row],[النولون]]</f>
        <v>0</v>
      </c>
      <c r="I288" s="1">
        <f>0.03*Table118192023103031323538394041430[[#This Row],[النولون]]</f>
        <v>0</v>
      </c>
      <c r="K28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88" s="1">
        <f>M287+Table118192023103031323538394041430[[#This Row],[اجمالي الفاتوره]]-Table118192023103031323538394041430[[#This Row],[الدفعات]]</f>
        <v>55794.73000000001</v>
      </c>
      <c r="O288" s="48"/>
    </row>
    <row r="289" spans="8:15" ht="26.25" customHeight="1" x14ac:dyDescent="0.3">
      <c r="H289" s="1">
        <f>0.14*Table118192023103031323538394041430[[#This Row],[النولون]]</f>
        <v>0</v>
      </c>
      <c r="I289" s="1">
        <f>0.03*Table118192023103031323538394041430[[#This Row],[النولون]]</f>
        <v>0</v>
      </c>
      <c r="K28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89" s="1">
        <f>M288+Table118192023103031323538394041430[[#This Row],[اجمالي الفاتوره]]-Table118192023103031323538394041430[[#This Row],[الدفعات]]</f>
        <v>55794.73000000001</v>
      </c>
      <c r="O289" s="48"/>
    </row>
    <row r="290" spans="8:15" ht="26.25" customHeight="1" x14ac:dyDescent="0.3">
      <c r="H290" s="1">
        <f>0.14*Table118192023103031323538394041430[[#This Row],[النولون]]</f>
        <v>0</v>
      </c>
      <c r="I290" s="1">
        <f>0.03*Table118192023103031323538394041430[[#This Row],[النولون]]</f>
        <v>0</v>
      </c>
      <c r="K29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90" s="1">
        <f>M289+Table118192023103031323538394041430[[#This Row],[اجمالي الفاتوره]]-Table118192023103031323538394041430[[#This Row],[الدفعات]]</f>
        <v>55794.73000000001</v>
      </c>
      <c r="O290" s="48"/>
    </row>
    <row r="291" spans="8:15" ht="26.25" customHeight="1" x14ac:dyDescent="0.3">
      <c r="H291" s="1">
        <f>0.14*Table118192023103031323538394041430[[#This Row],[النولون]]</f>
        <v>0</v>
      </c>
      <c r="I291" s="1">
        <f>0.03*Table118192023103031323538394041430[[#This Row],[النولون]]</f>
        <v>0</v>
      </c>
      <c r="K29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91" s="1">
        <f>M290+Table118192023103031323538394041430[[#This Row],[اجمالي الفاتوره]]-Table118192023103031323538394041430[[#This Row],[الدفعات]]</f>
        <v>55794.73000000001</v>
      </c>
      <c r="O291" s="48"/>
    </row>
    <row r="292" spans="8:15" ht="26.25" customHeight="1" x14ac:dyDescent="0.3">
      <c r="H292" s="1">
        <f>0.14*Table118192023103031323538394041430[[#This Row],[النولون]]</f>
        <v>0</v>
      </c>
      <c r="I292" s="1">
        <f>0.03*Table118192023103031323538394041430[[#This Row],[النولون]]</f>
        <v>0</v>
      </c>
      <c r="K29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92" s="1">
        <f>M291+Table118192023103031323538394041430[[#This Row],[اجمالي الفاتوره]]-Table118192023103031323538394041430[[#This Row],[الدفعات]]</f>
        <v>55794.73000000001</v>
      </c>
      <c r="O292" s="48"/>
    </row>
    <row r="293" spans="8:15" ht="26.25" customHeight="1" x14ac:dyDescent="0.3">
      <c r="H293" s="1">
        <f>0.14*Table118192023103031323538394041430[[#This Row],[النولون]]</f>
        <v>0</v>
      </c>
      <c r="I293" s="1">
        <f>0.03*Table118192023103031323538394041430[[#This Row],[النولون]]</f>
        <v>0</v>
      </c>
      <c r="K29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93" s="1">
        <f>M292+Table118192023103031323538394041430[[#This Row],[اجمالي الفاتوره]]-Table118192023103031323538394041430[[#This Row],[الدفعات]]</f>
        <v>55794.73000000001</v>
      </c>
      <c r="O293" s="48"/>
    </row>
    <row r="294" spans="8:15" ht="26.25" customHeight="1" x14ac:dyDescent="0.3">
      <c r="H294" s="1">
        <f>0.14*Table118192023103031323538394041430[[#This Row],[النولون]]</f>
        <v>0</v>
      </c>
      <c r="I294" s="1">
        <f>0.03*Table118192023103031323538394041430[[#This Row],[النولون]]</f>
        <v>0</v>
      </c>
      <c r="K29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94" s="1">
        <f>M293+Table118192023103031323538394041430[[#This Row],[اجمالي الفاتوره]]-Table118192023103031323538394041430[[#This Row],[الدفعات]]</f>
        <v>55794.73000000001</v>
      </c>
      <c r="O294" s="48"/>
    </row>
    <row r="295" spans="8:15" ht="26.25" customHeight="1" x14ac:dyDescent="0.3">
      <c r="H295" s="1">
        <f>0.14*Table118192023103031323538394041430[[#This Row],[النولون]]</f>
        <v>0</v>
      </c>
      <c r="I295" s="1">
        <f>0.03*Table118192023103031323538394041430[[#This Row],[النولون]]</f>
        <v>0</v>
      </c>
      <c r="K29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95" s="1">
        <f>M294+Table118192023103031323538394041430[[#This Row],[اجمالي الفاتوره]]-Table118192023103031323538394041430[[#This Row],[الدفعات]]</f>
        <v>55794.73000000001</v>
      </c>
      <c r="O295" s="48"/>
    </row>
    <row r="296" spans="8:15" ht="26.25" customHeight="1" x14ac:dyDescent="0.3">
      <c r="H296" s="1">
        <f>0.14*Table118192023103031323538394041430[[#This Row],[النولون]]</f>
        <v>0</v>
      </c>
      <c r="I296" s="1">
        <f>0.03*Table118192023103031323538394041430[[#This Row],[النولون]]</f>
        <v>0</v>
      </c>
      <c r="K29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96" s="1">
        <f>M295+Table118192023103031323538394041430[[#This Row],[اجمالي الفاتوره]]-Table118192023103031323538394041430[[#This Row],[الدفعات]]</f>
        <v>55794.73000000001</v>
      </c>
      <c r="O296" s="48"/>
    </row>
    <row r="297" spans="8:15" ht="26.25" customHeight="1" x14ac:dyDescent="0.3">
      <c r="H297" s="1">
        <f>0.14*Table118192023103031323538394041430[[#This Row],[النولون]]</f>
        <v>0</v>
      </c>
      <c r="I297" s="1">
        <f>0.03*Table118192023103031323538394041430[[#This Row],[النولون]]</f>
        <v>0</v>
      </c>
      <c r="K29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97" s="1">
        <f>M296+Table118192023103031323538394041430[[#This Row],[اجمالي الفاتوره]]-Table118192023103031323538394041430[[#This Row],[الدفعات]]</f>
        <v>55794.73000000001</v>
      </c>
      <c r="O297" s="48"/>
    </row>
    <row r="298" spans="8:15" ht="26.25" customHeight="1" x14ac:dyDescent="0.3">
      <c r="H298" s="1">
        <f>0.14*Table118192023103031323538394041430[[#This Row],[النولون]]</f>
        <v>0</v>
      </c>
      <c r="I298" s="1">
        <f>0.03*Table118192023103031323538394041430[[#This Row],[النولون]]</f>
        <v>0</v>
      </c>
      <c r="K29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98" s="1">
        <f>M297+Table118192023103031323538394041430[[#This Row],[اجمالي الفاتوره]]-Table118192023103031323538394041430[[#This Row],[الدفعات]]</f>
        <v>55794.73000000001</v>
      </c>
      <c r="O298" s="48"/>
    </row>
    <row r="299" spans="8:15" ht="26.25" customHeight="1" x14ac:dyDescent="0.3">
      <c r="H299" s="1">
        <f>0.14*Table118192023103031323538394041430[[#This Row],[النولون]]</f>
        <v>0</v>
      </c>
      <c r="I299" s="1">
        <f>0.03*Table118192023103031323538394041430[[#This Row],[النولون]]</f>
        <v>0</v>
      </c>
      <c r="K29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299" s="1">
        <f>M298+Table118192023103031323538394041430[[#This Row],[اجمالي الفاتوره]]-Table118192023103031323538394041430[[#This Row],[الدفعات]]</f>
        <v>55794.73000000001</v>
      </c>
      <c r="O299" s="48"/>
    </row>
    <row r="300" spans="8:15" ht="26.25" customHeight="1" x14ac:dyDescent="0.3">
      <c r="H300" s="1">
        <f>0.14*Table118192023103031323538394041430[[#This Row],[النولون]]</f>
        <v>0</v>
      </c>
      <c r="I300" s="1">
        <f>0.03*Table118192023103031323538394041430[[#This Row],[النولون]]</f>
        <v>0</v>
      </c>
      <c r="K30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00" s="1">
        <f>M299+Table118192023103031323538394041430[[#This Row],[اجمالي الفاتوره]]-Table118192023103031323538394041430[[#This Row],[الدفعات]]</f>
        <v>55794.73000000001</v>
      </c>
      <c r="O300" s="48"/>
    </row>
    <row r="301" spans="8:15" ht="26.25" customHeight="1" x14ac:dyDescent="0.3">
      <c r="H301" s="1">
        <f>0.14*Table118192023103031323538394041430[[#This Row],[النولون]]</f>
        <v>0</v>
      </c>
      <c r="I301" s="1">
        <f>0.03*Table118192023103031323538394041430[[#This Row],[النولون]]</f>
        <v>0</v>
      </c>
      <c r="K30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01" s="1">
        <f>M300+Table118192023103031323538394041430[[#This Row],[اجمالي الفاتوره]]-Table118192023103031323538394041430[[#This Row],[الدفعات]]</f>
        <v>55794.73000000001</v>
      </c>
      <c r="O301" s="48"/>
    </row>
    <row r="302" spans="8:15" ht="26.25" customHeight="1" x14ac:dyDescent="0.3">
      <c r="H302" s="1">
        <f>0.14*Table118192023103031323538394041430[[#This Row],[النولون]]</f>
        <v>0</v>
      </c>
      <c r="I302" s="1">
        <f>0.03*Table118192023103031323538394041430[[#This Row],[النولون]]</f>
        <v>0</v>
      </c>
      <c r="K30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02" s="1">
        <f>M301+Table118192023103031323538394041430[[#This Row],[اجمالي الفاتوره]]-Table118192023103031323538394041430[[#This Row],[الدفعات]]</f>
        <v>55794.73000000001</v>
      </c>
      <c r="O302" s="48"/>
    </row>
    <row r="303" spans="8:15" ht="26.25" customHeight="1" x14ac:dyDescent="0.3">
      <c r="H303" s="1">
        <f>0.14*Table118192023103031323538394041430[[#This Row],[النولون]]</f>
        <v>0</v>
      </c>
      <c r="I303" s="1">
        <f>0.03*Table118192023103031323538394041430[[#This Row],[النولون]]</f>
        <v>0</v>
      </c>
      <c r="K30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03" s="1">
        <f>M302+Table118192023103031323538394041430[[#This Row],[اجمالي الفاتوره]]-Table118192023103031323538394041430[[#This Row],[الدفعات]]</f>
        <v>55794.73000000001</v>
      </c>
      <c r="O303" s="48"/>
    </row>
    <row r="304" spans="8:15" ht="26.25" customHeight="1" x14ac:dyDescent="0.3">
      <c r="H304" s="1">
        <f>0.14*Table118192023103031323538394041430[[#This Row],[النولون]]</f>
        <v>0</v>
      </c>
      <c r="I304" s="1">
        <f>0.03*Table118192023103031323538394041430[[#This Row],[النولون]]</f>
        <v>0</v>
      </c>
      <c r="K30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04" s="1">
        <f>M303+Table118192023103031323538394041430[[#This Row],[اجمالي الفاتوره]]-Table118192023103031323538394041430[[#This Row],[الدفعات]]</f>
        <v>55794.73000000001</v>
      </c>
      <c r="O304" s="48"/>
    </row>
    <row r="305" spans="8:15" ht="26.25" customHeight="1" x14ac:dyDescent="0.3">
      <c r="H305" s="1">
        <f>0.14*Table118192023103031323538394041430[[#This Row],[النولون]]</f>
        <v>0</v>
      </c>
      <c r="I305" s="1">
        <f>0.03*Table118192023103031323538394041430[[#This Row],[النولون]]</f>
        <v>0</v>
      </c>
      <c r="K30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05" s="1">
        <f>M304+Table118192023103031323538394041430[[#This Row],[اجمالي الفاتوره]]-Table118192023103031323538394041430[[#This Row],[الدفعات]]</f>
        <v>55794.73000000001</v>
      </c>
      <c r="O305" s="48"/>
    </row>
    <row r="306" spans="8:15" ht="26.25" customHeight="1" x14ac:dyDescent="0.3">
      <c r="H306" s="1">
        <f>0.14*Table118192023103031323538394041430[[#This Row],[النولون]]</f>
        <v>0</v>
      </c>
      <c r="I306" s="1">
        <f>0.03*Table118192023103031323538394041430[[#This Row],[النولون]]</f>
        <v>0</v>
      </c>
      <c r="K30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06" s="1">
        <f>M305+Table118192023103031323538394041430[[#This Row],[اجمالي الفاتوره]]-Table118192023103031323538394041430[[#This Row],[الدفعات]]</f>
        <v>55794.73000000001</v>
      </c>
      <c r="O306" s="48"/>
    </row>
    <row r="307" spans="8:15" ht="26.25" customHeight="1" x14ac:dyDescent="0.3">
      <c r="H307" s="1">
        <f>0.14*Table118192023103031323538394041430[[#This Row],[النولون]]</f>
        <v>0</v>
      </c>
      <c r="I307" s="1">
        <f>0.03*Table118192023103031323538394041430[[#This Row],[النولون]]</f>
        <v>0</v>
      </c>
      <c r="K30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07" s="1">
        <f>M306+Table118192023103031323538394041430[[#This Row],[اجمالي الفاتوره]]-Table118192023103031323538394041430[[#This Row],[الدفعات]]</f>
        <v>55794.73000000001</v>
      </c>
      <c r="O307" s="48"/>
    </row>
    <row r="308" spans="8:15" ht="26.25" customHeight="1" x14ac:dyDescent="0.3">
      <c r="H308" s="1">
        <f>0.14*Table118192023103031323538394041430[[#This Row],[النولون]]</f>
        <v>0</v>
      </c>
      <c r="I308" s="1">
        <f>0.03*Table118192023103031323538394041430[[#This Row],[النولون]]</f>
        <v>0</v>
      </c>
      <c r="K30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08" s="1">
        <f>M307+Table118192023103031323538394041430[[#This Row],[اجمالي الفاتوره]]-Table118192023103031323538394041430[[#This Row],[الدفعات]]</f>
        <v>55794.73000000001</v>
      </c>
      <c r="O308" s="48"/>
    </row>
    <row r="309" spans="8:15" ht="26.25" customHeight="1" x14ac:dyDescent="0.3">
      <c r="H309" s="1">
        <f>0.14*Table118192023103031323538394041430[[#This Row],[النولون]]</f>
        <v>0</v>
      </c>
      <c r="I309" s="1">
        <f>0.03*Table118192023103031323538394041430[[#This Row],[النولون]]</f>
        <v>0</v>
      </c>
      <c r="K30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09" s="1">
        <f>M308+Table118192023103031323538394041430[[#This Row],[اجمالي الفاتوره]]-Table118192023103031323538394041430[[#This Row],[الدفعات]]</f>
        <v>55794.73000000001</v>
      </c>
      <c r="O309" s="48"/>
    </row>
    <row r="310" spans="8:15" ht="26.25" customHeight="1" x14ac:dyDescent="0.3">
      <c r="H310" s="1">
        <f>0.14*Table118192023103031323538394041430[[#This Row],[النولون]]</f>
        <v>0</v>
      </c>
      <c r="I310" s="1">
        <f>0.03*Table118192023103031323538394041430[[#This Row],[النولون]]</f>
        <v>0</v>
      </c>
      <c r="K31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10" s="1">
        <f>M309+Table118192023103031323538394041430[[#This Row],[اجمالي الفاتوره]]-Table118192023103031323538394041430[[#This Row],[الدفعات]]</f>
        <v>55794.73000000001</v>
      </c>
      <c r="O310" s="48"/>
    </row>
    <row r="311" spans="8:15" ht="26.25" customHeight="1" x14ac:dyDescent="0.3">
      <c r="H311" s="1">
        <f>0.14*Table118192023103031323538394041430[[#This Row],[النولون]]</f>
        <v>0</v>
      </c>
      <c r="I311" s="1">
        <f>0.03*Table118192023103031323538394041430[[#This Row],[النولون]]</f>
        <v>0</v>
      </c>
      <c r="K31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11" s="1">
        <f>M310+Table118192023103031323538394041430[[#This Row],[اجمالي الفاتوره]]-Table118192023103031323538394041430[[#This Row],[الدفعات]]</f>
        <v>55794.73000000001</v>
      </c>
      <c r="O311" s="48"/>
    </row>
    <row r="312" spans="8:15" ht="26.25" customHeight="1" x14ac:dyDescent="0.3">
      <c r="H312" s="1">
        <f>0.14*Table118192023103031323538394041430[[#This Row],[النولون]]</f>
        <v>0</v>
      </c>
      <c r="I312" s="1">
        <f>0.03*Table118192023103031323538394041430[[#This Row],[النولون]]</f>
        <v>0</v>
      </c>
      <c r="K31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12" s="1">
        <f>M311+Table118192023103031323538394041430[[#This Row],[اجمالي الفاتوره]]-Table118192023103031323538394041430[[#This Row],[الدفعات]]</f>
        <v>55794.73000000001</v>
      </c>
      <c r="O312" s="48"/>
    </row>
    <row r="313" spans="8:15" ht="26.25" customHeight="1" x14ac:dyDescent="0.3">
      <c r="H313" s="1">
        <f>0.14*Table118192023103031323538394041430[[#This Row],[النولون]]</f>
        <v>0</v>
      </c>
      <c r="I313" s="1">
        <f>0.03*Table118192023103031323538394041430[[#This Row],[النولون]]</f>
        <v>0</v>
      </c>
      <c r="K31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13" s="1">
        <f>M312+Table118192023103031323538394041430[[#This Row],[اجمالي الفاتوره]]-Table118192023103031323538394041430[[#This Row],[الدفعات]]</f>
        <v>55794.73000000001</v>
      </c>
      <c r="O313" s="48"/>
    </row>
    <row r="314" spans="8:15" ht="26.25" customHeight="1" x14ac:dyDescent="0.3">
      <c r="H314" s="1">
        <f>0.14*Table118192023103031323538394041430[[#This Row],[النولون]]</f>
        <v>0</v>
      </c>
      <c r="I314" s="1">
        <f>0.03*Table118192023103031323538394041430[[#This Row],[النولون]]</f>
        <v>0</v>
      </c>
      <c r="K31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14" s="1">
        <f>M313+Table118192023103031323538394041430[[#This Row],[اجمالي الفاتوره]]-Table118192023103031323538394041430[[#This Row],[الدفعات]]</f>
        <v>55794.73000000001</v>
      </c>
      <c r="O314" s="48"/>
    </row>
    <row r="315" spans="8:15" ht="26.25" customHeight="1" x14ac:dyDescent="0.3">
      <c r="H315" s="1">
        <f>0.14*Table118192023103031323538394041430[[#This Row],[النولون]]</f>
        <v>0</v>
      </c>
      <c r="I315" s="1">
        <f>0.03*Table118192023103031323538394041430[[#This Row],[النولون]]</f>
        <v>0</v>
      </c>
      <c r="K31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15" s="1">
        <f>M314+Table118192023103031323538394041430[[#This Row],[اجمالي الفاتوره]]-Table118192023103031323538394041430[[#This Row],[الدفعات]]</f>
        <v>55794.73000000001</v>
      </c>
      <c r="O315" s="48"/>
    </row>
    <row r="316" spans="8:15" ht="26.25" customHeight="1" x14ac:dyDescent="0.3">
      <c r="H316" s="1">
        <f>0.14*Table118192023103031323538394041430[[#This Row],[النولون]]</f>
        <v>0</v>
      </c>
      <c r="I316" s="1">
        <f>0.03*Table118192023103031323538394041430[[#This Row],[النولون]]</f>
        <v>0</v>
      </c>
      <c r="K31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16" s="1">
        <f>M315+Table118192023103031323538394041430[[#This Row],[اجمالي الفاتوره]]-Table118192023103031323538394041430[[#This Row],[الدفعات]]</f>
        <v>55794.73000000001</v>
      </c>
      <c r="O316" s="48"/>
    </row>
    <row r="317" spans="8:15" ht="26.25" customHeight="1" x14ac:dyDescent="0.3">
      <c r="H317" s="1">
        <f>0.14*Table118192023103031323538394041430[[#This Row],[النولون]]</f>
        <v>0</v>
      </c>
      <c r="I317" s="1">
        <f>0.03*Table118192023103031323538394041430[[#This Row],[النولون]]</f>
        <v>0</v>
      </c>
      <c r="K31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17" s="1">
        <f>M316+Table118192023103031323538394041430[[#This Row],[اجمالي الفاتوره]]-Table118192023103031323538394041430[[#This Row],[الدفعات]]</f>
        <v>55794.73000000001</v>
      </c>
      <c r="O317" s="48"/>
    </row>
    <row r="318" spans="8:15" ht="26.25" customHeight="1" x14ac:dyDescent="0.3">
      <c r="H318" s="1">
        <f>0.14*Table118192023103031323538394041430[[#This Row],[النولون]]</f>
        <v>0</v>
      </c>
      <c r="I318" s="1">
        <f>0.03*Table118192023103031323538394041430[[#This Row],[النولون]]</f>
        <v>0</v>
      </c>
      <c r="K31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18" s="1">
        <f>M317+Table118192023103031323538394041430[[#This Row],[اجمالي الفاتوره]]-Table118192023103031323538394041430[[#This Row],[الدفعات]]</f>
        <v>55794.73000000001</v>
      </c>
      <c r="O318" s="48"/>
    </row>
    <row r="319" spans="8:15" ht="26.25" customHeight="1" x14ac:dyDescent="0.3">
      <c r="H319" s="1">
        <f>0.14*Table118192023103031323538394041430[[#This Row],[النولون]]</f>
        <v>0</v>
      </c>
      <c r="I319" s="1">
        <f>0.03*Table118192023103031323538394041430[[#This Row],[النولون]]</f>
        <v>0</v>
      </c>
      <c r="K31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19" s="1">
        <f>M318+Table118192023103031323538394041430[[#This Row],[اجمالي الفاتوره]]-Table118192023103031323538394041430[[#This Row],[الدفعات]]</f>
        <v>55794.73000000001</v>
      </c>
      <c r="O319" s="48"/>
    </row>
    <row r="320" spans="8:15" ht="26.25" customHeight="1" x14ac:dyDescent="0.3">
      <c r="H320" s="1">
        <f>0.14*Table118192023103031323538394041430[[#This Row],[النولون]]</f>
        <v>0</v>
      </c>
      <c r="I320" s="1">
        <f>0.03*Table118192023103031323538394041430[[#This Row],[النولون]]</f>
        <v>0</v>
      </c>
      <c r="K32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20" s="1">
        <f>M319+Table118192023103031323538394041430[[#This Row],[اجمالي الفاتوره]]-Table118192023103031323538394041430[[#This Row],[الدفعات]]</f>
        <v>55794.73000000001</v>
      </c>
      <c r="O320" s="48"/>
    </row>
    <row r="321" spans="8:15" ht="26.25" customHeight="1" x14ac:dyDescent="0.3">
      <c r="H321" s="1">
        <f>0.14*Table118192023103031323538394041430[[#This Row],[النولون]]</f>
        <v>0</v>
      </c>
      <c r="I321" s="1">
        <f>0.03*Table118192023103031323538394041430[[#This Row],[النولون]]</f>
        <v>0</v>
      </c>
      <c r="K32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21" s="1">
        <f>M320+Table118192023103031323538394041430[[#This Row],[اجمالي الفاتوره]]-Table118192023103031323538394041430[[#This Row],[الدفعات]]</f>
        <v>55794.73000000001</v>
      </c>
      <c r="O321" s="48"/>
    </row>
    <row r="322" spans="8:15" ht="26.25" customHeight="1" x14ac:dyDescent="0.3">
      <c r="H322" s="1">
        <f>0.14*Table118192023103031323538394041430[[#This Row],[النولون]]</f>
        <v>0</v>
      </c>
      <c r="I322" s="1">
        <f>0.03*Table118192023103031323538394041430[[#This Row],[النولون]]</f>
        <v>0</v>
      </c>
      <c r="K32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22" s="1">
        <f>M321+Table118192023103031323538394041430[[#This Row],[اجمالي الفاتوره]]-Table118192023103031323538394041430[[#This Row],[الدفعات]]</f>
        <v>55794.73000000001</v>
      </c>
      <c r="O322" s="48"/>
    </row>
    <row r="323" spans="8:15" ht="26.25" customHeight="1" x14ac:dyDescent="0.3">
      <c r="H323" s="1">
        <f>0.14*Table118192023103031323538394041430[[#This Row],[النولون]]</f>
        <v>0</v>
      </c>
      <c r="I323" s="1">
        <f>0.03*Table118192023103031323538394041430[[#This Row],[النولون]]</f>
        <v>0</v>
      </c>
      <c r="K32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23" s="1">
        <f>M322+Table118192023103031323538394041430[[#This Row],[اجمالي الفاتوره]]-Table118192023103031323538394041430[[#This Row],[الدفعات]]</f>
        <v>55794.73000000001</v>
      </c>
      <c r="O323" s="48"/>
    </row>
    <row r="324" spans="8:15" ht="26.25" customHeight="1" x14ac:dyDescent="0.3">
      <c r="H324" s="1">
        <f>0.14*Table118192023103031323538394041430[[#This Row],[النولون]]</f>
        <v>0</v>
      </c>
      <c r="I324" s="1">
        <f>0.03*Table118192023103031323538394041430[[#This Row],[النولون]]</f>
        <v>0</v>
      </c>
      <c r="K32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24" s="1">
        <f>M323+Table118192023103031323538394041430[[#This Row],[اجمالي الفاتوره]]-Table118192023103031323538394041430[[#This Row],[الدفعات]]</f>
        <v>55794.73000000001</v>
      </c>
      <c r="O324" s="48"/>
    </row>
    <row r="325" spans="8:15" ht="26.25" customHeight="1" x14ac:dyDescent="0.3">
      <c r="H325" s="1">
        <f>0.14*Table118192023103031323538394041430[[#This Row],[النولون]]</f>
        <v>0</v>
      </c>
      <c r="I325" s="1">
        <f>0.03*Table118192023103031323538394041430[[#This Row],[النولون]]</f>
        <v>0</v>
      </c>
      <c r="K32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25" s="1">
        <f>M324+Table118192023103031323538394041430[[#This Row],[اجمالي الفاتوره]]-Table118192023103031323538394041430[[#This Row],[الدفعات]]</f>
        <v>55794.73000000001</v>
      </c>
      <c r="O325" s="48"/>
    </row>
    <row r="326" spans="8:15" ht="26.25" customHeight="1" x14ac:dyDescent="0.3">
      <c r="H326" s="1">
        <f>0.14*Table118192023103031323538394041430[[#This Row],[النولون]]</f>
        <v>0</v>
      </c>
      <c r="I326" s="1">
        <f>0.03*Table118192023103031323538394041430[[#This Row],[النولون]]</f>
        <v>0</v>
      </c>
      <c r="K32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26" s="1">
        <f>M325+Table118192023103031323538394041430[[#This Row],[اجمالي الفاتوره]]-Table118192023103031323538394041430[[#This Row],[الدفعات]]</f>
        <v>55794.73000000001</v>
      </c>
      <c r="O326" s="48"/>
    </row>
    <row r="327" spans="8:15" ht="26.25" customHeight="1" x14ac:dyDescent="0.3">
      <c r="H327" s="1">
        <f>0.14*Table118192023103031323538394041430[[#This Row],[النولون]]</f>
        <v>0</v>
      </c>
      <c r="I327" s="1">
        <f>0.03*Table118192023103031323538394041430[[#This Row],[النولون]]</f>
        <v>0</v>
      </c>
      <c r="K32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27" s="1">
        <f>M326+Table118192023103031323538394041430[[#This Row],[اجمالي الفاتوره]]-Table118192023103031323538394041430[[#This Row],[الدفعات]]</f>
        <v>55794.73000000001</v>
      </c>
      <c r="O327" s="48"/>
    </row>
    <row r="328" spans="8:15" ht="26.25" customHeight="1" x14ac:dyDescent="0.3">
      <c r="H328" s="1">
        <f>0.14*Table118192023103031323538394041430[[#This Row],[النولون]]</f>
        <v>0</v>
      </c>
      <c r="I328" s="1">
        <f>0.03*Table118192023103031323538394041430[[#This Row],[النولون]]</f>
        <v>0</v>
      </c>
      <c r="K32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28" s="1">
        <f>M327+Table118192023103031323538394041430[[#This Row],[اجمالي الفاتوره]]-Table118192023103031323538394041430[[#This Row],[الدفعات]]</f>
        <v>55794.73000000001</v>
      </c>
      <c r="O328" s="48"/>
    </row>
    <row r="329" spans="8:15" ht="26.25" customHeight="1" x14ac:dyDescent="0.3">
      <c r="H329" s="1">
        <f>0.14*Table118192023103031323538394041430[[#This Row],[النولون]]</f>
        <v>0</v>
      </c>
      <c r="I329" s="1">
        <f>0.03*Table118192023103031323538394041430[[#This Row],[النولون]]</f>
        <v>0</v>
      </c>
      <c r="K32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29" s="1">
        <f>M328+Table118192023103031323538394041430[[#This Row],[اجمالي الفاتوره]]-Table118192023103031323538394041430[[#This Row],[الدفعات]]</f>
        <v>55794.73000000001</v>
      </c>
      <c r="O329" s="48"/>
    </row>
    <row r="330" spans="8:15" ht="26.25" customHeight="1" x14ac:dyDescent="0.3">
      <c r="H330" s="1">
        <f>0.14*Table118192023103031323538394041430[[#This Row],[النولون]]</f>
        <v>0</v>
      </c>
      <c r="I330" s="1">
        <f>0.03*Table118192023103031323538394041430[[#This Row],[النولون]]</f>
        <v>0</v>
      </c>
      <c r="K330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30" s="1">
        <f>M329+Table118192023103031323538394041430[[#This Row],[اجمالي الفاتوره]]-Table118192023103031323538394041430[[#This Row],[الدفعات]]</f>
        <v>55794.73000000001</v>
      </c>
      <c r="O330" s="48"/>
    </row>
    <row r="331" spans="8:15" ht="26.25" customHeight="1" x14ac:dyDescent="0.3">
      <c r="H331" s="1">
        <f>0.14*Table118192023103031323538394041430[[#This Row],[النولون]]</f>
        <v>0</v>
      </c>
      <c r="I331" s="1">
        <f>0.03*Table118192023103031323538394041430[[#This Row],[النولون]]</f>
        <v>0</v>
      </c>
      <c r="K331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31" s="1">
        <f>M330+Table118192023103031323538394041430[[#This Row],[اجمالي الفاتوره]]-Table118192023103031323538394041430[[#This Row],[الدفعات]]</f>
        <v>55794.73000000001</v>
      </c>
      <c r="O331" s="48"/>
    </row>
    <row r="332" spans="8:15" ht="26.25" customHeight="1" x14ac:dyDescent="0.3">
      <c r="H332" s="1">
        <f>0.14*Table118192023103031323538394041430[[#This Row],[النولون]]</f>
        <v>0</v>
      </c>
      <c r="I332" s="1">
        <f>0.03*Table118192023103031323538394041430[[#This Row],[النولون]]</f>
        <v>0</v>
      </c>
      <c r="K332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32" s="1">
        <f>M331+Table118192023103031323538394041430[[#This Row],[اجمالي الفاتوره]]-Table118192023103031323538394041430[[#This Row],[الدفعات]]</f>
        <v>55794.73000000001</v>
      </c>
      <c r="O332" s="48"/>
    </row>
    <row r="333" spans="8:15" ht="26.25" customHeight="1" x14ac:dyDescent="0.3">
      <c r="H333" s="1">
        <f>0.14*Table118192023103031323538394041430[[#This Row],[النولون]]</f>
        <v>0</v>
      </c>
      <c r="I333" s="1">
        <f>0.03*Table118192023103031323538394041430[[#This Row],[النولون]]</f>
        <v>0</v>
      </c>
      <c r="K333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33" s="1">
        <f>M332+Table118192023103031323538394041430[[#This Row],[اجمالي الفاتوره]]-Table118192023103031323538394041430[[#This Row],[الدفعات]]</f>
        <v>55794.73000000001</v>
      </c>
      <c r="O333" s="48"/>
    </row>
    <row r="334" spans="8:15" ht="26.25" customHeight="1" x14ac:dyDescent="0.3">
      <c r="H334" s="1">
        <f>0.14*Table118192023103031323538394041430[[#This Row],[النولون]]</f>
        <v>0</v>
      </c>
      <c r="I334" s="1">
        <f>0.03*Table118192023103031323538394041430[[#This Row],[النولون]]</f>
        <v>0</v>
      </c>
      <c r="K334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34" s="1">
        <f>M333+Table118192023103031323538394041430[[#This Row],[اجمالي الفاتوره]]-Table118192023103031323538394041430[[#This Row],[الدفعات]]</f>
        <v>55794.73000000001</v>
      </c>
      <c r="O334" s="48"/>
    </row>
    <row r="335" spans="8:15" ht="26.25" customHeight="1" x14ac:dyDescent="0.3">
      <c r="H335" s="1">
        <f>0.14*Table118192023103031323538394041430[[#This Row],[النولون]]</f>
        <v>0</v>
      </c>
      <c r="I335" s="1">
        <f>0.03*Table118192023103031323538394041430[[#This Row],[النولون]]</f>
        <v>0</v>
      </c>
      <c r="K335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35" s="1">
        <f>M334+Table118192023103031323538394041430[[#This Row],[اجمالي الفاتوره]]-Table118192023103031323538394041430[[#This Row],[الدفعات]]</f>
        <v>55794.73000000001</v>
      </c>
      <c r="O335" s="48"/>
    </row>
    <row r="336" spans="8:15" ht="26.25" customHeight="1" x14ac:dyDescent="0.3">
      <c r="H336" s="1">
        <f>0.14*Table118192023103031323538394041430[[#This Row],[النولون]]</f>
        <v>0</v>
      </c>
      <c r="I336" s="1">
        <f>0.03*Table118192023103031323538394041430[[#This Row],[النولون]]</f>
        <v>0</v>
      </c>
      <c r="K336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36" s="1">
        <f>M335+Table118192023103031323538394041430[[#This Row],[اجمالي الفاتوره]]-Table118192023103031323538394041430[[#This Row],[الدفعات]]</f>
        <v>55794.73000000001</v>
      </c>
      <c r="O336" s="48"/>
    </row>
    <row r="337" spans="8:15" ht="26.25" customHeight="1" x14ac:dyDescent="0.3">
      <c r="H337" s="1">
        <f>0.14*Table118192023103031323538394041430[[#This Row],[النولون]]</f>
        <v>0</v>
      </c>
      <c r="I337" s="1">
        <f>0.03*Table118192023103031323538394041430[[#This Row],[النولون]]</f>
        <v>0</v>
      </c>
      <c r="K337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37" s="1">
        <f>M336+Table118192023103031323538394041430[[#This Row],[اجمالي الفاتوره]]-Table118192023103031323538394041430[[#This Row],[الدفعات]]</f>
        <v>55794.73000000001</v>
      </c>
      <c r="O337" s="48"/>
    </row>
    <row r="338" spans="8:15" ht="26.25" customHeight="1" x14ac:dyDescent="0.3">
      <c r="H338" s="1">
        <f>0.14*Table118192023103031323538394041430[[#This Row],[النولون]]</f>
        <v>0</v>
      </c>
      <c r="I338" s="1">
        <f>0.03*Table118192023103031323538394041430[[#This Row],[النولون]]</f>
        <v>0</v>
      </c>
      <c r="K338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38" s="1">
        <f>M337+Table118192023103031323538394041430[[#This Row],[اجمالي الفاتوره]]-Table118192023103031323538394041430[[#This Row],[الدفعات]]</f>
        <v>55794.73000000001</v>
      </c>
      <c r="O338" s="48"/>
    </row>
    <row r="339" spans="8:15" ht="26.25" customHeight="1" x14ac:dyDescent="0.3">
      <c r="H339" s="1">
        <f>0.14*Table118192023103031323538394041430[[#This Row],[النولون]]</f>
        <v>0</v>
      </c>
      <c r="I339" s="1">
        <f>0.03*Table118192023103031323538394041430[[#This Row],[النولون]]</f>
        <v>0</v>
      </c>
      <c r="K339" s="1">
        <f>Table118192023103031323538394041430[[#This Row],[النولون]]+Table118192023103031323538394041430[[#This Row],[الايصالات]]-Table118192023103031323538394041430[[#This Row],[خصم أ ت ص]]+Table118192023103031323538394041430[[#This Row],[قيمة مضافة]]</f>
        <v>0</v>
      </c>
      <c r="M339" s="1">
        <f>M338+Table118192023103031323538394041430[[#This Row],[اجمالي الفاتوره]]-Table118192023103031323538394041430[[#This Row],[الدفعات]]</f>
        <v>55794.73000000001</v>
      </c>
      <c r="O339" s="48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339"/>
  <sheetViews>
    <sheetView rightToLeft="1" workbookViewId="0">
      <selection activeCell="C2" sqref="C2"/>
    </sheetView>
  </sheetViews>
  <sheetFormatPr defaultColWidth="9.109375" defaultRowHeight="15.6" x14ac:dyDescent="0.3"/>
  <cols>
    <col min="1" max="1" width="5.44140625" style="1" customWidth="1"/>
    <col min="2" max="2" width="11" style="1" customWidth="1"/>
    <col min="3" max="3" width="15.109375" style="1" customWidth="1"/>
    <col min="4" max="4" width="11.21875" style="1" customWidth="1"/>
    <col min="5" max="5" width="13.33203125" style="1" customWidth="1"/>
    <col min="6" max="6" width="13" style="1" customWidth="1"/>
    <col min="7" max="7" width="11.6640625" style="1" customWidth="1"/>
    <col min="8" max="8" width="11.77734375" style="1" customWidth="1"/>
    <col min="9" max="9" width="8.21875" style="1" customWidth="1"/>
    <col min="10" max="10" width="10.77734375" style="1" customWidth="1"/>
    <col min="11" max="11" width="12" style="1" customWidth="1"/>
    <col min="12" max="12" width="12.77734375" style="1" customWidth="1"/>
    <col min="13" max="13" width="15.21875" style="1" customWidth="1"/>
    <col min="14" max="16384" width="9.109375" style="1"/>
  </cols>
  <sheetData>
    <row r="1" spans="1:15" ht="26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8" t="s">
        <v>20</v>
      </c>
    </row>
    <row r="2" spans="1:15" ht="26.25" customHeight="1" x14ac:dyDescent="0.3">
      <c r="A2" s="1">
        <v>1497</v>
      </c>
      <c r="B2" s="2">
        <v>46174</v>
      </c>
      <c r="C2" s="1" t="s">
        <v>586</v>
      </c>
      <c r="D2" s="1" t="s">
        <v>96</v>
      </c>
      <c r="E2" s="1">
        <v>221786</v>
      </c>
      <c r="F2" s="1">
        <v>1</v>
      </c>
      <c r="G2" s="1">
        <v>14800</v>
      </c>
      <c r="H2" s="1">
        <f>0.14*Table1181920231030313235383940414[[#This Row],[النولون]]</f>
        <v>2072</v>
      </c>
      <c r="J2" s="1">
        <v>1100</v>
      </c>
      <c r="K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17972</v>
      </c>
      <c r="M2" s="1">
        <f>Table1181920231030313235383940414[[#This Row],[اجمالي الفاتوره]]</f>
        <v>17972</v>
      </c>
      <c r="O2" s="48"/>
    </row>
    <row r="3" spans="1:15" ht="26.25" customHeight="1" x14ac:dyDescent="0.3">
      <c r="B3" s="2"/>
      <c r="H3" s="1">
        <f>0.14*Table1181920231030313235383940414[[#This Row],[النولون]]</f>
        <v>0</v>
      </c>
      <c r="K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" s="1">
        <f>M2+Table1181920231030313235383940414[[#This Row],[اجمالي الفاتوره]]-Table1181920231030313235383940414[[#This Row],[الدفعات]]</f>
        <v>17972</v>
      </c>
      <c r="O3" s="48"/>
    </row>
    <row r="4" spans="1:15" ht="26.25" customHeight="1" x14ac:dyDescent="0.3">
      <c r="B4" s="2"/>
      <c r="H4" s="1">
        <f>0.14*Table1181920231030313235383940414[[#This Row],[النولون]]</f>
        <v>0</v>
      </c>
      <c r="K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4" s="1">
        <f>M3+Table1181920231030313235383940414[[#This Row],[اجمالي الفاتوره]]-Table1181920231030313235383940414[[#This Row],[الدفعات]]</f>
        <v>17972</v>
      </c>
      <c r="O4" s="48"/>
    </row>
    <row r="5" spans="1:15" ht="26.25" customHeight="1" x14ac:dyDescent="0.3">
      <c r="B5" s="2"/>
      <c r="H5" s="1">
        <f>0.14*Table1181920231030313235383940414[[#This Row],[النولون]]</f>
        <v>0</v>
      </c>
      <c r="K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5" s="1">
        <f>M4+Table1181920231030313235383940414[[#This Row],[اجمالي الفاتوره]]-Table1181920231030313235383940414[[#This Row],[الدفعات]]</f>
        <v>17972</v>
      </c>
      <c r="O5" s="48"/>
    </row>
    <row r="6" spans="1:15" ht="26.25" customHeight="1" x14ac:dyDescent="0.3">
      <c r="B6" s="2"/>
      <c r="H6" s="1">
        <f>0.14*Table1181920231030313235383940414[[#This Row],[النولون]]</f>
        <v>0</v>
      </c>
      <c r="K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6" s="1">
        <f>M5+Table1181920231030313235383940414[[#This Row],[اجمالي الفاتوره]]-Table1181920231030313235383940414[[#This Row],[الدفعات]]</f>
        <v>17972</v>
      </c>
      <c r="O6" s="48"/>
    </row>
    <row r="7" spans="1:15" ht="26.25" customHeight="1" x14ac:dyDescent="0.3">
      <c r="B7" s="2"/>
      <c r="H7" s="1">
        <f>0.14*Table1181920231030313235383940414[[#This Row],[النولون]]</f>
        <v>0</v>
      </c>
      <c r="K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7" s="1">
        <f>M6+Table1181920231030313235383940414[[#This Row],[اجمالي الفاتوره]]-Table1181920231030313235383940414[[#This Row],[الدفعات]]</f>
        <v>17972</v>
      </c>
      <c r="O7" s="48"/>
    </row>
    <row r="8" spans="1:15" ht="26.25" customHeight="1" x14ac:dyDescent="0.3">
      <c r="A8" s="48"/>
      <c r="B8" s="54"/>
      <c r="C8" s="48"/>
      <c r="D8" s="48"/>
      <c r="E8" s="48"/>
      <c r="F8" s="48"/>
      <c r="G8" s="48"/>
      <c r="H8" s="48">
        <f>0.14*Table1181920231030313235383940414[[#This Row],[النولون]]</f>
        <v>0</v>
      </c>
      <c r="I8" s="48"/>
      <c r="J8" s="48"/>
      <c r="K8" s="48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L8" s="48"/>
      <c r="M8" s="1">
        <f>M7+Table1181920231030313235383940414[[#This Row],[اجمالي الفاتوره]]-Table1181920231030313235383940414[[#This Row],[الدفعات]]</f>
        <v>17972</v>
      </c>
      <c r="N8" s="48"/>
      <c r="O8" s="48"/>
    </row>
    <row r="9" spans="1:15" ht="26.25" customHeight="1" x14ac:dyDescent="0.3">
      <c r="B9" s="2"/>
      <c r="H9" s="1">
        <f>0.14*Table1181920231030313235383940414[[#This Row],[النولون]]</f>
        <v>0</v>
      </c>
      <c r="K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9" s="1">
        <f>M8+Table1181920231030313235383940414[[#This Row],[اجمالي الفاتوره]]-Table1181920231030313235383940414[[#This Row],[الدفعات]]</f>
        <v>17972</v>
      </c>
      <c r="O9" s="48"/>
    </row>
    <row r="10" spans="1:15" ht="26.25" customHeight="1" x14ac:dyDescent="0.3">
      <c r="B10" s="2"/>
      <c r="C10" s="2"/>
      <c r="D10" s="20"/>
      <c r="E10" s="20"/>
      <c r="H10" s="1">
        <f>0.14*Table1181920231030313235383940414[[#This Row],[النولون]]</f>
        <v>0</v>
      </c>
      <c r="K1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0" s="1">
        <f>M9+Table1181920231030313235383940414[[#This Row],[اجمالي الفاتوره]]-Table1181920231030313235383940414[[#This Row],[الدفعات]]</f>
        <v>17972</v>
      </c>
      <c r="O10" s="48"/>
    </row>
    <row r="11" spans="1:15" ht="26.25" customHeight="1" x14ac:dyDescent="0.3">
      <c r="B11" s="2"/>
      <c r="E11" s="20"/>
      <c r="H11" s="1">
        <f>0.14*Table1181920231030313235383940414[[#This Row],[النولون]]</f>
        <v>0</v>
      </c>
      <c r="K1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1" s="1">
        <f>M10+Table1181920231030313235383940414[[#This Row],[اجمالي الفاتوره]]-Table1181920231030313235383940414[[#This Row],[الدفعات]]</f>
        <v>17972</v>
      </c>
      <c r="O11" s="48"/>
    </row>
    <row r="12" spans="1:15" ht="26.25" customHeight="1" x14ac:dyDescent="0.3">
      <c r="B12" s="2"/>
      <c r="E12" s="20"/>
      <c r="H12" s="1">
        <f>0.14*Table1181920231030313235383940414[[#This Row],[النولون]]</f>
        <v>0</v>
      </c>
      <c r="K1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2" s="1">
        <f>M11+Table1181920231030313235383940414[[#This Row],[اجمالي الفاتوره]]-Table1181920231030313235383940414[[#This Row],[الدفعات]]</f>
        <v>17972</v>
      </c>
      <c r="O12" s="48"/>
    </row>
    <row r="13" spans="1:15" ht="26.25" customHeight="1" x14ac:dyDescent="0.3">
      <c r="B13" s="2"/>
      <c r="H13" s="1">
        <f>0.14*Table1181920231030313235383940414[[#This Row],[النولون]]</f>
        <v>0</v>
      </c>
      <c r="K1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3" s="1">
        <f>M12+Table1181920231030313235383940414[[#This Row],[اجمالي الفاتوره]]-Table1181920231030313235383940414[[#This Row],[الدفعات]]</f>
        <v>17972</v>
      </c>
      <c r="N13" s="1">
        <f>SUM(K:K)-SUM(L:L)</f>
        <v>17972</v>
      </c>
      <c r="O13" s="48">
        <f>SUM(H:H)</f>
        <v>2072</v>
      </c>
    </row>
    <row r="14" spans="1:15" ht="26.25" customHeight="1" x14ac:dyDescent="0.3">
      <c r="B14" s="2"/>
      <c r="H14" s="1">
        <f>0.14*Table1181920231030313235383940414[[#This Row],[النولون]]</f>
        <v>0</v>
      </c>
      <c r="K1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4" s="1">
        <f>M13+Table1181920231030313235383940414[[#This Row],[اجمالي الفاتوره]]-Table1181920231030313235383940414[[#This Row],[الدفعات]]</f>
        <v>17972</v>
      </c>
      <c r="O14" s="48"/>
    </row>
    <row r="15" spans="1:15" ht="26.25" customHeight="1" x14ac:dyDescent="0.3">
      <c r="B15" s="2"/>
      <c r="H15" s="1">
        <f>0.14*Table1181920231030313235383940414[[#This Row],[النولون]]</f>
        <v>0</v>
      </c>
      <c r="K1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5" s="1">
        <f>M14+Table1181920231030313235383940414[[#This Row],[اجمالي الفاتوره]]-Table1181920231030313235383940414[[#This Row],[الدفعات]]</f>
        <v>17972</v>
      </c>
      <c r="O15" s="48"/>
    </row>
    <row r="16" spans="1:15" ht="26.25" customHeight="1" x14ac:dyDescent="0.3">
      <c r="B16" s="2"/>
      <c r="H16" s="1">
        <f>0.14*Table1181920231030313235383940414[[#This Row],[النولون]]</f>
        <v>0</v>
      </c>
      <c r="K1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6" s="1">
        <f>M15+Table1181920231030313235383940414[[#This Row],[اجمالي الفاتوره]]-Table1181920231030313235383940414[[#This Row],[الدفعات]]</f>
        <v>17972</v>
      </c>
      <c r="O16" s="48"/>
    </row>
    <row r="17" spans="2:15" ht="26.25" customHeight="1" x14ac:dyDescent="0.3">
      <c r="B17" s="2"/>
      <c r="H17" s="1">
        <f>0.14*Table1181920231030313235383940414[[#This Row],[النولون]]</f>
        <v>0</v>
      </c>
      <c r="K1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7" s="1">
        <f>M16+Table1181920231030313235383940414[[#This Row],[اجمالي الفاتوره]]-Table1181920231030313235383940414[[#This Row],[الدفعات]]</f>
        <v>17972</v>
      </c>
      <c r="O17" s="48"/>
    </row>
    <row r="18" spans="2:15" ht="26.25" customHeight="1" x14ac:dyDescent="0.3">
      <c r="B18" s="2"/>
      <c r="H18" s="1">
        <f>0.14*Table1181920231030313235383940414[[#This Row],[النولون]]</f>
        <v>0</v>
      </c>
      <c r="K1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8" s="1">
        <f>M17+Table1181920231030313235383940414[[#This Row],[اجمالي الفاتوره]]-Table1181920231030313235383940414[[#This Row],[الدفعات]]</f>
        <v>17972</v>
      </c>
      <c r="O18" s="48"/>
    </row>
    <row r="19" spans="2:15" ht="26.25" customHeight="1" x14ac:dyDescent="0.3">
      <c r="B19" s="2"/>
      <c r="H19" s="1">
        <f>0.14*Table1181920231030313235383940414[[#This Row],[النولون]]</f>
        <v>0</v>
      </c>
      <c r="K1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9" s="1">
        <f>M18+Table1181920231030313235383940414[[#This Row],[اجمالي الفاتوره]]-Table1181920231030313235383940414[[#This Row],[الدفعات]]</f>
        <v>17972</v>
      </c>
      <c r="O19" s="48"/>
    </row>
    <row r="20" spans="2:15" ht="26.25" customHeight="1" x14ac:dyDescent="0.3">
      <c r="B20" s="2"/>
      <c r="H20" s="1">
        <f>0.14*Table1181920231030313235383940414[[#This Row],[النولون]]</f>
        <v>0</v>
      </c>
      <c r="K2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0" s="1">
        <f>M19+Table1181920231030313235383940414[[#This Row],[اجمالي الفاتوره]]-Table1181920231030313235383940414[[#This Row],[الدفعات]]</f>
        <v>17972</v>
      </c>
      <c r="O20" s="48"/>
    </row>
    <row r="21" spans="2:15" ht="26.25" customHeight="1" x14ac:dyDescent="0.3">
      <c r="B21" s="2"/>
      <c r="H21" s="1">
        <f>0.14*Table1181920231030313235383940414[[#This Row],[النولون]]</f>
        <v>0</v>
      </c>
      <c r="K2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1" s="1">
        <f>M20+Table1181920231030313235383940414[[#This Row],[اجمالي الفاتوره]]-Table1181920231030313235383940414[[#This Row],[الدفعات]]</f>
        <v>17972</v>
      </c>
      <c r="O21" s="48"/>
    </row>
    <row r="22" spans="2:15" ht="26.25" customHeight="1" x14ac:dyDescent="0.3">
      <c r="B22" s="2"/>
      <c r="H22" s="1">
        <f>0.14*Table1181920231030313235383940414[[#This Row],[النولون]]</f>
        <v>0</v>
      </c>
      <c r="K2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2" s="1">
        <f>M21+Table1181920231030313235383940414[[#This Row],[اجمالي الفاتوره]]-Table1181920231030313235383940414[[#This Row],[الدفعات]]</f>
        <v>17972</v>
      </c>
      <c r="O22" s="48"/>
    </row>
    <row r="23" spans="2:15" ht="26.25" customHeight="1" x14ac:dyDescent="0.3">
      <c r="B23" s="2"/>
      <c r="H23" s="1">
        <f>0.14*Table1181920231030313235383940414[[#This Row],[النولون]]</f>
        <v>0</v>
      </c>
      <c r="K2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3" s="1">
        <f>M22+Table1181920231030313235383940414[[#This Row],[اجمالي الفاتوره]]-Table1181920231030313235383940414[[#This Row],[الدفعات]]</f>
        <v>17972</v>
      </c>
      <c r="O23" s="48"/>
    </row>
    <row r="24" spans="2:15" ht="26.25" customHeight="1" x14ac:dyDescent="0.3">
      <c r="B24" s="2"/>
      <c r="H24" s="1">
        <f>0.14*Table1181920231030313235383940414[[#This Row],[النولون]]</f>
        <v>0</v>
      </c>
      <c r="K2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4" s="1">
        <f>M23+Table1181920231030313235383940414[[#This Row],[اجمالي الفاتوره]]-Table1181920231030313235383940414[[#This Row],[الدفعات]]</f>
        <v>17972</v>
      </c>
      <c r="O24" s="48"/>
    </row>
    <row r="25" spans="2:15" ht="26.25" customHeight="1" x14ac:dyDescent="0.3">
      <c r="H25" s="1">
        <f>0.14*Table1181920231030313235383940414[[#This Row],[النولون]]</f>
        <v>0</v>
      </c>
      <c r="K2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5" s="1">
        <f>M24+Table1181920231030313235383940414[[#This Row],[اجمالي الفاتوره]]-Table1181920231030313235383940414[[#This Row],[الدفعات]]</f>
        <v>17972</v>
      </c>
      <c r="O25" s="48"/>
    </row>
    <row r="26" spans="2:15" ht="26.25" customHeight="1" x14ac:dyDescent="0.3">
      <c r="H26" s="1">
        <f>0.14*Table1181920231030313235383940414[[#This Row],[النولون]]</f>
        <v>0</v>
      </c>
      <c r="K2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6" s="1">
        <f>M25+Table1181920231030313235383940414[[#This Row],[اجمالي الفاتوره]]-Table1181920231030313235383940414[[#This Row],[الدفعات]]</f>
        <v>17972</v>
      </c>
      <c r="O26" s="48"/>
    </row>
    <row r="27" spans="2:15" ht="26.25" customHeight="1" x14ac:dyDescent="0.3">
      <c r="B27" s="2"/>
      <c r="H27" s="1">
        <f>0.14*Table1181920231030313235383940414[[#This Row],[النولون]]</f>
        <v>0</v>
      </c>
      <c r="K2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7" s="1">
        <f>M26+Table1181920231030313235383940414[[#This Row],[اجمالي الفاتوره]]-Table1181920231030313235383940414[[#This Row],[الدفعات]]</f>
        <v>17972</v>
      </c>
      <c r="O27" s="48"/>
    </row>
    <row r="28" spans="2:15" ht="26.25" customHeight="1" x14ac:dyDescent="0.3">
      <c r="B28" s="2"/>
      <c r="H28" s="1">
        <f>0.14*Table1181920231030313235383940414[[#This Row],[النولون]]</f>
        <v>0</v>
      </c>
      <c r="K2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8" s="1">
        <f>M27+Table1181920231030313235383940414[[#This Row],[اجمالي الفاتوره]]-Table1181920231030313235383940414[[#This Row],[الدفعات]]</f>
        <v>17972</v>
      </c>
      <c r="O28" s="48"/>
    </row>
    <row r="29" spans="2:15" ht="26.25" customHeight="1" x14ac:dyDescent="0.3">
      <c r="B29" s="2"/>
      <c r="H29" s="1">
        <f>0.14*Table1181920231030313235383940414[[#This Row],[النولون]]</f>
        <v>0</v>
      </c>
      <c r="K2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9" s="1">
        <f>M28+Table1181920231030313235383940414[[#This Row],[اجمالي الفاتوره]]-Table1181920231030313235383940414[[#This Row],[الدفعات]]</f>
        <v>17972</v>
      </c>
      <c r="O29" s="48"/>
    </row>
    <row r="30" spans="2:15" ht="26.25" customHeight="1" x14ac:dyDescent="0.3">
      <c r="B30" s="2"/>
      <c r="H30" s="1">
        <f>0.14*Table1181920231030313235383940414[[#This Row],[النولون]]</f>
        <v>0</v>
      </c>
      <c r="K3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0" s="1">
        <f>M29+Table1181920231030313235383940414[[#This Row],[اجمالي الفاتوره]]-Table1181920231030313235383940414[[#This Row],[الدفعات]]</f>
        <v>17972</v>
      </c>
      <c r="O30" s="48"/>
    </row>
    <row r="31" spans="2:15" ht="26.25" customHeight="1" x14ac:dyDescent="0.3">
      <c r="H31" s="1">
        <f>0.14*Table1181920231030313235383940414[[#This Row],[النولون]]</f>
        <v>0</v>
      </c>
      <c r="K3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1" s="1">
        <f>M30+Table1181920231030313235383940414[[#This Row],[اجمالي الفاتوره]]-Table1181920231030313235383940414[[#This Row],[الدفعات]]</f>
        <v>17972</v>
      </c>
      <c r="O31" s="48"/>
    </row>
    <row r="32" spans="2:15" ht="26.25" customHeight="1" x14ac:dyDescent="0.3">
      <c r="B32" s="2"/>
      <c r="H32" s="1">
        <f>0.14*Table1181920231030313235383940414[[#This Row],[النولون]]</f>
        <v>0</v>
      </c>
      <c r="K3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2" s="1">
        <f>M31+Table1181920231030313235383940414[[#This Row],[اجمالي الفاتوره]]-Table1181920231030313235383940414[[#This Row],[الدفعات]]</f>
        <v>17972</v>
      </c>
      <c r="O32" s="48"/>
    </row>
    <row r="33" spans="2:15" ht="26.25" customHeight="1" x14ac:dyDescent="0.3">
      <c r="H33" s="1">
        <f>0.14*Table1181920231030313235383940414[[#This Row],[النولون]]</f>
        <v>0</v>
      </c>
      <c r="K3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3" s="1">
        <f>M32+Table1181920231030313235383940414[[#This Row],[اجمالي الفاتوره]]-Table1181920231030313235383940414[[#This Row],[الدفعات]]</f>
        <v>17972</v>
      </c>
      <c r="O33" s="48"/>
    </row>
    <row r="34" spans="2:15" ht="26.25" customHeight="1" x14ac:dyDescent="0.3">
      <c r="H34" s="1">
        <f>0.14*Table1181920231030313235383940414[[#This Row],[النولون]]</f>
        <v>0</v>
      </c>
      <c r="K3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4" s="1">
        <f>M33+Table1181920231030313235383940414[[#This Row],[اجمالي الفاتوره]]-Table1181920231030313235383940414[[#This Row],[الدفعات]]</f>
        <v>17972</v>
      </c>
      <c r="O34" s="48"/>
    </row>
    <row r="35" spans="2:15" ht="26.25" customHeight="1" x14ac:dyDescent="0.3">
      <c r="H35" s="1">
        <f>0.14*Table1181920231030313235383940414[[#This Row],[النولون]]</f>
        <v>0</v>
      </c>
      <c r="K3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5" s="1">
        <f>M34+Table1181920231030313235383940414[[#This Row],[اجمالي الفاتوره]]-Table1181920231030313235383940414[[#This Row],[الدفعات]]</f>
        <v>17972</v>
      </c>
      <c r="O35" s="48"/>
    </row>
    <row r="36" spans="2:15" ht="26.25" customHeight="1" x14ac:dyDescent="0.3">
      <c r="B36" s="2"/>
      <c r="C36" s="2"/>
      <c r="H36" s="1">
        <f>0.14*Table1181920231030313235383940414[[#This Row],[النولون]]</f>
        <v>0</v>
      </c>
      <c r="K3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6" s="1">
        <f>M35+Table1181920231030313235383940414[[#This Row],[اجمالي الفاتوره]]-Table1181920231030313235383940414[[#This Row],[الدفعات]]</f>
        <v>17972</v>
      </c>
      <c r="O36" s="48"/>
    </row>
    <row r="37" spans="2:15" ht="26.25" customHeight="1" x14ac:dyDescent="0.3">
      <c r="H37" s="1">
        <f>0.14*Table1181920231030313235383940414[[#This Row],[النولون]]</f>
        <v>0</v>
      </c>
      <c r="K3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7" s="1">
        <f>M36+Table1181920231030313235383940414[[#This Row],[اجمالي الفاتوره]]-Table1181920231030313235383940414[[#This Row],[الدفعات]]</f>
        <v>17972</v>
      </c>
      <c r="O37" s="48"/>
    </row>
    <row r="38" spans="2:15" ht="26.25" customHeight="1" x14ac:dyDescent="0.3">
      <c r="H38" s="1">
        <f>0.14*Table1181920231030313235383940414[[#This Row],[النولون]]</f>
        <v>0</v>
      </c>
      <c r="K3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8" s="1">
        <f>M37+Table1181920231030313235383940414[[#This Row],[اجمالي الفاتوره]]-Table1181920231030313235383940414[[#This Row],[الدفعات]]</f>
        <v>17972</v>
      </c>
      <c r="O38" s="48"/>
    </row>
    <row r="39" spans="2:15" ht="26.25" customHeight="1" x14ac:dyDescent="0.3">
      <c r="H39" s="1">
        <f>0.14*Table1181920231030313235383940414[[#This Row],[النولون]]</f>
        <v>0</v>
      </c>
      <c r="K3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9" s="1">
        <f>M38+Table1181920231030313235383940414[[#This Row],[اجمالي الفاتوره]]-Table1181920231030313235383940414[[#This Row],[الدفعات]]</f>
        <v>17972</v>
      </c>
      <c r="O39" s="48"/>
    </row>
    <row r="40" spans="2:15" ht="26.25" customHeight="1" x14ac:dyDescent="0.3">
      <c r="H40" s="1">
        <f>0.14*Table1181920231030313235383940414[[#This Row],[النولون]]</f>
        <v>0</v>
      </c>
      <c r="K4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40" s="1">
        <f>M39+Table1181920231030313235383940414[[#This Row],[اجمالي الفاتوره]]-Table1181920231030313235383940414[[#This Row],[الدفعات]]</f>
        <v>17972</v>
      </c>
      <c r="O40" s="48"/>
    </row>
    <row r="41" spans="2:15" ht="26.25" customHeight="1" x14ac:dyDescent="0.3">
      <c r="H41" s="1">
        <f>0.14*Table1181920231030313235383940414[[#This Row],[النولون]]</f>
        <v>0</v>
      </c>
      <c r="K4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41" s="1">
        <f>M40+Table1181920231030313235383940414[[#This Row],[اجمالي الفاتوره]]-Table1181920231030313235383940414[[#This Row],[الدفعات]]</f>
        <v>17972</v>
      </c>
      <c r="O41" s="48"/>
    </row>
    <row r="42" spans="2:15" ht="26.25" customHeight="1" x14ac:dyDescent="0.3">
      <c r="H42" s="1">
        <f>0.14*Table1181920231030313235383940414[[#This Row],[النولون]]</f>
        <v>0</v>
      </c>
      <c r="K4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42" s="1">
        <f>M41+Table1181920231030313235383940414[[#This Row],[اجمالي الفاتوره]]-Table1181920231030313235383940414[[#This Row],[الدفعات]]</f>
        <v>17972</v>
      </c>
      <c r="O42" s="48"/>
    </row>
    <row r="43" spans="2:15" ht="26.25" customHeight="1" x14ac:dyDescent="0.3">
      <c r="H43" s="1">
        <f>0.14*Table1181920231030313235383940414[[#This Row],[النولون]]</f>
        <v>0</v>
      </c>
      <c r="K4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43" s="1">
        <f>M42+Table1181920231030313235383940414[[#This Row],[اجمالي الفاتوره]]-Table1181920231030313235383940414[[#This Row],[الدفعات]]</f>
        <v>17972</v>
      </c>
      <c r="O43" s="48"/>
    </row>
    <row r="44" spans="2:15" ht="26.25" customHeight="1" x14ac:dyDescent="0.3">
      <c r="H44" s="1">
        <f>0.14*Table1181920231030313235383940414[[#This Row],[النولون]]</f>
        <v>0</v>
      </c>
      <c r="K4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44" s="1">
        <f>M43+Table1181920231030313235383940414[[#This Row],[اجمالي الفاتوره]]-Table1181920231030313235383940414[[#This Row],[الدفعات]]</f>
        <v>17972</v>
      </c>
      <c r="O44" s="48"/>
    </row>
    <row r="45" spans="2:15" ht="26.25" customHeight="1" x14ac:dyDescent="0.3">
      <c r="H45" s="1">
        <f>0.14*Table1181920231030313235383940414[[#This Row],[النولون]]</f>
        <v>0</v>
      </c>
      <c r="K4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45" s="1">
        <f>M44+Table1181920231030313235383940414[[#This Row],[اجمالي الفاتوره]]-Table1181920231030313235383940414[[#This Row],[الدفعات]]</f>
        <v>17972</v>
      </c>
      <c r="O45" s="48"/>
    </row>
    <row r="46" spans="2:15" ht="26.25" customHeight="1" x14ac:dyDescent="0.3">
      <c r="H46" s="1">
        <f>0.14*Table1181920231030313235383940414[[#This Row],[النولون]]</f>
        <v>0</v>
      </c>
      <c r="K4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46" s="1">
        <f>M45+Table1181920231030313235383940414[[#This Row],[اجمالي الفاتوره]]-Table1181920231030313235383940414[[#This Row],[الدفعات]]</f>
        <v>17972</v>
      </c>
      <c r="O46" s="48"/>
    </row>
    <row r="47" spans="2:15" ht="26.25" customHeight="1" x14ac:dyDescent="0.3">
      <c r="H47" s="1">
        <f>0.14*Table1181920231030313235383940414[[#This Row],[النولون]]</f>
        <v>0</v>
      </c>
      <c r="K4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47" s="1">
        <f>M46+Table1181920231030313235383940414[[#This Row],[اجمالي الفاتوره]]-Table1181920231030313235383940414[[#This Row],[الدفعات]]</f>
        <v>17972</v>
      </c>
      <c r="O47" s="48"/>
    </row>
    <row r="48" spans="2:15" ht="26.25" customHeight="1" x14ac:dyDescent="0.3">
      <c r="H48" s="1">
        <f>0.14*Table1181920231030313235383940414[[#This Row],[النولون]]</f>
        <v>0</v>
      </c>
      <c r="K4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48" s="1">
        <f>M47+Table1181920231030313235383940414[[#This Row],[اجمالي الفاتوره]]-Table1181920231030313235383940414[[#This Row],[الدفعات]]</f>
        <v>17972</v>
      </c>
      <c r="O48" s="48"/>
    </row>
    <row r="49" spans="8:15" ht="26.25" customHeight="1" x14ac:dyDescent="0.3">
      <c r="H49" s="1">
        <f>0.14*Table1181920231030313235383940414[[#This Row],[النولون]]</f>
        <v>0</v>
      </c>
      <c r="K4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49" s="1">
        <f>M48+Table1181920231030313235383940414[[#This Row],[اجمالي الفاتوره]]-Table1181920231030313235383940414[[#This Row],[الدفعات]]</f>
        <v>17972</v>
      </c>
      <c r="O49" s="48"/>
    </row>
    <row r="50" spans="8:15" ht="26.25" customHeight="1" x14ac:dyDescent="0.3">
      <c r="H50" s="1">
        <f>0.14*Table1181920231030313235383940414[[#This Row],[النولون]]</f>
        <v>0</v>
      </c>
      <c r="K5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50" s="1">
        <f>M49+Table1181920231030313235383940414[[#This Row],[اجمالي الفاتوره]]-Table1181920231030313235383940414[[#This Row],[الدفعات]]</f>
        <v>17972</v>
      </c>
      <c r="O50" s="48"/>
    </row>
    <row r="51" spans="8:15" ht="26.25" customHeight="1" x14ac:dyDescent="0.3">
      <c r="H51" s="1">
        <f>0.14*Table1181920231030313235383940414[[#This Row],[النولون]]</f>
        <v>0</v>
      </c>
      <c r="K5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51" s="1">
        <f>M50+Table1181920231030313235383940414[[#This Row],[اجمالي الفاتوره]]-Table1181920231030313235383940414[[#This Row],[الدفعات]]</f>
        <v>17972</v>
      </c>
      <c r="O51" s="48"/>
    </row>
    <row r="52" spans="8:15" ht="26.25" customHeight="1" x14ac:dyDescent="0.3">
      <c r="H52" s="1">
        <f>0.14*Table1181920231030313235383940414[[#This Row],[النولون]]</f>
        <v>0</v>
      </c>
      <c r="K5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52" s="1">
        <f>M51+Table1181920231030313235383940414[[#This Row],[اجمالي الفاتوره]]-Table1181920231030313235383940414[[#This Row],[الدفعات]]</f>
        <v>17972</v>
      </c>
      <c r="O52" s="48"/>
    </row>
    <row r="53" spans="8:15" ht="26.25" customHeight="1" x14ac:dyDescent="0.3">
      <c r="H53" s="1">
        <f>0.14*Table1181920231030313235383940414[[#This Row],[النولون]]</f>
        <v>0</v>
      </c>
      <c r="K5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53" s="1">
        <f>M52+Table1181920231030313235383940414[[#This Row],[اجمالي الفاتوره]]-Table1181920231030313235383940414[[#This Row],[الدفعات]]</f>
        <v>17972</v>
      </c>
      <c r="O53" s="48"/>
    </row>
    <row r="54" spans="8:15" ht="26.25" customHeight="1" x14ac:dyDescent="0.3">
      <c r="H54" s="1">
        <f>0.14*Table1181920231030313235383940414[[#This Row],[النولون]]</f>
        <v>0</v>
      </c>
      <c r="K5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54" s="1">
        <f>M53+Table1181920231030313235383940414[[#This Row],[اجمالي الفاتوره]]-Table1181920231030313235383940414[[#This Row],[الدفعات]]</f>
        <v>17972</v>
      </c>
      <c r="O54" s="48"/>
    </row>
    <row r="55" spans="8:15" ht="26.25" customHeight="1" x14ac:dyDescent="0.3">
      <c r="H55" s="1">
        <f>0.14*Table1181920231030313235383940414[[#This Row],[النولون]]</f>
        <v>0</v>
      </c>
      <c r="K5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55" s="1">
        <f>M54+Table1181920231030313235383940414[[#This Row],[اجمالي الفاتوره]]-Table1181920231030313235383940414[[#This Row],[الدفعات]]</f>
        <v>17972</v>
      </c>
      <c r="O55" s="48"/>
    </row>
    <row r="56" spans="8:15" ht="26.25" customHeight="1" x14ac:dyDescent="0.3">
      <c r="H56" s="1">
        <f>0.14*Table1181920231030313235383940414[[#This Row],[النولون]]</f>
        <v>0</v>
      </c>
      <c r="K5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56" s="1">
        <f>M55+Table1181920231030313235383940414[[#This Row],[اجمالي الفاتوره]]-Table1181920231030313235383940414[[#This Row],[الدفعات]]</f>
        <v>17972</v>
      </c>
      <c r="O56" s="48"/>
    </row>
    <row r="57" spans="8:15" ht="26.25" customHeight="1" x14ac:dyDescent="0.3">
      <c r="H57" s="1">
        <f>0.14*Table1181920231030313235383940414[[#This Row],[النولون]]</f>
        <v>0</v>
      </c>
      <c r="K5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57" s="1">
        <f>M56+Table1181920231030313235383940414[[#This Row],[اجمالي الفاتوره]]-Table1181920231030313235383940414[[#This Row],[الدفعات]]</f>
        <v>17972</v>
      </c>
      <c r="O57" s="48"/>
    </row>
    <row r="58" spans="8:15" ht="26.25" customHeight="1" x14ac:dyDescent="0.3">
      <c r="H58" s="1">
        <f>0.14*Table1181920231030313235383940414[[#This Row],[النولون]]</f>
        <v>0</v>
      </c>
      <c r="K5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58" s="1">
        <f>M57+Table1181920231030313235383940414[[#This Row],[اجمالي الفاتوره]]-Table1181920231030313235383940414[[#This Row],[الدفعات]]</f>
        <v>17972</v>
      </c>
      <c r="O58" s="48"/>
    </row>
    <row r="59" spans="8:15" ht="26.25" customHeight="1" x14ac:dyDescent="0.3">
      <c r="H59" s="1">
        <f>0.14*Table1181920231030313235383940414[[#This Row],[النولون]]</f>
        <v>0</v>
      </c>
      <c r="K5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59" s="1">
        <f>M58+Table1181920231030313235383940414[[#This Row],[اجمالي الفاتوره]]-Table1181920231030313235383940414[[#This Row],[الدفعات]]</f>
        <v>17972</v>
      </c>
      <c r="O59" s="48"/>
    </row>
    <row r="60" spans="8:15" ht="26.25" customHeight="1" x14ac:dyDescent="0.3">
      <c r="H60" s="1">
        <f>0.14*Table1181920231030313235383940414[[#This Row],[النولون]]</f>
        <v>0</v>
      </c>
      <c r="K6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60" s="1">
        <f>M59+Table1181920231030313235383940414[[#This Row],[اجمالي الفاتوره]]-Table1181920231030313235383940414[[#This Row],[الدفعات]]</f>
        <v>17972</v>
      </c>
      <c r="O60" s="48"/>
    </row>
    <row r="61" spans="8:15" ht="26.25" customHeight="1" x14ac:dyDescent="0.3">
      <c r="H61" s="1">
        <f>0.14*Table1181920231030313235383940414[[#This Row],[النولون]]</f>
        <v>0</v>
      </c>
      <c r="K6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61" s="1">
        <f>M60+Table1181920231030313235383940414[[#This Row],[اجمالي الفاتوره]]-Table1181920231030313235383940414[[#This Row],[الدفعات]]</f>
        <v>17972</v>
      </c>
      <c r="O61" s="48"/>
    </row>
    <row r="62" spans="8:15" ht="26.25" customHeight="1" x14ac:dyDescent="0.3">
      <c r="H62" s="1">
        <f>0.14*Table1181920231030313235383940414[[#This Row],[النولون]]</f>
        <v>0</v>
      </c>
      <c r="K6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62" s="1">
        <f>M61+Table1181920231030313235383940414[[#This Row],[اجمالي الفاتوره]]-Table1181920231030313235383940414[[#This Row],[الدفعات]]</f>
        <v>17972</v>
      </c>
      <c r="O62" s="48"/>
    </row>
    <row r="63" spans="8:15" ht="26.25" customHeight="1" x14ac:dyDescent="0.3">
      <c r="H63" s="1">
        <f>0.14*Table1181920231030313235383940414[[#This Row],[النولون]]</f>
        <v>0</v>
      </c>
      <c r="K6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63" s="1">
        <f>M62+Table1181920231030313235383940414[[#This Row],[اجمالي الفاتوره]]-Table1181920231030313235383940414[[#This Row],[الدفعات]]</f>
        <v>17972</v>
      </c>
      <c r="O63" s="48"/>
    </row>
    <row r="64" spans="8:15" ht="26.25" customHeight="1" x14ac:dyDescent="0.3">
      <c r="H64" s="1">
        <f>0.14*Table1181920231030313235383940414[[#This Row],[النولون]]</f>
        <v>0</v>
      </c>
      <c r="K6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64" s="1">
        <f>M63+Table1181920231030313235383940414[[#This Row],[اجمالي الفاتوره]]-Table1181920231030313235383940414[[#This Row],[الدفعات]]</f>
        <v>17972</v>
      </c>
      <c r="O64" s="48"/>
    </row>
    <row r="65" spans="8:15" ht="26.25" customHeight="1" x14ac:dyDescent="0.3">
      <c r="H65" s="1">
        <f>0.14*Table1181920231030313235383940414[[#This Row],[النولون]]</f>
        <v>0</v>
      </c>
      <c r="K6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65" s="1">
        <f>M64+Table1181920231030313235383940414[[#This Row],[اجمالي الفاتوره]]-Table1181920231030313235383940414[[#This Row],[الدفعات]]</f>
        <v>17972</v>
      </c>
      <c r="O65" s="48"/>
    </row>
    <row r="66" spans="8:15" ht="26.25" customHeight="1" x14ac:dyDescent="0.3">
      <c r="H66" s="1">
        <f>0.14*Table1181920231030313235383940414[[#This Row],[النولون]]</f>
        <v>0</v>
      </c>
      <c r="K6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66" s="1">
        <f>M65+Table1181920231030313235383940414[[#This Row],[اجمالي الفاتوره]]-Table1181920231030313235383940414[[#This Row],[الدفعات]]</f>
        <v>17972</v>
      </c>
      <c r="O66" s="48"/>
    </row>
    <row r="67" spans="8:15" ht="26.25" customHeight="1" x14ac:dyDescent="0.3">
      <c r="H67" s="1">
        <f>0.14*Table1181920231030313235383940414[[#This Row],[النولون]]</f>
        <v>0</v>
      </c>
      <c r="K6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67" s="1">
        <f>M66+Table1181920231030313235383940414[[#This Row],[اجمالي الفاتوره]]-Table1181920231030313235383940414[[#This Row],[الدفعات]]</f>
        <v>17972</v>
      </c>
      <c r="O67" s="48"/>
    </row>
    <row r="68" spans="8:15" ht="26.25" customHeight="1" x14ac:dyDescent="0.3">
      <c r="H68" s="1">
        <f>0.14*Table1181920231030313235383940414[[#This Row],[النولون]]</f>
        <v>0</v>
      </c>
      <c r="K6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68" s="1">
        <f>M67+Table1181920231030313235383940414[[#This Row],[اجمالي الفاتوره]]-Table1181920231030313235383940414[[#This Row],[الدفعات]]</f>
        <v>17972</v>
      </c>
      <c r="O68" s="48"/>
    </row>
    <row r="69" spans="8:15" ht="26.25" customHeight="1" x14ac:dyDescent="0.3">
      <c r="H69" s="1">
        <f>0.14*Table1181920231030313235383940414[[#This Row],[النولون]]</f>
        <v>0</v>
      </c>
      <c r="K6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69" s="1">
        <f>M68+Table1181920231030313235383940414[[#This Row],[اجمالي الفاتوره]]-Table1181920231030313235383940414[[#This Row],[الدفعات]]</f>
        <v>17972</v>
      </c>
      <c r="O69" s="48"/>
    </row>
    <row r="70" spans="8:15" ht="26.25" customHeight="1" x14ac:dyDescent="0.3">
      <c r="H70" s="1">
        <f>0.14*Table1181920231030313235383940414[[#This Row],[النولون]]</f>
        <v>0</v>
      </c>
      <c r="K7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70" s="1">
        <f>M69+Table1181920231030313235383940414[[#This Row],[اجمالي الفاتوره]]-Table1181920231030313235383940414[[#This Row],[الدفعات]]</f>
        <v>17972</v>
      </c>
      <c r="O70" s="48"/>
    </row>
    <row r="71" spans="8:15" ht="26.25" customHeight="1" x14ac:dyDescent="0.3">
      <c r="H71" s="1">
        <f>0.14*Table1181920231030313235383940414[[#This Row],[النولون]]</f>
        <v>0</v>
      </c>
      <c r="K7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71" s="1">
        <f>M70+Table1181920231030313235383940414[[#This Row],[اجمالي الفاتوره]]-Table1181920231030313235383940414[[#This Row],[الدفعات]]</f>
        <v>17972</v>
      </c>
      <c r="O71" s="48"/>
    </row>
    <row r="72" spans="8:15" ht="26.25" customHeight="1" x14ac:dyDescent="0.3">
      <c r="H72" s="1">
        <f>0.14*Table1181920231030313235383940414[[#This Row],[النولون]]</f>
        <v>0</v>
      </c>
      <c r="K7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72" s="1">
        <f>M71+Table1181920231030313235383940414[[#This Row],[اجمالي الفاتوره]]-Table1181920231030313235383940414[[#This Row],[الدفعات]]</f>
        <v>17972</v>
      </c>
      <c r="O72" s="48"/>
    </row>
    <row r="73" spans="8:15" ht="26.25" customHeight="1" x14ac:dyDescent="0.3">
      <c r="H73" s="1">
        <f>0.14*Table1181920231030313235383940414[[#This Row],[النولون]]</f>
        <v>0</v>
      </c>
      <c r="K7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73" s="1">
        <f>M72+Table1181920231030313235383940414[[#This Row],[اجمالي الفاتوره]]-Table1181920231030313235383940414[[#This Row],[الدفعات]]</f>
        <v>17972</v>
      </c>
      <c r="O73" s="48"/>
    </row>
    <row r="74" spans="8:15" ht="26.25" customHeight="1" x14ac:dyDescent="0.3">
      <c r="H74" s="1">
        <f>0.14*Table1181920231030313235383940414[[#This Row],[النولون]]</f>
        <v>0</v>
      </c>
      <c r="K7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74" s="1">
        <f>M73+Table1181920231030313235383940414[[#This Row],[اجمالي الفاتوره]]-Table1181920231030313235383940414[[#This Row],[الدفعات]]</f>
        <v>17972</v>
      </c>
      <c r="O74" s="48"/>
    </row>
    <row r="75" spans="8:15" ht="26.25" customHeight="1" x14ac:dyDescent="0.3">
      <c r="H75" s="1">
        <f>0.14*Table1181920231030313235383940414[[#This Row],[النولون]]</f>
        <v>0</v>
      </c>
      <c r="K7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75" s="1">
        <f>M74+Table1181920231030313235383940414[[#This Row],[اجمالي الفاتوره]]-Table1181920231030313235383940414[[#This Row],[الدفعات]]</f>
        <v>17972</v>
      </c>
      <c r="O75" s="48"/>
    </row>
    <row r="76" spans="8:15" ht="26.25" customHeight="1" x14ac:dyDescent="0.3">
      <c r="H76" s="1">
        <f>0.14*Table1181920231030313235383940414[[#This Row],[النولون]]</f>
        <v>0</v>
      </c>
      <c r="K7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76" s="1">
        <f>M75+Table1181920231030313235383940414[[#This Row],[اجمالي الفاتوره]]-Table1181920231030313235383940414[[#This Row],[الدفعات]]</f>
        <v>17972</v>
      </c>
      <c r="O76" s="48"/>
    </row>
    <row r="77" spans="8:15" ht="26.25" customHeight="1" x14ac:dyDescent="0.3">
      <c r="H77" s="1">
        <f>0.14*Table1181920231030313235383940414[[#This Row],[النولون]]</f>
        <v>0</v>
      </c>
      <c r="K7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77" s="1">
        <f>M76+Table1181920231030313235383940414[[#This Row],[اجمالي الفاتوره]]-Table1181920231030313235383940414[[#This Row],[الدفعات]]</f>
        <v>17972</v>
      </c>
      <c r="O77" s="48"/>
    </row>
    <row r="78" spans="8:15" ht="26.25" customHeight="1" x14ac:dyDescent="0.3">
      <c r="H78" s="1">
        <f>0.14*Table1181920231030313235383940414[[#This Row],[النولون]]</f>
        <v>0</v>
      </c>
      <c r="K7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78" s="1">
        <f>M77+Table1181920231030313235383940414[[#This Row],[اجمالي الفاتوره]]-Table1181920231030313235383940414[[#This Row],[الدفعات]]</f>
        <v>17972</v>
      </c>
      <c r="O78" s="48"/>
    </row>
    <row r="79" spans="8:15" ht="26.25" customHeight="1" x14ac:dyDescent="0.3">
      <c r="H79" s="1">
        <f>0.14*Table1181920231030313235383940414[[#This Row],[النولون]]</f>
        <v>0</v>
      </c>
      <c r="K7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79" s="1">
        <f>M78+Table1181920231030313235383940414[[#This Row],[اجمالي الفاتوره]]-Table1181920231030313235383940414[[#This Row],[الدفعات]]</f>
        <v>17972</v>
      </c>
      <c r="O79" s="48"/>
    </row>
    <row r="80" spans="8:15" ht="26.25" customHeight="1" x14ac:dyDescent="0.3">
      <c r="H80" s="1">
        <f>0.14*Table1181920231030313235383940414[[#This Row],[النولون]]</f>
        <v>0</v>
      </c>
      <c r="K8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80" s="1">
        <f>M79+Table1181920231030313235383940414[[#This Row],[اجمالي الفاتوره]]-Table1181920231030313235383940414[[#This Row],[الدفعات]]</f>
        <v>17972</v>
      </c>
      <c r="O80" s="48"/>
    </row>
    <row r="81" spans="8:15" ht="26.25" customHeight="1" x14ac:dyDescent="0.3">
      <c r="H81" s="1">
        <f>0.14*Table1181920231030313235383940414[[#This Row],[النولون]]</f>
        <v>0</v>
      </c>
      <c r="K8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81" s="1">
        <f>M80+Table1181920231030313235383940414[[#This Row],[اجمالي الفاتوره]]-Table1181920231030313235383940414[[#This Row],[الدفعات]]</f>
        <v>17972</v>
      </c>
      <c r="O81" s="48"/>
    </row>
    <row r="82" spans="8:15" ht="26.25" customHeight="1" x14ac:dyDescent="0.3">
      <c r="H82" s="1">
        <f>0.14*Table1181920231030313235383940414[[#This Row],[النولون]]</f>
        <v>0</v>
      </c>
      <c r="K8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82" s="1">
        <f>M81+Table1181920231030313235383940414[[#This Row],[اجمالي الفاتوره]]-Table1181920231030313235383940414[[#This Row],[الدفعات]]</f>
        <v>17972</v>
      </c>
      <c r="O82" s="48"/>
    </row>
    <row r="83" spans="8:15" ht="26.25" customHeight="1" x14ac:dyDescent="0.3">
      <c r="H83" s="1">
        <f>0.14*Table1181920231030313235383940414[[#This Row],[النولون]]</f>
        <v>0</v>
      </c>
      <c r="K8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83" s="1">
        <f>M82+Table1181920231030313235383940414[[#This Row],[اجمالي الفاتوره]]-Table1181920231030313235383940414[[#This Row],[الدفعات]]</f>
        <v>17972</v>
      </c>
      <c r="O83" s="48"/>
    </row>
    <row r="84" spans="8:15" ht="26.25" customHeight="1" x14ac:dyDescent="0.3">
      <c r="H84" s="1">
        <f>0.14*Table1181920231030313235383940414[[#This Row],[النولون]]</f>
        <v>0</v>
      </c>
      <c r="K8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84" s="1">
        <f>M83+Table1181920231030313235383940414[[#This Row],[اجمالي الفاتوره]]-Table1181920231030313235383940414[[#This Row],[الدفعات]]</f>
        <v>17972</v>
      </c>
      <c r="O84" s="48"/>
    </row>
    <row r="85" spans="8:15" ht="26.25" customHeight="1" x14ac:dyDescent="0.3">
      <c r="H85" s="1">
        <f>0.14*Table1181920231030313235383940414[[#This Row],[النولون]]</f>
        <v>0</v>
      </c>
      <c r="K8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85" s="1">
        <f>M84+Table1181920231030313235383940414[[#This Row],[اجمالي الفاتوره]]-Table1181920231030313235383940414[[#This Row],[الدفعات]]</f>
        <v>17972</v>
      </c>
      <c r="O85" s="48"/>
    </row>
    <row r="86" spans="8:15" ht="26.25" customHeight="1" x14ac:dyDescent="0.3">
      <c r="H86" s="1">
        <f>0.14*Table1181920231030313235383940414[[#This Row],[النولون]]</f>
        <v>0</v>
      </c>
      <c r="K8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86" s="1">
        <f>M85+Table1181920231030313235383940414[[#This Row],[اجمالي الفاتوره]]-Table1181920231030313235383940414[[#This Row],[الدفعات]]</f>
        <v>17972</v>
      </c>
      <c r="O86" s="48"/>
    </row>
    <row r="87" spans="8:15" ht="26.25" customHeight="1" x14ac:dyDescent="0.3">
      <c r="H87" s="1">
        <f>0.14*Table1181920231030313235383940414[[#This Row],[النولون]]</f>
        <v>0</v>
      </c>
      <c r="K8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87" s="1">
        <f>M86+Table1181920231030313235383940414[[#This Row],[اجمالي الفاتوره]]-Table1181920231030313235383940414[[#This Row],[الدفعات]]</f>
        <v>17972</v>
      </c>
      <c r="O87" s="48"/>
    </row>
    <row r="88" spans="8:15" ht="26.25" customHeight="1" x14ac:dyDescent="0.3">
      <c r="H88" s="1">
        <f>0.14*Table1181920231030313235383940414[[#This Row],[النولون]]</f>
        <v>0</v>
      </c>
      <c r="K8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88" s="1">
        <f>M87+Table1181920231030313235383940414[[#This Row],[اجمالي الفاتوره]]-Table1181920231030313235383940414[[#This Row],[الدفعات]]</f>
        <v>17972</v>
      </c>
      <c r="O88" s="48"/>
    </row>
    <row r="89" spans="8:15" ht="26.25" customHeight="1" x14ac:dyDescent="0.3">
      <c r="H89" s="1">
        <f>0.14*Table1181920231030313235383940414[[#This Row],[النولون]]</f>
        <v>0</v>
      </c>
      <c r="K8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89" s="1">
        <f>M88+Table1181920231030313235383940414[[#This Row],[اجمالي الفاتوره]]-Table1181920231030313235383940414[[#This Row],[الدفعات]]</f>
        <v>17972</v>
      </c>
      <c r="O89" s="48"/>
    </row>
    <row r="90" spans="8:15" ht="26.25" customHeight="1" x14ac:dyDescent="0.3">
      <c r="H90" s="1">
        <f>0.14*Table1181920231030313235383940414[[#This Row],[النولون]]</f>
        <v>0</v>
      </c>
      <c r="K9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90" s="1">
        <f>M89+Table1181920231030313235383940414[[#This Row],[اجمالي الفاتوره]]-Table1181920231030313235383940414[[#This Row],[الدفعات]]</f>
        <v>17972</v>
      </c>
      <c r="O90" s="48"/>
    </row>
    <row r="91" spans="8:15" ht="26.25" customHeight="1" x14ac:dyDescent="0.3">
      <c r="H91" s="1">
        <f>0.14*Table1181920231030313235383940414[[#This Row],[النولون]]</f>
        <v>0</v>
      </c>
      <c r="K9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91" s="1">
        <f>M90+Table1181920231030313235383940414[[#This Row],[اجمالي الفاتوره]]-Table1181920231030313235383940414[[#This Row],[الدفعات]]</f>
        <v>17972</v>
      </c>
      <c r="O91" s="48"/>
    </row>
    <row r="92" spans="8:15" ht="26.25" customHeight="1" x14ac:dyDescent="0.3">
      <c r="H92" s="1">
        <f>0.14*Table1181920231030313235383940414[[#This Row],[النولون]]</f>
        <v>0</v>
      </c>
      <c r="K9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92" s="1">
        <f>M91+Table1181920231030313235383940414[[#This Row],[اجمالي الفاتوره]]-Table1181920231030313235383940414[[#This Row],[الدفعات]]</f>
        <v>17972</v>
      </c>
      <c r="O92" s="48"/>
    </row>
    <row r="93" spans="8:15" ht="26.25" customHeight="1" x14ac:dyDescent="0.3">
      <c r="H93" s="1">
        <f>0.14*Table1181920231030313235383940414[[#This Row],[النولون]]</f>
        <v>0</v>
      </c>
      <c r="K9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93" s="1">
        <f>M92+Table1181920231030313235383940414[[#This Row],[اجمالي الفاتوره]]-Table1181920231030313235383940414[[#This Row],[الدفعات]]</f>
        <v>17972</v>
      </c>
      <c r="O93" s="48"/>
    </row>
    <row r="94" spans="8:15" ht="26.25" customHeight="1" x14ac:dyDescent="0.3">
      <c r="H94" s="1">
        <f>0.14*Table1181920231030313235383940414[[#This Row],[النولون]]</f>
        <v>0</v>
      </c>
      <c r="K9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94" s="1">
        <f>M93+Table1181920231030313235383940414[[#This Row],[اجمالي الفاتوره]]-Table1181920231030313235383940414[[#This Row],[الدفعات]]</f>
        <v>17972</v>
      </c>
      <c r="O94" s="48"/>
    </row>
    <row r="95" spans="8:15" ht="26.25" customHeight="1" x14ac:dyDescent="0.3">
      <c r="H95" s="1">
        <f>0.14*Table1181920231030313235383940414[[#This Row],[النولون]]</f>
        <v>0</v>
      </c>
      <c r="K9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95" s="1">
        <f>M94+Table1181920231030313235383940414[[#This Row],[اجمالي الفاتوره]]-Table1181920231030313235383940414[[#This Row],[الدفعات]]</f>
        <v>17972</v>
      </c>
      <c r="O95" s="48"/>
    </row>
    <row r="96" spans="8:15" ht="26.25" customHeight="1" x14ac:dyDescent="0.3">
      <c r="H96" s="1">
        <f>0.14*Table1181920231030313235383940414[[#This Row],[النولون]]</f>
        <v>0</v>
      </c>
      <c r="K9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96" s="1">
        <f>M95+Table1181920231030313235383940414[[#This Row],[اجمالي الفاتوره]]-Table1181920231030313235383940414[[#This Row],[الدفعات]]</f>
        <v>17972</v>
      </c>
      <c r="O96" s="48"/>
    </row>
    <row r="97" spans="8:15" ht="26.25" customHeight="1" x14ac:dyDescent="0.3">
      <c r="H97" s="1">
        <f>0.14*Table1181920231030313235383940414[[#This Row],[النولون]]</f>
        <v>0</v>
      </c>
      <c r="K9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97" s="1">
        <f>M96+Table1181920231030313235383940414[[#This Row],[اجمالي الفاتوره]]-Table1181920231030313235383940414[[#This Row],[الدفعات]]</f>
        <v>17972</v>
      </c>
      <c r="O97" s="48"/>
    </row>
    <row r="98" spans="8:15" ht="26.25" customHeight="1" x14ac:dyDescent="0.3">
      <c r="H98" s="1">
        <f>0.14*Table1181920231030313235383940414[[#This Row],[النولون]]</f>
        <v>0</v>
      </c>
      <c r="K9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98" s="1">
        <f>M97+Table1181920231030313235383940414[[#This Row],[اجمالي الفاتوره]]-Table1181920231030313235383940414[[#This Row],[الدفعات]]</f>
        <v>17972</v>
      </c>
      <c r="O98" s="48"/>
    </row>
    <row r="99" spans="8:15" ht="26.25" customHeight="1" x14ac:dyDescent="0.3">
      <c r="H99" s="1">
        <f>0.14*Table1181920231030313235383940414[[#This Row],[النولون]]</f>
        <v>0</v>
      </c>
      <c r="K9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99" s="1">
        <f>M98+Table1181920231030313235383940414[[#This Row],[اجمالي الفاتوره]]-Table1181920231030313235383940414[[#This Row],[الدفعات]]</f>
        <v>17972</v>
      </c>
      <c r="O99" s="48"/>
    </row>
    <row r="100" spans="8:15" ht="26.25" customHeight="1" x14ac:dyDescent="0.3">
      <c r="H100" s="1">
        <f>0.14*Table1181920231030313235383940414[[#This Row],[النولون]]</f>
        <v>0</v>
      </c>
      <c r="K10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00" s="1">
        <f>M99+Table1181920231030313235383940414[[#This Row],[اجمالي الفاتوره]]-Table1181920231030313235383940414[[#This Row],[الدفعات]]</f>
        <v>17972</v>
      </c>
      <c r="O100" s="48"/>
    </row>
    <row r="101" spans="8:15" ht="26.25" customHeight="1" x14ac:dyDescent="0.3">
      <c r="H101" s="1">
        <f>0.14*Table1181920231030313235383940414[[#This Row],[النولون]]</f>
        <v>0</v>
      </c>
      <c r="K10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01" s="1">
        <f>M100+Table1181920231030313235383940414[[#This Row],[اجمالي الفاتوره]]-Table1181920231030313235383940414[[#This Row],[الدفعات]]</f>
        <v>17972</v>
      </c>
      <c r="O101" s="48"/>
    </row>
    <row r="102" spans="8:15" ht="26.25" customHeight="1" x14ac:dyDescent="0.3">
      <c r="H102" s="1">
        <f>0.14*Table1181920231030313235383940414[[#This Row],[النولون]]</f>
        <v>0</v>
      </c>
      <c r="K10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02" s="1">
        <f>M101+Table1181920231030313235383940414[[#This Row],[اجمالي الفاتوره]]-Table1181920231030313235383940414[[#This Row],[الدفعات]]</f>
        <v>17972</v>
      </c>
      <c r="O102" s="48"/>
    </row>
    <row r="103" spans="8:15" ht="26.25" customHeight="1" x14ac:dyDescent="0.3">
      <c r="H103" s="1">
        <f>0.14*Table1181920231030313235383940414[[#This Row],[النولون]]</f>
        <v>0</v>
      </c>
      <c r="K10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03" s="1">
        <f>M102+Table1181920231030313235383940414[[#This Row],[اجمالي الفاتوره]]-Table1181920231030313235383940414[[#This Row],[الدفعات]]</f>
        <v>17972</v>
      </c>
      <c r="O103" s="48"/>
    </row>
    <row r="104" spans="8:15" ht="26.25" customHeight="1" x14ac:dyDescent="0.3">
      <c r="H104" s="1">
        <f>0.14*Table1181920231030313235383940414[[#This Row],[النولون]]</f>
        <v>0</v>
      </c>
      <c r="K10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04" s="1">
        <f>M103+Table1181920231030313235383940414[[#This Row],[اجمالي الفاتوره]]-Table1181920231030313235383940414[[#This Row],[الدفعات]]</f>
        <v>17972</v>
      </c>
      <c r="O104" s="48"/>
    </row>
    <row r="105" spans="8:15" ht="26.25" customHeight="1" x14ac:dyDescent="0.3">
      <c r="H105" s="1">
        <f>0.14*Table1181920231030313235383940414[[#This Row],[النولون]]</f>
        <v>0</v>
      </c>
      <c r="K10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05" s="1">
        <f>M104+Table1181920231030313235383940414[[#This Row],[اجمالي الفاتوره]]-Table1181920231030313235383940414[[#This Row],[الدفعات]]</f>
        <v>17972</v>
      </c>
      <c r="O105" s="48"/>
    </row>
    <row r="106" spans="8:15" ht="26.25" customHeight="1" x14ac:dyDescent="0.3">
      <c r="H106" s="1">
        <f>0.14*Table1181920231030313235383940414[[#This Row],[النولون]]</f>
        <v>0</v>
      </c>
      <c r="K10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06" s="1">
        <f>M105+Table1181920231030313235383940414[[#This Row],[اجمالي الفاتوره]]-Table1181920231030313235383940414[[#This Row],[الدفعات]]</f>
        <v>17972</v>
      </c>
      <c r="O106" s="48"/>
    </row>
    <row r="107" spans="8:15" ht="26.25" customHeight="1" x14ac:dyDescent="0.3">
      <c r="H107" s="1">
        <f>0.14*Table1181920231030313235383940414[[#This Row],[النولون]]</f>
        <v>0</v>
      </c>
      <c r="K10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07" s="1">
        <f>M106+Table1181920231030313235383940414[[#This Row],[اجمالي الفاتوره]]-Table1181920231030313235383940414[[#This Row],[الدفعات]]</f>
        <v>17972</v>
      </c>
      <c r="O107" s="48"/>
    </row>
    <row r="108" spans="8:15" ht="26.25" customHeight="1" x14ac:dyDescent="0.3">
      <c r="H108" s="1">
        <f>0.14*Table1181920231030313235383940414[[#This Row],[النولون]]</f>
        <v>0</v>
      </c>
      <c r="K10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08" s="1">
        <f>M107+Table1181920231030313235383940414[[#This Row],[اجمالي الفاتوره]]-Table1181920231030313235383940414[[#This Row],[الدفعات]]</f>
        <v>17972</v>
      </c>
      <c r="O108" s="48"/>
    </row>
    <row r="109" spans="8:15" ht="26.25" customHeight="1" x14ac:dyDescent="0.3">
      <c r="H109" s="1">
        <f>0.14*Table1181920231030313235383940414[[#This Row],[النولون]]</f>
        <v>0</v>
      </c>
      <c r="K10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09" s="1">
        <f>M108+Table1181920231030313235383940414[[#This Row],[اجمالي الفاتوره]]-Table1181920231030313235383940414[[#This Row],[الدفعات]]</f>
        <v>17972</v>
      </c>
      <c r="O109" s="48"/>
    </row>
    <row r="110" spans="8:15" ht="26.25" customHeight="1" x14ac:dyDescent="0.3">
      <c r="H110" s="1">
        <f>0.14*Table1181920231030313235383940414[[#This Row],[النولون]]</f>
        <v>0</v>
      </c>
      <c r="K11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10" s="1">
        <f>M109+Table1181920231030313235383940414[[#This Row],[اجمالي الفاتوره]]-Table1181920231030313235383940414[[#This Row],[الدفعات]]</f>
        <v>17972</v>
      </c>
      <c r="O110" s="48"/>
    </row>
    <row r="111" spans="8:15" ht="26.25" customHeight="1" x14ac:dyDescent="0.3">
      <c r="H111" s="1">
        <f>0.14*Table1181920231030313235383940414[[#This Row],[النولون]]</f>
        <v>0</v>
      </c>
      <c r="K11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11" s="1">
        <f>M110+Table1181920231030313235383940414[[#This Row],[اجمالي الفاتوره]]-Table1181920231030313235383940414[[#This Row],[الدفعات]]</f>
        <v>17972</v>
      </c>
      <c r="O111" s="48"/>
    </row>
    <row r="112" spans="8:15" ht="26.25" customHeight="1" x14ac:dyDescent="0.3">
      <c r="H112" s="1">
        <f>0.14*Table1181920231030313235383940414[[#This Row],[النولون]]</f>
        <v>0</v>
      </c>
      <c r="K11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12" s="1">
        <f>M111+Table1181920231030313235383940414[[#This Row],[اجمالي الفاتوره]]-Table1181920231030313235383940414[[#This Row],[الدفعات]]</f>
        <v>17972</v>
      </c>
      <c r="O112" s="48"/>
    </row>
    <row r="113" spans="8:15" ht="26.25" customHeight="1" x14ac:dyDescent="0.3">
      <c r="H113" s="1">
        <f>0.14*Table1181920231030313235383940414[[#This Row],[النولون]]</f>
        <v>0</v>
      </c>
      <c r="K11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13" s="1">
        <f>M112+Table1181920231030313235383940414[[#This Row],[اجمالي الفاتوره]]-Table1181920231030313235383940414[[#This Row],[الدفعات]]</f>
        <v>17972</v>
      </c>
      <c r="O113" s="48"/>
    </row>
    <row r="114" spans="8:15" ht="26.25" customHeight="1" x14ac:dyDescent="0.3">
      <c r="H114" s="1">
        <f>0.14*Table1181920231030313235383940414[[#This Row],[النولون]]</f>
        <v>0</v>
      </c>
      <c r="K11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14" s="1">
        <f>M113+Table1181920231030313235383940414[[#This Row],[اجمالي الفاتوره]]-Table1181920231030313235383940414[[#This Row],[الدفعات]]</f>
        <v>17972</v>
      </c>
      <c r="O114" s="48"/>
    </row>
    <row r="115" spans="8:15" ht="26.25" customHeight="1" x14ac:dyDescent="0.3">
      <c r="H115" s="1">
        <f>0.14*Table1181920231030313235383940414[[#This Row],[النولون]]</f>
        <v>0</v>
      </c>
      <c r="K11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15" s="1">
        <f>M114+Table1181920231030313235383940414[[#This Row],[اجمالي الفاتوره]]-Table1181920231030313235383940414[[#This Row],[الدفعات]]</f>
        <v>17972</v>
      </c>
      <c r="O115" s="48"/>
    </row>
    <row r="116" spans="8:15" ht="26.25" customHeight="1" x14ac:dyDescent="0.3">
      <c r="H116" s="1">
        <f>0.14*Table1181920231030313235383940414[[#This Row],[النولون]]</f>
        <v>0</v>
      </c>
      <c r="K11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16" s="1">
        <f>M115+Table1181920231030313235383940414[[#This Row],[اجمالي الفاتوره]]-Table1181920231030313235383940414[[#This Row],[الدفعات]]</f>
        <v>17972</v>
      </c>
      <c r="O116" s="48"/>
    </row>
    <row r="117" spans="8:15" ht="26.25" customHeight="1" x14ac:dyDescent="0.3">
      <c r="H117" s="1">
        <f>0.14*Table1181920231030313235383940414[[#This Row],[النولون]]</f>
        <v>0</v>
      </c>
      <c r="K11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17" s="1">
        <f>M116+Table1181920231030313235383940414[[#This Row],[اجمالي الفاتوره]]-Table1181920231030313235383940414[[#This Row],[الدفعات]]</f>
        <v>17972</v>
      </c>
      <c r="O117" s="48"/>
    </row>
    <row r="118" spans="8:15" ht="26.25" customHeight="1" x14ac:dyDescent="0.3">
      <c r="H118" s="1">
        <f>0.14*Table1181920231030313235383940414[[#This Row],[النولون]]</f>
        <v>0</v>
      </c>
      <c r="K11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18" s="1">
        <f>M117+Table1181920231030313235383940414[[#This Row],[اجمالي الفاتوره]]-Table1181920231030313235383940414[[#This Row],[الدفعات]]</f>
        <v>17972</v>
      </c>
      <c r="O118" s="48"/>
    </row>
    <row r="119" spans="8:15" ht="26.25" customHeight="1" x14ac:dyDescent="0.3">
      <c r="H119" s="1">
        <f>0.14*Table1181920231030313235383940414[[#This Row],[النولون]]</f>
        <v>0</v>
      </c>
      <c r="K11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19" s="1">
        <f>M118+Table1181920231030313235383940414[[#This Row],[اجمالي الفاتوره]]-Table1181920231030313235383940414[[#This Row],[الدفعات]]</f>
        <v>17972</v>
      </c>
      <c r="O119" s="48"/>
    </row>
    <row r="120" spans="8:15" ht="26.25" customHeight="1" x14ac:dyDescent="0.3">
      <c r="H120" s="1">
        <f>0.14*Table1181920231030313235383940414[[#This Row],[النولون]]</f>
        <v>0</v>
      </c>
      <c r="K12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20" s="1">
        <f>M119+Table1181920231030313235383940414[[#This Row],[اجمالي الفاتوره]]-Table1181920231030313235383940414[[#This Row],[الدفعات]]</f>
        <v>17972</v>
      </c>
      <c r="O120" s="48"/>
    </row>
    <row r="121" spans="8:15" ht="26.25" customHeight="1" x14ac:dyDescent="0.3">
      <c r="H121" s="1">
        <f>0.14*Table1181920231030313235383940414[[#This Row],[النولون]]</f>
        <v>0</v>
      </c>
      <c r="K12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21" s="1">
        <f>M120+Table1181920231030313235383940414[[#This Row],[اجمالي الفاتوره]]-Table1181920231030313235383940414[[#This Row],[الدفعات]]</f>
        <v>17972</v>
      </c>
      <c r="O121" s="48"/>
    </row>
    <row r="122" spans="8:15" ht="26.25" customHeight="1" x14ac:dyDescent="0.3">
      <c r="H122" s="1">
        <f>0.14*Table1181920231030313235383940414[[#This Row],[النولون]]</f>
        <v>0</v>
      </c>
      <c r="K12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22" s="1">
        <f>M121+Table1181920231030313235383940414[[#This Row],[اجمالي الفاتوره]]-Table1181920231030313235383940414[[#This Row],[الدفعات]]</f>
        <v>17972</v>
      </c>
      <c r="O122" s="48"/>
    </row>
    <row r="123" spans="8:15" ht="26.25" customHeight="1" x14ac:dyDescent="0.3">
      <c r="H123" s="1">
        <f>0.14*Table1181920231030313235383940414[[#This Row],[النولون]]</f>
        <v>0</v>
      </c>
      <c r="K12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23" s="1">
        <f>M122+Table1181920231030313235383940414[[#This Row],[اجمالي الفاتوره]]-Table1181920231030313235383940414[[#This Row],[الدفعات]]</f>
        <v>17972</v>
      </c>
      <c r="O123" s="48"/>
    </row>
    <row r="124" spans="8:15" ht="26.25" customHeight="1" x14ac:dyDescent="0.3">
      <c r="H124" s="1">
        <f>0.14*Table1181920231030313235383940414[[#This Row],[النولون]]</f>
        <v>0</v>
      </c>
      <c r="K12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24" s="1">
        <f>M123+Table1181920231030313235383940414[[#This Row],[اجمالي الفاتوره]]-Table1181920231030313235383940414[[#This Row],[الدفعات]]</f>
        <v>17972</v>
      </c>
      <c r="O124" s="48"/>
    </row>
    <row r="125" spans="8:15" ht="26.25" customHeight="1" x14ac:dyDescent="0.3">
      <c r="H125" s="1">
        <f>0.14*Table1181920231030313235383940414[[#This Row],[النولون]]</f>
        <v>0</v>
      </c>
      <c r="K12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25" s="1">
        <f>M124+Table1181920231030313235383940414[[#This Row],[اجمالي الفاتوره]]-Table1181920231030313235383940414[[#This Row],[الدفعات]]</f>
        <v>17972</v>
      </c>
      <c r="O125" s="48"/>
    </row>
    <row r="126" spans="8:15" ht="26.25" customHeight="1" x14ac:dyDescent="0.3">
      <c r="H126" s="1">
        <f>0.14*Table1181920231030313235383940414[[#This Row],[النولون]]</f>
        <v>0</v>
      </c>
      <c r="K12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26" s="1">
        <f>M125+Table1181920231030313235383940414[[#This Row],[اجمالي الفاتوره]]-Table1181920231030313235383940414[[#This Row],[الدفعات]]</f>
        <v>17972</v>
      </c>
      <c r="O126" s="48"/>
    </row>
    <row r="127" spans="8:15" ht="26.25" customHeight="1" x14ac:dyDescent="0.3">
      <c r="H127" s="1">
        <f>0.14*Table1181920231030313235383940414[[#This Row],[النولون]]</f>
        <v>0</v>
      </c>
      <c r="K12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27" s="1">
        <f>M126+Table1181920231030313235383940414[[#This Row],[اجمالي الفاتوره]]-Table1181920231030313235383940414[[#This Row],[الدفعات]]</f>
        <v>17972</v>
      </c>
      <c r="O127" s="48"/>
    </row>
    <row r="128" spans="8:15" ht="26.25" customHeight="1" x14ac:dyDescent="0.3">
      <c r="H128" s="1">
        <f>0.14*Table1181920231030313235383940414[[#This Row],[النولون]]</f>
        <v>0</v>
      </c>
      <c r="K12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28" s="1">
        <f>M127+Table1181920231030313235383940414[[#This Row],[اجمالي الفاتوره]]-Table1181920231030313235383940414[[#This Row],[الدفعات]]</f>
        <v>17972</v>
      </c>
      <c r="O128" s="48"/>
    </row>
    <row r="129" spans="8:15" ht="26.25" customHeight="1" x14ac:dyDescent="0.3">
      <c r="H129" s="1">
        <f>0.14*Table1181920231030313235383940414[[#This Row],[النولون]]</f>
        <v>0</v>
      </c>
      <c r="K12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29" s="1">
        <f>M128+Table1181920231030313235383940414[[#This Row],[اجمالي الفاتوره]]-Table1181920231030313235383940414[[#This Row],[الدفعات]]</f>
        <v>17972</v>
      </c>
      <c r="O129" s="48"/>
    </row>
    <row r="130" spans="8:15" ht="26.25" customHeight="1" x14ac:dyDescent="0.3">
      <c r="H130" s="1">
        <f>0.14*Table1181920231030313235383940414[[#This Row],[النولون]]</f>
        <v>0</v>
      </c>
      <c r="K13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30" s="1">
        <f>M129+Table1181920231030313235383940414[[#This Row],[اجمالي الفاتوره]]-Table1181920231030313235383940414[[#This Row],[الدفعات]]</f>
        <v>17972</v>
      </c>
      <c r="O130" s="48"/>
    </row>
    <row r="131" spans="8:15" ht="26.25" customHeight="1" x14ac:dyDescent="0.3">
      <c r="H131" s="1">
        <f>0.14*Table1181920231030313235383940414[[#This Row],[النولون]]</f>
        <v>0</v>
      </c>
      <c r="K13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31" s="1">
        <f>M130+Table1181920231030313235383940414[[#This Row],[اجمالي الفاتوره]]-Table1181920231030313235383940414[[#This Row],[الدفعات]]</f>
        <v>17972</v>
      </c>
      <c r="O131" s="48"/>
    </row>
    <row r="132" spans="8:15" ht="26.25" customHeight="1" x14ac:dyDescent="0.3">
      <c r="H132" s="1">
        <f>0.14*Table1181920231030313235383940414[[#This Row],[النولون]]</f>
        <v>0</v>
      </c>
      <c r="K13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32" s="1">
        <f>M131+Table1181920231030313235383940414[[#This Row],[اجمالي الفاتوره]]-Table1181920231030313235383940414[[#This Row],[الدفعات]]</f>
        <v>17972</v>
      </c>
      <c r="O132" s="48"/>
    </row>
    <row r="133" spans="8:15" ht="26.25" customHeight="1" x14ac:dyDescent="0.3">
      <c r="H133" s="1">
        <f>0.14*Table1181920231030313235383940414[[#This Row],[النولون]]</f>
        <v>0</v>
      </c>
      <c r="K13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33" s="1">
        <f>M132+Table1181920231030313235383940414[[#This Row],[اجمالي الفاتوره]]-Table1181920231030313235383940414[[#This Row],[الدفعات]]</f>
        <v>17972</v>
      </c>
      <c r="O133" s="48"/>
    </row>
    <row r="134" spans="8:15" ht="26.25" customHeight="1" x14ac:dyDescent="0.3">
      <c r="H134" s="1">
        <f>0.14*Table1181920231030313235383940414[[#This Row],[النولون]]</f>
        <v>0</v>
      </c>
      <c r="K13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34" s="1">
        <f>M133+Table1181920231030313235383940414[[#This Row],[اجمالي الفاتوره]]-Table1181920231030313235383940414[[#This Row],[الدفعات]]</f>
        <v>17972</v>
      </c>
      <c r="O134" s="48"/>
    </row>
    <row r="135" spans="8:15" ht="26.25" customHeight="1" x14ac:dyDescent="0.3">
      <c r="H135" s="1">
        <f>0.14*Table1181920231030313235383940414[[#This Row],[النولون]]</f>
        <v>0</v>
      </c>
      <c r="K13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35" s="1">
        <f>M134+Table1181920231030313235383940414[[#This Row],[اجمالي الفاتوره]]-Table1181920231030313235383940414[[#This Row],[الدفعات]]</f>
        <v>17972</v>
      </c>
      <c r="O135" s="48"/>
    </row>
    <row r="136" spans="8:15" ht="26.25" customHeight="1" x14ac:dyDescent="0.3">
      <c r="H136" s="1">
        <f>0.14*Table1181920231030313235383940414[[#This Row],[النولون]]</f>
        <v>0</v>
      </c>
      <c r="K13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36" s="1">
        <f>M135+Table1181920231030313235383940414[[#This Row],[اجمالي الفاتوره]]-Table1181920231030313235383940414[[#This Row],[الدفعات]]</f>
        <v>17972</v>
      </c>
      <c r="O136" s="48"/>
    </row>
    <row r="137" spans="8:15" ht="26.25" customHeight="1" x14ac:dyDescent="0.3">
      <c r="H137" s="1">
        <f>0.14*Table1181920231030313235383940414[[#This Row],[النولون]]</f>
        <v>0</v>
      </c>
      <c r="K13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37" s="1">
        <f>M136+Table1181920231030313235383940414[[#This Row],[اجمالي الفاتوره]]-Table1181920231030313235383940414[[#This Row],[الدفعات]]</f>
        <v>17972</v>
      </c>
      <c r="O137" s="48"/>
    </row>
    <row r="138" spans="8:15" ht="26.25" customHeight="1" x14ac:dyDescent="0.3">
      <c r="H138" s="1">
        <f>0.14*Table1181920231030313235383940414[[#This Row],[النولون]]</f>
        <v>0</v>
      </c>
      <c r="K13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38" s="1">
        <f>M137+Table1181920231030313235383940414[[#This Row],[اجمالي الفاتوره]]-Table1181920231030313235383940414[[#This Row],[الدفعات]]</f>
        <v>17972</v>
      </c>
      <c r="O138" s="48"/>
    </row>
    <row r="139" spans="8:15" ht="26.25" customHeight="1" x14ac:dyDescent="0.3">
      <c r="H139" s="1">
        <f>0.14*Table1181920231030313235383940414[[#This Row],[النولون]]</f>
        <v>0</v>
      </c>
      <c r="K13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39" s="1">
        <f>M138+Table1181920231030313235383940414[[#This Row],[اجمالي الفاتوره]]-Table1181920231030313235383940414[[#This Row],[الدفعات]]</f>
        <v>17972</v>
      </c>
      <c r="O139" s="48"/>
    </row>
    <row r="140" spans="8:15" ht="26.25" customHeight="1" x14ac:dyDescent="0.3">
      <c r="H140" s="1">
        <f>0.14*Table1181920231030313235383940414[[#This Row],[النولون]]</f>
        <v>0</v>
      </c>
      <c r="K14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40" s="1">
        <f>M139+Table1181920231030313235383940414[[#This Row],[اجمالي الفاتوره]]-Table1181920231030313235383940414[[#This Row],[الدفعات]]</f>
        <v>17972</v>
      </c>
      <c r="O140" s="48"/>
    </row>
    <row r="141" spans="8:15" ht="26.25" customHeight="1" x14ac:dyDescent="0.3">
      <c r="H141" s="1">
        <f>0.14*Table1181920231030313235383940414[[#This Row],[النولون]]</f>
        <v>0</v>
      </c>
      <c r="K14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41" s="1">
        <f>M140+Table1181920231030313235383940414[[#This Row],[اجمالي الفاتوره]]-Table1181920231030313235383940414[[#This Row],[الدفعات]]</f>
        <v>17972</v>
      </c>
      <c r="O141" s="48"/>
    </row>
    <row r="142" spans="8:15" ht="26.25" customHeight="1" x14ac:dyDescent="0.3">
      <c r="H142" s="1">
        <f>0.14*Table1181920231030313235383940414[[#This Row],[النولون]]</f>
        <v>0</v>
      </c>
      <c r="K14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42" s="1">
        <f>M141+Table1181920231030313235383940414[[#This Row],[اجمالي الفاتوره]]-Table1181920231030313235383940414[[#This Row],[الدفعات]]</f>
        <v>17972</v>
      </c>
      <c r="O142" s="48"/>
    </row>
    <row r="143" spans="8:15" ht="26.25" customHeight="1" x14ac:dyDescent="0.3">
      <c r="H143" s="1">
        <f>0.14*Table1181920231030313235383940414[[#This Row],[النولون]]</f>
        <v>0</v>
      </c>
      <c r="K14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43" s="1">
        <f>M142+Table1181920231030313235383940414[[#This Row],[اجمالي الفاتوره]]-Table1181920231030313235383940414[[#This Row],[الدفعات]]</f>
        <v>17972</v>
      </c>
      <c r="O143" s="48"/>
    </row>
    <row r="144" spans="8:15" ht="26.25" customHeight="1" x14ac:dyDescent="0.3">
      <c r="H144" s="1">
        <f>0.14*Table1181920231030313235383940414[[#This Row],[النولون]]</f>
        <v>0</v>
      </c>
      <c r="K14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44" s="1">
        <f>M143+Table1181920231030313235383940414[[#This Row],[اجمالي الفاتوره]]-Table1181920231030313235383940414[[#This Row],[الدفعات]]</f>
        <v>17972</v>
      </c>
      <c r="O144" s="48"/>
    </row>
    <row r="145" spans="8:15" ht="26.25" customHeight="1" x14ac:dyDescent="0.3">
      <c r="H145" s="1">
        <f>0.14*Table1181920231030313235383940414[[#This Row],[النولون]]</f>
        <v>0</v>
      </c>
      <c r="K14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45" s="1">
        <f>M144+Table1181920231030313235383940414[[#This Row],[اجمالي الفاتوره]]-Table1181920231030313235383940414[[#This Row],[الدفعات]]</f>
        <v>17972</v>
      </c>
      <c r="O145" s="48"/>
    </row>
    <row r="146" spans="8:15" ht="26.25" customHeight="1" x14ac:dyDescent="0.3">
      <c r="H146" s="1">
        <f>0.14*Table1181920231030313235383940414[[#This Row],[النولون]]</f>
        <v>0</v>
      </c>
      <c r="K14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46" s="1">
        <f>M145+Table1181920231030313235383940414[[#This Row],[اجمالي الفاتوره]]-Table1181920231030313235383940414[[#This Row],[الدفعات]]</f>
        <v>17972</v>
      </c>
      <c r="O146" s="48"/>
    </row>
    <row r="147" spans="8:15" ht="26.25" customHeight="1" x14ac:dyDescent="0.3">
      <c r="H147" s="1">
        <f>0.14*Table1181920231030313235383940414[[#This Row],[النولون]]</f>
        <v>0</v>
      </c>
      <c r="K14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47" s="1">
        <f>M146+Table1181920231030313235383940414[[#This Row],[اجمالي الفاتوره]]-Table1181920231030313235383940414[[#This Row],[الدفعات]]</f>
        <v>17972</v>
      </c>
      <c r="O147" s="48"/>
    </row>
    <row r="148" spans="8:15" ht="26.25" customHeight="1" x14ac:dyDescent="0.3">
      <c r="H148" s="1">
        <f>0.14*Table1181920231030313235383940414[[#This Row],[النولون]]</f>
        <v>0</v>
      </c>
      <c r="K14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48" s="1">
        <f>M147+Table1181920231030313235383940414[[#This Row],[اجمالي الفاتوره]]-Table1181920231030313235383940414[[#This Row],[الدفعات]]</f>
        <v>17972</v>
      </c>
      <c r="O148" s="48"/>
    </row>
    <row r="149" spans="8:15" ht="26.25" customHeight="1" x14ac:dyDescent="0.3">
      <c r="H149" s="1">
        <f>0.14*Table1181920231030313235383940414[[#This Row],[النولون]]</f>
        <v>0</v>
      </c>
      <c r="K14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49" s="1">
        <f>M148+Table1181920231030313235383940414[[#This Row],[اجمالي الفاتوره]]-Table1181920231030313235383940414[[#This Row],[الدفعات]]</f>
        <v>17972</v>
      </c>
      <c r="O149" s="48"/>
    </row>
    <row r="150" spans="8:15" ht="26.25" customHeight="1" x14ac:dyDescent="0.3">
      <c r="H150" s="1">
        <f>0.14*Table1181920231030313235383940414[[#This Row],[النولون]]</f>
        <v>0</v>
      </c>
      <c r="K15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50" s="1">
        <f>M149+Table1181920231030313235383940414[[#This Row],[اجمالي الفاتوره]]-Table1181920231030313235383940414[[#This Row],[الدفعات]]</f>
        <v>17972</v>
      </c>
      <c r="O150" s="48"/>
    </row>
    <row r="151" spans="8:15" ht="26.25" customHeight="1" x14ac:dyDescent="0.3">
      <c r="H151" s="1">
        <f>0.14*Table1181920231030313235383940414[[#This Row],[النولون]]</f>
        <v>0</v>
      </c>
      <c r="K15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51" s="1">
        <f>M150+Table1181920231030313235383940414[[#This Row],[اجمالي الفاتوره]]-Table1181920231030313235383940414[[#This Row],[الدفعات]]</f>
        <v>17972</v>
      </c>
      <c r="O151" s="48"/>
    </row>
    <row r="152" spans="8:15" ht="26.25" customHeight="1" x14ac:dyDescent="0.3">
      <c r="H152" s="1">
        <f>0.14*Table1181920231030313235383940414[[#This Row],[النولون]]</f>
        <v>0</v>
      </c>
      <c r="K15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52" s="1">
        <f>M151+Table1181920231030313235383940414[[#This Row],[اجمالي الفاتوره]]-Table1181920231030313235383940414[[#This Row],[الدفعات]]</f>
        <v>17972</v>
      </c>
      <c r="O152" s="48"/>
    </row>
    <row r="153" spans="8:15" ht="26.25" customHeight="1" x14ac:dyDescent="0.3">
      <c r="H153" s="1">
        <f>0.14*Table1181920231030313235383940414[[#This Row],[النولون]]</f>
        <v>0</v>
      </c>
      <c r="K15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53" s="1">
        <f>M152+Table1181920231030313235383940414[[#This Row],[اجمالي الفاتوره]]-Table1181920231030313235383940414[[#This Row],[الدفعات]]</f>
        <v>17972</v>
      </c>
      <c r="O153" s="48"/>
    </row>
    <row r="154" spans="8:15" ht="26.25" customHeight="1" x14ac:dyDescent="0.3">
      <c r="H154" s="1">
        <f>0.14*Table1181920231030313235383940414[[#This Row],[النولون]]</f>
        <v>0</v>
      </c>
      <c r="K15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54" s="1">
        <f>M153+Table1181920231030313235383940414[[#This Row],[اجمالي الفاتوره]]-Table1181920231030313235383940414[[#This Row],[الدفعات]]</f>
        <v>17972</v>
      </c>
      <c r="O154" s="48"/>
    </row>
    <row r="155" spans="8:15" ht="26.25" customHeight="1" x14ac:dyDescent="0.3">
      <c r="H155" s="1">
        <f>0.14*Table1181920231030313235383940414[[#This Row],[النولون]]</f>
        <v>0</v>
      </c>
      <c r="K15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55" s="1">
        <f>M154+Table1181920231030313235383940414[[#This Row],[اجمالي الفاتوره]]-Table1181920231030313235383940414[[#This Row],[الدفعات]]</f>
        <v>17972</v>
      </c>
      <c r="O155" s="48"/>
    </row>
    <row r="156" spans="8:15" ht="26.25" customHeight="1" x14ac:dyDescent="0.3">
      <c r="H156" s="1">
        <f>0.14*Table1181920231030313235383940414[[#This Row],[النولون]]</f>
        <v>0</v>
      </c>
      <c r="K15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56" s="1">
        <f>M155+Table1181920231030313235383940414[[#This Row],[اجمالي الفاتوره]]-Table1181920231030313235383940414[[#This Row],[الدفعات]]</f>
        <v>17972</v>
      </c>
      <c r="O156" s="48"/>
    </row>
    <row r="157" spans="8:15" ht="26.25" customHeight="1" x14ac:dyDescent="0.3">
      <c r="H157" s="1">
        <f>0.14*Table1181920231030313235383940414[[#This Row],[النولون]]</f>
        <v>0</v>
      </c>
      <c r="K15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57" s="1">
        <f>M156+Table1181920231030313235383940414[[#This Row],[اجمالي الفاتوره]]-Table1181920231030313235383940414[[#This Row],[الدفعات]]</f>
        <v>17972</v>
      </c>
      <c r="O157" s="48"/>
    </row>
    <row r="158" spans="8:15" ht="26.25" customHeight="1" x14ac:dyDescent="0.3">
      <c r="H158" s="1">
        <f>0.14*Table1181920231030313235383940414[[#This Row],[النولون]]</f>
        <v>0</v>
      </c>
      <c r="K15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58" s="1">
        <f>M157+Table1181920231030313235383940414[[#This Row],[اجمالي الفاتوره]]-Table1181920231030313235383940414[[#This Row],[الدفعات]]</f>
        <v>17972</v>
      </c>
      <c r="O158" s="48"/>
    </row>
    <row r="159" spans="8:15" ht="26.25" customHeight="1" x14ac:dyDescent="0.3">
      <c r="H159" s="1">
        <f>0.14*Table1181920231030313235383940414[[#This Row],[النولون]]</f>
        <v>0</v>
      </c>
      <c r="K15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59" s="1">
        <f>M158+Table1181920231030313235383940414[[#This Row],[اجمالي الفاتوره]]-Table1181920231030313235383940414[[#This Row],[الدفعات]]</f>
        <v>17972</v>
      </c>
      <c r="O159" s="48"/>
    </row>
    <row r="160" spans="8:15" ht="26.25" customHeight="1" x14ac:dyDescent="0.3">
      <c r="H160" s="1">
        <f>0.14*Table1181920231030313235383940414[[#This Row],[النولون]]</f>
        <v>0</v>
      </c>
      <c r="K16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60" s="1">
        <f>M159+Table1181920231030313235383940414[[#This Row],[اجمالي الفاتوره]]-Table1181920231030313235383940414[[#This Row],[الدفعات]]</f>
        <v>17972</v>
      </c>
      <c r="O160" s="48"/>
    </row>
    <row r="161" spans="8:15" ht="26.25" customHeight="1" x14ac:dyDescent="0.3">
      <c r="H161" s="1">
        <f>0.14*Table1181920231030313235383940414[[#This Row],[النولون]]</f>
        <v>0</v>
      </c>
      <c r="K16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61" s="1">
        <f>M160+Table1181920231030313235383940414[[#This Row],[اجمالي الفاتوره]]-Table1181920231030313235383940414[[#This Row],[الدفعات]]</f>
        <v>17972</v>
      </c>
      <c r="O161" s="48"/>
    </row>
    <row r="162" spans="8:15" ht="26.25" customHeight="1" x14ac:dyDescent="0.3">
      <c r="H162" s="1">
        <f>0.14*Table1181920231030313235383940414[[#This Row],[النولون]]</f>
        <v>0</v>
      </c>
      <c r="K16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62" s="1">
        <f>M161+Table1181920231030313235383940414[[#This Row],[اجمالي الفاتوره]]-Table1181920231030313235383940414[[#This Row],[الدفعات]]</f>
        <v>17972</v>
      </c>
      <c r="O162" s="48"/>
    </row>
    <row r="163" spans="8:15" ht="26.25" customHeight="1" x14ac:dyDescent="0.3">
      <c r="H163" s="1">
        <f>0.14*Table1181920231030313235383940414[[#This Row],[النولون]]</f>
        <v>0</v>
      </c>
      <c r="K16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63" s="1">
        <f>M162+Table1181920231030313235383940414[[#This Row],[اجمالي الفاتوره]]-Table1181920231030313235383940414[[#This Row],[الدفعات]]</f>
        <v>17972</v>
      </c>
      <c r="O163" s="48"/>
    </row>
    <row r="164" spans="8:15" ht="26.25" customHeight="1" x14ac:dyDescent="0.3">
      <c r="H164" s="1">
        <f>0.14*Table1181920231030313235383940414[[#This Row],[النولون]]</f>
        <v>0</v>
      </c>
      <c r="K16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64" s="1">
        <f>M163+Table1181920231030313235383940414[[#This Row],[اجمالي الفاتوره]]-Table1181920231030313235383940414[[#This Row],[الدفعات]]</f>
        <v>17972</v>
      </c>
      <c r="O164" s="48"/>
    </row>
    <row r="165" spans="8:15" ht="26.25" customHeight="1" x14ac:dyDescent="0.3">
      <c r="H165" s="1">
        <f>0.14*Table1181920231030313235383940414[[#This Row],[النولون]]</f>
        <v>0</v>
      </c>
      <c r="K16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65" s="1">
        <f>M164+Table1181920231030313235383940414[[#This Row],[اجمالي الفاتوره]]-Table1181920231030313235383940414[[#This Row],[الدفعات]]</f>
        <v>17972</v>
      </c>
      <c r="O165" s="48"/>
    </row>
    <row r="166" spans="8:15" ht="26.25" customHeight="1" x14ac:dyDescent="0.3">
      <c r="H166" s="1">
        <f>0.14*Table1181920231030313235383940414[[#This Row],[النولون]]</f>
        <v>0</v>
      </c>
      <c r="K16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66" s="1">
        <f>M165+Table1181920231030313235383940414[[#This Row],[اجمالي الفاتوره]]-Table1181920231030313235383940414[[#This Row],[الدفعات]]</f>
        <v>17972</v>
      </c>
      <c r="O166" s="48"/>
    </row>
    <row r="167" spans="8:15" ht="26.25" customHeight="1" x14ac:dyDescent="0.3">
      <c r="H167" s="1">
        <f>0.14*Table1181920231030313235383940414[[#This Row],[النولون]]</f>
        <v>0</v>
      </c>
      <c r="K16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67" s="1">
        <f>M166+Table1181920231030313235383940414[[#This Row],[اجمالي الفاتوره]]-Table1181920231030313235383940414[[#This Row],[الدفعات]]</f>
        <v>17972</v>
      </c>
      <c r="O167" s="48"/>
    </row>
    <row r="168" spans="8:15" ht="26.25" customHeight="1" x14ac:dyDescent="0.3">
      <c r="H168" s="1">
        <f>0.14*Table1181920231030313235383940414[[#This Row],[النولون]]</f>
        <v>0</v>
      </c>
      <c r="K16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68" s="1">
        <f>M167+Table1181920231030313235383940414[[#This Row],[اجمالي الفاتوره]]-Table1181920231030313235383940414[[#This Row],[الدفعات]]</f>
        <v>17972</v>
      </c>
      <c r="O168" s="48"/>
    </row>
    <row r="169" spans="8:15" ht="26.25" customHeight="1" x14ac:dyDescent="0.3">
      <c r="H169" s="1">
        <f>0.14*Table1181920231030313235383940414[[#This Row],[النولون]]</f>
        <v>0</v>
      </c>
      <c r="K16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69" s="1">
        <f>M168+Table1181920231030313235383940414[[#This Row],[اجمالي الفاتوره]]-Table1181920231030313235383940414[[#This Row],[الدفعات]]</f>
        <v>17972</v>
      </c>
      <c r="O169" s="48"/>
    </row>
    <row r="170" spans="8:15" ht="26.25" customHeight="1" x14ac:dyDescent="0.3">
      <c r="H170" s="1">
        <f>0.14*Table1181920231030313235383940414[[#This Row],[النولون]]</f>
        <v>0</v>
      </c>
      <c r="K17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70" s="1">
        <f>M169+Table1181920231030313235383940414[[#This Row],[اجمالي الفاتوره]]-Table1181920231030313235383940414[[#This Row],[الدفعات]]</f>
        <v>17972</v>
      </c>
      <c r="O170" s="48"/>
    </row>
    <row r="171" spans="8:15" ht="26.25" customHeight="1" x14ac:dyDescent="0.3">
      <c r="H171" s="1">
        <f>0.14*Table1181920231030313235383940414[[#This Row],[النولون]]</f>
        <v>0</v>
      </c>
      <c r="K17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71" s="1">
        <f>M170+Table1181920231030313235383940414[[#This Row],[اجمالي الفاتوره]]-Table1181920231030313235383940414[[#This Row],[الدفعات]]</f>
        <v>17972</v>
      </c>
      <c r="O171" s="48"/>
    </row>
    <row r="172" spans="8:15" ht="26.25" customHeight="1" x14ac:dyDescent="0.3">
      <c r="H172" s="1">
        <f>0.14*Table1181920231030313235383940414[[#This Row],[النولون]]</f>
        <v>0</v>
      </c>
      <c r="K17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72" s="1">
        <f>M171+Table1181920231030313235383940414[[#This Row],[اجمالي الفاتوره]]-Table1181920231030313235383940414[[#This Row],[الدفعات]]</f>
        <v>17972</v>
      </c>
      <c r="O172" s="48"/>
    </row>
    <row r="173" spans="8:15" ht="26.25" customHeight="1" x14ac:dyDescent="0.3">
      <c r="H173" s="1">
        <f>0.14*Table1181920231030313235383940414[[#This Row],[النولون]]</f>
        <v>0</v>
      </c>
      <c r="K17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73" s="1">
        <f>M172+Table1181920231030313235383940414[[#This Row],[اجمالي الفاتوره]]-Table1181920231030313235383940414[[#This Row],[الدفعات]]</f>
        <v>17972</v>
      </c>
      <c r="O173" s="48"/>
    </row>
    <row r="174" spans="8:15" ht="26.25" customHeight="1" x14ac:dyDescent="0.3">
      <c r="H174" s="1">
        <f>0.14*Table1181920231030313235383940414[[#This Row],[النولون]]</f>
        <v>0</v>
      </c>
      <c r="K17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74" s="1">
        <f>M173+Table1181920231030313235383940414[[#This Row],[اجمالي الفاتوره]]-Table1181920231030313235383940414[[#This Row],[الدفعات]]</f>
        <v>17972</v>
      </c>
      <c r="O174" s="48"/>
    </row>
    <row r="175" spans="8:15" ht="26.25" customHeight="1" x14ac:dyDescent="0.3">
      <c r="H175" s="1">
        <f>0.14*Table1181920231030313235383940414[[#This Row],[النولون]]</f>
        <v>0</v>
      </c>
      <c r="K17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75" s="1">
        <f>M174+Table1181920231030313235383940414[[#This Row],[اجمالي الفاتوره]]-Table1181920231030313235383940414[[#This Row],[الدفعات]]</f>
        <v>17972</v>
      </c>
      <c r="O175" s="48"/>
    </row>
    <row r="176" spans="8:15" ht="26.25" customHeight="1" x14ac:dyDescent="0.3">
      <c r="H176" s="1">
        <f>0.14*Table1181920231030313235383940414[[#This Row],[النولون]]</f>
        <v>0</v>
      </c>
      <c r="K17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76" s="1">
        <f>M175+Table1181920231030313235383940414[[#This Row],[اجمالي الفاتوره]]-Table1181920231030313235383940414[[#This Row],[الدفعات]]</f>
        <v>17972</v>
      </c>
      <c r="O176" s="48"/>
    </row>
    <row r="177" spans="8:15" ht="26.25" customHeight="1" x14ac:dyDescent="0.3">
      <c r="H177" s="1">
        <f>0.14*Table1181920231030313235383940414[[#This Row],[النولون]]</f>
        <v>0</v>
      </c>
      <c r="K17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77" s="1">
        <f>M176+Table1181920231030313235383940414[[#This Row],[اجمالي الفاتوره]]-Table1181920231030313235383940414[[#This Row],[الدفعات]]</f>
        <v>17972</v>
      </c>
      <c r="O177" s="48"/>
    </row>
    <row r="178" spans="8:15" ht="26.25" customHeight="1" x14ac:dyDescent="0.3">
      <c r="H178" s="1">
        <f>0.14*Table1181920231030313235383940414[[#This Row],[النولون]]</f>
        <v>0</v>
      </c>
      <c r="K17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78" s="1">
        <f>M177+Table1181920231030313235383940414[[#This Row],[اجمالي الفاتوره]]-Table1181920231030313235383940414[[#This Row],[الدفعات]]</f>
        <v>17972</v>
      </c>
      <c r="O178" s="48"/>
    </row>
    <row r="179" spans="8:15" ht="26.25" customHeight="1" x14ac:dyDescent="0.3">
      <c r="H179" s="1">
        <f>0.14*Table1181920231030313235383940414[[#This Row],[النولون]]</f>
        <v>0</v>
      </c>
      <c r="K17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79" s="1">
        <f>M178+Table1181920231030313235383940414[[#This Row],[اجمالي الفاتوره]]-Table1181920231030313235383940414[[#This Row],[الدفعات]]</f>
        <v>17972</v>
      </c>
      <c r="O179" s="48"/>
    </row>
    <row r="180" spans="8:15" ht="26.25" customHeight="1" x14ac:dyDescent="0.3">
      <c r="H180" s="1">
        <f>0.14*Table1181920231030313235383940414[[#This Row],[النولون]]</f>
        <v>0</v>
      </c>
      <c r="K18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80" s="1">
        <f>M179+Table1181920231030313235383940414[[#This Row],[اجمالي الفاتوره]]-Table1181920231030313235383940414[[#This Row],[الدفعات]]</f>
        <v>17972</v>
      </c>
      <c r="O180" s="48"/>
    </row>
    <row r="181" spans="8:15" ht="26.25" customHeight="1" x14ac:dyDescent="0.3">
      <c r="H181" s="1">
        <f>0.14*Table1181920231030313235383940414[[#This Row],[النولون]]</f>
        <v>0</v>
      </c>
      <c r="K18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81" s="1">
        <f>M180+Table1181920231030313235383940414[[#This Row],[اجمالي الفاتوره]]-Table1181920231030313235383940414[[#This Row],[الدفعات]]</f>
        <v>17972</v>
      </c>
      <c r="O181" s="48"/>
    </row>
    <row r="182" spans="8:15" ht="26.25" customHeight="1" x14ac:dyDescent="0.3">
      <c r="H182" s="1">
        <f>0.14*Table1181920231030313235383940414[[#This Row],[النولون]]</f>
        <v>0</v>
      </c>
      <c r="K18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82" s="1">
        <f>M181+Table1181920231030313235383940414[[#This Row],[اجمالي الفاتوره]]-Table1181920231030313235383940414[[#This Row],[الدفعات]]</f>
        <v>17972</v>
      </c>
      <c r="O182" s="48"/>
    </row>
    <row r="183" spans="8:15" ht="26.25" customHeight="1" x14ac:dyDescent="0.3">
      <c r="H183" s="1">
        <f>0.14*Table1181920231030313235383940414[[#This Row],[النولون]]</f>
        <v>0</v>
      </c>
      <c r="K18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83" s="1">
        <f>M182+Table1181920231030313235383940414[[#This Row],[اجمالي الفاتوره]]-Table1181920231030313235383940414[[#This Row],[الدفعات]]</f>
        <v>17972</v>
      </c>
      <c r="O183" s="48"/>
    </row>
    <row r="184" spans="8:15" ht="26.25" customHeight="1" x14ac:dyDescent="0.3">
      <c r="H184" s="1">
        <f>0.14*Table1181920231030313235383940414[[#This Row],[النولون]]</f>
        <v>0</v>
      </c>
      <c r="K18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84" s="1">
        <f>M183+Table1181920231030313235383940414[[#This Row],[اجمالي الفاتوره]]-Table1181920231030313235383940414[[#This Row],[الدفعات]]</f>
        <v>17972</v>
      </c>
      <c r="O184" s="48"/>
    </row>
    <row r="185" spans="8:15" ht="26.25" customHeight="1" x14ac:dyDescent="0.3">
      <c r="H185" s="1">
        <f>0.14*Table1181920231030313235383940414[[#This Row],[النولون]]</f>
        <v>0</v>
      </c>
      <c r="K18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85" s="1">
        <f>M184+Table1181920231030313235383940414[[#This Row],[اجمالي الفاتوره]]-Table1181920231030313235383940414[[#This Row],[الدفعات]]</f>
        <v>17972</v>
      </c>
      <c r="O185" s="48"/>
    </row>
    <row r="186" spans="8:15" ht="26.25" customHeight="1" x14ac:dyDescent="0.3">
      <c r="H186" s="1">
        <f>0.14*Table1181920231030313235383940414[[#This Row],[النولون]]</f>
        <v>0</v>
      </c>
      <c r="K18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86" s="1">
        <f>M185+Table1181920231030313235383940414[[#This Row],[اجمالي الفاتوره]]-Table1181920231030313235383940414[[#This Row],[الدفعات]]</f>
        <v>17972</v>
      </c>
      <c r="O186" s="48"/>
    </row>
    <row r="187" spans="8:15" ht="26.25" customHeight="1" x14ac:dyDescent="0.3">
      <c r="H187" s="1">
        <f>0.14*Table1181920231030313235383940414[[#This Row],[النولون]]</f>
        <v>0</v>
      </c>
      <c r="K18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87" s="1">
        <f>M186+Table1181920231030313235383940414[[#This Row],[اجمالي الفاتوره]]-Table1181920231030313235383940414[[#This Row],[الدفعات]]</f>
        <v>17972</v>
      </c>
      <c r="O187" s="48"/>
    </row>
    <row r="188" spans="8:15" ht="26.25" customHeight="1" x14ac:dyDescent="0.3">
      <c r="H188" s="1">
        <f>0.14*Table1181920231030313235383940414[[#This Row],[النولون]]</f>
        <v>0</v>
      </c>
      <c r="K18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88" s="1">
        <f>M187+Table1181920231030313235383940414[[#This Row],[اجمالي الفاتوره]]-Table1181920231030313235383940414[[#This Row],[الدفعات]]</f>
        <v>17972</v>
      </c>
      <c r="O188" s="48"/>
    </row>
    <row r="189" spans="8:15" ht="26.25" customHeight="1" x14ac:dyDescent="0.3">
      <c r="H189" s="1">
        <f>0.14*Table1181920231030313235383940414[[#This Row],[النولون]]</f>
        <v>0</v>
      </c>
      <c r="K18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89" s="1">
        <f>M188+Table1181920231030313235383940414[[#This Row],[اجمالي الفاتوره]]-Table1181920231030313235383940414[[#This Row],[الدفعات]]</f>
        <v>17972</v>
      </c>
      <c r="O189" s="48"/>
    </row>
    <row r="190" spans="8:15" ht="26.25" customHeight="1" x14ac:dyDescent="0.3">
      <c r="H190" s="1">
        <f>0.14*Table1181920231030313235383940414[[#This Row],[النولون]]</f>
        <v>0</v>
      </c>
      <c r="K19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90" s="1">
        <f>M189+Table1181920231030313235383940414[[#This Row],[اجمالي الفاتوره]]-Table1181920231030313235383940414[[#This Row],[الدفعات]]</f>
        <v>17972</v>
      </c>
      <c r="O190" s="48"/>
    </row>
    <row r="191" spans="8:15" ht="26.25" customHeight="1" x14ac:dyDescent="0.3">
      <c r="H191" s="1">
        <f>0.14*Table1181920231030313235383940414[[#This Row],[النولون]]</f>
        <v>0</v>
      </c>
      <c r="K19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91" s="1">
        <f>M190+Table1181920231030313235383940414[[#This Row],[اجمالي الفاتوره]]-Table1181920231030313235383940414[[#This Row],[الدفعات]]</f>
        <v>17972</v>
      </c>
      <c r="O191" s="48"/>
    </row>
    <row r="192" spans="8:15" ht="26.25" customHeight="1" x14ac:dyDescent="0.3">
      <c r="H192" s="1">
        <f>0.14*Table1181920231030313235383940414[[#This Row],[النولون]]</f>
        <v>0</v>
      </c>
      <c r="K19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92" s="1">
        <f>M191+Table1181920231030313235383940414[[#This Row],[اجمالي الفاتوره]]-Table1181920231030313235383940414[[#This Row],[الدفعات]]</f>
        <v>17972</v>
      </c>
      <c r="O192" s="48"/>
    </row>
    <row r="193" spans="8:15" ht="26.25" customHeight="1" x14ac:dyDescent="0.3">
      <c r="H193" s="1">
        <f>0.14*Table1181920231030313235383940414[[#This Row],[النولون]]</f>
        <v>0</v>
      </c>
      <c r="K19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93" s="1">
        <f>M192+Table1181920231030313235383940414[[#This Row],[اجمالي الفاتوره]]-Table1181920231030313235383940414[[#This Row],[الدفعات]]</f>
        <v>17972</v>
      </c>
      <c r="O193" s="48"/>
    </row>
    <row r="194" spans="8:15" ht="26.25" customHeight="1" x14ac:dyDescent="0.3">
      <c r="H194" s="1">
        <f>0.14*Table1181920231030313235383940414[[#This Row],[النولون]]</f>
        <v>0</v>
      </c>
      <c r="K19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94" s="1">
        <f>M193+Table1181920231030313235383940414[[#This Row],[اجمالي الفاتوره]]-Table1181920231030313235383940414[[#This Row],[الدفعات]]</f>
        <v>17972</v>
      </c>
      <c r="O194" s="48"/>
    </row>
    <row r="195" spans="8:15" ht="26.25" customHeight="1" x14ac:dyDescent="0.3">
      <c r="H195" s="1">
        <f>0.14*Table1181920231030313235383940414[[#This Row],[النولون]]</f>
        <v>0</v>
      </c>
      <c r="K19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95" s="1">
        <f>M194+Table1181920231030313235383940414[[#This Row],[اجمالي الفاتوره]]-Table1181920231030313235383940414[[#This Row],[الدفعات]]</f>
        <v>17972</v>
      </c>
      <c r="O195" s="48"/>
    </row>
    <row r="196" spans="8:15" ht="26.25" customHeight="1" x14ac:dyDescent="0.3">
      <c r="H196" s="1">
        <f>0.14*Table1181920231030313235383940414[[#This Row],[النولون]]</f>
        <v>0</v>
      </c>
      <c r="K19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96" s="1">
        <f>M195+Table1181920231030313235383940414[[#This Row],[اجمالي الفاتوره]]-Table1181920231030313235383940414[[#This Row],[الدفعات]]</f>
        <v>17972</v>
      </c>
      <c r="O196" s="48"/>
    </row>
    <row r="197" spans="8:15" ht="26.25" customHeight="1" x14ac:dyDescent="0.3">
      <c r="H197" s="1">
        <f>0.14*Table1181920231030313235383940414[[#This Row],[النولون]]</f>
        <v>0</v>
      </c>
      <c r="K19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97" s="1">
        <f>M196+Table1181920231030313235383940414[[#This Row],[اجمالي الفاتوره]]-Table1181920231030313235383940414[[#This Row],[الدفعات]]</f>
        <v>17972</v>
      </c>
      <c r="O197" s="48"/>
    </row>
    <row r="198" spans="8:15" ht="26.25" customHeight="1" x14ac:dyDescent="0.3">
      <c r="H198" s="1">
        <f>0.14*Table1181920231030313235383940414[[#This Row],[النولون]]</f>
        <v>0</v>
      </c>
      <c r="K19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98" s="1">
        <f>M197+Table1181920231030313235383940414[[#This Row],[اجمالي الفاتوره]]-Table1181920231030313235383940414[[#This Row],[الدفعات]]</f>
        <v>17972</v>
      </c>
      <c r="O198" s="48"/>
    </row>
    <row r="199" spans="8:15" ht="26.25" customHeight="1" x14ac:dyDescent="0.3">
      <c r="H199" s="1">
        <f>0.14*Table1181920231030313235383940414[[#This Row],[النولون]]</f>
        <v>0</v>
      </c>
      <c r="K19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199" s="1">
        <f>M198+Table1181920231030313235383940414[[#This Row],[اجمالي الفاتوره]]-Table1181920231030313235383940414[[#This Row],[الدفعات]]</f>
        <v>17972</v>
      </c>
      <c r="O199" s="48"/>
    </row>
    <row r="200" spans="8:15" ht="26.25" customHeight="1" x14ac:dyDescent="0.3">
      <c r="H200" s="1">
        <f>0.14*Table1181920231030313235383940414[[#This Row],[النولون]]</f>
        <v>0</v>
      </c>
      <c r="K20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00" s="1">
        <f>M199+Table1181920231030313235383940414[[#This Row],[اجمالي الفاتوره]]-Table1181920231030313235383940414[[#This Row],[الدفعات]]</f>
        <v>17972</v>
      </c>
      <c r="O200" s="48"/>
    </row>
    <row r="201" spans="8:15" ht="26.25" customHeight="1" x14ac:dyDescent="0.3">
      <c r="H201" s="1">
        <f>0.14*Table1181920231030313235383940414[[#This Row],[النولون]]</f>
        <v>0</v>
      </c>
      <c r="K20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01" s="1">
        <f>M200+Table1181920231030313235383940414[[#This Row],[اجمالي الفاتوره]]-Table1181920231030313235383940414[[#This Row],[الدفعات]]</f>
        <v>17972</v>
      </c>
      <c r="O201" s="48"/>
    </row>
    <row r="202" spans="8:15" ht="26.25" customHeight="1" x14ac:dyDescent="0.3">
      <c r="H202" s="1">
        <f>0.14*Table1181920231030313235383940414[[#This Row],[النولون]]</f>
        <v>0</v>
      </c>
      <c r="K20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02" s="1">
        <f>M201+Table1181920231030313235383940414[[#This Row],[اجمالي الفاتوره]]-Table1181920231030313235383940414[[#This Row],[الدفعات]]</f>
        <v>17972</v>
      </c>
      <c r="O202" s="48"/>
    </row>
    <row r="203" spans="8:15" ht="26.25" customHeight="1" x14ac:dyDescent="0.3">
      <c r="H203" s="1">
        <f>0.14*Table1181920231030313235383940414[[#This Row],[النولون]]</f>
        <v>0</v>
      </c>
      <c r="K20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03" s="1">
        <f>M202+Table1181920231030313235383940414[[#This Row],[اجمالي الفاتوره]]-Table1181920231030313235383940414[[#This Row],[الدفعات]]</f>
        <v>17972</v>
      </c>
      <c r="O203" s="48"/>
    </row>
    <row r="204" spans="8:15" ht="26.25" customHeight="1" x14ac:dyDescent="0.3">
      <c r="H204" s="1">
        <f>0.14*Table1181920231030313235383940414[[#This Row],[النولون]]</f>
        <v>0</v>
      </c>
      <c r="K20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04" s="1">
        <f>M203+Table1181920231030313235383940414[[#This Row],[اجمالي الفاتوره]]-Table1181920231030313235383940414[[#This Row],[الدفعات]]</f>
        <v>17972</v>
      </c>
      <c r="O204" s="48"/>
    </row>
    <row r="205" spans="8:15" ht="26.25" customHeight="1" x14ac:dyDescent="0.3">
      <c r="H205" s="1">
        <f>0.14*Table1181920231030313235383940414[[#This Row],[النولون]]</f>
        <v>0</v>
      </c>
      <c r="K20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05" s="1">
        <f>M204+Table1181920231030313235383940414[[#This Row],[اجمالي الفاتوره]]-Table1181920231030313235383940414[[#This Row],[الدفعات]]</f>
        <v>17972</v>
      </c>
      <c r="O205" s="48"/>
    </row>
    <row r="206" spans="8:15" ht="26.25" customHeight="1" x14ac:dyDescent="0.3">
      <c r="H206" s="1">
        <f>0.14*Table1181920231030313235383940414[[#This Row],[النولون]]</f>
        <v>0</v>
      </c>
      <c r="K20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06" s="1">
        <f>M205+Table1181920231030313235383940414[[#This Row],[اجمالي الفاتوره]]-Table1181920231030313235383940414[[#This Row],[الدفعات]]</f>
        <v>17972</v>
      </c>
      <c r="O206" s="48"/>
    </row>
    <row r="207" spans="8:15" ht="26.25" customHeight="1" x14ac:dyDescent="0.3">
      <c r="H207" s="1">
        <f>0.14*Table1181920231030313235383940414[[#This Row],[النولون]]</f>
        <v>0</v>
      </c>
      <c r="K20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07" s="1">
        <f>M206+Table1181920231030313235383940414[[#This Row],[اجمالي الفاتوره]]-Table1181920231030313235383940414[[#This Row],[الدفعات]]</f>
        <v>17972</v>
      </c>
      <c r="O207" s="48"/>
    </row>
    <row r="208" spans="8:15" ht="26.25" customHeight="1" x14ac:dyDescent="0.3">
      <c r="H208" s="1">
        <f>0.14*Table1181920231030313235383940414[[#This Row],[النولون]]</f>
        <v>0</v>
      </c>
      <c r="K20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08" s="1">
        <f>M207+Table1181920231030313235383940414[[#This Row],[اجمالي الفاتوره]]-Table1181920231030313235383940414[[#This Row],[الدفعات]]</f>
        <v>17972</v>
      </c>
      <c r="O208" s="48"/>
    </row>
    <row r="209" spans="8:15" ht="26.25" customHeight="1" x14ac:dyDescent="0.3">
      <c r="H209" s="1">
        <f>0.14*Table1181920231030313235383940414[[#This Row],[النولون]]</f>
        <v>0</v>
      </c>
      <c r="K20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09" s="1">
        <f>M208+Table1181920231030313235383940414[[#This Row],[اجمالي الفاتوره]]-Table1181920231030313235383940414[[#This Row],[الدفعات]]</f>
        <v>17972</v>
      </c>
      <c r="O209" s="48"/>
    </row>
    <row r="210" spans="8:15" ht="26.25" customHeight="1" x14ac:dyDescent="0.3">
      <c r="H210" s="1">
        <f>0.14*Table1181920231030313235383940414[[#This Row],[النولون]]</f>
        <v>0</v>
      </c>
      <c r="K21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10" s="1">
        <f>M209+Table1181920231030313235383940414[[#This Row],[اجمالي الفاتوره]]-Table1181920231030313235383940414[[#This Row],[الدفعات]]</f>
        <v>17972</v>
      </c>
      <c r="O210" s="48"/>
    </row>
    <row r="211" spans="8:15" ht="26.25" customHeight="1" x14ac:dyDescent="0.3">
      <c r="H211" s="1">
        <f>0.14*Table1181920231030313235383940414[[#This Row],[النولون]]</f>
        <v>0</v>
      </c>
      <c r="K21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11" s="1">
        <f>M210+Table1181920231030313235383940414[[#This Row],[اجمالي الفاتوره]]-Table1181920231030313235383940414[[#This Row],[الدفعات]]</f>
        <v>17972</v>
      </c>
      <c r="O211" s="48"/>
    </row>
    <row r="212" spans="8:15" ht="26.25" customHeight="1" x14ac:dyDescent="0.3">
      <c r="H212" s="1">
        <f>0.14*Table1181920231030313235383940414[[#This Row],[النولون]]</f>
        <v>0</v>
      </c>
      <c r="K21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12" s="1">
        <f>M211+Table1181920231030313235383940414[[#This Row],[اجمالي الفاتوره]]-Table1181920231030313235383940414[[#This Row],[الدفعات]]</f>
        <v>17972</v>
      </c>
      <c r="O212" s="48"/>
    </row>
    <row r="213" spans="8:15" ht="26.25" customHeight="1" x14ac:dyDescent="0.3">
      <c r="H213" s="1">
        <f>0.14*Table1181920231030313235383940414[[#This Row],[النولون]]</f>
        <v>0</v>
      </c>
      <c r="K21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13" s="1">
        <f>M212+Table1181920231030313235383940414[[#This Row],[اجمالي الفاتوره]]-Table1181920231030313235383940414[[#This Row],[الدفعات]]</f>
        <v>17972</v>
      </c>
      <c r="O213" s="48"/>
    </row>
    <row r="214" spans="8:15" ht="26.25" customHeight="1" x14ac:dyDescent="0.3">
      <c r="H214" s="1">
        <f>0.14*Table1181920231030313235383940414[[#This Row],[النولون]]</f>
        <v>0</v>
      </c>
      <c r="K21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14" s="1">
        <f>M213+Table1181920231030313235383940414[[#This Row],[اجمالي الفاتوره]]-Table1181920231030313235383940414[[#This Row],[الدفعات]]</f>
        <v>17972</v>
      </c>
      <c r="O214" s="48"/>
    </row>
    <row r="215" spans="8:15" ht="26.25" customHeight="1" x14ac:dyDescent="0.3">
      <c r="H215" s="1">
        <f>0.14*Table1181920231030313235383940414[[#This Row],[النولون]]</f>
        <v>0</v>
      </c>
      <c r="K21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15" s="1">
        <f>M214+Table1181920231030313235383940414[[#This Row],[اجمالي الفاتوره]]-Table1181920231030313235383940414[[#This Row],[الدفعات]]</f>
        <v>17972</v>
      </c>
      <c r="O215" s="48"/>
    </row>
    <row r="216" spans="8:15" ht="26.25" customHeight="1" x14ac:dyDescent="0.3">
      <c r="H216" s="1">
        <f>0.14*Table1181920231030313235383940414[[#This Row],[النولون]]</f>
        <v>0</v>
      </c>
      <c r="K21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16" s="1">
        <f>M215+Table1181920231030313235383940414[[#This Row],[اجمالي الفاتوره]]-Table1181920231030313235383940414[[#This Row],[الدفعات]]</f>
        <v>17972</v>
      </c>
      <c r="O216" s="48"/>
    </row>
    <row r="217" spans="8:15" ht="26.25" customHeight="1" x14ac:dyDescent="0.3">
      <c r="H217" s="1">
        <f>0.14*Table1181920231030313235383940414[[#This Row],[النولون]]</f>
        <v>0</v>
      </c>
      <c r="K21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17" s="1">
        <f>M216+Table1181920231030313235383940414[[#This Row],[اجمالي الفاتوره]]-Table1181920231030313235383940414[[#This Row],[الدفعات]]</f>
        <v>17972</v>
      </c>
      <c r="O217" s="48"/>
    </row>
    <row r="218" spans="8:15" ht="26.25" customHeight="1" x14ac:dyDescent="0.3">
      <c r="H218" s="1">
        <f>0.14*Table1181920231030313235383940414[[#This Row],[النولون]]</f>
        <v>0</v>
      </c>
      <c r="K21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18" s="1">
        <f>M217+Table1181920231030313235383940414[[#This Row],[اجمالي الفاتوره]]-Table1181920231030313235383940414[[#This Row],[الدفعات]]</f>
        <v>17972</v>
      </c>
      <c r="O218" s="48"/>
    </row>
    <row r="219" spans="8:15" ht="26.25" customHeight="1" x14ac:dyDescent="0.3">
      <c r="H219" s="1">
        <f>0.14*Table1181920231030313235383940414[[#This Row],[النولون]]</f>
        <v>0</v>
      </c>
      <c r="K21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19" s="1">
        <f>M218+Table1181920231030313235383940414[[#This Row],[اجمالي الفاتوره]]-Table1181920231030313235383940414[[#This Row],[الدفعات]]</f>
        <v>17972</v>
      </c>
      <c r="O219" s="48"/>
    </row>
    <row r="220" spans="8:15" ht="26.25" customHeight="1" x14ac:dyDescent="0.3">
      <c r="H220" s="1">
        <f>0.14*Table1181920231030313235383940414[[#This Row],[النولون]]</f>
        <v>0</v>
      </c>
      <c r="K22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20" s="1">
        <f>M219+Table1181920231030313235383940414[[#This Row],[اجمالي الفاتوره]]-Table1181920231030313235383940414[[#This Row],[الدفعات]]</f>
        <v>17972</v>
      </c>
      <c r="O220" s="48"/>
    </row>
    <row r="221" spans="8:15" ht="26.25" customHeight="1" x14ac:dyDescent="0.3">
      <c r="H221" s="1">
        <f>0.14*Table1181920231030313235383940414[[#This Row],[النولون]]</f>
        <v>0</v>
      </c>
      <c r="K22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21" s="1">
        <f>M220+Table1181920231030313235383940414[[#This Row],[اجمالي الفاتوره]]-Table1181920231030313235383940414[[#This Row],[الدفعات]]</f>
        <v>17972</v>
      </c>
      <c r="O221" s="48"/>
    </row>
    <row r="222" spans="8:15" ht="26.25" customHeight="1" x14ac:dyDescent="0.3">
      <c r="H222" s="1">
        <f>0.14*Table1181920231030313235383940414[[#This Row],[النولون]]</f>
        <v>0</v>
      </c>
      <c r="K22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22" s="1">
        <f>M221+Table1181920231030313235383940414[[#This Row],[اجمالي الفاتوره]]-Table1181920231030313235383940414[[#This Row],[الدفعات]]</f>
        <v>17972</v>
      </c>
      <c r="O222" s="48"/>
    </row>
    <row r="223" spans="8:15" ht="26.25" customHeight="1" x14ac:dyDescent="0.3">
      <c r="H223" s="1">
        <f>0.14*Table1181920231030313235383940414[[#This Row],[النولون]]</f>
        <v>0</v>
      </c>
      <c r="K22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23" s="1">
        <f>M222+Table1181920231030313235383940414[[#This Row],[اجمالي الفاتوره]]-Table1181920231030313235383940414[[#This Row],[الدفعات]]</f>
        <v>17972</v>
      </c>
      <c r="O223" s="48"/>
    </row>
    <row r="224" spans="8:15" ht="26.25" customHeight="1" x14ac:dyDescent="0.3">
      <c r="H224" s="1">
        <f>0.14*Table1181920231030313235383940414[[#This Row],[النولون]]</f>
        <v>0</v>
      </c>
      <c r="K22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24" s="1">
        <f>M223+Table1181920231030313235383940414[[#This Row],[اجمالي الفاتوره]]-Table1181920231030313235383940414[[#This Row],[الدفعات]]</f>
        <v>17972</v>
      </c>
      <c r="O224" s="48"/>
    </row>
    <row r="225" spans="8:15" ht="26.25" customHeight="1" x14ac:dyDescent="0.3">
      <c r="H225" s="1">
        <f>0.14*Table1181920231030313235383940414[[#This Row],[النولون]]</f>
        <v>0</v>
      </c>
      <c r="K22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25" s="1">
        <f>M224+Table1181920231030313235383940414[[#This Row],[اجمالي الفاتوره]]-Table1181920231030313235383940414[[#This Row],[الدفعات]]</f>
        <v>17972</v>
      </c>
      <c r="O225" s="48"/>
    </row>
    <row r="226" spans="8:15" ht="26.25" customHeight="1" x14ac:dyDescent="0.3">
      <c r="H226" s="1">
        <f>0.14*Table1181920231030313235383940414[[#This Row],[النولون]]</f>
        <v>0</v>
      </c>
      <c r="K22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26" s="1">
        <f>M225+Table1181920231030313235383940414[[#This Row],[اجمالي الفاتوره]]-Table1181920231030313235383940414[[#This Row],[الدفعات]]</f>
        <v>17972</v>
      </c>
      <c r="O226" s="48"/>
    </row>
    <row r="227" spans="8:15" ht="26.25" customHeight="1" x14ac:dyDescent="0.3">
      <c r="H227" s="1">
        <f>0.14*Table1181920231030313235383940414[[#This Row],[النولون]]</f>
        <v>0</v>
      </c>
      <c r="K22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27" s="1">
        <f>M226+Table1181920231030313235383940414[[#This Row],[اجمالي الفاتوره]]-Table1181920231030313235383940414[[#This Row],[الدفعات]]</f>
        <v>17972</v>
      </c>
      <c r="O227" s="48"/>
    </row>
    <row r="228" spans="8:15" ht="26.25" customHeight="1" x14ac:dyDescent="0.3">
      <c r="H228" s="1">
        <f>0.14*Table1181920231030313235383940414[[#This Row],[النولون]]</f>
        <v>0</v>
      </c>
      <c r="K22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28" s="1">
        <f>M227+Table1181920231030313235383940414[[#This Row],[اجمالي الفاتوره]]-Table1181920231030313235383940414[[#This Row],[الدفعات]]</f>
        <v>17972</v>
      </c>
      <c r="O228" s="48"/>
    </row>
    <row r="229" spans="8:15" ht="26.25" customHeight="1" x14ac:dyDescent="0.3">
      <c r="H229" s="1">
        <f>0.14*Table1181920231030313235383940414[[#This Row],[النولون]]</f>
        <v>0</v>
      </c>
      <c r="K22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29" s="1">
        <f>M228+Table1181920231030313235383940414[[#This Row],[اجمالي الفاتوره]]-Table1181920231030313235383940414[[#This Row],[الدفعات]]</f>
        <v>17972</v>
      </c>
      <c r="O229" s="48"/>
    </row>
    <row r="230" spans="8:15" ht="26.25" customHeight="1" x14ac:dyDescent="0.3">
      <c r="H230" s="1">
        <f>0.14*Table1181920231030313235383940414[[#This Row],[النولون]]</f>
        <v>0</v>
      </c>
      <c r="K23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30" s="1">
        <f>M229+Table1181920231030313235383940414[[#This Row],[اجمالي الفاتوره]]-Table1181920231030313235383940414[[#This Row],[الدفعات]]</f>
        <v>17972</v>
      </c>
      <c r="O230" s="48"/>
    </row>
    <row r="231" spans="8:15" ht="26.25" customHeight="1" x14ac:dyDescent="0.3">
      <c r="H231" s="1">
        <f>0.14*Table1181920231030313235383940414[[#This Row],[النولون]]</f>
        <v>0</v>
      </c>
      <c r="K23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31" s="1">
        <f>M230+Table1181920231030313235383940414[[#This Row],[اجمالي الفاتوره]]-Table1181920231030313235383940414[[#This Row],[الدفعات]]</f>
        <v>17972</v>
      </c>
      <c r="O231" s="48"/>
    </row>
    <row r="232" spans="8:15" ht="26.25" customHeight="1" x14ac:dyDescent="0.3">
      <c r="H232" s="1">
        <f>0.14*Table1181920231030313235383940414[[#This Row],[النولون]]</f>
        <v>0</v>
      </c>
      <c r="K23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32" s="1">
        <f>M231+Table1181920231030313235383940414[[#This Row],[اجمالي الفاتوره]]-Table1181920231030313235383940414[[#This Row],[الدفعات]]</f>
        <v>17972</v>
      </c>
      <c r="O232" s="48"/>
    </row>
    <row r="233" spans="8:15" ht="26.25" customHeight="1" x14ac:dyDescent="0.3">
      <c r="H233" s="1">
        <f>0.14*Table1181920231030313235383940414[[#This Row],[النولون]]</f>
        <v>0</v>
      </c>
      <c r="K23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33" s="1">
        <f>M232+Table1181920231030313235383940414[[#This Row],[اجمالي الفاتوره]]-Table1181920231030313235383940414[[#This Row],[الدفعات]]</f>
        <v>17972</v>
      </c>
      <c r="O233" s="48"/>
    </row>
    <row r="234" spans="8:15" ht="26.25" customHeight="1" x14ac:dyDescent="0.3">
      <c r="H234" s="1">
        <f>0.14*Table1181920231030313235383940414[[#This Row],[النولون]]</f>
        <v>0</v>
      </c>
      <c r="K23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34" s="1">
        <f>M233+Table1181920231030313235383940414[[#This Row],[اجمالي الفاتوره]]-Table1181920231030313235383940414[[#This Row],[الدفعات]]</f>
        <v>17972</v>
      </c>
      <c r="O234" s="48"/>
    </row>
    <row r="235" spans="8:15" ht="26.25" customHeight="1" x14ac:dyDescent="0.3">
      <c r="H235" s="1">
        <f>0.14*Table1181920231030313235383940414[[#This Row],[النولون]]</f>
        <v>0</v>
      </c>
      <c r="K23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35" s="1">
        <f>M234+Table1181920231030313235383940414[[#This Row],[اجمالي الفاتوره]]-Table1181920231030313235383940414[[#This Row],[الدفعات]]</f>
        <v>17972</v>
      </c>
      <c r="O235" s="48"/>
    </row>
    <row r="236" spans="8:15" ht="26.25" customHeight="1" x14ac:dyDescent="0.3">
      <c r="H236" s="1">
        <f>0.14*Table1181920231030313235383940414[[#This Row],[النولون]]</f>
        <v>0</v>
      </c>
      <c r="K23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36" s="1">
        <f>M235+Table1181920231030313235383940414[[#This Row],[اجمالي الفاتوره]]-Table1181920231030313235383940414[[#This Row],[الدفعات]]</f>
        <v>17972</v>
      </c>
      <c r="O236" s="48"/>
    </row>
    <row r="237" spans="8:15" ht="26.25" customHeight="1" x14ac:dyDescent="0.3">
      <c r="H237" s="1">
        <f>0.14*Table1181920231030313235383940414[[#This Row],[النولون]]</f>
        <v>0</v>
      </c>
      <c r="K23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37" s="1">
        <f>M236+Table1181920231030313235383940414[[#This Row],[اجمالي الفاتوره]]-Table1181920231030313235383940414[[#This Row],[الدفعات]]</f>
        <v>17972</v>
      </c>
      <c r="O237" s="48"/>
    </row>
    <row r="238" spans="8:15" ht="26.25" customHeight="1" x14ac:dyDescent="0.3">
      <c r="H238" s="1">
        <f>0.14*Table1181920231030313235383940414[[#This Row],[النولون]]</f>
        <v>0</v>
      </c>
      <c r="K23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38" s="1">
        <f>M237+Table1181920231030313235383940414[[#This Row],[اجمالي الفاتوره]]-Table1181920231030313235383940414[[#This Row],[الدفعات]]</f>
        <v>17972</v>
      </c>
      <c r="O238" s="48"/>
    </row>
    <row r="239" spans="8:15" ht="26.25" customHeight="1" x14ac:dyDescent="0.3">
      <c r="H239" s="1">
        <f>0.14*Table1181920231030313235383940414[[#This Row],[النولون]]</f>
        <v>0</v>
      </c>
      <c r="I239" s="1">
        <f>0.03*Table1181920231030313235383940414[[#This Row],[النولون]]</f>
        <v>0</v>
      </c>
      <c r="K23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39" s="1">
        <f>M238+Table1181920231030313235383940414[[#This Row],[اجمالي الفاتوره]]-Table1181920231030313235383940414[[#This Row],[الدفعات]]</f>
        <v>17972</v>
      </c>
      <c r="O239" s="48"/>
    </row>
    <row r="240" spans="8:15" ht="26.25" customHeight="1" x14ac:dyDescent="0.3">
      <c r="H240" s="1">
        <f>0.14*Table1181920231030313235383940414[[#This Row],[النولون]]</f>
        <v>0</v>
      </c>
      <c r="I240" s="1">
        <f>0.03*Table1181920231030313235383940414[[#This Row],[النولون]]</f>
        <v>0</v>
      </c>
      <c r="K24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40" s="1">
        <f>M239+Table1181920231030313235383940414[[#This Row],[اجمالي الفاتوره]]-Table1181920231030313235383940414[[#This Row],[الدفعات]]</f>
        <v>17972</v>
      </c>
      <c r="O240" s="48"/>
    </row>
    <row r="241" spans="8:15" ht="26.25" customHeight="1" x14ac:dyDescent="0.3">
      <c r="H241" s="1">
        <f>0.14*Table1181920231030313235383940414[[#This Row],[النولون]]</f>
        <v>0</v>
      </c>
      <c r="I241" s="1">
        <f>0.03*Table1181920231030313235383940414[[#This Row],[النولون]]</f>
        <v>0</v>
      </c>
      <c r="K24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41" s="1">
        <f>M240+Table1181920231030313235383940414[[#This Row],[اجمالي الفاتوره]]-Table1181920231030313235383940414[[#This Row],[الدفعات]]</f>
        <v>17972</v>
      </c>
      <c r="O241" s="48"/>
    </row>
    <row r="242" spans="8:15" ht="26.25" customHeight="1" x14ac:dyDescent="0.3">
      <c r="H242" s="1">
        <f>0.14*Table1181920231030313235383940414[[#This Row],[النولون]]</f>
        <v>0</v>
      </c>
      <c r="I242" s="1">
        <f>0.03*Table1181920231030313235383940414[[#This Row],[النولون]]</f>
        <v>0</v>
      </c>
      <c r="K24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42" s="1">
        <f>M241+Table1181920231030313235383940414[[#This Row],[اجمالي الفاتوره]]-Table1181920231030313235383940414[[#This Row],[الدفعات]]</f>
        <v>17972</v>
      </c>
      <c r="O242" s="48"/>
    </row>
    <row r="243" spans="8:15" ht="26.25" customHeight="1" x14ac:dyDescent="0.3">
      <c r="H243" s="1">
        <f>0.14*Table1181920231030313235383940414[[#This Row],[النولون]]</f>
        <v>0</v>
      </c>
      <c r="I243" s="1">
        <f>0.03*Table1181920231030313235383940414[[#This Row],[النولون]]</f>
        <v>0</v>
      </c>
      <c r="K24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43" s="1">
        <f>M242+Table1181920231030313235383940414[[#This Row],[اجمالي الفاتوره]]-Table1181920231030313235383940414[[#This Row],[الدفعات]]</f>
        <v>17972</v>
      </c>
      <c r="O243" s="48"/>
    </row>
    <row r="244" spans="8:15" ht="26.25" customHeight="1" x14ac:dyDescent="0.3">
      <c r="H244" s="1">
        <f>0.14*Table1181920231030313235383940414[[#This Row],[النولون]]</f>
        <v>0</v>
      </c>
      <c r="I244" s="1">
        <f>0.03*Table1181920231030313235383940414[[#This Row],[النولون]]</f>
        <v>0</v>
      </c>
      <c r="K24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44" s="1">
        <f>M243+Table1181920231030313235383940414[[#This Row],[اجمالي الفاتوره]]-Table1181920231030313235383940414[[#This Row],[الدفعات]]</f>
        <v>17972</v>
      </c>
      <c r="O244" s="48"/>
    </row>
    <row r="245" spans="8:15" ht="26.25" customHeight="1" x14ac:dyDescent="0.3">
      <c r="H245" s="1">
        <f>0.14*Table1181920231030313235383940414[[#This Row],[النولون]]</f>
        <v>0</v>
      </c>
      <c r="I245" s="1">
        <f>0.03*Table1181920231030313235383940414[[#This Row],[النولون]]</f>
        <v>0</v>
      </c>
      <c r="K24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45" s="1">
        <f>M244+Table1181920231030313235383940414[[#This Row],[اجمالي الفاتوره]]-Table1181920231030313235383940414[[#This Row],[الدفعات]]</f>
        <v>17972</v>
      </c>
      <c r="O245" s="48"/>
    </row>
    <row r="246" spans="8:15" ht="26.25" customHeight="1" x14ac:dyDescent="0.3">
      <c r="H246" s="1">
        <f>0.14*Table1181920231030313235383940414[[#This Row],[النولون]]</f>
        <v>0</v>
      </c>
      <c r="I246" s="1">
        <f>0.03*Table1181920231030313235383940414[[#This Row],[النولون]]</f>
        <v>0</v>
      </c>
      <c r="K24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46" s="1">
        <f>M245+Table1181920231030313235383940414[[#This Row],[اجمالي الفاتوره]]-Table1181920231030313235383940414[[#This Row],[الدفعات]]</f>
        <v>17972</v>
      </c>
      <c r="O246" s="48"/>
    </row>
    <row r="247" spans="8:15" ht="26.25" customHeight="1" x14ac:dyDescent="0.3">
      <c r="H247" s="1">
        <f>0.14*Table1181920231030313235383940414[[#This Row],[النولون]]</f>
        <v>0</v>
      </c>
      <c r="I247" s="1">
        <f>0.03*Table1181920231030313235383940414[[#This Row],[النولون]]</f>
        <v>0</v>
      </c>
      <c r="K24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47" s="1">
        <f>M246+Table1181920231030313235383940414[[#This Row],[اجمالي الفاتوره]]-Table1181920231030313235383940414[[#This Row],[الدفعات]]</f>
        <v>17972</v>
      </c>
      <c r="O247" s="48"/>
    </row>
    <row r="248" spans="8:15" ht="26.25" customHeight="1" x14ac:dyDescent="0.3">
      <c r="H248" s="1">
        <f>0.14*Table1181920231030313235383940414[[#This Row],[النولون]]</f>
        <v>0</v>
      </c>
      <c r="I248" s="1">
        <f>0.03*Table1181920231030313235383940414[[#This Row],[النولون]]</f>
        <v>0</v>
      </c>
      <c r="K24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48" s="1">
        <f>M247+Table1181920231030313235383940414[[#This Row],[اجمالي الفاتوره]]-Table1181920231030313235383940414[[#This Row],[الدفعات]]</f>
        <v>17972</v>
      </c>
      <c r="O248" s="48"/>
    </row>
    <row r="249" spans="8:15" ht="26.25" customHeight="1" x14ac:dyDescent="0.3">
      <c r="H249" s="1">
        <f>0.14*Table1181920231030313235383940414[[#This Row],[النولون]]</f>
        <v>0</v>
      </c>
      <c r="I249" s="1">
        <f>0.03*Table1181920231030313235383940414[[#This Row],[النولون]]</f>
        <v>0</v>
      </c>
      <c r="K24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49" s="1">
        <f>M248+Table1181920231030313235383940414[[#This Row],[اجمالي الفاتوره]]-Table1181920231030313235383940414[[#This Row],[الدفعات]]</f>
        <v>17972</v>
      </c>
      <c r="O249" s="48"/>
    </row>
    <row r="250" spans="8:15" ht="26.25" customHeight="1" x14ac:dyDescent="0.3">
      <c r="H250" s="1">
        <f>0.14*Table1181920231030313235383940414[[#This Row],[النولون]]</f>
        <v>0</v>
      </c>
      <c r="I250" s="1">
        <f>0.03*Table1181920231030313235383940414[[#This Row],[النولون]]</f>
        <v>0</v>
      </c>
      <c r="K25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50" s="1">
        <f>M249+Table1181920231030313235383940414[[#This Row],[اجمالي الفاتوره]]-Table1181920231030313235383940414[[#This Row],[الدفعات]]</f>
        <v>17972</v>
      </c>
      <c r="O250" s="48"/>
    </row>
    <row r="251" spans="8:15" ht="26.25" customHeight="1" x14ac:dyDescent="0.3">
      <c r="H251" s="1">
        <f>0.14*Table1181920231030313235383940414[[#This Row],[النولون]]</f>
        <v>0</v>
      </c>
      <c r="I251" s="1">
        <f>0.03*Table1181920231030313235383940414[[#This Row],[النولون]]</f>
        <v>0</v>
      </c>
      <c r="K25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51" s="1">
        <f>M250+Table1181920231030313235383940414[[#This Row],[اجمالي الفاتوره]]-Table1181920231030313235383940414[[#This Row],[الدفعات]]</f>
        <v>17972</v>
      </c>
      <c r="O251" s="48"/>
    </row>
    <row r="252" spans="8:15" ht="26.25" customHeight="1" x14ac:dyDescent="0.3">
      <c r="H252" s="1">
        <f>0.14*Table1181920231030313235383940414[[#This Row],[النولون]]</f>
        <v>0</v>
      </c>
      <c r="I252" s="1">
        <f>0.03*Table1181920231030313235383940414[[#This Row],[النولون]]</f>
        <v>0</v>
      </c>
      <c r="K25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52" s="1">
        <f>M251+Table1181920231030313235383940414[[#This Row],[اجمالي الفاتوره]]-Table1181920231030313235383940414[[#This Row],[الدفعات]]</f>
        <v>17972</v>
      </c>
      <c r="O252" s="48"/>
    </row>
    <row r="253" spans="8:15" ht="26.25" customHeight="1" x14ac:dyDescent="0.3">
      <c r="H253" s="1">
        <f>0.14*Table1181920231030313235383940414[[#This Row],[النولون]]</f>
        <v>0</v>
      </c>
      <c r="I253" s="1">
        <f>0.03*Table1181920231030313235383940414[[#This Row],[النولون]]</f>
        <v>0</v>
      </c>
      <c r="K25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53" s="1">
        <f>M252+Table1181920231030313235383940414[[#This Row],[اجمالي الفاتوره]]-Table1181920231030313235383940414[[#This Row],[الدفعات]]</f>
        <v>17972</v>
      </c>
      <c r="O253" s="48"/>
    </row>
    <row r="254" spans="8:15" ht="26.25" customHeight="1" x14ac:dyDescent="0.3">
      <c r="H254" s="1">
        <f>0.14*Table1181920231030313235383940414[[#This Row],[النولون]]</f>
        <v>0</v>
      </c>
      <c r="I254" s="1">
        <f>0.03*Table1181920231030313235383940414[[#This Row],[النولون]]</f>
        <v>0</v>
      </c>
      <c r="K25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54" s="1">
        <f>M253+Table1181920231030313235383940414[[#This Row],[اجمالي الفاتوره]]-Table1181920231030313235383940414[[#This Row],[الدفعات]]</f>
        <v>17972</v>
      </c>
      <c r="O254" s="48"/>
    </row>
    <row r="255" spans="8:15" ht="26.25" customHeight="1" x14ac:dyDescent="0.3">
      <c r="H255" s="1">
        <f>0.14*Table1181920231030313235383940414[[#This Row],[النولون]]</f>
        <v>0</v>
      </c>
      <c r="I255" s="1">
        <f>0.03*Table1181920231030313235383940414[[#This Row],[النولون]]</f>
        <v>0</v>
      </c>
      <c r="K25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55" s="1">
        <f>M254+Table1181920231030313235383940414[[#This Row],[اجمالي الفاتوره]]-Table1181920231030313235383940414[[#This Row],[الدفعات]]</f>
        <v>17972</v>
      </c>
      <c r="O255" s="48"/>
    </row>
    <row r="256" spans="8:15" ht="26.25" customHeight="1" x14ac:dyDescent="0.3">
      <c r="H256" s="1">
        <f>0.14*Table1181920231030313235383940414[[#This Row],[النولون]]</f>
        <v>0</v>
      </c>
      <c r="I256" s="1">
        <f>0.03*Table1181920231030313235383940414[[#This Row],[النولون]]</f>
        <v>0</v>
      </c>
      <c r="K25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56" s="1">
        <f>M255+Table1181920231030313235383940414[[#This Row],[اجمالي الفاتوره]]-Table1181920231030313235383940414[[#This Row],[الدفعات]]</f>
        <v>17972</v>
      </c>
      <c r="O256" s="48"/>
    </row>
    <row r="257" spans="8:15" ht="26.25" customHeight="1" x14ac:dyDescent="0.3">
      <c r="H257" s="1">
        <f>0.14*Table1181920231030313235383940414[[#This Row],[النولون]]</f>
        <v>0</v>
      </c>
      <c r="I257" s="1">
        <f>0.03*Table1181920231030313235383940414[[#This Row],[النولون]]</f>
        <v>0</v>
      </c>
      <c r="K25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57" s="1">
        <f>M256+Table1181920231030313235383940414[[#This Row],[اجمالي الفاتوره]]-Table1181920231030313235383940414[[#This Row],[الدفعات]]</f>
        <v>17972</v>
      </c>
      <c r="O257" s="48"/>
    </row>
    <row r="258" spans="8:15" ht="26.25" customHeight="1" x14ac:dyDescent="0.3">
      <c r="H258" s="1">
        <f>0.14*Table1181920231030313235383940414[[#This Row],[النولون]]</f>
        <v>0</v>
      </c>
      <c r="I258" s="1">
        <f>0.03*Table1181920231030313235383940414[[#This Row],[النولون]]</f>
        <v>0</v>
      </c>
      <c r="K25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58" s="1">
        <f>M257+Table1181920231030313235383940414[[#This Row],[اجمالي الفاتوره]]-Table1181920231030313235383940414[[#This Row],[الدفعات]]</f>
        <v>17972</v>
      </c>
      <c r="O258" s="48"/>
    </row>
    <row r="259" spans="8:15" ht="26.25" customHeight="1" x14ac:dyDescent="0.3">
      <c r="H259" s="1">
        <f>0.14*Table1181920231030313235383940414[[#This Row],[النولون]]</f>
        <v>0</v>
      </c>
      <c r="I259" s="1">
        <f>0.03*Table1181920231030313235383940414[[#This Row],[النولون]]</f>
        <v>0</v>
      </c>
      <c r="K25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59" s="1">
        <f>M258+Table1181920231030313235383940414[[#This Row],[اجمالي الفاتوره]]-Table1181920231030313235383940414[[#This Row],[الدفعات]]</f>
        <v>17972</v>
      </c>
      <c r="O259" s="48"/>
    </row>
    <row r="260" spans="8:15" ht="26.25" customHeight="1" x14ac:dyDescent="0.3">
      <c r="H260" s="1">
        <f>0.14*Table1181920231030313235383940414[[#This Row],[النولون]]</f>
        <v>0</v>
      </c>
      <c r="I260" s="1">
        <f>0.03*Table1181920231030313235383940414[[#This Row],[النولون]]</f>
        <v>0</v>
      </c>
      <c r="K26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60" s="1">
        <f>M259+Table1181920231030313235383940414[[#This Row],[اجمالي الفاتوره]]-Table1181920231030313235383940414[[#This Row],[الدفعات]]</f>
        <v>17972</v>
      </c>
      <c r="O260" s="48"/>
    </row>
    <row r="261" spans="8:15" ht="26.25" customHeight="1" x14ac:dyDescent="0.3">
      <c r="H261" s="1">
        <f>0.14*Table1181920231030313235383940414[[#This Row],[النولون]]</f>
        <v>0</v>
      </c>
      <c r="I261" s="1">
        <f>0.03*Table1181920231030313235383940414[[#This Row],[النولون]]</f>
        <v>0</v>
      </c>
      <c r="K26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61" s="1">
        <f>M260+Table1181920231030313235383940414[[#This Row],[اجمالي الفاتوره]]-Table1181920231030313235383940414[[#This Row],[الدفعات]]</f>
        <v>17972</v>
      </c>
      <c r="O261" s="48"/>
    </row>
    <row r="262" spans="8:15" ht="26.25" customHeight="1" x14ac:dyDescent="0.3">
      <c r="H262" s="1">
        <f>0.14*Table1181920231030313235383940414[[#This Row],[النولون]]</f>
        <v>0</v>
      </c>
      <c r="I262" s="1">
        <f>0.03*Table1181920231030313235383940414[[#This Row],[النولون]]</f>
        <v>0</v>
      </c>
      <c r="K26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62" s="1">
        <f>M261+Table1181920231030313235383940414[[#This Row],[اجمالي الفاتوره]]-Table1181920231030313235383940414[[#This Row],[الدفعات]]</f>
        <v>17972</v>
      </c>
      <c r="O262" s="48"/>
    </row>
    <row r="263" spans="8:15" ht="26.25" customHeight="1" x14ac:dyDescent="0.3">
      <c r="H263" s="1">
        <f>0.14*Table1181920231030313235383940414[[#This Row],[النولون]]</f>
        <v>0</v>
      </c>
      <c r="I263" s="1">
        <f>0.03*Table1181920231030313235383940414[[#This Row],[النولون]]</f>
        <v>0</v>
      </c>
      <c r="K26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63" s="1">
        <f>M262+Table1181920231030313235383940414[[#This Row],[اجمالي الفاتوره]]-Table1181920231030313235383940414[[#This Row],[الدفعات]]</f>
        <v>17972</v>
      </c>
      <c r="O263" s="48"/>
    </row>
    <row r="264" spans="8:15" ht="26.25" customHeight="1" x14ac:dyDescent="0.3">
      <c r="H264" s="1">
        <f>0.14*Table1181920231030313235383940414[[#This Row],[النولون]]</f>
        <v>0</v>
      </c>
      <c r="I264" s="1">
        <f>0.03*Table1181920231030313235383940414[[#This Row],[النولون]]</f>
        <v>0</v>
      </c>
      <c r="K26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64" s="1">
        <f>M263+Table1181920231030313235383940414[[#This Row],[اجمالي الفاتوره]]-Table1181920231030313235383940414[[#This Row],[الدفعات]]</f>
        <v>17972</v>
      </c>
      <c r="O264" s="48"/>
    </row>
    <row r="265" spans="8:15" ht="26.25" customHeight="1" x14ac:dyDescent="0.3">
      <c r="H265" s="1">
        <f>0.14*Table1181920231030313235383940414[[#This Row],[النولون]]</f>
        <v>0</v>
      </c>
      <c r="I265" s="1">
        <f>0.03*Table1181920231030313235383940414[[#This Row],[النولون]]</f>
        <v>0</v>
      </c>
      <c r="K26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65" s="1">
        <f>M264+Table1181920231030313235383940414[[#This Row],[اجمالي الفاتوره]]-Table1181920231030313235383940414[[#This Row],[الدفعات]]</f>
        <v>17972</v>
      </c>
      <c r="O265" s="48"/>
    </row>
    <row r="266" spans="8:15" ht="26.25" customHeight="1" x14ac:dyDescent="0.3">
      <c r="H266" s="1">
        <f>0.14*Table1181920231030313235383940414[[#This Row],[النولون]]</f>
        <v>0</v>
      </c>
      <c r="I266" s="1">
        <f>0.03*Table1181920231030313235383940414[[#This Row],[النولون]]</f>
        <v>0</v>
      </c>
      <c r="K26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66" s="1">
        <f>M265+Table1181920231030313235383940414[[#This Row],[اجمالي الفاتوره]]-Table1181920231030313235383940414[[#This Row],[الدفعات]]</f>
        <v>17972</v>
      </c>
      <c r="O266" s="48"/>
    </row>
    <row r="267" spans="8:15" ht="26.25" customHeight="1" x14ac:dyDescent="0.3">
      <c r="H267" s="1">
        <f>0.14*Table1181920231030313235383940414[[#This Row],[النولون]]</f>
        <v>0</v>
      </c>
      <c r="I267" s="1">
        <f>0.03*Table1181920231030313235383940414[[#This Row],[النولون]]</f>
        <v>0</v>
      </c>
      <c r="K26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67" s="1">
        <f>M266+Table1181920231030313235383940414[[#This Row],[اجمالي الفاتوره]]-Table1181920231030313235383940414[[#This Row],[الدفعات]]</f>
        <v>17972</v>
      </c>
      <c r="O267" s="48"/>
    </row>
    <row r="268" spans="8:15" ht="26.25" customHeight="1" x14ac:dyDescent="0.3">
      <c r="H268" s="1">
        <f>0.14*Table1181920231030313235383940414[[#This Row],[النولون]]</f>
        <v>0</v>
      </c>
      <c r="I268" s="1">
        <f>0.03*Table1181920231030313235383940414[[#This Row],[النولون]]</f>
        <v>0</v>
      </c>
      <c r="K26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68" s="1">
        <f>M267+Table1181920231030313235383940414[[#This Row],[اجمالي الفاتوره]]-Table1181920231030313235383940414[[#This Row],[الدفعات]]</f>
        <v>17972</v>
      </c>
      <c r="O268" s="48"/>
    </row>
    <row r="269" spans="8:15" ht="26.25" customHeight="1" x14ac:dyDescent="0.3">
      <c r="H269" s="1">
        <f>0.14*Table1181920231030313235383940414[[#This Row],[النولون]]</f>
        <v>0</v>
      </c>
      <c r="I269" s="1">
        <f>0.03*Table1181920231030313235383940414[[#This Row],[النولون]]</f>
        <v>0</v>
      </c>
      <c r="K26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69" s="1">
        <f>M268+Table1181920231030313235383940414[[#This Row],[اجمالي الفاتوره]]-Table1181920231030313235383940414[[#This Row],[الدفعات]]</f>
        <v>17972</v>
      </c>
      <c r="O269" s="48"/>
    </row>
    <row r="270" spans="8:15" ht="26.25" customHeight="1" x14ac:dyDescent="0.3">
      <c r="H270" s="1">
        <f>0.14*Table1181920231030313235383940414[[#This Row],[النولون]]</f>
        <v>0</v>
      </c>
      <c r="I270" s="1">
        <f>0.03*Table1181920231030313235383940414[[#This Row],[النولون]]</f>
        <v>0</v>
      </c>
      <c r="K27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70" s="1">
        <f>M269+Table1181920231030313235383940414[[#This Row],[اجمالي الفاتوره]]-Table1181920231030313235383940414[[#This Row],[الدفعات]]</f>
        <v>17972</v>
      </c>
      <c r="O270" s="48"/>
    </row>
    <row r="271" spans="8:15" ht="26.25" customHeight="1" x14ac:dyDescent="0.3">
      <c r="H271" s="1">
        <f>0.14*Table1181920231030313235383940414[[#This Row],[النولون]]</f>
        <v>0</v>
      </c>
      <c r="I271" s="1">
        <f>0.03*Table1181920231030313235383940414[[#This Row],[النولون]]</f>
        <v>0</v>
      </c>
      <c r="K27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71" s="1">
        <f>M270+Table1181920231030313235383940414[[#This Row],[اجمالي الفاتوره]]-Table1181920231030313235383940414[[#This Row],[الدفعات]]</f>
        <v>17972</v>
      </c>
      <c r="O271" s="48"/>
    </row>
    <row r="272" spans="8:15" ht="26.25" customHeight="1" x14ac:dyDescent="0.3">
      <c r="H272" s="1">
        <f>0.14*Table1181920231030313235383940414[[#This Row],[النولون]]</f>
        <v>0</v>
      </c>
      <c r="I272" s="1">
        <f>0.03*Table1181920231030313235383940414[[#This Row],[النولون]]</f>
        <v>0</v>
      </c>
      <c r="K27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72" s="1">
        <f>M271+Table1181920231030313235383940414[[#This Row],[اجمالي الفاتوره]]-Table1181920231030313235383940414[[#This Row],[الدفعات]]</f>
        <v>17972</v>
      </c>
      <c r="O272" s="48"/>
    </row>
    <row r="273" spans="8:15" ht="26.25" customHeight="1" x14ac:dyDescent="0.3">
      <c r="H273" s="1">
        <f>0.14*Table1181920231030313235383940414[[#This Row],[النولون]]</f>
        <v>0</v>
      </c>
      <c r="I273" s="1">
        <f>0.03*Table1181920231030313235383940414[[#This Row],[النولون]]</f>
        <v>0</v>
      </c>
      <c r="K27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73" s="1">
        <f>M272+Table1181920231030313235383940414[[#This Row],[اجمالي الفاتوره]]-Table1181920231030313235383940414[[#This Row],[الدفعات]]</f>
        <v>17972</v>
      </c>
      <c r="O273" s="48"/>
    </row>
    <row r="274" spans="8:15" ht="26.25" customHeight="1" x14ac:dyDescent="0.3">
      <c r="H274" s="1">
        <f>0.14*Table1181920231030313235383940414[[#This Row],[النولون]]</f>
        <v>0</v>
      </c>
      <c r="I274" s="1">
        <f>0.03*Table1181920231030313235383940414[[#This Row],[النولون]]</f>
        <v>0</v>
      </c>
      <c r="K27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74" s="1">
        <f>M273+Table1181920231030313235383940414[[#This Row],[اجمالي الفاتوره]]-Table1181920231030313235383940414[[#This Row],[الدفعات]]</f>
        <v>17972</v>
      </c>
      <c r="O274" s="48"/>
    </row>
    <row r="275" spans="8:15" ht="26.25" customHeight="1" x14ac:dyDescent="0.3">
      <c r="H275" s="1">
        <f>0.14*Table1181920231030313235383940414[[#This Row],[النولون]]</f>
        <v>0</v>
      </c>
      <c r="I275" s="1">
        <f>0.03*Table1181920231030313235383940414[[#This Row],[النولون]]</f>
        <v>0</v>
      </c>
      <c r="K27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75" s="1">
        <f>M274+Table1181920231030313235383940414[[#This Row],[اجمالي الفاتوره]]-Table1181920231030313235383940414[[#This Row],[الدفعات]]</f>
        <v>17972</v>
      </c>
      <c r="O275" s="48"/>
    </row>
    <row r="276" spans="8:15" ht="26.25" customHeight="1" x14ac:dyDescent="0.3">
      <c r="H276" s="1">
        <f>0.14*Table1181920231030313235383940414[[#This Row],[النولون]]</f>
        <v>0</v>
      </c>
      <c r="I276" s="1">
        <f>0.03*Table1181920231030313235383940414[[#This Row],[النولون]]</f>
        <v>0</v>
      </c>
      <c r="K27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76" s="1">
        <f>M275+Table1181920231030313235383940414[[#This Row],[اجمالي الفاتوره]]-Table1181920231030313235383940414[[#This Row],[الدفعات]]</f>
        <v>17972</v>
      </c>
      <c r="O276" s="48"/>
    </row>
    <row r="277" spans="8:15" ht="26.25" customHeight="1" x14ac:dyDescent="0.3">
      <c r="H277" s="1">
        <f>0.14*Table1181920231030313235383940414[[#This Row],[النولون]]</f>
        <v>0</v>
      </c>
      <c r="I277" s="1">
        <f>0.03*Table1181920231030313235383940414[[#This Row],[النولون]]</f>
        <v>0</v>
      </c>
      <c r="K27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77" s="1">
        <f>M276+Table1181920231030313235383940414[[#This Row],[اجمالي الفاتوره]]-Table1181920231030313235383940414[[#This Row],[الدفعات]]</f>
        <v>17972</v>
      </c>
      <c r="O277" s="48"/>
    </row>
    <row r="278" spans="8:15" ht="26.25" customHeight="1" x14ac:dyDescent="0.3">
      <c r="H278" s="1">
        <f>0.14*Table1181920231030313235383940414[[#This Row],[النولون]]</f>
        <v>0</v>
      </c>
      <c r="I278" s="1">
        <f>0.03*Table1181920231030313235383940414[[#This Row],[النولون]]</f>
        <v>0</v>
      </c>
      <c r="K27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78" s="1">
        <f>M277+Table1181920231030313235383940414[[#This Row],[اجمالي الفاتوره]]-Table1181920231030313235383940414[[#This Row],[الدفعات]]</f>
        <v>17972</v>
      </c>
      <c r="O278" s="48"/>
    </row>
    <row r="279" spans="8:15" ht="26.25" customHeight="1" x14ac:dyDescent="0.3">
      <c r="H279" s="1">
        <f>0.14*Table1181920231030313235383940414[[#This Row],[النولون]]</f>
        <v>0</v>
      </c>
      <c r="I279" s="1">
        <f>0.03*Table1181920231030313235383940414[[#This Row],[النولون]]</f>
        <v>0</v>
      </c>
      <c r="K27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79" s="1">
        <f>M278+Table1181920231030313235383940414[[#This Row],[اجمالي الفاتوره]]-Table1181920231030313235383940414[[#This Row],[الدفعات]]</f>
        <v>17972</v>
      </c>
      <c r="O279" s="48"/>
    </row>
    <row r="280" spans="8:15" ht="26.25" customHeight="1" x14ac:dyDescent="0.3">
      <c r="H280" s="1">
        <f>0.14*Table1181920231030313235383940414[[#This Row],[النولون]]</f>
        <v>0</v>
      </c>
      <c r="I280" s="1">
        <f>0.03*Table1181920231030313235383940414[[#This Row],[النولون]]</f>
        <v>0</v>
      </c>
      <c r="K28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80" s="1">
        <f>M279+Table1181920231030313235383940414[[#This Row],[اجمالي الفاتوره]]-Table1181920231030313235383940414[[#This Row],[الدفعات]]</f>
        <v>17972</v>
      </c>
      <c r="O280" s="48"/>
    </row>
    <row r="281" spans="8:15" ht="26.25" customHeight="1" x14ac:dyDescent="0.3">
      <c r="H281" s="1">
        <f>0.14*Table1181920231030313235383940414[[#This Row],[النولون]]</f>
        <v>0</v>
      </c>
      <c r="I281" s="1">
        <f>0.03*Table1181920231030313235383940414[[#This Row],[النولون]]</f>
        <v>0</v>
      </c>
      <c r="K28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81" s="1">
        <f>M280+Table1181920231030313235383940414[[#This Row],[اجمالي الفاتوره]]-Table1181920231030313235383940414[[#This Row],[الدفعات]]</f>
        <v>17972</v>
      </c>
      <c r="O281" s="48"/>
    </row>
    <row r="282" spans="8:15" ht="26.25" customHeight="1" x14ac:dyDescent="0.3">
      <c r="H282" s="1">
        <f>0.14*Table1181920231030313235383940414[[#This Row],[النولون]]</f>
        <v>0</v>
      </c>
      <c r="I282" s="1">
        <f>0.03*Table1181920231030313235383940414[[#This Row],[النولون]]</f>
        <v>0</v>
      </c>
      <c r="K28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82" s="1">
        <f>M281+Table1181920231030313235383940414[[#This Row],[اجمالي الفاتوره]]-Table1181920231030313235383940414[[#This Row],[الدفعات]]</f>
        <v>17972</v>
      </c>
      <c r="O282" s="48"/>
    </row>
    <row r="283" spans="8:15" ht="26.25" customHeight="1" x14ac:dyDescent="0.3">
      <c r="H283" s="1">
        <f>0.14*Table1181920231030313235383940414[[#This Row],[النولون]]</f>
        <v>0</v>
      </c>
      <c r="I283" s="1">
        <f>0.03*Table1181920231030313235383940414[[#This Row],[النولون]]</f>
        <v>0</v>
      </c>
      <c r="K28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83" s="1">
        <f>M282+Table1181920231030313235383940414[[#This Row],[اجمالي الفاتوره]]-Table1181920231030313235383940414[[#This Row],[الدفعات]]</f>
        <v>17972</v>
      </c>
      <c r="O283" s="48"/>
    </row>
    <row r="284" spans="8:15" ht="26.25" customHeight="1" x14ac:dyDescent="0.3">
      <c r="H284" s="1">
        <f>0.14*Table1181920231030313235383940414[[#This Row],[النولون]]</f>
        <v>0</v>
      </c>
      <c r="I284" s="1">
        <f>0.03*Table1181920231030313235383940414[[#This Row],[النولون]]</f>
        <v>0</v>
      </c>
      <c r="K28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84" s="1">
        <f>M283+Table1181920231030313235383940414[[#This Row],[اجمالي الفاتوره]]-Table1181920231030313235383940414[[#This Row],[الدفعات]]</f>
        <v>17972</v>
      </c>
      <c r="O284" s="48"/>
    </row>
    <row r="285" spans="8:15" ht="26.25" customHeight="1" x14ac:dyDescent="0.3">
      <c r="H285" s="1">
        <f>0.14*Table1181920231030313235383940414[[#This Row],[النولون]]</f>
        <v>0</v>
      </c>
      <c r="I285" s="1">
        <f>0.03*Table1181920231030313235383940414[[#This Row],[النولون]]</f>
        <v>0</v>
      </c>
      <c r="K28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85" s="1">
        <f>M284+Table1181920231030313235383940414[[#This Row],[اجمالي الفاتوره]]-Table1181920231030313235383940414[[#This Row],[الدفعات]]</f>
        <v>17972</v>
      </c>
      <c r="O285" s="48"/>
    </row>
    <row r="286" spans="8:15" ht="26.25" customHeight="1" x14ac:dyDescent="0.3">
      <c r="H286" s="1">
        <f>0.14*Table1181920231030313235383940414[[#This Row],[النولون]]</f>
        <v>0</v>
      </c>
      <c r="I286" s="1">
        <f>0.03*Table1181920231030313235383940414[[#This Row],[النولون]]</f>
        <v>0</v>
      </c>
      <c r="K28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86" s="1">
        <f>M285+Table1181920231030313235383940414[[#This Row],[اجمالي الفاتوره]]-Table1181920231030313235383940414[[#This Row],[الدفعات]]</f>
        <v>17972</v>
      </c>
      <c r="O286" s="48"/>
    </row>
    <row r="287" spans="8:15" ht="26.25" customHeight="1" x14ac:dyDescent="0.3">
      <c r="H287" s="1">
        <f>0.14*Table1181920231030313235383940414[[#This Row],[النولون]]</f>
        <v>0</v>
      </c>
      <c r="I287" s="1">
        <f>0.03*Table1181920231030313235383940414[[#This Row],[النولون]]</f>
        <v>0</v>
      </c>
      <c r="K28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87" s="1">
        <f>M286+Table1181920231030313235383940414[[#This Row],[اجمالي الفاتوره]]-Table1181920231030313235383940414[[#This Row],[الدفعات]]</f>
        <v>17972</v>
      </c>
      <c r="O287" s="48"/>
    </row>
    <row r="288" spans="8:15" ht="26.25" customHeight="1" x14ac:dyDescent="0.3">
      <c r="H288" s="1">
        <f>0.14*Table1181920231030313235383940414[[#This Row],[النولون]]</f>
        <v>0</v>
      </c>
      <c r="I288" s="1">
        <f>0.03*Table1181920231030313235383940414[[#This Row],[النولون]]</f>
        <v>0</v>
      </c>
      <c r="K28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88" s="1">
        <f>M287+Table1181920231030313235383940414[[#This Row],[اجمالي الفاتوره]]-Table1181920231030313235383940414[[#This Row],[الدفعات]]</f>
        <v>17972</v>
      </c>
      <c r="O288" s="48"/>
    </row>
    <row r="289" spans="8:15" ht="26.25" customHeight="1" x14ac:dyDescent="0.3">
      <c r="H289" s="1">
        <f>0.14*Table1181920231030313235383940414[[#This Row],[النولون]]</f>
        <v>0</v>
      </c>
      <c r="I289" s="1">
        <f>0.03*Table1181920231030313235383940414[[#This Row],[النولون]]</f>
        <v>0</v>
      </c>
      <c r="K28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89" s="1">
        <f>M288+Table1181920231030313235383940414[[#This Row],[اجمالي الفاتوره]]-Table1181920231030313235383940414[[#This Row],[الدفعات]]</f>
        <v>17972</v>
      </c>
      <c r="O289" s="48"/>
    </row>
    <row r="290" spans="8:15" ht="26.25" customHeight="1" x14ac:dyDescent="0.3">
      <c r="H290" s="1">
        <f>0.14*Table1181920231030313235383940414[[#This Row],[النولون]]</f>
        <v>0</v>
      </c>
      <c r="I290" s="1">
        <f>0.03*Table1181920231030313235383940414[[#This Row],[النولون]]</f>
        <v>0</v>
      </c>
      <c r="K29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90" s="1">
        <f>M289+Table1181920231030313235383940414[[#This Row],[اجمالي الفاتوره]]-Table1181920231030313235383940414[[#This Row],[الدفعات]]</f>
        <v>17972</v>
      </c>
      <c r="O290" s="48"/>
    </row>
    <row r="291" spans="8:15" ht="26.25" customHeight="1" x14ac:dyDescent="0.3">
      <c r="H291" s="1">
        <f>0.14*Table1181920231030313235383940414[[#This Row],[النولون]]</f>
        <v>0</v>
      </c>
      <c r="I291" s="1">
        <f>0.03*Table1181920231030313235383940414[[#This Row],[النولون]]</f>
        <v>0</v>
      </c>
      <c r="K29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91" s="1">
        <f>M290+Table1181920231030313235383940414[[#This Row],[اجمالي الفاتوره]]-Table1181920231030313235383940414[[#This Row],[الدفعات]]</f>
        <v>17972</v>
      </c>
      <c r="O291" s="48"/>
    </row>
    <row r="292" spans="8:15" ht="26.25" customHeight="1" x14ac:dyDescent="0.3">
      <c r="H292" s="1">
        <f>0.14*Table1181920231030313235383940414[[#This Row],[النولون]]</f>
        <v>0</v>
      </c>
      <c r="I292" s="1">
        <f>0.03*Table1181920231030313235383940414[[#This Row],[النولون]]</f>
        <v>0</v>
      </c>
      <c r="K29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92" s="1">
        <f>M291+Table1181920231030313235383940414[[#This Row],[اجمالي الفاتوره]]-Table1181920231030313235383940414[[#This Row],[الدفعات]]</f>
        <v>17972</v>
      </c>
      <c r="O292" s="48"/>
    </row>
    <row r="293" spans="8:15" ht="26.25" customHeight="1" x14ac:dyDescent="0.3">
      <c r="H293" s="1">
        <f>0.14*Table1181920231030313235383940414[[#This Row],[النولون]]</f>
        <v>0</v>
      </c>
      <c r="I293" s="1">
        <f>0.03*Table1181920231030313235383940414[[#This Row],[النولون]]</f>
        <v>0</v>
      </c>
      <c r="K29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93" s="1">
        <f>M292+Table1181920231030313235383940414[[#This Row],[اجمالي الفاتوره]]-Table1181920231030313235383940414[[#This Row],[الدفعات]]</f>
        <v>17972</v>
      </c>
      <c r="O293" s="48"/>
    </row>
    <row r="294" spans="8:15" ht="26.25" customHeight="1" x14ac:dyDescent="0.3">
      <c r="H294" s="1">
        <f>0.14*Table1181920231030313235383940414[[#This Row],[النولون]]</f>
        <v>0</v>
      </c>
      <c r="I294" s="1">
        <f>0.03*Table1181920231030313235383940414[[#This Row],[النولون]]</f>
        <v>0</v>
      </c>
      <c r="K29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94" s="1">
        <f>M293+Table1181920231030313235383940414[[#This Row],[اجمالي الفاتوره]]-Table1181920231030313235383940414[[#This Row],[الدفعات]]</f>
        <v>17972</v>
      </c>
      <c r="O294" s="48"/>
    </row>
    <row r="295" spans="8:15" ht="26.25" customHeight="1" x14ac:dyDescent="0.3">
      <c r="H295" s="1">
        <f>0.14*Table1181920231030313235383940414[[#This Row],[النولون]]</f>
        <v>0</v>
      </c>
      <c r="I295" s="1">
        <f>0.03*Table1181920231030313235383940414[[#This Row],[النولون]]</f>
        <v>0</v>
      </c>
      <c r="K29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95" s="1">
        <f>M294+Table1181920231030313235383940414[[#This Row],[اجمالي الفاتوره]]-Table1181920231030313235383940414[[#This Row],[الدفعات]]</f>
        <v>17972</v>
      </c>
      <c r="O295" s="48"/>
    </row>
    <row r="296" spans="8:15" ht="26.25" customHeight="1" x14ac:dyDescent="0.3">
      <c r="H296" s="1">
        <f>0.14*Table1181920231030313235383940414[[#This Row],[النولون]]</f>
        <v>0</v>
      </c>
      <c r="I296" s="1">
        <f>0.03*Table1181920231030313235383940414[[#This Row],[النولون]]</f>
        <v>0</v>
      </c>
      <c r="K29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96" s="1">
        <f>M295+Table1181920231030313235383940414[[#This Row],[اجمالي الفاتوره]]-Table1181920231030313235383940414[[#This Row],[الدفعات]]</f>
        <v>17972</v>
      </c>
      <c r="O296" s="48"/>
    </row>
    <row r="297" spans="8:15" ht="26.25" customHeight="1" x14ac:dyDescent="0.3">
      <c r="H297" s="1">
        <f>0.14*Table1181920231030313235383940414[[#This Row],[النولون]]</f>
        <v>0</v>
      </c>
      <c r="I297" s="1">
        <f>0.03*Table1181920231030313235383940414[[#This Row],[النولون]]</f>
        <v>0</v>
      </c>
      <c r="K29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97" s="1">
        <f>M296+Table1181920231030313235383940414[[#This Row],[اجمالي الفاتوره]]-Table1181920231030313235383940414[[#This Row],[الدفعات]]</f>
        <v>17972</v>
      </c>
      <c r="O297" s="48"/>
    </row>
    <row r="298" spans="8:15" ht="26.25" customHeight="1" x14ac:dyDescent="0.3">
      <c r="H298" s="1">
        <f>0.14*Table1181920231030313235383940414[[#This Row],[النولون]]</f>
        <v>0</v>
      </c>
      <c r="I298" s="1">
        <f>0.03*Table1181920231030313235383940414[[#This Row],[النولون]]</f>
        <v>0</v>
      </c>
      <c r="K29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98" s="1">
        <f>M297+Table1181920231030313235383940414[[#This Row],[اجمالي الفاتوره]]-Table1181920231030313235383940414[[#This Row],[الدفعات]]</f>
        <v>17972</v>
      </c>
      <c r="O298" s="48"/>
    </row>
    <row r="299" spans="8:15" ht="26.25" customHeight="1" x14ac:dyDescent="0.3">
      <c r="H299" s="1">
        <f>0.14*Table1181920231030313235383940414[[#This Row],[النولون]]</f>
        <v>0</v>
      </c>
      <c r="I299" s="1">
        <f>0.03*Table1181920231030313235383940414[[#This Row],[النولون]]</f>
        <v>0</v>
      </c>
      <c r="K29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299" s="1">
        <f>M298+Table1181920231030313235383940414[[#This Row],[اجمالي الفاتوره]]-Table1181920231030313235383940414[[#This Row],[الدفعات]]</f>
        <v>17972</v>
      </c>
      <c r="O299" s="48"/>
    </row>
    <row r="300" spans="8:15" ht="26.25" customHeight="1" x14ac:dyDescent="0.3">
      <c r="H300" s="1">
        <f>0.14*Table1181920231030313235383940414[[#This Row],[النولون]]</f>
        <v>0</v>
      </c>
      <c r="I300" s="1">
        <f>0.03*Table1181920231030313235383940414[[#This Row],[النولون]]</f>
        <v>0</v>
      </c>
      <c r="K30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00" s="1">
        <f>M299+Table1181920231030313235383940414[[#This Row],[اجمالي الفاتوره]]-Table1181920231030313235383940414[[#This Row],[الدفعات]]</f>
        <v>17972</v>
      </c>
      <c r="O300" s="48"/>
    </row>
    <row r="301" spans="8:15" ht="26.25" customHeight="1" x14ac:dyDescent="0.3">
      <c r="H301" s="1">
        <f>0.14*Table1181920231030313235383940414[[#This Row],[النولون]]</f>
        <v>0</v>
      </c>
      <c r="I301" s="1">
        <f>0.03*Table1181920231030313235383940414[[#This Row],[النولون]]</f>
        <v>0</v>
      </c>
      <c r="K30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01" s="1">
        <f>M300+Table1181920231030313235383940414[[#This Row],[اجمالي الفاتوره]]-Table1181920231030313235383940414[[#This Row],[الدفعات]]</f>
        <v>17972</v>
      </c>
      <c r="O301" s="48"/>
    </row>
    <row r="302" spans="8:15" ht="26.25" customHeight="1" x14ac:dyDescent="0.3">
      <c r="H302" s="1">
        <f>0.14*Table1181920231030313235383940414[[#This Row],[النولون]]</f>
        <v>0</v>
      </c>
      <c r="I302" s="1">
        <f>0.03*Table1181920231030313235383940414[[#This Row],[النولون]]</f>
        <v>0</v>
      </c>
      <c r="K30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02" s="1">
        <f>M301+Table1181920231030313235383940414[[#This Row],[اجمالي الفاتوره]]-Table1181920231030313235383940414[[#This Row],[الدفعات]]</f>
        <v>17972</v>
      </c>
      <c r="O302" s="48"/>
    </row>
    <row r="303" spans="8:15" ht="26.25" customHeight="1" x14ac:dyDescent="0.3">
      <c r="H303" s="1">
        <f>0.14*Table1181920231030313235383940414[[#This Row],[النولون]]</f>
        <v>0</v>
      </c>
      <c r="I303" s="1">
        <f>0.03*Table1181920231030313235383940414[[#This Row],[النولون]]</f>
        <v>0</v>
      </c>
      <c r="K30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03" s="1">
        <f>M302+Table1181920231030313235383940414[[#This Row],[اجمالي الفاتوره]]-Table1181920231030313235383940414[[#This Row],[الدفعات]]</f>
        <v>17972</v>
      </c>
      <c r="O303" s="48"/>
    </row>
    <row r="304" spans="8:15" ht="26.25" customHeight="1" x14ac:dyDescent="0.3">
      <c r="H304" s="1">
        <f>0.14*Table1181920231030313235383940414[[#This Row],[النولون]]</f>
        <v>0</v>
      </c>
      <c r="I304" s="1">
        <f>0.03*Table1181920231030313235383940414[[#This Row],[النولون]]</f>
        <v>0</v>
      </c>
      <c r="K30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04" s="1">
        <f>M303+Table1181920231030313235383940414[[#This Row],[اجمالي الفاتوره]]-Table1181920231030313235383940414[[#This Row],[الدفعات]]</f>
        <v>17972</v>
      </c>
      <c r="O304" s="48"/>
    </row>
    <row r="305" spans="8:15" ht="26.25" customHeight="1" x14ac:dyDescent="0.3">
      <c r="H305" s="1">
        <f>0.14*Table1181920231030313235383940414[[#This Row],[النولون]]</f>
        <v>0</v>
      </c>
      <c r="I305" s="1">
        <f>0.03*Table1181920231030313235383940414[[#This Row],[النولون]]</f>
        <v>0</v>
      </c>
      <c r="K30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05" s="1">
        <f>M304+Table1181920231030313235383940414[[#This Row],[اجمالي الفاتوره]]-Table1181920231030313235383940414[[#This Row],[الدفعات]]</f>
        <v>17972</v>
      </c>
      <c r="O305" s="48"/>
    </row>
    <row r="306" spans="8:15" ht="26.25" customHeight="1" x14ac:dyDescent="0.3">
      <c r="H306" s="1">
        <f>0.14*Table1181920231030313235383940414[[#This Row],[النولون]]</f>
        <v>0</v>
      </c>
      <c r="I306" s="1">
        <f>0.03*Table1181920231030313235383940414[[#This Row],[النولون]]</f>
        <v>0</v>
      </c>
      <c r="K30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06" s="1">
        <f>M305+Table1181920231030313235383940414[[#This Row],[اجمالي الفاتوره]]-Table1181920231030313235383940414[[#This Row],[الدفعات]]</f>
        <v>17972</v>
      </c>
      <c r="O306" s="48"/>
    </row>
    <row r="307" spans="8:15" ht="26.25" customHeight="1" x14ac:dyDescent="0.3">
      <c r="H307" s="1">
        <f>0.14*Table1181920231030313235383940414[[#This Row],[النولون]]</f>
        <v>0</v>
      </c>
      <c r="I307" s="1">
        <f>0.03*Table1181920231030313235383940414[[#This Row],[النولون]]</f>
        <v>0</v>
      </c>
      <c r="K30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07" s="1">
        <f>M306+Table1181920231030313235383940414[[#This Row],[اجمالي الفاتوره]]-Table1181920231030313235383940414[[#This Row],[الدفعات]]</f>
        <v>17972</v>
      </c>
      <c r="O307" s="48"/>
    </row>
    <row r="308" spans="8:15" ht="26.25" customHeight="1" x14ac:dyDescent="0.3">
      <c r="H308" s="1">
        <f>0.14*Table1181920231030313235383940414[[#This Row],[النولون]]</f>
        <v>0</v>
      </c>
      <c r="I308" s="1">
        <f>0.03*Table1181920231030313235383940414[[#This Row],[النولون]]</f>
        <v>0</v>
      </c>
      <c r="K30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08" s="1">
        <f>M307+Table1181920231030313235383940414[[#This Row],[اجمالي الفاتوره]]-Table1181920231030313235383940414[[#This Row],[الدفعات]]</f>
        <v>17972</v>
      </c>
      <c r="O308" s="48"/>
    </row>
    <row r="309" spans="8:15" ht="26.25" customHeight="1" x14ac:dyDescent="0.3">
      <c r="H309" s="1">
        <f>0.14*Table1181920231030313235383940414[[#This Row],[النولون]]</f>
        <v>0</v>
      </c>
      <c r="I309" s="1">
        <f>0.03*Table1181920231030313235383940414[[#This Row],[النولون]]</f>
        <v>0</v>
      </c>
      <c r="K30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09" s="1">
        <f>M308+Table1181920231030313235383940414[[#This Row],[اجمالي الفاتوره]]-Table1181920231030313235383940414[[#This Row],[الدفعات]]</f>
        <v>17972</v>
      </c>
      <c r="O309" s="48"/>
    </row>
    <row r="310" spans="8:15" ht="26.25" customHeight="1" x14ac:dyDescent="0.3">
      <c r="H310" s="1">
        <f>0.14*Table1181920231030313235383940414[[#This Row],[النولون]]</f>
        <v>0</v>
      </c>
      <c r="I310" s="1">
        <f>0.03*Table1181920231030313235383940414[[#This Row],[النولون]]</f>
        <v>0</v>
      </c>
      <c r="K31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10" s="1">
        <f>M309+Table1181920231030313235383940414[[#This Row],[اجمالي الفاتوره]]-Table1181920231030313235383940414[[#This Row],[الدفعات]]</f>
        <v>17972</v>
      </c>
      <c r="O310" s="48"/>
    </row>
    <row r="311" spans="8:15" ht="26.25" customHeight="1" x14ac:dyDescent="0.3">
      <c r="H311" s="1">
        <f>0.14*Table1181920231030313235383940414[[#This Row],[النولون]]</f>
        <v>0</v>
      </c>
      <c r="I311" s="1">
        <f>0.03*Table1181920231030313235383940414[[#This Row],[النولون]]</f>
        <v>0</v>
      </c>
      <c r="K31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11" s="1">
        <f>M310+Table1181920231030313235383940414[[#This Row],[اجمالي الفاتوره]]-Table1181920231030313235383940414[[#This Row],[الدفعات]]</f>
        <v>17972</v>
      </c>
      <c r="O311" s="48"/>
    </row>
    <row r="312" spans="8:15" ht="26.25" customHeight="1" x14ac:dyDescent="0.3">
      <c r="H312" s="1">
        <f>0.14*Table1181920231030313235383940414[[#This Row],[النولون]]</f>
        <v>0</v>
      </c>
      <c r="I312" s="1">
        <f>0.03*Table1181920231030313235383940414[[#This Row],[النولون]]</f>
        <v>0</v>
      </c>
      <c r="K31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12" s="1">
        <f>M311+Table1181920231030313235383940414[[#This Row],[اجمالي الفاتوره]]-Table1181920231030313235383940414[[#This Row],[الدفعات]]</f>
        <v>17972</v>
      </c>
      <c r="O312" s="48"/>
    </row>
    <row r="313" spans="8:15" ht="26.25" customHeight="1" x14ac:dyDescent="0.3">
      <c r="H313" s="1">
        <f>0.14*Table1181920231030313235383940414[[#This Row],[النولون]]</f>
        <v>0</v>
      </c>
      <c r="I313" s="1">
        <f>0.03*Table1181920231030313235383940414[[#This Row],[النولون]]</f>
        <v>0</v>
      </c>
      <c r="K31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13" s="1">
        <f>M312+Table1181920231030313235383940414[[#This Row],[اجمالي الفاتوره]]-Table1181920231030313235383940414[[#This Row],[الدفعات]]</f>
        <v>17972</v>
      </c>
      <c r="O313" s="48"/>
    </row>
    <row r="314" spans="8:15" ht="26.25" customHeight="1" x14ac:dyDescent="0.3">
      <c r="H314" s="1">
        <f>0.14*Table1181920231030313235383940414[[#This Row],[النولون]]</f>
        <v>0</v>
      </c>
      <c r="I314" s="1">
        <f>0.03*Table1181920231030313235383940414[[#This Row],[النولون]]</f>
        <v>0</v>
      </c>
      <c r="K31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14" s="1">
        <f>M313+Table1181920231030313235383940414[[#This Row],[اجمالي الفاتوره]]-Table1181920231030313235383940414[[#This Row],[الدفعات]]</f>
        <v>17972</v>
      </c>
      <c r="O314" s="48"/>
    </row>
    <row r="315" spans="8:15" ht="26.25" customHeight="1" x14ac:dyDescent="0.3">
      <c r="H315" s="1">
        <f>0.14*Table1181920231030313235383940414[[#This Row],[النولون]]</f>
        <v>0</v>
      </c>
      <c r="I315" s="1">
        <f>0.03*Table1181920231030313235383940414[[#This Row],[النولون]]</f>
        <v>0</v>
      </c>
      <c r="K31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15" s="1">
        <f>M314+Table1181920231030313235383940414[[#This Row],[اجمالي الفاتوره]]-Table1181920231030313235383940414[[#This Row],[الدفعات]]</f>
        <v>17972</v>
      </c>
      <c r="O315" s="48"/>
    </row>
    <row r="316" spans="8:15" ht="26.25" customHeight="1" x14ac:dyDescent="0.3">
      <c r="H316" s="1">
        <f>0.14*Table1181920231030313235383940414[[#This Row],[النولون]]</f>
        <v>0</v>
      </c>
      <c r="I316" s="1">
        <f>0.03*Table1181920231030313235383940414[[#This Row],[النولون]]</f>
        <v>0</v>
      </c>
      <c r="K31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16" s="1">
        <f>M315+Table1181920231030313235383940414[[#This Row],[اجمالي الفاتوره]]-Table1181920231030313235383940414[[#This Row],[الدفعات]]</f>
        <v>17972</v>
      </c>
      <c r="O316" s="48"/>
    </row>
    <row r="317" spans="8:15" ht="26.25" customHeight="1" x14ac:dyDescent="0.3">
      <c r="H317" s="1">
        <f>0.14*Table1181920231030313235383940414[[#This Row],[النولون]]</f>
        <v>0</v>
      </c>
      <c r="I317" s="1">
        <f>0.03*Table1181920231030313235383940414[[#This Row],[النولون]]</f>
        <v>0</v>
      </c>
      <c r="K31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17" s="1">
        <f>M316+Table1181920231030313235383940414[[#This Row],[اجمالي الفاتوره]]-Table1181920231030313235383940414[[#This Row],[الدفعات]]</f>
        <v>17972</v>
      </c>
      <c r="O317" s="48"/>
    </row>
    <row r="318" spans="8:15" ht="26.25" customHeight="1" x14ac:dyDescent="0.3">
      <c r="H318" s="1">
        <f>0.14*Table1181920231030313235383940414[[#This Row],[النولون]]</f>
        <v>0</v>
      </c>
      <c r="I318" s="1">
        <f>0.03*Table1181920231030313235383940414[[#This Row],[النولون]]</f>
        <v>0</v>
      </c>
      <c r="K31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18" s="1">
        <f>M317+Table1181920231030313235383940414[[#This Row],[اجمالي الفاتوره]]-Table1181920231030313235383940414[[#This Row],[الدفعات]]</f>
        <v>17972</v>
      </c>
      <c r="O318" s="48"/>
    </row>
    <row r="319" spans="8:15" ht="26.25" customHeight="1" x14ac:dyDescent="0.3">
      <c r="H319" s="1">
        <f>0.14*Table1181920231030313235383940414[[#This Row],[النولون]]</f>
        <v>0</v>
      </c>
      <c r="I319" s="1">
        <f>0.03*Table1181920231030313235383940414[[#This Row],[النولون]]</f>
        <v>0</v>
      </c>
      <c r="K31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19" s="1">
        <f>M318+Table1181920231030313235383940414[[#This Row],[اجمالي الفاتوره]]-Table1181920231030313235383940414[[#This Row],[الدفعات]]</f>
        <v>17972</v>
      </c>
      <c r="O319" s="48"/>
    </row>
    <row r="320" spans="8:15" ht="26.25" customHeight="1" x14ac:dyDescent="0.3">
      <c r="H320" s="1">
        <f>0.14*Table1181920231030313235383940414[[#This Row],[النولون]]</f>
        <v>0</v>
      </c>
      <c r="I320" s="1">
        <f>0.03*Table1181920231030313235383940414[[#This Row],[النولون]]</f>
        <v>0</v>
      </c>
      <c r="K32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20" s="1">
        <f>M319+Table1181920231030313235383940414[[#This Row],[اجمالي الفاتوره]]-Table1181920231030313235383940414[[#This Row],[الدفعات]]</f>
        <v>17972</v>
      </c>
      <c r="O320" s="48"/>
    </row>
    <row r="321" spans="8:15" ht="26.25" customHeight="1" x14ac:dyDescent="0.3">
      <c r="H321" s="1">
        <f>0.14*Table1181920231030313235383940414[[#This Row],[النولون]]</f>
        <v>0</v>
      </c>
      <c r="I321" s="1">
        <f>0.03*Table1181920231030313235383940414[[#This Row],[النولون]]</f>
        <v>0</v>
      </c>
      <c r="K32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21" s="1">
        <f>M320+Table1181920231030313235383940414[[#This Row],[اجمالي الفاتوره]]-Table1181920231030313235383940414[[#This Row],[الدفعات]]</f>
        <v>17972</v>
      </c>
      <c r="O321" s="48"/>
    </row>
    <row r="322" spans="8:15" ht="26.25" customHeight="1" x14ac:dyDescent="0.3">
      <c r="H322" s="1">
        <f>0.14*Table1181920231030313235383940414[[#This Row],[النولون]]</f>
        <v>0</v>
      </c>
      <c r="I322" s="1">
        <f>0.03*Table1181920231030313235383940414[[#This Row],[النولون]]</f>
        <v>0</v>
      </c>
      <c r="K32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22" s="1">
        <f>M321+Table1181920231030313235383940414[[#This Row],[اجمالي الفاتوره]]-Table1181920231030313235383940414[[#This Row],[الدفعات]]</f>
        <v>17972</v>
      </c>
      <c r="O322" s="48"/>
    </row>
    <row r="323" spans="8:15" ht="26.25" customHeight="1" x14ac:dyDescent="0.3">
      <c r="H323" s="1">
        <f>0.14*Table1181920231030313235383940414[[#This Row],[النولون]]</f>
        <v>0</v>
      </c>
      <c r="I323" s="1">
        <f>0.03*Table1181920231030313235383940414[[#This Row],[النولون]]</f>
        <v>0</v>
      </c>
      <c r="K32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23" s="1">
        <f>M322+Table1181920231030313235383940414[[#This Row],[اجمالي الفاتوره]]-Table1181920231030313235383940414[[#This Row],[الدفعات]]</f>
        <v>17972</v>
      </c>
      <c r="O323" s="48"/>
    </row>
    <row r="324" spans="8:15" ht="26.25" customHeight="1" x14ac:dyDescent="0.3">
      <c r="H324" s="1">
        <f>0.14*Table1181920231030313235383940414[[#This Row],[النولون]]</f>
        <v>0</v>
      </c>
      <c r="I324" s="1">
        <f>0.03*Table1181920231030313235383940414[[#This Row],[النولون]]</f>
        <v>0</v>
      </c>
      <c r="K32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24" s="1">
        <f>M323+Table1181920231030313235383940414[[#This Row],[اجمالي الفاتوره]]-Table1181920231030313235383940414[[#This Row],[الدفعات]]</f>
        <v>17972</v>
      </c>
      <c r="O324" s="48"/>
    </row>
    <row r="325" spans="8:15" ht="26.25" customHeight="1" x14ac:dyDescent="0.3">
      <c r="H325" s="1">
        <f>0.14*Table1181920231030313235383940414[[#This Row],[النولون]]</f>
        <v>0</v>
      </c>
      <c r="I325" s="1">
        <f>0.03*Table1181920231030313235383940414[[#This Row],[النولون]]</f>
        <v>0</v>
      </c>
      <c r="K32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25" s="1">
        <f>M324+Table1181920231030313235383940414[[#This Row],[اجمالي الفاتوره]]-Table1181920231030313235383940414[[#This Row],[الدفعات]]</f>
        <v>17972</v>
      </c>
      <c r="O325" s="48"/>
    </row>
    <row r="326" spans="8:15" ht="26.25" customHeight="1" x14ac:dyDescent="0.3">
      <c r="H326" s="1">
        <f>0.14*Table1181920231030313235383940414[[#This Row],[النولون]]</f>
        <v>0</v>
      </c>
      <c r="I326" s="1">
        <f>0.03*Table1181920231030313235383940414[[#This Row],[النولون]]</f>
        <v>0</v>
      </c>
      <c r="K32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26" s="1">
        <f>M325+Table1181920231030313235383940414[[#This Row],[اجمالي الفاتوره]]-Table1181920231030313235383940414[[#This Row],[الدفعات]]</f>
        <v>17972</v>
      </c>
      <c r="O326" s="48"/>
    </row>
    <row r="327" spans="8:15" ht="26.25" customHeight="1" x14ac:dyDescent="0.3">
      <c r="H327" s="1">
        <f>0.14*Table1181920231030313235383940414[[#This Row],[النولون]]</f>
        <v>0</v>
      </c>
      <c r="I327" s="1">
        <f>0.03*Table1181920231030313235383940414[[#This Row],[النولون]]</f>
        <v>0</v>
      </c>
      <c r="K32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27" s="1">
        <f>M326+Table1181920231030313235383940414[[#This Row],[اجمالي الفاتوره]]-Table1181920231030313235383940414[[#This Row],[الدفعات]]</f>
        <v>17972</v>
      </c>
      <c r="O327" s="48"/>
    </row>
    <row r="328" spans="8:15" ht="26.25" customHeight="1" x14ac:dyDescent="0.3">
      <c r="H328" s="1">
        <f>0.14*Table1181920231030313235383940414[[#This Row],[النولون]]</f>
        <v>0</v>
      </c>
      <c r="I328" s="1">
        <f>0.03*Table1181920231030313235383940414[[#This Row],[النولون]]</f>
        <v>0</v>
      </c>
      <c r="K32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28" s="1">
        <f>M327+Table1181920231030313235383940414[[#This Row],[اجمالي الفاتوره]]-Table1181920231030313235383940414[[#This Row],[الدفعات]]</f>
        <v>17972</v>
      </c>
      <c r="O328" s="48"/>
    </row>
    <row r="329" spans="8:15" ht="26.25" customHeight="1" x14ac:dyDescent="0.3">
      <c r="H329" s="1">
        <f>0.14*Table1181920231030313235383940414[[#This Row],[النولون]]</f>
        <v>0</v>
      </c>
      <c r="I329" s="1">
        <f>0.03*Table1181920231030313235383940414[[#This Row],[النولون]]</f>
        <v>0</v>
      </c>
      <c r="K32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29" s="1">
        <f>M328+Table1181920231030313235383940414[[#This Row],[اجمالي الفاتوره]]-Table1181920231030313235383940414[[#This Row],[الدفعات]]</f>
        <v>17972</v>
      </c>
      <c r="O329" s="48"/>
    </row>
    <row r="330" spans="8:15" ht="26.25" customHeight="1" x14ac:dyDescent="0.3">
      <c r="H330" s="1">
        <f>0.14*Table1181920231030313235383940414[[#This Row],[النولون]]</f>
        <v>0</v>
      </c>
      <c r="I330" s="1">
        <f>0.03*Table1181920231030313235383940414[[#This Row],[النولون]]</f>
        <v>0</v>
      </c>
      <c r="K330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30" s="1">
        <f>M329+Table1181920231030313235383940414[[#This Row],[اجمالي الفاتوره]]-Table1181920231030313235383940414[[#This Row],[الدفعات]]</f>
        <v>17972</v>
      </c>
      <c r="O330" s="48"/>
    </row>
    <row r="331" spans="8:15" ht="26.25" customHeight="1" x14ac:dyDescent="0.3">
      <c r="H331" s="1">
        <f>0.14*Table1181920231030313235383940414[[#This Row],[النولون]]</f>
        <v>0</v>
      </c>
      <c r="I331" s="1">
        <f>0.03*Table1181920231030313235383940414[[#This Row],[النولون]]</f>
        <v>0</v>
      </c>
      <c r="K331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31" s="1">
        <f>M330+Table1181920231030313235383940414[[#This Row],[اجمالي الفاتوره]]-Table1181920231030313235383940414[[#This Row],[الدفعات]]</f>
        <v>17972</v>
      </c>
      <c r="O331" s="48"/>
    </row>
    <row r="332" spans="8:15" ht="26.25" customHeight="1" x14ac:dyDescent="0.3">
      <c r="H332" s="1">
        <f>0.14*Table1181920231030313235383940414[[#This Row],[النولون]]</f>
        <v>0</v>
      </c>
      <c r="I332" s="1">
        <f>0.03*Table1181920231030313235383940414[[#This Row],[النولون]]</f>
        <v>0</v>
      </c>
      <c r="K332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32" s="1">
        <f>M331+Table1181920231030313235383940414[[#This Row],[اجمالي الفاتوره]]-Table1181920231030313235383940414[[#This Row],[الدفعات]]</f>
        <v>17972</v>
      </c>
      <c r="O332" s="48"/>
    </row>
    <row r="333" spans="8:15" ht="26.25" customHeight="1" x14ac:dyDescent="0.3">
      <c r="H333" s="1">
        <f>0.14*Table1181920231030313235383940414[[#This Row],[النولون]]</f>
        <v>0</v>
      </c>
      <c r="I333" s="1">
        <f>0.03*Table1181920231030313235383940414[[#This Row],[النولون]]</f>
        <v>0</v>
      </c>
      <c r="K333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33" s="1">
        <f>M332+Table1181920231030313235383940414[[#This Row],[اجمالي الفاتوره]]-Table1181920231030313235383940414[[#This Row],[الدفعات]]</f>
        <v>17972</v>
      </c>
      <c r="O333" s="48"/>
    </row>
    <row r="334" spans="8:15" ht="26.25" customHeight="1" x14ac:dyDescent="0.3">
      <c r="H334" s="1">
        <f>0.14*Table1181920231030313235383940414[[#This Row],[النولون]]</f>
        <v>0</v>
      </c>
      <c r="I334" s="1">
        <f>0.03*Table1181920231030313235383940414[[#This Row],[النولون]]</f>
        <v>0</v>
      </c>
      <c r="K334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34" s="1">
        <f>M333+Table1181920231030313235383940414[[#This Row],[اجمالي الفاتوره]]-Table1181920231030313235383940414[[#This Row],[الدفعات]]</f>
        <v>17972</v>
      </c>
      <c r="O334" s="48"/>
    </row>
    <row r="335" spans="8:15" ht="26.25" customHeight="1" x14ac:dyDescent="0.3">
      <c r="H335" s="1">
        <f>0.14*Table1181920231030313235383940414[[#This Row],[النولون]]</f>
        <v>0</v>
      </c>
      <c r="I335" s="1">
        <f>0.03*Table1181920231030313235383940414[[#This Row],[النولون]]</f>
        <v>0</v>
      </c>
      <c r="K335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35" s="1">
        <f>M334+Table1181920231030313235383940414[[#This Row],[اجمالي الفاتوره]]-Table1181920231030313235383940414[[#This Row],[الدفعات]]</f>
        <v>17972</v>
      </c>
      <c r="O335" s="48"/>
    </row>
    <row r="336" spans="8:15" ht="26.25" customHeight="1" x14ac:dyDescent="0.3">
      <c r="H336" s="1">
        <f>0.14*Table1181920231030313235383940414[[#This Row],[النولون]]</f>
        <v>0</v>
      </c>
      <c r="I336" s="1">
        <f>0.03*Table1181920231030313235383940414[[#This Row],[النولون]]</f>
        <v>0</v>
      </c>
      <c r="K336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36" s="1">
        <f>M335+Table1181920231030313235383940414[[#This Row],[اجمالي الفاتوره]]-Table1181920231030313235383940414[[#This Row],[الدفعات]]</f>
        <v>17972</v>
      </c>
      <c r="O336" s="48"/>
    </row>
    <row r="337" spans="8:15" ht="26.25" customHeight="1" x14ac:dyDescent="0.3">
      <c r="H337" s="1">
        <f>0.14*Table1181920231030313235383940414[[#This Row],[النولون]]</f>
        <v>0</v>
      </c>
      <c r="I337" s="1">
        <f>0.03*Table1181920231030313235383940414[[#This Row],[النولون]]</f>
        <v>0</v>
      </c>
      <c r="K337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37" s="1">
        <f>M336+Table1181920231030313235383940414[[#This Row],[اجمالي الفاتوره]]-Table1181920231030313235383940414[[#This Row],[الدفعات]]</f>
        <v>17972</v>
      </c>
      <c r="O337" s="48"/>
    </row>
    <row r="338" spans="8:15" ht="26.25" customHeight="1" x14ac:dyDescent="0.3">
      <c r="H338" s="1">
        <f>0.14*Table1181920231030313235383940414[[#This Row],[النولون]]</f>
        <v>0</v>
      </c>
      <c r="I338" s="1">
        <f>0.03*Table1181920231030313235383940414[[#This Row],[النولون]]</f>
        <v>0</v>
      </c>
      <c r="K338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38" s="1">
        <f>M337+Table1181920231030313235383940414[[#This Row],[اجمالي الفاتوره]]-Table1181920231030313235383940414[[#This Row],[الدفعات]]</f>
        <v>17972</v>
      </c>
      <c r="O338" s="48"/>
    </row>
    <row r="339" spans="8:15" ht="26.25" customHeight="1" x14ac:dyDescent="0.3">
      <c r="H339" s="1">
        <f>0.14*Table1181920231030313235383940414[[#This Row],[النولون]]</f>
        <v>0</v>
      </c>
      <c r="I339" s="1">
        <f>0.03*Table1181920231030313235383940414[[#This Row],[النولون]]</f>
        <v>0</v>
      </c>
      <c r="K339" s="1">
        <f>Table1181920231030313235383940414[[#This Row],[النولون]]+Table1181920231030313235383940414[[#This Row],[الايصالات]]-Table1181920231030313235383940414[[#This Row],[خصم أ ت ص]]+Table1181920231030313235383940414[[#This Row],[قيمة مضافة]]</f>
        <v>0</v>
      </c>
      <c r="M339" s="1">
        <f>M338+Table1181920231030313235383940414[[#This Row],[اجمالي الفاتوره]]-Table1181920231030313235383940414[[#This Row],[الدفعات]]</f>
        <v>17972</v>
      </c>
      <c r="O339" s="48"/>
    </row>
  </sheetData>
  <phoneticPr fontId="2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341"/>
  <sheetViews>
    <sheetView rightToLeft="1" workbookViewId="0">
      <pane ySplit="1" topLeftCell="A73" activePane="bottomLeft" state="frozen"/>
      <selection activeCell="C17" sqref="C17"/>
      <selection pane="bottomLeft" activeCell="K86" sqref="K86"/>
    </sheetView>
  </sheetViews>
  <sheetFormatPr defaultColWidth="9.109375" defaultRowHeight="22.5" customHeight="1" x14ac:dyDescent="0.3"/>
  <cols>
    <col min="1" max="1" width="6.21875" style="6" customWidth="1"/>
    <col min="2" max="2" width="5.44140625" style="1" customWidth="1"/>
    <col min="3" max="3" width="11" style="1" customWidth="1"/>
    <col min="4" max="4" width="15.6640625" style="1" customWidth="1"/>
    <col min="5" max="5" width="11.21875" style="1" customWidth="1"/>
    <col min="6" max="6" width="13.33203125" style="1" customWidth="1"/>
    <col min="7" max="7" width="14.33203125" style="1" customWidth="1"/>
    <col min="8" max="8" width="11.6640625" style="1" customWidth="1"/>
    <col min="9" max="9" width="8.21875" style="1" customWidth="1"/>
    <col min="10" max="10" width="10.77734375" style="1" customWidth="1"/>
    <col min="11" max="11" width="12.109375" style="1" customWidth="1"/>
    <col min="12" max="12" width="9.88671875" style="1" customWidth="1"/>
    <col min="13" max="13" width="15.21875" style="1" customWidth="1"/>
    <col min="14" max="14" width="11.109375" style="1" customWidth="1"/>
    <col min="15" max="16384" width="9.109375" style="1"/>
  </cols>
  <sheetData>
    <row r="1" spans="1:15" ht="22.5" customHeight="1" x14ac:dyDescent="0.3">
      <c r="A1" s="6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8" t="s">
        <v>20</v>
      </c>
    </row>
    <row r="2" spans="1:15" ht="22.5" customHeight="1" x14ac:dyDescent="0.3">
      <c r="C2" s="2"/>
      <c r="I2" s="1">
        <f>0.14*Table118192023103031323538394042[[#This Row],[النولون]]</f>
        <v>0</v>
      </c>
      <c r="K2" s="1">
        <f>Table118192023103031323538394042[[#This Row],[النولون]]+Table118192023103031323538394042[[#This Row],[الايصالات]]+Table118192023103031323538394042[[#This Row],[قيمة مضافة]]</f>
        <v>0</v>
      </c>
      <c r="M2" s="1">
        <f>217793.48-103000</f>
        <v>114793.48000000001</v>
      </c>
      <c r="O2" s="48"/>
    </row>
    <row r="3" spans="1:15" ht="22.5" customHeight="1" x14ac:dyDescent="0.3">
      <c r="A3" s="6">
        <v>1211</v>
      </c>
      <c r="B3" s="1">
        <v>1</v>
      </c>
      <c r="C3" s="2" t="s">
        <v>86</v>
      </c>
      <c r="D3" s="1" t="s">
        <v>93</v>
      </c>
      <c r="E3" s="1" t="s">
        <v>94</v>
      </c>
      <c r="F3" s="1">
        <v>534885</v>
      </c>
      <c r="G3" s="1" t="s">
        <v>204</v>
      </c>
      <c r="H3" s="1">
        <f>14800*10</f>
        <v>148000</v>
      </c>
      <c r="I3" s="1">
        <f>0.14*Table118192023103031323538394042[[#This Row],[النولون]]</f>
        <v>20720.000000000004</v>
      </c>
      <c r="J3" s="1">
        <f>1135+5*1100+4*1105+105.79+394.32+599.4+333.68+394.32+88.73+639.11+485.3+397.15+389.32+668.33+628.73+1245*2+4*1300+5365.01</f>
        <v>29234.190000000002</v>
      </c>
      <c r="K3" s="1">
        <f>Table118192023103031323538394042[[#This Row],[النولون]]+Table118192023103031323538394042[[#This Row],[الايصالات]]+Table118192023103031323538394042[[#This Row],[قيمة مضافة]]</f>
        <v>197954.19</v>
      </c>
      <c r="M3" s="1">
        <f>M2+Table118192023103031323538394042[[#This Row],[اجمالي الفاتوره]]-Table118192023103031323538394042[[#This Row],[الدفعات]]</f>
        <v>312747.67000000004</v>
      </c>
      <c r="O3" s="48"/>
    </row>
    <row r="4" spans="1:15" ht="22.5" customHeight="1" x14ac:dyDescent="0.3">
      <c r="A4" s="74"/>
      <c r="B4" s="76"/>
      <c r="C4" s="73" t="s">
        <v>236</v>
      </c>
      <c r="D4" s="76"/>
      <c r="E4" s="76"/>
      <c r="F4" s="76"/>
      <c r="G4" s="76"/>
      <c r="H4" s="76"/>
      <c r="I4" s="76">
        <f>0.14*Table118192023103031323538394042[[#This Row],[النولون]]</f>
        <v>0</v>
      </c>
      <c r="J4" s="76"/>
      <c r="K4" s="76">
        <f>Table118192023103031323538394042[[#This Row],[النولون]]+Table118192023103031323538394042[[#This Row],[الايصالات]]+Table118192023103031323538394042[[#This Row],[قيمة مضافة]]</f>
        <v>0</v>
      </c>
      <c r="L4" s="76">
        <v>300000</v>
      </c>
      <c r="M4" s="72">
        <f>M3+Table118192023103031323538394042[[#This Row],[اجمالي الفاتوره]]-Table118192023103031323538394042[[#This Row],[الدفعات]]</f>
        <v>12747.670000000042</v>
      </c>
      <c r="N4" s="48"/>
      <c r="O4" s="48"/>
    </row>
    <row r="5" spans="1:15" ht="22.5" customHeight="1" x14ac:dyDescent="0.3">
      <c r="B5" s="1">
        <v>2</v>
      </c>
      <c r="C5" s="2" t="s">
        <v>86</v>
      </c>
      <c r="D5" s="1" t="s">
        <v>95</v>
      </c>
      <c r="E5" s="1" t="s">
        <v>96</v>
      </c>
      <c r="F5" s="1">
        <v>529643</v>
      </c>
      <c r="G5" s="1" t="s">
        <v>97</v>
      </c>
      <c r="H5" s="1">
        <f>2*5500</f>
        <v>11000</v>
      </c>
      <c r="I5" s="1">
        <v>0</v>
      </c>
      <c r="J5" s="1">
        <f>107.75+113.09</f>
        <v>220.84</v>
      </c>
      <c r="K5" s="1">
        <f>Table118192023103031323538394042[[#This Row],[النولون]]+Table118192023103031323538394042[[#This Row],[الايصالات]]+Table118192023103031323538394042[[#This Row],[قيمة مضافة]]</f>
        <v>11220.84</v>
      </c>
      <c r="M5" s="1">
        <f>M4+Table118192023103031323538394042[[#This Row],[اجمالي الفاتوره]]-Table118192023103031323538394042[[#This Row],[الدفعات]]</f>
        <v>23968.510000000042</v>
      </c>
      <c r="O5" s="48"/>
    </row>
    <row r="6" spans="1:15" ht="22.5" customHeight="1" x14ac:dyDescent="0.3">
      <c r="A6" s="6">
        <v>1216</v>
      </c>
      <c r="B6" s="1">
        <v>3</v>
      </c>
      <c r="C6" s="2" t="s">
        <v>113</v>
      </c>
      <c r="D6" s="1" t="s">
        <v>93</v>
      </c>
      <c r="E6" s="1" t="s">
        <v>94</v>
      </c>
      <c r="F6" s="1">
        <v>263506263</v>
      </c>
      <c r="G6" s="1" t="s">
        <v>121</v>
      </c>
      <c r="H6" s="1">
        <v>14800</v>
      </c>
      <c r="I6" s="1">
        <v>0</v>
      </c>
      <c r="J6" s="1">
        <f>1100+105.79+429.91+25.1+500+4259</f>
        <v>6419.8</v>
      </c>
      <c r="K6" s="1">
        <f>Table118192023103031323538394042[[#This Row],[النولون]]+Table118192023103031323538394042[[#This Row],[الايصالات]]+Table118192023103031323538394042[[#This Row],[قيمة مضافة]]</f>
        <v>21219.8</v>
      </c>
      <c r="M6" s="1">
        <f>M5+Table118192023103031323538394042[[#This Row],[اجمالي الفاتوره]]-Table118192023103031323538394042[[#This Row],[الدفعات]]</f>
        <v>45188.310000000041</v>
      </c>
      <c r="O6" s="48"/>
    </row>
    <row r="7" spans="1:15" ht="22.5" customHeight="1" x14ac:dyDescent="0.3">
      <c r="A7" s="6">
        <v>1223</v>
      </c>
      <c r="B7" s="1">
        <v>4</v>
      </c>
      <c r="C7" s="2" t="s">
        <v>135</v>
      </c>
      <c r="D7" s="1" t="s">
        <v>136</v>
      </c>
      <c r="E7" s="1" t="s">
        <v>94</v>
      </c>
      <c r="F7" s="1">
        <v>3869</v>
      </c>
      <c r="G7" s="1" t="s">
        <v>92</v>
      </c>
      <c r="H7" s="1">
        <f>14800*2</f>
        <v>29600</v>
      </c>
      <c r="I7" s="1">
        <f>0.14*Table118192023103031323538394042[[#This Row],[النولون]]</f>
        <v>4144</v>
      </c>
      <c r="J7" s="1">
        <f>810+105.79*2+237.58+262.69+1254*2+100+228</f>
        <v>4357.8500000000004</v>
      </c>
      <c r="K7" s="1">
        <f>Table118192023103031323538394042[[#This Row],[النولون]]+Table118192023103031323538394042[[#This Row],[الايصالات]]+Table118192023103031323538394042[[#This Row],[قيمة مضافة]]</f>
        <v>38101.85</v>
      </c>
      <c r="M7" s="1">
        <f>M6+Table118192023103031323538394042[[#This Row],[اجمالي الفاتوره]]-Table118192023103031323538394042[[#This Row],[الدفعات]]</f>
        <v>83290.160000000033</v>
      </c>
      <c r="O7" s="48"/>
    </row>
    <row r="8" spans="1:15" ht="22.5" customHeight="1" x14ac:dyDescent="0.3">
      <c r="B8" s="1">
        <v>5</v>
      </c>
      <c r="C8" s="2" t="s">
        <v>182</v>
      </c>
      <c r="D8" s="1" t="s">
        <v>183</v>
      </c>
      <c r="E8" s="1" t="s">
        <v>94</v>
      </c>
      <c r="F8" s="1">
        <v>16627</v>
      </c>
      <c r="G8" s="1" t="s">
        <v>184</v>
      </c>
      <c r="H8" s="1">
        <f>14800*7</f>
        <v>103600</v>
      </c>
      <c r="I8" s="1">
        <v>0</v>
      </c>
      <c r="J8" s="1">
        <f>390+100+810+1407.9*7+336.51+399.98+397.15+729.72+668.33+462.37+362.27</f>
        <v>14511.630000000001</v>
      </c>
      <c r="K8" s="1">
        <f>Table118192023103031323538394042[[#This Row],[النولون]]+Table118192023103031323538394042[[#This Row],[الايصالات]]+Table118192023103031323538394042[[#This Row],[قيمة مضافة]]</f>
        <v>118111.63</v>
      </c>
      <c r="M8" s="1">
        <f>M7+Table118192023103031323538394042[[#This Row],[اجمالي الفاتوره]]-Table118192023103031323538394042[[#This Row],[الدفعات]]</f>
        <v>201401.79000000004</v>
      </c>
      <c r="O8" s="48"/>
    </row>
    <row r="9" spans="1:15" ht="22.5" customHeight="1" x14ac:dyDescent="0.3">
      <c r="A9" s="6">
        <v>1239</v>
      </c>
      <c r="B9" s="1">
        <v>6</v>
      </c>
      <c r="C9" s="2" t="s">
        <v>182</v>
      </c>
      <c r="D9" s="1" t="s">
        <v>185</v>
      </c>
      <c r="E9" s="1" t="s">
        <v>94</v>
      </c>
      <c r="F9" s="1">
        <v>16710</v>
      </c>
      <c r="G9" s="1" t="s">
        <v>186</v>
      </c>
      <c r="H9" s="1">
        <f>14800*8</f>
        <v>118400</v>
      </c>
      <c r="I9" s="1">
        <f>0.14*Table118192023103031323538394042[[#This Row],[النولون]]</f>
        <v>16576</v>
      </c>
      <c r="J9" s="1">
        <f>125+100+747.76+663.08+549.16+392.15+389.32+362.27+359.44+389.32+5796.9+1749.9+1635.9+5*1407.9</f>
        <v>20299.699999999997</v>
      </c>
      <c r="K9" s="1">
        <f>Table118192023103031323538394042[[#This Row],[النولون]]+Table118192023103031323538394042[[#This Row],[الايصالات]]+Table118192023103031323538394042[[#This Row],[قيمة مضافة]]</f>
        <v>155275.70000000001</v>
      </c>
      <c r="M9" s="1">
        <f>M8+Table118192023103031323538394042[[#This Row],[اجمالي الفاتوره]]-Table118192023103031323538394042[[#This Row],[الدفعات]]</f>
        <v>356677.49000000005</v>
      </c>
      <c r="O9" s="48"/>
    </row>
    <row r="10" spans="1:15" ht="22.5" customHeight="1" x14ac:dyDescent="0.3">
      <c r="A10" s="6">
        <v>1246</v>
      </c>
      <c r="B10" s="1">
        <v>7</v>
      </c>
      <c r="C10" s="2" t="s">
        <v>199</v>
      </c>
      <c r="D10" s="1" t="s">
        <v>202</v>
      </c>
      <c r="E10" s="1" t="s">
        <v>203</v>
      </c>
      <c r="F10" s="1">
        <v>19420</v>
      </c>
      <c r="G10" s="1" t="s">
        <v>204</v>
      </c>
      <c r="H10" s="1">
        <f>14800*10</f>
        <v>148000</v>
      </c>
      <c r="I10" s="1">
        <f>0.14*Table118192023103031323538394042[[#This Row],[النولون]]</f>
        <v>20720.000000000004</v>
      </c>
      <c r="J10" s="1">
        <f>2500+3*1100+6*1135+247.78+326.71+220.04+182.79+105.79+262.53+264.79+318.88+321.05+293.84+171.48+123+3449.64+10641.9+228+2091.9+6480.9+3231.9+1179.9+1179.9+1407.9*4</f>
        <v>49564.320000000007</v>
      </c>
      <c r="K10" s="1">
        <f>Table118192023103031323538394042[[#This Row],[النولون]]+Table118192023103031323538394042[[#This Row],[الايصالات]]+Table118192023103031323538394042[[#This Row],[قيمة مضافة]]</f>
        <v>218284.32</v>
      </c>
      <c r="M10" s="1">
        <f>M9+Table118192023103031323538394042[[#This Row],[اجمالي الفاتوره]]-Table118192023103031323538394042[[#This Row],[الدفعات]]</f>
        <v>574961.81000000006</v>
      </c>
      <c r="N10" s="1">
        <f>SUM(K:K)-SUM(L:L)+M2</f>
        <v>744759.3900000006</v>
      </c>
      <c r="O10" s="48">
        <f>SUM(I:I)</f>
        <v>282354.8</v>
      </c>
    </row>
    <row r="11" spans="1:15" ht="22.5" customHeight="1" x14ac:dyDescent="0.3">
      <c r="B11" s="1">
        <v>8</v>
      </c>
      <c r="C11" s="2" t="s">
        <v>199</v>
      </c>
      <c r="D11" s="1" t="s">
        <v>205</v>
      </c>
      <c r="E11" s="1" t="s">
        <v>206</v>
      </c>
      <c r="F11" s="1">
        <v>12774</v>
      </c>
      <c r="G11" s="1" t="s">
        <v>92</v>
      </c>
      <c r="H11" s="1">
        <f>15200*2</f>
        <v>30400</v>
      </c>
      <c r="I11" s="1">
        <v>0</v>
      </c>
      <c r="J11" s="1">
        <f>1100+1135+292.57+227.12+689.93+1521.9+1407.9</f>
        <v>6374.42</v>
      </c>
      <c r="K11" s="1">
        <f>Table118192023103031323538394042[[#This Row],[النولون]]+Table118192023103031323538394042[[#This Row],[الايصالات]]+Table118192023103031323538394042[[#This Row],[قيمة مضافة]]</f>
        <v>36774.42</v>
      </c>
      <c r="M11" s="1">
        <f>M10+Table118192023103031323538394042[[#This Row],[اجمالي الفاتوره]]-Table118192023103031323538394042[[#This Row],[الدفعات]]</f>
        <v>611736.2300000001</v>
      </c>
      <c r="O11" s="48"/>
    </row>
    <row r="12" spans="1:15" ht="22.5" customHeight="1" x14ac:dyDescent="0.3">
      <c r="A12" s="6">
        <v>1264</v>
      </c>
      <c r="B12" s="1">
        <v>9</v>
      </c>
      <c r="C12" s="2" t="s">
        <v>256</v>
      </c>
      <c r="D12" s="1" t="s">
        <v>185</v>
      </c>
      <c r="E12" s="1" t="s">
        <v>94</v>
      </c>
      <c r="F12" s="1">
        <v>35139</v>
      </c>
      <c r="G12" s="1" t="s">
        <v>158</v>
      </c>
      <c r="H12" s="1">
        <f>14800*3</f>
        <v>44400</v>
      </c>
      <c r="I12" s="1">
        <f>0.14*Table118192023103031323538394042[[#This Row],[النولون]]</f>
        <v>6216.0000000000009</v>
      </c>
      <c r="J12" s="1">
        <f>850+5010+289.09+268.34+300.4+1370*3+150</f>
        <v>10977.83</v>
      </c>
      <c r="K12" s="1">
        <f>Table118192023103031323538394042[[#This Row],[النولون]]+Table118192023103031323538394042[[#This Row],[الايصالات]]+Table118192023103031323538394042[[#This Row],[قيمة مضافة]]</f>
        <v>61593.83</v>
      </c>
      <c r="M12" s="1">
        <f>M11+Table118192023103031323538394042[[#This Row],[اجمالي الفاتوره]]-Table118192023103031323538394042[[#This Row],[الدفعات]]</f>
        <v>673330.06</v>
      </c>
      <c r="O12" s="48"/>
    </row>
    <row r="13" spans="1:15" ht="22.5" customHeight="1" x14ac:dyDescent="0.3">
      <c r="A13" s="6">
        <v>1265</v>
      </c>
      <c r="B13" s="1">
        <v>10</v>
      </c>
      <c r="C13" s="2" t="s">
        <v>256</v>
      </c>
      <c r="D13" s="1" t="s">
        <v>185</v>
      </c>
      <c r="E13" s="1" t="s">
        <v>94</v>
      </c>
      <c r="F13" s="1">
        <v>35057</v>
      </c>
      <c r="G13" s="1" t="s">
        <v>121</v>
      </c>
      <c r="H13" s="1">
        <v>14800</v>
      </c>
      <c r="I13" s="1">
        <f>0.14*Table118192023103031323538394042[[#This Row],[النولون]]</f>
        <v>2072</v>
      </c>
      <c r="J13" s="1">
        <f>850+3160+358.01+912+2850+478.8+150</f>
        <v>8758.81</v>
      </c>
      <c r="K13" s="1">
        <f>Table118192023103031323538394042[[#This Row],[النولون]]+Table118192023103031323538394042[[#This Row],[الايصالات]]+Table118192023103031323538394042[[#This Row],[قيمة مضافة]]</f>
        <v>25630.809999999998</v>
      </c>
      <c r="M13" s="1">
        <f>M12+Table118192023103031323538394042[[#This Row],[اجمالي الفاتوره]]-Table118192023103031323538394042[[#This Row],[الدفعات]]</f>
        <v>698960.87000000011</v>
      </c>
      <c r="O13" s="48"/>
    </row>
    <row r="14" spans="1:15" ht="22.5" customHeight="1" x14ac:dyDescent="0.3">
      <c r="A14" s="6">
        <v>1266</v>
      </c>
      <c r="B14" s="1">
        <v>11</v>
      </c>
      <c r="C14" s="2" t="s">
        <v>256</v>
      </c>
      <c r="D14" s="1" t="s">
        <v>257</v>
      </c>
      <c r="E14" s="1" t="s">
        <v>94</v>
      </c>
      <c r="F14" s="1">
        <v>35421</v>
      </c>
      <c r="G14" s="1" t="s">
        <v>121</v>
      </c>
      <c r="H14" s="1">
        <v>14800</v>
      </c>
      <c r="I14" s="1">
        <f>0.14*Table118192023103031323538394042[[#This Row],[النولون]]</f>
        <v>2072</v>
      </c>
      <c r="J14" s="1">
        <f>1100+155.55+912+478.8</f>
        <v>2646.3500000000004</v>
      </c>
      <c r="K14" s="1">
        <f>Table118192023103031323538394042[[#This Row],[النولون]]+Table118192023103031323538394042[[#This Row],[الايصالات]]+Table118192023103031323538394042[[#This Row],[قيمة مضافة]]</f>
        <v>19518.349999999999</v>
      </c>
      <c r="M14" s="1">
        <f>M13+Table118192023103031323538394042[[#This Row],[اجمالي الفاتوره]]-Table118192023103031323538394042[[#This Row],[الدفعات]]</f>
        <v>718479.22000000009</v>
      </c>
      <c r="O14" s="48"/>
    </row>
    <row r="15" spans="1:15" ht="22.5" customHeight="1" x14ac:dyDescent="0.3">
      <c r="B15" s="1">
        <v>12</v>
      </c>
      <c r="C15" s="2" t="s">
        <v>256</v>
      </c>
      <c r="D15" s="1" t="s">
        <v>258</v>
      </c>
      <c r="E15" s="1" t="s">
        <v>259</v>
      </c>
      <c r="F15" s="1">
        <v>31084</v>
      </c>
      <c r="G15" s="1" t="s">
        <v>260</v>
      </c>
      <c r="H15" s="1">
        <f>13800+11500</f>
        <v>25300</v>
      </c>
      <c r="I15" s="1">
        <v>0</v>
      </c>
      <c r="J15" s="1">
        <f>1135+560+222.12+140.71+100+1300+1370</f>
        <v>4827.83</v>
      </c>
      <c r="K15" s="1">
        <f>Table118192023103031323538394042[[#This Row],[النولون]]+Table118192023103031323538394042[[#This Row],[الايصالات]]+Table118192023103031323538394042[[#This Row],[قيمة مضافة]]</f>
        <v>30127.83</v>
      </c>
      <c r="M15" s="1">
        <f>M14+Table118192023103031323538394042[[#This Row],[اجمالي الفاتوره]]-Table118192023103031323538394042[[#This Row],[الدفعات]]</f>
        <v>748607.05</v>
      </c>
      <c r="O15" s="48"/>
    </row>
    <row r="16" spans="1:15" ht="22.5" customHeight="1" x14ac:dyDescent="0.3">
      <c r="B16" s="1">
        <v>13</v>
      </c>
      <c r="C16" s="2" t="s">
        <v>256</v>
      </c>
      <c r="D16" s="1" t="s">
        <v>183</v>
      </c>
      <c r="E16" s="1" t="s">
        <v>94</v>
      </c>
      <c r="F16" s="1">
        <v>41572</v>
      </c>
      <c r="G16" s="1" t="s">
        <v>91</v>
      </c>
      <c r="H16" s="1">
        <f>14800*5</f>
        <v>74000</v>
      </c>
      <c r="I16" s="1">
        <v>0</v>
      </c>
      <c r="J16" s="1">
        <f>10855+150+303.22+297.57+262.69+303.22+306.05+1300*2</f>
        <v>15077.749999999998</v>
      </c>
      <c r="K16" s="1">
        <f>Table118192023103031323538394042[[#This Row],[النولون]]+Table118192023103031323538394042[[#This Row],[الايصالات]]+Table118192023103031323538394042[[#This Row],[قيمة مضافة]]</f>
        <v>89077.75</v>
      </c>
      <c r="M16" s="1">
        <f>M15+Table118192023103031323538394042[[#This Row],[اجمالي الفاتوره]]-Table118192023103031323538394042[[#This Row],[الدفعات]]</f>
        <v>837684.8</v>
      </c>
      <c r="O16" s="48"/>
    </row>
    <row r="17" spans="1:15" ht="22.5" customHeight="1" x14ac:dyDescent="0.3">
      <c r="A17" s="74"/>
      <c r="B17" s="72"/>
      <c r="C17" s="73" t="s">
        <v>292</v>
      </c>
      <c r="D17" s="72"/>
      <c r="E17" s="72"/>
      <c r="F17" s="72"/>
      <c r="G17" s="72"/>
      <c r="H17" s="72"/>
      <c r="I17" s="72">
        <f>0.14*Table118192023103031323538394042[[#This Row],[النولون]]</f>
        <v>0</v>
      </c>
      <c r="J17" s="72"/>
      <c r="K17" s="72">
        <f>Table118192023103031323538394042[[#This Row],[النولون]]+Table118192023103031323538394042[[#This Row],[الايصالات]]+Table118192023103031323538394042[[#This Row],[قيمة مضافة]]</f>
        <v>0</v>
      </c>
      <c r="L17" s="72">
        <v>200000</v>
      </c>
      <c r="M17" s="72">
        <f>M16+Table118192023103031323538394042[[#This Row],[اجمالي الفاتوره]]-Table118192023103031323538394042[[#This Row],[الدفعات]]</f>
        <v>637684.80000000005</v>
      </c>
      <c r="O17" s="48"/>
    </row>
    <row r="18" spans="1:15" ht="22.5" customHeight="1" x14ac:dyDescent="0.3">
      <c r="A18" s="74"/>
      <c r="B18" s="72"/>
      <c r="C18" s="73" t="s">
        <v>336</v>
      </c>
      <c r="D18" s="72"/>
      <c r="E18" s="72"/>
      <c r="F18" s="72"/>
      <c r="G18" s="72"/>
      <c r="H18" s="72"/>
      <c r="I18" s="72">
        <f>0.14*Table118192023103031323538394042[[#This Row],[النولون]]</f>
        <v>0</v>
      </c>
      <c r="J18" s="72"/>
      <c r="K18" s="72">
        <f>Table118192023103031323538394042[[#This Row],[النولون]]+Table118192023103031323538394042[[#This Row],[الايصالات]]+Table118192023103031323538394042[[#This Row],[قيمة مضافة]]</f>
        <v>0</v>
      </c>
      <c r="L18" s="72">
        <v>57999</v>
      </c>
      <c r="M18" s="72">
        <f>M17+Table118192023103031323538394042[[#This Row],[اجمالي الفاتوره]]-Table118192023103031323538394042[[#This Row],[الدفعات]]</f>
        <v>579685.80000000005</v>
      </c>
      <c r="O18" s="48"/>
    </row>
    <row r="19" spans="1:15" ht="22.5" customHeight="1" x14ac:dyDescent="0.3">
      <c r="A19" s="6">
        <v>1287</v>
      </c>
      <c r="B19" s="1">
        <v>14</v>
      </c>
      <c r="C19" s="2" t="s">
        <v>299</v>
      </c>
      <c r="D19" s="1" t="s">
        <v>185</v>
      </c>
      <c r="E19" s="1" t="s">
        <v>94</v>
      </c>
      <c r="F19" s="1">
        <v>61296</v>
      </c>
      <c r="G19" s="1" t="s">
        <v>181</v>
      </c>
      <c r="H19" s="1">
        <f>14800*4</f>
        <v>59200</v>
      </c>
      <c r="I19" s="1">
        <f>0.14*Table118192023103031323538394042[[#This Row],[النولون]]</f>
        <v>8288</v>
      </c>
      <c r="J19" s="1">
        <f>392.15+702.79*2+375.84+4475+150+456+1000+1088.7*4</f>
        <v>12609.369999999999</v>
      </c>
      <c r="K19" s="1">
        <f>Table118192023103031323538394042[[#This Row],[النولون]]+Table118192023103031323538394042[[#This Row],[الايصالات]]+Table118192023103031323538394042[[#This Row],[قيمة مضافة]]</f>
        <v>80097.37</v>
      </c>
      <c r="M19" s="1">
        <f>M18+Table118192023103031323538394042[[#This Row],[اجمالي الفاتوره]]-Table118192023103031323538394042[[#This Row],[الدفعات]]</f>
        <v>659783.17000000004</v>
      </c>
      <c r="O19" s="48"/>
    </row>
    <row r="20" spans="1:15" ht="22.5" customHeight="1" x14ac:dyDescent="0.3">
      <c r="A20" s="6">
        <v>1302</v>
      </c>
      <c r="B20" s="1">
        <v>15</v>
      </c>
      <c r="C20" s="2" t="s">
        <v>315</v>
      </c>
      <c r="D20" s="1" t="s">
        <v>185</v>
      </c>
      <c r="E20" s="1" t="s">
        <v>94</v>
      </c>
      <c r="F20" s="1">
        <v>74865</v>
      </c>
      <c r="G20" s="30" t="s">
        <v>121</v>
      </c>
      <c r="H20" s="1">
        <v>14800</v>
      </c>
      <c r="I20" s="1">
        <f>0.14*Table118192023103031323538394042[[#This Row],[النولون]]</f>
        <v>2072</v>
      </c>
      <c r="J20" s="1">
        <f>328.88+1140+114+360</f>
        <v>1942.88</v>
      </c>
      <c r="K20" s="1">
        <f>Table118192023103031323538394042[[#This Row],[النولون]]+Table118192023103031323538394042[[#This Row],[الايصالات]]+Table118192023103031323538394042[[#This Row],[قيمة مضافة]]</f>
        <v>18814.88</v>
      </c>
      <c r="M20" s="1">
        <f>M19+Table118192023103031323538394042[[#This Row],[اجمالي الفاتوره]]-Table118192023103031323538394042[[#This Row],[الدفعات]]</f>
        <v>678598.05</v>
      </c>
      <c r="O20" s="48"/>
    </row>
    <row r="21" spans="1:15" ht="22.5" customHeight="1" x14ac:dyDescent="0.3">
      <c r="A21" s="6">
        <v>1303</v>
      </c>
      <c r="B21" s="1">
        <v>16</v>
      </c>
      <c r="C21" s="2" t="s">
        <v>315</v>
      </c>
      <c r="D21" s="1" t="s">
        <v>185</v>
      </c>
      <c r="E21" s="1" t="s">
        <v>94</v>
      </c>
      <c r="F21" s="1">
        <v>74812</v>
      </c>
      <c r="G21" s="1" t="s">
        <v>92</v>
      </c>
      <c r="H21" s="1">
        <f>14800*2</f>
        <v>29600</v>
      </c>
      <c r="I21" s="1">
        <f>0.14*Table118192023103031323538394042[[#This Row],[النولون]]</f>
        <v>4144</v>
      </c>
      <c r="J21" s="1">
        <f>850+308.51+302.25+957.6+150</f>
        <v>2568.36</v>
      </c>
      <c r="K21" s="1">
        <f>Table118192023103031323538394042[[#This Row],[النولون]]+Table118192023103031323538394042[[#This Row],[الايصالات]]+Table118192023103031323538394042[[#This Row],[قيمة مضافة]]</f>
        <v>36312.36</v>
      </c>
      <c r="M21" s="1">
        <f>M20+Table118192023103031323538394042[[#This Row],[اجمالي الفاتوره]]-Table118192023103031323538394042[[#This Row],[الدفعات]]</f>
        <v>714910.41</v>
      </c>
      <c r="O21" s="48"/>
    </row>
    <row r="22" spans="1:15" ht="22.5" customHeight="1" x14ac:dyDescent="0.3">
      <c r="A22" s="6">
        <v>1319</v>
      </c>
      <c r="B22" s="1">
        <v>17</v>
      </c>
      <c r="C22" s="2" t="s">
        <v>342</v>
      </c>
      <c r="D22" s="1" t="s">
        <v>136</v>
      </c>
      <c r="E22" s="1" t="s">
        <v>94</v>
      </c>
      <c r="F22" s="1">
        <v>95500</v>
      </c>
      <c r="G22" s="1" t="s">
        <v>92</v>
      </c>
      <c r="H22" s="1">
        <f>14800*2</f>
        <v>29600</v>
      </c>
      <c r="I22" s="1">
        <f>0.14*Table118192023103031323538394042[[#This Row],[النولون]]</f>
        <v>4144</v>
      </c>
      <c r="J22" s="1">
        <f>5010+50+855*2+246.02+295.67+100</f>
        <v>7411.6900000000005</v>
      </c>
      <c r="K22" s="1">
        <f>Table118192023103031323538394042[[#This Row],[النولون]]+Table118192023103031323538394042[[#This Row],[الايصالات]]+Table118192023103031323538394042[[#This Row],[قيمة مضافة]]</f>
        <v>41155.69</v>
      </c>
      <c r="M22" s="1">
        <f>M21+Table118192023103031323538394042[[#This Row],[اجمالي الفاتوره]]-Table118192023103031323538394042[[#This Row],[الدفعات]]</f>
        <v>756066.10000000009</v>
      </c>
      <c r="O22" s="48"/>
    </row>
    <row r="23" spans="1:15" ht="22.5" customHeight="1" x14ac:dyDescent="0.3">
      <c r="B23" s="1">
        <v>18</v>
      </c>
      <c r="C23" s="2" t="s">
        <v>342</v>
      </c>
      <c r="D23" s="1" t="s">
        <v>183</v>
      </c>
      <c r="E23" s="1" t="s">
        <v>94</v>
      </c>
      <c r="F23" s="1">
        <v>92947</v>
      </c>
      <c r="G23" s="1" t="s">
        <v>91</v>
      </c>
      <c r="H23" s="1">
        <f>14800*5</f>
        <v>74000</v>
      </c>
      <c r="I23" s="1">
        <v>0</v>
      </c>
      <c r="J23" s="1">
        <f>15895+150+306.05+303.22+300.4+239.76+68.08+249.47+200+1311*4+1454+2850</f>
        <v>27259.980000000003</v>
      </c>
      <c r="K23" s="1">
        <f>Table118192023103031323538394042[[#This Row],[النولون]]+Table118192023103031323538394042[[#This Row],[الايصالات]]+Table118192023103031323538394042[[#This Row],[قيمة مضافة]]</f>
        <v>101259.98000000001</v>
      </c>
      <c r="M23" s="1">
        <f>M22+Table118192023103031323538394042[[#This Row],[اجمالي الفاتوره]]-Table118192023103031323538394042[[#This Row],[الدفعات]]</f>
        <v>857326.08000000007</v>
      </c>
      <c r="O23" s="48"/>
    </row>
    <row r="24" spans="1:15" ht="22.5" customHeight="1" x14ac:dyDescent="0.3">
      <c r="A24" s="74"/>
      <c r="B24" s="72"/>
      <c r="C24" s="73" t="s">
        <v>367</v>
      </c>
      <c r="D24" s="72"/>
      <c r="E24" s="72"/>
      <c r="F24" s="72"/>
      <c r="G24" s="72"/>
      <c r="H24" s="72"/>
      <c r="I24" s="72">
        <f>0.14*Table118192023103031323538394042[[#This Row],[النولون]]</f>
        <v>0</v>
      </c>
      <c r="J24" s="72"/>
      <c r="K24" s="72">
        <f>Table118192023103031323538394042[[#This Row],[النولون]]+Table118192023103031323538394042[[#This Row],[الايصالات]]+Table118192023103031323538394042[[#This Row],[قيمة مضافة]]</f>
        <v>0</v>
      </c>
      <c r="L24" s="72">
        <v>200000</v>
      </c>
      <c r="M24" s="72">
        <f>M23+Table118192023103031323538394042[[#This Row],[اجمالي الفاتوره]]-Table118192023103031323538394042[[#This Row],[الدفعات]]</f>
        <v>657326.08000000007</v>
      </c>
      <c r="O24" s="48"/>
    </row>
    <row r="25" spans="1:15" ht="22.5" customHeight="1" x14ac:dyDescent="0.3">
      <c r="A25" s="74"/>
      <c r="B25" s="72"/>
      <c r="C25" s="73" t="s">
        <v>378</v>
      </c>
      <c r="D25" s="72"/>
      <c r="E25" s="72"/>
      <c r="F25" s="72"/>
      <c r="G25" s="72"/>
      <c r="H25" s="72"/>
      <c r="I25" s="72">
        <f>0.14*Table118192023103031323538394042[[#This Row],[النولون]]</f>
        <v>0</v>
      </c>
      <c r="J25" s="72"/>
      <c r="K25" s="72">
        <f>Table118192023103031323538394042[[#This Row],[النولون]]+Table118192023103031323538394042[[#This Row],[الايصالات]]+Table118192023103031323538394042[[#This Row],[قيمة مضافة]]</f>
        <v>0</v>
      </c>
      <c r="L25" s="72">
        <v>150000</v>
      </c>
      <c r="M25" s="72">
        <f>M24+Table118192023103031323538394042[[#This Row],[اجمالي الفاتوره]]-Table118192023103031323538394042[[#This Row],[الدفعات]]</f>
        <v>507326.08000000007</v>
      </c>
      <c r="O25" s="48"/>
    </row>
    <row r="26" spans="1:15" ht="22.5" customHeight="1" x14ac:dyDescent="0.3">
      <c r="B26" s="1">
        <v>19</v>
      </c>
      <c r="C26" s="2" t="s">
        <v>379</v>
      </c>
      <c r="D26" s="1" t="s">
        <v>258</v>
      </c>
      <c r="E26" s="1" t="s">
        <v>203</v>
      </c>
      <c r="F26" s="1">
        <v>79693</v>
      </c>
      <c r="G26" s="1" t="s">
        <v>121</v>
      </c>
      <c r="H26" s="1">
        <v>14800</v>
      </c>
      <c r="I26" s="1">
        <v>0</v>
      </c>
      <c r="J26" s="1">
        <f>850+79+1100+225.85</f>
        <v>2254.85</v>
      </c>
      <c r="K26" s="1">
        <f>Table118192023103031323538394042[[#This Row],[النولون]]+Table118192023103031323538394042[[#This Row],[الايصالات]]+Table118192023103031323538394042[[#This Row],[قيمة مضافة]]</f>
        <v>17054.849999999999</v>
      </c>
      <c r="M26" s="1">
        <f>M25+Table118192023103031323538394042[[#This Row],[اجمالي الفاتوره]]-Table118192023103031323538394042[[#This Row],[الدفعات]]</f>
        <v>524380.93000000005</v>
      </c>
      <c r="O26" s="48"/>
    </row>
    <row r="27" spans="1:15" ht="22.5" customHeight="1" x14ac:dyDescent="0.3">
      <c r="A27" s="6">
        <v>1340</v>
      </c>
      <c r="B27" s="1">
        <v>20</v>
      </c>
      <c r="C27" s="2" t="s">
        <v>398</v>
      </c>
      <c r="D27" s="1" t="s">
        <v>136</v>
      </c>
      <c r="E27" s="1" t="s">
        <v>403</v>
      </c>
      <c r="F27" s="1">
        <v>122075</v>
      </c>
      <c r="G27" s="1" t="s">
        <v>404</v>
      </c>
      <c r="H27" s="1">
        <v>157600</v>
      </c>
      <c r="I27" s="1">
        <f>0.14*Table118192023103031323538394042[[#This Row],[النولون]]</f>
        <v>22064.000000000004</v>
      </c>
      <c r="J27" s="1">
        <f>810+1135+1100*4+1130*4+120+79+407.8+394.94+240.11+402.77+300.39+211.27+218.78+223.45+208.45+5010+855*9+150</f>
        <v>26526.960000000003</v>
      </c>
      <c r="K27" s="1">
        <f>Table118192023103031323538394042[[#This Row],[النولون]]+Table118192023103031323538394042[[#This Row],[الايصالات]]+Table118192023103031323538394042[[#This Row],[قيمة مضافة]]</f>
        <v>206190.96</v>
      </c>
      <c r="L27" s="1">
        <v>400</v>
      </c>
      <c r="M27" s="1">
        <f>M26+Table118192023103031323538394042[[#This Row],[اجمالي الفاتوره]]-Table118192023103031323538394042[[#This Row],[الدفعات]]</f>
        <v>730171.89</v>
      </c>
      <c r="O27" s="48"/>
    </row>
    <row r="28" spans="1:15" ht="22.5" customHeight="1" x14ac:dyDescent="0.3">
      <c r="A28" s="6">
        <v>1341</v>
      </c>
      <c r="B28" s="1">
        <v>21</v>
      </c>
      <c r="C28" s="2" t="s">
        <v>398</v>
      </c>
      <c r="D28" s="1" t="s">
        <v>185</v>
      </c>
      <c r="E28" s="1" t="s">
        <v>94</v>
      </c>
      <c r="F28" s="1">
        <v>12858</v>
      </c>
      <c r="G28" s="1" t="s">
        <v>92</v>
      </c>
      <c r="H28" s="1">
        <f>16700*2</f>
        <v>33400</v>
      </c>
      <c r="I28" s="1">
        <f>0.14*Table118192023103031323538394042[[#This Row],[النولون]]</f>
        <v>4676</v>
      </c>
      <c r="J28" s="1">
        <f>810+5010+150+257.03+296.62+855*2+2280</f>
        <v>10513.65</v>
      </c>
      <c r="K28" s="1">
        <f>Table118192023103031323538394042[[#This Row],[النولون]]+Table118192023103031323538394042[[#This Row],[الايصالات]]+Table118192023103031323538394042[[#This Row],[قيمة مضافة]]</f>
        <v>48589.65</v>
      </c>
      <c r="L28" s="1">
        <v>200</v>
      </c>
      <c r="M28" s="1">
        <f>M27+Table118192023103031323538394042[[#This Row],[اجمالي الفاتوره]]-Table118192023103031323538394042[[#This Row],[الدفعات]]</f>
        <v>778561.54</v>
      </c>
      <c r="O28" s="48"/>
    </row>
    <row r="29" spans="1:15" ht="22.5" customHeight="1" x14ac:dyDescent="0.3">
      <c r="A29" s="74"/>
      <c r="B29" s="72"/>
      <c r="C29" s="73" t="s">
        <v>405</v>
      </c>
      <c r="D29" s="72"/>
      <c r="E29" s="72"/>
      <c r="F29" s="72"/>
      <c r="G29" s="72"/>
      <c r="H29" s="72"/>
      <c r="I29" s="72">
        <f>0.14*Table118192023103031323538394042[[#This Row],[النولون]]</f>
        <v>0</v>
      </c>
      <c r="J29" s="72"/>
      <c r="K29" s="72">
        <f>Table118192023103031323538394042[[#This Row],[النولون]]+Table118192023103031323538394042[[#This Row],[الايصالات]]+Table118192023103031323538394042[[#This Row],[قيمة مضافة]]</f>
        <v>0</v>
      </c>
      <c r="L29" s="72">
        <v>200000</v>
      </c>
      <c r="M29" s="72">
        <f>M28+Table118192023103031323538394042[[#This Row],[اجمالي الفاتوره]]-Table118192023103031323538394042[[#This Row],[الدفعات]]</f>
        <v>578561.54</v>
      </c>
      <c r="O29" s="48"/>
    </row>
    <row r="30" spans="1:15" ht="22.5" customHeight="1" x14ac:dyDescent="0.3">
      <c r="A30" s="6">
        <v>1360</v>
      </c>
      <c r="B30" s="1">
        <v>22</v>
      </c>
      <c r="C30" s="2">
        <v>46116</v>
      </c>
      <c r="D30" s="1" t="s">
        <v>93</v>
      </c>
      <c r="E30" s="1" t="s">
        <v>94</v>
      </c>
      <c r="F30" s="1">
        <v>898959</v>
      </c>
      <c r="G30" s="1" t="s">
        <v>121</v>
      </c>
      <c r="H30" s="1">
        <v>16200</v>
      </c>
      <c r="I30" s="1">
        <v>0</v>
      </c>
      <c r="J30" s="1">
        <f>1100+2500+200+285</f>
        <v>4085</v>
      </c>
      <c r="K30" s="1">
        <f>Table118192023103031323538394042[[#This Row],[النولون]]+Table118192023103031323538394042[[#This Row],[الايصالات]]+Table118192023103031323538394042[[#This Row],[قيمة مضافة]]</f>
        <v>20285</v>
      </c>
      <c r="M30" s="1">
        <f>M29+Table118192023103031323538394042[[#This Row],[اجمالي الفاتوره]]-Table118192023103031323538394042[[#This Row],[الدفعات]]</f>
        <v>598846.54</v>
      </c>
      <c r="O30" s="48"/>
    </row>
    <row r="31" spans="1:15" ht="22.5" customHeight="1" x14ac:dyDescent="0.3">
      <c r="A31" s="6">
        <v>1361</v>
      </c>
      <c r="B31" s="1">
        <v>23</v>
      </c>
      <c r="C31" s="2">
        <v>46116</v>
      </c>
      <c r="D31" s="1" t="s">
        <v>185</v>
      </c>
      <c r="E31" s="1" t="s">
        <v>94</v>
      </c>
      <c r="F31" s="1">
        <v>154055</v>
      </c>
      <c r="G31" s="1" t="s">
        <v>92</v>
      </c>
      <c r="H31" s="1">
        <f>16000*2</f>
        <v>32000</v>
      </c>
      <c r="I31" s="1">
        <f>0.14*Table118192023103031323538394042[[#This Row],[النولون]]</f>
        <v>4480</v>
      </c>
      <c r="J31" s="1">
        <f>30260+150+105.79+322.94+292.57+1772.7*2+228+600</f>
        <v>35504.699999999997</v>
      </c>
      <c r="K31" s="1">
        <f>Table118192023103031323538394042[[#This Row],[النولون]]+Table118192023103031323538394042[[#This Row],[الايصالات]]+Table118192023103031323538394042[[#This Row],[قيمة مضافة]]</f>
        <v>71984.7</v>
      </c>
      <c r="M31" s="1">
        <f>M30+Table118192023103031323538394042[[#This Row],[اجمالي الفاتوره]]-Table118192023103031323538394042[[#This Row],[الدفعات]]</f>
        <v>670831.24</v>
      </c>
      <c r="O31" s="48"/>
    </row>
    <row r="32" spans="1:15" ht="22.5" customHeight="1" x14ac:dyDescent="0.3">
      <c r="A32" s="6">
        <v>1362</v>
      </c>
      <c r="B32" s="1">
        <v>24</v>
      </c>
      <c r="C32" s="2">
        <v>46116</v>
      </c>
      <c r="D32" s="1" t="s">
        <v>185</v>
      </c>
      <c r="E32" s="1" t="s">
        <v>94</v>
      </c>
      <c r="F32" s="1">
        <v>154091</v>
      </c>
      <c r="G32" s="1" t="s">
        <v>121</v>
      </c>
      <c r="H32" s="1">
        <v>16000</v>
      </c>
      <c r="I32" s="1">
        <f>0.14*Table118192023103031323538394042[[#This Row],[النولون]]</f>
        <v>2240</v>
      </c>
      <c r="J32" s="1">
        <f>850+9770+150+326.71+114+360+1282.5</f>
        <v>12853.21</v>
      </c>
      <c r="K32" s="1">
        <f>Table118192023103031323538394042[[#This Row],[النولون]]+Table118192023103031323538394042[[#This Row],[الايصالات]]+Table118192023103031323538394042[[#This Row],[قيمة مضافة]]</f>
        <v>31093.21</v>
      </c>
      <c r="M32" s="1">
        <f>M31+Table118192023103031323538394042[[#This Row],[اجمالي الفاتوره]]-Table118192023103031323538394042[[#This Row],[الدفعات]]</f>
        <v>701924.45</v>
      </c>
      <c r="O32" s="48"/>
    </row>
    <row r="33" spans="1:15" ht="22.5" customHeight="1" x14ac:dyDescent="0.3">
      <c r="A33" s="6">
        <v>1353</v>
      </c>
      <c r="B33" s="1">
        <v>25</v>
      </c>
      <c r="C33" s="2">
        <v>46116</v>
      </c>
      <c r="D33" s="1" t="s">
        <v>64</v>
      </c>
      <c r="E33" s="1" t="s">
        <v>421</v>
      </c>
      <c r="F33" s="1">
        <v>151896</v>
      </c>
      <c r="G33" s="1" t="s">
        <v>121</v>
      </c>
      <c r="H33" s="1">
        <v>8000</v>
      </c>
      <c r="I33" s="1">
        <f>0.14*Table118192023103031323538394042[[#This Row],[النولون]]</f>
        <v>1120</v>
      </c>
      <c r="J33" s="1">
        <f>1210+150+319.65+1333.8+500</f>
        <v>3513.45</v>
      </c>
      <c r="K33" s="1">
        <f>Table118192023103031323538394042[[#This Row],[النولون]]+Table118192023103031323538394042[[#This Row],[الايصالات]]+Table118192023103031323538394042[[#This Row],[قيمة مضافة]]</f>
        <v>12633.45</v>
      </c>
      <c r="M33" s="1">
        <f>M32+Table118192023103031323538394042[[#This Row],[اجمالي الفاتوره]]-Table118192023103031323538394042[[#This Row],[الدفعات]]</f>
        <v>714557.89999999991</v>
      </c>
      <c r="O33" s="48"/>
    </row>
    <row r="34" spans="1:15" ht="22.5" customHeight="1" x14ac:dyDescent="0.3">
      <c r="A34" s="74"/>
      <c r="B34" s="72"/>
      <c r="C34" s="73">
        <v>46126</v>
      </c>
      <c r="D34" s="72"/>
      <c r="E34" s="72"/>
      <c r="F34" s="72"/>
      <c r="G34" s="72"/>
      <c r="H34" s="72"/>
      <c r="I34" s="72">
        <f>0.14*Table118192023103031323538394042[[#This Row],[النولون]]</f>
        <v>0</v>
      </c>
      <c r="J34" s="72"/>
      <c r="K34" s="72">
        <f>Table118192023103031323538394042[[#This Row],[النولون]]+Table118192023103031323538394042[[#This Row],[الايصالات]]+Table118192023103031323538394042[[#This Row],[قيمة مضافة]]</f>
        <v>0</v>
      </c>
      <c r="L34" s="72">
        <v>100000</v>
      </c>
      <c r="M34" s="72">
        <f>M33+Table118192023103031323538394042[[#This Row],[اجمالي الفاتوره]]-Table118192023103031323538394042[[#This Row],[الدفعات]]</f>
        <v>614557.89999999991</v>
      </c>
      <c r="O34" s="48"/>
    </row>
    <row r="35" spans="1:15" ht="22.5" customHeight="1" x14ac:dyDescent="0.3">
      <c r="A35" s="6">
        <v>1384</v>
      </c>
      <c r="B35" s="1">
        <v>26</v>
      </c>
      <c r="C35" s="2">
        <v>46126</v>
      </c>
      <c r="D35" s="1" t="s">
        <v>449</v>
      </c>
      <c r="E35" s="1" t="s">
        <v>94</v>
      </c>
      <c r="F35" s="1">
        <v>9020169</v>
      </c>
      <c r="G35" s="1" t="s">
        <v>159</v>
      </c>
      <c r="H35" s="1">
        <v>13500</v>
      </c>
      <c r="I35" s="1">
        <v>0</v>
      </c>
      <c r="J35" s="1">
        <f>550+437.98+2500+150+171</f>
        <v>3808.98</v>
      </c>
      <c r="K35" s="1">
        <f>Table118192023103031323538394042[[#This Row],[النولون]]+Table118192023103031323538394042[[#This Row],[الايصالات]]+Table118192023103031323538394042[[#This Row],[قيمة مضافة]]</f>
        <v>17308.98</v>
      </c>
      <c r="M35" s="1">
        <f>M34+Table118192023103031323538394042[[#This Row],[اجمالي الفاتوره]]-Table118192023103031323538394042[[#This Row],[الدفعات]]</f>
        <v>631866.87999999989</v>
      </c>
      <c r="O35" s="48"/>
    </row>
    <row r="36" spans="1:15" ht="22.5" customHeight="1" x14ac:dyDescent="0.3">
      <c r="A36" s="6">
        <v>1455</v>
      </c>
      <c r="B36" s="1">
        <v>27</v>
      </c>
      <c r="C36" s="2">
        <v>46126</v>
      </c>
      <c r="D36" s="2" t="s">
        <v>450</v>
      </c>
      <c r="E36" s="1" t="s">
        <v>452</v>
      </c>
      <c r="F36" s="1">
        <v>150046</v>
      </c>
      <c r="G36" s="1" t="s">
        <v>181</v>
      </c>
      <c r="H36" s="1">
        <f>12000*4</f>
        <v>48000</v>
      </c>
      <c r="I36" s="1">
        <f>0.14*Table118192023103031323538394042[[#This Row],[النولون]]</f>
        <v>6720.0000000000009</v>
      </c>
      <c r="J36" s="1">
        <f>850+1135*4+234.1+229.1+297.57+304.49+1467.18*4</f>
        <v>12323.98</v>
      </c>
      <c r="K36" s="1">
        <f>Table118192023103031323538394042[[#This Row],[النولون]]+Table118192023103031323538394042[[#This Row],[الايصالات]]+Table118192023103031323538394042[[#This Row],[قيمة مضافة]]</f>
        <v>67043.98</v>
      </c>
      <c r="M36" s="1">
        <f>M35+Table118192023103031323538394042[[#This Row],[اجمالي الفاتوره]]-Table118192023103031323538394042[[#This Row],[الدفعات]]</f>
        <v>698910.85999999987</v>
      </c>
      <c r="O36" s="48"/>
    </row>
    <row r="37" spans="1:15" ht="22.5" customHeight="1" x14ac:dyDescent="0.3">
      <c r="B37" s="1">
        <v>28</v>
      </c>
      <c r="C37" s="2">
        <v>46126</v>
      </c>
      <c r="D37" s="1" t="s">
        <v>451</v>
      </c>
      <c r="E37" s="1" t="s">
        <v>94</v>
      </c>
      <c r="F37" s="1">
        <v>151662</v>
      </c>
      <c r="G37" s="1" t="s">
        <v>453</v>
      </c>
      <c r="H37" s="1">
        <v>16500</v>
      </c>
      <c r="I37" s="1">
        <v>0</v>
      </c>
      <c r="J37" s="1">
        <f>850+8030+300.07+1767+100</f>
        <v>11047.07</v>
      </c>
      <c r="K37" s="1">
        <f>Table118192023103031323538394042[[#This Row],[النولون]]+Table118192023103031323538394042[[#This Row],[الايصالات]]+Table118192023103031323538394042[[#This Row],[قيمة مضافة]]</f>
        <v>27547.07</v>
      </c>
      <c r="M37" s="1">
        <f>M36+Table118192023103031323538394042[[#This Row],[اجمالي الفاتوره]]-Table118192023103031323538394042[[#This Row],[الدفعات]]</f>
        <v>726457.92999999982</v>
      </c>
      <c r="O37" s="48"/>
    </row>
    <row r="38" spans="1:15" ht="22.5" customHeight="1" x14ac:dyDescent="0.3">
      <c r="B38" s="1">
        <v>29</v>
      </c>
      <c r="C38" s="2">
        <v>46130</v>
      </c>
      <c r="D38" s="1" t="s">
        <v>183</v>
      </c>
      <c r="E38" s="1" t="s">
        <v>94</v>
      </c>
      <c r="F38" s="1">
        <v>175289</v>
      </c>
      <c r="G38" s="1" t="s">
        <v>184</v>
      </c>
      <c r="H38" s="1">
        <f>16000*7</f>
        <v>112000</v>
      </c>
      <c r="I38" s="1">
        <v>0</v>
      </c>
      <c r="J38" s="1">
        <f>7*1255+5010+810+100+150+336.71+321.05+323.88+304.65+370.62+383.44+311.53</f>
        <v>17206.879999999994</v>
      </c>
      <c r="K38" s="1">
        <f>Table118192023103031323538394042[[#This Row],[النولون]]+Table118192023103031323538394042[[#This Row],[الايصالات]]+Table118192023103031323538394042[[#This Row],[قيمة مضافة]]</f>
        <v>129206.87999999999</v>
      </c>
      <c r="M38" s="1">
        <f>M37+Table118192023103031323538394042[[#This Row],[اجمالي الفاتوره]]-Table118192023103031323538394042[[#This Row],[الدفعات]]</f>
        <v>855664.80999999982</v>
      </c>
      <c r="O38" s="48"/>
    </row>
    <row r="39" spans="1:15" ht="22.5" customHeight="1" x14ac:dyDescent="0.3">
      <c r="A39" s="6">
        <v>1385</v>
      </c>
      <c r="B39" s="1">
        <v>30</v>
      </c>
      <c r="C39" s="2">
        <v>46130</v>
      </c>
      <c r="D39" s="1" t="s">
        <v>458</v>
      </c>
      <c r="E39" s="1" t="s">
        <v>94</v>
      </c>
      <c r="F39" s="1">
        <v>180487</v>
      </c>
      <c r="G39" s="1" t="s">
        <v>159</v>
      </c>
      <c r="H39" s="1">
        <v>13000</v>
      </c>
      <c r="I39" s="1">
        <f>0.14*Table118192023103031323538394042[[#This Row],[النولون]]</f>
        <v>1820.0000000000002</v>
      </c>
      <c r="J39" s="1">
        <f>580+179.84+798+57+200</f>
        <v>1814.8400000000001</v>
      </c>
      <c r="K39" s="1">
        <f>Table118192023103031323538394042[[#This Row],[النولون]]+Table118192023103031323538394042[[#This Row],[الايصالات]]+Table118192023103031323538394042[[#This Row],[قيمة مضافة]]</f>
        <v>16634.84</v>
      </c>
      <c r="M39" s="1">
        <f>M38+Table118192023103031323538394042[[#This Row],[اجمالي الفاتوره]]-Table118192023103031323538394042[[#This Row],[الدفعات]]</f>
        <v>872299.64999999979</v>
      </c>
      <c r="O39" s="48"/>
    </row>
    <row r="40" spans="1:15" ht="22.5" customHeight="1" x14ac:dyDescent="0.3">
      <c r="A40" s="6">
        <v>1390</v>
      </c>
      <c r="B40" s="1">
        <v>31</v>
      </c>
      <c r="C40" s="2">
        <v>46131</v>
      </c>
      <c r="D40" s="1" t="s">
        <v>471</v>
      </c>
      <c r="E40" s="1" t="s">
        <v>96</v>
      </c>
      <c r="F40" s="1">
        <v>164371</v>
      </c>
      <c r="G40" s="1" t="s">
        <v>159</v>
      </c>
      <c r="H40" s="1">
        <v>12500</v>
      </c>
      <c r="I40" s="1">
        <f>0.14*Table118192023103031323538394042[[#This Row],[النولون]]</f>
        <v>1750.0000000000002</v>
      </c>
      <c r="J40" s="1">
        <f>850+580+141.56+200+1938</f>
        <v>3709.56</v>
      </c>
      <c r="K40" s="1">
        <f>Table118192023103031323538394042[[#This Row],[النولون]]+Table118192023103031323538394042[[#This Row],[الايصالات]]+Table118192023103031323538394042[[#This Row],[قيمة مضافة]]</f>
        <v>17959.560000000001</v>
      </c>
      <c r="M40" s="1">
        <f>M39+Table118192023103031323538394042[[#This Row],[اجمالي الفاتوره]]-Table118192023103031323538394042[[#This Row],[الدفعات]]</f>
        <v>890259.20999999985</v>
      </c>
      <c r="O40" s="48"/>
    </row>
    <row r="41" spans="1:15" ht="22.5" customHeight="1" x14ac:dyDescent="0.3">
      <c r="A41" s="74"/>
      <c r="B41" s="72"/>
      <c r="C41" s="73">
        <v>46134</v>
      </c>
      <c r="D41" s="72"/>
      <c r="E41" s="72"/>
      <c r="F41" s="72"/>
      <c r="G41" s="72"/>
      <c r="H41" s="72"/>
      <c r="I41" s="72">
        <f>0.14*Table118192023103031323538394042[[#This Row],[النولون]]</f>
        <v>0</v>
      </c>
      <c r="J41" s="72"/>
      <c r="K41" s="72">
        <f>Table118192023103031323538394042[[#This Row],[النولون]]+Table118192023103031323538394042[[#This Row],[الايصالات]]+Table118192023103031323538394042[[#This Row],[قيمة مضافة]]</f>
        <v>0</v>
      </c>
      <c r="L41" s="72">
        <v>250000</v>
      </c>
      <c r="M41" s="72">
        <f>M40+Table118192023103031323538394042[[#This Row],[اجمالي الفاتوره]]-Table118192023103031323538394042[[#This Row],[الدفعات]]</f>
        <v>640259.20999999985</v>
      </c>
      <c r="O41" s="48"/>
    </row>
    <row r="42" spans="1:15" ht="22.5" customHeight="1" x14ac:dyDescent="0.3">
      <c r="A42" s="6">
        <v>1424</v>
      </c>
      <c r="B42" s="1">
        <v>32</v>
      </c>
      <c r="C42" s="2">
        <v>46140</v>
      </c>
      <c r="D42" s="1" t="s">
        <v>185</v>
      </c>
      <c r="E42" s="1" t="s">
        <v>94</v>
      </c>
      <c r="F42" s="1">
        <v>184593</v>
      </c>
      <c r="G42" s="1" t="s">
        <v>285</v>
      </c>
      <c r="H42" s="1">
        <f>16000*6</f>
        <v>96000</v>
      </c>
      <c r="I42" s="1">
        <f>0.14*Table118192023103031323538394042[[#This Row],[النولون]]</f>
        <v>13440.000000000002</v>
      </c>
      <c r="J42" s="1">
        <f>9580+810+263.14+266.59+272.24+266.59+263.76+272.24+1140*4+2872.8+150</f>
        <v>19577.359999999997</v>
      </c>
      <c r="K42" s="1">
        <f>Table118192023103031323538394042[[#This Row],[النولون]]+Table118192023103031323538394042[[#This Row],[الايصالات]]+Table118192023103031323538394042[[#This Row],[قيمة مضافة]]</f>
        <v>129017.36</v>
      </c>
      <c r="M42" s="1">
        <f>M41+Table118192023103031323538394042[[#This Row],[اجمالي الفاتوره]]-Table118192023103031323538394042[[#This Row],[الدفعات]]</f>
        <v>769276.56999999983</v>
      </c>
      <c r="O42" s="48"/>
    </row>
    <row r="43" spans="1:15" ht="22.5" customHeight="1" x14ac:dyDescent="0.3">
      <c r="A43" s="6">
        <v>1425</v>
      </c>
      <c r="B43" s="41">
        <v>33</v>
      </c>
      <c r="C43" s="45">
        <v>46140</v>
      </c>
      <c r="D43" s="1" t="s">
        <v>185</v>
      </c>
      <c r="E43" s="1" t="s">
        <v>94</v>
      </c>
      <c r="F43" s="41">
        <v>191012</v>
      </c>
      <c r="G43" s="1" t="s">
        <v>158</v>
      </c>
      <c r="H43" s="41">
        <f>3*16000</f>
        <v>48000</v>
      </c>
      <c r="I43" s="1">
        <f>0.14*Table118192023103031323538394042[[#This Row],[النولون]]</f>
        <v>6720.0000000000009</v>
      </c>
      <c r="J43" s="41">
        <f>5300+850+256.26+256.26+253.43+2005+1574+2145+1710+150</f>
        <v>14499.95</v>
      </c>
      <c r="K43" s="41">
        <f>Table118192023103031323538394042[[#This Row],[النولون]]+Table118192023103031323538394042[[#This Row],[الايصالات]]+Table118192023103031323538394042[[#This Row],[قيمة مضافة]]</f>
        <v>69219.95</v>
      </c>
      <c r="L43" s="41"/>
      <c r="M43" s="1">
        <f>M42+Table118192023103031323538394042[[#This Row],[اجمالي الفاتوره]]-Table118192023103031323538394042[[#This Row],[الدفعات]]</f>
        <v>838496.51999999979</v>
      </c>
      <c r="N43" s="41"/>
      <c r="O43" s="48"/>
    </row>
    <row r="44" spans="1:15" ht="22.5" customHeight="1" x14ac:dyDescent="0.3">
      <c r="A44" s="6">
        <v>1426</v>
      </c>
      <c r="B44" s="1">
        <v>34</v>
      </c>
      <c r="C44" s="2">
        <v>46140</v>
      </c>
      <c r="D44" s="1" t="s">
        <v>185</v>
      </c>
      <c r="E44" s="1" t="s">
        <v>94</v>
      </c>
      <c r="F44" s="1">
        <v>191014</v>
      </c>
      <c r="G44" s="1" t="s">
        <v>121</v>
      </c>
      <c r="H44" s="1">
        <v>16000</v>
      </c>
      <c r="I44" s="1">
        <f>0.14*Table118192023103031323538394042[[#This Row],[النولون]]</f>
        <v>2240</v>
      </c>
      <c r="J44" s="1">
        <f>1311+570+150</f>
        <v>2031</v>
      </c>
      <c r="K44" s="1">
        <f>Table118192023103031323538394042[[#This Row],[النولون]]+Table118192023103031323538394042[[#This Row],[الايصالات]]+Table118192023103031323538394042[[#This Row],[قيمة مضافة]]</f>
        <v>20271</v>
      </c>
      <c r="M44" s="1">
        <f>M43+Table118192023103031323538394042[[#This Row],[اجمالي الفاتوره]]-Table118192023103031323538394042[[#This Row],[الدفعات]]</f>
        <v>858767.51999999979</v>
      </c>
      <c r="O44" s="48"/>
    </row>
    <row r="45" spans="1:15" ht="22.5" customHeight="1" x14ac:dyDescent="0.3">
      <c r="B45" s="1">
        <v>35</v>
      </c>
      <c r="C45" s="2">
        <v>46140</v>
      </c>
      <c r="D45" s="1" t="s">
        <v>499</v>
      </c>
      <c r="E45" s="1" t="s">
        <v>94</v>
      </c>
      <c r="F45" s="1">
        <v>173923</v>
      </c>
      <c r="G45" s="1" t="s">
        <v>500</v>
      </c>
      <c r="H45" s="1">
        <f>4*16500</f>
        <v>66000</v>
      </c>
      <c r="I45" s="1">
        <v>0</v>
      </c>
      <c r="J45" s="1">
        <f>2300*4+255.41+295.4+271.91+583.63+105.79+1255*4</f>
        <v>15732.14</v>
      </c>
      <c r="K45" s="1">
        <f>Table118192023103031323538394042[[#This Row],[النولون]]+Table118192023103031323538394042[[#This Row],[الايصالات]]+Table118192023103031323538394042[[#This Row],[قيمة مضافة]]</f>
        <v>81732.14</v>
      </c>
      <c r="M45" s="1">
        <f>M44+Table118192023103031323538394042[[#This Row],[اجمالي الفاتوره]]-Table118192023103031323538394042[[#This Row],[الدفعات]]</f>
        <v>940499.6599999998</v>
      </c>
      <c r="O45" s="48"/>
    </row>
    <row r="46" spans="1:15" ht="22.5" customHeight="1" x14ac:dyDescent="0.3">
      <c r="A46" s="6">
        <v>1434</v>
      </c>
      <c r="B46" s="1">
        <v>36</v>
      </c>
      <c r="C46" s="2">
        <v>46145</v>
      </c>
      <c r="D46" s="1" t="s">
        <v>185</v>
      </c>
      <c r="E46" s="1" t="s">
        <v>94</v>
      </c>
      <c r="F46" s="1">
        <v>199892</v>
      </c>
      <c r="G46" s="1" t="s">
        <v>121</v>
      </c>
      <c r="H46" s="1">
        <v>16000</v>
      </c>
      <c r="I46" s="1">
        <f>0.14*Table118192023103031323538394042[[#This Row],[النولون]]</f>
        <v>2240</v>
      </c>
      <c r="J46" s="1">
        <f>321.05+810+120+1134.3+150</f>
        <v>2535.35</v>
      </c>
      <c r="K46" s="1">
        <f>Table118192023103031323538394042[[#This Row],[النولون]]+Table118192023103031323538394042[[#This Row],[الايصالات]]+Table118192023103031323538394042[[#This Row],[قيمة مضافة]]</f>
        <v>20775.349999999999</v>
      </c>
      <c r="M46" s="1">
        <f>M45+Table118192023103031323538394042[[#This Row],[اجمالي الفاتوره]]-Table118192023103031323538394042[[#This Row],[الدفعات]]</f>
        <v>961275.00999999978</v>
      </c>
      <c r="O46" s="48"/>
    </row>
    <row r="47" spans="1:15" ht="22.5" customHeight="1" x14ac:dyDescent="0.3">
      <c r="A47" s="6">
        <v>1443</v>
      </c>
      <c r="B47" s="1">
        <v>37</v>
      </c>
      <c r="C47" s="2">
        <v>46145</v>
      </c>
      <c r="D47" s="1" t="s">
        <v>510</v>
      </c>
      <c r="E47" s="1" t="s">
        <v>94</v>
      </c>
      <c r="F47" s="1">
        <v>188203</v>
      </c>
      <c r="G47" s="1" t="s">
        <v>511</v>
      </c>
      <c r="H47" s="1">
        <f>22500*2</f>
        <v>45000</v>
      </c>
      <c r="I47" s="1">
        <f>0.14*Table118192023103031323538394042[[#This Row],[النولون]]</f>
        <v>6300.0000000000009</v>
      </c>
      <c r="J47" s="1">
        <f>5051+150+3235+3200+1813.55+1818.27+200+500+500</f>
        <v>16467.82</v>
      </c>
      <c r="K47" s="1">
        <f>Table118192023103031323538394042[[#This Row],[النولون]]+Table118192023103031323538394042[[#This Row],[الايصالات]]+Table118192023103031323538394042[[#This Row],[قيمة مضافة]]</f>
        <v>67767.820000000007</v>
      </c>
      <c r="M47" s="1">
        <f>M46+Table118192023103031323538394042[[#This Row],[اجمالي الفاتوره]]-Table118192023103031323538394042[[#This Row],[الدفعات]]</f>
        <v>1029042.8299999998</v>
      </c>
      <c r="O47" s="48"/>
    </row>
    <row r="48" spans="1:15" ht="22.5" customHeight="1" x14ac:dyDescent="0.3">
      <c r="B48" s="1">
        <v>38</v>
      </c>
      <c r="C48" s="2">
        <v>46145</v>
      </c>
      <c r="D48" s="1" t="s">
        <v>451</v>
      </c>
      <c r="I48" s="1">
        <f>0.14*Table118192023103031323538394042[[#This Row],[النولون]]</f>
        <v>0</v>
      </c>
      <c r="J48" s="1">
        <v>13000</v>
      </c>
      <c r="K48" s="1">
        <f>Table118192023103031323538394042[[#This Row],[النولون]]+Table118192023103031323538394042[[#This Row],[الايصالات]]+Table118192023103031323538394042[[#This Row],[قيمة مضافة]]</f>
        <v>13000</v>
      </c>
      <c r="M48" s="1">
        <f>M47+Table118192023103031323538394042[[#This Row],[اجمالي الفاتوره]]-Table118192023103031323538394042[[#This Row],[الدفعات]]</f>
        <v>1042042.8299999998</v>
      </c>
      <c r="O48" s="48"/>
    </row>
    <row r="49" spans="1:15" ht="22.5" customHeight="1" x14ac:dyDescent="0.3">
      <c r="A49" s="6">
        <v>1440</v>
      </c>
      <c r="B49" s="1">
        <v>39</v>
      </c>
      <c r="C49" s="2">
        <v>46145</v>
      </c>
      <c r="D49" s="1" t="s">
        <v>471</v>
      </c>
      <c r="E49" s="1" t="s">
        <v>516</v>
      </c>
      <c r="F49" s="1">
        <v>208663</v>
      </c>
      <c r="G49" s="1" t="s">
        <v>133</v>
      </c>
      <c r="H49" s="1">
        <v>21000</v>
      </c>
      <c r="I49" s="1">
        <f>0.14*Table118192023103031323538394042[[#This Row],[النولون]]</f>
        <v>2940.0000000000005</v>
      </c>
      <c r="J49" s="1">
        <f>810+120+1150+105.79+970.17</f>
        <v>3155.96</v>
      </c>
      <c r="K49" s="1">
        <f>Table118192023103031323538394042[[#This Row],[النولون]]+Table118192023103031323538394042[[#This Row],[الايصالات]]+Table118192023103031323538394042[[#This Row],[قيمة مضافة]]</f>
        <v>27095.96</v>
      </c>
      <c r="M49" s="1">
        <f>M48+Table118192023103031323538394042[[#This Row],[اجمالي الفاتوره]]-Table118192023103031323538394042[[#This Row],[الدفعات]]</f>
        <v>1069138.7899999998</v>
      </c>
      <c r="O49" s="48"/>
    </row>
    <row r="50" spans="1:15" ht="22.5" customHeight="1" x14ac:dyDescent="0.3">
      <c r="A50" s="74"/>
      <c r="B50" s="72"/>
      <c r="C50" s="73">
        <v>46147</v>
      </c>
      <c r="D50" s="72"/>
      <c r="E50" s="72"/>
      <c r="F50" s="72"/>
      <c r="G50" s="72"/>
      <c r="H50" s="72"/>
      <c r="I50" s="72">
        <f>0.14*Table118192023103031323538394042[[#This Row],[النولون]]</f>
        <v>0</v>
      </c>
      <c r="J50" s="72"/>
      <c r="K50" s="72">
        <f>Table118192023103031323538394042[[#This Row],[النولون]]+Table118192023103031323538394042[[#This Row],[الايصالات]]+Table118192023103031323538394042[[#This Row],[قيمة مضافة]]</f>
        <v>0</v>
      </c>
      <c r="L50" s="72">
        <v>250000</v>
      </c>
      <c r="M50" s="72">
        <f>M49+Table118192023103031323538394042[[#This Row],[اجمالي الفاتوره]]-Table118192023103031323538394042[[#This Row],[الدفعات]]</f>
        <v>819138.7899999998</v>
      </c>
      <c r="O50" s="48"/>
    </row>
    <row r="51" spans="1:15" ht="22.5" customHeight="1" x14ac:dyDescent="0.3">
      <c r="A51" s="74"/>
      <c r="B51" s="72"/>
      <c r="C51" s="73">
        <v>46152</v>
      </c>
      <c r="D51" s="72"/>
      <c r="E51" s="72"/>
      <c r="F51" s="72"/>
      <c r="G51" s="72"/>
      <c r="H51" s="72"/>
      <c r="I51" s="72">
        <f>0.14*Table118192023103031323538394042[[#This Row],[النولون]]</f>
        <v>0</v>
      </c>
      <c r="J51" s="72"/>
      <c r="K51" s="72">
        <f>Table118192023103031323538394042[[#This Row],[النولون]]+Table118192023103031323538394042[[#This Row],[الايصالات]]+Table118192023103031323538394042[[#This Row],[قيمة مضافة]]</f>
        <v>0</v>
      </c>
      <c r="L51" s="72">
        <v>250000</v>
      </c>
      <c r="M51" s="72">
        <f>M50+Table118192023103031323538394042[[#This Row],[اجمالي الفاتوره]]-Table118192023103031323538394042[[#This Row],[الدفعات]]</f>
        <v>569138.7899999998</v>
      </c>
      <c r="O51" s="48"/>
    </row>
    <row r="52" spans="1:15" ht="22.5" customHeight="1" x14ac:dyDescent="0.3">
      <c r="A52" s="6">
        <v>1456</v>
      </c>
      <c r="B52" s="1">
        <v>40</v>
      </c>
      <c r="C52" s="2">
        <v>46153</v>
      </c>
      <c r="D52" s="1" t="s">
        <v>64</v>
      </c>
      <c r="E52" s="1" t="s">
        <v>94</v>
      </c>
      <c r="F52" s="1">
        <v>218173</v>
      </c>
      <c r="G52" s="1" t="s">
        <v>129</v>
      </c>
      <c r="H52" s="1">
        <v>16000</v>
      </c>
      <c r="I52" s="1">
        <f>0.14*Table118192023103031323538394042[[#This Row],[النولون]]</f>
        <v>2240</v>
      </c>
      <c r="J52" s="1">
        <f>16110+29+560+955.36+1254+285+150</f>
        <v>19343.36</v>
      </c>
      <c r="K52" s="1">
        <f>Table118192023103031323538394042[[#This Row],[النولون]]+Table118192023103031323538394042[[#This Row],[الايصالات]]+Table118192023103031323538394042[[#This Row],[قيمة مضافة]]</f>
        <v>37583.360000000001</v>
      </c>
      <c r="M52" s="1">
        <f>M51+Table118192023103031323538394042[[#This Row],[اجمالي الفاتوره]]-Table118192023103031323538394042[[#This Row],[الدفعات]]</f>
        <v>606722.14999999979</v>
      </c>
      <c r="O52" s="48"/>
    </row>
    <row r="53" spans="1:15" ht="22.5" customHeight="1" x14ac:dyDescent="0.3">
      <c r="A53" s="6">
        <v>1457</v>
      </c>
      <c r="B53" s="1">
        <v>41</v>
      </c>
      <c r="C53" s="2">
        <v>46153</v>
      </c>
      <c r="D53" s="1" t="s">
        <v>64</v>
      </c>
      <c r="E53" s="1" t="s">
        <v>132</v>
      </c>
      <c r="F53" s="1">
        <v>223228</v>
      </c>
      <c r="G53" s="1" t="s">
        <v>121</v>
      </c>
      <c r="H53" s="1">
        <v>9700</v>
      </c>
      <c r="I53" s="1">
        <f>0.14*Table118192023103031323538394042[[#This Row],[النولون]]</f>
        <v>1358.0000000000002</v>
      </c>
      <c r="J53" s="1">
        <f>40+1130+365.84+100+1467.18+500+100</f>
        <v>3703.02</v>
      </c>
      <c r="K53" s="1">
        <f>Table118192023103031323538394042[[#This Row],[النولون]]+Table118192023103031323538394042[[#This Row],[الايصالات]]+Table118192023103031323538394042[[#This Row],[قيمة مضافة]]</f>
        <v>14761.02</v>
      </c>
      <c r="M53" s="1">
        <f>M52+Table118192023103031323538394042[[#This Row],[اجمالي الفاتوره]]-Table118192023103031323538394042[[#This Row],[الدفعات]]</f>
        <v>621483.16999999981</v>
      </c>
      <c r="O53" s="48"/>
    </row>
    <row r="54" spans="1:15" ht="22.5" customHeight="1" x14ac:dyDescent="0.3">
      <c r="A54" s="6">
        <v>1469</v>
      </c>
      <c r="B54" s="1">
        <v>42</v>
      </c>
      <c r="C54" s="2">
        <v>46159</v>
      </c>
      <c r="D54" s="1" t="s">
        <v>185</v>
      </c>
      <c r="E54" s="1" t="s">
        <v>94</v>
      </c>
      <c r="F54" s="1">
        <v>229364</v>
      </c>
      <c r="G54" s="1" t="s">
        <v>184</v>
      </c>
      <c r="H54" s="1">
        <f>16000*7</f>
        <v>112000</v>
      </c>
      <c r="I54" s="1">
        <f>0.14*Table118192023103031323538394042[[#This Row],[النولون]]</f>
        <v>15680.000000000002</v>
      </c>
      <c r="J54" s="1">
        <f>708.04+391.5+68.08+336.51+787.48+747.76+668.33+397.15+1467.18*6+1993.86+3480</f>
        <v>18381.79</v>
      </c>
      <c r="K54" s="1">
        <f>Table118192023103031323538394042[[#This Row],[النولون]]+Table118192023103031323538394042[[#This Row],[الايصالات]]+Table118192023103031323538394042[[#This Row],[قيمة مضافة]]</f>
        <v>146061.79</v>
      </c>
      <c r="M54" s="1">
        <f>M53+Table118192023103031323538394042[[#This Row],[اجمالي الفاتوره]]-Table118192023103031323538394042[[#This Row],[الدفعات]]</f>
        <v>767544.95999999985</v>
      </c>
      <c r="O54" s="48"/>
    </row>
    <row r="55" spans="1:15" ht="22.5" customHeight="1" x14ac:dyDescent="0.3">
      <c r="A55" s="6">
        <v>1470</v>
      </c>
      <c r="B55" s="1">
        <v>43</v>
      </c>
      <c r="C55" s="2">
        <v>46159</v>
      </c>
      <c r="D55" s="1" t="s">
        <v>185</v>
      </c>
      <c r="E55" s="1" t="s">
        <v>94</v>
      </c>
      <c r="F55" s="1">
        <v>233034</v>
      </c>
      <c r="G55" s="1" t="s">
        <v>121</v>
      </c>
      <c r="H55" s="1">
        <v>16000</v>
      </c>
      <c r="I55" s="1">
        <f>0.14*Table118192023103031323538394042[[#This Row],[النولون]]</f>
        <v>2240</v>
      </c>
      <c r="J55" s="1">
        <f>4065+100+404.55+478.8</f>
        <v>5048.3500000000004</v>
      </c>
      <c r="K55" s="1">
        <f>Table118192023103031323538394042[[#This Row],[النولون]]+Table118192023103031323538394042[[#This Row],[الايصالات]]+Table118192023103031323538394042[[#This Row],[قيمة مضافة]]</f>
        <v>23288.35</v>
      </c>
      <c r="M55" s="1">
        <f>M54+Table118192023103031323538394042[[#This Row],[اجمالي الفاتوره]]-Table118192023103031323538394042[[#This Row],[الدفعات]]</f>
        <v>790833.30999999982</v>
      </c>
      <c r="O55" s="48"/>
    </row>
    <row r="56" spans="1:15" ht="22.5" customHeight="1" x14ac:dyDescent="0.3">
      <c r="A56" s="74"/>
      <c r="B56" s="72"/>
      <c r="C56" s="73">
        <v>46161</v>
      </c>
      <c r="D56" s="72"/>
      <c r="E56" s="72"/>
      <c r="F56" s="72"/>
      <c r="G56" s="72"/>
      <c r="H56" s="72"/>
      <c r="I56" s="72">
        <f>0.14*Table118192023103031323538394042[[#This Row],[النولون]]</f>
        <v>0</v>
      </c>
      <c r="J56" s="72"/>
      <c r="K56" s="72">
        <f>Table118192023103031323538394042[[#This Row],[النولون]]+Table118192023103031323538394042[[#This Row],[الايصالات]]+Table118192023103031323538394042[[#This Row],[قيمة مضافة]]</f>
        <v>0</v>
      </c>
      <c r="L56" s="72">
        <v>150000</v>
      </c>
      <c r="M56" s="72">
        <f>M55+Table118192023103031323538394042[[#This Row],[اجمالي الفاتوره]]-Table118192023103031323538394042[[#This Row],[الدفعات]]</f>
        <v>640833.30999999982</v>
      </c>
      <c r="O56" s="48"/>
    </row>
    <row r="57" spans="1:15" ht="22.5" customHeight="1" x14ac:dyDescent="0.3">
      <c r="A57" s="74"/>
      <c r="B57" s="72"/>
      <c r="C57" s="73">
        <v>46162</v>
      </c>
      <c r="D57" s="72"/>
      <c r="E57" s="72"/>
      <c r="F57" s="72"/>
      <c r="G57" s="72"/>
      <c r="H57" s="72"/>
      <c r="I57" s="72">
        <f>0.14*Table118192023103031323538394042[[#This Row],[النولون]]</f>
        <v>0</v>
      </c>
      <c r="J57" s="72"/>
      <c r="K57" s="72">
        <f>Table118192023103031323538394042[[#This Row],[النولون]]+Table118192023103031323538394042[[#This Row],[الايصالات]]+Table118192023103031323538394042[[#This Row],[قيمة مضافة]]</f>
        <v>0</v>
      </c>
      <c r="L57" s="72">
        <v>300000</v>
      </c>
      <c r="M57" s="72">
        <f>M56+Table118192023103031323538394042[[#This Row],[اجمالي الفاتوره]]-Table118192023103031323538394042[[#This Row],[الدفعات]]</f>
        <v>340833.30999999982</v>
      </c>
      <c r="O57" s="48"/>
    </row>
    <row r="58" spans="1:15" ht="22.5" customHeight="1" x14ac:dyDescent="0.3">
      <c r="B58" s="1">
        <v>44</v>
      </c>
      <c r="C58" s="2">
        <v>46166</v>
      </c>
      <c r="D58" s="1" t="s">
        <v>565</v>
      </c>
      <c r="E58" s="1" t="s">
        <v>567</v>
      </c>
      <c r="F58" s="1">
        <v>227707</v>
      </c>
      <c r="G58" s="1" t="s">
        <v>568</v>
      </c>
      <c r="H58" s="1">
        <f>5*7000+17000</f>
        <v>52000</v>
      </c>
      <c r="I58" s="1">
        <v>0</v>
      </c>
      <c r="J58" s="1">
        <f>9000+12000+1150+1105+105.79*2+166.48+361.5+190.62+158.66+161.48+229.3+1200+2166+3933+2622+2280+1995+2166+200+500+810</f>
        <v>42606.619999999995</v>
      </c>
      <c r="K58" s="1">
        <f>Table118192023103031323538394042[[#This Row],[النولون]]+Table118192023103031323538394042[[#This Row],[الايصالات]]+Table118192023103031323538394042[[#This Row],[قيمة مضافة]]</f>
        <v>94606.62</v>
      </c>
      <c r="M58" s="1">
        <f>M57+Table118192023103031323538394042[[#This Row],[اجمالي الفاتوره]]-Table118192023103031323538394042[[#This Row],[الدفعات]]</f>
        <v>435439.92999999982</v>
      </c>
      <c r="O58" s="48"/>
    </row>
    <row r="59" spans="1:15" ht="22.5" customHeight="1" x14ac:dyDescent="0.3">
      <c r="A59" s="6">
        <v>1477</v>
      </c>
      <c r="B59" s="1">
        <v>45</v>
      </c>
      <c r="C59" s="2">
        <v>46166</v>
      </c>
      <c r="D59" s="1" t="s">
        <v>458</v>
      </c>
      <c r="E59" s="1" t="s">
        <v>94</v>
      </c>
      <c r="F59" s="1">
        <v>237471</v>
      </c>
      <c r="G59" s="1" t="s">
        <v>159</v>
      </c>
      <c r="H59" s="1">
        <v>13000</v>
      </c>
      <c r="I59" s="1">
        <f>0.14*Table118192023103031323538394042[[#This Row],[النولون]]</f>
        <v>1820.0000000000002</v>
      </c>
      <c r="J59" s="1">
        <f>850+550+75.47+172.01+400</f>
        <v>2047.48</v>
      </c>
      <c r="K59" s="1">
        <f>Table118192023103031323538394042[[#This Row],[النولون]]+Table118192023103031323538394042[[#This Row],[الايصالات]]+Table118192023103031323538394042[[#This Row],[قيمة مضافة]]</f>
        <v>16867.48</v>
      </c>
      <c r="M59" s="1">
        <f>M58+Table118192023103031323538394042[[#This Row],[اجمالي الفاتوره]]-Table118192023103031323538394042[[#This Row],[الدفعات]]</f>
        <v>452307.4099999998</v>
      </c>
      <c r="O59" s="48"/>
    </row>
    <row r="60" spans="1:15" ht="22.5" customHeight="1" x14ac:dyDescent="0.3">
      <c r="A60" s="6">
        <v>1478</v>
      </c>
      <c r="B60" s="1">
        <v>46</v>
      </c>
      <c r="C60" s="2">
        <v>46166</v>
      </c>
      <c r="D60" s="1" t="s">
        <v>566</v>
      </c>
      <c r="E60" s="1" t="s">
        <v>94</v>
      </c>
      <c r="F60" s="1">
        <v>242686</v>
      </c>
      <c r="G60" s="1" t="s">
        <v>92</v>
      </c>
      <c r="H60" s="1">
        <f>2*16000</f>
        <v>32000</v>
      </c>
      <c r="I60" s="1">
        <f>0.14*Table118192023103031323538394042[[#This Row],[النولون]]</f>
        <v>4480</v>
      </c>
      <c r="J60" s="1">
        <f>5110+150+850+1100+1105+437.36+538.66+1347.48</f>
        <v>10638.5</v>
      </c>
      <c r="K60" s="1">
        <f>Table118192023103031323538394042[[#This Row],[النولون]]+Table118192023103031323538394042[[#This Row],[الايصالات]]+Table118192023103031323538394042[[#This Row],[قيمة مضافة]]</f>
        <v>47118.5</v>
      </c>
      <c r="M60" s="1">
        <f>M59+Table118192023103031323538394042[[#This Row],[اجمالي الفاتوره]]-Table118192023103031323538394042[[#This Row],[الدفعات]]</f>
        <v>499425.9099999998</v>
      </c>
      <c r="O60" s="48"/>
    </row>
    <row r="61" spans="1:15" ht="22.5" customHeight="1" x14ac:dyDescent="0.3">
      <c r="A61" s="6">
        <v>1479</v>
      </c>
      <c r="B61" s="1">
        <v>47</v>
      </c>
      <c r="C61" s="2">
        <v>46166</v>
      </c>
      <c r="D61" s="1" t="s">
        <v>566</v>
      </c>
      <c r="E61" s="1" t="s">
        <v>94</v>
      </c>
      <c r="F61" s="1">
        <v>248412</v>
      </c>
      <c r="G61" s="1" t="s">
        <v>91</v>
      </c>
      <c r="H61" s="1">
        <f>5*16000</f>
        <v>80000</v>
      </c>
      <c r="I61" s="1">
        <f>0.14*Table118192023103031323538394042[[#This Row],[النولون]]</f>
        <v>11200.000000000002</v>
      </c>
      <c r="J61" s="1">
        <f>150+850+244.76+236.93+303.22+265.51+294.74+1254*4+17334.56+9970</f>
        <v>34665.72</v>
      </c>
      <c r="K61" s="1">
        <f>Table118192023103031323538394042[[#This Row],[النولون]]+Table118192023103031323538394042[[#This Row],[الايصالات]]+Table118192023103031323538394042[[#This Row],[قيمة مضافة]]</f>
        <v>125865.72</v>
      </c>
      <c r="M61" s="1">
        <f>M60+Table118192023103031323538394042[[#This Row],[اجمالي الفاتوره]]-Table118192023103031323538394042[[#This Row],[الدفعات]]</f>
        <v>625291.62999999977</v>
      </c>
      <c r="O61" s="48"/>
    </row>
    <row r="62" spans="1:15" ht="22.5" customHeight="1" x14ac:dyDescent="0.3">
      <c r="A62" s="6">
        <v>1480</v>
      </c>
      <c r="B62" s="1">
        <v>48</v>
      </c>
      <c r="C62" s="2">
        <v>46166</v>
      </c>
      <c r="D62" s="1" t="s">
        <v>566</v>
      </c>
      <c r="E62" s="1" t="s">
        <v>94</v>
      </c>
      <c r="F62" s="1">
        <v>248522</v>
      </c>
      <c r="G62" s="1" t="s">
        <v>181</v>
      </c>
      <c r="H62" s="1">
        <f>4*16000</f>
        <v>64000</v>
      </c>
      <c r="I62" s="1">
        <f>0.14*Table118192023103031323538394042[[#This Row],[النولون]]</f>
        <v>8960</v>
      </c>
      <c r="J62" s="1">
        <f>120+850+1105+1105+1135+1105+45.15+320.86+323.68+351.85+665.05+5016+150+25135</f>
        <v>37427.589999999997</v>
      </c>
      <c r="K62" s="1">
        <f>Table118192023103031323538394042[[#This Row],[النولون]]+Table118192023103031323538394042[[#This Row],[الايصالات]]+Table118192023103031323538394042[[#This Row],[قيمة مضافة]]</f>
        <v>110387.59</v>
      </c>
      <c r="M62" s="1">
        <f>M61+Table118192023103031323538394042[[#This Row],[اجمالي الفاتوره]]-Table118192023103031323538394042[[#This Row],[الدفعات]]</f>
        <v>735679.21999999974</v>
      </c>
      <c r="O62" s="48"/>
    </row>
    <row r="63" spans="1:15" ht="22.5" customHeight="1" x14ac:dyDescent="0.3">
      <c r="A63" s="74"/>
      <c r="B63" s="72"/>
      <c r="C63" s="73">
        <v>46167</v>
      </c>
      <c r="D63" s="72"/>
      <c r="E63" s="72"/>
      <c r="F63" s="72"/>
      <c r="G63" s="72"/>
      <c r="H63" s="72"/>
      <c r="I63" s="72">
        <f>0.14*Table118192023103031323538394042[[#This Row],[النولون]]</f>
        <v>0</v>
      </c>
      <c r="J63" s="72"/>
      <c r="K63" s="72">
        <f>Table118192023103031323538394042[[#This Row],[النولون]]+Table118192023103031323538394042[[#This Row],[الايصالات]]+Table118192023103031323538394042[[#This Row],[قيمة مضافة]]</f>
        <v>0</v>
      </c>
      <c r="L63" s="72">
        <v>250000</v>
      </c>
      <c r="M63" s="72">
        <f>M62+Table118192023103031323538394042[[#This Row],[اجمالي الفاتوره]]-Table118192023103031323538394042[[#This Row],[الدفعات]]</f>
        <v>485679.21999999974</v>
      </c>
      <c r="O63" s="48"/>
    </row>
    <row r="64" spans="1:15" ht="22.5" customHeight="1" x14ac:dyDescent="0.3">
      <c r="A64" s="6">
        <v>1506</v>
      </c>
      <c r="B64" s="1">
        <v>49</v>
      </c>
      <c r="C64" s="2">
        <v>46172</v>
      </c>
      <c r="D64" s="1" t="s">
        <v>258</v>
      </c>
      <c r="E64" s="1" t="s">
        <v>203</v>
      </c>
      <c r="F64" s="1">
        <v>234878</v>
      </c>
      <c r="G64" s="1" t="s">
        <v>159</v>
      </c>
      <c r="H64" s="1">
        <v>13000</v>
      </c>
      <c r="I64" s="1">
        <f>0.14*Table118192023103031323538394042[[#This Row],[النولون]]</f>
        <v>1820.0000000000002</v>
      </c>
      <c r="J64" s="1">
        <f>29+530+135.71+1370</f>
        <v>2064.71</v>
      </c>
      <c r="K64" s="1">
        <f>Table118192023103031323538394042[[#This Row],[النولون]]+Table118192023103031323538394042[[#This Row],[الايصالات]]+Table118192023103031323538394042[[#This Row],[قيمة مضافة]]</f>
        <v>16884.71</v>
      </c>
      <c r="M64" s="1">
        <f>M63+Table118192023103031323538394042[[#This Row],[اجمالي الفاتوره]]-Table118192023103031323538394042[[#This Row],[الدفعات]]</f>
        <v>502563.92999999976</v>
      </c>
      <c r="O64" s="48"/>
    </row>
    <row r="65" spans="1:15" ht="22.5" customHeight="1" x14ac:dyDescent="0.3">
      <c r="A65" s="6">
        <v>1511</v>
      </c>
      <c r="B65" s="1">
        <v>50</v>
      </c>
      <c r="C65" s="2">
        <v>46179</v>
      </c>
      <c r="D65" s="1" t="s">
        <v>589</v>
      </c>
      <c r="E65" s="1" t="s">
        <v>567</v>
      </c>
      <c r="F65" s="1">
        <v>252032</v>
      </c>
      <c r="G65" s="1" t="s">
        <v>121</v>
      </c>
      <c r="H65" s="1">
        <v>7000</v>
      </c>
      <c r="I65" s="1">
        <f>0.14*Table118192023103031323538394042[[#This Row],[النولون]]</f>
        <v>980.00000000000011</v>
      </c>
      <c r="J65" s="1">
        <f>1135+328.88+68.08+478.8</f>
        <v>2010.76</v>
      </c>
      <c r="K65" s="1">
        <f>Table118192023103031323538394042[[#This Row],[النولون]]+Table118192023103031323538394042[[#This Row],[الايصالات]]+Table118192023103031323538394042[[#This Row],[قيمة مضافة]]</f>
        <v>9990.76</v>
      </c>
      <c r="M65" s="1">
        <f>M64+Table118192023103031323538394042[[#This Row],[اجمالي الفاتوره]]-Table118192023103031323538394042[[#This Row],[الدفعات]]</f>
        <v>512554.68999999977</v>
      </c>
      <c r="O65" s="48"/>
    </row>
    <row r="66" spans="1:15" ht="22.5" customHeight="1" x14ac:dyDescent="0.3">
      <c r="A66" s="6">
        <v>1512</v>
      </c>
      <c r="B66" s="1">
        <v>51</v>
      </c>
      <c r="C66" s="2">
        <v>46179</v>
      </c>
      <c r="D66" s="1" t="s">
        <v>590</v>
      </c>
      <c r="E66" s="1" t="s">
        <v>437</v>
      </c>
      <c r="F66" s="1">
        <v>252606</v>
      </c>
      <c r="G66" s="1" t="s">
        <v>121</v>
      </c>
      <c r="H66" s="1">
        <v>16000</v>
      </c>
      <c r="I66" s="1">
        <f>0.14*Table118192023103031323538394042[[#This Row],[النولون]]</f>
        <v>2240</v>
      </c>
      <c r="J66" s="1">
        <f>1100+205.62+1482+478.8</f>
        <v>3266.42</v>
      </c>
      <c r="K66" s="1">
        <f>Table118192023103031323538394042[[#This Row],[النولون]]+Table118192023103031323538394042[[#This Row],[الايصالات]]+Table118192023103031323538394042[[#This Row],[قيمة مضافة]]</f>
        <v>21506.42</v>
      </c>
      <c r="M66" s="1">
        <f>M65+Table118192023103031323538394042[[#This Row],[اجمالي الفاتوره]]-Table118192023103031323538394042[[#This Row],[الدفعات]]</f>
        <v>534061.10999999975</v>
      </c>
      <c r="O66" s="48"/>
    </row>
    <row r="67" spans="1:15" ht="22.5" customHeight="1" x14ac:dyDescent="0.3">
      <c r="A67" s="74"/>
      <c r="B67" s="72"/>
      <c r="C67" s="73">
        <v>46180</v>
      </c>
      <c r="D67" s="72"/>
      <c r="E67" s="72"/>
      <c r="F67" s="72"/>
      <c r="G67" s="72"/>
      <c r="H67" s="72"/>
      <c r="I67" s="72">
        <f>0.14*Table118192023103031323538394042[[#This Row],[النولون]]</f>
        <v>0</v>
      </c>
      <c r="J67" s="72"/>
      <c r="K67" s="72">
        <f>Table118192023103031323538394042[[#This Row],[النولون]]+Table118192023103031323538394042[[#This Row],[الايصالات]]+Table118192023103031323538394042[[#This Row],[قيمة مضافة]]</f>
        <v>0</v>
      </c>
      <c r="L67" s="72">
        <v>130000</v>
      </c>
      <c r="M67" s="72">
        <f>M66+Table118192023103031323538394042[[#This Row],[اجمالي الفاتوره]]-Table118192023103031323538394042[[#This Row],[الدفعات]]</f>
        <v>404061.10999999975</v>
      </c>
      <c r="O67" s="48"/>
    </row>
    <row r="68" spans="1:15" ht="22.5" customHeight="1" x14ac:dyDescent="0.3">
      <c r="A68" s="6">
        <v>1513</v>
      </c>
      <c r="B68" s="1">
        <v>52</v>
      </c>
      <c r="C68" s="2">
        <v>46181</v>
      </c>
      <c r="D68" s="1" t="s">
        <v>471</v>
      </c>
      <c r="E68" s="1" t="s">
        <v>96</v>
      </c>
      <c r="F68" s="1">
        <v>265123</v>
      </c>
      <c r="G68" s="1" t="s">
        <v>133</v>
      </c>
      <c r="H68" s="1">
        <v>21000</v>
      </c>
      <c r="I68" s="1">
        <f>0.14*Table118192023103031323538394042[[#This Row],[النولون]]</f>
        <v>2940.0000000000005</v>
      </c>
      <c r="J68" s="1">
        <f>850+30+1120+991.12+1630+150</f>
        <v>4771.12</v>
      </c>
      <c r="K68" s="1">
        <f>Table118192023103031323538394042[[#This Row],[النولون]]+Table118192023103031323538394042[[#This Row],[الايصالات]]+Table118192023103031323538394042[[#This Row],[قيمة مضافة]]</f>
        <v>28711.119999999999</v>
      </c>
      <c r="M68" s="1">
        <f>M67+Table118192023103031323538394042[[#This Row],[اجمالي الفاتوره]]-Table118192023103031323538394042[[#This Row],[الدفعات]]</f>
        <v>432772.22999999975</v>
      </c>
      <c r="O68" s="48"/>
    </row>
    <row r="69" spans="1:15" ht="22.5" customHeight="1" x14ac:dyDescent="0.3">
      <c r="A69" s="6">
        <v>1527</v>
      </c>
      <c r="B69" s="1">
        <v>53</v>
      </c>
      <c r="C69" s="2">
        <v>46186</v>
      </c>
      <c r="D69" s="1" t="s">
        <v>566</v>
      </c>
      <c r="E69" s="1" t="s">
        <v>94</v>
      </c>
      <c r="F69" s="1">
        <v>277775</v>
      </c>
      <c r="G69" s="1" t="s">
        <v>158</v>
      </c>
      <c r="H69" s="1">
        <f>3*16000</f>
        <v>48000</v>
      </c>
      <c r="I69" s="1">
        <f>0.14*Table118192023103031323538394042[[#This Row],[النولون]]</f>
        <v>6720.0000000000009</v>
      </c>
      <c r="J69" s="1">
        <f>10780+150+114+1105+1100+1100+302.37+105.79+533.41+68.08+734.31+1254*3</f>
        <v>19854.96</v>
      </c>
      <c r="K69" s="1">
        <f>Table118192023103031323538394042[[#This Row],[النولون]]+Table118192023103031323538394042[[#This Row],[الايصالات]]+Table118192023103031323538394042[[#This Row],[قيمة مضافة]]</f>
        <v>74574.959999999992</v>
      </c>
      <c r="M69" s="1">
        <f>M68+Table118192023103031323538394042[[#This Row],[اجمالي الفاتوره]]-Table118192023103031323538394042[[#This Row],[الدفعات]]</f>
        <v>507347.18999999971</v>
      </c>
      <c r="O69" s="48"/>
    </row>
    <row r="70" spans="1:15" ht="22.5" customHeight="1" x14ac:dyDescent="0.3">
      <c r="A70" s="6">
        <v>1528</v>
      </c>
      <c r="B70" s="1">
        <v>54</v>
      </c>
      <c r="C70" s="2">
        <v>46186</v>
      </c>
      <c r="D70" s="1" t="s">
        <v>185</v>
      </c>
      <c r="E70" s="1" t="s">
        <v>94</v>
      </c>
      <c r="F70" s="1">
        <v>284709</v>
      </c>
      <c r="G70" s="1" t="s">
        <v>285</v>
      </c>
      <c r="H70" s="1">
        <f>6*16000</f>
        <v>96000</v>
      </c>
      <c r="I70" s="1">
        <f>0.14*Table118192023103031323538394042[[#This Row],[النولون]]</f>
        <v>13440.000000000002</v>
      </c>
      <c r="J70" s="1">
        <f>810+850+105.79+105.79*2+604.65+333.68+78.41+651.6+339.34+112.67+336.51+718.88+14115+1544.7*6+1368+150+116.12+105.79+116.12+105.79</f>
        <v>30498.13</v>
      </c>
      <c r="K70" s="1">
        <f>Table118192023103031323538394042[[#This Row],[النولون]]+Table118192023103031323538394042[[#This Row],[الايصالات]]+Table118192023103031323538394042[[#This Row],[قيمة مضافة]]</f>
        <v>139938.13</v>
      </c>
      <c r="M70" s="1">
        <f>M69+Table118192023103031323538394042[[#This Row],[اجمالي الفاتوره]]-Table118192023103031323538394042[[#This Row],[الدفعات]]</f>
        <v>647285.31999999972</v>
      </c>
      <c r="O70" s="48"/>
    </row>
    <row r="71" spans="1:15" ht="22.5" customHeight="1" x14ac:dyDescent="0.3">
      <c r="A71" s="6">
        <v>1529</v>
      </c>
      <c r="B71" s="1">
        <v>55</v>
      </c>
      <c r="C71" s="2">
        <v>46186</v>
      </c>
      <c r="D71" s="1" t="s">
        <v>185</v>
      </c>
      <c r="E71" s="1" t="s">
        <v>94</v>
      </c>
      <c r="F71" s="1">
        <v>285136</v>
      </c>
      <c r="G71" s="1" t="s">
        <v>92</v>
      </c>
      <c r="H71" s="1">
        <f>2*16000</f>
        <v>32000</v>
      </c>
      <c r="I71" s="1">
        <f>0.14*Table118192023103031323538394042[[#This Row],[النولون]]</f>
        <v>4480</v>
      </c>
      <c r="J71" s="1">
        <f>338.59+337.36+689.93+1407.9+3459.9</f>
        <v>6233.68</v>
      </c>
      <c r="K71" s="1">
        <f>Table118192023103031323538394042[[#This Row],[النولون]]+Table118192023103031323538394042[[#This Row],[الايصالات]]+Table118192023103031323538394042[[#This Row],[قيمة مضافة]]</f>
        <v>42713.68</v>
      </c>
      <c r="M71" s="1">
        <f>M70+Table118192023103031323538394042[[#This Row],[اجمالي الفاتوره]]-Table118192023103031323538394042[[#This Row],[الدفعات]]</f>
        <v>689998.99999999977</v>
      </c>
      <c r="O71" s="48"/>
    </row>
    <row r="72" spans="1:15" ht="22.5" customHeight="1" x14ac:dyDescent="0.3">
      <c r="A72" s="6">
        <v>1530</v>
      </c>
      <c r="B72" s="1">
        <v>56</v>
      </c>
      <c r="C72" s="2">
        <v>46186</v>
      </c>
      <c r="D72" s="1" t="s">
        <v>185</v>
      </c>
      <c r="E72" s="1" t="s">
        <v>94</v>
      </c>
      <c r="F72" s="1">
        <v>271773</v>
      </c>
      <c r="G72" s="1" t="s">
        <v>285</v>
      </c>
      <c r="H72" s="1">
        <f>6*16000</f>
        <v>96000</v>
      </c>
      <c r="I72" s="1">
        <f>0.14*Table118192023103031323538394042[[#This Row],[النولون]]</f>
        <v>13440.000000000002</v>
      </c>
      <c r="J72" s="1">
        <f>27715+850+105.79+68.08+708.04+409.19+442.85+411.4+438.46+602.15+2872.8+150</f>
        <v>34773.760000000002</v>
      </c>
      <c r="K72" s="1">
        <f>Table118192023103031323538394042[[#This Row],[النولون]]+Table118192023103031323538394042[[#This Row],[الايصالات]]+Table118192023103031323538394042[[#This Row],[قيمة مضافة]]</f>
        <v>144213.76000000001</v>
      </c>
      <c r="M72" s="1">
        <f>M71+Table118192023103031323538394042[[#This Row],[اجمالي الفاتوره]]-Table118192023103031323538394042[[#This Row],[الدفعات]]</f>
        <v>834212.75999999978</v>
      </c>
      <c r="O72" s="48"/>
    </row>
    <row r="73" spans="1:15" ht="22.5" customHeight="1" x14ac:dyDescent="0.3">
      <c r="B73" s="1">
        <v>57</v>
      </c>
      <c r="C73" s="2">
        <v>46186</v>
      </c>
      <c r="D73" s="1" t="s">
        <v>451</v>
      </c>
      <c r="E73" s="1" t="s">
        <v>94</v>
      </c>
      <c r="F73" s="1">
        <v>271407</v>
      </c>
      <c r="G73" s="1" t="s">
        <v>121</v>
      </c>
      <c r="H73" s="1">
        <v>13000</v>
      </c>
      <c r="J73" s="1">
        <f>850+550+270.1+50+1368+285</f>
        <v>3373.1</v>
      </c>
      <c r="K73" s="1">
        <f>Table118192023103031323538394042[[#This Row],[النولون]]+Table118192023103031323538394042[[#This Row],[الايصالات]]+Table118192023103031323538394042[[#This Row],[قيمة مضافة]]</f>
        <v>16373.1</v>
      </c>
      <c r="M73" s="1">
        <f>M72+Table118192023103031323538394042[[#This Row],[اجمالي الفاتوره]]-Table118192023103031323538394042[[#This Row],[الدفعات]]</f>
        <v>850585.85999999975</v>
      </c>
      <c r="O73" s="48"/>
    </row>
    <row r="74" spans="1:15" ht="22.5" customHeight="1" x14ac:dyDescent="0.3">
      <c r="A74" s="74"/>
      <c r="B74" s="72"/>
      <c r="C74" s="73">
        <v>46189</v>
      </c>
      <c r="D74" s="72"/>
      <c r="E74" s="72"/>
      <c r="F74" s="72"/>
      <c r="G74" s="72"/>
      <c r="H74" s="72"/>
      <c r="I74" s="72">
        <f>0.14*Table118192023103031323538394042[[#This Row],[النولون]]</f>
        <v>0</v>
      </c>
      <c r="J74" s="72"/>
      <c r="K74" s="72">
        <f>Table118192023103031323538394042[[#This Row],[النولون]]+Table118192023103031323538394042[[#This Row],[الايصالات]]+Table118192023103031323538394042[[#This Row],[قيمة مضافة]]</f>
        <v>0</v>
      </c>
      <c r="L74" s="72">
        <v>200000</v>
      </c>
      <c r="M74" s="72">
        <f>M73+Table118192023103031323538394042[[#This Row],[اجمالي الفاتوره]]-Table118192023103031323538394042[[#This Row],[الدفعات]]</f>
        <v>650585.85999999975</v>
      </c>
      <c r="O74" s="48"/>
    </row>
    <row r="75" spans="1:15" ht="22.5" customHeight="1" x14ac:dyDescent="0.3">
      <c r="B75" s="1">
        <v>58</v>
      </c>
      <c r="C75" s="2">
        <v>46194</v>
      </c>
      <c r="D75" s="1" t="s">
        <v>205</v>
      </c>
      <c r="E75" s="1" t="s">
        <v>437</v>
      </c>
      <c r="F75" s="1">
        <v>291208</v>
      </c>
      <c r="G75" s="1" t="s">
        <v>92</v>
      </c>
      <c r="H75" s="1">
        <f>18000*2</f>
        <v>36000</v>
      </c>
      <c r="I75" s="1">
        <v>0</v>
      </c>
      <c r="J75" s="1">
        <f>1105+227.78+236.28+500+228+1453.5*2</f>
        <v>5204.0599999999995</v>
      </c>
      <c r="K75" s="1">
        <f>Table118192023103031323538394042[[#This Row],[النولون]]+Table118192023103031323538394042[[#This Row],[الايصالات]]+Table118192023103031323538394042[[#This Row],[قيمة مضافة]]</f>
        <v>41204.06</v>
      </c>
      <c r="M75" s="1">
        <f>M74+Table118192023103031323538394042[[#This Row],[اجمالي الفاتوره]]-Table118192023103031323538394042[[#This Row],[الدفعات]]</f>
        <v>691789.91999999969</v>
      </c>
      <c r="O75" s="48"/>
    </row>
    <row r="76" spans="1:15" ht="22.5" customHeight="1" x14ac:dyDescent="0.3">
      <c r="B76" s="1">
        <v>59</v>
      </c>
      <c r="C76" s="2">
        <v>46194</v>
      </c>
      <c r="D76" s="1" t="s">
        <v>205</v>
      </c>
      <c r="E76" s="1" t="s">
        <v>437</v>
      </c>
      <c r="F76" s="1">
        <v>301097</v>
      </c>
      <c r="G76" s="1" t="s">
        <v>158</v>
      </c>
      <c r="H76" s="1">
        <f>18000*3</f>
        <v>54000</v>
      </c>
      <c r="I76" s="1">
        <v>0</v>
      </c>
      <c r="J76" s="1">
        <f>850+810+1105+1105+30+1105+30+203.45+105.79+187.14+182.14+342+750+1453.5+1225.5+1453.5</f>
        <v>10938.02</v>
      </c>
      <c r="K76" s="1">
        <f>Table118192023103031323538394042[[#This Row],[النولون]]+Table118192023103031323538394042[[#This Row],[الايصالات]]+Table118192023103031323538394042[[#This Row],[قيمة مضافة]]</f>
        <v>64938.020000000004</v>
      </c>
      <c r="M76" s="1">
        <f>M75+Table118192023103031323538394042[[#This Row],[اجمالي الفاتوره]]-Table118192023103031323538394042[[#This Row],[الدفعات]]</f>
        <v>756727.93999999971</v>
      </c>
      <c r="O76" s="48"/>
    </row>
    <row r="77" spans="1:15" ht="22.5" customHeight="1" x14ac:dyDescent="0.3">
      <c r="A77" s="74"/>
      <c r="B77" s="72"/>
      <c r="C77" s="73">
        <v>46194</v>
      </c>
      <c r="D77" s="72"/>
      <c r="E77" s="72"/>
      <c r="F77" s="72"/>
      <c r="G77" s="72"/>
      <c r="H77" s="72"/>
      <c r="I77" s="72">
        <f>0.14*Table118192023103031323538394042[[#This Row],[النولون]]</f>
        <v>0</v>
      </c>
      <c r="J77" s="72"/>
      <c r="K77" s="72">
        <f>Table118192023103031323538394042[[#This Row],[النولون]]+Table118192023103031323538394042[[#This Row],[الايصالات]]+Table118192023103031323538394042[[#This Row],[قيمة مضافة]]</f>
        <v>0</v>
      </c>
      <c r="L77" s="72">
        <v>70000</v>
      </c>
      <c r="M77" s="72">
        <f>M76+Table118192023103031323538394042[[#This Row],[اجمالي الفاتوره]]-Table118192023103031323538394042[[#This Row],[الدفعات]]</f>
        <v>686727.93999999971</v>
      </c>
      <c r="O77" s="48"/>
    </row>
    <row r="78" spans="1:15" ht="22.5" customHeight="1" x14ac:dyDescent="0.3">
      <c r="A78" s="74"/>
      <c r="B78" s="72"/>
      <c r="C78" s="73">
        <v>46194</v>
      </c>
      <c r="D78" s="72"/>
      <c r="E78" s="72"/>
      <c r="F78" s="72"/>
      <c r="G78" s="72"/>
      <c r="H78" s="72"/>
      <c r="I78" s="72">
        <f>0.14*Table118192023103031323538394042[[#This Row],[النولون]]</f>
        <v>0</v>
      </c>
      <c r="J78" s="72"/>
      <c r="K78" s="72">
        <f>Table118192023103031323538394042[[#This Row],[النولون]]+Table118192023103031323538394042[[#This Row],[الايصالات]]+Table118192023103031323538394042[[#This Row],[قيمة مضافة]]</f>
        <v>0</v>
      </c>
      <c r="L78" s="72">
        <v>155000</v>
      </c>
      <c r="M78" s="72">
        <f>M77+Table118192023103031323538394042[[#This Row],[اجمالي الفاتوره]]-Table118192023103031323538394042[[#This Row],[الدفعات]]</f>
        <v>531727.93999999971</v>
      </c>
      <c r="O78" s="48"/>
    </row>
    <row r="79" spans="1:15" ht="22.5" customHeight="1" x14ac:dyDescent="0.3">
      <c r="A79" s="6">
        <v>1557</v>
      </c>
      <c r="B79" s="1">
        <v>60</v>
      </c>
      <c r="C79" s="2">
        <v>46194</v>
      </c>
      <c r="D79" s="1" t="s">
        <v>185</v>
      </c>
      <c r="E79" s="1" t="s">
        <v>94</v>
      </c>
      <c r="F79" s="1">
        <v>6260292</v>
      </c>
      <c r="G79" s="1" t="s">
        <v>121</v>
      </c>
      <c r="H79" s="1">
        <v>16200</v>
      </c>
      <c r="I79" s="1">
        <v>0</v>
      </c>
      <c r="J79" s="1">
        <f>1100+464.34+1255+327</f>
        <v>3146.34</v>
      </c>
      <c r="K79" s="1">
        <f>Table118192023103031323538394042[[#This Row],[النولون]]+Table118192023103031323538394042[[#This Row],[الايصالات]]+Table118192023103031323538394042[[#This Row],[قيمة مضافة]]</f>
        <v>19346.34</v>
      </c>
      <c r="M79" s="1">
        <f>M78+Table118192023103031323538394042[[#This Row],[اجمالي الفاتوره]]-Table118192023103031323538394042[[#This Row],[الدفعات]]</f>
        <v>551074.27999999968</v>
      </c>
      <c r="O79" s="48"/>
    </row>
    <row r="80" spans="1:15" ht="22.5" customHeight="1" x14ac:dyDescent="0.3">
      <c r="A80" s="6">
        <v>1564</v>
      </c>
      <c r="B80" s="1">
        <v>61</v>
      </c>
      <c r="C80" s="2">
        <v>46196</v>
      </c>
      <c r="D80" s="1" t="s">
        <v>185</v>
      </c>
      <c r="E80" s="1" t="s">
        <v>94</v>
      </c>
      <c r="F80" s="1">
        <v>313334</v>
      </c>
      <c r="G80" s="1" t="s">
        <v>121</v>
      </c>
      <c r="H80" s="1">
        <f>16000+420</f>
        <v>16420</v>
      </c>
      <c r="I80" s="1">
        <f>0.14*Table118192023103031323538394042[[#This Row],[النولون]]</f>
        <v>2298.8000000000002</v>
      </c>
      <c r="J80" s="1">
        <f>105.79+323.13</f>
        <v>428.92</v>
      </c>
      <c r="K80" s="1">
        <f>Table118192023103031323538394042[[#This Row],[النولون]]+Table118192023103031323538394042[[#This Row],[الايصالات]]+Table118192023103031323538394042[[#This Row],[قيمة مضافة]]</f>
        <v>19147.719999999998</v>
      </c>
      <c r="M80" s="1">
        <f>M79+Table118192023103031323538394042[[#This Row],[اجمالي الفاتوره]]-Table118192023103031323538394042[[#This Row],[الدفعات]]</f>
        <v>570221.99999999965</v>
      </c>
      <c r="O80" s="48"/>
    </row>
    <row r="81" spans="1:15" ht="22.5" customHeight="1" x14ac:dyDescent="0.3">
      <c r="A81" s="6">
        <v>1565</v>
      </c>
      <c r="B81" s="1">
        <v>62</v>
      </c>
      <c r="C81" s="2">
        <v>46196</v>
      </c>
      <c r="D81" s="1" t="s">
        <v>471</v>
      </c>
      <c r="E81" s="1" t="s">
        <v>516</v>
      </c>
      <c r="F81" s="1">
        <v>306914</v>
      </c>
      <c r="G81" s="1" t="s">
        <v>133</v>
      </c>
      <c r="H81" s="1">
        <v>21000</v>
      </c>
      <c r="I81" s="1">
        <f>0.14*Table118192023103031323538394042[[#This Row],[النولون]]</f>
        <v>2940.0000000000005</v>
      </c>
      <c r="J81" s="1">
        <f>5880+850+1120+984.55+1117.2*2+150+100</f>
        <v>11318.949999999999</v>
      </c>
      <c r="K81" s="1">
        <f>Table118192023103031323538394042[[#This Row],[النولون]]+Table118192023103031323538394042[[#This Row],[الايصالات]]+Table118192023103031323538394042[[#This Row],[قيمة مضافة]]</f>
        <v>35258.949999999997</v>
      </c>
      <c r="M81" s="1">
        <f>M80+Table118192023103031323538394042[[#This Row],[اجمالي الفاتوره]]-Table118192023103031323538394042[[#This Row],[الدفعات]]</f>
        <v>605480.9499999996</v>
      </c>
      <c r="O81" s="48"/>
    </row>
    <row r="82" spans="1:15" ht="22.5" customHeight="1" x14ac:dyDescent="0.3">
      <c r="A82" s="6">
        <v>1566</v>
      </c>
      <c r="B82" s="1">
        <v>63</v>
      </c>
      <c r="C82" s="2">
        <v>46196</v>
      </c>
      <c r="D82" s="1" t="s">
        <v>471</v>
      </c>
      <c r="E82" s="1" t="s">
        <v>516</v>
      </c>
      <c r="F82" s="1">
        <v>306912</v>
      </c>
      <c r="G82" s="1" t="s">
        <v>133</v>
      </c>
      <c r="H82" s="1">
        <v>21000</v>
      </c>
      <c r="I82" s="1">
        <f>0.14*Table118192023103031323538394042[[#This Row],[النولون]]</f>
        <v>2940.0000000000005</v>
      </c>
      <c r="J82" s="1">
        <f>850+120+1120+30+941.35+1117.2*2+100+150</f>
        <v>5545.75</v>
      </c>
      <c r="K82" s="1">
        <f>Table118192023103031323538394042[[#This Row],[النولون]]+Table118192023103031323538394042[[#This Row],[الايصالات]]+Table118192023103031323538394042[[#This Row],[قيمة مضافة]]</f>
        <v>29485.75</v>
      </c>
      <c r="M82" s="1">
        <f>M81+Table118192023103031323538394042[[#This Row],[اجمالي الفاتوره]]-Table118192023103031323538394042[[#This Row],[الدفعات]]</f>
        <v>634966.6999999996</v>
      </c>
      <c r="O82" s="48"/>
    </row>
    <row r="83" spans="1:15" ht="22.5" customHeight="1" x14ac:dyDescent="0.3">
      <c r="A83" s="6">
        <v>1576</v>
      </c>
      <c r="B83" s="1">
        <v>64</v>
      </c>
      <c r="C83" s="2">
        <v>46208</v>
      </c>
      <c r="D83" s="1" t="s">
        <v>590</v>
      </c>
      <c r="E83" s="1" t="s">
        <v>437</v>
      </c>
      <c r="F83" s="1">
        <v>252702</v>
      </c>
      <c r="G83" s="1" t="s">
        <v>121</v>
      </c>
      <c r="H83" s="1">
        <v>18000</v>
      </c>
      <c r="I83" s="1">
        <f>0.14*Table118192023103031323538394042[[#This Row],[النولون]]</f>
        <v>2520.0000000000005</v>
      </c>
      <c r="J83" s="1">
        <f>1100+204.3+1254+478.8</f>
        <v>3037.1000000000004</v>
      </c>
      <c r="K83" s="1">
        <f>Table118192023103031323538394042[[#This Row],[النولون]]+Table118192023103031323538394042[[#This Row],[الايصالات]]+Table118192023103031323538394042[[#This Row],[قيمة مضافة]]</f>
        <v>23557.1</v>
      </c>
      <c r="M83" s="1">
        <f>M82+Table118192023103031323538394042[[#This Row],[اجمالي الفاتوره]]-Table118192023103031323538394042[[#This Row],[الدفعات]]</f>
        <v>658523.79999999958</v>
      </c>
      <c r="O83" s="48"/>
    </row>
    <row r="84" spans="1:15" ht="22.5" customHeight="1" x14ac:dyDescent="0.3">
      <c r="A84" s="6">
        <v>1577</v>
      </c>
      <c r="B84" s="1">
        <v>65</v>
      </c>
      <c r="C84" s="2">
        <v>46208</v>
      </c>
      <c r="D84" s="1" t="s">
        <v>185</v>
      </c>
      <c r="E84" s="1" t="s">
        <v>94</v>
      </c>
      <c r="F84" s="1">
        <v>324630</v>
      </c>
      <c r="G84" s="1" t="s">
        <v>158</v>
      </c>
      <c r="H84" s="1">
        <f>16000*3</f>
        <v>48000</v>
      </c>
      <c r="I84" s="1">
        <f>0.14*Table118192023103031323538394042[[#This Row],[النولون]]</f>
        <v>6720.0000000000009</v>
      </c>
      <c r="J84" s="1">
        <f>291.91+268.95+306.66+1255*2+8845+1255</f>
        <v>13477.52</v>
      </c>
      <c r="K84" s="1">
        <f>Table118192023103031323538394042[[#This Row],[النولون]]+Table118192023103031323538394042[[#This Row],[الايصالات]]+Table118192023103031323538394042[[#This Row],[قيمة مضافة]]</f>
        <v>68197.52</v>
      </c>
      <c r="M84" s="1">
        <f>M83+Table118192023103031323538394042[[#This Row],[اجمالي الفاتوره]]-Table118192023103031323538394042[[#This Row],[الدفعات]]</f>
        <v>726721.3199999996</v>
      </c>
      <c r="O84" s="48"/>
    </row>
    <row r="85" spans="1:15" ht="22.5" customHeight="1" x14ac:dyDescent="0.3">
      <c r="A85" s="6">
        <v>1578</v>
      </c>
      <c r="B85" s="1">
        <v>66</v>
      </c>
      <c r="C85" s="2">
        <v>46208</v>
      </c>
      <c r="D85" s="1" t="s">
        <v>589</v>
      </c>
      <c r="E85" s="1" t="s">
        <v>645</v>
      </c>
      <c r="F85" s="1">
        <v>321954</v>
      </c>
      <c r="G85" s="1" t="s">
        <v>121</v>
      </c>
      <c r="H85" s="1">
        <v>7000</v>
      </c>
      <c r="I85" s="1">
        <f>0.14*Table118192023103031323538394042[[#This Row],[النولون]]</f>
        <v>980.00000000000011</v>
      </c>
      <c r="J85" s="1">
        <f>850*2+211.27+1368+478.8</f>
        <v>3758.07</v>
      </c>
      <c r="K85" s="1">
        <f>Table118192023103031323538394042[[#This Row],[النولون]]+Table118192023103031323538394042[[#This Row],[الايصالات]]+Table118192023103031323538394042[[#This Row],[قيمة مضافة]]</f>
        <v>11738.07</v>
      </c>
      <c r="M85" s="1">
        <f>M84+Table118192023103031323538394042[[#This Row],[اجمالي الفاتوره]]-Table118192023103031323538394042[[#This Row],[الدفعات]]</f>
        <v>738459.38999999955</v>
      </c>
      <c r="O85" s="48"/>
    </row>
    <row r="86" spans="1:15" ht="22.5" customHeight="1" x14ac:dyDescent="0.3">
      <c r="C86" s="2">
        <v>46208</v>
      </c>
      <c r="I86" s="1">
        <f>0.14*Table118192023103031323538394042[[#This Row],[النولون]]</f>
        <v>0</v>
      </c>
      <c r="J86" s="1">
        <f>126*50</f>
        <v>6300</v>
      </c>
      <c r="K86" s="1">
        <f>Table118192023103031323538394042[[#This Row],[النولون]]+Table118192023103031323538394042[[#This Row],[الايصالات]]+Table118192023103031323538394042[[#This Row],[قيمة مضافة]]</f>
        <v>6300</v>
      </c>
      <c r="M86" s="1">
        <f>M85+Table118192023103031323538394042[[#This Row],[اجمالي الفاتوره]]-Table118192023103031323538394042[[#This Row],[الدفعات]]</f>
        <v>744759.38999999955</v>
      </c>
      <c r="O86" s="48"/>
    </row>
    <row r="87" spans="1:15" ht="22.5" customHeight="1" x14ac:dyDescent="0.3">
      <c r="C87" s="2"/>
      <c r="I87" s="1">
        <f>0.14*Table118192023103031323538394042[[#This Row],[النولون]]</f>
        <v>0</v>
      </c>
      <c r="K87" s="1">
        <f>Table118192023103031323538394042[[#This Row],[النولون]]+Table118192023103031323538394042[[#This Row],[الايصالات]]+Table118192023103031323538394042[[#This Row],[قيمة مضافة]]</f>
        <v>0</v>
      </c>
      <c r="M87" s="1">
        <f>M86+Table118192023103031323538394042[[#This Row],[اجمالي الفاتوره]]-Table118192023103031323538394042[[#This Row],[الدفعات]]</f>
        <v>744759.38999999955</v>
      </c>
      <c r="O87" s="48"/>
    </row>
    <row r="88" spans="1:15" ht="22.5" customHeight="1" x14ac:dyDescent="0.3">
      <c r="C88" s="2"/>
      <c r="I88" s="1">
        <f>0.14*Table118192023103031323538394042[[#This Row],[النولون]]</f>
        <v>0</v>
      </c>
      <c r="K88" s="1">
        <f>Table118192023103031323538394042[[#This Row],[النولون]]+Table118192023103031323538394042[[#This Row],[الايصالات]]+Table118192023103031323538394042[[#This Row],[قيمة مضافة]]</f>
        <v>0</v>
      </c>
      <c r="M88" s="1">
        <f>M87+Table118192023103031323538394042[[#This Row],[اجمالي الفاتوره]]-Table118192023103031323538394042[[#This Row],[الدفعات]]</f>
        <v>744759.38999999955</v>
      </c>
      <c r="O88" s="48"/>
    </row>
    <row r="89" spans="1:15" ht="22.5" customHeight="1" x14ac:dyDescent="0.3">
      <c r="C89" s="2"/>
      <c r="I89" s="1">
        <f>0.14*Table118192023103031323538394042[[#This Row],[النولون]]</f>
        <v>0</v>
      </c>
      <c r="K89" s="1">
        <f>Table118192023103031323538394042[[#This Row],[النولون]]+Table118192023103031323538394042[[#This Row],[الايصالات]]+Table118192023103031323538394042[[#This Row],[قيمة مضافة]]</f>
        <v>0</v>
      </c>
      <c r="M89" s="1">
        <f>M88+Table118192023103031323538394042[[#This Row],[اجمالي الفاتوره]]-Table118192023103031323538394042[[#This Row],[الدفعات]]</f>
        <v>744759.38999999955</v>
      </c>
      <c r="O89" s="48"/>
    </row>
    <row r="90" spans="1:15" ht="22.5" customHeight="1" x14ac:dyDescent="0.3">
      <c r="C90" s="2"/>
      <c r="I90" s="1">
        <f>0.14*Table118192023103031323538394042[[#This Row],[النولون]]</f>
        <v>0</v>
      </c>
      <c r="K90" s="1">
        <f>Table118192023103031323538394042[[#This Row],[النولون]]+Table118192023103031323538394042[[#This Row],[الايصالات]]+Table118192023103031323538394042[[#This Row],[قيمة مضافة]]</f>
        <v>0</v>
      </c>
      <c r="M90" s="1">
        <f>M89+Table118192023103031323538394042[[#This Row],[اجمالي الفاتوره]]-Table118192023103031323538394042[[#This Row],[الدفعات]]</f>
        <v>744759.38999999955</v>
      </c>
      <c r="O90" s="48"/>
    </row>
    <row r="91" spans="1:15" ht="22.5" customHeight="1" x14ac:dyDescent="0.3">
      <c r="C91" s="2"/>
      <c r="I91" s="1">
        <f>0.14*Table118192023103031323538394042[[#This Row],[النولون]]</f>
        <v>0</v>
      </c>
      <c r="K91" s="1">
        <f>Table118192023103031323538394042[[#This Row],[النولون]]+Table118192023103031323538394042[[#This Row],[الايصالات]]+Table118192023103031323538394042[[#This Row],[قيمة مضافة]]</f>
        <v>0</v>
      </c>
      <c r="M91" s="1">
        <f>M90+Table118192023103031323538394042[[#This Row],[اجمالي الفاتوره]]-Table118192023103031323538394042[[#This Row],[الدفعات]]</f>
        <v>744759.38999999955</v>
      </c>
      <c r="O91" s="48"/>
    </row>
    <row r="92" spans="1:15" ht="22.5" customHeight="1" x14ac:dyDescent="0.3">
      <c r="C92" s="2"/>
      <c r="I92" s="1">
        <f>0.14*Table118192023103031323538394042[[#This Row],[النولون]]</f>
        <v>0</v>
      </c>
      <c r="K92" s="1">
        <f>Table118192023103031323538394042[[#This Row],[النولون]]+Table118192023103031323538394042[[#This Row],[الايصالات]]+Table118192023103031323538394042[[#This Row],[قيمة مضافة]]</f>
        <v>0</v>
      </c>
      <c r="M92" s="1">
        <f>M91+Table118192023103031323538394042[[#This Row],[اجمالي الفاتوره]]-Table118192023103031323538394042[[#This Row],[الدفعات]]</f>
        <v>744759.38999999955</v>
      </c>
      <c r="O92" s="48"/>
    </row>
    <row r="93" spans="1:15" ht="22.5" customHeight="1" x14ac:dyDescent="0.3">
      <c r="C93" s="2"/>
      <c r="I93" s="1">
        <f>0.14*Table118192023103031323538394042[[#This Row],[النولون]]</f>
        <v>0</v>
      </c>
      <c r="K93" s="1">
        <f>Table118192023103031323538394042[[#This Row],[النولون]]+Table118192023103031323538394042[[#This Row],[الايصالات]]+Table118192023103031323538394042[[#This Row],[قيمة مضافة]]</f>
        <v>0</v>
      </c>
      <c r="M93" s="1">
        <f>M92+Table118192023103031323538394042[[#This Row],[اجمالي الفاتوره]]-Table118192023103031323538394042[[#This Row],[الدفعات]]</f>
        <v>744759.38999999955</v>
      </c>
      <c r="O93" s="48"/>
    </row>
    <row r="94" spans="1:15" ht="22.5" customHeight="1" x14ac:dyDescent="0.3">
      <c r="C94" s="2"/>
      <c r="I94" s="1">
        <f>0.14*Table118192023103031323538394042[[#This Row],[النولون]]</f>
        <v>0</v>
      </c>
      <c r="K94" s="1">
        <f>Table118192023103031323538394042[[#This Row],[النولون]]+Table118192023103031323538394042[[#This Row],[الايصالات]]+Table118192023103031323538394042[[#This Row],[قيمة مضافة]]</f>
        <v>0</v>
      </c>
      <c r="M94" s="1">
        <f>M93+Table118192023103031323538394042[[#This Row],[اجمالي الفاتوره]]-Table118192023103031323538394042[[#This Row],[الدفعات]]</f>
        <v>744759.38999999955</v>
      </c>
      <c r="O94" s="48"/>
    </row>
    <row r="95" spans="1:15" ht="22.5" customHeight="1" x14ac:dyDescent="0.3">
      <c r="C95" s="2"/>
      <c r="I95" s="1">
        <f>0.14*Table118192023103031323538394042[[#This Row],[النولون]]</f>
        <v>0</v>
      </c>
      <c r="K95" s="1">
        <f>Table118192023103031323538394042[[#This Row],[النولون]]+Table118192023103031323538394042[[#This Row],[الايصالات]]+Table118192023103031323538394042[[#This Row],[قيمة مضافة]]</f>
        <v>0</v>
      </c>
      <c r="M95" s="1">
        <f>M94+Table118192023103031323538394042[[#This Row],[اجمالي الفاتوره]]-Table118192023103031323538394042[[#This Row],[الدفعات]]</f>
        <v>744759.38999999955</v>
      </c>
      <c r="O95" s="48"/>
    </row>
    <row r="96" spans="1:15" ht="22.5" customHeight="1" x14ac:dyDescent="0.3">
      <c r="C96" s="2"/>
      <c r="I96" s="1">
        <f>0.14*Table118192023103031323538394042[[#This Row],[النولون]]</f>
        <v>0</v>
      </c>
      <c r="K96" s="1">
        <f>Table118192023103031323538394042[[#This Row],[النولون]]+Table118192023103031323538394042[[#This Row],[الايصالات]]+Table118192023103031323538394042[[#This Row],[قيمة مضافة]]</f>
        <v>0</v>
      </c>
      <c r="M96" s="1">
        <f>M95+Table118192023103031323538394042[[#This Row],[اجمالي الفاتوره]]-Table118192023103031323538394042[[#This Row],[الدفعات]]</f>
        <v>744759.38999999955</v>
      </c>
      <c r="O96" s="48"/>
    </row>
    <row r="97" spans="3:15" ht="22.5" customHeight="1" x14ac:dyDescent="0.3">
      <c r="C97" s="2"/>
      <c r="I97" s="1">
        <f>0.14*Table118192023103031323538394042[[#This Row],[النولون]]</f>
        <v>0</v>
      </c>
      <c r="K97" s="1">
        <f>Table118192023103031323538394042[[#This Row],[النولون]]+Table118192023103031323538394042[[#This Row],[الايصالات]]+Table118192023103031323538394042[[#This Row],[قيمة مضافة]]</f>
        <v>0</v>
      </c>
      <c r="M97" s="1">
        <f>M96+Table118192023103031323538394042[[#This Row],[اجمالي الفاتوره]]-Table118192023103031323538394042[[#This Row],[الدفعات]]</f>
        <v>744759.38999999955</v>
      </c>
      <c r="O97" s="48"/>
    </row>
    <row r="98" spans="3:15" ht="22.5" customHeight="1" x14ac:dyDescent="0.3">
      <c r="C98" s="2"/>
      <c r="I98" s="1">
        <f>0.14*Table118192023103031323538394042[[#This Row],[النولون]]</f>
        <v>0</v>
      </c>
      <c r="K98" s="1">
        <f>Table118192023103031323538394042[[#This Row],[النولون]]+Table118192023103031323538394042[[#This Row],[الايصالات]]+Table118192023103031323538394042[[#This Row],[قيمة مضافة]]</f>
        <v>0</v>
      </c>
      <c r="M98" s="1">
        <f>M97+Table118192023103031323538394042[[#This Row],[اجمالي الفاتوره]]-Table118192023103031323538394042[[#This Row],[الدفعات]]</f>
        <v>744759.38999999955</v>
      </c>
      <c r="O98" s="48"/>
    </row>
    <row r="99" spans="3:15" ht="22.5" customHeight="1" x14ac:dyDescent="0.3">
      <c r="C99" s="2"/>
      <c r="I99" s="1">
        <f>0.14*Table118192023103031323538394042[[#This Row],[النولون]]</f>
        <v>0</v>
      </c>
      <c r="K99" s="1">
        <f>Table118192023103031323538394042[[#This Row],[النولون]]+Table118192023103031323538394042[[#This Row],[الايصالات]]+Table118192023103031323538394042[[#This Row],[قيمة مضافة]]</f>
        <v>0</v>
      </c>
      <c r="M99" s="1">
        <f>M98+Table118192023103031323538394042[[#This Row],[اجمالي الفاتوره]]-Table118192023103031323538394042[[#This Row],[الدفعات]]</f>
        <v>744759.38999999955</v>
      </c>
      <c r="O99" s="48"/>
    </row>
    <row r="100" spans="3:15" ht="22.5" customHeight="1" x14ac:dyDescent="0.3">
      <c r="C100" s="2"/>
      <c r="I100" s="1">
        <f>0.14*Table118192023103031323538394042[[#This Row],[النولون]]</f>
        <v>0</v>
      </c>
      <c r="K100" s="1">
        <f>Table118192023103031323538394042[[#This Row],[النولون]]+Table118192023103031323538394042[[#This Row],[الايصالات]]+Table118192023103031323538394042[[#This Row],[قيمة مضافة]]</f>
        <v>0</v>
      </c>
      <c r="M100" s="1">
        <f>M99+Table118192023103031323538394042[[#This Row],[اجمالي الفاتوره]]-Table118192023103031323538394042[[#This Row],[الدفعات]]</f>
        <v>744759.38999999955</v>
      </c>
      <c r="O100" s="48"/>
    </row>
    <row r="101" spans="3:15" ht="22.5" customHeight="1" x14ac:dyDescent="0.3">
      <c r="C101" s="2"/>
      <c r="F101" s="41"/>
      <c r="I101" s="1">
        <f>0.14*Table118192023103031323538394042[[#This Row],[النولون]]</f>
        <v>0</v>
      </c>
      <c r="K101" s="1">
        <f>Table118192023103031323538394042[[#This Row],[النولون]]+Table118192023103031323538394042[[#This Row],[الايصالات]]+Table118192023103031323538394042[[#This Row],[قيمة مضافة]]</f>
        <v>0</v>
      </c>
      <c r="M101" s="1">
        <f>M100+Table118192023103031323538394042[[#This Row],[اجمالي الفاتوره]]-Table118192023103031323538394042[[#This Row],[الدفعات]]</f>
        <v>744759.38999999955</v>
      </c>
      <c r="O101" s="48"/>
    </row>
    <row r="102" spans="3:15" ht="22.5" customHeight="1" x14ac:dyDescent="0.3">
      <c r="C102" s="2"/>
      <c r="I102" s="1">
        <f>0.14*Table118192023103031323538394042[[#This Row],[النولون]]</f>
        <v>0</v>
      </c>
      <c r="K102" s="1">
        <f>Table118192023103031323538394042[[#This Row],[النولون]]+Table118192023103031323538394042[[#This Row],[الايصالات]]+Table118192023103031323538394042[[#This Row],[قيمة مضافة]]</f>
        <v>0</v>
      </c>
      <c r="M102" s="1">
        <f>M101+Table118192023103031323538394042[[#This Row],[اجمالي الفاتوره]]-Table118192023103031323538394042[[#This Row],[الدفعات]]</f>
        <v>744759.38999999955</v>
      </c>
      <c r="O102" s="48"/>
    </row>
    <row r="103" spans="3:15" ht="22.5" customHeight="1" x14ac:dyDescent="0.3">
      <c r="C103" s="2"/>
      <c r="I103" s="1">
        <f>0.14*Table118192023103031323538394042[[#This Row],[النولون]]</f>
        <v>0</v>
      </c>
      <c r="K103" s="1">
        <f>Table118192023103031323538394042[[#This Row],[النولون]]+Table118192023103031323538394042[[#This Row],[الايصالات]]+Table118192023103031323538394042[[#This Row],[قيمة مضافة]]</f>
        <v>0</v>
      </c>
      <c r="M103" s="1">
        <f>M102+Table118192023103031323538394042[[#This Row],[اجمالي الفاتوره]]-Table118192023103031323538394042[[#This Row],[الدفعات]]</f>
        <v>744759.38999999955</v>
      </c>
      <c r="O103" s="48"/>
    </row>
    <row r="104" spans="3:15" ht="22.5" customHeight="1" x14ac:dyDescent="0.3">
      <c r="C104" s="2"/>
      <c r="I104" s="1">
        <f>0.14*Table118192023103031323538394042[[#This Row],[النولون]]</f>
        <v>0</v>
      </c>
      <c r="K104" s="1">
        <f>Table118192023103031323538394042[[#This Row],[النولون]]+Table118192023103031323538394042[[#This Row],[الايصالات]]+Table118192023103031323538394042[[#This Row],[قيمة مضافة]]</f>
        <v>0</v>
      </c>
      <c r="M104" s="1">
        <f>M103+Table118192023103031323538394042[[#This Row],[اجمالي الفاتوره]]-Table118192023103031323538394042[[#This Row],[الدفعات]]</f>
        <v>744759.38999999955</v>
      </c>
      <c r="O104" s="48"/>
    </row>
    <row r="105" spans="3:15" ht="22.5" customHeight="1" x14ac:dyDescent="0.3">
      <c r="C105" s="2"/>
      <c r="I105" s="1">
        <f>0.14*Table118192023103031323538394042[[#This Row],[النولون]]</f>
        <v>0</v>
      </c>
      <c r="K105" s="1">
        <f>Table118192023103031323538394042[[#This Row],[النولون]]+Table118192023103031323538394042[[#This Row],[الايصالات]]+Table118192023103031323538394042[[#This Row],[قيمة مضافة]]</f>
        <v>0</v>
      </c>
      <c r="M105" s="1">
        <f>M104+Table118192023103031323538394042[[#This Row],[اجمالي الفاتوره]]-Table118192023103031323538394042[[#This Row],[الدفعات]]</f>
        <v>744759.38999999955</v>
      </c>
      <c r="O105" s="48"/>
    </row>
    <row r="106" spans="3:15" ht="22.5" customHeight="1" x14ac:dyDescent="0.3">
      <c r="C106" s="2"/>
      <c r="I106" s="1">
        <f>0.14*Table118192023103031323538394042[[#This Row],[النولون]]</f>
        <v>0</v>
      </c>
      <c r="K106" s="1">
        <f>Table118192023103031323538394042[[#This Row],[النولون]]+Table118192023103031323538394042[[#This Row],[الايصالات]]+Table118192023103031323538394042[[#This Row],[قيمة مضافة]]</f>
        <v>0</v>
      </c>
      <c r="M106" s="1">
        <f>M105+Table118192023103031323538394042[[#This Row],[اجمالي الفاتوره]]-Table118192023103031323538394042[[#This Row],[الدفعات]]</f>
        <v>744759.38999999955</v>
      </c>
      <c r="O106" s="48"/>
    </row>
    <row r="107" spans="3:15" ht="22.5" customHeight="1" x14ac:dyDescent="0.3">
      <c r="C107" s="2"/>
      <c r="I107" s="1">
        <f>0.14*Table118192023103031323538394042[[#This Row],[النولون]]</f>
        <v>0</v>
      </c>
      <c r="K107" s="1">
        <f>Table118192023103031323538394042[[#This Row],[النولون]]+Table118192023103031323538394042[[#This Row],[الايصالات]]+Table118192023103031323538394042[[#This Row],[قيمة مضافة]]</f>
        <v>0</v>
      </c>
      <c r="M107" s="1">
        <f>M106+Table118192023103031323538394042[[#This Row],[اجمالي الفاتوره]]-Table118192023103031323538394042[[#This Row],[الدفعات]]</f>
        <v>744759.38999999955</v>
      </c>
      <c r="O107" s="48"/>
    </row>
    <row r="108" spans="3:15" ht="22.5" customHeight="1" x14ac:dyDescent="0.3">
      <c r="C108" s="2"/>
      <c r="I108" s="1">
        <f>0.14*Table118192023103031323538394042[[#This Row],[النولون]]</f>
        <v>0</v>
      </c>
      <c r="K108" s="1">
        <f>Table118192023103031323538394042[[#This Row],[النولون]]+Table118192023103031323538394042[[#This Row],[الايصالات]]+Table118192023103031323538394042[[#This Row],[قيمة مضافة]]</f>
        <v>0</v>
      </c>
      <c r="M108" s="1">
        <f>M107+Table118192023103031323538394042[[#This Row],[اجمالي الفاتوره]]-Table118192023103031323538394042[[#This Row],[الدفعات]]</f>
        <v>744759.38999999955</v>
      </c>
      <c r="O108" s="48"/>
    </row>
    <row r="109" spans="3:15" ht="22.5" customHeight="1" x14ac:dyDescent="0.3">
      <c r="C109" s="2"/>
      <c r="I109" s="1">
        <f>0.14*Table118192023103031323538394042[[#This Row],[النولون]]</f>
        <v>0</v>
      </c>
      <c r="K109" s="1">
        <f>Table118192023103031323538394042[[#This Row],[النولون]]+Table118192023103031323538394042[[#This Row],[الايصالات]]+Table118192023103031323538394042[[#This Row],[قيمة مضافة]]</f>
        <v>0</v>
      </c>
      <c r="M109" s="1">
        <f>M108+Table118192023103031323538394042[[#This Row],[اجمالي الفاتوره]]-Table118192023103031323538394042[[#This Row],[الدفعات]]</f>
        <v>744759.38999999955</v>
      </c>
      <c r="O109" s="48"/>
    </row>
    <row r="110" spans="3:15" ht="22.5" customHeight="1" x14ac:dyDescent="0.3">
      <c r="C110" s="2"/>
      <c r="I110" s="1">
        <f>0.14*Table118192023103031323538394042[[#This Row],[النولون]]</f>
        <v>0</v>
      </c>
      <c r="K110" s="1">
        <f>Table118192023103031323538394042[[#This Row],[النولون]]+Table118192023103031323538394042[[#This Row],[الايصالات]]+Table118192023103031323538394042[[#This Row],[قيمة مضافة]]</f>
        <v>0</v>
      </c>
      <c r="M110" s="1">
        <f>M109+Table118192023103031323538394042[[#This Row],[اجمالي الفاتوره]]-Table118192023103031323538394042[[#This Row],[الدفعات]]</f>
        <v>744759.38999999955</v>
      </c>
      <c r="O110" s="48"/>
    </row>
    <row r="111" spans="3:15" ht="22.5" customHeight="1" x14ac:dyDescent="0.3">
      <c r="C111" s="2"/>
      <c r="I111" s="1">
        <f>0.14*Table118192023103031323538394042[[#This Row],[النولون]]</f>
        <v>0</v>
      </c>
      <c r="K111" s="1">
        <f>Table118192023103031323538394042[[#This Row],[النولون]]+Table118192023103031323538394042[[#This Row],[الايصالات]]+Table118192023103031323538394042[[#This Row],[قيمة مضافة]]</f>
        <v>0</v>
      </c>
      <c r="M111" s="1">
        <f>M110+Table118192023103031323538394042[[#This Row],[اجمالي الفاتوره]]-Table118192023103031323538394042[[#This Row],[الدفعات]]</f>
        <v>744759.38999999955</v>
      </c>
      <c r="O111" s="48"/>
    </row>
    <row r="112" spans="3:15" ht="22.5" customHeight="1" x14ac:dyDescent="0.3">
      <c r="C112" s="2"/>
      <c r="I112" s="1">
        <f>0.14*Table118192023103031323538394042[[#This Row],[النولون]]</f>
        <v>0</v>
      </c>
      <c r="K112" s="1">
        <f>Table118192023103031323538394042[[#This Row],[النولون]]+Table118192023103031323538394042[[#This Row],[الايصالات]]+Table118192023103031323538394042[[#This Row],[قيمة مضافة]]</f>
        <v>0</v>
      </c>
      <c r="M112" s="1">
        <f>M111+Table118192023103031323538394042[[#This Row],[اجمالي الفاتوره]]-Table118192023103031323538394042[[#This Row],[الدفعات]]</f>
        <v>744759.38999999955</v>
      </c>
      <c r="O112" s="48"/>
    </row>
    <row r="113" spans="3:15" ht="22.5" customHeight="1" x14ac:dyDescent="0.3">
      <c r="C113" s="2"/>
      <c r="I113" s="1">
        <f>0.14*Table118192023103031323538394042[[#This Row],[النولون]]</f>
        <v>0</v>
      </c>
      <c r="K113" s="1">
        <f>Table118192023103031323538394042[[#This Row],[النولون]]+Table118192023103031323538394042[[#This Row],[الايصالات]]+Table118192023103031323538394042[[#This Row],[قيمة مضافة]]</f>
        <v>0</v>
      </c>
      <c r="M113" s="1">
        <f>M112+Table118192023103031323538394042[[#This Row],[اجمالي الفاتوره]]-Table118192023103031323538394042[[#This Row],[الدفعات]]</f>
        <v>744759.38999999955</v>
      </c>
      <c r="O113" s="48"/>
    </row>
    <row r="114" spans="3:15" ht="22.5" customHeight="1" x14ac:dyDescent="0.3">
      <c r="C114" s="2"/>
      <c r="I114" s="1">
        <f>0.14*Table118192023103031323538394042[[#This Row],[النولون]]</f>
        <v>0</v>
      </c>
      <c r="K114" s="1">
        <f>Table118192023103031323538394042[[#This Row],[النولون]]+Table118192023103031323538394042[[#This Row],[الايصالات]]+Table118192023103031323538394042[[#This Row],[قيمة مضافة]]</f>
        <v>0</v>
      </c>
      <c r="M114" s="1">
        <f>M113+Table118192023103031323538394042[[#This Row],[اجمالي الفاتوره]]-Table118192023103031323538394042[[#This Row],[الدفعات]]</f>
        <v>744759.38999999955</v>
      </c>
      <c r="O114" s="48"/>
    </row>
    <row r="115" spans="3:15" ht="22.5" customHeight="1" x14ac:dyDescent="0.3">
      <c r="C115" s="2"/>
      <c r="I115" s="1">
        <f>0.14*Table118192023103031323538394042[[#This Row],[النولون]]</f>
        <v>0</v>
      </c>
      <c r="K115" s="1">
        <f>Table118192023103031323538394042[[#This Row],[النولون]]+Table118192023103031323538394042[[#This Row],[الايصالات]]+Table118192023103031323538394042[[#This Row],[قيمة مضافة]]</f>
        <v>0</v>
      </c>
      <c r="M115" s="1">
        <f>M114+Table118192023103031323538394042[[#This Row],[اجمالي الفاتوره]]-Table118192023103031323538394042[[#This Row],[الدفعات]]</f>
        <v>744759.38999999955</v>
      </c>
      <c r="O115" s="48"/>
    </row>
    <row r="116" spans="3:15" ht="22.5" customHeight="1" x14ac:dyDescent="0.3">
      <c r="C116" s="2"/>
      <c r="I116" s="1">
        <f>0.14*Table118192023103031323538394042[[#This Row],[النولون]]</f>
        <v>0</v>
      </c>
      <c r="K116" s="1">
        <f>Table118192023103031323538394042[[#This Row],[النولون]]+Table118192023103031323538394042[[#This Row],[الايصالات]]+Table118192023103031323538394042[[#This Row],[قيمة مضافة]]</f>
        <v>0</v>
      </c>
      <c r="M116" s="1">
        <f>M115+Table118192023103031323538394042[[#This Row],[اجمالي الفاتوره]]-Table118192023103031323538394042[[#This Row],[الدفعات]]</f>
        <v>744759.38999999955</v>
      </c>
      <c r="O116" s="48"/>
    </row>
    <row r="117" spans="3:15" ht="22.5" customHeight="1" x14ac:dyDescent="0.3">
      <c r="C117" s="2"/>
      <c r="I117" s="1">
        <f>0.14*Table118192023103031323538394042[[#This Row],[النولون]]</f>
        <v>0</v>
      </c>
      <c r="K117" s="1">
        <f>Table118192023103031323538394042[[#This Row],[النولون]]+Table118192023103031323538394042[[#This Row],[الايصالات]]+Table118192023103031323538394042[[#This Row],[قيمة مضافة]]</f>
        <v>0</v>
      </c>
      <c r="M117" s="1">
        <f>M116+Table118192023103031323538394042[[#This Row],[اجمالي الفاتوره]]-Table118192023103031323538394042[[#This Row],[الدفعات]]</f>
        <v>744759.38999999955</v>
      </c>
      <c r="O117" s="48"/>
    </row>
    <row r="118" spans="3:15" ht="22.5" customHeight="1" x14ac:dyDescent="0.3">
      <c r="C118" s="2"/>
      <c r="I118" s="1">
        <f>0.14*Table118192023103031323538394042[[#This Row],[النولون]]</f>
        <v>0</v>
      </c>
      <c r="K118" s="1">
        <f>Table118192023103031323538394042[[#This Row],[النولون]]+Table118192023103031323538394042[[#This Row],[الايصالات]]+Table118192023103031323538394042[[#This Row],[قيمة مضافة]]</f>
        <v>0</v>
      </c>
      <c r="M118" s="1">
        <f>M117+Table118192023103031323538394042[[#This Row],[اجمالي الفاتوره]]-Table118192023103031323538394042[[#This Row],[الدفعات]]</f>
        <v>744759.38999999955</v>
      </c>
      <c r="O118" s="48"/>
    </row>
    <row r="119" spans="3:15" ht="22.5" customHeight="1" x14ac:dyDescent="0.3">
      <c r="C119" s="2"/>
      <c r="I119" s="1">
        <f>0.14*Table118192023103031323538394042[[#This Row],[النولون]]</f>
        <v>0</v>
      </c>
      <c r="K119" s="1">
        <f>Table118192023103031323538394042[[#This Row],[النولون]]+Table118192023103031323538394042[[#This Row],[الايصالات]]+Table118192023103031323538394042[[#This Row],[قيمة مضافة]]</f>
        <v>0</v>
      </c>
      <c r="M119" s="1">
        <f>M118+Table118192023103031323538394042[[#This Row],[اجمالي الفاتوره]]-Table118192023103031323538394042[[#This Row],[الدفعات]]</f>
        <v>744759.38999999955</v>
      </c>
      <c r="O119" s="48"/>
    </row>
    <row r="120" spans="3:15" ht="22.5" customHeight="1" x14ac:dyDescent="0.3">
      <c r="C120" s="2"/>
      <c r="I120" s="1">
        <f>0.14*Table118192023103031323538394042[[#This Row],[النولون]]</f>
        <v>0</v>
      </c>
      <c r="K120" s="1">
        <f>Table118192023103031323538394042[[#This Row],[النولون]]+Table118192023103031323538394042[[#This Row],[الايصالات]]+Table118192023103031323538394042[[#This Row],[قيمة مضافة]]</f>
        <v>0</v>
      </c>
      <c r="M120" s="1">
        <f>M119+Table118192023103031323538394042[[#This Row],[اجمالي الفاتوره]]-Table118192023103031323538394042[[#This Row],[الدفعات]]</f>
        <v>744759.38999999955</v>
      </c>
      <c r="O120" s="48"/>
    </row>
    <row r="121" spans="3:15" ht="22.5" customHeight="1" x14ac:dyDescent="0.3">
      <c r="C121" s="2"/>
      <c r="I121" s="1">
        <f>0.14*Table118192023103031323538394042[[#This Row],[النولون]]</f>
        <v>0</v>
      </c>
      <c r="K121" s="1">
        <f>Table118192023103031323538394042[[#This Row],[النولون]]+Table118192023103031323538394042[[#This Row],[الايصالات]]+Table118192023103031323538394042[[#This Row],[قيمة مضافة]]</f>
        <v>0</v>
      </c>
      <c r="M121" s="1">
        <f>M120+Table118192023103031323538394042[[#This Row],[اجمالي الفاتوره]]-Table118192023103031323538394042[[#This Row],[الدفعات]]</f>
        <v>744759.38999999955</v>
      </c>
      <c r="O121" s="48"/>
    </row>
    <row r="122" spans="3:15" ht="22.5" customHeight="1" x14ac:dyDescent="0.3">
      <c r="C122" s="2"/>
      <c r="I122" s="1">
        <f>0.14*Table118192023103031323538394042[[#This Row],[النولون]]</f>
        <v>0</v>
      </c>
      <c r="K122" s="1">
        <f>Table118192023103031323538394042[[#This Row],[النولون]]+Table118192023103031323538394042[[#This Row],[الايصالات]]+Table118192023103031323538394042[[#This Row],[قيمة مضافة]]</f>
        <v>0</v>
      </c>
      <c r="M122" s="1">
        <f>M121+Table118192023103031323538394042[[#This Row],[اجمالي الفاتوره]]-Table118192023103031323538394042[[#This Row],[الدفعات]]</f>
        <v>744759.38999999955</v>
      </c>
      <c r="O122" s="48"/>
    </row>
    <row r="123" spans="3:15" ht="22.5" customHeight="1" x14ac:dyDescent="0.3">
      <c r="C123" s="2"/>
      <c r="I123" s="1">
        <f>0.14*Table118192023103031323538394042[[#This Row],[النولون]]</f>
        <v>0</v>
      </c>
      <c r="K123" s="1">
        <f>Table118192023103031323538394042[[#This Row],[النولون]]+Table118192023103031323538394042[[#This Row],[الايصالات]]+Table118192023103031323538394042[[#This Row],[قيمة مضافة]]</f>
        <v>0</v>
      </c>
      <c r="M123" s="1">
        <f>M122+Table118192023103031323538394042[[#This Row],[اجمالي الفاتوره]]-Table118192023103031323538394042[[#This Row],[الدفعات]]</f>
        <v>744759.38999999955</v>
      </c>
      <c r="O123" s="48"/>
    </row>
    <row r="124" spans="3:15" ht="22.5" customHeight="1" x14ac:dyDescent="0.3">
      <c r="C124" s="2"/>
      <c r="I124" s="1">
        <f>0.14*Table118192023103031323538394042[[#This Row],[النولون]]</f>
        <v>0</v>
      </c>
      <c r="K124" s="1">
        <f>Table118192023103031323538394042[[#This Row],[النولون]]+Table118192023103031323538394042[[#This Row],[الايصالات]]+Table118192023103031323538394042[[#This Row],[قيمة مضافة]]</f>
        <v>0</v>
      </c>
      <c r="M124" s="1">
        <f>M123+Table118192023103031323538394042[[#This Row],[اجمالي الفاتوره]]-Table118192023103031323538394042[[#This Row],[الدفعات]]</f>
        <v>744759.38999999955</v>
      </c>
      <c r="O124" s="48"/>
    </row>
    <row r="125" spans="3:15" ht="22.5" customHeight="1" x14ac:dyDescent="0.3">
      <c r="C125" s="2"/>
      <c r="I125" s="1">
        <f>0.14*Table118192023103031323538394042[[#This Row],[النولون]]</f>
        <v>0</v>
      </c>
      <c r="K125" s="1">
        <f>Table118192023103031323538394042[[#This Row],[النولون]]+Table118192023103031323538394042[[#This Row],[الايصالات]]+Table118192023103031323538394042[[#This Row],[قيمة مضافة]]</f>
        <v>0</v>
      </c>
      <c r="M125" s="1">
        <f>M124+Table118192023103031323538394042[[#This Row],[اجمالي الفاتوره]]-Table118192023103031323538394042[[#This Row],[الدفعات]]</f>
        <v>744759.38999999955</v>
      </c>
      <c r="O125" s="48"/>
    </row>
    <row r="126" spans="3:15" ht="22.5" customHeight="1" x14ac:dyDescent="0.3">
      <c r="C126" s="2"/>
      <c r="I126" s="1">
        <f>0.14*Table118192023103031323538394042[[#This Row],[النولون]]</f>
        <v>0</v>
      </c>
      <c r="K126" s="1">
        <f>Table118192023103031323538394042[[#This Row],[النولون]]+Table118192023103031323538394042[[#This Row],[الايصالات]]+Table118192023103031323538394042[[#This Row],[قيمة مضافة]]</f>
        <v>0</v>
      </c>
      <c r="M126" s="1">
        <f>M125+Table118192023103031323538394042[[#This Row],[اجمالي الفاتوره]]-Table118192023103031323538394042[[#This Row],[الدفعات]]</f>
        <v>744759.38999999955</v>
      </c>
      <c r="O126" s="48"/>
    </row>
    <row r="127" spans="3:15" ht="22.5" customHeight="1" x14ac:dyDescent="0.3">
      <c r="C127" s="2"/>
      <c r="I127" s="1">
        <f>0.14*Table118192023103031323538394042[[#This Row],[النولون]]</f>
        <v>0</v>
      </c>
      <c r="K127" s="1">
        <f>Table118192023103031323538394042[[#This Row],[النولون]]+Table118192023103031323538394042[[#This Row],[الايصالات]]+Table118192023103031323538394042[[#This Row],[قيمة مضافة]]</f>
        <v>0</v>
      </c>
      <c r="M127" s="1">
        <f>M126+Table118192023103031323538394042[[#This Row],[اجمالي الفاتوره]]-Table118192023103031323538394042[[#This Row],[الدفعات]]</f>
        <v>744759.38999999955</v>
      </c>
      <c r="O127" s="48"/>
    </row>
    <row r="128" spans="3:15" ht="22.5" customHeight="1" x14ac:dyDescent="0.3">
      <c r="C128" s="2"/>
      <c r="I128" s="1">
        <f>0.14*Table118192023103031323538394042[[#This Row],[النولون]]</f>
        <v>0</v>
      </c>
      <c r="K128" s="1">
        <f>Table118192023103031323538394042[[#This Row],[النولون]]+Table118192023103031323538394042[[#This Row],[الايصالات]]+Table118192023103031323538394042[[#This Row],[قيمة مضافة]]</f>
        <v>0</v>
      </c>
      <c r="M128" s="1">
        <f>M127+Table118192023103031323538394042[[#This Row],[اجمالي الفاتوره]]-Table118192023103031323538394042[[#This Row],[الدفعات]]</f>
        <v>744759.38999999955</v>
      </c>
      <c r="O128" s="48"/>
    </row>
    <row r="129" spans="3:15" ht="22.5" customHeight="1" x14ac:dyDescent="0.3">
      <c r="C129" s="2"/>
      <c r="I129" s="1">
        <f>0.14*Table118192023103031323538394042[[#This Row],[النولون]]</f>
        <v>0</v>
      </c>
      <c r="K129" s="1">
        <f>Table118192023103031323538394042[[#This Row],[النولون]]+Table118192023103031323538394042[[#This Row],[الايصالات]]+Table118192023103031323538394042[[#This Row],[قيمة مضافة]]</f>
        <v>0</v>
      </c>
      <c r="M129" s="1">
        <f>M128+Table118192023103031323538394042[[#This Row],[اجمالي الفاتوره]]-Table118192023103031323538394042[[#This Row],[الدفعات]]</f>
        <v>744759.38999999955</v>
      </c>
      <c r="O129" s="48"/>
    </row>
    <row r="130" spans="3:15" ht="22.5" customHeight="1" x14ac:dyDescent="0.3">
      <c r="C130" s="2"/>
      <c r="I130" s="1">
        <f>0.14*Table118192023103031323538394042[[#This Row],[النولون]]</f>
        <v>0</v>
      </c>
      <c r="K130" s="1">
        <f>Table118192023103031323538394042[[#This Row],[النولون]]+Table118192023103031323538394042[[#This Row],[الايصالات]]+Table118192023103031323538394042[[#This Row],[قيمة مضافة]]</f>
        <v>0</v>
      </c>
      <c r="M130" s="1">
        <f>M129+Table118192023103031323538394042[[#This Row],[اجمالي الفاتوره]]-Table118192023103031323538394042[[#This Row],[الدفعات]]</f>
        <v>744759.38999999955</v>
      </c>
      <c r="O130" s="48"/>
    </row>
    <row r="131" spans="3:15" ht="22.5" customHeight="1" x14ac:dyDescent="0.3">
      <c r="C131" s="2"/>
      <c r="I131" s="1">
        <f>0.14*Table118192023103031323538394042[[#This Row],[النولون]]</f>
        <v>0</v>
      </c>
      <c r="K131" s="1">
        <f>Table118192023103031323538394042[[#This Row],[النولون]]+Table118192023103031323538394042[[#This Row],[الايصالات]]+Table118192023103031323538394042[[#This Row],[قيمة مضافة]]</f>
        <v>0</v>
      </c>
      <c r="M131" s="1">
        <f>M130+Table118192023103031323538394042[[#This Row],[اجمالي الفاتوره]]-Table118192023103031323538394042[[#This Row],[الدفعات]]</f>
        <v>744759.38999999955</v>
      </c>
      <c r="O131" s="48"/>
    </row>
    <row r="132" spans="3:15" ht="22.5" customHeight="1" x14ac:dyDescent="0.3">
      <c r="C132" s="2"/>
      <c r="I132" s="1">
        <f>0.14*Table118192023103031323538394042[[#This Row],[النولون]]</f>
        <v>0</v>
      </c>
      <c r="K132" s="1">
        <f>Table118192023103031323538394042[[#This Row],[النولون]]+Table118192023103031323538394042[[#This Row],[الايصالات]]+Table118192023103031323538394042[[#This Row],[قيمة مضافة]]</f>
        <v>0</v>
      </c>
      <c r="M132" s="1">
        <f>M131+Table118192023103031323538394042[[#This Row],[اجمالي الفاتوره]]-Table118192023103031323538394042[[#This Row],[الدفعات]]</f>
        <v>744759.38999999955</v>
      </c>
      <c r="O132" s="48"/>
    </row>
    <row r="133" spans="3:15" ht="22.5" customHeight="1" x14ac:dyDescent="0.3">
      <c r="C133" s="2"/>
      <c r="I133" s="1">
        <f>0.14*Table118192023103031323538394042[[#This Row],[النولون]]</f>
        <v>0</v>
      </c>
      <c r="K133" s="1">
        <f>Table118192023103031323538394042[[#This Row],[النولون]]+Table118192023103031323538394042[[#This Row],[الايصالات]]+Table118192023103031323538394042[[#This Row],[قيمة مضافة]]</f>
        <v>0</v>
      </c>
      <c r="M133" s="1">
        <f>M132+Table118192023103031323538394042[[#This Row],[اجمالي الفاتوره]]-Table118192023103031323538394042[[#This Row],[الدفعات]]</f>
        <v>744759.38999999955</v>
      </c>
      <c r="O133" s="48"/>
    </row>
    <row r="134" spans="3:15" ht="22.5" customHeight="1" x14ac:dyDescent="0.3">
      <c r="C134" s="2"/>
      <c r="I134" s="1">
        <f>0.14*Table118192023103031323538394042[[#This Row],[النولون]]</f>
        <v>0</v>
      </c>
      <c r="K134" s="1">
        <f>Table118192023103031323538394042[[#This Row],[النولون]]+Table118192023103031323538394042[[#This Row],[الايصالات]]+Table118192023103031323538394042[[#This Row],[قيمة مضافة]]</f>
        <v>0</v>
      </c>
      <c r="M134" s="1">
        <f>M133+Table118192023103031323538394042[[#This Row],[اجمالي الفاتوره]]-Table118192023103031323538394042[[#This Row],[الدفعات]]</f>
        <v>744759.38999999955</v>
      </c>
      <c r="O134" s="48"/>
    </row>
    <row r="135" spans="3:15" ht="22.5" customHeight="1" x14ac:dyDescent="0.3">
      <c r="C135" s="2"/>
      <c r="I135" s="1">
        <f>0.14*Table118192023103031323538394042[[#This Row],[النولون]]</f>
        <v>0</v>
      </c>
      <c r="K135" s="1">
        <f>Table118192023103031323538394042[[#This Row],[النولون]]+Table118192023103031323538394042[[#This Row],[الايصالات]]+Table118192023103031323538394042[[#This Row],[قيمة مضافة]]</f>
        <v>0</v>
      </c>
      <c r="M135" s="1">
        <f>M134+Table118192023103031323538394042[[#This Row],[اجمالي الفاتوره]]-Table118192023103031323538394042[[#This Row],[الدفعات]]</f>
        <v>744759.38999999955</v>
      </c>
      <c r="O135" s="48"/>
    </row>
    <row r="136" spans="3:15" ht="22.5" customHeight="1" x14ac:dyDescent="0.3">
      <c r="C136" s="2"/>
      <c r="I136" s="1">
        <f>0.14*Table118192023103031323538394042[[#This Row],[النولون]]</f>
        <v>0</v>
      </c>
      <c r="K136" s="1">
        <f>Table118192023103031323538394042[[#This Row],[النولون]]+Table118192023103031323538394042[[#This Row],[الايصالات]]+Table118192023103031323538394042[[#This Row],[قيمة مضافة]]</f>
        <v>0</v>
      </c>
      <c r="M136" s="1">
        <f>M135+Table118192023103031323538394042[[#This Row],[اجمالي الفاتوره]]-Table118192023103031323538394042[[#This Row],[الدفعات]]</f>
        <v>744759.38999999955</v>
      </c>
      <c r="O136" s="48"/>
    </row>
    <row r="137" spans="3:15" ht="22.5" customHeight="1" x14ac:dyDescent="0.3">
      <c r="C137" s="2"/>
      <c r="I137" s="1">
        <f>0.14*Table118192023103031323538394042[[#This Row],[النولون]]</f>
        <v>0</v>
      </c>
      <c r="K137" s="1">
        <f>Table118192023103031323538394042[[#This Row],[النولون]]+Table118192023103031323538394042[[#This Row],[الايصالات]]+Table118192023103031323538394042[[#This Row],[قيمة مضافة]]</f>
        <v>0</v>
      </c>
      <c r="M137" s="1">
        <f>M136+Table118192023103031323538394042[[#This Row],[اجمالي الفاتوره]]-Table118192023103031323538394042[[#This Row],[الدفعات]]</f>
        <v>744759.38999999955</v>
      </c>
      <c r="O137" s="48"/>
    </row>
    <row r="138" spans="3:15" ht="22.5" customHeight="1" x14ac:dyDescent="0.3">
      <c r="C138" s="2"/>
      <c r="I138" s="1">
        <f>0.14*Table118192023103031323538394042[[#This Row],[النولون]]</f>
        <v>0</v>
      </c>
      <c r="K138" s="1">
        <f>Table118192023103031323538394042[[#This Row],[النولون]]+Table118192023103031323538394042[[#This Row],[الايصالات]]+Table118192023103031323538394042[[#This Row],[قيمة مضافة]]</f>
        <v>0</v>
      </c>
      <c r="M138" s="1">
        <f>M137+Table118192023103031323538394042[[#This Row],[اجمالي الفاتوره]]-Table118192023103031323538394042[[#This Row],[الدفعات]]</f>
        <v>744759.38999999955</v>
      </c>
      <c r="O138" s="48"/>
    </row>
    <row r="139" spans="3:15" ht="22.5" customHeight="1" x14ac:dyDescent="0.3">
      <c r="C139" s="2"/>
      <c r="I139" s="1">
        <f>0.14*Table118192023103031323538394042[[#This Row],[النولون]]</f>
        <v>0</v>
      </c>
      <c r="K139" s="1">
        <f>Table118192023103031323538394042[[#This Row],[النولون]]+Table118192023103031323538394042[[#This Row],[الايصالات]]+Table118192023103031323538394042[[#This Row],[قيمة مضافة]]</f>
        <v>0</v>
      </c>
      <c r="M139" s="1">
        <f>M138+Table118192023103031323538394042[[#This Row],[اجمالي الفاتوره]]-Table118192023103031323538394042[[#This Row],[الدفعات]]</f>
        <v>744759.38999999955</v>
      </c>
      <c r="O139" s="48"/>
    </row>
    <row r="140" spans="3:15" ht="22.5" customHeight="1" x14ac:dyDescent="0.3">
      <c r="C140" s="2"/>
      <c r="I140" s="1">
        <f>0.14*Table118192023103031323538394042[[#This Row],[النولون]]</f>
        <v>0</v>
      </c>
      <c r="K140" s="1">
        <f>Table118192023103031323538394042[[#This Row],[النولون]]+Table118192023103031323538394042[[#This Row],[الايصالات]]+Table118192023103031323538394042[[#This Row],[قيمة مضافة]]</f>
        <v>0</v>
      </c>
      <c r="M140" s="1">
        <f>M139+Table118192023103031323538394042[[#This Row],[اجمالي الفاتوره]]-Table118192023103031323538394042[[#This Row],[الدفعات]]</f>
        <v>744759.38999999955</v>
      </c>
      <c r="O140" s="48"/>
    </row>
    <row r="141" spans="3:15" ht="22.5" customHeight="1" x14ac:dyDescent="0.3">
      <c r="C141" s="2"/>
      <c r="I141" s="1">
        <f>0.14*Table118192023103031323538394042[[#This Row],[النولون]]</f>
        <v>0</v>
      </c>
      <c r="K141" s="1">
        <f>Table118192023103031323538394042[[#This Row],[النولون]]+Table118192023103031323538394042[[#This Row],[الايصالات]]+Table118192023103031323538394042[[#This Row],[قيمة مضافة]]</f>
        <v>0</v>
      </c>
      <c r="M141" s="1">
        <f>M140+Table118192023103031323538394042[[#This Row],[اجمالي الفاتوره]]-Table118192023103031323538394042[[#This Row],[الدفعات]]</f>
        <v>744759.38999999955</v>
      </c>
      <c r="O141" s="48"/>
    </row>
    <row r="142" spans="3:15" ht="22.5" customHeight="1" x14ac:dyDescent="0.3">
      <c r="C142" s="2"/>
      <c r="I142" s="1">
        <f>0.14*Table118192023103031323538394042[[#This Row],[النولون]]</f>
        <v>0</v>
      </c>
      <c r="K142" s="1">
        <f>Table118192023103031323538394042[[#This Row],[النولون]]+Table118192023103031323538394042[[#This Row],[الايصالات]]+Table118192023103031323538394042[[#This Row],[قيمة مضافة]]</f>
        <v>0</v>
      </c>
      <c r="M142" s="1">
        <f>M141+Table118192023103031323538394042[[#This Row],[اجمالي الفاتوره]]-Table118192023103031323538394042[[#This Row],[الدفعات]]</f>
        <v>744759.38999999955</v>
      </c>
      <c r="O142" s="48"/>
    </row>
    <row r="143" spans="3:15" ht="22.5" customHeight="1" x14ac:dyDescent="0.3">
      <c r="C143" s="2"/>
      <c r="G143" s="30"/>
      <c r="I143" s="1">
        <f>0.14*Table118192023103031323538394042[[#This Row],[النولون]]</f>
        <v>0</v>
      </c>
      <c r="K143" s="1">
        <f>Table118192023103031323538394042[[#This Row],[النولون]]+Table118192023103031323538394042[[#This Row],[الايصالات]]+Table118192023103031323538394042[[#This Row],[قيمة مضافة]]</f>
        <v>0</v>
      </c>
      <c r="M143" s="1">
        <f>M142+Table118192023103031323538394042[[#This Row],[اجمالي الفاتوره]]-Table118192023103031323538394042[[#This Row],[الدفعات]]</f>
        <v>744759.38999999955</v>
      </c>
      <c r="O143" s="48"/>
    </row>
    <row r="144" spans="3:15" ht="22.5" customHeight="1" x14ac:dyDescent="0.3">
      <c r="C144" s="2"/>
      <c r="I144" s="1">
        <f>0.14*Table118192023103031323538394042[[#This Row],[النولون]]</f>
        <v>0</v>
      </c>
      <c r="K144" s="1">
        <f>Table118192023103031323538394042[[#This Row],[النولون]]+Table118192023103031323538394042[[#This Row],[الايصالات]]+Table118192023103031323538394042[[#This Row],[قيمة مضافة]]</f>
        <v>0</v>
      </c>
      <c r="M144" s="1">
        <f>M143+Table118192023103031323538394042[[#This Row],[اجمالي الفاتوره]]-Table118192023103031323538394042[[#This Row],[الدفعات]]</f>
        <v>744759.38999999955</v>
      </c>
      <c r="O144" s="48"/>
    </row>
    <row r="145" spans="3:15" ht="22.5" customHeight="1" x14ac:dyDescent="0.3">
      <c r="C145" s="2"/>
      <c r="I145" s="1">
        <f>0.14*Table118192023103031323538394042[[#This Row],[النولون]]</f>
        <v>0</v>
      </c>
      <c r="K145" s="1">
        <f>Table118192023103031323538394042[[#This Row],[النولون]]+Table118192023103031323538394042[[#This Row],[الايصالات]]+Table118192023103031323538394042[[#This Row],[قيمة مضافة]]</f>
        <v>0</v>
      </c>
      <c r="M145" s="1">
        <f>M144+Table118192023103031323538394042[[#This Row],[اجمالي الفاتوره]]-Table118192023103031323538394042[[#This Row],[الدفعات]]</f>
        <v>744759.38999999955</v>
      </c>
      <c r="O145" s="48"/>
    </row>
    <row r="146" spans="3:15" ht="22.5" customHeight="1" x14ac:dyDescent="0.3">
      <c r="C146" s="2"/>
      <c r="I146" s="1">
        <f>0.14*Table118192023103031323538394042[[#This Row],[النولون]]</f>
        <v>0</v>
      </c>
      <c r="K146" s="1">
        <f>Table118192023103031323538394042[[#This Row],[النولون]]+Table118192023103031323538394042[[#This Row],[الايصالات]]+Table118192023103031323538394042[[#This Row],[قيمة مضافة]]</f>
        <v>0</v>
      </c>
      <c r="M146" s="1">
        <f>M145+Table118192023103031323538394042[[#This Row],[اجمالي الفاتوره]]-Table118192023103031323538394042[[#This Row],[الدفعات]]</f>
        <v>744759.38999999955</v>
      </c>
      <c r="O146" s="48"/>
    </row>
    <row r="147" spans="3:15" ht="22.5" customHeight="1" x14ac:dyDescent="0.3">
      <c r="C147" s="2"/>
      <c r="I147" s="1">
        <f>0.14*Table118192023103031323538394042[[#This Row],[النولون]]</f>
        <v>0</v>
      </c>
      <c r="K147" s="1">
        <f>Table118192023103031323538394042[[#This Row],[النولون]]+Table118192023103031323538394042[[#This Row],[الايصالات]]+Table118192023103031323538394042[[#This Row],[قيمة مضافة]]</f>
        <v>0</v>
      </c>
      <c r="M147" s="1">
        <f>M146+Table118192023103031323538394042[[#This Row],[اجمالي الفاتوره]]-Table118192023103031323538394042[[#This Row],[الدفعات]]</f>
        <v>744759.38999999955</v>
      </c>
      <c r="O147" s="48"/>
    </row>
    <row r="148" spans="3:15" ht="22.5" customHeight="1" x14ac:dyDescent="0.3">
      <c r="C148" s="2"/>
      <c r="I148" s="1">
        <f>0.14*Table118192023103031323538394042[[#This Row],[النولون]]</f>
        <v>0</v>
      </c>
      <c r="K148" s="1">
        <f>Table118192023103031323538394042[[#This Row],[النولون]]+Table118192023103031323538394042[[#This Row],[الايصالات]]+Table118192023103031323538394042[[#This Row],[قيمة مضافة]]</f>
        <v>0</v>
      </c>
      <c r="M148" s="1">
        <f>M147+Table118192023103031323538394042[[#This Row],[اجمالي الفاتوره]]-Table118192023103031323538394042[[#This Row],[الدفعات]]</f>
        <v>744759.38999999955</v>
      </c>
      <c r="O148" s="48"/>
    </row>
    <row r="149" spans="3:15" ht="22.5" customHeight="1" x14ac:dyDescent="0.3">
      <c r="C149" s="2"/>
      <c r="I149" s="1">
        <f>0.14*Table118192023103031323538394042[[#This Row],[النولون]]</f>
        <v>0</v>
      </c>
      <c r="K149" s="1">
        <f>Table118192023103031323538394042[[#This Row],[النولون]]+Table118192023103031323538394042[[#This Row],[الايصالات]]+Table118192023103031323538394042[[#This Row],[قيمة مضافة]]</f>
        <v>0</v>
      </c>
      <c r="M149" s="1">
        <f>M148+Table118192023103031323538394042[[#This Row],[اجمالي الفاتوره]]-Table118192023103031323538394042[[#This Row],[الدفعات]]</f>
        <v>744759.38999999955</v>
      </c>
      <c r="O149" s="48"/>
    </row>
    <row r="150" spans="3:15" ht="22.5" customHeight="1" x14ac:dyDescent="0.3">
      <c r="C150" s="2"/>
      <c r="I150" s="1">
        <f>0.14*Table118192023103031323538394042[[#This Row],[النولون]]</f>
        <v>0</v>
      </c>
      <c r="K150" s="1">
        <f>Table118192023103031323538394042[[#This Row],[النولون]]+Table118192023103031323538394042[[#This Row],[الايصالات]]+Table118192023103031323538394042[[#This Row],[قيمة مضافة]]</f>
        <v>0</v>
      </c>
      <c r="M150" s="1">
        <f>M149+Table118192023103031323538394042[[#This Row],[اجمالي الفاتوره]]-Table118192023103031323538394042[[#This Row],[الدفعات]]</f>
        <v>744759.38999999955</v>
      </c>
      <c r="O150" s="48"/>
    </row>
    <row r="151" spans="3:15" ht="22.5" customHeight="1" x14ac:dyDescent="0.3">
      <c r="C151" s="2"/>
      <c r="I151" s="1">
        <f>0.14*Table118192023103031323538394042[[#This Row],[النولون]]</f>
        <v>0</v>
      </c>
      <c r="K151" s="1">
        <f>Table118192023103031323538394042[[#This Row],[النولون]]+Table118192023103031323538394042[[#This Row],[الايصالات]]+Table118192023103031323538394042[[#This Row],[قيمة مضافة]]</f>
        <v>0</v>
      </c>
      <c r="M151" s="1">
        <f>M150+Table118192023103031323538394042[[#This Row],[اجمالي الفاتوره]]-Table118192023103031323538394042[[#This Row],[الدفعات]]</f>
        <v>744759.38999999955</v>
      </c>
      <c r="O151" s="48"/>
    </row>
    <row r="152" spans="3:15" ht="22.5" customHeight="1" x14ac:dyDescent="0.3">
      <c r="C152" s="2"/>
      <c r="I152" s="1">
        <f>0.14*Table118192023103031323538394042[[#This Row],[النولون]]</f>
        <v>0</v>
      </c>
      <c r="K152" s="1">
        <f>Table118192023103031323538394042[[#This Row],[النولون]]+Table118192023103031323538394042[[#This Row],[الايصالات]]+Table118192023103031323538394042[[#This Row],[قيمة مضافة]]</f>
        <v>0</v>
      </c>
      <c r="M152" s="1">
        <f>M151+Table118192023103031323538394042[[#This Row],[اجمالي الفاتوره]]-Table118192023103031323538394042[[#This Row],[الدفعات]]</f>
        <v>744759.38999999955</v>
      </c>
      <c r="O152" s="48"/>
    </row>
    <row r="153" spans="3:15" ht="22.5" customHeight="1" x14ac:dyDescent="0.3">
      <c r="C153" s="2"/>
      <c r="I153" s="1">
        <f>0.14*Table118192023103031323538394042[[#This Row],[النولون]]</f>
        <v>0</v>
      </c>
      <c r="K153" s="1">
        <f>Table118192023103031323538394042[[#This Row],[النولون]]+Table118192023103031323538394042[[#This Row],[الايصالات]]+Table118192023103031323538394042[[#This Row],[قيمة مضافة]]</f>
        <v>0</v>
      </c>
      <c r="M153" s="1">
        <f>M152+Table118192023103031323538394042[[#This Row],[اجمالي الفاتوره]]-Table118192023103031323538394042[[#This Row],[الدفعات]]</f>
        <v>744759.38999999955</v>
      </c>
      <c r="O153" s="48"/>
    </row>
    <row r="154" spans="3:15" ht="22.5" customHeight="1" x14ac:dyDescent="0.3">
      <c r="C154" s="2"/>
      <c r="I154" s="1">
        <f>0.14*Table118192023103031323538394042[[#This Row],[النولون]]</f>
        <v>0</v>
      </c>
      <c r="K154" s="1">
        <f>Table118192023103031323538394042[[#This Row],[النولون]]+Table118192023103031323538394042[[#This Row],[الايصالات]]+Table118192023103031323538394042[[#This Row],[قيمة مضافة]]</f>
        <v>0</v>
      </c>
      <c r="M154" s="1">
        <f>M153+Table118192023103031323538394042[[#This Row],[اجمالي الفاتوره]]-Table118192023103031323538394042[[#This Row],[الدفعات]]</f>
        <v>744759.38999999955</v>
      </c>
      <c r="O154" s="48"/>
    </row>
    <row r="155" spans="3:15" ht="22.5" customHeight="1" x14ac:dyDescent="0.3">
      <c r="C155" s="30"/>
      <c r="I155" s="1">
        <f>0.14*Table118192023103031323538394042[[#This Row],[النولون]]</f>
        <v>0</v>
      </c>
      <c r="K155" s="1">
        <f>Table118192023103031323538394042[[#This Row],[النولون]]+Table118192023103031323538394042[[#This Row],[الايصالات]]+Table118192023103031323538394042[[#This Row],[قيمة مضافة]]</f>
        <v>0</v>
      </c>
      <c r="M155" s="1">
        <f>M154+Table118192023103031323538394042[[#This Row],[اجمالي الفاتوره]]-Table118192023103031323538394042[[#This Row],[الدفعات]]</f>
        <v>744759.38999999955</v>
      </c>
      <c r="O155" s="48"/>
    </row>
    <row r="156" spans="3:15" ht="22.5" customHeight="1" x14ac:dyDescent="0.3">
      <c r="I156" s="1">
        <f>0.14*Table118192023103031323538394042[[#This Row],[النولون]]</f>
        <v>0</v>
      </c>
      <c r="K156" s="1">
        <f>Table118192023103031323538394042[[#This Row],[النولون]]+Table118192023103031323538394042[[#This Row],[الايصالات]]+Table118192023103031323538394042[[#This Row],[قيمة مضافة]]</f>
        <v>0</v>
      </c>
      <c r="M156" s="1">
        <f>M155+Table118192023103031323538394042[[#This Row],[اجمالي الفاتوره]]-Table118192023103031323538394042[[#This Row],[الدفعات]]</f>
        <v>744759.38999999955</v>
      </c>
      <c r="O156" s="48"/>
    </row>
    <row r="157" spans="3:15" ht="22.5" customHeight="1" x14ac:dyDescent="0.3">
      <c r="I157" s="1">
        <f>0.14*Table118192023103031323538394042[[#This Row],[النولون]]</f>
        <v>0</v>
      </c>
      <c r="K157" s="1">
        <f>Table118192023103031323538394042[[#This Row],[النولون]]+Table118192023103031323538394042[[#This Row],[الايصالات]]+Table118192023103031323538394042[[#This Row],[قيمة مضافة]]</f>
        <v>0</v>
      </c>
      <c r="M157" s="1">
        <f>M156+Table118192023103031323538394042[[#This Row],[اجمالي الفاتوره]]-Table118192023103031323538394042[[#This Row],[الدفعات]]</f>
        <v>744759.38999999955</v>
      </c>
      <c r="O157" s="48"/>
    </row>
    <row r="158" spans="3:15" ht="22.5" customHeight="1" x14ac:dyDescent="0.3">
      <c r="I158" s="1">
        <f>0.14*Table118192023103031323538394042[[#This Row],[النولون]]</f>
        <v>0</v>
      </c>
      <c r="K158" s="1">
        <f>Table118192023103031323538394042[[#This Row],[النولون]]+Table118192023103031323538394042[[#This Row],[الايصالات]]+Table118192023103031323538394042[[#This Row],[قيمة مضافة]]</f>
        <v>0</v>
      </c>
      <c r="M158" s="1">
        <f>M157+Table118192023103031323538394042[[#This Row],[اجمالي الفاتوره]]-Table118192023103031323538394042[[#This Row],[الدفعات]]</f>
        <v>744759.38999999955</v>
      </c>
      <c r="O158" s="48"/>
    </row>
    <row r="159" spans="3:15" ht="22.5" customHeight="1" x14ac:dyDescent="0.3">
      <c r="I159" s="1">
        <f>0.14*Table118192023103031323538394042[[#This Row],[النولون]]</f>
        <v>0</v>
      </c>
      <c r="K159" s="1">
        <f>Table118192023103031323538394042[[#This Row],[النولون]]+Table118192023103031323538394042[[#This Row],[الايصالات]]+Table118192023103031323538394042[[#This Row],[قيمة مضافة]]</f>
        <v>0</v>
      </c>
      <c r="M159" s="1">
        <f>M158+Table118192023103031323538394042[[#This Row],[اجمالي الفاتوره]]-Table118192023103031323538394042[[#This Row],[الدفعات]]</f>
        <v>744759.38999999955</v>
      </c>
      <c r="O159" s="48"/>
    </row>
    <row r="160" spans="3:15" ht="22.5" customHeight="1" x14ac:dyDescent="0.3">
      <c r="I160" s="1">
        <f>0.14*Table118192023103031323538394042[[#This Row],[النولون]]</f>
        <v>0</v>
      </c>
      <c r="K160" s="1">
        <f>Table118192023103031323538394042[[#This Row],[النولون]]+Table118192023103031323538394042[[#This Row],[الايصالات]]+Table118192023103031323538394042[[#This Row],[قيمة مضافة]]</f>
        <v>0</v>
      </c>
      <c r="M160" s="1">
        <f>M159+Table118192023103031323538394042[[#This Row],[اجمالي الفاتوره]]-Table118192023103031323538394042[[#This Row],[الدفعات]]</f>
        <v>744759.38999999955</v>
      </c>
      <c r="O160" s="48"/>
    </row>
    <row r="161" spans="9:15" ht="22.5" customHeight="1" x14ac:dyDescent="0.3">
      <c r="I161" s="1">
        <f>0.14*Table118192023103031323538394042[[#This Row],[النولون]]</f>
        <v>0</v>
      </c>
      <c r="K161" s="1">
        <f>Table118192023103031323538394042[[#This Row],[النولون]]+Table118192023103031323538394042[[#This Row],[الايصالات]]+Table118192023103031323538394042[[#This Row],[قيمة مضافة]]</f>
        <v>0</v>
      </c>
      <c r="M161" s="1">
        <f>M160+Table118192023103031323538394042[[#This Row],[اجمالي الفاتوره]]-Table118192023103031323538394042[[#This Row],[الدفعات]]</f>
        <v>744759.38999999955</v>
      </c>
      <c r="O161" s="48"/>
    </row>
    <row r="162" spans="9:15" ht="22.5" customHeight="1" x14ac:dyDescent="0.3">
      <c r="I162" s="1">
        <f>0.14*Table118192023103031323538394042[[#This Row],[النولون]]</f>
        <v>0</v>
      </c>
      <c r="K162" s="1">
        <f>Table118192023103031323538394042[[#This Row],[النولون]]+Table118192023103031323538394042[[#This Row],[الايصالات]]+Table118192023103031323538394042[[#This Row],[قيمة مضافة]]</f>
        <v>0</v>
      </c>
      <c r="M162" s="1">
        <f>M161+Table118192023103031323538394042[[#This Row],[اجمالي الفاتوره]]-Table118192023103031323538394042[[#This Row],[الدفعات]]</f>
        <v>744759.38999999955</v>
      </c>
      <c r="O162" s="48"/>
    </row>
    <row r="163" spans="9:15" ht="22.5" customHeight="1" x14ac:dyDescent="0.3">
      <c r="I163" s="1">
        <f>0.14*Table118192023103031323538394042[[#This Row],[النولون]]</f>
        <v>0</v>
      </c>
      <c r="K163" s="1">
        <f>Table118192023103031323538394042[[#This Row],[النولون]]+Table118192023103031323538394042[[#This Row],[الايصالات]]+Table118192023103031323538394042[[#This Row],[قيمة مضافة]]</f>
        <v>0</v>
      </c>
      <c r="M163" s="1">
        <f>M162+Table118192023103031323538394042[[#This Row],[اجمالي الفاتوره]]-Table118192023103031323538394042[[#This Row],[الدفعات]]</f>
        <v>744759.38999999955</v>
      </c>
      <c r="O163" s="48"/>
    </row>
    <row r="164" spans="9:15" ht="22.5" customHeight="1" x14ac:dyDescent="0.3">
      <c r="I164" s="1">
        <f>0.14*Table118192023103031323538394042[[#This Row],[النولون]]</f>
        <v>0</v>
      </c>
      <c r="K164" s="1">
        <f>Table118192023103031323538394042[[#This Row],[النولون]]+Table118192023103031323538394042[[#This Row],[الايصالات]]+Table118192023103031323538394042[[#This Row],[قيمة مضافة]]</f>
        <v>0</v>
      </c>
      <c r="M164" s="1">
        <f>M163+Table118192023103031323538394042[[#This Row],[اجمالي الفاتوره]]-Table118192023103031323538394042[[#This Row],[الدفعات]]</f>
        <v>744759.38999999955</v>
      </c>
      <c r="O164" s="48"/>
    </row>
    <row r="165" spans="9:15" ht="22.5" customHeight="1" x14ac:dyDescent="0.3">
      <c r="I165" s="1">
        <f>0.14*Table118192023103031323538394042[[#This Row],[النولون]]</f>
        <v>0</v>
      </c>
      <c r="K165" s="1">
        <f>Table118192023103031323538394042[[#This Row],[النولون]]+Table118192023103031323538394042[[#This Row],[الايصالات]]+Table118192023103031323538394042[[#This Row],[قيمة مضافة]]</f>
        <v>0</v>
      </c>
      <c r="M165" s="1">
        <f>M164+Table118192023103031323538394042[[#This Row],[اجمالي الفاتوره]]-Table118192023103031323538394042[[#This Row],[الدفعات]]</f>
        <v>744759.38999999955</v>
      </c>
      <c r="O165" s="48"/>
    </row>
    <row r="166" spans="9:15" ht="22.5" customHeight="1" x14ac:dyDescent="0.3">
      <c r="I166" s="1">
        <f>0.14*Table118192023103031323538394042[[#This Row],[النولون]]</f>
        <v>0</v>
      </c>
      <c r="K166" s="1">
        <f>Table118192023103031323538394042[[#This Row],[النولون]]+Table118192023103031323538394042[[#This Row],[الايصالات]]+Table118192023103031323538394042[[#This Row],[قيمة مضافة]]</f>
        <v>0</v>
      </c>
      <c r="M166" s="1">
        <f>M165+Table118192023103031323538394042[[#This Row],[اجمالي الفاتوره]]-Table118192023103031323538394042[[#This Row],[الدفعات]]</f>
        <v>744759.38999999955</v>
      </c>
      <c r="O166" s="48"/>
    </row>
    <row r="167" spans="9:15" ht="22.5" customHeight="1" x14ac:dyDescent="0.3">
      <c r="I167" s="1">
        <f>0.14*Table118192023103031323538394042[[#This Row],[النولون]]</f>
        <v>0</v>
      </c>
      <c r="K167" s="1">
        <f>Table118192023103031323538394042[[#This Row],[النولون]]+Table118192023103031323538394042[[#This Row],[الايصالات]]+Table118192023103031323538394042[[#This Row],[قيمة مضافة]]</f>
        <v>0</v>
      </c>
      <c r="M167" s="1">
        <f>M166+Table118192023103031323538394042[[#This Row],[اجمالي الفاتوره]]-Table118192023103031323538394042[[#This Row],[الدفعات]]</f>
        <v>744759.38999999955</v>
      </c>
      <c r="O167" s="48"/>
    </row>
    <row r="168" spans="9:15" ht="22.5" customHeight="1" x14ac:dyDescent="0.3">
      <c r="I168" s="1">
        <f>0.14*Table118192023103031323538394042[[#This Row],[النولون]]</f>
        <v>0</v>
      </c>
      <c r="K168" s="1">
        <f>Table118192023103031323538394042[[#This Row],[النولون]]+Table118192023103031323538394042[[#This Row],[الايصالات]]+Table118192023103031323538394042[[#This Row],[قيمة مضافة]]</f>
        <v>0</v>
      </c>
      <c r="M168" s="1">
        <f>M167+Table118192023103031323538394042[[#This Row],[اجمالي الفاتوره]]-Table118192023103031323538394042[[#This Row],[الدفعات]]</f>
        <v>744759.38999999955</v>
      </c>
      <c r="O168" s="48"/>
    </row>
    <row r="169" spans="9:15" ht="22.5" customHeight="1" x14ac:dyDescent="0.3">
      <c r="I169" s="1">
        <f>0.14*Table118192023103031323538394042[[#This Row],[النولون]]</f>
        <v>0</v>
      </c>
      <c r="K169" s="1">
        <f>Table118192023103031323538394042[[#This Row],[النولون]]+Table118192023103031323538394042[[#This Row],[الايصالات]]+Table118192023103031323538394042[[#This Row],[قيمة مضافة]]</f>
        <v>0</v>
      </c>
      <c r="M169" s="1">
        <f>M168+Table118192023103031323538394042[[#This Row],[اجمالي الفاتوره]]-Table118192023103031323538394042[[#This Row],[الدفعات]]</f>
        <v>744759.38999999955</v>
      </c>
      <c r="O169" s="48"/>
    </row>
    <row r="170" spans="9:15" ht="22.5" customHeight="1" x14ac:dyDescent="0.3">
      <c r="I170" s="1">
        <f>0.14*Table118192023103031323538394042[[#This Row],[النولون]]</f>
        <v>0</v>
      </c>
      <c r="K170" s="1">
        <f>Table118192023103031323538394042[[#This Row],[النولون]]+Table118192023103031323538394042[[#This Row],[الايصالات]]+Table118192023103031323538394042[[#This Row],[قيمة مضافة]]</f>
        <v>0</v>
      </c>
      <c r="M170" s="1">
        <f>M169+Table118192023103031323538394042[[#This Row],[اجمالي الفاتوره]]-Table118192023103031323538394042[[#This Row],[الدفعات]]</f>
        <v>744759.38999999955</v>
      </c>
      <c r="O170" s="48"/>
    </row>
    <row r="171" spans="9:15" ht="22.5" customHeight="1" x14ac:dyDescent="0.3">
      <c r="I171" s="1">
        <f>0.14*Table118192023103031323538394042[[#This Row],[النولون]]</f>
        <v>0</v>
      </c>
      <c r="K171" s="1">
        <f>Table118192023103031323538394042[[#This Row],[النولون]]+Table118192023103031323538394042[[#This Row],[الايصالات]]+Table118192023103031323538394042[[#This Row],[قيمة مضافة]]</f>
        <v>0</v>
      </c>
      <c r="M171" s="1">
        <f>M170+Table118192023103031323538394042[[#This Row],[اجمالي الفاتوره]]-Table118192023103031323538394042[[#This Row],[الدفعات]]</f>
        <v>744759.38999999955</v>
      </c>
      <c r="O171" s="48"/>
    </row>
    <row r="172" spans="9:15" ht="22.5" customHeight="1" x14ac:dyDescent="0.3">
      <c r="I172" s="1">
        <f>0.14*Table118192023103031323538394042[[#This Row],[النولون]]</f>
        <v>0</v>
      </c>
      <c r="K172" s="1">
        <f>Table118192023103031323538394042[[#This Row],[النولون]]+Table118192023103031323538394042[[#This Row],[الايصالات]]+Table118192023103031323538394042[[#This Row],[قيمة مضافة]]</f>
        <v>0</v>
      </c>
      <c r="M172" s="1">
        <f>M171+Table118192023103031323538394042[[#This Row],[اجمالي الفاتوره]]-Table118192023103031323538394042[[#This Row],[الدفعات]]</f>
        <v>744759.38999999955</v>
      </c>
      <c r="O172" s="48"/>
    </row>
    <row r="173" spans="9:15" ht="22.5" customHeight="1" x14ac:dyDescent="0.3">
      <c r="I173" s="1">
        <f>0.14*Table118192023103031323538394042[[#This Row],[النولون]]</f>
        <v>0</v>
      </c>
      <c r="K173" s="1">
        <f>Table118192023103031323538394042[[#This Row],[النولون]]+Table118192023103031323538394042[[#This Row],[الايصالات]]+Table118192023103031323538394042[[#This Row],[قيمة مضافة]]</f>
        <v>0</v>
      </c>
      <c r="M173" s="1">
        <f>M172+Table118192023103031323538394042[[#This Row],[اجمالي الفاتوره]]-Table118192023103031323538394042[[#This Row],[الدفعات]]</f>
        <v>744759.38999999955</v>
      </c>
      <c r="O173" s="48"/>
    </row>
    <row r="174" spans="9:15" ht="22.5" customHeight="1" x14ac:dyDescent="0.3">
      <c r="I174" s="1">
        <f>0.14*Table118192023103031323538394042[[#This Row],[النولون]]</f>
        <v>0</v>
      </c>
      <c r="K174" s="1">
        <f>Table118192023103031323538394042[[#This Row],[النولون]]+Table118192023103031323538394042[[#This Row],[الايصالات]]+Table118192023103031323538394042[[#This Row],[قيمة مضافة]]</f>
        <v>0</v>
      </c>
      <c r="M174" s="1">
        <f>M173+Table118192023103031323538394042[[#This Row],[اجمالي الفاتوره]]-Table118192023103031323538394042[[#This Row],[الدفعات]]</f>
        <v>744759.38999999955</v>
      </c>
      <c r="O174" s="48"/>
    </row>
    <row r="175" spans="9:15" ht="22.5" customHeight="1" x14ac:dyDescent="0.3">
      <c r="I175" s="1">
        <f>0.14*Table118192023103031323538394042[[#This Row],[النولون]]</f>
        <v>0</v>
      </c>
      <c r="K175" s="1">
        <f>Table118192023103031323538394042[[#This Row],[النولون]]+Table118192023103031323538394042[[#This Row],[الايصالات]]+Table118192023103031323538394042[[#This Row],[قيمة مضافة]]</f>
        <v>0</v>
      </c>
      <c r="M175" s="1">
        <f>M174+Table118192023103031323538394042[[#This Row],[اجمالي الفاتوره]]-Table118192023103031323538394042[[#This Row],[الدفعات]]</f>
        <v>744759.38999999955</v>
      </c>
      <c r="O175" s="48"/>
    </row>
    <row r="176" spans="9:15" ht="22.5" customHeight="1" x14ac:dyDescent="0.3">
      <c r="I176" s="1">
        <f>0.14*Table118192023103031323538394042[[#This Row],[النولون]]</f>
        <v>0</v>
      </c>
      <c r="K176" s="1">
        <f>Table118192023103031323538394042[[#This Row],[النولون]]+Table118192023103031323538394042[[#This Row],[الايصالات]]+Table118192023103031323538394042[[#This Row],[قيمة مضافة]]</f>
        <v>0</v>
      </c>
      <c r="M176" s="1">
        <f>M175+Table118192023103031323538394042[[#This Row],[اجمالي الفاتوره]]-Table118192023103031323538394042[[#This Row],[الدفعات]]</f>
        <v>744759.38999999955</v>
      </c>
      <c r="O176" s="48"/>
    </row>
    <row r="177" spans="9:15" ht="22.5" customHeight="1" x14ac:dyDescent="0.3">
      <c r="I177" s="1">
        <f>0.14*Table118192023103031323538394042[[#This Row],[النولون]]</f>
        <v>0</v>
      </c>
      <c r="K177" s="1">
        <f>Table118192023103031323538394042[[#This Row],[النولون]]+Table118192023103031323538394042[[#This Row],[الايصالات]]+Table118192023103031323538394042[[#This Row],[قيمة مضافة]]</f>
        <v>0</v>
      </c>
      <c r="M177" s="1">
        <f>M176+Table118192023103031323538394042[[#This Row],[اجمالي الفاتوره]]-Table118192023103031323538394042[[#This Row],[الدفعات]]</f>
        <v>744759.38999999955</v>
      </c>
      <c r="O177" s="48"/>
    </row>
    <row r="178" spans="9:15" ht="22.5" customHeight="1" x14ac:dyDescent="0.3">
      <c r="I178" s="1">
        <f>0.14*Table118192023103031323538394042[[#This Row],[النولون]]</f>
        <v>0</v>
      </c>
      <c r="K178" s="1">
        <f>Table118192023103031323538394042[[#This Row],[النولون]]+Table118192023103031323538394042[[#This Row],[الايصالات]]+Table118192023103031323538394042[[#This Row],[قيمة مضافة]]</f>
        <v>0</v>
      </c>
      <c r="M178" s="1">
        <f>M177+Table118192023103031323538394042[[#This Row],[اجمالي الفاتوره]]-Table118192023103031323538394042[[#This Row],[الدفعات]]</f>
        <v>744759.38999999955</v>
      </c>
      <c r="O178" s="48"/>
    </row>
    <row r="179" spans="9:15" ht="22.5" customHeight="1" x14ac:dyDescent="0.3">
      <c r="I179" s="1">
        <f>0.14*Table118192023103031323538394042[[#This Row],[النولون]]</f>
        <v>0</v>
      </c>
      <c r="K179" s="1">
        <f>Table118192023103031323538394042[[#This Row],[النولون]]+Table118192023103031323538394042[[#This Row],[الايصالات]]+Table118192023103031323538394042[[#This Row],[قيمة مضافة]]</f>
        <v>0</v>
      </c>
      <c r="M179" s="1">
        <f>M178+Table118192023103031323538394042[[#This Row],[اجمالي الفاتوره]]-Table118192023103031323538394042[[#This Row],[الدفعات]]</f>
        <v>744759.38999999955</v>
      </c>
      <c r="O179" s="48"/>
    </row>
    <row r="180" spans="9:15" ht="22.5" customHeight="1" x14ac:dyDescent="0.3">
      <c r="I180" s="1">
        <f>0.14*Table118192023103031323538394042[[#This Row],[النولون]]</f>
        <v>0</v>
      </c>
      <c r="K180" s="1">
        <f>Table118192023103031323538394042[[#This Row],[النولون]]+Table118192023103031323538394042[[#This Row],[الايصالات]]+Table118192023103031323538394042[[#This Row],[قيمة مضافة]]</f>
        <v>0</v>
      </c>
      <c r="M180" s="1">
        <f>M179+Table118192023103031323538394042[[#This Row],[اجمالي الفاتوره]]-Table118192023103031323538394042[[#This Row],[الدفعات]]</f>
        <v>744759.38999999955</v>
      </c>
      <c r="O180" s="48"/>
    </row>
    <row r="181" spans="9:15" ht="22.5" customHeight="1" x14ac:dyDescent="0.3">
      <c r="I181" s="1">
        <f>0.14*Table118192023103031323538394042[[#This Row],[النولون]]</f>
        <v>0</v>
      </c>
      <c r="K181" s="1">
        <f>Table118192023103031323538394042[[#This Row],[النولون]]+Table118192023103031323538394042[[#This Row],[الايصالات]]+Table118192023103031323538394042[[#This Row],[قيمة مضافة]]</f>
        <v>0</v>
      </c>
      <c r="M181" s="1">
        <f>M180+Table118192023103031323538394042[[#This Row],[اجمالي الفاتوره]]-Table118192023103031323538394042[[#This Row],[الدفعات]]</f>
        <v>744759.38999999955</v>
      </c>
      <c r="O181" s="48"/>
    </row>
    <row r="182" spans="9:15" ht="22.5" customHeight="1" x14ac:dyDescent="0.3">
      <c r="I182" s="1">
        <f>0.14*Table118192023103031323538394042[[#This Row],[النولون]]</f>
        <v>0</v>
      </c>
      <c r="K182" s="1">
        <f>Table118192023103031323538394042[[#This Row],[النولون]]+Table118192023103031323538394042[[#This Row],[الايصالات]]+Table118192023103031323538394042[[#This Row],[قيمة مضافة]]</f>
        <v>0</v>
      </c>
      <c r="M182" s="1">
        <f>M181+Table118192023103031323538394042[[#This Row],[اجمالي الفاتوره]]-Table118192023103031323538394042[[#This Row],[الدفعات]]</f>
        <v>744759.38999999955</v>
      </c>
      <c r="O182" s="48"/>
    </row>
    <row r="183" spans="9:15" ht="22.5" customHeight="1" x14ac:dyDescent="0.3">
      <c r="I183" s="1">
        <f>0.14*Table118192023103031323538394042[[#This Row],[النولون]]</f>
        <v>0</v>
      </c>
      <c r="K183" s="1">
        <f>Table118192023103031323538394042[[#This Row],[النولون]]+Table118192023103031323538394042[[#This Row],[الايصالات]]+Table118192023103031323538394042[[#This Row],[قيمة مضافة]]</f>
        <v>0</v>
      </c>
      <c r="M183" s="1">
        <f>M182+Table118192023103031323538394042[[#This Row],[اجمالي الفاتوره]]-Table118192023103031323538394042[[#This Row],[الدفعات]]</f>
        <v>744759.38999999955</v>
      </c>
      <c r="O183" s="48"/>
    </row>
    <row r="184" spans="9:15" ht="22.5" customHeight="1" x14ac:dyDescent="0.3">
      <c r="I184" s="1">
        <f>0.14*Table118192023103031323538394042[[#This Row],[النولون]]</f>
        <v>0</v>
      </c>
      <c r="K184" s="1">
        <f>Table118192023103031323538394042[[#This Row],[النولون]]+Table118192023103031323538394042[[#This Row],[الايصالات]]+Table118192023103031323538394042[[#This Row],[قيمة مضافة]]</f>
        <v>0</v>
      </c>
      <c r="M184" s="1">
        <f>M183+Table118192023103031323538394042[[#This Row],[اجمالي الفاتوره]]-Table118192023103031323538394042[[#This Row],[الدفعات]]</f>
        <v>744759.38999999955</v>
      </c>
      <c r="O184" s="48"/>
    </row>
    <row r="185" spans="9:15" ht="22.5" customHeight="1" x14ac:dyDescent="0.3">
      <c r="I185" s="1">
        <f>0.14*Table118192023103031323538394042[[#This Row],[النولون]]</f>
        <v>0</v>
      </c>
      <c r="K185" s="1">
        <f>Table118192023103031323538394042[[#This Row],[النولون]]+Table118192023103031323538394042[[#This Row],[الايصالات]]+Table118192023103031323538394042[[#This Row],[قيمة مضافة]]</f>
        <v>0</v>
      </c>
      <c r="M185" s="1">
        <f>M184+Table118192023103031323538394042[[#This Row],[اجمالي الفاتوره]]-Table118192023103031323538394042[[#This Row],[الدفعات]]</f>
        <v>744759.38999999955</v>
      </c>
      <c r="O185" s="48"/>
    </row>
    <row r="186" spans="9:15" ht="22.5" customHeight="1" x14ac:dyDescent="0.3">
      <c r="I186" s="1">
        <f>0.14*Table118192023103031323538394042[[#This Row],[النولون]]</f>
        <v>0</v>
      </c>
      <c r="K186" s="1">
        <f>Table118192023103031323538394042[[#This Row],[النولون]]+Table118192023103031323538394042[[#This Row],[الايصالات]]+Table118192023103031323538394042[[#This Row],[قيمة مضافة]]</f>
        <v>0</v>
      </c>
      <c r="M186" s="1">
        <f>M185+Table118192023103031323538394042[[#This Row],[اجمالي الفاتوره]]-Table118192023103031323538394042[[#This Row],[الدفعات]]</f>
        <v>744759.38999999955</v>
      </c>
      <c r="O186" s="48"/>
    </row>
    <row r="187" spans="9:15" ht="22.5" customHeight="1" x14ac:dyDescent="0.3">
      <c r="I187" s="1">
        <f>0.14*Table118192023103031323538394042[[#This Row],[النولون]]</f>
        <v>0</v>
      </c>
      <c r="K187" s="1">
        <f>Table118192023103031323538394042[[#This Row],[النولون]]+Table118192023103031323538394042[[#This Row],[الايصالات]]+Table118192023103031323538394042[[#This Row],[قيمة مضافة]]</f>
        <v>0</v>
      </c>
      <c r="M187" s="1">
        <f>M186+Table118192023103031323538394042[[#This Row],[اجمالي الفاتوره]]-Table118192023103031323538394042[[#This Row],[الدفعات]]</f>
        <v>744759.38999999955</v>
      </c>
      <c r="O187" s="48"/>
    </row>
    <row r="188" spans="9:15" ht="22.5" customHeight="1" x14ac:dyDescent="0.3">
      <c r="I188" s="1">
        <f>0.14*Table118192023103031323538394042[[#This Row],[النولون]]</f>
        <v>0</v>
      </c>
      <c r="K188" s="1">
        <f>Table118192023103031323538394042[[#This Row],[النولون]]+Table118192023103031323538394042[[#This Row],[الايصالات]]+Table118192023103031323538394042[[#This Row],[قيمة مضافة]]</f>
        <v>0</v>
      </c>
      <c r="M188" s="1">
        <f>M187+Table118192023103031323538394042[[#This Row],[اجمالي الفاتوره]]-Table118192023103031323538394042[[#This Row],[الدفعات]]</f>
        <v>744759.38999999955</v>
      </c>
      <c r="O188" s="48"/>
    </row>
    <row r="189" spans="9:15" ht="22.5" customHeight="1" x14ac:dyDescent="0.3">
      <c r="I189" s="1">
        <f>0.14*Table118192023103031323538394042[[#This Row],[النولون]]</f>
        <v>0</v>
      </c>
      <c r="K189" s="1">
        <f>Table118192023103031323538394042[[#This Row],[النولون]]+Table118192023103031323538394042[[#This Row],[الايصالات]]+Table118192023103031323538394042[[#This Row],[قيمة مضافة]]</f>
        <v>0</v>
      </c>
      <c r="M189" s="1">
        <f>M188+Table118192023103031323538394042[[#This Row],[اجمالي الفاتوره]]-Table118192023103031323538394042[[#This Row],[الدفعات]]</f>
        <v>744759.38999999955</v>
      </c>
      <c r="O189" s="48"/>
    </row>
    <row r="190" spans="9:15" ht="22.5" customHeight="1" x14ac:dyDescent="0.3">
      <c r="I190" s="1">
        <f>0.14*Table118192023103031323538394042[[#This Row],[النولون]]</f>
        <v>0</v>
      </c>
      <c r="K190" s="1">
        <f>Table118192023103031323538394042[[#This Row],[النولون]]+Table118192023103031323538394042[[#This Row],[الايصالات]]+Table118192023103031323538394042[[#This Row],[قيمة مضافة]]</f>
        <v>0</v>
      </c>
      <c r="M190" s="1">
        <f>M189+Table118192023103031323538394042[[#This Row],[اجمالي الفاتوره]]-Table118192023103031323538394042[[#This Row],[الدفعات]]</f>
        <v>744759.38999999955</v>
      </c>
      <c r="O190" s="48"/>
    </row>
    <row r="191" spans="9:15" ht="22.5" customHeight="1" x14ac:dyDescent="0.3">
      <c r="I191" s="1">
        <f>0.14*Table118192023103031323538394042[[#This Row],[النولون]]</f>
        <v>0</v>
      </c>
      <c r="K191" s="1">
        <f>Table118192023103031323538394042[[#This Row],[النولون]]+Table118192023103031323538394042[[#This Row],[الايصالات]]+Table118192023103031323538394042[[#This Row],[قيمة مضافة]]</f>
        <v>0</v>
      </c>
      <c r="M191" s="1">
        <f>M190+Table118192023103031323538394042[[#This Row],[اجمالي الفاتوره]]-Table118192023103031323538394042[[#This Row],[الدفعات]]</f>
        <v>744759.38999999955</v>
      </c>
      <c r="O191" s="48"/>
    </row>
    <row r="192" spans="9:15" ht="22.5" customHeight="1" x14ac:dyDescent="0.3">
      <c r="I192" s="1">
        <f>0.14*Table118192023103031323538394042[[#This Row],[النولون]]</f>
        <v>0</v>
      </c>
      <c r="K192" s="1">
        <f>Table118192023103031323538394042[[#This Row],[النولون]]+Table118192023103031323538394042[[#This Row],[الايصالات]]+Table118192023103031323538394042[[#This Row],[قيمة مضافة]]</f>
        <v>0</v>
      </c>
      <c r="M192" s="1">
        <f>M191+Table118192023103031323538394042[[#This Row],[اجمالي الفاتوره]]-Table118192023103031323538394042[[#This Row],[الدفعات]]</f>
        <v>744759.38999999955</v>
      </c>
      <c r="O192" s="48"/>
    </row>
    <row r="193" spans="9:15" ht="22.5" customHeight="1" x14ac:dyDescent="0.3">
      <c r="I193" s="1">
        <f>0.14*Table118192023103031323538394042[[#This Row],[النولون]]</f>
        <v>0</v>
      </c>
      <c r="K193" s="1">
        <f>Table118192023103031323538394042[[#This Row],[النولون]]+Table118192023103031323538394042[[#This Row],[الايصالات]]+Table118192023103031323538394042[[#This Row],[قيمة مضافة]]</f>
        <v>0</v>
      </c>
      <c r="M193" s="1">
        <f>M192+Table118192023103031323538394042[[#This Row],[اجمالي الفاتوره]]-Table118192023103031323538394042[[#This Row],[الدفعات]]</f>
        <v>744759.38999999955</v>
      </c>
      <c r="O193" s="48"/>
    </row>
    <row r="194" spans="9:15" ht="22.5" customHeight="1" x14ac:dyDescent="0.3">
      <c r="I194" s="1">
        <f>0.14*Table118192023103031323538394042[[#This Row],[النولون]]</f>
        <v>0</v>
      </c>
      <c r="K194" s="1">
        <f>Table118192023103031323538394042[[#This Row],[النولون]]+Table118192023103031323538394042[[#This Row],[الايصالات]]+Table118192023103031323538394042[[#This Row],[قيمة مضافة]]</f>
        <v>0</v>
      </c>
      <c r="M194" s="1">
        <f>M193+Table118192023103031323538394042[[#This Row],[اجمالي الفاتوره]]-Table118192023103031323538394042[[#This Row],[الدفعات]]</f>
        <v>744759.38999999955</v>
      </c>
      <c r="O194" s="48"/>
    </row>
    <row r="195" spans="9:15" ht="22.5" customHeight="1" x14ac:dyDescent="0.3">
      <c r="I195" s="1">
        <f>0.14*Table118192023103031323538394042[[#This Row],[النولون]]</f>
        <v>0</v>
      </c>
      <c r="K195" s="1">
        <f>Table118192023103031323538394042[[#This Row],[النولون]]+Table118192023103031323538394042[[#This Row],[الايصالات]]+Table118192023103031323538394042[[#This Row],[قيمة مضافة]]</f>
        <v>0</v>
      </c>
      <c r="M195" s="1">
        <f>M194+Table118192023103031323538394042[[#This Row],[اجمالي الفاتوره]]-Table118192023103031323538394042[[#This Row],[الدفعات]]</f>
        <v>744759.38999999955</v>
      </c>
      <c r="O195" s="48"/>
    </row>
    <row r="196" spans="9:15" ht="22.5" customHeight="1" x14ac:dyDescent="0.3">
      <c r="I196" s="1">
        <f>0.14*Table118192023103031323538394042[[#This Row],[النولون]]</f>
        <v>0</v>
      </c>
      <c r="K196" s="1">
        <f>Table118192023103031323538394042[[#This Row],[النولون]]+Table118192023103031323538394042[[#This Row],[الايصالات]]+Table118192023103031323538394042[[#This Row],[قيمة مضافة]]</f>
        <v>0</v>
      </c>
      <c r="M196" s="1">
        <f>M195+Table118192023103031323538394042[[#This Row],[اجمالي الفاتوره]]-Table118192023103031323538394042[[#This Row],[الدفعات]]</f>
        <v>744759.38999999955</v>
      </c>
      <c r="O196" s="48"/>
    </row>
    <row r="197" spans="9:15" ht="22.5" customHeight="1" x14ac:dyDescent="0.3">
      <c r="I197" s="1">
        <f>0.14*Table118192023103031323538394042[[#This Row],[النولون]]</f>
        <v>0</v>
      </c>
      <c r="K197" s="1">
        <f>Table118192023103031323538394042[[#This Row],[النولون]]+Table118192023103031323538394042[[#This Row],[الايصالات]]+Table118192023103031323538394042[[#This Row],[قيمة مضافة]]</f>
        <v>0</v>
      </c>
      <c r="M197" s="1">
        <f>M196+Table118192023103031323538394042[[#This Row],[اجمالي الفاتوره]]-Table118192023103031323538394042[[#This Row],[الدفعات]]</f>
        <v>744759.38999999955</v>
      </c>
      <c r="O197" s="48"/>
    </row>
    <row r="198" spans="9:15" ht="22.5" customHeight="1" x14ac:dyDescent="0.3">
      <c r="I198" s="1">
        <f>0.14*Table118192023103031323538394042[[#This Row],[النولون]]</f>
        <v>0</v>
      </c>
      <c r="K198" s="1">
        <f>Table118192023103031323538394042[[#This Row],[النولون]]+Table118192023103031323538394042[[#This Row],[الايصالات]]+Table118192023103031323538394042[[#This Row],[قيمة مضافة]]</f>
        <v>0</v>
      </c>
      <c r="M198" s="1">
        <f>M197+Table118192023103031323538394042[[#This Row],[اجمالي الفاتوره]]-Table118192023103031323538394042[[#This Row],[الدفعات]]</f>
        <v>744759.38999999955</v>
      </c>
      <c r="O198" s="48"/>
    </row>
    <row r="199" spans="9:15" ht="22.5" customHeight="1" x14ac:dyDescent="0.3">
      <c r="I199" s="1">
        <f>0.14*Table118192023103031323538394042[[#This Row],[النولون]]</f>
        <v>0</v>
      </c>
      <c r="K199" s="1">
        <f>Table118192023103031323538394042[[#This Row],[النولون]]+Table118192023103031323538394042[[#This Row],[الايصالات]]+Table118192023103031323538394042[[#This Row],[قيمة مضافة]]</f>
        <v>0</v>
      </c>
      <c r="M199" s="1">
        <f>M198+Table118192023103031323538394042[[#This Row],[اجمالي الفاتوره]]-Table118192023103031323538394042[[#This Row],[الدفعات]]</f>
        <v>744759.38999999955</v>
      </c>
      <c r="O199" s="48"/>
    </row>
    <row r="200" spans="9:15" ht="22.5" customHeight="1" x14ac:dyDescent="0.3">
      <c r="I200" s="1">
        <f>0.14*Table118192023103031323538394042[[#This Row],[النولون]]</f>
        <v>0</v>
      </c>
      <c r="K200" s="1">
        <f>Table118192023103031323538394042[[#This Row],[النولون]]+Table118192023103031323538394042[[#This Row],[الايصالات]]+Table118192023103031323538394042[[#This Row],[قيمة مضافة]]</f>
        <v>0</v>
      </c>
      <c r="M200" s="1">
        <f>M199+Table118192023103031323538394042[[#This Row],[اجمالي الفاتوره]]-Table118192023103031323538394042[[#This Row],[الدفعات]]</f>
        <v>744759.38999999955</v>
      </c>
      <c r="O200" s="48"/>
    </row>
    <row r="201" spans="9:15" ht="22.5" customHeight="1" x14ac:dyDescent="0.3">
      <c r="I201" s="1">
        <f>0.14*Table118192023103031323538394042[[#This Row],[النولون]]</f>
        <v>0</v>
      </c>
      <c r="K201" s="1">
        <f>Table118192023103031323538394042[[#This Row],[النولون]]+Table118192023103031323538394042[[#This Row],[الايصالات]]+Table118192023103031323538394042[[#This Row],[قيمة مضافة]]</f>
        <v>0</v>
      </c>
      <c r="M201" s="1">
        <f>M200+Table118192023103031323538394042[[#This Row],[اجمالي الفاتوره]]-Table118192023103031323538394042[[#This Row],[الدفعات]]</f>
        <v>744759.38999999955</v>
      </c>
      <c r="O201" s="48"/>
    </row>
    <row r="202" spans="9:15" ht="22.5" customHeight="1" x14ac:dyDescent="0.3">
      <c r="I202" s="1">
        <f>0.14*Table118192023103031323538394042[[#This Row],[النولون]]</f>
        <v>0</v>
      </c>
      <c r="K202" s="1">
        <f>Table118192023103031323538394042[[#This Row],[النولون]]+Table118192023103031323538394042[[#This Row],[الايصالات]]+Table118192023103031323538394042[[#This Row],[قيمة مضافة]]</f>
        <v>0</v>
      </c>
      <c r="M202" s="1">
        <f>M201+Table118192023103031323538394042[[#This Row],[اجمالي الفاتوره]]-Table118192023103031323538394042[[#This Row],[الدفعات]]</f>
        <v>744759.38999999955</v>
      </c>
      <c r="O202" s="48"/>
    </row>
    <row r="203" spans="9:15" ht="22.5" customHeight="1" x14ac:dyDescent="0.3">
      <c r="I203" s="1">
        <f>0.14*Table118192023103031323538394042[[#This Row],[النولون]]</f>
        <v>0</v>
      </c>
      <c r="K203" s="1">
        <f>Table118192023103031323538394042[[#This Row],[النولون]]+Table118192023103031323538394042[[#This Row],[الايصالات]]+Table118192023103031323538394042[[#This Row],[قيمة مضافة]]</f>
        <v>0</v>
      </c>
      <c r="M203" s="1">
        <f>M202+Table118192023103031323538394042[[#This Row],[اجمالي الفاتوره]]-Table118192023103031323538394042[[#This Row],[الدفعات]]</f>
        <v>744759.38999999955</v>
      </c>
      <c r="O203" s="48"/>
    </row>
    <row r="204" spans="9:15" ht="22.5" customHeight="1" x14ac:dyDescent="0.3">
      <c r="I204" s="1">
        <f>0.14*Table118192023103031323538394042[[#This Row],[النولون]]</f>
        <v>0</v>
      </c>
      <c r="K204" s="1">
        <f>Table118192023103031323538394042[[#This Row],[النولون]]+Table118192023103031323538394042[[#This Row],[الايصالات]]+Table118192023103031323538394042[[#This Row],[قيمة مضافة]]</f>
        <v>0</v>
      </c>
      <c r="M204" s="1">
        <f>M203+Table118192023103031323538394042[[#This Row],[اجمالي الفاتوره]]-Table118192023103031323538394042[[#This Row],[الدفعات]]</f>
        <v>744759.38999999955</v>
      </c>
      <c r="O204" s="48"/>
    </row>
    <row r="205" spans="9:15" ht="22.5" customHeight="1" x14ac:dyDescent="0.3">
      <c r="I205" s="1">
        <f>0.14*Table118192023103031323538394042[[#This Row],[النولون]]</f>
        <v>0</v>
      </c>
      <c r="K205" s="1">
        <f>Table118192023103031323538394042[[#This Row],[النولون]]+Table118192023103031323538394042[[#This Row],[الايصالات]]+Table118192023103031323538394042[[#This Row],[قيمة مضافة]]</f>
        <v>0</v>
      </c>
      <c r="M205" s="1">
        <f>M204+Table118192023103031323538394042[[#This Row],[اجمالي الفاتوره]]-Table118192023103031323538394042[[#This Row],[الدفعات]]</f>
        <v>744759.38999999955</v>
      </c>
      <c r="O205" s="48"/>
    </row>
    <row r="206" spans="9:15" ht="22.5" customHeight="1" x14ac:dyDescent="0.3">
      <c r="I206" s="1">
        <f>0.14*Table118192023103031323538394042[[#This Row],[النولون]]</f>
        <v>0</v>
      </c>
      <c r="K206" s="1">
        <f>Table118192023103031323538394042[[#This Row],[النولون]]+Table118192023103031323538394042[[#This Row],[الايصالات]]+Table118192023103031323538394042[[#This Row],[قيمة مضافة]]</f>
        <v>0</v>
      </c>
      <c r="M206" s="1">
        <f>M205+Table118192023103031323538394042[[#This Row],[اجمالي الفاتوره]]-Table118192023103031323538394042[[#This Row],[الدفعات]]</f>
        <v>744759.38999999955</v>
      </c>
      <c r="O206" s="48"/>
    </row>
    <row r="207" spans="9:15" ht="22.5" customHeight="1" x14ac:dyDescent="0.3">
      <c r="I207" s="1">
        <f>0.14*Table118192023103031323538394042[[#This Row],[النولون]]</f>
        <v>0</v>
      </c>
      <c r="K207" s="1">
        <f>Table118192023103031323538394042[[#This Row],[النولون]]+Table118192023103031323538394042[[#This Row],[الايصالات]]+Table118192023103031323538394042[[#This Row],[قيمة مضافة]]</f>
        <v>0</v>
      </c>
      <c r="M207" s="1">
        <f>M206+Table118192023103031323538394042[[#This Row],[اجمالي الفاتوره]]-Table118192023103031323538394042[[#This Row],[الدفعات]]</f>
        <v>744759.38999999955</v>
      </c>
      <c r="O207" s="48"/>
    </row>
    <row r="208" spans="9:15" ht="22.5" customHeight="1" x14ac:dyDescent="0.3">
      <c r="I208" s="1">
        <f>0.14*Table118192023103031323538394042[[#This Row],[النولون]]</f>
        <v>0</v>
      </c>
      <c r="K208" s="1">
        <f>Table118192023103031323538394042[[#This Row],[النولون]]+Table118192023103031323538394042[[#This Row],[الايصالات]]+Table118192023103031323538394042[[#This Row],[قيمة مضافة]]</f>
        <v>0</v>
      </c>
      <c r="M208" s="1">
        <f>M207+Table118192023103031323538394042[[#This Row],[اجمالي الفاتوره]]-Table118192023103031323538394042[[#This Row],[الدفعات]]</f>
        <v>744759.38999999955</v>
      </c>
      <c r="O208" s="48"/>
    </row>
    <row r="209" spans="9:15" ht="22.5" customHeight="1" x14ac:dyDescent="0.3">
      <c r="I209" s="1">
        <f>0.14*Table118192023103031323538394042[[#This Row],[النولون]]</f>
        <v>0</v>
      </c>
      <c r="K209" s="1">
        <f>Table118192023103031323538394042[[#This Row],[النولون]]+Table118192023103031323538394042[[#This Row],[الايصالات]]+Table118192023103031323538394042[[#This Row],[قيمة مضافة]]</f>
        <v>0</v>
      </c>
      <c r="M209" s="1">
        <f>M208+Table118192023103031323538394042[[#This Row],[اجمالي الفاتوره]]-Table118192023103031323538394042[[#This Row],[الدفعات]]</f>
        <v>744759.38999999955</v>
      </c>
      <c r="O209" s="48"/>
    </row>
    <row r="210" spans="9:15" ht="22.5" customHeight="1" x14ac:dyDescent="0.3">
      <c r="I210" s="1">
        <f>0.14*Table118192023103031323538394042[[#This Row],[النولون]]</f>
        <v>0</v>
      </c>
      <c r="K210" s="1">
        <f>Table118192023103031323538394042[[#This Row],[النولون]]+Table118192023103031323538394042[[#This Row],[الايصالات]]+Table118192023103031323538394042[[#This Row],[قيمة مضافة]]</f>
        <v>0</v>
      </c>
      <c r="M210" s="1">
        <f>M209+Table118192023103031323538394042[[#This Row],[اجمالي الفاتوره]]-Table118192023103031323538394042[[#This Row],[الدفعات]]</f>
        <v>744759.38999999955</v>
      </c>
      <c r="O210" s="48"/>
    </row>
    <row r="211" spans="9:15" ht="22.5" customHeight="1" x14ac:dyDescent="0.3">
      <c r="I211" s="1">
        <f>0.14*Table118192023103031323538394042[[#This Row],[النولون]]</f>
        <v>0</v>
      </c>
      <c r="K211" s="1">
        <f>Table118192023103031323538394042[[#This Row],[النولون]]+Table118192023103031323538394042[[#This Row],[الايصالات]]+Table118192023103031323538394042[[#This Row],[قيمة مضافة]]</f>
        <v>0</v>
      </c>
      <c r="M211" s="1">
        <f>M210+Table118192023103031323538394042[[#This Row],[اجمالي الفاتوره]]-Table118192023103031323538394042[[#This Row],[الدفعات]]</f>
        <v>744759.38999999955</v>
      </c>
      <c r="O211" s="48"/>
    </row>
    <row r="212" spans="9:15" ht="22.5" customHeight="1" x14ac:dyDescent="0.3">
      <c r="I212" s="1">
        <f>0.14*Table118192023103031323538394042[[#This Row],[النولون]]</f>
        <v>0</v>
      </c>
      <c r="K212" s="1">
        <f>Table118192023103031323538394042[[#This Row],[النولون]]+Table118192023103031323538394042[[#This Row],[الايصالات]]+Table118192023103031323538394042[[#This Row],[قيمة مضافة]]</f>
        <v>0</v>
      </c>
      <c r="M212" s="1">
        <f>M211+Table118192023103031323538394042[[#This Row],[اجمالي الفاتوره]]-Table118192023103031323538394042[[#This Row],[الدفعات]]</f>
        <v>744759.38999999955</v>
      </c>
      <c r="O212" s="48"/>
    </row>
    <row r="213" spans="9:15" ht="22.5" customHeight="1" x14ac:dyDescent="0.3">
      <c r="I213" s="1">
        <f>0.14*Table118192023103031323538394042[[#This Row],[النولون]]</f>
        <v>0</v>
      </c>
      <c r="K213" s="1">
        <f>Table118192023103031323538394042[[#This Row],[النولون]]+Table118192023103031323538394042[[#This Row],[الايصالات]]+Table118192023103031323538394042[[#This Row],[قيمة مضافة]]</f>
        <v>0</v>
      </c>
      <c r="M213" s="1">
        <f>M212+Table118192023103031323538394042[[#This Row],[اجمالي الفاتوره]]-Table118192023103031323538394042[[#This Row],[الدفعات]]</f>
        <v>744759.38999999955</v>
      </c>
      <c r="O213" s="48"/>
    </row>
    <row r="214" spans="9:15" ht="22.5" customHeight="1" x14ac:dyDescent="0.3">
      <c r="I214" s="1">
        <f>0.14*Table118192023103031323538394042[[#This Row],[النولون]]</f>
        <v>0</v>
      </c>
      <c r="K214" s="1">
        <f>Table118192023103031323538394042[[#This Row],[النولون]]+Table118192023103031323538394042[[#This Row],[الايصالات]]+Table118192023103031323538394042[[#This Row],[قيمة مضافة]]</f>
        <v>0</v>
      </c>
      <c r="M214" s="1">
        <f>M213+Table118192023103031323538394042[[#This Row],[اجمالي الفاتوره]]-Table118192023103031323538394042[[#This Row],[الدفعات]]</f>
        <v>744759.38999999955</v>
      </c>
      <c r="O214" s="48"/>
    </row>
    <row r="215" spans="9:15" ht="22.5" customHeight="1" x14ac:dyDescent="0.3">
      <c r="I215" s="1">
        <f>0.14*Table118192023103031323538394042[[#This Row],[النولون]]</f>
        <v>0</v>
      </c>
      <c r="K215" s="1">
        <f>Table118192023103031323538394042[[#This Row],[النولون]]+Table118192023103031323538394042[[#This Row],[الايصالات]]+Table118192023103031323538394042[[#This Row],[قيمة مضافة]]</f>
        <v>0</v>
      </c>
      <c r="M215" s="1">
        <f>M214+Table118192023103031323538394042[[#This Row],[اجمالي الفاتوره]]-Table118192023103031323538394042[[#This Row],[الدفعات]]</f>
        <v>744759.38999999955</v>
      </c>
      <c r="O215" s="48"/>
    </row>
    <row r="216" spans="9:15" ht="22.5" customHeight="1" x14ac:dyDescent="0.3">
      <c r="I216" s="1">
        <f>0.14*Table118192023103031323538394042[[#This Row],[النولون]]</f>
        <v>0</v>
      </c>
      <c r="K216" s="1">
        <f>Table118192023103031323538394042[[#This Row],[النولون]]+Table118192023103031323538394042[[#This Row],[الايصالات]]+Table118192023103031323538394042[[#This Row],[قيمة مضافة]]</f>
        <v>0</v>
      </c>
      <c r="M216" s="1">
        <f>M215+Table118192023103031323538394042[[#This Row],[اجمالي الفاتوره]]-Table118192023103031323538394042[[#This Row],[الدفعات]]</f>
        <v>744759.38999999955</v>
      </c>
      <c r="O216" s="48"/>
    </row>
    <row r="217" spans="9:15" ht="22.5" customHeight="1" x14ac:dyDescent="0.3">
      <c r="I217" s="1">
        <f>0.14*Table118192023103031323538394042[[#This Row],[النولون]]</f>
        <v>0</v>
      </c>
      <c r="K217" s="1">
        <f>Table118192023103031323538394042[[#This Row],[النولون]]+Table118192023103031323538394042[[#This Row],[الايصالات]]+Table118192023103031323538394042[[#This Row],[قيمة مضافة]]</f>
        <v>0</v>
      </c>
      <c r="M217" s="1">
        <f>M216+Table118192023103031323538394042[[#This Row],[اجمالي الفاتوره]]-Table118192023103031323538394042[[#This Row],[الدفعات]]</f>
        <v>744759.38999999955</v>
      </c>
      <c r="O217" s="48"/>
    </row>
    <row r="218" spans="9:15" ht="22.5" customHeight="1" x14ac:dyDescent="0.3">
      <c r="I218" s="1">
        <f>0.14*Table118192023103031323538394042[[#This Row],[النولون]]</f>
        <v>0</v>
      </c>
      <c r="K218" s="1">
        <f>Table118192023103031323538394042[[#This Row],[النولون]]+Table118192023103031323538394042[[#This Row],[الايصالات]]+Table118192023103031323538394042[[#This Row],[قيمة مضافة]]</f>
        <v>0</v>
      </c>
      <c r="M218" s="1">
        <f>M217+Table118192023103031323538394042[[#This Row],[اجمالي الفاتوره]]-Table118192023103031323538394042[[#This Row],[الدفعات]]</f>
        <v>744759.38999999955</v>
      </c>
      <c r="O218" s="48"/>
    </row>
    <row r="219" spans="9:15" ht="22.5" customHeight="1" x14ac:dyDescent="0.3">
      <c r="I219" s="1">
        <f>0.14*Table118192023103031323538394042[[#This Row],[النولون]]</f>
        <v>0</v>
      </c>
      <c r="K219" s="1">
        <f>Table118192023103031323538394042[[#This Row],[النولون]]+Table118192023103031323538394042[[#This Row],[الايصالات]]+Table118192023103031323538394042[[#This Row],[قيمة مضافة]]</f>
        <v>0</v>
      </c>
      <c r="M219" s="1">
        <f>M218+Table118192023103031323538394042[[#This Row],[اجمالي الفاتوره]]-Table118192023103031323538394042[[#This Row],[الدفعات]]</f>
        <v>744759.38999999955</v>
      </c>
      <c r="O219" s="48"/>
    </row>
    <row r="220" spans="9:15" ht="22.5" customHeight="1" x14ac:dyDescent="0.3">
      <c r="I220" s="1">
        <f>0.14*Table118192023103031323538394042[[#This Row],[النولون]]</f>
        <v>0</v>
      </c>
      <c r="K220" s="1">
        <f>Table118192023103031323538394042[[#This Row],[النولون]]+Table118192023103031323538394042[[#This Row],[الايصالات]]+Table118192023103031323538394042[[#This Row],[قيمة مضافة]]</f>
        <v>0</v>
      </c>
      <c r="M220" s="1">
        <f>M219+Table118192023103031323538394042[[#This Row],[اجمالي الفاتوره]]-Table118192023103031323538394042[[#This Row],[الدفعات]]</f>
        <v>744759.38999999955</v>
      </c>
      <c r="O220" s="48"/>
    </row>
    <row r="221" spans="9:15" ht="22.5" customHeight="1" x14ac:dyDescent="0.3">
      <c r="I221" s="1">
        <f>0.14*Table118192023103031323538394042[[#This Row],[النولون]]</f>
        <v>0</v>
      </c>
      <c r="K221" s="1">
        <f>Table118192023103031323538394042[[#This Row],[النولون]]+Table118192023103031323538394042[[#This Row],[الايصالات]]+Table118192023103031323538394042[[#This Row],[قيمة مضافة]]</f>
        <v>0</v>
      </c>
      <c r="M221" s="1">
        <f>M220+Table118192023103031323538394042[[#This Row],[اجمالي الفاتوره]]-Table118192023103031323538394042[[#This Row],[الدفعات]]</f>
        <v>744759.38999999955</v>
      </c>
      <c r="O221" s="48"/>
    </row>
    <row r="222" spans="9:15" ht="22.5" customHeight="1" x14ac:dyDescent="0.3">
      <c r="I222" s="1">
        <f>0.14*Table118192023103031323538394042[[#This Row],[النولون]]</f>
        <v>0</v>
      </c>
      <c r="K222" s="1">
        <f>Table118192023103031323538394042[[#This Row],[النولون]]+Table118192023103031323538394042[[#This Row],[الايصالات]]+Table118192023103031323538394042[[#This Row],[قيمة مضافة]]</f>
        <v>0</v>
      </c>
      <c r="M222" s="1">
        <f>M221+Table118192023103031323538394042[[#This Row],[اجمالي الفاتوره]]-Table118192023103031323538394042[[#This Row],[الدفعات]]</f>
        <v>744759.38999999955</v>
      </c>
      <c r="O222" s="48"/>
    </row>
    <row r="223" spans="9:15" ht="22.5" customHeight="1" x14ac:dyDescent="0.3">
      <c r="I223" s="1">
        <f>0.14*Table118192023103031323538394042[[#This Row],[النولون]]</f>
        <v>0</v>
      </c>
      <c r="K223" s="1">
        <f>Table118192023103031323538394042[[#This Row],[النولون]]+Table118192023103031323538394042[[#This Row],[الايصالات]]+Table118192023103031323538394042[[#This Row],[قيمة مضافة]]</f>
        <v>0</v>
      </c>
      <c r="M223" s="1">
        <f>M222+Table118192023103031323538394042[[#This Row],[اجمالي الفاتوره]]-Table118192023103031323538394042[[#This Row],[الدفعات]]</f>
        <v>744759.38999999955</v>
      </c>
      <c r="O223" s="48"/>
    </row>
    <row r="224" spans="9:15" ht="22.5" customHeight="1" x14ac:dyDescent="0.3">
      <c r="I224" s="1">
        <f>0.14*Table118192023103031323538394042[[#This Row],[النولون]]</f>
        <v>0</v>
      </c>
      <c r="K224" s="1">
        <f>Table118192023103031323538394042[[#This Row],[النولون]]+Table118192023103031323538394042[[#This Row],[الايصالات]]+Table118192023103031323538394042[[#This Row],[قيمة مضافة]]</f>
        <v>0</v>
      </c>
      <c r="M224" s="1">
        <f>M223+Table118192023103031323538394042[[#This Row],[اجمالي الفاتوره]]-Table118192023103031323538394042[[#This Row],[الدفعات]]</f>
        <v>744759.38999999955</v>
      </c>
      <c r="O224" s="48"/>
    </row>
    <row r="225" spans="9:15" ht="22.5" customHeight="1" x14ac:dyDescent="0.3">
      <c r="I225" s="1">
        <f>0.14*Table118192023103031323538394042[[#This Row],[النولون]]</f>
        <v>0</v>
      </c>
      <c r="K225" s="1">
        <f>Table118192023103031323538394042[[#This Row],[النولون]]+Table118192023103031323538394042[[#This Row],[الايصالات]]+Table118192023103031323538394042[[#This Row],[قيمة مضافة]]</f>
        <v>0</v>
      </c>
      <c r="M225" s="1">
        <f>M224+Table118192023103031323538394042[[#This Row],[اجمالي الفاتوره]]-Table118192023103031323538394042[[#This Row],[الدفعات]]</f>
        <v>744759.38999999955</v>
      </c>
      <c r="O225" s="48"/>
    </row>
    <row r="226" spans="9:15" ht="22.5" customHeight="1" x14ac:dyDescent="0.3">
      <c r="I226" s="1">
        <f>0.14*Table118192023103031323538394042[[#This Row],[النولون]]</f>
        <v>0</v>
      </c>
      <c r="K226" s="1">
        <f>Table118192023103031323538394042[[#This Row],[النولون]]+Table118192023103031323538394042[[#This Row],[الايصالات]]+Table118192023103031323538394042[[#This Row],[قيمة مضافة]]</f>
        <v>0</v>
      </c>
      <c r="M226" s="1">
        <f>M225+Table118192023103031323538394042[[#This Row],[اجمالي الفاتوره]]-Table118192023103031323538394042[[#This Row],[الدفعات]]</f>
        <v>744759.38999999955</v>
      </c>
      <c r="O226" s="48"/>
    </row>
    <row r="227" spans="9:15" ht="22.5" customHeight="1" x14ac:dyDescent="0.3">
      <c r="I227" s="1">
        <f>0.14*Table118192023103031323538394042[[#This Row],[النولون]]</f>
        <v>0</v>
      </c>
      <c r="K227" s="1">
        <f>Table118192023103031323538394042[[#This Row],[النولون]]+Table118192023103031323538394042[[#This Row],[الايصالات]]+Table118192023103031323538394042[[#This Row],[قيمة مضافة]]</f>
        <v>0</v>
      </c>
      <c r="M227" s="1">
        <f>M226+Table118192023103031323538394042[[#This Row],[اجمالي الفاتوره]]-Table118192023103031323538394042[[#This Row],[الدفعات]]</f>
        <v>744759.38999999955</v>
      </c>
      <c r="O227" s="48"/>
    </row>
    <row r="228" spans="9:15" ht="22.5" customHeight="1" x14ac:dyDescent="0.3">
      <c r="I228" s="1">
        <f>0.14*Table118192023103031323538394042[[#This Row],[النولون]]</f>
        <v>0</v>
      </c>
      <c r="K228" s="1">
        <f>Table118192023103031323538394042[[#This Row],[النولون]]+Table118192023103031323538394042[[#This Row],[الايصالات]]+Table118192023103031323538394042[[#This Row],[قيمة مضافة]]</f>
        <v>0</v>
      </c>
      <c r="M228" s="1">
        <f>M227+Table118192023103031323538394042[[#This Row],[اجمالي الفاتوره]]-Table118192023103031323538394042[[#This Row],[الدفعات]]</f>
        <v>744759.38999999955</v>
      </c>
      <c r="O228" s="48"/>
    </row>
    <row r="229" spans="9:15" ht="22.5" customHeight="1" x14ac:dyDescent="0.3">
      <c r="I229" s="1">
        <f>0.14*Table118192023103031323538394042[[#This Row],[النولون]]</f>
        <v>0</v>
      </c>
      <c r="K229" s="1">
        <f>Table118192023103031323538394042[[#This Row],[النولون]]+Table118192023103031323538394042[[#This Row],[الايصالات]]+Table118192023103031323538394042[[#This Row],[قيمة مضافة]]</f>
        <v>0</v>
      </c>
      <c r="M229" s="1">
        <f>M228+Table118192023103031323538394042[[#This Row],[اجمالي الفاتوره]]-Table118192023103031323538394042[[#This Row],[الدفعات]]</f>
        <v>744759.38999999955</v>
      </c>
      <c r="O229" s="48"/>
    </row>
    <row r="230" spans="9:15" ht="22.5" customHeight="1" x14ac:dyDescent="0.3">
      <c r="I230" s="1">
        <f>0.14*Table118192023103031323538394042[[#This Row],[النولون]]</f>
        <v>0</v>
      </c>
      <c r="K230" s="1">
        <f>Table118192023103031323538394042[[#This Row],[النولون]]+Table118192023103031323538394042[[#This Row],[الايصالات]]+Table118192023103031323538394042[[#This Row],[قيمة مضافة]]</f>
        <v>0</v>
      </c>
      <c r="M230" s="1">
        <f>M229+Table118192023103031323538394042[[#This Row],[اجمالي الفاتوره]]-Table118192023103031323538394042[[#This Row],[الدفعات]]</f>
        <v>744759.38999999955</v>
      </c>
      <c r="O230" s="48"/>
    </row>
    <row r="231" spans="9:15" ht="22.5" customHeight="1" x14ac:dyDescent="0.3">
      <c r="I231" s="1">
        <f>0.14*Table118192023103031323538394042[[#This Row],[النولون]]</f>
        <v>0</v>
      </c>
      <c r="K231" s="1">
        <f>Table118192023103031323538394042[[#This Row],[النولون]]+Table118192023103031323538394042[[#This Row],[الايصالات]]+Table118192023103031323538394042[[#This Row],[قيمة مضافة]]</f>
        <v>0</v>
      </c>
      <c r="M231" s="1">
        <f>M230+Table118192023103031323538394042[[#This Row],[اجمالي الفاتوره]]-Table118192023103031323538394042[[#This Row],[الدفعات]]</f>
        <v>744759.38999999955</v>
      </c>
      <c r="O231" s="48"/>
    </row>
    <row r="232" spans="9:15" ht="22.5" customHeight="1" x14ac:dyDescent="0.3">
      <c r="I232" s="1">
        <f>0.14*Table118192023103031323538394042[[#This Row],[النولون]]</f>
        <v>0</v>
      </c>
      <c r="K232" s="1">
        <f>Table118192023103031323538394042[[#This Row],[النولون]]+Table118192023103031323538394042[[#This Row],[الايصالات]]+Table118192023103031323538394042[[#This Row],[قيمة مضافة]]</f>
        <v>0</v>
      </c>
      <c r="M232" s="1">
        <f>M231+Table118192023103031323538394042[[#This Row],[اجمالي الفاتوره]]-Table118192023103031323538394042[[#This Row],[الدفعات]]</f>
        <v>744759.38999999955</v>
      </c>
      <c r="O232" s="48"/>
    </row>
    <row r="233" spans="9:15" ht="22.5" customHeight="1" x14ac:dyDescent="0.3">
      <c r="I233" s="1">
        <f>0.14*Table118192023103031323538394042[[#This Row],[النولون]]</f>
        <v>0</v>
      </c>
      <c r="K233" s="1">
        <f>Table118192023103031323538394042[[#This Row],[النولون]]+Table118192023103031323538394042[[#This Row],[الايصالات]]+Table118192023103031323538394042[[#This Row],[قيمة مضافة]]</f>
        <v>0</v>
      </c>
      <c r="M233" s="1">
        <f>M232+Table118192023103031323538394042[[#This Row],[اجمالي الفاتوره]]-Table118192023103031323538394042[[#This Row],[الدفعات]]</f>
        <v>744759.38999999955</v>
      </c>
      <c r="O233" s="48"/>
    </row>
    <row r="234" spans="9:15" ht="22.5" customHeight="1" x14ac:dyDescent="0.3">
      <c r="I234" s="1">
        <f>0.14*Table118192023103031323538394042[[#This Row],[النولون]]</f>
        <v>0</v>
      </c>
      <c r="K234" s="1">
        <f>Table118192023103031323538394042[[#This Row],[النولون]]+Table118192023103031323538394042[[#This Row],[الايصالات]]+Table118192023103031323538394042[[#This Row],[قيمة مضافة]]</f>
        <v>0</v>
      </c>
      <c r="M234" s="1">
        <f>M233+Table118192023103031323538394042[[#This Row],[اجمالي الفاتوره]]-Table118192023103031323538394042[[#This Row],[الدفعات]]</f>
        <v>744759.38999999955</v>
      </c>
      <c r="O234" s="48"/>
    </row>
    <row r="235" spans="9:15" ht="22.5" customHeight="1" x14ac:dyDescent="0.3">
      <c r="I235" s="1">
        <f>0.14*Table118192023103031323538394042[[#This Row],[النولون]]</f>
        <v>0</v>
      </c>
      <c r="K235" s="1">
        <f>Table118192023103031323538394042[[#This Row],[النولون]]+Table118192023103031323538394042[[#This Row],[الايصالات]]+Table118192023103031323538394042[[#This Row],[قيمة مضافة]]</f>
        <v>0</v>
      </c>
      <c r="M235" s="1">
        <f>M234+Table118192023103031323538394042[[#This Row],[اجمالي الفاتوره]]-Table118192023103031323538394042[[#This Row],[الدفعات]]</f>
        <v>744759.38999999955</v>
      </c>
      <c r="O235" s="48"/>
    </row>
    <row r="236" spans="9:15" ht="22.5" customHeight="1" x14ac:dyDescent="0.3">
      <c r="I236" s="1">
        <f>0.14*Table118192023103031323538394042[[#This Row],[النولون]]</f>
        <v>0</v>
      </c>
      <c r="K236" s="1">
        <f>Table118192023103031323538394042[[#This Row],[النولون]]+Table118192023103031323538394042[[#This Row],[الايصالات]]+Table118192023103031323538394042[[#This Row],[قيمة مضافة]]</f>
        <v>0</v>
      </c>
      <c r="M236" s="1">
        <f>M235+Table118192023103031323538394042[[#This Row],[اجمالي الفاتوره]]-Table118192023103031323538394042[[#This Row],[الدفعات]]</f>
        <v>744759.38999999955</v>
      </c>
      <c r="O236" s="48"/>
    </row>
    <row r="237" spans="9:15" ht="22.5" customHeight="1" x14ac:dyDescent="0.3">
      <c r="I237" s="1">
        <f>0.14*Table118192023103031323538394042[[#This Row],[النولون]]</f>
        <v>0</v>
      </c>
      <c r="K237" s="1">
        <f>Table118192023103031323538394042[[#This Row],[النولون]]+Table118192023103031323538394042[[#This Row],[الايصالات]]+Table118192023103031323538394042[[#This Row],[قيمة مضافة]]</f>
        <v>0</v>
      </c>
      <c r="M237" s="1">
        <f>M236+Table118192023103031323538394042[[#This Row],[اجمالي الفاتوره]]-Table118192023103031323538394042[[#This Row],[الدفعات]]</f>
        <v>744759.38999999955</v>
      </c>
      <c r="O237" s="48"/>
    </row>
    <row r="238" spans="9:15" ht="22.5" customHeight="1" x14ac:dyDescent="0.3">
      <c r="I238" s="1">
        <f>0.14*Table118192023103031323538394042[[#This Row],[النولون]]</f>
        <v>0</v>
      </c>
      <c r="K238" s="1">
        <f>Table118192023103031323538394042[[#This Row],[النولون]]+Table118192023103031323538394042[[#This Row],[الايصالات]]+Table118192023103031323538394042[[#This Row],[قيمة مضافة]]</f>
        <v>0</v>
      </c>
      <c r="M238" s="1">
        <f>M237+Table118192023103031323538394042[[#This Row],[اجمالي الفاتوره]]-Table118192023103031323538394042[[#This Row],[الدفعات]]</f>
        <v>744759.38999999955</v>
      </c>
      <c r="O238" s="48"/>
    </row>
    <row r="239" spans="9:15" ht="22.5" customHeight="1" x14ac:dyDescent="0.3">
      <c r="I239" s="1">
        <f>0.14*Table118192023103031323538394042[[#This Row],[النولون]]</f>
        <v>0</v>
      </c>
      <c r="K239" s="1">
        <f>Table118192023103031323538394042[[#This Row],[النولون]]+Table118192023103031323538394042[[#This Row],[الايصالات]]+Table118192023103031323538394042[[#This Row],[قيمة مضافة]]</f>
        <v>0</v>
      </c>
      <c r="M239" s="1">
        <f>M238+Table118192023103031323538394042[[#This Row],[اجمالي الفاتوره]]-Table118192023103031323538394042[[#This Row],[الدفعات]]</f>
        <v>744759.38999999955</v>
      </c>
      <c r="O239" s="48"/>
    </row>
    <row r="240" spans="9:15" ht="22.5" customHeight="1" x14ac:dyDescent="0.3">
      <c r="I240" s="1">
        <f>0.14*Table118192023103031323538394042[[#This Row],[النولون]]</f>
        <v>0</v>
      </c>
      <c r="K240" s="1">
        <f>Table118192023103031323538394042[[#This Row],[النولون]]+Table118192023103031323538394042[[#This Row],[الايصالات]]+Table118192023103031323538394042[[#This Row],[قيمة مضافة]]</f>
        <v>0</v>
      </c>
      <c r="M240" s="1">
        <f>M239+Table118192023103031323538394042[[#This Row],[اجمالي الفاتوره]]-Table118192023103031323538394042[[#This Row],[الدفعات]]</f>
        <v>744759.38999999955</v>
      </c>
      <c r="O240" s="48"/>
    </row>
    <row r="241" spans="9:15" ht="22.5" customHeight="1" x14ac:dyDescent="0.3">
      <c r="I241" s="1">
        <f>0.14*Table118192023103031323538394042[[#This Row],[النولون]]</f>
        <v>0</v>
      </c>
      <c r="K241" s="1">
        <f>Table118192023103031323538394042[[#This Row],[النولون]]+Table118192023103031323538394042[[#This Row],[الايصالات]]+Table118192023103031323538394042[[#This Row],[قيمة مضافة]]</f>
        <v>0</v>
      </c>
      <c r="M241" s="1">
        <f>M240+Table118192023103031323538394042[[#This Row],[اجمالي الفاتوره]]-Table118192023103031323538394042[[#This Row],[الدفعات]]</f>
        <v>744759.38999999955</v>
      </c>
      <c r="O241" s="48"/>
    </row>
    <row r="242" spans="9:15" ht="22.5" customHeight="1" x14ac:dyDescent="0.3">
      <c r="I242" s="1">
        <f>0.14*Table118192023103031323538394042[[#This Row],[النولون]]</f>
        <v>0</v>
      </c>
      <c r="K242" s="1">
        <f>Table118192023103031323538394042[[#This Row],[النولون]]+Table118192023103031323538394042[[#This Row],[الايصالات]]+Table118192023103031323538394042[[#This Row],[قيمة مضافة]]</f>
        <v>0</v>
      </c>
      <c r="M242" s="1">
        <f>M241+Table118192023103031323538394042[[#This Row],[اجمالي الفاتوره]]-Table118192023103031323538394042[[#This Row],[الدفعات]]</f>
        <v>744759.38999999955</v>
      </c>
      <c r="O242" s="48"/>
    </row>
    <row r="243" spans="9:15" ht="22.5" customHeight="1" x14ac:dyDescent="0.3">
      <c r="I243" s="1">
        <f>0.14*Table118192023103031323538394042[[#This Row],[النولون]]</f>
        <v>0</v>
      </c>
      <c r="K243" s="1">
        <f>Table118192023103031323538394042[[#This Row],[النولون]]+Table118192023103031323538394042[[#This Row],[الايصالات]]+Table118192023103031323538394042[[#This Row],[قيمة مضافة]]</f>
        <v>0</v>
      </c>
      <c r="M243" s="1">
        <f>M242+Table118192023103031323538394042[[#This Row],[اجمالي الفاتوره]]-Table118192023103031323538394042[[#This Row],[الدفعات]]</f>
        <v>744759.38999999955</v>
      </c>
      <c r="O243" s="48"/>
    </row>
    <row r="244" spans="9:15" ht="22.5" customHeight="1" x14ac:dyDescent="0.3">
      <c r="I244" s="1">
        <f>0.14*Table118192023103031323538394042[[#This Row],[النولون]]</f>
        <v>0</v>
      </c>
      <c r="K244" s="1">
        <f>Table118192023103031323538394042[[#This Row],[النولون]]+Table118192023103031323538394042[[#This Row],[الايصالات]]+Table118192023103031323538394042[[#This Row],[قيمة مضافة]]</f>
        <v>0</v>
      </c>
      <c r="M244" s="1">
        <f>M243+Table118192023103031323538394042[[#This Row],[اجمالي الفاتوره]]-Table118192023103031323538394042[[#This Row],[الدفعات]]</f>
        <v>744759.38999999955</v>
      </c>
      <c r="O244" s="48"/>
    </row>
    <row r="245" spans="9:15" ht="22.5" customHeight="1" x14ac:dyDescent="0.3">
      <c r="I245" s="1">
        <f>0.14*Table118192023103031323538394042[[#This Row],[النولون]]</f>
        <v>0</v>
      </c>
      <c r="K245" s="1">
        <f>Table118192023103031323538394042[[#This Row],[النولون]]+Table118192023103031323538394042[[#This Row],[الايصالات]]+Table118192023103031323538394042[[#This Row],[قيمة مضافة]]</f>
        <v>0</v>
      </c>
      <c r="M245" s="1">
        <f>M244+Table118192023103031323538394042[[#This Row],[اجمالي الفاتوره]]-Table118192023103031323538394042[[#This Row],[الدفعات]]</f>
        <v>744759.38999999955</v>
      </c>
      <c r="O245" s="48"/>
    </row>
    <row r="246" spans="9:15" ht="22.5" customHeight="1" x14ac:dyDescent="0.3">
      <c r="I246" s="1">
        <f>0.14*Table118192023103031323538394042[[#This Row],[النولون]]</f>
        <v>0</v>
      </c>
      <c r="K246" s="1">
        <f>Table118192023103031323538394042[[#This Row],[النولون]]+Table118192023103031323538394042[[#This Row],[الايصالات]]+Table118192023103031323538394042[[#This Row],[قيمة مضافة]]</f>
        <v>0</v>
      </c>
      <c r="M246" s="1">
        <f>M245+Table118192023103031323538394042[[#This Row],[اجمالي الفاتوره]]-Table118192023103031323538394042[[#This Row],[الدفعات]]</f>
        <v>744759.38999999955</v>
      </c>
      <c r="O246" s="48"/>
    </row>
    <row r="247" spans="9:15" ht="22.5" customHeight="1" x14ac:dyDescent="0.3">
      <c r="I247" s="1">
        <f>0.14*Table118192023103031323538394042[[#This Row],[النولون]]</f>
        <v>0</v>
      </c>
      <c r="K247" s="1">
        <f>Table118192023103031323538394042[[#This Row],[النولون]]+Table118192023103031323538394042[[#This Row],[الايصالات]]+Table118192023103031323538394042[[#This Row],[قيمة مضافة]]</f>
        <v>0</v>
      </c>
      <c r="M247" s="1">
        <f>M246+Table118192023103031323538394042[[#This Row],[اجمالي الفاتوره]]-Table118192023103031323538394042[[#This Row],[الدفعات]]</f>
        <v>744759.38999999955</v>
      </c>
      <c r="O247" s="48"/>
    </row>
    <row r="248" spans="9:15" ht="22.5" customHeight="1" x14ac:dyDescent="0.3">
      <c r="I248" s="1">
        <f>0.14*Table118192023103031323538394042[[#This Row],[النولون]]</f>
        <v>0</v>
      </c>
      <c r="K248" s="1">
        <f>Table118192023103031323538394042[[#This Row],[النولون]]+Table118192023103031323538394042[[#This Row],[الايصالات]]+Table118192023103031323538394042[[#This Row],[قيمة مضافة]]</f>
        <v>0</v>
      </c>
      <c r="M248" s="1">
        <f>M247+Table118192023103031323538394042[[#This Row],[اجمالي الفاتوره]]-Table118192023103031323538394042[[#This Row],[الدفعات]]</f>
        <v>744759.38999999955</v>
      </c>
      <c r="O248" s="48"/>
    </row>
    <row r="249" spans="9:15" ht="22.5" customHeight="1" x14ac:dyDescent="0.3">
      <c r="I249" s="1">
        <f>0.14*Table118192023103031323538394042[[#This Row],[النولون]]</f>
        <v>0</v>
      </c>
      <c r="K249" s="1">
        <f>Table118192023103031323538394042[[#This Row],[النولون]]+Table118192023103031323538394042[[#This Row],[الايصالات]]+Table118192023103031323538394042[[#This Row],[قيمة مضافة]]</f>
        <v>0</v>
      </c>
      <c r="M249" s="1">
        <f>M248+Table118192023103031323538394042[[#This Row],[اجمالي الفاتوره]]-Table118192023103031323538394042[[#This Row],[الدفعات]]</f>
        <v>744759.38999999955</v>
      </c>
      <c r="O249" s="48"/>
    </row>
    <row r="250" spans="9:15" ht="22.5" customHeight="1" x14ac:dyDescent="0.3">
      <c r="I250" s="1">
        <f>0.14*Table118192023103031323538394042[[#This Row],[النولون]]</f>
        <v>0</v>
      </c>
      <c r="K250" s="1">
        <f>Table118192023103031323538394042[[#This Row],[النولون]]+Table118192023103031323538394042[[#This Row],[الايصالات]]+Table118192023103031323538394042[[#This Row],[قيمة مضافة]]</f>
        <v>0</v>
      </c>
      <c r="M250" s="1">
        <f>M249+Table118192023103031323538394042[[#This Row],[اجمالي الفاتوره]]-Table118192023103031323538394042[[#This Row],[الدفعات]]</f>
        <v>744759.38999999955</v>
      </c>
      <c r="O250" s="48"/>
    </row>
    <row r="251" spans="9:15" ht="22.5" customHeight="1" x14ac:dyDescent="0.3">
      <c r="I251" s="1">
        <f>0.14*Table118192023103031323538394042[[#This Row],[النولون]]</f>
        <v>0</v>
      </c>
      <c r="K251" s="1">
        <f>Table118192023103031323538394042[[#This Row],[النولون]]+Table118192023103031323538394042[[#This Row],[الايصالات]]+Table118192023103031323538394042[[#This Row],[قيمة مضافة]]</f>
        <v>0</v>
      </c>
      <c r="M251" s="1">
        <f>M250+Table118192023103031323538394042[[#This Row],[اجمالي الفاتوره]]-Table118192023103031323538394042[[#This Row],[الدفعات]]</f>
        <v>744759.38999999955</v>
      </c>
      <c r="O251" s="48"/>
    </row>
    <row r="252" spans="9:15" ht="22.5" customHeight="1" x14ac:dyDescent="0.3">
      <c r="I252" s="1">
        <f>0.14*Table118192023103031323538394042[[#This Row],[النولون]]</f>
        <v>0</v>
      </c>
      <c r="K252" s="1">
        <f>Table118192023103031323538394042[[#This Row],[النولون]]+Table118192023103031323538394042[[#This Row],[الايصالات]]+Table118192023103031323538394042[[#This Row],[قيمة مضافة]]</f>
        <v>0</v>
      </c>
      <c r="M252" s="1">
        <f>M251+Table118192023103031323538394042[[#This Row],[اجمالي الفاتوره]]-Table118192023103031323538394042[[#This Row],[الدفعات]]</f>
        <v>744759.38999999955</v>
      </c>
      <c r="O252" s="48"/>
    </row>
    <row r="253" spans="9:15" ht="22.5" customHeight="1" x14ac:dyDescent="0.3">
      <c r="I253" s="1">
        <f>0.14*Table118192023103031323538394042[[#This Row],[النولون]]</f>
        <v>0</v>
      </c>
      <c r="K253" s="1">
        <f>Table118192023103031323538394042[[#This Row],[النولون]]+Table118192023103031323538394042[[#This Row],[الايصالات]]+Table118192023103031323538394042[[#This Row],[قيمة مضافة]]</f>
        <v>0</v>
      </c>
      <c r="M253" s="1">
        <f>M252+Table118192023103031323538394042[[#This Row],[اجمالي الفاتوره]]-Table118192023103031323538394042[[#This Row],[الدفعات]]</f>
        <v>744759.38999999955</v>
      </c>
      <c r="O253" s="48"/>
    </row>
    <row r="254" spans="9:15" ht="22.5" customHeight="1" x14ac:dyDescent="0.3">
      <c r="I254" s="1">
        <f>0.14*Table118192023103031323538394042[[#This Row],[النولون]]</f>
        <v>0</v>
      </c>
      <c r="K254" s="1">
        <f>Table118192023103031323538394042[[#This Row],[النولون]]+Table118192023103031323538394042[[#This Row],[الايصالات]]+Table118192023103031323538394042[[#This Row],[قيمة مضافة]]</f>
        <v>0</v>
      </c>
      <c r="M254" s="1">
        <f>M253+Table118192023103031323538394042[[#This Row],[اجمالي الفاتوره]]-Table118192023103031323538394042[[#This Row],[الدفعات]]</f>
        <v>744759.38999999955</v>
      </c>
      <c r="O254" s="48"/>
    </row>
    <row r="255" spans="9:15" ht="22.5" customHeight="1" x14ac:dyDescent="0.3">
      <c r="I255" s="1">
        <f>0.14*Table118192023103031323538394042[[#This Row],[النولون]]</f>
        <v>0</v>
      </c>
      <c r="K255" s="1">
        <f>Table118192023103031323538394042[[#This Row],[النولون]]+Table118192023103031323538394042[[#This Row],[الايصالات]]+Table118192023103031323538394042[[#This Row],[قيمة مضافة]]</f>
        <v>0</v>
      </c>
      <c r="M255" s="1">
        <f>M254+Table118192023103031323538394042[[#This Row],[اجمالي الفاتوره]]-Table118192023103031323538394042[[#This Row],[الدفعات]]</f>
        <v>744759.38999999955</v>
      </c>
      <c r="O255" s="48"/>
    </row>
    <row r="256" spans="9:15" ht="22.5" customHeight="1" x14ac:dyDescent="0.3">
      <c r="I256" s="1">
        <f>0.14*Table118192023103031323538394042[[#This Row],[النولون]]</f>
        <v>0</v>
      </c>
      <c r="K256" s="1">
        <f>Table118192023103031323538394042[[#This Row],[النولون]]+Table118192023103031323538394042[[#This Row],[الايصالات]]+Table118192023103031323538394042[[#This Row],[قيمة مضافة]]</f>
        <v>0</v>
      </c>
      <c r="M256" s="1">
        <f>M255+Table118192023103031323538394042[[#This Row],[اجمالي الفاتوره]]-Table118192023103031323538394042[[#This Row],[الدفعات]]</f>
        <v>744759.38999999955</v>
      </c>
      <c r="O256" s="48"/>
    </row>
    <row r="257" spans="9:15" ht="22.5" customHeight="1" x14ac:dyDescent="0.3">
      <c r="I257" s="1">
        <f>0.14*Table118192023103031323538394042[[#This Row],[النولون]]</f>
        <v>0</v>
      </c>
      <c r="K257" s="1">
        <f>Table118192023103031323538394042[[#This Row],[النولون]]+Table118192023103031323538394042[[#This Row],[الايصالات]]+Table118192023103031323538394042[[#This Row],[قيمة مضافة]]</f>
        <v>0</v>
      </c>
      <c r="M257" s="1">
        <f>M256+Table118192023103031323538394042[[#This Row],[اجمالي الفاتوره]]-Table118192023103031323538394042[[#This Row],[الدفعات]]</f>
        <v>744759.38999999955</v>
      </c>
      <c r="O257" s="48"/>
    </row>
    <row r="258" spans="9:15" ht="22.5" customHeight="1" x14ac:dyDescent="0.3">
      <c r="I258" s="1">
        <f>0.14*Table118192023103031323538394042[[#This Row],[النولون]]</f>
        <v>0</v>
      </c>
      <c r="K258" s="1">
        <f>Table118192023103031323538394042[[#This Row],[النولون]]+Table118192023103031323538394042[[#This Row],[الايصالات]]+Table118192023103031323538394042[[#This Row],[قيمة مضافة]]</f>
        <v>0</v>
      </c>
      <c r="M258" s="1">
        <f>M257+Table118192023103031323538394042[[#This Row],[اجمالي الفاتوره]]-Table118192023103031323538394042[[#This Row],[الدفعات]]</f>
        <v>744759.38999999955</v>
      </c>
      <c r="O258" s="48"/>
    </row>
    <row r="259" spans="9:15" ht="22.5" customHeight="1" x14ac:dyDescent="0.3">
      <c r="I259" s="1">
        <f>0.14*Table118192023103031323538394042[[#This Row],[النولون]]</f>
        <v>0</v>
      </c>
      <c r="K259" s="1">
        <f>Table118192023103031323538394042[[#This Row],[النولون]]+Table118192023103031323538394042[[#This Row],[الايصالات]]+Table118192023103031323538394042[[#This Row],[قيمة مضافة]]</f>
        <v>0</v>
      </c>
      <c r="M259" s="1">
        <f>M258+Table118192023103031323538394042[[#This Row],[اجمالي الفاتوره]]-Table118192023103031323538394042[[#This Row],[الدفعات]]</f>
        <v>744759.38999999955</v>
      </c>
      <c r="O259" s="48"/>
    </row>
    <row r="260" spans="9:15" ht="22.5" customHeight="1" x14ac:dyDescent="0.3">
      <c r="I260" s="1">
        <f>0.14*Table118192023103031323538394042[[#This Row],[النولون]]</f>
        <v>0</v>
      </c>
      <c r="K260" s="1">
        <f>Table118192023103031323538394042[[#This Row],[النولون]]+Table118192023103031323538394042[[#This Row],[الايصالات]]+Table118192023103031323538394042[[#This Row],[قيمة مضافة]]</f>
        <v>0</v>
      </c>
      <c r="M260" s="1">
        <f>M259+Table118192023103031323538394042[[#This Row],[اجمالي الفاتوره]]-Table118192023103031323538394042[[#This Row],[الدفعات]]</f>
        <v>744759.38999999955</v>
      </c>
      <c r="O260" s="48"/>
    </row>
    <row r="261" spans="9:15" ht="22.5" customHeight="1" x14ac:dyDescent="0.3">
      <c r="I261" s="1">
        <f>0.14*Table118192023103031323538394042[[#This Row],[النولون]]</f>
        <v>0</v>
      </c>
      <c r="K261" s="1">
        <f>Table118192023103031323538394042[[#This Row],[النولون]]+Table118192023103031323538394042[[#This Row],[الايصالات]]+Table118192023103031323538394042[[#This Row],[قيمة مضافة]]</f>
        <v>0</v>
      </c>
      <c r="M261" s="1">
        <f>M260+Table118192023103031323538394042[[#This Row],[اجمالي الفاتوره]]-Table118192023103031323538394042[[#This Row],[الدفعات]]</f>
        <v>744759.38999999955</v>
      </c>
      <c r="O261" s="48"/>
    </row>
    <row r="262" spans="9:15" ht="22.5" customHeight="1" x14ac:dyDescent="0.3">
      <c r="I262" s="1">
        <f>0.14*Table118192023103031323538394042[[#This Row],[النولون]]</f>
        <v>0</v>
      </c>
      <c r="K262" s="1">
        <f>Table118192023103031323538394042[[#This Row],[النولون]]+Table118192023103031323538394042[[#This Row],[الايصالات]]+Table118192023103031323538394042[[#This Row],[قيمة مضافة]]</f>
        <v>0</v>
      </c>
      <c r="M262" s="1">
        <f>M261+Table118192023103031323538394042[[#This Row],[اجمالي الفاتوره]]-Table118192023103031323538394042[[#This Row],[الدفعات]]</f>
        <v>744759.38999999955</v>
      </c>
      <c r="O262" s="48"/>
    </row>
    <row r="263" spans="9:15" ht="22.5" customHeight="1" x14ac:dyDescent="0.3">
      <c r="I263" s="1">
        <f>0.14*Table118192023103031323538394042[[#This Row],[النولون]]</f>
        <v>0</v>
      </c>
      <c r="K263" s="1">
        <f>Table118192023103031323538394042[[#This Row],[النولون]]+Table118192023103031323538394042[[#This Row],[الايصالات]]+Table118192023103031323538394042[[#This Row],[قيمة مضافة]]</f>
        <v>0</v>
      </c>
      <c r="M263" s="1">
        <f>M262+Table118192023103031323538394042[[#This Row],[اجمالي الفاتوره]]-Table118192023103031323538394042[[#This Row],[الدفعات]]</f>
        <v>744759.38999999955</v>
      </c>
      <c r="O263" s="48"/>
    </row>
    <row r="264" spans="9:15" ht="22.5" customHeight="1" x14ac:dyDescent="0.3">
      <c r="I264" s="1">
        <f>0.14*Table118192023103031323538394042[[#This Row],[النولون]]</f>
        <v>0</v>
      </c>
      <c r="K264" s="1">
        <f>Table118192023103031323538394042[[#This Row],[النولون]]+Table118192023103031323538394042[[#This Row],[الايصالات]]+Table118192023103031323538394042[[#This Row],[قيمة مضافة]]</f>
        <v>0</v>
      </c>
      <c r="M264" s="1">
        <f>M263+Table118192023103031323538394042[[#This Row],[اجمالي الفاتوره]]-Table118192023103031323538394042[[#This Row],[الدفعات]]</f>
        <v>744759.38999999955</v>
      </c>
      <c r="O264" s="48"/>
    </row>
    <row r="265" spans="9:15" ht="22.5" customHeight="1" x14ac:dyDescent="0.3">
      <c r="I265" s="1">
        <f>0.14*Table118192023103031323538394042[[#This Row],[النولون]]</f>
        <v>0</v>
      </c>
      <c r="K265" s="1">
        <f>Table118192023103031323538394042[[#This Row],[النولون]]+Table118192023103031323538394042[[#This Row],[الايصالات]]+Table118192023103031323538394042[[#This Row],[قيمة مضافة]]</f>
        <v>0</v>
      </c>
      <c r="M265" s="1">
        <f>M264+Table118192023103031323538394042[[#This Row],[اجمالي الفاتوره]]-Table118192023103031323538394042[[#This Row],[الدفعات]]</f>
        <v>744759.38999999955</v>
      </c>
      <c r="O265" s="48"/>
    </row>
    <row r="266" spans="9:15" ht="22.5" customHeight="1" x14ac:dyDescent="0.3">
      <c r="I266" s="1">
        <f>0.14*Table118192023103031323538394042[[#This Row],[النولون]]</f>
        <v>0</v>
      </c>
      <c r="K266" s="1">
        <f>Table118192023103031323538394042[[#This Row],[النولون]]+Table118192023103031323538394042[[#This Row],[الايصالات]]+Table118192023103031323538394042[[#This Row],[قيمة مضافة]]</f>
        <v>0</v>
      </c>
      <c r="M266" s="1">
        <f>M265+Table118192023103031323538394042[[#This Row],[اجمالي الفاتوره]]-Table118192023103031323538394042[[#This Row],[الدفعات]]</f>
        <v>744759.38999999955</v>
      </c>
      <c r="O266" s="48"/>
    </row>
    <row r="267" spans="9:15" ht="22.5" customHeight="1" x14ac:dyDescent="0.3">
      <c r="I267" s="1">
        <f>0.14*Table118192023103031323538394042[[#This Row],[النولون]]</f>
        <v>0</v>
      </c>
      <c r="K267" s="1">
        <f>Table118192023103031323538394042[[#This Row],[النولون]]+Table118192023103031323538394042[[#This Row],[الايصالات]]+Table118192023103031323538394042[[#This Row],[قيمة مضافة]]</f>
        <v>0</v>
      </c>
      <c r="M267" s="1">
        <f>M266+Table118192023103031323538394042[[#This Row],[اجمالي الفاتوره]]-Table118192023103031323538394042[[#This Row],[الدفعات]]</f>
        <v>744759.38999999955</v>
      </c>
      <c r="O267" s="48"/>
    </row>
    <row r="268" spans="9:15" ht="22.5" customHeight="1" x14ac:dyDescent="0.3">
      <c r="I268" s="1">
        <f>0.14*Table118192023103031323538394042[[#This Row],[النولون]]</f>
        <v>0</v>
      </c>
      <c r="K268" s="1">
        <f>Table118192023103031323538394042[[#This Row],[النولون]]+Table118192023103031323538394042[[#This Row],[الايصالات]]+Table118192023103031323538394042[[#This Row],[قيمة مضافة]]</f>
        <v>0</v>
      </c>
      <c r="M268" s="1">
        <f>M267+Table118192023103031323538394042[[#This Row],[اجمالي الفاتوره]]-Table118192023103031323538394042[[#This Row],[الدفعات]]</f>
        <v>744759.38999999955</v>
      </c>
      <c r="O268" s="48"/>
    </row>
    <row r="269" spans="9:15" ht="22.5" customHeight="1" x14ac:dyDescent="0.3">
      <c r="I269" s="1">
        <f>0.14*Table118192023103031323538394042[[#This Row],[النولون]]</f>
        <v>0</v>
      </c>
      <c r="K269" s="1">
        <f>Table118192023103031323538394042[[#This Row],[النولون]]+Table118192023103031323538394042[[#This Row],[الايصالات]]+Table118192023103031323538394042[[#This Row],[قيمة مضافة]]</f>
        <v>0</v>
      </c>
      <c r="M269" s="1">
        <f>M268+Table118192023103031323538394042[[#This Row],[اجمالي الفاتوره]]-Table118192023103031323538394042[[#This Row],[الدفعات]]</f>
        <v>744759.38999999955</v>
      </c>
      <c r="O269" s="48"/>
    </row>
    <row r="270" spans="9:15" ht="22.5" customHeight="1" x14ac:dyDescent="0.3">
      <c r="I270" s="1">
        <f>0.14*Table118192023103031323538394042[[#This Row],[النولون]]</f>
        <v>0</v>
      </c>
      <c r="K270" s="1">
        <f>Table118192023103031323538394042[[#This Row],[النولون]]+Table118192023103031323538394042[[#This Row],[الايصالات]]+Table118192023103031323538394042[[#This Row],[قيمة مضافة]]</f>
        <v>0</v>
      </c>
      <c r="M270" s="1">
        <f>M269+Table118192023103031323538394042[[#This Row],[اجمالي الفاتوره]]-Table118192023103031323538394042[[#This Row],[الدفعات]]</f>
        <v>744759.38999999955</v>
      </c>
      <c r="O270" s="48"/>
    </row>
    <row r="271" spans="9:15" ht="22.5" customHeight="1" x14ac:dyDescent="0.3">
      <c r="I271" s="1">
        <f>0.14*Table118192023103031323538394042[[#This Row],[النولون]]</f>
        <v>0</v>
      </c>
      <c r="K271" s="1">
        <f>Table118192023103031323538394042[[#This Row],[النولون]]+Table118192023103031323538394042[[#This Row],[الايصالات]]+Table118192023103031323538394042[[#This Row],[قيمة مضافة]]</f>
        <v>0</v>
      </c>
      <c r="M271" s="1">
        <f>M270+Table118192023103031323538394042[[#This Row],[اجمالي الفاتوره]]-Table118192023103031323538394042[[#This Row],[الدفعات]]</f>
        <v>744759.38999999955</v>
      </c>
      <c r="O271" s="48"/>
    </row>
    <row r="272" spans="9:15" ht="22.5" customHeight="1" x14ac:dyDescent="0.3">
      <c r="I272" s="1">
        <f>0.14*Table118192023103031323538394042[[#This Row],[النولون]]</f>
        <v>0</v>
      </c>
      <c r="K272" s="1">
        <f>Table118192023103031323538394042[[#This Row],[النولون]]+Table118192023103031323538394042[[#This Row],[الايصالات]]+Table118192023103031323538394042[[#This Row],[قيمة مضافة]]</f>
        <v>0</v>
      </c>
      <c r="M272" s="1">
        <f>M271+Table118192023103031323538394042[[#This Row],[اجمالي الفاتوره]]-Table118192023103031323538394042[[#This Row],[الدفعات]]</f>
        <v>744759.38999999955</v>
      </c>
      <c r="O272" s="48"/>
    </row>
    <row r="273" spans="9:15" ht="22.5" customHeight="1" x14ac:dyDescent="0.3">
      <c r="I273" s="1">
        <f>0.14*Table118192023103031323538394042[[#This Row],[النولون]]</f>
        <v>0</v>
      </c>
      <c r="K273" s="1">
        <f>Table118192023103031323538394042[[#This Row],[النولون]]+Table118192023103031323538394042[[#This Row],[الايصالات]]+Table118192023103031323538394042[[#This Row],[قيمة مضافة]]</f>
        <v>0</v>
      </c>
      <c r="M273" s="1">
        <f>M272+Table118192023103031323538394042[[#This Row],[اجمالي الفاتوره]]-Table118192023103031323538394042[[#This Row],[الدفعات]]</f>
        <v>744759.38999999955</v>
      </c>
      <c r="O273" s="48"/>
    </row>
    <row r="274" spans="9:15" ht="22.5" customHeight="1" x14ac:dyDescent="0.3">
      <c r="I274" s="1">
        <f>0.14*Table118192023103031323538394042[[#This Row],[النولون]]</f>
        <v>0</v>
      </c>
      <c r="K274" s="1">
        <f>Table118192023103031323538394042[[#This Row],[النولون]]+Table118192023103031323538394042[[#This Row],[الايصالات]]+Table118192023103031323538394042[[#This Row],[قيمة مضافة]]</f>
        <v>0</v>
      </c>
      <c r="M274" s="1">
        <f>M273+Table118192023103031323538394042[[#This Row],[اجمالي الفاتوره]]-Table118192023103031323538394042[[#This Row],[الدفعات]]</f>
        <v>744759.38999999955</v>
      </c>
      <c r="O274" s="48"/>
    </row>
    <row r="275" spans="9:15" ht="22.5" customHeight="1" x14ac:dyDescent="0.3">
      <c r="I275" s="1">
        <f>0.14*Table118192023103031323538394042[[#This Row],[النولون]]</f>
        <v>0</v>
      </c>
      <c r="K275" s="1">
        <f>Table118192023103031323538394042[[#This Row],[النولون]]+Table118192023103031323538394042[[#This Row],[الايصالات]]+Table118192023103031323538394042[[#This Row],[قيمة مضافة]]</f>
        <v>0</v>
      </c>
      <c r="M275" s="1">
        <f>M274+Table118192023103031323538394042[[#This Row],[اجمالي الفاتوره]]-Table118192023103031323538394042[[#This Row],[الدفعات]]</f>
        <v>744759.38999999955</v>
      </c>
      <c r="O275" s="48"/>
    </row>
    <row r="276" spans="9:15" ht="22.5" customHeight="1" x14ac:dyDescent="0.3">
      <c r="I276" s="1">
        <f>0.14*Table118192023103031323538394042[[#This Row],[النولون]]</f>
        <v>0</v>
      </c>
      <c r="K276" s="1">
        <f>Table118192023103031323538394042[[#This Row],[النولون]]+Table118192023103031323538394042[[#This Row],[الايصالات]]+Table118192023103031323538394042[[#This Row],[قيمة مضافة]]</f>
        <v>0</v>
      </c>
      <c r="M276" s="1">
        <f>M275+Table118192023103031323538394042[[#This Row],[اجمالي الفاتوره]]-Table118192023103031323538394042[[#This Row],[الدفعات]]</f>
        <v>744759.38999999955</v>
      </c>
      <c r="O276" s="48"/>
    </row>
    <row r="277" spans="9:15" ht="22.5" customHeight="1" x14ac:dyDescent="0.3">
      <c r="I277" s="1">
        <f>0.14*Table118192023103031323538394042[[#This Row],[النولون]]</f>
        <v>0</v>
      </c>
      <c r="K277" s="1">
        <f>Table118192023103031323538394042[[#This Row],[النولون]]+Table118192023103031323538394042[[#This Row],[الايصالات]]+Table118192023103031323538394042[[#This Row],[قيمة مضافة]]</f>
        <v>0</v>
      </c>
      <c r="M277" s="1">
        <f>M276+Table118192023103031323538394042[[#This Row],[اجمالي الفاتوره]]-Table118192023103031323538394042[[#This Row],[الدفعات]]</f>
        <v>744759.38999999955</v>
      </c>
      <c r="O277" s="48"/>
    </row>
    <row r="278" spans="9:15" ht="22.5" customHeight="1" x14ac:dyDescent="0.3">
      <c r="I278" s="1">
        <f>0.14*Table118192023103031323538394042[[#This Row],[النولون]]</f>
        <v>0</v>
      </c>
      <c r="K278" s="1">
        <f>Table118192023103031323538394042[[#This Row],[النولون]]+Table118192023103031323538394042[[#This Row],[الايصالات]]+Table118192023103031323538394042[[#This Row],[قيمة مضافة]]</f>
        <v>0</v>
      </c>
      <c r="M278" s="1">
        <f>M277+Table118192023103031323538394042[[#This Row],[اجمالي الفاتوره]]-Table118192023103031323538394042[[#This Row],[الدفعات]]</f>
        <v>744759.38999999955</v>
      </c>
      <c r="O278" s="48"/>
    </row>
    <row r="279" spans="9:15" ht="22.5" customHeight="1" x14ac:dyDescent="0.3">
      <c r="I279" s="1">
        <f>0.14*Table118192023103031323538394042[[#This Row],[النولون]]</f>
        <v>0</v>
      </c>
      <c r="K279" s="1">
        <f>Table118192023103031323538394042[[#This Row],[النولون]]+Table118192023103031323538394042[[#This Row],[الايصالات]]+Table118192023103031323538394042[[#This Row],[قيمة مضافة]]</f>
        <v>0</v>
      </c>
      <c r="M279" s="1">
        <f>M278+Table118192023103031323538394042[[#This Row],[اجمالي الفاتوره]]-Table118192023103031323538394042[[#This Row],[الدفعات]]</f>
        <v>744759.38999999955</v>
      </c>
      <c r="O279" s="48"/>
    </row>
    <row r="280" spans="9:15" ht="22.5" customHeight="1" x14ac:dyDescent="0.3">
      <c r="I280" s="1">
        <f>0.14*Table118192023103031323538394042[[#This Row],[النولون]]</f>
        <v>0</v>
      </c>
      <c r="K280" s="1">
        <f>Table118192023103031323538394042[[#This Row],[النولون]]+Table118192023103031323538394042[[#This Row],[الايصالات]]+Table118192023103031323538394042[[#This Row],[قيمة مضافة]]</f>
        <v>0</v>
      </c>
      <c r="M280" s="1">
        <f>M279+Table118192023103031323538394042[[#This Row],[اجمالي الفاتوره]]-Table118192023103031323538394042[[#This Row],[الدفعات]]</f>
        <v>744759.38999999955</v>
      </c>
      <c r="O280" s="48"/>
    </row>
    <row r="281" spans="9:15" ht="22.5" customHeight="1" x14ac:dyDescent="0.3">
      <c r="I281" s="1">
        <f>0.14*Table118192023103031323538394042[[#This Row],[النولون]]</f>
        <v>0</v>
      </c>
      <c r="K281" s="1">
        <f>Table118192023103031323538394042[[#This Row],[النولون]]+Table118192023103031323538394042[[#This Row],[الايصالات]]+Table118192023103031323538394042[[#This Row],[قيمة مضافة]]</f>
        <v>0</v>
      </c>
      <c r="M281" s="1">
        <f>M280+Table118192023103031323538394042[[#This Row],[اجمالي الفاتوره]]-Table118192023103031323538394042[[#This Row],[الدفعات]]</f>
        <v>744759.38999999955</v>
      </c>
      <c r="O281" s="48"/>
    </row>
    <row r="282" spans="9:15" ht="22.5" customHeight="1" x14ac:dyDescent="0.3">
      <c r="I282" s="1">
        <f>0.14*Table118192023103031323538394042[[#This Row],[النولون]]</f>
        <v>0</v>
      </c>
      <c r="K282" s="1">
        <f>Table118192023103031323538394042[[#This Row],[النولون]]+Table118192023103031323538394042[[#This Row],[الايصالات]]+Table118192023103031323538394042[[#This Row],[قيمة مضافة]]</f>
        <v>0</v>
      </c>
      <c r="M282" s="1">
        <f>M281+Table118192023103031323538394042[[#This Row],[اجمالي الفاتوره]]-Table118192023103031323538394042[[#This Row],[الدفعات]]</f>
        <v>744759.38999999955</v>
      </c>
      <c r="O282" s="48"/>
    </row>
    <row r="283" spans="9:15" ht="22.5" customHeight="1" x14ac:dyDescent="0.3">
      <c r="I283" s="1">
        <f>0.14*Table118192023103031323538394042[[#This Row],[النولون]]</f>
        <v>0</v>
      </c>
      <c r="K283" s="1">
        <f>Table118192023103031323538394042[[#This Row],[النولون]]+Table118192023103031323538394042[[#This Row],[الايصالات]]+Table118192023103031323538394042[[#This Row],[قيمة مضافة]]</f>
        <v>0</v>
      </c>
      <c r="M283" s="1">
        <f>M282+Table118192023103031323538394042[[#This Row],[اجمالي الفاتوره]]-Table118192023103031323538394042[[#This Row],[الدفعات]]</f>
        <v>744759.38999999955</v>
      </c>
      <c r="O283" s="48"/>
    </row>
    <row r="284" spans="9:15" ht="22.5" customHeight="1" x14ac:dyDescent="0.3">
      <c r="I284" s="1">
        <f>0.14*Table118192023103031323538394042[[#This Row],[النولون]]</f>
        <v>0</v>
      </c>
      <c r="K284" s="1">
        <f>Table118192023103031323538394042[[#This Row],[النولون]]+Table118192023103031323538394042[[#This Row],[الايصالات]]+Table118192023103031323538394042[[#This Row],[قيمة مضافة]]</f>
        <v>0</v>
      </c>
      <c r="M284" s="1">
        <f>M283+Table118192023103031323538394042[[#This Row],[اجمالي الفاتوره]]-Table118192023103031323538394042[[#This Row],[الدفعات]]</f>
        <v>744759.38999999955</v>
      </c>
      <c r="O284" s="48"/>
    </row>
    <row r="285" spans="9:15" ht="22.5" customHeight="1" x14ac:dyDescent="0.3">
      <c r="I285" s="1">
        <f>0.14*Table118192023103031323538394042[[#This Row],[النولون]]</f>
        <v>0</v>
      </c>
      <c r="K285" s="1">
        <f>Table118192023103031323538394042[[#This Row],[النولون]]+Table118192023103031323538394042[[#This Row],[الايصالات]]+Table118192023103031323538394042[[#This Row],[قيمة مضافة]]</f>
        <v>0</v>
      </c>
      <c r="M285" s="1">
        <f>M284+Table118192023103031323538394042[[#This Row],[اجمالي الفاتوره]]-Table118192023103031323538394042[[#This Row],[الدفعات]]</f>
        <v>744759.38999999955</v>
      </c>
      <c r="O285" s="48"/>
    </row>
    <row r="286" spans="9:15" ht="22.5" customHeight="1" x14ac:dyDescent="0.3">
      <c r="I286" s="1">
        <f>0.14*Table118192023103031323538394042[[#This Row],[النولون]]</f>
        <v>0</v>
      </c>
      <c r="K286" s="1">
        <f>Table118192023103031323538394042[[#This Row],[النولون]]+Table118192023103031323538394042[[#This Row],[الايصالات]]+Table118192023103031323538394042[[#This Row],[قيمة مضافة]]</f>
        <v>0</v>
      </c>
      <c r="M286" s="1">
        <f>M285+Table118192023103031323538394042[[#This Row],[اجمالي الفاتوره]]-Table118192023103031323538394042[[#This Row],[الدفعات]]</f>
        <v>744759.38999999955</v>
      </c>
      <c r="O286" s="48"/>
    </row>
    <row r="287" spans="9:15" ht="22.5" customHeight="1" x14ac:dyDescent="0.3">
      <c r="I287" s="1">
        <f>0.14*Table118192023103031323538394042[[#This Row],[النولون]]</f>
        <v>0</v>
      </c>
      <c r="K287" s="1">
        <f>Table118192023103031323538394042[[#This Row],[النولون]]+Table118192023103031323538394042[[#This Row],[الايصالات]]+Table118192023103031323538394042[[#This Row],[قيمة مضافة]]</f>
        <v>0</v>
      </c>
      <c r="M287" s="1">
        <f>M286+Table118192023103031323538394042[[#This Row],[اجمالي الفاتوره]]-Table118192023103031323538394042[[#This Row],[الدفعات]]</f>
        <v>744759.38999999955</v>
      </c>
      <c r="O287" s="48"/>
    </row>
    <row r="288" spans="9:15" ht="22.5" customHeight="1" x14ac:dyDescent="0.3">
      <c r="I288" s="1">
        <f>0.14*Table118192023103031323538394042[[#This Row],[النولون]]</f>
        <v>0</v>
      </c>
      <c r="K288" s="1">
        <f>Table118192023103031323538394042[[#This Row],[النولون]]+Table118192023103031323538394042[[#This Row],[الايصالات]]+Table118192023103031323538394042[[#This Row],[قيمة مضافة]]</f>
        <v>0</v>
      </c>
      <c r="M288" s="1">
        <f>M287+Table118192023103031323538394042[[#This Row],[اجمالي الفاتوره]]-Table118192023103031323538394042[[#This Row],[الدفعات]]</f>
        <v>744759.38999999955</v>
      </c>
      <c r="O288" s="48"/>
    </row>
    <row r="289" spans="9:15" ht="22.5" customHeight="1" x14ac:dyDescent="0.3">
      <c r="I289" s="1">
        <f>0.14*Table118192023103031323538394042[[#This Row],[النولون]]</f>
        <v>0</v>
      </c>
      <c r="K289" s="1">
        <f>Table118192023103031323538394042[[#This Row],[النولون]]+Table118192023103031323538394042[[#This Row],[الايصالات]]+Table118192023103031323538394042[[#This Row],[قيمة مضافة]]</f>
        <v>0</v>
      </c>
      <c r="M289" s="1">
        <f>M288+Table118192023103031323538394042[[#This Row],[اجمالي الفاتوره]]-Table118192023103031323538394042[[#This Row],[الدفعات]]</f>
        <v>744759.38999999955</v>
      </c>
      <c r="O289" s="48"/>
    </row>
    <row r="290" spans="9:15" ht="22.5" customHeight="1" x14ac:dyDescent="0.3">
      <c r="I290" s="1">
        <f>0.14*Table118192023103031323538394042[[#This Row],[النولون]]</f>
        <v>0</v>
      </c>
      <c r="K290" s="1">
        <f>Table118192023103031323538394042[[#This Row],[النولون]]+Table118192023103031323538394042[[#This Row],[الايصالات]]+Table118192023103031323538394042[[#This Row],[قيمة مضافة]]</f>
        <v>0</v>
      </c>
      <c r="M290" s="1">
        <f>M289+Table118192023103031323538394042[[#This Row],[اجمالي الفاتوره]]-Table118192023103031323538394042[[#This Row],[الدفعات]]</f>
        <v>744759.38999999955</v>
      </c>
      <c r="O290" s="48"/>
    </row>
    <row r="291" spans="9:15" ht="22.5" customHeight="1" x14ac:dyDescent="0.3">
      <c r="I291" s="1">
        <f>0.14*Table118192023103031323538394042[[#This Row],[النولون]]</f>
        <v>0</v>
      </c>
      <c r="K291" s="1">
        <f>Table118192023103031323538394042[[#This Row],[النولون]]+Table118192023103031323538394042[[#This Row],[الايصالات]]+Table118192023103031323538394042[[#This Row],[قيمة مضافة]]</f>
        <v>0</v>
      </c>
      <c r="M291" s="1">
        <f>M290+Table118192023103031323538394042[[#This Row],[اجمالي الفاتوره]]-Table118192023103031323538394042[[#This Row],[الدفعات]]</f>
        <v>744759.38999999955</v>
      </c>
      <c r="O291" s="48"/>
    </row>
    <row r="292" spans="9:15" ht="22.5" customHeight="1" x14ac:dyDescent="0.3">
      <c r="I292" s="1">
        <f>0.14*Table118192023103031323538394042[[#This Row],[النولون]]</f>
        <v>0</v>
      </c>
      <c r="K292" s="1">
        <f>Table118192023103031323538394042[[#This Row],[النولون]]+Table118192023103031323538394042[[#This Row],[الايصالات]]+Table118192023103031323538394042[[#This Row],[قيمة مضافة]]</f>
        <v>0</v>
      </c>
      <c r="M292" s="1">
        <f>M291+Table118192023103031323538394042[[#This Row],[اجمالي الفاتوره]]-Table118192023103031323538394042[[#This Row],[الدفعات]]</f>
        <v>744759.38999999955</v>
      </c>
      <c r="O292" s="48"/>
    </row>
    <row r="293" spans="9:15" ht="22.5" customHeight="1" x14ac:dyDescent="0.3">
      <c r="I293" s="1">
        <f>0.14*Table118192023103031323538394042[[#This Row],[النولون]]</f>
        <v>0</v>
      </c>
      <c r="K293" s="1">
        <f>Table118192023103031323538394042[[#This Row],[النولون]]+Table118192023103031323538394042[[#This Row],[الايصالات]]+Table118192023103031323538394042[[#This Row],[قيمة مضافة]]</f>
        <v>0</v>
      </c>
      <c r="M293" s="1">
        <f>M292+Table118192023103031323538394042[[#This Row],[اجمالي الفاتوره]]-Table118192023103031323538394042[[#This Row],[الدفعات]]</f>
        <v>744759.38999999955</v>
      </c>
      <c r="O293" s="48"/>
    </row>
    <row r="294" spans="9:15" ht="22.5" customHeight="1" x14ac:dyDescent="0.3">
      <c r="I294" s="1">
        <f>0.14*Table118192023103031323538394042[[#This Row],[النولون]]</f>
        <v>0</v>
      </c>
      <c r="K294" s="1">
        <f>Table118192023103031323538394042[[#This Row],[النولون]]+Table118192023103031323538394042[[#This Row],[الايصالات]]+Table118192023103031323538394042[[#This Row],[قيمة مضافة]]</f>
        <v>0</v>
      </c>
      <c r="M294" s="1">
        <f>M293+Table118192023103031323538394042[[#This Row],[اجمالي الفاتوره]]-Table118192023103031323538394042[[#This Row],[الدفعات]]</f>
        <v>744759.38999999955</v>
      </c>
      <c r="O294" s="48"/>
    </row>
    <row r="295" spans="9:15" ht="22.5" customHeight="1" x14ac:dyDescent="0.3">
      <c r="I295" s="1">
        <f>0.14*Table118192023103031323538394042[[#This Row],[النولون]]</f>
        <v>0</v>
      </c>
      <c r="K295" s="1">
        <f>Table118192023103031323538394042[[#This Row],[النولون]]+Table118192023103031323538394042[[#This Row],[الايصالات]]+Table118192023103031323538394042[[#This Row],[قيمة مضافة]]</f>
        <v>0</v>
      </c>
      <c r="M295" s="1">
        <f>M294+Table118192023103031323538394042[[#This Row],[اجمالي الفاتوره]]-Table118192023103031323538394042[[#This Row],[الدفعات]]</f>
        <v>744759.38999999955</v>
      </c>
      <c r="O295" s="48"/>
    </row>
    <row r="296" spans="9:15" ht="22.5" customHeight="1" x14ac:dyDescent="0.3">
      <c r="I296" s="1">
        <f>0.14*Table118192023103031323538394042[[#This Row],[النولون]]</f>
        <v>0</v>
      </c>
      <c r="K296" s="1">
        <f>Table118192023103031323538394042[[#This Row],[النولون]]+Table118192023103031323538394042[[#This Row],[الايصالات]]+Table118192023103031323538394042[[#This Row],[قيمة مضافة]]</f>
        <v>0</v>
      </c>
      <c r="M296" s="1">
        <f>M295+Table118192023103031323538394042[[#This Row],[اجمالي الفاتوره]]-Table118192023103031323538394042[[#This Row],[الدفعات]]</f>
        <v>744759.38999999955</v>
      </c>
      <c r="O296" s="48"/>
    </row>
    <row r="297" spans="9:15" ht="22.5" customHeight="1" x14ac:dyDescent="0.3">
      <c r="I297" s="1">
        <f>0.14*Table118192023103031323538394042[[#This Row],[النولون]]</f>
        <v>0</v>
      </c>
      <c r="K297" s="1">
        <f>Table118192023103031323538394042[[#This Row],[النولون]]+Table118192023103031323538394042[[#This Row],[الايصالات]]+Table118192023103031323538394042[[#This Row],[قيمة مضافة]]</f>
        <v>0</v>
      </c>
      <c r="M297" s="1">
        <f>M296+Table118192023103031323538394042[[#This Row],[اجمالي الفاتوره]]-Table118192023103031323538394042[[#This Row],[الدفعات]]</f>
        <v>744759.38999999955</v>
      </c>
      <c r="O297" s="48"/>
    </row>
    <row r="298" spans="9:15" ht="22.5" customHeight="1" x14ac:dyDescent="0.3">
      <c r="I298" s="1">
        <f>0.14*Table118192023103031323538394042[[#This Row],[النولون]]</f>
        <v>0</v>
      </c>
      <c r="K298" s="1">
        <f>Table118192023103031323538394042[[#This Row],[النولون]]+Table118192023103031323538394042[[#This Row],[الايصالات]]+Table118192023103031323538394042[[#This Row],[قيمة مضافة]]</f>
        <v>0</v>
      </c>
      <c r="M298" s="1">
        <f>M297+Table118192023103031323538394042[[#This Row],[اجمالي الفاتوره]]-Table118192023103031323538394042[[#This Row],[الدفعات]]</f>
        <v>744759.38999999955</v>
      </c>
      <c r="O298" s="48"/>
    </row>
    <row r="299" spans="9:15" ht="22.5" customHeight="1" x14ac:dyDescent="0.3">
      <c r="I299" s="1">
        <f>0.14*Table118192023103031323538394042[[#This Row],[النولون]]</f>
        <v>0</v>
      </c>
      <c r="K299" s="1">
        <f>Table118192023103031323538394042[[#This Row],[النولون]]+Table118192023103031323538394042[[#This Row],[الايصالات]]+Table118192023103031323538394042[[#This Row],[قيمة مضافة]]</f>
        <v>0</v>
      </c>
      <c r="M299" s="1">
        <f>M298+Table118192023103031323538394042[[#This Row],[اجمالي الفاتوره]]-Table118192023103031323538394042[[#This Row],[الدفعات]]</f>
        <v>744759.38999999955</v>
      </c>
      <c r="O299" s="48"/>
    </row>
    <row r="300" spans="9:15" ht="22.5" customHeight="1" x14ac:dyDescent="0.3">
      <c r="I300" s="1">
        <f>0.14*Table118192023103031323538394042[[#This Row],[النولون]]</f>
        <v>0</v>
      </c>
      <c r="K300" s="1">
        <f>Table118192023103031323538394042[[#This Row],[النولون]]+Table118192023103031323538394042[[#This Row],[الايصالات]]+Table118192023103031323538394042[[#This Row],[قيمة مضافة]]</f>
        <v>0</v>
      </c>
      <c r="M300" s="1">
        <f>M299+Table118192023103031323538394042[[#This Row],[اجمالي الفاتوره]]-Table118192023103031323538394042[[#This Row],[الدفعات]]</f>
        <v>744759.38999999955</v>
      </c>
      <c r="O300" s="48"/>
    </row>
    <row r="301" spans="9:15" ht="22.5" customHeight="1" x14ac:dyDescent="0.3">
      <c r="I301" s="1">
        <f>0.14*Table118192023103031323538394042[[#This Row],[النولون]]</f>
        <v>0</v>
      </c>
      <c r="K301" s="1">
        <f>Table118192023103031323538394042[[#This Row],[النولون]]+Table118192023103031323538394042[[#This Row],[الايصالات]]+Table118192023103031323538394042[[#This Row],[قيمة مضافة]]</f>
        <v>0</v>
      </c>
      <c r="M301" s="1">
        <f>M300+Table118192023103031323538394042[[#This Row],[اجمالي الفاتوره]]-Table118192023103031323538394042[[#This Row],[الدفعات]]</f>
        <v>744759.38999999955</v>
      </c>
      <c r="O301" s="48"/>
    </row>
    <row r="302" spans="9:15" ht="22.5" customHeight="1" x14ac:dyDescent="0.3">
      <c r="I302" s="1">
        <f>0.14*Table118192023103031323538394042[[#This Row],[النولون]]</f>
        <v>0</v>
      </c>
      <c r="K302" s="1">
        <f>Table118192023103031323538394042[[#This Row],[النولون]]+Table118192023103031323538394042[[#This Row],[الايصالات]]+Table118192023103031323538394042[[#This Row],[قيمة مضافة]]</f>
        <v>0</v>
      </c>
      <c r="M302" s="1">
        <f>M301+Table118192023103031323538394042[[#This Row],[اجمالي الفاتوره]]-Table118192023103031323538394042[[#This Row],[الدفعات]]</f>
        <v>744759.38999999955</v>
      </c>
      <c r="O302" s="48"/>
    </row>
    <row r="303" spans="9:15" ht="22.5" customHeight="1" x14ac:dyDescent="0.3">
      <c r="I303" s="1">
        <f>0.14*Table118192023103031323538394042[[#This Row],[النولون]]</f>
        <v>0</v>
      </c>
      <c r="K303" s="1">
        <f>Table118192023103031323538394042[[#This Row],[النولون]]+Table118192023103031323538394042[[#This Row],[الايصالات]]+Table118192023103031323538394042[[#This Row],[قيمة مضافة]]</f>
        <v>0</v>
      </c>
      <c r="M303" s="1">
        <f>M302+Table118192023103031323538394042[[#This Row],[اجمالي الفاتوره]]-Table118192023103031323538394042[[#This Row],[الدفعات]]</f>
        <v>744759.38999999955</v>
      </c>
      <c r="O303" s="48"/>
    </row>
    <row r="304" spans="9:15" ht="22.5" customHeight="1" x14ac:dyDescent="0.3">
      <c r="I304" s="1">
        <f>0.14*Table118192023103031323538394042[[#This Row],[النولون]]</f>
        <v>0</v>
      </c>
      <c r="K304" s="1">
        <f>Table118192023103031323538394042[[#This Row],[النولون]]+Table118192023103031323538394042[[#This Row],[الايصالات]]+Table118192023103031323538394042[[#This Row],[قيمة مضافة]]</f>
        <v>0</v>
      </c>
      <c r="M304" s="1">
        <f>M303+Table118192023103031323538394042[[#This Row],[اجمالي الفاتوره]]-Table118192023103031323538394042[[#This Row],[الدفعات]]</f>
        <v>744759.38999999955</v>
      </c>
      <c r="O304" s="48"/>
    </row>
    <row r="305" spans="9:15" ht="22.5" customHeight="1" x14ac:dyDescent="0.3">
      <c r="I305" s="1">
        <f>0.14*Table118192023103031323538394042[[#This Row],[النولون]]</f>
        <v>0</v>
      </c>
      <c r="K305" s="1">
        <f>Table118192023103031323538394042[[#This Row],[النولون]]+Table118192023103031323538394042[[#This Row],[الايصالات]]+Table118192023103031323538394042[[#This Row],[قيمة مضافة]]</f>
        <v>0</v>
      </c>
      <c r="M305" s="1">
        <f>M304+Table118192023103031323538394042[[#This Row],[اجمالي الفاتوره]]-Table118192023103031323538394042[[#This Row],[الدفعات]]</f>
        <v>744759.38999999955</v>
      </c>
      <c r="O305" s="48"/>
    </row>
    <row r="306" spans="9:15" ht="22.5" customHeight="1" x14ac:dyDescent="0.3">
      <c r="I306" s="1">
        <f>0.14*Table118192023103031323538394042[[#This Row],[النولون]]</f>
        <v>0</v>
      </c>
      <c r="K306" s="1">
        <f>Table118192023103031323538394042[[#This Row],[النولون]]+Table118192023103031323538394042[[#This Row],[الايصالات]]+Table118192023103031323538394042[[#This Row],[قيمة مضافة]]</f>
        <v>0</v>
      </c>
      <c r="M306" s="1">
        <f>M305+Table118192023103031323538394042[[#This Row],[اجمالي الفاتوره]]-Table118192023103031323538394042[[#This Row],[الدفعات]]</f>
        <v>744759.38999999955</v>
      </c>
      <c r="O306" s="48"/>
    </row>
    <row r="307" spans="9:15" ht="22.5" customHeight="1" x14ac:dyDescent="0.3">
      <c r="I307" s="1">
        <f>0.14*Table118192023103031323538394042[[#This Row],[النولون]]</f>
        <v>0</v>
      </c>
      <c r="K307" s="1">
        <f>Table118192023103031323538394042[[#This Row],[النولون]]+Table118192023103031323538394042[[#This Row],[الايصالات]]+Table118192023103031323538394042[[#This Row],[قيمة مضافة]]</f>
        <v>0</v>
      </c>
      <c r="M307" s="1">
        <f>M306+Table118192023103031323538394042[[#This Row],[اجمالي الفاتوره]]-Table118192023103031323538394042[[#This Row],[الدفعات]]</f>
        <v>744759.38999999955</v>
      </c>
      <c r="O307" s="48"/>
    </row>
    <row r="308" spans="9:15" ht="22.5" customHeight="1" x14ac:dyDescent="0.3">
      <c r="I308" s="1">
        <f>0.14*Table118192023103031323538394042[[#This Row],[النولون]]</f>
        <v>0</v>
      </c>
      <c r="K308" s="1">
        <f>Table118192023103031323538394042[[#This Row],[النولون]]+Table118192023103031323538394042[[#This Row],[الايصالات]]+Table118192023103031323538394042[[#This Row],[قيمة مضافة]]</f>
        <v>0</v>
      </c>
      <c r="M308" s="1">
        <f>M307+Table118192023103031323538394042[[#This Row],[اجمالي الفاتوره]]-Table118192023103031323538394042[[#This Row],[الدفعات]]</f>
        <v>744759.38999999955</v>
      </c>
      <c r="O308" s="48"/>
    </row>
    <row r="309" spans="9:15" ht="22.5" customHeight="1" x14ac:dyDescent="0.3">
      <c r="I309" s="1">
        <f>0.14*Table118192023103031323538394042[[#This Row],[النولون]]</f>
        <v>0</v>
      </c>
      <c r="K309" s="1">
        <f>Table118192023103031323538394042[[#This Row],[النولون]]+Table118192023103031323538394042[[#This Row],[الايصالات]]+Table118192023103031323538394042[[#This Row],[قيمة مضافة]]</f>
        <v>0</v>
      </c>
      <c r="M309" s="1">
        <f>M308+Table118192023103031323538394042[[#This Row],[اجمالي الفاتوره]]-Table118192023103031323538394042[[#This Row],[الدفعات]]</f>
        <v>744759.38999999955</v>
      </c>
      <c r="O309" s="48"/>
    </row>
    <row r="310" spans="9:15" ht="22.5" customHeight="1" x14ac:dyDescent="0.3">
      <c r="I310" s="1">
        <f>0.14*Table118192023103031323538394042[[#This Row],[النولون]]</f>
        <v>0</v>
      </c>
      <c r="K310" s="1">
        <f>Table118192023103031323538394042[[#This Row],[النولون]]+Table118192023103031323538394042[[#This Row],[الايصالات]]+Table118192023103031323538394042[[#This Row],[قيمة مضافة]]</f>
        <v>0</v>
      </c>
      <c r="M310" s="1">
        <f>M309+Table118192023103031323538394042[[#This Row],[اجمالي الفاتوره]]-Table118192023103031323538394042[[#This Row],[الدفعات]]</f>
        <v>744759.38999999955</v>
      </c>
      <c r="O310" s="48"/>
    </row>
    <row r="311" spans="9:15" ht="22.5" customHeight="1" x14ac:dyDescent="0.3">
      <c r="I311" s="1">
        <f>0.14*Table118192023103031323538394042[[#This Row],[النولون]]</f>
        <v>0</v>
      </c>
      <c r="K311" s="1">
        <f>Table118192023103031323538394042[[#This Row],[النولون]]+Table118192023103031323538394042[[#This Row],[الايصالات]]+Table118192023103031323538394042[[#This Row],[قيمة مضافة]]</f>
        <v>0</v>
      </c>
      <c r="M311" s="1">
        <f>M310+Table118192023103031323538394042[[#This Row],[اجمالي الفاتوره]]-Table118192023103031323538394042[[#This Row],[الدفعات]]</f>
        <v>744759.38999999955</v>
      </c>
      <c r="O311" s="48"/>
    </row>
    <row r="312" spans="9:15" ht="22.5" customHeight="1" x14ac:dyDescent="0.3">
      <c r="I312" s="1">
        <f>0.14*Table118192023103031323538394042[[#This Row],[النولون]]</f>
        <v>0</v>
      </c>
      <c r="K312" s="1">
        <f>Table118192023103031323538394042[[#This Row],[النولون]]+Table118192023103031323538394042[[#This Row],[الايصالات]]+Table118192023103031323538394042[[#This Row],[قيمة مضافة]]</f>
        <v>0</v>
      </c>
      <c r="M312" s="1">
        <f>M311+Table118192023103031323538394042[[#This Row],[اجمالي الفاتوره]]-Table118192023103031323538394042[[#This Row],[الدفعات]]</f>
        <v>744759.38999999955</v>
      </c>
      <c r="O312" s="48"/>
    </row>
    <row r="313" spans="9:15" ht="22.5" customHeight="1" x14ac:dyDescent="0.3">
      <c r="I313" s="1">
        <f>0.14*Table118192023103031323538394042[[#This Row],[النولون]]</f>
        <v>0</v>
      </c>
      <c r="K313" s="1">
        <f>Table118192023103031323538394042[[#This Row],[النولون]]+Table118192023103031323538394042[[#This Row],[الايصالات]]+Table118192023103031323538394042[[#This Row],[قيمة مضافة]]</f>
        <v>0</v>
      </c>
      <c r="M313" s="1">
        <f>M312+Table118192023103031323538394042[[#This Row],[اجمالي الفاتوره]]-Table118192023103031323538394042[[#This Row],[الدفعات]]</f>
        <v>744759.38999999955</v>
      </c>
      <c r="O313" s="48"/>
    </row>
    <row r="314" spans="9:15" ht="22.5" customHeight="1" x14ac:dyDescent="0.3">
      <c r="I314" s="1">
        <f>0.14*Table118192023103031323538394042[[#This Row],[النولون]]</f>
        <v>0</v>
      </c>
      <c r="K314" s="1">
        <f>Table118192023103031323538394042[[#This Row],[النولون]]+Table118192023103031323538394042[[#This Row],[الايصالات]]+Table118192023103031323538394042[[#This Row],[قيمة مضافة]]</f>
        <v>0</v>
      </c>
      <c r="M314" s="1">
        <f>M313+Table118192023103031323538394042[[#This Row],[اجمالي الفاتوره]]-Table118192023103031323538394042[[#This Row],[الدفعات]]</f>
        <v>744759.38999999955</v>
      </c>
      <c r="O314" s="48"/>
    </row>
    <row r="315" spans="9:15" ht="22.5" customHeight="1" x14ac:dyDescent="0.3">
      <c r="I315" s="1">
        <f>0.14*Table118192023103031323538394042[[#This Row],[النولون]]</f>
        <v>0</v>
      </c>
      <c r="K315" s="1">
        <f>Table118192023103031323538394042[[#This Row],[النولون]]+Table118192023103031323538394042[[#This Row],[الايصالات]]+Table118192023103031323538394042[[#This Row],[قيمة مضافة]]</f>
        <v>0</v>
      </c>
      <c r="M315" s="1">
        <f>M314+Table118192023103031323538394042[[#This Row],[اجمالي الفاتوره]]-Table118192023103031323538394042[[#This Row],[الدفعات]]</f>
        <v>744759.38999999955</v>
      </c>
      <c r="O315" s="48"/>
    </row>
    <row r="316" spans="9:15" ht="22.5" customHeight="1" x14ac:dyDescent="0.3">
      <c r="I316" s="1">
        <f>0.14*Table118192023103031323538394042[[#This Row],[النولون]]</f>
        <v>0</v>
      </c>
      <c r="K316" s="1">
        <f>Table118192023103031323538394042[[#This Row],[النولون]]+Table118192023103031323538394042[[#This Row],[الايصالات]]+Table118192023103031323538394042[[#This Row],[قيمة مضافة]]</f>
        <v>0</v>
      </c>
      <c r="M316" s="1">
        <f>M315+Table118192023103031323538394042[[#This Row],[اجمالي الفاتوره]]-Table118192023103031323538394042[[#This Row],[الدفعات]]</f>
        <v>744759.38999999955</v>
      </c>
      <c r="O316" s="48"/>
    </row>
    <row r="317" spans="9:15" ht="22.5" customHeight="1" x14ac:dyDescent="0.3">
      <c r="I317" s="1">
        <f>0.14*Table118192023103031323538394042[[#This Row],[النولون]]</f>
        <v>0</v>
      </c>
      <c r="K317" s="1">
        <f>Table118192023103031323538394042[[#This Row],[النولون]]+Table118192023103031323538394042[[#This Row],[الايصالات]]+Table118192023103031323538394042[[#This Row],[قيمة مضافة]]</f>
        <v>0</v>
      </c>
      <c r="M317" s="1">
        <f>M316+Table118192023103031323538394042[[#This Row],[اجمالي الفاتوره]]-Table118192023103031323538394042[[#This Row],[الدفعات]]</f>
        <v>744759.38999999955</v>
      </c>
      <c r="O317" s="48"/>
    </row>
    <row r="318" spans="9:15" ht="22.5" customHeight="1" x14ac:dyDescent="0.3">
      <c r="I318" s="1">
        <f>0.14*Table118192023103031323538394042[[#This Row],[النولون]]</f>
        <v>0</v>
      </c>
      <c r="K318" s="1">
        <f>Table118192023103031323538394042[[#This Row],[النولون]]+Table118192023103031323538394042[[#This Row],[الايصالات]]+Table118192023103031323538394042[[#This Row],[قيمة مضافة]]</f>
        <v>0</v>
      </c>
      <c r="M318" s="1">
        <f>M317+Table118192023103031323538394042[[#This Row],[اجمالي الفاتوره]]-Table118192023103031323538394042[[#This Row],[الدفعات]]</f>
        <v>744759.38999999955</v>
      </c>
      <c r="O318" s="48"/>
    </row>
    <row r="319" spans="9:15" ht="22.5" customHeight="1" x14ac:dyDescent="0.3">
      <c r="I319" s="1">
        <f>0.14*Table118192023103031323538394042[[#This Row],[النولون]]</f>
        <v>0</v>
      </c>
      <c r="K319" s="1">
        <f>Table118192023103031323538394042[[#This Row],[النولون]]+Table118192023103031323538394042[[#This Row],[الايصالات]]+Table118192023103031323538394042[[#This Row],[قيمة مضافة]]</f>
        <v>0</v>
      </c>
      <c r="M319" s="1">
        <f>M318+Table118192023103031323538394042[[#This Row],[اجمالي الفاتوره]]-Table118192023103031323538394042[[#This Row],[الدفعات]]</f>
        <v>744759.38999999955</v>
      </c>
      <c r="O319" s="48"/>
    </row>
    <row r="320" spans="9:15" ht="22.5" customHeight="1" x14ac:dyDescent="0.3">
      <c r="I320" s="1">
        <f>0.14*Table118192023103031323538394042[[#This Row],[النولون]]</f>
        <v>0</v>
      </c>
      <c r="K320" s="1">
        <f>Table118192023103031323538394042[[#This Row],[النولون]]+Table118192023103031323538394042[[#This Row],[الايصالات]]+Table118192023103031323538394042[[#This Row],[قيمة مضافة]]</f>
        <v>0</v>
      </c>
      <c r="M320" s="1">
        <f>M319+Table118192023103031323538394042[[#This Row],[اجمالي الفاتوره]]-Table118192023103031323538394042[[#This Row],[الدفعات]]</f>
        <v>744759.38999999955</v>
      </c>
      <c r="O320" s="48"/>
    </row>
    <row r="321" spans="9:15" ht="22.5" customHeight="1" x14ac:dyDescent="0.3">
      <c r="I321" s="1">
        <f>0.14*Table118192023103031323538394042[[#This Row],[النولون]]</f>
        <v>0</v>
      </c>
      <c r="K321" s="1">
        <f>Table118192023103031323538394042[[#This Row],[النولون]]+Table118192023103031323538394042[[#This Row],[الايصالات]]+Table118192023103031323538394042[[#This Row],[قيمة مضافة]]</f>
        <v>0</v>
      </c>
      <c r="M321" s="1">
        <f>M320+Table118192023103031323538394042[[#This Row],[اجمالي الفاتوره]]-Table118192023103031323538394042[[#This Row],[الدفعات]]</f>
        <v>744759.38999999955</v>
      </c>
      <c r="O321" s="48"/>
    </row>
    <row r="322" spans="9:15" ht="22.5" customHeight="1" x14ac:dyDescent="0.3">
      <c r="I322" s="1">
        <f>0.14*Table118192023103031323538394042[[#This Row],[النولون]]</f>
        <v>0</v>
      </c>
      <c r="K322" s="1">
        <f>Table118192023103031323538394042[[#This Row],[النولون]]+Table118192023103031323538394042[[#This Row],[الايصالات]]+Table118192023103031323538394042[[#This Row],[قيمة مضافة]]</f>
        <v>0</v>
      </c>
      <c r="M322" s="1">
        <f>M321+Table118192023103031323538394042[[#This Row],[اجمالي الفاتوره]]-Table118192023103031323538394042[[#This Row],[الدفعات]]</f>
        <v>744759.38999999955</v>
      </c>
      <c r="O322" s="48"/>
    </row>
    <row r="323" spans="9:15" ht="22.5" customHeight="1" x14ac:dyDescent="0.3">
      <c r="I323" s="1">
        <f>0.14*Table118192023103031323538394042[[#This Row],[النولون]]</f>
        <v>0</v>
      </c>
      <c r="K323" s="1">
        <f>Table118192023103031323538394042[[#This Row],[النولون]]+Table118192023103031323538394042[[#This Row],[الايصالات]]+Table118192023103031323538394042[[#This Row],[قيمة مضافة]]</f>
        <v>0</v>
      </c>
      <c r="M323" s="1">
        <f>M322+Table118192023103031323538394042[[#This Row],[اجمالي الفاتوره]]-Table118192023103031323538394042[[#This Row],[الدفعات]]</f>
        <v>744759.38999999955</v>
      </c>
      <c r="O323" s="48"/>
    </row>
    <row r="324" spans="9:15" ht="22.5" customHeight="1" x14ac:dyDescent="0.3">
      <c r="I324" s="1">
        <f>0.14*Table118192023103031323538394042[[#This Row],[النولون]]</f>
        <v>0</v>
      </c>
      <c r="K324" s="1">
        <f>Table118192023103031323538394042[[#This Row],[النولون]]+Table118192023103031323538394042[[#This Row],[الايصالات]]+Table118192023103031323538394042[[#This Row],[قيمة مضافة]]</f>
        <v>0</v>
      </c>
      <c r="M324" s="1">
        <f>M323+Table118192023103031323538394042[[#This Row],[اجمالي الفاتوره]]-Table118192023103031323538394042[[#This Row],[الدفعات]]</f>
        <v>744759.38999999955</v>
      </c>
      <c r="O324" s="48"/>
    </row>
    <row r="325" spans="9:15" ht="22.5" customHeight="1" x14ac:dyDescent="0.3">
      <c r="I325" s="1">
        <f>0.14*Table118192023103031323538394042[[#This Row],[النولون]]</f>
        <v>0</v>
      </c>
      <c r="K325" s="1">
        <f>Table118192023103031323538394042[[#This Row],[النولون]]+Table118192023103031323538394042[[#This Row],[الايصالات]]+Table118192023103031323538394042[[#This Row],[قيمة مضافة]]</f>
        <v>0</v>
      </c>
      <c r="M325" s="1">
        <f>M324+Table118192023103031323538394042[[#This Row],[اجمالي الفاتوره]]-Table118192023103031323538394042[[#This Row],[الدفعات]]</f>
        <v>744759.38999999955</v>
      </c>
      <c r="O325" s="48"/>
    </row>
    <row r="326" spans="9:15" ht="22.5" customHeight="1" x14ac:dyDescent="0.3">
      <c r="I326" s="1">
        <f>0.14*Table118192023103031323538394042[[#This Row],[النولون]]</f>
        <v>0</v>
      </c>
      <c r="K326" s="1">
        <f>Table118192023103031323538394042[[#This Row],[النولون]]+Table118192023103031323538394042[[#This Row],[الايصالات]]+Table118192023103031323538394042[[#This Row],[قيمة مضافة]]</f>
        <v>0</v>
      </c>
      <c r="M326" s="1">
        <f>M325+Table118192023103031323538394042[[#This Row],[اجمالي الفاتوره]]-Table118192023103031323538394042[[#This Row],[الدفعات]]</f>
        <v>744759.38999999955</v>
      </c>
      <c r="O326" s="48"/>
    </row>
    <row r="327" spans="9:15" ht="22.5" customHeight="1" x14ac:dyDescent="0.3">
      <c r="I327" s="1">
        <f>0.14*Table118192023103031323538394042[[#This Row],[النولون]]</f>
        <v>0</v>
      </c>
      <c r="K327" s="1">
        <f>Table118192023103031323538394042[[#This Row],[النولون]]+Table118192023103031323538394042[[#This Row],[الايصالات]]+Table118192023103031323538394042[[#This Row],[قيمة مضافة]]</f>
        <v>0</v>
      </c>
      <c r="M327" s="1">
        <f>M326+Table118192023103031323538394042[[#This Row],[اجمالي الفاتوره]]-Table118192023103031323538394042[[#This Row],[الدفعات]]</f>
        <v>744759.38999999955</v>
      </c>
      <c r="O327" s="48"/>
    </row>
    <row r="328" spans="9:15" ht="22.5" customHeight="1" x14ac:dyDescent="0.3">
      <c r="I328" s="1">
        <f>0.14*Table118192023103031323538394042[[#This Row],[النولون]]</f>
        <v>0</v>
      </c>
      <c r="K328" s="1">
        <f>Table118192023103031323538394042[[#This Row],[النولون]]+Table118192023103031323538394042[[#This Row],[الايصالات]]+Table118192023103031323538394042[[#This Row],[قيمة مضافة]]</f>
        <v>0</v>
      </c>
      <c r="M328" s="1">
        <f>M327+Table118192023103031323538394042[[#This Row],[اجمالي الفاتوره]]-Table118192023103031323538394042[[#This Row],[الدفعات]]</f>
        <v>744759.38999999955</v>
      </c>
      <c r="O328" s="48"/>
    </row>
    <row r="329" spans="9:15" ht="22.5" customHeight="1" x14ac:dyDescent="0.3">
      <c r="I329" s="1">
        <f>0.14*Table118192023103031323538394042[[#This Row],[النولون]]</f>
        <v>0</v>
      </c>
      <c r="K329" s="1">
        <f>Table118192023103031323538394042[[#This Row],[النولون]]+Table118192023103031323538394042[[#This Row],[الايصالات]]+Table118192023103031323538394042[[#This Row],[قيمة مضافة]]</f>
        <v>0</v>
      </c>
      <c r="M329" s="1">
        <f>M328+Table118192023103031323538394042[[#This Row],[اجمالي الفاتوره]]-Table118192023103031323538394042[[#This Row],[الدفعات]]</f>
        <v>744759.38999999955</v>
      </c>
      <c r="O329" s="48"/>
    </row>
    <row r="330" spans="9:15" ht="22.5" customHeight="1" x14ac:dyDescent="0.3">
      <c r="I330" s="1">
        <f>0.14*Table118192023103031323538394042[[#This Row],[النولون]]</f>
        <v>0</v>
      </c>
      <c r="K330" s="1">
        <f>Table118192023103031323538394042[[#This Row],[النولون]]+Table118192023103031323538394042[[#This Row],[الايصالات]]+Table118192023103031323538394042[[#This Row],[قيمة مضافة]]</f>
        <v>0</v>
      </c>
      <c r="M330" s="1">
        <f>M329+Table118192023103031323538394042[[#This Row],[اجمالي الفاتوره]]-Table118192023103031323538394042[[#This Row],[الدفعات]]</f>
        <v>744759.38999999955</v>
      </c>
      <c r="O330" s="48"/>
    </row>
    <row r="331" spans="9:15" ht="22.5" customHeight="1" x14ac:dyDescent="0.3">
      <c r="I331" s="1">
        <f>0.14*Table118192023103031323538394042[[#This Row],[النولون]]</f>
        <v>0</v>
      </c>
      <c r="K331" s="1">
        <f>Table118192023103031323538394042[[#This Row],[النولون]]+Table118192023103031323538394042[[#This Row],[الايصالات]]+Table118192023103031323538394042[[#This Row],[قيمة مضافة]]</f>
        <v>0</v>
      </c>
      <c r="M331" s="1">
        <f>M330+Table118192023103031323538394042[[#This Row],[اجمالي الفاتوره]]-Table118192023103031323538394042[[#This Row],[الدفعات]]</f>
        <v>744759.38999999955</v>
      </c>
      <c r="O331" s="48"/>
    </row>
    <row r="332" spans="9:15" ht="22.5" customHeight="1" x14ac:dyDescent="0.3">
      <c r="I332" s="1">
        <f>0.14*Table118192023103031323538394042[[#This Row],[النولون]]</f>
        <v>0</v>
      </c>
      <c r="K332" s="1">
        <f>Table118192023103031323538394042[[#This Row],[النولون]]+Table118192023103031323538394042[[#This Row],[الايصالات]]+Table118192023103031323538394042[[#This Row],[قيمة مضافة]]</f>
        <v>0</v>
      </c>
      <c r="M332" s="1">
        <f>M331+Table118192023103031323538394042[[#This Row],[اجمالي الفاتوره]]-Table118192023103031323538394042[[#This Row],[الدفعات]]</f>
        <v>744759.38999999955</v>
      </c>
      <c r="O332" s="48"/>
    </row>
    <row r="333" spans="9:15" ht="22.5" customHeight="1" x14ac:dyDescent="0.3">
      <c r="I333" s="1">
        <f>0.14*Table118192023103031323538394042[[#This Row],[النولون]]</f>
        <v>0</v>
      </c>
      <c r="K333" s="1">
        <f>Table118192023103031323538394042[[#This Row],[النولون]]+Table118192023103031323538394042[[#This Row],[الايصالات]]+Table118192023103031323538394042[[#This Row],[قيمة مضافة]]</f>
        <v>0</v>
      </c>
      <c r="M333" s="1">
        <f>M332+Table118192023103031323538394042[[#This Row],[اجمالي الفاتوره]]-Table118192023103031323538394042[[#This Row],[الدفعات]]</f>
        <v>744759.38999999955</v>
      </c>
      <c r="O333" s="48"/>
    </row>
    <row r="334" spans="9:15" ht="22.5" customHeight="1" x14ac:dyDescent="0.3">
      <c r="I334" s="1">
        <f>0.14*Table118192023103031323538394042[[#This Row],[النولون]]</f>
        <v>0</v>
      </c>
      <c r="K334" s="1">
        <f>Table118192023103031323538394042[[#This Row],[النولون]]+Table118192023103031323538394042[[#This Row],[الايصالات]]+Table118192023103031323538394042[[#This Row],[قيمة مضافة]]</f>
        <v>0</v>
      </c>
      <c r="M334" s="1">
        <f>M333+Table118192023103031323538394042[[#This Row],[اجمالي الفاتوره]]-Table118192023103031323538394042[[#This Row],[الدفعات]]</f>
        <v>744759.38999999955</v>
      </c>
      <c r="O334" s="48"/>
    </row>
    <row r="335" spans="9:15" ht="22.5" customHeight="1" x14ac:dyDescent="0.3">
      <c r="I335" s="1">
        <f>0.14*Table118192023103031323538394042[[#This Row],[النولون]]</f>
        <v>0</v>
      </c>
      <c r="K335" s="1">
        <f>Table118192023103031323538394042[[#This Row],[النولون]]+Table118192023103031323538394042[[#This Row],[الايصالات]]+Table118192023103031323538394042[[#This Row],[قيمة مضافة]]</f>
        <v>0</v>
      </c>
      <c r="M335" s="1">
        <f>M334+Table118192023103031323538394042[[#This Row],[اجمالي الفاتوره]]-Table118192023103031323538394042[[#This Row],[الدفعات]]</f>
        <v>744759.38999999955</v>
      </c>
      <c r="O335" s="48"/>
    </row>
    <row r="336" spans="9:15" ht="22.5" customHeight="1" x14ac:dyDescent="0.3">
      <c r="I336" s="1">
        <f>0.14*Table118192023103031323538394042[[#This Row],[النولون]]</f>
        <v>0</v>
      </c>
      <c r="K336" s="1">
        <f>Table118192023103031323538394042[[#This Row],[النولون]]+Table118192023103031323538394042[[#This Row],[الايصالات]]+Table118192023103031323538394042[[#This Row],[قيمة مضافة]]</f>
        <v>0</v>
      </c>
      <c r="M336" s="1">
        <f>M335+Table118192023103031323538394042[[#This Row],[اجمالي الفاتوره]]-Table118192023103031323538394042[[#This Row],[الدفعات]]</f>
        <v>744759.38999999955</v>
      </c>
      <c r="O336" s="48"/>
    </row>
    <row r="337" spans="2:15" ht="22.5" customHeight="1" x14ac:dyDescent="0.3">
      <c r="I337" s="1">
        <f>0.14*Table118192023103031323538394042[[#This Row],[النولون]]</f>
        <v>0</v>
      </c>
      <c r="K337" s="1">
        <f>Table118192023103031323538394042[[#This Row],[النولون]]+Table118192023103031323538394042[[#This Row],[الايصالات]]+Table118192023103031323538394042[[#This Row],[قيمة مضافة]]</f>
        <v>0</v>
      </c>
      <c r="M337" s="1">
        <f>M336+Table118192023103031323538394042[[#This Row],[اجمالي الفاتوره]]-Table118192023103031323538394042[[#This Row],[الدفعات]]</f>
        <v>744759.38999999955</v>
      </c>
      <c r="O337" s="48"/>
    </row>
    <row r="338" spans="2:15" ht="22.5" customHeight="1" x14ac:dyDescent="0.3">
      <c r="I338" s="1">
        <f>0.14*Table118192023103031323538394042[[#This Row],[النولون]]</f>
        <v>0</v>
      </c>
      <c r="K338" s="1">
        <f>Table118192023103031323538394042[[#This Row],[النولون]]+Table118192023103031323538394042[[#This Row],[الايصالات]]+Table118192023103031323538394042[[#This Row],[قيمة مضافة]]</f>
        <v>0</v>
      </c>
      <c r="M338" s="1">
        <f>M337+Table118192023103031323538394042[[#This Row],[اجمالي الفاتوره]]-Table118192023103031323538394042[[#This Row],[الدفعات]]</f>
        <v>744759.38999999955</v>
      </c>
      <c r="O338" s="48"/>
    </row>
    <row r="339" spans="2:15" ht="22.5" customHeight="1" x14ac:dyDescent="0.3">
      <c r="I339" s="1">
        <f>0.14*Table118192023103031323538394042[[#This Row],[النولون]]</f>
        <v>0</v>
      </c>
      <c r="K339" s="1">
        <f>Table118192023103031323538394042[[#This Row],[النولون]]+Table118192023103031323538394042[[#This Row],[الايصالات]]+Table118192023103031323538394042[[#This Row],[قيمة مضافة]]</f>
        <v>0</v>
      </c>
      <c r="M339" s="1">
        <f>M338+Table118192023103031323538394042[[#This Row],[اجمالي الفاتوره]]-Table118192023103031323538394042[[#This Row],[الدفعات]]</f>
        <v>744759.38999999955</v>
      </c>
      <c r="O339" s="48"/>
    </row>
    <row r="340" spans="2:15" ht="22.5" customHeight="1" x14ac:dyDescent="0.3">
      <c r="I340" s="1">
        <f>0.14*Table118192023103031323538394042[[#This Row],[النولون]]</f>
        <v>0</v>
      </c>
      <c r="K340" s="1">
        <f>Table118192023103031323538394042[[#This Row],[النولون]]+Table118192023103031323538394042[[#This Row],[الايصالات]]+Table118192023103031323538394042[[#This Row],[قيمة مضافة]]</f>
        <v>0</v>
      </c>
      <c r="M340" s="1">
        <f>M339+Table118192023103031323538394042[[#This Row],[اجمالي الفاتوره]]-Table118192023103031323538394042[[#This Row],[الدفعات]]</f>
        <v>744759.38999999955</v>
      </c>
      <c r="O340" s="48"/>
    </row>
    <row r="341" spans="2:15" ht="22.5" customHeight="1" x14ac:dyDescent="0.3">
      <c r="B341" s="1" t="s">
        <v>74</v>
      </c>
      <c r="N341" s="1">
        <f>SUBTOTAL(109,Table118192023103031323538394042[Column1])</f>
        <v>744759.3900000006</v>
      </c>
    </row>
  </sheetData>
  <phoneticPr fontId="2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339"/>
  <sheetViews>
    <sheetView rightToLeft="1" topLeftCell="A49" zoomScaleNormal="100" workbookViewId="0">
      <selection activeCell="H62" sqref="H62"/>
    </sheetView>
  </sheetViews>
  <sheetFormatPr defaultColWidth="9.109375" defaultRowHeight="15.6" x14ac:dyDescent="0.3"/>
  <cols>
    <col min="1" max="1" width="7.88671875" style="1" customWidth="1"/>
    <col min="2" max="2" width="11" style="1" customWidth="1"/>
    <col min="3" max="3" width="15.109375" style="1" customWidth="1"/>
    <col min="4" max="4" width="11.21875" style="1" customWidth="1"/>
    <col min="5" max="5" width="13.33203125" style="1" customWidth="1"/>
    <col min="6" max="6" width="13" style="1" customWidth="1"/>
    <col min="7" max="7" width="11.6640625" style="1" customWidth="1"/>
    <col min="8" max="8" width="11.77734375" style="1" customWidth="1"/>
    <col min="9" max="9" width="10.77734375" style="1" customWidth="1"/>
    <col min="10" max="10" width="12" style="1" customWidth="1"/>
    <col min="11" max="11" width="12.77734375" style="1" customWidth="1"/>
    <col min="12" max="12" width="15.21875" style="1" customWidth="1"/>
    <col min="13" max="13" width="11.21875" style="1" customWidth="1"/>
    <col min="14" max="16384" width="9.109375" style="1"/>
  </cols>
  <sheetData>
    <row r="1" spans="1:14" ht="26.25" customHeight="1" x14ac:dyDescent="0.3">
      <c r="A1" s="1" t="s">
        <v>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8" t="s">
        <v>20</v>
      </c>
    </row>
    <row r="2" spans="1:14" ht="26.25" customHeight="1" x14ac:dyDescent="0.3">
      <c r="B2" s="2"/>
      <c r="J2" s="1">
        <f>Table1181920231030313235[[#This Row],[النولون]]+Table1181920231030313235[[#This Row],[الايصالات]]+Table1181920231030313235[[#This Row],[قيمة مضافة]]</f>
        <v>0</v>
      </c>
      <c r="L2" s="1">
        <v>0</v>
      </c>
      <c r="N2" s="48"/>
    </row>
    <row r="3" spans="1:14" ht="26.25" customHeight="1" x14ac:dyDescent="0.3">
      <c r="A3" s="1">
        <v>1232</v>
      </c>
      <c r="B3" s="2" t="s">
        <v>150</v>
      </c>
      <c r="C3" s="1" t="s">
        <v>171</v>
      </c>
      <c r="D3" s="1" t="s">
        <v>94</v>
      </c>
      <c r="E3" s="1">
        <v>260004303</v>
      </c>
      <c r="F3" s="1" t="s">
        <v>159</v>
      </c>
      <c r="G3" s="1">
        <v>17000</v>
      </c>
      <c r="I3" s="1">
        <f>110+323.87+75.47+580+945+50+200+25.1</f>
        <v>2309.44</v>
      </c>
      <c r="J3" s="1">
        <f>Table1181920231030313235[[#This Row],[النولون]]+Table1181920231030313235[[#This Row],[الايصالات]]+Table1181920231030313235[[#This Row],[قيمة مضافة]]</f>
        <v>19309.439999999999</v>
      </c>
      <c r="L3" s="1">
        <f>L2+Table1181920231030313235[[#This Row],[اجمالي الفاتوره]]-Table1181920231030313235[[#This Row],[الدفعات]]</f>
        <v>19309.439999999999</v>
      </c>
      <c r="N3" s="48"/>
    </row>
    <row r="4" spans="1:14" ht="26.25" customHeight="1" x14ac:dyDescent="0.3">
      <c r="A4" s="1">
        <v>1233</v>
      </c>
      <c r="B4" s="2" t="s">
        <v>150</v>
      </c>
      <c r="C4" s="1" t="s">
        <v>171</v>
      </c>
      <c r="D4" s="1" t="s">
        <v>94</v>
      </c>
      <c r="E4" s="1">
        <v>15476160</v>
      </c>
      <c r="F4" s="1" t="s">
        <v>159</v>
      </c>
      <c r="G4" s="1">
        <v>17000</v>
      </c>
      <c r="I4" s="1">
        <f>110+50+50+220.89+1370+550</f>
        <v>2350.89</v>
      </c>
      <c r="J4" s="1">
        <f>Table1181920231030313235[[#This Row],[النولون]]+Table1181920231030313235[[#This Row],[الايصالات]]+Table1181920231030313235[[#This Row],[قيمة مضافة]]</f>
        <v>19350.89</v>
      </c>
      <c r="L4" s="1">
        <f>L3+Table1181920231030313235[[#This Row],[اجمالي الفاتوره]]-Table1181920231030313235[[#This Row],[الدفعات]]</f>
        <v>38660.33</v>
      </c>
      <c r="N4" s="48"/>
    </row>
    <row r="5" spans="1:14" ht="26.25" customHeight="1" x14ac:dyDescent="0.3">
      <c r="A5" s="1">
        <v>1234</v>
      </c>
      <c r="B5" s="2" t="s">
        <v>150</v>
      </c>
      <c r="C5" s="1" t="s">
        <v>171</v>
      </c>
      <c r="D5" s="1" t="s">
        <v>94</v>
      </c>
      <c r="E5" s="1" t="s">
        <v>228</v>
      </c>
      <c r="F5" s="1" t="s">
        <v>159</v>
      </c>
      <c r="G5" s="1">
        <v>17000</v>
      </c>
      <c r="I5" s="1">
        <f>57+110+29+353.87+200+550+1000+50</f>
        <v>2349.87</v>
      </c>
      <c r="J5" s="1">
        <f>Table1181920231030313235[[#This Row],[النولون]]+Table1181920231030313235[[#This Row],[الايصالات]]+Table1181920231030313235[[#This Row],[قيمة مضافة]]</f>
        <v>19349.87</v>
      </c>
      <c r="L5" s="1">
        <f>L4+Table1181920231030313235[[#This Row],[اجمالي الفاتوره]]-Table1181920231030313235[[#This Row],[الدفعات]]</f>
        <v>58010.2</v>
      </c>
      <c r="N5" s="48"/>
    </row>
    <row r="6" spans="1:14" ht="26.25" customHeight="1" x14ac:dyDescent="0.3">
      <c r="A6" s="1">
        <v>1235</v>
      </c>
      <c r="B6" s="2" t="s">
        <v>150</v>
      </c>
      <c r="C6" s="1" t="s">
        <v>171</v>
      </c>
      <c r="D6" s="1" t="s">
        <v>94</v>
      </c>
      <c r="E6" s="1">
        <v>153386248</v>
      </c>
      <c r="F6" s="1" t="s">
        <v>159</v>
      </c>
      <c r="G6" s="1">
        <v>17000</v>
      </c>
      <c r="I6" s="1">
        <f>110+550+799.79+1655</f>
        <v>3114.79</v>
      </c>
      <c r="J6" s="1">
        <f>Table1181920231030313235[[#This Row],[النولون]]+Table1181920231030313235[[#This Row],[الايصالات]]+Table1181920231030313235[[#This Row],[قيمة مضافة]]</f>
        <v>20114.79</v>
      </c>
      <c r="L6" s="1">
        <f>L5+Table1181920231030313235[[#This Row],[اجمالي الفاتوره]]-Table1181920231030313235[[#This Row],[الدفعات]]</f>
        <v>78124.989999999991</v>
      </c>
      <c r="N6" s="48"/>
    </row>
    <row r="7" spans="1:14" ht="26.25" customHeight="1" x14ac:dyDescent="0.3">
      <c r="A7" s="1">
        <v>1236</v>
      </c>
      <c r="B7" s="2" t="s">
        <v>150</v>
      </c>
      <c r="C7" s="1" t="s">
        <v>171</v>
      </c>
      <c r="D7" s="1" t="s">
        <v>94</v>
      </c>
      <c r="E7" s="1">
        <v>56878</v>
      </c>
      <c r="F7" s="1" t="s">
        <v>121</v>
      </c>
      <c r="G7" s="1">
        <v>17000</v>
      </c>
      <c r="I7" s="1">
        <f>210+1100+477.98+980</f>
        <v>2767.98</v>
      </c>
      <c r="J7" s="1">
        <f>Table1181920231030313235[[#This Row],[النولون]]+Table1181920231030313235[[#This Row],[الايصالات]]+Table1181920231030313235[[#This Row],[قيمة مضافة]]</f>
        <v>19767.98</v>
      </c>
      <c r="L7" s="1">
        <f>L6+Table1181920231030313235[[#This Row],[اجمالي الفاتوره]]-Table1181920231030313235[[#This Row],[الدفعات]]</f>
        <v>97892.969999999987</v>
      </c>
      <c r="N7" s="48"/>
    </row>
    <row r="8" spans="1:14" ht="26.25" customHeight="1" x14ac:dyDescent="0.3">
      <c r="A8" s="1">
        <v>1256</v>
      </c>
      <c r="B8" s="2" t="s">
        <v>222</v>
      </c>
      <c r="C8" s="1" t="s">
        <v>171</v>
      </c>
      <c r="D8" s="1" t="s">
        <v>94</v>
      </c>
      <c r="E8" s="1" t="s">
        <v>229</v>
      </c>
      <c r="F8" s="1" t="s">
        <v>159</v>
      </c>
      <c r="G8" s="1">
        <v>17000</v>
      </c>
      <c r="I8" s="1">
        <f>110+585+338.78+200+1000+50</f>
        <v>2283.7799999999997</v>
      </c>
      <c r="J8" s="1">
        <f>Table1181920231030313235[[#This Row],[النولون]]+Table1181920231030313235[[#This Row],[الايصالات]]+Table1181920231030313235[[#This Row],[قيمة مضافة]]</f>
        <v>19283.78</v>
      </c>
      <c r="L8" s="1">
        <f>L7+Table1181920231030313235[[#This Row],[اجمالي الفاتوره]]-Table1181920231030313235[[#This Row],[الدفعات]]</f>
        <v>117176.74999999999</v>
      </c>
      <c r="N8" s="48"/>
    </row>
    <row r="9" spans="1:14" ht="26.25" customHeight="1" x14ac:dyDescent="0.3">
      <c r="A9" s="72"/>
      <c r="B9" s="73" t="s">
        <v>236</v>
      </c>
      <c r="C9" s="72" t="s">
        <v>358</v>
      </c>
      <c r="D9" s="72"/>
      <c r="E9" s="72"/>
      <c r="F9" s="72"/>
      <c r="G9" s="72"/>
      <c r="H9" s="72"/>
      <c r="I9" s="72"/>
      <c r="J9" s="72">
        <f>Table1181920231030313235[[#This Row],[النولون]]+Table1181920231030313235[[#This Row],[الايصالات]]+Table1181920231030313235[[#This Row],[قيمة مضافة]]</f>
        <v>0</v>
      </c>
      <c r="K9" s="72">
        <v>47000</v>
      </c>
      <c r="L9" s="72">
        <f>L8+Table1181920231030313235[[#This Row],[اجمالي الفاتوره]]-Table1181920231030313235[[#This Row],[الدفعات]]</f>
        <v>70176.749999999985</v>
      </c>
      <c r="M9" s="1">
        <f>SUM(J:J)-SUM(K:K)+L2</f>
        <v>605591.88999999966</v>
      </c>
      <c r="N9" s="48">
        <f>SUM(H:H)</f>
        <v>0</v>
      </c>
    </row>
    <row r="10" spans="1:14" ht="26.25" customHeight="1" x14ac:dyDescent="0.3">
      <c r="A10" s="1">
        <v>1263</v>
      </c>
      <c r="B10" s="2" t="s">
        <v>237</v>
      </c>
      <c r="C10" s="1" t="s">
        <v>171</v>
      </c>
      <c r="D10" s="1" t="s">
        <v>94</v>
      </c>
      <c r="E10" s="1">
        <v>872846</v>
      </c>
      <c r="F10" s="1" t="s">
        <v>159</v>
      </c>
      <c r="G10" s="1">
        <v>17000</v>
      </c>
      <c r="I10" s="1">
        <f>110+550+75.47+777.62+150+171</f>
        <v>1834.0900000000001</v>
      </c>
      <c r="J10" s="1">
        <f>Table1181920231030313235[[#This Row],[النولون]]+Table1181920231030313235[[#This Row],[الايصالات]]+Table1181920231030313235[[#This Row],[قيمة مضافة]]</f>
        <v>18834.09</v>
      </c>
      <c r="L10" s="1">
        <f>L9+Table1181920231030313235[[#This Row],[اجمالي الفاتوره]]-Table1181920231030313235[[#This Row],[الدفعات]]</f>
        <v>89010.839999999982</v>
      </c>
      <c r="N10" s="48"/>
    </row>
    <row r="11" spans="1:14" ht="26.25" customHeight="1" x14ac:dyDescent="0.3">
      <c r="A11" s="1">
        <v>1264</v>
      </c>
      <c r="B11" s="2" t="s">
        <v>237</v>
      </c>
      <c r="C11" s="1" t="s">
        <v>171</v>
      </c>
      <c r="D11" s="1" t="s">
        <v>94</v>
      </c>
      <c r="E11" s="1">
        <v>872838</v>
      </c>
      <c r="F11" s="1" t="s">
        <v>159</v>
      </c>
      <c r="G11" s="1">
        <v>17000</v>
      </c>
      <c r="I11" s="1">
        <f>110+550+150+171+50.2+639.53+119.22</f>
        <v>1789.95</v>
      </c>
      <c r="J11" s="1">
        <f>Table1181920231030313235[[#This Row],[النولون]]+Table1181920231030313235[[#This Row],[الايصالات]]+Table1181920231030313235[[#This Row],[قيمة مضافة]]</f>
        <v>18789.95</v>
      </c>
      <c r="L11" s="1">
        <f>L10+Table1181920231030313235[[#This Row],[اجمالي الفاتوره]]-Table1181920231030313235[[#This Row],[الدفعات]]</f>
        <v>107800.78999999998</v>
      </c>
      <c r="N11" s="48"/>
    </row>
    <row r="12" spans="1:14" ht="26.25" customHeight="1" x14ac:dyDescent="0.3">
      <c r="A12" s="1">
        <v>1277</v>
      </c>
      <c r="B12" s="2" t="s">
        <v>275</v>
      </c>
      <c r="C12" s="1" t="s">
        <v>284</v>
      </c>
      <c r="D12" s="1" t="s">
        <v>94</v>
      </c>
      <c r="E12" s="1">
        <v>878859</v>
      </c>
      <c r="F12" s="1" t="s">
        <v>92</v>
      </c>
      <c r="G12" s="1">
        <f>17000*2</f>
        <v>34000</v>
      </c>
      <c r="I12" s="1">
        <f>410+850+50+120+1100*2+446.88*2+100+1824+456+1311+400+570</f>
        <v>9184.76</v>
      </c>
      <c r="J12" s="1">
        <f>Table1181920231030313235[[#This Row],[النولون]]+Table1181920231030313235[[#This Row],[الايصالات]]+Table1181920231030313235[[#This Row],[قيمة مضافة]]</f>
        <v>43184.76</v>
      </c>
      <c r="L12" s="1">
        <f>L11+Table1181920231030313235[[#This Row],[اجمالي الفاتوره]]-Table1181920231030313235[[#This Row],[الدفعات]]</f>
        <v>150985.54999999999</v>
      </c>
      <c r="N12" s="48"/>
    </row>
    <row r="13" spans="1:14" ht="26.25" customHeight="1" x14ac:dyDescent="0.3">
      <c r="A13" s="1">
        <v>1297</v>
      </c>
      <c r="B13" s="2" t="s">
        <v>299</v>
      </c>
      <c r="C13" s="1" t="s">
        <v>171</v>
      </c>
      <c r="D13" s="1" t="s">
        <v>94</v>
      </c>
      <c r="E13" s="1">
        <v>878553</v>
      </c>
      <c r="F13" s="1" t="s">
        <v>133</v>
      </c>
      <c r="G13" s="1">
        <v>22000</v>
      </c>
      <c r="I13" s="1">
        <f>850+210+365.21+1100+100+1938+300+342</f>
        <v>5205.21</v>
      </c>
      <c r="J13" s="1">
        <f>Table1181920231030313235[[#This Row],[النولون]]+Table1181920231030313235[[#This Row],[الايصالات]]+Table1181920231030313235[[#This Row],[قيمة مضافة]]</f>
        <v>27205.21</v>
      </c>
      <c r="L13" s="1">
        <f>L12+Table1181920231030313235[[#This Row],[اجمالي الفاتوره]]-Table1181920231030313235[[#This Row],[الدفعات]]</f>
        <v>178190.75999999998</v>
      </c>
      <c r="N13" s="48"/>
    </row>
    <row r="14" spans="1:14" ht="26.25" customHeight="1" x14ac:dyDescent="0.3">
      <c r="A14" s="1">
        <v>1316</v>
      </c>
      <c r="B14" s="2" t="s">
        <v>342</v>
      </c>
      <c r="C14" s="1" t="s">
        <v>171</v>
      </c>
      <c r="D14" s="1" t="s">
        <v>94</v>
      </c>
      <c r="E14" s="1">
        <v>887509</v>
      </c>
      <c r="F14" s="1" t="s">
        <v>121</v>
      </c>
      <c r="G14" s="1">
        <v>17000</v>
      </c>
      <c r="I14" s="1">
        <f>120+1100+472.32+210+1140+200+285</f>
        <v>3527.3199999999997</v>
      </c>
      <c r="J14" s="1">
        <f>Table1181920231030313235[[#This Row],[النولون]]+Table1181920231030313235[[#This Row],[الايصالات]]+Table1181920231030313235[[#This Row],[قيمة مضافة]]</f>
        <v>20527.32</v>
      </c>
      <c r="L14" s="1">
        <f>L13+Table1181920231030313235[[#This Row],[اجمالي الفاتوره]]-Table1181920231030313235[[#This Row],[الدفعات]]</f>
        <v>198718.07999999999</v>
      </c>
      <c r="N14" s="48"/>
    </row>
    <row r="15" spans="1:14" ht="26.25" customHeight="1" x14ac:dyDescent="0.3">
      <c r="A15" s="1">
        <v>1</v>
      </c>
      <c r="B15" s="2" t="s">
        <v>342</v>
      </c>
      <c r="C15" s="1" t="s">
        <v>349</v>
      </c>
      <c r="D15" s="1" t="s">
        <v>350</v>
      </c>
      <c r="E15" s="1">
        <v>38476</v>
      </c>
      <c r="F15" s="1" t="s">
        <v>159</v>
      </c>
      <c r="G15" s="1">
        <v>12500</v>
      </c>
      <c r="I15" s="1">
        <f>5000+110+60+550+75.47+362.32+75+100+25.1+545.49+150</f>
        <v>7053.38</v>
      </c>
      <c r="J15" s="1">
        <f>Table1181920231030313235[[#This Row],[النولون]]+Table1181920231030313235[[#This Row],[الايصالات]]+Table1181920231030313235[[#This Row],[قيمة مضافة]]</f>
        <v>19553.38</v>
      </c>
      <c r="L15" s="1">
        <f>L14+Table1181920231030313235[[#This Row],[اجمالي الفاتوره]]-Table1181920231030313235[[#This Row],[الدفعات]]</f>
        <v>218271.46</v>
      </c>
      <c r="N15" s="48"/>
    </row>
    <row r="16" spans="1:14" ht="26.25" customHeight="1" x14ac:dyDescent="0.3">
      <c r="A16" s="1">
        <v>1324</v>
      </c>
      <c r="B16" s="2" t="s">
        <v>368</v>
      </c>
      <c r="C16" s="1" t="s">
        <v>171</v>
      </c>
      <c r="D16" s="1" t="s">
        <v>94</v>
      </c>
      <c r="E16" s="1">
        <v>16031255</v>
      </c>
      <c r="F16" s="1" t="s">
        <v>121</v>
      </c>
      <c r="G16" s="1">
        <v>17000</v>
      </c>
      <c r="I16" s="1">
        <f>210+1100+475.15+1000</f>
        <v>2785.15</v>
      </c>
      <c r="J16" s="1">
        <f>Table1181920231030313235[[#This Row],[النولون]]+Table1181920231030313235[[#This Row],[الايصالات]]+Table1181920231030313235[[#This Row],[قيمة مضافة]]</f>
        <v>19785.150000000001</v>
      </c>
      <c r="L16" s="1">
        <f>L15+Table1181920231030313235[[#This Row],[اجمالي الفاتوره]]-Table1181920231030313235[[#This Row],[الدفعات]]</f>
        <v>238056.61</v>
      </c>
      <c r="N16" s="48"/>
    </row>
    <row r="17" spans="1:14" ht="26.25" customHeight="1" x14ac:dyDescent="0.3">
      <c r="A17" s="72"/>
      <c r="B17" s="73" t="s">
        <v>388</v>
      </c>
      <c r="C17" s="72"/>
      <c r="D17" s="72"/>
      <c r="E17" s="72"/>
      <c r="F17" s="72"/>
      <c r="G17" s="72"/>
      <c r="H17" s="72"/>
      <c r="I17" s="72"/>
      <c r="J17" s="72">
        <f>Table1181920231030313235[[#This Row],[النولون]]+Table1181920231030313235[[#This Row],[الايصالات]]+Table1181920231030313235[[#This Row],[قيمة مضافة]]</f>
        <v>0</v>
      </c>
      <c r="K17" s="72">
        <v>100000</v>
      </c>
      <c r="L17" s="72">
        <f>L16+Table1181920231030313235[[#This Row],[اجمالي الفاتوره]]-Table1181920231030313235[[#This Row],[الدفعات]]</f>
        <v>138056.60999999999</v>
      </c>
      <c r="N17" s="48"/>
    </row>
    <row r="18" spans="1:14" ht="26.25" customHeight="1" x14ac:dyDescent="0.3">
      <c r="A18" s="1">
        <v>1333</v>
      </c>
      <c r="B18" s="2" t="s">
        <v>398</v>
      </c>
      <c r="C18" s="1" t="s">
        <v>171</v>
      </c>
      <c r="D18" s="1" t="s">
        <v>94</v>
      </c>
      <c r="E18" s="1">
        <v>896048</v>
      </c>
      <c r="F18" s="1" t="s">
        <v>159</v>
      </c>
      <c r="G18" s="1">
        <v>19000</v>
      </c>
      <c r="I18" s="1">
        <f>810+110+220.89+1254+600+171+150</f>
        <v>3315.89</v>
      </c>
      <c r="J18" s="1">
        <f>Table1181920231030313235[[#This Row],[النولون]]+Table1181920231030313235[[#This Row],[الايصالات]]+Table1181920231030313235[[#This Row],[قيمة مضافة]]</f>
        <v>22315.89</v>
      </c>
      <c r="L18" s="1">
        <f>L17+Table1181920231030313235[[#This Row],[اجمالي الفاتوره]]-Table1181920231030313235[[#This Row],[الدفعات]]</f>
        <v>160372.5</v>
      </c>
      <c r="N18" s="48"/>
    </row>
    <row r="19" spans="1:14" ht="26.25" customHeight="1" x14ac:dyDescent="0.3">
      <c r="A19" s="1">
        <v>1339</v>
      </c>
      <c r="B19" s="2" t="s">
        <v>398</v>
      </c>
      <c r="C19" s="1" t="s">
        <v>171</v>
      </c>
      <c r="D19" s="1" t="s">
        <v>94</v>
      </c>
      <c r="E19" s="1">
        <v>896813</v>
      </c>
      <c r="F19" s="1" t="s">
        <v>121</v>
      </c>
      <c r="G19" s="1">
        <v>19000</v>
      </c>
      <c r="I19" s="1">
        <f>210+1100+750.23+1140+200+285</f>
        <v>3685.23</v>
      </c>
      <c r="J19" s="1">
        <f>Table1181920231030313235[[#This Row],[النولون]]+Table1181920231030313235[[#This Row],[الايصالات]]+Table1181920231030313235[[#This Row],[قيمة مضافة]]</f>
        <v>22685.23</v>
      </c>
      <c r="L19" s="1">
        <f>L18+Table1181920231030313235[[#This Row],[اجمالي الفاتوره]]-Table1181920231030313235[[#This Row],[الدفعات]]</f>
        <v>183057.73</v>
      </c>
      <c r="N19" s="48"/>
    </row>
    <row r="20" spans="1:14" ht="26.25" customHeight="1" x14ac:dyDescent="0.3">
      <c r="A20" s="72"/>
      <c r="B20" s="73" t="s">
        <v>418</v>
      </c>
      <c r="C20" s="72"/>
      <c r="D20" s="72"/>
      <c r="E20" s="72"/>
      <c r="F20" s="72"/>
      <c r="G20" s="72"/>
      <c r="H20" s="72"/>
      <c r="I20" s="72"/>
      <c r="J20" s="72">
        <f>Table1181920231030313235[[#This Row],[النولون]]+Table1181920231030313235[[#This Row],[الايصالات]]+Table1181920231030313235[[#This Row],[قيمة مضافة]]</f>
        <v>0</v>
      </c>
      <c r="K20" s="72">
        <v>75000</v>
      </c>
      <c r="L20" s="72">
        <f>L19+Table1181920231030313235[[#This Row],[اجمالي الفاتوره]]-Table1181920231030313235[[#This Row],[الدفعات]]</f>
        <v>108057.73000000001</v>
      </c>
      <c r="N20" s="48"/>
    </row>
    <row r="21" spans="1:14" ht="26.25" customHeight="1" x14ac:dyDescent="0.3">
      <c r="A21" s="1">
        <v>1354</v>
      </c>
      <c r="B21" s="2">
        <v>46116</v>
      </c>
      <c r="C21" s="1" t="s">
        <v>171</v>
      </c>
      <c r="D21" s="1" t="s">
        <v>94</v>
      </c>
      <c r="E21" s="1">
        <v>16300612</v>
      </c>
      <c r="F21" s="1" t="s">
        <v>159</v>
      </c>
      <c r="G21" s="1">
        <v>18200</v>
      </c>
      <c r="I21" s="1">
        <f>810+75.47+379.73+550+611.38+50.2</f>
        <v>2476.7799999999997</v>
      </c>
      <c r="J21" s="1">
        <f>Table1181920231030313235[[#This Row],[النولون]]+Table1181920231030313235[[#This Row],[الايصالات]]+Table1181920231030313235[[#This Row],[قيمة مضافة]]</f>
        <v>20676.78</v>
      </c>
      <c r="L21" s="1">
        <f>L20+Table1181920231030313235[[#This Row],[اجمالي الفاتوره]]-Table1181920231030313235[[#This Row],[الدفعات]]</f>
        <v>128734.51000000001</v>
      </c>
      <c r="N21" s="48"/>
    </row>
    <row r="22" spans="1:14" ht="26.25" customHeight="1" x14ac:dyDescent="0.3">
      <c r="A22" s="1">
        <v>1355</v>
      </c>
      <c r="B22" s="2">
        <v>46116</v>
      </c>
      <c r="C22" s="1" t="s">
        <v>171</v>
      </c>
      <c r="D22" s="1" t="s">
        <v>94</v>
      </c>
      <c r="E22" s="1">
        <v>16300624</v>
      </c>
      <c r="F22" s="1" t="s">
        <v>159</v>
      </c>
      <c r="G22" s="1">
        <v>18200</v>
      </c>
      <c r="I22" s="1">
        <f>110+530+332.88+45.15+602.49</f>
        <v>1620.52</v>
      </c>
      <c r="J22" s="1">
        <f>Table1181920231030313235[[#This Row],[النولون]]+Table1181920231030313235[[#This Row],[الايصالات]]+Table1181920231030313235[[#This Row],[قيمة مضافة]]</f>
        <v>19820.52</v>
      </c>
      <c r="L22" s="1">
        <f>L21+Table1181920231030313235[[#This Row],[اجمالي الفاتوره]]-Table1181920231030313235[[#This Row],[الدفعات]]</f>
        <v>148555.03</v>
      </c>
      <c r="N22" s="48"/>
    </row>
    <row r="23" spans="1:14" ht="26.25" customHeight="1" x14ac:dyDescent="0.3">
      <c r="A23" s="1">
        <v>1356</v>
      </c>
      <c r="B23" s="2">
        <v>46116</v>
      </c>
      <c r="C23" s="1" t="s">
        <v>171</v>
      </c>
      <c r="D23" s="1" t="s">
        <v>94</v>
      </c>
      <c r="E23" s="1">
        <v>898366</v>
      </c>
      <c r="F23" s="1" t="s">
        <v>159</v>
      </c>
      <c r="G23" s="1">
        <v>18200</v>
      </c>
      <c r="I23" s="1">
        <f>550+532.41+150+171+2500</f>
        <v>3903.41</v>
      </c>
      <c r="J23" s="1">
        <f>Table1181920231030313235[[#This Row],[النولون]]+Table1181920231030313235[[#This Row],[الايصالات]]+Table1181920231030313235[[#This Row],[قيمة مضافة]]</f>
        <v>22103.41</v>
      </c>
      <c r="L23" s="1">
        <f>L22+Table1181920231030313235[[#This Row],[اجمالي الفاتوره]]-Table1181920231030313235[[#This Row],[الدفعات]]</f>
        <v>170658.44</v>
      </c>
      <c r="N23" s="48"/>
    </row>
    <row r="24" spans="1:14" ht="26.25" customHeight="1" x14ac:dyDescent="0.3">
      <c r="A24" s="1">
        <v>1357</v>
      </c>
      <c r="B24" s="2">
        <v>46116</v>
      </c>
      <c r="C24" s="1" t="s">
        <v>171</v>
      </c>
      <c r="D24" s="1" t="s">
        <v>94</v>
      </c>
      <c r="E24" s="1">
        <v>900324</v>
      </c>
      <c r="F24" s="1" t="s">
        <v>92</v>
      </c>
      <c r="G24" s="1">
        <f>18200*2</f>
        <v>36400</v>
      </c>
      <c r="I24" s="1">
        <f>1100+1100+486.09+481.42+3046.08+2500+400+570</f>
        <v>9683.59</v>
      </c>
      <c r="J24" s="1">
        <f>Table1181920231030313235[[#This Row],[النولون]]+Table1181920231030313235[[#This Row],[الايصالات]]+Table1181920231030313235[[#This Row],[قيمة مضافة]]</f>
        <v>46083.59</v>
      </c>
      <c r="L24" s="1">
        <f>L23+Table1181920231030313235[[#This Row],[اجمالي الفاتوره]]-Table1181920231030313235[[#This Row],[الدفعات]]</f>
        <v>216742.03</v>
      </c>
      <c r="N24" s="48"/>
    </row>
    <row r="25" spans="1:14" ht="26.25" customHeight="1" x14ac:dyDescent="0.3">
      <c r="A25" s="1">
        <v>1358</v>
      </c>
      <c r="B25" s="2">
        <v>46116</v>
      </c>
      <c r="C25" s="1" t="s">
        <v>171</v>
      </c>
      <c r="D25" s="1" t="s">
        <v>94</v>
      </c>
      <c r="E25" s="1">
        <v>900351</v>
      </c>
      <c r="F25" s="1" t="s">
        <v>181</v>
      </c>
      <c r="G25" s="1">
        <f>18200*4</f>
        <v>72800</v>
      </c>
      <c r="I25" s="1">
        <f>1100+1100+365.21+378.98+475.15+808.01+4587.36+1100+1100+800+1140</f>
        <v>12954.71</v>
      </c>
      <c r="J25" s="1">
        <f>Table1181920231030313235[[#This Row],[النولون]]+Table1181920231030313235[[#This Row],[الايصالات]]+Table1181920231030313235[[#This Row],[قيمة مضافة]]</f>
        <v>85754.709999999992</v>
      </c>
      <c r="L25" s="1">
        <f>L24+Table1181920231030313235[[#This Row],[اجمالي الفاتوره]]-Table1181920231030313235[[#This Row],[الدفعات]]</f>
        <v>302496.74</v>
      </c>
      <c r="N25" s="48"/>
    </row>
    <row r="26" spans="1:14" ht="26.25" customHeight="1" x14ac:dyDescent="0.3">
      <c r="A26" s="1">
        <v>1359</v>
      </c>
      <c r="B26" s="2">
        <v>46116</v>
      </c>
      <c r="C26" s="1" t="s">
        <v>171</v>
      </c>
      <c r="D26" s="1" t="s">
        <v>94</v>
      </c>
      <c r="E26" s="1">
        <v>198</v>
      </c>
      <c r="F26" s="1" t="s">
        <v>133</v>
      </c>
      <c r="G26" s="1">
        <v>23500</v>
      </c>
      <c r="I26" s="1">
        <f>210+850+79+365.21+400+1100+2000+100</f>
        <v>5104.21</v>
      </c>
      <c r="J26" s="1">
        <f>Table1181920231030313235[[#This Row],[النولون]]+Table1181920231030313235[[#This Row],[الايصالات]]+Table1181920231030313235[[#This Row],[قيمة مضافة]]</f>
        <v>28604.21</v>
      </c>
      <c r="L26" s="1">
        <f>L25+Table1181920231030313235[[#This Row],[اجمالي الفاتوره]]-Table1181920231030313235[[#This Row],[الدفعات]]</f>
        <v>331100.95</v>
      </c>
      <c r="N26" s="48"/>
    </row>
    <row r="27" spans="1:14" ht="26.25" customHeight="1" x14ac:dyDescent="0.3">
      <c r="A27" s="1">
        <v>1372</v>
      </c>
      <c r="B27" s="2">
        <v>46123</v>
      </c>
      <c r="C27" s="1" t="s">
        <v>171</v>
      </c>
      <c r="D27" s="1" t="s">
        <v>94</v>
      </c>
      <c r="E27" s="1">
        <v>901130</v>
      </c>
      <c r="F27" s="1" t="s">
        <v>295</v>
      </c>
      <c r="G27" s="1">
        <f>18200+23500</f>
        <v>41700</v>
      </c>
      <c r="I27" s="1">
        <f>850+550+341.36+392.75+150+3420+570+1100+450+513</f>
        <v>8337.11</v>
      </c>
      <c r="J27" s="1">
        <f>Table1181920231030313235[[#This Row],[النولون]]+Table1181920231030313235[[#This Row],[الايصالات]]+Table1181920231030313235[[#This Row],[قيمة مضافة]]</f>
        <v>50037.11</v>
      </c>
      <c r="L27" s="1">
        <f>L26+Table1181920231030313235[[#This Row],[اجمالي الفاتوره]]-Table1181920231030313235[[#This Row],[الدفعات]]</f>
        <v>381138.06</v>
      </c>
      <c r="N27" s="48"/>
    </row>
    <row r="28" spans="1:14" ht="26.25" customHeight="1" x14ac:dyDescent="0.3">
      <c r="A28" s="72"/>
      <c r="B28" s="73">
        <v>46128</v>
      </c>
      <c r="C28" s="72"/>
      <c r="D28" s="72"/>
      <c r="E28" s="72"/>
      <c r="F28" s="72"/>
      <c r="G28" s="72"/>
      <c r="H28" s="72"/>
      <c r="I28" s="72"/>
      <c r="J28" s="72">
        <f>Table1181920231030313235[[#This Row],[النولون]]+Table1181920231030313235[[#This Row],[الايصالات]]+Table1181920231030313235[[#This Row],[قيمة مضافة]]</f>
        <v>0</v>
      </c>
      <c r="K28" s="72">
        <v>150000</v>
      </c>
      <c r="L28" s="72">
        <f>L27+Table1181920231030313235[[#This Row],[اجمالي الفاتوره]]-Table1181920231030313235[[#This Row],[الدفعات]]</f>
        <v>231138.06</v>
      </c>
      <c r="N28" s="48"/>
    </row>
    <row r="29" spans="1:14" ht="26.25" customHeight="1" x14ac:dyDescent="0.3">
      <c r="A29" s="1">
        <v>1402</v>
      </c>
      <c r="B29" s="2">
        <v>46137</v>
      </c>
      <c r="C29" s="1" t="s">
        <v>171</v>
      </c>
      <c r="D29" s="1" t="s">
        <v>94</v>
      </c>
      <c r="E29" s="1">
        <v>61539</v>
      </c>
      <c r="F29" s="1" t="s">
        <v>485</v>
      </c>
      <c r="G29" s="1">
        <f>7*23500+18200</f>
        <v>182700</v>
      </c>
      <c r="I29" s="1">
        <f>850+910+550+365.21*3+366.44+378.98+382.42+375.54+378.98+105.79*5+45.15+4*79+6*1100+1135+8869.77+598.5</f>
        <v>23381.360000000001</v>
      </c>
      <c r="J29" s="1">
        <f>Table1181920231030313235[[#This Row],[النولون]]+Table1181920231030313235[[#This Row],[الايصالات]]+Table1181920231030313235[[#This Row],[قيمة مضافة]]</f>
        <v>206081.36</v>
      </c>
      <c r="L29" s="1">
        <f>L28+Table1181920231030313235[[#This Row],[اجمالي الفاتوره]]-Table1181920231030313235[[#This Row],[الدفعات]]</f>
        <v>437219.42</v>
      </c>
      <c r="N29" s="48"/>
    </row>
    <row r="30" spans="1:14" ht="26.25" customHeight="1" x14ac:dyDescent="0.3">
      <c r="A30" s="1">
        <v>1403</v>
      </c>
      <c r="B30" s="2">
        <v>46137</v>
      </c>
      <c r="C30" s="1" t="s">
        <v>171</v>
      </c>
      <c r="D30" s="1" t="s">
        <v>94</v>
      </c>
      <c r="E30" s="1">
        <v>61540</v>
      </c>
      <c r="F30" s="1" t="s">
        <v>227</v>
      </c>
      <c r="G30" s="1">
        <f>2*23500+18200</f>
        <v>65200</v>
      </c>
      <c r="I30" s="1">
        <f>210+550+1100*2+365.21+45.15+338.53+105.79+105.79+365.21+2956.59</f>
        <v>7242.27</v>
      </c>
      <c r="J30" s="1">
        <f>Table1181920231030313235[[#This Row],[النولون]]+Table1181920231030313235[[#This Row],[الايصالات]]+Table1181920231030313235[[#This Row],[قيمة مضافة]]</f>
        <v>72442.27</v>
      </c>
      <c r="L30" s="1">
        <f>L29+Table1181920231030313235[[#This Row],[اجمالي الفاتوره]]-Table1181920231030313235[[#This Row],[الدفعات]]</f>
        <v>509661.69</v>
      </c>
      <c r="N30" s="48"/>
    </row>
    <row r="31" spans="1:14" ht="26.25" customHeight="1" x14ac:dyDescent="0.3">
      <c r="A31" s="1">
        <v>1404</v>
      </c>
      <c r="B31" s="2">
        <v>46137</v>
      </c>
      <c r="C31" s="1" t="s">
        <v>171</v>
      </c>
      <c r="D31" s="1" t="s">
        <v>94</v>
      </c>
      <c r="E31" s="1">
        <v>61690</v>
      </c>
      <c r="F31" s="1" t="s">
        <v>90</v>
      </c>
      <c r="G31" s="1">
        <f>5*23500</f>
        <v>117500</v>
      </c>
      <c r="I31" s="1">
        <f>45.15*2+105.79+45.15+105.79+365.21*5+5*79+5*1100+5913.18</f>
        <v>13981.26</v>
      </c>
      <c r="J31" s="1">
        <f>Table1181920231030313235[[#This Row],[النولون]]+Table1181920231030313235[[#This Row],[الايصالات]]+Table1181920231030313235[[#This Row],[قيمة مضافة]]</f>
        <v>131481.26</v>
      </c>
      <c r="L31" s="1">
        <f>L30+Table1181920231030313235[[#This Row],[اجمالي الفاتوره]]-Table1181920231030313235[[#This Row],[الدفعات]]</f>
        <v>641142.94999999995</v>
      </c>
      <c r="N31" s="48"/>
    </row>
    <row r="32" spans="1:14" ht="26.25" customHeight="1" x14ac:dyDescent="0.3">
      <c r="A32" s="1">
        <v>1405</v>
      </c>
      <c r="B32" s="2">
        <v>46137</v>
      </c>
      <c r="C32" s="1" t="s">
        <v>171</v>
      </c>
      <c r="D32" s="1" t="s">
        <v>94</v>
      </c>
      <c r="E32" s="1">
        <v>16472720</v>
      </c>
      <c r="F32" s="1" t="s">
        <v>133</v>
      </c>
      <c r="G32" s="1">
        <v>23500</v>
      </c>
      <c r="I32" s="1">
        <f>365.21+1000+1100</f>
        <v>2465.21</v>
      </c>
      <c r="J32" s="1">
        <f>Table1181920231030313235[[#This Row],[النولون]]+Table1181920231030313235[[#This Row],[الايصالات]]+Table1181920231030313235[[#This Row],[قيمة مضافة]]</f>
        <v>25965.21</v>
      </c>
      <c r="L32" s="1">
        <f>L31+Table1181920231030313235[[#This Row],[اجمالي الفاتوره]]-Table1181920231030313235[[#This Row],[الدفعات]]</f>
        <v>667108.15999999992</v>
      </c>
      <c r="N32" s="48"/>
    </row>
    <row r="33" spans="1:14" ht="26.25" customHeight="1" x14ac:dyDescent="0.3">
      <c r="A33" s="1">
        <v>1406</v>
      </c>
      <c r="B33" s="2">
        <v>46137</v>
      </c>
      <c r="C33" s="1" t="s">
        <v>171</v>
      </c>
      <c r="D33" s="1" t="s">
        <v>94</v>
      </c>
      <c r="E33" s="1">
        <v>61537</v>
      </c>
      <c r="F33" s="1" t="s">
        <v>121</v>
      </c>
      <c r="G33" s="1">
        <v>18200</v>
      </c>
      <c r="I33" s="1">
        <f>850+1100+472.32+1182.64</f>
        <v>3604.96</v>
      </c>
      <c r="J33" s="1">
        <f>Table1181920231030313235[[#This Row],[النولون]]+Table1181920231030313235[[#This Row],[الايصالات]]+Table1181920231030313235[[#This Row],[قيمة مضافة]]</f>
        <v>21804.959999999999</v>
      </c>
      <c r="L33" s="1">
        <f>L32+Table1181920231030313235[[#This Row],[اجمالي الفاتوره]]-Table1181920231030313235[[#This Row],[الدفعات]]</f>
        <v>688913.11999999988</v>
      </c>
      <c r="N33" s="48"/>
    </row>
    <row r="34" spans="1:14" ht="26.25" customHeight="1" x14ac:dyDescent="0.3">
      <c r="A34" s="1">
        <v>1407</v>
      </c>
      <c r="B34" s="2">
        <v>46137</v>
      </c>
      <c r="C34" s="1" t="s">
        <v>171</v>
      </c>
      <c r="D34" s="1" t="s">
        <v>94</v>
      </c>
      <c r="E34" s="1">
        <v>61538</v>
      </c>
      <c r="F34" s="1" t="s">
        <v>121</v>
      </c>
      <c r="G34" s="1">
        <v>18200</v>
      </c>
      <c r="I34" s="1">
        <f>850+461.01+45.15+1182.64+79.8</f>
        <v>2618.6000000000004</v>
      </c>
      <c r="J34" s="1">
        <f>Table1181920231030313235[[#This Row],[النولون]]+Table1181920231030313235[[#This Row],[الايصالات]]+Table1181920231030313235[[#This Row],[قيمة مضافة]]</f>
        <v>20818.599999999999</v>
      </c>
      <c r="L34" s="1">
        <f>L33+Table1181920231030313235[[#This Row],[اجمالي الفاتوره]]-Table1181920231030313235[[#This Row],[الدفعات]]</f>
        <v>709731.71999999986</v>
      </c>
      <c r="N34" s="48"/>
    </row>
    <row r="35" spans="1:14" ht="26.25" customHeight="1" x14ac:dyDescent="0.3">
      <c r="A35" s="1">
        <v>1408</v>
      </c>
      <c r="B35" s="2">
        <v>46137</v>
      </c>
      <c r="C35" s="1" t="s">
        <v>171</v>
      </c>
      <c r="D35" s="1" t="s">
        <v>94</v>
      </c>
      <c r="E35" s="1">
        <v>16492215</v>
      </c>
      <c r="F35" s="1" t="s">
        <v>121</v>
      </c>
      <c r="G35" s="1">
        <v>18200</v>
      </c>
      <c r="I35" s="1">
        <f>1100+480.44+1000</f>
        <v>2580.44</v>
      </c>
      <c r="J35" s="1">
        <f>Table1181920231030313235[[#This Row],[النولون]]+Table1181920231030313235[[#This Row],[الايصالات]]+Table1181920231030313235[[#This Row],[قيمة مضافة]]</f>
        <v>20780.439999999999</v>
      </c>
      <c r="L35" s="1">
        <f>L34+Table1181920231030313235[[#This Row],[اجمالي الفاتوره]]-Table1181920231030313235[[#This Row],[الدفعات]]</f>
        <v>730512.1599999998</v>
      </c>
      <c r="N35" s="48"/>
    </row>
    <row r="36" spans="1:14" ht="26.25" customHeight="1" x14ac:dyDescent="0.3">
      <c r="A36" s="1">
        <v>1409</v>
      </c>
      <c r="B36" s="2">
        <v>46137</v>
      </c>
      <c r="C36" s="1" t="s">
        <v>171</v>
      </c>
      <c r="D36" s="1" t="s">
        <v>94</v>
      </c>
      <c r="E36" s="1">
        <v>16492228</v>
      </c>
      <c r="F36" s="1" t="s">
        <v>181</v>
      </c>
      <c r="G36" s="1">
        <f>4*18200</f>
        <v>72800</v>
      </c>
      <c r="I36" s="1">
        <f>1100*4+742.04+551.83+808.07+542.28+50+79+4000</f>
        <v>11173.22</v>
      </c>
      <c r="J36" s="1">
        <f>Table1181920231030313235[[#This Row],[النولون]]+Table1181920231030313235[[#This Row],[الايصالات]]+Table1181920231030313235[[#This Row],[قيمة مضافة]]</f>
        <v>83973.22</v>
      </c>
      <c r="L36" s="1">
        <f>L35+Table1181920231030313235[[#This Row],[اجمالي الفاتوره]]-Table1181920231030313235[[#This Row],[الدفعات]]</f>
        <v>814485.37999999977</v>
      </c>
      <c r="N36" s="48"/>
    </row>
    <row r="37" spans="1:14" ht="26.25" customHeight="1" x14ac:dyDescent="0.3">
      <c r="A37" s="72"/>
      <c r="B37" s="73">
        <v>46140</v>
      </c>
      <c r="C37" s="72"/>
      <c r="D37" s="72"/>
      <c r="E37" s="72"/>
      <c r="F37" s="72"/>
      <c r="G37" s="72"/>
      <c r="H37" s="72"/>
      <c r="I37" s="72"/>
      <c r="J37" s="72">
        <f>Table1181920231030313235[[#This Row],[النولون]]+Table1181920231030313235[[#This Row],[الايصالات]]+Table1181920231030313235[[#This Row],[قيمة مضافة]]</f>
        <v>0</v>
      </c>
      <c r="K37" s="72">
        <v>200000</v>
      </c>
      <c r="L37" s="72">
        <f>L36+Table1181920231030313235[[#This Row],[اجمالي الفاتوره]]-Table1181920231030313235[[#This Row],[الدفعات]]</f>
        <v>614485.37999999977</v>
      </c>
      <c r="N37" s="48"/>
    </row>
    <row r="38" spans="1:14" ht="26.25" customHeight="1" x14ac:dyDescent="0.3">
      <c r="A38" s="1">
        <v>1435</v>
      </c>
      <c r="B38" s="2">
        <v>46145</v>
      </c>
      <c r="C38" s="1" t="s">
        <v>171</v>
      </c>
      <c r="D38" s="1" t="s">
        <v>94</v>
      </c>
      <c r="E38" s="1">
        <v>907725</v>
      </c>
      <c r="F38" s="1" t="s">
        <v>181</v>
      </c>
      <c r="G38" s="1">
        <f>18200*4</f>
        <v>72800</v>
      </c>
      <c r="I38" s="1">
        <f>610+79*2+1100*4+477.98+477.98+475.15+527.82+342+200+4560+1600+2280</f>
        <v>16108.929999999998</v>
      </c>
      <c r="J38" s="1">
        <f>Table1181920231030313235[[#This Row],[النولون]]+Table1181920231030313235[[#This Row],[الايصالات]]+Table1181920231030313235[[#This Row],[قيمة مضافة]]</f>
        <v>88908.93</v>
      </c>
      <c r="L38" s="1">
        <f>L37+Table1181920231030313235[[#This Row],[اجمالي الفاتوره]]-Table1181920231030313235[[#This Row],[الدفعات]]</f>
        <v>703394.30999999982</v>
      </c>
      <c r="N38" s="48"/>
    </row>
    <row r="39" spans="1:14" ht="26.25" customHeight="1" x14ac:dyDescent="0.3">
      <c r="A39" s="1">
        <v>1436</v>
      </c>
      <c r="B39" s="2">
        <v>46145</v>
      </c>
      <c r="C39" s="1" t="s">
        <v>171</v>
      </c>
      <c r="D39" s="1" t="s">
        <v>94</v>
      </c>
      <c r="E39" s="1">
        <v>907307</v>
      </c>
      <c r="F39" s="1" t="s">
        <v>121</v>
      </c>
      <c r="G39" s="1">
        <v>18200</v>
      </c>
      <c r="I39" s="1">
        <f>1100+750.23+200+285+2500</f>
        <v>4835.2299999999996</v>
      </c>
      <c r="J39" s="1">
        <f>Table1181920231030313235[[#This Row],[النولون]]+Table1181920231030313235[[#This Row],[الايصالات]]+Table1181920231030313235[[#This Row],[قيمة مضافة]]</f>
        <v>23035.23</v>
      </c>
      <c r="L39" s="1">
        <f>L38+Table1181920231030313235[[#This Row],[اجمالي الفاتوره]]-Table1181920231030313235[[#This Row],[الدفعات]]</f>
        <v>726429.5399999998</v>
      </c>
      <c r="N39" s="48"/>
    </row>
    <row r="40" spans="1:14" ht="26.25" customHeight="1" x14ac:dyDescent="0.3">
      <c r="A40" s="1">
        <v>1449</v>
      </c>
      <c r="B40" s="2">
        <v>46151</v>
      </c>
      <c r="C40" s="1" t="s">
        <v>171</v>
      </c>
      <c r="D40" s="1" t="s">
        <v>94</v>
      </c>
      <c r="E40" s="1" t="s">
        <v>536</v>
      </c>
      <c r="F40" s="1" t="s">
        <v>159</v>
      </c>
      <c r="G40" s="1">
        <v>18200</v>
      </c>
      <c r="I40" s="1">
        <f>110+60+550+493.21+200+1000+50</f>
        <v>2463.21</v>
      </c>
      <c r="J40" s="1">
        <f>Table1181920231030313235[[#This Row],[النولون]]+Table1181920231030313235[[#This Row],[الايصالات]]+Table1181920231030313235[[#This Row],[قيمة مضافة]]</f>
        <v>20663.21</v>
      </c>
      <c r="L40" s="1">
        <f>L39+Table1181920231030313235[[#This Row],[اجمالي الفاتوره]]-Table1181920231030313235[[#This Row],[الدفعات]]</f>
        <v>747092.74999999977</v>
      </c>
      <c r="N40" s="48"/>
    </row>
    <row r="41" spans="1:14" ht="26.25" customHeight="1" x14ac:dyDescent="0.3">
      <c r="A41" s="1">
        <v>1467</v>
      </c>
      <c r="B41" s="2">
        <v>46158</v>
      </c>
      <c r="C41" s="1" t="s">
        <v>171</v>
      </c>
      <c r="D41" s="1" t="s">
        <v>94</v>
      </c>
      <c r="E41" s="1">
        <v>907308</v>
      </c>
      <c r="F41" s="1" t="s">
        <v>181</v>
      </c>
      <c r="G41" s="1">
        <f>18200*4</f>
        <v>72800</v>
      </c>
      <c r="I41" s="1">
        <f>850+79+1100*4+472.32+786.98+488.31+485.48+250+4560+800+1140</f>
        <v>14312.09</v>
      </c>
      <c r="J41" s="1">
        <f>Table1181920231030313235[[#This Row],[النولون]]+Table1181920231030313235[[#This Row],[الايصالات]]+Table1181920231030313235[[#This Row],[قيمة مضافة]]</f>
        <v>87112.09</v>
      </c>
      <c r="L41" s="1">
        <f>L40+Table1181920231030313235[[#This Row],[اجمالي الفاتوره]]-Table1181920231030313235[[#This Row],[الدفعات]]</f>
        <v>834204.83999999973</v>
      </c>
      <c r="N41" s="48"/>
    </row>
    <row r="42" spans="1:14" ht="26.25" customHeight="1" x14ac:dyDescent="0.3">
      <c r="A42" s="1">
        <v>1468</v>
      </c>
      <c r="B42" s="2">
        <v>46158</v>
      </c>
      <c r="C42" s="1" t="s">
        <v>171</v>
      </c>
      <c r="D42" s="1" t="s">
        <v>94</v>
      </c>
      <c r="E42" s="1">
        <v>907324</v>
      </c>
      <c r="F42" s="1" t="s">
        <v>121</v>
      </c>
      <c r="G42" s="1">
        <v>18200</v>
      </c>
      <c r="I42" s="1">
        <f>210+1100+452.53+79+1140+200+285</f>
        <v>3466.5299999999997</v>
      </c>
      <c r="J42" s="1">
        <f>Table1181920231030313235[[#This Row],[النولون]]+Table1181920231030313235[[#This Row],[الايصالات]]+Table1181920231030313235[[#This Row],[قيمة مضافة]]</f>
        <v>21666.53</v>
      </c>
      <c r="L42" s="1">
        <f>L41+Table1181920231030313235[[#This Row],[اجمالي الفاتوره]]-Table1181920231030313235[[#This Row],[الدفعات]]</f>
        <v>855871.36999999976</v>
      </c>
      <c r="N42" s="48"/>
    </row>
    <row r="43" spans="1:14" ht="26.25" customHeight="1" x14ac:dyDescent="0.3">
      <c r="A43" s="1">
        <v>2</v>
      </c>
      <c r="B43" s="2">
        <v>46158</v>
      </c>
      <c r="C43" s="1" t="s">
        <v>349</v>
      </c>
      <c r="D43" s="1" t="s">
        <v>233</v>
      </c>
      <c r="E43" s="1">
        <v>41093</v>
      </c>
      <c r="F43" s="1" t="s">
        <v>121</v>
      </c>
      <c r="G43" s="1">
        <v>18200</v>
      </c>
      <c r="I43" s="1">
        <f>350+210+1105+100+492.36+75+1311+250</f>
        <v>3893.36</v>
      </c>
      <c r="J43" s="1">
        <f>Table1181920231030313235[[#This Row],[النولون]]+Table1181920231030313235[[#This Row],[الايصالات]]+Table1181920231030313235[[#This Row],[قيمة مضافة]]</f>
        <v>22093.360000000001</v>
      </c>
      <c r="L43" s="1">
        <f>L42+Table1181920231030313235[[#This Row],[اجمالي الفاتوره]]-Table1181920231030313235[[#This Row],[الدفعات]]</f>
        <v>877964.72999999975</v>
      </c>
      <c r="N43" s="48"/>
    </row>
    <row r="44" spans="1:14" ht="26.25" customHeight="1" x14ac:dyDescent="0.3">
      <c r="A44" s="72"/>
      <c r="B44" s="73">
        <v>46161</v>
      </c>
      <c r="C44" s="72"/>
      <c r="D44" s="72"/>
      <c r="E44" s="72"/>
      <c r="F44" s="72"/>
      <c r="G44" s="72"/>
      <c r="H44" s="72"/>
      <c r="I44" s="72"/>
      <c r="J44" s="72">
        <f>Table1181920231030313235[[#This Row],[النولون]]+Table1181920231030313235[[#This Row],[الايصالات]]+Table1181920231030313235[[#This Row],[قيمة مضافة]]</f>
        <v>0</v>
      </c>
      <c r="K44" s="72">
        <v>200000</v>
      </c>
      <c r="L44" s="72">
        <f>L43+Table1181920231030313235[[#This Row],[اجمالي الفاتوره]]-Table1181920231030313235[[#This Row],[الدفعات]]</f>
        <v>677964.72999999975</v>
      </c>
      <c r="N44" s="48"/>
    </row>
    <row r="45" spans="1:14" ht="26.25" customHeight="1" x14ac:dyDescent="0.3">
      <c r="A45" s="1">
        <v>1491</v>
      </c>
      <c r="B45" s="2">
        <v>46174</v>
      </c>
      <c r="C45" s="1" t="s">
        <v>171</v>
      </c>
      <c r="D45" s="1" t="s">
        <v>94</v>
      </c>
      <c r="E45" s="1">
        <v>16709239</v>
      </c>
      <c r="F45" s="1" t="s">
        <v>121</v>
      </c>
      <c r="G45" s="1">
        <v>18200</v>
      </c>
      <c r="I45" s="1">
        <f>1100+466.67+1770</f>
        <v>3336.67</v>
      </c>
      <c r="J45" s="1">
        <f>Table1181920231030313235[[#This Row],[النولون]]+Table1181920231030313235[[#This Row],[الايصالات]]+Table1181920231030313235[[#This Row],[قيمة مضافة]]</f>
        <v>21536.67</v>
      </c>
      <c r="L45" s="1">
        <f>L44+Table1181920231030313235[[#This Row],[اجمالي الفاتوره]]-Table1181920231030313235[[#This Row],[الدفعات]]</f>
        <v>699501.39999999979</v>
      </c>
      <c r="N45" s="48"/>
    </row>
    <row r="46" spans="1:14" ht="26.25" customHeight="1" x14ac:dyDescent="0.3">
      <c r="A46" s="1">
        <v>1492</v>
      </c>
      <c r="B46" s="2">
        <v>46174</v>
      </c>
      <c r="C46" s="1" t="s">
        <v>171</v>
      </c>
      <c r="D46" s="1" t="s">
        <v>94</v>
      </c>
      <c r="E46" s="1">
        <v>16709238</v>
      </c>
      <c r="F46" s="1" t="s">
        <v>92</v>
      </c>
      <c r="G46" s="1">
        <f>18200*2</f>
        <v>36400</v>
      </c>
      <c r="I46" s="1">
        <f>1100*2+463.84+467.28+3540</f>
        <v>6671.12</v>
      </c>
      <c r="J46" s="1">
        <f>Table1181920231030313235[[#This Row],[النولون]]+Table1181920231030313235[[#This Row],[الايصالات]]+Table1181920231030313235[[#This Row],[قيمة مضافة]]</f>
        <v>43071.12</v>
      </c>
      <c r="L46" s="1">
        <f>L45+Table1181920231030313235[[#This Row],[اجمالي الفاتوره]]-Table1181920231030313235[[#This Row],[الدفعات]]</f>
        <v>742572.51999999979</v>
      </c>
      <c r="N46" s="48"/>
    </row>
    <row r="47" spans="1:14" ht="26.25" customHeight="1" x14ac:dyDescent="0.3">
      <c r="A47" s="1">
        <v>1493</v>
      </c>
      <c r="B47" s="2">
        <v>46174</v>
      </c>
      <c r="C47" s="1" t="s">
        <v>171</v>
      </c>
      <c r="D47" s="1" t="s">
        <v>94</v>
      </c>
      <c r="E47" s="1">
        <v>16709240</v>
      </c>
      <c r="F47" s="1" t="s">
        <v>92</v>
      </c>
      <c r="G47" s="1">
        <f>18200*2</f>
        <v>36400</v>
      </c>
      <c r="I47" s="1">
        <f>1100+1100+631.06+475.15+79*2+1000+3540</f>
        <v>8004.21</v>
      </c>
      <c r="J47" s="1">
        <f>Table1181920231030313235[[#This Row],[النولون]]+Table1181920231030313235[[#This Row],[الايصالات]]+Table1181920231030313235[[#This Row],[قيمة مضافة]]</f>
        <v>44404.21</v>
      </c>
      <c r="L47" s="1">
        <f>L46+Table1181920231030313235[[#This Row],[اجمالي الفاتوره]]-Table1181920231030313235[[#This Row],[الدفعات]]</f>
        <v>786976.72999999975</v>
      </c>
      <c r="N47" s="48"/>
    </row>
    <row r="48" spans="1:14" ht="26.25" customHeight="1" x14ac:dyDescent="0.3">
      <c r="A48" s="72"/>
      <c r="B48" s="73">
        <v>46187</v>
      </c>
      <c r="C48" s="72"/>
      <c r="D48" s="72"/>
      <c r="E48" s="72"/>
      <c r="F48" s="72"/>
      <c r="G48" s="72"/>
      <c r="H48" s="72"/>
      <c r="I48" s="72"/>
      <c r="J48" s="72">
        <f>Table1181920231030313235[[#This Row],[النولون]]+Table1181920231030313235[[#This Row],[الايصالات]]+Table1181920231030313235[[#This Row],[قيمة مضافة]]</f>
        <v>0</v>
      </c>
      <c r="K48" s="72">
        <v>150000</v>
      </c>
      <c r="L48" s="72">
        <f>L47+Table1181920231030313235[[#This Row],[اجمالي الفاتوره]]-Table1181920231030313235[[#This Row],[الدفعات]]</f>
        <v>636976.72999999975</v>
      </c>
      <c r="N48" s="48"/>
    </row>
    <row r="49" spans="1:14" ht="26.25" customHeight="1" x14ac:dyDescent="0.3">
      <c r="A49" s="1">
        <v>1547</v>
      </c>
      <c r="B49" s="2">
        <v>46187</v>
      </c>
      <c r="C49" s="1" t="s">
        <v>171</v>
      </c>
      <c r="D49" s="1" t="s">
        <v>94</v>
      </c>
      <c r="E49" s="1">
        <v>278</v>
      </c>
      <c r="F49" s="1" t="s">
        <v>92</v>
      </c>
      <c r="G49" s="1">
        <f>18200*2</f>
        <v>36400</v>
      </c>
      <c r="I49" s="1">
        <f>410+120+1100*2+472.32*2+400+2400+800+200</f>
        <v>7474.6399999999994</v>
      </c>
      <c r="J49" s="1">
        <f>Table1181920231030313235[[#This Row],[النولون]]+Table1181920231030313235[[#This Row],[الايصالات]]+Table1181920231030313235[[#This Row],[قيمة مضافة]]</f>
        <v>43874.64</v>
      </c>
      <c r="L49" s="1">
        <f>L48+Table1181920231030313235[[#This Row],[اجمالي الفاتوره]]-Table1181920231030313235[[#This Row],[الدفعات]]</f>
        <v>680851.36999999976</v>
      </c>
      <c r="N49" s="48"/>
    </row>
    <row r="50" spans="1:14" ht="26.25" customHeight="1" x14ac:dyDescent="0.3">
      <c r="A50" s="48">
        <v>1553</v>
      </c>
      <c r="B50" s="54">
        <v>46194</v>
      </c>
      <c r="C50" s="1" t="s">
        <v>171</v>
      </c>
      <c r="D50" s="1" t="s">
        <v>94</v>
      </c>
      <c r="E50" s="48">
        <v>17262413</v>
      </c>
      <c r="F50" s="1" t="s">
        <v>295</v>
      </c>
      <c r="G50" s="48">
        <f>23500+18200</f>
        <v>41700</v>
      </c>
      <c r="H50" s="48"/>
      <c r="I50" s="48">
        <f>310+79+550+344.19+389.31+1500+1100+119.7</f>
        <v>4392.2</v>
      </c>
      <c r="J50" s="1">
        <f>Table1181920231030313235[[#This Row],[النولون]]+Table1181920231030313235[[#This Row],[الايصالات]]+Table1181920231030313235[[#This Row],[قيمة مضافة]]</f>
        <v>46092.2</v>
      </c>
      <c r="K50" s="48"/>
      <c r="L50" s="1">
        <f>L49+Table1181920231030313235[[#This Row],[اجمالي الفاتوره]]-Table1181920231030313235[[#This Row],[الدفعات]]</f>
        <v>726943.56999999972</v>
      </c>
      <c r="M50" s="48"/>
      <c r="N50" s="48"/>
    </row>
    <row r="51" spans="1:14" ht="26.25" customHeight="1" x14ac:dyDescent="0.3">
      <c r="A51" s="1">
        <v>1554</v>
      </c>
      <c r="B51" s="2">
        <v>46194</v>
      </c>
      <c r="C51" s="1" t="s">
        <v>171</v>
      </c>
      <c r="D51" s="1" t="s">
        <v>94</v>
      </c>
      <c r="E51" s="1">
        <v>17392577</v>
      </c>
      <c r="F51" s="1" t="s">
        <v>295</v>
      </c>
      <c r="G51" s="1">
        <f>23500+18200</f>
        <v>41700</v>
      </c>
      <c r="I51" s="1">
        <f>310+550+630.53+365.21+1500+1100</f>
        <v>4455.74</v>
      </c>
      <c r="J51" s="1">
        <f>Table1181920231030313235[[#This Row],[النولون]]+Table1181920231030313235[[#This Row],[الايصالات]]+Table1181920231030313235[[#This Row],[قيمة مضافة]]</f>
        <v>46155.74</v>
      </c>
      <c r="L51" s="1">
        <f>L50+Table1181920231030313235[[#This Row],[اجمالي الفاتوره]]-Table1181920231030313235[[#This Row],[الدفعات]]</f>
        <v>773099.30999999971</v>
      </c>
      <c r="N51" s="48"/>
    </row>
    <row r="52" spans="1:14" ht="26.25" customHeight="1" x14ac:dyDescent="0.3">
      <c r="A52" s="72"/>
      <c r="B52" s="73">
        <v>46195</v>
      </c>
      <c r="C52" s="72"/>
      <c r="D52" s="72"/>
      <c r="E52" s="72"/>
      <c r="F52" s="72"/>
      <c r="G52" s="72"/>
      <c r="H52" s="72"/>
      <c r="I52" s="72"/>
      <c r="J52" s="72">
        <f>Table1181920231030313235[[#This Row],[النولون]]+Table1181920231030313235[[#This Row],[الايصالات]]+Table1181920231030313235[[#This Row],[قيمة مضافة]]</f>
        <v>0</v>
      </c>
      <c r="K52" s="72">
        <v>400000</v>
      </c>
      <c r="L52" s="72">
        <f>L51+Table1181920231030313235[[#This Row],[اجمالي الفاتوره]]-Table1181920231030313235[[#This Row],[الدفعات]]</f>
        <v>373099.30999999971</v>
      </c>
      <c r="N52" s="48"/>
    </row>
    <row r="53" spans="1:14" ht="26.25" customHeight="1" x14ac:dyDescent="0.3">
      <c r="A53" s="1">
        <v>1560</v>
      </c>
      <c r="B53" s="2">
        <v>46196</v>
      </c>
      <c r="C53" s="1" t="s">
        <v>171</v>
      </c>
      <c r="D53" s="1" t="s">
        <v>94</v>
      </c>
      <c r="E53" s="1">
        <v>279</v>
      </c>
      <c r="F53" s="1" t="s">
        <v>92</v>
      </c>
      <c r="G53" s="1">
        <f>18200*2</f>
        <v>36400</v>
      </c>
      <c r="I53" s="1">
        <f>410+120+365.21*2+1100*2+400+4800</f>
        <v>8660.42</v>
      </c>
      <c r="J53" s="1">
        <f>Table1181920231030313235[[#This Row],[النولون]]+Table1181920231030313235[[#This Row],[الايصالات]]+Table1181920231030313235[[#This Row],[قيمة مضافة]]</f>
        <v>45060.42</v>
      </c>
      <c r="L53" s="1">
        <f>L52+Table1181920231030313235[[#This Row],[اجمالي الفاتوره]]-Table1181920231030313235[[#This Row],[الدفعات]]</f>
        <v>418159.72999999969</v>
      </c>
      <c r="N53" s="48"/>
    </row>
    <row r="54" spans="1:14" ht="26.25" customHeight="1" x14ac:dyDescent="0.3">
      <c r="A54" s="1">
        <v>1561</v>
      </c>
      <c r="B54" s="2">
        <v>46196</v>
      </c>
      <c r="C54" s="1" t="s">
        <v>171</v>
      </c>
      <c r="D54" s="1" t="s">
        <v>94</v>
      </c>
      <c r="E54" s="1">
        <v>306</v>
      </c>
      <c r="F54" s="1" t="s">
        <v>92</v>
      </c>
      <c r="G54" s="1">
        <f>18200*2</f>
        <v>36400</v>
      </c>
      <c r="I54" s="1">
        <f>410+1100*2+120+79+79+477.98*2+400+400</f>
        <v>4643.96</v>
      </c>
      <c r="J54" s="1">
        <f>Table1181920231030313235[[#This Row],[النولون]]+Table1181920231030313235[[#This Row],[الايصالات]]+Table1181920231030313235[[#This Row],[قيمة مضافة]]</f>
        <v>41043.96</v>
      </c>
      <c r="L54" s="1">
        <f>L53+Table1181920231030313235[[#This Row],[اجمالي الفاتوره]]-Table1181920231030313235[[#This Row],[الدفعات]]</f>
        <v>459203.68999999971</v>
      </c>
      <c r="N54" s="48"/>
    </row>
    <row r="55" spans="1:14" ht="26.25" customHeight="1" x14ac:dyDescent="0.3">
      <c r="A55" s="1">
        <v>3</v>
      </c>
      <c r="B55" s="2">
        <v>46200</v>
      </c>
      <c r="C55" s="1" t="s">
        <v>349</v>
      </c>
      <c r="D55" s="1" t="s">
        <v>233</v>
      </c>
      <c r="E55" s="1">
        <v>17335195</v>
      </c>
      <c r="F55" s="1" t="s">
        <v>121</v>
      </c>
      <c r="G55" s="1">
        <v>18200</v>
      </c>
      <c r="I55" s="1">
        <f>350+210+1100+477.98+75+100+1485</f>
        <v>3797.98</v>
      </c>
      <c r="J55" s="1">
        <f>Table1181920231030313235[[#This Row],[النولون]]+Table1181920231030313235[[#This Row],[الايصالات]]+Table1181920231030313235[[#This Row],[قيمة مضافة]]</f>
        <v>21997.98</v>
      </c>
      <c r="L55" s="1">
        <f>L54+Table1181920231030313235[[#This Row],[اجمالي الفاتوره]]-Table1181920231030313235[[#This Row],[الدفعات]]</f>
        <v>481201.66999999969</v>
      </c>
      <c r="N55" s="48"/>
    </row>
    <row r="56" spans="1:14" ht="26.25" customHeight="1" x14ac:dyDescent="0.3">
      <c r="A56" s="1">
        <v>1571</v>
      </c>
      <c r="B56" s="2">
        <v>46200</v>
      </c>
      <c r="C56" s="1" t="s">
        <v>171</v>
      </c>
      <c r="D56" s="1" t="s">
        <v>94</v>
      </c>
      <c r="E56" s="1">
        <v>260405598</v>
      </c>
      <c r="F56" s="1" t="s">
        <v>120</v>
      </c>
      <c r="G56" s="1">
        <v>18200</v>
      </c>
      <c r="I56" s="1">
        <f>29+110+550+382.11+993.4+798+50+200</f>
        <v>3112.51</v>
      </c>
      <c r="J56" s="1">
        <f>Table1181920231030313235[[#This Row],[النولون]]+Table1181920231030313235[[#This Row],[الايصالات]]+Table1181920231030313235[[#This Row],[قيمة مضافة]]</f>
        <v>21312.510000000002</v>
      </c>
      <c r="L56" s="1">
        <f>L55+Table1181920231030313235[[#This Row],[اجمالي الفاتوره]]-Table1181920231030313235[[#This Row],[الدفعات]]</f>
        <v>502514.1799999997</v>
      </c>
      <c r="N56" s="48"/>
    </row>
    <row r="57" spans="1:14" ht="26.25" customHeight="1" x14ac:dyDescent="0.3">
      <c r="A57" s="1">
        <v>1583</v>
      </c>
      <c r="B57" s="2">
        <v>46208</v>
      </c>
      <c r="C57" s="1" t="s">
        <v>171</v>
      </c>
      <c r="D57" s="1" t="s">
        <v>94</v>
      </c>
      <c r="E57" s="1">
        <v>287000</v>
      </c>
      <c r="F57" s="1" t="s">
        <v>120</v>
      </c>
      <c r="G57" s="1">
        <v>18200</v>
      </c>
      <c r="I57" s="1">
        <f>850+79+1100+317.79+45.15+110+565.1+400+39.9</f>
        <v>3506.94</v>
      </c>
      <c r="J57" s="1">
        <f>Table1181920231030313235[[#This Row],[النولون]]+Table1181920231030313235[[#This Row],[الايصالات]]+Table1181920231030313235[[#This Row],[قيمة مضافة]]</f>
        <v>21706.94</v>
      </c>
      <c r="L57" s="1">
        <f>L56+Table1181920231030313235[[#This Row],[اجمالي الفاتوره]]-Table1181920231030313235[[#This Row],[الدفعات]]</f>
        <v>524221.1199999997</v>
      </c>
      <c r="N57" s="48"/>
    </row>
    <row r="58" spans="1:14" ht="26.25" customHeight="1" x14ac:dyDescent="0.3">
      <c r="A58" s="1">
        <v>1584</v>
      </c>
      <c r="B58" s="2">
        <v>46208</v>
      </c>
      <c r="C58" s="1" t="s">
        <v>171</v>
      </c>
      <c r="D58" s="1" t="s">
        <v>94</v>
      </c>
      <c r="E58" s="1">
        <v>58034</v>
      </c>
      <c r="F58" s="1" t="s">
        <v>121</v>
      </c>
      <c r="G58" s="1">
        <v>18200</v>
      </c>
      <c r="I58" s="1">
        <f>210+1100+469.5+1180</f>
        <v>2959.5</v>
      </c>
      <c r="J58" s="1">
        <f>Table1181920231030313235[[#This Row],[النولون]]+Table1181920231030313235[[#This Row],[الايصالات]]+Table1181920231030313235[[#This Row],[قيمة مضافة]]</f>
        <v>21159.5</v>
      </c>
      <c r="L58" s="1">
        <f>L57+Table1181920231030313235[[#This Row],[اجمالي الفاتوره]]-Table1181920231030313235[[#This Row],[الدفعات]]</f>
        <v>545380.61999999965</v>
      </c>
      <c r="N58" s="48"/>
    </row>
    <row r="59" spans="1:14" ht="26.25" customHeight="1" x14ac:dyDescent="0.3">
      <c r="A59" s="1">
        <v>1585</v>
      </c>
      <c r="B59" s="2">
        <v>46208</v>
      </c>
      <c r="C59" s="1" t="s">
        <v>171</v>
      </c>
      <c r="D59" s="1" t="s">
        <v>94</v>
      </c>
      <c r="E59" s="1">
        <v>932272</v>
      </c>
      <c r="F59" s="1" t="s">
        <v>133</v>
      </c>
      <c r="G59" s="1">
        <v>23500</v>
      </c>
      <c r="I59" s="1">
        <f>410+79+365.21+1100+5000+300+342</f>
        <v>7596.21</v>
      </c>
      <c r="J59" s="1">
        <f>Table1181920231030313235[[#This Row],[النولون]]+Table1181920231030313235[[#This Row],[الايصالات]]+Table1181920231030313235[[#This Row],[قيمة مضافة]]</f>
        <v>31096.21</v>
      </c>
      <c r="L59" s="1">
        <f>L58+Table1181920231030313235[[#This Row],[اجمالي الفاتوره]]-Table1181920231030313235[[#This Row],[الدفعات]]</f>
        <v>576476.82999999961</v>
      </c>
      <c r="N59" s="48"/>
    </row>
    <row r="60" spans="1:14" ht="26.25" customHeight="1" x14ac:dyDescent="0.3">
      <c r="A60" s="1">
        <v>1586</v>
      </c>
      <c r="B60" s="2">
        <v>46208</v>
      </c>
      <c r="C60" s="1" t="s">
        <v>171</v>
      </c>
      <c r="D60" s="1" t="s">
        <v>94</v>
      </c>
      <c r="E60" s="1">
        <v>62195</v>
      </c>
      <c r="F60" s="1" t="s">
        <v>90</v>
      </c>
      <c r="G60" s="1">
        <f>23500*5</f>
        <v>117500</v>
      </c>
      <c r="I60" s="1">
        <f>850+1100*5+365.21*5+13560.3</f>
        <v>21736.35</v>
      </c>
      <c r="J60" s="1">
        <f>Table1181920231030313235[[#This Row],[النولون]]+Table1181920231030313235[[#This Row],[الايصالات]]+Table1181920231030313235[[#This Row],[قيمة مضافة]]</f>
        <v>139236.35</v>
      </c>
      <c r="L60" s="1">
        <f>L59+Table1181920231030313235[[#This Row],[اجمالي الفاتوره]]-Table1181920231030313235[[#This Row],[الدفعات]]</f>
        <v>715713.17999999959</v>
      </c>
      <c r="N60" s="48"/>
    </row>
    <row r="61" spans="1:14" ht="26.25" customHeight="1" x14ac:dyDescent="0.3">
      <c r="A61" s="1">
        <v>1587</v>
      </c>
      <c r="B61" s="2">
        <v>46208</v>
      </c>
      <c r="C61" s="1" t="s">
        <v>171</v>
      </c>
      <c r="D61" s="1" t="s">
        <v>94</v>
      </c>
      <c r="E61" s="1">
        <v>17531162</v>
      </c>
      <c r="F61" s="1" t="s">
        <v>92</v>
      </c>
      <c r="G61" s="1">
        <f>18200*2</f>
        <v>36400</v>
      </c>
      <c r="I61" s="1">
        <f>410+605.85+462.86+2000</f>
        <v>3478.71</v>
      </c>
      <c r="J61" s="1">
        <f>Table1181920231030313235[[#This Row],[النولون]]+Table1181920231030313235[[#This Row],[الايصالات]]+Table1181920231030313235[[#This Row],[قيمة مضافة]]</f>
        <v>39878.71</v>
      </c>
      <c r="L61" s="1">
        <f>L60+Table1181920231030313235[[#This Row],[اجمالي الفاتوره]]-Table1181920231030313235[[#This Row],[الدفعات]]</f>
        <v>755591.88999999955</v>
      </c>
      <c r="N61" s="48"/>
    </row>
    <row r="62" spans="1:14" ht="26.25" customHeight="1" x14ac:dyDescent="0.3">
      <c r="A62" s="72"/>
      <c r="B62" s="73">
        <v>46211</v>
      </c>
      <c r="C62" s="72"/>
      <c r="D62" s="72"/>
      <c r="E62" s="72"/>
      <c r="F62" s="72"/>
      <c r="G62" s="72"/>
      <c r="H62" s="72"/>
      <c r="I62" s="72"/>
      <c r="J62" s="72">
        <f>Table1181920231030313235[[#This Row],[النولون]]+Table1181920231030313235[[#This Row],[الايصالات]]+Table1181920231030313235[[#This Row],[قيمة مضافة]]</f>
        <v>0</v>
      </c>
      <c r="K62" s="72">
        <v>150000</v>
      </c>
      <c r="L62" s="72">
        <f>L61+Table1181920231030313235[[#This Row],[اجمالي الفاتوره]]-Table1181920231030313235[[#This Row],[الدفعات]]</f>
        <v>605591.88999999955</v>
      </c>
      <c r="N62" s="48"/>
    </row>
    <row r="63" spans="1:14" ht="26.25" customHeight="1" x14ac:dyDescent="0.3">
      <c r="B63" s="2"/>
      <c r="J63" s="1">
        <f>Table1181920231030313235[[#This Row],[النولون]]+Table1181920231030313235[[#This Row],[الايصالات]]+Table1181920231030313235[[#This Row],[قيمة مضافة]]</f>
        <v>0</v>
      </c>
      <c r="L63" s="1">
        <f>L62+Table1181920231030313235[[#This Row],[اجمالي الفاتوره]]-Table1181920231030313235[[#This Row],[الدفعات]]</f>
        <v>605591.88999999955</v>
      </c>
      <c r="N63" s="48"/>
    </row>
    <row r="64" spans="1:14" ht="26.25" customHeight="1" x14ac:dyDescent="0.3">
      <c r="B64" s="2"/>
      <c r="J64" s="1">
        <f>Table1181920231030313235[[#This Row],[النولون]]+Table1181920231030313235[[#This Row],[الايصالات]]+Table1181920231030313235[[#This Row],[قيمة مضافة]]</f>
        <v>0</v>
      </c>
      <c r="L64" s="1">
        <f>L63+Table1181920231030313235[[#This Row],[اجمالي الفاتوره]]-Table1181920231030313235[[#This Row],[الدفعات]]</f>
        <v>605591.88999999955</v>
      </c>
      <c r="N64" s="48"/>
    </row>
    <row r="65" spans="2:14" ht="26.25" customHeight="1" x14ac:dyDescent="0.3">
      <c r="B65" s="2"/>
      <c r="J65" s="1">
        <f>Table1181920231030313235[[#This Row],[النولون]]+Table1181920231030313235[[#This Row],[الايصالات]]+Table1181920231030313235[[#This Row],[قيمة مضافة]]</f>
        <v>0</v>
      </c>
      <c r="L65" s="1">
        <f>L64+Table1181920231030313235[[#This Row],[اجمالي الفاتوره]]-Table1181920231030313235[[#This Row],[الدفعات]]</f>
        <v>605591.88999999955</v>
      </c>
      <c r="N65" s="48"/>
    </row>
    <row r="66" spans="2:14" ht="26.25" customHeight="1" x14ac:dyDescent="0.3">
      <c r="B66" s="2"/>
      <c r="J66" s="1">
        <f>Table1181920231030313235[[#This Row],[النولون]]+Table1181920231030313235[[#This Row],[الايصالات]]+Table1181920231030313235[[#This Row],[قيمة مضافة]]</f>
        <v>0</v>
      </c>
      <c r="L66" s="1">
        <f>L65+Table1181920231030313235[[#This Row],[اجمالي الفاتوره]]-Table1181920231030313235[[#This Row],[الدفعات]]</f>
        <v>605591.88999999955</v>
      </c>
      <c r="N66" s="48"/>
    </row>
    <row r="67" spans="2:14" ht="26.25" customHeight="1" x14ac:dyDescent="0.3">
      <c r="B67" s="2"/>
      <c r="J67" s="1">
        <f>Table1181920231030313235[[#This Row],[النولون]]+Table1181920231030313235[[#This Row],[الايصالات]]+Table1181920231030313235[[#This Row],[قيمة مضافة]]</f>
        <v>0</v>
      </c>
      <c r="L67" s="1">
        <f>L66+Table1181920231030313235[[#This Row],[اجمالي الفاتوره]]-Table1181920231030313235[[#This Row],[الدفعات]]</f>
        <v>605591.88999999955</v>
      </c>
      <c r="N67" s="48"/>
    </row>
    <row r="68" spans="2:14" ht="26.25" customHeight="1" x14ac:dyDescent="0.3">
      <c r="B68" s="2"/>
      <c r="J68" s="1">
        <f>Table1181920231030313235[[#This Row],[النولون]]+Table1181920231030313235[[#This Row],[الايصالات]]+Table1181920231030313235[[#This Row],[قيمة مضافة]]</f>
        <v>0</v>
      </c>
      <c r="L68" s="1">
        <f>L67+Table1181920231030313235[[#This Row],[اجمالي الفاتوره]]-Table1181920231030313235[[#This Row],[الدفعات]]</f>
        <v>605591.88999999955</v>
      </c>
      <c r="N68" s="48"/>
    </row>
    <row r="69" spans="2:14" ht="26.25" customHeight="1" x14ac:dyDescent="0.3">
      <c r="B69" s="2"/>
      <c r="J69" s="1">
        <f>Table1181920231030313235[[#This Row],[النولون]]+Table1181920231030313235[[#This Row],[الايصالات]]+Table1181920231030313235[[#This Row],[قيمة مضافة]]</f>
        <v>0</v>
      </c>
      <c r="L69" s="1">
        <f>L68+Table1181920231030313235[[#This Row],[اجمالي الفاتوره]]-Table1181920231030313235[[#This Row],[الدفعات]]</f>
        <v>605591.88999999955</v>
      </c>
      <c r="N69" s="48"/>
    </row>
    <row r="70" spans="2:14" ht="26.25" customHeight="1" x14ac:dyDescent="0.3">
      <c r="B70" s="2"/>
      <c r="J70" s="1">
        <f>Table1181920231030313235[[#This Row],[النولون]]+Table1181920231030313235[[#This Row],[الايصالات]]+Table1181920231030313235[[#This Row],[قيمة مضافة]]</f>
        <v>0</v>
      </c>
      <c r="L70" s="1">
        <f>L69+Table1181920231030313235[[#This Row],[اجمالي الفاتوره]]-Table1181920231030313235[[#This Row],[الدفعات]]</f>
        <v>605591.88999999955</v>
      </c>
      <c r="N70" s="48"/>
    </row>
    <row r="71" spans="2:14" ht="26.25" customHeight="1" x14ac:dyDescent="0.3">
      <c r="B71" s="2"/>
      <c r="J71" s="1">
        <f>Table1181920231030313235[[#This Row],[النولون]]+Table1181920231030313235[[#This Row],[الايصالات]]+Table1181920231030313235[[#This Row],[قيمة مضافة]]</f>
        <v>0</v>
      </c>
      <c r="L71" s="1">
        <f>L70+Table1181920231030313235[[#This Row],[اجمالي الفاتوره]]-Table1181920231030313235[[#This Row],[الدفعات]]</f>
        <v>605591.88999999955</v>
      </c>
      <c r="N71" s="48"/>
    </row>
    <row r="72" spans="2:14" ht="26.25" customHeight="1" x14ac:dyDescent="0.3">
      <c r="B72" s="2"/>
      <c r="J72" s="1">
        <f>Table1181920231030313235[[#This Row],[النولون]]+Table1181920231030313235[[#This Row],[الايصالات]]+Table1181920231030313235[[#This Row],[قيمة مضافة]]</f>
        <v>0</v>
      </c>
      <c r="L72" s="1">
        <f>L71+Table1181920231030313235[[#This Row],[اجمالي الفاتوره]]-Table1181920231030313235[[#This Row],[الدفعات]]</f>
        <v>605591.88999999955</v>
      </c>
      <c r="N72" s="48"/>
    </row>
    <row r="73" spans="2:14" ht="26.25" customHeight="1" x14ac:dyDescent="0.3">
      <c r="B73" s="2"/>
      <c r="J73" s="1">
        <f>Table1181920231030313235[[#This Row],[النولون]]+Table1181920231030313235[[#This Row],[الايصالات]]+Table1181920231030313235[[#This Row],[قيمة مضافة]]</f>
        <v>0</v>
      </c>
      <c r="L73" s="1">
        <f>L72+Table1181920231030313235[[#This Row],[اجمالي الفاتوره]]-Table1181920231030313235[[#This Row],[الدفعات]]</f>
        <v>605591.88999999955</v>
      </c>
      <c r="N73" s="48"/>
    </row>
    <row r="74" spans="2:14" ht="26.25" customHeight="1" x14ac:dyDescent="0.3">
      <c r="B74" s="2"/>
      <c r="J74" s="1">
        <f>Table1181920231030313235[[#This Row],[النولون]]+Table1181920231030313235[[#This Row],[الايصالات]]+Table1181920231030313235[[#This Row],[قيمة مضافة]]</f>
        <v>0</v>
      </c>
      <c r="L74" s="1">
        <f>L73+Table1181920231030313235[[#This Row],[اجمالي الفاتوره]]-Table1181920231030313235[[#This Row],[الدفعات]]</f>
        <v>605591.88999999955</v>
      </c>
      <c r="N74" s="48"/>
    </row>
    <row r="75" spans="2:14" ht="26.25" customHeight="1" x14ac:dyDescent="0.3">
      <c r="B75" s="2"/>
      <c r="J75" s="1">
        <f>Table1181920231030313235[[#This Row],[النولون]]+Table1181920231030313235[[#This Row],[الايصالات]]+Table1181920231030313235[[#This Row],[قيمة مضافة]]</f>
        <v>0</v>
      </c>
      <c r="L75" s="1">
        <f>L74+Table1181920231030313235[[#This Row],[اجمالي الفاتوره]]-Table1181920231030313235[[#This Row],[الدفعات]]</f>
        <v>605591.88999999955</v>
      </c>
      <c r="N75" s="48"/>
    </row>
    <row r="76" spans="2:14" ht="26.25" customHeight="1" x14ac:dyDescent="0.3">
      <c r="B76" s="2"/>
      <c r="J76" s="1">
        <f>Table1181920231030313235[[#This Row],[النولون]]+Table1181920231030313235[[#This Row],[الايصالات]]+Table1181920231030313235[[#This Row],[قيمة مضافة]]</f>
        <v>0</v>
      </c>
      <c r="L76" s="1">
        <f>L75+Table1181920231030313235[[#This Row],[اجمالي الفاتوره]]-Table1181920231030313235[[#This Row],[الدفعات]]</f>
        <v>605591.88999999955</v>
      </c>
      <c r="N76" s="48"/>
    </row>
    <row r="77" spans="2:14" ht="26.25" customHeight="1" x14ac:dyDescent="0.3">
      <c r="B77" s="2"/>
      <c r="J77" s="1">
        <f>Table1181920231030313235[[#This Row],[النولون]]+Table1181920231030313235[[#This Row],[الايصالات]]+Table1181920231030313235[[#This Row],[قيمة مضافة]]</f>
        <v>0</v>
      </c>
      <c r="L77" s="1">
        <f>L76+Table1181920231030313235[[#This Row],[اجمالي الفاتوره]]-Table1181920231030313235[[#This Row],[الدفعات]]</f>
        <v>605591.88999999955</v>
      </c>
      <c r="N77" s="48"/>
    </row>
    <row r="78" spans="2:14" ht="26.25" customHeight="1" x14ac:dyDescent="0.3">
      <c r="B78" s="2"/>
      <c r="J78" s="1">
        <f>Table1181920231030313235[[#This Row],[النولون]]+Table1181920231030313235[[#This Row],[الايصالات]]+Table1181920231030313235[[#This Row],[قيمة مضافة]]</f>
        <v>0</v>
      </c>
      <c r="L78" s="1">
        <f>L77+Table1181920231030313235[[#This Row],[اجمالي الفاتوره]]-Table1181920231030313235[[#This Row],[الدفعات]]</f>
        <v>605591.88999999955</v>
      </c>
      <c r="N78" s="48"/>
    </row>
    <row r="79" spans="2:14" ht="26.25" customHeight="1" x14ac:dyDescent="0.3">
      <c r="B79" s="2"/>
      <c r="J79" s="1">
        <f>Table1181920231030313235[[#This Row],[النولون]]+Table1181920231030313235[[#This Row],[الايصالات]]+Table1181920231030313235[[#This Row],[قيمة مضافة]]</f>
        <v>0</v>
      </c>
      <c r="L79" s="1">
        <f>L78+Table1181920231030313235[[#This Row],[اجمالي الفاتوره]]-Table1181920231030313235[[#This Row],[الدفعات]]</f>
        <v>605591.88999999955</v>
      </c>
      <c r="N79" s="48"/>
    </row>
    <row r="80" spans="2:14" ht="26.25" customHeight="1" x14ac:dyDescent="0.3">
      <c r="B80" s="2"/>
      <c r="J80" s="1">
        <f>Table1181920231030313235[[#This Row],[النولون]]+Table1181920231030313235[[#This Row],[الايصالات]]+Table1181920231030313235[[#This Row],[قيمة مضافة]]</f>
        <v>0</v>
      </c>
      <c r="L80" s="1">
        <f>L79+Table1181920231030313235[[#This Row],[اجمالي الفاتوره]]-Table1181920231030313235[[#This Row],[الدفعات]]</f>
        <v>605591.88999999955</v>
      </c>
      <c r="N80" s="48"/>
    </row>
    <row r="81" spans="2:14" ht="26.25" customHeight="1" x14ac:dyDescent="0.3">
      <c r="B81" s="2"/>
      <c r="J81" s="1">
        <f>Table1181920231030313235[[#This Row],[النولون]]+Table1181920231030313235[[#This Row],[الايصالات]]+Table1181920231030313235[[#This Row],[قيمة مضافة]]</f>
        <v>0</v>
      </c>
      <c r="L81" s="1">
        <f>L80+Table1181920231030313235[[#This Row],[اجمالي الفاتوره]]-Table1181920231030313235[[#This Row],[الدفعات]]</f>
        <v>605591.88999999955</v>
      </c>
      <c r="N81" s="48"/>
    </row>
    <row r="82" spans="2:14" ht="26.25" customHeight="1" x14ac:dyDescent="0.3">
      <c r="B82" s="2"/>
      <c r="J82" s="1">
        <f>Table1181920231030313235[[#This Row],[النولون]]+Table1181920231030313235[[#This Row],[الايصالات]]+Table1181920231030313235[[#This Row],[قيمة مضافة]]</f>
        <v>0</v>
      </c>
      <c r="L82" s="1">
        <f>L81+Table1181920231030313235[[#This Row],[اجمالي الفاتوره]]-Table1181920231030313235[[#This Row],[الدفعات]]</f>
        <v>605591.88999999955</v>
      </c>
      <c r="N82" s="48"/>
    </row>
    <row r="83" spans="2:14" ht="26.25" customHeight="1" x14ac:dyDescent="0.3">
      <c r="B83" s="2"/>
      <c r="J83" s="1">
        <f>Table1181920231030313235[[#This Row],[النولون]]+Table1181920231030313235[[#This Row],[الايصالات]]+Table1181920231030313235[[#This Row],[قيمة مضافة]]</f>
        <v>0</v>
      </c>
      <c r="L83" s="1">
        <f>L82+Table1181920231030313235[[#This Row],[اجمالي الفاتوره]]-Table1181920231030313235[[#This Row],[الدفعات]]</f>
        <v>605591.88999999955</v>
      </c>
      <c r="N83" s="48"/>
    </row>
    <row r="84" spans="2:14" ht="26.25" customHeight="1" x14ac:dyDescent="0.3">
      <c r="B84" s="2"/>
      <c r="J84" s="1">
        <f>Table1181920231030313235[[#This Row],[النولون]]+Table1181920231030313235[[#This Row],[الايصالات]]+Table1181920231030313235[[#This Row],[قيمة مضافة]]</f>
        <v>0</v>
      </c>
      <c r="L84" s="1">
        <f>L83+Table1181920231030313235[[#This Row],[اجمالي الفاتوره]]-Table1181920231030313235[[#This Row],[الدفعات]]</f>
        <v>605591.88999999955</v>
      </c>
      <c r="N84" s="48"/>
    </row>
    <row r="85" spans="2:14" ht="26.25" customHeight="1" x14ac:dyDescent="0.3">
      <c r="B85" s="2"/>
      <c r="J85" s="1">
        <f>Table1181920231030313235[[#This Row],[النولون]]+Table1181920231030313235[[#This Row],[الايصالات]]+Table1181920231030313235[[#This Row],[قيمة مضافة]]</f>
        <v>0</v>
      </c>
      <c r="L85" s="1">
        <f>L84+Table1181920231030313235[[#This Row],[اجمالي الفاتوره]]-Table1181920231030313235[[#This Row],[الدفعات]]</f>
        <v>605591.88999999955</v>
      </c>
      <c r="N85" s="48"/>
    </row>
    <row r="86" spans="2:14" ht="26.25" customHeight="1" x14ac:dyDescent="0.3">
      <c r="B86" s="2"/>
      <c r="J86" s="1">
        <f>Table1181920231030313235[[#This Row],[النولون]]+Table1181920231030313235[[#This Row],[الايصالات]]+Table1181920231030313235[[#This Row],[قيمة مضافة]]</f>
        <v>0</v>
      </c>
      <c r="L86" s="1">
        <f>L85+Table1181920231030313235[[#This Row],[اجمالي الفاتوره]]-Table1181920231030313235[[#This Row],[الدفعات]]</f>
        <v>605591.88999999955</v>
      </c>
      <c r="N86" s="48"/>
    </row>
    <row r="87" spans="2:14" ht="26.25" customHeight="1" x14ac:dyDescent="0.3">
      <c r="J87" s="1">
        <f>Table1181920231030313235[[#This Row],[النولون]]+Table1181920231030313235[[#This Row],[الايصالات]]+Table1181920231030313235[[#This Row],[قيمة مضافة]]</f>
        <v>0</v>
      </c>
      <c r="L87" s="1">
        <f>L86+Table1181920231030313235[[#This Row],[اجمالي الفاتوره]]-Table1181920231030313235[[#This Row],[الدفعات]]</f>
        <v>605591.88999999955</v>
      </c>
      <c r="N87" s="48"/>
    </row>
    <row r="88" spans="2:14" ht="26.25" customHeight="1" x14ac:dyDescent="0.3">
      <c r="J88" s="1">
        <f>Table1181920231030313235[[#This Row],[النولون]]+Table1181920231030313235[[#This Row],[الايصالات]]+Table1181920231030313235[[#This Row],[قيمة مضافة]]</f>
        <v>0</v>
      </c>
      <c r="L88" s="1">
        <f>L87+Table1181920231030313235[[#This Row],[اجمالي الفاتوره]]-Table1181920231030313235[[#This Row],[الدفعات]]</f>
        <v>605591.88999999955</v>
      </c>
      <c r="N88" s="48"/>
    </row>
    <row r="89" spans="2:14" ht="26.25" customHeight="1" x14ac:dyDescent="0.3">
      <c r="J89" s="1">
        <f>Table1181920231030313235[[#This Row],[النولون]]+Table1181920231030313235[[#This Row],[الايصالات]]+Table1181920231030313235[[#This Row],[قيمة مضافة]]</f>
        <v>0</v>
      </c>
      <c r="L89" s="1">
        <f>L88+Table1181920231030313235[[#This Row],[اجمالي الفاتوره]]-Table1181920231030313235[[#This Row],[الدفعات]]</f>
        <v>605591.88999999955</v>
      </c>
      <c r="N89" s="48"/>
    </row>
    <row r="90" spans="2:14" ht="26.25" customHeight="1" x14ac:dyDescent="0.3">
      <c r="J90" s="1">
        <f>Table1181920231030313235[[#This Row],[النولون]]+Table1181920231030313235[[#This Row],[الايصالات]]+Table1181920231030313235[[#This Row],[قيمة مضافة]]</f>
        <v>0</v>
      </c>
      <c r="L90" s="1">
        <f>L89+Table1181920231030313235[[#This Row],[اجمالي الفاتوره]]-Table1181920231030313235[[#This Row],[الدفعات]]</f>
        <v>605591.88999999955</v>
      </c>
      <c r="N90" s="48"/>
    </row>
    <row r="91" spans="2:14" ht="26.25" customHeight="1" x14ac:dyDescent="0.3">
      <c r="J91" s="1">
        <f>Table1181920231030313235[[#This Row],[النولون]]+Table1181920231030313235[[#This Row],[الايصالات]]+Table1181920231030313235[[#This Row],[قيمة مضافة]]</f>
        <v>0</v>
      </c>
      <c r="L91" s="1">
        <f>L90+Table1181920231030313235[[#This Row],[اجمالي الفاتوره]]-Table1181920231030313235[[#This Row],[الدفعات]]</f>
        <v>605591.88999999955</v>
      </c>
      <c r="N91" s="48"/>
    </row>
    <row r="92" spans="2:14" ht="26.25" customHeight="1" x14ac:dyDescent="0.3">
      <c r="J92" s="1">
        <f>Table1181920231030313235[[#This Row],[النولون]]+Table1181920231030313235[[#This Row],[الايصالات]]+Table1181920231030313235[[#This Row],[قيمة مضافة]]</f>
        <v>0</v>
      </c>
      <c r="L92" s="1">
        <f>L91+Table1181920231030313235[[#This Row],[اجمالي الفاتوره]]-Table1181920231030313235[[#This Row],[الدفعات]]</f>
        <v>605591.88999999955</v>
      </c>
      <c r="N92" s="48"/>
    </row>
    <row r="93" spans="2:14" ht="26.25" customHeight="1" x14ac:dyDescent="0.3">
      <c r="J93" s="1">
        <f>Table1181920231030313235[[#This Row],[النولون]]+Table1181920231030313235[[#This Row],[الايصالات]]+Table1181920231030313235[[#This Row],[قيمة مضافة]]</f>
        <v>0</v>
      </c>
      <c r="L93" s="1">
        <f>L92+Table1181920231030313235[[#This Row],[اجمالي الفاتوره]]-Table1181920231030313235[[#This Row],[الدفعات]]</f>
        <v>605591.88999999955</v>
      </c>
      <c r="N93" s="48"/>
    </row>
    <row r="94" spans="2:14" ht="26.25" customHeight="1" x14ac:dyDescent="0.3">
      <c r="J94" s="1">
        <f>Table1181920231030313235[[#This Row],[النولون]]+Table1181920231030313235[[#This Row],[الايصالات]]+Table1181920231030313235[[#This Row],[قيمة مضافة]]</f>
        <v>0</v>
      </c>
      <c r="L94" s="1">
        <f>L93+Table1181920231030313235[[#This Row],[اجمالي الفاتوره]]-Table1181920231030313235[[#This Row],[الدفعات]]</f>
        <v>605591.88999999955</v>
      </c>
      <c r="N94" s="48"/>
    </row>
    <row r="95" spans="2:14" ht="26.25" customHeight="1" x14ac:dyDescent="0.3">
      <c r="J95" s="1">
        <f>Table1181920231030313235[[#This Row],[النولون]]+Table1181920231030313235[[#This Row],[الايصالات]]+Table1181920231030313235[[#This Row],[قيمة مضافة]]</f>
        <v>0</v>
      </c>
      <c r="L95" s="1">
        <f>L94+Table1181920231030313235[[#This Row],[اجمالي الفاتوره]]-Table1181920231030313235[[#This Row],[الدفعات]]</f>
        <v>605591.88999999955</v>
      </c>
      <c r="N95" s="48"/>
    </row>
    <row r="96" spans="2:14" ht="26.25" customHeight="1" x14ac:dyDescent="0.3">
      <c r="J96" s="1">
        <f>Table1181920231030313235[[#This Row],[النولون]]+Table1181920231030313235[[#This Row],[الايصالات]]+Table1181920231030313235[[#This Row],[قيمة مضافة]]</f>
        <v>0</v>
      </c>
      <c r="L96" s="1">
        <f>L95+Table1181920231030313235[[#This Row],[اجمالي الفاتوره]]-Table1181920231030313235[[#This Row],[الدفعات]]</f>
        <v>605591.88999999955</v>
      </c>
      <c r="N96" s="48"/>
    </row>
    <row r="97" spans="10:14" ht="26.25" customHeight="1" x14ac:dyDescent="0.3">
      <c r="J97" s="1">
        <f>Table1181920231030313235[[#This Row],[النولون]]+Table1181920231030313235[[#This Row],[الايصالات]]+Table1181920231030313235[[#This Row],[قيمة مضافة]]</f>
        <v>0</v>
      </c>
      <c r="L97" s="1">
        <f>L96+Table1181920231030313235[[#This Row],[اجمالي الفاتوره]]-Table1181920231030313235[[#This Row],[الدفعات]]</f>
        <v>605591.88999999955</v>
      </c>
      <c r="N97" s="48"/>
    </row>
    <row r="98" spans="10:14" ht="26.25" customHeight="1" x14ac:dyDescent="0.3">
      <c r="J98" s="1">
        <f>Table1181920231030313235[[#This Row],[النولون]]+Table1181920231030313235[[#This Row],[الايصالات]]+Table1181920231030313235[[#This Row],[قيمة مضافة]]</f>
        <v>0</v>
      </c>
      <c r="L98" s="1">
        <f>L97+Table1181920231030313235[[#This Row],[اجمالي الفاتوره]]-Table1181920231030313235[[#This Row],[الدفعات]]</f>
        <v>605591.88999999955</v>
      </c>
      <c r="N98" s="48"/>
    </row>
    <row r="99" spans="10:14" ht="26.25" customHeight="1" x14ac:dyDescent="0.3">
      <c r="J99" s="1">
        <f>Table1181920231030313235[[#This Row],[النولون]]+Table1181920231030313235[[#This Row],[الايصالات]]+Table1181920231030313235[[#This Row],[قيمة مضافة]]</f>
        <v>0</v>
      </c>
      <c r="L99" s="1">
        <f>L98+Table1181920231030313235[[#This Row],[اجمالي الفاتوره]]-Table1181920231030313235[[#This Row],[الدفعات]]</f>
        <v>605591.88999999955</v>
      </c>
      <c r="N99" s="48"/>
    </row>
    <row r="100" spans="10:14" ht="26.25" customHeight="1" x14ac:dyDescent="0.3">
      <c r="J100" s="1">
        <f>Table1181920231030313235[[#This Row],[النولون]]+Table1181920231030313235[[#This Row],[الايصالات]]+Table1181920231030313235[[#This Row],[قيمة مضافة]]</f>
        <v>0</v>
      </c>
      <c r="L100" s="1">
        <f>L99+Table1181920231030313235[[#This Row],[اجمالي الفاتوره]]-Table1181920231030313235[[#This Row],[الدفعات]]</f>
        <v>605591.88999999955</v>
      </c>
      <c r="N100" s="48"/>
    </row>
    <row r="101" spans="10:14" ht="26.25" customHeight="1" x14ac:dyDescent="0.3">
      <c r="J101" s="1">
        <f>Table1181920231030313235[[#This Row],[النولون]]+Table1181920231030313235[[#This Row],[الايصالات]]+Table1181920231030313235[[#This Row],[قيمة مضافة]]</f>
        <v>0</v>
      </c>
      <c r="L101" s="1">
        <f>L100+Table1181920231030313235[[#This Row],[اجمالي الفاتوره]]-Table1181920231030313235[[#This Row],[الدفعات]]</f>
        <v>605591.88999999955</v>
      </c>
      <c r="N101" s="48"/>
    </row>
    <row r="102" spans="10:14" ht="26.25" customHeight="1" x14ac:dyDescent="0.3">
      <c r="J102" s="1">
        <f>Table1181920231030313235[[#This Row],[النولون]]+Table1181920231030313235[[#This Row],[الايصالات]]+Table1181920231030313235[[#This Row],[قيمة مضافة]]</f>
        <v>0</v>
      </c>
      <c r="L102" s="1">
        <f>L101+Table1181920231030313235[[#This Row],[اجمالي الفاتوره]]-Table1181920231030313235[[#This Row],[الدفعات]]</f>
        <v>605591.88999999955</v>
      </c>
      <c r="N102" s="48"/>
    </row>
    <row r="103" spans="10:14" ht="26.25" customHeight="1" x14ac:dyDescent="0.3">
      <c r="J103" s="1">
        <f>Table1181920231030313235[[#This Row],[النولون]]+Table1181920231030313235[[#This Row],[الايصالات]]+Table1181920231030313235[[#This Row],[قيمة مضافة]]</f>
        <v>0</v>
      </c>
      <c r="L103" s="1">
        <f>L102+Table1181920231030313235[[#This Row],[اجمالي الفاتوره]]-Table1181920231030313235[[#This Row],[الدفعات]]</f>
        <v>605591.88999999955</v>
      </c>
      <c r="N103" s="48"/>
    </row>
    <row r="104" spans="10:14" ht="26.25" customHeight="1" x14ac:dyDescent="0.3">
      <c r="J104" s="1">
        <f>Table1181920231030313235[[#This Row],[النولون]]+Table1181920231030313235[[#This Row],[الايصالات]]+Table1181920231030313235[[#This Row],[قيمة مضافة]]</f>
        <v>0</v>
      </c>
      <c r="L104" s="1">
        <f>L103+Table1181920231030313235[[#This Row],[اجمالي الفاتوره]]-Table1181920231030313235[[#This Row],[الدفعات]]</f>
        <v>605591.88999999955</v>
      </c>
      <c r="N104" s="48"/>
    </row>
    <row r="105" spans="10:14" ht="26.25" customHeight="1" x14ac:dyDescent="0.3">
      <c r="J105" s="1">
        <f>Table1181920231030313235[[#This Row],[النولون]]+Table1181920231030313235[[#This Row],[الايصالات]]+Table1181920231030313235[[#This Row],[قيمة مضافة]]</f>
        <v>0</v>
      </c>
      <c r="L105" s="1">
        <f>L104+Table1181920231030313235[[#This Row],[اجمالي الفاتوره]]-Table1181920231030313235[[#This Row],[الدفعات]]</f>
        <v>605591.88999999955</v>
      </c>
      <c r="N105" s="48"/>
    </row>
    <row r="106" spans="10:14" ht="26.25" customHeight="1" x14ac:dyDescent="0.3">
      <c r="J106" s="1">
        <f>Table1181920231030313235[[#This Row],[النولون]]+Table1181920231030313235[[#This Row],[الايصالات]]+Table1181920231030313235[[#This Row],[قيمة مضافة]]</f>
        <v>0</v>
      </c>
      <c r="L106" s="1">
        <f>L105+Table1181920231030313235[[#This Row],[اجمالي الفاتوره]]-Table1181920231030313235[[#This Row],[الدفعات]]</f>
        <v>605591.88999999955</v>
      </c>
      <c r="N106" s="48"/>
    </row>
    <row r="107" spans="10:14" ht="26.25" customHeight="1" x14ac:dyDescent="0.3">
      <c r="J107" s="1">
        <f>Table1181920231030313235[[#This Row],[النولون]]+Table1181920231030313235[[#This Row],[الايصالات]]+Table1181920231030313235[[#This Row],[قيمة مضافة]]</f>
        <v>0</v>
      </c>
      <c r="L107" s="1">
        <f>L106+Table1181920231030313235[[#This Row],[اجمالي الفاتوره]]-Table1181920231030313235[[#This Row],[الدفعات]]</f>
        <v>605591.88999999955</v>
      </c>
      <c r="N107" s="48"/>
    </row>
    <row r="108" spans="10:14" ht="26.25" customHeight="1" x14ac:dyDescent="0.3">
      <c r="J108" s="1">
        <f>Table1181920231030313235[[#This Row],[النولون]]+Table1181920231030313235[[#This Row],[الايصالات]]+Table1181920231030313235[[#This Row],[قيمة مضافة]]</f>
        <v>0</v>
      </c>
      <c r="L108" s="1">
        <f>L107+Table1181920231030313235[[#This Row],[اجمالي الفاتوره]]-Table1181920231030313235[[#This Row],[الدفعات]]</f>
        <v>605591.88999999955</v>
      </c>
      <c r="N108" s="48"/>
    </row>
    <row r="109" spans="10:14" ht="26.25" customHeight="1" x14ac:dyDescent="0.3">
      <c r="J109" s="1">
        <f>Table1181920231030313235[[#This Row],[النولون]]+Table1181920231030313235[[#This Row],[الايصالات]]+Table1181920231030313235[[#This Row],[قيمة مضافة]]</f>
        <v>0</v>
      </c>
      <c r="L109" s="1">
        <f>L108+Table1181920231030313235[[#This Row],[اجمالي الفاتوره]]-Table1181920231030313235[[#This Row],[الدفعات]]</f>
        <v>605591.88999999955</v>
      </c>
      <c r="N109" s="48"/>
    </row>
    <row r="110" spans="10:14" ht="26.25" customHeight="1" x14ac:dyDescent="0.3">
      <c r="J110" s="1">
        <f>Table1181920231030313235[[#This Row],[النولون]]+Table1181920231030313235[[#This Row],[الايصالات]]+Table1181920231030313235[[#This Row],[قيمة مضافة]]</f>
        <v>0</v>
      </c>
      <c r="L110" s="1">
        <f>L109+Table1181920231030313235[[#This Row],[اجمالي الفاتوره]]-Table1181920231030313235[[#This Row],[الدفعات]]</f>
        <v>605591.88999999955</v>
      </c>
      <c r="N110" s="48"/>
    </row>
    <row r="111" spans="10:14" ht="26.25" customHeight="1" x14ac:dyDescent="0.3">
      <c r="J111" s="1">
        <f>Table1181920231030313235[[#This Row],[النولون]]+Table1181920231030313235[[#This Row],[الايصالات]]+Table1181920231030313235[[#This Row],[قيمة مضافة]]</f>
        <v>0</v>
      </c>
      <c r="L111" s="1">
        <f>L110+Table1181920231030313235[[#This Row],[اجمالي الفاتوره]]-Table1181920231030313235[[#This Row],[الدفعات]]</f>
        <v>605591.88999999955</v>
      </c>
      <c r="N111" s="48"/>
    </row>
    <row r="112" spans="10:14" ht="26.25" customHeight="1" x14ac:dyDescent="0.3">
      <c r="J112" s="1">
        <f>Table1181920231030313235[[#This Row],[النولون]]+Table1181920231030313235[[#This Row],[الايصالات]]+Table1181920231030313235[[#This Row],[قيمة مضافة]]</f>
        <v>0</v>
      </c>
      <c r="L112" s="1">
        <f>L111+Table1181920231030313235[[#This Row],[اجمالي الفاتوره]]-Table1181920231030313235[[#This Row],[الدفعات]]</f>
        <v>605591.88999999955</v>
      </c>
      <c r="N112" s="48"/>
    </row>
    <row r="113" spans="10:14" ht="26.25" customHeight="1" x14ac:dyDescent="0.3">
      <c r="J113" s="1">
        <f>Table1181920231030313235[[#This Row],[النولون]]+Table1181920231030313235[[#This Row],[الايصالات]]+Table1181920231030313235[[#This Row],[قيمة مضافة]]</f>
        <v>0</v>
      </c>
      <c r="L113" s="1">
        <f>L112+Table1181920231030313235[[#This Row],[اجمالي الفاتوره]]-Table1181920231030313235[[#This Row],[الدفعات]]</f>
        <v>605591.88999999955</v>
      </c>
      <c r="N113" s="48"/>
    </row>
    <row r="114" spans="10:14" ht="26.25" customHeight="1" x14ac:dyDescent="0.3">
      <c r="J114" s="1">
        <f>Table1181920231030313235[[#This Row],[النولون]]+Table1181920231030313235[[#This Row],[الايصالات]]+Table1181920231030313235[[#This Row],[قيمة مضافة]]</f>
        <v>0</v>
      </c>
      <c r="L114" s="1">
        <f>L113+Table1181920231030313235[[#This Row],[اجمالي الفاتوره]]-Table1181920231030313235[[#This Row],[الدفعات]]</f>
        <v>605591.88999999955</v>
      </c>
      <c r="N114" s="48"/>
    </row>
    <row r="115" spans="10:14" ht="26.25" customHeight="1" x14ac:dyDescent="0.3">
      <c r="J115" s="1">
        <f>Table1181920231030313235[[#This Row],[النولون]]+Table1181920231030313235[[#This Row],[الايصالات]]+Table1181920231030313235[[#This Row],[قيمة مضافة]]</f>
        <v>0</v>
      </c>
      <c r="L115" s="1">
        <f>L114+Table1181920231030313235[[#This Row],[اجمالي الفاتوره]]-Table1181920231030313235[[#This Row],[الدفعات]]</f>
        <v>605591.88999999955</v>
      </c>
      <c r="N115" s="48"/>
    </row>
    <row r="116" spans="10:14" ht="26.25" customHeight="1" x14ac:dyDescent="0.3">
      <c r="J116" s="1">
        <f>Table1181920231030313235[[#This Row],[النولون]]+Table1181920231030313235[[#This Row],[الايصالات]]+Table1181920231030313235[[#This Row],[قيمة مضافة]]</f>
        <v>0</v>
      </c>
      <c r="L116" s="1">
        <f>L115+Table1181920231030313235[[#This Row],[اجمالي الفاتوره]]-Table1181920231030313235[[#This Row],[الدفعات]]</f>
        <v>605591.88999999955</v>
      </c>
      <c r="N116" s="48"/>
    </row>
    <row r="117" spans="10:14" ht="26.25" customHeight="1" x14ac:dyDescent="0.3">
      <c r="J117" s="1">
        <f>Table1181920231030313235[[#This Row],[النولون]]+Table1181920231030313235[[#This Row],[الايصالات]]+Table1181920231030313235[[#This Row],[قيمة مضافة]]</f>
        <v>0</v>
      </c>
      <c r="L117" s="1">
        <f>L116+Table1181920231030313235[[#This Row],[اجمالي الفاتوره]]-Table1181920231030313235[[#This Row],[الدفعات]]</f>
        <v>605591.88999999955</v>
      </c>
      <c r="N117" s="48"/>
    </row>
    <row r="118" spans="10:14" ht="26.25" customHeight="1" x14ac:dyDescent="0.3">
      <c r="J118" s="1">
        <f>Table1181920231030313235[[#This Row],[النولون]]+Table1181920231030313235[[#This Row],[الايصالات]]+Table1181920231030313235[[#This Row],[قيمة مضافة]]</f>
        <v>0</v>
      </c>
      <c r="L118" s="1">
        <f>L117+Table1181920231030313235[[#This Row],[اجمالي الفاتوره]]-Table1181920231030313235[[#This Row],[الدفعات]]</f>
        <v>605591.88999999955</v>
      </c>
      <c r="N118" s="48"/>
    </row>
    <row r="119" spans="10:14" ht="26.25" customHeight="1" x14ac:dyDescent="0.3">
      <c r="J119" s="1">
        <f>Table1181920231030313235[[#This Row],[النولون]]+Table1181920231030313235[[#This Row],[الايصالات]]+Table1181920231030313235[[#This Row],[قيمة مضافة]]</f>
        <v>0</v>
      </c>
      <c r="L119" s="1">
        <f>L118+Table1181920231030313235[[#This Row],[اجمالي الفاتوره]]-Table1181920231030313235[[#This Row],[الدفعات]]</f>
        <v>605591.88999999955</v>
      </c>
      <c r="N119" s="48"/>
    </row>
    <row r="120" spans="10:14" ht="26.25" customHeight="1" x14ac:dyDescent="0.3">
      <c r="J120" s="1">
        <f>Table1181920231030313235[[#This Row],[النولون]]+Table1181920231030313235[[#This Row],[الايصالات]]+Table1181920231030313235[[#This Row],[قيمة مضافة]]</f>
        <v>0</v>
      </c>
      <c r="L120" s="1">
        <f>L119+Table1181920231030313235[[#This Row],[اجمالي الفاتوره]]-Table1181920231030313235[[#This Row],[الدفعات]]</f>
        <v>605591.88999999955</v>
      </c>
      <c r="N120" s="48"/>
    </row>
    <row r="121" spans="10:14" ht="26.25" customHeight="1" x14ac:dyDescent="0.3">
      <c r="J121" s="1">
        <f>Table1181920231030313235[[#This Row],[النولون]]+Table1181920231030313235[[#This Row],[الايصالات]]+Table1181920231030313235[[#This Row],[قيمة مضافة]]</f>
        <v>0</v>
      </c>
      <c r="L121" s="1">
        <f>L120+Table1181920231030313235[[#This Row],[اجمالي الفاتوره]]-Table1181920231030313235[[#This Row],[الدفعات]]</f>
        <v>605591.88999999955</v>
      </c>
      <c r="N121" s="48"/>
    </row>
    <row r="122" spans="10:14" ht="26.25" customHeight="1" x14ac:dyDescent="0.3">
      <c r="J122" s="1">
        <f>Table1181920231030313235[[#This Row],[النولون]]+Table1181920231030313235[[#This Row],[الايصالات]]+Table1181920231030313235[[#This Row],[قيمة مضافة]]</f>
        <v>0</v>
      </c>
      <c r="L122" s="1">
        <f>L121+Table1181920231030313235[[#This Row],[اجمالي الفاتوره]]-Table1181920231030313235[[#This Row],[الدفعات]]</f>
        <v>605591.88999999955</v>
      </c>
      <c r="N122" s="48"/>
    </row>
    <row r="123" spans="10:14" ht="26.25" customHeight="1" x14ac:dyDescent="0.3">
      <c r="J123" s="1">
        <f>Table1181920231030313235[[#This Row],[النولون]]+Table1181920231030313235[[#This Row],[الايصالات]]+Table1181920231030313235[[#This Row],[قيمة مضافة]]</f>
        <v>0</v>
      </c>
      <c r="L123" s="1">
        <f>L122+Table1181920231030313235[[#This Row],[اجمالي الفاتوره]]-Table1181920231030313235[[#This Row],[الدفعات]]</f>
        <v>605591.88999999955</v>
      </c>
      <c r="N123" s="48"/>
    </row>
    <row r="124" spans="10:14" ht="26.25" customHeight="1" x14ac:dyDescent="0.3">
      <c r="J124" s="1">
        <f>Table1181920231030313235[[#This Row],[النولون]]+Table1181920231030313235[[#This Row],[الايصالات]]+Table1181920231030313235[[#This Row],[قيمة مضافة]]</f>
        <v>0</v>
      </c>
      <c r="L124" s="1">
        <f>L123+Table1181920231030313235[[#This Row],[اجمالي الفاتوره]]-Table1181920231030313235[[#This Row],[الدفعات]]</f>
        <v>605591.88999999955</v>
      </c>
      <c r="N124" s="48"/>
    </row>
    <row r="125" spans="10:14" ht="26.25" customHeight="1" x14ac:dyDescent="0.3">
      <c r="J125" s="1">
        <f>Table1181920231030313235[[#This Row],[النولون]]+Table1181920231030313235[[#This Row],[الايصالات]]+Table1181920231030313235[[#This Row],[قيمة مضافة]]</f>
        <v>0</v>
      </c>
      <c r="L125" s="1">
        <f>L124+Table1181920231030313235[[#This Row],[اجمالي الفاتوره]]-Table1181920231030313235[[#This Row],[الدفعات]]</f>
        <v>605591.88999999955</v>
      </c>
      <c r="N125" s="48"/>
    </row>
    <row r="126" spans="10:14" ht="26.25" customHeight="1" x14ac:dyDescent="0.3">
      <c r="J126" s="1">
        <f>Table1181920231030313235[[#This Row],[النولون]]+Table1181920231030313235[[#This Row],[الايصالات]]+Table1181920231030313235[[#This Row],[قيمة مضافة]]</f>
        <v>0</v>
      </c>
      <c r="L126" s="1">
        <f>L125+Table1181920231030313235[[#This Row],[اجمالي الفاتوره]]-Table1181920231030313235[[#This Row],[الدفعات]]</f>
        <v>605591.88999999955</v>
      </c>
      <c r="N126" s="48"/>
    </row>
    <row r="127" spans="10:14" ht="26.25" customHeight="1" x14ac:dyDescent="0.3">
      <c r="J127" s="1">
        <f>Table1181920231030313235[[#This Row],[النولون]]+Table1181920231030313235[[#This Row],[الايصالات]]+Table1181920231030313235[[#This Row],[قيمة مضافة]]</f>
        <v>0</v>
      </c>
      <c r="L127" s="1">
        <f>L126+Table1181920231030313235[[#This Row],[اجمالي الفاتوره]]-Table1181920231030313235[[#This Row],[الدفعات]]</f>
        <v>605591.88999999955</v>
      </c>
      <c r="N127" s="48"/>
    </row>
    <row r="128" spans="10:14" ht="26.25" customHeight="1" x14ac:dyDescent="0.3">
      <c r="J128" s="1">
        <f>Table1181920231030313235[[#This Row],[النولون]]+Table1181920231030313235[[#This Row],[الايصالات]]+Table1181920231030313235[[#This Row],[قيمة مضافة]]</f>
        <v>0</v>
      </c>
      <c r="L128" s="1">
        <f>L127+Table1181920231030313235[[#This Row],[اجمالي الفاتوره]]-Table1181920231030313235[[#This Row],[الدفعات]]</f>
        <v>605591.88999999955</v>
      </c>
      <c r="N128" s="48"/>
    </row>
    <row r="129" spans="10:14" ht="26.25" customHeight="1" x14ac:dyDescent="0.3">
      <c r="J129" s="1">
        <f>Table1181920231030313235[[#This Row],[النولون]]+Table1181920231030313235[[#This Row],[الايصالات]]+Table1181920231030313235[[#This Row],[قيمة مضافة]]</f>
        <v>0</v>
      </c>
      <c r="L129" s="1">
        <f>L128+Table1181920231030313235[[#This Row],[اجمالي الفاتوره]]-Table1181920231030313235[[#This Row],[الدفعات]]</f>
        <v>605591.88999999955</v>
      </c>
      <c r="N129" s="48"/>
    </row>
    <row r="130" spans="10:14" ht="26.25" customHeight="1" x14ac:dyDescent="0.3">
      <c r="J130" s="1">
        <f>Table1181920231030313235[[#This Row],[النولون]]+Table1181920231030313235[[#This Row],[الايصالات]]+Table1181920231030313235[[#This Row],[قيمة مضافة]]</f>
        <v>0</v>
      </c>
      <c r="L130" s="1">
        <f>L129+Table1181920231030313235[[#This Row],[اجمالي الفاتوره]]-Table1181920231030313235[[#This Row],[الدفعات]]</f>
        <v>605591.88999999955</v>
      </c>
      <c r="N130" s="48"/>
    </row>
    <row r="131" spans="10:14" ht="26.25" customHeight="1" x14ac:dyDescent="0.3">
      <c r="J131" s="1">
        <f>Table1181920231030313235[[#This Row],[النولون]]+Table1181920231030313235[[#This Row],[الايصالات]]+Table1181920231030313235[[#This Row],[قيمة مضافة]]</f>
        <v>0</v>
      </c>
      <c r="L131" s="1">
        <f>L130+Table1181920231030313235[[#This Row],[اجمالي الفاتوره]]-Table1181920231030313235[[#This Row],[الدفعات]]</f>
        <v>605591.88999999955</v>
      </c>
      <c r="N131" s="48"/>
    </row>
    <row r="132" spans="10:14" ht="26.25" customHeight="1" x14ac:dyDescent="0.3">
      <c r="J132" s="1">
        <f>Table1181920231030313235[[#This Row],[النولون]]+Table1181920231030313235[[#This Row],[الايصالات]]+Table1181920231030313235[[#This Row],[قيمة مضافة]]</f>
        <v>0</v>
      </c>
      <c r="L132" s="1">
        <f>L131+Table1181920231030313235[[#This Row],[اجمالي الفاتوره]]-Table1181920231030313235[[#This Row],[الدفعات]]</f>
        <v>605591.88999999955</v>
      </c>
      <c r="N132" s="48"/>
    </row>
    <row r="133" spans="10:14" ht="26.25" customHeight="1" x14ac:dyDescent="0.3">
      <c r="J133" s="1">
        <f>Table1181920231030313235[[#This Row],[النولون]]+Table1181920231030313235[[#This Row],[الايصالات]]+Table1181920231030313235[[#This Row],[قيمة مضافة]]</f>
        <v>0</v>
      </c>
      <c r="L133" s="1">
        <f>L132+Table1181920231030313235[[#This Row],[اجمالي الفاتوره]]-Table1181920231030313235[[#This Row],[الدفعات]]</f>
        <v>605591.88999999955</v>
      </c>
      <c r="N133" s="48"/>
    </row>
    <row r="134" spans="10:14" ht="26.25" customHeight="1" x14ac:dyDescent="0.3">
      <c r="J134" s="1">
        <f>Table1181920231030313235[[#This Row],[النولون]]+Table1181920231030313235[[#This Row],[الايصالات]]+Table1181920231030313235[[#This Row],[قيمة مضافة]]</f>
        <v>0</v>
      </c>
      <c r="L134" s="1">
        <f>L133+Table1181920231030313235[[#This Row],[اجمالي الفاتوره]]-Table1181920231030313235[[#This Row],[الدفعات]]</f>
        <v>605591.88999999955</v>
      </c>
      <c r="N134" s="48"/>
    </row>
    <row r="135" spans="10:14" ht="26.25" customHeight="1" x14ac:dyDescent="0.3">
      <c r="J135" s="1">
        <f>Table1181920231030313235[[#This Row],[النولون]]+Table1181920231030313235[[#This Row],[الايصالات]]+Table1181920231030313235[[#This Row],[قيمة مضافة]]</f>
        <v>0</v>
      </c>
      <c r="L135" s="1">
        <f>L134+Table1181920231030313235[[#This Row],[اجمالي الفاتوره]]-Table1181920231030313235[[#This Row],[الدفعات]]</f>
        <v>605591.88999999955</v>
      </c>
      <c r="N135" s="48"/>
    </row>
    <row r="136" spans="10:14" ht="26.25" customHeight="1" x14ac:dyDescent="0.3">
      <c r="J136" s="1">
        <f>Table1181920231030313235[[#This Row],[النولون]]+Table1181920231030313235[[#This Row],[الايصالات]]+Table1181920231030313235[[#This Row],[قيمة مضافة]]</f>
        <v>0</v>
      </c>
      <c r="L136" s="1">
        <f>L135+Table1181920231030313235[[#This Row],[اجمالي الفاتوره]]-Table1181920231030313235[[#This Row],[الدفعات]]</f>
        <v>605591.88999999955</v>
      </c>
      <c r="N136" s="48"/>
    </row>
    <row r="137" spans="10:14" ht="26.25" customHeight="1" x14ac:dyDescent="0.3">
      <c r="J137" s="1">
        <f>Table1181920231030313235[[#This Row],[النولون]]+Table1181920231030313235[[#This Row],[الايصالات]]+Table1181920231030313235[[#This Row],[قيمة مضافة]]</f>
        <v>0</v>
      </c>
      <c r="L137" s="1">
        <f>L136+Table1181920231030313235[[#This Row],[اجمالي الفاتوره]]-Table1181920231030313235[[#This Row],[الدفعات]]</f>
        <v>605591.88999999955</v>
      </c>
      <c r="N137" s="48"/>
    </row>
    <row r="138" spans="10:14" ht="26.25" customHeight="1" x14ac:dyDescent="0.3">
      <c r="J138" s="1">
        <f>Table1181920231030313235[[#This Row],[النولون]]+Table1181920231030313235[[#This Row],[الايصالات]]+Table1181920231030313235[[#This Row],[قيمة مضافة]]</f>
        <v>0</v>
      </c>
      <c r="L138" s="1">
        <f>L137+Table1181920231030313235[[#This Row],[اجمالي الفاتوره]]-Table1181920231030313235[[#This Row],[الدفعات]]</f>
        <v>605591.88999999955</v>
      </c>
      <c r="N138" s="48"/>
    </row>
    <row r="139" spans="10:14" ht="26.25" customHeight="1" x14ac:dyDescent="0.3">
      <c r="J139" s="1">
        <f>Table1181920231030313235[[#This Row],[النولون]]+Table1181920231030313235[[#This Row],[الايصالات]]+Table1181920231030313235[[#This Row],[قيمة مضافة]]</f>
        <v>0</v>
      </c>
      <c r="L139" s="1">
        <f>L138+Table1181920231030313235[[#This Row],[اجمالي الفاتوره]]-Table1181920231030313235[[#This Row],[الدفعات]]</f>
        <v>605591.88999999955</v>
      </c>
      <c r="N139" s="48"/>
    </row>
    <row r="140" spans="10:14" ht="26.25" customHeight="1" x14ac:dyDescent="0.3">
      <c r="J140" s="1">
        <f>Table1181920231030313235[[#This Row],[النولون]]+Table1181920231030313235[[#This Row],[الايصالات]]+Table1181920231030313235[[#This Row],[قيمة مضافة]]</f>
        <v>0</v>
      </c>
      <c r="L140" s="1">
        <f>L139+Table1181920231030313235[[#This Row],[اجمالي الفاتوره]]-Table1181920231030313235[[#This Row],[الدفعات]]</f>
        <v>605591.88999999955</v>
      </c>
      <c r="N140" s="48"/>
    </row>
    <row r="141" spans="10:14" ht="26.25" customHeight="1" x14ac:dyDescent="0.3">
      <c r="J141" s="1">
        <f>Table1181920231030313235[[#This Row],[النولون]]+Table1181920231030313235[[#This Row],[الايصالات]]+Table1181920231030313235[[#This Row],[قيمة مضافة]]</f>
        <v>0</v>
      </c>
      <c r="L141" s="1">
        <f>L140+Table1181920231030313235[[#This Row],[اجمالي الفاتوره]]-Table1181920231030313235[[#This Row],[الدفعات]]</f>
        <v>605591.88999999955</v>
      </c>
      <c r="N141" s="48"/>
    </row>
    <row r="142" spans="10:14" ht="26.25" customHeight="1" x14ac:dyDescent="0.3">
      <c r="J142" s="1">
        <f>Table1181920231030313235[[#This Row],[النولون]]+Table1181920231030313235[[#This Row],[الايصالات]]+Table1181920231030313235[[#This Row],[قيمة مضافة]]</f>
        <v>0</v>
      </c>
      <c r="L142" s="1">
        <f>L141+Table1181920231030313235[[#This Row],[اجمالي الفاتوره]]-Table1181920231030313235[[#This Row],[الدفعات]]</f>
        <v>605591.88999999955</v>
      </c>
      <c r="N142" s="48"/>
    </row>
    <row r="143" spans="10:14" ht="26.25" customHeight="1" x14ac:dyDescent="0.3">
      <c r="J143" s="1">
        <f>Table1181920231030313235[[#This Row],[النولون]]+Table1181920231030313235[[#This Row],[الايصالات]]+Table1181920231030313235[[#This Row],[قيمة مضافة]]</f>
        <v>0</v>
      </c>
      <c r="L143" s="1">
        <f>L142+Table1181920231030313235[[#This Row],[اجمالي الفاتوره]]-Table1181920231030313235[[#This Row],[الدفعات]]</f>
        <v>605591.88999999955</v>
      </c>
      <c r="N143" s="48"/>
    </row>
    <row r="144" spans="10:14" ht="26.25" customHeight="1" x14ac:dyDescent="0.3">
      <c r="J144" s="1">
        <f>Table1181920231030313235[[#This Row],[النولون]]+Table1181920231030313235[[#This Row],[الايصالات]]+Table1181920231030313235[[#This Row],[قيمة مضافة]]</f>
        <v>0</v>
      </c>
      <c r="L144" s="1">
        <f>L143+Table1181920231030313235[[#This Row],[اجمالي الفاتوره]]-Table1181920231030313235[[#This Row],[الدفعات]]</f>
        <v>605591.88999999955</v>
      </c>
      <c r="N144" s="48"/>
    </row>
    <row r="145" spans="10:14" ht="26.25" customHeight="1" x14ac:dyDescent="0.3">
      <c r="J145" s="1">
        <f>Table1181920231030313235[[#This Row],[النولون]]+Table1181920231030313235[[#This Row],[الايصالات]]+Table1181920231030313235[[#This Row],[قيمة مضافة]]</f>
        <v>0</v>
      </c>
      <c r="L145" s="1">
        <f>L144+Table1181920231030313235[[#This Row],[اجمالي الفاتوره]]-Table1181920231030313235[[#This Row],[الدفعات]]</f>
        <v>605591.88999999955</v>
      </c>
      <c r="N145" s="48"/>
    </row>
    <row r="146" spans="10:14" ht="26.25" customHeight="1" x14ac:dyDescent="0.3">
      <c r="J146" s="1">
        <f>Table1181920231030313235[[#This Row],[النولون]]+Table1181920231030313235[[#This Row],[الايصالات]]+Table1181920231030313235[[#This Row],[قيمة مضافة]]</f>
        <v>0</v>
      </c>
      <c r="L146" s="1">
        <f>L145+Table1181920231030313235[[#This Row],[اجمالي الفاتوره]]-Table1181920231030313235[[#This Row],[الدفعات]]</f>
        <v>605591.88999999955</v>
      </c>
      <c r="N146" s="48"/>
    </row>
    <row r="147" spans="10:14" ht="26.25" customHeight="1" x14ac:dyDescent="0.3">
      <c r="J147" s="1">
        <f>Table1181920231030313235[[#This Row],[النولون]]+Table1181920231030313235[[#This Row],[الايصالات]]+Table1181920231030313235[[#This Row],[قيمة مضافة]]</f>
        <v>0</v>
      </c>
      <c r="L147" s="1">
        <f>L146+Table1181920231030313235[[#This Row],[اجمالي الفاتوره]]-Table1181920231030313235[[#This Row],[الدفعات]]</f>
        <v>605591.88999999955</v>
      </c>
      <c r="N147" s="48"/>
    </row>
    <row r="148" spans="10:14" ht="26.25" customHeight="1" x14ac:dyDescent="0.3">
      <c r="J148" s="1">
        <f>Table1181920231030313235[[#This Row],[النولون]]+Table1181920231030313235[[#This Row],[الايصالات]]+Table1181920231030313235[[#This Row],[قيمة مضافة]]</f>
        <v>0</v>
      </c>
      <c r="L148" s="1">
        <f>L147+Table1181920231030313235[[#This Row],[اجمالي الفاتوره]]-Table1181920231030313235[[#This Row],[الدفعات]]</f>
        <v>605591.88999999955</v>
      </c>
      <c r="N148" s="48"/>
    </row>
    <row r="149" spans="10:14" ht="26.25" customHeight="1" x14ac:dyDescent="0.3">
      <c r="J149" s="1">
        <f>Table1181920231030313235[[#This Row],[النولون]]+Table1181920231030313235[[#This Row],[الايصالات]]+Table1181920231030313235[[#This Row],[قيمة مضافة]]</f>
        <v>0</v>
      </c>
      <c r="L149" s="1">
        <f>L148+Table1181920231030313235[[#This Row],[اجمالي الفاتوره]]-Table1181920231030313235[[#This Row],[الدفعات]]</f>
        <v>605591.88999999955</v>
      </c>
      <c r="N149" s="48"/>
    </row>
    <row r="150" spans="10:14" ht="26.25" customHeight="1" x14ac:dyDescent="0.3">
      <c r="J150" s="1">
        <f>Table1181920231030313235[[#This Row],[النولون]]+Table1181920231030313235[[#This Row],[الايصالات]]+Table1181920231030313235[[#This Row],[قيمة مضافة]]</f>
        <v>0</v>
      </c>
      <c r="L150" s="1">
        <f>L149+Table1181920231030313235[[#This Row],[اجمالي الفاتوره]]-Table1181920231030313235[[#This Row],[الدفعات]]</f>
        <v>605591.88999999955</v>
      </c>
      <c r="N150" s="48"/>
    </row>
    <row r="151" spans="10:14" ht="26.25" customHeight="1" x14ac:dyDescent="0.3">
      <c r="J151" s="1">
        <f>Table1181920231030313235[[#This Row],[النولون]]+Table1181920231030313235[[#This Row],[الايصالات]]+Table1181920231030313235[[#This Row],[قيمة مضافة]]</f>
        <v>0</v>
      </c>
      <c r="L151" s="1">
        <f>L150+Table1181920231030313235[[#This Row],[اجمالي الفاتوره]]-Table1181920231030313235[[#This Row],[الدفعات]]</f>
        <v>605591.88999999955</v>
      </c>
      <c r="N151" s="48"/>
    </row>
    <row r="152" spans="10:14" ht="26.25" customHeight="1" x14ac:dyDescent="0.3">
      <c r="J152" s="1">
        <f>Table1181920231030313235[[#This Row],[النولون]]+Table1181920231030313235[[#This Row],[الايصالات]]+Table1181920231030313235[[#This Row],[قيمة مضافة]]</f>
        <v>0</v>
      </c>
      <c r="L152" s="1">
        <f>L151+Table1181920231030313235[[#This Row],[اجمالي الفاتوره]]-Table1181920231030313235[[#This Row],[الدفعات]]</f>
        <v>605591.88999999955</v>
      </c>
      <c r="N152" s="48"/>
    </row>
    <row r="153" spans="10:14" ht="26.25" customHeight="1" x14ac:dyDescent="0.3">
      <c r="J153" s="1">
        <f>Table1181920231030313235[[#This Row],[النولون]]+Table1181920231030313235[[#This Row],[الايصالات]]+Table1181920231030313235[[#This Row],[قيمة مضافة]]</f>
        <v>0</v>
      </c>
      <c r="L153" s="1">
        <f>L152+Table1181920231030313235[[#This Row],[اجمالي الفاتوره]]-Table1181920231030313235[[#This Row],[الدفعات]]</f>
        <v>605591.88999999955</v>
      </c>
      <c r="N153" s="48"/>
    </row>
    <row r="154" spans="10:14" ht="26.25" customHeight="1" x14ac:dyDescent="0.3">
      <c r="J154" s="1">
        <f>Table1181920231030313235[[#This Row],[النولون]]+Table1181920231030313235[[#This Row],[الايصالات]]+Table1181920231030313235[[#This Row],[قيمة مضافة]]</f>
        <v>0</v>
      </c>
      <c r="L154" s="1">
        <f>L153+Table1181920231030313235[[#This Row],[اجمالي الفاتوره]]-Table1181920231030313235[[#This Row],[الدفعات]]</f>
        <v>605591.88999999955</v>
      </c>
      <c r="N154" s="48"/>
    </row>
    <row r="155" spans="10:14" ht="26.25" customHeight="1" x14ac:dyDescent="0.3">
      <c r="J155" s="1">
        <f>Table1181920231030313235[[#This Row],[النولون]]+Table1181920231030313235[[#This Row],[الايصالات]]+Table1181920231030313235[[#This Row],[قيمة مضافة]]</f>
        <v>0</v>
      </c>
      <c r="L155" s="1">
        <f>L154+Table1181920231030313235[[#This Row],[اجمالي الفاتوره]]-Table1181920231030313235[[#This Row],[الدفعات]]</f>
        <v>605591.88999999955</v>
      </c>
      <c r="N155" s="48"/>
    </row>
    <row r="156" spans="10:14" ht="26.25" customHeight="1" x14ac:dyDescent="0.3">
      <c r="J156" s="1">
        <f>Table1181920231030313235[[#This Row],[النولون]]+Table1181920231030313235[[#This Row],[الايصالات]]+Table1181920231030313235[[#This Row],[قيمة مضافة]]</f>
        <v>0</v>
      </c>
      <c r="L156" s="1">
        <f>L155+Table1181920231030313235[[#This Row],[اجمالي الفاتوره]]-Table1181920231030313235[[#This Row],[الدفعات]]</f>
        <v>605591.88999999955</v>
      </c>
      <c r="N156" s="48"/>
    </row>
    <row r="157" spans="10:14" ht="26.25" customHeight="1" x14ac:dyDescent="0.3">
      <c r="J157" s="1">
        <f>Table1181920231030313235[[#This Row],[النولون]]+Table1181920231030313235[[#This Row],[الايصالات]]+Table1181920231030313235[[#This Row],[قيمة مضافة]]</f>
        <v>0</v>
      </c>
      <c r="L157" s="1">
        <f>L156+Table1181920231030313235[[#This Row],[اجمالي الفاتوره]]-Table1181920231030313235[[#This Row],[الدفعات]]</f>
        <v>605591.88999999955</v>
      </c>
      <c r="N157" s="48"/>
    </row>
    <row r="158" spans="10:14" ht="26.25" customHeight="1" x14ac:dyDescent="0.3">
      <c r="J158" s="1">
        <f>Table1181920231030313235[[#This Row],[النولون]]+Table1181920231030313235[[#This Row],[الايصالات]]+Table1181920231030313235[[#This Row],[قيمة مضافة]]</f>
        <v>0</v>
      </c>
      <c r="L158" s="1">
        <f>L157+Table1181920231030313235[[#This Row],[اجمالي الفاتوره]]-Table1181920231030313235[[#This Row],[الدفعات]]</f>
        <v>605591.88999999955</v>
      </c>
      <c r="N158" s="48"/>
    </row>
    <row r="159" spans="10:14" ht="26.25" customHeight="1" x14ac:dyDescent="0.3">
      <c r="J159" s="1">
        <f>Table1181920231030313235[[#This Row],[النولون]]+Table1181920231030313235[[#This Row],[الايصالات]]+Table1181920231030313235[[#This Row],[قيمة مضافة]]</f>
        <v>0</v>
      </c>
      <c r="L159" s="1">
        <f>L158+Table1181920231030313235[[#This Row],[اجمالي الفاتوره]]-Table1181920231030313235[[#This Row],[الدفعات]]</f>
        <v>605591.88999999955</v>
      </c>
      <c r="N159" s="48"/>
    </row>
    <row r="160" spans="10:14" ht="26.25" customHeight="1" x14ac:dyDescent="0.3">
      <c r="J160" s="1">
        <f>Table1181920231030313235[[#This Row],[النولون]]+Table1181920231030313235[[#This Row],[الايصالات]]+Table1181920231030313235[[#This Row],[قيمة مضافة]]</f>
        <v>0</v>
      </c>
      <c r="L160" s="1">
        <f>L159+Table1181920231030313235[[#This Row],[اجمالي الفاتوره]]-Table1181920231030313235[[#This Row],[الدفعات]]</f>
        <v>605591.88999999955</v>
      </c>
      <c r="N160" s="48"/>
    </row>
    <row r="161" spans="10:14" ht="26.25" customHeight="1" x14ac:dyDescent="0.3">
      <c r="J161" s="1">
        <f>Table1181920231030313235[[#This Row],[النولون]]+Table1181920231030313235[[#This Row],[الايصالات]]+Table1181920231030313235[[#This Row],[قيمة مضافة]]</f>
        <v>0</v>
      </c>
      <c r="L161" s="1">
        <f>L160+Table1181920231030313235[[#This Row],[اجمالي الفاتوره]]-Table1181920231030313235[[#This Row],[الدفعات]]</f>
        <v>605591.88999999955</v>
      </c>
      <c r="N161" s="48"/>
    </row>
    <row r="162" spans="10:14" ht="26.25" customHeight="1" x14ac:dyDescent="0.3">
      <c r="J162" s="1">
        <f>Table1181920231030313235[[#This Row],[النولون]]+Table1181920231030313235[[#This Row],[الايصالات]]+Table1181920231030313235[[#This Row],[قيمة مضافة]]</f>
        <v>0</v>
      </c>
      <c r="L162" s="1">
        <f>L161+Table1181920231030313235[[#This Row],[اجمالي الفاتوره]]-Table1181920231030313235[[#This Row],[الدفعات]]</f>
        <v>605591.88999999955</v>
      </c>
      <c r="N162" s="48"/>
    </row>
    <row r="163" spans="10:14" ht="26.25" customHeight="1" x14ac:dyDescent="0.3">
      <c r="J163" s="1">
        <f>Table1181920231030313235[[#This Row],[النولون]]+Table1181920231030313235[[#This Row],[الايصالات]]+Table1181920231030313235[[#This Row],[قيمة مضافة]]</f>
        <v>0</v>
      </c>
      <c r="L163" s="1">
        <f>L162+Table1181920231030313235[[#This Row],[اجمالي الفاتوره]]-Table1181920231030313235[[#This Row],[الدفعات]]</f>
        <v>605591.88999999955</v>
      </c>
      <c r="N163" s="48"/>
    </row>
    <row r="164" spans="10:14" ht="26.25" customHeight="1" x14ac:dyDescent="0.3">
      <c r="J164" s="1">
        <f>Table1181920231030313235[[#This Row],[النولون]]+Table1181920231030313235[[#This Row],[الايصالات]]+Table1181920231030313235[[#This Row],[قيمة مضافة]]</f>
        <v>0</v>
      </c>
      <c r="L164" s="1">
        <f>L163+Table1181920231030313235[[#This Row],[اجمالي الفاتوره]]-Table1181920231030313235[[#This Row],[الدفعات]]</f>
        <v>605591.88999999955</v>
      </c>
      <c r="N164" s="48"/>
    </row>
    <row r="165" spans="10:14" ht="26.25" customHeight="1" x14ac:dyDescent="0.3">
      <c r="J165" s="1">
        <f>Table1181920231030313235[[#This Row],[النولون]]+Table1181920231030313235[[#This Row],[الايصالات]]+Table1181920231030313235[[#This Row],[قيمة مضافة]]</f>
        <v>0</v>
      </c>
      <c r="L165" s="1">
        <f>L164+Table1181920231030313235[[#This Row],[اجمالي الفاتوره]]-Table1181920231030313235[[#This Row],[الدفعات]]</f>
        <v>605591.88999999955</v>
      </c>
      <c r="N165" s="48"/>
    </row>
    <row r="166" spans="10:14" ht="26.25" customHeight="1" x14ac:dyDescent="0.3">
      <c r="J166" s="1">
        <f>Table1181920231030313235[[#This Row],[النولون]]+Table1181920231030313235[[#This Row],[الايصالات]]+Table1181920231030313235[[#This Row],[قيمة مضافة]]</f>
        <v>0</v>
      </c>
      <c r="L166" s="1">
        <f>L165+Table1181920231030313235[[#This Row],[اجمالي الفاتوره]]-Table1181920231030313235[[#This Row],[الدفعات]]</f>
        <v>605591.88999999955</v>
      </c>
      <c r="N166" s="48"/>
    </row>
    <row r="167" spans="10:14" ht="26.25" customHeight="1" x14ac:dyDescent="0.3">
      <c r="J167" s="1">
        <f>Table1181920231030313235[[#This Row],[النولون]]+Table1181920231030313235[[#This Row],[الايصالات]]+Table1181920231030313235[[#This Row],[قيمة مضافة]]</f>
        <v>0</v>
      </c>
      <c r="L167" s="1">
        <f>L166+Table1181920231030313235[[#This Row],[اجمالي الفاتوره]]-Table1181920231030313235[[#This Row],[الدفعات]]</f>
        <v>605591.88999999955</v>
      </c>
      <c r="N167" s="48"/>
    </row>
    <row r="168" spans="10:14" ht="26.25" customHeight="1" x14ac:dyDescent="0.3">
      <c r="J168" s="1">
        <f>Table1181920231030313235[[#This Row],[النولون]]+Table1181920231030313235[[#This Row],[الايصالات]]+Table1181920231030313235[[#This Row],[قيمة مضافة]]</f>
        <v>0</v>
      </c>
      <c r="L168" s="1">
        <f>L167+Table1181920231030313235[[#This Row],[اجمالي الفاتوره]]-Table1181920231030313235[[#This Row],[الدفعات]]</f>
        <v>605591.88999999955</v>
      </c>
      <c r="N168" s="48"/>
    </row>
    <row r="169" spans="10:14" ht="26.25" customHeight="1" x14ac:dyDescent="0.3">
      <c r="J169" s="1">
        <f>Table1181920231030313235[[#This Row],[النولون]]+Table1181920231030313235[[#This Row],[الايصالات]]+Table1181920231030313235[[#This Row],[قيمة مضافة]]</f>
        <v>0</v>
      </c>
      <c r="L169" s="1">
        <f>L168+Table1181920231030313235[[#This Row],[اجمالي الفاتوره]]-Table1181920231030313235[[#This Row],[الدفعات]]</f>
        <v>605591.88999999955</v>
      </c>
      <c r="N169" s="48"/>
    </row>
    <row r="170" spans="10:14" ht="26.25" customHeight="1" x14ac:dyDescent="0.3">
      <c r="J170" s="1">
        <f>Table1181920231030313235[[#This Row],[النولون]]+Table1181920231030313235[[#This Row],[الايصالات]]+Table1181920231030313235[[#This Row],[قيمة مضافة]]</f>
        <v>0</v>
      </c>
      <c r="L170" s="1">
        <f>L169+Table1181920231030313235[[#This Row],[اجمالي الفاتوره]]-Table1181920231030313235[[#This Row],[الدفعات]]</f>
        <v>605591.88999999955</v>
      </c>
      <c r="N170" s="48"/>
    </row>
    <row r="171" spans="10:14" ht="26.25" customHeight="1" x14ac:dyDescent="0.3">
      <c r="J171" s="1">
        <f>Table1181920231030313235[[#This Row],[النولون]]+Table1181920231030313235[[#This Row],[الايصالات]]+Table1181920231030313235[[#This Row],[قيمة مضافة]]</f>
        <v>0</v>
      </c>
      <c r="L171" s="1">
        <f>L170+Table1181920231030313235[[#This Row],[اجمالي الفاتوره]]-Table1181920231030313235[[#This Row],[الدفعات]]</f>
        <v>605591.88999999955</v>
      </c>
      <c r="N171" s="48"/>
    </row>
    <row r="172" spans="10:14" ht="26.25" customHeight="1" x14ac:dyDescent="0.3">
      <c r="J172" s="1">
        <f>Table1181920231030313235[[#This Row],[النولون]]+Table1181920231030313235[[#This Row],[الايصالات]]+Table1181920231030313235[[#This Row],[قيمة مضافة]]</f>
        <v>0</v>
      </c>
      <c r="L172" s="1">
        <f>L171+Table1181920231030313235[[#This Row],[اجمالي الفاتوره]]-Table1181920231030313235[[#This Row],[الدفعات]]</f>
        <v>605591.88999999955</v>
      </c>
      <c r="N172" s="48"/>
    </row>
    <row r="173" spans="10:14" ht="26.25" customHeight="1" x14ac:dyDescent="0.3">
      <c r="J173" s="1">
        <f>Table1181920231030313235[[#This Row],[النولون]]+Table1181920231030313235[[#This Row],[الايصالات]]+Table1181920231030313235[[#This Row],[قيمة مضافة]]</f>
        <v>0</v>
      </c>
      <c r="L173" s="1">
        <f>L172+Table1181920231030313235[[#This Row],[اجمالي الفاتوره]]-Table1181920231030313235[[#This Row],[الدفعات]]</f>
        <v>605591.88999999955</v>
      </c>
      <c r="N173" s="48"/>
    </row>
    <row r="174" spans="10:14" ht="26.25" customHeight="1" x14ac:dyDescent="0.3">
      <c r="J174" s="1">
        <f>Table1181920231030313235[[#This Row],[النولون]]+Table1181920231030313235[[#This Row],[الايصالات]]+Table1181920231030313235[[#This Row],[قيمة مضافة]]</f>
        <v>0</v>
      </c>
      <c r="L174" s="1">
        <f>L173+Table1181920231030313235[[#This Row],[اجمالي الفاتوره]]-Table1181920231030313235[[#This Row],[الدفعات]]</f>
        <v>605591.88999999955</v>
      </c>
      <c r="N174" s="48"/>
    </row>
    <row r="175" spans="10:14" ht="26.25" customHeight="1" x14ac:dyDescent="0.3">
      <c r="J175" s="1">
        <f>Table1181920231030313235[[#This Row],[النولون]]+Table1181920231030313235[[#This Row],[الايصالات]]+Table1181920231030313235[[#This Row],[قيمة مضافة]]</f>
        <v>0</v>
      </c>
      <c r="L175" s="1">
        <f>L174+Table1181920231030313235[[#This Row],[اجمالي الفاتوره]]-Table1181920231030313235[[#This Row],[الدفعات]]</f>
        <v>605591.88999999955</v>
      </c>
      <c r="N175" s="48"/>
    </row>
    <row r="176" spans="10:14" ht="26.25" customHeight="1" x14ac:dyDescent="0.3">
      <c r="J176" s="1">
        <f>Table1181920231030313235[[#This Row],[النولون]]+Table1181920231030313235[[#This Row],[الايصالات]]+Table1181920231030313235[[#This Row],[قيمة مضافة]]</f>
        <v>0</v>
      </c>
      <c r="L176" s="1">
        <f>L175+Table1181920231030313235[[#This Row],[اجمالي الفاتوره]]-Table1181920231030313235[[#This Row],[الدفعات]]</f>
        <v>605591.88999999955</v>
      </c>
      <c r="N176" s="48"/>
    </row>
    <row r="177" spans="10:14" ht="26.25" customHeight="1" x14ac:dyDescent="0.3">
      <c r="J177" s="1">
        <f>Table1181920231030313235[[#This Row],[النولون]]+Table1181920231030313235[[#This Row],[الايصالات]]+Table1181920231030313235[[#This Row],[قيمة مضافة]]</f>
        <v>0</v>
      </c>
      <c r="L177" s="1">
        <f>L176+Table1181920231030313235[[#This Row],[اجمالي الفاتوره]]-Table1181920231030313235[[#This Row],[الدفعات]]</f>
        <v>605591.88999999955</v>
      </c>
      <c r="N177" s="48"/>
    </row>
    <row r="178" spans="10:14" ht="26.25" customHeight="1" x14ac:dyDescent="0.3">
      <c r="J178" s="1">
        <f>Table1181920231030313235[[#This Row],[النولون]]+Table1181920231030313235[[#This Row],[الايصالات]]+Table1181920231030313235[[#This Row],[قيمة مضافة]]</f>
        <v>0</v>
      </c>
      <c r="L178" s="1">
        <f>L177+Table1181920231030313235[[#This Row],[اجمالي الفاتوره]]-Table1181920231030313235[[#This Row],[الدفعات]]</f>
        <v>605591.88999999955</v>
      </c>
      <c r="N178" s="48"/>
    </row>
    <row r="179" spans="10:14" ht="26.25" customHeight="1" x14ac:dyDescent="0.3">
      <c r="J179" s="1">
        <f>Table1181920231030313235[[#This Row],[النولون]]+Table1181920231030313235[[#This Row],[الايصالات]]+Table1181920231030313235[[#This Row],[قيمة مضافة]]</f>
        <v>0</v>
      </c>
      <c r="L179" s="1">
        <f>L178+Table1181920231030313235[[#This Row],[اجمالي الفاتوره]]-Table1181920231030313235[[#This Row],[الدفعات]]</f>
        <v>605591.88999999955</v>
      </c>
      <c r="N179" s="48"/>
    </row>
    <row r="180" spans="10:14" ht="26.25" customHeight="1" x14ac:dyDescent="0.3">
      <c r="J180" s="1">
        <f>Table1181920231030313235[[#This Row],[النولون]]+Table1181920231030313235[[#This Row],[الايصالات]]+Table1181920231030313235[[#This Row],[قيمة مضافة]]</f>
        <v>0</v>
      </c>
      <c r="L180" s="1">
        <f>L179+Table1181920231030313235[[#This Row],[اجمالي الفاتوره]]-Table1181920231030313235[[#This Row],[الدفعات]]</f>
        <v>605591.88999999955</v>
      </c>
      <c r="N180" s="48"/>
    </row>
    <row r="181" spans="10:14" ht="26.25" customHeight="1" x14ac:dyDescent="0.3">
      <c r="J181" s="1">
        <f>Table1181920231030313235[[#This Row],[النولون]]+Table1181920231030313235[[#This Row],[الايصالات]]+Table1181920231030313235[[#This Row],[قيمة مضافة]]</f>
        <v>0</v>
      </c>
      <c r="L181" s="1">
        <f>L180+Table1181920231030313235[[#This Row],[اجمالي الفاتوره]]-Table1181920231030313235[[#This Row],[الدفعات]]</f>
        <v>605591.88999999955</v>
      </c>
      <c r="N181" s="48"/>
    </row>
    <row r="182" spans="10:14" ht="26.25" customHeight="1" x14ac:dyDescent="0.3">
      <c r="J182" s="1">
        <f>Table1181920231030313235[[#This Row],[النولون]]+Table1181920231030313235[[#This Row],[الايصالات]]+Table1181920231030313235[[#This Row],[قيمة مضافة]]</f>
        <v>0</v>
      </c>
      <c r="L182" s="1">
        <f>L181+Table1181920231030313235[[#This Row],[اجمالي الفاتوره]]-Table1181920231030313235[[#This Row],[الدفعات]]</f>
        <v>605591.88999999955</v>
      </c>
      <c r="N182" s="48"/>
    </row>
    <row r="183" spans="10:14" ht="26.25" customHeight="1" x14ac:dyDescent="0.3">
      <c r="J183" s="1">
        <f>Table1181920231030313235[[#This Row],[النولون]]+Table1181920231030313235[[#This Row],[الايصالات]]+Table1181920231030313235[[#This Row],[قيمة مضافة]]</f>
        <v>0</v>
      </c>
      <c r="L183" s="1">
        <f>L182+Table1181920231030313235[[#This Row],[اجمالي الفاتوره]]-Table1181920231030313235[[#This Row],[الدفعات]]</f>
        <v>605591.88999999955</v>
      </c>
      <c r="N183" s="48"/>
    </row>
    <row r="184" spans="10:14" ht="26.25" customHeight="1" x14ac:dyDescent="0.3">
      <c r="J184" s="1">
        <f>Table1181920231030313235[[#This Row],[النولون]]+Table1181920231030313235[[#This Row],[الايصالات]]+Table1181920231030313235[[#This Row],[قيمة مضافة]]</f>
        <v>0</v>
      </c>
      <c r="L184" s="1">
        <f>L183+Table1181920231030313235[[#This Row],[اجمالي الفاتوره]]-Table1181920231030313235[[#This Row],[الدفعات]]</f>
        <v>605591.88999999955</v>
      </c>
      <c r="N184" s="48"/>
    </row>
    <row r="185" spans="10:14" ht="26.25" customHeight="1" x14ac:dyDescent="0.3">
      <c r="J185" s="1">
        <f>Table1181920231030313235[[#This Row],[النولون]]+Table1181920231030313235[[#This Row],[الايصالات]]+Table1181920231030313235[[#This Row],[قيمة مضافة]]</f>
        <v>0</v>
      </c>
      <c r="L185" s="1">
        <f>L184+Table1181920231030313235[[#This Row],[اجمالي الفاتوره]]-Table1181920231030313235[[#This Row],[الدفعات]]</f>
        <v>605591.88999999955</v>
      </c>
      <c r="N185" s="48"/>
    </row>
    <row r="186" spans="10:14" ht="26.25" customHeight="1" x14ac:dyDescent="0.3">
      <c r="J186" s="1">
        <f>Table1181920231030313235[[#This Row],[النولون]]+Table1181920231030313235[[#This Row],[الايصالات]]+Table1181920231030313235[[#This Row],[قيمة مضافة]]</f>
        <v>0</v>
      </c>
      <c r="L186" s="1">
        <f>L185+Table1181920231030313235[[#This Row],[اجمالي الفاتوره]]-Table1181920231030313235[[#This Row],[الدفعات]]</f>
        <v>605591.88999999955</v>
      </c>
      <c r="N186" s="48"/>
    </row>
    <row r="187" spans="10:14" ht="26.25" customHeight="1" x14ac:dyDescent="0.3">
      <c r="J187" s="1">
        <f>Table1181920231030313235[[#This Row],[النولون]]+Table1181920231030313235[[#This Row],[الايصالات]]+Table1181920231030313235[[#This Row],[قيمة مضافة]]</f>
        <v>0</v>
      </c>
      <c r="L187" s="1">
        <f>L186+Table1181920231030313235[[#This Row],[اجمالي الفاتوره]]-Table1181920231030313235[[#This Row],[الدفعات]]</f>
        <v>605591.88999999955</v>
      </c>
      <c r="N187" s="48"/>
    </row>
    <row r="188" spans="10:14" ht="26.25" customHeight="1" x14ac:dyDescent="0.3">
      <c r="J188" s="1">
        <f>Table1181920231030313235[[#This Row],[النولون]]+Table1181920231030313235[[#This Row],[الايصالات]]+Table1181920231030313235[[#This Row],[قيمة مضافة]]</f>
        <v>0</v>
      </c>
      <c r="L188" s="1">
        <f>L187+Table1181920231030313235[[#This Row],[اجمالي الفاتوره]]-Table1181920231030313235[[#This Row],[الدفعات]]</f>
        <v>605591.88999999955</v>
      </c>
      <c r="N188" s="48"/>
    </row>
    <row r="189" spans="10:14" ht="26.25" customHeight="1" x14ac:dyDescent="0.3">
      <c r="J189" s="1">
        <f>Table1181920231030313235[[#This Row],[النولون]]+Table1181920231030313235[[#This Row],[الايصالات]]+Table1181920231030313235[[#This Row],[قيمة مضافة]]</f>
        <v>0</v>
      </c>
      <c r="L189" s="1">
        <f>L188+Table1181920231030313235[[#This Row],[اجمالي الفاتوره]]-Table1181920231030313235[[#This Row],[الدفعات]]</f>
        <v>605591.88999999955</v>
      </c>
      <c r="N189" s="48"/>
    </row>
    <row r="190" spans="10:14" ht="26.25" customHeight="1" x14ac:dyDescent="0.3">
      <c r="J190" s="1">
        <f>Table1181920231030313235[[#This Row],[النولون]]+Table1181920231030313235[[#This Row],[الايصالات]]+Table1181920231030313235[[#This Row],[قيمة مضافة]]</f>
        <v>0</v>
      </c>
      <c r="L190" s="1">
        <f>L189+Table1181920231030313235[[#This Row],[اجمالي الفاتوره]]-Table1181920231030313235[[#This Row],[الدفعات]]</f>
        <v>605591.88999999955</v>
      </c>
      <c r="N190" s="48"/>
    </row>
    <row r="191" spans="10:14" ht="26.25" customHeight="1" x14ac:dyDescent="0.3">
      <c r="J191" s="1">
        <f>Table1181920231030313235[[#This Row],[النولون]]+Table1181920231030313235[[#This Row],[الايصالات]]+Table1181920231030313235[[#This Row],[قيمة مضافة]]</f>
        <v>0</v>
      </c>
      <c r="L191" s="1">
        <f>L190+Table1181920231030313235[[#This Row],[اجمالي الفاتوره]]-Table1181920231030313235[[#This Row],[الدفعات]]</f>
        <v>605591.88999999955</v>
      </c>
      <c r="N191" s="48"/>
    </row>
    <row r="192" spans="10:14" ht="26.25" customHeight="1" x14ac:dyDescent="0.3">
      <c r="J192" s="1">
        <f>Table1181920231030313235[[#This Row],[النولون]]+Table1181920231030313235[[#This Row],[الايصالات]]+Table1181920231030313235[[#This Row],[قيمة مضافة]]</f>
        <v>0</v>
      </c>
      <c r="L192" s="1">
        <f>L191+Table1181920231030313235[[#This Row],[اجمالي الفاتوره]]-Table1181920231030313235[[#This Row],[الدفعات]]</f>
        <v>605591.88999999955</v>
      </c>
      <c r="N192" s="48"/>
    </row>
    <row r="193" spans="10:14" ht="26.25" customHeight="1" x14ac:dyDescent="0.3">
      <c r="J193" s="1">
        <f>Table1181920231030313235[[#This Row],[النولون]]+Table1181920231030313235[[#This Row],[الايصالات]]+Table1181920231030313235[[#This Row],[قيمة مضافة]]</f>
        <v>0</v>
      </c>
      <c r="L193" s="1">
        <f>L192+Table1181920231030313235[[#This Row],[اجمالي الفاتوره]]-Table1181920231030313235[[#This Row],[الدفعات]]</f>
        <v>605591.88999999955</v>
      </c>
      <c r="N193" s="48"/>
    </row>
    <row r="194" spans="10:14" ht="26.25" customHeight="1" x14ac:dyDescent="0.3">
      <c r="J194" s="1">
        <f>Table1181920231030313235[[#This Row],[النولون]]+Table1181920231030313235[[#This Row],[الايصالات]]+Table1181920231030313235[[#This Row],[قيمة مضافة]]</f>
        <v>0</v>
      </c>
      <c r="L194" s="1">
        <f>L193+Table1181920231030313235[[#This Row],[اجمالي الفاتوره]]-Table1181920231030313235[[#This Row],[الدفعات]]</f>
        <v>605591.88999999955</v>
      </c>
      <c r="N194" s="48"/>
    </row>
    <row r="195" spans="10:14" ht="26.25" customHeight="1" x14ac:dyDescent="0.3">
      <c r="J195" s="1">
        <f>Table1181920231030313235[[#This Row],[النولون]]+Table1181920231030313235[[#This Row],[الايصالات]]+Table1181920231030313235[[#This Row],[قيمة مضافة]]</f>
        <v>0</v>
      </c>
      <c r="L195" s="1">
        <f>L194+Table1181920231030313235[[#This Row],[اجمالي الفاتوره]]-Table1181920231030313235[[#This Row],[الدفعات]]</f>
        <v>605591.88999999955</v>
      </c>
      <c r="N195" s="48"/>
    </row>
    <row r="196" spans="10:14" ht="26.25" customHeight="1" x14ac:dyDescent="0.3">
      <c r="J196" s="1">
        <f>Table1181920231030313235[[#This Row],[النولون]]+Table1181920231030313235[[#This Row],[الايصالات]]+Table1181920231030313235[[#This Row],[قيمة مضافة]]</f>
        <v>0</v>
      </c>
      <c r="L196" s="1">
        <f>L195+Table1181920231030313235[[#This Row],[اجمالي الفاتوره]]-Table1181920231030313235[[#This Row],[الدفعات]]</f>
        <v>605591.88999999955</v>
      </c>
      <c r="N196" s="48"/>
    </row>
    <row r="197" spans="10:14" ht="26.25" customHeight="1" x14ac:dyDescent="0.3">
      <c r="J197" s="1">
        <f>Table1181920231030313235[[#This Row],[النولون]]+Table1181920231030313235[[#This Row],[الايصالات]]+Table1181920231030313235[[#This Row],[قيمة مضافة]]</f>
        <v>0</v>
      </c>
      <c r="L197" s="1">
        <f>L196+Table1181920231030313235[[#This Row],[اجمالي الفاتوره]]-Table1181920231030313235[[#This Row],[الدفعات]]</f>
        <v>605591.88999999955</v>
      </c>
      <c r="N197" s="48"/>
    </row>
    <row r="198" spans="10:14" ht="26.25" customHeight="1" x14ac:dyDescent="0.3">
      <c r="J198" s="1">
        <f>Table1181920231030313235[[#This Row],[النولون]]+Table1181920231030313235[[#This Row],[الايصالات]]+Table1181920231030313235[[#This Row],[قيمة مضافة]]</f>
        <v>0</v>
      </c>
      <c r="L198" s="1">
        <f>L197+Table1181920231030313235[[#This Row],[اجمالي الفاتوره]]-Table1181920231030313235[[#This Row],[الدفعات]]</f>
        <v>605591.88999999955</v>
      </c>
      <c r="N198" s="48"/>
    </row>
    <row r="199" spans="10:14" ht="26.25" customHeight="1" x14ac:dyDescent="0.3">
      <c r="J199" s="1">
        <f>Table1181920231030313235[[#This Row],[النولون]]+Table1181920231030313235[[#This Row],[الايصالات]]+Table1181920231030313235[[#This Row],[قيمة مضافة]]</f>
        <v>0</v>
      </c>
      <c r="L199" s="1">
        <f>L198+Table1181920231030313235[[#This Row],[اجمالي الفاتوره]]-Table1181920231030313235[[#This Row],[الدفعات]]</f>
        <v>605591.88999999955</v>
      </c>
      <c r="N199" s="48"/>
    </row>
    <row r="200" spans="10:14" ht="26.25" customHeight="1" x14ac:dyDescent="0.3">
      <c r="J200" s="1">
        <f>Table1181920231030313235[[#This Row],[النولون]]+Table1181920231030313235[[#This Row],[الايصالات]]+Table1181920231030313235[[#This Row],[قيمة مضافة]]</f>
        <v>0</v>
      </c>
      <c r="L200" s="1">
        <f>L199+Table1181920231030313235[[#This Row],[اجمالي الفاتوره]]-Table1181920231030313235[[#This Row],[الدفعات]]</f>
        <v>605591.88999999955</v>
      </c>
      <c r="N200" s="48"/>
    </row>
    <row r="201" spans="10:14" ht="26.25" customHeight="1" x14ac:dyDescent="0.3">
      <c r="J201" s="1">
        <f>Table1181920231030313235[[#This Row],[النولون]]+Table1181920231030313235[[#This Row],[الايصالات]]+Table1181920231030313235[[#This Row],[قيمة مضافة]]</f>
        <v>0</v>
      </c>
      <c r="L201" s="1">
        <f>L200+Table1181920231030313235[[#This Row],[اجمالي الفاتوره]]-Table1181920231030313235[[#This Row],[الدفعات]]</f>
        <v>605591.88999999955</v>
      </c>
      <c r="N201" s="48"/>
    </row>
    <row r="202" spans="10:14" ht="26.25" customHeight="1" x14ac:dyDescent="0.3">
      <c r="J202" s="1">
        <f>Table1181920231030313235[[#This Row],[النولون]]+Table1181920231030313235[[#This Row],[الايصالات]]+Table1181920231030313235[[#This Row],[قيمة مضافة]]</f>
        <v>0</v>
      </c>
      <c r="L202" s="1">
        <f>L201+Table1181920231030313235[[#This Row],[اجمالي الفاتوره]]-Table1181920231030313235[[#This Row],[الدفعات]]</f>
        <v>605591.88999999955</v>
      </c>
      <c r="N202" s="48"/>
    </row>
    <row r="203" spans="10:14" ht="26.25" customHeight="1" x14ac:dyDescent="0.3">
      <c r="J203" s="1">
        <f>Table1181920231030313235[[#This Row],[النولون]]+Table1181920231030313235[[#This Row],[الايصالات]]+Table1181920231030313235[[#This Row],[قيمة مضافة]]</f>
        <v>0</v>
      </c>
      <c r="L203" s="1">
        <f>L202+Table1181920231030313235[[#This Row],[اجمالي الفاتوره]]-Table1181920231030313235[[#This Row],[الدفعات]]</f>
        <v>605591.88999999955</v>
      </c>
      <c r="N203" s="48"/>
    </row>
    <row r="204" spans="10:14" ht="26.25" customHeight="1" x14ac:dyDescent="0.3">
      <c r="J204" s="1">
        <f>Table1181920231030313235[[#This Row],[النولون]]+Table1181920231030313235[[#This Row],[الايصالات]]+Table1181920231030313235[[#This Row],[قيمة مضافة]]</f>
        <v>0</v>
      </c>
      <c r="L204" s="1">
        <f>L203+Table1181920231030313235[[#This Row],[اجمالي الفاتوره]]-Table1181920231030313235[[#This Row],[الدفعات]]</f>
        <v>605591.88999999955</v>
      </c>
      <c r="N204" s="48"/>
    </row>
    <row r="205" spans="10:14" ht="26.25" customHeight="1" x14ac:dyDescent="0.3">
      <c r="J205" s="1">
        <f>Table1181920231030313235[[#This Row],[النولون]]+Table1181920231030313235[[#This Row],[الايصالات]]+Table1181920231030313235[[#This Row],[قيمة مضافة]]</f>
        <v>0</v>
      </c>
      <c r="L205" s="1">
        <f>L204+Table1181920231030313235[[#This Row],[اجمالي الفاتوره]]-Table1181920231030313235[[#This Row],[الدفعات]]</f>
        <v>605591.88999999955</v>
      </c>
      <c r="N205" s="48"/>
    </row>
    <row r="206" spans="10:14" ht="26.25" customHeight="1" x14ac:dyDescent="0.3">
      <c r="J206" s="1">
        <f>Table1181920231030313235[[#This Row],[النولون]]+Table1181920231030313235[[#This Row],[الايصالات]]+Table1181920231030313235[[#This Row],[قيمة مضافة]]</f>
        <v>0</v>
      </c>
      <c r="L206" s="1">
        <f>L205+Table1181920231030313235[[#This Row],[اجمالي الفاتوره]]-Table1181920231030313235[[#This Row],[الدفعات]]</f>
        <v>605591.88999999955</v>
      </c>
      <c r="N206" s="48"/>
    </row>
    <row r="207" spans="10:14" ht="26.25" customHeight="1" x14ac:dyDescent="0.3">
      <c r="J207" s="1">
        <f>Table1181920231030313235[[#This Row],[النولون]]+Table1181920231030313235[[#This Row],[الايصالات]]+Table1181920231030313235[[#This Row],[قيمة مضافة]]</f>
        <v>0</v>
      </c>
      <c r="L207" s="1">
        <f>L206+Table1181920231030313235[[#This Row],[اجمالي الفاتوره]]-Table1181920231030313235[[#This Row],[الدفعات]]</f>
        <v>605591.88999999955</v>
      </c>
      <c r="N207" s="48"/>
    </row>
    <row r="208" spans="10:14" ht="26.25" customHeight="1" x14ac:dyDescent="0.3">
      <c r="J208" s="1">
        <f>Table1181920231030313235[[#This Row],[النولون]]+Table1181920231030313235[[#This Row],[الايصالات]]+Table1181920231030313235[[#This Row],[قيمة مضافة]]</f>
        <v>0</v>
      </c>
      <c r="L208" s="1">
        <f>L207+Table1181920231030313235[[#This Row],[اجمالي الفاتوره]]-Table1181920231030313235[[#This Row],[الدفعات]]</f>
        <v>605591.88999999955</v>
      </c>
      <c r="N208" s="48"/>
    </row>
    <row r="209" spans="10:14" ht="26.25" customHeight="1" x14ac:dyDescent="0.3">
      <c r="J209" s="1">
        <f>Table1181920231030313235[[#This Row],[النولون]]+Table1181920231030313235[[#This Row],[الايصالات]]+Table1181920231030313235[[#This Row],[قيمة مضافة]]</f>
        <v>0</v>
      </c>
      <c r="L209" s="1">
        <f>L208+Table1181920231030313235[[#This Row],[اجمالي الفاتوره]]-Table1181920231030313235[[#This Row],[الدفعات]]</f>
        <v>605591.88999999955</v>
      </c>
      <c r="N209" s="48"/>
    </row>
    <row r="210" spans="10:14" ht="26.25" customHeight="1" x14ac:dyDescent="0.3">
      <c r="J210" s="1">
        <f>Table1181920231030313235[[#This Row],[النولون]]+Table1181920231030313235[[#This Row],[الايصالات]]+Table1181920231030313235[[#This Row],[قيمة مضافة]]</f>
        <v>0</v>
      </c>
      <c r="L210" s="1">
        <f>L209+Table1181920231030313235[[#This Row],[اجمالي الفاتوره]]-Table1181920231030313235[[#This Row],[الدفعات]]</f>
        <v>605591.88999999955</v>
      </c>
      <c r="N210" s="48"/>
    </row>
    <row r="211" spans="10:14" ht="26.25" customHeight="1" x14ac:dyDescent="0.3">
      <c r="J211" s="1">
        <f>Table1181920231030313235[[#This Row],[النولون]]+Table1181920231030313235[[#This Row],[الايصالات]]+Table1181920231030313235[[#This Row],[قيمة مضافة]]</f>
        <v>0</v>
      </c>
      <c r="L211" s="1">
        <f>L210+Table1181920231030313235[[#This Row],[اجمالي الفاتوره]]-Table1181920231030313235[[#This Row],[الدفعات]]</f>
        <v>605591.88999999955</v>
      </c>
      <c r="N211" s="48"/>
    </row>
    <row r="212" spans="10:14" ht="26.25" customHeight="1" x14ac:dyDescent="0.3">
      <c r="J212" s="1">
        <f>Table1181920231030313235[[#This Row],[النولون]]+Table1181920231030313235[[#This Row],[الايصالات]]+Table1181920231030313235[[#This Row],[قيمة مضافة]]</f>
        <v>0</v>
      </c>
      <c r="L212" s="1">
        <f>L211+Table1181920231030313235[[#This Row],[اجمالي الفاتوره]]-Table1181920231030313235[[#This Row],[الدفعات]]</f>
        <v>605591.88999999955</v>
      </c>
      <c r="N212" s="48"/>
    </row>
    <row r="213" spans="10:14" ht="26.25" customHeight="1" x14ac:dyDescent="0.3">
      <c r="J213" s="1">
        <f>Table1181920231030313235[[#This Row],[النولون]]+Table1181920231030313235[[#This Row],[الايصالات]]+Table1181920231030313235[[#This Row],[قيمة مضافة]]</f>
        <v>0</v>
      </c>
      <c r="L213" s="1">
        <f>L212+Table1181920231030313235[[#This Row],[اجمالي الفاتوره]]-Table1181920231030313235[[#This Row],[الدفعات]]</f>
        <v>605591.88999999955</v>
      </c>
      <c r="N213" s="48"/>
    </row>
    <row r="214" spans="10:14" ht="26.25" customHeight="1" x14ac:dyDescent="0.3">
      <c r="J214" s="1">
        <f>Table1181920231030313235[[#This Row],[النولون]]+Table1181920231030313235[[#This Row],[الايصالات]]+Table1181920231030313235[[#This Row],[قيمة مضافة]]</f>
        <v>0</v>
      </c>
      <c r="L214" s="1">
        <f>L213+Table1181920231030313235[[#This Row],[اجمالي الفاتوره]]-Table1181920231030313235[[#This Row],[الدفعات]]</f>
        <v>605591.88999999955</v>
      </c>
      <c r="N214" s="48"/>
    </row>
    <row r="215" spans="10:14" ht="26.25" customHeight="1" x14ac:dyDescent="0.3">
      <c r="J215" s="1">
        <f>Table1181920231030313235[[#This Row],[النولون]]+Table1181920231030313235[[#This Row],[الايصالات]]+Table1181920231030313235[[#This Row],[قيمة مضافة]]</f>
        <v>0</v>
      </c>
      <c r="L215" s="1">
        <f>L214+Table1181920231030313235[[#This Row],[اجمالي الفاتوره]]-Table1181920231030313235[[#This Row],[الدفعات]]</f>
        <v>605591.88999999955</v>
      </c>
      <c r="N215" s="48"/>
    </row>
    <row r="216" spans="10:14" ht="26.25" customHeight="1" x14ac:dyDescent="0.3">
      <c r="J216" s="1">
        <f>Table1181920231030313235[[#This Row],[النولون]]+Table1181920231030313235[[#This Row],[الايصالات]]+Table1181920231030313235[[#This Row],[قيمة مضافة]]</f>
        <v>0</v>
      </c>
      <c r="L216" s="1">
        <f>L215+Table1181920231030313235[[#This Row],[اجمالي الفاتوره]]-Table1181920231030313235[[#This Row],[الدفعات]]</f>
        <v>605591.88999999955</v>
      </c>
      <c r="N216" s="48"/>
    </row>
    <row r="217" spans="10:14" ht="26.25" customHeight="1" x14ac:dyDescent="0.3">
      <c r="J217" s="1">
        <f>Table1181920231030313235[[#This Row],[النولون]]+Table1181920231030313235[[#This Row],[الايصالات]]+Table1181920231030313235[[#This Row],[قيمة مضافة]]</f>
        <v>0</v>
      </c>
      <c r="L217" s="1">
        <f>L216+Table1181920231030313235[[#This Row],[اجمالي الفاتوره]]-Table1181920231030313235[[#This Row],[الدفعات]]</f>
        <v>605591.88999999955</v>
      </c>
      <c r="N217" s="48"/>
    </row>
    <row r="218" spans="10:14" ht="26.25" customHeight="1" x14ac:dyDescent="0.3">
      <c r="J218" s="1">
        <f>Table1181920231030313235[[#This Row],[النولون]]+Table1181920231030313235[[#This Row],[الايصالات]]+Table1181920231030313235[[#This Row],[قيمة مضافة]]</f>
        <v>0</v>
      </c>
      <c r="L218" s="1">
        <f>L217+Table1181920231030313235[[#This Row],[اجمالي الفاتوره]]-Table1181920231030313235[[#This Row],[الدفعات]]</f>
        <v>605591.88999999955</v>
      </c>
      <c r="N218" s="48"/>
    </row>
    <row r="219" spans="10:14" ht="26.25" customHeight="1" x14ac:dyDescent="0.3">
      <c r="J219" s="1">
        <f>Table1181920231030313235[[#This Row],[النولون]]+Table1181920231030313235[[#This Row],[الايصالات]]+Table1181920231030313235[[#This Row],[قيمة مضافة]]</f>
        <v>0</v>
      </c>
      <c r="L219" s="1">
        <f>L218+Table1181920231030313235[[#This Row],[اجمالي الفاتوره]]-Table1181920231030313235[[#This Row],[الدفعات]]</f>
        <v>605591.88999999955</v>
      </c>
      <c r="N219" s="48"/>
    </row>
    <row r="220" spans="10:14" ht="26.25" customHeight="1" x14ac:dyDescent="0.3">
      <c r="J220" s="1">
        <f>Table1181920231030313235[[#This Row],[النولون]]+Table1181920231030313235[[#This Row],[الايصالات]]+Table1181920231030313235[[#This Row],[قيمة مضافة]]</f>
        <v>0</v>
      </c>
      <c r="L220" s="1">
        <f>L219+Table1181920231030313235[[#This Row],[اجمالي الفاتوره]]-Table1181920231030313235[[#This Row],[الدفعات]]</f>
        <v>605591.88999999955</v>
      </c>
      <c r="N220" s="48"/>
    </row>
    <row r="221" spans="10:14" ht="26.25" customHeight="1" x14ac:dyDescent="0.3">
      <c r="J221" s="1">
        <f>Table1181920231030313235[[#This Row],[النولون]]+Table1181920231030313235[[#This Row],[الايصالات]]+Table1181920231030313235[[#This Row],[قيمة مضافة]]</f>
        <v>0</v>
      </c>
      <c r="L221" s="1">
        <f>L220+Table1181920231030313235[[#This Row],[اجمالي الفاتوره]]-Table1181920231030313235[[#This Row],[الدفعات]]</f>
        <v>605591.88999999955</v>
      </c>
      <c r="N221" s="48"/>
    </row>
    <row r="222" spans="10:14" ht="26.25" customHeight="1" x14ac:dyDescent="0.3">
      <c r="J222" s="1">
        <f>Table1181920231030313235[[#This Row],[النولون]]+Table1181920231030313235[[#This Row],[الايصالات]]+Table1181920231030313235[[#This Row],[قيمة مضافة]]</f>
        <v>0</v>
      </c>
      <c r="L222" s="1">
        <f>L221+Table1181920231030313235[[#This Row],[اجمالي الفاتوره]]-Table1181920231030313235[[#This Row],[الدفعات]]</f>
        <v>605591.88999999955</v>
      </c>
      <c r="N222" s="48"/>
    </row>
    <row r="223" spans="10:14" ht="26.25" customHeight="1" x14ac:dyDescent="0.3">
      <c r="J223" s="1">
        <f>Table1181920231030313235[[#This Row],[النولون]]+Table1181920231030313235[[#This Row],[الايصالات]]+Table1181920231030313235[[#This Row],[قيمة مضافة]]</f>
        <v>0</v>
      </c>
      <c r="L223" s="1">
        <f>L222+Table1181920231030313235[[#This Row],[اجمالي الفاتوره]]-Table1181920231030313235[[#This Row],[الدفعات]]</f>
        <v>605591.88999999955</v>
      </c>
      <c r="N223" s="48"/>
    </row>
    <row r="224" spans="10:14" ht="26.25" customHeight="1" x14ac:dyDescent="0.3">
      <c r="J224" s="1">
        <f>Table1181920231030313235[[#This Row],[النولون]]+Table1181920231030313235[[#This Row],[الايصالات]]+Table1181920231030313235[[#This Row],[قيمة مضافة]]</f>
        <v>0</v>
      </c>
      <c r="L224" s="1">
        <f>L223+Table1181920231030313235[[#This Row],[اجمالي الفاتوره]]-Table1181920231030313235[[#This Row],[الدفعات]]</f>
        <v>605591.88999999955</v>
      </c>
      <c r="N224" s="48"/>
    </row>
    <row r="225" spans="10:14" ht="26.25" customHeight="1" x14ac:dyDescent="0.3">
      <c r="J225" s="1">
        <f>Table1181920231030313235[[#This Row],[النولون]]+Table1181920231030313235[[#This Row],[الايصالات]]+Table1181920231030313235[[#This Row],[قيمة مضافة]]</f>
        <v>0</v>
      </c>
      <c r="L225" s="1">
        <f>L224+Table1181920231030313235[[#This Row],[اجمالي الفاتوره]]-Table1181920231030313235[[#This Row],[الدفعات]]</f>
        <v>605591.88999999955</v>
      </c>
      <c r="N225" s="48"/>
    </row>
    <row r="226" spans="10:14" ht="26.25" customHeight="1" x14ac:dyDescent="0.3">
      <c r="J226" s="1">
        <f>Table1181920231030313235[[#This Row],[النولون]]+Table1181920231030313235[[#This Row],[الايصالات]]+Table1181920231030313235[[#This Row],[قيمة مضافة]]</f>
        <v>0</v>
      </c>
      <c r="L226" s="1">
        <f>L225+Table1181920231030313235[[#This Row],[اجمالي الفاتوره]]-Table1181920231030313235[[#This Row],[الدفعات]]</f>
        <v>605591.88999999955</v>
      </c>
      <c r="N226" s="48"/>
    </row>
    <row r="227" spans="10:14" ht="26.25" customHeight="1" x14ac:dyDescent="0.3">
      <c r="J227" s="1">
        <f>Table1181920231030313235[[#This Row],[النولون]]+Table1181920231030313235[[#This Row],[الايصالات]]+Table1181920231030313235[[#This Row],[قيمة مضافة]]</f>
        <v>0</v>
      </c>
      <c r="L227" s="1">
        <f>L226+Table1181920231030313235[[#This Row],[اجمالي الفاتوره]]-Table1181920231030313235[[#This Row],[الدفعات]]</f>
        <v>605591.88999999955</v>
      </c>
      <c r="N227" s="48"/>
    </row>
    <row r="228" spans="10:14" ht="26.25" customHeight="1" x14ac:dyDescent="0.3">
      <c r="J228" s="1">
        <f>Table1181920231030313235[[#This Row],[النولون]]+Table1181920231030313235[[#This Row],[الايصالات]]+Table1181920231030313235[[#This Row],[قيمة مضافة]]</f>
        <v>0</v>
      </c>
      <c r="L228" s="1">
        <f>L227+Table1181920231030313235[[#This Row],[اجمالي الفاتوره]]-Table1181920231030313235[[#This Row],[الدفعات]]</f>
        <v>605591.88999999955</v>
      </c>
      <c r="N228" s="48"/>
    </row>
    <row r="229" spans="10:14" ht="26.25" customHeight="1" x14ac:dyDescent="0.3">
      <c r="J229" s="1">
        <f>Table1181920231030313235[[#This Row],[النولون]]+Table1181920231030313235[[#This Row],[الايصالات]]+Table1181920231030313235[[#This Row],[قيمة مضافة]]</f>
        <v>0</v>
      </c>
      <c r="L229" s="1">
        <f>L228+Table1181920231030313235[[#This Row],[اجمالي الفاتوره]]-Table1181920231030313235[[#This Row],[الدفعات]]</f>
        <v>605591.88999999955</v>
      </c>
      <c r="N229" s="48"/>
    </row>
    <row r="230" spans="10:14" ht="26.25" customHeight="1" x14ac:dyDescent="0.3">
      <c r="J230" s="1">
        <f>Table1181920231030313235[[#This Row],[النولون]]+Table1181920231030313235[[#This Row],[الايصالات]]+Table1181920231030313235[[#This Row],[قيمة مضافة]]</f>
        <v>0</v>
      </c>
      <c r="L230" s="1">
        <f>L229+Table1181920231030313235[[#This Row],[اجمالي الفاتوره]]-Table1181920231030313235[[#This Row],[الدفعات]]</f>
        <v>605591.88999999955</v>
      </c>
      <c r="N230" s="48"/>
    </row>
    <row r="231" spans="10:14" ht="26.25" customHeight="1" x14ac:dyDescent="0.3">
      <c r="J231" s="1">
        <f>Table1181920231030313235[[#This Row],[النولون]]+Table1181920231030313235[[#This Row],[الايصالات]]+Table1181920231030313235[[#This Row],[قيمة مضافة]]</f>
        <v>0</v>
      </c>
      <c r="L231" s="1">
        <f>L230+Table1181920231030313235[[#This Row],[اجمالي الفاتوره]]-Table1181920231030313235[[#This Row],[الدفعات]]</f>
        <v>605591.88999999955</v>
      </c>
      <c r="N231" s="48"/>
    </row>
    <row r="232" spans="10:14" ht="26.25" customHeight="1" x14ac:dyDescent="0.3">
      <c r="J232" s="1">
        <f>Table1181920231030313235[[#This Row],[النولون]]+Table1181920231030313235[[#This Row],[الايصالات]]+Table1181920231030313235[[#This Row],[قيمة مضافة]]</f>
        <v>0</v>
      </c>
      <c r="L232" s="1">
        <f>L231+Table1181920231030313235[[#This Row],[اجمالي الفاتوره]]-Table1181920231030313235[[#This Row],[الدفعات]]</f>
        <v>605591.88999999955</v>
      </c>
      <c r="N232" s="48"/>
    </row>
    <row r="233" spans="10:14" ht="26.25" customHeight="1" x14ac:dyDescent="0.3">
      <c r="J233" s="1">
        <f>Table1181920231030313235[[#This Row],[النولون]]+Table1181920231030313235[[#This Row],[الايصالات]]+Table1181920231030313235[[#This Row],[قيمة مضافة]]</f>
        <v>0</v>
      </c>
      <c r="L233" s="1">
        <f>L232+Table1181920231030313235[[#This Row],[اجمالي الفاتوره]]-Table1181920231030313235[[#This Row],[الدفعات]]</f>
        <v>605591.88999999955</v>
      </c>
      <c r="N233" s="48"/>
    </row>
    <row r="234" spans="10:14" ht="26.25" customHeight="1" x14ac:dyDescent="0.3">
      <c r="J234" s="1">
        <f>Table1181920231030313235[[#This Row],[النولون]]+Table1181920231030313235[[#This Row],[الايصالات]]+Table1181920231030313235[[#This Row],[قيمة مضافة]]</f>
        <v>0</v>
      </c>
      <c r="L234" s="1">
        <f>L233+Table1181920231030313235[[#This Row],[اجمالي الفاتوره]]-Table1181920231030313235[[#This Row],[الدفعات]]</f>
        <v>605591.88999999955</v>
      </c>
      <c r="N234" s="48"/>
    </row>
    <row r="235" spans="10:14" ht="26.25" customHeight="1" x14ac:dyDescent="0.3">
      <c r="J235" s="1">
        <f>Table1181920231030313235[[#This Row],[النولون]]+Table1181920231030313235[[#This Row],[الايصالات]]+Table1181920231030313235[[#This Row],[قيمة مضافة]]</f>
        <v>0</v>
      </c>
      <c r="L235" s="1">
        <f>L234+Table1181920231030313235[[#This Row],[اجمالي الفاتوره]]-Table1181920231030313235[[#This Row],[الدفعات]]</f>
        <v>605591.88999999955</v>
      </c>
      <c r="N235" s="48"/>
    </row>
    <row r="236" spans="10:14" ht="26.25" customHeight="1" x14ac:dyDescent="0.3">
      <c r="J236" s="1">
        <f>Table1181920231030313235[[#This Row],[النولون]]+Table1181920231030313235[[#This Row],[الايصالات]]+Table1181920231030313235[[#This Row],[قيمة مضافة]]</f>
        <v>0</v>
      </c>
      <c r="L236" s="1">
        <f>L235+Table1181920231030313235[[#This Row],[اجمالي الفاتوره]]-Table1181920231030313235[[#This Row],[الدفعات]]</f>
        <v>605591.88999999955</v>
      </c>
      <c r="N236" s="48"/>
    </row>
    <row r="237" spans="10:14" ht="26.25" customHeight="1" x14ac:dyDescent="0.3">
      <c r="J237" s="1">
        <f>Table1181920231030313235[[#This Row],[النولون]]+Table1181920231030313235[[#This Row],[الايصالات]]+Table1181920231030313235[[#This Row],[قيمة مضافة]]</f>
        <v>0</v>
      </c>
      <c r="L237" s="1">
        <f>L236+Table1181920231030313235[[#This Row],[اجمالي الفاتوره]]-Table1181920231030313235[[#This Row],[الدفعات]]</f>
        <v>605591.88999999955</v>
      </c>
      <c r="N237" s="48"/>
    </row>
    <row r="238" spans="10:14" ht="26.25" customHeight="1" x14ac:dyDescent="0.3">
      <c r="J238" s="1">
        <f>Table1181920231030313235[[#This Row],[النولون]]+Table1181920231030313235[[#This Row],[الايصالات]]+Table1181920231030313235[[#This Row],[قيمة مضافة]]</f>
        <v>0</v>
      </c>
      <c r="L238" s="1">
        <f>L237+Table1181920231030313235[[#This Row],[اجمالي الفاتوره]]-Table1181920231030313235[[#This Row],[الدفعات]]</f>
        <v>605591.88999999955</v>
      </c>
      <c r="N238" s="48"/>
    </row>
    <row r="239" spans="10:14" ht="26.25" customHeight="1" x14ac:dyDescent="0.3">
      <c r="J239" s="1">
        <f>Table1181920231030313235[[#This Row],[النولون]]+Table1181920231030313235[[#This Row],[الايصالات]]+Table1181920231030313235[[#This Row],[قيمة مضافة]]</f>
        <v>0</v>
      </c>
      <c r="L239" s="1">
        <f>L238+Table1181920231030313235[[#This Row],[اجمالي الفاتوره]]-Table1181920231030313235[[#This Row],[الدفعات]]</f>
        <v>605591.88999999955</v>
      </c>
      <c r="N239" s="48"/>
    </row>
    <row r="240" spans="10:14" ht="26.25" customHeight="1" x14ac:dyDescent="0.3">
      <c r="J240" s="1">
        <f>Table1181920231030313235[[#This Row],[النولون]]+Table1181920231030313235[[#This Row],[الايصالات]]+Table1181920231030313235[[#This Row],[قيمة مضافة]]</f>
        <v>0</v>
      </c>
      <c r="L240" s="1">
        <f>L239+Table1181920231030313235[[#This Row],[اجمالي الفاتوره]]-Table1181920231030313235[[#This Row],[الدفعات]]</f>
        <v>605591.88999999955</v>
      </c>
      <c r="N240" s="48"/>
    </row>
    <row r="241" spans="10:14" ht="26.25" customHeight="1" x14ac:dyDescent="0.3">
      <c r="J241" s="1">
        <f>Table1181920231030313235[[#This Row],[النولون]]+Table1181920231030313235[[#This Row],[الايصالات]]+Table1181920231030313235[[#This Row],[قيمة مضافة]]</f>
        <v>0</v>
      </c>
      <c r="L241" s="1">
        <f>L240+Table1181920231030313235[[#This Row],[اجمالي الفاتوره]]-Table1181920231030313235[[#This Row],[الدفعات]]</f>
        <v>605591.88999999955</v>
      </c>
      <c r="N241" s="48"/>
    </row>
    <row r="242" spans="10:14" ht="26.25" customHeight="1" x14ac:dyDescent="0.3">
      <c r="J242" s="1">
        <f>Table1181920231030313235[[#This Row],[النولون]]+Table1181920231030313235[[#This Row],[الايصالات]]+Table1181920231030313235[[#This Row],[قيمة مضافة]]</f>
        <v>0</v>
      </c>
      <c r="L242" s="1">
        <f>L241+Table1181920231030313235[[#This Row],[اجمالي الفاتوره]]-Table1181920231030313235[[#This Row],[الدفعات]]</f>
        <v>605591.88999999955</v>
      </c>
      <c r="N242" s="48"/>
    </row>
    <row r="243" spans="10:14" ht="26.25" customHeight="1" x14ac:dyDescent="0.3">
      <c r="J243" s="1">
        <f>Table1181920231030313235[[#This Row],[النولون]]+Table1181920231030313235[[#This Row],[الايصالات]]+Table1181920231030313235[[#This Row],[قيمة مضافة]]</f>
        <v>0</v>
      </c>
      <c r="L243" s="1">
        <f>L242+Table1181920231030313235[[#This Row],[اجمالي الفاتوره]]-Table1181920231030313235[[#This Row],[الدفعات]]</f>
        <v>605591.88999999955</v>
      </c>
      <c r="N243" s="48"/>
    </row>
    <row r="244" spans="10:14" ht="26.25" customHeight="1" x14ac:dyDescent="0.3">
      <c r="J244" s="1">
        <f>Table1181920231030313235[[#This Row],[النولون]]+Table1181920231030313235[[#This Row],[الايصالات]]+Table1181920231030313235[[#This Row],[قيمة مضافة]]</f>
        <v>0</v>
      </c>
      <c r="L244" s="1">
        <f>L243+Table1181920231030313235[[#This Row],[اجمالي الفاتوره]]-Table1181920231030313235[[#This Row],[الدفعات]]</f>
        <v>605591.88999999955</v>
      </c>
      <c r="N244" s="48"/>
    </row>
    <row r="245" spans="10:14" ht="26.25" customHeight="1" x14ac:dyDescent="0.3">
      <c r="J245" s="1">
        <f>Table1181920231030313235[[#This Row],[النولون]]+Table1181920231030313235[[#This Row],[الايصالات]]+Table1181920231030313235[[#This Row],[قيمة مضافة]]</f>
        <v>0</v>
      </c>
      <c r="L245" s="1">
        <f>L244+Table1181920231030313235[[#This Row],[اجمالي الفاتوره]]-Table1181920231030313235[[#This Row],[الدفعات]]</f>
        <v>605591.88999999955</v>
      </c>
      <c r="N245" s="48"/>
    </row>
    <row r="246" spans="10:14" ht="26.25" customHeight="1" x14ac:dyDescent="0.3">
      <c r="J246" s="1">
        <f>Table1181920231030313235[[#This Row],[النولون]]+Table1181920231030313235[[#This Row],[الايصالات]]+Table1181920231030313235[[#This Row],[قيمة مضافة]]</f>
        <v>0</v>
      </c>
      <c r="L246" s="1">
        <f>L245+Table1181920231030313235[[#This Row],[اجمالي الفاتوره]]-Table1181920231030313235[[#This Row],[الدفعات]]</f>
        <v>605591.88999999955</v>
      </c>
      <c r="N246" s="48"/>
    </row>
    <row r="247" spans="10:14" ht="26.25" customHeight="1" x14ac:dyDescent="0.3">
      <c r="J247" s="1">
        <f>Table1181920231030313235[[#This Row],[النولون]]+Table1181920231030313235[[#This Row],[الايصالات]]+Table1181920231030313235[[#This Row],[قيمة مضافة]]</f>
        <v>0</v>
      </c>
      <c r="L247" s="1">
        <f>L246+Table1181920231030313235[[#This Row],[اجمالي الفاتوره]]-Table1181920231030313235[[#This Row],[الدفعات]]</f>
        <v>605591.88999999955</v>
      </c>
      <c r="N247" s="48"/>
    </row>
    <row r="248" spans="10:14" ht="26.25" customHeight="1" x14ac:dyDescent="0.3">
      <c r="J248" s="1">
        <f>Table1181920231030313235[[#This Row],[النولون]]+Table1181920231030313235[[#This Row],[الايصالات]]+Table1181920231030313235[[#This Row],[قيمة مضافة]]</f>
        <v>0</v>
      </c>
      <c r="L248" s="1">
        <f>L247+Table1181920231030313235[[#This Row],[اجمالي الفاتوره]]-Table1181920231030313235[[#This Row],[الدفعات]]</f>
        <v>605591.88999999955</v>
      </c>
      <c r="N248" s="48"/>
    </row>
    <row r="249" spans="10:14" ht="26.25" customHeight="1" x14ac:dyDescent="0.3">
      <c r="J249" s="1">
        <f>Table1181920231030313235[[#This Row],[النولون]]+Table1181920231030313235[[#This Row],[الايصالات]]+Table1181920231030313235[[#This Row],[قيمة مضافة]]</f>
        <v>0</v>
      </c>
      <c r="L249" s="1">
        <f>L248+Table1181920231030313235[[#This Row],[اجمالي الفاتوره]]-Table1181920231030313235[[#This Row],[الدفعات]]</f>
        <v>605591.88999999955</v>
      </c>
      <c r="N249" s="48"/>
    </row>
    <row r="250" spans="10:14" ht="26.25" customHeight="1" x14ac:dyDescent="0.3">
      <c r="J250" s="1">
        <f>Table1181920231030313235[[#This Row],[النولون]]+Table1181920231030313235[[#This Row],[الايصالات]]+Table1181920231030313235[[#This Row],[قيمة مضافة]]</f>
        <v>0</v>
      </c>
      <c r="L250" s="1">
        <f>L249+Table1181920231030313235[[#This Row],[اجمالي الفاتوره]]-Table1181920231030313235[[#This Row],[الدفعات]]</f>
        <v>605591.88999999955</v>
      </c>
      <c r="N250" s="48"/>
    </row>
    <row r="251" spans="10:14" ht="26.25" customHeight="1" x14ac:dyDescent="0.3">
      <c r="J251" s="1">
        <f>Table1181920231030313235[[#This Row],[النولون]]+Table1181920231030313235[[#This Row],[الايصالات]]+Table1181920231030313235[[#This Row],[قيمة مضافة]]</f>
        <v>0</v>
      </c>
      <c r="L251" s="1">
        <f>L250+Table1181920231030313235[[#This Row],[اجمالي الفاتوره]]-Table1181920231030313235[[#This Row],[الدفعات]]</f>
        <v>605591.88999999955</v>
      </c>
      <c r="N251" s="48"/>
    </row>
    <row r="252" spans="10:14" ht="26.25" customHeight="1" x14ac:dyDescent="0.3">
      <c r="J252" s="1">
        <f>Table1181920231030313235[[#This Row],[النولون]]+Table1181920231030313235[[#This Row],[الايصالات]]+Table1181920231030313235[[#This Row],[قيمة مضافة]]</f>
        <v>0</v>
      </c>
      <c r="L252" s="1">
        <f>L251+Table1181920231030313235[[#This Row],[اجمالي الفاتوره]]-Table1181920231030313235[[#This Row],[الدفعات]]</f>
        <v>605591.88999999955</v>
      </c>
      <c r="N252" s="48"/>
    </row>
    <row r="253" spans="10:14" ht="26.25" customHeight="1" x14ac:dyDescent="0.3">
      <c r="J253" s="1">
        <f>Table1181920231030313235[[#This Row],[النولون]]+Table1181920231030313235[[#This Row],[الايصالات]]+Table1181920231030313235[[#This Row],[قيمة مضافة]]</f>
        <v>0</v>
      </c>
      <c r="L253" s="1">
        <f>L252+Table1181920231030313235[[#This Row],[اجمالي الفاتوره]]-Table1181920231030313235[[#This Row],[الدفعات]]</f>
        <v>605591.88999999955</v>
      </c>
      <c r="N253" s="48"/>
    </row>
    <row r="254" spans="10:14" ht="26.25" customHeight="1" x14ac:dyDescent="0.3">
      <c r="J254" s="1">
        <f>Table1181920231030313235[[#This Row],[النولون]]+Table1181920231030313235[[#This Row],[الايصالات]]+Table1181920231030313235[[#This Row],[قيمة مضافة]]</f>
        <v>0</v>
      </c>
      <c r="L254" s="1">
        <f>L253+Table1181920231030313235[[#This Row],[اجمالي الفاتوره]]-Table1181920231030313235[[#This Row],[الدفعات]]</f>
        <v>605591.88999999955</v>
      </c>
      <c r="N254" s="48"/>
    </row>
    <row r="255" spans="10:14" ht="26.25" customHeight="1" x14ac:dyDescent="0.3">
      <c r="J255" s="1">
        <f>Table1181920231030313235[[#This Row],[النولون]]+Table1181920231030313235[[#This Row],[الايصالات]]+Table1181920231030313235[[#This Row],[قيمة مضافة]]</f>
        <v>0</v>
      </c>
      <c r="L255" s="1">
        <f>L254+Table1181920231030313235[[#This Row],[اجمالي الفاتوره]]-Table1181920231030313235[[#This Row],[الدفعات]]</f>
        <v>605591.88999999955</v>
      </c>
      <c r="N255" s="48"/>
    </row>
    <row r="256" spans="10:14" ht="26.25" customHeight="1" x14ac:dyDescent="0.3">
      <c r="J256" s="1">
        <f>Table1181920231030313235[[#This Row],[النولون]]+Table1181920231030313235[[#This Row],[الايصالات]]+Table1181920231030313235[[#This Row],[قيمة مضافة]]</f>
        <v>0</v>
      </c>
      <c r="L256" s="1">
        <f>L255+Table1181920231030313235[[#This Row],[اجمالي الفاتوره]]-Table1181920231030313235[[#This Row],[الدفعات]]</f>
        <v>605591.88999999955</v>
      </c>
      <c r="N256" s="48"/>
    </row>
    <row r="257" spans="10:14" ht="26.25" customHeight="1" x14ac:dyDescent="0.3">
      <c r="J257" s="1">
        <f>Table1181920231030313235[[#This Row],[النولون]]+Table1181920231030313235[[#This Row],[الايصالات]]+Table1181920231030313235[[#This Row],[قيمة مضافة]]</f>
        <v>0</v>
      </c>
      <c r="L257" s="1">
        <f>L256+Table1181920231030313235[[#This Row],[اجمالي الفاتوره]]-Table1181920231030313235[[#This Row],[الدفعات]]</f>
        <v>605591.88999999955</v>
      </c>
      <c r="N257" s="48"/>
    </row>
    <row r="258" spans="10:14" ht="26.25" customHeight="1" x14ac:dyDescent="0.3">
      <c r="J258" s="1">
        <f>Table1181920231030313235[[#This Row],[النولون]]+Table1181920231030313235[[#This Row],[الايصالات]]+Table1181920231030313235[[#This Row],[قيمة مضافة]]</f>
        <v>0</v>
      </c>
      <c r="L258" s="1">
        <f>L257+Table1181920231030313235[[#This Row],[اجمالي الفاتوره]]-Table1181920231030313235[[#This Row],[الدفعات]]</f>
        <v>605591.88999999955</v>
      </c>
      <c r="N258" s="48"/>
    </row>
    <row r="259" spans="10:14" ht="26.25" customHeight="1" x14ac:dyDescent="0.3">
      <c r="J259" s="1">
        <f>Table1181920231030313235[[#This Row],[النولون]]+Table1181920231030313235[[#This Row],[الايصالات]]+Table1181920231030313235[[#This Row],[قيمة مضافة]]</f>
        <v>0</v>
      </c>
      <c r="L259" s="1">
        <f>L258+Table1181920231030313235[[#This Row],[اجمالي الفاتوره]]-Table1181920231030313235[[#This Row],[الدفعات]]</f>
        <v>605591.88999999955</v>
      </c>
      <c r="N259" s="48"/>
    </row>
    <row r="260" spans="10:14" ht="26.25" customHeight="1" x14ac:dyDescent="0.3">
      <c r="J260" s="1">
        <f>Table1181920231030313235[[#This Row],[النولون]]+Table1181920231030313235[[#This Row],[الايصالات]]+Table1181920231030313235[[#This Row],[قيمة مضافة]]</f>
        <v>0</v>
      </c>
      <c r="L260" s="1">
        <f>L259+Table1181920231030313235[[#This Row],[اجمالي الفاتوره]]-Table1181920231030313235[[#This Row],[الدفعات]]</f>
        <v>605591.88999999955</v>
      </c>
      <c r="N260" s="48"/>
    </row>
    <row r="261" spans="10:14" ht="26.25" customHeight="1" x14ac:dyDescent="0.3">
      <c r="J261" s="1">
        <f>Table1181920231030313235[[#This Row],[النولون]]+Table1181920231030313235[[#This Row],[الايصالات]]+Table1181920231030313235[[#This Row],[قيمة مضافة]]</f>
        <v>0</v>
      </c>
      <c r="L261" s="1">
        <f>L260+Table1181920231030313235[[#This Row],[اجمالي الفاتوره]]-Table1181920231030313235[[#This Row],[الدفعات]]</f>
        <v>605591.88999999955</v>
      </c>
      <c r="N261" s="48"/>
    </row>
    <row r="262" spans="10:14" ht="26.25" customHeight="1" x14ac:dyDescent="0.3">
      <c r="J262" s="1">
        <f>Table1181920231030313235[[#This Row],[النولون]]+Table1181920231030313235[[#This Row],[الايصالات]]+Table1181920231030313235[[#This Row],[قيمة مضافة]]</f>
        <v>0</v>
      </c>
      <c r="L262" s="1">
        <f>L261+Table1181920231030313235[[#This Row],[اجمالي الفاتوره]]-Table1181920231030313235[[#This Row],[الدفعات]]</f>
        <v>605591.88999999955</v>
      </c>
      <c r="N262" s="48"/>
    </row>
    <row r="263" spans="10:14" ht="26.25" customHeight="1" x14ac:dyDescent="0.3">
      <c r="J263" s="1">
        <f>Table1181920231030313235[[#This Row],[النولون]]+Table1181920231030313235[[#This Row],[الايصالات]]+Table1181920231030313235[[#This Row],[قيمة مضافة]]</f>
        <v>0</v>
      </c>
      <c r="L263" s="1">
        <f>L262+Table1181920231030313235[[#This Row],[اجمالي الفاتوره]]-Table1181920231030313235[[#This Row],[الدفعات]]</f>
        <v>605591.88999999955</v>
      </c>
      <c r="N263" s="48"/>
    </row>
    <row r="264" spans="10:14" ht="26.25" customHeight="1" x14ac:dyDescent="0.3">
      <c r="J264" s="1">
        <f>Table1181920231030313235[[#This Row],[النولون]]+Table1181920231030313235[[#This Row],[الايصالات]]+Table1181920231030313235[[#This Row],[قيمة مضافة]]</f>
        <v>0</v>
      </c>
      <c r="L264" s="1">
        <f>L263+Table1181920231030313235[[#This Row],[اجمالي الفاتوره]]-Table1181920231030313235[[#This Row],[الدفعات]]</f>
        <v>605591.88999999955</v>
      </c>
      <c r="N264" s="48"/>
    </row>
    <row r="265" spans="10:14" ht="26.25" customHeight="1" x14ac:dyDescent="0.3">
      <c r="J265" s="1">
        <f>Table1181920231030313235[[#This Row],[النولون]]+Table1181920231030313235[[#This Row],[الايصالات]]+Table1181920231030313235[[#This Row],[قيمة مضافة]]</f>
        <v>0</v>
      </c>
      <c r="L265" s="1">
        <f>L264+Table1181920231030313235[[#This Row],[اجمالي الفاتوره]]-Table1181920231030313235[[#This Row],[الدفعات]]</f>
        <v>605591.88999999955</v>
      </c>
      <c r="N265" s="48"/>
    </row>
    <row r="266" spans="10:14" ht="26.25" customHeight="1" x14ac:dyDescent="0.3">
      <c r="J266" s="1">
        <f>Table1181920231030313235[[#This Row],[النولون]]+Table1181920231030313235[[#This Row],[الايصالات]]+Table1181920231030313235[[#This Row],[قيمة مضافة]]</f>
        <v>0</v>
      </c>
      <c r="L266" s="1">
        <f>L265+Table1181920231030313235[[#This Row],[اجمالي الفاتوره]]-Table1181920231030313235[[#This Row],[الدفعات]]</f>
        <v>605591.88999999955</v>
      </c>
      <c r="N266" s="48"/>
    </row>
    <row r="267" spans="10:14" ht="26.25" customHeight="1" x14ac:dyDescent="0.3">
      <c r="J267" s="1">
        <f>Table1181920231030313235[[#This Row],[النولون]]+Table1181920231030313235[[#This Row],[الايصالات]]+Table1181920231030313235[[#This Row],[قيمة مضافة]]</f>
        <v>0</v>
      </c>
      <c r="L267" s="1">
        <f>L266+Table1181920231030313235[[#This Row],[اجمالي الفاتوره]]-Table1181920231030313235[[#This Row],[الدفعات]]</f>
        <v>605591.88999999955</v>
      </c>
      <c r="N267" s="48"/>
    </row>
    <row r="268" spans="10:14" ht="26.25" customHeight="1" x14ac:dyDescent="0.3">
      <c r="J268" s="1">
        <f>Table1181920231030313235[[#This Row],[النولون]]+Table1181920231030313235[[#This Row],[الايصالات]]+Table1181920231030313235[[#This Row],[قيمة مضافة]]</f>
        <v>0</v>
      </c>
      <c r="L268" s="1">
        <f>L267+Table1181920231030313235[[#This Row],[اجمالي الفاتوره]]-Table1181920231030313235[[#This Row],[الدفعات]]</f>
        <v>605591.88999999955</v>
      </c>
      <c r="N268" s="48"/>
    </row>
    <row r="269" spans="10:14" ht="26.25" customHeight="1" x14ac:dyDescent="0.3">
      <c r="J269" s="1">
        <f>Table1181920231030313235[[#This Row],[النولون]]+Table1181920231030313235[[#This Row],[الايصالات]]+Table1181920231030313235[[#This Row],[قيمة مضافة]]</f>
        <v>0</v>
      </c>
      <c r="L269" s="1">
        <f>L268+Table1181920231030313235[[#This Row],[اجمالي الفاتوره]]-Table1181920231030313235[[#This Row],[الدفعات]]</f>
        <v>605591.88999999955</v>
      </c>
      <c r="N269" s="48"/>
    </row>
    <row r="270" spans="10:14" ht="26.25" customHeight="1" x14ac:dyDescent="0.3">
      <c r="J270" s="1">
        <f>Table1181920231030313235[[#This Row],[النولون]]+Table1181920231030313235[[#This Row],[الايصالات]]+Table1181920231030313235[[#This Row],[قيمة مضافة]]</f>
        <v>0</v>
      </c>
      <c r="L270" s="1">
        <f>L269+Table1181920231030313235[[#This Row],[اجمالي الفاتوره]]-Table1181920231030313235[[#This Row],[الدفعات]]</f>
        <v>605591.88999999955</v>
      </c>
      <c r="N270" s="48"/>
    </row>
    <row r="271" spans="10:14" ht="26.25" customHeight="1" x14ac:dyDescent="0.3">
      <c r="J271" s="1">
        <f>Table1181920231030313235[[#This Row],[النولون]]+Table1181920231030313235[[#This Row],[الايصالات]]+Table1181920231030313235[[#This Row],[قيمة مضافة]]</f>
        <v>0</v>
      </c>
      <c r="L271" s="1">
        <f>L270+Table1181920231030313235[[#This Row],[اجمالي الفاتوره]]-Table1181920231030313235[[#This Row],[الدفعات]]</f>
        <v>605591.88999999955</v>
      </c>
      <c r="N271" s="48"/>
    </row>
    <row r="272" spans="10:14" ht="26.25" customHeight="1" x14ac:dyDescent="0.3">
      <c r="J272" s="1">
        <f>Table1181920231030313235[[#This Row],[النولون]]+Table1181920231030313235[[#This Row],[الايصالات]]+Table1181920231030313235[[#This Row],[قيمة مضافة]]</f>
        <v>0</v>
      </c>
      <c r="L272" s="1">
        <f>L271+Table1181920231030313235[[#This Row],[اجمالي الفاتوره]]-Table1181920231030313235[[#This Row],[الدفعات]]</f>
        <v>605591.88999999955</v>
      </c>
      <c r="N272" s="48"/>
    </row>
    <row r="273" spans="10:14" ht="26.25" customHeight="1" x14ac:dyDescent="0.3">
      <c r="J273" s="1">
        <f>Table1181920231030313235[[#This Row],[النولون]]+Table1181920231030313235[[#This Row],[الايصالات]]+Table1181920231030313235[[#This Row],[قيمة مضافة]]</f>
        <v>0</v>
      </c>
      <c r="L273" s="1">
        <f>L272+Table1181920231030313235[[#This Row],[اجمالي الفاتوره]]-Table1181920231030313235[[#This Row],[الدفعات]]</f>
        <v>605591.88999999955</v>
      </c>
      <c r="N273" s="48"/>
    </row>
    <row r="274" spans="10:14" ht="26.25" customHeight="1" x14ac:dyDescent="0.3">
      <c r="J274" s="1">
        <f>Table1181920231030313235[[#This Row],[النولون]]+Table1181920231030313235[[#This Row],[الايصالات]]+Table1181920231030313235[[#This Row],[قيمة مضافة]]</f>
        <v>0</v>
      </c>
      <c r="L274" s="1">
        <f>L273+Table1181920231030313235[[#This Row],[اجمالي الفاتوره]]-Table1181920231030313235[[#This Row],[الدفعات]]</f>
        <v>605591.88999999955</v>
      </c>
      <c r="N274" s="48"/>
    </row>
    <row r="275" spans="10:14" ht="26.25" customHeight="1" x14ac:dyDescent="0.3">
      <c r="J275" s="1">
        <f>Table1181920231030313235[[#This Row],[النولون]]+Table1181920231030313235[[#This Row],[الايصالات]]+Table1181920231030313235[[#This Row],[قيمة مضافة]]</f>
        <v>0</v>
      </c>
      <c r="L275" s="1">
        <f>L274+Table1181920231030313235[[#This Row],[اجمالي الفاتوره]]-Table1181920231030313235[[#This Row],[الدفعات]]</f>
        <v>605591.88999999955</v>
      </c>
      <c r="N275" s="48"/>
    </row>
    <row r="276" spans="10:14" ht="26.25" customHeight="1" x14ac:dyDescent="0.3">
      <c r="J276" s="1">
        <f>Table1181920231030313235[[#This Row],[النولون]]+Table1181920231030313235[[#This Row],[الايصالات]]+Table1181920231030313235[[#This Row],[قيمة مضافة]]</f>
        <v>0</v>
      </c>
      <c r="L276" s="1">
        <f>L275+Table1181920231030313235[[#This Row],[اجمالي الفاتوره]]-Table1181920231030313235[[#This Row],[الدفعات]]</f>
        <v>605591.88999999955</v>
      </c>
      <c r="N276" s="48"/>
    </row>
    <row r="277" spans="10:14" ht="26.25" customHeight="1" x14ac:dyDescent="0.3">
      <c r="J277" s="1">
        <f>Table1181920231030313235[[#This Row],[النولون]]+Table1181920231030313235[[#This Row],[الايصالات]]+Table1181920231030313235[[#This Row],[قيمة مضافة]]</f>
        <v>0</v>
      </c>
      <c r="L277" s="1">
        <f>L276+Table1181920231030313235[[#This Row],[اجمالي الفاتوره]]-Table1181920231030313235[[#This Row],[الدفعات]]</f>
        <v>605591.88999999955</v>
      </c>
      <c r="N277" s="48"/>
    </row>
    <row r="278" spans="10:14" ht="26.25" customHeight="1" x14ac:dyDescent="0.3">
      <c r="J278" s="1">
        <f>Table1181920231030313235[[#This Row],[النولون]]+Table1181920231030313235[[#This Row],[الايصالات]]+Table1181920231030313235[[#This Row],[قيمة مضافة]]</f>
        <v>0</v>
      </c>
      <c r="L278" s="1">
        <f>L277+Table1181920231030313235[[#This Row],[اجمالي الفاتوره]]-Table1181920231030313235[[#This Row],[الدفعات]]</f>
        <v>605591.88999999955</v>
      </c>
      <c r="N278" s="48"/>
    </row>
    <row r="279" spans="10:14" ht="26.25" customHeight="1" x14ac:dyDescent="0.3">
      <c r="J279" s="1">
        <f>Table1181920231030313235[[#This Row],[النولون]]+Table1181920231030313235[[#This Row],[الايصالات]]+Table1181920231030313235[[#This Row],[قيمة مضافة]]</f>
        <v>0</v>
      </c>
      <c r="L279" s="1">
        <f>L278+Table1181920231030313235[[#This Row],[اجمالي الفاتوره]]-Table1181920231030313235[[#This Row],[الدفعات]]</f>
        <v>605591.88999999955</v>
      </c>
      <c r="N279" s="48"/>
    </row>
    <row r="280" spans="10:14" ht="26.25" customHeight="1" x14ac:dyDescent="0.3">
      <c r="J280" s="1">
        <f>Table1181920231030313235[[#This Row],[النولون]]+Table1181920231030313235[[#This Row],[الايصالات]]+Table1181920231030313235[[#This Row],[قيمة مضافة]]</f>
        <v>0</v>
      </c>
      <c r="L280" s="1">
        <f>L279+Table1181920231030313235[[#This Row],[اجمالي الفاتوره]]-Table1181920231030313235[[#This Row],[الدفعات]]</f>
        <v>605591.88999999955</v>
      </c>
      <c r="N280" s="48"/>
    </row>
    <row r="281" spans="10:14" ht="26.25" customHeight="1" x14ac:dyDescent="0.3">
      <c r="J281" s="1">
        <f>Table1181920231030313235[[#This Row],[النولون]]+Table1181920231030313235[[#This Row],[الايصالات]]+Table1181920231030313235[[#This Row],[قيمة مضافة]]</f>
        <v>0</v>
      </c>
      <c r="L281" s="1">
        <f>L280+Table1181920231030313235[[#This Row],[اجمالي الفاتوره]]-Table1181920231030313235[[#This Row],[الدفعات]]</f>
        <v>605591.88999999955</v>
      </c>
      <c r="N281" s="48"/>
    </row>
    <row r="282" spans="10:14" ht="26.25" customHeight="1" x14ac:dyDescent="0.3">
      <c r="J282" s="1">
        <f>Table1181920231030313235[[#This Row],[النولون]]+Table1181920231030313235[[#This Row],[الايصالات]]+Table1181920231030313235[[#This Row],[قيمة مضافة]]</f>
        <v>0</v>
      </c>
      <c r="L282" s="1">
        <f>L281+Table1181920231030313235[[#This Row],[اجمالي الفاتوره]]-Table1181920231030313235[[#This Row],[الدفعات]]</f>
        <v>605591.88999999955</v>
      </c>
      <c r="N282" s="48"/>
    </row>
    <row r="283" spans="10:14" ht="26.25" customHeight="1" x14ac:dyDescent="0.3">
      <c r="J283" s="1">
        <f>Table1181920231030313235[[#This Row],[النولون]]+Table1181920231030313235[[#This Row],[الايصالات]]+Table1181920231030313235[[#This Row],[قيمة مضافة]]</f>
        <v>0</v>
      </c>
      <c r="L283" s="1">
        <f>L282+Table1181920231030313235[[#This Row],[اجمالي الفاتوره]]-Table1181920231030313235[[#This Row],[الدفعات]]</f>
        <v>605591.88999999955</v>
      </c>
      <c r="N283" s="48"/>
    </row>
    <row r="284" spans="10:14" ht="26.25" customHeight="1" x14ac:dyDescent="0.3">
      <c r="J284" s="1">
        <f>Table1181920231030313235[[#This Row],[النولون]]+Table1181920231030313235[[#This Row],[الايصالات]]+Table1181920231030313235[[#This Row],[قيمة مضافة]]</f>
        <v>0</v>
      </c>
      <c r="L284" s="1">
        <f>L283+Table1181920231030313235[[#This Row],[اجمالي الفاتوره]]-Table1181920231030313235[[#This Row],[الدفعات]]</f>
        <v>605591.88999999955</v>
      </c>
      <c r="N284" s="48"/>
    </row>
    <row r="285" spans="10:14" ht="26.25" customHeight="1" x14ac:dyDescent="0.3">
      <c r="J285" s="1">
        <f>Table1181920231030313235[[#This Row],[النولون]]+Table1181920231030313235[[#This Row],[الايصالات]]+Table1181920231030313235[[#This Row],[قيمة مضافة]]</f>
        <v>0</v>
      </c>
      <c r="L285" s="1">
        <f>L284+Table1181920231030313235[[#This Row],[اجمالي الفاتوره]]-Table1181920231030313235[[#This Row],[الدفعات]]</f>
        <v>605591.88999999955</v>
      </c>
      <c r="N285" s="48"/>
    </row>
    <row r="286" spans="10:14" ht="26.25" customHeight="1" x14ac:dyDescent="0.3">
      <c r="J286" s="1">
        <f>Table1181920231030313235[[#This Row],[النولون]]+Table1181920231030313235[[#This Row],[الايصالات]]+Table1181920231030313235[[#This Row],[قيمة مضافة]]</f>
        <v>0</v>
      </c>
      <c r="L286" s="1">
        <f>L285+Table1181920231030313235[[#This Row],[اجمالي الفاتوره]]-Table1181920231030313235[[#This Row],[الدفعات]]</f>
        <v>605591.88999999955</v>
      </c>
      <c r="N286" s="48"/>
    </row>
    <row r="287" spans="10:14" ht="26.25" customHeight="1" x14ac:dyDescent="0.3">
      <c r="J287" s="1">
        <f>Table1181920231030313235[[#This Row],[النولون]]+Table1181920231030313235[[#This Row],[الايصالات]]+Table1181920231030313235[[#This Row],[قيمة مضافة]]</f>
        <v>0</v>
      </c>
      <c r="L287" s="1">
        <f>L286+Table1181920231030313235[[#This Row],[اجمالي الفاتوره]]-Table1181920231030313235[[#This Row],[الدفعات]]</f>
        <v>605591.88999999955</v>
      </c>
      <c r="N287" s="48"/>
    </row>
    <row r="288" spans="10:14" ht="26.25" customHeight="1" x14ac:dyDescent="0.3">
      <c r="J288" s="1">
        <f>Table1181920231030313235[[#This Row],[النولون]]+Table1181920231030313235[[#This Row],[الايصالات]]+Table1181920231030313235[[#This Row],[قيمة مضافة]]</f>
        <v>0</v>
      </c>
      <c r="L288" s="1">
        <f>L287+Table1181920231030313235[[#This Row],[اجمالي الفاتوره]]-Table1181920231030313235[[#This Row],[الدفعات]]</f>
        <v>605591.88999999955</v>
      </c>
      <c r="N288" s="48"/>
    </row>
    <row r="289" spans="10:14" ht="26.25" customHeight="1" x14ac:dyDescent="0.3">
      <c r="J289" s="1">
        <f>Table1181920231030313235[[#This Row],[النولون]]+Table1181920231030313235[[#This Row],[الايصالات]]+Table1181920231030313235[[#This Row],[قيمة مضافة]]</f>
        <v>0</v>
      </c>
      <c r="L289" s="1">
        <f>L288+Table1181920231030313235[[#This Row],[اجمالي الفاتوره]]-Table1181920231030313235[[#This Row],[الدفعات]]</f>
        <v>605591.88999999955</v>
      </c>
      <c r="N289" s="48"/>
    </row>
    <row r="290" spans="10:14" ht="26.25" customHeight="1" x14ac:dyDescent="0.3">
      <c r="J290" s="1">
        <f>Table1181920231030313235[[#This Row],[النولون]]+Table1181920231030313235[[#This Row],[الايصالات]]+Table1181920231030313235[[#This Row],[قيمة مضافة]]</f>
        <v>0</v>
      </c>
      <c r="L290" s="1">
        <f>L289+Table1181920231030313235[[#This Row],[اجمالي الفاتوره]]-Table1181920231030313235[[#This Row],[الدفعات]]</f>
        <v>605591.88999999955</v>
      </c>
      <c r="N290" s="48"/>
    </row>
    <row r="291" spans="10:14" ht="26.25" customHeight="1" x14ac:dyDescent="0.3">
      <c r="J291" s="1">
        <f>Table1181920231030313235[[#This Row],[النولون]]+Table1181920231030313235[[#This Row],[الايصالات]]+Table1181920231030313235[[#This Row],[قيمة مضافة]]</f>
        <v>0</v>
      </c>
      <c r="L291" s="1">
        <f>L290+Table1181920231030313235[[#This Row],[اجمالي الفاتوره]]-Table1181920231030313235[[#This Row],[الدفعات]]</f>
        <v>605591.88999999955</v>
      </c>
      <c r="N291" s="48"/>
    </row>
    <row r="292" spans="10:14" ht="26.25" customHeight="1" x14ac:dyDescent="0.3">
      <c r="J292" s="1">
        <f>Table1181920231030313235[[#This Row],[النولون]]+Table1181920231030313235[[#This Row],[الايصالات]]+Table1181920231030313235[[#This Row],[قيمة مضافة]]</f>
        <v>0</v>
      </c>
      <c r="L292" s="1">
        <f>L291+Table1181920231030313235[[#This Row],[اجمالي الفاتوره]]-Table1181920231030313235[[#This Row],[الدفعات]]</f>
        <v>605591.88999999955</v>
      </c>
      <c r="N292" s="48"/>
    </row>
    <row r="293" spans="10:14" ht="26.25" customHeight="1" x14ac:dyDescent="0.3">
      <c r="J293" s="1">
        <f>Table1181920231030313235[[#This Row],[النولون]]+Table1181920231030313235[[#This Row],[الايصالات]]+Table1181920231030313235[[#This Row],[قيمة مضافة]]</f>
        <v>0</v>
      </c>
      <c r="L293" s="1">
        <f>L292+Table1181920231030313235[[#This Row],[اجمالي الفاتوره]]-Table1181920231030313235[[#This Row],[الدفعات]]</f>
        <v>605591.88999999955</v>
      </c>
      <c r="N293" s="48"/>
    </row>
    <row r="294" spans="10:14" ht="26.25" customHeight="1" x14ac:dyDescent="0.3">
      <c r="J294" s="1">
        <f>Table1181920231030313235[[#This Row],[النولون]]+Table1181920231030313235[[#This Row],[الايصالات]]+Table1181920231030313235[[#This Row],[قيمة مضافة]]</f>
        <v>0</v>
      </c>
      <c r="L294" s="1">
        <f>L293+Table1181920231030313235[[#This Row],[اجمالي الفاتوره]]-Table1181920231030313235[[#This Row],[الدفعات]]</f>
        <v>605591.88999999955</v>
      </c>
      <c r="N294" s="48"/>
    </row>
    <row r="295" spans="10:14" ht="26.25" customHeight="1" x14ac:dyDescent="0.3">
      <c r="J295" s="1">
        <f>Table1181920231030313235[[#This Row],[النولون]]+Table1181920231030313235[[#This Row],[الايصالات]]+Table1181920231030313235[[#This Row],[قيمة مضافة]]</f>
        <v>0</v>
      </c>
      <c r="L295" s="1">
        <f>L294+Table1181920231030313235[[#This Row],[اجمالي الفاتوره]]-Table1181920231030313235[[#This Row],[الدفعات]]</f>
        <v>605591.88999999955</v>
      </c>
      <c r="N295" s="48"/>
    </row>
    <row r="296" spans="10:14" ht="26.25" customHeight="1" x14ac:dyDescent="0.3">
      <c r="J296" s="1">
        <f>Table1181920231030313235[[#This Row],[النولون]]+Table1181920231030313235[[#This Row],[الايصالات]]+Table1181920231030313235[[#This Row],[قيمة مضافة]]</f>
        <v>0</v>
      </c>
      <c r="L296" s="1">
        <f>L295+Table1181920231030313235[[#This Row],[اجمالي الفاتوره]]-Table1181920231030313235[[#This Row],[الدفعات]]</f>
        <v>605591.88999999955</v>
      </c>
      <c r="N296" s="48"/>
    </row>
    <row r="297" spans="10:14" ht="26.25" customHeight="1" x14ac:dyDescent="0.3">
      <c r="J297" s="1">
        <f>Table1181920231030313235[[#This Row],[النولون]]+Table1181920231030313235[[#This Row],[الايصالات]]+Table1181920231030313235[[#This Row],[قيمة مضافة]]</f>
        <v>0</v>
      </c>
      <c r="L297" s="1">
        <f>L296+Table1181920231030313235[[#This Row],[اجمالي الفاتوره]]-Table1181920231030313235[[#This Row],[الدفعات]]</f>
        <v>605591.88999999955</v>
      </c>
      <c r="N297" s="48"/>
    </row>
    <row r="298" spans="10:14" ht="26.25" customHeight="1" x14ac:dyDescent="0.3">
      <c r="J298" s="1">
        <f>Table1181920231030313235[[#This Row],[النولون]]+Table1181920231030313235[[#This Row],[الايصالات]]+Table1181920231030313235[[#This Row],[قيمة مضافة]]</f>
        <v>0</v>
      </c>
      <c r="L298" s="1">
        <f>L297+Table1181920231030313235[[#This Row],[اجمالي الفاتوره]]-Table1181920231030313235[[#This Row],[الدفعات]]</f>
        <v>605591.88999999955</v>
      </c>
      <c r="N298" s="48"/>
    </row>
    <row r="299" spans="10:14" ht="26.25" customHeight="1" x14ac:dyDescent="0.3">
      <c r="J299" s="1">
        <f>Table1181920231030313235[[#This Row],[النولون]]+Table1181920231030313235[[#This Row],[الايصالات]]+Table1181920231030313235[[#This Row],[قيمة مضافة]]</f>
        <v>0</v>
      </c>
      <c r="L299" s="1">
        <f>L298+Table1181920231030313235[[#This Row],[اجمالي الفاتوره]]-Table1181920231030313235[[#This Row],[الدفعات]]</f>
        <v>605591.88999999955</v>
      </c>
      <c r="N299" s="48"/>
    </row>
    <row r="300" spans="10:14" ht="26.25" customHeight="1" x14ac:dyDescent="0.3">
      <c r="J300" s="1">
        <f>Table1181920231030313235[[#This Row],[النولون]]+Table1181920231030313235[[#This Row],[الايصالات]]+Table1181920231030313235[[#This Row],[قيمة مضافة]]</f>
        <v>0</v>
      </c>
      <c r="L300" s="1">
        <f>L299+Table1181920231030313235[[#This Row],[اجمالي الفاتوره]]-Table1181920231030313235[[#This Row],[الدفعات]]</f>
        <v>605591.88999999955</v>
      </c>
      <c r="N300" s="48"/>
    </row>
    <row r="301" spans="10:14" ht="26.25" customHeight="1" x14ac:dyDescent="0.3">
      <c r="J301" s="1">
        <f>Table1181920231030313235[[#This Row],[النولون]]+Table1181920231030313235[[#This Row],[الايصالات]]+Table1181920231030313235[[#This Row],[قيمة مضافة]]</f>
        <v>0</v>
      </c>
      <c r="L301" s="1">
        <f>L300+Table1181920231030313235[[#This Row],[اجمالي الفاتوره]]-Table1181920231030313235[[#This Row],[الدفعات]]</f>
        <v>605591.88999999955</v>
      </c>
      <c r="N301" s="48"/>
    </row>
    <row r="302" spans="10:14" ht="26.25" customHeight="1" x14ac:dyDescent="0.3">
      <c r="J302" s="1">
        <f>Table1181920231030313235[[#This Row],[النولون]]+Table1181920231030313235[[#This Row],[الايصالات]]+Table1181920231030313235[[#This Row],[قيمة مضافة]]</f>
        <v>0</v>
      </c>
      <c r="L302" s="1">
        <f>L301+Table1181920231030313235[[#This Row],[اجمالي الفاتوره]]-Table1181920231030313235[[#This Row],[الدفعات]]</f>
        <v>605591.88999999955</v>
      </c>
      <c r="N302" s="48"/>
    </row>
    <row r="303" spans="10:14" ht="26.25" customHeight="1" x14ac:dyDescent="0.3">
      <c r="J303" s="1">
        <f>Table1181920231030313235[[#This Row],[النولون]]+Table1181920231030313235[[#This Row],[الايصالات]]+Table1181920231030313235[[#This Row],[قيمة مضافة]]</f>
        <v>0</v>
      </c>
      <c r="L303" s="1">
        <f>L302+Table1181920231030313235[[#This Row],[اجمالي الفاتوره]]-Table1181920231030313235[[#This Row],[الدفعات]]</f>
        <v>605591.88999999955</v>
      </c>
      <c r="N303" s="48"/>
    </row>
    <row r="304" spans="10:14" ht="26.25" customHeight="1" x14ac:dyDescent="0.3">
      <c r="J304" s="1">
        <f>Table1181920231030313235[[#This Row],[النولون]]+Table1181920231030313235[[#This Row],[الايصالات]]+Table1181920231030313235[[#This Row],[قيمة مضافة]]</f>
        <v>0</v>
      </c>
      <c r="L304" s="1">
        <f>L303+Table1181920231030313235[[#This Row],[اجمالي الفاتوره]]-Table1181920231030313235[[#This Row],[الدفعات]]</f>
        <v>605591.88999999955</v>
      </c>
      <c r="N304" s="48"/>
    </row>
    <row r="305" spans="10:14" ht="26.25" customHeight="1" x14ac:dyDescent="0.3">
      <c r="J305" s="1">
        <f>Table1181920231030313235[[#This Row],[النولون]]+Table1181920231030313235[[#This Row],[الايصالات]]+Table1181920231030313235[[#This Row],[قيمة مضافة]]</f>
        <v>0</v>
      </c>
      <c r="L305" s="1">
        <f>L304+Table1181920231030313235[[#This Row],[اجمالي الفاتوره]]-Table1181920231030313235[[#This Row],[الدفعات]]</f>
        <v>605591.88999999955</v>
      </c>
      <c r="N305" s="48"/>
    </row>
    <row r="306" spans="10:14" ht="26.25" customHeight="1" x14ac:dyDescent="0.3">
      <c r="J306" s="1">
        <f>Table1181920231030313235[[#This Row],[النولون]]+Table1181920231030313235[[#This Row],[الايصالات]]+Table1181920231030313235[[#This Row],[قيمة مضافة]]</f>
        <v>0</v>
      </c>
      <c r="L306" s="1">
        <f>L305+Table1181920231030313235[[#This Row],[اجمالي الفاتوره]]-Table1181920231030313235[[#This Row],[الدفعات]]</f>
        <v>605591.88999999955</v>
      </c>
      <c r="N306" s="48"/>
    </row>
    <row r="307" spans="10:14" ht="26.25" customHeight="1" x14ac:dyDescent="0.3">
      <c r="J307" s="1">
        <f>Table1181920231030313235[[#This Row],[النولون]]+Table1181920231030313235[[#This Row],[الايصالات]]+Table1181920231030313235[[#This Row],[قيمة مضافة]]</f>
        <v>0</v>
      </c>
      <c r="L307" s="1">
        <f>L306+Table1181920231030313235[[#This Row],[اجمالي الفاتوره]]-Table1181920231030313235[[#This Row],[الدفعات]]</f>
        <v>605591.88999999955</v>
      </c>
      <c r="N307" s="48"/>
    </row>
    <row r="308" spans="10:14" ht="26.25" customHeight="1" x14ac:dyDescent="0.3">
      <c r="J308" s="1">
        <f>Table1181920231030313235[[#This Row],[النولون]]+Table1181920231030313235[[#This Row],[الايصالات]]+Table1181920231030313235[[#This Row],[قيمة مضافة]]</f>
        <v>0</v>
      </c>
      <c r="L308" s="1">
        <f>L307+Table1181920231030313235[[#This Row],[اجمالي الفاتوره]]-Table1181920231030313235[[#This Row],[الدفعات]]</f>
        <v>605591.88999999955</v>
      </c>
      <c r="N308" s="48"/>
    </row>
    <row r="309" spans="10:14" ht="26.25" customHeight="1" x14ac:dyDescent="0.3">
      <c r="J309" s="1">
        <f>Table1181920231030313235[[#This Row],[النولون]]+Table1181920231030313235[[#This Row],[الايصالات]]+Table1181920231030313235[[#This Row],[قيمة مضافة]]</f>
        <v>0</v>
      </c>
      <c r="L309" s="1">
        <f>L308+Table1181920231030313235[[#This Row],[اجمالي الفاتوره]]-Table1181920231030313235[[#This Row],[الدفعات]]</f>
        <v>605591.88999999955</v>
      </c>
      <c r="N309" s="48"/>
    </row>
    <row r="310" spans="10:14" ht="26.25" customHeight="1" x14ac:dyDescent="0.3">
      <c r="J310" s="1">
        <f>Table1181920231030313235[[#This Row],[النولون]]+Table1181920231030313235[[#This Row],[الايصالات]]+Table1181920231030313235[[#This Row],[قيمة مضافة]]</f>
        <v>0</v>
      </c>
      <c r="L310" s="1">
        <f>L309+Table1181920231030313235[[#This Row],[اجمالي الفاتوره]]-Table1181920231030313235[[#This Row],[الدفعات]]</f>
        <v>605591.88999999955</v>
      </c>
      <c r="N310" s="48"/>
    </row>
    <row r="311" spans="10:14" ht="26.25" customHeight="1" x14ac:dyDescent="0.3">
      <c r="J311" s="1">
        <f>Table1181920231030313235[[#This Row],[النولون]]+Table1181920231030313235[[#This Row],[الايصالات]]+Table1181920231030313235[[#This Row],[قيمة مضافة]]</f>
        <v>0</v>
      </c>
      <c r="L311" s="1">
        <f>L310+Table1181920231030313235[[#This Row],[اجمالي الفاتوره]]-Table1181920231030313235[[#This Row],[الدفعات]]</f>
        <v>605591.88999999955</v>
      </c>
      <c r="N311" s="48"/>
    </row>
    <row r="312" spans="10:14" ht="26.25" customHeight="1" x14ac:dyDescent="0.3">
      <c r="J312" s="1">
        <f>Table1181920231030313235[[#This Row],[النولون]]+Table1181920231030313235[[#This Row],[الايصالات]]+Table1181920231030313235[[#This Row],[قيمة مضافة]]</f>
        <v>0</v>
      </c>
      <c r="L312" s="1">
        <f>L311+Table1181920231030313235[[#This Row],[اجمالي الفاتوره]]-Table1181920231030313235[[#This Row],[الدفعات]]</f>
        <v>605591.88999999955</v>
      </c>
      <c r="N312" s="48"/>
    </row>
    <row r="313" spans="10:14" ht="26.25" customHeight="1" x14ac:dyDescent="0.3">
      <c r="J313" s="1">
        <f>Table1181920231030313235[[#This Row],[النولون]]+Table1181920231030313235[[#This Row],[الايصالات]]+Table1181920231030313235[[#This Row],[قيمة مضافة]]</f>
        <v>0</v>
      </c>
      <c r="L313" s="1">
        <f>L312+Table1181920231030313235[[#This Row],[اجمالي الفاتوره]]-Table1181920231030313235[[#This Row],[الدفعات]]</f>
        <v>605591.88999999955</v>
      </c>
      <c r="N313" s="48"/>
    </row>
    <row r="314" spans="10:14" ht="26.25" customHeight="1" x14ac:dyDescent="0.3">
      <c r="J314" s="1">
        <f>Table1181920231030313235[[#This Row],[النولون]]+Table1181920231030313235[[#This Row],[الايصالات]]+Table1181920231030313235[[#This Row],[قيمة مضافة]]</f>
        <v>0</v>
      </c>
      <c r="L314" s="1">
        <f>L313+Table1181920231030313235[[#This Row],[اجمالي الفاتوره]]-Table1181920231030313235[[#This Row],[الدفعات]]</f>
        <v>605591.88999999955</v>
      </c>
      <c r="N314" s="48"/>
    </row>
    <row r="315" spans="10:14" ht="26.25" customHeight="1" x14ac:dyDescent="0.3">
      <c r="J315" s="1">
        <f>Table1181920231030313235[[#This Row],[النولون]]+Table1181920231030313235[[#This Row],[الايصالات]]+Table1181920231030313235[[#This Row],[قيمة مضافة]]</f>
        <v>0</v>
      </c>
      <c r="L315" s="1">
        <f>L314+Table1181920231030313235[[#This Row],[اجمالي الفاتوره]]-Table1181920231030313235[[#This Row],[الدفعات]]</f>
        <v>605591.88999999955</v>
      </c>
      <c r="N315" s="48"/>
    </row>
    <row r="316" spans="10:14" ht="26.25" customHeight="1" x14ac:dyDescent="0.3">
      <c r="J316" s="1">
        <f>Table1181920231030313235[[#This Row],[النولون]]+Table1181920231030313235[[#This Row],[الايصالات]]+Table1181920231030313235[[#This Row],[قيمة مضافة]]</f>
        <v>0</v>
      </c>
      <c r="L316" s="1">
        <f>L315+Table1181920231030313235[[#This Row],[اجمالي الفاتوره]]-Table1181920231030313235[[#This Row],[الدفعات]]</f>
        <v>605591.88999999955</v>
      </c>
      <c r="N316" s="48"/>
    </row>
    <row r="317" spans="10:14" ht="26.25" customHeight="1" x14ac:dyDescent="0.3">
      <c r="J317" s="1">
        <f>Table1181920231030313235[[#This Row],[النولون]]+Table1181920231030313235[[#This Row],[الايصالات]]+Table1181920231030313235[[#This Row],[قيمة مضافة]]</f>
        <v>0</v>
      </c>
      <c r="L317" s="1">
        <f>L316+Table1181920231030313235[[#This Row],[اجمالي الفاتوره]]-Table1181920231030313235[[#This Row],[الدفعات]]</f>
        <v>605591.88999999955</v>
      </c>
      <c r="N317" s="48"/>
    </row>
    <row r="318" spans="10:14" ht="26.25" customHeight="1" x14ac:dyDescent="0.3">
      <c r="J318" s="1">
        <f>Table1181920231030313235[[#This Row],[النولون]]+Table1181920231030313235[[#This Row],[الايصالات]]+Table1181920231030313235[[#This Row],[قيمة مضافة]]</f>
        <v>0</v>
      </c>
      <c r="L318" s="1">
        <f>L317+Table1181920231030313235[[#This Row],[اجمالي الفاتوره]]-Table1181920231030313235[[#This Row],[الدفعات]]</f>
        <v>605591.88999999955</v>
      </c>
      <c r="N318" s="48"/>
    </row>
    <row r="319" spans="10:14" ht="26.25" customHeight="1" x14ac:dyDescent="0.3">
      <c r="J319" s="1">
        <f>Table1181920231030313235[[#This Row],[النولون]]+Table1181920231030313235[[#This Row],[الايصالات]]+Table1181920231030313235[[#This Row],[قيمة مضافة]]</f>
        <v>0</v>
      </c>
      <c r="L319" s="1">
        <f>L318+Table1181920231030313235[[#This Row],[اجمالي الفاتوره]]-Table1181920231030313235[[#This Row],[الدفعات]]</f>
        <v>605591.88999999955</v>
      </c>
      <c r="N319" s="48"/>
    </row>
    <row r="320" spans="10:14" ht="26.25" customHeight="1" x14ac:dyDescent="0.3">
      <c r="J320" s="1">
        <f>Table1181920231030313235[[#This Row],[النولون]]+Table1181920231030313235[[#This Row],[الايصالات]]+Table1181920231030313235[[#This Row],[قيمة مضافة]]</f>
        <v>0</v>
      </c>
      <c r="L320" s="1">
        <f>L319+Table1181920231030313235[[#This Row],[اجمالي الفاتوره]]-Table1181920231030313235[[#This Row],[الدفعات]]</f>
        <v>605591.88999999955</v>
      </c>
      <c r="N320" s="48"/>
    </row>
    <row r="321" spans="10:14" ht="26.25" customHeight="1" x14ac:dyDescent="0.3">
      <c r="J321" s="1">
        <f>Table1181920231030313235[[#This Row],[النولون]]+Table1181920231030313235[[#This Row],[الايصالات]]+Table1181920231030313235[[#This Row],[قيمة مضافة]]</f>
        <v>0</v>
      </c>
      <c r="L321" s="1">
        <f>L320+Table1181920231030313235[[#This Row],[اجمالي الفاتوره]]-Table1181920231030313235[[#This Row],[الدفعات]]</f>
        <v>605591.88999999955</v>
      </c>
      <c r="N321" s="48"/>
    </row>
    <row r="322" spans="10:14" ht="26.25" customHeight="1" x14ac:dyDescent="0.3">
      <c r="J322" s="1">
        <f>Table1181920231030313235[[#This Row],[النولون]]+Table1181920231030313235[[#This Row],[الايصالات]]+Table1181920231030313235[[#This Row],[قيمة مضافة]]</f>
        <v>0</v>
      </c>
      <c r="L322" s="1">
        <f>L321+Table1181920231030313235[[#This Row],[اجمالي الفاتوره]]-Table1181920231030313235[[#This Row],[الدفعات]]</f>
        <v>605591.88999999955</v>
      </c>
      <c r="N322" s="48"/>
    </row>
    <row r="323" spans="10:14" ht="26.25" customHeight="1" x14ac:dyDescent="0.3">
      <c r="J323" s="1">
        <f>Table1181920231030313235[[#This Row],[النولون]]+Table1181920231030313235[[#This Row],[الايصالات]]+Table1181920231030313235[[#This Row],[قيمة مضافة]]</f>
        <v>0</v>
      </c>
      <c r="L323" s="1">
        <f>L322+Table1181920231030313235[[#This Row],[اجمالي الفاتوره]]-Table1181920231030313235[[#This Row],[الدفعات]]</f>
        <v>605591.88999999955</v>
      </c>
      <c r="N323" s="48"/>
    </row>
    <row r="324" spans="10:14" ht="26.25" customHeight="1" x14ac:dyDescent="0.3">
      <c r="J324" s="1">
        <f>Table1181920231030313235[[#This Row],[النولون]]+Table1181920231030313235[[#This Row],[الايصالات]]+Table1181920231030313235[[#This Row],[قيمة مضافة]]</f>
        <v>0</v>
      </c>
      <c r="L324" s="1">
        <f>L323+Table1181920231030313235[[#This Row],[اجمالي الفاتوره]]-Table1181920231030313235[[#This Row],[الدفعات]]</f>
        <v>605591.88999999955</v>
      </c>
      <c r="N324" s="48"/>
    </row>
    <row r="325" spans="10:14" ht="26.25" customHeight="1" x14ac:dyDescent="0.3">
      <c r="J325" s="1">
        <f>Table1181920231030313235[[#This Row],[النولون]]+Table1181920231030313235[[#This Row],[الايصالات]]+Table1181920231030313235[[#This Row],[قيمة مضافة]]</f>
        <v>0</v>
      </c>
      <c r="L325" s="1">
        <f>L324+Table1181920231030313235[[#This Row],[اجمالي الفاتوره]]-Table1181920231030313235[[#This Row],[الدفعات]]</f>
        <v>605591.88999999955</v>
      </c>
      <c r="N325" s="48"/>
    </row>
    <row r="326" spans="10:14" ht="26.25" customHeight="1" x14ac:dyDescent="0.3">
      <c r="J326" s="1">
        <f>Table1181920231030313235[[#This Row],[النولون]]+Table1181920231030313235[[#This Row],[الايصالات]]+Table1181920231030313235[[#This Row],[قيمة مضافة]]</f>
        <v>0</v>
      </c>
      <c r="L326" s="1">
        <f>L325+Table1181920231030313235[[#This Row],[اجمالي الفاتوره]]-Table1181920231030313235[[#This Row],[الدفعات]]</f>
        <v>605591.88999999955</v>
      </c>
      <c r="N326" s="48"/>
    </row>
    <row r="327" spans="10:14" ht="26.25" customHeight="1" x14ac:dyDescent="0.3">
      <c r="J327" s="1">
        <f>Table1181920231030313235[[#This Row],[النولون]]+Table1181920231030313235[[#This Row],[الايصالات]]+Table1181920231030313235[[#This Row],[قيمة مضافة]]</f>
        <v>0</v>
      </c>
      <c r="L327" s="1">
        <f>L326+Table1181920231030313235[[#This Row],[اجمالي الفاتوره]]-Table1181920231030313235[[#This Row],[الدفعات]]</f>
        <v>605591.88999999955</v>
      </c>
      <c r="N327" s="48"/>
    </row>
    <row r="328" spans="10:14" ht="26.25" customHeight="1" x14ac:dyDescent="0.3">
      <c r="J328" s="1">
        <f>Table1181920231030313235[[#This Row],[النولون]]+Table1181920231030313235[[#This Row],[الايصالات]]+Table1181920231030313235[[#This Row],[قيمة مضافة]]</f>
        <v>0</v>
      </c>
      <c r="L328" s="1">
        <f>L327+Table1181920231030313235[[#This Row],[اجمالي الفاتوره]]-Table1181920231030313235[[#This Row],[الدفعات]]</f>
        <v>605591.88999999955</v>
      </c>
      <c r="N328" s="48"/>
    </row>
    <row r="329" spans="10:14" ht="26.25" customHeight="1" x14ac:dyDescent="0.3">
      <c r="J329" s="1">
        <f>Table1181920231030313235[[#This Row],[النولون]]+Table1181920231030313235[[#This Row],[الايصالات]]+Table1181920231030313235[[#This Row],[قيمة مضافة]]</f>
        <v>0</v>
      </c>
      <c r="L329" s="1">
        <f>L328+Table1181920231030313235[[#This Row],[اجمالي الفاتوره]]-Table1181920231030313235[[#This Row],[الدفعات]]</f>
        <v>605591.88999999955</v>
      </c>
      <c r="N329" s="48"/>
    </row>
    <row r="330" spans="10:14" ht="26.25" customHeight="1" x14ac:dyDescent="0.3">
      <c r="J330" s="1">
        <f>Table1181920231030313235[[#This Row],[النولون]]+Table1181920231030313235[[#This Row],[الايصالات]]+Table1181920231030313235[[#This Row],[قيمة مضافة]]</f>
        <v>0</v>
      </c>
      <c r="L330" s="1">
        <f>L329+Table1181920231030313235[[#This Row],[اجمالي الفاتوره]]-Table1181920231030313235[[#This Row],[الدفعات]]</f>
        <v>605591.88999999955</v>
      </c>
      <c r="N330" s="48"/>
    </row>
    <row r="331" spans="10:14" ht="26.25" customHeight="1" x14ac:dyDescent="0.3">
      <c r="J331" s="1">
        <f>Table1181920231030313235[[#This Row],[النولون]]+Table1181920231030313235[[#This Row],[الايصالات]]+Table1181920231030313235[[#This Row],[قيمة مضافة]]</f>
        <v>0</v>
      </c>
      <c r="L331" s="1">
        <f>L330+Table1181920231030313235[[#This Row],[اجمالي الفاتوره]]-Table1181920231030313235[[#This Row],[الدفعات]]</f>
        <v>605591.88999999955</v>
      </c>
      <c r="N331" s="48"/>
    </row>
    <row r="332" spans="10:14" ht="26.25" customHeight="1" x14ac:dyDescent="0.3">
      <c r="J332" s="1">
        <f>Table1181920231030313235[[#This Row],[النولون]]+Table1181920231030313235[[#This Row],[الايصالات]]+Table1181920231030313235[[#This Row],[قيمة مضافة]]</f>
        <v>0</v>
      </c>
      <c r="L332" s="1">
        <f>L331+Table1181920231030313235[[#This Row],[اجمالي الفاتوره]]-Table1181920231030313235[[#This Row],[الدفعات]]</f>
        <v>605591.88999999955</v>
      </c>
      <c r="N332" s="48"/>
    </row>
    <row r="333" spans="10:14" ht="26.25" customHeight="1" x14ac:dyDescent="0.3">
      <c r="J333" s="1">
        <f>Table1181920231030313235[[#This Row],[النولون]]+Table1181920231030313235[[#This Row],[الايصالات]]+Table1181920231030313235[[#This Row],[قيمة مضافة]]</f>
        <v>0</v>
      </c>
      <c r="L333" s="1">
        <f>L332+Table1181920231030313235[[#This Row],[اجمالي الفاتوره]]-Table1181920231030313235[[#This Row],[الدفعات]]</f>
        <v>605591.88999999955</v>
      </c>
      <c r="N333" s="48"/>
    </row>
    <row r="334" spans="10:14" ht="26.25" customHeight="1" x14ac:dyDescent="0.3">
      <c r="J334" s="1">
        <f>Table1181920231030313235[[#This Row],[النولون]]+Table1181920231030313235[[#This Row],[الايصالات]]+Table1181920231030313235[[#This Row],[قيمة مضافة]]</f>
        <v>0</v>
      </c>
      <c r="L334" s="1">
        <f>L333+Table1181920231030313235[[#This Row],[اجمالي الفاتوره]]-Table1181920231030313235[[#This Row],[الدفعات]]</f>
        <v>605591.88999999955</v>
      </c>
      <c r="N334" s="48"/>
    </row>
    <row r="335" spans="10:14" ht="26.25" customHeight="1" x14ac:dyDescent="0.3">
      <c r="J335" s="1">
        <f>Table1181920231030313235[[#This Row],[النولون]]+Table1181920231030313235[[#This Row],[الايصالات]]+Table1181920231030313235[[#This Row],[قيمة مضافة]]</f>
        <v>0</v>
      </c>
      <c r="L335" s="1">
        <f>L334+Table1181920231030313235[[#This Row],[اجمالي الفاتوره]]-Table1181920231030313235[[#This Row],[الدفعات]]</f>
        <v>605591.88999999955</v>
      </c>
      <c r="N335" s="48"/>
    </row>
    <row r="336" spans="10:14" ht="26.25" customHeight="1" x14ac:dyDescent="0.3">
      <c r="J336" s="1">
        <f>Table1181920231030313235[[#This Row],[النولون]]+Table1181920231030313235[[#This Row],[الايصالات]]+Table1181920231030313235[[#This Row],[قيمة مضافة]]</f>
        <v>0</v>
      </c>
      <c r="L336" s="1">
        <f>L335+Table1181920231030313235[[#This Row],[اجمالي الفاتوره]]-Table1181920231030313235[[#This Row],[الدفعات]]</f>
        <v>605591.88999999955</v>
      </c>
      <c r="N336" s="48"/>
    </row>
    <row r="337" spans="10:14" ht="26.25" customHeight="1" x14ac:dyDescent="0.3">
      <c r="J337" s="1">
        <f>Table1181920231030313235[[#This Row],[النولون]]+Table1181920231030313235[[#This Row],[الايصالات]]+Table1181920231030313235[[#This Row],[قيمة مضافة]]</f>
        <v>0</v>
      </c>
      <c r="L337" s="1">
        <f>L336+Table1181920231030313235[[#This Row],[اجمالي الفاتوره]]-Table1181920231030313235[[#This Row],[الدفعات]]</f>
        <v>605591.88999999955</v>
      </c>
      <c r="N337" s="48"/>
    </row>
    <row r="338" spans="10:14" ht="26.25" customHeight="1" x14ac:dyDescent="0.3">
      <c r="J338" s="1">
        <f>Table1181920231030313235[[#This Row],[النولون]]+Table1181920231030313235[[#This Row],[الايصالات]]+Table1181920231030313235[[#This Row],[قيمة مضافة]]</f>
        <v>0</v>
      </c>
      <c r="L338" s="1">
        <f>L337+Table1181920231030313235[[#This Row],[اجمالي الفاتوره]]-Table1181920231030313235[[#This Row],[الدفعات]]</f>
        <v>605591.88999999955</v>
      </c>
      <c r="N338" s="48"/>
    </row>
    <row r="339" spans="10:14" ht="26.25" customHeight="1" x14ac:dyDescent="0.3">
      <c r="J339" s="1">
        <f>Table1181920231030313235[[#This Row],[النولون]]+Table1181920231030313235[[#This Row],[الايصالات]]+Table1181920231030313235[[#This Row],[قيمة مضافة]]</f>
        <v>0</v>
      </c>
      <c r="L339" s="1">
        <f>L338+Table1181920231030313235[[#This Row],[اجمالي الفاتوره]]-Table1181920231030313235[[#This Row],[الدفعات]]</f>
        <v>605591.88999999955</v>
      </c>
      <c r="N339" s="48"/>
    </row>
  </sheetData>
  <phoneticPr fontId="23" type="noConversion"/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07"/>
  <sheetViews>
    <sheetView rightToLeft="1" topLeftCell="A51" zoomScale="80" zoomScaleNormal="80" workbookViewId="0">
      <selection activeCell="K62" sqref="K62"/>
    </sheetView>
  </sheetViews>
  <sheetFormatPr defaultColWidth="10.88671875" defaultRowHeight="25.5" customHeight="1" x14ac:dyDescent="0.3"/>
  <cols>
    <col min="1" max="1" width="8" style="36" customWidth="1"/>
    <col min="2" max="2" width="12.77734375" style="36" bestFit="1" customWidth="1"/>
    <col min="3" max="3" width="19.109375" style="36" bestFit="1" customWidth="1"/>
    <col min="4" max="4" width="17.33203125" style="36" customWidth="1"/>
    <col min="5" max="5" width="16.6640625" style="36" bestFit="1" customWidth="1"/>
    <col min="6" max="6" width="13" style="36" customWidth="1"/>
    <col min="7" max="7" width="12.6640625" style="36" customWidth="1"/>
    <col min="8" max="8" width="11" style="36" bestFit="1" customWidth="1"/>
    <col min="9" max="9" width="13.21875" style="36" customWidth="1"/>
    <col min="10" max="10" width="14.6640625" style="36" customWidth="1"/>
    <col min="11" max="11" width="13.44140625" style="36" bestFit="1" customWidth="1"/>
    <col min="12" max="12" width="17.88671875" style="36" customWidth="1"/>
    <col min="13" max="13" width="12.88671875" style="36" customWidth="1"/>
    <col min="14" max="16384" width="10.88671875" style="36"/>
  </cols>
  <sheetData>
    <row r="1" spans="1:14" ht="25.5" customHeight="1" x14ac:dyDescent="0.3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9</v>
      </c>
      <c r="J1" s="36" t="s">
        <v>10</v>
      </c>
      <c r="K1" s="36" t="s">
        <v>11</v>
      </c>
      <c r="L1" s="36" t="s">
        <v>12</v>
      </c>
      <c r="M1" s="36" t="s">
        <v>13</v>
      </c>
      <c r="N1" s="49" t="s">
        <v>20</v>
      </c>
    </row>
    <row r="2" spans="1:14" ht="25.5" customHeight="1" x14ac:dyDescent="0.3">
      <c r="B2" s="37"/>
      <c r="J2" s="36">
        <v>0</v>
      </c>
      <c r="L2" s="36">
        <v>0</v>
      </c>
      <c r="N2" s="49"/>
    </row>
    <row r="3" spans="1:14" ht="25.5" customHeight="1" x14ac:dyDescent="0.3">
      <c r="A3" s="36">
        <v>1</v>
      </c>
      <c r="B3" s="37" t="s">
        <v>150</v>
      </c>
      <c r="C3" s="36" t="s">
        <v>160</v>
      </c>
      <c r="D3" s="36" t="s">
        <v>162</v>
      </c>
      <c r="E3" s="36">
        <v>12121400</v>
      </c>
      <c r="F3" s="36" t="s">
        <v>121</v>
      </c>
      <c r="G3" s="36">
        <v>19800</v>
      </c>
      <c r="I3" s="36">
        <f>100+1100+435.57+50+604+750+1416</f>
        <v>4455.57</v>
      </c>
      <c r="J3" s="36">
        <f>Table114[[#This Row],[النولون]]+Table114[[#This Row],[الايصالات]]+Table114[[#This Row],[قيمة مضافة]]</f>
        <v>24255.57</v>
      </c>
      <c r="L3" s="36">
        <f>L2+Table114[[#This Row],[اجمالي الفاتوره]]-Table114[[#This Row],[الدفعات]]</f>
        <v>24255.57</v>
      </c>
      <c r="N3" s="49"/>
    </row>
    <row r="4" spans="1:14" ht="25.5" customHeight="1" x14ac:dyDescent="0.3">
      <c r="A4" s="77"/>
      <c r="B4" s="78" t="s">
        <v>113</v>
      </c>
      <c r="C4" s="77"/>
      <c r="D4" s="77"/>
      <c r="E4" s="77"/>
      <c r="F4" s="77"/>
      <c r="G4" s="77"/>
      <c r="H4" s="77"/>
      <c r="I4" s="77"/>
      <c r="J4" s="77">
        <f>Table114[[#This Row],[النولون]]+Table114[[#This Row],[الايصالات]]+Table114[[#This Row],[قيمة مضافة]]</f>
        <v>0</v>
      </c>
      <c r="K4" s="77">
        <v>24255.57</v>
      </c>
      <c r="L4" s="79">
        <f>L3+Table114[[#This Row],[اجمالي الفاتوره]]-Table114[[#This Row],[الدفعات]]</f>
        <v>0</v>
      </c>
      <c r="M4" s="49"/>
      <c r="N4" s="49"/>
    </row>
    <row r="5" spans="1:14" ht="25.5" customHeight="1" x14ac:dyDescent="0.3">
      <c r="A5" s="36">
        <v>1230</v>
      </c>
      <c r="B5" s="37" t="s">
        <v>150</v>
      </c>
      <c r="C5" s="36" t="s">
        <v>161</v>
      </c>
      <c r="D5" s="36" t="s">
        <v>163</v>
      </c>
      <c r="E5" s="36">
        <v>455</v>
      </c>
      <c r="F5" s="36" t="s">
        <v>121</v>
      </c>
      <c r="G5" s="36">
        <v>14800</v>
      </c>
      <c r="I5" s="36">
        <f>810+210+1100+120+207.5+3243.6+1225.5</f>
        <v>6916.6</v>
      </c>
      <c r="J5" s="36">
        <f>Table114[[#This Row],[النولون]]+Table114[[#This Row],[الايصالات]]+Table114[[#This Row],[قيمة مضافة]]</f>
        <v>21716.6</v>
      </c>
      <c r="L5" s="36">
        <f>L4+Table114[[#This Row],[اجمالي الفاتوره]]-Table114[[#This Row],[الدفعات]]</f>
        <v>21716.6</v>
      </c>
      <c r="N5" s="49"/>
    </row>
    <row r="6" spans="1:14" ht="25.5" customHeight="1" x14ac:dyDescent="0.3">
      <c r="A6" s="36">
        <v>2</v>
      </c>
      <c r="B6" s="37" t="s">
        <v>222</v>
      </c>
      <c r="C6" s="36" t="s">
        <v>225</v>
      </c>
      <c r="D6" s="36" t="s">
        <v>96</v>
      </c>
      <c r="E6" s="36">
        <v>6442004820</v>
      </c>
      <c r="F6" s="36" t="s">
        <v>159</v>
      </c>
      <c r="G6" s="36">
        <v>11550</v>
      </c>
      <c r="I6" s="36">
        <f>210+550+286.67+60+150+564.3+228</f>
        <v>2048.9700000000003</v>
      </c>
      <c r="J6" s="36">
        <f>Table114[[#This Row],[النولون]]+Table114[[#This Row],[الايصالات]]+Table114[[#This Row],[قيمة مضافة]]</f>
        <v>13598.970000000001</v>
      </c>
      <c r="L6" s="36">
        <f>L5+Table114[[#This Row],[اجمالي الفاتوره]]-Table114[[#This Row],[الدفعات]]</f>
        <v>35315.57</v>
      </c>
      <c r="N6" s="49"/>
    </row>
    <row r="7" spans="1:14" ht="25.5" customHeight="1" x14ac:dyDescent="0.3">
      <c r="A7" s="36">
        <v>3</v>
      </c>
      <c r="B7" s="37" t="s">
        <v>237</v>
      </c>
      <c r="C7" s="36" t="s">
        <v>246</v>
      </c>
      <c r="D7" s="36" t="s">
        <v>94</v>
      </c>
      <c r="E7" s="36">
        <v>876294</v>
      </c>
      <c r="F7" s="36" t="s">
        <v>121</v>
      </c>
      <c r="G7" s="36">
        <v>16850</v>
      </c>
      <c r="I7" s="36">
        <f>210+1100+45.15+410.12+90+200+285+25.1+150</f>
        <v>2515.37</v>
      </c>
      <c r="J7" s="36">
        <f>Table114[[#This Row],[النولون]]+Table114[[#This Row],[الايصالات]]+Table114[[#This Row],[قيمة مضافة]]</f>
        <v>19365.37</v>
      </c>
      <c r="L7" s="36">
        <f>L6+Table114[[#This Row],[اجمالي الفاتوره]]-Table114[[#This Row],[الدفعات]]</f>
        <v>54680.94</v>
      </c>
      <c r="N7" s="49"/>
    </row>
    <row r="8" spans="1:14" ht="25.5" customHeight="1" x14ac:dyDescent="0.3">
      <c r="A8" s="36">
        <v>4</v>
      </c>
      <c r="B8" s="37" t="s">
        <v>237</v>
      </c>
      <c r="C8" s="36" t="s">
        <v>247</v>
      </c>
      <c r="D8" s="36" t="s">
        <v>94</v>
      </c>
      <c r="E8" s="36">
        <v>875897</v>
      </c>
      <c r="F8" s="36" t="s">
        <v>159</v>
      </c>
      <c r="G8" s="36">
        <v>13500</v>
      </c>
      <c r="I8" s="36">
        <f>110+90+550+243.19+75.47+150+350+399+25.1</f>
        <v>1992.76</v>
      </c>
      <c r="J8" s="36">
        <f>Table114[[#This Row],[النولون]]+Table114[[#This Row],[الايصالات]]+Table114[[#This Row],[قيمة مضافة]]</f>
        <v>15492.76</v>
      </c>
      <c r="L8" s="36">
        <f>L7+Table114[[#This Row],[اجمالي الفاتوره]]-Table114[[#This Row],[الدفعات]]</f>
        <v>70173.7</v>
      </c>
      <c r="N8" s="49"/>
    </row>
    <row r="9" spans="1:14" ht="25.5" customHeight="1" x14ac:dyDescent="0.3">
      <c r="A9" s="36">
        <v>5</v>
      </c>
      <c r="B9" s="37" t="s">
        <v>237</v>
      </c>
      <c r="C9" s="36" t="s">
        <v>248</v>
      </c>
      <c r="D9" s="36" t="s">
        <v>96</v>
      </c>
      <c r="E9" s="36">
        <v>877677</v>
      </c>
      <c r="F9" s="36" t="s">
        <v>159</v>
      </c>
      <c r="G9" s="36">
        <v>11550</v>
      </c>
      <c r="I9" s="36">
        <f>850+110+570+75.47+240.36+150+150+171+25.1</f>
        <v>2341.9299999999998</v>
      </c>
      <c r="J9" s="36">
        <f>Table114[[#This Row],[النولون]]+Table114[[#This Row],[الايصالات]]+Table114[[#This Row],[قيمة مضافة]]</f>
        <v>13891.93</v>
      </c>
      <c r="L9" s="36">
        <f>L8+Table114[[#This Row],[اجمالي الفاتوره]]-Table114[[#This Row],[الدفعات]]</f>
        <v>84065.63</v>
      </c>
      <c r="N9" s="49"/>
    </row>
    <row r="10" spans="1:14" ht="25.5" customHeight="1" x14ac:dyDescent="0.3">
      <c r="A10" s="36">
        <v>6</v>
      </c>
      <c r="B10" s="37" t="s">
        <v>275</v>
      </c>
      <c r="C10" s="36" t="s">
        <v>278</v>
      </c>
      <c r="D10" s="36" t="s">
        <v>279</v>
      </c>
      <c r="E10" s="36">
        <v>877677</v>
      </c>
      <c r="F10" s="36" t="s">
        <v>143</v>
      </c>
      <c r="G10" s="36">
        <v>13500</v>
      </c>
      <c r="I10" s="36">
        <f>3000+3500+1000+210+1100+105.79+631.06+200+350+399+25.1</f>
        <v>10520.95</v>
      </c>
      <c r="J10" s="36">
        <f>Table114[[#This Row],[النولون]]+Table114[[#This Row],[الايصالات]]+Table114[[#This Row],[قيمة مضافة]]</f>
        <v>24020.95</v>
      </c>
      <c r="L10" s="36">
        <f>L9+Table114[[#This Row],[اجمالي الفاتوره]]-Table114[[#This Row],[الدفعات]]</f>
        <v>108086.58</v>
      </c>
      <c r="N10" s="49"/>
    </row>
    <row r="11" spans="1:14" ht="25.5" customHeight="1" x14ac:dyDescent="0.3">
      <c r="A11" s="77"/>
      <c r="B11" s="78" t="s">
        <v>372</v>
      </c>
      <c r="C11" s="77"/>
      <c r="D11" s="77"/>
      <c r="E11" s="77"/>
      <c r="F11" s="77"/>
      <c r="G11" s="77"/>
      <c r="H11" s="77"/>
      <c r="I11" s="77"/>
      <c r="J11" s="77"/>
      <c r="K11" s="77">
        <v>108086.58</v>
      </c>
      <c r="L11" s="79">
        <f>L10+Table114[[#This Row],[اجمالي الفاتوره]]-Table114[[#This Row],[الدفعات]]</f>
        <v>0</v>
      </c>
      <c r="M11" s="49"/>
      <c r="N11" s="49"/>
    </row>
    <row r="12" spans="1:14" ht="25.5" customHeight="1" x14ac:dyDescent="0.3">
      <c r="A12" s="36">
        <v>7</v>
      </c>
      <c r="B12" s="37" t="s">
        <v>293</v>
      </c>
      <c r="C12" s="36" t="s">
        <v>296</v>
      </c>
      <c r="D12" s="36" t="s">
        <v>96</v>
      </c>
      <c r="E12" s="36">
        <v>6444555340</v>
      </c>
      <c r="F12" s="36" t="s">
        <v>159</v>
      </c>
      <c r="G12" s="36">
        <v>11550</v>
      </c>
      <c r="I12" s="36">
        <f>550+248.52+564.3+228</f>
        <v>1590.82</v>
      </c>
      <c r="J12" s="36">
        <f>Table114[[#This Row],[النولون]]+Table114[[#This Row],[الايصالات]]+Table114[[#This Row],[قيمة مضافة]]</f>
        <v>13140.82</v>
      </c>
      <c r="L12" s="36">
        <f>L11+Table114[[#This Row],[اجمالي الفاتوره]]-Table114[[#This Row],[الدفعات]]</f>
        <v>13140.82</v>
      </c>
      <c r="N12" s="49"/>
    </row>
    <row r="13" spans="1:14" ht="25.5" customHeight="1" x14ac:dyDescent="0.3">
      <c r="A13" s="36">
        <v>1304</v>
      </c>
      <c r="B13" s="37" t="s">
        <v>323</v>
      </c>
      <c r="C13" s="36" t="s">
        <v>324</v>
      </c>
      <c r="D13" s="36" t="s">
        <v>325</v>
      </c>
      <c r="E13" s="36">
        <v>878086</v>
      </c>
      <c r="F13" s="36" t="s">
        <v>92</v>
      </c>
      <c r="G13" s="36">
        <f>(16500+2500+3500)*2</f>
        <v>45000</v>
      </c>
      <c r="H13" s="36">
        <f>0.14*Table114[[#This Row],[النولون]]</f>
        <v>6300.0000000000009</v>
      </c>
      <c r="I13" s="36">
        <f>300*2+60+410+75*2+1100*2+482.03+794.2+100*2+150+500+1824+400+570</f>
        <v>8340.23</v>
      </c>
      <c r="J13" s="36">
        <f>Table114[[#This Row],[النولون]]+Table114[[#This Row],[الايصالات]]+Table114[[#This Row],[قيمة مضافة]]</f>
        <v>59640.229999999996</v>
      </c>
      <c r="L13" s="36">
        <f>L12+Table114[[#This Row],[اجمالي الفاتوره]]-Table114[[#This Row],[الدفعات]]</f>
        <v>72781.049999999988</v>
      </c>
      <c r="N13" s="49"/>
    </row>
    <row r="14" spans="1:14" ht="25.5" customHeight="1" x14ac:dyDescent="0.3">
      <c r="A14" s="36">
        <v>8</v>
      </c>
      <c r="B14" s="37" t="s">
        <v>323</v>
      </c>
      <c r="C14" s="36" t="s">
        <v>326</v>
      </c>
      <c r="D14" s="36" t="s">
        <v>224</v>
      </c>
      <c r="E14" s="36">
        <v>60762</v>
      </c>
      <c r="F14" s="36" t="s">
        <v>290</v>
      </c>
      <c r="G14" s="36">
        <f>12500*5</f>
        <v>62500</v>
      </c>
      <c r="I14" s="36">
        <f>40*2+850+1100+1130+365.21*3+475.15+472.32+1995+5750+20000+1130+1100+1130</f>
        <v>36308.1</v>
      </c>
      <c r="J14" s="36">
        <f>Table114[[#This Row],[النولون]]+Table114[[#This Row],[الايصالات]]+Table114[[#This Row],[قيمة مضافة]]</f>
        <v>98808.1</v>
      </c>
      <c r="L14" s="36">
        <f>L13+Table114[[#This Row],[اجمالي الفاتوره]]-Table114[[#This Row],[الدفعات]]</f>
        <v>171589.15</v>
      </c>
      <c r="N14" s="49"/>
    </row>
    <row r="15" spans="1:14" ht="25.5" customHeight="1" x14ac:dyDescent="0.3">
      <c r="A15" s="36">
        <v>9</v>
      </c>
      <c r="B15" s="37" t="s">
        <v>323</v>
      </c>
      <c r="C15" s="36" t="s">
        <v>327</v>
      </c>
      <c r="D15" s="36" t="s">
        <v>96</v>
      </c>
      <c r="E15" s="36">
        <v>203</v>
      </c>
      <c r="F15" s="36" t="s">
        <v>121</v>
      </c>
      <c r="G15" s="36">
        <f>11550+14850</f>
        <v>26400</v>
      </c>
      <c r="I15" s="36">
        <f>1135+395.99+200+200+1482+1200+1000+200+50</f>
        <v>5862.99</v>
      </c>
      <c r="J15" s="36">
        <f>Table114[[#This Row],[النولون]]+Table114[[#This Row],[الايصالات]]+Table114[[#This Row],[قيمة مضافة]]</f>
        <v>32262.989999999998</v>
      </c>
      <c r="L15" s="36">
        <f>L14+Table114[[#This Row],[اجمالي الفاتوره]]-Table114[[#This Row],[الدفعات]]</f>
        <v>203852.13999999998</v>
      </c>
      <c r="M15" s="36">
        <f>SUM(Table114[اجمالي الفاتوره])-SUM(Table114[الدفعات])+L2</f>
        <v>1055860.3799999992</v>
      </c>
      <c r="N15" s="49">
        <f>SUM(H:H)</f>
        <v>6300.0000000000009</v>
      </c>
    </row>
    <row r="16" spans="1:14" ht="25.5" customHeight="1" x14ac:dyDescent="0.3">
      <c r="A16" s="77"/>
      <c r="B16" s="78" t="s">
        <v>417</v>
      </c>
      <c r="C16" s="77"/>
      <c r="D16" s="77"/>
      <c r="E16" s="77"/>
      <c r="F16" s="77"/>
      <c r="G16" s="77"/>
      <c r="H16" s="77"/>
      <c r="I16" s="77"/>
      <c r="J16" s="77"/>
      <c r="K16" s="77">
        <v>203852.14</v>
      </c>
      <c r="L16" s="79">
        <f>L15+Table114[[#This Row],[اجمالي الفاتوره]]-Table114[[#This Row],[الدفعات]]</f>
        <v>0</v>
      </c>
      <c r="M16" s="49"/>
      <c r="N16" s="49"/>
    </row>
    <row r="17" spans="1:14" ht="25.5" customHeight="1" x14ac:dyDescent="0.3">
      <c r="A17" s="36">
        <v>10</v>
      </c>
      <c r="B17" s="37" t="s">
        <v>356</v>
      </c>
      <c r="C17" s="36" t="s">
        <v>361</v>
      </c>
      <c r="D17" s="36" t="s">
        <v>94</v>
      </c>
      <c r="E17" s="36">
        <v>695</v>
      </c>
      <c r="F17" s="36" t="s">
        <v>120</v>
      </c>
      <c r="G17" s="36">
        <v>16000</v>
      </c>
      <c r="I17" s="36">
        <f>475.8+75.47+350+150+3003+25.1</f>
        <v>4079.37</v>
      </c>
      <c r="J17" s="36">
        <f>Table114[[#This Row],[النولون]]+Table114[[#This Row],[الايصالات]]+Table114[[#This Row],[قيمة مضافة]]</f>
        <v>20079.37</v>
      </c>
      <c r="L17" s="36">
        <f>L16+Table114[[#This Row],[اجمالي الفاتوره]]-Table114[[#This Row],[الدفعات]]</f>
        <v>20079.37</v>
      </c>
      <c r="N17" s="49"/>
    </row>
    <row r="18" spans="1:14" ht="25.5" customHeight="1" x14ac:dyDescent="0.3">
      <c r="A18" s="36">
        <v>11</v>
      </c>
      <c r="B18" s="37" t="s">
        <v>356</v>
      </c>
      <c r="C18" s="36" t="s">
        <v>326</v>
      </c>
      <c r="D18" s="36" t="s">
        <v>224</v>
      </c>
      <c r="E18" s="36">
        <v>362</v>
      </c>
      <c r="F18" s="38" t="s">
        <v>362</v>
      </c>
      <c r="G18" s="36">
        <f>12500*8</f>
        <v>100000</v>
      </c>
      <c r="I18" s="36">
        <f>850*3+810*2+40*2+1130*5+1135*2+1100+105.79+750.23+670.91+481.42+789.94+440.27+710.5+460.3+2200+400+850+700+1200+4800+5200+3660+25.1+40184+789.94</f>
        <v>77688.399999999994</v>
      </c>
      <c r="J18" s="36">
        <f>Table114[[#This Row],[النولون]]+Table114[[#This Row],[الايصالات]]+Table114[[#This Row],[قيمة مضافة]]</f>
        <v>177688.4</v>
      </c>
      <c r="L18" s="36">
        <f>L17+Table114[[#This Row],[اجمالي الفاتوره]]-Table114[[#This Row],[الدفعات]]</f>
        <v>197767.77</v>
      </c>
      <c r="N18" s="49"/>
    </row>
    <row r="19" spans="1:14" ht="25.5" customHeight="1" x14ac:dyDescent="0.3">
      <c r="A19" s="36">
        <v>12</v>
      </c>
      <c r="B19" s="37" t="s">
        <v>379</v>
      </c>
      <c r="C19" s="36" t="s">
        <v>326</v>
      </c>
      <c r="D19" s="36" t="s">
        <v>224</v>
      </c>
      <c r="E19" s="36">
        <v>60122</v>
      </c>
      <c r="F19" s="36" t="s">
        <v>272</v>
      </c>
      <c r="G19" s="36">
        <f>12500*2</f>
        <v>25000</v>
      </c>
      <c r="I19" s="36">
        <f>1135+1135+630.53+789.94+150+200+1400+8000+3500</f>
        <v>16940.47</v>
      </c>
      <c r="J19" s="36">
        <f>Table114[[#This Row],[النولون]]+Table114[[#This Row],[الايصالات]]+Table114[[#This Row],[قيمة مضافة]]</f>
        <v>41940.47</v>
      </c>
      <c r="L19" s="36">
        <f>L18+Table114[[#This Row],[اجمالي الفاتوره]]-Table114[[#This Row],[الدفعات]]</f>
        <v>239708.24</v>
      </c>
      <c r="N19" s="49"/>
    </row>
    <row r="20" spans="1:14" ht="25.5" customHeight="1" x14ac:dyDescent="0.3">
      <c r="A20" s="77"/>
      <c r="B20" s="84">
        <v>46128</v>
      </c>
      <c r="C20" s="77"/>
      <c r="D20" s="77"/>
      <c r="E20" s="77"/>
      <c r="F20" s="77"/>
      <c r="G20" s="77"/>
      <c r="H20" s="77"/>
      <c r="I20" s="77"/>
      <c r="J20" s="77"/>
      <c r="K20" s="77">
        <v>239708.24</v>
      </c>
      <c r="L20" s="79">
        <f>L19+Table114[[#This Row],[اجمالي الفاتوره]]-Table114[[#This Row],[الدفعات]]</f>
        <v>0</v>
      </c>
      <c r="M20" s="49"/>
      <c r="N20" s="49"/>
    </row>
    <row r="21" spans="1:14" ht="25.5" customHeight="1" x14ac:dyDescent="0.3">
      <c r="A21" s="36">
        <v>13</v>
      </c>
      <c r="B21" s="37" t="s">
        <v>398</v>
      </c>
      <c r="C21" s="36" t="s">
        <v>326</v>
      </c>
      <c r="D21" s="36" t="s">
        <v>224</v>
      </c>
      <c r="E21" s="36">
        <v>2370</v>
      </c>
      <c r="F21" s="36" t="s">
        <v>401</v>
      </c>
      <c r="G21" s="36">
        <f>3*15000</f>
        <v>45000</v>
      </c>
      <c r="I21" s="36">
        <f>40+810+1130*2+1135+45.15*2+105.79+750.23+437.44+431.79+1050+360+175.6+15722</f>
        <v>23368.15</v>
      </c>
      <c r="J21" s="36">
        <f>Table114[[#This Row],[النولون]]+Table114[[#This Row],[الايصالات]]+Table114[[#This Row],[قيمة مضافة]]</f>
        <v>68368.149999999994</v>
      </c>
      <c r="L21" s="36">
        <f>L20+Table114[[#This Row],[اجمالي الفاتوره]]-Table114[[#This Row],[الدفعات]]</f>
        <v>68368.149999999994</v>
      </c>
      <c r="N21" s="49"/>
    </row>
    <row r="22" spans="1:14" ht="25.5" customHeight="1" x14ac:dyDescent="0.3">
      <c r="A22" s="36">
        <v>14</v>
      </c>
      <c r="B22" s="37" t="s">
        <v>398</v>
      </c>
      <c r="C22" s="36" t="s">
        <v>326</v>
      </c>
      <c r="D22" s="36" t="s">
        <v>224</v>
      </c>
      <c r="E22" s="36">
        <v>2372</v>
      </c>
      <c r="F22" s="36" t="s">
        <v>290</v>
      </c>
      <c r="G22" s="36">
        <f>15000*5</f>
        <v>75000</v>
      </c>
      <c r="I22" s="36">
        <f>850+4*100+5*1130+789.94+442.12+768.3+765.45+724.96+105.79+45.15*3+1750+600+26204</f>
        <v>39186.01</v>
      </c>
      <c r="J22" s="36">
        <f>Table114[[#This Row],[النولون]]+Table114[[#This Row],[الايصالات]]+Table114[[#This Row],[قيمة مضافة]]</f>
        <v>114186.01000000001</v>
      </c>
      <c r="L22" s="36">
        <f>L21+Table114[[#This Row],[اجمالي الفاتوره]]-Table114[[#This Row],[الدفعات]]</f>
        <v>182554.16</v>
      </c>
      <c r="N22" s="49"/>
    </row>
    <row r="23" spans="1:14" ht="25.5" customHeight="1" x14ac:dyDescent="0.3">
      <c r="A23" s="36">
        <v>15</v>
      </c>
      <c r="B23" s="37" t="s">
        <v>398</v>
      </c>
      <c r="C23" s="36" t="s">
        <v>326</v>
      </c>
      <c r="D23" s="36" t="s">
        <v>224</v>
      </c>
      <c r="E23" s="36">
        <v>2376</v>
      </c>
      <c r="F23" s="36" t="s">
        <v>272</v>
      </c>
      <c r="G23" s="36">
        <f>15000*2</f>
        <v>30000</v>
      </c>
      <c r="I23" s="36">
        <f>100+5*2+1130*2+591.46+674.52+45.15+116.12+240+700+10482+125.4</f>
        <v>15344.65</v>
      </c>
      <c r="J23" s="36">
        <f>Table114[[#This Row],[النولون]]+Table114[[#This Row],[الايصالات]]+Table114[[#This Row],[قيمة مضافة]]</f>
        <v>45344.65</v>
      </c>
      <c r="L23" s="36">
        <f>L22+Table114[[#This Row],[اجمالي الفاتوره]]-Table114[[#This Row],[الدفعات]]</f>
        <v>227898.81</v>
      </c>
      <c r="N23" s="49"/>
    </row>
    <row r="24" spans="1:14" ht="25.5" customHeight="1" x14ac:dyDescent="0.3">
      <c r="A24" s="36">
        <v>16</v>
      </c>
      <c r="B24" s="37" t="s">
        <v>398</v>
      </c>
      <c r="C24" s="36" t="s">
        <v>326</v>
      </c>
      <c r="D24" s="36" t="s">
        <v>224</v>
      </c>
      <c r="E24" s="36">
        <v>2371</v>
      </c>
      <c r="F24" s="36" t="s">
        <v>272</v>
      </c>
      <c r="G24" s="36">
        <f>15000*2</f>
        <v>30000</v>
      </c>
      <c r="I24" s="36">
        <f>150+40+40+1130+1100+105.79*2+437.44+710.63+700+240+1750+600+10482</f>
        <v>17591.650000000001</v>
      </c>
      <c r="J24" s="36">
        <f>Table114[[#This Row],[النولون]]+Table114[[#This Row],[الايصالات]]+Table114[[#This Row],[قيمة مضافة]]</f>
        <v>47591.65</v>
      </c>
      <c r="L24" s="36">
        <f>L23+Table114[[#This Row],[اجمالي الفاتوره]]-Table114[[#This Row],[الدفعات]]</f>
        <v>275490.46000000002</v>
      </c>
      <c r="N24" s="49"/>
    </row>
    <row r="25" spans="1:14" ht="25.5" customHeight="1" x14ac:dyDescent="0.3">
      <c r="A25" s="40">
        <v>17</v>
      </c>
      <c r="B25" s="37" t="s">
        <v>398</v>
      </c>
      <c r="C25" s="36" t="s">
        <v>402</v>
      </c>
      <c r="D25" s="36" t="s">
        <v>96</v>
      </c>
      <c r="E25" s="40">
        <v>894715</v>
      </c>
      <c r="F25" s="36" t="s">
        <v>121</v>
      </c>
      <c r="G25" s="40">
        <v>16500</v>
      </c>
      <c r="H25" s="40"/>
      <c r="I25" s="40">
        <f>1130+432.99+285+200+2500</f>
        <v>4547.99</v>
      </c>
      <c r="J25" s="36">
        <f>Table114[[#This Row],[النولون]]+Table114[[#This Row],[الايصالات]]+Table114[[#This Row],[قيمة مضافة]]</f>
        <v>21047.989999999998</v>
      </c>
      <c r="K25" s="40"/>
      <c r="L25" s="36">
        <f>L24+Table114[[#This Row],[اجمالي الفاتوره]]-Table114[[#This Row],[الدفعات]]</f>
        <v>296538.45</v>
      </c>
      <c r="M25" s="40"/>
      <c r="N25" s="49"/>
    </row>
    <row r="26" spans="1:14" ht="25.5" customHeight="1" x14ac:dyDescent="0.3">
      <c r="A26" s="36">
        <v>18</v>
      </c>
      <c r="B26" s="37" t="s">
        <v>398</v>
      </c>
      <c r="C26" s="36" t="s">
        <v>406</v>
      </c>
      <c r="D26" s="36" t="s">
        <v>96</v>
      </c>
      <c r="E26" s="36">
        <v>894293</v>
      </c>
      <c r="F26" s="36" t="s">
        <v>159</v>
      </c>
      <c r="G26" s="36">
        <v>13000</v>
      </c>
      <c r="I26" s="36">
        <f>570+237.01+810*2+210+150+1704.3+50*2+150+171</f>
        <v>4912.3100000000004</v>
      </c>
      <c r="J26" s="36">
        <f>Table114[[#This Row],[النولون]]+Table114[[#This Row],[الايصالات]]+Table114[[#This Row],[قيمة مضافة]]</f>
        <v>17912.310000000001</v>
      </c>
      <c r="L26" s="36">
        <f>L25+Table114[[#This Row],[اجمالي الفاتوره]]-Table114[[#This Row],[الدفعات]]</f>
        <v>314450.76</v>
      </c>
      <c r="N26" s="49"/>
    </row>
    <row r="27" spans="1:14" ht="25.5" customHeight="1" x14ac:dyDescent="0.3">
      <c r="A27" s="36">
        <v>19</v>
      </c>
      <c r="B27" s="37">
        <v>46116</v>
      </c>
      <c r="C27" s="36" t="s">
        <v>422</v>
      </c>
      <c r="D27" s="36" t="s">
        <v>206</v>
      </c>
      <c r="E27" s="36">
        <v>899523</v>
      </c>
      <c r="F27" s="36" t="s">
        <v>121</v>
      </c>
      <c r="G27" s="36">
        <v>20000</v>
      </c>
      <c r="I27" s="36">
        <f>1100+467.28+200+285+2500</f>
        <v>4552.28</v>
      </c>
      <c r="J27" s="36">
        <f>Table114[[#This Row],[النولون]]+Table114[[#This Row],[الايصالات]]+Table114[[#This Row],[قيمة مضافة]]</f>
        <v>24552.28</v>
      </c>
      <c r="L27" s="36">
        <f>L26+Table114[[#This Row],[اجمالي الفاتوره]]-Table114[[#This Row],[الدفعات]]</f>
        <v>339003.04000000004</v>
      </c>
      <c r="N27" s="49"/>
    </row>
    <row r="28" spans="1:14" ht="25.5" customHeight="1" x14ac:dyDescent="0.3">
      <c r="A28" s="36">
        <v>20</v>
      </c>
      <c r="B28" s="37">
        <v>46119</v>
      </c>
      <c r="C28" s="36" t="s">
        <v>424</v>
      </c>
      <c r="D28" s="36" t="s">
        <v>96</v>
      </c>
      <c r="E28" s="36">
        <v>896315</v>
      </c>
      <c r="F28" s="36" t="s">
        <v>159</v>
      </c>
      <c r="G28" s="36">
        <v>12300</v>
      </c>
      <c r="I28" s="36">
        <f>110+580+295.88+1539+171+150+150</f>
        <v>2995.88</v>
      </c>
      <c r="J28" s="36">
        <f>Table114[[#This Row],[النولون]]+Table114[[#This Row],[الايصالات]]+Table114[[#This Row],[قيمة مضافة]]</f>
        <v>15295.880000000001</v>
      </c>
      <c r="L28" s="36">
        <f>L27+Table114[[#This Row],[اجمالي الفاتوره]]-Table114[[#This Row],[الدفعات]]</f>
        <v>354298.92000000004</v>
      </c>
      <c r="N28" s="49"/>
    </row>
    <row r="29" spans="1:14" ht="25.5" customHeight="1" x14ac:dyDescent="0.3">
      <c r="A29" s="101"/>
      <c r="B29" s="102">
        <v>46145</v>
      </c>
      <c r="C29" s="101"/>
      <c r="D29" s="101"/>
      <c r="E29" s="101"/>
      <c r="F29" s="101"/>
      <c r="G29" s="101"/>
      <c r="H29" s="101"/>
      <c r="I29" s="101"/>
      <c r="J29" s="101"/>
      <c r="K29" s="101">
        <v>354298.92</v>
      </c>
      <c r="L29" s="79">
        <f>L28+Table114[[#This Row],[اجمالي الفاتوره]]-Table114[[#This Row],[الدفعات]]</f>
        <v>0</v>
      </c>
      <c r="M29" s="100"/>
      <c r="N29" s="100"/>
    </row>
    <row r="30" spans="1:14" ht="25.5" customHeight="1" x14ac:dyDescent="0.3">
      <c r="A30" s="36">
        <v>21</v>
      </c>
      <c r="B30" s="37">
        <v>46126</v>
      </c>
      <c r="C30" s="36" t="s">
        <v>444</v>
      </c>
      <c r="D30" s="36" t="s">
        <v>132</v>
      </c>
      <c r="E30" s="36">
        <v>165407</v>
      </c>
      <c r="F30" s="36" t="s">
        <v>159</v>
      </c>
      <c r="G30" s="36">
        <v>7000</v>
      </c>
      <c r="I30" s="36">
        <f>850+580+153.53+564.3</f>
        <v>2147.83</v>
      </c>
      <c r="J30" s="36">
        <f>Table114[[#This Row],[النولون]]+Table114[[#This Row],[الايصالات]]+Table114[[#This Row],[قيمة مضافة]]</f>
        <v>9147.83</v>
      </c>
      <c r="L30" s="36">
        <f>L29+Table114[[#This Row],[اجمالي الفاتوره]]-Table114[[#This Row],[الدفعات]]</f>
        <v>9147.83</v>
      </c>
      <c r="N30" s="49"/>
    </row>
    <row r="31" spans="1:14" ht="25.5" customHeight="1" x14ac:dyDescent="0.3">
      <c r="A31" s="36">
        <v>22</v>
      </c>
      <c r="B31" s="37">
        <v>46126</v>
      </c>
      <c r="C31" s="36" t="s">
        <v>445</v>
      </c>
      <c r="D31" s="36" t="s">
        <v>239</v>
      </c>
      <c r="E31" s="36">
        <v>3996785</v>
      </c>
      <c r="F31" s="36" t="s">
        <v>245</v>
      </c>
      <c r="G31" s="36">
        <f>27000*2</f>
        <v>54000</v>
      </c>
      <c r="I31" s="36">
        <f>850+45.15+327.5+365.21+6*120+80*2+560*2+1350+1350+600+684+159.6</f>
        <v>7731.4600000000009</v>
      </c>
      <c r="J31" s="36">
        <f>Table114[[#This Row],[النولون]]+Table114[[#This Row],[الايصالات]]+Table114[[#This Row],[قيمة مضافة]]</f>
        <v>61731.46</v>
      </c>
      <c r="L31" s="36">
        <f>L30+Table114[[#This Row],[اجمالي الفاتوره]]-Table114[[#This Row],[الدفعات]]</f>
        <v>70879.289999999994</v>
      </c>
      <c r="N31" s="49"/>
    </row>
    <row r="32" spans="1:14" ht="25.5" customHeight="1" x14ac:dyDescent="0.3">
      <c r="A32" s="40">
        <v>23</v>
      </c>
      <c r="B32" s="53">
        <v>46130</v>
      </c>
      <c r="C32" s="36" t="s">
        <v>462</v>
      </c>
      <c r="D32" s="36" t="s">
        <v>162</v>
      </c>
      <c r="E32" s="40">
        <v>903036</v>
      </c>
      <c r="F32" s="36" t="s">
        <v>121</v>
      </c>
      <c r="G32" s="40">
        <v>20000</v>
      </c>
      <c r="H32" s="40"/>
      <c r="I32" s="40">
        <f>850+100+1150+438.4+45.15+200+285+39.9</f>
        <v>3108.4500000000003</v>
      </c>
      <c r="J32" s="36">
        <f>Table114[[#This Row],[النولون]]+Table114[[#This Row],[الايصالات]]+Table114[[#This Row],[قيمة مضافة]]</f>
        <v>23108.45</v>
      </c>
      <c r="K32" s="40"/>
      <c r="L32" s="36">
        <f>L31+Table114[[#This Row],[اجمالي الفاتوره]]-Table114[[#This Row],[الدفعات]]</f>
        <v>93987.739999999991</v>
      </c>
      <c r="M32" s="40"/>
      <c r="N32" s="49"/>
    </row>
    <row r="33" spans="1:15" ht="25.5" customHeight="1" x14ac:dyDescent="0.3">
      <c r="A33" s="36">
        <v>24</v>
      </c>
      <c r="B33" s="37">
        <v>46138</v>
      </c>
      <c r="C33" s="36" t="s">
        <v>489</v>
      </c>
      <c r="D33" s="36" t="s">
        <v>491</v>
      </c>
      <c r="E33" s="36">
        <v>16539755</v>
      </c>
      <c r="F33" s="36" t="s">
        <v>159</v>
      </c>
      <c r="G33" s="36">
        <v>12300</v>
      </c>
      <c r="I33" s="36">
        <f>550+239.31+1770+200</f>
        <v>2759.31</v>
      </c>
      <c r="J33" s="36">
        <f>Table114[[#This Row],[النولون]]+Table114[[#This Row],[الايصالات]]+Table114[[#This Row],[قيمة مضافة]]</f>
        <v>15059.31</v>
      </c>
      <c r="L33" s="36">
        <f>L32+Table114[[#This Row],[اجمالي الفاتوره]]-Table114[[#This Row],[الدفعات]]</f>
        <v>109047.04999999999</v>
      </c>
      <c r="N33" s="49"/>
      <c r="O33" s="36">
        <v>1458</v>
      </c>
    </row>
    <row r="34" spans="1:15" ht="25.5" customHeight="1" x14ac:dyDescent="0.3">
      <c r="A34" s="36">
        <v>25</v>
      </c>
      <c r="B34" s="37">
        <v>46138</v>
      </c>
      <c r="C34" s="36" t="s">
        <v>490</v>
      </c>
      <c r="D34" s="36" t="s">
        <v>492</v>
      </c>
      <c r="E34" s="36">
        <v>305</v>
      </c>
      <c r="F34" s="36" t="s">
        <v>159</v>
      </c>
      <c r="G34" s="36">
        <v>13500</v>
      </c>
      <c r="I34" s="36">
        <f>3000+550+262.34+300+90+100+75+200+50+1083+200</f>
        <v>5910.34</v>
      </c>
      <c r="J34" s="36">
        <f>Table114[[#This Row],[النولون]]+Table114[[#This Row],[الايصالات]]+Table114[[#This Row],[قيمة مضافة]]</f>
        <v>19410.34</v>
      </c>
      <c r="L34" s="36">
        <f>L33+Table114[[#This Row],[اجمالي الفاتوره]]-Table114[[#This Row],[الدفعات]]</f>
        <v>128457.38999999998</v>
      </c>
      <c r="N34" s="49"/>
    </row>
    <row r="35" spans="1:15" ht="25.5" customHeight="1" x14ac:dyDescent="0.3">
      <c r="A35" s="101"/>
      <c r="B35" s="78" t="s">
        <v>572</v>
      </c>
      <c r="C35" s="101"/>
      <c r="D35" s="101"/>
      <c r="E35" s="101"/>
      <c r="F35" s="101"/>
      <c r="G35" s="101"/>
      <c r="H35" s="101"/>
      <c r="I35" s="101"/>
      <c r="J35" s="101"/>
      <c r="K35" s="101">
        <v>119309.56</v>
      </c>
      <c r="L35" s="79">
        <f>L34+Table114[[#This Row],[اجمالي الفاتوره]]-Table114[[#This Row],[الدفعات]]</f>
        <v>9147.8299999999872</v>
      </c>
      <c r="M35" s="100"/>
      <c r="N35" s="100"/>
    </row>
    <row r="36" spans="1:15" ht="25.5" customHeight="1" x14ac:dyDescent="0.3">
      <c r="A36" s="36">
        <v>26</v>
      </c>
      <c r="B36" s="37">
        <v>46145</v>
      </c>
      <c r="C36" s="36" t="s">
        <v>361</v>
      </c>
      <c r="D36" s="36" t="s">
        <v>94</v>
      </c>
      <c r="E36" s="36">
        <v>425</v>
      </c>
      <c r="F36" s="36" t="s">
        <v>260</v>
      </c>
      <c r="G36" s="36">
        <f>17000*2</f>
        <v>34000</v>
      </c>
      <c r="I36" s="36">
        <f>850+1100+550+466.3+618.75+4350+400+7903+800+260+150</f>
        <v>17448.05</v>
      </c>
      <c r="J36" s="36">
        <f>Table114[[#This Row],[النولون]]+Table114[[#This Row],[الايصالات]]+Table114[[#This Row],[قيمة مضافة]]</f>
        <v>51448.05</v>
      </c>
      <c r="L36" s="36">
        <f>L35+Table114[[#This Row],[اجمالي الفاتوره]]-Table114[[#This Row],[الدفعات]]</f>
        <v>60595.87999999999</v>
      </c>
      <c r="N36" s="49"/>
    </row>
    <row r="37" spans="1:15" ht="25.5" customHeight="1" x14ac:dyDescent="0.3">
      <c r="A37" s="43">
        <v>27</v>
      </c>
      <c r="B37" s="44">
        <v>46145</v>
      </c>
      <c r="C37" s="36" t="s">
        <v>512</v>
      </c>
      <c r="D37" s="36" t="s">
        <v>178</v>
      </c>
      <c r="E37" s="43">
        <v>16724389</v>
      </c>
      <c r="F37" s="36" t="s">
        <v>121</v>
      </c>
      <c r="G37" s="43">
        <v>21000</v>
      </c>
      <c r="H37" s="43"/>
      <c r="I37" s="43">
        <f>1100+480.8+1300</f>
        <v>2880.8</v>
      </c>
      <c r="J37" s="36">
        <f>Table114[[#This Row],[النولون]]+Table114[[#This Row],[الايصالات]]+Table114[[#This Row],[قيمة مضافة]]</f>
        <v>23880.799999999999</v>
      </c>
      <c r="K37" s="43"/>
      <c r="L37" s="36">
        <f>L36+Table114[[#This Row],[اجمالي الفاتوره]]-Table114[[#This Row],[الدفعات]]</f>
        <v>84476.68</v>
      </c>
      <c r="M37" s="43"/>
      <c r="N37" s="49"/>
    </row>
    <row r="38" spans="1:15" ht="25.5" customHeight="1" x14ac:dyDescent="0.3">
      <c r="A38" s="36">
        <v>28</v>
      </c>
      <c r="B38" s="37">
        <v>46151</v>
      </c>
      <c r="C38" s="36" t="s">
        <v>527</v>
      </c>
      <c r="D38" s="36" t="s">
        <v>233</v>
      </c>
      <c r="E38" s="36">
        <v>89</v>
      </c>
      <c r="F38" s="36" t="s">
        <v>121</v>
      </c>
      <c r="G38" s="36">
        <v>17000</v>
      </c>
      <c r="I38" s="36">
        <f>300+210+810+437.42+75+500+1100+100+150+50+1710</f>
        <v>5442.42</v>
      </c>
      <c r="J38" s="36">
        <f>Table114[[#This Row],[النولون]]+Table114[[#This Row],[الايصالات]]+Table114[[#This Row],[قيمة مضافة]]</f>
        <v>22442.42</v>
      </c>
      <c r="L38" s="36">
        <f>L37+Table114[[#This Row],[اجمالي الفاتوره]]-Table114[[#This Row],[الدفعات]]</f>
        <v>106919.09999999999</v>
      </c>
      <c r="N38" s="49"/>
    </row>
    <row r="39" spans="1:15" ht="25.5" customHeight="1" x14ac:dyDescent="0.3">
      <c r="A39" s="36">
        <v>29</v>
      </c>
      <c r="B39" s="37">
        <v>46151</v>
      </c>
      <c r="C39" s="36" t="s">
        <v>528</v>
      </c>
      <c r="D39" s="36" t="s">
        <v>94</v>
      </c>
      <c r="E39" s="36">
        <v>193701</v>
      </c>
      <c r="F39" s="36" t="s">
        <v>121</v>
      </c>
      <c r="G39" s="36">
        <v>16800</v>
      </c>
      <c r="I39" s="36">
        <f>5010+1135+244.76+810+478.8+500</f>
        <v>8178.56</v>
      </c>
      <c r="J39" s="36">
        <f>Table114[[#This Row],[النولون]]+Table114[[#This Row],[الايصالات]]+Table114[[#This Row],[قيمة مضافة]]</f>
        <v>24978.560000000001</v>
      </c>
      <c r="L39" s="36">
        <f>L38+Table114[[#This Row],[اجمالي الفاتوره]]-Table114[[#This Row],[الدفعات]]</f>
        <v>131897.66</v>
      </c>
      <c r="N39" s="49"/>
    </row>
    <row r="40" spans="1:15" ht="25.5" customHeight="1" x14ac:dyDescent="0.3">
      <c r="A40" s="43">
        <v>30</v>
      </c>
      <c r="B40" s="44">
        <v>46160</v>
      </c>
      <c r="C40" s="36" t="s">
        <v>555</v>
      </c>
      <c r="D40" s="36" t="s">
        <v>94</v>
      </c>
      <c r="E40" s="43">
        <v>487</v>
      </c>
      <c r="F40" s="36" t="s">
        <v>556</v>
      </c>
      <c r="G40" s="43">
        <f>4000+5000</f>
        <v>9000</v>
      </c>
      <c r="H40" s="43"/>
      <c r="I40" s="43">
        <f>1200+65+78.61+150</f>
        <v>1493.61</v>
      </c>
      <c r="J40" s="36">
        <f>Table114[[#This Row],[النولون]]+Table114[[#This Row],[الايصالات]]+Table114[[#This Row],[قيمة مضافة]]</f>
        <v>10493.61</v>
      </c>
      <c r="K40" s="43"/>
      <c r="L40" s="36">
        <f>L39+Table114[[#This Row],[اجمالي الفاتوره]]-Table114[[#This Row],[الدفعات]]</f>
        <v>142391.27000000002</v>
      </c>
      <c r="M40" s="43"/>
      <c r="N40" s="49"/>
    </row>
    <row r="41" spans="1:15" ht="25.5" customHeight="1" x14ac:dyDescent="0.3">
      <c r="A41" s="36">
        <v>31</v>
      </c>
      <c r="B41" s="37">
        <v>46160</v>
      </c>
      <c r="C41" s="36" t="s">
        <v>557</v>
      </c>
      <c r="D41" s="36" t="s">
        <v>558</v>
      </c>
      <c r="E41" s="36">
        <v>216147</v>
      </c>
      <c r="F41" s="36" t="s">
        <v>159</v>
      </c>
      <c r="G41" s="36">
        <v>13500</v>
      </c>
      <c r="I41" s="36">
        <f>550+151.36+4794.56</f>
        <v>5495.92</v>
      </c>
      <c r="J41" s="36">
        <f>Table114[[#This Row],[النولون]]+Table114[[#This Row],[الايصالات]]+Table114[[#This Row],[قيمة مضافة]]</f>
        <v>18995.919999999998</v>
      </c>
      <c r="L41" s="36">
        <f>L40+Table114[[#This Row],[اجمالي الفاتوره]]-Table114[[#This Row],[الدفعات]]</f>
        <v>161387.19</v>
      </c>
      <c r="N41" s="49"/>
    </row>
    <row r="42" spans="1:15" ht="25.5" customHeight="1" x14ac:dyDescent="0.3">
      <c r="A42" s="36">
        <v>32</v>
      </c>
      <c r="B42" s="37">
        <v>46160</v>
      </c>
      <c r="C42" s="36" t="s">
        <v>559</v>
      </c>
      <c r="D42" s="36" t="s">
        <v>96</v>
      </c>
      <c r="E42" s="36">
        <v>1805</v>
      </c>
      <c r="F42" s="36" t="s">
        <v>396</v>
      </c>
      <c r="G42" s="36">
        <f>15300*2+12300</f>
        <v>42900</v>
      </c>
      <c r="I42" s="36">
        <f>1130*2+580+401.64+415.78+229.05+3540+855+250</f>
        <v>8531.4700000000012</v>
      </c>
      <c r="J42" s="36">
        <f>Table114[[#This Row],[النولون]]+Table114[[#This Row],[الايصالات]]+Table114[[#This Row],[قيمة مضافة]]</f>
        <v>51431.47</v>
      </c>
      <c r="L42" s="36">
        <f>L41+Table114[[#This Row],[اجمالي الفاتوره]]-Table114[[#This Row],[الدفعات]]</f>
        <v>212818.66</v>
      </c>
      <c r="N42" s="49"/>
    </row>
    <row r="43" spans="1:15" ht="25.5" customHeight="1" x14ac:dyDescent="0.3">
      <c r="A43" s="36">
        <v>33</v>
      </c>
      <c r="B43" s="37">
        <v>46172</v>
      </c>
      <c r="C43" s="36" t="s">
        <v>577</v>
      </c>
      <c r="D43" s="36" t="s">
        <v>94</v>
      </c>
      <c r="E43" s="36">
        <v>918392</v>
      </c>
      <c r="F43" s="36" t="s">
        <v>181</v>
      </c>
      <c r="G43" s="36">
        <f>17000*4</f>
        <v>68000</v>
      </c>
      <c r="I43" s="36">
        <f>850+1100*4+465.07+455.36+441.22+447.49+300+800+1140+5000*2</f>
        <v>19299.14</v>
      </c>
      <c r="J43" s="36">
        <f>Table114[[#This Row],[النولون]]+Table114[[#This Row],[الايصالات]]+Table114[[#This Row],[قيمة مضافة]]</f>
        <v>87299.14</v>
      </c>
      <c r="L43" s="36">
        <f>L42+Table114[[#This Row],[اجمالي الفاتوره]]-Table114[[#This Row],[الدفعات]]</f>
        <v>300117.8</v>
      </c>
      <c r="N43" s="49"/>
    </row>
    <row r="44" spans="1:15" ht="25.5" customHeight="1" x14ac:dyDescent="0.3">
      <c r="A44" s="36">
        <v>34</v>
      </c>
      <c r="B44" s="37">
        <v>46172</v>
      </c>
      <c r="C44" s="36" t="s">
        <v>578</v>
      </c>
      <c r="D44" s="36" t="s">
        <v>94</v>
      </c>
      <c r="E44" s="36">
        <v>922414</v>
      </c>
      <c r="F44" s="36" t="s">
        <v>121</v>
      </c>
      <c r="G44" s="36">
        <v>17000</v>
      </c>
      <c r="I44" s="36">
        <f>1100+448.73+150+120+2500+285+200</f>
        <v>4803.7299999999996</v>
      </c>
      <c r="J44" s="36">
        <f>Table114[[#This Row],[النولون]]+Table114[[#This Row],[الايصالات]]+Table114[[#This Row],[قيمة مضافة]]</f>
        <v>21803.73</v>
      </c>
      <c r="L44" s="36">
        <f>L43+Table114[[#This Row],[اجمالي الفاتوره]]-Table114[[#This Row],[الدفعات]]</f>
        <v>321921.52999999997</v>
      </c>
      <c r="N44" s="49"/>
    </row>
    <row r="45" spans="1:15" ht="25.5" customHeight="1" x14ac:dyDescent="0.3">
      <c r="A45" s="43">
        <v>35</v>
      </c>
      <c r="B45" s="44">
        <v>46172</v>
      </c>
      <c r="C45" s="36" t="s">
        <v>225</v>
      </c>
      <c r="D45" s="36" t="s">
        <v>96</v>
      </c>
      <c r="E45" s="43">
        <v>921425</v>
      </c>
      <c r="F45" s="36" t="s">
        <v>121</v>
      </c>
      <c r="G45" s="43">
        <v>12300</v>
      </c>
      <c r="H45" s="43"/>
      <c r="I45" s="43">
        <f>850+550+298.18+150+50+1425+171+150</f>
        <v>3644.1800000000003</v>
      </c>
      <c r="J45" s="36">
        <f>Table114[[#This Row],[النولون]]+Table114[[#This Row],[الايصالات]]+Table114[[#This Row],[قيمة مضافة]]</f>
        <v>15944.18</v>
      </c>
      <c r="K45" s="43"/>
      <c r="L45" s="36">
        <f>L44+Table114[[#This Row],[اجمالي الفاتوره]]-Table114[[#This Row],[الدفعات]]</f>
        <v>337865.70999999996</v>
      </c>
      <c r="M45" s="43"/>
      <c r="N45" s="49"/>
    </row>
    <row r="46" spans="1:15" ht="25.5" customHeight="1" x14ac:dyDescent="0.3">
      <c r="A46" s="36">
        <v>36</v>
      </c>
      <c r="B46" s="37">
        <v>46172</v>
      </c>
      <c r="C46" s="36" t="s">
        <v>579</v>
      </c>
      <c r="D46" s="36" t="s">
        <v>386</v>
      </c>
      <c r="E46" s="36">
        <v>239776</v>
      </c>
      <c r="F46" s="36" t="s">
        <v>129</v>
      </c>
      <c r="G46" s="36">
        <v>14800</v>
      </c>
      <c r="I46" s="36">
        <f>560+617.18+1146.84+100</f>
        <v>2424.0199999999995</v>
      </c>
      <c r="J46" s="36">
        <f>Table114[[#This Row],[النولون]]+Table114[[#This Row],[الايصالات]]+Table114[[#This Row],[قيمة مضافة]]</f>
        <v>17224.02</v>
      </c>
      <c r="L46" s="36">
        <f>L45+Table114[[#This Row],[اجمالي الفاتوره]]-Table114[[#This Row],[الدفعات]]</f>
        <v>355089.73</v>
      </c>
      <c r="N46" s="49"/>
    </row>
    <row r="47" spans="1:15" ht="25.5" customHeight="1" x14ac:dyDescent="0.3">
      <c r="A47" s="36">
        <v>1485</v>
      </c>
      <c r="B47" s="37">
        <v>46172</v>
      </c>
      <c r="C47" s="36" t="s">
        <v>579</v>
      </c>
      <c r="D47" s="36" t="s">
        <v>386</v>
      </c>
      <c r="E47" s="36">
        <v>193</v>
      </c>
      <c r="F47" s="36" t="s">
        <v>121</v>
      </c>
      <c r="G47" s="36">
        <v>15300</v>
      </c>
      <c r="I47" s="36">
        <f>1100+411.97+200+150+100+800+1200</f>
        <v>3961.9700000000003</v>
      </c>
      <c r="J47" s="36">
        <f>Table114[[#This Row],[النولون]]+Table114[[#This Row],[الايصالات]]+Table114[[#This Row],[قيمة مضافة]]</f>
        <v>19261.97</v>
      </c>
      <c r="L47" s="36">
        <f>L46+Table114[[#This Row],[اجمالي الفاتوره]]-Table114[[#This Row],[الدفعات]]</f>
        <v>374351.69999999995</v>
      </c>
      <c r="N47" s="49"/>
    </row>
    <row r="48" spans="1:15" ht="25.5" customHeight="1" x14ac:dyDescent="0.3">
      <c r="A48" s="101"/>
      <c r="B48" s="102">
        <v>46198</v>
      </c>
      <c r="C48" s="102"/>
      <c r="D48" s="101"/>
      <c r="E48" s="101"/>
      <c r="F48" s="101"/>
      <c r="G48" s="101"/>
      <c r="H48" s="101"/>
      <c r="I48" s="101"/>
      <c r="J48" s="101"/>
      <c r="K48" s="101">
        <v>354710.26</v>
      </c>
      <c r="L48" s="79">
        <f>L47+Table114[[#This Row],[اجمالي الفاتوره]]-Table114[[#This Row],[الدفعات]]</f>
        <v>19641.439999999944</v>
      </c>
      <c r="M48" s="100"/>
      <c r="N48" s="100"/>
    </row>
    <row r="49" spans="1:14" ht="25.5" customHeight="1" x14ac:dyDescent="0.3">
      <c r="A49" s="36">
        <v>37</v>
      </c>
      <c r="B49" s="37">
        <v>46174</v>
      </c>
      <c r="C49" s="36" t="s">
        <v>559</v>
      </c>
      <c r="D49" s="36" t="s">
        <v>96</v>
      </c>
      <c r="E49" s="36">
        <v>1806</v>
      </c>
      <c r="F49" s="36" t="s">
        <v>245</v>
      </c>
      <c r="G49" s="36">
        <f>20500*2</f>
        <v>41000</v>
      </c>
      <c r="I49" s="36">
        <f>410+70*4+401.64+407.3+4105+796+500+500+2000+2*10*8500</f>
        <v>179399.94</v>
      </c>
      <c r="J49" s="36">
        <f>Table114[[#This Row],[النولون]]+Table114[[#This Row],[الايصالات]]+Table114[[#This Row],[قيمة مضافة]]</f>
        <v>220399.94</v>
      </c>
      <c r="L49" s="36">
        <f>L48+Table114[[#This Row],[اجمالي الفاتوره]]-Table114[[#This Row],[الدفعات]]</f>
        <v>240041.37999999995</v>
      </c>
      <c r="N49" s="49"/>
    </row>
    <row r="50" spans="1:14" ht="25.5" customHeight="1" x14ac:dyDescent="0.3">
      <c r="A50" s="36">
        <v>38</v>
      </c>
      <c r="B50" s="37">
        <v>46180</v>
      </c>
      <c r="C50" s="36" t="s">
        <v>592</v>
      </c>
      <c r="D50" s="36" t="s">
        <v>96</v>
      </c>
      <c r="E50" s="36" t="s">
        <v>593</v>
      </c>
      <c r="F50" s="36" t="s">
        <v>404</v>
      </c>
      <c r="G50" s="36">
        <f>15300*9</f>
        <v>137700</v>
      </c>
      <c r="I50" s="36">
        <f>1130*3+5*1100+419.83+419.83+424.26+421.43+421.43+415.78+427.09+412.95+412.95+1800+10800+900</f>
        <v>26165.550000000003</v>
      </c>
      <c r="J50" s="36">
        <f>Table114[[#This Row],[النولون]]+Table114[[#This Row],[الايصالات]]+Table114[[#This Row],[قيمة مضافة]]</f>
        <v>163865.54999999999</v>
      </c>
      <c r="L50" s="36">
        <f>L49+Table114[[#This Row],[اجمالي الفاتوره]]-Table114[[#This Row],[الدفعات]]</f>
        <v>403906.92999999993</v>
      </c>
      <c r="N50" s="49"/>
    </row>
    <row r="51" spans="1:14" ht="25.5" customHeight="1" x14ac:dyDescent="0.3">
      <c r="A51" s="36">
        <v>39</v>
      </c>
      <c r="B51" s="37">
        <v>46180</v>
      </c>
      <c r="C51" s="36" t="s">
        <v>124</v>
      </c>
      <c r="D51" s="36" t="s">
        <v>126</v>
      </c>
      <c r="E51" s="36">
        <v>17090624</v>
      </c>
      <c r="F51" s="36" t="s">
        <v>91</v>
      </c>
      <c r="G51" s="36">
        <f>5*19500</f>
        <v>97500</v>
      </c>
      <c r="I51" s="36">
        <f>150*2+1100*5+466.67+469.5+710.5+591.35+674.39+79*2+5000+23075</f>
        <v>36945.410000000003</v>
      </c>
      <c r="J51" s="36">
        <f>Table114[[#This Row],[النولون]]+Table114[[#This Row],[الايصالات]]+Table114[[#This Row],[قيمة مضافة]]</f>
        <v>134445.41</v>
      </c>
      <c r="L51" s="36">
        <f>L50+Table114[[#This Row],[اجمالي الفاتوره]]-Table114[[#This Row],[الدفعات]]</f>
        <v>538352.34</v>
      </c>
      <c r="N51" s="49"/>
    </row>
    <row r="52" spans="1:14" ht="25.5" customHeight="1" x14ac:dyDescent="0.3">
      <c r="A52" s="36">
        <v>40</v>
      </c>
      <c r="B52" s="37">
        <v>46180</v>
      </c>
      <c r="C52" s="36" t="s">
        <v>124</v>
      </c>
      <c r="D52" s="36" t="s">
        <v>126</v>
      </c>
      <c r="E52" s="36">
        <v>17090709</v>
      </c>
      <c r="F52" s="36" t="s">
        <v>91</v>
      </c>
      <c r="G52" s="36">
        <f>5*19500</f>
        <v>97500</v>
      </c>
      <c r="I52" s="36">
        <f>5*1100+463.84+656.46+663.59+469.5+555.24+79+5000+23075</f>
        <v>36462.630000000005</v>
      </c>
      <c r="J52" s="36">
        <f>Table114[[#This Row],[النولون]]+Table114[[#This Row],[الايصالات]]+Table114[[#This Row],[قيمة مضافة]]</f>
        <v>133962.63</v>
      </c>
      <c r="L52" s="36">
        <f>L51+Table114[[#This Row],[اجمالي الفاتوره]]-Table114[[#This Row],[الدفعات]]</f>
        <v>672314.97</v>
      </c>
      <c r="N52" s="49"/>
    </row>
    <row r="53" spans="1:14" ht="25.5" customHeight="1" x14ac:dyDescent="0.3">
      <c r="A53" s="101"/>
      <c r="B53" s="102">
        <v>46204</v>
      </c>
      <c r="C53" s="101"/>
      <c r="D53" s="101"/>
      <c r="E53" s="101"/>
      <c r="F53" s="101"/>
      <c r="G53" s="101"/>
      <c r="H53" s="101"/>
      <c r="I53" s="101"/>
      <c r="J53" s="101"/>
      <c r="K53" s="101">
        <v>672314.97</v>
      </c>
      <c r="L53" s="79">
        <f>L52+Table114[[#This Row],[اجمالي الفاتوره]]-Table114[[#This Row],[الدفعات]]</f>
        <v>0</v>
      </c>
      <c r="M53" s="100"/>
      <c r="N53" s="100"/>
    </row>
    <row r="54" spans="1:14" ht="25.5" customHeight="1" x14ac:dyDescent="0.3">
      <c r="A54" s="36">
        <v>41</v>
      </c>
      <c r="B54" s="37">
        <v>46189</v>
      </c>
      <c r="C54" s="36" t="s">
        <v>618</v>
      </c>
      <c r="D54" s="36" t="s">
        <v>118</v>
      </c>
      <c r="E54" s="36">
        <v>247799</v>
      </c>
      <c r="F54" s="36" t="s">
        <v>121</v>
      </c>
      <c r="G54" s="36">
        <v>13500</v>
      </c>
      <c r="I54" s="36">
        <f>850+1105+30+156.48+1146.84</f>
        <v>3288.3199999999997</v>
      </c>
      <c r="J54" s="36">
        <f>Table114[[#This Row],[النولون]]+Table114[[#This Row],[الايصالات]]+Table114[[#This Row],[قيمة مضافة]]</f>
        <v>16788.32</v>
      </c>
      <c r="L54" s="36">
        <f>L53+Table114[[#This Row],[اجمالي الفاتوره]]-Table114[[#This Row],[الدفعات]]</f>
        <v>16788.32</v>
      </c>
      <c r="N54" s="49"/>
    </row>
    <row r="55" spans="1:14" ht="25.5" customHeight="1" x14ac:dyDescent="0.3">
      <c r="A55" s="43">
        <v>42</v>
      </c>
      <c r="B55" s="44">
        <v>46189</v>
      </c>
      <c r="C55" s="36" t="s">
        <v>512</v>
      </c>
      <c r="D55" s="36" t="s">
        <v>178</v>
      </c>
      <c r="E55" s="43">
        <v>920886</v>
      </c>
      <c r="F55" s="36" t="s">
        <v>91</v>
      </c>
      <c r="G55" s="43">
        <f>21000*5</f>
        <v>105000</v>
      </c>
      <c r="H55" s="43"/>
      <c r="I55" s="43">
        <f>4*100+5*1150+477.98+710.5*2+480.8+810+6674.7+1425+1000+551.63</f>
        <v>18991.11</v>
      </c>
      <c r="J55" s="36">
        <f>Table114[[#This Row],[النولون]]+Table114[[#This Row],[الايصالات]]+Table114[[#This Row],[قيمة مضافة]]</f>
        <v>123991.11</v>
      </c>
      <c r="K55" s="43"/>
      <c r="L55" s="36">
        <f>L54+Table114[[#This Row],[اجمالي الفاتوره]]-Table114[[#This Row],[الدفعات]]</f>
        <v>140779.43</v>
      </c>
      <c r="M55" s="43"/>
      <c r="N55" s="49"/>
    </row>
    <row r="56" spans="1:14" ht="25.5" customHeight="1" x14ac:dyDescent="0.3">
      <c r="A56" s="36">
        <v>43</v>
      </c>
      <c r="B56" s="37">
        <v>46194</v>
      </c>
      <c r="C56" s="36" t="s">
        <v>422</v>
      </c>
      <c r="D56" s="36" t="s">
        <v>206</v>
      </c>
      <c r="E56" s="36">
        <v>929646</v>
      </c>
      <c r="F56" s="36" t="s">
        <v>159</v>
      </c>
      <c r="G56" s="36">
        <v>16000</v>
      </c>
      <c r="I56" s="36">
        <f>210+570+286.67+50+1140+171+150</f>
        <v>2577.67</v>
      </c>
      <c r="J56" s="36">
        <f>Table114[[#This Row],[النولون]]+Table114[[#This Row],[الايصالات]]+Table114[[#This Row],[قيمة مضافة]]</f>
        <v>18577.669999999998</v>
      </c>
      <c r="L56" s="36">
        <f>L55+Table114[[#This Row],[اجمالي الفاتوره]]-Table114[[#This Row],[الدفعات]]</f>
        <v>159357.09999999998</v>
      </c>
      <c r="N56" s="49"/>
    </row>
    <row r="57" spans="1:14" ht="25.5" customHeight="1" x14ac:dyDescent="0.3">
      <c r="A57" s="36">
        <v>44</v>
      </c>
      <c r="B57" s="37">
        <v>46195</v>
      </c>
      <c r="C57" s="36" t="s">
        <v>592</v>
      </c>
      <c r="D57" s="36" t="s">
        <v>96</v>
      </c>
      <c r="E57" s="36" t="s">
        <v>627</v>
      </c>
      <c r="F57" s="36" t="s">
        <v>404</v>
      </c>
      <c r="G57" s="36">
        <f>15300*9</f>
        <v>137700</v>
      </c>
      <c r="I57" s="36">
        <f>810+1130*5+3*1100+369.59+447.99+410.12+444.91+423.89+421.43+412.95+410.12+407.3+1800+750+10800+900</f>
        <v>27758.300000000003</v>
      </c>
      <c r="J57" s="36">
        <f>Table114[[#This Row],[النولون]]+Table114[[#This Row],[الايصالات]]+Table114[[#This Row],[قيمة مضافة]]</f>
        <v>165458.29999999999</v>
      </c>
      <c r="L57" s="36">
        <f>L56+Table114[[#This Row],[اجمالي الفاتوره]]-Table114[[#This Row],[الدفعات]]</f>
        <v>324815.39999999997</v>
      </c>
      <c r="N57" s="49"/>
    </row>
    <row r="58" spans="1:14" ht="25.5" customHeight="1" x14ac:dyDescent="0.3">
      <c r="A58" s="36">
        <v>45</v>
      </c>
      <c r="B58" s="37">
        <v>46200</v>
      </c>
      <c r="C58" s="36" t="s">
        <v>124</v>
      </c>
      <c r="D58" s="36" t="s">
        <v>126</v>
      </c>
      <c r="E58" s="36">
        <v>17480666</v>
      </c>
      <c r="F58" s="36" t="s">
        <v>91</v>
      </c>
      <c r="G58" s="36">
        <f>19500*5</f>
        <v>97500</v>
      </c>
      <c r="I58" s="36">
        <f>1100*5+466.67+466.67+710.5+710.5+631.06+79+5000</f>
        <v>13564.4</v>
      </c>
      <c r="J58" s="36">
        <f>Table114[[#This Row],[النولون]]+Table114[[#This Row],[الايصالات]]+Table114[[#This Row],[قيمة مضافة]]</f>
        <v>111064.4</v>
      </c>
      <c r="L58" s="36">
        <f>L57+Table114[[#This Row],[اجمالي الفاتوره]]-Table114[[#This Row],[الدفعات]]</f>
        <v>435879.79999999993</v>
      </c>
      <c r="N58" s="49"/>
    </row>
    <row r="59" spans="1:14" ht="25.5" customHeight="1" x14ac:dyDescent="0.3">
      <c r="A59" s="36">
        <v>46</v>
      </c>
      <c r="B59" s="37">
        <v>46200</v>
      </c>
      <c r="C59" s="36" t="s">
        <v>124</v>
      </c>
      <c r="D59" s="36" t="s">
        <v>126</v>
      </c>
      <c r="E59" s="36">
        <v>17480746</v>
      </c>
      <c r="F59" s="36" t="s">
        <v>91</v>
      </c>
      <c r="G59" s="36">
        <f>19500*5</f>
        <v>97500</v>
      </c>
      <c r="I59" s="36">
        <f>1100*5+631.06*3+469.5+591.35+79+5000</f>
        <v>13533.03</v>
      </c>
      <c r="J59" s="36">
        <f>Table114[[#This Row],[النولون]]+Table114[[#This Row],[الايصالات]]+Table114[[#This Row],[قيمة مضافة]]</f>
        <v>111033.03</v>
      </c>
      <c r="L59" s="36">
        <f>L58+Table114[[#This Row],[اجمالي الفاتوره]]-Table114[[#This Row],[الدفعات]]</f>
        <v>546912.82999999996</v>
      </c>
      <c r="N59" s="49"/>
    </row>
    <row r="60" spans="1:14" ht="25.5" customHeight="1" x14ac:dyDescent="0.3">
      <c r="A60" s="36">
        <v>47</v>
      </c>
      <c r="B60" s="37">
        <v>46200</v>
      </c>
      <c r="C60" s="36" t="s">
        <v>286</v>
      </c>
      <c r="D60" s="36" t="s">
        <v>203</v>
      </c>
      <c r="E60" s="36" t="s">
        <v>634</v>
      </c>
      <c r="F60" s="36" t="s">
        <v>121</v>
      </c>
      <c r="G60" s="36">
        <v>17000</v>
      </c>
      <c r="I60" s="36">
        <f>1100+464.09+1140+200+285</f>
        <v>3189.09</v>
      </c>
      <c r="J60" s="36">
        <f>Table114[[#This Row],[النولون]]+Table114[[#This Row],[الايصالات]]+Table114[[#This Row],[قيمة مضافة]]</f>
        <v>20189.09</v>
      </c>
      <c r="L60" s="36">
        <f>L59+Table114[[#This Row],[اجمالي الفاتوره]]-Table114[[#This Row],[الدفعات]]</f>
        <v>567101.91999999993</v>
      </c>
      <c r="N60" s="49"/>
    </row>
    <row r="61" spans="1:14" ht="25.5" customHeight="1" x14ac:dyDescent="0.3">
      <c r="A61" s="36">
        <v>48</v>
      </c>
      <c r="B61" s="37">
        <v>46200</v>
      </c>
      <c r="C61" s="36" t="s">
        <v>286</v>
      </c>
      <c r="D61" s="36" t="s">
        <v>203</v>
      </c>
      <c r="E61" s="36" t="s">
        <v>635</v>
      </c>
      <c r="F61" s="36" t="s">
        <v>121</v>
      </c>
      <c r="G61" s="36">
        <v>17000</v>
      </c>
      <c r="I61" s="36">
        <f>850+1105+476.63+100+1140+228+200+285</f>
        <v>4384.63</v>
      </c>
      <c r="J61" s="36">
        <f>Table114[[#This Row],[النولون]]+Table114[[#This Row],[الايصالات]]+Table114[[#This Row],[قيمة مضافة]]</f>
        <v>21384.63</v>
      </c>
      <c r="L61" s="36">
        <f>L60+Table114[[#This Row],[اجمالي الفاتوره]]-Table114[[#This Row],[الدفعات]]</f>
        <v>588486.54999999993</v>
      </c>
      <c r="N61" s="49"/>
    </row>
    <row r="62" spans="1:14" ht="25.5" customHeight="1" x14ac:dyDescent="0.3">
      <c r="A62" s="36">
        <v>49</v>
      </c>
      <c r="B62" s="37">
        <v>46200</v>
      </c>
      <c r="C62" s="36" t="s">
        <v>633</v>
      </c>
      <c r="D62" s="36" t="s">
        <v>96</v>
      </c>
      <c r="E62" s="36">
        <v>927894</v>
      </c>
      <c r="F62" s="36" t="s">
        <v>285</v>
      </c>
      <c r="G62" s="36">
        <f>6*15300</f>
        <v>91800</v>
      </c>
      <c r="I62" s="36">
        <f>3*1100+3*1150+454.87+431.4+438.28+457.7+434.22+436.07+6840+1200+1710</f>
        <v>19152.54</v>
      </c>
      <c r="J62" s="36">
        <f>Table114[[#This Row],[النولون]]+Table114[[#This Row],[الايصالات]]+Table114[[#This Row],[قيمة مضافة]]</f>
        <v>110952.54000000001</v>
      </c>
      <c r="L62" s="36">
        <f>L61+Table114[[#This Row],[اجمالي الفاتوره]]-Table114[[#This Row],[الدفعات]]</f>
        <v>699439.09</v>
      </c>
      <c r="N62" s="49"/>
    </row>
    <row r="63" spans="1:14" ht="25.5" customHeight="1" x14ac:dyDescent="0.3">
      <c r="A63" s="36">
        <v>50</v>
      </c>
      <c r="B63" s="44">
        <v>46208</v>
      </c>
      <c r="C63" s="36" t="s">
        <v>647</v>
      </c>
      <c r="D63" s="36" t="s">
        <v>178</v>
      </c>
      <c r="E63" s="43">
        <v>224</v>
      </c>
      <c r="F63" s="36" t="s">
        <v>158</v>
      </c>
      <c r="G63" s="43">
        <f>21000*3</f>
        <v>63000</v>
      </c>
      <c r="H63" s="43"/>
      <c r="I63" s="43">
        <f>5000+5000*3*2+10000*2+100*2+610+1150*3+412.95+407.3+412.95+3000+250+300+1770</f>
        <v>65813.2</v>
      </c>
      <c r="J63" s="36">
        <f>Table114[[#This Row],[النولون]]+Table114[[#This Row],[الايصالات]]+Table114[[#This Row],[قيمة مضافة]]</f>
        <v>128813.2</v>
      </c>
      <c r="K63" s="43"/>
      <c r="L63" s="36">
        <f>L62+Table114[[#This Row],[اجمالي الفاتوره]]-Table114[[#This Row],[الدفعات]]</f>
        <v>828252.28999999992</v>
      </c>
      <c r="M63" s="43"/>
      <c r="N63" s="49"/>
    </row>
    <row r="64" spans="1:14" ht="25.5" customHeight="1" x14ac:dyDescent="0.3">
      <c r="A64" s="36">
        <v>51</v>
      </c>
      <c r="B64" s="37">
        <v>46208</v>
      </c>
      <c r="C64" s="36" t="s">
        <v>592</v>
      </c>
      <c r="D64" s="36" t="s">
        <v>96</v>
      </c>
      <c r="E64" s="36" t="s">
        <v>648</v>
      </c>
      <c r="F64" s="36" t="s">
        <v>404</v>
      </c>
      <c r="G64" s="36">
        <f>9*15300</f>
        <v>137700</v>
      </c>
      <c r="I64" s="36">
        <f>8*1100+1105+10+424.26+415.78+410.12+383.72+421.43+410.12+421.43+424.26+424.26+1800+10800+750+900+1000</f>
        <v>28900.380000000005</v>
      </c>
      <c r="J64" s="36">
        <f>Table114[[#This Row],[النولون]]+Table114[[#This Row],[الايصالات]]+Table114[[#This Row],[قيمة مضافة]]</f>
        <v>166600.38</v>
      </c>
      <c r="L64" s="36">
        <f>L63+Table114[[#This Row],[اجمالي الفاتوره]]-Table114[[#This Row],[الدفعات]]</f>
        <v>994852.66999999993</v>
      </c>
      <c r="N64" s="49"/>
    </row>
    <row r="65" spans="1:14" ht="25.5" customHeight="1" x14ac:dyDescent="0.3">
      <c r="A65" s="36">
        <v>52</v>
      </c>
      <c r="B65" s="37">
        <v>46208</v>
      </c>
      <c r="C65" s="36" t="s">
        <v>286</v>
      </c>
      <c r="D65" s="36" t="s">
        <v>203</v>
      </c>
      <c r="E65" s="36">
        <v>933452</v>
      </c>
      <c r="F65" s="36" t="s">
        <v>92</v>
      </c>
      <c r="G65" s="36">
        <f>17000*2</f>
        <v>34000</v>
      </c>
      <c r="I65" s="36">
        <f>2000+79+1100+1100+455.36+449.71+3306+2500+400+570</f>
        <v>11960.07</v>
      </c>
      <c r="J65" s="36">
        <f>Table114[[#This Row],[النولون]]+Table114[[#This Row],[الايصالات]]+Table114[[#This Row],[قيمة مضافة]]</f>
        <v>45960.07</v>
      </c>
      <c r="L65" s="36">
        <f>L64+Table114[[#This Row],[اجمالي الفاتوره]]-Table114[[#This Row],[الدفعات]]</f>
        <v>1040812.7399999999</v>
      </c>
      <c r="N65" s="49"/>
    </row>
    <row r="66" spans="1:14" ht="25.5" customHeight="1" x14ac:dyDescent="0.3">
      <c r="A66" s="36">
        <v>1580</v>
      </c>
      <c r="B66" s="37">
        <v>46208</v>
      </c>
      <c r="C66" s="36" t="s">
        <v>161</v>
      </c>
      <c r="D66" s="36" t="s">
        <v>163</v>
      </c>
      <c r="E66" s="36">
        <v>8197</v>
      </c>
      <c r="F66" s="36" t="s">
        <v>159</v>
      </c>
      <c r="G66" s="36">
        <v>12000</v>
      </c>
      <c r="I66" s="36">
        <f>110+60+763.8+1113.84+1000</f>
        <v>3047.64</v>
      </c>
      <c r="J66" s="36">
        <f>Table114[[#This Row],[النولون]]+Table114[[#This Row],[الايصالات]]+Table114[[#This Row],[قيمة مضافة]]</f>
        <v>15047.64</v>
      </c>
      <c r="L66" s="36">
        <f>L65+Table114[[#This Row],[اجمالي الفاتوره]]-Table114[[#This Row],[الدفعات]]</f>
        <v>1055860.3799999999</v>
      </c>
      <c r="N66" s="49"/>
    </row>
    <row r="67" spans="1:14" ht="25.5" customHeight="1" x14ac:dyDescent="0.3">
      <c r="B67" s="37"/>
      <c r="J67" s="36">
        <f>Table114[[#This Row],[النولون]]+Table114[[#This Row],[الايصالات]]+Table114[[#This Row],[قيمة مضافة]]</f>
        <v>0</v>
      </c>
      <c r="L67" s="36">
        <f>L66+Table114[[#This Row],[اجمالي الفاتوره]]-Table114[[#This Row],[الدفعات]]</f>
        <v>1055860.3799999999</v>
      </c>
      <c r="N67" s="49"/>
    </row>
    <row r="68" spans="1:14" ht="25.5" customHeight="1" x14ac:dyDescent="0.3">
      <c r="B68" s="37"/>
      <c r="J68" s="36">
        <f>Table114[[#This Row],[النولون]]+Table114[[#This Row],[الايصالات]]+Table114[[#This Row],[قيمة مضافة]]</f>
        <v>0</v>
      </c>
      <c r="L68" s="36">
        <f>L67+Table114[[#This Row],[اجمالي الفاتوره]]-Table114[[#This Row],[الدفعات]]</f>
        <v>1055860.3799999999</v>
      </c>
      <c r="N68" s="49"/>
    </row>
    <row r="69" spans="1:14" ht="25.5" customHeight="1" x14ac:dyDescent="0.3">
      <c r="B69" s="37"/>
      <c r="J69" s="36">
        <f>Table114[[#This Row],[النولون]]+Table114[[#This Row],[الايصالات]]+Table114[[#This Row],[قيمة مضافة]]</f>
        <v>0</v>
      </c>
      <c r="L69" s="36">
        <f>L68+Table114[[#This Row],[اجمالي الفاتوره]]-Table114[[#This Row],[الدفعات]]</f>
        <v>1055860.3799999999</v>
      </c>
      <c r="N69" s="49"/>
    </row>
    <row r="70" spans="1:14" ht="25.5" customHeight="1" x14ac:dyDescent="0.3">
      <c r="B70" s="37"/>
      <c r="J70" s="36">
        <f>Table114[[#This Row],[النولون]]+Table114[[#This Row],[الايصالات]]+Table114[[#This Row],[قيمة مضافة]]</f>
        <v>0</v>
      </c>
      <c r="L70" s="36">
        <f>L69+Table114[[#This Row],[اجمالي الفاتوره]]-Table114[[#This Row],[الدفعات]]</f>
        <v>1055860.3799999999</v>
      </c>
      <c r="N70" s="49"/>
    </row>
    <row r="71" spans="1:14" ht="25.5" customHeight="1" x14ac:dyDescent="0.3">
      <c r="B71" s="37"/>
      <c r="J71" s="36">
        <f>Table114[[#This Row],[النولون]]+Table114[[#This Row],[الايصالات]]+Table114[[#This Row],[قيمة مضافة]]</f>
        <v>0</v>
      </c>
      <c r="L71" s="36">
        <f>L70+Table114[[#This Row],[اجمالي الفاتوره]]-Table114[[#This Row],[الدفعات]]</f>
        <v>1055860.3799999999</v>
      </c>
      <c r="N71" s="49"/>
    </row>
    <row r="72" spans="1:14" ht="25.5" customHeight="1" x14ac:dyDescent="0.3">
      <c r="B72" s="37"/>
      <c r="J72" s="36">
        <f>Table114[[#This Row],[النولون]]+Table114[[#This Row],[الايصالات]]+Table114[[#This Row],[قيمة مضافة]]</f>
        <v>0</v>
      </c>
      <c r="L72" s="36">
        <f>L71+Table114[[#This Row],[اجمالي الفاتوره]]-Table114[[#This Row],[الدفعات]]</f>
        <v>1055860.3799999999</v>
      </c>
      <c r="N72" s="49"/>
    </row>
    <row r="73" spans="1:14" ht="25.5" customHeight="1" x14ac:dyDescent="0.3">
      <c r="B73" s="37"/>
      <c r="J73" s="36">
        <f>Table114[[#This Row],[النولون]]+Table114[[#This Row],[الايصالات]]+Table114[[#This Row],[قيمة مضافة]]</f>
        <v>0</v>
      </c>
      <c r="L73" s="36">
        <f>L72+Table114[[#This Row],[اجمالي الفاتوره]]-Table114[[#This Row],[الدفعات]]</f>
        <v>1055860.3799999999</v>
      </c>
      <c r="N73" s="49"/>
    </row>
    <row r="74" spans="1:14" ht="25.5" customHeight="1" x14ac:dyDescent="0.3">
      <c r="B74" s="37"/>
      <c r="J74" s="36">
        <f>Table114[[#This Row],[النولون]]+Table114[[#This Row],[الايصالات]]+Table114[[#This Row],[قيمة مضافة]]</f>
        <v>0</v>
      </c>
      <c r="L74" s="36">
        <f>L73+Table114[[#This Row],[اجمالي الفاتوره]]-Table114[[#This Row],[الدفعات]]</f>
        <v>1055860.3799999999</v>
      </c>
      <c r="N74" s="49"/>
    </row>
    <row r="75" spans="1:14" ht="25.5" customHeight="1" x14ac:dyDescent="0.3">
      <c r="B75" s="37"/>
      <c r="J75" s="36">
        <f>Table114[[#This Row],[النولون]]+Table114[[#This Row],[الايصالات]]+Table114[[#This Row],[قيمة مضافة]]</f>
        <v>0</v>
      </c>
      <c r="L75" s="36">
        <f>L74+Table114[[#This Row],[اجمالي الفاتوره]]-Table114[[#This Row],[الدفعات]]</f>
        <v>1055860.3799999999</v>
      </c>
      <c r="N75" s="49"/>
    </row>
    <row r="76" spans="1:14" ht="25.5" customHeight="1" x14ac:dyDescent="0.3">
      <c r="B76" s="37"/>
      <c r="J76" s="36">
        <f>Table114[[#This Row],[النولون]]+Table114[[#This Row],[الايصالات]]+Table114[[#This Row],[قيمة مضافة]]</f>
        <v>0</v>
      </c>
      <c r="L76" s="36">
        <f>L75+Table114[[#This Row],[اجمالي الفاتوره]]-Table114[[#This Row],[الدفعات]]</f>
        <v>1055860.3799999999</v>
      </c>
      <c r="N76" s="49"/>
    </row>
    <row r="77" spans="1:14" ht="25.5" customHeight="1" x14ac:dyDescent="0.3">
      <c r="B77" s="37"/>
      <c r="J77" s="36">
        <f>Table114[[#This Row],[النولون]]+Table114[[#This Row],[الايصالات]]+Table114[[#This Row],[قيمة مضافة]]</f>
        <v>0</v>
      </c>
      <c r="L77" s="36">
        <f>L76+Table114[[#This Row],[اجمالي الفاتوره]]-Table114[[#This Row],[الدفعات]]</f>
        <v>1055860.3799999999</v>
      </c>
      <c r="N77" s="49"/>
    </row>
    <row r="78" spans="1:14" ht="25.5" customHeight="1" x14ac:dyDescent="0.3">
      <c r="A78" s="43"/>
      <c r="B78" s="44"/>
      <c r="C78" s="43"/>
      <c r="D78" s="43"/>
      <c r="E78" s="43"/>
      <c r="F78" s="43"/>
      <c r="G78" s="43"/>
      <c r="H78" s="43"/>
      <c r="I78" s="43"/>
      <c r="J78" s="36">
        <f>Table114[[#This Row],[النولون]]+Table114[[#This Row],[الايصالات]]+Table114[[#This Row],[قيمة مضافة]]</f>
        <v>0</v>
      </c>
      <c r="K78" s="43"/>
      <c r="L78" s="36">
        <f>L77+Table114[[#This Row],[اجمالي الفاتوره]]-Table114[[#This Row],[الدفعات]]</f>
        <v>1055860.3799999999</v>
      </c>
      <c r="M78" s="43"/>
      <c r="N78" s="49"/>
    </row>
    <row r="79" spans="1:14" ht="25.5" customHeight="1" x14ac:dyDescent="0.3">
      <c r="B79" s="37"/>
      <c r="J79" s="36">
        <f>Table114[[#This Row],[النولون]]+Table114[[#This Row],[الايصالات]]+Table114[[#This Row],[قيمة مضافة]]</f>
        <v>0</v>
      </c>
      <c r="L79" s="36">
        <f>L78+Table114[[#This Row],[اجمالي الفاتوره]]-Table114[[#This Row],[الدفعات]]</f>
        <v>1055860.3799999999</v>
      </c>
      <c r="N79" s="49"/>
    </row>
    <row r="80" spans="1:14" ht="25.5" customHeight="1" x14ac:dyDescent="0.3">
      <c r="B80" s="37"/>
      <c r="J80" s="36">
        <f>Table114[[#This Row],[النولون]]+Table114[[#This Row],[الايصالات]]+Table114[[#This Row],[قيمة مضافة]]</f>
        <v>0</v>
      </c>
      <c r="L80" s="36">
        <f>L79+Table114[[#This Row],[اجمالي الفاتوره]]-Table114[[#This Row],[الدفعات]]</f>
        <v>1055860.3799999999</v>
      </c>
      <c r="N80" s="49"/>
    </row>
    <row r="81" spans="1:14" ht="25.5" customHeight="1" x14ac:dyDescent="0.3">
      <c r="B81" s="37"/>
      <c r="J81" s="36">
        <f>Table114[[#This Row],[النولون]]+Table114[[#This Row],[الايصالات]]+Table114[[#This Row],[قيمة مضافة]]</f>
        <v>0</v>
      </c>
      <c r="L81" s="36">
        <f>L80+Table114[[#This Row],[اجمالي الفاتوره]]-Table114[[#This Row],[الدفعات]]</f>
        <v>1055860.3799999999</v>
      </c>
      <c r="N81" s="49"/>
    </row>
    <row r="82" spans="1:14" ht="25.5" customHeight="1" x14ac:dyDescent="0.3">
      <c r="B82" s="37"/>
      <c r="J82" s="36">
        <f>Table114[[#This Row],[النولون]]+Table114[[#This Row],[الايصالات]]+Table114[[#This Row],[قيمة مضافة]]</f>
        <v>0</v>
      </c>
      <c r="L82" s="36">
        <f>L81+Table114[[#This Row],[اجمالي الفاتوره]]-Table114[[#This Row],[الدفعات]]</f>
        <v>1055860.3799999999</v>
      </c>
      <c r="N82" s="49"/>
    </row>
    <row r="83" spans="1:14" ht="25.5" customHeight="1" x14ac:dyDescent="0.3">
      <c r="A83" s="43"/>
      <c r="B83" s="44"/>
      <c r="C83" s="43"/>
      <c r="D83" s="43"/>
      <c r="E83" s="43"/>
      <c r="F83" s="43"/>
      <c r="G83" s="43"/>
      <c r="H83" s="43"/>
      <c r="I83" s="43"/>
      <c r="J83" s="36">
        <f>Table114[[#This Row],[النولون]]+Table114[[#This Row],[الايصالات]]+Table114[[#This Row],[قيمة مضافة]]</f>
        <v>0</v>
      </c>
      <c r="K83" s="43"/>
      <c r="L83" s="36">
        <f>L82+Table114[[#This Row],[اجمالي الفاتوره]]-Table114[[#This Row],[الدفعات]]</f>
        <v>1055860.3799999999</v>
      </c>
      <c r="M83" s="43"/>
      <c r="N83" s="49"/>
    </row>
    <row r="84" spans="1:14" ht="25.5" customHeight="1" x14ac:dyDescent="0.3">
      <c r="B84" s="37"/>
      <c r="J84" s="36">
        <f>Table114[[#This Row],[النولون]]+Table114[[#This Row],[الايصالات]]+Table114[[#This Row],[قيمة مضافة]]</f>
        <v>0</v>
      </c>
      <c r="L84" s="36">
        <f>L83+Table114[[#This Row],[اجمالي الفاتوره]]-Table114[[#This Row],[الدفعات]]</f>
        <v>1055860.3799999999</v>
      </c>
      <c r="N84" s="49"/>
    </row>
    <row r="85" spans="1:14" ht="25.5" customHeight="1" x14ac:dyDescent="0.3">
      <c r="B85" s="37"/>
      <c r="J85" s="36">
        <f>Table114[[#This Row],[النولون]]+Table114[[#This Row],[الايصالات]]+Table114[[#This Row],[قيمة مضافة]]</f>
        <v>0</v>
      </c>
      <c r="L85" s="36">
        <f>L84+Table114[[#This Row],[اجمالي الفاتوره]]-Table114[[#This Row],[الدفعات]]</f>
        <v>1055860.3799999999</v>
      </c>
      <c r="N85" s="49"/>
    </row>
    <row r="86" spans="1:14" ht="25.5" customHeight="1" x14ac:dyDescent="0.3">
      <c r="B86" s="37"/>
      <c r="J86" s="36">
        <f>Table114[[#This Row],[النولون]]+Table114[[#This Row],[الايصالات]]+Table114[[#This Row],[قيمة مضافة]]</f>
        <v>0</v>
      </c>
      <c r="L86" s="36">
        <f>L85+Table114[[#This Row],[اجمالي الفاتوره]]-Table114[[#This Row],[الدفعات]]</f>
        <v>1055860.3799999999</v>
      </c>
      <c r="N86" s="49"/>
    </row>
    <row r="87" spans="1:14" ht="25.5" customHeight="1" x14ac:dyDescent="0.3">
      <c r="B87" s="37"/>
      <c r="J87" s="36">
        <f>Table114[[#This Row],[النولون]]+Table114[[#This Row],[الايصالات]]+Table114[[#This Row],[قيمة مضافة]]</f>
        <v>0</v>
      </c>
      <c r="L87" s="36">
        <f>L86+Table114[[#This Row],[اجمالي الفاتوره]]-Table114[[#This Row],[الدفعات]]</f>
        <v>1055860.3799999999</v>
      </c>
      <c r="N87" s="49"/>
    </row>
    <row r="88" spans="1:14" ht="25.5" customHeight="1" x14ac:dyDescent="0.3">
      <c r="B88" s="37"/>
      <c r="J88" s="36">
        <f>Table114[[#This Row],[النولون]]+Table114[[#This Row],[الايصالات]]+Table114[[#This Row],[قيمة مضافة]]</f>
        <v>0</v>
      </c>
      <c r="L88" s="36">
        <f>L87+Table114[[#This Row],[اجمالي الفاتوره]]-Table114[[#This Row],[الدفعات]]</f>
        <v>1055860.3799999999</v>
      </c>
      <c r="N88" s="49"/>
    </row>
    <row r="89" spans="1:14" ht="25.5" customHeight="1" x14ac:dyDescent="0.3">
      <c r="B89" s="37"/>
      <c r="J89" s="36">
        <f>Table114[[#This Row],[النولون]]+Table114[[#This Row],[الايصالات]]+Table114[[#This Row],[قيمة مضافة]]</f>
        <v>0</v>
      </c>
      <c r="L89" s="36">
        <f>L88+Table114[[#This Row],[اجمالي الفاتوره]]-Table114[[#This Row],[الدفعات]]</f>
        <v>1055860.3799999999</v>
      </c>
      <c r="N89" s="49"/>
    </row>
    <row r="90" spans="1:14" ht="25.5" customHeight="1" x14ac:dyDescent="0.3">
      <c r="B90" s="37"/>
      <c r="J90" s="36">
        <f>Table114[[#This Row],[النولون]]+Table114[[#This Row],[الايصالات]]+Table114[[#This Row],[قيمة مضافة]]</f>
        <v>0</v>
      </c>
      <c r="L90" s="36">
        <f>L89+Table114[[#This Row],[اجمالي الفاتوره]]-Table114[[#This Row],[الدفعات]]</f>
        <v>1055860.3799999999</v>
      </c>
      <c r="N90" s="49"/>
    </row>
    <row r="91" spans="1:14" ht="25.5" customHeight="1" x14ac:dyDescent="0.3">
      <c r="B91" s="37"/>
      <c r="J91" s="36">
        <f>Table114[[#This Row],[النولون]]+Table114[[#This Row],[الايصالات]]+Table114[[#This Row],[قيمة مضافة]]</f>
        <v>0</v>
      </c>
      <c r="L91" s="36">
        <f>L90+Table114[[#This Row],[اجمالي الفاتوره]]-Table114[[#This Row],[الدفعات]]</f>
        <v>1055860.3799999999</v>
      </c>
      <c r="N91" s="49"/>
    </row>
    <row r="92" spans="1:14" ht="25.5" customHeight="1" x14ac:dyDescent="0.3">
      <c r="B92" s="37"/>
      <c r="J92" s="36">
        <f>Table114[[#This Row],[النولون]]+Table114[[#This Row],[الايصالات]]+Table114[[#This Row],[قيمة مضافة]]</f>
        <v>0</v>
      </c>
      <c r="L92" s="36">
        <f>L91+Table114[[#This Row],[اجمالي الفاتوره]]-Table114[[#This Row],[الدفعات]]</f>
        <v>1055860.3799999999</v>
      </c>
      <c r="N92" s="49"/>
    </row>
    <row r="93" spans="1:14" ht="25.5" customHeight="1" x14ac:dyDescent="0.3">
      <c r="B93" s="37"/>
      <c r="J93" s="36">
        <f>Table114[[#This Row],[النولون]]+Table114[[#This Row],[الايصالات]]+Table114[[#This Row],[قيمة مضافة]]</f>
        <v>0</v>
      </c>
      <c r="L93" s="36">
        <f>L92+Table114[[#This Row],[اجمالي الفاتوره]]-Table114[[#This Row],[الدفعات]]</f>
        <v>1055860.3799999999</v>
      </c>
      <c r="N93" s="49"/>
    </row>
    <row r="94" spans="1:14" ht="25.5" customHeight="1" x14ac:dyDescent="0.3">
      <c r="A94" s="43"/>
      <c r="B94" s="44"/>
      <c r="C94" s="43"/>
      <c r="D94" s="43"/>
      <c r="E94" s="43"/>
      <c r="F94" s="43"/>
      <c r="G94" s="43"/>
      <c r="H94" s="43"/>
      <c r="I94" s="43"/>
      <c r="J94" s="36">
        <f>Table114[[#This Row],[النولون]]+Table114[[#This Row],[الايصالات]]+Table114[[#This Row],[قيمة مضافة]]</f>
        <v>0</v>
      </c>
      <c r="K94" s="43"/>
      <c r="L94" s="36">
        <f>L93+Table114[[#This Row],[اجمالي الفاتوره]]-Table114[[#This Row],[الدفعات]]</f>
        <v>1055860.3799999999</v>
      </c>
      <c r="M94" s="43"/>
      <c r="N94" s="49"/>
    </row>
    <row r="95" spans="1:14" ht="25.5" customHeight="1" x14ac:dyDescent="0.3">
      <c r="B95" s="37"/>
      <c r="J95" s="36">
        <f>Table114[[#This Row],[النولون]]+Table114[[#This Row],[الايصالات]]+Table114[[#This Row],[قيمة مضافة]]</f>
        <v>0</v>
      </c>
      <c r="L95" s="36">
        <f>L94+Table114[[#This Row],[اجمالي الفاتوره]]-Table114[[#This Row],[الدفعات]]</f>
        <v>1055860.3799999999</v>
      </c>
      <c r="N95" s="49"/>
    </row>
    <row r="96" spans="1:14" ht="25.5" customHeight="1" x14ac:dyDescent="0.3">
      <c r="B96" s="37"/>
      <c r="J96" s="36">
        <f>Table114[[#This Row],[النولون]]+Table114[[#This Row],[الايصالات]]+Table114[[#This Row],[قيمة مضافة]]</f>
        <v>0</v>
      </c>
      <c r="L96" s="36">
        <f>L95+Table114[[#This Row],[اجمالي الفاتوره]]-Table114[[#This Row],[الدفعات]]</f>
        <v>1055860.3799999999</v>
      </c>
      <c r="N96" s="49"/>
    </row>
    <row r="97" spans="1:14" ht="25.5" customHeight="1" x14ac:dyDescent="0.3">
      <c r="B97" s="37"/>
      <c r="J97" s="36">
        <f>Table114[[#This Row],[النولون]]+Table114[[#This Row],[الايصالات]]+Table114[[#This Row],[قيمة مضافة]]</f>
        <v>0</v>
      </c>
      <c r="L97" s="36">
        <f>L96+Table114[[#This Row],[اجمالي الفاتوره]]-Table114[[#This Row],[الدفعات]]</f>
        <v>1055860.3799999999</v>
      </c>
      <c r="N97" s="49"/>
    </row>
    <row r="98" spans="1:14" ht="25.5" customHeight="1" x14ac:dyDescent="0.3">
      <c r="B98" s="37"/>
      <c r="J98" s="36">
        <f>Table114[[#This Row],[النولون]]+Table114[[#This Row],[الايصالات]]+Table114[[#This Row],[قيمة مضافة]]</f>
        <v>0</v>
      </c>
      <c r="L98" s="36">
        <f>L97+Table114[[#This Row],[اجمالي الفاتوره]]-Table114[[#This Row],[الدفعات]]</f>
        <v>1055860.3799999999</v>
      </c>
      <c r="N98" s="49"/>
    </row>
    <row r="99" spans="1:14" ht="25.5" customHeight="1" x14ac:dyDescent="0.3">
      <c r="B99" s="37"/>
      <c r="J99" s="36">
        <f>Table114[[#This Row],[النولون]]+Table114[[#This Row],[الايصالات]]+Table114[[#This Row],[قيمة مضافة]]</f>
        <v>0</v>
      </c>
      <c r="L99" s="36">
        <f>L98+Table114[[#This Row],[اجمالي الفاتوره]]-Table114[[#This Row],[الدفعات]]</f>
        <v>1055860.3799999999</v>
      </c>
      <c r="N99" s="49"/>
    </row>
    <row r="100" spans="1:14" ht="25.5" customHeight="1" x14ac:dyDescent="0.3">
      <c r="B100" s="37"/>
      <c r="J100" s="36">
        <f>Table114[[#This Row],[النولون]]+Table114[[#This Row],[الايصالات]]+Table114[[#This Row],[قيمة مضافة]]</f>
        <v>0</v>
      </c>
      <c r="L100" s="36">
        <f>L99+Table114[[#This Row],[اجمالي الفاتوره]]-Table114[[#This Row],[الدفعات]]</f>
        <v>1055860.3799999999</v>
      </c>
      <c r="N100" s="49"/>
    </row>
    <row r="101" spans="1:14" ht="25.5" customHeight="1" x14ac:dyDescent="0.3">
      <c r="B101" s="37"/>
      <c r="J101" s="36">
        <f>Table114[[#This Row],[النولون]]+Table114[[#This Row],[الايصالات]]+Table114[[#This Row],[قيمة مضافة]]</f>
        <v>0</v>
      </c>
      <c r="L101" s="36">
        <f>L100+Table114[[#This Row],[اجمالي الفاتوره]]-Table114[[#This Row],[الدفعات]]</f>
        <v>1055860.3799999999</v>
      </c>
      <c r="N101" s="49"/>
    </row>
    <row r="102" spans="1:14" ht="25.5" customHeight="1" x14ac:dyDescent="0.3">
      <c r="A102" s="49"/>
      <c r="B102" s="52"/>
      <c r="C102" s="49"/>
      <c r="D102" s="49"/>
      <c r="E102" s="49"/>
      <c r="F102" s="49"/>
      <c r="G102" s="49"/>
      <c r="H102" s="49"/>
      <c r="I102" s="49"/>
      <c r="J102" s="36">
        <f>Table114[[#This Row],[النولون]]+Table114[[#This Row],[الايصالات]]+Table114[[#This Row],[قيمة مضافة]]</f>
        <v>0</v>
      </c>
      <c r="K102" s="49"/>
      <c r="L102" s="36">
        <f>L101+Table114[[#This Row],[اجمالي الفاتوره]]-Table114[[#This Row],[الدفعات]]</f>
        <v>1055860.3799999999</v>
      </c>
      <c r="M102" s="49"/>
      <c r="N102" s="49"/>
    </row>
    <row r="103" spans="1:14" ht="25.5" customHeight="1" x14ac:dyDescent="0.3">
      <c r="B103" s="37"/>
      <c r="J103" s="36">
        <f>Table114[[#This Row],[النولون]]+Table114[[#This Row],[الايصالات]]+Table114[[#This Row],[قيمة مضافة]]</f>
        <v>0</v>
      </c>
      <c r="L103" s="36">
        <f>L102+Table114[[#This Row],[اجمالي الفاتوره]]-Table114[[#This Row],[الدفعات]]</f>
        <v>1055860.3799999999</v>
      </c>
      <c r="N103" s="49"/>
    </row>
    <row r="104" spans="1:14" ht="25.5" customHeight="1" x14ac:dyDescent="0.3">
      <c r="B104" s="37"/>
      <c r="J104" s="36">
        <f>Table114[[#This Row],[النولون]]+Table114[[#This Row],[الايصالات]]+Table114[[#This Row],[قيمة مضافة]]</f>
        <v>0</v>
      </c>
      <c r="L104" s="36">
        <f>L103+Table114[[#This Row],[اجمالي الفاتوره]]-Table114[[#This Row],[الدفعات]]</f>
        <v>1055860.3799999999</v>
      </c>
      <c r="N104" s="49"/>
    </row>
    <row r="105" spans="1:14" ht="25.5" customHeight="1" x14ac:dyDescent="0.3">
      <c r="B105" s="37"/>
      <c r="J105" s="36">
        <f>Table114[[#This Row],[النولون]]+Table114[[#This Row],[الايصالات]]+Table114[[#This Row],[قيمة مضافة]]</f>
        <v>0</v>
      </c>
      <c r="L105" s="36">
        <f>L104+Table114[[#This Row],[اجمالي الفاتوره]]-Table114[[#This Row],[الدفعات]]</f>
        <v>1055860.3799999999</v>
      </c>
      <c r="N105" s="49"/>
    </row>
    <row r="106" spans="1:14" ht="25.5" customHeight="1" x14ac:dyDescent="0.3">
      <c r="B106" s="37"/>
      <c r="J106" s="36">
        <f>Table114[[#This Row],[النولون]]+Table114[[#This Row],[الايصالات]]+Table114[[#This Row],[قيمة مضافة]]</f>
        <v>0</v>
      </c>
      <c r="L106" s="36">
        <f>L105+Table114[[#This Row],[اجمالي الفاتوره]]-Table114[[#This Row],[الدفعات]]</f>
        <v>1055860.3799999999</v>
      </c>
      <c r="N106" s="49"/>
    </row>
    <row r="107" spans="1:14" ht="25.5" customHeight="1" x14ac:dyDescent="0.3">
      <c r="B107" s="37"/>
      <c r="J107" s="36">
        <f>Table114[[#This Row],[النولون]]+Table114[[#This Row],[الايصالات]]+Table114[[#This Row],[قيمة مضافة]]</f>
        <v>0</v>
      </c>
      <c r="L107" s="36">
        <f>L106+Table114[[#This Row],[اجمالي الفاتوره]]-Table114[[#This Row],[الدفعات]]</f>
        <v>1055860.3799999999</v>
      </c>
      <c r="N107" s="49"/>
    </row>
    <row r="108" spans="1:14" ht="25.5" customHeight="1" x14ac:dyDescent="0.3">
      <c r="B108" s="37"/>
      <c r="J108" s="36">
        <f>Table114[[#This Row],[النولون]]+Table114[[#This Row],[الايصالات]]+Table114[[#This Row],[قيمة مضافة]]</f>
        <v>0</v>
      </c>
      <c r="L108" s="36">
        <f>L107+Table114[[#This Row],[اجمالي الفاتوره]]-Table114[[#This Row],[الدفعات]]</f>
        <v>1055860.3799999999</v>
      </c>
      <c r="N108" s="49"/>
    </row>
    <row r="109" spans="1:14" ht="25.5" customHeight="1" x14ac:dyDescent="0.3">
      <c r="A109" s="49"/>
      <c r="B109" s="52"/>
      <c r="C109" s="49"/>
      <c r="D109" s="49"/>
      <c r="E109" s="49"/>
      <c r="F109" s="49"/>
      <c r="G109" s="49"/>
      <c r="H109" s="49"/>
      <c r="I109" s="49"/>
      <c r="J109" s="36">
        <f>Table114[[#This Row],[النولون]]+Table114[[#This Row],[الايصالات]]+Table114[[#This Row],[قيمة مضافة]]</f>
        <v>0</v>
      </c>
      <c r="K109" s="49"/>
      <c r="L109" s="36">
        <f>L108+Table114[[#This Row],[اجمالي الفاتوره]]-Table114[[#This Row],[الدفعات]]</f>
        <v>1055860.3799999999</v>
      </c>
      <c r="M109" s="49"/>
      <c r="N109" s="49"/>
    </row>
    <row r="110" spans="1:14" ht="25.5" customHeight="1" x14ac:dyDescent="0.3">
      <c r="B110" s="37"/>
      <c r="J110" s="36">
        <f>Table114[[#This Row],[النولون]]+Table114[[#This Row],[الايصالات]]+Table114[[#This Row],[قيمة مضافة]]</f>
        <v>0</v>
      </c>
      <c r="L110" s="36">
        <f>L109+Table114[[#This Row],[اجمالي الفاتوره]]-Table114[[#This Row],[الدفعات]]</f>
        <v>1055860.3799999999</v>
      </c>
      <c r="N110" s="49"/>
    </row>
    <row r="111" spans="1:14" ht="25.5" customHeight="1" x14ac:dyDescent="0.3">
      <c r="A111" s="49"/>
      <c r="B111" s="52"/>
      <c r="C111" s="49"/>
      <c r="D111" s="49"/>
      <c r="E111" s="49"/>
      <c r="F111" s="49"/>
      <c r="G111" s="49"/>
      <c r="H111" s="49"/>
      <c r="I111" s="49"/>
      <c r="J111" s="36">
        <f>Table114[[#This Row],[النولون]]+Table114[[#This Row],[الايصالات]]+Table114[[#This Row],[قيمة مضافة]]</f>
        <v>0</v>
      </c>
      <c r="K111" s="49"/>
      <c r="L111" s="36">
        <f>L110+Table114[[#This Row],[اجمالي الفاتوره]]-Table114[[#This Row],[الدفعات]]</f>
        <v>1055860.3799999999</v>
      </c>
      <c r="M111" s="49"/>
      <c r="N111" s="49"/>
    </row>
    <row r="112" spans="1:14" ht="25.5" customHeight="1" x14ac:dyDescent="0.3">
      <c r="B112" s="37"/>
      <c r="J112" s="36">
        <f>Table114[[#This Row],[النولون]]+Table114[[#This Row],[الايصالات]]+Table114[[#This Row],[قيمة مضافة]]</f>
        <v>0</v>
      </c>
      <c r="L112" s="36">
        <f>L111+Table114[[#This Row],[اجمالي الفاتوره]]-Table114[[#This Row],[الدفعات]]</f>
        <v>1055860.3799999999</v>
      </c>
      <c r="N112" s="49"/>
    </row>
    <row r="113" spans="2:14" ht="25.5" customHeight="1" x14ac:dyDescent="0.3">
      <c r="B113" s="37"/>
      <c r="J113" s="36">
        <f>Table114[[#This Row],[النولون]]+Table114[[#This Row],[الايصالات]]+Table114[[#This Row],[قيمة مضافة]]</f>
        <v>0</v>
      </c>
      <c r="L113" s="36">
        <f>L112+Table114[[#This Row],[اجمالي الفاتوره]]-Table114[[#This Row],[الدفعات]]</f>
        <v>1055860.3799999999</v>
      </c>
      <c r="N113" s="49"/>
    </row>
    <row r="114" spans="2:14" ht="25.5" customHeight="1" x14ac:dyDescent="0.3">
      <c r="B114" s="37"/>
      <c r="J114" s="36">
        <f>Table114[[#This Row],[النولون]]+Table114[[#This Row],[الايصالات]]+Table114[[#This Row],[قيمة مضافة]]</f>
        <v>0</v>
      </c>
      <c r="L114" s="36">
        <f>L113+Table114[[#This Row],[اجمالي الفاتوره]]-Table114[[#This Row],[الدفعات]]</f>
        <v>1055860.3799999999</v>
      </c>
      <c r="N114" s="49"/>
    </row>
    <row r="115" spans="2:14" ht="25.5" customHeight="1" x14ac:dyDescent="0.3">
      <c r="B115" s="37"/>
      <c r="J115" s="36">
        <f>Table114[[#This Row],[النولون]]+Table114[[#This Row],[الايصالات]]+Table114[[#This Row],[قيمة مضافة]]</f>
        <v>0</v>
      </c>
      <c r="L115" s="36">
        <f>L114+Table114[[#This Row],[اجمالي الفاتوره]]-Table114[[#This Row],[الدفعات]]</f>
        <v>1055860.3799999999</v>
      </c>
      <c r="N115" s="49"/>
    </row>
    <row r="116" spans="2:14" ht="25.5" customHeight="1" x14ac:dyDescent="0.3">
      <c r="B116" s="37"/>
      <c r="J116" s="36">
        <f>Table114[[#This Row],[النولون]]+Table114[[#This Row],[الايصالات]]+Table114[[#This Row],[قيمة مضافة]]</f>
        <v>0</v>
      </c>
      <c r="L116" s="36">
        <f>L115+Table114[[#This Row],[اجمالي الفاتوره]]-Table114[[#This Row],[الدفعات]]</f>
        <v>1055860.3799999999</v>
      </c>
      <c r="N116" s="49"/>
    </row>
    <row r="117" spans="2:14" ht="25.5" customHeight="1" x14ac:dyDescent="0.3">
      <c r="B117" s="37"/>
      <c r="J117" s="36">
        <f>Table114[[#This Row],[النولون]]+Table114[[#This Row],[الايصالات]]+Table114[[#This Row],[قيمة مضافة]]</f>
        <v>0</v>
      </c>
      <c r="L117" s="36">
        <f>L116+Table114[[#This Row],[اجمالي الفاتوره]]-Table114[[#This Row],[الدفعات]]</f>
        <v>1055860.3799999999</v>
      </c>
      <c r="N117" s="49"/>
    </row>
    <row r="118" spans="2:14" ht="25.5" customHeight="1" x14ac:dyDescent="0.3">
      <c r="B118" s="37"/>
      <c r="J118" s="36">
        <f>Table114[[#This Row],[النولون]]+Table114[[#This Row],[الايصالات]]+Table114[[#This Row],[قيمة مضافة]]</f>
        <v>0</v>
      </c>
      <c r="L118" s="36">
        <f>L117+Table114[[#This Row],[اجمالي الفاتوره]]-Table114[[#This Row],[الدفعات]]</f>
        <v>1055860.3799999999</v>
      </c>
      <c r="N118" s="49"/>
    </row>
    <row r="119" spans="2:14" ht="25.5" customHeight="1" x14ac:dyDescent="0.3">
      <c r="B119" s="37"/>
      <c r="J119" s="36">
        <f>Table114[[#This Row],[النولون]]+Table114[[#This Row],[الايصالات]]+Table114[[#This Row],[قيمة مضافة]]</f>
        <v>0</v>
      </c>
      <c r="L119" s="36">
        <f>L118+Table114[[#This Row],[اجمالي الفاتوره]]-Table114[[#This Row],[الدفعات]]</f>
        <v>1055860.3799999999</v>
      </c>
      <c r="N119" s="49"/>
    </row>
    <row r="120" spans="2:14" ht="25.5" customHeight="1" x14ac:dyDescent="0.3">
      <c r="B120" s="37"/>
      <c r="J120" s="36">
        <f>Table114[[#This Row],[النولون]]+Table114[[#This Row],[الايصالات]]+Table114[[#This Row],[قيمة مضافة]]</f>
        <v>0</v>
      </c>
      <c r="L120" s="36">
        <f>L119+Table114[[#This Row],[اجمالي الفاتوره]]-Table114[[#This Row],[الدفعات]]</f>
        <v>1055860.3799999999</v>
      </c>
      <c r="N120" s="49"/>
    </row>
    <row r="121" spans="2:14" ht="25.5" customHeight="1" x14ac:dyDescent="0.3">
      <c r="B121" s="37"/>
      <c r="J121" s="36">
        <f>Table114[[#This Row],[النولون]]+Table114[[#This Row],[الايصالات]]+Table114[[#This Row],[قيمة مضافة]]</f>
        <v>0</v>
      </c>
      <c r="L121" s="36">
        <f>L120+Table114[[#This Row],[اجمالي الفاتوره]]-Table114[[#This Row],[الدفعات]]</f>
        <v>1055860.3799999999</v>
      </c>
      <c r="N121" s="49"/>
    </row>
    <row r="122" spans="2:14" ht="25.5" customHeight="1" x14ac:dyDescent="0.3">
      <c r="B122" s="37"/>
      <c r="J122" s="36">
        <f>Table114[[#This Row],[النولون]]+Table114[[#This Row],[الايصالات]]+Table114[[#This Row],[قيمة مضافة]]</f>
        <v>0</v>
      </c>
      <c r="L122" s="36">
        <f>L121+Table114[[#This Row],[اجمالي الفاتوره]]-Table114[[#This Row],[الدفعات]]</f>
        <v>1055860.3799999999</v>
      </c>
      <c r="N122" s="49"/>
    </row>
    <row r="123" spans="2:14" ht="25.5" customHeight="1" x14ac:dyDescent="0.3">
      <c r="B123" s="37"/>
      <c r="J123" s="36">
        <f>Table114[[#This Row],[النولون]]+Table114[[#This Row],[الايصالات]]+Table114[[#This Row],[قيمة مضافة]]</f>
        <v>0</v>
      </c>
      <c r="L123" s="36">
        <f>L122+Table114[[#This Row],[اجمالي الفاتوره]]-Table114[[#This Row],[الدفعات]]</f>
        <v>1055860.3799999999</v>
      </c>
      <c r="N123" s="49"/>
    </row>
    <row r="124" spans="2:14" ht="25.5" customHeight="1" x14ac:dyDescent="0.3">
      <c r="B124" s="37"/>
      <c r="J124" s="36">
        <f>Table114[[#This Row],[النولون]]+Table114[[#This Row],[الايصالات]]+Table114[[#This Row],[قيمة مضافة]]</f>
        <v>0</v>
      </c>
      <c r="L124" s="36">
        <f>L123+Table114[[#This Row],[اجمالي الفاتوره]]-Table114[[#This Row],[الدفعات]]</f>
        <v>1055860.3799999999</v>
      </c>
      <c r="N124" s="49"/>
    </row>
    <row r="125" spans="2:14" ht="25.5" customHeight="1" x14ac:dyDescent="0.3">
      <c r="B125" s="37"/>
      <c r="J125" s="36">
        <f>Table114[[#This Row],[النولون]]+Table114[[#This Row],[الايصالات]]+Table114[[#This Row],[قيمة مضافة]]</f>
        <v>0</v>
      </c>
      <c r="L125" s="36">
        <f>L124+Table114[[#This Row],[اجمالي الفاتوره]]-Table114[[#This Row],[الدفعات]]</f>
        <v>1055860.3799999999</v>
      </c>
      <c r="N125" s="49"/>
    </row>
    <row r="126" spans="2:14" ht="25.5" customHeight="1" x14ac:dyDescent="0.3">
      <c r="B126" s="37"/>
      <c r="J126" s="36">
        <f>Table114[[#This Row],[النولون]]+Table114[[#This Row],[الايصالات]]+Table114[[#This Row],[قيمة مضافة]]</f>
        <v>0</v>
      </c>
      <c r="L126" s="36">
        <f>L125+Table114[[#This Row],[اجمالي الفاتوره]]-Table114[[#This Row],[الدفعات]]</f>
        <v>1055860.3799999999</v>
      </c>
      <c r="N126" s="49"/>
    </row>
    <row r="127" spans="2:14" ht="25.5" customHeight="1" x14ac:dyDescent="0.3">
      <c r="B127" s="37"/>
      <c r="J127" s="36">
        <f>Table114[[#This Row],[النولون]]+Table114[[#This Row],[الايصالات]]+Table114[[#This Row],[قيمة مضافة]]</f>
        <v>0</v>
      </c>
      <c r="L127" s="36">
        <f>L126+Table114[[#This Row],[اجمالي الفاتوره]]-Table114[[#This Row],[الدفعات]]</f>
        <v>1055860.3799999999</v>
      </c>
      <c r="N127" s="49"/>
    </row>
    <row r="128" spans="2:14" ht="25.5" customHeight="1" x14ac:dyDescent="0.3">
      <c r="B128" s="37"/>
      <c r="J128" s="36">
        <f>Table114[[#This Row],[النولون]]+Table114[[#This Row],[الايصالات]]+Table114[[#This Row],[قيمة مضافة]]</f>
        <v>0</v>
      </c>
      <c r="L128" s="36">
        <f>L127+Table114[[#This Row],[اجمالي الفاتوره]]-Table114[[#This Row],[الدفعات]]</f>
        <v>1055860.3799999999</v>
      </c>
      <c r="N128" s="49"/>
    </row>
    <row r="129" spans="2:14" ht="25.5" customHeight="1" x14ac:dyDescent="0.3">
      <c r="B129" s="37"/>
      <c r="J129" s="36">
        <f>Table114[[#This Row],[النولون]]+Table114[[#This Row],[الايصالات]]+Table114[[#This Row],[قيمة مضافة]]</f>
        <v>0</v>
      </c>
      <c r="L129" s="36">
        <f>L128+Table114[[#This Row],[اجمالي الفاتوره]]-Table114[[#This Row],[الدفعات]]</f>
        <v>1055860.3799999999</v>
      </c>
      <c r="N129" s="49"/>
    </row>
    <row r="130" spans="2:14" ht="25.5" customHeight="1" x14ac:dyDescent="0.3">
      <c r="B130" s="37"/>
      <c r="J130" s="36">
        <f>Table114[[#This Row],[النولون]]+Table114[[#This Row],[الايصالات]]+Table114[[#This Row],[قيمة مضافة]]</f>
        <v>0</v>
      </c>
      <c r="L130" s="36">
        <f>L129+Table114[[#This Row],[اجمالي الفاتوره]]-Table114[[#This Row],[الدفعات]]</f>
        <v>1055860.3799999999</v>
      </c>
      <c r="N130" s="49"/>
    </row>
    <row r="131" spans="2:14" ht="25.5" customHeight="1" x14ac:dyDescent="0.3">
      <c r="B131" s="37"/>
      <c r="J131" s="36">
        <f>Table114[[#This Row],[النولون]]+Table114[[#This Row],[الايصالات]]+Table114[[#This Row],[قيمة مضافة]]</f>
        <v>0</v>
      </c>
      <c r="L131" s="36">
        <f>L130+Table114[[#This Row],[اجمالي الفاتوره]]-Table114[[#This Row],[الدفعات]]</f>
        <v>1055860.3799999999</v>
      </c>
      <c r="N131" s="49"/>
    </row>
    <row r="132" spans="2:14" ht="25.5" customHeight="1" x14ac:dyDescent="0.3">
      <c r="B132" s="37"/>
      <c r="J132" s="36">
        <f>Table114[[#This Row],[النولون]]+Table114[[#This Row],[الايصالات]]+Table114[[#This Row],[قيمة مضافة]]</f>
        <v>0</v>
      </c>
      <c r="L132" s="36">
        <f>L131+Table114[[#This Row],[اجمالي الفاتوره]]-Table114[[#This Row],[الدفعات]]</f>
        <v>1055860.3799999999</v>
      </c>
      <c r="N132" s="49"/>
    </row>
    <row r="133" spans="2:14" ht="25.5" customHeight="1" x14ac:dyDescent="0.3">
      <c r="B133" s="37"/>
      <c r="J133" s="36">
        <f>Table114[[#This Row],[النولون]]+Table114[[#This Row],[الايصالات]]+Table114[[#This Row],[قيمة مضافة]]</f>
        <v>0</v>
      </c>
      <c r="L133" s="36">
        <f>L132+Table114[[#This Row],[اجمالي الفاتوره]]-Table114[[#This Row],[الدفعات]]</f>
        <v>1055860.3799999999</v>
      </c>
      <c r="N133" s="49"/>
    </row>
    <row r="134" spans="2:14" ht="25.5" customHeight="1" x14ac:dyDescent="0.3">
      <c r="B134" s="37"/>
      <c r="J134" s="36">
        <f>Table114[[#This Row],[النولون]]+Table114[[#This Row],[الايصالات]]+Table114[[#This Row],[قيمة مضافة]]</f>
        <v>0</v>
      </c>
      <c r="L134" s="36">
        <f>L133+Table114[[#This Row],[اجمالي الفاتوره]]-Table114[[#This Row],[الدفعات]]</f>
        <v>1055860.3799999999</v>
      </c>
      <c r="N134" s="49"/>
    </row>
    <row r="135" spans="2:14" ht="25.5" customHeight="1" x14ac:dyDescent="0.3">
      <c r="B135" s="37"/>
      <c r="J135" s="36">
        <f>Table114[[#This Row],[النولون]]+Table114[[#This Row],[الايصالات]]+Table114[[#This Row],[قيمة مضافة]]</f>
        <v>0</v>
      </c>
      <c r="L135" s="36">
        <f>L134+Table114[[#This Row],[اجمالي الفاتوره]]-Table114[[#This Row],[الدفعات]]</f>
        <v>1055860.3799999999</v>
      </c>
      <c r="N135" s="49"/>
    </row>
    <row r="136" spans="2:14" ht="25.5" customHeight="1" x14ac:dyDescent="0.3">
      <c r="B136" s="37"/>
      <c r="J136" s="36">
        <f>Table114[[#This Row],[النولون]]+Table114[[#This Row],[الايصالات]]+Table114[[#This Row],[قيمة مضافة]]</f>
        <v>0</v>
      </c>
      <c r="L136" s="36">
        <f>L135+Table114[[#This Row],[اجمالي الفاتوره]]-Table114[[#This Row],[الدفعات]]</f>
        <v>1055860.3799999999</v>
      </c>
      <c r="N136" s="49"/>
    </row>
    <row r="137" spans="2:14" ht="25.5" customHeight="1" x14ac:dyDescent="0.3">
      <c r="B137" s="37"/>
      <c r="J137" s="36">
        <f>Table114[[#This Row],[النولون]]+Table114[[#This Row],[الايصالات]]+Table114[[#This Row],[قيمة مضافة]]</f>
        <v>0</v>
      </c>
      <c r="L137" s="36">
        <f>L136+Table114[[#This Row],[اجمالي الفاتوره]]-Table114[[#This Row],[الدفعات]]</f>
        <v>1055860.3799999999</v>
      </c>
      <c r="N137" s="49"/>
    </row>
    <row r="138" spans="2:14" ht="25.5" customHeight="1" x14ac:dyDescent="0.3">
      <c r="B138" s="37"/>
      <c r="J138" s="36">
        <f>Table114[[#This Row],[النولون]]+Table114[[#This Row],[الايصالات]]+Table114[[#This Row],[قيمة مضافة]]</f>
        <v>0</v>
      </c>
      <c r="L138" s="36">
        <f>L137+Table114[[#This Row],[اجمالي الفاتوره]]-Table114[[#This Row],[الدفعات]]</f>
        <v>1055860.3799999999</v>
      </c>
      <c r="N138" s="49"/>
    </row>
    <row r="139" spans="2:14" ht="25.5" customHeight="1" x14ac:dyDescent="0.3">
      <c r="B139" s="37"/>
      <c r="J139" s="36">
        <f>Table114[[#This Row],[النولون]]+Table114[[#This Row],[الايصالات]]+Table114[[#This Row],[قيمة مضافة]]</f>
        <v>0</v>
      </c>
      <c r="L139" s="36">
        <f>L138+Table114[[#This Row],[اجمالي الفاتوره]]-Table114[[#This Row],[الدفعات]]</f>
        <v>1055860.3799999999</v>
      </c>
      <c r="N139" s="49"/>
    </row>
    <row r="140" spans="2:14" ht="25.5" customHeight="1" x14ac:dyDescent="0.3">
      <c r="B140" s="37"/>
      <c r="J140" s="36">
        <f>Table114[[#This Row],[النولون]]+Table114[[#This Row],[الايصالات]]+Table114[[#This Row],[قيمة مضافة]]</f>
        <v>0</v>
      </c>
      <c r="L140" s="36">
        <f>L139+Table114[[#This Row],[اجمالي الفاتوره]]-Table114[[#This Row],[الدفعات]]</f>
        <v>1055860.3799999999</v>
      </c>
      <c r="N140" s="49"/>
    </row>
    <row r="141" spans="2:14" ht="25.5" customHeight="1" x14ac:dyDescent="0.3">
      <c r="B141" s="37"/>
      <c r="J141" s="36">
        <f>Table114[[#This Row],[النولون]]+Table114[[#This Row],[الايصالات]]+Table114[[#This Row],[قيمة مضافة]]</f>
        <v>0</v>
      </c>
      <c r="L141" s="36">
        <f>L140+Table114[[#This Row],[اجمالي الفاتوره]]-Table114[[#This Row],[الدفعات]]</f>
        <v>1055860.3799999999</v>
      </c>
      <c r="N141" s="49"/>
    </row>
    <row r="142" spans="2:14" ht="25.5" customHeight="1" x14ac:dyDescent="0.3">
      <c r="B142" s="37"/>
      <c r="J142" s="36">
        <f>Table114[[#This Row],[النولون]]+Table114[[#This Row],[الايصالات]]+Table114[[#This Row],[قيمة مضافة]]</f>
        <v>0</v>
      </c>
      <c r="L142" s="36">
        <f>L141+Table114[[#This Row],[اجمالي الفاتوره]]-Table114[[#This Row],[الدفعات]]</f>
        <v>1055860.3799999999</v>
      </c>
      <c r="N142" s="49"/>
    </row>
    <row r="143" spans="2:14" ht="25.5" customHeight="1" x14ac:dyDescent="0.3">
      <c r="B143" s="37"/>
      <c r="J143" s="36">
        <f>Table114[[#This Row],[النولون]]+Table114[[#This Row],[الايصالات]]+Table114[[#This Row],[قيمة مضافة]]</f>
        <v>0</v>
      </c>
      <c r="L143" s="36">
        <f>L142+Table114[[#This Row],[اجمالي الفاتوره]]-Table114[[#This Row],[الدفعات]]</f>
        <v>1055860.3799999999</v>
      </c>
      <c r="N143" s="49"/>
    </row>
    <row r="144" spans="2:14" ht="25.5" customHeight="1" x14ac:dyDescent="0.3">
      <c r="B144" s="37"/>
      <c r="J144" s="36">
        <f>Table114[[#This Row],[النولون]]+Table114[[#This Row],[الايصالات]]+Table114[[#This Row],[قيمة مضافة]]</f>
        <v>0</v>
      </c>
      <c r="L144" s="36">
        <f>L143+Table114[[#This Row],[اجمالي الفاتوره]]-Table114[[#This Row],[الدفعات]]</f>
        <v>1055860.3799999999</v>
      </c>
      <c r="N144" s="49"/>
    </row>
    <row r="145" spans="2:14" ht="25.5" customHeight="1" x14ac:dyDescent="0.3">
      <c r="B145" s="37"/>
      <c r="J145" s="36">
        <f>Table114[[#This Row],[النولون]]+Table114[[#This Row],[الايصالات]]+Table114[[#This Row],[قيمة مضافة]]</f>
        <v>0</v>
      </c>
      <c r="L145" s="36">
        <f>L144+Table114[[#This Row],[اجمالي الفاتوره]]-Table114[[#This Row],[الدفعات]]</f>
        <v>1055860.3799999999</v>
      </c>
      <c r="N145" s="49"/>
    </row>
    <row r="146" spans="2:14" ht="25.5" customHeight="1" x14ac:dyDescent="0.3">
      <c r="B146" s="37"/>
      <c r="J146" s="36">
        <f>Table114[[#This Row],[النولون]]+Table114[[#This Row],[الايصالات]]+Table114[[#This Row],[قيمة مضافة]]</f>
        <v>0</v>
      </c>
      <c r="L146" s="36">
        <f>L145+Table114[[#This Row],[اجمالي الفاتوره]]-Table114[[#This Row],[الدفعات]]</f>
        <v>1055860.3799999999</v>
      </c>
      <c r="N146" s="49"/>
    </row>
    <row r="147" spans="2:14" ht="25.5" customHeight="1" x14ac:dyDescent="0.3">
      <c r="B147" s="37"/>
      <c r="J147" s="36">
        <f>Table114[[#This Row],[النولون]]+Table114[[#This Row],[الايصالات]]+Table114[[#This Row],[قيمة مضافة]]</f>
        <v>0</v>
      </c>
      <c r="L147" s="36">
        <f>L146+Table114[[#This Row],[اجمالي الفاتوره]]-Table114[[#This Row],[الدفعات]]</f>
        <v>1055860.3799999999</v>
      </c>
      <c r="N147" s="49"/>
    </row>
    <row r="148" spans="2:14" ht="25.5" customHeight="1" x14ac:dyDescent="0.3">
      <c r="B148" s="37"/>
      <c r="J148" s="36">
        <f>Table114[[#This Row],[النولون]]+Table114[[#This Row],[الايصالات]]+Table114[[#This Row],[قيمة مضافة]]</f>
        <v>0</v>
      </c>
      <c r="L148" s="36">
        <f>L147+Table114[[#This Row],[اجمالي الفاتوره]]-Table114[[#This Row],[الدفعات]]</f>
        <v>1055860.3799999999</v>
      </c>
      <c r="N148" s="49"/>
    </row>
    <row r="149" spans="2:14" ht="25.5" customHeight="1" x14ac:dyDescent="0.3">
      <c r="B149" s="37"/>
      <c r="J149" s="36">
        <f>Table114[[#This Row],[النولون]]+Table114[[#This Row],[الايصالات]]+Table114[[#This Row],[قيمة مضافة]]</f>
        <v>0</v>
      </c>
      <c r="L149" s="36">
        <f>L148+Table114[[#This Row],[اجمالي الفاتوره]]-Table114[[#This Row],[الدفعات]]</f>
        <v>1055860.3799999999</v>
      </c>
      <c r="N149" s="49"/>
    </row>
    <row r="150" spans="2:14" ht="25.5" customHeight="1" x14ac:dyDescent="0.3">
      <c r="B150" s="37"/>
      <c r="J150" s="36">
        <f>Table114[[#This Row],[النولون]]+Table114[[#This Row],[الايصالات]]+Table114[[#This Row],[قيمة مضافة]]</f>
        <v>0</v>
      </c>
      <c r="L150" s="36">
        <f>L149+Table114[[#This Row],[اجمالي الفاتوره]]-Table114[[#This Row],[الدفعات]]</f>
        <v>1055860.3799999999</v>
      </c>
      <c r="N150" s="49"/>
    </row>
    <row r="151" spans="2:14" ht="25.5" customHeight="1" x14ac:dyDescent="0.3">
      <c r="B151" s="37"/>
      <c r="J151" s="36">
        <f>Table114[[#This Row],[النولون]]+Table114[[#This Row],[الايصالات]]+Table114[[#This Row],[قيمة مضافة]]</f>
        <v>0</v>
      </c>
      <c r="L151" s="36">
        <f>L150+Table114[[#This Row],[اجمالي الفاتوره]]-Table114[[#This Row],[الدفعات]]</f>
        <v>1055860.3799999999</v>
      </c>
      <c r="N151" s="49"/>
    </row>
    <row r="152" spans="2:14" ht="25.5" customHeight="1" x14ac:dyDescent="0.3">
      <c r="B152" s="37"/>
      <c r="J152" s="36">
        <f>Table114[[#This Row],[النولون]]+Table114[[#This Row],[الايصالات]]+Table114[[#This Row],[قيمة مضافة]]</f>
        <v>0</v>
      </c>
      <c r="L152" s="36">
        <f>L151+Table114[[#This Row],[اجمالي الفاتوره]]-Table114[[#This Row],[الدفعات]]</f>
        <v>1055860.3799999999</v>
      </c>
      <c r="N152" s="49"/>
    </row>
    <row r="153" spans="2:14" ht="25.5" customHeight="1" x14ac:dyDescent="0.3">
      <c r="B153" s="37"/>
      <c r="J153" s="36">
        <f>Table114[[#This Row],[النولون]]+Table114[[#This Row],[الايصالات]]+Table114[[#This Row],[قيمة مضافة]]</f>
        <v>0</v>
      </c>
      <c r="L153" s="36">
        <f>L152+Table114[[#This Row],[اجمالي الفاتوره]]-Table114[[#This Row],[الدفعات]]</f>
        <v>1055860.3799999999</v>
      </c>
      <c r="N153" s="49"/>
    </row>
    <row r="154" spans="2:14" ht="25.5" customHeight="1" x14ac:dyDescent="0.3">
      <c r="B154" s="37"/>
      <c r="J154" s="36">
        <f>Table114[[#This Row],[النولون]]+Table114[[#This Row],[الايصالات]]+Table114[[#This Row],[قيمة مضافة]]</f>
        <v>0</v>
      </c>
      <c r="L154" s="36">
        <f>L153+Table114[[#This Row],[اجمالي الفاتوره]]-Table114[[#This Row],[الدفعات]]</f>
        <v>1055860.3799999999</v>
      </c>
      <c r="N154" s="49"/>
    </row>
    <row r="155" spans="2:14" ht="25.5" customHeight="1" x14ac:dyDescent="0.3">
      <c r="B155" s="37"/>
      <c r="J155" s="36">
        <f>Table114[[#This Row],[النولون]]+Table114[[#This Row],[الايصالات]]+Table114[[#This Row],[قيمة مضافة]]</f>
        <v>0</v>
      </c>
      <c r="L155" s="36">
        <f>L154+Table114[[#This Row],[اجمالي الفاتوره]]-Table114[[#This Row],[الدفعات]]</f>
        <v>1055860.3799999999</v>
      </c>
      <c r="N155" s="49"/>
    </row>
    <row r="156" spans="2:14" ht="25.5" customHeight="1" x14ac:dyDescent="0.3">
      <c r="B156" s="37"/>
      <c r="J156" s="36">
        <f>Table114[[#This Row],[النولون]]+Table114[[#This Row],[الايصالات]]+Table114[[#This Row],[قيمة مضافة]]</f>
        <v>0</v>
      </c>
      <c r="L156" s="36">
        <f>L155+Table114[[#This Row],[اجمالي الفاتوره]]-Table114[[#This Row],[الدفعات]]</f>
        <v>1055860.3799999999</v>
      </c>
      <c r="N156" s="49"/>
    </row>
    <row r="157" spans="2:14" ht="25.5" customHeight="1" x14ac:dyDescent="0.3">
      <c r="B157" s="37"/>
      <c r="J157" s="36">
        <f>Table114[[#This Row],[النولون]]+Table114[[#This Row],[الايصالات]]+Table114[[#This Row],[قيمة مضافة]]</f>
        <v>0</v>
      </c>
      <c r="L157" s="36">
        <f>L156+Table114[[#This Row],[اجمالي الفاتوره]]-Table114[[#This Row],[الدفعات]]</f>
        <v>1055860.3799999999</v>
      </c>
      <c r="N157" s="49"/>
    </row>
    <row r="158" spans="2:14" ht="25.5" customHeight="1" x14ac:dyDescent="0.3">
      <c r="B158" s="37"/>
      <c r="J158" s="36">
        <f>Table114[[#This Row],[النولون]]+Table114[[#This Row],[الايصالات]]+Table114[[#This Row],[قيمة مضافة]]</f>
        <v>0</v>
      </c>
      <c r="L158" s="36">
        <f>L157+Table114[[#This Row],[اجمالي الفاتوره]]-Table114[[#This Row],[الدفعات]]</f>
        <v>1055860.3799999999</v>
      </c>
      <c r="N158" s="49"/>
    </row>
    <row r="159" spans="2:14" ht="25.5" customHeight="1" x14ac:dyDescent="0.3">
      <c r="B159" s="37"/>
      <c r="J159" s="36">
        <f>Table114[[#This Row],[النولون]]+Table114[[#This Row],[الايصالات]]+Table114[[#This Row],[قيمة مضافة]]</f>
        <v>0</v>
      </c>
      <c r="L159" s="36">
        <f>L158+Table114[[#This Row],[اجمالي الفاتوره]]-Table114[[#This Row],[الدفعات]]</f>
        <v>1055860.3799999999</v>
      </c>
      <c r="N159" s="49"/>
    </row>
    <row r="160" spans="2:14" ht="25.5" customHeight="1" x14ac:dyDescent="0.3">
      <c r="B160" s="37"/>
      <c r="J160" s="36">
        <f>Table114[[#This Row],[النولون]]+Table114[[#This Row],[الايصالات]]+Table114[[#This Row],[قيمة مضافة]]</f>
        <v>0</v>
      </c>
      <c r="L160" s="36">
        <f>L159+Table114[[#This Row],[اجمالي الفاتوره]]-Table114[[#This Row],[الدفعات]]</f>
        <v>1055860.3799999999</v>
      </c>
      <c r="N160" s="49"/>
    </row>
    <row r="161" spans="2:14" ht="25.5" customHeight="1" x14ac:dyDescent="0.3">
      <c r="B161" s="37"/>
      <c r="J161" s="36">
        <f>Table114[[#This Row],[النولون]]+Table114[[#This Row],[الايصالات]]+Table114[[#This Row],[قيمة مضافة]]</f>
        <v>0</v>
      </c>
      <c r="L161" s="36">
        <f>L160+Table114[[#This Row],[اجمالي الفاتوره]]-Table114[[#This Row],[الدفعات]]</f>
        <v>1055860.3799999999</v>
      </c>
      <c r="N161" s="49"/>
    </row>
    <row r="162" spans="2:14" ht="25.5" customHeight="1" x14ac:dyDescent="0.3">
      <c r="B162" s="37"/>
      <c r="J162" s="36">
        <f>Table114[[#This Row],[النولون]]+Table114[[#This Row],[الايصالات]]+Table114[[#This Row],[قيمة مضافة]]</f>
        <v>0</v>
      </c>
      <c r="L162" s="36">
        <f>L161+Table114[[#This Row],[اجمالي الفاتوره]]-Table114[[#This Row],[الدفعات]]</f>
        <v>1055860.3799999999</v>
      </c>
      <c r="N162" s="49"/>
    </row>
    <row r="163" spans="2:14" ht="25.5" customHeight="1" x14ac:dyDescent="0.3">
      <c r="B163" s="37"/>
      <c r="J163" s="36">
        <f>Table114[[#This Row],[النولون]]+Table114[[#This Row],[الايصالات]]+Table114[[#This Row],[قيمة مضافة]]</f>
        <v>0</v>
      </c>
      <c r="L163" s="36">
        <f>L162+Table114[[#This Row],[اجمالي الفاتوره]]-Table114[[#This Row],[الدفعات]]</f>
        <v>1055860.3799999999</v>
      </c>
      <c r="N163" s="49"/>
    </row>
    <row r="164" spans="2:14" ht="25.5" customHeight="1" x14ac:dyDescent="0.3">
      <c r="B164" s="37"/>
      <c r="J164" s="36">
        <f>Table114[[#This Row],[النولون]]+Table114[[#This Row],[الايصالات]]+Table114[[#This Row],[قيمة مضافة]]</f>
        <v>0</v>
      </c>
      <c r="L164" s="36">
        <f>L163+Table114[[#This Row],[اجمالي الفاتوره]]-Table114[[#This Row],[الدفعات]]</f>
        <v>1055860.3799999999</v>
      </c>
      <c r="N164" s="49"/>
    </row>
    <row r="165" spans="2:14" ht="25.5" customHeight="1" x14ac:dyDescent="0.3">
      <c r="B165" s="37"/>
      <c r="J165" s="36">
        <f>Table114[[#This Row],[النولون]]+Table114[[#This Row],[الايصالات]]+Table114[[#This Row],[قيمة مضافة]]</f>
        <v>0</v>
      </c>
      <c r="L165" s="36">
        <f>L164+Table114[[#This Row],[اجمالي الفاتوره]]-Table114[[#This Row],[الدفعات]]</f>
        <v>1055860.3799999999</v>
      </c>
      <c r="N165" s="49"/>
    </row>
    <row r="166" spans="2:14" ht="25.5" customHeight="1" x14ac:dyDescent="0.3">
      <c r="B166" s="37"/>
      <c r="J166" s="36">
        <f>Table114[[#This Row],[النولون]]+Table114[[#This Row],[الايصالات]]+Table114[[#This Row],[قيمة مضافة]]</f>
        <v>0</v>
      </c>
      <c r="L166" s="36">
        <f>L165+Table114[[#This Row],[اجمالي الفاتوره]]-Table114[[#This Row],[الدفعات]]</f>
        <v>1055860.3799999999</v>
      </c>
      <c r="N166" s="49"/>
    </row>
    <row r="167" spans="2:14" ht="25.5" customHeight="1" x14ac:dyDescent="0.3">
      <c r="B167" s="37"/>
      <c r="J167" s="36">
        <f>Table114[[#This Row],[النولون]]+Table114[[#This Row],[الايصالات]]+Table114[[#This Row],[قيمة مضافة]]</f>
        <v>0</v>
      </c>
      <c r="L167" s="36">
        <f>L166+Table114[[#This Row],[اجمالي الفاتوره]]-Table114[[#This Row],[الدفعات]]</f>
        <v>1055860.3799999999</v>
      </c>
      <c r="N167" s="49"/>
    </row>
    <row r="168" spans="2:14" ht="25.5" customHeight="1" x14ac:dyDescent="0.3">
      <c r="B168" s="37"/>
      <c r="J168" s="36">
        <f>Table114[[#This Row],[النولون]]+Table114[[#This Row],[الايصالات]]+Table114[[#This Row],[قيمة مضافة]]</f>
        <v>0</v>
      </c>
      <c r="L168" s="36">
        <f>L167+Table114[[#This Row],[اجمالي الفاتوره]]-Table114[[#This Row],[الدفعات]]</f>
        <v>1055860.3799999999</v>
      </c>
      <c r="N168" s="49"/>
    </row>
    <row r="169" spans="2:14" ht="25.5" customHeight="1" x14ac:dyDescent="0.3">
      <c r="B169" s="37"/>
      <c r="J169" s="36">
        <f>Table114[[#This Row],[النولون]]+Table114[[#This Row],[الايصالات]]+Table114[[#This Row],[قيمة مضافة]]</f>
        <v>0</v>
      </c>
      <c r="L169" s="36">
        <f>L168+Table114[[#This Row],[اجمالي الفاتوره]]-Table114[[#This Row],[الدفعات]]</f>
        <v>1055860.3799999999</v>
      </c>
      <c r="N169" s="49"/>
    </row>
    <row r="170" spans="2:14" ht="25.5" customHeight="1" x14ac:dyDescent="0.3">
      <c r="B170" s="37"/>
      <c r="J170" s="36">
        <f>Table114[[#This Row],[النولون]]+Table114[[#This Row],[الايصالات]]+Table114[[#This Row],[قيمة مضافة]]</f>
        <v>0</v>
      </c>
      <c r="L170" s="36">
        <f>L169+Table114[[#This Row],[اجمالي الفاتوره]]-Table114[[#This Row],[الدفعات]]</f>
        <v>1055860.3799999999</v>
      </c>
      <c r="N170" s="49"/>
    </row>
    <row r="171" spans="2:14" ht="25.5" customHeight="1" x14ac:dyDescent="0.3">
      <c r="B171" s="37"/>
      <c r="J171" s="36">
        <f>Table114[[#This Row],[النولون]]+Table114[[#This Row],[الايصالات]]+Table114[[#This Row],[قيمة مضافة]]</f>
        <v>0</v>
      </c>
      <c r="L171" s="36">
        <f>L170+Table114[[#This Row],[اجمالي الفاتوره]]-Table114[[#This Row],[الدفعات]]</f>
        <v>1055860.3799999999</v>
      </c>
      <c r="N171" s="49"/>
    </row>
    <row r="172" spans="2:14" ht="25.5" customHeight="1" x14ac:dyDescent="0.3">
      <c r="B172" s="37"/>
      <c r="J172" s="36">
        <f>Table114[[#This Row],[النولون]]+Table114[[#This Row],[الايصالات]]+Table114[[#This Row],[قيمة مضافة]]</f>
        <v>0</v>
      </c>
      <c r="L172" s="36">
        <f>L171+Table114[[#This Row],[اجمالي الفاتوره]]-Table114[[#This Row],[الدفعات]]</f>
        <v>1055860.3799999999</v>
      </c>
      <c r="N172" s="49"/>
    </row>
    <row r="173" spans="2:14" ht="25.5" customHeight="1" x14ac:dyDescent="0.3">
      <c r="B173" s="37"/>
      <c r="J173" s="36">
        <f>Table114[[#This Row],[النولون]]+Table114[[#This Row],[الايصالات]]+Table114[[#This Row],[قيمة مضافة]]</f>
        <v>0</v>
      </c>
      <c r="L173" s="36">
        <f>L172+Table114[[#This Row],[اجمالي الفاتوره]]-Table114[[#This Row],[الدفعات]]</f>
        <v>1055860.3799999999</v>
      </c>
      <c r="N173" s="49"/>
    </row>
    <row r="174" spans="2:14" ht="25.5" customHeight="1" x14ac:dyDescent="0.3">
      <c r="B174" s="37"/>
      <c r="J174" s="36">
        <f>Table114[[#This Row],[النولون]]+Table114[[#This Row],[الايصالات]]+Table114[[#This Row],[قيمة مضافة]]</f>
        <v>0</v>
      </c>
      <c r="L174" s="36">
        <f>L173+Table114[[#This Row],[اجمالي الفاتوره]]-Table114[[#This Row],[الدفعات]]</f>
        <v>1055860.3799999999</v>
      </c>
      <c r="N174" s="49"/>
    </row>
    <row r="175" spans="2:14" ht="25.5" customHeight="1" x14ac:dyDescent="0.3">
      <c r="B175" s="37"/>
      <c r="J175" s="36">
        <f>Table114[[#This Row],[النولون]]+Table114[[#This Row],[الايصالات]]+Table114[[#This Row],[قيمة مضافة]]</f>
        <v>0</v>
      </c>
      <c r="L175" s="36">
        <f>L174+Table114[[#This Row],[اجمالي الفاتوره]]-Table114[[#This Row],[الدفعات]]</f>
        <v>1055860.3799999999</v>
      </c>
      <c r="N175" s="49"/>
    </row>
    <row r="176" spans="2:14" ht="25.5" customHeight="1" x14ac:dyDescent="0.3">
      <c r="B176" s="37"/>
      <c r="J176" s="36">
        <f>Table114[[#This Row],[النولون]]+Table114[[#This Row],[الايصالات]]+Table114[[#This Row],[قيمة مضافة]]</f>
        <v>0</v>
      </c>
      <c r="L176" s="36">
        <f>L175+Table114[[#This Row],[اجمالي الفاتوره]]-Table114[[#This Row],[الدفعات]]</f>
        <v>1055860.3799999999</v>
      </c>
      <c r="N176" s="49"/>
    </row>
    <row r="177" spans="2:14" ht="25.5" customHeight="1" x14ac:dyDescent="0.3">
      <c r="B177" s="37"/>
      <c r="J177" s="36">
        <f>Table114[[#This Row],[النولون]]+Table114[[#This Row],[الايصالات]]+Table114[[#This Row],[قيمة مضافة]]</f>
        <v>0</v>
      </c>
      <c r="L177" s="36">
        <f>L176+Table114[[#This Row],[اجمالي الفاتوره]]-Table114[[#This Row],[الدفعات]]</f>
        <v>1055860.3799999999</v>
      </c>
      <c r="N177" s="49"/>
    </row>
    <row r="178" spans="2:14" ht="25.5" customHeight="1" x14ac:dyDescent="0.3">
      <c r="B178" s="37"/>
      <c r="J178" s="36">
        <f>Table114[[#This Row],[النولون]]+Table114[[#This Row],[الايصالات]]+Table114[[#This Row],[قيمة مضافة]]</f>
        <v>0</v>
      </c>
      <c r="L178" s="36">
        <f>L177+Table114[[#This Row],[اجمالي الفاتوره]]-Table114[[#This Row],[الدفعات]]</f>
        <v>1055860.3799999999</v>
      </c>
      <c r="N178" s="49"/>
    </row>
    <row r="179" spans="2:14" ht="25.5" customHeight="1" x14ac:dyDescent="0.3">
      <c r="B179" s="37"/>
      <c r="J179" s="36">
        <f>Table114[[#This Row],[النولون]]+Table114[[#This Row],[الايصالات]]+Table114[[#This Row],[قيمة مضافة]]</f>
        <v>0</v>
      </c>
      <c r="L179" s="36">
        <f>L178+Table114[[#This Row],[اجمالي الفاتوره]]-Table114[[#This Row],[الدفعات]]</f>
        <v>1055860.3799999999</v>
      </c>
      <c r="N179" s="49"/>
    </row>
    <row r="180" spans="2:14" ht="25.5" customHeight="1" x14ac:dyDescent="0.3">
      <c r="B180" s="37"/>
      <c r="J180" s="36">
        <f>Table114[[#This Row],[النولون]]+Table114[[#This Row],[الايصالات]]+Table114[[#This Row],[قيمة مضافة]]</f>
        <v>0</v>
      </c>
      <c r="L180" s="36">
        <f>L179+Table114[[#This Row],[اجمالي الفاتوره]]-Table114[[#This Row],[الدفعات]]</f>
        <v>1055860.3799999999</v>
      </c>
      <c r="N180" s="49"/>
    </row>
    <row r="181" spans="2:14" ht="25.5" customHeight="1" x14ac:dyDescent="0.3">
      <c r="B181" s="37"/>
      <c r="J181" s="36">
        <f>Table114[[#This Row],[النولون]]+Table114[[#This Row],[الايصالات]]+Table114[[#This Row],[قيمة مضافة]]</f>
        <v>0</v>
      </c>
      <c r="L181" s="36">
        <f>L180+Table114[[#This Row],[اجمالي الفاتوره]]-Table114[[#This Row],[الدفعات]]</f>
        <v>1055860.3799999999</v>
      </c>
      <c r="N181" s="49"/>
    </row>
    <row r="182" spans="2:14" ht="25.5" customHeight="1" x14ac:dyDescent="0.3">
      <c r="B182" s="37"/>
      <c r="J182" s="36">
        <f>Table114[[#This Row],[النولون]]+Table114[[#This Row],[الايصالات]]+Table114[[#This Row],[قيمة مضافة]]</f>
        <v>0</v>
      </c>
      <c r="L182" s="36">
        <f>L181+Table114[[#This Row],[اجمالي الفاتوره]]-Table114[[#This Row],[الدفعات]]</f>
        <v>1055860.3799999999</v>
      </c>
      <c r="N182" s="49"/>
    </row>
    <row r="183" spans="2:14" ht="25.5" customHeight="1" x14ac:dyDescent="0.3">
      <c r="B183" s="37"/>
      <c r="J183" s="36">
        <f>Table114[[#This Row],[النولون]]+Table114[[#This Row],[الايصالات]]+Table114[[#This Row],[قيمة مضافة]]</f>
        <v>0</v>
      </c>
      <c r="L183" s="36">
        <f>L182+Table114[[#This Row],[اجمالي الفاتوره]]-Table114[[#This Row],[الدفعات]]</f>
        <v>1055860.3799999999</v>
      </c>
      <c r="N183" s="49"/>
    </row>
    <row r="184" spans="2:14" ht="25.5" customHeight="1" x14ac:dyDescent="0.3">
      <c r="B184" s="37"/>
      <c r="J184" s="36">
        <f>Table114[[#This Row],[النولون]]+Table114[[#This Row],[الايصالات]]+Table114[[#This Row],[قيمة مضافة]]</f>
        <v>0</v>
      </c>
      <c r="L184" s="36">
        <f>L183+Table114[[#This Row],[اجمالي الفاتوره]]-Table114[[#This Row],[الدفعات]]</f>
        <v>1055860.3799999999</v>
      </c>
      <c r="N184" s="49"/>
    </row>
    <row r="185" spans="2:14" ht="25.5" customHeight="1" x14ac:dyDescent="0.3">
      <c r="B185" s="37"/>
      <c r="J185" s="36">
        <f>Table114[[#This Row],[النولون]]+Table114[[#This Row],[الايصالات]]+Table114[[#This Row],[قيمة مضافة]]</f>
        <v>0</v>
      </c>
      <c r="L185" s="36">
        <f>L184+Table114[[#This Row],[اجمالي الفاتوره]]-Table114[[#This Row],[الدفعات]]</f>
        <v>1055860.3799999999</v>
      </c>
      <c r="N185" s="49"/>
    </row>
    <row r="186" spans="2:14" ht="25.5" customHeight="1" x14ac:dyDescent="0.3">
      <c r="B186" s="37"/>
      <c r="J186" s="36">
        <f>Table114[[#This Row],[النولون]]+Table114[[#This Row],[الايصالات]]+Table114[[#This Row],[قيمة مضافة]]</f>
        <v>0</v>
      </c>
      <c r="L186" s="36">
        <f>L185+Table114[[#This Row],[اجمالي الفاتوره]]-Table114[[#This Row],[الدفعات]]</f>
        <v>1055860.3799999999</v>
      </c>
      <c r="N186" s="49"/>
    </row>
    <row r="187" spans="2:14" ht="25.5" customHeight="1" x14ac:dyDescent="0.3">
      <c r="B187" s="37"/>
      <c r="J187" s="36">
        <f>Table114[[#This Row],[النولون]]+Table114[[#This Row],[الايصالات]]+Table114[[#This Row],[قيمة مضافة]]</f>
        <v>0</v>
      </c>
      <c r="L187" s="36">
        <f>L186+Table114[[#This Row],[اجمالي الفاتوره]]-Table114[[#This Row],[الدفعات]]</f>
        <v>1055860.3799999999</v>
      </c>
      <c r="N187" s="49"/>
    </row>
    <row r="188" spans="2:14" ht="25.5" customHeight="1" x14ac:dyDescent="0.3">
      <c r="B188" s="37"/>
      <c r="J188" s="36">
        <f>Table114[[#This Row],[النولون]]+Table114[[#This Row],[الايصالات]]+Table114[[#This Row],[قيمة مضافة]]</f>
        <v>0</v>
      </c>
      <c r="L188" s="36">
        <f>L187+Table114[[#This Row],[اجمالي الفاتوره]]-Table114[[#This Row],[الدفعات]]</f>
        <v>1055860.3799999999</v>
      </c>
      <c r="N188" s="49"/>
    </row>
    <row r="189" spans="2:14" ht="25.5" customHeight="1" x14ac:dyDescent="0.3">
      <c r="B189" s="37"/>
      <c r="J189" s="36">
        <f>Table114[[#This Row],[النولون]]+Table114[[#This Row],[الايصالات]]+Table114[[#This Row],[قيمة مضافة]]</f>
        <v>0</v>
      </c>
      <c r="L189" s="36">
        <f>L188+Table114[[#This Row],[اجمالي الفاتوره]]-Table114[[#This Row],[الدفعات]]</f>
        <v>1055860.3799999999</v>
      </c>
      <c r="N189" s="49"/>
    </row>
    <row r="190" spans="2:14" ht="25.5" customHeight="1" x14ac:dyDescent="0.3">
      <c r="B190" s="37"/>
      <c r="J190" s="36">
        <f>Table114[[#This Row],[النولون]]+Table114[[#This Row],[الايصالات]]+Table114[[#This Row],[قيمة مضافة]]</f>
        <v>0</v>
      </c>
      <c r="L190" s="36">
        <f>L189+Table114[[#This Row],[اجمالي الفاتوره]]-Table114[[#This Row],[الدفعات]]</f>
        <v>1055860.3799999999</v>
      </c>
      <c r="N190" s="49"/>
    </row>
    <row r="191" spans="2:14" ht="25.5" customHeight="1" x14ac:dyDescent="0.3">
      <c r="B191" s="37"/>
      <c r="J191" s="36">
        <f>Table114[[#This Row],[النولون]]+Table114[[#This Row],[الايصالات]]+Table114[[#This Row],[قيمة مضافة]]</f>
        <v>0</v>
      </c>
      <c r="L191" s="36">
        <f>L190+Table114[[#This Row],[اجمالي الفاتوره]]-Table114[[#This Row],[الدفعات]]</f>
        <v>1055860.3799999999</v>
      </c>
      <c r="N191" s="49"/>
    </row>
    <row r="192" spans="2:14" ht="25.5" customHeight="1" x14ac:dyDescent="0.3">
      <c r="B192" s="37"/>
      <c r="J192" s="36">
        <f>Table114[[#This Row],[النولون]]+Table114[[#This Row],[الايصالات]]+Table114[[#This Row],[قيمة مضافة]]</f>
        <v>0</v>
      </c>
      <c r="L192" s="36">
        <f>L191+Table114[[#This Row],[اجمالي الفاتوره]]-Table114[[#This Row],[الدفعات]]</f>
        <v>1055860.3799999999</v>
      </c>
      <c r="N192" s="49"/>
    </row>
    <row r="193" spans="2:14" ht="25.5" customHeight="1" x14ac:dyDescent="0.3">
      <c r="B193" s="37"/>
      <c r="J193" s="36">
        <f>Table114[[#This Row],[النولون]]+Table114[[#This Row],[الايصالات]]+Table114[[#This Row],[قيمة مضافة]]</f>
        <v>0</v>
      </c>
      <c r="L193" s="36">
        <f>L192+Table114[[#This Row],[اجمالي الفاتوره]]-Table114[[#This Row],[الدفعات]]</f>
        <v>1055860.3799999999</v>
      </c>
      <c r="N193" s="49"/>
    </row>
    <row r="194" spans="2:14" ht="25.5" customHeight="1" x14ac:dyDescent="0.3">
      <c r="B194" s="37"/>
      <c r="J194" s="36">
        <f>Table114[[#This Row],[النولون]]+Table114[[#This Row],[الايصالات]]+Table114[[#This Row],[قيمة مضافة]]</f>
        <v>0</v>
      </c>
      <c r="L194" s="36">
        <f>L193+Table114[[#This Row],[اجمالي الفاتوره]]-Table114[[#This Row],[الدفعات]]</f>
        <v>1055860.3799999999</v>
      </c>
      <c r="N194" s="49"/>
    </row>
    <row r="195" spans="2:14" ht="25.5" customHeight="1" x14ac:dyDescent="0.3">
      <c r="B195" s="37"/>
      <c r="J195" s="36">
        <f>Table114[[#This Row],[النولون]]+Table114[[#This Row],[الايصالات]]+Table114[[#This Row],[قيمة مضافة]]</f>
        <v>0</v>
      </c>
      <c r="L195" s="36">
        <f>L194+Table114[[#This Row],[اجمالي الفاتوره]]-Table114[[#This Row],[الدفعات]]</f>
        <v>1055860.3799999999</v>
      </c>
      <c r="N195" s="49"/>
    </row>
    <row r="196" spans="2:14" ht="25.5" customHeight="1" x14ac:dyDescent="0.3">
      <c r="B196" s="37"/>
      <c r="J196" s="36">
        <f>Table114[[#This Row],[النولون]]+Table114[[#This Row],[الايصالات]]+Table114[[#This Row],[قيمة مضافة]]</f>
        <v>0</v>
      </c>
      <c r="L196" s="36">
        <f>L195+Table114[[#This Row],[اجمالي الفاتوره]]-Table114[[#This Row],[الدفعات]]</f>
        <v>1055860.3799999999</v>
      </c>
      <c r="N196" s="49"/>
    </row>
    <row r="197" spans="2:14" ht="25.5" customHeight="1" x14ac:dyDescent="0.3">
      <c r="B197" s="37"/>
      <c r="J197" s="36">
        <f>Table114[[#This Row],[النولون]]+Table114[[#This Row],[الايصالات]]+Table114[[#This Row],[قيمة مضافة]]</f>
        <v>0</v>
      </c>
      <c r="L197" s="36">
        <f>L196+Table114[[#This Row],[اجمالي الفاتوره]]-Table114[[#This Row],[الدفعات]]</f>
        <v>1055860.3799999999</v>
      </c>
      <c r="N197" s="49"/>
    </row>
    <row r="198" spans="2:14" ht="25.5" customHeight="1" x14ac:dyDescent="0.3">
      <c r="B198" s="37"/>
      <c r="J198" s="36">
        <f>Table114[[#This Row],[النولون]]+Table114[[#This Row],[الايصالات]]+Table114[[#This Row],[قيمة مضافة]]</f>
        <v>0</v>
      </c>
      <c r="L198" s="36">
        <f>L197+Table114[[#This Row],[اجمالي الفاتوره]]-Table114[[#This Row],[الدفعات]]</f>
        <v>1055860.3799999999</v>
      </c>
      <c r="N198" s="49"/>
    </row>
    <row r="199" spans="2:14" ht="25.5" customHeight="1" x14ac:dyDescent="0.3">
      <c r="B199" s="37"/>
      <c r="J199" s="36">
        <f>Table114[[#This Row],[النولون]]+Table114[[#This Row],[الايصالات]]+Table114[[#This Row],[قيمة مضافة]]</f>
        <v>0</v>
      </c>
      <c r="L199" s="36">
        <f>L198+Table114[[#This Row],[اجمالي الفاتوره]]-Table114[[#This Row],[الدفعات]]</f>
        <v>1055860.3799999999</v>
      </c>
      <c r="N199" s="49"/>
    </row>
    <row r="200" spans="2:14" ht="25.5" customHeight="1" x14ac:dyDescent="0.3">
      <c r="B200" s="37"/>
      <c r="J200" s="36">
        <f>Table114[[#This Row],[النولون]]+Table114[[#This Row],[الايصالات]]+Table114[[#This Row],[قيمة مضافة]]</f>
        <v>0</v>
      </c>
      <c r="L200" s="36">
        <f>L199+Table114[[#This Row],[اجمالي الفاتوره]]-Table114[[#This Row],[الدفعات]]</f>
        <v>1055860.3799999999</v>
      </c>
      <c r="N200" s="49"/>
    </row>
    <row r="201" spans="2:14" ht="25.5" customHeight="1" x14ac:dyDescent="0.3">
      <c r="B201" s="37"/>
      <c r="J201" s="36">
        <f>Table114[[#This Row],[النولون]]+Table114[[#This Row],[الايصالات]]+Table114[[#This Row],[قيمة مضافة]]</f>
        <v>0</v>
      </c>
      <c r="L201" s="36">
        <f>L200+Table114[[#This Row],[اجمالي الفاتوره]]-Table114[[#This Row],[الدفعات]]</f>
        <v>1055860.3799999999</v>
      </c>
      <c r="N201" s="49"/>
    </row>
    <row r="202" spans="2:14" ht="25.5" customHeight="1" x14ac:dyDescent="0.3">
      <c r="B202" s="37"/>
      <c r="J202" s="36">
        <f>Table114[[#This Row],[النولون]]+Table114[[#This Row],[الايصالات]]+Table114[[#This Row],[قيمة مضافة]]</f>
        <v>0</v>
      </c>
      <c r="L202" s="36">
        <f>L201+Table114[[#This Row],[اجمالي الفاتوره]]-Table114[[#This Row],[الدفعات]]</f>
        <v>1055860.3799999999</v>
      </c>
      <c r="N202" s="49"/>
    </row>
    <row r="203" spans="2:14" ht="25.5" customHeight="1" x14ac:dyDescent="0.3">
      <c r="B203" s="37"/>
      <c r="J203" s="36">
        <f>Table114[[#This Row],[النولون]]+Table114[[#This Row],[الايصالات]]+Table114[[#This Row],[قيمة مضافة]]</f>
        <v>0</v>
      </c>
      <c r="L203" s="36">
        <f>L202+Table114[[#This Row],[اجمالي الفاتوره]]-Table114[[#This Row],[الدفعات]]</f>
        <v>1055860.3799999999</v>
      </c>
      <c r="N203" s="49"/>
    </row>
    <row r="204" spans="2:14" ht="25.5" customHeight="1" x14ac:dyDescent="0.3">
      <c r="B204" s="37"/>
      <c r="J204" s="36">
        <f>Table114[[#This Row],[النولون]]+Table114[[#This Row],[الايصالات]]+Table114[[#This Row],[قيمة مضافة]]</f>
        <v>0</v>
      </c>
      <c r="L204" s="36">
        <f>L203+Table114[[#This Row],[اجمالي الفاتوره]]-Table114[[#This Row],[الدفعات]]</f>
        <v>1055860.3799999999</v>
      </c>
      <c r="N204" s="49"/>
    </row>
    <row r="205" spans="2:14" ht="25.5" customHeight="1" x14ac:dyDescent="0.3">
      <c r="B205" s="37"/>
      <c r="J205" s="36">
        <f>Table114[[#This Row],[النولون]]+Table114[[#This Row],[الايصالات]]+Table114[[#This Row],[قيمة مضافة]]</f>
        <v>0</v>
      </c>
      <c r="L205" s="36">
        <f>L204+Table114[[#This Row],[اجمالي الفاتوره]]-Table114[[#This Row],[الدفعات]]</f>
        <v>1055860.3799999999</v>
      </c>
      <c r="N205" s="49"/>
    </row>
    <row r="206" spans="2:14" ht="25.5" customHeight="1" x14ac:dyDescent="0.3">
      <c r="B206" s="37"/>
      <c r="J206" s="36">
        <f>Table114[[#This Row],[النولون]]+Table114[[#This Row],[الايصالات]]+Table114[[#This Row],[قيمة مضافة]]</f>
        <v>0</v>
      </c>
      <c r="L206" s="36">
        <f>L205+Table114[[#This Row],[اجمالي الفاتوره]]-Table114[[#This Row],[الدفعات]]</f>
        <v>1055860.3799999999</v>
      </c>
      <c r="N206" s="49"/>
    </row>
    <row r="207" spans="2:14" ht="25.5" customHeight="1" x14ac:dyDescent="0.3">
      <c r="B207" s="37"/>
      <c r="J207" s="36">
        <f>Table114[[#This Row],[النولون]]+Table114[[#This Row],[الايصالات]]+Table114[[#This Row],[قيمة مضافة]]</f>
        <v>0</v>
      </c>
      <c r="L207" s="36">
        <f>L206+Table114[[#This Row],[اجمالي الفاتوره]]-Table114[[#This Row],[الدفعات]]</f>
        <v>1055860.3799999999</v>
      </c>
      <c r="N207" s="49"/>
    </row>
    <row r="208" spans="2:14" ht="25.5" customHeight="1" x14ac:dyDescent="0.3">
      <c r="B208" s="37"/>
      <c r="J208" s="36">
        <f>Table114[[#This Row],[النولون]]+Table114[[#This Row],[الايصالات]]+Table114[[#This Row],[قيمة مضافة]]</f>
        <v>0</v>
      </c>
      <c r="L208" s="36">
        <f>L207+Table114[[#This Row],[اجمالي الفاتوره]]-Table114[[#This Row],[الدفعات]]</f>
        <v>1055860.3799999999</v>
      </c>
      <c r="N208" s="49"/>
    </row>
    <row r="209" spans="2:14" ht="25.5" customHeight="1" x14ac:dyDescent="0.3">
      <c r="B209" s="37"/>
      <c r="J209" s="36">
        <f>Table114[[#This Row],[النولون]]+Table114[[#This Row],[الايصالات]]+Table114[[#This Row],[قيمة مضافة]]</f>
        <v>0</v>
      </c>
      <c r="L209" s="36">
        <f>L208+Table114[[#This Row],[اجمالي الفاتوره]]-Table114[[#This Row],[الدفعات]]</f>
        <v>1055860.3799999999</v>
      </c>
      <c r="N209" s="49"/>
    </row>
    <row r="210" spans="2:14" ht="25.5" customHeight="1" x14ac:dyDescent="0.3">
      <c r="B210" s="37"/>
      <c r="J210" s="36">
        <f>Table114[[#This Row],[النولون]]+Table114[[#This Row],[الايصالات]]+Table114[[#This Row],[قيمة مضافة]]</f>
        <v>0</v>
      </c>
      <c r="L210" s="36">
        <f>L209+Table114[[#This Row],[اجمالي الفاتوره]]-Table114[[#This Row],[الدفعات]]</f>
        <v>1055860.3799999999</v>
      </c>
      <c r="N210" s="49"/>
    </row>
    <row r="211" spans="2:14" ht="25.5" customHeight="1" x14ac:dyDescent="0.3">
      <c r="B211" s="37"/>
      <c r="J211" s="36">
        <f>Table114[[#This Row],[النولون]]+Table114[[#This Row],[الايصالات]]+Table114[[#This Row],[قيمة مضافة]]</f>
        <v>0</v>
      </c>
      <c r="L211" s="36">
        <f>L210+Table114[[#This Row],[اجمالي الفاتوره]]-Table114[[#This Row],[الدفعات]]</f>
        <v>1055860.3799999999</v>
      </c>
      <c r="N211" s="49"/>
    </row>
    <row r="212" spans="2:14" ht="25.5" customHeight="1" x14ac:dyDescent="0.3">
      <c r="B212" s="37"/>
      <c r="J212" s="36">
        <f>Table114[[#This Row],[النولون]]+Table114[[#This Row],[الايصالات]]+Table114[[#This Row],[قيمة مضافة]]</f>
        <v>0</v>
      </c>
      <c r="L212" s="36">
        <f>L211+Table114[[#This Row],[اجمالي الفاتوره]]-Table114[[#This Row],[الدفعات]]</f>
        <v>1055860.3799999999</v>
      </c>
      <c r="N212" s="49"/>
    </row>
    <row r="213" spans="2:14" ht="25.5" customHeight="1" x14ac:dyDescent="0.3">
      <c r="B213" s="37"/>
      <c r="J213" s="36">
        <f>Table114[[#This Row],[النولون]]+Table114[[#This Row],[الايصالات]]+Table114[[#This Row],[قيمة مضافة]]</f>
        <v>0</v>
      </c>
      <c r="L213" s="36">
        <f>L212+Table114[[#This Row],[اجمالي الفاتوره]]-Table114[[#This Row],[الدفعات]]</f>
        <v>1055860.3799999999</v>
      </c>
      <c r="N213" s="49"/>
    </row>
    <row r="214" spans="2:14" ht="25.5" customHeight="1" x14ac:dyDescent="0.3">
      <c r="B214" s="37"/>
      <c r="J214" s="36">
        <f>Table114[[#This Row],[النولون]]+Table114[[#This Row],[الايصالات]]+Table114[[#This Row],[قيمة مضافة]]</f>
        <v>0</v>
      </c>
      <c r="L214" s="36">
        <f>L213+Table114[[#This Row],[اجمالي الفاتوره]]-Table114[[#This Row],[الدفعات]]</f>
        <v>1055860.3799999999</v>
      </c>
      <c r="N214" s="49"/>
    </row>
    <row r="215" spans="2:14" ht="25.5" customHeight="1" x14ac:dyDescent="0.3">
      <c r="B215" s="37"/>
      <c r="J215" s="36">
        <f>Table114[[#This Row],[النولون]]+Table114[[#This Row],[الايصالات]]+Table114[[#This Row],[قيمة مضافة]]</f>
        <v>0</v>
      </c>
      <c r="L215" s="36">
        <f>L214+Table114[[#This Row],[اجمالي الفاتوره]]-Table114[[#This Row],[الدفعات]]</f>
        <v>1055860.3799999999</v>
      </c>
      <c r="N215" s="49"/>
    </row>
    <row r="216" spans="2:14" ht="25.5" customHeight="1" x14ac:dyDescent="0.3">
      <c r="B216" s="37"/>
      <c r="J216" s="36">
        <f>Table114[[#This Row],[النولون]]+Table114[[#This Row],[الايصالات]]+Table114[[#This Row],[قيمة مضافة]]</f>
        <v>0</v>
      </c>
      <c r="L216" s="36">
        <f>L215+Table114[[#This Row],[اجمالي الفاتوره]]-Table114[[#This Row],[الدفعات]]</f>
        <v>1055860.3799999999</v>
      </c>
      <c r="N216" s="49"/>
    </row>
    <row r="217" spans="2:14" ht="25.5" customHeight="1" x14ac:dyDescent="0.3">
      <c r="B217" s="37"/>
      <c r="J217" s="36">
        <f>Table114[[#This Row],[النولون]]+Table114[[#This Row],[الايصالات]]+Table114[[#This Row],[قيمة مضافة]]</f>
        <v>0</v>
      </c>
      <c r="L217" s="36">
        <f>L216+Table114[[#This Row],[اجمالي الفاتوره]]-Table114[[#This Row],[الدفعات]]</f>
        <v>1055860.3799999999</v>
      </c>
      <c r="N217" s="49"/>
    </row>
    <row r="218" spans="2:14" ht="25.5" customHeight="1" x14ac:dyDescent="0.3">
      <c r="B218" s="37"/>
      <c r="J218" s="36">
        <f>Table114[[#This Row],[النولون]]+Table114[[#This Row],[الايصالات]]+Table114[[#This Row],[قيمة مضافة]]</f>
        <v>0</v>
      </c>
      <c r="L218" s="36">
        <f>L217+Table114[[#This Row],[اجمالي الفاتوره]]-Table114[[#This Row],[الدفعات]]</f>
        <v>1055860.3799999999</v>
      </c>
      <c r="N218" s="49"/>
    </row>
    <row r="219" spans="2:14" ht="25.5" customHeight="1" x14ac:dyDescent="0.3">
      <c r="B219" s="37"/>
      <c r="J219" s="36">
        <f>Table114[[#This Row],[النولون]]+Table114[[#This Row],[الايصالات]]+Table114[[#This Row],[قيمة مضافة]]</f>
        <v>0</v>
      </c>
      <c r="L219" s="36">
        <f>L218+Table114[[#This Row],[اجمالي الفاتوره]]-Table114[[#This Row],[الدفعات]]</f>
        <v>1055860.3799999999</v>
      </c>
      <c r="N219" s="49"/>
    </row>
    <row r="220" spans="2:14" ht="25.5" customHeight="1" x14ac:dyDescent="0.3">
      <c r="B220" s="37"/>
      <c r="J220" s="36">
        <f>Table114[[#This Row],[النولون]]+Table114[[#This Row],[الايصالات]]+Table114[[#This Row],[قيمة مضافة]]</f>
        <v>0</v>
      </c>
      <c r="L220" s="36">
        <f>L219+Table114[[#This Row],[اجمالي الفاتوره]]-Table114[[#This Row],[الدفعات]]</f>
        <v>1055860.3799999999</v>
      </c>
      <c r="N220" s="49"/>
    </row>
    <row r="221" spans="2:14" ht="25.5" customHeight="1" x14ac:dyDescent="0.3">
      <c r="B221" s="37"/>
      <c r="J221" s="36">
        <f>Table114[[#This Row],[النولون]]+Table114[[#This Row],[الايصالات]]+Table114[[#This Row],[قيمة مضافة]]</f>
        <v>0</v>
      </c>
      <c r="L221" s="36">
        <f>L220+Table114[[#This Row],[اجمالي الفاتوره]]-Table114[[#This Row],[الدفعات]]</f>
        <v>1055860.3799999999</v>
      </c>
      <c r="N221" s="49"/>
    </row>
    <row r="222" spans="2:14" ht="25.5" customHeight="1" x14ac:dyDescent="0.3">
      <c r="B222" s="37"/>
      <c r="J222" s="36">
        <f>Table114[[#This Row],[النولون]]+Table114[[#This Row],[الايصالات]]+Table114[[#This Row],[قيمة مضافة]]</f>
        <v>0</v>
      </c>
      <c r="L222" s="36">
        <f>L221+Table114[[#This Row],[اجمالي الفاتوره]]-Table114[[#This Row],[الدفعات]]</f>
        <v>1055860.3799999999</v>
      </c>
      <c r="N222" s="49"/>
    </row>
    <row r="223" spans="2:14" ht="25.5" customHeight="1" x14ac:dyDescent="0.3">
      <c r="B223" s="37"/>
      <c r="J223" s="36">
        <f>Table114[[#This Row],[النولون]]+Table114[[#This Row],[الايصالات]]+Table114[[#This Row],[قيمة مضافة]]</f>
        <v>0</v>
      </c>
      <c r="L223" s="36">
        <f>L222+Table114[[#This Row],[اجمالي الفاتوره]]-Table114[[#This Row],[الدفعات]]</f>
        <v>1055860.3799999999</v>
      </c>
      <c r="N223" s="49"/>
    </row>
    <row r="224" spans="2:14" ht="25.5" customHeight="1" x14ac:dyDescent="0.3">
      <c r="B224" s="37"/>
      <c r="J224" s="36">
        <f>Table114[[#This Row],[النولون]]+Table114[[#This Row],[الايصالات]]+Table114[[#This Row],[قيمة مضافة]]</f>
        <v>0</v>
      </c>
      <c r="L224" s="36">
        <f>L223+Table114[[#This Row],[اجمالي الفاتوره]]-Table114[[#This Row],[الدفعات]]</f>
        <v>1055860.3799999999</v>
      </c>
      <c r="N224" s="49"/>
    </row>
    <row r="225" spans="2:14" ht="25.5" customHeight="1" x14ac:dyDescent="0.3">
      <c r="B225" s="37"/>
      <c r="J225" s="36">
        <f>Table114[[#This Row],[النولون]]+Table114[[#This Row],[الايصالات]]+Table114[[#This Row],[قيمة مضافة]]</f>
        <v>0</v>
      </c>
      <c r="L225" s="36">
        <f>L224+Table114[[#This Row],[اجمالي الفاتوره]]-Table114[[#This Row],[الدفعات]]</f>
        <v>1055860.3799999999</v>
      </c>
      <c r="N225" s="49"/>
    </row>
    <row r="226" spans="2:14" ht="25.5" customHeight="1" x14ac:dyDescent="0.3">
      <c r="B226" s="37"/>
      <c r="J226" s="36">
        <f>Table114[[#This Row],[النولون]]+Table114[[#This Row],[الايصالات]]+Table114[[#This Row],[قيمة مضافة]]</f>
        <v>0</v>
      </c>
      <c r="L226" s="36">
        <f>L225+Table114[[#This Row],[اجمالي الفاتوره]]-Table114[[#This Row],[الدفعات]]</f>
        <v>1055860.3799999999</v>
      </c>
      <c r="N226" s="49"/>
    </row>
    <row r="227" spans="2:14" ht="25.5" customHeight="1" x14ac:dyDescent="0.3">
      <c r="B227" s="37"/>
      <c r="J227" s="36">
        <f>Table114[[#This Row],[النولون]]+Table114[[#This Row],[الايصالات]]+Table114[[#This Row],[قيمة مضافة]]</f>
        <v>0</v>
      </c>
      <c r="L227" s="36">
        <f>L226+Table114[[#This Row],[اجمالي الفاتوره]]-Table114[[#This Row],[الدفعات]]</f>
        <v>1055860.3799999999</v>
      </c>
      <c r="N227" s="49"/>
    </row>
    <row r="228" spans="2:14" ht="25.5" customHeight="1" x14ac:dyDescent="0.3">
      <c r="B228" s="37"/>
      <c r="J228" s="36">
        <f>Table114[[#This Row],[النولون]]+Table114[[#This Row],[الايصالات]]+Table114[[#This Row],[قيمة مضافة]]</f>
        <v>0</v>
      </c>
      <c r="L228" s="36">
        <f>L227+Table114[[#This Row],[اجمالي الفاتوره]]-Table114[[#This Row],[الدفعات]]</f>
        <v>1055860.3799999999</v>
      </c>
      <c r="N228" s="49"/>
    </row>
    <row r="229" spans="2:14" ht="25.5" customHeight="1" x14ac:dyDescent="0.3">
      <c r="B229" s="37"/>
      <c r="J229" s="36">
        <f>Table114[[#This Row],[النولون]]+Table114[[#This Row],[الايصالات]]+Table114[[#This Row],[قيمة مضافة]]</f>
        <v>0</v>
      </c>
      <c r="L229" s="36">
        <f>L228+Table114[[#This Row],[اجمالي الفاتوره]]-Table114[[#This Row],[الدفعات]]</f>
        <v>1055860.3799999999</v>
      </c>
      <c r="N229" s="49"/>
    </row>
    <row r="230" spans="2:14" ht="25.5" customHeight="1" x14ac:dyDescent="0.3">
      <c r="B230" s="37"/>
      <c r="J230" s="36">
        <f>Table114[[#This Row],[النولون]]+Table114[[#This Row],[الايصالات]]+Table114[[#This Row],[قيمة مضافة]]</f>
        <v>0</v>
      </c>
      <c r="L230" s="36">
        <f>L229+Table114[[#This Row],[اجمالي الفاتوره]]-Table114[[#This Row],[الدفعات]]</f>
        <v>1055860.3799999999</v>
      </c>
      <c r="N230" s="49"/>
    </row>
    <row r="231" spans="2:14" ht="25.5" customHeight="1" x14ac:dyDescent="0.3">
      <c r="B231" s="37"/>
      <c r="J231" s="36">
        <f>Table114[[#This Row],[النولون]]+Table114[[#This Row],[الايصالات]]+Table114[[#This Row],[قيمة مضافة]]</f>
        <v>0</v>
      </c>
      <c r="L231" s="36">
        <f>L230+Table114[[#This Row],[اجمالي الفاتوره]]-Table114[[#This Row],[الدفعات]]</f>
        <v>1055860.3799999999</v>
      </c>
      <c r="N231" s="49"/>
    </row>
    <row r="232" spans="2:14" ht="25.5" customHeight="1" x14ac:dyDescent="0.3">
      <c r="B232" s="37"/>
      <c r="J232" s="36">
        <f>Table114[[#This Row],[النولون]]+Table114[[#This Row],[الايصالات]]+Table114[[#This Row],[قيمة مضافة]]</f>
        <v>0</v>
      </c>
      <c r="L232" s="36">
        <f>L231+Table114[[#This Row],[اجمالي الفاتوره]]-Table114[[#This Row],[الدفعات]]</f>
        <v>1055860.3799999999</v>
      </c>
      <c r="N232" s="49"/>
    </row>
    <row r="233" spans="2:14" ht="25.5" customHeight="1" x14ac:dyDescent="0.3">
      <c r="B233" s="37"/>
      <c r="J233" s="36">
        <f>Table114[[#This Row],[النولون]]+Table114[[#This Row],[الايصالات]]+Table114[[#This Row],[قيمة مضافة]]</f>
        <v>0</v>
      </c>
      <c r="L233" s="36">
        <f>L232+Table114[[#This Row],[اجمالي الفاتوره]]-Table114[[#This Row],[الدفعات]]</f>
        <v>1055860.3799999999</v>
      </c>
      <c r="N233" s="49"/>
    </row>
    <row r="234" spans="2:14" ht="25.5" customHeight="1" x14ac:dyDescent="0.3">
      <c r="B234" s="37"/>
      <c r="J234" s="36">
        <f>Table114[[#This Row],[النولون]]+Table114[[#This Row],[الايصالات]]+Table114[[#This Row],[قيمة مضافة]]</f>
        <v>0</v>
      </c>
      <c r="L234" s="36">
        <f>L233+Table114[[#This Row],[اجمالي الفاتوره]]-Table114[[#This Row],[الدفعات]]</f>
        <v>1055860.3799999999</v>
      </c>
      <c r="N234" s="49"/>
    </row>
    <row r="235" spans="2:14" ht="25.5" customHeight="1" x14ac:dyDescent="0.3">
      <c r="B235" s="37"/>
      <c r="J235" s="36">
        <f>Table114[[#This Row],[النولون]]+Table114[[#This Row],[الايصالات]]+Table114[[#This Row],[قيمة مضافة]]</f>
        <v>0</v>
      </c>
      <c r="L235" s="36">
        <f>L234+Table114[[#This Row],[اجمالي الفاتوره]]-Table114[[#This Row],[الدفعات]]</f>
        <v>1055860.3799999999</v>
      </c>
      <c r="N235" s="49"/>
    </row>
    <row r="236" spans="2:14" ht="25.5" customHeight="1" x14ac:dyDescent="0.3">
      <c r="B236" s="37"/>
      <c r="J236" s="36">
        <f>Table114[[#This Row],[النولون]]+Table114[[#This Row],[الايصالات]]+Table114[[#This Row],[قيمة مضافة]]</f>
        <v>0</v>
      </c>
      <c r="L236" s="36">
        <f>L235+Table114[[#This Row],[اجمالي الفاتوره]]-Table114[[#This Row],[الدفعات]]</f>
        <v>1055860.3799999999</v>
      </c>
      <c r="N236" s="49"/>
    </row>
    <row r="237" spans="2:14" ht="25.5" customHeight="1" x14ac:dyDescent="0.3">
      <c r="B237" s="37"/>
      <c r="J237" s="36">
        <f>Table114[[#This Row],[النولون]]+Table114[[#This Row],[الايصالات]]+Table114[[#This Row],[قيمة مضافة]]</f>
        <v>0</v>
      </c>
      <c r="L237" s="36">
        <f>L236+Table114[[#This Row],[اجمالي الفاتوره]]-Table114[[#This Row],[الدفعات]]</f>
        <v>1055860.3799999999</v>
      </c>
      <c r="N237" s="49"/>
    </row>
    <row r="238" spans="2:14" ht="25.5" customHeight="1" x14ac:dyDescent="0.3">
      <c r="B238" s="37"/>
      <c r="J238" s="36">
        <f>Table114[[#This Row],[النولون]]+Table114[[#This Row],[الايصالات]]+Table114[[#This Row],[قيمة مضافة]]</f>
        <v>0</v>
      </c>
      <c r="L238" s="36">
        <f>L237+Table114[[#This Row],[اجمالي الفاتوره]]-Table114[[#This Row],[الدفعات]]</f>
        <v>1055860.3799999999</v>
      </c>
      <c r="N238" s="49"/>
    </row>
    <row r="239" spans="2:14" ht="25.5" customHeight="1" x14ac:dyDescent="0.3">
      <c r="B239" s="37"/>
      <c r="J239" s="36">
        <f>Table114[[#This Row],[النولون]]+Table114[[#This Row],[الايصالات]]+Table114[[#This Row],[قيمة مضافة]]</f>
        <v>0</v>
      </c>
      <c r="L239" s="36">
        <f>L238+Table114[[#This Row],[اجمالي الفاتوره]]-Table114[[#This Row],[الدفعات]]</f>
        <v>1055860.3799999999</v>
      </c>
      <c r="N239" s="49"/>
    </row>
    <row r="240" spans="2:14" ht="25.5" customHeight="1" x14ac:dyDescent="0.3">
      <c r="B240" s="37"/>
      <c r="J240" s="36">
        <f>Table114[[#This Row],[النولون]]+Table114[[#This Row],[الايصالات]]+Table114[[#This Row],[قيمة مضافة]]</f>
        <v>0</v>
      </c>
      <c r="L240" s="36">
        <f>L239+Table114[[#This Row],[اجمالي الفاتوره]]-Table114[[#This Row],[الدفعات]]</f>
        <v>1055860.3799999999</v>
      </c>
      <c r="N240" s="49"/>
    </row>
    <row r="241" spans="2:14" ht="25.5" customHeight="1" x14ac:dyDescent="0.3">
      <c r="B241" s="37"/>
      <c r="J241" s="36">
        <f>Table114[[#This Row],[النولون]]+Table114[[#This Row],[الايصالات]]+Table114[[#This Row],[قيمة مضافة]]</f>
        <v>0</v>
      </c>
      <c r="L241" s="36">
        <f>L240+Table114[[#This Row],[اجمالي الفاتوره]]-Table114[[#This Row],[الدفعات]]</f>
        <v>1055860.3799999999</v>
      </c>
      <c r="N241" s="49"/>
    </row>
    <row r="242" spans="2:14" ht="25.5" customHeight="1" x14ac:dyDescent="0.3">
      <c r="B242" s="37"/>
      <c r="J242" s="36">
        <f>Table114[[#This Row],[النولون]]+Table114[[#This Row],[الايصالات]]+Table114[[#This Row],[قيمة مضافة]]</f>
        <v>0</v>
      </c>
      <c r="L242" s="36">
        <f>L241+Table114[[#This Row],[اجمالي الفاتوره]]-Table114[[#This Row],[الدفعات]]</f>
        <v>1055860.3799999999</v>
      </c>
      <c r="N242" s="49"/>
    </row>
    <row r="243" spans="2:14" ht="25.5" customHeight="1" x14ac:dyDescent="0.3">
      <c r="B243" s="37"/>
      <c r="J243" s="36">
        <f>Table114[[#This Row],[النولون]]+Table114[[#This Row],[الايصالات]]+Table114[[#This Row],[قيمة مضافة]]</f>
        <v>0</v>
      </c>
      <c r="L243" s="36">
        <f>L242+Table114[[#This Row],[اجمالي الفاتوره]]-Table114[[#This Row],[الدفعات]]</f>
        <v>1055860.3799999999</v>
      </c>
      <c r="N243" s="49"/>
    </row>
    <row r="244" spans="2:14" ht="25.5" customHeight="1" x14ac:dyDescent="0.3">
      <c r="B244" s="37"/>
      <c r="J244" s="36">
        <f>Table114[[#This Row],[النولون]]+Table114[[#This Row],[الايصالات]]+Table114[[#This Row],[قيمة مضافة]]</f>
        <v>0</v>
      </c>
      <c r="L244" s="36">
        <f>L243+Table114[[#This Row],[اجمالي الفاتوره]]-Table114[[#This Row],[الدفعات]]</f>
        <v>1055860.3799999999</v>
      </c>
      <c r="N244" s="49"/>
    </row>
    <row r="245" spans="2:14" ht="25.5" customHeight="1" x14ac:dyDescent="0.3">
      <c r="B245" s="37"/>
      <c r="J245" s="36">
        <f>Table114[[#This Row],[النولون]]+Table114[[#This Row],[الايصالات]]+Table114[[#This Row],[قيمة مضافة]]</f>
        <v>0</v>
      </c>
      <c r="L245" s="36">
        <f>L244+Table114[[#This Row],[اجمالي الفاتوره]]-Table114[[#This Row],[الدفعات]]</f>
        <v>1055860.3799999999</v>
      </c>
      <c r="N245" s="49"/>
    </row>
    <row r="246" spans="2:14" ht="25.5" customHeight="1" x14ac:dyDescent="0.3">
      <c r="B246" s="37"/>
      <c r="J246" s="36">
        <f>Table114[[#This Row],[النولون]]+Table114[[#This Row],[الايصالات]]+Table114[[#This Row],[قيمة مضافة]]</f>
        <v>0</v>
      </c>
      <c r="L246" s="36">
        <f>L245+Table114[[#This Row],[اجمالي الفاتوره]]-Table114[[#This Row],[الدفعات]]</f>
        <v>1055860.3799999999</v>
      </c>
      <c r="N246" s="49"/>
    </row>
    <row r="247" spans="2:14" ht="25.5" customHeight="1" x14ac:dyDescent="0.3">
      <c r="B247" s="37"/>
      <c r="J247" s="36">
        <f>Table114[[#This Row],[النولون]]+Table114[[#This Row],[الايصالات]]+Table114[[#This Row],[قيمة مضافة]]</f>
        <v>0</v>
      </c>
      <c r="L247" s="36">
        <f>L246+Table114[[#This Row],[اجمالي الفاتوره]]-Table114[[#This Row],[الدفعات]]</f>
        <v>1055860.3799999999</v>
      </c>
      <c r="N247" s="49"/>
    </row>
    <row r="248" spans="2:14" ht="25.5" customHeight="1" x14ac:dyDescent="0.3">
      <c r="B248" s="37"/>
      <c r="J248" s="36">
        <f>Table114[[#This Row],[النولون]]+Table114[[#This Row],[الايصالات]]+Table114[[#This Row],[قيمة مضافة]]</f>
        <v>0</v>
      </c>
      <c r="L248" s="36">
        <f>L247+Table114[[#This Row],[اجمالي الفاتوره]]-Table114[[#This Row],[الدفعات]]</f>
        <v>1055860.3799999999</v>
      </c>
      <c r="N248" s="49"/>
    </row>
    <row r="249" spans="2:14" ht="25.5" customHeight="1" x14ac:dyDescent="0.3">
      <c r="B249" s="37"/>
      <c r="J249" s="36">
        <f>Table114[[#This Row],[النولون]]+Table114[[#This Row],[الايصالات]]+Table114[[#This Row],[قيمة مضافة]]</f>
        <v>0</v>
      </c>
      <c r="L249" s="36">
        <f>L248+Table114[[#This Row],[اجمالي الفاتوره]]-Table114[[#This Row],[الدفعات]]</f>
        <v>1055860.3799999999</v>
      </c>
      <c r="N249" s="49"/>
    </row>
    <row r="250" spans="2:14" ht="25.5" customHeight="1" x14ac:dyDescent="0.3">
      <c r="B250" s="37"/>
      <c r="J250" s="36">
        <f>Table114[[#This Row],[النولون]]+Table114[[#This Row],[الايصالات]]+Table114[[#This Row],[قيمة مضافة]]</f>
        <v>0</v>
      </c>
      <c r="L250" s="36">
        <f>L249+Table114[[#This Row],[اجمالي الفاتوره]]-Table114[[#This Row],[الدفعات]]</f>
        <v>1055860.3799999999</v>
      </c>
      <c r="N250" s="49"/>
    </row>
    <row r="251" spans="2:14" ht="25.5" customHeight="1" x14ac:dyDescent="0.3">
      <c r="B251" s="37"/>
      <c r="J251" s="36">
        <f>Table114[[#This Row],[النولون]]+Table114[[#This Row],[الايصالات]]+Table114[[#This Row],[قيمة مضافة]]</f>
        <v>0</v>
      </c>
      <c r="L251" s="36">
        <f>L250+Table114[[#This Row],[اجمالي الفاتوره]]-Table114[[#This Row],[الدفعات]]</f>
        <v>1055860.3799999999</v>
      </c>
      <c r="N251" s="49"/>
    </row>
    <row r="252" spans="2:14" ht="25.5" customHeight="1" x14ac:dyDescent="0.3">
      <c r="B252" s="37"/>
      <c r="J252" s="36">
        <f>Table114[[#This Row],[النولون]]+Table114[[#This Row],[الايصالات]]+Table114[[#This Row],[قيمة مضافة]]</f>
        <v>0</v>
      </c>
      <c r="L252" s="36">
        <f>L251+Table114[[#This Row],[اجمالي الفاتوره]]-Table114[[#This Row],[الدفعات]]</f>
        <v>1055860.3799999999</v>
      </c>
      <c r="N252" s="49"/>
    </row>
    <row r="253" spans="2:14" ht="25.5" customHeight="1" x14ac:dyDescent="0.3">
      <c r="B253" s="37"/>
      <c r="J253" s="36">
        <f>Table114[[#This Row],[النولون]]+Table114[[#This Row],[الايصالات]]+Table114[[#This Row],[قيمة مضافة]]</f>
        <v>0</v>
      </c>
      <c r="L253" s="36">
        <f>L252+Table114[[#This Row],[اجمالي الفاتوره]]-Table114[[#This Row],[الدفعات]]</f>
        <v>1055860.3799999999</v>
      </c>
      <c r="N253" s="49"/>
    </row>
    <row r="254" spans="2:14" ht="25.5" customHeight="1" x14ac:dyDescent="0.3">
      <c r="B254" s="37"/>
      <c r="J254" s="36">
        <f>Table114[[#This Row],[النولون]]+Table114[[#This Row],[الايصالات]]+Table114[[#This Row],[قيمة مضافة]]</f>
        <v>0</v>
      </c>
      <c r="L254" s="36">
        <f>L253+Table114[[#This Row],[اجمالي الفاتوره]]-Table114[[#This Row],[الدفعات]]</f>
        <v>1055860.3799999999</v>
      </c>
      <c r="N254" s="49"/>
    </row>
    <row r="255" spans="2:14" ht="25.5" customHeight="1" x14ac:dyDescent="0.3">
      <c r="B255" s="37"/>
      <c r="J255" s="36">
        <f>Table114[[#This Row],[النولون]]+Table114[[#This Row],[الايصالات]]+Table114[[#This Row],[قيمة مضافة]]</f>
        <v>0</v>
      </c>
      <c r="L255" s="36">
        <f>L254+Table114[[#This Row],[اجمالي الفاتوره]]-Table114[[#This Row],[الدفعات]]</f>
        <v>1055860.3799999999</v>
      </c>
      <c r="N255" s="49"/>
    </row>
    <row r="256" spans="2:14" ht="25.5" customHeight="1" x14ac:dyDescent="0.3">
      <c r="B256" s="37"/>
      <c r="J256" s="36">
        <f>Table114[[#This Row],[النولون]]+Table114[[#This Row],[الايصالات]]+Table114[[#This Row],[قيمة مضافة]]</f>
        <v>0</v>
      </c>
      <c r="L256" s="36">
        <f>L255+Table114[[#This Row],[اجمالي الفاتوره]]-Table114[[#This Row],[الدفعات]]</f>
        <v>1055860.3799999999</v>
      </c>
      <c r="N256" s="49"/>
    </row>
    <row r="257" spans="2:14" ht="25.5" customHeight="1" x14ac:dyDescent="0.3">
      <c r="B257" s="37"/>
      <c r="J257" s="36">
        <f>Table114[[#This Row],[النولون]]+Table114[[#This Row],[الايصالات]]+Table114[[#This Row],[قيمة مضافة]]</f>
        <v>0</v>
      </c>
      <c r="L257" s="36">
        <f>L256+Table114[[#This Row],[اجمالي الفاتوره]]-Table114[[#This Row],[الدفعات]]</f>
        <v>1055860.3799999999</v>
      </c>
      <c r="N257" s="49"/>
    </row>
    <row r="258" spans="2:14" ht="25.5" customHeight="1" x14ac:dyDescent="0.3">
      <c r="B258" s="37"/>
      <c r="J258" s="36">
        <f>Table114[[#This Row],[النولون]]+Table114[[#This Row],[الايصالات]]+Table114[[#This Row],[قيمة مضافة]]</f>
        <v>0</v>
      </c>
      <c r="L258" s="36">
        <f>L257+Table114[[#This Row],[اجمالي الفاتوره]]-Table114[[#This Row],[الدفعات]]</f>
        <v>1055860.3799999999</v>
      </c>
      <c r="N258" s="49"/>
    </row>
    <row r="259" spans="2:14" ht="25.5" customHeight="1" x14ac:dyDescent="0.3">
      <c r="B259" s="37"/>
      <c r="J259" s="36">
        <f>Table114[[#This Row],[النولون]]+Table114[[#This Row],[الايصالات]]+Table114[[#This Row],[قيمة مضافة]]</f>
        <v>0</v>
      </c>
      <c r="L259" s="36">
        <f>L258+Table114[[#This Row],[اجمالي الفاتوره]]-Table114[[#This Row],[الدفعات]]</f>
        <v>1055860.3799999999</v>
      </c>
      <c r="N259" s="49"/>
    </row>
    <row r="260" spans="2:14" ht="25.5" customHeight="1" x14ac:dyDescent="0.3">
      <c r="B260" s="37"/>
      <c r="J260" s="36">
        <f>Table114[[#This Row],[النولون]]+Table114[[#This Row],[الايصالات]]+Table114[[#This Row],[قيمة مضافة]]</f>
        <v>0</v>
      </c>
      <c r="L260" s="36">
        <f>L259+Table114[[#This Row],[اجمالي الفاتوره]]-Table114[[#This Row],[الدفعات]]</f>
        <v>1055860.3799999999</v>
      </c>
      <c r="N260" s="49"/>
    </row>
    <row r="261" spans="2:14" ht="25.5" customHeight="1" x14ac:dyDescent="0.3">
      <c r="B261" s="37"/>
      <c r="J261" s="36">
        <f>Table114[[#This Row],[النولون]]+Table114[[#This Row],[الايصالات]]+Table114[[#This Row],[قيمة مضافة]]</f>
        <v>0</v>
      </c>
      <c r="L261" s="36">
        <f>L260+Table114[[#This Row],[اجمالي الفاتوره]]-Table114[[#This Row],[الدفعات]]</f>
        <v>1055860.3799999999</v>
      </c>
      <c r="N261" s="49"/>
    </row>
    <row r="262" spans="2:14" ht="25.5" customHeight="1" x14ac:dyDescent="0.3">
      <c r="B262" s="37"/>
      <c r="J262" s="36">
        <f>Table114[[#This Row],[النولون]]+Table114[[#This Row],[الايصالات]]+Table114[[#This Row],[قيمة مضافة]]</f>
        <v>0</v>
      </c>
      <c r="L262" s="36">
        <f>L261+Table114[[#This Row],[اجمالي الفاتوره]]-Table114[[#This Row],[الدفعات]]</f>
        <v>1055860.3799999999</v>
      </c>
      <c r="N262" s="49"/>
    </row>
    <row r="263" spans="2:14" ht="25.5" customHeight="1" x14ac:dyDescent="0.3">
      <c r="B263" s="37"/>
      <c r="J263" s="36">
        <f>Table114[[#This Row],[النولون]]+Table114[[#This Row],[الايصالات]]+Table114[[#This Row],[قيمة مضافة]]</f>
        <v>0</v>
      </c>
      <c r="L263" s="36">
        <f>L262+Table114[[#This Row],[اجمالي الفاتوره]]-Table114[[#This Row],[الدفعات]]</f>
        <v>1055860.3799999999</v>
      </c>
      <c r="N263" s="49"/>
    </row>
    <row r="264" spans="2:14" ht="25.5" customHeight="1" x14ac:dyDescent="0.3">
      <c r="B264" s="37"/>
      <c r="J264" s="36">
        <f>Table114[[#This Row],[النولون]]+Table114[[#This Row],[الايصالات]]+Table114[[#This Row],[قيمة مضافة]]</f>
        <v>0</v>
      </c>
      <c r="L264" s="36">
        <f>L263+Table114[[#This Row],[اجمالي الفاتوره]]-Table114[[#This Row],[الدفعات]]</f>
        <v>1055860.3799999999</v>
      </c>
      <c r="N264" s="49"/>
    </row>
    <row r="265" spans="2:14" ht="25.5" customHeight="1" x14ac:dyDescent="0.3">
      <c r="B265" s="37"/>
      <c r="J265" s="36">
        <f>Table114[[#This Row],[النولون]]+Table114[[#This Row],[الايصالات]]+Table114[[#This Row],[قيمة مضافة]]</f>
        <v>0</v>
      </c>
      <c r="L265" s="36">
        <f>L264+Table114[[#This Row],[اجمالي الفاتوره]]-Table114[[#This Row],[الدفعات]]</f>
        <v>1055860.3799999999</v>
      </c>
      <c r="N265" s="49"/>
    </row>
    <row r="266" spans="2:14" ht="25.5" customHeight="1" x14ac:dyDescent="0.3">
      <c r="B266" s="37"/>
      <c r="J266" s="36">
        <f>Table114[[#This Row],[النولون]]+Table114[[#This Row],[الايصالات]]+Table114[[#This Row],[قيمة مضافة]]</f>
        <v>0</v>
      </c>
      <c r="L266" s="36">
        <f>L265+Table114[[#This Row],[اجمالي الفاتوره]]-Table114[[#This Row],[الدفعات]]</f>
        <v>1055860.3799999999</v>
      </c>
      <c r="N266" s="49"/>
    </row>
    <row r="267" spans="2:14" ht="25.5" customHeight="1" x14ac:dyDescent="0.3">
      <c r="B267" s="37"/>
      <c r="J267" s="36">
        <f>Table114[[#This Row],[النولون]]+Table114[[#This Row],[الايصالات]]+Table114[[#This Row],[قيمة مضافة]]</f>
        <v>0</v>
      </c>
      <c r="L267" s="36">
        <f>L266+Table114[[#This Row],[اجمالي الفاتوره]]-Table114[[#This Row],[الدفعات]]</f>
        <v>1055860.3799999999</v>
      </c>
      <c r="N267" s="49"/>
    </row>
    <row r="268" spans="2:14" ht="25.5" customHeight="1" x14ac:dyDescent="0.3">
      <c r="B268" s="37"/>
      <c r="J268" s="36">
        <f>Table114[[#This Row],[النولون]]+Table114[[#This Row],[الايصالات]]+Table114[[#This Row],[قيمة مضافة]]</f>
        <v>0</v>
      </c>
      <c r="L268" s="36">
        <f>L267+Table114[[#This Row],[اجمالي الفاتوره]]-Table114[[#This Row],[الدفعات]]</f>
        <v>1055860.3799999999</v>
      </c>
      <c r="N268" s="49"/>
    </row>
    <row r="269" spans="2:14" ht="25.5" customHeight="1" x14ac:dyDescent="0.3">
      <c r="B269" s="37"/>
      <c r="J269" s="36">
        <f>Table114[[#This Row],[النولون]]+Table114[[#This Row],[الايصالات]]+Table114[[#This Row],[قيمة مضافة]]</f>
        <v>0</v>
      </c>
      <c r="L269" s="36">
        <f>L268+Table114[[#This Row],[اجمالي الفاتوره]]-Table114[[#This Row],[الدفعات]]</f>
        <v>1055860.3799999999</v>
      </c>
      <c r="N269" s="49"/>
    </row>
    <row r="270" spans="2:14" ht="25.5" customHeight="1" x14ac:dyDescent="0.3">
      <c r="B270" s="37"/>
      <c r="J270" s="36">
        <f>Table114[[#This Row],[النولون]]+Table114[[#This Row],[الايصالات]]+Table114[[#This Row],[قيمة مضافة]]</f>
        <v>0</v>
      </c>
      <c r="L270" s="36">
        <f>L269+Table114[[#This Row],[اجمالي الفاتوره]]-Table114[[#This Row],[الدفعات]]</f>
        <v>1055860.3799999999</v>
      </c>
      <c r="N270" s="49"/>
    </row>
    <row r="271" spans="2:14" ht="25.5" customHeight="1" x14ac:dyDescent="0.3">
      <c r="B271" s="37"/>
      <c r="J271" s="36">
        <f>Table114[[#This Row],[النولون]]+Table114[[#This Row],[الايصالات]]+Table114[[#This Row],[قيمة مضافة]]</f>
        <v>0</v>
      </c>
      <c r="L271" s="36">
        <f>L270+Table114[[#This Row],[اجمالي الفاتوره]]-Table114[[#This Row],[الدفعات]]</f>
        <v>1055860.3799999999</v>
      </c>
      <c r="N271" s="49"/>
    </row>
    <row r="272" spans="2:14" ht="25.5" customHeight="1" x14ac:dyDescent="0.3">
      <c r="B272" s="37"/>
      <c r="J272" s="36">
        <f>Table114[[#This Row],[النولون]]+Table114[[#This Row],[الايصالات]]+Table114[[#This Row],[قيمة مضافة]]</f>
        <v>0</v>
      </c>
      <c r="L272" s="36">
        <f>L271+Table114[[#This Row],[اجمالي الفاتوره]]-Table114[[#This Row],[الدفعات]]</f>
        <v>1055860.3799999999</v>
      </c>
      <c r="N272" s="49"/>
    </row>
    <row r="273" spans="2:14" ht="25.5" customHeight="1" x14ac:dyDescent="0.3">
      <c r="B273" s="37"/>
      <c r="J273" s="36">
        <f>Table114[[#This Row],[النولون]]+Table114[[#This Row],[الايصالات]]+Table114[[#This Row],[قيمة مضافة]]</f>
        <v>0</v>
      </c>
      <c r="L273" s="36">
        <f>L272+Table114[[#This Row],[اجمالي الفاتوره]]-Table114[[#This Row],[الدفعات]]</f>
        <v>1055860.3799999999</v>
      </c>
      <c r="N273" s="49"/>
    </row>
    <row r="274" spans="2:14" ht="25.5" customHeight="1" x14ac:dyDescent="0.3">
      <c r="B274" s="37"/>
      <c r="J274" s="36">
        <f>Table114[[#This Row],[النولون]]+Table114[[#This Row],[الايصالات]]+Table114[[#This Row],[قيمة مضافة]]</f>
        <v>0</v>
      </c>
      <c r="L274" s="36">
        <f>L273+Table114[[#This Row],[اجمالي الفاتوره]]-Table114[[#This Row],[الدفعات]]</f>
        <v>1055860.3799999999</v>
      </c>
      <c r="N274" s="49"/>
    </row>
    <row r="275" spans="2:14" ht="25.5" customHeight="1" x14ac:dyDescent="0.3">
      <c r="B275" s="37"/>
      <c r="J275" s="36">
        <f>Table114[[#This Row],[النولون]]+Table114[[#This Row],[الايصالات]]+Table114[[#This Row],[قيمة مضافة]]</f>
        <v>0</v>
      </c>
      <c r="L275" s="36">
        <f>L274+Table114[[#This Row],[اجمالي الفاتوره]]-Table114[[#This Row],[الدفعات]]</f>
        <v>1055860.3799999999</v>
      </c>
      <c r="N275" s="49"/>
    </row>
    <row r="276" spans="2:14" ht="25.5" customHeight="1" x14ac:dyDescent="0.3">
      <c r="B276" s="37"/>
      <c r="J276" s="36">
        <f>Table114[[#This Row],[النولون]]+Table114[[#This Row],[الايصالات]]+Table114[[#This Row],[قيمة مضافة]]</f>
        <v>0</v>
      </c>
      <c r="L276" s="36">
        <f>L275+Table114[[#This Row],[اجمالي الفاتوره]]-Table114[[#This Row],[الدفعات]]</f>
        <v>1055860.3799999999</v>
      </c>
      <c r="N276" s="49"/>
    </row>
    <row r="277" spans="2:14" ht="25.5" customHeight="1" x14ac:dyDescent="0.3">
      <c r="B277" s="37"/>
      <c r="J277" s="36">
        <f>Table114[[#This Row],[النولون]]+Table114[[#This Row],[الايصالات]]+Table114[[#This Row],[قيمة مضافة]]</f>
        <v>0</v>
      </c>
      <c r="L277" s="36">
        <f>L276+Table114[[#This Row],[اجمالي الفاتوره]]-Table114[[#This Row],[الدفعات]]</f>
        <v>1055860.3799999999</v>
      </c>
      <c r="N277" s="49"/>
    </row>
    <row r="278" spans="2:14" ht="25.5" customHeight="1" x14ac:dyDescent="0.3">
      <c r="B278" s="37"/>
      <c r="J278" s="36">
        <f>Table114[[#This Row],[النولون]]+Table114[[#This Row],[الايصالات]]+Table114[[#This Row],[قيمة مضافة]]</f>
        <v>0</v>
      </c>
      <c r="L278" s="36">
        <f>L277+Table114[[#This Row],[اجمالي الفاتوره]]-Table114[[#This Row],[الدفعات]]</f>
        <v>1055860.3799999999</v>
      </c>
      <c r="N278" s="49"/>
    </row>
    <row r="279" spans="2:14" ht="25.5" customHeight="1" x14ac:dyDescent="0.3">
      <c r="B279" s="37"/>
      <c r="J279" s="36">
        <f>Table114[[#This Row],[النولون]]+Table114[[#This Row],[الايصالات]]+Table114[[#This Row],[قيمة مضافة]]</f>
        <v>0</v>
      </c>
      <c r="L279" s="36">
        <f>L278+Table114[[#This Row],[اجمالي الفاتوره]]-Table114[[#This Row],[الدفعات]]</f>
        <v>1055860.3799999999</v>
      </c>
      <c r="N279" s="49"/>
    </row>
    <row r="280" spans="2:14" ht="25.5" customHeight="1" x14ac:dyDescent="0.3">
      <c r="B280" s="37"/>
      <c r="J280" s="36">
        <f>Table114[[#This Row],[النولون]]+Table114[[#This Row],[الايصالات]]+Table114[[#This Row],[قيمة مضافة]]</f>
        <v>0</v>
      </c>
      <c r="L280" s="36">
        <f>L279+Table114[[#This Row],[اجمالي الفاتوره]]-Table114[[#This Row],[الدفعات]]</f>
        <v>1055860.3799999999</v>
      </c>
      <c r="N280" s="49"/>
    </row>
    <row r="281" spans="2:14" ht="25.5" customHeight="1" x14ac:dyDescent="0.3">
      <c r="B281" s="37"/>
      <c r="J281" s="36">
        <f>Table114[[#This Row],[النولون]]+Table114[[#This Row],[الايصالات]]+Table114[[#This Row],[قيمة مضافة]]</f>
        <v>0</v>
      </c>
      <c r="L281" s="36">
        <f>L280+Table114[[#This Row],[اجمالي الفاتوره]]-Table114[[#This Row],[الدفعات]]</f>
        <v>1055860.3799999999</v>
      </c>
      <c r="N281" s="49"/>
    </row>
    <row r="282" spans="2:14" ht="25.5" customHeight="1" x14ac:dyDescent="0.3">
      <c r="B282" s="37"/>
      <c r="J282" s="36">
        <f>Table114[[#This Row],[النولون]]+Table114[[#This Row],[الايصالات]]+Table114[[#This Row],[قيمة مضافة]]</f>
        <v>0</v>
      </c>
      <c r="L282" s="36">
        <f>L281+Table114[[#This Row],[اجمالي الفاتوره]]-Table114[[#This Row],[الدفعات]]</f>
        <v>1055860.3799999999</v>
      </c>
      <c r="N282" s="49"/>
    </row>
    <row r="283" spans="2:14" ht="25.5" customHeight="1" x14ac:dyDescent="0.3">
      <c r="B283" s="37"/>
      <c r="J283" s="36">
        <f>Table114[[#This Row],[النولون]]+Table114[[#This Row],[الايصالات]]+Table114[[#This Row],[قيمة مضافة]]</f>
        <v>0</v>
      </c>
      <c r="L283" s="36">
        <f>L282+Table114[[#This Row],[اجمالي الفاتوره]]-Table114[[#This Row],[الدفعات]]</f>
        <v>1055860.3799999999</v>
      </c>
      <c r="N283" s="49"/>
    </row>
    <row r="284" spans="2:14" ht="25.5" customHeight="1" x14ac:dyDescent="0.3">
      <c r="B284" s="37"/>
      <c r="J284" s="36">
        <f>Table114[[#This Row],[النولون]]+Table114[[#This Row],[الايصالات]]+Table114[[#This Row],[قيمة مضافة]]</f>
        <v>0</v>
      </c>
      <c r="L284" s="36">
        <f>L283+Table114[[#This Row],[اجمالي الفاتوره]]-Table114[[#This Row],[الدفعات]]</f>
        <v>1055860.3799999999</v>
      </c>
      <c r="N284" s="49"/>
    </row>
    <row r="285" spans="2:14" ht="25.5" customHeight="1" x14ac:dyDescent="0.3">
      <c r="B285" s="37"/>
      <c r="J285" s="36">
        <f>Table114[[#This Row],[النولون]]+Table114[[#This Row],[الايصالات]]+Table114[[#This Row],[قيمة مضافة]]</f>
        <v>0</v>
      </c>
      <c r="L285" s="36">
        <f>L284+Table114[[#This Row],[اجمالي الفاتوره]]-Table114[[#This Row],[الدفعات]]</f>
        <v>1055860.3799999999</v>
      </c>
      <c r="N285" s="49"/>
    </row>
    <row r="286" spans="2:14" ht="25.5" customHeight="1" x14ac:dyDescent="0.3">
      <c r="B286" s="37"/>
      <c r="J286" s="36">
        <f>Table114[[#This Row],[النولون]]+Table114[[#This Row],[الايصالات]]+Table114[[#This Row],[قيمة مضافة]]</f>
        <v>0</v>
      </c>
      <c r="L286" s="36">
        <f>L285+Table114[[#This Row],[اجمالي الفاتوره]]-Table114[[#This Row],[الدفعات]]</f>
        <v>1055860.3799999999</v>
      </c>
      <c r="N286" s="49"/>
    </row>
    <row r="287" spans="2:14" ht="25.5" customHeight="1" x14ac:dyDescent="0.3">
      <c r="B287" s="37"/>
      <c r="J287" s="36">
        <f>Table114[[#This Row],[النولون]]+Table114[[#This Row],[الايصالات]]+Table114[[#This Row],[قيمة مضافة]]</f>
        <v>0</v>
      </c>
      <c r="L287" s="36">
        <f>L286+Table114[[#This Row],[اجمالي الفاتوره]]-Table114[[#This Row],[الدفعات]]</f>
        <v>1055860.3799999999</v>
      </c>
      <c r="N287" s="49"/>
    </row>
    <row r="288" spans="2:14" ht="25.5" customHeight="1" x14ac:dyDescent="0.3">
      <c r="B288" s="37"/>
      <c r="J288" s="36">
        <f>Table114[[#This Row],[النولون]]+Table114[[#This Row],[الايصالات]]+Table114[[#This Row],[قيمة مضافة]]</f>
        <v>0</v>
      </c>
      <c r="L288" s="36">
        <f>L287+Table114[[#This Row],[اجمالي الفاتوره]]-Table114[[#This Row],[الدفعات]]</f>
        <v>1055860.3799999999</v>
      </c>
      <c r="N288" s="49"/>
    </row>
    <row r="289" spans="2:14" ht="25.5" customHeight="1" x14ac:dyDescent="0.3">
      <c r="B289" s="37"/>
      <c r="J289" s="36">
        <f>Table114[[#This Row],[النولون]]+Table114[[#This Row],[الايصالات]]+Table114[[#This Row],[قيمة مضافة]]</f>
        <v>0</v>
      </c>
      <c r="L289" s="36">
        <f>L288+Table114[[#This Row],[اجمالي الفاتوره]]-Table114[[#This Row],[الدفعات]]</f>
        <v>1055860.3799999999</v>
      </c>
      <c r="N289" s="49"/>
    </row>
    <row r="290" spans="2:14" ht="25.5" customHeight="1" x14ac:dyDescent="0.3">
      <c r="B290" s="37"/>
      <c r="J290" s="36">
        <f>Table114[[#This Row],[النولون]]+Table114[[#This Row],[الايصالات]]+Table114[[#This Row],[قيمة مضافة]]</f>
        <v>0</v>
      </c>
      <c r="L290" s="36">
        <f>L289+Table114[[#This Row],[اجمالي الفاتوره]]-Table114[[#This Row],[الدفعات]]</f>
        <v>1055860.3799999999</v>
      </c>
      <c r="N290" s="49"/>
    </row>
    <row r="291" spans="2:14" ht="25.5" customHeight="1" x14ac:dyDescent="0.3">
      <c r="B291" s="37"/>
      <c r="J291" s="36">
        <f>Table114[[#This Row],[النولون]]+Table114[[#This Row],[الايصالات]]+Table114[[#This Row],[قيمة مضافة]]</f>
        <v>0</v>
      </c>
      <c r="L291" s="36">
        <f>L290+Table114[[#This Row],[اجمالي الفاتوره]]-Table114[[#This Row],[الدفعات]]</f>
        <v>1055860.3799999999</v>
      </c>
      <c r="N291" s="49"/>
    </row>
    <row r="292" spans="2:14" ht="25.5" customHeight="1" x14ac:dyDescent="0.3">
      <c r="B292" s="37"/>
      <c r="J292" s="36">
        <f>Table114[[#This Row],[النولون]]+Table114[[#This Row],[الايصالات]]+Table114[[#This Row],[قيمة مضافة]]</f>
        <v>0</v>
      </c>
      <c r="L292" s="36">
        <f>L291+Table114[[#This Row],[اجمالي الفاتوره]]-Table114[[#This Row],[الدفعات]]</f>
        <v>1055860.3799999999</v>
      </c>
      <c r="N292" s="49"/>
    </row>
    <row r="293" spans="2:14" ht="25.5" customHeight="1" x14ac:dyDescent="0.3">
      <c r="B293" s="37"/>
      <c r="J293" s="36">
        <f>Table114[[#This Row],[النولون]]+Table114[[#This Row],[الايصالات]]+Table114[[#This Row],[قيمة مضافة]]</f>
        <v>0</v>
      </c>
      <c r="L293" s="36">
        <f>L292+Table114[[#This Row],[اجمالي الفاتوره]]-Table114[[#This Row],[الدفعات]]</f>
        <v>1055860.3799999999</v>
      </c>
      <c r="N293" s="49"/>
    </row>
    <row r="294" spans="2:14" ht="25.5" customHeight="1" x14ac:dyDescent="0.3">
      <c r="B294" s="37"/>
      <c r="J294" s="36">
        <f>Table114[[#This Row],[النولون]]+Table114[[#This Row],[الايصالات]]+Table114[[#This Row],[قيمة مضافة]]</f>
        <v>0</v>
      </c>
      <c r="L294" s="36">
        <f>L293+Table114[[#This Row],[اجمالي الفاتوره]]-Table114[[#This Row],[الدفعات]]</f>
        <v>1055860.3799999999</v>
      </c>
      <c r="N294" s="49"/>
    </row>
    <row r="295" spans="2:14" ht="25.5" customHeight="1" x14ac:dyDescent="0.3">
      <c r="B295" s="37"/>
      <c r="J295" s="36">
        <f>Table114[[#This Row],[النولون]]+Table114[[#This Row],[الايصالات]]+Table114[[#This Row],[قيمة مضافة]]</f>
        <v>0</v>
      </c>
      <c r="L295" s="36">
        <f>L294+Table114[[#This Row],[اجمالي الفاتوره]]-Table114[[#This Row],[الدفعات]]</f>
        <v>1055860.3799999999</v>
      </c>
      <c r="N295" s="49"/>
    </row>
    <row r="296" spans="2:14" ht="25.5" customHeight="1" x14ac:dyDescent="0.3">
      <c r="B296" s="37"/>
      <c r="J296" s="36">
        <f>Table114[[#This Row],[النولون]]+Table114[[#This Row],[الايصالات]]+Table114[[#This Row],[قيمة مضافة]]</f>
        <v>0</v>
      </c>
      <c r="L296" s="36">
        <f>L295+Table114[[#This Row],[اجمالي الفاتوره]]-Table114[[#This Row],[الدفعات]]</f>
        <v>1055860.3799999999</v>
      </c>
      <c r="N296" s="49"/>
    </row>
    <row r="297" spans="2:14" ht="25.5" customHeight="1" x14ac:dyDescent="0.3">
      <c r="B297" s="37"/>
      <c r="J297" s="36">
        <f>Table114[[#This Row],[النولون]]+Table114[[#This Row],[الايصالات]]+Table114[[#This Row],[قيمة مضافة]]</f>
        <v>0</v>
      </c>
      <c r="L297" s="36">
        <f>L296+Table114[[#This Row],[اجمالي الفاتوره]]-Table114[[#This Row],[الدفعات]]</f>
        <v>1055860.3799999999</v>
      </c>
      <c r="N297" s="49"/>
    </row>
    <row r="298" spans="2:14" ht="25.5" customHeight="1" x14ac:dyDescent="0.3">
      <c r="B298" s="37"/>
      <c r="J298" s="36">
        <f>Table114[[#This Row],[النولون]]+Table114[[#This Row],[الايصالات]]+Table114[[#This Row],[قيمة مضافة]]</f>
        <v>0</v>
      </c>
      <c r="L298" s="36">
        <f>L297+Table114[[#This Row],[اجمالي الفاتوره]]-Table114[[#This Row],[الدفعات]]</f>
        <v>1055860.3799999999</v>
      </c>
      <c r="N298" s="49"/>
    </row>
    <row r="299" spans="2:14" ht="25.5" customHeight="1" x14ac:dyDescent="0.3">
      <c r="B299" s="37"/>
      <c r="J299" s="36">
        <f>Table114[[#This Row],[النولون]]+Table114[[#This Row],[الايصالات]]+Table114[[#This Row],[قيمة مضافة]]</f>
        <v>0</v>
      </c>
      <c r="L299" s="36">
        <f>L298+Table114[[#This Row],[اجمالي الفاتوره]]-Table114[[#This Row],[الدفعات]]</f>
        <v>1055860.3799999999</v>
      </c>
      <c r="N299" s="49"/>
    </row>
    <row r="300" spans="2:14" ht="25.5" customHeight="1" x14ac:dyDescent="0.3">
      <c r="B300" s="37"/>
      <c r="J300" s="36">
        <f>Table114[[#This Row],[النولون]]+Table114[[#This Row],[الايصالات]]+Table114[[#This Row],[قيمة مضافة]]</f>
        <v>0</v>
      </c>
      <c r="L300" s="36">
        <f>L299+Table114[[#This Row],[اجمالي الفاتوره]]-Table114[[#This Row],[الدفعات]]</f>
        <v>1055860.3799999999</v>
      </c>
      <c r="N300" s="49"/>
    </row>
    <row r="301" spans="2:14" ht="25.5" customHeight="1" x14ac:dyDescent="0.3">
      <c r="B301" s="37"/>
      <c r="J301" s="36">
        <f>Table114[[#This Row],[النولون]]+Table114[[#This Row],[الايصالات]]+Table114[[#This Row],[قيمة مضافة]]</f>
        <v>0</v>
      </c>
      <c r="L301" s="36">
        <f>L300+Table114[[#This Row],[اجمالي الفاتوره]]-Table114[[#This Row],[الدفعات]]</f>
        <v>1055860.3799999999</v>
      </c>
      <c r="N301" s="49"/>
    </row>
    <row r="302" spans="2:14" ht="25.5" customHeight="1" x14ac:dyDescent="0.3">
      <c r="B302" s="37"/>
      <c r="J302" s="36">
        <f>Table114[[#This Row],[النولون]]+Table114[[#This Row],[الايصالات]]+Table114[[#This Row],[قيمة مضافة]]</f>
        <v>0</v>
      </c>
      <c r="L302" s="36">
        <f>L301+Table114[[#This Row],[اجمالي الفاتوره]]-Table114[[#This Row],[الدفعات]]</f>
        <v>1055860.3799999999</v>
      </c>
      <c r="N302" s="49"/>
    </row>
    <row r="303" spans="2:14" ht="25.5" customHeight="1" x14ac:dyDescent="0.3">
      <c r="B303" s="37"/>
      <c r="J303" s="36">
        <f>Table114[[#This Row],[النولون]]+Table114[[#This Row],[الايصالات]]+Table114[[#This Row],[قيمة مضافة]]</f>
        <v>0</v>
      </c>
      <c r="L303" s="36">
        <f>L302+Table114[[#This Row],[اجمالي الفاتوره]]-Table114[[#This Row],[الدفعات]]</f>
        <v>1055860.3799999999</v>
      </c>
      <c r="N303" s="49"/>
    </row>
    <row r="304" spans="2:14" ht="25.5" customHeight="1" x14ac:dyDescent="0.3">
      <c r="B304" s="37"/>
      <c r="J304" s="36">
        <f>Table114[[#This Row],[النولون]]+Table114[[#This Row],[الايصالات]]+Table114[[#This Row],[قيمة مضافة]]</f>
        <v>0</v>
      </c>
      <c r="L304" s="36">
        <f>L303+Table114[[#This Row],[اجمالي الفاتوره]]-Table114[[#This Row],[الدفعات]]</f>
        <v>1055860.3799999999</v>
      </c>
      <c r="N304" s="49"/>
    </row>
    <row r="305" spans="2:14" ht="25.5" customHeight="1" x14ac:dyDescent="0.3">
      <c r="B305" s="37"/>
      <c r="J305" s="36">
        <f>Table114[[#This Row],[النولون]]+Table114[[#This Row],[الايصالات]]+Table114[[#This Row],[قيمة مضافة]]</f>
        <v>0</v>
      </c>
      <c r="L305" s="36">
        <f>L304+Table114[[#This Row],[اجمالي الفاتوره]]-Table114[[#This Row],[الدفعات]]</f>
        <v>1055860.3799999999</v>
      </c>
      <c r="N305" s="49"/>
    </row>
    <row r="306" spans="2:14" ht="25.5" customHeight="1" x14ac:dyDescent="0.3">
      <c r="B306" s="37"/>
      <c r="J306" s="36">
        <f>Table114[[#This Row],[النولون]]+Table114[[#This Row],[الايصالات]]+Table114[[#This Row],[قيمة مضافة]]</f>
        <v>0</v>
      </c>
      <c r="L306" s="36">
        <f>L305+Table114[[#This Row],[اجمالي الفاتوره]]-Table114[[#This Row],[الدفعات]]</f>
        <v>1055860.3799999999</v>
      </c>
      <c r="N306" s="49"/>
    </row>
    <row r="307" spans="2:14" ht="25.5" customHeight="1" x14ac:dyDescent="0.3">
      <c r="B307" s="37"/>
      <c r="J307" s="36">
        <f>Table114[[#This Row],[النولون]]+Table114[[#This Row],[الايصالات]]+Table114[[#This Row],[قيمة مضافة]]</f>
        <v>0</v>
      </c>
      <c r="L307" s="36">
        <f>L306+Table114[[#This Row],[اجمالي الفاتوره]]-Table114[[#This Row],[الدفعات]]</f>
        <v>1055860.3799999999</v>
      </c>
      <c r="N307" s="49"/>
    </row>
    <row r="308" spans="2:14" ht="25.5" customHeight="1" x14ac:dyDescent="0.3">
      <c r="B308" s="37"/>
      <c r="J308" s="36">
        <f>Table114[[#This Row],[النولون]]+Table114[[#This Row],[الايصالات]]+Table114[[#This Row],[قيمة مضافة]]</f>
        <v>0</v>
      </c>
      <c r="L308" s="36">
        <f>L307+Table114[[#This Row],[اجمالي الفاتوره]]-Table114[[#This Row],[الدفعات]]</f>
        <v>1055860.3799999999</v>
      </c>
      <c r="N308" s="49"/>
    </row>
    <row r="309" spans="2:14" ht="25.5" customHeight="1" x14ac:dyDescent="0.3">
      <c r="B309" s="37"/>
      <c r="J309" s="36">
        <f>Table114[[#This Row],[النولون]]+Table114[[#This Row],[الايصالات]]+Table114[[#This Row],[قيمة مضافة]]</f>
        <v>0</v>
      </c>
      <c r="L309" s="36">
        <f>L308+Table114[[#This Row],[اجمالي الفاتوره]]-Table114[[#This Row],[الدفعات]]</f>
        <v>1055860.3799999999</v>
      </c>
      <c r="N309" s="49"/>
    </row>
    <row r="310" spans="2:14" ht="25.5" customHeight="1" x14ac:dyDescent="0.3">
      <c r="B310" s="37"/>
      <c r="J310" s="36">
        <f>Table114[[#This Row],[النولون]]+Table114[[#This Row],[الايصالات]]+Table114[[#This Row],[قيمة مضافة]]</f>
        <v>0</v>
      </c>
      <c r="L310" s="36">
        <f>L309+Table114[[#This Row],[اجمالي الفاتوره]]-Table114[[#This Row],[الدفعات]]</f>
        <v>1055860.3799999999</v>
      </c>
      <c r="N310" s="49"/>
    </row>
    <row r="311" spans="2:14" ht="25.5" customHeight="1" x14ac:dyDescent="0.3">
      <c r="B311" s="37"/>
      <c r="J311" s="36">
        <f>Table114[[#This Row],[النولون]]+Table114[[#This Row],[الايصالات]]+Table114[[#This Row],[قيمة مضافة]]</f>
        <v>0</v>
      </c>
      <c r="L311" s="36">
        <f>L310+Table114[[#This Row],[اجمالي الفاتوره]]-Table114[[#This Row],[الدفعات]]</f>
        <v>1055860.3799999999</v>
      </c>
      <c r="N311" s="49"/>
    </row>
    <row r="312" spans="2:14" ht="25.5" customHeight="1" x14ac:dyDescent="0.3">
      <c r="B312" s="37"/>
      <c r="J312" s="36">
        <f>Table114[[#This Row],[النولون]]+Table114[[#This Row],[الايصالات]]+Table114[[#This Row],[قيمة مضافة]]</f>
        <v>0</v>
      </c>
      <c r="L312" s="36">
        <f>L311+Table114[[#This Row],[اجمالي الفاتوره]]-Table114[[#This Row],[الدفعات]]</f>
        <v>1055860.3799999999</v>
      </c>
      <c r="N312" s="49"/>
    </row>
    <row r="313" spans="2:14" ht="25.5" customHeight="1" x14ac:dyDescent="0.3">
      <c r="B313" s="37"/>
      <c r="J313" s="36">
        <f>Table114[[#This Row],[النولون]]+Table114[[#This Row],[الايصالات]]+Table114[[#This Row],[قيمة مضافة]]</f>
        <v>0</v>
      </c>
      <c r="L313" s="36">
        <f>L312+Table114[[#This Row],[اجمالي الفاتوره]]-Table114[[#This Row],[الدفعات]]</f>
        <v>1055860.3799999999</v>
      </c>
      <c r="N313" s="49"/>
    </row>
    <row r="314" spans="2:14" ht="25.5" customHeight="1" x14ac:dyDescent="0.3">
      <c r="B314" s="37"/>
      <c r="J314" s="36">
        <f>Table114[[#This Row],[النولون]]+Table114[[#This Row],[الايصالات]]+Table114[[#This Row],[قيمة مضافة]]</f>
        <v>0</v>
      </c>
      <c r="L314" s="36">
        <f>L313+Table114[[#This Row],[اجمالي الفاتوره]]-Table114[[#This Row],[الدفعات]]</f>
        <v>1055860.3799999999</v>
      </c>
      <c r="N314" s="49"/>
    </row>
    <row r="315" spans="2:14" ht="25.5" customHeight="1" x14ac:dyDescent="0.3">
      <c r="B315" s="37"/>
      <c r="J315" s="36">
        <f>Table114[[#This Row],[النولون]]+Table114[[#This Row],[الايصالات]]+Table114[[#This Row],[قيمة مضافة]]</f>
        <v>0</v>
      </c>
      <c r="L315" s="36">
        <f>L314+Table114[[#This Row],[اجمالي الفاتوره]]-Table114[[#This Row],[الدفعات]]</f>
        <v>1055860.3799999999</v>
      </c>
      <c r="N315" s="49"/>
    </row>
    <row r="316" spans="2:14" ht="25.5" customHeight="1" x14ac:dyDescent="0.3">
      <c r="B316" s="37"/>
      <c r="J316" s="36">
        <f>Table114[[#This Row],[النولون]]+Table114[[#This Row],[الايصالات]]+Table114[[#This Row],[قيمة مضافة]]</f>
        <v>0</v>
      </c>
      <c r="L316" s="36">
        <f>L315+Table114[[#This Row],[اجمالي الفاتوره]]-Table114[[#This Row],[الدفعات]]</f>
        <v>1055860.3799999999</v>
      </c>
      <c r="N316" s="49"/>
    </row>
    <row r="317" spans="2:14" ht="25.5" customHeight="1" x14ac:dyDescent="0.3">
      <c r="B317" s="37"/>
      <c r="J317" s="36">
        <f>Table114[[#This Row],[النولون]]+Table114[[#This Row],[الايصالات]]+Table114[[#This Row],[قيمة مضافة]]</f>
        <v>0</v>
      </c>
      <c r="L317" s="36">
        <f>L316+Table114[[#This Row],[اجمالي الفاتوره]]-Table114[[#This Row],[الدفعات]]</f>
        <v>1055860.3799999999</v>
      </c>
      <c r="N317" s="49"/>
    </row>
    <row r="318" spans="2:14" ht="25.5" customHeight="1" x14ac:dyDescent="0.3">
      <c r="B318" s="37"/>
      <c r="J318" s="36">
        <f>Table114[[#This Row],[النولون]]+Table114[[#This Row],[الايصالات]]+Table114[[#This Row],[قيمة مضافة]]</f>
        <v>0</v>
      </c>
      <c r="L318" s="36">
        <f>L317+Table114[[#This Row],[اجمالي الفاتوره]]-Table114[[#This Row],[الدفعات]]</f>
        <v>1055860.3799999999</v>
      </c>
      <c r="N318" s="49"/>
    </row>
    <row r="319" spans="2:14" ht="25.5" customHeight="1" x14ac:dyDescent="0.3">
      <c r="B319" s="37"/>
      <c r="J319" s="36">
        <f>Table114[[#This Row],[النولون]]+Table114[[#This Row],[الايصالات]]+Table114[[#This Row],[قيمة مضافة]]</f>
        <v>0</v>
      </c>
      <c r="L319" s="36">
        <f>L318+Table114[[#This Row],[اجمالي الفاتوره]]-Table114[[#This Row],[الدفعات]]</f>
        <v>1055860.3799999999</v>
      </c>
      <c r="N319" s="49"/>
    </row>
    <row r="320" spans="2:14" ht="25.5" customHeight="1" x14ac:dyDescent="0.3">
      <c r="B320" s="37"/>
      <c r="J320" s="36">
        <f>Table114[[#This Row],[النولون]]+Table114[[#This Row],[الايصالات]]+Table114[[#This Row],[قيمة مضافة]]</f>
        <v>0</v>
      </c>
      <c r="L320" s="36">
        <f>L319+Table114[[#This Row],[اجمالي الفاتوره]]-Table114[[#This Row],[الدفعات]]</f>
        <v>1055860.3799999999</v>
      </c>
      <c r="N320" s="49"/>
    </row>
    <row r="321" spans="2:14" ht="25.5" customHeight="1" x14ac:dyDescent="0.3">
      <c r="B321" s="37"/>
      <c r="J321" s="36">
        <f>Table114[[#This Row],[النولون]]+Table114[[#This Row],[الايصالات]]+Table114[[#This Row],[قيمة مضافة]]</f>
        <v>0</v>
      </c>
      <c r="L321" s="36">
        <f>L320+Table114[[#This Row],[اجمالي الفاتوره]]-Table114[[#This Row],[الدفعات]]</f>
        <v>1055860.3799999999</v>
      </c>
      <c r="N321" s="49"/>
    </row>
    <row r="322" spans="2:14" ht="25.5" customHeight="1" x14ac:dyDescent="0.3">
      <c r="B322" s="37"/>
      <c r="J322" s="36">
        <f>Table114[[#This Row],[النولون]]+Table114[[#This Row],[الايصالات]]+Table114[[#This Row],[قيمة مضافة]]</f>
        <v>0</v>
      </c>
      <c r="L322" s="36">
        <f>L321+Table114[[#This Row],[اجمالي الفاتوره]]-Table114[[#This Row],[الدفعات]]</f>
        <v>1055860.3799999999</v>
      </c>
      <c r="N322" s="49"/>
    </row>
    <row r="323" spans="2:14" ht="25.5" customHeight="1" x14ac:dyDescent="0.3">
      <c r="B323" s="37"/>
      <c r="J323" s="36">
        <f>Table114[[#This Row],[النولون]]+Table114[[#This Row],[الايصالات]]+Table114[[#This Row],[قيمة مضافة]]</f>
        <v>0</v>
      </c>
      <c r="L323" s="36">
        <f>L322+Table114[[#This Row],[اجمالي الفاتوره]]-Table114[[#This Row],[الدفعات]]</f>
        <v>1055860.3799999999</v>
      </c>
      <c r="N323" s="49"/>
    </row>
    <row r="324" spans="2:14" ht="25.5" customHeight="1" x14ac:dyDescent="0.3">
      <c r="B324" s="37"/>
      <c r="J324" s="36">
        <f>Table114[[#This Row],[النولون]]+Table114[[#This Row],[الايصالات]]+Table114[[#This Row],[قيمة مضافة]]</f>
        <v>0</v>
      </c>
      <c r="L324" s="36">
        <f>L323+Table114[[#This Row],[اجمالي الفاتوره]]-Table114[[#This Row],[الدفعات]]</f>
        <v>1055860.3799999999</v>
      </c>
      <c r="N324" s="49"/>
    </row>
    <row r="325" spans="2:14" ht="25.5" customHeight="1" x14ac:dyDescent="0.3">
      <c r="B325" s="37"/>
      <c r="J325" s="36">
        <f>Table114[[#This Row],[النولون]]+Table114[[#This Row],[الايصالات]]+Table114[[#This Row],[قيمة مضافة]]</f>
        <v>0</v>
      </c>
      <c r="L325" s="36">
        <f>L324+Table114[[#This Row],[اجمالي الفاتوره]]-Table114[[#This Row],[الدفعات]]</f>
        <v>1055860.3799999999</v>
      </c>
      <c r="N325" s="49"/>
    </row>
    <row r="326" spans="2:14" ht="25.5" customHeight="1" x14ac:dyDescent="0.3">
      <c r="B326" s="37"/>
      <c r="J326" s="36">
        <f>Table114[[#This Row],[النولون]]+Table114[[#This Row],[الايصالات]]+Table114[[#This Row],[قيمة مضافة]]</f>
        <v>0</v>
      </c>
      <c r="L326" s="36">
        <f>L325+Table114[[#This Row],[اجمالي الفاتوره]]-Table114[[#This Row],[الدفعات]]</f>
        <v>1055860.3799999999</v>
      </c>
      <c r="N326" s="49"/>
    </row>
    <row r="327" spans="2:14" ht="25.5" customHeight="1" x14ac:dyDescent="0.3">
      <c r="B327" s="37"/>
      <c r="J327" s="36">
        <f>Table114[[#This Row],[النولون]]+Table114[[#This Row],[الايصالات]]+Table114[[#This Row],[قيمة مضافة]]</f>
        <v>0</v>
      </c>
      <c r="L327" s="36">
        <f>L326+Table114[[#This Row],[اجمالي الفاتوره]]-Table114[[#This Row],[الدفعات]]</f>
        <v>1055860.3799999999</v>
      </c>
      <c r="N327" s="49"/>
    </row>
    <row r="328" spans="2:14" ht="25.5" customHeight="1" x14ac:dyDescent="0.3">
      <c r="J328" s="36">
        <f>Table114[[#This Row],[النولون]]+Table114[[#This Row],[الايصالات]]+Table114[[#This Row],[قيمة مضافة]]</f>
        <v>0</v>
      </c>
      <c r="L328" s="36">
        <f>L327+Table114[[#This Row],[اجمالي الفاتوره]]-Table114[[#This Row],[الدفعات]]</f>
        <v>1055860.3799999999</v>
      </c>
      <c r="N328" s="49"/>
    </row>
    <row r="329" spans="2:14" ht="25.5" customHeight="1" x14ac:dyDescent="0.3">
      <c r="J329" s="36">
        <f>Table114[[#This Row],[النولون]]+Table114[[#This Row],[الايصالات]]+Table114[[#This Row],[قيمة مضافة]]</f>
        <v>0</v>
      </c>
      <c r="L329" s="36">
        <f>L328+Table114[[#This Row],[اجمالي الفاتوره]]-Table114[[#This Row],[الدفعات]]</f>
        <v>1055860.3799999999</v>
      </c>
      <c r="N329" s="49"/>
    </row>
    <row r="330" spans="2:14" ht="25.5" customHeight="1" x14ac:dyDescent="0.3">
      <c r="J330" s="36">
        <f>Table114[[#This Row],[النولون]]+Table114[[#This Row],[الايصالات]]+Table114[[#This Row],[قيمة مضافة]]</f>
        <v>0</v>
      </c>
      <c r="L330" s="36">
        <f>L329+Table114[[#This Row],[اجمالي الفاتوره]]-Table114[[#This Row],[الدفعات]]</f>
        <v>1055860.3799999999</v>
      </c>
      <c r="N330" s="49"/>
    </row>
    <row r="331" spans="2:14" ht="25.5" customHeight="1" x14ac:dyDescent="0.3">
      <c r="J331" s="36">
        <f>Table114[[#This Row],[النولون]]+Table114[[#This Row],[الايصالات]]+Table114[[#This Row],[قيمة مضافة]]</f>
        <v>0</v>
      </c>
      <c r="L331" s="36">
        <f>L330+Table114[[#This Row],[اجمالي الفاتوره]]-Table114[[#This Row],[الدفعات]]</f>
        <v>1055860.3799999999</v>
      </c>
      <c r="N331" s="49"/>
    </row>
    <row r="332" spans="2:14" ht="25.5" customHeight="1" x14ac:dyDescent="0.3">
      <c r="J332" s="36">
        <f>Table114[[#This Row],[النولون]]+Table114[[#This Row],[الايصالات]]+Table114[[#This Row],[قيمة مضافة]]</f>
        <v>0</v>
      </c>
      <c r="L332" s="36">
        <f>L331+Table114[[#This Row],[اجمالي الفاتوره]]-Table114[[#This Row],[الدفعات]]</f>
        <v>1055860.3799999999</v>
      </c>
      <c r="N332" s="49"/>
    </row>
    <row r="333" spans="2:14" ht="25.5" customHeight="1" x14ac:dyDescent="0.3">
      <c r="J333" s="36">
        <f>Table114[[#This Row],[النولون]]+Table114[[#This Row],[الايصالات]]+Table114[[#This Row],[قيمة مضافة]]</f>
        <v>0</v>
      </c>
      <c r="L333" s="36">
        <f>L332+Table114[[#This Row],[اجمالي الفاتوره]]-Table114[[#This Row],[الدفعات]]</f>
        <v>1055860.3799999999</v>
      </c>
      <c r="N333" s="49"/>
    </row>
    <row r="334" spans="2:14" ht="25.5" customHeight="1" x14ac:dyDescent="0.3">
      <c r="J334" s="36">
        <f>Table114[[#This Row],[النولون]]+Table114[[#This Row],[الايصالات]]+Table114[[#This Row],[قيمة مضافة]]</f>
        <v>0</v>
      </c>
      <c r="L334" s="36">
        <f>L333+Table114[[#This Row],[اجمالي الفاتوره]]-Table114[[#This Row],[الدفعات]]</f>
        <v>1055860.3799999999</v>
      </c>
      <c r="N334" s="49"/>
    </row>
    <row r="335" spans="2:14" ht="25.5" customHeight="1" x14ac:dyDescent="0.3">
      <c r="J335" s="36">
        <f>Table114[[#This Row],[النولون]]+Table114[[#This Row],[الايصالات]]+Table114[[#This Row],[قيمة مضافة]]</f>
        <v>0</v>
      </c>
      <c r="L335" s="36">
        <f>L334+Table114[[#This Row],[اجمالي الفاتوره]]-Table114[[#This Row],[الدفعات]]</f>
        <v>1055860.3799999999</v>
      </c>
      <c r="N335" s="49"/>
    </row>
    <row r="336" spans="2:14" ht="25.5" customHeight="1" x14ac:dyDescent="0.3">
      <c r="J336" s="36">
        <f>Table114[[#This Row],[النولون]]+Table114[[#This Row],[الايصالات]]+Table114[[#This Row],[قيمة مضافة]]</f>
        <v>0</v>
      </c>
      <c r="L336" s="36">
        <f>L335+Table114[[#This Row],[اجمالي الفاتوره]]-Table114[[#This Row],[الدفعات]]</f>
        <v>1055860.3799999999</v>
      </c>
      <c r="N336" s="49"/>
    </row>
    <row r="337" spans="10:14" ht="25.5" customHeight="1" x14ac:dyDescent="0.3">
      <c r="J337" s="36">
        <f>Table114[[#This Row],[النولون]]+Table114[[#This Row],[الايصالات]]+Table114[[#This Row],[قيمة مضافة]]</f>
        <v>0</v>
      </c>
      <c r="L337" s="36">
        <f>L336+Table114[[#This Row],[اجمالي الفاتوره]]-Table114[[#This Row],[الدفعات]]</f>
        <v>1055860.3799999999</v>
      </c>
      <c r="N337" s="49"/>
    </row>
    <row r="338" spans="10:14" ht="25.5" customHeight="1" x14ac:dyDescent="0.3">
      <c r="J338" s="36">
        <f>Table114[[#This Row],[النولون]]+Table114[[#This Row],[الايصالات]]+Table114[[#This Row],[قيمة مضافة]]</f>
        <v>0</v>
      </c>
      <c r="L338" s="36">
        <f>L337+Table114[[#This Row],[اجمالي الفاتوره]]-Table114[[#This Row],[الدفعات]]</f>
        <v>1055860.3799999999</v>
      </c>
      <c r="N338" s="49"/>
    </row>
    <row r="339" spans="10:14" ht="25.5" customHeight="1" x14ac:dyDescent="0.3">
      <c r="J339" s="36">
        <f>Table114[[#This Row],[النولون]]+Table114[[#This Row],[الايصالات]]+Table114[[#This Row],[قيمة مضافة]]</f>
        <v>0</v>
      </c>
      <c r="L339" s="36">
        <f>L338+Table114[[#This Row],[اجمالي الفاتوره]]-Table114[[#This Row],[الدفعات]]</f>
        <v>1055860.3799999999</v>
      </c>
      <c r="N339" s="49"/>
    </row>
    <row r="340" spans="10:14" ht="25.5" customHeight="1" x14ac:dyDescent="0.3">
      <c r="J340" s="36">
        <f>Table114[[#This Row],[النولون]]+Table114[[#This Row],[الايصالات]]+Table114[[#This Row],[قيمة مضافة]]</f>
        <v>0</v>
      </c>
      <c r="L340" s="36">
        <f>L339+Table114[[#This Row],[اجمالي الفاتوره]]-Table114[[#This Row],[الدفعات]]</f>
        <v>1055860.3799999999</v>
      </c>
      <c r="N340" s="49"/>
    </row>
    <row r="341" spans="10:14" ht="25.5" customHeight="1" x14ac:dyDescent="0.3">
      <c r="J341" s="36">
        <f>Table114[[#This Row],[النولون]]+Table114[[#This Row],[الايصالات]]+Table114[[#This Row],[قيمة مضافة]]</f>
        <v>0</v>
      </c>
      <c r="L341" s="36">
        <f>L340+Table114[[#This Row],[اجمالي الفاتوره]]-Table114[[#This Row],[الدفعات]]</f>
        <v>1055860.3799999999</v>
      </c>
      <c r="N341" s="49"/>
    </row>
    <row r="342" spans="10:14" ht="25.5" customHeight="1" x14ac:dyDescent="0.3">
      <c r="J342" s="36">
        <f>Table114[[#This Row],[النولون]]+Table114[[#This Row],[الايصالات]]+Table114[[#This Row],[قيمة مضافة]]</f>
        <v>0</v>
      </c>
      <c r="L342" s="36">
        <f>L341+Table114[[#This Row],[اجمالي الفاتوره]]-Table114[[#This Row],[الدفعات]]</f>
        <v>1055860.3799999999</v>
      </c>
      <c r="N342" s="49"/>
    </row>
    <row r="343" spans="10:14" ht="25.5" customHeight="1" x14ac:dyDescent="0.3">
      <c r="J343" s="36">
        <f>Table114[[#This Row],[النولون]]+Table114[[#This Row],[الايصالات]]+Table114[[#This Row],[قيمة مضافة]]</f>
        <v>0</v>
      </c>
      <c r="L343" s="36">
        <f>L342+Table114[[#This Row],[اجمالي الفاتوره]]-Table114[[#This Row],[الدفعات]]</f>
        <v>1055860.3799999999</v>
      </c>
      <c r="N343" s="49"/>
    </row>
    <row r="344" spans="10:14" ht="25.5" customHeight="1" x14ac:dyDescent="0.3">
      <c r="J344" s="36">
        <f>Table114[[#This Row],[النولون]]+Table114[[#This Row],[الايصالات]]+Table114[[#This Row],[قيمة مضافة]]</f>
        <v>0</v>
      </c>
      <c r="L344" s="36">
        <f>L343+Table114[[#This Row],[اجمالي الفاتوره]]-Table114[[#This Row],[الدفعات]]</f>
        <v>1055860.3799999999</v>
      </c>
      <c r="N344" s="49"/>
    </row>
    <row r="345" spans="10:14" ht="25.5" customHeight="1" x14ac:dyDescent="0.3">
      <c r="J345" s="36">
        <f>Table114[[#This Row],[النولون]]+Table114[[#This Row],[الايصالات]]+Table114[[#This Row],[قيمة مضافة]]</f>
        <v>0</v>
      </c>
      <c r="L345" s="36">
        <f>L344+Table114[[#This Row],[اجمالي الفاتوره]]-Table114[[#This Row],[الدفعات]]</f>
        <v>1055860.3799999999</v>
      </c>
      <c r="N345" s="49"/>
    </row>
    <row r="346" spans="10:14" ht="25.5" customHeight="1" x14ac:dyDescent="0.3">
      <c r="J346" s="36">
        <f>Table114[[#This Row],[النولون]]+Table114[[#This Row],[الايصالات]]+Table114[[#This Row],[قيمة مضافة]]</f>
        <v>0</v>
      </c>
      <c r="L346" s="36">
        <f>L345+Table114[[#This Row],[اجمالي الفاتوره]]-Table114[[#This Row],[الدفعات]]</f>
        <v>1055860.3799999999</v>
      </c>
      <c r="N346" s="49"/>
    </row>
    <row r="347" spans="10:14" ht="25.5" customHeight="1" x14ac:dyDescent="0.3">
      <c r="J347" s="36">
        <f>Table114[[#This Row],[النولون]]+Table114[[#This Row],[الايصالات]]+Table114[[#This Row],[قيمة مضافة]]</f>
        <v>0</v>
      </c>
      <c r="L347" s="36">
        <f>L346+Table114[[#This Row],[اجمالي الفاتوره]]-Table114[[#This Row],[الدفعات]]</f>
        <v>1055860.3799999999</v>
      </c>
      <c r="N347" s="49"/>
    </row>
    <row r="348" spans="10:14" ht="25.5" customHeight="1" x14ac:dyDescent="0.3">
      <c r="J348" s="36">
        <f>Table114[[#This Row],[النولون]]+Table114[[#This Row],[الايصالات]]+Table114[[#This Row],[قيمة مضافة]]</f>
        <v>0</v>
      </c>
      <c r="L348" s="36">
        <f>L347+Table114[[#This Row],[اجمالي الفاتوره]]-Table114[[#This Row],[الدفعات]]</f>
        <v>1055860.3799999999</v>
      </c>
      <c r="N348" s="49"/>
    </row>
    <row r="349" spans="10:14" ht="25.5" customHeight="1" x14ac:dyDescent="0.3">
      <c r="J349" s="36">
        <f>Table114[[#This Row],[النولون]]+Table114[[#This Row],[الايصالات]]+Table114[[#This Row],[قيمة مضافة]]</f>
        <v>0</v>
      </c>
      <c r="L349" s="36">
        <f>L348+Table114[[#This Row],[اجمالي الفاتوره]]-Table114[[#This Row],[الدفعات]]</f>
        <v>1055860.3799999999</v>
      </c>
      <c r="N349" s="49"/>
    </row>
    <row r="350" spans="10:14" ht="25.5" customHeight="1" x14ac:dyDescent="0.3">
      <c r="J350" s="36">
        <f>Table114[[#This Row],[النولون]]+Table114[[#This Row],[الايصالات]]+Table114[[#This Row],[قيمة مضافة]]</f>
        <v>0</v>
      </c>
      <c r="L350" s="36">
        <f>L349+Table114[[#This Row],[اجمالي الفاتوره]]-Table114[[#This Row],[الدفعات]]</f>
        <v>1055860.3799999999</v>
      </c>
      <c r="N350" s="49"/>
    </row>
    <row r="351" spans="10:14" ht="25.5" customHeight="1" x14ac:dyDescent="0.3">
      <c r="J351" s="36">
        <f>Table114[[#This Row],[النولون]]+Table114[[#This Row],[الايصالات]]+Table114[[#This Row],[قيمة مضافة]]</f>
        <v>0</v>
      </c>
      <c r="L351" s="36">
        <f>L350+Table114[[#This Row],[اجمالي الفاتوره]]-Table114[[#This Row],[الدفعات]]</f>
        <v>1055860.3799999999</v>
      </c>
      <c r="N351" s="49"/>
    </row>
    <row r="352" spans="10:14" ht="25.5" customHeight="1" x14ac:dyDescent="0.3">
      <c r="J352" s="36">
        <f>Table114[[#This Row],[النولون]]+Table114[[#This Row],[الايصالات]]+Table114[[#This Row],[قيمة مضافة]]</f>
        <v>0</v>
      </c>
      <c r="L352" s="36">
        <f>L351+Table114[[#This Row],[اجمالي الفاتوره]]-Table114[[#This Row],[الدفعات]]</f>
        <v>1055860.3799999999</v>
      </c>
      <c r="N352" s="49"/>
    </row>
    <row r="353" spans="10:14" ht="25.5" customHeight="1" x14ac:dyDescent="0.3">
      <c r="J353" s="36">
        <f>Table114[[#This Row],[النولون]]+Table114[[#This Row],[الايصالات]]+Table114[[#This Row],[قيمة مضافة]]</f>
        <v>0</v>
      </c>
      <c r="L353" s="36">
        <f>L352+Table114[[#This Row],[اجمالي الفاتوره]]-Table114[[#This Row],[الدفعات]]</f>
        <v>1055860.3799999999</v>
      </c>
      <c r="N353" s="49"/>
    </row>
    <row r="354" spans="10:14" ht="25.5" customHeight="1" x14ac:dyDescent="0.3">
      <c r="J354" s="36">
        <f>Table114[[#This Row],[النولون]]+Table114[[#This Row],[الايصالات]]+Table114[[#This Row],[قيمة مضافة]]</f>
        <v>0</v>
      </c>
      <c r="L354" s="36">
        <f>L353+Table114[[#This Row],[اجمالي الفاتوره]]-Table114[[#This Row],[الدفعات]]</f>
        <v>1055860.3799999999</v>
      </c>
      <c r="N354" s="49"/>
    </row>
    <row r="355" spans="10:14" ht="25.5" customHeight="1" x14ac:dyDescent="0.3">
      <c r="J355" s="36">
        <f>Table114[[#This Row],[النولون]]+Table114[[#This Row],[الايصالات]]+Table114[[#This Row],[قيمة مضافة]]</f>
        <v>0</v>
      </c>
      <c r="L355" s="36">
        <f>L354+Table114[[#This Row],[اجمالي الفاتوره]]-Table114[[#This Row],[الدفعات]]</f>
        <v>1055860.3799999999</v>
      </c>
      <c r="N355" s="49"/>
    </row>
    <row r="356" spans="10:14" ht="25.5" customHeight="1" x14ac:dyDescent="0.3">
      <c r="J356" s="36">
        <f>Table114[[#This Row],[النولون]]+Table114[[#This Row],[الايصالات]]+Table114[[#This Row],[قيمة مضافة]]</f>
        <v>0</v>
      </c>
      <c r="L356" s="36">
        <f>L355+Table114[[#This Row],[اجمالي الفاتوره]]-Table114[[#This Row],[الدفعات]]</f>
        <v>1055860.3799999999</v>
      </c>
      <c r="N356" s="49"/>
    </row>
    <row r="357" spans="10:14" ht="25.5" customHeight="1" x14ac:dyDescent="0.3">
      <c r="J357" s="36">
        <f>Table114[[#This Row],[النولون]]+Table114[[#This Row],[الايصالات]]+Table114[[#This Row],[قيمة مضافة]]</f>
        <v>0</v>
      </c>
      <c r="L357" s="36">
        <f>L356+Table114[[#This Row],[اجمالي الفاتوره]]-Table114[[#This Row],[الدفعات]]</f>
        <v>1055860.3799999999</v>
      </c>
      <c r="N357" s="49"/>
    </row>
    <row r="358" spans="10:14" ht="25.5" customHeight="1" x14ac:dyDescent="0.3">
      <c r="J358" s="36">
        <f>Table114[[#This Row],[النولون]]+Table114[[#This Row],[الايصالات]]+Table114[[#This Row],[قيمة مضافة]]</f>
        <v>0</v>
      </c>
      <c r="L358" s="36">
        <f>L357+Table114[[#This Row],[اجمالي الفاتوره]]-Table114[[#This Row],[الدفعات]]</f>
        <v>1055860.3799999999</v>
      </c>
      <c r="N358" s="49"/>
    </row>
    <row r="359" spans="10:14" ht="25.5" customHeight="1" x14ac:dyDescent="0.3">
      <c r="J359" s="36">
        <f>Table114[[#This Row],[النولون]]+Table114[[#This Row],[الايصالات]]+Table114[[#This Row],[قيمة مضافة]]</f>
        <v>0</v>
      </c>
      <c r="L359" s="36">
        <f>L358+Table114[[#This Row],[اجمالي الفاتوره]]-Table114[[#This Row],[الدفعات]]</f>
        <v>1055860.3799999999</v>
      </c>
      <c r="N359" s="49"/>
    </row>
    <row r="360" spans="10:14" ht="25.5" customHeight="1" x14ac:dyDescent="0.3">
      <c r="J360" s="36">
        <f>Table114[[#This Row],[النولون]]+Table114[[#This Row],[الايصالات]]+Table114[[#This Row],[قيمة مضافة]]</f>
        <v>0</v>
      </c>
      <c r="L360" s="36">
        <f>L359+Table114[[#This Row],[اجمالي الفاتوره]]-Table114[[#This Row],[الدفعات]]</f>
        <v>1055860.3799999999</v>
      </c>
      <c r="N360" s="49"/>
    </row>
    <row r="361" spans="10:14" ht="25.5" customHeight="1" x14ac:dyDescent="0.3">
      <c r="J361" s="36">
        <f>Table114[[#This Row],[النولون]]+Table114[[#This Row],[الايصالات]]+Table114[[#This Row],[قيمة مضافة]]</f>
        <v>0</v>
      </c>
      <c r="L361" s="36">
        <f>L360+Table114[[#This Row],[اجمالي الفاتوره]]-Table114[[#This Row],[الدفعات]]</f>
        <v>1055860.3799999999</v>
      </c>
      <c r="N361" s="49"/>
    </row>
    <row r="362" spans="10:14" ht="25.5" customHeight="1" x14ac:dyDescent="0.3">
      <c r="J362" s="36">
        <f>Table114[[#This Row],[النولون]]+Table114[[#This Row],[الايصالات]]+Table114[[#This Row],[قيمة مضافة]]</f>
        <v>0</v>
      </c>
      <c r="L362" s="36">
        <f>L361+Table114[[#This Row],[اجمالي الفاتوره]]-Table114[[#This Row],[الدفعات]]</f>
        <v>1055860.3799999999</v>
      </c>
      <c r="N362" s="49"/>
    </row>
    <row r="363" spans="10:14" ht="25.5" customHeight="1" x14ac:dyDescent="0.3">
      <c r="J363" s="36">
        <f>Table114[[#This Row],[النولون]]+Table114[[#This Row],[الايصالات]]+Table114[[#This Row],[قيمة مضافة]]</f>
        <v>0</v>
      </c>
      <c r="L363" s="36">
        <f>L362+Table114[[#This Row],[اجمالي الفاتوره]]-Table114[[#This Row],[الدفعات]]</f>
        <v>1055860.3799999999</v>
      </c>
      <c r="N363" s="49"/>
    </row>
    <row r="364" spans="10:14" ht="25.5" customHeight="1" x14ac:dyDescent="0.3">
      <c r="J364" s="36">
        <f>Table114[[#This Row],[النولون]]+Table114[[#This Row],[الايصالات]]+Table114[[#This Row],[قيمة مضافة]]</f>
        <v>0</v>
      </c>
      <c r="L364" s="36">
        <f>L363+Table114[[#This Row],[اجمالي الفاتوره]]-Table114[[#This Row],[الدفعات]]</f>
        <v>1055860.3799999999</v>
      </c>
      <c r="N364" s="49"/>
    </row>
    <row r="365" spans="10:14" ht="25.5" customHeight="1" x14ac:dyDescent="0.3">
      <c r="J365" s="36">
        <f>Table114[[#This Row],[النولون]]+Table114[[#This Row],[الايصالات]]+Table114[[#This Row],[قيمة مضافة]]</f>
        <v>0</v>
      </c>
      <c r="L365" s="36">
        <f>L364+Table114[[#This Row],[اجمالي الفاتوره]]-Table114[[#This Row],[الدفعات]]</f>
        <v>1055860.3799999999</v>
      </c>
      <c r="N365" s="49"/>
    </row>
    <row r="366" spans="10:14" ht="25.5" customHeight="1" x14ac:dyDescent="0.3">
      <c r="J366" s="36">
        <f>Table114[[#This Row],[النولون]]+Table114[[#This Row],[الايصالات]]+Table114[[#This Row],[قيمة مضافة]]</f>
        <v>0</v>
      </c>
      <c r="L366" s="36">
        <f>L365+Table114[[#This Row],[اجمالي الفاتوره]]-Table114[[#This Row],[الدفعات]]</f>
        <v>1055860.3799999999</v>
      </c>
      <c r="N366" s="49"/>
    </row>
    <row r="367" spans="10:14" ht="25.5" customHeight="1" x14ac:dyDescent="0.3">
      <c r="J367" s="36">
        <f>Table114[[#This Row],[النولون]]+Table114[[#This Row],[الايصالات]]+Table114[[#This Row],[قيمة مضافة]]</f>
        <v>0</v>
      </c>
      <c r="L367" s="36">
        <f>L366+Table114[[#This Row],[اجمالي الفاتوره]]-Table114[[#This Row],[الدفعات]]</f>
        <v>1055860.3799999999</v>
      </c>
      <c r="N367" s="49"/>
    </row>
    <row r="368" spans="10:14" ht="25.5" customHeight="1" x14ac:dyDescent="0.3">
      <c r="J368" s="36">
        <f>Table114[[#This Row],[النولون]]+Table114[[#This Row],[الايصالات]]+Table114[[#This Row],[قيمة مضافة]]</f>
        <v>0</v>
      </c>
      <c r="L368" s="36">
        <f>L367+Table114[[#This Row],[اجمالي الفاتوره]]-Table114[[#This Row],[الدفعات]]</f>
        <v>1055860.3799999999</v>
      </c>
      <c r="N368" s="49"/>
    </row>
    <row r="369" spans="10:14" ht="25.5" customHeight="1" x14ac:dyDescent="0.3">
      <c r="J369" s="36">
        <f>Table114[[#This Row],[النولون]]+Table114[[#This Row],[الايصالات]]+Table114[[#This Row],[قيمة مضافة]]</f>
        <v>0</v>
      </c>
      <c r="L369" s="36">
        <f>L368+Table114[[#This Row],[اجمالي الفاتوره]]-Table114[[#This Row],[الدفعات]]</f>
        <v>1055860.3799999999</v>
      </c>
      <c r="N369" s="49"/>
    </row>
    <row r="370" spans="10:14" ht="25.5" customHeight="1" x14ac:dyDescent="0.3">
      <c r="J370" s="36">
        <f>Table114[[#This Row],[النولون]]+Table114[[#This Row],[الايصالات]]+Table114[[#This Row],[قيمة مضافة]]</f>
        <v>0</v>
      </c>
      <c r="L370" s="36">
        <f>L369+Table114[[#This Row],[اجمالي الفاتوره]]-Table114[[#This Row],[الدفعات]]</f>
        <v>1055860.3799999999</v>
      </c>
      <c r="N370" s="49"/>
    </row>
    <row r="371" spans="10:14" ht="25.5" customHeight="1" x14ac:dyDescent="0.3">
      <c r="J371" s="36">
        <f>Table114[[#This Row],[النولون]]+Table114[[#This Row],[الايصالات]]+Table114[[#This Row],[قيمة مضافة]]</f>
        <v>0</v>
      </c>
      <c r="L371" s="36">
        <f>L370+Table114[[#This Row],[اجمالي الفاتوره]]-Table114[[#This Row],[الدفعات]]</f>
        <v>1055860.3799999999</v>
      </c>
      <c r="N371" s="49"/>
    </row>
    <row r="372" spans="10:14" ht="25.5" customHeight="1" x14ac:dyDescent="0.3">
      <c r="J372" s="36">
        <f>Table114[[#This Row],[النولون]]+Table114[[#This Row],[الايصالات]]+Table114[[#This Row],[قيمة مضافة]]</f>
        <v>0</v>
      </c>
      <c r="L372" s="36">
        <f>L371+Table114[[#This Row],[اجمالي الفاتوره]]-Table114[[#This Row],[الدفعات]]</f>
        <v>1055860.3799999999</v>
      </c>
      <c r="N372" s="49"/>
    </row>
    <row r="373" spans="10:14" ht="25.5" customHeight="1" x14ac:dyDescent="0.3">
      <c r="J373" s="36">
        <f>Table114[[#This Row],[النولون]]+Table114[[#This Row],[الايصالات]]+Table114[[#This Row],[قيمة مضافة]]</f>
        <v>0</v>
      </c>
      <c r="L373" s="36">
        <f>L372+Table114[[#This Row],[اجمالي الفاتوره]]-Table114[[#This Row],[الدفعات]]</f>
        <v>1055860.3799999999</v>
      </c>
      <c r="N373" s="49"/>
    </row>
    <row r="374" spans="10:14" ht="25.5" customHeight="1" x14ac:dyDescent="0.3">
      <c r="J374" s="36">
        <f>Table114[[#This Row],[النولون]]+Table114[[#This Row],[الايصالات]]+Table114[[#This Row],[قيمة مضافة]]</f>
        <v>0</v>
      </c>
      <c r="L374" s="36">
        <f>L373+Table114[[#This Row],[اجمالي الفاتوره]]-Table114[[#This Row],[الدفعات]]</f>
        <v>1055860.3799999999</v>
      </c>
      <c r="N374" s="49"/>
    </row>
    <row r="375" spans="10:14" ht="25.5" customHeight="1" x14ac:dyDescent="0.3">
      <c r="J375" s="36">
        <f>Table114[[#This Row],[النولون]]+Table114[[#This Row],[الايصالات]]+Table114[[#This Row],[قيمة مضافة]]</f>
        <v>0</v>
      </c>
      <c r="L375" s="36">
        <f>L374+Table114[[#This Row],[اجمالي الفاتوره]]-Table114[[#This Row],[الدفعات]]</f>
        <v>1055860.3799999999</v>
      </c>
      <c r="N375" s="49"/>
    </row>
    <row r="376" spans="10:14" ht="25.5" customHeight="1" x14ac:dyDescent="0.3">
      <c r="J376" s="36">
        <f>Table114[[#This Row],[النولون]]+Table114[[#This Row],[الايصالات]]+Table114[[#This Row],[قيمة مضافة]]</f>
        <v>0</v>
      </c>
      <c r="L376" s="36">
        <f>L375+Table114[[#This Row],[اجمالي الفاتوره]]-Table114[[#This Row],[الدفعات]]</f>
        <v>1055860.3799999999</v>
      </c>
      <c r="N376" s="49"/>
    </row>
    <row r="377" spans="10:14" ht="25.5" customHeight="1" x14ac:dyDescent="0.3">
      <c r="J377" s="36">
        <f>Table114[[#This Row],[النولون]]+Table114[[#This Row],[الايصالات]]+Table114[[#This Row],[قيمة مضافة]]</f>
        <v>0</v>
      </c>
      <c r="L377" s="36">
        <f>L376+Table114[[#This Row],[اجمالي الفاتوره]]-Table114[[#This Row],[الدفعات]]</f>
        <v>1055860.3799999999</v>
      </c>
      <c r="N377" s="49"/>
    </row>
    <row r="378" spans="10:14" ht="25.5" customHeight="1" x14ac:dyDescent="0.3">
      <c r="J378" s="36">
        <f>Table114[[#This Row],[النولون]]+Table114[[#This Row],[الايصالات]]+Table114[[#This Row],[قيمة مضافة]]</f>
        <v>0</v>
      </c>
      <c r="L378" s="36">
        <f>L377+Table114[[#This Row],[اجمالي الفاتوره]]-Table114[[#This Row],[الدفعات]]</f>
        <v>1055860.3799999999</v>
      </c>
      <c r="N378" s="49"/>
    </row>
    <row r="379" spans="10:14" ht="25.5" customHeight="1" x14ac:dyDescent="0.3">
      <c r="J379" s="36">
        <f>Table114[[#This Row],[النولون]]+Table114[[#This Row],[الايصالات]]+Table114[[#This Row],[قيمة مضافة]]</f>
        <v>0</v>
      </c>
      <c r="L379" s="36">
        <f>L378+Table114[[#This Row],[اجمالي الفاتوره]]-Table114[[#This Row],[الدفعات]]</f>
        <v>1055860.3799999999</v>
      </c>
      <c r="N379" s="49"/>
    </row>
    <row r="380" spans="10:14" ht="25.5" customHeight="1" x14ac:dyDescent="0.3">
      <c r="J380" s="36">
        <f>Table114[[#This Row],[النولون]]+Table114[[#This Row],[الايصالات]]+Table114[[#This Row],[قيمة مضافة]]</f>
        <v>0</v>
      </c>
      <c r="L380" s="36">
        <f>L379+Table114[[#This Row],[اجمالي الفاتوره]]-Table114[[#This Row],[الدفعات]]</f>
        <v>1055860.3799999999</v>
      </c>
      <c r="N380" s="49"/>
    </row>
    <row r="381" spans="10:14" ht="25.5" customHeight="1" x14ac:dyDescent="0.3">
      <c r="J381" s="36">
        <f>Table114[[#This Row],[النولون]]+Table114[[#This Row],[الايصالات]]+Table114[[#This Row],[قيمة مضافة]]</f>
        <v>0</v>
      </c>
      <c r="L381" s="36">
        <f>L380+Table114[[#This Row],[اجمالي الفاتوره]]-Table114[[#This Row],[الدفعات]]</f>
        <v>1055860.3799999999</v>
      </c>
      <c r="N381" s="49"/>
    </row>
    <row r="382" spans="10:14" ht="25.5" customHeight="1" x14ac:dyDescent="0.3">
      <c r="J382" s="36">
        <f>Table114[[#This Row],[النولون]]+Table114[[#This Row],[الايصالات]]+Table114[[#This Row],[قيمة مضافة]]</f>
        <v>0</v>
      </c>
      <c r="L382" s="36">
        <f>L381+Table114[[#This Row],[اجمالي الفاتوره]]-Table114[[#This Row],[الدفعات]]</f>
        <v>1055860.3799999999</v>
      </c>
      <c r="N382" s="49"/>
    </row>
    <row r="383" spans="10:14" ht="25.5" customHeight="1" x14ac:dyDescent="0.3">
      <c r="J383" s="36">
        <f>Table114[[#This Row],[النولون]]+Table114[[#This Row],[الايصالات]]+Table114[[#This Row],[قيمة مضافة]]</f>
        <v>0</v>
      </c>
      <c r="L383" s="36">
        <f>L382+Table114[[#This Row],[اجمالي الفاتوره]]-Table114[[#This Row],[الدفعات]]</f>
        <v>1055860.3799999999</v>
      </c>
      <c r="N383" s="49"/>
    </row>
    <row r="384" spans="10:14" ht="25.5" customHeight="1" x14ac:dyDescent="0.3">
      <c r="J384" s="36">
        <f>Table114[[#This Row],[النولون]]+Table114[[#This Row],[الايصالات]]+Table114[[#This Row],[قيمة مضافة]]</f>
        <v>0</v>
      </c>
      <c r="L384" s="36">
        <f>L383+Table114[[#This Row],[اجمالي الفاتوره]]-Table114[[#This Row],[الدفعات]]</f>
        <v>1055860.3799999999</v>
      </c>
      <c r="N384" s="49"/>
    </row>
    <row r="385" spans="10:14" ht="25.5" customHeight="1" x14ac:dyDescent="0.3">
      <c r="J385" s="36">
        <f>Table114[[#This Row],[النولون]]+Table114[[#This Row],[الايصالات]]+Table114[[#This Row],[قيمة مضافة]]</f>
        <v>0</v>
      </c>
      <c r="L385" s="36">
        <f>L384+Table114[[#This Row],[اجمالي الفاتوره]]-Table114[[#This Row],[الدفعات]]</f>
        <v>1055860.3799999999</v>
      </c>
      <c r="N385" s="49"/>
    </row>
    <row r="386" spans="10:14" ht="25.5" customHeight="1" x14ac:dyDescent="0.3">
      <c r="J386" s="36">
        <f>Table114[[#This Row],[النولون]]+Table114[[#This Row],[الايصالات]]+Table114[[#This Row],[قيمة مضافة]]</f>
        <v>0</v>
      </c>
      <c r="L386" s="36">
        <f>L385+Table114[[#This Row],[اجمالي الفاتوره]]-Table114[[#This Row],[الدفعات]]</f>
        <v>1055860.3799999999</v>
      </c>
      <c r="N386" s="49"/>
    </row>
    <row r="387" spans="10:14" ht="25.5" customHeight="1" x14ac:dyDescent="0.3">
      <c r="J387" s="36">
        <f>Table114[[#This Row],[النولون]]+Table114[[#This Row],[الايصالات]]+Table114[[#This Row],[قيمة مضافة]]</f>
        <v>0</v>
      </c>
      <c r="L387" s="36">
        <f>L386+Table114[[#This Row],[اجمالي الفاتوره]]-Table114[[#This Row],[الدفعات]]</f>
        <v>1055860.3799999999</v>
      </c>
      <c r="N387" s="49"/>
    </row>
    <row r="388" spans="10:14" ht="25.5" customHeight="1" x14ac:dyDescent="0.3">
      <c r="J388" s="36">
        <f>Table114[[#This Row],[النولون]]+Table114[[#This Row],[الايصالات]]+Table114[[#This Row],[قيمة مضافة]]</f>
        <v>0</v>
      </c>
      <c r="L388" s="36">
        <f>L387+Table114[[#This Row],[اجمالي الفاتوره]]-Table114[[#This Row],[الدفعات]]</f>
        <v>1055860.3799999999</v>
      </c>
      <c r="N388" s="49"/>
    </row>
    <row r="389" spans="10:14" ht="25.5" customHeight="1" x14ac:dyDescent="0.3">
      <c r="J389" s="36">
        <f>Table114[[#This Row],[النولون]]+Table114[[#This Row],[الايصالات]]+Table114[[#This Row],[قيمة مضافة]]</f>
        <v>0</v>
      </c>
      <c r="L389" s="36">
        <f>L388+Table114[[#This Row],[اجمالي الفاتوره]]-Table114[[#This Row],[الدفعات]]</f>
        <v>1055860.3799999999</v>
      </c>
      <c r="N389" s="49"/>
    </row>
    <row r="390" spans="10:14" ht="25.5" customHeight="1" x14ac:dyDescent="0.3">
      <c r="J390" s="36">
        <f>Table114[[#This Row],[النولون]]+Table114[[#This Row],[الايصالات]]+Table114[[#This Row],[قيمة مضافة]]</f>
        <v>0</v>
      </c>
      <c r="L390" s="36">
        <f>L389+Table114[[#This Row],[اجمالي الفاتوره]]-Table114[[#This Row],[الدفعات]]</f>
        <v>1055860.3799999999</v>
      </c>
      <c r="N390" s="49"/>
    </row>
    <row r="391" spans="10:14" ht="25.5" customHeight="1" x14ac:dyDescent="0.3">
      <c r="J391" s="36">
        <f>Table114[[#This Row],[النولون]]+Table114[[#This Row],[الايصالات]]+Table114[[#This Row],[قيمة مضافة]]</f>
        <v>0</v>
      </c>
      <c r="L391" s="36">
        <f>L390+Table114[[#This Row],[اجمالي الفاتوره]]-Table114[[#This Row],[الدفعات]]</f>
        <v>1055860.3799999999</v>
      </c>
      <c r="N391" s="49"/>
    </row>
    <row r="392" spans="10:14" ht="25.5" customHeight="1" x14ac:dyDescent="0.3">
      <c r="J392" s="36">
        <f>Table114[[#This Row],[النولون]]+Table114[[#This Row],[الايصالات]]+Table114[[#This Row],[قيمة مضافة]]</f>
        <v>0</v>
      </c>
      <c r="L392" s="36">
        <f>L391+Table114[[#This Row],[اجمالي الفاتوره]]-Table114[[#This Row],[الدفعات]]</f>
        <v>1055860.3799999999</v>
      </c>
      <c r="N392" s="49"/>
    </row>
    <row r="393" spans="10:14" ht="25.5" customHeight="1" x14ac:dyDescent="0.3">
      <c r="J393" s="36">
        <f>Table114[[#This Row],[النولون]]+Table114[[#This Row],[الايصالات]]+Table114[[#This Row],[قيمة مضافة]]</f>
        <v>0</v>
      </c>
      <c r="L393" s="36">
        <f>L392+Table114[[#This Row],[اجمالي الفاتوره]]-Table114[[#This Row],[الدفعات]]</f>
        <v>1055860.3799999999</v>
      </c>
      <c r="N393" s="49"/>
    </row>
    <row r="394" spans="10:14" ht="25.5" customHeight="1" x14ac:dyDescent="0.3">
      <c r="J394" s="36">
        <f>Table114[[#This Row],[النولون]]+Table114[[#This Row],[الايصالات]]+Table114[[#This Row],[قيمة مضافة]]</f>
        <v>0</v>
      </c>
      <c r="L394" s="36">
        <f>L393+Table114[[#This Row],[اجمالي الفاتوره]]-Table114[[#This Row],[الدفعات]]</f>
        <v>1055860.3799999999</v>
      </c>
      <c r="N394" s="49"/>
    </row>
    <row r="395" spans="10:14" ht="25.5" customHeight="1" x14ac:dyDescent="0.3">
      <c r="J395" s="36">
        <f>Table114[[#This Row],[النولون]]+Table114[[#This Row],[الايصالات]]+Table114[[#This Row],[قيمة مضافة]]</f>
        <v>0</v>
      </c>
      <c r="L395" s="36">
        <f>L394+Table114[[#This Row],[اجمالي الفاتوره]]-Table114[[#This Row],[الدفعات]]</f>
        <v>1055860.3799999999</v>
      </c>
      <c r="N395" s="49"/>
    </row>
    <row r="396" spans="10:14" ht="25.5" customHeight="1" x14ac:dyDescent="0.3">
      <c r="J396" s="36">
        <f>Table114[[#This Row],[النولون]]+Table114[[#This Row],[الايصالات]]+Table114[[#This Row],[قيمة مضافة]]</f>
        <v>0</v>
      </c>
      <c r="L396" s="36">
        <f>L395+Table114[[#This Row],[اجمالي الفاتوره]]-Table114[[#This Row],[الدفعات]]</f>
        <v>1055860.3799999999</v>
      </c>
      <c r="N396" s="49"/>
    </row>
    <row r="397" spans="10:14" ht="25.5" customHeight="1" x14ac:dyDescent="0.3">
      <c r="J397" s="36">
        <f>Table114[[#This Row],[النولون]]+Table114[[#This Row],[الايصالات]]+Table114[[#This Row],[قيمة مضافة]]</f>
        <v>0</v>
      </c>
      <c r="L397" s="36">
        <f>L396+Table114[[#This Row],[اجمالي الفاتوره]]-Table114[[#This Row],[الدفعات]]</f>
        <v>1055860.3799999999</v>
      </c>
      <c r="N397" s="49"/>
    </row>
    <row r="398" spans="10:14" ht="25.5" customHeight="1" x14ac:dyDescent="0.3">
      <c r="J398" s="36">
        <f>Table114[[#This Row],[النولون]]+Table114[[#This Row],[الايصالات]]+Table114[[#This Row],[قيمة مضافة]]</f>
        <v>0</v>
      </c>
      <c r="L398" s="36">
        <f>L397+Table114[[#This Row],[اجمالي الفاتوره]]-Table114[[#This Row],[الدفعات]]</f>
        <v>1055860.3799999999</v>
      </c>
      <c r="N398" s="49"/>
    </row>
    <row r="399" spans="10:14" ht="25.5" customHeight="1" x14ac:dyDescent="0.3">
      <c r="J399" s="36">
        <f>Table114[[#This Row],[النولون]]+Table114[[#This Row],[الايصالات]]+Table114[[#This Row],[قيمة مضافة]]</f>
        <v>0</v>
      </c>
      <c r="L399" s="36">
        <f>L398+Table114[[#This Row],[اجمالي الفاتوره]]-Table114[[#This Row],[الدفعات]]</f>
        <v>1055860.3799999999</v>
      </c>
      <c r="N399" s="49"/>
    </row>
    <row r="400" spans="10:14" ht="25.5" customHeight="1" x14ac:dyDescent="0.3">
      <c r="J400" s="36">
        <f>Table114[[#This Row],[النولون]]+Table114[[#This Row],[الايصالات]]+Table114[[#This Row],[قيمة مضافة]]</f>
        <v>0</v>
      </c>
      <c r="L400" s="36">
        <f>L399+Table114[[#This Row],[اجمالي الفاتوره]]-Table114[[#This Row],[الدفعات]]</f>
        <v>1055860.3799999999</v>
      </c>
      <c r="N400" s="49"/>
    </row>
    <row r="401" spans="10:14" ht="25.5" customHeight="1" x14ac:dyDescent="0.3">
      <c r="J401" s="36">
        <f>Table114[[#This Row],[النولون]]+Table114[[#This Row],[الايصالات]]+Table114[[#This Row],[قيمة مضافة]]</f>
        <v>0</v>
      </c>
      <c r="L401" s="36">
        <f>L400+Table114[[#This Row],[اجمالي الفاتوره]]-Table114[[#This Row],[الدفعات]]</f>
        <v>1055860.3799999999</v>
      </c>
      <c r="N401" s="49"/>
    </row>
    <row r="402" spans="10:14" ht="25.5" customHeight="1" x14ac:dyDescent="0.3">
      <c r="J402" s="36">
        <f>Table114[[#This Row],[النولون]]+Table114[[#This Row],[الايصالات]]+Table114[[#This Row],[قيمة مضافة]]</f>
        <v>0</v>
      </c>
      <c r="L402" s="36">
        <f>L401+Table114[[#This Row],[اجمالي الفاتوره]]-Table114[[#This Row],[الدفعات]]</f>
        <v>1055860.3799999999</v>
      </c>
      <c r="N402" s="49"/>
    </row>
    <row r="403" spans="10:14" ht="25.5" customHeight="1" x14ac:dyDescent="0.3">
      <c r="J403" s="36">
        <f>Table114[[#This Row],[النولون]]+Table114[[#This Row],[الايصالات]]+Table114[[#This Row],[قيمة مضافة]]</f>
        <v>0</v>
      </c>
      <c r="L403" s="36">
        <f>L402+Table114[[#This Row],[اجمالي الفاتوره]]-Table114[[#This Row],[الدفعات]]</f>
        <v>1055860.3799999999</v>
      </c>
      <c r="N403" s="49"/>
    </row>
    <row r="404" spans="10:14" ht="25.5" customHeight="1" x14ac:dyDescent="0.3">
      <c r="J404" s="36">
        <f>Table114[[#This Row],[النولون]]+Table114[[#This Row],[الايصالات]]+Table114[[#This Row],[قيمة مضافة]]</f>
        <v>0</v>
      </c>
      <c r="L404" s="36">
        <f>L403+Table114[[#This Row],[اجمالي الفاتوره]]-Table114[[#This Row],[الدفعات]]</f>
        <v>1055860.3799999999</v>
      </c>
      <c r="N404" s="49"/>
    </row>
    <row r="405" spans="10:14" ht="25.5" customHeight="1" x14ac:dyDescent="0.3">
      <c r="J405" s="36">
        <f>Table114[[#This Row],[النولون]]+Table114[[#This Row],[الايصالات]]+Table114[[#This Row],[قيمة مضافة]]</f>
        <v>0</v>
      </c>
      <c r="L405" s="36">
        <f>L404+Table114[[#This Row],[اجمالي الفاتوره]]-Table114[[#This Row],[الدفعات]]</f>
        <v>1055860.3799999999</v>
      </c>
      <c r="N405" s="49"/>
    </row>
    <row r="406" spans="10:14" ht="25.5" customHeight="1" x14ac:dyDescent="0.3">
      <c r="J406" s="36">
        <f>Table114[[#This Row],[النولون]]+Table114[[#This Row],[الايصالات]]+Table114[[#This Row],[قيمة مضافة]]</f>
        <v>0</v>
      </c>
      <c r="L406" s="36">
        <f>L405+Table114[[#This Row],[اجمالي الفاتوره]]-Table114[[#This Row],[الدفعات]]</f>
        <v>1055860.3799999999</v>
      </c>
      <c r="N406" s="49"/>
    </row>
    <row r="407" spans="10:14" ht="25.5" customHeight="1" x14ac:dyDescent="0.3">
      <c r="J407" s="36">
        <f>Table114[[#This Row],[النولون]]+Table114[[#This Row],[الايصالات]]+Table114[[#This Row],[قيمة مضافة]]</f>
        <v>0</v>
      </c>
      <c r="L407" s="36">
        <f>L406+Table114[[#This Row],[اجمالي الفاتوره]]-Table114[[#This Row],[الدفعات]]</f>
        <v>1055860.3799999999</v>
      </c>
      <c r="N407" s="49"/>
    </row>
  </sheetData>
  <phoneticPr fontId="2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375"/>
  <sheetViews>
    <sheetView rightToLeft="1" zoomScale="91" zoomScaleNormal="91" workbookViewId="0">
      <pane ySplit="1" topLeftCell="A79" activePane="bottomLeft" state="frozen"/>
      <selection pane="bottomLeft" activeCell="J94" sqref="J94"/>
    </sheetView>
  </sheetViews>
  <sheetFormatPr defaultColWidth="9.109375" defaultRowHeight="15.6" x14ac:dyDescent="0.3"/>
  <cols>
    <col min="1" max="1" width="9.109375" style="6"/>
    <col min="2" max="2" width="5.44140625" style="1" customWidth="1"/>
    <col min="3" max="3" width="12.44140625" style="1" customWidth="1"/>
    <col min="4" max="4" width="15.109375" style="1" customWidth="1"/>
    <col min="5" max="5" width="17.21875" style="1" bestFit="1" customWidth="1"/>
    <col min="6" max="6" width="13.33203125" style="1" customWidth="1"/>
    <col min="7" max="7" width="13" style="1" customWidth="1"/>
    <col min="8" max="8" width="11.6640625" style="1" customWidth="1"/>
    <col min="9" max="9" width="11.77734375" style="1" customWidth="1"/>
    <col min="10" max="10" width="10.77734375" style="1" customWidth="1"/>
    <col min="11" max="11" width="12" style="1" customWidth="1"/>
    <col min="12" max="12" width="12.77734375" style="1" customWidth="1"/>
    <col min="13" max="13" width="15.21875" style="1" customWidth="1"/>
    <col min="14" max="14" width="12.77734375" style="1" customWidth="1"/>
    <col min="15" max="16384" width="9.109375" style="1"/>
  </cols>
  <sheetData>
    <row r="1" spans="1:15" ht="26.25" customHeight="1" x14ac:dyDescent="0.3">
      <c r="A1" s="64" t="s">
        <v>15</v>
      </c>
      <c r="B1" s="88" t="s">
        <v>0</v>
      </c>
      <c r="C1" s="88" t="s">
        <v>1</v>
      </c>
      <c r="D1" s="88" t="s">
        <v>2</v>
      </c>
      <c r="E1" s="88" t="s">
        <v>3</v>
      </c>
      <c r="F1" s="88" t="s">
        <v>4</v>
      </c>
      <c r="G1" s="88" t="s">
        <v>5</v>
      </c>
      <c r="H1" s="88" t="s">
        <v>6</v>
      </c>
      <c r="I1" s="88" t="s">
        <v>7</v>
      </c>
      <c r="J1" s="88" t="s">
        <v>9</v>
      </c>
      <c r="K1" s="88" t="s">
        <v>10</v>
      </c>
      <c r="L1" s="88" t="s">
        <v>11</v>
      </c>
      <c r="M1" s="88" t="s">
        <v>12</v>
      </c>
      <c r="N1" s="1" t="s">
        <v>13</v>
      </c>
      <c r="O1" s="48" t="s">
        <v>20</v>
      </c>
    </row>
    <row r="2" spans="1:15" ht="26.25" customHeight="1" x14ac:dyDescent="0.3">
      <c r="C2" s="2"/>
      <c r="K2" s="1">
        <f>Table1181920231030313235383940414811[[#This Row],[النولون]]+Table1181920231030313235383940414811[[#This Row],[الايصالات]]+Table1181920231030313235383940414811[[#This Row],[قيمة مضافة]]</f>
        <v>0</v>
      </c>
      <c r="M2" s="1">
        <v>0</v>
      </c>
      <c r="O2" s="48"/>
    </row>
    <row r="3" spans="1:15" ht="26.25" customHeight="1" x14ac:dyDescent="0.3">
      <c r="B3" s="1">
        <v>1</v>
      </c>
      <c r="C3" s="2" t="s">
        <v>112</v>
      </c>
      <c r="D3" s="1" t="s">
        <v>115</v>
      </c>
      <c r="E3" s="1" t="s">
        <v>119</v>
      </c>
      <c r="F3" s="1">
        <v>263691927</v>
      </c>
      <c r="G3" s="1" t="s">
        <v>92</v>
      </c>
      <c r="H3" s="1">
        <f>17300*2</f>
        <v>34600</v>
      </c>
      <c r="J3" s="1">
        <f>1100*2+452.53*2+213.97+79*2+410+4393.56+997+8518+200+100</f>
        <v>18095.59</v>
      </c>
      <c r="K3" s="1">
        <f>Table1181920231030313235383940414811[[#This Row],[النولون]]+Table1181920231030313235383940414811[[#This Row],[الايصالات]]+Table1181920231030313235383940414811[[#This Row],[قيمة مضافة]]</f>
        <v>52695.59</v>
      </c>
      <c r="M3" s="1">
        <f>M2+Table1181920231030313235383940414811[[#This Row],[اجمالي الفاتوره]]-Table1181920231030313235383940414811[[#This Row],[الدفعات]]</f>
        <v>52695.59</v>
      </c>
      <c r="O3" s="48"/>
    </row>
    <row r="4" spans="1:15" ht="26.25" customHeight="1" x14ac:dyDescent="0.3">
      <c r="B4" s="1">
        <v>2</v>
      </c>
      <c r="C4" s="2" t="s">
        <v>113</v>
      </c>
      <c r="D4" s="1" t="s">
        <v>115</v>
      </c>
      <c r="E4" s="1" t="s">
        <v>119</v>
      </c>
      <c r="F4" s="1">
        <v>263324016</v>
      </c>
      <c r="G4" s="1" t="s">
        <v>92</v>
      </c>
      <c r="H4" s="1">
        <f>17300*2</f>
        <v>34600</v>
      </c>
      <c r="J4" s="1">
        <f>410+79*2+1100*2+480.8+477.98+4393.56+997+8518+200</f>
        <v>17835.34</v>
      </c>
      <c r="K4" s="1">
        <f>Table1181920231030313235383940414811[[#This Row],[النولون]]+Table1181920231030313235383940414811[[#This Row],[الايصالات]]+Table1181920231030313235383940414811[[#This Row],[قيمة مضافة]]</f>
        <v>52435.34</v>
      </c>
      <c r="M4" s="1">
        <f>M3+Table1181920231030313235383940414811[[#This Row],[اجمالي الفاتوره]]-Table1181920231030313235383940414811[[#This Row],[الدفعات]]</f>
        <v>105130.93</v>
      </c>
      <c r="O4" s="48"/>
    </row>
    <row r="5" spans="1:15" ht="26.25" customHeight="1" x14ac:dyDescent="0.3">
      <c r="B5" s="41">
        <v>3</v>
      </c>
      <c r="C5" s="2" t="s">
        <v>113</v>
      </c>
      <c r="D5" s="1" t="s">
        <v>116</v>
      </c>
      <c r="E5" s="1" t="s">
        <v>118</v>
      </c>
      <c r="F5" s="41">
        <v>870178</v>
      </c>
      <c r="G5" s="1" t="s">
        <v>120</v>
      </c>
      <c r="H5" s="41">
        <v>13500</v>
      </c>
      <c r="I5" s="41"/>
      <c r="J5" s="41">
        <f>220.89+580+2500+150+171</f>
        <v>3621.89</v>
      </c>
      <c r="K5" s="41">
        <f>Table1181920231030313235383940414811[[#This Row],[النولون]]+Table1181920231030313235383940414811[[#This Row],[الايصالات]]+Table1181920231030313235383940414811[[#This Row],[قيمة مضافة]]</f>
        <v>17121.89</v>
      </c>
      <c r="L5" s="41"/>
      <c r="M5" s="1">
        <f>M4+Table1181920231030313235383940414811[[#This Row],[اجمالي الفاتوره]]-Table1181920231030313235383940414811[[#This Row],[الدفعات]]</f>
        <v>122252.81999999999</v>
      </c>
      <c r="N5" s="41"/>
      <c r="O5" s="48"/>
    </row>
    <row r="6" spans="1:15" ht="26.25" customHeight="1" x14ac:dyDescent="0.3">
      <c r="B6" s="41">
        <v>4</v>
      </c>
      <c r="C6" s="2" t="s">
        <v>114</v>
      </c>
      <c r="D6" s="1" t="s">
        <v>117</v>
      </c>
      <c r="E6" s="1" t="s">
        <v>96</v>
      </c>
      <c r="F6" s="41">
        <v>262730063</v>
      </c>
      <c r="G6" s="1" t="s">
        <v>121</v>
      </c>
      <c r="H6" s="41">
        <v>15000</v>
      </c>
      <c r="I6" s="41"/>
      <c r="J6" s="41">
        <f>1100+429.91+2196.78+500+25.1+4259</f>
        <v>8510.7900000000009</v>
      </c>
      <c r="K6" s="41">
        <f>Table1181920231030313235383940414811[[#This Row],[النولون]]+Table1181920231030313235383940414811[[#This Row],[الايصالات]]+Table1181920231030313235383940414811[[#This Row],[قيمة مضافة]]</f>
        <v>23510.79</v>
      </c>
      <c r="L6" s="41"/>
      <c r="M6" s="1">
        <f>M5+Table1181920231030313235383940414811[[#This Row],[اجمالي الفاتوره]]-Table1181920231030313235383940414811[[#This Row],[الدفعات]]</f>
        <v>145763.60999999999</v>
      </c>
      <c r="N6" s="41"/>
      <c r="O6" s="48"/>
    </row>
    <row r="7" spans="1:15" ht="26.25" customHeight="1" x14ac:dyDescent="0.3">
      <c r="B7" s="1">
        <v>5</v>
      </c>
      <c r="C7" s="2" t="s">
        <v>113</v>
      </c>
      <c r="D7" s="1" t="s">
        <v>117</v>
      </c>
      <c r="E7" s="1" t="s">
        <v>94</v>
      </c>
      <c r="F7" s="1">
        <v>262730133</v>
      </c>
      <c r="G7" s="1" t="s">
        <v>121</v>
      </c>
      <c r="H7" s="1">
        <v>16500</v>
      </c>
      <c r="J7" s="1">
        <f>850+1100+429.91+100+1797.78+500+4259</f>
        <v>9036.6899999999987</v>
      </c>
      <c r="K7" s="1">
        <f>Table1181920231030313235383940414811[[#This Row],[النولون]]+Table1181920231030313235383940414811[[#This Row],[الايصالات]]+Table1181920231030313235383940414811[[#This Row],[قيمة مضافة]]</f>
        <v>25536.69</v>
      </c>
      <c r="M7" s="1">
        <f>M6+Table1181920231030313235383940414811[[#This Row],[اجمالي الفاتوره]]-Table1181920231030313235383940414811[[#This Row],[الدفعات]]</f>
        <v>171300.3</v>
      </c>
      <c r="O7" s="48"/>
    </row>
    <row r="8" spans="1:15" ht="26.25" customHeight="1" x14ac:dyDescent="0.3">
      <c r="B8" s="41">
        <v>6</v>
      </c>
      <c r="C8" s="2" t="s">
        <v>113</v>
      </c>
      <c r="D8" s="1" t="s">
        <v>115</v>
      </c>
      <c r="E8" s="1" t="s">
        <v>94</v>
      </c>
      <c r="F8" s="1" t="s">
        <v>134</v>
      </c>
      <c r="G8" s="41">
        <v>0</v>
      </c>
      <c r="H8" s="41">
        <v>0</v>
      </c>
      <c r="I8" s="41"/>
      <c r="J8" s="41">
        <f>1497+150*3</f>
        <v>1947</v>
      </c>
      <c r="K8" s="41">
        <f>Table1181920231030313235383940414811[[#This Row],[النولون]]+Table1181920231030313235383940414811[[#This Row],[الايصالات]]+Table1181920231030313235383940414811[[#This Row],[قيمة مضافة]]</f>
        <v>1947</v>
      </c>
      <c r="L8" s="41"/>
      <c r="M8" s="1">
        <f>M7+Table1181920231030313235383940414811[[#This Row],[اجمالي الفاتوره]]-Table1181920231030313235383940414811[[#This Row],[الدفعات]]</f>
        <v>173247.3</v>
      </c>
      <c r="N8" s="41"/>
      <c r="O8" s="48"/>
    </row>
    <row r="9" spans="1:15" ht="26.25" customHeight="1" x14ac:dyDescent="0.3">
      <c r="B9" s="1">
        <v>7</v>
      </c>
      <c r="C9" s="2" t="s">
        <v>150</v>
      </c>
      <c r="D9" s="1" t="s">
        <v>117</v>
      </c>
      <c r="E9" s="1" t="s">
        <v>94</v>
      </c>
      <c r="F9" s="1">
        <v>263861547</v>
      </c>
      <c r="G9" s="1" t="s">
        <v>121</v>
      </c>
      <c r="H9" s="1">
        <v>16500</v>
      </c>
      <c r="J9" s="1">
        <f>1100+447.74+45.15+25.1+500+4530</f>
        <v>6647.99</v>
      </c>
      <c r="K9" s="1">
        <f>Table1181920231030313235383940414811[[#This Row],[النولون]]+Table1181920231030313235383940414811[[#This Row],[الايصالات]]+Table1181920231030313235383940414811[[#This Row],[قيمة مضافة]]</f>
        <v>23147.989999999998</v>
      </c>
      <c r="M9" s="1">
        <f>M8+Table1181920231030313235383940414811[[#This Row],[اجمالي الفاتوره]]-Table1181920231030313235383940414811[[#This Row],[الدفعات]]</f>
        <v>196395.28999999998</v>
      </c>
      <c r="O9" s="48"/>
    </row>
    <row r="10" spans="1:15" ht="26.25" customHeight="1" x14ac:dyDescent="0.3">
      <c r="A10" s="74"/>
      <c r="B10" s="76"/>
      <c r="C10" s="73" t="s">
        <v>335</v>
      </c>
      <c r="D10" s="76"/>
      <c r="E10" s="76"/>
      <c r="F10" s="76"/>
      <c r="G10" s="76"/>
      <c r="H10" s="76"/>
      <c r="I10" s="76"/>
      <c r="J10" s="76"/>
      <c r="K10" s="76">
        <f>Table1181920231030313235383940414811[[#This Row],[النولون]]+Table1181920231030313235383940414811[[#This Row],[الايصالات]]+Table1181920231030313235383940414811[[#This Row],[قيمة مضافة]]</f>
        <v>0</v>
      </c>
      <c r="L10" s="76">
        <v>147344</v>
      </c>
      <c r="M10" s="72">
        <f>M9+Table1181920231030313235383940414811[[#This Row],[اجمالي الفاتوره]]-Table1181920231030313235383940414811[[#This Row],[الدفعات]]</f>
        <v>49051.289999999979</v>
      </c>
      <c r="N10" s="48"/>
      <c r="O10" s="48"/>
    </row>
    <row r="11" spans="1:15" ht="26.25" customHeight="1" x14ac:dyDescent="0.3">
      <c r="B11" s="1">
        <v>8</v>
      </c>
      <c r="C11" s="2" t="s">
        <v>150</v>
      </c>
      <c r="D11" s="1" t="s">
        <v>151</v>
      </c>
      <c r="E11" s="1" t="s">
        <v>94</v>
      </c>
      <c r="F11" s="1">
        <v>37230</v>
      </c>
      <c r="G11" s="1" t="s">
        <v>92</v>
      </c>
      <c r="H11" s="1">
        <f>16500*2</f>
        <v>33000</v>
      </c>
      <c r="J11" s="1">
        <f>410+1100*2+441.22+452.53+250+2622+500</f>
        <v>6875.75</v>
      </c>
      <c r="K11" s="1">
        <f>Table1181920231030313235383940414811[[#This Row],[النولون]]+Table1181920231030313235383940414811[[#This Row],[الايصالات]]+Table1181920231030313235383940414811[[#This Row],[قيمة مضافة]]</f>
        <v>39875.75</v>
      </c>
      <c r="M11" s="1">
        <f>M10+Table1181920231030313235383940414811[[#This Row],[اجمالي الفاتوره]]-Table1181920231030313235383940414811[[#This Row],[الدفعات]]</f>
        <v>88927.039999999979</v>
      </c>
      <c r="O11" s="48"/>
    </row>
    <row r="12" spans="1:15" ht="26.25" customHeight="1" x14ac:dyDescent="0.3">
      <c r="A12" s="6">
        <v>1226</v>
      </c>
      <c r="B12" s="1">
        <v>0</v>
      </c>
      <c r="C12" s="2" t="s">
        <v>150</v>
      </c>
      <c r="D12" s="1" t="s">
        <v>152</v>
      </c>
      <c r="E12" s="1" t="s">
        <v>96</v>
      </c>
      <c r="F12" s="20">
        <v>37066</v>
      </c>
      <c r="G12" s="1" t="s">
        <v>121</v>
      </c>
      <c r="H12" s="1">
        <v>15000</v>
      </c>
      <c r="J12" s="1">
        <f>1135+105.79+455.97+1079.12+25.1+250</f>
        <v>3050.98</v>
      </c>
      <c r="K12" s="1">
        <f>Table1181920231030313235383940414811[[#This Row],[النولون]]+Table1181920231030313235383940414811[[#This Row],[الايصالات]]+Table1181920231030313235383940414811[[#This Row],[قيمة مضافة]]</f>
        <v>18050.98</v>
      </c>
      <c r="M12" s="1">
        <f>M11+Table1181920231030313235383940414811[[#This Row],[اجمالي الفاتوره]]-Table1181920231030313235383940414811[[#This Row],[الدفعات]]</f>
        <v>106978.01999999997</v>
      </c>
      <c r="O12" s="48"/>
    </row>
    <row r="13" spans="1:15" ht="26.25" customHeight="1" x14ac:dyDescent="0.3">
      <c r="A13" s="6">
        <v>1227</v>
      </c>
      <c r="B13" s="1">
        <v>0</v>
      </c>
      <c r="C13" s="2" t="s">
        <v>150</v>
      </c>
      <c r="D13" s="1" t="s">
        <v>153</v>
      </c>
      <c r="E13" s="1" t="s">
        <v>154</v>
      </c>
      <c r="F13" s="20">
        <v>264182024</v>
      </c>
      <c r="G13" s="1" t="s">
        <v>121</v>
      </c>
      <c r="H13" s="1">
        <f>19100+5000</f>
        <v>24100</v>
      </c>
      <c r="J13" s="1">
        <f>210+1100+477.98+50+79+150+2086.2+500+4531</f>
        <v>9184.18</v>
      </c>
      <c r="K13" s="1">
        <f>Table1181920231030313235383940414811[[#This Row],[النولون]]+Table1181920231030313235383940414811[[#This Row],[الايصالات]]+Table1181920231030313235383940414811[[#This Row],[قيمة مضافة]]</f>
        <v>33284.18</v>
      </c>
      <c r="M13" s="1">
        <f>M12+Table1181920231030313235383940414811[[#This Row],[اجمالي الفاتوره]]-Table1181920231030313235383940414811[[#This Row],[الدفعات]]</f>
        <v>140262.19999999998</v>
      </c>
      <c r="O13" s="48"/>
    </row>
    <row r="14" spans="1:15" ht="26.25" customHeight="1" x14ac:dyDescent="0.3">
      <c r="A14" s="74"/>
      <c r="B14" s="76"/>
      <c r="C14" s="73" t="s">
        <v>356</v>
      </c>
      <c r="D14" s="76"/>
      <c r="E14" s="76"/>
      <c r="F14" s="76"/>
      <c r="G14" s="76"/>
      <c r="H14" s="76"/>
      <c r="I14" s="76"/>
      <c r="J14" s="76">
        <v>0</v>
      </c>
      <c r="K14" s="76">
        <f>Table1181920231030313235383940414811[[#This Row],[النولون]]+Table1181920231030313235383940414811[[#This Row],[الايصالات]]+Table1181920231030313235383940414811[[#This Row],[قيمة مضافة]]</f>
        <v>0</v>
      </c>
      <c r="L14" s="76">
        <v>122207</v>
      </c>
      <c r="M14" s="72">
        <f>M13+Table1181920231030313235383940414811[[#This Row],[اجمالي الفاتوره]]-Table1181920231030313235383940414811[[#This Row],[الدفعات]]</f>
        <v>18055.199999999983</v>
      </c>
      <c r="N14" s="48"/>
      <c r="O14" s="48"/>
    </row>
    <row r="15" spans="1:15" ht="26.25" customHeight="1" x14ac:dyDescent="0.3">
      <c r="A15" s="6">
        <v>1228</v>
      </c>
      <c r="B15" s="1">
        <v>0</v>
      </c>
      <c r="C15" s="2" t="s">
        <v>150</v>
      </c>
      <c r="D15" s="1" t="s">
        <v>153</v>
      </c>
      <c r="E15" s="1" t="s">
        <v>154</v>
      </c>
      <c r="F15" s="20">
        <v>264182129</v>
      </c>
      <c r="G15" s="1" t="s">
        <v>121</v>
      </c>
      <c r="H15" s="1">
        <f>19100+5000</f>
        <v>24100</v>
      </c>
      <c r="J15" s="1">
        <f>810+210+1100+480.8+50+79+2086.2+500+4531+150</f>
        <v>9997</v>
      </c>
      <c r="K15" s="1">
        <f>Table1181920231030313235383940414811[[#This Row],[النولون]]+Table1181920231030313235383940414811[[#This Row],[الايصالات]]+Table1181920231030313235383940414811[[#This Row],[قيمة مضافة]]</f>
        <v>34097</v>
      </c>
      <c r="M15" s="1">
        <f>M14+Table1181920231030313235383940414811[[#This Row],[اجمالي الفاتوره]]-Table1181920231030313235383940414811[[#This Row],[الدفعات]]</f>
        <v>52152.199999999983</v>
      </c>
      <c r="O15" s="48"/>
    </row>
    <row r="16" spans="1:15" ht="26.25" customHeight="1" x14ac:dyDescent="0.3">
      <c r="B16" s="1">
        <v>9</v>
      </c>
      <c r="C16" s="2" t="s">
        <v>199</v>
      </c>
      <c r="D16" s="1" t="s">
        <v>115</v>
      </c>
      <c r="E16" s="1" t="s">
        <v>212</v>
      </c>
      <c r="F16" s="1">
        <v>265249764</v>
      </c>
      <c r="G16" s="1" t="s">
        <v>92</v>
      </c>
      <c r="H16" s="1">
        <f>10500*2</f>
        <v>21000</v>
      </c>
      <c r="J16" s="1">
        <f>850+1130*2+68.08+710.5+789.94+105.79+100.35+997+8516</f>
        <v>14397.66</v>
      </c>
      <c r="K16" s="1">
        <f>Table1181920231030313235383940414811[[#This Row],[النولون]]+Table1181920231030313235383940414811[[#This Row],[الايصالات]]+Table1181920231030313235383940414811[[#This Row],[قيمة مضافة]]</f>
        <v>35397.660000000003</v>
      </c>
      <c r="M16" s="1">
        <f>M15+Table1181920231030313235383940414811[[#This Row],[اجمالي الفاتوره]]-Table1181920231030313235383940414811[[#This Row],[الدفعات]]</f>
        <v>87549.859999999986</v>
      </c>
      <c r="N16" s="1">
        <f>SUM(K:K)-SUM(L:L)+M2</f>
        <v>997504.09999999916</v>
      </c>
      <c r="O16" s="48">
        <f>SUM(I:I)</f>
        <v>0</v>
      </c>
    </row>
    <row r="17" spans="1:15" ht="26.25" customHeight="1" x14ac:dyDescent="0.3">
      <c r="B17" s="41">
        <v>10</v>
      </c>
      <c r="C17" s="2" t="s">
        <v>199</v>
      </c>
      <c r="D17" s="1" t="s">
        <v>115</v>
      </c>
      <c r="E17" s="1" t="s">
        <v>190</v>
      </c>
      <c r="F17" s="1">
        <v>265249842</v>
      </c>
      <c r="G17" s="1" t="s">
        <v>92</v>
      </c>
      <c r="H17" s="41">
        <f>19100*2</f>
        <v>38200</v>
      </c>
      <c r="I17" s="41"/>
      <c r="J17" s="41">
        <f>410+120+79*2+1100*2+335.71+68.08+446.88+45.15+997+8516+200</f>
        <v>13496.82</v>
      </c>
      <c r="K17" s="41">
        <f>Table1181920231030313235383940414811[[#This Row],[النولون]]+Table1181920231030313235383940414811[[#This Row],[الايصالات]]+Table1181920231030313235383940414811[[#This Row],[قيمة مضافة]]</f>
        <v>51696.82</v>
      </c>
      <c r="L17" s="41"/>
      <c r="M17" s="1">
        <f>M16+Table1181920231030313235383940414811[[#This Row],[اجمالي الفاتوره]]-Table1181920231030313235383940414811[[#This Row],[الدفعات]]</f>
        <v>139246.68</v>
      </c>
      <c r="N17" s="41"/>
      <c r="O17" s="48"/>
    </row>
    <row r="18" spans="1:15" ht="26.25" customHeight="1" x14ac:dyDescent="0.3">
      <c r="B18" s="1">
        <v>11</v>
      </c>
      <c r="C18" s="2" t="s">
        <v>199</v>
      </c>
      <c r="D18" s="1" t="s">
        <v>115</v>
      </c>
      <c r="E18" s="1" t="s">
        <v>119</v>
      </c>
      <c r="F18" s="48">
        <v>265377606</v>
      </c>
      <c r="G18" s="1" t="s">
        <v>92</v>
      </c>
      <c r="H18" s="1">
        <f>17300*2</f>
        <v>34600</v>
      </c>
      <c r="J18" s="1">
        <f>410+1100*2+480.8+869.38+178.09+45.15+79*2+350*2+50.2+997+8518+200</f>
        <v>14806.619999999999</v>
      </c>
      <c r="K18" s="1">
        <f>Table1181920231030313235383940414811[[#This Row],[النولون]]+Table1181920231030313235383940414811[[#This Row],[الايصالات]]+Table1181920231030313235383940414811[[#This Row],[قيمة مضافة]]</f>
        <v>49406.619999999995</v>
      </c>
      <c r="M18" s="1">
        <f>M17+Table1181920231030313235383940414811[[#This Row],[اجمالي الفاتوره]]-Table1181920231030313235383940414811[[#This Row],[الدفعات]]</f>
        <v>188653.3</v>
      </c>
      <c r="O18" s="48"/>
    </row>
    <row r="19" spans="1:15" ht="26.25" customHeight="1" x14ac:dyDescent="0.3">
      <c r="B19" s="1">
        <v>12</v>
      </c>
      <c r="C19" s="2" t="s">
        <v>199</v>
      </c>
      <c r="D19" s="1" t="s">
        <v>117</v>
      </c>
      <c r="E19" s="1" t="s">
        <v>94</v>
      </c>
      <c r="F19" s="1">
        <v>264237430</v>
      </c>
      <c r="G19" s="1" t="s">
        <v>121</v>
      </c>
      <c r="H19" s="1">
        <v>16500</v>
      </c>
      <c r="J19" s="1">
        <f>1100+429.91+45.15+68.08+25.1+500+4259</f>
        <v>6427.24</v>
      </c>
      <c r="K19" s="1">
        <f>Table1181920231030313235383940414811[[#This Row],[النولون]]+Table1181920231030313235383940414811[[#This Row],[الايصالات]]+Table1181920231030313235383940414811[[#This Row],[قيمة مضافة]]</f>
        <v>22927.239999999998</v>
      </c>
      <c r="M19" s="1">
        <f>M18+Table1181920231030313235383940414811[[#This Row],[اجمالي الفاتوره]]-Table1181920231030313235383940414811[[#This Row],[الدفعات]]</f>
        <v>211580.53999999998</v>
      </c>
      <c r="O19" s="48"/>
    </row>
    <row r="20" spans="1:15" ht="26.25" customHeight="1" x14ac:dyDescent="0.3">
      <c r="B20" s="41">
        <v>13</v>
      </c>
      <c r="C20" s="2" t="s">
        <v>199</v>
      </c>
      <c r="D20" s="1" t="s">
        <v>213</v>
      </c>
      <c r="E20" s="1" t="s">
        <v>96</v>
      </c>
      <c r="F20" s="41">
        <v>263791760</v>
      </c>
      <c r="G20" s="1" t="s">
        <v>121</v>
      </c>
      <c r="H20" s="41">
        <v>15000</v>
      </c>
      <c r="I20" s="41"/>
      <c r="J20" s="41">
        <f>1135+210+855.52+105.79+150+25.1+500+4259</f>
        <v>7240.41</v>
      </c>
      <c r="K20" s="41">
        <f>Table1181920231030313235383940414811[[#This Row],[النولون]]+Table1181920231030313235383940414811[[#This Row],[الايصالات]]+Table1181920231030313235383940414811[[#This Row],[قيمة مضافة]]</f>
        <v>22240.41</v>
      </c>
      <c r="L20" s="41"/>
      <c r="M20" s="1">
        <f>M19+Table1181920231030313235383940414811[[#This Row],[اجمالي الفاتوره]]-Table1181920231030313235383940414811[[#This Row],[الدفعات]]</f>
        <v>233820.94999999998</v>
      </c>
      <c r="N20" s="41"/>
      <c r="O20" s="48"/>
    </row>
    <row r="21" spans="1:15" ht="26.25" customHeight="1" x14ac:dyDescent="0.3">
      <c r="B21" s="1">
        <v>14</v>
      </c>
      <c r="C21" s="2" t="s">
        <v>237</v>
      </c>
      <c r="D21" s="1" t="s">
        <v>116</v>
      </c>
      <c r="E21" s="1" t="s">
        <v>118</v>
      </c>
      <c r="F21" s="1">
        <v>874654</v>
      </c>
      <c r="G21" s="1" t="s">
        <v>120</v>
      </c>
      <c r="H21" s="1">
        <v>13500</v>
      </c>
      <c r="J21" s="1">
        <f>220.89+580+798+150+171</f>
        <v>1919.8899999999999</v>
      </c>
      <c r="K21" s="1">
        <f>Table1181920231030313235383940414811[[#This Row],[النولون]]+Table1181920231030313235383940414811[[#This Row],[الايصالات]]+Table1181920231030313235383940414811[[#This Row],[قيمة مضافة]]</f>
        <v>15419.89</v>
      </c>
      <c r="M21" s="1">
        <f>M20+Table1181920231030313235383940414811[[#This Row],[اجمالي الفاتوره]]-Table1181920231030313235383940414811[[#This Row],[الدفعات]]</f>
        <v>249240.83999999997</v>
      </c>
      <c r="O21" s="48"/>
    </row>
    <row r="22" spans="1:15" ht="26.25" customHeight="1" x14ac:dyDescent="0.3">
      <c r="A22" s="6">
        <v>1285</v>
      </c>
      <c r="B22" s="1">
        <v>0</v>
      </c>
      <c r="C22" s="2" t="s">
        <v>293</v>
      </c>
      <c r="D22" s="1" t="s">
        <v>152</v>
      </c>
      <c r="E22" s="1" t="s">
        <v>96</v>
      </c>
      <c r="F22" s="1">
        <v>879490</v>
      </c>
      <c r="G22" s="1" t="s">
        <v>120</v>
      </c>
      <c r="H22" s="1">
        <v>15000</v>
      </c>
      <c r="J22" s="1">
        <f>110+590+347.87+50+150+50+741+150+171</f>
        <v>2359.87</v>
      </c>
      <c r="K22" s="1">
        <f>Table1181920231030313235383940414811[[#This Row],[النولون]]+Table1181920231030313235383940414811[[#This Row],[الايصالات]]+Table1181920231030313235383940414811[[#This Row],[قيمة مضافة]]</f>
        <v>17359.87</v>
      </c>
      <c r="M22" s="1">
        <f>M21+Table1181920231030313235383940414811[[#This Row],[اجمالي الفاتوره]]-Table1181920231030313235383940414811[[#This Row],[الدفعات]]</f>
        <v>266600.70999999996</v>
      </c>
      <c r="O22" s="48"/>
    </row>
    <row r="23" spans="1:15" ht="26.25" customHeight="1" x14ac:dyDescent="0.3">
      <c r="A23" s="74"/>
      <c r="B23" s="76"/>
      <c r="C23" s="73" t="s">
        <v>388</v>
      </c>
      <c r="D23" s="76"/>
      <c r="E23" s="76"/>
      <c r="F23" s="76"/>
      <c r="G23" s="76"/>
      <c r="H23" s="76"/>
      <c r="I23" s="76"/>
      <c r="J23" s="76"/>
      <c r="K23" s="76"/>
      <c r="L23" s="76">
        <v>150000</v>
      </c>
      <c r="M23" s="72">
        <f>M22+Table1181920231030313235383940414811[[#This Row],[اجمالي الفاتوره]]-Table1181920231030313235383940414811[[#This Row],[الدفعات]]</f>
        <v>116600.70999999996</v>
      </c>
      <c r="N23" s="48"/>
      <c r="O23" s="48"/>
    </row>
    <row r="24" spans="1:15" ht="26.25" customHeight="1" x14ac:dyDescent="0.3">
      <c r="A24" s="74"/>
      <c r="B24" s="76"/>
      <c r="C24" s="73" t="s">
        <v>389</v>
      </c>
      <c r="D24" s="76"/>
      <c r="E24" s="76"/>
      <c r="F24" s="76"/>
      <c r="G24" s="76"/>
      <c r="H24" s="76"/>
      <c r="I24" s="76"/>
      <c r="J24" s="76"/>
      <c r="K24" s="76"/>
      <c r="L24" s="76">
        <v>100000</v>
      </c>
      <c r="M24" s="72">
        <f>M23+Table1181920231030313235383940414811[[#This Row],[اجمالي الفاتوره]]-Table1181920231030313235383940414811[[#This Row],[الدفعات]]</f>
        <v>16600.709999999963</v>
      </c>
      <c r="N24" s="48"/>
      <c r="O24" s="48"/>
    </row>
    <row r="25" spans="1:15" ht="26.25" customHeight="1" x14ac:dyDescent="0.3">
      <c r="B25" s="1">
        <v>15</v>
      </c>
      <c r="C25" s="2" t="s">
        <v>299</v>
      </c>
      <c r="D25" s="1" t="s">
        <v>117</v>
      </c>
      <c r="E25" s="1" t="s">
        <v>94</v>
      </c>
      <c r="F25" s="1">
        <v>265804314</v>
      </c>
      <c r="G25" s="1" t="s">
        <v>121</v>
      </c>
      <c r="H25" s="1">
        <v>16500</v>
      </c>
      <c r="J25" s="1">
        <f>114+1100+424.26+810+2086.2+500+4259</f>
        <v>9293.4599999999991</v>
      </c>
      <c r="K25" s="1">
        <f>Table1181920231030313235383940414811[[#This Row],[النولون]]+Table1181920231030313235383940414811[[#This Row],[الايصالات]]+Table1181920231030313235383940414811[[#This Row],[قيمة مضافة]]</f>
        <v>25793.46</v>
      </c>
      <c r="M25" s="1">
        <f>M24+Table1181920231030313235383940414811[[#This Row],[اجمالي الفاتوره]]-Table1181920231030313235383940414811[[#This Row],[الدفعات]]</f>
        <v>42394.169999999962</v>
      </c>
      <c r="O25" s="48"/>
    </row>
    <row r="26" spans="1:15" ht="26.25" customHeight="1" x14ac:dyDescent="0.3">
      <c r="B26" s="41">
        <v>16</v>
      </c>
      <c r="C26" s="2" t="s">
        <v>299</v>
      </c>
      <c r="D26" s="1" t="s">
        <v>304</v>
      </c>
      <c r="E26" s="1" t="s">
        <v>305</v>
      </c>
      <c r="F26" s="41">
        <v>882981</v>
      </c>
      <c r="G26" s="1" t="s">
        <v>143</v>
      </c>
      <c r="H26" s="41">
        <v>18000</v>
      </c>
      <c r="I26" s="41"/>
      <c r="J26" s="41">
        <f>3500+5000+100+50+1100+45.15+444.05+850+25.1+350+399</f>
        <v>11863.3</v>
      </c>
      <c r="K26" s="41">
        <f>Table1181920231030313235383940414811[[#This Row],[النولون]]+Table1181920231030313235383940414811[[#This Row],[الايصالات]]+Table1181920231030313235383940414811[[#This Row],[قيمة مضافة]]</f>
        <v>29863.3</v>
      </c>
      <c r="L26" s="41"/>
      <c r="M26" s="1">
        <f>M25+Table1181920231030313235383940414811[[#This Row],[اجمالي الفاتوره]]-Table1181920231030313235383940414811[[#This Row],[الدفعات]]</f>
        <v>72257.469999999958</v>
      </c>
      <c r="N26" s="41"/>
      <c r="O26" s="48"/>
    </row>
    <row r="27" spans="1:15" ht="26.25" customHeight="1" x14ac:dyDescent="0.3">
      <c r="A27" s="74"/>
      <c r="B27" s="76"/>
      <c r="C27" s="73" t="s">
        <v>418</v>
      </c>
      <c r="D27" s="76"/>
      <c r="E27" s="76"/>
      <c r="F27" s="76"/>
      <c r="G27" s="76"/>
      <c r="H27" s="76"/>
      <c r="I27" s="76"/>
      <c r="J27" s="76"/>
      <c r="K27" s="76">
        <v>760</v>
      </c>
      <c r="L27" s="76">
        <v>73017</v>
      </c>
      <c r="M27" s="72">
        <f>M26+Table1181920231030313235383940414811[[#This Row],[اجمالي الفاتوره]]-Table1181920231030313235383940414811[[#This Row],[الدفعات]]</f>
        <v>0.46999999995750841</v>
      </c>
      <c r="N27" s="48"/>
      <c r="O27" s="48"/>
    </row>
    <row r="28" spans="1:15" ht="26.25" customHeight="1" x14ac:dyDescent="0.3">
      <c r="B28" s="1">
        <v>17</v>
      </c>
      <c r="C28" s="2" t="s">
        <v>315</v>
      </c>
      <c r="D28" s="1" t="s">
        <v>117</v>
      </c>
      <c r="E28" s="1" t="s">
        <v>94</v>
      </c>
      <c r="F28" s="1">
        <v>266051663</v>
      </c>
      <c r="G28" s="1" t="s">
        <v>121</v>
      </c>
      <c r="H28" s="1">
        <v>16500</v>
      </c>
      <c r="J28" s="1">
        <f>1100+432.38+45.15+810+500+25.1+4259</f>
        <v>7171.63</v>
      </c>
      <c r="K28" s="1">
        <f>Table1181920231030313235383940414811[[#This Row],[النولون]]+Table1181920231030313235383940414811[[#This Row],[الايصالات]]+Table1181920231030313235383940414811[[#This Row],[قيمة مضافة]]</f>
        <v>23671.63</v>
      </c>
      <c r="M28" s="1">
        <f>M27+Table1181920231030313235383940414811[[#This Row],[اجمالي الفاتوره]]-Table1181920231030313235383940414811[[#This Row],[الدفعات]]</f>
        <v>23672.099999999959</v>
      </c>
      <c r="O28" s="48"/>
    </row>
    <row r="29" spans="1:15" ht="26.25" customHeight="1" x14ac:dyDescent="0.3">
      <c r="B29" s="1">
        <v>18</v>
      </c>
      <c r="C29" s="2" t="s">
        <v>315</v>
      </c>
      <c r="D29" s="1" t="s">
        <v>115</v>
      </c>
      <c r="E29" s="1" t="s">
        <v>119</v>
      </c>
      <c r="F29" s="1">
        <v>266508148</v>
      </c>
      <c r="G29" s="1" t="s">
        <v>121</v>
      </c>
      <c r="H29" s="1">
        <v>17300</v>
      </c>
      <c r="J29" s="1">
        <f>850+210+1100+105.79+790.15+79+500+25.1+4259+150+3500</f>
        <v>11569.04</v>
      </c>
      <c r="K29" s="1">
        <f>Table1181920231030313235383940414811[[#This Row],[النولون]]+Table1181920231030313235383940414811[[#This Row],[الايصالات]]+Table1181920231030313235383940414811[[#This Row],[قيمة مضافة]]</f>
        <v>28869.040000000001</v>
      </c>
      <c r="M29" s="1">
        <f>M28+Table1181920231030313235383940414811[[#This Row],[اجمالي الفاتوره]]-Table1181920231030313235383940414811[[#This Row],[الدفعات]]</f>
        <v>52541.139999999956</v>
      </c>
      <c r="O29" s="48"/>
    </row>
    <row r="30" spans="1:15" ht="26.25" customHeight="1" x14ac:dyDescent="0.3">
      <c r="B30" s="1">
        <v>19</v>
      </c>
      <c r="C30" s="2" t="s">
        <v>315</v>
      </c>
      <c r="D30" s="1" t="s">
        <v>115</v>
      </c>
      <c r="E30" s="1" t="s">
        <v>119</v>
      </c>
      <c r="F30" s="1">
        <v>266508006</v>
      </c>
      <c r="G30" s="1" t="s">
        <v>121</v>
      </c>
      <c r="H30" s="1">
        <v>17300</v>
      </c>
      <c r="J30" s="1">
        <f>210+1100+789.94+45.15+79+25.1+500+4259+150+3500</f>
        <v>10658.19</v>
      </c>
      <c r="K30" s="1">
        <f>Table1181920231030313235383940414811[[#This Row],[النولون]]+Table1181920231030313235383940414811[[#This Row],[الايصالات]]+Table1181920231030313235383940414811[[#This Row],[قيمة مضافة]]</f>
        <v>27958.190000000002</v>
      </c>
      <c r="M30" s="1">
        <f>M29+Table1181920231030313235383940414811[[#This Row],[اجمالي الفاتوره]]-Table1181920231030313235383940414811[[#This Row],[الدفعات]]</f>
        <v>80499.329999999958</v>
      </c>
      <c r="O30" s="48"/>
    </row>
    <row r="31" spans="1:15" ht="26.25" customHeight="1" x14ac:dyDescent="0.3">
      <c r="B31" s="41">
        <v>20</v>
      </c>
      <c r="C31" s="2" t="s">
        <v>315</v>
      </c>
      <c r="D31" s="1" t="s">
        <v>115</v>
      </c>
      <c r="E31" s="1" t="s">
        <v>119</v>
      </c>
      <c r="F31" s="41">
        <v>886380</v>
      </c>
      <c r="G31" s="1" t="s">
        <v>121</v>
      </c>
      <c r="H31" s="41">
        <v>17300</v>
      </c>
      <c r="I31" s="41"/>
      <c r="J31" s="41">
        <f>210+100+79+1140+491.75+350+2500+200+285+150</f>
        <v>5505.75</v>
      </c>
      <c r="K31" s="41">
        <f>Table1181920231030313235383940414811[[#This Row],[النولون]]+Table1181920231030313235383940414811[[#This Row],[الايصالات]]+Table1181920231030313235383940414811[[#This Row],[قيمة مضافة]]</f>
        <v>22805.75</v>
      </c>
      <c r="L31" s="41"/>
      <c r="M31" s="1">
        <f>M30+Table1181920231030313235383940414811[[#This Row],[اجمالي الفاتوره]]-Table1181920231030313235383940414811[[#This Row],[الدفعات]]</f>
        <v>103305.07999999996</v>
      </c>
      <c r="N31" s="41"/>
      <c r="O31" s="48"/>
    </row>
    <row r="32" spans="1:15" ht="26.25" customHeight="1" x14ac:dyDescent="0.3">
      <c r="B32" s="1">
        <v>21</v>
      </c>
      <c r="C32" s="2" t="s">
        <v>315</v>
      </c>
      <c r="D32" s="1" t="s">
        <v>136</v>
      </c>
      <c r="E32" s="1" t="s">
        <v>126</v>
      </c>
      <c r="F32" s="1">
        <v>339464</v>
      </c>
      <c r="G32" s="1" t="s">
        <v>158</v>
      </c>
      <c r="H32" s="1">
        <f>19100*3</f>
        <v>57300</v>
      </c>
      <c r="J32" s="1">
        <f>610+1100*3+424.26+421.43+424.26+1350+774+1999.56+4110+250+12775</f>
        <v>26438.510000000002</v>
      </c>
      <c r="K32" s="1">
        <f>Table1181920231030313235383940414811[[#This Row],[النولون]]+Table1181920231030313235383940414811[[#This Row],[الايصالات]]+Table1181920231030313235383940414811[[#This Row],[قيمة مضافة]]</f>
        <v>83738.510000000009</v>
      </c>
      <c r="M32" s="1">
        <f>M31+Table1181920231030313235383940414811[[#This Row],[اجمالي الفاتوره]]-Table1181920231030313235383940414811[[#This Row],[الدفعات]]</f>
        <v>187043.58999999997</v>
      </c>
      <c r="O32" s="48"/>
    </row>
    <row r="33" spans="1:15" ht="26.25" customHeight="1" x14ac:dyDescent="0.3">
      <c r="B33" s="1">
        <v>22</v>
      </c>
      <c r="C33" s="2" t="s">
        <v>315</v>
      </c>
      <c r="D33" s="1" t="s">
        <v>345</v>
      </c>
      <c r="E33" s="1" t="s">
        <v>96</v>
      </c>
      <c r="F33" s="1">
        <v>266496627</v>
      </c>
      <c r="G33" s="1" t="s">
        <v>121</v>
      </c>
      <c r="H33" s="1">
        <v>15000</v>
      </c>
      <c r="J33" s="1">
        <f>1130+469.41+500+25.1+4259</f>
        <v>6383.51</v>
      </c>
      <c r="K33" s="1">
        <f>Table1181920231030313235383940414811[[#This Row],[النولون]]+Table1181920231030313235383940414811[[#This Row],[الايصالات]]+Table1181920231030313235383940414811[[#This Row],[قيمة مضافة]]</f>
        <v>21383.510000000002</v>
      </c>
      <c r="M33" s="1">
        <f>M32+Table1181920231030313235383940414811[[#This Row],[اجمالي الفاتوره]]-Table1181920231030313235383940414811[[#This Row],[الدفعات]]</f>
        <v>208427.09999999998</v>
      </c>
      <c r="O33" s="48"/>
    </row>
    <row r="34" spans="1:15" ht="26.25" customHeight="1" x14ac:dyDescent="0.3">
      <c r="A34" s="74"/>
      <c r="B34" s="72"/>
      <c r="C34" s="73">
        <v>46131</v>
      </c>
      <c r="D34" s="72"/>
      <c r="E34" s="72"/>
      <c r="F34" s="72"/>
      <c r="G34" s="72"/>
      <c r="H34" s="72"/>
      <c r="I34" s="72"/>
      <c r="J34" s="72"/>
      <c r="K34" s="72">
        <f>Table1181920231030313235383940414811[[#This Row],[النولون]]+Table1181920231030313235383940414811[[#This Row],[الايصالات]]+Table1181920231030313235383940414811[[#This Row],[قيمة مضافة]]</f>
        <v>0</v>
      </c>
      <c r="L34" s="72">
        <v>195000</v>
      </c>
      <c r="M34" s="72">
        <f>M33+Table1181920231030313235383940414811[[#This Row],[اجمالي الفاتوره]]-Table1181920231030313235383940414811[[#This Row],[الدفعات]]</f>
        <v>13427.099999999977</v>
      </c>
    </row>
    <row r="35" spans="1:15" ht="26.25" customHeight="1" x14ac:dyDescent="0.3">
      <c r="B35" s="41">
        <v>23</v>
      </c>
      <c r="C35" s="2" t="s">
        <v>342</v>
      </c>
      <c r="D35" s="1" t="s">
        <v>345</v>
      </c>
      <c r="E35" s="1" t="s">
        <v>96</v>
      </c>
      <c r="F35" s="41">
        <v>887477</v>
      </c>
      <c r="G35" s="1" t="s">
        <v>181</v>
      </c>
      <c r="H35" s="41">
        <f>15000*4</f>
        <v>60000</v>
      </c>
      <c r="I35" s="41"/>
      <c r="J35" s="41">
        <f>810+850+1130+1135+1135+1125+105.79*3+198.74+421.43+430.16+439.88+421.68+250+600+800+1140+100.35</f>
        <v>11304.61</v>
      </c>
      <c r="K35" s="41">
        <f>Table1181920231030313235383940414811[[#This Row],[النولون]]+Table1181920231030313235383940414811[[#This Row],[الايصالات]]+Table1181920231030313235383940414811[[#This Row],[قيمة مضافة]]</f>
        <v>71304.61</v>
      </c>
      <c r="L35" s="41"/>
      <c r="M35" s="1">
        <f>M34+Table1181920231030313235383940414811[[#This Row],[اجمالي الفاتوره]]-Table1181920231030313235383940414811[[#This Row],[الدفعات]]</f>
        <v>84731.709999999977</v>
      </c>
      <c r="N35" s="41"/>
      <c r="O35" s="48"/>
    </row>
    <row r="36" spans="1:15" ht="26.25" customHeight="1" x14ac:dyDescent="0.3">
      <c r="A36" s="6">
        <v>1314</v>
      </c>
      <c r="B36" s="1">
        <v>0</v>
      </c>
      <c r="C36" s="2" t="s">
        <v>342</v>
      </c>
      <c r="D36" s="1" t="s">
        <v>152</v>
      </c>
      <c r="E36" s="1" t="s">
        <v>96</v>
      </c>
      <c r="F36" s="1">
        <v>888453</v>
      </c>
      <c r="G36" s="1" t="s">
        <v>121</v>
      </c>
      <c r="H36" s="1">
        <v>15000</v>
      </c>
      <c r="J36" s="1">
        <f>110+580+362.32+150+150+171+2500</f>
        <v>4023.3199999999997</v>
      </c>
      <c r="K36" s="1">
        <f>Table1181920231030313235383940414811[[#This Row],[النولون]]+Table1181920231030313235383940414811[[#This Row],[الايصالات]]+Table1181920231030313235383940414811[[#This Row],[قيمة مضافة]]</f>
        <v>19023.32</v>
      </c>
      <c r="M36" s="1">
        <f>M35+Table1181920231030313235383940414811[[#This Row],[اجمالي الفاتوره]]-Table1181920231030313235383940414811[[#This Row],[الدفعات]]</f>
        <v>103755.02999999997</v>
      </c>
      <c r="O36" s="48"/>
    </row>
    <row r="37" spans="1:15" ht="26.25" customHeight="1" x14ac:dyDescent="0.3">
      <c r="A37" s="74"/>
      <c r="B37" s="96"/>
      <c r="C37" s="98">
        <v>46133</v>
      </c>
      <c r="D37" s="96"/>
      <c r="E37" s="96"/>
      <c r="F37" s="96"/>
      <c r="G37" s="96"/>
      <c r="H37" s="96"/>
      <c r="I37" s="96"/>
      <c r="J37" s="96"/>
      <c r="K37" s="96">
        <f>Table1181920231030313235383940414811[[#This Row],[النولون]]+Table1181920231030313235383940414811[[#This Row],[الايصالات]]+Table1181920231030313235383940414811[[#This Row],[قيمة مضافة]]</f>
        <v>0</v>
      </c>
      <c r="L37" s="96">
        <v>100000</v>
      </c>
      <c r="M37" s="72">
        <f>M36+Table1181920231030313235383940414811[[#This Row],[اجمالي الفاتوره]]-Table1181920231030313235383940414811[[#This Row],[الدفعات]]</f>
        <v>3755.0299999999697</v>
      </c>
      <c r="N37" s="95"/>
      <c r="O37" s="95"/>
    </row>
    <row r="38" spans="1:15" ht="26.25" customHeight="1" x14ac:dyDescent="0.3">
      <c r="B38" s="1">
        <v>24</v>
      </c>
      <c r="C38" s="2" t="s">
        <v>342</v>
      </c>
      <c r="D38" s="1" t="s">
        <v>346</v>
      </c>
      <c r="E38" s="1" t="s">
        <v>347</v>
      </c>
      <c r="F38" s="1">
        <v>884524</v>
      </c>
      <c r="G38" s="1" t="s">
        <v>121</v>
      </c>
      <c r="H38" s="1">
        <v>16500</v>
      </c>
      <c r="J38" s="1">
        <f>810+1100+429.91+105.79+1140+200+285+25.1</f>
        <v>4095.7999999999997</v>
      </c>
      <c r="K38" s="1">
        <f>Table1181920231030313235383940414811[[#This Row],[النولون]]+Table1181920231030313235383940414811[[#This Row],[الايصالات]]+Table1181920231030313235383940414811[[#This Row],[قيمة مضافة]]</f>
        <v>20595.8</v>
      </c>
      <c r="M38" s="1">
        <f>M37+Table1181920231030313235383940414811[[#This Row],[اجمالي الفاتوره]]-Table1181920231030313235383940414811[[#This Row],[الدفعات]]</f>
        <v>24350.829999999969</v>
      </c>
      <c r="O38" s="48"/>
    </row>
    <row r="39" spans="1:15" ht="26.25" customHeight="1" x14ac:dyDescent="0.3">
      <c r="A39" s="6">
        <v>1325</v>
      </c>
      <c r="B39" s="1">
        <v>0</v>
      </c>
      <c r="C39" s="2" t="s">
        <v>368</v>
      </c>
      <c r="D39" s="1" t="s">
        <v>153</v>
      </c>
      <c r="E39" s="1" t="s">
        <v>154</v>
      </c>
      <c r="F39" s="1">
        <v>266789987</v>
      </c>
      <c r="G39" s="1" t="s">
        <v>92</v>
      </c>
      <c r="H39" s="1">
        <f>19100*2+5000*2</f>
        <v>48200</v>
      </c>
      <c r="J39" s="1">
        <f>410+850+50*4+79*2+1100*2+475.15+477.98+68.08+105.79+350*2+997+2246.71+50.2+8517+200</f>
        <v>17655.91</v>
      </c>
      <c r="K39" s="1">
        <f>Table1181920231030313235383940414811[[#This Row],[النولون]]+Table1181920231030313235383940414811[[#This Row],[الايصالات]]+Table1181920231030313235383940414811[[#This Row],[قيمة مضافة]]</f>
        <v>65855.91</v>
      </c>
      <c r="M39" s="1">
        <f>M38+Table1181920231030313235383940414811[[#This Row],[اجمالي الفاتوره]]-Table1181920231030313235383940414811[[#This Row],[الدفعات]]</f>
        <v>90206.739999999976</v>
      </c>
      <c r="O39" s="48"/>
    </row>
    <row r="40" spans="1:15" ht="26.25" customHeight="1" x14ac:dyDescent="0.3">
      <c r="B40" s="41">
        <v>25</v>
      </c>
      <c r="C40" s="2" t="s">
        <v>368</v>
      </c>
      <c r="D40" s="1" t="s">
        <v>115</v>
      </c>
      <c r="E40" s="1" t="s">
        <v>119</v>
      </c>
      <c r="F40" s="41">
        <v>774</v>
      </c>
      <c r="G40" s="1" t="s">
        <v>158</v>
      </c>
      <c r="H40" s="41">
        <f>19100*3</f>
        <v>57300</v>
      </c>
      <c r="I40" s="41"/>
      <c r="J40" s="41">
        <f>610+810+1100*3+477.86+449.71+446.88+3150+1050+600+850+1050+350+1350+774+13048+250</f>
        <v>28566.45</v>
      </c>
      <c r="K40" s="41">
        <f>Table1181920231030313235383940414811[[#This Row],[النولون]]+Table1181920231030313235383940414811[[#This Row],[الايصالات]]+Table1181920231030313235383940414811[[#This Row],[قيمة مضافة]]</f>
        <v>85866.45</v>
      </c>
      <c r="L40" s="41"/>
      <c r="M40" s="1">
        <f>M39+Table1181920231030313235383940414811[[#This Row],[اجمالي الفاتوره]]-Table1181920231030313235383940414811[[#This Row],[الدفعات]]</f>
        <v>176073.18999999997</v>
      </c>
      <c r="N40" s="41"/>
      <c r="O40" s="48"/>
    </row>
    <row r="41" spans="1:15" ht="26.25" customHeight="1" x14ac:dyDescent="0.3">
      <c r="B41" s="1">
        <v>26</v>
      </c>
      <c r="C41" s="2" t="s">
        <v>379</v>
      </c>
      <c r="D41" s="1" t="s">
        <v>115</v>
      </c>
      <c r="E41" s="1" t="s">
        <v>119</v>
      </c>
      <c r="F41" s="1">
        <v>892394</v>
      </c>
      <c r="G41" s="1" t="s">
        <v>143</v>
      </c>
      <c r="H41" s="1">
        <v>22500</v>
      </c>
      <c r="J41" s="1">
        <f>3500+810+150+79+1100+700.47+1539+350+399+150+2000</f>
        <v>10777.470000000001</v>
      </c>
      <c r="K41" s="1">
        <f>Table1181920231030313235383940414811[[#This Row],[النولون]]+Table1181920231030313235383940414811[[#This Row],[الايصالات]]+Table1181920231030313235383940414811[[#This Row],[قيمة مضافة]]</f>
        <v>33277.47</v>
      </c>
      <c r="M41" s="1">
        <f>M40+Table1181920231030313235383940414811[[#This Row],[اجمالي الفاتوره]]-Table1181920231030313235383940414811[[#This Row],[الدفعات]]</f>
        <v>209350.65999999997</v>
      </c>
      <c r="O41" s="48"/>
    </row>
    <row r="42" spans="1:15" ht="26.25" customHeight="1" x14ac:dyDescent="0.3">
      <c r="A42" s="74"/>
      <c r="B42" s="96"/>
      <c r="C42" s="98">
        <v>46138</v>
      </c>
      <c r="D42" s="96"/>
      <c r="E42" s="96"/>
      <c r="F42" s="96"/>
      <c r="G42" s="96"/>
      <c r="H42" s="96"/>
      <c r="I42" s="96"/>
      <c r="J42" s="96"/>
      <c r="K42" s="96">
        <f>Table1181920231030313235383940414811[[#This Row],[النولون]]+Table1181920231030313235383940414811[[#This Row],[الايصالات]]+Table1181920231030313235383940414811[[#This Row],[قيمة مضافة]]</f>
        <v>0</v>
      </c>
      <c r="L42" s="96">
        <v>100000</v>
      </c>
      <c r="M42" s="72">
        <f>M41+Table1181920231030313235383940414811[[#This Row],[اجمالي الفاتوره]]-Table1181920231030313235383940414811[[#This Row],[الدفعات]]</f>
        <v>109350.65999999997</v>
      </c>
      <c r="N42" s="95"/>
      <c r="O42" s="95"/>
    </row>
    <row r="43" spans="1:15" ht="26.25" customHeight="1" x14ac:dyDescent="0.3">
      <c r="A43" s="74"/>
      <c r="B43" s="96"/>
      <c r="C43" s="98">
        <v>46139</v>
      </c>
      <c r="D43" s="96"/>
      <c r="E43" s="96"/>
      <c r="F43" s="96"/>
      <c r="G43" s="96"/>
      <c r="H43" s="96"/>
      <c r="I43" s="96"/>
      <c r="J43" s="96"/>
      <c r="K43" s="96">
        <f>Table1181920231030313235383940414811[[#This Row],[النولون]]+Table1181920231030313235383940414811[[#This Row],[الايصالات]]+Table1181920231030313235383940414811[[#This Row],[قيمة مضافة]]</f>
        <v>0</v>
      </c>
      <c r="L43" s="96">
        <v>100000</v>
      </c>
      <c r="M43" s="72">
        <f>M42+Table1181920231030313235383940414811[[#This Row],[اجمالي الفاتوره]]-Table1181920231030313235383940414811[[#This Row],[الدفعات]]</f>
        <v>9350.6599999999744</v>
      </c>
      <c r="N43" s="95"/>
      <c r="O43" s="95"/>
    </row>
    <row r="44" spans="1:15" ht="26.25" customHeight="1" x14ac:dyDescent="0.3">
      <c r="B44" s="1">
        <v>27</v>
      </c>
      <c r="C44" s="2" t="s">
        <v>379</v>
      </c>
      <c r="D44" s="1" t="s">
        <v>136</v>
      </c>
      <c r="E44" s="1" t="s">
        <v>126</v>
      </c>
      <c r="F44" s="1">
        <v>640</v>
      </c>
      <c r="G44" s="1" t="s">
        <v>92</v>
      </c>
      <c r="H44" s="1">
        <f>19100*2</f>
        <v>38200</v>
      </c>
      <c r="J44" s="1">
        <f>410+1100*2+421.43+418.61+2100+700+400+850+700+810+900+517+8517+200</f>
        <v>19144.04</v>
      </c>
      <c r="K44" s="1">
        <f>Table1181920231030313235383940414811[[#This Row],[النولون]]+Table1181920231030313235383940414811[[#This Row],[الايصالات]]+Table1181920231030313235383940414811[[#This Row],[قيمة مضافة]]</f>
        <v>57344.04</v>
      </c>
      <c r="M44" s="1">
        <f>M43+Table1181920231030313235383940414811[[#This Row],[اجمالي الفاتوره]]-Table1181920231030313235383940414811[[#This Row],[الدفعات]]</f>
        <v>66694.699999999983</v>
      </c>
      <c r="O44" s="48"/>
    </row>
    <row r="45" spans="1:15" ht="26.25" customHeight="1" x14ac:dyDescent="0.3">
      <c r="B45" s="41">
        <v>28</v>
      </c>
      <c r="C45" s="2" t="s">
        <v>379</v>
      </c>
      <c r="D45" s="1" t="s">
        <v>136</v>
      </c>
      <c r="E45" s="1" t="s">
        <v>126</v>
      </c>
      <c r="F45" s="41">
        <v>805</v>
      </c>
      <c r="G45" s="1" t="s">
        <v>92</v>
      </c>
      <c r="H45" s="41">
        <f>19100*2</f>
        <v>38200</v>
      </c>
      <c r="I45" s="41"/>
      <c r="J45" s="41">
        <f>410+1100*2+429.91+424.26+810+350+2100+700+700+850+400+900+517+8789+200</f>
        <v>19780.169999999998</v>
      </c>
      <c r="K45" s="41">
        <f>Table1181920231030313235383940414811[[#This Row],[النولون]]+Table1181920231030313235383940414811[[#This Row],[الايصالات]]+Table1181920231030313235383940414811[[#This Row],[قيمة مضافة]]</f>
        <v>57980.17</v>
      </c>
      <c r="L45" s="41"/>
      <c r="M45" s="1">
        <f>M44+Table1181920231030313235383940414811[[#This Row],[اجمالي الفاتوره]]-Table1181920231030313235383940414811[[#This Row],[الدفعات]]</f>
        <v>124674.86999999998</v>
      </c>
      <c r="N45" s="41"/>
      <c r="O45" s="48"/>
    </row>
    <row r="46" spans="1:15" ht="26.25" customHeight="1" x14ac:dyDescent="0.3">
      <c r="A46" s="74"/>
      <c r="B46" s="96"/>
      <c r="C46" s="98">
        <v>46156</v>
      </c>
      <c r="D46" s="96"/>
      <c r="E46" s="96"/>
      <c r="F46" s="96"/>
      <c r="G46" s="96"/>
      <c r="H46" s="96"/>
      <c r="I46" s="96"/>
      <c r="J46" s="96"/>
      <c r="K46" s="96">
        <f>Table1181920231030313235383940414811[[#This Row],[النولون]]+Table1181920231030313235383940414811[[#This Row],[الايصالات]]+Table1181920231030313235383940414811[[#This Row],[قيمة مضافة]]</f>
        <v>0</v>
      </c>
      <c r="L46" s="96">
        <v>50000</v>
      </c>
      <c r="M46" s="72">
        <f>M45+Table1181920231030313235383940414811[[#This Row],[اجمالي الفاتوره]]-Table1181920231030313235383940414811[[#This Row],[الدفعات]]</f>
        <v>74674.869999999981</v>
      </c>
      <c r="N46" s="95"/>
      <c r="O46" s="95"/>
    </row>
    <row r="47" spans="1:15" ht="26.25" customHeight="1" x14ac:dyDescent="0.3">
      <c r="A47" s="74"/>
      <c r="B47" s="96"/>
      <c r="C47" s="98">
        <v>46156</v>
      </c>
      <c r="D47" s="96"/>
      <c r="E47" s="96"/>
      <c r="F47" s="96"/>
      <c r="G47" s="96"/>
      <c r="H47" s="96"/>
      <c r="I47" s="96"/>
      <c r="J47" s="96"/>
      <c r="K47" s="96">
        <f>Table1181920231030313235383940414811[[#This Row],[النولون]]+Table1181920231030313235383940414811[[#This Row],[الايصالات]]+Table1181920231030313235383940414811[[#This Row],[قيمة مضافة]]</f>
        <v>0</v>
      </c>
      <c r="L47" s="96">
        <v>40000</v>
      </c>
      <c r="M47" s="72">
        <f>M46+Table1181920231030313235383940414811[[#This Row],[اجمالي الفاتوره]]-Table1181920231030313235383940414811[[#This Row],[الدفعات]]</f>
        <v>34674.869999999981</v>
      </c>
      <c r="N47" s="95"/>
      <c r="O47" s="95"/>
    </row>
    <row r="48" spans="1:15" ht="26.25" customHeight="1" x14ac:dyDescent="0.3">
      <c r="B48" s="1">
        <v>29</v>
      </c>
      <c r="C48" s="2" t="s">
        <v>379</v>
      </c>
      <c r="D48" s="1" t="s">
        <v>384</v>
      </c>
      <c r="E48" s="1" t="s">
        <v>96</v>
      </c>
      <c r="F48" s="1">
        <v>887211</v>
      </c>
      <c r="G48" s="1" t="s">
        <v>120</v>
      </c>
      <c r="H48" s="1">
        <v>15000</v>
      </c>
      <c r="J48" s="1">
        <f>590+307.43+68.08+150+150+171+25.1</f>
        <v>1461.6100000000001</v>
      </c>
      <c r="K48" s="1">
        <f>Table1181920231030313235383940414811[[#This Row],[النولون]]+Table1181920231030313235383940414811[[#This Row],[الايصالات]]+Table1181920231030313235383940414811[[#This Row],[قيمة مضافة]]</f>
        <v>16461.61</v>
      </c>
      <c r="M48" s="1">
        <f>M47+Table1181920231030313235383940414811[[#This Row],[اجمالي الفاتوره]]-Table1181920231030313235383940414811[[#This Row],[الدفعات]]</f>
        <v>51136.479999999981</v>
      </c>
      <c r="O48" s="48"/>
    </row>
    <row r="49" spans="1:15" ht="26.25" customHeight="1" x14ac:dyDescent="0.3">
      <c r="A49" s="6">
        <v>1334</v>
      </c>
      <c r="B49" s="1">
        <v>0</v>
      </c>
      <c r="C49" s="2" t="s">
        <v>398</v>
      </c>
      <c r="D49" s="1" t="s">
        <v>153</v>
      </c>
      <c r="E49" s="1" t="s">
        <v>154</v>
      </c>
      <c r="F49" s="1">
        <v>814</v>
      </c>
      <c r="G49" s="1" t="s">
        <v>91</v>
      </c>
      <c r="H49" s="1">
        <f>21900*5+5750*5</f>
        <v>138250</v>
      </c>
      <c r="J49" s="1">
        <f>1010+810+114+50*9+4*79+4*1100+1130+762.65+477.98+477.98+638.84+762.65+1750+850+1750+1000+5250+2250+250+1288+21291</f>
        <v>47029.1</v>
      </c>
      <c r="K49" s="1">
        <f>Table1181920231030313235383940414811[[#This Row],[النولون]]+Table1181920231030313235383940414811[[#This Row],[الايصالات]]+Table1181920231030313235383940414811[[#This Row],[قيمة مضافة]]</f>
        <v>185279.1</v>
      </c>
      <c r="M49" s="1">
        <f>M48+Table1181920231030313235383940414811[[#This Row],[اجمالي الفاتوره]]-Table1181920231030313235383940414811[[#This Row],[الدفعات]]</f>
        <v>236415.58</v>
      </c>
      <c r="O49" s="48"/>
    </row>
    <row r="50" spans="1:15" ht="26.25" customHeight="1" x14ac:dyDescent="0.3">
      <c r="A50" s="74"/>
      <c r="B50" s="96"/>
      <c r="C50" s="98">
        <v>46159</v>
      </c>
      <c r="D50" s="96"/>
      <c r="E50" s="96"/>
      <c r="F50" s="96"/>
      <c r="G50" s="96"/>
      <c r="H50" s="96"/>
      <c r="I50" s="96"/>
      <c r="J50" s="96"/>
      <c r="K50" s="96">
        <f>Table1181920231030313235383940414811[[#This Row],[النولون]]+Table1181920231030313235383940414811[[#This Row],[الايصالات]]+Table1181920231030313235383940414811[[#This Row],[قيمة مضافة]]</f>
        <v>0</v>
      </c>
      <c r="L50" s="96">
        <v>75000</v>
      </c>
      <c r="M50" s="72">
        <f>M49+Table1181920231030313235383940414811[[#This Row],[اجمالي الفاتوره]]-Table1181920231030313235383940414811[[#This Row],[الدفعات]]</f>
        <v>161415.57999999999</v>
      </c>
      <c r="N50" s="95"/>
      <c r="O50" s="95"/>
    </row>
    <row r="51" spans="1:15" ht="26.25" customHeight="1" x14ac:dyDescent="0.3">
      <c r="A51" s="74"/>
      <c r="B51" s="96"/>
      <c r="C51" s="98">
        <v>46160</v>
      </c>
      <c r="D51" s="96"/>
      <c r="E51" s="96"/>
      <c r="F51" s="96"/>
      <c r="G51" s="96"/>
      <c r="H51" s="96"/>
      <c r="I51" s="96"/>
      <c r="J51" s="96"/>
      <c r="K51" s="96">
        <f>Table1181920231030313235383940414811[[#This Row],[النولون]]+Table1181920231030313235383940414811[[#This Row],[الايصالات]]+Table1181920231030313235383940414811[[#This Row],[قيمة مضافة]]</f>
        <v>0</v>
      </c>
      <c r="L51" s="96">
        <v>100000</v>
      </c>
      <c r="M51" s="72">
        <f>M50+Table1181920231030313235383940414811[[#This Row],[اجمالي الفاتوره]]-Table1181920231030313235383940414811[[#This Row],[الدفعات]]</f>
        <v>61415.579999999987</v>
      </c>
      <c r="N51" s="95"/>
      <c r="O51" s="95"/>
    </row>
    <row r="52" spans="1:15" ht="26.25" customHeight="1" x14ac:dyDescent="0.3">
      <c r="A52" s="6">
        <v>1335</v>
      </c>
      <c r="B52" s="1">
        <v>0</v>
      </c>
      <c r="C52" s="2" t="s">
        <v>398</v>
      </c>
      <c r="D52" s="1" t="s">
        <v>152</v>
      </c>
      <c r="E52" s="1" t="s">
        <v>96</v>
      </c>
      <c r="F52" s="1">
        <v>893721</v>
      </c>
      <c r="G52" s="1" t="s">
        <v>120</v>
      </c>
      <c r="H52" s="1">
        <v>17000</v>
      </c>
      <c r="J52" s="1">
        <f>810+580+324.5+100+150+50+969+150+171</f>
        <v>3304.5</v>
      </c>
      <c r="K52" s="1">
        <f>Table1181920231030313235383940414811[[#This Row],[النولون]]+Table1181920231030313235383940414811[[#This Row],[الايصالات]]+Table1181920231030313235383940414811[[#This Row],[قيمة مضافة]]</f>
        <v>20304.5</v>
      </c>
      <c r="M52" s="1">
        <f>M51+Table1181920231030313235383940414811[[#This Row],[اجمالي الفاتوره]]-Table1181920231030313235383940414811[[#This Row],[الدفعات]]</f>
        <v>81720.079999999987</v>
      </c>
      <c r="O52" s="48"/>
    </row>
    <row r="53" spans="1:15" ht="26.25" customHeight="1" x14ac:dyDescent="0.3">
      <c r="B53" s="41">
        <v>30</v>
      </c>
      <c r="C53" s="2" t="s">
        <v>398</v>
      </c>
      <c r="D53" s="1" t="s">
        <v>117</v>
      </c>
      <c r="E53" s="1" t="s">
        <v>94</v>
      </c>
      <c r="F53" s="41">
        <v>266986748</v>
      </c>
      <c r="G53" s="1" t="s">
        <v>121</v>
      </c>
      <c r="H53" s="41">
        <v>18000</v>
      </c>
      <c r="I53" s="41"/>
      <c r="J53" s="41">
        <f>1100+424.26+810+500+2086.2+4259</f>
        <v>9179.4599999999991</v>
      </c>
      <c r="K53" s="41">
        <f>Table1181920231030313235383940414811[[#This Row],[النولون]]+Table1181920231030313235383940414811[[#This Row],[الايصالات]]+Table1181920231030313235383940414811[[#This Row],[قيمة مضافة]]</f>
        <v>27179.46</v>
      </c>
      <c r="L53" s="41"/>
      <c r="M53" s="1">
        <f>M52+Table1181920231030313235383940414811[[#This Row],[اجمالي الفاتوره]]-Table1181920231030313235383940414811[[#This Row],[الدفعات]]</f>
        <v>108899.53999999998</v>
      </c>
      <c r="N53" s="41"/>
      <c r="O53" s="48"/>
    </row>
    <row r="54" spans="1:15" ht="26.25" customHeight="1" x14ac:dyDescent="0.3">
      <c r="A54" s="74"/>
      <c r="B54" s="96"/>
      <c r="C54" s="98">
        <v>46162</v>
      </c>
      <c r="D54" s="96"/>
      <c r="E54" s="96"/>
      <c r="F54" s="96"/>
      <c r="G54" s="96"/>
      <c r="H54" s="96"/>
      <c r="I54" s="96"/>
      <c r="J54" s="96"/>
      <c r="K54" s="96">
        <f>Table1181920231030313235383940414811[[#This Row],[النولون]]+Table1181920231030313235383940414811[[#This Row],[الايصالات]]+Table1181920231030313235383940414811[[#This Row],[قيمة مضافة]]</f>
        <v>0</v>
      </c>
      <c r="L54" s="96">
        <v>100000</v>
      </c>
      <c r="M54" s="72">
        <f>M53+Table1181920231030313235383940414811[[#This Row],[اجمالي الفاتوره]]-Table1181920231030313235383940414811[[#This Row],[الدفعات]]</f>
        <v>8899.539999999979</v>
      </c>
      <c r="N54" s="95"/>
      <c r="O54" s="95"/>
    </row>
    <row r="55" spans="1:15" ht="26.25" customHeight="1" x14ac:dyDescent="0.3">
      <c r="B55" s="1">
        <v>31</v>
      </c>
      <c r="C55" s="2" t="s">
        <v>398</v>
      </c>
      <c r="D55" s="1" t="s">
        <v>117</v>
      </c>
      <c r="E55" s="1" t="s">
        <v>94</v>
      </c>
      <c r="F55" s="1">
        <v>267036340</v>
      </c>
      <c r="G55" s="1" t="s">
        <v>121</v>
      </c>
      <c r="H55" s="1">
        <v>18000</v>
      </c>
      <c r="J55" s="1">
        <f>810+1100+424.26+399+2409.96+500+4641+120</f>
        <v>10404.220000000001</v>
      </c>
      <c r="K55" s="1">
        <f>Table1181920231030313235383940414811[[#This Row],[النولون]]+Table1181920231030313235383940414811[[#This Row],[الايصالات]]+Table1181920231030313235383940414811[[#This Row],[قيمة مضافة]]</f>
        <v>28404.22</v>
      </c>
      <c r="M55" s="1">
        <f>M54+Table1181920231030313235383940414811[[#This Row],[اجمالي الفاتوره]]-Table1181920231030313235383940414811[[#This Row],[الدفعات]]</f>
        <v>37303.75999999998</v>
      </c>
      <c r="O55" s="48"/>
    </row>
    <row r="56" spans="1:15" ht="26.25" customHeight="1" x14ac:dyDescent="0.3">
      <c r="B56" s="1">
        <v>33</v>
      </c>
      <c r="C56" s="2" t="s">
        <v>407</v>
      </c>
      <c r="D56" s="1" t="s">
        <v>413</v>
      </c>
      <c r="E56" s="1" t="s">
        <v>96</v>
      </c>
      <c r="F56" s="1">
        <v>267365188</v>
      </c>
      <c r="G56" s="1" t="s">
        <v>121</v>
      </c>
      <c r="H56" s="1">
        <v>16500</v>
      </c>
      <c r="J56" s="1">
        <f>850+210+100+1135+432.74+150+500+1607.4+4641</f>
        <v>9626.14</v>
      </c>
      <c r="K56" s="1">
        <f>Table1181920231030313235383940414811[[#This Row],[النولون]]+Table1181920231030313235383940414811[[#This Row],[الايصالات]]+Table1181920231030313235383940414811[[#This Row],[قيمة مضافة]]</f>
        <v>26126.14</v>
      </c>
      <c r="M56" s="1">
        <f>M55+Table1181920231030313235383940414811[[#This Row],[اجمالي الفاتوره]]-Table1181920231030313235383940414811[[#This Row],[الدفعات]]</f>
        <v>63429.89999999998</v>
      </c>
      <c r="O56" s="48"/>
    </row>
    <row r="57" spans="1:15" ht="26.25" customHeight="1" x14ac:dyDescent="0.3">
      <c r="B57" s="1">
        <v>34</v>
      </c>
      <c r="C57" s="2" t="s">
        <v>407</v>
      </c>
      <c r="D57" s="2" t="s">
        <v>116</v>
      </c>
      <c r="E57" s="1" t="s">
        <v>419</v>
      </c>
      <c r="F57" s="1">
        <v>4213</v>
      </c>
      <c r="G57" s="1" t="s">
        <v>121</v>
      </c>
      <c r="H57" s="1">
        <v>20000</v>
      </c>
      <c r="J57" s="1">
        <f>210+1100+50*2+100+120+95+136.5+1621.8+600</f>
        <v>4083.3</v>
      </c>
      <c r="K57" s="1">
        <f>Table1181920231030313235383940414811[[#This Row],[النولون]]+Table1181920231030313235383940414811[[#This Row],[الايصالات]]+Table1181920231030313235383940414811[[#This Row],[قيمة مضافة]]</f>
        <v>24083.3</v>
      </c>
      <c r="M57" s="1">
        <f>M56+Table1181920231030313235383940414811[[#This Row],[اجمالي الفاتوره]]-Table1181920231030313235383940414811[[#This Row],[الدفعات]]</f>
        <v>87513.199999999983</v>
      </c>
      <c r="O57" s="48"/>
    </row>
    <row r="58" spans="1:15" ht="26.25" customHeight="1" x14ac:dyDescent="0.3">
      <c r="B58" s="1">
        <v>35</v>
      </c>
      <c r="C58" s="2">
        <v>46119</v>
      </c>
      <c r="D58" s="1" t="s">
        <v>427</v>
      </c>
      <c r="E58" s="1" t="s">
        <v>428</v>
      </c>
      <c r="F58" s="1">
        <v>57352</v>
      </c>
      <c r="G58" s="1" t="s">
        <v>120</v>
      </c>
      <c r="H58" s="1">
        <v>17500</v>
      </c>
      <c r="J58" s="1">
        <f>220.89+45.15+150+550+700+25.1</f>
        <v>1691.1399999999999</v>
      </c>
      <c r="K58" s="1">
        <f>Table1181920231030313235383940414811[[#This Row],[النولون]]+Table1181920231030313235383940414811[[#This Row],[الايصالات]]+Table1181920231030313235383940414811[[#This Row],[قيمة مضافة]]</f>
        <v>19191.14</v>
      </c>
      <c r="M58" s="1">
        <f>M57+Table1181920231030313235383940414811[[#This Row],[اجمالي الفاتوره]]-Table1181920231030313235383940414811[[#This Row],[الدفعات]]</f>
        <v>106704.33999999998</v>
      </c>
      <c r="O58" s="48"/>
    </row>
    <row r="59" spans="1:15" ht="26.25" customHeight="1" x14ac:dyDescent="0.3">
      <c r="A59" s="74"/>
      <c r="B59" s="96"/>
      <c r="C59" s="98">
        <v>46182</v>
      </c>
      <c r="D59" s="96"/>
      <c r="E59" s="96"/>
      <c r="F59" s="96"/>
      <c r="G59" s="96"/>
      <c r="H59" s="96"/>
      <c r="I59" s="96"/>
      <c r="J59" s="96"/>
      <c r="K59" s="96">
        <f>Table1181920231030313235383940414811[[#This Row],[النولون]]+Table1181920231030313235383940414811[[#This Row],[الايصالات]]+Table1181920231030313235383940414811[[#This Row],[قيمة مضافة]]</f>
        <v>0</v>
      </c>
      <c r="L59" s="96">
        <v>100000</v>
      </c>
      <c r="M59" s="72">
        <f>M58+Table1181920231030313235383940414811[[#This Row],[اجمالي الفاتوره]]-Table1181920231030313235383940414811[[#This Row],[الدفعات]]</f>
        <v>6704.339999999982</v>
      </c>
      <c r="N59" s="95"/>
      <c r="O59" s="95"/>
    </row>
    <row r="60" spans="1:15" ht="26.25" customHeight="1" x14ac:dyDescent="0.3">
      <c r="B60" s="1">
        <v>36</v>
      </c>
      <c r="C60" s="2">
        <v>46119</v>
      </c>
      <c r="D60" s="1" t="s">
        <v>115</v>
      </c>
      <c r="E60" s="1" t="s">
        <v>119</v>
      </c>
      <c r="F60" s="1">
        <v>855</v>
      </c>
      <c r="G60" s="1" t="s">
        <v>92</v>
      </c>
      <c r="H60" s="1">
        <f>21000*2</f>
        <v>42000</v>
      </c>
      <c r="J60" s="1">
        <f>410+850+100*2+1135*2+827.98+68.08+45.15+970.54+350*2+517+9230+200+79*2</f>
        <v>16446.75</v>
      </c>
      <c r="K60" s="1">
        <f>Table1181920231030313235383940414811[[#This Row],[النولون]]+Table1181920231030313235383940414811[[#This Row],[الايصالات]]+Table1181920231030313235383940414811[[#This Row],[قيمة مضافة]]</f>
        <v>58446.75</v>
      </c>
      <c r="M60" s="1">
        <f>M59+Table1181920231030313235383940414811[[#This Row],[اجمالي الفاتوره]]-Table1181920231030313235383940414811[[#This Row],[الدفعات]]</f>
        <v>65151.089999999982</v>
      </c>
      <c r="O60" s="48"/>
    </row>
    <row r="61" spans="1:15" ht="26.25" customHeight="1" x14ac:dyDescent="0.3">
      <c r="B61" s="41">
        <v>37</v>
      </c>
      <c r="C61" s="45">
        <v>46119</v>
      </c>
      <c r="D61" s="1" t="s">
        <v>115</v>
      </c>
      <c r="E61" s="1" t="s">
        <v>119</v>
      </c>
      <c r="F61" s="41">
        <v>854</v>
      </c>
      <c r="G61" s="1" t="s">
        <v>92</v>
      </c>
      <c r="H61" s="41">
        <f>21000*2</f>
        <v>42000</v>
      </c>
      <c r="I61" s="41"/>
      <c r="J61" s="41">
        <f>410+100+1100*2+494.57*2+105.79*2+79*2+2700+350*2+517+9230+239.4+200</f>
        <v>17655.120000000003</v>
      </c>
      <c r="K61" s="41">
        <f>Table1181920231030313235383940414811[[#This Row],[النولون]]+Table1181920231030313235383940414811[[#This Row],[الايصالات]]+Table1181920231030313235383940414811[[#This Row],[قيمة مضافة]]</f>
        <v>59655.12</v>
      </c>
      <c r="L61" s="41"/>
      <c r="M61" s="1">
        <f>M60+Table1181920231030313235383940414811[[#This Row],[اجمالي الفاتوره]]-Table1181920231030313235383940414811[[#This Row],[الدفعات]]</f>
        <v>124806.20999999999</v>
      </c>
      <c r="N61" s="41"/>
      <c r="O61" s="48"/>
    </row>
    <row r="62" spans="1:15" ht="26.25" customHeight="1" x14ac:dyDescent="0.3">
      <c r="B62" s="1">
        <v>38</v>
      </c>
      <c r="C62" s="2">
        <v>46119</v>
      </c>
      <c r="D62" s="1" t="s">
        <v>115</v>
      </c>
      <c r="E62" s="1" t="s">
        <v>119</v>
      </c>
      <c r="F62" s="1">
        <v>887</v>
      </c>
      <c r="G62" s="1" t="s">
        <v>92</v>
      </c>
      <c r="H62" s="1">
        <f>21000*2</f>
        <v>42000</v>
      </c>
      <c r="J62" s="1">
        <f>850+410+100+1100*2+480.8*2+79*2+3650+400+350+517+9229+200+1596</f>
        <v>20621.599999999999</v>
      </c>
      <c r="K62" s="1">
        <f>Table1181920231030313235383940414811[[#This Row],[النولون]]+Table1181920231030313235383940414811[[#This Row],[الايصالات]]+Table1181920231030313235383940414811[[#This Row],[قيمة مضافة]]</f>
        <v>62621.599999999999</v>
      </c>
      <c r="M62" s="1">
        <f>M61+Table1181920231030313235383940414811[[#This Row],[اجمالي الفاتوره]]-Table1181920231030313235383940414811[[#This Row],[الدفعات]]</f>
        <v>187427.81</v>
      </c>
      <c r="O62" s="48"/>
    </row>
    <row r="63" spans="1:15" ht="26.25" customHeight="1" x14ac:dyDescent="0.3">
      <c r="B63" s="41">
        <v>39</v>
      </c>
      <c r="C63" s="45">
        <v>46123</v>
      </c>
      <c r="D63" s="1" t="s">
        <v>117</v>
      </c>
      <c r="E63" s="1" t="s">
        <v>94</v>
      </c>
      <c r="F63" s="41">
        <v>3596700</v>
      </c>
      <c r="G63" s="1" t="s">
        <v>121</v>
      </c>
      <c r="H63" s="41">
        <v>17500</v>
      </c>
      <c r="I63" s="41"/>
      <c r="J63" s="41">
        <f>120+1100+45.15+424.26+1243.06+1634.7+855+39.9</f>
        <v>5462.07</v>
      </c>
      <c r="K63" s="41">
        <f>Table1181920231030313235383940414811[[#This Row],[النولون]]+Table1181920231030313235383940414811[[#This Row],[الايصالات]]+Table1181920231030313235383940414811[[#This Row],[قيمة مضافة]]</f>
        <v>22962.07</v>
      </c>
      <c r="L63" s="41"/>
      <c r="M63" s="1">
        <f>M62+Table1181920231030313235383940414811[[#This Row],[اجمالي الفاتوره]]-Table1181920231030313235383940414811[[#This Row],[الدفعات]]</f>
        <v>210389.88</v>
      </c>
      <c r="N63" s="41"/>
      <c r="O63" s="48"/>
    </row>
    <row r="64" spans="1:15" ht="26.25" customHeight="1" x14ac:dyDescent="0.3">
      <c r="A64" s="74"/>
      <c r="B64" s="96"/>
      <c r="C64" s="98">
        <v>46183</v>
      </c>
      <c r="D64" s="96"/>
      <c r="E64" s="96"/>
      <c r="F64" s="96"/>
      <c r="G64" s="96"/>
      <c r="H64" s="96"/>
      <c r="I64" s="96"/>
      <c r="J64" s="96"/>
      <c r="K64" s="96">
        <f>Table1181920231030313235383940414811[[#This Row],[النولون]]+Table1181920231030313235383940414811[[#This Row],[الايصالات]]+Table1181920231030313235383940414811[[#This Row],[قيمة مضافة]]</f>
        <v>0</v>
      </c>
      <c r="L64" s="96">
        <v>200000</v>
      </c>
      <c r="M64" s="72">
        <f>M63+Table1181920231030313235383940414811[[#This Row],[اجمالي الفاتوره]]-Table1181920231030313235383940414811[[#This Row],[الدفعات]]</f>
        <v>10389.880000000005</v>
      </c>
      <c r="N64" s="95"/>
      <c r="O64" s="95"/>
    </row>
    <row r="65" spans="1:15" ht="26.25" customHeight="1" x14ac:dyDescent="0.3">
      <c r="B65" s="1">
        <v>40</v>
      </c>
      <c r="C65" s="2">
        <v>46130</v>
      </c>
      <c r="D65" s="1" t="s">
        <v>117</v>
      </c>
      <c r="E65" s="1" t="s">
        <v>96</v>
      </c>
      <c r="F65" s="1">
        <v>267036493</v>
      </c>
      <c r="G65" s="1" t="s">
        <v>121</v>
      </c>
      <c r="H65" s="1">
        <v>15800</v>
      </c>
      <c r="J65" s="1">
        <f>850+1130+432.74+45.15+500+39.9+4615</f>
        <v>7612.79</v>
      </c>
      <c r="K65" s="1">
        <f>Table1181920231030313235383940414811[[#This Row],[النولون]]+Table1181920231030313235383940414811[[#This Row],[الايصالات]]+Table1181920231030313235383940414811[[#This Row],[قيمة مضافة]]</f>
        <v>23412.79</v>
      </c>
      <c r="M65" s="1">
        <f>M64+Table1181920231030313235383940414811[[#This Row],[اجمالي الفاتوره]]-Table1181920231030313235383940414811[[#This Row],[الدفعات]]</f>
        <v>33802.670000000006</v>
      </c>
      <c r="O65" s="48"/>
    </row>
    <row r="66" spans="1:15" ht="26.25" customHeight="1" x14ac:dyDescent="0.3">
      <c r="B66" s="1">
        <v>41</v>
      </c>
      <c r="C66" s="2">
        <v>46130</v>
      </c>
      <c r="D66" s="1" t="s">
        <v>346</v>
      </c>
      <c r="E66" s="1" t="s">
        <v>347</v>
      </c>
      <c r="F66" s="1">
        <v>266987203</v>
      </c>
      <c r="G66" s="1" t="s">
        <v>159</v>
      </c>
      <c r="H66" s="1">
        <v>14300</v>
      </c>
      <c r="J66" s="1">
        <f>248.84+47.45+39.9+250+3288</f>
        <v>3874.19</v>
      </c>
      <c r="K66" s="1">
        <f>Table1181920231030313235383940414811[[#This Row],[النولون]]+Table1181920231030313235383940414811[[#This Row],[الايصالات]]+Table1181920231030313235383940414811[[#This Row],[قيمة مضافة]]</f>
        <v>18174.189999999999</v>
      </c>
      <c r="M66" s="1">
        <f>M65+Table1181920231030313235383940414811[[#This Row],[اجمالي الفاتوره]]-Table1181920231030313235383940414811[[#This Row],[الدفعات]]</f>
        <v>51976.86</v>
      </c>
      <c r="O66" s="48"/>
    </row>
    <row r="67" spans="1:15" ht="26.25" customHeight="1" x14ac:dyDescent="0.3">
      <c r="B67" s="41">
        <v>42</v>
      </c>
      <c r="C67" s="45">
        <v>46138</v>
      </c>
      <c r="D67" s="1" t="s">
        <v>115</v>
      </c>
      <c r="E67" s="1" t="s">
        <v>119</v>
      </c>
      <c r="F67" s="41">
        <v>82635</v>
      </c>
      <c r="G67" s="1" t="s">
        <v>92</v>
      </c>
      <c r="H67" s="41">
        <f>21000*2</f>
        <v>42000</v>
      </c>
      <c r="I67" s="41"/>
      <c r="J67" s="41">
        <f>410+100*2+79*2+1100*2+829.66+480.8+2800+400+517+200</f>
        <v>8195.4599999999991</v>
      </c>
      <c r="K67" s="41">
        <f>Table1181920231030313235383940414811[[#This Row],[النولون]]+Table1181920231030313235383940414811[[#This Row],[الايصالات]]+Table1181920231030313235383940414811[[#This Row],[قيمة مضافة]]</f>
        <v>50195.46</v>
      </c>
      <c r="L67" s="41"/>
      <c r="M67" s="1">
        <f>M66+Table1181920231030313235383940414811[[#This Row],[اجمالي الفاتوره]]-Table1181920231030313235383940414811[[#This Row],[الدفعات]]</f>
        <v>102172.32</v>
      </c>
      <c r="N67" s="41"/>
      <c r="O67" s="48"/>
    </row>
    <row r="68" spans="1:15" ht="26.25" customHeight="1" x14ac:dyDescent="0.3">
      <c r="A68" s="74"/>
      <c r="B68" s="96"/>
      <c r="C68" s="98">
        <v>46195</v>
      </c>
      <c r="D68" s="96"/>
      <c r="E68" s="96"/>
      <c r="F68" s="96"/>
      <c r="G68" s="96"/>
      <c r="H68" s="96"/>
      <c r="I68" s="96"/>
      <c r="J68" s="96">
        <v>0</v>
      </c>
      <c r="K68" s="96">
        <f>Table1181920231030313235383940414811[[#This Row],[النولون]]+Table1181920231030313235383940414811[[#This Row],[الايصالات]]+Table1181920231030313235383940414811[[#This Row],[قيمة مضافة]]</f>
        <v>0</v>
      </c>
      <c r="L68" s="96">
        <v>80000</v>
      </c>
      <c r="M68" s="72">
        <f>M67+Table1181920231030313235383940414811[[#This Row],[اجمالي الفاتوره]]-Table1181920231030313235383940414811[[#This Row],[الدفعات]]</f>
        <v>22172.320000000007</v>
      </c>
      <c r="N68" s="95"/>
      <c r="O68" s="95"/>
    </row>
    <row r="69" spans="1:15" ht="26.25" customHeight="1" x14ac:dyDescent="0.3">
      <c r="B69" s="1">
        <v>43</v>
      </c>
      <c r="C69" s="2">
        <v>46138</v>
      </c>
      <c r="D69" s="1" t="s">
        <v>115</v>
      </c>
      <c r="E69" s="1" t="s">
        <v>119</v>
      </c>
      <c r="F69" s="1">
        <v>82636</v>
      </c>
      <c r="G69" s="1" t="s">
        <v>92</v>
      </c>
      <c r="H69" s="1">
        <f>21000*2</f>
        <v>42000</v>
      </c>
      <c r="J69" s="1">
        <f>100*2+410+79*2+1140*2+789.94+789.94+350+2800+400+350*2+2700+517+200</f>
        <v>12294.880000000001</v>
      </c>
      <c r="K69" s="1">
        <f>Table1181920231030313235383940414811[[#This Row],[النولون]]+Table1181920231030313235383940414811[[#This Row],[الايصالات]]+Table1181920231030313235383940414811[[#This Row],[قيمة مضافة]]</f>
        <v>54294.880000000005</v>
      </c>
      <c r="M69" s="1">
        <f>M68+Table1181920231030313235383940414811[[#This Row],[اجمالي الفاتوره]]-Table1181920231030313235383940414811[[#This Row],[الدفعات]]</f>
        <v>76467.200000000012</v>
      </c>
      <c r="O69" s="48"/>
    </row>
    <row r="70" spans="1:15" ht="26.25" customHeight="1" x14ac:dyDescent="0.3">
      <c r="B70" s="1">
        <v>44</v>
      </c>
      <c r="C70" s="2">
        <v>46138</v>
      </c>
      <c r="D70" s="1" t="s">
        <v>115</v>
      </c>
      <c r="E70" s="1" t="s">
        <v>119</v>
      </c>
      <c r="F70" s="1">
        <v>82637</v>
      </c>
      <c r="G70" s="1" t="s">
        <v>92</v>
      </c>
      <c r="H70" s="1">
        <f>21000*2</f>
        <v>42000</v>
      </c>
      <c r="J70" s="1">
        <f>410+114*2+79*2+1100*2+752.32+480.8+2800+400+350+350+517+200</f>
        <v>8846.119999999999</v>
      </c>
      <c r="K70" s="1">
        <f>Table1181920231030313235383940414811[[#This Row],[النولون]]+Table1181920231030313235383940414811[[#This Row],[الايصالات]]+Table1181920231030313235383940414811[[#This Row],[قيمة مضافة]]</f>
        <v>50846.119999999995</v>
      </c>
      <c r="M70" s="1">
        <f>M69+Table1181920231030313235383940414811[[#This Row],[اجمالي الفاتوره]]-Table1181920231030313235383940414811[[#This Row],[الدفعات]]</f>
        <v>127313.32</v>
      </c>
      <c r="O70" s="48"/>
    </row>
    <row r="71" spans="1:15" ht="26.25" customHeight="1" x14ac:dyDescent="0.3">
      <c r="A71" s="74"/>
      <c r="B71" s="96"/>
      <c r="C71" s="98">
        <v>46204</v>
      </c>
      <c r="D71" s="96"/>
      <c r="E71" s="96"/>
      <c r="F71" s="96"/>
      <c r="G71" s="96"/>
      <c r="H71" s="96"/>
      <c r="I71" s="96"/>
      <c r="J71" s="96"/>
      <c r="K71" s="96">
        <f>Table1181920231030313235383940414811[[#This Row],[النولون]]+Table1181920231030313235383940414811[[#This Row],[الايصالات]]+Table1181920231030313235383940414811[[#This Row],[قيمة مضافة]]</f>
        <v>0</v>
      </c>
      <c r="L71" s="96">
        <v>100000</v>
      </c>
      <c r="M71" s="72">
        <f>M70+Table1181920231030313235383940414811[[#This Row],[اجمالي الفاتوره]]-Table1181920231030313235383940414811[[#This Row],[الدفعات]]</f>
        <v>27313.320000000007</v>
      </c>
      <c r="N71" s="95"/>
      <c r="O71" s="95"/>
    </row>
    <row r="72" spans="1:15" ht="26.25" customHeight="1" x14ac:dyDescent="0.3">
      <c r="B72" s="1">
        <v>45</v>
      </c>
      <c r="C72" s="2">
        <v>46138</v>
      </c>
      <c r="D72" s="1" t="s">
        <v>151</v>
      </c>
      <c r="E72" s="1" t="s">
        <v>94</v>
      </c>
      <c r="F72" s="1">
        <v>61709</v>
      </c>
      <c r="G72" s="1" t="s">
        <v>121</v>
      </c>
      <c r="H72" s="1">
        <v>17500</v>
      </c>
      <c r="J72" s="1">
        <f>850+1100+421.43+105.79+150+1182.64+39.9</f>
        <v>3849.7599999999998</v>
      </c>
      <c r="K72" s="1">
        <f>Table1181920231030313235383940414811[[#This Row],[النولون]]+Table1181920231030313235383940414811[[#This Row],[الايصالات]]+Table1181920231030313235383940414811[[#This Row],[قيمة مضافة]]</f>
        <v>21349.759999999998</v>
      </c>
      <c r="M72" s="1">
        <f>M71+Table1181920231030313235383940414811[[#This Row],[اجمالي الفاتوره]]-Table1181920231030313235383940414811[[#This Row],[الدفعات]]</f>
        <v>48663.08</v>
      </c>
      <c r="O72" s="48"/>
    </row>
    <row r="73" spans="1:15" ht="26.25" customHeight="1" x14ac:dyDescent="0.3">
      <c r="B73" s="41">
        <v>46</v>
      </c>
      <c r="C73" s="45">
        <v>46145</v>
      </c>
      <c r="D73" s="1" t="s">
        <v>515</v>
      </c>
      <c r="E73" s="1" t="s">
        <v>330</v>
      </c>
      <c r="F73" s="41">
        <v>5147</v>
      </c>
      <c r="G73" s="1" t="s">
        <v>121</v>
      </c>
      <c r="H73" s="41">
        <f>17500+5000</f>
        <v>22500</v>
      </c>
      <c r="I73" s="41"/>
      <c r="J73" s="41">
        <f>810+1100+120+210+1111.5+321.5+1713.6+600</f>
        <v>5986.6</v>
      </c>
      <c r="K73" s="41">
        <f>Table1181920231030313235383940414811[[#This Row],[النولون]]+Table1181920231030313235383940414811[[#This Row],[الايصالات]]+Table1181920231030313235383940414811[[#This Row],[قيمة مضافة]]</f>
        <v>28486.6</v>
      </c>
      <c r="L73" s="41"/>
      <c r="M73" s="1">
        <f>M72+Table1181920231030313235383940414811[[#This Row],[اجمالي الفاتوره]]-Table1181920231030313235383940414811[[#This Row],[الدفعات]]</f>
        <v>77149.679999999993</v>
      </c>
      <c r="N73" s="41"/>
      <c r="O73" s="48"/>
    </row>
    <row r="74" spans="1:15" ht="26.25" customHeight="1" x14ac:dyDescent="0.3">
      <c r="B74" s="1">
        <v>47</v>
      </c>
      <c r="C74" s="2">
        <v>46145</v>
      </c>
      <c r="D74" s="1" t="s">
        <v>116</v>
      </c>
      <c r="E74" s="1" t="s">
        <v>118</v>
      </c>
      <c r="F74" s="1">
        <v>908000</v>
      </c>
      <c r="G74" s="1" t="s">
        <v>133</v>
      </c>
      <c r="H74" s="1">
        <v>19500</v>
      </c>
      <c r="J74" s="1">
        <f>850+1130+365.21+100+2850+300+342</f>
        <v>5937.21</v>
      </c>
      <c r="K74" s="1">
        <f>Table1181920231030313235383940414811[[#This Row],[النولون]]+Table1181920231030313235383940414811[[#This Row],[الايصالات]]+Table1181920231030313235383940414811[[#This Row],[قيمة مضافة]]</f>
        <v>25437.21</v>
      </c>
      <c r="M74" s="1">
        <f>M73+Table1181920231030313235383940414811[[#This Row],[اجمالي الفاتوره]]-Table1181920231030313235383940414811[[#This Row],[الدفعات]]</f>
        <v>102586.88999999998</v>
      </c>
      <c r="O74" s="48"/>
    </row>
    <row r="75" spans="1:15" ht="26.25" customHeight="1" x14ac:dyDescent="0.3">
      <c r="B75" s="1">
        <v>48</v>
      </c>
      <c r="C75" s="2">
        <v>46145</v>
      </c>
      <c r="D75" s="1" t="s">
        <v>116</v>
      </c>
      <c r="E75" s="1" t="s">
        <v>118</v>
      </c>
      <c r="F75" s="1">
        <v>910435</v>
      </c>
      <c r="G75" s="1" t="s">
        <v>121</v>
      </c>
      <c r="H75" s="1">
        <v>14700</v>
      </c>
      <c r="J75" s="1">
        <f>850+1130+441.22+2500+200+285</f>
        <v>5406.22</v>
      </c>
      <c r="K75" s="1">
        <f>Table1181920231030313235383940414811[[#This Row],[النولون]]+Table1181920231030313235383940414811[[#This Row],[الايصالات]]+Table1181920231030313235383940414811[[#This Row],[قيمة مضافة]]</f>
        <v>20106.22</v>
      </c>
      <c r="M75" s="1">
        <f>M74+Table1181920231030313235383940414811[[#This Row],[اجمالي الفاتوره]]-Table1181920231030313235383940414811[[#This Row],[الدفعات]]</f>
        <v>122693.10999999999</v>
      </c>
      <c r="O75" s="48"/>
    </row>
    <row r="76" spans="1:15" ht="26.25" customHeight="1" x14ac:dyDescent="0.3">
      <c r="B76" s="1">
        <v>49</v>
      </c>
      <c r="C76" s="2">
        <v>46151</v>
      </c>
      <c r="D76" s="1" t="s">
        <v>515</v>
      </c>
      <c r="E76" s="1" t="s">
        <v>330</v>
      </c>
      <c r="F76" s="1">
        <v>912634</v>
      </c>
      <c r="G76" s="1" t="s">
        <v>158</v>
      </c>
      <c r="H76" s="1">
        <f>17500*3</f>
        <v>52500</v>
      </c>
      <c r="J76" s="1">
        <f>640+150+1100+1110+1100+105.79*2+463.84+461.01+591.35+2508+250+2500+600+855+119.7</f>
        <v>12660.480000000001</v>
      </c>
      <c r="K76" s="1">
        <f>Table1181920231030313235383940414811[[#This Row],[النولون]]+Table1181920231030313235383940414811[[#This Row],[الايصالات]]+Table1181920231030313235383940414811[[#This Row],[قيمة مضافة]]</f>
        <v>65160.480000000003</v>
      </c>
      <c r="M76" s="1">
        <f>M75+Table1181920231030313235383940414811[[#This Row],[اجمالي الفاتوره]]-Table1181920231030313235383940414811[[#This Row],[الدفعات]]</f>
        <v>187853.59</v>
      </c>
      <c r="O76" s="48"/>
    </row>
    <row r="77" spans="1:15" ht="26.25" customHeight="1" x14ac:dyDescent="0.3">
      <c r="B77" s="41">
        <v>50</v>
      </c>
      <c r="C77" s="45">
        <v>46151</v>
      </c>
      <c r="D77" s="1" t="s">
        <v>526</v>
      </c>
      <c r="E77" s="1" t="s">
        <v>94</v>
      </c>
      <c r="F77" s="41">
        <v>270325508</v>
      </c>
      <c r="G77" s="1" t="s">
        <v>121</v>
      </c>
      <c r="H77" s="41">
        <v>17500</v>
      </c>
      <c r="I77" s="41"/>
      <c r="J77" s="41">
        <f>100+1100+475.15+2295+500+4615</f>
        <v>9085.15</v>
      </c>
      <c r="K77" s="41">
        <f>Table1181920231030313235383940414811[[#This Row],[النولون]]+Table1181920231030313235383940414811[[#This Row],[الايصالات]]+Table1181920231030313235383940414811[[#This Row],[قيمة مضافة]]</f>
        <v>26585.15</v>
      </c>
      <c r="L77" s="41"/>
      <c r="M77" s="1">
        <f>M76+Table1181920231030313235383940414811[[#This Row],[اجمالي الفاتوره]]-Table1181920231030313235383940414811[[#This Row],[الدفعات]]</f>
        <v>214438.74</v>
      </c>
      <c r="N77" s="41"/>
      <c r="O77" s="48"/>
    </row>
    <row r="78" spans="1:15" ht="26.25" customHeight="1" x14ac:dyDescent="0.3">
      <c r="B78" s="1">
        <v>51</v>
      </c>
      <c r="C78" s="2">
        <v>46151</v>
      </c>
      <c r="D78" s="1" t="s">
        <v>117</v>
      </c>
      <c r="E78" s="1" t="s">
        <v>94</v>
      </c>
      <c r="F78" s="1">
        <v>270313027</v>
      </c>
      <c r="G78" s="1" t="s">
        <v>121</v>
      </c>
      <c r="H78" s="1">
        <v>17500</v>
      </c>
      <c r="J78" s="1">
        <f>850+1100+424.26+2295+500+79.8+4615</f>
        <v>9864.0600000000013</v>
      </c>
      <c r="K78" s="1">
        <f>Table1181920231030313235383940414811[[#This Row],[النولون]]+Table1181920231030313235383940414811[[#This Row],[الايصالات]]+Table1181920231030313235383940414811[[#This Row],[قيمة مضافة]]</f>
        <v>27364.06</v>
      </c>
      <c r="M78" s="1">
        <f>M77+Table1181920231030313235383940414811[[#This Row],[اجمالي الفاتوره]]-Table1181920231030313235383940414811[[#This Row],[الدفعات]]</f>
        <v>241802.8</v>
      </c>
      <c r="O78" s="48"/>
    </row>
    <row r="79" spans="1:15" ht="26.25" customHeight="1" x14ac:dyDescent="0.3">
      <c r="B79" s="1">
        <v>52</v>
      </c>
      <c r="C79" s="2">
        <v>46158</v>
      </c>
      <c r="D79" s="1" t="s">
        <v>115</v>
      </c>
      <c r="E79" s="1" t="s">
        <v>119</v>
      </c>
      <c r="F79" s="1">
        <v>916816</v>
      </c>
      <c r="G79" s="1" t="s">
        <v>92</v>
      </c>
      <c r="H79" s="1">
        <f>21000*2</f>
        <v>42000</v>
      </c>
      <c r="J79" s="1">
        <f>850+410+100+1100+1100+68.08+491.13+68.08+750.23+79*2+350*2+400+570+79.8+200</f>
        <v>7045.3200000000006</v>
      </c>
      <c r="K79" s="1">
        <f>Table1181920231030313235383940414811[[#This Row],[النولون]]+Table1181920231030313235383940414811[[#This Row],[الايصالات]]+Table1181920231030313235383940414811[[#This Row],[قيمة مضافة]]</f>
        <v>49045.32</v>
      </c>
      <c r="M79" s="1">
        <f>M78+Table1181920231030313235383940414811[[#This Row],[اجمالي الفاتوره]]-Table1181920231030313235383940414811[[#This Row],[الدفعات]]</f>
        <v>290848.12</v>
      </c>
      <c r="O79" s="48"/>
    </row>
    <row r="80" spans="1:15" ht="26.25" customHeight="1" x14ac:dyDescent="0.3">
      <c r="B80" s="1">
        <v>53</v>
      </c>
      <c r="C80" s="2">
        <v>46172</v>
      </c>
      <c r="D80" s="1" t="s">
        <v>115</v>
      </c>
      <c r="E80" s="1" t="s">
        <v>119</v>
      </c>
      <c r="F80" s="1">
        <v>918884</v>
      </c>
      <c r="G80" s="1" t="s">
        <v>121</v>
      </c>
      <c r="H80" s="1">
        <v>21000</v>
      </c>
      <c r="J80" s="1">
        <f>210+1100+493.96+350+2500+285+200+39.9+150</f>
        <v>5328.86</v>
      </c>
      <c r="K80" s="1">
        <f>Table1181920231030313235383940414811[[#This Row],[النولون]]+Table1181920231030313235383940414811[[#This Row],[الايصالات]]+Table1181920231030313235383940414811[[#This Row],[قيمة مضافة]]</f>
        <v>26328.86</v>
      </c>
      <c r="M80" s="1">
        <f>M79+Table1181920231030313235383940414811[[#This Row],[اجمالي الفاتوره]]-Table1181920231030313235383940414811[[#This Row],[الدفعات]]</f>
        <v>317176.98</v>
      </c>
      <c r="O80" s="48"/>
    </row>
    <row r="81" spans="1:15" ht="26.25" customHeight="1" x14ac:dyDescent="0.3">
      <c r="B81" s="1">
        <v>54</v>
      </c>
      <c r="C81" s="2">
        <v>46172</v>
      </c>
      <c r="D81" s="1" t="s">
        <v>115</v>
      </c>
      <c r="E81" s="1" t="s">
        <v>119</v>
      </c>
      <c r="F81" s="1">
        <v>172664</v>
      </c>
      <c r="G81" s="1" t="s">
        <v>92</v>
      </c>
      <c r="H81" s="1">
        <f>21000*2</f>
        <v>42000</v>
      </c>
      <c r="J81" s="1">
        <f>210+150*2+79*2+1100*2+850+714.5+789.94+900+3060+350*2+517+3500*2+200+200</f>
        <v>17799.440000000002</v>
      </c>
      <c r="K81" s="1">
        <f>Table1181920231030313235383940414811[[#This Row],[النولون]]+Table1181920231030313235383940414811[[#This Row],[الايصالات]]+Table1181920231030313235383940414811[[#This Row],[قيمة مضافة]]</f>
        <v>59799.44</v>
      </c>
      <c r="M81" s="1">
        <f>M80+Table1181920231030313235383940414811[[#This Row],[اجمالي الفاتوره]]-Table1181920231030313235383940414811[[#This Row],[الدفعات]]</f>
        <v>376976.42</v>
      </c>
      <c r="O81" s="48"/>
    </row>
    <row r="82" spans="1:15" ht="26.25" customHeight="1" x14ac:dyDescent="0.3">
      <c r="B82" s="1">
        <v>55</v>
      </c>
      <c r="C82" s="2">
        <v>46172</v>
      </c>
      <c r="D82" s="1" t="s">
        <v>117</v>
      </c>
      <c r="E82" s="1" t="s">
        <v>94</v>
      </c>
      <c r="F82" s="1">
        <v>269678869</v>
      </c>
      <c r="G82" s="1" t="s">
        <v>121</v>
      </c>
      <c r="H82" s="1">
        <v>17500</v>
      </c>
      <c r="J82" s="1">
        <f>850+1100+383.72+45.15+500+4615+79.8</f>
        <v>7573.670000000001</v>
      </c>
      <c r="K82" s="1">
        <f>Table1181920231030313235383940414811[[#This Row],[النولون]]+Table1181920231030313235383940414811[[#This Row],[الايصالات]]+Table1181920231030313235383940414811[[#This Row],[قيمة مضافة]]</f>
        <v>25073.670000000002</v>
      </c>
      <c r="M82" s="1">
        <f>M81+Table1181920231030313235383940414811[[#This Row],[اجمالي الفاتوره]]-Table1181920231030313235383940414811[[#This Row],[الدفعات]]</f>
        <v>402050.08999999997</v>
      </c>
      <c r="O82" s="48"/>
    </row>
    <row r="83" spans="1:15" ht="26.25" customHeight="1" x14ac:dyDescent="0.3">
      <c r="B83" s="1">
        <v>56</v>
      </c>
      <c r="C83" s="104">
        <v>46172</v>
      </c>
      <c r="D83" s="1" t="s">
        <v>117</v>
      </c>
      <c r="E83" s="1" t="s">
        <v>94</v>
      </c>
      <c r="F83" s="95">
        <v>269678473</v>
      </c>
      <c r="G83" s="1" t="s">
        <v>121</v>
      </c>
      <c r="H83" s="95">
        <v>17500</v>
      </c>
      <c r="I83" s="95"/>
      <c r="J83" s="95">
        <f>850+1100+418.61+500+4615</f>
        <v>7483.6100000000006</v>
      </c>
      <c r="K83" s="1">
        <f>Table1181920231030313235383940414811[[#This Row],[النولون]]+Table1181920231030313235383940414811[[#This Row],[الايصالات]]+Table1181920231030313235383940414811[[#This Row],[قيمة مضافة]]</f>
        <v>24983.61</v>
      </c>
      <c r="L83" s="95"/>
      <c r="M83" s="1">
        <f>M82+Table1181920231030313235383940414811[[#This Row],[اجمالي الفاتوره]]-Table1181920231030313235383940414811[[#This Row],[الدفعات]]</f>
        <v>427033.69999999995</v>
      </c>
      <c r="N83" s="95"/>
      <c r="O83" s="95"/>
    </row>
    <row r="84" spans="1:15" ht="26.25" customHeight="1" x14ac:dyDescent="0.3">
      <c r="B84" s="1">
        <v>57</v>
      </c>
      <c r="C84" s="2">
        <v>46172</v>
      </c>
      <c r="D84" s="1" t="s">
        <v>117</v>
      </c>
      <c r="E84" s="1" t="s">
        <v>96</v>
      </c>
      <c r="F84" s="1">
        <v>270865430</v>
      </c>
      <c r="G84" s="1" t="s">
        <v>121</v>
      </c>
      <c r="H84" s="1">
        <v>15800</v>
      </c>
      <c r="J84" s="1">
        <f>1100+424.26+2295+500+4615</f>
        <v>8934.26</v>
      </c>
      <c r="K84" s="1">
        <f>Table1181920231030313235383940414811[[#This Row],[النولون]]+Table1181920231030313235383940414811[[#This Row],[الايصالات]]+Table1181920231030313235383940414811[[#This Row],[قيمة مضافة]]</f>
        <v>24734.260000000002</v>
      </c>
      <c r="M84" s="1">
        <f>M83+Table1181920231030313235383940414811[[#This Row],[اجمالي الفاتوره]]-Table1181920231030313235383940414811[[#This Row],[الدفعات]]</f>
        <v>451767.95999999996</v>
      </c>
      <c r="O84" s="48"/>
    </row>
    <row r="85" spans="1:15" ht="26.25" customHeight="1" x14ac:dyDescent="0.3">
      <c r="B85" s="1">
        <v>58</v>
      </c>
      <c r="C85" s="2">
        <v>46172</v>
      </c>
      <c r="D85" s="1" t="s">
        <v>151</v>
      </c>
      <c r="E85" s="1" t="s">
        <v>94</v>
      </c>
      <c r="F85" s="41">
        <v>9020846380</v>
      </c>
      <c r="G85" s="1" t="s">
        <v>121</v>
      </c>
      <c r="H85" s="1">
        <v>17500</v>
      </c>
      <c r="J85" s="1">
        <f>850+120+1100+435.57+1339.5+342+3500+2000</f>
        <v>9687.07</v>
      </c>
      <c r="K85" s="1">
        <f>Table1181920231030313235383940414811[[#This Row],[النولون]]+Table1181920231030313235383940414811[[#This Row],[الايصالات]]+Table1181920231030313235383940414811[[#This Row],[قيمة مضافة]]</f>
        <v>27187.07</v>
      </c>
      <c r="M85" s="1">
        <f>M84+Table1181920231030313235383940414811[[#This Row],[اجمالي الفاتوره]]-Table1181920231030313235383940414811[[#This Row],[الدفعات]]</f>
        <v>478955.02999999997</v>
      </c>
      <c r="O85" s="48"/>
    </row>
    <row r="86" spans="1:15" ht="26.25" customHeight="1" x14ac:dyDescent="0.3">
      <c r="B86" s="1">
        <v>59</v>
      </c>
      <c r="C86" s="45">
        <v>46172</v>
      </c>
      <c r="D86" s="1" t="s">
        <v>151</v>
      </c>
      <c r="E86" s="1" t="s">
        <v>94</v>
      </c>
      <c r="F86" s="41">
        <v>270427078</v>
      </c>
      <c r="G86" s="1" t="s">
        <v>121</v>
      </c>
      <c r="H86" s="41">
        <v>17500</v>
      </c>
      <c r="I86" s="41"/>
      <c r="J86" s="41">
        <f>1100+429.91+105.79+105+150+500+4615</f>
        <v>7005.7</v>
      </c>
      <c r="K86" s="41">
        <f>Table1181920231030313235383940414811[[#This Row],[النولون]]+Table1181920231030313235383940414811[[#This Row],[الايصالات]]+Table1181920231030313235383940414811[[#This Row],[قيمة مضافة]]</f>
        <v>24505.7</v>
      </c>
      <c r="L86" s="41"/>
      <c r="M86" s="1">
        <f>M85+Table1181920231030313235383940414811[[#This Row],[اجمالي الفاتوره]]-Table1181920231030313235383940414811[[#This Row],[الدفعات]]</f>
        <v>503460.73</v>
      </c>
      <c r="N86" s="41"/>
      <c r="O86" s="48"/>
    </row>
    <row r="87" spans="1:15" ht="26.25" customHeight="1" x14ac:dyDescent="0.3">
      <c r="B87" s="1">
        <v>60</v>
      </c>
      <c r="C87" s="45">
        <v>46172</v>
      </c>
      <c r="D87" s="1" t="s">
        <v>427</v>
      </c>
      <c r="E87" s="1" t="s">
        <v>94</v>
      </c>
      <c r="F87" s="41">
        <v>57707</v>
      </c>
      <c r="G87" s="1" t="s">
        <v>129</v>
      </c>
      <c r="H87" s="41">
        <v>17500</v>
      </c>
      <c r="I87" s="41"/>
      <c r="J87" s="41">
        <f>550+344.29+29+60+90+150+740</f>
        <v>1963.29</v>
      </c>
      <c r="K87" s="41">
        <f>Table1181920231030313235383940414811[[#This Row],[النولون]]+Table1181920231030313235383940414811[[#This Row],[الايصالات]]+Table1181920231030313235383940414811[[#This Row],[قيمة مضافة]]</f>
        <v>19463.29</v>
      </c>
      <c r="L87" s="41"/>
      <c r="M87" s="1">
        <f>M86+Table1181920231030313235383940414811[[#This Row],[اجمالي الفاتوره]]-Table1181920231030313235383940414811[[#This Row],[الدفعات]]</f>
        <v>522924.01999999996</v>
      </c>
      <c r="N87" s="41"/>
      <c r="O87" s="48"/>
    </row>
    <row r="88" spans="1:15" ht="26.25" customHeight="1" x14ac:dyDescent="0.3">
      <c r="A88" s="6">
        <v>1484</v>
      </c>
      <c r="B88" s="1">
        <v>0</v>
      </c>
      <c r="C88" s="2">
        <v>46172</v>
      </c>
      <c r="D88" s="1" t="s">
        <v>152</v>
      </c>
      <c r="E88" s="1" t="s">
        <v>96</v>
      </c>
      <c r="F88" s="1">
        <v>920726</v>
      </c>
      <c r="G88" s="1" t="s">
        <v>121</v>
      </c>
      <c r="H88" s="1">
        <v>15800</v>
      </c>
      <c r="J88" s="1">
        <f>1100+670.78+150+200+200+285+2500</f>
        <v>5105.78</v>
      </c>
      <c r="K88" s="1">
        <f>Table1181920231030313235383940414811[[#This Row],[النولون]]+Table1181920231030313235383940414811[[#This Row],[الايصالات]]+Table1181920231030313235383940414811[[#This Row],[قيمة مضافة]]</f>
        <v>20905.78</v>
      </c>
      <c r="M88" s="1">
        <f>M87+Table1181920231030313235383940414811[[#This Row],[اجمالي الفاتوره]]-Table1181920231030313235383940414811[[#This Row],[الدفعات]]</f>
        <v>543829.79999999993</v>
      </c>
      <c r="O88" s="48"/>
    </row>
    <row r="89" spans="1:15" ht="26.25" customHeight="1" x14ac:dyDescent="0.3">
      <c r="B89" s="48">
        <v>61</v>
      </c>
      <c r="C89" s="54">
        <v>46179</v>
      </c>
      <c r="D89" s="1" t="s">
        <v>116</v>
      </c>
      <c r="E89" s="1" t="s">
        <v>118</v>
      </c>
      <c r="F89" s="48">
        <v>918150</v>
      </c>
      <c r="G89" s="1" t="s">
        <v>158</v>
      </c>
      <c r="H89" s="48">
        <f>14700*3</f>
        <v>44100</v>
      </c>
      <c r="I89" s="48"/>
      <c r="J89" s="48">
        <f>1100*3+472.32+631.06+789.94+3762+600+855</f>
        <v>10410.32</v>
      </c>
      <c r="K89" s="48">
        <f>Table1181920231030313235383940414811[[#This Row],[النولون]]+Table1181920231030313235383940414811[[#This Row],[الايصالات]]+Table1181920231030313235383940414811[[#This Row],[قيمة مضافة]]</f>
        <v>54510.32</v>
      </c>
      <c r="L89" s="48"/>
      <c r="M89" s="1">
        <f>M88+Table1181920231030313235383940414811[[#This Row],[اجمالي الفاتوره]]-Table1181920231030313235383940414811[[#This Row],[الدفعات]]</f>
        <v>598340.11999999988</v>
      </c>
      <c r="N89" s="48"/>
      <c r="O89" s="48"/>
    </row>
    <row r="90" spans="1:15" ht="26.25" customHeight="1" x14ac:dyDescent="0.3">
      <c r="B90" s="1">
        <v>62</v>
      </c>
      <c r="C90" s="2">
        <v>46181</v>
      </c>
      <c r="D90" s="1" t="s">
        <v>598</v>
      </c>
      <c r="E90" s="1" t="s">
        <v>94</v>
      </c>
      <c r="F90" s="1">
        <v>924483</v>
      </c>
      <c r="G90" s="1" t="s">
        <v>121</v>
      </c>
      <c r="H90" s="1">
        <v>17500</v>
      </c>
      <c r="J90" s="1">
        <f>850+1100+498.63+1545.84+1254+200+285</f>
        <v>5733.47</v>
      </c>
      <c r="K90" s="1">
        <f>Table1181920231030313235383940414811[[#This Row],[النولون]]+Table1181920231030313235383940414811[[#This Row],[الايصالات]]+Table1181920231030313235383940414811[[#This Row],[قيمة مضافة]]</f>
        <v>23233.47</v>
      </c>
      <c r="M90" s="1">
        <f>M89+Table1181920231030313235383940414811[[#This Row],[اجمالي الفاتوره]]-Table1181920231030313235383940414811[[#This Row],[الدفعات]]</f>
        <v>621573.58999999985</v>
      </c>
      <c r="O90" s="48"/>
    </row>
    <row r="91" spans="1:15" ht="26.25" customHeight="1" x14ac:dyDescent="0.3">
      <c r="B91" s="1">
        <v>63</v>
      </c>
      <c r="C91" s="2">
        <v>46181</v>
      </c>
      <c r="D91" s="1" t="s">
        <v>117</v>
      </c>
      <c r="E91" s="1" t="s">
        <v>94</v>
      </c>
      <c r="F91" s="1">
        <v>270865562</v>
      </c>
      <c r="G91" s="1" t="s">
        <v>121</v>
      </c>
      <c r="H91" s="1">
        <v>17500</v>
      </c>
      <c r="J91" s="1">
        <f>850+120+79+1105+452.41+564.3+1896.96+500+4903</f>
        <v>10470.67</v>
      </c>
      <c r="K91" s="1">
        <f>Table1181920231030313235383940414811[[#This Row],[النولون]]+Table1181920231030313235383940414811[[#This Row],[الايصالات]]+Table1181920231030313235383940414811[[#This Row],[قيمة مضافة]]</f>
        <v>27970.67</v>
      </c>
      <c r="M91" s="1">
        <f>M90+Table1181920231030313235383940414811[[#This Row],[اجمالي الفاتوره]]-Table1181920231030313235383940414811[[#This Row],[الدفعات]]</f>
        <v>649544.25999999989</v>
      </c>
      <c r="O91" s="48"/>
    </row>
    <row r="92" spans="1:15" ht="26.25" customHeight="1" x14ac:dyDescent="0.3">
      <c r="B92" s="1">
        <v>64</v>
      </c>
      <c r="C92" s="2">
        <v>46181</v>
      </c>
      <c r="D92" s="1" t="s">
        <v>599</v>
      </c>
      <c r="E92" s="1" t="s">
        <v>330</v>
      </c>
      <c r="F92" s="1">
        <v>921920</v>
      </c>
      <c r="G92" s="1" t="s">
        <v>121</v>
      </c>
      <c r="H92" s="1">
        <v>17500</v>
      </c>
      <c r="J92" s="1">
        <f>1100+475.15+210+150+2500+200+285</f>
        <v>4920.1499999999996</v>
      </c>
      <c r="K92" s="1">
        <f>Table1181920231030313235383940414811[[#This Row],[النولون]]+Table1181920231030313235383940414811[[#This Row],[الايصالات]]+Table1181920231030313235383940414811[[#This Row],[قيمة مضافة]]</f>
        <v>22420.15</v>
      </c>
      <c r="M92" s="1">
        <f>M91+Table1181920231030313235383940414811[[#This Row],[اجمالي الفاتوره]]-Table1181920231030313235383940414811[[#This Row],[الدفعات]]</f>
        <v>671964.40999999992</v>
      </c>
      <c r="O92" s="48"/>
    </row>
    <row r="93" spans="1:15" ht="26.25" customHeight="1" x14ac:dyDescent="0.3">
      <c r="B93" s="1">
        <v>65</v>
      </c>
      <c r="C93" s="2">
        <v>46194</v>
      </c>
      <c r="D93" s="1" t="s">
        <v>117</v>
      </c>
      <c r="E93" s="1" t="s">
        <v>178</v>
      </c>
      <c r="F93" s="1">
        <v>271096233</v>
      </c>
      <c r="G93" s="1" t="s">
        <v>121</v>
      </c>
      <c r="H93" s="1">
        <v>22000</v>
      </c>
      <c r="J93" s="1">
        <f>100+1100+418.61+2295.96+940.5+500+4615</f>
        <v>9970.07</v>
      </c>
      <c r="K93" s="1">
        <f>Table1181920231030313235383940414811[[#This Row],[النولون]]+Table1181920231030313235383940414811[[#This Row],[الايصالات]]+Table1181920231030313235383940414811[[#This Row],[قيمة مضافة]]</f>
        <v>31970.07</v>
      </c>
      <c r="M93" s="1">
        <f>M92+Table1181920231030313235383940414811[[#This Row],[اجمالي الفاتوره]]-Table1181920231030313235383940414811[[#This Row],[الدفعات]]</f>
        <v>703934.47999999986</v>
      </c>
      <c r="O93" s="48"/>
    </row>
    <row r="94" spans="1:15" ht="26.25" customHeight="1" x14ac:dyDescent="0.3">
      <c r="B94" s="1">
        <v>66</v>
      </c>
      <c r="C94" s="2">
        <v>46194</v>
      </c>
      <c r="D94" s="1" t="s">
        <v>117</v>
      </c>
      <c r="E94" s="1" t="s">
        <v>178</v>
      </c>
      <c r="F94" s="1">
        <v>271545719</v>
      </c>
      <c r="G94" s="1" t="s">
        <v>121</v>
      </c>
      <c r="H94" s="1">
        <v>22000</v>
      </c>
      <c r="J94" s="1">
        <f>810+100+1140+421.43+2295.96+500+4615</f>
        <v>9882.39</v>
      </c>
      <c r="K94" s="1">
        <f>Table1181920231030313235383940414811[[#This Row],[النولون]]+Table1181920231030313235383940414811[[#This Row],[الايصالات]]+Table1181920231030313235383940414811[[#This Row],[قيمة مضافة]]</f>
        <v>31882.39</v>
      </c>
      <c r="M94" s="1">
        <f>M93+Table1181920231030313235383940414811[[#This Row],[اجمالي الفاتوره]]-Table1181920231030313235383940414811[[#This Row],[الدفعات]]</f>
        <v>735816.86999999988</v>
      </c>
      <c r="O94" s="48"/>
    </row>
    <row r="95" spans="1:15" ht="26.25" customHeight="1" x14ac:dyDescent="0.3">
      <c r="B95" s="1">
        <v>67</v>
      </c>
      <c r="C95" s="2">
        <v>46194</v>
      </c>
      <c r="D95" s="1" t="s">
        <v>116</v>
      </c>
      <c r="E95" s="1" t="s">
        <v>118</v>
      </c>
      <c r="F95" s="1">
        <v>929019</v>
      </c>
      <c r="G95" s="1" t="s">
        <v>121</v>
      </c>
      <c r="H95" s="1">
        <v>14700</v>
      </c>
      <c r="J95" s="1">
        <f>850+1130+45.15+441.84+200+285+39.9+3500</f>
        <v>6491.89</v>
      </c>
      <c r="K95" s="1">
        <f>Table1181920231030313235383940414811[[#This Row],[النولون]]+Table1181920231030313235383940414811[[#This Row],[الايصالات]]+Table1181920231030313235383940414811[[#This Row],[قيمة مضافة]]</f>
        <v>21191.89</v>
      </c>
      <c r="M95" s="1">
        <f>M94+Table1181920231030313235383940414811[[#This Row],[اجمالي الفاتوره]]-Table1181920231030313235383940414811[[#This Row],[الدفعات]]</f>
        <v>757008.75999999989</v>
      </c>
      <c r="O95" s="48"/>
    </row>
    <row r="96" spans="1:15" ht="26.25" customHeight="1" x14ac:dyDescent="0.3">
      <c r="A96" s="6">
        <v>1555</v>
      </c>
      <c r="B96" s="1">
        <v>0</v>
      </c>
      <c r="C96" s="2">
        <v>46194</v>
      </c>
      <c r="D96" s="1" t="s">
        <v>152</v>
      </c>
      <c r="E96" s="1" t="s">
        <v>96</v>
      </c>
      <c r="F96" s="1">
        <v>272226943</v>
      </c>
      <c r="G96" s="1" t="s">
        <v>120</v>
      </c>
      <c r="H96" s="1">
        <v>15800</v>
      </c>
      <c r="J96" s="1">
        <f>110+850+600+658.47+150+2107+250+3288</f>
        <v>8013.47</v>
      </c>
      <c r="K96" s="1">
        <f>Table1181920231030313235383940414811[[#This Row],[النولون]]+Table1181920231030313235383940414811[[#This Row],[الايصالات]]+Table1181920231030313235383940414811[[#This Row],[قيمة مضافة]]</f>
        <v>23813.47</v>
      </c>
      <c r="M96" s="1">
        <f>M95+Table1181920231030313235383940414811[[#This Row],[اجمالي الفاتوره]]-Table1181920231030313235383940414811[[#This Row],[الدفعات]]</f>
        <v>780822.22999999986</v>
      </c>
      <c r="O96" s="48"/>
    </row>
    <row r="97" spans="2:15" ht="26.25" customHeight="1" x14ac:dyDescent="0.3">
      <c r="B97" s="48">
        <v>68</v>
      </c>
      <c r="C97" s="54">
        <v>46200</v>
      </c>
      <c r="D97" s="1" t="s">
        <v>115</v>
      </c>
      <c r="E97" s="1" t="s">
        <v>119</v>
      </c>
      <c r="F97" s="48">
        <v>932945</v>
      </c>
      <c r="G97" s="1" t="s">
        <v>92</v>
      </c>
      <c r="H97" s="48">
        <f>21000*2</f>
        <v>42000</v>
      </c>
      <c r="I97" s="48"/>
      <c r="J97" s="48">
        <f>3500*2+850+410+1105+1100+480.8+79*2+350*2+2280+400+570+500+200+602.99+456</f>
        <v>16812.79</v>
      </c>
      <c r="K97" s="48">
        <f>Table1181920231030313235383940414811[[#This Row],[النولون]]+Table1181920231030313235383940414811[[#This Row],[الايصالات]]+Table1181920231030313235383940414811[[#This Row],[قيمة مضافة]]</f>
        <v>58812.79</v>
      </c>
      <c r="L97" s="48"/>
      <c r="M97" s="1">
        <f>M96+Table1181920231030313235383940414811[[#This Row],[اجمالي الفاتوره]]-Table1181920231030313235383940414811[[#This Row],[الدفعات]]</f>
        <v>839635.0199999999</v>
      </c>
      <c r="N97" s="48"/>
      <c r="O97" s="48"/>
    </row>
    <row r="98" spans="2:15" ht="26.25" customHeight="1" x14ac:dyDescent="0.3">
      <c r="B98" s="1">
        <v>69</v>
      </c>
      <c r="C98" s="2">
        <v>46200</v>
      </c>
      <c r="D98" s="1" t="s">
        <v>115</v>
      </c>
      <c r="E98" s="1" t="s">
        <v>119</v>
      </c>
      <c r="F98" s="1">
        <v>933013</v>
      </c>
      <c r="G98" s="1" t="s">
        <v>92</v>
      </c>
      <c r="H98" s="1">
        <f>21000*2</f>
        <v>42000</v>
      </c>
      <c r="J98" s="1">
        <f>410+1100*2+455.36+449.71+79*2+350*2+5000+400+570+200</f>
        <v>10543.07</v>
      </c>
      <c r="K98" s="1">
        <f>Table1181920231030313235383940414811[[#This Row],[النولون]]+Table1181920231030313235383940414811[[#This Row],[الايصالات]]+Table1181920231030313235383940414811[[#This Row],[قيمة مضافة]]</f>
        <v>52543.07</v>
      </c>
      <c r="M98" s="1">
        <f>M97+Table1181920231030313235383940414811[[#This Row],[اجمالي الفاتوره]]-Table1181920231030313235383940414811[[#This Row],[الدفعات]]</f>
        <v>892178.08999999985</v>
      </c>
      <c r="O98" s="48"/>
    </row>
    <row r="99" spans="2:15" ht="26.25" customHeight="1" x14ac:dyDescent="0.3">
      <c r="B99" s="1">
        <v>70</v>
      </c>
      <c r="C99" s="2">
        <v>46200</v>
      </c>
      <c r="D99" s="1" t="s">
        <v>427</v>
      </c>
      <c r="E99" s="1" t="s">
        <v>94</v>
      </c>
      <c r="F99" s="1">
        <v>57995</v>
      </c>
      <c r="G99" s="1" t="s">
        <v>121</v>
      </c>
      <c r="H99" s="1">
        <v>17500</v>
      </c>
      <c r="J99" s="1">
        <f>210+1100+461.01+120+79+150+200+1180+3500</f>
        <v>7000.01</v>
      </c>
      <c r="K99" s="1">
        <f>Table1181920231030313235383940414811[[#This Row],[النولون]]+Table1181920231030313235383940414811[[#This Row],[الايصالات]]+Table1181920231030313235383940414811[[#This Row],[قيمة مضافة]]</f>
        <v>24500.010000000002</v>
      </c>
      <c r="M99" s="1">
        <f>M98+Table1181920231030313235383940414811[[#This Row],[اجمالي الفاتوره]]-Table1181920231030313235383940414811[[#This Row],[الدفعات]]</f>
        <v>916678.09999999986</v>
      </c>
      <c r="O99" s="48"/>
    </row>
    <row r="100" spans="2:15" ht="26.25" customHeight="1" x14ac:dyDescent="0.3">
      <c r="B100" s="1">
        <v>71</v>
      </c>
      <c r="C100" s="2">
        <v>46200</v>
      </c>
      <c r="D100" s="1" t="s">
        <v>117</v>
      </c>
      <c r="E100" s="1" t="s">
        <v>96</v>
      </c>
      <c r="F100" s="1">
        <v>271545907</v>
      </c>
      <c r="G100" s="1" t="s">
        <v>121</v>
      </c>
      <c r="H100" s="1">
        <v>15800</v>
      </c>
      <c r="J100" s="1">
        <f>850+456.84+500+1994+4615</f>
        <v>8415.84</v>
      </c>
      <c r="K100" s="1">
        <f>Table1181920231030313235383940414811[[#This Row],[النولون]]+Table1181920231030313235383940414811[[#This Row],[الايصالات]]+Table1181920231030313235383940414811[[#This Row],[قيمة مضافة]]</f>
        <v>24215.84</v>
      </c>
      <c r="M100" s="1">
        <f>M99+Table1181920231030313235383940414811[[#This Row],[اجمالي الفاتوره]]-Table1181920231030313235383940414811[[#This Row],[الدفعات]]</f>
        <v>940893.93999999983</v>
      </c>
      <c r="O100" s="48"/>
    </row>
    <row r="101" spans="2:15" ht="26.25" customHeight="1" x14ac:dyDescent="0.3">
      <c r="B101" s="48">
        <v>72</v>
      </c>
      <c r="C101" s="54">
        <v>46208</v>
      </c>
      <c r="D101" s="2" t="s">
        <v>115</v>
      </c>
      <c r="E101" s="1" t="s">
        <v>119</v>
      </c>
      <c r="F101" s="48">
        <v>88</v>
      </c>
      <c r="G101" s="1" t="s">
        <v>92</v>
      </c>
      <c r="H101" s="48">
        <f>21000*2</f>
        <v>42000</v>
      </c>
      <c r="I101" s="48"/>
      <c r="J101" s="48">
        <f>410+79+1100*2+452.53*2+45.15*2+900+517+79.8+9229+200</f>
        <v>14610.16</v>
      </c>
      <c r="K101" s="48">
        <f>Table1181920231030313235383940414811[[#This Row],[النولون]]+Table1181920231030313235383940414811[[#This Row],[الايصالات]]+Table1181920231030313235383940414811[[#This Row],[قيمة مضافة]]</f>
        <v>56610.16</v>
      </c>
      <c r="L101" s="48"/>
      <c r="M101" s="1">
        <f>M100+Table1181920231030313235383940414811[[#This Row],[اجمالي الفاتوره]]-Table1181920231030313235383940414811[[#This Row],[الدفعات]]</f>
        <v>997504.09999999986</v>
      </c>
      <c r="N101" s="48"/>
      <c r="O101" s="48"/>
    </row>
    <row r="102" spans="2:15" ht="26.25" customHeight="1" x14ac:dyDescent="0.3">
      <c r="C102" s="2"/>
      <c r="K102" s="1">
        <f>Table1181920231030313235383940414811[[#This Row],[النولون]]+Table1181920231030313235383940414811[[#This Row],[الايصالات]]+Table1181920231030313235383940414811[[#This Row],[قيمة مضافة]]</f>
        <v>0</v>
      </c>
      <c r="M102" s="1">
        <f>M101+Table1181920231030313235383940414811[[#This Row],[اجمالي الفاتوره]]-Table1181920231030313235383940414811[[#This Row],[الدفعات]]</f>
        <v>997504.09999999986</v>
      </c>
      <c r="O102" s="48"/>
    </row>
    <row r="103" spans="2:15" ht="26.25" customHeight="1" x14ac:dyDescent="0.3">
      <c r="C103" s="2"/>
      <c r="K103" s="1">
        <f>Table1181920231030313235383940414811[[#This Row],[النولون]]+Table1181920231030313235383940414811[[#This Row],[الايصالات]]+Table1181920231030313235383940414811[[#This Row],[قيمة مضافة]]</f>
        <v>0</v>
      </c>
      <c r="M103" s="1">
        <f>M102+Table1181920231030313235383940414811[[#This Row],[اجمالي الفاتوره]]-Table1181920231030313235383940414811[[#This Row],[الدفعات]]</f>
        <v>997504.09999999986</v>
      </c>
      <c r="O103" s="48"/>
    </row>
    <row r="104" spans="2:15" ht="26.25" customHeight="1" x14ac:dyDescent="0.3">
      <c r="C104" s="2"/>
      <c r="K104" s="1">
        <f>Table1181920231030313235383940414811[[#This Row],[النولون]]+Table1181920231030313235383940414811[[#This Row],[الايصالات]]+Table1181920231030313235383940414811[[#This Row],[قيمة مضافة]]</f>
        <v>0</v>
      </c>
      <c r="M104" s="1">
        <f>M103+Table1181920231030313235383940414811[[#This Row],[اجمالي الفاتوره]]-Table1181920231030313235383940414811[[#This Row],[الدفعات]]</f>
        <v>997504.09999999986</v>
      </c>
      <c r="O104" s="48"/>
    </row>
    <row r="105" spans="2:15" ht="26.25" customHeight="1" x14ac:dyDescent="0.3">
      <c r="B105" s="48"/>
      <c r="C105" s="54"/>
      <c r="D105" s="48"/>
      <c r="E105" s="48"/>
      <c r="F105" s="48"/>
      <c r="G105" s="48"/>
      <c r="H105" s="48"/>
      <c r="I105" s="48"/>
      <c r="J105" s="48"/>
      <c r="K105" s="48">
        <f>Table1181920231030313235383940414811[[#This Row],[النولون]]+Table1181920231030313235383940414811[[#This Row],[الايصالات]]+Table1181920231030313235383940414811[[#This Row],[قيمة مضافة]]</f>
        <v>0</v>
      </c>
      <c r="L105" s="48"/>
      <c r="M105" s="1">
        <f>M104+Table1181920231030313235383940414811[[#This Row],[اجمالي الفاتوره]]-Table1181920231030313235383940414811[[#This Row],[الدفعات]]</f>
        <v>997504.09999999986</v>
      </c>
      <c r="N105" s="48"/>
      <c r="O105" s="48"/>
    </row>
    <row r="106" spans="2:15" ht="26.25" customHeight="1" x14ac:dyDescent="0.3">
      <c r="C106" s="2"/>
      <c r="K106" s="1">
        <f>Table1181920231030313235383940414811[[#This Row],[النولون]]+Table1181920231030313235383940414811[[#This Row],[الايصالات]]+Table1181920231030313235383940414811[[#This Row],[قيمة مضافة]]</f>
        <v>0</v>
      </c>
      <c r="M106" s="1">
        <f>M105+Table1181920231030313235383940414811[[#This Row],[اجمالي الفاتوره]]-Table1181920231030313235383940414811[[#This Row],[الدفعات]]</f>
        <v>997504.09999999986</v>
      </c>
      <c r="O106" s="48"/>
    </row>
    <row r="107" spans="2:15" ht="26.25" customHeight="1" x14ac:dyDescent="0.3">
      <c r="C107" s="2"/>
      <c r="K107" s="1">
        <f>Table1181920231030313235383940414811[[#This Row],[النولون]]+Table1181920231030313235383940414811[[#This Row],[الايصالات]]+Table1181920231030313235383940414811[[#This Row],[قيمة مضافة]]</f>
        <v>0</v>
      </c>
      <c r="M107" s="1">
        <f>M106+Table1181920231030313235383940414811[[#This Row],[اجمالي الفاتوره]]-Table1181920231030313235383940414811[[#This Row],[الدفعات]]</f>
        <v>997504.09999999986</v>
      </c>
      <c r="O107" s="48"/>
    </row>
    <row r="108" spans="2:15" ht="26.25" customHeight="1" x14ac:dyDescent="0.3">
      <c r="C108" s="2"/>
      <c r="K108" s="1">
        <f>Table1181920231030313235383940414811[[#This Row],[النولون]]+Table1181920231030313235383940414811[[#This Row],[الايصالات]]+Table1181920231030313235383940414811[[#This Row],[قيمة مضافة]]</f>
        <v>0</v>
      </c>
      <c r="M108" s="1">
        <f>M107+Table1181920231030313235383940414811[[#This Row],[اجمالي الفاتوره]]-Table1181920231030313235383940414811[[#This Row],[الدفعات]]</f>
        <v>997504.09999999986</v>
      </c>
      <c r="O108" s="48"/>
    </row>
    <row r="109" spans="2:15" ht="26.25" customHeight="1" x14ac:dyDescent="0.3">
      <c r="C109" s="2"/>
      <c r="K109" s="1">
        <f>Table1181920231030313235383940414811[[#This Row],[النولون]]+Table1181920231030313235383940414811[[#This Row],[الايصالات]]+Table1181920231030313235383940414811[[#This Row],[قيمة مضافة]]</f>
        <v>0</v>
      </c>
      <c r="M109" s="1">
        <f>M108+Table1181920231030313235383940414811[[#This Row],[اجمالي الفاتوره]]-Table1181920231030313235383940414811[[#This Row],[الدفعات]]</f>
        <v>997504.09999999986</v>
      </c>
      <c r="O109" s="48"/>
    </row>
    <row r="110" spans="2:15" ht="26.25" customHeight="1" x14ac:dyDescent="0.3">
      <c r="C110" s="2"/>
      <c r="K110" s="1">
        <f>Table1181920231030313235383940414811[[#This Row],[النولون]]+Table1181920231030313235383940414811[[#This Row],[الايصالات]]+Table1181920231030313235383940414811[[#This Row],[قيمة مضافة]]</f>
        <v>0</v>
      </c>
      <c r="M110" s="1">
        <f>M109+Table1181920231030313235383940414811[[#This Row],[اجمالي الفاتوره]]-Table1181920231030313235383940414811[[#This Row],[الدفعات]]</f>
        <v>997504.09999999986</v>
      </c>
      <c r="O110" s="48"/>
    </row>
    <row r="111" spans="2:15" ht="26.25" customHeight="1" x14ac:dyDescent="0.3">
      <c r="C111" s="2"/>
      <c r="K111" s="1">
        <f>Table1181920231030313235383940414811[[#This Row],[النولون]]+Table1181920231030313235383940414811[[#This Row],[الايصالات]]+Table1181920231030313235383940414811[[#This Row],[قيمة مضافة]]</f>
        <v>0</v>
      </c>
      <c r="M111" s="1">
        <f>M110+Table1181920231030313235383940414811[[#This Row],[اجمالي الفاتوره]]-Table1181920231030313235383940414811[[#This Row],[الدفعات]]</f>
        <v>997504.09999999986</v>
      </c>
      <c r="O111" s="48"/>
    </row>
    <row r="112" spans="2:15" ht="26.25" customHeight="1" x14ac:dyDescent="0.3">
      <c r="C112" s="2"/>
      <c r="K112" s="1">
        <f>Table1181920231030313235383940414811[[#This Row],[النولون]]+Table1181920231030313235383940414811[[#This Row],[الايصالات]]+Table1181920231030313235383940414811[[#This Row],[قيمة مضافة]]</f>
        <v>0</v>
      </c>
      <c r="M112" s="1">
        <f>M111+Table1181920231030313235383940414811[[#This Row],[اجمالي الفاتوره]]-Table1181920231030313235383940414811[[#This Row],[الدفعات]]</f>
        <v>997504.09999999986</v>
      </c>
      <c r="O112" s="48"/>
    </row>
    <row r="113" spans="3:15" ht="26.25" customHeight="1" x14ac:dyDescent="0.3">
      <c r="C113" s="2"/>
      <c r="K113" s="1">
        <f>Table1181920231030313235383940414811[[#This Row],[النولون]]+Table1181920231030313235383940414811[[#This Row],[الايصالات]]+Table1181920231030313235383940414811[[#This Row],[قيمة مضافة]]</f>
        <v>0</v>
      </c>
      <c r="M113" s="1">
        <f>M112+Table1181920231030313235383940414811[[#This Row],[اجمالي الفاتوره]]-Table1181920231030313235383940414811[[#This Row],[الدفعات]]</f>
        <v>997504.09999999986</v>
      </c>
      <c r="O113" s="48"/>
    </row>
    <row r="114" spans="3:15" ht="26.25" customHeight="1" x14ac:dyDescent="0.3">
      <c r="C114" s="2"/>
      <c r="K114" s="1">
        <f>Table1181920231030313235383940414811[[#This Row],[النولون]]+Table1181920231030313235383940414811[[#This Row],[الايصالات]]+Table1181920231030313235383940414811[[#This Row],[قيمة مضافة]]</f>
        <v>0</v>
      </c>
      <c r="M114" s="1">
        <f>M113+Table1181920231030313235383940414811[[#This Row],[اجمالي الفاتوره]]-Table1181920231030313235383940414811[[#This Row],[الدفعات]]</f>
        <v>997504.09999999986</v>
      </c>
      <c r="O114" s="48"/>
    </row>
    <row r="115" spans="3:15" ht="26.25" customHeight="1" x14ac:dyDescent="0.3">
      <c r="C115" s="2"/>
      <c r="K115" s="1">
        <f>Table1181920231030313235383940414811[[#This Row],[النولون]]+Table1181920231030313235383940414811[[#This Row],[الايصالات]]+Table1181920231030313235383940414811[[#This Row],[قيمة مضافة]]</f>
        <v>0</v>
      </c>
      <c r="M115" s="1">
        <f>M114+Table1181920231030313235383940414811[[#This Row],[اجمالي الفاتوره]]-Table1181920231030313235383940414811[[#This Row],[الدفعات]]</f>
        <v>997504.09999999986</v>
      </c>
      <c r="O115" s="48"/>
    </row>
    <row r="116" spans="3:15" ht="26.25" customHeight="1" x14ac:dyDescent="0.3">
      <c r="C116" s="2"/>
      <c r="K116" s="1">
        <f>Table1181920231030313235383940414811[[#This Row],[النولون]]+Table1181920231030313235383940414811[[#This Row],[الايصالات]]+Table1181920231030313235383940414811[[#This Row],[قيمة مضافة]]</f>
        <v>0</v>
      </c>
      <c r="M116" s="1">
        <f>M115+Table1181920231030313235383940414811[[#This Row],[اجمالي الفاتوره]]-Table1181920231030313235383940414811[[#This Row],[الدفعات]]</f>
        <v>997504.09999999986</v>
      </c>
      <c r="O116" s="48"/>
    </row>
    <row r="117" spans="3:15" ht="26.25" customHeight="1" x14ac:dyDescent="0.3">
      <c r="C117" s="2"/>
      <c r="K117" s="1">
        <f>Table1181920231030313235383940414811[[#This Row],[النولون]]+Table1181920231030313235383940414811[[#This Row],[الايصالات]]+Table1181920231030313235383940414811[[#This Row],[قيمة مضافة]]</f>
        <v>0</v>
      </c>
      <c r="M117" s="1">
        <f>M116+Table1181920231030313235383940414811[[#This Row],[اجمالي الفاتوره]]-Table1181920231030313235383940414811[[#This Row],[الدفعات]]</f>
        <v>997504.09999999986</v>
      </c>
      <c r="O117" s="48"/>
    </row>
    <row r="118" spans="3:15" ht="26.25" customHeight="1" x14ac:dyDescent="0.3">
      <c r="C118" s="2"/>
      <c r="K118" s="1">
        <f>Table1181920231030313235383940414811[[#This Row],[النولون]]+Table1181920231030313235383940414811[[#This Row],[الايصالات]]+Table1181920231030313235383940414811[[#This Row],[قيمة مضافة]]</f>
        <v>0</v>
      </c>
      <c r="M118" s="1">
        <f>M117+Table1181920231030313235383940414811[[#This Row],[اجمالي الفاتوره]]-Table1181920231030313235383940414811[[#This Row],[الدفعات]]</f>
        <v>997504.09999999986</v>
      </c>
      <c r="O118" s="48"/>
    </row>
    <row r="119" spans="3:15" ht="26.25" customHeight="1" x14ac:dyDescent="0.3">
      <c r="C119" s="2"/>
      <c r="K119" s="1">
        <f>Table1181920231030313235383940414811[[#This Row],[النولون]]+Table1181920231030313235383940414811[[#This Row],[الايصالات]]+Table1181920231030313235383940414811[[#This Row],[قيمة مضافة]]</f>
        <v>0</v>
      </c>
      <c r="M119" s="1">
        <f>M118+Table1181920231030313235383940414811[[#This Row],[اجمالي الفاتوره]]-Table1181920231030313235383940414811[[#This Row],[الدفعات]]</f>
        <v>997504.09999999986</v>
      </c>
      <c r="O119" s="48"/>
    </row>
    <row r="120" spans="3:15" ht="26.25" customHeight="1" x14ac:dyDescent="0.3">
      <c r="C120" s="2"/>
      <c r="K120" s="1">
        <f>Table1181920231030313235383940414811[[#This Row],[النولون]]+Table1181920231030313235383940414811[[#This Row],[الايصالات]]+Table1181920231030313235383940414811[[#This Row],[قيمة مضافة]]</f>
        <v>0</v>
      </c>
      <c r="M120" s="1">
        <f>M119+Table1181920231030313235383940414811[[#This Row],[اجمالي الفاتوره]]-Table1181920231030313235383940414811[[#This Row],[الدفعات]]</f>
        <v>997504.09999999986</v>
      </c>
      <c r="O120" s="48"/>
    </row>
    <row r="121" spans="3:15" ht="26.25" customHeight="1" x14ac:dyDescent="0.3">
      <c r="C121" s="2"/>
      <c r="K121" s="1">
        <f>Table1181920231030313235383940414811[[#This Row],[النولون]]+Table1181920231030313235383940414811[[#This Row],[الايصالات]]+Table1181920231030313235383940414811[[#This Row],[قيمة مضافة]]</f>
        <v>0</v>
      </c>
      <c r="M121" s="1">
        <f>M120+Table1181920231030313235383940414811[[#This Row],[اجمالي الفاتوره]]-Table1181920231030313235383940414811[[#This Row],[الدفعات]]</f>
        <v>997504.09999999986</v>
      </c>
      <c r="O121" s="48"/>
    </row>
    <row r="122" spans="3:15" ht="26.25" customHeight="1" x14ac:dyDescent="0.3">
      <c r="C122" s="2"/>
      <c r="K122" s="1">
        <f>Table1181920231030313235383940414811[[#This Row],[النولون]]+Table1181920231030313235383940414811[[#This Row],[الايصالات]]+Table1181920231030313235383940414811[[#This Row],[قيمة مضافة]]</f>
        <v>0</v>
      </c>
      <c r="M122" s="1">
        <f>M121+Table1181920231030313235383940414811[[#This Row],[اجمالي الفاتوره]]-Table1181920231030313235383940414811[[#This Row],[الدفعات]]</f>
        <v>997504.09999999986</v>
      </c>
      <c r="O122" s="48"/>
    </row>
    <row r="123" spans="3:15" ht="26.25" customHeight="1" x14ac:dyDescent="0.3">
      <c r="K123" s="1">
        <f>Table1181920231030313235383940414811[[#This Row],[النولون]]+Table1181920231030313235383940414811[[#This Row],[الايصالات]]+Table1181920231030313235383940414811[[#This Row],[قيمة مضافة]]</f>
        <v>0</v>
      </c>
      <c r="M123" s="1">
        <f>M122+Table1181920231030313235383940414811[[#This Row],[اجمالي الفاتوره]]-Table1181920231030313235383940414811[[#This Row],[الدفعات]]</f>
        <v>997504.09999999986</v>
      </c>
      <c r="O123" s="48"/>
    </row>
    <row r="124" spans="3:15" ht="26.25" customHeight="1" x14ac:dyDescent="0.3">
      <c r="K124" s="1">
        <f>Table1181920231030313235383940414811[[#This Row],[النولون]]+Table1181920231030313235383940414811[[#This Row],[الايصالات]]+Table1181920231030313235383940414811[[#This Row],[قيمة مضافة]]</f>
        <v>0</v>
      </c>
      <c r="M124" s="1">
        <f>M123+Table1181920231030313235383940414811[[#This Row],[اجمالي الفاتوره]]-Table1181920231030313235383940414811[[#This Row],[الدفعات]]</f>
        <v>997504.09999999986</v>
      </c>
      <c r="O124" s="48"/>
    </row>
    <row r="125" spans="3:15" ht="26.25" customHeight="1" x14ac:dyDescent="0.3">
      <c r="K125" s="1">
        <f>Table1181920231030313235383940414811[[#This Row],[النولون]]+Table1181920231030313235383940414811[[#This Row],[الايصالات]]+Table1181920231030313235383940414811[[#This Row],[قيمة مضافة]]</f>
        <v>0</v>
      </c>
      <c r="M125" s="1">
        <f>M124+Table1181920231030313235383940414811[[#This Row],[اجمالي الفاتوره]]-Table1181920231030313235383940414811[[#This Row],[الدفعات]]</f>
        <v>997504.09999999986</v>
      </c>
      <c r="O125" s="48"/>
    </row>
    <row r="126" spans="3:15" ht="26.25" customHeight="1" x14ac:dyDescent="0.3">
      <c r="K126" s="1">
        <f>Table1181920231030313235383940414811[[#This Row],[النولون]]+Table1181920231030313235383940414811[[#This Row],[الايصالات]]+Table1181920231030313235383940414811[[#This Row],[قيمة مضافة]]</f>
        <v>0</v>
      </c>
      <c r="M126" s="1">
        <f>M125+Table1181920231030313235383940414811[[#This Row],[اجمالي الفاتوره]]-Table1181920231030313235383940414811[[#This Row],[الدفعات]]</f>
        <v>997504.09999999986</v>
      </c>
      <c r="O126" s="48"/>
    </row>
    <row r="127" spans="3:15" ht="26.25" customHeight="1" x14ac:dyDescent="0.3">
      <c r="K127" s="1">
        <f>Table1181920231030313235383940414811[[#This Row],[النولون]]+Table1181920231030313235383940414811[[#This Row],[الايصالات]]+Table1181920231030313235383940414811[[#This Row],[قيمة مضافة]]</f>
        <v>0</v>
      </c>
      <c r="M127" s="1">
        <f>M126+Table1181920231030313235383940414811[[#This Row],[اجمالي الفاتوره]]-Table1181920231030313235383940414811[[#This Row],[الدفعات]]</f>
        <v>997504.09999999986</v>
      </c>
      <c r="O127" s="48"/>
    </row>
    <row r="128" spans="3:15" ht="26.25" customHeight="1" x14ac:dyDescent="0.3">
      <c r="K128" s="1">
        <f>Table1181920231030313235383940414811[[#This Row],[النولون]]+Table1181920231030313235383940414811[[#This Row],[الايصالات]]+Table1181920231030313235383940414811[[#This Row],[قيمة مضافة]]</f>
        <v>0</v>
      </c>
      <c r="M128" s="1">
        <f>M127+Table1181920231030313235383940414811[[#This Row],[اجمالي الفاتوره]]-Table1181920231030313235383940414811[[#This Row],[الدفعات]]</f>
        <v>997504.09999999986</v>
      </c>
      <c r="O128" s="48"/>
    </row>
    <row r="129" spans="11:15" ht="26.25" customHeight="1" x14ac:dyDescent="0.3">
      <c r="K129" s="1">
        <f>Table1181920231030313235383940414811[[#This Row],[النولون]]+Table1181920231030313235383940414811[[#This Row],[الايصالات]]+Table1181920231030313235383940414811[[#This Row],[قيمة مضافة]]</f>
        <v>0</v>
      </c>
      <c r="M129" s="1">
        <f>M128+Table1181920231030313235383940414811[[#This Row],[اجمالي الفاتوره]]-Table1181920231030313235383940414811[[#This Row],[الدفعات]]</f>
        <v>997504.09999999986</v>
      </c>
      <c r="O129" s="48"/>
    </row>
    <row r="130" spans="11:15" ht="26.25" customHeight="1" x14ac:dyDescent="0.3">
      <c r="K130" s="1">
        <f>Table1181920231030313235383940414811[[#This Row],[النولون]]+Table1181920231030313235383940414811[[#This Row],[الايصالات]]+Table1181920231030313235383940414811[[#This Row],[قيمة مضافة]]</f>
        <v>0</v>
      </c>
      <c r="M130" s="1">
        <f>M129+Table1181920231030313235383940414811[[#This Row],[اجمالي الفاتوره]]-Table1181920231030313235383940414811[[#This Row],[الدفعات]]</f>
        <v>997504.09999999986</v>
      </c>
      <c r="O130" s="48"/>
    </row>
    <row r="131" spans="11:15" ht="26.25" customHeight="1" x14ac:dyDescent="0.3">
      <c r="K131" s="1">
        <f>Table1181920231030313235383940414811[[#This Row],[النولون]]+Table1181920231030313235383940414811[[#This Row],[الايصالات]]+Table1181920231030313235383940414811[[#This Row],[قيمة مضافة]]</f>
        <v>0</v>
      </c>
      <c r="M131" s="1">
        <f>M130+Table1181920231030313235383940414811[[#This Row],[اجمالي الفاتوره]]-Table1181920231030313235383940414811[[#This Row],[الدفعات]]</f>
        <v>997504.09999999986</v>
      </c>
      <c r="O131" s="48"/>
    </row>
    <row r="132" spans="11:15" ht="26.25" customHeight="1" x14ac:dyDescent="0.3">
      <c r="K132" s="1">
        <f>Table1181920231030313235383940414811[[#This Row],[النولون]]+Table1181920231030313235383940414811[[#This Row],[الايصالات]]+Table1181920231030313235383940414811[[#This Row],[قيمة مضافة]]</f>
        <v>0</v>
      </c>
      <c r="M132" s="1">
        <f>M131+Table1181920231030313235383940414811[[#This Row],[اجمالي الفاتوره]]-Table1181920231030313235383940414811[[#This Row],[الدفعات]]</f>
        <v>997504.09999999986</v>
      </c>
      <c r="O132" s="48"/>
    </row>
    <row r="133" spans="11:15" ht="26.25" customHeight="1" x14ac:dyDescent="0.3">
      <c r="K133" s="1">
        <f>Table1181920231030313235383940414811[[#This Row],[النولون]]+Table1181920231030313235383940414811[[#This Row],[الايصالات]]+Table1181920231030313235383940414811[[#This Row],[قيمة مضافة]]</f>
        <v>0</v>
      </c>
      <c r="M133" s="1">
        <f>M132+Table1181920231030313235383940414811[[#This Row],[اجمالي الفاتوره]]-Table1181920231030313235383940414811[[#This Row],[الدفعات]]</f>
        <v>997504.09999999986</v>
      </c>
      <c r="O133" s="48"/>
    </row>
    <row r="134" spans="11:15" ht="26.25" customHeight="1" x14ac:dyDescent="0.3">
      <c r="K134" s="1">
        <f>Table1181920231030313235383940414811[[#This Row],[النولون]]+Table1181920231030313235383940414811[[#This Row],[الايصالات]]+Table1181920231030313235383940414811[[#This Row],[قيمة مضافة]]</f>
        <v>0</v>
      </c>
      <c r="M134" s="1">
        <f>M133+Table1181920231030313235383940414811[[#This Row],[اجمالي الفاتوره]]-Table1181920231030313235383940414811[[#This Row],[الدفعات]]</f>
        <v>997504.09999999986</v>
      </c>
      <c r="O134" s="48"/>
    </row>
    <row r="135" spans="11:15" ht="26.25" customHeight="1" x14ac:dyDescent="0.3">
      <c r="K135" s="1">
        <f>Table1181920231030313235383940414811[[#This Row],[النولون]]+Table1181920231030313235383940414811[[#This Row],[الايصالات]]+Table1181920231030313235383940414811[[#This Row],[قيمة مضافة]]</f>
        <v>0</v>
      </c>
      <c r="M135" s="1">
        <f>M134+Table1181920231030313235383940414811[[#This Row],[اجمالي الفاتوره]]-Table1181920231030313235383940414811[[#This Row],[الدفعات]]</f>
        <v>997504.09999999986</v>
      </c>
      <c r="O135" s="48"/>
    </row>
    <row r="136" spans="11:15" ht="26.25" customHeight="1" x14ac:dyDescent="0.3">
      <c r="K136" s="1">
        <f>Table1181920231030313235383940414811[[#This Row],[النولون]]+Table1181920231030313235383940414811[[#This Row],[الايصالات]]+Table1181920231030313235383940414811[[#This Row],[قيمة مضافة]]</f>
        <v>0</v>
      </c>
      <c r="M136" s="1">
        <f>M135+Table1181920231030313235383940414811[[#This Row],[اجمالي الفاتوره]]-Table1181920231030313235383940414811[[#This Row],[الدفعات]]</f>
        <v>997504.09999999986</v>
      </c>
      <c r="O136" s="48"/>
    </row>
    <row r="137" spans="11:15" ht="26.25" customHeight="1" x14ac:dyDescent="0.3">
      <c r="K137" s="1">
        <f>Table1181920231030313235383940414811[[#This Row],[النولون]]+Table1181920231030313235383940414811[[#This Row],[الايصالات]]+Table1181920231030313235383940414811[[#This Row],[قيمة مضافة]]</f>
        <v>0</v>
      </c>
      <c r="M137" s="1">
        <f>M136+Table1181920231030313235383940414811[[#This Row],[اجمالي الفاتوره]]-Table1181920231030313235383940414811[[#This Row],[الدفعات]]</f>
        <v>997504.09999999986</v>
      </c>
      <c r="O137" s="48"/>
    </row>
    <row r="138" spans="11:15" ht="26.25" customHeight="1" x14ac:dyDescent="0.3">
      <c r="K138" s="1">
        <f>Table1181920231030313235383940414811[[#This Row],[النولون]]+Table1181920231030313235383940414811[[#This Row],[الايصالات]]+Table1181920231030313235383940414811[[#This Row],[قيمة مضافة]]</f>
        <v>0</v>
      </c>
      <c r="M138" s="1">
        <f>M137+Table1181920231030313235383940414811[[#This Row],[اجمالي الفاتوره]]-Table1181920231030313235383940414811[[#This Row],[الدفعات]]</f>
        <v>997504.09999999986</v>
      </c>
      <c r="O138" s="48"/>
    </row>
    <row r="139" spans="11:15" ht="26.25" customHeight="1" x14ac:dyDescent="0.3">
      <c r="K139" s="1">
        <f>Table1181920231030313235383940414811[[#This Row],[النولون]]+Table1181920231030313235383940414811[[#This Row],[الايصالات]]+Table1181920231030313235383940414811[[#This Row],[قيمة مضافة]]</f>
        <v>0</v>
      </c>
      <c r="M139" s="1">
        <f>M138+Table1181920231030313235383940414811[[#This Row],[اجمالي الفاتوره]]-Table1181920231030313235383940414811[[#This Row],[الدفعات]]</f>
        <v>997504.09999999986</v>
      </c>
      <c r="O139" s="48"/>
    </row>
    <row r="140" spans="11:15" ht="26.25" customHeight="1" x14ac:dyDescent="0.3">
      <c r="K140" s="1">
        <f>Table1181920231030313235383940414811[[#This Row],[النولون]]+Table1181920231030313235383940414811[[#This Row],[الايصالات]]+Table1181920231030313235383940414811[[#This Row],[قيمة مضافة]]</f>
        <v>0</v>
      </c>
      <c r="M140" s="1">
        <f>M139+Table1181920231030313235383940414811[[#This Row],[اجمالي الفاتوره]]-Table1181920231030313235383940414811[[#This Row],[الدفعات]]</f>
        <v>997504.09999999986</v>
      </c>
      <c r="O140" s="48"/>
    </row>
    <row r="141" spans="11:15" ht="26.25" customHeight="1" x14ac:dyDescent="0.3">
      <c r="K141" s="1">
        <f>Table1181920231030313235383940414811[[#This Row],[النولون]]+Table1181920231030313235383940414811[[#This Row],[الايصالات]]+Table1181920231030313235383940414811[[#This Row],[قيمة مضافة]]</f>
        <v>0</v>
      </c>
      <c r="M141" s="1">
        <f>M140+Table1181920231030313235383940414811[[#This Row],[اجمالي الفاتوره]]-Table1181920231030313235383940414811[[#This Row],[الدفعات]]</f>
        <v>997504.09999999986</v>
      </c>
      <c r="O141" s="48"/>
    </row>
    <row r="142" spans="11:15" ht="26.25" customHeight="1" x14ac:dyDescent="0.3">
      <c r="K142" s="1">
        <f>Table1181920231030313235383940414811[[#This Row],[النولون]]+Table1181920231030313235383940414811[[#This Row],[الايصالات]]+Table1181920231030313235383940414811[[#This Row],[قيمة مضافة]]</f>
        <v>0</v>
      </c>
      <c r="M142" s="1">
        <f>M141+Table1181920231030313235383940414811[[#This Row],[اجمالي الفاتوره]]-Table1181920231030313235383940414811[[#This Row],[الدفعات]]</f>
        <v>997504.09999999986</v>
      </c>
      <c r="O142" s="48"/>
    </row>
    <row r="143" spans="11:15" ht="26.25" customHeight="1" x14ac:dyDescent="0.3">
      <c r="K143" s="1">
        <f>Table1181920231030313235383940414811[[#This Row],[النولون]]+Table1181920231030313235383940414811[[#This Row],[الايصالات]]+Table1181920231030313235383940414811[[#This Row],[قيمة مضافة]]</f>
        <v>0</v>
      </c>
      <c r="M143" s="1">
        <f>M142+Table1181920231030313235383940414811[[#This Row],[اجمالي الفاتوره]]-Table1181920231030313235383940414811[[#This Row],[الدفعات]]</f>
        <v>997504.09999999986</v>
      </c>
      <c r="O143" s="48"/>
    </row>
    <row r="144" spans="11:15" ht="26.25" customHeight="1" x14ac:dyDescent="0.3">
      <c r="K144" s="1">
        <f>Table1181920231030313235383940414811[[#This Row],[النولون]]+Table1181920231030313235383940414811[[#This Row],[الايصالات]]+Table1181920231030313235383940414811[[#This Row],[قيمة مضافة]]</f>
        <v>0</v>
      </c>
      <c r="M144" s="1">
        <f>M143+Table1181920231030313235383940414811[[#This Row],[اجمالي الفاتوره]]-Table1181920231030313235383940414811[[#This Row],[الدفعات]]</f>
        <v>997504.09999999986</v>
      </c>
      <c r="O144" s="48"/>
    </row>
    <row r="145" spans="11:15" ht="26.25" customHeight="1" x14ac:dyDescent="0.3">
      <c r="K145" s="1">
        <f>Table1181920231030313235383940414811[[#This Row],[النولون]]+Table1181920231030313235383940414811[[#This Row],[الايصالات]]+Table1181920231030313235383940414811[[#This Row],[قيمة مضافة]]</f>
        <v>0</v>
      </c>
      <c r="M145" s="1">
        <f>M144+Table1181920231030313235383940414811[[#This Row],[اجمالي الفاتوره]]-Table1181920231030313235383940414811[[#This Row],[الدفعات]]</f>
        <v>997504.09999999986</v>
      </c>
      <c r="O145" s="48"/>
    </row>
    <row r="146" spans="11:15" ht="26.25" customHeight="1" x14ac:dyDescent="0.3">
      <c r="K146" s="1">
        <f>Table1181920231030313235383940414811[[#This Row],[النولون]]+Table1181920231030313235383940414811[[#This Row],[الايصالات]]+Table1181920231030313235383940414811[[#This Row],[قيمة مضافة]]</f>
        <v>0</v>
      </c>
      <c r="M146" s="1">
        <f>M145+Table1181920231030313235383940414811[[#This Row],[اجمالي الفاتوره]]-Table1181920231030313235383940414811[[#This Row],[الدفعات]]</f>
        <v>997504.09999999986</v>
      </c>
      <c r="O146" s="48"/>
    </row>
    <row r="147" spans="11:15" ht="26.25" customHeight="1" x14ac:dyDescent="0.3">
      <c r="K147" s="1">
        <f>Table1181920231030313235383940414811[[#This Row],[النولون]]+Table1181920231030313235383940414811[[#This Row],[الايصالات]]+Table1181920231030313235383940414811[[#This Row],[قيمة مضافة]]</f>
        <v>0</v>
      </c>
      <c r="M147" s="1">
        <f>M146+Table1181920231030313235383940414811[[#This Row],[اجمالي الفاتوره]]-Table1181920231030313235383940414811[[#This Row],[الدفعات]]</f>
        <v>997504.09999999986</v>
      </c>
      <c r="O147" s="48"/>
    </row>
    <row r="148" spans="11:15" ht="26.25" customHeight="1" x14ac:dyDescent="0.3">
      <c r="K148" s="1">
        <f>Table1181920231030313235383940414811[[#This Row],[النولون]]+Table1181920231030313235383940414811[[#This Row],[الايصالات]]+Table1181920231030313235383940414811[[#This Row],[قيمة مضافة]]</f>
        <v>0</v>
      </c>
      <c r="M148" s="1">
        <f>M147+Table1181920231030313235383940414811[[#This Row],[اجمالي الفاتوره]]-Table1181920231030313235383940414811[[#This Row],[الدفعات]]</f>
        <v>997504.09999999986</v>
      </c>
      <c r="O148" s="48"/>
    </row>
    <row r="149" spans="11:15" ht="26.25" customHeight="1" x14ac:dyDescent="0.3">
      <c r="K149" s="1">
        <f>Table1181920231030313235383940414811[[#This Row],[النولون]]+Table1181920231030313235383940414811[[#This Row],[الايصالات]]+Table1181920231030313235383940414811[[#This Row],[قيمة مضافة]]</f>
        <v>0</v>
      </c>
      <c r="M149" s="1">
        <f>M148+Table1181920231030313235383940414811[[#This Row],[اجمالي الفاتوره]]-Table1181920231030313235383940414811[[#This Row],[الدفعات]]</f>
        <v>997504.09999999986</v>
      </c>
      <c r="O149" s="48"/>
    </row>
    <row r="150" spans="11:15" ht="26.25" customHeight="1" x14ac:dyDescent="0.3">
      <c r="K150" s="1">
        <f>Table1181920231030313235383940414811[[#This Row],[النولون]]+Table1181920231030313235383940414811[[#This Row],[الايصالات]]+Table1181920231030313235383940414811[[#This Row],[قيمة مضافة]]</f>
        <v>0</v>
      </c>
      <c r="M150" s="1">
        <f>M149+Table1181920231030313235383940414811[[#This Row],[اجمالي الفاتوره]]-Table1181920231030313235383940414811[[#This Row],[الدفعات]]</f>
        <v>997504.09999999986</v>
      </c>
      <c r="O150" s="48"/>
    </row>
    <row r="151" spans="11:15" ht="26.25" customHeight="1" x14ac:dyDescent="0.3">
      <c r="K151" s="1">
        <f>Table1181920231030313235383940414811[[#This Row],[النولون]]+Table1181920231030313235383940414811[[#This Row],[الايصالات]]+Table1181920231030313235383940414811[[#This Row],[قيمة مضافة]]</f>
        <v>0</v>
      </c>
      <c r="M151" s="1">
        <f>M150+Table1181920231030313235383940414811[[#This Row],[اجمالي الفاتوره]]-Table1181920231030313235383940414811[[#This Row],[الدفعات]]</f>
        <v>997504.09999999986</v>
      </c>
      <c r="O151" s="48"/>
    </row>
    <row r="152" spans="11:15" ht="26.25" customHeight="1" x14ac:dyDescent="0.3">
      <c r="K152" s="1">
        <f>Table1181920231030313235383940414811[[#This Row],[النولون]]+Table1181920231030313235383940414811[[#This Row],[الايصالات]]+Table1181920231030313235383940414811[[#This Row],[قيمة مضافة]]</f>
        <v>0</v>
      </c>
      <c r="M152" s="1">
        <f>M151+Table1181920231030313235383940414811[[#This Row],[اجمالي الفاتوره]]-Table1181920231030313235383940414811[[#This Row],[الدفعات]]</f>
        <v>997504.09999999986</v>
      </c>
      <c r="O152" s="48"/>
    </row>
    <row r="153" spans="11:15" ht="26.25" customHeight="1" x14ac:dyDescent="0.3">
      <c r="K153" s="1">
        <f>Table1181920231030313235383940414811[[#This Row],[النولون]]+Table1181920231030313235383940414811[[#This Row],[الايصالات]]+Table1181920231030313235383940414811[[#This Row],[قيمة مضافة]]</f>
        <v>0</v>
      </c>
      <c r="M153" s="1">
        <f>M152+Table1181920231030313235383940414811[[#This Row],[اجمالي الفاتوره]]-Table1181920231030313235383940414811[[#This Row],[الدفعات]]</f>
        <v>997504.09999999986</v>
      </c>
      <c r="O153" s="48"/>
    </row>
    <row r="154" spans="11:15" ht="26.25" customHeight="1" x14ac:dyDescent="0.3">
      <c r="K154" s="1">
        <f>Table1181920231030313235383940414811[[#This Row],[النولون]]+Table1181920231030313235383940414811[[#This Row],[الايصالات]]+Table1181920231030313235383940414811[[#This Row],[قيمة مضافة]]</f>
        <v>0</v>
      </c>
      <c r="M154" s="1">
        <f>M153+Table1181920231030313235383940414811[[#This Row],[اجمالي الفاتوره]]-Table1181920231030313235383940414811[[#This Row],[الدفعات]]</f>
        <v>997504.09999999986</v>
      </c>
      <c r="O154" s="48"/>
    </row>
    <row r="155" spans="11:15" ht="26.25" customHeight="1" x14ac:dyDescent="0.3">
      <c r="K155" s="1">
        <f>Table1181920231030313235383940414811[[#This Row],[النولون]]+Table1181920231030313235383940414811[[#This Row],[الايصالات]]+Table1181920231030313235383940414811[[#This Row],[قيمة مضافة]]</f>
        <v>0</v>
      </c>
      <c r="M155" s="1">
        <f>M154+Table1181920231030313235383940414811[[#This Row],[اجمالي الفاتوره]]-Table1181920231030313235383940414811[[#This Row],[الدفعات]]</f>
        <v>997504.09999999986</v>
      </c>
      <c r="O155" s="48"/>
    </row>
    <row r="156" spans="11:15" ht="26.25" customHeight="1" x14ac:dyDescent="0.3">
      <c r="K156" s="1">
        <f>Table1181920231030313235383940414811[[#This Row],[النولون]]+Table1181920231030313235383940414811[[#This Row],[الايصالات]]+Table1181920231030313235383940414811[[#This Row],[قيمة مضافة]]</f>
        <v>0</v>
      </c>
      <c r="M156" s="1">
        <f>M155+Table1181920231030313235383940414811[[#This Row],[اجمالي الفاتوره]]-Table1181920231030313235383940414811[[#This Row],[الدفعات]]</f>
        <v>997504.09999999986</v>
      </c>
      <c r="O156" s="48"/>
    </row>
    <row r="157" spans="11:15" ht="26.25" customHeight="1" x14ac:dyDescent="0.3">
      <c r="K157" s="1">
        <f>Table1181920231030313235383940414811[[#This Row],[النولون]]+Table1181920231030313235383940414811[[#This Row],[الايصالات]]+Table1181920231030313235383940414811[[#This Row],[قيمة مضافة]]</f>
        <v>0</v>
      </c>
      <c r="M157" s="1">
        <f>M156+Table1181920231030313235383940414811[[#This Row],[اجمالي الفاتوره]]-Table1181920231030313235383940414811[[#This Row],[الدفعات]]</f>
        <v>997504.09999999986</v>
      </c>
      <c r="O157" s="48"/>
    </row>
    <row r="158" spans="11:15" ht="26.25" customHeight="1" x14ac:dyDescent="0.3">
      <c r="K158" s="1">
        <f>Table1181920231030313235383940414811[[#This Row],[النولون]]+Table1181920231030313235383940414811[[#This Row],[الايصالات]]+Table1181920231030313235383940414811[[#This Row],[قيمة مضافة]]</f>
        <v>0</v>
      </c>
      <c r="M158" s="1">
        <f>M157+Table1181920231030313235383940414811[[#This Row],[اجمالي الفاتوره]]-Table1181920231030313235383940414811[[#This Row],[الدفعات]]</f>
        <v>997504.09999999986</v>
      </c>
      <c r="O158" s="48"/>
    </row>
    <row r="159" spans="11:15" ht="26.25" customHeight="1" x14ac:dyDescent="0.3">
      <c r="K159" s="1">
        <f>Table1181920231030313235383940414811[[#This Row],[النولون]]+Table1181920231030313235383940414811[[#This Row],[الايصالات]]+Table1181920231030313235383940414811[[#This Row],[قيمة مضافة]]</f>
        <v>0</v>
      </c>
      <c r="M159" s="1">
        <f>M158+Table1181920231030313235383940414811[[#This Row],[اجمالي الفاتوره]]-Table1181920231030313235383940414811[[#This Row],[الدفعات]]</f>
        <v>997504.09999999986</v>
      </c>
      <c r="O159" s="48"/>
    </row>
    <row r="160" spans="11:15" ht="26.25" customHeight="1" x14ac:dyDescent="0.3">
      <c r="K160" s="1">
        <f>Table1181920231030313235383940414811[[#This Row],[النولون]]+Table1181920231030313235383940414811[[#This Row],[الايصالات]]+Table1181920231030313235383940414811[[#This Row],[قيمة مضافة]]</f>
        <v>0</v>
      </c>
      <c r="M160" s="1">
        <f>M159+Table1181920231030313235383940414811[[#This Row],[اجمالي الفاتوره]]-Table1181920231030313235383940414811[[#This Row],[الدفعات]]</f>
        <v>997504.09999999986</v>
      </c>
      <c r="O160" s="48"/>
    </row>
    <row r="161" spans="11:15" ht="26.25" customHeight="1" x14ac:dyDescent="0.3">
      <c r="K161" s="1">
        <f>Table1181920231030313235383940414811[[#This Row],[النولون]]+Table1181920231030313235383940414811[[#This Row],[الايصالات]]+Table1181920231030313235383940414811[[#This Row],[قيمة مضافة]]</f>
        <v>0</v>
      </c>
      <c r="M161" s="1">
        <f>M160+Table1181920231030313235383940414811[[#This Row],[اجمالي الفاتوره]]-Table1181920231030313235383940414811[[#This Row],[الدفعات]]</f>
        <v>997504.09999999986</v>
      </c>
      <c r="O161" s="48"/>
    </row>
    <row r="162" spans="11:15" ht="26.25" customHeight="1" x14ac:dyDescent="0.3">
      <c r="K162" s="1">
        <f>Table1181920231030313235383940414811[[#This Row],[النولون]]+Table1181920231030313235383940414811[[#This Row],[الايصالات]]+Table1181920231030313235383940414811[[#This Row],[قيمة مضافة]]</f>
        <v>0</v>
      </c>
      <c r="M162" s="1">
        <f>M161+Table1181920231030313235383940414811[[#This Row],[اجمالي الفاتوره]]-Table1181920231030313235383940414811[[#This Row],[الدفعات]]</f>
        <v>997504.09999999986</v>
      </c>
      <c r="O162" s="48"/>
    </row>
    <row r="163" spans="11:15" ht="26.25" customHeight="1" x14ac:dyDescent="0.3">
      <c r="K163" s="1">
        <f>Table1181920231030313235383940414811[[#This Row],[النولون]]+Table1181920231030313235383940414811[[#This Row],[الايصالات]]+Table1181920231030313235383940414811[[#This Row],[قيمة مضافة]]</f>
        <v>0</v>
      </c>
      <c r="M163" s="1">
        <f>M162+Table1181920231030313235383940414811[[#This Row],[اجمالي الفاتوره]]-Table1181920231030313235383940414811[[#This Row],[الدفعات]]</f>
        <v>997504.09999999986</v>
      </c>
      <c r="O163" s="48"/>
    </row>
    <row r="164" spans="11:15" ht="26.25" customHeight="1" x14ac:dyDescent="0.3">
      <c r="K164" s="1">
        <f>Table1181920231030313235383940414811[[#This Row],[النولون]]+Table1181920231030313235383940414811[[#This Row],[الايصالات]]+Table1181920231030313235383940414811[[#This Row],[قيمة مضافة]]</f>
        <v>0</v>
      </c>
      <c r="M164" s="1">
        <f>M163+Table1181920231030313235383940414811[[#This Row],[اجمالي الفاتوره]]-Table1181920231030313235383940414811[[#This Row],[الدفعات]]</f>
        <v>997504.09999999986</v>
      </c>
      <c r="O164" s="48"/>
    </row>
    <row r="165" spans="11:15" ht="26.25" customHeight="1" x14ac:dyDescent="0.3">
      <c r="K165" s="1">
        <f>Table1181920231030313235383940414811[[#This Row],[النولون]]+Table1181920231030313235383940414811[[#This Row],[الايصالات]]+Table1181920231030313235383940414811[[#This Row],[قيمة مضافة]]</f>
        <v>0</v>
      </c>
      <c r="M165" s="1">
        <f>M164+Table1181920231030313235383940414811[[#This Row],[اجمالي الفاتوره]]-Table1181920231030313235383940414811[[#This Row],[الدفعات]]</f>
        <v>997504.09999999986</v>
      </c>
      <c r="O165" s="48"/>
    </row>
    <row r="166" spans="11:15" ht="26.25" customHeight="1" x14ac:dyDescent="0.3">
      <c r="K166" s="1">
        <f>Table1181920231030313235383940414811[[#This Row],[النولون]]+Table1181920231030313235383940414811[[#This Row],[الايصالات]]+Table1181920231030313235383940414811[[#This Row],[قيمة مضافة]]</f>
        <v>0</v>
      </c>
      <c r="M166" s="1">
        <f>M165+Table1181920231030313235383940414811[[#This Row],[اجمالي الفاتوره]]-Table1181920231030313235383940414811[[#This Row],[الدفعات]]</f>
        <v>997504.09999999986</v>
      </c>
      <c r="O166" s="48"/>
    </row>
    <row r="167" spans="11:15" ht="26.25" customHeight="1" x14ac:dyDescent="0.3">
      <c r="K167" s="1">
        <f>Table1181920231030313235383940414811[[#This Row],[النولون]]+Table1181920231030313235383940414811[[#This Row],[الايصالات]]+Table1181920231030313235383940414811[[#This Row],[قيمة مضافة]]</f>
        <v>0</v>
      </c>
      <c r="M167" s="1">
        <f>M166+Table1181920231030313235383940414811[[#This Row],[اجمالي الفاتوره]]-Table1181920231030313235383940414811[[#This Row],[الدفعات]]</f>
        <v>997504.09999999986</v>
      </c>
      <c r="O167" s="48"/>
    </row>
    <row r="168" spans="11:15" ht="26.25" customHeight="1" x14ac:dyDescent="0.3">
      <c r="K168" s="1">
        <f>Table1181920231030313235383940414811[[#This Row],[النولون]]+Table1181920231030313235383940414811[[#This Row],[الايصالات]]+Table1181920231030313235383940414811[[#This Row],[قيمة مضافة]]</f>
        <v>0</v>
      </c>
      <c r="M168" s="1">
        <f>M167+Table1181920231030313235383940414811[[#This Row],[اجمالي الفاتوره]]-Table1181920231030313235383940414811[[#This Row],[الدفعات]]</f>
        <v>997504.09999999986</v>
      </c>
      <c r="O168" s="48"/>
    </row>
    <row r="169" spans="11:15" ht="26.25" customHeight="1" x14ac:dyDescent="0.3">
      <c r="K169" s="1">
        <f>Table1181920231030313235383940414811[[#This Row],[النولون]]+Table1181920231030313235383940414811[[#This Row],[الايصالات]]+Table1181920231030313235383940414811[[#This Row],[قيمة مضافة]]</f>
        <v>0</v>
      </c>
      <c r="M169" s="1">
        <f>M168+Table1181920231030313235383940414811[[#This Row],[اجمالي الفاتوره]]-Table1181920231030313235383940414811[[#This Row],[الدفعات]]</f>
        <v>997504.09999999986</v>
      </c>
      <c r="O169" s="48"/>
    </row>
    <row r="170" spans="11:15" ht="26.25" customHeight="1" x14ac:dyDescent="0.3">
      <c r="K170" s="1">
        <f>Table1181920231030313235383940414811[[#This Row],[النولون]]+Table1181920231030313235383940414811[[#This Row],[الايصالات]]+Table1181920231030313235383940414811[[#This Row],[قيمة مضافة]]</f>
        <v>0</v>
      </c>
      <c r="M170" s="1">
        <f>M169+Table1181920231030313235383940414811[[#This Row],[اجمالي الفاتوره]]-Table1181920231030313235383940414811[[#This Row],[الدفعات]]</f>
        <v>997504.09999999986</v>
      </c>
      <c r="O170" s="48"/>
    </row>
    <row r="171" spans="11:15" ht="26.25" customHeight="1" x14ac:dyDescent="0.3">
      <c r="K171" s="1">
        <f>Table1181920231030313235383940414811[[#This Row],[النولون]]+Table1181920231030313235383940414811[[#This Row],[الايصالات]]+Table1181920231030313235383940414811[[#This Row],[قيمة مضافة]]</f>
        <v>0</v>
      </c>
      <c r="M171" s="1">
        <f>M170+Table1181920231030313235383940414811[[#This Row],[اجمالي الفاتوره]]-Table1181920231030313235383940414811[[#This Row],[الدفعات]]</f>
        <v>997504.09999999986</v>
      </c>
      <c r="O171" s="48"/>
    </row>
    <row r="172" spans="11:15" ht="26.25" customHeight="1" x14ac:dyDescent="0.3">
      <c r="K172" s="1">
        <f>Table1181920231030313235383940414811[[#This Row],[النولون]]+Table1181920231030313235383940414811[[#This Row],[الايصالات]]+Table1181920231030313235383940414811[[#This Row],[قيمة مضافة]]</f>
        <v>0</v>
      </c>
      <c r="M172" s="1">
        <f>M171+Table1181920231030313235383940414811[[#This Row],[اجمالي الفاتوره]]-Table1181920231030313235383940414811[[#This Row],[الدفعات]]</f>
        <v>997504.09999999986</v>
      </c>
      <c r="O172" s="48"/>
    </row>
    <row r="173" spans="11:15" ht="26.25" customHeight="1" x14ac:dyDescent="0.3">
      <c r="K173" s="1">
        <f>Table1181920231030313235383940414811[[#This Row],[النولون]]+Table1181920231030313235383940414811[[#This Row],[الايصالات]]+Table1181920231030313235383940414811[[#This Row],[قيمة مضافة]]</f>
        <v>0</v>
      </c>
      <c r="M173" s="1">
        <f>M172+Table1181920231030313235383940414811[[#This Row],[اجمالي الفاتوره]]-Table1181920231030313235383940414811[[#This Row],[الدفعات]]</f>
        <v>997504.09999999986</v>
      </c>
      <c r="O173" s="48"/>
    </row>
    <row r="174" spans="11:15" ht="26.25" customHeight="1" x14ac:dyDescent="0.3">
      <c r="K174" s="1">
        <f>Table1181920231030313235383940414811[[#This Row],[النولون]]+Table1181920231030313235383940414811[[#This Row],[الايصالات]]+Table1181920231030313235383940414811[[#This Row],[قيمة مضافة]]</f>
        <v>0</v>
      </c>
      <c r="M174" s="1">
        <f>M173+Table1181920231030313235383940414811[[#This Row],[اجمالي الفاتوره]]-Table1181920231030313235383940414811[[#This Row],[الدفعات]]</f>
        <v>997504.09999999986</v>
      </c>
      <c r="O174" s="48"/>
    </row>
    <row r="175" spans="11:15" ht="26.25" customHeight="1" x14ac:dyDescent="0.3">
      <c r="K175" s="1">
        <f>Table1181920231030313235383940414811[[#This Row],[النولون]]+Table1181920231030313235383940414811[[#This Row],[الايصالات]]+Table1181920231030313235383940414811[[#This Row],[قيمة مضافة]]</f>
        <v>0</v>
      </c>
      <c r="M175" s="1">
        <f>M174+Table1181920231030313235383940414811[[#This Row],[اجمالي الفاتوره]]-Table1181920231030313235383940414811[[#This Row],[الدفعات]]</f>
        <v>997504.09999999986</v>
      </c>
      <c r="O175" s="48"/>
    </row>
    <row r="176" spans="11:15" ht="26.25" customHeight="1" x14ac:dyDescent="0.3">
      <c r="K176" s="1">
        <f>Table1181920231030313235383940414811[[#This Row],[النولون]]+Table1181920231030313235383940414811[[#This Row],[الايصالات]]+Table1181920231030313235383940414811[[#This Row],[قيمة مضافة]]</f>
        <v>0</v>
      </c>
      <c r="M176" s="1">
        <f>M175+Table1181920231030313235383940414811[[#This Row],[اجمالي الفاتوره]]-Table1181920231030313235383940414811[[#This Row],[الدفعات]]</f>
        <v>997504.09999999986</v>
      </c>
      <c r="O176" s="48"/>
    </row>
    <row r="177" spans="10:15" ht="26.25" customHeight="1" x14ac:dyDescent="0.3">
      <c r="K177" s="1">
        <f>Table1181920231030313235383940414811[[#This Row],[النولون]]+Table1181920231030313235383940414811[[#This Row],[الايصالات]]+Table1181920231030313235383940414811[[#This Row],[قيمة مضافة]]</f>
        <v>0</v>
      </c>
      <c r="M177" s="1">
        <f>M176+Table1181920231030313235383940414811[[#This Row],[اجمالي الفاتوره]]-Table1181920231030313235383940414811[[#This Row],[الدفعات]]</f>
        <v>997504.09999999986</v>
      </c>
      <c r="O177" s="48"/>
    </row>
    <row r="178" spans="10:15" ht="26.25" customHeight="1" x14ac:dyDescent="0.3">
      <c r="K178" s="1">
        <f>Table1181920231030313235383940414811[[#This Row],[النولون]]+Table1181920231030313235383940414811[[#This Row],[الايصالات]]+Table1181920231030313235383940414811[[#This Row],[قيمة مضافة]]</f>
        <v>0</v>
      </c>
      <c r="M178" s="1">
        <f>M177+Table1181920231030313235383940414811[[#This Row],[اجمالي الفاتوره]]-Table1181920231030313235383940414811[[#This Row],[الدفعات]]</f>
        <v>997504.09999999986</v>
      </c>
      <c r="O178" s="48"/>
    </row>
    <row r="179" spans="10:15" ht="26.25" customHeight="1" x14ac:dyDescent="0.3">
      <c r="K179" s="1">
        <f>Table1181920231030313235383940414811[[#This Row],[النولون]]+Table1181920231030313235383940414811[[#This Row],[الايصالات]]+Table1181920231030313235383940414811[[#This Row],[قيمة مضافة]]</f>
        <v>0</v>
      </c>
      <c r="M179" s="1">
        <f>M178+Table1181920231030313235383940414811[[#This Row],[اجمالي الفاتوره]]-Table1181920231030313235383940414811[[#This Row],[الدفعات]]</f>
        <v>997504.09999999986</v>
      </c>
      <c r="O179" s="48"/>
    </row>
    <row r="180" spans="10:15" ht="26.25" customHeight="1" x14ac:dyDescent="0.3">
      <c r="J180" s="41"/>
      <c r="K180" s="1">
        <f>Table1181920231030313235383940414811[[#This Row],[النولون]]+Table1181920231030313235383940414811[[#This Row],[الايصالات]]+Table1181920231030313235383940414811[[#This Row],[قيمة مضافة]]</f>
        <v>0</v>
      </c>
      <c r="M180" s="1">
        <f>M179+Table1181920231030313235383940414811[[#This Row],[اجمالي الفاتوره]]-Table1181920231030313235383940414811[[#This Row],[الدفعات]]</f>
        <v>997504.09999999986</v>
      </c>
      <c r="O180" s="48"/>
    </row>
    <row r="181" spans="10:15" ht="26.25" customHeight="1" x14ac:dyDescent="0.3">
      <c r="K181" s="1">
        <f>Table1181920231030313235383940414811[[#This Row],[النولون]]+Table1181920231030313235383940414811[[#This Row],[الايصالات]]+Table1181920231030313235383940414811[[#This Row],[قيمة مضافة]]</f>
        <v>0</v>
      </c>
      <c r="M181" s="1">
        <f>M180+Table1181920231030313235383940414811[[#This Row],[اجمالي الفاتوره]]-Table1181920231030313235383940414811[[#This Row],[الدفعات]]</f>
        <v>997504.09999999986</v>
      </c>
      <c r="O181" s="48"/>
    </row>
    <row r="182" spans="10:15" ht="26.25" customHeight="1" x14ac:dyDescent="0.3">
      <c r="K182" s="1">
        <f>Table1181920231030313235383940414811[[#This Row],[النولون]]+Table1181920231030313235383940414811[[#This Row],[الايصالات]]+Table1181920231030313235383940414811[[#This Row],[قيمة مضافة]]</f>
        <v>0</v>
      </c>
      <c r="M182" s="1">
        <f>M181+Table1181920231030313235383940414811[[#This Row],[اجمالي الفاتوره]]-Table1181920231030313235383940414811[[#This Row],[الدفعات]]</f>
        <v>997504.09999999986</v>
      </c>
      <c r="O182" s="48"/>
    </row>
    <row r="183" spans="10:15" ht="26.25" customHeight="1" x14ac:dyDescent="0.3">
      <c r="K183" s="1">
        <f>Table1181920231030313235383940414811[[#This Row],[النولون]]+Table1181920231030313235383940414811[[#This Row],[الايصالات]]+Table1181920231030313235383940414811[[#This Row],[قيمة مضافة]]</f>
        <v>0</v>
      </c>
      <c r="M183" s="1">
        <f>M182+Table1181920231030313235383940414811[[#This Row],[اجمالي الفاتوره]]-Table1181920231030313235383940414811[[#This Row],[الدفعات]]</f>
        <v>997504.09999999986</v>
      </c>
      <c r="O183" s="48"/>
    </row>
    <row r="184" spans="10:15" ht="26.25" customHeight="1" x14ac:dyDescent="0.3">
      <c r="K184" s="1">
        <f>Table1181920231030313235383940414811[[#This Row],[النولون]]+Table1181920231030313235383940414811[[#This Row],[الايصالات]]+Table1181920231030313235383940414811[[#This Row],[قيمة مضافة]]</f>
        <v>0</v>
      </c>
      <c r="M184" s="1">
        <f>M183+Table1181920231030313235383940414811[[#This Row],[اجمالي الفاتوره]]-Table1181920231030313235383940414811[[#This Row],[الدفعات]]</f>
        <v>997504.09999999986</v>
      </c>
      <c r="O184" s="48"/>
    </row>
    <row r="185" spans="10:15" ht="26.25" customHeight="1" x14ac:dyDescent="0.3">
      <c r="K185" s="1">
        <f>Table1181920231030313235383940414811[[#This Row],[النولون]]+Table1181920231030313235383940414811[[#This Row],[الايصالات]]+Table1181920231030313235383940414811[[#This Row],[قيمة مضافة]]</f>
        <v>0</v>
      </c>
      <c r="M185" s="1">
        <f>M184+Table1181920231030313235383940414811[[#This Row],[اجمالي الفاتوره]]-Table1181920231030313235383940414811[[#This Row],[الدفعات]]</f>
        <v>997504.09999999986</v>
      </c>
      <c r="O185" s="48"/>
    </row>
    <row r="186" spans="10:15" ht="26.25" customHeight="1" x14ac:dyDescent="0.3">
      <c r="K186" s="1">
        <f>Table1181920231030313235383940414811[[#This Row],[النولون]]+Table1181920231030313235383940414811[[#This Row],[الايصالات]]+Table1181920231030313235383940414811[[#This Row],[قيمة مضافة]]</f>
        <v>0</v>
      </c>
      <c r="M186" s="1">
        <f>M185+Table1181920231030313235383940414811[[#This Row],[اجمالي الفاتوره]]-Table1181920231030313235383940414811[[#This Row],[الدفعات]]</f>
        <v>997504.09999999986</v>
      </c>
      <c r="O186" s="48"/>
    </row>
    <row r="187" spans="10:15" ht="26.25" customHeight="1" x14ac:dyDescent="0.3">
      <c r="K187" s="1">
        <f>Table1181920231030313235383940414811[[#This Row],[النولون]]+Table1181920231030313235383940414811[[#This Row],[الايصالات]]+Table1181920231030313235383940414811[[#This Row],[قيمة مضافة]]</f>
        <v>0</v>
      </c>
      <c r="M187" s="1">
        <f>M186+Table1181920231030313235383940414811[[#This Row],[اجمالي الفاتوره]]-Table1181920231030313235383940414811[[#This Row],[الدفعات]]</f>
        <v>997504.09999999986</v>
      </c>
      <c r="O187" s="48"/>
    </row>
    <row r="188" spans="10:15" ht="26.25" customHeight="1" x14ac:dyDescent="0.3">
      <c r="K188" s="1">
        <f>Table1181920231030313235383940414811[[#This Row],[النولون]]+Table1181920231030313235383940414811[[#This Row],[الايصالات]]+Table1181920231030313235383940414811[[#This Row],[قيمة مضافة]]</f>
        <v>0</v>
      </c>
      <c r="M188" s="1">
        <f>M187+Table1181920231030313235383940414811[[#This Row],[اجمالي الفاتوره]]-Table1181920231030313235383940414811[[#This Row],[الدفعات]]</f>
        <v>997504.09999999986</v>
      </c>
      <c r="O188" s="48"/>
    </row>
    <row r="189" spans="10:15" ht="26.25" customHeight="1" x14ac:dyDescent="0.3">
      <c r="K189" s="1">
        <f>Table1181920231030313235383940414811[[#This Row],[النولون]]+Table1181920231030313235383940414811[[#This Row],[الايصالات]]+Table1181920231030313235383940414811[[#This Row],[قيمة مضافة]]</f>
        <v>0</v>
      </c>
      <c r="M189" s="1">
        <f>M188+Table1181920231030313235383940414811[[#This Row],[اجمالي الفاتوره]]-Table1181920231030313235383940414811[[#This Row],[الدفعات]]</f>
        <v>997504.09999999986</v>
      </c>
      <c r="O189" s="48"/>
    </row>
    <row r="190" spans="10:15" ht="26.25" customHeight="1" x14ac:dyDescent="0.3">
      <c r="K190" s="1">
        <f>Table1181920231030313235383940414811[[#This Row],[النولون]]+Table1181920231030313235383940414811[[#This Row],[الايصالات]]+Table1181920231030313235383940414811[[#This Row],[قيمة مضافة]]</f>
        <v>0</v>
      </c>
      <c r="M190" s="1">
        <f>M189+Table1181920231030313235383940414811[[#This Row],[اجمالي الفاتوره]]-Table1181920231030313235383940414811[[#This Row],[الدفعات]]</f>
        <v>997504.09999999986</v>
      </c>
      <c r="O190" s="48"/>
    </row>
    <row r="191" spans="10:15" ht="26.25" customHeight="1" x14ac:dyDescent="0.3">
      <c r="K191" s="1">
        <f>Table1181920231030313235383940414811[[#This Row],[النولون]]+Table1181920231030313235383940414811[[#This Row],[الايصالات]]+Table1181920231030313235383940414811[[#This Row],[قيمة مضافة]]</f>
        <v>0</v>
      </c>
      <c r="M191" s="1">
        <f>M190+Table1181920231030313235383940414811[[#This Row],[اجمالي الفاتوره]]-Table1181920231030313235383940414811[[#This Row],[الدفعات]]</f>
        <v>997504.09999999986</v>
      </c>
      <c r="O191" s="48"/>
    </row>
    <row r="192" spans="10:15" ht="26.25" customHeight="1" x14ac:dyDescent="0.3">
      <c r="K192" s="1">
        <f>Table1181920231030313235383940414811[[#This Row],[النولون]]+Table1181920231030313235383940414811[[#This Row],[الايصالات]]+Table1181920231030313235383940414811[[#This Row],[قيمة مضافة]]</f>
        <v>0</v>
      </c>
      <c r="M192" s="1">
        <f>M191+Table1181920231030313235383940414811[[#This Row],[اجمالي الفاتوره]]-Table1181920231030313235383940414811[[#This Row],[الدفعات]]</f>
        <v>997504.09999999986</v>
      </c>
      <c r="O192" s="48"/>
    </row>
    <row r="193" spans="11:15" ht="26.25" customHeight="1" x14ac:dyDescent="0.3">
      <c r="K193" s="1">
        <f>Table1181920231030313235383940414811[[#This Row],[النولون]]+Table1181920231030313235383940414811[[#This Row],[الايصالات]]+Table1181920231030313235383940414811[[#This Row],[قيمة مضافة]]</f>
        <v>0</v>
      </c>
      <c r="M193" s="1">
        <f>M192+Table1181920231030313235383940414811[[#This Row],[اجمالي الفاتوره]]-Table1181920231030313235383940414811[[#This Row],[الدفعات]]</f>
        <v>997504.09999999986</v>
      </c>
      <c r="O193" s="48"/>
    </row>
    <row r="194" spans="11:15" ht="26.25" customHeight="1" x14ac:dyDescent="0.3">
      <c r="K194" s="1">
        <f>Table1181920231030313235383940414811[[#This Row],[النولون]]+Table1181920231030313235383940414811[[#This Row],[الايصالات]]+Table1181920231030313235383940414811[[#This Row],[قيمة مضافة]]</f>
        <v>0</v>
      </c>
      <c r="M194" s="1">
        <f>M193+Table1181920231030313235383940414811[[#This Row],[اجمالي الفاتوره]]-Table1181920231030313235383940414811[[#This Row],[الدفعات]]</f>
        <v>997504.09999999986</v>
      </c>
      <c r="O194" s="48"/>
    </row>
    <row r="195" spans="11:15" ht="26.25" customHeight="1" x14ac:dyDescent="0.3">
      <c r="K195" s="1">
        <f>Table1181920231030313235383940414811[[#This Row],[النولون]]+Table1181920231030313235383940414811[[#This Row],[الايصالات]]+Table1181920231030313235383940414811[[#This Row],[قيمة مضافة]]</f>
        <v>0</v>
      </c>
      <c r="M195" s="1">
        <f>M194+Table1181920231030313235383940414811[[#This Row],[اجمالي الفاتوره]]-Table1181920231030313235383940414811[[#This Row],[الدفعات]]</f>
        <v>997504.09999999986</v>
      </c>
      <c r="O195" s="48"/>
    </row>
    <row r="196" spans="11:15" ht="26.25" customHeight="1" x14ac:dyDescent="0.3">
      <c r="K196" s="1">
        <f>Table1181920231030313235383940414811[[#This Row],[النولون]]+Table1181920231030313235383940414811[[#This Row],[الايصالات]]+Table1181920231030313235383940414811[[#This Row],[قيمة مضافة]]</f>
        <v>0</v>
      </c>
      <c r="M196" s="1">
        <f>M195+Table1181920231030313235383940414811[[#This Row],[اجمالي الفاتوره]]-Table1181920231030313235383940414811[[#This Row],[الدفعات]]</f>
        <v>997504.09999999986</v>
      </c>
      <c r="O196" s="48"/>
    </row>
    <row r="197" spans="11:15" ht="26.25" customHeight="1" x14ac:dyDescent="0.3">
      <c r="K197" s="1">
        <f>Table1181920231030313235383940414811[[#This Row],[النولون]]+Table1181920231030313235383940414811[[#This Row],[الايصالات]]+Table1181920231030313235383940414811[[#This Row],[قيمة مضافة]]</f>
        <v>0</v>
      </c>
      <c r="M197" s="1">
        <f>M196+Table1181920231030313235383940414811[[#This Row],[اجمالي الفاتوره]]-Table1181920231030313235383940414811[[#This Row],[الدفعات]]</f>
        <v>997504.09999999986</v>
      </c>
      <c r="O197" s="48"/>
    </row>
    <row r="198" spans="11:15" ht="26.25" customHeight="1" x14ac:dyDescent="0.3">
      <c r="K198" s="1">
        <f>Table1181920231030313235383940414811[[#This Row],[النولون]]+Table1181920231030313235383940414811[[#This Row],[الايصالات]]+Table1181920231030313235383940414811[[#This Row],[قيمة مضافة]]</f>
        <v>0</v>
      </c>
      <c r="M198" s="1">
        <f>M197+Table1181920231030313235383940414811[[#This Row],[اجمالي الفاتوره]]-Table1181920231030313235383940414811[[#This Row],[الدفعات]]</f>
        <v>997504.09999999986</v>
      </c>
      <c r="O198" s="48"/>
    </row>
    <row r="199" spans="11:15" ht="26.25" customHeight="1" x14ac:dyDescent="0.3">
      <c r="K199" s="1">
        <f>Table1181920231030313235383940414811[[#This Row],[النولون]]+Table1181920231030313235383940414811[[#This Row],[الايصالات]]+Table1181920231030313235383940414811[[#This Row],[قيمة مضافة]]</f>
        <v>0</v>
      </c>
      <c r="M199" s="1">
        <f>M198+Table1181920231030313235383940414811[[#This Row],[اجمالي الفاتوره]]-Table1181920231030313235383940414811[[#This Row],[الدفعات]]</f>
        <v>997504.09999999986</v>
      </c>
      <c r="O199" s="48"/>
    </row>
    <row r="200" spans="11:15" ht="26.25" customHeight="1" x14ac:dyDescent="0.3">
      <c r="K200" s="1">
        <f>Table1181920231030313235383940414811[[#This Row],[النولون]]+Table1181920231030313235383940414811[[#This Row],[الايصالات]]+Table1181920231030313235383940414811[[#This Row],[قيمة مضافة]]</f>
        <v>0</v>
      </c>
      <c r="M200" s="1">
        <f>M199+Table1181920231030313235383940414811[[#This Row],[اجمالي الفاتوره]]-Table1181920231030313235383940414811[[#This Row],[الدفعات]]</f>
        <v>997504.09999999986</v>
      </c>
      <c r="O200" s="48"/>
    </row>
    <row r="201" spans="11:15" ht="26.25" customHeight="1" x14ac:dyDescent="0.3">
      <c r="K201" s="1">
        <f>Table1181920231030313235383940414811[[#This Row],[النولون]]+Table1181920231030313235383940414811[[#This Row],[الايصالات]]+Table1181920231030313235383940414811[[#This Row],[قيمة مضافة]]</f>
        <v>0</v>
      </c>
      <c r="M201" s="1">
        <f>M200+Table1181920231030313235383940414811[[#This Row],[اجمالي الفاتوره]]-Table1181920231030313235383940414811[[#This Row],[الدفعات]]</f>
        <v>997504.09999999986</v>
      </c>
      <c r="O201" s="48"/>
    </row>
    <row r="202" spans="11:15" ht="26.25" customHeight="1" x14ac:dyDescent="0.3">
      <c r="K202" s="1">
        <f>Table1181920231030313235383940414811[[#This Row],[النولون]]+Table1181920231030313235383940414811[[#This Row],[الايصالات]]+Table1181920231030313235383940414811[[#This Row],[قيمة مضافة]]</f>
        <v>0</v>
      </c>
      <c r="M202" s="1">
        <f>M201+Table1181920231030313235383940414811[[#This Row],[اجمالي الفاتوره]]-Table1181920231030313235383940414811[[#This Row],[الدفعات]]</f>
        <v>997504.09999999986</v>
      </c>
      <c r="O202" s="48"/>
    </row>
    <row r="203" spans="11:15" ht="26.25" customHeight="1" x14ac:dyDescent="0.3">
      <c r="K203" s="1">
        <f>Table1181920231030313235383940414811[[#This Row],[النولون]]+Table1181920231030313235383940414811[[#This Row],[الايصالات]]+Table1181920231030313235383940414811[[#This Row],[قيمة مضافة]]</f>
        <v>0</v>
      </c>
      <c r="M203" s="1">
        <f>M202+Table1181920231030313235383940414811[[#This Row],[اجمالي الفاتوره]]-Table1181920231030313235383940414811[[#This Row],[الدفعات]]</f>
        <v>997504.09999999986</v>
      </c>
      <c r="O203" s="48"/>
    </row>
    <row r="204" spans="11:15" ht="26.25" customHeight="1" x14ac:dyDescent="0.3">
      <c r="K204" s="1">
        <f>Table1181920231030313235383940414811[[#This Row],[النولون]]+Table1181920231030313235383940414811[[#This Row],[الايصالات]]+Table1181920231030313235383940414811[[#This Row],[قيمة مضافة]]</f>
        <v>0</v>
      </c>
      <c r="M204" s="1">
        <f>M203+Table1181920231030313235383940414811[[#This Row],[اجمالي الفاتوره]]-Table1181920231030313235383940414811[[#This Row],[الدفعات]]</f>
        <v>997504.09999999986</v>
      </c>
      <c r="O204" s="48"/>
    </row>
    <row r="205" spans="11:15" ht="26.25" customHeight="1" x14ac:dyDescent="0.3">
      <c r="K205" s="1">
        <f>Table1181920231030313235383940414811[[#This Row],[النولون]]+Table1181920231030313235383940414811[[#This Row],[الايصالات]]+Table1181920231030313235383940414811[[#This Row],[قيمة مضافة]]</f>
        <v>0</v>
      </c>
      <c r="M205" s="1">
        <f>M204+Table1181920231030313235383940414811[[#This Row],[اجمالي الفاتوره]]-Table1181920231030313235383940414811[[#This Row],[الدفعات]]</f>
        <v>997504.09999999986</v>
      </c>
      <c r="O205" s="48"/>
    </row>
    <row r="206" spans="11:15" ht="26.25" customHeight="1" x14ac:dyDescent="0.3">
      <c r="K206" s="1">
        <f>Table1181920231030313235383940414811[[#This Row],[النولون]]+Table1181920231030313235383940414811[[#This Row],[الايصالات]]+Table1181920231030313235383940414811[[#This Row],[قيمة مضافة]]</f>
        <v>0</v>
      </c>
      <c r="M206" s="1">
        <f>M205+Table1181920231030313235383940414811[[#This Row],[اجمالي الفاتوره]]-Table1181920231030313235383940414811[[#This Row],[الدفعات]]</f>
        <v>997504.09999999986</v>
      </c>
      <c r="O206" s="48"/>
    </row>
    <row r="207" spans="11:15" ht="26.25" customHeight="1" x14ac:dyDescent="0.3">
      <c r="K207" s="1">
        <f>Table1181920231030313235383940414811[[#This Row],[النولون]]+Table1181920231030313235383940414811[[#This Row],[الايصالات]]+Table1181920231030313235383940414811[[#This Row],[قيمة مضافة]]</f>
        <v>0</v>
      </c>
      <c r="M207" s="1">
        <f>M206+Table1181920231030313235383940414811[[#This Row],[اجمالي الفاتوره]]-Table1181920231030313235383940414811[[#This Row],[الدفعات]]</f>
        <v>997504.09999999986</v>
      </c>
      <c r="O207" s="48"/>
    </row>
    <row r="208" spans="11:15" ht="26.25" customHeight="1" x14ac:dyDescent="0.3">
      <c r="K208" s="1">
        <f>Table1181920231030313235383940414811[[#This Row],[النولون]]+Table1181920231030313235383940414811[[#This Row],[الايصالات]]+Table1181920231030313235383940414811[[#This Row],[قيمة مضافة]]</f>
        <v>0</v>
      </c>
      <c r="M208" s="1">
        <f>M207+Table1181920231030313235383940414811[[#This Row],[اجمالي الفاتوره]]-Table1181920231030313235383940414811[[#This Row],[الدفعات]]</f>
        <v>997504.09999999986</v>
      </c>
      <c r="O208" s="48"/>
    </row>
    <row r="209" spans="11:15" ht="26.25" customHeight="1" x14ac:dyDescent="0.3">
      <c r="K209" s="1">
        <f>Table1181920231030313235383940414811[[#This Row],[النولون]]+Table1181920231030313235383940414811[[#This Row],[الايصالات]]+Table1181920231030313235383940414811[[#This Row],[قيمة مضافة]]</f>
        <v>0</v>
      </c>
      <c r="M209" s="1">
        <f>M208+Table1181920231030313235383940414811[[#This Row],[اجمالي الفاتوره]]-Table1181920231030313235383940414811[[#This Row],[الدفعات]]</f>
        <v>997504.09999999986</v>
      </c>
      <c r="O209" s="48"/>
    </row>
    <row r="210" spans="11:15" ht="26.25" customHeight="1" x14ac:dyDescent="0.3">
      <c r="K210" s="1">
        <f>Table1181920231030313235383940414811[[#This Row],[النولون]]+Table1181920231030313235383940414811[[#This Row],[الايصالات]]+Table1181920231030313235383940414811[[#This Row],[قيمة مضافة]]</f>
        <v>0</v>
      </c>
      <c r="M210" s="1">
        <f>M209+Table1181920231030313235383940414811[[#This Row],[اجمالي الفاتوره]]-Table1181920231030313235383940414811[[#This Row],[الدفعات]]</f>
        <v>997504.09999999986</v>
      </c>
      <c r="O210" s="48"/>
    </row>
    <row r="211" spans="11:15" ht="26.25" customHeight="1" x14ac:dyDescent="0.3">
      <c r="K211" s="1">
        <f>Table1181920231030313235383940414811[[#This Row],[النولون]]+Table1181920231030313235383940414811[[#This Row],[الايصالات]]+Table1181920231030313235383940414811[[#This Row],[قيمة مضافة]]</f>
        <v>0</v>
      </c>
      <c r="M211" s="1">
        <f>M210+Table1181920231030313235383940414811[[#This Row],[اجمالي الفاتوره]]-Table1181920231030313235383940414811[[#This Row],[الدفعات]]</f>
        <v>997504.09999999986</v>
      </c>
      <c r="O211" s="48"/>
    </row>
    <row r="212" spans="11:15" ht="26.25" customHeight="1" x14ac:dyDescent="0.3">
      <c r="K212" s="1">
        <f>Table1181920231030313235383940414811[[#This Row],[النولون]]+Table1181920231030313235383940414811[[#This Row],[الايصالات]]+Table1181920231030313235383940414811[[#This Row],[قيمة مضافة]]</f>
        <v>0</v>
      </c>
      <c r="M212" s="1">
        <f>M211+Table1181920231030313235383940414811[[#This Row],[اجمالي الفاتوره]]-Table1181920231030313235383940414811[[#This Row],[الدفعات]]</f>
        <v>997504.09999999986</v>
      </c>
      <c r="O212" s="48"/>
    </row>
    <row r="213" spans="11:15" ht="26.25" customHeight="1" x14ac:dyDescent="0.3">
      <c r="K213" s="1">
        <f>Table1181920231030313235383940414811[[#This Row],[النولون]]+Table1181920231030313235383940414811[[#This Row],[الايصالات]]+Table1181920231030313235383940414811[[#This Row],[قيمة مضافة]]</f>
        <v>0</v>
      </c>
      <c r="M213" s="1">
        <f>M212+Table1181920231030313235383940414811[[#This Row],[اجمالي الفاتوره]]-Table1181920231030313235383940414811[[#This Row],[الدفعات]]</f>
        <v>997504.09999999986</v>
      </c>
      <c r="O213" s="48"/>
    </row>
    <row r="214" spans="11:15" ht="26.25" customHeight="1" x14ac:dyDescent="0.3">
      <c r="K214" s="1">
        <f>Table1181920231030313235383940414811[[#This Row],[النولون]]+Table1181920231030313235383940414811[[#This Row],[الايصالات]]+Table1181920231030313235383940414811[[#This Row],[قيمة مضافة]]</f>
        <v>0</v>
      </c>
      <c r="M214" s="1">
        <f>M213+Table1181920231030313235383940414811[[#This Row],[اجمالي الفاتوره]]-Table1181920231030313235383940414811[[#This Row],[الدفعات]]</f>
        <v>997504.09999999986</v>
      </c>
      <c r="O214" s="48"/>
    </row>
    <row r="215" spans="11:15" ht="26.25" customHeight="1" x14ac:dyDescent="0.3">
      <c r="K215" s="1">
        <f>Table1181920231030313235383940414811[[#This Row],[النولون]]+Table1181920231030313235383940414811[[#This Row],[الايصالات]]+Table1181920231030313235383940414811[[#This Row],[قيمة مضافة]]</f>
        <v>0</v>
      </c>
      <c r="M215" s="1">
        <f>M214+Table1181920231030313235383940414811[[#This Row],[اجمالي الفاتوره]]-Table1181920231030313235383940414811[[#This Row],[الدفعات]]</f>
        <v>997504.09999999986</v>
      </c>
      <c r="O215" s="48"/>
    </row>
    <row r="216" spans="11:15" ht="26.25" customHeight="1" x14ac:dyDescent="0.3">
      <c r="K216" s="1">
        <f>Table1181920231030313235383940414811[[#This Row],[النولون]]+Table1181920231030313235383940414811[[#This Row],[الايصالات]]+Table1181920231030313235383940414811[[#This Row],[قيمة مضافة]]</f>
        <v>0</v>
      </c>
      <c r="M216" s="1">
        <f>M215+Table1181920231030313235383940414811[[#This Row],[اجمالي الفاتوره]]-Table1181920231030313235383940414811[[#This Row],[الدفعات]]</f>
        <v>997504.09999999986</v>
      </c>
      <c r="O216" s="48"/>
    </row>
    <row r="217" spans="11:15" ht="26.25" customHeight="1" x14ac:dyDescent="0.3">
      <c r="K217" s="1">
        <f>Table1181920231030313235383940414811[[#This Row],[النولون]]+Table1181920231030313235383940414811[[#This Row],[الايصالات]]+Table1181920231030313235383940414811[[#This Row],[قيمة مضافة]]</f>
        <v>0</v>
      </c>
      <c r="M217" s="1">
        <f>M216+Table1181920231030313235383940414811[[#This Row],[اجمالي الفاتوره]]-Table1181920231030313235383940414811[[#This Row],[الدفعات]]</f>
        <v>997504.09999999986</v>
      </c>
      <c r="O217" s="48"/>
    </row>
    <row r="218" spans="11:15" ht="26.25" customHeight="1" x14ac:dyDescent="0.3">
      <c r="K218" s="1">
        <f>Table1181920231030313235383940414811[[#This Row],[النولون]]+Table1181920231030313235383940414811[[#This Row],[الايصالات]]+Table1181920231030313235383940414811[[#This Row],[قيمة مضافة]]</f>
        <v>0</v>
      </c>
      <c r="M218" s="1">
        <f>M217+Table1181920231030313235383940414811[[#This Row],[اجمالي الفاتوره]]-Table1181920231030313235383940414811[[#This Row],[الدفعات]]</f>
        <v>997504.09999999986</v>
      </c>
      <c r="O218" s="48"/>
    </row>
    <row r="219" spans="11:15" ht="26.25" customHeight="1" x14ac:dyDescent="0.3">
      <c r="K219" s="1">
        <f>Table1181920231030313235383940414811[[#This Row],[النولون]]+Table1181920231030313235383940414811[[#This Row],[الايصالات]]+Table1181920231030313235383940414811[[#This Row],[قيمة مضافة]]</f>
        <v>0</v>
      </c>
      <c r="M219" s="1">
        <f>M218+Table1181920231030313235383940414811[[#This Row],[اجمالي الفاتوره]]-Table1181920231030313235383940414811[[#This Row],[الدفعات]]</f>
        <v>997504.09999999986</v>
      </c>
      <c r="O219" s="48"/>
    </row>
    <row r="220" spans="11:15" ht="26.25" customHeight="1" x14ac:dyDescent="0.3">
      <c r="K220" s="1">
        <f>Table1181920231030313235383940414811[[#This Row],[النولون]]+Table1181920231030313235383940414811[[#This Row],[الايصالات]]+Table1181920231030313235383940414811[[#This Row],[قيمة مضافة]]</f>
        <v>0</v>
      </c>
      <c r="M220" s="1">
        <f>M219+Table1181920231030313235383940414811[[#This Row],[اجمالي الفاتوره]]-Table1181920231030313235383940414811[[#This Row],[الدفعات]]</f>
        <v>997504.09999999986</v>
      </c>
      <c r="O220" s="48"/>
    </row>
    <row r="221" spans="11:15" ht="26.25" customHeight="1" x14ac:dyDescent="0.3">
      <c r="K221" s="1">
        <f>Table1181920231030313235383940414811[[#This Row],[النولون]]+Table1181920231030313235383940414811[[#This Row],[الايصالات]]+Table1181920231030313235383940414811[[#This Row],[قيمة مضافة]]</f>
        <v>0</v>
      </c>
      <c r="M221" s="1">
        <f>M220+Table1181920231030313235383940414811[[#This Row],[اجمالي الفاتوره]]-Table1181920231030313235383940414811[[#This Row],[الدفعات]]</f>
        <v>997504.09999999986</v>
      </c>
      <c r="O221" s="48"/>
    </row>
    <row r="222" spans="11:15" ht="26.25" customHeight="1" x14ac:dyDescent="0.3">
      <c r="K222" s="1">
        <f>Table1181920231030313235383940414811[[#This Row],[النولون]]+Table1181920231030313235383940414811[[#This Row],[الايصالات]]+Table1181920231030313235383940414811[[#This Row],[قيمة مضافة]]</f>
        <v>0</v>
      </c>
      <c r="M222" s="1">
        <f>M221+Table1181920231030313235383940414811[[#This Row],[اجمالي الفاتوره]]-Table1181920231030313235383940414811[[#This Row],[الدفعات]]</f>
        <v>997504.09999999986</v>
      </c>
      <c r="O222" s="48"/>
    </row>
    <row r="223" spans="11:15" ht="26.25" customHeight="1" x14ac:dyDescent="0.3">
      <c r="K223" s="1">
        <f>Table1181920231030313235383940414811[[#This Row],[النولون]]+Table1181920231030313235383940414811[[#This Row],[الايصالات]]+Table1181920231030313235383940414811[[#This Row],[قيمة مضافة]]</f>
        <v>0</v>
      </c>
      <c r="M223" s="1">
        <f>M222+Table1181920231030313235383940414811[[#This Row],[اجمالي الفاتوره]]-Table1181920231030313235383940414811[[#This Row],[الدفعات]]</f>
        <v>997504.09999999986</v>
      </c>
      <c r="O223" s="48"/>
    </row>
    <row r="224" spans="11:15" ht="26.25" customHeight="1" x14ac:dyDescent="0.3">
      <c r="K224" s="1">
        <f>Table1181920231030313235383940414811[[#This Row],[النولون]]+Table1181920231030313235383940414811[[#This Row],[الايصالات]]+Table1181920231030313235383940414811[[#This Row],[قيمة مضافة]]</f>
        <v>0</v>
      </c>
      <c r="M224" s="1">
        <f>M223+Table1181920231030313235383940414811[[#This Row],[اجمالي الفاتوره]]-Table1181920231030313235383940414811[[#This Row],[الدفعات]]</f>
        <v>997504.09999999986</v>
      </c>
      <c r="O224" s="48"/>
    </row>
    <row r="225" spans="11:15" ht="26.25" customHeight="1" x14ac:dyDescent="0.3">
      <c r="K225" s="1">
        <f>Table1181920231030313235383940414811[[#This Row],[النولون]]+Table1181920231030313235383940414811[[#This Row],[الايصالات]]+Table1181920231030313235383940414811[[#This Row],[قيمة مضافة]]</f>
        <v>0</v>
      </c>
      <c r="M225" s="1">
        <f>M224+Table1181920231030313235383940414811[[#This Row],[اجمالي الفاتوره]]-Table1181920231030313235383940414811[[#This Row],[الدفعات]]</f>
        <v>997504.09999999986</v>
      </c>
      <c r="O225" s="48"/>
    </row>
    <row r="226" spans="11:15" ht="26.25" customHeight="1" x14ac:dyDescent="0.3">
      <c r="K226" s="1">
        <f>Table1181920231030313235383940414811[[#This Row],[النولون]]+Table1181920231030313235383940414811[[#This Row],[الايصالات]]+Table1181920231030313235383940414811[[#This Row],[قيمة مضافة]]</f>
        <v>0</v>
      </c>
      <c r="M226" s="1">
        <f>M225+Table1181920231030313235383940414811[[#This Row],[اجمالي الفاتوره]]-Table1181920231030313235383940414811[[#This Row],[الدفعات]]</f>
        <v>997504.09999999986</v>
      </c>
      <c r="O226" s="48"/>
    </row>
    <row r="227" spans="11:15" ht="26.25" customHeight="1" x14ac:dyDescent="0.3">
      <c r="K227" s="1">
        <f>Table1181920231030313235383940414811[[#This Row],[النولون]]+Table1181920231030313235383940414811[[#This Row],[الايصالات]]+Table1181920231030313235383940414811[[#This Row],[قيمة مضافة]]</f>
        <v>0</v>
      </c>
      <c r="M227" s="1">
        <f>M226+Table1181920231030313235383940414811[[#This Row],[اجمالي الفاتوره]]-Table1181920231030313235383940414811[[#This Row],[الدفعات]]</f>
        <v>997504.09999999986</v>
      </c>
      <c r="O227" s="48"/>
    </row>
    <row r="228" spans="11:15" ht="26.25" customHeight="1" x14ac:dyDescent="0.3">
      <c r="K228" s="1">
        <f>Table1181920231030313235383940414811[[#This Row],[النولون]]+Table1181920231030313235383940414811[[#This Row],[الايصالات]]+Table1181920231030313235383940414811[[#This Row],[قيمة مضافة]]</f>
        <v>0</v>
      </c>
      <c r="M228" s="1">
        <f>M227+Table1181920231030313235383940414811[[#This Row],[اجمالي الفاتوره]]-Table1181920231030313235383940414811[[#This Row],[الدفعات]]</f>
        <v>997504.09999999986</v>
      </c>
      <c r="O228" s="48"/>
    </row>
    <row r="229" spans="11:15" ht="26.25" customHeight="1" x14ac:dyDescent="0.3">
      <c r="K229" s="1">
        <f>Table1181920231030313235383940414811[[#This Row],[النولون]]+Table1181920231030313235383940414811[[#This Row],[الايصالات]]+Table1181920231030313235383940414811[[#This Row],[قيمة مضافة]]</f>
        <v>0</v>
      </c>
      <c r="M229" s="1">
        <f>M228+Table1181920231030313235383940414811[[#This Row],[اجمالي الفاتوره]]-Table1181920231030313235383940414811[[#This Row],[الدفعات]]</f>
        <v>997504.09999999986</v>
      </c>
      <c r="O229" s="48"/>
    </row>
    <row r="230" spans="11:15" ht="26.25" customHeight="1" x14ac:dyDescent="0.3">
      <c r="K230" s="1">
        <f>Table1181920231030313235383940414811[[#This Row],[النولون]]+Table1181920231030313235383940414811[[#This Row],[الايصالات]]+Table1181920231030313235383940414811[[#This Row],[قيمة مضافة]]</f>
        <v>0</v>
      </c>
      <c r="M230" s="1">
        <f>M229+Table1181920231030313235383940414811[[#This Row],[اجمالي الفاتوره]]-Table1181920231030313235383940414811[[#This Row],[الدفعات]]</f>
        <v>997504.09999999986</v>
      </c>
      <c r="O230" s="48"/>
    </row>
    <row r="231" spans="11:15" ht="26.25" customHeight="1" x14ac:dyDescent="0.3">
      <c r="K231" s="1">
        <f>Table1181920231030313235383940414811[[#This Row],[النولون]]+Table1181920231030313235383940414811[[#This Row],[الايصالات]]+Table1181920231030313235383940414811[[#This Row],[قيمة مضافة]]</f>
        <v>0</v>
      </c>
      <c r="M231" s="1">
        <f>M230+Table1181920231030313235383940414811[[#This Row],[اجمالي الفاتوره]]-Table1181920231030313235383940414811[[#This Row],[الدفعات]]</f>
        <v>997504.09999999986</v>
      </c>
      <c r="O231" s="48"/>
    </row>
    <row r="232" spans="11:15" ht="26.25" customHeight="1" x14ac:dyDescent="0.3">
      <c r="K232" s="1">
        <f>Table1181920231030313235383940414811[[#This Row],[النولون]]+Table1181920231030313235383940414811[[#This Row],[الايصالات]]+Table1181920231030313235383940414811[[#This Row],[قيمة مضافة]]</f>
        <v>0</v>
      </c>
      <c r="M232" s="1">
        <f>M231+Table1181920231030313235383940414811[[#This Row],[اجمالي الفاتوره]]-Table1181920231030313235383940414811[[#This Row],[الدفعات]]</f>
        <v>997504.09999999986</v>
      </c>
      <c r="O232" s="48"/>
    </row>
    <row r="233" spans="11:15" ht="26.25" customHeight="1" x14ac:dyDescent="0.3">
      <c r="K233" s="1">
        <f>Table1181920231030313235383940414811[[#This Row],[النولون]]+Table1181920231030313235383940414811[[#This Row],[الايصالات]]+Table1181920231030313235383940414811[[#This Row],[قيمة مضافة]]</f>
        <v>0</v>
      </c>
      <c r="M233" s="1">
        <f>M232+Table1181920231030313235383940414811[[#This Row],[اجمالي الفاتوره]]-Table1181920231030313235383940414811[[#This Row],[الدفعات]]</f>
        <v>997504.09999999986</v>
      </c>
      <c r="O233" s="48"/>
    </row>
    <row r="234" spans="11:15" ht="26.25" customHeight="1" x14ac:dyDescent="0.3">
      <c r="K234" s="1">
        <f>Table1181920231030313235383940414811[[#This Row],[النولون]]+Table1181920231030313235383940414811[[#This Row],[الايصالات]]+Table1181920231030313235383940414811[[#This Row],[قيمة مضافة]]</f>
        <v>0</v>
      </c>
      <c r="M234" s="1">
        <f>M233+Table1181920231030313235383940414811[[#This Row],[اجمالي الفاتوره]]-Table1181920231030313235383940414811[[#This Row],[الدفعات]]</f>
        <v>997504.09999999986</v>
      </c>
      <c r="O234" s="48"/>
    </row>
    <row r="235" spans="11:15" ht="26.25" customHeight="1" x14ac:dyDescent="0.3">
      <c r="K235" s="1">
        <f>Table1181920231030313235383940414811[[#This Row],[النولون]]+Table1181920231030313235383940414811[[#This Row],[الايصالات]]+Table1181920231030313235383940414811[[#This Row],[قيمة مضافة]]</f>
        <v>0</v>
      </c>
      <c r="M235" s="1">
        <f>M234+Table1181920231030313235383940414811[[#This Row],[اجمالي الفاتوره]]-Table1181920231030313235383940414811[[#This Row],[الدفعات]]</f>
        <v>997504.09999999986</v>
      </c>
      <c r="O235" s="48"/>
    </row>
    <row r="236" spans="11:15" ht="26.25" customHeight="1" x14ac:dyDescent="0.3">
      <c r="K236" s="1">
        <f>Table1181920231030313235383940414811[[#This Row],[النولون]]+Table1181920231030313235383940414811[[#This Row],[الايصالات]]+Table1181920231030313235383940414811[[#This Row],[قيمة مضافة]]</f>
        <v>0</v>
      </c>
      <c r="M236" s="1">
        <f>M235+Table1181920231030313235383940414811[[#This Row],[اجمالي الفاتوره]]-Table1181920231030313235383940414811[[#This Row],[الدفعات]]</f>
        <v>997504.09999999986</v>
      </c>
      <c r="O236" s="48"/>
    </row>
    <row r="237" spans="11:15" ht="26.25" customHeight="1" x14ac:dyDescent="0.3">
      <c r="K237" s="1">
        <f>Table1181920231030313235383940414811[[#This Row],[النولون]]+Table1181920231030313235383940414811[[#This Row],[الايصالات]]+Table1181920231030313235383940414811[[#This Row],[قيمة مضافة]]</f>
        <v>0</v>
      </c>
      <c r="M237" s="1">
        <f>M236+Table1181920231030313235383940414811[[#This Row],[اجمالي الفاتوره]]-Table1181920231030313235383940414811[[#This Row],[الدفعات]]</f>
        <v>997504.09999999986</v>
      </c>
      <c r="O237" s="48"/>
    </row>
    <row r="238" spans="11:15" ht="26.25" customHeight="1" x14ac:dyDescent="0.3">
      <c r="K238" s="1">
        <f>Table1181920231030313235383940414811[[#This Row],[النولون]]+Table1181920231030313235383940414811[[#This Row],[الايصالات]]+Table1181920231030313235383940414811[[#This Row],[قيمة مضافة]]</f>
        <v>0</v>
      </c>
      <c r="M238" s="1">
        <f>M237+Table1181920231030313235383940414811[[#This Row],[اجمالي الفاتوره]]-Table1181920231030313235383940414811[[#This Row],[الدفعات]]</f>
        <v>997504.09999999986</v>
      </c>
      <c r="O238" s="48"/>
    </row>
    <row r="239" spans="11:15" ht="26.25" customHeight="1" x14ac:dyDescent="0.3">
      <c r="K239" s="1">
        <f>Table1181920231030313235383940414811[[#This Row],[النولون]]+Table1181920231030313235383940414811[[#This Row],[الايصالات]]+Table1181920231030313235383940414811[[#This Row],[قيمة مضافة]]</f>
        <v>0</v>
      </c>
      <c r="M239" s="1">
        <f>M238+Table1181920231030313235383940414811[[#This Row],[اجمالي الفاتوره]]-Table1181920231030313235383940414811[[#This Row],[الدفعات]]</f>
        <v>997504.09999999986</v>
      </c>
      <c r="O239" s="48"/>
    </row>
    <row r="240" spans="11:15" ht="26.25" customHeight="1" x14ac:dyDescent="0.3">
      <c r="K240" s="1">
        <f>Table1181920231030313235383940414811[[#This Row],[النولون]]+Table1181920231030313235383940414811[[#This Row],[الايصالات]]+Table1181920231030313235383940414811[[#This Row],[قيمة مضافة]]</f>
        <v>0</v>
      </c>
      <c r="M240" s="1">
        <f>M239+Table1181920231030313235383940414811[[#This Row],[اجمالي الفاتوره]]-Table1181920231030313235383940414811[[#This Row],[الدفعات]]</f>
        <v>997504.09999999986</v>
      </c>
      <c r="O240" s="48"/>
    </row>
    <row r="241" spans="11:15" ht="26.25" customHeight="1" x14ac:dyDescent="0.3">
      <c r="K241" s="1">
        <f>Table1181920231030313235383940414811[[#This Row],[النولون]]+Table1181920231030313235383940414811[[#This Row],[الايصالات]]+Table1181920231030313235383940414811[[#This Row],[قيمة مضافة]]</f>
        <v>0</v>
      </c>
      <c r="M241" s="1">
        <f>M240+Table1181920231030313235383940414811[[#This Row],[اجمالي الفاتوره]]-Table1181920231030313235383940414811[[#This Row],[الدفعات]]</f>
        <v>997504.09999999986</v>
      </c>
      <c r="O241" s="48"/>
    </row>
    <row r="242" spans="11:15" ht="26.25" customHeight="1" x14ac:dyDescent="0.3">
      <c r="K242" s="1">
        <f>Table1181920231030313235383940414811[[#This Row],[النولون]]+Table1181920231030313235383940414811[[#This Row],[الايصالات]]+Table1181920231030313235383940414811[[#This Row],[قيمة مضافة]]</f>
        <v>0</v>
      </c>
      <c r="M242" s="1">
        <f>M241+Table1181920231030313235383940414811[[#This Row],[اجمالي الفاتوره]]-Table1181920231030313235383940414811[[#This Row],[الدفعات]]</f>
        <v>997504.09999999986</v>
      </c>
      <c r="O242" s="48"/>
    </row>
    <row r="243" spans="11:15" ht="26.25" customHeight="1" x14ac:dyDescent="0.3">
      <c r="K243" s="1">
        <f>Table1181920231030313235383940414811[[#This Row],[النولون]]+Table1181920231030313235383940414811[[#This Row],[الايصالات]]+Table1181920231030313235383940414811[[#This Row],[قيمة مضافة]]</f>
        <v>0</v>
      </c>
      <c r="M243" s="1">
        <f>M242+Table1181920231030313235383940414811[[#This Row],[اجمالي الفاتوره]]-Table1181920231030313235383940414811[[#This Row],[الدفعات]]</f>
        <v>997504.09999999986</v>
      </c>
      <c r="O243" s="48"/>
    </row>
    <row r="244" spans="11:15" ht="26.25" customHeight="1" x14ac:dyDescent="0.3">
      <c r="K244" s="1">
        <f>Table1181920231030313235383940414811[[#This Row],[النولون]]+Table1181920231030313235383940414811[[#This Row],[الايصالات]]+Table1181920231030313235383940414811[[#This Row],[قيمة مضافة]]</f>
        <v>0</v>
      </c>
      <c r="M244" s="1">
        <f>M243+Table1181920231030313235383940414811[[#This Row],[اجمالي الفاتوره]]-Table1181920231030313235383940414811[[#This Row],[الدفعات]]</f>
        <v>997504.09999999986</v>
      </c>
      <c r="O244" s="48"/>
    </row>
    <row r="245" spans="11:15" ht="26.25" customHeight="1" x14ac:dyDescent="0.3">
      <c r="K245" s="1">
        <f>Table1181920231030313235383940414811[[#This Row],[النولون]]+Table1181920231030313235383940414811[[#This Row],[الايصالات]]+Table1181920231030313235383940414811[[#This Row],[قيمة مضافة]]</f>
        <v>0</v>
      </c>
      <c r="M245" s="1">
        <f>M244+Table1181920231030313235383940414811[[#This Row],[اجمالي الفاتوره]]-Table1181920231030313235383940414811[[#This Row],[الدفعات]]</f>
        <v>997504.09999999986</v>
      </c>
      <c r="O245" s="48"/>
    </row>
    <row r="246" spans="11:15" ht="26.25" customHeight="1" x14ac:dyDescent="0.3">
      <c r="K246" s="1">
        <f>Table1181920231030313235383940414811[[#This Row],[النولون]]+Table1181920231030313235383940414811[[#This Row],[الايصالات]]+Table1181920231030313235383940414811[[#This Row],[قيمة مضافة]]</f>
        <v>0</v>
      </c>
      <c r="M246" s="1">
        <f>M245+Table1181920231030313235383940414811[[#This Row],[اجمالي الفاتوره]]-Table1181920231030313235383940414811[[#This Row],[الدفعات]]</f>
        <v>997504.09999999986</v>
      </c>
      <c r="O246" s="48"/>
    </row>
    <row r="247" spans="11:15" ht="26.25" customHeight="1" x14ac:dyDescent="0.3">
      <c r="K247" s="1">
        <f>Table1181920231030313235383940414811[[#This Row],[النولون]]+Table1181920231030313235383940414811[[#This Row],[الايصالات]]+Table1181920231030313235383940414811[[#This Row],[قيمة مضافة]]</f>
        <v>0</v>
      </c>
      <c r="M247" s="1">
        <f>M246+Table1181920231030313235383940414811[[#This Row],[اجمالي الفاتوره]]-Table1181920231030313235383940414811[[#This Row],[الدفعات]]</f>
        <v>997504.09999999986</v>
      </c>
      <c r="O247" s="48"/>
    </row>
    <row r="248" spans="11:15" ht="26.25" customHeight="1" x14ac:dyDescent="0.3">
      <c r="K248" s="1">
        <f>Table1181920231030313235383940414811[[#This Row],[النولون]]+Table1181920231030313235383940414811[[#This Row],[الايصالات]]+Table1181920231030313235383940414811[[#This Row],[قيمة مضافة]]</f>
        <v>0</v>
      </c>
      <c r="M248" s="1">
        <f>M247+Table1181920231030313235383940414811[[#This Row],[اجمالي الفاتوره]]-Table1181920231030313235383940414811[[#This Row],[الدفعات]]</f>
        <v>997504.09999999986</v>
      </c>
      <c r="O248" s="48"/>
    </row>
    <row r="249" spans="11:15" ht="26.25" customHeight="1" x14ac:dyDescent="0.3">
      <c r="K249" s="1">
        <f>Table1181920231030313235383940414811[[#This Row],[النولون]]+Table1181920231030313235383940414811[[#This Row],[الايصالات]]+Table1181920231030313235383940414811[[#This Row],[قيمة مضافة]]</f>
        <v>0</v>
      </c>
      <c r="M249" s="1">
        <f>M248+Table1181920231030313235383940414811[[#This Row],[اجمالي الفاتوره]]-Table1181920231030313235383940414811[[#This Row],[الدفعات]]</f>
        <v>997504.09999999986</v>
      </c>
      <c r="O249" s="48"/>
    </row>
    <row r="250" spans="11:15" ht="26.25" customHeight="1" x14ac:dyDescent="0.3">
      <c r="K250" s="1">
        <f>Table1181920231030313235383940414811[[#This Row],[النولون]]+Table1181920231030313235383940414811[[#This Row],[الايصالات]]+Table1181920231030313235383940414811[[#This Row],[قيمة مضافة]]</f>
        <v>0</v>
      </c>
      <c r="M250" s="1">
        <f>M249+Table1181920231030313235383940414811[[#This Row],[اجمالي الفاتوره]]-Table1181920231030313235383940414811[[#This Row],[الدفعات]]</f>
        <v>997504.09999999986</v>
      </c>
      <c r="O250" s="48"/>
    </row>
    <row r="251" spans="11:15" ht="26.25" customHeight="1" x14ac:dyDescent="0.3">
      <c r="K251" s="1">
        <f>Table1181920231030313235383940414811[[#This Row],[النولون]]+Table1181920231030313235383940414811[[#This Row],[الايصالات]]+Table1181920231030313235383940414811[[#This Row],[قيمة مضافة]]</f>
        <v>0</v>
      </c>
      <c r="M251" s="1">
        <f>M250+Table1181920231030313235383940414811[[#This Row],[اجمالي الفاتوره]]-Table1181920231030313235383940414811[[#This Row],[الدفعات]]</f>
        <v>997504.09999999986</v>
      </c>
      <c r="O251" s="48"/>
    </row>
    <row r="252" spans="11:15" ht="26.25" customHeight="1" x14ac:dyDescent="0.3">
      <c r="K252" s="1">
        <f>Table1181920231030313235383940414811[[#This Row],[النولون]]+Table1181920231030313235383940414811[[#This Row],[الايصالات]]+Table1181920231030313235383940414811[[#This Row],[قيمة مضافة]]</f>
        <v>0</v>
      </c>
      <c r="M252" s="1">
        <f>M251+Table1181920231030313235383940414811[[#This Row],[اجمالي الفاتوره]]-Table1181920231030313235383940414811[[#This Row],[الدفعات]]</f>
        <v>997504.09999999986</v>
      </c>
      <c r="O252" s="48"/>
    </row>
    <row r="253" spans="11:15" ht="26.25" customHeight="1" x14ac:dyDescent="0.3">
      <c r="K253" s="1">
        <f>Table1181920231030313235383940414811[[#This Row],[النولون]]+Table1181920231030313235383940414811[[#This Row],[الايصالات]]+Table1181920231030313235383940414811[[#This Row],[قيمة مضافة]]</f>
        <v>0</v>
      </c>
      <c r="M253" s="1">
        <f>M252+Table1181920231030313235383940414811[[#This Row],[اجمالي الفاتوره]]-Table1181920231030313235383940414811[[#This Row],[الدفعات]]</f>
        <v>997504.09999999986</v>
      </c>
      <c r="O253" s="48"/>
    </row>
    <row r="254" spans="11:15" ht="26.25" customHeight="1" x14ac:dyDescent="0.3">
      <c r="K254" s="1">
        <f>Table1181920231030313235383940414811[[#This Row],[النولون]]+Table1181920231030313235383940414811[[#This Row],[الايصالات]]+Table1181920231030313235383940414811[[#This Row],[قيمة مضافة]]</f>
        <v>0</v>
      </c>
      <c r="M254" s="1">
        <f>M253+Table1181920231030313235383940414811[[#This Row],[اجمالي الفاتوره]]-Table1181920231030313235383940414811[[#This Row],[الدفعات]]</f>
        <v>997504.09999999986</v>
      </c>
      <c r="O254" s="48"/>
    </row>
    <row r="255" spans="11:15" ht="26.25" customHeight="1" x14ac:dyDescent="0.3">
      <c r="K255" s="1">
        <f>Table1181920231030313235383940414811[[#This Row],[النولون]]+Table1181920231030313235383940414811[[#This Row],[الايصالات]]+Table1181920231030313235383940414811[[#This Row],[قيمة مضافة]]</f>
        <v>0</v>
      </c>
      <c r="M255" s="1">
        <f>M254+Table1181920231030313235383940414811[[#This Row],[اجمالي الفاتوره]]-Table1181920231030313235383940414811[[#This Row],[الدفعات]]</f>
        <v>997504.09999999986</v>
      </c>
      <c r="O255" s="48"/>
    </row>
    <row r="256" spans="11:15" ht="26.25" customHeight="1" x14ac:dyDescent="0.3">
      <c r="K256" s="1">
        <f>Table1181920231030313235383940414811[[#This Row],[النولون]]+Table1181920231030313235383940414811[[#This Row],[الايصالات]]+Table1181920231030313235383940414811[[#This Row],[قيمة مضافة]]</f>
        <v>0</v>
      </c>
      <c r="M256" s="1">
        <f>M255+Table1181920231030313235383940414811[[#This Row],[اجمالي الفاتوره]]-Table1181920231030313235383940414811[[#This Row],[الدفعات]]</f>
        <v>997504.09999999986</v>
      </c>
      <c r="O256" s="48"/>
    </row>
    <row r="257" spans="11:15" ht="26.25" customHeight="1" x14ac:dyDescent="0.3">
      <c r="K257" s="1">
        <f>Table1181920231030313235383940414811[[#This Row],[النولون]]+Table1181920231030313235383940414811[[#This Row],[الايصالات]]+Table1181920231030313235383940414811[[#This Row],[قيمة مضافة]]</f>
        <v>0</v>
      </c>
      <c r="M257" s="1">
        <f>M256+Table1181920231030313235383940414811[[#This Row],[اجمالي الفاتوره]]-Table1181920231030313235383940414811[[#This Row],[الدفعات]]</f>
        <v>997504.09999999986</v>
      </c>
      <c r="O257" s="48"/>
    </row>
    <row r="258" spans="11:15" ht="26.25" customHeight="1" x14ac:dyDescent="0.3">
      <c r="K258" s="1">
        <f>Table1181920231030313235383940414811[[#This Row],[النولون]]+Table1181920231030313235383940414811[[#This Row],[الايصالات]]+Table1181920231030313235383940414811[[#This Row],[قيمة مضافة]]</f>
        <v>0</v>
      </c>
      <c r="M258" s="1">
        <f>M257+Table1181920231030313235383940414811[[#This Row],[اجمالي الفاتوره]]-Table1181920231030313235383940414811[[#This Row],[الدفعات]]</f>
        <v>997504.09999999986</v>
      </c>
      <c r="O258" s="48"/>
    </row>
    <row r="259" spans="11:15" ht="26.25" customHeight="1" x14ac:dyDescent="0.3">
      <c r="K259" s="1">
        <f>Table1181920231030313235383940414811[[#This Row],[النولون]]+Table1181920231030313235383940414811[[#This Row],[الايصالات]]+Table1181920231030313235383940414811[[#This Row],[قيمة مضافة]]</f>
        <v>0</v>
      </c>
      <c r="M259" s="1">
        <f>M258+Table1181920231030313235383940414811[[#This Row],[اجمالي الفاتوره]]-Table1181920231030313235383940414811[[#This Row],[الدفعات]]</f>
        <v>997504.09999999986</v>
      </c>
      <c r="O259" s="48"/>
    </row>
    <row r="260" spans="11:15" ht="26.25" customHeight="1" x14ac:dyDescent="0.3">
      <c r="K260" s="1">
        <f>Table1181920231030313235383940414811[[#This Row],[النولون]]+Table1181920231030313235383940414811[[#This Row],[الايصالات]]+Table1181920231030313235383940414811[[#This Row],[قيمة مضافة]]</f>
        <v>0</v>
      </c>
      <c r="M260" s="1">
        <f>M259+Table1181920231030313235383940414811[[#This Row],[اجمالي الفاتوره]]-Table1181920231030313235383940414811[[#This Row],[الدفعات]]</f>
        <v>997504.09999999986</v>
      </c>
      <c r="O260" s="48"/>
    </row>
    <row r="261" spans="11:15" ht="26.25" customHeight="1" x14ac:dyDescent="0.3">
      <c r="K261" s="1">
        <f>Table1181920231030313235383940414811[[#This Row],[النولون]]+Table1181920231030313235383940414811[[#This Row],[الايصالات]]+Table1181920231030313235383940414811[[#This Row],[قيمة مضافة]]</f>
        <v>0</v>
      </c>
      <c r="M261" s="1">
        <f>M260+Table1181920231030313235383940414811[[#This Row],[اجمالي الفاتوره]]-Table1181920231030313235383940414811[[#This Row],[الدفعات]]</f>
        <v>997504.09999999986</v>
      </c>
      <c r="O261" s="48"/>
    </row>
    <row r="262" spans="11:15" ht="26.25" customHeight="1" x14ac:dyDescent="0.3">
      <c r="K262" s="1">
        <f>Table1181920231030313235383940414811[[#This Row],[النولون]]+Table1181920231030313235383940414811[[#This Row],[الايصالات]]+Table1181920231030313235383940414811[[#This Row],[قيمة مضافة]]</f>
        <v>0</v>
      </c>
      <c r="M262" s="1">
        <f>M261+Table1181920231030313235383940414811[[#This Row],[اجمالي الفاتوره]]-Table1181920231030313235383940414811[[#This Row],[الدفعات]]</f>
        <v>997504.09999999986</v>
      </c>
      <c r="O262" s="48"/>
    </row>
    <row r="263" spans="11:15" ht="26.25" customHeight="1" x14ac:dyDescent="0.3">
      <c r="K263" s="1">
        <f>Table1181920231030313235383940414811[[#This Row],[النولون]]+Table1181920231030313235383940414811[[#This Row],[الايصالات]]+Table1181920231030313235383940414811[[#This Row],[قيمة مضافة]]</f>
        <v>0</v>
      </c>
      <c r="M263" s="1">
        <f>M262+Table1181920231030313235383940414811[[#This Row],[اجمالي الفاتوره]]-Table1181920231030313235383940414811[[#This Row],[الدفعات]]</f>
        <v>997504.09999999986</v>
      </c>
      <c r="O263" s="48"/>
    </row>
    <row r="264" spans="11:15" ht="26.25" customHeight="1" x14ac:dyDescent="0.3">
      <c r="K264" s="1">
        <f>Table1181920231030313235383940414811[[#This Row],[النولون]]+Table1181920231030313235383940414811[[#This Row],[الايصالات]]+Table1181920231030313235383940414811[[#This Row],[قيمة مضافة]]</f>
        <v>0</v>
      </c>
      <c r="M264" s="1">
        <f>M263+Table1181920231030313235383940414811[[#This Row],[اجمالي الفاتوره]]-Table1181920231030313235383940414811[[#This Row],[الدفعات]]</f>
        <v>997504.09999999986</v>
      </c>
      <c r="O264" s="48"/>
    </row>
    <row r="265" spans="11:15" ht="26.25" customHeight="1" x14ac:dyDescent="0.3">
      <c r="K265" s="1">
        <f>Table1181920231030313235383940414811[[#This Row],[النولون]]+Table1181920231030313235383940414811[[#This Row],[الايصالات]]+Table1181920231030313235383940414811[[#This Row],[قيمة مضافة]]</f>
        <v>0</v>
      </c>
      <c r="M265" s="1">
        <f>M264+Table1181920231030313235383940414811[[#This Row],[اجمالي الفاتوره]]-Table1181920231030313235383940414811[[#This Row],[الدفعات]]</f>
        <v>997504.09999999986</v>
      </c>
      <c r="O265" s="48"/>
    </row>
    <row r="266" spans="11:15" ht="26.25" customHeight="1" x14ac:dyDescent="0.3">
      <c r="K266" s="1">
        <f>Table1181920231030313235383940414811[[#This Row],[النولون]]+Table1181920231030313235383940414811[[#This Row],[الايصالات]]+Table1181920231030313235383940414811[[#This Row],[قيمة مضافة]]</f>
        <v>0</v>
      </c>
      <c r="M266" s="1">
        <f>M265+Table1181920231030313235383940414811[[#This Row],[اجمالي الفاتوره]]-Table1181920231030313235383940414811[[#This Row],[الدفعات]]</f>
        <v>997504.09999999986</v>
      </c>
      <c r="O266" s="48"/>
    </row>
    <row r="267" spans="11:15" ht="26.25" customHeight="1" x14ac:dyDescent="0.3">
      <c r="K267" s="1">
        <f>Table1181920231030313235383940414811[[#This Row],[النولون]]+Table1181920231030313235383940414811[[#This Row],[الايصالات]]+Table1181920231030313235383940414811[[#This Row],[قيمة مضافة]]</f>
        <v>0</v>
      </c>
      <c r="M267" s="1">
        <f>M266+Table1181920231030313235383940414811[[#This Row],[اجمالي الفاتوره]]-Table1181920231030313235383940414811[[#This Row],[الدفعات]]</f>
        <v>997504.09999999986</v>
      </c>
      <c r="O267" s="48"/>
    </row>
    <row r="268" spans="11:15" ht="26.25" customHeight="1" x14ac:dyDescent="0.3">
      <c r="K268" s="1">
        <f>Table1181920231030313235383940414811[[#This Row],[النولون]]+Table1181920231030313235383940414811[[#This Row],[الايصالات]]+Table1181920231030313235383940414811[[#This Row],[قيمة مضافة]]</f>
        <v>0</v>
      </c>
      <c r="M268" s="1">
        <f>M267+Table1181920231030313235383940414811[[#This Row],[اجمالي الفاتوره]]-Table1181920231030313235383940414811[[#This Row],[الدفعات]]</f>
        <v>997504.09999999986</v>
      </c>
      <c r="O268" s="48"/>
    </row>
    <row r="269" spans="11:15" ht="26.25" customHeight="1" x14ac:dyDescent="0.3">
      <c r="K269" s="1">
        <f>Table1181920231030313235383940414811[[#This Row],[النولون]]+Table1181920231030313235383940414811[[#This Row],[الايصالات]]+Table1181920231030313235383940414811[[#This Row],[قيمة مضافة]]</f>
        <v>0</v>
      </c>
      <c r="M269" s="1">
        <f>M268+Table1181920231030313235383940414811[[#This Row],[اجمالي الفاتوره]]-Table1181920231030313235383940414811[[#This Row],[الدفعات]]</f>
        <v>997504.09999999986</v>
      </c>
      <c r="O269" s="48"/>
    </row>
    <row r="270" spans="11:15" ht="26.25" customHeight="1" x14ac:dyDescent="0.3">
      <c r="K270" s="1">
        <f>Table1181920231030313235383940414811[[#This Row],[النولون]]+Table1181920231030313235383940414811[[#This Row],[الايصالات]]+Table1181920231030313235383940414811[[#This Row],[قيمة مضافة]]</f>
        <v>0</v>
      </c>
      <c r="M270" s="1">
        <f>M269+Table1181920231030313235383940414811[[#This Row],[اجمالي الفاتوره]]-Table1181920231030313235383940414811[[#This Row],[الدفعات]]</f>
        <v>997504.09999999986</v>
      </c>
      <c r="O270" s="48"/>
    </row>
    <row r="271" spans="11:15" ht="26.25" customHeight="1" x14ac:dyDescent="0.3">
      <c r="K271" s="1">
        <f>Table1181920231030313235383940414811[[#This Row],[النولون]]+Table1181920231030313235383940414811[[#This Row],[الايصالات]]+Table1181920231030313235383940414811[[#This Row],[قيمة مضافة]]</f>
        <v>0</v>
      </c>
      <c r="M271" s="1">
        <f>M270+Table1181920231030313235383940414811[[#This Row],[اجمالي الفاتوره]]-Table1181920231030313235383940414811[[#This Row],[الدفعات]]</f>
        <v>997504.09999999986</v>
      </c>
      <c r="O271" s="48"/>
    </row>
    <row r="272" spans="11:15" ht="26.25" customHeight="1" x14ac:dyDescent="0.3">
      <c r="K272" s="1">
        <f>Table1181920231030313235383940414811[[#This Row],[النولون]]+Table1181920231030313235383940414811[[#This Row],[الايصالات]]+Table1181920231030313235383940414811[[#This Row],[قيمة مضافة]]</f>
        <v>0</v>
      </c>
      <c r="M272" s="1">
        <f>M271+Table1181920231030313235383940414811[[#This Row],[اجمالي الفاتوره]]-Table1181920231030313235383940414811[[#This Row],[الدفعات]]</f>
        <v>997504.09999999986</v>
      </c>
      <c r="O272" s="48"/>
    </row>
    <row r="273" spans="11:15" ht="26.25" customHeight="1" x14ac:dyDescent="0.3">
      <c r="K273" s="1">
        <f>Table1181920231030313235383940414811[[#This Row],[النولون]]+Table1181920231030313235383940414811[[#This Row],[الايصالات]]+Table1181920231030313235383940414811[[#This Row],[قيمة مضافة]]</f>
        <v>0</v>
      </c>
      <c r="M273" s="1">
        <f>M272+Table1181920231030313235383940414811[[#This Row],[اجمالي الفاتوره]]-Table1181920231030313235383940414811[[#This Row],[الدفعات]]</f>
        <v>997504.09999999986</v>
      </c>
      <c r="O273" s="48"/>
    </row>
    <row r="274" spans="11:15" ht="26.25" customHeight="1" x14ac:dyDescent="0.3">
      <c r="K274" s="1">
        <f>Table1181920231030313235383940414811[[#This Row],[النولون]]+Table1181920231030313235383940414811[[#This Row],[الايصالات]]+Table1181920231030313235383940414811[[#This Row],[قيمة مضافة]]</f>
        <v>0</v>
      </c>
      <c r="M274" s="1">
        <f>M273+Table1181920231030313235383940414811[[#This Row],[اجمالي الفاتوره]]-Table1181920231030313235383940414811[[#This Row],[الدفعات]]</f>
        <v>997504.09999999986</v>
      </c>
      <c r="O274" s="48"/>
    </row>
    <row r="275" spans="11:15" ht="26.25" customHeight="1" x14ac:dyDescent="0.3">
      <c r="K275" s="1">
        <f>Table1181920231030313235383940414811[[#This Row],[النولون]]+Table1181920231030313235383940414811[[#This Row],[الايصالات]]+Table1181920231030313235383940414811[[#This Row],[قيمة مضافة]]</f>
        <v>0</v>
      </c>
      <c r="M275" s="1">
        <f>M274+Table1181920231030313235383940414811[[#This Row],[اجمالي الفاتوره]]-Table1181920231030313235383940414811[[#This Row],[الدفعات]]</f>
        <v>997504.09999999986</v>
      </c>
      <c r="O275" s="48"/>
    </row>
    <row r="276" spans="11:15" ht="26.25" customHeight="1" x14ac:dyDescent="0.3">
      <c r="K276" s="1">
        <f>Table1181920231030313235383940414811[[#This Row],[النولون]]+Table1181920231030313235383940414811[[#This Row],[الايصالات]]+Table1181920231030313235383940414811[[#This Row],[قيمة مضافة]]</f>
        <v>0</v>
      </c>
      <c r="M276" s="1">
        <f>M275+Table1181920231030313235383940414811[[#This Row],[اجمالي الفاتوره]]-Table1181920231030313235383940414811[[#This Row],[الدفعات]]</f>
        <v>997504.09999999986</v>
      </c>
      <c r="O276" s="48"/>
    </row>
    <row r="277" spans="11:15" ht="26.25" customHeight="1" x14ac:dyDescent="0.3">
      <c r="K277" s="1">
        <f>Table1181920231030313235383940414811[[#This Row],[النولون]]+Table1181920231030313235383940414811[[#This Row],[الايصالات]]+Table1181920231030313235383940414811[[#This Row],[قيمة مضافة]]</f>
        <v>0</v>
      </c>
      <c r="M277" s="1">
        <f>M276+Table1181920231030313235383940414811[[#This Row],[اجمالي الفاتوره]]-Table1181920231030313235383940414811[[#This Row],[الدفعات]]</f>
        <v>997504.09999999986</v>
      </c>
      <c r="O277" s="48"/>
    </row>
    <row r="278" spans="11:15" ht="26.25" customHeight="1" x14ac:dyDescent="0.3">
      <c r="K278" s="1">
        <f>Table1181920231030313235383940414811[[#This Row],[النولون]]+Table1181920231030313235383940414811[[#This Row],[الايصالات]]+Table1181920231030313235383940414811[[#This Row],[قيمة مضافة]]</f>
        <v>0</v>
      </c>
      <c r="M278" s="1">
        <f>M277+Table1181920231030313235383940414811[[#This Row],[اجمالي الفاتوره]]-Table1181920231030313235383940414811[[#This Row],[الدفعات]]</f>
        <v>997504.09999999986</v>
      </c>
      <c r="O278" s="48"/>
    </row>
    <row r="279" spans="11:15" ht="26.25" customHeight="1" x14ac:dyDescent="0.3">
      <c r="K279" s="1">
        <f>Table1181920231030313235383940414811[[#This Row],[النولون]]+Table1181920231030313235383940414811[[#This Row],[الايصالات]]+Table1181920231030313235383940414811[[#This Row],[قيمة مضافة]]</f>
        <v>0</v>
      </c>
      <c r="M279" s="1">
        <f>M278+Table1181920231030313235383940414811[[#This Row],[اجمالي الفاتوره]]-Table1181920231030313235383940414811[[#This Row],[الدفعات]]</f>
        <v>997504.09999999986</v>
      </c>
      <c r="O279" s="48"/>
    </row>
    <row r="280" spans="11:15" ht="26.25" customHeight="1" x14ac:dyDescent="0.3">
      <c r="K280" s="1">
        <f>Table1181920231030313235383940414811[[#This Row],[النولون]]+Table1181920231030313235383940414811[[#This Row],[الايصالات]]+Table1181920231030313235383940414811[[#This Row],[قيمة مضافة]]</f>
        <v>0</v>
      </c>
      <c r="M280" s="1">
        <f>M279+Table1181920231030313235383940414811[[#This Row],[اجمالي الفاتوره]]-Table1181920231030313235383940414811[[#This Row],[الدفعات]]</f>
        <v>997504.09999999986</v>
      </c>
      <c r="O280" s="48"/>
    </row>
    <row r="281" spans="11:15" ht="26.25" customHeight="1" x14ac:dyDescent="0.3">
      <c r="K281" s="1">
        <f>Table1181920231030313235383940414811[[#This Row],[النولون]]+Table1181920231030313235383940414811[[#This Row],[الايصالات]]+Table1181920231030313235383940414811[[#This Row],[قيمة مضافة]]</f>
        <v>0</v>
      </c>
      <c r="M281" s="1">
        <f>M280+Table1181920231030313235383940414811[[#This Row],[اجمالي الفاتوره]]-Table1181920231030313235383940414811[[#This Row],[الدفعات]]</f>
        <v>997504.09999999986</v>
      </c>
      <c r="O281" s="48"/>
    </row>
    <row r="282" spans="11:15" ht="26.25" customHeight="1" x14ac:dyDescent="0.3">
      <c r="K282" s="1">
        <f>Table1181920231030313235383940414811[[#This Row],[النولون]]+Table1181920231030313235383940414811[[#This Row],[الايصالات]]+Table1181920231030313235383940414811[[#This Row],[قيمة مضافة]]</f>
        <v>0</v>
      </c>
      <c r="M282" s="1">
        <f>M281+Table1181920231030313235383940414811[[#This Row],[اجمالي الفاتوره]]-Table1181920231030313235383940414811[[#This Row],[الدفعات]]</f>
        <v>997504.09999999986</v>
      </c>
      <c r="O282" s="48"/>
    </row>
    <row r="283" spans="11:15" ht="26.25" customHeight="1" x14ac:dyDescent="0.3">
      <c r="K283" s="1">
        <f>Table1181920231030313235383940414811[[#This Row],[النولون]]+Table1181920231030313235383940414811[[#This Row],[الايصالات]]+Table1181920231030313235383940414811[[#This Row],[قيمة مضافة]]</f>
        <v>0</v>
      </c>
      <c r="M283" s="1">
        <f>M282+Table1181920231030313235383940414811[[#This Row],[اجمالي الفاتوره]]-Table1181920231030313235383940414811[[#This Row],[الدفعات]]</f>
        <v>997504.09999999986</v>
      </c>
      <c r="O283" s="48"/>
    </row>
    <row r="284" spans="11:15" ht="26.25" customHeight="1" x14ac:dyDescent="0.3">
      <c r="K284" s="1">
        <f>Table1181920231030313235383940414811[[#This Row],[النولون]]+Table1181920231030313235383940414811[[#This Row],[الايصالات]]+Table1181920231030313235383940414811[[#This Row],[قيمة مضافة]]</f>
        <v>0</v>
      </c>
      <c r="M284" s="1">
        <f>M283+Table1181920231030313235383940414811[[#This Row],[اجمالي الفاتوره]]-Table1181920231030313235383940414811[[#This Row],[الدفعات]]</f>
        <v>997504.09999999986</v>
      </c>
      <c r="O284" s="48"/>
    </row>
    <row r="285" spans="11:15" ht="26.25" customHeight="1" x14ac:dyDescent="0.3">
      <c r="K285" s="1">
        <f>Table1181920231030313235383940414811[[#This Row],[النولون]]+Table1181920231030313235383940414811[[#This Row],[الايصالات]]+Table1181920231030313235383940414811[[#This Row],[قيمة مضافة]]</f>
        <v>0</v>
      </c>
      <c r="M285" s="1">
        <f>M284+Table1181920231030313235383940414811[[#This Row],[اجمالي الفاتوره]]-Table1181920231030313235383940414811[[#This Row],[الدفعات]]</f>
        <v>997504.09999999986</v>
      </c>
      <c r="O285" s="48"/>
    </row>
    <row r="286" spans="11:15" ht="26.25" customHeight="1" x14ac:dyDescent="0.3">
      <c r="K286" s="1">
        <f>Table1181920231030313235383940414811[[#This Row],[النولون]]+Table1181920231030313235383940414811[[#This Row],[الايصالات]]+Table1181920231030313235383940414811[[#This Row],[قيمة مضافة]]</f>
        <v>0</v>
      </c>
      <c r="M286" s="1">
        <f>M285+Table1181920231030313235383940414811[[#This Row],[اجمالي الفاتوره]]-Table1181920231030313235383940414811[[#This Row],[الدفعات]]</f>
        <v>997504.09999999986</v>
      </c>
      <c r="O286" s="48"/>
    </row>
    <row r="287" spans="11:15" ht="26.25" customHeight="1" x14ac:dyDescent="0.3">
      <c r="K287" s="1">
        <f>Table1181920231030313235383940414811[[#This Row],[النولون]]+Table1181920231030313235383940414811[[#This Row],[الايصالات]]+Table1181920231030313235383940414811[[#This Row],[قيمة مضافة]]</f>
        <v>0</v>
      </c>
      <c r="M287" s="1">
        <f>M286+Table1181920231030313235383940414811[[#This Row],[اجمالي الفاتوره]]-Table1181920231030313235383940414811[[#This Row],[الدفعات]]</f>
        <v>997504.09999999986</v>
      </c>
      <c r="O287" s="48"/>
    </row>
    <row r="288" spans="11:15" ht="26.25" customHeight="1" x14ac:dyDescent="0.3">
      <c r="K288" s="1">
        <f>Table1181920231030313235383940414811[[#This Row],[النولون]]+Table1181920231030313235383940414811[[#This Row],[الايصالات]]+Table1181920231030313235383940414811[[#This Row],[قيمة مضافة]]</f>
        <v>0</v>
      </c>
      <c r="M288" s="1">
        <f>M287+Table1181920231030313235383940414811[[#This Row],[اجمالي الفاتوره]]-Table1181920231030313235383940414811[[#This Row],[الدفعات]]</f>
        <v>997504.09999999986</v>
      </c>
      <c r="O288" s="48"/>
    </row>
    <row r="289" spans="11:15" ht="26.25" customHeight="1" x14ac:dyDescent="0.3">
      <c r="K289" s="1">
        <f>Table1181920231030313235383940414811[[#This Row],[النولون]]+Table1181920231030313235383940414811[[#This Row],[الايصالات]]+Table1181920231030313235383940414811[[#This Row],[قيمة مضافة]]</f>
        <v>0</v>
      </c>
      <c r="M289" s="1">
        <f>M288+Table1181920231030313235383940414811[[#This Row],[اجمالي الفاتوره]]-Table1181920231030313235383940414811[[#This Row],[الدفعات]]</f>
        <v>997504.09999999986</v>
      </c>
      <c r="O289" s="48"/>
    </row>
    <row r="290" spans="11:15" ht="26.25" customHeight="1" x14ac:dyDescent="0.3">
      <c r="K290" s="1">
        <f>Table1181920231030313235383940414811[[#This Row],[النولون]]+Table1181920231030313235383940414811[[#This Row],[الايصالات]]+Table1181920231030313235383940414811[[#This Row],[قيمة مضافة]]</f>
        <v>0</v>
      </c>
      <c r="M290" s="1">
        <f>M289+Table1181920231030313235383940414811[[#This Row],[اجمالي الفاتوره]]-Table1181920231030313235383940414811[[#This Row],[الدفعات]]</f>
        <v>997504.09999999986</v>
      </c>
      <c r="O290" s="48"/>
    </row>
    <row r="291" spans="11:15" ht="26.25" customHeight="1" x14ac:dyDescent="0.3">
      <c r="K291" s="1">
        <f>Table1181920231030313235383940414811[[#This Row],[النولون]]+Table1181920231030313235383940414811[[#This Row],[الايصالات]]+Table1181920231030313235383940414811[[#This Row],[قيمة مضافة]]</f>
        <v>0</v>
      </c>
      <c r="M291" s="1">
        <f>M290+Table1181920231030313235383940414811[[#This Row],[اجمالي الفاتوره]]-Table1181920231030313235383940414811[[#This Row],[الدفعات]]</f>
        <v>997504.09999999986</v>
      </c>
      <c r="O291" s="48"/>
    </row>
    <row r="292" spans="11:15" ht="26.25" customHeight="1" x14ac:dyDescent="0.3">
      <c r="K292" s="1">
        <f>Table1181920231030313235383940414811[[#This Row],[النولون]]+Table1181920231030313235383940414811[[#This Row],[الايصالات]]+Table1181920231030313235383940414811[[#This Row],[قيمة مضافة]]</f>
        <v>0</v>
      </c>
      <c r="M292" s="1">
        <f>M291+Table1181920231030313235383940414811[[#This Row],[اجمالي الفاتوره]]-Table1181920231030313235383940414811[[#This Row],[الدفعات]]</f>
        <v>997504.09999999986</v>
      </c>
      <c r="O292" s="48"/>
    </row>
    <row r="293" spans="11:15" ht="26.25" customHeight="1" x14ac:dyDescent="0.3">
      <c r="K293" s="1">
        <f>Table1181920231030313235383940414811[[#This Row],[النولون]]+Table1181920231030313235383940414811[[#This Row],[الايصالات]]+Table1181920231030313235383940414811[[#This Row],[قيمة مضافة]]</f>
        <v>0</v>
      </c>
      <c r="M293" s="1">
        <f>M292+Table1181920231030313235383940414811[[#This Row],[اجمالي الفاتوره]]-Table1181920231030313235383940414811[[#This Row],[الدفعات]]</f>
        <v>997504.09999999986</v>
      </c>
      <c r="O293" s="48"/>
    </row>
    <row r="294" spans="11:15" ht="26.25" customHeight="1" x14ac:dyDescent="0.3">
      <c r="K294" s="1">
        <f>Table1181920231030313235383940414811[[#This Row],[النولون]]+Table1181920231030313235383940414811[[#This Row],[الايصالات]]+Table1181920231030313235383940414811[[#This Row],[قيمة مضافة]]</f>
        <v>0</v>
      </c>
      <c r="M294" s="1">
        <f>M293+Table1181920231030313235383940414811[[#This Row],[اجمالي الفاتوره]]-Table1181920231030313235383940414811[[#This Row],[الدفعات]]</f>
        <v>997504.09999999986</v>
      </c>
      <c r="O294" s="48"/>
    </row>
    <row r="295" spans="11:15" ht="26.25" customHeight="1" x14ac:dyDescent="0.3">
      <c r="K295" s="1">
        <f>Table1181920231030313235383940414811[[#This Row],[النولون]]+Table1181920231030313235383940414811[[#This Row],[الايصالات]]+Table1181920231030313235383940414811[[#This Row],[قيمة مضافة]]</f>
        <v>0</v>
      </c>
      <c r="M295" s="1">
        <f>M294+Table1181920231030313235383940414811[[#This Row],[اجمالي الفاتوره]]-Table1181920231030313235383940414811[[#This Row],[الدفعات]]</f>
        <v>997504.09999999986</v>
      </c>
      <c r="O295" s="48"/>
    </row>
    <row r="296" spans="11:15" ht="26.25" customHeight="1" x14ac:dyDescent="0.3">
      <c r="K296" s="1">
        <f>Table1181920231030313235383940414811[[#This Row],[النولون]]+Table1181920231030313235383940414811[[#This Row],[الايصالات]]+Table1181920231030313235383940414811[[#This Row],[قيمة مضافة]]</f>
        <v>0</v>
      </c>
      <c r="M296" s="1">
        <f>M295+Table1181920231030313235383940414811[[#This Row],[اجمالي الفاتوره]]-Table1181920231030313235383940414811[[#This Row],[الدفعات]]</f>
        <v>997504.09999999986</v>
      </c>
      <c r="O296" s="48"/>
    </row>
    <row r="297" spans="11:15" ht="26.25" customHeight="1" x14ac:dyDescent="0.3">
      <c r="K297" s="1">
        <f>Table1181920231030313235383940414811[[#This Row],[النولون]]+Table1181920231030313235383940414811[[#This Row],[الايصالات]]+Table1181920231030313235383940414811[[#This Row],[قيمة مضافة]]</f>
        <v>0</v>
      </c>
      <c r="M297" s="1">
        <f>M296+Table1181920231030313235383940414811[[#This Row],[اجمالي الفاتوره]]-Table1181920231030313235383940414811[[#This Row],[الدفعات]]</f>
        <v>997504.09999999986</v>
      </c>
      <c r="O297" s="48"/>
    </row>
    <row r="298" spans="11:15" ht="26.25" customHeight="1" x14ac:dyDescent="0.3">
      <c r="K298" s="1">
        <f>Table1181920231030313235383940414811[[#This Row],[النولون]]+Table1181920231030313235383940414811[[#This Row],[الايصالات]]+Table1181920231030313235383940414811[[#This Row],[قيمة مضافة]]</f>
        <v>0</v>
      </c>
      <c r="M298" s="1">
        <f>M297+Table1181920231030313235383940414811[[#This Row],[اجمالي الفاتوره]]-Table1181920231030313235383940414811[[#This Row],[الدفعات]]</f>
        <v>997504.09999999986</v>
      </c>
      <c r="O298" s="48"/>
    </row>
    <row r="299" spans="11:15" ht="26.25" customHeight="1" x14ac:dyDescent="0.3">
      <c r="K299" s="1">
        <f>Table1181920231030313235383940414811[[#This Row],[النولون]]+Table1181920231030313235383940414811[[#This Row],[الايصالات]]+Table1181920231030313235383940414811[[#This Row],[قيمة مضافة]]</f>
        <v>0</v>
      </c>
      <c r="M299" s="1">
        <f>M298+Table1181920231030313235383940414811[[#This Row],[اجمالي الفاتوره]]-Table1181920231030313235383940414811[[#This Row],[الدفعات]]</f>
        <v>997504.09999999986</v>
      </c>
      <c r="O299" s="48"/>
    </row>
    <row r="300" spans="11:15" ht="26.25" customHeight="1" x14ac:dyDescent="0.3">
      <c r="K300" s="1">
        <f>Table1181920231030313235383940414811[[#This Row],[النولون]]+Table1181920231030313235383940414811[[#This Row],[الايصالات]]+Table1181920231030313235383940414811[[#This Row],[قيمة مضافة]]</f>
        <v>0</v>
      </c>
      <c r="M300" s="1">
        <f>M299+Table1181920231030313235383940414811[[#This Row],[اجمالي الفاتوره]]-Table1181920231030313235383940414811[[#This Row],[الدفعات]]</f>
        <v>997504.09999999986</v>
      </c>
      <c r="O300" s="48"/>
    </row>
    <row r="301" spans="11:15" ht="26.25" customHeight="1" x14ac:dyDescent="0.3">
      <c r="K301" s="1">
        <f>Table1181920231030313235383940414811[[#This Row],[النولون]]+Table1181920231030313235383940414811[[#This Row],[الايصالات]]+Table1181920231030313235383940414811[[#This Row],[قيمة مضافة]]</f>
        <v>0</v>
      </c>
      <c r="M301" s="1">
        <f>M300+Table1181920231030313235383940414811[[#This Row],[اجمالي الفاتوره]]-Table1181920231030313235383940414811[[#This Row],[الدفعات]]</f>
        <v>997504.09999999986</v>
      </c>
      <c r="O301" s="48"/>
    </row>
    <row r="302" spans="11:15" ht="26.25" customHeight="1" x14ac:dyDescent="0.3">
      <c r="K302" s="1">
        <f>Table1181920231030313235383940414811[[#This Row],[النولون]]+Table1181920231030313235383940414811[[#This Row],[الايصالات]]+Table1181920231030313235383940414811[[#This Row],[قيمة مضافة]]</f>
        <v>0</v>
      </c>
      <c r="M302" s="1">
        <f>M301+Table1181920231030313235383940414811[[#This Row],[اجمالي الفاتوره]]-Table1181920231030313235383940414811[[#This Row],[الدفعات]]</f>
        <v>997504.09999999986</v>
      </c>
      <c r="O302" s="48"/>
    </row>
    <row r="303" spans="11:15" ht="26.25" customHeight="1" x14ac:dyDescent="0.3">
      <c r="K303" s="1">
        <f>Table1181920231030313235383940414811[[#This Row],[النولون]]+Table1181920231030313235383940414811[[#This Row],[الايصالات]]+Table1181920231030313235383940414811[[#This Row],[قيمة مضافة]]</f>
        <v>0</v>
      </c>
      <c r="M303" s="1">
        <f>M302+Table1181920231030313235383940414811[[#This Row],[اجمالي الفاتوره]]-Table1181920231030313235383940414811[[#This Row],[الدفعات]]</f>
        <v>997504.09999999986</v>
      </c>
      <c r="O303" s="48"/>
    </row>
    <row r="304" spans="11:15" ht="26.25" customHeight="1" x14ac:dyDescent="0.3">
      <c r="K304" s="1">
        <f>Table1181920231030313235383940414811[[#This Row],[النولون]]+Table1181920231030313235383940414811[[#This Row],[الايصالات]]+Table1181920231030313235383940414811[[#This Row],[قيمة مضافة]]</f>
        <v>0</v>
      </c>
      <c r="M304" s="1">
        <f>M303+Table1181920231030313235383940414811[[#This Row],[اجمالي الفاتوره]]-Table1181920231030313235383940414811[[#This Row],[الدفعات]]</f>
        <v>997504.09999999986</v>
      </c>
      <c r="O304" s="48"/>
    </row>
    <row r="305" spans="11:15" ht="26.25" customHeight="1" x14ac:dyDescent="0.3">
      <c r="K305" s="1">
        <f>Table1181920231030313235383940414811[[#This Row],[النولون]]+Table1181920231030313235383940414811[[#This Row],[الايصالات]]+Table1181920231030313235383940414811[[#This Row],[قيمة مضافة]]</f>
        <v>0</v>
      </c>
      <c r="M305" s="1">
        <f>M304+Table1181920231030313235383940414811[[#This Row],[اجمالي الفاتوره]]-Table1181920231030313235383940414811[[#This Row],[الدفعات]]</f>
        <v>997504.09999999986</v>
      </c>
      <c r="O305" s="48"/>
    </row>
    <row r="306" spans="11:15" ht="26.25" customHeight="1" x14ac:dyDescent="0.3">
      <c r="K306" s="1">
        <f>Table1181920231030313235383940414811[[#This Row],[النولون]]+Table1181920231030313235383940414811[[#This Row],[الايصالات]]+Table1181920231030313235383940414811[[#This Row],[قيمة مضافة]]</f>
        <v>0</v>
      </c>
      <c r="M306" s="1">
        <f>M305+Table1181920231030313235383940414811[[#This Row],[اجمالي الفاتوره]]-Table1181920231030313235383940414811[[#This Row],[الدفعات]]</f>
        <v>997504.09999999986</v>
      </c>
      <c r="O306" s="48"/>
    </row>
    <row r="307" spans="11:15" ht="26.25" customHeight="1" x14ac:dyDescent="0.3">
      <c r="K307" s="1">
        <f>Table1181920231030313235383940414811[[#This Row],[النولون]]+Table1181920231030313235383940414811[[#This Row],[الايصالات]]+Table1181920231030313235383940414811[[#This Row],[قيمة مضافة]]</f>
        <v>0</v>
      </c>
      <c r="M307" s="1">
        <f>M306+Table1181920231030313235383940414811[[#This Row],[اجمالي الفاتوره]]-Table1181920231030313235383940414811[[#This Row],[الدفعات]]</f>
        <v>997504.09999999986</v>
      </c>
      <c r="O307" s="48"/>
    </row>
    <row r="308" spans="11:15" ht="26.25" customHeight="1" x14ac:dyDescent="0.3">
      <c r="K308" s="1">
        <f>Table1181920231030313235383940414811[[#This Row],[النولون]]+Table1181920231030313235383940414811[[#This Row],[الايصالات]]+Table1181920231030313235383940414811[[#This Row],[قيمة مضافة]]</f>
        <v>0</v>
      </c>
      <c r="M308" s="1">
        <f>M307+Table1181920231030313235383940414811[[#This Row],[اجمالي الفاتوره]]-Table1181920231030313235383940414811[[#This Row],[الدفعات]]</f>
        <v>997504.09999999986</v>
      </c>
      <c r="O308" s="48"/>
    </row>
    <row r="309" spans="11:15" ht="26.25" customHeight="1" x14ac:dyDescent="0.3">
      <c r="K309" s="1">
        <f>Table1181920231030313235383940414811[[#This Row],[النولون]]+Table1181920231030313235383940414811[[#This Row],[الايصالات]]+Table1181920231030313235383940414811[[#This Row],[قيمة مضافة]]</f>
        <v>0</v>
      </c>
      <c r="M309" s="1">
        <f>M308+Table1181920231030313235383940414811[[#This Row],[اجمالي الفاتوره]]-Table1181920231030313235383940414811[[#This Row],[الدفعات]]</f>
        <v>997504.09999999986</v>
      </c>
      <c r="O309" s="48"/>
    </row>
    <row r="310" spans="11:15" ht="26.25" customHeight="1" x14ac:dyDescent="0.3">
      <c r="K310" s="1">
        <f>Table1181920231030313235383940414811[[#This Row],[النولون]]+Table1181920231030313235383940414811[[#This Row],[الايصالات]]+Table1181920231030313235383940414811[[#This Row],[قيمة مضافة]]</f>
        <v>0</v>
      </c>
      <c r="M310" s="1">
        <f>M309+Table1181920231030313235383940414811[[#This Row],[اجمالي الفاتوره]]-Table1181920231030313235383940414811[[#This Row],[الدفعات]]</f>
        <v>997504.09999999986</v>
      </c>
      <c r="O310" s="48"/>
    </row>
    <row r="311" spans="11:15" ht="26.25" customHeight="1" x14ac:dyDescent="0.3">
      <c r="K311" s="1">
        <f>Table1181920231030313235383940414811[[#This Row],[النولون]]+Table1181920231030313235383940414811[[#This Row],[الايصالات]]+Table1181920231030313235383940414811[[#This Row],[قيمة مضافة]]</f>
        <v>0</v>
      </c>
      <c r="M311" s="1">
        <f>M310+Table1181920231030313235383940414811[[#This Row],[اجمالي الفاتوره]]-Table1181920231030313235383940414811[[#This Row],[الدفعات]]</f>
        <v>997504.09999999986</v>
      </c>
      <c r="O311" s="48"/>
    </row>
    <row r="312" spans="11:15" ht="26.25" customHeight="1" x14ac:dyDescent="0.3">
      <c r="K312" s="1">
        <f>Table1181920231030313235383940414811[[#This Row],[النولون]]+Table1181920231030313235383940414811[[#This Row],[الايصالات]]+Table1181920231030313235383940414811[[#This Row],[قيمة مضافة]]</f>
        <v>0</v>
      </c>
      <c r="M312" s="1">
        <f>M311+Table1181920231030313235383940414811[[#This Row],[اجمالي الفاتوره]]-Table1181920231030313235383940414811[[#This Row],[الدفعات]]</f>
        <v>997504.09999999986</v>
      </c>
      <c r="O312" s="48"/>
    </row>
    <row r="313" spans="11:15" ht="26.25" customHeight="1" x14ac:dyDescent="0.3">
      <c r="K313" s="1">
        <f>Table1181920231030313235383940414811[[#This Row],[النولون]]+Table1181920231030313235383940414811[[#This Row],[الايصالات]]+Table1181920231030313235383940414811[[#This Row],[قيمة مضافة]]</f>
        <v>0</v>
      </c>
      <c r="M313" s="1">
        <f>M312+Table1181920231030313235383940414811[[#This Row],[اجمالي الفاتوره]]-Table1181920231030313235383940414811[[#This Row],[الدفعات]]</f>
        <v>997504.09999999986</v>
      </c>
      <c r="O313" s="48"/>
    </row>
    <row r="314" spans="11:15" ht="26.25" customHeight="1" x14ac:dyDescent="0.3">
      <c r="K314" s="1">
        <f>Table1181920231030313235383940414811[[#This Row],[النولون]]+Table1181920231030313235383940414811[[#This Row],[الايصالات]]+Table1181920231030313235383940414811[[#This Row],[قيمة مضافة]]</f>
        <v>0</v>
      </c>
      <c r="M314" s="1">
        <f>M313+Table1181920231030313235383940414811[[#This Row],[اجمالي الفاتوره]]-Table1181920231030313235383940414811[[#This Row],[الدفعات]]</f>
        <v>997504.09999999986</v>
      </c>
      <c r="O314" s="48"/>
    </row>
    <row r="315" spans="11:15" ht="26.25" customHeight="1" x14ac:dyDescent="0.3">
      <c r="K315" s="1">
        <f>Table1181920231030313235383940414811[[#This Row],[النولون]]+Table1181920231030313235383940414811[[#This Row],[الايصالات]]+Table1181920231030313235383940414811[[#This Row],[قيمة مضافة]]</f>
        <v>0</v>
      </c>
      <c r="M315" s="1">
        <f>M314+Table1181920231030313235383940414811[[#This Row],[اجمالي الفاتوره]]-Table1181920231030313235383940414811[[#This Row],[الدفعات]]</f>
        <v>997504.09999999986</v>
      </c>
      <c r="O315" s="48"/>
    </row>
    <row r="316" spans="11:15" ht="26.25" customHeight="1" x14ac:dyDescent="0.3">
      <c r="K316" s="1">
        <f>Table1181920231030313235383940414811[[#This Row],[النولون]]+Table1181920231030313235383940414811[[#This Row],[الايصالات]]+Table1181920231030313235383940414811[[#This Row],[قيمة مضافة]]</f>
        <v>0</v>
      </c>
      <c r="M316" s="1">
        <f>M315+Table1181920231030313235383940414811[[#This Row],[اجمالي الفاتوره]]-Table1181920231030313235383940414811[[#This Row],[الدفعات]]</f>
        <v>997504.09999999986</v>
      </c>
      <c r="O316" s="48"/>
    </row>
    <row r="317" spans="11:15" ht="26.25" customHeight="1" x14ac:dyDescent="0.3">
      <c r="K317" s="1">
        <f>Table1181920231030313235383940414811[[#This Row],[النولون]]+Table1181920231030313235383940414811[[#This Row],[الايصالات]]+Table1181920231030313235383940414811[[#This Row],[قيمة مضافة]]</f>
        <v>0</v>
      </c>
      <c r="M317" s="1">
        <f>M316+Table1181920231030313235383940414811[[#This Row],[اجمالي الفاتوره]]-Table1181920231030313235383940414811[[#This Row],[الدفعات]]</f>
        <v>997504.09999999986</v>
      </c>
      <c r="O317" s="48"/>
    </row>
    <row r="318" spans="11:15" ht="26.25" customHeight="1" x14ac:dyDescent="0.3">
      <c r="K318" s="1">
        <f>Table1181920231030313235383940414811[[#This Row],[النولون]]+Table1181920231030313235383940414811[[#This Row],[الايصالات]]+Table1181920231030313235383940414811[[#This Row],[قيمة مضافة]]</f>
        <v>0</v>
      </c>
      <c r="M318" s="1">
        <f>M317+Table1181920231030313235383940414811[[#This Row],[اجمالي الفاتوره]]-Table1181920231030313235383940414811[[#This Row],[الدفعات]]</f>
        <v>997504.09999999986</v>
      </c>
      <c r="O318" s="48"/>
    </row>
    <row r="319" spans="11:15" ht="26.25" customHeight="1" x14ac:dyDescent="0.3">
      <c r="K319" s="1">
        <f>Table1181920231030313235383940414811[[#This Row],[النولون]]+Table1181920231030313235383940414811[[#This Row],[الايصالات]]+Table1181920231030313235383940414811[[#This Row],[قيمة مضافة]]</f>
        <v>0</v>
      </c>
      <c r="M319" s="1">
        <f>M318+Table1181920231030313235383940414811[[#This Row],[اجمالي الفاتوره]]-Table1181920231030313235383940414811[[#This Row],[الدفعات]]</f>
        <v>997504.09999999986</v>
      </c>
      <c r="O319" s="48"/>
    </row>
    <row r="320" spans="11:15" ht="26.25" customHeight="1" x14ac:dyDescent="0.3">
      <c r="K320" s="1">
        <f>Table1181920231030313235383940414811[[#This Row],[النولون]]+Table1181920231030313235383940414811[[#This Row],[الايصالات]]+Table1181920231030313235383940414811[[#This Row],[قيمة مضافة]]</f>
        <v>0</v>
      </c>
      <c r="M320" s="1">
        <f>M319+Table1181920231030313235383940414811[[#This Row],[اجمالي الفاتوره]]-Table1181920231030313235383940414811[[#This Row],[الدفعات]]</f>
        <v>997504.09999999986</v>
      </c>
      <c r="O320" s="48"/>
    </row>
    <row r="321" spans="11:15" ht="26.25" customHeight="1" x14ac:dyDescent="0.3">
      <c r="K321" s="1">
        <f>Table1181920231030313235383940414811[[#This Row],[النولون]]+Table1181920231030313235383940414811[[#This Row],[الايصالات]]+Table1181920231030313235383940414811[[#This Row],[قيمة مضافة]]</f>
        <v>0</v>
      </c>
      <c r="M321" s="1">
        <f>M320+Table1181920231030313235383940414811[[#This Row],[اجمالي الفاتوره]]-Table1181920231030313235383940414811[[#This Row],[الدفعات]]</f>
        <v>997504.09999999986</v>
      </c>
      <c r="O321" s="48"/>
    </row>
    <row r="322" spans="11:15" ht="26.25" customHeight="1" x14ac:dyDescent="0.3">
      <c r="K322" s="1">
        <f>Table1181920231030313235383940414811[[#This Row],[النولون]]+Table1181920231030313235383940414811[[#This Row],[الايصالات]]+Table1181920231030313235383940414811[[#This Row],[قيمة مضافة]]</f>
        <v>0</v>
      </c>
      <c r="M322" s="1">
        <f>M321+Table1181920231030313235383940414811[[#This Row],[اجمالي الفاتوره]]-Table1181920231030313235383940414811[[#This Row],[الدفعات]]</f>
        <v>997504.09999999986</v>
      </c>
      <c r="O322" s="48"/>
    </row>
    <row r="323" spans="11:15" ht="26.25" customHeight="1" x14ac:dyDescent="0.3">
      <c r="K323" s="1">
        <f>Table1181920231030313235383940414811[[#This Row],[النولون]]+Table1181920231030313235383940414811[[#This Row],[الايصالات]]+Table1181920231030313235383940414811[[#This Row],[قيمة مضافة]]</f>
        <v>0</v>
      </c>
      <c r="M323" s="1">
        <f>M322+Table1181920231030313235383940414811[[#This Row],[اجمالي الفاتوره]]-Table1181920231030313235383940414811[[#This Row],[الدفعات]]</f>
        <v>997504.09999999986</v>
      </c>
      <c r="O323" s="48"/>
    </row>
    <row r="324" spans="11:15" ht="26.25" customHeight="1" x14ac:dyDescent="0.3">
      <c r="K324" s="1">
        <f>Table1181920231030313235383940414811[[#This Row],[النولون]]+Table1181920231030313235383940414811[[#This Row],[الايصالات]]+Table1181920231030313235383940414811[[#This Row],[قيمة مضافة]]</f>
        <v>0</v>
      </c>
      <c r="M324" s="1">
        <f>M323+Table1181920231030313235383940414811[[#This Row],[اجمالي الفاتوره]]-Table1181920231030313235383940414811[[#This Row],[الدفعات]]</f>
        <v>997504.09999999986</v>
      </c>
      <c r="O324" s="48"/>
    </row>
    <row r="325" spans="11:15" ht="26.25" customHeight="1" x14ac:dyDescent="0.3">
      <c r="K325" s="1">
        <f>Table1181920231030313235383940414811[[#This Row],[النولون]]+Table1181920231030313235383940414811[[#This Row],[الايصالات]]+Table1181920231030313235383940414811[[#This Row],[قيمة مضافة]]</f>
        <v>0</v>
      </c>
      <c r="M325" s="1">
        <f>M324+Table1181920231030313235383940414811[[#This Row],[اجمالي الفاتوره]]-Table1181920231030313235383940414811[[#This Row],[الدفعات]]</f>
        <v>997504.09999999986</v>
      </c>
      <c r="O325" s="48"/>
    </row>
    <row r="326" spans="11:15" ht="26.25" customHeight="1" x14ac:dyDescent="0.3">
      <c r="K326" s="1">
        <f>Table1181920231030313235383940414811[[#This Row],[النولون]]+Table1181920231030313235383940414811[[#This Row],[الايصالات]]+Table1181920231030313235383940414811[[#This Row],[قيمة مضافة]]</f>
        <v>0</v>
      </c>
      <c r="M326" s="1">
        <f>M325+Table1181920231030313235383940414811[[#This Row],[اجمالي الفاتوره]]-Table1181920231030313235383940414811[[#This Row],[الدفعات]]</f>
        <v>997504.09999999986</v>
      </c>
      <c r="O326" s="48"/>
    </row>
    <row r="327" spans="11:15" ht="26.25" customHeight="1" x14ac:dyDescent="0.3">
      <c r="K327" s="1">
        <f>Table1181920231030313235383940414811[[#This Row],[النولون]]+Table1181920231030313235383940414811[[#This Row],[الايصالات]]+Table1181920231030313235383940414811[[#This Row],[قيمة مضافة]]</f>
        <v>0</v>
      </c>
      <c r="M327" s="1">
        <f>M326+Table1181920231030313235383940414811[[#This Row],[اجمالي الفاتوره]]-Table1181920231030313235383940414811[[#This Row],[الدفعات]]</f>
        <v>997504.09999999986</v>
      </c>
      <c r="O327" s="48"/>
    </row>
    <row r="328" spans="11:15" ht="26.25" customHeight="1" x14ac:dyDescent="0.3">
      <c r="K328" s="1">
        <f>Table1181920231030313235383940414811[[#This Row],[النولون]]+Table1181920231030313235383940414811[[#This Row],[الايصالات]]+Table1181920231030313235383940414811[[#This Row],[قيمة مضافة]]</f>
        <v>0</v>
      </c>
      <c r="M328" s="1">
        <f>M327+Table1181920231030313235383940414811[[#This Row],[اجمالي الفاتوره]]-Table1181920231030313235383940414811[[#This Row],[الدفعات]]</f>
        <v>997504.09999999986</v>
      </c>
      <c r="O328" s="48"/>
    </row>
    <row r="329" spans="11:15" ht="26.25" customHeight="1" x14ac:dyDescent="0.3">
      <c r="K329" s="1">
        <f>Table1181920231030313235383940414811[[#This Row],[النولون]]+Table1181920231030313235383940414811[[#This Row],[الايصالات]]+Table1181920231030313235383940414811[[#This Row],[قيمة مضافة]]</f>
        <v>0</v>
      </c>
      <c r="M329" s="1">
        <f>M328+Table1181920231030313235383940414811[[#This Row],[اجمالي الفاتوره]]-Table1181920231030313235383940414811[[#This Row],[الدفعات]]</f>
        <v>997504.09999999986</v>
      </c>
      <c r="O329" s="48"/>
    </row>
    <row r="330" spans="11:15" ht="26.25" customHeight="1" x14ac:dyDescent="0.3">
      <c r="K330" s="1">
        <f>Table1181920231030313235383940414811[[#This Row],[النولون]]+Table1181920231030313235383940414811[[#This Row],[الايصالات]]+Table1181920231030313235383940414811[[#This Row],[قيمة مضافة]]</f>
        <v>0</v>
      </c>
      <c r="M330" s="1">
        <f>M329+Table1181920231030313235383940414811[[#This Row],[اجمالي الفاتوره]]-Table1181920231030313235383940414811[[#This Row],[الدفعات]]</f>
        <v>997504.09999999986</v>
      </c>
      <c r="O330" s="48"/>
    </row>
    <row r="331" spans="11:15" ht="26.25" customHeight="1" x14ac:dyDescent="0.3">
      <c r="K331" s="1">
        <f>Table1181920231030313235383940414811[[#This Row],[النولون]]+Table1181920231030313235383940414811[[#This Row],[الايصالات]]+Table1181920231030313235383940414811[[#This Row],[قيمة مضافة]]</f>
        <v>0</v>
      </c>
      <c r="M331" s="1">
        <f>M330+Table1181920231030313235383940414811[[#This Row],[اجمالي الفاتوره]]-Table1181920231030313235383940414811[[#This Row],[الدفعات]]</f>
        <v>997504.09999999986</v>
      </c>
      <c r="O331" s="48"/>
    </row>
    <row r="332" spans="11:15" ht="26.25" customHeight="1" x14ac:dyDescent="0.3">
      <c r="K332" s="1">
        <f>Table1181920231030313235383940414811[[#This Row],[النولون]]+Table1181920231030313235383940414811[[#This Row],[الايصالات]]+Table1181920231030313235383940414811[[#This Row],[قيمة مضافة]]</f>
        <v>0</v>
      </c>
      <c r="M332" s="1">
        <f>M331+Table1181920231030313235383940414811[[#This Row],[اجمالي الفاتوره]]-Table1181920231030313235383940414811[[#This Row],[الدفعات]]</f>
        <v>997504.09999999986</v>
      </c>
      <c r="O332" s="48"/>
    </row>
    <row r="333" spans="11:15" ht="26.25" customHeight="1" x14ac:dyDescent="0.3">
      <c r="K333" s="1">
        <f>Table1181920231030313235383940414811[[#This Row],[النولون]]+Table1181920231030313235383940414811[[#This Row],[الايصالات]]+Table1181920231030313235383940414811[[#This Row],[قيمة مضافة]]</f>
        <v>0</v>
      </c>
      <c r="M333" s="1">
        <f>M332+Table1181920231030313235383940414811[[#This Row],[اجمالي الفاتوره]]-Table1181920231030313235383940414811[[#This Row],[الدفعات]]</f>
        <v>997504.09999999986</v>
      </c>
      <c r="O333" s="48"/>
    </row>
    <row r="334" spans="11:15" ht="26.25" customHeight="1" x14ac:dyDescent="0.3">
      <c r="K334" s="1">
        <f>Table1181920231030313235383940414811[[#This Row],[النولون]]+Table1181920231030313235383940414811[[#This Row],[الايصالات]]+Table1181920231030313235383940414811[[#This Row],[قيمة مضافة]]</f>
        <v>0</v>
      </c>
      <c r="M334" s="1">
        <f>M333+Table1181920231030313235383940414811[[#This Row],[اجمالي الفاتوره]]-Table1181920231030313235383940414811[[#This Row],[الدفعات]]</f>
        <v>997504.09999999986</v>
      </c>
      <c r="O334" s="48"/>
    </row>
    <row r="335" spans="11:15" ht="26.25" customHeight="1" x14ac:dyDescent="0.3">
      <c r="K335" s="1">
        <f>Table1181920231030313235383940414811[[#This Row],[النولون]]+Table1181920231030313235383940414811[[#This Row],[الايصالات]]+Table1181920231030313235383940414811[[#This Row],[قيمة مضافة]]</f>
        <v>0</v>
      </c>
      <c r="M335" s="1">
        <f>M334+Table1181920231030313235383940414811[[#This Row],[اجمالي الفاتوره]]-Table1181920231030313235383940414811[[#This Row],[الدفعات]]</f>
        <v>997504.09999999986</v>
      </c>
      <c r="O335" s="48"/>
    </row>
    <row r="336" spans="11:15" ht="26.25" customHeight="1" x14ac:dyDescent="0.3">
      <c r="K336" s="1">
        <f>Table1181920231030313235383940414811[[#This Row],[النولون]]+Table1181920231030313235383940414811[[#This Row],[الايصالات]]+Table1181920231030313235383940414811[[#This Row],[قيمة مضافة]]</f>
        <v>0</v>
      </c>
      <c r="M336" s="1">
        <f>M335+Table1181920231030313235383940414811[[#This Row],[اجمالي الفاتوره]]-Table1181920231030313235383940414811[[#This Row],[الدفعات]]</f>
        <v>997504.09999999986</v>
      </c>
      <c r="O336" s="48"/>
    </row>
    <row r="337" spans="11:15" ht="26.25" customHeight="1" x14ac:dyDescent="0.3">
      <c r="K337" s="1">
        <f>Table1181920231030313235383940414811[[#This Row],[النولون]]+Table1181920231030313235383940414811[[#This Row],[الايصالات]]+Table1181920231030313235383940414811[[#This Row],[قيمة مضافة]]</f>
        <v>0</v>
      </c>
      <c r="M337" s="1">
        <f>M336+Table1181920231030313235383940414811[[#This Row],[اجمالي الفاتوره]]-Table1181920231030313235383940414811[[#This Row],[الدفعات]]</f>
        <v>997504.09999999986</v>
      </c>
      <c r="O337" s="48"/>
    </row>
    <row r="338" spans="11:15" ht="26.25" customHeight="1" x14ac:dyDescent="0.3">
      <c r="K338" s="1">
        <f>Table1181920231030313235383940414811[[#This Row],[النولون]]+Table1181920231030313235383940414811[[#This Row],[الايصالات]]+Table1181920231030313235383940414811[[#This Row],[قيمة مضافة]]</f>
        <v>0</v>
      </c>
      <c r="M338" s="1">
        <f>M337+Table1181920231030313235383940414811[[#This Row],[اجمالي الفاتوره]]-Table1181920231030313235383940414811[[#This Row],[الدفعات]]</f>
        <v>997504.09999999986</v>
      </c>
      <c r="O338" s="48"/>
    </row>
    <row r="339" spans="11:15" ht="26.25" customHeight="1" x14ac:dyDescent="0.3">
      <c r="K339" s="1">
        <f>Table1181920231030313235383940414811[[#This Row],[النولون]]+Table1181920231030313235383940414811[[#This Row],[الايصالات]]+Table1181920231030313235383940414811[[#This Row],[قيمة مضافة]]</f>
        <v>0</v>
      </c>
      <c r="M339" s="1">
        <f>M338+Table1181920231030313235383940414811[[#This Row],[اجمالي الفاتوره]]-Table1181920231030313235383940414811[[#This Row],[الدفعات]]</f>
        <v>997504.09999999986</v>
      </c>
      <c r="O339" s="48"/>
    </row>
    <row r="340" spans="11:15" ht="26.25" customHeight="1" x14ac:dyDescent="0.3">
      <c r="K340" s="1">
        <f>Table1181920231030313235383940414811[[#This Row],[النولون]]+Table1181920231030313235383940414811[[#This Row],[الايصالات]]+Table1181920231030313235383940414811[[#This Row],[قيمة مضافة]]</f>
        <v>0</v>
      </c>
      <c r="M340" s="1">
        <f>M339+Table1181920231030313235383940414811[[#This Row],[اجمالي الفاتوره]]-Table1181920231030313235383940414811[[#This Row],[الدفعات]]</f>
        <v>997504.09999999986</v>
      </c>
      <c r="O340" s="48"/>
    </row>
    <row r="341" spans="11:15" ht="26.25" customHeight="1" x14ac:dyDescent="0.3">
      <c r="K341" s="1">
        <f>Table1181920231030313235383940414811[[#This Row],[النولون]]+Table1181920231030313235383940414811[[#This Row],[الايصالات]]+Table1181920231030313235383940414811[[#This Row],[قيمة مضافة]]</f>
        <v>0</v>
      </c>
      <c r="M341" s="1">
        <f>M340+Table1181920231030313235383940414811[[#This Row],[اجمالي الفاتوره]]-Table1181920231030313235383940414811[[#This Row],[الدفعات]]</f>
        <v>997504.09999999986</v>
      </c>
      <c r="O341" s="48"/>
    </row>
    <row r="342" spans="11:15" ht="26.25" customHeight="1" x14ac:dyDescent="0.3">
      <c r="K342" s="1">
        <f>Table1181920231030313235383940414811[[#This Row],[النولون]]+Table1181920231030313235383940414811[[#This Row],[الايصالات]]+Table1181920231030313235383940414811[[#This Row],[قيمة مضافة]]</f>
        <v>0</v>
      </c>
      <c r="M342" s="1">
        <f>M341+Table1181920231030313235383940414811[[#This Row],[اجمالي الفاتوره]]-Table1181920231030313235383940414811[[#This Row],[الدفعات]]</f>
        <v>997504.09999999986</v>
      </c>
      <c r="O342" s="48"/>
    </row>
    <row r="343" spans="11:15" ht="26.25" customHeight="1" x14ac:dyDescent="0.3">
      <c r="K343" s="1">
        <f>Table1181920231030313235383940414811[[#This Row],[النولون]]+Table1181920231030313235383940414811[[#This Row],[الايصالات]]+Table1181920231030313235383940414811[[#This Row],[قيمة مضافة]]</f>
        <v>0</v>
      </c>
      <c r="M343" s="1">
        <f>M342+Table1181920231030313235383940414811[[#This Row],[اجمالي الفاتوره]]-Table1181920231030313235383940414811[[#This Row],[الدفعات]]</f>
        <v>997504.09999999986</v>
      </c>
      <c r="O343" s="48"/>
    </row>
    <row r="344" spans="11:15" ht="26.25" customHeight="1" x14ac:dyDescent="0.3">
      <c r="K344" s="1">
        <f>Table1181920231030313235383940414811[[#This Row],[النولون]]+Table1181920231030313235383940414811[[#This Row],[الايصالات]]+Table1181920231030313235383940414811[[#This Row],[قيمة مضافة]]</f>
        <v>0</v>
      </c>
      <c r="M344" s="1">
        <f>M343+Table1181920231030313235383940414811[[#This Row],[اجمالي الفاتوره]]-Table1181920231030313235383940414811[[#This Row],[الدفعات]]</f>
        <v>997504.09999999986</v>
      </c>
      <c r="O344" s="48"/>
    </row>
    <row r="345" spans="11:15" ht="26.25" customHeight="1" x14ac:dyDescent="0.3">
      <c r="K345" s="1">
        <f>Table1181920231030313235383940414811[[#This Row],[النولون]]+Table1181920231030313235383940414811[[#This Row],[الايصالات]]+Table1181920231030313235383940414811[[#This Row],[قيمة مضافة]]</f>
        <v>0</v>
      </c>
      <c r="M345" s="1">
        <f>M344+Table1181920231030313235383940414811[[#This Row],[اجمالي الفاتوره]]-Table1181920231030313235383940414811[[#This Row],[الدفعات]]</f>
        <v>997504.09999999986</v>
      </c>
      <c r="O345" s="48"/>
    </row>
    <row r="346" spans="11:15" ht="26.25" customHeight="1" x14ac:dyDescent="0.3">
      <c r="K346" s="1">
        <f>Table1181920231030313235383940414811[[#This Row],[النولون]]+Table1181920231030313235383940414811[[#This Row],[الايصالات]]+Table1181920231030313235383940414811[[#This Row],[قيمة مضافة]]</f>
        <v>0</v>
      </c>
      <c r="M346" s="1">
        <f>M345+Table1181920231030313235383940414811[[#This Row],[اجمالي الفاتوره]]-Table1181920231030313235383940414811[[#This Row],[الدفعات]]</f>
        <v>997504.09999999986</v>
      </c>
      <c r="O346" s="48"/>
    </row>
    <row r="347" spans="11:15" ht="26.25" customHeight="1" x14ac:dyDescent="0.3">
      <c r="K347" s="1">
        <f>Table1181920231030313235383940414811[[#This Row],[النولون]]+Table1181920231030313235383940414811[[#This Row],[الايصالات]]+Table1181920231030313235383940414811[[#This Row],[قيمة مضافة]]</f>
        <v>0</v>
      </c>
      <c r="M347" s="1">
        <f>M346+Table1181920231030313235383940414811[[#This Row],[اجمالي الفاتوره]]-Table1181920231030313235383940414811[[#This Row],[الدفعات]]</f>
        <v>997504.09999999986</v>
      </c>
      <c r="O347" s="48"/>
    </row>
    <row r="348" spans="11:15" ht="26.25" customHeight="1" x14ac:dyDescent="0.3">
      <c r="K348" s="1">
        <f>Table1181920231030313235383940414811[[#This Row],[النولون]]+Table1181920231030313235383940414811[[#This Row],[الايصالات]]+Table1181920231030313235383940414811[[#This Row],[قيمة مضافة]]</f>
        <v>0</v>
      </c>
      <c r="M348" s="1">
        <f>M347+Table1181920231030313235383940414811[[#This Row],[اجمالي الفاتوره]]-Table1181920231030313235383940414811[[#This Row],[الدفعات]]</f>
        <v>997504.09999999986</v>
      </c>
      <c r="O348" s="48"/>
    </row>
    <row r="349" spans="11:15" ht="26.25" customHeight="1" x14ac:dyDescent="0.3">
      <c r="K349" s="1">
        <f>Table1181920231030313235383940414811[[#This Row],[النولون]]+Table1181920231030313235383940414811[[#This Row],[الايصالات]]+Table1181920231030313235383940414811[[#This Row],[قيمة مضافة]]</f>
        <v>0</v>
      </c>
      <c r="M349" s="1">
        <f>M348+Table1181920231030313235383940414811[[#This Row],[اجمالي الفاتوره]]-Table1181920231030313235383940414811[[#This Row],[الدفعات]]</f>
        <v>997504.09999999986</v>
      </c>
      <c r="O349" s="48"/>
    </row>
    <row r="350" spans="11:15" ht="26.25" customHeight="1" x14ac:dyDescent="0.3">
      <c r="K350" s="1">
        <f>Table1181920231030313235383940414811[[#This Row],[النولون]]+Table1181920231030313235383940414811[[#This Row],[الايصالات]]+Table1181920231030313235383940414811[[#This Row],[قيمة مضافة]]</f>
        <v>0</v>
      </c>
      <c r="M350" s="1">
        <f>M349+Table1181920231030313235383940414811[[#This Row],[اجمالي الفاتوره]]-Table1181920231030313235383940414811[[#This Row],[الدفعات]]</f>
        <v>997504.09999999986</v>
      </c>
      <c r="O350" s="48"/>
    </row>
    <row r="351" spans="11:15" ht="26.25" customHeight="1" x14ac:dyDescent="0.3">
      <c r="K351" s="1">
        <f>Table1181920231030313235383940414811[[#This Row],[النولون]]+Table1181920231030313235383940414811[[#This Row],[الايصالات]]+Table1181920231030313235383940414811[[#This Row],[قيمة مضافة]]</f>
        <v>0</v>
      </c>
      <c r="M351" s="1">
        <f>M350+Table1181920231030313235383940414811[[#This Row],[اجمالي الفاتوره]]-Table1181920231030313235383940414811[[#This Row],[الدفعات]]</f>
        <v>997504.09999999986</v>
      </c>
      <c r="O351" s="48"/>
    </row>
    <row r="352" spans="11:15" ht="26.25" customHeight="1" x14ac:dyDescent="0.3">
      <c r="K352" s="1">
        <f>Table1181920231030313235383940414811[[#This Row],[النولون]]+Table1181920231030313235383940414811[[#This Row],[الايصالات]]+Table1181920231030313235383940414811[[#This Row],[قيمة مضافة]]</f>
        <v>0</v>
      </c>
      <c r="M352" s="1">
        <f>M351+Table1181920231030313235383940414811[[#This Row],[اجمالي الفاتوره]]-Table1181920231030313235383940414811[[#This Row],[الدفعات]]</f>
        <v>997504.09999999986</v>
      </c>
      <c r="O352" s="48"/>
    </row>
    <row r="353" spans="11:15" ht="26.25" customHeight="1" x14ac:dyDescent="0.3">
      <c r="K353" s="1">
        <f>Table1181920231030313235383940414811[[#This Row],[النولون]]+Table1181920231030313235383940414811[[#This Row],[الايصالات]]+Table1181920231030313235383940414811[[#This Row],[قيمة مضافة]]</f>
        <v>0</v>
      </c>
      <c r="M353" s="1">
        <f>M352+Table1181920231030313235383940414811[[#This Row],[اجمالي الفاتوره]]-Table1181920231030313235383940414811[[#This Row],[الدفعات]]</f>
        <v>997504.09999999986</v>
      </c>
      <c r="O353" s="48"/>
    </row>
    <row r="354" spans="11:15" ht="26.25" customHeight="1" x14ac:dyDescent="0.3">
      <c r="K354" s="1">
        <f>Table1181920231030313235383940414811[[#This Row],[النولون]]+Table1181920231030313235383940414811[[#This Row],[الايصالات]]+Table1181920231030313235383940414811[[#This Row],[قيمة مضافة]]</f>
        <v>0</v>
      </c>
      <c r="M354" s="1">
        <f>M353+Table1181920231030313235383940414811[[#This Row],[اجمالي الفاتوره]]-Table1181920231030313235383940414811[[#This Row],[الدفعات]]</f>
        <v>997504.09999999986</v>
      </c>
      <c r="O354" s="48"/>
    </row>
    <row r="355" spans="11:15" ht="26.25" customHeight="1" x14ac:dyDescent="0.3">
      <c r="K355" s="1">
        <f>Table1181920231030313235383940414811[[#This Row],[النولون]]+Table1181920231030313235383940414811[[#This Row],[الايصالات]]+Table1181920231030313235383940414811[[#This Row],[قيمة مضافة]]</f>
        <v>0</v>
      </c>
      <c r="M355" s="1">
        <f>M354+Table1181920231030313235383940414811[[#This Row],[اجمالي الفاتوره]]-Table1181920231030313235383940414811[[#This Row],[الدفعات]]</f>
        <v>997504.09999999986</v>
      </c>
      <c r="O355" s="48"/>
    </row>
    <row r="356" spans="11:15" ht="26.25" customHeight="1" x14ac:dyDescent="0.3">
      <c r="K356" s="1">
        <f>Table1181920231030313235383940414811[[#This Row],[النولون]]+Table1181920231030313235383940414811[[#This Row],[الايصالات]]+Table1181920231030313235383940414811[[#This Row],[قيمة مضافة]]</f>
        <v>0</v>
      </c>
      <c r="M356" s="1">
        <f>M355+Table1181920231030313235383940414811[[#This Row],[اجمالي الفاتوره]]-Table1181920231030313235383940414811[[#This Row],[الدفعات]]</f>
        <v>997504.09999999986</v>
      </c>
      <c r="O356" s="48"/>
    </row>
    <row r="357" spans="11:15" ht="26.25" customHeight="1" x14ac:dyDescent="0.3">
      <c r="K357" s="1">
        <f>Table1181920231030313235383940414811[[#This Row],[النولون]]+Table1181920231030313235383940414811[[#This Row],[الايصالات]]+Table1181920231030313235383940414811[[#This Row],[قيمة مضافة]]</f>
        <v>0</v>
      </c>
      <c r="M357" s="1">
        <f>M356+Table1181920231030313235383940414811[[#This Row],[اجمالي الفاتوره]]-Table1181920231030313235383940414811[[#This Row],[الدفعات]]</f>
        <v>997504.09999999986</v>
      </c>
      <c r="O357" s="48"/>
    </row>
    <row r="358" spans="11:15" ht="26.25" customHeight="1" x14ac:dyDescent="0.3">
      <c r="K358" s="1">
        <f>Table1181920231030313235383940414811[[#This Row],[النولون]]+Table1181920231030313235383940414811[[#This Row],[الايصالات]]+Table1181920231030313235383940414811[[#This Row],[قيمة مضافة]]</f>
        <v>0</v>
      </c>
      <c r="M358" s="1">
        <f>M357+Table1181920231030313235383940414811[[#This Row],[اجمالي الفاتوره]]-Table1181920231030313235383940414811[[#This Row],[الدفعات]]</f>
        <v>997504.09999999986</v>
      </c>
      <c r="O358" s="48"/>
    </row>
    <row r="359" spans="11:15" ht="26.25" customHeight="1" x14ac:dyDescent="0.3">
      <c r="K359" s="1">
        <f>Table1181920231030313235383940414811[[#This Row],[النولون]]+Table1181920231030313235383940414811[[#This Row],[الايصالات]]+Table1181920231030313235383940414811[[#This Row],[قيمة مضافة]]</f>
        <v>0</v>
      </c>
      <c r="M359" s="1">
        <f>M358+Table1181920231030313235383940414811[[#This Row],[اجمالي الفاتوره]]-Table1181920231030313235383940414811[[#This Row],[الدفعات]]</f>
        <v>997504.09999999986</v>
      </c>
      <c r="O359" s="48"/>
    </row>
    <row r="360" spans="11:15" ht="26.25" customHeight="1" x14ac:dyDescent="0.3">
      <c r="K360" s="1">
        <f>Table1181920231030313235383940414811[[#This Row],[النولون]]+Table1181920231030313235383940414811[[#This Row],[الايصالات]]+Table1181920231030313235383940414811[[#This Row],[قيمة مضافة]]</f>
        <v>0</v>
      </c>
      <c r="M360" s="1">
        <f>M359+Table1181920231030313235383940414811[[#This Row],[اجمالي الفاتوره]]-Table1181920231030313235383940414811[[#This Row],[الدفعات]]</f>
        <v>997504.09999999986</v>
      </c>
      <c r="O360" s="48"/>
    </row>
    <row r="361" spans="11:15" ht="26.25" customHeight="1" x14ac:dyDescent="0.3">
      <c r="K361" s="1">
        <f>Table1181920231030313235383940414811[[#This Row],[النولون]]+Table1181920231030313235383940414811[[#This Row],[الايصالات]]+Table1181920231030313235383940414811[[#This Row],[قيمة مضافة]]</f>
        <v>0</v>
      </c>
      <c r="M361" s="1">
        <f>M360+Table1181920231030313235383940414811[[#This Row],[اجمالي الفاتوره]]-Table1181920231030313235383940414811[[#This Row],[الدفعات]]</f>
        <v>997504.09999999986</v>
      </c>
      <c r="O361" s="48"/>
    </row>
    <row r="362" spans="11:15" ht="26.25" customHeight="1" x14ac:dyDescent="0.3">
      <c r="K362" s="1">
        <f>Table1181920231030313235383940414811[[#This Row],[النولون]]+Table1181920231030313235383940414811[[#This Row],[الايصالات]]+Table1181920231030313235383940414811[[#This Row],[قيمة مضافة]]</f>
        <v>0</v>
      </c>
      <c r="M362" s="1">
        <f>M361+Table1181920231030313235383940414811[[#This Row],[اجمالي الفاتوره]]-Table1181920231030313235383940414811[[#This Row],[الدفعات]]</f>
        <v>997504.09999999986</v>
      </c>
      <c r="O362" s="48"/>
    </row>
    <row r="363" spans="11:15" ht="26.25" customHeight="1" x14ac:dyDescent="0.3">
      <c r="K363" s="1">
        <f>Table1181920231030313235383940414811[[#This Row],[النولون]]+Table1181920231030313235383940414811[[#This Row],[الايصالات]]+Table1181920231030313235383940414811[[#This Row],[قيمة مضافة]]</f>
        <v>0</v>
      </c>
      <c r="M363" s="1">
        <f>M362+Table1181920231030313235383940414811[[#This Row],[اجمالي الفاتوره]]-Table1181920231030313235383940414811[[#This Row],[الدفعات]]</f>
        <v>997504.09999999986</v>
      </c>
      <c r="O363" s="48"/>
    </row>
    <row r="364" spans="11:15" ht="26.25" customHeight="1" x14ac:dyDescent="0.3">
      <c r="K364" s="1">
        <f>Table1181920231030313235383940414811[[#This Row],[النولون]]+Table1181920231030313235383940414811[[#This Row],[الايصالات]]+Table1181920231030313235383940414811[[#This Row],[قيمة مضافة]]</f>
        <v>0</v>
      </c>
      <c r="M364" s="1">
        <f>M363+Table1181920231030313235383940414811[[#This Row],[اجمالي الفاتوره]]-Table1181920231030313235383940414811[[#This Row],[الدفعات]]</f>
        <v>997504.09999999986</v>
      </c>
      <c r="O364" s="48"/>
    </row>
    <row r="365" spans="11:15" ht="26.25" customHeight="1" x14ac:dyDescent="0.3">
      <c r="K365" s="1">
        <f>Table1181920231030313235383940414811[[#This Row],[النولون]]+Table1181920231030313235383940414811[[#This Row],[الايصالات]]+Table1181920231030313235383940414811[[#This Row],[قيمة مضافة]]</f>
        <v>0</v>
      </c>
      <c r="M365" s="1">
        <f>M364+Table1181920231030313235383940414811[[#This Row],[اجمالي الفاتوره]]-Table1181920231030313235383940414811[[#This Row],[الدفعات]]</f>
        <v>997504.09999999986</v>
      </c>
      <c r="O365" s="48"/>
    </row>
    <row r="366" spans="11:15" ht="26.25" customHeight="1" x14ac:dyDescent="0.3">
      <c r="K366" s="1">
        <f>Table1181920231030313235383940414811[[#This Row],[النولون]]+Table1181920231030313235383940414811[[#This Row],[الايصالات]]+Table1181920231030313235383940414811[[#This Row],[قيمة مضافة]]</f>
        <v>0</v>
      </c>
      <c r="M366" s="1">
        <f>M365+Table1181920231030313235383940414811[[#This Row],[اجمالي الفاتوره]]-Table1181920231030313235383940414811[[#This Row],[الدفعات]]</f>
        <v>997504.09999999986</v>
      </c>
      <c r="O366" s="48"/>
    </row>
    <row r="367" spans="11:15" ht="26.25" customHeight="1" x14ac:dyDescent="0.3">
      <c r="K367" s="1">
        <f>Table1181920231030313235383940414811[[#This Row],[النولون]]+Table1181920231030313235383940414811[[#This Row],[الايصالات]]+Table1181920231030313235383940414811[[#This Row],[قيمة مضافة]]</f>
        <v>0</v>
      </c>
      <c r="M367" s="1">
        <f>M366+Table1181920231030313235383940414811[[#This Row],[اجمالي الفاتوره]]-Table1181920231030313235383940414811[[#This Row],[الدفعات]]</f>
        <v>997504.09999999986</v>
      </c>
      <c r="O367" s="48"/>
    </row>
    <row r="368" spans="11:15" ht="26.25" customHeight="1" x14ac:dyDescent="0.3">
      <c r="K368" s="1">
        <f>Table1181920231030313235383940414811[[#This Row],[النولون]]+Table1181920231030313235383940414811[[#This Row],[الايصالات]]+Table1181920231030313235383940414811[[#This Row],[قيمة مضافة]]</f>
        <v>0</v>
      </c>
      <c r="M368" s="1">
        <f>M367+Table1181920231030313235383940414811[[#This Row],[اجمالي الفاتوره]]-Table1181920231030313235383940414811[[#This Row],[الدفعات]]</f>
        <v>997504.09999999986</v>
      </c>
      <c r="O368" s="48"/>
    </row>
    <row r="369" spans="11:15" ht="26.25" customHeight="1" x14ac:dyDescent="0.3">
      <c r="K369" s="1">
        <f>Table1181920231030313235383940414811[[#This Row],[النولون]]+Table1181920231030313235383940414811[[#This Row],[الايصالات]]+Table1181920231030313235383940414811[[#This Row],[قيمة مضافة]]</f>
        <v>0</v>
      </c>
      <c r="M369" s="1">
        <f>M368+Table1181920231030313235383940414811[[#This Row],[اجمالي الفاتوره]]-Table1181920231030313235383940414811[[#This Row],[الدفعات]]</f>
        <v>997504.09999999986</v>
      </c>
      <c r="O369" s="48"/>
    </row>
    <row r="370" spans="11:15" ht="26.25" customHeight="1" x14ac:dyDescent="0.3">
      <c r="K370" s="1">
        <f>Table1181920231030313235383940414811[[#This Row],[النولون]]+Table1181920231030313235383940414811[[#This Row],[الايصالات]]+Table1181920231030313235383940414811[[#This Row],[قيمة مضافة]]</f>
        <v>0</v>
      </c>
      <c r="M370" s="1">
        <f>M369+Table1181920231030313235383940414811[[#This Row],[اجمالي الفاتوره]]-Table1181920231030313235383940414811[[#This Row],[الدفعات]]</f>
        <v>997504.09999999986</v>
      </c>
      <c r="O370" s="48"/>
    </row>
    <row r="371" spans="11:15" ht="26.25" customHeight="1" x14ac:dyDescent="0.3">
      <c r="K371" s="1">
        <f>Table1181920231030313235383940414811[[#This Row],[النولون]]+Table1181920231030313235383940414811[[#This Row],[الايصالات]]+Table1181920231030313235383940414811[[#This Row],[قيمة مضافة]]</f>
        <v>0</v>
      </c>
      <c r="M371" s="1">
        <f>M370+Table1181920231030313235383940414811[[#This Row],[اجمالي الفاتوره]]-Table1181920231030313235383940414811[[#This Row],[الدفعات]]</f>
        <v>997504.09999999986</v>
      </c>
      <c r="O371" s="48"/>
    </row>
    <row r="372" spans="11:15" ht="26.25" customHeight="1" x14ac:dyDescent="0.3">
      <c r="K372" s="1">
        <f>Table1181920231030313235383940414811[[#This Row],[النولون]]+Table1181920231030313235383940414811[[#This Row],[الايصالات]]+Table1181920231030313235383940414811[[#This Row],[قيمة مضافة]]</f>
        <v>0</v>
      </c>
      <c r="M372" s="1">
        <f>M371+Table1181920231030313235383940414811[[#This Row],[اجمالي الفاتوره]]-Table1181920231030313235383940414811[[#This Row],[الدفعات]]</f>
        <v>997504.09999999986</v>
      </c>
      <c r="O372" s="48"/>
    </row>
    <row r="373" spans="11:15" ht="26.25" customHeight="1" x14ac:dyDescent="0.3">
      <c r="K373" s="1">
        <f>Table1181920231030313235383940414811[[#This Row],[النولون]]+Table1181920231030313235383940414811[[#This Row],[الايصالات]]+Table1181920231030313235383940414811[[#This Row],[قيمة مضافة]]</f>
        <v>0</v>
      </c>
      <c r="M373" s="1">
        <f>M372+Table1181920231030313235383940414811[[#This Row],[اجمالي الفاتوره]]-Table1181920231030313235383940414811[[#This Row],[الدفعات]]</f>
        <v>997504.09999999986</v>
      </c>
      <c r="O373" s="48"/>
    </row>
    <row r="374" spans="11:15" ht="26.25" customHeight="1" x14ac:dyDescent="0.3">
      <c r="K374" s="1">
        <f>Table1181920231030313235383940414811[[#This Row],[النولون]]+Table1181920231030313235383940414811[[#This Row],[الايصالات]]+Table1181920231030313235383940414811[[#This Row],[قيمة مضافة]]</f>
        <v>0</v>
      </c>
      <c r="M374" s="1">
        <f>M373+Table1181920231030313235383940414811[[#This Row],[اجمالي الفاتوره]]-Table1181920231030313235383940414811[[#This Row],[الدفعات]]</f>
        <v>997504.09999999986</v>
      </c>
      <c r="O374" s="48"/>
    </row>
    <row r="375" spans="11:15" ht="26.25" customHeight="1" x14ac:dyDescent="0.3">
      <c r="K375" s="1">
        <f>Table1181920231030313235383940414811[[#This Row],[النولون]]+Table1181920231030313235383940414811[[#This Row],[الايصالات]]+Table1181920231030313235383940414811[[#This Row],[قيمة مضافة]]</f>
        <v>0</v>
      </c>
      <c r="M375" s="1">
        <f>M374+Table1181920231030313235383940414811[[#This Row],[اجمالي الفاتوره]]-Table1181920231030313235383940414811[[#This Row],[الدفعات]]</f>
        <v>997504.09999999986</v>
      </c>
      <c r="O375" s="48"/>
    </row>
  </sheetData>
  <phoneticPr fontId="2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342"/>
  <sheetViews>
    <sheetView rightToLeft="1" topLeftCell="A20" zoomScaleNormal="100" workbookViewId="0">
      <selection activeCell="J30" sqref="J30"/>
    </sheetView>
  </sheetViews>
  <sheetFormatPr defaultColWidth="9.109375" defaultRowHeight="15.6" x14ac:dyDescent="0.3"/>
  <cols>
    <col min="1" max="1" width="5.44140625" style="1" customWidth="1"/>
    <col min="2" max="2" width="11" style="1" customWidth="1"/>
    <col min="3" max="3" width="12.33203125" style="1" customWidth="1"/>
    <col min="4" max="4" width="15.88671875" style="1" customWidth="1"/>
    <col min="5" max="5" width="15.109375" style="1" customWidth="1"/>
    <col min="6" max="6" width="13" style="1" customWidth="1"/>
    <col min="7" max="7" width="11.6640625" style="1" customWidth="1"/>
    <col min="8" max="8" width="11.77734375" style="1" customWidth="1"/>
    <col min="9" max="9" width="8.21875" style="1" customWidth="1"/>
    <col min="10" max="10" width="10.77734375" style="1" customWidth="1"/>
    <col min="11" max="11" width="12.109375" style="1" customWidth="1"/>
    <col min="12" max="12" width="12.77734375" style="1" customWidth="1"/>
    <col min="13" max="13" width="15.21875" style="1" customWidth="1"/>
    <col min="14" max="14" width="12" style="1" customWidth="1"/>
    <col min="15" max="16384" width="9.109375" style="1"/>
  </cols>
  <sheetData>
    <row r="1" spans="1:15" ht="26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8" t="s">
        <v>20</v>
      </c>
    </row>
    <row r="2" spans="1:15" ht="26.25" customHeight="1" x14ac:dyDescent="0.3">
      <c r="B2" s="2"/>
      <c r="K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" s="1">
        <v>0</v>
      </c>
      <c r="O2" s="48"/>
    </row>
    <row r="3" spans="1:15" ht="26.25" customHeight="1" x14ac:dyDescent="0.3">
      <c r="A3" s="1">
        <v>1</v>
      </c>
      <c r="B3" s="2" t="s">
        <v>199</v>
      </c>
      <c r="C3" s="1" t="s">
        <v>210</v>
      </c>
      <c r="D3" s="1" t="s">
        <v>211</v>
      </c>
      <c r="E3" s="1">
        <v>6442190470</v>
      </c>
      <c r="F3" s="1" t="s">
        <v>92</v>
      </c>
      <c r="G3" s="1">
        <f>14500*2</f>
        <v>29000</v>
      </c>
      <c r="J3" s="1">
        <f>1130+1130+449.71+588.38+2006.4+684</f>
        <v>5988.49</v>
      </c>
      <c r="K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34988.49</v>
      </c>
      <c r="M3" s="1">
        <f>M2+Table1181920231030313235383940414810[[#This Row],[اجمالي الفاتوره]]-Table1181920231030313235383940414810[[#This Row],[الدفعات]]</f>
        <v>34988.49</v>
      </c>
      <c r="O3" s="48"/>
    </row>
    <row r="4" spans="1:15" ht="26.25" customHeight="1" x14ac:dyDescent="0.3">
      <c r="A4" s="1">
        <v>2</v>
      </c>
      <c r="B4" s="2" t="s">
        <v>199</v>
      </c>
      <c r="C4" s="1" t="s">
        <v>210</v>
      </c>
      <c r="D4" s="1" t="s">
        <v>211</v>
      </c>
      <c r="E4" s="1">
        <v>6442689150</v>
      </c>
      <c r="F4" s="1" t="s">
        <v>121</v>
      </c>
      <c r="G4" s="1">
        <v>14500</v>
      </c>
      <c r="J4" s="1">
        <f>850+1100+485.48+1231.2+342</f>
        <v>4008.6800000000003</v>
      </c>
      <c r="K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18508.68</v>
      </c>
      <c r="M4" s="1">
        <f>M3+Table1181920231030313235383940414810[[#This Row],[اجمالي الفاتوره]]-Table1181920231030313235383940414810[[#This Row],[الدفعات]]</f>
        <v>53497.17</v>
      </c>
      <c r="O4" s="48"/>
    </row>
    <row r="5" spans="1:15" ht="26.25" customHeight="1" x14ac:dyDescent="0.3">
      <c r="A5" s="1">
        <v>3</v>
      </c>
      <c r="B5" s="2" t="s">
        <v>237</v>
      </c>
      <c r="C5" s="1" t="s">
        <v>253</v>
      </c>
      <c r="D5" s="1" t="s">
        <v>178</v>
      </c>
      <c r="E5" s="1">
        <v>276995</v>
      </c>
      <c r="F5" s="1" t="s">
        <v>192</v>
      </c>
      <c r="G5" s="1">
        <f>4*25000</f>
        <v>100000</v>
      </c>
      <c r="J5" s="1">
        <f>2700*4+850+150+1150+1100*3+105.79+446.88+112.67+45.15+441.22+441.22+4304.64+3200+125.4+731.44</f>
        <v>26204.410000000003</v>
      </c>
      <c r="K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126204.41</v>
      </c>
      <c r="M5" s="1">
        <f>M4+Table1181920231030313235383940414810[[#This Row],[اجمالي الفاتوره]]-Table1181920231030313235383940414810[[#This Row],[الدفعات]]</f>
        <v>179701.58000000002</v>
      </c>
      <c r="O5" s="48"/>
    </row>
    <row r="6" spans="1:15" ht="26.25" customHeight="1" x14ac:dyDescent="0.3">
      <c r="A6" s="1">
        <v>4</v>
      </c>
      <c r="B6" s="2" t="s">
        <v>237</v>
      </c>
      <c r="C6" s="1" t="s">
        <v>253</v>
      </c>
      <c r="D6" s="1" t="s">
        <v>178</v>
      </c>
      <c r="E6" s="1">
        <v>277114</v>
      </c>
      <c r="F6" s="1" t="s">
        <v>143</v>
      </c>
      <c r="G6" s="1">
        <v>25000</v>
      </c>
      <c r="J6" s="1">
        <f>2700+1100+105.79+458.19+850+100+1074.79+800</f>
        <v>7188.7699999999995</v>
      </c>
      <c r="K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32188.77</v>
      </c>
      <c r="M6" s="1">
        <f>M5+Table1181920231030313235383940414810[[#This Row],[اجمالي الفاتوره]]-Table1181920231030313235383940414810[[#This Row],[الدفعات]]</f>
        <v>211890.35</v>
      </c>
      <c r="O6" s="48"/>
    </row>
    <row r="7" spans="1:15" ht="26.25" customHeight="1" x14ac:dyDescent="0.3">
      <c r="A7" s="1">
        <v>5</v>
      </c>
      <c r="B7" s="2" t="s">
        <v>256</v>
      </c>
      <c r="C7" s="1" t="s">
        <v>210</v>
      </c>
      <c r="D7" s="1" t="s">
        <v>211</v>
      </c>
      <c r="E7" s="1">
        <v>6443852040</v>
      </c>
      <c r="F7" s="1" t="s">
        <v>92</v>
      </c>
      <c r="G7" s="1">
        <f>14500*2</f>
        <v>29000</v>
      </c>
      <c r="J7" s="1">
        <f>1100*2+478.48+667.21+850+228+2006.4+684</f>
        <v>7114.09</v>
      </c>
      <c r="K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36114.089999999997</v>
      </c>
      <c r="M7" s="1">
        <f>M6+Table1181920231030313235383940414810[[#This Row],[اجمالي الفاتوره]]-Table1181920231030313235383940414810[[#This Row],[الدفعات]]</f>
        <v>248004.44</v>
      </c>
      <c r="O7" s="48"/>
    </row>
    <row r="8" spans="1:15" ht="26.25" customHeight="1" x14ac:dyDescent="0.3">
      <c r="A8" s="1">
        <v>6</v>
      </c>
      <c r="B8" s="2" t="s">
        <v>275</v>
      </c>
      <c r="C8" s="1" t="s">
        <v>210</v>
      </c>
      <c r="D8" s="1" t="s">
        <v>211</v>
      </c>
      <c r="E8" s="1">
        <v>6444591190</v>
      </c>
      <c r="F8" s="1" t="s">
        <v>181</v>
      </c>
      <c r="G8" s="1">
        <f>14500*4</f>
        <v>58000</v>
      </c>
      <c r="J8" s="1">
        <f>1100*4+750.23+829.66+670.78*2+4012.8+1368</f>
        <v>12702.25</v>
      </c>
      <c r="K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70702.25</v>
      </c>
      <c r="M8" s="1">
        <f>M7+Table1181920231030313235383940414810[[#This Row],[اجمالي الفاتوره]]-Table1181920231030313235383940414810[[#This Row],[الدفعات]]</f>
        <v>318706.69</v>
      </c>
      <c r="O8" s="48"/>
    </row>
    <row r="9" spans="1:15" ht="26.25" customHeight="1" x14ac:dyDescent="0.3">
      <c r="A9" s="1">
        <v>7</v>
      </c>
      <c r="B9" s="2" t="s">
        <v>299</v>
      </c>
      <c r="C9" s="1" t="s">
        <v>306</v>
      </c>
      <c r="D9" s="1" t="s">
        <v>211</v>
      </c>
      <c r="E9" s="20">
        <v>6445027230</v>
      </c>
      <c r="F9" s="1" t="s">
        <v>285</v>
      </c>
      <c r="G9" s="1">
        <f>14500*6</f>
        <v>87000</v>
      </c>
      <c r="J9" s="1">
        <f>850+1100*6+631.06+829.66+750.23+472.32+750.23+591.35+7159.2+399+2052</f>
        <v>21085.05</v>
      </c>
      <c r="K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108085.05</v>
      </c>
      <c r="M9" s="1">
        <f>M8+Table1181920231030313235383940414810[[#This Row],[اجمالي الفاتوره]]-Table1181920231030313235383940414810[[#This Row],[الدفعات]]</f>
        <v>426791.74</v>
      </c>
      <c r="O9" s="48"/>
    </row>
    <row r="10" spans="1:15" ht="26.25" customHeight="1" x14ac:dyDescent="0.3">
      <c r="A10" s="1">
        <v>8</v>
      </c>
      <c r="B10" s="2" t="s">
        <v>342</v>
      </c>
      <c r="C10" s="1" t="s">
        <v>210</v>
      </c>
      <c r="D10" s="1" t="s">
        <v>211</v>
      </c>
      <c r="E10" s="20">
        <v>6445688720</v>
      </c>
      <c r="F10" s="1" t="s">
        <v>92</v>
      </c>
      <c r="G10" s="1">
        <f>14500*2</f>
        <v>29000</v>
      </c>
      <c r="J10" s="1">
        <f>810+1100*2+710.63+437.44+2462.4+684</f>
        <v>7304.4699999999993</v>
      </c>
      <c r="K1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36304.47</v>
      </c>
      <c r="M10" s="1">
        <f>M9+Table1181920231030313235383940414810[[#This Row],[اجمالي الفاتوره]]-Table1181920231030313235383940414810[[#This Row],[الدفعات]]</f>
        <v>463096.20999999996</v>
      </c>
      <c r="O10" s="48"/>
    </row>
    <row r="11" spans="1:15" ht="26.25" customHeight="1" x14ac:dyDescent="0.3">
      <c r="A11" s="72"/>
      <c r="B11" s="73" t="s">
        <v>367</v>
      </c>
      <c r="C11" s="72"/>
      <c r="D11" s="72"/>
      <c r="E11" s="85"/>
      <c r="F11" s="72"/>
      <c r="G11" s="72"/>
      <c r="H11" s="72"/>
      <c r="I11" s="72"/>
      <c r="J11" s="72"/>
      <c r="K11" s="72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L11" s="72">
        <v>70000</v>
      </c>
      <c r="M11" s="72">
        <f>M10+Table1181920231030313235383940414810[[#This Row],[اجمالي الفاتوره]]-Table1181920231030313235383940414810[[#This Row],[الدفعات]]</f>
        <v>393096.20999999996</v>
      </c>
      <c r="O11" s="48"/>
    </row>
    <row r="12" spans="1:15" ht="26.25" customHeight="1" x14ac:dyDescent="0.3">
      <c r="A12" s="72"/>
      <c r="B12" s="73" t="s">
        <v>387</v>
      </c>
      <c r="C12" s="72"/>
      <c r="D12" s="72"/>
      <c r="E12" s="72"/>
      <c r="F12" s="72"/>
      <c r="G12" s="72"/>
      <c r="H12" s="72"/>
      <c r="I12" s="72"/>
      <c r="J12" s="72"/>
      <c r="K12" s="72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L12" s="72">
        <v>150000</v>
      </c>
      <c r="M12" s="72">
        <f>M11+Table1181920231030313235383940414810[[#This Row],[اجمالي الفاتوره]]-Table1181920231030313235383940414810[[#This Row],[الدفعات]]</f>
        <v>243096.20999999996</v>
      </c>
      <c r="O12" s="48"/>
    </row>
    <row r="13" spans="1:15" ht="26.25" customHeight="1" x14ac:dyDescent="0.3">
      <c r="A13" s="72"/>
      <c r="B13" s="73" t="s">
        <v>420</v>
      </c>
      <c r="C13" s="72"/>
      <c r="D13" s="72"/>
      <c r="E13" s="72"/>
      <c r="F13" s="72"/>
      <c r="G13" s="72"/>
      <c r="H13" s="72"/>
      <c r="I13" s="72"/>
      <c r="J13" s="72"/>
      <c r="K13" s="72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L13" s="72">
        <v>100000</v>
      </c>
      <c r="M13" s="72">
        <f>M12+Table1181920231030313235383940414810[[#This Row],[اجمالي الفاتوره]]-Table1181920231030313235383940414810[[#This Row],[الدفعات]]</f>
        <v>143096.20999999996</v>
      </c>
      <c r="N13" s="1">
        <f>SUM(K:K)-SUM(L:L)+M2</f>
        <v>311103.97999999986</v>
      </c>
      <c r="O13" s="48">
        <f>SUM(H:H)</f>
        <v>0</v>
      </c>
    </row>
    <row r="14" spans="1:15" ht="26.25" customHeight="1" x14ac:dyDescent="0.3">
      <c r="A14" s="41">
        <v>9</v>
      </c>
      <c r="B14" s="45">
        <v>46119</v>
      </c>
      <c r="C14" s="1" t="s">
        <v>429</v>
      </c>
      <c r="D14" s="1" t="s">
        <v>162</v>
      </c>
      <c r="E14" s="41">
        <v>23</v>
      </c>
      <c r="F14" s="1" t="s">
        <v>121</v>
      </c>
      <c r="G14" s="41">
        <v>20500</v>
      </c>
      <c r="H14" s="41"/>
      <c r="I14" s="41"/>
      <c r="J14" s="41">
        <f>100+1100+1200+200+415.78</f>
        <v>3015.7799999999997</v>
      </c>
      <c r="K14" s="4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23515.78</v>
      </c>
      <c r="L14" s="41"/>
      <c r="M14" s="1">
        <f>M13+Table1181920231030313235383940414810[[#This Row],[اجمالي الفاتوره]]-Table1181920231030313235383940414810[[#This Row],[الدفعات]]</f>
        <v>166611.98999999996</v>
      </c>
      <c r="N14" s="41"/>
      <c r="O14" s="48"/>
    </row>
    <row r="15" spans="1:15" ht="26.25" customHeight="1" x14ac:dyDescent="0.3">
      <c r="A15" s="72"/>
      <c r="B15" s="73">
        <v>46135</v>
      </c>
      <c r="C15" s="72"/>
      <c r="D15" s="72"/>
      <c r="E15" s="72"/>
      <c r="F15" s="72"/>
      <c r="G15" s="72"/>
      <c r="H15" s="72"/>
      <c r="I15" s="72"/>
      <c r="J15" s="72"/>
      <c r="K15" s="72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L15" s="72">
        <v>166611</v>
      </c>
      <c r="M15" s="72">
        <f>M14+Table1181920231030313235383940414810[[#This Row],[اجمالي الفاتوره]]-Table1181920231030313235383940414810[[#This Row],[الدفعات]]</f>
        <v>0.98999999996158294</v>
      </c>
      <c r="O15" s="48"/>
    </row>
    <row r="16" spans="1:15" ht="26.25" customHeight="1" x14ac:dyDescent="0.3">
      <c r="A16" s="1">
        <v>10</v>
      </c>
      <c r="B16" s="2">
        <v>46137</v>
      </c>
      <c r="C16" s="1" t="s">
        <v>481</v>
      </c>
      <c r="D16" s="1" t="s">
        <v>118</v>
      </c>
      <c r="E16" s="1">
        <v>904287</v>
      </c>
      <c r="F16" s="1" t="s">
        <v>143</v>
      </c>
      <c r="G16" s="1">
        <v>17000</v>
      </c>
      <c r="J16" s="1">
        <f>3000+3500*2+8500+17000*2+5*1000+850+1130+869.38+45.15+399+350+39.9</f>
        <v>61183.43</v>
      </c>
      <c r="K1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78183.429999999993</v>
      </c>
      <c r="M16" s="1">
        <f>M15+Table1181920231030313235383940414810[[#This Row],[اجمالي الفاتوره]]-Table1181920231030313235383940414810[[#This Row],[الدفعات]]</f>
        <v>78184.419999999955</v>
      </c>
      <c r="O16" s="48"/>
    </row>
    <row r="17" spans="1:15" ht="26.25" customHeight="1" x14ac:dyDescent="0.3">
      <c r="A17" s="1">
        <v>11</v>
      </c>
      <c r="B17" s="2">
        <v>46145</v>
      </c>
      <c r="C17" s="1" t="s">
        <v>517</v>
      </c>
      <c r="D17" s="1" t="s">
        <v>96</v>
      </c>
      <c r="E17" s="1">
        <v>911076</v>
      </c>
      <c r="F17" s="1" t="s">
        <v>143</v>
      </c>
      <c r="G17" s="1">
        <v>17500</v>
      </c>
      <c r="J17" s="1">
        <f>210+1130+427.09+150+1539+350+399+3500</f>
        <v>7705.09</v>
      </c>
      <c r="K1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25205.09</v>
      </c>
      <c r="M17" s="1">
        <f>M16+Table1181920231030313235383940414810[[#This Row],[اجمالي الفاتوره]]-Table1181920231030313235383940414810[[#This Row],[الدفعات]]</f>
        <v>103389.50999999995</v>
      </c>
      <c r="O17" s="48"/>
    </row>
    <row r="18" spans="1:15" ht="26.25" customHeight="1" x14ac:dyDescent="0.3">
      <c r="A18" s="1">
        <v>12</v>
      </c>
      <c r="B18" s="2">
        <v>46145</v>
      </c>
      <c r="C18" s="1" t="s">
        <v>517</v>
      </c>
      <c r="D18" s="1" t="s">
        <v>96</v>
      </c>
      <c r="E18" s="1">
        <v>910721</v>
      </c>
      <c r="F18" s="1" t="s">
        <v>143</v>
      </c>
      <c r="G18" s="1">
        <v>17500</v>
      </c>
      <c r="J18" s="1">
        <f>210+1130+427.09+150+50+1140+350+399+3500</f>
        <v>7356.09</v>
      </c>
      <c r="K1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24856.09</v>
      </c>
      <c r="M18" s="1">
        <f>M17+Table1181920231030313235383940414810[[#This Row],[اجمالي الفاتوره]]-Table1181920231030313235383940414810[[#This Row],[الدفعات]]</f>
        <v>128245.59999999995</v>
      </c>
      <c r="O18" s="48"/>
    </row>
    <row r="19" spans="1:15" ht="26.25" customHeight="1" x14ac:dyDescent="0.3">
      <c r="A19" s="41">
        <v>13</v>
      </c>
      <c r="B19" s="45">
        <v>46145</v>
      </c>
      <c r="C19" s="1" t="s">
        <v>518</v>
      </c>
      <c r="D19" s="1" t="s">
        <v>195</v>
      </c>
      <c r="E19" s="41">
        <v>1089</v>
      </c>
      <c r="F19" s="1" t="s">
        <v>266</v>
      </c>
      <c r="G19" s="41">
        <f>11000*6</f>
        <v>66000</v>
      </c>
      <c r="H19" s="41"/>
      <c r="I19" s="41"/>
      <c r="J19" s="41">
        <f>5*1150+1270+413.41+399.64+403.08+365.21+1402.99+365.21+2400+16800+4200+1768+39454+700</f>
        <v>75691.540000000008</v>
      </c>
      <c r="K19" s="4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141691.54</v>
      </c>
      <c r="L19" s="41"/>
      <c r="M19" s="1">
        <f>M18+Table1181920231030313235383940414810[[#This Row],[اجمالي الفاتوره]]-Table1181920231030313235383940414810[[#This Row],[الدفعات]]</f>
        <v>269937.13999999996</v>
      </c>
      <c r="N19" s="41"/>
      <c r="O19" s="48"/>
    </row>
    <row r="20" spans="1:15" ht="26.25" customHeight="1" x14ac:dyDescent="0.3">
      <c r="A20" s="1">
        <v>14</v>
      </c>
      <c r="B20" s="2">
        <v>46154</v>
      </c>
      <c r="C20" s="1" t="s">
        <v>544</v>
      </c>
      <c r="D20" s="1" t="s">
        <v>94</v>
      </c>
      <c r="E20" s="1" t="s">
        <v>545</v>
      </c>
      <c r="F20" s="1" t="s">
        <v>272</v>
      </c>
      <c r="G20" s="1">
        <f>20000*2+3500*2</f>
        <v>47000</v>
      </c>
      <c r="J20" s="1">
        <f>1200+1995*2+4200</f>
        <v>9390</v>
      </c>
      <c r="K2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56390</v>
      </c>
      <c r="M20" s="1">
        <f>M19+Table1181920231030313235383940414810[[#This Row],[اجمالي الفاتوره]]-Table1181920231030313235383940414810[[#This Row],[الدفعات]]</f>
        <v>326327.13999999996</v>
      </c>
      <c r="O20" s="48"/>
    </row>
    <row r="21" spans="1:15" ht="26.25" customHeight="1" x14ac:dyDescent="0.3">
      <c r="A21" s="72"/>
      <c r="B21" s="73">
        <v>46166</v>
      </c>
      <c r="C21" s="72"/>
      <c r="D21" s="72"/>
      <c r="E21" s="72"/>
      <c r="F21" s="72"/>
      <c r="G21" s="72"/>
      <c r="H21" s="72"/>
      <c r="I21" s="72"/>
      <c r="J21" s="72"/>
      <c r="K21" s="72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L21" s="72">
        <v>200000</v>
      </c>
      <c r="M21" s="72">
        <f>M20+Table1181920231030313235383940414810[[#This Row],[اجمالي الفاتوره]]-Table1181920231030313235383940414810[[#This Row],[الدفعات]]</f>
        <v>126327.13999999996</v>
      </c>
      <c r="O21" s="48"/>
    </row>
    <row r="22" spans="1:15" ht="26.25" customHeight="1" x14ac:dyDescent="0.3">
      <c r="A22" s="1">
        <v>15</v>
      </c>
      <c r="B22" s="2">
        <v>46181</v>
      </c>
      <c r="C22" s="1" t="s">
        <v>517</v>
      </c>
      <c r="D22" s="1" t="s">
        <v>96</v>
      </c>
      <c r="E22" s="1">
        <v>271643374</v>
      </c>
      <c r="F22" s="1" t="s">
        <v>143</v>
      </c>
      <c r="G22" s="1">
        <v>17500</v>
      </c>
      <c r="J22" s="1">
        <f>850+210+1100+466.92+200+1896.96+950+5826+350+399+3500</f>
        <v>15748.880000000001</v>
      </c>
      <c r="K2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33248.880000000005</v>
      </c>
      <c r="M22" s="1">
        <f>M21+Table1181920231030313235383940414810[[#This Row],[اجمالي الفاتوره]]-Table1181920231030313235383940414810[[#This Row],[الدفعات]]</f>
        <v>159576.01999999996</v>
      </c>
      <c r="O22" s="48"/>
    </row>
    <row r="23" spans="1:15" ht="26.25" customHeight="1" x14ac:dyDescent="0.3">
      <c r="A23" s="1">
        <v>16</v>
      </c>
      <c r="B23" s="2">
        <v>46195</v>
      </c>
      <c r="C23" s="1" t="s">
        <v>628</v>
      </c>
      <c r="D23" s="1" t="s">
        <v>211</v>
      </c>
      <c r="E23" s="1">
        <v>6504600060</v>
      </c>
      <c r="F23" s="1" t="s">
        <v>92</v>
      </c>
      <c r="G23" s="1">
        <f>15800*2</f>
        <v>31600</v>
      </c>
      <c r="J23" s="1">
        <f>850+1070*2+822.46+761.07+2679+684+2*500</f>
        <v>8936.5299999999988</v>
      </c>
      <c r="K2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40536.53</v>
      </c>
      <c r="M23" s="1">
        <f>M22+Table1181920231030313235383940414810[[#This Row],[اجمالي الفاتوره]]-Table1181920231030313235383940414810[[#This Row],[الدفعات]]</f>
        <v>200112.54999999996</v>
      </c>
      <c r="O23" s="48"/>
    </row>
    <row r="24" spans="1:15" ht="26.25" customHeight="1" x14ac:dyDescent="0.3">
      <c r="A24" s="1">
        <v>17</v>
      </c>
      <c r="B24" s="2">
        <v>46195</v>
      </c>
      <c r="C24" s="1" t="s">
        <v>210</v>
      </c>
      <c r="D24" s="1" t="s">
        <v>211</v>
      </c>
      <c r="E24" s="1">
        <v>6504912340</v>
      </c>
      <c r="F24" s="1" t="s">
        <v>92</v>
      </c>
      <c r="G24" s="1">
        <f>15800*2</f>
        <v>31600</v>
      </c>
      <c r="J24" s="1">
        <f>810+1100*2+435.57+459.41+2679+684+2*500</f>
        <v>8267.98</v>
      </c>
      <c r="K2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39867.979999999996</v>
      </c>
      <c r="M24" s="1">
        <f>M23+Table1181920231030313235383940414810[[#This Row],[اجمالي الفاتوره]]-Table1181920231030313235383940414810[[#This Row],[الدفعات]]</f>
        <v>239980.52999999997</v>
      </c>
      <c r="O24" s="48"/>
    </row>
    <row r="25" spans="1:15" ht="26.25" customHeight="1" x14ac:dyDescent="0.3">
      <c r="A25" s="1">
        <v>18</v>
      </c>
      <c r="B25" s="2">
        <v>46195</v>
      </c>
      <c r="C25" s="1" t="s">
        <v>210</v>
      </c>
      <c r="D25" s="1" t="s">
        <v>211</v>
      </c>
      <c r="E25" s="1">
        <v>6505237750</v>
      </c>
      <c r="F25" s="1" t="s">
        <v>158</v>
      </c>
      <c r="G25" s="1">
        <f>15800*3</f>
        <v>47400</v>
      </c>
      <c r="J25" s="1">
        <f>1100*2+1070+862.19+469.5+764.68+4018.5+1026+3*500</f>
        <v>11910.87</v>
      </c>
      <c r="K2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59310.87</v>
      </c>
      <c r="M25" s="1">
        <f>M24+Table1181920231030313235383940414810[[#This Row],[اجمالي الفاتوره]]-Table1181920231030313235383940414810[[#This Row],[الدفعات]]</f>
        <v>299291.39999999997</v>
      </c>
      <c r="O25" s="48"/>
    </row>
    <row r="26" spans="1:15" ht="26.25" customHeight="1" x14ac:dyDescent="0.3">
      <c r="A26" s="1">
        <v>19</v>
      </c>
      <c r="B26" s="2">
        <v>46195</v>
      </c>
      <c r="C26" s="1" t="s">
        <v>628</v>
      </c>
      <c r="D26" s="1" t="s">
        <v>211</v>
      </c>
      <c r="E26" s="1">
        <v>6505101180</v>
      </c>
      <c r="F26" s="1" t="s">
        <v>121</v>
      </c>
      <c r="G26" s="1">
        <v>15800</v>
      </c>
      <c r="J26" s="1">
        <f>850+1070+492.36+1339.5+342+500</f>
        <v>4593.8600000000006</v>
      </c>
      <c r="K2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20393.86</v>
      </c>
      <c r="M26" s="1">
        <f>M25+Table1181920231030313235383940414810[[#This Row],[اجمالي الفاتوره]]-Table1181920231030313235383940414810[[#This Row],[الدفعات]]</f>
        <v>319685.25999999995</v>
      </c>
      <c r="O26" s="48"/>
    </row>
    <row r="27" spans="1:15" ht="26.25" customHeight="1" x14ac:dyDescent="0.3">
      <c r="A27" s="1">
        <v>20</v>
      </c>
      <c r="B27" s="2">
        <v>46195</v>
      </c>
      <c r="C27" s="1" t="s">
        <v>628</v>
      </c>
      <c r="D27" s="1" t="s">
        <v>211</v>
      </c>
      <c r="E27" s="1">
        <v>6504777850</v>
      </c>
      <c r="F27" s="1" t="s">
        <v>121</v>
      </c>
      <c r="G27" s="1">
        <v>15800</v>
      </c>
      <c r="J27" s="1">
        <f>1070+685.24+3334.5+1026+500</f>
        <v>6615.74</v>
      </c>
      <c r="K2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22415.739999999998</v>
      </c>
      <c r="M27" s="1">
        <f>M26+Table1181920231030313235383940414810[[#This Row],[اجمالي الفاتوره]]-Table1181920231030313235383940414810[[#This Row],[الدفعات]]</f>
        <v>342100.99999999994</v>
      </c>
      <c r="O27" s="48"/>
    </row>
    <row r="28" spans="1:15" ht="26.25" customHeight="1" x14ac:dyDescent="0.3">
      <c r="A28" s="72"/>
      <c r="B28" s="73">
        <v>46204</v>
      </c>
      <c r="C28" s="72"/>
      <c r="D28" s="72"/>
      <c r="E28" s="72"/>
      <c r="F28" s="72"/>
      <c r="G28" s="72"/>
      <c r="H28" s="72"/>
      <c r="I28" s="72"/>
      <c r="J28" s="72"/>
      <c r="K28" s="72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L28" s="72">
        <v>50000</v>
      </c>
      <c r="M28" s="72">
        <f>M27+Table1181920231030313235383940414810[[#This Row],[اجمالي الفاتوره]]-Table1181920231030313235383940414810[[#This Row],[الدفعات]]</f>
        <v>292100.99999999994</v>
      </c>
      <c r="O28" s="48"/>
    </row>
    <row r="29" spans="1:15" ht="26.25" customHeight="1" x14ac:dyDescent="0.3">
      <c r="A29" s="1">
        <v>21</v>
      </c>
      <c r="B29" s="2">
        <v>46208</v>
      </c>
      <c r="C29" s="1" t="s">
        <v>628</v>
      </c>
      <c r="D29" s="1" t="s">
        <v>211</v>
      </c>
      <c r="E29" s="1">
        <v>935578</v>
      </c>
      <c r="F29" s="1" t="s">
        <v>121</v>
      </c>
      <c r="G29" s="1">
        <v>15800</v>
      </c>
      <c r="J29" s="1">
        <f>1100+477.98+1140+200+285</f>
        <v>3202.98</v>
      </c>
      <c r="K2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19002.98</v>
      </c>
      <c r="M29" s="1">
        <f>M28+Table1181920231030313235383940414810[[#This Row],[اجمالي الفاتوره]]-Table1181920231030313235383940414810[[#This Row],[الدفعات]]</f>
        <v>311103.97999999992</v>
      </c>
      <c r="O29" s="48"/>
    </row>
    <row r="30" spans="1:15" ht="26.25" customHeight="1" x14ac:dyDescent="0.3">
      <c r="B30" s="2"/>
      <c r="K3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0" s="1">
        <f>M29+Table1181920231030313235383940414810[[#This Row],[اجمالي الفاتوره]]-Table1181920231030313235383940414810[[#This Row],[الدفعات]]</f>
        <v>311103.97999999992</v>
      </c>
      <c r="O30" s="48"/>
    </row>
    <row r="31" spans="1:15" ht="26.25" customHeight="1" x14ac:dyDescent="0.3">
      <c r="B31" s="2"/>
      <c r="K3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1" s="1">
        <f>M30+Table1181920231030313235383940414810[[#This Row],[اجمالي الفاتوره]]-Table1181920231030313235383940414810[[#This Row],[الدفعات]]</f>
        <v>311103.97999999992</v>
      </c>
      <c r="O31" s="48"/>
    </row>
    <row r="32" spans="1:15" ht="26.25" customHeight="1" x14ac:dyDescent="0.3">
      <c r="B32" s="2"/>
      <c r="K3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2" s="1">
        <f>M31+Table1181920231030313235383940414810[[#This Row],[اجمالي الفاتوره]]-Table1181920231030313235383940414810[[#This Row],[الدفعات]]</f>
        <v>311103.97999999992</v>
      </c>
      <c r="O32" s="48"/>
    </row>
    <row r="33" spans="1:15" ht="26.25" customHeight="1" x14ac:dyDescent="0.3">
      <c r="A33" s="41"/>
      <c r="B33" s="45"/>
      <c r="C33" s="41"/>
      <c r="D33" s="41"/>
      <c r="E33" s="41"/>
      <c r="F33" s="41"/>
      <c r="G33" s="41"/>
      <c r="H33" s="41"/>
      <c r="I33" s="41"/>
      <c r="J33" s="41"/>
      <c r="K33" s="4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L33" s="41"/>
      <c r="M33" s="1">
        <f>M32+Table1181920231030313235383940414810[[#This Row],[اجمالي الفاتوره]]-Table1181920231030313235383940414810[[#This Row],[الدفعات]]</f>
        <v>311103.97999999992</v>
      </c>
      <c r="N33" s="41"/>
      <c r="O33" s="48"/>
    </row>
    <row r="34" spans="1:15" ht="26.25" customHeight="1" x14ac:dyDescent="0.3">
      <c r="B34" s="2"/>
      <c r="K3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4" s="1">
        <f>M33+Table1181920231030313235383940414810[[#This Row],[اجمالي الفاتوره]]-Table1181920231030313235383940414810[[#This Row],[الدفعات]]</f>
        <v>311103.97999999992</v>
      </c>
      <c r="O34" s="48"/>
    </row>
    <row r="35" spans="1:15" ht="26.25" customHeight="1" x14ac:dyDescent="0.3">
      <c r="B35" s="2"/>
      <c r="K3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5" s="1">
        <f>M34+Table1181920231030313235383940414810[[#This Row],[اجمالي الفاتوره]]-Table1181920231030313235383940414810[[#This Row],[الدفعات]]</f>
        <v>311103.97999999992</v>
      </c>
      <c r="O35" s="48"/>
    </row>
    <row r="36" spans="1:15" ht="26.25" customHeight="1" x14ac:dyDescent="0.3">
      <c r="B36" s="2"/>
      <c r="K3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6" s="1">
        <f>M35+Table1181920231030313235383940414810[[#This Row],[اجمالي الفاتوره]]-Table1181920231030313235383940414810[[#This Row],[الدفعات]]</f>
        <v>311103.97999999992</v>
      </c>
      <c r="O36" s="48"/>
    </row>
    <row r="37" spans="1:15" ht="26.25" customHeight="1" x14ac:dyDescent="0.3">
      <c r="B37" s="2"/>
      <c r="K3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7" s="1">
        <f>M36+Table1181920231030313235383940414810[[#This Row],[اجمالي الفاتوره]]-Table1181920231030313235383940414810[[#This Row],[الدفعات]]</f>
        <v>311103.97999999992</v>
      </c>
      <c r="O37" s="48"/>
    </row>
    <row r="38" spans="1:15" ht="26.25" customHeight="1" x14ac:dyDescent="0.3">
      <c r="B38" s="2"/>
      <c r="C38" s="2"/>
      <c r="K3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8" s="1">
        <f>M37+Table1181920231030313235383940414810[[#This Row],[اجمالي الفاتوره]]-Table1181920231030313235383940414810[[#This Row],[الدفعات]]</f>
        <v>311103.97999999992</v>
      </c>
      <c r="O38" s="48"/>
    </row>
    <row r="39" spans="1:15" ht="26.25" customHeight="1" x14ac:dyDescent="0.3">
      <c r="B39" s="2"/>
      <c r="K3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9" s="1">
        <f>M38+Table1181920231030313235383940414810[[#This Row],[اجمالي الفاتوره]]-Table1181920231030313235383940414810[[#This Row],[الدفعات]]</f>
        <v>311103.97999999992</v>
      </c>
      <c r="O39" s="48"/>
    </row>
    <row r="40" spans="1:15" ht="26.25" customHeight="1" x14ac:dyDescent="0.3">
      <c r="B40" s="2"/>
      <c r="K4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40" s="1">
        <f>M39+Table1181920231030313235383940414810[[#This Row],[اجمالي الفاتوره]]-Table1181920231030313235383940414810[[#This Row],[الدفعات]]</f>
        <v>311103.97999999992</v>
      </c>
      <c r="O40" s="48"/>
    </row>
    <row r="41" spans="1:15" ht="26.25" customHeight="1" x14ac:dyDescent="0.3">
      <c r="B41" s="2"/>
      <c r="K4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41" s="1">
        <f>M40+Table1181920231030313235383940414810[[#This Row],[اجمالي الفاتوره]]-Table1181920231030313235383940414810[[#This Row],[الدفعات]]</f>
        <v>311103.97999999992</v>
      </c>
      <c r="O41" s="48"/>
    </row>
    <row r="42" spans="1:15" ht="26.25" customHeight="1" x14ac:dyDescent="0.3">
      <c r="B42" s="2"/>
      <c r="K4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42" s="1">
        <f>M41+Table1181920231030313235383940414810[[#This Row],[اجمالي الفاتوره]]-Table1181920231030313235383940414810[[#This Row],[الدفعات]]</f>
        <v>311103.97999999992</v>
      </c>
      <c r="O42" s="48"/>
    </row>
    <row r="43" spans="1:15" ht="26.25" customHeight="1" x14ac:dyDescent="0.3">
      <c r="B43" s="2"/>
      <c r="K4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43" s="1">
        <f>M42+Table1181920231030313235383940414810[[#This Row],[اجمالي الفاتوره]]-Table1181920231030313235383940414810[[#This Row],[الدفعات]]</f>
        <v>311103.97999999992</v>
      </c>
      <c r="O43" s="48"/>
    </row>
    <row r="44" spans="1:15" ht="26.25" customHeight="1" x14ac:dyDescent="0.3">
      <c r="B44" s="2"/>
      <c r="K4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44" s="1">
        <f>M43+Table1181920231030313235383940414810[[#This Row],[اجمالي الفاتوره]]-Table1181920231030313235383940414810[[#This Row],[الدفعات]]</f>
        <v>311103.97999999992</v>
      </c>
      <c r="O44" s="48"/>
    </row>
    <row r="45" spans="1:15" ht="26.25" customHeight="1" x14ac:dyDescent="0.3">
      <c r="B45" s="2"/>
      <c r="K4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45" s="1">
        <f>M44+Table1181920231030313235383940414810[[#This Row],[اجمالي الفاتوره]]-Table1181920231030313235383940414810[[#This Row],[الدفعات]]</f>
        <v>311103.97999999992</v>
      </c>
      <c r="O45" s="48"/>
    </row>
    <row r="46" spans="1:15" ht="26.25" customHeight="1" x14ac:dyDescent="0.3">
      <c r="A46" s="48"/>
      <c r="B46" s="54"/>
      <c r="C46" s="48"/>
      <c r="D46" s="48"/>
      <c r="E46" s="48"/>
      <c r="F46" s="48"/>
      <c r="G46" s="48"/>
      <c r="H46" s="48"/>
      <c r="I46" s="48"/>
      <c r="J46" s="48"/>
      <c r="K46" s="48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L46" s="48"/>
      <c r="M46" s="1">
        <f>M45+Table1181920231030313235383940414810[[#This Row],[اجمالي الفاتوره]]-Table1181920231030313235383940414810[[#This Row],[الدفعات]]</f>
        <v>311103.97999999992</v>
      </c>
      <c r="N46" s="48"/>
      <c r="O46" s="48"/>
    </row>
    <row r="47" spans="1:15" ht="26.25" customHeight="1" x14ac:dyDescent="0.3">
      <c r="A47" s="48"/>
      <c r="B47" s="54"/>
      <c r="C47" s="48"/>
      <c r="D47" s="48"/>
      <c r="E47" s="48"/>
      <c r="F47" s="48"/>
      <c r="G47" s="48"/>
      <c r="H47" s="48"/>
      <c r="I47" s="48"/>
      <c r="J47" s="48"/>
      <c r="K47" s="48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L47" s="48"/>
      <c r="M47" s="1">
        <f>M46+Table1181920231030313235383940414810[[#This Row],[اجمالي الفاتوره]]-Table1181920231030313235383940414810[[#This Row],[الدفعات]]</f>
        <v>311103.97999999992</v>
      </c>
      <c r="N47" s="48"/>
      <c r="O47" s="48"/>
    </row>
    <row r="48" spans="1:15" ht="26.25" customHeight="1" x14ac:dyDescent="0.3">
      <c r="B48" s="2"/>
      <c r="K4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48" s="1">
        <f>M47+Table1181920231030313235383940414810[[#This Row],[اجمالي الفاتوره]]-Table1181920231030313235383940414810[[#This Row],[الدفعات]]</f>
        <v>311103.97999999992</v>
      </c>
      <c r="O48" s="48"/>
    </row>
    <row r="49" spans="2:15" ht="26.25" customHeight="1" x14ac:dyDescent="0.3">
      <c r="B49" s="2"/>
      <c r="E49" s="47"/>
      <c r="K4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49" s="1">
        <f>M48+Table1181920231030313235383940414810[[#This Row],[اجمالي الفاتوره]]-Table1181920231030313235383940414810[[#This Row],[الدفعات]]</f>
        <v>311103.97999999992</v>
      </c>
      <c r="O49" s="48"/>
    </row>
    <row r="50" spans="2:15" ht="26.25" customHeight="1" x14ac:dyDescent="0.3">
      <c r="B50" s="2"/>
      <c r="K5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50" s="1">
        <f>M49+Table1181920231030313235383940414810[[#This Row],[اجمالي الفاتوره]]-Table1181920231030313235383940414810[[#This Row],[الدفعات]]</f>
        <v>311103.97999999992</v>
      </c>
      <c r="O50" s="48"/>
    </row>
    <row r="51" spans="2:15" ht="26.25" customHeight="1" x14ac:dyDescent="0.3">
      <c r="B51" s="2"/>
      <c r="K5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51" s="1">
        <f>M50+Table1181920231030313235383940414810[[#This Row],[اجمالي الفاتوره]]-Table1181920231030313235383940414810[[#This Row],[الدفعات]]</f>
        <v>311103.97999999992</v>
      </c>
      <c r="O51" s="48"/>
    </row>
    <row r="52" spans="2:15" ht="26.25" customHeight="1" x14ac:dyDescent="0.3">
      <c r="B52" s="2"/>
      <c r="K5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52" s="1">
        <f>M51+Table1181920231030313235383940414810[[#This Row],[اجمالي الفاتوره]]-Table1181920231030313235383940414810[[#This Row],[الدفعات]]</f>
        <v>311103.97999999992</v>
      </c>
      <c r="O52" s="48"/>
    </row>
    <row r="53" spans="2:15" ht="26.25" customHeight="1" x14ac:dyDescent="0.3">
      <c r="B53" s="2"/>
      <c r="K5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53" s="1">
        <f>M52+Table1181920231030313235383940414810[[#This Row],[اجمالي الفاتوره]]-Table1181920231030313235383940414810[[#This Row],[الدفعات]]</f>
        <v>311103.97999999992</v>
      </c>
      <c r="O53" s="48"/>
    </row>
    <row r="54" spans="2:15" ht="26.25" customHeight="1" x14ac:dyDescent="0.3">
      <c r="B54" s="2"/>
      <c r="K5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54" s="1">
        <f>M53+Table1181920231030313235383940414810[[#This Row],[اجمالي الفاتوره]]-Table1181920231030313235383940414810[[#This Row],[الدفعات]]</f>
        <v>311103.97999999992</v>
      </c>
      <c r="O54" s="48"/>
    </row>
    <row r="55" spans="2:15" ht="26.25" customHeight="1" x14ac:dyDescent="0.3">
      <c r="B55" s="2"/>
      <c r="K5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55" s="1">
        <f>M54+Table1181920231030313235383940414810[[#This Row],[اجمالي الفاتوره]]-Table1181920231030313235383940414810[[#This Row],[الدفعات]]</f>
        <v>311103.97999999992</v>
      </c>
      <c r="O55" s="48"/>
    </row>
    <row r="56" spans="2:15" ht="26.25" customHeight="1" x14ac:dyDescent="0.3">
      <c r="B56" s="2"/>
      <c r="K5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56" s="1">
        <f>M55+Table1181920231030313235383940414810[[#This Row],[اجمالي الفاتوره]]-Table1181920231030313235383940414810[[#This Row],[الدفعات]]</f>
        <v>311103.97999999992</v>
      </c>
      <c r="O56" s="48"/>
    </row>
    <row r="57" spans="2:15" ht="26.25" customHeight="1" x14ac:dyDescent="0.3">
      <c r="B57" s="2"/>
      <c r="K5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57" s="1">
        <f>M56+Table1181920231030313235383940414810[[#This Row],[اجمالي الفاتوره]]-Table1181920231030313235383940414810[[#This Row],[الدفعات]]</f>
        <v>311103.97999999992</v>
      </c>
      <c r="O57" s="48"/>
    </row>
    <row r="58" spans="2:15" ht="26.25" customHeight="1" x14ac:dyDescent="0.3">
      <c r="B58" s="2"/>
      <c r="K5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58" s="1">
        <f>M57+Table1181920231030313235383940414810[[#This Row],[اجمالي الفاتوره]]-Table1181920231030313235383940414810[[#This Row],[الدفعات]]</f>
        <v>311103.97999999992</v>
      </c>
      <c r="O58" s="48"/>
    </row>
    <row r="59" spans="2:15" ht="26.25" customHeight="1" x14ac:dyDescent="0.3">
      <c r="B59" s="2"/>
      <c r="K5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59" s="1">
        <f>M58+Table1181920231030313235383940414810[[#This Row],[اجمالي الفاتوره]]-Table1181920231030313235383940414810[[#This Row],[الدفعات]]</f>
        <v>311103.97999999992</v>
      </c>
      <c r="O59" s="48"/>
    </row>
    <row r="60" spans="2:15" ht="26.25" customHeight="1" x14ac:dyDescent="0.3">
      <c r="B60" s="2"/>
      <c r="K6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60" s="1">
        <f>M59+Table1181920231030313235383940414810[[#This Row],[اجمالي الفاتوره]]-Table1181920231030313235383940414810[[#This Row],[الدفعات]]</f>
        <v>311103.97999999992</v>
      </c>
      <c r="O60" s="48"/>
    </row>
    <row r="61" spans="2:15" ht="26.25" customHeight="1" x14ac:dyDescent="0.3">
      <c r="B61" s="2"/>
      <c r="K6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61" s="1">
        <f>M60+Table1181920231030313235383940414810[[#This Row],[اجمالي الفاتوره]]-Table1181920231030313235383940414810[[#This Row],[الدفعات]]</f>
        <v>311103.97999999992</v>
      </c>
      <c r="O61" s="48"/>
    </row>
    <row r="62" spans="2:15" ht="26.25" customHeight="1" x14ac:dyDescent="0.3">
      <c r="B62" s="2"/>
      <c r="K6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62" s="1">
        <f>M61+Table1181920231030313235383940414810[[#This Row],[اجمالي الفاتوره]]-Table1181920231030313235383940414810[[#This Row],[الدفعات]]</f>
        <v>311103.97999999992</v>
      </c>
      <c r="O62" s="48"/>
    </row>
    <row r="63" spans="2:15" ht="26.25" customHeight="1" x14ac:dyDescent="0.3">
      <c r="B63" s="2"/>
      <c r="K6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63" s="1">
        <f>M62+Table1181920231030313235383940414810[[#This Row],[اجمالي الفاتوره]]-Table1181920231030313235383940414810[[#This Row],[الدفعات]]</f>
        <v>311103.97999999992</v>
      </c>
      <c r="O63" s="48"/>
    </row>
    <row r="64" spans="2:15" ht="26.25" customHeight="1" x14ac:dyDescent="0.3">
      <c r="B64" s="2"/>
      <c r="K6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64" s="1">
        <f>M63+Table1181920231030313235383940414810[[#This Row],[اجمالي الفاتوره]]-Table1181920231030313235383940414810[[#This Row],[الدفعات]]</f>
        <v>311103.97999999992</v>
      </c>
      <c r="O64" s="48"/>
    </row>
    <row r="65" spans="2:15" ht="26.25" customHeight="1" x14ac:dyDescent="0.3">
      <c r="B65" s="2"/>
      <c r="K6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65" s="1">
        <f>M64+Table1181920231030313235383940414810[[#This Row],[اجمالي الفاتوره]]-Table1181920231030313235383940414810[[#This Row],[الدفعات]]</f>
        <v>311103.97999999992</v>
      </c>
      <c r="O65" s="48"/>
    </row>
    <row r="66" spans="2:15" ht="26.25" customHeight="1" x14ac:dyDescent="0.3">
      <c r="B66" s="2"/>
      <c r="K6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66" s="1">
        <f>M65+Table1181920231030313235383940414810[[#This Row],[اجمالي الفاتوره]]-Table1181920231030313235383940414810[[#This Row],[الدفعات]]</f>
        <v>311103.97999999992</v>
      </c>
      <c r="O66" s="48"/>
    </row>
    <row r="67" spans="2:15" ht="26.25" customHeight="1" x14ac:dyDescent="0.3">
      <c r="K6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67" s="1">
        <f>M66+Table1181920231030313235383940414810[[#This Row],[اجمالي الفاتوره]]-Table1181920231030313235383940414810[[#This Row],[الدفعات]]</f>
        <v>311103.97999999992</v>
      </c>
      <c r="O67" s="48"/>
    </row>
    <row r="68" spans="2:15" ht="26.25" customHeight="1" x14ac:dyDescent="0.3">
      <c r="K6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68" s="1">
        <f>M67+Table1181920231030313235383940414810[[#This Row],[اجمالي الفاتوره]]-Table1181920231030313235383940414810[[#This Row],[الدفعات]]</f>
        <v>311103.97999999992</v>
      </c>
      <c r="O68" s="48"/>
    </row>
    <row r="69" spans="2:15" ht="26.25" customHeight="1" x14ac:dyDescent="0.3">
      <c r="K6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69" s="1">
        <f>M68+Table1181920231030313235383940414810[[#This Row],[اجمالي الفاتوره]]-Table1181920231030313235383940414810[[#This Row],[الدفعات]]</f>
        <v>311103.97999999992</v>
      </c>
      <c r="O69" s="48"/>
    </row>
    <row r="70" spans="2:15" ht="26.25" customHeight="1" x14ac:dyDescent="0.3">
      <c r="K7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70" s="1">
        <f>M69+Table1181920231030313235383940414810[[#This Row],[اجمالي الفاتوره]]-Table1181920231030313235383940414810[[#This Row],[الدفعات]]</f>
        <v>311103.97999999992</v>
      </c>
      <c r="O70" s="48"/>
    </row>
    <row r="71" spans="2:15" ht="26.25" customHeight="1" x14ac:dyDescent="0.3">
      <c r="K7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71" s="1">
        <f>M70+Table1181920231030313235383940414810[[#This Row],[اجمالي الفاتوره]]-Table1181920231030313235383940414810[[#This Row],[الدفعات]]</f>
        <v>311103.97999999992</v>
      </c>
      <c r="O71" s="48"/>
    </row>
    <row r="72" spans="2:15" ht="26.25" customHeight="1" x14ac:dyDescent="0.3">
      <c r="K7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72" s="1">
        <f>M71+Table1181920231030313235383940414810[[#This Row],[اجمالي الفاتوره]]-Table1181920231030313235383940414810[[#This Row],[الدفعات]]</f>
        <v>311103.97999999992</v>
      </c>
      <c r="O72" s="48"/>
    </row>
    <row r="73" spans="2:15" ht="26.25" customHeight="1" x14ac:dyDescent="0.3">
      <c r="K7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73" s="1">
        <f>M72+Table1181920231030313235383940414810[[#This Row],[اجمالي الفاتوره]]-Table1181920231030313235383940414810[[#This Row],[الدفعات]]</f>
        <v>311103.97999999992</v>
      </c>
      <c r="O73" s="48"/>
    </row>
    <row r="74" spans="2:15" ht="26.25" customHeight="1" x14ac:dyDescent="0.3">
      <c r="K7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74" s="1">
        <f>M73+Table1181920231030313235383940414810[[#This Row],[اجمالي الفاتوره]]-Table1181920231030313235383940414810[[#This Row],[الدفعات]]</f>
        <v>311103.97999999992</v>
      </c>
      <c r="O74" s="48"/>
    </row>
    <row r="75" spans="2:15" ht="26.25" customHeight="1" x14ac:dyDescent="0.3">
      <c r="K7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75" s="1">
        <f>M74+Table1181920231030313235383940414810[[#This Row],[اجمالي الفاتوره]]-Table1181920231030313235383940414810[[#This Row],[الدفعات]]</f>
        <v>311103.97999999992</v>
      </c>
      <c r="O75" s="48"/>
    </row>
    <row r="76" spans="2:15" ht="26.25" customHeight="1" x14ac:dyDescent="0.3">
      <c r="K7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76" s="1">
        <f>M75+Table1181920231030313235383940414810[[#This Row],[اجمالي الفاتوره]]-Table1181920231030313235383940414810[[#This Row],[الدفعات]]</f>
        <v>311103.97999999992</v>
      </c>
      <c r="O76" s="48"/>
    </row>
    <row r="77" spans="2:15" ht="26.25" customHeight="1" x14ac:dyDescent="0.3">
      <c r="K7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77" s="1">
        <f>M76+Table1181920231030313235383940414810[[#This Row],[اجمالي الفاتوره]]-Table1181920231030313235383940414810[[#This Row],[الدفعات]]</f>
        <v>311103.97999999992</v>
      </c>
      <c r="O77" s="48"/>
    </row>
    <row r="78" spans="2:15" ht="26.25" customHeight="1" x14ac:dyDescent="0.3">
      <c r="K7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78" s="1">
        <f>M77+Table1181920231030313235383940414810[[#This Row],[اجمالي الفاتوره]]-Table1181920231030313235383940414810[[#This Row],[الدفعات]]</f>
        <v>311103.97999999992</v>
      </c>
      <c r="O78" s="48"/>
    </row>
    <row r="79" spans="2:15" ht="26.25" customHeight="1" x14ac:dyDescent="0.3">
      <c r="K7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79" s="1">
        <f>M78+Table1181920231030313235383940414810[[#This Row],[اجمالي الفاتوره]]-Table1181920231030313235383940414810[[#This Row],[الدفعات]]</f>
        <v>311103.97999999992</v>
      </c>
      <c r="O79" s="48"/>
    </row>
    <row r="80" spans="2:15" ht="26.25" customHeight="1" x14ac:dyDescent="0.3">
      <c r="K8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80" s="1">
        <f>M79+Table1181920231030313235383940414810[[#This Row],[اجمالي الفاتوره]]-Table1181920231030313235383940414810[[#This Row],[الدفعات]]</f>
        <v>311103.97999999992</v>
      </c>
      <c r="O80" s="48"/>
    </row>
    <row r="81" spans="11:15" ht="26.25" customHeight="1" x14ac:dyDescent="0.3">
      <c r="K8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81" s="1">
        <f>M80+Table1181920231030313235383940414810[[#This Row],[اجمالي الفاتوره]]-Table1181920231030313235383940414810[[#This Row],[الدفعات]]</f>
        <v>311103.97999999992</v>
      </c>
      <c r="O81" s="48"/>
    </row>
    <row r="82" spans="11:15" ht="26.25" customHeight="1" x14ac:dyDescent="0.3">
      <c r="K8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82" s="1">
        <f>M81+Table1181920231030313235383940414810[[#This Row],[اجمالي الفاتوره]]-Table1181920231030313235383940414810[[#This Row],[الدفعات]]</f>
        <v>311103.97999999992</v>
      </c>
      <c r="O82" s="48"/>
    </row>
    <row r="83" spans="11:15" ht="26.25" customHeight="1" x14ac:dyDescent="0.3">
      <c r="K8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83" s="1">
        <f>M82+Table1181920231030313235383940414810[[#This Row],[اجمالي الفاتوره]]-Table1181920231030313235383940414810[[#This Row],[الدفعات]]</f>
        <v>311103.97999999992</v>
      </c>
      <c r="O83" s="48"/>
    </row>
    <row r="84" spans="11:15" ht="26.25" customHeight="1" x14ac:dyDescent="0.3">
      <c r="K8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84" s="1">
        <f>M83+Table1181920231030313235383940414810[[#This Row],[اجمالي الفاتوره]]-Table1181920231030313235383940414810[[#This Row],[الدفعات]]</f>
        <v>311103.97999999992</v>
      </c>
      <c r="O84" s="48"/>
    </row>
    <row r="85" spans="11:15" ht="26.25" customHeight="1" x14ac:dyDescent="0.3">
      <c r="K8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85" s="1">
        <f>M84+Table1181920231030313235383940414810[[#This Row],[اجمالي الفاتوره]]-Table1181920231030313235383940414810[[#This Row],[الدفعات]]</f>
        <v>311103.97999999992</v>
      </c>
      <c r="O85" s="48"/>
    </row>
    <row r="86" spans="11:15" ht="26.25" customHeight="1" x14ac:dyDescent="0.3">
      <c r="K8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86" s="1">
        <f>M85+Table1181920231030313235383940414810[[#This Row],[اجمالي الفاتوره]]-Table1181920231030313235383940414810[[#This Row],[الدفعات]]</f>
        <v>311103.97999999992</v>
      </c>
      <c r="O86" s="48"/>
    </row>
    <row r="87" spans="11:15" ht="26.25" customHeight="1" x14ac:dyDescent="0.3">
      <c r="K8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87" s="1">
        <f>M86+Table1181920231030313235383940414810[[#This Row],[اجمالي الفاتوره]]-Table1181920231030313235383940414810[[#This Row],[الدفعات]]</f>
        <v>311103.97999999992</v>
      </c>
      <c r="O87" s="48"/>
    </row>
    <row r="88" spans="11:15" ht="26.25" customHeight="1" x14ac:dyDescent="0.3">
      <c r="K8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88" s="1">
        <f>M87+Table1181920231030313235383940414810[[#This Row],[اجمالي الفاتوره]]-Table1181920231030313235383940414810[[#This Row],[الدفعات]]</f>
        <v>311103.97999999992</v>
      </c>
      <c r="O88" s="48"/>
    </row>
    <row r="89" spans="11:15" ht="26.25" customHeight="1" x14ac:dyDescent="0.3">
      <c r="K8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89" s="1">
        <f>M88+Table1181920231030313235383940414810[[#This Row],[اجمالي الفاتوره]]-Table1181920231030313235383940414810[[#This Row],[الدفعات]]</f>
        <v>311103.97999999992</v>
      </c>
      <c r="O89" s="48"/>
    </row>
    <row r="90" spans="11:15" ht="26.25" customHeight="1" x14ac:dyDescent="0.3">
      <c r="K9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90" s="1">
        <f>M89+Table1181920231030313235383940414810[[#This Row],[اجمالي الفاتوره]]-Table1181920231030313235383940414810[[#This Row],[الدفعات]]</f>
        <v>311103.97999999992</v>
      </c>
      <c r="O90" s="48"/>
    </row>
    <row r="91" spans="11:15" ht="26.25" customHeight="1" x14ac:dyDescent="0.3">
      <c r="K9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91" s="1">
        <f>M90+Table1181920231030313235383940414810[[#This Row],[اجمالي الفاتوره]]-Table1181920231030313235383940414810[[#This Row],[الدفعات]]</f>
        <v>311103.97999999992</v>
      </c>
      <c r="O91" s="48"/>
    </row>
    <row r="92" spans="11:15" ht="26.25" customHeight="1" x14ac:dyDescent="0.3">
      <c r="K9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92" s="1">
        <f>M91+Table1181920231030313235383940414810[[#This Row],[اجمالي الفاتوره]]-Table1181920231030313235383940414810[[#This Row],[الدفعات]]</f>
        <v>311103.97999999992</v>
      </c>
      <c r="O92" s="48"/>
    </row>
    <row r="93" spans="11:15" ht="26.25" customHeight="1" x14ac:dyDescent="0.3">
      <c r="K9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93" s="1">
        <f>M92+Table1181920231030313235383940414810[[#This Row],[اجمالي الفاتوره]]-Table1181920231030313235383940414810[[#This Row],[الدفعات]]</f>
        <v>311103.97999999992</v>
      </c>
      <c r="O93" s="48"/>
    </row>
    <row r="94" spans="11:15" ht="26.25" customHeight="1" x14ac:dyDescent="0.3">
      <c r="K9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94" s="1">
        <f>M93+Table1181920231030313235383940414810[[#This Row],[اجمالي الفاتوره]]-Table1181920231030313235383940414810[[#This Row],[الدفعات]]</f>
        <v>311103.97999999992</v>
      </c>
      <c r="O94" s="48"/>
    </row>
    <row r="95" spans="11:15" ht="26.25" customHeight="1" x14ac:dyDescent="0.3">
      <c r="K9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95" s="1">
        <f>M94+Table1181920231030313235383940414810[[#This Row],[اجمالي الفاتوره]]-Table1181920231030313235383940414810[[#This Row],[الدفعات]]</f>
        <v>311103.97999999992</v>
      </c>
      <c r="O95" s="48"/>
    </row>
    <row r="96" spans="11:15" ht="26.25" customHeight="1" x14ac:dyDescent="0.3">
      <c r="K9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96" s="1">
        <f>M95+Table1181920231030313235383940414810[[#This Row],[اجمالي الفاتوره]]-Table1181920231030313235383940414810[[#This Row],[الدفعات]]</f>
        <v>311103.97999999992</v>
      </c>
      <c r="O96" s="48"/>
    </row>
    <row r="97" spans="11:15" ht="26.25" customHeight="1" x14ac:dyDescent="0.3">
      <c r="K9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97" s="1">
        <f>M96+Table1181920231030313235383940414810[[#This Row],[اجمالي الفاتوره]]-Table1181920231030313235383940414810[[#This Row],[الدفعات]]</f>
        <v>311103.97999999992</v>
      </c>
      <c r="O97" s="48"/>
    </row>
    <row r="98" spans="11:15" ht="26.25" customHeight="1" x14ac:dyDescent="0.3">
      <c r="K9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98" s="1">
        <f>M97+Table1181920231030313235383940414810[[#This Row],[اجمالي الفاتوره]]-Table1181920231030313235383940414810[[#This Row],[الدفعات]]</f>
        <v>311103.97999999992</v>
      </c>
      <c r="O98" s="48"/>
    </row>
    <row r="99" spans="11:15" ht="26.25" customHeight="1" x14ac:dyDescent="0.3">
      <c r="K9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99" s="1">
        <f>M98+Table1181920231030313235383940414810[[#This Row],[اجمالي الفاتوره]]-Table1181920231030313235383940414810[[#This Row],[الدفعات]]</f>
        <v>311103.97999999992</v>
      </c>
      <c r="O99" s="48"/>
    </row>
    <row r="100" spans="11:15" ht="26.25" customHeight="1" x14ac:dyDescent="0.3">
      <c r="K10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00" s="1">
        <f>M99+Table1181920231030313235383940414810[[#This Row],[اجمالي الفاتوره]]-Table1181920231030313235383940414810[[#This Row],[الدفعات]]</f>
        <v>311103.97999999992</v>
      </c>
      <c r="O100" s="48"/>
    </row>
    <row r="101" spans="11:15" ht="26.25" customHeight="1" x14ac:dyDescent="0.3">
      <c r="K10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01" s="1">
        <f>M100+Table1181920231030313235383940414810[[#This Row],[اجمالي الفاتوره]]-Table1181920231030313235383940414810[[#This Row],[الدفعات]]</f>
        <v>311103.97999999992</v>
      </c>
      <c r="O101" s="48"/>
    </row>
    <row r="102" spans="11:15" ht="26.25" customHeight="1" x14ac:dyDescent="0.3">
      <c r="K10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02" s="1">
        <f>M101+Table1181920231030313235383940414810[[#This Row],[اجمالي الفاتوره]]-Table1181920231030313235383940414810[[#This Row],[الدفعات]]</f>
        <v>311103.97999999992</v>
      </c>
      <c r="O102" s="48"/>
    </row>
    <row r="103" spans="11:15" ht="26.25" customHeight="1" x14ac:dyDescent="0.3">
      <c r="K10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03" s="1">
        <f>M102+Table1181920231030313235383940414810[[#This Row],[اجمالي الفاتوره]]-Table1181920231030313235383940414810[[#This Row],[الدفعات]]</f>
        <v>311103.97999999992</v>
      </c>
      <c r="O103" s="48"/>
    </row>
    <row r="104" spans="11:15" ht="26.25" customHeight="1" x14ac:dyDescent="0.3">
      <c r="K10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04" s="1">
        <f>M103+Table1181920231030313235383940414810[[#This Row],[اجمالي الفاتوره]]-Table1181920231030313235383940414810[[#This Row],[الدفعات]]</f>
        <v>311103.97999999992</v>
      </c>
      <c r="O104" s="48"/>
    </row>
    <row r="105" spans="11:15" ht="26.25" customHeight="1" x14ac:dyDescent="0.3">
      <c r="K10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05" s="1">
        <f>M104+Table1181920231030313235383940414810[[#This Row],[اجمالي الفاتوره]]-Table1181920231030313235383940414810[[#This Row],[الدفعات]]</f>
        <v>311103.97999999992</v>
      </c>
      <c r="O105" s="48"/>
    </row>
    <row r="106" spans="11:15" ht="26.25" customHeight="1" x14ac:dyDescent="0.3">
      <c r="K10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06" s="1">
        <f>M105+Table1181920231030313235383940414810[[#This Row],[اجمالي الفاتوره]]-Table1181920231030313235383940414810[[#This Row],[الدفعات]]</f>
        <v>311103.97999999992</v>
      </c>
      <c r="O106" s="48"/>
    </row>
    <row r="107" spans="11:15" ht="26.25" customHeight="1" x14ac:dyDescent="0.3">
      <c r="K10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07" s="1">
        <f>M106+Table1181920231030313235383940414810[[#This Row],[اجمالي الفاتوره]]-Table1181920231030313235383940414810[[#This Row],[الدفعات]]</f>
        <v>311103.97999999992</v>
      </c>
      <c r="O107" s="48"/>
    </row>
    <row r="108" spans="11:15" ht="26.25" customHeight="1" x14ac:dyDescent="0.3">
      <c r="K10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08" s="1">
        <f>M107+Table1181920231030313235383940414810[[#This Row],[اجمالي الفاتوره]]-Table1181920231030313235383940414810[[#This Row],[الدفعات]]</f>
        <v>311103.97999999992</v>
      </c>
      <c r="O108" s="48"/>
    </row>
    <row r="109" spans="11:15" ht="26.25" customHeight="1" x14ac:dyDescent="0.3">
      <c r="K10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09" s="1">
        <f>M108+Table1181920231030313235383940414810[[#This Row],[اجمالي الفاتوره]]-Table1181920231030313235383940414810[[#This Row],[الدفعات]]</f>
        <v>311103.97999999992</v>
      </c>
      <c r="O109" s="48"/>
    </row>
    <row r="110" spans="11:15" ht="26.25" customHeight="1" x14ac:dyDescent="0.3">
      <c r="K11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10" s="1">
        <f>M109+Table1181920231030313235383940414810[[#This Row],[اجمالي الفاتوره]]-Table1181920231030313235383940414810[[#This Row],[الدفعات]]</f>
        <v>311103.97999999992</v>
      </c>
      <c r="O110" s="48"/>
    </row>
    <row r="111" spans="11:15" ht="26.25" customHeight="1" x14ac:dyDescent="0.3">
      <c r="K11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11" s="1">
        <f>M110+Table1181920231030313235383940414810[[#This Row],[اجمالي الفاتوره]]-Table1181920231030313235383940414810[[#This Row],[الدفعات]]</f>
        <v>311103.97999999992</v>
      </c>
      <c r="O111" s="48"/>
    </row>
    <row r="112" spans="11:15" ht="26.25" customHeight="1" x14ac:dyDescent="0.3">
      <c r="K11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12" s="1">
        <f>M111+Table1181920231030313235383940414810[[#This Row],[اجمالي الفاتوره]]-Table1181920231030313235383940414810[[#This Row],[الدفعات]]</f>
        <v>311103.97999999992</v>
      </c>
      <c r="O112" s="48"/>
    </row>
    <row r="113" spans="11:15" ht="26.25" customHeight="1" x14ac:dyDescent="0.3">
      <c r="K11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13" s="1">
        <f>M112+Table1181920231030313235383940414810[[#This Row],[اجمالي الفاتوره]]-Table1181920231030313235383940414810[[#This Row],[الدفعات]]</f>
        <v>311103.97999999992</v>
      </c>
      <c r="O113" s="48"/>
    </row>
    <row r="114" spans="11:15" ht="26.25" customHeight="1" x14ac:dyDescent="0.3">
      <c r="K11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14" s="1">
        <f>M113+Table1181920231030313235383940414810[[#This Row],[اجمالي الفاتوره]]-Table1181920231030313235383940414810[[#This Row],[الدفعات]]</f>
        <v>311103.97999999992</v>
      </c>
      <c r="O114" s="48"/>
    </row>
    <row r="115" spans="11:15" ht="26.25" customHeight="1" x14ac:dyDescent="0.3">
      <c r="K11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15" s="1">
        <f>M114+Table1181920231030313235383940414810[[#This Row],[اجمالي الفاتوره]]-Table1181920231030313235383940414810[[#This Row],[الدفعات]]</f>
        <v>311103.97999999992</v>
      </c>
      <c r="O115" s="48"/>
    </row>
    <row r="116" spans="11:15" ht="26.25" customHeight="1" x14ac:dyDescent="0.3">
      <c r="K11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16" s="1">
        <f>M115+Table1181920231030313235383940414810[[#This Row],[اجمالي الفاتوره]]-Table1181920231030313235383940414810[[#This Row],[الدفعات]]</f>
        <v>311103.97999999992</v>
      </c>
      <c r="O116" s="48"/>
    </row>
    <row r="117" spans="11:15" ht="26.25" customHeight="1" x14ac:dyDescent="0.3">
      <c r="K11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17" s="1">
        <f>M116+Table1181920231030313235383940414810[[#This Row],[اجمالي الفاتوره]]-Table1181920231030313235383940414810[[#This Row],[الدفعات]]</f>
        <v>311103.97999999992</v>
      </c>
      <c r="O117" s="48"/>
    </row>
    <row r="118" spans="11:15" ht="26.25" customHeight="1" x14ac:dyDescent="0.3">
      <c r="K11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18" s="1">
        <f>M117+Table1181920231030313235383940414810[[#This Row],[اجمالي الفاتوره]]-Table1181920231030313235383940414810[[#This Row],[الدفعات]]</f>
        <v>311103.97999999992</v>
      </c>
      <c r="O118" s="48"/>
    </row>
    <row r="119" spans="11:15" ht="26.25" customHeight="1" x14ac:dyDescent="0.3">
      <c r="K11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19" s="1">
        <f>M118+Table1181920231030313235383940414810[[#This Row],[اجمالي الفاتوره]]-Table1181920231030313235383940414810[[#This Row],[الدفعات]]</f>
        <v>311103.97999999992</v>
      </c>
      <c r="O119" s="48"/>
    </row>
    <row r="120" spans="11:15" ht="26.25" customHeight="1" x14ac:dyDescent="0.3">
      <c r="K12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20" s="1">
        <f>M119+Table1181920231030313235383940414810[[#This Row],[اجمالي الفاتوره]]-Table1181920231030313235383940414810[[#This Row],[الدفعات]]</f>
        <v>311103.97999999992</v>
      </c>
      <c r="O120" s="48"/>
    </row>
    <row r="121" spans="11:15" ht="26.25" customHeight="1" x14ac:dyDescent="0.3">
      <c r="K12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21" s="1">
        <f>M120+Table1181920231030313235383940414810[[#This Row],[اجمالي الفاتوره]]-Table1181920231030313235383940414810[[#This Row],[الدفعات]]</f>
        <v>311103.97999999992</v>
      </c>
      <c r="O121" s="48"/>
    </row>
    <row r="122" spans="11:15" ht="26.25" customHeight="1" x14ac:dyDescent="0.3">
      <c r="K12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22" s="1">
        <f>M121+Table1181920231030313235383940414810[[#This Row],[اجمالي الفاتوره]]-Table1181920231030313235383940414810[[#This Row],[الدفعات]]</f>
        <v>311103.97999999992</v>
      </c>
      <c r="O122" s="48"/>
    </row>
    <row r="123" spans="11:15" ht="26.25" customHeight="1" x14ac:dyDescent="0.3">
      <c r="K12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23" s="1">
        <f>M122+Table1181920231030313235383940414810[[#This Row],[اجمالي الفاتوره]]-Table1181920231030313235383940414810[[#This Row],[الدفعات]]</f>
        <v>311103.97999999992</v>
      </c>
      <c r="O123" s="48"/>
    </row>
    <row r="124" spans="11:15" ht="26.25" customHeight="1" x14ac:dyDescent="0.3">
      <c r="K12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24" s="1">
        <f>M123+Table1181920231030313235383940414810[[#This Row],[اجمالي الفاتوره]]-Table1181920231030313235383940414810[[#This Row],[الدفعات]]</f>
        <v>311103.97999999992</v>
      </c>
      <c r="O124" s="48"/>
    </row>
    <row r="125" spans="11:15" ht="26.25" customHeight="1" x14ac:dyDescent="0.3">
      <c r="K12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25" s="1">
        <f>M124+Table1181920231030313235383940414810[[#This Row],[اجمالي الفاتوره]]-Table1181920231030313235383940414810[[#This Row],[الدفعات]]</f>
        <v>311103.97999999992</v>
      </c>
      <c r="O125" s="48"/>
    </row>
    <row r="126" spans="11:15" ht="26.25" customHeight="1" x14ac:dyDescent="0.3">
      <c r="K12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26" s="1">
        <f>M125+Table1181920231030313235383940414810[[#This Row],[اجمالي الفاتوره]]-Table1181920231030313235383940414810[[#This Row],[الدفعات]]</f>
        <v>311103.97999999992</v>
      </c>
      <c r="O126" s="48"/>
    </row>
    <row r="127" spans="11:15" ht="26.25" customHeight="1" x14ac:dyDescent="0.3">
      <c r="K12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27" s="1">
        <f>M126+Table1181920231030313235383940414810[[#This Row],[اجمالي الفاتوره]]-Table1181920231030313235383940414810[[#This Row],[الدفعات]]</f>
        <v>311103.97999999992</v>
      </c>
      <c r="O127" s="48"/>
    </row>
    <row r="128" spans="11:15" ht="26.25" customHeight="1" x14ac:dyDescent="0.3">
      <c r="K12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28" s="1">
        <f>M127+Table1181920231030313235383940414810[[#This Row],[اجمالي الفاتوره]]-Table1181920231030313235383940414810[[#This Row],[الدفعات]]</f>
        <v>311103.97999999992</v>
      </c>
      <c r="O128" s="48"/>
    </row>
    <row r="129" spans="11:15" ht="26.25" customHeight="1" x14ac:dyDescent="0.3">
      <c r="K12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29" s="1">
        <f>M128+Table1181920231030313235383940414810[[#This Row],[اجمالي الفاتوره]]-Table1181920231030313235383940414810[[#This Row],[الدفعات]]</f>
        <v>311103.97999999992</v>
      </c>
      <c r="O129" s="48"/>
    </row>
    <row r="130" spans="11:15" ht="26.25" customHeight="1" x14ac:dyDescent="0.3">
      <c r="K13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30" s="1">
        <f>M129+Table1181920231030313235383940414810[[#This Row],[اجمالي الفاتوره]]-Table1181920231030313235383940414810[[#This Row],[الدفعات]]</f>
        <v>311103.97999999992</v>
      </c>
      <c r="O130" s="48"/>
    </row>
    <row r="131" spans="11:15" ht="26.25" customHeight="1" x14ac:dyDescent="0.3">
      <c r="K13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31" s="1">
        <f>M130+Table1181920231030313235383940414810[[#This Row],[اجمالي الفاتوره]]-Table1181920231030313235383940414810[[#This Row],[الدفعات]]</f>
        <v>311103.97999999992</v>
      </c>
      <c r="O131" s="48"/>
    </row>
    <row r="132" spans="11:15" ht="26.25" customHeight="1" x14ac:dyDescent="0.3">
      <c r="K13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32" s="1">
        <f>M131+Table1181920231030313235383940414810[[#This Row],[اجمالي الفاتوره]]-Table1181920231030313235383940414810[[#This Row],[الدفعات]]</f>
        <v>311103.97999999992</v>
      </c>
      <c r="O132" s="48"/>
    </row>
    <row r="133" spans="11:15" ht="26.25" customHeight="1" x14ac:dyDescent="0.3">
      <c r="K13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33" s="1">
        <f>M132+Table1181920231030313235383940414810[[#This Row],[اجمالي الفاتوره]]-Table1181920231030313235383940414810[[#This Row],[الدفعات]]</f>
        <v>311103.97999999992</v>
      </c>
      <c r="O133" s="48"/>
    </row>
    <row r="134" spans="11:15" ht="26.25" customHeight="1" x14ac:dyDescent="0.3">
      <c r="K13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34" s="1">
        <f>M133+Table1181920231030313235383940414810[[#This Row],[اجمالي الفاتوره]]-Table1181920231030313235383940414810[[#This Row],[الدفعات]]</f>
        <v>311103.97999999992</v>
      </c>
      <c r="O134" s="48"/>
    </row>
    <row r="135" spans="11:15" ht="26.25" customHeight="1" x14ac:dyDescent="0.3">
      <c r="K13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35" s="1">
        <f>M134+Table1181920231030313235383940414810[[#This Row],[اجمالي الفاتوره]]-Table1181920231030313235383940414810[[#This Row],[الدفعات]]</f>
        <v>311103.97999999992</v>
      </c>
      <c r="O135" s="48"/>
    </row>
    <row r="136" spans="11:15" ht="26.25" customHeight="1" x14ac:dyDescent="0.3">
      <c r="K13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36" s="1">
        <f>M135+Table1181920231030313235383940414810[[#This Row],[اجمالي الفاتوره]]-Table1181920231030313235383940414810[[#This Row],[الدفعات]]</f>
        <v>311103.97999999992</v>
      </c>
      <c r="O136" s="48"/>
    </row>
    <row r="137" spans="11:15" ht="26.25" customHeight="1" x14ac:dyDescent="0.3">
      <c r="K13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37" s="1">
        <f>M136+Table1181920231030313235383940414810[[#This Row],[اجمالي الفاتوره]]-Table1181920231030313235383940414810[[#This Row],[الدفعات]]</f>
        <v>311103.97999999992</v>
      </c>
      <c r="O137" s="48"/>
    </row>
    <row r="138" spans="11:15" ht="26.25" customHeight="1" x14ac:dyDescent="0.3">
      <c r="K13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38" s="1">
        <f>M137+Table1181920231030313235383940414810[[#This Row],[اجمالي الفاتوره]]-Table1181920231030313235383940414810[[#This Row],[الدفعات]]</f>
        <v>311103.97999999992</v>
      </c>
      <c r="O138" s="48"/>
    </row>
    <row r="139" spans="11:15" ht="26.25" customHeight="1" x14ac:dyDescent="0.3">
      <c r="K13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39" s="1">
        <f>M138+Table1181920231030313235383940414810[[#This Row],[اجمالي الفاتوره]]-Table1181920231030313235383940414810[[#This Row],[الدفعات]]</f>
        <v>311103.97999999992</v>
      </c>
      <c r="O139" s="48"/>
    </row>
    <row r="140" spans="11:15" ht="26.25" customHeight="1" x14ac:dyDescent="0.3">
      <c r="K14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40" s="1">
        <f>M139+Table1181920231030313235383940414810[[#This Row],[اجمالي الفاتوره]]-Table1181920231030313235383940414810[[#This Row],[الدفعات]]</f>
        <v>311103.97999999992</v>
      </c>
      <c r="O140" s="48"/>
    </row>
    <row r="141" spans="11:15" ht="26.25" customHeight="1" x14ac:dyDescent="0.3">
      <c r="K14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41" s="1">
        <f>M140+Table1181920231030313235383940414810[[#This Row],[اجمالي الفاتوره]]-Table1181920231030313235383940414810[[#This Row],[الدفعات]]</f>
        <v>311103.97999999992</v>
      </c>
      <c r="O141" s="48"/>
    </row>
    <row r="142" spans="11:15" ht="26.25" customHeight="1" x14ac:dyDescent="0.3">
      <c r="K14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42" s="1">
        <f>M141+Table1181920231030313235383940414810[[#This Row],[اجمالي الفاتوره]]-Table1181920231030313235383940414810[[#This Row],[الدفعات]]</f>
        <v>311103.97999999992</v>
      </c>
      <c r="O142" s="48"/>
    </row>
    <row r="143" spans="11:15" ht="26.25" customHeight="1" x14ac:dyDescent="0.3">
      <c r="K14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43" s="1">
        <f>M142+Table1181920231030313235383940414810[[#This Row],[اجمالي الفاتوره]]-Table1181920231030313235383940414810[[#This Row],[الدفعات]]</f>
        <v>311103.97999999992</v>
      </c>
      <c r="O143" s="48"/>
    </row>
    <row r="144" spans="11:15" ht="26.25" customHeight="1" x14ac:dyDescent="0.3">
      <c r="K14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44" s="1">
        <f>M143+Table1181920231030313235383940414810[[#This Row],[اجمالي الفاتوره]]-Table1181920231030313235383940414810[[#This Row],[الدفعات]]</f>
        <v>311103.97999999992</v>
      </c>
      <c r="O144" s="48"/>
    </row>
    <row r="145" spans="11:15" ht="26.25" customHeight="1" x14ac:dyDescent="0.3">
      <c r="K14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45" s="1">
        <f>M144+Table1181920231030313235383940414810[[#This Row],[اجمالي الفاتوره]]-Table1181920231030313235383940414810[[#This Row],[الدفعات]]</f>
        <v>311103.97999999992</v>
      </c>
      <c r="O145" s="48"/>
    </row>
    <row r="146" spans="11:15" ht="26.25" customHeight="1" x14ac:dyDescent="0.3">
      <c r="K14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46" s="1">
        <f>M145+Table1181920231030313235383940414810[[#This Row],[اجمالي الفاتوره]]-Table1181920231030313235383940414810[[#This Row],[الدفعات]]</f>
        <v>311103.97999999992</v>
      </c>
      <c r="O146" s="48"/>
    </row>
    <row r="147" spans="11:15" ht="26.25" customHeight="1" x14ac:dyDescent="0.3">
      <c r="K14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47" s="1">
        <f>M146+Table1181920231030313235383940414810[[#This Row],[اجمالي الفاتوره]]-Table1181920231030313235383940414810[[#This Row],[الدفعات]]</f>
        <v>311103.97999999992</v>
      </c>
      <c r="O147" s="48"/>
    </row>
    <row r="148" spans="11:15" ht="26.25" customHeight="1" x14ac:dyDescent="0.3">
      <c r="K14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48" s="1">
        <f>M147+Table1181920231030313235383940414810[[#This Row],[اجمالي الفاتوره]]-Table1181920231030313235383940414810[[#This Row],[الدفعات]]</f>
        <v>311103.97999999992</v>
      </c>
      <c r="O148" s="48"/>
    </row>
    <row r="149" spans="11:15" ht="26.25" customHeight="1" x14ac:dyDescent="0.3">
      <c r="K14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49" s="1">
        <f>M148+Table1181920231030313235383940414810[[#This Row],[اجمالي الفاتوره]]-Table1181920231030313235383940414810[[#This Row],[الدفعات]]</f>
        <v>311103.97999999992</v>
      </c>
      <c r="O149" s="48"/>
    </row>
    <row r="150" spans="11:15" ht="26.25" customHeight="1" x14ac:dyDescent="0.3">
      <c r="K15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50" s="1">
        <f>M149+Table1181920231030313235383940414810[[#This Row],[اجمالي الفاتوره]]-Table1181920231030313235383940414810[[#This Row],[الدفعات]]</f>
        <v>311103.97999999992</v>
      </c>
      <c r="O150" s="48"/>
    </row>
    <row r="151" spans="11:15" ht="26.25" customHeight="1" x14ac:dyDescent="0.3">
      <c r="K15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51" s="1">
        <f>M150+Table1181920231030313235383940414810[[#This Row],[اجمالي الفاتوره]]-Table1181920231030313235383940414810[[#This Row],[الدفعات]]</f>
        <v>311103.97999999992</v>
      </c>
      <c r="O151" s="48"/>
    </row>
    <row r="152" spans="11:15" ht="26.25" customHeight="1" x14ac:dyDescent="0.3">
      <c r="K15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52" s="1">
        <f>M151+Table1181920231030313235383940414810[[#This Row],[اجمالي الفاتوره]]-Table1181920231030313235383940414810[[#This Row],[الدفعات]]</f>
        <v>311103.97999999992</v>
      </c>
      <c r="O152" s="48"/>
    </row>
    <row r="153" spans="11:15" ht="26.25" customHeight="1" x14ac:dyDescent="0.3">
      <c r="K15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53" s="1">
        <f>M152+Table1181920231030313235383940414810[[#This Row],[اجمالي الفاتوره]]-Table1181920231030313235383940414810[[#This Row],[الدفعات]]</f>
        <v>311103.97999999992</v>
      </c>
      <c r="O153" s="48"/>
    </row>
    <row r="154" spans="11:15" ht="26.25" customHeight="1" x14ac:dyDescent="0.3">
      <c r="K15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54" s="1">
        <f>M153+Table1181920231030313235383940414810[[#This Row],[اجمالي الفاتوره]]-Table1181920231030313235383940414810[[#This Row],[الدفعات]]</f>
        <v>311103.97999999992</v>
      </c>
      <c r="O154" s="48"/>
    </row>
    <row r="155" spans="11:15" ht="26.25" customHeight="1" x14ac:dyDescent="0.3">
      <c r="K15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55" s="1">
        <f>M154+Table1181920231030313235383940414810[[#This Row],[اجمالي الفاتوره]]-Table1181920231030313235383940414810[[#This Row],[الدفعات]]</f>
        <v>311103.97999999992</v>
      </c>
      <c r="O155" s="48"/>
    </row>
    <row r="156" spans="11:15" ht="26.25" customHeight="1" x14ac:dyDescent="0.3">
      <c r="K15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56" s="1">
        <f>M155+Table1181920231030313235383940414810[[#This Row],[اجمالي الفاتوره]]-Table1181920231030313235383940414810[[#This Row],[الدفعات]]</f>
        <v>311103.97999999992</v>
      </c>
      <c r="O156" s="48"/>
    </row>
    <row r="157" spans="11:15" ht="26.25" customHeight="1" x14ac:dyDescent="0.3">
      <c r="K15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57" s="1">
        <f>M156+Table1181920231030313235383940414810[[#This Row],[اجمالي الفاتوره]]-Table1181920231030313235383940414810[[#This Row],[الدفعات]]</f>
        <v>311103.97999999992</v>
      </c>
      <c r="O157" s="48"/>
    </row>
    <row r="158" spans="11:15" ht="26.25" customHeight="1" x14ac:dyDescent="0.3">
      <c r="K15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58" s="1">
        <f>M157+Table1181920231030313235383940414810[[#This Row],[اجمالي الفاتوره]]-Table1181920231030313235383940414810[[#This Row],[الدفعات]]</f>
        <v>311103.97999999992</v>
      </c>
      <c r="O158" s="48"/>
    </row>
    <row r="159" spans="11:15" ht="26.25" customHeight="1" x14ac:dyDescent="0.3">
      <c r="K15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59" s="1">
        <f>M158+Table1181920231030313235383940414810[[#This Row],[اجمالي الفاتوره]]-Table1181920231030313235383940414810[[#This Row],[الدفعات]]</f>
        <v>311103.97999999992</v>
      </c>
      <c r="O159" s="48"/>
    </row>
    <row r="160" spans="11:15" ht="26.25" customHeight="1" x14ac:dyDescent="0.3">
      <c r="K16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60" s="1">
        <f>M159+Table1181920231030313235383940414810[[#This Row],[اجمالي الفاتوره]]-Table1181920231030313235383940414810[[#This Row],[الدفعات]]</f>
        <v>311103.97999999992</v>
      </c>
      <c r="O160" s="48"/>
    </row>
    <row r="161" spans="11:15" ht="26.25" customHeight="1" x14ac:dyDescent="0.3">
      <c r="K16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61" s="1">
        <f>M160+Table1181920231030313235383940414810[[#This Row],[اجمالي الفاتوره]]-Table1181920231030313235383940414810[[#This Row],[الدفعات]]</f>
        <v>311103.97999999992</v>
      </c>
      <c r="O161" s="48"/>
    </row>
    <row r="162" spans="11:15" ht="26.25" customHeight="1" x14ac:dyDescent="0.3">
      <c r="K16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62" s="1">
        <f>M161+Table1181920231030313235383940414810[[#This Row],[اجمالي الفاتوره]]-Table1181920231030313235383940414810[[#This Row],[الدفعات]]</f>
        <v>311103.97999999992</v>
      </c>
      <c r="O162" s="48"/>
    </row>
    <row r="163" spans="11:15" ht="26.25" customHeight="1" x14ac:dyDescent="0.3">
      <c r="K16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63" s="1">
        <f>M162+Table1181920231030313235383940414810[[#This Row],[اجمالي الفاتوره]]-Table1181920231030313235383940414810[[#This Row],[الدفعات]]</f>
        <v>311103.97999999992</v>
      </c>
      <c r="O163" s="48"/>
    </row>
    <row r="164" spans="11:15" ht="26.25" customHeight="1" x14ac:dyDescent="0.3">
      <c r="K16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64" s="1">
        <f>M163+Table1181920231030313235383940414810[[#This Row],[اجمالي الفاتوره]]-Table1181920231030313235383940414810[[#This Row],[الدفعات]]</f>
        <v>311103.97999999992</v>
      </c>
      <c r="O164" s="48"/>
    </row>
    <row r="165" spans="11:15" ht="26.25" customHeight="1" x14ac:dyDescent="0.3">
      <c r="K16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65" s="1">
        <f>M164+Table1181920231030313235383940414810[[#This Row],[اجمالي الفاتوره]]-Table1181920231030313235383940414810[[#This Row],[الدفعات]]</f>
        <v>311103.97999999992</v>
      </c>
      <c r="O165" s="48"/>
    </row>
    <row r="166" spans="11:15" ht="26.25" customHeight="1" x14ac:dyDescent="0.3">
      <c r="K16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66" s="1">
        <f>M165+Table1181920231030313235383940414810[[#This Row],[اجمالي الفاتوره]]-Table1181920231030313235383940414810[[#This Row],[الدفعات]]</f>
        <v>311103.97999999992</v>
      </c>
      <c r="O166" s="48"/>
    </row>
    <row r="167" spans="11:15" ht="26.25" customHeight="1" x14ac:dyDescent="0.3">
      <c r="K16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67" s="1">
        <f>M166+Table1181920231030313235383940414810[[#This Row],[اجمالي الفاتوره]]-Table1181920231030313235383940414810[[#This Row],[الدفعات]]</f>
        <v>311103.97999999992</v>
      </c>
      <c r="O167" s="48"/>
    </row>
    <row r="168" spans="11:15" ht="26.25" customHeight="1" x14ac:dyDescent="0.3">
      <c r="K16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68" s="1">
        <f>M167+Table1181920231030313235383940414810[[#This Row],[اجمالي الفاتوره]]-Table1181920231030313235383940414810[[#This Row],[الدفعات]]</f>
        <v>311103.97999999992</v>
      </c>
      <c r="O168" s="48"/>
    </row>
    <row r="169" spans="11:15" ht="26.25" customHeight="1" x14ac:dyDescent="0.3">
      <c r="K16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69" s="1">
        <f>M168+Table1181920231030313235383940414810[[#This Row],[اجمالي الفاتوره]]-Table1181920231030313235383940414810[[#This Row],[الدفعات]]</f>
        <v>311103.97999999992</v>
      </c>
      <c r="O169" s="48"/>
    </row>
    <row r="170" spans="11:15" ht="26.25" customHeight="1" x14ac:dyDescent="0.3">
      <c r="K17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70" s="1">
        <f>M169+Table1181920231030313235383940414810[[#This Row],[اجمالي الفاتوره]]-Table1181920231030313235383940414810[[#This Row],[الدفعات]]</f>
        <v>311103.97999999992</v>
      </c>
      <c r="O170" s="48"/>
    </row>
    <row r="171" spans="11:15" ht="26.25" customHeight="1" x14ac:dyDescent="0.3">
      <c r="K17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71" s="1">
        <f>M170+Table1181920231030313235383940414810[[#This Row],[اجمالي الفاتوره]]-Table1181920231030313235383940414810[[#This Row],[الدفعات]]</f>
        <v>311103.97999999992</v>
      </c>
      <c r="O171" s="48"/>
    </row>
    <row r="172" spans="11:15" ht="26.25" customHeight="1" x14ac:dyDescent="0.3">
      <c r="K17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72" s="1">
        <f>M171+Table1181920231030313235383940414810[[#This Row],[اجمالي الفاتوره]]-Table1181920231030313235383940414810[[#This Row],[الدفعات]]</f>
        <v>311103.97999999992</v>
      </c>
      <c r="O172" s="48"/>
    </row>
    <row r="173" spans="11:15" ht="26.25" customHeight="1" x14ac:dyDescent="0.3">
      <c r="K17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73" s="1">
        <f>M172+Table1181920231030313235383940414810[[#This Row],[اجمالي الفاتوره]]-Table1181920231030313235383940414810[[#This Row],[الدفعات]]</f>
        <v>311103.97999999992</v>
      </c>
      <c r="O173" s="48"/>
    </row>
    <row r="174" spans="11:15" ht="26.25" customHeight="1" x14ac:dyDescent="0.3">
      <c r="K17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74" s="1">
        <f>M173+Table1181920231030313235383940414810[[#This Row],[اجمالي الفاتوره]]-Table1181920231030313235383940414810[[#This Row],[الدفعات]]</f>
        <v>311103.97999999992</v>
      </c>
      <c r="O174" s="48"/>
    </row>
    <row r="175" spans="11:15" ht="26.25" customHeight="1" x14ac:dyDescent="0.3">
      <c r="K17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75" s="1">
        <f>M174+Table1181920231030313235383940414810[[#This Row],[اجمالي الفاتوره]]-Table1181920231030313235383940414810[[#This Row],[الدفعات]]</f>
        <v>311103.97999999992</v>
      </c>
      <c r="O175" s="48"/>
    </row>
    <row r="176" spans="11:15" ht="26.25" customHeight="1" x14ac:dyDescent="0.3">
      <c r="K17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76" s="1">
        <f>M175+Table1181920231030313235383940414810[[#This Row],[اجمالي الفاتوره]]-Table1181920231030313235383940414810[[#This Row],[الدفعات]]</f>
        <v>311103.97999999992</v>
      </c>
      <c r="O176" s="48"/>
    </row>
    <row r="177" spans="11:15" ht="26.25" customHeight="1" x14ac:dyDescent="0.3">
      <c r="K17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77" s="1">
        <f>M176+Table1181920231030313235383940414810[[#This Row],[اجمالي الفاتوره]]-Table1181920231030313235383940414810[[#This Row],[الدفعات]]</f>
        <v>311103.97999999992</v>
      </c>
      <c r="O177" s="48"/>
    </row>
    <row r="178" spans="11:15" ht="26.25" customHeight="1" x14ac:dyDescent="0.3">
      <c r="K17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78" s="1">
        <f>M177+Table1181920231030313235383940414810[[#This Row],[اجمالي الفاتوره]]-Table1181920231030313235383940414810[[#This Row],[الدفعات]]</f>
        <v>311103.97999999992</v>
      </c>
      <c r="O178" s="48"/>
    </row>
    <row r="179" spans="11:15" ht="26.25" customHeight="1" x14ac:dyDescent="0.3">
      <c r="K17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79" s="1">
        <f>M178+Table1181920231030313235383940414810[[#This Row],[اجمالي الفاتوره]]-Table1181920231030313235383940414810[[#This Row],[الدفعات]]</f>
        <v>311103.97999999992</v>
      </c>
      <c r="O179" s="48"/>
    </row>
    <row r="180" spans="11:15" ht="26.25" customHeight="1" x14ac:dyDescent="0.3">
      <c r="K18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80" s="1">
        <f>M179+Table1181920231030313235383940414810[[#This Row],[اجمالي الفاتوره]]-Table1181920231030313235383940414810[[#This Row],[الدفعات]]</f>
        <v>311103.97999999992</v>
      </c>
      <c r="O180" s="48"/>
    </row>
    <row r="181" spans="11:15" ht="26.25" customHeight="1" x14ac:dyDescent="0.3">
      <c r="K18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81" s="1">
        <f>M180+Table1181920231030313235383940414810[[#This Row],[اجمالي الفاتوره]]-Table1181920231030313235383940414810[[#This Row],[الدفعات]]</f>
        <v>311103.97999999992</v>
      </c>
      <c r="O181" s="48"/>
    </row>
    <row r="182" spans="11:15" ht="26.25" customHeight="1" x14ac:dyDescent="0.3">
      <c r="K18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82" s="1">
        <f>M181+Table1181920231030313235383940414810[[#This Row],[اجمالي الفاتوره]]-Table1181920231030313235383940414810[[#This Row],[الدفعات]]</f>
        <v>311103.97999999992</v>
      </c>
      <c r="O182" s="48"/>
    </row>
    <row r="183" spans="11:15" ht="26.25" customHeight="1" x14ac:dyDescent="0.3">
      <c r="K18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83" s="1">
        <f>M182+Table1181920231030313235383940414810[[#This Row],[اجمالي الفاتوره]]-Table1181920231030313235383940414810[[#This Row],[الدفعات]]</f>
        <v>311103.97999999992</v>
      </c>
      <c r="O183" s="48"/>
    </row>
    <row r="184" spans="11:15" ht="26.25" customHeight="1" x14ac:dyDescent="0.3">
      <c r="K18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84" s="1">
        <f>M183+Table1181920231030313235383940414810[[#This Row],[اجمالي الفاتوره]]-Table1181920231030313235383940414810[[#This Row],[الدفعات]]</f>
        <v>311103.97999999992</v>
      </c>
      <c r="O184" s="48"/>
    </row>
    <row r="185" spans="11:15" ht="26.25" customHeight="1" x14ac:dyDescent="0.3">
      <c r="K18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85" s="1">
        <f>M184+Table1181920231030313235383940414810[[#This Row],[اجمالي الفاتوره]]-Table1181920231030313235383940414810[[#This Row],[الدفعات]]</f>
        <v>311103.97999999992</v>
      </c>
      <c r="O185" s="48"/>
    </row>
    <row r="186" spans="11:15" ht="26.25" customHeight="1" x14ac:dyDescent="0.3">
      <c r="K18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86" s="1">
        <f>M185+Table1181920231030313235383940414810[[#This Row],[اجمالي الفاتوره]]-Table1181920231030313235383940414810[[#This Row],[الدفعات]]</f>
        <v>311103.97999999992</v>
      </c>
      <c r="O186" s="48"/>
    </row>
    <row r="187" spans="11:15" ht="26.25" customHeight="1" x14ac:dyDescent="0.3">
      <c r="K18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87" s="1">
        <f>M186+Table1181920231030313235383940414810[[#This Row],[اجمالي الفاتوره]]-Table1181920231030313235383940414810[[#This Row],[الدفعات]]</f>
        <v>311103.97999999992</v>
      </c>
      <c r="O187" s="48"/>
    </row>
    <row r="188" spans="11:15" ht="26.25" customHeight="1" x14ac:dyDescent="0.3">
      <c r="K18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88" s="1">
        <f>M187+Table1181920231030313235383940414810[[#This Row],[اجمالي الفاتوره]]-Table1181920231030313235383940414810[[#This Row],[الدفعات]]</f>
        <v>311103.97999999992</v>
      </c>
      <c r="O188" s="48"/>
    </row>
    <row r="189" spans="11:15" ht="26.25" customHeight="1" x14ac:dyDescent="0.3">
      <c r="K18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89" s="1">
        <f>M188+Table1181920231030313235383940414810[[#This Row],[اجمالي الفاتوره]]-Table1181920231030313235383940414810[[#This Row],[الدفعات]]</f>
        <v>311103.97999999992</v>
      </c>
      <c r="O189" s="48"/>
    </row>
    <row r="190" spans="11:15" ht="26.25" customHeight="1" x14ac:dyDescent="0.3">
      <c r="K19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90" s="1">
        <f>M189+Table1181920231030313235383940414810[[#This Row],[اجمالي الفاتوره]]-Table1181920231030313235383940414810[[#This Row],[الدفعات]]</f>
        <v>311103.97999999992</v>
      </c>
      <c r="O190" s="48"/>
    </row>
    <row r="191" spans="11:15" ht="26.25" customHeight="1" x14ac:dyDescent="0.3">
      <c r="K19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91" s="1">
        <f>M190+Table1181920231030313235383940414810[[#This Row],[اجمالي الفاتوره]]-Table1181920231030313235383940414810[[#This Row],[الدفعات]]</f>
        <v>311103.97999999992</v>
      </c>
      <c r="O191" s="48"/>
    </row>
    <row r="192" spans="11:15" ht="26.25" customHeight="1" x14ac:dyDescent="0.3">
      <c r="K19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92" s="1">
        <f>M191+Table1181920231030313235383940414810[[#This Row],[اجمالي الفاتوره]]-Table1181920231030313235383940414810[[#This Row],[الدفعات]]</f>
        <v>311103.97999999992</v>
      </c>
      <c r="O192" s="48"/>
    </row>
    <row r="193" spans="11:15" ht="26.25" customHeight="1" x14ac:dyDescent="0.3">
      <c r="K19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93" s="1">
        <f>M192+Table1181920231030313235383940414810[[#This Row],[اجمالي الفاتوره]]-Table1181920231030313235383940414810[[#This Row],[الدفعات]]</f>
        <v>311103.97999999992</v>
      </c>
      <c r="O193" s="48"/>
    </row>
    <row r="194" spans="11:15" ht="26.25" customHeight="1" x14ac:dyDescent="0.3">
      <c r="K19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94" s="1">
        <f>M193+Table1181920231030313235383940414810[[#This Row],[اجمالي الفاتوره]]-Table1181920231030313235383940414810[[#This Row],[الدفعات]]</f>
        <v>311103.97999999992</v>
      </c>
      <c r="O194" s="48"/>
    </row>
    <row r="195" spans="11:15" ht="26.25" customHeight="1" x14ac:dyDescent="0.3">
      <c r="K19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95" s="1">
        <f>M194+Table1181920231030313235383940414810[[#This Row],[اجمالي الفاتوره]]-Table1181920231030313235383940414810[[#This Row],[الدفعات]]</f>
        <v>311103.97999999992</v>
      </c>
      <c r="O195" s="48"/>
    </row>
    <row r="196" spans="11:15" ht="26.25" customHeight="1" x14ac:dyDescent="0.3">
      <c r="K19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96" s="1">
        <f>M195+Table1181920231030313235383940414810[[#This Row],[اجمالي الفاتوره]]-Table1181920231030313235383940414810[[#This Row],[الدفعات]]</f>
        <v>311103.97999999992</v>
      </c>
      <c r="O196" s="48"/>
    </row>
    <row r="197" spans="11:15" ht="26.25" customHeight="1" x14ac:dyDescent="0.3">
      <c r="K19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97" s="1">
        <f>M196+Table1181920231030313235383940414810[[#This Row],[اجمالي الفاتوره]]-Table1181920231030313235383940414810[[#This Row],[الدفعات]]</f>
        <v>311103.97999999992</v>
      </c>
      <c r="O197" s="48"/>
    </row>
    <row r="198" spans="11:15" ht="26.25" customHeight="1" x14ac:dyDescent="0.3">
      <c r="K19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98" s="1">
        <f>M197+Table1181920231030313235383940414810[[#This Row],[اجمالي الفاتوره]]-Table1181920231030313235383940414810[[#This Row],[الدفعات]]</f>
        <v>311103.97999999992</v>
      </c>
      <c r="O198" s="48"/>
    </row>
    <row r="199" spans="11:15" ht="26.25" customHeight="1" x14ac:dyDescent="0.3">
      <c r="K19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199" s="1">
        <f>M198+Table1181920231030313235383940414810[[#This Row],[اجمالي الفاتوره]]-Table1181920231030313235383940414810[[#This Row],[الدفعات]]</f>
        <v>311103.97999999992</v>
      </c>
      <c r="O199" s="48"/>
    </row>
    <row r="200" spans="11:15" ht="26.25" customHeight="1" x14ac:dyDescent="0.3">
      <c r="K20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00" s="1">
        <f>M199+Table1181920231030313235383940414810[[#This Row],[اجمالي الفاتوره]]-Table1181920231030313235383940414810[[#This Row],[الدفعات]]</f>
        <v>311103.97999999992</v>
      </c>
      <c r="O200" s="48"/>
    </row>
    <row r="201" spans="11:15" ht="26.25" customHeight="1" x14ac:dyDescent="0.3">
      <c r="K20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01" s="1">
        <f>M200+Table1181920231030313235383940414810[[#This Row],[اجمالي الفاتوره]]-Table1181920231030313235383940414810[[#This Row],[الدفعات]]</f>
        <v>311103.97999999992</v>
      </c>
      <c r="O201" s="48"/>
    </row>
    <row r="202" spans="11:15" ht="26.25" customHeight="1" x14ac:dyDescent="0.3">
      <c r="K20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02" s="1">
        <f>M201+Table1181920231030313235383940414810[[#This Row],[اجمالي الفاتوره]]-Table1181920231030313235383940414810[[#This Row],[الدفعات]]</f>
        <v>311103.97999999992</v>
      </c>
      <c r="O202" s="48"/>
    </row>
    <row r="203" spans="11:15" ht="26.25" customHeight="1" x14ac:dyDescent="0.3">
      <c r="K20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03" s="1">
        <f>M202+Table1181920231030313235383940414810[[#This Row],[اجمالي الفاتوره]]-Table1181920231030313235383940414810[[#This Row],[الدفعات]]</f>
        <v>311103.97999999992</v>
      </c>
      <c r="O203" s="48"/>
    </row>
    <row r="204" spans="11:15" ht="26.25" customHeight="1" x14ac:dyDescent="0.3">
      <c r="K20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04" s="1">
        <f>M203+Table1181920231030313235383940414810[[#This Row],[اجمالي الفاتوره]]-Table1181920231030313235383940414810[[#This Row],[الدفعات]]</f>
        <v>311103.97999999992</v>
      </c>
      <c r="O204" s="48"/>
    </row>
    <row r="205" spans="11:15" ht="26.25" customHeight="1" x14ac:dyDescent="0.3">
      <c r="K20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05" s="1">
        <f>M204+Table1181920231030313235383940414810[[#This Row],[اجمالي الفاتوره]]-Table1181920231030313235383940414810[[#This Row],[الدفعات]]</f>
        <v>311103.97999999992</v>
      </c>
      <c r="O205" s="48"/>
    </row>
    <row r="206" spans="11:15" ht="26.25" customHeight="1" x14ac:dyDescent="0.3">
      <c r="K20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06" s="1">
        <f>M205+Table1181920231030313235383940414810[[#This Row],[اجمالي الفاتوره]]-Table1181920231030313235383940414810[[#This Row],[الدفعات]]</f>
        <v>311103.97999999992</v>
      </c>
      <c r="O206" s="48"/>
    </row>
    <row r="207" spans="11:15" ht="26.25" customHeight="1" x14ac:dyDescent="0.3">
      <c r="K20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07" s="1">
        <f>M206+Table1181920231030313235383940414810[[#This Row],[اجمالي الفاتوره]]-Table1181920231030313235383940414810[[#This Row],[الدفعات]]</f>
        <v>311103.97999999992</v>
      </c>
      <c r="O207" s="48"/>
    </row>
    <row r="208" spans="11:15" ht="26.25" customHeight="1" x14ac:dyDescent="0.3">
      <c r="K20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08" s="1">
        <f>M207+Table1181920231030313235383940414810[[#This Row],[اجمالي الفاتوره]]-Table1181920231030313235383940414810[[#This Row],[الدفعات]]</f>
        <v>311103.97999999992</v>
      </c>
      <c r="O208" s="48"/>
    </row>
    <row r="209" spans="11:15" ht="26.25" customHeight="1" x14ac:dyDescent="0.3">
      <c r="K20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09" s="1">
        <f>M208+Table1181920231030313235383940414810[[#This Row],[اجمالي الفاتوره]]-Table1181920231030313235383940414810[[#This Row],[الدفعات]]</f>
        <v>311103.97999999992</v>
      </c>
      <c r="O209" s="48"/>
    </row>
    <row r="210" spans="11:15" ht="26.25" customHeight="1" x14ac:dyDescent="0.3">
      <c r="K21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10" s="1">
        <f>M209+Table1181920231030313235383940414810[[#This Row],[اجمالي الفاتوره]]-Table1181920231030313235383940414810[[#This Row],[الدفعات]]</f>
        <v>311103.97999999992</v>
      </c>
      <c r="O210" s="48"/>
    </row>
    <row r="211" spans="11:15" ht="26.25" customHeight="1" x14ac:dyDescent="0.3">
      <c r="K21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11" s="1">
        <f>M210+Table1181920231030313235383940414810[[#This Row],[اجمالي الفاتوره]]-Table1181920231030313235383940414810[[#This Row],[الدفعات]]</f>
        <v>311103.97999999992</v>
      </c>
      <c r="O211" s="48"/>
    </row>
    <row r="212" spans="11:15" ht="26.25" customHeight="1" x14ac:dyDescent="0.3">
      <c r="K21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12" s="1">
        <f>M211+Table1181920231030313235383940414810[[#This Row],[اجمالي الفاتوره]]-Table1181920231030313235383940414810[[#This Row],[الدفعات]]</f>
        <v>311103.97999999992</v>
      </c>
      <c r="O212" s="48"/>
    </row>
    <row r="213" spans="11:15" ht="26.25" customHeight="1" x14ac:dyDescent="0.3">
      <c r="K21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13" s="1">
        <f>M212+Table1181920231030313235383940414810[[#This Row],[اجمالي الفاتوره]]-Table1181920231030313235383940414810[[#This Row],[الدفعات]]</f>
        <v>311103.97999999992</v>
      </c>
      <c r="O213" s="48"/>
    </row>
    <row r="214" spans="11:15" ht="26.25" customHeight="1" x14ac:dyDescent="0.3">
      <c r="K21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14" s="1">
        <f>M213+Table1181920231030313235383940414810[[#This Row],[اجمالي الفاتوره]]-Table1181920231030313235383940414810[[#This Row],[الدفعات]]</f>
        <v>311103.97999999992</v>
      </c>
      <c r="O214" s="48"/>
    </row>
    <row r="215" spans="11:15" ht="26.25" customHeight="1" x14ac:dyDescent="0.3">
      <c r="K21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15" s="1">
        <f>M214+Table1181920231030313235383940414810[[#This Row],[اجمالي الفاتوره]]-Table1181920231030313235383940414810[[#This Row],[الدفعات]]</f>
        <v>311103.97999999992</v>
      </c>
      <c r="O215" s="48"/>
    </row>
    <row r="216" spans="11:15" ht="26.25" customHeight="1" x14ac:dyDescent="0.3">
      <c r="K21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16" s="1">
        <f>M215+Table1181920231030313235383940414810[[#This Row],[اجمالي الفاتوره]]-Table1181920231030313235383940414810[[#This Row],[الدفعات]]</f>
        <v>311103.97999999992</v>
      </c>
      <c r="O216" s="48"/>
    </row>
    <row r="217" spans="11:15" ht="26.25" customHeight="1" x14ac:dyDescent="0.3">
      <c r="K21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17" s="1">
        <f>M216+Table1181920231030313235383940414810[[#This Row],[اجمالي الفاتوره]]-Table1181920231030313235383940414810[[#This Row],[الدفعات]]</f>
        <v>311103.97999999992</v>
      </c>
      <c r="O217" s="48"/>
    </row>
    <row r="218" spans="11:15" ht="26.25" customHeight="1" x14ac:dyDescent="0.3">
      <c r="K21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18" s="1">
        <f>M217+Table1181920231030313235383940414810[[#This Row],[اجمالي الفاتوره]]-Table1181920231030313235383940414810[[#This Row],[الدفعات]]</f>
        <v>311103.97999999992</v>
      </c>
      <c r="O218" s="48"/>
    </row>
    <row r="219" spans="11:15" ht="26.25" customHeight="1" x14ac:dyDescent="0.3">
      <c r="K21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19" s="1">
        <f>M218+Table1181920231030313235383940414810[[#This Row],[اجمالي الفاتوره]]-Table1181920231030313235383940414810[[#This Row],[الدفعات]]</f>
        <v>311103.97999999992</v>
      </c>
      <c r="O219" s="48"/>
    </row>
    <row r="220" spans="11:15" ht="26.25" customHeight="1" x14ac:dyDescent="0.3">
      <c r="K22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20" s="1">
        <f>M219+Table1181920231030313235383940414810[[#This Row],[اجمالي الفاتوره]]-Table1181920231030313235383940414810[[#This Row],[الدفعات]]</f>
        <v>311103.97999999992</v>
      </c>
      <c r="O220" s="48"/>
    </row>
    <row r="221" spans="11:15" ht="26.25" customHeight="1" x14ac:dyDescent="0.3">
      <c r="K22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21" s="1">
        <f>M220+Table1181920231030313235383940414810[[#This Row],[اجمالي الفاتوره]]-Table1181920231030313235383940414810[[#This Row],[الدفعات]]</f>
        <v>311103.97999999992</v>
      </c>
      <c r="O221" s="48"/>
    </row>
    <row r="222" spans="11:15" ht="26.25" customHeight="1" x14ac:dyDescent="0.3">
      <c r="K22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22" s="1">
        <f>M221+Table1181920231030313235383940414810[[#This Row],[اجمالي الفاتوره]]-Table1181920231030313235383940414810[[#This Row],[الدفعات]]</f>
        <v>311103.97999999992</v>
      </c>
      <c r="O222" s="48"/>
    </row>
    <row r="223" spans="11:15" ht="26.25" customHeight="1" x14ac:dyDescent="0.3">
      <c r="K22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23" s="1">
        <f>M222+Table1181920231030313235383940414810[[#This Row],[اجمالي الفاتوره]]-Table1181920231030313235383940414810[[#This Row],[الدفعات]]</f>
        <v>311103.97999999992</v>
      </c>
      <c r="O223" s="48"/>
    </row>
    <row r="224" spans="11:15" ht="26.25" customHeight="1" x14ac:dyDescent="0.3">
      <c r="K22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24" s="1">
        <f>M223+Table1181920231030313235383940414810[[#This Row],[اجمالي الفاتوره]]-Table1181920231030313235383940414810[[#This Row],[الدفعات]]</f>
        <v>311103.97999999992</v>
      </c>
      <c r="O224" s="48"/>
    </row>
    <row r="225" spans="11:15" ht="26.25" customHeight="1" x14ac:dyDescent="0.3">
      <c r="K22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25" s="1">
        <f>M224+Table1181920231030313235383940414810[[#This Row],[اجمالي الفاتوره]]-Table1181920231030313235383940414810[[#This Row],[الدفعات]]</f>
        <v>311103.97999999992</v>
      </c>
      <c r="O225" s="48"/>
    </row>
    <row r="226" spans="11:15" ht="26.25" customHeight="1" x14ac:dyDescent="0.3">
      <c r="K22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26" s="1">
        <f>M225+Table1181920231030313235383940414810[[#This Row],[اجمالي الفاتوره]]-Table1181920231030313235383940414810[[#This Row],[الدفعات]]</f>
        <v>311103.97999999992</v>
      </c>
      <c r="O226" s="48"/>
    </row>
    <row r="227" spans="11:15" ht="26.25" customHeight="1" x14ac:dyDescent="0.3">
      <c r="K22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27" s="1">
        <f>M226+Table1181920231030313235383940414810[[#This Row],[اجمالي الفاتوره]]-Table1181920231030313235383940414810[[#This Row],[الدفعات]]</f>
        <v>311103.97999999992</v>
      </c>
      <c r="O227" s="48"/>
    </row>
    <row r="228" spans="11:15" ht="26.25" customHeight="1" x14ac:dyDescent="0.3">
      <c r="K22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28" s="1">
        <f>M227+Table1181920231030313235383940414810[[#This Row],[اجمالي الفاتوره]]-Table1181920231030313235383940414810[[#This Row],[الدفعات]]</f>
        <v>311103.97999999992</v>
      </c>
      <c r="O228" s="48"/>
    </row>
    <row r="229" spans="11:15" ht="26.25" customHeight="1" x14ac:dyDescent="0.3">
      <c r="K22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29" s="1">
        <f>M228+Table1181920231030313235383940414810[[#This Row],[اجمالي الفاتوره]]-Table1181920231030313235383940414810[[#This Row],[الدفعات]]</f>
        <v>311103.97999999992</v>
      </c>
      <c r="O229" s="48"/>
    </row>
    <row r="230" spans="11:15" ht="26.25" customHeight="1" x14ac:dyDescent="0.3">
      <c r="K23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30" s="1">
        <f>M229+Table1181920231030313235383940414810[[#This Row],[اجمالي الفاتوره]]-Table1181920231030313235383940414810[[#This Row],[الدفعات]]</f>
        <v>311103.97999999992</v>
      </c>
      <c r="O230" s="48"/>
    </row>
    <row r="231" spans="11:15" ht="26.25" customHeight="1" x14ac:dyDescent="0.3">
      <c r="K23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31" s="1">
        <f>M230+Table1181920231030313235383940414810[[#This Row],[اجمالي الفاتوره]]-Table1181920231030313235383940414810[[#This Row],[الدفعات]]</f>
        <v>311103.97999999992</v>
      </c>
      <c r="O231" s="48"/>
    </row>
    <row r="232" spans="11:15" ht="26.25" customHeight="1" x14ac:dyDescent="0.3">
      <c r="K23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32" s="1">
        <f>M231+Table1181920231030313235383940414810[[#This Row],[اجمالي الفاتوره]]-Table1181920231030313235383940414810[[#This Row],[الدفعات]]</f>
        <v>311103.97999999992</v>
      </c>
      <c r="O232" s="48"/>
    </row>
    <row r="233" spans="11:15" ht="26.25" customHeight="1" x14ac:dyDescent="0.3">
      <c r="K23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33" s="1">
        <f>M232+Table1181920231030313235383940414810[[#This Row],[اجمالي الفاتوره]]-Table1181920231030313235383940414810[[#This Row],[الدفعات]]</f>
        <v>311103.97999999992</v>
      </c>
      <c r="O233" s="48"/>
    </row>
    <row r="234" spans="11:15" ht="26.25" customHeight="1" x14ac:dyDescent="0.3">
      <c r="K23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34" s="1">
        <f>M233+Table1181920231030313235383940414810[[#This Row],[اجمالي الفاتوره]]-Table1181920231030313235383940414810[[#This Row],[الدفعات]]</f>
        <v>311103.97999999992</v>
      </c>
      <c r="O234" s="48"/>
    </row>
    <row r="235" spans="11:15" ht="26.25" customHeight="1" x14ac:dyDescent="0.3">
      <c r="K23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35" s="1">
        <f>M234+Table1181920231030313235383940414810[[#This Row],[اجمالي الفاتوره]]-Table1181920231030313235383940414810[[#This Row],[الدفعات]]</f>
        <v>311103.97999999992</v>
      </c>
      <c r="O235" s="48"/>
    </row>
    <row r="236" spans="11:15" ht="26.25" customHeight="1" x14ac:dyDescent="0.3">
      <c r="K23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36" s="1">
        <f>M235+Table1181920231030313235383940414810[[#This Row],[اجمالي الفاتوره]]-Table1181920231030313235383940414810[[#This Row],[الدفعات]]</f>
        <v>311103.97999999992</v>
      </c>
      <c r="O236" s="48"/>
    </row>
    <row r="237" spans="11:15" ht="26.25" customHeight="1" x14ac:dyDescent="0.3">
      <c r="K23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37" s="1">
        <f>M236+Table1181920231030313235383940414810[[#This Row],[اجمالي الفاتوره]]-Table1181920231030313235383940414810[[#This Row],[الدفعات]]</f>
        <v>311103.97999999992</v>
      </c>
      <c r="O237" s="48"/>
    </row>
    <row r="238" spans="11:15" ht="26.25" customHeight="1" x14ac:dyDescent="0.3">
      <c r="K23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38" s="1">
        <f>M237+Table1181920231030313235383940414810[[#This Row],[اجمالي الفاتوره]]-Table1181920231030313235383940414810[[#This Row],[الدفعات]]</f>
        <v>311103.97999999992</v>
      </c>
      <c r="O238" s="48"/>
    </row>
    <row r="239" spans="11:15" ht="26.25" customHeight="1" x14ac:dyDescent="0.3">
      <c r="K23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39" s="1">
        <f>M238+Table1181920231030313235383940414810[[#This Row],[اجمالي الفاتوره]]-Table1181920231030313235383940414810[[#This Row],[الدفعات]]</f>
        <v>311103.97999999992</v>
      </c>
      <c r="O239" s="48"/>
    </row>
    <row r="240" spans="11:15" ht="26.25" customHeight="1" x14ac:dyDescent="0.3">
      <c r="K24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40" s="1">
        <f>M239+Table1181920231030313235383940414810[[#This Row],[اجمالي الفاتوره]]-Table1181920231030313235383940414810[[#This Row],[الدفعات]]</f>
        <v>311103.97999999992</v>
      </c>
      <c r="O240" s="48"/>
    </row>
    <row r="241" spans="9:15" ht="26.25" customHeight="1" x14ac:dyDescent="0.3">
      <c r="K24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41" s="1">
        <f>M240+Table1181920231030313235383940414810[[#This Row],[اجمالي الفاتوره]]-Table1181920231030313235383940414810[[#This Row],[الدفعات]]</f>
        <v>311103.97999999992</v>
      </c>
      <c r="O241" s="48"/>
    </row>
    <row r="242" spans="9:15" ht="26.25" customHeight="1" x14ac:dyDescent="0.3">
      <c r="I242" s="1">
        <f>0.03*Table1181920231030313235383940414810[[#This Row],[النولون]]</f>
        <v>0</v>
      </c>
      <c r="K24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42" s="1">
        <f>M241+Table1181920231030313235383940414810[[#This Row],[اجمالي الفاتوره]]-Table1181920231030313235383940414810[[#This Row],[الدفعات]]</f>
        <v>311103.97999999992</v>
      </c>
      <c r="O242" s="48"/>
    </row>
    <row r="243" spans="9:15" ht="26.25" customHeight="1" x14ac:dyDescent="0.3">
      <c r="I243" s="1">
        <f>0.03*Table1181920231030313235383940414810[[#This Row],[النولون]]</f>
        <v>0</v>
      </c>
      <c r="K24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43" s="1">
        <f>M242+Table1181920231030313235383940414810[[#This Row],[اجمالي الفاتوره]]-Table1181920231030313235383940414810[[#This Row],[الدفعات]]</f>
        <v>311103.97999999992</v>
      </c>
      <c r="O243" s="48"/>
    </row>
    <row r="244" spans="9:15" ht="26.25" customHeight="1" x14ac:dyDescent="0.3">
      <c r="I244" s="1">
        <f>0.03*Table1181920231030313235383940414810[[#This Row],[النولون]]</f>
        <v>0</v>
      </c>
      <c r="K24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44" s="1">
        <f>M243+Table1181920231030313235383940414810[[#This Row],[اجمالي الفاتوره]]-Table1181920231030313235383940414810[[#This Row],[الدفعات]]</f>
        <v>311103.97999999992</v>
      </c>
      <c r="O244" s="48"/>
    </row>
    <row r="245" spans="9:15" ht="26.25" customHeight="1" x14ac:dyDescent="0.3">
      <c r="I245" s="1">
        <f>0.03*Table1181920231030313235383940414810[[#This Row],[النولون]]</f>
        <v>0</v>
      </c>
      <c r="K24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45" s="1">
        <f>M244+Table1181920231030313235383940414810[[#This Row],[اجمالي الفاتوره]]-Table1181920231030313235383940414810[[#This Row],[الدفعات]]</f>
        <v>311103.97999999992</v>
      </c>
      <c r="O245" s="48"/>
    </row>
    <row r="246" spans="9:15" ht="26.25" customHeight="1" x14ac:dyDescent="0.3">
      <c r="I246" s="1">
        <f>0.03*Table1181920231030313235383940414810[[#This Row],[النولون]]</f>
        <v>0</v>
      </c>
      <c r="K24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46" s="1">
        <f>M245+Table1181920231030313235383940414810[[#This Row],[اجمالي الفاتوره]]-Table1181920231030313235383940414810[[#This Row],[الدفعات]]</f>
        <v>311103.97999999992</v>
      </c>
      <c r="O246" s="48"/>
    </row>
    <row r="247" spans="9:15" ht="26.25" customHeight="1" x14ac:dyDescent="0.3">
      <c r="I247" s="1">
        <f>0.03*Table1181920231030313235383940414810[[#This Row],[النولون]]</f>
        <v>0</v>
      </c>
      <c r="K24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47" s="1">
        <f>M246+Table1181920231030313235383940414810[[#This Row],[اجمالي الفاتوره]]-Table1181920231030313235383940414810[[#This Row],[الدفعات]]</f>
        <v>311103.97999999992</v>
      </c>
      <c r="O247" s="48"/>
    </row>
    <row r="248" spans="9:15" ht="26.25" customHeight="1" x14ac:dyDescent="0.3">
      <c r="I248" s="1">
        <f>0.03*Table1181920231030313235383940414810[[#This Row],[النولون]]</f>
        <v>0</v>
      </c>
      <c r="K24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48" s="1">
        <f>M247+Table1181920231030313235383940414810[[#This Row],[اجمالي الفاتوره]]-Table1181920231030313235383940414810[[#This Row],[الدفعات]]</f>
        <v>311103.97999999992</v>
      </c>
      <c r="O248" s="48"/>
    </row>
    <row r="249" spans="9:15" ht="26.25" customHeight="1" x14ac:dyDescent="0.3">
      <c r="I249" s="1">
        <f>0.03*Table1181920231030313235383940414810[[#This Row],[النولون]]</f>
        <v>0</v>
      </c>
      <c r="K24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49" s="1">
        <f>M248+Table1181920231030313235383940414810[[#This Row],[اجمالي الفاتوره]]-Table1181920231030313235383940414810[[#This Row],[الدفعات]]</f>
        <v>311103.97999999992</v>
      </c>
      <c r="O249" s="48"/>
    </row>
    <row r="250" spans="9:15" ht="26.25" customHeight="1" x14ac:dyDescent="0.3">
      <c r="I250" s="1">
        <f>0.03*Table1181920231030313235383940414810[[#This Row],[النولون]]</f>
        <v>0</v>
      </c>
      <c r="K25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50" s="1">
        <f>M249+Table1181920231030313235383940414810[[#This Row],[اجمالي الفاتوره]]-Table1181920231030313235383940414810[[#This Row],[الدفعات]]</f>
        <v>311103.97999999992</v>
      </c>
      <c r="O250" s="48"/>
    </row>
    <row r="251" spans="9:15" ht="26.25" customHeight="1" x14ac:dyDescent="0.3">
      <c r="I251" s="1">
        <f>0.03*Table1181920231030313235383940414810[[#This Row],[النولون]]</f>
        <v>0</v>
      </c>
      <c r="K25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51" s="1">
        <f>M250+Table1181920231030313235383940414810[[#This Row],[اجمالي الفاتوره]]-Table1181920231030313235383940414810[[#This Row],[الدفعات]]</f>
        <v>311103.97999999992</v>
      </c>
      <c r="O251" s="48"/>
    </row>
    <row r="252" spans="9:15" ht="26.25" customHeight="1" x14ac:dyDescent="0.3">
      <c r="I252" s="1">
        <f>0.03*Table1181920231030313235383940414810[[#This Row],[النولون]]</f>
        <v>0</v>
      </c>
      <c r="K25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52" s="1">
        <f>M251+Table1181920231030313235383940414810[[#This Row],[اجمالي الفاتوره]]-Table1181920231030313235383940414810[[#This Row],[الدفعات]]</f>
        <v>311103.97999999992</v>
      </c>
      <c r="O252" s="48"/>
    </row>
    <row r="253" spans="9:15" ht="26.25" customHeight="1" x14ac:dyDescent="0.3">
      <c r="I253" s="1">
        <f>0.03*Table1181920231030313235383940414810[[#This Row],[النولون]]</f>
        <v>0</v>
      </c>
      <c r="K25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53" s="1">
        <f>M252+Table1181920231030313235383940414810[[#This Row],[اجمالي الفاتوره]]-Table1181920231030313235383940414810[[#This Row],[الدفعات]]</f>
        <v>311103.97999999992</v>
      </c>
      <c r="O253" s="48"/>
    </row>
    <row r="254" spans="9:15" ht="26.25" customHeight="1" x14ac:dyDescent="0.3">
      <c r="I254" s="1">
        <f>0.03*Table1181920231030313235383940414810[[#This Row],[النولون]]</f>
        <v>0</v>
      </c>
      <c r="K25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54" s="1">
        <f>M253+Table1181920231030313235383940414810[[#This Row],[اجمالي الفاتوره]]-Table1181920231030313235383940414810[[#This Row],[الدفعات]]</f>
        <v>311103.97999999992</v>
      </c>
      <c r="O254" s="48"/>
    </row>
    <row r="255" spans="9:15" ht="26.25" customHeight="1" x14ac:dyDescent="0.3">
      <c r="I255" s="1">
        <f>0.03*Table1181920231030313235383940414810[[#This Row],[النولون]]</f>
        <v>0</v>
      </c>
      <c r="K25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55" s="1">
        <f>M254+Table1181920231030313235383940414810[[#This Row],[اجمالي الفاتوره]]-Table1181920231030313235383940414810[[#This Row],[الدفعات]]</f>
        <v>311103.97999999992</v>
      </c>
      <c r="O255" s="48"/>
    </row>
    <row r="256" spans="9:15" ht="26.25" customHeight="1" x14ac:dyDescent="0.3">
      <c r="I256" s="1">
        <f>0.03*Table1181920231030313235383940414810[[#This Row],[النولون]]</f>
        <v>0</v>
      </c>
      <c r="K25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56" s="1">
        <f>M255+Table1181920231030313235383940414810[[#This Row],[اجمالي الفاتوره]]-Table1181920231030313235383940414810[[#This Row],[الدفعات]]</f>
        <v>311103.97999999992</v>
      </c>
      <c r="O256" s="48"/>
    </row>
    <row r="257" spans="9:15" ht="26.25" customHeight="1" x14ac:dyDescent="0.3">
      <c r="I257" s="1">
        <f>0.03*Table1181920231030313235383940414810[[#This Row],[النولون]]</f>
        <v>0</v>
      </c>
      <c r="K25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57" s="1">
        <f>M256+Table1181920231030313235383940414810[[#This Row],[اجمالي الفاتوره]]-Table1181920231030313235383940414810[[#This Row],[الدفعات]]</f>
        <v>311103.97999999992</v>
      </c>
      <c r="O257" s="48"/>
    </row>
    <row r="258" spans="9:15" ht="26.25" customHeight="1" x14ac:dyDescent="0.3">
      <c r="I258" s="1">
        <f>0.03*Table1181920231030313235383940414810[[#This Row],[النولون]]</f>
        <v>0</v>
      </c>
      <c r="K25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58" s="1">
        <f>M257+Table1181920231030313235383940414810[[#This Row],[اجمالي الفاتوره]]-Table1181920231030313235383940414810[[#This Row],[الدفعات]]</f>
        <v>311103.97999999992</v>
      </c>
      <c r="O258" s="48"/>
    </row>
    <row r="259" spans="9:15" ht="26.25" customHeight="1" x14ac:dyDescent="0.3">
      <c r="I259" s="1">
        <f>0.03*Table1181920231030313235383940414810[[#This Row],[النولون]]</f>
        <v>0</v>
      </c>
      <c r="K25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59" s="1">
        <f>M258+Table1181920231030313235383940414810[[#This Row],[اجمالي الفاتوره]]-Table1181920231030313235383940414810[[#This Row],[الدفعات]]</f>
        <v>311103.97999999992</v>
      </c>
      <c r="O259" s="48"/>
    </row>
    <row r="260" spans="9:15" ht="26.25" customHeight="1" x14ac:dyDescent="0.3">
      <c r="I260" s="1">
        <f>0.03*Table1181920231030313235383940414810[[#This Row],[النولون]]</f>
        <v>0</v>
      </c>
      <c r="K26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60" s="1">
        <f>M259+Table1181920231030313235383940414810[[#This Row],[اجمالي الفاتوره]]-Table1181920231030313235383940414810[[#This Row],[الدفعات]]</f>
        <v>311103.97999999992</v>
      </c>
      <c r="O260" s="48"/>
    </row>
    <row r="261" spans="9:15" ht="26.25" customHeight="1" x14ac:dyDescent="0.3">
      <c r="I261" s="1">
        <f>0.03*Table1181920231030313235383940414810[[#This Row],[النولون]]</f>
        <v>0</v>
      </c>
      <c r="K26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61" s="1">
        <f>M260+Table1181920231030313235383940414810[[#This Row],[اجمالي الفاتوره]]-Table1181920231030313235383940414810[[#This Row],[الدفعات]]</f>
        <v>311103.97999999992</v>
      </c>
      <c r="O261" s="48"/>
    </row>
    <row r="262" spans="9:15" ht="26.25" customHeight="1" x14ac:dyDescent="0.3">
      <c r="I262" s="1">
        <f>0.03*Table1181920231030313235383940414810[[#This Row],[النولون]]</f>
        <v>0</v>
      </c>
      <c r="K26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62" s="1">
        <f>M261+Table1181920231030313235383940414810[[#This Row],[اجمالي الفاتوره]]-Table1181920231030313235383940414810[[#This Row],[الدفعات]]</f>
        <v>311103.97999999992</v>
      </c>
      <c r="O262" s="48"/>
    </row>
    <row r="263" spans="9:15" ht="26.25" customHeight="1" x14ac:dyDescent="0.3">
      <c r="I263" s="1">
        <f>0.03*Table1181920231030313235383940414810[[#This Row],[النولون]]</f>
        <v>0</v>
      </c>
      <c r="K26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63" s="1">
        <f>M262+Table1181920231030313235383940414810[[#This Row],[اجمالي الفاتوره]]-Table1181920231030313235383940414810[[#This Row],[الدفعات]]</f>
        <v>311103.97999999992</v>
      </c>
      <c r="O263" s="48"/>
    </row>
    <row r="264" spans="9:15" ht="26.25" customHeight="1" x14ac:dyDescent="0.3">
      <c r="I264" s="1">
        <f>0.03*Table1181920231030313235383940414810[[#This Row],[النولون]]</f>
        <v>0</v>
      </c>
      <c r="K26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64" s="1">
        <f>M263+Table1181920231030313235383940414810[[#This Row],[اجمالي الفاتوره]]-Table1181920231030313235383940414810[[#This Row],[الدفعات]]</f>
        <v>311103.97999999992</v>
      </c>
      <c r="O264" s="48"/>
    </row>
    <row r="265" spans="9:15" ht="26.25" customHeight="1" x14ac:dyDescent="0.3">
      <c r="I265" s="1">
        <f>0.03*Table1181920231030313235383940414810[[#This Row],[النولون]]</f>
        <v>0</v>
      </c>
      <c r="K26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65" s="1">
        <f>M264+Table1181920231030313235383940414810[[#This Row],[اجمالي الفاتوره]]-Table1181920231030313235383940414810[[#This Row],[الدفعات]]</f>
        <v>311103.97999999992</v>
      </c>
      <c r="O265" s="48"/>
    </row>
    <row r="266" spans="9:15" ht="26.25" customHeight="1" x14ac:dyDescent="0.3">
      <c r="I266" s="1">
        <f>0.03*Table1181920231030313235383940414810[[#This Row],[النولون]]</f>
        <v>0</v>
      </c>
      <c r="K26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66" s="1">
        <f>M265+Table1181920231030313235383940414810[[#This Row],[اجمالي الفاتوره]]-Table1181920231030313235383940414810[[#This Row],[الدفعات]]</f>
        <v>311103.97999999992</v>
      </c>
      <c r="O266" s="48"/>
    </row>
    <row r="267" spans="9:15" ht="26.25" customHeight="1" x14ac:dyDescent="0.3">
      <c r="I267" s="1">
        <f>0.03*Table1181920231030313235383940414810[[#This Row],[النولون]]</f>
        <v>0</v>
      </c>
      <c r="K26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67" s="1">
        <f>M266+Table1181920231030313235383940414810[[#This Row],[اجمالي الفاتوره]]-Table1181920231030313235383940414810[[#This Row],[الدفعات]]</f>
        <v>311103.97999999992</v>
      </c>
      <c r="O267" s="48"/>
    </row>
    <row r="268" spans="9:15" ht="26.25" customHeight="1" x14ac:dyDescent="0.3">
      <c r="I268" s="1">
        <f>0.03*Table1181920231030313235383940414810[[#This Row],[النولون]]</f>
        <v>0</v>
      </c>
      <c r="K26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68" s="1">
        <f>M267+Table1181920231030313235383940414810[[#This Row],[اجمالي الفاتوره]]-Table1181920231030313235383940414810[[#This Row],[الدفعات]]</f>
        <v>311103.97999999992</v>
      </c>
      <c r="O268" s="48"/>
    </row>
    <row r="269" spans="9:15" ht="26.25" customHeight="1" x14ac:dyDescent="0.3">
      <c r="I269" s="1">
        <f>0.03*Table1181920231030313235383940414810[[#This Row],[النولون]]</f>
        <v>0</v>
      </c>
      <c r="K26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69" s="1">
        <f>M268+Table1181920231030313235383940414810[[#This Row],[اجمالي الفاتوره]]-Table1181920231030313235383940414810[[#This Row],[الدفعات]]</f>
        <v>311103.97999999992</v>
      </c>
      <c r="O269" s="48"/>
    </row>
    <row r="270" spans="9:15" ht="26.25" customHeight="1" x14ac:dyDescent="0.3">
      <c r="I270" s="1">
        <f>0.03*Table1181920231030313235383940414810[[#This Row],[النولون]]</f>
        <v>0</v>
      </c>
      <c r="K27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70" s="1">
        <f>M269+Table1181920231030313235383940414810[[#This Row],[اجمالي الفاتوره]]-Table1181920231030313235383940414810[[#This Row],[الدفعات]]</f>
        <v>311103.97999999992</v>
      </c>
      <c r="O270" s="48"/>
    </row>
    <row r="271" spans="9:15" ht="26.25" customHeight="1" x14ac:dyDescent="0.3">
      <c r="I271" s="1">
        <f>0.03*Table1181920231030313235383940414810[[#This Row],[النولون]]</f>
        <v>0</v>
      </c>
      <c r="K27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71" s="1">
        <f>M270+Table1181920231030313235383940414810[[#This Row],[اجمالي الفاتوره]]-Table1181920231030313235383940414810[[#This Row],[الدفعات]]</f>
        <v>311103.97999999992</v>
      </c>
      <c r="O271" s="48"/>
    </row>
    <row r="272" spans="9:15" ht="26.25" customHeight="1" x14ac:dyDescent="0.3">
      <c r="I272" s="1">
        <f>0.03*Table1181920231030313235383940414810[[#This Row],[النولون]]</f>
        <v>0</v>
      </c>
      <c r="K27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72" s="1">
        <f>M271+Table1181920231030313235383940414810[[#This Row],[اجمالي الفاتوره]]-Table1181920231030313235383940414810[[#This Row],[الدفعات]]</f>
        <v>311103.97999999992</v>
      </c>
      <c r="O272" s="48"/>
    </row>
    <row r="273" spans="9:15" ht="26.25" customHeight="1" x14ac:dyDescent="0.3">
      <c r="I273" s="1">
        <f>0.03*Table1181920231030313235383940414810[[#This Row],[النولون]]</f>
        <v>0</v>
      </c>
      <c r="K27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73" s="1">
        <f>M272+Table1181920231030313235383940414810[[#This Row],[اجمالي الفاتوره]]-Table1181920231030313235383940414810[[#This Row],[الدفعات]]</f>
        <v>311103.97999999992</v>
      </c>
      <c r="O273" s="48"/>
    </row>
    <row r="274" spans="9:15" ht="26.25" customHeight="1" x14ac:dyDescent="0.3">
      <c r="I274" s="1">
        <f>0.03*Table1181920231030313235383940414810[[#This Row],[النولون]]</f>
        <v>0</v>
      </c>
      <c r="K27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74" s="1">
        <f>M273+Table1181920231030313235383940414810[[#This Row],[اجمالي الفاتوره]]-Table1181920231030313235383940414810[[#This Row],[الدفعات]]</f>
        <v>311103.97999999992</v>
      </c>
      <c r="O274" s="48"/>
    </row>
    <row r="275" spans="9:15" ht="26.25" customHeight="1" x14ac:dyDescent="0.3">
      <c r="I275" s="1">
        <f>0.03*Table1181920231030313235383940414810[[#This Row],[النولون]]</f>
        <v>0</v>
      </c>
      <c r="K27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75" s="1">
        <f>M274+Table1181920231030313235383940414810[[#This Row],[اجمالي الفاتوره]]-Table1181920231030313235383940414810[[#This Row],[الدفعات]]</f>
        <v>311103.97999999992</v>
      </c>
      <c r="O275" s="48"/>
    </row>
    <row r="276" spans="9:15" ht="26.25" customHeight="1" x14ac:dyDescent="0.3">
      <c r="I276" s="1">
        <f>0.03*Table1181920231030313235383940414810[[#This Row],[النولون]]</f>
        <v>0</v>
      </c>
      <c r="K27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76" s="1">
        <f>M275+Table1181920231030313235383940414810[[#This Row],[اجمالي الفاتوره]]-Table1181920231030313235383940414810[[#This Row],[الدفعات]]</f>
        <v>311103.97999999992</v>
      </c>
      <c r="O276" s="48"/>
    </row>
    <row r="277" spans="9:15" ht="26.25" customHeight="1" x14ac:dyDescent="0.3">
      <c r="I277" s="1">
        <f>0.03*Table1181920231030313235383940414810[[#This Row],[النولون]]</f>
        <v>0</v>
      </c>
      <c r="K27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77" s="1">
        <f>M276+Table1181920231030313235383940414810[[#This Row],[اجمالي الفاتوره]]-Table1181920231030313235383940414810[[#This Row],[الدفعات]]</f>
        <v>311103.97999999992</v>
      </c>
      <c r="O277" s="48"/>
    </row>
    <row r="278" spans="9:15" ht="26.25" customHeight="1" x14ac:dyDescent="0.3">
      <c r="I278" s="1">
        <f>0.03*Table1181920231030313235383940414810[[#This Row],[النولون]]</f>
        <v>0</v>
      </c>
      <c r="K27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78" s="1">
        <f>M277+Table1181920231030313235383940414810[[#This Row],[اجمالي الفاتوره]]-Table1181920231030313235383940414810[[#This Row],[الدفعات]]</f>
        <v>311103.97999999992</v>
      </c>
      <c r="O278" s="48"/>
    </row>
    <row r="279" spans="9:15" ht="26.25" customHeight="1" x14ac:dyDescent="0.3">
      <c r="I279" s="1">
        <f>0.03*Table1181920231030313235383940414810[[#This Row],[النولون]]</f>
        <v>0</v>
      </c>
      <c r="K27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79" s="1">
        <f>M278+Table1181920231030313235383940414810[[#This Row],[اجمالي الفاتوره]]-Table1181920231030313235383940414810[[#This Row],[الدفعات]]</f>
        <v>311103.97999999992</v>
      </c>
      <c r="O279" s="48"/>
    </row>
    <row r="280" spans="9:15" ht="26.25" customHeight="1" x14ac:dyDescent="0.3">
      <c r="I280" s="1">
        <f>0.03*Table1181920231030313235383940414810[[#This Row],[النولون]]</f>
        <v>0</v>
      </c>
      <c r="K28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80" s="1">
        <f>M279+Table1181920231030313235383940414810[[#This Row],[اجمالي الفاتوره]]-Table1181920231030313235383940414810[[#This Row],[الدفعات]]</f>
        <v>311103.97999999992</v>
      </c>
      <c r="O280" s="48"/>
    </row>
    <row r="281" spans="9:15" ht="26.25" customHeight="1" x14ac:dyDescent="0.3">
      <c r="I281" s="1">
        <f>0.03*Table1181920231030313235383940414810[[#This Row],[النولون]]</f>
        <v>0</v>
      </c>
      <c r="K28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81" s="1">
        <f>M280+Table1181920231030313235383940414810[[#This Row],[اجمالي الفاتوره]]-Table1181920231030313235383940414810[[#This Row],[الدفعات]]</f>
        <v>311103.97999999992</v>
      </c>
      <c r="O281" s="48"/>
    </row>
    <row r="282" spans="9:15" ht="26.25" customHeight="1" x14ac:dyDescent="0.3">
      <c r="I282" s="1">
        <f>0.03*Table1181920231030313235383940414810[[#This Row],[النولون]]</f>
        <v>0</v>
      </c>
      <c r="K28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82" s="1">
        <f>M281+Table1181920231030313235383940414810[[#This Row],[اجمالي الفاتوره]]-Table1181920231030313235383940414810[[#This Row],[الدفعات]]</f>
        <v>311103.97999999992</v>
      </c>
      <c r="O282" s="48"/>
    </row>
    <row r="283" spans="9:15" ht="26.25" customHeight="1" x14ac:dyDescent="0.3">
      <c r="I283" s="1">
        <f>0.03*Table1181920231030313235383940414810[[#This Row],[النولون]]</f>
        <v>0</v>
      </c>
      <c r="K28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83" s="1">
        <f>M282+Table1181920231030313235383940414810[[#This Row],[اجمالي الفاتوره]]-Table1181920231030313235383940414810[[#This Row],[الدفعات]]</f>
        <v>311103.97999999992</v>
      </c>
      <c r="O283" s="48"/>
    </row>
    <row r="284" spans="9:15" ht="26.25" customHeight="1" x14ac:dyDescent="0.3">
      <c r="I284" s="1">
        <f>0.03*Table1181920231030313235383940414810[[#This Row],[النولون]]</f>
        <v>0</v>
      </c>
      <c r="K28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84" s="1">
        <f>M283+Table1181920231030313235383940414810[[#This Row],[اجمالي الفاتوره]]-Table1181920231030313235383940414810[[#This Row],[الدفعات]]</f>
        <v>311103.97999999992</v>
      </c>
      <c r="O284" s="48"/>
    </row>
    <row r="285" spans="9:15" ht="26.25" customHeight="1" x14ac:dyDescent="0.3">
      <c r="I285" s="1">
        <f>0.03*Table1181920231030313235383940414810[[#This Row],[النولون]]</f>
        <v>0</v>
      </c>
      <c r="K28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85" s="1">
        <f>M284+Table1181920231030313235383940414810[[#This Row],[اجمالي الفاتوره]]-Table1181920231030313235383940414810[[#This Row],[الدفعات]]</f>
        <v>311103.97999999992</v>
      </c>
      <c r="O285" s="48"/>
    </row>
    <row r="286" spans="9:15" ht="26.25" customHeight="1" x14ac:dyDescent="0.3">
      <c r="I286" s="1">
        <f>0.03*Table1181920231030313235383940414810[[#This Row],[النولون]]</f>
        <v>0</v>
      </c>
      <c r="K28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86" s="1">
        <f>M285+Table1181920231030313235383940414810[[#This Row],[اجمالي الفاتوره]]-Table1181920231030313235383940414810[[#This Row],[الدفعات]]</f>
        <v>311103.97999999992</v>
      </c>
      <c r="O286" s="48"/>
    </row>
    <row r="287" spans="9:15" ht="26.25" customHeight="1" x14ac:dyDescent="0.3">
      <c r="I287" s="1">
        <f>0.03*Table1181920231030313235383940414810[[#This Row],[النولون]]</f>
        <v>0</v>
      </c>
      <c r="K28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87" s="1">
        <f>M286+Table1181920231030313235383940414810[[#This Row],[اجمالي الفاتوره]]-Table1181920231030313235383940414810[[#This Row],[الدفعات]]</f>
        <v>311103.97999999992</v>
      </c>
      <c r="O287" s="48"/>
    </row>
    <row r="288" spans="9:15" ht="26.25" customHeight="1" x14ac:dyDescent="0.3">
      <c r="I288" s="1">
        <f>0.03*Table1181920231030313235383940414810[[#This Row],[النولون]]</f>
        <v>0</v>
      </c>
      <c r="K28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88" s="1">
        <f>M287+Table1181920231030313235383940414810[[#This Row],[اجمالي الفاتوره]]-Table1181920231030313235383940414810[[#This Row],[الدفعات]]</f>
        <v>311103.97999999992</v>
      </c>
      <c r="O288" s="48"/>
    </row>
    <row r="289" spans="9:15" ht="26.25" customHeight="1" x14ac:dyDescent="0.3">
      <c r="I289" s="1">
        <f>0.03*Table1181920231030313235383940414810[[#This Row],[النولون]]</f>
        <v>0</v>
      </c>
      <c r="K28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89" s="1">
        <f>M288+Table1181920231030313235383940414810[[#This Row],[اجمالي الفاتوره]]-Table1181920231030313235383940414810[[#This Row],[الدفعات]]</f>
        <v>311103.97999999992</v>
      </c>
      <c r="O289" s="48"/>
    </row>
    <row r="290" spans="9:15" ht="26.25" customHeight="1" x14ac:dyDescent="0.3">
      <c r="I290" s="1">
        <f>0.03*Table1181920231030313235383940414810[[#This Row],[النولون]]</f>
        <v>0</v>
      </c>
      <c r="K29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90" s="1">
        <f>M289+Table1181920231030313235383940414810[[#This Row],[اجمالي الفاتوره]]-Table1181920231030313235383940414810[[#This Row],[الدفعات]]</f>
        <v>311103.97999999992</v>
      </c>
      <c r="O290" s="48"/>
    </row>
    <row r="291" spans="9:15" ht="26.25" customHeight="1" x14ac:dyDescent="0.3">
      <c r="I291" s="1">
        <f>0.03*Table1181920231030313235383940414810[[#This Row],[النولون]]</f>
        <v>0</v>
      </c>
      <c r="K29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91" s="1">
        <f>M290+Table1181920231030313235383940414810[[#This Row],[اجمالي الفاتوره]]-Table1181920231030313235383940414810[[#This Row],[الدفعات]]</f>
        <v>311103.97999999992</v>
      </c>
      <c r="O291" s="48"/>
    </row>
    <row r="292" spans="9:15" ht="26.25" customHeight="1" x14ac:dyDescent="0.3">
      <c r="I292" s="1">
        <f>0.03*Table1181920231030313235383940414810[[#This Row],[النولون]]</f>
        <v>0</v>
      </c>
      <c r="K29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92" s="1">
        <f>M291+Table1181920231030313235383940414810[[#This Row],[اجمالي الفاتوره]]-Table1181920231030313235383940414810[[#This Row],[الدفعات]]</f>
        <v>311103.97999999992</v>
      </c>
      <c r="O292" s="48"/>
    </row>
    <row r="293" spans="9:15" ht="26.25" customHeight="1" x14ac:dyDescent="0.3">
      <c r="I293" s="1">
        <f>0.03*Table1181920231030313235383940414810[[#This Row],[النولون]]</f>
        <v>0</v>
      </c>
      <c r="K29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93" s="1">
        <f>M292+Table1181920231030313235383940414810[[#This Row],[اجمالي الفاتوره]]-Table1181920231030313235383940414810[[#This Row],[الدفعات]]</f>
        <v>311103.97999999992</v>
      </c>
      <c r="O293" s="48"/>
    </row>
    <row r="294" spans="9:15" ht="26.25" customHeight="1" x14ac:dyDescent="0.3">
      <c r="I294" s="1">
        <f>0.03*Table1181920231030313235383940414810[[#This Row],[النولون]]</f>
        <v>0</v>
      </c>
      <c r="K29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94" s="1">
        <f>M293+Table1181920231030313235383940414810[[#This Row],[اجمالي الفاتوره]]-Table1181920231030313235383940414810[[#This Row],[الدفعات]]</f>
        <v>311103.97999999992</v>
      </c>
      <c r="O294" s="48"/>
    </row>
    <row r="295" spans="9:15" ht="26.25" customHeight="1" x14ac:dyDescent="0.3">
      <c r="I295" s="1">
        <f>0.03*Table1181920231030313235383940414810[[#This Row],[النولون]]</f>
        <v>0</v>
      </c>
      <c r="K29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95" s="1">
        <f>M294+Table1181920231030313235383940414810[[#This Row],[اجمالي الفاتوره]]-Table1181920231030313235383940414810[[#This Row],[الدفعات]]</f>
        <v>311103.97999999992</v>
      </c>
      <c r="O295" s="48"/>
    </row>
    <row r="296" spans="9:15" ht="26.25" customHeight="1" x14ac:dyDescent="0.3">
      <c r="I296" s="1">
        <f>0.03*Table1181920231030313235383940414810[[#This Row],[النولون]]</f>
        <v>0</v>
      </c>
      <c r="K29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96" s="1">
        <f>M295+Table1181920231030313235383940414810[[#This Row],[اجمالي الفاتوره]]-Table1181920231030313235383940414810[[#This Row],[الدفعات]]</f>
        <v>311103.97999999992</v>
      </c>
      <c r="O296" s="48"/>
    </row>
    <row r="297" spans="9:15" ht="26.25" customHeight="1" x14ac:dyDescent="0.3">
      <c r="I297" s="1">
        <f>0.03*Table1181920231030313235383940414810[[#This Row],[النولون]]</f>
        <v>0</v>
      </c>
      <c r="K29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97" s="1">
        <f>M296+Table1181920231030313235383940414810[[#This Row],[اجمالي الفاتوره]]-Table1181920231030313235383940414810[[#This Row],[الدفعات]]</f>
        <v>311103.97999999992</v>
      </c>
      <c r="O297" s="48"/>
    </row>
    <row r="298" spans="9:15" ht="26.25" customHeight="1" x14ac:dyDescent="0.3">
      <c r="I298" s="1">
        <f>0.03*Table1181920231030313235383940414810[[#This Row],[النولون]]</f>
        <v>0</v>
      </c>
      <c r="K29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98" s="1">
        <f>M297+Table1181920231030313235383940414810[[#This Row],[اجمالي الفاتوره]]-Table1181920231030313235383940414810[[#This Row],[الدفعات]]</f>
        <v>311103.97999999992</v>
      </c>
      <c r="O298" s="48"/>
    </row>
    <row r="299" spans="9:15" ht="26.25" customHeight="1" x14ac:dyDescent="0.3">
      <c r="I299" s="1">
        <f>0.03*Table1181920231030313235383940414810[[#This Row],[النولون]]</f>
        <v>0</v>
      </c>
      <c r="K29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299" s="1">
        <f>M298+Table1181920231030313235383940414810[[#This Row],[اجمالي الفاتوره]]-Table1181920231030313235383940414810[[#This Row],[الدفعات]]</f>
        <v>311103.97999999992</v>
      </c>
      <c r="O299" s="48"/>
    </row>
    <row r="300" spans="9:15" ht="26.25" customHeight="1" x14ac:dyDescent="0.3">
      <c r="I300" s="1">
        <f>0.03*Table1181920231030313235383940414810[[#This Row],[النولون]]</f>
        <v>0</v>
      </c>
      <c r="K30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00" s="1">
        <f>M299+Table1181920231030313235383940414810[[#This Row],[اجمالي الفاتوره]]-Table1181920231030313235383940414810[[#This Row],[الدفعات]]</f>
        <v>311103.97999999992</v>
      </c>
      <c r="O300" s="48"/>
    </row>
    <row r="301" spans="9:15" ht="26.25" customHeight="1" x14ac:dyDescent="0.3">
      <c r="I301" s="1">
        <f>0.03*Table1181920231030313235383940414810[[#This Row],[النولون]]</f>
        <v>0</v>
      </c>
      <c r="K30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01" s="1">
        <f>M300+Table1181920231030313235383940414810[[#This Row],[اجمالي الفاتوره]]-Table1181920231030313235383940414810[[#This Row],[الدفعات]]</f>
        <v>311103.97999999992</v>
      </c>
      <c r="O301" s="48"/>
    </row>
    <row r="302" spans="9:15" ht="26.25" customHeight="1" x14ac:dyDescent="0.3">
      <c r="I302" s="1">
        <f>0.03*Table1181920231030313235383940414810[[#This Row],[النولون]]</f>
        <v>0</v>
      </c>
      <c r="K30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02" s="1">
        <f>M301+Table1181920231030313235383940414810[[#This Row],[اجمالي الفاتوره]]-Table1181920231030313235383940414810[[#This Row],[الدفعات]]</f>
        <v>311103.97999999992</v>
      </c>
      <c r="O302" s="48"/>
    </row>
    <row r="303" spans="9:15" ht="26.25" customHeight="1" x14ac:dyDescent="0.3">
      <c r="I303" s="1">
        <f>0.03*Table1181920231030313235383940414810[[#This Row],[النولون]]</f>
        <v>0</v>
      </c>
      <c r="K30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03" s="1">
        <f>M302+Table1181920231030313235383940414810[[#This Row],[اجمالي الفاتوره]]-Table1181920231030313235383940414810[[#This Row],[الدفعات]]</f>
        <v>311103.97999999992</v>
      </c>
      <c r="O303" s="48"/>
    </row>
    <row r="304" spans="9:15" ht="26.25" customHeight="1" x14ac:dyDescent="0.3">
      <c r="I304" s="1">
        <f>0.03*Table1181920231030313235383940414810[[#This Row],[النولون]]</f>
        <v>0</v>
      </c>
      <c r="K30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04" s="1">
        <f>M303+Table1181920231030313235383940414810[[#This Row],[اجمالي الفاتوره]]-Table1181920231030313235383940414810[[#This Row],[الدفعات]]</f>
        <v>311103.97999999992</v>
      </c>
      <c r="O304" s="48"/>
    </row>
    <row r="305" spans="9:15" ht="26.25" customHeight="1" x14ac:dyDescent="0.3">
      <c r="I305" s="1">
        <f>0.03*Table1181920231030313235383940414810[[#This Row],[النولون]]</f>
        <v>0</v>
      </c>
      <c r="K30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05" s="1">
        <f>M304+Table1181920231030313235383940414810[[#This Row],[اجمالي الفاتوره]]-Table1181920231030313235383940414810[[#This Row],[الدفعات]]</f>
        <v>311103.97999999992</v>
      </c>
      <c r="O305" s="48"/>
    </row>
    <row r="306" spans="9:15" ht="26.25" customHeight="1" x14ac:dyDescent="0.3">
      <c r="I306" s="1">
        <f>0.03*Table1181920231030313235383940414810[[#This Row],[النولون]]</f>
        <v>0</v>
      </c>
      <c r="K30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06" s="1">
        <f>M305+Table1181920231030313235383940414810[[#This Row],[اجمالي الفاتوره]]-Table1181920231030313235383940414810[[#This Row],[الدفعات]]</f>
        <v>311103.97999999992</v>
      </c>
      <c r="O306" s="48"/>
    </row>
    <row r="307" spans="9:15" ht="26.25" customHeight="1" x14ac:dyDescent="0.3">
      <c r="I307" s="1">
        <f>0.03*Table1181920231030313235383940414810[[#This Row],[النولون]]</f>
        <v>0</v>
      </c>
      <c r="K30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07" s="1">
        <f>M306+Table1181920231030313235383940414810[[#This Row],[اجمالي الفاتوره]]-Table1181920231030313235383940414810[[#This Row],[الدفعات]]</f>
        <v>311103.97999999992</v>
      </c>
      <c r="O307" s="48"/>
    </row>
    <row r="308" spans="9:15" ht="26.25" customHeight="1" x14ac:dyDescent="0.3">
      <c r="I308" s="1">
        <f>0.03*Table1181920231030313235383940414810[[#This Row],[النولون]]</f>
        <v>0</v>
      </c>
      <c r="K30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08" s="1">
        <f>M307+Table1181920231030313235383940414810[[#This Row],[اجمالي الفاتوره]]-Table1181920231030313235383940414810[[#This Row],[الدفعات]]</f>
        <v>311103.97999999992</v>
      </c>
      <c r="O308" s="48"/>
    </row>
    <row r="309" spans="9:15" ht="26.25" customHeight="1" x14ac:dyDescent="0.3">
      <c r="I309" s="1">
        <f>0.03*Table1181920231030313235383940414810[[#This Row],[النولون]]</f>
        <v>0</v>
      </c>
      <c r="K30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09" s="1">
        <f>M308+Table1181920231030313235383940414810[[#This Row],[اجمالي الفاتوره]]-Table1181920231030313235383940414810[[#This Row],[الدفعات]]</f>
        <v>311103.97999999992</v>
      </c>
      <c r="O309" s="48"/>
    </row>
    <row r="310" spans="9:15" ht="26.25" customHeight="1" x14ac:dyDescent="0.3">
      <c r="I310" s="1">
        <f>0.03*Table1181920231030313235383940414810[[#This Row],[النولون]]</f>
        <v>0</v>
      </c>
      <c r="K31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10" s="1">
        <f>M309+Table1181920231030313235383940414810[[#This Row],[اجمالي الفاتوره]]-Table1181920231030313235383940414810[[#This Row],[الدفعات]]</f>
        <v>311103.97999999992</v>
      </c>
      <c r="O310" s="48"/>
    </row>
    <row r="311" spans="9:15" ht="26.25" customHeight="1" x14ac:dyDescent="0.3">
      <c r="I311" s="1">
        <f>0.03*Table1181920231030313235383940414810[[#This Row],[النولون]]</f>
        <v>0</v>
      </c>
      <c r="K31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11" s="1">
        <f>M310+Table1181920231030313235383940414810[[#This Row],[اجمالي الفاتوره]]-Table1181920231030313235383940414810[[#This Row],[الدفعات]]</f>
        <v>311103.97999999992</v>
      </c>
      <c r="O311" s="48"/>
    </row>
    <row r="312" spans="9:15" ht="26.25" customHeight="1" x14ac:dyDescent="0.3">
      <c r="I312" s="1">
        <f>0.03*Table1181920231030313235383940414810[[#This Row],[النولون]]</f>
        <v>0</v>
      </c>
      <c r="K31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12" s="1">
        <f>M311+Table1181920231030313235383940414810[[#This Row],[اجمالي الفاتوره]]-Table1181920231030313235383940414810[[#This Row],[الدفعات]]</f>
        <v>311103.97999999992</v>
      </c>
      <c r="O312" s="48"/>
    </row>
    <row r="313" spans="9:15" ht="26.25" customHeight="1" x14ac:dyDescent="0.3">
      <c r="I313" s="1">
        <f>0.03*Table1181920231030313235383940414810[[#This Row],[النولون]]</f>
        <v>0</v>
      </c>
      <c r="K31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13" s="1">
        <f>M312+Table1181920231030313235383940414810[[#This Row],[اجمالي الفاتوره]]-Table1181920231030313235383940414810[[#This Row],[الدفعات]]</f>
        <v>311103.97999999992</v>
      </c>
      <c r="O313" s="48"/>
    </row>
    <row r="314" spans="9:15" ht="26.25" customHeight="1" x14ac:dyDescent="0.3">
      <c r="I314" s="1">
        <f>0.03*Table1181920231030313235383940414810[[#This Row],[النولون]]</f>
        <v>0</v>
      </c>
      <c r="K31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14" s="1">
        <f>M313+Table1181920231030313235383940414810[[#This Row],[اجمالي الفاتوره]]-Table1181920231030313235383940414810[[#This Row],[الدفعات]]</f>
        <v>311103.97999999992</v>
      </c>
      <c r="O314" s="48"/>
    </row>
    <row r="315" spans="9:15" ht="26.25" customHeight="1" x14ac:dyDescent="0.3">
      <c r="I315" s="1">
        <f>0.03*Table1181920231030313235383940414810[[#This Row],[النولون]]</f>
        <v>0</v>
      </c>
      <c r="K31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15" s="1">
        <f>M314+Table1181920231030313235383940414810[[#This Row],[اجمالي الفاتوره]]-Table1181920231030313235383940414810[[#This Row],[الدفعات]]</f>
        <v>311103.97999999992</v>
      </c>
      <c r="O315" s="48"/>
    </row>
    <row r="316" spans="9:15" ht="26.25" customHeight="1" x14ac:dyDescent="0.3">
      <c r="I316" s="1">
        <f>0.03*Table1181920231030313235383940414810[[#This Row],[النولون]]</f>
        <v>0</v>
      </c>
      <c r="K31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16" s="1">
        <f>M315+Table1181920231030313235383940414810[[#This Row],[اجمالي الفاتوره]]-Table1181920231030313235383940414810[[#This Row],[الدفعات]]</f>
        <v>311103.97999999992</v>
      </c>
      <c r="O316" s="48"/>
    </row>
    <row r="317" spans="9:15" ht="26.25" customHeight="1" x14ac:dyDescent="0.3">
      <c r="I317" s="1">
        <f>0.03*Table1181920231030313235383940414810[[#This Row],[النولون]]</f>
        <v>0</v>
      </c>
      <c r="K31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17" s="1">
        <f>M316+Table1181920231030313235383940414810[[#This Row],[اجمالي الفاتوره]]-Table1181920231030313235383940414810[[#This Row],[الدفعات]]</f>
        <v>311103.97999999992</v>
      </c>
      <c r="O317" s="48"/>
    </row>
    <row r="318" spans="9:15" ht="26.25" customHeight="1" x14ac:dyDescent="0.3">
      <c r="I318" s="1">
        <f>0.03*Table1181920231030313235383940414810[[#This Row],[النولون]]</f>
        <v>0</v>
      </c>
      <c r="K31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18" s="1">
        <f>M317+Table1181920231030313235383940414810[[#This Row],[اجمالي الفاتوره]]-Table1181920231030313235383940414810[[#This Row],[الدفعات]]</f>
        <v>311103.97999999992</v>
      </c>
      <c r="O318" s="48"/>
    </row>
    <row r="319" spans="9:15" ht="26.25" customHeight="1" x14ac:dyDescent="0.3">
      <c r="I319" s="1">
        <f>0.03*Table1181920231030313235383940414810[[#This Row],[النولون]]</f>
        <v>0</v>
      </c>
      <c r="K31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19" s="1">
        <f>M318+Table1181920231030313235383940414810[[#This Row],[اجمالي الفاتوره]]-Table1181920231030313235383940414810[[#This Row],[الدفعات]]</f>
        <v>311103.97999999992</v>
      </c>
      <c r="O319" s="48"/>
    </row>
    <row r="320" spans="9:15" ht="26.25" customHeight="1" x14ac:dyDescent="0.3">
      <c r="I320" s="1">
        <f>0.03*Table1181920231030313235383940414810[[#This Row],[النولون]]</f>
        <v>0</v>
      </c>
      <c r="K32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20" s="1">
        <f>M319+Table1181920231030313235383940414810[[#This Row],[اجمالي الفاتوره]]-Table1181920231030313235383940414810[[#This Row],[الدفعات]]</f>
        <v>311103.97999999992</v>
      </c>
      <c r="O320" s="48"/>
    </row>
    <row r="321" spans="9:15" ht="26.25" customHeight="1" x14ac:dyDescent="0.3">
      <c r="I321" s="1">
        <f>0.03*Table1181920231030313235383940414810[[#This Row],[النولون]]</f>
        <v>0</v>
      </c>
      <c r="K32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21" s="1">
        <f>M320+Table1181920231030313235383940414810[[#This Row],[اجمالي الفاتوره]]-Table1181920231030313235383940414810[[#This Row],[الدفعات]]</f>
        <v>311103.97999999992</v>
      </c>
      <c r="O321" s="48"/>
    </row>
    <row r="322" spans="9:15" ht="26.25" customHeight="1" x14ac:dyDescent="0.3">
      <c r="I322" s="1">
        <f>0.03*Table1181920231030313235383940414810[[#This Row],[النولون]]</f>
        <v>0</v>
      </c>
      <c r="K32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22" s="1">
        <f>M321+Table1181920231030313235383940414810[[#This Row],[اجمالي الفاتوره]]-Table1181920231030313235383940414810[[#This Row],[الدفعات]]</f>
        <v>311103.97999999992</v>
      </c>
      <c r="O322" s="48"/>
    </row>
    <row r="323" spans="9:15" ht="26.25" customHeight="1" x14ac:dyDescent="0.3">
      <c r="I323" s="1">
        <f>0.03*Table1181920231030313235383940414810[[#This Row],[النولون]]</f>
        <v>0</v>
      </c>
      <c r="K32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23" s="1">
        <f>M322+Table1181920231030313235383940414810[[#This Row],[اجمالي الفاتوره]]-Table1181920231030313235383940414810[[#This Row],[الدفعات]]</f>
        <v>311103.97999999992</v>
      </c>
      <c r="O323" s="48"/>
    </row>
    <row r="324" spans="9:15" ht="26.25" customHeight="1" x14ac:dyDescent="0.3">
      <c r="I324" s="1">
        <f>0.03*Table1181920231030313235383940414810[[#This Row],[النولون]]</f>
        <v>0</v>
      </c>
      <c r="K32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24" s="1">
        <f>M323+Table1181920231030313235383940414810[[#This Row],[اجمالي الفاتوره]]-Table1181920231030313235383940414810[[#This Row],[الدفعات]]</f>
        <v>311103.97999999992</v>
      </c>
      <c r="O324" s="48"/>
    </row>
    <row r="325" spans="9:15" ht="26.25" customHeight="1" x14ac:dyDescent="0.3">
      <c r="I325" s="1">
        <f>0.03*Table1181920231030313235383940414810[[#This Row],[النولون]]</f>
        <v>0</v>
      </c>
      <c r="K32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25" s="1">
        <f>M324+Table1181920231030313235383940414810[[#This Row],[اجمالي الفاتوره]]-Table1181920231030313235383940414810[[#This Row],[الدفعات]]</f>
        <v>311103.97999999992</v>
      </c>
      <c r="O325" s="48"/>
    </row>
    <row r="326" spans="9:15" ht="26.25" customHeight="1" x14ac:dyDescent="0.3">
      <c r="I326" s="1">
        <f>0.03*Table1181920231030313235383940414810[[#This Row],[النولون]]</f>
        <v>0</v>
      </c>
      <c r="K32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26" s="1">
        <f>M325+Table1181920231030313235383940414810[[#This Row],[اجمالي الفاتوره]]-Table1181920231030313235383940414810[[#This Row],[الدفعات]]</f>
        <v>311103.97999999992</v>
      </c>
      <c r="O326" s="48"/>
    </row>
    <row r="327" spans="9:15" ht="26.25" customHeight="1" x14ac:dyDescent="0.3">
      <c r="I327" s="1">
        <f>0.03*Table1181920231030313235383940414810[[#This Row],[النولون]]</f>
        <v>0</v>
      </c>
      <c r="K32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27" s="1">
        <f>M326+Table1181920231030313235383940414810[[#This Row],[اجمالي الفاتوره]]-Table1181920231030313235383940414810[[#This Row],[الدفعات]]</f>
        <v>311103.97999999992</v>
      </c>
      <c r="O327" s="48"/>
    </row>
    <row r="328" spans="9:15" ht="26.25" customHeight="1" x14ac:dyDescent="0.3">
      <c r="I328" s="1">
        <f>0.03*Table1181920231030313235383940414810[[#This Row],[النولون]]</f>
        <v>0</v>
      </c>
      <c r="K32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28" s="1">
        <f>M327+Table1181920231030313235383940414810[[#This Row],[اجمالي الفاتوره]]-Table1181920231030313235383940414810[[#This Row],[الدفعات]]</f>
        <v>311103.97999999992</v>
      </c>
      <c r="O328" s="48"/>
    </row>
    <row r="329" spans="9:15" ht="26.25" customHeight="1" x14ac:dyDescent="0.3">
      <c r="I329" s="1">
        <f>0.03*Table1181920231030313235383940414810[[#This Row],[النولون]]</f>
        <v>0</v>
      </c>
      <c r="K32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29" s="1">
        <f>M328+Table1181920231030313235383940414810[[#This Row],[اجمالي الفاتوره]]-Table1181920231030313235383940414810[[#This Row],[الدفعات]]</f>
        <v>311103.97999999992</v>
      </c>
      <c r="O329" s="48"/>
    </row>
    <row r="330" spans="9:15" ht="26.25" customHeight="1" x14ac:dyDescent="0.3">
      <c r="I330" s="1">
        <f>0.03*Table1181920231030313235383940414810[[#This Row],[النولون]]</f>
        <v>0</v>
      </c>
      <c r="K33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30" s="1">
        <f>M329+Table1181920231030313235383940414810[[#This Row],[اجمالي الفاتوره]]-Table1181920231030313235383940414810[[#This Row],[الدفعات]]</f>
        <v>311103.97999999992</v>
      </c>
      <c r="O330" s="48"/>
    </row>
    <row r="331" spans="9:15" ht="26.25" customHeight="1" x14ac:dyDescent="0.3">
      <c r="I331" s="1">
        <f>0.03*Table1181920231030313235383940414810[[#This Row],[النولون]]</f>
        <v>0</v>
      </c>
      <c r="K33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31" s="1">
        <f>M330+Table1181920231030313235383940414810[[#This Row],[اجمالي الفاتوره]]-Table1181920231030313235383940414810[[#This Row],[الدفعات]]</f>
        <v>311103.97999999992</v>
      </c>
      <c r="O331" s="48"/>
    </row>
    <row r="332" spans="9:15" ht="26.25" customHeight="1" x14ac:dyDescent="0.3">
      <c r="I332" s="1">
        <f>0.03*Table1181920231030313235383940414810[[#This Row],[النولون]]</f>
        <v>0</v>
      </c>
      <c r="K33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32" s="1">
        <f>M331+Table1181920231030313235383940414810[[#This Row],[اجمالي الفاتوره]]-Table1181920231030313235383940414810[[#This Row],[الدفعات]]</f>
        <v>311103.97999999992</v>
      </c>
      <c r="O332" s="48"/>
    </row>
    <row r="333" spans="9:15" ht="26.25" customHeight="1" x14ac:dyDescent="0.3">
      <c r="I333" s="1">
        <f>0.03*Table1181920231030313235383940414810[[#This Row],[النولون]]</f>
        <v>0</v>
      </c>
      <c r="K333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33" s="1">
        <f>M332+Table1181920231030313235383940414810[[#This Row],[اجمالي الفاتوره]]-Table1181920231030313235383940414810[[#This Row],[الدفعات]]</f>
        <v>311103.97999999992</v>
      </c>
      <c r="O333" s="48"/>
    </row>
    <row r="334" spans="9:15" ht="26.25" customHeight="1" x14ac:dyDescent="0.3">
      <c r="I334" s="1">
        <f>0.03*Table1181920231030313235383940414810[[#This Row],[النولون]]</f>
        <v>0</v>
      </c>
      <c r="K334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34" s="1">
        <f>M333+Table1181920231030313235383940414810[[#This Row],[اجمالي الفاتوره]]-Table1181920231030313235383940414810[[#This Row],[الدفعات]]</f>
        <v>311103.97999999992</v>
      </c>
      <c r="O334" s="48"/>
    </row>
    <row r="335" spans="9:15" ht="26.25" customHeight="1" x14ac:dyDescent="0.3">
      <c r="I335" s="1">
        <f>0.03*Table1181920231030313235383940414810[[#This Row],[النولون]]</f>
        <v>0</v>
      </c>
      <c r="K335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35" s="1">
        <f>M334+Table1181920231030313235383940414810[[#This Row],[اجمالي الفاتوره]]-Table1181920231030313235383940414810[[#This Row],[الدفعات]]</f>
        <v>311103.97999999992</v>
      </c>
      <c r="O335" s="48"/>
    </row>
    <row r="336" spans="9:15" ht="26.25" customHeight="1" x14ac:dyDescent="0.3">
      <c r="I336" s="1">
        <f>0.03*Table1181920231030313235383940414810[[#This Row],[النولون]]</f>
        <v>0</v>
      </c>
      <c r="K336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36" s="1">
        <f>M335+Table1181920231030313235383940414810[[#This Row],[اجمالي الفاتوره]]-Table1181920231030313235383940414810[[#This Row],[الدفعات]]</f>
        <v>311103.97999999992</v>
      </c>
      <c r="O336" s="48"/>
    </row>
    <row r="337" spans="9:15" ht="26.25" customHeight="1" x14ac:dyDescent="0.3">
      <c r="I337" s="1">
        <f>0.03*Table1181920231030313235383940414810[[#This Row],[النولون]]</f>
        <v>0</v>
      </c>
      <c r="K337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37" s="1">
        <f>M336+Table1181920231030313235383940414810[[#This Row],[اجمالي الفاتوره]]-Table1181920231030313235383940414810[[#This Row],[الدفعات]]</f>
        <v>311103.97999999992</v>
      </c>
      <c r="O337" s="48"/>
    </row>
    <row r="338" spans="9:15" ht="26.25" customHeight="1" x14ac:dyDescent="0.3">
      <c r="I338" s="1">
        <f>0.03*Table1181920231030313235383940414810[[#This Row],[النولون]]</f>
        <v>0</v>
      </c>
      <c r="K338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38" s="1">
        <f>M337+Table1181920231030313235383940414810[[#This Row],[اجمالي الفاتوره]]-Table1181920231030313235383940414810[[#This Row],[الدفعات]]</f>
        <v>311103.97999999992</v>
      </c>
      <c r="O338" s="48"/>
    </row>
    <row r="339" spans="9:15" ht="26.25" customHeight="1" x14ac:dyDescent="0.3">
      <c r="I339" s="1">
        <f>0.03*Table1181920231030313235383940414810[[#This Row],[النولون]]</f>
        <v>0</v>
      </c>
      <c r="K339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39" s="1">
        <f>M338+Table1181920231030313235383940414810[[#This Row],[اجمالي الفاتوره]]-Table1181920231030313235383940414810[[#This Row],[الدفعات]]</f>
        <v>311103.97999999992</v>
      </c>
      <c r="O339" s="48"/>
    </row>
    <row r="340" spans="9:15" ht="26.25" customHeight="1" x14ac:dyDescent="0.3">
      <c r="I340" s="1">
        <f>0.03*Table1181920231030313235383940414810[[#This Row],[النولون]]</f>
        <v>0</v>
      </c>
      <c r="K340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40" s="1">
        <f>M339+Table1181920231030313235383940414810[[#This Row],[اجمالي الفاتوره]]-Table1181920231030313235383940414810[[#This Row],[الدفعات]]</f>
        <v>311103.97999999992</v>
      </c>
      <c r="O340" s="48"/>
    </row>
    <row r="341" spans="9:15" ht="26.25" customHeight="1" x14ac:dyDescent="0.3">
      <c r="I341" s="1">
        <f>0.03*Table1181920231030313235383940414810[[#This Row],[النولون]]</f>
        <v>0</v>
      </c>
      <c r="K341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41" s="1">
        <f>M340+Table1181920231030313235383940414810[[#This Row],[اجمالي الفاتوره]]-Table1181920231030313235383940414810[[#This Row],[الدفعات]]</f>
        <v>311103.97999999992</v>
      </c>
      <c r="O341" s="48"/>
    </row>
    <row r="342" spans="9:15" ht="26.25" customHeight="1" x14ac:dyDescent="0.3">
      <c r="I342" s="1">
        <f>0.03*Table1181920231030313235383940414810[[#This Row],[النولون]]</f>
        <v>0</v>
      </c>
      <c r="K342" s="1">
        <f>Table1181920231030313235383940414810[[#This Row],[النولون]]+Table1181920231030313235383940414810[[#This Row],[الايصالات]]-Table1181920231030313235383940414810[[#This Row],[خصم أ ت ص]]+Table1181920231030313235383940414810[[#This Row],[قيمة مضافة]]</f>
        <v>0</v>
      </c>
      <c r="M342" s="1">
        <f>M341+Table1181920231030313235383940414810[[#This Row],[اجمالي الفاتوره]]-Table1181920231030313235383940414810[[#This Row],[الدفعات]]</f>
        <v>311103.97999999992</v>
      </c>
      <c r="O342" s="48"/>
    </row>
  </sheetData>
  <phoneticPr fontId="2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347"/>
  <sheetViews>
    <sheetView rightToLeft="1" zoomScale="90" zoomScaleNormal="90" workbookViewId="0">
      <pane ySplit="1" topLeftCell="A8" activePane="bottomLeft" state="frozen"/>
      <selection activeCell="C17" sqref="C17"/>
      <selection pane="bottomLeft" activeCell="D19" sqref="D19"/>
    </sheetView>
  </sheetViews>
  <sheetFormatPr defaultColWidth="9.109375" defaultRowHeight="32.25" customHeight="1" x14ac:dyDescent="0.3"/>
  <cols>
    <col min="1" max="1" width="6" style="6" customWidth="1"/>
    <col min="2" max="2" width="5.44140625" style="1" customWidth="1"/>
    <col min="3" max="3" width="11" style="1" customWidth="1"/>
    <col min="4" max="4" width="13.44140625" style="1" customWidth="1"/>
    <col min="5" max="5" width="14.6640625" style="1" customWidth="1"/>
    <col min="6" max="6" width="13.33203125" style="1" customWidth="1"/>
    <col min="7" max="7" width="12.33203125" style="1" customWidth="1"/>
    <col min="8" max="8" width="11.6640625" style="1" customWidth="1"/>
    <col min="9" max="9" width="8.21875" style="1" customWidth="1"/>
    <col min="10" max="10" width="10.77734375" style="1" customWidth="1"/>
    <col min="11" max="11" width="12.109375" style="1" customWidth="1"/>
    <col min="12" max="12" width="12.33203125" style="1" customWidth="1"/>
    <col min="13" max="13" width="15.21875" style="1" customWidth="1"/>
    <col min="14" max="14" width="9.109375" style="1"/>
    <col min="15" max="15" width="10.5546875" style="1" customWidth="1"/>
    <col min="16" max="16384" width="9.109375" style="1"/>
  </cols>
  <sheetData>
    <row r="1" spans="1:16" ht="32.25" customHeight="1" x14ac:dyDescent="0.3">
      <c r="A1" s="64" t="s">
        <v>15</v>
      </c>
      <c r="B1" s="88" t="s">
        <v>0</v>
      </c>
      <c r="C1" s="88" t="s">
        <v>1</v>
      </c>
      <c r="D1" s="88" t="s">
        <v>2</v>
      </c>
      <c r="E1" s="88" t="s">
        <v>3</v>
      </c>
      <c r="F1" s="88" t="s">
        <v>4</v>
      </c>
      <c r="G1" s="88" t="s">
        <v>5</v>
      </c>
      <c r="H1" s="88" t="s">
        <v>6</v>
      </c>
      <c r="I1" s="88" t="s">
        <v>7</v>
      </c>
      <c r="J1" s="88" t="s">
        <v>9</v>
      </c>
      <c r="K1" s="88" t="s">
        <v>10</v>
      </c>
      <c r="L1" s="88" t="s">
        <v>11</v>
      </c>
      <c r="M1" s="88" t="s">
        <v>12</v>
      </c>
      <c r="N1" s="88" t="s">
        <v>101</v>
      </c>
      <c r="O1" s="20" t="s">
        <v>20</v>
      </c>
      <c r="P1" s="48" t="s">
        <v>102</v>
      </c>
    </row>
    <row r="2" spans="1:16" ht="32.25" customHeight="1" x14ac:dyDescent="0.3">
      <c r="A2" s="6">
        <v>1217</v>
      </c>
      <c r="B2" s="1">
        <v>1</v>
      </c>
      <c r="C2" s="2" t="s">
        <v>113</v>
      </c>
      <c r="D2" s="1" t="s">
        <v>127</v>
      </c>
      <c r="E2" s="1" t="s">
        <v>94</v>
      </c>
      <c r="F2" s="1">
        <v>6440252660</v>
      </c>
      <c r="G2" s="1" t="s">
        <v>128</v>
      </c>
      <c r="H2" s="1">
        <v>11250</v>
      </c>
      <c r="I2" s="1">
        <f>0.14*Table11819202310303132353839404243444647[[#This Row],[النولون]]</f>
        <v>1575.0000000000002</v>
      </c>
      <c r="J2" s="1">
        <f>110+365.21+150+150+564.3+228</f>
        <v>1567.51</v>
      </c>
      <c r="K2" s="1">
        <f>Table11819202310303132353839404243444647[[#This Row],[النولون]]+Table11819202310303132353839404243444647[[#This Row],[قيمة مضافة]]+Table11819202310303132353839404243444647[[#This Row],[الايصالات]]</f>
        <v>14392.51</v>
      </c>
      <c r="M2" s="1">
        <f>Table11819202310303132353839404243444647[[#This Row],[اجمالي الفاتوره]]</f>
        <v>14392.51</v>
      </c>
      <c r="O2" s="20"/>
      <c r="P2" s="48"/>
    </row>
    <row r="3" spans="1:16" ht="32.25" customHeight="1" x14ac:dyDescent="0.3">
      <c r="A3" s="6">
        <v>1218</v>
      </c>
      <c r="B3" s="1">
        <v>2</v>
      </c>
      <c r="C3" s="2" t="s">
        <v>113</v>
      </c>
      <c r="D3" s="1" t="s">
        <v>127</v>
      </c>
      <c r="E3" s="1" t="s">
        <v>94</v>
      </c>
      <c r="F3" s="1">
        <v>6440252670</v>
      </c>
      <c r="G3" s="1" t="s">
        <v>128</v>
      </c>
      <c r="H3" s="1">
        <v>11250</v>
      </c>
      <c r="I3" s="1">
        <f>0.14*Table11819202310303132353839404243444647[[#This Row],[النولون]]</f>
        <v>1575.0000000000002</v>
      </c>
      <c r="J3" s="1">
        <f>110+1100+150+564.3+228</f>
        <v>2152.3000000000002</v>
      </c>
      <c r="K3" s="1">
        <f>Table11819202310303132353839404243444647[[#This Row],[النولون]]+Table11819202310303132353839404243444647[[#This Row],[قيمة مضافة]]+Table11819202310303132353839404243444647[[#This Row],[الايصالات]]</f>
        <v>14977.3</v>
      </c>
      <c r="M3" s="1">
        <f>M2+Table11819202310303132353839404243444647[[#This Row],[اجمالي الفاتوره]]-Table11819202310303132353839404243444647[[#This Row],[الدفعات]]</f>
        <v>29369.809999999998</v>
      </c>
      <c r="O3" s="20"/>
      <c r="P3" s="48"/>
    </row>
    <row r="4" spans="1:16" ht="32.25" customHeight="1" x14ac:dyDescent="0.3">
      <c r="A4" s="6">
        <v>1219</v>
      </c>
      <c r="B4" s="1">
        <v>3</v>
      </c>
      <c r="C4" s="2" t="s">
        <v>113</v>
      </c>
      <c r="D4" s="1" t="s">
        <v>127</v>
      </c>
      <c r="E4" s="1" t="s">
        <v>94</v>
      </c>
      <c r="F4" s="1">
        <v>6440252650</v>
      </c>
      <c r="G4" s="1" t="s">
        <v>129</v>
      </c>
      <c r="H4" s="1">
        <v>16850</v>
      </c>
      <c r="I4" s="1">
        <f>0.14*Table11819202310303132353839404243444647[[#This Row],[النولون]]</f>
        <v>2359</v>
      </c>
      <c r="J4" s="1">
        <f>110+29+550+220.89+80+150+564.3+399+228</f>
        <v>2331.1899999999996</v>
      </c>
      <c r="K4" s="1">
        <f>Table11819202310303132353839404243444647[[#This Row],[النولون]]+Table11819202310303132353839404243444647[[#This Row],[قيمة مضافة]]+Table11819202310303132353839404243444647[[#This Row],[الايصالات]]</f>
        <v>21540.19</v>
      </c>
      <c r="M4" s="1">
        <f>M3+Table11819202310303132353839404243444647[[#This Row],[اجمالي الفاتوره]]-Table11819202310303132353839404243444647[[#This Row],[الدفعات]]</f>
        <v>50910</v>
      </c>
      <c r="O4" s="20"/>
      <c r="P4" s="48"/>
    </row>
    <row r="5" spans="1:16" ht="32.25" customHeight="1" x14ac:dyDescent="0.3">
      <c r="A5" s="74"/>
      <c r="B5" s="72"/>
      <c r="C5" s="73" t="s">
        <v>198</v>
      </c>
      <c r="D5" s="72"/>
      <c r="E5" s="72"/>
      <c r="F5" s="72"/>
      <c r="G5" s="72"/>
      <c r="H5" s="72"/>
      <c r="I5" s="72">
        <f>0.14*Table11819202310303132353839404243444647[[#This Row],[النولون]]</f>
        <v>0</v>
      </c>
      <c r="J5" s="72"/>
      <c r="K5" s="72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L5" s="72">
        <v>50910</v>
      </c>
      <c r="M5" s="72">
        <f>M4+Table11819202310303132353839404243444647[[#This Row],[اجمالي الفاتوره]]-Table11819202310303132353839404243444647[[#This Row],[الدفعات]]</f>
        <v>0</v>
      </c>
      <c r="O5" s="20"/>
      <c r="P5" s="48"/>
    </row>
    <row r="6" spans="1:16" ht="32.25" customHeight="1" x14ac:dyDescent="0.3">
      <c r="A6" s="6">
        <v>1267</v>
      </c>
      <c r="B6" s="20">
        <v>4</v>
      </c>
      <c r="C6" s="2" t="s">
        <v>256</v>
      </c>
      <c r="D6" s="1" t="s">
        <v>261</v>
      </c>
      <c r="E6" s="1" t="s">
        <v>262</v>
      </c>
      <c r="F6" s="20">
        <v>53</v>
      </c>
      <c r="G6" s="1" t="s">
        <v>181</v>
      </c>
      <c r="H6" s="20">
        <f>4*16800</f>
        <v>67200</v>
      </c>
      <c r="I6" s="1">
        <v>0</v>
      </c>
      <c r="J6" s="20">
        <f>1150*4+446.88+444.05+435.57+688.89+851+800+4800+400+250</f>
        <v>13716.39</v>
      </c>
      <c r="K6" s="1">
        <f>Table11819202310303132353839404243444647[[#This Row],[النولون]]+Table11819202310303132353839404243444647[[#This Row],[قيمة مضافة]]+Table11819202310303132353839404243444647[[#This Row],[الايصالات]]</f>
        <v>80916.39</v>
      </c>
      <c r="L6" s="20"/>
      <c r="M6" s="1">
        <f>M5+Table11819202310303132353839404243444647[[#This Row],[اجمالي الفاتوره]]-Table11819202310303132353839404243444647[[#This Row],[الدفعات]]</f>
        <v>80916.39</v>
      </c>
      <c r="N6" s="20"/>
      <c r="O6" s="20"/>
      <c r="P6" s="48"/>
    </row>
    <row r="7" spans="1:16" ht="32.25" customHeight="1" x14ac:dyDescent="0.3">
      <c r="A7" s="6">
        <v>1268</v>
      </c>
      <c r="B7" s="1">
        <v>5</v>
      </c>
      <c r="C7" s="2" t="s">
        <v>256</v>
      </c>
      <c r="D7" s="1" t="s">
        <v>263</v>
      </c>
      <c r="E7" s="1" t="s">
        <v>195</v>
      </c>
      <c r="F7" s="1">
        <v>876996</v>
      </c>
      <c r="G7" s="1" t="s">
        <v>159</v>
      </c>
      <c r="H7" s="1">
        <v>6700</v>
      </c>
      <c r="I7" s="1">
        <f>0.14*Table11819202310303132353839404243444647[[#This Row],[النولون]]</f>
        <v>938.00000000000011</v>
      </c>
      <c r="J7" s="1">
        <f>110+580+75.47+226.22+150+171+25.1+150</f>
        <v>1487.79</v>
      </c>
      <c r="K7" s="1">
        <f>Table11819202310303132353839404243444647[[#This Row],[النولون]]+Table11819202310303132353839404243444647[[#This Row],[قيمة مضافة]]+Table11819202310303132353839404243444647[[#This Row],[الايصالات]]</f>
        <v>9125.7900000000009</v>
      </c>
      <c r="M7" s="1">
        <f>M6+Table11819202310303132353839404243444647[[#This Row],[اجمالي الفاتوره]]-Table11819202310303132353839404243444647[[#This Row],[الدفعات]]</f>
        <v>90042.18</v>
      </c>
      <c r="O7" s="20"/>
      <c r="P7" s="48"/>
    </row>
    <row r="8" spans="1:16" ht="32.25" customHeight="1" x14ac:dyDescent="0.3">
      <c r="A8" s="74"/>
      <c r="B8" s="72"/>
      <c r="C8" s="73" t="s">
        <v>297</v>
      </c>
      <c r="D8" s="72"/>
      <c r="E8" s="72"/>
      <c r="F8" s="72"/>
      <c r="G8" s="72"/>
      <c r="H8" s="72"/>
      <c r="I8" s="72">
        <f>0.14*Table11819202310303132353839404243444647[[#This Row],[النولون]]</f>
        <v>0</v>
      </c>
      <c r="J8" s="72"/>
      <c r="K8" s="72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L8" s="72">
        <v>90042.18</v>
      </c>
      <c r="M8" s="72">
        <f>M7+Table11819202310303132353839404243444647[[#This Row],[اجمالي الفاتوره]]-Table11819202310303132353839404243444647[[#This Row],[الدفعات]]</f>
        <v>0</v>
      </c>
      <c r="O8" s="20"/>
      <c r="P8" s="48"/>
    </row>
    <row r="9" spans="1:16" ht="32.25" customHeight="1" x14ac:dyDescent="0.3">
      <c r="A9" s="6">
        <v>1378</v>
      </c>
      <c r="B9" s="1">
        <v>6</v>
      </c>
      <c r="C9" s="2">
        <v>46126</v>
      </c>
      <c r="D9" s="1" t="s">
        <v>446</v>
      </c>
      <c r="E9" s="1" t="s">
        <v>94</v>
      </c>
      <c r="F9" s="1">
        <v>57299</v>
      </c>
      <c r="G9" s="1" t="s">
        <v>121</v>
      </c>
      <c r="H9" s="1">
        <f>17000+3500+3000</f>
        <v>23500</v>
      </c>
      <c r="I9" s="1">
        <f>0.14*Table11819202310303132353839404243444647[[#This Row],[النولون]]</f>
        <v>3290.0000000000005</v>
      </c>
      <c r="J9" s="1">
        <f>100+1180+1345+17650</f>
        <v>20275</v>
      </c>
      <c r="K9" s="1">
        <f>Table11819202310303132353839404243444647[[#This Row],[النولون]]+Table11819202310303132353839404243444647[[#This Row],[قيمة مضافة]]+Table11819202310303132353839404243444647[[#This Row],[الايصالات]]</f>
        <v>47065</v>
      </c>
      <c r="M9" s="1">
        <f>M8+Table11819202310303132353839404243444647[[#This Row],[اجمالي الفاتوره]]-Table11819202310303132353839404243444647[[#This Row],[الدفعات]]</f>
        <v>47065</v>
      </c>
      <c r="O9" s="20"/>
      <c r="P9" s="48"/>
    </row>
    <row r="10" spans="1:16" ht="32.25" customHeight="1" x14ac:dyDescent="0.3">
      <c r="A10" s="6">
        <v>1379</v>
      </c>
      <c r="B10" s="1">
        <v>7</v>
      </c>
      <c r="C10" s="2">
        <v>46126</v>
      </c>
      <c r="D10" s="1" t="s">
        <v>454</v>
      </c>
      <c r="E10" s="1" t="s">
        <v>447</v>
      </c>
      <c r="F10" s="1">
        <v>300</v>
      </c>
      <c r="G10" s="1" t="s">
        <v>448</v>
      </c>
      <c r="H10" s="1">
        <v>17000</v>
      </c>
      <c r="I10" s="1">
        <f>0.14*Table11819202310303132353839404243444647[[#This Row],[النولون]]</f>
        <v>2380</v>
      </c>
      <c r="J10" s="1">
        <f>30*2+1100+127.29+350</f>
        <v>1637.29</v>
      </c>
      <c r="K10" s="1">
        <f>Table11819202310303132353839404243444647[[#This Row],[النولون]]+Table11819202310303132353839404243444647[[#This Row],[قيمة مضافة]]+Table11819202310303132353839404243444647[[#This Row],[الايصالات]]</f>
        <v>21017.29</v>
      </c>
      <c r="M10" s="1">
        <f>M9+Table11819202310303132353839404243444647[[#This Row],[اجمالي الفاتوره]]-Table11819202310303132353839404243444647[[#This Row],[الدفعات]]</f>
        <v>68082.290000000008</v>
      </c>
      <c r="O10" s="20"/>
      <c r="P10" s="48"/>
    </row>
    <row r="11" spans="1:16" ht="32.25" customHeight="1" x14ac:dyDescent="0.3">
      <c r="A11" s="6">
        <v>1421</v>
      </c>
      <c r="B11" s="20">
        <v>8</v>
      </c>
      <c r="C11" s="23">
        <v>46140</v>
      </c>
      <c r="D11" s="1" t="s">
        <v>498</v>
      </c>
      <c r="E11" s="1" t="s">
        <v>330</v>
      </c>
      <c r="F11" s="20">
        <v>6450180900</v>
      </c>
      <c r="G11" s="1" t="s">
        <v>121</v>
      </c>
      <c r="H11" s="20">
        <v>17000</v>
      </c>
      <c r="I11" s="1">
        <f>0.14*Table11819202310303132353839404243444647[[#This Row],[النولون]]</f>
        <v>2380</v>
      </c>
      <c r="J11" s="20">
        <f>210+1100+200+670.78+150+1111.5+342</f>
        <v>3784.2799999999997</v>
      </c>
      <c r="K11" s="1">
        <f>Table11819202310303132353839404243444647[[#This Row],[النولون]]+Table11819202310303132353839404243444647[[#This Row],[قيمة مضافة]]+Table11819202310303132353839404243444647[[#This Row],[الايصالات]]</f>
        <v>23164.28</v>
      </c>
      <c r="L11" s="20"/>
      <c r="M11" s="1">
        <f>M10+Table11819202310303132353839404243444647[[#This Row],[اجمالي الفاتوره]]-Table11819202310303132353839404243444647[[#This Row],[الدفعات]]</f>
        <v>91246.57</v>
      </c>
      <c r="N11" s="20"/>
      <c r="O11" s="20"/>
      <c r="P11" s="48"/>
    </row>
    <row r="12" spans="1:16" ht="32.25" customHeight="1" x14ac:dyDescent="0.3">
      <c r="A12" s="6">
        <v>1437</v>
      </c>
      <c r="B12" s="1">
        <v>9</v>
      </c>
      <c r="C12" s="2">
        <v>46145</v>
      </c>
      <c r="D12" s="1" t="s">
        <v>261</v>
      </c>
      <c r="E12" s="1" t="s">
        <v>262</v>
      </c>
      <c r="F12" s="1">
        <v>16641799</v>
      </c>
      <c r="G12" s="1" t="s">
        <v>285</v>
      </c>
      <c r="H12" s="1">
        <f>17500*6</f>
        <v>105000</v>
      </c>
      <c r="I12" s="1">
        <v>0</v>
      </c>
      <c r="J12" s="1">
        <f>1270+850+6*1150+45.15+417.65+446.88+458.19+461.01+591.35+468.52+45.15+4000+27687+400</f>
        <v>44040.9</v>
      </c>
      <c r="K12" s="1">
        <f>Table11819202310303132353839404243444647[[#This Row],[النولون]]+Table11819202310303132353839404243444647[[#This Row],[قيمة مضافة]]+Table11819202310303132353839404243444647[[#This Row],[الايصالات]]</f>
        <v>149040.9</v>
      </c>
      <c r="M12" s="1">
        <f>M11+Table11819202310303132353839404243444647[[#This Row],[اجمالي الفاتوره]]-Table11819202310303132353839404243444647[[#This Row],[الدفعات]]</f>
        <v>240287.47</v>
      </c>
      <c r="O12" s="20"/>
      <c r="P12" s="48"/>
    </row>
    <row r="13" spans="1:16" ht="32.25" customHeight="1" x14ac:dyDescent="0.3">
      <c r="A13" s="6">
        <v>1438</v>
      </c>
      <c r="B13" s="1">
        <v>10</v>
      </c>
      <c r="C13" s="2">
        <v>46145</v>
      </c>
      <c r="D13" s="1" t="s">
        <v>261</v>
      </c>
      <c r="E13" s="1" t="s">
        <v>262</v>
      </c>
      <c r="F13" s="1">
        <v>26026581</v>
      </c>
      <c r="G13" s="1" t="s">
        <v>158</v>
      </c>
      <c r="H13" s="1">
        <f>17500*3</f>
        <v>52500</v>
      </c>
      <c r="I13" s="1">
        <v>0</v>
      </c>
      <c r="J13" s="1">
        <f>610+1150*3+432.74+435.57+458.19+300+1078+8550+4776.3+250</f>
        <v>20340.8</v>
      </c>
      <c r="K13" s="1">
        <f>Table11819202310303132353839404243444647[[#This Row],[النولون]]+Table11819202310303132353839404243444647[[#This Row],[قيمة مضافة]]+Table11819202310303132353839404243444647[[#This Row],[الايصالات]]</f>
        <v>72840.800000000003</v>
      </c>
      <c r="M13" s="1">
        <f>M12+Table11819202310303132353839404243444647[[#This Row],[اجمالي الفاتوره]]-Table11819202310303132353839404243444647[[#This Row],[الدفعات]]</f>
        <v>313128.27</v>
      </c>
      <c r="O13" s="20"/>
      <c r="P13" s="48"/>
    </row>
    <row r="14" spans="1:16" ht="32.25" customHeight="1" x14ac:dyDescent="0.3">
      <c r="A14" s="6">
        <v>1450</v>
      </c>
      <c r="B14" s="20">
        <v>11</v>
      </c>
      <c r="C14" s="23">
        <v>46151</v>
      </c>
      <c r="D14" s="1" t="s">
        <v>261</v>
      </c>
      <c r="E14" s="1" t="s">
        <v>262</v>
      </c>
      <c r="F14" s="20">
        <v>16770793</v>
      </c>
      <c r="G14" s="1" t="s">
        <v>158</v>
      </c>
      <c r="H14" s="20">
        <f>17500*3</f>
        <v>52500</v>
      </c>
      <c r="I14" s="1">
        <v>0</v>
      </c>
      <c r="J14" s="20">
        <f>410+1150*3+455.36+452.53+455.36+3000+13844+250</f>
        <v>22317.25</v>
      </c>
      <c r="K14" s="1">
        <f>Table11819202310303132353839404243444647[[#This Row],[النولون]]+Table11819202310303132353839404243444647[[#This Row],[قيمة مضافة]]+Table11819202310303132353839404243444647[[#This Row],[الايصالات]]</f>
        <v>74817.25</v>
      </c>
      <c r="L14" s="20"/>
      <c r="M14" s="1">
        <f>M13+Table11819202310303132353839404243444647[[#This Row],[اجمالي الفاتوره]]-Table11819202310303132353839404243444647[[#This Row],[الدفعات]]</f>
        <v>387945.52</v>
      </c>
      <c r="N14" s="20"/>
      <c r="O14" s="20"/>
      <c r="P14" s="48"/>
    </row>
    <row r="15" spans="1:16" ht="32.25" customHeight="1" x14ac:dyDescent="0.3">
      <c r="A15" s="6">
        <v>1454</v>
      </c>
      <c r="B15" s="1">
        <v>12</v>
      </c>
      <c r="C15" s="2">
        <v>46152</v>
      </c>
      <c r="D15" s="1" t="s">
        <v>538</v>
      </c>
      <c r="E15" s="1" t="s">
        <v>434</v>
      </c>
      <c r="F15" s="1">
        <v>9020753850</v>
      </c>
      <c r="G15" s="1" t="s">
        <v>121</v>
      </c>
      <c r="H15" s="1">
        <f>17000+3500</f>
        <v>20500</v>
      </c>
      <c r="I15" s="1">
        <f>0.14*Table11819202310303132353839404243444647[[#This Row],[النولون]]</f>
        <v>2870.0000000000005</v>
      </c>
      <c r="J15" s="1">
        <f>1100+418.61+1111.5+342</f>
        <v>2972.11</v>
      </c>
      <c r="K15" s="1">
        <f>Table11819202310303132353839404243444647[[#This Row],[النولون]]+Table11819202310303132353839404243444647[[#This Row],[قيمة مضافة]]+Table11819202310303132353839404243444647[[#This Row],[الايصالات]]</f>
        <v>26342.11</v>
      </c>
      <c r="M15" s="1">
        <f>M14+Table11819202310303132353839404243444647[[#This Row],[اجمالي الفاتوره]]-Table11819202310303132353839404243444647[[#This Row],[الدفعات]]</f>
        <v>414287.63</v>
      </c>
      <c r="O15" s="20"/>
      <c r="P15" s="48"/>
    </row>
    <row r="16" spans="1:16" ht="32.25" customHeight="1" x14ac:dyDescent="0.3">
      <c r="A16" s="74"/>
      <c r="B16" s="72"/>
      <c r="C16" s="73">
        <v>46161</v>
      </c>
      <c r="D16" s="72"/>
      <c r="E16" s="72"/>
      <c r="F16" s="72"/>
      <c r="G16" s="72"/>
      <c r="H16" s="72"/>
      <c r="I16" s="72">
        <f>0.14*Table11819202310303132353839404243444647[[#This Row],[النولون]]</f>
        <v>0</v>
      </c>
      <c r="J16" s="72"/>
      <c r="K16" s="72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L16" s="72">
        <v>414287.63</v>
      </c>
      <c r="M16" s="72">
        <f>M15+Table11819202310303132353839404243444647[[#This Row],[اجمالي الفاتوره]]-Table11819202310303132353839404243444647[[#This Row],[الدفعات]]</f>
        <v>0</v>
      </c>
      <c r="O16" s="20"/>
      <c r="P16" s="48"/>
    </row>
    <row r="17" spans="3:16" ht="32.25" customHeight="1" x14ac:dyDescent="0.3">
      <c r="C17" s="2"/>
      <c r="I17" s="1">
        <f>0.14*Table11819202310303132353839404243444647[[#This Row],[النولون]]</f>
        <v>0</v>
      </c>
      <c r="K1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7" s="1">
        <f>M16+Table11819202310303132353839404243444647[[#This Row],[اجمالي الفاتوره]]-Table11819202310303132353839404243444647[[#This Row],[الدفعات]]</f>
        <v>0</v>
      </c>
      <c r="O17" s="20"/>
      <c r="P17" s="48"/>
    </row>
    <row r="18" spans="3:16" ht="32.25" customHeight="1" x14ac:dyDescent="0.3">
      <c r="C18" s="2"/>
      <c r="I18" s="1">
        <f>0.14*Table11819202310303132353839404243444647[[#This Row],[النولون]]</f>
        <v>0</v>
      </c>
      <c r="K1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8" s="1">
        <f>M17+Table11819202310303132353839404243444647[[#This Row],[اجمالي الفاتوره]]-Table11819202310303132353839404243444647[[#This Row],[الدفعات]]</f>
        <v>0</v>
      </c>
      <c r="O18" s="20"/>
      <c r="P18" s="48"/>
    </row>
    <row r="19" spans="3:16" ht="32.25" customHeight="1" x14ac:dyDescent="0.3">
      <c r="C19" s="2"/>
      <c r="I19" s="1">
        <f>0.14*Table11819202310303132353839404243444647[[#This Row],[النولون]]</f>
        <v>0</v>
      </c>
      <c r="K1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9" s="1">
        <f>M18+Table11819202310303132353839404243444647[[#This Row],[اجمالي الفاتوره]]-Table11819202310303132353839404243444647[[#This Row],[الدفعات]]</f>
        <v>0</v>
      </c>
      <c r="O19" s="20"/>
      <c r="P19" s="48"/>
    </row>
    <row r="20" spans="3:16" ht="32.25" customHeight="1" x14ac:dyDescent="0.3">
      <c r="C20" s="2"/>
      <c r="I20" s="1">
        <f>0.14*Table11819202310303132353839404243444647[[#This Row],[النولون]]</f>
        <v>0</v>
      </c>
      <c r="K2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0" s="1">
        <f>M19+Table11819202310303132353839404243444647[[#This Row],[اجمالي الفاتوره]]-Table11819202310303132353839404243444647[[#This Row],[الدفعات]]</f>
        <v>0</v>
      </c>
      <c r="O20" s="20"/>
      <c r="P20" s="48"/>
    </row>
    <row r="21" spans="3:16" ht="32.25" customHeight="1" x14ac:dyDescent="0.3">
      <c r="C21" s="2"/>
      <c r="I21" s="1">
        <f>0.14*Table11819202310303132353839404243444647[[#This Row],[النولون]]</f>
        <v>0</v>
      </c>
      <c r="K2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1" s="1">
        <f>M20+Table11819202310303132353839404243444647[[#This Row],[اجمالي الفاتوره]]-Table11819202310303132353839404243444647[[#This Row],[الدفعات]]</f>
        <v>0</v>
      </c>
      <c r="O21" s="20"/>
      <c r="P21" s="48"/>
    </row>
    <row r="22" spans="3:16" ht="32.25" customHeight="1" x14ac:dyDescent="0.3">
      <c r="C22" s="2"/>
      <c r="I22" s="1">
        <f>0.14*Table11819202310303132353839404243444647[[#This Row],[النولون]]</f>
        <v>0</v>
      </c>
      <c r="K2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2" s="1">
        <f>M21+Table11819202310303132353839404243444647[[#This Row],[اجمالي الفاتوره]]-Table11819202310303132353839404243444647[[#This Row],[الدفعات]]</f>
        <v>0</v>
      </c>
      <c r="O22" s="20"/>
      <c r="P22" s="48"/>
    </row>
    <row r="23" spans="3:16" ht="32.25" customHeight="1" x14ac:dyDescent="0.3">
      <c r="C23" s="2"/>
      <c r="I23" s="1">
        <f>0.14*Table11819202310303132353839404243444647[[#This Row],[النولون]]</f>
        <v>0</v>
      </c>
      <c r="K2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3" s="1">
        <f>M22+Table11819202310303132353839404243444647[[#This Row],[اجمالي الفاتوره]]-Table11819202310303132353839404243444647[[#This Row],[الدفعات]]</f>
        <v>0</v>
      </c>
      <c r="O23" s="20"/>
      <c r="P23" s="48"/>
    </row>
    <row r="24" spans="3:16" ht="32.25" customHeight="1" x14ac:dyDescent="0.3">
      <c r="C24" s="2"/>
      <c r="I24" s="1">
        <f>0.14*Table11819202310303132353839404243444647[[#This Row],[النولون]]</f>
        <v>0</v>
      </c>
      <c r="K2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4" s="1">
        <f>M23+Table11819202310303132353839404243444647[[#This Row],[اجمالي الفاتوره]]-Table11819202310303132353839404243444647[[#This Row],[الدفعات]]</f>
        <v>0</v>
      </c>
      <c r="O24" s="20"/>
      <c r="P24" s="48"/>
    </row>
    <row r="25" spans="3:16" ht="32.25" customHeight="1" x14ac:dyDescent="0.3">
      <c r="C25" s="2"/>
      <c r="I25" s="1">
        <f>0.14*Table11819202310303132353839404243444647[[#This Row],[النولون]]</f>
        <v>0</v>
      </c>
      <c r="K2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5" s="1">
        <f>M24+Table11819202310303132353839404243444647[[#This Row],[اجمالي الفاتوره]]-Table11819202310303132353839404243444647[[#This Row],[الدفعات]]</f>
        <v>0</v>
      </c>
      <c r="O25" s="20"/>
      <c r="P25" s="48"/>
    </row>
    <row r="26" spans="3:16" ht="32.25" customHeight="1" x14ac:dyDescent="0.3">
      <c r="C26" s="2"/>
      <c r="I26" s="1">
        <f>0.14*Table11819202310303132353839404243444647[[#This Row],[النولون]]</f>
        <v>0</v>
      </c>
      <c r="K2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6" s="1">
        <f>M25+Table11819202310303132353839404243444647[[#This Row],[اجمالي الفاتوره]]-Table11819202310303132353839404243444647[[#This Row],[الدفعات]]</f>
        <v>0</v>
      </c>
      <c r="O26" s="20"/>
      <c r="P26" s="48"/>
    </row>
    <row r="27" spans="3:16" ht="32.25" customHeight="1" x14ac:dyDescent="0.3">
      <c r="C27" s="2"/>
      <c r="I27" s="1">
        <f>0.14*Table11819202310303132353839404243444647[[#This Row],[النولون]]</f>
        <v>0</v>
      </c>
      <c r="K2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7" s="1">
        <f>M26+Table11819202310303132353839404243444647[[#This Row],[اجمالي الفاتوره]]-Table11819202310303132353839404243444647[[#This Row],[الدفعات]]</f>
        <v>0</v>
      </c>
      <c r="O27" s="1">
        <f>SUM(K:K)-SUM(L:L)</f>
        <v>0</v>
      </c>
      <c r="P27" s="48">
        <f>SUM(I:I)</f>
        <v>17367</v>
      </c>
    </row>
    <row r="28" spans="3:16" ht="32.25" customHeight="1" x14ac:dyDescent="0.3">
      <c r="C28" s="2"/>
      <c r="I28" s="1">
        <f>0.14*Table11819202310303132353839404243444647[[#This Row],[النولون]]</f>
        <v>0</v>
      </c>
      <c r="K2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8" s="1">
        <f>M27+Table11819202310303132353839404243444647[[#This Row],[اجمالي الفاتوره]]-Table11819202310303132353839404243444647[[#This Row],[الدفعات]]</f>
        <v>0</v>
      </c>
      <c r="O28" s="20"/>
      <c r="P28" s="48"/>
    </row>
    <row r="29" spans="3:16" ht="32.25" customHeight="1" x14ac:dyDescent="0.3">
      <c r="C29" s="2"/>
      <c r="I29" s="1">
        <f>0.14*Table11819202310303132353839404243444647[[#This Row],[النولون]]</f>
        <v>0</v>
      </c>
      <c r="K2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9" s="1">
        <f>M28+Table11819202310303132353839404243444647[[#This Row],[اجمالي الفاتوره]]-Table11819202310303132353839404243444647[[#This Row],[الدفعات]]</f>
        <v>0</v>
      </c>
      <c r="O29" s="20"/>
      <c r="P29" s="48"/>
    </row>
    <row r="30" spans="3:16" ht="32.25" customHeight="1" x14ac:dyDescent="0.3">
      <c r="C30" s="2"/>
      <c r="I30" s="1">
        <f>0.14*Table11819202310303132353839404243444647[[#This Row],[النولون]]</f>
        <v>0</v>
      </c>
      <c r="K3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0" s="1">
        <f>M29+Table11819202310303132353839404243444647[[#This Row],[اجمالي الفاتوره]]-Table11819202310303132353839404243444647[[#This Row],[الدفعات]]</f>
        <v>0</v>
      </c>
      <c r="O30" s="20"/>
      <c r="P30" s="48"/>
    </row>
    <row r="31" spans="3:16" ht="32.25" customHeight="1" x14ac:dyDescent="0.3">
      <c r="C31" s="2"/>
      <c r="I31" s="1">
        <f>0.14*Table11819202310303132353839404243444647[[#This Row],[النولون]]</f>
        <v>0</v>
      </c>
      <c r="K3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1" s="1">
        <f>M30+Table11819202310303132353839404243444647[[#This Row],[اجمالي الفاتوره]]-Table11819202310303132353839404243444647[[#This Row],[الدفعات]]</f>
        <v>0</v>
      </c>
      <c r="O31" s="20"/>
      <c r="P31" s="48"/>
    </row>
    <row r="32" spans="3:16" ht="32.25" customHeight="1" x14ac:dyDescent="0.3">
      <c r="C32" s="2"/>
      <c r="I32" s="1">
        <f>0.14*Table11819202310303132353839404243444647[[#This Row],[النولون]]</f>
        <v>0</v>
      </c>
      <c r="K3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2" s="1">
        <f>M31+Table11819202310303132353839404243444647[[#This Row],[اجمالي الفاتوره]]-Table11819202310303132353839404243444647[[#This Row],[الدفعات]]</f>
        <v>0</v>
      </c>
      <c r="O32" s="20"/>
      <c r="P32" s="48"/>
    </row>
    <row r="33" spans="3:16" ht="32.25" customHeight="1" x14ac:dyDescent="0.3">
      <c r="C33" s="2"/>
      <c r="I33" s="1">
        <f>0.14*Table11819202310303132353839404243444647[[#This Row],[النولون]]</f>
        <v>0</v>
      </c>
      <c r="K3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3" s="1">
        <f>M32+Table11819202310303132353839404243444647[[#This Row],[اجمالي الفاتوره]]-Table11819202310303132353839404243444647[[#This Row],[الدفعات]]</f>
        <v>0</v>
      </c>
      <c r="O33" s="20"/>
      <c r="P33" s="48"/>
    </row>
    <row r="34" spans="3:16" ht="32.25" customHeight="1" x14ac:dyDescent="0.3">
      <c r="C34" s="2"/>
      <c r="I34" s="1">
        <f>0.14*Table11819202310303132353839404243444647[[#This Row],[النولون]]</f>
        <v>0</v>
      </c>
      <c r="K3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4" s="1">
        <f>M33+Table11819202310303132353839404243444647[[#This Row],[اجمالي الفاتوره]]-Table11819202310303132353839404243444647[[#This Row],[الدفعات]]</f>
        <v>0</v>
      </c>
      <c r="O34" s="20"/>
      <c r="P34" s="48"/>
    </row>
    <row r="35" spans="3:16" ht="32.25" customHeight="1" x14ac:dyDescent="0.3">
      <c r="C35" s="2"/>
      <c r="I35" s="1">
        <f>0.14*Table11819202310303132353839404243444647[[#This Row],[النولون]]</f>
        <v>0</v>
      </c>
      <c r="K3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5" s="1">
        <f>M34+Table11819202310303132353839404243444647[[#This Row],[اجمالي الفاتوره]]-Table11819202310303132353839404243444647[[#This Row],[الدفعات]]</f>
        <v>0</v>
      </c>
      <c r="O35" s="20"/>
      <c r="P35" s="48"/>
    </row>
    <row r="36" spans="3:16" ht="32.25" customHeight="1" x14ac:dyDescent="0.3">
      <c r="C36" s="2"/>
      <c r="I36" s="1">
        <f>0.14*Table11819202310303132353839404243444647[[#This Row],[النولون]]</f>
        <v>0</v>
      </c>
      <c r="K3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6" s="1">
        <f>M35+Table11819202310303132353839404243444647[[#This Row],[اجمالي الفاتوره]]-Table11819202310303132353839404243444647[[#This Row],[الدفعات]]</f>
        <v>0</v>
      </c>
      <c r="O36" s="20"/>
      <c r="P36" s="48"/>
    </row>
    <row r="37" spans="3:16" ht="32.25" customHeight="1" x14ac:dyDescent="0.3">
      <c r="C37" s="2"/>
      <c r="I37" s="1">
        <f>0.14*Table11819202310303132353839404243444647[[#This Row],[النولون]]</f>
        <v>0</v>
      </c>
      <c r="K3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7" s="1">
        <f>M36+Table11819202310303132353839404243444647[[#This Row],[اجمالي الفاتوره]]-Table11819202310303132353839404243444647[[#This Row],[الدفعات]]</f>
        <v>0</v>
      </c>
      <c r="O37" s="20"/>
      <c r="P37" s="48"/>
    </row>
    <row r="38" spans="3:16" ht="32.25" customHeight="1" x14ac:dyDescent="0.3">
      <c r="C38" s="2"/>
      <c r="D38" s="2"/>
      <c r="I38" s="1">
        <f>0.14*Table11819202310303132353839404243444647[[#This Row],[النولون]]</f>
        <v>0</v>
      </c>
      <c r="K3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8" s="1">
        <f>M37+Table11819202310303132353839404243444647[[#This Row],[اجمالي الفاتوره]]-Table11819202310303132353839404243444647[[#This Row],[الدفعات]]</f>
        <v>0</v>
      </c>
      <c r="O38" s="20"/>
      <c r="P38" s="48"/>
    </row>
    <row r="39" spans="3:16" ht="32.25" customHeight="1" x14ac:dyDescent="0.3">
      <c r="C39" s="2"/>
      <c r="I39" s="1">
        <f>0.14*Table11819202310303132353839404243444647[[#This Row],[النولون]]</f>
        <v>0</v>
      </c>
      <c r="K3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9" s="1">
        <f>M38+Table11819202310303132353839404243444647[[#This Row],[اجمالي الفاتوره]]-Table11819202310303132353839404243444647[[#This Row],[الدفعات]]</f>
        <v>0</v>
      </c>
      <c r="O39" s="20"/>
      <c r="P39" s="48"/>
    </row>
    <row r="40" spans="3:16" ht="32.25" customHeight="1" x14ac:dyDescent="0.3">
      <c r="C40" s="2"/>
      <c r="I40" s="1">
        <f>0.14*Table11819202310303132353839404243444647[[#This Row],[النولون]]</f>
        <v>0</v>
      </c>
      <c r="K4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40" s="1">
        <f>M39+Table11819202310303132353839404243444647[[#This Row],[اجمالي الفاتوره]]-Table11819202310303132353839404243444647[[#This Row],[الدفعات]]</f>
        <v>0</v>
      </c>
      <c r="O40" s="20"/>
      <c r="P40" s="48"/>
    </row>
    <row r="41" spans="3:16" ht="32.25" customHeight="1" x14ac:dyDescent="0.3">
      <c r="C41" s="2"/>
      <c r="I41" s="1">
        <f>0.14*Table11819202310303132353839404243444647[[#This Row],[النولون]]</f>
        <v>0</v>
      </c>
      <c r="K4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41" s="1">
        <f>M40+Table11819202310303132353839404243444647[[#This Row],[اجمالي الفاتوره]]-Table11819202310303132353839404243444647[[#This Row],[الدفعات]]</f>
        <v>0</v>
      </c>
      <c r="O41" s="20"/>
      <c r="P41" s="48"/>
    </row>
    <row r="42" spans="3:16" ht="32.25" customHeight="1" x14ac:dyDescent="0.3">
      <c r="C42" s="2"/>
      <c r="I42" s="1">
        <f>0.14*Table11819202310303132353839404243444647[[#This Row],[النولون]]</f>
        <v>0</v>
      </c>
      <c r="K4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42" s="1">
        <f>M41+Table11819202310303132353839404243444647[[#This Row],[اجمالي الفاتوره]]-Table11819202310303132353839404243444647[[#This Row],[الدفعات]]</f>
        <v>0</v>
      </c>
      <c r="O42" s="20"/>
      <c r="P42" s="48"/>
    </row>
    <row r="43" spans="3:16" ht="32.25" customHeight="1" x14ac:dyDescent="0.3">
      <c r="C43" s="2"/>
      <c r="I43" s="1">
        <f>0.14*Table11819202310303132353839404243444647[[#This Row],[النولون]]</f>
        <v>0</v>
      </c>
      <c r="K4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43" s="1">
        <f>M42+Table11819202310303132353839404243444647[[#This Row],[اجمالي الفاتوره]]-Table11819202310303132353839404243444647[[#This Row],[الدفعات]]</f>
        <v>0</v>
      </c>
      <c r="O43" s="20"/>
      <c r="P43" s="48"/>
    </row>
    <row r="44" spans="3:16" ht="32.25" customHeight="1" x14ac:dyDescent="0.3">
      <c r="C44" s="2"/>
      <c r="I44" s="1">
        <f>0.14*Table11819202310303132353839404243444647[[#This Row],[النولون]]</f>
        <v>0</v>
      </c>
      <c r="K4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44" s="1">
        <f>M43+Table11819202310303132353839404243444647[[#This Row],[اجمالي الفاتوره]]-Table11819202310303132353839404243444647[[#This Row],[الدفعات]]</f>
        <v>0</v>
      </c>
      <c r="O44" s="20"/>
      <c r="P44" s="48"/>
    </row>
    <row r="45" spans="3:16" ht="32.25" customHeight="1" x14ac:dyDescent="0.3">
      <c r="C45" s="2"/>
      <c r="I45" s="1">
        <f>0.14*Table11819202310303132353839404243444647[[#This Row],[النولون]]</f>
        <v>0</v>
      </c>
      <c r="K4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45" s="1">
        <f>M44+Table11819202310303132353839404243444647[[#This Row],[اجمالي الفاتوره]]-Table11819202310303132353839404243444647[[#This Row],[الدفعات]]</f>
        <v>0</v>
      </c>
      <c r="O45" s="20"/>
      <c r="P45" s="48"/>
    </row>
    <row r="46" spans="3:16" ht="32.25" customHeight="1" x14ac:dyDescent="0.3">
      <c r="C46" s="2"/>
      <c r="I46" s="1">
        <f>0.14*Table11819202310303132353839404243444647[[#This Row],[النولون]]</f>
        <v>0</v>
      </c>
      <c r="K4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46" s="1">
        <f>M45+Table11819202310303132353839404243444647[[#This Row],[اجمالي الفاتوره]]-Table11819202310303132353839404243444647[[#This Row],[الدفعات]]</f>
        <v>0</v>
      </c>
      <c r="O46" s="20"/>
      <c r="P46" s="48"/>
    </row>
    <row r="47" spans="3:16" ht="32.25" customHeight="1" x14ac:dyDescent="0.3">
      <c r="C47" s="2"/>
      <c r="I47" s="1">
        <f>0.14*Table11819202310303132353839404243444647[[#This Row],[النولون]]</f>
        <v>0</v>
      </c>
      <c r="K4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47" s="1">
        <f>M46+Table11819202310303132353839404243444647[[#This Row],[اجمالي الفاتوره]]-Table11819202310303132353839404243444647[[#This Row],[الدفعات]]</f>
        <v>0</v>
      </c>
      <c r="O47" s="20"/>
      <c r="P47" s="48"/>
    </row>
    <row r="48" spans="3:16" ht="32.25" customHeight="1" x14ac:dyDescent="0.3">
      <c r="C48" s="2"/>
      <c r="I48" s="1">
        <f>0.14*Table11819202310303132353839404243444647[[#This Row],[النولون]]</f>
        <v>0</v>
      </c>
      <c r="K4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48" s="1">
        <f>M47+Table11819202310303132353839404243444647[[#This Row],[اجمالي الفاتوره]]-Table11819202310303132353839404243444647[[#This Row],[الدفعات]]</f>
        <v>0</v>
      </c>
      <c r="O48" s="20"/>
      <c r="P48" s="48"/>
    </row>
    <row r="49" spans="3:16" ht="32.25" customHeight="1" x14ac:dyDescent="0.3">
      <c r="C49" s="2"/>
      <c r="I49" s="1">
        <f>0.14*Table11819202310303132353839404243444647[[#This Row],[النولون]]</f>
        <v>0</v>
      </c>
      <c r="K4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49" s="1">
        <f>M48+Table11819202310303132353839404243444647[[#This Row],[اجمالي الفاتوره]]-Table11819202310303132353839404243444647[[#This Row],[الدفعات]]</f>
        <v>0</v>
      </c>
      <c r="O49" s="20"/>
      <c r="P49" s="48"/>
    </row>
    <row r="50" spans="3:16" ht="32.25" customHeight="1" x14ac:dyDescent="0.3">
      <c r="C50" s="2"/>
      <c r="I50" s="1">
        <f>0.14*Table11819202310303132353839404243444647[[#This Row],[النولون]]</f>
        <v>0</v>
      </c>
      <c r="K5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50" s="1">
        <f>M49+Table11819202310303132353839404243444647[[#This Row],[اجمالي الفاتوره]]-Table11819202310303132353839404243444647[[#This Row],[الدفعات]]</f>
        <v>0</v>
      </c>
      <c r="O50" s="20"/>
      <c r="P50" s="48"/>
    </row>
    <row r="51" spans="3:16" ht="32.25" customHeight="1" x14ac:dyDescent="0.3">
      <c r="C51" s="2"/>
      <c r="I51" s="1">
        <f>0.14*Table11819202310303132353839404243444647[[#This Row],[النولون]]</f>
        <v>0</v>
      </c>
      <c r="K5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51" s="1">
        <f>M50+Table11819202310303132353839404243444647[[#This Row],[اجمالي الفاتوره]]-Table11819202310303132353839404243444647[[#This Row],[الدفعات]]</f>
        <v>0</v>
      </c>
      <c r="O51" s="20"/>
      <c r="P51" s="48"/>
    </row>
    <row r="52" spans="3:16" ht="32.25" customHeight="1" x14ac:dyDescent="0.3">
      <c r="C52" s="2"/>
      <c r="I52" s="1">
        <f>0.14*Table11819202310303132353839404243444647[[#This Row],[النولون]]</f>
        <v>0</v>
      </c>
      <c r="K5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52" s="1">
        <f>M51+Table11819202310303132353839404243444647[[#This Row],[اجمالي الفاتوره]]-Table11819202310303132353839404243444647[[#This Row],[الدفعات]]</f>
        <v>0</v>
      </c>
      <c r="O52" s="20"/>
      <c r="P52" s="48"/>
    </row>
    <row r="53" spans="3:16" ht="32.25" customHeight="1" x14ac:dyDescent="0.3">
      <c r="C53" s="2"/>
      <c r="I53" s="1">
        <f>0.14*Table11819202310303132353839404243444647[[#This Row],[النولون]]</f>
        <v>0</v>
      </c>
      <c r="K5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53" s="1">
        <f>M52+Table11819202310303132353839404243444647[[#This Row],[اجمالي الفاتوره]]-Table11819202310303132353839404243444647[[#This Row],[الدفعات]]</f>
        <v>0</v>
      </c>
      <c r="O53" s="20"/>
      <c r="P53" s="48"/>
    </row>
    <row r="54" spans="3:16" ht="32.25" customHeight="1" x14ac:dyDescent="0.3">
      <c r="C54" s="2"/>
      <c r="I54" s="1">
        <f>0.14*Table11819202310303132353839404243444647[[#This Row],[النولون]]</f>
        <v>0</v>
      </c>
      <c r="K5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54" s="1">
        <f>M53+Table11819202310303132353839404243444647[[#This Row],[اجمالي الفاتوره]]-Table11819202310303132353839404243444647[[#This Row],[الدفعات]]</f>
        <v>0</v>
      </c>
      <c r="O54" s="20"/>
      <c r="P54" s="48"/>
    </row>
    <row r="55" spans="3:16" ht="32.25" customHeight="1" x14ac:dyDescent="0.3">
      <c r="C55" s="2"/>
      <c r="I55" s="1">
        <f>0.14*Table11819202310303132353839404243444647[[#This Row],[النولون]]</f>
        <v>0</v>
      </c>
      <c r="K5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55" s="1">
        <f>M54+Table11819202310303132353839404243444647[[#This Row],[اجمالي الفاتوره]]-Table11819202310303132353839404243444647[[#This Row],[الدفعات]]</f>
        <v>0</v>
      </c>
      <c r="O55" s="20"/>
      <c r="P55" s="48"/>
    </row>
    <row r="56" spans="3:16" ht="32.25" customHeight="1" x14ac:dyDescent="0.3">
      <c r="C56" s="2"/>
      <c r="I56" s="1">
        <f>0.14*Table11819202310303132353839404243444647[[#This Row],[النولون]]</f>
        <v>0</v>
      </c>
      <c r="K5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56" s="1">
        <f>M55+Table11819202310303132353839404243444647[[#This Row],[اجمالي الفاتوره]]-Table11819202310303132353839404243444647[[#This Row],[الدفعات]]</f>
        <v>0</v>
      </c>
      <c r="O56" s="20"/>
      <c r="P56" s="48"/>
    </row>
    <row r="57" spans="3:16" ht="32.25" customHeight="1" x14ac:dyDescent="0.3">
      <c r="C57" s="2"/>
      <c r="I57" s="1">
        <f>0.14*Table11819202310303132353839404243444647[[#This Row],[النولون]]</f>
        <v>0</v>
      </c>
      <c r="K5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57" s="1">
        <f>M56+Table11819202310303132353839404243444647[[#This Row],[اجمالي الفاتوره]]-Table11819202310303132353839404243444647[[#This Row],[الدفعات]]</f>
        <v>0</v>
      </c>
      <c r="O57" s="20"/>
      <c r="P57" s="48"/>
    </row>
    <row r="58" spans="3:16" ht="32.25" customHeight="1" x14ac:dyDescent="0.3">
      <c r="C58" s="2"/>
      <c r="I58" s="1">
        <f>0.14*Table11819202310303132353839404243444647[[#This Row],[النولون]]</f>
        <v>0</v>
      </c>
      <c r="K5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58" s="1">
        <f>M57+Table11819202310303132353839404243444647[[#This Row],[اجمالي الفاتوره]]-Table11819202310303132353839404243444647[[#This Row],[الدفعات]]</f>
        <v>0</v>
      </c>
      <c r="O58" s="20"/>
      <c r="P58" s="48"/>
    </row>
    <row r="59" spans="3:16" ht="32.25" customHeight="1" x14ac:dyDescent="0.3">
      <c r="C59" s="2"/>
      <c r="I59" s="1">
        <f>0.14*Table11819202310303132353839404243444647[[#This Row],[النولون]]</f>
        <v>0</v>
      </c>
      <c r="K5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59" s="1">
        <f>M58+Table11819202310303132353839404243444647[[#This Row],[اجمالي الفاتوره]]-Table11819202310303132353839404243444647[[#This Row],[الدفعات]]</f>
        <v>0</v>
      </c>
      <c r="O59" s="20"/>
      <c r="P59" s="48"/>
    </row>
    <row r="60" spans="3:16" ht="32.25" customHeight="1" x14ac:dyDescent="0.3">
      <c r="C60" s="2"/>
      <c r="I60" s="1">
        <f>0.14*Table11819202310303132353839404243444647[[#This Row],[النولون]]</f>
        <v>0</v>
      </c>
      <c r="K6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60" s="1">
        <f>M59+Table11819202310303132353839404243444647[[#This Row],[اجمالي الفاتوره]]-Table11819202310303132353839404243444647[[#This Row],[الدفعات]]</f>
        <v>0</v>
      </c>
      <c r="O60" s="20"/>
      <c r="P60" s="48"/>
    </row>
    <row r="61" spans="3:16" ht="32.25" customHeight="1" x14ac:dyDescent="0.3">
      <c r="C61" s="2"/>
      <c r="I61" s="1">
        <f>0.14*Table11819202310303132353839404243444647[[#This Row],[النولون]]</f>
        <v>0</v>
      </c>
      <c r="K6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61" s="1">
        <f>M60+Table11819202310303132353839404243444647[[#This Row],[اجمالي الفاتوره]]-Table11819202310303132353839404243444647[[#This Row],[الدفعات]]</f>
        <v>0</v>
      </c>
      <c r="O61" s="20"/>
      <c r="P61" s="48"/>
    </row>
    <row r="62" spans="3:16" ht="32.25" customHeight="1" x14ac:dyDescent="0.3">
      <c r="C62" s="2"/>
      <c r="I62" s="1">
        <f>0.14*Table11819202310303132353839404243444647[[#This Row],[النولون]]</f>
        <v>0</v>
      </c>
      <c r="K6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62" s="1">
        <f>M61+Table11819202310303132353839404243444647[[#This Row],[اجمالي الفاتوره]]-Table11819202310303132353839404243444647[[#This Row],[الدفعات]]</f>
        <v>0</v>
      </c>
      <c r="O62" s="20"/>
      <c r="P62" s="48"/>
    </row>
    <row r="63" spans="3:16" ht="32.25" customHeight="1" x14ac:dyDescent="0.3">
      <c r="C63" s="2"/>
      <c r="I63" s="1">
        <f>0.14*Table11819202310303132353839404243444647[[#This Row],[النولون]]</f>
        <v>0</v>
      </c>
      <c r="K6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63" s="1">
        <f>M62+Table11819202310303132353839404243444647[[#This Row],[اجمالي الفاتوره]]-Table11819202310303132353839404243444647[[#This Row],[الدفعات]]</f>
        <v>0</v>
      </c>
      <c r="O63" s="20"/>
      <c r="P63" s="48"/>
    </row>
    <row r="64" spans="3:16" ht="32.25" customHeight="1" x14ac:dyDescent="0.3">
      <c r="C64" s="2"/>
      <c r="I64" s="1">
        <f>0.14*Table11819202310303132353839404243444647[[#This Row],[النولون]]</f>
        <v>0</v>
      </c>
      <c r="K6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64" s="1">
        <f>M63+Table11819202310303132353839404243444647[[#This Row],[اجمالي الفاتوره]]-Table11819202310303132353839404243444647[[#This Row],[الدفعات]]</f>
        <v>0</v>
      </c>
      <c r="O64" s="20"/>
      <c r="P64" s="48"/>
    </row>
    <row r="65" spans="1:16" ht="32.25" customHeight="1" x14ac:dyDescent="0.3">
      <c r="C65" s="2"/>
      <c r="I65" s="1">
        <f>0.14*Table11819202310303132353839404243444647[[#This Row],[النولون]]</f>
        <v>0</v>
      </c>
      <c r="K6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65" s="1">
        <f>M64+Table11819202310303132353839404243444647[[#This Row],[اجمالي الفاتوره]]-Table11819202310303132353839404243444647[[#This Row],[الدفعات]]</f>
        <v>0</v>
      </c>
      <c r="O65" s="20"/>
      <c r="P65" s="48"/>
    </row>
    <row r="66" spans="1:16" ht="32.25" customHeight="1" x14ac:dyDescent="0.3">
      <c r="C66" s="2"/>
      <c r="I66" s="1">
        <f>0.14*Table11819202310303132353839404243444647[[#This Row],[النولون]]</f>
        <v>0</v>
      </c>
      <c r="K6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66" s="1">
        <f>M65+Table11819202310303132353839404243444647[[#This Row],[اجمالي الفاتوره]]-Table11819202310303132353839404243444647[[#This Row],[الدفعات]]</f>
        <v>0</v>
      </c>
      <c r="O66" s="20"/>
      <c r="P66" s="48"/>
    </row>
    <row r="67" spans="1:16" ht="32.25" customHeight="1" x14ac:dyDescent="0.3">
      <c r="C67" s="2"/>
      <c r="I67" s="1">
        <f>0.14*Table11819202310303132353839404243444647[[#This Row],[النولون]]</f>
        <v>0</v>
      </c>
      <c r="K6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67" s="1">
        <f>M66+Table11819202310303132353839404243444647[[#This Row],[اجمالي الفاتوره]]-Table11819202310303132353839404243444647[[#This Row],[الدفعات]]</f>
        <v>0</v>
      </c>
      <c r="O67" s="20"/>
      <c r="P67" s="48"/>
    </row>
    <row r="68" spans="1:16" ht="32.25" customHeight="1" x14ac:dyDescent="0.3">
      <c r="C68" s="2"/>
      <c r="I68" s="1">
        <f>0.14*Table11819202310303132353839404243444647[[#This Row],[النولون]]</f>
        <v>0</v>
      </c>
      <c r="K6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68" s="1">
        <f>M67+Table11819202310303132353839404243444647[[#This Row],[اجمالي الفاتوره]]-Table11819202310303132353839404243444647[[#This Row],[الدفعات]]</f>
        <v>0</v>
      </c>
      <c r="O68" s="20"/>
      <c r="P68" s="48"/>
    </row>
    <row r="69" spans="1:16" ht="32.25" customHeight="1" x14ac:dyDescent="0.3">
      <c r="C69" s="2"/>
      <c r="I69" s="1">
        <f>0.14*Table11819202310303132353839404243444647[[#This Row],[النولون]]</f>
        <v>0</v>
      </c>
      <c r="K6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69" s="1">
        <f>M68+Table11819202310303132353839404243444647[[#This Row],[اجمالي الفاتوره]]-Table11819202310303132353839404243444647[[#This Row],[الدفعات]]</f>
        <v>0</v>
      </c>
      <c r="O69" s="20"/>
      <c r="P69" s="48"/>
    </row>
    <row r="70" spans="1:16" ht="32.25" customHeight="1" x14ac:dyDescent="0.3">
      <c r="A70" s="12"/>
      <c r="C70" s="2"/>
      <c r="I70" s="1">
        <f>0.14*Table11819202310303132353839404243444647[[#This Row],[النولون]]</f>
        <v>0</v>
      </c>
      <c r="K7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70" s="1">
        <f>M69+Table11819202310303132353839404243444647[[#This Row],[اجمالي الفاتوره]]-Table11819202310303132353839404243444647[[#This Row],[الدفعات]]</f>
        <v>0</v>
      </c>
      <c r="O70" s="20"/>
      <c r="P70" s="48"/>
    </row>
    <row r="71" spans="1:16" ht="32.25" customHeight="1" x14ac:dyDescent="0.3">
      <c r="C71" s="2"/>
      <c r="I71" s="1">
        <f>0.14*Table11819202310303132353839404243444647[[#This Row],[النولون]]</f>
        <v>0</v>
      </c>
      <c r="K7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71" s="1">
        <f>M70+Table11819202310303132353839404243444647[[#This Row],[اجمالي الفاتوره]]-Table11819202310303132353839404243444647[[#This Row],[الدفعات]]</f>
        <v>0</v>
      </c>
      <c r="O71" s="20"/>
      <c r="P71" s="48"/>
    </row>
    <row r="72" spans="1:16" ht="32.25" customHeight="1" x14ac:dyDescent="0.3">
      <c r="C72" s="2"/>
      <c r="I72" s="1">
        <f>0.14*Table11819202310303132353839404243444647[[#This Row],[النولون]]</f>
        <v>0</v>
      </c>
      <c r="K7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72" s="1">
        <f>M71+Table11819202310303132353839404243444647[[#This Row],[اجمالي الفاتوره]]-Table11819202310303132353839404243444647[[#This Row],[الدفعات]]</f>
        <v>0</v>
      </c>
      <c r="O72" s="20"/>
      <c r="P72" s="48"/>
    </row>
    <row r="73" spans="1:16" ht="32.25" customHeight="1" x14ac:dyDescent="0.3">
      <c r="C73" s="2"/>
      <c r="I73" s="1">
        <f>0.14*Table11819202310303132353839404243444647[[#This Row],[النولون]]</f>
        <v>0</v>
      </c>
      <c r="K7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73" s="1">
        <f>M72+Table11819202310303132353839404243444647[[#This Row],[اجمالي الفاتوره]]-Table11819202310303132353839404243444647[[#This Row],[الدفعات]]</f>
        <v>0</v>
      </c>
      <c r="O73" s="20"/>
      <c r="P73" s="48"/>
    </row>
    <row r="74" spans="1:16" ht="32.25" customHeight="1" x14ac:dyDescent="0.3">
      <c r="C74" s="2"/>
      <c r="I74" s="1">
        <f>0.14*Table11819202310303132353839404243444647[[#This Row],[النولون]]</f>
        <v>0</v>
      </c>
      <c r="K7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74" s="1">
        <f>M73+Table11819202310303132353839404243444647[[#This Row],[اجمالي الفاتوره]]-Table11819202310303132353839404243444647[[#This Row],[الدفعات]]</f>
        <v>0</v>
      </c>
      <c r="O74" s="20"/>
      <c r="P74" s="48"/>
    </row>
    <row r="75" spans="1:16" ht="32.25" customHeight="1" x14ac:dyDescent="0.3">
      <c r="C75" s="2"/>
      <c r="I75" s="1">
        <f>0.14*Table11819202310303132353839404243444647[[#This Row],[النولون]]</f>
        <v>0</v>
      </c>
      <c r="K7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75" s="1">
        <f>M74+Table11819202310303132353839404243444647[[#This Row],[اجمالي الفاتوره]]-Table11819202310303132353839404243444647[[#This Row],[الدفعات]]</f>
        <v>0</v>
      </c>
      <c r="O75" s="20"/>
      <c r="P75" s="48"/>
    </row>
    <row r="76" spans="1:16" ht="32.25" customHeight="1" x14ac:dyDescent="0.3">
      <c r="C76" s="2"/>
      <c r="I76" s="1">
        <f>0.14*Table11819202310303132353839404243444647[[#This Row],[النولون]]</f>
        <v>0</v>
      </c>
      <c r="K7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76" s="1">
        <f>M75+Table11819202310303132353839404243444647[[#This Row],[اجمالي الفاتوره]]-Table11819202310303132353839404243444647[[#This Row],[الدفعات]]</f>
        <v>0</v>
      </c>
      <c r="O76" s="20"/>
      <c r="P76" s="48"/>
    </row>
    <row r="77" spans="1:16" ht="32.25" customHeight="1" x14ac:dyDescent="0.3">
      <c r="C77" s="2"/>
      <c r="I77" s="1">
        <f>0.14*Table11819202310303132353839404243444647[[#This Row],[النولون]]</f>
        <v>0</v>
      </c>
      <c r="K7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77" s="1">
        <f>M76+Table11819202310303132353839404243444647[[#This Row],[اجمالي الفاتوره]]-Table11819202310303132353839404243444647[[#This Row],[الدفعات]]</f>
        <v>0</v>
      </c>
      <c r="O77" s="20"/>
      <c r="P77" s="48"/>
    </row>
    <row r="78" spans="1:16" ht="32.25" customHeight="1" x14ac:dyDescent="0.3">
      <c r="C78" s="2"/>
      <c r="I78" s="1">
        <f>0.14*Table11819202310303132353839404243444647[[#This Row],[النولون]]</f>
        <v>0</v>
      </c>
      <c r="K7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78" s="1">
        <f>M77+Table11819202310303132353839404243444647[[#This Row],[اجمالي الفاتوره]]-Table11819202310303132353839404243444647[[#This Row],[الدفعات]]</f>
        <v>0</v>
      </c>
      <c r="O78" s="20"/>
      <c r="P78" s="48"/>
    </row>
    <row r="79" spans="1:16" ht="32.25" customHeight="1" x14ac:dyDescent="0.3">
      <c r="C79" s="2"/>
      <c r="I79" s="1">
        <f>0.14*Table11819202310303132353839404243444647[[#This Row],[النولون]]</f>
        <v>0</v>
      </c>
      <c r="K7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79" s="1">
        <f>M78+Table11819202310303132353839404243444647[[#This Row],[اجمالي الفاتوره]]-Table11819202310303132353839404243444647[[#This Row],[الدفعات]]</f>
        <v>0</v>
      </c>
      <c r="O79" s="20"/>
      <c r="P79" s="48"/>
    </row>
    <row r="80" spans="1:16" ht="32.25" customHeight="1" x14ac:dyDescent="0.3">
      <c r="C80" s="2"/>
      <c r="I80" s="1">
        <f>0.14*Table11819202310303132353839404243444647[[#This Row],[النولون]]</f>
        <v>0</v>
      </c>
      <c r="K8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80" s="1">
        <f>M79+Table11819202310303132353839404243444647[[#This Row],[اجمالي الفاتوره]]-Table11819202310303132353839404243444647[[#This Row],[الدفعات]]</f>
        <v>0</v>
      </c>
      <c r="O80" s="20"/>
      <c r="P80" s="48"/>
    </row>
    <row r="81" spans="2:16" ht="32.25" customHeight="1" x14ac:dyDescent="0.3">
      <c r="C81" s="2"/>
      <c r="I81" s="1">
        <f>0.14*Table11819202310303132353839404243444647[[#This Row],[النولون]]</f>
        <v>0</v>
      </c>
      <c r="K8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81" s="1">
        <f>M80+Table11819202310303132353839404243444647[[#This Row],[اجمالي الفاتوره]]-Table11819202310303132353839404243444647[[#This Row],[الدفعات]]</f>
        <v>0</v>
      </c>
      <c r="O81" s="20"/>
      <c r="P81" s="48"/>
    </row>
    <row r="82" spans="2:16" ht="32.25" customHeight="1" x14ac:dyDescent="0.3">
      <c r="C82" s="2"/>
      <c r="I82" s="1">
        <f>0.14*Table11819202310303132353839404243444647[[#This Row],[النولون]]</f>
        <v>0</v>
      </c>
      <c r="K8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82" s="1">
        <f>M81+Table11819202310303132353839404243444647[[#This Row],[اجمالي الفاتوره]]-Table11819202310303132353839404243444647[[#This Row],[الدفعات]]</f>
        <v>0</v>
      </c>
      <c r="O82" s="20"/>
      <c r="P82" s="48"/>
    </row>
    <row r="83" spans="2:16" ht="32.25" customHeight="1" x14ac:dyDescent="0.3">
      <c r="C83" s="2"/>
      <c r="I83" s="1">
        <f>0.14*Table11819202310303132353839404243444647[[#This Row],[النولون]]</f>
        <v>0</v>
      </c>
      <c r="K8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83" s="1">
        <f>M82+Table11819202310303132353839404243444647[[#This Row],[اجمالي الفاتوره]]-Table11819202310303132353839404243444647[[#This Row],[الدفعات]]</f>
        <v>0</v>
      </c>
      <c r="O83" s="20"/>
      <c r="P83" s="48"/>
    </row>
    <row r="84" spans="2:16" ht="32.25" customHeight="1" x14ac:dyDescent="0.3">
      <c r="C84" s="2"/>
      <c r="I84" s="1">
        <f>0.14*Table11819202310303132353839404243444647[[#This Row],[النولون]]</f>
        <v>0</v>
      </c>
      <c r="K8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84" s="1">
        <f>M83+Table11819202310303132353839404243444647[[#This Row],[اجمالي الفاتوره]]-Table11819202310303132353839404243444647[[#This Row],[الدفعات]]</f>
        <v>0</v>
      </c>
      <c r="O84" s="20"/>
      <c r="P84" s="48"/>
    </row>
    <row r="85" spans="2:16" ht="32.25" customHeight="1" x14ac:dyDescent="0.3">
      <c r="C85" s="2"/>
      <c r="I85" s="1">
        <f>0.14*Table11819202310303132353839404243444647[[#This Row],[النولون]]</f>
        <v>0</v>
      </c>
      <c r="K8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85" s="1">
        <f>M84+Table11819202310303132353839404243444647[[#This Row],[اجمالي الفاتوره]]-Table11819202310303132353839404243444647[[#This Row],[الدفعات]]</f>
        <v>0</v>
      </c>
      <c r="O85" s="20"/>
      <c r="P85" s="48"/>
    </row>
    <row r="86" spans="2:16" ht="32.25" customHeight="1" x14ac:dyDescent="0.3">
      <c r="C86" s="2"/>
      <c r="I86" s="1">
        <f>0.14*Table11819202310303132353839404243444647[[#This Row],[النولون]]</f>
        <v>0</v>
      </c>
      <c r="K8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86" s="1">
        <f>M85+Table11819202310303132353839404243444647[[#This Row],[اجمالي الفاتوره]]-Table11819202310303132353839404243444647[[#This Row],[الدفعات]]</f>
        <v>0</v>
      </c>
      <c r="O86" s="20"/>
      <c r="P86" s="48"/>
    </row>
    <row r="87" spans="2:16" ht="32.25" customHeight="1" x14ac:dyDescent="0.3">
      <c r="C87" s="2"/>
      <c r="I87" s="1">
        <f>0.14*Table11819202310303132353839404243444647[[#This Row],[النولون]]</f>
        <v>0</v>
      </c>
      <c r="K8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87" s="1">
        <f>M86+Table11819202310303132353839404243444647[[#This Row],[اجمالي الفاتوره]]-Table11819202310303132353839404243444647[[#This Row],[الدفعات]]</f>
        <v>0</v>
      </c>
      <c r="O87" s="20"/>
      <c r="P87" s="48"/>
    </row>
    <row r="88" spans="2:16" ht="32.25" customHeight="1" x14ac:dyDescent="0.3">
      <c r="C88" s="2"/>
      <c r="I88" s="1">
        <f>0.14*Table11819202310303132353839404243444647[[#This Row],[النولون]]</f>
        <v>0</v>
      </c>
      <c r="K8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88" s="1">
        <f>M87+Table11819202310303132353839404243444647[[#This Row],[اجمالي الفاتوره]]-Table11819202310303132353839404243444647[[#This Row],[الدفعات]]</f>
        <v>0</v>
      </c>
      <c r="O88" s="20"/>
      <c r="P88" s="48"/>
    </row>
    <row r="89" spans="2:16" ht="32.25" customHeight="1" x14ac:dyDescent="0.3">
      <c r="C89" s="2"/>
      <c r="I89" s="1">
        <f>0.14*Table11819202310303132353839404243444647[[#This Row],[النولون]]</f>
        <v>0</v>
      </c>
      <c r="K8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89" s="1">
        <f>M88+Table11819202310303132353839404243444647[[#This Row],[اجمالي الفاتوره]]-Table11819202310303132353839404243444647[[#This Row],[الدفعات]]</f>
        <v>0</v>
      </c>
      <c r="O89" s="20"/>
      <c r="P89" s="48"/>
    </row>
    <row r="90" spans="2:16" ht="32.25" customHeight="1" x14ac:dyDescent="0.3">
      <c r="C90" s="2"/>
      <c r="I90" s="1">
        <f>0.14*Table11819202310303132353839404243444647[[#This Row],[النولون]]</f>
        <v>0</v>
      </c>
      <c r="K9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90" s="1">
        <f>M89+Table11819202310303132353839404243444647[[#This Row],[اجمالي الفاتوره]]-Table11819202310303132353839404243444647[[#This Row],[الدفعات]]</f>
        <v>0</v>
      </c>
      <c r="O90" s="20"/>
      <c r="P90" s="48"/>
    </row>
    <row r="91" spans="2:16" ht="32.25" customHeight="1" x14ac:dyDescent="0.3">
      <c r="C91" s="2"/>
      <c r="I91" s="1">
        <f>0.14*Table11819202310303132353839404243444647[[#This Row],[النولون]]</f>
        <v>0</v>
      </c>
      <c r="K9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91" s="1">
        <f>M90+Table11819202310303132353839404243444647[[#This Row],[اجمالي الفاتوره]]-Table11819202310303132353839404243444647[[#This Row],[الدفعات]]</f>
        <v>0</v>
      </c>
      <c r="O91" s="20"/>
      <c r="P91" s="48"/>
    </row>
    <row r="92" spans="2:16" ht="32.25" customHeight="1" x14ac:dyDescent="0.3">
      <c r="C92" s="2"/>
      <c r="I92" s="1">
        <f>0.14*Table11819202310303132353839404243444647[[#This Row],[النولون]]</f>
        <v>0</v>
      </c>
      <c r="K9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92" s="1">
        <f>M91+Table11819202310303132353839404243444647[[#This Row],[اجمالي الفاتوره]]-Table11819202310303132353839404243444647[[#This Row],[الدفعات]]</f>
        <v>0</v>
      </c>
      <c r="O92" s="20"/>
      <c r="P92" s="48"/>
    </row>
    <row r="93" spans="2:16" ht="32.25" customHeight="1" x14ac:dyDescent="0.3">
      <c r="C93" s="2"/>
      <c r="I93" s="1">
        <f>0.14*Table11819202310303132353839404243444647[[#This Row],[النولون]]</f>
        <v>0</v>
      </c>
      <c r="K9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93" s="1">
        <f>M92+Table11819202310303132353839404243444647[[#This Row],[اجمالي الفاتوره]]-Table11819202310303132353839404243444647[[#This Row],[الدفعات]]</f>
        <v>0</v>
      </c>
      <c r="O93" s="20"/>
      <c r="P93" s="48"/>
    </row>
    <row r="94" spans="2:16" ht="32.25" customHeight="1" x14ac:dyDescent="0.3">
      <c r="C94" s="2"/>
      <c r="I94" s="1">
        <f>0.14*Table11819202310303132353839404243444647[[#This Row],[النولون]]</f>
        <v>0</v>
      </c>
      <c r="K9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94" s="1">
        <f>M93+Table11819202310303132353839404243444647[[#This Row],[اجمالي الفاتوره]]-Table11819202310303132353839404243444647[[#This Row],[الدفعات]]</f>
        <v>0</v>
      </c>
      <c r="O94" s="20"/>
      <c r="P94" s="48"/>
    </row>
    <row r="95" spans="2:16" ht="32.25" customHeight="1" x14ac:dyDescent="0.3">
      <c r="C95" s="2"/>
      <c r="I95" s="1">
        <f>0.14*Table11819202310303132353839404243444647[[#This Row],[النولون]]</f>
        <v>0</v>
      </c>
      <c r="K9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95" s="1">
        <f>M94+Table11819202310303132353839404243444647[[#This Row],[اجمالي الفاتوره]]-Table11819202310303132353839404243444647[[#This Row],[الدفعات]]</f>
        <v>0</v>
      </c>
      <c r="O95" s="20"/>
      <c r="P95" s="48"/>
    </row>
    <row r="96" spans="2:16" ht="32.25" customHeight="1" x14ac:dyDescent="0.3">
      <c r="B96" s="41"/>
      <c r="C96" s="45"/>
      <c r="D96" s="41"/>
      <c r="E96" s="41"/>
      <c r="F96" s="41"/>
      <c r="G96" s="41"/>
      <c r="H96" s="41"/>
      <c r="I96" s="1">
        <f>0.14*Table11819202310303132353839404243444647[[#This Row],[النولون]]</f>
        <v>0</v>
      </c>
      <c r="J96" s="41"/>
      <c r="K9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96" s="1">
        <f>M95+Table11819202310303132353839404243444647[[#This Row],[اجمالي الفاتوره]]-Table11819202310303132353839404243444647[[#This Row],[الدفعات]]</f>
        <v>0</v>
      </c>
      <c r="N96" s="41"/>
      <c r="O96" s="41"/>
      <c r="P96" s="48"/>
    </row>
    <row r="97" spans="2:16" ht="32.25" customHeight="1" x14ac:dyDescent="0.3">
      <c r="C97" s="2"/>
      <c r="I97" s="1">
        <f>0.14*Table11819202310303132353839404243444647[[#This Row],[النولون]]</f>
        <v>0</v>
      </c>
      <c r="K9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97" s="1">
        <f>M96+Table11819202310303132353839404243444647[[#This Row],[اجمالي الفاتوره]]-Table11819202310303132353839404243444647[[#This Row],[الدفعات]]</f>
        <v>0</v>
      </c>
      <c r="O97" s="20"/>
      <c r="P97" s="48"/>
    </row>
    <row r="98" spans="2:16" ht="32.25" customHeight="1" x14ac:dyDescent="0.3">
      <c r="C98" s="2"/>
      <c r="I98" s="1">
        <f>0.14*Table11819202310303132353839404243444647[[#This Row],[النولون]]</f>
        <v>0</v>
      </c>
      <c r="K9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L98" s="41"/>
      <c r="M98" s="1">
        <f>M97+Table11819202310303132353839404243444647[[#This Row],[اجمالي الفاتوره]]-Table11819202310303132353839404243444647[[#This Row],[الدفعات]]</f>
        <v>0</v>
      </c>
      <c r="O98" s="20"/>
      <c r="P98" s="48"/>
    </row>
    <row r="99" spans="2:16" ht="32.25" customHeight="1" x14ac:dyDescent="0.3">
      <c r="C99" s="2"/>
      <c r="I99" s="1">
        <f>0.14*Table11819202310303132353839404243444647[[#This Row],[النولون]]</f>
        <v>0</v>
      </c>
      <c r="K9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99" s="1">
        <f>M98+Table11819202310303132353839404243444647[[#This Row],[اجمالي الفاتوره]]-Table11819202310303132353839404243444647[[#This Row],[الدفعات]]</f>
        <v>0</v>
      </c>
      <c r="O99" s="20"/>
      <c r="P99" s="48"/>
    </row>
    <row r="100" spans="2:16" ht="32.25" customHeight="1" x14ac:dyDescent="0.3">
      <c r="C100" s="2"/>
      <c r="I100" s="1">
        <f>0.14*Table11819202310303132353839404243444647[[#This Row],[النولون]]</f>
        <v>0</v>
      </c>
      <c r="K10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00" s="1">
        <f>M99+Table11819202310303132353839404243444647[[#This Row],[اجمالي الفاتوره]]-Table11819202310303132353839404243444647[[#This Row],[الدفعات]]</f>
        <v>0</v>
      </c>
      <c r="O100" s="20"/>
      <c r="P100" s="48"/>
    </row>
    <row r="101" spans="2:16" ht="32.25" customHeight="1" x14ac:dyDescent="0.3">
      <c r="C101" s="2"/>
      <c r="I101" s="1">
        <f>0.14*Table11819202310303132353839404243444647[[#This Row],[النولون]]</f>
        <v>0</v>
      </c>
      <c r="K10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01" s="1">
        <f>M100+Table11819202310303132353839404243444647[[#This Row],[اجمالي الفاتوره]]-Table11819202310303132353839404243444647[[#This Row],[الدفعات]]</f>
        <v>0</v>
      </c>
      <c r="O101" s="20"/>
      <c r="P101" s="48"/>
    </row>
    <row r="102" spans="2:16" ht="32.25" customHeight="1" x14ac:dyDescent="0.3">
      <c r="B102" s="41"/>
      <c r="C102" s="45"/>
      <c r="D102" s="41"/>
      <c r="E102" s="41"/>
      <c r="F102" s="41"/>
      <c r="G102" s="41"/>
      <c r="H102" s="41"/>
      <c r="I102" s="1">
        <f>0.14*Table11819202310303132353839404243444647[[#This Row],[النولون]]</f>
        <v>0</v>
      </c>
      <c r="J102" s="41"/>
      <c r="K10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L102" s="41"/>
      <c r="M102" s="1">
        <f>M101+Table11819202310303132353839404243444647[[#This Row],[اجمالي الفاتوره]]-Table11819202310303132353839404243444647[[#This Row],[الدفعات]]</f>
        <v>0</v>
      </c>
      <c r="N102" s="41"/>
      <c r="O102" s="41"/>
      <c r="P102" s="48"/>
    </row>
    <row r="103" spans="2:16" ht="32.25" customHeight="1" x14ac:dyDescent="0.3">
      <c r="C103" s="2"/>
      <c r="I103" s="1">
        <f>0.14*Table11819202310303132353839404243444647[[#This Row],[النولون]]</f>
        <v>0</v>
      </c>
      <c r="K10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03" s="1">
        <f>M102+Table11819202310303132353839404243444647[[#This Row],[اجمالي الفاتوره]]-Table11819202310303132353839404243444647[[#This Row],[الدفعات]]</f>
        <v>0</v>
      </c>
      <c r="O103" s="20"/>
      <c r="P103" s="48"/>
    </row>
    <row r="104" spans="2:16" ht="32.25" customHeight="1" x14ac:dyDescent="0.3">
      <c r="C104" s="2"/>
      <c r="I104" s="1">
        <f>0.14*Table11819202310303132353839404243444647[[#This Row],[النولون]]</f>
        <v>0</v>
      </c>
      <c r="K10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04" s="1">
        <f>M103+Table11819202310303132353839404243444647[[#This Row],[اجمالي الفاتوره]]-Table11819202310303132353839404243444647[[#This Row],[الدفعات]]</f>
        <v>0</v>
      </c>
      <c r="O104" s="20"/>
      <c r="P104" s="48"/>
    </row>
    <row r="105" spans="2:16" ht="32.25" customHeight="1" x14ac:dyDescent="0.3">
      <c r="C105" s="2"/>
      <c r="I105" s="1">
        <f>0.14*Table11819202310303132353839404243444647[[#This Row],[النولون]]</f>
        <v>0</v>
      </c>
      <c r="K10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05" s="1">
        <f>M104+Table11819202310303132353839404243444647[[#This Row],[اجمالي الفاتوره]]-Table11819202310303132353839404243444647[[#This Row],[الدفعات]]</f>
        <v>0</v>
      </c>
      <c r="O105" s="20"/>
      <c r="P105" s="48"/>
    </row>
    <row r="106" spans="2:16" ht="32.25" customHeight="1" x14ac:dyDescent="0.3">
      <c r="C106" s="2"/>
      <c r="I106" s="1">
        <f>0.14*Table11819202310303132353839404243444647[[#This Row],[النولون]]</f>
        <v>0</v>
      </c>
      <c r="K10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06" s="1">
        <f>M105+Table11819202310303132353839404243444647[[#This Row],[اجمالي الفاتوره]]-Table11819202310303132353839404243444647[[#This Row],[الدفعات]]</f>
        <v>0</v>
      </c>
      <c r="O106" s="20"/>
      <c r="P106" s="48"/>
    </row>
    <row r="107" spans="2:16" ht="32.25" customHeight="1" x14ac:dyDescent="0.3">
      <c r="I107" s="1">
        <f>0.14*Table11819202310303132353839404243444647[[#This Row],[النولون]]</f>
        <v>0</v>
      </c>
      <c r="K10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07" s="1">
        <f>M106+Table11819202310303132353839404243444647[[#This Row],[اجمالي الفاتوره]]-Table11819202310303132353839404243444647[[#This Row],[الدفعات]]</f>
        <v>0</v>
      </c>
      <c r="O107" s="20"/>
      <c r="P107" s="48"/>
    </row>
    <row r="108" spans="2:16" ht="32.25" customHeight="1" x14ac:dyDescent="0.3">
      <c r="C108" s="2"/>
      <c r="I108" s="1">
        <f>0.14*Table11819202310303132353839404243444647[[#This Row],[النولون]]</f>
        <v>0</v>
      </c>
      <c r="K10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08" s="1">
        <f>M107+Table11819202310303132353839404243444647[[#This Row],[اجمالي الفاتوره]]-Table11819202310303132353839404243444647[[#This Row],[الدفعات]]</f>
        <v>0</v>
      </c>
      <c r="O108" s="20"/>
      <c r="P108" s="48"/>
    </row>
    <row r="109" spans="2:16" ht="32.25" customHeight="1" x14ac:dyDescent="0.3">
      <c r="C109" s="2"/>
      <c r="I109" s="1">
        <f>0.14*Table11819202310303132353839404243444647[[#This Row],[النولون]]</f>
        <v>0</v>
      </c>
      <c r="K10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09" s="1">
        <f>M108+Table11819202310303132353839404243444647[[#This Row],[اجمالي الفاتوره]]-Table11819202310303132353839404243444647[[#This Row],[الدفعات]]</f>
        <v>0</v>
      </c>
      <c r="O109" s="20"/>
      <c r="P109" s="48"/>
    </row>
    <row r="110" spans="2:16" ht="32.25" customHeight="1" x14ac:dyDescent="0.3">
      <c r="C110" s="2"/>
      <c r="I110" s="1">
        <f>0.14*Table11819202310303132353839404243444647[[#This Row],[النولون]]</f>
        <v>0</v>
      </c>
      <c r="K11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10" s="1">
        <f>M109+Table11819202310303132353839404243444647[[#This Row],[اجمالي الفاتوره]]-Table11819202310303132353839404243444647[[#This Row],[الدفعات]]</f>
        <v>0</v>
      </c>
      <c r="O110" s="20"/>
      <c r="P110" s="48"/>
    </row>
    <row r="111" spans="2:16" ht="32.25" customHeight="1" x14ac:dyDescent="0.3">
      <c r="C111" s="2"/>
      <c r="I111" s="1">
        <f>0.14*Table11819202310303132353839404243444647[[#This Row],[النولون]]</f>
        <v>0</v>
      </c>
      <c r="K11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11" s="1">
        <f>M110+Table11819202310303132353839404243444647[[#This Row],[اجمالي الفاتوره]]-Table11819202310303132353839404243444647[[#This Row],[الدفعات]]</f>
        <v>0</v>
      </c>
      <c r="O111" s="20"/>
      <c r="P111" s="48"/>
    </row>
    <row r="112" spans="2:16" ht="32.25" customHeight="1" x14ac:dyDescent="0.3">
      <c r="C112" s="2"/>
      <c r="I112" s="1">
        <f>0.14*Table11819202310303132353839404243444647[[#This Row],[النولون]]</f>
        <v>0</v>
      </c>
      <c r="K11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12" s="1">
        <f>M111+Table11819202310303132353839404243444647[[#This Row],[اجمالي الفاتوره]]-Table11819202310303132353839404243444647[[#This Row],[الدفعات]]</f>
        <v>0</v>
      </c>
      <c r="O112" s="20"/>
      <c r="P112" s="48"/>
    </row>
    <row r="113" spans="3:16" ht="32.25" customHeight="1" x14ac:dyDescent="0.3">
      <c r="C113" s="2"/>
      <c r="I113" s="1">
        <f>0.14*Table11819202310303132353839404243444647[[#This Row],[النولون]]</f>
        <v>0</v>
      </c>
      <c r="K11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13" s="1">
        <f>M112+Table11819202310303132353839404243444647[[#This Row],[اجمالي الفاتوره]]-Table11819202310303132353839404243444647[[#This Row],[الدفعات]]</f>
        <v>0</v>
      </c>
      <c r="O113" s="20"/>
      <c r="P113" s="48"/>
    </row>
    <row r="114" spans="3:16" ht="32.25" customHeight="1" x14ac:dyDescent="0.3">
      <c r="C114" s="2"/>
      <c r="I114" s="1">
        <f>0.14*Table11819202310303132353839404243444647[[#This Row],[النولون]]</f>
        <v>0</v>
      </c>
      <c r="K11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14" s="1">
        <f>M113+Table11819202310303132353839404243444647[[#This Row],[اجمالي الفاتوره]]-Table11819202310303132353839404243444647[[#This Row],[الدفعات]]</f>
        <v>0</v>
      </c>
      <c r="O114" s="20"/>
      <c r="P114" s="48"/>
    </row>
    <row r="115" spans="3:16" ht="32.25" customHeight="1" x14ac:dyDescent="0.3">
      <c r="C115" s="2"/>
      <c r="I115" s="1">
        <f>0.14*Table11819202310303132353839404243444647[[#This Row],[النولون]]</f>
        <v>0</v>
      </c>
      <c r="K11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15" s="1">
        <f>M114+Table11819202310303132353839404243444647[[#This Row],[اجمالي الفاتوره]]-Table11819202310303132353839404243444647[[#This Row],[الدفعات]]</f>
        <v>0</v>
      </c>
      <c r="O115" s="20"/>
      <c r="P115" s="48"/>
    </row>
    <row r="116" spans="3:16" ht="32.25" customHeight="1" x14ac:dyDescent="0.3">
      <c r="C116" s="2"/>
      <c r="I116" s="1">
        <f>0.14*Table11819202310303132353839404243444647[[#This Row],[النولون]]</f>
        <v>0</v>
      </c>
      <c r="K11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16" s="1">
        <f>M115+Table11819202310303132353839404243444647[[#This Row],[اجمالي الفاتوره]]-Table11819202310303132353839404243444647[[#This Row],[الدفعات]]</f>
        <v>0</v>
      </c>
      <c r="O116" s="20"/>
      <c r="P116" s="48"/>
    </row>
    <row r="117" spans="3:16" ht="32.25" customHeight="1" x14ac:dyDescent="0.3">
      <c r="C117" s="2"/>
      <c r="I117" s="1">
        <f>0.14*Table11819202310303132353839404243444647[[#This Row],[النولون]]</f>
        <v>0</v>
      </c>
      <c r="K11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17" s="1">
        <f>M116+Table11819202310303132353839404243444647[[#This Row],[اجمالي الفاتوره]]-Table11819202310303132353839404243444647[[#This Row],[الدفعات]]</f>
        <v>0</v>
      </c>
      <c r="O117" s="20"/>
      <c r="P117" s="48"/>
    </row>
    <row r="118" spans="3:16" ht="32.25" customHeight="1" x14ac:dyDescent="0.3">
      <c r="C118" s="2"/>
      <c r="I118" s="1">
        <f>0.14*Table11819202310303132353839404243444647[[#This Row],[النولون]]</f>
        <v>0</v>
      </c>
      <c r="K11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18" s="1">
        <f>M117+Table11819202310303132353839404243444647[[#This Row],[اجمالي الفاتوره]]-Table11819202310303132353839404243444647[[#This Row],[الدفعات]]</f>
        <v>0</v>
      </c>
      <c r="O118" s="20"/>
      <c r="P118" s="48"/>
    </row>
    <row r="119" spans="3:16" ht="32.25" customHeight="1" x14ac:dyDescent="0.3">
      <c r="C119" s="2"/>
      <c r="I119" s="1">
        <f>0.14*Table11819202310303132353839404243444647[[#This Row],[النولون]]</f>
        <v>0</v>
      </c>
      <c r="K11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19" s="1">
        <f>M118+Table11819202310303132353839404243444647[[#This Row],[اجمالي الفاتوره]]-Table11819202310303132353839404243444647[[#This Row],[الدفعات]]</f>
        <v>0</v>
      </c>
      <c r="O119" s="20"/>
      <c r="P119" s="48"/>
    </row>
    <row r="120" spans="3:16" ht="32.25" customHeight="1" x14ac:dyDescent="0.3">
      <c r="C120" s="2"/>
      <c r="I120" s="1">
        <f>0.14*Table11819202310303132353839404243444647[[#This Row],[النولون]]</f>
        <v>0</v>
      </c>
      <c r="K12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20" s="1">
        <f>M119+Table11819202310303132353839404243444647[[#This Row],[اجمالي الفاتوره]]-Table11819202310303132353839404243444647[[#This Row],[الدفعات]]</f>
        <v>0</v>
      </c>
      <c r="O120" s="20"/>
      <c r="P120" s="48"/>
    </row>
    <row r="121" spans="3:16" ht="32.25" customHeight="1" x14ac:dyDescent="0.3">
      <c r="C121" s="2"/>
      <c r="I121" s="1">
        <f>0.14*Table11819202310303132353839404243444647[[#This Row],[النولون]]</f>
        <v>0</v>
      </c>
      <c r="K12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21" s="1">
        <f>M120+Table11819202310303132353839404243444647[[#This Row],[اجمالي الفاتوره]]-Table11819202310303132353839404243444647[[#This Row],[الدفعات]]</f>
        <v>0</v>
      </c>
      <c r="O121" s="20"/>
      <c r="P121" s="48"/>
    </row>
    <row r="122" spans="3:16" ht="32.25" customHeight="1" x14ac:dyDescent="0.3">
      <c r="C122" s="2"/>
      <c r="I122" s="1">
        <f>0.14*Table11819202310303132353839404243444647[[#This Row],[النولون]]</f>
        <v>0</v>
      </c>
      <c r="K12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22" s="1">
        <f>M121+Table11819202310303132353839404243444647[[#This Row],[اجمالي الفاتوره]]-Table11819202310303132353839404243444647[[#This Row],[الدفعات]]</f>
        <v>0</v>
      </c>
      <c r="O122" s="20"/>
      <c r="P122" s="48"/>
    </row>
    <row r="123" spans="3:16" ht="32.25" customHeight="1" x14ac:dyDescent="0.3">
      <c r="C123" s="2"/>
      <c r="I123" s="1">
        <f>0.14*Table11819202310303132353839404243444647[[#This Row],[النولون]]</f>
        <v>0</v>
      </c>
      <c r="K12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23" s="1">
        <f>M122+Table11819202310303132353839404243444647[[#This Row],[اجمالي الفاتوره]]-Table11819202310303132353839404243444647[[#This Row],[الدفعات]]</f>
        <v>0</v>
      </c>
      <c r="O123" s="20"/>
      <c r="P123" s="48"/>
    </row>
    <row r="124" spans="3:16" ht="32.25" customHeight="1" x14ac:dyDescent="0.3">
      <c r="C124" s="2"/>
      <c r="I124" s="1">
        <f>0.14*Table11819202310303132353839404243444647[[#This Row],[النولون]]</f>
        <v>0</v>
      </c>
      <c r="K12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24" s="1">
        <f>M123+Table11819202310303132353839404243444647[[#This Row],[اجمالي الفاتوره]]-Table11819202310303132353839404243444647[[#This Row],[الدفعات]]</f>
        <v>0</v>
      </c>
      <c r="O124" s="20"/>
      <c r="P124" s="48"/>
    </row>
    <row r="125" spans="3:16" ht="32.25" customHeight="1" x14ac:dyDescent="0.3">
      <c r="C125" s="2"/>
      <c r="I125" s="1">
        <f>0.14*Table11819202310303132353839404243444647[[#This Row],[النولون]]</f>
        <v>0</v>
      </c>
      <c r="K12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25" s="1">
        <f>M124+Table11819202310303132353839404243444647[[#This Row],[اجمالي الفاتوره]]-Table11819202310303132353839404243444647[[#This Row],[الدفعات]]</f>
        <v>0</v>
      </c>
      <c r="O125" s="20"/>
      <c r="P125" s="48"/>
    </row>
    <row r="126" spans="3:16" ht="32.25" customHeight="1" x14ac:dyDescent="0.3">
      <c r="C126" s="2"/>
      <c r="I126" s="1">
        <f>0.14*Table11819202310303132353839404243444647[[#This Row],[النولون]]</f>
        <v>0</v>
      </c>
      <c r="K12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26" s="1">
        <f>M125+Table11819202310303132353839404243444647[[#This Row],[اجمالي الفاتوره]]-Table11819202310303132353839404243444647[[#This Row],[الدفعات]]</f>
        <v>0</v>
      </c>
      <c r="O126" s="20"/>
      <c r="P126" s="48"/>
    </row>
    <row r="127" spans="3:16" ht="32.25" customHeight="1" x14ac:dyDescent="0.3">
      <c r="C127" s="2"/>
      <c r="I127" s="1">
        <f>0.14*Table11819202310303132353839404243444647[[#This Row],[النولون]]</f>
        <v>0</v>
      </c>
      <c r="K12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27" s="1">
        <f>M126+Table11819202310303132353839404243444647[[#This Row],[اجمالي الفاتوره]]-Table11819202310303132353839404243444647[[#This Row],[الدفعات]]</f>
        <v>0</v>
      </c>
      <c r="O127" s="20"/>
      <c r="P127" s="48"/>
    </row>
    <row r="128" spans="3:16" ht="32.25" customHeight="1" x14ac:dyDescent="0.3">
      <c r="C128" s="2"/>
      <c r="I128" s="1">
        <f>0.14*Table11819202310303132353839404243444647[[#This Row],[النولون]]</f>
        <v>0</v>
      </c>
      <c r="K12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28" s="1">
        <f>M127+Table11819202310303132353839404243444647[[#This Row],[اجمالي الفاتوره]]-Table11819202310303132353839404243444647[[#This Row],[الدفعات]]</f>
        <v>0</v>
      </c>
      <c r="O128" s="20"/>
      <c r="P128" s="48"/>
    </row>
    <row r="129" spans="2:16" ht="32.25" customHeight="1" x14ac:dyDescent="0.3">
      <c r="C129" s="2"/>
      <c r="I129" s="1">
        <f>0.14*Table11819202310303132353839404243444647[[#This Row],[النولون]]</f>
        <v>0</v>
      </c>
      <c r="K12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29" s="1">
        <f>M128+Table11819202310303132353839404243444647[[#This Row],[اجمالي الفاتوره]]-Table11819202310303132353839404243444647[[#This Row],[الدفعات]]</f>
        <v>0</v>
      </c>
      <c r="O129" s="20"/>
      <c r="P129" s="48"/>
    </row>
    <row r="130" spans="2:16" ht="32.25" customHeight="1" x14ac:dyDescent="0.3">
      <c r="B130" s="41"/>
      <c r="C130" s="45"/>
      <c r="D130" s="41"/>
      <c r="E130" s="41"/>
      <c r="F130" s="41"/>
      <c r="G130" s="41"/>
      <c r="H130" s="41"/>
      <c r="I130" s="1">
        <f>0.14*Table11819202310303132353839404243444647[[#This Row],[النولون]]</f>
        <v>0</v>
      </c>
      <c r="J130" s="41"/>
      <c r="K13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L130" s="41"/>
      <c r="M130" s="1">
        <f>M129+Table11819202310303132353839404243444647[[#This Row],[اجمالي الفاتوره]]-Table11819202310303132353839404243444647[[#This Row],[الدفعات]]</f>
        <v>0</v>
      </c>
      <c r="N130" s="41"/>
      <c r="O130" s="41"/>
      <c r="P130" s="48"/>
    </row>
    <row r="131" spans="2:16" ht="32.25" customHeight="1" x14ac:dyDescent="0.3">
      <c r="C131" s="2"/>
      <c r="I131" s="1">
        <f>0.14*Table11819202310303132353839404243444647[[#This Row],[النولون]]</f>
        <v>0</v>
      </c>
      <c r="K13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31" s="1">
        <f>M130+Table11819202310303132353839404243444647[[#This Row],[اجمالي الفاتوره]]-Table11819202310303132353839404243444647[[#This Row],[الدفعات]]</f>
        <v>0</v>
      </c>
      <c r="O131" s="20"/>
      <c r="P131" s="48"/>
    </row>
    <row r="132" spans="2:16" ht="32.25" customHeight="1" x14ac:dyDescent="0.3">
      <c r="C132" s="2"/>
      <c r="I132" s="1">
        <f>0.14*Table11819202310303132353839404243444647[[#This Row],[النولون]]</f>
        <v>0</v>
      </c>
      <c r="K13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32" s="1">
        <f>M131+Table11819202310303132353839404243444647[[#This Row],[اجمالي الفاتوره]]-Table11819202310303132353839404243444647[[#This Row],[الدفعات]]</f>
        <v>0</v>
      </c>
      <c r="O132" s="20"/>
      <c r="P132" s="48"/>
    </row>
    <row r="133" spans="2:16" ht="32.25" customHeight="1" x14ac:dyDescent="0.3">
      <c r="C133" s="2"/>
      <c r="I133" s="1">
        <f>0.14*Table11819202310303132353839404243444647[[#This Row],[النولون]]</f>
        <v>0</v>
      </c>
      <c r="K13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33" s="1">
        <f>M132+Table11819202310303132353839404243444647[[#This Row],[اجمالي الفاتوره]]-Table11819202310303132353839404243444647[[#This Row],[الدفعات]]</f>
        <v>0</v>
      </c>
      <c r="O133" s="20"/>
      <c r="P133" s="48"/>
    </row>
    <row r="134" spans="2:16" ht="32.25" customHeight="1" x14ac:dyDescent="0.3">
      <c r="B134" s="41"/>
      <c r="C134" s="45"/>
      <c r="D134" s="41"/>
      <c r="E134" s="41"/>
      <c r="F134" s="41"/>
      <c r="G134" s="41"/>
      <c r="H134" s="41"/>
      <c r="I134" s="1">
        <f>0.14*Table11819202310303132353839404243444647[[#This Row],[النولون]]</f>
        <v>0</v>
      </c>
      <c r="J134" s="41"/>
      <c r="K13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L134" s="41"/>
      <c r="M134" s="1">
        <f>M133+Table11819202310303132353839404243444647[[#This Row],[اجمالي الفاتوره]]-Table11819202310303132353839404243444647[[#This Row],[الدفعات]]</f>
        <v>0</v>
      </c>
      <c r="N134" s="41"/>
      <c r="O134" s="41"/>
      <c r="P134" s="48"/>
    </row>
    <row r="135" spans="2:16" ht="32.25" customHeight="1" x14ac:dyDescent="0.3">
      <c r="C135" s="2"/>
      <c r="I135" s="1">
        <f>0.14*Table11819202310303132353839404243444647[[#This Row],[النولون]]</f>
        <v>0</v>
      </c>
      <c r="K13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35" s="1">
        <f>M134+Table11819202310303132353839404243444647[[#This Row],[اجمالي الفاتوره]]-Table11819202310303132353839404243444647[[#This Row],[الدفعات]]</f>
        <v>0</v>
      </c>
      <c r="O135" s="20"/>
      <c r="P135" s="48"/>
    </row>
    <row r="136" spans="2:16" ht="32.25" customHeight="1" x14ac:dyDescent="0.3">
      <c r="C136" s="2"/>
      <c r="I136" s="1">
        <f>0.14*Table11819202310303132353839404243444647[[#This Row],[النولون]]</f>
        <v>0</v>
      </c>
      <c r="K13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36" s="1">
        <f>M135+Table11819202310303132353839404243444647[[#This Row],[اجمالي الفاتوره]]-Table11819202310303132353839404243444647[[#This Row],[الدفعات]]</f>
        <v>0</v>
      </c>
      <c r="O136" s="20"/>
      <c r="P136" s="48"/>
    </row>
    <row r="137" spans="2:16" ht="32.25" customHeight="1" x14ac:dyDescent="0.3">
      <c r="C137" s="2"/>
      <c r="I137" s="1">
        <f>0.14*Table11819202310303132353839404243444647[[#This Row],[النولون]]</f>
        <v>0</v>
      </c>
      <c r="K13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37" s="1">
        <f>M136+Table11819202310303132353839404243444647[[#This Row],[اجمالي الفاتوره]]-Table11819202310303132353839404243444647[[#This Row],[الدفعات]]</f>
        <v>0</v>
      </c>
      <c r="O137" s="20"/>
      <c r="P137" s="48"/>
    </row>
    <row r="138" spans="2:16" ht="32.25" customHeight="1" x14ac:dyDescent="0.3">
      <c r="C138" s="2"/>
      <c r="I138" s="1">
        <f>0.14*Table11819202310303132353839404243444647[[#This Row],[النولون]]</f>
        <v>0</v>
      </c>
      <c r="K13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38" s="1">
        <f>M137+Table11819202310303132353839404243444647[[#This Row],[اجمالي الفاتوره]]-Table11819202310303132353839404243444647[[#This Row],[الدفعات]]</f>
        <v>0</v>
      </c>
      <c r="O138" s="20"/>
      <c r="P138" s="48"/>
    </row>
    <row r="139" spans="2:16" ht="32.25" customHeight="1" x14ac:dyDescent="0.3">
      <c r="C139" s="2"/>
      <c r="I139" s="1">
        <f>0.14*Table11819202310303132353839404243444647[[#This Row],[النولون]]</f>
        <v>0</v>
      </c>
      <c r="K13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39" s="1">
        <f>M138+Table11819202310303132353839404243444647[[#This Row],[اجمالي الفاتوره]]-Table11819202310303132353839404243444647[[#This Row],[الدفعات]]</f>
        <v>0</v>
      </c>
      <c r="O139" s="20"/>
      <c r="P139" s="48"/>
    </row>
    <row r="140" spans="2:16" ht="32.25" customHeight="1" x14ac:dyDescent="0.3">
      <c r="C140" s="2"/>
      <c r="I140" s="1">
        <f>0.14*Table11819202310303132353839404243444647[[#This Row],[النولون]]</f>
        <v>0</v>
      </c>
      <c r="K14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40" s="1">
        <f>M139+Table11819202310303132353839404243444647[[#This Row],[اجمالي الفاتوره]]-Table11819202310303132353839404243444647[[#This Row],[الدفعات]]</f>
        <v>0</v>
      </c>
      <c r="O140" s="20"/>
      <c r="P140" s="48"/>
    </row>
    <row r="141" spans="2:16" ht="32.25" customHeight="1" x14ac:dyDescent="0.3">
      <c r="C141" s="2"/>
      <c r="I141" s="1">
        <f>0.14*Table11819202310303132353839404243444647[[#This Row],[النولون]]</f>
        <v>0</v>
      </c>
      <c r="K14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41" s="1">
        <f>M140+Table11819202310303132353839404243444647[[#This Row],[اجمالي الفاتوره]]-Table11819202310303132353839404243444647[[#This Row],[الدفعات]]</f>
        <v>0</v>
      </c>
      <c r="O141" s="20"/>
      <c r="P141" s="48"/>
    </row>
    <row r="142" spans="2:16" ht="32.25" customHeight="1" x14ac:dyDescent="0.3">
      <c r="C142" s="2"/>
      <c r="I142" s="1">
        <f>0.14*Table11819202310303132353839404243444647[[#This Row],[النولون]]</f>
        <v>0</v>
      </c>
      <c r="K14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42" s="1">
        <f>M141+Table11819202310303132353839404243444647[[#This Row],[اجمالي الفاتوره]]-Table11819202310303132353839404243444647[[#This Row],[الدفعات]]</f>
        <v>0</v>
      </c>
      <c r="O142" s="20"/>
      <c r="P142" s="48"/>
    </row>
    <row r="143" spans="2:16" ht="32.25" customHeight="1" x14ac:dyDescent="0.3">
      <c r="C143" s="2"/>
      <c r="I143" s="1">
        <f>0.14*Table11819202310303132353839404243444647[[#This Row],[النولون]]</f>
        <v>0</v>
      </c>
      <c r="K14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43" s="1">
        <f>M142+Table11819202310303132353839404243444647[[#This Row],[اجمالي الفاتوره]]-Table11819202310303132353839404243444647[[#This Row],[الدفعات]]</f>
        <v>0</v>
      </c>
      <c r="O143" s="20"/>
      <c r="P143" s="48"/>
    </row>
    <row r="144" spans="2:16" ht="32.25" customHeight="1" x14ac:dyDescent="0.3">
      <c r="C144" s="2"/>
      <c r="I144" s="1">
        <f>0.14*Table11819202310303132353839404243444647[[#This Row],[النولون]]</f>
        <v>0</v>
      </c>
      <c r="K14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44" s="1">
        <f>M143+Table11819202310303132353839404243444647[[#This Row],[اجمالي الفاتوره]]-Table11819202310303132353839404243444647[[#This Row],[الدفعات]]</f>
        <v>0</v>
      </c>
      <c r="O144" s="20"/>
      <c r="P144" s="48"/>
    </row>
    <row r="145" spans="2:16" ht="32.25" customHeight="1" x14ac:dyDescent="0.3">
      <c r="C145" s="2"/>
      <c r="I145" s="1">
        <f>0.14*Table11819202310303132353839404243444647[[#This Row],[النولون]]</f>
        <v>0</v>
      </c>
      <c r="K14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45" s="1">
        <f>M144+Table11819202310303132353839404243444647[[#This Row],[اجمالي الفاتوره]]-Table11819202310303132353839404243444647[[#This Row],[الدفعات]]</f>
        <v>0</v>
      </c>
      <c r="O145" s="20"/>
      <c r="P145" s="48"/>
    </row>
    <row r="146" spans="2:16" ht="32.25" customHeight="1" x14ac:dyDescent="0.3">
      <c r="C146" s="2"/>
      <c r="I146" s="1">
        <f>0.14*Table11819202310303132353839404243444647[[#This Row],[النولون]]</f>
        <v>0</v>
      </c>
      <c r="K14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46" s="1">
        <f>M145+Table11819202310303132353839404243444647[[#This Row],[اجمالي الفاتوره]]-Table11819202310303132353839404243444647[[#This Row],[الدفعات]]</f>
        <v>0</v>
      </c>
      <c r="O146" s="20"/>
      <c r="P146" s="48"/>
    </row>
    <row r="147" spans="2:16" ht="32.25" customHeight="1" x14ac:dyDescent="0.3">
      <c r="C147" s="2"/>
      <c r="I147" s="1">
        <f>0.14*Table11819202310303132353839404243444647[[#This Row],[النولون]]</f>
        <v>0</v>
      </c>
      <c r="K14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47" s="1">
        <f>M146+Table11819202310303132353839404243444647[[#This Row],[اجمالي الفاتوره]]-Table11819202310303132353839404243444647[[#This Row],[الدفعات]]</f>
        <v>0</v>
      </c>
      <c r="O147" s="20"/>
      <c r="P147" s="48"/>
    </row>
    <row r="148" spans="2:16" ht="32.25" customHeight="1" x14ac:dyDescent="0.3">
      <c r="C148" s="2"/>
      <c r="I148" s="1">
        <f>0.14*Table11819202310303132353839404243444647[[#This Row],[النولون]]</f>
        <v>0</v>
      </c>
      <c r="K14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48" s="1">
        <f>M147+Table11819202310303132353839404243444647[[#This Row],[اجمالي الفاتوره]]-Table11819202310303132353839404243444647[[#This Row],[الدفعات]]</f>
        <v>0</v>
      </c>
      <c r="O148" s="20"/>
      <c r="P148" s="48"/>
    </row>
    <row r="149" spans="2:16" ht="32.25" customHeight="1" x14ac:dyDescent="0.3">
      <c r="C149" s="2"/>
      <c r="I149" s="1">
        <f>0.14*Table11819202310303132353839404243444647[[#This Row],[النولون]]</f>
        <v>0</v>
      </c>
      <c r="K14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49" s="1">
        <f>M148+Table11819202310303132353839404243444647[[#This Row],[اجمالي الفاتوره]]-Table11819202310303132353839404243444647[[#This Row],[الدفعات]]</f>
        <v>0</v>
      </c>
      <c r="O149" s="20"/>
      <c r="P149" s="48"/>
    </row>
    <row r="150" spans="2:16" ht="32.25" customHeight="1" x14ac:dyDescent="0.3">
      <c r="C150" s="2"/>
      <c r="I150" s="1">
        <f>0.14*Table11819202310303132353839404243444647[[#This Row],[النولون]]</f>
        <v>0</v>
      </c>
      <c r="K15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50" s="1">
        <f>M149+Table11819202310303132353839404243444647[[#This Row],[اجمالي الفاتوره]]-Table11819202310303132353839404243444647[[#This Row],[الدفعات]]</f>
        <v>0</v>
      </c>
      <c r="O150" s="20"/>
      <c r="P150" s="48"/>
    </row>
    <row r="151" spans="2:16" ht="32.25" customHeight="1" x14ac:dyDescent="0.3">
      <c r="C151" s="2"/>
      <c r="I151" s="1">
        <f>0.14*Table11819202310303132353839404243444647[[#This Row],[النولون]]</f>
        <v>0</v>
      </c>
      <c r="K15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51" s="1">
        <f>M150+Table11819202310303132353839404243444647[[#This Row],[اجمالي الفاتوره]]-Table11819202310303132353839404243444647[[#This Row],[الدفعات]]</f>
        <v>0</v>
      </c>
      <c r="O151" s="20"/>
      <c r="P151" s="48"/>
    </row>
    <row r="152" spans="2:16" ht="32.25" customHeight="1" x14ac:dyDescent="0.3">
      <c r="C152" s="2"/>
      <c r="I152" s="1">
        <f>0.14*Table11819202310303132353839404243444647[[#This Row],[النولون]]</f>
        <v>0</v>
      </c>
      <c r="K15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52" s="1">
        <f>M151+Table11819202310303132353839404243444647[[#This Row],[اجمالي الفاتوره]]-Table11819202310303132353839404243444647[[#This Row],[الدفعات]]</f>
        <v>0</v>
      </c>
      <c r="O152" s="20"/>
      <c r="P152" s="48"/>
    </row>
    <row r="153" spans="2:16" ht="32.25" customHeight="1" x14ac:dyDescent="0.3">
      <c r="C153" s="2"/>
      <c r="I153" s="1">
        <f>0.14*Table11819202310303132353839404243444647[[#This Row],[النولون]]</f>
        <v>0</v>
      </c>
      <c r="K15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53" s="1">
        <f>M152+Table11819202310303132353839404243444647[[#This Row],[اجمالي الفاتوره]]-Table11819202310303132353839404243444647[[#This Row],[الدفعات]]</f>
        <v>0</v>
      </c>
      <c r="O153" s="20"/>
      <c r="P153" s="48"/>
    </row>
    <row r="154" spans="2:16" ht="32.25" customHeight="1" x14ac:dyDescent="0.3">
      <c r="C154" s="2"/>
      <c r="I154" s="1">
        <f>0.14*Table11819202310303132353839404243444647[[#This Row],[النولون]]</f>
        <v>0</v>
      </c>
      <c r="K15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54" s="1">
        <f>M153+Table11819202310303132353839404243444647[[#This Row],[اجمالي الفاتوره]]-Table11819202310303132353839404243444647[[#This Row],[الدفعات]]</f>
        <v>0</v>
      </c>
      <c r="O154" s="20"/>
      <c r="P154" s="48"/>
    </row>
    <row r="155" spans="2:16" ht="32.25" customHeight="1" x14ac:dyDescent="0.3">
      <c r="C155" s="2"/>
      <c r="I155" s="1">
        <f>0.14*Table11819202310303132353839404243444647[[#This Row],[النولون]]</f>
        <v>0</v>
      </c>
      <c r="K15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55" s="1">
        <f>M154+Table11819202310303132353839404243444647[[#This Row],[اجمالي الفاتوره]]-Table11819202310303132353839404243444647[[#This Row],[الدفعات]]</f>
        <v>0</v>
      </c>
      <c r="O155" s="20"/>
      <c r="P155" s="48"/>
    </row>
    <row r="156" spans="2:16" ht="32.25" customHeight="1" x14ac:dyDescent="0.3">
      <c r="C156" s="2"/>
      <c r="I156" s="1">
        <f>0.14*Table11819202310303132353839404243444647[[#This Row],[النولون]]</f>
        <v>0</v>
      </c>
      <c r="K15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56" s="1">
        <f>M155+Table11819202310303132353839404243444647[[#This Row],[اجمالي الفاتوره]]-Table11819202310303132353839404243444647[[#This Row],[الدفعات]]</f>
        <v>0</v>
      </c>
      <c r="O156" s="20"/>
      <c r="P156" s="48"/>
    </row>
    <row r="157" spans="2:16" ht="32.25" customHeight="1" x14ac:dyDescent="0.3">
      <c r="C157" s="2"/>
      <c r="I157" s="1">
        <f>0.14*Table11819202310303132353839404243444647[[#This Row],[النولون]]</f>
        <v>0</v>
      </c>
      <c r="K15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57" s="1">
        <f>M156+Table11819202310303132353839404243444647[[#This Row],[اجمالي الفاتوره]]-Table11819202310303132353839404243444647[[#This Row],[الدفعات]]</f>
        <v>0</v>
      </c>
      <c r="O157" s="20"/>
      <c r="P157" s="48"/>
    </row>
    <row r="158" spans="2:16" ht="32.25" customHeight="1" x14ac:dyDescent="0.3">
      <c r="C158" s="2"/>
      <c r="I158" s="1">
        <f>0.14*Table11819202310303132353839404243444647[[#This Row],[النولون]]</f>
        <v>0</v>
      </c>
      <c r="K15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58" s="1">
        <f>M157+Table11819202310303132353839404243444647[[#This Row],[اجمالي الفاتوره]]-Table11819202310303132353839404243444647[[#This Row],[الدفعات]]</f>
        <v>0</v>
      </c>
      <c r="O158" s="20"/>
      <c r="P158" s="48"/>
    </row>
    <row r="159" spans="2:16" ht="32.25" customHeight="1" x14ac:dyDescent="0.3">
      <c r="B159" s="41"/>
      <c r="C159" s="45"/>
      <c r="D159" s="41"/>
      <c r="E159" s="41"/>
      <c r="F159" s="41"/>
      <c r="G159" s="41"/>
      <c r="H159" s="41"/>
      <c r="I159" s="1">
        <f>0.14*Table11819202310303132353839404243444647[[#This Row],[النولون]]</f>
        <v>0</v>
      </c>
      <c r="J159" s="41"/>
      <c r="K15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L159" s="41"/>
      <c r="M159" s="1">
        <f>M158+Table11819202310303132353839404243444647[[#This Row],[اجمالي الفاتوره]]-Table11819202310303132353839404243444647[[#This Row],[الدفعات]]</f>
        <v>0</v>
      </c>
      <c r="N159" s="41"/>
      <c r="O159" s="41"/>
      <c r="P159" s="48"/>
    </row>
    <row r="160" spans="2:16" ht="32.25" customHeight="1" x14ac:dyDescent="0.3">
      <c r="C160" s="2"/>
      <c r="I160" s="1">
        <f>0.14*Table11819202310303132353839404243444647[[#This Row],[النولون]]</f>
        <v>0</v>
      </c>
      <c r="K16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60" s="1">
        <f>M159+Table11819202310303132353839404243444647[[#This Row],[اجمالي الفاتوره]]-Table11819202310303132353839404243444647[[#This Row],[الدفعات]]</f>
        <v>0</v>
      </c>
      <c r="O160" s="20"/>
      <c r="P160" s="48"/>
    </row>
    <row r="161" spans="3:16" ht="32.25" customHeight="1" x14ac:dyDescent="0.3">
      <c r="C161" s="2"/>
      <c r="I161" s="1">
        <f>0.14*Table11819202310303132353839404243444647[[#This Row],[النولون]]</f>
        <v>0</v>
      </c>
      <c r="K16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61" s="1">
        <f>M160+Table11819202310303132353839404243444647[[#This Row],[اجمالي الفاتوره]]-Table11819202310303132353839404243444647[[#This Row],[الدفعات]]</f>
        <v>0</v>
      </c>
      <c r="O161" s="20"/>
      <c r="P161" s="48"/>
    </row>
    <row r="162" spans="3:16" ht="32.25" customHeight="1" x14ac:dyDescent="0.3">
      <c r="C162" s="2"/>
      <c r="I162" s="1">
        <f>0.14*Table11819202310303132353839404243444647[[#This Row],[النولون]]</f>
        <v>0</v>
      </c>
      <c r="K16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62" s="1">
        <f>M161+Table11819202310303132353839404243444647[[#This Row],[اجمالي الفاتوره]]-Table11819202310303132353839404243444647[[#This Row],[الدفعات]]</f>
        <v>0</v>
      </c>
      <c r="O162" s="20"/>
      <c r="P162" s="48"/>
    </row>
    <row r="163" spans="3:16" ht="32.25" customHeight="1" x14ac:dyDescent="0.3">
      <c r="C163" s="2"/>
      <c r="I163" s="1">
        <f>0.14*Table11819202310303132353839404243444647[[#This Row],[النولون]]</f>
        <v>0</v>
      </c>
      <c r="K16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63" s="1">
        <f>M162+Table11819202310303132353839404243444647[[#This Row],[اجمالي الفاتوره]]-Table11819202310303132353839404243444647[[#This Row],[الدفعات]]</f>
        <v>0</v>
      </c>
      <c r="O163" s="20"/>
      <c r="P163" s="48"/>
    </row>
    <row r="164" spans="3:16" ht="32.25" customHeight="1" x14ac:dyDescent="0.3">
      <c r="C164" s="2"/>
      <c r="I164" s="1">
        <f>0.14*Table11819202310303132353839404243444647[[#This Row],[النولون]]</f>
        <v>0</v>
      </c>
      <c r="K16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64" s="1">
        <f>M163+Table11819202310303132353839404243444647[[#This Row],[اجمالي الفاتوره]]-Table11819202310303132353839404243444647[[#This Row],[الدفعات]]</f>
        <v>0</v>
      </c>
      <c r="O164" s="20"/>
      <c r="P164" s="48"/>
    </row>
    <row r="165" spans="3:16" ht="32.25" customHeight="1" x14ac:dyDescent="0.3">
      <c r="I165" s="1">
        <f>0.14*Table11819202310303132353839404243444647[[#This Row],[النولون]]</f>
        <v>0</v>
      </c>
      <c r="K16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65" s="1">
        <f>M164+Table11819202310303132353839404243444647[[#This Row],[اجمالي الفاتوره]]-Table11819202310303132353839404243444647[[#This Row],[الدفعات]]</f>
        <v>0</v>
      </c>
      <c r="O165" s="20"/>
      <c r="P165" s="48"/>
    </row>
    <row r="166" spans="3:16" ht="32.25" customHeight="1" x14ac:dyDescent="0.3">
      <c r="C166" s="2"/>
      <c r="I166" s="1">
        <f>0.14*Table11819202310303132353839404243444647[[#This Row],[النولون]]</f>
        <v>0</v>
      </c>
      <c r="K16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66" s="1">
        <f>M165+Table11819202310303132353839404243444647[[#This Row],[اجمالي الفاتوره]]-Table11819202310303132353839404243444647[[#This Row],[الدفعات]]</f>
        <v>0</v>
      </c>
      <c r="O166" s="20"/>
      <c r="P166" s="48"/>
    </row>
    <row r="167" spans="3:16" ht="32.25" customHeight="1" x14ac:dyDescent="0.3">
      <c r="C167" s="2"/>
      <c r="I167" s="1">
        <f>0.14*Table11819202310303132353839404243444647[[#This Row],[النولون]]</f>
        <v>0</v>
      </c>
      <c r="K16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67" s="1">
        <f>M166+Table11819202310303132353839404243444647[[#This Row],[اجمالي الفاتوره]]-Table11819202310303132353839404243444647[[#This Row],[الدفعات]]</f>
        <v>0</v>
      </c>
      <c r="O167" s="20"/>
      <c r="P167" s="48"/>
    </row>
    <row r="168" spans="3:16" ht="32.25" customHeight="1" x14ac:dyDescent="0.3">
      <c r="C168" s="2"/>
      <c r="I168" s="1">
        <f>0.14*Table11819202310303132353839404243444647[[#This Row],[النولون]]</f>
        <v>0</v>
      </c>
      <c r="K16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68" s="1">
        <f>M167+Table11819202310303132353839404243444647[[#This Row],[اجمالي الفاتوره]]-Table11819202310303132353839404243444647[[#This Row],[الدفعات]]</f>
        <v>0</v>
      </c>
      <c r="O168" s="20"/>
      <c r="P168" s="48"/>
    </row>
    <row r="169" spans="3:16" ht="32.25" customHeight="1" x14ac:dyDescent="0.3">
      <c r="C169" s="2"/>
      <c r="I169" s="1">
        <f>0.14*Table11819202310303132353839404243444647[[#This Row],[النولون]]</f>
        <v>0</v>
      </c>
      <c r="K16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69" s="1">
        <f>M168+Table11819202310303132353839404243444647[[#This Row],[اجمالي الفاتوره]]-Table11819202310303132353839404243444647[[#This Row],[الدفعات]]</f>
        <v>0</v>
      </c>
      <c r="O169" s="20"/>
      <c r="P169" s="48"/>
    </row>
    <row r="170" spans="3:16" ht="32.25" customHeight="1" x14ac:dyDescent="0.3">
      <c r="C170" s="2"/>
      <c r="I170" s="1">
        <f>0.14*Table11819202310303132353839404243444647[[#This Row],[النولون]]</f>
        <v>0</v>
      </c>
      <c r="K17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70" s="1">
        <f>M169+Table11819202310303132353839404243444647[[#This Row],[اجمالي الفاتوره]]-Table11819202310303132353839404243444647[[#This Row],[الدفعات]]</f>
        <v>0</v>
      </c>
      <c r="O170" s="20"/>
      <c r="P170" s="48"/>
    </row>
    <row r="171" spans="3:16" ht="32.25" customHeight="1" x14ac:dyDescent="0.3">
      <c r="C171" s="2"/>
      <c r="I171" s="1">
        <f>0.14*Table11819202310303132353839404243444647[[#This Row],[النولون]]</f>
        <v>0</v>
      </c>
      <c r="K17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71" s="1">
        <f>M170+Table11819202310303132353839404243444647[[#This Row],[اجمالي الفاتوره]]-Table11819202310303132353839404243444647[[#This Row],[الدفعات]]</f>
        <v>0</v>
      </c>
      <c r="O171" s="20"/>
      <c r="P171" s="48"/>
    </row>
    <row r="172" spans="3:16" ht="32.25" customHeight="1" x14ac:dyDescent="0.3">
      <c r="C172" s="2"/>
      <c r="I172" s="1">
        <f>0.14*Table11819202310303132353839404243444647[[#This Row],[النولون]]</f>
        <v>0</v>
      </c>
      <c r="K17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72" s="1">
        <f>M171+Table11819202310303132353839404243444647[[#This Row],[اجمالي الفاتوره]]-Table11819202310303132353839404243444647[[#This Row],[الدفعات]]</f>
        <v>0</v>
      </c>
      <c r="O172" s="20"/>
      <c r="P172" s="48"/>
    </row>
    <row r="173" spans="3:16" ht="32.25" customHeight="1" x14ac:dyDescent="0.3">
      <c r="C173" s="2"/>
      <c r="I173" s="1">
        <f>0.14*Table11819202310303132353839404243444647[[#This Row],[النولون]]</f>
        <v>0</v>
      </c>
      <c r="K17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73" s="1">
        <f>M172+Table11819202310303132353839404243444647[[#This Row],[اجمالي الفاتوره]]-Table11819202310303132353839404243444647[[#This Row],[الدفعات]]</f>
        <v>0</v>
      </c>
      <c r="O173" s="20"/>
      <c r="P173" s="48"/>
    </row>
    <row r="174" spans="3:16" ht="32.25" customHeight="1" x14ac:dyDescent="0.3">
      <c r="C174" s="2"/>
      <c r="I174" s="1">
        <f>0.14*Table11819202310303132353839404243444647[[#This Row],[النولون]]</f>
        <v>0</v>
      </c>
      <c r="K17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74" s="1">
        <f>M173+Table11819202310303132353839404243444647[[#This Row],[اجمالي الفاتوره]]-Table11819202310303132353839404243444647[[#This Row],[الدفعات]]</f>
        <v>0</v>
      </c>
      <c r="O174" s="20"/>
      <c r="P174" s="48"/>
    </row>
    <row r="175" spans="3:16" ht="32.25" customHeight="1" x14ac:dyDescent="0.3">
      <c r="C175" s="2"/>
      <c r="I175" s="1">
        <f>0.14*Table11819202310303132353839404243444647[[#This Row],[النولون]]</f>
        <v>0</v>
      </c>
      <c r="K17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75" s="1">
        <f>M174+Table11819202310303132353839404243444647[[#This Row],[اجمالي الفاتوره]]-Table11819202310303132353839404243444647[[#This Row],[الدفعات]]</f>
        <v>0</v>
      </c>
      <c r="O175" s="20"/>
      <c r="P175" s="48"/>
    </row>
    <row r="176" spans="3:16" ht="32.25" customHeight="1" x14ac:dyDescent="0.3">
      <c r="C176" s="2"/>
      <c r="I176" s="1">
        <f>0.14*Table11819202310303132353839404243444647[[#This Row],[النولون]]</f>
        <v>0</v>
      </c>
      <c r="K17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76" s="1">
        <f>M175+Table11819202310303132353839404243444647[[#This Row],[اجمالي الفاتوره]]-Table11819202310303132353839404243444647[[#This Row],[الدفعات]]</f>
        <v>0</v>
      </c>
      <c r="O176" s="20"/>
      <c r="P176" s="48"/>
    </row>
    <row r="177" spans="2:16" ht="32.25" customHeight="1" x14ac:dyDescent="0.3">
      <c r="C177" s="2"/>
      <c r="I177" s="1">
        <f>0.14*Table11819202310303132353839404243444647[[#This Row],[النولون]]</f>
        <v>0</v>
      </c>
      <c r="K17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77" s="1">
        <f>M176+Table11819202310303132353839404243444647[[#This Row],[اجمالي الفاتوره]]-Table11819202310303132353839404243444647[[#This Row],[الدفعات]]</f>
        <v>0</v>
      </c>
      <c r="O177" s="20"/>
      <c r="P177" s="48"/>
    </row>
    <row r="178" spans="2:16" ht="32.25" customHeight="1" x14ac:dyDescent="0.3">
      <c r="C178" s="2"/>
      <c r="I178" s="1">
        <f>0.14*Table11819202310303132353839404243444647[[#This Row],[النولون]]</f>
        <v>0</v>
      </c>
      <c r="K17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78" s="1">
        <f>M177+Table11819202310303132353839404243444647[[#This Row],[اجمالي الفاتوره]]-Table11819202310303132353839404243444647[[#This Row],[الدفعات]]</f>
        <v>0</v>
      </c>
      <c r="O178" s="20"/>
      <c r="P178" s="48"/>
    </row>
    <row r="179" spans="2:16" ht="32.25" customHeight="1" x14ac:dyDescent="0.3">
      <c r="C179" s="2"/>
      <c r="I179" s="1">
        <f>0.14*Table11819202310303132353839404243444647[[#This Row],[النولون]]</f>
        <v>0</v>
      </c>
      <c r="K17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79" s="1">
        <f>M178+Table11819202310303132353839404243444647[[#This Row],[اجمالي الفاتوره]]-Table11819202310303132353839404243444647[[#This Row],[الدفعات]]</f>
        <v>0</v>
      </c>
      <c r="O179" s="20"/>
      <c r="P179" s="48"/>
    </row>
    <row r="180" spans="2:16" ht="32.25" customHeight="1" x14ac:dyDescent="0.3">
      <c r="C180" s="2"/>
      <c r="H180" s="48"/>
      <c r="I180" s="1">
        <f>0.14*Table11819202310303132353839404243444647[[#This Row],[النولون]]</f>
        <v>0</v>
      </c>
      <c r="K18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80" s="1">
        <f>M179+Table11819202310303132353839404243444647[[#This Row],[اجمالي الفاتوره]]-Table11819202310303132353839404243444647[[#This Row],[الدفعات]]</f>
        <v>0</v>
      </c>
      <c r="O180" s="20"/>
      <c r="P180" s="48"/>
    </row>
    <row r="181" spans="2:16" ht="32.25" customHeight="1" x14ac:dyDescent="0.3">
      <c r="C181" s="2"/>
      <c r="I181" s="1">
        <f>0.14*Table11819202310303132353839404243444647[[#This Row],[النولون]]</f>
        <v>0</v>
      </c>
      <c r="K18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81" s="1">
        <f>M180+Table11819202310303132353839404243444647[[#This Row],[اجمالي الفاتوره]]-Table11819202310303132353839404243444647[[#This Row],[الدفعات]]</f>
        <v>0</v>
      </c>
      <c r="O181" s="20"/>
      <c r="P181" s="48"/>
    </row>
    <row r="182" spans="2:16" ht="32.25" customHeight="1" x14ac:dyDescent="0.3">
      <c r="C182" s="2"/>
      <c r="I182" s="1">
        <f>0.14*Table11819202310303132353839404243444647[[#This Row],[النولون]]</f>
        <v>0</v>
      </c>
      <c r="K18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82" s="1">
        <f>M181+Table11819202310303132353839404243444647[[#This Row],[اجمالي الفاتوره]]-Table11819202310303132353839404243444647[[#This Row],[الدفعات]]</f>
        <v>0</v>
      </c>
      <c r="O182" s="20"/>
      <c r="P182" s="48"/>
    </row>
    <row r="183" spans="2:16" ht="32.25" customHeight="1" x14ac:dyDescent="0.3">
      <c r="C183" s="2"/>
      <c r="I183" s="1">
        <f>0.14*Table11819202310303132353839404243444647[[#This Row],[النولون]]</f>
        <v>0</v>
      </c>
      <c r="K18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83" s="1">
        <f>M182+Table11819202310303132353839404243444647[[#This Row],[اجمالي الفاتوره]]-Table11819202310303132353839404243444647[[#This Row],[الدفعات]]</f>
        <v>0</v>
      </c>
      <c r="O183" s="20"/>
      <c r="P183" s="48"/>
    </row>
    <row r="184" spans="2:16" ht="32.25" customHeight="1" x14ac:dyDescent="0.3">
      <c r="B184" s="48"/>
      <c r="C184" s="54"/>
      <c r="D184" s="48"/>
      <c r="E184" s="48"/>
      <c r="F184" s="48"/>
      <c r="G184" s="48"/>
      <c r="H184" s="48"/>
      <c r="I184" s="1">
        <f>0.14*Table11819202310303132353839404243444647[[#This Row],[النولون]]</f>
        <v>0</v>
      </c>
      <c r="J184" s="48"/>
      <c r="K18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L184" s="48"/>
      <c r="M184" s="1">
        <f>M183+Table11819202310303132353839404243444647[[#This Row],[اجمالي الفاتوره]]-Table11819202310303132353839404243444647[[#This Row],[الدفعات]]</f>
        <v>0</v>
      </c>
      <c r="N184" s="48"/>
      <c r="O184" s="48"/>
      <c r="P184" s="48"/>
    </row>
    <row r="185" spans="2:16" ht="32.25" customHeight="1" x14ac:dyDescent="0.3">
      <c r="C185" s="2"/>
      <c r="I185" s="1">
        <f>0.14*Table11819202310303132353839404243444647[[#This Row],[النولون]]</f>
        <v>0</v>
      </c>
      <c r="K18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85" s="1">
        <f>M184+Table11819202310303132353839404243444647[[#This Row],[اجمالي الفاتوره]]-Table11819202310303132353839404243444647[[#This Row],[الدفعات]]</f>
        <v>0</v>
      </c>
      <c r="O185" s="20"/>
      <c r="P185" s="48"/>
    </row>
    <row r="186" spans="2:16" ht="32.25" customHeight="1" x14ac:dyDescent="0.3">
      <c r="C186" s="2"/>
      <c r="I186" s="1">
        <f>0.14*Table11819202310303132353839404243444647[[#This Row],[النولون]]</f>
        <v>0</v>
      </c>
      <c r="K18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86" s="1">
        <f>M185+Table11819202310303132353839404243444647[[#This Row],[اجمالي الفاتوره]]-Table11819202310303132353839404243444647[[#This Row],[الدفعات]]</f>
        <v>0</v>
      </c>
      <c r="O186" s="20"/>
      <c r="P186" s="48"/>
    </row>
    <row r="187" spans="2:16" ht="32.25" customHeight="1" x14ac:dyDescent="0.3">
      <c r="C187" s="2"/>
      <c r="G187" s="30"/>
      <c r="I187" s="1">
        <f>0.14*Table11819202310303132353839404243444647[[#This Row],[النولون]]</f>
        <v>0</v>
      </c>
      <c r="K18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87" s="1">
        <f>M186+Table11819202310303132353839404243444647[[#This Row],[اجمالي الفاتوره]]-Table11819202310303132353839404243444647[[#This Row],[الدفعات]]</f>
        <v>0</v>
      </c>
      <c r="O187" s="20"/>
      <c r="P187" s="48"/>
    </row>
    <row r="188" spans="2:16" ht="32.25" customHeight="1" x14ac:dyDescent="0.3">
      <c r="I188" s="1">
        <f>0.14*Table11819202310303132353839404243444647[[#This Row],[النولون]]</f>
        <v>0</v>
      </c>
      <c r="K18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88" s="1">
        <f>M187+Table11819202310303132353839404243444647[[#This Row],[اجمالي الفاتوره]]-Table11819202310303132353839404243444647[[#This Row],[الدفعات]]</f>
        <v>0</v>
      </c>
      <c r="O188" s="20"/>
      <c r="P188" s="48"/>
    </row>
    <row r="189" spans="2:16" ht="32.25" customHeight="1" x14ac:dyDescent="0.3">
      <c r="I189" s="1">
        <f>0.14*Table11819202310303132353839404243444647[[#This Row],[النولون]]</f>
        <v>0</v>
      </c>
      <c r="K18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89" s="1">
        <f>M188+Table11819202310303132353839404243444647[[#This Row],[اجمالي الفاتوره]]-Table11819202310303132353839404243444647[[#This Row],[الدفعات]]</f>
        <v>0</v>
      </c>
      <c r="O189" s="20"/>
      <c r="P189" s="48"/>
    </row>
    <row r="190" spans="2:16" ht="32.25" customHeight="1" x14ac:dyDescent="0.3">
      <c r="I190" s="1">
        <f>0.14*Table11819202310303132353839404243444647[[#This Row],[النولون]]</f>
        <v>0</v>
      </c>
      <c r="K19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90" s="1">
        <f>M189+Table11819202310303132353839404243444647[[#This Row],[اجمالي الفاتوره]]-Table11819202310303132353839404243444647[[#This Row],[الدفعات]]</f>
        <v>0</v>
      </c>
      <c r="O190" s="20"/>
      <c r="P190" s="48"/>
    </row>
    <row r="191" spans="2:16" ht="32.25" customHeight="1" x14ac:dyDescent="0.3">
      <c r="I191" s="1">
        <f>0.14*Table11819202310303132353839404243444647[[#This Row],[النولون]]</f>
        <v>0</v>
      </c>
      <c r="K19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91" s="1">
        <f>M190+Table11819202310303132353839404243444647[[#This Row],[اجمالي الفاتوره]]-Table11819202310303132353839404243444647[[#This Row],[الدفعات]]</f>
        <v>0</v>
      </c>
      <c r="O191" s="20"/>
      <c r="P191" s="48"/>
    </row>
    <row r="192" spans="2:16" ht="32.25" customHeight="1" x14ac:dyDescent="0.3">
      <c r="I192" s="1">
        <f>0.14*Table11819202310303132353839404243444647[[#This Row],[النولون]]</f>
        <v>0</v>
      </c>
      <c r="K19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92" s="1">
        <f>M191+Table11819202310303132353839404243444647[[#This Row],[اجمالي الفاتوره]]-Table11819202310303132353839404243444647[[#This Row],[الدفعات]]</f>
        <v>0</v>
      </c>
      <c r="O192" s="20"/>
      <c r="P192" s="48"/>
    </row>
    <row r="193" spans="9:16" ht="32.25" customHeight="1" x14ac:dyDescent="0.3">
      <c r="I193" s="1">
        <f>0.14*Table11819202310303132353839404243444647[[#This Row],[النولون]]</f>
        <v>0</v>
      </c>
      <c r="K19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93" s="1">
        <f>M192+Table11819202310303132353839404243444647[[#This Row],[اجمالي الفاتوره]]-Table11819202310303132353839404243444647[[#This Row],[الدفعات]]</f>
        <v>0</v>
      </c>
      <c r="O193" s="20"/>
      <c r="P193" s="48"/>
    </row>
    <row r="194" spans="9:16" ht="32.25" customHeight="1" x14ac:dyDescent="0.3">
      <c r="I194" s="1">
        <f>0.14*Table11819202310303132353839404243444647[[#This Row],[النولون]]</f>
        <v>0</v>
      </c>
      <c r="K19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94" s="1">
        <f>M193+Table11819202310303132353839404243444647[[#This Row],[اجمالي الفاتوره]]-Table11819202310303132353839404243444647[[#This Row],[الدفعات]]</f>
        <v>0</v>
      </c>
      <c r="O194" s="20"/>
      <c r="P194" s="48"/>
    </row>
    <row r="195" spans="9:16" ht="32.25" customHeight="1" x14ac:dyDescent="0.3">
      <c r="I195" s="1">
        <f>0.14*Table11819202310303132353839404243444647[[#This Row],[النولون]]</f>
        <v>0</v>
      </c>
      <c r="K19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95" s="1">
        <f>M194+Table11819202310303132353839404243444647[[#This Row],[اجمالي الفاتوره]]-Table11819202310303132353839404243444647[[#This Row],[الدفعات]]</f>
        <v>0</v>
      </c>
      <c r="O195" s="20"/>
      <c r="P195" s="48"/>
    </row>
    <row r="196" spans="9:16" ht="32.25" customHeight="1" x14ac:dyDescent="0.3">
      <c r="I196" s="1">
        <f>0.14*Table11819202310303132353839404243444647[[#This Row],[النولون]]</f>
        <v>0</v>
      </c>
      <c r="K19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96" s="1">
        <f>M195+Table11819202310303132353839404243444647[[#This Row],[اجمالي الفاتوره]]-Table11819202310303132353839404243444647[[#This Row],[الدفعات]]</f>
        <v>0</v>
      </c>
      <c r="O196" s="20"/>
      <c r="P196" s="48"/>
    </row>
    <row r="197" spans="9:16" ht="32.25" customHeight="1" x14ac:dyDescent="0.3">
      <c r="I197" s="1">
        <f>0.14*Table11819202310303132353839404243444647[[#This Row],[النولون]]</f>
        <v>0</v>
      </c>
      <c r="K19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97" s="1">
        <f>M196+Table11819202310303132353839404243444647[[#This Row],[اجمالي الفاتوره]]-Table11819202310303132353839404243444647[[#This Row],[الدفعات]]</f>
        <v>0</v>
      </c>
      <c r="O197" s="20"/>
      <c r="P197" s="48"/>
    </row>
    <row r="198" spans="9:16" ht="32.25" customHeight="1" x14ac:dyDescent="0.3">
      <c r="I198" s="1">
        <f>0.14*Table11819202310303132353839404243444647[[#This Row],[النولون]]</f>
        <v>0</v>
      </c>
      <c r="K19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98" s="1">
        <f>M197+Table11819202310303132353839404243444647[[#This Row],[اجمالي الفاتوره]]-Table11819202310303132353839404243444647[[#This Row],[الدفعات]]</f>
        <v>0</v>
      </c>
      <c r="O198" s="20"/>
      <c r="P198" s="48"/>
    </row>
    <row r="199" spans="9:16" ht="32.25" customHeight="1" x14ac:dyDescent="0.3">
      <c r="I199" s="1">
        <f>0.14*Table11819202310303132353839404243444647[[#This Row],[النولون]]</f>
        <v>0</v>
      </c>
      <c r="K19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199" s="1">
        <f>M198+Table11819202310303132353839404243444647[[#This Row],[اجمالي الفاتوره]]-Table11819202310303132353839404243444647[[#This Row],[الدفعات]]</f>
        <v>0</v>
      </c>
      <c r="O199" s="20"/>
      <c r="P199" s="48"/>
    </row>
    <row r="200" spans="9:16" ht="32.25" customHeight="1" x14ac:dyDescent="0.3">
      <c r="I200" s="1">
        <f>0.14*Table11819202310303132353839404243444647[[#This Row],[النولون]]</f>
        <v>0</v>
      </c>
      <c r="K20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00" s="1">
        <f>M199+Table11819202310303132353839404243444647[[#This Row],[اجمالي الفاتوره]]-Table11819202310303132353839404243444647[[#This Row],[الدفعات]]</f>
        <v>0</v>
      </c>
      <c r="O200" s="20"/>
      <c r="P200" s="48"/>
    </row>
    <row r="201" spans="9:16" ht="32.25" customHeight="1" x14ac:dyDescent="0.3">
      <c r="I201" s="1">
        <f>0.14*Table11819202310303132353839404243444647[[#This Row],[النولون]]</f>
        <v>0</v>
      </c>
      <c r="K20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01" s="1">
        <f>M200+Table11819202310303132353839404243444647[[#This Row],[اجمالي الفاتوره]]-Table11819202310303132353839404243444647[[#This Row],[الدفعات]]</f>
        <v>0</v>
      </c>
      <c r="O201" s="20"/>
      <c r="P201" s="48"/>
    </row>
    <row r="202" spans="9:16" ht="32.25" customHeight="1" x14ac:dyDescent="0.3">
      <c r="I202" s="1">
        <f>0.14*Table11819202310303132353839404243444647[[#This Row],[النولون]]</f>
        <v>0</v>
      </c>
      <c r="K20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02" s="1">
        <f>M201+Table11819202310303132353839404243444647[[#This Row],[اجمالي الفاتوره]]-Table11819202310303132353839404243444647[[#This Row],[الدفعات]]</f>
        <v>0</v>
      </c>
      <c r="O202" s="20"/>
      <c r="P202" s="48"/>
    </row>
    <row r="203" spans="9:16" ht="32.25" customHeight="1" x14ac:dyDescent="0.3">
      <c r="I203" s="1">
        <f>0.14*Table11819202310303132353839404243444647[[#This Row],[النولون]]</f>
        <v>0</v>
      </c>
      <c r="K20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03" s="1">
        <f>M202+Table11819202310303132353839404243444647[[#This Row],[اجمالي الفاتوره]]-Table11819202310303132353839404243444647[[#This Row],[الدفعات]]</f>
        <v>0</v>
      </c>
      <c r="O203" s="20"/>
      <c r="P203" s="48"/>
    </row>
    <row r="204" spans="9:16" ht="32.25" customHeight="1" x14ac:dyDescent="0.3">
      <c r="I204" s="1">
        <f>0.14*Table11819202310303132353839404243444647[[#This Row],[النولون]]</f>
        <v>0</v>
      </c>
      <c r="K20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04" s="1">
        <f>M203+Table11819202310303132353839404243444647[[#This Row],[اجمالي الفاتوره]]-Table11819202310303132353839404243444647[[#This Row],[الدفعات]]</f>
        <v>0</v>
      </c>
      <c r="O204" s="20"/>
      <c r="P204" s="48"/>
    </row>
    <row r="205" spans="9:16" ht="32.25" customHeight="1" x14ac:dyDescent="0.3">
      <c r="I205" s="1">
        <f>0.14*Table11819202310303132353839404243444647[[#This Row],[النولون]]</f>
        <v>0</v>
      </c>
      <c r="K20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05" s="1">
        <f>M204+Table11819202310303132353839404243444647[[#This Row],[اجمالي الفاتوره]]-Table11819202310303132353839404243444647[[#This Row],[الدفعات]]</f>
        <v>0</v>
      </c>
      <c r="O205" s="20"/>
      <c r="P205" s="48"/>
    </row>
    <row r="206" spans="9:16" ht="32.25" customHeight="1" x14ac:dyDescent="0.3">
      <c r="I206" s="1">
        <f>0.14*Table11819202310303132353839404243444647[[#This Row],[النولون]]</f>
        <v>0</v>
      </c>
      <c r="K20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06" s="1">
        <f>M205+Table11819202310303132353839404243444647[[#This Row],[اجمالي الفاتوره]]-Table11819202310303132353839404243444647[[#This Row],[الدفعات]]</f>
        <v>0</v>
      </c>
      <c r="O206" s="20"/>
      <c r="P206" s="48"/>
    </row>
    <row r="207" spans="9:16" ht="32.25" customHeight="1" x14ac:dyDescent="0.3">
      <c r="I207" s="1">
        <f>0.14*Table11819202310303132353839404243444647[[#This Row],[النولون]]</f>
        <v>0</v>
      </c>
      <c r="K20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07" s="1">
        <f>M206+Table11819202310303132353839404243444647[[#This Row],[اجمالي الفاتوره]]-Table11819202310303132353839404243444647[[#This Row],[الدفعات]]</f>
        <v>0</v>
      </c>
      <c r="O207" s="20"/>
      <c r="P207" s="48"/>
    </row>
    <row r="208" spans="9:16" ht="32.25" customHeight="1" x14ac:dyDescent="0.3">
      <c r="I208" s="1">
        <f>0.14*Table11819202310303132353839404243444647[[#This Row],[النولون]]</f>
        <v>0</v>
      </c>
      <c r="K20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08" s="1">
        <f>M207+Table11819202310303132353839404243444647[[#This Row],[اجمالي الفاتوره]]-Table11819202310303132353839404243444647[[#This Row],[الدفعات]]</f>
        <v>0</v>
      </c>
      <c r="O208" s="20"/>
      <c r="P208" s="48"/>
    </row>
    <row r="209" spans="9:16" ht="32.25" customHeight="1" x14ac:dyDescent="0.3">
      <c r="I209" s="1">
        <f>0.14*Table11819202310303132353839404243444647[[#This Row],[النولون]]</f>
        <v>0</v>
      </c>
      <c r="K20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09" s="1">
        <f>M208+Table11819202310303132353839404243444647[[#This Row],[اجمالي الفاتوره]]-Table11819202310303132353839404243444647[[#This Row],[الدفعات]]</f>
        <v>0</v>
      </c>
      <c r="O209" s="20"/>
      <c r="P209" s="48"/>
    </row>
    <row r="210" spans="9:16" ht="32.25" customHeight="1" x14ac:dyDescent="0.3">
      <c r="I210" s="1">
        <f>0.14*Table11819202310303132353839404243444647[[#This Row],[النولون]]</f>
        <v>0</v>
      </c>
      <c r="K21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10" s="1">
        <f>M209+Table11819202310303132353839404243444647[[#This Row],[اجمالي الفاتوره]]-Table11819202310303132353839404243444647[[#This Row],[الدفعات]]</f>
        <v>0</v>
      </c>
      <c r="O210" s="20"/>
      <c r="P210" s="48"/>
    </row>
    <row r="211" spans="9:16" ht="32.25" customHeight="1" x14ac:dyDescent="0.3">
      <c r="I211" s="1">
        <f>0.14*Table11819202310303132353839404243444647[[#This Row],[النولون]]</f>
        <v>0</v>
      </c>
      <c r="K21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11" s="1">
        <f>M210+Table11819202310303132353839404243444647[[#This Row],[اجمالي الفاتوره]]-Table11819202310303132353839404243444647[[#This Row],[الدفعات]]</f>
        <v>0</v>
      </c>
      <c r="O211" s="20"/>
      <c r="P211" s="48"/>
    </row>
    <row r="212" spans="9:16" ht="32.25" customHeight="1" x14ac:dyDescent="0.3">
      <c r="I212" s="1">
        <f>0.14*Table11819202310303132353839404243444647[[#This Row],[النولون]]</f>
        <v>0</v>
      </c>
      <c r="K21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12" s="1">
        <f>M211+Table11819202310303132353839404243444647[[#This Row],[اجمالي الفاتوره]]-Table11819202310303132353839404243444647[[#This Row],[الدفعات]]</f>
        <v>0</v>
      </c>
      <c r="O212" s="20"/>
      <c r="P212" s="48"/>
    </row>
    <row r="213" spans="9:16" ht="32.25" customHeight="1" x14ac:dyDescent="0.3">
      <c r="I213" s="1">
        <f>0.14*Table11819202310303132353839404243444647[[#This Row],[النولون]]</f>
        <v>0</v>
      </c>
      <c r="K21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13" s="1">
        <f>M212+Table11819202310303132353839404243444647[[#This Row],[اجمالي الفاتوره]]-Table11819202310303132353839404243444647[[#This Row],[الدفعات]]</f>
        <v>0</v>
      </c>
      <c r="O213" s="20"/>
      <c r="P213" s="48"/>
    </row>
    <row r="214" spans="9:16" ht="32.25" customHeight="1" x14ac:dyDescent="0.3">
      <c r="I214" s="1">
        <f>0.14*Table11819202310303132353839404243444647[[#This Row],[النولون]]</f>
        <v>0</v>
      </c>
      <c r="K21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14" s="1">
        <f>M213+Table11819202310303132353839404243444647[[#This Row],[اجمالي الفاتوره]]-Table11819202310303132353839404243444647[[#This Row],[الدفعات]]</f>
        <v>0</v>
      </c>
      <c r="O214" s="20"/>
      <c r="P214" s="48"/>
    </row>
    <row r="215" spans="9:16" ht="32.25" customHeight="1" x14ac:dyDescent="0.3">
      <c r="I215" s="1">
        <f>0.14*Table11819202310303132353839404243444647[[#This Row],[النولون]]</f>
        <v>0</v>
      </c>
      <c r="K21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15" s="1">
        <f>M214+Table11819202310303132353839404243444647[[#This Row],[اجمالي الفاتوره]]-Table11819202310303132353839404243444647[[#This Row],[الدفعات]]</f>
        <v>0</v>
      </c>
      <c r="O215" s="20"/>
      <c r="P215" s="48"/>
    </row>
    <row r="216" spans="9:16" ht="32.25" customHeight="1" x14ac:dyDescent="0.3">
      <c r="I216" s="1">
        <f>0.14*Table11819202310303132353839404243444647[[#This Row],[النولون]]</f>
        <v>0</v>
      </c>
      <c r="K21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16" s="1">
        <f>M215+Table11819202310303132353839404243444647[[#This Row],[اجمالي الفاتوره]]-Table11819202310303132353839404243444647[[#This Row],[الدفعات]]</f>
        <v>0</v>
      </c>
      <c r="O216" s="20"/>
      <c r="P216" s="48"/>
    </row>
    <row r="217" spans="9:16" ht="32.25" customHeight="1" x14ac:dyDescent="0.3">
      <c r="I217" s="1">
        <f>0.14*Table11819202310303132353839404243444647[[#This Row],[النولون]]</f>
        <v>0</v>
      </c>
      <c r="K21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17" s="1">
        <f>M216+Table11819202310303132353839404243444647[[#This Row],[اجمالي الفاتوره]]-Table11819202310303132353839404243444647[[#This Row],[الدفعات]]</f>
        <v>0</v>
      </c>
      <c r="O217" s="20"/>
      <c r="P217" s="48"/>
    </row>
    <row r="218" spans="9:16" ht="32.25" customHeight="1" x14ac:dyDescent="0.3">
      <c r="I218" s="1">
        <f>0.14*Table11819202310303132353839404243444647[[#This Row],[النولون]]</f>
        <v>0</v>
      </c>
      <c r="K21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18" s="1">
        <f>M217+Table11819202310303132353839404243444647[[#This Row],[اجمالي الفاتوره]]-Table11819202310303132353839404243444647[[#This Row],[الدفعات]]</f>
        <v>0</v>
      </c>
      <c r="O218" s="20"/>
      <c r="P218" s="48"/>
    </row>
    <row r="219" spans="9:16" ht="32.25" customHeight="1" x14ac:dyDescent="0.3">
      <c r="I219" s="1">
        <f>0.14*Table11819202310303132353839404243444647[[#This Row],[النولون]]</f>
        <v>0</v>
      </c>
      <c r="K21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19" s="1">
        <f>M218+Table11819202310303132353839404243444647[[#This Row],[اجمالي الفاتوره]]-Table11819202310303132353839404243444647[[#This Row],[الدفعات]]</f>
        <v>0</v>
      </c>
      <c r="O219" s="20"/>
      <c r="P219" s="48"/>
    </row>
    <row r="220" spans="9:16" ht="32.25" customHeight="1" x14ac:dyDescent="0.3">
      <c r="I220" s="1">
        <f>0.14*Table11819202310303132353839404243444647[[#This Row],[النولون]]</f>
        <v>0</v>
      </c>
      <c r="K22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20" s="1">
        <f>M219+Table11819202310303132353839404243444647[[#This Row],[اجمالي الفاتوره]]-Table11819202310303132353839404243444647[[#This Row],[الدفعات]]</f>
        <v>0</v>
      </c>
      <c r="O220" s="20"/>
      <c r="P220" s="48"/>
    </row>
    <row r="221" spans="9:16" ht="32.25" customHeight="1" x14ac:dyDescent="0.3">
      <c r="I221" s="1">
        <f>0.14*Table11819202310303132353839404243444647[[#This Row],[النولون]]</f>
        <v>0</v>
      </c>
      <c r="K22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21" s="1">
        <f>M220+Table11819202310303132353839404243444647[[#This Row],[اجمالي الفاتوره]]-Table11819202310303132353839404243444647[[#This Row],[الدفعات]]</f>
        <v>0</v>
      </c>
      <c r="O221" s="20"/>
      <c r="P221" s="48"/>
    </row>
    <row r="222" spans="9:16" ht="32.25" customHeight="1" x14ac:dyDescent="0.3">
      <c r="I222" s="1">
        <f>0.14*Table11819202310303132353839404243444647[[#This Row],[النولون]]</f>
        <v>0</v>
      </c>
      <c r="K22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22" s="1">
        <f>M221+Table11819202310303132353839404243444647[[#This Row],[اجمالي الفاتوره]]-Table11819202310303132353839404243444647[[#This Row],[الدفعات]]</f>
        <v>0</v>
      </c>
      <c r="O222" s="20"/>
      <c r="P222" s="48"/>
    </row>
    <row r="223" spans="9:16" ht="32.25" customHeight="1" x14ac:dyDescent="0.3">
      <c r="I223" s="1">
        <f>0.14*Table11819202310303132353839404243444647[[#This Row],[النولون]]</f>
        <v>0</v>
      </c>
      <c r="K22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23" s="1">
        <f>M222+Table11819202310303132353839404243444647[[#This Row],[اجمالي الفاتوره]]-Table11819202310303132353839404243444647[[#This Row],[الدفعات]]</f>
        <v>0</v>
      </c>
      <c r="O223" s="20"/>
      <c r="P223" s="48"/>
    </row>
    <row r="224" spans="9:16" ht="32.25" customHeight="1" x14ac:dyDescent="0.3">
      <c r="I224" s="1">
        <f>0.14*Table11819202310303132353839404243444647[[#This Row],[النولون]]</f>
        <v>0</v>
      </c>
      <c r="K22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24" s="1">
        <f>M223+Table11819202310303132353839404243444647[[#This Row],[اجمالي الفاتوره]]-Table11819202310303132353839404243444647[[#This Row],[الدفعات]]</f>
        <v>0</v>
      </c>
      <c r="O224" s="20"/>
      <c r="P224" s="48"/>
    </row>
    <row r="225" spans="9:16" ht="32.25" customHeight="1" x14ac:dyDescent="0.3">
      <c r="I225" s="1">
        <f>0.14*Table11819202310303132353839404243444647[[#This Row],[النولون]]</f>
        <v>0</v>
      </c>
      <c r="K22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25" s="1">
        <f>M224+Table11819202310303132353839404243444647[[#This Row],[اجمالي الفاتوره]]-Table11819202310303132353839404243444647[[#This Row],[الدفعات]]</f>
        <v>0</v>
      </c>
      <c r="O225" s="20"/>
      <c r="P225" s="48"/>
    </row>
    <row r="226" spans="9:16" ht="32.25" customHeight="1" x14ac:dyDescent="0.3">
      <c r="I226" s="1">
        <f>0.14*Table11819202310303132353839404243444647[[#This Row],[النولون]]</f>
        <v>0</v>
      </c>
      <c r="K22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26" s="1">
        <f>M225+Table11819202310303132353839404243444647[[#This Row],[اجمالي الفاتوره]]-Table11819202310303132353839404243444647[[#This Row],[الدفعات]]</f>
        <v>0</v>
      </c>
      <c r="O226" s="20"/>
      <c r="P226" s="48"/>
    </row>
    <row r="227" spans="9:16" ht="32.25" customHeight="1" x14ac:dyDescent="0.3">
      <c r="I227" s="1">
        <f>0.14*Table11819202310303132353839404243444647[[#This Row],[النولون]]</f>
        <v>0</v>
      </c>
      <c r="K22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27" s="1">
        <f>M226+Table11819202310303132353839404243444647[[#This Row],[اجمالي الفاتوره]]-Table11819202310303132353839404243444647[[#This Row],[الدفعات]]</f>
        <v>0</v>
      </c>
      <c r="O227" s="20"/>
      <c r="P227" s="48"/>
    </row>
    <row r="228" spans="9:16" ht="32.25" customHeight="1" x14ac:dyDescent="0.3">
      <c r="I228" s="1">
        <f>0.14*Table11819202310303132353839404243444647[[#This Row],[النولون]]</f>
        <v>0</v>
      </c>
      <c r="K22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28" s="1">
        <f>M227+Table11819202310303132353839404243444647[[#This Row],[اجمالي الفاتوره]]-Table11819202310303132353839404243444647[[#This Row],[الدفعات]]</f>
        <v>0</v>
      </c>
      <c r="O228" s="20"/>
      <c r="P228" s="48"/>
    </row>
    <row r="229" spans="9:16" ht="32.25" customHeight="1" x14ac:dyDescent="0.3">
      <c r="I229" s="1">
        <f>0.14*Table11819202310303132353839404243444647[[#This Row],[النولون]]</f>
        <v>0</v>
      </c>
      <c r="K22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29" s="1">
        <f>M228+Table11819202310303132353839404243444647[[#This Row],[اجمالي الفاتوره]]-Table11819202310303132353839404243444647[[#This Row],[الدفعات]]</f>
        <v>0</v>
      </c>
      <c r="O229" s="20"/>
      <c r="P229" s="48"/>
    </row>
    <row r="230" spans="9:16" ht="32.25" customHeight="1" x14ac:dyDescent="0.3">
      <c r="I230" s="1">
        <f>0.14*Table11819202310303132353839404243444647[[#This Row],[النولون]]</f>
        <v>0</v>
      </c>
      <c r="K23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30" s="1">
        <f>M229+Table11819202310303132353839404243444647[[#This Row],[اجمالي الفاتوره]]-Table11819202310303132353839404243444647[[#This Row],[الدفعات]]</f>
        <v>0</v>
      </c>
      <c r="O230" s="20"/>
      <c r="P230" s="48"/>
    </row>
    <row r="231" spans="9:16" ht="32.25" customHeight="1" x14ac:dyDescent="0.3">
      <c r="I231" s="1">
        <f>0.14*Table11819202310303132353839404243444647[[#This Row],[النولون]]</f>
        <v>0</v>
      </c>
      <c r="K23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31" s="1">
        <f>M230+Table11819202310303132353839404243444647[[#This Row],[اجمالي الفاتوره]]-Table11819202310303132353839404243444647[[#This Row],[الدفعات]]</f>
        <v>0</v>
      </c>
      <c r="O231" s="20"/>
      <c r="P231" s="48"/>
    </row>
    <row r="232" spans="9:16" ht="32.25" customHeight="1" x14ac:dyDescent="0.3">
      <c r="I232" s="1">
        <f>0.14*Table11819202310303132353839404243444647[[#This Row],[النولون]]</f>
        <v>0</v>
      </c>
      <c r="K23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32" s="1">
        <f>M231+Table11819202310303132353839404243444647[[#This Row],[اجمالي الفاتوره]]-Table11819202310303132353839404243444647[[#This Row],[الدفعات]]</f>
        <v>0</v>
      </c>
      <c r="O232" s="20"/>
      <c r="P232" s="48"/>
    </row>
    <row r="233" spans="9:16" ht="32.25" customHeight="1" x14ac:dyDescent="0.3">
      <c r="I233" s="1">
        <f>0.14*Table11819202310303132353839404243444647[[#This Row],[النولون]]</f>
        <v>0</v>
      </c>
      <c r="K23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33" s="1">
        <f>M232+Table11819202310303132353839404243444647[[#This Row],[اجمالي الفاتوره]]-Table11819202310303132353839404243444647[[#This Row],[الدفعات]]</f>
        <v>0</v>
      </c>
      <c r="O233" s="20"/>
      <c r="P233" s="48"/>
    </row>
    <row r="234" spans="9:16" ht="32.25" customHeight="1" x14ac:dyDescent="0.3">
      <c r="I234" s="1">
        <f>0.14*Table11819202310303132353839404243444647[[#This Row],[النولون]]</f>
        <v>0</v>
      </c>
      <c r="K23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34" s="1">
        <f>M233+Table11819202310303132353839404243444647[[#This Row],[اجمالي الفاتوره]]-Table11819202310303132353839404243444647[[#This Row],[الدفعات]]</f>
        <v>0</v>
      </c>
      <c r="O234" s="20"/>
      <c r="P234" s="48"/>
    </row>
    <row r="235" spans="9:16" ht="32.25" customHeight="1" x14ac:dyDescent="0.3">
      <c r="I235" s="1">
        <f>0.14*Table11819202310303132353839404243444647[[#This Row],[النولون]]</f>
        <v>0</v>
      </c>
      <c r="K23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35" s="1">
        <f>M234+Table11819202310303132353839404243444647[[#This Row],[اجمالي الفاتوره]]-Table11819202310303132353839404243444647[[#This Row],[الدفعات]]</f>
        <v>0</v>
      </c>
      <c r="O235" s="20"/>
      <c r="P235" s="48"/>
    </row>
    <row r="236" spans="9:16" ht="32.25" customHeight="1" x14ac:dyDescent="0.3">
      <c r="I236" s="1">
        <f>0.14*Table11819202310303132353839404243444647[[#This Row],[النولون]]</f>
        <v>0</v>
      </c>
      <c r="K23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36" s="1">
        <f>M235+Table11819202310303132353839404243444647[[#This Row],[اجمالي الفاتوره]]-Table11819202310303132353839404243444647[[#This Row],[الدفعات]]</f>
        <v>0</v>
      </c>
      <c r="O236" s="20"/>
      <c r="P236" s="48"/>
    </row>
    <row r="237" spans="9:16" ht="32.25" customHeight="1" x14ac:dyDescent="0.3">
      <c r="I237" s="1">
        <f>0.14*Table11819202310303132353839404243444647[[#This Row],[النولون]]</f>
        <v>0</v>
      </c>
      <c r="K23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37" s="1">
        <f>M236+Table11819202310303132353839404243444647[[#This Row],[اجمالي الفاتوره]]-Table11819202310303132353839404243444647[[#This Row],[الدفعات]]</f>
        <v>0</v>
      </c>
      <c r="O237" s="20"/>
      <c r="P237" s="48"/>
    </row>
    <row r="238" spans="9:16" ht="32.25" customHeight="1" x14ac:dyDescent="0.3">
      <c r="I238" s="1">
        <f>0.14*Table11819202310303132353839404243444647[[#This Row],[النولون]]</f>
        <v>0</v>
      </c>
      <c r="K23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38" s="1">
        <f>M237+Table11819202310303132353839404243444647[[#This Row],[اجمالي الفاتوره]]-Table11819202310303132353839404243444647[[#This Row],[الدفعات]]</f>
        <v>0</v>
      </c>
      <c r="O238" s="20"/>
      <c r="P238" s="48"/>
    </row>
    <row r="239" spans="9:16" ht="32.25" customHeight="1" x14ac:dyDescent="0.3">
      <c r="I239" s="1">
        <f>0.14*Table11819202310303132353839404243444647[[#This Row],[النولون]]</f>
        <v>0</v>
      </c>
      <c r="K23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39" s="1">
        <f>M238+Table11819202310303132353839404243444647[[#This Row],[اجمالي الفاتوره]]-Table11819202310303132353839404243444647[[#This Row],[الدفعات]]</f>
        <v>0</v>
      </c>
      <c r="O239" s="20"/>
      <c r="P239" s="48"/>
    </row>
    <row r="240" spans="9:16" ht="32.25" customHeight="1" x14ac:dyDescent="0.3">
      <c r="I240" s="1">
        <f>0.14*Table11819202310303132353839404243444647[[#This Row],[النولون]]</f>
        <v>0</v>
      </c>
      <c r="K24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40" s="1">
        <f>M239+Table11819202310303132353839404243444647[[#This Row],[اجمالي الفاتوره]]-Table11819202310303132353839404243444647[[#This Row],[الدفعات]]</f>
        <v>0</v>
      </c>
      <c r="O240" s="20"/>
      <c r="P240" s="48"/>
    </row>
    <row r="241" spans="9:16" ht="32.25" customHeight="1" x14ac:dyDescent="0.3">
      <c r="I241" s="1">
        <f>0.14*Table11819202310303132353839404243444647[[#This Row],[النولون]]</f>
        <v>0</v>
      </c>
      <c r="K24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41" s="1">
        <f>M240+Table11819202310303132353839404243444647[[#This Row],[اجمالي الفاتوره]]-Table11819202310303132353839404243444647[[#This Row],[الدفعات]]</f>
        <v>0</v>
      </c>
      <c r="O241" s="20"/>
      <c r="P241" s="48"/>
    </row>
    <row r="242" spans="9:16" ht="32.25" customHeight="1" x14ac:dyDescent="0.3">
      <c r="I242" s="1">
        <f>0.14*Table11819202310303132353839404243444647[[#This Row],[النولون]]</f>
        <v>0</v>
      </c>
      <c r="K24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42" s="1">
        <f>M241+Table11819202310303132353839404243444647[[#This Row],[اجمالي الفاتوره]]-Table11819202310303132353839404243444647[[#This Row],[الدفعات]]</f>
        <v>0</v>
      </c>
      <c r="O242" s="20"/>
      <c r="P242" s="48"/>
    </row>
    <row r="243" spans="9:16" ht="32.25" customHeight="1" x14ac:dyDescent="0.3">
      <c r="I243" s="1">
        <f>0.14*Table11819202310303132353839404243444647[[#This Row],[النولون]]</f>
        <v>0</v>
      </c>
      <c r="K24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43" s="1">
        <f>M242+Table11819202310303132353839404243444647[[#This Row],[اجمالي الفاتوره]]-Table11819202310303132353839404243444647[[#This Row],[الدفعات]]</f>
        <v>0</v>
      </c>
      <c r="O243" s="20"/>
      <c r="P243" s="48"/>
    </row>
    <row r="244" spans="9:16" ht="32.25" customHeight="1" x14ac:dyDescent="0.3">
      <c r="I244" s="1">
        <f>0.14*Table11819202310303132353839404243444647[[#This Row],[النولون]]</f>
        <v>0</v>
      </c>
      <c r="K24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44" s="1">
        <f>M243+Table11819202310303132353839404243444647[[#This Row],[اجمالي الفاتوره]]-Table11819202310303132353839404243444647[[#This Row],[الدفعات]]</f>
        <v>0</v>
      </c>
      <c r="O244" s="20"/>
      <c r="P244" s="48"/>
    </row>
    <row r="245" spans="9:16" ht="32.25" customHeight="1" x14ac:dyDescent="0.3">
      <c r="I245" s="1">
        <f>0.14*Table11819202310303132353839404243444647[[#This Row],[النولون]]</f>
        <v>0</v>
      </c>
      <c r="K24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45" s="1">
        <f>M244+Table11819202310303132353839404243444647[[#This Row],[اجمالي الفاتوره]]-Table11819202310303132353839404243444647[[#This Row],[الدفعات]]</f>
        <v>0</v>
      </c>
      <c r="O245" s="20"/>
      <c r="P245" s="48"/>
    </row>
    <row r="246" spans="9:16" ht="32.25" customHeight="1" x14ac:dyDescent="0.3">
      <c r="I246" s="1">
        <f>0.14*Table11819202310303132353839404243444647[[#This Row],[النولون]]</f>
        <v>0</v>
      </c>
      <c r="K24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46" s="1">
        <f>M245+Table11819202310303132353839404243444647[[#This Row],[اجمالي الفاتوره]]-Table11819202310303132353839404243444647[[#This Row],[الدفعات]]</f>
        <v>0</v>
      </c>
      <c r="O246" s="20"/>
      <c r="P246" s="48"/>
    </row>
    <row r="247" spans="9:16" ht="32.25" customHeight="1" x14ac:dyDescent="0.3">
      <c r="I247" s="1">
        <f>0.14*Table11819202310303132353839404243444647[[#This Row],[النولون]]</f>
        <v>0</v>
      </c>
      <c r="K24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47" s="1">
        <f>M246+Table11819202310303132353839404243444647[[#This Row],[اجمالي الفاتوره]]-Table11819202310303132353839404243444647[[#This Row],[الدفعات]]</f>
        <v>0</v>
      </c>
      <c r="O247" s="20"/>
      <c r="P247" s="48"/>
    </row>
    <row r="248" spans="9:16" ht="32.25" customHeight="1" x14ac:dyDescent="0.3">
      <c r="I248" s="1">
        <f>0.14*Table11819202310303132353839404243444647[[#This Row],[النولون]]</f>
        <v>0</v>
      </c>
      <c r="K24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48" s="1">
        <f>M247+Table11819202310303132353839404243444647[[#This Row],[اجمالي الفاتوره]]-Table11819202310303132353839404243444647[[#This Row],[الدفعات]]</f>
        <v>0</v>
      </c>
      <c r="O248" s="20"/>
      <c r="P248" s="48"/>
    </row>
    <row r="249" spans="9:16" ht="32.25" customHeight="1" x14ac:dyDescent="0.3">
      <c r="I249" s="1">
        <f>0.14*Table11819202310303132353839404243444647[[#This Row],[النولون]]</f>
        <v>0</v>
      </c>
      <c r="K24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49" s="1">
        <f>M248+Table11819202310303132353839404243444647[[#This Row],[اجمالي الفاتوره]]-Table11819202310303132353839404243444647[[#This Row],[الدفعات]]</f>
        <v>0</v>
      </c>
      <c r="O249" s="20"/>
      <c r="P249" s="48"/>
    </row>
    <row r="250" spans="9:16" ht="32.25" customHeight="1" x14ac:dyDescent="0.3">
      <c r="I250" s="1">
        <f>0.14*Table11819202310303132353839404243444647[[#This Row],[النولون]]</f>
        <v>0</v>
      </c>
      <c r="K25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50" s="1">
        <f>M249+Table11819202310303132353839404243444647[[#This Row],[اجمالي الفاتوره]]-Table11819202310303132353839404243444647[[#This Row],[الدفعات]]</f>
        <v>0</v>
      </c>
      <c r="O250" s="20"/>
      <c r="P250" s="48"/>
    </row>
    <row r="251" spans="9:16" ht="32.25" customHeight="1" x14ac:dyDescent="0.3">
      <c r="I251" s="1">
        <f>0.14*Table11819202310303132353839404243444647[[#This Row],[النولون]]</f>
        <v>0</v>
      </c>
      <c r="K25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51" s="1">
        <f>M250+Table11819202310303132353839404243444647[[#This Row],[اجمالي الفاتوره]]-Table11819202310303132353839404243444647[[#This Row],[الدفعات]]</f>
        <v>0</v>
      </c>
      <c r="O251" s="20"/>
      <c r="P251" s="48"/>
    </row>
    <row r="252" spans="9:16" ht="32.25" customHeight="1" x14ac:dyDescent="0.3">
      <c r="I252" s="1">
        <f>0.14*Table11819202310303132353839404243444647[[#This Row],[النولون]]</f>
        <v>0</v>
      </c>
      <c r="K25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52" s="1">
        <f>M251+Table11819202310303132353839404243444647[[#This Row],[اجمالي الفاتوره]]-Table11819202310303132353839404243444647[[#This Row],[الدفعات]]</f>
        <v>0</v>
      </c>
      <c r="O252" s="20"/>
      <c r="P252" s="48"/>
    </row>
    <row r="253" spans="9:16" ht="32.25" customHeight="1" x14ac:dyDescent="0.3">
      <c r="I253" s="1">
        <f>0.14*Table11819202310303132353839404243444647[[#This Row],[النولون]]</f>
        <v>0</v>
      </c>
      <c r="K25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53" s="1">
        <f>M252+Table11819202310303132353839404243444647[[#This Row],[اجمالي الفاتوره]]-Table11819202310303132353839404243444647[[#This Row],[الدفعات]]</f>
        <v>0</v>
      </c>
      <c r="O253" s="20"/>
      <c r="P253" s="48"/>
    </row>
    <row r="254" spans="9:16" ht="32.25" customHeight="1" x14ac:dyDescent="0.3">
      <c r="I254" s="1">
        <f>0.14*Table11819202310303132353839404243444647[[#This Row],[النولون]]</f>
        <v>0</v>
      </c>
      <c r="K25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54" s="1">
        <f>M253+Table11819202310303132353839404243444647[[#This Row],[اجمالي الفاتوره]]-Table11819202310303132353839404243444647[[#This Row],[الدفعات]]</f>
        <v>0</v>
      </c>
      <c r="O254" s="20"/>
      <c r="P254" s="48"/>
    </row>
    <row r="255" spans="9:16" ht="32.25" customHeight="1" x14ac:dyDescent="0.3">
      <c r="I255" s="1">
        <f>0.14*Table11819202310303132353839404243444647[[#This Row],[النولون]]</f>
        <v>0</v>
      </c>
      <c r="K25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55" s="1">
        <f>M254+Table11819202310303132353839404243444647[[#This Row],[اجمالي الفاتوره]]-Table11819202310303132353839404243444647[[#This Row],[الدفعات]]</f>
        <v>0</v>
      </c>
      <c r="O255" s="20"/>
      <c r="P255" s="48"/>
    </row>
    <row r="256" spans="9:16" ht="32.25" customHeight="1" x14ac:dyDescent="0.3">
      <c r="I256" s="1">
        <f>0.14*Table11819202310303132353839404243444647[[#This Row],[النولون]]</f>
        <v>0</v>
      </c>
      <c r="K25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56" s="1">
        <f>M255+Table11819202310303132353839404243444647[[#This Row],[اجمالي الفاتوره]]-Table11819202310303132353839404243444647[[#This Row],[الدفعات]]</f>
        <v>0</v>
      </c>
      <c r="O256" s="20"/>
      <c r="P256" s="48"/>
    </row>
    <row r="257" spans="9:16" ht="32.25" customHeight="1" x14ac:dyDescent="0.3">
      <c r="I257" s="1">
        <f>0.14*Table11819202310303132353839404243444647[[#This Row],[النولون]]</f>
        <v>0</v>
      </c>
      <c r="K25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57" s="1">
        <f>M256+Table11819202310303132353839404243444647[[#This Row],[اجمالي الفاتوره]]-Table11819202310303132353839404243444647[[#This Row],[الدفعات]]</f>
        <v>0</v>
      </c>
      <c r="O257" s="20"/>
      <c r="P257" s="48"/>
    </row>
    <row r="258" spans="9:16" ht="32.25" customHeight="1" x14ac:dyDescent="0.3">
      <c r="I258" s="1">
        <f>0.14*Table11819202310303132353839404243444647[[#This Row],[النولون]]</f>
        <v>0</v>
      </c>
      <c r="K25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58" s="1">
        <f>M257+Table11819202310303132353839404243444647[[#This Row],[اجمالي الفاتوره]]-Table11819202310303132353839404243444647[[#This Row],[الدفعات]]</f>
        <v>0</v>
      </c>
      <c r="O258" s="20"/>
      <c r="P258" s="48"/>
    </row>
    <row r="259" spans="9:16" ht="32.25" customHeight="1" x14ac:dyDescent="0.3">
      <c r="I259" s="1">
        <f>0.14*Table11819202310303132353839404243444647[[#This Row],[النولون]]</f>
        <v>0</v>
      </c>
      <c r="K25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59" s="1">
        <f>M258+Table11819202310303132353839404243444647[[#This Row],[اجمالي الفاتوره]]-Table11819202310303132353839404243444647[[#This Row],[الدفعات]]</f>
        <v>0</v>
      </c>
      <c r="O259" s="20"/>
      <c r="P259" s="48"/>
    </row>
    <row r="260" spans="9:16" ht="32.25" customHeight="1" x14ac:dyDescent="0.3">
      <c r="I260" s="1">
        <f>0.14*Table11819202310303132353839404243444647[[#This Row],[النولون]]</f>
        <v>0</v>
      </c>
      <c r="K26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60" s="1">
        <f>M259+Table11819202310303132353839404243444647[[#This Row],[اجمالي الفاتوره]]-Table11819202310303132353839404243444647[[#This Row],[الدفعات]]</f>
        <v>0</v>
      </c>
      <c r="O260" s="20"/>
      <c r="P260" s="48"/>
    </row>
    <row r="261" spans="9:16" ht="32.25" customHeight="1" x14ac:dyDescent="0.3">
      <c r="I261" s="1">
        <f>0.14*Table11819202310303132353839404243444647[[#This Row],[النولون]]</f>
        <v>0</v>
      </c>
      <c r="K26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61" s="1">
        <f>M260+Table11819202310303132353839404243444647[[#This Row],[اجمالي الفاتوره]]-Table11819202310303132353839404243444647[[#This Row],[الدفعات]]</f>
        <v>0</v>
      </c>
      <c r="O261" s="20"/>
      <c r="P261" s="48"/>
    </row>
    <row r="262" spans="9:16" ht="32.25" customHeight="1" x14ac:dyDescent="0.3">
      <c r="I262" s="1">
        <f>0.14*Table11819202310303132353839404243444647[[#This Row],[النولون]]</f>
        <v>0</v>
      </c>
      <c r="K26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62" s="1">
        <f>M261+Table11819202310303132353839404243444647[[#This Row],[اجمالي الفاتوره]]-Table11819202310303132353839404243444647[[#This Row],[الدفعات]]</f>
        <v>0</v>
      </c>
      <c r="O262" s="20"/>
      <c r="P262" s="48"/>
    </row>
    <row r="263" spans="9:16" ht="32.25" customHeight="1" x14ac:dyDescent="0.3">
      <c r="I263" s="1">
        <f>0.14*Table11819202310303132353839404243444647[[#This Row],[النولون]]</f>
        <v>0</v>
      </c>
      <c r="K26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63" s="1">
        <f>M262+Table11819202310303132353839404243444647[[#This Row],[اجمالي الفاتوره]]-Table11819202310303132353839404243444647[[#This Row],[الدفعات]]</f>
        <v>0</v>
      </c>
      <c r="O263" s="20"/>
      <c r="P263" s="48"/>
    </row>
    <row r="264" spans="9:16" ht="32.25" customHeight="1" x14ac:dyDescent="0.3">
      <c r="I264" s="1">
        <f>0.14*Table11819202310303132353839404243444647[[#This Row],[النولون]]</f>
        <v>0</v>
      </c>
      <c r="K26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64" s="1">
        <f>M263+Table11819202310303132353839404243444647[[#This Row],[اجمالي الفاتوره]]-Table11819202310303132353839404243444647[[#This Row],[الدفعات]]</f>
        <v>0</v>
      </c>
      <c r="O264" s="20"/>
      <c r="P264" s="48"/>
    </row>
    <row r="265" spans="9:16" ht="32.25" customHeight="1" x14ac:dyDescent="0.3">
      <c r="I265" s="1">
        <f>0.14*Table11819202310303132353839404243444647[[#This Row],[النولون]]</f>
        <v>0</v>
      </c>
      <c r="K26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65" s="1">
        <f>M264+Table11819202310303132353839404243444647[[#This Row],[اجمالي الفاتوره]]-Table11819202310303132353839404243444647[[#This Row],[الدفعات]]</f>
        <v>0</v>
      </c>
      <c r="O265" s="20"/>
      <c r="P265" s="48"/>
    </row>
    <row r="266" spans="9:16" ht="32.25" customHeight="1" x14ac:dyDescent="0.3">
      <c r="I266" s="1">
        <f>0.14*Table11819202310303132353839404243444647[[#This Row],[النولون]]</f>
        <v>0</v>
      </c>
      <c r="K26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66" s="1">
        <f>M265+Table11819202310303132353839404243444647[[#This Row],[اجمالي الفاتوره]]-Table11819202310303132353839404243444647[[#This Row],[الدفعات]]</f>
        <v>0</v>
      </c>
      <c r="O266" s="20"/>
      <c r="P266" s="48"/>
    </row>
    <row r="267" spans="9:16" ht="32.25" customHeight="1" x14ac:dyDescent="0.3">
      <c r="I267" s="1">
        <f>0.14*Table11819202310303132353839404243444647[[#This Row],[النولون]]</f>
        <v>0</v>
      </c>
      <c r="K26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67" s="1">
        <f>M266+Table11819202310303132353839404243444647[[#This Row],[اجمالي الفاتوره]]-Table11819202310303132353839404243444647[[#This Row],[الدفعات]]</f>
        <v>0</v>
      </c>
      <c r="O267" s="20"/>
      <c r="P267" s="48"/>
    </row>
    <row r="268" spans="9:16" ht="32.25" customHeight="1" x14ac:dyDescent="0.3">
      <c r="I268" s="1">
        <f>0.14*Table11819202310303132353839404243444647[[#This Row],[النولون]]</f>
        <v>0</v>
      </c>
      <c r="K26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68" s="1">
        <f>M267+Table11819202310303132353839404243444647[[#This Row],[اجمالي الفاتوره]]-Table11819202310303132353839404243444647[[#This Row],[الدفعات]]</f>
        <v>0</v>
      </c>
      <c r="O268" s="20"/>
      <c r="P268" s="48"/>
    </row>
    <row r="269" spans="9:16" ht="32.25" customHeight="1" x14ac:dyDescent="0.3">
      <c r="I269" s="1">
        <f>0.14*Table11819202310303132353839404243444647[[#This Row],[النولون]]</f>
        <v>0</v>
      </c>
      <c r="K26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69" s="1">
        <f>M268+Table11819202310303132353839404243444647[[#This Row],[اجمالي الفاتوره]]-Table11819202310303132353839404243444647[[#This Row],[الدفعات]]</f>
        <v>0</v>
      </c>
      <c r="O269" s="20"/>
      <c r="P269" s="48"/>
    </row>
    <row r="270" spans="9:16" ht="32.25" customHeight="1" x14ac:dyDescent="0.3">
      <c r="I270" s="1">
        <f>0.14*Table11819202310303132353839404243444647[[#This Row],[النولون]]</f>
        <v>0</v>
      </c>
      <c r="K27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70" s="1">
        <f>M269+Table11819202310303132353839404243444647[[#This Row],[اجمالي الفاتوره]]-Table11819202310303132353839404243444647[[#This Row],[الدفعات]]</f>
        <v>0</v>
      </c>
      <c r="O270" s="20"/>
      <c r="P270" s="48"/>
    </row>
    <row r="271" spans="9:16" ht="32.25" customHeight="1" x14ac:dyDescent="0.3">
      <c r="I271" s="1">
        <f>0.14*Table11819202310303132353839404243444647[[#This Row],[النولون]]</f>
        <v>0</v>
      </c>
      <c r="K27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71" s="1">
        <f>M270+Table11819202310303132353839404243444647[[#This Row],[اجمالي الفاتوره]]-Table11819202310303132353839404243444647[[#This Row],[الدفعات]]</f>
        <v>0</v>
      </c>
      <c r="O271" s="20"/>
      <c r="P271" s="48"/>
    </row>
    <row r="272" spans="9:16" ht="32.25" customHeight="1" x14ac:dyDescent="0.3">
      <c r="I272" s="1">
        <f>0.14*Table11819202310303132353839404243444647[[#This Row],[النولون]]</f>
        <v>0</v>
      </c>
      <c r="K27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72" s="1">
        <f>M271+Table11819202310303132353839404243444647[[#This Row],[اجمالي الفاتوره]]-Table11819202310303132353839404243444647[[#This Row],[الدفعات]]</f>
        <v>0</v>
      </c>
      <c r="O272" s="20"/>
      <c r="P272" s="48"/>
    </row>
    <row r="273" spans="9:16" ht="32.25" customHeight="1" x14ac:dyDescent="0.3">
      <c r="I273" s="1">
        <f>0.14*Table11819202310303132353839404243444647[[#This Row],[النولون]]</f>
        <v>0</v>
      </c>
      <c r="K27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73" s="1">
        <f>M272+Table11819202310303132353839404243444647[[#This Row],[اجمالي الفاتوره]]-Table11819202310303132353839404243444647[[#This Row],[الدفعات]]</f>
        <v>0</v>
      </c>
      <c r="O273" s="20"/>
      <c r="P273" s="48"/>
    </row>
    <row r="274" spans="9:16" ht="32.25" customHeight="1" x14ac:dyDescent="0.3">
      <c r="I274" s="1">
        <f>0.14*Table11819202310303132353839404243444647[[#This Row],[النولون]]</f>
        <v>0</v>
      </c>
      <c r="K27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74" s="1">
        <f>M273+Table11819202310303132353839404243444647[[#This Row],[اجمالي الفاتوره]]-Table11819202310303132353839404243444647[[#This Row],[الدفعات]]</f>
        <v>0</v>
      </c>
      <c r="O274" s="20"/>
      <c r="P274" s="48"/>
    </row>
    <row r="275" spans="9:16" ht="32.25" customHeight="1" x14ac:dyDescent="0.3">
      <c r="I275" s="1">
        <f>0.14*Table11819202310303132353839404243444647[[#This Row],[النولون]]</f>
        <v>0</v>
      </c>
      <c r="K27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75" s="1">
        <f>M274+Table11819202310303132353839404243444647[[#This Row],[اجمالي الفاتوره]]-Table11819202310303132353839404243444647[[#This Row],[الدفعات]]</f>
        <v>0</v>
      </c>
      <c r="O275" s="20"/>
      <c r="P275" s="48"/>
    </row>
    <row r="276" spans="9:16" ht="32.25" customHeight="1" x14ac:dyDescent="0.3">
      <c r="I276" s="1">
        <f>0.14*Table11819202310303132353839404243444647[[#This Row],[النولون]]</f>
        <v>0</v>
      </c>
      <c r="K27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76" s="1">
        <f>M275+Table11819202310303132353839404243444647[[#This Row],[اجمالي الفاتوره]]-Table11819202310303132353839404243444647[[#This Row],[الدفعات]]</f>
        <v>0</v>
      </c>
      <c r="O276" s="20"/>
      <c r="P276" s="48"/>
    </row>
    <row r="277" spans="9:16" ht="32.25" customHeight="1" x14ac:dyDescent="0.3">
      <c r="I277" s="1">
        <f>0.14*Table11819202310303132353839404243444647[[#This Row],[النولون]]</f>
        <v>0</v>
      </c>
      <c r="K27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77" s="1">
        <f>M276+Table11819202310303132353839404243444647[[#This Row],[اجمالي الفاتوره]]-Table11819202310303132353839404243444647[[#This Row],[الدفعات]]</f>
        <v>0</v>
      </c>
      <c r="O277" s="20"/>
      <c r="P277" s="48"/>
    </row>
    <row r="278" spans="9:16" ht="32.25" customHeight="1" x14ac:dyDescent="0.3">
      <c r="I278" s="1">
        <f>0.14*Table11819202310303132353839404243444647[[#This Row],[النولون]]</f>
        <v>0</v>
      </c>
      <c r="K27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78" s="1">
        <f>M277+Table11819202310303132353839404243444647[[#This Row],[اجمالي الفاتوره]]-Table11819202310303132353839404243444647[[#This Row],[الدفعات]]</f>
        <v>0</v>
      </c>
      <c r="O278" s="20"/>
      <c r="P278" s="48"/>
    </row>
    <row r="279" spans="9:16" ht="32.25" customHeight="1" x14ac:dyDescent="0.3">
      <c r="I279" s="1">
        <f>0.14*Table11819202310303132353839404243444647[[#This Row],[النولون]]</f>
        <v>0</v>
      </c>
      <c r="K27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79" s="1">
        <f>M278+Table11819202310303132353839404243444647[[#This Row],[اجمالي الفاتوره]]-Table11819202310303132353839404243444647[[#This Row],[الدفعات]]</f>
        <v>0</v>
      </c>
      <c r="O279" s="20"/>
      <c r="P279" s="48"/>
    </row>
    <row r="280" spans="9:16" ht="32.25" customHeight="1" x14ac:dyDescent="0.3">
      <c r="K28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80" s="1">
        <f>M279+Table11819202310303132353839404243444647[[#This Row],[اجمالي الفاتوره]]-Table11819202310303132353839404243444647[[#This Row],[الدفعات]]</f>
        <v>0</v>
      </c>
      <c r="O280" s="20"/>
      <c r="P280" s="48"/>
    </row>
    <row r="281" spans="9:16" ht="32.25" customHeight="1" x14ac:dyDescent="0.3">
      <c r="K28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81" s="1">
        <f>M280+Table11819202310303132353839404243444647[[#This Row],[اجمالي الفاتوره]]-Table11819202310303132353839404243444647[[#This Row],[الدفعات]]</f>
        <v>0</v>
      </c>
      <c r="O281" s="20"/>
      <c r="P281" s="48"/>
    </row>
    <row r="282" spans="9:16" ht="32.25" customHeight="1" x14ac:dyDescent="0.3">
      <c r="K28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82" s="1">
        <f>M281+Table11819202310303132353839404243444647[[#This Row],[اجمالي الفاتوره]]-Table11819202310303132353839404243444647[[#This Row],[الدفعات]]</f>
        <v>0</v>
      </c>
      <c r="O282" s="20"/>
      <c r="P282" s="48"/>
    </row>
    <row r="283" spans="9:16" ht="32.25" customHeight="1" x14ac:dyDescent="0.3">
      <c r="K28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83" s="1">
        <f>M282+Table11819202310303132353839404243444647[[#This Row],[اجمالي الفاتوره]]-Table11819202310303132353839404243444647[[#This Row],[الدفعات]]</f>
        <v>0</v>
      </c>
      <c r="O283" s="20"/>
      <c r="P283" s="48"/>
    </row>
    <row r="284" spans="9:16" ht="32.25" customHeight="1" x14ac:dyDescent="0.3">
      <c r="K28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84" s="1">
        <f>M283+Table11819202310303132353839404243444647[[#This Row],[اجمالي الفاتوره]]-Table11819202310303132353839404243444647[[#This Row],[الدفعات]]</f>
        <v>0</v>
      </c>
      <c r="O284" s="20"/>
      <c r="P284" s="48"/>
    </row>
    <row r="285" spans="9:16" ht="32.25" customHeight="1" x14ac:dyDescent="0.3">
      <c r="K28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85" s="1">
        <f>M284+Table11819202310303132353839404243444647[[#This Row],[اجمالي الفاتوره]]-Table11819202310303132353839404243444647[[#This Row],[الدفعات]]</f>
        <v>0</v>
      </c>
      <c r="O285" s="20"/>
      <c r="P285" s="48"/>
    </row>
    <row r="286" spans="9:16" ht="32.25" customHeight="1" x14ac:dyDescent="0.3">
      <c r="K28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86" s="1">
        <f>M285+Table11819202310303132353839404243444647[[#This Row],[اجمالي الفاتوره]]-Table11819202310303132353839404243444647[[#This Row],[الدفعات]]</f>
        <v>0</v>
      </c>
      <c r="O286" s="20"/>
      <c r="P286" s="48"/>
    </row>
    <row r="287" spans="9:16" ht="32.25" customHeight="1" x14ac:dyDescent="0.3">
      <c r="K28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87" s="1">
        <f>M286+Table11819202310303132353839404243444647[[#This Row],[اجمالي الفاتوره]]-Table11819202310303132353839404243444647[[#This Row],[الدفعات]]</f>
        <v>0</v>
      </c>
      <c r="O287" s="20"/>
      <c r="P287" s="48"/>
    </row>
    <row r="288" spans="9:16" ht="32.25" customHeight="1" x14ac:dyDescent="0.3">
      <c r="K28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88" s="1">
        <f>M287+Table11819202310303132353839404243444647[[#This Row],[اجمالي الفاتوره]]-Table11819202310303132353839404243444647[[#This Row],[الدفعات]]</f>
        <v>0</v>
      </c>
      <c r="O288" s="20"/>
      <c r="P288" s="48"/>
    </row>
    <row r="289" spans="11:16" ht="32.25" customHeight="1" x14ac:dyDescent="0.3">
      <c r="K28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89" s="1">
        <f>M288+Table11819202310303132353839404243444647[[#This Row],[اجمالي الفاتوره]]-Table11819202310303132353839404243444647[[#This Row],[الدفعات]]</f>
        <v>0</v>
      </c>
      <c r="O289" s="20"/>
      <c r="P289" s="48"/>
    </row>
    <row r="290" spans="11:16" ht="32.25" customHeight="1" x14ac:dyDescent="0.3">
      <c r="K29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90" s="1">
        <f>M289+Table11819202310303132353839404243444647[[#This Row],[اجمالي الفاتوره]]-Table11819202310303132353839404243444647[[#This Row],[الدفعات]]</f>
        <v>0</v>
      </c>
      <c r="O290" s="20"/>
      <c r="P290" s="48"/>
    </row>
    <row r="291" spans="11:16" ht="32.25" customHeight="1" x14ac:dyDescent="0.3">
      <c r="K29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91" s="1">
        <f>M290+Table11819202310303132353839404243444647[[#This Row],[اجمالي الفاتوره]]-Table11819202310303132353839404243444647[[#This Row],[الدفعات]]</f>
        <v>0</v>
      </c>
      <c r="O291" s="20"/>
      <c r="P291" s="48"/>
    </row>
    <row r="292" spans="11:16" ht="32.25" customHeight="1" x14ac:dyDescent="0.3">
      <c r="K29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92" s="1">
        <f>M291+Table11819202310303132353839404243444647[[#This Row],[اجمالي الفاتوره]]-Table11819202310303132353839404243444647[[#This Row],[الدفعات]]</f>
        <v>0</v>
      </c>
      <c r="O292" s="20"/>
      <c r="P292" s="48"/>
    </row>
    <row r="293" spans="11:16" ht="32.25" customHeight="1" x14ac:dyDescent="0.3">
      <c r="K29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93" s="1">
        <f>M292+Table11819202310303132353839404243444647[[#This Row],[اجمالي الفاتوره]]-Table11819202310303132353839404243444647[[#This Row],[الدفعات]]</f>
        <v>0</v>
      </c>
      <c r="O293" s="20"/>
      <c r="P293" s="48"/>
    </row>
    <row r="294" spans="11:16" ht="32.25" customHeight="1" x14ac:dyDescent="0.3">
      <c r="K29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94" s="1">
        <f>M293+Table11819202310303132353839404243444647[[#This Row],[اجمالي الفاتوره]]-Table11819202310303132353839404243444647[[#This Row],[الدفعات]]</f>
        <v>0</v>
      </c>
      <c r="O294" s="20"/>
      <c r="P294" s="48"/>
    </row>
    <row r="295" spans="11:16" ht="32.25" customHeight="1" x14ac:dyDescent="0.3">
      <c r="K29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95" s="1">
        <f>M294+Table11819202310303132353839404243444647[[#This Row],[اجمالي الفاتوره]]-Table11819202310303132353839404243444647[[#This Row],[الدفعات]]</f>
        <v>0</v>
      </c>
      <c r="O295" s="20"/>
      <c r="P295" s="48"/>
    </row>
    <row r="296" spans="11:16" ht="32.25" customHeight="1" x14ac:dyDescent="0.3">
      <c r="K29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96" s="1">
        <f>M295+Table11819202310303132353839404243444647[[#This Row],[اجمالي الفاتوره]]-Table11819202310303132353839404243444647[[#This Row],[الدفعات]]</f>
        <v>0</v>
      </c>
      <c r="O296" s="20"/>
      <c r="P296" s="48"/>
    </row>
    <row r="297" spans="11:16" ht="32.25" customHeight="1" x14ac:dyDescent="0.3">
      <c r="K29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97" s="1">
        <f>M296+Table11819202310303132353839404243444647[[#This Row],[اجمالي الفاتوره]]-Table11819202310303132353839404243444647[[#This Row],[الدفعات]]</f>
        <v>0</v>
      </c>
      <c r="O297" s="20"/>
      <c r="P297" s="48"/>
    </row>
    <row r="298" spans="11:16" ht="32.25" customHeight="1" x14ac:dyDescent="0.3">
      <c r="K29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98" s="1">
        <f>M297+Table11819202310303132353839404243444647[[#This Row],[اجمالي الفاتوره]]-Table11819202310303132353839404243444647[[#This Row],[الدفعات]]</f>
        <v>0</v>
      </c>
      <c r="O298" s="20"/>
      <c r="P298" s="48"/>
    </row>
    <row r="299" spans="11:16" ht="32.25" customHeight="1" x14ac:dyDescent="0.3">
      <c r="K29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299" s="1">
        <f>M298+Table11819202310303132353839404243444647[[#This Row],[اجمالي الفاتوره]]-Table11819202310303132353839404243444647[[#This Row],[الدفعات]]</f>
        <v>0</v>
      </c>
      <c r="O299" s="20"/>
      <c r="P299" s="48"/>
    </row>
    <row r="300" spans="11:16" ht="32.25" customHeight="1" x14ac:dyDescent="0.3">
      <c r="K30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00" s="1">
        <f>M299+Table11819202310303132353839404243444647[[#This Row],[اجمالي الفاتوره]]-Table11819202310303132353839404243444647[[#This Row],[الدفعات]]</f>
        <v>0</v>
      </c>
      <c r="O300" s="20"/>
      <c r="P300" s="48"/>
    </row>
    <row r="301" spans="11:16" ht="32.25" customHeight="1" x14ac:dyDescent="0.3">
      <c r="K30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01" s="1">
        <f>M300+Table11819202310303132353839404243444647[[#This Row],[اجمالي الفاتوره]]-Table11819202310303132353839404243444647[[#This Row],[الدفعات]]</f>
        <v>0</v>
      </c>
      <c r="O301" s="20"/>
      <c r="P301" s="48"/>
    </row>
    <row r="302" spans="11:16" ht="32.25" customHeight="1" x14ac:dyDescent="0.3">
      <c r="K30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02" s="1">
        <f>M301+Table11819202310303132353839404243444647[[#This Row],[اجمالي الفاتوره]]-Table11819202310303132353839404243444647[[#This Row],[الدفعات]]</f>
        <v>0</v>
      </c>
      <c r="O302" s="20"/>
      <c r="P302" s="48"/>
    </row>
    <row r="303" spans="11:16" ht="32.25" customHeight="1" x14ac:dyDescent="0.3">
      <c r="K30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03" s="1">
        <f>M302+Table11819202310303132353839404243444647[[#This Row],[اجمالي الفاتوره]]-Table11819202310303132353839404243444647[[#This Row],[الدفعات]]</f>
        <v>0</v>
      </c>
      <c r="O303" s="20"/>
      <c r="P303" s="48"/>
    </row>
    <row r="304" spans="11:16" ht="32.25" customHeight="1" x14ac:dyDescent="0.3">
      <c r="K30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04" s="1">
        <f>M303+Table11819202310303132353839404243444647[[#This Row],[اجمالي الفاتوره]]-Table11819202310303132353839404243444647[[#This Row],[الدفعات]]</f>
        <v>0</v>
      </c>
      <c r="O304" s="20"/>
      <c r="P304" s="48"/>
    </row>
    <row r="305" spans="11:16" ht="32.25" customHeight="1" x14ac:dyDescent="0.3">
      <c r="K30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05" s="1">
        <f>M304+Table11819202310303132353839404243444647[[#This Row],[اجمالي الفاتوره]]-Table11819202310303132353839404243444647[[#This Row],[الدفعات]]</f>
        <v>0</v>
      </c>
      <c r="O305" s="20"/>
      <c r="P305" s="48"/>
    </row>
    <row r="306" spans="11:16" ht="32.25" customHeight="1" x14ac:dyDescent="0.3">
      <c r="K30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06" s="1">
        <f>M305+Table11819202310303132353839404243444647[[#This Row],[اجمالي الفاتوره]]-Table11819202310303132353839404243444647[[#This Row],[الدفعات]]</f>
        <v>0</v>
      </c>
      <c r="O306" s="20"/>
      <c r="P306" s="48"/>
    </row>
    <row r="307" spans="11:16" ht="32.25" customHeight="1" x14ac:dyDescent="0.3">
      <c r="K30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07" s="1">
        <f>M306+Table11819202310303132353839404243444647[[#This Row],[اجمالي الفاتوره]]-Table11819202310303132353839404243444647[[#This Row],[الدفعات]]</f>
        <v>0</v>
      </c>
      <c r="O307" s="20"/>
      <c r="P307" s="48"/>
    </row>
    <row r="308" spans="11:16" ht="32.25" customHeight="1" x14ac:dyDescent="0.3">
      <c r="K30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08" s="1">
        <f>M307+Table11819202310303132353839404243444647[[#This Row],[اجمالي الفاتوره]]-Table11819202310303132353839404243444647[[#This Row],[الدفعات]]</f>
        <v>0</v>
      </c>
      <c r="O308" s="20"/>
      <c r="P308" s="48"/>
    </row>
    <row r="309" spans="11:16" ht="32.25" customHeight="1" x14ac:dyDescent="0.3">
      <c r="K30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09" s="1">
        <f>M308+Table11819202310303132353839404243444647[[#This Row],[اجمالي الفاتوره]]-Table11819202310303132353839404243444647[[#This Row],[الدفعات]]</f>
        <v>0</v>
      </c>
      <c r="O309" s="20"/>
      <c r="P309" s="48"/>
    </row>
    <row r="310" spans="11:16" ht="32.25" customHeight="1" x14ac:dyDescent="0.3">
      <c r="K31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10" s="1">
        <f>M309+Table11819202310303132353839404243444647[[#This Row],[اجمالي الفاتوره]]-Table11819202310303132353839404243444647[[#This Row],[الدفعات]]</f>
        <v>0</v>
      </c>
      <c r="O310" s="20"/>
      <c r="P310" s="48"/>
    </row>
    <row r="311" spans="11:16" ht="32.25" customHeight="1" x14ac:dyDescent="0.3">
      <c r="K31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11" s="1">
        <f>M310+Table11819202310303132353839404243444647[[#This Row],[اجمالي الفاتوره]]-Table11819202310303132353839404243444647[[#This Row],[الدفعات]]</f>
        <v>0</v>
      </c>
      <c r="O311" s="20"/>
      <c r="P311" s="48"/>
    </row>
    <row r="312" spans="11:16" ht="32.25" customHeight="1" x14ac:dyDescent="0.3">
      <c r="K31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12" s="1">
        <f>M311+Table11819202310303132353839404243444647[[#This Row],[اجمالي الفاتوره]]-Table11819202310303132353839404243444647[[#This Row],[الدفعات]]</f>
        <v>0</v>
      </c>
      <c r="O312" s="20"/>
      <c r="P312" s="48"/>
    </row>
    <row r="313" spans="11:16" ht="32.25" customHeight="1" x14ac:dyDescent="0.3">
      <c r="K31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13" s="1">
        <f>M312+Table11819202310303132353839404243444647[[#This Row],[اجمالي الفاتوره]]-Table11819202310303132353839404243444647[[#This Row],[الدفعات]]</f>
        <v>0</v>
      </c>
      <c r="O313" s="20"/>
      <c r="P313" s="48"/>
    </row>
    <row r="314" spans="11:16" ht="32.25" customHeight="1" x14ac:dyDescent="0.3">
      <c r="K31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14" s="1">
        <f>M313+Table11819202310303132353839404243444647[[#This Row],[اجمالي الفاتوره]]-Table11819202310303132353839404243444647[[#This Row],[الدفعات]]</f>
        <v>0</v>
      </c>
      <c r="O314" s="20"/>
      <c r="P314" s="48"/>
    </row>
    <row r="315" spans="11:16" ht="32.25" customHeight="1" x14ac:dyDescent="0.3">
      <c r="K31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15" s="1">
        <f>M314+Table11819202310303132353839404243444647[[#This Row],[اجمالي الفاتوره]]-Table11819202310303132353839404243444647[[#This Row],[الدفعات]]</f>
        <v>0</v>
      </c>
      <c r="O315" s="20"/>
      <c r="P315" s="48"/>
    </row>
    <row r="316" spans="11:16" ht="32.25" customHeight="1" x14ac:dyDescent="0.3">
      <c r="K31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16" s="1">
        <f>M315+Table11819202310303132353839404243444647[[#This Row],[اجمالي الفاتوره]]-Table11819202310303132353839404243444647[[#This Row],[الدفعات]]</f>
        <v>0</v>
      </c>
      <c r="O316" s="20"/>
      <c r="P316" s="48"/>
    </row>
    <row r="317" spans="11:16" ht="32.25" customHeight="1" x14ac:dyDescent="0.3">
      <c r="K31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17" s="1">
        <f>M316+Table11819202310303132353839404243444647[[#This Row],[اجمالي الفاتوره]]-Table11819202310303132353839404243444647[[#This Row],[الدفعات]]</f>
        <v>0</v>
      </c>
      <c r="O317" s="20"/>
      <c r="P317" s="48"/>
    </row>
    <row r="318" spans="11:16" ht="32.25" customHeight="1" x14ac:dyDescent="0.3">
      <c r="K31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18" s="1">
        <f>M317+Table11819202310303132353839404243444647[[#This Row],[اجمالي الفاتوره]]-Table11819202310303132353839404243444647[[#This Row],[الدفعات]]</f>
        <v>0</v>
      </c>
      <c r="O318" s="20"/>
      <c r="P318" s="48"/>
    </row>
    <row r="319" spans="11:16" ht="32.25" customHeight="1" x14ac:dyDescent="0.3">
      <c r="K31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19" s="1">
        <f>M318+Table11819202310303132353839404243444647[[#This Row],[اجمالي الفاتوره]]-Table11819202310303132353839404243444647[[#This Row],[الدفعات]]</f>
        <v>0</v>
      </c>
      <c r="O319" s="20"/>
      <c r="P319" s="48"/>
    </row>
    <row r="320" spans="11:16" ht="32.25" customHeight="1" x14ac:dyDescent="0.3">
      <c r="K32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20" s="1">
        <f>M319+Table11819202310303132353839404243444647[[#This Row],[اجمالي الفاتوره]]-Table11819202310303132353839404243444647[[#This Row],[الدفعات]]</f>
        <v>0</v>
      </c>
      <c r="O320" s="20"/>
      <c r="P320" s="48"/>
    </row>
    <row r="321" spans="11:16" ht="32.25" customHeight="1" x14ac:dyDescent="0.3">
      <c r="K32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21" s="1">
        <f>M320+Table11819202310303132353839404243444647[[#This Row],[اجمالي الفاتوره]]-Table11819202310303132353839404243444647[[#This Row],[الدفعات]]</f>
        <v>0</v>
      </c>
      <c r="O321" s="20"/>
      <c r="P321" s="48"/>
    </row>
    <row r="322" spans="11:16" ht="32.25" customHeight="1" x14ac:dyDescent="0.3">
      <c r="K32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22" s="1">
        <f>M321+Table11819202310303132353839404243444647[[#This Row],[اجمالي الفاتوره]]-Table11819202310303132353839404243444647[[#This Row],[الدفعات]]</f>
        <v>0</v>
      </c>
      <c r="O322" s="20"/>
      <c r="P322" s="48"/>
    </row>
    <row r="323" spans="11:16" ht="32.25" customHeight="1" x14ac:dyDescent="0.3">
      <c r="K32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23" s="1">
        <f>M322+Table11819202310303132353839404243444647[[#This Row],[اجمالي الفاتوره]]-Table11819202310303132353839404243444647[[#This Row],[الدفعات]]</f>
        <v>0</v>
      </c>
      <c r="O323" s="20"/>
      <c r="P323" s="48"/>
    </row>
    <row r="324" spans="11:16" ht="32.25" customHeight="1" x14ac:dyDescent="0.3">
      <c r="K32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24" s="1">
        <f>M323+Table11819202310303132353839404243444647[[#This Row],[اجمالي الفاتوره]]-Table11819202310303132353839404243444647[[#This Row],[الدفعات]]</f>
        <v>0</v>
      </c>
      <c r="O324" s="20"/>
      <c r="P324" s="48"/>
    </row>
    <row r="325" spans="11:16" ht="32.25" customHeight="1" x14ac:dyDescent="0.3">
      <c r="K32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25" s="1">
        <f>M324+Table11819202310303132353839404243444647[[#This Row],[اجمالي الفاتوره]]-Table11819202310303132353839404243444647[[#This Row],[الدفعات]]</f>
        <v>0</v>
      </c>
      <c r="O325" s="20"/>
      <c r="P325" s="48"/>
    </row>
    <row r="326" spans="11:16" ht="32.25" customHeight="1" x14ac:dyDescent="0.3">
      <c r="K32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26" s="1">
        <f>M325+Table11819202310303132353839404243444647[[#This Row],[اجمالي الفاتوره]]-Table11819202310303132353839404243444647[[#This Row],[الدفعات]]</f>
        <v>0</v>
      </c>
      <c r="O326" s="20"/>
      <c r="P326" s="48"/>
    </row>
    <row r="327" spans="11:16" ht="32.25" customHeight="1" x14ac:dyDescent="0.3">
      <c r="K32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27" s="1">
        <f>M326+Table11819202310303132353839404243444647[[#This Row],[اجمالي الفاتوره]]-Table11819202310303132353839404243444647[[#This Row],[الدفعات]]</f>
        <v>0</v>
      </c>
      <c r="O327" s="20"/>
      <c r="P327" s="48"/>
    </row>
    <row r="328" spans="11:16" ht="32.25" customHeight="1" x14ac:dyDescent="0.3">
      <c r="K32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28" s="1">
        <f>M327+Table11819202310303132353839404243444647[[#This Row],[اجمالي الفاتوره]]-Table11819202310303132353839404243444647[[#This Row],[الدفعات]]</f>
        <v>0</v>
      </c>
      <c r="O328" s="20"/>
      <c r="P328" s="48"/>
    </row>
    <row r="329" spans="11:16" ht="32.25" customHeight="1" x14ac:dyDescent="0.3">
      <c r="K32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29" s="1">
        <f>M328+Table11819202310303132353839404243444647[[#This Row],[اجمالي الفاتوره]]-Table11819202310303132353839404243444647[[#This Row],[الدفعات]]</f>
        <v>0</v>
      </c>
      <c r="O329" s="20"/>
      <c r="P329" s="48"/>
    </row>
    <row r="330" spans="11:16" ht="32.25" customHeight="1" x14ac:dyDescent="0.3">
      <c r="K33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30" s="1">
        <f>M329+Table11819202310303132353839404243444647[[#This Row],[اجمالي الفاتوره]]-Table11819202310303132353839404243444647[[#This Row],[الدفعات]]</f>
        <v>0</v>
      </c>
      <c r="O330" s="20"/>
      <c r="P330" s="48"/>
    </row>
    <row r="331" spans="11:16" ht="32.25" customHeight="1" x14ac:dyDescent="0.3">
      <c r="K33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31" s="1">
        <f>M330+Table11819202310303132353839404243444647[[#This Row],[اجمالي الفاتوره]]-Table11819202310303132353839404243444647[[#This Row],[الدفعات]]</f>
        <v>0</v>
      </c>
      <c r="O331" s="20"/>
      <c r="P331" s="48"/>
    </row>
    <row r="332" spans="11:16" ht="32.25" customHeight="1" x14ac:dyDescent="0.3">
      <c r="K33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32" s="1">
        <f>M331+Table11819202310303132353839404243444647[[#This Row],[اجمالي الفاتوره]]-Table11819202310303132353839404243444647[[#This Row],[الدفعات]]</f>
        <v>0</v>
      </c>
      <c r="O332" s="20"/>
      <c r="P332" s="48"/>
    </row>
    <row r="333" spans="11:16" ht="32.25" customHeight="1" x14ac:dyDescent="0.3">
      <c r="K33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33" s="1">
        <f>M332+Table11819202310303132353839404243444647[[#This Row],[اجمالي الفاتوره]]-Table11819202310303132353839404243444647[[#This Row],[الدفعات]]</f>
        <v>0</v>
      </c>
      <c r="O333" s="20"/>
      <c r="P333" s="48"/>
    </row>
    <row r="334" spans="11:16" ht="32.25" customHeight="1" x14ac:dyDescent="0.3">
      <c r="K33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34" s="1">
        <f>M333+Table11819202310303132353839404243444647[[#This Row],[اجمالي الفاتوره]]-Table11819202310303132353839404243444647[[#This Row],[الدفعات]]</f>
        <v>0</v>
      </c>
      <c r="O334" s="20"/>
      <c r="P334" s="48"/>
    </row>
    <row r="335" spans="11:16" ht="32.25" customHeight="1" x14ac:dyDescent="0.3">
      <c r="K33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35" s="1">
        <f>M334+Table11819202310303132353839404243444647[[#This Row],[اجمالي الفاتوره]]-Table11819202310303132353839404243444647[[#This Row],[الدفعات]]</f>
        <v>0</v>
      </c>
      <c r="O335" s="20"/>
      <c r="P335" s="48"/>
    </row>
    <row r="336" spans="11:16" ht="32.25" customHeight="1" x14ac:dyDescent="0.3">
      <c r="K33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36" s="1">
        <f>M335+Table11819202310303132353839404243444647[[#This Row],[اجمالي الفاتوره]]-Table11819202310303132353839404243444647[[#This Row],[الدفعات]]</f>
        <v>0</v>
      </c>
      <c r="O336" s="20"/>
      <c r="P336" s="48"/>
    </row>
    <row r="337" spans="9:16" ht="32.25" customHeight="1" x14ac:dyDescent="0.3">
      <c r="K33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37" s="1">
        <f>M336+Table11819202310303132353839404243444647[[#This Row],[اجمالي الفاتوره]]-Table11819202310303132353839404243444647[[#This Row],[الدفعات]]</f>
        <v>0</v>
      </c>
      <c r="O337" s="20"/>
      <c r="P337" s="48"/>
    </row>
    <row r="338" spans="9:16" ht="32.25" customHeight="1" x14ac:dyDescent="0.3">
      <c r="K338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38" s="1">
        <f>M337+Table11819202310303132353839404243444647[[#This Row],[اجمالي الفاتوره]]-Table11819202310303132353839404243444647[[#This Row],[الدفعات]]</f>
        <v>0</v>
      </c>
      <c r="O338" s="20"/>
      <c r="P338" s="48"/>
    </row>
    <row r="339" spans="9:16" ht="32.25" customHeight="1" x14ac:dyDescent="0.3">
      <c r="K339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39" s="1">
        <f>M338+Table11819202310303132353839404243444647[[#This Row],[اجمالي الفاتوره]]-Table11819202310303132353839404243444647[[#This Row],[الدفعات]]</f>
        <v>0</v>
      </c>
      <c r="O339" s="20"/>
      <c r="P339" s="48"/>
    </row>
    <row r="340" spans="9:16" ht="32.25" customHeight="1" x14ac:dyDescent="0.3">
      <c r="K340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40" s="1">
        <f>M339+Table11819202310303132353839404243444647[[#This Row],[اجمالي الفاتوره]]-Table11819202310303132353839404243444647[[#This Row],[الدفعات]]</f>
        <v>0</v>
      </c>
      <c r="O340" s="20"/>
      <c r="P340" s="48"/>
    </row>
    <row r="341" spans="9:16" ht="32.25" customHeight="1" x14ac:dyDescent="0.3">
      <c r="K341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41" s="1">
        <f>M340+Table11819202310303132353839404243444647[[#This Row],[اجمالي الفاتوره]]-Table11819202310303132353839404243444647[[#This Row],[الدفعات]]</f>
        <v>0</v>
      </c>
      <c r="O341" s="20"/>
      <c r="P341" s="48"/>
    </row>
    <row r="342" spans="9:16" ht="32.25" customHeight="1" x14ac:dyDescent="0.3">
      <c r="K342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42" s="1">
        <f>M341+Table11819202310303132353839404243444647[[#This Row],[اجمالي الفاتوره]]-Table11819202310303132353839404243444647[[#This Row],[الدفعات]]</f>
        <v>0</v>
      </c>
      <c r="O342" s="20"/>
      <c r="P342" s="48"/>
    </row>
    <row r="343" spans="9:16" ht="32.25" customHeight="1" x14ac:dyDescent="0.3">
      <c r="K343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43" s="1">
        <f>M342+Table11819202310303132353839404243444647[[#This Row],[اجمالي الفاتوره]]-Table11819202310303132353839404243444647[[#This Row],[الدفعات]]</f>
        <v>0</v>
      </c>
      <c r="O343" s="20"/>
      <c r="P343" s="48"/>
    </row>
    <row r="344" spans="9:16" ht="32.25" customHeight="1" x14ac:dyDescent="0.3">
      <c r="K344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44" s="1">
        <f>M343+Table11819202310303132353839404243444647[[#This Row],[اجمالي الفاتوره]]-Table11819202310303132353839404243444647[[#This Row],[الدفعات]]</f>
        <v>0</v>
      </c>
      <c r="O344" s="20"/>
      <c r="P344" s="48"/>
    </row>
    <row r="345" spans="9:16" ht="32.25" customHeight="1" x14ac:dyDescent="0.3">
      <c r="I345" s="1">
        <f>0.14*Table11819202310303132353839404243444647[[#This Row],[النولون]]</f>
        <v>0</v>
      </c>
      <c r="K345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45" s="1">
        <f>M344+Table11819202310303132353839404243444647[[#This Row],[اجمالي الفاتوره]]-Table11819202310303132353839404243444647[[#This Row],[الدفعات]]</f>
        <v>0</v>
      </c>
      <c r="O345" s="20"/>
      <c r="P345" s="48"/>
    </row>
    <row r="346" spans="9:16" ht="32.25" customHeight="1" x14ac:dyDescent="0.3">
      <c r="I346" s="1">
        <f>0.14*Table11819202310303132353839404243444647[[#This Row],[النولون]]</f>
        <v>0</v>
      </c>
      <c r="K346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46" s="1">
        <f>M345+Table11819202310303132353839404243444647[[#This Row],[اجمالي الفاتوره]]-Table11819202310303132353839404243444647[[#This Row],[الدفعات]]</f>
        <v>0</v>
      </c>
      <c r="O346" s="20"/>
      <c r="P346" s="48"/>
    </row>
    <row r="347" spans="9:16" ht="32.25" customHeight="1" x14ac:dyDescent="0.3">
      <c r="I347" s="1">
        <f>0.14*Table11819202310303132353839404243444647[[#This Row],[النولون]]</f>
        <v>0</v>
      </c>
      <c r="K347" s="1">
        <f>Table11819202310303132353839404243444647[[#This Row],[النولون]]+Table11819202310303132353839404243444647[[#This Row],[قيمة مضافة]]+Table11819202310303132353839404243444647[[#This Row],[الايصالات]]</f>
        <v>0</v>
      </c>
      <c r="M347" s="1">
        <f>M346+Table11819202310303132353839404243444647[[#This Row],[اجمالي الفاتوره]]-Table11819202310303132353839404243444647[[#This Row],[الدفعات]]</f>
        <v>0</v>
      </c>
      <c r="O347" s="20"/>
      <c r="P347" s="48"/>
    </row>
  </sheetData>
  <autoFilter ref="A1:A347" xr:uid="{00000000-0009-0000-0000-000019000000}"/>
  <phoneticPr fontId="2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345"/>
  <sheetViews>
    <sheetView rightToLeft="1" topLeftCell="A11" zoomScaleNormal="100" workbookViewId="0">
      <selection activeCell="J24" sqref="J24"/>
    </sheetView>
  </sheetViews>
  <sheetFormatPr defaultColWidth="9.109375" defaultRowHeight="24" customHeight="1" x14ac:dyDescent="0.3"/>
  <cols>
    <col min="1" max="1" width="6.21875" style="1" customWidth="1"/>
    <col min="2" max="2" width="11.21875" style="1" bestFit="1" customWidth="1"/>
    <col min="3" max="3" width="13.6640625" style="1" customWidth="1"/>
    <col min="4" max="4" width="11.21875" style="1" customWidth="1"/>
    <col min="5" max="5" width="14.88671875" style="1" customWidth="1"/>
    <col min="6" max="6" width="8.88671875" style="1" customWidth="1"/>
    <col min="7" max="7" width="15.33203125" style="1" customWidth="1"/>
    <col min="8" max="8" width="7.33203125" style="1" customWidth="1"/>
    <col min="9" max="9" width="8.6640625" style="1" customWidth="1"/>
    <col min="10" max="10" width="13.88671875" style="1" customWidth="1"/>
    <col min="11" max="11" width="13.6640625" style="1" customWidth="1"/>
    <col min="12" max="12" width="11.44140625" style="1" customWidth="1"/>
    <col min="13" max="13" width="15.21875" style="1" customWidth="1"/>
    <col min="14" max="14" width="11.33203125" style="1" customWidth="1"/>
    <col min="15" max="16384" width="9.109375" style="1"/>
  </cols>
  <sheetData>
    <row r="1" spans="1:15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8" t="s">
        <v>20</v>
      </c>
    </row>
    <row r="2" spans="1:15" ht="24" customHeight="1" x14ac:dyDescent="0.3">
      <c r="B2" s="2"/>
      <c r="K2" s="1">
        <f>Table1[[#This Row],[النولون]]+Table1[[#This Row],[الايصالات]]-Table1[[#This Row],[خصم أ ت ص]]+Table1[[#This Row],[قيمة مضافة]]</f>
        <v>0</v>
      </c>
      <c r="M2" s="1">
        <v>0</v>
      </c>
      <c r="O2" s="48"/>
    </row>
    <row r="3" spans="1:15" ht="24" customHeight="1" x14ac:dyDescent="0.3">
      <c r="A3" s="1">
        <v>13</v>
      </c>
      <c r="B3" s="2" t="s">
        <v>150</v>
      </c>
      <c r="C3" s="1" t="s">
        <v>174</v>
      </c>
      <c r="D3" s="1" t="s">
        <v>175</v>
      </c>
      <c r="E3" s="1">
        <v>15475029</v>
      </c>
      <c r="F3" s="1" t="s">
        <v>143</v>
      </c>
      <c r="G3" s="1">
        <v>18500</v>
      </c>
      <c r="J3" s="1">
        <f>114+850+1100+109.23+670.78+600+1079.12+25.1+5023</f>
        <v>9571.23</v>
      </c>
      <c r="K3" s="1">
        <f>Table1[[#This Row],[النولون]]+Table1[[#This Row],[الايصالات]]-Table1[[#This Row],[خصم أ ت ص]]+Table1[[#This Row],[قيمة مضافة]]</f>
        <v>28071.23</v>
      </c>
      <c r="M3" s="1">
        <f>M2+Table1[[#This Row],[اجمالي الفاتوره]]</f>
        <v>28071.23</v>
      </c>
      <c r="O3" s="48"/>
    </row>
    <row r="4" spans="1:15" ht="24" customHeight="1" x14ac:dyDescent="0.3">
      <c r="A4" s="1">
        <v>14</v>
      </c>
      <c r="B4" s="2" t="s">
        <v>265</v>
      </c>
      <c r="C4" s="1" t="s">
        <v>269</v>
      </c>
      <c r="D4" s="1" t="s">
        <v>175</v>
      </c>
      <c r="E4" s="1">
        <v>2600211</v>
      </c>
      <c r="F4" s="1" t="s">
        <v>143</v>
      </c>
      <c r="G4" s="1">
        <v>17500</v>
      </c>
      <c r="J4" s="1">
        <f>1100+858.57+105.79+150+1071.14+2563+25.1</f>
        <v>5873.6</v>
      </c>
      <c r="K4" s="1">
        <f>Table1[[#This Row],[النولون]]+Table1[[#This Row],[الايصالات]]-Table1[[#This Row],[خصم أ ت ص]]+Table1[[#This Row],[قيمة مضافة]]</f>
        <v>23373.599999999999</v>
      </c>
      <c r="M4" s="1">
        <f>M3+Table1[[#This Row],[اجمالي الفاتوره]]-Table1[[#This Row],[الدفعات]]</f>
        <v>51444.83</v>
      </c>
      <c r="O4" s="48"/>
    </row>
    <row r="5" spans="1:15" ht="24" customHeight="1" x14ac:dyDescent="0.3">
      <c r="A5" s="76"/>
      <c r="B5" s="73" t="s">
        <v>313</v>
      </c>
      <c r="C5" s="76"/>
      <c r="D5" s="76"/>
      <c r="E5" s="76"/>
      <c r="F5" s="76"/>
      <c r="G5" s="76"/>
      <c r="H5" s="76"/>
      <c r="I5" s="76"/>
      <c r="J5" s="76"/>
      <c r="K5" s="76">
        <f>Table1[[#This Row],[النولون]]+Table1[[#This Row],[الايصالات]]-Table1[[#This Row],[خصم أ ت ص]]+Table1[[#This Row],[قيمة مضافة]]</f>
        <v>0</v>
      </c>
      <c r="L5" s="76">
        <v>23373.599999999999</v>
      </c>
      <c r="M5" s="72">
        <f>M4+Table1[[#This Row],[اجمالي الفاتوره]]-Table1[[#This Row],[الدفعات]]</f>
        <v>28071.230000000003</v>
      </c>
      <c r="N5" s="48"/>
      <c r="O5" s="48"/>
    </row>
    <row r="6" spans="1:15" ht="24" customHeight="1" x14ac:dyDescent="0.3">
      <c r="A6" s="1">
        <v>15</v>
      </c>
      <c r="B6" s="2" t="s">
        <v>265</v>
      </c>
      <c r="C6" s="1" t="s">
        <v>270</v>
      </c>
      <c r="D6" s="1" t="s">
        <v>118</v>
      </c>
      <c r="E6" s="1" t="s">
        <v>271</v>
      </c>
      <c r="F6" s="1" t="s">
        <v>272</v>
      </c>
      <c r="G6" s="1">
        <f>15500*2</f>
        <v>31000</v>
      </c>
      <c r="J6" s="1">
        <f>850+1130+1130+631.06+105.79+472.32+102.51+50.2+8000+500+500+10045</f>
        <v>23516.880000000001</v>
      </c>
      <c r="K6" s="1">
        <f>Table1[[#This Row],[النولون]]+Table1[[#This Row],[الايصالات]]-Table1[[#This Row],[خصم أ ت ص]]+Table1[[#This Row],[قيمة مضافة]]</f>
        <v>54516.880000000005</v>
      </c>
      <c r="M6" s="1">
        <f>M5+Table1[[#This Row],[اجمالي الفاتوره]]-Table1[[#This Row],[الدفعات]]</f>
        <v>82588.110000000015</v>
      </c>
      <c r="O6" s="48"/>
    </row>
    <row r="7" spans="1:15" ht="24" customHeight="1" x14ac:dyDescent="0.3">
      <c r="A7" s="76"/>
      <c r="B7" s="73" t="s">
        <v>342</v>
      </c>
      <c r="C7" s="76"/>
      <c r="D7" s="76"/>
      <c r="E7" s="76"/>
      <c r="F7" s="76"/>
      <c r="G7" s="76"/>
      <c r="H7" s="76"/>
      <c r="I7" s="76"/>
      <c r="J7" s="76"/>
      <c r="K7" s="76">
        <f>Table1[[#This Row],[النولون]]+Table1[[#This Row],[الايصالات]]-Table1[[#This Row],[خصم أ ت ص]]+Table1[[#This Row],[قيمة مضافة]]</f>
        <v>0</v>
      </c>
      <c r="L7" s="76">
        <v>54516</v>
      </c>
      <c r="M7" s="72">
        <f>M6+Table1[[#This Row],[اجمالي الفاتوره]]-Table1[[#This Row],[الدفعات]]</f>
        <v>28072.110000000015</v>
      </c>
      <c r="N7" s="48"/>
      <c r="O7" s="48"/>
    </row>
    <row r="8" spans="1:15" ht="24" customHeight="1" x14ac:dyDescent="0.3">
      <c r="A8" s="1">
        <v>16</v>
      </c>
      <c r="B8" s="2" t="s">
        <v>265</v>
      </c>
      <c r="C8" s="1" t="s">
        <v>270</v>
      </c>
      <c r="D8" s="1" t="s">
        <v>118</v>
      </c>
      <c r="E8" s="1">
        <v>15730378</v>
      </c>
      <c r="F8" s="1" t="s">
        <v>143</v>
      </c>
      <c r="G8" s="1">
        <v>15500</v>
      </c>
      <c r="J8" s="1">
        <f>100+1130+68.08+469.5+600+1076.16+25.1+5296</f>
        <v>8764.84</v>
      </c>
      <c r="K8" s="1">
        <f>Table1[[#This Row],[النولون]]+Table1[[#This Row],[الايصالات]]-Table1[[#This Row],[خصم أ ت ص]]+Table1[[#This Row],[قيمة مضافة]]</f>
        <v>24264.84</v>
      </c>
      <c r="M8" s="1">
        <f>M7+Table1[[#This Row],[اجمالي الفاتوره]]-Table1[[#This Row],[الدفعات]]</f>
        <v>52336.950000000012</v>
      </c>
      <c r="O8" s="48"/>
    </row>
    <row r="9" spans="1:15" ht="24" customHeight="1" x14ac:dyDescent="0.3">
      <c r="A9" s="76"/>
      <c r="B9" s="73" t="s">
        <v>356</v>
      </c>
      <c r="C9" s="76"/>
      <c r="D9" s="76"/>
      <c r="E9" s="76"/>
      <c r="F9" s="76"/>
      <c r="G9" s="76"/>
      <c r="H9" s="76"/>
      <c r="I9" s="76"/>
      <c r="J9" s="76"/>
      <c r="K9" s="76">
        <f>Table1[[#This Row],[النولون]]+Table1[[#This Row],[الايصالات]]-Table1[[#This Row],[خصم أ ت ص]]+Table1[[#This Row],[قيمة مضافة]]</f>
        <v>0</v>
      </c>
      <c r="L9" s="76">
        <v>52336</v>
      </c>
      <c r="M9" s="72">
        <f>M8+Table1[[#This Row],[اجمالي الفاتوره]]-Table1[[#This Row],[الدفعات]]</f>
        <v>0.95000000001164153</v>
      </c>
      <c r="N9" s="48"/>
      <c r="O9" s="48"/>
    </row>
    <row r="10" spans="1:15" ht="24" customHeight="1" x14ac:dyDescent="0.3">
      <c r="A10" s="1">
        <v>17</v>
      </c>
      <c r="B10" s="2" t="s">
        <v>265</v>
      </c>
      <c r="C10" s="1" t="s">
        <v>273</v>
      </c>
      <c r="D10" s="1" t="s">
        <v>224</v>
      </c>
      <c r="E10" s="1" t="s">
        <v>274</v>
      </c>
      <c r="F10" s="1" t="s">
        <v>192</v>
      </c>
      <c r="G10" s="1">
        <f>14500*4</f>
        <v>58000</v>
      </c>
      <c r="J10" s="1">
        <f>200+1135*4+105.79*4+648.88+789.94+750.23*2+16000+100.35+20092</f>
        <v>44294.789999999994</v>
      </c>
      <c r="K10" s="1">
        <f>Table1[[#This Row],[النولون]]+Table1[[#This Row],[الايصالات]]-Table1[[#This Row],[خصم أ ت ص]]+Table1[[#This Row],[قيمة مضافة]]</f>
        <v>102294.79</v>
      </c>
      <c r="M10" s="1">
        <f>M9+Table1[[#This Row],[اجمالي الفاتوره]]-Table1[[#This Row],[الدفعات]]</f>
        <v>102295.74</v>
      </c>
      <c r="O10" s="48"/>
    </row>
    <row r="11" spans="1:15" ht="24" customHeight="1" x14ac:dyDescent="0.3">
      <c r="A11" s="76"/>
      <c r="B11" s="73" t="s">
        <v>377</v>
      </c>
      <c r="C11" s="76"/>
      <c r="D11" s="76"/>
      <c r="E11" s="76"/>
      <c r="F11" s="76"/>
      <c r="G11" s="76"/>
      <c r="H11" s="76"/>
      <c r="I11" s="76"/>
      <c r="J11" s="76"/>
      <c r="K11" s="76">
        <f>Table1[[#This Row],[النولون]]+Table1[[#This Row],[الايصالات]]-Table1[[#This Row],[خصم أ ت ص]]+Table1[[#This Row],[قيمة مضافة]]</f>
        <v>0</v>
      </c>
      <c r="L11" s="76">
        <v>50000</v>
      </c>
      <c r="M11" s="72">
        <f>M10+Table1[[#This Row],[اجمالي الفاتوره]]-Table1[[#This Row],[الدفعات]]</f>
        <v>52295.740000000005</v>
      </c>
      <c r="N11" s="48"/>
      <c r="O11" s="48"/>
    </row>
    <row r="12" spans="1:15" ht="24" customHeight="1" x14ac:dyDescent="0.3">
      <c r="A12" s="76"/>
      <c r="B12" s="73" t="s">
        <v>390</v>
      </c>
      <c r="C12" s="76"/>
      <c r="D12" s="76"/>
      <c r="E12" s="76"/>
      <c r="F12" s="76"/>
      <c r="G12" s="76"/>
      <c r="H12" s="76"/>
      <c r="I12" s="76"/>
      <c r="J12" s="76"/>
      <c r="K12" s="76">
        <f>Table1[[#This Row],[النولون]]+Table1[[#This Row],[الايصالات]]-Table1[[#This Row],[خصم أ ت ص]]+Table1[[#This Row],[قيمة مضافة]]</f>
        <v>0</v>
      </c>
      <c r="L12" s="76">
        <v>52294</v>
      </c>
      <c r="M12" s="72">
        <f>M11+Table1[[#This Row],[اجمالي الفاتوره]]-Table1[[#This Row],[الدفعات]]</f>
        <v>1.7400000000052387</v>
      </c>
      <c r="N12" s="48"/>
      <c r="O12" s="48"/>
    </row>
    <row r="13" spans="1:15" ht="24" customHeight="1" x14ac:dyDescent="0.3">
      <c r="A13" s="1">
        <v>18</v>
      </c>
      <c r="B13" s="2" t="s">
        <v>299</v>
      </c>
      <c r="C13" s="1" t="s">
        <v>273</v>
      </c>
      <c r="D13" s="1" t="s">
        <v>224</v>
      </c>
      <c r="E13" s="1" t="s">
        <v>302</v>
      </c>
      <c r="F13" s="1" t="s">
        <v>192</v>
      </c>
      <c r="G13" s="1">
        <f>13000*4</f>
        <v>52000</v>
      </c>
      <c r="J13" s="1">
        <f>100+810+1130+1135+475.15+472.32+348.15+365.21+45.15+164.31+45.15+45.15+1130+1135+16000+20090</f>
        <v>43490.59</v>
      </c>
      <c r="K13" s="1">
        <f>Table1[[#This Row],[النولون]]+Table1[[#This Row],[الايصالات]]-Table1[[#This Row],[خصم أ ت ص]]+Table1[[#This Row],[قيمة مضافة]]</f>
        <v>95490.59</v>
      </c>
      <c r="M13" s="1">
        <f>M12+Table1[[#This Row],[اجمالي الفاتوره]]-Table1[[#This Row],[الدفعات]]</f>
        <v>95492.33</v>
      </c>
      <c r="O13" s="48"/>
    </row>
    <row r="14" spans="1:15" ht="24" customHeight="1" x14ac:dyDescent="0.3">
      <c r="A14" s="76"/>
      <c r="B14" s="80">
        <v>46097</v>
      </c>
      <c r="C14" s="76"/>
      <c r="D14" s="76"/>
      <c r="E14" s="76"/>
      <c r="F14" s="76"/>
      <c r="G14" s="76"/>
      <c r="H14" s="76"/>
      <c r="I14" s="76"/>
      <c r="J14" s="76"/>
      <c r="K14" s="76"/>
      <c r="L14" s="76">
        <v>30000</v>
      </c>
      <c r="M14" s="72">
        <f>M13+Table1[[#This Row],[اجمالي الفاتوره]]-Table1[[#This Row],[الدفعات]]</f>
        <v>65492.33</v>
      </c>
      <c r="N14" s="48"/>
      <c r="O14" s="48"/>
    </row>
    <row r="15" spans="1:15" ht="24" customHeight="1" x14ac:dyDescent="0.3">
      <c r="A15" s="76"/>
      <c r="B15" s="80">
        <v>46116</v>
      </c>
      <c r="C15" s="76"/>
      <c r="D15" s="76"/>
      <c r="E15" s="76"/>
      <c r="F15" s="76"/>
      <c r="G15" s="76"/>
      <c r="H15" s="76"/>
      <c r="I15" s="76"/>
      <c r="J15" s="76"/>
      <c r="K15" s="76"/>
      <c r="L15" s="76">
        <v>65490</v>
      </c>
      <c r="M15" s="72">
        <f>M14+Table1[[#This Row],[اجمالي الفاتوره]]-Table1[[#This Row],[الدفعات]]</f>
        <v>2.3300000000017462</v>
      </c>
      <c r="N15" s="48"/>
      <c r="O15" s="48"/>
    </row>
    <row r="16" spans="1:15" ht="24" customHeight="1" x14ac:dyDescent="0.3">
      <c r="A16" s="1">
        <v>19</v>
      </c>
      <c r="B16" s="2" t="s">
        <v>315</v>
      </c>
      <c r="C16" s="1" t="s">
        <v>322</v>
      </c>
      <c r="D16" s="1" t="s">
        <v>224</v>
      </c>
      <c r="E16" s="1">
        <v>260100505</v>
      </c>
      <c r="F16" s="1" t="s">
        <v>290</v>
      </c>
      <c r="G16" s="1">
        <f>13000*5</f>
        <v>65000</v>
      </c>
      <c r="J16" s="1">
        <f>3500+200*2+100*2+810+1135*5+45.15+58.92*2+45.15*2+750.23+789.94+591.35+710.5+469.5+600+4298+5340.9+25385+125.4</f>
        <v>49899.11</v>
      </c>
      <c r="K16" s="1">
        <f>Table1[[#This Row],[النولون]]+Table1[[#This Row],[الايصالات]]-Table1[[#This Row],[خصم أ ت ص]]+Table1[[#This Row],[قيمة مضافة]]</f>
        <v>114899.11</v>
      </c>
      <c r="M16" s="1">
        <f>M15+Table1[[#This Row],[اجمالي الفاتوره]]-Table1[[#This Row],[الدفعات]]</f>
        <v>114901.44</v>
      </c>
      <c r="O16" s="48"/>
    </row>
    <row r="17" spans="1:15" ht="24" customHeight="1" x14ac:dyDescent="0.3">
      <c r="A17" s="76"/>
      <c r="B17" s="73" t="s">
        <v>457</v>
      </c>
      <c r="C17" s="76"/>
      <c r="D17" s="76"/>
      <c r="E17" s="76"/>
      <c r="F17" s="76"/>
      <c r="G17" s="76"/>
      <c r="H17" s="76"/>
      <c r="I17" s="76"/>
      <c r="J17" s="76"/>
      <c r="K17" s="76">
        <f>Table1[[#This Row],[النولون]]+Table1[[#This Row],[الايصالات]]-Table1[[#This Row],[خصم أ ت ص]]+Table1[[#This Row],[قيمة مضافة]]</f>
        <v>0</v>
      </c>
      <c r="L17" s="76">
        <v>50000</v>
      </c>
      <c r="M17" s="72">
        <f>M16+Table1[[#This Row],[اجمالي الفاتوره]]-Table1[[#This Row],[الدفعات]]</f>
        <v>64901.440000000002</v>
      </c>
      <c r="N17" s="48"/>
      <c r="O17" s="48"/>
    </row>
    <row r="18" spans="1:15" ht="24" customHeight="1" x14ac:dyDescent="0.3">
      <c r="A18" s="1">
        <v>20</v>
      </c>
      <c r="B18" s="2" t="s">
        <v>356</v>
      </c>
      <c r="C18" s="1" t="s">
        <v>273</v>
      </c>
      <c r="D18" s="1" t="s">
        <v>224</v>
      </c>
      <c r="E18" s="1">
        <v>8600349</v>
      </c>
      <c r="F18" s="1" t="s">
        <v>290</v>
      </c>
      <c r="G18" s="1">
        <f>14000*5</f>
        <v>70000</v>
      </c>
      <c r="J18" s="1">
        <f>850+1130*4+1130+105.79*4+747.25+475.15+789.94+45.15+789.94+480.8+5468.58+6250+8750+125.4+3500*2</f>
        <v>37845.370000000003</v>
      </c>
      <c r="K18" s="1">
        <f>Table1[[#This Row],[النولون]]+Table1[[#This Row],[الايصالات]]-Table1[[#This Row],[خصم أ ت ص]]+Table1[[#This Row],[قيمة مضافة]]</f>
        <v>107845.37</v>
      </c>
      <c r="M18" s="1">
        <f>M17+Table1[[#This Row],[اجمالي الفاتوره]]-Table1[[#This Row],[الدفعات]]</f>
        <v>172746.81</v>
      </c>
      <c r="O18" s="48"/>
    </row>
    <row r="19" spans="1:15" ht="24" customHeight="1" x14ac:dyDescent="0.3">
      <c r="A19" s="96"/>
      <c r="B19" s="98">
        <v>46133</v>
      </c>
      <c r="C19" s="96"/>
      <c r="D19" s="96"/>
      <c r="E19" s="96"/>
      <c r="F19" s="96"/>
      <c r="G19" s="96"/>
      <c r="H19" s="96"/>
      <c r="I19" s="96"/>
      <c r="J19" s="96"/>
      <c r="K19" s="96">
        <f>Table1[[#This Row],[النولون]]+Table1[[#This Row],[الايصالات]]-Table1[[#This Row],[خصم أ ت ص]]+Table1[[#This Row],[قيمة مضافة]]</f>
        <v>0</v>
      </c>
      <c r="L19" s="96">
        <v>100000</v>
      </c>
      <c r="M19" s="72">
        <f>M18+Table1[[#This Row],[اجمالي الفاتوره]]-Table1[[#This Row],[الدفعات]]</f>
        <v>72746.81</v>
      </c>
      <c r="N19" s="95"/>
      <c r="O19" s="95"/>
    </row>
    <row r="20" spans="1:15" ht="24" customHeight="1" x14ac:dyDescent="0.3">
      <c r="A20" s="96"/>
      <c r="B20" s="98">
        <v>46141</v>
      </c>
      <c r="C20" s="96"/>
      <c r="D20" s="96"/>
      <c r="E20" s="96"/>
      <c r="F20" s="96"/>
      <c r="G20" s="96"/>
      <c r="H20" s="96"/>
      <c r="I20" s="96"/>
      <c r="J20" s="96"/>
      <c r="K20" s="96">
        <f>Table1[[#This Row],[النولون]]+Table1[[#This Row],[الايصالات]]-Table1[[#This Row],[خصم أ ت ص]]+Table1[[#This Row],[قيمة مضافة]]</f>
        <v>0</v>
      </c>
      <c r="L20" s="96">
        <v>72744</v>
      </c>
      <c r="M20" s="72">
        <f>M19+Table1[[#This Row],[اجمالي الفاتوره]]-Table1[[#This Row],[الدفعات]]</f>
        <v>2.8099999999976717</v>
      </c>
      <c r="N20" s="95"/>
      <c r="O20" s="95"/>
    </row>
    <row r="21" spans="1:15" ht="24" customHeight="1" x14ac:dyDescent="0.3">
      <c r="A21" s="1">
        <v>21</v>
      </c>
      <c r="B21" s="2" t="s">
        <v>407</v>
      </c>
      <c r="C21" s="1" t="s">
        <v>410</v>
      </c>
      <c r="D21" s="1" t="s">
        <v>118</v>
      </c>
      <c r="E21" s="1" t="s">
        <v>411</v>
      </c>
      <c r="F21" s="1" t="s">
        <v>143</v>
      </c>
      <c r="G21" s="1">
        <v>17800</v>
      </c>
      <c r="J21" s="1">
        <f>327.5+105.79+1130+60+500+4000+25.1+5023</f>
        <v>11171.39</v>
      </c>
      <c r="K21" s="1">
        <f>Table1[[#This Row],[النولون]]+Table1[[#This Row],[الايصالات]]-Table1[[#This Row],[خصم أ ت ص]]+Table1[[#This Row],[قيمة مضافة]]</f>
        <v>28971.39</v>
      </c>
      <c r="M21" s="1">
        <f>M20+Table1[[#This Row],[اجمالي الفاتوره]]-Table1[[#This Row],[الدفعات]]</f>
        <v>28974.199999999997</v>
      </c>
      <c r="N21" s="1">
        <f>SUM(K:K)-SUM(L:L)+M2</f>
        <v>223.97999999998137</v>
      </c>
      <c r="O21" s="48">
        <f>SUM(H:H)</f>
        <v>0</v>
      </c>
    </row>
    <row r="22" spans="1:15" ht="24" customHeight="1" x14ac:dyDescent="0.3">
      <c r="A22" s="1">
        <v>22</v>
      </c>
      <c r="B22" s="2" t="s">
        <v>407</v>
      </c>
      <c r="C22" s="1" t="s">
        <v>322</v>
      </c>
      <c r="D22" s="1" t="s">
        <v>224</v>
      </c>
      <c r="E22" s="1">
        <v>1747</v>
      </c>
      <c r="F22" s="1" t="s">
        <v>272</v>
      </c>
      <c r="G22" s="1">
        <f>16000*2</f>
        <v>32000</v>
      </c>
      <c r="J22" s="1">
        <f>850+1130+1100+678.13+678.13+45.15*2+2300+50.2+2373.02</f>
        <v>9249.7800000000007</v>
      </c>
      <c r="K22" s="1">
        <f>Table1[[#This Row],[النولون]]+Table1[[#This Row],[الايصالات]]-Table1[[#This Row],[خصم أ ت ص]]+Table1[[#This Row],[قيمة مضافة]]</f>
        <v>41249.78</v>
      </c>
      <c r="M22" s="1">
        <f>M21+Table1[[#This Row],[اجمالي الفاتوره]]-Table1[[#This Row],[الدفعات]]</f>
        <v>70223.98</v>
      </c>
      <c r="O22" s="48"/>
    </row>
    <row r="23" spans="1:15" ht="24" customHeight="1" x14ac:dyDescent="0.3">
      <c r="A23" s="72"/>
      <c r="B23" s="73">
        <v>46156</v>
      </c>
      <c r="C23" s="72"/>
      <c r="D23" s="72"/>
      <c r="E23" s="72"/>
      <c r="F23" s="72"/>
      <c r="G23" s="72"/>
      <c r="H23" s="72"/>
      <c r="I23" s="72"/>
      <c r="J23" s="72"/>
      <c r="K23" s="72">
        <f>Table1[[#This Row],[النولون]]+Table1[[#This Row],[الايصالات]]-Table1[[#This Row],[خصم أ ت ص]]+Table1[[#This Row],[قيمة مضافة]]</f>
        <v>0</v>
      </c>
      <c r="L23" s="72">
        <v>70000</v>
      </c>
      <c r="M23" s="72">
        <f>M22+Table1[[#This Row],[اجمالي الفاتوره]]-Table1[[#This Row],[الدفعات]]</f>
        <v>223.97999999999593</v>
      </c>
      <c r="O23" s="48"/>
    </row>
    <row r="24" spans="1:15" ht="24" customHeight="1" x14ac:dyDescent="0.3">
      <c r="B24" s="2"/>
      <c r="K24" s="1">
        <f>Table1[[#This Row],[النولون]]+Table1[[#This Row],[الايصالات]]-Table1[[#This Row],[خصم أ ت ص]]+Table1[[#This Row],[قيمة مضافة]]</f>
        <v>0</v>
      </c>
      <c r="M24" s="1">
        <f>M23+Table1[[#This Row],[اجمالي الفاتوره]]-Table1[[#This Row],[الدفعات]]</f>
        <v>223.97999999999593</v>
      </c>
      <c r="O24" s="48"/>
    </row>
    <row r="25" spans="1:15" ht="24" customHeight="1" x14ac:dyDescent="0.3">
      <c r="B25" s="2"/>
      <c r="K25" s="1">
        <f>Table1[[#This Row],[النولون]]+Table1[[#This Row],[الايصالات]]-Table1[[#This Row],[خصم أ ت ص]]+Table1[[#This Row],[قيمة مضافة]]</f>
        <v>0</v>
      </c>
      <c r="M25" s="1">
        <f>M24+Table1[[#This Row],[اجمالي الفاتوره]]-Table1[[#This Row],[الدفعات]]</f>
        <v>223.97999999999593</v>
      </c>
      <c r="O25" s="48"/>
    </row>
    <row r="26" spans="1:15" ht="24" customHeight="1" x14ac:dyDescent="0.3">
      <c r="B26" s="2"/>
      <c r="K26" s="1">
        <f>Table1[[#This Row],[النولون]]+Table1[[#This Row],[الايصالات]]-Table1[[#This Row],[خصم أ ت ص]]+Table1[[#This Row],[قيمة مضافة]]</f>
        <v>0</v>
      </c>
      <c r="M26" s="1">
        <f>M25+Table1[[#This Row],[اجمالي الفاتوره]]-Table1[[#This Row],[الدفعات]]</f>
        <v>223.97999999999593</v>
      </c>
      <c r="O26" s="48"/>
    </row>
    <row r="27" spans="1:15" ht="24" customHeight="1" x14ac:dyDescent="0.3">
      <c r="B27" s="2"/>
      <c r="K27" s="1">
        <f>Table1[[#This Row],[النولون]]+Table1[[#This Row],[الايصالات]]-Table1[[#This Row],[خصم أ ت ص]]+Table1[[#This Row],[قيمة مضافة]]</f>
        <v>0</v>
      </c>
      <c r="M27" s="1">
        <f>M26+Table1[[#This Row],[اجمالي الفاتوره]]-Table1[[#This Row],[الدفعات]]</f>
        <v>223.97999999999593</v>
      </c>
      <c r="O27" s="48"/>
    </row>
    <row r="28" spans="1:15" ht="24" customHeight="1" x14ac:dyDescent="0.3">
      <c r="B28" s="2"/>
      <c r="K28" s="1">
        <f>Table1[[#This Row],[النولون]]+Table1[[#This Row],[الايصالات]]-Table1[[#This Row],[خصم أ ت ص]]+Table1[[#This Row],[قيمة مضافة]]</f>
        <v>0</v>
      </c>
      <c r="M28" s="1">
        <f>M27+Table1[[#This Row],[اجمالي الفاتوره]]-Table1[[#This Row],[الدفعات]]</f>
        <v>223.97999999999593</v>
      </c>
      <c r="O28" s="48"/>
    </row>
    <row r="29" spans="1:15" ht="24" customHeight="1" x14ac:dyDescent="0.3">
      <c r="B29" s="2"/>
      <c r="K29" s="1">
        <f>Table1[[#This Row],[النولون]]+Table1[[#This Row],[الايصالات]]-Table1[[#This Row],[خصم أ ت ص]]+Table1[[#This Row],[قيمة مضافة]]</f>
        <v>0</v>
      </c>
      <c r="M29" s="1">
        <f>M28+Table1[[#This Row],[اجمالي الفاتوره]]-Table1[[#This Row],[الدفعات]]</f>
        <v>223.97999999999593</v>
      </c>
      <c r="O29" s="48"/>
    </row>
    <row r="30" spans="1:15" ht="24" customHeight="1" x14ac:dyDescent="0.3">
      <c r="B30" s="2"/>
      <c r="K30" s="1">
        <f>Table1[[#This Row],[النولون]]+Table1[[#This Row],[الايصالات]]-Table1[[#This Row],[خصم أ ت ص]]+Table1[[#This Row],[قيمة مضافة]]</f>
        <v>0</v>
      </c>
      <c r="M30" s="1">
        <f>M29+Table1[[#This Row],[اجمالي الفاتوره]]-Table1[[#This Row],[الدفعات]]</f>
        <v>223.97999999999593</v>
      </c>
      <c r="O30" s="48"/>
    </row>
    <row r="31" spans="1:15" ht="24" customHeight="1" x14ac:dyDescent="0.3">
      <c r="B31" s="2"/>
      <c r="K31" s="1">
        <f>Table1[[#This Row],[النولون]]+Table1[[#This Row],[الايصالات]]-Table1[[#This Row],[خصم أ ت ص]]+Table1[[#This Row],[قيمة مضافة]]</f>
        <v>0</v>
      </c>
      <c r="M31" s="1">
        <f>M30+Table1[[#This Row],[اجمالي الفاتوره]]-Table1[[#This Row],[الدفعات]]</f>
        <v>223.97999999999593</v>
      </c>
      <c r="O31" s="48"/>
    </row>
    <row r="32" spans="1:15" ht="24" customHeight="1" x14ac:dyDescent="0.3">
      <c r="B32" s="2"/>
      <c r="K32" s="1">
        <f>Table1[[#This Row],[النولون]]+Table1[[#This Row],[الايصالات]]-Table1[[#This Row],[خصم أ ت ص]]+Table1[[#This Row],[قيمة مضافة]]</f>
        <v>0</v>
      </c>
      <c r="M32" s="1">
        <f>M31+Table1[[#This Row],[اجمالي الفاتوره]]-Table1[[#This Row],[الدفعات]]</f>
        <v>223.97999999999593</v>
      </c>
      <c r="O32" s="48"/>
    </row>
    <row r="33" spans="1:15" ht="24" customHeight="1" x14ac:dyDescent="0.3">
      <c r="B33" s="2"/>
      <c r="K33" s="1">
        <f>Table1[[#This Row],[النولون]]+Table1[[#This Row],[الايصالات]]-Table1[[#This Row],[خصم أ ت ص]]+Table1[[#This Row],[قيمة مضافة]]</f>
        <v>0</v>
      </c>
      <c r="M33" s="1">
        <f>M32+Table1[[#This Row],[اجمالي الفاتوره]]-Table1[[#This Row],[الدفعات]]</f>
        <v>223.97999999999593</v>
      </c>
      <c r="O33" s="48"/>
    </row>
    <row r="34" spans="1:15" ht="24" customHeight="1" x14ac:dyDescent="0.3">
      <c r="B34" s="2"/>
      <c r="K34" s="1">
        <f>Table1[[#This Row],[النولون]]+Table1[[#This Row],[الايصالات]]-Table1[[#This Row],[خصم أ ت ص]]+Table1[[#This Row],[قيمة مضافة]]</f>
        <v>0</v>
      </c>
      <c r="M34" s="1">
        <f>M33+Table1[[#This Row],[اجمالي الفاتوره]]-Table1[[#This Row],[الدفعات]]</f>
        <v>223.97999999999593</v>
      </c>
      <c r="O34" s="48"/>
    </row>
    <row r="35" spans="1:15" ht="24" customHeight="1" x14ac:dyDescent="0.3">
      <c r="B35" s="2"/>
      <c r="K35" s="1">
        <f>Table1[[#This Row],[النولون]]+Table1[[#This Row],[الايصالات]]-Table1[[#This Row],[خصم أ ت ص]]+Table1[[#This Row],[قيمة مضافة]]</f>
        <v>0</v>
      </c>
      <c r="M35" s="1">
        <f>M34+Table1[[#This Row],[اجمالي الفاتوره]]-Table1[[#This Row],[الدفعات]]</f>
        <v>223.97999999999593</v>
      </c>
      <c r="O35" s="48"/>
    </row>
    <row r="36" spans="1:15" ht="24" customHeight="1" x14ac:dyDescent="0.3">
      <c r="B36" s="2"/>
      <c r="K36" s="1">
        <f>Table1[[#This Row],[النولون]]+Table1[[#This Row],[الايصالات]]-Table1[[#This Row],[خصم أ ت ص]]+Table1[[#This Row],[قيمة مضافة]]</f>
        <v>0</v>
      </c>
      <c r="M36" s="1">
        <f>M35+Table1[[#This Row],[اجمالي الفاتوره]]-Table1[[#This Row],[الدفعات]]</f>
        <v>223.97999999999593</v>
      </c>
      <c r="O36" s="48"/>
    </row>
    <row r="37" spans="1:15" ht="24" customHeight="1" x14ac:dyDescent="0.3">
      <c r="A37" s="41"/>
      <c r="B37" s="45"/>
      <c r="C37" s="41"/>
      <c r="D37" s="41"/>
      <c r="E37" s="41"/>
      <c r="F37" s="41"/>
      <c r="G37" s="41"/>
      <c r="H37" s="41"/>
      <c r="I37" s="41"/>
      <c r="J37" s="41"/>
      <c r="K37" s="1">
        <f>Table1[[#This Row],[النولون]]+Table1[[#This Row],[الايصالات]]-Table1[[#This Row],[خصم أ ت ص]]+Table1[[#This Row],[قيمة مضافة]]</f>
        <v>0</v>
      </c>
      <c r="L37" s="41"/>
      <c r="M37" s="1">
        <f>M36+Table1[[#This Row],[اجمالي الفاتوره]]-Table1[[#This Row],[الدفعات]]</f>
        <v>223.97999999999593</v>
      </c>
      <c r="N37" s="41"/>
      <c r="O37" s="48"/>
    </row>
    <row r="38" spans="1:15" ht="24" customHeight="1" x14ac:dyDescent="0.3">
      <c r="B38" s="2"/>
      <c r="K38" s="1">
        <f>Table1[[#This Row],[النولون]]+Table1[[#This Row],[الايصالات]]-Table1[[#This Row],[خصم أ ت ص]]+Table1[[#This Row],[قيمة مضافة]]</f>
        <v>0</v>
      </c>
      <c r="M38" s="1">
        <f>M37+Table1[[#This Row],[اجمالي الفاتوره]]-Table1[[#This Row],[الدفعات]]</f>
        <v>223.97999999999593</v>
      </c>
      <c r="O38" s="48"/>
    </row>
    <row r="39" spans="1:15" ht="24" customHeight="1" x14ac:dyDescent="0.3">
      <c r="B39" s="2"/>
      <c r="K39" s="1">
        <f>Table1[[#This Row],[النولون]]+Table1[[#This Row],[الايصالات]]-Table1[[#This Row],[خصم أ ت ص]]+Table1[[#This Row],[قيمة مضافة]]</f>
        <v>0</v>
      </c>
      <c r="M39" s="1">
        <f>M38+Table1[[#This Row],[اجمالي الفاتوره]]-Table1[[#This Row],[الدفعات]]</f>
        <v>223.97999999999593</v>
      </c>
      <c r="O39" s="48"/>
    </row>
    <row r="40" spans="1:15" ht="24" customHeight="1" x14ac:dyDescent="0.3">
      <c r="A40" s="41"/>
      <c r="B40" s="45"/>
      <c r="C40" s="41"/>
      <c r="D40" s="41"/>
      <c r="E40" s="41"/>
      <c r="F40" s="41"/>
      <c r="G40" s="41"/>
      <c r="H40" s="41"/>
      <c r="I40" s="41"/>
      <c r="J40" s="41"/>
      <c r="K40" s="1">
        <f>Table1[[#This Row],[النولون]]+Table1[[#This Row],[الايصالات]]-Table1[[#This Row],[خصم أ ت ص]]+Table1[[#This Row],[قيمة مضافة]]</f>
        <v>0</v>
      </c>
      <c r="L40" s="41"/>
      <c r="M40" s="1">
        <f>M39+Table1[[#This Row],[اجمالي الفاتوره]]-Table1[[#This Row],[الدفعات]]</f>
        <v>223.97999999999593</v>
      </c>
      <c r="N40" s="41"/>
      <c r="O40" s="48"/>
    </row>
    <row r="41" spans="1:15" ht="24" customHeight="1" x14ac:dyDescent="0.3">
      <c r="B41" s="2"/>
      <c r="K41" s="1">
        <f>Table1[[#This Row],[النولون]]+Table1[[#This Row],[الايصالات]]-Table1[[#This Row],[خصم أ ت ص]]+Table1[[#This Row],[قيمة مضافة]]</f>
        <v>0</v>
      </c>
      <c r="M41" s="1">
        <f>M40+Table1[[#This Row],[اجمالي الفاتوره]]-Table1[[#This Row],[الدفعات]]</f>
        <v>223.97999999999593</v>
      </c>
      <c r="O41" s="48"/>
    </row>
    <row r="42" spans="1:15" ht="24" customHeight="1" x14ac:dyDescent="0.3">
      <c r="B42" s="2"/>
      <c r="K42" s="1">
        <f>Table1[[#This Row],[النولون]]+Table1[[#This Row],[الايصالات]]-Table1[[#This Row],[خصم أ ت ص]]+Table1[[#This Row],[قيمة مضافة]]</f>
        <v>0</v>
      </c>
      <c r="M42" s="1">
        <f>M41+Table1[[#This Row],[اجمالي الفاتوره]]-Table1[[#This Row],[الدفعات]]</f>
        <v>223.97999999999593</v>
      </c>
      <c r="O42" s="48"/>
    </row>
    <row r="43" spans="1:15" ht="24" customHeight="1" x14ac:dyDescent="0.3">
      <c r="B43" s="2"/>
      <c r="K43" s="1">
        <f>Table1[[#This Row],[النولون]]+Table1[[#This Row],[الايصالات]]-Table1[[#This Row],[خصم أ ت ص]]+Table1[[#This Row],[قيمة مضافة]]</f>
        <v>0</v>
      </c>
      <c r="M43" s="1">
        <f>M42+Table1[[#This Row],[اجمالي الفاتوره]]-Table1[[#This Row],[الدفعات]]</f>
        <v>223.97999999999593</v>
      </c>
      <c r="O43" s="48"/>
    </row>
    <row r="44" spans="1:15" ht="24" customHeight="1" x14ac:dyDescent="0.3">
      <c r="B44" s="2"/>
      <c r="K44" s="1">
        <f>Table1[[#This Row],[النولون]]+Table1[[#This Row],[الايصالات]]-Table1[[#This Row],[خصم أ ت ص]]+Table1[[#This Row],[قيمة مضافة]]</f>
        <v>0</v>
      </c>
      <c r="M44" s="1">
        <f>M43+Table1[[#This Row],[اجمالي الفاتوره]]-Table1[[#This Row],[الدفعات]]</f>
        <v>223.97999999999593</v>
      </c>
      <c r="O44" s="48"/>
    </row>
    <row r="45" spans="1:15" ht="24" customHeight="1" x14ac:dyDescent="0.3">
      <c r="B45" s="2"/>
      <c r="K45" s="1">
        <f>Table1[[#This Row],[النولون]]+Table1[[#This Row],[الايصالات]]-Table1[[#This Row],[خصم أ ت ص]]+Table1[[#This Row],[قيمة مضافة]]</f>
        <v>0</v>
      </c>
      <c r="M45" s="1">
        <f>M44+Table1[[#This Row],[اجمالي الفاتوره]]-Table1[[#This Row],[الدفعات]]</f>
        <v>223.97999999999593</v>
      </c>
      <c r="O45" s="48"/>
    </row>
    <row r="46" spans="1:15" ht="24" customHeight="1" x14ac:dyDescent="0.3">
      <c r="A46" s="48"/>
      <c r="B46" s="54"/>
      <c r="C46" s="54"/>
      <c r="D46" s="48"/>
      <c r="E46" s="48"/>
      <c r="F46" s="48"/>
      <c r="G46" s="48"/>
      <c r="H46" s="48"/>
      <c r="I46" s="48"/>
      <c r="J46" s="48"/>
      <c r="K46" s="1">
        <f>Table1[[#This Row],[النولون]]+Table1[[#This Row],[الايصالات]]-Table1[[#This Row],[خصم أ ت ص]]+Table1[[#This Row],[قيمة مضافة]]</f>
        <v>0</v>
      </c>
      <c r="L46" s="48"/>
      <c r="M46" s="1">
        <f>M45+Table1[[#This Row],[اجمالي الفاتوره]]-Table1[[#This Row],[الدفعات]]</f>
        <v>223.97999999999593</v>
      </c>
      <c r="N46" s="48"/>
      <c r="O46" s="48"/>
    </row>
    <row r="47" spans="1:15" ht="24" customHeight="1" x14ac:dyDescent="0.3">
      <c r="B47" s="2"/>
      <c r="K47" s="1">
        <f>Table1[[#This Row],[النولون]]+Table1[[#This Row],[الايصالات]]-Table1[[#This Row],[خصم أ ت ص]]+Table1[[#This Row],[قيمة مضافة]]</f>
        <v>0</v>
      </c>
      <c r="M47" s="1">
        <f>M46+Table1[[#This Row],[اجمالي الفاتوره]]-Table1[[#This Row],[الدفعات]]</f>
        <v>223.97999999999593</v>
      </c>
      <c r="O47" s="48"/>
    </row>
    <row r="48" spans="1:15" ht="24" customHeight="1" x14ac:dyDescent="0.3">
      <c r="B48" s="2"/>
      <c r="K48" s="1">
        <f>Table1[[#This Row],[النولون]]+Table1[[#This Row],[الايصالات]]-Table1[[#This Row],[خصم أ ت ص]]+Table1[[#This Row],[قيمة مضافة]]</f>
        <v>0</v>
      </c>
      <c r="M48" s="1">
        <f>M47+Table1[[#This Row],[اجمالي الفاتوره]]-Table1[[#This Row],[الدفعات]]</f>
        <v>223.97999999999593</v>
      </c>
      <c r="O48" s="48"/>
    </row>
    <row r="49" spans="2:15" ht="24" customHeight="1" x14ac:dyDescent="0.3">
      <c r="B49" s="2"/>
      <c r="K49" s="1">
        <f>Table1[[#This Row],[النولون]]+Table1[[#This Row],[الايصالات]]-Table1[[#This Row],[خصم أ ت ص]]+Table1[[#This Row],[قيمة مضافة]]</f>
        <v>0</v>
      </c>
      <c r="M49" s="1">
        <f>M48+Table1[[#This Row],[اجمالي الفاتوره]]-Table1[[#This Row],[الدفعات]]</f>
        <v>223.97999999999593</v>
      </c>
      <c r="O49" s="48"/>
    </row>
    <row r="50" spans="2:15" ht="24" customHeight="1" x14ac:dyDescent="0.3">
      <c r="C50" s="2"/>
      <c r="K50" s="1">
        <f>Table1[[#This Row],[النولون]]+Table1[[#This Row],[الايصالات]]-Table1[[#This Row],[خصم أ ت ص]]+Table1[[#This Row],[قيمة مضافة]]</f>
        <v>0</v>
      </c>
      <c r="M50" s="1">
        <f>M49+Table1[[#This Row],[اجمالي الفاتوره]]-Table1[[#This Row],[الدفعات]]</f>
        <v>223.97999999999593</v>
      </c>
      <c r="O50" s="48"/>
    </row>
    <row r="51" spans="2:15" ht="24" customHeight="1" x14ac:dyDescent="0.3">
      <c r="C51" s="2"/>
      <c r="K51" s="1">
        <f>Table1[[#This Row],[النولون]]+Table1[[#This Row],[الايصالات]]-Table1[[#This Row],[خصم أ ت ص]]+Table1[[#This Row],[قيمة مضافة]]</f>
        <v>0</v>
      </c>
      <c r="M51" s="1">
        <f>M50+Table1[[#This Row],[اجمالي الفاتوره]]-Table1[[#This Row],[الدفعات]]</f>
        <v>223.97999999999593</v>
      </c>
      <c r="O51" s="48"/>
    </row>
    <row r="52" spans="2:15" ht="24" customHeight="1" x14ac:dyDescent="0.3">
      <c r="B52" s="2"/>
      <c r="K52" s="1">
        <f>Table1[[#This Row],[النولون]]+Table1[[#This Row],[الايصالات]]-Table1[[#This Row],[خصم أ ت ص]]+Table1[[#This Row],[قيمة مضافة]]</f>
        <v>0</v>
      </c>
      <c r="M52" s="1">
        <f>M51+Table1[[#This Row],[اجمالي الفاتوره]]-Table1[[#This Row],[الدفعات]]</f>
        <v>223.97999999999593</v>
      </c>
      <c r="O52" s="48"/>
    </row>
    <row r="53" spans="2:15" ht="24" customHeight="1" x14ac:dyDescent="0.3">
      <c r="B53" s="2"/>
      <c r="K53" s="1">
        <f>Table1[[#This Row],[النولون]]+Table1[[#This Row],[الايصالات]]-Table1[[#This Row],[خصم أ ت ص]]+Table1[[#This Row],[قيمة مضافة]]</f>
        <v>0</v>
      </c>
      <c r="M53" s="1">
        <f>M52+Table1[[#This Row],[اجمالي الفاتوره]]-Table1[[#This Row],[الدفعات]]</f>
        <v>223.97999999999593</v>
      </c>
      <c r="O53" s="48"/>
    </row>
    <row r="54" spans="2:15" ht="24" customHeight="1" x14ac:dyDescent="0.3">
      <c r="K54" s="1">
        <f>Table1[[#This Row],[النولون]]+Table1[[#This Row],[الايصالات]]-Table1[[#This Row],[خصم أ ت ص]]+Table1[[#This Row],[قيمة مضافة]]</f>
        <v>0</v>
      </c>
      <c r="M54" s="1">
        <f>M53+Table1[[#This Row],[اجمالي الفاتوره]]-Table1[[#This Row],[الدفعات]]</f>
        <v>223.97999999999593</v>
      </c>
      <c r="O54" s="48"/>
    </row>
    <row r="55" spans="2:15" ht="24" customHeight="1" x14ac:dyDescent="0.3">
      <c r="K55" s="1">
        <f>Table1[[#This Row],[النولون]]+Table1[[#This Row],[الايصالات]]-Table1[[#This Row],[خصم أ ت ص]]+Table1[[#This Row],[قيمة مضافة]]</f>
        <v>0</v>
      </c>
      <c r="M55" s="1">
        <f>M54+Table1[[#This Row],[اجمالي الفاتوره]]-Table1[[#This Row],[الدفعات]]</f>
        <v>223.97999999999593</v>
      </c>
      <c r="O55" s="48"/>
    </row>
    <row r="56" spans="2:15" ht="24" customHeight="1" x14ac:dyDescent="0.3">
      <c r="K56" s="1">
        <f>Table1[[#This Row],[النولون]]+Table1[[#This Row],[الايصالات]]-Table1[[#This Row],[خصم أ ت ص]]+Table1[[#This Row],[قيمة مضافة]]</f>
        <v>0</v>
      </c>
      <c r="M56" s="1">
        <f>M55+Table1[[#This Row],[اجمالي الفاتوره]]-Table1[[#This Row],[الدفعات]]</f>
        <v>223.97999999999593</v>
      </c>
      <c r="O56" s="48"/>
    </row>
    <row r="57" spans="2:15" ht="24" customHeight="1" x14ac:dyDescent="0.3">
      <c r="K57" s="1">
        <f>Table1[[#This Row],[النولون]]+Table1[[#This Row],[الايصالات]]-Table1[[#This Row],[خصم أ ت ص]]+Table1[[#This Row],[قيمة مضافة]]</f>
        <v>0</v>
      </c>
      <c r="M57" s="1">
        <f>M56+Table1[[#This Row],[اجمالي الفاتوره]]-Table1[[#This Row],[الدفعات]]</f>
        <v>223.97999999999593</v>
      </c>
      <c r="O57" s="48"/>
    </row>
    <row r="58" spans="2:15" ht="24" customHeight="1" x14ac:dyDescent="0.3">
      <c r="K58" s="1">
        <f>Table1[[#This Row],[النولون]]+Table1[[#This Row],[الايصالات]]-Table1[[#This Row],[خصم أ ت ص]]+Table1[[#This Row],[قيمة مضافة]]</f>
        <v>0</v>
      </c>
      <c r="M58" s="1">
        <f>M57+Table1[[#This Row],[اجمالي الفاتوره]]-Table1[[#This Row],[الدفعات]]</f>
        <v>223.97999999999593</v>
      </c>
      <c r="O58" s="48"/>
    </row>
    <row r="59" spans="2:15" ht="24" customHeight="1" x14ac:dyDescent="0.3">
      <c r="K59" s="1">
        <f>Table1[[#This Row],[النولون]]+Table1[[#This Row],[الايصالات]]-Table1[[#This Row],[خصم أ ت ص]]+Table1[[#This Row],[قيمة مضافة]]</f>
        <v>0</v>
      </c>
      <c r="M59" s="1">
        <f>M58+Table1[[#This Row],[اجمالي الفاتوره]]-Table1[[#This Row],[الدفعات]]</f>
        <v>223.97999999999593</v>
      </c>
      <c r="O59" s="48"/>
    </row>
    <row r="60" spans="2:15" ht="24" customHeight="1" x14ac:dyDescent="0.3">
      <c r="K60" s="1">
        <f>Table1[[#This Row],[النولون]]+Table1[[#This Row],[الايصالات]]-Table1[[#This Row],[خصم أ ت ص]]+Table1[[#This Row],[قيمة مضافة]]</f>
        <v>0</v>
      </c>
      <c r="M60" s="1">
        <f>M59+Table1[[#This Row],[اجمالي الفاتوره]]-Table1[[#This Row],[الدفعات]]</f>
        <v>223.97999999999593</v>
      </c>
      <c r="O60" s="48"/>
    </row>
    <row r="61" spans="2:15" ht="24" customHeight="1" x14ac:dyDescent="0.3">
      <c r="K61" s="1">
        <f>Table1[[#This Row],[النولون]]+Table1[[#This Row],[الايصالات]]-Table1[[#This Row],[خصم أ ت ص]]+Table1[[#This Row],[قيمة مضافة]]</f>
        <v>0</v>
      </c>
      <c r="M61" s="1">
        <f>M60+Table1[[#This Row],[اجمالي الفاتوره]]-Table1[[#This Row],[الدفعات]]</f>
        <v>223.97999999999593</v>
      </c>
      <c r="O61" s="48"/>
    </row>
    <row r="62" spans="2:15" ht="24" customHeight="1" x14ac:dyDescent="0.3">
      <c r="K62" s="1">
        <f>Table1[[#This Row],[النولون]]+Table1[[#This Row],[الايصالات]]-Table1[[#This Row],[خصم أ ت ص]]+Table1[[#This Row],[قيمة مضافة]]</f>
        <v>0</v>
      </c>
      <c r="M62" s="1">
        <f>M61+Table1[[#This Row],[اجمالي الفاتوره]]-Table1[[#This Row],[الدفعات]]</f>
        <v>223.97999999999593</v>
      </c>
      <c r="O62" s="48"/>
    </row>
    <row r="63" spans="2:15" ht="24" customHeight="1" x14ac:dyDescent="0.3">
      <c r="K63" s="1">
        <f>Table1[[#This Row],[النولون]]+Table1[[#This Row],[الايصالات]]-Table1[[#This Row],[خصم أ ت ص]]+Table1[[#This Row],[قيمة مضافة]]</f>
        <v>0</v>
      </c>
      <c r="M63" s="1">
        <f>M62+Table1[[#This Row],[اجمالي الفاتوره]]-Table1[[#This Row],[الدفعات]]</f>
        <v>223.97999999999593</v>
      </c>
      <c r="O63" s="48"/>
    </row>
    <row r="64" spans="2:15" ht="24" customHeight="1" x14ac:dyDescent="0.3">
      <c r="K64" s="1">
        <f>Table1[[#This Row],[النولون]]+Table1[[#This Row],[الايصالات]]-Table1[[#This Row],[خصم أ ت ص]]+Table1[[#This Row],[قيمة مضافة]]</f>
        <v>0</v>
      </c>
      <c r="M64" s="1">
        <f>M63+Table1[[#This Row],[اجمالي الفاتوره]]-Table1[[#This Row],[الدفعات]]</f>
        <v>223.97999999999593</v>
      </c>
      <c r="O64" s="48"/>
    </row>
    <row r="65" spans="11:15" ht="24" customHeight="1" x14ac:dyDescent="0.3">
      <c r="K65" s="1">
        <f>Table1[[#This Row],[النولون]]+Table1[[#This Row],[الايصالات]]-Table1[[#This Row],[خصم أ ت ص]]+Table1[[#This Row],[قيمة مضافة]]</f>
        <v>0</v>
      </c>
      <c r="M65" s="1">
        <f>M64+Table1[[#This Row],[اجمالي الفاتوره]]-Table1[[#This Row],[الدفعات]]</f>
        <v>223.97999999999593</v>
      </c>
      <c r="O65" s="48"/>
    </row>
    <row r="66" spans="11:15" ht="24" customHeight="1" x14ac:dyDescent="0.3">
      <c r="K66" s="1">
        <f>Table1[[#This Row],[النولون]]+Table1[[#This Row],[الايصالات]]-Table1[[#This Row],[خصم أ ت ص]]+Table1[[#This Row],[قيمة مضافة]]</f>
        <v>0</v>
      </c>
      <c r="M66" s="1">
        <f>M65+Table1[[#This Row],[اجمالي الفاتوره]]-Table1[[#This Row],[الدفعات]]</f>
        <v>223.97999999999593</v>
      </c>
      <c r="O66" s="48"/>
    </row>
    <row r="67" spans="11:15" ht="24" customHeight="1" x14ac:dyDescent="0.3">
      <c r="K67" s="1">
        <f>Table1[[#This Row],[النولون]]+Table1[[#This Row],[الايصالات]]-Table1[[#This Row],[خصم أ ت ص]]+Table1[[#This Row],[قيمة مضافة]]</f>
        <v>0</v>
      </c>
      <c r="M67" s="1">
        <f>M66+Table1[[#This Row],[اجمالي الفاتوره]]-Table1[[#This Row],[الدفعات]]</f>
        <v>223.97999999999593</v>
      </c>
      <c r="O67" s="48"/>
    </row>
    <row r="68" spans="11:15" ht="24" customHeight="1" x14ac:dyDescent="0.3">
      <c r="K68" s="1">
        <f>Table1[[#This Row],[النولون]]+Table1[[#This Row],[الايصالات]]-Table1[[#This Row],[خصم أ ت ص]]+Table1[[#This Row],[قيمة مضافة]]</f>
        <v>0</v>
      </c>
      <c r="M68" s="1">
        <f>M67+Table1[[#This Row],[اجمالي الفاتوره]]-Table1[[#This Row],[الدفعات]]</f>
        <v>223.97999999999593</v>
      </c>
      <c r="O68" s="48"/>
    </row>
    <row r="69" spans="11:15" ht="24" customHeight="1" x14ac:dyDescent="0.3">
      <c r="K69" s="1">
        <f>Table1[[#This Row],[النولون]]+Table1[[#This Row],[الايصالات]]-Table1[[#This Row],[خصم أ ت ص]]+Table1[[#This Row],[قيمة مضافة]]</f>
        <v>0</v>
      </c>
      <c r="M69" s="1">
        <f>M68+Table1[[#This Row],[اجمالي الفاتوره]]-Table1[[#This Row],[الدفعات]]</f>
        <v>223.97999999999593</v>
      </c>
      <c r="O69" s="48"/>
    </row>
    <row r="70" spans="11:15" ht="24" customHeight="1" x14ac:dyDescent="0.3">
      <c r="K70" s="1">
        <f>Table1[[#This Row],[النولون]]+Table1[[#This Row],[الايصالات]]-Table1[[#This Row],[خصم أ ت ص]]+Table1[[#This Row],[قيمة مضافة]]</f>
        <v>0</v>
      </c>
      <c r="M70" s="1">
        <f>M69+Table1[[#This Row],[اجمالي الفاتوره]]-Table1[[#This Row],[الدفعات]]</f>
        <v>223.97999999999593</v>
      </c>
      <c r="O70" s="48"/>
    </row>
    <row r="71" spans="11:15" ht="24" customHeight="1" x14ac:dyDescent="0.3">
      <c r="K71" s="1">
        <f>Table1[[#This Row],[النولون]]+Table1[[#This Row],[الايصالات]]-Table1[[#This Row],[خصم أ ت ص]]+Table1[[#This Row],[قيمة مضافة]]</f>
        <v>0</v>
      </c>
      <c r="M71" s="1">
        <f>M70+Table1[[#This Row],[اجمالي الفاتوره]]-Table1[[#This Row],[الدفعات]]</f>
        <v>223.97999999999593</v>
      </c>
      <c r="O71" s="48"/>
    </row>
    <row r="72" spans="11:15" ht="24" customHeight="1" x14ac:dyDescent="0.3">
      <c r="K72" s="1">
        <f>Table1[[#This Row],[النولون]]+Table1[[#This Row],[الايصالات]]-Table1[[#This Row],[خصم أ ت ص]]+Table1[[#This Row],[قيمة مضافة]]</f>
        <v>0</v>
      </c>
      <c r="M72" s="1">
        <f>M71+Table1[[#This Row],[اجمالي الفاتوره]]-Table1[[#This Row],[الدفعات]]</f>
        <v>223.97999999999593</v>
      </c>
      <c r="O72" s="48"/>
    </row>
    <row r="73" spans="11:15" ht="24" customHeight="1" x14ac:dyDescent="0.3">
      <c r="K73" s="1">
        <f>Table1[[#This Row],[النولون]]+Table1[[#This Row],[الايصالات]]-Table1[[#This Row],[خصم أ ت ص]]+Table1[[#This Row],[قيمة مضافة]]</f>
        <v>0</v>
      </c>
      <c r="M73" s="1">
        <f>M72+Table1[[#This Row],[اجمالي الفاتوره]]-Table1[[#This Row],[الدفعات]]</f>
        <v>223.97999999999593</v>
      </c>
      <c r="O73" s="48"/>
    </row>
    <row r="74" spans="11:15" ht="24" customHeight="1" x14ac:dyDescent="0.3">
      <c r="K74" s="1">
        <f>Table1[[#This Row],[النولون]]+Table1[[#This Row],[الايصالات]]-Table1[[#This Row],[خصم أ ت ص]]+Table1[[#This Row],[قيمة مضافة]]</f>
        <v>0</v>
      </c>
      <c r="M74" s="1">
        <f>M73+Table1[[#This Row],[اجمالي الفاتوره]]-Table1[[#This Row],[الدفعات]]</f>
        <v>223.97999999999593</v>
      </c>
      <c r="O74" s="48"/>
    </row>
    <row r="75" spans="11:15" ht="24" customHeight="1" x14ac:dyDescent="0.3">
      <c r="K75" s="1">
        <f>Table1[[#This Row],[النولون]]+Table1[[#This Row],[الايصالات]]-Table1[[#This Row],[خصم أ ت ص]]+Table1[[#This Row],[قيمة مضافة]]</f>
        <v>0</v>
      </c>
      <c r="M75" s="1">
        <f>M74+Table1[[#This Row],[اجمالي الفاتوره]]-Table1[[#This Row],[الدفعات]]</f>
        <v>223.97999999999593</v>
      </c>
      <c r="O75" s="48"/>
    </row>
    <row r="76" spans="11:15" ht="24" customHeight="1" x14ac:dyDescent="0.3">
      <c r="K76" s="1">
        <f>Table1[[#This Row],[النولون]]+Table1[[#This Row],[الايصالات]]-Table1[[#This Row],[خصم أ ت ص]]+Table1[[#This Row],[قيمة مضافة]]</f>
        <v>0</v>
      </c>
      <c r="M76" s="1">
        <f>M75+Table1[[#This Row],[اجمالي الفاتوره]]-Table1[[#This Row],[الدفعات]]</f>
        <v>223.97999999999593</v>
      </c>
      <c r="O76" s="48"/>
    </row>
    <row r="77" spans="11:15" ht="24" customHeight="1" x14ac:dyDescent="0.3">
      <c r="K77" s="1">
        <f>Table1[[#This Row],[النولون]]+Table1[[#This Row],[الايصالات]]-Table1[[#This Row],[خصم أ ت ص]]+Table1[[#This Row],[قيمة مضافة]]</f>
        <v>0</v>
      </c>
      <c r="M77" s="1">
        <f>M76+Table1[[#This Row],[اجمالي الفاتوره]]-Table1[[#This Row],[الدفعات]]</f>
        <v>223.97999999999593</v>
      </c>
      <c r="O77" s="48"/>
    </row>
    <row r="78" spans="11:15" ht="24" customHeight="1" x14ac:dyDescent="0.3">
      <c r="K78" s="1">
        <f>Table1[[#This Row],[النولون]]+Table1[[#This Row],[الايصالات]]-Table1[[#This Row],[خصم أ ت ص]]+Table1[[#This Row],[قيمة مضافة]]</f>
        <v>0</v>
      </c>
      <c r="M78" s="1">
        <f>M77+Table1[[#This Row],[اجمالي الفاتوره]]-Table1[[#This Row],[الدفعات]]</f>
        <v>223.97999999999593</v>
      </c>
      <c r="O78" s="48"/>
    </row>
    <row r="79" spans="11:15" ht="24" customHeight="1" x14ac:dyDescent="0.3">
      <c r="K79" s="1">
        <f>Table1[[#This Row],[النولون]]+Table1[[#This Row],[الايصالات]]-Table1[[#This Row],[خصم أ ت ص]]+Table1[[#This Row],[قيمة مضافة]]</f>
        <v>0</v>
      </c>
      <c r="M79" s="1">
        <f>M78+Table1[[#This Row],[اجمالي الفاتوره]]-Table1[[#This Row],[الدفعات]]</f>
        <v>223.97999999999593</v>
      </c>
      <c r="O79" s="48"/>
    </row>
    <row r="80" spans="11:15" ht="24" customHeight="1" x14ac:dyDescent="0.3">
      <c r="K80" s="1">
        <f>Table1[[#This Row],[النولون]]+Table1[[#This Row],[الايصالات]]-Table1[[#This Row],[خصم أ ت ص]]+Table1[[#This Row],[قيمة مضافة]]</f>
        <v>0</v>
      </c>
      <c r="M80" s="1">
        <f>M79+Table1[[#This Row],[اجمالي الفاتوره]]-Table1[[#This Row],[الدفعات]]</f>
        <v>223.97999999999593</v>
      </c>
      <c r="O80" s="48"/>
    </row>
    <row r="81" spans="11:15" ht="24" customHeight="1" x14ac:dyDescent="0.3">
      <c r="K81" s="1">
        <f>Table1[[#This Row],[النولون]]+Table1[[#This Row],[الايصالات]]-Table1[[#This Row],[خصم أ ت ص]]+Table1[[#This Row],[قيمة مضافة]]</f>
        <v>0</v>
      </c>
      <c r="M81" s="1">
        <f>M80+Table1[[#This Row],[اجمالي الفاتوره]]-Table1[[#This Row],[الدفعات]]</f>
        <v>223.97999999999593</v>
      </c>
      <c r="O81" s="48"/>
    </row>
    <row r="82" spans="11:15" ht="24" customHeight="1" x14ac:dyDescent="0.3">
      <c r="K82" s="1">
        <f>Table1[[#This Row],[النولون]]+Table1[[#This Row],[الايصالات]]-Table1[[#This Row],[خصم أ ت ص]]+Table1[[#This Row],[قيمة مضافة]]</f>
        <v>0</v>
      </c>
      <c r="M82" s="1">
        <f>M81+Table1[[#This Row],[اجمالي الفاتوره]]-Table1[[#This Row],[الدفعات]]</f>
        <v>223.97999999999593</v>
      </c>
      <c r="O82" s="48"/>
    </row>
    <row r="83" spans="11:15" ht="24" customHeight="1" x14ac:dyDescent="0.3">
      <c r="K83" s="1">
        <f>Table1[[#This Row],[النولون]]+Table1[[#This Row],[الايصالات]]-Table1[[#This Row],[خصم أ ت ص]]+Table1[[#This Row],[قيمة مضافة]]</f>
        <v>0</v>
      </c>
      <c r="M83" s="1">
        <f>M82+Table1[[#This Row],[اجمالي الفاتوره]]-Table1[[#This Row],[الدفعات]]</f>
        <v>223.97999999999593</v>
      </c>
      <c r="O83" s="48"/>
    </row>
    <row r="84" spans="11:15" ht="24" customHeight="1" x14ac:dyDescent="0.3">
      <c r="K84" s="1">
        <f>Table1[[#This Row],[النولون]]+Table1[[#This Row],[الايصالات]]-Table1[[#This Row],[خصم أ ت ص]]+Table1[[#This Row],[قيمة مضافة]]</f>
        <v>0</v>
      </c>
      <c r="M84" s="1">
        <f>M83+Table1[[#This Row],[اجمالي الفاتوره]]-Table1[[#This Row],[الدفعات]]</f>
        <v>223.97999999999593</v>
      </c>
      <c r="O84" s="48"/>
    </row>
    <row r="85" spans="11:15" ht="24" customHeight="1" x14ac:dyDescent="0.3">
      <c r="K85" s="1">
        <f>Table1[[#This Row],[النولون]]+Table1[[#This Row],[الايصالات]]-Table1[[#This Row],[خصم أ ت ص]]+Table1[[#This Row],[قيمة مضافة]]</f>
        <v>0</v>
      </c>
      <c r="M85" s="1">
        <f>M84+Table1[[#This Row],[اجمالي الفاتوره]]-Table1[[#This Row],[الدفعات]]</f>
        <v>223.97999999999593</v>
      </c>
      <c r="O85" s="48"/>
    </row>
    <row r="86" spans="11:15" ht="24" customHeight="1" x14ac:dyDescent="0.3">
      <c r="K86" s="1">
        <f>Table1[[#This Row],[النولون]]+Table1[[#This Row],[الايصالات]]-Table1[[#This Row],[خصم أ ت ص]]+Table1[[#This Row],[قيمة مضافة]]</f>
        <v>0</v>
      </c>
      <c r="M86" s="1">
        <f>M85+Table1[[#This Row],[اجمالي الفاتوره]]-Table1[[#This Row],[الدفعات]]</f>
        <v>223.97999999999593</v>
      </c>
      <c r="O86" s="48"/>
    </row>
    <row r="87" spans="11:15" ht="24" customHeight="1" x14ac:dyDescent="0.3">
      <c r="K87" s="1">
        <f>Table1[[#This Row],[النولون]]+Table1[[#This Row],[الايصالات]]-Table1[[#This Row],[خصم أ ت ص]]+Table1[[#This Row],[قيمة مضافة]]</f>
        <v>0</v>
      </c>
      <c r="M87" s="1">
        <f>M86+Table1[[#This Row],[اجمالي الفاتوره]]-Table1[[#This Row],[الدفعات]]</f>
        <v>223.97999999999593</v>
      </c>
      <c r="O87" s="48"/>
    </row>
    <row r="88" spans="11:15" ht="24" customHeight="1" x14ac:dyDescent="0.3">
      <c r="K88" s="1">
        <f>Table1[[#This Row],[النولون]]+Table1[[#This Row],[الايصالات]]-Table1[[#This Row],[خصم أ ت ص]]+Table1[[#This Row],[قيمة مضافة]]</f>
        <v>0</v>
      </c>
      <c r="M88" s="1">
        <f>M87+Table1[[#This Row],[اجمالي الفاتوره]]-Table1[[#This Row],[الدفعات]]</f>
        <v>223.97999999999593</v>
      </c>
      <c r="O88" s="48"/>
    </row>
    <row r="89" spans="11:15" ht="24" customHeight="1" x14ac:dyDescent="0.3">
      <c r="K89" s="1">
        <f>Table1[[#This Row],[النولون]]+Table1[[#This Row],[الايصالات]]-Table1[[#This Row],[خصم أ ت ص]]+Table1[[#This Row],[قيمة مضافة]]</f>
        <v>0</v>
      </c>
      <c r="M89" s="1">
        <f>M88+Table1[[#This Row],[اجمالي الفاتوره]]-Table1[[#This Row],[الدفعات]]</f>
        <v>223.97999999999593</v>
      </c>
      <c r="O89" s="48"/>
    </row>
    <row r="90" spans="11:15" ht="24" customHeight="1" x14ac:dyDescent="0.3">
      <c r="K90" s="1">
        <f>Table1[[#This Row],[النولون]]+Table1[[#This Row],[الايصالات]]-Table1[[#This Row],[خصم أ ت ص]]+Table1[[#This Row],[قيمة مضافة]]</f>
        <v>0</v>
      </c>
      <c r="M90" s="1">
        <f>M89+Table1[[#This Row],[اجمالي الفاتوره]]-Table1[[#This Row],[الدفعات]]</f>
        <v>223.97999999999593</v>
      </c>
      <c r="O90" s="48"/>
    </row>
    <row r="91" spans="11:15" ht="24" customHeight="1" x14ac:dyDescent="0.3">
      <c r="K91" s="1">
        <f>Table1[[#This Row],[النولون]]+Table1[[#This Row],[الايصالات]]-Table1[[#This Row],[خصم أ ت ص]]+Table1[[#This Row],[قيمة مضافة]]</f>
        <v>0</v>
      </c>
      <c r="M91" s="1">
        <f>M90+Table1[[#This Row],[اجمالي الفاتوره]]-Table1[[#This Row],[الدفعات]]</f>
        <v>223.97999999999593</v>
      </c>
      <c r="O91" s="48"/>
    </row>
    <row r="92" spans="11:15" ht="24" customHeight="1" x14ac:dyDescent="0.3">
      <c r="K92" s="1">
        <f>Table1[[#This Row],[النولون]]+Table1[[#This Row],[الايصالات]]-Table1[[#This Row],[خصم أ ت ص]]+Table1[[#This Row],[قيمة مضافة]]</f>
        <v>0</v>
      </c>
      <c r="M92" s="1">
        <f>M91+Table1[[#This Row],[اجمالي الفاتوره]]-Table1[[#This Row],[الدفعات]]</f>
        <v>223.97999999999593</v>
      </c>
      <c r="O92" s="48"/>
    </row>
    <row r="93" spans="11:15" ht="24" customHeight="1" x14ac:dyDescent="0.3">
      <c r="K93" s="1">
        <f>Table1[[#This Row],[النولون]]+Table1[[#This Row],[الايصالات]]-Table1[[#This Row],[خصم أ ت ص]]+Table1[[#This Row],[قيمة مضافة]]</f>
        <v>0</v>
      </c>
      <c r="M93" s="1">
        <f>M92+Table1[[#This Row],[اجمالي الفاتوره]]-Table1[[#This Row],[الدفعات]]</f>
        <v>223.97999999999593</v>
      </c>
      <c r="O93" s="48"/>
    </row>
    <row r="94" spans="11:15" ht="24" customHeight="1" x14ac:dyDescent="0.3">
      <c r="K94" s="1">
        <f>Table1[[#This Row],[النولون]]+Table1[[#This Row],[الايصالات]]-Table1[[#This Row],[خصم أ ت ص]]+Table1[[#This Row],[قيمة مضافة]]</f>
        <v>0</v>
      </c>
      <c r="M94" s="1">
        <f>M93+Table1[[#This Row],[اجمالي الفاتوره]]-Table1[[#This Row],[الدفعات]]</f>
        <v>223.97999999999593</v>
      </c>
      <c r="O94" s="48"/>
    </row>
    <row r="95" spans="11:15" ht="24" customHeight="1" x14ac:dyDescent="0.3">
      <c r="K95" s="1">
        <f>Table1[[#This Row],[النولون]]+Table1[[#This Row],[الايصالات]]-Table1[[#This Row],[خصم أ ت ص]]+Table1[[#This Row],[قيمة مضافة]]</f>
        <v>0</v>
      </c>
      <c r="M95" s="1">
        <f>M94+Table1[[#This Row],[اجمالي الفاتوره]]-Table1[[#This Row],[الدفعات]]</f>
        <v>223.97999999999593</v>
      </c>
      <c r="O95" s="48"/>
    </row>
    <row r="96" spans="11:15" ht="24" customHeight="1" x14ac:dyDescent="0.3">
      <c r="K96" s="1">
        <f>Table1[[#This Row],[النولون]]+Table1[[#This Row],[الايصالات]]-Table1[[#This Row],[خصم أ ت ص]]+Table1[[#This Row],[قيمة مضافة]]</f>
        <v>0</v>
      </c>
      <c r="M96" s="1">
        <f>M95+Table1[[#This Row],[اجمالي الفاتوره]]-Table1[[#This Row],[الدفعات]]</f>
        <v>223.97999999999593</v>
      </c>
      <c r="O96" s="48"/>
    </row>
    <row r="97" spans="11:15" ht="24" customHeight="1" x14ac:dyDescent="0.3">
      <c r="K97" s="1">
        <f>Table1[[#This Row],[النولون]]+Table1[[#This Row],[الايصالات]]-Table1[[#This Row],[خصم أ ت ص]]+Table1[[#This Row],[قيمة مضافة]]</f>
        <v>0</v>
      </c>
      <c r="M97" s="1">
        <f>M96+Table1[[#This Row],[اجمالي الفاتوره]]-Table1[[#This Row],[الدفعات]]</f>
        <v>223.97999999999593</v>
      </c>
      <c r="O97" s="48"/>
    </row>
    <row r="98" spans="11:15" ht="24" customHeight="1" x14ac:dyDescent="0.3">
      <c r="K98" s="1">
        <f>Table1[[#This Row],[النولون]]+Table1[[#This Row],[الايصالات]]-Table1[[#This Row],[خصم أ ت ص]]+Table1[[#This Row],[قيمة مضافة]]</f>
        <v>0</v>
      </c>
      <c r="M98" s="1">
        <f>M97+Table1[[#This Row],[اجمالي الفاتوره]]-Table1[[#This Row],[الدفعات]]</f>
        <v>223.97999999999593</v>
      </c>
      <c r="O98" s="48"/>
    </row>
    <row r="99" spans="11:15" ht="24" customHeight="1" x14ac:dyDescent="0.3">
      <c r="K99" s="1">
        <f>Table1[[#This Row],[النولون]]+Table1[[#This Row],[الايصالات]]-Table1[[#This Row],[خصم أ ت ص]]+Table1[[#This Row],[قيمة مضافة]]</f>
        <v>0</v>
      </c>
      <c r="M99" s="1">
        <f>M98+Table1[[#This Row],[اجمالي الفاتوره]]-Table1[[#This Row],[الدفعات]]</f>
        <v>223.97999999999593</v>
      </c>
      <c r="O99" s="48"/>
    </row>
    <row r="100" spans="11:15" ht="24" customHeight="1" x14ac:dyDescent="0.3">
      <c r="K100" s="1">
        <f>Table1[[#This Row],[النولون]]+Table1[[#This Row],[الايصالات]]-Table1[[#This Row],[خصم أ ت ص]]+Table1[[#This Row],[قيمة مضافة]]</f>
        <v>0</v>
      </c>
      <c r="M100" s="1">
        <f>M99+Table1[[#This Row],[اجمالي الفاتوره]]-Table1[[#This Row],[الدفعات]]</f>
        <v>223.97999999999593</v>
      </c>
      <c r="O100" s="48"/>
    </row>
    <row r="101" spans="11:15" ht="24" customHeight="1" x14ac:dyDescent="0.3">
      <c r="K101" s="1">
        <f>Table1[[#This Row],[النولون]]+Table1[[#This Row],[الايصالات]]-Table1[[#This Row],[خصم أ ت ص]]+Table1[[#This Row],[قيمة مضافة]]</f>
        <v>0</v>
      </c>
      <c r="M101" s="1">
        <f>M100+Table1[[#This Row],[اجمالي الفاتوره]]-Table1[[#This Row],[الدفعات]]</f>
        <v>223.97999999999593</v>
      </c>
      <c r="O101" s="48"/>
    </row>
    <row r="102" spans="11:15" ht="24" customHeight="1" x14ac:dyDescent="0.3">
      <c r="K102" s="1">
        <f>Table1[[#This Row],[النولون]]+Table1[[#This Row],[الايصالات]]-Table1[[#This Row],[خصم أ ت ص]]+Table1[[#This Row],[قيمة مضافة]]</f>
        <v>0</v>
      </c>
      <c r="M102" s="1">
        <f>M101+Table1[[#This Row],[اجمالي الفاتوره]]-Table1[[#This Row],[الدفعات]]</f>
        <v>223.97999999999593</v>
      </c>
      <c r="O102" s="48"/>
    </row>
    <row r="103" spans="11:15" ht="24" customHeight="1" x14ac:dyDescent="0.3">
      <c r="K103" s="1">
        <f>Table1[[#This Row],[النولون]]+Table1[[#This Row],[الايصالات]]-Table1[[#This Row],[خصم أ ت ص]]+Table1[[#This Row],[قيمة مضافة]]</f>
        <v>0</v>
      </c>
      <c r="M103" s="1">
        <f>M102+Table1[[#This Row],[اجمالي الفاتوره]]-Table1[[#This Row],[الدفعات]]</f>
        <v>223.97999999999593</v>
      </c>
      <c r="O103" s="48"/>
    </row>
    <row r="104" spans="11:15" ht="24" customHeight="1" x14ac:dyDescent="0.3">
      <c r="K104" s="1">
        <f>Table1[[#This Row],[النولون]]+Table1[[#This Row],[الايصالات]]-Table1[[#This Row],[خصم أ ت ص]]+Table1[[#This Row],[قيمة مضافة]]</f>
        <v>0</v>
      </c>
      <c r="M104" s="1">
        <f>M103+Table1[[#This Row],[اجمالي الفاتوره]]-Table1[[#This Row],[الدفعات]]</f>
        <v>223.97999999999593</v>
      </c>
      <c r="O104" s="48"/>
    </row>
    <row r="105" spans="11:15" ht="24" customHeight="1" x14ac:dyDescent="0.3">
      <c r="K105" s="1">
        <f>Table1[[#This Row],[النولون]]+Table1[[#This Row],[الايصالات]]-Table1[[#This Row],[خصم أ ت ص]]+Table1[[#This Row],[قيمة مضافة]]</f>
        <v>0</v>
      </c>
      <c r="M105" s="1">
        <f>M104+Table1[[#This Row],[اجمالي الفاتوره]]-Table1[[#This Row],[الدفعات]]</f>
        <v>223.97999999999593</v>
      </c>
      <c r="O105" s="48"/>
    </row>
    <row r="106" spans="11:15" ht="24" customHeight="1" x14ac:dyDescent="0.3">
      <c r="K106" s="1">
        <f>Table1[[#This Row],[النولون]]+Table1[[#This Row],[الايصالات]]-Table1[[#This Row],[خصم أ ت ص]]+Table1[[#This Row],[قيمة مضافة]]</f>
        <v>0</v>
      </c>
      <c r="M106" s="1">
        <f>M105+Table1[[#This Row],[اجمالي الفاتوره]]-Table1[[#This Row],[الدفعات]]</f>
        <v>223.97999999999593</v>
      </c>
      <c r="O106" s="48"/>
    </row>
    <row r="107" spans="11:15" ht="24" customHeight="1" x14ac:dyDescent="0.3">
      <c r="K107" s="1">
        <f>Table1[[#This Row],[النولون]]+Table1[[#This Row],[الايصالات]]-Table1[[#This Row],[خصم أ ت ص]]+Table1[[#This Row],[قيمة مضافة]]</f>
        <v>0</v>
      </c>
      <c r="M107" s="1">
        <f>M106+Table1[[#This Row],[اجمالي الفاتوره]]-Table1[[#This Row],[الدفعات]]</f>
        <v>223.97999999999593</v>
      </c>
      <c r="O107" s="48"/>
    </row>
    <row r="108" spans="11:15" ht="24" customHeight="1" x14ac:dyDescent="0.3">
      <c r="K108" s="1">
        <f>Table1[[#This Row],[النولون]]+Table1[[#This Row],[الايصالات]]-Table1[[#This Row],[خصم أ ت ص]]+Table1[[#This Row],[قيمة مضافة]]</f>
        <v>0</v>
      </c>
      <c r="M108" s="1">
        <f>M107+Table1[[#This Row],[اجمالي الفاتوره]]-Table1[[#This Row],[الدفعات]]</f>
        <v>223.97999999999593</v>
      </c>
      <c r="O108" s="48"/>
    </row>
    <row r="109" spans="11:15" ht="24" customHeight="1" x14ac:dyDescent="0.3">
      <c r="K109" s="1">
        <f>Table1[[#This Row],[النولون]]+Table1[[#This Row],[الايصالات]]-Table1[[#This Row],[خصم أ ت ص]]+Table1[[#This Row],[قيمة مضافة]]</f>
        <v>0</v>
      </c>
      <c r="M109" s="1">
        <f>M108+Table1[[#This Row],[اجمالي الفاتوره]]-Table1[[#This Row],[الدفعات]]</f>
        <v>223.97999999999593</v>
      </c>
      <c r="O109" s="48"/>
    </row>
    <row r="110" spans="11:15" ht="24" customHeight="1" x14ac:dyDescent="0.3">
      <c r="K110" s="1">
        <f>Table1[[#This Row],[النولون]]+Table1[[#This Row],[الايصالات]]-Table1[[#This Row],[خصم أ ت ص]]+Table1[[#This Row],[قيمة مضافة]]</f>
        <v>0</v>
      </c>
      <c r="M110" s="1">
        <f>M109+Table1[[#This Row],[اجمالي الفاتوره]]-Table1[[#This Row],[الدفعات]]</f>
        <v>223.97999999999593</v>
      </c>
      <c r="O110" s="48"/>
    </row>
    <row r="111" spans="11:15" ht="24" customHeight="1" x14ac:dyDescent="0.3">
      <c r="K111" s="1">
        <f>Table1[[#This Row],[النولون]]+Table1[[#This Row],[الايصالات]]-Table1[[#This Row],[خصم أ ت ص]]+Table1[[#This Row],[قيمة مضافة]]</f>
        <v>0</v>
      </c>
      <c r="M111" s="1">
        <f>M110+Table1[[#This Row],[اجمالي الفاتوره]]-Table1[[#This Row],[الدفعات]]</f>
        <v>223.97999999999593</v>
      </c>
      <c r="O111" s="48"/>
    </row>
    <row r="112" spans="11:15" ht="24" customHeight="1" x14ac:dyDescent="0.3">
      <c r="K112" s="1">
        <f>Table1[[#This Row],[النولون]]+Table1[[#This Row],[الايصالات]]-Table1[[#This Row],[خصم أ ت ص]]+Table1[[#This Row],[قيمة مضافة]]</f>
        <v>0</v>
      </c>
      <c r="M112" s="1">
        <f>M111+Table1[[#This Row],[اجمالي الفاتوره]]-Table1[[#This Row],[الدفعات]]</f>
        <v>223.97999999999593</v>
      </c>
      <c r="O112" s="48"/>
    </row>
    <row r="113" spans="11:15" ht="24" customHeight="1" x14ac:dyDescent="0.3">
      <c r="K113" s="1">
        <f>Table1[[#This Row],[النولون]]+Table1[[#This Row],[الايصالات]]-Table1[[#This Row],[خصم أ ت ص]]+Table1[[#This Row],[قيمة مضافة]]</f>
        <v>0</v>
      </c>
      <c r="M113" s="1">
        <f>M112+Table1[[#This Row],[اجمالي الفاتوره]]-Table1[[#This Row],[الدفعات]]</f>
        <v>223.97999999999593</v>
      </c>
      <c r="O113" s="48"/>
    </row>
    <row r="114" spans="11:15" ht="24" customHeight="1" x14ac:dyDescent="0.3">
      <c r="K114" s="1">
        <f>Table1[[#This Row],[النولون]]+Table1[[#This Row],[الايصالات]]-Table1[[#This Row],[خصم أ ت ص]]+Table1[[#This Row],[قيمة مضافة]]</f>
        <v>0</v>
      </c>
      <c r="M114" s="1">
        <f>M113+Table1[[#This Row],[اجمالي الفاتوره]]-Table1[[#This Row],[الدفعات]]</f>
        <v>223.97999999999593</v>
      </c>
      <c r="O114" s="48"/>
    </row>
    <row r="115" spans="11:15" ht="24" customHeight="1" x14ac:dyDescent="0.3">
      <c r="K115" s="1">
        <f>Table1[[#This Row],[النولون]]+Table1[[#This Row],[الايصالات]]-Table1[[#This Row],[خصم أ ت ص]]+Table1[[#This Row],[قيمة مضافة]]</f>
        <v>0</v>
      </c>
      <c r="M115" s="1">
        <f>M114+Table1[[#This Row],[اجمالي الفاتوره]]-Table1[[#This Row],[الدفعات]]</f>
        <v>223.97999999999593</v>
      </c>
      <c r="O115" s="48"/>
    </row>
    <row r="116" spans="11:15" ht="24" customHeight="1" x14ac:dyDescent="0.3">
      <c r="K116" s="1">
        <f>Table1[[#This Row],[النولون]]+Table1[[#This Row],[الايصالات]]-Table1[[#This Row],[خصم أ ت ص]]+Table1[[#This Row],[قيمة مضافة]]</f>
        <v>0</v>
      </c>
      <c r="M116" s="1">
        <f>M115+Table1[[#This Row],[اجمالي الفاتوره]]-Table1[[#This Row],[الدفعات]]</f>
        <v>223.97999999999593</v>
      </c>
      <c r="O116" s="48"/>
    </row>
    <row r="117" spans="11:15" ht="24" customHeight="1" x14ac:dyDescent="0.3">
      <c r="K117" s="1">
        <f>Table1[[#This Row],[النولون]]+Table1[[#This Row],[الايصالات]]-Table1[[#This Row],[خصم أ ت ص]]+Table1[[#This Row],[قيمة مضافة]]</f>
        <v>0</v>
      </c>
      <c r="M117" s="1">
        <f>M116+Table1[[#This Row],[اجمالي الفاتوره]]-Table1[[#This Row],[الدفعات]]</f>
        <v>223.97999999999593</v>
      </c>
      <c r="O117" s="48"/>
    </row>
    <row r="118" spans="11:15" ht="24" customHeight="1" x14ac:dyDescent="0.3">
      <c r="K118" s="1">
        <f>Table1[[#This Row],[النولون]]+Table1[[#This Row],[الايصالات]]-Table1[[#This Row],[خصم أ ت ص]]+Table1[[#This Row],[قيمة مضافة]]</f>
        <v>0</v>
      </c>
      <c r="M118" s="1">
        <f>M117+Table1[[#This Row],[اجمالي الفاتوره]]-Table1[[#This Row],[الدفعات]]</f>
        <v>223.97999999999593</v>
      </c>
      <c r="O118" s="48"/>
    </row>
    <row r="119" spans="11:15" ht="24" customHeight="1" x14ac:dyDescent="0.3">
      <c r="K119" s="1">
        <f>Table1[[#This Row],[النولون]]+Table1[[#This Row],[الايصالات]]-Table1[[#This Row],[خصم أ ت ص]]+Table1[[#This Row],[قيمة مضافة]]</f>
        <v>0</v>
      </c>
      <c r="M119" s="1">
        <f>M118+Table1[[#This Row],[اجمالي الفاتوره]]-Table1[[#This Row],[الدفعات]]</f>
        <v>223.97999999999593</v>
      </c>
      <c r="O119" s="48"/>
    </row>
    <row r="120" spans="11:15" ht="24" customHeight="1" x14ac:dyDescent="0.3">
      <c r="K120" s="1">
        <f>Table1[[#This Row],[النولون]]+Table1[[#This Row],[الايصالات]]-Table1[[#This Row],[خصم أ ت ص]]+Table1[[#This Row],[قيمة مضافة]]</f>
        <v>0</v>
      </c>
      <c r="M120" s="1">
        <f>M119+Table1[[#This Row],[اجمالي الفاتوره]]-Table1[[#This Row],[الدفعات]]</f>
        <v>223.97999999999593</v>
      </c>
      <c r="O120" s="48"/>
    </row>
    <row r="121" spans="11:15" ht="24" customHeight="1" x14ac:dyDescent="0.3">
      <c r="K121" s="1">
        <f>Table1[[#This Row],[النولون]]+Table1[[#This Row],[الايصالات]]-Table1[[#This Row],[خصم أ ت ص]]+Table1[[#This Row],[قيمة مضافة]]</f>
        <v>0</v>
      </c>
      <c r="M121" s="1">
        <f>M120+Table1[[#This Row],[اجمالي الفاتوره]]-Table1[[#This Row],[الدفعات]]</f>
        <v>223.97999999999593</v>
      </c>
      <c r="O121" s="48"/>
    </row>
    <row r="122" spans="11:15" ht="24" customHeight="1" x14ac:dyDescent="0.3">
      <c r="K122" s="1">
        <f>Table1[[#This Row],[النولون]]+Table1[[#This Row],[الايصالات]]-Table1[[#This Row],[خصم أ ت ص]]+Table1[[#This Row],[قيمة مضافة]]</f>
        <v>0</v>
      </c>
      <c r="M122" s="1">
        <f>M121+Table1[[#This Row],[اجمالي الفاتوره]]-Table1[[#This Row],[الدفعات]]</f>
        <v>223.97999999999593</v>
      </c>
      <c r="O122" s="48"/>
    </row>
    <row r="123" spans="11:15" ht="24" customHeight="1" x14ac:dyDescent="0.3">
      <c r="K123" s="1">
        <f>Table1[[#This Row],[النولون]]+Table1[[#This Row],[الايصالات]]-Table1[[#This Row],[خصم أ ت ص]]+Table1[[#This Row],[قيمة مضافة]]</f>
        <v>0</v>
      </c>
      <c r="M123" s="1">
        <f>M122+Table1[[#This Row],[اجمالي الفاتوره]]-Table1[[#This Row],[الدفعات]]</f>
        <v>223.97999999999593</v>
      </c>
      <c r="O123" s="48"/>
    </row>
    <row r="124" spans="11:15" ht="24" customHeight="1" x14ac:dyDescent="0.3">
      <c r="K124" s="1">
        <f>Table1[[#This Row],[النولون]]+Table1[[#This Row],[الايصالات]]-Table1[[#This Row],[خصم أ ت ص]]+Table1[[#This Row],[قيمة مضافة]]</f>
        <v>0</v>
      </c>
      <c r="M124" s="1">
        <f>M123+Table1[[#This Row],[اجمالي الفاتوره]]-Table1[[#This Row],[الدفعات]]</f>
        <v>223.97999999999593</v>
      </c>
      <c r="O124" s="48"/>
    </row>
    <row r="125" spans="11:15" ht="24" customHeight="1" x14ac:dyDescent="0.3">
      <c r="K125" s="1">
        <f>Table1[[#This Row],[النولون]]+Table1[[#This Row],[الايصالات]]-Table1[[#This Row],[خصم أ ت ص]]+Table1[[#This Row],[قيمة مضافة]]</f>
        <v>0</v>
      </c>
      <c r="M125" s="1">
        <f>M124+Table1[[#This Row],[اجمالي الفاتوره]]-Table1[[#This Row],[الدفعات]]</f>
        <v>223.97999999999593</v>
      </c>
      <c r="O125" s="48"/>
    </row>
    <row r="126" spans="11:15" ht="24" customHeight="1" x14ac:dyDescent="0.3">
      <c r="K126" s="1">
        <f>Table1[[#This Row],[النولون]]+Table1[[#This Row],[الايصالات]]-Table1[[#This Row],[خصم أ ت ص]]+Table1[[#This Row],[قيمة مضافة]]</f>
        <v>0</v>
      </c>
      <c r="M126" s="1">
        <f>M125+Table1[[#This Row],[اجمالي الفاتوره]]-Table1[[#This Row],[الدفعات]]</f>
        <v>223.97999999999593</v>
      </c>
      <c r="O126" s="48"/>
    </row>
    <row r="127" spans="11:15" ht="24" customHeight="1" x14ac:dyDescent="0.3">
      <c r="K127" s="1">
        <f>Table1[[#This Row],[النولون]]+Table1[[#This Row],[الايصالات]]-Table1[[#This Row],[خصم أ ت ص]]+Table1[[#This Row],[قيمة مضافة]]</f>
        <v>0</v>
      </c>
      <c r="M127" s="1">
        <f>M126+Table1[[#This Row],[اجمالي الفاتوره]]-Table1[[#This Row],[الدفعات]]</f>
        <v>223.97999999999593</v>
      </c>
      <c r="O127" s="48"/>
    </row>
    <row r="128" spans="11:15" ht="24" customHeight="1" x14ac:dyDescent="0.3">
      <c r="K128" s="1">
        <f>Table1[[#This Row],[النولون]]+Table1[[#This Row],[الايصالات]]-Table1[[#This Row],[خصم أ ت ص]]+Table1[[#This Row],[قيمة مضافة]]</f>
        <v>0</v>
      </c>
      <c r="M128" s="1">
        <f>M127+Table1[[#This Row],[اجمالي الفاتوره]]-Table1[[#This Row],[الدفعات]]</f>
        <v>223.97999999999593</v>
      </c>
      <c r="O128" s="48"/>
    </row>
    <row r="129" spans="11:15" ht="24" customHeight="1" x14ac:dyDescent="0.3">
      <c r="K129" s="1">
        <f>Table1[[#This Row],[النولون]]+Table1[[#This Row],[الايصالات]]-Table1[[#This Row],[خصم أ ت ص]]+Table1[[#This Row],[قيمة مضافة]]</f>
        <v>0</v>
      </c>
      <c r="M129" s="1">
        <f>M128+Table1[[#This Row],[اجمالي الفاتوره]]-Table1[[#This Row],[الدفعات]]</f>
        <v>223.97999999999593</v>
      </c>
      <c r="O129" s="48"/>
    </row>
    <row r="130" spans="11:15" ht="24" customHeight="1" x14ac:dyDescent="0.3">
      <c r="K130" s="1">
        <f>Table1[[#This Row],[النولون]]+Table1[[#This Row],[الايصالات]]-Table1[[#This Row],[خصم أ ت ص]]+Table1[[#This Row],[قيمة مضافة]]</f>
        <v>0</v>
      </c>
      <c r="M130" s="1">
        <f>M129+Table1[[#This Row],[اجمالي الفاتوره]]-Table1[[#This Row],[الدفعات]]</f>
        <v>223.97999999999593</v>
      </c>
      <c r="O130" s="48"/>
    </row>
    <row r="131" spans="11:15" ht="24" customHeight="1" x14ac:dyDescent="0.3">
      <c r="K131" s="1">
        <f>Table1[[#This Row],[النولون]]+Table1[[#This Row],[الايصالات]]-Table1[[#This Row],[خصم أ ت ص]]+Table1[[#This Row],[قيمة مضافة]]</f>
        <v>0</v>
      </c>
      <c r="M131" s="1">
        <f>M130+Table1[[#This Row],[اجمالي الفاتوره]]-Table1[[#This Row],[الدفعات]]</f>
        <v>223.97999999999593</v>
      </c>
      <c r="O131" s="48"/>
    </row>
    <row r="132" spans="11:15" ht="24" customHeight="1" x14ac:dyDescent="0.3">
      <c r="K132" s="1">
        <f>Table1[[#This Row],[النولون]]+Table1[[#This Row],[الايصالات]]-Table1[[#This Row],[خصم أ ت ص]]+Table1[[#This Row],[قيمة مضافة]]</f>
        <v>0</v>
      </c>
      <c r="M132" s="1">
        <f>M131+Table1[[#This Row],[اجمالي الفاتوره]]-Table1[[#This Row],[الدفعات]]</f>
        <v>223.97999999999593</v>
      </c>
      <c r="O132" s="48"/>
    </row>
    <row r="133" spans="11:15" ht="24" customHeight="1" x14ac:dyDescent="0.3">
      <c r="K133" s="1">
        <f>Table1[[#This Row],[النولون]]+Table1[[#This Row],[الايصالات]]-Table1[[#This Row],[خصم أ ت ص]]+Table1[[#This Row],[قيمة مضافة]]</f>
        <v>0</v>
      </c>
      <c r="M133" s="1">
        <f>M132+Table1[[#This Row],[اجمالي الفاتوره]]-Table1[[#This Row],[الدفعات]]</f>
        <v>223.97999999999593</v>
      </c>
      <c r="O133" s="48"/>
    </row>
    <row r="134" spans="11:15" ht="24" customHeight="1" x14ac:dyDescent="0.3">
      <c r="K134" s="1">
        <f>Table1[[#This Row],[النولون]]+Table1[[#This Row],[الايصالات]]-Table1[[#This Row],[خصم أ ت ص]]+Table1[[#This Row],[قيمة مضافة]]</f>
        <v>0</v>
      </c>
      <c r="M134" s="1">
        <f>M133+Table1[[#This Row],[اجمالي الفاتوره]]-Table1[[#This Row],[الدفعات]]</f>
        <v>223.97999999999593</v>
      </c>
      <c r="O134" s="48"/>
    </row>
    <row r="135" spans="11:15" ht="24" customHeight="1" x14ac:dyDescent="0.3">
      <c r="K135" s="1">
        <f>Table1[[#This Row],[النولون]]+Table1[[#This Row],[الايصالات]]-Table1[[#This Row],[خصم أ ت ص]]+Table1[[#This Row],[قيمة مضافة]]</f>
        <v>0</v>
      </c>
      <c r="M135" s="1">
        <f>M134+Table1[[#This Row],[اجمالي الفاتوره]]-Table1[[#This Row],[الدفعات]]</f>
        <v>223.97999999999593</v>
      </c>
      <c r="O135" s="48"/>
    </row>
    <row r="136" spans="11:15" ht="24" customHeight="1" x14ac:dyDescent="0.3">
      <c r="K136" s="1">
        <f>Table1[[#This Row],[النولون]]+Table1[[#This Row],[الايصالات]]-Table1[[#This Row],[خصم أ ت ص]]+Table1[[#This Row],[قيمة مضافة]]</f>
        <v>0</v>
      </c>
      <c r="M136" s="1">
        <f>M135+Table1[[#This Row],[اجمالي الفاتوره]]-Table1[[#This Row],[الدفعات]]</f>
        <v>223.97999999999593</v>
      </c>
      <c r="O136" s="48"/>
    </row>
    <row r="137" spans="11:15" ht="24" customHeight="1" x14ac:dyDescent="0.3">
      <c r="K137" s="1">
        <f>Table1[[#This Row],[النولون]]+Table1[[#This Row],[الايصالات]]-Table1[[#This Row],[خصم أ ت ص]]+Table1[[#This Row],[قيمة مضافة]]</f>
        <v>0</v>
      </c>
      <c r="M137" s="1">
        <f>M136+Table1[[#This Row],[اجمالي الفاتوره]]-Table1[[#This Row],[الدفعات]]</f>
        <v>223.97999999999593</v>
      </c>
      <c r="O137" s="48"/>
    </row>
    <row r="138" spans="11:15" ht="24" customHeight="1" x14ac:dyDescent="0.3">
      <c r="K138" s="1">
        <f>Table1[[#This Row],[النولون]]+Table1[[#This Row],[الايصالات]]-Table1[[#This Row],[خصم أ ت ص]]+Table1[[#This Row],[قيمة مضافة]]</f>
        <v>0</v>
      </c>
      <c r="M138" s="1">
        <f>M137+Table1[[#This Row],[اجمالي الفاتوره]]-Table1[[#This Row],[الدفعات]]</f>
        <v>223.97999999999593</v>
      </c>
      <c r="O138" s="48"/>
    </row>
    <row r="139" spans="11:15" ht="24" customHeight="1" x14ac:dyDescent="0.3">
      <c r="K139" s="1">
        <f>Table1[[#This Row],[النولون]]+Table1[[#This Row],[الايصالات]]-Table1[[#This Row],[خصم أ ت ص]]+Table1[[#This Row],[قيمة مضافة]]</f>
        <v>0</v>
      </c>
      <c r="M139" s="1">
        <f>M138+Table1[[#This Row],[اجمالي الفاتوره]]-Table1[[#This Row],[الدفعات]]</f>
        <v>223.97999999999593</v>
      </c>
      <c r="O139" s="48"/>
    </row>
    <row r="140" spans="11:15" ht="24" customHeight="1" x14ac:dyDescent="0.3">
      <c r="K140" s="1">
        <f>Table1[[#This Row],[النولون]]+Table1[[#This Row],[الايصالات]]-Table1[[#This Row],[خصم أ ت ص]]+Table1[[#This Row],[قيمة مضافة]]</f>
        <v>0</v>
      </c>
      <c r="M140" s="1">
        <f>M139+Table1[[#This Row],[اجمالي الفاتوره]]-Table1[[#This Row],[الدفعات]]</f>
        <v>223.97999999999593</v>
      </c>
      <c r="O140" s="48"/>
    </row>
    <row r="141" spans="11:15" ht="24" customHeight="1" x14ac:dyDescent="0.3">
      <c r="K141" s="1">
        <f>Table1[[#This Row],[النولون]]+Table1[[#This Row],[الايصالات]]-Table1[[#This Row],[خصم أ ت ص]]+Table1[[#This Row],[قيمة مضافة]]</f>
        <v>0</v>
      </c>
      <c r="M141" s="1">
        <f>M140+Table1[[#This Row],[اجمالي الفاتوره]]-Table1[[#This Row],[الدفعات]]</f>
        <v>223.97999999999593</v>
      </c>
      <c r="O141" s="48"/>
    </row>
    <row r="142" spans="11:15" ht="24" customHeight="1" x14ac:dyDescent="0.3">
      <c r="K142" s="1">
        <f>Table1[[#This Row],[النولون]]+Table1[[#This Row],[الايصالات]]-Table1[[#This Row],[خصم أ ت ص]]+Table1[[#This Row],[قيمة مضافة]]</f>
        <v>0</v>
      </c>
      <c r="M142" s="1">
        <f>M141+Table1[[#This Row],[اجمالي الفاتوره]]-Table1[[#This Row],[الدفعات]]</f>
        <v>223.97999999999593</v>
      </c>
      <c r="O142" s="48"/>
    </row>
    <row r="143" spans="11:15" ht="24" customHeight="1" x14ac:dyDescent="0.3">
      <c r="K143" s="1">
        <f>Table1[[#This Row],[النولون]]+Table1[[#This Row],[الايصالات]]-Table1[[#This Row],[خصم أ ت ص]]+Table1[[#This Row],[قيمة مضافة]]</f>
        <v>0</v>
      </c>
      <c r="M143" s="1">
        <f>M142+Table1[[#This Row],[اجمالي الفاتوره]]-Table1[[#This Row],[الدفعات]]</f>
        <v>223.97999999999593</v>
      </c>
      <c r="O143" s="48"/>
    </row>
    <row r="144" spans="11:15" ht="24" customHeight="1" x14ac:dyDescent="0.3">
      <c r="K144" s="1">
        <f>Table1[[#This Row],[النولون]]+Table1[[#This Row],[الايصالات]]-Table1[[#This Row],[خصم أ ت ص]]+Table1[[#This Row],[قيمة مضافة]]</f>
        <v>0</v>
      </c>
      <c r="M144" s="1">
        <f>M143+Table1[[#This Row],[اجمالي الفاتوره]]-Table1[[#This Row],[الدفعات]]</f>
        <v>223.97999999999593</v>
      </c>
      <c r="O144" s="48"/>
    </row>
    <row r="145" spans="11:15" ht="24" customHeight="1" x14ac:dyDescent="0.3">
      <c r="K145" s="1">
        <f>Table1[[#This Row],[النولون]]+Table1[[#This Row],[الايصالات]]-Table1[[#This Row],[خصم أ ت ص]]+Table1[[#This Row],[قيمة مضافة]]</f>
        <v>0</v>
      </c>
      <c r="M145" s="1">
        <f>M144+Table1[[#This Row],[اجمالي الفاتوره]]-Table1[[#This Row],[الدفعات]]</f>
        <v>223.97999999999593</v>
      </c>
      <c r="O145" s="48"/>
    </row>
    <row r="146" spans="11:15" ht="24" customHeight="1" x14ac:dyDescent="0.3">
      <c r="K146" s="1">
        <f>Table1[[#This Row],[النولون]]+Table1[[#This Row],[الايصالات]]-Table1[[#This Row],[خصم أ ت ص]]+Table1[[#This Row],[قيمة مضافة]]</f>
        <v>0</v>
      </c>
      <c r="M146" s="1">
        <f>M145+Table1[[#This Row],[اجمالي الفاتوره]]-Table1[[#This Row],[الدفعات]]</f>
        <v>223.97999999999593</v>
      </c>
      <c r="O146" s="48"/>
    </row>
    <row r="147" spans="11:15" ht="24" customHeight="1" x14ac:dyDescent="0.3">
      <c r="K147" s="1">
        <f>Table1[[#This Row],[النولون]]+Table1[[#This Row],[الايصالات]]-Table1[[#This Row],[خصم أ ت ص]]+Table1[[#This Row],[قيمة مضافة]]</f>
        <v>0</v>
      </c>
      <c r="M147" s="1">
        <f>M146+Table1[[#This Row],[اجمالي الفاتوره]]-Table1[[#This Row],[الدفعات]]</f>
        <v>223.97999999999593</v>
      </c>
      <c r="O147" s="48"/>
    </row>
    <row r="148" spans="11:15" ht="24" customHeight="1" x14ac:dyDescent="0.3">
      <c r="K148" s="1">
        <f>Table1[[#This Row],[النولون]]+Table1[[#This Row],[الايصالات]]-Table1[[#This Row],[خصم أ ت ص]]+Table1[[#This Row],[قيمة مضافة]]</f>
        <v>0</v>
      </c>
      <c r="M148" s="1">
        <f>M147+Table1[[#This Row],[اجمالي الفاتوره]]-Table1[[#This Row],[الدفعات]]</f>
        <v>223.97999999999593</v>
      </c>
      <c r="O148" s="48"/>
    </row>
    <row r="149" spans="11:15" ht="24" customHeight="1" x14ac:dyDescent="0.3">
      <c r="K149" s="1">
        <f>Table1[[#This Row],[النولون]]+Table1[[#This Row],[الايصالات]]-Table1[[#This Row],[خصم أ ت ص]]+Table1[[#This Row],[قيمة مضافة]]</f>
        <v>0</v>
      </c>
      <c r="M149" s="1">
        <f>M148+Table1[[#This Row],[اجمالي الفاتوره]]-Table1[[#This Row],[الدفعات]]</f>
        <v>223.97999999999593</v>
      </c>
      <c r="O149" s="48"/>
    </row>
    <row r="150" spans="11:15" ht="24" customHeight="1" x14ac:dyDescent="0.3">
      <c r="K150" s="1">
        <f>Table1[[#This Row],[النولون]]+Table1[[#This Row],[الايصالات]]-Table1[[#This Row],[خصم أ ت ص]]+Table1[[#This Row],[قيمة مضافة]]</f>
        <v>0</v>
      </c>
      <c r="M150" s="1">
        <f>M149+Table1[[#This Row],[اجمالي الفاتوره]]-Table1[[#This Row],[الدفعات]]</f>
        <v>223.97999999999593</v>
      </c>
      <c r="O150" s="48"/>
    </row>
    <row r="151" spans="11:15" ht="24" customHeight="1" x14ac:dyDescent="0.3">
      <c r="K151" s="1">
        <f>Table1[[#This Row],[النولون]]+Table1[[#This Row],[الايصالات]]-Table1[[#This Row],[خصم أ ت ص]]+Table1[[#This Row],[قيمة مضافة]]</f>
        <v>0</v>
      </c>
      <c r="M151" s="1">
        <f>M150+Table1[[#This Row],[اجمالي الفاتوره]]-Table1[[#This Row],[الدفعات]]</f>
        <v>223.97999999999593</v>
      </c>
      <c r="O151" s="48"/>
    </row>
    <row r="152" spans="11:15" ht="24" customHeight="1" x14ac:dyDescent="0.3">
      <c r="K152" s="1">
        <f>Table1[[#This Row],[النولون]]+Table1[[#This Row],[الايصالات]]-Table1[[#This Row],[خصم أ ت ص]]+Table1[[#This Row],[قيمة مضافة]]</f>
        <v>0</v>
      </c>
      <c r="M152" s="1">
        <f>M151+Table1[[#This Row],[اجمالي الفاتوره]]-Table1[[#This Row],[الدفعات]]</f>
        <v>223.97999999999593</v>
      </c>
      <c r="O152" s="48"/>
    </row>
    <row r="153" spans="11:15" ht="24" customHeight="1" x14ac:dyDescent="0.3">
      <c r="K153" s="1">
        <f>Table1[[#This Row],[النولون]]+Table1[[#This Row],[الايصالات]]-Table1[[#This Row],[خصم أ ت ص]]+Table1[[#This Row],[قيمة مضافة]]</f>
        <v>0</v>
      </c>
      <c r="M153" s="1">
        <f>M152+Table1[[#This Row],[اجمالي الفاتوره]]-Table1[[#This Row],[الدفعات]]</f>
        <v>223.97999999999593</v>
      </c>
      <c r="O153" s="48"/>
    </row>
    <row r="154" spans="11:15" ht="24" customHeight="1" x14ac:dyDescent="0.3">
      <c r="K154" s="1">
        <f>Table1[[#This Row],[النولون]]+Table1[[#This Row],[الايصالات]]-Table1[[#This Row],[خصم أ ت ص]]+Table1[[#This Row],[قيمة مضافة]]</f>
        <v>0</v>
      </c>
      <c r="M154" s="1">
        <f>M153+Table1[[#This Row],[اجمالي الفاتوره]]-Table1[[#This Row],[الدفعات]]</f>
        <v>223.97999999999593</v>
      </c>
      <c r="O154" s="48"/>
    </row>
    <row r="155" spans="11:15" ht="24" customHeight="1" x14ac:dyDescent="0.3">
      <c r="K155" s="1">
        <f>Table1[[#This Row],[النولون]]+Table1[[#This Row],[الايصالات]]-Table1[[#This Row],[خصم أ ت ص]]+Table1[[#This Row],[قيمة مضافة]]</f>
        <v>0</v>
      </c>
      <c r="M155" s="1">
        <f>M154+Table1[[#This Row],[اجمالي الفاتوره]]-Table1[[#This Row],[الدفعات]]</f>
        <v>223.97999999999593</v>
      </c>
      <c r="O155" s="48"/>
    </row>
    <row r="156" spans="11:15" ht="24" customHeight="1" x14ac:dyDescent="0.3">
      <c r="K156" s="1">
        <f>Table1[[#This Row],[النولون]]+Table1[[#This Row],[الايصالات]]-Table1[[#This Row],[خصم أ ت ص]]+Table1[[#This Row],[قيمة مضافة]]</f>
        <v>0</v>
      </c>
      <c r="M156" s="1">
        <f>M155+Table1[[#This Row],[اجمالي الفاتوره]]-Table1[[#This Row],[الدفعات]]</f>
        <v>223.97999999999593</v>
      </c>
      <c r="O156" s="48"/>
    </row>
    <row r="157" spans="11:15" ht="24" customHeight="1" x14ac:dyDescent="0.3">
      <c r="K157" s="1">
        <f>Table1[[#This Row],[النولون]]+Table1[[#This Row],[الايصالات]]-Table1[[#This Row],[خصم أ ت ص]]+Table1[[#This Row],[قيمة مضافة]]</f>
        <v>0</v>
      </c>
      <c r="M157" s="1">
        <f>M156+Table1[[#This Row],[اجمالي الفاتوره]]-Table1[[#This Row],[الدفعات]]</f>
        <v>223.97999999999593</v>
      </c>
      <c r="O157" s="48"/>
    </row>
    <row r="158" spans="11:15" ht="24" customHeight="1" x14ac:dyDescent="0.3">
      <c r="K158" s="1">
        <f>Table1[[#This Row],[النولون]]+Table1[[#This Row],[الايصالات]]-Table1[[#This Row],[خصم أ ت ص]]+Table1[[#This Row],[قيمة مضافة]]</f>
        <v>0</v>
      </c>
      <c r="M158" s="1">
        <f>M157+Table1[[#This Row],[اجمالي الفاتوره]]-Table1[[#This Row],[الدفعات]]</f>
        <v>223.97999999999593</v>
      </c>
      <c r="O158" s="48"/>
    </row>
    <row r="159" spans="11:15" ht="24" customHeight="1" x14ac:dyDescent="0.3">
      <c r="K159" s="1">
        <f>Table1[[#This Row],[النولون]]+Table1[[#This Row],[الايصالات]]-Table1[[#This Row],[خصم أ ت ص]]+Table1[[#This Row],[قيمة مضافة]]</f>
        <v>0</v>
      </c>
      <c r="M159" s="1">
        <f>M158+Table1[[#This Row],[اجمالي الفاتوره]]-Table1[[#This Row],[الدفعات]]</f>
        <v>223.97999999999593</v>
      </c>
      <c r="O159" s="48"/>
    </row>
    <row r="160" spans="11:15" ht="24" customHeight="1" x14ac:dyDescent="0.3">
      <c r="K160" s="1">
        <f>Table1[[#This Row],[النولون]]+Table1[[#This Row],[الايصالات]]-Table1[[#This Row],[خصم أ ت ص]]+Table1[[#This Row],[قيمة مضافة]]</f>
        <v>0</v>
      </c>
      <c r="M160" s="1">
        <f>M159+Table1[[#This Row],[اجمالي الفاتوره]]-Table1[[#This Row],[الدفعات]]</f>
        <v>223.97999999999593</v>
      </c>
      <c r="O160" s="48"/>
    </row>
    <row r="161" spans="11:15" ht="24" customHeight="1" x14ac:dyDescent="0.3">
      <c r="K161" s="1">
        <f>Table1[[#This Row],[النولون]]+Table1[[#This Row],[الايصالات]]-Table1[[#This Row],[خصم أ ت ص]]+Table1[[#This Row],[قيمة مضافة]]</f>
        <v>0</v>
      </c>
      <c r="M161" s="1">
        <f>M160+Table1[[#This Row],[اجمالي الفاتوره]]-Table1[[#This Row],[الدفعات]]</f>
        <v>223.97999999999593</v>
      </c>
      <c r="O161" s="48"/>
    </row>
    <row r="162" spans="11:15" ht="24" customHeight="1" x14ac:dyDescent="0.3">
      <c r="K162" s="1">
        <f>Table1[[#This Row],[النولون]]+Table1[[#This Row],[الايصالات]]-Table1[[#This Row],[خصم أ ت ص]]+Table1[[#This Row],[قيمة مضافة]]</f>
        <v>0</v>
      </c>
      <c r="M162" s="1">
        <f>M161+Table1[[#This Row],[اجمالي الفاتوره]]-Table1[[#This Row],[الدفعات]]</f>
        <v>223.97999999999593</v>
      </c>
      <c r="O162" s="48"/>
    </row>
    <row r="163" spans="11:15" ht="24" customHeight="1" x14ac:dyDescent="0.3">
      <c r="K163" s="1">
        <f>Table1[[#This Row],[النولون]]+Table1[[#This Row],[الايصالات]]-Table1[[#This Row],[خصم أ ت ص]]+Table1[[#This Row],[قيمة مضافة]]</f>
        <v>0</v>
      </c>
      <c r="M163" s="1">
        <f>M162+Table1[[#This Row],[اجمالي الفاتوره]]-Table1[[#This Row],[الدفعات]]</f>
        <v>223.97999999999593</v>
      </c>
      <c r="O163" s="48"/>
    </row>
    <row r="164" spans="11:15" ht="24" customHeight="1" x14ac:dyDescent="0.3">
      <c r="K164" s="1">
        <f>Table1[[#This Row],[النولون]]+Table1[[#This Row],[الايصالات]]-Table1[[#This Row],[خصم أ ت ص]]+Table1[[#This Row],[قيمة مضافة]]</f>
        <v>0</v>
      </c>
      <c r="M164" s="1">
        <f>M163+Table1[[#This Row],[اجمالي الفاتوره]]-Table1[[#This Row],[الدفعات]]</f>
        <v>223.97999999999593</v>
      </c>
      <c r="O164" s="48"/>
    </row>
    <row r="165" spans="11:15" ht="24" customHeight="1" x14ac:dyDescent="0.3">
      <c r="K165" s="1">
        <f>Table1[[#This Row],[النولون]]+Table1[[#This Row],[الايصالات]]-Table1[[#This Row],[خصم أ ت ص]]+Table1[[#This Row],[قيمة مضافة]]</f>
        <v>0</v>
      </c>
      <c r="M165" s="1">
        <f>M164+Table1[[#This Row],[اجمالي الفاتوره]]-Table1[[#This Row],[الدفعات]]</f>
        <v>223.97999999999593</v>
      </c>
      <c r="O165" s="48"/>
    </row>
    <row r="166" spans="11:15" ht="24" customHeight="1" x14ac:dyDescent="0.3">
      <c r="K166" s="1">
        <f>Table1[[#This Row],[النولون]]+Table1[[#This Row],[الايصالات]]-Table1[[#This Row],[خصم أ ت ص]]+Table1[[#This Row],[قيمة مضافة]]</f>
        <v>0</v>
      </c>
      <c r="M166" s="1">
        <f>M165+Table1[[#This Row],[اجمالي الفاتوره]]-Table1[[#This Row],[الدفعات]]</f>
        <v>223.97999999999593</v>
      </c>
      <c r="O166" s="48"/>
    </row>
    <row r="167" spans="11:15" ht="24" customHeight="1" x14ac:dyDescent="0.3">
      <c r="K167" s="1">
        <f>Table1[[#This Row],[النولون]]+Table1[[#This Row],[الايصالات]]-Table1[[#This Row],[خصم أ ت ص]]+Table1[[#This Row],[قيمة مضافة]]</f>
        <v>0</v>
      </c>
      <c r="M167" s="1">
        <f>M166+Table1[[#This Row],[اجمالي الفاتوره]]-Table1[[#This Row],[الدفعات]]</f>
        <v>223.97999999999593</v>
      </c>
      <c r="O167" s="48"/>
    </row>
    <row r="168" spans="11:15" ht="24" customHeight="1" x14ac:dyDescent="0.3">
      <c r="K168" s="1">
        <f>Table1[[#This Row],[النولون]]+Table1[[#This Row],[الايصالات]]-Table1[[#This Row],[خصم أ ت ص]]+Table1[[#This Row],[قيمة مضافة]]</f>
        <v>0</v>
      </c>
      <c r="M168" s="1">
        <f>M167+Table1[[#This Row],[اجمالي الفاتوره]]-Table1[[#This Row],[الدفعات]]</f>
        <v>223.97999999999593</v>
      </c>
      <c r="O168" s="48"/>
    </row>
    <row r="169" spans="11:15" ht="24" customHeight="1" x14ac:dyDescent="0.3">
      <c r="K169" s="1">
        <f>Table1[[#This Row],[النولون]]+Table1[[#This Row],[الايصالات]]-Table1[[#This Row],[خصم أ ت ص]]+Table1[[#This Row],[قيمة مضافة]]</f>
        <v>0</v>
      </c>
      <c r="M169" s="1">
        <f>M168+Table1[[#This Row],[اجمالي الفاتوره]]-Table1[[#This Row],[الدفعات]]</f>
        <v>223.97999999999593</v>
      </c>
      <c r="O169" s="48"/>
    </row>
    <row r="170" spans="11:15" ht="24" customHeight="1" x14ac:dyDescent="0.3">
      <c r="K170" s="1">
        <f>Table1[[#This Row],[النولون]]+Table1[[#This Row],[الايصالات]]-Table1[[#This Row],[خصم أ ت ص]]+Table1[[#This Row],[قيمة مضافة]]</f>
        <v>0</v>
      </c>
      <c r="M170" s="1">
        <f>M169+Table1[[#This Row],[اجمالي الفاتوره]]-Table1[[#This Row],[الدفعات]]</f>
        <v>223.97999999999593</v>
      </c>
      <c r="O170" s="48"/>
    </row>
    <row r="171" spans="11:15" ht="24" customHeight="1" x14ac:dyDescent="0.3">
      <c r="K171" s="1">
        <f>Table1[[#This Row],[النولون]]+Table1[[#This Row],[الايصالات]]-Table1[[#This Row],[خصم أ ت ص]]+Table1[[#This Row],[قيمة مضافة]]</f>
        <v>0</v>
      </c>
      <c r="M171" s="1">
        <f>M170+Table1[[#This Row],[اجمالي الفاتوره]]-Table1[[#This Row],[الدفعات]]</f>
        <v>223.97999999999593</v>
      </c>
      <c r="O171" s="48"/>
    </row>
    <row r="172" spans="11:15" ht="24" customHeight="1" x14ac:dyDescent="0.3">
      <c r="K172" s="1">
        <f>Table1[[#This Row],[النولون]]+Table1[[#This Row],[الايصالات]]-Table1[[#This Row],[خصم أ ت ص]]+Table1[[#This Row],[قيمة مضافة]]</f>
        <v>0</v>
      </c>
      <c r="M172" s="1">
        <f>M171+Table1[[#This Row],[اجمالي الفاتوره]]-Table1[[#This Row],[الدفعات]]</f>
        <v>223.97999999999593</v>
      </c>
      <c r="O172" s="48"/>
    </row>
    <row r="173" spans="11:15" ht="24" customHeight="1" x14ac:dyDescent="0.3">
      <c r="K173" s="1">
        <f>Table1[[#This Row],[النولون]]+Table1[[#This Row],[الايصالات]]-Table1[[#This Row],[خصم أ ت ص]]+Table1[[#This Row],[قيمة مضافة]]</f>
        <v>0</v>
      </c>
      <c r="M173" s="1">
        <f>M172+Table1[[#This Row],[اجمالي الفاتوره]]-Table1[[#This Row],[الدفعات]]</f>
        <v>223.97999999999593</v>
      </c>
      <c r="O173" s="48"/>
    </row>
    <row r="174" spans="11:15" ht="24" customHeight="1" x14ac:dyDescent="0.3">
      <c r="K174" s="1">
        <f>Table1[[#This Row],[النولون]]+Table1[[#This Row],[الايصالات]]-Table1[[#This Row],[خصم أ ت ص]]+Table1[[#This Row],[قيمة مضافة]]</f>
        <v>0</v>
      </c>
      <c r="M174" s="1">
        <f>M173+Table1[[#This Row],[اجمالي الفاتوره]]-Table1[[#This Row],[الدفعات]]</f>
        <v>223.97999999999593</v>
      </c>
      <c r="O174" s="48"/>
    </row>
    <row r="175" spans="11:15" ht="24" customHeight="1" x14ac:dyDescent="0.3">
      <c r="K175" s="1">
        <f>Table1[[#This Row],[النولون]]+Table1[[#This Row],[الايصالات]]-Table1[[#This Row],[خصم أ ت ص]]+Table1[[#This Row],[قيمة مضافة]]</f>
        <v>0</v>
      </c>
      <c r="M175" s="1">
        <f>M174+Table1[[#This Row],[اجمالي الفاتوره]]-Table1[[#This Row],[الدفعات]]</f>
        <v>223.97999999999593</v>
      </c>
      <c r="O175" s="48"/>
    </row>
    <row r="176" spans="11:15" ht="24" customHeight="1" x14ac:dyDescent="0.3">
      <c r="K176" s="1">
        <f>Table1[[#This Row],[النولون]]+Table1[[#This Row],[الايصالات]]-Table1[[#This Row],[خصم أ ت ص]]+Table1[[#This Row],[قيمة مضافة]]</f>
        <v>0</v>
      </c>
      <c r="M176" s="1">
        <f>M175+Table1[[#This Row],[اجمالي الفاتوره]]-Table1[[#This Row],[الدفعات]]</f>
        <v>223.97999999999593</v>
      </c>
      <c r="O176" s="48"/>
    </row>
    <row r="177" spans="11:15" ht="24" customHeight="1" x14ac:dyDescent="0.3">
      <c r="K177" s="1">
        <f>Table1[[#This Row],[النولون]]+Table1[[#This Row],[الايصالات]]-Table1[[#This Row],[خصم أ ت ص]]+Table1[[#This Row],[قيمة مضافة]]</f>
        <v>0</v>
      </c>
      <c r="M177" s="1">
        <f>M176+Table1[[#This Row],[اجمالي الفاتوره]]-Table1[[#This Row],[الدفعات]]</f>
        <v>223.97999999999593</v>
      </c>
      <c r="O177" s="48"/>
    </row>
    <row r="178" spans="11:15" ht="24" customHeight="1" x14ac:dyDescent="0.3">
      <c r="K178" s="1">
        <f>Table1[[#This Row],[النولون]]+Table1[[#This Row],[الايصالات]]-Table1[[#This Row],[خصم أ ت ص]]+Table1[[#This Row],[قيمة مضافة]]</f>
        <v>0</v>
      </c>
      <c r="M178" s="1">
        <f>M177+Table1[[#This Row],[اجمالي الفاتوره]]-Table1[[#This Row],[الدفعات]]</f>
        <v>223.97999999999593</v>
      </c>
      <c r="O178" s="48"/>
    </row>
    <row r="179" spans="11:15" ht="24" customHeight="1" x14ac:dyDescent="0.3">
      <c r="K179" s="1">
        <f>Table1[[#This Row],[النولون]]+Table1[[#This Row],[الايصالات]]-Table1[[#This Row],[خصم أ ت ص]]+Table1[[#This Row],[قيمة مضافة]]</f>
        <v>0</v>
      </c>
      <c r="M179" s="1">
        <f>M178+Table1[[#This Row],[اجمالي الفاتوره]]-Table1[[#This Row],[الدفعات]]</f>
        <v>223.97999999999593</v>
      </c>
      <c r="O179" s="48"/>
    </row>
    <row r="180" spans="11:15" ht="24" customHeight="1" x14ac:dyDescent="0.3">
      <c r="K180" s="1">
        <f>Table1[[#This Row],[النولون]]+Table1[[#This Row],[الايصالات]]-Table1[[#This Row],[خصم أ ت ص]]+Table1[[#This Row],[قيمة مضافة]]</f>
        <v>0</v>
      </c>
      <c r="M180" s="1">
        <f>M179+Table1[[#This Row],[اجمالي الفاتوره]]-Table1[[#This Row],[الدفعات]]</f>
        <v>223.97999999999593</v>
      </c>
      <c r="O180" s="48"/>
    </row>
    <row r="181" spans="11:15" ht="24" customHeight="1" x14ac:dyDescent="0.3">
      <c r="K181" s="1">
        <f>Table1[[#This Row],[النولون]]+Table1[[#This Row],[الايصالات]]-Table1[[#This Row],[خصم أ ت ص]]+Table1[[#This Row],[قيمة مضافة]]</f>
        <v>0</v>
      </c>
      <c r="M181" s="1">
        <f>M180+Table1[[#This Row],[اجمالي الفاتوره]]-Table1[[#This Row],[الدفعات]]</f>
        <v>223.97999999999593</v>
      </c>
      <c r="O181" s="48"/>
    </row>
    <row r="182" spans="11:15" ht="24" customHeight="1" x14ac:dyDescent="0.3">
      <c r="K182" s="1">
        <f>Table1[[#This Row],[النولون]]+Table1[[#This Row],[الايصالات]]-Table1[[#This Row],[خصم أ ت ص]]+Table1[[#This Row],[قيمة مضافة]]</f>
        <v>0</v>
      </c>
      <c r="M182" s="1">
        <f>M181+Table1[[#This Row],[اجمالي الفاتوره]]-Table1[[#This Row],[الدفعات]]</f>
        <v>223.97999999999593</v>
      </c>
      <c r="O182" s="48"/>
    </row>
    <row r="183" spans="11:15" ht="24" customHeight="1" x14ac:dyDescent="0.3">
      <c r="K183" s="1">
        <f>Table1[[#This Row],[النولون]]+Table1[[#This Row],[الايصالات]]-Table1[[#This Row],[خصم أ ت ص]]+Table1[[#This Row],[قيمة مضافة]]</f>
        <v>0</v>
      </c>
      <c r="M183" s="1">
        <f>M182+Table1[[#This Row],[اجمالي الفاتوره]]-Table1[[#This Row],[الدفعات]]</f>
        <v>223.97999999999593</v>
      </c>
      <c r="O183" s="48"/>
    </row>
    <row r="184" spans="11:15" ht="24" customHeight="1" x14ac:dyDescent="0.3">
      <c r="K184" s="1">
        <f>Table1[[#This Row],[النولون]]+Table1[[#This Row],[الايصالات]]-Table1[[#This Row],[خصم أ ت ص]]+Table1[[#This Row],[قيمة مضافة]]</f>
        <v>0</v>
      </c>
      <c r="M184" s="1">
        <f>M183+Table1[[#This Row],[اجمالي الفاتوره]]-Table1[[#This Row],[الدفعات]]</f>
        <v>223.97999999999593</v>
      </c>
      <c r="O184" s="48"/>
    </row>
    <row r="185" spans="11:15" ht="24" customHeight="1" x14ac:dyDescent="0.3">
      <c r="K185" s="1">
        <f>Table1[[#This Row],[النولون]]+Table1[[#This Row],[الايصالات]]-Table1[[#This Row],[خصم أ ت ص]]+Table1[[#This Row],[قيمة مضافة]]</f>
        <v>0</v>
      </c>
      <c r="M185" s="1">
        <f>M184+Table1[[#This Row],[اجمالي الفاتوره]]-Table1[[#This Row],[الدفعات]]</f>
        <v>223.97999999999593</v>
      </c>
      <c r="O185" s="48"/>
    </row>
    <row r="186" spans="11:15" ht="24" customHeight="1" x14ac:dyDescent="0.3">
      <c r="K186" s="1">
        <f>Table1[[#This Row],[النولون]]+Table1[[#This Row],[الايصالات]]-Table1[[#This Row],[خصم أ ت ص]]+Table1[[#This Row],[قيمة مضافة]]</f>
        <v>0</v>
      </c>
      <c r="M186" s="1">
        <f>M185+Table1[[#This Row],[اجمالي الفاتوره]]-Table1[[#This Row],[الدفعات]]</f>
        <v>223.97999999999593</v>
      </c>
      <c r="O186" s="48"/>
    </row>
    <row r="187" spans="11:15" ht="24" customHeight="1" x14ac:dyDescent="0.3">
      <c r="K187" s="1">
        <f>Table1[[#This Row],[النولون]]+Table1[[#This Row],[الايصالات]]-Table1[[#This Row],[خصم أ ت ص]]+Table1[[#This Row],[قيمة مضافة]]</f>
        <v>0</v>
      </c>
      <c r="M187" s="1">
        <f>M186+Table1[[#This Row],[اجمالي الفاتوره]]-Table1[[#This Row],[الدفعات]]</f>
        <v>223.97999999999593</v>
      </c>
      <c r="O187" s="48"/>
    </row>
    <row r="188" spans="11:15" ht="24" customHeight="1" x14ac:dyDescent="0.3">
      <c r="K188" s="1">
        <f>Table1[[#This Row],[النولون]]+Table1[[#This Row],[الايصالات]]-Table1[[#This Row],[خصم أ ت ص]]+Table1[[#This Row],[قيمة مضافة]]</f>
        <v>0</v>
      </c>
      <c r="M188" s="1">
        <f>M187+Table1[[#This Row],[اجمالي الفاتوره]]-Table1[[#This Row],[الدفعات]]</f>
        <v>223.97999999999593</v>
      </c>
      <c r="O188" s="48"/>
    </row>
    <row r="189" spans="11:15" ht="24" customHeight="1" x14ac:dyDescent="0.3">
      <c r="K189" s="1">
        <f>Table1[[#This Row],[النولون]]+Table1[[#This Row],[الايصالات]]-Table1[[#This Row],[خصم أ ت ص]]+Table1[[#This Row],[قيمة مضافة]]</f>
        <v>0</v>
      </c>
      <c r="M189" s="1">
        <f>M188+Table1[[#This Row],[اجمالي الفاتوره]]-Table1[[#This Row],[الدفعات]]</f>
        <v>223.97999999999593</v>
      </c>
      <c r="O189" s="48"/>
    </row>
    <row r="190" spans="11:15" ht="24" customHeight="1" x14ac:dyDescent="0.3">
      <c r="K190" s="1">
        <f>Table1[[#This Row],[النولون]]+Table1[[#This Row],[الايصالات]]-Table1[[#This Row],[خصم أ ت ص]]+Table1[[#This Row],[قيمة مضافة]]</f>
        <v>0</v>
      </c>
      <c r="M190" s="1">
        <f>M189+Table1[[#This Row],[اجمالي الفاتوره]]-Table1[[#This Row],[الدفعات]]</f>
        <v>223.97999999999593</v>
      </c>
      <c r="O190" s="48"/>
    </row>
    <row r="191" spans="11:15" ht="24" customHeight="1" x14ac:dyDescent="0.3">
      <c r="K191" s="1">
        <f>Table1[[#This Row],[النولون]]+Table1[[#This Row],[الايصالات]]-Table1[[#This Row],[خصم أ ت ص]]+Table1[[#This Row],[قيمة مضافة]]</f>
        <v>0</v>
      </c>
      <c r="M191" s="1">
        <f>M190+Table1[[#This Row],[اجمالي الفاتوره]]-Table1[[#This Row],[الدفعات]]</f>
        <v>223.97999999999593</v>
      </c>
      <c r="O191" s="48"/>
    </row>
    <row r="192" spans="11:15" ht="24" customHeight="1" x14ac:dyDescent="0.3">
      <c r="K192" s="1">
        <f>Table1[[#This Row],[النولون]]+Table1[[#This Row],[الايصالات]]-Table1[[#This Row],[خصم أ ت ص]]+Table1[[#This Row],[قيمة مضافة]]</f>
        <v>0</v>
      </c>
      <c r="M192" s="1">
        <f>M191+Table1[[#This Row],[اجمالي الفاتوره]]-Table1[[#This Row],[الدفعات]]</f>
        <v>223.97999999999593</v>
      </c>
      <c r="O192" s="48"/>
    </row>
    <row r="193" spans="11:15" ht="24" customHeight="1" x14ac:dyDescent="0.3">
      <c r="K193" s="1">
        <f>Table1[[#This Row],[النولون]]+Table1[[#This Row],[الايصالات]]-Table1[[#This Row],[خصم أ ت ص]]+Table1[[#This Row],[قيمة مضافة]]</f>
        <v>0</v>
      </c>
      <c r="M193" s="1">
        <f>M192+Table1[[#This Row],[اجمالي الفاتوره]]-Table1[[#This Row],[الدفعات]]</f>
        <v>223.97999999999593</v>
      </c>
      <c r="O193" s="48"/>
    </row>
    <row r="194" spans="11:15" ht="24" customHeight="1" x14ac:dyDescent="0.3">
      <c r="K194" s="1">
        <f>Table1[[#This Row],[النولون]]+Table1[[#This Row],[الايصالات]]-Table1[[#This Row],[خصم أ ت ص]]+Table1[[#This Row],[قيمة مضافة]]</f>
        <v>0</v>
      </c>
      <c r="M194" s="1">
        <f>M193+Table1[[#This Row],[اجمالي الفاتوره]]-Table1[[#This Row],[الدفعات]]</f>
        <v>223.97999999999593</v>
      </c>
      <c r="O194" s="48"/>
    </row>
    <row r="195" spans="11:15" ht="24" customHeight="1" x14ac:dyDescent="0.3">
      <c r="K195" s="1">
        <f>Table1[[#This Row],[النولون]]+Table1[[#This Row],[الايصالات]]-Table1[[#This Row],[خصم أ ت ص]]+Table1[[#This Row],[قيمة مضافة]]</f>
        <v>0</v>
      </c>
      <c r="M195" s="1">
        <f>M194+Table1[[#This Row],[اجمالي الفاتوره]]-Table1[[#This Row],[الدفعات]]</f>
        <v>223.97999999999593</v>
      </c>
      <c r="O195" s="48"/>
    </row>
    <row r="196" spans="11:15" ht="24" customHeight="1" x14ac:dyDescent="0.3">
      <c r="K196" s="1">
        <f>Table1[[#This Row],[النولون]]+Table1[[#This Row],[الايصالات]]-Table1[[#This Row],[خصم أ ت ص]]+Table1[[#This Row],[قيمة مضافة]]</f>
        <v>0</v>
      </c>
      <c r="M196" s="1">
        <f>M195+Table1[[#This Row],[اجمالي الفاتوره]]-Table1[[#This Row],[الدفعات]]</f>
        <v>223.97999999999593</v>
      </c>
      <c r="O196" s="48"/>
    </row>
    <row r="197" spans="11:15" ht="24" customHeight="1" x14ac:dyDescent="0.3">
      <c r="K197" s="1">
        <f>Table1[[#This Row],[النولون]]+Table1[[#This Row],[الايصالات]]-Table1[[#This Row],[خصم أ ت ص]]+Table1[[#This Row],[قيمة مضافة]]</f>
        <v>0</v>
      </c>
      <c r="M197" s="1">
        <f>M196+Table1[[#This Row],[اجمالي الفاتوره]]-Table1[[#This Row],[الدفعات]]</f>
        <v>223.97999999999593</v>
      </c>
      <c r="O197" s="48"/>
    </row>
    <row r="198" spans="11:15" ht="24" customHeight="1" x14ac:dyDescent="0.3">
      <c r="K198" s="1">
        <f>Table1[[#This Row],[النولون]]+Table1[[#This Row],[الايصالات]]-Table1[[#This Row],[خصم أ ت ص]]+Table1[[#This Row],[قيمة مضافة]]</f>
        <v>0</v>
      </c>
      <c r="M198" s="1">
        <f>M197+Table1[[#This Row],[اجمالي الفاتوره]]-Table1[[#This Row],[الدفعات]]</f>
        <v>223.97999999999593</v>
      </c>
      <c r="O198" s="48"/>
    </row>
    <row r="199" spans="11:15" ht="24" customHeight="1" x14ac:dyDescent="0.3">
      <c r="K199" s="1">
        <f>Table1[[#This Row],[النولون]]+Table1[[#This Row],[الايصالات]]-Table1[[#This Row],[خصم أ ت ص]]+Table1[[#This Row],[قيمة مضافة]]</f>
        <v>0</v>
      </c>
      <c r="M199" s="1">
        <f>M198+Table1[[#This Row],[اجمالي الفاتوره]]-Table1[[#This Row],[الدفعات]]</f>
        <v>223.97999999999593</v>
      </c>
      <c r="O199" s="48"/>
    </row>
    <row r="200" spans="11:15" ht="24" customHeight="1" x14ac:dyDescent="0.3">
      <c r="K200" s="1">
        <f>Table1[[#This Row],[النولون]]+Table1[[#This Row],[الايصالات]]-Table1[[#This Row],[خصم أ ت ص]]+Table1[[#This Row],[قيمة مضافة]]</f>
        <v>0</v>
      </c>
      <c r="M200" s="1">
        <f>M199+Table1[[#This Row],[اجمالي الفاتوره]]-Table1[[#This Row],[الدفعات]]</f>
        <v>223.97999999999593</v>
      </c>
      <c r="O200" s="48"/>
    </row>
    <row r="201" spans="11:15" ht="24" customHeight="1" x14ac:dyDescent="0.3">
      <c r="K201" s="1">
        <f>Table1[[#This Row],[النولون]]+Table1[[#This Row],[الايصالات]]-Table1[[#This Row],[خصم أ ت ص]]+Table1[[#This Row],[قيمة مضافة]]</f>
        <v>0</v>
      </c>
      <c r="M201" s="1">
        <f>M200+Table1[[#This Row],[اجمالي الفاتوره]]-Table1[[#This Row],[الدفعات]]</f>
        <v>223.97999999999593</v>
      </c>
      <c r="O201" s="48"/>
    </row>
    <row r="202" spans="11:15" ht="24" customHeight="1" x14ac:dyDescent="0.3">
      <c r="K202" s="1">
        <f>Table1[[#This Row],[النولون]]+Table1[[#This Row],[الايصالات]]-Table1[[#This Row],[خصم أ ت ص]]+Table1[[#This Row],[قيمة مضافة]]</f>
        <v>0</v>
      </c>
      <c r="M202" s="1">
        <f>M201+Table1[[#This Row],[اجمالي الفاتوره]]-Table1[[#This Row],[الدفعات]]</f>
        <v>223.97999999999593</v>
      </c>
      <c r="O202" s="48"/>
    </row>
    <row r="203" spans="11:15" ht="24" customHeight="1" x14ac:dyDescent="0.3">
      <c r="K203" s="1">
        <f>Table1[[#This Row],[النولون]]+Table1[[#This Row],[الايصالات]]-Table1[[#This Row],[خصم أ ت ص]]+Table1[[#This Row],[قيمة مضافة]]</f>
        <v>0</v>
      </c>
      <c r="M203" s="1">
        <f>M202+Table1[[#This Row],[اجمالي الفاتوره]]-Table1[[#This Row],[الدفعات]]</f>
        <v>223.97999999999593</v>
      </c>
      <c r="O203" s="48"/>
    </row>
    <row r="204" spans="11:15" ht="24" customHeight="1" x14ac:dyDescent="0.3">
      <c r="K204" s="1">
        <f>Table1[[#This Row],[النولون]]+Table1[[#This Row],[الايصالات]]-Table1[[#This Row],[خصم أ ت ص]]+Table1[[#This Row],[قيمة مضافة]]</f>
        <v>0</v>
      </c>
      <c r="M204" s="1">
        <f>M203+Table1[[#This Row],[اجمالي الفاتوره]]-Table1[[#This Row],[الدفعات]]</f>
        <v>223.97999999999593</v>
      </c>
      <c r="O204" s="48"/>
    </row>
    <row r="205" spans="11:15" ht="24" customHeight="1" x14ac:dyDescent="0.3">
      <c r="K205" s="1">
        <f>Table1[[#This Row],[النولون]]+Table1[[#This Row],[الايصالات]]-Table1[[#This Row],[خصم أ ت ص]]+Table1[[#This Row],[قيمة مضافة]]</f>
        <v>0</v>
      </c>
      <c r="M205" s="1">
        <f>M204+Table1[[#This Row],[اجمالي الفاتوره]]-Table1[[#This Row],[الدفعات]]</f>
        <v>223.97999999999593</v>
      </c>
      <c r="O205" s="48"/>
    </row>
    <row r="206" spans="11:15" ht="24" customHeight="1" x14ac:dyDescent="0.3">
      <c r="K206" s="1">
        <f>Table1[[#This Row],[النولون]]+Table1[[#This Row],[الايصالات]]-Table1[[#This Row],[خصم أ ت ص]]+Table1[[#This Row],[قيمة مضافة]]</f>
        <v>0</v>
      </c>
      <c r="M206" s="1">
        <f>M205+Table1[[#This Row],[اجمالي الفاتوره]]-Table1[[#This Row],[الدفعات]]</f>
        <v>223.97999999999593</v>
      </c>
      <c r="O206" s="48"/>
    </row>
    <row r="207" spans="11:15" ht="24" customHeight="1" x14ac:dyDescent="0.3">
      <c r="K207" s="1">
        <f>Table1[[#This Row],[النولون]]+Table1[[#This Row],[الايصالات]]-Table1[[#This Row],[خصم أ ت ص]]+Table1[[#This Row],[قيمة مضافة]]</f>
        <v>0</v>
      </c>
      <c r="M207" s="1">
        <f>M206+Table1[[#This Row],[اجمالي الفاتوره]]-Table1[[#This Row],[الدفعات]]</f>
        <v>223.97999999999593</v>
      </c>
      <c r="O207" s="48"/>
    </row>
    <row r="208" spans="11:15" ht="24" customHeight="1" x14ac:dyDescent="0.3">
      <c r="K208" s="1">
        <f>Table1[[#This Row],[النولون]]+Table1[[#This Row],[الايصالات]]-Table1[[#This Row],[خصم أ ت ص]]+Table1[[#This Row],[قيمة مضافة]]</f>
        <v>0</v>
      </c>
      <c r="M208" s="1">
        <f>M207+Table1[[#This Row],[اجمالي الفاتوره]]-Table1[[#This Row],[الدفعات]]</f>
        <v>223.97999999999593</v>
      </c>
      <c r="O208" s="48"/>
    </row>
    <row r="209" spans="11:15" ht="24" customHeight="1" x14ac:dyDescent="0.3">
      <c r="K209" s="1">
        <f>Table1[[#This Row],[النولون]]+Table1[[#This Row],[الايصالات]]-Table1[[#This Row],[خصم أ ت ص]]+Table1[[#This Row],[قيمة مضافة]]</f>
        <v>0</v>
      </c>
      <c r="M209" s="1">
        <f>M208+Table1[[#This Row],[اجمالي الفاتوره]]-Table1[[#This Row],[الدفعات]]</f>
        <v>223.97999999999593</v>
      </c>
      <c r="O209" s="48"/>
    </row>
    <row r="210" spans="11:15" ht="24" customHeight="1" x14ac:dyDescent="0.3">
      <c r="K210" s="1">
        <f>Table1[[#This Row],[النولون]]+Table1[[#This Row],[الايصالات]]-Table1[[#This Row],[خصم أ ت ص]]+Table1[[#This Row],[قيمة مضافة]]</f>
        <v>0</v>
      </c>
      <c r="M210" s="1">
        <f>M209+Table1[[#This Row],[اجمالي الفاتوره]]-Table1[[#This Row],[الدفعات]]</f>
        <v>223.97999999999593</v>
      </c>
      <c r="O210" s="48"/>
    </row>
    <row r="211" spans="11:15" ht="24" customHeight="1" x14ac:dyDescent="0.3">
      <c r="K211" s="1">
        <f>Table1[[#This Row],[النولون]]+Table1[[#This Row],[الايصالات]]-Table1[[#This Row],[خصم أ ت ص]]+Table1[[#This Row],[قيمة مضافة]]</f>
        <v>0</v>
      </c>
      <c r="M211" s="1">
        <f>M210+Table1[[#This Row],[اجمالي الفاتوره]]-Table1[[#This Row],[الدفعات]]</f>
        <v>223.97999999999593</v>
      </c>
      <c r="O211" s="48"/>
    </row>
    <row r="212" spans="11:15" ht="24" customHeight="1" x14ac:dyDescent="0.3">
      <c r="K212" s="1">
        <f>Table1[[#This Row],[النولون]]+Table1[[#This Row],[الايصالات]]-Table1[[#This Row],[خصم أ ت ص]]+Table1[[#This Row],[قيمة مضافة]]</f>
        <v>0</v>
      </c>
      <c r="M212" s="1">
        <f>M211+Table1[[#This Row],[اجمالي الفاتوره]]-Table1[[#This Row],[الدفعات]]</f>
        <v>223.97999999999593</v>
      </c>
      <c r="O212" s="48"/>
    </row>
    <row r="213" spans="11:15" ht="24" customHeight="1" x14ac:dyDescent="0.3">
      <c r="K213" s="1">
        <f>Table1[[#This Row],[النولون]]+Table1[[#This Row],[الايصالات]]-Table1[[#This Row],[خصم أ ت ص]]+Table1[[#This Row],[قيمة مضافة]]</f>
        <v>0</v>
      </c>
      <c r="M213" s="1">
        <f>M212+Table1[[#This Row],[اجمالي الفاتوره]]-Table1[[#This Row],[الدفعات]]</f>
        <v>223.97999999999593</v>
      </c>
      <c r="O213" s="48"/>
    </row>
    <row r="214" spans="11:15" ht="24" customHeight="1" x14ac:dyDescent="0.3">
      <c r="K214" s="1">
        <f>Table1[[#This Row],[النولون]]+Table1[[#This Row],[الايصالات]]-Table1[[#This Row],[خصم أ ت ص]]+Table1[[#This Row],[قيمة مضافة]]</f>
        <v>0</v>
      </c>
      <c r="M214" s="1">
        <f>M213+Table1[[#This Row],[اجمالي الفاتوره]]-Table1[[#This Row],[الدفعات]]</f>
        <v>223.97999999999593</v>
      </c>
      <c r="O214" s="48"/>
    </row>
    <row r="215" spans="11:15" ht="24" customHeight="1" x14ac:dyDescent="0.3">
      <c r="K215" s="1">
        <f>Table1[[#This Row],[النولون]]+Table1[[#This Row],[الايصالات]]-Table1[[#This Row],[خصم أ ت ص]]+Table1[[#This Row],[قيمة مضافة]]</f>
        <v>0</v>
      </c>
      <c r="M215" s="1">
        <f>M214+Table1[[#This Row],[اجمالي الفاتوره]]-Table1[[#This Row],[الدفعات]]</f>
        <v>223.97999999999593</v>
      </c>
      <c r="O215" s="48"/>
    </row>
    <row r="216" spans="11:15" ht="24" customHeight="1" x14ac:dyDescent="0.3">
      <c r="K216" s="1">
        <f>Table1[[#This Row],[النولون]]+Table1[[#This Row],[الايصالات]]-Table1[[#This Row],[خصم أ ت ص]]+Table1[[#This Row],[قيمة مضافة]]</f>
        <v>0</v>
      </c>
      <c r="M216" s="1">
        <f>M215+Table1[[#This Row],[اجمالي الفاتوره]]-Table1[[#This Row],[الدفعات]]</f>
        <v>223.97999999999593</v>
      </c>
      <c r="O216" s="48"/>
    </row>
    <row r="217" spans="11:15" ht="24" customHeight="1" x14ac:dyDescent="0.3">
      <c r="K217" s="1">
        <f>Table1[[#This Row],[النولون]]+Table1[[#This Row],[الايصالات]]-Table1[[#This Row],[خصم أ ت ص]]+Table1[[#This Row],[قيمة مضافة]]</f>
        <v>0</v>
      </c>
      <c r="M217" s="1">
        <f>M216+Table1[[#This Row],[اجمالي الفاتوره]]-Table1[[#This Row],[الدفعات]]</f>
        <v>223.97999999999593</v>
      </c>
      <c r="O217" s="48"/>
    </row>
    <row r="218" spans="11:15" ht="24" customHeight="1" x14ac:dyDescent="0.3">
      <c r="K218" s="1">
        <f>Table1[[#This Row],[النولون]]+Table1[[#This Row],[الايصالات]]-Table1[[#This Row],[خصم أ ت ص]]+Table1[[#This Row],[قيمة مضافة]]</f>
        <v>0</v>
      </c>
      <c r="M218" s="1">
        <f>M217+Table1[[#This Row],[اجمالي الفاتوره]]-Table1[[#This Row],[الدفعات]]</f>
        <v>223.97999999999593</v>
      </c>
      <c r="O218" s="48"/>
    </row>
    <row r="219" spans="11:15" ht="24" customHeight="1" x14ac:dyDescent="0.3">
      <c r="K219" s="1">
        <f>Table1[[#This Row],[النولون]]+Table1[[#This Row],[الايصالات]]-Table1[[#This Row],[خصم أ ت ص]]+Table1[[#This Row],[قيمة مضافة]]</f>
        <v>0</v>
      </c>
      <c r="M219" s="1">
        <f>M218+Table1[[#This Row],[اجمالي الفاتوره]]-Table1[[#This Row],[الدفعات]]</f>
        <v>223.97999999999593</v>
      </c>
      <c r="O219" s="48"/>
    </row>
    <row r="220" spans="11:15" ht="24" customHeight="1" x14ac:dyDescent="0.3">
      <c r="K220" s="1">
        <f>Table1[[#This Row],[النولون]]+Table1[[#This Row],[الايصالات]]-Table1[[#This Row],[خصم أ ت ص]]+Table1[[#This Row],[قيمة مضافة]]</f>
        <v>0</v>
      </c>
      <c r="M220" s="1">
        <f>M219+Table1[[#This Row],[اجمالي الفاتوره]]-Table1[[#This Row],[الدفعات]]</f>
        <v>223.97999999999593</v>
      </c>
      <c r="O220" s="48"/>
    </row>
    <row r="221" spans="11:15" ht="24" customHeight="1" x14ac:dyDescent="0.3">
      <c r="K221" s="1">
        <f>Table1[[#This Row],[النولون]]+Table1[[#This Row],[الايصالات]]-Table1[[#This Row],[خصم أ ت ص]]+Table1[[#This Row],[قيمة مضافة]]</f>
        <v>0</v>
      </c>
      <c r="M221" s="1">
        <f>M220+Table1[[#This Row],[اجمالي الفاتوره]]-Table1[[#This Row],[الدفعات]]</f>
        <v>223.97999999999593</v>
      </c>
      <c r="O221" s="48"/>
    </row>
    <row r="222" spans="11:15" ht="24" customHeight="1" x14ac:dyDescent="0.3">
      <c r="K222" s="1">
        <f>Table1[[#This Row],[النولون]]+Table1[[#This Row],[الايصالات]]-Table1[[#This Row],[خصم أ ت ص]]+Table1[[#This Row],[قيمة مضافة]]</f>
        <v>0</v>
      </c>
      <c r="M222" s="1">
        <f>M221+Table1[[#This Row],[اجمالي الفاتوره]]-Table1[[#This Row],[الدفعات]]</f>
        <v>223.97999999999593</v>
      </c>
      <c r="O222" s="48"/>
    </row>
    <row r="223" spans="11:15" ht="24" customHeight="1" x14ac:dyDescent="0.3">
      <c r="K223" s="1">
        <f>Table1[[#This Row],[النولون]]+Table1[[#This Row],[الايصالات]]-Table1[[#This Row],[خصم أ ت ص]]+Table1[[#This Row],[قيمة مضافة]]</f>
        <v>0</v>
      </c>
      <c r="M223" s="1">
        <f>M222+Table1[[#This Row],[اجمالي الفاتوره]]-Table1[[#This Row],[الدفعات]]</f>
        <v>223.97999999999593</v>
      </c>
      <c r="O223" s="48"/>
    </row>
    <row r="224" spans="11:15" ht="24" customHeight="1" x14ac:dyDescent="0.3">
      <c r="K224" s="1">
        <f>Table1[[#This Row],[النولون]]+Table1[[#This Row],[الايصالات]]-Table1[[#This Row],[خصم أ ت ص]]+Table1[[#This Row],[قيمة مضافة]]</f>
        <v>0</v>
      </c>
      <c r="M224" s="1">
        <f>M223+Table1[[#This Row],[اجمالي الفاتوره]]-Table1[[#This Row],[الدفعات]]</f>
        <v>223.97999999999593</v>
      </c>
      <c r="O224" s="48"/>
    </row>
    <row r="225" spans="11:15" ht="24" customHeight="1" x14ac:dyDescent="0.3">
      <c r="K225" s="1">
        <f>Table1[[#This Row],[النولون]]+Table1[[#This Row],[الايصالات]]-Table1[[#This Row],[خصم أ ت ص]]+Table1[[#This Row],[قيمة مضافة]]</f>
        <v>0</v>
      </c>
      <c r="M225" s="1">
        <f>M224+Table1[[#This Row],[اجمالي الفاتوره]]-Table1[[#This Row],[الدفعات]]</f>
        <v>223.97999999999593</v>
      </c>
      <c r="O225" s="48"/>
    </row>
    <row r="226" spans="11:15" ht="24" customHeight="1" x14ac:dyDescent="0.3">
      <c r="K226" s="1">
        <f>Table1[[#This Row],[النولون]]+Table1[[#This Row],[الايصالات]]-Table1[[#This Row],[خصم أ ت ص]]+Table1[[#This Row],[قيمة مضافة]]</f>
        <v>0</v>
      </c>
      <c r="M226" s="1">
        <f>M225+Table1[[#This Row],[اجمالي الفاتوره]]-Table1[[#This Row],[الدفعات]]</f>
        <v>223.97999999999593</v>
      </c>
      <c r="O226" s="48"/>
    </row>
    <row r="227" spans="11:15" ht="24" customHeight="1" x14ac:dyDescent="0.3">
      <c r="K227" s="1">
        <f>Table1[[#This Row],[النولون]]+Table1[[#This Row],[الايصالات]]-Table1[[#This Row],[خصم أ ت ص]]+Table1[[#This Row],[قيمة مضافة]]</f>
        <v>0</v>
      </c>
      <c r="M227" s="1">
        <f>M226+Table1[[#This Row],[اجمالي الفاتوره]]-Table1[[#This Row],[الدفعات]]</f>
        <v>223.97999999999593</v>
      </c>
      <c r="O227" s="48"/>
    </row>
    <row r="228" spans="11:15" ht="24" customHeight="1" x14ac:dyDescent="0.3">
      <c r="K228" s="1">
        <f>Table1[[#This Row],[النولون]]+Table1[[#This Row],[الايصالات]]-Table1[[#This Row],[خصم أ ت ص]]+Table1[[#This Row],[قيمة مضافة]]</f>
        <v>0</v>
      </c>
      <c r="M228" s="1">
        <f>M227+Table1[[#This Row],[اجمالي الفاتوره]]-Table1[[#This Row],[الدفعات]]</f>
        <v>223.97999999999593</v>
      </c>
      <c r="O228" s="48"/>
    </row>
    <row r="229" spans="11:15" ht="24" customHeight="1" x14ac:dyDescent="0.3">
      <c r="K229" s="1">
        <f>Table1[[#This Row],[النولون]]+Table1[[#This Row],[الايصالات]]-Table1[[#This Row],[خصم أ ت ص]]+Table1[[#This Row],[قيمة مضافة]]</f>
        <v>0</v>
      </c>
      <c r="M229" s="1">
        <f>M228+Table1[[#This Row],[اجمالي الفاتوره]]-Table1[[#This Row],[الدفعات]]</f>
        <v>223.97999999999593</v>
      </c>
      <c r="O229" s="48"/>
    </row>
    <row r="230" spans="11:15" ht="24" customHeight="1" x14ac:dyDescent="0.3">
      <c r="K230" s="1">
        <f>Table1[[#This Row],[النولون]]+Table1[[#This Row],[الايصالات]]-Table1[[#This Row],[خصم أ ت ص]]+Table1[[#This Row],[قيمة مضافة]]</f>
        <v>0</v>
      </c>
      <c r="M230" s="1">
        <f>M229+Table1[[#This Row],[اجمالي الفاتوره]]-Table1[[#This Row],[الدفعات]]</f>
        <v>223.97999999999593</v>
      </c>
      <c r="O230" s="48"/>
    </row>
    <row r="231" spans="11:15" ht="24" customHeight="1" x14ac:dyDescent="0.3">
      <c r="K231" s="1">
        <f>Table1[[#This Row],[النولون]]+Table1[[#This Row],[الايصالات]]-Table1[[#This Row],[خصم أ ت ص]]+Table1[[#This Row],[قيمة مضافة]]</f>
        <v>0</v>
      </c>
      <c r="M231" s="1">
        <f>M230+Table1[[#This Row],[اجمالي الفاتوره]]-Table1[[#This Row],[الدفعات]]</f>
        <v>223.97999999999593</v>
      </c>
      <c r="O231" s="48"/>
    </row>
    <row r="232" spans="11:15" ht="24" customHeight="1" x14ac:dyDescent="0.3">
      <c r="K232" s="1">
        <f>Table1[[#This Row],[النولون]]+Table1[[#This Row],[الايصالات]]-Table1[[#This Row],[خصم أ ت ص]]+Table1[[#This Row],[قيمة مضافة]]</f>
        <v>0</v>
      </c>
      <c r="M232" s="1">
        <f>M231+Table1[[#This Row],[اجمالي الفاتوره]]-Table1[[#This Row],[الدفعات]]</f>
        <v>223.97999999999593</v>
      </c>
      <c r="O232" s="48"/>
    </row>
    <row r="233" spans="11:15" ht="24" customHeight="1" x14ac:dyDescent="0.3">
      <c r="K233" s="1">
        <f>Table1[[#This Row],[النولون]]+Table1[[#This Row],[الايصالات]]-Table1[[#This Row],[خصم أ ت ص]]+Table1[[#This Row],[قيمة مضافة]]</f>
        <v>0</v>
      </c>
      <c r="M233" s="1">
        <f>M232+Table1[[#This Row],[اجمالي الفاتوره]]-Table1[[#This Row],[الدفعات]]</f>
        <v>223.97999999999593</v>
      </c>
      <c r="O233" s="48"/>
    </row>
    <row r="234" spans="11:15" ht="24" customHeight="1" x14ac:dyDescent="0.3">
      <c r="K234" s="1">
        <f>Table1[[#This Row],[النولون]]+Table1[[#This Row],[الايصالات]]-Table1[[#This Row],[خصم أ ت ص]]+Table1[[#This Row],[قيمة مضافة]]</f>
        <v>0</v>
      </c>
      <c r="M234" s="1">
        <f>M233+Table1[[#This Row],[اجمالي الفاتوره]]-Table1[[#This Row],[الدفعات]]</f>
        <v>223.97999999999593</v>
      </c>
      <c r="O234" s="48"/>
    </row>
    <row r="235" spans="11:15" ht="24" customHeight="1" x14ac:dyDescent="0.3">
      <c r="K235" s="1">
        <f>Table1[[#This Row],[النولون]]+Table1[[#This Row],[الايصالات]]-Table1[[#This Row],[خصم أ ت ص]]+Table1[[#This Row],[قيمة مضافة]]</f>
        <v>0</v>
      </c>
      <c r="M235" s="1">
        <f>M234+Table1[[#This Row],[اجمالي الفاتوره]]-Table1[[#This Row],[الدفعات]]</f>
        <v>223.97999999999593</v>
      </c>
      <c r="O235" s="48"/>
    </row>
    <row r="236" spans="11:15" ht="24" customHeight="1" x14ac:dyDescent="0.3">
      <c r="K236" s="1">
        <f>Table1[[#This Row],[النولون]]+Table1[[#This Row],[الايصالات]]-Table1[[#This Row],[خصم أ ت ص]]+Table1[[#This Row],[قيمة مضافة]]</f>
        <v>0</v>
      </c>
      <c r="M236" s="1">
        <f>M235+Table1[[#This Row],[اجمالي الفاتوره]]-Table1[[#This Row],[الدفعات]]</f>
        <v>223.97999999999593</v>
      </c>
      <c r="O236" s="48"/>
    </row>
    <row r="237" spans="11:15" ht="24" customHeight="1" x14ac:dyDescent="0.3">
      <c r="K237" s="1">
        <f>Table1[[#This Row],[النولون]]+Table1[[#This Row],[الايصالات]]-Table1[[#This Row],[خصم أ ت ص]]+Table1[[#This Row],[قيمة مضافة]]</f>
        <v>0</v>
      </c>
      <c r="M237" s="1">
        <f>M236+Table1[[#This Row],[اجمالي الفاتوره]]-Table1[[#This Row],[الدفعات]]</f>
        <v>223.97999999999593</v>
      </c>
      <c r="O237" s="48"/>
    </row>
    <row r="238" spans="11:15" ht="24" customHeight="1" x14ac:dyDescent="0.3">
      <c r="K238" s="1">
        <f>Table1[[#This Row],[النولون]]+Table1[[#This Row],[الايصالات]]-Table1[[#This Row],[خصم أ ت ص]]+Table1[[#This Row],[قيمة مضافة]]</f>
        <v>0</v>
      </c>
      <c r="M238" s="1">
        <f>M237+Table1[[#This Row],[اجمالي الفاتوره]]-Table1[[#This Row],[الدفعات]]</f>
        <v>223.97999999999593</v>
      </c>
      <c r="O238" s="48"/>
    </row>
    <row r="239" spans="11:15" ht="24" customHeight="1" x14ac:dyDescent="0.3">
      <c r="K239" s="1">
        <f>Table1[[#This Row],[النولون]]+Table1[[#This Row],[الايصالات]]-Table1[[#This Row],[خصم أ ت ص]]+Table1[[#This Row],[قيمة مضافة]]</f>
        <v>0</v>
      </c>
      <c r="M239" s="1">
        <f>M238+Table1[[#This Row],[اجمالي الفاتوره]]-Table1[[#This Row],[الدفعات]]</f>
        <v>223.97999999999593</v>
      </c>
      <c r="O239" s="48"/>
    </row>
    <row r="240" spans="11:15" ht="24" customHeight="1" x14ac:dyDescent="0.3">
      <c r="K240" s="1">
        <f>Table1[[#This Row],[النولون]]+Table1[[#This Row],[الايصالات]]-Table1[[#This Row],[خصم أ ت ص]]+Table1[[#This Row],[قيمة مضافة]]</f>
        <v>0</v>
      </c>
      <c r="M240" s="1">
        <f>M239+Table1[[#This Row],[اجمالي الفاتوره]]-Table1[[#This Row],[الدفعات]]</f>
        <v>223.97999999999593</v>
      </c>
      <c r="O240" s="48"/>
    </row>
    <row r="241" spans="11:15" ht="24" customHeight="1" x14ac:dyDescent="0.3">
      <c r="K241" s="1">
        <f>Table1[[#This Row],[النولون]]+Table1[[#This Row],[الايصالات]]-Table1[[#This Row],[خصم أ ت ص]]+Table1[[#This Row],[قيمة مضافة]]</f>
        <v>0</v>
      </c>
      <c r="M241" s="1">
        <f>M240+Table1[[#This Row],[اجمالي الفاتوره]]-Table1[[#This Row],[الدفعات]]</f>
        <v>223.97999999999593</v>
      </c>
      <c r="O241" s="48"/>
    </row>
    <row r="242" spans="11:15" ht="24" customHeight="1" x14ac:dyDescent="0.3">
      <c r="K242" s="1">
        <f>Table1[[#This Row],[النولون]]+Table1[[#This Row],[الايصالات]]-Table1[[#This Row],[خصم أ ت ص]]+Table1[[#This Row],[قيمة مضافة]]</f>
        <v>0</v>
      </c>
      <c r="M242" s="1">
        <f>M241+Table1[[#This Row],[اجمالي الفاتوره]]-Table1[[#This Row],[الدفعات]]</f>
        <v>223.97999999999593</v>
      </c>
      <c r="O242" s="48"/>
    </row>
    <row r="243" spans="11:15" ht="24" customHeight="1" x14ac:dyDescent="0.3">
      <c r="K243" s="1">
        <f>Table1[[#This Row],[النولون]]+Table1[[#This Row],[الايصالات]]-Table1[[#This Row],[خصم أ ت ص]]+Table1[[#This Row],[قيمة مضافة]]</f>
        <v>0</v>
      </c>
      <c r="M243" s="1">
        <f>M242+Table1[[#This Row],[اجمالي الفاتوره]]-Table1[[#This Row],[الدفعات]]</f>
        <v>223.97999999999593</v>
      </c>
      <c r="O243" s="48"/>
    </row>
    <row r="244" spans="11:15" ht="24" customHeight="1" x14ac:dyDescent="0.3">
      <c r="K244" s="1">
        <f>Table1[[#This Row],[النولون]]+Table1[[#This Row],[الايصالات]]-Table1[[#This Row],[خصم أ ت ص]]+Table1[[#This Row],[قيمة مضافة]]</f>
        <v>0</v>
      </c>
      <c r="M244" s="1">
        <f>M243+Table1[[#This Row],[اجمالي الفاتوره]]-Table1[[#This Row],[الدفعات]]</f>
        <v>223.97999999999593</v>
      </c>
      <c r="O244" s="48"/>
    </row>
    <row r="245" spans="11:15" ht="24" customHeight="1" x14ac:dyDescent="0.3">
      <c r="K245" s="1">
        <f>Table1[[#This Row],[النولون]]+Table1[[#This Row],[الايصالات]]-Table1[[#This Row],[خصم أ ت ص]]+Table1[[#This Row],[قيمة مضافة]]</f>
        <v>0</v>
      </c>
      <c r="M245" s="1">
        <f>M244+Table1[[#This Row],[اجمالي الفاتوره]]-Table1[[#This Row],[الدفعات]]</f>
        <v>223.97999999999593</v>
      </c>
      <c r="O245" s="48"/>
    </row>
    <row r="246" spans="11:15" ht="24" customHeight="1" x14ac:dyDescent="0.3">
      <c r="K246" s="1">
        <f>Table1[[#This Row],[النولون]]+Table1[[#This Row],[الايصالات]]-Table1[[#This Row],[خصم أ ت ص]]+Table1[[#This Row],[قيمة مضافة]]</f>
        <v>0</v>
      </c>
      <c r="M246" s="1">
        <f>M245+Table1[[#This Row],[اجمالي الفاتوره]]-Table1[[#This Row],[الدفعات]]</f>
        <v>223.97999999999593</v>
      </c>
      <c r="O246" s="48"/>
    </row>
    <row r="247" spans="11:15" ht="24" customHeight="1" x14ac:dyDescent="0.3">
      <c r="K247" s="1">
        <f>Table1[[#This Row],[النولون]]+Table1[[#This Row],[الايصالات]]-Table1[[#This Row],[خصم أ ت ص]]+Table1[[#This Row],[قيمة مضافة]]</f>
        <v>0</v>
      </c>
      <c r="M247" s="1">
        <f>M246+Table1[[#This Row],[اجمالي الفاتوره]]-Table1[[#This Row],[الدفعات]]</f>
        <v>223.97999999999593</v>
      </c>
      <c r="O247" s="48"/>
    </row>
    <row r="248" spans="11:15" ht="24" customHeight="1" x14ac:dyDescent="0.3">
      <c r="K248" s="1">
        <f>Table1[[#This Row],[النولون]]+Table1[[#This Row],[الايصالات]]-Table1[[#This Row],[خصم أ ت ص]]+Table1[[#This Row],[قيمة مضافة]]</f>
        <v>0</v>
      </c>
      <c r="M248" s="1">
        <f>M247+Table1[[#This Row],[اجمالي الفاتوره]]-Table1[[#This Row],[الدفعات]]</f>
        <v>223.97999999999593</v>
      </c>
      <c r="O248" s="48"/>
    </row>
    <row r="249" spans="11:15" ht="24" customHeight="1" x14ac:dyDescent="0.3">
      <c r="K249" s="1">
        <f>Table1[[#This Row],[النولون]]+Table1[[#This Row],[الايصالات]]-Table1[[#This Row],[خصم أ ت ص]]+Table1[[#This Row],[قيمة مضافة]]</f>
        <v>0</v>
      </c>
      <c r="M249" s="1">
        <f>M248+Table1[[#This Row],[اجمالي الفاتوره]]-Table1[[#This Row],[الدفعات]]</f>
        <v>223.97999999999593</v>
      </c>
      <c r="O249" s="48"/>
    </row>
    <row r="250" spans="11:15" ht="24" customHeight="1" x14ac:dyDescent="0.3">
      <c r="K250" s="1">
        <f>Table1[[#This Row],[النولون]]+Table1[[#This Row],[الايصالات]]-Table1[[#This Row],[خصم أ ت ص]]+Table1[[#This Row],[قيمة مضافة]]</f>
        <v>0</v>
      </c>
      <c r="M250" s="1">
        <f>M249+Table1[[#This Row],[اجمالي الفاتوره]]-Table1[[#This Row],[الدفعات]]</f>
        <v>223.97999999999593</v>
      </c>
      <c r="O250" s="48"/>
    </row>
    <row r="251" spans="11:15" ht="24" customHeight="1" x14ac:dyDescent="0.3">
      <c r="K251" s="1">
        <f>Table1[[#This Row],[النولون]]+Table1[[#This Row],[الايصالات]]-Table1[[#This Row],[خصم أ ت ص]]+Table1[[#This Row],[قيمة مضافة]]</f>
        <v>0</v>
      </c>
      <c r="M251" s="1">
        <f>M250+Table1[[#This Row],[اجمالي الفاتوره]]-Table1[[#This Row],[الدفعات]]</f>
        <v>223.97999999999593</v>
      </c>
      <c r="O251" s="48"/>
    </row>
    <row r="252" spans="11:15" ht="24" customHeight="1" x14ac:dyDescent="0.3">
      <c r="K252" s="1">
        <f>Table1[[#This Row],[النولون]]+Table1[[#This Row],[الايصالات]]-Table1[[#This Row],[خصم أ ت ص]]+Table1[[#This Row],[قيمة مضافة]]</f>
        <v>0</v>
      </c>
      <c r="M252" s="1">
        <f>M251+Table1[[#This Row],[اجمالي الفاتوره]]-Table1[[#This Row],[الدفعات]]</f>
        <v>223.97999999999593</v>
      </c>
      <c r="O252" s="48"/>
    </row>
    <row r="253" spans="11:15" ht="24" customHeight="1" x14ac:dyDescent="0.3">
      <c r="K253" s="1">
        <f>Table1[[#This Row],[النولون]]+Table1[[#This Row],[الايصالات]]-Table1[[#This Row],[خصم أ ت ص]]+Table1[[#This Row],[قيمة مضافة]]</f>
        <v>0</v>
      </c>
      <c r="M253" s="1">
        <f>M252+Table1[[#This Row],[اجمالي الفاتوره]]-Table1[[#This Row],[الدفعات]]</f>
        <v>223.97999999999593</v>
      </c>
      <c r="O253" s="48"/>
    </row>
    <row r="254" spans="11:15" ht="24" customHeight="1" x14ac:dyDescent="0.3">
      <c r="K254" s="1">
        <f>Table1[[#This Row],[النولون]]+Table1[[#This Row],[الايصالات]]-Table1[[#This Row],[خصم أ ت ص]]+Table1[[#This Row],[قيمة مضافة]]</f>
        <v>0</v>
      </c>
      <c r="M254" s="1">
        <f>M253+Table1[[#This Row],[اجمالي الفاتوره]]-Table1[[#This Row],[الدفعات]]</f>
        <v>223.97999999999593</v>
      </c>
      <c r="O254" s="48"/>
    </row>
    <row r="255" spans="11:15" ht="24" customHeight="1" x14ac:dyDescent="0.3">
      <c r="K255" s="1">
        <f>Table1[[#This Row],[النولون]]+Table1[[#This Row],[الايصالات]]-Table1[[#This Row],[خصم أ ت ص]]+Table1[[#This Row],[قيمة مضافة]]</f>
        <v>0</v>
      </c>
      <c r="M255" s="1">
        <f>M254+Table1[[#This Row],[اجمالي الفاتوره]]-Table1[[#This Row],[الدفعات]]</f>
        <v>223.97999999999593</v>
      </c>
      <c r="O255" s="48"/>
    </row>
    <row r="256" spans="11:15" ht="24" customHeight="1" x14ac:dyDescent="0.3">
      <c r="K256" s="1">
        <f>Table1[[#This Row],[النولون]]+Table1[[#This Row],[الايصالات]]-Table1[[#This Row],[خصم أ ت ص]]+Table1[[#This Row],[قيمة مضافة]]</f>
        <v>0</v>
      </c>
      <c r="M256" s="1">
        <f>M255+Table1[[#This Row],[اجمالي الفاتوره]]-Table1[[#This Row],[الدفعات]]</f>
        <v>223.97999999999593</v>
      </c>
      <c r="O256" s="48"/>
    </row>
    <row r="257" spans="11:15" ht="24" customHeight="1" x14ac:dyDescent="0.3">
      <c r="K257" s="1">
        <f>Table1[[#This Row],[النولون]]+Table1[[#This Row],[الايصالات]]-Table1[[#This Row],[خصم أ ت ص]]+Table1[[#This Row],[قيمة مضافة]]</f>
        <v>0</v>
      </c>
      <c r="M257" s="1">
        <f>M256+Table1[[#This Row],[اجمالي الفاتوره]]-Table1[[#This Row],[الدفعات]]</f>
        <v>223.97999999999593</v>
      </c>
      <c r="O257" s="48"/>
    </row>
    <row r="258" spans="11:15" ht="24" customHeight="1" x14ac:dyDescent="0.3">
      <c r="K258" s="1">
        <f>Table1[[#This Row],[النولون]]+Table1[[#This Row],[الايصالات]]-Table1[[#This Row],[خصم أ ت ص]]+Table1[[#This Row],[قيمة مضافة]]</f>
        <v>0</v>
      </c>
      <c r="M258" s="1">
        <f>M257+Table1[[#This Row],[اجمالي الفاتوره]]-Table1[[#This Row],[الدفعات]]</f>
        <v>223.97999999999593</v>
      </c>
      <c r="O258" s="48"/>
    </row>
    <row r="259" spans="11:15" ht="24" customHeight="1" x14ac:dyDescent="0.3">
      <c r="K259" s="1">
        <f>Table1[[#This Row],[النولون]]+Table1[[#This Row],[الايصالات]]-Table1[[#This Row],[خصم أ ت ص]]+Table1[[#This Row],[قيمة مضافة]]</f>
        <v>0</v>
      </c>
      <c r="M259" s="1">
        <f>M258+Table1[[#This Row],[اجمالي الفاتوره]]-Table1[[#This Row],[الدفعات]]</f>
        <v>223.97999999999593</v>
      </c>
      <c r="O259" s="48"/>
    </row>
    <row r="260" spans="11:15" ht="24" customHeight="1" x14ac:dyDescent="0.3">
      <c r="K260" s="1">
        <f>Table1[[#This Row],[النولون]]+Table1[[#This Row],[الايصالات]]-Table1[[#This Row],[خصم أ ت ص]]+Table1[[#This Row],[قيمة مضافة]]</f>
        <v>0</v>
      </c>
      <c r="M260" s="1">
        <f>M259+Table1[[#This Row],[اجمالي الفاتوره]]-Table1[[#This Row],[الدفعات]]</f>
        <v>223.97999999999593</v>
      </c>
      <c r="O260" s="48"/>
    </row>
    <row r="261" spans="11:15" ht="24" customHeight="1" x14ac:dyDescent="0.3">
      <c r="K261" s="1">
        <f>Table1[[#This Row],[النولون]]+Table1[[#This Row],[الايصالات]]-Table1[[#This Row],[خصم أ ت ص]]+Table1[[#This Row],[قيمة مضافة]]</f>
        <v>0</v>
      </c>
      <c r="M261" s="1">
        <f>M260+Table1[[#This Row],[اجمالي الفاتوره]]-Table1[[#This Row],[الدفعات]]</f>
        <v>223.97999999999593</v>
      </c>
      <c r="O261" s="48"/>
    </row>
    <row r="262" spans="11:15" ht="24" customHeight="1" x14ac:dyDescent="0.3">
      <c r="K262" s="1">
        <f>Table1[[#This Row],[النولون]]+Table1[[#This Row],[الايصالات]]-Table1[[#This Row],[خصم أ ت ص]]+Table1[[#This Row],[قيمة مضافة]]</f>
        <v>0</v>
      </c>
      <c r="M262" s="1">
        <f>M261+Table1[[#This Row],[اجمالي الفاتوره]]-Table1[[#This Row],[الدفعات]]</f>
        <v>223.97999999999593</v>
      </c>
      <c r="O262" s="48"/>
    </row>
    <row r="263" spans="11:15" ht="24" customHeight="1" x14ac:dyDescent="0.3">
      <c r="K263" s="1">
        <f>Table1[[#This Row],[النولون]]+Table1[[#This Row],[الايصالات]]-Table1[[#This Row],[خصم أ ت ص]]+Table1[[#This Row],[قيمة مضافة]]</f>
        <v>0</v>
      </c>
      <c r="M263" s="1">
        <f>M262+Table1[[#This Row],[اجمالي الفاتوره]]-Table1[[#This Row],[الدفعات]]</f>
        <v>223.97999999999593</v>
      </c>
      <c r="O263" s="48"/>
    </row>
    <row r="264" spans="11:15" ht="24" customHeight="1" x14ac:dyDescent="0.3">
      <c r="K264" s="1">
        <f>Table1[[#This Row],[النولون]]+Table1[[#This Row],[الايصالات]]-Table1[[#This Row],[خصم أ ت ص]]+Table1[[#This Row],[قيمة مضافة]]</f>
        <v>0</v>
      </c>
      <c r="M264" s="1">
        <f>M263+Table1[[#This Row],[اجمالي الفاتوره]]-Table1[[#This Row],[الدفعات]]</f>
        <v>223.97999999999593</v>
      </c>
      <c r="O264" s="48"/>
    </row>
    <row r="265" spans="11:15" ht="24" customHeight="1" x14ac:dyDescent="0.3">
      <c r="K265" s="1">
        <f>Table1[[#This Row],[النولون]]+Table1[[#This Row],[الايصالات]]-Table1[[#This Row],[خصم أ ت ص]]+Table1[[#This Row],[قيمة مضافة]]</f>
        <v>0</v>
      </c>
      <c r="M265" s="1">
        <f>M264+Table1[[#This Row],[اجمالي الفاتوره]]-Table1[[#This Row],[الدفعات]]</f>
        <v>223.97999999999593</v>
      </c>
      <c r="O265" s="48"/>
    </row>
    <row r="266" spans="11:15" ht="24" customHeight="1" x14ac:dyDescent="0.3">
      <c r="K266" s="1">
        <f>Table1[[#This Row],[النولون]]+Table1[[#This Row],[الايصالات]]-Table1[[#This Row],[خصم أ ت ص]]+Table1[[#This Row],[قيمة مضافة]]</f>
        <v>0</v>
      </c>
      <c r="M266" s="1">
        <f>M265+Table1[[#This Row],[اجمالي الفاتوره]]-Table1[[#This Row],[الدفعات]]</f>
        <v>223.97999999999593</v>
      </c>
      <c r="O266" s="48"/>
    </row>
    <row r="267" spans="11:15" ht="24" customHeight="1" x14ac:dyDescent="0.3">
      <c r="K267" s="1">
        <f>Table1[[#This Row],[النولون]]+Table1[[#This Row],[الايصالات]]-Table1[[#This Row],[خصم أ ت ص]]+Table1[[#This Row],[قيمة مضافة]]</f>
        <v>0</v>
      </c>
      <c r="M267" s="1">
        <f>M266+Table1[[#This Row],[اجمالي الفاتوره]]-Table1[[#This Row],[الدفعات]]</f>
        <v>223.97999999999593</v>
      </c>
      <c r="O267" s="48"/>
    </row>
    <row r="268" spans="11:15" ht="24" customHeight="1" x14ac:dyDescent="0.3">
      <c r="K268" s="1">
        <f>Table1[[#This Row],[النولون]]+Table1[[#This Row],[الايصالات]]-Table1[[#This Row],[خصم أ ت ص]]+Table1[[#This Row],[قيمة مضافة]]</f>
        <v>0</v>
      </c>
      <c r="M268" s="1">
        <f>M267+Table1[[#This Row],[اجمالي الفاتوره]]-Table1[[#This Row],[الدفعات]]</f>
        <v>223.97999999999593</v>
      </c>
      <c r="O268" s="48"/>
    </row>
    <row r="269" spans="11:15" ht="24" customHeight="1" x14ac:dyDescent="0.3">
      <c r="K269" s="1">
        <f>Table1[[#This Row],[النولون]]+Table1[[#This Row],[الايصالات]]-Table1[[#This Row],[خصم أ ت ص]]+Table1[[#This Row],[قيمة مضافة]]</f>
        <v>0</v>
      </c>
      <c r="M269" s="1">
        <f>M268+Table1[[#This Row],[اجمالي الفاتوره]]-Table1[[#This Row],[الدفعات]]</f>
        <v>223.97999999999593</v>
      </c>
      <c r="O269" s="48"/>
    </row>
    <row r="270" spans="11:15" ht="24" customHeight="1" x14ac:dyDescent="0.3">
      <c r="K270" s="1">
        <f>Table1[[#This Row],[النولون]]+Table1[[#This Row],[الايصالات]]-Table1[[#This Row],[خصم أ ت ص]]+Table1[[#This Row],[قيمة مضافة]]</f>
        <v>0</v>
      </c>
      <c r="M270" s="1">
        <f>M269+Table1[[#This Row],[اجمالي الفاتوره]]-Table1[[#This Row],[الدفعات]]</f>
        <v>223.97999999999593</v>
      </c>
      <c r="O270" s="48"/>
    </row>
    <row r="271" spans="11:15" ht="24" customHeight="1" x14ac:dyDescent="0.3">
      <c r="K271" s="1">
        <f>Table1[[#This Row],[النولون]]+Table1[[#This Row],[الايصالات]]-Table1[[#This Row],[خصم أ ت ص]]+Table1[[#This Row],[قيمة مضافة]]</f>
        <v>0</v>
      </c>
      <c r="M271" s="1">
        <f>M270+Table1[[#This Row],[اجمالي الفاتوره]]-Table1[[#This Row],[الدفعات]]</f>
        <v>223.97999999999593</v>
      </c>
      <c r="O271" s="48"/>
    </row>
    <row r="272" spans="11:15" ht="24" customHeight="1" x14ac:dyDescent="0.3">
      <c r="K272" s="1">
        <f>Table1[[#This Row],[النولون]]+Table1[[#This Row],[الايصالات]]-Table1[[#This Row],[خصم أ ت ص]]+Table1[[#This Row],[قيمة مضافة]]</f>
        <v>0</v>
      </c>
      <c r="M272" s="1">
        <f>M271+Table1[[#This Row],[اجمالي الفاتوره]]-Table1[[#This Row],[الدفعات]]</f>
        <v>223.97999999999593</v>
      </c>
      <c r="O272" s="48"/>
    </row>
    <row r="273" spans="11:15" ht="24" customHeight="1" x14ac:dyDescent="0.3">
      <c r="K273" s="1">
        <f>Table1[[#This Row],[النولون]]+Table1[[#This Row],[الايصالات]]-Table1[[#This Row],[خصم أ ت ص]]+Table1[[#This Row],[قيمة مضافة]]</f>
        <v>0</v>
      </c>
      <c r="M273" s="1">
        <f>M272+Table1[[#This Row],[اجمالي الفاتوره]]-Table1[[#This Row],[الدفعات]]</f>
        <v>223.97999999999593</v>
      </c>
      <c r="O273" s="48"/>
    </row>
    <row r="274" spans="11:15" ht="24" customHeight="1" x14ac:dyDescent="0.3">
      <c r="K274" s="1">
        <f>Table1[[#This Row],[النولون]]+Table1[[#This Row],[الايصالات]]-Table1[[#This Row],[خصم أ ت ص]]+Table1[[#This Row],[قيمة مضافة]]</f>
        <v>0</v>
      </c>
      <c r="M274" s="1">
        <f>M273+Table1[[#This Row],[اجمالي الفاتوره]]-Table1[[#This Row],[الدفعات]]</f>
        <v>223.97999999999593</v>
      </c>
      <c r="O274" s="48"/>
    </row>
    <row r="275" spans="11:15" ht="24" customHeight="1" x14ac:dyDescent="0.3">
      <c r="K275" s="1">
        <f>Table1[[#This Row],[النولون]]+Table1[[#This Row],[الايصالات]]-Table1[[#This Row],[خصم أ ت ص]]+Table1[[#This Row],[قيمة مضافة]]</f>
        <v>0</v>
      </c>
      <c r="M275" s="1">
        <f>M274+Table1[[#This Row],[اجمالي الفاتوره]]-Table1[[#This Row],[الدفعات]]</f>
        <v>223.97999999999593</v>
      </c>
      <c r="O275" s="48"/>
    </row>
    <row r="276" spans="11:15" ht="24" customHeight="1" x14ac:dyDescent="0.3">
      <c r="K276" s="1">
        <f>Table1[[#This Row],[النولون]]+Table1[[#This Row],[الايصالات]]-Table1[[#This Row],[خصم أ ت ص]]+Table1[[#This Row],[قيمة مضافة]]</f>
        <v>0</v>
      </c>
      <c r="M276" s="1">
        <f>M275+Table1[[#This Row],[اجمالي الفاتوره]]-Table1[[#This Row],[الدفعات]]</f>
        <v>223.97999999999593</v>
      </c>
      <c r="O276" s="48"/>
    </row>
    <row r="277" spans="11:15" ht="24" customHeight="1" x14ac:dyDescent="0.3">
      <c r="K277" s="1">
        <f>Table1[[#This Row],[النولون]]+Table1[[#This Row],[الايصالات]]-Table1[[#This Row],[خصم أ ت ص]]+Table1[[#This Row],[قيمة مضافة]]</f>
        <v>0</v>
      </c>
      <c r="M277" s="1">
        <f>M276+Table1[[#This Row],[اجمالي الفاتوره]]-Table1[[#This Row],[الدفعات]]</f>
        <v>223.97999999999593</v>
      </c>
      <c r="O277" s="48"/>
    </row>
    <row r="278" spans="11:15" ht="24" customHeight="1" x14ac:dyDescent="0.3">
      <c r="K278" s="1">
        <f>Table1[[#This Row],[النولون]]+Table1[[#This Row],[الايصالات]]-Table1[[#This Row],[خصم أ ت ص]]+Table1[[#This Row],[قيمة مضافة]]</f>
        <v>0</v>
      </c>
      <c r="M278" s="1">
        <f>M277+Table1[[#This Row],[اجمالي الفاتوره]]-Table1[[#This Row],[الدفعات]]</f>
        <v>223.97999999999593</v>
      </c>
      <c r="O278" s="48"/>
    </row>
    <row r="279" spans="11:15" ht="24" customHeight="1" x14ac:dyDescent="0.3">
      <c r="K279" s="1">
        <f>Table1[[#This Row],[النولون]]+Table1[[#This Row],[الايصالات]]-Table1[[#This Row],[خصم أ ت ص]]+Table1[[#This Row],[قيمة مضافة]]</f>
        <v>0</v>
      </c>
      <c r="M279" s="1">
        <f>M278+Table1[[#This Row],[اجمالي الفاتوره]]-Table1[[#This Row],[الدفعات]]</f>
        <v>223.97999999999593</v>
      </c>
      <c r="O279" s="48"/>
    </row>
    <row r="280" spans="11:15" ht="24" customHeight="1" x14ac:dyDescent="0.3">
      <c r="K280" s="1">
        <f>Table1[[#This Row],[النولون]]+Table1[[#This Row],[الايصالات]]-Table1[[#This Row],[خصم أ ت ص]]+Table1[[#This Row],[قيمة مضافة]]</f>
        <v>0</v>
      </c>
      <c r="M280" s="1">
        <f>M279+Table1[[#This Row],[اجمالي الفاتوره]]-Table1[[#This Row],[الدفعات]]</f>
        <v>223.97999999999593</v>
      </c>
      <c r="O280" s="48"/>
    </row>
    <row r="281" spans="11:15" ht="24" customHeight="1" x14ac:dyDescent="0.3">
      <c r="K281" s="1">
        <f>Table1[[#This Row],[النولون]]+Table1[[#This Row],[الايصالات]]-Table1[[#This Row],[خصم أ ت ص]]+Table1[[#This Row],[قيمة مضافة]]</f>
        <v>0</v>
      </c>
      <c r="M281" s="1">
        <f>M280+Table1[[#This Row],[اجمالي الفاتوره]]-Table1[[#This Row],[الدفعات]]</f>
        <v>223.97999999999593</v>
      </c>
      <c r="O281" s="48"/>
    </row>
    <row r="282" spans="11:15" ht="24" customHeight="1" x14ac:dyDescent="0.3">
      <c r="K282" s="1">
        <f>Table1[[#This Row],[النولون]]+Table1[[#This Row],[الايصالات]]-Table1[[#This Row],[خصم أ ت ص]]+Table1[[#This Row],[قيمة مضافة]]</f>
        <v>0</v>
      </c>
      <c r="M282" s="1">
        <f>M281+Table1[[#This Row],[اجمالي الفاتوره]]-Table1[[#This Row],[الدفعات]]</f>
        <v>223.97999999999593</v>
      </c>
      <c r="O282" s="48"/>
    </row>
    <row r="283" spans="11:15" ht="24" customHeight="1" x14ac:dyDescent="0.3">
      <c r="K283" s="1">
        <f>Table1[[#This Row],[النولون]]+Table1[[#This Row],[الايصالات]]-Table1[[#This Row],[خصم أ ت ص]]+Table1[[#This Row],[قيمة مضافة]]</f>
        <v>0</v>
      </c>
      <c r="M283" s="1">
        <f>M282+Table1[[#This Row],[اجمالي الفاتوره]]-Table1[[#This Row],[الدفعات]]</f>
        <v>223.97999999999593</v>
      </c>
      <c r="O283" s="48"/>
    </row>
    <row r="284" spans="11:15" ht="24" customHeight="1" x14ac:dyDescent="0.3">
      <c r="K284" s="1">
        <f>Table1[[#This Row],[النولون]]+Table1[[#This Row],[الايصالات]]-Table1[[#This Row],[خصم أ ت ص]]+Table1[[#This Row],[قيمة مضافة]]</f>
        <v>0</v>
      </c>
      <c r="M284" s="1">
        <f>M283+Table1[[#This Row],[اجمالي الفاتوره]]-Table1[[#This Row],[الدفعات]]</f>
        <v>223.97999999999593</v>
      </c>
      <c r="O284" s="48"/>
    </row>
    <row r="285" spans="11:15" ht="24" customHeight="1" x14ac:dyDescent="0.3">
      <c r="K285" s="1">
        <f>Table1[[#This Row],[النولون]]+Table1[[#This Row],[الايصالات]]-Table1[[#This Row],[خصم أ ت ص]]+Table1[[#This Row],[قيمة مضافة]]</f>
        <v>0</v>
      </c>
      <c r="M285" s="1">
        <f>M284+Table1[[#This Row],[اجمالي الفاتوره]]-Table1[[#This Row],[الدفعات]]</f>
        <v>223.97999999999593</v>
      </c>
      <c r="O285" s="48"/>
    </row>
    <row r="286" spans="11:15" ht="24" customHeight="1" x14ac:dyDescent="0.3">
      <c r="K286" s="1">
        <f>Table1[[#This Row],[النولون]]+Table1[[#This Row],[الايصالات]]-Table1[[#This Row],[خصم أ ت ص]]+Table1[[#This Row],[قيمة مضافة]]</f>
        <v>0</v>
      </c>
      <c r="M286" s="1">
        <f>M285+Table1[[#This Row],[اجمالي الفاتوره]]-Table1[[#This Row],[الدفعات]]</f>
        <v>223.97999999999593</v>
      </c>
      <c r="O286" s="48"/>
    </row>
    <row r="287" spans="11:15" ht="24" customHeight="1" x14ac:dyDescent="0.3">
      <c r="K287" s="1">
        <f>Table1[[#This Row],[النولون]]+Table1[[#This Row],[الايصالات]]-Table1[[#This Row],[خصم أ ت ص]]+Table1[[#This Row],[قيمة مضافة]]</f>
        <v>0</v>
      </c>
      <c r="M287" s="1">
        <f>M286+Table1[[#This Row],[اجمالي الفاتوره]]-Table1[[#This Row],[الدفعات]]</f>
        <v>223.97999999999593</v>
      </c>
      <c r="O287" s="48"/>
    </row>
    <row r="288" spans="11:15" ht="24" customHeight="1" x14ac:dyDescent="0.3">
      <c r="K288" s="1">
        <f>Table1[[#This Row],[النولون]]+Table1[[#This Row],[الايصالات]]-Table1[[#This Row],[خصم أ ت ص]]+Table1[[#This Row],[قيمة مضافة]]</f>
        <v>0</v>
      </c>
      <c r="M288" s="1">
        <f>M287+Table1[[#This Row],[اجمالي الفاتوره]]-Table1[[#This Row],[الدفعات]]</f>
        <v>223.97999999999593</v>
      </c>
      <c r="O288" s="48"/>
    </row>
    <row r="289" spans="11:15" ht="24" customHeight="1" x14ac:dyDescent="0.3">
      <c r="K289" s="1">
        <f>Table1[[#This Row],[النولون]]+Table1[[#This Row],[الايصالات]]-Table1[[#This Row],[خصم أ ت ص]]+Table1[[#This Row],[قيمة مضافة]]</f>
        <v>0</v>
      </c>
      <c r="M289" s="1">
        <f>M288+Table1[[#This Row],[اجمالي الفاتوره]]-Table1[[#This Row],[الدفعات]]</f>
        <v>223.97999999999593</v>
      </c>
      <c r="O289" s="48"/>
    </row>
    <row r="290" spans="11:15" ht="24" customHeight="1" x14ac:dyDescent="0.3">
      <c r="K290" s="1">
        <f>Table1[[#This Row],[النولون]]+Table1[[#This Row],[الايصالات]]-Table1[[#This Row],[خصم أ ت ص]]+Table1[[#This Row],[قيمة مضافة]]</f>
        <v>0</v>
      </c>
      <c r="M290" s="1">
        <f>M289+Table1[[#This Row],[اجمالي الفاتوره]]-Table1[[#This Row],[الدفعات]]</f>
        <v>223.97999999999593</v>
      </c>
      <c r="O290" s="48"/>
    </row>
    <row r="291" spans="11:15" ht="24" customHeight="1" x14ac:dyDescent="0.3">
      <c r="K291" s="1">
        <f>Table1[[#This Row],[النولون]]+Table1[[#This Row],[الايصالات]]-Table1[[#This Row],[خصم أ ت ص]]+Table1[[#This Row],[قيمة مضافة]]</f>
        <v>0</v>
      </c>
      <c r="M291" s="1">
        <f>M290+Table1[[#This Row],[اجمالي الفاتوره]]-Table1[[#This Row],[الدفعات]]</f>
        <v>223.97999999999593</v>
      </c>
      <c r="O291" s="48"/>
    </row>
    <row r="292" spans="11:15" ht="24" customHeight="1" x14ac:dyDescent="0.3">
      <c r="K292" s="1">
        <f>Table1[[#This Row],[النولون]]+Table1[[#This Row],[الايصالات]]-Table1[[#This Row],[خصم أ ت ص]]+Table1[[#This Row],[قيمة مضافة]]</f>
        <v>0</v>
      </c>
      <c r="M292" s="1">
        <f>M291+Table1[[#This Row],[اجمالي الفاتوره]]-Table1[[#This Row],[الدفعات]]</f>
        <v>223.97999999999593</v>
      </c>
      <c r="O292" s="48"/>
    </row>
    <row r="293" spans="11:15" ht="24" customHeight="1" x14ac:dyDescent="0.3">
      <c r="K293" s="1">
        <f>Table1[[#This Row],[النولون]]+Table1[[#This Row],[الايصالات]]-Table1[[#This Row],[خصم أ ت ص]]+Table1[[#This Row],[قيمة مضافة]]</f>
        <v>0</v>
      </c>
      <c r="M293" s="1">
        <f>M292+Table1[[#This Row],[اجمالي الفاتوره]]-Table1[[#This Row],[الدفعات]]</f>
        <v>223.97999999999593</v>
      </c>
      <c r="O293" s="48"/>
    </row>
    <row r="294" spans="11:15" ht="24" customHeight="1" x14ac:dyDescent="0.3">
      <c r="K294" s="1">
        <f>Table1[[#This Row],[النولون]]+Table1[[#This Row],[الايصالات]]-Table1[[#This Row],[خصم أ ت ص]]+Table1[[#This Row],[قيمة مضافة]]</f>
        <v>0</v>
      </c>
      <c r="M294" s="1">
        <f>M293+Table1[[#This Row],[اجمالي الفاتوره]]-Table1[[#This Row],[الدفعات]]</f>
        <v>223.97999999999593</v>
      </c>
      <c r="O294" s="48"/>
    </row>
    <row r="295" spans="11:15" ht="24" customHeight="1" x14ac:dyDescent="0.3">
      <c r="K295" s="1">
        <f>Table1[[#This Row],[النولون]]+Table1[[#This Row],[الايصالات]]-Table1[[#This Row],[خصم أ ت ص]]+Table1[[#This Row],[قيمة مضافة]]</f>
        <v>0</v>
      </c>
      <c r="M295" s="1">
        <f>M294+Table1[[#This Row],[اجمالي الفاتوره]]-Table1[[#This Row],[الدفعات]]</f>
        <v>223.97999999999593</v>
      </c>
      <c r="O295" s="48"/>
    </row>
    <row r="296" spans="11:15" ht="24" customHeight="1" x14ac:dyDescent="0.3">
      <c r="K296" s="1">
        <f>Table1[[#This Row],[النولون]]+Table1[[#This Row],[الايصالات]]-Table1[[#This Row],[خصم أ ت ص]]+Table1[[#This Row],[قيمة مضافة]]</f>
        <v>0</v>
      </c>
      <c r="M296" s="1">
        <f>M295+Table1[[#This Row],[اجمالي الفاتوره]]-Table1[[#This Row],[الدفعات]]</f>
        <v>223.97999999999593</v>
      </c>
      <c r="O296" s="48"/>
    </row>
    <row r="297" spans="11:15" ht="24" customHeight="1" x14ac:dyDescent="0.3">
      <c r="K297" s="1">
        <f>Table1[[#This Row],[النولون]]+Table1[[#This Row],[الايصالات]]-Table1[[#This Row],[خصم أ ت ص]]+Table1[[#This Row],[قيمة مضافة]]</f>
        <v>0</v>
      </c>
      <c r="M297" s="1">
        <f>M296+Table1[[#This Row],[اجمالي الفاتوره]]-Table1[[#This Row],[الدفعات]]</f>
        <v>223.97999999999593</v>
      </c>
      <c r="O297" s="48"/>
    </row>
    <row r="298" spans="11:15" ht="24" customHeight="1" x14ac:dyDescent="0.3">
      <c r="K298" s="1">
        <f>Table1[[#This Row],[النولون]]+Table1[[#This Row],[الايصالات]]-Table1[[#This Row],[خصم أ ت ص]]+Table1[[#This Row],[قيمة مضافة]]</f>
        <v>0</v>
      </c>
      <c r="M298" s="1">
        <f>M297+Table1[[#This Row],[اجمالي الفاتوره]]-Table1[[#This Row],[الدفعات]]</f>
        <v>223.97999999999593</v>
      </c>
      <c r="O298" s="48"/>
    </row>
    <row r="299" spans="11:15" ht="24" customHeight="1" x14ac:dyDescent="0.3">
      <c r="K299" s="1">
        <f>Table1[[#This Row],[النولون]]+Table1[[#This Row],[الايصالات]]-Table1[[#This Row],[خصم أ ت ص]]+Table1[[#This Row],[قيمة مضافة]]</f>
        <v>0</v>
      </c>
      <c r="M299" s="1">
        <f>M298+Table1[[#This Row],[اجمالي الفاتوره]]-Table1[[#This Row],[الدفعات]]</f>
        <v>223.97999999999593</v>
      </c>
      <c r="O299" s="48"/>
    </row>
    <row r="300" spans="11:15" ht="24" customHeight="1" x14ac:dyDescent="0.3">
      <c r="K300" s="1">
        <f>Table1[[#This Row],[النولون]]+Table1[[#This Row],[الايصالات]]-Table1[[#This Row],[خصم أ ت ص]]+Table1[[#This Row],[قيمة مضافة]]</f>
        <v>0</v>
      </c>
      <c r="M300" s="1">
        <f>M299+Table1[[#This Row],[اجمالي الفاتوره]]-Table1[[#This Row],[الدفعات]]</f>
        <v>223.97999999999593</v>
      </c>
      <c r="O300" s="48"/>
    </row>
    <row r="301" spans="11:15" ht="24" customHeight="1" x14ac:dyDescent="0.3">
      <c r="K301" s="1">
        <f>Table1[[#This Row],[النولون]]+Table1[[#This Row],[الايصالات]]-Table1[[#This Row],[خصم أ ت ص]]+Table1[[#This Row],[قيمة مضافة]]</f>
        <v>0</v>
      </c>
      <c r="M301" s="1">
        <f>M300+Table1[[#This Row],[اجمالي الفاتوره]]-Table1[[#This Row],[الدفعات]]</f>
        <v>223.97999999999593</v>
      </c>
      <c r="O301" s="48"/>
    </row>
    <row r="302" spans="11:15" ht="24" customHeight="1" x14ac:dyDescent="0.3">
      <c r="K302" s="1">
        <f>Table1[[#This Row],[النولون]]+Table1[[#This Row],[الايصالات]]-Table1[[#This Row],[خصم أ ت ص]]+Table1[[#This Row],[قيمة مضافة]]</f>
        <v>0</v>
      </c>
      <c r="M302" s="1">
        <f>M301+Table1[[#This Row],[اجمالي الفاتوره]]-Table1[[#This Row],[الدفعات]]</f>
        <v>223.97999999999593</v>
      </c>
      <c r="O302" s="48"/>
    </row>
    <row r="303" spans="11:15" ht="24" customHeight="1" x14ac:dyDescent="0.3">
      <c r="K303" s="1">
        <f>Table1[[#This Row],[النولون]]+Table1[[#This Row],[الايصالات]]-Table1[[#This Row],[خصم أ ت ص]]+Table1[[#This Row],[قيمة مضافة]]</f>
        <v>0</v>
      </c>
      <c r="M303" s="1">
        <f>M302+Table1[[#This Row],[اجمالي الفاتوره]]-Table1[[#This Row],[الدفعات]]</f>
        <v>223.97999999999593</v>
      </c>
      <c r="O303" s="48"/>
    </row>
    <row r="304" spans="11:15" ht="24" customHeight="1" x14ac:dyDescent="0.3">
      <c r="K304" s="1">
        <f>Table1[[#This Row],[النولون]]+Table1[[#This Row],[الايصالات]]-Table1[[#This Row],[خصم أ ت ص]]+Table1[[#This Row],[قيمة مضافة]]</f>
        <v>0</v>
      </c>
      <c r="M304" s="1">
        <f>M303+Table1[[#This Row],[اجمالي الفاتوره]]-Table1[[#This Row],[الدفعات]]</f>
        <v>223.97999999999593</v>
      </c>
      <c r="O304" s="48"/>
    </row>
    <row r="305" spans="11:15" ht="24" customHeight="1" x14ac:dyDescent="0.3">
      <c r="K305" s="1">
        <f>Table1[[#This Row],[النولون]]+Table1[[#This Row],[الايصالات]]-Table1[[#This Row],[خصم أ ت ص]]+Table1[[#This Row],[قيمة مضافة]]</f>
        <v>0</v>
      </c>
      <c r="M305" s="1">
        <f>M304+Table1[[#This Row],[اجمالي الفاتوره]]-Table1[[#This Row],[الدفعات]]</f>
        <v>223.97999999999593</v>
      </c>
      <c r="O305" s="48"/>
    </row>
    <row r="306" spans="11:15" ht="24" customHeight="1" x14ac:dyDescent="0.3">
      <c r="K306" s="1">
        <f>Table1[[#This Row],[النولون]]+Table1[[#This Row],[الايصالات]]-Table1[[#This Row],[خصم أ ت ص]]+Table1[[#This Row],[قيمة مضافة]]</f>
        <v>0</v>
      </c>
      <c r="M306" s="1">
        <f>M305+Table1[[#This Row],[اجمالي الفاتوره]]-Table1[[#This Row],[الدفعات]]</f>
        <v>223.97999999999593</v>
      </c>
      <c r="O306" s="48"/>
    </row>
    <row r="307" spans="11:15" ht="24" customHeight="1" x14ac:dyDescent="0.3">
      <c r="K307" s="1">
        <f>Table1[[#This Row],[النولون]]+Table1[[#This Row],[الايصالات]]-Table1[[#This Row],[خصم أ ت ص]]+Table1[[#This Row],[قيمة مضافة]]</f>
        <v>0</v>
      </c>
      <c r="M307" s="1">
        <f>M306+Table1[[#This Row],[اجمالي الفاتوره]]-Table1[[#This Row],[الدفعات]]</f>
        <v>223.97999999999593</v>
      </c>
      <c r="O307" s="48"/>
    </row>
    <row r="308" spans="11:15" ht="24" customHeight="1" x14ac:dyDescent="0.3">
      <c r="K308" s="1">
        <f>Table1[[#This Row],[النولون]]+Table1[[#This Row],[الايصالات]]-Table1[[#This Row],[خصم أ ت ص]]+Table1[[#This Row],[قيمة مضافة]]</f>
        <v>0</v>
      </c>
      <c r="M308" s="1">
        <f>M307+Table1[[#This Row],[اجمالي الفاتوره]]-Table1[[#This Row],[الدفعات]]</f>
        <v>223.97999999999593</v>
      </c>
      <c r="O308" s="48"/>
    </row>
    <row r="309" spans="11:15" ht="24" customHeight="1" x14ac:dyDescent="0.3">
      <c r="K309" s="1">
        <f>Table1[[#This Row],[النولون]]+Table1[[#This Row],[الايصالات]]-Table1[[#This Row],[خصم أ ت ص]]+Table1[[#This Row],[قيمة مضافة]]</f>
        <v>0</v>
      </c>
      <c r="M309" s="1">
        <f>M308+Table1[[#This Row],[اجمالي الفاتوره]]-Table1[[#This Row],[الدفعات]]</f>
        <v>223.97999999999593</v>
      </c>
      <c r="O309" s="48"/>
    </row>
    <row r="310" spans="11:15" ht="24" customHeight="1" x14ac:dyDescent="0.3">
      <c r="K310" s="1">
        <f>Table1[[#This Row],[النولون]]+Table1[[#This Row],[الايصالات]]-Table1[[#This Row],[خصم أ ت ص]]+Table1[[#This Row],[قيمة مضافة]]</f>
        <v>0</v>
      </c>
      <c r="M310" s="1">
        <f>M309+Table1[[#This Row],[اجمالي الفاتوره]]-Table1[[#This Row],[الدفعات]]</f>
        <v>223.97999999999593</v>
      </c>
      <c r="O310" s="48"/>
    </row>
    <row r="311" spans="11:15" ht="24" customHeight="1" x14ac:dyDescent="0.3">
      <c r="K311" s="1">
        <f>Table1[[#This Row],[النولون]]+Table1[[#This Row],[الايصالات]]-Table1[[#This Row],[خصم أ ت ص]]+Table1[[#This Row],[قيمة مضافة]]</f>
        <v>0</v>
      </c>
      <c r="M311" s="1">
        <f>M310+Table1[[#This Row],[اجمالي الفاتوره]]-Table1[[#This Row],[الدفعات]]</f>
        <v>223.97999999999593</v>
      </c>
      <c r="O311" s="48"/>
    </row>
    <row r="312" spans="11:15" ht="24" customHeight="1" x14ac:dyDescent="0.3">
      <c r="K312" s="1">
        <f>Table1[[#This Row],[النولون]]+Table1[[#This Row],[الايصالات]]-Table1[[#This Row],[خصم أ ت ص]]+Table1[[#This Row],[قيمة مضافة]]</f>
        <v>0</v>
      </c>
      <c r="M312" s="1">
        <f>M311+Table1[[#This Row],[اجمالي الفاتوره]]-Table1[[#This Row],[الدفعات]]</f>
        <v>223.97999999999593</v>
      </c>
      <c r="O312" s="48"/>
    </row>
    <row r="313" spans="11:15" ht="24" customHeight="1" x14ac:dyDescent="0.3">
      <c r="K313" s="1">
        <f>Table1[[#This Row],[النولون]]+Table1[[#This Row],[الايصالات]]-Table1[[#This Row],[خصم أ ت ص]]+Table1[[#This Row],[قيمة مضافة]]</f>
        <v>0</v>
      </c>
      <c r="M313" s="1">
        <f>M312+Table1[[#This Row],[اجمالي الفاتوره]]-Table1[[#This Row],[الدفعات]]</f>
        <v>223.97999999999593</v>
      </c>
      <c r="O313" s="48"/>
    </row>
    <row r="314" spans="11:15" ht="24" customHeight="1" x14ac:dyDescent="0.3">
      <c r="K314" s="1">
        <f>Table1[[#This Row],[النولون]]+Table1[[#This Row],[الايصالات]]-Table1[[#This Row],[خصم أ ت ص]]+Table1[[#This Row],[قيمة مضافة]]</f>
        <v>0</v>
      </c>
      <c r="M314" s="1">
        <f>M313+Table1[[#This Row],[اجمالي الفاتوره]]-Table1[[#This Row],[الدفعات]]</f>
        <v>223.97999999999593</v>
      </c>
      <c r="O314" s="48"/>
    </row>
    <row r="315" spans="11:15" ht="24" customHeight="1" x14ac:dyDescent="0.3">
      <c r="K315" s="1">
        <f>Table1[[#This Row],[النولون]]+Table1[[#This Row],[الايصالات]]-Table1[[#This Row],[خصم أ ت ص]]+Table1[[#This Row],[قيمة مضافة]]</f>
        <v>0</v>
      </c>
      <c r="M315" s="1">
        <f>M314+Table1[[#This Row],[اجمالي الفاتوره]]-Table1[[#This Row],[الدفعات]]</f>
        <v>223.97999999999593</v>
      </c>
      <c r="O315" s="48"/>
    </row>
    <row r="316" spans="11:15" ht="24" customHeight="1" x14ac:dyDescent="0.3">
      <c r="K316" s="1">
        <f>Table1[[#This Row],[النولون]]+Table1[[#This Row],[الايصالات]]-Table1[[#This Row],[خصم أ ت ص]]+Table1[[#This Row],[قيمة مضافة]]</f>
        <v>0</v>
      </c>
      <c r="M316" s="1">
        <f>M315+Table1[[#This Row],[اجمالي الفاتوره]]-Table1[[#This Row],[الدفعات]]</f>
        <v>223.97999999999593</v>
      </c>
      <c r="O316" s="48"/>
    </row>
    <row r="317" spans="11:15" ht="24" customHeight="1" x14ac:dyDescent="0.3">
      <c r="K317" s="1">
        <f>Table1[[#This Row],[النولون]]+Table1[[#This Row],[الايصالات]]-Table1[[#This Row],[خصم أ ت ص]]+Table1[[#This Row],[قيمة مضافة]]</f>
        <v>0</v>
      </c>
      <c r="M317" s="1">
        <f>M316+Table1[[#This Row],[اجمالي الفاتوره]]-Table1[[#This Row],[الدفعات]]</f>
        <v>223.97999999999593</v>
      </c>
      <c r="O317" s="48"/>
    </row>
    <row r="318" spans="11:15" ht="24" customHeight="1" x14ac:dyDescent="0.3">
      <c r="K318" s="1">
        <f>Table1[[#This Row],[النولون]]+Table1[[#This Row],[الايصالات]]-Table1[[#This Row],[خصم أ ت ص]]+Table1[[#This Row],[قيمة مضافة]]</f>
        <v>0</v>
      </c>
      <c r="M318" s="1">
        <f>M317+Table1[[#This Row],[اجمالي الفاتوره]]-Table1[[#This Row],[الدفعات]]</f>
        <v>223.97999999999593</v>
      </c>
      <c r="O318" s="48"/>
    </row>
    <row r="319" spans="11:15" ht="24" customHeight="1" x14ac:dyDescent="0.3">
      <c r="K319" s="1">
        <f>Table1[[#This Row],[النولون]]+Table1[[#This Row],[الايصالات]]-Table1[[#This Row],[خصم أ ت ص]]+Table1[[#This Row],[قيمة مضافة]]</f>
        <v>0</v>
      </c>
      <c r="M319" s="1">
        <f>M318+Table1[[#This Row],[اجمالي الفاتوره]]-Table1[[#This Row],[الدفعات]]</f>
        <v>223.97999999999593</v>
      </c>
      <c r="O319" s="48"/>
    </row>
    <row r="320" spans="11:15" ht="24" customHeight="1" x14ac:dyDescent="0.3">
      <c r="K320" s="1">
        <f>Table1[[#This Row],[النولون]]+Table1[[#This Row],[الايصالات]]-Table1[[#This Row],[خصم أ ت ص]]+Table1[[#This Row],[قيمة مضافة]]</f>
        <v>0</v>
      </c>
      <c r="M320" s="1">
        <f>M319+Table1[[#This Row],[اجمالي الفاتوره]]-Table1[[#This Row],[الدفعات]]</f>
        <v>223.97999999999593</v>
      </c>
      <c r="O320" s="48"/>
    </row>
    <row r="321" spans="11:15" ht="24" customHeight="1" x14ac:dyDescent="0.3">
      <c r="K321" s="1">
        <f>Table1[[#This Row],[النولون]]+Table1[[#This Row],[الايصالات]]-Table1[[#This Row],[خصم أ ت ص]]+Table1[[#This Row],[قيمة مضافة]]</f>
        <v>0</v>
      </c>
      <c r="M321" s="1">
        <f>M320+Table1[[#This Row],[اجمالي الفاتوره]]-Table1[[#This Row],[الدفعات]]</f>
        <v>223.97999999999593</v>
      </c>
      <c r="O321" s="48"/>
    </row>
    <row r="322" spans="11:15" ht="24" customHeight="1" x14ac:dyDescent="0.3">
      <c r="K322" s="1">
        <f>Table1[[#This Row],[النولون]]+Table1[[#This Row],[الايصالات]]-Table1[[#This Row],[خصم أ ت ص]]+Table1[[#This Row],[قيمة مضافة]]</f>
        <v>0</v>
      </c>
      <c r="M322" s="1">
        <f>M321+Table1[[#This Row],[اجمالي الفاتوره]]-Table1[[#This Row],[الدفعات]]</f>
        <v>223.97999999999593</v>
      </c>
      <c r="O322" s="48"/>
    </row>
    <row r="323" spans="11:15" ht="24" customHeight="1" x14ac:dyDescent="0.3">
      <c r="K323" s="1">
        <f>Table1[[#This Row],[النولون]]+Table1[[#This Row],[الايصالات]]-Table1[[#This Row],[خصم أ ت ص]]+Table1[[#This Row],[قيمة مضافة]]</f>
        <v>0</v>
      </c>
      <c r="M323" s="1">
        <f>M322+Table1[[#This Row],[اجمالي الفاتوره]]-Table1[[#This Row],[الدفعات]]</f>
        <v>223.97999999999593</v>
      </c>
      <c r="O323" s="48"/>
    </row>
    <row r="324" spans="11:15" ht="24" customHeight="1" x14ac:dyDescent="0.3">
      <c r="K324" s="1">
        <f>Table1[[#This Row],[النولون]]+Table1[[#This Row],[الايصالات]]-Table1[[#This Row],[خصم أ ت ص]]+Table1[[#This Row],[قيمة مضافة]]</f>
        <v>0</v>
      </c>
      <c r="M324" s="1">
        <f>M323+Table1[[#This Row],[اجمالي الفاتوره]]-Table1[[#This Row],[الدفعات]]</f>
        <v>223.97999999999593</v>
      </c>
      <c r="O324" s="48"/>
    </row>
    <row r="325" spans="11:15" ht="24" customHeight="1" x14ac:dyDescent="0.3">
      <c r="K325" s="1">
        <f>Table1[[#This Row],[النولون]]+Table1[[#This Row],[الايصالات]]-Table1[[#This Row],[خصم أ ت ص]]+Table1[[#This Row],[قيمة مضافة]]</f>
        <v>0</v>
      </c>
      <c r="M325" s="1">
        <f>M324+Table1[[#This Row],[اجمالي الفاتوره]]-Table1[[#This Row],[الدفعات]]</f>
        <v>223.97999999999593</v>
      </c>
      <c r="O325" s="48"/>
    </row>
    <row r="326" spans="11:15" ht="24" customHeight="1" x14ac:dyDescent="0.3">
      <c r="K326" s="1">
        <f>Table1[[#This Row],[النولون]]+Table1[[#This Row],[الايصالات]]-Table1[[#This Row],[خصم أ ت ص]]+Table1[[#This Row],[قيمة مضافة]]</f>
        <v>0</v>
      </c>
      <c r="M326" s="1">
        <f>M325+Table1[[#This Row],[اجمالي الفاتوره]]-Table1[[#This Row],[الدفعات]]</f>
        <v>223.97999999999593</v>
      </c>
      <c r="O326" s="48"/>
    </row>
    <row r="327" spans="11:15" ht="24" customHeight="1" x14ac:dyDescent="0.3">
      <c r="K327" s="1">
        <f>Table1[[#This Row],[النولون]]+Table1[[#This Row],[الايصالات]]-Table1[[#This Row],[خصم أ ت ص]]+Table1[[#This Row],[قيمة مضافة]]</f>
        <v>0</v>
      </c>
      <c r="M327" s="1">
        <f>M326+Table1[[#This Row],[اجمالي الفاتوره]]-Table1[[#This Row],[الدفعات]]</f>
        <v>223.97999999999593</v>
      </c>
      <c r="O327" s="48"/>
    </row>
    <row r="328" spans="11:15" ht="24" customHeight="1" x14ac:dyDescent="0.3">
      <c r="K328" s="1">
        <f>Table1[[#This Row],[النولون]]+Table1[[#This Row],[الايصالات]]-Table1[[#This Row],[خصم أ ت ص]]+Table1[[#This Row],[قيمة مضافة]]</f>
        <v>0</v>
      </c>
      <c r="M328" s="1">
        <f>M327+Table1[[#This Row],[اجمالي الفاتوره]]-Table1[[#This Row],[الدفعات]]</f>
        <v>223.97999999999593</v>
      </c>
      <c r="O328" s="48"/>
    </row>
    <row r="329" spans="11:15" ht="24" customHeight="1" x14ac:dyDescent="0.3">
      <c r="K329" s="1">
        <f>Table1[[#This Row],[النولون]]+Table1[[#This Row],[الايصالات]]-Table1[[#This Row],[خصم أ ت ص]]+Table1[[#This Row],[قيمة مضافة]]</f>
        <v>0</v>
      </c>
      <c r="M329" s="1">
        <f>M328+Table1[[#This Row],[اجمالي الفاتوره]]-Table1[[#This Row],[الدفعات]]</f>
        <v>223.97999999999593</v>
      </c>
      <c r="O329" s="48"/>
    </row>
    <row r="330" spans="11:15" ht="24" customHeight="1" x14ac:dyDescent="0.3">
      <c r="K330" s="1">
        <f>Table1[[#This Row],[النولون]]+Table1[[#This Row],[الايصالات]]-Table1[[#This Row],[خصم أ ت ص]]+Table1[[#This Row],[قيمة مضافة]]</f>
        <v>0</v>
      </c>
      <c r="M330" s="1">
        <f>M329+Table1[[#This Row],[اجمالي الفاتوره]]-Table1[[#This Row],[الدفعات]]</f>
        <v>223.97999999999593</v>
      </c>
      <c r="O330" s="48"/>
    </row>
    <row r="331" spans="11:15" ht="24" customHeight="1" x14ac:dyDescent="0.3">
      <c r="K331" s="1">
        <f>Table1[[#This Row],[النولون]]+Table1[[#This Row],[الايصالات]]-Table1[[#This Row],[خصم أ ت ص]]+Table1[[#This Row],[قيمة مضافة]]</f>
        <v>0</v>
      </c>
      <c r="M331" s="1">
        <f>M330+Table1[[#This Row],[اجمالي الفاتوره]]-Table1[[#This Row],[الدفعات]]</f>
        <v>223.97999999999593</v>
      </c>
      <c r="O331" s="48"/>
    </row>
    <row r="332" spans="11:15" ht="24" customHeight="1" x14ac:dyDescent="0.3">
      <c r="K332" s="1">
        <f>Table1[[#This Row],[النولون]]+Table1[[#This Row],[الايصالات]]-Table1[[#This Row],[خصم أ ت ص]]+Table1[[#This Row],[قيمة مضافة]]</f>
        <v>0</v>
      </c>
      <c r="M332" s="1">
        <f>M331+Table1[[#This Row],[اجمالي الفاتوره]]-Table1[[#This Row],[الدفعات]]</f>
        <v>223.97999999999593</v>
      </c>
      <c r="O332" s="48"/>
    </row>
    <row r="333" spans="11:15" ht="24" customHeight="1" x14ac:dyDescent="0.3">
      <c r="K333" s="1">
        <f>Table1[[#This Row],[النولون]]+Table1[[#This Row],[الايصالات]]-Table1[[#This Row],[خصم أ ت ص]]+Table1[[#This Row],[قيمة مضافة]]</f>
        <v>0</v>
      </c>
      <c r="M333" s="1">
        <f>M332+Table1[[#This Row],[اجمالي الفاتوره]]-Table1[[#This Row],[الدفعات]]</f>
        <v>223.97999999999593</v>
      </c>
      <c r="O333" s="48"/>
    </row>
    <row r="334" spans="11:15" ht="24" customHeight="1" x14ac:dyDescent="0.3">
      <c r="K334" s="1">
        <f>Table1[[#This Row],[النولون]]+Table1[[#This Row],[الايصالات]]-Table1[[#This Row],[خصم أ ت ص]]+Table1[[#This Row],[قيمة مضافة]]</f>
        <v>0</v>
      </c>
      <c r="M334" s="1">
        <f>M333+Table1[[#This Row],[اجمالي الفاتوره]]-Table1[[#This Row],[الدفعات]]</f>
        <v>223.97999999999593</v>
      </c>
      <c r="O334" s="48"/>
    </row>
    <row r="335" spans="11:15" ht="24" customHeight="1" x14ac:dyDescent="0.3">
      <c r="K335" s="1">
        <f>Table1[[#This Row],[النولون]]+Table1[[#This Row],[الايصالات]]-Table1[[#This Row],[خصم أ ت ص]]+Table1[[#This Row],[قيمة مضافة]]</f>
        <v>0</v>
      </c>
      <c r="M335" s="1">
        <f>M334+Table1[[#This Row],[اجمالي الفاتوره]]-Table1[[#This Row],[الدفعات]]</f>
        <v>223.97999999999593</v>
      </c>
      <c r="O335" s="48"/>
    </row>
    <row r="336" spans="11:15" ht="24" customHeight="1" x14ac:dyDescent="0.3">
      <c r="K336" s="1">
        <f>Table1[[#This Row],[النولون]]+Table1[[#This Row],[الايصالات]]-Table1[[#This Row],[خصم أ ت ص]]+Table1[[#This Row],[قيمة مضافة]]</f>
        <v>0</v>
      </c>
      <c r="M336" s="1">
        <f>M335+Table1[[#This Row],[اجمالي الفاتوره]]-Table1[[#This Row],[الدفعات]]</f>
        <v>223.97999999999593</v>
      </c>
      <c r="O336" s="48"/>
    </row>
    <row r="337" spans="11:15" ht="24" customHeight="1" x14ac:dyDescent="0.3">
      <c r="K337" s="1">
        <f>Table1[[#This Row],[النولون]]+Table1[[#This Row],[الايصالات]]-Table1[[#This Row],[خصم أ ت ص]]+Table1[[#This Row],[قيمة مضافة]]</f>
        <v>0</v>
      </c>
      <c r="M337" s="1">
        <f>M336+Table1[[#This Row],[اجمالي الفاتوره]]-Table1[[#This Row],[الدفعات]]</f>
        <v>223.97999999999593</v>
      </c>
      <c r="O337" s="48"/>
    </row>
    <row r="338" spans="11:15" ht="24" customHeight="1" x14ac:dyDescent="0.3">
      <c r="K338" s="1">
        <f>Table1[[#This Row],[النولون]]+Table1[[#This Row],[الايصالات]]-Table1[[#This Row],[خصم أ ت ص]]+Table1[[#This Row],[قيمة مضافة]]</f>
        <v>0</v>
      </c>
      <c r="M338" s="1">
        <f>M337+Table1[[#This Row],[اجمالي الفاتوره]]-Table1[[#This Row],[الدفعات]]</f>
        <v>223.97999999999593</v>
      </c>
      <c r="O338" s="48"/>
    </row>
    <row r="339" spans="11:15" ht="24" customHeight="1" x14ac:dyDescent="0.3">
      <c r="K339" s="1">
        <f>Table1[[#This Row],[النولون]]+Table1[[#This Row],[الايصالات]]-Table1[[#This Row],[خصم أ ت ص]]+Table1[[#This Row],[قيمة مضافة]]</f>
        <v>0</v>
      </c>
      <c r="M339" s="1">
        <f>M338+Table1[[#This Row],[اجمالي الفاتوره]]-Table1[[#This Row],[الدفعات]]</f>
        <v>223.97999999999593</v>
      </c>
      <c r="O339" s="48"/>
    </row>
    <row r="340" spans="11:15" ht="24" customHeight="1" x14ac:dyDescent="0.3">
      <c r="K340" s="1">
        <f>Table1[[#This Row],[النولون]]+Table1[[#This Row],[الايصالات]]-Table1[[#This Row],[خصم أ ت ص]]+Table1[[#This Row],[قيمة مضافة]]</f>
        <v>0</v>
      </c>
      <c r="M340" s="1">
        <f>M339+Table1[[#This Row],[اجمالي الفاتوره]]-Table1[[#This Row],[الدفعات]]</f>
        <v>223.97999999999593</v>
      </c>
      <c r="O340" s="48"/>
    </row>
    <row r="341" spans="11:15" ht="24" customHeight="1" x14ac:dyDescent="0.3">
      <c r="K341" s="1">
        <f>Table1[[#This Row],[النولون]]+Table1[[#This Row],[الايصالات]]-Table1[[#This Row],[خصم أ ت ص]]+Table1[[#This Row],[قيمة مضافة]]</f>
        <v>0</v>
      </c>
      <c r="M341" s="1">
        <f>M340+Table1[[#This Row],[اجمالي الفاتوره]]-Table1[[#This Row],[الدفعات]]</f>
        <v>223.97999999999593</v>
      </c>
      <c r="O341" s="48"/>
    </row>
    <row r="342" spans="11:15" ht="24" customHeight="1" x14ac:dyDescent="0.3">
      <c r="K342" s="1">
        <f>Table1[[#This Row],[النولون]]+Table1[[#This Row],[الايصالات]]-Table1[[#This Row],[خصم أ ت ص]]+Table1[[#This Row],[قيمة مضافة]]</f>
        <v>0</v>
      </c>
      <c r="M342" s="1">
        <f>M341+Table1[[#This Row],[اجمالي الفاتوره]]-Table1[[#This Row],[الدفعات]]</f>
        <v>223.97999999999593</v>
      </c>
      <c r="O342" s="48"/>
    </row>
    <row r="343" spans="11:15" ht="24" customHeight="1" x14ac:dyDescent="0.3">
      <c r="K343" s="1">
        <f>Table1[[#This Row],[النولون]]+Table1[[#This Row],[الايصالات]]-Table1[[#This Row],[خصم أ ت ص]]+Table1[[#This Row],[قيمة مضافة]]</f>
        <v>0</v>
      </c>
      <c r="M343" s="1">
        <f>M342+Table1[[#This Row],[اجمالي الفاتوره]]-Table1[[#This Row],[الدفعات]]</f>
        <v>223.97999999999593</v>
      </c>
      <c r="O343" s="48"/>
    </row>
    <row r="344" spans="11:15" ht="24" customHeight="1" x14ac:dyDescent="0.3">
      <c r="K344" s="1">
        <f>Table1[[#This Row],[النولون]]+Table1[[#This Row],[الايصالات]]-Table1[[#This Row],[خصم أ ت ص]]+Table1[[#This Row],[قيمة مضافة]]</f>
        <v>0</v>
      </c>
      <c r="M344" s="1">
        <f>M343+Table1[[#This Row],[اجمالي الفاتوره]]-Table1[[#This Row],[الدفعات]]</f>
        <v>223.97999999999593</v>
      </c>
      <c r="O344" s="48"/>
    </row>
    <row r="345" spans="11:15" ht="24" customHeight="1" x14ac:dyDescent="0.3">
      <c r="K345" s="1">
        <f>Table1[[#This Row],[النولون]]+Table1[[#This Row],[الايصالات]]-Table1[[#This Row],[خصم أ ت ص]]+Table1[[#This Row],[قيمة مضافة]]</f>
        <v>0</v>
      </c>
      <c r="M345" s="1">
        <f>M344+Table1[[#This Row],[اجمالي الفاتوره]]-Table1[[#This Row],[الدفعات]]</f>
        <v>223.97999999999593</v>
      </c>
      <c r="O345" s="48"/>
    </row>
  </sheetData>
  <phoneticPr fontId="2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341"/>
  <sheetViews>
    <sheetView rightToLeft="1" topLeftCell="A13" workbookViewId="0">
      <selection activeCell="G20" sqref="G20"/>
    </sheetView>
  </sheetViews>
  <sheetFormatPr defaultColWidth="9.109375" defaultRowHeight="15.6" x14ac:dyDescent="0.3"/>
  <cols>
    <col min="1" max="1" width="6.44140625" style="1" bestFit="1" customWidth="1"/>
    <col min="2" max="2" width="11" style="1" customWidth="1"/>
    <col min="3" max="3" width="15.109375" style="1" customWidth="1"/>
    <col min="4" max="4" width="11.21875" style="1" customWidth="1"/>
    <col min="5" max="5" width="13.33203125" style="1" customWidth="1"/>
    <col min="6" max="6" width="13" style="1" customWidth="1"/>
    <col min="7" max="7" width="11.6640625" style="1" customWidth="1"/>
    <col min="8" max="8" width="11.77734375" style="1" customWidth="1"/>
    <col min="9" max="9" width="10.77734375" style="1" customWidth="1"/>
    <col min="10" max="10" width="12" style="1" customWidth="1"/>
    <col min="11" max="11" width="12.77734375" style="1" customWidth="1"/>
    <col min="12" max="12" width="15.21875" style="1" customWidth="1"/>
    <col min="13" max="13" width="11.109375" style="1" customWidth="1"/>
    <col min="14" max="16384" width="9.109375" style="1"/>
  </cols>
  <sheetData>
    <row r="1" spans="1:14" ht="26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8" t="s">
        <v>20</v>
      </c>
    </row>
    <row r="2" spans="1:14" ht="26.25" customHeight="1" x14ac:dyDescent="0.3">
      <c r="B2" s="2"/>
      <c r="H2" s="1">
        <f>0.14*Table11819202310303132353839404148[[#This Row],[النولون]]</f>
        <v>0</v>
      </c>
      <c r="J2" s="1">
        <f>Table11819202310303132353839404148[[#This Row],[النولون]]+Table11819202310303132353839404148[[#This Row],[الايصالات]]+Table11819202310303132353839404148[[#This Row],[قيمة مضافة]]</f>
        <v>0</v>
      </c>
      <c r="L2" s="1">
        <v>0</v>
      </c>
      <c r="N2" s="48"/>
    </row>
    <row r="3" spans="1:14" ht="26.25" customHeight="1" x14ac:dyDescent="0.3">
      <c r="A3" s="1">
        <v>1241</v>
      </c>
      <c r="B3" s="2" t="s">
        <v>187</v>
      </c>
      <c r="C3" s="1" t="s">
        <v>191</v>
      </c>
      <c r="D3" s="1" t="s">
        <v>96</v>
      </c>
      <c r="E3" s="1">
        <v>873056</v>
      </c>
      <c r="F3" s="1" t="s">
        <v>192</v>
      </c>
      <c r="G3" s="1">
        <f>17000*4+3000*4</f>
        <v>80000</v>
      </c>
      <c r="H3" s="1">
        <f>0.14*Table11819202310303132353839404148[[#This Row],[النولون]]</f>
        <v>11200.000000000002</v>
      </c>
      <c r="I3" s="1">
        <f>810+810+1135*4+105.79*3+750.23*2+667.81+45.15+1400+1596+100.35+710.5</f>
        <v>12497.64</v>
      </c>
      <c r="J3" s="1">
        <f>Table11819202310303132353839404148[[#This Row],[النولون]]+Table11819202310303132353839404148[[#This Row],[الايصالات]]+Table11819202310303132353839404148[[#This Row],[قيمة مضافة]]</f>
        <v>103697.64</v>
      </c>
      <c r="L3" s="1">
        <f>L2+Table11819202310303132353839404148[[#This Row],[اجمالي الفاتوره]]-Table11819202310303132353839404148[[#This Row],[الدفعات]]</f>
        <v>103697.64</v>
      </c>
      <c r="N3" s="48"/>
    </row>
    <row r="4" spans="1:14" ht="26.25" customHeight="1" x14ac:dyDescent="0.3">
      <c r="A4" s="1">
        <v>1242</v>
      </c>
      <c r="B4" s="2" t="s">
        <v>187</v>
      </c>
      <c r="C4" s="1" t="s">
        <v>191</v>
      </c>
      <c r="D4" s="1" t="s">
        <v>96</v>
      </c>
      <c r="E4" s="1">
        <v>813078</v>
      </c>
      <c r="F4" s="1" t="s">
        <v>143</v>
      </c>
      <c r="G4" s="1">
        <f>17000+3000</f>
        <v>20000</v>
      </c>
      <c r="H4" s="1">
        <f>0.14*Table11819202310303132353839404148[[#This Row],[النولون]]</f>
        <v>2800.0000000000005</v>
      </c>
      <c r="I4" s="1">
        <f>210+1130+492.36+45.15+25.1+350+399</f>
        <v>2651.61</v>
      </c>
      <c r="J4" s="1">
        <f>Table11819202310303132353839404148[[#This Row],[النولون]]+Table11819202310303132353839404148[[#This Row],[الايصالات]]+Table11819202310303132353839404148[[#This Row],[قيمة مضافة]]</f>
        <v>25451.61</v>
      </c>
      <c r="L4" s="1">
        <f>L3+Table11819202310303132353839404148[[#This Row],[اجمالي الفاتوره]]-Table11819202310303132353839404148[[#This Row],[الدفعات]]</f>
        <v>129149.25</v>
      </c>
      <c r="N4" s="48"/>
    </row>
    <row r="5" spans="1:14" ht="26.25" customHeight="1" x14ac:dyDescent="0.3">
      <c r="A5" s="76"/>
      <c r="B5" s="73" t="s">
        <v>337</v>
      </c>
      <c r="C5" s="76"/>
      <c r="D5" s="76"/>
      <c r="E5" s="76"/>
      <c r="F5" s="76"/>
      <c r="G5" s="76"/>
      <c r="H5" s="76">
        <f>0.14*Table11819202310303132353839404148[[#This Row],[النولون]]</f>
        <v>0</v>
      </c>
      <c r="I5" s="76"/>
      <c r="J5" s="76">
        <f>Table11819202310303132353839404148[[#This Row],[النولون]]+Table11819202310303132353839404148[[#This Row],[الايصالات]]+Table11819202310303132353839404148[[#This Row],[قيمة مضافة]]</f>
        <v>0</v>
      </c>
      <c r="K5" s="76">
        <v>129450</v>
      </c>
      <c r="L5" s="72">
        <f>L4+Table11819202310303132353839404148[[#This Row],[اجمالي الفاتوره]]-Table11819202310303132353839404148[[#This Row],[الدفعات]]</f>
        <v>-300.75</v>
      </c>
      <c r="M5" s="48"/>
      <c r="N5" s="48"/>
    </row>
    <row r="6" spans="1:14" ht="26.25" customHeight="1" x14ac:dyDescent="0.3">
      <c r="A6" s="1">
        <v>1298</v>
      </c>
      <c r="B6" s="2" t="s">
        <v>299</v>
      </c>
      <c r="C6" s="1" t="s">
        <v>191</v>
      </c>
      <c r="D6" s="1" t="s">
        <v>96</v>
      </c>
      <c r="E6" s="1">
        <v>881561</v>
      </c>
      <c r="F6" s="1" t="s">
        <v>121</v>
      </c>
      <c r="G6" s="1">
        <v>13600</v>
      </c>
      <c r="H6" s="1">
        <f>0.14*Table11819202310303132353839404148[[#This Row],[النولون]]</f>
        <v>1904.0000000000002</v>
      </c>
      <c r="I6" s="1">
        <f>850+1135+210+822.46+50+1140+200+285</f>
        <v>4692.46</v>
      </c>
      <c r="J6" s="1">
        <f>Table11819202310303132353839404148[[#This Row],[النولون]]+Table11819202310303132353839404148[[#This Row],[الايصالات]]+Table11819202310303132353839404148[[#This Row],[قيمة مضافة]]</f>
        <v>20196.46</v>
      </c>
      <c r="L6" s="1">
        <f>L5+Table11819202310303132353839404148[[#This Row],[اجمالي الفاتوره]]-Table11819202310303132353839404148[[#This Row],[الدفعات]]</f>
        <v>19895.71</v>
      </c>
      <c r="N6" s="48"/>
    </row>
    <row r="7" spans="1:14" ht="26.25" customHeight="1" x14ac:dyDescent="0.3">
      <c r="A7" s="1">
        <v>1309</v>
      </c>
      <c r="B7" s="2" t="s">
        <v>323</v>
      </c>
      <c r="C7" s="1" t="s">
        <v>191</v>
      </c>
      <c r="D7" s="1" t="s">
        <v>96</v>
      </c>
      <c r="E7" s="1">
        <v>266224624</v>
      </c>
      <c r="F7" s="1" t="s">
        <v>121</v>
      </c>
      <c r="G7" s="1">
        <v>13600</v>
      </c>
      <c r="H7" s="1">
        <f>0.14*Table11819202310303132353839404148[[#This Row],[النولون]]</f>
        <v>1904.0000000000002</v>
      </c>
      <c r="I7" s="1">
        <f>210+810+365.21+1130+500+2086.2+4259</f>
        <v>9360.41</v>
      </c>
      <c r="J7" s="1">
        <f>Table11819202310303132353839404148[[#This Row],[النولون]]+Table11819202310303132353839404148[[#This Row],[الايصالات]]+Table11819202310303132353839404148[[#This Row],[قيمة مضافة]]</f>
        <v>24864.41</v>
      </c>
      <c r="L7" s="1">
        <f>L6+Table11819202310303132353839404148[[#This Row],[اجمالي الفاتوره]]-Table11819202310303132353839404148[[#This Row],[الدفعات]]</f>
        <v>44760.119999999995</v>
      </c>
      <c r="N7" s="48"/>
    </row>
    <row r="8" spans="1:14" ht="26.25" customHeight="1" x14ac:dyDescent="0.3">
      <c r="A8" s="76"/>
      <c r="B8" s="73" t="s">
        <v>389</v>
      </c>
      <c r="C8" s="76"/>
      <c r="D8" s="76"/>
      <c r="E8" s="76"/>
      <c r="F8" s="76"/>
      <c r="G8" s="76"/>
      <c r="H8" s="76">
        <f>0.14*Table11819202310303132353839404148[[#This Row],[النولون]]</f>
        <v>0</v>
      </c>
      <c r="I8" s="76"/>
      <c r="J8" s="76">
        <f>Table11819202310303132353839404148[[#This Row],[النولون]]+Table11819202310303132353839404148[[#This Row],[الايصالات]]+Table11819202310303132353839404148[[#This Row],[قيمة مضافة]]</f>
        <v>0</v>
      </c>
      <c r="K8" s="76">
        <v>45062</v>
      </c>
      <c r="L8" s="72">
        <f>L7+Table11819202310303132353839404148[[#This Row],[اجمالي الفاتوره]]-Table11819202310303132353839404148[[#This Row],[الدفعات]]</f>
        <v>-301.88000000000466</v>
      </c>
      <c r="M8" s="48"/>
      <c r="N8" s="48"/>
    </row>
    <row r="9" spans="1:14" ht="26.25" customHeight="1" x14ac:dyDescent="0.3">
      <c r="A9" s="1">
        <v>1313</v>
      </c>
      <c r="B9" s="2" t="s">
        <v>342</v>
      </c>
      <c r="C9" s="1" t="s">
        <v>191</v>
      </c>
      <c r="D9" s="1" t="s">
        <v>96</v>
      </c>
      <c r="E9" s="1">
        <v>889983</v>
      </c>
      <c r="F9" s="1" t="s">
        <v>143</v>
      </c>
      <c r="G9" s="1">
        <f>17000+3000</f>
        <v>20000</v>
      </c>
      <c r="H9" s="1">
        <f>0.14*Table11819202310303132353839404148[[#This Row],[النولون]]</f>
        <v>2800.0000000000005</v>
      </c>
      <c r="I9" s="1">
        <f>810+210+1135+750.23+50+1768+350+399</f>
        <v>5472.23</v>
      </c>
      <c r="J9" s="1">
        <f>Table11819202310303132353839404148[[#This Row],[النولون]]+Table11819202310303132353839404148[[#This Row],[الايصالات]]+Table11819202310303132353839404148[[#This Row],[قيمة مضافة]]</f>
        <v>28272.23</v>
      </c>
      <c r="L9" s="1">
        <f>L8+Table11819202310303132353839404148[[#This Row],[اجمالي الفاتوره]]-Table11819202310303132353839404148[[#This Row],[الدفعات]]</f>
        <v>27970.349999999995</v>
      </c>
      <c r="N9" s="48"/>
    </row>
    <row r="10" spans="1:14" ht="26.25" customHeight="1" x14ac:dyDescent="0.3">
      <c r="A10" s="1">
        <v>1338</v>
      </c>
      <c r="B10" s="2" t="s">
        <v>398</v>
      </c>
      <c r="C10" s="1" t="s">
        <v>191</v>
      </c>
      <c r="D10" s="1" t="s">
        <v>96</v>
      </c>
      <c r="E10" s="1">
        <v>894811</v>
      </c>
      <c r="F10" s="1" t="s">
        <v>143</v>
      </c>
      <c r="G10" s="1">
        <f>18500+3000</f>
        <v>21500</v>
      </c>
      <c r="H10" s="1">
        <f>0.14*Table11819202310303132353839404148[[#This Row],[النولون]]</f>
        <v>3010.0000000000005</v>
      </c>
      <c r="I10" s="1">
        <f>1130+105.79+478.59+210+350+399</f>
        <v>2673.38</v>
      </c>
      <c r="J10" s="1">
        <f>Table11819202310303132353839404148[[#This Row],[النولون]]+Table11819202310303132353839404148[[#This Row],[الايصالات]]+Table11819202310303132353839404148[[#This Row],[قيمة مضافة]]</f>
        <v>27183.38</v>
      </c>
      <c r="L10" s="1">
        <f>L9+Table11819202310303132353839404148[[#This Row],[اجمالي الفاتوره]]-Table11819202310303132353839404148[[#This Row],[الدفعات]]</f>
        <v>55153.729999999996</v>
      </c>
      <c r="N10" s="48"/>
    </row>
    <row r="11" spans="1:14" ht="26.25" customHeight="1" x14ac:dyDescent="0.3">
      <c r="A11" s="76"/>
      <c r="B11" s="73" t="s">
        <v>442</v>
      </c>
      <c r="C11" s="76"/>
      <c r="D11" s="76"/>
      <c r="E11" s="76"/>
      <c r="F11" s="76"/>
      <c r="G11" s="76"/>
      <c r="H11" s="76">
        <f>0.14*Table11819202310303132353839404148[[#This Row],[النولون]]</f>
        <v>0</v>
      </c>
      <c r="I11" s="76"/>
      <c r="J11" s="76">
        <f>Table11819202310303132353839404148[[#This Row],[النولون]]+Table11819202310303132353839404148[[#This Row],[الايصالات]]+Table11819202310303132353839404148[[#This Row],[قيمة مضافة]]</f>
        <v>0</v>
      </c>
      <c r="K11" s="76">
        <v>55455</v>
      </c>
      <c r="L11" s="72">
        <f>L10+Table11819202310303132353839404148[[#This Row],[اجمالي الفاتوره]]-Table11819202310303132353839404148[[#This Row],[الدفعات]]</f>
        <v>-301.27000000000407</v>
      </c>
      <c r="M11" s="48"/>
      <c r="N11" s="48"/>
    </row>
    <row r="12" spans="1:14" ht="26.25" customHeight="1" x14ac:dyDescent="0.3">
      <c r="A12" s="1">
        <v>1373</v>
      </c>
      <c r="B12" s="2">
        <v>46123</v>
      </c>
      <c r="C12" s="1" t="s">
        <v>191</v>
      </c>
      <c r="D12" s="1" t="s">
        <v>96</v>
      </c>
      <c r="E12" s="20">
        <v>26207022</v>
      </c>
      <c r="F12" s="1" t="s">
        <v>181</v>
      </c>
      <c r="G12" s="1">
        <f>14800*4</f>
        <v>59200</v>
      </c>
      <c r="H12" s="1">
        <f>0.14*Table11819202310303132353839404148[[#This Row],[النولون]]</f>
        <v>8288</v>
      </c>
      <c r="I12" s="1">
        <f>1130*4+477.98+670.78+475.15+829.66+6404.4+5130+399+400+1437</f>
        <v>20743.969999999998</v>
      </c>
      <c r="J12" s="1">
        <f>Table11819202310303132353839404148[[#This Row],[النولون]]+Table11819202310303132353839404148[[#This Row],[الايصالات]]+Table11819202310303132353839404148[[#This Row],[قيمة مضافة]]</f>
        <v>88231.97</v>
      </c>
      <c r="L12" s="1">
        <f>L11+Table11819202310303132353839404148[[#This Row],[اجمالي الفاتوره]]-Table11819202310303132353839404148[[#This Row],[الدفعات]]</f>
        <v>87930.7</v>
      </c>
      <c r="N12" s="48"/>
    </row>
    <row r="13" spans="1:14" ht="26.25" customHeight="1" x14ac:dyDescent="0.3">
      <c r="A13" s="1">
        <v>1417</v>
      </c>
      <c r="B13" s="2">
        <v>46138</v>
      </c>
      <c r="C13" s="1" t="s">
        <v>191</v>
      </c>
      <c r="D13" s="1" t="s">
        <v>96</v>
      </c>
      <c r="E13" s="20">
        <v>901028</v>
      </c>
      <c r="F13" s="1" t="s">
        <v>285</v>
      </c>
      <c r="G13" s="1">
        <f>14800*6</f>
        <v>88800</v>
      </c>
      <c r="H13" s="1">
        <f>0.14*Table11819202310303132353839404148[[#This Row],[النولون]]</f>
        <v>12432.000000000002</v>
      </c>
      <c r="I13" s="1">
        <f>850+410+1130*6+670.78+541.64+938.01+699.7+498.63+829.7+7633.44+1710+1200</f>
        <v>22761.9</v>
      </c>
      <c r="J13" s="1">
        <f>Table11819202310303132353839404148[[#This Row],[النولون]]+Table11819202310303132353839404148[[#This Row],[الايصالات]]+Table11819202310303132353839404148[[#This Row],[قيمة مضافة]]</f>
        <v>123993.9</v>
      </c>
      <c r="L13" s="1">
        <f>L12+Table11819202310303132353839404148[[#This Row],[اجمالي الفاتوره]]-Table11819202310303132353839404148[[#This Row],[الدفعات]]</f>
        <v>211924.59999999998</v>
      </c>
      <c r="N13" s="48"/>
    </row>
    <row r="14" spans="1:14" ht="26.25" customHeight="1" x14ac:dyDescent="0.3">
      <c r="A14" s="1">
        <v>1418</v>
      </c>
      <c r="B14" s="2">
        <v>46138</v>
      </c>
      <c r="C14" s="1" t="s">
        <v>191</v>
      </c>
      <c r="D14" s="1" t="s">
        <v>96</v>
      </c>
      <c r="E14" s="20">
        <v>903930</v>
      </c>
      <c r="F14" s="1" t="s">
        <v>143</v>
      </c>
      <c r="G14" s="1">
        <f>18200+3000</f>
        <v>21200</v>
      </c>
      <c r="H14" s="1">
        <f>0.14*Table11819202310303132353839404148[[#This Row],[النولون]]</f>
        <v>2968.0000000000005</v>
      </c>
      <c r="I14" s="1">
        <f>210+850+1130+488.31+45.15+250+350+399+39.9</f>
        <v>3762.36</v>
      </c>
      <c r="J14" s="1">
        <f>Table11819202310303132353839404148[[#This Row],[النولون]]+Table11819202310303132353839404148[[#This Row],[الايصالات]]+Table11819202310303132353839404148[[#This Row],[قيمة مضافة]]</f>
        <v>27930.36</v>
      </c>
      <c r="L14" s="1">
        <f>L13+Table11819202310303132353839404148[[#This Row],[اجمالي الفاتوره]]-Table11819202310303132353839404148[[#This Row],[الدفعات]]</f>
        <v>239854.95999999996</v>
      </c>
      <c r="N14" s="48"/>
    </row>
    <row r="15" spans="1:14" ht="26.25" customHeight="1" x14ac:dyDescent="0.3">
      <c r="A15" s="1">
        <v>1419</v>
      </c>
      <c r="B15" s="2">
        <v>46138</v>
      </c>
      <c r="C15" s="1" t="s">
        <v>191</v>
      </c>
      <c r="D15" s="1" t="s">
        <v>96</v>
      </c>
      <c r="E15" s="1">
        <v>903923</v>
      </c>
      <c r="F15" s="1" t="s">
        <v>143</v>
      </c>
      <c r="G15" s="1">
        <f>18200+3000</f>
        <v>21200</v>
      </c>
      <c r="H15" s="1">
        <f>0.14*Table11819202310303132353839404148[[#This Row],[النولون]]</f>
        <v>2968.0000000000005</v>
      </c>
      <c r="I15" s="1">
        <f>810+50+1130+829.66+50+1140+350+399</f>
        <v>4758.66</v>
      </c>
      <c r="J15" s="1">
        <f>Table11819202310303132353839404148[[#This Row],[النولون]]+Table11819202310303132353839404148[[#This Row],[الايصالات]]+Table11819202310303132353839404148[[#This Row],[قيمة مضافة]]</f>
        <v>28926.66</v>
      </c>
      <c r="L15" s="1">
        <f>L14+Table11819202310303132353839404148[[#This Row],[اجمالي الفاتوره]]-Table11819202310303132353839404148[[#This Row],[الدفعات]]</f>
        <v>268781.61999999994</v>
      </c>
      <c r="M15" s="1">
        <f>SUM(J:J)-SUM(K:K)+L2</f>
        <v>167068.43999999994</v>
      </c>
      <c r="N15" s="48">
        <f>SUM(H:H)</f>
        <v>69426.000000000015</v>
      </c>
    </row>
    <row r="16" spans="1:14" ht="26.25" customHeight="1" x14ac:dyDescent="0.3">
      <c r="A16" s="1">
        <v>1420</v>
      </c>
      <c r="B16" s="2">
        <v>46138</v>
      </c>
      <c r="C16" s="1" t="s">
        <v>191</v>
      </c>
      <c r="D16" s="1" t="s">
        <v>96</v>
      </c>
      <c r="E16" s="1">
        <v>908217</v>
      </c>
      <c r="F16" s="1" t="s">
        <v>143</v>
      </c>
      <c r="G16" s="1">
        <f>18200+3000</f>
        <v>21200</v>
      </c>
      <c r="H16" s="1">
        <f>0.14*Table11819202310303132353839404148[[#This Row],[النولون]]</f>
        <v>2968.0000000000005</v>
      </c>
      <c r="I16" s="1">
        <f>210+50+1130+494.57+50+1140+700+798</f>
        <v>4572.57</v>
      </c>
      <c r="J16" s="1">
        <f>Table11819202310303132353839404148[[#This Row],[النولون]]+Table11819202310303132353839404148[[#This Row],[الايصالات]]+Table11819202310303132353839404148[[#This Row],[قيمة مضافة]]</f>
        <v>28740.57</v>
      </c>
      <c r="L16" s="1">
        <f>L15+Table11819202310303132353839404148[[#This Row],[اجمالي الفاتوره]]-Table11819202310303132353839404148[[#This Row],[الدفعات]]</f>
        <v>297522.18999999994</v>
      </c>
      <c r="N16" s="48"/>
    </row>
    <row r="17" spans="1:14" ht="26.25" customHeight="1" x14ac:dyDescent="0.3">
      <c r="A17" s="72"/>
      <c r="B17" s="73">
        <v>46162</v>
      </c>
      <c r="C17" s="72"/>
      <c r="D17" s="72"/>
      <c r="E17" s="72"/>
      <c r="F17" s="72"/>
      <c r="G17" s="72"/>
      <c r="H17" s="72">
        <f>0.14*Table11819202310303132353839404148[[#This Row],[النولون]]</f>
        <v>0</v>
      </c>
      <c r="I17" s="72"/>
      <c r="J17" s="72">
        <f>Table11819202310303132353839404148[[#This Row],[النولون]]+Table11819202310303132353839404148[[#This Row],[الايصالات]]+Table11819202310303132353839404148[[#This Row],[قيمة مضافة]]</f>
        <v>0</v>
      </c>
      <c r="K17" s="72">
        <v>297824</v>
      </c>
      <c r="L17" s="72">
        <f>L16+Table11819202310303132353839404148[[#This Row],[اجمالي الفاتوره]]-Table11819202310303132353839404148[[#This Row],[الدفعات]]</f>
        <v>-301.81000000005588</v>
      </c>
      <c r="N17" s="48"/>
    </row>
    <row r="18" spans="1:14" ht="26.25" customHeight="1" x14ac:dyDescent="0.3">
      <c r="A18" s="1">
        <v>1509</v>
      </c>
      <c r="B18" s="2">
        <v>46180</v>
      </c>
      <c r="C18" s="1" t="s">
        <v>191</v>
      </c>
      <c r="D18" s="1" t="s">
        <v>96</v>
      </c>
      <c r="E18" s="1">
        <v>270487806</v>
      </c>
      <c r="F18" s="1" t="s">
        <v>92</v>
      </c>
      <c r="G18" s="1">
        <f>14800*2</f>
        <v>29600</v>
      </c>
      <c r="H18" s="1">
        <f>0.14*Table11819202310303132353839404148[[#This Row],[النولون]]</f>
        <v>4144</v>
      </c>
      <c r="I18" s="1">
        <f>150+850+1100+1100+869.38+750.23+3988+997+9230</f>
        <v>19034.61</v>
      </c>
      <c r="J18" s="1">
        <f>Table11819202310303132353839404148[[#This Row],[النولون]]+Table11819202310303132353839404148[[#This Row],[الايصالات]]+Table11819202310303132353839404148[[#This Row],[قيمة مضافة]]</f>
        <v>52778.61</v>
      </c>
      <c r="L18" s="1">
        <f>L17+Table11819202310303132353839404148[[#This Row],[اجمالي الفاتوره]]-Table11819202310303132353839404148[[#This Row],[الدفعات]]</f>
        <v>52476.799999999945</v>
      </c>
      <c r="N18" s="48"/>
    </row>
    <row r="19" spans="1:14" ht="26.25" customHeight="1" x14ac:dyDescent="0.3">
      <c r="A19" s="1">
        <v>1510</v>
      </c>
      <c r="B19" s="2">
        <v>46180</v>
      </c>
      <c r="C19" s="1" t="s">
        <v>191</v>
      </c>
      <c r="D19" s="1" t="s">
        <v>96</v>
      </c>
      <c r="E19" s="1">
        <v>161953</v>
      </c>
      <c r="F19" s="1" t="s">
        <v>158</v>
      </c>
      <c r="G19" s="1">
        <f>3*14800</f>
        <v>44400</v>
      </c>
      <c r="H19" s="1">
        <f>0.14*Table11819202310303132353839404148[[#This Row],[النولون]]</f>
        <v>6216.0000000000009</v>
      </c>
      <c r="I19" s="1">
        <f>1130*2+1100+475.15*3+4275</f>
        <v>9060.4500000000007</v>
      </c>
      <c r="J19" s="1">
        <f>Table11819202310303132353839404148[[#This Row],[النولون]]+Table11819202310303132353839404148[[#This Row],[الايصالات]]+Table11819202310303132353839404148[[#This Row],[قيمة مضافة]]</f>
        <v>59676.45</v>
      </c>
      <c r="L19" s="1">
        <f>L18+Table11819202310303132353839404148[[#This Row],[اجمالي الفاتوره]]-Table11819202310303132353839404148[[#This Row],[الدفعات]]</f>
        <v>112153.24999999994</v>
      </c>
      <c r="N19" s="48"/>
    </row>
    <row r="20" spans="1:14" ht="26.25" customHeight="1" x14ac:dyDescent="0.3">
      <c r="A20" s="1">
        <v>1559</v>
      </c>
      <c r="B20" s="2">
        <v>46196</v>
      </c>
      <c r="C20" s="1" t="s">
        <v>191</v>
      </c>
      <c r="D20" s="1" t="s">
        <v>96</v>
      </c>
      <c r="E20" s="1">
        <v>929092</v>
      </c>
      <c r="F20" s="1" t="s">
        <v>272</v>
      </c>
      <c r="G20" s="1">
        <f>17800*2+3000*2</f>
        <v>41600</v>
      </c>
      <c r="H20" s="1">
        <f>0.14*Table11819202310303132353839404148[[#This Row],[النولون]]</f>
        <v>5824.0000000000009</v>
      </c>
      <c r="I20" s="1">
        <f>100+410+1130+365.21+477.98+2280+100+1130+700+798</f>
        <v>7491.1900000000005</v>
      </c>
      <c r="J20" s="1">
        <f>Table11819202310303132353839404148[[#This Row],[النولون]]+Table11819202310303132353839404148[[#This Row],[الايصالات]]+Table11819202310303132353839404148[[#This Row],[قيمة مضافة]]</f>
        <v>54915.19</v>
      </c>
      <c r="L20" s="1">
        <f>L19+Table11819202310303132353839404148[[#This Row],[اجمالي الفاتوره]]-Table11819202310303132353839404148[[#This Row],[الدفعات]]</f>
        <v>167068.43999999994</v>
      </c>
      <c r="N20" s="48"/>
    </row>
    <row r="21" spans="1:14" ht="26.25" customHeight="1" x14ac:dyDescent="0.3">
      <c r="B21" s="2"/>
      <c r="H21" s="1">
        <f>0.14*Table11819202310303132353839404148[[#This Row],[النولون]]</f>
        <v>0</v>
      </c>
      <c r="J21" s="1">
        <f>Table11819202310303132353839404148[[#This Row],[النولون]]+Table11819202310303132353839404148[[#This Row],[الايصالات]]+Table11819202310303132353839404148[[#This Row],[قيمة مضافة]]</f>
        <v>0</v>
      </c>
      <c r="L21" s="1">
        <f>L20+Table11819202310303132353839404148[[#This Row],[اجمالي الفاتوره]]-Table11819202310303132353839404148[[#This Row],[الدفعات]]</f>
        <v>167068.43999999994</v>
      </c>
      <c r="N21" s="48"/>
    </row>
    <row r="22" spans="1:14" ht="26.25" customHeight="1" x14ac:dyDescent="0.3">
      <c r="B22" s="2"/>
      <c r="H22" s="1">
        <f>0.14*Table11819202310303132353839404148[[#This Row],[النولون]]</f>
        <v>0</v>
      </c>
      <c r="J22" s="1">
        <f>Table11819202310303132353839404148[[#This Row],[النولون]]+Table11819202310303132353839404148[[#This Row],[الايصالات]]+Table11819202310303132353839404148[[#This Row],[قيمة مضافة]]</f>
        <v>0</v>
      </c>
      <c r="L22" s="1">
        <f>L21+Table11819202310303132353839404148[[#This Row],[اجمالي الفاتوره]]-Table11819202310303132353839404148[[#This Row],[الدفعات]]</f>
        <v>167068.43999999994</v>
      </c>
      <c r="N22" s="48"/>
    </row>
    <row r="23" spans="1:14" ht="26.25" customHeight="1" x14ac:dyDescent="0.3">
      <c r="B23" s="2"/>
      <c r="H23" s="1">
        <f>0.14*Table11819202310303132353839404148[[#This Row],[النولون]]</f>
        <v>0</v>
      </c>
      <c r="J23" s="1">
        <f>Table11819202310303132353839404148[[#This Row],[النولون]]+Table11819202310303132353839404148[[#This Row],[الايصالات]]+Table11819202310303132353839404148[[#This Row],[قيمة مضافة]]</f>
        <v>0</v>
      </c>
      <c r="L23" s="1">
        <f>L22+Table11819202310303132353839404148[[#This Row],[اجمالي الفاتوره]]-Table11819202310303132353839404148[[#This Row],[الدفعات]]</f>
        <v>167068.43999999994</v>
      </c>
      <c r="N23" s="48"/>
    </row>
    <row r="24" spans="1:14" ht="26.25" customHeight="1" x14ac:dyDescent="0.3">
      <c r="B24" s="2"/>
      <c r="H24" s="1">
        <f>0.14*Table11819202310303132353839404148[[#This Row],[النولون]]</f>
        <v>0</v>
      </c>
      <c r="J24" s="1">
        <f>Table11819202310303132353839404148[[#This Row],[النولون]]+Table11819202310303132353839404148[[#This Row],[الايصالات]]+Table11819202310303132353839404148[[#This Row],[قيمة مضافة]]</f>
        <v>0</v>
      </c>
      <c r="L24" s="1">
        <f>L23+Table11819202310303132353839404148[[#This Row],[اجمالي الفاتوره]]-Table11819202310303132353839404148[[#This Row],[الدفعات]]</f>
        <v>167068.43999999994</v>
      </c>
      <c r="N24" s="48"/>
    </row>
    <row r="25" spans="1:14" ht="26.25" customHeight="1" x14ac:dyDescent="0.3">
      <c r="B25" s="2"/>
      <c r="H25" s="1">
        <f>0.14*Table11819202310303132353839404148[[#This Row],[النولون]]</f>
        <v>0</v>
      </c>
      <c r="J25" s="1">
        <f>Table11819202310303132353839404148[[#This Row],[النولون]]+Table11819202310303132353839404148[[#This Row],[الايصالات]]+Table11819202310303132353839404148[[#This Row],[قيمة مضافة]]</f>
        <v>0</v>
      </c>
      <c r="L25" s="1">
        <f>L24+Table11819202310303132353839404148[[#This Row],[اجمالي الفاتوره]]-Table11819202310303132353839404148[[#This Row],[الدفعات]]</f>
        <v>167068.43999999994</v>
      </c>
      <c r="N25" s="48"/>
    </row>
    <row r="26" spans="1:14" ht="26.25" customHeight="1" x14ac:dyDescent="0.3">
      <c r="B26" s="2"/>
      <c r="H26" s="1">
        <f>0.14*Table11819202310303132353839404148[[#This Row],[النولون]]</f>
        <v>0</v>
      </c>
      <c r="J26" s="1">
        <f>Table11819202310303132353839404148[[#This Row],[النولون]]+Table11819202310303132353839404148[[#This Row],[الايصالات]]+Table11819202310303132353839404148[[#This Row],[قيمة مضافة]]</f>
        <v>0</v>
      </c>
      <c r="L26" s="1">
        <f>L25+Table11819202310303132353839404148[[#This Row],[اجمالي الفاتوره]]-Table11819202310303132353839404148[[#This Row],[الدفعات]]</f>
        <v>167068.43999999994</v>
      </c>
      <c r="N26" s="48"/>
    </row>
    <row r="27" spans="1:14" ht="26.25" customHeight="1" x14ac:dyDescent="0.3">
      <c r="H27" s="1">
        <f>0.14*Table11819202310303132353839404148[[#This Row],[النولون]]</f>
        <v>0</v>
      </c>
      <c r="J27" s="1">
        <f>Table11819202310303132353839404148[[#This Row],[النولون]]+Table11819202310303132353839404148[[#This Row],[الايصالات]]+Table11819202310303132353839404148[[#This Row],[قيمة مضافة]]</f>
        <v>0</v>
      </c>
      <c r="L27" s="1">
        <f>L26+Table11819202310303132353839404148[[#This Row],[اجمالي الفاتوره]]-Table11819202310303132353839404148[[#This Row],[الدفعات]]</f>
        <v>167068.43999999994</v>
      </c>
      <c r="N27" s="48"/>
    </row>
    <row r="28" spans="1:14" ht="26.25" customHeight="1" x14ac:dyDescent="0.3">
      <c r="H28" s="1">
        <f>0.14*Table11819202310303132353839404148[[#This Row],[النولون]]</f>
        <v>0</v>
      </c>
      <c r="J28" s="1">
        <f>Table11819202310303132353839404148[[#This Row],[النولون]]+Table11819202310303132353839404148[[#This Row],[الايصالات]]+Table11819202310303132353839404148[[#This Row],[قيمة مضافة]]</f>
        <v>0</v>
      </c>
      <c r="L28" s="1">
        <f>L27+Table11819202310303132353839404148[[#This Row],[اجمالي الفاتوره]]-Table11819202310303132353839404148[[#This Row],[الدفعات]]</f>
        <v>167068.43999999994</v>
      </c>
      <c r="N28" s="48"/>
    </row>
    <row r="29" spans="1:14" ht="26.25" customHeight="1" x14ac:dyDescent="0.3">
      <c r="B29" s="2"/>
      <c r="H29" s="1">
        <f>0.14*Table11819202310303132353839404148[[#This Row],[النولون]]</f>
        <v>0</v>
      </c>
      <c r="J29" s="1">
        <f>Table11819202310303132353839404148[[#This Row],[النولون]]+Table11819202310303132353839404148[[#This Row],[الايصالات]]+Table11819202310303132353839404148[[#This Row],[قيمة مضافة]]</f>
        <v>0</v>
      </c>
      <c r="L29" s="1">
        <f>L28+Table11819202310303132353839404148[[#This Row],[اجمالي الفاتوره]]-Table11819202310303132353839404148[[#This Row],[الدفعات]]</f>
        <v>167068.43999999994</v>
      </c>
      <c r="N29" s="48"/>
    </row>
    <row r="30" spans="1:14" ht="26.25" customHeight="1" x14ac:dyDescent="0.3">
      <c r="B30" s="2"/>
      <c r="H30" s="1">
        <f>0.14*Table11819202310303132353839404148[[#This Row],[النولون]]</f>
        <v>0</v>
      </c>
      <c r="J30" s="1">
        <f>Table11819202310303132353839404148[[#This Row],[النولون]]+Table11819202310303132353839404148[[#This Row],[الايصالات]]+Table11819202310303132353839404148[[#This Row],[قيمة مضافة]]</f>
        <v>0</v>
      </c>
      <c r="L30" s="1">
        <f>L29+Table11819202310303132353839404148[[#This Row],[اجمالي الفاتوره]]-Table11819202310303132353839404148[[#This Row],[الدفعات]]</f>
        <v>167068.43999999994</v>
      </c>
      <c r="N30" s="48"/>
    </row>
    <row r="31" spans="1:14" ht="26.25" customHeight="1" x14ac:dyDescent="0.3">
      <c r="B31" s="2"/>
      <c r="H31" s="1">
        <f>0.14*Table11819202310303132353839404148[[#This Row],[النولون]]</f>
        <v>0</v>
      </c>
      <c r="J31" s="1">
        <f>Table11819202310303132353839404148[[#This Row],[النولون]]+Table11819202310303132353839404148[[#This Row],[الايصالات]]+Table11819202310303132353839404148[[#This Row],[قيمة مضافة]]</f>
        <v>0</v>
      </c>
      <c r="L31" s="1">
        <f>L30+Table11819202310303132353839404148[[#This Row],[اجمالي الفاتوره]]-Table11819202310303132353839404148[[#This Row],[الدفعات]]</f>
        <v>167068.43999999994</v>
      </c>
      <c r="N31" s="48"/>
    </row>
    <row r="32" spans="1:14" ht="26.25" customHeight="1" x14ac:dyDescent="0.3">
      <c r="B32" s="2"/>
      <c r="H32" s="1">
        <f>0.14*Table11819202310303132353839404148[[#This Row],[النولون]]</f>
        <v>0</v>
      </c>
      <c r="J32" s="1">
        <f>Table11819202310303132353839404148[[#This Row],[النولون]]+Table11819202310303132353839404148[[#This Row],[الايصالات]]+Table11819202310303132353839404148[[#This Row],[قيمة مضافة]]</f>
        <v>0</v>
      </c>
      <c r="L32" s="1">
        <f>L31+Table11819202310303132353839404148[[#This Row],[اجمالي الفاتوره]]-Table11819202310303132353839404148[[#This Row],[الدفعات]]</f>
        <v>167068.43999999994</v>
      </c>
      <c r="N32" s="48"/>
    </row>
    <row r="33" spans="2:14" ht="26.25" customHeight="1" x14ac:dyDescent="0.3">
      <c r="H33" s="1">
        <f>0.14*Table11819202310303132353839404148[[#This Row],[النولون]]</f>
        <v>0</v>
      </c>
      <c r="J33" s="1">
        <f>Table11819202310303132353839404148[[#This Row],[النولون]]+Table11819202310303132353839404148[[#This Row],[الايصالات]]+Table11819202310303132353839404148[[#This Row],[قيمة مضافة]]</f>
        <v>0</v>
      </c>
      <c r="L33" s="1">
        <f>L32+Table11819202310303132353839404148[[#This Row],[اجمالي الفاتوره]]-Table11819202310303132353839404148[[#This Row],[الدفعات]]</f>
        <v>167068.43999999994</v>
      </c>
      <c r="N33" s="48"/>
    </row>
    <row r="34" spans="2:14" ht="26.25" customHeight="1" x14ac:dyDescent="0.3">
      <c r="B34" s="2"/>
      <c r="H34" s="1">
        <f>0.14*Table11819202310303132353839404148[[#This Row],[النولون]]</f>
        <v>0</v>
      </c>
      <c r="J34" s="1">
        <f>Table11819202310303132353839404148[[#This Row],[النولون]]+Table11819202310303132353839404148[[#This Row],[الايصالات]]+Table11819202310303132353839404148[[#This Row],[قيمة مضافة]]</f>
        <v>0</v>
      </c>
      <c r="L34" s="1">
        <f>L33+Table11819202310303132353839404148[[#This Row],[اجمالي الفاتوره]]-Table11819202310303132353839404148[[#This Row],[الدفعات]]</f>
        <v>167068.43999999994</v>
      </c>
      <c r="N34" s="48"/>
    </row>
    <row r="35" spans="2:14" ht="26.25" customHeight="1" x14ac:dyDescent="0.3">
      <c r="H35" s="1">
        <f>0.14*Table11819202310303132353839404148[[#This Row],[النولون]]</f>
        <v>0</v>
      </c>
      <c r="J35" s="1">
        <f>Table11819202310303132353839404148[[#This Row],[النولون]]+Table11819202310303132353839404148[[#This Row],[الايصالات]]+Table11819202310303132353839404148[[#This Row],[قيمة مضافة]]</f>
        <v>0</v>
      </c>
      <c r="L35" s="1">
        <f>L34+Table11819202310303132353839404148[[#This Row],[اجمالي الفاتوره]]-Table11819202310303132353839404148[[#This Row],[الدفعات]]</f>
        <v>167068.43999999994</v>
      </c>
      <c r="N35" s="48"/>
    </row>
    <row r="36" spans="2:14" ht="26.25" customHeight="1" x14ac:dyDescent="0.3">
      <c r="H36" s="1">
        <f>0.14*Table11819202310303132353839404148[[#This Row],[النولون]]</f>
        <v>0</v>
      </c>
      <c r="J36" s="1">
        <f>Table11819202310303132353839404148[[#This Row],[النولون]]+Table11819202310303132353839404148[[#This Row],[الايصالات]]+Table11819202310303132353839404148[[#This Row],[قيمة مضافة]]</f>
        <v>0</v>
      </c>
      <c r="L36" s="1">
        <f>L35+Table11819202310303132353839404148[[#This Row],[اجمالي الفاتوره]]-Table11819202310303132353839404148[[#This Row],[الدفعات]]</f>
        <v>167068.43999999994</v>
      </c>
      <c r="N36" s="48"/>
    </row>
    <row r="37" spans="2:14" ht="26.25" customHeight="1" x14ac:dyDescent="0.3">
      <c r="H37" s="1">
        <f>0.14*Table11819202310303132353839404148[[#This Row],[النولون]]</f>
        <v>0</v>
      </c>
      <c r="J37" s="1">
        <f>Table11819202310303132353839404148[[#This Row],[النولون]]+Table11819202310303132353839404148[[#This Row],[الايصالات]]+Table11819202310303132353839404148[[#This Row],[قيمة مضافة]]</f>
        <v>0</v>
      </c>
      <c r="L37" s="1">
        <f>L36+Table11819202310303132353839404148[[#This Row],[اجمالي الفاتوره]]-Table11819202310303132353839404148[[#This Row],[الدفعات]]</f>
        <v>167068.43999999994</v>
      </c>
      <c r="N37" s="48"/>
    </row>
    <row r="38" spans="2:14" ht="26.25" customHeight="1" x14ac:dyDescent="0.3">
      <c r="B38" s="2"/>
      <c r="C38" s="2"/>
      <c r="H38" s="1">
        <f>0.14*Table11819202310303132353839404148[[#This Row],[النولون]]</f>
        <v>0</v>
      </c>
      <c r="J38" s="1">
        <f>Table11819202310303132353839404148[[#This Row],[النولون]]+Table11819202310303132353839404148[[#This Row],[الايصالات]]+Table11819202310303132353839404148[[#This Row],[قيمة مضافة]]</f>
        <v>0</v>
      </c>
      <c r="L38" s="1">
        <f>L37+Table11819202310303132353839404148[[#This Row],[اجمالي الفاتوره]]-Table11819202310303132353839404148[[#This Row],[الدفعات]]</f>
        <v>167068.43999999994</v>
      </c>
      <c r="N38" s="48"/>
    </row>
    <row r="39" spans="2:14" ht="26.25" customHeight="1" x14ac:dyDescent="0.3">
      <c r="H39" s="1">
        <f>0.14*Table11819202310303132353839404148[[#This Row],[النولون]]</f>
        <v>0</v>
      </c>
      <c r="J39" s="1">
        <f>Table11819202310303132353839404148[[#This Row],[النولون]]+Table11819202310303132353839404148[[#This Row],[الايصالات]]+Table11819202310303132353839404148[[#This Row],[قيمة مضافة]]</f>
        <v>0</v>
      </c>
      <c r="L39" s="1">
        <f>L38+Table11819202310303132353839404148[[#This Row],[اجمالي الفاتوره]]-Table11819202310303132353839404148[[#This Row],[الدفعات]]</f>
        <v>167068.43999999994</v>
      </c>
      <c r="N39" s="48"/>
    </row>
    <row r="40" spans="2:14" ht="26.25" customHeight="1" x14ac:dyDescent="0.3">
      <c r="H40" s="1">
        <f>0.14*Table11819202310303132353839404148[[#This Row],[النولون]]</f>
        <v>0</v>
      </c>
      <c r="J40" s="1">
        <f>Table11819202310303132353839404148[[#This Row],[النولون]]+Table11819202310303132353839404148[[#This Row],[الايصالات]]+Table11819202310303132353839404148[[#This Row],[قيمة مضافة]]</f>
        <v>0</v>
      </c>
      <c r="L40" s="1">
        <f>L39+Table11819202310303132353839404148[[#This Row],[اجمالي الفاتوره]]-Table11819202310303132353839404148[[#This Row],[الدفعات]]</f>
        <v>167068.43999999994</v>
      </c>
      <c r="N40" s="48"/>
    </row>
    <row r="41" spans="2:14" ht="26.25" customHeight="1" x14ac:dyDescent="0.3">
      <c r="H41" s="1">
        <f>0.14*Table11819202310303132353839404148[[#This Row],[النولون]]</f>
        <v>0</v>
      </c>
      <c r="J41" s="1">
        <f>Table11819202310303132353839404148[[#This Row],[النولون]]+Table11819202310303132353839404148[[#This Row],[الايصالات]]+Table11819202310303132353839404148[[#This Row],[قيمة مضافة]]</f>
        <v>0</v>
      </c>
      <c r="L41" s="1">
        <f>L40+Table11819202310303132353839404148[[#This Row],[اجمالي الفاتوره]]-Table11819202310303132353839404148[[#This Row],[الدفعات]]</f>
        <v>167068.43999999994</v>
      </c>
      <c r="N41" s="48"/>
    </row>
    <row r="42" spans="2:14" ht="26.25" customHeight="1" x14ac:dyDescent="0.3">
      <c r="H42" s="1">
        <f>0.14*Table11819202310303132353839404148[[#This Row],[النولون]]</f>
        <v>0</v>
      </c>
      <c r="J42" s="1">
        <f>Table11819202310303132353839404148[[#This Row],[النولون]]+Table11819202310303132353839404148[[#This Row],[الايصالات]]+Table11819202310303132353839404148[[#This Row],[قيمة مضافة]]</f>
        <v>0</v>
      </c>
      <c r="L42" s="1">
        <f>L41+Table11819202310303132353839404148[[#This Row],[اجمالي الفاتوره]]-Table11819202310303132353839404148[[#This Row],[الدفعات]]</f>
        <v>167068.43999999994</v>
      </c>
      <c r="N42" s="48"/>
    </row>
    <row r="43" spans="2:14" ht="26.25" customHeight="1" x14ac:dyDescent="0.3">
      <c r="H43" s="1">
        <f>0.14*Table11819202310303132353839404148[[#This Row],[النولون]]</f>
        <v>0</v>
      </c>
      <c r="J43" s="1">
        <f>Table11819202310303132353839404148[[#This Row],[النولون]]+Table11819202310303132353839404148[[#This Row],[الايصالات]]+Table11819202310303132353839404148[[#This Row],[قيمة مضافة]]</f>
        <v>0</v>
      </c>
      <c r="L43" s="1">
        <f>L42+Table11819202310303132353839404148[[#This Row],[اجمالي الفاتوره]]-Table11819202310303132353839404148[[#This Row],[الدفعات]]</f>
        <v>167068.43999999994</v>
      </c>
      <c r="N43" s="48"/>
    </row>
    <row r="44" spans="2:14" ht="26.25" customHeight="1" x14ac:dyDescent="0.3">
      <c r="H44" s="1">
        <f>0.14*Table11819202310303132353839404148[[#This Row],[النولون]]</f>
        <v>0</v>
      </c>
      <c r="J44" s="1">
        <f>Table11819202310303132353839404148[[#This Row],[النولون]]+Table11819202310303132353839404148[[#This Row],[الايصالات]]+Table11819202310303132353839404148[[#This Row],[قيمة مضافة]]</f>
        <v>0</v>
      </c>
      <c r="L44" s="1">
        <f>L43+Table11819202310303132353839404148[[#This Row],[اجمالي الفاتوره]]-Table11819202310303132353839404148[[#This Row],[الدفعات]]</f>
        <v>167068.43999999994</v>
      </c>
      <c r="N44" s="48"/>
    </row>
    <row r="45" spans="2:14" ht="26.25" customHeight="1" x14ac:dyDescent="0.3">
      <c r="H45" s="1">
        <f>0.14*Table11819202310303132353839404148[[#This Row],[النولون]]</f>
        <v>0</v>
      </c>
      <c r="J45" s="1">
        <f>Table11819202310303132353839404148[[#This Row],[النولون]]+Table11819202310303132353839404148[[#This Row],[الايصالات]]+Table11819202310303132353839404148[[#This Row],[قيمة مضافة]]</f>
        <v>0</v>
      </c>
      <c r="L45" s="1">
        <f>L44+Table11819202310303132353839404148[[#This Row],[اجمالي الفاتوره]]-Table11819202310303132353839404148[[#This Row],[الدفعات]]</f>
        <v>167068.43999999994</v>
      </c>
      <c r="N45" s="48"/>
    </row>
    <row r="46" spans="2:14" ht="26.25" customHeight="1" x14ac:dyDescent="0.3">
      <c r="H46" s="1">
        <f>0.14*Table11819202310303132353839404148[[#This Row],[النولون]]</f>
        <v>0</v>
      </c>
      <c r="J46" s="1">
        <f>Table11819202310303132353839404148[[#This Row],[النولون]]+Table11819202310303132353839404148[[#This Row],[الايصالات]]+Table11819202310303132353839404148[[#This Row],[قيمة مضافة]]</f>
        <v>0</v>
      </c>
      <c r="L46" s="1">
        <f>L45+Table11819202310303132353839404148[[#This Row],[اجمالي الفاتوره]]-Table11819202310303132353839404148[[#This Row],[الدفعات]]</f>
        <v>167068.43999999994</v>
      </c>
      <c r="N46" s="48"/>
    </row>
    <row r="47" spans="2:14" ht="26.25" customHeight="1" x14ac:dyDescent="0.3">
      <c r="H47" s="1">
        <f>0.14*Table11819202310303132353839404148[[#This Row],[النولون]]</f>
        <v>0</v>
      </c>
      <c r="J47" s="1">
        <f>Table11819202310303132353839404148[[#This Row],[النولون]]+Table11819202310303132353839404148[[#This Row],[الايصالات]]+Table11819202310303132353839404148[[#This Row],[قيمة مضافة]]</f>
        <v>0</v>
      </c>
      <c r="L47" s="1">
        <f>L46+Table11819202310303132353839404148[[#This Row],[اجمالي الفاتوره]]-Table11819202310303132353839404148[[#This Row],[الدفعات]]</f>
        <v>167068.43999999994</v>
      </c>
      <c r="N47" s="48"/>
    </row>
    <row r="48" spans="2:14" ht="26.25" customHeight="1" x14ac:dyDescent="0.3">
      <c r="H48" s="1">
        <f>0.14*Table11819202310303132353839404148[[#This Row],[النولون]]</f>
        <v>0</v>
      </c>
      <c r="J48" s="1">
        <f>Table11819202310303132353839404148[[#This Row],[النولون]]+Table11819202310303132353839404148[[#This Row],[الايصالات]]+Table11819202310303132353839404148[[#This Row],[قيمة مضافة]]</f>
        <v>0</v>
      </c>
      <c r="L48" s="1">
        <f>L47+Table11819202310303132353839404148[[#This Row],[اجمالي الفاتوره]]-Table11819202310303132353839404148[[#This Row],[الدفعات]]</f>
        <v>167068.43999999994</v>
      </c>
      <c r="N48" s="48"/>
    </row>
    <row r="49" spans="8:14" ht="26.25" customHeight="1" x14ac:dyDescent="0.3">
      <c r="H49" s="1">
        <f>0.14*Table11819202310303132353839404148[[#This Row],[النولون]]</f>
        <v>0</v>
      </c>
      <c r="J49" s="1">
        <f>Table11819202310303132353839404148[[#This Row],[النولون]]+Table11819202310303132353839404148[[#This Row],[الايصالات]]+Table11819202310303132353839404148[[#This Row],[قيمة مضافة]]</f>
        <v>0</v>
      </c>
      <c r="L49" s="1">
        <f>L48+Table11819202310303132353839404148[[#This Row],[اجمالي الفاتوره]]-Table11819202310303132353839404148[[#This Row],[الدفعات]]</f>
        <v>167068.43999999994</v>
      </c>
      <c r="N49" s="48"/>
    </row>
    <row r="50" spans="8:14" ht="26.25" customHeight="1" x14ac:dyDescent="0.3">
      <c r="H50" s="1">
        <f>0.14*Table11819202310303132353839404148[[#This Row],[النولون]]</f>
        <v>0</v>
      </c>
      <c r="J50" s="1">
        <f>Table11819202310303132353839404148[[#This Row],[النولون]]+Table11819202310303132353839404148[[#This Row],[الايصالات]]+Table11819202310303132353839404148[[#This Row],[قيمة مضافة]]</f>
        <v>0</v>
      </c>
      <c r="L50" s="1">
        <f>L49+Table11819202310303132353839404148[[#This Row],[اجمالي الفاتوره]]-Table11819202310303132353839404148[[#This Row],[الدفعات]]</f>
        <v>167068.43999999994</v>
      </c>
      <c r="N50" s="48"/>
    </row>
    <row r="51" spans="8:14" ht="26.25" customHeight="1" x14ac:dyDescent="0.3">
      <c r="H51" s="1">
        <f>0.14*Table11819202310303132353839404148[[#This Row],[النولون]]</f>
        <v>0</v>
      </c>
      <c r="J51" s="1">
        <f>Table11819202310303132353839404148[[#This Row],[النولون]]+Table11819202310303132353839404148[[#This Row],[الايصالات]]+Table11819202310303132353839404148[[#This Row],[قيمة مضافة]]</f>
        <v>0</v>
      </c>
      <c r="L51" s="1">
        <f>L50+Table11819202310303132353839404148[[#This Row],[اجمالي الفاتوره]]-Table11819202310303132353839404148[[#This Row],[الدفعات]]</f>
        <v>167068.43999999994</v>
      </c>
      <c r="N51" s="48"/>
    </row>
    <row r="52" spans="8:14" ht="26.25" customHeight="1" x14ac:dyDescent="0.3">
      <c r="H52" s="1">
        <f>0.14*Table11819202310303132353839404148[[#This Row],[النولون]]</f>
        <v>0</v>
      </c>
      <c r="J52" s="1">
        <f>Table11819202310303132353839404148[[#This Row],[النولون]]+Table11819202310303132353839404148[[#This Row],[الايصالات]]+Table11819202310303132353839404148[[#This Row],[قيمة مضافة]]</f>
        <v>0</v>
      </c>
      <c r="L52" s="1">
        <f>L51+Table11819202310303132353839404148[[#This Row],[اجمالي الفاتوره]]-Table11819202310303132353839404148[[#This Row],[الدفعات]]</f>
        <v>167068.43999999994</v>
      </c>
      <c r="N52" s="48"/>
    </row>
    <row r="53" spans="8:14" ht="26.25" customHeight="1" x14ac:dyDescent="0.3">
      <c r="H53" s="1">
        <f>0.14*Table11819202310303132353839404148[[#This Row],[النولون]]</f>
        <v>0</v>
      </c>
      <c r="J53" s="1">
        <f>Table11819202310303132353839404148[[#This Row],[النولون]]+Table11819202310303132353839404148[[#This Row],[الايصالات]]+Table11819202310303132353839404148[[#This Row],[قيمة مضافة]]</f>
        <v>0</v>
      </c>
      <c r="L53" s="1">
        <f>L52+Table11819202310303132353839404148[[#This Row],[اجمالي الفاتوره]]-Table11819202310303132353839404148[[#This Row],[الدفعات]]</f>
        <v>167068.43999999994</v>
      </c>
      <c r="N53" s="48"/>
    </row>
    <row r="54" spans="8:14" ht="26.25" customHeight="1" x14ac:dyDescent="0.3">
      <c r="H54" s="1">
        <f>0.14*Table11819202310303132353839404148[[#This Row],[النولون]]</f>
        <v>0</v>
      </c>
      <c r="J54" s="1">
        <f>Table11819202310303132353839404148[[#This Row],[النولون]]+Table11819202310303132353839404148[[#This Row],[الايصالات]]+Table11819202310303132353839404148[[#This Row],[قيمة مضافة]]</f>
        <v>0</v>
      </c>
      <c r="L54" s="1">
        <f>L53+Table11819202310303132353839404148[[#This Row],[اجمالي الفاتوره]]-Table11819202310303132353839404148[[#This Row],[الدفعات]]</f>
        <v>167068.43999999994</v>
      </c>
      <c r="N54" s="48"/>
    </row>
    <row r="55" spans="8:14" ht="26.25" customHeight="1" x14ac:dyDescent="0.3">
      <c r="H55" s="1">
        <f>0.14*Table11819202310303132353839404148[[#This Row],[النولون]]</f>
        <v>0</v>
      </c>
      <c r="J55" s="1">
        <f>Table11819202310303132353839404148[[#This Row],[النولون]]+Table11819202310303132353839404148[[#This Row],[الايصالات]]+Table11819202310303132353839404148[[#This Row],[قيمة مضافة]]</f>
        <v>0</v>
      </c>
      <c r="L55" s="1">
        <f>L54+Table11819202310303132353839404148[[#This Row],[اجمالي الفاتوره]]-Table11819202310303132353839404148[[#This Row],[الدفعات]]</f>
        <v>167068.43999999994</v>
      </c>
      <c r="N55" s="48"/>
    </row>
    <row r="56" spans="8:14" ht="26.25" customHeight="1" x14ac:dyDescent="0.3">
      <c r="H56" s="1">
        <f>0.14*Table11819202310303132353839404148[[#This Row],[النولون]]</f>
        <v>0</v>
      </c>
      <c r="J56" s="1">
        <f>Table11819202310303132353839404148[[#This Row],[النولون]]+Table11819202310303132353839404148[[#This Row],[الايصالات]]+Table11819202310303132353839404148[[#This Row],[قيمة مضافة]]</f>
        <v>0</v>
      </c>
      <c r="L56" s="1">
        <f>L55+Table11819202310303132353839404148[[#This Row],[اجمالي الفاتوره]]-Table11819202310303132353839404148[[#This Row],[الدفعات]]</f>
        <v>167068.43999999994</v>
      </c>
      <c r="N56" s="48"/>
    </row>
    <row r="57" spans="8:14" ht="26.25" customHeight="1" x14ac:dyDescent="0.3">
      <c r="H57" s="1">
        <f>0.14*Table11819202310303132353839404148[[#This Row],[النولون]]</f>
        <v>0</v>
      </c>
      <c r="J57" s="1">
        <f>Table11819202310303132353839404148[[#This Row],[النولون]]+Table11819202310303132353839404148[[#This Row],[الايصالات]]+Table11819202310303132353839404148[[#This Row],[قيمة مضافة]]</f>
        <v>0</v>
      </c>
      <c r="L57" s="1">
        <f>L56+Table11819202310303132353839404148[[#This Row],[اجمالي الفاتوره]]-Table11819202310303132353839404148[[#This Row],[الدفعات]]</f>
        <v>167068.43999999994</v>
      </c>
      <c r="N57" s="48"/>
    </row>
    <row r="58" spans="8:14" ht="26.25" customHeight="1" x14ac:dyDescent="0.3">
      <c r="H58" s="1">
        <f>0.14*Table11819202310303132353839404148[[#This Row],[النولون]]</f>
        <v>0</v>
      </c>
      <c r="J58" s="1">
        <f>Table11819202310303132353839404148[[#This Row],[النولون]]+Table11819202310303132353839404148[[#This Row],[الايصالات]]+Table11819202310303132353839404148[[#This Row],[قيمة مضافة]]</f>
        <v>0</v>
      </c>
      <c r="L58" s="1">
        <f>L57+Table11819202310303132353839404148[[#This Row],[اجمالي الفاتوره]]-Table11819202310303132353839404148[[#This Row],[الدفعات]]</f>
        <v>167068.43999999994</v>
      </c>
      <c r="N58" s="48"/>
    </row>
    <row r="59" spans="8:14" ht="26.25" customHeight="1" x14ac:dyDescent="0.3">
      <c r="H59" s="1">
        <f>0.14*Table11819202310303132353839404148[[#This Row],[النولون]]</f>
        <v>0</v>
      </c>
      <c r="J59" s="1">
        <f>Table11819202310303132353839404148[[#This Row],[النولون]]+Table11819202310303132353839404148[[#This Row],[الايصالات]]+Table11819202310303132353839404148[[#This Row],[قيمة مضافة]]</f>
        <v>0</v>
      </c>
      <c r="L59" s="1">
        <f>L58+Table11819202310303132353839404148[[#This Row],[اجمالي الفاتوره]]-Table11819202310303132353839404148[[#This Row],[الدفعات]]</f>
        <v>167068.43999999994</v>
      </c>
      <c r="N59" s="48"/>
    </row>
    <row r="60" spans="8:14" ht="26.25" customHeight="1" x14ac:dyDescent="0.3">
      <c r="H60" s="1">
        <f>0.14*Table11819202310303132353839404148[[#This Row],[النولون]]</f>
        <v>0</v>
      </c>
      <c r="J60" s="1">
        <f>Table11819202310303132353839404148[[#This Row],[النولون]]+Table11819202310303132353839404148[[#This Row],[الايصالات]]+Table11819202310303132353839404148[[#This Row],[قيمة مضافة]]</f>
        <v>0</v>
      </c>
      <c r="L60" s="1">
        <f>L59+Table11819202310303132353839404148[[#This Row],[اجمالي الفاتوره]]-Table11819202310303132353839404148[[#This Row],[الدفعات]]</f>
        <v>167068.43999999994</v>
      </c>
      <c r="N60" s="48"/>
    </row>
    <row r="61" spans="8:14" ht="26.25" customHeight="1" x14ac:dyDescent="0.3">
      <c r="H61" s="1">
        <f>0.14*Table11819202310303132353839404148[[#This Row],[النولون]]</f>
        <v>0</v>
      </c>
      <c r="J61" s="1">
        <f>Table11819202310303132353839404148[[#This Row],[النولون]]+Table11819202310303132353839404148[[#This Row],[الايصالات]]+Table11819202310303132353839404148[[#This Row],[قيمة مضافة]]</f>
        <v>0</v>
      </c>
      <c r="L61" s="1">
        <f>L60+Table11819202310303132353839404148[[#This Row],[اجمالي الفاتوره]]-Table11819202310303132353839404148[[#This Row],[الدفعات]]</f>
        <v>167068.43999999994</v>
      </c>
      <c r="N61" s="48"/>
    </row>
    <row r="62" spans="8:14" ht="26.25" customHeight="1" x14ac:dyDescent="0.3">
      <c r="H62" s="1">
        <f>0.14*Table11819202310303132353839404148[[#This Row],[النولون]]</f>
        <v>0</v>
      </c>
      <c r="J62" s="1">
        <f>Table11819202310303132353839404148[[#This Row],[النولون]]+Table11819202310303132353839404148[[#This Row],[الايصالات]]+Table11819202310303132353839404148[[#This Row],[قيمة مضافة]]</f>
        <v>0</v>
      </c>
      <c r="L62" s="1">
        <f>L61+Table11819202310303132353839404148[[#This Row],[اجمالي الفاتوره]]-Table11819202310303132353839404148[[#This Row],[الدفعات]]</f>
        <v>167068.43999999994</v>
      </c>
      <c r="N62" s="48"/>
    </row>
    <row r="63" spans="8:14" ht="26.25" customHeight="1" x14ac:dyDescent="0.3">
      <c r="H63" s="1">
        <f>0.14*Table11819202310303132353839404148[[#This Row],[النولون]]</f>
        <v>0</v>
      </c>
      <c r="J63" s="1">
        <f>Table11819202310303132353839404148[[#This Row],[النولون]]+Table11819202310303132353839404148[[#This Row],[الايصالات]]+Table11819202310303132353839404148[[#This Row],[قيمة مضافة]]</f>
        <v>0</v>
      </c>
      <c r="L63" s="1">
        <f>L62+Table11819202310303132353839404148[[#This Row],[اجمالي الفاتوره]]-Table11819202310303132353839404148[[#This Row],[الدفعات]]</f>
        <v>167068.43999999994</v>
      </c>
      <c r="N63" s="48"/>
    </row>
    <row r="64" spans="8:14" ht="26.25" customHeight="1" x14ac:dyDescent="0.3">
      <c r="H64" s="1">
        <f>0.14*Table11819202310303132353839404148[[#This Row],[النولون]]</f>
        <v>0</v>
      </c>
      <c r="J64" s="1">
        <f>Table11819202310303132353839404148[[#This Row],[النولون]]+Table11819202310303132353839404148[[#This Row],[الايصالات]]+Table11819202310303132353839404148[[#This Row],[قيمة مضافة]]</f>
        <v>0</v>
      </c>
      <c r="L64" s="1">
        <f>L63+Table11819202310303132353839404148[[#This Row],[اجمالي الفاتوره]]-Table11819202310303132353839404148[[#This Row],[الدفعات]]</f>
        <v>167068.43999999994</v>
      </c>
      <c r="N64" s="48"/>
    </row>
    <row r="65" spans="8:14" ht="26.25" customHeight="1" x14ac:dyDescent="0.3">
      <c r="H65" s="1">
        <f>0.14*Table11819202310303132353839404148[[#This Row],[النولون]]</f>
        <v>0</v>
      </c>
      <c r="J65" s="1">
        <f>Table11819202310303132353839404148[[#This Row],[النولون]]+Table11819202310303132353839404148[[#This Row],[الايصالات]]+Table11819202310303132353839404148[[#This Row],[قيمة مضافة]]</f>
        <v>0</v>
      </c>
      <c r="L65" s="1">
        <f>L64+Table11819202310303132353839404148[[#This Row],[اجمالي الفاتوره]]-Table11819202310303132353839404148[[#This Row],[الدفعات]]</f>
        <v>167068.43999999994</v>
      </c>
      <c r="N65" s="48"/>
    </row>
    <row r="66" spans="8:14" ht="26.25" customHeight="1" x14ac:dyDescent="0.3">
      <c r="H66" s="1">
        <f>0.14*Table11819202310303132353839404148[[#This Row],[النولون]]</f>
        <v>0</v>
      </c>
      <c r="J66" s="1">
        <f>Table11819202310303132353839404148[[#This Row],[النولون]]+Table11819202310303132353839404148[[#This Row],[الايصالات]]+Table11819202310303132353839404148[[#This Row],[قيمة مضافة]]</f>
        <v>0</v>
      </c>
      <c r="L66" s="1">
        <f>L65+Table11819202310303132353839404148[[#This Row],[اجمالي الفاتوره]]-Table11819202310303132353839404148[[#This Row],[الدفعات]]</f>
        <v>167068.43999999994</v>
      </c>
      <c r="N66" s="48"/>
    </row>
    <row r="67" spans="8:14" ht="26.25" customHeight="1" x14ac:dyDescent="0.3">
      <c r="H67" s="1">
        <f>0.14*Table11819202310303132353839404148[[#This Row],[النولون]]</f>
        <v>0</v>
      </c>
      <c r="J67" s="1">
        <f>Table11819202310303132353839404148[[#This Row],[النولون]]+Table11819202310303132353839404148[[#This Row],[الايصالات]]+Table11819202310303132353839404148[[#This Row],[قيمة مضافة]]</f>
        <v>0</v>
      </c>
      <c r="L67" s="1">
        <f>L66+Table11819202310303132353839404148[[#This Row],[اجمالي الفاتوره]]-Table11819202310303132353839404148[[#This Row],[الدفعات]]</f>
        <v>167068.43999999994</v>
      </c>
      <c r="N67" s="48"/>
    </row>
    <row r="68" spans="8:14" ht="26.25" customHeight="1" x14ac:dyDescent="0.3">
      <c r="H68" s="1">
        <f>0.14*Table11819202310303132353839404148[[#This Row],[النولون]]</f>
        <v>0</v>
      </c>
      <c r="J68" s="1">
        <f>Table11819202310303132353839404148[[#This Row],[النولون]]+Table11819202310303132353839404148[[#This Row],[الايصالات]]+Table11819202310303132353839404148[[#This Row],[قيمة مضافة]]</f>
        <v>0</v>
      </c>
      <c r="L68" s="1">
        <f>L67+Table11819202310303132353839404148[[#This Row],[اجمالي الفاتوره]]-Table11819202310303132353839404148[[#This Row],[الدفعات]]</f>
        <v>167068.43999999994</v>
      </c>
      <c r="N68" s="48"/>
    </row>
    <row r="69" spans="8:14" ht="26.25" customHeight="1" x14ac:dyDescent="0.3">
      <c r="H69" s="1">
        <f>0.14*Table11819202310303132353839404148[[#This Row],[النولون]]</f>
        <v>0</v>
      </c>
      <c r="J69" s="1">
        <f>Table11819202310303132353839404148[[#This Row],[النولون]]+Table11819202310303132353839404148[[#This Row],[الايصالات]]+Table11819202310303132353839404148[[#This Row],[قيمة مضافة]]</f>
        <v>0</v>
      </c>
      <c r="L69" s="1">
        <f>L68+Table11819202310303132353839404148[[#This Row],[اجمالي الفاتوره]]-Table11819202310303132353839404148[[#This Row],[الدفعات]]</f>
        <v>167068.43999999994</v>
      </c>
      <c r="N69" s="48"/>
    </row>
    <row r="70" spans="8:14" ht="26.25" customHeight="1" x14ac:dyDescent="0.3">
      <c r="H70" s="1">
        <f>0.14*Table11819202310303132353839404148[[#This Row],[النولون]]</f>
        <v>0</v>
      </c>
      <c r="J70" s="1">
        <f>Table11819202310303132353839404148[[#This Row],[النولون]]+Table11819202310303132353839404148[[#This Row],[الايصالات]]+Table11819202310303132353839404148[[#This Row],[قيمة مضافة]]</f>
        <v>0</v>
      </c>
      <c r="L70" s="1">
        <f>L69+Table11819202310303132353839404148[[#This Row],[اجمالي الفاتوره]]-Table11819202310303132353839404148[[#This Row],[الدفعات]]</f>
        <v>167068.43999999994</v>
      </c>
      <c r="N70" s="48"/>
    </row>
    <row r="71" spans="8:14" ht="26.25" customHeight="1" x14ac:dyDescent="0.3">
      <c r="H71" s="1">
        <f>0.14*Table11819202310303132353839404148[[#This Row],[النولون]]</f>
        <v>0</v>
      </c>
      <c r="J71" s="1">
        <f>Table11819202310303132353839404148[[#This Row],[النولون]]+Table11819202310303132353839404148[[#This Row],[الايصالات]]+Table11819202310303132353839404148[[#This Row],[قيمة مضافة]]</f>
        <v>0</v>
      </c>
      <c r="L71" s="1">
        <f>L70+Table11819202310303132353839404148[[#This Row],[اجمالي الفاتوره]]-Table11819202310303132353839404148[[#This Row],[الدفعات]]</f>
        <v>167068.43999999994</v>
      </c>
      <c r="N71" s="48"/>
    </row>
    <row r="72" spans="8:14" ht="26.25" customHeight="1" x14ac:dyDescent="0.3">
      <c r="H72" s="1">
        <f>0.14*Table11819202310303132353839404148[[#This Row],[النولون]]</f>
        <v>0</v>
      </c>
      <c r="J72" s="1">
        <f>Table11819202310303132353839404148[[#This Row],[النولون]]+Table11819202310303132353839404148[[#This Row],[الايصالات]]+Table11819202310303132353839404148[[#This Row],[قيمة مضافة]]</f>
        <v>0</v>
      </c>
      <c r="L72" s="1">
        <f>L71+Table11819202310303132353839404148[[#This Row],[اجمالي الفاتوره]]-Table11819202310303132353839404148[[#This Row],[الدفعات]]</f>
        <v>167068.43999999994</v>
      </c>
      <c r="N72" s="48"/>
    </row>
    <row r="73" spans="8:14" ht="26.25" customHeight="1" x14ac:dyDescent="0.3">
      <c r="H73" s="1">
        <f>0.14*Table11819202310303132353839404148[[#This Row],[النولون]]</f>
        <v>0</v>
      </c>
      <c r="J73" s="1">
        <f>Table11819202310303132353839404148[[#This Row],[النولون]]+Table11819202310303132353839404148[[#This Row],[الايصالات]]+Table11819202310303132353839404148[[#This Row],[قيمة مضافة]]</f>
        <v>0</v>
      </c>
      <c r="L73" s="1">
        <f>L72+Table11819202310303132353839404148[[#This Row],[اجمالي الفاتوره]]-Table11819202310303132353839404148[[#This Row],[الدفعات]]</f>
        <v>167068.43999999994</v>
      </c>
      <c r="N73" s="48"/>
    </row>
    <row r="74" spans="8:14" ht="26.25" customHeight="1" x14ac:dyDescent="0.3">
      <c r="H74" s="1">
        <f>0.14*Table11819202310303132353839404148[[#This Row],[النولون]]</f>
        <v>0</v>
      </c>
      <c r="J74" s="1">
        <f>Table11819202310303132353839404148[[#This Row],[النولون]]+Table11819202310303132353839404148[[#This Row],[الايصالات]]+Table11819202310303132353839404148[[#This Row],[قيمة مضافة]]</f>
        <v>0</v>
      </c>
      <c r="L74" s="1">
        <f>L73+Table11819202310303132353839404148[[#This Row],[اجمالي الفاتوره]]-Table11819202310303132353839404148[[#This Row],[الدفعات]]</f>
        <v>167068.43999999994</v>
      </c>
      <c r="N74" s="48"/>
    </row>
    <row r="75" spans="8:14" ht="26.25" customHeight="1" x14ac:dyDescent="0.3">
      <c r="H75" s="1">
        <f>0.14*Table11819202310303132353839404148[[#This Row],[النولون]]</f>
        <v>0</v>
      </c>
      <c r="J75" s="1">
        <f>Table11819202310303132353839404148[[#This Row],[النولون]]+Table11819202310303132353839404148[[#This Row],[الايصالات]]+Table11819202310303132353839404148[[#This Row],[قيمة مضافة]]</f>
        <v>0</v>
      </c>
      <c r="L75" s="1">
        <f>L74+Table11819202310303132353839404148[[#This Row],[اجمالي الفاتوره]]-Table11819202310303132353839404148[[#This Row],[الدفعات]]</f>
        <v>167068.43999999994</v>
      </c>
      <c r="N75" s="48"/>
    </row>
    <row r="76" spans="8:14" ht="26.25" customHeight="1" x14ac:dyDescent="0.3">
      <c r="H76" s="1">
        <f>0.14*Table11819202310303132353839404148[[#This Row],[النولون]]</f>
        <v>0</v>
      </c>
      <c r="J76" s="1">
        <f>Table11819202310303132353839404148[[#This Row],[النولون]]+Table11819202310303132353839404148[[#This Row],[الايصالات]]+Table11819202310303132353839404148[[#This Row],[قيمة مضافة]]</f>
        <v>0</v>
      </c>
      <c r="L76" s="1">
        <f>L75+Table11819202310303132353839404148[[#This Row],[اجمالي الفاتوره]]-Table11819202310303132353839404148[[#This Row],[الدفعات]]</f>
        <v>167068.43999999994</v>
      </c>
      <c r="N76" s="48"/>
    </row>
    <row r="77" spans="8:14" ht="26.25" customHeight="1" x14ac:dyDescent="0.3">
      <c r="H77" s="1">
        <f>0.14*Table11819202310303132353839404148[[#This Row],[النولون]]</f>
        <v>0</v>
      </c>
      <c r="J77" s="1">
        <f>Table11819202310303132353839404148[[#This Row],[النولون]]+Table11819202310303132353839404148[[#This Row],[الايصالات]]+Table11819202310303132353839404148[[#This Row],[قيمة مضافة]]</f>
        <v>0</v>
      </c>
      <c r="L77" s="1">
        <f>L76+Table11819202310303132353839404148[[#This Row],[اجمالي الفاتوره]]-Table11819202310303132353839404148[[#This Row],[الدفعات]]</f>
        <v>167068.43999999994</v>
      </c>
      <c r="N77" s="48"/>
    </row>
    <row r="78" spans="8:14" ht="26.25" customHeight="1" x14ac:dyDescent="0.3">
      <c r="H78" s="1">
        <f>0.14*Table11819202310303132353839404148[[#This Row],[النولون]]</f>
        <v>0</v>
      </c>
      <c r="J78" s="1">
        <f>Table11819202310303132353839404148[[#This Row],[النولون]]+Table11819202310303132353839404148[[#This Row],[الايصالات]]+Table11819202310303132353839404148[[#This Row],[قيمة مضافة]]</f>
        <v>0</v>
      </c>
      <c r="L78" s="1">
        <f>L77+Table11819202310303132353839404148[[#This Row],[اجمالي الفاتوره]]-Table11819202310303132353839404148[[#This Row],[الدفعات]]</f>
        <v>167068.43999999994</v>
      </c>
      <c r="N78" s="48"/>
    </row>
    <row r="79" spans="8:14" ht="26.25" customHeight="1" x14ac:dyDescent="0.3">
      <c r="H79" s="1">
        <f>0.14*Table11819202310303132353839404148[[#This Row],[النولون]]</f>
        <v>0</v>
      </c>
      <c r="J79" s="1">
        <f>Table11819202310303132353839404148[[#This Row],[النولون]]+Table11819202310303132353839404148[[#This Row],[الايصالات]]+Table11819202310303132353839404148[[#This Row],[قيمة مضافة]]</f>
        <v>0</v>
      </c>
      <c r="L79" s="1">
        <f>L78+Table11819202310303132353839404148[[#This Row],[اجمالي الفاتوره]]-Table11819202310303132353839404148[[#This Row],[الدفعات]]</f>
        <v>167068.43999999994</v>
      </c>
      <c r="N79" s="48"/>
    </row>
    <row r="80" spans="8:14" ht="26.25" customHeight="1" x14ac:dyDescent="0.3">
      <c r="H80" s="1">
        <f>0.14*Table11819202310303132353839404148[[#This Row],[النولون]]</f>
        <v>0</v>
      </c>
      <c r="J80" s="1">
        <f>Table11819202310303132353839404148[[#This Row],[النولون]]+Table11819202310303132353839404148[[#This Row],[الايصالات]]+Table11819202310303132353839404148[[#This Row],[قيمة مضافة]]</f>
        <v>0</v>
      </c>
      <c r="L80" s="1">
        <f>L79+Table11819202310303132353839404148[[#This Row],[اجمالي الفاتوره]]-Table11819202310303132353839404148[[#This Row],[الدفعات]]</f>
        <v>167068.43999999994</v>
      </c>
      <c r="N80" s="48"/>
    </row>
    <row r="81" spans="8:14" ht="26.25" customHeight="1" x14ac:dyDescent="0.3">
      <c r="H81" s="1">
        <f>0.14*Table11819202310303132353839404148[[#This Row],[النولون]]</f>
        <v>0</v>
      </c>
      <c r="J81" s="1">
        <f>Table11819202310303132353839404148[[#This Row],[النولون]]+Table11819202310303132353839404148[[#This Row],[الايصالات]]+Table11819202310303132353839404148[[#This Row],[قيمة مضافة]]</f>
        <v>0</v>
      </c>
      <c r="L81" s="1">
        <f>L80+Table11819202310303132353839404148[[#This Row],[اجمالي الفاتوره]]-Table11819202310303132353839404148[[#This Row],[الدفعات]]</f>
        <v>167068.43999999994</v>
      </c>
      <c r="N81" s="48"/>
    </row>
    <row r="82" spans="8:14" ht="26.25" customHeight="1" x14ac:dyDescent="0.3">
      <c r="H82" s="1">
        <f>0.14*Table11819202310303132353839404148[[#This Row],[النولون]]</f>
        <v>0</v>
      </c>
      <c r="J82" s="1">
        <f>Table11819202310303132353839404148[[#This Row],[النولون]]+Table11819202310303132353839404148[[#This Row],[الايصالات]]+Table11819202310303132353839404148[[#This Row],[قيمة مضافة]]</f>
        <v>0</v>
      </c>
      <c r="L82" s="1">
        <f>L81+Table11819202310303132353839404148[[#This Row],[اجمالي الفاتوره]]-Table11819202310303132353839404148[[#This Row],[الدفعات]]</f>
        <v>167068.43999999994</v>
      </c>
      <c r="N82" s="48"/>
    </row>
    <row r="83" spans="8:14" ht="26.25" customHeight="1" x14ac:dyDescent="0.3">
      <c r="H83" s="1">
        <f>0.14*Table11819202310303132353839404148[[#This Row],[النولون]]</f>
        <v>0</v>
      </c>
      <c r="J83" s="1">
        <f>Table11819202310303132353839404148[[#This Row],[النولون]]+Table11819202310303132353839404148[[#This Row],[الايصالات]]+Table11819202310303132353839404148[[#This Row],[قيمة مضافة]]</f>
        <v>0</v>
      </c>
      <c r="L83" s="1">
        <f>L82+Table11819202310303132353839404148[[#This Row],[اجمالي الفاتوره]]-Table11819202310303132353839404148[[#This Row],[الدفعات]]</f>
        <v>167068.43999999994</v>
      </c>
      <c r="N83" s="48"/>
    </row>
    <row r="84" spans="8:14" ht="26.25" customHeight="1" x14ac:dyDescent="0.3">
      <c r="H84" s="1">
        <f>0.14*Table11819202310303132353839404148[[#This Row],[النولون]]</f>
        <v>0</v>
      </c>
      <c r="J84" s="1">
        <f>Table11819202310303132353839404148[[#This Row],[النولون]]+Table11819202310303132353839404148[[#This Row],[الايصالات]]+Table11819202310303132353839404148[[#This Row],[قيمة مضافة]]</f>
        <v>0</v>
      </c>
      <c r="L84" s="1">
        <f>L83+Table11819202310303132353839404148[[#This Row],[اجمالي الفاتوره]]-Table11819202310303132353839404148[[#This Row],[الدفعات]]</f>
        <v>167068.43999999994</v>
      </c>
      <c r="N84" s="48"/>
    </row>
    <row r="85" spans="8:14" ht="26.25" customHeight="1" x14ac:dyDescent="0.3">
      <c r="H85" s="1">
        <f>0.14*Table11819202310303132353839404148[[#This Row],[النولون]]</f>
        <v>0</v>
      </c>
      <c r="J85" s="1">
        <f>Table11819202310303132353839404148[[#This Row],[النولون]]+Table11819202310303132353839404148[[#This Row],[الايصالات]]+Table11819202310303132353839404148[[#This Row],[قيمة مضافة]]</f>
        <v>0</v>
      </c>
      <c r="L85" s="1">
        <f>L84+Table11819202310303132353839404148[[#This Row],[اجمالي الفاتوره]]-Table11819202310303132353839404148[[#This Row],[الدفعات]]</f>
        <v>167068.43999999994</v>
      </c>
      <c r="N85" s="48"/>
    </row>
    <row r="86" spans="8:14" ht="26.25" customHeight="1" x14ac:dyDescent="0.3">
      <c r="H86" s="1">
        <f>0.14*Table11819202310303132353839404148[[#This Row],[النولون]]</f>
        <v>0</v>
      </c>
      <c r="J86" s="1">
        <f>Table11819202310303132353839404148[[#This Row],[النولون]]+Table11819202310303132353839404148[[#This Row],[الايصالات]]+Table11819202310303132353839404148[[#This Row],[قيمة مضافة]]</f>
        <v>0</v>
      </c>
      <c r="L86" s="1">
        <f>L85+Table11819202310303132353839404148[[#This Row],[اجمالي الفاتوره]]-Table11819202310303132353839404148[[#This Row],[الدفعات]]</f>
        <v>167068.43999999994</v>
      </c>
      <c r="N86" s="48"/>
    </row>
    <row r="87" spans="8:14" ht="26.25" customHeight="1" x14ac:dyDescent="0.3">
      <c r="H87" s="1">
        <f>0.14*Table11819202310303132353839404148[[#This Row],[النولون]]</f>
        <v>0</v>
      </c>
      <c r="J87" s="1">
        <f>Table11819202310303132353839404148[[#This Row],[النولون]]+Table11819202310303132353839404148[[#This Row],[الايصالات]]+Table11819202310303132353839404148[[#This Row],[قيمة مضافة]]</f>
        <v>0</v>
      </c>
      <c r="L87" s="1">
        <f>L86+Table11819202310303132353839404148[[#This Row],[اجمالي الفاتوره]]-Table11819202310303132353839404148[[#This Row],[الدفعات]]</f>
        <v>167068.43999999994</v>
      </c>
      <c r="N87" s="48"/>
    </row>
    <row r="88" spans="8:14" ht="26.25" customHeight="1" x14ac:dyDescent="0.3">
      <c r="H88" s="1">
        <f>0.14*Table11819202310303132353839404148[[#This Row],[النولون]]</f>
        <v>0</v>
      </c>
      <c r="J88" s="1">
        <f>Table11819202310303132353839404148[[#This Row],[النولون]]+Table11819202310303132353839404148[[#This Row],[الايصالات]]+Table11819202310303132353839404148[[#This Row],[قيمة مضافة]]</f>
        <v>0</v>
      </c>
      <c r="L88" s="1">
        <f>L87+Table11819202310303132353839404148[[#This Row],[اجمالي الفاتوره]]-Table11819202310303132353839404148[[#This Row],[الدفعات]]</f>
        <v>167068.43999999994</v>
      </c>
      <c r="N88" s="48"/>
    </row>
    <row r="89" spans="8:14" ht="26.25" customHeight="1" x14ac:dyDescent="0.3">
      <c r="H89" s="1">
        <f>0.14*Table11819202310303132353839404148[[#This Row],[النولون]]</f>
        <v>0</v>
      </c>
      <c r="J89" s="1">
        <f>Table11819202310303132353839404148[[#This Row],[النولون]]+Table11819202310303132353839404148[[#This Row],[الايصالات]]+Table11819202310303132353839404148[[#This Row],[قيمة مضافة]]</f>
        <v>0</v>
      </c>
      <c r="L89" s="1">
        <f>L88+Table11819202310303132353839404148[[#This Row],[اجمالي الفاتوره]]-Table11819202310303132353839404148[[#This Row],[الدفعات]]</f>
        <v>167068.43999999994</v>
      </c>
      <c r="N89" s="48"/>
    </row>
    <row r="90" spans="8:14" ht="26.25" customHeight="1" x14ac:dyDescent="0.3">
      <c r="H90" s="1">
        <f>0.14*Table11819202310303132353839404148[[#This Row],[النولون]]</f>
        <v>0</v>
      </c>
      <c r="J90" s="1">
        <f>Table11819202310303132353839404148[[#This Row],[النولون]]+Table11819202310303132353839404148[[#This Row],[الايصالات]]+Table11819202310303132353839404148[[#This Row],[قيمة مضافة]]</f>
        <v>0</v>
      </c>
      <c r="L90" s="1">
        <f>L89+Table11819202310303132353839404148[[#This Row],[اجمالي الفاتوره]]-Table11819202310303132353839404148[[#This Row],[الدفعات]]</f>
        <v>167068.43999999994</v>
      </c>
      <c r="N90" s="48"/>
    </row>
    <row r="91" spans="8:14" ht="26.25" customHeight="1" x14ac:dyDescent="0.3">
      <c r="H91" s="1">
        <f>0.14*Table11819202310303132353839404148[[#This Row],[النولون]]</f>
        <v>0</v>
      </c>
      <c r="J91" s="1">
        <f>Table11819202310303132353839404148[[#This Row],[النولون]]+Table11819202310303132353839404148[[#This Row],[الايصالات]]+Table11819202310303132353839404148[[#This Row],[قيمة مضافة]]</f>
        <v>0</v>
      </c>
      <c r="L91" s="1">
        <f>L90+Table11819202310303132353839404148[[#This Row],[اجمالي الفاتوره]]-Table11819202310303132353839404148[[#This Row],[الدفعات]]</f>
        <v>167068.43999999994</v>
      </c>
      <c r="N91" s="48"/>
    </row>
    <row r="92" spans="8:14" ht="26.25" customHeight="1" x14ac:dyDescent="0.3">
      <c r="H92" s="1">
        <f>0.14*Table11819202310303132353839404148[[#This Row],[النولون]]</f>
        <v>0</v>
      </c>
      <c r="J92" s="1">
        <f>Table11819202310303132353839404148[[#This Row],[النولون]]+Table11819202310303132353839404148[[#This Row],[الايصالات]]+Table11819202310303132353839404148[[#This Row],[قيمة مضافة]]</f>
        <v>0</v>
      </c>
      <c r="L92" s="1">
        <f>L91+Table11819202310303132353839404148[[#This Row],[اجمالي الفاتوره]]-Table11819202310303132353839404148[[#This Row],[الدفعات]]</f>
        <v>167068.43999999994</v>
      </c>
      <c r="N92" s="48"/>
    </row>
    <row r="93" spans="8:14" ht="26.25" customHeight="1" x14ac:dyDescent="0.3">
      <c r="H93" s="1">
        <f>0.14*Table11819202310303132353839404148[[#This Row],[النولون]]</f>
        <v>0</v>
      </c>
      <c r="J93" s="1">
        <f>Table11819202310303132353839404148[[#This Row],[النولون]]+Table11819202310303132353839404148[[#This Row],[الايصالات]]+Table11819202310303132353839404148[[#This Row],[قيمة مضافة]]</f>
        <v>0</v>
      </c>
      <c r="L93" s="1">
        <f>L92+Table11819202310303132353839404148[[#This Row],[اجمالي الفاتوره]]-Table11819202310303132353839404148[[#This Row],[الدفعات]]</f>
        <v>167068.43999999994</v>
      </c>
      <c r="N93" s="48"/>
    </row>
    <row r="94" spans="8:14" ht="26.25" customHeight="1" x14ac:dyDescent="0.3">
      <c r="H94" s="1">
        <f>0.14*Table11819202310303132353839404148[[#This Row],[النولون]]</f>
        <v>0</v>
      </c>
      <c r="J94" s="1">
        <f>Table11819202310303132353839404148[[#This Row],[النولون]]+Table11819202310303132353839404148[[#This Row],[الايصالات]]+Table11819202310303132353839404148[[#This Row],[قيمة مضافة]]</f>
        <v>0</v>
      </c>
      <c r="L94" s="1">
        <f>L93+Table11819202310303132353839404148[[#This Row],[اجمالي الفاتوره]]-Table11819202310303132353839404148[[#This Row],[الدفعات]]</f>
        <v>167068.43999999994</v>
      </c>
      <c r="N94" s="48"/>
    </row>
    <row r="95" spans="8:14" ht="26.25" customHeight="1" x14ac:dyDescent="0.3">
      <c r="H95" s="1">
        <f>0.14*Table11819202310303132353839404148[[#This Row],[النولون]]</f>
        <v>0</v>
      </c>
      <c r="J95" s="1">
        <f>Table11819202310303132353839404148[[#This Row],[النولون]]+Table11819202310303132353839404148[[#This Row],[الايصالات]]+Table11819202310303132353839404148[[#This Row],[قيمة مضافة]]</f>
        <v>0</v>
      </c>
      <c r="L95" s="1">
        <f>L94+Table11819202310303132353839404148[[#This Row],[اجمالي الفاتوره]]-Table11819202310303132353839404148[[#This Row],[الدفعات]]</f>
        <v>167068.43999999994</v>
      </c>
      <c r="N95" s="48"/>
    </row>
    <row r="96" spans="8:14" ht="26.25" customHeight="1" x14ac:dyDescent="0.3">
      <c r="H96" s="1">
        <f>0.14*Table11819202310303132353839404148[[#This Row],[النولون]]</f>
        <v>0</v>
      </c>
      <c r="J96" s="1">
        <f>Table11819202310303132353839404148[[#This Row],[النولون]]+Table11819202310303132353839404148[[#This Row],[الايصالات]]+Table11819202310303132353839404148[[#This Row],[قيمة مضافة]]</f>
        <v>0</v>
      </c>
      <c r="L96" s="1">
        <f>L95+Table11819202310303132353839404148[[#This Row],[اجمالي الفاتوره]]-Table11819202310303132353839404148[[#This Row],[الدفعات]]</f>
        <v>167068.43999999994</v>
      </c>
      <c r="N96" s="48"/>
    </row>
    <row r="97" spans="8:14" ht="26.25" customHeight="1" x14ac:dyDescent="0.3">
      <c r="H97" s="1">
        <f>0.14*Table11819202310303132353839404148[[#This Row],[النولون]]</f>
        <v>0</v>
      </c>
      <c r="J97" s="1">
        <f>Table11819202310303132353839404148[[#This Row],[النولون]]+Table11819202310303132353839404148[[#This Row],[الايصالات]]+Table11819202310303132353839404148[[#This Row],[قيمة مضافة]]</f>
        <v>0</v>
      </c>
      <c r="L97" s="1">
        <f>L96+Table11819202310303132353839404148[[#This Row],[اجمالي الفاتوره]]-Table11819202310303132353839404148[[#This Row],[الدفعات]]</f>
        <v>167068.43999999994</v>
      </c>
      <c r="N97" s="48"/>
    </row>
    <row r="98" spans="8:14" ht="26.25" customHeight="1" x14ac:dyDescent="0.3">
      <c r="H98" s="1">
        <f>0.14*Table11819202310303132353839404148[[#This Row],[النولون]]</f>
        <v>0</v>
      </c>
      <c r="J98" s="1">
        <f>Table11819202310303132353839404148[[#This Row],[النولون]]+Table11819202310303132353839404148[[#This Row],[الايصالات]]+Table11819202310303132353839404148[[#This Row],[قيمة مضافة]]</f>
        <v>0</v>
      </c>
      <c r="L98" s="1">
        <f>L97+Table11819202310303132353839404148[[#This Row],[اجمالي الفاتوره]]-Table11819202310303132353839404148[[#This Row],[الدفعات]]</f>
        <v>167068.43999999994</v>
      </c>
      <c r="N98" s="48"/>
    </row>
    <row r="99" spans="8:14" ht="26.25" customHeight="1" x14ac:dyDescent="0.3">
      <c r="H99" s="1">
        <f>0.14*Table11819202310303132353839404148[[#This Row],[النولون]]</f>
        <v>0</v>
      </c>
      <c r="J99" s="1">
        <f>Table11819202310303132353839404148[[#This Row],[النولون]]+Table11819202310303132353839404148[[#This Row],[الايصالات]]+Table11819202310303132353839404148[[#This Row],[قيمة مضافة]]</f>
        <v>0</v>
      </c>
      <c r="L99" s="1">
        <f>L98+Table11819202310303132353839404148[[#This Row],[اجمالي الفاتوره]]-Table11819202310303132353839404148[[#This Row],[الدفعات]]</f>
        <v>167068.43999999994</v>
      </c>
      <c r="N99" s="48"/>
    </row>
    <row r="100" spans="8:14" ht="26.25" customHeight="1" x14ac:dyDescent="0.3">
      <c r="H100" s="1">
        <f>0.14*Table11819202310303132353839404148[[#This Row],[النولون]]</f>
        <v>0</v>
      </c>
      <c r="J100" s="1">
        <f>Table11819202310303132353839404148[[#This Row],[النولون]]+Table11819202310303132353839404148[[#This Row],[الايصالات]]+Table11819202310303132353839404148[[#This Row],[قيمة مضافة]]</f>
        <v>0</v>
      </c>
      <c r="L100" s="1">
        <f>L99+Table11819202310303132353839404148[[#This Row],[اجمالي الفاتوره]]-Table11819202310303132353839404148[[#This Row],[الدفعات]]</f>
        <v>167068.43999999994</v>
      </c>
      <c r="N100" s="48"/>
    </row>
    <row r="101" spans="8:14" ht="26.25" customHeight="1" x14ac:dyDescent="0.3">
      <c r="H101" s="1">
        <f>0.14*Table11819202310303132353839404148[[#This Row],[النولون]]</f>
        <v>0</v>
      </c>
      <c r="J101" s="1">
        <f>Table11819202310303132353839404148[[#This Row],[النولون]]+Table11819202310303132353839404148[[#This Row],[الايصالات]]+Table11819202310303132353839404148[[#This Row],[قيمة مضافة]]</f>
        <v>0</v>
      </c>
      <c r="L101" s="1">
        <f>L100+Table11819202310303132353839404148[[#This Row],[اجمالي الفاتوره]]-Table11819202310303132353839404148[[#This Row],[الدفعات]]</f>
        <v>167068.43999999994</v>
      </c>
      <c r="N101" s="48"/>
    </row>
    <row r="102" spans="8:14" ht="26.25" customHeight="1" x14ac:dyDescent="0.3">
      <c r="H102" s="1">
        <f>0.14*Table11819202310303132353839404148[[#This Row],[النولون]]</f>
        <v>0</v>
      </c>
      <c r="J102" s="1">
        <f>Table11819202310303132353839404148[[#This Row],[النولون]]+Table11819202310303132353839404148[[#This Row],[الايصالات]]+Table11819202310303132353839404148[[#This Row],[قيمة مضافة]]</f>
        <v>0</v>
      </c>
      <c r="L102" s="1">
        <f>L101+Table11819202310303132353839404148[[#This Row],[اجمالي الفاتوره]]-Table11819202310303132353839404148[[#This Row],[الدفعات]]</f>
        <v>167068.43999999994</v>
      </c>
      <c r="N102" s="48"/>
    </row>
    <row r="103" spans="8:14" ht="26.25" customHeight="1" x14ac:dyDescent="0.3">
      <c r="H103" s="1">
        <f>0.14*Table11819202310303132353839404148[[#This Row],[النولون]]</f>
        <v>0</v>
      </c>
      <c r="J103" s="1">
        <f>Table11819202310303132353839404148[[#This Row],[النولون]]+Table11819202310303132353839404148[[#This Row],[الايصالات]]+Table11819202310303132353839404148[[#This Row],[قيمة مضافة]]</f>
        <v>0</v>
      </c>
      <c r="L103" s="1">
        <f>L102+Table11819202310303132353839404148[[#This Row],[اجمالي الفاتوره]]-Table11819202310303132353839404148[[#This Row],[الدفعات]]</f>
        <v>167068.43999999994</v>
      </c>
      <c r="N103" s="48"/>
    </row>
    <row r="104" spans="8:14" ht="26.25" customHeight="1" x14ac:dyDescent="0.3">
      <c r="H104" s="1">
        <f>0.14*Table11819202310303132353839404148[[#This Row],[النولون]]</f>
        <v>0</v>
      </c>
      <c r="J104" s="1">
        <f>Table11819202310303132353839404148[[#This Row],[النولون]]+Table11819202310303132353839404148[[#This Row],[الايصالات]]+Table11819202310303132353839404148[[#This Row],[قيمة مضافة]]</f>
        <v>0</v>
      </c>
      <c r="L104" s="1">
        <f>L103+Table11819202310303132353839404148[[#This Row],[اجمالي الفاتوره]]-Table11819202310303132353839404148[[#This Row],[الدفعات]]</f>
        <v>167068.43999999994</v>
      </c>
      <c r="N104" s="48"/>
    </row>
    <row r="105" spans="8:14" ht="26.25" customHeight="1" x14ac:dyDescent="0.3">
      <c r="H105" s="1">
        <f>0.14*Table11819202310303132353839404148[[#This Row],[النولون]]</f>
        <v>0</v>
      </c>
      <c r="J105" s="1">
        <f>Table11819202310303132353839404148[[#This Row],[النولون]]+Table11819202310303132353839404148[[#This Row],[الايصالات]]+Table11819202310303132353839404148[[#This Row],[قيمة مضافة]]</f>
        <v>0</v>
      </c>
      <c r="L105" s="1">
        <f>L104+Table11819202310303132353839404148[[#This Row],[اجمالي الفاتوره]]-Table11819202310303132353839404148[[#This Row],[الدفعات]]</f>
        <v>167068.43999999994</v>
      </c>
      <c r="N105" s="48"/>
    </row>
    <row r="106" spans="8:14" ht="26.25" customHeight="1" x14ac:dyDescent="0.3">
      <c r="H106" s="1">
        <f>0.14*Table11819202310303132353839404148[[#This Row],[النولون]]</f>
        <v>0</v>
      </c>
      <c r="J106" s="1">
        <f>Table11819202310303132353839404148[[#This Row],[النولون]]+Table11819202310303132353839404148[[#This Row],[الايصالات]]+Table11819202310303132353839404148[[#This Row],[قيمة مضافة]]</f>
        <v>0</v>
      </c>
      <c r="L106" s="1">
        <f>L105+Table11819202310303132353839404148[[#This Row],[اجمالي الفاتوره]]-Table11819202310303132353839404148[[#This Row],[الدفعات]]</f>
        <v>167068.43999999994</v>
      </c>
      <c r="N106" s="48"/>
    </row>
    <row r="107" spans="8:14" ht="26.25" customHeight="1" x14ac:dyDescent="0.3">
      <c r="H107" s="1">
        <f>0.14*Table11819202310303132353839404148[[#This Row],[النولون]]</f>
        <v>0</v>
      </c>
      <c r="J107" s="1">
        <f>Table11819202310303132353839404148[[#This Row],[النولون]]+Table11819202310303132353839404148[[#This Row],[الايصالات]]+Table11819202310303132353839404148[[#This Row],[قيمة مضافة]]</f>
        <v>0</v>
      </c>
      <c r="L107" s="1">
        <f>L106+Table11819202310303132353839404148[[#This Row],[اجمالي الفاتوره]]-Table11819202310303132353839404148[[#This Row],[الدفعات]]</f>
        <v>167068.43999999994</v>
      </c>
      <c r="N107" s="48"/>
    </row>
    <row r="108" spans="8:14" ht="26.25" customHeight="1" x14ac:dyDescent="0.3">
      <c r="H108" s="1">
        <f>0.14*Table11819202310303132353839404148[[#This Row],[النولون]]</f>
        <v>0</v>
      </c>
      <c r="J108" s="1">
        <f>Table11819202310303132353839404148[[#This Row],[النولون]]+Table11819202310303132353839404148[[#This Row],[الايصالات]]+Table11819202310303132353839404148[[#This Row],[قيمة مضافة]]</f>
        <v>0</v>
      </c>
      <c r="L108" s="1">
        <f>L107+Table11819202310303132353839404148[[#This Row],[اجمالي الفاتوره]]-Table11819202310303132353839404148[[#This Row],[الدفعات]]</f>
        <v>167068.43999999994</v>
      </c>
      <c r="N108" s="48"/>
    </row>
    <row r="109" spans="8:14" ht="26.25" customHeight="1" x14ac:dyDescent="0.3">
      <c r="H109" s="1">
        <f>0.14*Table11819202310303132353839404148[[#This Row],[النولون]]</f>
        <v>0</v>
      </c>
      <c r="J109" s="1">
        <f>Table11819202310303132353839404148[[#This Row],[النولون]]+Table11819202310303132353839404148[[#This Row],[الايصالات]]+Table11819202310303132353839404148[[#This Row],[قيمة مضافة]]</f>
        <v>0</v>
      </c>
      <c r="L109" s="1">
        <f>L108+Table11819202310303132353839404148[[#This Row],[اجمالي الفاتوره]]-Table11819202310303132353839404148[[#This Row],[الدفعات]]</f>
        <v>167068.43999999994</v>
      </c>
      <c r="N109" s="48"/>
    </row>
    <row r="110" spans="8:14" ht="26.25" customHeight="1" x14ac:dyDescent="0.3">
      <c r="H110" s="1">
        <f>0.14*Table11819202310303132353839404148[[#This Row],[النولون]]</f>
        <v>0</v>
      </c>
      <c r="J110" s="1">
        <f>Table11819202310303132353839404148[[#This Row],[النولون]]+Table11819202310303132353839404148[[#This Row],[الايصالات]]+Table11819202310303132353839404148[[#This Row],[قيمة مضافة]]</f>
        <v>0</v>
      </c>
      <c r="L110" s="1">
        <f>L109+Table11819202310303132353839404148[[#This Row],[اجمالي الفاتوره]]-Table11819202310303132353839404148[[#This Row],[الدفعات]]</f>
        <v>167068.43999999994</v>
      </c>
      <c r="N110" s="48"/>
    </row>
    <row r="111" spans="8:14" ht="26.25" customHeight="1" x14ac:dyDescent="0.3">
      <c r="H111" s="1">
        <f>0.14*Table11819202310303132353839404148[[#This Row],[النولون]]</f>
        <v>0</v>
      </c>
      <c r="J111" s="1">
        <f>Table11819202310303132353839404148[[#This Row],[النولون]]+Table11819202310303132353839404148[[#This Row],[الايصالات]]+Table11819202310303132353839404148[[#This Row],[قيمة مضافة]]</f>
        <v>0</v>
      </c>
      <c r="L111" s="1">
        <f>L110+Table11819202310303132353839404148[[#This Row],[اجمالي الفاتوره]]-Table11819202310303132353839404148[[#This Row],[الدفعات]]</f>
        <v>167068.43999999994</v>
      </c>
      <c r="N111" s="48"/>
    </row>
    <row r="112" spans="8:14" ht="26.25" customHeight="1" x14ac:dyDescent="0.3">
      <c r="H112" s="1">
        <f>0.14*Table11819202310303132353839404148[[#This Row],[النولون]]</f>
        <v>0</v>
      </c>
      <c r="J112" s="1">
        <f>Table11819202310303132353839404148[[#This Row],[النولون]]+Table11819202310303132353839404148[[#This Row],[الايصالات]]+Table11819202310303132353839404148[[#This Row],[قيمة مضافة]]</f>
        <v>0</v>
      </c>
      <c r="L112" s="1">
        <f>L111+Table11819202310303132353839404148[[#This Row],[اجمالي الفاتوره]]-Table11819202310303132353839404148[[#This Row],[الدفعات]]</f>
        <v>167068.43999999994</v>
      </c>
      <c r="N112" s="48"/>
    </row>
    <row r="113" spans="8:14" ht="26.25" customHeight="1" x14ac:dyDescent="0.3">
      <c r="H113" s="1">
        <f>0.14*Table11819202310303132353839404148[[#This Row],[النولون]]</f>
        <v>0</v>
      </c>
      <c r="J113" s="1">
        <f>Table11819202310303132353839404148[[#This Row],[النولون]]+Table11819202310303132353839404148[[#This Row],[الايصالات]]+Table11819202310303132353839404148[[#This Row],[قيمة مضافة]]</f>
        <v>0</v>
      </c>
      <c r="L113" s="1">
        <f>L112+Table11819202310303132353839404148[[#This Row],[اجمالي الفاتوره]]-Table11819202310303132353839404148[[#This Row],[الدفعات]]</f>
        <v>167068.43999999994</v>
      </c>
      <c r="N113" s="48"/>
    </row>
    <row r="114" spans="8:14" ht="26.25" customHeight="1" x14ac:dyDescent="0.3">
      <c r="H114" s="1">
        <f>0.14*Table11819202310303132353839404148[[#This Row],[النولون]]</f>
        <v>0</v>
      </c>
      <c r="J114" s="1">
        <f>Table11819202310303132353839404148[[#This Row],[النولون]]+Table11819202310303132353839404148[[#This Row],[الايصالات]]+Table11819202310303132353839404148[[#This Row],[قيمة مضافة]]</f>
        <v>0</v>
      </c>
      <c r="L114" s="1">
        <f>L113+Table11819202310303132353839404148[[#This Row],[اجمالي الفاتوره]]-Table11819202310303132353839404148[[#This Row],[الدفعات]]</f>
        <v>167068.43999999994</v>
      </c>
      <c r="N114" s="48"/>
    </row>
    <row r="115" spans="8:14" ht="26.25" customHeight="1" x14ac:dyDescent="0.3">
      <c r="H115" s="1">
        <f>0.14*Table11819202310303132353839404148[[#This Row],[النولون]]</f>
        <v>0</v>
      </c>
      <c r="J115" s="1">
        <f>Table11819202310303132353839404148[[#This Row],[النولون]]+Table11819202310303132353839404148[[#This Row],[الايصالات]]+Table11819202310303132353839404148[[#This Row],[قيمة مضافة]]</f>
        <v>0</v>
      </c>
      <c r="L115" s="1">
        <f>L114+Table11819202310303132353839404148[[#This Row],[اجمالي الفاتوره]]-Table11819202310303132353839404148[[#This Row],[الدفعات]]</f>
        <v>167068.43999999994</v>
      </c>
      <c r="N115" s="48"/>
    </row>
    <row r="116" spans="8:14" ht="26.25" customHeight="1" x14ac:dyDescent="0.3">
      <c r="H116" s="1">
        <f>0.14*Table11819202310303132353839404148[[#This Row],[النولون]]</f>
        <v>0</v>
      </c>
      <c r="J116" s="1">
        <f>Table11819202310303132353839404148[[#This Row],[النولون]]+Table11819202310303132353839404148[[#This Row],[الايصالات]]+Table11819202310303132353839404148[[#This Row],[قيمة مضافة]]</f>
        <v>0</v>
      </c>
      <c r="L116" s="1">
        <f>L115+Table11819202310303132353839404148[[#This Row],[اجمالي الفاتوره]]-Table11819202310303132353839404148[[#This Row],[الدفعات]]</f>
        <v>167068.43999999994</v>
      </c>
      <c r="N116" s="48"/>
    </row>
    <row r="117" spans="8:14" ht="26.25" customHeight="1" x14ac:dyDescent="0.3">
      <c r="H117" s="1">
        <f>0.14*Table11819202310303132353839404148[[#This Row],[النولون]]</f>
        <v>0</v>
      </c>
      <c r="J117" s="1">
        <f>Table11819202310303132353839404148[[#This Row],[النولون]]+Table11819202310303132353839404148[[#This Row],[الايصالات]]+Table11819202310303132353839404148[[#This Row],[قيمة مضافة]]</f>
        <v>0</v>
      </c>
      <c r="L117" s="1">
        <f>L116+Table11819202310303132353839404148[[#This Row],[اجمالي الفاتوره]]-Table11819202310303132353839404148[[#This Row],[الدفعات]]</f>
        <v>167068.43999999994</v>
      </c>
      <c r="N117" s="48"/>
    </row>
    <row r="118" spans="8:14" ht="26.25" customHeight="1" x14ac:dyDescent="0.3">
      <c r="H118" s="1">
        <f>0.14*Table11819202310303132353839404148[[#This Row],[النولون]]</f>
        <v>0</v>
      </c>
      <c r="J118" s="1">
        <f>Table11819202310303132353839404148[[#This Row],[النولون]]+Table11819202310303132353839404148[[#This Row],[الايصالات]]+Table11819202310303132353839404148[[#This Row],[قيمة مضافة]]</f>
        <v>0</v>
      </c>
      <c r="L118" s="1">
        <f>L117+Table11819202310303132353839404148[[#This Row],[اجمالي الفاتوره]]-Table11819202310303132353839404148[[#This Row],[الدفعات]]</f>
        <v>167068.43999999994</v>
      </c>
      <c r="N118" s="48"/>
    </row>
    <row r="119" spans="8:14" ht="26.25" customHeight="1" x14ac:dyDescent="0.3">
      <c r="H119" s="1">
        <f>0.14*Table11819202310303132353839404148[[#This Row],[النولون]]</f>
        <v>0</v>
      </c>
      <c r="J119" s="1">
        <f>Table11819202310303132353839404148[[#This Row],[النولون]]+Table11819202310303132353839404148[[#This Row],[الايصالات]]+Table11819202310303132353839404148[[#This Row],[قيمة مضافة]]</f>
        <v>0</v>
      </c>
      <c r="L119" s="1">
        <f>L118+Table11819202310303132353839404148[[#This Row],[اجمالي الفاتوره]]-Table11819202310303132353839404148[[#This Row],[الدفعات]]</f>
        <v>167068.43999999994</v>
      </c>
      <c r="N119" s="48"/>
    </row>
    <row r="120" spans="8:14" ht="26.25" customHeight="1" x14ac:dyDescent="0.3">
      <c r="H120" s="1">
        <f>0.14*Table11819202310303132353839404148[[#This Row],[النولون]]</f>
        <v>0</v>
      </c>
      <c r="J120" s="1">
        <f>Table11819202310303132353839404148[[#This Row],[النولون]]+Table11819202310303132353839404148[[#This Row],[الايصالات]]+Table11819202310303132353839404148[[#This Row],[قيمة مضافة]]</f>
        <v>0</v>
      </c>
      <c r="L120" s="1">
        <f>L119+Table11819202310303132353839404148[[#This Row],[اجمالي الفاتوره]]-Table11819202310303132353839404148[[#This Row],[الدفعات]]</f>
        <v>167068.43999999994</v>
      </c>
      <c r="N120" s="48"/>
    </row>
    <row r="121" spans="8:14" ht="26.25" customHeight="1" x14ac:dyDescent="0.3">
      <c r="H121" s="1">
        <f>0.14*Table11819202310303132353839404148[[#This Row],[النولون]]</f>
        <v>0</v>
      </c>
      <c r="J121" s="1">
        <f>Table11819202310303132353839404148[[#This Row],[النولون]]+Table11819202310303132353839404148[[#This Row],[الايصالات]]+Table11819202310303132353839404148[[#This Row],[قيمة مضافة]]</f>
        <v>0</v>
      </c>
      <c r="L121" s="1">
        <f>L120+Table11819202310303132353839404148[[#This Row],[اجمالي الفاتوره]]-Table11819202310303132353839404148[[#This Row],[الدفعات]]</f>
        <v>167068.43999999994</v>
      </c>
      <c r="N121" s="48"/>
    </row>
    <row r="122" spans="8:14" ht="26.25" customHeight="1" x14ac:dyDescent="0.3">
      <c r="H122" s="1">
        <f>0.14*Table11819202310303132353839404148[[#This Row],[النولون]]</f>
        <v>0</v>
      </c>
      <c r="J122" s="1">
        <f>Table11819202310303132353839404148[[#This Row],[النولون]]+Table11819202310303132353839404148[[#This Row],[الايصالات]]+Table11819202310303132353839404148[[#This Row],[قيمة مضافة]]</f>
        <v>0</v>
      </c>
      <c r="L122" s="1">
        <f>L121+Table11819202310303132353839404148[[#This Row],[اجمالي الفاتوره]]-Table11819202310303132353839404148[[#This Row],[الدفعات]]</f>
        <v>167068.43999999994</v>
      </c>
      <c r="N122" s="48"/>
    </row>
    <row r="123" spans="8:14" ht="26.25" customHeight="1" x14ac:dyDescent="0.3">
      <c r="H123" s="1">
        <f>0.14*Table11819202310303132353839404148[[#This Row],[النولون]]</f>
        <v>0</v>
      </c>
      <c r="J123" s="1">
        <f>Table11819202310303132353839404148[[#This Row],[النولون]]+Table11819202310303132353839404148[[#This Row],[الايصالات]]+Table11819202310303132353839404148[[#This Row],[قيمة مضافة]]</f>
        <v>0</v>
      </c>
      <c r="L123" s="1">
        <f>L122+Table11819202310303132353839404148[[#This Row],[اجمالي الفاتوره]]-Table11819202310303132353839404148[[#This Row],[الدفعات]]</f>
        <v>167068.43999999994</v>
      </c>
      <c r="N123" s="48"/>
    </row>
    <row r="124" spans="8:14" ht="26.25" customHeight="1" x14ac:dyDescent="0.3">
      <c r="H124" s="1">
        <f>0.14*Table11819202310303132353839404148[[#This Row],[النولون]]</f>
        <v>0</v>
      </c>
      <c r="J124" s="1">
        <f>Table11819202310303132353839404148[[#This Row],[النولون]]+Table11819202310303132353839404148[[#This Row],[الايصالات]]+Table11819202310303132353839404148[[#This Row],[قيمة مضافة]]</f>
        <v>0</v>
      </c>
      <c r="L124" s="1">
        <f>L123+Table11819202310303132353839404148[[#This Row],[اجمالي الفاتوره]]-Table11819202310303132353839404148[[#This Row],[الدفعات]]</f>
        <v>167068.43999999994</v>
      </c>
      <c r="N124" s="48"/>
    </row>
    <row r="125" spans="8:14" ht="26.25" customHeight="1" x14ac:dyDescent="0.3">
      <c r="H125" s="1">
        <f>0.14*Table11819202310303132353839404148[[#This Row],[النولون]]</f>
        <v>0</v>
      </c>
      <c r="J125" s="1">
        <f>Table11819202310303132353839404148[[#This Row],[النولون]]+Table11819202310303132353839404148[[#This Row],[الايصالات]]+Table11819202310303132353839404148[[#This Row],[قيمة مضافة]]</f>
        <v>0</v>
      </c>
      <c r="L125" s="1">
        <f>L124+Table11819202310303132353839404148[[#This Row],[اجمالي الفاتوره]]-Table11819202310303132353839404148[[#This Row],[الدفعات]]</f>
        <v>167068.43999999994</v>
      </c>
      <c r="N125" s="48"/>
    </row>
    <row r="126" spans="8:14" ht="26.25" customHeight="1" x14ac:dyDescent="0.3">
      <c r="H126" s="1">
        <f>0.14*Table11819202310303132353839404148[[#This Row],[النولون]]</f>
        <v>0</v>
      </c>
      <c r="J126" s="1">
        <f>Table11819202310303132353839404148[[#This Row],[النولون]]+Table11819202310303132353839404148[[#This Row],[الايصالات]]+Table11819202310303132353839404148[[#This Row],[قيمة مضافة]]</f>
        <v>0</v>
      </c>
      <c r="L126" s="1">
        <f>L125+Table11819202310303132353839404148[[#This Row],[اجمالي الفاتوره]]-Table11819202310303132353839404148[[#This Row],[الدفعات]]</f>
        <v>167068.43999999994</v>
      </c>
      <c r="N126" s="48"/>
    </row>
    <row r="127" spans="8:14" ht="26.25" customHeight="1" x14ac:dyDescent="0.3">
      <c r="H127" s="1">
        <f>0.14*Table11819202310303132353839404148[[#This Row],[النولون]]</f>
        <v>0</v>
      </c>
      <c r="J127" s="1">
        <f>Table11819202310303132353839404148[[#This Row],[النولون]]+Table11819202310303132353839404148[[#This Row],[الايصالات]]+Table11819202310303132353839404148[[#This Row],[قيمة مضافة]]</f>
        <v>0</v>
      </c>
      <c r="L127" s="1">
        <f>L126+Table11819202310303132353839404148[[#This Row],[اجمالي الفاتوره]]-Table11819202310303132353839404148[[#This Row],[الدفعات]]</f>
        <v>167068.43999999994</v>
      </c>
      <c r="N127" s="48"/>
    </row>
    <row r="128" spans="8:14" ht="26.25" customHeight="1" x14ac:dyDescent="0.3">
      <c r="H128" s="1">
        <f>0.14*Table11819202310303132353839404148[[#This Row],[النولون]]</f>
        <v>0</v>
      </c>
      <c r="J128" s="1">
        <f>Table11819202310303132353839404148[[#This Row],[النولون]]+Table11819202310303132353839404148[[#This Row],[الايصالات]]+Table11819202310303132353839404148[[#This Row],[قيمة مضافة]]</f>
        <v>0</v>
      </c>
      <c r="L128" s="1">
        <f>L127+Table11819202310303132353839404148[[#This Row],[اجمالي الفاتوره]]-Table11819202310303132353839404148[[#This Row],[الدفعات]]</f>
        <v>167068.43999999994</v>
      </c>
      <c r="N128" s="48"/>
    </row>
    <row r="129" spans="8:14" ht="26.25" customHeight="1" x14ac:dyDescent="0.3">
      <c r="H129" s="1">
        <f>0.14*Table11819202310303132353839404148[[#This Row],[النولون]]</f>
        <v>0</v>
      </c>
      <c r="J129" s="1">
        <f>Table11819202310303132353839404148[[#This Row],[النولون]]+Table11819202310303132353839404148[[#This Row],[الايصالات]]+Table11819202310303132353839404148[[#This Row],[قيمة مضافة]]</f>
        <v>0</v>
      </c>
      <c r="L129" s="1">
        <f>L128+Table11819202310303132353839404148[[#This Row],[اجمالي الفاتوره]]-Table11819202310303132353839404148[[#This Row],[الدفعات]]</f>
        <v>167068.43999999994</v>
      </c>
      <c r="N129" s="48"/>
    </row>
    <row r="130" spans="8:14" ht="26.25" customHeight="1" x14ac:dyDescent="0.3">
      <c r="H130" s="1">
        <f>0.14*Table11819202310303132353839404148[[#This Row],[النولون]]</f>
        <v>0</v>
      </c>
      <c r="J130" s="1">
        <f>Table11819202310303132353839404148[[#This Row],[النولون]]+Table11819202310303132353839404148[[#This Row],[الايصالات]]+Table11819202310303132353839404148[[#This Row],[قيمة مضافة]]</f>
        <v>0</v>
      </c>
      <c r="L130" s="1">
        <f>L129+Table11819202310303132353839404148[[#This Row],[اجمالي الفاتوره]]-Table11819202310303132353839404148[[#This Row],[الدفعات]]</f>
        <v>167068.43999999994</v>
      </c>
      <c r="N130" s="48"/>
    </row>
    <row r="131" spans="8:14" ht="26.25" customHeight="1" x14ac:dyDescent="0.3">
      <c r="H131" s="1">
        <f>0.14*Table11819202310303132353839404148[[#This Row],[النولون]]</f>
        <v>0</v>
      </c>
      <c r="J131" s="1">
        <f>Table11819202310303132353839404148[[#This Row],[النولون]]+Table11819202310303132353839404148[[#This Row],[الايصالات]]+Table11819202310303132353839404148[[#This Row],[قيمة مضافة]]</f>
        <v>0</v>
      </c>
      <c r="L131" s="1">
        <f>L130+Table11819202310303132353839404148[[#This Row],[اجمالي الفاتوره]]-Table11819202310303132353839404148[[#This Row],[الدفعات]]</f>
        <v>167068.43999999994</v>
      </c>
      <c r="N131" s="48"/>
    </row>
    <row r="132" spans="8:14" ht="26.25" customHeight="1" x14ac:dyDescent="0.3">
      <c r="H132" s="1">
        <f>0.14*Table11819202310303132353839404148[[#This Row],[النولون]]</f>
        <v>0</v>
      </c>
      <c r="J132" s="1">
        <f>Table11819202310303132353839404148[[#This Row],[النولون]]+Table11819202310303132353839404148[[#This Row],[الايصالات]]+Table11819202310303132353839404148[[#This Row],[قيمة مضافة]]</f>
        <v>0</v>
      </c>
      <c r="L132" s="1">
        <f>L131+Table11819202310303132353839404148[[#This Row],[اجمالي الفاتوره]]-Table11819202310303132353839404148[[#This Row],[الدفعات]]</f>
        <v>167068.43999999994</v>
      </c>
      <c r="N132" s="48"/>
    </row>
    <row r="133" spans="8:14" ht="26.25" customHeight="1" x14ac:dyDescent="0.3">
      <c r="H133" s="1">
        <f>0.14*Table11819202310303132353839404148[[#This Row],[النولون]]</f>
        <v>0</v>
      </c>
      <c r="J133" s="1">
        <f>Table11819202310303132353839404148[[#This Row],[النولون]]+Table11819202310303132353839404148[[#This Row],[الايصالات]]+Table11819202310303132353839404148[[#This Row],[قيمة مضافة]]</f>
        <v>0</v>
      </c>
      <c r="L133" s="1">
        <f>L132+Table11819202310303132353839404148[[#This Row],[اجمالي الفاتوره]]-Table11819202310303132353839404148[[#This Row],[الدفعات]]</f>
        <v>167068.43999999994</v>
      </c>
      <c r="N133" s="48"/>
    </row>
    <row r="134" spans="8:14" ht="26.25" customHeight="1" x14ac:dyDescent="0.3">
      <c r="H134" s="1">
        <f>0.14*Table11819202310303132353839404148[[#This Row],[النولون]]</f>
        <v>0</v>
      </c>
      <c r="J134" s="1">
        <f>Table11819202310303132353839404148[[#This Row],[النولون]]+Table11819202310303132353839404148[[#This Row],[الايصالات]]+Table11819202310303132353839404148[[#This Row],[قيمة مضافة]]</f>
        <v>0</v>
      </c>
      <c r="L134" s="1">
        <f>L133+Table11819202310303132353839404148[[#This Row],[اجمالي الفاتوره]]-Table11819202310303132353839404148[[#This Row],[الدفعات]]</f>
        <v>167068.43999999994</v>
      </c>
      <c r="N134" s="48"/>
    </row>
    <row r="135" spans="8:14" ht="26.25" customHeight="1" x14ac:dyDescent="0.3">
      <c r="H135" s="1">
        <f>0.14*Table11819202310303132353839404148[[#This Row],[النولون]]</f>
        <v>0</v>
      </c>
      <c r="J135" s="1">
        <f>Table11819202310303132353839404148[[#This Row],[النولون]]+Table11819202310303132353839404148[[#This Row],[الايصالات]]+Table11819202310303132353839404148[[#This Row],[قيمة مضافة]]</f>
        <v>0</v>
      </c>
      <c r="L135" s="1">
        <f>L134+Table11819202310303132353839404148[[#This Row],[اجمالي الفاتوره]]-Table11819202310303132353839404148[[#This Row],[الدفعات]]</f>
        <v>167068.43999999994</v>
      </c>
      <c r="N135" s="48"/>
    </row>
    <row r="136" spans="8:14" ht="26.25" customHeight="1" x14ac:dyDescent="0.3">
      <c r="H136" s="1">
        <f>0.14*Table11819202310303132353839404148[[#This Row],[النولون]]</f>
        <v>0</v>
      </c>
      <c r="J136" s="1">
        <f>Table11819202310303132353839404148[[#This Row],[النولون]]+Table11819202310303132353839404148[[#This Row],[الايصالات]]+Table11819202310303132353839404148[[#This Row],[قيمة مضافة]]</f>
        <v>0</v>
      </c>
      <c r="L136" s="1">
        <f>L135+Table11819202310303132353839404148[[#This Row],[اجمالي الفاتوره]]-Table11819202310303132353839404148[[#This Row],[الدفعات]]</f>
        <v>167068.43999999994</v>
      </c>
      <c r="N136" s="48"/>
    </row>
    <row r="137" spans="8:14" ht="26.25" customHeight="1" x14ac:dyDescent="0.3">
      <c r="H137" s="1">
        <f>0.14*Table11819202310303132353839404148[[#This Row],[النولون]]</f>
        <v>0</v>
      </c>
      <c r="J137" s="1">
        <f>Table11819202310303132353839404148[[#This Row],[النولون]]+Table11819202310303132353839404148[[#This Row],[الايصالات]]+Table11819202310303132353839404148[[#This Row],[قيمة مضافة]]</f>
        <v>0</v>
      </c>
      <c r="L137" s="1">
        <f>L136+Table11819202310303132353839404148[[#This Row],[اجمالي الفاتوره]]-Table11819202310303132353839404148[[#This Row],[الدفعات]]</f>
        <v>167068.43999999994</v>
      </c>
      <c r="N137" s="48"/>
    </row>
    <row r="138" spans="8:14" ht="26.25" customHeight="1" x14ac:dyDescent="0.3">
      <c r="H138" s="1">
        <f>0.14*Table11819202310303132353839404148[[#This Row],[النولون]]</f>
        <v>0</v>
      </c>
      <c r="J138" s="1">
        <f>Table11819202310303132353839404148[[#This Row],[النولون]]+Table11819202310303132353839404148[[#This Row],[الايصالات]]+Table11819202310303132353839404148[[#This Row],[قيمة مضافة]]</f>
        <v>0</v>
      </c>
      <c r="L138" s="1">
        <f>L137+Table11819202310303132353839404148[[#This Row],[اجمالي الفاتوره]]-Table11819202310303132353839404148[[#This Row],[الدفعات]]</f>
        <v>167068.43999999994</v>
      </c>
      <c r="N138" s="48"/>
    </row>
    <row r="139" spans="8:14" ht="26.25" customHeight="1" x14ac:dyDescent="0.3">
      <c r="H139" s="1">
        <f>0.14*Table11819202310303132353839404148[[#This Row],[النولون]]</f>
        <v>0</v>
      </c>
      <c r="J139" s="1">
        <f>Table11819202310303132353839404148[[#This Row],[النولون]]+Table11819202310303132353839404148[[#This Row],[الايصالات]]+Table11819202310303132353839404148[[#This Row],[قيمة مضافة]]</f>
        <v>0</v>
      </c>
      <c r="L139" s="1">
        <f>L138+Table11819202310303132353839404148[[#This Row],[اجمالي الفاتوره]]-Table11819202310303132353839404148[[#This Row],[الدفعات]]</f>
        <v>167068.43999999994</v>
      </c>
      <c r="N139" s="48"/>
    </row>
    <row r="140" spans="8:14" ht="26.25" customHeight="1" x14ac:dyDescent="0.3">
      <c r="H140" s="1">
        <f>0.14*Table11819202310303132353839404148[[#This Row],[النولون]]</f>
        <v>0</v>
      </c>
      <c r="J140" s="1">
        <f>Table11819202310303132353839404148[[#This Row],[النولون]]+Table11819202310303132353839404148[[#This Row],[الايصالات]]+Table11819202310303132353839404148[[#This Row],[قيمة مضافة]]</f>
        <v>0</v>
      </c>
      <c r="L140" s="1">
        <f>L139+Table11819202310303132353839404148[[#This Row],[اجمالي الفاتوره]]-Table11819202310303132353839404148[[#This Row],[الدفعات]]</f>
        <v>167068.43999999994</v>
      </c>
      <c r="N140" s="48"/>
    </row>
    <row r="141" spans="8:14" ht="26.25" customHeight="1" x14ac:dyDescent="0.3">
      <c r="H141" s="1">
        <f>0.14*Table11819202310303132353839404148[[#This Row],[النولون]]</f>
        <v>0</v>
      </c>
      <c r="J141" s="1">
        <f>Table11819202310303132353839404148[[#This Row],[النولون]]+Table11819202310303132353839404148[[#This Row],[الايصالات]]+Table11819202310303132353839404148[[#This Row],[قيمة مضافة]]</f>
        <v>0</v>
      </c>
      <c r="L141" s="1">
        <f>L140+Table11819202310303132353839404148[[#This Row],[اجمالي الفاتوره]]-Table11819202310303132353839404148[[#This Row],[الدفعات]]</f>
        <v>167068.43999999994</v>
      </c>
      <c r="N141" s="48"/>
    </row>
    <row r="142" spans="8:14" ht="26.25" customHeight="1" x14ac:dyDescent="0.3">
      <c r="H142" s="1">
        <f>0.14*Table11819202310303132353839404148[[#This Row],[النولون]]</f>
        <v>0</v>
      </c>
      <c r="J142" s="1">
        <f>Table11819202310303132353839404148[[#This Row],[النولون]]+Table11819202310303132353839404148[[#This Row],[الايصالات]]+Table11819202310303132353839404148[[#This Row],[قيمة مضافة]]</f>
        <v>0</v>
      </c>
      <c r="L142" s="1">
        <f>L141+Table11819202310303132353839404148[[#This Row],[اجمالي الفاتوره]]-Table11819202310303132353839404148[[#This Row],[الدفعات]]</f>
        <v>167068.43999999994</v>
      </c>
      <c r="N142" s="48"/>
    </row>
    <row r="143" spans="8:14" ht="26.25" customHeight="1" x14ac:dyDescent="0.3">
      <c r="H143" s="1">
        <f>0.14*Table11819202310303132353839404148[[#This Row],[النولون]]</f>
        <v>0</v>
      </c>
      <c r="J143" s="1">
        <f>Table11819202310303132353839404148[[#This Row],[النولون]]+Table11819202310303132353839404148[[#This Row],[الايصالات]]+Table11819202310303132353839404148[[#This Row],[قيمة مضافة]]</f>
        <v>0</v>
      </c>
      <c r="L143" s="1">
        <f>L142+Table11819202310303132353839404148[[#This Row],[اجمالي الفاتوره]]-Table11819202310303132353839404148[[#This Row],[الدفعات]]</f>
        <v>167068.43999999994</v>
      </c>
      <c r="N143" s="48"/>
    </row>
    <row r="144" spans="8:14" ht="26.25" customHeight="1" x14ac:dyDescent="0.3">
      <c r="H144" s="1">
        <f>0.14*Table11819202310303132353839404148[[#This Row],[النولون]]</f>
        <v>0</v>
      </c>
      <c r="J144" s="1">
        <f>Table11819202310303132353839404148[[#This Row],[النولون]]+Table11819202310303132353839404148[[#This Row],[الايصالات]]+Table11819202310303132353839404148[[#This Row],[قيمة مضافة]]</f>
        <v>0</v>
      </c>
      <c r="L144" s="1">
        <f>L143+Table11819202310303132353839404148[[#This Row],[اجمالي الفاتوره]]-Table11819202310303132353839404148[[#This Row],[الدفعات]]</f>
        <v>167068.43999999994</v>
      </c>
      <c r="N144" s="48"/>
    </row>
    <row r="145" spans="8:14" ht="26.25" customHeight="1" x14ac:dyDescent="0.3">
      <c r="H145" s="1">
        <f>0.14*Table11819202310303132353839404148[[#This Row],[النولون]]</f>
        <v>0</v>
      </c>
      <c r="J145" s="1">
        <f>Table11819202310303132353839404148[[#This Row],[النولون]]+Table11819202310303132353839404148[[#This Row],[الايصالات]]+Table11819202310303132353839404148[[#This Row],[قيمة مضافة]]</f>
        <v>0</v>
      </c>
      <c r="L145" s="1">
        <f>L144+Table11819202310303132353839404148[[#This Row],[اجمالي الفاتوره]]-Table11819202310303132353839404148[[#This Row],[الدفعات]]</f>
        <v>167068.43999999994</v>
      </c>
      <c r="N145" s="48"/>
    </row>
    <row r="146" spans="8:14" ht="26.25" customHeight="1" x14ac:dyDescent="0.3">
      <c r="H146" s="1">
        <f>0.14*Table11819202310303132353839404148[[#This Row],[النولون]]</f>
        <v>0</v>
      </c>
      <c r="J146" s="1">
        <f>Table11819202310303132353839404148[[#This Row],[النولون]]+Table11819202310303132353839404148[[#This Row],[الايصالات]]+Table11819202310303132353839404148[[#This Row],[قيمة مضافة]]</f>
        <v>0</v>
      </c>
      <c r="L146" s="1">
        <f>L145+Table11819202310303132353839404148[[#This Row],[اجمالي الفاتوره]]-Table11819202310303132353839404148[[#This Row],[الدفعات]]</f>
        <v>167068.43999999994</v>
      </c>
      <c r="N146" s="48"/>
    </row>
    <row r="147" spans="8:14" ht="26.25" customHeight="1" x14ac:dyDescent="0.3">
      <c r="H147" s="1">
        <f>0.14*Table11819202310303132353839404148[[#This Row],[النولون]]</f>
        <v>0</v>
      </c>
      <c r="J147" s="1">
        <f>Table11819202310303132353839404148[[#This Row],[النولون]]+Table11819202310303132353839404148[[#This Row],[الايصالات]]+Table11819202310303132353839404148[[#This Row],[قيمة مضافة]]</f>
        <v>0</v>
      </c>
      <c r="L147" s="1">
        <f>L146+Table11819202310303132353839404148[[#This Row],[اجمالي الفاتوره]]-Table11819202310303132353839404148[[#This Row],[الدفعات]]</f>
        <v>167068.43999999994</v>
      </c>
      <c r="N147" s="48"/>
    </row>
    <row r="148" spans="8:14" ht="26.25" customHeight="1" x14ac:dyDescent="0.3">
      <c r="H148" s="1">
        <f>0.14*Table11819202310303132353839404148[[#This Row],[النولون]]</f>
        <v>0</v>
      </c>
      <c r="J148" s="1">
        <f>Table11819202310303132353839404148[[#This Row],[النولون]]+Table11819202310303132353839404148[[#This Row],[الايصالات]]+Table11819202310303132353839404148[[#This Row],[قيمة مضافة]]</f>
        <v>0</v>
      </c>
      <c r="L148" s="1">
        <f>L147+Table11819202310303132353839404148[[#This Row],[اجمالي الفاتوره]]-Table11819202310303132353839404148[[#This Row],[الدفعات]]</f>
        <v>167068.43999999994</v>
      </c>
      <c r="N148" s="48"/>
    </row>
    <row r="149" spans="8:14" ht="26.25" customHeight="1" x14ac:dyDescent="0.3">
      <c r="H149" s="1">
        <f>0.14*Table11819202310303132353839404148[[#This Row],[النولون]]</f>
        <v>0</v>
      </c>
      <c r="J149" s="1">
        <f>Table11819202310303132353839404148[[#This Row],[النولون]]+Table11819202310303132353839404148[[#This Row],[الايصالات]]+Table11819202310303132353839404148[[#This Row],[قيمة مضافة]]</f>
        <v>0</v>
      </c>
      <c r="L149" s="1">
        <f>L148+Table11819202310303132353839404148[[#This Row],[اجمالي الفاتوره]]-Table11819202310303132353839404148[[#This Row],[الدفعات]]</f>
        <v>167068.43999999994</v>
      </c>
      <c r="N149" s="48"/>
    </row>
    <row r="150" spans="8:14" ht="26.25" customHeight="1" x14ac:dyDescent="0.3">
      <c r="H150" s="1">
        <f>0.14*Table11819202310303132353839404148[[#This Row],[النولون]]</f>
        <v>0</v>
      </c>
      <c r="J150" s="1">
        <f>Table11819202310303132353839404148[[#This Row],[النولون]]+Table11819202310303132353839404148[[#This Row],[الايصالات]]+Table11819202310303132353839404148[[#This Row],[قيمة مضافة]]</f>
        <v>0</v>
      </c>
      <c r="L150" s="1">
        <f>L149+Table11819202310303132353839404148[[#This Row],[اجمالي الفاتوره]]-Table11819202310303132353839404148[[#This Row],[الدفعات]]</f>
        <v>167068.43999999994</v>
      </c>
      <c r="N150" s="48"/>
    </row>
    <row r="151" spans="8:14" ht="26.25" customHeight="1" x14ac:dyDescent="0.3">
      <c r="H151" s="1">
        <f>0.14*Table11819202310303132353839404148[[#This Row],[النولون]]</f>
        <v>0</v>
      </c>
      <c r="J151" s="1">
        <f>Table11819202310303132353839404148[[#This Row],[النولون]]+Table11819202310303132353839404148[[#This Row],[الايصالات]]+Table11819202310303132353839404148[[#This Row],[قيمة مضافة]]</f>
        <v>0</v>
      </c>
      <c r="L151" s="1">
        <f>L150+Table11819202310303132353839404148[[#This Row],[اجمالي الفاتوره]]-Table11819202310303132353839404148[[#This Row],[الدفعات]]</f>
        <v>167068.43999999994</v>
      </c>
      <c r="N151" s="48"/>
    </row>
    <row r="152" spans="8:14" ht="26.25" customHeight="1" x14ac:dyDescent="0.3">
      <c r="H152" s="1">
        <f>0.14*Table11819202310303132353839404148[[#This Row],[النولون]]</f>
        <v>0</v>
      </c>
      <c r="J152" s="1">
        <f>Table11819202310303132353839404148[[#This Row],[النولون]]+Table11819202310303132353839404148[[#This Row],[الايصالات]]+Table11819202310303132353839404148[[#This Row],[قيمة مضافة]]</f>
        <v>0</v>
      </c>
      <c r="L152" s="1">
        <f>L151+Table11819202310303132353839404148[[#This Row],[اجمالي الفاتوره]]-Table11819202310303132353839404148[[#This Row],[الدفعات]]</f>
        <v>167068.43999999994</v>
      </c>
      <c r="N152" s="48"/>
    </row>
    <row r="153" spans="8:14" ht="26.25" customHeight="1" x14ac:dyDescent="0.3">
      <c r="H153" s="1">
        <f>0.14*Table11819202310303132353839404148[[#This Row],[النولون]]</f>
        <v>0</v>
      </c>
      <c r="J153" s="1">
        <f>Table11819202310303132353839404148[[#This Row],[النولون]]+Table11819202310303132353839404148[[#This Row],[الايصالات]]+Table11819202310303132353839404148[[#This Row],[قيمة مضافة]]</f>
        <v>0</v>
      </c>
      <c r="L153" s="1">
        <f>L152+Table11819202310303132353839404148[[#This Row],[اجمالي الفاتوره]]-Table11819202310303132353839404148[[#This Row],[الدفعات]]</f>
        <v>167068.43999999994</v>
      </c>
      <c r="N153" s="48"/>
    </row>
    <row r="154" spans="8:14" ht="26.25" customHeight="1" x14ac:dyDescent="0.3">
      <c r="H154" s="1">
        <f>0.14*Table11819202310303132353839404148[[#This Row],[النولون]]</f>
        <v>0</v>
      </c>
      <c r="J154" s="1">
        <f>Table11819202310303132353839404148[[#This Row],[النولون]]+Table11819202310303132353839404148[[#This Row],[الايصالات]]+Table11819202310303132353839404148[[#This Row],[قيمة مضافة]]</f>
        <v>0</v>
      </c>
      <c r="L154" s="1">
        <f>L153+Table11819202310303132353839404148[[#This Row],[اجمالي الفاتوره]]-Table11819202310303132353839404148[[#This Row],[الدفعات]]</f>
        <v>167068.43999999994</v>
      </c>
      <c r="N154" s="48"/>
    </row>
    <row r="155" spans="8:14" ht="26.25" customHeight="1" x14ac:dyDescent="0.3">
      <c r="H155" s="1">
        <f>0.14*Table11819202310303132353839404148[[#This Row],[النولون]]</f>
        <v>0</v>
      </c>
      <c r="J155" s="1">
        <f>Table11819202310303132353839404148[[#This Row],[النولون]]+Table11819202310303132353839404148[[#This Row],[الايصالات]]+Table11819202310303132353839404148[[#This Row],[قيمة مضافة]]</f>
        <v>0</v>
      </c>
      <c r="L155" s="1">
        <f>L154+Table11819202310303132353839404148[[#This Row],[اجمالي الفاتوره]]-Table11819202310303132353839404148[[#This Row],[الدفعات]]</f>
        <v>167068.43999999994</v>
      </c>
      <c r="N155" s="48"/>
    </row>
    <row r="156" spans="8:14" ht="26.25" customHeight="1" x14ac:dyDescent="0.3">
      <c r="H156" s="1">
        <f>0.14*Table11819202310303132353839404148[[#This Row],[النولون]]</f>
        <v>0</v>
      </c>
      <c r="J156" s="1">
        <f>Table11819202310303132353839404148[[#This Row],[النولون]]+Table11819202310303132353839404148[[#This Row],[الايصالات]]+Table11819202310303132353839404148[[#This Row],[قيمة مضافة]]</f>
        <v>0</v>
      </c>
      <c r="L156" s="1">
        <f>L155+Table11819202310303132353839404148[[#This Row],[اجمالي الفاتوره]]-Table11819202310303132353839404148[[#This Row],[الدفعات]]</f>
        <v>167068.43999999994</v>
      </c>
      <c r="N156" s="48"/>
    </row>
    <row r="157" spans="8:14" ht="26.25" customHeight="1" x14ac:dyDescent="0.3">
      <c r="H157" s="1">
        <f>0.14*Table11819202310303132353839404148[[#This Row],[النولون]]</f>
        <v>0</v>
      </c>
      <c r="J157" s="1">
        <f>Table11819202310303132353839404148[[#This Row],[النولون]]+Table11819202310303132353839404148[[#This Row],[الايصالات]]+Table11819202310303132353839404148[[#This Row],[قيمة مضافة]]</f>
        <v>0</v>
      </c>
      <c r="L157" s="1">
        <f>L156+Table11819202310303132353839404148[[#This Row],[اجمالي الفاتوره]]-Table11819202310303132353839404148[[#This Row],[الدفعات]]</f>
        <v>167068.43999999994</v>
      </c>
      <c r="N157" s="48"/>
    </row>
    <row r="158" spans="8:14" ht="26.25" customHeight="1" x14ac:dyDescent="0.3">
      <c r="H158" s="1">
        <f>0.14*Table11819202310303132353839404148[[#This Row],[النولون]]</f>
        <v>0</v>
      </c>
      <c r="J158" s="1">
        <f>Table11819202310303132353839404148[[#This Row],[النولون]]+Table11819202310303132353839404148[[#This Row],[الايصالات]]+Table11819202310303132353839404148[[#This Row],[قيمة مضافة]]</f>
        <v>0</v>
      </c>
      <c r="L158" s="1">
        <f>L157+Table11819202310303132353839404148[[#This Row],[اجمالي الفاتوره]]-Table11819202310303132353839404148[[#This Row],[الدفعات]]</f>
        <v>167068.43999999994</v>
      </c>
      <c r="N158" s="48"/>
    </row>
    <row r="159" spans="8:14" ht="26.25" customHeight="1" x14ac:dyDescent="0.3">
      <c r="H159" s="1">
        <f>0.14*Table11819202310303132353839404148[[#This Row],[النولون]]</f>
        <v>0</v>
      </c>
      <c r="J159" s="1">
        <f>Table11819202310303132353839404148[[#This Row],[النولون]]+Table11819202310303132353839404148[[#This Row],[الايصالات]]+Table11819202310303132353839404148[[#This Row],[قيمة مضافة]]</f>
        <v>0</v>
      </c>
      <c r="L159" s="1">
        <f>L158+Table11819202310303132353839404148[[#This Row],[اجمالي الفاتوره]]-Table11819202310303132353839404148[[#This Row],[الدفعات]]</f>
        <v>167068.43999999994</v>
      </c>
      <c r="N159" s="48"/>
    </row>
    <row r="160" spans="8:14" ht="26.25" customHeight="1" x14ac:dyDescent="0.3">
      <c r="H160" s="1">
        <f>0.14*Table11819202310303132353839404148[[#This Row],[النولون]]</f>
        <v>0</v>
      </c>
      <c r="J160" s="1">
        <f>Table11819202310303132353839404148[[#This Row],[النولون]]+Table11819202310303132353839404148[[#This Row],[الايصالات]]+Table11819202310303132353839404148[[#This Row],[قيمة مضافة]]</f>
        <v>0</v>
      </c>
      <c r="L160" s="1">
        <f>L159+Table11819202310303132353839404148[[#This Row],[اجمالي الفاتوره]]-Table11819202310303132353839404148[[#This Row],[الدفعات]]</f>
        <v>167068.43999999994</v>
      </c>
      <c r="N160" s="48"/>
    </row>
    <row r="161" spans="8:14" ht="26.25" customHeight="1" x14ac:dyDescent="0.3">
      <c r="H161" s="1">
        <f>0.14*Table11819202310303132353839404148[[#This Row],[النولون]]</f>
        <v>0</v>
      </c>
      <c r="J161" s="1">
        <f>Table11819202310303132353839404148[[#This Row],[النولون]]+Table11819202310303132353839404148[[#This Row],[الايصالات]]+Table11819202310303132353839404148[[#This Row],[قيمة مضافة]]</f>
        <v>0</v>
      </c>
      <c r="L161" s="1">
        <f>L160+Table11819202310303132353839404148[[#This Row],[اجمالي الفاتوره]]-Table11819202310303132353839404148[[#This Row],[الدفعات]]</f>
        <v>167068.43999999994</v>
      </c>
      <c r="N161" s="48"/>
    </row>
    <row r="162" spans="8:14" ht="26.25" customHeight="1" x14ac:dyDescent="0.3">
      <c r="H162" s="1">
        <f>0.14*Table11819202310303132353839404148[[#This Row],[النولون]]</f>
        <v>0</v>
      </c>
      <c r="J162" s="1">
        <f>Table11819202310303132353839404148[[#This Row],[النولون]]+Table11819202310303132353839404148[[#This Row],[الايصالات]]+Table11819202310303132353839404148[[#This Row],[قيمة مضافة]]</f>
        <v>0</v>
      </c>
      <c r="L162" s="1">
        <f>L161+Table11819202310303132353839404148[[#This Row],[اجمالي الفاتوره]]-Table11819202310303132353839404148[[#This Row],[الدفعات]]</f>
        <v>167068.43999999994</v>
      </c>
      <c r="N162" s="48"/>
    </row>
    <row r="163" spans="8:14" ht="26.25" customHeight="1" x14ac:dyDescent="0.3">
      <c r="H163" s="1">
        <f>0.14*Table11819202310303132353839404148[[#This Row],[النولون]]</f>
        <v>0</v>
      </c>
      <c r="J163" s="1">
        <f>Table11819202310303132353839404148[[#This Row],[النولون]]+Table11819202310303132353839404148[[#This Row],[الايصالات]]+Table11819202310303132353839404148[[#This Row],[قيمة مضافة]]</f>
        <v>0</v>
      </c>
      <c r="L163" s="1">
        <f>L162+Table11819202310303132353839404148[[#This Row],[اجمالي الفاتوره]]-Table11819202310303132353839404148[[#This Row],[الدفعات]]</f>
        <v>167068.43999999994</v>
      </c>
      <c r="N163" s="48"/>
    </row>
    <row r="164" spans="8:14" ht="26.25" customHeight="1" x14ac:dyDescent="0.3">
      <c r="H164" s="1">
        <f>0.14*Table11819202310303132353839404148[[#This Row],[النولون]]</f>
        <v>0</v>
      </c>
      <c r="J164" s="1">
        <f>Table11819202310303132353839404148[[#This Row],[النولون]]+Table11819202310303132353839404148[[#This Row],[الايصالات]]+Table11819202310303132353839404148[[#This Row],[قيمة مضافة]]</f>
        <v>0</v>
      </c>
      <c r="L164" s="1">
        <f>L163+Table11819202310303132353839404148[[#This Row],[اجمالي الفاتوره]]-Table11819202310303132353839404148[[#This Row],[الدفعات]]</f>
        <v>167068.43999999994</v>
      </c>
      <c r="N164" s="48"/>
    </row>
    <row r="165" spans="8:14" ht="26.25" customHeight="1" x14ac:dyDescent="0.3">
      <c r="H165" s="1">
        <f>0.14*Table11819202310303132353839404148[[#This Row],[النولون]]</f>
        <v>0</v>
      </c>
      <c r="J165" s="1">
        <f>Table11819202310303132353839404148[[#This Row],[النولون]]+Table11819202310303132353839404148[[#This Row],[الايصالات]]+Table11819202310303132353839404148[[#This Row],[قيمة مضافة]]</f>
        <v>0</v>
      </c>
      <c r="L165" s="1">
        <f>L164+Table11819202310303132353839404148[[#This Row],[اجمالي الفاتوره]]-Table11819202310303132353839404148[[#This Row],[الدفعات]]</f>
        <v>167068.43999999994</v>
      </c>
      <c r="N165" s="48"/>
    </row>
    <row r="166" spans="8:14" ht="26.25" customHeight="1" x14ac:dyDescent="0.3">
      <c r="H166" s="1">
        <f>0.14*Table11819202310303132353839404148[[#This Row],[النولون]]</f>
        <v>0</v>
      </c>
      <c r="J166" s="1">
        <f>Table11819202310303132353839404148[[#This Row],[النولون]]+Table11819202310303132353839404148[[#This Row],[الايصالات]]+Table11819202310303132353839404148[[#This Row],[قيمة مضافة]]</f>
        <v>0</v>
      </c>
      <c r="L166" s="1">
        <f>L165+Table11819202310303132353839404148[[#This Row],[اجمالي الفاتوره]]-Table11819202310303132353839404148[[#This Row],[الدفعات]]</f>
        <v>167068.43999999994</v>
      </c>
      <c r="N166" s="48"/>
    </row>
    <row r="167" spans="8:14" ht="26.25" customHeight="1" x14ac:dyDescent="0.3">
      <c r="H167" s="1">
        <f>0.14*Table11819202310303132353839404148[[#This Row],[النولون]]</f>
        <v>0</v>
      </c>
      <c r="J167" s="1">
        <f>Table11819202310303132353839404148[[#This Row],[النولون]]+Table11819202310303132353839404148[[#This Row],[الايصالات]]+Table11819202310303132353839404148[[#This Row],[قيمة مضافة]]</f>
        <v>0</v>
      </c>
      <c r="L167" s="1">
        <f>L166+Table11819202310303132353839404148[[#This Row],[اجمالي الفاتوره]]-Table11819202310303132353839404148[[#This Row],[الدفعات]]</f>
        <v>167068.43999999994</v>
      </c>
      <c r="N167" s="48"/>
    </row>
    <row r="168" spans="8:14" ht="26.25" customHeight="1" x14ac:dyDescent="0.3">
      <c r="H168" s="1">
        <f>0.14*Table11819202310303132353839404148[[#This Row],[النولون]]</f>
        <v>0</v>
      </c>
      <c r="J168" s="1">
        <f>Table11819202310303132353839404148[[#This Row],[النولون]]+Table11819202310303132353839404148[[#This Row],[الايصالات]]+Table11819202310303132353839404148[[#This Row],[قيمة مضافة]]</f>
        <v>0</v>
      </c>
      <c r="L168" s="1">
        <f>L167+Table11819202310303132353839404148[[#This Row],[اجمالي الفاتوره]]-Table11819202310303132353839404148[[#This Row],[الدفعات]]</f>
        <v>167068.43999999994</v>
      </c>
      <c r="N168" s="48"/>
    </row>
    <row r="169" spans="8:14" ht="26.25" customHeight="1" x14ac:dyDescent="0.3">
      <c r="H169" s="1">
        <f>0.14*Table11819202310303132353839404148[[#This Row],[النولون]]</f>
        <v>0</v>
      </c>
      <c r="J169" s="1">
        <f>Table11819202310303132353839404148[[#This Row],[النولون]]+Table11819202310303132353839404148[[#This Row],[الايصالات]]+Table11819202310303132353839404148[[#This Row],[قيمة مضافة]]</f>
        <v>0</v>
      </c>
      <c r="L169" s="1">
        <f>L168+Table11819202310303132353839404148[[#This Row],[اجمالي الفاتوره]]-Table11819202310303132353839404148[[#This Row],[الدفعات]]</f>
        <v>167068.43999999994</v>
      </c>
      <c r="N169" s="48"/>
    </row>
    <row r="170" spans="8:14" ht="26.25" customHeight="1" x14ac:dyDescent="0.3">
      <c r="H170" s="1">
        <f>0.14*Table11819202310303132353839404148[[#This Row],[النولون]]</f>
        <v>0</v>
      </c>
      <c r="J170" s="1">
        <f>Table11819202310303132353839404148[[#This Row],[النولون]]+Table11819202310303132353839404148[[#This Row],[الايصالات]]+Table11819202310303132353839404148[[#This Row],[قيمة مضافة]]</f>
        <v>0</v>
      </c>
      <c r="L170" s="1">
        <f>L169+Table11819202310303132353839404148[[#This Row],[اجمالي الفاتوره]]-Table11819202310303132353839404148[[#This Row],[الدفعات]]</f>
        <v>167068.43999999994</v>
      </c>
      <c r="N170" s="48"/>
    </row>
    <row r="171" spans="8:14" ht="26.25" customHeight="1" x14ac:dyDescent="0.3">
      <c r="H171" s="1">
        <f>0.14*Table11819202310303132353839404148[[#This Row],[النولون]]</f>
        <v>0</v>
      </c>
      <c r="J171" s="1">
        <f>Table11819202310303132353839404148[[#This Row],[النولون]]+Table11819202310303132353839404148[[#This Row],[الايصالات]]+Table11819202310303132353839404148[[#This Row],[قيمة مضافة]]</f>
        <v>0</v>
      </c>
      <c r="L171" s="1">
        <f>L170+Table11819202310303132353839404148[[#This Row],[اجمالي الفاتوره]]-Table11819202310303132353839404148[[#This Row],[الدفعات]]</f>
        <v>167068.43999999994</v>
      </c>
      <c r="N171" s="48"/>
    </row>
    <row r="172" spans="8:14" ht="26.25" customHeight="1" x14ac:dyDescent="0.3">
      <c r="H172" s="1">
        <f>0.14*Table11819202310303132353839404148[[#This Row],[النولون]]</f>
        <v>0</v>
      </c>
      <c r="J172" s="1">
        <f>Table11819202310303132353839404148[[#This Row],[النولون]]+Table11819202310303132353839404148[[#This Row],[الايصالات]]+Table11819202310303132353839404148[[#This Row],[قيمة مضافة]]</f>
        <v>0</v>
      </c>
      <c r="L172" s="1">
        <f>L171+Table11819202310303132353839404148[[#This Row],[اجمالي الفاتوره]]-Table11819202310303132353839404148[[#This Row],[الدفعات]]</f>
        <v>167068.43999999994</v>
      </c>
      <c r="N172" s="48"/>
    </row>
    <row r="173" spans="8:14" ht="26.25" customHeight="1" x14ac:dyDescent="0.3">
      <c r="H173" s="1">
        <f>0.14*Table11819202310303132353839404148[[#This Row],[النولون]]</f>
        <v>0</v>
      </c>
      <c r="J173" s="1">
        <f>Table11819202310303132353839404148[[#This Row],[النولون]]+Table11819202310303132353839404148[[#This Row],[الايصالات]]+Table11819202310303132353839404148[[#This Row],[قيمة مضافة]]</f>
        <v>0</v>
      </c>
      <c r="L173" s="1">
        <f>L172+Table11819202310303132353839404148[[#This Row],[اجمالي الفاتوره]]-Table11819202310303132353839404148[[#This Row],[الدفعات]]</f>
        <v>167068.43999999994</v>
      </c>
      <c r="N173" s="48"/>
    </row>
    <row r="174" spans="8:14" ht="26.25" customHeight="1" x14ac:dyDescent="0.3">
      <c r="H174" s="1">
        <f>0.14*Table11819202310303132353839404148[[#This Row],[النولون]]</f>
        <v>0</v>
      </c>
      <c r="J174" s="1">
        <f>Table11819202310303132353839404148[[#This Row],[النولون]]+Table11819202310303132353839404148[[#This Row],[الايصالات]]+Table11819202310303132353839404148[[#This Row],[قيمة مضافة]]</f>
        <v>0</v>
      </c>
      <c r="L174" s="1">
        <f>L173+Table11819202310303132353839404148[[#This Row],[اجمالي الفاتوره]]-Table11819202310303132353839404148[[#This Row],[الدفعات]]</f>
        <v>167068.43999999994</v>
      </c>
      <c r="N174" s="48"/>
    </row>
    <row r="175" spans="8:14" ht="26.25" customHeight="1" x14ac:dyDescent="0.3">
      <c r="H175" s="1">
        <f>0.14*Table11819202310303132353839404148[[#This Row],[النولون]]</f>
        <v>0</v>
      </c>
      <c r="J175" s="1">
        <f>Table11819202310303132353839404148[[#This Row],[النولون]]+Table11819202310303132353839404148[[#This Row],[الايصالات]]+Table11819202310303132353839404148[[#This Row],[قيمة مضافة]]</f>
        <v>0</v>
      </c>
      <c r="L175" s="1">
        <f>L174+Table11819202310303132353839404148[[#This Row],[اجمالي الفاتوره]]-Table11819202310303132353839404148[[#This Row],[الدفعات]]</f>
        <v>167068.43999999994</v>
      </c>
      <c r="N175" s="48"/>
    </row>
    <row r="176" spans="8:14" ht="26.25" customHeight="1" x14ac:dyDescent="0.3">
      <c r="H176" s="1">
        <f>0.14*Table11819202310303132353839404148[[#This Row],[النولون]]</f>
        <v>0</v>
      </c>
      <c r="J176" s="1">
        <f>Table11819202310303132353839404148[[#This Row],[النولون]]+Table11819202310303132353839404148[[#This Row],[الايصالات]]+Table11819202310303132353839404148[[#This Row],[قيمة مضافة]]</f>
        <v>0</v>
      </c>
      <c r="L176" s="1">
        <f>L175+Table11819202310303132353839404148[[#This Row],[اجمالي الفاتوره]]-Table11819202310303132353839404148[[#This Row],[الدفعات]]</f>
        <v>167068.43999999994</v>
      </c>
      <c r="N176" s="48"/>
    </row>
    <row r="177" spans="8:14" ht="26.25" customHeight="1" x14ac:dyDescent="0.3">
      <c r="H177" s="1">
        <f>0.14*Table11819202310303132353839404148[[#This Row],[النولون]]</f>
        <v>0</v>
      </c>
      <c r="J177" s="1">
        <f>Table11819202310303132353839404148[[#This Row],[النولون]]+Table11819202310303132353839404148[[#This Row],[الايصالات]]+Table11819202310303132353839404148[[#This Row],[قيمة مضافة]]</f>
        <v>0</v>
      </c>
      <c r="L177" s="1">
        <f>L176+Table11819202310303132353839404148[[#This Row],[اجمالي الفاتوره]]-Table11819202310303132353839404148[[#This Row],[الدفعات]]</f>
        <v>167068.43999999994</v>
      </c>
      <c r="N177" s="48"/>
    </row>
    <row r="178" spans="8:14" ht="26.25" customHeight="1" x14ac:dyDescent="0.3">
      <c r="H178" s="1">
        <f>0.14*Table11819202310303132353839404148[[#This Row],[النولون]]</f>
        <v>0</v>
      </c>
      <c r="J178" s="1">
        <f>Table11819202310303132353839404148[[#This Row],[النولون]]+Table11819202310303132353839404148[[#This Row],[الايصالات]]+Table11819202310303132353839404148[[#This Row],[قيمة مضافة]]</f>
        <v>0</v>
      </c>
      <c r="L178" s="1">
        <f>L177+Table11819202310303132353839404148[[#This Row],[اجمالي الفاتوره]]-Table11819202310303132353839404148[[#This Row],[الدفعات]]</f>
        <v>167068.43999999994</v>
      </c>
      <c r="N178" s="48"/>
    </row>
    <row r="179" spans="8:14" ht="26.25" customHeight="1" x14ac:dyDescent="0.3">
      <c r="H179" s="1">
        <f>0.14*Table11819202310303132353839404148[[#This Row],[النولون]]</f>
        <v>0</v>
      </c>
      <c r="J179" s="1">
        <f>Table11819202310303132353839404148[[#This Row],[النولون]]+Table11819202310303132353839404148[[#This Row],[الايصالات]]+Table11819202310303132353839404148[[#This Row],[قيمة مضافة]]</f>
        <v>0</v>
      </c>
      <c r="L179" s="1">
        <f>L178+Table11819202310303132353839404148[[#This Row],[اجمالي الفاتوره]]-Table11819202310303132353839404148[[#This Row],[الدفعات]]</f>
        <v>167068.43999999994</v>
      </c>
      <c r="N179" s="48"/>
    </row>
    <row r="180" spans="8:14" ht="26.25" customHeight="1" x14ac:dyDescent="0.3">
      <c r="H180" s="1">
        <f>0.14*Table11819202310303132353839404148[[#This Row],[النولون]]</f>
        <v>0</v>
      </c>
      <c r="J180" s="1">
        <f>Table11819202310303132353839404148[[#This Row],[النولون]]+Table11819202310303132353839404148[[#This Row],[الايصالات]]+Table11819202310303132353839404148[[#This Row],[قيمة مضافة]]</f>
        <v>0</v>
      </c>
      <c r="L180" s="1">
        <f>L179+Table11819202310303132353839404148[[#This Row],[اجمالي الفاتوره]]-Table11819202310303132353839404148[[#This Row],[الدفعات]]</f>
        <v>167068.43999999994</v>
      </c>
      <c r="N180" s="48"/>
    </row>
    <row r="181" spans="8:14" ht="26.25" customHeight="1" x14ac:dyDescent="0.3">
      <c r="H181" s="1">
        <f>0.14*Table11819202310303132353839404148[[#This Row],[النولون]]</f>
        <v>0</v>
      </c>
      <c r="J181" s="1">
        <f>Table11819202310303132353839404148[[#This Row],[النولون]]+Table11819202310303132353839404148[[#This Row],[الايصالات]]+Table11819202310303132353839404148[[#This Row],[قيمة مضافة]]</f>
        <v>0</v>
      </c>
      <c r="L181" s="1">
        <f>L180+Table11819202310303132353839404148[[#This Row],[اجمالي الفاتوره]]-Table11819202310303132353839404148[[#This Row],[الدفعات]]</f>
        <v>167068.43999999994</v>
      </c>
      <c r="N181" s="48"/>
    </row>
    <row r="182" spans="8:14" ht="26.25" customHeight="1" x14ac:dyDescent="0.3">
      <c r="H182" s="1">
        <f>0.14*Table11819202310303132353839404148[[#This Row],[النولون]]</f>
        <v>0</v>
      </c>
      <c r="J182" s="1">
        <f>Table11819202310303132353839404148[[#This Row],[النولون]]+Table11819202310303132353839404148[[#This Row],[الايصالات]]+Table11819202310303132353839404148[[#This Row],[قيمة مضافة]]</f>
        <v>0</v>
      </c>
      <c r="L182" s="1">
        <f>L181+Table11819202310303132353839404148[[#This Row],[اجمالي الفاتوره]]-Table11819202310303132353839404148[[#This Row],[الدفعات]]</f>
        <v>167068.43999999994</v>
      </c>
      <c r="N182" s="48"/>
    </row>
    <row r="183" spans="8:14" ht="26.25" customHeight="1" x14ac:dyDescent="0.3">
      <c r="H183" s="1">
        <f>0.14*Table11819202310303132353839404148[[#This Row],[النولون]]</f>
        <v>0</v>
      </c>
      <c r="J183" s="1">
        <f>Table11819202310303132353839404148[[#This Row],[النولون]]+Table11819202310303132353839404148[[#This Row],[الايصالات]]+Table11819202310303132353839404148[[#This Row],[قيمة مضافة]]</f>
        <v>0</v>
      </c>
      <c r="L183" s="1">
        <f>L182+Table11819202310303132353839404148[[#This Row],[اجمالي الفاتوره]]-Table11819202310303132353839404148[[#This Row],[الدفعات]]</f>
        <v>167068.43999999994</v>
      </c>
      <c r="N183" s="48"/>
    </row>
    <row r="184" spans="8:14" ht="26.25" customHeight="1" x14ac:dyDescent="0.3">
      <c r="H184" s="1">
        <f>0.14*Table11819202310303132353839404148[[#This Row],[النولون]]</f>
        <v>0</v>
      </c>
      <c r="J184" s="1">
        <f>Table11819202310303132353839404148[[#This Row],[النولون]]+Table11819202310303132353839404148[[#This Row],[الايصالات]]+Table11819202310303132353839404148[[#This Row],[قيمة مضافة]]</f>
        <v>0</v>
      </c>
      <c r="L184" s="1">
        <f>L183+Table11819202310303132353839404148[[#This Row],[اجمالي الفاتوره]]-Table11819202310303132353839404148[[#This Row],[الدفعات]]</f>
        <v>167068.43999999994</v>
      </c>
      <c r="N184" s="48"/>
    </row>
    <row r="185" spans="8:14" ht="26.25" customHeight="1" x14ac:dyDescent="0.3">
      <c r="H185" s="1">
        <f>0.14*Table11819202310303132353839404148[[#This Row],[النولون]]</f>
        <v>0</v>
      </c>
      <c r="J185" s="1">
        <f>Table11819202310303132353839404148[[#This Row],[النولون]]+Table11819202310303132353839404148[[#This Row],[الايصالات]]+Table11819202310303132353839404148[[#This Row],[قيمة مضافة]]</f>
        <v>0</v>
      </c>
      <c r="L185" s="1">
        <f>L184+Table11819202310303132353839404148[[#This Row],[اجمالي الفاتوره]]-Table11819202310303132353839404148[[#This Row],[الدفعات]]</f>
        <v>167068.43999999994</v>
      </c>
      <c r="N185" s="48"/>
    </row>
    <row r="186" spans="8:14" ht="26.25" customHeight="1" x14ac:dyDescent="0.3">
      <c r="H186" s="1">
        <f>0.14*Table11819202310303132353839404148[[#This Row],[النولون]]</f>
        <v>0</v>
      </c>
      <c r="J186" s="1">
        <f>Table11819202310303132353839404148[[#This Row],[النولون]]+Table11819202310303132353839404148[[#This Row],[الايصالات]]+Table11819202310303132353839404148[[#This Row],[قيمة مضافة]]</f>
        <v>0</v>
      </c>
      <c r="L186" s="1">
        <f>L185+Table11819202310303132353839404148[[#This Row],[اجمالي الفاتوره]]-Table11819202310303132353839404148[[#This Row],[الدفعات]]</f>
        <v>167068.43999999994</v>
      </c>
      <c r="N186" s="48"/>
    </row>
    <row r="187" spans="8:14" ht="26.25" customHeight="1" x14ac:dyDescent="0.3">
      <c r="H187" s="1">
        <f>0.14*Table11819202310303132353839404148[[#This Row],[النولون]]</f>
        <v>0</v>
      </c>
      <c r="J187" s="1">
        <f>Table11819202310303132353839404148[[#This Row],[النولون]]+Table11819202310303132353839404148[[#This Row],[الايصالات]]+Table11819202310303132353839404148[[#This Row],[قيمة مضافة]]</f>
        <v>0</v>
      </c>
      <c r="L187" s="1">
        <f>L186+Table11819202310303132353839404148[[#This Row],[اجمالي الفاتوره]]-Table11819202310303132353839404148[[#This Row],[الدفعات]]</f>
        <v>167068.43999999994</v>
      </c>
      <c r="N187" s="48"/>
    </row>
    <row r="188" spans="8:14" ht="26.25" customHeight="1" x14ac:dyDescent="0.3">
      <c r="H188" s="1">
        <f>0.14*Table11819202310303132353839404148[[#This Row],[النولون]]</f>
        <v>0</v>
      </c>
      <c r="J188" s="1">
        <f>Table11819202310303132353839404148[[#This Row],[النولون]]+Table11819202310303132353839404148[[#This Row],[الايصالات]]+Table11819202310303132353839404148[[#This Row],[قيمة مضافة]]</f>
        <v>0</v>
      </c>
      <c r="L188" s="1">
        <f>L187+Table11819202310303132353839404148[[#This Row],[اجمالي الفاتوره]]-Table11819202310303132353839404148[[#This Row],[الدفعات]]</f>
        <v>167068.43999999994</v>
      </c>
      <c r="N188" s="48"/>
    </row>
    <row r="189" spans="8:14" ht="26.25" customHeight="1" x14ac:dyDescent="0.3">
      <c r="H189" s="1">
        <f>0.14*Table11819202310303132353839404148[[#This Row],[النولون]]</f>
        <v>0</v>
      </c>
      <c r="J189" s="1">
        <f>Table11819202310303132353839404148[[#This Row],[النولون]]+Table11819202310303132353839404148[[#This Row],[الايصالات]]+Table11819202310303132353839404148[[#This Row],[قيمة مضافة]]</f>
        <v>0</v>
      </c>
      <c r="L189" s="1">
        <f>L188+Table11819202310303132353839404148[[#This Row],[اجمالي الفاتوره]]-Table11819202310303132353839404148[[#This Row],[الدفعات]]</f>
        <v>167068.43999999994</v>
      </c>
      <c r="N189" s="48"/>
    </row>
    <row r="190" spans="8:14" ht="26.25" customHeight="1" x14ac:dyDescent="0.3">
      <c r="H190" s="1">
        <f>0.14*Table11819202310303132353839404148[[#This Row],[النولون]]</f>
        <v>0</v>
      </c>
      <c r="J190" s="1">
        <f>Table11819202310303132353839404148[[#This Row],[النولون]]+Table11819202310303132353839404148[[#This Row],[الايصالات]]+Table11819202310303132353839404148[[#This Row],[قيمة مضافة]]</f>
        <v>0</v>
      </c>
      <c r="L190" s="1">
        <f>L189+Table11819202310303132353839404148[[#This Row],[اجمالي الفاتوره]]-Table11819202310303132353839404148[[#This Row],[الدفعات]]</f>
        <v>167068.43999999994</v>
      </c>
      <c r="N190" s="48"/>
    </row>
    <row r="191" spans="8:14" ht="26.25" customHeight="1" x14ac:dyDescent="0.3">
      <c r="H191" s="1">
        <f>0.14*Table11819202310303132353839404148[[#This Row],[النولون]]</f>
        <v>0</v>
      </c>
      <c r="J191" s="1">
        <f>Table11819202310303132353839404148[[#This Row],[النولون]]+Table11819202310303132353839404148[[#This Row],[الايصالات]]+Table11819202310303132353839404148[[#This Row],[قيمة مضافة]]</f>
        <v>0</v>
      </c>
      <c r="L191" s="1">
        <f>L190+Table11819202310303132353839404148[[#This Row],[اجمالي الفاتوره]]-Table11819202310303132353839404148[[#This Row],[الدفعات]]</f>
        <v>167068.43999999994</v>
      </c>
      <c r="N191" s="48"/>
    </row>
    <row r="192" spans="8:14" ht="26.25" customHeight="1" x14ac:dyDescent="0.3">
      <c r="H192" s="1">
        <f>0.14*Table11819202310303132353839404148[[#This Row],[النولون]]</f>
        <v>0</v>
      </c>
      <c r="J192" s="1">
        <f>Table11819202310303132353839404148[[#This Row],[النولون]]+Table11819202310303132353839404148[[#This Row],[الايصالات]]+Table11819202310303132353839404148[[#This Row],[قيمة مضافة]]</f>
        <v>0</v>
      </c>
      <c r="L192" s="1">
        <f>L191+Table11819202310303132353839404148[[#This Row],[اجمالي الفاتوره]]-Table11819202310303132353839404148[[#This Row],[الدفعات]]</f>
        <v>167068.43999999994</v>
      </c>
      <c r="N192" s="48"/>
    </row>
    <row r="193" spans="8:14" ht="26.25" customHeight="1" x14ac:dyDescent="0.3">
      <c r="H193" s="1">
        <f>0.14*Table11819202310303132353839404148[[#This Row],[النولون]]</f>
        <v>0</v>
      </c>
      <c r="J193" s="1">
        <f>Table11819202310303132353839404148[[#This Row],[النولون]]+Table11819202310303132353839404148[[#This Row],[الايصالات]]+Table11819202310303132353839404148[[#This Row],[قيمة مضافة]]</f>
        <v>0</v>
      </c>
      <c r="L193" s="1">
        <f>L192+Table11819202310303132353839404148[[#This Row],[اجمالي الفاتوره]]-Table11819202310303132353839404148[[#This Row],[الدفعات]]</f>
        <v>167068.43999999994</v>
      </c>
      <c r="N193" s="48"/>
    </row>
    <row r="194" spans="8:14" ht="26.25" customHeight="1" x14ac:dyDescent="0.3">
      <c r="H194" s="1">
        <f>0.14*Table11819202310303132353839404148[[#This Row],[النولون]]</f>
        <v>0</v>
      </c>
      <c r="J194" s="1">
        <f>Table11819202310303132353839404148[[#This Row],[النولون]]+Table11819202310303132353839404148[[#This Row],[الايصالات]]+Table11819202310303132353839404148[[#This Row],[قيمة مضافة]]</f>
        <v>0</v>
      </c>
      <c r="L194" s="1">
        <f>L193+Table11819202310303132353839404148[[#This Row],[اجمالي الفاتوره]]-Table11819202310303132353839404148[[#This Row],[الدفعات]]</f>
        <v>167068.43999999994</v>
      </c>
      <c r="N194" s="48"/>
    </row>
    <row r="195" spans="8:14" ht="26.25" customHeight="1" x14ac:dyDescent="0.3">
      <c r="H195" s="1">
        <f>0.14*Table11819202310303132353839404148[[#This Row],[النولون]]</f>
        <v>0</v>
      </c>
      <c r="J195" s="1">
        <f>Table11819202310303132353839404148[[#This Row],[النولون]]+Table11819202310303132353839404148[[#This Row],[الايصالات]]+Table11819202310303132353839404148[[#This Row],[قيمة مضافة]]</f>
        <v>0</v>
      </c>
      <c r="L195" s="1">
        <f>L194+Table11819202310303132353839404148[[#This Row],[اجمالي الفاتوره]]-Table11819202310303132353839404148[[#This Row],[الدفعات]]</f>
        <v>167068.43999999994</v>
      </c>
      <c r="N195" s="48"/>
    </row>
    <row r="196" spans="8:14" ht="26.25" customHeight="1" x14ac:dyDescent="0.3">
      <c r="H196" s="1">
        <f>0.14*Table11819202310303132353839404148[[#This Row],[النولون]]</f>
        <v>0</v>
      </c>
      <c r="J196" s="1">
        <f>Table11819202310303132353839404148[[#This Row],[النولون]]+Table11819202310303132353839404148[[#This Row],[الايصالات]]+Table11819202310303132353839404148[[#This Row],[قيمة مضافة]]</f>
        <v>0</v>
      </c>
      <c r="L196" s="1">
        <f>L195+Table11819202310303132353839404148[[#This Row],[اجمالي الفاتوره]]-Table11819202310303132353839404148[[#This Row],[الدفعات]]</f>
        <v>167068.43999999994</v>
      </c>
      <c r="N196" s="48"/>
    </row>
    <row r="197" spans="8:14" ht="26.25" customHeight="1" x14ac:dyDescent="0.3">
      <c r="H197" s="1">
        <f>0.14*Table11819202310303132353839404148[[#This Row],[النولون]]</f>
        <v>0</v>
      </c>
      <c r="J197" s="1">
        <f>Table11819202310303132353839404148[[#This Row],[النولون]]+Table11819202310303132353839404148[[#This Row],[الايصالات]]+Table11819202310303132353839404148[[#This Row],[قيمة مضافة]]</f>
        <v>0</v>
      </c>
      <c r="L197" s="1">
        <f>L196+Table11819202310303132353839404148[[#This Row],[اجمالي الفاتوره]]-Table11819202310303132353839404148[[#This Row],[الدفعات]]</f>
        <v>167068.43999999994</v>
      </c>
      <c r="N197" s="48"/>
    </row>
    <row r="198" spans="8:14" ht="26.25" customHeight="1" x14ac:dyDescent="0.3">
      <c r="H198" s="1">
        <f>0.14*Table11819202310303132353839404148[[#This Row],[النولون]]</f>
        <v>0</v>
      </c>
      <c r="J198" s="1">
        <f>Table11819202310303132353839404148[[#This Row],[النولون]]+Table11819202310303132353839404148[[#This Row],[الايصالات]]+Table11819202310303132353839404148[[#This Row],[قيمة مضافة]]</f>
        <v>0</v>
      </c>
      <c r="L198" s="1">
        <f>L197+Table11819202310303132353839404148[[#This Row],[اجمالي الفاتوره]]-Table11819202310303132353839404148[[#This Row],[الدفعات]]</f>
        <v>167068.43999999994</v>
      </c>
      <c r="N198" s="48"/>
    </row>
    <row r="199" spans="8:14" ht="26.25" customHeight="1" x14ac:dyDescent="0.3">
      <c r="H199" s="1">
        <f>0.14*Table11819202310303132353839404148[[#This Row],[النولون]]</f>
        <v>0</v>
      </c>
      <c r="J199" s="1">
        <f>Table11819202310303132353839404148[[#This Row],[النولون]]+Table11819202310303132353839404148[[#This Row],[الايصالات]]+Table11819202310303132353839404148[[#This Row],[قيمة مضافة]]</f>
        <v>0</v>
      </c>
      <c r="L199" s="1">
        <f>L198+Table11819202310303132353839404148[[#This Row],[اجمالي الفاتوره]]-Table11819202310303132353839404148[[#This Row],[الدفعات]]</f>
        <v>167068.43999999994</v>
      </c>
      <c r="N199" s="48"/>
    </row>
    <row r="200" spans="8:14" ht="26.25" customHeight="1" x14ac:dyDescent="0.3">
      <c r="H200" s="1">
        <f>0.14*Table11819202310303132353839404148[[#This Row],[النولون]]</f>
        <v>0</v>
      </c>
      <c r="J200" s="1">
        <f>Table11819202310303132353839404148[[#This Row],[النولون]]+Table11819202310303132353839404148[[#This Row],[الايصالات]]+Table11819202310303132353839404148[[#This Row],[قيمة مضافة]]</f>
        <v>0</v>
      </c>
      <c r="L200" s="1">
        <f>L199+Table11819202310303132353839404148[[#This Row],[اجمالي الفاتوره]]-Table11819202310303132353839404148[[#This Row],[الدفعات]]</f>
        <v>167068.43999999994</v>
      </c>
      <c r="N200" s="48"/>
    </row>
    <row r="201" spans="8:14" ht="26.25" customHeight="1" x14ac:dyDescent="0.3">
      <c r="H201" s="1">
        <f>0.14*Table11819202310303132353839404148[[#This Row],[النولون]]</f>
        <v>0</v>
      </c>
      <c r="J201" s="1">
        <f>Table11819202310303132353839404148[[#This Row],[النولون]]+Table11819202310303132353839404148[[#This Row],[الايصالات]]+Table11819202310303132353839404148[[#This Row],[قيمة مضافة]]</f>
        <v>0</v>
      </c>
      <c r="L201" s="1">
        <f>L200+Table11819202310303132353839404148[[#This Row],[اجمالي الفاتوره]]-Table11819202310303132353839404148[[#This Row],[الدفعات]]</f>
        <v>167068.43999999994</v>
      </c>
      <c r="N201" s="48"/>
    </row>
    <row r="202" spans="8:14" ht="26.25" customHeight="1" x14ac:dyDescent="0.3">
      <c r="H202" s="1">
        <f>0.14*Table11819202310303132353839404148[[#This Row],[النولون]]</f>
        <v>0</v>
      </c>
      <c r="J202" s="1">
        <f>Table11819202310303132353839404148[[#This Row],[النولون]]+Table11819202310303132353839404148[[#This Row],[الايصالات]]+Table11819202310303132353839404148[[#This Row],[قيمة مضافة]]</f>
        <v>0</v>
      </c>
      <c r="L202" s="1">
        <f>L201+Table11819202310303132353839404148[[#This Row],[اجمالي الفاتوره]]-Table11819202310303132353839404148[[#This Row],[الدفعات]]</f>
        <v>167068.43999999994</v>
      </c>
      <c r="N202" s="48"/>
    </row>
    <row r="203" spans="8:14" ht="26.25" customHeight="1" x14ac:dyDescent="0.3">
      <c r="H203" s="1">
        <f>0.14*Table11819202310303132353839404148[[#This Row],[النولون]]</f>
        <v>0</v>
      </c>
      <c r="J203" s="1">
        <f>Table11819202310303132353839404148[[#This Row],[النولون]]+Table11819202310303132353839404148[[#This Row],[الايصالات]]+Table11819202310303132353839404148[[#This Row],[قيمة مضافة]]</f>
        <v>0</v>
      </c>
      <c r="L203" s="1">
        <f>L202+Table11819202310303132353839404148[[#This Row],[اجمالي الفاتوره]]-Table11819202310303132353839404148[[#This Row],[الدفعات]]</f>
        <v>167068.43999999994</v>
      </c>
      <c r="N203" s="48"/>
    </row>
    <row r="204" spans="8:14" ht="26.25" customHeight="1" x14ac:dyDescent="0.3">
      <c r="H204" s="1">
        <f>0.14*Table11819202310303132353839404148[[#This Row],[النولون]]</f>
        <v>0</v>
      </c>
      <c r="J204" s="1">
        <f>Table11819202310303132353839404148[[#This Row],[النولون]]+Table11819202310303132353839404148[[#This Row],[الايصالات]]+Table11819202310303132353839404148[[#This Row],[قيمة مضافة]]</f>
        <v>0</v>
      </c>
      <c r="L204" s="1">
        <f>L203+Table11819202310303132353839404148[[#This Row],[اجمالي الفاتوره]]-Table11819202310303132353839404148[[#This Row],[الدفعات]]</f>
        <v>167068.43999999994</v>
      </c>
      <c r="N204" s="48"/>
    </row>
    <row r="205" spans="8:14" ht="26.25" customHeight="1" x14ac:dyDescent="0.3">
      <c r="H205" s="1">
        <f>0.14*Table11819202310303132353839404148[[#This Row],[النولون]]</f>
        <v>0</v>
      </c>
      <c r="J205" s="1">
        <f>Table11819202310303132353839404148[[#This Row],[النولون]]+Table11819202310303132353839404148[[#This Row],[الايصالات]]+Table11819202310303132353839404148[[#This Row],[قيمة مضافة]]</f>
        <v>0</v>
      </c>
      <c r="L205" s="1">
        <f>L204+Table11819202310303132353839404148[[#This Row],[اجمالي الفاتوره]]-Table11819202310303132353839404148[[#This Row],[الدفعات]]</f>
        <v>167068.43999999994</v>
      </c>
      <c r="N205" s="48"/>
    </row>
    <row r="206" spans="8:14" ht="26.25" customHeight="1" x14ac:dyDescent="0.3">
      <c r="H206" s="1">
        <f>0.14*Table11819202310303132353839404148[[#This Row],[النولون]]</f>
        <v>0</v>
      </c>
      <c r="J206" s="1">
        <f>Table11819202310303132353839404148[[#This Row],[النولون]]+Table11819202310303132353839404148[[#This Row],[الايصالات]]+Table11819202310303132353839404148[[#This Row],[قيمة مضافة]]</f>
        <v>0</v>
      </c>
      <c r="L206" s="1">
        <f>L205+Table11819202310303132353839404148[[#This Row],[اجمالي الفاتوره]]-Table11819202310303132353839404148[[#This Row],[الدفعات]]</f>
        <v>167068.43999999994</v>
      </c>
      <c r="N206" s="48"/>
    </row>
    <row r="207" spans="8:14" ht="26.25" customHeight="1" x14ac:dyDescent="0.3">
      <c r="H207" s="1">
        <f>0.14*Table11819202310303132353839404148[[#This Row],[النولون]]</f>
        <v>0</v>
      </c>
      <c r="J207" s="1">
        <f>Table11819202310303132353839404148[[#This Row],[النولون]]+Table11819202310303132353839404148[[#This Row],[الايصالات]]+Table11819202310303132353839404148[[#This Row],[قيمة مضافة]]</f>
        <v>0</v>
      </c>
      <c r="L207" s="1">
        <f>L206+Table11819202310303132353839404148[[#This Row],[اجمالي الفاتوره]]-Table11819202310303132353839404148[[#This Row],[الدفعات]]</f>
        <v>167068.43999999994</v>
      </c>
      <c r="N207" s="48"/>
    </row>
    <row r="208" spans="8:14" ht="26.25" customHeight="1" x14ac:dyDescent="0.3">
      <c r="H208" s="1">
        <f>0.14*Table11819202310303132353839404148[[#This Row],[النولون]]</f>
        <v>0</v>
      </c>
      <c r="J208" s="1">
        <f>Table11819202310303132353839404148[[#This Row],[النولون]]+Table11819202310303132353839404148[[#This Row],[الايصالات]]+Table11819202310303132353839404148[[#This Row],[قيمة مضافة]]</f>
        <v>0</v>
      </c>
      <c r="L208" s="1">
        <f>L207+Table11819202310303132353839404148[[#This Row],[اجمالي الفاتوره]]-Table11819202310303132353839404148[[#This Row],[الدفعات]]</f>
        <v>167068.43999999994</v>
      </c>
      <c r="N208" s="48"/>
    </row>
    <row r="209" spans="8:14" ht="26.25" customHeight="1" x14ac:dyDescent="0.3">
      <c r="H209" s="1">
        <f>0.14*Table11819202310303132353839404148[[#This Row],[النولون]]</f>
        <v>0</v>
      </c>
      <c r="J209" s="1">
        <f>Table11819202310303132353839404148[[#This Row],[النولون]]+Table11819202310303132353839404148[[#This Row],[الايصالات]]+Table11819202310303132353839404148[[#This Row],[قيمة مضافة]]</f>
        <v>0</v>
      </c>
      <c r="L209" s="1">
        <f>L208+Table11819202310303132353839404148[[#This Row],[اجمالي الفاتوره]]-Table11819202310303132353839404148[[#This Row],[الدفعات]]</f>
        <v>167068.43999999994</v>
      </c>
      <c r="N209" s="48"/>
    </row>
    <row r="210" spans="8:14" ht="26.25" customHeight="1" x14ac:dyDescent="0.3">
      <c r="H210" s="1">
        <f>0.14*Table11819202310303132353839404148[[#This Row],[النولون]]</f>
        <v>0</v>
      </c>
      <c r="J210" s="1">
        <f>Table11819202310303132353839404148[[#This Row],[النولون]]+Table11819202310303132353839404148[[#This Row],[الايصالات]]+Table11819202310303132353839404148[[#This Row],[قيمة مضافة]]</f>
        <v>0</v>
      </c>
      <c r="L210" s="1">
        <f>L209+Table11819202310303132353839404148[[#This Row],[اجمالي الفاتوره]]-Table11819202310303132353839404148[[#This Row],[الدفعات]]</f>
        <v>167068.43999999994</v>
      </c>
      <c r="N210" s="48"/>
    </row>
    <row r="211" spans="8:14" ht="26.25" customHeight="1" x14ac:dyDescent="0.3">
      <c r="H211" s="1">
        <f>0.14*Table11819202310303132353839404148[[#This Row],[النولون]]</f>
        <v>0</v>
      </c>
      <c r="J211" s="1">
        <f>Table11819202310303132353839404148[[#This Row],[النولون]]+Table11819202310303132353839404148[[#This Row],[الايصالات]]+Table11819202310303132353839404148[[#This Row],[قيمة مضافة]]</f>
        <v>0</v>
      </c>
      <c r="L211" s="1">
        <f>L210+Table11819202310303132353839404148[[#This Row],[اجمالي الفاتوره]]-Table11819202310303132353839404148[[#This Row],[الدفعات]]</f>
        <v>167068.43999999994</v>
      </c>
      <c r="N211" s="48"/>
    </row>
    <row r="212" spans="8:14" ht="26.25" customHeight="1" x14ac:dyDescent="0.3">
      <c r="H212" s="1">
        <f>0.14*Table11819202310303132353839404148[[#This Row],[النولون]]</f>
        <v>0</v>
      </c>
      <c r="J212" s="1">
        <f>Table11819202310303132353839404148[[#This Row],[النولون]]+Table11819202310303132353839404148[[#This Row],[الايصالات]]+Table11819202310303132353839404148[[#This Row],[قيمة مضافة]]</f>
        <v>0</v>
      </c>
      <c r="L212" s="1">
        <f>L211+Table11819202310303132353839404148[[#This Row],[اجمالي الفاتوره]]-Table11819202310303132353839404148[[#This Row],[الدفعات]]</f>
        <v>167068.43999999994</v>
      </c>
      <c r="N212" s="48"/>
    </row>
    <row r="213" spans="8:14" ht="26.25" customHeight="1" x14ac:dyDescent="0.3">
      <c r="H213" s="1">
        <f>0.14*Table11819202310303132353839404148[[#This Row],[النولون]]</f>
        <v>0</v>
      </c>
      <c r="J213" s="1">
        <f>Table11819202310303132353839404148[[#This Row],[النولون]]+Table11819202310303132353839404148[[#This Row],[الايصالات]]+Table11819202310303132353839404148[[#This Row],[قيمة مضافة]]</f>
        <v>0</v>
      </c>
      <c r="L213" s="1">
        <f>L212+Table11819202310303132353839404148[[#This Row],[اجمالي الفاتوره]]-Table11819202310303132353839404148[[#This Row],[الدفعات]]</f>
        <v>167068.43999999994</v>
      </c>
      <c r="N213" s="48"/>
    </row>
    <row r="214" spans="8:14" ht="26.25" customHeight="1" x14ac:dyDescent="0.3">
      <c r="H214" s="1">
        <f>0.14*Table11819202310303132353839404148[[#This Row],[النولون]]</f>
        <v>0</v>
      </c>
      <c r="J214" s="1">
        <f>Table11819202310303132353839404148[[#This Row],[النولون]]+Table11819202310303132353839404148[[#This Row],[الايصالات]]+Table11819202310303132353839404148[[#This Row],[قيمة مضافة]]</f>
        <v>0</v>
      </c>
      <c r="L214" s="1">
        <f>L213+Table11819202310303132353839404148[[#This Row],[اجمالي الفاتوره]]-Table11819202310303132353839404148[[#This Row],[الدفعات]]</f>
        <v>167068.43999999994</v>
      </c>
      <c r="N214" s="48"/>
    </row>
    <row r="215" spans="8:14" ht="26.25" customHeight="1" x14ac:dyDescent="0.3">
      <c r="H215" s="1">
        <f>0.14*Table11819202310303132353839404148[[#This Row],[النولون]]</f>
        <v>0</v>
      </c>
      <c r="J215" s="1">
        <f>Table11819202310303132353839404148[[#This Row],[النولون]]+Table11819202310303132353839404148[[#This Row],[الايصالات]]+Table11819202310303132353839404148[[#This Row],[قيمة مضافة]]</f>
        <v>0</v>
      </c>
      <c r="L215" s="1">
        <f>L214+Table11819202310303132353839404148[[#This Row],[اجمالي الفاتوره]]-Table11819202310303132353839404148[[#This Row],[الدفعات]]</f>
        <v>167068.43999999994</v>
      </c>
      <c r="N215" s="48"/>
    </row>
    <row r="216" spans="8:14" ht="26.25" customHeight="1" x14ac:dyDescent="0.3">
      <c r="H216" s="1">
        <f>0.14*Table11819202310303132353839404148[[#This Row],[النولون]]</f>
        <v>0</v>
      </c>
      <c r="J216" s="1">
        <f>Table11819202310303132353839404148[[#This Row],[النولون]]+Table11819202310303132353839404148[[#This Row],[الايصالات]]+Table11819202310303132353839404148[[#This Row],[قيمة مضافة]]</f>
        <v>0</v>
      </c>
      <c r="L216" s="1">
        <f>L215+Table11819202310303132353839404148[[#This Row],[اجمالي الفاتوره]]-Table11819202310303132353839404148[[#This Row],[الدفعات]]</f>
        <v>167068.43999999994</v>
      </c>
      <c r="N216" s="48"/>
    </row>
    <row r="217" spans="8:14" ht="26.25" customHeight="1" x14ac:dyDescent="0.3">
      <c r="H217" s="1">
        <f>0.14*Table11819202310303132353839404148[[#This Row],[النولون]]</f>
        <v>0</v>
      </c>
      <c r="J217" s="1">
        <f>Table11819202310303132353839404148[[#This Row],[النولون]]+Table11819202310303132353839404148[[#This Row],[الايصالات]]+Table11819202310303132353839404148[[#This Row],[قيمة مضافة]]</f>
        <v>0</v>
      </c>
      <c r="L217" s="1">
        <f>L216+Table11819202310303132353839404148[[#This Row],[اجمالي الفاتوره]]-Table11819202310303132353839404148[[#This Row],[الدفعات]]</f>
        <v>167068.43999999994</v>
      </c>
      <c r="N217" s="48"/>
    </row>
    <row r="218" spans="8:14" ht="26.25" customHeight="1" x14ac:dyDescent="0.3">
      <c r="H218" s="1">
        <f>0.14*Table11819202310303132353839404148[[#This Row],[النولون]]</f>
        <v>0</v>
      </c>
      <c r="J218" s="1">
        <f>Table11819202310303132353839404148[[#This Row],[النولون]]+Table11819202310303132353839404148[[#This Row],[الايصالات]]+Table11819202310303132353839404148[[#This Row],[قيمة مضافة]]</f>
        <v>0</v>
      </c>
      <c r="L218" s="1">
        <f>L217+Table11819202310303132353839404148[[#This Row],[اجمالي الفاتوره]]-Table11819202310303132353839404148[[#This Row],[الدفعات]]</f>
        <v>167068.43999999994</v>
      </c>
      <c r="N218" s="48"/>
    </row>
    <row r="219" spans="8:14" ht="26.25" customHeight="1" x14ac:dyDescent="0.3">
      <c r="H219" s="1">
        <f>0.14*Table11819202310303132353839404148[[#This Row],[النولون]]</f>
        <v>0</v>
      </c>
      <c r="J219" s="1">
        <f>Table11819202310303132353839404148[[#This Row],[النولون]]+Table11819202310303132353839404148[[#This Row],[الايصالات]]+Table11819202310303132353839404148[[#This Row],[قيمة مضافة]]</f>
        <v>0</v>
      </c>
      <c r="L219" s="1">
        <f>L218+Table11819202310303132353839404148[[#This Row],[اجمالي الفاتوره]]-Table11819202310303132353839404148[[#This Row],[الدفعات]]</f>
        <v>167068.43999999994</v>
      </c>
      <c r="N219" s="48"/>
    </row>
    <row r="220" spans="8:14" ht="26.25" customHeight="1" x14ac:dyDescent="0.3">
      <c r="H220" s="1">
        <f>0.14*Table11819202310303132353839404148[[#This Row],[النولون]]</f>
        <v>0</v>
      </c>
      <c r="J220" s="1">
        <f>Table11819202310303132353839404148[[#This Row],[النولون]]+Table11819202310303132353839404148[[#This Row],[الايصالات]]+Table11819202310303132353839404148[[#This Row],[قيمة مضافة]]</f>
        <v>0</v>
      </c>
      <c r="L220" s="1">
        <f>L219+Table11819202310303132353839404148[[#This Row],[اجمالي الفاتوره]]-Table11819202310303132353839404148[[#This Row],[الدفعات]]</f>
        <v>167068.43999999994</v>
      </c>
      <c r="N220" s="48"/>
    </row>
    <row r="221" spans="8:14" ht="26.25" customHeight="1" x14ac:dyDescent="0.3">
      <c r="H221" s="1">
        <f>0.14*Table11819202310303132353839404148[[#This Row],[النولون]]</f>
        <v>0</v>
      </c>
      <c r="J221" s="1">
        <f>Table11819202310303132353839404148[[#This Row],[النولون]]+Table11819202310303132353839404148[[#This Row],[الايصالات]]+Table11819202310303132353839404148[[#This Row],[قيمة مضافة]]</f>
        <v>0</v>
      </c>
      <c r="L221" s="1">
        <f>L220+Table11819202310303132353839404148[[#This Row],[اجمالي الفاتوره]]-Table11819202310303132353839404148[[#This Row],[الدفعات]]</f>
        <v>167068.43999999994</v>
      </c>
      <c r="N221" s="48"/>
    </row>
    <row r="222" spans="8:14" ht="26.25" customHeight="1" x14ac:dyDescent="0.3">
      <c r="H222" s="1">
        <f>0.14*Table11819202310303132353839404148[[#This Row],[النولون]]</f>
        <v>0</v>
      </c>
      <c r="J222" s="1">
        <f>Table11819202310303132353839404148[[#This Row],[النولون]]+Table11819202310303132353839404148[[#This Row],[الايصالات]]+Table11819202310303132353839404148[[#This Row],[قيمة مضافة]]</f>
        <v>0</v>
      </c>
      <c r="L222" s="1">
        <f>L221+Table11819202310303132353839404148[[#This Row],[اجمالي الفاتوره]]-Table11819202310303132353839404148[[#This Row],[الدفعات]]</f>
        <v>167068.43999999994</v>
      </c>
      <c r="N222" s="48"/>
    </row>
    <row r="223" spans="8:14" ht="26.25" customHeight="1" x14ac:dyDescent="0.3">
      <c r="H223" s="1">
        <f>0.14*Table11819202310303132353839404148[[#This Row],[النولون]]</f>
        <v>0</v>
      </c>
      <c r="J223" s="1">
        <f>Table11819202310303132353839404148[[#This Row],[النولون]]+Table11819202310303132353839404148[[#This Row],[الايصالات]]+Table11819202310303132353839404148[[#This Row],[قيمة مضافة]]</f>
        <v>0</v>
      </c>
      <c r="L223" s="1">
        <f>L222+Table11819202310303132353839404148[[#This Row],[اجمالي الفاتوره]]-Table11819202310303132353839404148[[#This Row],[الدفعات]]</f>
        <v>167068.43999999994</v>
      </c>
      <c r="N223" s="48"/>
    </row>
    <row r="224" spans="8:14" ht="26.25" customHeight="1" x14ac:dyDescent="0.3">
      <c r="H224" s="1">
        <f>0.14*Table11819202310303132353839404148[[#This Row],[النولون]]</f>
        <v>0</v>
      </c>
      <c r="J224" s="1">
        <f>Table11819202310303132353839404148[[#This Row],[النولون]]+Table11819202310303132353839404148[[#This Row],[الايصالات]]+Table11819202310303132353839404148[[#This Row],[قيمة مضافة]]</f>
        <v>0</v>
      </c>
      <c r="L224" s="1">
        <f>L223+Table11819202310303132353839404148[[#This Row],[اجمالي الفاتوره]]-Table11819202310303132353839404148[[#This Row],[الدفعات]]</f>
        <v>167068.43999999994</v>
      </c>
      <c r="N224" s="48"/>
    </row>
    <row r="225" spans="8:14" ht="26.25" customHeight="1" x14ac:dyDescent="0.3">
      <c r="H225" s="1">
        <f>0.14*Table11819202310303132353839404148[[#This Row],[النولون]]</f>
        <v>0</v>
      </c>
      <c r="J225" s="1">
        <f>Table11819202310303132353839404148[[#This Row],[النولون]]+Table11819202310303132353839404148[[#This Row],[الايصالات]]+Table11819202310303132353839404148[[#This Row],[قيمة مضافة]]</f>
        <v>0</v>
      </c>
      <c r="L225" s="1">
        <f>L224+Table11819202310303132353839404148[[#This Row],[اجمالي الفاتوره]]-Table11819202310303132353839404148[[#This Row],[الدفعات]]</f>
        <v>167068.43999999994</v>
      </c>
      <c r="N225" s="48"/>
    </row>
    <row r="226" spans="8:14" ht="26.25" customHeight="1" x14ac:dyDescent="0.3">
      <c r="H226" s="1">
        <f>0.14*Table11819202310303132353839404148[[#This Row],[النولون]]</f>
        <v>0</v>
      </c>
      <c r="J226" s="1">
        <f>Table11819202310303132353839404148[[#This Row],[النولون]]+Table11819202310303132353839404148[[#This Row],[الايصالات]]+Table11819202310303132353839404148[[#This Row],[قيمة مضافة]]</f>
        <v>0</v>
      </c>
      <c r="L226" s="1">
        <f>L225+Table11819202310303132353839404148[[#This Row],[اجمالي الفاتوره]]-Table11819202310303132353839404148[[#This Row],[الدفعات]]</f>
        <v>167068.43999999994</v>
      </c>
      <c r="N226" s="48"/>
    </row>
    <row r="227" spans="8:14" ht="26.25" customHeight="1" x14ac:dyDescent="0.3">
      <c r="H227" s="1">
        <f>0.14*Table11819202310303132353839404148[[#This Row],[النولون]]</f>
        <v>0</v>
      </c>
      <c r="J227" s="1">
        <f>Table11819202310303132353839404148[[#This Row],[النولون]]+Table11819202310303132353839404148[[#This Row],[الايصالات]]+Table11819202310303132353839404148[[#This Row],[قيمة مضافة]]</f>
        <v>0</v>
      </c>
      <c r="L227" s="1">
        <f>L226+Table11819202310303132353839404148[[#This Row],[اجمالي الفاتوره]]-Table11819202310303132353839404148[[#This Row],[الدفعات]]</f>
        <v>167068.43999999994</v>
      </c>
      <c r="N227" s="48"/>
    </row>
    <row r="228" spans="8:14" ht="26.25" customHeight="1" x14ac:dyDescent="0.3">
      <c r="H228" s="1">
        <f>0.14*Table11819202310303132353839404148[[#This Row],[النولون]]</f>
        <v>0</v>
      </c>
      <c r="J228" s="1">
        <f>Table11819202310303132353839404148[[#This Row],[النولون]]+Table11819202310303132353839404148[[#This Row],[الايصالات]]+Table11819202310303132353839404148[[#This Row],[قيمة مضافة]]</f>
        <v>0</v>
      </c>
      <c r="L228" s="1">
        <f>L227+Table11819202310303132353839404148[[#This Row],[اجمالي الفاتوره]]-Table11819202310303132353839404148[[#This Row],[الدفعات]]</f>
        <v>167068.43999999994</v>
      </c>
      <c r="N228" s="48"/>
    </row>
    <row r="229" spans="8:14" ht="26.25" customHeight="1" x14ac:dyDescent="0.3">
      <c r="H229" s="1">
        <f>0.14*Table11819202310303132353839404148[[#This Row],[النولون]]</f>
        <v>0</v>
      </c>
      <c r="J229" s="1">
        <f>Table11819202310303132353839404148[[#This Row],[النولون]]+Table11819202310303132353839404148[[#This Row],[الايصالات]]+Table11819202310303132353839404148[[#This Row],[قيمة مضافة]]</f>
        <v>0</v>
      </c>
      <c r="L229" s="1">
        <f>L228+Table11819202310303132353839404148[[#This Row],[اجمالي الفاتوره]]-Table11819202310303132353839404148[[#This Row],[الدفعات]]</f>
        <v>167068.43999999994</v>
      </c>
      <c r="N229" s="48"/>
    </row>
    <row r="230" spans="8:14" ht="26.25" customHeight="1" x14ac:dyDescent="0.3">
      <c r="H230" s="1">
        <f>0.14*Table11819202310303132353839404148[[#This Row],[النولون]]</f>
        <v>0</v>
      </c>
      <c r="J230" s="1">
        <f>Table11819202310303132353839404148[[#This Row],[النولون]]+Table11819202310303132353839404148[[#This Row],[الايصالات]]+Table11819202310303132353839404148[[#This Row],[قيمة مضافة]]</f>
        <v>0</v>
      </c>
      <c r="L230" s="1">
        <f>L229+Table11819202310303132353839404148[[#This Row],[اجمالي الفاتوره]]-Table11819202310303132353839404148[[#This Row],[الدفعات]]</f>
        <v>167068.43999999994</v>
      </c>
      <c r="N230" s="48"/>
    </row>
    <row r="231" spans="8:14" ht="26.25" customHeight="1" x14ac:dyDescent="0.3">
      <c r="H231" s="1">
        <f>0.14*Table11819202310303132353839404148[[#This Row],[النولون]]</f>
        <v>0</v>
      </c>
      <c r="J231" s="1">
        <f>Table11819202310303132353839404148[[#This Row],[النولون]]+Table11819202310303132353839404148[[#This Row],[الايصالات]]+Table11819202310303132353839404148[[#This Row],[قيمة مضافة]]</f>
        <v>0</v>
      </c>
      <c r="L231" s="1">
        <f>L230+Table11819202310303132353839404148[[#This Row],[اجمالي الفاتوره]]-Table11819202310303132353839404148[[#This Row],[الدفعات]]</f>
        <v>167068.43999999994</v>
      </c>
      <c r="N231" s="48"/>
    </row>
    <row r="232" spans="8:14" ht="26.25" customHeight="1" x14ac:dyDescent="0.3">
      <c r="H232" s="1">
        <f>0.14*Table11819202310303132353839404148[[#This Row],[النولون]]</f>
        <v>0</v>
      </c>
      <c r="J232" s="1">
        <f>Table11819202310303132353839404148[[#This Row],[النولون]]+Table11819202310303132353839404148[[#This Row],[الايصالات]]+Table11819202310303132353839404148[[#This Row],[قيمة مضافة]]</f>
        <v>0</v>
      </c>
      <c r="L232" s="1">
        <f>L231+Table11819202310303132353839404148[[#This Row],[اجمالي الفاتوره]]-Table11819202310303132353839404148[[#This Row],[الدفعات]]</f>
        <v>167068.43999999994</v>
      </c>
      <c r="N232" s="48"/>
    </row>
    <row r="233" spans="8:14" ht="26.25" customHeight="1" x14ac:dyDescent="0.3">
      <c r="H233" s="1">
        <f>0.14*Table11819202310303132353839404148[[#This Row],[النولون]]</f>
        <v>0</v>
      </c>
      <c r="J233" s="1">
        <f>Table11819202310303132353839404148[[#This Row],[النولون]]+Table11819202310303132353839404148[[#This Row],[الايصالات]]+Table11819202310303132353839404148[[#This Row],[قيمة مضافة]]</f>
        <v>0</v>
      </c>
      <c r="L233" s="1">
        <f>L232+Table11819202310303132353839404148[[#This Row],[اجمالي الفاتوره]]-Table11819202310303132353839404148[[#This Row],[الدفعات]]</f>
        <v>167068.43999999994</v>
      </c>
      <c r="N233" s="48"/>
    </row>
    <row r="234" spans="8:14" ht="26.25" customHeight="1" x14ac:dyDescent="0.3">
      <c r="H234" s="1">
        <f>0.14*Table11819202310303132353839404148[[#This Row],[النولون]]</f>
        <v>0</v>
      </c>
      <c r="J234" s="1">
        <f>Table11819202310303132353839404148[[#This Row],[النولون]]+Table11819202310303132353839404148[[#This Row],[الايصالات]]+Table11819202310303132353839404148[[#This Row],[قيمة مضافة]]</f>
        <v>0</v>
      </c>
      <c r="L234" s="1">
        <f>L233+Table11819202310303132353839404148[[#This Row],[اجمالي الفاتوره]]-Table11819202310303132353839404148[[#This Row],[الدفعات]]</f>
        <v>167068.43999999994</v>
      </c>
      <c r="N234" s="48"/>
    </row>
    <row r="235" spans="8:14" ht="26.25" customHeight="1" x14ac:dyDescent="0.3">
      <c r="H235" s="1">
        <f>0.14*Table11819202310303132353839404148[[#This Row],[النولون]]</f>
        <v>0</v>
      </c>
      <c r="J235" s="1">
        <f>Table11819202310303132353839404148[[#This Row],[النولون]]+Table11819202310303132353839404148[[#This Row],[الايصالات]]+Table11819202310303132353839404148[[#This Row],[قيمة مضافة]]</f>
        <v>0</v>
      </c>
      <c r="L235" s="1">
        <f>L234+Table11819202310303132353839404148[[#This Row],[اجمالي الفاتوره]]-Table11819202310303132353839404148[[#This Row],[الدفعات]]</f>
        <v>167068.43999999994</v>
      </c>
      <c r="N235" s="48"/>
    </row>
    <row r="236" spans="8:14" ht="26.25" customHeight="1" x14ac:dyDescent="0.3">
      <c r="H236" s="1">
        <f>0.14*Table11819202310303132353839404148[[#This Row],[النولون]]</f>
        <v>0</v>
      </c>
      <c r="J236" s="1">
        <f>Table11819202310303132353839404148[[#This Row],[النولون]]+Table11819202310303132353839404148[[#This Row],[الايصالات]]+Table11819202310303132353839404148[[#This Row],[قيمة مضافة]]</f>
        <v>0</v>
      </c>
      <c r="L236" s="1">
        <f>L235+Table11819202310303132353839404148[[#This Row],[اجمالي الفاتوره]]-Table11819202310303132353839404148[[#This Row],[الدفعات]]</f>
        <v>167068.43999999994</v>
      </c>
      <c r="N236" s="48"/>
    </row>
    <row r="237" spans="8:14" ht="26.25" customHeight="1" x14ac:dyDescent="0.3">
      <c r="H237" s="1">
        <f>0.14*Table11819202310303132353839404148[[#This Row],[النولون]]</f>
        <v>0</v>
      </c>
      <c r="J237" s="1">
        <f>Table11819202310303132353839404148[[#This Row],[النولون]]+Table11819202310303132353839404148[[#This Row],[الايصالات]]+Table11819202310303132353839404148[[#This Row],[قيمة مضافة]]</f>
        <v>0</v>
      </c>
      <c r="L237" s="1">
        <f>L236+Table11819202310303132353839404148[[#This Row],[اجمالي الفاتوره]]-Table11819202310303132353839404148[[#This Row],[الدفعات]]</f>
        <v>167068.43999999994</v>
      </c>
      <c r="N237" s="48"/>
    </row>
    <row r="238" spans="8:14" ht="26.25" customHeight="1" x14ac:dyDescent="0.3">
      <c r="H238" s="1">
        <f>0.14*Table11819202310303132353839404148[[#This Row],[النولون]]</f>
        <v>0</v>
      </c>
      <c r="J238" s="1">
        <f>Table11819202310303132353839404148[[#This Row],[النولون]]+Table11819202310303132353839404148[[#This Row],[الايصالات]]+Table11819202310303132353839404148[[#This Row],[قيمة مضافة]]</f>
        <v>0</v>
      </c>
      <c r="L238" s="1">
        <f>L237+Table11819202310303132353839404148[[#This Row],[اجمالي الفاتوره]]-Table11819202310303132353839404148[[#This Row],[الدفعات]]</f>
        <v>167068.43999999994</v>
      </c>
      <c r="N238" s="48"/>
    </row>
    <row r="239" spans="8:14" ht="26.25" customHeight="1" x14ac:dyDescent="0.3">
      <c r="H239" s="1">
        <f>0.14*Table11819202310303132353839404148[[#This Row],[النولون]]</f>
        <v>0</v>
      </c>
      <c r="J239" s="1">
        <f>Table11819202310303132353839404148[[#This Row],[النولون]]+Table11819202310303132353839404148[[#This Row],[الايصالات]]+Table11819202310303132353839404148[[#This Row],[قيمة مضافة]]</f>
        <v>0</v>
      </c>
      <c r="L239" s="1">
        <f>L238+Table11819202310303132353839404148[[#This Row],[اجمالي الفاتوره]]-Table11819202310303132353839404148[[#This Row],[الدفعات]]</f>
        <v>167068.43999999994</v>
      </c>
      <c r="N239" s="48"/>
    </row>
    <row r="240" spans="8:14" ht="26.25" customHeight="1" x14ac:dyDescent="0.3">
      <c r="H240" s="1">
        <f>0.14*Table11819202310303132353839404148[[#This Row],[النولون]]</f>
        <v>0</v>
      </c>
      <c r="J240" s="1">
        <f>Table11819202310303132353839404148[[#This Row],[النولون]]+Table11819202310303132353839404148[[#This Row],[الايصالات]]+Table11819202310303132353839404148[[#This Row],[قيمة مضافة]]</f>
        <v>0</v>
      </c>
      <c r="L240" s="1">
        <f>L239+Table11819202310303132353839404148[[#This Row],[اجمالي الفاتوره]]-Table11819202310303132353839404148[[#This Row],[الدفعات]]</f>
        <v>167068.43999999994</v>
      </c>
      <c r="N240" s="48"/>
    </row>
    <row r="241" spans="8:14" ht="26.25" customHeight="1" x14ac:dyDescent="0.3">
      <c r="H241" s="1">
        <f>0.14*Table11819202310303132353839404148[[#This Row],[النولون]]</f>
        <v>0</v>
      </c>
      <c r="J241" s="1">
        <f>Table11819202310303132353839404148[[#This Row],[النولون]]+Table11819202310303132353839404148[[#This Row],[الايصالات]]+Table11819202310303132353839404148[[#This Row],[قيمة مضافة]]</f>
        <v>0</v>
      </c>
      <c r="L241" s="1">
        <f>L240+Table11819202310303132353839404148[[#This Row],[اجمالي الفاتوره]]-Table11819202310303132353839404148[[#This Row],[الدفعات]]</f>
        <v>167068.43999999994</v>
      </c>
      <c r="N241" s="48"/>
    </row>
    <row r="242" spans="8:14" ht="26.25" customHeight="1" x14ac:dyDescent="0.3">
      <c r="H242" s="1">
        <f>0.14*Table11819202310303132353839404148[[#This Row],[النولون]]</f>
        <v>0</v>
      </c>
      <c r="J242" s="1">
        <f>Table11819202310303132353839404148[[#This Row],[النولون]]+Table11819202310303132353839404148[[#This Row],[الايصالات]]+Table11819202310303132353839404148[[#This Row],[قيمة مضافة]]</f>
        <v>0</v>
      </c>
      <c r="L242" s="1">
        <f>L241+Table11819202310303132353839404148[[#This Row],[اجمالي الفاتوره]]-Table11819202310303132353839404148[[#This Row],[الدفعات]]</f>
        <v>167068.43999999994</v>
      </c>
      <c r="N242" s="48"/>
    </row>
    <row r="243" spans="8:14" ht="26.25" customHeight="1" x14ac:dyDescent="0.3">
      <c r="H243" s="1">
        <f>0.14*Table11819202310303132353839404148[[#This Row],[النولون]]</f>
        <v>0</v>
      </c>
      <c r="J243" s="1">
        <f>Table11819202310303132353839404148[[#This Row],[النولون]]+Table11819202310303132353839404148[[#This Row],[الايصالات]]+Table11819202310303132353839404148[[#This Row],[قيمة مضافة]]</f>
        <v>0</v>
      </c>
      <c r="L243" s="1">
        <f>L242+Table11819202310303132353839404148[[#This Row],[اجمالي الفاتوره]]-Table11819202310303132353839404148[[#This Row],[الدفعات]]</f>
        <v>167068.43999999994</v>
      </c>
      <c r="N243" s="48"/>
    </row>
    <row r="244" spans="8:14" ht="26.25" customHeight="1" x14ac:dyDescent="0.3">
      <c r="H244" s="1">
        <f>0.14*Table11819202310303132353839404148[[#This Row],[النولون]]</f>
        <v>0</v>
      </c>
      <c r="J244" s="1">
        <f>Table11819202310303132353839404148[[#This Row],[النولون]]+Table11819202310303132353839404148[[#This Row],[الايصالات]]+Table11819202310303132353839404148[[#This Row],[قيمة مضافة]]</f>
        <v>0</v>
      </c>
      <c r="L244" s="1">
        <f>L243+Table11819202310303132353839404148[[#This Row],[اجمالي الفاتوره]]-Table11819202310303132353839404148[[#This Row],[الدفعات]]</f>
        <v>167068.43999999994</v>
      </c>
      <c r="N244" s="48"/>
    </row>
    <row r="245" spans="8:14" ht="26.25" customHeight="1" x14ac:dyDescent="0.3">
      <c r="H245" s="1">
        <f>0.14*Table11819202310303132353839404148[[#This Row],[النولون]]</f>
        <v>0</v>
      </c>
      <c r="J245" s="1">
        <f>Table11819202310303132353839404148[[#This Row],[النولون]]+Table11819202310303132353839404148[[#This Row],[الايصالات]]+Table11819202310303132353839404148[[#This Row],[قيمة مضافة]]</f>
        <v>0</v>
      </c>
      <c r="L245" s="1">
        <f>L244+Table11819202310303132353839404148[[#This Row],[اجمالي الفاتوره]]-Table11819202310303132353839404148[[#This Row],[الدفعات]]</f>
        <v>167068.43999999994</v>
      </c>
      <c r="N245" s="48"/>
    </row>
    <row r="246" spans="8:14" ht="26.25" customHeight="1" x14ac:dyDescent="0.3">
      <c r="H246" s="1">
        <f>0.14*Table11819202310303132353839404148[[#This Row],[النولون]]</f>
        <v>0</v>
      </c>
      <c r="J246" s="1">
        <f>Table11819202310303132353839404148[[#This Row],[النولون]]+Table11819202310303132353839404148[[#This Row],[الايصالات]]+Table11819202310303132353839404148[[#This Row],[قيمة مضافة]]</f>
        <v>0</v>
      </c>
      <c r="L246" s="1">
        <f>L245+Table11819202310303132353839404148[[#This Row],[اجمالي الفاتوره]]-Table11819202310303132353839404148[[#This Row],[الدفعات]]</f>
        <v>167068.43999999994</v>
      </c>
      <c r="N246" s="48"/>
    </row>
    <row r="247" spans="8:14" ht="26.25" customHeight="1" x14ac:dyDescent="0.3">
      <c r="H247" s="1">
        <f>0.14*Table11819202310303132353839404148[[#This Row],[النولون]]</f>
        <v>0</v>
      </c>
      <c r="J247" s="1">
        <f>Table11819202310303132353839404148[[#This Row],[النولون]]+Table11819202310303132353839404148[[#This Row],[الايصالات]]+Table11819202310303132353839404148[[#This Row],[قيمة مضافة]]</f>
        <v>0</v>
      </c>
      <c r="L247" s="1">
        <f>L246+Table11819202310303132353839404148[[#This Row],[اجمالي الفاتوره]]-Table11819202310303132353839404148[[#This Row],[الدفعات]]</f>
        <v>167068.43999999994</v>
      </c>
      <c r="N247" s="48"/>
    </row>
    <row r="248" spans="8:14" ht="26.25" customHeight="1" x14ac:dyDescent="0.3">
      <c r="H248" s="1">
        <f>0.14*Table11819202310303132353839404148[[#This Row],[النولون]]</f>
        <v>0</v>
      </c>
      <c r="J248" s="1">
        <f>Table11819202310303132353839404148[[#This Row],[النولون]]+Table11819202310303132353839404148[[#This Row],[الايصالات]]+Table11819202310303132353839404148[[#This Row],[قيمة مضافة]]</f>
        <v>0</v>
      </c>
      <c r="L248" s="1">
        <f>L247+Table11819202310303132353839404148[[#This Row],[اجمالي الفاتوره]]-Table11819202310303132353839404148[[#This Row],[الدفعات]]</f>
        <v>167068.43999999994</v>
      </c>
      <c r="N248" s="48"/>
    </row>
    <row r="249" spans="8:14" ht="26.25" customHeight="1" x14ac:dyDescent="0.3">
      <c r="H249" s="1">
        <f>0.14*Table11819202310303132353839404148[[#This Row],[النولون]]</f>
        <v>0</v>
      </c>
      <c r="J249" s="1">
        <f>Table11819202310303132353839404148[[#This Row],[النولون]]+Table11819202310303132353839404148[[#This Row],[الايصالات]]+Table11819202310303132353839404148[[#This Row],[قيمة مضافة]]</f>
        <v>0</v>
      </c>
      <c r="L249" s="1">
        <f>L248+Table11819202310303132353839404148[[#This Row],[اجمالي الفاتوره]]-Table11819202310303132353839404148[[#This Row],[الدفعات]]</f>
        <v>167068.43999999994</v>
      </c>
      <c r="N249" s="48"/>
    </row>
    <row r="250" spans="8:14" ht="26.25" customHeight="1" x14ac:dyDescent="0.3">
      <c r="H250" s="1">
        <f>0.14*Table11819202310303132353839404148[[#This Row],[النولون]]</f>
        <v>0</v>
      </c>
      <c r="J250" s="1">
        <f>Table11819202310303132353839404148[[#This Row],[النولون]]+Table11819202310303132353839404148[[#This Row],[الايصالات]]+Table11819202310303132353839404148[[#This Row],[قيمة مضافة]]</f>
        <v>0</v>
      </c>
      <c r="L250" s="1">
        <f>L249+Table11819202310303132353839404148[[#This Row],[اجمالي الفاتوره]]-Table11819202310303132353839404148[[#This Row],[الدفعات]]</f>
        <v>167068.43999999994</v>
      </c>
      <c r="N250" s="48"/>
    </row>
    <row r="251" spans="8:14" ht="26.25" customHeight="1" x14ac:dyDescent="0.3">
      <c r="H251" s="1">
        <f>0.14*Table11819202310303132353839404148[[#This Row],[النولون]]</f>
        <v>0</v>
      </c>
      <c r="J251" s="1">
        <f>Table11819202310303132353839404148[[#This Row],[النولون]]+Table11819202310303132353839404148[[#This Row],[الايصالات]]+Table11819202310303132353839404148[[#This Row],[قيمة مضافة]]</f>
        <v>0</v>
      </c>
      <c r="L251" s="1">
        <f>L250+Table11819202310303132353839404148[[#This Row],[اجمالي الفاتوره]]-Table11819202310303132353839404148[[#This Row],[الدفعات]]</f>
        <v>167068.43999999994</v>
      </c>
      <c r="N251" s="48"/>
    </row>
    <row r="252" spans="8:14" ht="26.25" customHeight="1" x14ac:dyDescent="0.3">
      <c r="H252" s="1">
        <f>0.14*Table11819202310303132353839404148[[#This Row],[النولون]]</f>
        <v>0</v>
      </c>
      <c r="J252" s="1">
        <f>Table11819202310303132353839404148[[#This Row],[النولون]]+Table11819202310303132353839404148[[#This Row],[الايصالات]]+Table11819202310303132353839404148[[#This Row],[قيمة مضافة]]</f>
        <v>0</v>
      </c>
      <c r="L252" s="1">
        <f>L251+Table11819202310303132353839404148[[#This Row],[اجمالي الفاتوره]]-Table11819202310303132353839404148[[#This Row],[الدفعات]]</f>
        <v>167068.43999999994</v>
      </c>
      <c r="N252" s="48"/>
    </row>
    <row r="253" spans="8:14" ht="26.25" customHeight="1" x14ac:dyDescent="0.3">
      <c r="H253" s="1">
        <f>0.14*Table11819202310303132353839404148[[#This Row],[النولون]]</f>
        <v>0</v>
      </c>
      <c r="J253" s="1">
        <f>Table11819202310303132353839404148[[#This Row],[النولون]]+Table11819202310303132353839404148[[#This Row],[الايصالات]]+Table11819202310303132353839404148[[#This Row],[قيمة مضافة]]</f>
        <v>0</v>
      </c>
      <c r="L253" s="1">
        <f>L252+Table11819202310303132353839404148[[#This Row],[اجمالي الفاتوره]]-Table11819202310303132353839404148[[#This Row],[الدفعات]]</f>
        <v>167068.43999999994</v>
      </c>
      <c r="N253" s="48"/>
    </row>
    <row r="254" spans="8:14" ht="26.25" customHeight="1" x14ac:dyDescent="0.3">
      <c r="H254" s="1">
        <f>0.14*Table11819202310303132353839404148[[#This Row],[النولون]]</f>
        <v>0</v>
      </c>
      <c r="J254" s="1">
        <f>Table11819202310303132353839404148[[#This Row],[النولون]]+Table11819202310303132353839404148[[#This Row],[الايصالات]]+Table11819202310303132353839404148[[#This Row],[قيمة مضافة]]</f>
        <v>0</v>
      </c>
      <c r="L254" s="1">
        <f>L253+Table11819202310303132353839404148[[#This Row],[اجمالي الفاتوره]]-Table11819202310303132353839404148[[#This Row],[الدفعات]]</f>
        <v>167068.43999999994</v>
      </c>
      <c r="N254" s="48"/>
    </row>
    <row r="255" spans="8:14" ht="26.25" customHeight="1" x14ac:dyDescent="0.3">
      <c r="H255" s="1">
        <f>0.14*Table11819202310303132353839404148[[#This Row],[النولون]]</f>
        <v>0</v>
      </c>
      <c r="J255" s="1">
        <f>Table11819202310303132353839404148[[#This Row],[النولون]]+Table11819202310303132353839404148[[#This Row],[الايصالات]]+Table11819202310303132353839404148[[#This Row],[قيمة مضافة]]</f>
        <v>0</v>
      </c>
      <c r="L255" s="1">
        <f>L254+Table11819202310303132353839404148[[#This Row],[اجمالي الفاتوره]]-Table11819202310303132353839404148[[#This Row],[الدفعات]]</f>
        <v>167068.43999999994</v>
      </c>
      <c r="N255" s="48"/>
    </row>
    <row r="256" spans="8:14" ht="26.25" customHeight="1" x14ac:dyDescent="0.3">
      <c r="H256" s="1">
        <f>0.14*Table11819202310303132353839404148[[#This Row],[النولون]]</f>
        <v>0</v>
      </c>
      <c r="J256" s="1">
        <f>Table11819202310303132353839404148[[#This Row],[النولون]]+Table11819202310303132353839404148[[#This Row],[الايصالات]]+Table11819202310303132353839404148[[#This Row],[قيمة مضافة]]</f>
        <v>0</v>
      </c>
      <c r="L256" s="1">
        <f>L255+Table11819202310303132353839404148[[#This Row],[اجمالي الفاتوره]]-Table11819202310303132353839404148[[#This Row],[الدفعات]]</f>
        <v>167068.43999999994</v>
      </c>
      <c r="N256" s="48"/>
    </row>
    <row r="257" spans="8:14" ht="26.25" customHeight="1" x14ac:dyDescent="0.3">
      <c r="H257" s="1">
        <f>0.14*Table11819202310303132353839404148[[#This Row],[النولون]]</f>
        <v>0</v>
      </c>
      <c r="J257" s="1">
        <f>Table11819202310303132353839404148[[#This Row],[النولون]]+Table11819202310303132353839404148[[#This Row],[الايصالات]]+Table11819202310303132353839404148[[#This Row],[قيمة مضافة]]</f>
        <v>0</v>
      </c>
      <c r="L257" s="1">
        <f>L256+Table11819202310303132353839404148[[#This Row],[اجمالي الفاتوره]]-Table11819202310303132353839404148[[#This Row],[الدفعات]]</f>
        <v>167068.43999999994</v>
      </c>
      <c r="N257" s="48"/>
    </row>
    <row r="258" spans="8:14" ht="26.25" customHeight="1" x14ac:dyDescent="0.3">
      <c r="H258" s="1">
        <f>0.14*Table11819202310303132353839404148[[#This Row],[النولون]]</f>
        <v>0</v>
      </c>
      <c r="J258" s="1">
        <f>Table11819202310303132353839404148[[#This Row],[النولون]]+Table11819202310303132353839404148[[#This Row],[الايصالات]]+Table11819202310303132353839404148[[#This Row],[قيمة مضافة]]</f>
        <v>0</v>
      </c>
      <c r="L258" s="1">
        <f>L257+Table11819202310303132353839404148[[#This Row],[اجمالي الفاتوره]]-Table11819202310303132353839404148[[#This Row],[الدفعات]]</f>
        <v>167068.43999999994</v>
      </c>
      <c r="N258" s="48"/>
    </row>
    <row r="259" spans="8:14" ht="26.25" customHeight="1" x14ac:dyDescent="0.3">
      <c r="H259" s="1">
        <f>0.14*Table11819202310303132353839404148[[#This Row],[النولون]]</f>
        <v>0</v>
      </c>
      <c r="J259" s="1">
        <f>Table11819202310303132353839404148[[#This Row],[النولون]]+Table11819202310303132353839404148[[#This Row],[الايصالات]]+Table11819202310303132353839404148[[#This Row],[قيمة مضافة]]</f>
        <v>0</v>
      </c>
      <c r="L259" s="1">
        <f>L258+Table11819202310303132353839404148[[#This Row],[اجمالي الفاتوره]]-Table11819202310303132353839404148[[#This Row],[الدفعات]]</f>
        <v>167068.43999999994</v>
      </c>
      <c r="N259" s="48"/>
    </row>
    <row r="260" spans="8:14" ht="26.25" customHeight="1" x14ac:dyDescent="0.3">
      <c r="H260" s="1">
        <f>0.14*Table11819202310303132353839404148[[#This Row],[النولون]]</f>
        <v>0</v>
      </c>
      <c r="J260" s="1">
        <f>Table11819202310303132353839404148[[#This Row],[النولون]]+Table11819202310303132353839404148[[#This Row],[الايصالات]]+Table11819202310303132353839404148[[#This Row],[قيمة مضافة]]</f>
        <v>0</v>
      </c>
      <c r="L260" s="1">
        <f>L259+Table11819202310303132353839404148[[#This Row],[اجمالي الفاتوره]]-Table11819202310303132353839404148[[#This Row],[الدفعات]]</f>
        <v>167068.43999999994</v>
      </c>
      <c r="N260" s="48"/>
    </row>
    <row r="261" spans="8:14" ht="26.25" customHeight="1" x14ac:dyDescent="0.3">
      <c r="H261" s="1">
        <f>0.14*Table11819202310303132353839404148[[#This Row],[النولون]]</f>
        <v>0</v>
      </c>
      <c r="J261" s="1">
        <f>Table11819202310303132353839404148[[#This Row],[النولون]]+Table11819202310303132353839404148[[#This Row],[الايصالات]]+Table11819202310303132353839404148[[#This Row],[قيمة مضافة]]</f>
        <v>0</v>
      </c>
      <c r="L261" s="1">
        <f>L260+Table11819202310303132353839404148[[#This Row],[اجمالي الفاتوره]]-Table11819202310303132353839404148[[#This Row],[الدفعات]]</f>
        <v>167068.43999999994</v>
      </c>
      <c r="N261" s="48"/>
    </row>
    <row r="262" spans="8:14" ht="26.25" customHeight="1" x14ac:dyDescent="0.3">
      <c r="H262" s="1">
        <f>0.14*Table11819202310303132353839404148[[#This Row],[النولون]]</f>
        <v>0</v>
      </c>
      <c r="J262" s="1">
        <f>Table11819202310303132353839404148[[#This Row],[النولون]]+Table11819202310303132353839404148[[#This Row],[الايصالات]]+Table11819202310303132353839404148[[#This Row],[قيمة مضافة]]</f>
        <v>0</v>
      </c>
      <c r="L262" s="1">
        <f>L261+Table11819202310303132353839404148[[#This Row],[اجمالي الفاتوره]]-Table11819202310303132353839404148[[#This Row],[الدفعات]]</f>
        <v>167068.43999999994</v>
      </c>
      <c r="N262" s="48"/>
    </row>
    <row r="263" spans="8:14" ht="26.25" customHeight="1" x14ac:dyDescent="0.3">
      <c r="H263" s="1">
        <f>0.14*Table11819202310303132353839404148[[#This Row],[النولون]]</f>
        <v>0</v>
      </c>
      <c r="J263" s="1">
        <f>Table11819202310303132353839404148[[#This Row],[النولون]]+Table11819202310303132353839404148[[#This Row],[الايصالات]]+Table11819202310303132353839404148[[#This Row],[قيمة مضافة]]</f>
        <v>0</v>
      </c>
      <c r="L263" s="1">
        <f>L262+Table11819202310303132353839404148[[#This Row],[اجمالي الفاتوره]]-Table11819202310303132353839404148[[#This Row],[الدفعات]]</f>
        <v>167068.43999999994</v>
      </c>
      <c r="N263" s="48"/>
    </row>
    <row r="264" spans="8:14" ht="26.25" customHeight="1" x14ac:dyDescent="0.3">
      <c r="H264" s="1">
        <f>0.14*Table11819202310303132353839404148[[#This Row],[النولون]]</f>
        <v>0</v>
      </c>
      <c r="J264" s="1">
        <f>Table11819202310303132353839404148[[#This Row],[النولون]]+Table11819202310303132353839404148[[#This Row],[الايصالات]]+Table11819202310303132353839404148[[#This Row],[قيمة مضافة]]</f>
        <v>0</v>
      </c>
      <c r="L264" s="1">
        <f>L263+Table11819202310303132353839404148[[#This Row],[اجمالي الفاتوره]]-Table11819202310303132353839404148[[#This Row],[الدفعات]]</f>
        <v>167068.43999999994</v>
      </c>
      <c r="N264" s="48"/>
    </row>
    <row r="265" spans="8:14" ht="26.25" customHeight="1" x14ac:dyDescent="0.3">
      <c r="H265" s="1">
        <f>0.14*Table11819202310303132353839404148[[#This Row],[النولون]]</f>
        <v>0</v>
      </c>
      <c r="J265" s="1">
        <f>Table11819202310303132353839404148[[#This Row],[النولون]]+Table11819202310303132353839404148[[#This Row],[الايصالات]]+Table11819202310303132353839404148[[#This Row],[قيمة مضافة]]</f>
        <v>0</v>
      </c>
      <c r="L265" s="1">
        <f>L264+Table11819202310303132353839404148[[#This Row],[اجمالي الفاتوره]]-Table11819202310303132353839404148[[#This Row],[الدفعات]]</f>
        <v>167068.43999999994</v>
      </c>
      <c r="N265" s="48"/>
    </row>
    <row r="266" spans="8:14" ht="26.25" customHeight="1" x14ac:dyDescent="0.3">
      <c r="H266" s="1">
        <f>0.14*Table11819202310303132353839404148[[#This Row],[النولون]]</f>
        <v>0</v>
      </c>
      <c r="J266" s="1">
        <f>Table11819202310303132353839404148[[#This Row],[النولون]]+Table11819202310303132353839404148[[#This Row],[الايصالات]]+Table11819202310303132353839404148[[#This Row],[قيمة مضافة]]</f>
        <v>0</v>
      </c>
      <c r="L266" s="1">
        <f>L265+Table11819202310303132353839404148[[#This Row],[اجمالي الفاتوره]]-Table11819202310303132353839404148[[#This Row],[الدفعات]]</f>
        <v>167068.43999999994</v>
      </c>
      <c r="N266" s="48"/>
    </row>
    <row r="267" spans="8:14" ht="26.25" customHeight="1" x14ac:dyDescent="0.3">
      <c r="H267" s="1">
        <f>0.14*Table11819202310303132353839404148[[#This Row],[النولون]]</f>
        <v>0</v>
      </c>
      <c r="J267" s="1">
        <f>Table11819202310303132353839404148[[#This Row],[النولون]]+Table11819202310303132353839404148[[#This Row],[الايصالات]]+Table11819202310303132353839404148[[#This Row],[قيمة مضافة]]</f>
        <v>0</v>
      </c>
      <c r="L267" s="1">
        <f>L266+Table11819202310303132353839404148[[#This Row],[اجمالي الفاتوره]]-Table11819202310303132353839404148[[#This Row],[الدفعات]]</f>
        <v>167068.43999999994</v>
      </c>
      <c r="N267" s="48"/>
    </row>
    <row r="268" spans="8:14" ht="26.25" customHeight="1" x14ac:dyDescent="0.3">
      <c r="H268" s="1">
        <f>0.14*Table11819202310303132353839404148[[#This Row],[النولون]]</f>
        <v>0</v>
      </c>
      <c r="J268" s="1">
        <f>Table11819202310303132353839404148[[#This Row],[النولون]]+Table11819202310303132353839404148[[#This Row],[الايصالات]]+Table11819202310303132353839404148[[#This Row],[قيمة مضافة]]</f>
        <v>0</v>
      </c>
      <c r="L268" s="1">
        <f>L267+Table11819202310303132353839404148[[#This Row],[اجمالي الفاتوره]]-Table11819202310303132353839404148[[#This Row],[الدفعات]]</f>
        <v>167068.43999999994</v>
      </c>
      <c r="N268" s="48"/>
    </row>
    <row r="269" spans="8:14" ht="26.25" customHeight="1" x14ac:dyDescent="0.3">
      <c r="H269" s="1">
        <f>0.14*Table11819202310303132353839404148[[#This Row],[النولون]]</f>
        <v>0</v>
      </c>
      <c r="J269" s="1">
        <f>Table11819202310303132353839404148[[#This Row],[النولون]]+Table11819202310303132353839404148[[#This Row],[الايصالات]]+Table11819202310303132353839404148[[#This Row],[قيمة مضافة]]</f>
        <v>0</v>
      </c>
      <c r="L269" s="1">
        <f>L268+Table11819202310303132353839404148[[#This Row],[اجمالي الفاتوره]]-Table11819202310303132353839404148[[#This Row],[الدفعات]]</f>
        <v>167068.43999999994</v>
      </c>
      <c r="N269" s="48"/>
    </row>
    <row r="270" spans="8:14" ht="26.25" customHeight="1" x14ac:dyDescent="0.3">
      <c r="H270" s="1">
        <f>0.14*Table11819202310303132353839404148[[#This Row],[النولون]]</f>
        <v>0</v>
      </c>
      <c r="J270" s="1">
        <f>Table11819202310303132353839404148[[#This Row],[النولون]]+Table11819202310303132353839404148[[#This Row],[الايصالات]]+Table11819202310303132353839404148[[#This Row],[قيمة مضافة]]</f>
        <v>0</v>
      </c>
      <c r="L270" s="1">
        <f>L269+Table11819202310303132353839404148[[#This Row],[اجمالي الفاتوره]]-Table11819202310303132353839404148[[#This Row],[الدفعات]]</f>
        <v>167068.43999999994</v>
      </c>
      <c r="N270" s="48"/>
    </row>
    <row r="271" spans="8:14" ht="26.25" customHeight="1" x14ac:dyDescent="0.3">
      <c r="H271" s="1">
        <f>0.14*Table11819202310303132353839404148[[#This Row],[النولون]]</f>
        <v>0</v>
      </c>
      <c r="J271" s="1">
        <f>Table11819202310303132353839404148[[#This Row],[النولون]]+Table11819202310303132353839404148[[#This Row],[الايصالات]]+Table11819202310303132353839404148[[#This Row],[قيمة مضافة]]</f>
        <v>0</v>
      </c>
      <c r="L271" s="1">
        <f>L270+Table11819202310303132353839404148[[#This Row],[اجمالي الفاتوره]]-Table11819202310303132353839404148[[#This Row],[الدفعات]]</f>
        <v>167068.43999999994</v>
      </c>
      <c r="N271" s="48"/>
    </row>
    <row r="272" spans="8:14" ht="26.25" customHeight="1" x14ac:dyDescent="0.3">
      <c r="H272" s="1">
        <f>0.14*Table11819202310303132353839404148[[#This Row],[النولون]]</f>
        <v>0</v>
      </c>
      <c r="J272" s="1">
        <f>Table11819202310303132353839404148[[#This Row],[النولون]]+Table11819202310303132353839404148[[#This Row],[الايصالات]]+Table11819202310303132353839404148[[#This Row],[قيمة مضافة]]</f>
        <v>0</v>
      </c>
      <c r="L272" s="1">
        <f>L271+Table11819202310303132353839404148[[#This Row],[اجمالي الفاتوره]]-Table11819202310303132353839404148[[#This Row],[الدفعات]]</f>
        <v>167068.43999999994</v>
      </c>
      <c r="N272" s="48"/>
    </row>
    <row r="273" spans="8:14" ht="26.25" customHeight="1" x14ac:dyDescent="0.3">
      <c r="H273" s="1">
        <f>0.14*Table11819202310303132353839404148[[#This Row],[النولون]]</f>
        <v>0</v>
      </c>
      <c r="J273" s="1">
        <f>Table11819202310303132353839404148[[#This Row],[النولون]]+Table11819202310303132353839404148[[#This Row],[الايصالات]]+Table11819202310303132353839404148[[#This Row],[قيمة مضافة]]</f>
        <v>0</v>
      </c>
      <c r="L273" s="1">
        <f>L272+Table11819202310303132353839404148[[#This Row],[اجمالي الفاتوره]]-Table11819202310303132353839404148[[#This Row],[الدفعات]]</f>
        <v>167068.43999999994</v>
      </c>
      <c r="N273" s="48"/>
    </row>
    <row r="274" spans="8:14" ht="26.25" customHeight="1" x14ac:dyDescent="0.3">
      <c r="H274" s="1">
        <f>0.14*Table11819202310303132353839404148[[#This Row],[النولون]]</f>
        <v>0</v>
      </c>
      <c r="J274" s="1">
        <f>Table11819202310303132353839404148[[#This Row],[النولون]]+Table11819202310303132353839404148[[#This Row],[الايصالات]]+Table11819202310303132353839404148[[#This Row],[قيمة مضافة]]</f>
        <v>0</v>
      </c>
      <c r="L274" s="1">
        <f>L273+Table11819202310303132353839404148[[#This Row],[اجمالي الفاتوره]]-Table11819202310303132353839404148[[#This Row],[الدفعات]]</f>
        <v>167068.43999999994</v>
      </c>
      <c r="N274" s="48"/>
    </row>
    <row r="275" spans="8:14" ht="26.25" customHeight="1" x14ac:dyDescent="0.3">
      <c r="H275" s="1">
        <f>0.14*Table11819202310303132353839404148[[#This Row],[النولون]]</f>
        <v>0</v>
      </c>
      <c r="J275" s="1">
        <f>Table11819202310303132353839404148[[#This Row],[النولون]]+Table11819202310303132353839404148[[#This Row],[الايصالات]]+Table11819202310303132353839404148[[#This Row],[قيمة مضافة]]</f>
        <v>0</v>
      </c>
      <c r="L275" s="1">
        <f>L274+Table11819202310303132353839404148[[#This Row],[اجمالي الفاتوره]]-Table11819202310303132353839404148[[#This Row],[الدفعات]]</f>
        <v>167068.43999999994</v>
      </c>
      <c r="N275" s="48"/>
    </row>
    <row r="276" spans="8:14" ht="26.25" customHeight="1" x14ac:dyDescent="0.3">
      <c r="H276" s="1">
        <f>0.14*Table11819202310303132353839404148[[#This Row],[النولون]]</f>
        <v>0</v>
      </c>
      <c r="J276" s="1">
        <f>Table11819202310303132353839404148[[#This Row],[النولون]]+Table11819202310303132353839404148[[#This Row],[الايصالات]]+Table11819202310303132353839404148[[#This Row],[قيمة مضافة]]</f>
        <v>0</v>
      </c>
      <c r="L276" s="1">
        <f>L275+Table11819202310303132353839404148[[#This Row],[اجمالي الفاتوره]]-Table11819202310303132353839404148[[#This Row],[الدفعات]]</f>
        <v>167068.43999999994</v>
      </c>
      <c r="N276" s="48"/>
    </row>
    <row r="277" spans="8:14" ht="26.25" customHeight="1" x14ac:dyDescent="0.3">
      <c r="H277" s="1">
        <f>0.14*Table11819202310303132353839404148[[#This Row],[النولون]]</f>
        <v>0</v>
      </c>
      <c r="J277" s="1">
        <f>Table11819202310303132353839404148[[#This Row],[النولون]]+Table11819202310303132353839404148[[#This Row],[الايصالات]]+Table11819202310303132353839404148[[#This Row],[قيمة مضافة]]</f>
        <v>0</v>
      </c>
      <c r="L277" s="1">
        <f>L276+Table11819202310303132353839404148[[#This Row],[اجمالي الفاتوره]]-Table11819202310303132353839404148[[#This Row],[الدفعات]]</f>
        <v>167068.43999999994</v>
      </c>
      <c r="N277" s="48"/>
    </row>
    <row r="278" spans="8:14" ht="26.25" customHeight="1" x14ac:dyDescent="0.3">
      <c r="H278" s="1">
        <f>0.14*Table11819202310303132353839404148[[#This Row],[النولون]]</f>
        <v>0</v>
      </c>
      <c r="J278" s="1">
        <f>Table11819202310303132353839404148[[#This Row],[النولون]]+Table11819202310303132353839404148[[#This Row],[الايصالات]]+Table11819202310303132353839404148[[#This Row],[قيمة مضافة]]</f>
        <v>0</v>
      </c>
      <c r="L278" s="1">
        <f>L277+Table11819202310303132353839404148[[#This Row],[اجمالي الفاتوره]]-Table11819202310303132353839404148[[#This Row],[الدفعات]]</f>
        <v>167068.43999999994</v>
      </c>
      <c r="N278" s="48"/>
    </row>
    <row r="279" spans="8:14" ht="26.25" customHeight="1" x14ac:dyDescent="0.3">
      <c r="H279" s="1">
        <f>0.14*Table11819202310303132353839404148[[#This Row],[النولون]]</f>
        <v>0</v>
      </c>
      <c r="J279" s="1">
        <f>Table11819202310303132353839404148[[#This Row],[النولون]]+Table11819202310303132353839404148[[#This Row],[الايصالات]]+Table11819202310303132353839404148[[#This Row],[قيمة مضافة]]</f>
        <v>0</v>
      </c>
      <c r="L279" s="1">
        <f>L278+Table11819202310303132353839404148[[#This Row],[اجمالي الفاتوره]]-Table11819202310303132353839404148[[#This Row],[الدفعات]]</f>
        <v>167068.43999999994</v>
      </c>
      <c r="N279" s="48"/>
    </row>
    <row r="280" spans="8:14" ht="26.25" customHeight="1" x14ac:dyDescent="0.3">
      <c r="H280" s="1">
        <f>0.14*Table11819202310303132353839404148[[#This Row],[النولون]]</f>
        <v>0</v>
      </c>
      <c r="J280" s="1">
        <f>Table11819202310303132353839404148[[#This Row],[النولون]]+Table11819202310303132353839404148[[#This Row],[الايصالات]]+Table11819202310303132353839404148[[#This Row],[قيمة مضافة]]</f>
        <v>0</v>
      </c>
      <c r="L280" s="1">
        <f>L279+Table11819202310303132353839404148[[#This Row],[اجمالي الفاتوره]]-Table11819202310303132353839404148[[#This Row],[الدفعات]]</f>
        <v>167068.43999999994</v>
      </c>
      <c r="N280" s="48"/>
    </row>
    <row r="281" spans="8:14" ht="26.25" customHeight="1" x14ac:dyDescent="0.3">
      <c r="H281" s="1">
        <f>0.14*Table11819202310303132353839404148[[#This Row],[النولون]]</f>
        <v>0</v>
      </c>
      <c r="J281" s="1">
        <f>Table11819202310303132353839404148[[#This Row],[النولون]]+Table11819202310303132353839404148[[#This Row],[الايصالات]]+Table11819202310303132353839404148[[#This Row],[قيمة مضافة]]</f>
        <v>0</v>
      </c>
      <c r="L281" s="1">
        <f>L280+Table11819202310303132353839404148[[#This Row],[اجمالي الفاتوره]]-Table11819202310303132353839404148[[#This Row],[الدفعات]]</f>
        <v>167068.43999999994</v>
      </c>
      <c r="N281" s="48"/>
    </row>
    <row r="282" spans="8:14" ht="26.25" customHeight="1" x14ac:dyDescent="0.3">
      <c r="H282" s="1">
        <f>0.14*Table11819202310303132353839404148[[#This Row],[النولون]]</f>
        <v>0</v>
      </c>
      <c r="J282" s="1">
        <f>Table11819202310303132353839404148[[#This Row],[النولون]]+Table11819202310303132353839404148[[#This Row],[الايصالات]]+Table11819202310303132353839404148[[#This Row],[قيمة مضافة]]</f>
        <v>0</v>
      </c>
      <c r="L282" s="1">
        <f>L281+Table11819202310303132353839404148[[#This Row],[اجمالي الفاتوره]]-Table11819202310303132353839404148[[#This Row],[الدفعات]]</f>
        <v>167068.43999999994</v>
      </c>
      <c r="N282" s="48"/>
    </row>
    <row r="283" spans="8:14" ht="26.25" customHeight="1" x14ac:dyDescent="0.3">
      <c r="H283" s="1">
        <f>0.14*Table11819202310303132353839404148[[#This Row],[النولون]]</f>
        <v>0</v>
      </c>
      <c r="J283" s="1">
        <f>Table11819202310303132353839404148[[#This Row],[النولون]]+Table11819202310303132353839404148[[#This Row],[الايصالات]]+Table11819202310303132353839404148[[#This Row],[قيمة مضافة]]</f>
        <v>0</v>
      </c>
      <c r="L283" s="1">
        <f>L282+Table11819202310303132353839404148[[#This Row],[اجمالي الفاتوره]]-Table11819202310303132353839404148[[#This Row],[الدفعات]]</f>
        <v>167068.43999999994</v>
      </c>
      <c r="N283" s="48"/>
    </row>
    <row r="284" spans="8:14" ht="26.25" customHeight="1" x14ac:dyDescent="0.3">
      <c r="H284" s="1">
        <f>0.14*Table11819202310303132353839404148[[#This Row],[النولون]]</f>
        <v>0</v>
      </c>
      <c r="J284" s="1">
        <f>Table11819202310303132353839404148[[#This Row],[النولون]]+Table11819202310303132353839404148[[#This Row],[الايصالات]]+Table11819202310303132353839404148[[#This Row],[قيمة مضافة]]</f>
        <v>0</v>
      </c>
      <c r="L284" s="1">
        <f>L283+Table11819202310303132353839404148[[#This Row],[اجمالي الفاتوره]]-Table11819202310303132353839404148[[#This Row],[الدفعات]]</f>
        <v>167068.43999999994</v>
      </c>
      <c r="N284" s="48"/>
    </row>
    <row r="285" spans="8:14" ht="26.25" customHeight="1" x14ac:dyDescent="0.3">
      <c r="H285" s="1">
        <f>0.14*Table11819202310303132353839404148[[#This Row],[النولون]]</f>
        <v>0</v>
      </c>
      <c r="J285" s="1">
        <f>Table11819202310303132353839404148[[#This Row],[النولون]]+Table11819202310303132353839404148[[#This Row],[الايصالات]]+Table11819202310303132353839404148[[#This Row],[قيمة مضافة]]</f>
        <v>0</v>
      </c>
      <c r="L285" s="1">
        <f>L284+Table11819202310303132353839404148[[#This Row],[اجمالي الفاتوره]]-Table11819202310303132353839404148[[#This Row],[الدفعات]]</f>
        <v>167068.43999999994</v>
      </c>
      <c r="N285" s="48"/>
    </row>
    <row r="286" spans="8:14" ht="26.25" customHeight="1" x14ac:dyDescent="0.3">
      <c r="H286" s="1">
        <f>0.14*Table11819202310303132353839404148[[#This Row],[النولون]]</f>
        <v>0</v>
      </c>
      <c r="J286" s="1">
        <f>Table11819202310303132353839404148[[#This Row],[النولون]]+Table11819202310303132353839404148[[#This Row],[الايصالات]]+Table11819202310303132353839404148[[#This Row],[قيمة مضافة]]</f>
        <v>0</v>
      </c>
      <c r="L286" s="1">
        <f>L285+Table11819202310303132353839404148[[#This Row],[اجمالي الفاتوره]]-Table11819202310303132353839404148[[#This Row],[الدفعات]]</f>
        <v>167068.43999999994</v>
      </c>
      <c r="N286" s="48"/>
    </row>
    <row r="287" spans="8:14" ht="26.25" customHeight="1" x14ac:dyDescent="0.3">
      <c r="H287" s="1">
        <f>0.14*Table11819202310303132353839404148[[#This Row],[النولون]]</f>
        <v>0</v>
      </c>
      <c r="J287" s="1">
        <f>Table11819202310303132353839404148[[#This Row],[النولون]]+Table11819202310303132353839404148[[#This Row],[الايصالات]]+Table11819202310303132353839404148[[#This Row],[قيمة مضافة]]</f>
        <v>0</v>
      </c>
      <c r="L287" s="1">
        <f>L286+Table11819202310303132353839404148[[#This Row],[اجمالي الفاتوره]]-Table11819202310303132353839404148[[#This Row],[الدفعات]]</f>
        <v>167068.43999999994</v>
      </c>
      <c r="N287" s="48"/>
    </row>
    <row r="288" spans="8:14" ht="26.25" customHeight="1" x14ac:dyDescent="0.3">
      <c r="H288" s="1">
        <f>0.14*Table11819202310303132353839404148[[#This Row],[النولون]]</f>
        <v>0</v>
      </c>
      <c r="J288" s="1">
        <f>Table11819202310303132353839404148[[#This Row],[النولون]]+Table11819202310303132353839404148[[#This Row],[الايصالات]]+Table11819202310303132353839404148[[#This Row],[قيمة مضافة]]</f>
        <v>0</v>
      </c>
      <c r="L288" s="1">
        <f>L287+Table11819202310303132353839404148[[#This Row],[اجمالي الفاتوره]]-Table11819202310303132353839404148[[#This Row],[الدفعات]]</f>
        <v>167068.43999999994</v>
      </c>
      <c r="N288" s="48"/>
    </row>
    <row r="289" spans="8:14" ht="26.25" customHeight="1" x14ac:dyDescent="0.3">
      <c r="H289" s="1">
        <f>0.14*Table11819202310303132353839404148[[#This Row],[النولون]]</f>
        <v>0</v>
      </c>
      <c r="J289" s="1">
        <f>Table11819202310303132353839404148[[#This Row],[النولون]]+Table11819202310303132353839404148[[#This Row],[الايصالات]]+Table11819202310303132353839404148[[#This Row],[قيمة مضافة]]</f>
        <v>0</v>
      </c>
      <c r="L289" s="1">
        <f>L288+Table11819202310303132353839404148[[#This Row],[اجمالي الفاتوره]]-Table11819202310303132353839404148[[#This Row],[الدفعات]]</f>
        <v>167068.43999999994</v>
      </c>
      <c r="N289" s="48"/>
    </row>
    <row r="290" spans="8:14" ht="26.25" customHeight="1" x14ac:dyDescent="0.3">
      <c r="H290" s="1">
        <f>0.14*Table11819202310303132353839404148[[#This Row],[النولون]]</f>
        <v>0</v>
      </c>
      <c r="J290" s="1">
        <f>Table11819202310303132353839404148[[#This Row],[النولون]]+Table11819202310303132353839404148[[#This Row],[الايصالات]]+Table11819202310303132353839404148[[#This Row],[قيمة مضافة]]</f>
        <v>0</v>
      </c>
      <c r="L290" s="1">
        <f>L289+Table11819202310303132353839404148[[#This Row],[اجمالي الفاتوره]]-Table11819202310303132353839404148[[#This Row],[الدفعات]]</f>
        <v>167068.43999999994</v>
      </c>
      <c r="N290" s="48"/>
    </row>
    <row r="291" spans="8:14" ht="26.25" customHeight="1" x14ac:dyDescent="0.3">
      <c r="H291" s="1">
        <f>0.14*Table11819202310303132353839404148[[#This Row],[النولون]]</f>
        <v>0</v>
      </c>
      <c r="J291" s="1">
        <f>Table11819202310303132353839404148[[#This Row],[النولون]]+Table11819202310303132353839404148[[#This Row],[الايصالات]]+Table11819202310303132353839404148[[#This Row],[قيمة مضافة]]</f>
        <v>0</v>
      </c>
      <c r="L291" s="1">
        <f>L290+Table11819202310303132353839404148[[#This Row],[اجمالي الفاتوره]]-Table11819202310303132353839404148[[#This Row],[الدفعات]]</f>
        <v>167068.43999999994</v>
      </c>
      <c r="N291" s="48"/>
    </row>
    <row r="292" spans="8:14" ht="26.25" customHeight="1" x14ac:dyDescent="0.3">
      <c r="H292" s="1">
        <f>0.14*Table11819202310303132353839404148[[#This Row],[النولون]]</f>
        <v>0</v>
      </c>
      <c r="J292" s="1">
        <f>Table11819202310303132353839404148[[#This Row],[النولون]]+Table11819202310303132353839404148[[#This Row],[الايصالات]]+Table11819202310303132353839404148[[#This Row],[قيمة مضافة]]</f>
        <v>0</v>
      </c>
      <c r="L292" s="1">
        <f>L291+Table11819202310303132353839404148[[#This Row],[اجمالي الفاتوره]]-Table11819202310303132353839404148[[#This Row],[الدفعات]]</f>
        <v>167068.43999999994</v>
      </c>
      <c r="N292" s="48"/>
    </row>
    <row r="293" spans="8:14" ht="26.25" customHeight="1" x14ac:dyDescent="0.3">
      <c r="H293" s="1">
        <f>0.14*Table11819202310303132353839404148[[#This Row],[النولون]]</f>
        <v>0</v>
      </c>
      <c r="J293" s="1">
        <f>Table11819202310303132353839404148[[#This Row],[النولون]]+Table11819202310303132353839404148[[#This Row],[الايصالات]]+Table11819202310303132353839404148[[#This Row],[قيمة مضافة]]</f>
        <v>0</v>
      </c>
      <c r="L293" s="1">
        <f>L292+Table11819202310303132353839404148[[#This Row],[اجمالي الفاتوره]]-Table11819202310303132353839404148[[#This Row],[الدفعات]]</f>
        <v>167068.43999999994</v>
      </c>
      <c r="N293" s="48"/>
    </row>
    <row r="294" spans="8:14" ht="26.25" customHeight="1" x14ac:dyDescent="0.3">
      <c r="H294" s="1">
        <f>0.14*Table11819202310303132353839404148[[#This Row],[النولون]]</f>
        <v>0</v>
      </c>
      <c r="J294" s="1">
        <f>Table11819202310303132353839404148[[#This Row],[النولون]]+Table11819202310303132353839404148[[#This Row],[الايصالات]]+Table11819202310303132353839404148[[#This Row],[قيمة مضافة]]</f>
        <v>0</v>
      </c>
      <c r="L294" s="1">
        <f>L293+Table11819202310303132353839404148[[#This Row],[اجمالي الفاتوره]]-Table11819202310303132353839404148[[#This Row],[الدفعات]]</f>
        <v>167068.43999999994</v>
      </c>
      <c r="N294" s="48"/>
    </row>
    <row r="295" spans="8:14" ht="26.25" customHeight="1" x14ac:dyDescent="0.3">
      <c r="H295" s="1">
        <f>0.14*Table11819202310303132353839404148[[#This Row],[النولون]]</f>
        <v>0</v>
      </c>
      <c r="J295" s="1">
        <f>Table11819202310303132353839404148[[#This Row],[النولون]]+Table11819202310303132353839404148[[#This Row],[الايصالات]]+Table11819202310303132353839404148[[#This Row],[قيمة مضافة]]</f>
        <v>0</v>
      </c>
      <c r="L295" s="1">
        <f>L294+Table11819202310303132353839404148[[#This Row],[اجمالي الفاتوره]]-Table11819202310303132353839404148[[#This Row],[الدفعات]]</f>
        <v>167068.43999999994</v>
      </c>
      <c r="N295" s="48"/>
    </row>
    <row r="296" spans="8:14" ht="26.25" customHeight="1" x14ac:dyDescent="0.3">
      <c r="H296" s="1">
        <f>0.14*Table11819202310303132353839404148[[#This Row],[النولون]]</f>
        <v>0</v>
      </c>
      <c r="J296" s="1">
        <f>Table11819202310303132353839404148[[#This Row],[النولون]]+Table11819202310303132353839404148[[#This Row],[الايصالات]]+Table11819202310303132353839404148[[#This Row],[قيمة مضافة]]</f>
        <v>0</v>
      </c>
      <c r="L296" s="1">
        <f>L295+Table11819202310303132353839404148[[#This Row],[اجمالي الفاتوره]]-Table11819202310303132353839404148[[#This Row],[الدفعات]]</f>
        <v>167068.43999999994</v>
      </c>
      <c r="N296" s="48"/>
    </row>
    <row r="297" spans="8:14" ht="26.25" customHeight="1" x14ac:dyDescent="0.3">
      <c r="H297" s="1">
        <f>0.14*Table11819202310303132353839404148[[#This Row],[النولون]]</f>
        <v>0</v>
      </c>
      <c r="J297" s="1">
        <f>Table11819202310303132353839404148[[#This Row],[النولون]]+Table11819202310303132353839404148[[#This Row],[الايصالات]]+Table11819202310303132353839404148[[#This Row],[قيمة مضافة]]</f>
        <v>0</v>
      </c>
      <c r="L297" s="1">
        <f>L296+Table11819202310303132353839404148[[#This Row],[اجمالي الفاتوره]]-Table11819202310303132353839404148[[#This Row],[الدفعات]]</f>
        <v>167068.43999999994</v>
      </c>
      <c r="N297" s="48"/>
    </row>
    <row r="298" spans="8:14" ht="26.25" customHeight="1" x14ac:dyDescent="0.3">
      <c r="H298" s="1">
        <f>0.14*Table11819202310303132353839404148[[#This Row],[النولون]]</f>
        <v>0</v>
      </c>
      <c r="J298" s="1">
        <f>Table11819202310303132353839404148[[#This Row],[النولون]]+Table11819202310303132353839404148[[#This Row],[الايصالات]]+Table11819202310303132353839404148[[#This Row],[قيمة مضافة]]</f>
        <v>0</v>
      </c>
      <c r="L298" s="1">
        <f>L297+Table11819202310303132353839404148[[#This Row],[اجمالي الفاتوره]]-Table11819202310303132353839404148[[#This Row],[الدفعات]]</f>
        <v>167068.43999999994</v>
      </c>
      <c r="N298" s="48"/>
    </row>
    <row r="299" spans="8:14" ht="26.25" customHeight="1" x14ac:dyDescent="0.3">
      <c r="H299" s="1">
        <f>0.14*Table11819202310303132353839404148[[#This Row],[النولون]]</f>
        <v>0</v>
      </c>
      <c r="J299" s="1">
        <f>Table11819202310303132353839404148[[#This Row],[النولون]]+Table11819202310303132353839404148[[#This Row],[الايصالات]]+Table11819202310303132353839404148[[#This Row],[قيمة مضافة]]</f>
        <v>0</v>
      </c>
      <c r="L299" s="1">
        <f>L298+Table11819202310303132353839404148[[#This Row],[اجمالي الفاتوره]]-Table11819202310303132353839404148[[#This Row],[الدفعات]]</f>
        <v>167068.43999999994</v>
      </c>
      <c r="N299" s="48"/>
    </row>
    <row r="300" spans="8:14" ht="26.25" customHeight="1" x14ac:dyDescent="0.3">
      <c r="H300" s="1">
        <f>0.14*Table11819202310303132353839404148[[#This Row],[النولون]]</f>
        <v>0</v>
      </c>
      <c r="J300" s="1">
        <f>Table11819202310303132353839404148[[#This Row],[النولون]]+Table11819202310303132353839404148[[#This Row],[الايصالات]]+Table11819202310303132353839404148[[#This Row],[قيمة مضافة]]</f>
        <v>0</v>
      </c>
      <c r="L300" s="1">
        <f>L299+Table11819202310303132353839404148[[#This Row],[اجمالي الفاتوره]]-Table11819202310303132353839404148[[#This Row],[الدفعات]]</f>
        <v>167068.43999999994</v>
      </c>
      <c r="N300" s="48"/>
    </row>
    <row r="301" spans="8:14" ht="26.25" customHeight="1" x14ac:dyDescent="0.3">
      <c r="H301" s="1">
        <f>0.14*Table11819202310303132353839404148[[#This Row],[النولون]]</f>
        <v>0</v>
      </c>
      <c r="J301" s="1">
        <f>Table11819202310303132353839404148[[#This Row],[النولون]]+Table11819202310303132353839404148[[#This Row],[الايصالات]]+Table11819202310303132353839404148[[#This Row],[قيمة مضافة]]</f>
        <v>0</v>
      </c>
      <c r="L301" s="1">
        <f>L300+Table11819202310303132353839404148[[#This Row],[اجمالي الفاتوره]]-Table11819202310303132353839404148[[#This Row],[الدفعات]]</f>
        <v>167068.43999999994</v>
      </c>
      <c r="N301" s="48"/>
    </row>
    <row r="302" spans="8:14" ht="26.25" customHeight="1" x14ac:dyDescent="0.3">
      <c r="H302" s="1">
        <f>0.14*Table11819202310303132353839404148[[#This Row],[النولون]]</f>
        <v>0</v>
      </c>
      <c r="J302" s="1">
        <f>Table11819202310303132353839404148[[#This Row],[النولون]]+Table11819202310303132353839404148[[#This Row],[الايصالات]]+Table11819202310303132353839404148[[#This Row],[قيمة مضافة]]</f>
        <v>0</v>
      </c>
      <c r="L302" s="1">
        <f>L301+Table11819202310303132353839404148[[#This Row],[اجمالي الفاتوره]]-Table11819202310303132353839404148[[#This Row],[الدفعات]]</f>
        <v>167068.43999999994</v>
      </c>
      <c r="N302" s="48"/>
    </row>
    <row r="303" spans="8:14" ht="26.25" customHeight="1" x14ac:dyDescent="0.3">
      <c r="H303" s="1">
        <f>0.14*Table11819202310303132353839404148[[#This Row],[النولون]]</f>
        <v>0</v>
      </c>
      <c r="J303" s="1">
        <f>Table11819202310303132353839404148[[#This Row],[النولون]]+Table11819202310303132353839404148[[#This Row],[الايصالات]]+Table11819202310303132353839404148[[#This Row],[قيمة مضافة]]</f>
        <v>0</v>
      </c>
      <c r="L303" s="1">
        <f>L302+Table11819202310303132353839404148[[#This Row],[اجمالي الفاتوره]]-Table11819202310303132353839404148[[#This Row],[الدفعات]]</f>
        <v>167068.43999999994</v>
      </c>
      <c r="N303" s="48"/>
    </row>
    <row r="304" spans="8:14" ht="26.25" customHeight="1" x14ac:dyDescent="0.3">
      <c r="H304" s="1">
        <f>0.14*Table11819202310303132353839404148[[#This Row],[النولون]]</f>
        <v>0</v>
      </c>
      <c r="J304" s="1">
        <f>Table11819202310303132353839404148[[#This Row],[النولون]]+Table11819202310303132353839404148[[#This Row],[الايصالات]]+Table11819202310303132353839404148[[#This Row],[قيمة مضافة]]</f>
        <v>0</v>
      </c>
      <c r="L304" s="1">
        <f>L303+Table11819202310303132353839404148[[#This Row],[اجمالي الفاتوره]]-Table11819202310303132353839404148[[#This Row],[الدفعات]]</f>
        <v>167068.43999999994</v>
      </c>
      <c r="N304" s="48"/>
    </row>
    <row r="305" spans="8:14" ht="26.25" customHeight="1" x14ac:dyDescent="0.3">
      <c r="H305" s="1">
        <f>0.14*Table11819202310303132353839404148[[#This Row],[النولون]]</f>
        <v>0</v>
      </c>
      <c r="J305" s="1">
        <f>Table11819202310303132353839404148[[#This Row],[النولون]]+Table11819202310303132353839404148[[#This Row],[الايصالات]]+Table11819202310303132353839404148[[#This Row],[قيمة مضافة]]</f>
        <v>0</v>
      </c>
      <c r="L305" s="1">
        <f>L304+Table11819202310303132353839404148[[#This Row],[اجمالي الفاتوره]]-Table11819202310303132353839404148[[#This Row],[الدفعات]]</f>
        <v>167068.43999999994</v>
      </c>
      <c r="N305" s="48"/>
    </row>
    <row r="306" spans="8:14" ht="26.25" customHeight="1" x14ac:dyDescent="0.3">
      <c r="H306" s="1">
        <f>0.14*Table11819202310303132353839404148[[#This Row],[النولون]]</f>
        <v>0</v>
      </c>
      <c r="J306" s="1">
        <f>Table11819202310303132353839404148[[#This Row],[النولون]]+Table11819202310303132353839404148[[#This Row],[الايصالات]]+Table11819202310303132353839404148[[#This Row],[قيمة مضافة]]</f>
        <v>0</v>
      </c>
      <c r="L306" s="1">
        <f>L305+Table11819202310303132353839404148[[#This Row],[اجمالي الفاتوره]]-Table11819202310303132353839404148[[#This Row],[الدفعات]]</f>
        <v>167068.43999999994</v>
      </c>
      <c r="N306" s="48"/>
    </row>
    <row r="307" spans="8:14" ht="26.25" customHeight="1" x14ac:dyDescent="0.3">
      <c r="H307" s="1">
        <f>0.14*Table11819202310303132353839404148[[#This Row],[النولون]]</f>
        <v>0</v>
      </c>
      <c r="J307" s="1">
        <f>Table11819202310303132353839404148[[#This Row],[النولون]]+Table11819202310303132353839404148[[#This Row],[الايصالات]]+Table11819202310303132353839404148[[#This Row],[قيمة مضافة]]</f>
        <v>0</v>
      </c>
      <c r="L307" s="1">
        <f>L306+Table11819202310303132353839404148[[#This Row],[اجمالي الفاتوره]]-Table11819202310303132353839404148[[#This Row],[الدفعات]]</f>
        <v>167068.43999999994</v>
      </c>
      <c r="N307" s="48"/>
    </row>
    <row r="308" spans="8:14" ht="26.25" customHeight="1" x14ac:dyDescent="0.3">
      <c r="H308" s="1">
        <f>0.14*Table11819202310303132353839404148[[#This Row],[النولون]]</f>
        <v>0</v>
      </c>
      <c r="J308" s="1">
        <f>Table11819202310303132353839404148[[#This Row],[النولون]]+Table11819202310303132353839404148[[#This Row],[الايصالات]]+Table11819202310303132353839404148[[#This Row],[قيمة مضافة]]</f>
        <v>0</v>
      </c>
      <c r="L308" s="1">
        <f>L307+Table11819202310303132353839404148[[#This Row],[اجمالي الفاتوره]]-Table11819202310303132353839404148[[#This Row],[الدفعات]]</f>
        <v>167068.43999999994</v>
      </c>
      <c r="N308" s="48"/>
    </row>
    <row r="309" spans="8:14" ht="26.25" customHeight="1" x14ac:dyDescent="0.3">
      <c r="H309" s="1">
        <f>0.14*Table11819202310303132353839404148[[#This Row],[النولون]]</f>
        <v>0</v>
      </c>
      <c r="J309" s="1">
        <f>Table11819202310303132353839404148[[#This Row],[النولون]]+Table11819202310303132353839404148[[#This Row],[الايصالات]]+Table11819202310303132353839404148[[#This Row],[قيمة مضافة]]</f>
        <v>0</v>
      </c>
      <c r="L309" s="1">
        <f>L308+Table11819202310303132353839404148[[#This Row],[اجمالي الفاتوره]]-Table11819202310303132353839404148[[#This Row],[الدفعات]]</f>
        <v>167068.43999999994</v>
      </c>
      <c r="N309" s="48"/>
    </row>
    <row r="310" spans="8:14" ht="26.25" customHeight="1" x14ac:dyDescent="0.3">
      <c r="H310" s="1">
        <f>0.14*Table11819202310303132353839404148[[#This Row],[النولون]]</f>
        <v>0</v>
      </c>
      <c r="J310" s="1">
        <f>Table11819202310303132353839404148[[#This Row],[النولون]]+Table11819202310303132353839404148[[#This Row],[الايصالات]]+Table11819202310303132353839404148[[#This Row],[قيمة مضافة]]</f>
        <v>0</v>
      </c>
      <c r="L310" s="1">
        <f>L309+Table11819202310303132353839404148[[#This Row],[اجمالي الفاتوره]]-Table11819202310303132353839404148[[#This Row],[الدفعات]]</f>
        <v>167068.43999999994</v>
      </c>
      <c r="N310" s="48"/>
    </row>
    <row r="311" spans="8:14" ht="26.25" customHeight="1" x14ac:dyDescent="0.3">
      <c r="H311" s="1">
        <f>0.14*Table11819202310303132353839404148[[#This Row],[النولون]]</f>
        <v>0</v>
      </c>
      <c r="J311" s="1">
        <f>Table11819202310303132353839404148[[#This Row],[النولون]]+Table11819202310303132353839404148[[#This Row],[الايصالات]]+Table11819202310303132353839404148[[#This Row],[قيمة مضافة]]</f>
        <v>0</v>
      </c>
      <c r="L311" s="1">
        <f>L310+Table11819202310303132353839404148[[#This Row],[اجمالي الفاتوره]]-Table11819202310303132353839404148[[#This Row],[الدفعات]]</f>
        <v>167068.43999999994</v>
      </c>
      <c r="N311" s="48"/>
    </row>
    <row r="312" spans="8:14" ht="26.25" customHeight="1" x14ac:dyDescent="0.3">
      <c r="H312" s="1">
        <f>0.14*Table11819202310303132353839404148[[#This Row],[النولون]]</f>
        <v>0</v>
      </c>
      <c r="J312" s="1">
        <f>Table11819202310303132353839404148[[#This Row],[النولون]]+Table11819202310303132353839404148[[#This Row],[الايصالات]]+Table11819202310303132353839404148[[#This Row],[قيمة مضافة]]</f>
        <v>0</v>
      </c>
      <c r="L312" s="1">
        <f>L311+Table11819202310303132353839404148[[#This Row],[اجمالي الفاتوره]]-Table11819202310303132353839404148[[#This Row],[الدفعات]]</f>
        <v>167068.43999999994</v>
      </c>
      <c r="N312" s="48"/>
    </row>
    <row r="313" spans="8:14" ht="26.25" customHeight="1" x14ac:dyDescent="0.3">
      <c r="H313" s="1">
        <f>0.14*Table11819202310303132353839404148[[#This Row],[النولون]]</f>
        <v>0</v>
      </c>
      <c r="J313" s="1">
        <f>Table11819202310303132353839404148[[#This Row],[النولون]]+Table11819202310303132353839404148[[#This Row],[الايصالات]]+Table11819202310303132353839404148[[#This Row],[قيمة مضافة]]</f>
        <v>0</v>
      </c>
      <c r="L313" s="1">
        <f>L312+Table11819202310303132353839404148[[#This Row],[اجمالي الفاتوره]]-Table11819202310303132353839404148[[#This Row],[الدفعات]]</f>
        <v>167068.43999999994</v>
      </c>
      <c r="N313" s="48"/>
    </row>
    <row r="314" spans="8:14" ht="26.25" customHeight="1" x14ac:dyDescent="0.3">
      <c r="H314" s="1">
        <f>0.14*Table11819202310303132353839404148[[#This Row],[النولون]]</f>
        <v>0</v>
      </c>
      <c r="J314" s="1">
        <f>Table11819202310303132353839404148[[#This Row],[النولون]]+Table11819202310303132353839404148[[#This Row],[الايصالات]]+Table11819202310303132353839404148[[#This Row],[قيمة مضافة]]</f>
        <v>0</v>
      </c>
      <c r="L314" s="1">
        <f>L313+Table11819202310303132353839404148[[#This Row],[اجمالي الفاتوره]]-Table11819202310303132353839404148[[#This Row],[الدفعات]]</f>
        <v>167068.43999999994</v>
      </c>
      <c r="N314" s="48"/>
    </row>
    <row r="315" spans="8:14" ht="26.25" customHeight="1" x14ac:dyDescent="0.3">
      <c r="H315" s="1">
        <f>0.14*Table11819202310303132353839404148[[#This Row],[النولون]]</f>
        <v>0</v>
      </c>
      <c r="J315" s="1">
        <f>Table11819202310303132353839404148[[#This Row],[النولون]]+Table11819202310303132353839404148[[#This Row],[الايصالات]]+Table11819202310303132353839404148[[#This Row],[قيمة مضافة]]</f>
        <v>0</v>
      </c>
      <c r="L315" s="1">
        <f>L314+Table11819202310303132353839404148[[#This Row],[اجمالي الفاتوره]]-Table11819202310303132353839404148[[#This Row],[الدفعات]]</f>
        <v>167068.43999999994</v>
      </c>
      <c r="N315" s="48"/>
    </row>
    <row r="316" spans="8:14" ht="26.25" customHeight="1" x14ac:dyDescent="0.3">
      <c r="H316" s="1">
        <f>0.14*Table11819202310303132353839404148[[#This Row],[النولون]]</f>
        <v>0</v>
      </c>
      <c r="J316" s="1">
        <f>Table11819202310303132353839404148[[#This Row],[النولون]]+Table11819202310303132353839404148[[#This Row],[الايصالات]]+Table11819202310303132353839404148[[#This Row],[قيمة مضافة]]</f>
        <v>0</v>
      </c>
      <c r="L316" s="1">
        <f>L315+Table11819202310303132353839404148[[#This Row],[اجمالي الفاتوره]]-Table11819202310303132353839404148[[#This Row],[الدفعات]]</f>
        <v>167068.43999999994</v>
      </c>
      <c r="N316" s="48"/>
    </row>
    <row r="317" spans="8:14" ht="26.25" customHeight="1" x14ac:dyDescent="0.3">
      <c r="H317" s="1">
        <f>0.14*Table11819202310303132353839404148[[#This Row],[النولون]]</f>
        <v>0</v>
      </c>
      <c r="J317" s="1">
        <f>Table11819202310303132353839404148[[#This Row],[النولون]]+Table11819202310303132353839404148[[#This Row],[الايصالات]]+Table11819202310303132353839404148[[#This Row],[قيمة مضافة]]</f>
        <v>0</v>
      </c>
      <c r="L317" s="1">
        <f>L316+Table11819202310303132353839404148[[#This Row],[اجمالي الفاتوره]]-Table11819202310303132353839404148[[#This Row],[الدفعات]]</f>
        <v>167068.43999999994</v>
      </c>
      <c r="N317" s="48"/>
    </row>
    <row r="318" spans="8:14" ht="26.25" customHeight="1" x14ac:dyDescent="0.3">
      <c r="H318" s="1">
        <f>0.14*Table11819202310303132353839404148[[#This Row],[النولون]]</f>
        <v>0</v>
      </c>
      <c r="J318" s="1">
        <f>Table11819202310303132353839404148[[#This Row],[النولون]]+Table11819202310303132353839404148[[#This Row],[الايصالات]]+Table11819202310303132353839404148[[#This Row],[قيمة مضافة]]</f>
        <v>0</v>
      </c>
      <c r="L318" s="1">
        <f>L317+Table11819202310303132353839404148[[#This Row],[اجمالي الفاتوره]]-Table11819202310303132353839404148[[#This Row],[الدفعات]]</f>
        <v>167068.43999999994</v>
      </c>
      <c r="N318" s="48"/>
    </row>
    <row r="319" spans="8:14" ht="26.25" customHeight="1" x14ac:dyDescent="0.3">
      <c r="H319" s="1">
        <f>0.14*Table11819202310303132353839404148[[#This Row],[النولون]]</f>
        <v>0</v>
      </c>
      <c r="J319" s="1">
        <f>Table11819202310303132353839404148[[#This Row],[النولون]]+Table11819202310303132353839404148[[#This Row],[الايصالات]]+Table11819202310303132353839404148[[#This Row],[قيمة مضافة]]</f>
        <v>0</v>
      </c>
      <c r="L319" s="1">
        <f>L318+Table11819202310303132353839404148[[#This Row],[اجمالي الفاتوره]]-Table11819202310303132353839404148[[#This Row],[الدفعات]]</f>
        <v>167068.43999999994</v>
      </c>
      <c r="N319" s="48"/>
    </row>
    <row r="320" spans="8:14" ht="26.25" customHeight="1" x14ac:dyDescent="0.3">
      <c r="H320" s="1">
        <f>0.14*Table11819202310303132353839404148[[#This Row],[النولون]]</f>
        <v>0</v>
      </c>
      <c r="J320" s="1">
        <f>Table11819202310303132353839404148[[#This Row],[النولون]]+Table11819202310303132353839404148[[#This Row],[الايصالات]]+Table11819202310303132353839404148[[#This Row],[قيمة مضافة]]</f>
        <v>0</v>
      </c>
      <c r="L320" s="1">
        <f>L319+Table11819202310303132353839404148[[#This Row],[اجمالي الفاتوره]]-Table11819202310303132353839404148[[#This Row],[الدفعات]]</f>
        <v>167068.43999999994</v>
      </c>
      <c r="N320" s="48"/>
    </row>
    <row r="321" spans="8:14" ht="26.25" customHeight="1" x14ac:dyDescent="0.3">
      <c r="H321" s="1">
        <f>0.14*Table11819202310303132353839404148[[#This Row],[النولون]]</f>
        <v>0</v>
      </c>
      <c r="J321" s="1">
        <f>Table11819202310303132353839404148[[#This Row],[النولون]]+Table11819202310303132353839404148[[#This Row],[الايصالات]]+Table11819202310303132353839404148[[#This Row],[قيمة مضافة]]</f>
        <v>0</v>
      </c>
      <c r="L321" s="1">
        <f>L320+Table11819202310303132353839404148[[#This Row],[اجمالي الفاتوره]]-Table11819202310303132353839404148[[#This Row],[الدفعات]]</f>
        <v>167068.43999999994</v>
      </c>
      <c r="N321" s="48"/>
    </row>
    <row r="322" spans="8:14" ht="26.25" customHeight="1" x14ac:dyDescent="0.3">
      <c r="H322" s="1">
        <f>0.14*Table11819202310303132353839404148[[#This Row],[النولون]]</f>
        <v>0</v>
      </c>
      <c r="J322" s="1">
        <f>Table11819202310303132353839404148[[#This Row],[النولون]]+Table11819202310303132353839404148[[#This Row],[الايصالات]]+Table11819202310303132353839404148[[#This Row],[قيمة مضافة]]</f>
        <v>0</v>
      </c>
      <c r="L322" s="1">
        <f>L321+Table11819202310303132353839404148[[#This Row],[اجمالي الفاتوره]]-Table11819202310303132353839404148[[#This Row],[الدفعات]]</f>
        <v>167068.43999999994</v>
      </c>
      <c r="N322" s="48"/>
    </row>
    <row r="323" spans="8:14" ht="26.25" customHeight="1" x14ac:dyDescent="0.3">
      <c r="H323" s="1">
        <f>0.14*Table11819202310303132353839404148[[#This Row],[النولون]]</f>
        <v>0</v>
      </c>
      <c r="J323" s="1">
        <f>Table11819202310303132353839404148[[#This Row],[النولون]]+Table11819202310303132353839404148[[#This Row],[الايصالات]]+Table11819202310303132353839404148[[#This Row],[قيمة مضافة]]</f>
        <v>0</v>
      </c>
      <c r="L323" s="1">
        <f>L322+Table11819202310303132353839404148[[#This Row],[اجمالي الفاتوره]]-Table11819202310303132353839404148[[#This Row],[الدفعات]]</f>
        <v>167068.43999999994</v>
      </c>
      <c r="N323" s="48"/>
    </row>
    <row r="324" spans="8:14" ht="26.25" customHeight="1" x14ac:dyDescent="0.3">
      <c r="H324" s="1">
        <f>0.14*Table11819202310303132353839404148[[#This Row],[النولون]]</f>
        <v>0</v>
      </c>
      <c r="J324" s="1">
        <f>Table11819202310303132353839404148[[#This Row],[النولون]]+Table11819202310303132353839404148[[#This Row],[الايصالات]]+Table11819202310303132353839404148[[#This Row],[قيمة مضافة]]</f>
        <v>0</v>
      </c>
      <c r="L324" s="1">
        <f>L323+Table11819202310303132353839404148[[#This Row],[اجمالي الفاتوره]]-Table11819202310303132353839404148[[#This Row],[الدفعات]]</f>
        <v>167068.43999999994</v>
      </c>
      <c r="N324" s="48"/>
    </row>
    <row r="325" spans="8:14" ht="26.25" customHeight="1" x14ac:dyDescent="0.3">
      <c r="H325" s="1">
        <f>0.14*Table11819202310303132353839404148[[#This Row],[النولون]]</f>
        <v>0</v>
      </c>
      <c r="J325" s="1">
        <f>Table11819202310303132353839404148[[#This Row],[النولون]]+Table11819202310303132353839404148[[#This Row],[الايصالات]]+Table11819202310303132353839404148[[#This Row],[قيمة مضافة]]</f>
        <v>0</v>
      </c>
      <c r="L325" s="1">
        <f>L324+Table11819202310303132353839404148[[#This Row],[اجمالي الفاتوره]]-Table11819202310303132353839404148[[#This Row],[الدفعات]]</f>
        <v>167068.43999999994</v>
      </c>
      <c r="N325" s="48"/>
    </row>
    <row r="326" spans="8:14" ht="26.25" customHeight="1" x14ac:dyDescent="0.3">
      <c r="H326" s="1">
        <f>0.14*Table11819202310303132353839404148[[#This Row],[النولون]]</f>
        <v>0</v>
      </c>
      <c r="J326" s="1">
        <f>Table11819202310303132353839404148[[#This Row],[النولون]]+Table11819202310303132353839404148[[#This Row],[الايصالات]]+Table11819202310303132353839404148[[#This Row],[قيمة مضافة]]</f>
        <v>0</v>
      </c>
      <c r="L326" s="1">
        <f>L325+Table11819202310303132353839404148[[#This Row],[اجمالي الفاتوره]]-Table11819202310303132353839404148[[#This Row],[الدفعات]]</f>
        <v>167068.43999999994</v>
      </c>
      <c r="N326" s="48"/>
    </row>
    <row r="327" spans="8:14" ht="26.25" customHeight="1" x14ac:dyDescent="0.3">
      <c r="H327" s="1">
        <f>0.14*Table11819202310303132353839404148[[#This Row],[النولون]]</f>
        <v>0</v>
      </c>
      <c r="J327" s="1">
        <f>Table11819202310303132353839404148[[#This Row],[النولون]]+Table11819202310303132353839404148[[#This Row],[الايصالات]]+Table11819202310303132353839404148[[#This Row],[قيمة مضافة]]</f>
        <v>0</v>
      </c>
      <c r="L327" s="1">
        <f>L326+Table11819202310303132353839404148[[#This Row],[اجمالي الفاتوره]]-Table11819202310303132353839404148[[#This Row],[الدفعات]]</f>
        <v>167068.43999999994</v>
      </c>
      <c r="N327" s="48"/>
    </row>
    <row r="328" spans="8:14" ht="26.25" customHeight="1" x14ac:dyDescent="0.3">
      <c r="H328" s="1">
        <f>0.14*Table11819202310303132353839404148[[#This Row],[النولون]]</f>
        <v>0</v>
      </c>
      <c r="J328" s="1">
        <f>Table11819202310303132353839404148[[#This Row],[النولون]]+Table11819202310303132353839404148[[#This Row],[الايصالات]]+Table11819202310303132353839404148[[#This Row],[قيمة مضافة]]</f>
        <v>0</v>
      </c>
      <c r="L328" s="1">
        <f>L327+Table11819202310303132353839404148[[#This Row],[اجمالي الفاتوره]]-Table11819202310303132353839404148[[#This Row],[الدفعات]]</f>
        <v>167068.43999999994</v>
      </c>
      <c r="N328" s="48"/>
    </row>
    <row r="329" spans="8:14" ht="26.25" customHeight="1" x14ac:dyDescent="0.3">
      <c r="H329" s="1">
        <f>0.14*Table11819202310303132353839404148[[#This Row],[النولون]]</f>
        <v>0</v>
      </c>
      <c r="J329" s="1">
        <f>Table11819202310303132353839404148[[#This Row],[النولون]]+Table11819202310303132353839404148[[#This Row],[الايصالات]]+Table11819202310303132353839404148[[#This Row],[قيمة مضافة]]</f>
        <v>0</v>
      </c>
      <c r="L329" s="1">
        <f>L328+Table11819202310303132353839404148[[#This Row],[اجمالي الفاتوره]]-Table11819202310303132353839404148[[#This Row],[الدفعات]]</f>
        <v>167068.43999999994</v>
      </c>
      <c r="N329" s="48"/>
    </row>
    <row r="330" spans="8:14" ht="26.25" customHeight="1" x14ac:dyDescent="0.3">
      <c r="H330" s="1">
        <f>0.14*Table11819202310303132353839404148[[#This Row],[النولون]]</f>
        <v>0</v>
      </c>
      <c r="J330" s="1">
        <f>Table11819202310303132353839404148[[#This Row],[النولون]]+Table11819202310303132353839404148[[#This Row],[الايصالات]]+Table11819202310303132353839404148[[#This Row],[قيمة مضافة]]</f>
        <v>0</v>
      </c>
      <c r="L330" s="1">
        <f>L329+Table11819202310303132353839404148[[#This Row],[اجمالي الفاتوره]]-Table11819202310303132353839404148[[#This Row],[الدفعات]]</f>
        <v>167068.43999999994</v>
      </c>
      <c r="N330" s="48"/>
    </row>
    <row r="331" spans="8:14" ht="26.25" customHeight="1" x14ac:dyDescent="0.3">
      <c r="H331" s="1">
        <f>0.14*Table11819202310303132353839404148[[#This Row],[النولون]]</f>
        <v>0</v>
      </c>
      <c r="J331" s="1">
        <f>Table11819202310303132353839404148[[#This Row],[النولون]]+Table11819202310303132353839404148[[#This Row],[الايصالات]]+Table11819202310303132353839404148[[#This Row],[قيمة مضافة]]</f>
        <v>0</v>
      </c>
      <c r="L331" s="1">
        <f>L330+Table11819202310303132353839404148[[#This Row],[اجمالي الفاتوره]]-Table11819202310303132353839404148[[#This Row],[الدفعات]]</f>
        <v>167068.43999999994</v>
      </c>
      <c r="N331" s="48"/>
    </row>
    <row r="332" spans="8:14" ht="26.25" customHeight="1" x14ac:dyDescent="0.3">
      <c r="H332" s="1">
        <f>0.14*Table11819202310303132353839404148[[#This Row],[النولون]]</f>
        <v>0</v>
      </c>
      <c r="J332" s="1">
        <f>Table11819202310303132353839404148[[#This Row],[النولون]]+Table11819202310303132353839404148[[#This Row],[الايصالات]]+Table11819202310303132353839404148[[#This Row],[قيمة مضافة]]</f>
        <v>0</v>
      </c>
      <c r="L332" s="1">
        <f>L331+Table11819202310303132353839404148[[#This Row],[اجمالي الفاتوره]]-Table11819202310303132353839404148[[#This Row],[الدفعات]]</f>
        <v>167068.43999999994</v>
      </c>
      <c r="N332" s="48"/>
    </row>
    <row r="333" spans="8:14" ht="26.25" customHeight="1" x14ac:dyDescent="0.3">
      <c r="H333" s="1">
        <f>0.14*Table11819202310303132353839404148[[#This Row],[النولون]]</f>
        <v>0</v>
      </c>
      <c r="J333" s="1">
        <f>Table11819202310303132353839404148[[#This Row],[النولون]]+Table11819202310303132353839404148[[#This Row],[الايصالات]]+Table11819202310303132353839404148[[#This Row],[قيمة مضافة]]</f>
        <v>0</v>
      </c>
      <c r="L333" s="1">
        <f>L332+Table11819202310303132353839404148[[#This Row],[اجمالي الفاتوره]]-Table11819202310303132353839404148[[#This Row],[الدفعات]]</f>
        <v>167068.43999999994</v>
      </c>
      <c r="N333" s="48"/>
    </row>
    <row r="334" spans="8:14" ht="26.25" customHeight="1" x14ac:dyDescent="0.3">
      <c r="H334" s="1">
        <f>0.14*Table11819202310303132353839404148[[#This Row],[النولون]]</f>
        <v>0</v>
      </c>
      <c r="J334" s="1">
        <f>Table11819202310303132353839404148[[#This Row],[النولون]]+Table11819202310303132353839404148[[#This Row],[الايصالات]]+Table11819202310303132353839404148[[#This Row],[قيمة مضافة]]</f>
        <v>0</v>
      </c>
      <c r="L334" s="1">
        <f>L333+Table11819202310303132353839404148[[#This Row],[اجمالي الفاتوره]]-Table11819202310303132353839404148[[#This Row],[الدفعات]]</f>
        <v>167068.43999999994</v>
      </c>
      <c r="N334" s="48"/>
    </row>
    <row r="335" spans="8:14" ht="26.25" customHeight="1" x14ac:dyDescent="0.3">
      <c r="H335" s="1">
        <f>0.14*Table11819202310303132353839404148[[#This Row],[النولون]]</f>
        <v>0</v>
      </c>
      <c r="J335" s="1">
        <f>Table11819202310303132353839404148[[#This Row],[النولون]]+Table11819202310303132353839404148[[#This Row],[الايصالات]]+Table11819202310303132353839404148[[#This Row],[قيمة مضافة]]</f>
        <v>0</v>
      </c>
      <c r="L335" s="1">
        <f>L334+Table11819202310303132353839404148[[#This Row],[اجمالي الفاتوره]]-Table11819202310303132353839404148[[#This Row],[الدفعات]]</f>
        <v>167068.43999999994</v>
      </c>
      <c r="N335" s="48"/>
    </row>
    <row r="336" spans="8:14" ht="26.25" customHeight="1" x14ac:dyDescent="0.3">
      <c r="H336" s="1">
        <f>0.14*Table11819202310303132353839404148[[#This Row],[النولون]]</f>
        <v>0</v>
      </c>
      <c r="J336" s="1">
        <f>Table11819202310303132353839404148[[#This Row],[النولون]]+Table11819202310303132353839404148[[#This Row],[الايصالات]]+Table11819202310303132353839404148[[#This Row],[قيمة مضافة]]</f>
        <v>0</v>
      </c>
      <c r="L336" s="1">
        <f>L335+Table11819202310303132353839404148[[#This Row],[اجمالي الفاتوره]]-Table11819202310303132353839404148[[#This Row],[الدفعات]]</f>
        <v>167068.43999999994</v>
      </c>
      <c r="N336" s="48"/>
    </row>
    <row r="337" spans="8:14" ht="26.25" customHeight="1" x14ac:dyDescent="0.3">
      <c r="H337" s="1">
        <f>0.14*Table11819202310303132353839404148[[#This Row],[النولون]]</f>
        <v>0</v>
      </c>
      <c r="J337" s="1">
        <f>Table11819202310303132353839404148[[#This Row],[النولون]]+Table11819202310303132353839404148[[#This Row],[الايصالات]]+Table11819202310303132353839404148[[#This Row],[قيمة مضافة]]</f>
        <v>0</v>
      </c>
      <c r="L337" s="1">
        <f>L336+Table11819202310303132353839404148[[#This Row],[اجمالي الفاتوره]]-Table11819202310303132353839404148[[#This Row],[الدفعات]]</f>
        <v>167068.43999999994</v>
      </c>
      <c r="N337" s="48"/>
    </row>
    <row r="338" spans="8:14" ht="26.25" customHeight="1" x14ac:dyDescent="0.3">
      <c r="H338" s="1">
        <f>0.14*Table11819202310303132353839404148[[#This Row],[النولون]]</f>
        <v>0</v>
      </c>
      <c r="J338" s="1">
        <f>Table11819202310303132353839404148[[#This Row],[النولون]]+Table11819202310303132353839404148[[#This Row],[الايصالات]]+Table11819202310303132353839404148[[#This Row],[قيمة مضافة]]</f>
        <v>0</v>
      </c>
      <c r="L338" s="1">
        <f>L337+Table11819202310303132353839404148[[#This Row],[اجمالي الفاتوره]]-Table11819202310303132353839404148[[#This Row],[الدفعات]]</f>
        <v>167068.43999999994</v>
      </c>
      <c r="N338" s="48"/>
    </row>
    <row r="339" spans="8:14" ht="26.25" customHeight="1" x14ac:dyDescent="0.3">
      <c r="H339" s="1">
        <f>0.14*Table11819202310303132353839404148[[#This Row],[النولون]]</f>
        <v>0</v>
      </c>
      <c r="J339" s="1">
        <f>Table11819202310303132353839404148[[#This Row],[النولون]]+Table11819202310303132353839404148[[#This Row],[الايصالات]]+Table11819202310303132353839404148[[#This Row],[قيمة مضافة]]</f>
        <v>0</v>
      </c>
      <c r="L339" s="1">
        <f>L338+Table11819202310303132353839404148[[#This Row],[اجمالي الفاتوره]]-Table11819202310303132353839404148[[#This Row],[الدفعات]]</f>
        <v>167068.43999999994</v>
      </c>
      <c r="N339" s="48"/>
    </row>
    <row r="340" spans="8:14" ht="26.25" customHeight="1" x14ac:dyDescent="0.3">
      <c r="H340" s="1">
        <f>0.14*Table11819202310303132353839404148[[#This Row],[النولون]]</f>
        <v>0</v>
      </c>
      <c r="J340" s="1">
        <f>Table11819202310303132353839404148[[#This Row],[النولون]]+Table11819202310303132353839404148[[#This Row],[الايصالات]]+Table11819202310303132353839404148[[#This Row],[قيمة مضافة]]</f>
        <v>0</v>
      </c>
      <c r="L340" s="1">
        <f>L339+Table11819202310303132353839404148[[#This Row],[اجمالي الفاتوره]]-Table11819202310303132353839404148[[#This Row],[الدفعات]]</f>
        <v>167068.43999999994</v>
      </c>
      <c r="N340" s="48"/>
    </row>
    <row r="341" spans="8:14" ht="26.25" customHeight="1" x14ac:dyDescent="0.3">
      <c r="H341" s="1">
        <f>0.14*Table11819202310303132353839404148[[#This Row],[النولون]]</f>
        <v>0</v>
      </c>
      <c r="J341" s="1">
        <f>Table11819202310303132353839404148[[#This Row],[النولون]]+Table11819202310303132353839404148[[#This Row],[الايصالات]]+Table11819202310303132353839404148[[#This Row],[قيمة مضافة]]</f>
        <v>0</v>
      </c>
      <c r="L341" s="1">
        <f>L340+Table11819202310303132353839404148[[#This Row],[اجمالي الفاتوره]]-Table11819202310303132353839404148[[#This Row],[الدفعات]]</f>
        <v>167068.43999999994</v>
      </c>
      <c r="N341" s="48"/>
    </row>
  </sheetData>
  <phoneticPr fontId="2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40"/>
  <sheetViews>
    <sheetView rightToLeft="1" topLeftCell="A19" workbookViewId="0">
      <selection activeCell="H35" sqref="H35"/>
    </sheetView>
  </sheetViews>
  <sheetFormatPr defaultColWidth="9.109375" defaultRowHeight="21.6" customHeight="1" x14ac:dyDescent="0.3"/>
  <cols>
    <col min="1" max="1" width="5.44140625" style="1" customWidth="1"/>
    <col min="2" max="2" width="11" style="1" customWidth="1"/>
    <col min="3" max="3" width="15.109375" style="1" customWidth="1"/>
    <col min="4" max="4" width="11.21875" style="1" customWidth="1"/>
    <col min="5" max="5" width="13.33203125" style="1" customWidth="1"/>
    <col min="6" max="6" width="13" style="1" customWidth="1"/>
    <col min="7" max="7" width="11.6640625" style="1" customWidth="1"/>
    <col min="8" max="8" width="11.77734375" style="1" customWidth="1"/>
    <col min="9" max="9" width="10.77734375" style="1" customWidth="1"/>
    <col min="10" max="10" width="12" style="1" customWidth="1"/>
    <col min="11" max="11" width="17.21875" style="1" bestFit="1" customWidth="1"/>
    <col min="12" max="12" width="15.21875" style="1" customWidth="1"/>
    <col min="13" max="13" width="10.5546875" style="1" customWidth="1"/>
    <col min="14" max="16384" width="9.109375" style="1"/>
  </cols>
  <sheetData>
    <row r="1" spans="1:14" ht="21.6" customHeight="1" x14ac:dyDescent="0.3">
      <c r="A1" s="88" t="s">
        <v>0</v>
      </c>
      <c r="B1" s="88" t="s">
        <v>1</v>
      </c>
      <c r="C1" s="88" t="s">
        <v>2</v>
      </c>
      <c r="D1" s="88" t="s">
        <v>3</v>
      </c>
      <c r="E1" s="88" t="s">
        <v>4</v>
      </c>
      <c r="F1" s="88" t="s">
        <v>5</v>
      </c>
      <c r="G1" s="88" t="s">
        <v>6</v>
      </c>
      <c r="H1" s="88" t="s">
        <v>7</v>
      </c>
      <c r="I1" s="88" t="s">
        <v>9</v>
      </c>
      <c r="J1" s="88" t="s">
        <v>10</v>
      </c>
      <c r="K1" s="88" t="s">
        <v>11</v>
      </c>
      <c r="L1" s="88" t="s">
        <v>12</v>
      </c>
      <c r="M1" s="1" t="s">
        <v>13</v>
      </c>
      <c r="N1" s="48" t="s">
        <v>20</v>
      </c>
    </row>
    <row r="2" spans="1:14" ht="21.6" customHeight="1" x14ac:dyDescent="0.3">
      <c r="B2" s="2"/>
      <c r="J2" s="1">
        <f>Table118192023[[#This Row],[النولون]]+Table118192023[[#This Row],[الايصالات]]+Table118192023[[#This Row],[قيمة مضافة]]</f>
        <v>0</v>
      </c>
      <c r="L2" s="1">
        <v>0</v>
      </c>
      <c r="N2" s="48"/>
    </row>
    <row r="3" spans="1:14" ht="21.6" customHeight="1" x14ac:dyDescent="0.3">
      <c r="A3" s="1">
        <v>1</v>
      </c>
      <c r="B3" s="2" t="s">
        <v>150</v>
      </c>
      <c r="C3" s="1" t="s">
        <v>155</v>
      </c>
      <c r="D3" s="1" t="s">
        <v>157</v>
      </c>
      <c r="E3" s="1">
        <v>276230</v>
      </c>
      <c r="F3" s="1" t="s">
        <v>121</v>
      </c>
      <c r="G3" s="1">
        <v>17700</v>
      </c>
      <c r="I3" s="1">
        <f>210+810+1135+415.78+50*2+150+400+1076.62+600+500+3500</f>
        <v>8897.4</v>
      </c>
      <c r="J3" s="1">
        <f>Table118192023[[#This Row],[النولون]]+Table118192023[[#This Row],[الايصالات]]+Table118192023[[#This Row],[قيمة مضافة]]</f>
        <v>26597.4</v>
      </c>
      <c r="L3" s="1">
        <f>L2+Table118192023[[#This Row],[اجمالي الفاتوره]]-Table118192023[[#This Row],[الدفعات]]</f>
        <v>26597.4</v>
      </c>
      <c r="N3" s="48"/>
    </row>
    <row r="4" spans="1:14" ht="21.6" customHeight="1" x14ac:dyDescent="0.3">
      <c r="A4" s="1">
        <v>2</v>
      </c>
      <c r="B4" s="2" t="s">
        <v>150</v>
      </c>
      <c r="C4" s="1" t="s">
        <v>155</v>
      </c>
      <c r="D4" s="1" t="s">
        <v>157</v>
      </c>
      <c r="E4" s="1">
        <v>276103</v>
      </c>
      <c r="F4" s="1" t="s">
        <v>121</v>
      </c>
      <c r="G4" s="1">
        <v>17700</v>
      </c>
      <c r="I4" s="1">
        <f>210+1130+50*2+432.74+150+400+1076.62+50.2+3500</f>
        <v>7049.5599999999995</v>
      </c>
      <c r="J4" s="1">
        <f>Table118192023[[#This Row],[النولون]]+Table118192023[[#This Row],[الايصالات]]+Table118192023[[#This Row],[قيمة مضافة]]</f>
        <v>24749.559999999998</v>
      </c>
      <c r="L4" s="1">
        <f>L3+Table118192023[[#This Row],[اجمالي الفاتوره]]-Table118192023[[#This Row],[الدفعات]]</f>
        <v>51346.96</v>
      </c>
      <c r="N4" s="48"/>
    </row>
    <row r="5" spans="1:14" ht="21.6" customHeight="1" x14ac:dyDescent="0.3">
      <c r="A5" s="1">
        <v>3</v>
      </c>
      <c r="B5" s="2" t="s">
        <v>150</v>
      </c>
      <c r="C5" s="1" t="s">
        <v>155</v>
      </c>
      <c r="D5" s="1" t="s">
        <v>157</v>
      </c>
      <c r="E5" s="1">
        <v>276202</v>
      </c>
      <c r="F5" s="1" t="s">
        <v>159</v>
      </c>
      <c r="G5" s="1">
        <v>13750</v>
      </c>
      <c r="I5" s="1">
        <f>110+580+243.19+150+250+538.31+25.1+3000</f>
        <v>4896.6000000000004</v>
      </c>
      <c r="J5" s="1">
        <f>Table118192023[[#This Row],[النولون]]+Table118192023[[#This Row],[الايصالات]]+Table118192023[[#This Row],[قيمة مضافة]]</f>
        <v>18646.599999999999</v>
      </c>
      <c r="L5" s="1">
        <f>L4+Table118192023[[#This Row],[اجمالي الفاتوره]]-Table118192023[[#This Row],[الدفعات]]</f>
        <v>69993.56</v>
      </c>
      <c r="N5" s="48"/>
    </row>
    <row r="6" spans="1:14" ht="21.6" customHeight="1" x14ac:dyDescent="0.3">
      <c r="A6" s="76"/>
      <c r="B6" s="73" t="s">
        <v>312</v>
      </c>
      <c r="C6" s="76"/>
      <c r="D6" s="76"/>
      <c r="E6" s="76"/>
      <c r="F6" s="76"/>
      <c r="G6" s="76"/>
      <c r="H6" s="76"/>
      <c r="I6" s="76"/>
      <c r="J6" s="76">
        <f>Table118192023[[#This Row],[النولون]]+Table118192023[[#This Row],[الايصالات]]+Table118192023[[#This Row],[قيمة مضافة]]</f>
        <v>0</v>
      </c>
      <c r="K6" s="76">
        <v>70000</v>
      </c>
      <c r="L6" s="72">
        <f>L5+Table118192023[[#This Row],[اجمالي الفاتوره]]-Table118192023[[#This Row],[الدفعات]]</f>
        <v>-6.4400000000023283</v>
      </c>
      <c r="M6" s="48"/>
      <c r="N6" s="48"/>
    </row>
    <row r="7" spans="1:14" ht="21.6" customHeight="1" x14ac:dyDescent="0.3">
      <c r="A7" s="1">
        <v>1229</v>
      </c>
      <c r="B7" s="2" t="s">
        <v>150</v>
      </c>
      <c r="C7" s="1" t="s">
        <v>156</v>
      </c>
      <c r="D7" s="1" t="s">
        <v>157</v>
      </c>
      <c r="E7" s="1">
        <v>75011</v>
      </c>
      <c r="F7" s="1" t="s">
        <v>121</v>
      </c>
      <c r="G7" s="1">
        <v>18000</v>
      </c>
      <c r="I7" s="1">
        <f>150+210+1100+429.91+105.79+150+1254+25.1+228+114</f>
        <v>3766.7999999999997</v>
      </c>
      <c r="J7" s="1">
        <f>Table118192023[[#This Row],[النولون]]+Table118192023[[#This Row],[الايصالات]]+Table118192023[[#This Row],[قيمة مضافة]]</f>
        <v>21766.799999999999</v>
      </c>
      <c r="L7" s="1">
        <f>L6+Table118192023[[#This Row],[اجمالي الفاتوره]]-Table118192023[[#This Row],[الدفعات]]</f>
        <v>21760.359999999997</v>
      </c>
      <c r="N7" s="48"/>
    </row>
    <row r="8" spans="1:14" ht="21.6" customHeight="1" x14ac:dyDescent="0.3">
      <c r="A8" s="1">
        <v>4</v>
      </c>
      <c r="B8" s="2" t="s">
        <v>222</v>
      </c>
      <c r="C8" s="1" t="s">
        <v>155</v>
      </c>
      <c r="D8" s="1" t="s">
        <v>157</v>
      </c>
      <c r="E8" s="1">
        <v>276692</v>
      </c>
      <c r="F8" s="1" t="s">
        <v>159</v>
      </c>
      <c r="G8" s="1">
        <v>13750</v>
      </c>
      <c r="I8" s="1">
        <f>3000+2*50+110+580+56.61+240.36+150+541.04+400</f>
        <v>5178.01</v>
      </c>
      <c r="J8" s="1">
        <f>Table118192023[[#This Row],[النولون]]+Table118192023[[#This Row],[الايصالات]]+Table118192023[[#This Row],[قيمة مضافة]]</f>
        <v>18928.010000000002</v>
      </c>
      <c r="L8" s="1">
        <f>L7+Table118192023[[#This Row],[اجمالي الفاتوره]]-Table118192023[[#This Row],[الدفعات]]</f>
        <v>40688.369999999995</v>
      </c>
      <c r="N8" s="48"/>
    </row>
    <row r="9" spans="1:14" ht="21.6" customHeight="1" x14ac:dyDescent="0.3">
      <c r="A9" s="41">
        <v>5</v>
      </c>
      <c r="B9" s="2" t="s">
        <v>222</v>
      </c>
      <c r="C9" s="1" t="s">
        <v>155</v>
      </c>
      <c r="D9" s="1" t="s">
        <v>157</v>
      </c>
      <c r="E9" s="41">
        <v>276639</v>
      </c>
      <c r="F9" s="1" t="s">
        <v>121</v>
      </c>
      <c r="G9" s="41">
        <v>17700</v>
      </c>
      <c r="H9" s="41"/>
      <c r="I9" s="41">
        <f>2000+50*3+210+1100+429.91+105.79+150+1082.09+600+50.2</f>
        <v>5877.99</v>
      </c>
      <c r="J9" s="1">
        <f>Table118192023[[#This Row],[النولون]]+Table118192023[[#This Row],[الايصالات]]+Table118192023[[#This Row],[قيمة مضافة]]</f>
        <v>23577.989999999998</v>
      </c>
      <c r="K9" s="41"/>
      <c r="L9" s="1">
        <f>L8+Table118192023[[#This Row],[اجمالي الفاتوره]]-Table118192023[[#This Row],[الدفعات]]</f>
        <v>64266.359999999993</v>
      </c>
      <c r="M9" s="41"/>
      <c r="N9" s="48"/>
    </row>
    <row r="10" spans="1:14" ht="21.6" customHeight="1" x14ac:dyDescent="0.3">
      <c r="A10" s="1">
        <v>6</v>
      </c>
      <c r="B10" s="2" t="s">
        <v>222</v>
      </c>
      <c r="C10" s="1" t="s">
        <v>155</v>
      </c>
      <c r="D10" s="1" t="s">
        <v>157</v>
      </c>
      <c r="E10" s="1">
        <v>0</v>
      </c>
      <c r="F10" s="1" t="s">
        <v>226</v>
      </c>
      <c r="G10" s="1">
        <v>0</v>
      </c>
      <c r="I10" s="1">
        <f>250*2+103.74+89.92+200*2</f>
        <v>1093.6599999999999</v>
      </c>
      <c r="J10" s="1">
        <f>Table118192023[[#This Row],[النولون]]+Table118192023[[#This Row],[الايصالات]]+Table118192023[[#This Row],[قيمة مضافة]]</f>
        <v>1093.6599999999999</v>
      </c>
      <c r="L10" s="1">
        <f>L9+Table118192023[[#This Row],[اجمالي الفاتوره]]-Table118192023[[#This Row],[الدفعات]]</f>
        <v>65360.01999999999</v>
      </c>
      <c r="N10" s="48"/>
    </row>
    <row r="11" spans="1:14" ht="21.6" customHeight="1" x14ac:dyDescent="0.3">
      <c r="A11" s="1">
        <v>7</v>
      </c>
      <c r="B11" s="2" t="s">
        <v>237</v>
      </c>
      <c r="C11" s="1" t="s">
        <v>155</v>
      </c>
      <c r="D11" s="1" t="s">
        <v>157</v>
      </c>
      <c r="E11" s="1">
        <v>277201</v>
      </c>
      <c r="F11" s="1" t="s">
        <v>121</v>
      </c>
      <c r="G11" s="1">
        <v>17700</v>
      </c>
      <c r="I11" s="1">
        <f>3500+210+850+1100+435.57+45.15+45.15+150+150+1074.79+25.1+600+6*50</f>
        <v>8485.7599999999984</v>
      </c>
      <c r="J11" s="1">
        <f>Table118192023[[#This Row],[النولون]]+Table118192023[[#This Row],[الايصالات]]+Table118192023[[#This Row],[قيمة مضافة]]</f>
        <v>26185.759999999998</v>
      </c>
      <c r="L11" s="1">
        <f>L10+Table118192023[[#This Row],[اجمالي الفاتوره]]-Table118192023[[#This Row],[الدفعات]]</f>
        <v>91545.779999999984</v>
      </c>
      <c r="N11" s="48"/>
    </row>
    <row r="12" spans="1:14" ht="21.6" customHeight="1" x14ac:dyDescent="0.3">
      <c r="A12" s="1">
        <v>8</v>
      </c>
      <c r="B12" s="2" t="s">
        <v>237</v>
      </c>
      <c r="C12" s="1" t="s">
        <v>249</v>
      </c>
      <c r="D12" s="1" t="s">
        <v>178</v>
      </c>
      <c r="E12" s="1">
        <v>265400417</v>
      </c>
      <c r="F12" s="1" t="s">
        <v>121</v>
      </c>
      <c r="G12" s="1">
        <v>21800</v>
      </c>
      <c r="I12" s="1">
        <f>100+1150+429.91+350+2196.78+500</f>
        <v>4726.6900000000005</v>
      </c>
      <c r="J12" s="1">
        <f>Table118192023[[#This Row],[النولون]]+Table118192023[[#This Row],[الايصالات]]+Table118192023[[#This Row],[قيمة مضافة]]</f>
        <v>26526.690000000002</v>
      </c>
      <c r="L12" s="1">
        <f>L11+Table118192023[[#This Row],[اجمالي الفاتوره]]-Table118192023[[#This Row],[الدفعات]]</f>
        <v>118072.46999999999</v>
      </c>
      <c r="N12" s="48"/>
    </row>
    <row r="13" spans="1:14" ht="21.6" customHeight="1" x14ac:dyDescent="0.3">
      <c r="A13" s="1">
        <v>9</v>
      </c>
      <c r="B13" s="2" t="s">
        <v>275</v>
      </c>
      <c r="C13" s="1" t="s">
        <v>249</v>
      </c>
      <c r="D13" s="1" t="s">
        <v>178</v>
      </c>
      <c r="E13" s="1">
        <v>265400499</v>
      </c>
      <c r="F13" s="1" t="s">
        <v>121</v>
      </c>
      <c r="G13" s="1">
        <v>21800</v>
      </c>
      <c r="I13" s="1">
        <f>100+4*25+1150+432.74+810+2595.78+500</f>
        <v>5688.52</v>
      </c>
      <c r="J13" s="1">
        <f>Table118192023[[#This Row],[النولون]]+Table118192023[[#This Row],[الايصالات]]+Table118192023[[#This Row],[قيمة مضافة]]</f>
        <v>27488.52</v>
      </c>
      <c r="L13" s="1">
        <f>L12+Table118192023[[#This Row],[اجمالي الفاتوره]]-Table118192023[[#This Row],[الدفعات]]</f>
        <v>145560.99</v>
      </c>
      <c r="N13" s="48"/>
    </row>
    <row r="14" spans="1:14" ht="21.6" customHeight="1" x14ac:dyDescent="0.3">
      <c r="B14" s="2" t="s">
        <v>275</v>
      </c>
      <c r="C14" s="1" t="s">
        <v>155</v>
      </c>
      <c r="D14" s="1" t="s">
        <v>283</v>
      </c>
      <c r="I14" s="1">
        <v>200</v>
      </c>
      <c r="J14" s="1">
        <f>Table118192023[[#This Row],[النولون]]+Table118192023[[#This Row],[الايصالات]]+Table118192023[[#This Row],[قيمة مضافة]]</f>
        <v>200</v>
      </c>
      <c r="L14" s="1">
        <f>L13+Table118192023[[#This Row],[اجمالي الفاتوره]]-Table118192023[[#This Row],[الدفعات]]</f>
        <v>145760.99</v>
      </c>
      <c r="N14" s="48"/>
    </row>
    <row r="15" spans="1:14" ht="21.6" customHeight="1" x14ac:dyDescent="0.3">
      <c r="A15" s="1">
        <v>10</v>
      </c>
      <c r="B15" s="2" t="s">
        <v>299</v>
      </c>
      <c r="C15" s="1" t="s">
        <v>249</v>
      </c>
      <c r="D15" s="1" t="s">
        <v>178</v>
      </c>
      <c r="E15" s="1">
        <v>260084331</v>
      </c>
      <c r="F15" s="1" t="s">
        <v>92</v>
      </c>
      <c r="G15" s="1">
        <f>21800*2</f>
        <v>43600</v>
      </c>
      <c r="I15" s="1">
        <f>100*2+25*4+1150*2+409.17+463.48+850+350+2816.4+2736+399+200+719</f>
        <v>11543.05</v>
      </c>
      <c r="J15" s="1">
        <f>Table118192023[[#This Row],[النولون]]+Table118192023[[#This Row],[الايصالات]]+Table118192023[[#This Row],[قيمة مضافة]]</f>
        <v>55143.05</v>
      </c>
      <c r="L15" s="1">
        <f>L14+Table118192023[[#This Row],[اجمالي الفاتوره]]-Table118192023[[#This Row],[الدفعات]]</f>
        <v>200904.03999999998</v>
      </c>
      <c r="N15" s="48"/>
    </row>
    <row r="16" spans="1:14" ht="21.6" customHeight="1" x14ac:dyDescent="0.3">
      <c r="A16" s="1">
        <v>11</v>
      </c>
      <c r="B16" s="2" t="s">
        <v>299</v>
      </c>
      <c r="C16" s="1" t="s">
        <v>155</v>
      </c>
      <c r="D16" s="1" t="s">
        <v>157</v>
      </c>
      <c r="E16" s="1">
        <v>278411</v>
      </c>
      <c r="F16" s="1" t="s">
        <v>159</v>
      </c>
      <c r="G16" s="1">
        <v>13750</v>
      </c>
      <c r="I16" s="1">
        <f>3000+850+45.15+75.47+4000+400+535.34+50.2</f>
        <v>8956.16</v>
      </c>
      <c r="J16" s="1">
        <f>Table118192023[[#This Row],[النولون]]+Table118192023[[#This Row],[الايصالات]]+Table118192023[[#This Row],[قيمة مضافة]]</f>
        <v>22706.16</v>
      </c>
      <c r="L16" s="1">
        <f>L15+Table118192023[[#This Row],[اجمالي الفاتوره]]-Table118192023[[#This Row],[الدفعات]]</f>
        <v>223610.19999999998</v>
      </c>
      <c r="N16" s="48"/>
    </row>
    <row r="17" spans="1:14" ht="21.6" customHeight="1" x14ac:dyDescent="0.3">
      <c r="A17" s="1">
        <v>12</v>
      </c>
      <c r="B17" s="2" t="s">
        <v>299</v>
      </c>
      <c r="C17" s="1" t="s">
        <v>155</v>
      </c>
      <c r="D17" s="1" t="s">
        <v>157</v>
      </c>
      <c r="E17" s="1">
        <v>278230</v>
      </c>
      <c r="F17" s="1" t="s">
        <v>121</v>
      </c>
      <c r="G17" s="1">
        <v>17700</v>
      </c>
      <c r="I17" s="1">
        <f>850+50*2+45.15+45.15+5500+600+1070.69+3500</f>
        <v>11710.99</v>
      </c>
      <c r="J17" s="1">
        <f>Table118192023[[#This Row],[النولون]]+Table118192023[[#This Row],[الايصالات]]+Table118192023[[#This Row],[قيمة مضافة]]</f>
        <v>29410.989999999998</v>
      </c>
      <c r="L17" s="1">
        <f>L16+Table118192023[[#This Row],[اجمالي الفاتوره]]-Table118192023[[#This Row],[الدفعات]]</f>
        <v>253021.18999999997</v>
      </c>
      <c r="N17" s="48"/>
    </row>
    <row r="18" spans="1:14" ht="21.6" customHeight="1" x14ac:dyDescent="0.3">
      <c r="A18" s="1">
        <v>13</v>
      </c>
      <c r="B18" s="2" t="s">
        <v>315</v>
      </c>
      <c r="C18" s="1" t="s">
        <v>155</v>
      </c>
      <c r="D18" s="1" t="s">
        <v>157</v>
      </c>
      <c r="E18" s="1">
        <v>278808</v>
      </c>
      <c r="F18" s="1" t="s">
        <v>121</v>
      </c>
      <c r="G18" s="1">
        <v>17700</v>
      </c>
      <c r="I18" s="1">
        <f>850+210+1100+447.74+45.15+50*2+200+1067.95+600+25.1+2000</f>
        <v>6645.9400000000005</v>
      </c>
      <c r="J18" s="1">
        <f>Table118192023[[#This Row],[النولون]]+Table118192023[[#This Row],[الايصالات]]+Table118192023[[#This Row],[قيمة مضافة]]</f>
        <v>24345.940000000002</v>
      </c>
      <c r="L18" s="1">
        <f>L17+Table118192023[[#This Row],[اجمالي الفاتوره]]-Table118192023[[#This Row],[الدفعات]]</f>
        <v>277367.13</v>
      </c>
      <c r="M18" s="1">
        <f>SUM(J:J)-SUM(K:K)</f>
        <v>-1.1200000001117587</v>
      </c>
      <c r="N18" s="48">
        <f>SUM(H:H)</f>
        <v>0</v>
      </c>
    </row>
    <row r="19" spans="1:14" ht="21.6" customHeight="1" x14ac:dyDescent="0.3">
      <c r="A19" s="1">
        <v>14</v>
      </c>
      <c r="B19" s="2" t="s">
        <v>342</v>
      </c>
      <c r="C19" s="1" t="s">
        <v>249</v>
      </c>
      <c r="D19" s="1" t="s">
        <v>178</v>
      </c>
      <c r="E19" s="1">
        <v>886638</v>
      </c>
      <c r="F19" s="1" t="s">
        <v>121</v>
      </c>
      <c r="G19" s="1">
        <v>21800</v>
      </c>
      <c r="I19" s="1">
        <f>100+1100+469.5+810+1026+200+285</f>
        <v>3990.5</v>
      </c>
      <c r="J19" s="1">
        <f>Table118192023[[#This Row],[النولون]]+Table118192023[[#This Row],[الايصالات]]+Table118192023[[#This Row],[قيمة مضافة]]</f>
        <v>25790.5</v>
      </c>
      <c r="L19" s="1">
        <f>L18+Table118192023[[#This Row],[اجمالي الفاتوره]]-Table118192023[[#This Row],[الدفعات]]</f>
        <v>303157.63</v>
      </c>
      <c r="N19" s="48"/>
    </row>
    <row r="20" spans="1:14" ht="21.6" customHeight="1" x14ac:dyDescent="0.3">
      <c r="A20" s="1">
        <v>15</v>
      </c>
      <c r="B20" s="2" t="s">
        <v>342</v>
      </c>
      <c r="C20" s="1" t="s">
        <v>249</v>
      </c>
      <c r="D20" s="1" t="s">
        <v>178</v>
      </c>
      <c r="E20" s="1">
        <v>260092760</v>
      </c>
      <c r="F20" s="1" t="s">
        <v>121</v>
      </c>
      <c r="G20" s="1">
        <v>21800</v>
      </c>
      <c r="I20" s="1">
        <f>100+1100+452.78+810+1368+1439.1+100+360</f>
        <v>5729.8799999999992</v>
      </c>
      <c r="J20" s="1">
        <f>Table118192023[[#This Row],[النولون]]+Table118192023[[#This Row],[الايصالات]]+Table118192023[[#This Row],[قيمة مضافة]]</f>
        <v>27529.879999999997</v>
      </c>
      <c r="L20" s="1">
        <f>L19+Table118192023[[#This Row],[اجمالي الفاتوره]]-Table118192023[[#This Row],[الدفعات]]</f>
        <v>330687.51</v>
      </c>
      <c r="N20" s="48"/>
    </row>
    <row r="21" spans="1:14" ht="21.6" customHeight="1" x14ac:dyDescent="0.3">
      <c r="B21" s="2" t="s">
        <v>342</v>
      </c>
      <c r="C21" s="1" t="s">
        <v>155</v>
      </c>
      <c r="D21" s="1" t="s">
        <v>283</v>
      </c>
      <c r="I21" s="1">
        <v>500</v>
      </c>
      <c r="J21" s="1">
        <f>Table118192023[[#This Row],[النولون]]+Table118192023[[#This Row],[الايصالات]]+Table118192023[[#This Row],[قيمة مضافة]]</f>
        <v>500</v>
      </c>
      <c r="L21" s="1">
        <f>L20+Table118192023[[#This Row],[اجمالي الفاتوره]]-Table118192023[[#This Row],[الدفعات]]</f>
        <v>331187.51</v>
      </c>
      <c r="N21" s="48"/>
    </row>
    <row r="22" spans="1:14" ht="21.6" customHeight="1" x14ac:dyDescent="0.3">
      <c r="A22" s="72"/>
      <c r="B22" s="73" t="s">
        <v>389</v>
      </c>
      <c r="C22" s="72"/>
      <c r="D22" s="72"/>
      <c r="E22" s="72"/>
      <c r="F22" s="72"/>
      <c r="G22" s="72"/>
      <c r="H22" s="72"/>
      <c r="I22" s="72"/>
      <c r="J22" s="72">
        <f>Table118192023[[#This Row],[النولون]]+Table118192023[[#This Row],[الايصالات]]+Table118192023[[#This Row],[قيمة مضافة]]</f>
        <v>0</v>
      </c>
      <c r="K22" s="72">
        <v>100000</v>
      </c>
      <c r="L22" s="72">
        <f>L21+Table118192023[[#This Row],[اجمالي الفاتوره]]-Table118192023[[#This Row],[الدفعات]]</f>
        <v>231187.51</v>
      </c>
      <c r="N22" s="48"/>
    </row>
    <row r="23" spans="1:14" ht="21.6" customHeight="1" x14ac:dyDescent="0.3">
      <c r="A23" s="72"/>
      <c r="B23" s="73" t="s">
        <v>390</v>
      </c>
      <c r="C23" s="72"/>
      <c r="D23" s="72"/>
      <c r="E23" s="72"/>
      <c r="F23" s="72"/>
      <c r="G23" s="72"/>
      <c r="H23" s="72"/>
      <c r="I23" s="72"/>
      <c r="J23" s="72">
        <f>Table118192023[[#This Row],[النولون]]+Table118192023[[#This Row],[الايصالات]]+Table118192023[[#This Row],[قيمة مضافة]]</f>
        <v>0</v>
      </c>
      <c r="K23" s="72">
        <v>75000</v>
      </c>
      <c r="L23" s="72">
        <f>L22+Table118192023[[#This Row],[اجمالي الفاتوره]]-Table118192023[[#This Row],[الدفعات]]</f>
        <v>156187.51</v>
      </c>
      <c r="N23" s="48"/>
    </row>
    <row r="24" spans="1:14" ht="21.6" customHeight="1" x14ac:dyDescent="0.3">
      <c r="A24" s="76"/>
      <c r="B24" s="73" t="s">
        <v>442</v>
      </c>
      <c r="C24" s="76"/>
      <c r="D24" s="76"/>
      <c r="E24" s="76"/>
      <c r="F24" s="76"/>
      <c r="G24" s="76"/>
      <c r="H24" s="76"/>
      <c r="I24" s="76"/>
      <c r="J24" s="76"/>
      <c r="K24" s="76">
        <v>20000</v>
      </c>
      <c r="L24" s="72">
        <f>L23+Table118192023[[#This Row],[اجمالي الفاتوره]]-Table118192023[[#This Row],[الدفعات]]</f>
        <v>136187.51</v>
      </c>
      <c r="M24" s="48"/>
      <c r="N24" s="48"/>
    </row>
    <row r="25" spans="1:14" ht="21.6" customHeight="1" x14ac:dyDescent="0.3">
      <c r="A25" s="76"/>
      <c r="B25" s="73" t="s">
        <v>456</v>
      </c>
      <c r="C25" s="76"/>
      <c r="D25" s="76"/>
      <c r="E25" s="76"/>
      <c r="F25" s="76"/>
      <c r="G25" s="76"/>
      <c r="H25" s="76"/>
      <c r="I25" s="76"/>
      <c r="J25" s="76"/>
      <c r="K25" s="76">
        <v>70000</v>
      </c>
      <c r="L25" s="72">
        <f>L24+Table118192023[[#This Row],[اجمالي الفاتوره]]-Table118192023[[#This Row],[الدفعات]]</f>
        <v>66187.510000000009</v>
      </c>
      <c r="M25" s="48"/>
      <c r="N25" s="48"/>
    </row>
    <row r="26" spans="1:14" ht="21.6" customHeight="1" x14ac:dyDescent="0.3">
      <c r="A26" s="1">
        <v>16</v>
      </c>
      <c r="B26" s="2" t="s">
        <v>398</v>
      </c>
      <c r="C26" s="1" t="s">
        <v>155</v>
      </c>
      <c r="D26" s="1" t="s">
        <v>157</v>
      </c>
      <c r="E26" s="1">
        <v>280666</v>
      </c>
      <c r="F26" s="1" t="s">
        <v>121</v>
      </c>
      <c r="G26" s="1">
        <v>20000</v>
      </c>
      <c r="I26" s="1">
        <f>50*2+350+428.31+105.79+200*2+1195.18+600</f>
        <v>3179.2799999999997</v>
      </c>
      <c r="J26" s="1">
        <f>Table118192023[[#This Row],[النولون]]+Table118192023[[#This Row],[الايصالات]]+Table118192023[[#This Row],[قيمة مضافة]]</f>
        <v>23179.279999999999</v>
      </c>
      <c r="L26" s="1">
        <f>L25+Table118192023[[#This Row],[اجمالي الفاتوره]]-Table118192023[[#This Row],[الدفعات]]</f>
        <v>89366.790000000008</v>
      </c>
      <c r="N26" s="48"/>
    </row>
    <row r="27" spans="1:14" ht="21.6" customHeight="1" x14ac:dyDescent="0.3">
      <c r="A27" s="1">
        <v>17</v>
      </c>
      <c r="B27" s="2" t="s">
        <v>407</v>
      </c>
      <c r="C27" s="1" t="s">
        <v>249</v>
      </c>
      <c r="D27" s="1" t="s">
        <v>178</v>
      </c>
      <c r="E27" s="1">
        <v>898101</v>
      </c>
      <c r="F27" s="1" t="s">
        <v>121</v>
      </c>
      <c r="G27" s="1">
        <v>24000</v>
      </c>
      <c r="I27" s="1">
        <f>25*4+850+1150+429.91+350+1544.7+285+200</f>
        <v>4909.6099999999997</v>
      </c>
      <c r="J27" s="1">
        <f>Table118192023[[#This Row],[النولون]]+Table118192023[[#This Row],[الايصالات]]+Table118192023[[#This Row],[قيمة مضافة]]</f>
        <v>28909.61</v>
      </c>
      <c r="L27" s="1">
        <f>L26+Table118192023[[#This Row],[اجمالي الفاتوره]]-Table118192023[[#This Row],[الدفعات]]</f>
        <v>118276.40000000001</v>
      </c>
      <c r="N27" s="48"/>
    </row>
    <row r="28" spans="1:14" ht="21.6" customHeight="1" x14ac:dyDescent="0.3">
      <c r="A28" s="72"/>
      <c r="B28" s="73">
        <v>46134</v>
      </c>
      <c r="C28" s="72"/>
      <c r="D28" s="72"/>
      <c r="E28" s="72"/>
      <c r="F28" s="72"/>
      <c r="G28" s="72"/>
      <c r="H28" s="72"/>
      <c r="I28" s="72"/>
      <c r="J28" s="72">
        <f>Table118192023[[#This Row],[النولون]]+Table118192023[[#This Row],[الايصالات]]+Table118192023[[#This Row],[قيمة مضافة]]</f>
        <v>0</v>
      </c>
      <c r="K28" s="72">
        <v>50000</v>
      </c>
      <c r="L28" s="72">
        <f>L27+Table118192023[[#This Row],[اجمالي الفاتوره]]-Table118192023[[#This Row],[الدفعات]]</f>
        <v>68276.400000000009</v>
      </c>
      <c r="N28" s="48"/>
    </row>
    <row r="29" spans="1:14" ht="21.6" customHeight="1" x14ac:dyDescent="0.3">
      <c r="A29" s="1">
        <v>18</v>
      </c>
      <c r="B29" s="2">
        <v>46140</v>
      </c>
      <c r="C29" s="1" t="s">
        <v>249</v>
      </c>
      <c r="D29" s="1" t="s">
        <v>178</v>
      </c>
      <c r="E29" s="1">
        <v>909225</v>
      </c>
      <c r="F29" s="1" t="s">
        <v>121</v>
      </c>
      <c r="G29" s="1">
        <v>22500</v>
      </c>
      <c r="I29" s="1">
        <f>100+810+1150+429.91+1140+200+285+2500</f>
        <v>6614.91</v>
      </c>
      <c r="J29" s="1">
        <f>Table118192023[[#This Row],[النولون]]+Table118192023[[#This Row],[الايصالات]]+Table118192023[[#This Row],[قيمة مضافة]]</f>
        <v>29114.91</v>
      </c>
      <c r="L29" s="1">
        <f>L28+Table118192023[[#This Row],[اجمالي الفاتوره]]-Table118192023[[#This Row],[الدفعات]]</f>
        <v>97391.310000000012</v>
      </c>
      <c r="N29" s="48"/>
    </row>
    <row r="30" spans="1:14" ht="21.6" customHeight="1" x14ac:dyDescent="0.3">
      <c r="A30" s="72"/>
      <c r="B30" s="73">
        <v>46163</v>
      </c>
      <c r="C30" s="72"/>
      <c r="D30" s="72"/>
      <c r="E30" s="72"/>
      <c r="F30" s="72"/>
      <c r="G30" s="72"/>
      <c r="H30" s="72"/>
      <c r="I30" s="72"/>
      <c r="J30" s="72">
        <f>Table118192023[[#This Row],[النولون]]+Table118192023[[#This Row],[الايصالات]]+Table118192023[[#This Row],[قيمة مضافة]]</f>
        <v>0</v>
      </c>
      <c r="K30" s="72">
        <v>80000</v>
      </c>
      <c r="L30" s="72">
        <f>L29+Table118192023[[#This Row],[اجمالي الفاتوره]]-Table118192023[[#This Row],[الدفعات]]</f>
        <v>17391.310000000012</v>
      </c>
      <c r="N30" s="48"/>
    </row>
    <row r="31" spans="1:14" ht="21.6" customHeight="1" x14ac:dyDescent="0.3">
      <c r="A31" s="1">
        <v>19</v>
      </c>
      <c r="B31" s="2">
        <v>46172</v>
      </c>
      <c r="C31" s="1" t="s">
        <v>249</v>
      </c>
      <c r="D31" s="1" t="s">
        <v>178</v>
      </c>
      <c r="E31" s="1">
        <v>922887</v>
      </c>
      <c r="F31" s="1" t="s">
        <v>121</v>
      </c>
      <c r="G31" s="1">
        <v>25000</v>
      </c>
      <c r="I31" s="1">
        <f>800+850+1135+435.57+350+228+1140+200+285+100</f>
        <v>5523.57</v>
      </c>
      <c r="J31" s="1">
        <f>Table118192023[[#This Row],[النولون]]+Table118192023[[#This Row],[الايصالات]]+Table118192023[[#This Row],[قيمة مضافة]]</f>
        <v>30523.57</v>
      </c>
      <c r="L31" s="1">
        <f>L30+Table118192023[[#This Row],[اجمالي الفاتوره]]-Table118192023[[#This Row],[الدفعات]]</f>
        <v>47914.880000000012</v>
      </c>
      <c r="N31" s="48"/>
    </row>
    <row r="32" spans="1:14" ht="21.6" customHeight="1" x14ac:dyDescent="0.3">
      <c r="A32" s="72"/>
      <c r="B32" s="97">
        <v>46195</v>
      </c>
      <c r="C32" s="72"/>
      <c r="D32" s="72"/>
      <c r="E32" s="72"/>
      <c r="F32" s="72"/>
      <c r="G32" s="72"/>
      <c r="H32" s="72"/>
      <c r="I32" s="72"/>
      <c r="J32" s="72">
        <f>Table118192023[[#This Row],[النولون]]+Table118192023[[#This Row],[الايصالات]]+Table118192023[[#This Row],[قيمة مضافة]]</f>
        <v>0</v>
      </c>
      <c r="K32" s="72">
        <v>47916</v>
      </c>
      <c r="L32" s="72">
        <f>L31+Table118192023[[#This Row],[اجمالي الفاتوره]]-Table118192023[[#This Row],[الدفعات]]</f>
        <v>-1.1199999999880674</v>
      </c>
      <c r="N32" s="48"/>
    </row>
    <row r="33" spans="2:14" ht="21.6" customHeight="1" x14ac:dyDescent="0.3">
      <c r="B33" s="2"/>
      <c r="J33" s="1">
        <f>Table118192023[[#This Row],[النولون]]+Table118192023[[#This Row],[الايصالات]]+Table118192023[[#This Row],[قيمة مضافة]]</f>
        <v>0</v>
      </c>
      <c r="L33" s="1">
        <f>L32+Table118192023[[#This Row],[اجمالي الفاتوره]]-Table118192023[[#This Row],[الدفعات]]</f>
        <v>-1.1199999999880674</v>
      </c>
      <c r="N33" s="48"/>
    </row>
    <row r="34" spans="2:14" ht="21.6" customHeight="1" x14ac:dyDescent="0.3">
      <c r="J34" s="1">
        <f>Table118192023[[#This Row],[النولون]]+Table118192023[[#This Row],[الايصالات]]+Table118192023[[#This Row],[قيمة مضافة]]</f>
        <v>0</v>
      </c>
      <c r="L34" s="1">
        <f>L33+Table118192023[[#This Row],[اجمالي الفاتوره]]-Table118192023[[#This Row],[الدفعات]]</f>
        <v>-1.1199999999880674</v>
      </c>
      <c r="N34" s="48"/>
    </row>
    <row r="35" spans="2:14" ht="21.6" customHeight="1" x14ac:dyDescent="0.3">
      <c r="J35" s="1">
        <f>Table118192023[[#This Row],[النولون]]+Table118192023[[#This Row],[الايصالات]]+Table118192023[[#This Row],[قيمة مضافة]]</f>
        <v>0</v>
      </c>
      <c r="L35" s="1">
        <f>L34+Table118192023[[#This Row],[اجمالي الفاتوره]]-Table118192023[[#This Row],[الدفعات]]</f>
        <v>-1.1199999999880674</v>
      </c>
      <c r="N35" s="48"/>
    </row>
    <row r="36" spans="2:14" ht="21.6" customHeight="1" x14ac:dyDescent="0.3">
      <c r="J36" s="1">
        <f>Table118192023[[#This Row],[النولون]]+Table118192023[[#This Row],[الايصالات]]+Table118192023[[#This Row],[قيمة مضافة]]</f>
        <v>0</v>
      </c>
      <c r="L36" s="1">
        <f>L35+Table118192023[[#This Row],[اجمالي الفاتوره]]-Table118192023[[#This Row],[الدفعات]]</f>
        <v>-1.1199999999880674</v>
      </c>
      <c r="N36" s="48"/>
    </row>
    <row r="37" spans="2:14" ht="21.6" customHeight="1" x14ac:dyDescent="0.3">
      <c r="B37" s="2"/>
      <c r="C37" s="2"/>
      <c r="J37" s="1">
        <f>Table118192023[[#This Row],[النولون]]+Table118192023[[#This Row],[الايصالات]]+Table118192023[[#This Row],[قيمة مضافة]]</f>
        <v>0</v>
      </c>
      <c r="L37" s="1">
        <f>L36+Table118192023[[#This Row],[اجمالي الفاتوره]]-Table118192023[[#This Row],[الدفعات]]</f>
        <v>-1.1199999999880674</v>
      </c>
      <c r="N37" s="48"/>
    </row>
    <row r="38" spans="2:14" ht="21.6" customHeight="1" x14ac:dyDescent="0.3">
      <c r="J38" s="1">
        <f>Table118192023[[#This Row],[النولون]]+Table118192023[[#This Row],[الايصالات]]+Table118192023[[#This Row],[قيمة مضافة]]</f>
        <v>0</v>
      </c>
      <c r="L38" s="1">
        <f>L37+Table118192023[[#This Row],[اجمالي الفاتوره]]-Table118192023[[#This Row],[الدفعات]]</f>
        <v>-1.1199999999880674</v>
      </c>
      <c r="N38" s="48"/>
    </row>
    <row r="39" spans="2:14" ht="21.6" customHeight="1" x14ac:dyDescent="0.3">
      <c r="J39" s="1">
        <f>Table118192023[[#This Row],[النولون]]+Table118192023[[#This Row],[الايصالات]]+Table118192023[[#This Row],[قيمة مضافة]]</f>
        <v>0</v>
      </c>
      <c r="L39" s="1">
        <f>L38+Table118192023[[#This Row],[اجمالي الفاتوره]]-Table118192023[[#This Row],[الدفعات]]</f>
        <v>-1.1199999999880674</v>
      </c>
      <c r="N39" s="48"/>
    </row>
    <row r="40" spans="2:14" ht="21.6" customHeight="1" x14ac:dyDescent="0.3">
      <c r="J40" s="1">
        <f>Table118192023[[#This Row],[النولون]]+Table118192023[[#This Row],[الايصالات]]+Table118192023[[#This Row],[قيمة مضافة]]</f>
        <v>0</v>
      </c>
      <c r="L40" s="1">
        <f>L39+Table118192023[[#This Row],[اجمالي الفاتوره]]-Table118192023[[#This Row],[الدفعات]]</f>
        <v>-1.1199999999880674</v>
      </c>
      <c r="N40" s="48"/>
    </row>
    <row r="41" spans="2:14" ht="21.6" customHeight="1" x14ac:dyDescent="0.3">
      <c r="J41" s="1">
        <f>Table118192023[[#This Row],[النولون]]+Table118192023[[#This Row],[الايصالات]]+Table118192023[[#This Row],[قيمة مضافة]]</f>
        <v>0</v>
      </c>
      <c r="L41" s="1">
        <f>L40+Table118192023[[#This Row],[اجمالي الفاتوره]]-Table118192023[[#This Row],[الدفعات]]</f>
        <v>-1.1199999999880674</v>
      </c>
      <c r="N41" s="48"/>
    </row>
    <row r="42" spans="2:14" ht="21.6" customHeight="1" x14ac:dyDescent="0.3">
      <c r="J42" s="1">
        <f>Table118192023[[#This Row],[النولون]]+Table118192023[[#This Row],[الايصالات]]+Table118192023[[#This Row],[قيمة مضافة]]</f>
        <v>0</v>
      </c>
      <c r="L42" s="1">
        <f>L41+Table118192023[[#This Row],[اجمالي الفاتوره]]-Table118192023[[#This Row],[الدفعات]]</f>
        <v>-1.1199999999880674</v>
      </c>
      <c r="N42" s="48"/>
    </row>
    <row r="43" spans="2:14" ht="21.6" customHeight="1" x14ac:dyDescent="0.3">
      <c r="J43" s="1">
        <f>Table118192023[[#This Row],[النولون]]+Table118192023[[#This Row],[الايصالات]]+Table118192023[[#This Row],[قيمة مضافة]]</f>
        <v>0</v>
      </c>
      <c r="L43" s="1">
        <f>L42+Table118192023[[#This Row],[اجمالي الفاتوره]]-Table118192023[[#This Row],[الدفعات]]</f>
        <v>-1.1199999999880674</v>
      </c>
      <c r="N43" s="48"/>
    </row>
    <row r="44" spans="2:14" ht="21.6" customHeight="1" x14ac:dyDescent="0.3">
      <c r="J44" s="1">
        <f>Table118192023[[#This Row],[النولون]]+Table118192023[[#This Row],[الايصالات]]+Table118192023[[#This Row],[قيمة مضافة]]</f>
        <v>0</v>
      </c>
      <c r="L44" s="1">
        <f>L43+Table118192023[[#This Row],[اجمالي الفاتوره]]-Table118192023[[#This Row],[الدفعات]]</f>
        <v>-1.1199999999880674</v>
      </c>
      <c r="N44" s="48"/>
    </row>
    <row r="45" spans="2:14" ht="21.6" customHeight="1" x14ac:dyDescent="0.3">
      <c r="J45" s="1">
        <f>Table118192023[[#This Row],[النولون]]+Table118192023[[#This Row],[الايصالات]]+Table118192023[[#This Row],[قيمة مضافة]]</f>
        <v>0</v>
      </c>
      <c r="L45" s="1">
        <f>L44+Table118192023[[#This Row],[اجمالي الفاتوره]]-Table118192023[[#This Row],[الدفعات]]</f>
        <v>-1.1199999999880674</v>
      </c>
      <c r="N45" s="48"/>
    </row>
    <row r="46" spans="2:14" ht="21.6" customHeight="1" x14ac:dyDescent="0.3">
      <c r="J46" s="1">
        <f>Table118192023[[#This Row],[النولون]]+Table118192023[[#This Row],[الايصالات]]+Table118192023[[#This Row],[قيمة مضافة]]</f>
        <v>0</v>
      </c>
      <c r="L46" s="1">
        <f>L45+Table118192023[[#This Row],[اجمالي الفاتوره]]-Table118192023[[#This Row],[الدفعات]]</f>
        <v>-1.1199999999880674</v>
      </c>
      <c r="N46" s="48"/>
    </row>
    <row r="47" spans="2:14" ht="21.6" customHeight="1" x14ac:dyDescent="0.3">
      <c r="J47" s="1">
        <f>Table118192023[[#This Row],[النولون]]+Table118192023[[#This Row],[الايصالات]]+Table118192023[[#This Row],[قيمة مضافة]]</f>
        <v>0</v>
      </c>
      <c r="L47" s="1">
        <f>L46+Table118192023[[#This Row],[اجمالي الفاتوره]]-Table118192023[[#This Row],[الدفعات]]</f>
        <v>-1.1199999999880674</v>
      </c>
      <c r="N47" s="48"/>
    </row>
    <row r="48" spans="2:14" ht="21.6" customHeight="1" x14ac:dyDescent="0.3">
      <c r="J48" s="1">
        <f>Table118192023[[#This Row],[النولون]]+Table118192023[[#This Row],[الايصالات]]+Table118192023[[#This Row],[قيمة مضافة]]</f>
        <v>0</v>
      </c>
      <c r="L48" s="1">
        <f>L47+Table118192023[[#This Row],[اجمالي الفاتوره]]-Table118192023[[#This Row],[الدفعات]]</f>
        <v>-1.1199999999880674</v>
      </c>
      <c r="N48" s="48"/>
    </row>
    <row r="49" spans="10:14" ht="21.6" customHeight="1" x14ac:dyDescent="0.3">
      <c r="J49" s="1">
        <f>Table118192023[[#This Row],[النولون]]+Table118192023[[#This Row],[الايصالات]]+Table118192023[[#This Row],[قيمة مضافة]]</f>
        <v>0</v>
      </c>
      <c r="L49" s="1">
        <f>L48+Table118192023[[#This Row],[اجمالي الفاتوره]]-Table118192023[[#This Row],[الدفعات]]</f>
        <v>-1.1199999999880674</v>
      </c>
      <c r="N49" s="48"/>
    </row>
    <row r="50" spans="10:14" ht="21.6" customHeight="1" x14ac:dyDescent="0.3">
      <c r="J50" s="1">
        <f>Table118192023[[#This Row],[النولون]]+Table118192023[[#This Row],[الايصالات]]+Table118192023[[#This Row],[قيمة مضافة]]</f>
        <v>0</v>
      </c>
      <c r="L50" s="1">
        <f>L49+Table118192023[[#This Row],[اجمالي الفاتوره]]-Table118192023[[#This Row],[الدفعات]]</f>
        <v>-1.1199999999880674</v>
      </c>
      <c r="N50" s="48"/>
    </row>
    <row r="51" spans="10:14" ht="21.6" customHeight="1" x14ac:dyDescent="0.3">
      <c r="J51" s="1">
        <f>Table118192023[[#This Row],[النولون]]+Table118192023[[#This Row],[الايصالات]]+Table118192023[[#This Row],[قيمة مضافة]]</f>
        <v>0</v>
      </c>
      <c r="L51" s="1">
        <f>L50+Table118192023[[#This Row],[اجمالي الفاتوره]]-Table118192023[[#This Row],[الدفعات]]</f>
        <v>-1.1199999999880674</v>
      </c>
      <c r="N51" s="48"/>
    </row>
    <row r="52" spans="10:14" ht="21.6" customHeight="1" x14ac:dyDescent="0.3">
      <c r="J52" s="1">
        <f>Table118192023[[#This Row],[النولون]]+Table118192023[[#This Row],[الايصالات]]+Table118192023[[#This Row],[قيمة مضافة]]</f>
        <v>0</v>
      </c>
      <c r="L52" s="1">
        <f>L51+Table118192023[[#This Row],[اجمالي الفاتوره]]-Table118192023[[#This Row],[الدفعات]]</f>
        <v>-1.1199999999880674</v>
      </c>
      <c r="N52" s="48"/>
    </row>
    <row r="53" spans="10:14" ht="21.6" customHeight="1" x14ac:dyDescent="0.3">
      <c r="J53" s="1">
        <f>Table118192023[[#This Row],[النولون]]+Table118192023[[#This Row],[الايصالات]]+Table118192023[[#This Row],[قيمة مضافة]]</f>
        <v>0</v>
      </c>
      <c r="L53" s="1">
        <f>L52+Table118192023[[#This Row],[اجمالي الفاتوره]]-Table118192023[[#This Row],[الدفعات]]</f>
        <v>-1.1199999999880674</v>
      </c>
      <c r="N53" s="48"/>
    </row>
    <row r="54" spans="10:14" ht="21.6" customHeight="1" x14ac:dyDescent="0.3">
      <c r="J54" s="1">
        <f>Table118192023[[#This Row],[النولون]]+Table118192023[[#This Row],[الايصالات]]+Table118192023[[#This Row],[قيمة مضافة]]</f>
        <v>0</v>
      </c>
      <c r="L54" s="1">
        <f>L53+Table118192023[[#This Row],[اجمالي الفاتوره]]-Table118192023[[#This Row],[الدفعات]]</f>
        <v>-1.1199999999880674</v>
      </c>
      <c r="N54" s="48"/>
    </row>
    <row r="55" spans="10:14" ht="21.6" customHeight="1" x14ac:dyDescent="0.3">
      <c r="J55" s="1">
        <f>Table118192023[[#This Row],[النولون]]+Table118192023[[#This Row],[الايصالات]]+Table118192023[[#This Row],[قيمة مضافة]]</f>
        <v>0</v>
      </c>
      <c r="L55" s="1">
        <f>L54+Table118192023[[#This Row],[اجمالي الفاتوره]]-Table118192023[[#This Row],[الدفعات]]</f>
        <v>-1.1199999999880674</v>
      </c>
      <c r="N55" s="48"/>
    </row>
    <row r="56" spans="10:14" ht="21.6" customHeight="1" x14ac:dyDescent="0.3">
      <c r="J56" s="1">
        <f>Table118192023[[#This Row],[النولون]]+Table118192023[[#This Row],[الايصالات]]+Table118192023[[#This Row],[قيمة مضافة]]</f>
        <v>0</v>
      </c>
      <c r="L56" s="1">
        <f>L55+Table118192023[[#This Row],[اجمالي الفاتوره]]-Table118192023[[#This Row],[الدفعات]]</f>
        <v>-1.1199999999880674</v>
      </c>
      <c r="N56" s="48"/>
    </row>
    <row r="57" spans="10:14" ht="21.6" customHeight="1" x14ac:dyDescent="0.3">
      <c r="J57" s="1">
        <f>Table118192023[[#This Row],[النولون]]+Table118192023[[#This Row],[الايصالات]]+Table118192023[[#This Row],[قيمة مضافة]]</f>
        <v>0</v>
      </c>
      <c r="L57" s="1">
        <f>L56+Table118192023[[#This Row],[اجمالي الفاتوره]]-Table118192023[[#This Row],[الدفعات]]</f>
        <v>-1.1199999999880674</v>
      </c>
      <c r="N57" s="48"/>
    </row>
    <row r="58" spans="10:14" ht="21.6" customHeight="1" x14ac:dyDescent="0.3">
      <c r="J58" s="1">
        <f>Table118192023[[#This Row],[النولون]]+Table118192023[[#This Row],[الايصالات]]+Table118192023[[#This Row],[قيمة مضافة]]</f>
        <v>0</v>
      </c>
      <c r="L58" s="1">
        <f>L57+Table118192023[[#This Row],[اجمالي الفاتوره]]-Table118192023[[#This Row],[الدفعات]]</f>
        <v>-1.1199999999880674</v>
      </c>
      <c r="N58" s="48"/>
    </row>
    <row r="59" spans="10:14" ht="21.6" customHeight="1" x14ac:dyDescent="0.3">
      <c r="J59" s="1">
        <f>Table118192023[[#This Row],[النولون]]+Table118192023[[#This Row],[الايصالات]]+Table118192023[[#This Row],[قيمة مضافة]]</f>
        <v>0</v>
      </c>
      <c r="L59" s="1">
        <f>L58+Table118192023[[#This Row],[اجمالي الفاتوره]]-Table118192023[[#This Row],[الدفعات]]</f>
        <v>-1.1199999999880674</v>
      </c>
      <c r="N59" s="48"/>
    </row>
    <row r="60" spans="10:14" ht="21.6" customHeight="1" x14ac:dyDescent="0.3">
      <c r="J60" s="1">
        <f>Table118192023[[#This Row],[النولون]]+Table118192023[[#This Row],[الايصالات]]+Table118192023[[#This Row],[قيمة مضافة]]</f>
        <v>0</v>
      </c>
      <c r="L60" s="1">
        <f>L59+Table118192023[[#This Row],[اجمالي الفاتوره]]-Table118192023[[#This Row],[الدفعات]]</f>
        <v>-1.1199999999880674</v>
      </c>
      <c r="N60" s="48"/>
    </row>
    <row r="61" spans="10:14" ht="21.6" customHeight="1" x14ac:dyDescent="0.3">
      <c r="J61" s="1">
        <f>Table118192023[[#This Row],[النولون]]+Table118192023[[#This Row],[الايصالات]]+Table118192023[[#This Row],[قيمة مضافة]]</f>
        <v>0</v>
      </c>
      <c r="L61" s="1">
        <f>L60+Table118192023[[#This Row],[اجمالي الفاتوره]]-Table118192023[[#This Row],[الدفعات]]</f>
        <v>-1.1199999999880674</v>
      </c>
      <c r="N61" s="48"/>
    </row>
    <row r="62" spans="10:14" ht="21.6" customHeight="1" x14ac:dyDescent="0.3">
      <c r="J62" s="1">
        <f>Table118192023[[#This Row],[النولون]]+Table118192023[[#This Row],[الايصالات]]+Table118192023[[#This Row],[قيمة مضافة]]</f>
        <v>0</v>
      </c>
      <c r="L62" s="1">
        <f>L61+Table118192023[[#This Row],[اجمالي الفاتوره]]-Table118192023[[#This Row],[الدفعات]]</f>
        <v>-1.1199999999880674</v>
      </c>
      <c r="N62" s="48"/>
    </row>
    <row r="63" spans="10:14" ht="21.6" customHeight="1" x14ac:dyDescent="0.3">
      <c r="J63" s="1">
        <f>Table118192023[[#This Row],[النولون]]+Table118192023[[#This Row],[الايصالات]]+Table118192023[[#This Row],[قيمة مضافة]]</f>
        <v>0</v>
      </c>
      <c r="L63" s="1">
        <f>L62+Table118192023[[#This Row],[اجمالي الفاتوره]]-Table118192023[[#This Row],[الدفعات]]</f>
        <v>-1.1199999999880674</v>
      </c>
      <c r="N63" s="48"/>
    </row>
    <row r="64" spans="10:14" ht="21.6" customHeight="1" x14ac:dyDescent="0.3">
      <c r="J64" s="1">
        <f>Table118192023[[#This Row],[النولون]]+Table118192023[[#This Row],[الايصالات]]+Table118192023[[#This Row],[قيمة مضافة]]</f>
        <v>0</v>
      </c>
      <c r="L64" s="1">
        <f>L63+Table118192023[[#This Row],[اجمالي الفاتوره]]-Table118192023[[#This Row],[الدفعات]]</f>
        <v>-1.1199999999880674</v>
      </c>
      <c r="N64" s="48"/>
    </row>
    <row r="65" spans="10:14" ht="21.6" customHeight="1" x14ac:dyDescent="0.3">
      <c r="J65" s="1">
        <f>Table118192023[[#This Row],[النولون]]+Table118192023[[#This Row],[الايصالات]]+Table118192023[[#This Row],[قيمة مضافة]]</f>
        <v>0</v>
      </c>
      <c r="L65" s="1">
        <f>L64+Table118192023[[#This Row],[اجمالي الفاتوره]]-Table118192023[[#This Row],[الدفعات]]</f>
        <v>-1.1199999999880674</v>
      </c>
      <c r="N65" s="48"/>
    </row>
    <row r="66" spans="10:14" ht="21.6" customHeight="1" x14ac:dyDescent="0.3">
      <c r="J66" s="1">
        <f>Table118192023[[#This Row],[النولون]]+Table118192023[[#This Row],[الايصالات]]+Table118192023[[#This Row],[قيمة مضافة]]</f>
        <v>0</v>
      </c>
      <c r="L66" s="1">
        <f>L65+Table118192023[[#This Row],[اجمالي الفاتوره]]-Table118192023[[#This Row],[الدفعات]]</f>
        <v>-1.1199999999880674</v>
      </c>
      <c r="N66" s="48"/>
    </row>
    <row r="67" spans="10:14" ht="21.6" customHeight="1" x14ac:dyDescent="0.3">
      <c r="J67" s="1">
        <f>Table118192023[[#This Row],[النولون]]+Table118192023[[#This Row],[الايصالات]]+Table118192023[[#This Row],[قيمة مضافة]]</f>
        <v>0</v>
      </c>
      <c r="L67" s="1">
        <f>L66+Table118192023[[#This Row],[اجمالي الفاتوره]]-Table118192023[[#This Row],[الدفعات]]</f>
        <v>-1.1199999999880674</v>
      </c>
      <c r="N67" s="48"/>
    </row>
    <row r="68" spans="10:14" ht="21.6" customHeight="1" x14ac:dyDescent="0.3">
      <c r="J68" s="1">
        <f>Table118192023[[#This Row],[النولون]]+Table118192023[[#This Row],[الايصالات]]+Table118192023[[#This Row],[قيمة مضافة]]</f>
        <v>0</v>
      </c>
      <c r="L68" s="1">
        <f>L67+Table118192023[[#This Row],[اجمالي الفاتوره]]-Table118192023[[#This Row],[الدفعات]]</f>
        <v>-1.1199999999880674</v>
      </c>
      <c r="N68" s="48"/>
    </row>
    <row r="69" spans="10:14" ht="21.6" customHeight="1" x14ac:dyDescent="0.3">
      <c r="J69" s="1">
        <f>Table118192023[[#This Row],[النولون]]+Table118192023[[#This Row],[الايصالات]]+Table118192023[[#This Row],[قيمة مضافة]]</f>
        <v>0</v>
      </c>
      <c r="L69" s="1">
        <f>L68+Table118192023[[#This Row],[اجمالي الفاتوره]]-Table118192023[[#This Row],[الدفعات]]</f>
        <v>-1.1199999999880674</v>
      </c>
      <c r="N69" s="48"/>
    </row>
    <row r="70" spans="10:14" ht="21.6" customHeight="1" x14ac:dyDescent="0.3">
      <c r="J70" s="1">
        <f>Table118192023[[#This Row],[النولون]]+Table118192023[[#This Row],[الايصالات]]+Table118192023[[#This Row],[قيمة مضافة]]</f>
        <v>0</v>
      </c>
      <c r="L70" s="1">
        <f>L69+Table118192023[[#This Row],[اجمالي الفاتوره]]-Table118192023[[#This Row],[الدفعات]]</f>
        <v>-1.1199999999880674</v>
      </c>
      <c r="N70" s="48"/>
    </row>
    <row r="71" spans="10:14" ht="21.6" customHeight="1" x14ac:dyDescent="0.3">
      <c r="J71" s="1">
        <f>Table118192023[[#This Row],[النولون]]+Table118192023[[#This Row],[الايصالات]]+Table118192023[[#This Row],[قيمة مضافة]]</f>
        <v>0</v>
      </c>
      <c r="L71" s="1">
        <f>L70+Table118192023[[#This Row],[اجمالي الفاتوره]]-Table118192023[[#This Row],[الدفعات]]</f>
        <v>-1.1199999999880674</v>
      </c>
      <c r="N71" s="48"/>
    </row>
    <row r="72" spans="10:14" ht="21.6" customHeight="1" x14ac:dyDescent="0.3">
      <c r="J72" s="1">
        <f>Table118192023[[#This Row],[النولون]]+Table118192023[[#This Row],[الايصالات]]+Table118192023[[#This Row],[قيمة مضافة]]</f>
        <v>0</v>
      </c>
      <c r="L72" s="1">
        <f>L71+Table118192023[[#This Row],[اجمالي الفاتوره]]-Table118192023[[#This Row],[الدفعات]]</f>
        <v>-1.1199999999880674</v>
      </c>
      <c r="N72" s="48"/>
    </row>
    <row r="73" spans="10:14" ht="21.6" customHeight="1" x14ac:dyDescent="0.3">
      <c r="J73" s="1">
        <f>Table118192023[[#This Row],[النولون]]+Table118192023[[#This Row],[الايصالات]]+Table118192023[[#This Row],[قيمة مضافة]]</f>
        <v>0</v>
      </c>
      <c r="L73" s="1">
        <f>L72+Table118192023[[#This Row],[اجمالي الفاتوره]]-Table118192023[[#This Row],[الدفعات]]</f>
        <v>-1.1199999999880674</v>
      </c>
      <c r="N73" s="48"/>
    </row>
    <row r="74" spans="10:14" ht="21.6" customHeight="1" x14ac:dyDescent="0.3">
      <c r="J74" s="1">
        <f>Table118192023[[#This Row],[النولون]]+Table118192023[[#This Row],[الايصالات]]+Table118192023[[#This Row],[قيمة مضافة]]</f>
        <v>0</v>
      </c>
      <c r="L74" s="1">
        <f>L73+Table118192023[[#This Row],[اجمالي الفاتوره]]-Table118192023[[#This Row],[الدفعات]]</f>
        <v>-1.1199999999880674</v>
      </c>
      <c r="N74" s="48"/>
    </row>
    <row r="75" spans="10:14" ht="21.6" customHeight="1" x14ac:dyDescent="0.3">
      <c r="J75" s="1">
        <f>Table118192023[[#This Row],[النولون]]+Table118192023[[#This Row],[الايصالات]]+Table118192023[[#This Row],[قيمة مضافة]]</f>
        <v>0</v>
      </c>
      <c r="L75" s="1">
        <f>L74+Table118192023[[#This Row],[اجمالي الفاتوره]]-Table118192023[[#This Row],[الدفعات]]</f>
        <v>-1.1199999999880674</v>
      </c>
      <c r="N75" s="48"/>
    </row>
    <row r="76" spans="10:14" ht="21.6" customHeight="1" x14ac:dyDescent="0.3">
      <c r="J76" s="1">
        <f>Table118192023[[#This Row],[النولون]]+Table118192023[[#This Row],[الايصالات]]+Table118192023[[#This Row],[قيمة مضافة]]</f>
        <v>0</v>
      </c>
      <c r="L76" s="1">
        <f>L75+Table118192023[[#This Row],[اجمالي الفاتوره]]-Table118192023[[#This Row],[الدفعات]]</f>
        <v>-1.1199999999880674</v>
      </c>
      <c r="N76" s="48"/>
    </row>
    <row r="77" spans="10:14" ht="21.6" customHeight="1" x14ac:dyDescent="0.3">
      <c r="J77" s="1">
        <f>Table118192023[[#This Row],[النولون]]+Table118192023[[#This Row],[الايصالات]]+Table118192023[[#This Row],[قيمة مضافة]]</f>
        <v>0</v>
      </c>
      <c r="L77" s="1">
        <f>L76+Table118192023[[#This Row],[اجمالي الفاتوره]]-Table118192023[[#This Row],[الدفعات]]</f>
        <v>-1.1199999999880674</v>
      </c>
      <c r="N77" s="48"/>
    </row>
    <row r="78" spans="10:14" ht="21.6" customHeight="1" x14ac:dyDescent="0.3">
      <c r="J78" s="1">
        <f>Table118192023[[#This Row],[النولون]]+Table118192023[[#This Row],[الايصالات]]+Table118192023[[#This Row],[قيمة مضافة]]</f>
        <v>0</v>
      </c>
      <c r="L78" s="1">
        <f>L77+Table118192023[[#This Row],[اجمالي الفاتوره]]-Table118192023[[#This Row],[الدفعات]]</f>
        <v>-1.1199999999880674</v>
      </c>
      <c r="N78" s="48"/>
    </row>
    <row r="79" spans="10:14" ht="21.6" customHeight="1" x14ac:dyDescent="0.3">
      <c r="J79" s="1">
        <f>Table118192023[[#This Row],[النولون]]+Table118192023[[#This Row],[الايصالات]]+Table118192023[[#This Row],[قيمة مضافة]]</f>
        <v>0</v>
      </c>
      <c r="L79" s="1">
        <f>L78+Table118192023[[#This Row],[اجمالي الفاتوره]]-Table118192023[[#This Row],[الدفعات]]</f>
        <v>-1.1199999999880674</v>
      </c>
      <c r="N79" s="48"/>
    </row>
    <row r="80" spans="10:14" ht="21.6" customHeight="1" x14ac:dyDescent="0.3">
      <c r="J80" s="1">
        <f>Table118192023[[#This Row],[النولون]]+Table118192023[[#This Row],[الايصالات]]+Table118192023[[#This Row],[قيمة مضافة]]</f>
        <v>0</v>
      </c>
      <c r="L80" s="1">
        <f>L79+Table118192023[[#This Row],[اجمالي الفاتوره]]-Table118192023[[#This Row],[الدفعات]]</f>
        <v>-1.1199999999880674</v>
      </c>
      <c r="N80" s="48"/>
    </row>
    <row r="81" spans="10:14" ht="21.6" customHeight="1" x14ac:dyDescent="0.3">
      <c r="J81" s="1">
        <f>Table118192023[[#This Row],[النولون]]+Table118192023[[#This Row],[الايصالات]]+Table118192023[[#This Row],[قيمة مضافة]]</f>
        <v>0</v>
      </c>
      <c r="L81" s="1">
        <f>L80+Table118192023[[#This Row],[اجمالي الفاتوره]]-Table118192023[[#This Row],[الدفعات]]</f>
        <v>-1.1199999999880674</v>
      </c>
      <c r="N81" s="48"/>
    </row>
    <row r="82" spans="10:14" ht="21.6" customHeight="1" x14ac:dyDescent="0.3">
      <c r="J82" s="1">
        <f>Table118192023[[#This Row],[النولون]]+Table118192023[[#This Row],[الايصالات]]+Table118192023[[#This Row],[قيمة مضافة]]</f>
        <v>0</v>
      </c>
      <c r="L82" s="1">
        <f>L81+Table118192023[[#This Row],[اجمالي الفاتوره]]-Table118192023[[#This Row],[الدفعات]]</f>
        <v>-1.1199999999880674</v>
      </c>
      <c r="N82" s="48"/>
    </row>
    <row r="83" spans="10:14" ht="21.6" customHeight="1" x14ac:dyDescent="0.3">
      <c r="J83" s="1">
        <f>Table118192023[[#This Row],[النولون]]+Table118192023[[#This Row],[الايصالات]]+Table118192023[[#This Row],[قيمة مضافة]]</f>
        <v>0</v>
      </c>
      <c r="L83" s="1">
        <f>L82+Table118192023[[#This Row],[اجمالي الفاتوره]]-Table118192023[[#This Row],[الدفعات]]</f>
        <v>-1.1199999999880674</v>
      </c>
      <c r="N83" s="48"/>
    </row>
    <row r="84" spans="10:14" ht="21.6" customHeight="1" x14ac:dyDescent="0.3">
      <c r="J84" s="1">
        <f>Table118192023[[#This Row],[النولون]]+Table118192023[[#This Row],[الايصالات]]+Table118192023[[#This Row],[قيمة مضافة]]</f>
        <v>0</v>
      </c>
      <c r="L84" s="1">
        <f>L83+Table118192023[[#This Row],[اجمالي الفاتوره]]-Table118192023[[#This Row],[الدفعات]]</f>
        <v>-1.1199999999880674</v>
      </c>
      <c r="N84" s="48"/>
    </row>
    <row r="85" spans="10:14" ht="21.6" customHeight="1" x14ac:dyDescent="0.3">
      <c r="J85" s="1">
        <f>Table118192023[[#This Row],[النولون]]+Table118192023[[#This Row],[الايصالات]]+Table118192023[[#This Row],[قيمة مضافة]]</f>
        <v>0</v>
      </c>
      <c r="L85" s="1">
        <f>L84+Table118192023[[#This Row],[اجمالي الفاتوره]]-Table118192023[[#This Row],[الدفعات]]</f>
        <v>-1.1199999999880674</v>
      </c>
      <c r="N85" s="48"/>
    </row>
    <row r="86" spans="10:14" ht="21.6" customHeight="1" x14ac:dyDescent="0.3">
      <c r="J86" s="1">
        <f>Table118192023[[#This Row],[النولون]]+Table118192023[[#This Row],[الايصالات]]+Table118192023[[#This Row],[قيمة مضافة]]</f>
        <v>0</v>
      </c>
      <c r="L86" s="1">
        <f>L85+Table118192023[[#This Row],[اجمالي الفاتوره]]-Table118192023[[#This Row],[الدفعات]]</f>
        <v>-1.1199999999880674</v>
      </c>
      <c r="N86" s="48"/>
    </row>
    <row r="87" spans="10:14" ht="21.6" customHeight="1" x14ac:dyDescent="0.3">
      <c r="J87" s="1">
        <f>Table118192023[[#This Row],[النولون]]+Table118192023[[#This Row],[الايصالات]]+Table118192023[[#This Row],[قيمة مضافة]]</f>
        <v>0</v>
      </c>
      <c r="L87" s="1">
        <f>L86+Table118192023[[#This Row],[اجمالي الفاتوره]]-Table118192023[[#This Row],[الدفعات]]</f>
        <v>-1.1199999999880674</v>
      </c>
      <c r="N87" s="48"/>
    </row>
    <row r="88" spans="10:14" ht="21.6" customHeight="1" x14ac:dyDescent="0.3">
      <c r="J88" s="1">
        <f>Table118192023[[#This Row],[النولون]]+Table118192023[[#This Row],[الايصالات]]+Table118192023[[#This Row],[قيمة مضافة]]</f>
        <v>0</v>
      </c>
      <c r="L88" s="1">
        <f>L87+Table118192023[[#This Row],[اجمالي الفاتوره]]-Table118192023[[#This Row],[الدفعات]]</f>
        <v>-1.1199999999880674</v>
      </c>
      <c r="N88" s="48"/>
    </row>
    <row r="89" spans="10:14" ht="21.6" customHeight="1" x14ac:dyDescent="0.3">
      <c r="J89" s="1">
        <f>Table118192023[[#This Row],[النولون]]+Table118192023[[#This Row],[الايصالات]]+Table118192023[[#This Row],[قيمة مضافة]]</f>
        <v>0</v>
      </c>
      <c r="L89" s="1">
        <f>L88+Table118192023[[#This Row],[اجمالي الفاتوره]]-Table118192023[[#This Row],[الدفعات]]</f>
        <v>-1.1199999999880674</v>
      </c>
      <c r="N89" s="48"/>
    </row>
    <row r="90" spans="10:14" ht="21.6" customHeight="1" x14ac:dyDescent="0.3">
      <c r="J90" s="1">
        <f>Table118192023[[#This Row],[النولون]]+Table118192023[[#This Row],[الايصالات]]+Table118192023[[#This Row],[قيمة مضافة]]</f>
        <v>0</v>
      </c>
      <c r="L90" s="1">
        <f>L89+Table118192023[[#This Row],[اجمالي الفاتوره]]-Table118192023[[#This Row],[الدفعات]]</f>
        <v>-1.1199999999880674</v>
      </c>
      <c r="N90" s="48"/>
    </row>
    <row r="91" spans="10:14" ht="21.6" customHeight="1" x14ac:dyDescent="0.3">
      <c r="J91" s="1">
        <f>Table118192023[[#This Row],[النولون]]+Table118192023[[#This Row],[الايصالات]]+Table118192023[[#This Row],[قيمة مضافة]]</f>
        <v>0</v>
      </c>
      <c r="L91" s="1">
        <f>L90+Table118192023[[#This Row],[اجمالي الفاتوره]]-Table118192023[[#This Row],[الدفعات]]</f>
        <v>-1.1199999999880674</v>
      </c>
      <c r="N91" s="48"/>
    </row>
    <row r="92" spans="10:14" ht="21.6" customHeight="1" x14ac:dyDescent="0.3">
      <c r="J92" s="1">
        <f>Table118192023[[#This Row],[النولون]]+Table118192023[[#This Row],[الايصالات]]+Table118192023[[#This Row],[قيمة مضافة]]</f>
        <v>0</v>
      </c>
      <c r="L92" s="1">
        <f>L91+Table118192023[[#This Row],[اجمالي الفاتوره]]-Table118192023[[#This Row],[الدفعات]]</f>
        <v>-1.1199999999880674</v>
      </c>
      <c r="N92" s="48"/>
    </row>
    <row r="93" spans="10:14" ht="21.6" customHeight="1" x14ac:dyDescent="0.3">
      <c r="J93" s="1">
        <f>Table118192023[[#This Row],[النولون]]+Table118192023[[#This Row],[الايصالات]]+Table118192023[[#This Row],[قيمة مضافة]]</f>
        <v>0</v>
      </c>
      <c r="L93" s="1">
        <f>L92+Table118192023[[#This Row],[اجمالي الفاتوره]]-Table118192023[[#This Row],[الدفعات]]</f>
        <v>-1.1199999999880674</v>
      </c>
      <c r="N93" s="48"/>
    </row>
    <row r="94" spans="10:14" ht="21.6" customHeight="1" x14ac:dyDescent="0.3">
      <c r="J94" s="1">
        <f>Table118192023[[#This Row],[النولون]]+Table118192023[[#This Row],[الايصالات]]+Table118192023[[#This Row],[قيمة مضافة]]</f>
        <v>0</v>
      </c>
      <c r="L94" s="1">
        <f>L93+Table118192023[[#This Row],[اجمالي الفاتوره]]-Table118192023[[#This Row],[الدفعات]]</f>
        <v>-1.1199999999880674</v>
      </c>
      <c r="N94" s="48"/>
    </row>
    <row r="95" spans="10:14" ht="21.6" customHeight="1" x14ac:dyDescent="0.3">
      <c r="J95" s="1">
        <f>Table118192023[[#This Row],[النولون]]+Table118192023[[#This Row],[الايصالات]]+Table118192023[[#This Row],[قيمة مضافة]]</f>
        <v>0</v>
      </c>
      <c r="L95" s="1">
        <f>L94+Table118192023[[#This Row],[اجمالي الفاتوره]]-Table118192023[[#This Row],[الدفعات]]</f>
        <v>-1.1199999999880674</v>
      </c>
      <c r="N95" s="48"/>
    </row>
    <row r="96" spans="10:14" ht="21.6" customHeight="1" x14ac:dyDescent="0.3">
      <c r="J96" s="1">
        <f>Table118192023[[#This Row],[النولون]]+Table118192023[[#This Row],[الايصالات]]+Table118192023[[#This Row],[قيمة مضافة]]</f>
        <v>0</v>
      </c>
      <c r="L96" s="1">
        <f>L95+Table118192023[[#This Row],[اجمالي الفاتوره]]-Table118192023[[#This Row],[الدفعات]]</f>
        <v>-1.1199999999880674</v>
      </c>
      <c r="N96" s="48"/>
    </row>
    <row r="97" spans="10:14" ht="21.6" customHeight="1" x14ac:dyDescent="0.3">
      <c r="J97" s="1">
        <f>Table118192023[[#This Row],[النولون]]+Table118192023[[#This Row],[الايصالات]]+Table118192023[[#This Row],[قيمة مضافة]]</f>
        <v>0</v>
      </c>
      <c r="L97" s="1">
        <f>L96+Table118192023[[#This Row],[اجمالي الفاتوره]]-Table118192023[[#This Row],[الدفعات]]</f>
        <v>-1.1199999999880674</v>
      </c>
      <c r="N97" s="48"/>
    </row>
    <row r="98" spans="10:14" ht="21.6" customHeight="1" x14ac:dyDescent="0.3">
      <c r="J98" s="1">
        <f>Table118192023[[#This Row],[النولون]]+Table118192023[[#This Row],[الايصالات]]+Table118192023[[#This Row],[قيمة مضافة]]</f>
        <v>0</v>
      </c>
      <c r="L98" s="1">
        <f>L97+Table118192023[[#This Row],[اجمالي الفاتوره]]-Table118192023[[#This Row],[الدفعات]]</f>
        <v>-1.1199999999880674</v>
      </c>
      <c r="N98" s="48"/>
    </row>
    <row r="99" spans="10:14" ht="21.6" customHeight="1" x14ac:dyDescent="0.3">
      <c r="J99" s="1">
        <f>Table118192023[[#This Row],[النولون]]+Table118192023[[#This Row],[الايصالات]]+Table118192023[[#This Row],[قيمة مضافة]]</f>
        <v>0</v>
      </c>
      <c r="L99" s="1">
        <f>L98+Table118192023[[#This Row],[اجمالي الفاتوره]]-Table118192023[[#This Row],[الدفعات]]</f>
        <v>-1.1199999999880674</v>
      </c>
      <c r="N99" s="48"/>
    </row>
    <row r="100" spans="10:14" ht="21.6" customHeight="1" x14ac:dyDescent="0.3">
      <c r="J100" s="1">
        <f>Table118192023[[#This Row],[النولون]]+Table118192023[[#This Row],[الايصالات]]+Table118192023[[#This Row],[قيمة مضافة]]</f>
        <v>0</v>
      </c>
      <c r="L100" s="1">
        <f>L99+Table118192023[[#This Row],[اجمالي الفاتوره]]-Table118192023[[#This Row],[الدفعات]]</f>
        <v>-1.1199999999880674</v>
      </c>
      <c r="N100" s="48"/>
    </row>
    <row r="101" spans="10:14" ht="21.6" customHeight="1" x14ac:dyDescent="0.3">
      <c r="J101" s="1">
        <f>Table118192023[[#This Row],[النولون]]+Table118192023[[#This Row],[الايصالات]]+Table118192023[[#This Row],[قيمة مضافة]]</f>
        <v>0</v>
      </c>
      <c r="L101" s="1">
        <f>L100+Table118192023[[#This Row],[اجمالي الفاتوره]]-Table118192023[[#This Row],[الدفعات]]</f>
        <v>-1.1199999999880674</v>
      </c>
      <c r="N101" s="48"/>
    </row>
    <row r="102" spans="10:14" ht="21.6" customHeight="1" x14ac:dyDescent="0.3">
      <c r="J102" s="1">
        <f>Table118192023[[#This Row],[النولون]]+Table118192023[[#This Row],[الايصالات]]+Table118192023[[#This Row],[قيمة مضافة]]</f>
        <v>0</v>
      </c>
      <c r="L102" s="1">
        <f>L101+Table118192023[[#This Row],[اجمالي الفاتوره]]-Table118192023[[#This Row],[الدفعات]]</f>
        <v>-1.1199999999880674</v>
      </c>
      <c r="N102" s="48"/>
    </row>
    <row r="103" spans="10:14" ht="21.6" customHeight="1" x14ac:dyDescent="0.3">
      <c r="J103" s="1">
        <f>Table118192023[[#This Row],[النولون]]+Table118192023[[#This Row],[الايصالات]]+Table118192023[[#This Row],[قيمة مضافة]]</f>
        <v>0</v>
      </c>
      <c r="L103" s="1">
        <f>L102+Table118192023[[#This Row],[اجمالي الفاتوره]]-Table118192023[[#This Row],[الدفعات]]</f>
        <v>-1.1199999999880674</v>
      </c>
      <c r="N103" s="48"/>
    </row>
    <row r="104" spans="10:14" ht="21.6" customHeight="1" x14ac:dyDescent="0.3">
      <c r="J104" s="1">
        <f>Table118192023[[#This Row],[النولون]]+Table118192023[[#This Row],[الايصالات]]+Table118192023[[#This Row],[قيمة مضافة]]</f>
        <v>0</v>
      </c>
      <c r="L104" s="1">
        <f>L103+Table118192023[[#This Row],[اجمالي الفاتوره]]-Table118192023[[#This Row],[الدفعات]]</f>
        <v>-1.1199999999880674</v>
      </c>
      <c r="N104" s="48"/>
    </row>
    <row r="105" spans="10:14" ht="21.6" customHeight="1" x14ac:dyDescent="0.3">
      <c r="J105" s="1">
        <f>Table118192023[[#This Row],[النولون]]+Table118192023[[#This Row],[الايصالات]]+Table118192023[[#This Row],[قيمة مضافة]]</f>
        <v>0</v>
      </c>
      <c r="L105" s="1">
        <f>L104+Table118192023[[#This Row],[اجمالي الفاتوره]]-Table118192023[[#This Row],[الدفعات]]</f>
        <v>-1.1199999999880674</v>
      </c>
      <c r="N105" s="48"/>
    </row>
    <row r="106" spans="10:14" ht="21.6" customHeight="1" x14ac:dyDescent="0.3">
      <c r="J106" s="1">
        <f>Table118192023[[#This Row],[النولون]]+Table118192023[[#This Row],[الايصالات]]+Table118192023[[#This Row],[قيمة مضافة]]</f>
        <v>0</v>
      </c>
      <c r="L106" s="1">
        <f>L105+Table118192023[[#This Row],[اجمالي الفاتوره]]-Table118192023[[#This Row],[الدفعات]]</f>
        <v>-1.1199999999880674</v>
      </c>
      <c r="N106" s="48"/>
    </row>
    <row r="107" spans="10:14" ht="21.6" customHeight="1" x14ac:dyDescent="0.3">
      <c r="J107" s="1">
        <f>Table118192023[[#This Row],[النولون]]+Table118192023[[#This Row],[الايصالات]]+Table118192023[[#This Row],[قيمة مضافة]]</f>
        <v>0</v>
      </c>
      <c r="L107" s="1">
        <f>L106+Table118192023[[#This Row],[اجمالي الفاتوره]]-Table118192023[[#This Row],[الدفعات]]</f>
        <v>-1.1199999999880674</v>
      </c>
      <c r="N107" s="48"/>
    </row>
    <row r="108" spans="10:14" ht="21.6" customHeight="1" x14ac:dyDescent="0.3">
      <c r="J108" s="1">
        <f>Table118192023[[#This Row],[النولون]]+Table118192023[[#This Row],[الايصالات]]+Table118192023[[#This Row],[قيمة مضافة]]</f>
        <v>0</v>
      </c>
      <c r="L108" s="1">
        <f>L107+Table118192023[[#This Row],[اجمالي الفاتوره]]-Table118192023[[#This Row],[الدفعات]]</f>
        <v>-1.1199999999880674</v>
      </c>
      <c r="N108" s="48"/>
    </row>
    <row r="109" spans="10:14" ht="21.6" customHeight="1" x14ac:dyDescent="0.3">
      <c r="J109" s="1">
        <f>Table118192023[[#This Row],[النولون]]+Table118192023[[#This Row],[الايصالات]]+Table118192023[[#This Row],[قيمة مضافة]]</f>
        <v>0</v>
      </c>
      <c r="L109" s="1">
        <f>L108+Table118192023[[#This Row],[اجمالي الفاتوره]]-Table118192023[[#This Row],[الدفعات]]</f>
        <v>-1.1199999999880674</v>
      </c>
      <c r="N109" s="48"/>
    </row>
    <row r="110" spans="10:14" ht="21.6" customHeight="1" x14ac:dyDescent="0.3">
      <c r="J110" s="1">
        <f>Table118192023[[#This Row],[النولون]]+Table118192023[[#This Row],[الايصالات]]+Table118192023[[#This Row],[قيمة مضافة]]</f>
        <v>0</v>
      </c>
      <c r="L110" s="1">
        <f>L109+Table118192023[[#This Row],[اجمالي الفاتوره]]-Table118192023[[#This Row],[الدفعات]]</f>
        <v>-1.1199999999880674</v>
      </c>
      <c r="N110" s="48"/>
    </row>
    <row r="111" spans="10:14" ht="21.6" customHeight="1" x14ac:dyDescent="0.3">
      <c r="J111" s="1">
        <f>Table118192023[[#This Row],[النولون]]+Table118192023[[#This Row],[الايصالات]]+Table118192023[[#This Row],[قيمة مضافة]]</f>
        <v>0</v>
      </c>
      <c r="L111" s="1">
        <f>L110+Table118192023[[#This Row],[اجمالي الفاتوره]]-Table118192023[[#This Row],[الدفعات]]</f>
        <v>-1.1199999999880674</v>
      </c>
      <c r="N111" s="48"/>
    </row>
    <row r="112" spans="10:14" ht="21.6" customHeight="1" x14ac:dyDescent="0.3">
      <c r="J112" s="1">
        <f>Table118192023[[#This Row],[النولون]]+Table118192023[[#This Row],[الايصالات]]+Table118192023[[#This Row],[قيمة مضافة]]</f>
        <v>0</v>
      </c>
      <c r="L112" s="1">
        <f>L111+Table118192023[[#This Row],[اجمالي الفاتوره]]-Table118192023[[#This Row],[الدفعات]]</f>
        <v>-1.1199999999880674</v>
      </c>
      <c r="N112" s="48"/>
    </row>
    <row r="113" spans="10:14" ht="21.6" customHeight="1" x14ac:dyDescent="0.3">
      <c r="J113" s="1">
        <f>Table118192023[[#This Row],[النولون]]+Table118192023[[#This Row],[الايصالات]]+Table118192023[[#This Row],[قيمة مضافة]]</f>
        <v>0</v>
      </c>
      <c r="L113" s="1">
        <f>L112+Table118192023[[#This Row],[اجمالي الفاتوره]]-Table118192023[[#This Row],[الدفعات]]</f>
        <v>-1.1199999999880674</v>
      </c>
      <c r="N113" s="48"/>
    </row>
    <row r="114" spans="10:14" ht="21.6" customHeight="1" x14ac:dyDescent="0.3">
      <c r="J114" s="1">
        <f>Table118192023[[#This Row],[النولون]]+Table118192023[[#This Row],[الايصالات]]+Table118192023[[#This Row],[قيمة مضافة]]</f>
        <v>0</v>
      </c>
      <c r="L114" s="1">
        <f>L113+Table118192023[[#This Row],[اجمالي الفاتوره]]-Table118192023[[#This Row],[الدفعات]]</f>
        <v>-1.1199999999880674</v>
      </c>
      <c r="N114" s="48"/>
    </row>
    <row r="115" spans="10:14" ht="21.6" customHeight="1" x14ac:dyDescent="0.3">
      <c r="J115" s="1">
        <f>Table118192023[[#This Row],[النولون]]+Table118192023[[#This Row],[الايصالات]]+Table118192023[[#This Row],[قيمة مضافة]]</f>
        <v>0</v>
      </c>
      <c r="L115" s="1">
        <f>L114+Table118192023[[#This Row],[اجمالي الفاتوره]]-Table118192023[[#This Row],[الدفعات]]</f>
        <v>-1.1199999999880674</v>
      </c>
      <c r="N115" s="48"/>
    </row>
    <row r="116" spans="10:14" ht="21.6" customHeight="1" x14ac:dyDescent="0.3">
      <c r="J116" s="1">
        <f>Table118192023[[#This Row],[النولون]]+Table118192023[[#This Row],[الايصالات]]+Table118192023[[#This Row],[قيمة مضافة]]</f>
        <v>0</v>
      </c>
      <c r="L116" s="1">
        <f>L115+Table118192023[[#This Row],[اجمالي الفاتوره]]-Table118192023[[#This Row],[الدفعات]]</f>
        <v>-1.1199999999880674</v>
      </c>
      <c r="N116" s="48"/>
    </row>
    <row r="117" spans="10:14" ht="21.6" customHeight="1" x14ac:dyDescent="0.3">
      <c r="J117" s="1">
        <f>Table118192023[[#This Row],[النولون]]+Table118192023[[#This Row],[الايصالات]]+Table118192023[[#This Row],[قيمة مضافة]]</f>
        <v>0</v>
      </c>
      <c r="L117" s="1">
        <f>L116+Table118192023[[#This Row],[اجمالي الفاتوره]]-Table118192023[[#This Row],[الدفعات]]</f>
        <v>-1.1199999999880674</v>
      </c>
      <c r="N117" s="48"/>
    </row>
    <row r="118" spans="10:14" ht="21.6" customHeight="1" x14ac:dyDescent="0.3">
      <c r="J118" s="1">
        <f>Table118192023[[#This Row],[النولون]]+Table118192023[[#This Row],[الايصالات]]+Table118192023[[#This Row],[قيمة مضافة]]</f>
        <v>0</v>
      </c>
      <c r="L118" s="1">
        <f>L117+Table118192023[[#This Row],[اجمالي الفاتوره]]-Table118192023[[#This Row],[الدفعات]]</f>
        <v>-1.1199999999880674</v>
      </c>
      <c r="N118" s="48"/>
    </row>
    <row r="119" spans="10:14" ht="21.6" customHeight="1" x14ac:dyDescent="0.3">
      <c r="J119" s="1">
        <f>Table118192023[[#This Row],[النولون]]+Table118192023[[#This Row],[الايصالات]]+Table118192023[[#This Row],[قيمة مضافة]]</f>
        <v>0</v>
      </c>
      <c r="L119" s="1">
        <f>L118+Table118192023[[#This Row],[اجمالي الفاتوره]]-Table118192023[[#This Row],[الدفعات]]</f>
        <v>-1.1199999999880674</v>
      </c>
      <c r="N119" s="48"/>
    </row>
    <row r="120" spans="10:14" ht="21.6" customHeight="1" x14ac:dyDescent="0.3">
      <c r="J120" s="1">
        <f>Table118192023[[#This Row],[النولون]]+Table118192023[[#This Row],[الايصالات]]+Table118192023[[#This Row],[قيمة مضافة]]</f>
        <v>0</v>
      </c>
      <c r="L120" s="1">
        <f>L119+Table118192023[[#This Row],[اجمالي الفاتوره]]-Table118192023[[#This Row],[الدفعات]]</f>
        <v>-1.1199999999880674</v>
      </c>
      <c r="N120" s="48"/>
    </row>
    <row r="121" spans="10:14" ht="21.6" customHeight="1" x14ac:dyDescent="0.3">
      <c r="J121" s="1">
        <f>Table118192023[[#This Row],[النولون]]+Table118192023[[#This Row],[الايصالات]]+Table118192023[[#This Row],[قيمة مضافة]]</f>
        <v>0</v>
      </c>
      <c r="L121" s="1">
        <f>L120+Table118192023[[#This Row],[اجمالي الفاتوره]]-Table118192023[[#This Row],[الدفعات]]</f>
        <v>-1.1199999999880674</v>
      </c>
      <c r="N121" s="48"/>
    </row>
    <row r="122" spans="10:14" ht="21.6" customHeight="1" x14ac:dyDescent="0.3">
      <c r="J122" s="1">
        <f>Table118192023[[#This Row],[النولون]]+Table118192023[[#This Row],[الايصالات]]+Table118192023[[#This Row],[قيمة مضافة]]</f>
        <v>0</v>
      </c>
      <c r="L122" s="1">
        <f>L121+Table118192023[[#This Row],[اجمالي الفاتوره]]-Table118192023[[#This Row],[الدفعات]]</f>
        <v>-1.1199999999880674</v>
      </c>
      <c r="N122" s="48"/>
    </row>
    <row r="123" spans="10:14" ht="21.6" customHeight="1" x14ac:dyDescent="0.3">
      <c r="J123" s="1">
        <f>Table118192023[[#This Row],[النولون]]+Table118192023[[#This Row],[الايصالات]]+Table118192023[[#This Row],[قيمة مضافة]]</f>
        <v>0</v>
      </c>
      <c r="L123" s="1">
        <f>L122+Table118192023[[#This Row],[اجمالي الفاتوره]]-Table118192023[[#This Row],[الدفعات]]</f>
        <v>-1.1199999999880674</v>
      </c>
      <c r="N123" s="48"/>
    </row>
    <row r="124" spans="10:14" ht="21.6" customHeight="1" x14ac:dyDescent="0.3">
      <c r="J124" s="1">
        <f>Table118192023[[#This Row],[النولون]]+Table118192023[[#This Row],[الايصالات]]+Table118192023[[#This Row],[قيمة مضافة]]</f>
        <v>0</v>
      </c>
      <c r="L124" s="1">
        <f>L123+Table118192023[[#This Row],[اجمالي الفاتوره]]-Table118192023[[#This Row],[الدفعات]]</f>
        <v>-1.1199999999880674</v>
      </c>
      <c r="N124" s="48"/>
    </row>
    <row r="125" spans="10:14" ht="21.6" customHeight="1" x14ac:dyDescent="0.3">
      <c r="J125" s="1">
        <f>Table118192023[[#This Row],[النولون]]+Table118192023[[#This Row],[الايصالات]]+Table118192023[[#This Row],[قيمة مضافة]]</f>
        <v>0</v>
      </c>
      <c r="L125" s="1">
        <f>L124+Table118192023[[#This Row],[اجمالي الفاتوره]]-Table118192023[[#This Row],[الدفعات]]</f>
        <v>-1.1199999999880674</v>
      </c>
      <c r="N125" s="48"/>
    </row>
    <row r="126" spans="10:14" ht="21.6" customHeight="1" x14ac:dyDescent="0.3">
      <c r="J126" s="1">
        <f>Table118192023[[#This Row],[النولون]]+Table118192023[[#This Row],[الايصالات]]+Table118192023[[#This Row],[قيمة مضافة]]</f>
        <v>0</v>
      </c>
      <c r="L126" s="1">
        <f>L125+Table118192023[[#This Row],[اجمالي الفاتوره]]-Table118192023[[#This Row],[الدفعات]]</f>
        <v>-1.1199999999880674</v>
      </c>
      <c r="N126" s="48"/>
    </row>
    <row r="127" spans="10:14" ht="21.6" customHeight="1" x14ac:dyDescent="0.3">
      <c r="J127" s="1">
        <f>Table118192023[[#This Row],[النولون]]+Table118192023[[#This Row],[الايصالات]]+Table118192023[[#This Row],[قيمة مضافة]]</f>
        <v>0</v>
      </c>
      <c r="L127" s="1">
        <f>L126+Table118192023[[#This Row],[اجمالي الفاتوره]]-Table118192023[[#This Row],[الدفعات]]</f>
        <v>-1.1199999999880674</v>
      </c>
      <c r="N127" s="48"/>
    </row>
    <row r="128" spans="10:14" ht="21.6" customHeight="1" x14ac:dyDescent="0.3">
      <c r="J128" s="1">
        <f>Table118192023[[#This Row],[النولون]]+Table118192023[[#This Row],[الايصالات]]+Table118192023[[#This Row],[قيمة مضافة]]</f>
        <v>0</v>
      </c>
      <c r="L128" s="1">
        <f>L127+Table118192023[[#This Row],[اجمالي الفاتوره]]-Table118192023[[#This Row],[الدفعات]]</f>
        <v>-1.1199999999880674</v>
      </c>
      <c r="N128" s="48"/>
    </row>
    <row r="129" spans="10:14" ht="21.6" customHeight="1" x14ac:dyDescent="0.3">
      <c r="J129" s="1">
        <f>Table118192023[[#This Row],[النولون]]+Table118192023[[#This Row],[الايصالات]]+Table118192023[[#This Row],[قيمة مضافة]]</f>
        <v>0</v>
      </c>
      <c r="L129" s="1">
        <f>L128+Table118192023[[#This Row],[اجمالي الفاتوره]]-Table118192023[[#This Row],[الدفعات]]</f>
        <v>-1.1199999999880674</v>
      </c>
      <c r="N129" s="48"/>
    </row>
    <row r="130" spans="10:14" ht="21.6" customHeight="1" x14ac:dyDescent="0.3">
      <c r="J130" s="1">
        <f>Table118192023[[#This Row],[النولون]]+Table118192023[[#This Row],[الايصالات]]+Table118192023[[#This Row],[قيمة مضافة]]</f>
        <v>0</v>
      </c>
      <c r="L130" s="1">
        <f>L129+Table118192023[[#This Row],[اجمالي الفاتوره]]-Table118192023[[#This Row],[الدفعات]]</f>
        <v>-1.1199999999880674</v>
      </c>
      <c r="N130" s="48"/>
    </row>
    <row r="131" spans="10:14" ht="21.6" customHeight="1" x14ac:dyDescent="0.3">
      <c r="J131" s="1">
        <f>Table118192023[[#This Row],[النولون]]+Table118192023[[#This Row],[الايصالات]]+Table118192023[[#This Row],[قيمة مضافة]]</f>
        <v>0</v>
      </c>
      <c r="L131" s="1">
        <f>L130+Table118192023[[#This Row],[اجمالي الفاتوره]]-Table118192023[[#This Row],[الدفعات]]</f>
        <v>-1.1199999999880674</v>
      </c>
      <c r="N131" s="48"/>
    </row>
    <row r="132" spans="10:14" ht="21.6" customHeight="1" x14ac:dyDescent="0.3">
      <c r="J132" s="1">
        <f>Table118192023[[#This Row],[النولون]]+Table118192023[[#This Row],[الايصالات]]+Table118192023[[#This Row],[قيمة مضافة]]</f>
        <v>0</v>
      </c>
      <c r="L132" s="1">
        <f>L131+Table118192023[[#This Row],[اجمالي الفاتوره]]-Table118192023[[#This Row],[الدفعات]]</f>
        <v>-1.1199999999880674</v>
      </c>
      <c r="N132" s="48"/>
    </row>
    <row r="133" spans="10:14" ht="21.6" customHeight="1" x14ac:dyDescent="0.3">
      <c r="J133" s="1">
        <f>Table118192023[[#This Row],[النولون]]+Table118192023[[#This Row],[الايصالات]]+Table118192023[[#This Row],[قيمة مضافة]]</f>
        <v>0</v>
      </c>
      <c r="L133" s="1">
        <f>L132+Table118192023[[#This Row],[اجمالي الفاتوره]]-Table118192023[[#This Row],[الدفعات]]</f>
        <v>-1.1199999999880674</v>
      </c>
      <c r="N133" s="48"/>
    </row>
    <row r="134" spans="10:14" ht="21.6" customHeight="1" x14ac:dyDescent="0.3">
      <c r="J134" s="1">
        <f>Table118192023[[#This Row],[النولون]]+Table118192023[[#This Row],[الايصالات]]+Table118192023[[#This Row],[قيمة مضافة]]</f>
        <v>0</v>
      </c>
      <c r="L134" s="1">
        <f>L133+Table118192023[[#This Row],[اجمالي الفاتوره]]-Table118192023[[#This Row],[الدفعات]]</f>
        <v>-1.1199999999880674</v>
      </c>
      <c r="N134" s="48"/>
    </row>
    <row r="135" spans="10:14" ht="21.6" customHeight="1" x14ac:dyDescent="0.3">
      <c r="J135" s="1">
        <f>Table118192023[[#This Row],[النولون]]+Table118192023[[#This Row],[الايصالات]]+Table118192023[[#This Row],[قيمة مضافة]]</f>
        <v>0</v>
      </c>
      <c r="L135" s="1">
        <f>L134+Table118192023[[#This Row],[اجمالي الفاتوره]]-Table118192023[[#This Row],[الدفعات]]</f>
        <v>-1.1199999999880674</v>
      </c>
      <c r="N135" s="48"/>
    </row>
    <row r="136" spans="10:14" ht="21.6" customHeight="1" x14ac:dyDescent="0.3">
      <c r="J136" s="1">
        <f>Table118192023[[#This Row],[النولون]]+Table118192023[[#This Row],[الايصالات]]+Table118192023[[#This Row],[قيمة مضافة]]</f>
        <v>0</v>
      </c>
      <c r="L136" s="1">
        <f>L135+Table118192023[[#This Row],[اجمالي الفاتوره]]-Table118192023[[#This Row],[الدفعات]]</f>
        <v>-1.1199999999880674</v>
      </c>
      <c r="N136" s="48"/>
    </row>
    <row r="137" spans="10:14" ht="21.6" customHeight="1" x14ac:dyDescent="0.3">
      <c r="J137" s="1">
        <f>Table118192023[[#This Row],[النولون]]+Table118192023[[#This Row],[الايصالات]]+Table118192023[[#This Row],[قيمة مضافة]]</f>
        <v>0</v>
      </c>
      <c r="L137" s="1">
        <f>L136+Table118192023[[#This Row],[اجمالي الفاتوره]]-Table118192023[[#This Row],[الدفعات]]</f>
        <v>-1.1199999999880674</v>
      </c>
      <c r="N137" s="48"/>
    </row>
    <row r="138" spans="10:14" ht="21.6" customHeight="1" x14ac:dyDescent="0.3">
      <c r="J138" s="1">
        <f>Table118192023[[#This Row],[النولون]]+Table118192023[[#This Row],[الايصالات]]+Table118192023[[#This Row],[قيمة مضافة]]</f>
        <v>0</v>
      </c>
      <c r="L138" s="1">
        <f>L137+Table118192023[[#This Row],[اجمالي الفاتوره]]-Table118192023[[#This Row],[الدفعات]]</f>
        <v>-1.1199999999880674</v>
      </c>
      <c r="N138" s="48"/>
    </row>
    <row r="139" spans="10:14" ht="21.6" customHeight="1" x14ac:dyDescent="0.3">
      <c r="J139" s="1">
        <f>Table118192023[[#This Row],[النولون]]+Table118192023[[#This Row],[الايصالات]]+Table118192023[[#This Row],[قيمة مضافة]]</f>
        <v>0</v>
      </c>
      <c r="L139" s="1">
        <f>L138+Table118192023[[#This Row],[اجمالي الفاتوره]]-Table118192023[[#This Row],[الدفعات]]</f>
        <v>-1.1199999999880674</v>
      </c>
      <c r="N139" s="48"/>
    </row>
    <row r="140" spans="10:14" ht="21.6" customHeight="1" x14ac:dyDescent="0.3">
      <c r="J140" s="1">
        <f>Table118192023[[#This Row],[النولون]]+Table118192023[[#This Row],[الايصالات]]+Table118192023[[#This Row],[قيمة مضافة]]</f>
        <v>0</v>
      </c>
      <c r="L140" s="1">
        <f>L139+Table118192023[[#This Row],[اجمالي الفاتوره]]-Table118192023[[#This Row],[الدفعات]]</f>
        <v>-1.1199999999880674</v>
      </c>
      <c r="N140" s="48"/>
    </row>
    <row r="141" spans="10:14" ht="21.6" customHeight="1" x14ac:dyDescent="0.3">
      <c r="J141" s="1">
        <f>Table118192023[[#This Row],[النولون]]+Table118192023[[#This Row],[الايصالات]]+Table118192023[[#This Row],[قيمة مضافة]]</f>
        <v>0</v>
      </c>
      <c r="L141" s="1">
        <f>L140+Table118192023[[#This Row],[اجمالي الفاتوره]]-Table118192023[[#This Row],[الدفعات]]</f>
        <v>-1.1199999999880674</v>
      </c>
      <c r="N141" s="48"/>
    </row>
    <row r="142" spans="10:14" ht="21.6" customHeight="1" x14ac:dyDescent="0.3">
      <c r="J142" s="1">
        <f>Table118192023[[#This Row],[النولون]]+Table118192023[[#This Row],[الايصالات]]+Table118192023[[#This Row],[قيمة مضافة]]</f>
        <v>0</v>
      </c>
      <c r="L142" s="1">
        <f>L141+Table118192023[[#This Row],[اجمالي الفاتوره]]-Table118192023[[#This Row],[الدفعات]]</f>
        <v>-1.1199999999880674</v>
      </c>
      <c r="N142" s="48"/>
    </row>
    <row r="143" spans="10:14" ht="21.6" customHeight="1" x14ac:dyDescent="0.3">
      <c r="J143" s="1">
        <f>Table118192023[[#This Row],[النولون]]+Table118192023[[#This Row],[الايصالات]]+Table118192023[[#This Row],[قيمة مضافة]]</f>
        <v>0</v>
      </c>
      <c r="L143" s="1">
        <f>L142+Table118192023[[#This Row],[اجمالي الفاتوره]]-Table118192023[[#This Row],[الدفعات]]</f>
        <v>-1.1199999999880674</v>
      </c>
      <c r="N143" s="48"/>
    </row>
    <row r="144" spans="10:14" ht="21.6" customHeight="1" x14ac:dyDescent="0.3">
      <c r="J144" s="1">
        <f>Table118192023[[#This Row],[النولون]]+Table118192023[[#This Row],[الايصالات]]+Table118192023[[#This Row],[قيمة مضافة]]</f>
        <v>0</v>
      </c>
      <c r="L144" s="1">
        <f>L143+Table118192023[[#This Row],[اجمالي الفاتوره]]-Table118192023[[#This Row],[الدفعات]]</f>
        <v>-1.1199999999880674</v>
      </c>
      <c r="N144" s="48"/>
    </row>
    <row r="145" spans="10:14" ht="21.6" customHeight="1" x14ac:dyDescent="0.3">
      <c r="J145" s="1">
        <f>Table118192023[[#This Row],[النولون]]+Table118192023[[#This Row],[الايصالات]]+Table118192023[[#This Row],[قيمة مضافة]]</f>
        <v>0</v>
      </c>
      <c r="L145" s="1">
        <f>L144+Table118192023[[#This Row],[اجمالي الفاتوره]]-Table118192023[[#This Row],[الدفعات]]</f>
        <v>-1.1199999999880674</v>
      </c>
      <c r="N145" s="48"/>
    </row>
    <row r="146" spans="10:14" ht="21.6" customHeight="1" x14ac:dyDescent="0.3">
      <c r="J146" s="1">
        <f>Table118192023[[#This Row],[النولون]]+Table118192023[[#This Row],[الايصالات]]+Table118192023[[#This Row],[قيمة مضافة]]</f>
        <v>0</v>
      </c>
      <c r="L146" s="1">
        <f>L145+Table118192023[[#This Row],[اجمالي الفاتوره]]-Table118192023[[#This Row],[الدفعات]]</f>
        <v>-1.1199999999880674</v>
      </c>
      <c r="N146" s="48"/>
    </row>
    <row r="147" spans="10:14" ht="21.6" customHeight="1" x14ac:dyDescent="0.3">
      <c r="J147" s="1">
        <f>Table118192023[[#This Row],[النولون]]+Table118192023[[#This Row],[الايصالات]]+Table118192023[[#This Row],[قيمة مضافة]]</f>
        <v>0</v>
      </c>
      <c r="L147" s="1">
        <f>L146+Table118192023[[#This Row],[اجمالي الفاتوره]]-Table118192023[[#This Row],[الدفعات]]</f>
        <v>-1.1199999999880674</v>
      </c>
      <c r="N147" s="48"/>
    </row>
    <row r="148" spans="10:14" ht="21.6" customHeight="1" x14ac:dyDescent="0.3">
      <c r="J148" s="1">
        <f>Table118192023[[#This Row],[النولون]]+Table118192023[[#This Row],[الايصالات]]+Table118192023[[#This Row],[قيمة مضافة]]</f>
        <v>0</v>
      </c>
      <c r="L148" s="1">
        <f>L147+Table118192023[[#This Row],[اجمالي الفاتوره]]-Table118192023[[#This Row],[الدفعات]]</f>
        <v>-1.1199999999880674</v>
      </c>
      <c r="N148" s="48"/>
    </row>
    <row r="149" spans="10:14" ht="21.6" customHeight="1" x14ac:dyDescent="0.3">
      <c r="J149" s="1">
        <f>Table118192023[[#This Row],[النولون]]+Table118192023[[#This Row],[الايصالات]]+Table118192023[[#This Row],[قيمة مضافة]]</f>
        <v>0</v>
      </c>
      <c r="L149" s="1">
        <f>L148+Table118192023[[#This Row],[اجمالي الفاتوره]]-Table118192023[[#This Row],[الدفعات]]</f>
        <v>-1.1199999999880674</v>
      </c>
      <c r="N149" s="48"/>
    </row>
    <row r="150" spans="10:14" ht="21.6" customHeight="1" x14ac:dyDescent="0.3">
      <c r="J150" s="1">
        <f>Table118192023[[#This Row],[النولون]]+Table118192023[[#This Row],[الايصالات]]+Table118192023[[#This Row],[قيمة مضافة]]</f>
        <v>0</v>
      </c>
      <c r="L150" s="1">
        <f>L149+Table118192023[[#This Row],[اجمالي الفاتوره]]-Table118192023[[#This Row],[الدفعات]]</f>
        <v>-1.1199999999880674</v>
      </c>
      <c r="N150" s="48"/>
    </row>
    <row r="151" spans="10:14" ht="21.6" customHeight="1" x14ac:dyDescent="0.3">
      <c r="J151" s="1">
        <f>Table118192023[[#This Row],[النولون]]+Table118192023[[#This Row],[الايصالات]]+Table118192023[[#This Row],[قيمة مضافة]]</f>
        <v>0</v>
      </c>
      <c r="L151" s="1">
        <f>L150+Table118192023[[#This Row],[اجمالي الفاتوره]]-Table118192023[[#This Row],[الدفعات]]</f>
        <v>-1.1199999999880674</v>
      </c>
      <c r="N151" s="48"/>
    </row>
    <row r="152" spans="10:14" ht="21.6" customHeight="1" x14ac:dyDescent="0.3">
      <c r="J152" s="1">
        <f>Table118192023[[#This Row],[النولون]]+Table118192023[[#This Row],[الايصالات]]+Table118192023[[#This Row],[قيمة مضافة]]</f>
        <v>0</v>
      </c>
      <c r="L152" s="1">
        <f>L151+Table118192023[[#This Row],[اجمالي الفاتوره]]-Table118192023[[#This Row],[الدفعات]]</f>
        <v>-1.1199999999880674</v>
      </c>
      <c r="N152" s="48"/>
    </row>
    <row r="153" spans="10:14" ht="21.6" customHeight="1" x14ac:dyDescent="0.3">
      <c r="J153" s="1">
        <f>Table118192023[[#This Row],[النولون]]+Table118192023[[#This Row],[الايصالات]]+Table118192023[[#This Row],[قيمة مضافة]]</f>
        <v>0</v>
      </c>
      <c r="L153" s="1">
        <f>L152+Table118192023[[#This Row],[اجمالي الفاتوره]]-Table118192023[[#This Row],[الدفعات]]</f>
        <v>-1.1199999999880674</v>
      </c>
      <c r="N153" s="48"/>
    </row>
    <row r="154" spans="10:14" ht="21.6" customHeight="1" x14ac:dyDescent="0.3">
      <c r="J154" s="1">
        <f>Table118192023[[#This Row],[النولون]]+Table118192023[[#This Row],[الايصالات]]+Table118192023[[#This Row],[قيمة مضافة]]</f>
        <v>0</v>
      </c>
      <c r="L154" s="1">
        <f>L153+Table118192023[[#This Row],[اجمالي الفاتوره]]-Table118192023[[#This Row],[الدفعات]]</f>
        <v>-1.1199999999880674</v>
      </c>
      <c r="N154" s="48"/>
    </row>
    <row r="155" spans="10:14" ht="21.6" customHeight="1" x14ac:dyDescent="0.3">
      <c r="J155" s="1">
        <f>Table118192023[[#This Row],[النولون]]+Table118192023[[#This Row],[الايصالات]]+Table118192023[[#This Row],[قيمة مضافة]]</f>
        <v>0</v>
      </c>
      <c r="L155" s="1">
        <f>L154+Table118192023[[#This Row],[اجمالي الفاتوره]]-Table118192023[[#This Row],[الدفعات]]</f>
        <v>-1.1199999999880674</v>
      </c>
      <c r="N155" s="48"/>
    </row>
    <row r="156" spans="10:14" ht="21.6" customHeight="1" x14ac:dyDescent="0.3">
      <c r="J156" s="1">
        <f>Table118192023[[#This Row],[النولون]]+Table118192023[[#This Row],[الايصالات]]+Table118192023[[#This Row],[قيمة مضافة]]</f>
        <v>0</v>
      </c>
      <c r="L156" s="1">
        <f>L155+Table118192023[[#This Row],[اجمالي الفاتوره]]-Table118192023[[#This Row],[الدفعات]]</f>
        <v>-1.1199999999880674</v>
      </c>
      <c r="N156" s="48"/>
    </row>
    <row r="157" spans="10:14" ht="21.6" customHeight="1" x14ac:dyDescent="0.3">
      <c r="J157" s="1">
        <f>Table118192023[[#This Row],[النولون]]+Table118192023[[#This Row],[الايصالات]]+Table118192023[[#This Row],[قيمة مضافة]]</f>
        <v>0</v>
      </c>
      <c r="L157" s="1">
        <f>L156+Table118192023[[#This Row],[اجمالي الفاتوره]]-Table118192023[[#This Row],[الدفعات]]</f>
        <v>-1.1199999999880674</v>
      </c>
      <c r="N157" s="48"/>
    </row>
    <row r="158" spans="10:14" ht="21.6" customHeight="1" x14ac:dyDescent="0.3">
      <c r="J158" s="1">
        <f>Table118192023[[#This Row],[النولون]]+Table118192023[[#This Row],[الايصالات]]+Table118192023[[#This Row],[قيمة مضافة]]</f>
        <v>0</v>
      </c>
      <c r="L158" s="1">
        <f>L157+Table118192023[[#This Row],[اجمالي الفاتوره]]-Table118192023[[#This Row],[الدفعات]]</f>
        <v>-1.1199999999880674</v>
      </c>
      <c r="N158" s="48"/>
    </row>
    <row r="159" spans="10:14" ht="21.6" customHeight="1" x14ac:dyDescent="0.3">
      <c r="J159" s="1">
        <f>Table118192023[[#This Row],[النولون]]+Table118192023[[#This Row],[الايصالات]]+Table118192023[[#This Row],[قيمة مضافة]]</f>
        <v>0</v>
      </c>
      <c r="L159" s="1">
        <f>L158+Table118192023[[#This Row],[اجمالي الفاتوره]]-Table118192023[[#This Row],[الدفعات]]</f>
        <v>-1.1199999999880674</v>
      </c>
      <c r="N159" s="48"/>
    </row>
    <row r="160" spans="10:14" ht="21.6" customHeight="1" x14ac:dyDescent="0.3">
      <c r="J160" s="1">
        <f>Table118192023[[#This Row],[النولون]]+Table118192023[[#This Row],[الايصالات]]+Table118192023[[#This Row],[قيمة مضافة]]</f>
        <v>0</v>
      </c>
      <c r="L160" s="1">
        <f>L159+Table118192023[[#This Row],[اجمالي الفاتوره]]-Table118192023[[#This Row],[الدفعات]]</f>
        <v>-1.1199999999880674</v>
      </c>
      <c r="N160" s="48"/>
    </row>
    <row r="161" spans="10:14" ht="21.6" customHeight="1" x14ac:dyDescent="0.3">
      <c r="J161" s="1">
        <f>Table118192023[[#This Row],[النولون]]+Table118192023[[#This Row],[الايصالات]]+Table118192023[[#This Row],[قيمة مضافة]]</f>
        <v>0</v>
      </c>
      <c r="L161" s="1">
        <f>L160+Table118192023[[#This Row],[اجمالي الفاتوره]]-Table118192023[[#This Row],[الدفعات]]</f>
        <v>-1.1199999999880674</v>
      </c>
      <c r="N161" s="48"/>
    </row>
    <row r="162" spans="10:14" ht="21.6" customHeight="1" x14ac:dyDescent="0.3">
      <c r="J162" s="1">
        <f>Table118192023[[#This Row],[النولون]]+Table118192023[[#This Row],[الايصالات]]+Table118192023[[#This Row],[قيمة مضافة]]</f>
        <v>0</v>
      </c>
      <c r="L162" s="1">
        <f>L161+Table118192023[[#This Row],[اجمالي الفاتوره]]-Table118192023[[#This Row],[الدفعات]]</f>
        <v>-1.1199999999880674</v>
      </c>
      <c r="N162" s="48"/>
    </row>
    <row r="163" spans="10:14" ht="21.6" customHeight="1" x14ac:dyDescent="0.3">
      <c r="J163" s="1">
        <f>Table118192023[[#This Row],[النولون]]+Table118192023[[#This Row],[الايصالات]]+Table118192023[[#This Row],[قيمة مضافة]]</f>
        <v>0</v>
      </c>
      <c r="L163" s="1">
        <f>L162+Table118192023[[#This Row],[اجمالي الفاتوره]]-Table118192023[[#This Row],[الدفعات]]</f>
        <v>-1.1199999999880674</v>
      </c>
      <c r="N163" s="48"/>
    </row>
    <row r="164" spans="10:14" ht="21.6" customHeight="1" x14ac:dyDescent="0.3">
      <c r="J164" s="1">
        <f>Table118192023[[#This Row],[النولون]]+Table118192023[[#This Row],[الايصالات]]+Table118192023[[#This Row],[قيمة مضافة]]</f>
        <v>0</v>
      </c>
      <c r="L164" s="1">
        <f>L163+Table118192023[[#This Row],[اجمالي الفاتوره]]-Table118192023[[#This Row],[الدفعات]]</f>
        <v>-1.1199999999880674</v>
      </c>
      <c r="N164" s="48"/>
    </row>
    <row r="165" spans="10:14" ht="21.6" customHeight="1" x14ac:dyDescent="0.3">
      <c r="J165" s="1">
        <f>Table118192023[[#This Row],[النولون]]+Table118192023[[#This Row],[الايصالات]]+Table118192023[[#This Row],[قيمة مضافة]]</f>
        <v>0</v>
      </c>
      <c r="L165" s="1">
        <f>L164+Table118192023[[#This Row],[اجمالي الفاتوره]]-Table118192023[[#This Row],[الدفعات]]</f>
        <v>-1.1199999999880674</v>
      </c>
      <c r="N165" s="48"/>
    </row>
    <row r="166" spans="10:14" ht="21.6" customHeight="1" x14ac:dyDescent="0.3">
      <c r="J166" s="1">
        <f>Table118192023[[#This Row],[النولون]]+Table118192023[[#This Row],[الايصالات]]+Table118192023[[#This Row],[قيمة مضافة]]</f>
        <v>0</v>
      </c>
      <c r="L166" s="1">
        <f>L165+Table118192023[[#This Row],[اجمالي الفاتوره]]-Table118192023[[#This Row],[الدفعات]]</f>
        <v>-1.1199999999880674</v>
      </c>
      <c r="N166" s="48"/>
    </row>
    <row r="167" spans="10:14" ht="21.6" customHeight="1" x14ac:dyDescent="0.3">
      <c r="J167" s="1">
        <f>Table118192023[[#This Row],[النولون]]+Table118192023[[#This Row],[الايصالات]]+Table118192023[[#This Row],[قيمة مضافة]]</f>
        <v>0</v>
      </c>
      <c r="L167" s="1">
        <f>L166+Table118192023[[#This Row],[اجمالي الفاتوره]]-Table118192023[[#This Row],[الدفعات]]</f>
        <v>-1.1199999999880674</v>
      </c>
      <c r="N167" s="48"/>
    </row>
    <row r="168" spans="10:14" ht="21.6" customHeight="1" x14ac:dyDescent="0.3">
      <c r="J168" s="1">
        <f>Table118192023[[#This Row],[النولون]]+Table118192023[[#This Row],[الايصالات]]+Table118192023[[#This Row],[قيمة مضافة]]</f>
        <v>0</v>
      </c>
      <c r="L168" s="1">
        <f>L167+Table118192023[[#This Row],[اجمالي الفاتوره]]-Table118192023[[#This Row],[الدفعات]]</f>
        <v>-1.1199999999880674</v>
      </c>
      <c r="N168" s="48"/>
    </row>
    <row r="169" spans="10:14" ht="21.6" customHeight="1" x14ac:dyDescent="0.3">
      <c r="J169" s="1">
        <f>Table118192023[[#This Row],[النولون]]+Table118192023[[#This Row],[الايصالات]]+Table118192023[[#This Row],[قيمة مضافة]]</f>
        <v>0</v>
      </c>
      <c r="L169" s="1">
        <f>L168+Table118192023[[#This Row],[اجمالي الفاتوره]]-Table118192023[[#This Row],[الدفعات]]</f>
        <v>-1.1199999999880674</v>
      </c>
      <c r="N169" s="48"/>
    </row>
    <row r="170" spans="10:14" ht="21.6" customHeight="1" x14ac:dyDescent="0.3">
      <c r="J170" s="1">
        <f>Table118192023[[#This Row],[النولون]]+Table118192023[[#This Row],[الايصالات]]+Table118192023[[#This Row],[قيمة مضافة]]</f>
        <v>0</v>
      </c>
      <c r="L170" s="1">
        <f>L169+Table118192023[[#This Row],[اجمالي الفاتوره]]-Table118192023[[#This Row],[الدفعات]]</f>
        <v>-1.1199999999880674</v>
      </c>
      <c r="N170" s="48"/>
    </row>
    <row r="171" spans="10:14" ht="21.6" customHeight="1" x14ac:dyDescent="0.3">
      <c r="J171" s="1">
        <f>Table118192023[[#This Row],[النولون]]+Table118192023[[#This Row],[الايصالات]]+Table118192023[[#This Row],[قيمة مضافة]]</f>
        <v>0</v>
      </c>
      <c r="L171" s="1">
        <f>L170+Table118192023[[#This Row],[اجمالي الفاتوره]]-Table118192023[[#This Row],[الدفعات]]</f>
        <v>-1.1199999999880674</v>
      </c>
      <c r="N171" s="48"/>
    </row>
    <row r="172" spans="10:14" ht="21.6" customHeight="1" x14ac:dyDescent="0.3">
      <c r="J172" s="1">
        <f>Table118192023[[#This Row],[النولون]]+Table118192023[[#This Row],[الايصالات]]+Table118192023[[#This Row],[قيمة مضافة]]</f>
        <v>0</v>
      </c>
      <c r="L172" s="1">
        <f>L171+Table118192023[[#This Row],[اجمالي الفاتوره]]-Table118192023[[#This Row],[الدفعات]]</f>
        <v>-1.1199999999880674</v>
      </c>
      <c r="N172" s="48"/>
    </row>
    <row r="173" spans="10:14" ht="21.6" customHeight="1" x14ac:dyDescent="0.3">
      <c r="J173" s="1">
        <f>Table118192023[[#This Row],[النولون]]+Table118192023[[#This Row],[الايصالات]]+Table118192023[[#This Row],[قيمة مضافة]]</f>
        <v>0</v>
      </c>
      <c r="L173" s="1">
        <f>L172+Table118192023[[#This Row],[اجمالي الفاتوره]]-Table118192023[[#This Row],[الدفعات]]</f>
        <v>-1.1199999999880674</v>
      </c>
      <c r="N173" s="48"/>
    </row>
    <row r="174" spans="10:14" ht="21.6" customHeight="1" x14ac:dyDescent="0.3">
      <c r="J174" s="1">
        <f>Table118192023[[#This Row],[النولون]]+Table118192023[[#This Row],[الايصالات]]+Table118192023[[#This Row],[قيمة مضافة]]</f>
        <v>0</v>
      </c>
      <c r="L174" s="1">
        <f>L173+Table118192023[[#This Row],[اجمالي الفاتوره]]-Table118192023[[#This Row],[الدفعات]]</f>
        <v>-1.1199999999880674</v>
      </c>
      <c r="N174" s="48"/>
    </row>
    <row r="175" spans="10:14" ht="21.6" customHeight="1" x14ac:dyDescent="0.3">
      <c r="J175" s="1">
        <f>Table118192023[[#This Row],[النولون]]+Table118192023[[#This Row],[الايصالات]]+Table118192023[[#This Row],[قيمة مضافة]]</f>
        <v>0</v>
      </c>
      <c r="L175" s="1">
        <f>L174+Table118192023[[#This Row],[اجمالي الفاتوره]]-Table118192023[[#This Row],[الدفعات]]</f>
        <v>-1.1199999999880674</v>
      </c>
      <c r="N175" s="48"/>
    </row>
    <row r="176" spans="10:14" ht="21.6" customHeight="1" x14ac:dyDescent="0.3">
      <c r="J176" s="1">
        <f>Table118192023[[#This Row],[النولون]]+Table118192023[[#This Row],[الايصالات]]+Table118192023[[#This Row],[قيمة مضافة]]</f>
        <v>0</v>
      </c>
      <c r="L176" s="1">
        <f>L175+Table118192023[[#This Row],[اجمالي الفاتوره]]-Table118192023[[#This Row],[الدفعات]]</f>
        <v>-1.1199999999880674</v>
      </c>
      <c r="N176" s="48"/>
    </row>
    <row r="177" spans="10:14" ht="21.6" customHeight="1" x14ac:dyDescent="0.3">
      <c r="J177" s="1">
        <f>Table118192023[[#This Row],[النولون]]+Table118192023[[#This Row],[الايصالات]]+Table118192023[[#This Row],[قيمة مضافة]]</f>
        <v>0</v>
      </c>
      <c r="L177" s="1">
        <f>L176+Table118192023[[#This Row],[اجمالي الفاتوره]]-Table118192023[[#This Row],[الدفعات]]</f>
        <v>-1.1199999999880674</v>
      </c>
      <c r="N177" s="48"/>
    </row>
    <row r="178" spans="10:14" ht="21.6" customHeight="1" x14ac:dyDescent="0.3">
      <c r="J178" s="1">
        <f>Table118192023[[#This Row],[النولون]]+Table118192023[[#This Row],[الايصالات]]+Table118192023[[#This Row],[قيمة مضافة]]</f>
        <v>0</v>
      </c>
      <c r="L178" s="1">
        <f>L177+Table118192023[[#This Row],[اجمالي الفاتوره]]-Table118192023[[#This Row],[الدفعات]]</f>
        <v>-1.1199999999880674</v>
      </c>
      <c r="N178" s="48"/>
    </row>
    <row r="179" spans="10:14" ht="21.6" customHeight="1" x14ac:dyDescent="0.3">
      <c r="J179" s="1">
        <f>Table118192023[[#This Row],[النولون]]+Table118192023[[#This Row],[الايصالات]]+Table118192023[[#This Row],[قيمة مضافة]]</f>
        <v>0</v>
      </c>
      <c r="L179" s="1">
        <f>L178+Table118192023[[#This Row],[اجمالي الفاتوره]]-Table118192023[[#This Row],[الدفعات]]</f>
        <v>-1.1199999999880674</v>
      </c>
      <c r="N179" s="48"/>
    </row>
    <row r="180" spans="10:14" ht="21.6" customHeight="1" x14ac:dyDescent="0.3">
      <c r="J180" s="1">
        <f>Table118192023[[#This Row],[النولون]]+Table118192023[[#This Row],[الايصالات]]+Table118192023[[#This Row],[قيمة مضافة]]</f>
        <v>0</v>
      </c>
      <c r="L180" s="1">
        <f>L179+Table118192023[[#This Row],[اجمالي الفاتوره]]-Table118192023[[#This Row],[الدفعات]]</f>
        <v>-1.1199999999880674</v>
      </c>
      <c r="N180" s="48"/>
    </row>
    <row r="181" spans="10:14" ht="21.6" customHeight="1" x14ac:dyDescent="0.3">
      <c r="J181" s="1">
        <f>Table118192023[[#This Row],[النولون]]+Table118192023[[#This Row],[الايصالات]]+Table118192023[[#This Row],[قيمة مضافة]]</f>
        <v>0</v>
      </c>
      <c r="L181" s="1">
        <f>L180+Table118192023[[#This Row],[اجمالي الفاتوره]]-Table118192023[[#This Row],[الدفعات]]</f>
        <v>-1.1199999999880674</v>
      </c>
      <c r="N181" s="48"/>
    </row>
    <row r="182" spans="10:14" ht="21.6" customHeight="1" x14ac:dyDescent="0.3">
      <c r="J182" s="1">
        <f>Table118192023[[#This Row],[النولون]]+Table118192023[[#This Row],[الايصالات]]+Table118192023[[#This Row],[قيمة مضافة]]</f>
        <v>0</v>
      </c>
      <c r="L182" s="1">
        <f>L181+Table118192023[[#This Row],[اجمالي الفاتوره]]-Table118192023[[#This Row],[الدفعات]]</f>
        <v>-1.1199999999880674</v>
      </c>
      <c r="N182" s="48"/>
    </row>
    <row r="183" spans="10:14" ht="21.6" customHeight="1" x14ac:dyDescent="0.3">
      <c r="J183" s="1">
        <f>Table118192023[[#This Row],[النولون]]+Table118192023[[#This Row],[الايصالات]]+Table118192023[[#This Row],[قيمة مضافة]]</f>
        <v>0</v>
      </c>
      <c r="L183" s="1">
        <f>L182+Table118192023[[#This Row],[اجمالي الفاتوره]]-Table118192023[[#This Row],[الدفعات]]</f>
        <v>-1.1199999999880674</v>
      </c>
      <c r="N183" s="48"/>
    </row>
    <row r="184" spans="10:14" ht="21.6" customHeight="1" x14ac:dyDescent="0.3">
      <c r="J184" s="1">
        <f>Table118192023[[#This Row],[النولون]]+Table118192023[[#This Row],[الايصالات]]+Table118192023[[#This Row],[قيمة مضافة]]</f>
        <v>0</v>
      </c>
      <c r="L184" s="1">
        <f>L183+Table118192023[[#This Row],[اجمالي الفاتوره]]-Table118192023[[#This Row],[الدفعات]]</f>
        <v>-1.1199999999880674</v>
      </c>
      <c r="N184" s="48"/>
    </row>
    <row r="185" spans="10:14" ht="21.6" customHeight="1" x14ac:dyDescent="0.3">
      <c r="J185" s="1">
        <f>Table118192023[[#This Row],[النولون]]+Table118192023[[#This Row],[الايصالات]]+Table118192023[[#This Row],[قيمة مضافة]]</f>
        <v>0</v>
      </c>
      <c r="L185" s="1">
        <f>L184+Table118192023[[#This Row],[اجمالي الفاتوره]]-Table118192023[[#This Row],[الدفعات]]</f>
        <v>-1.1199999999880674</v>
      </c>
      <c r="N185" s="48"/>
    </row>
    <row r="186" spans="10:14" ht="21.6" customHeight="1" x14ac:dyDescent="0.3">
      <c r="J186" s="1">
        <f>Table118192023[[#This Row],[النولون]]+Table118192023[[#This Row],[الايصالات]]+Table118192023[[#This Row],[قيمة مضافة]]</f>
        <v>0</v>
      </c>
      <c r="L186" s="1">
        <f>L185+Table118192023[[#This Row],[اجمالي الفاتوره]]-Table118192023[[#This Row],[الدفعات]]</f>
        <v>-1.1199999999880674</v>
      </c>
      <c r="N186" s="48"/>
    </row>
    <row r="187" spans="10:14" ht="21.6" customHeight="1" x14ac:dyDescent="0.3">
      <c r="J187" s="1">
        <f>Table118192023[[#This Row],[النولون]]+Table118192023[[#This Row],[الايصالات]]+Table118192023[[#This Row],[قيمة مضافة]]</f>
        <v>0</v>
      </c>
      <c r="L187" s="1">
        <f>L186+Table118192023[[#This Row],[اجمالي الفاتوره]]-Table118192023[[#This Row],[الدفعات]]</f>
        <v>-1.1199999999880674</v>
      </c>
      <c r="N187" s="48"/>
    </row>
    <row r="188" spans="10:14" ht="21.6" customHeight="1" x14ac:dyDescent="0.3">
      <c r="J188" s="1">
        <f>Table118192023[[#This Row],[النولون]]+Table118192023[[#This Row],[الايصالات]]+Table118192023[[#This Row],[قيمة مضافة]]</f>
        <v>0</v>
      </c>
      <c r="L188" s="1">
        <f>L187+Table118192023[[#This Row],[اجمالي الفاتوره]]-Table118192023[[#This Row],[الدفعات]]</f>
        <v>-1.1199999999880674</v>
      </c>
      <c r="N188" s="48"/>
    </row>
    <row r="189" spans="10:14" ht="21.6" customHeight="1" x14ac:dyDescent="0.3">
      <c r="J189" s="1">
        <f>Table118192023[[#This Row],[النولون]]+Table118192023[[#This Row],[الايصالات]]+Table118192023[[#This Row],[قيمة مضافة]]</f>
        <v>0</v>
      </c>
      <c r="L189" s="1">
        <f>L188+Table118192023[[#This Row],[اجمالي الفاتوره]]-Table118192023[[#This Row],[الدفعات]]</f>
        <v>-1.1199999999880674</v>
      </c>
      <c r="N189" s="48"/>
    </row>
    <row r="190" spans="10:14" ht="21.6" customHeight="1" x14ac:dyDescent="0.3">
      <c r="J190" s="1">
        <f>Table118192023[[#This Row],[النولون]]+Table118192023[[#This Row],[الايصالات]]+Table118192023[[#This Row],[قيمة مضافة]]</f>
        <v>0</v>
      </c>
      <c r="L190" s="1">
        <f>L189+Table118192023[[#This Row],[اجمالي الفاتوره]]-Table118192023[[#This Row],[الدفعات]]</f>
        <v>-1.1199999999880674</v>
      </c>
      <c r="N190" s="48"/>
    </row>
    <row r="191" spans="10:14" ht="21.6" customHeight="1" x14ac:dyDescent="0.3">
      <c r="J191" s="1">
        <f>Table118192023[[#This Row],[النولون]]+Table118192023[[#This Row],[الايصالات]]+Table118192023[[#This Row],[قيمة مضافة]]</f>
        <v>0</v>
      </c>
      <c r="L191" s="1">
        <f>L190+Table118192023[[#This Row],[اجمالي الفاتوره]]-Table118192023[[#This Row],[الدفعات]]</f>
        <v>-1.1199999999880674</v>
      </c>
      <c r="N191" s="48"/>
    </row>
    <row r="192" spans="10:14" ht="21.6" customHeight="1" x14ac:dyDescent="0.3">
      <c r="J192" s="1">
        <f>Table118192023[[#This Row],[النولون]]+Table118192023[[#This Row],[الايصالات]]+Table118192023[[#This Row],[قيمة مضافة]]</f>
        <v>0</v>
      </c>
      <c r="L192" s="1">
        <f>L191+Table118192023[[#This Row],[اجمالي الفاتوره]]-Table118192023[[#This Row],[الدفعات]]</f>
        <v>-1.1199999999880674</v>
      </c>
      <c r="N192" s="48"/>
    </row>
    <row r="193" spans="10:14" ht="21.6" customHeight="1" x14ac:dyDescent="0.3">
      <c r="J193" s="1">
        <f>Table118192023[[#This Row],[النولون]]+Table118192023[[#This Row],[الايصالات]]+Table118192023[[#This Row],[قيمة مضافة]]</f>
        <v>0</v>
      </c>
      <c r="L193" s="1">
        <f>L192+Table118192023[[#This Row],[اجمالي الفاتوره]]-Table118192023[[#This Row],[الدفعات]]</f>
        <v>-1.1199999999880674</v>
      </c>
      <c r="N193" s="48"/>
    </row>
    <row r="194" spans="10:14" ht="21.6" customHeight="1" x14ac:dyDescent="0.3">
      <c r="J194" s="1">
        <f>Table118192023[[#This Row],[النولون]]+Table118192023[[#This Row],[الايصالات]]+Table118192023[[#This Row],[قيمة مضافة]]</f>
        <v>0</v>
      </c>
      <c r="L194" s="1">
        <f>L193+Table118192023[[#This Row],[اجمالي الفاتوره]]-Table118192023[[#This Row],[الدفعات]]</f>
        <v>-1.1199999999880674</v>
      </c>
      <c r="N194" s="48"/>
    </row>
    <row r="195" spans="10:14" ht="21.6" customHeight="1" x14ac:dyDescent="0.3">
      <c r="J195" s="1">
        <f>Table118192023[[#This Row],[النولون]]+Table118192023[[#This Row],[الايصالات]]+Table118192023[[#This Row],[قيمة مضافة]]</f>
        <v>0</v>
      </c>
      <c r="L195" s="1">
        <f>L194+Table118192023[[#This Row],[اجمالي الفاتوره]]-Table118192023[[#This Row],[الدفعات]]</f>
        <v>-1.1199999999880674</v>
      </c>
      <c r="N195" s="48"/>
    </row>
    <row r="196" spans="10:14" ht="21.6" customHeight="1" x14ac:dyDescent="0.3">
      <c r="J196" s="1">
        <f>Table118192023[[#This Row],[النولون]]+Table118192023[[#This Row],[الايصالات]]+Table118192023[[#This Row],[قيمة مضافة]]</f>
        <v>0</v>
      </c>
      <c r="L196" s="1">
        <f>L195+Table118192023[[#This Row],[اجمالي الفاتوره]]-Table118192023[[#This Row],[الدفعات]]</f>
        <v>-1.1199999999880674</v>
      </c>
      <c r="N196" s="48"/>
    </row>
    <row r="197" spans="10:14" ht="21.6" customHeight="1" x14ac:dyDescent="0.3">
      <c r="J197" s="1">
        <f>Table118192023[[#This Row],[النولون]]+Table118192023[[#This Row],[الايصالات]]+Table118192023[[#This Row],[قيمة مضافة]]</f>
        <v>0</v>
      </c>
      <c r="L197" s="1">
        <f>L196+Table118192023[[#This Row],[اجمالي الفاتوره]]-Table118192023[[#This Row],[الدفعات]]</f>
        <v>-1.1199999999880674</v>
      </c>
      <c r="N197" s="48"/>
    </row>
    <row r="198" spans="10:14" ht="21.6" customHeight="1" x14ac:dyDescent="0.3">
      <c r="J198" s="1">
        <f>Table118192023[[#This Row],[النولون]]+Table118192023[[#This Row],[الايصالات]]+Table118192023[[#This Row],[قيمة مضافة]]</f>
        <v>0</v>
      </c>
      <c r="L198" s="1">
        <f>L197+Table118192023[[#This Row],[اجمالي الفاتوره]]-Table118192023[[#This Row],[الدفعات]]</f>
        <v>-1.1199999999880674</v>
      </c>
      <c r="N198" s="48"/>
    </row>
    <row r="199" spans="10:14" ht="21.6" customHeight="1" x14ac:dyDescent="0.3">
      <c r="J199" s="1">
        <f>Table118192023[[#This Row],[النولون]]+Table118192023[[#This Row],[الايصالات]]+Table118192023[[#This Row],[قيمة مضافة]]</f>
        <v>0</v>
      </c>
      <c r="L199" s="1">
        <f>L198+Table118192023[[#This Row],[اجمالي الفاتوره]]-Table118192023[[#This Row],[الدفعات]]</f>
        <v>-1.1199999999880674</v>
      </c>
      <c r="N199" s="48"/>
    </row>
    <row r="200" spans="10:14" ht="21.6" customHeight="1" x14ac:dyDescent="0.3">
      <c r="J200" s="1">
        <f>Table118192023[[#This Row],[النولون]]+Table118192023[[#This Row],[الايصالات]]+Table118192023[[#This Row],[قيمة مضافة]]</f>
        <v>0</v>
      </c>
      <c r="L200" s="1">
        <f>L199+Table118192023[[#This Row],[اجمالي الفاتوره]]-Table118192023[[#This Row],[الدفعات]]</f>
        <v>-1.1199999999880674</v>
      </c>
      <c r="N200" s="48"/>
    </row>
    <row r="201" spans="10:14" ht="21.6" customHeight="1" x14ac:dyDescent="0.3">
      <c r="J201" s="1">
        <f>Table118192023[[#This Row],[النولون]]+Table118192023[[#This Row],[الايصالات]]+Table118192023[[#This Row],[قيمة مضافة]]</f>
        <v>0</v>
      </c>
      <c r="L201" s="1">
        <f>L200+Table118192023[[#This Row],[اجمالي الفاتوره]]-Table118192023[[#This Row],[الدفعات]]</f>
        <v>-1.1199999999880674</v>
      </c>
      <c r="N201" s="48"/>
    </row>
    <row r="202" spans="10:14" ht="21.6" customHeight="1" x14ac:dyDescent="0.3">
      <c r="J202" s="1">
        <f>Table118192023[[#This Row],[النولون]]+Table118192023[[#This Row],[الايصالات]]+Table118192023[[#This Row],[قيمة مضافة]]</f>
        <v>0</v>
      </c>
      <c r="L202" s="1">
        <f>L201+Table118192023[[#This Row],[اجمالي الفاتوره]]-Table118192023[[#This Row],[الدفعات]]</f>
        <v>-1.1199999999880674</v>
      </c>
      <c r="N202" s="48"/>
    </row>
    <row r="203" spans="10:14" ht="21.6" customHeight="1" x14ac:dyDescent="0.3">
      <c r="J203" s="1">
        <f>Table118192023[[#This Row],[النولون]]+Table118192023[[#This Row],[الايصالات]]+Table118192023[[#This Row],[قيمة مضافة]]</f>
        <v>0</v>
      </c>
      <c r="L203" s="1">
        <f>L202+Table118192023[[#This Row],[اجمالي الفاتوره]]-Table118192023[[#This Row],[الدفعات]]</f>
        <v>-1.1199999999880674</v>
      </c>
      <c r="N203" s="48"/>
    </row>
    <row r="204" spans="10:14" ht="21.6" customHeight="1" x14ac:dyDescent="0.3">
      <c r="J204" s="1">
        <f>Table118192023[[#This Row],[النولون]]+Table118192023[[#This Row],[الايصالات]]+Table118192023[[#This Row],[قيمة مضافة]]</f>
        <v>0</v>
      </c>
      <c r="L204" s="1">
        <f>L203+Table118192023[[#This Row],[اجمالي الفاتوره]]-Table118192023[[#This Row],[الدفعات]]</f>
        <v>-1.1199999999880674</v>
      </c>
      <c r="N204" s="48"/>
    </row>
    <row r="205" spans="10:14" ht="21.6" customHeight="1" x14ac:dyDescent="0.3">
      <c r="J205" s="1">
        <f>Table118192023[[#This Row],[النولون]]+Table118192023[[#This Row],[الايصالات]]+Table118192023[[#This Row],[قيمة مضافة]]</f>
        <v>0</v>
      </c>
      <c r="L205" s="1">
        <f>L204+Table118192023[[#This Row],[اجمالي الفاتوره]]-Table118192023[[#This Row],[الدفعات]]</f>
        <v>-1.1199999999880674</v>
      </c>
      <c r="N205" s="48"/>
    </row>
    <row r="206" spans="10:14" ht="21.6" customHeight="1" x14ac:dyDescent="0.3">
      <c r="J206" s="1">
        <f>Table118192023[[#This Row],[النولون]]+Table118192023[[#This Row],[الايصالات]]+Table118192023[[#This Row],[قيمة مضافة]]</f>
        <v>0</v>
      </c>
      <c r="L206" s="1">
        <f>L205+Table118192023[[#This Row],[اجمالي الفاتوره]]-Table118192023[[#This Row],[الدفعات]]</f>
        <v>-1.1199999999880674</v>
      </c>
      <c r="N206" s="48"/>
    </row>
    <row r="207" spans="10:14" ht="21.6" customHeight="1" x14ac:dyDescent="0.3">
      <c r="J207" s="1">
        <f>Table118192023[[#This Row],[النولون]]+Table118192023[[#This Row],[الايصالات]]+Table118192023[[#This Row],[قيمة مضافة]]</f>
        <v>0</v>
      </c>
      <c r="L207" s="1">
        <f>L206+Table118192023[[#This Row],[اجمالي الفاتوره]]-Table118192023[[#This Row],[الدفعات]]</f>
        <v>-1.1199999999880674</v>
      </c>
      <c r="N207" s="48"/>
    </row>
    <row r="208" spans="10:14" ht="21.6" customHeight="1" x14ac:dyDescent="0.3">
      <c r="J208" s="1">
        <f>Table118192023[[#This Row],[النولون]]+Table118192023[[#This Row],[الايصالات]]+Table118192023[[#This Row],[قيمة مضافة]]</f>
        <v>0</v>
      </c>
      <c r="L208" s="1">
        <f>L207+Table118192023[[#This Row],[اجمالي الفاتوره]]-Table118192023[[#This Row],[الدفعات]]</f>
        <v>-1.1199999999880674</v>
      </c>
      <c r="N208" s="48"/>
    </row>
    <row r="209" spans="10:14" ht="21.6" customHeight="1" x14ac:dyDescent="0.3">
      <c r="J209" s="1">
        <f>Table118192023[[#This Row],[النولون]]+Table118192023[[#This Row],[الايصالات]]+Table118192023[[#This Row],[قيمة مضافة]]</f>
        <v>0</v>
      </c>
      <c r="L209" s="1">
        <f>L208+Table118192023[[#This Row],[اجمالي الفاتوره]]-Table118192023[[#This Row],[الدفعات]]</f>
        <v>-1.1199999999880674</v>
      </c>
      <c r="N209" s="48"/>
    </row>
    <row r="210" spans="10:14" ht="21.6" customHeight="1" x14ac:dyDescent="0.3">
      <c r="J210" s="1">
        <f>Table118192023[[#This Row],[النولون]]+Table118192023[[#This Row],[الايصالات]]+Table118192023[[#This Row],[قيمة مضافة]]</f>
        <v>0</v>
      </c>
      <c r="L210" s="1">
        <f>L209+Table118192023[[#This Row],[اجمالي الفاتوره]]-Table118192023[[#This Row],[الدفعات]]</f>
        <v>-1.1199999999880674</v>
      </c>
      <c r="N210" s="48"/>
    </row>
    <row r="211" spans="10:14" ht="21.6" customHeight="1" x14ac:dyDescent="0.3">
      <c r="J211" s="1">
        <f>Table118192023[[#This Row],[النولون]]+Table118192023[[#This Row],[الايصالات]]+Table118192023[[#This Row],[قيمة مضافة]]</f>
        <v>0</v>
      </c>
      <c r="L211" s="1">
        <f>L210+Table118192023[[#This Row],[اجمالي الفاتوره]]-Table118192023[[#This Row],[الدفعات]]</f>
        <v>-1.1199999999880674</v>
      </c>
      <c r="N211" s="48"/>
    </row>
    <row r="212" spans="10:14" ht="21.6" customHeight="1" x14ac:dyDescent="0.3">
      <c r="J212" s="1">
        <f>Table118192023[[#This Row],[النولون]]+Table118192023[[#This Row],[الايصالات]]+Table118192023[[#This Row],[قيمة مضافة]]</f>
        <v>0</v>
      </c>
      <c r="L212" s="1">
        <f>L211+Table118192023[[#This Row],[اجمالي الفاتوره]]-Table118192023[[#This Row],[الدفعات]]</f>
        <v>-1.1199999999880674</v>
      </c>
      <c r="N212" s="48"/>
    </row>
    <row r="213" spans="10:14" ht="21.6" customHeight="1" x14ac:dyDescent="0.3">
      <c r="J213" s="1">
        <f>Table118192023[[#This Row],[النولون]]+Table118192023[[#This Row],[الايصالات]]+Table118192023[[#This Row],[قيمة مضافة]]</f>
        <v>0</v>
      </c>
      <c r="L213" s="1">
        <f>L212+Table118192023[[#This Row],[اجمالي الفاتوره]]-Table118192023[[#This Row],[الدفعات]]</f>
        <v>-1.1199999999880674</v>
      </c>
      <c r="N213" s="48"/>
    </row>
    <row r="214" spans="10:14" ht="21.6" customHeight="1" x14ac:dyDescent="0.3">
      <c r="J214" s="1">
        <f>Table118192023[[#This Row],[النولون]]+Table118192023[[#This Row],[الايصالات]]+Table118192023[[#This Row],[قيمة مضافة]]</f>
        <v>0</v>
      </c>
      <c r="L214" s="1">
        <f>L213+Table118192023[[#This Row],[اجمالي الفاتوره]]-Table118192023[[#This Row],[الدفعات]]</f>
        <v>-1.1199999999880674</v>
      </c>
      <c r="N214" s="48"/>
    </row>
    <row r="215" spans="10:14" ht="21.6" customHeight="1" x14ac:dyDescent="0.3">
      <c r="J215" s="1">
        <f>Table118192023[[#This Row],[النولون]]+Table118192023[[#This Row],[الايصالات]]+Table118192023[[#This Row],[قيمة مضافة]]</f>
        <v>0</v>
      </c>
      <c r="L215" s="1">
        <f>L214+Table118192023[[#This Row],[اجمالي الفاتوره]]-Table118192023[[#This Row],[الدفعات]]</f>
        <v>-1.1199999999880674</v>
      </c>
      <c r="N215" s="48"/>
    </row>
    <row r="216" spans="10:14" ht="21.6" customHeight="1" x14ac:dyDescent="0.3">
      <c r="J216" s="1">
        <f>Table118192023[[#This Row],[النولون]]+Table118192023[[#This Row],[الايصالات]]+Table118192023[[#This Row],[قيمة مضافة]]</f>
        <v>0</v>
      </c>
      <c r="L216" s="1">
        <f>L215+Table118192023[[#This Row],[اجمالي الفاتوره]]-Table118192023[[#This Row],[الدفعات]]</f>
        <v>-1.1199999999880674</v>
      </c>
      <c r="N216" s="48"/>
    </row>
    <row r="217" spans="10:14" ht="21.6" customHeight="1" x14ac:dyDescent="0.3">
      <c r="J217" s="1">
        <f>Table118192023[[#This Row],[النولون]]+Table118192023[[#This Row],[الايصالات]]+Table118192023[[#This Row],[قيمة مضافة]]</f>
        <v>0</v>
      </c>
      <c r="L217" s="1">
        <f>L216+Table118192023[[#This Row],[اجمالي الفاتوره]]-Table118192023[[#This Row],[الدفعات]]</f>
        <v>-1.1199999999880674</v>
      </c>
      <c r="N217" s="48"/>
    </row>
    <row r="218" spans="10:14" ht="21.6" customHeight="1" x14ac:dyDescent="0.3">
      <c r="J218" s="1">
        <f>Table118192023[[#This Row],[النولون]]+Table118192023[[#This Row],[الايصالات]]+Table118192023[[#This Row],[قيمة مضافة]]</f>
        <v>0</v>
      </c>
      <c r="L218" s="1">
        <f>L217+Table118192023[[#This Row],[اجمالي الفاتوره]]-Table118192023[[#This Row],[الدفعات]]</f>
        <v>-1.1199999999880674</v>
      </c>
      <c r="N218" s="48"/>
    </row>
    <row r="219" spans="10:14" ht="21.6" customHeight="1" x14ac:dyDescent="0.3">
      <c r="J219" s="1">
        <f>Table118192023[[#This Row],[النولون]]+Table118192023[[#This Row],[الايصالات]]+Table118192023[[#This Row],[قيمة مضافة]]</f>
        <v>0</v>
      </c>
      <c r="L219" s="1">
        <f>L218+Table118192023[[#This Row],[اجمالي الفاتوره]]-Table118192023[[#This Row],[الدفعات]]</f>
        <v>-1.1199999999880674</v>
      </c>
      <c r="N219" s="48"/>
    </row>
    <row r="220" spans="10:14" ht="21.6" customHeight="1" x14ac:dyDescent="0.3">
      <c r="J220" s="1">
        <f>Table118192023[[#This Row],[النولون]]+Table118192023[[#This Row],[الايصالات]]+Table118192023[[#This Row],[قيمة مضافة]]</f>
        <v>0</v>
      </c>
      <c r="L220" s="1">
        <f>L219+Table118192023[[#This Row],[اجمالي الفاتوره]]-Table118192023[[#This Row],[الدفعات]]</f>
        <v>-1.1199999999880674</v>
      </c>
      <c r="N220" s="48"/>
    </row>
    <row r="221" spans="10:14" ht="21.6" customHeight="1" x14ac:dyDescent="0.3">
      <c r="J221" s="1">
        <f>Table118192023[[#This Row],[النولون]]+Table118192023[[#This Row],[الايصالات]]+Table118192023[[#This Row],[قيمة مضافة]]</f>
        <v>0</v>
      </c>
      <c r="L221" s="1">
        <f>L220+Table118192023[[#This Row],[اجمالي الفاتوره]]-Table118192023[[#This Row],[الدفعات]]</f>
        <v>-1.1199999999880674</v>
      </c>
      <c r="N221" s="48"/>
    </row>
    <row r="222" spans="10:14" ht="21.6" customHeight="1" x14ac:dyDescent="0.3">
      <c r="J222" s="1">
        <f>Table118192023[[#This Row],[النولون]]+Table118192023[[#This Row],[الايصالات]]+Table118192023[[#This Row],[قيمة مضافة]]</f>
        <v>0</v>
      </c>
      <c r="L222" s="1">
        <f>L221+Table118192023[[#This Row],[اجمالي الفاتوره]]-Table118192023[[#This Row],[الدفعات]]</f>
        <v>-1.1199999999880674</v>
      </c>
      <c r="N222" s="48"/>
    </row>
    <row r="223" spans="10:14" ht="21.6" customHeight="1" x14ac:dyDescent="0.3">
      <c r="J223" s="1">
        <f>Table118192023[[#This Row],[النولون]]+Table118192023[[#This Row],[الايصالات]]+Table118192023[[#This Row],[قيمة مضافة]]</f>
        <v>0</v>
      </c>
      <c r="L223" s="1">
        <f>L222+Table118192023[[#This Row],[اجمالي الفاتوره]]-Table118192023[[#This Row],[الدفعات]]</f>
        <v>-1.1199999999880674</v>
      </c>
      <c r="N223" s="48"/>
    </row>
    <row r="224" spans="10:14" ht="21.6" customHeight="1" x14ac:dyDescent="0.3">
      <c r="J224" s="1">
        <f>Table118192023[[#This Row],[النولون]]+Table118192023[[#This Row],[الايصالات]]+Table118192023[[#This Row],[قيمة مضافة]]</f>
        <v>0</v>
      </c>
      <c r="L224" s="1">
        <f>L223+Table118192023[[#This Row],[اجمالي الفاتوره]]-Table118192023[[#This Row],[الدفعات]]</f>
        <v>-1.1199999999880674</v>
      </c>
      <c r="N224" s="48"/>
    </row>
    <row r="225" spans="10:14" ht="21.6" customHeight="1" x14ac:dyDescent="0.3">
      <c r="J225" s="1">
        <f>Table118192023[[#This Row],[النولون]]+Table118192023[[#This Row],[الايصالات]]+Table118192023[[#This Row],[قيمة مضافة]]</f>
        <v>0</v>
      </c>
      <c r="L225" s="1">
        <f>L224+Table118192023[[#This Row],[اجمالي الفاتوره]]-Table118192023[[#This Row],[الدفعات]]</f>
        <v>-1.1199999999880674</v>
      </c>
      <c r="N225" s="48"/>
    </row>
    <row r="226" spans="10:14" ht="21.6" customHeight="1" x14ac:dyDescent="0.3">
      <c r="J226" s="1">
        <f>Table118192023[[#This Row],[النولون]]+Table118192023[[#This Row],[الايصالات]]+Table118192023[[#This Row],[قيمة مضافة]]</f>
        <v>0</v>
      </c>
      <c r="L226" s="1">
        <f>L225+Table118192023[[#This Row],[اجمالي الفاتوره]]-Table118192023[[#This Row],[الدفعات]]</f>
        <v>-1.1199999999880674</v>
      </c>
      <c r="N226" s="48"/>
    </row>
    <row r="227" spans="10:14" ht="21.6" customHeight="1" x14ac:dyDescent="0.3">
      <c r="J227" s="1">
        <f>Table118192023[[#This Row],[النولون]]+Table118192023[[#This Row],[الايصالات]]+Table118192023[[#This Row],[قيمة مضافة]]</f>
        <v>0</v>
      </c>
      <c r="L227" s="1">
        <f>L226+Table118192023[[#This Row],[اجمالي الفاتوره]]-Table118192023[[#This Row],[الدفعات]]</f>
        <v>-1.1199999999880674</v>
      </c>
      <c r="N227" s="48"/>
    </row>
    <row r="228" spans="10:14" ht="21.6" customHeight="1" x14ac:dyDescent="0.3">
      <c r="J228" s="1">
        <f>Table118192023[[#This Row],[النولون]]+Table118192023[[#This Row],[الايصالات]]+Table118192023[[#This Row],[قيمة مضافة]]</f>
        <v>0</v>
      </c>
      <c r="L228" s="1">
        <f>L227+Table118192023[[#This Row],[اجمالي الفاتوره]]-Table118192023[[#This Row],[الدفعات]]</f>
        <v>-1.1199999999880674</v>
      </c>
      <c r="N228" s="48"/>
    </row>
    <row r="229" spans="10:14" ht="21.6" customHeight="1" x14ac:dyDescent="0.3">
      <c r="J229" s="1">
        <f>Table118192023[[#This Row],[النولون]]+Table118192023[[#This Row],[الايصالات]]+Table118192023[[#This Row],[قيمة مضافة]]</f>
        <v>0</v>
      </c>
      <c r="L229" s="1">
        <f>L228+Table118192023[[#This Row],[اجمالي الفاتوره]]-Table118192023[[#This Row],[الدفعات]]</f>
        <v>-1.1199999999880674</v>
      </c>
      <c r="N229" s="48"/>
    </row>
    <row r="230" spans="10:14" ht="21.6" customHeight="1" x14ac:dyDescent="0.3">
      <c r="J230" s="1">
        <f>Table118192023[[#This Row],[النولون]]+Table118192023[[#This Row],[الايصالات]]+Table118192023[[#This Row],[قيمة مضافة]]</f>
        <v>0</v>
      </c>
      <c r="L230" s="1">
        <f>L229+Table118192023[[#This Row],[اجمالي الفاتوره]]-Table118192023[[#This Row],[الدفعات]]</f>
        <v>-1.1199999999880674</v>
      </c>
      <c r="N230" s="48"/>
    </row>
    <row r="231" spans="10:14" ht="21.6" customHeight="1" x14ac:dyDescent="0.3">
      <c r="J231" s="1">
        <f>Table118192023[[#This Row],[النولون]]+Table118192023[[#This Row],[الايصالات]]+Table118192023[[#This Row],[قيمة مضافة]]</f>
        <v>0</v>
      </c>
      <c r="L231" s="1">
        <f>L230+Table118192023[[#This Row],[اجمالي الفاتوره]]-Table118192023[[#This Row],[الدفعات]]</f>
        <v>-1.1199999999880674</v>
      </c>
      <c r="N231" s="48"/>
    </row>
    <row r="232" spans="10:14" ht="21.6" customHeight="1" x14ac:dyDescent="0.3">
      <c r="J232" s="1">
        <f>Table118192023[[#This Row],[النولون]]+Table118192023[[#This Row],[الايصالات]]+Table118192023[[#This Row],[قيمة مضافة]]</f>
        <v>0</v>
      </c>
      <c r="L232" s="1">
        <f>L231+Table118192023[[#This Row],[اجمالي الفاتوره]]-Table118192023[[#This Row],[الدفعات]]</f>
        <v>-1.1199999999880674</v>
      </c>
      <c r="N232" s="48"/>
    </row>
    <row r="233" spans="10:14" ht="21.6" customHeight="1" x14ac:dyDescent="0.3">
      <c r="J233" s="1">
        <f>Table118192023[[#This Row],[النولون]]+Table118192023[[#This Row],[الايصالات]]+Table118192023[[#This Row],[قيمة مضافة]]</f>
        <v>0</v>
      </c>
      <c r="L233" s="1">
        <f>L232+Table118192023[[#This Row],[اجمالي الفاتوره]]-Table118192023[[#This Row],[الدفعات]]</f>
        <v>-1.1199999999880674</v>
      </c>
      <c r="N233" s="48"/>
    </row>
    <row r="234" spans="10:14" ht="21.6" customHeight="1" x14ac:dyDescent="0.3">
      <c r="J234" s="1">
        <f>Table118192023[[#This Row],[النولون]]+Table118192023[[#This Row],[الايصالات]]+Table118192023[[#This Row],[قيمة مضافة]]</f>
        <v>0</v>
      </c>
      <c r="L234" s="1">
        <f>L233+Table118192023[[#This Row],[اجمالي الفاتوره]]-Table118192023[[#This Row],[الدفعات]]</f>
        <v>-1.1199999999880674</v>
      </c>
      <c r="N234" s="48"/>
    </row>
    <row r="235" spans="10:14" ht="21.6" customHeight="1" x14ac:dyDescent="0.3">
      <c r="J235" s="1">
        <f>Table118192023[[#This Row],[النولون]]+Table118192023[[#This Row],[الايصالات]]+Table118192023[[#This Row],[قيمة مضافة]]</f>
        <v>0</v>
      </c>
      <c r="L235" s="1">
        <f>L234+Table118192023[[#This Row],[اجمالي الفاتوره]]-Table118192023[[#This Row],[الدفعات]]</f>
        <v>-1.1199999999880674</v>
      </c>
      <c r="N235" s="48"/>
    </row>
    <row r="236" spans="10:14" ht="21.6" customHeight="1" x14ac:dyDescent="0.3">
      <c r="J236" s="1">
        <f>Table118192023[[#This Row],[النولون]]+Table118192023[[#This Row],[الايصالات]]+Table118192023[[#This Row],[قيمة مضافة]]</f>
        <v>0</v>
      </c>
      <c r="L236" s="1">
        <f>L235+Table118192023[[#This Row],[اجمالي الفاتوره]]-Table118192023[[#This Row],[الدفعات]]</f>
        <v>-1.1199999999880674</v>
      </c>
      <c r="N236" s="48"/>
    </row>
    <row r="237" spans="10:14" ht="21.6" customHeight="1" x14ac:dyDescent="0.3">
      <c r="J237" s="1">
        <f>Table118192023[[#This Row],[النولون]]+Table118192023[[#This Row],[الايصالات]]+Table118192023[[#This Row],[قيمة مضافة]]</f>
        <v>0</v>
      </c>
      <c r="L237" s="1">
        <f>L236+Table118192023[[#This Row],[اجمالي الفاتوره]]-Table118192023[[#This Row],[الدفعات]]</f>
        <v>-1.1199999999880674</v>
      </c>
      <c r="N237" s="48"/>
    </row>
    <row r="238" spans="10:14" ht="21.6" customHeight="1" x14ac:dyDescent="0.3">
      <c r="J238" s="1">
        <f>Table118192023[[#This Row],[النولون]]+Table118192023[[#This Row],[الايصالات]]+Table118192023[[#This Row],[قيمة مضافة]]</f>
        <v>0</v>
      </c>
      <c r="L238" s="1">
        <f>L237+Table118192023[[#This Row],[اجمالي الفاتوره]]-Table118192023[[#This Row],[الدفعات]]</f>
        <v>-1.1199999999880674</v>
      </c>
      <c r="N238" s="48"/>
    </row>
    <row r="239" spans="10:14" ht="21.6" customHeight="1" x14ac:dyDescent="0.3">
      <c r="J239" s="1">
        <f>Table118192023[[#This Row],[النولون]]+Table118192023[[#This Row],[الايصالات]]+Table118192023[[#This Row],[قيمة مضافة]]</f>
        <v>0</v>
      </c>
      <c r="L239" s="1">
        <f>L238+Table118192023[[#This Row],[اجمالي الفاتوره]]-Table118192023[[#This Row],[الدفعات]]</f>
        <v>-1.1199999999880674</v>
      </c>
      <c r="N239" s="48"/>
    </row>
    <row r="240" spans="10:14" ht="21.6" customHeight="1" x14ac:dyDescent="0.3">
      <c r="J240" s="1">
        <f>Table118192023[[#This Row],[النولون]]+Table118192023[[#This Row],[الايصالات]]+Table118192023[[#This Row],[قيمة مضافة]]</f>
        <v>0</v>
      </c>
      <c r="L240" s="1">
        <f>L239+Table118192023[[#This Row],[اجمالي الفاتوره]]-Table118192023[[#This Row],[الدفعات]]</f>
        <v>-1.1199999999880674</v>
      </c>
      <c r="N240" s="48"/>
    </row>
    <row r="241" spans="10:14" ht="21.6" customHeight="1" x14ac:dyDescent="0.3">
      <c r="J241" s="1">
        <f>Table118192023[[#This Row],[النولون]]+Table118192023[[#This Row],[الايصالات]]+Table118192023[[#This Row],[قيمة مضافة]]</f>
        <v>0</v>
      </c>
      <c r="L241" s="1">
        <f>L240+Table118192023[[#This Row],[اجمالي الفاتوره]]-Table118192023[[#This Row],[الدفعات]]</f>
        <v>-1.1199999999880674</v>
      </c>
      <c r="N241" s="48"/>
    </row>
    <row r="242" spans="10:14" ht="21.6" customHeight="1" x14ac:dyDescent="0.3">
      <c r="J242" s="1">
        <f>Table118192023[[#This Row],[النولون]]+Table118192023[[#This Row],[الايصالات]]+Table118192023[[#This Row],[قيمة مضافة]]</f>
        <v>0</v>
      </c>
      <c r="L242" s="1">
        <f>L241+Table118192023[[#This Row],[اجمالي الفاتوره]]-Table118192023[[#This Row],[الدفعات]]</f>
        <v>-1.1199999999880674</v>
      </c>
      <c r="N242" s="48"/>
    </row>
    <row r="243" spans="10:14" ht="21.6" customHeight="1" x14ac:dyDescent="0.3">
      <c r="J243" s="1">
        <f>Table118192023[[#This Row],[النولون]]+Table118192023[[#This Row],[الايصالات]]+Table118192023[[#This Row],[قيمة مضافة]]</f>
        <v>0</v>
      </c>
      <c r="L243" s="1">
        <f>L242+Table118192023[[#This Row],[اجمالي الفاتوره]]-Table118192023[[#This Row],[الدفعات]]</f>
        <v>-1.1199999999880674</v>
      </c>
      <c r="N243" s="48"/>
    </row>
    <row r="244" spans="10:14" ht="21.6" customHeight="1" x14ac:dyDescent="0.3">
      <c r="J244" s="1">
        <f>Table118192023[[#This Row],[النولون]]+Table118192023[[#This Row],[الايصالات]]+Table118192023[[#This Row],[قيمة مضافة]]</f>
        <v>0</v>
      </c>
      <c r="L244" s="1">
        <f>L243+Table118192023[[#This Row],[اجمالي الفاتوره]]-Table118192023[[#This Row],[الدفعات]]</f>
        <v>-1.1199999999880674</v>
      </c>
      <c r="N244" s="48"/>
    </row>
    <row r="245" spans="10:14" ht="21.6" customHeight="1" x14ac:dyDescent="0.3">
      <c r="J245" s="1">
        <f>Table118192023[[#This Row],[النولون]]+Table118192023[[#This Row],[الايصالات]]+Table118192023[[#This Row],[قيمة مضافة]]</f>
        <v>0</v>
      </c>
      <c r="L245" s="1">
        <f>L244+Table118192023[[#This Row],[اجمالي الفاتوره]]-Table118192023[[#This Row],[الدفعات]]</f>
        <v>-1.1199999999880674</v>
      </c>
      <c r="N245" s="48"/>
    </row>
    <row r="246" spans="10:14" ht="21.6" customHeight="1" x14ac:dyDescent="0.3">
      <c r="J246" s="1">
        <f>Table118192023[[#This Row],[النولون]]+Table118192023[[#This Row],[الايصالات]]+Table118192023[[#This Row],[قيمة مضافة]]</f>
        <v>0</v>
      </c>
      <c r="L246" s="1">
        <f>L245+Table118192023[[#This Row],[اجمالي الفاتوره]]-Table118192023[[#This Row],[الدفعات]]</f>
        <v>-1.1199999999880674</v>
      </c>
      <c r="N246" s="48"/>
    </row>
    <row r="247" spans="10:14" ht="21.6" customHeight="1" x14ac:dyDescent="0.3">
      <c r="J247" s="1">
        <f>Table118192023[[#This Row],[النولون]]+Table118192023[[#This Row],[الايصالات]]+Table118192023[[#This Row],[قيمة مضافة]]</f>
        <v>0</v>
      </c>
      <c r="L247" s="1">
        <f>L246+Table118192023[[#This Row],[اجمالي الفاتوره]]-Table118192023[[#This Row],[الدفعات]]</f>
        <v>-1.1199999999880674</v>
      </c>
      <c r="N247" s="48"/>
    </row>
    <row r="248" spans="10:14" ht="21.6" customHeight="1" x14ac:dyDescent="0.3">
      <c r="J248" s="1">
        <f>Table118192023[[#This Row],[النولون]]+Table118192023[[#This Row],[الايصالات]]+Table118192023[[#This Row],[قيمة مضافة]]</f>
        <v>0</v>
      </c>
      <c r="L248" s="1">
        <f>L247+Table118192023[[#This Row],[اجمالي الفاتوره]]-Table118192023[[#This Row],[الدفعات]]</f>
        <v>-1.1199999999880674</v>
      </c>
      <c r="N248" s="48"/>
    </row>
    <row r="249" spans="10:14" ht="21.6" customHeight="1" x14ac:dyDescent="0.3">
      <c r="J249" s="1">
        <f>Table118192023[[#This Row],[النولون]]+Table118192023[[#This Row],[الايصالات]]+Table118192023[[#This Row],[قيمة مضافة]]</f>
        <v>0</v>
      </c>
      <c r="L249" s="1">
        <f>L248+Table118192023[[#This Row],[اجمالي الفاتوره]]-Table118192023[[#This Row],[الدفعات]]</f>
        <v>-1.1199999999880674</v>
      </c>
      <c r="N249" s="48"/>
    </row>
    <row r="250" spans="10:14" ht="21.6" customHeight="1" x14ac:dyDescent="0.3">
      <c r="J250" s="1">
        <f>Table118192023[[#This Row],[النولون]]+Table118192023[[#This Row],[الايصالات]]+Table118192023[[#This Row],[قيمة مضافة]]</f>
        <v>0</v>
      </c>
      <c r="L250" s="1">
        <f>L249+Table118192023[[#This Row],[اجمالي الفاتوره]]-Table118192023[[#This Row],[الدفعات]]</f>
        <v>-1.1199999999880674</v>
      </c>
      <c r="N250" s="48"/>
    </row>
    <row r="251" spans="10:14" ht="21.6" customHeight="1" x14ac:dyDescent="0.3">
      <c r="J251" s="1">
        <f>Table118192023[[#This Row],[النولون]]+Table118192023[[#This Row],[الايصالات]]+Table118192023[[#This Row],[قيمة مضافة]]</f>
        <v>0</v>
      </c>
      <c r="L251" s="1">
        <f>L250+Table118192023[[#This Row],[اجمالي الفاتوره]]-Table118192023[[#This Row],[الدفعات]]</f>
        <v>-1.1199999999880674</v>
      </c>
      <c r="N251" s="48"/>
    </row>
    <row r="252" spans="10:14" ht="21.6" customHeight="1" x14ac:dyDescent="0.3">
      <c r="J252" s="1">
        <f>Table118192023[[#This Row],[النولون]]+Table118192023[[#This Row],[الايصالات]]+Table118192023[[#This Row],[قيمة مضافة]]</f>
        <v>0</v>
      </c>
      <c r="L252" s="1">
        <f>L251+Table118192023[[#This Row],[اجمالي الفاتوره]]-Table118192023[[#This Row],[الدفعات]]</f>
        <v>-1.1199999999880674</v>
      </c>
      <c r="N252" s="48"/>
    </row>
    <row r="253" spans="10:14" ht="21.6" customHeight="1" x14ac:dyDescent="0.3">
      <c r="J253" s="1">
        <f>Table118192023[[#This Row],[النولون]]+Table118192023[[#This Row],[الايصالات]]+Table118192023[[#This Row],[قيمة مضافة]]</f>
        <v>0</v>
      </c>
      <c r="L253" s="1">
        <f>L252+Table118192023[[#This Row],[اجمالي الفاتوره]]-Table118192023[[#This Row],[الدفعات]]</f>
        <v>-1.1199999999880674</v>
      </c>
      <c r="N253" s="48"/>
    </row>
    <row r="254" spans="10:14" ht="21.6" customHeight="1" x14ac:dyDescent="0.3">
      <c r="J254" s="1">
        <f>Table118192023[[#This Row],[النولون]]+Table118192023[[#This Row],[الايصالات]]+Table118192023[[#This Row],[قيمة مضافة]]</f>
        <v>0</v>
      </c>
      <c r="L254" s="1">
        <f>L253+Table118192023[[#This Row],[اجمالي الفاتوره]]-Table118192023[[#This Row],[الدفعات]]</f>
        <v>-1.1199999999880674</v>
      </c>
      <c r="N254" s="48"/>
    </row>
    <row r="255" spans="10:14" ht="21.6" customHeight="1" x14ac:dyDescent="0.3">
      <c r="J255" s="1">
        <f>Table118192023[[#This Row],[النولون]]+Table118192023[[#This Row],[الايصالات]]+Table118192023[[#This Row],[قيمة مضافة]]</f>
        <v>0</v>
      </c>
      <c r="L255" s="1">
        <f>L254+Table118192023[[#This Row],[اجمالي الفاتوره]]-Table118192023[[#This Row],[الدفعات]]</f>
        <v>-1.1199999999880674</v>
      </c>
      <c r="N255" s="48"/>
    </row>
    <row r="256" spans="10:14" ht="21.6" customHeight="1" x14ac:dyDescent="0.3">
      <c r="J256" s="1">
        <f>Table118192023[[#This Row],[النولون]]+Table118192023[[#This Row],[الايصالات]]+Table118192023[[#This Row],[قيمة مضافة]]</f>
        <v>0</v>
      </c>
      <c r="L256" s="1">
        <f>L255+Table118192023[[#This Row],[اجمالي الفاتوره]]-Table118192023[[#This Row],[الدفعات]]</f>
        <v>-1.1199999999880674</v>
      </c>
      <c r="N256" s="48"/>
    </row>
    <row r="257" spans="10:14" ht="21.6" customHeight="1" x14ac:dyDescent="0.3">
      <c r="J257" s="1">
        <f>Table118192023[[#This Row],[النولون]]+Table118192023[[#This Row],[الايصالات]]+Table118192023[[#This Row],[قيمة مضافة]]</f>
        <v>0</v>
      </c>
      <c r="L257" s="1">
        <f>L256+Table118192023[[#This Row],[اجمالي الفاتوره]]-Table118192023[[#This Row],[الدفعات]]</f>
        <v>-1.1199999999880674</v>
      </c>
      <c r="N257" s="48"/>
    </row>
    <row r="258" spans="10:14" ht="21.6" customHeight="1" x14ac:dyDescent="0.3">
      <c r="J258" s="1">
        <f>Table118192023[[#This Row],[النولون]]+Table118192023[[#This Row],[الايصالات]]+Table118192023[[#This Row],[قيمة مضافة]]</f>
        <v>0</v>
      </c>
      <c r="L258" s="1">
        <f>L257+Table118192023[[#This Row],[اجمالي الفاتوره]]-Table118192023[[#This Row],[الدفعات]]</f>
        <v>-1.1199999999880674</v>
      </c>
      <c r="N258" s="48"/>
    </row>
    <row r="259" spans="10:14" ht="21.6" customHeight="1" x14ac:dyDescent="0.3">
      <c r="J259" s="1">
        <f>Table118192023[[#This Row],[النولون]]+Table118192023[[#This Row],[الايصالات]]+Table118192023[[#This Row],[قيمة مضافة]]</f>
        <v>0</v>
      </c>
      <c r="L259" s="1">
        <f>L258+Table118192023[[#This Row],[اجمالي الفاتوره]]-Table118192023[[#This Row],[الدفعات]]</f>
        <v>-1.1199999999880674</v>
      </c>
      <c r="N259" s="48"/>
    </row>
    <row r="260" spans="10:14" ht="21.6" customHeight="1" x14ac:dyDescent="0.3">
      <c r="J260" s="1">
        <f>Table118192023[[#This Row],[النولون]]+Table118192023[[#This Row],[الايصالات]]+Table118192023[[#This Row],[قيمة مضافة]]</f>
        <v>0</v>
      </c>
      <c r="L260" s="1">
        <f>L259+Table118192023[[#This Row],[اجمالي الفاتوره]]-Table118192023[[#This Row],[الدفعات]]</f>
        <v>-1.1199999999880674</v>
      </c>
      <c r="N260" s="48"/>
    </row>
    <row r="261" spans="10:14" ht="21.6" customHeight="1" x14ac:dyDescent="0.3">
      <c r="J261" s="1">
        <f>Table118192023[[#This Row],[النولون]]+Table118192023[[#This Row],[الايصالات]]+Table118192023[[#This Row],[قيمة مضافة]]</f>
        <v>0</v>
      </c>
      <c r="L261" s="1">
        <f>L260+Table118192023[[#This Row],[اجمالي الفاتوره]]-Table118192023[[#This Row],[الدفعات]]</f>
        <v>-1.1199999999880674</v>
      </c>
      <c r="N261" s="48"/>
    </row>
    <row r="262" spans="10:14" ht="21.6" customHeight="1" x14ac:dyDescent="0.3">
      <c r="J262" s="1">
        <f>Table118192023[[#This Row],[النولون]]+Table118192023[[#This Row],[الايصالات]]+Table118192023[[#This Row],[قيمة مضافة]]</f>
        <v>0</v>
      </c>
      <c r="L262" s="1">
        <f>L261+Table118192023[[#This Row],[اجمالي الفاتوره]]-Table118192023[[#This Row],[الدفعات]]</f>
        <v>-1.1199999999880674</v>
      </c>
      <c r="N262" s="48"/>
    </row>
    <row r="263" spans="10:14" ht="21.6" customHeight="1" x14ac:dyDescent="0.3">
      <c r="J263" s="1">
        <f>Table118192023[[#This Row],[النولون]]+Table118192023[[#This Row],[الايصالات]]+Table118192023[[#This Row],[قيمة مضافة]]</f>
        <v>0</v>
      </c>
      <c r="L263" s="1">
        <f>L262+Table118192023[[#This Row],[اجمالي الفاتوره]]-Table118192023[[#This Row],[الدفعات]]</f>
        <v>-1.1199999999880674</v>
      </c>
      <c r="N263" s="48"/>
    </row>
    <row r="264" spans="10:14" ht="21.6" customHeight="1" x14ac:dyDescent="0.3">
      <c r="J264" s="1">
        <f>Table118192023[[#This Row],[النولون]]+Table118192023[[#This Row],[الايصالات]]+Table118192023[[#This Row],[قيمة مضافة]]</f>
        <v>0</v>
      </c>
      <c r="L264" s="1">
        <f>L263+Table118192023[[#This Row],[اجمالي الفاتوره]]-Table118192023[[#This Row],[الدفعات]]</f>
        <v>-1.1199999999880674</v>
      </c>
      <c r="N264" s="48"/>
    </row>
    <row r="265" spans="10:14" ht="21.6" customHeight="1" x14ac:dyDescent="0.3">
      <c r="J265" s="1">
        <f>Table118192023[[#This Row],[النولون]]+Table118192023[[#This Row],[الايصالات]]+Table118192023[[#This Row],[قيمة مضافة]]</f>
        <v>0</v>
      </c>
      <c r="L265" s="1">
        <f>L264+Table118192023[[#This Row],[اجمالي الفاتوره]]-Table118192023[[#This Row],[الدفعات]]</f>
        <v>-1.1199999999880674</v>
      </c>
      <c r="N265" s="48"/>
    </row>
    <row r="266" spans="10:14" ht="21.6" customHeight="1" x14ac:dyDescent="0.3">
      <c r="J266" s="1">
        <f>Table118192023[[#This Row],[النولون]]+Table118192023[[#This Row],[الايصالات]]+Table118192023[[#This Row],[قيمة مضافة]]</f>
        <v>0</v>
      </c>
      <c r="L266" s="1">
        <f>L265+Table118192023[[#This Row],[اجمالي الفاتوره]]-Table118192023[[#This Row],[الدفعات]]</f>
        <v>-1.1199999999880674</v>
      </c>
      <c r="N266" s="48"/>
    </row>
    <row r="267" spans="10:14" ht="21.6" customHeight="1" x14ac:dyDescent="0.3">
      <c r="J267" s="1">
        <f>Table118192023[[#This Row],[النولون]]+Table118192023[[#This Row],[الايصالات]]+Table118192023[[#This Row],[قيمة مضافة]]</f>
        <v>0</v>
      </c>
      <c r="L267" s="1">
        <f>L266+Table118192023[[#This Row],[اجمالي الفاتوره]]-Table118192023[[#This Row],[الدفعات]]</f>
        <v>-1.1199999999880674</v>
      </c>
      <c r="N267" s="48"/>
    </row>
    <row r="268" spans="10:14" ht="21.6" customHeight="1" x14ac:dyDescent="0.3">
      <c r="J268" s="1">
        <f>Table118192023[[#This Row],[النولون]]+Table118192023[[#This Row],[الايصالات]]+Table118192023[[#This Row],[قيمة مضافة]]</f>
        <v>0</v>
      </c>
      <c r="L268" s="1">
        <f>L267+Table118192023[[#This Row],[اجمالي الفاتوره]]-Table118192023[[#This Row],[الدفعات]]</f>
        <v>-1.1199999999880674</v>
      </c>
      <c r="N268" s="48"/>
    </row>
    <row r="269" spans="10:14" ht="21.6" customHeight="1" x14ac:dyDescent="0.3">
      <c r="J269" s="1">
        <f>Table118192023[[#This Row],[النولون]]+Table118192023[[#This Row],[الايصالات]]+Table118192023[[#This Row],[قيمة مضافة]]</f>
        <v>0</v>
      </c>
      <c r="L269" s="1">
        <f>L268+Table118192023[[#This Row],[اجمالي الفاتوره]]-Table118192023[[#This Row],[الدفعات]]</f>
        <v>-1.1199999999880674</v>
      </c>
      <c r="N269" s="48"/>
    </row>
    <row r="270" spans="10:14" ht="21.6" customHeight="1" x14ac:dyDescent="0.3">
      <c r="J270" s="1">
        <f>Table118192023[[#This Row],[النولون]]+Table118192023[[#This Row],[الايصالات]]+Table118192023[[#This Row],[قيمة مضافة]]</f>
        <v>0</v>
      </c>
      <c r="L270" s="1">
        <f>L269+Table118192023[[#This Row],[اجمالي الفاتوره]]-Table118192023[[#This Row],[الدفعات]]</f>
        <v>-1.1199999999880674</v>
      </c>
      <c r="N270" s="48"/>
    </row>
    <row r="271" spans="10:14" ht="21.6" customHeight="1" x14ac:dyDescent="0.3">
      <c r="J271" s="1">
        <f>Table118192023[[#This Row],[النولون]]+Table118192023[[#This Row],[الايصالات]]+Table118192023[[#This Row],[قيمة مضافة]]</f>
        <v>0</v>
      </c>
      <c r="L271" s="1">
        <f>L270+Table118192023[[#This Row],[اجمالي الفاتوره]]-Table118192023[[#This Row],[الدفعات]]</f>
        <v>-1.1199999999880674</v>
      </c>
      <c r="N271" s="48"/>
    </row>
    <row r="272" spans="10:14" ht="21.6" customHeight="1" x14ac:dyDescent="0.3">
      <c r="J272" s="1">
        <f>Table118192023[[#This Row],[النولون]]+Table118192023[[#This Row],[الايصالات]]+Table118192023[[#This Row],[قيمة مضافة]]</f>
        <v>0</v>
      </c>
      <c r="L272" s="1">
        <f>L271+Table118192023[[#This Row],[اجمالي الفاتوره]]-Table118192023[[#This Row],[الدفعات]]</f>
        <v>-1.1199999999880674</v>
      </c>
      <c r="N272" s="48"/>
    </row>
    <row r="273" spans="10:14" ht="21.6" customHeight="1" x14ac:dyDescent="0.3">
      <c r="J273" s="1">
        <f>Table118192023[[#This Row],[النولون]]+Table118192023[[#This Row],[الايصالات]]+Table118192023[[#This Row],[قيمة مضافة]]</f>
        <v>0</v>
      </c>
      <c r="L273" s="1">
        <f>L272+Table118192023[[#This Row],[اجمالي الفاتوره]]-Table118192023[[#This Row],[الدفعات]]</f>
        <v>-1.1199999999880674</v>
      </c>
      <c r="N273" s="48"/>
    </row>
    <row r="274" spans="10:14" ht="21.6" customHeight="1" x14ac:dyDescent="0.3">
      <c r="J274" s="1">
        <f>Table118192023[[#This Row],[النولون]]+Table118192023[[#This Row],[الايصالات]]+Table118192023[[#This Row],[قيمة مضافة]]</f>
        <v>0</v>
      </c>
      <c r="L274" s="1">
        <f>L273+Table118192023[[#This Row],[اجمالي الفاتوره]]-Table118192023[[#This Row],[الدفعات]]</f>
        <v>-1.1199999999880674</v>
      </c>
      <c r="N274" s="48"/>
    </row>
    <row r="275" spans="10:14" ht="21.6" customHeight="1" x14ac:dyDescent="0.3">
      <c r="J275" s="1">
        <f>Table118192023[[#This Row],[النولون]]+Table118192023[[#This Row],[الايصالات]]+Table118192023[[#This Row],[قيمة مضافة]]</f>
        <v>0</v>
      </c>
      <c r="L275" s="1">
        <f>L274+Table118192023[[#This Row],[اجمالي الفاتوره]]-Table118192023[[#This Row],[الدفعات]]</f>
        <v>-1.1199999999880674</v>
      </c>
      <c r="N275" s="48"/>
    </row>
    <row r="276" spans="10:14" ht="21.6" customHeight="1" x14ac:dyDescent="0.3">
      <c r="J276" s="1">
        <f>Table118192023[[#This Row],[النولون]]+Table118192023[[#This Row],[الايصالات]]+Table118192023[[#This Row],[قيمة مضافة]]</f>
        <v>0</v>
      </c>
      <c r="L276" s="1">
        <f>L275+Table118192023[[#This Row],[اجمالي الفاتوره]]-Table118192023[[#This Row],[الدفعات]]</f>
        <v>-1.1199999999880674</v>
      </c>
      <c r="N276" s="48"/>
    </row>
    <row r="277" spans="10:14" ht="21.6" customHeight="1" x14ac:dyDescent="0.3">
      <c r="J277" s="1">
        <f>Table118192023[[#This Row],[النولون]]+Table118192023[[#This Row],[الايصالات]]+Table118192023[[#This Row],[قيمة مضافة]]</f>
        <v>0</v>
      </c>
      <c r="L277" s="1">
        <f>L276+Table118192023[[#This Row],[اجمالي الفاتوره]]-Table118192023[[#This Row],[الدفعات]]</f>
        <v>-1.1199999999880674</v>
      </c>
      <c r="N277" s="48"/>
    </row>
    <row r="278" spans="10:14" ht="21.6" customHeight="1" x14ac:dyDescent="0.3">
      <c r="J278" s="1">
        <f>Table118192023[[#This Row],[النولون]]+Table118192023[[#This Row],[الايصالات]]+Table118192023[[#This Row],[قيمة مضافة]]</f>
        <v>0</v>
      </c>
      <c r="L278" s="1">
        <f>L277+Table118192023[[#This Row],[اجمالي الفاتوره]]-Table118192023[[#This Row],[الدفعات]]</f>
        <v>-1.1199999999880674</v>
      </c>
      <c r="N278" s="48"/>
    </row>
    <row r="279" spans="10:14" ht="21.6" customHeight="1" x14ac:dyDescent="0.3">
      <c r="J279" s="1">
        <f>Table118192023[[#This Row],[النولون]]+Table118192023[[#This Row],[الايصالات]]+Table118192023[[#This Row],[قيمة مضافة]]</f>
        <v>0</v>
      </c>
      <c r="L279" s="1">
        <f>L278+Table118192023[[#This Row],[اجمالي الفاتوره]]-Table118192023[[#This Row],[الدفعات]]</f>
        <v>-1.1199999999880674</v>
      </c>
      <c r="N279" s="48"/>
    </row>
    <row r="280" spans="10:14" ht="21.6" customHeight="1" x14ac:dyDescent="0.3">
      <c r="J280" s="1">
        <f>Table118192023[[#This Row],[النولون]]+Table118192023[[#This Row],[الايصالات]]+Table118192023[[#This Row],[قيمة مضافة]]</f>
        <v>0</v>
      </c>
      <c r="L280" s="1">
        <f>L279+Table118192023[[#This Row],[اجمالي الفاتوره]]-Table118192023[[#This Row],[الدفعات]]</f>
        <v>-1.1199999999880674</v>
      </c>
      <c r="N280" s="48"/>
    </row>
    <row r="281" spans="10:14" ht="21.6" customHeight="1" x14ac:dyDescent="0.3">
      <c r="J281" s="1">
        <f>Table118192023[[#This Row],[النولون]]+Table118192023[[#This Row],[الايصالات]]+Table118192023[[#This Row],[قيمة مضافة]]</f>
        <v>0</v>
      </c>
      <c r="L281" s="1">
        <f>L280+Table118192023[[#This Row],[اجمالي الفاتوره]]-Table118192023[[#This Row],[الدفعات]]</f>
        <v>-1.1199999999880674</v>
      </c>
      <c r="N281" s="48"/>
    </row>
    <row r="282" spans="10:14" ht="21.6" customHeight="1" x14ac:dyDescent="0.3">
      <c r="J282" s="1">
        <f>Table118192023[[#This Row],[النولون]]+Table118192023[[#This Row],[الايصالات]]+Table118192023[[#This Row],[قيمة مضافة]]</f>
        <v>0</v>
      </c>
      <c r="L282" s="1">
        <f>L281+Table118192023[[#This Row],[اجمالي الفاتوره]]-Table118192023[[#This Row],[الدفعات]]</f>
        <v>-1.1199999999880674</v>
      </c>
      <c r="N282" s="48"/>
    </row>
    <row r="283" spans="10:14" ht="21.6" customHeight="1" x14ac:dyDescent="0.3">
      <c r="J283" s="1">
        <f>Table118192023[[#This Row],[النولون]]+Table118192023[[#This Row],[الايصالات]]+Table118192023[[#This Row],[قيمة مضافة]]</f>
        <v>0</v>
      </c>
      <c r="L283" s="1">
        <f>L282+Table118192023[[#This Row],[اجمالي الفاتوره]]-Table118192023[[#This Row],[الدفعات]]</f>
        <v>-1.1199999999880674</v>
      </c>
      <c r="N283" s="48"/>
    </row>
    <row r="284" spans="10:14" ht="21.6" customHeight="1" x14ac:dyDescent="0.3">
      <c r="J284" s="1">
        <f>Table118192023[[#This Row],[النولون]]+Table118192023[[#This Row],[الايصالات]]+Table118192023[[#This Row],[قيمة مضافة]]</f>
        <v>0</v>
      </c>
      <c r="L284" s="1">
        <f>L283+Table118192023[[#This Row],[اجمالي الفاتوره]]-Table118192023[[#This Row],[الدفعات]]</f>
        <v>-1.1199999999880674</v>
      </c>
      <c r="N284" s="48"/>
    </row>
    <row r="285" spans="10:14" ht="21.6" customHeight="1" x14ac:dyDescent="0.3">
      <c r="J285" s="1">
        <f>Table118192023[[#This Row],[النولون]]+Table118192023[[#This Row],[الايصالات]]+Table118192023[[#This Row],[قيمة مضافة]]</f>
        <v>0</v>
      </c>
      <c r="L285" s="1">
        <f>L284+Table118192023[[#This Row],[اجمالي الفاتوره]]-Table118192023[[#This Row],[الدفعات]]</f>
        <v>-1.1199999999880674</v>
      </c>
      <c r="N285" s="48"/>
    </row>
    <row r="286" spans="10:14" ht="21.6" customHeight="1" x14ac:dyDescent="0.3">
      <c r="J286" s="1">
        <f>Table118192023[[#This Row],[النولون]]+Table118192023[[#This Row],[الايصالات]]+Table118192023[[#This Row],[قيمة مضافة]]</f>
        <v>0</v>
      </c>
      <c r="L286" s="1">
        <f>L285+Table118192023[[#This Row],[اجمالي الفاتوره]]-Table118192023[[#This Row],[الدفعات]]</f>
        <v>-1.1199999999880674</v>
      </c>
      <c r="N286" s="48"/>
    </row>
    <row r="287" spans="10:14" ht="21.6" customHeight="1" x14ac:dyDescent="0.3">
      <c r="J287" s="1">
        <f>Table118192023[[#This Row],[النولون]]+Table118192023[[#This Row],[الايصالات]]+Table118192023[[#This Row],[قيمة مضافة]]</f>
        <v>0</v>
      </c>
      <c r="L287" s="1">
        <f>L286+Table118192023[[#This Row],[اجمالي الفاتوره]]-Table118192023[[#This Row],[الدفعات]]</f>
        <v>-1.1199999999880674</v>
      </c>
      <c r="N287" s="48"/>
    </row>
    <row r="288" spans="10:14" ht="21.6" customHeight="1" x14ac:dyDescent="0.3">
      <c r="J288" s="1">
        <f>Table118192023[[#This Row],[النولون]]+Table118192023[[#This Row],[الايصالات]]+Table118192023[[#This Row],[قيمة مضافة]]</f>
        <v>0</v>
      </c>
      <c r="L288" s="1">
        <f>L287+Table118192023[[#This Row],[اجمالي الفاتوره]]-Table118192023[[#This Row],[الدفعات]]</f>
        <v>-1.1199999999880674</v>
      </c>
      <c r="N288" s="48"/>
    </row>
    <row r="289" spans="10:14" ht="21.6" customHeight="1" x14ac:dyDescent="0.3">
      <c r="J289" s="1">
        <f>Table118192023[[#This Row],[النولون]]+Table118192023[[#This Row],[الايصالات]]+Table118192023[[#This Row],[قيمة مضافة]]</f>
        <v>0</v>
      </c>
      <c r="L289" s="1">
        <f>L288+Table118192023[[#This Row],[اجمالي الفاتوره]]-Table118192023[[#This Row],[الدفعات]]</f>
        <v>-1.1199999999880674</v>
      </c>
      <c r="N289" s="48"/>
    </row>
    <row r="290" spans="10:14" ht="21.6" customHeight="1" x14ac:dyDescent="0.3">
      <c r="J290" s="1">
        <f>Table118192023[[#This Row],[النولون]]+Table118192023[[#This Row],[الايصالات]]+Table118192023[[#This Row],[قيمة مضافة]]</f>
        <v>0</v>
      </c>
      <c r="L290" s="1">
        <f>L289+Table118192023[[#This Row],[اجمالي الفاتوره]]-Table118192023[[#This Row],[الدفعات]]</f>
        <v>-1.1199999999880674</v>
      </c>
      <c r="N290" s="48"/>
    </row>
    <row r="291" spans="10:14" ht="21.6" customHeight="1" x14ac:dyDescent="0.3">
      <c r="J291" s="1">
        <f>Table118192023[[#This Row],[النولون]]+Table118192023[[#This Row],[الايصالات]]+Table118192023[[#This Row],[قيمة مضافة]]</f>
        <v>0</v>
      </c>
      <c r="L291" s="1">
        <f>L290+Table118192023[[#This Row],[اجمالي الفاتوره]]-Table118192023[[#This Row],[الدفعات]]</f>
        <v>-1.1199999999880674</v>
      </c>
      <c r="N291" s="48"/>
    </row>
    <row r="292" spans="10:14" ht="21.6" customHeight="1" x14ac:dyDescent="0.3">
      <c r="J292" s="1">
        <f>Table118192023[[#This Row],[النولون]]+Table118192023[[#This Row],[الايصالات]]+Table118192023[[#This Row],[قيمة مضافة]]</f>
        <v>0</v>
      </c>
      <c r="L292" s="1">
        <f>L291+Table118192023[[#This Row],[اجمالي الفاتوره]]-Table118192023[[#This Row],[الدفعات]]</f>
        <v>-1.1199999999880674</v>
      </c>
      <c r="N292" s="48"/>
    </row>
    <row r="293" spans="10:14" ht="21.6" customHeight="1" x14ac:dyDescent="0.3">
      <c r="J293" s="1">
        <f>Table118192023[[#This Row],[النولون]]+Table118192023[[#This Row],[الايصالات]]+Table118192023[[#This Row],[قيمة مضافة]]</f>
        <v>0</v>
      </c>
      <c r="L293" s="1">
        <f>L292+Table118192023[[#This Row],[اجمالي الفاتوره]]-Table118192023[[#This Row],[الدفعات]]</f>
        <v>-1.1199999999880674</v>
      </c>
      <c r="N293" s="48"/>
    </row>
    <row r="294" spans="10:14" ht="21.6" customHeight="1" x14ac:dyDescent="0.3">
      <c r="J294" s="1">
        <f>Table118192023[[#This Row],[النولون]]+Table118192023[[#This Row],[الايصالات]]+Table118192023[[#This Row],[قيمة مضافة]]</f>
        <v>0</v>
      </c>
      <c r="L294" s="1">
        <f>L293+Table118192023[[#This Row],[اجمالي الفاتوره]]-Table118192023[[#This Row],[الدفعات]]</f>
        <v>-1.1199999999880674</v>
      </c>
      <c r="N294" s="48"/>
    </row>
    <row r="295" spans="10:14" ht="21.6" customHeight="1" x14ac:dyDescent="0.3">
      <c r="J295" s="1">
        <f>Table118192023[[#This Row],[النولون]]+Table118192023[[#This Row],[الايصالات]]+Table118192023[[#This Row],[قيمة مضافة]]</f>
        <v>0</v>
      </c>
      <c r="L295" s="1">
        <f>L294+Table118192023[[#This Row],[اجمالي الفاتوره]]-Table118192023[[#This Row],[الدفعات]]</f>
        <v>-1.1199999999880674</v>
      </c>
      <c r="N295" s="48"/>
    </row>
    <row r="296" spans="10:14" ht="21.6" customHeight="1" x14ac:dyDescent="0.3">
      <c r="J296" s="1">
        <f>Table118192023[[#This Row],[النولون]]+Table118192023[[#This Row],[الايصالات]]+Table118192023[[#This Row],[قيمة مضافة]]</f>
        <v>0</v>
      </c>
      <c r="L296" s="1">
        <f>L295+Table118192023[[#This Row],[اجمالي الفاتوره]]-Table118192023[[#This Row],[الدفعات]]</f>
        <v>-1.1199999999880674</v>
      </c>
      <c r="N296" s="48"/>
    </row>
    <row r="297" spans="10:14" ht="21.6" customHeight="1" x14ac:dyDescent="0.3">
      <c r="J297" s="1">
        <f>Table118192023[[#This Row],[النولون]]+Table118192023[[#This Row],[الايصالات]]+Table118192023[[#This Row],[قيمة مضافة]]</f>
        <v>0</v>
      </c>
      <c r="L297" s="1">
        <f>L296+Table118192023[[#This Row],[اجمالي الفاتوره]]-Table118192023[[#This Row],[الدفعات]]</f>
        <v>-1.1199999999880674</v>
      </c>
      <c r="N297" s="48"/>
    </row>
    <row r="298" spans="10:14" ht="21.6" customHeight="1" x14ac:dyDescent="0.3">
      <c r="J298" s="1">
        <f>Table118192023[[#This Row],[النولون]]+Table118192023[[#This Row],[الايصالات]]+Table118192023[[#This Row],[قيمة مضافة]]</f>
        <v>0</v>
      </c>
      <c r="L298" s="1">
        <f>L297+Table118192023[[#This Row],[اجمالي الفاتوره]]-Table118192023[[#This Row],[الدفعات]]</f>
        <v>-1.1199999999880674</v>
      </c>
      <c r="N298" s="48"/>
    </row>
    <row r="299" spans="10:14" ht="21.6" customHeight="1" x14ac:dyDescent="0.3">
      <c r="J299" s="1">
        <f>Table118192023[[#This Row],[النولون]]+Table118192023[[#This Row],[الايصالات]]+Table118192023[[#This Row],[قيمة مضافة]]</f>
        <v>0</v>
      </c>
      <c r="L299" s="1">
        <f>L298+Table118192023[[#This Row],[اجمالي الفاتوره]]-Table118192023[[#This Row],[الدفعات]]</f>
        <v>-1.1199999999880674</v>
      </c>
      <c r="N299" s="48"/>
    </row>
    <row r="300" spans="10:14" ht="21.6" customHeight="1" x14ac:dyDescent="0.3">
      <c r="J300" s="1">
        <f>Table118192023[[#This Row],[النولون]]+Table118192023[[#This Row],[الايصالات]]+Table118192023[[#This Row],[قيمة مضافة]]</f>
        <v>0</v>
      </c>
      <c r="L300" s="1">
        <f>L299+Table118192023[[#This Row],[اجمالي الفاتوره]]-Table118192023[[#This Row],[الدفعات]]</f>
        <v>-1.1199999999880674</v>
      </c>
      <c r="N300" s="48"/>
    </row>
    <row r="301" spans="10:14" ht="21.6" customHeight="1" x14ac:dyDescent="0.3">
      <c r="J301" s="1">
        <f>Table118192023[[#This Row],[النولون]]+Table118192023[[#This Row],[الايصالات]]+Table118192023[[#This Row],[قيمة مضافة]]</f>
        <v>0</v>
      </c>
      <c r="L301" s="1">
        <f>L300+Table118192023[[#This Row],[اجمالي الفاتوره]]-Table118192023[[#This Row],[الدفعات]]</f>
        <v>-1.1199999999880674</v>
      </c>
      <c r="N301" s="48"/>
    </row>
    <row r="302" spans="10:14" ht="21.6" customHeight="1" x14ac:dyDescent="0.3">
      <c r="J302" s="1">
        <f>Table118192023[[#This Row],[النولون]]+Table118192023[[#This Row],[الايصالات]]+Table118192023[[#This Row],[قيمة مضافة]]</f>
        <v>0</v>
      </c>
      <c r="L302" s="1">
        <f>L301+Table118192023[[#This Row],[اجمالي الفاتوره]]-Table118192023[[#This Row],[الدفعات]]</f>
        <v>-1.1199999999880674</v>
      </c>
      <c r="N302" s="48"/>
    </row>
    <row r="303" spans="10:14" ht="21.6" customHeight="1" x14ac:dyDescent="0.3">
      <c r="J303" s="1">
        <f>Table118192023[[#This Row],[النولون]]+Table118192023[[#This Row],[الايصالات]]+Table118192023[[#This Row],[قيمة مضافة]]</f>
        <v>0</v>
      </c>
      <c r="L303" s="1">
        <f>L302+Table118192023[[#This Row],[اجمالي الفاتوره]]-Table118192023[[#This Row],[الدفعات]]</f>
        <v>-1.1199999999880674</v>
      </c>
      <c r="N303" s="48"/>
    </row>
    <row r="304" spans="10:14" ht="21.6" customHeight="1" x14ac:dyDescent="0.3">
      <c r="J304" s="1">
        <f>Table118192023[[#This Row],[النولون]]+Table118192023[[#This Row],[الايصالات]]+Table118192023[[#This Row],[قيمة مضافة]]</f>
        <v>0</v>
      </c>
      <c r="L304" s="1">
        <f>L303+Table118192023[[#This Row],[اجمالي الفاتوره]]-Table118192023[[#This Row],[الدفعات]]</f>
        <v>-1.1199999999880674</v>
      </c>
      <c r="N304" s="48"/>
    </row>
    <row r="305" spans="10:14" ht="21.6" customHeight="1" x14ac:dyDescent="0.3">
      <c r="J305" s="1">
        <f>Table118192023[[#This Row],[النولون]]+Table118192023[[#This Row],[الايصالات]]+Table118192023[[#This Row],[قيمة مضافة]]</f>
        <v>0</v>
      </c>
      <c r="L305" s="1">
        <f>L304+Table118192023[[#This Row],[اجمالي الفاتوره]]-Table118192023[[#This Row],[الدفعات]]</f>
        <v>-1.1199999999880674</v>
      </c>
      <c r="N305" s="48"/>
    </row>
    <row r="306" spans="10:14" ht="21.6" customHeight="1" x14ac:dyDescent="0.3">
      <c r="J306" s="1">
        <f>Table118192023[[#This Row],[النولون]]+Table118192023[[#This Row],[الايصالات]]+Table118192023[[#This Row],[قيمة مضافة]]</f>
        <v>0</v>
      </c>
      <c r="L306" s="1">
        <f>L305+Table118192023[[#This Row],[اجمالي الفاتوره]]-Table118192023[[#This Row],[الدفعات]]</f>
        <v>-1.1199999999880674</v>
      </c>
      <c r="N306" s="48"/>
    </row>
    <row r="307" spans="10:14" ht="21.6" customHeight="1" x14ac:dyDescent="0.3">
      <c r="J307" s="1">
        <f>Table118192023[[#This Row],[النولون]]+Table118192023[[#This Row],[الايصالات]]+Table118192023[[#This Row],[قيمة مضافة]]</f>
        <v>0</v>
      </c>
      <c r="L307" s="1">
        <f>L306+Table118192023[[#This Row],[اجمالي الفاتوره]]-Table118192023[[#This Row],[الدفعات]]</f>
        <v>-1.1199999999880674</v>
      </c>
      <c r="N307" s="48"/>
    </row>
    <row r="308" spans="10:14" ht="21.6" customHeight="1" x14ac:dyDescent="0.3">
      <c r="J308" s="1">
        <f>Table118192023[[#This Row],[النولون]]+Table118192023[[#This Row],[الايصالات]]+Table118192023[[#This Row],[قيمة مضافة]]</f>
        <v>0</v>
      </c>
      <c r="L308" s="1">
        <f>L307+Table118192023[[#This Row],[اجمالي الفاتوره]]-Table118192023[[#This Row],[الدفعات]]</f>
        <v>-1.1199999999880674</v>
      </c>
      <c r="N308" s="48"/>
    </row>
    <row r="309" spans="10:14" ht="21.6" customHeight="1" x14ac:dyDescent="0.3">
      <c r="J309" s="1">
        <f>Table118192023[[#This Row],[النولون]]+Table118192023[[#This Row],[الايصالات]]+Table118192023[[#This Row],[قيمة مضافة]]</f>
        <v>0</v>
      </c>
      <c r="L309" s="1">
        <f>L308+Table118192023[[#This Row],[اجمالي الفاتوره]]-Table118192023[[#This Row],[الدفعات]]</f>
        <v>-1.1199999999880674</v>
      </c>
      <c r="N309" s="48"/>
    </row>
    <row r="310" spans="10:14" ht="21.6" customHeight="1" x14ac:dyDescent="0.3">
      <c r="J310" s="1">
        <f>Table118192023[[#This Row],[النولون]]+Table118192023[[#This Row],[الايصالات]]+Table118192023[[#This Row],[قيمة مضافة]]</f>
        <v>0</v>
      </c>
      <c r="L310" s="1">
        <f>L309+Table118192023[[#This Row],[اجمالي الفاتوره]]-Table118192023[[#This Row],[الدفعات]]</f>
        <v>-1.1199999999880674</v>
      </c>
      <c r="N310" s="48"/>
    </row>
    <row r="311" spans="10:14" ht="21.6" customHeight="1" x14ac:dyDescent="0.3">
      <c r="J311" s="1">
        <f>Table118192023[[#This Row],[النولون]]+Table118192023[[#This Row],[الايصالات]]+Table118192023[[#This Row],[قيمة مضافة]]</f>
        <v>0</v>
      </c>
      <c r="L311" s="1">
        <f>L310+Table118192023[[#This Row],[اجمالي الفاتوره]]-Table118192023[[#This Row],[الدفعات]]</f>
        <v>-1.1199999999880674</v>
      </c>
      <c r="N311" s="48"/>
    </row>
    <row r="312" spans="10:14" ht="21.6" customHeight="1" x14ac:dyDescent="0.3">
      <c r="J312" s="1">
        <f>Table118192023[[#This Row],[النولون]]+Table118192023[[#This Row],[الايصالات]]+Table118192023[[#This Row],[قيمة مضافة]]</f>
        <v>0</v>
      </c>
      <c r="L312" s="1">
        <f>L311+Table118192023[[#This Row],[اجمالي الفاتوره]]-Table118192023[[#This Row],[الدفعات]]</f>
        <v>-1.1199999999880674</v>
      </c>
      <c r="N312" s="48"/>
    </row>
    <row r="313" spans="10:14" ht="21.6" customHeight="1" x14ac:dyDescent="0.3">
      <c r="J313" s="1">
        <f>Table118192023[[#This Row],[النولون]]+Table118192023[[#This Row],[الايصالات]]+Table118192023[[#This Row],[قيمة مضافة]]</f>
        <v>0</v>
      </c>
      <c r="L313" s="1">
        <f>L312+Table118192023[[#This Row],[اجمالي الفاتوره]]-Table118192023[[#This Row],[الدفعات]]</f>
        <v>-1.1199999999880674</v>
      </c>
      <c r="N313" s="48"/>
    </row>
    <row r="314" spans="10:14" ht="21.6" customHeight="1" x14ac:dyDescent="0.3">
      <c r="J314" s="1">
        <f>Table118192023[[#This Row],[النولون]]+Table118192023[[#This Row],[الايصالات]]+Table118192023[[#This Row],[قيمة مضافة]]</f>
        <v>0</v>
      </c>
      <c r="L314" s="1">
        <f>L313+Table118192023[[#This Row],[اجمالي الفاتوره]]-Table118192023[[#This Row],[الدفعات]]</f>
        <v>-1.1199999999880674</v>
      </c>
      <c r="N314" s="48"/>
    </row>
    <row r="315" spans="10:14" ht="21.6" customHeight="1" x14ac:dyDescent="0.3">
      <c r="J315" s="1">
        <f>Table118192023[[#This Row],[النولون]]+Table118192023[[#This Row],[الايصالات]]+Table118192023[[#This Row],[قيمة مضافة]]</f>
        <v>0</v>
      </c>
      <c r="L315" s="1">
        <f>L314+Table118192023[[#This Row],[اجمالي الفاتوره]]-Table118192023[[#This Row],[الدفعات]]</f>
        <v>-1.1199999999880674</v>
      </c>
      <c r="N315" s="48"/>
    </row>
    <row r="316" spans="10:14" ht="21.6" customHeight="1" x14ac:dyDescent="0.3">
      <c r="J316" s="1">
        <f>Table118192023[[#This Row],[النولون]]+Table118192023[[#This Row],[الايصالات]]+Table118192023[[#This Row],[قيمة مضافة]]</f>
        <v>0</v>
      </c>
      <c r="L316" s="1">
        <f>L315+Table118192023[[#This Row],[اجمالي الفاتوره]]-Table118192023[[#This Row],[الدفعات]]</f>
        <v>-1.1199999999880674</v>
      </c>
      <c r="N316" s="48"/>
    </row>
    <row r="317" spans="10:14" ht="21.6" customHeight="1" x14ac:dyDescent="0.3">
      <c r="J317" s="1">
        <f>Table118192023[[#This Row],[النولون]]+Table118192023[[#This Row],[الايصالات]]+Table118192023[[#This Row],[قيمة مضافة]]</f>
        <v>0</v>
      </c>
      <c r="L317" s="1">
        <f>L316+Table118192023[[#This Row],[اجمالي الفاتوره]]-Table118192023[[#This Row],[الدفعات]]</f>
        <v>-1.1199999999880674</v>
      </c>
      <c r="N317" s="48"/>
    </row>
    <row r="318" spans="10:14" ht="21.6" customHeight="1" x14ac:dyDescent="0.3">
      <c r="J318" s="1">
        <f>Table118192023[[#This Row],[النولون]]+Table118192023[[#This Row],[الايصالات]]+Table118192023[[#This Row],[قيمة مضافة]]</f>
        <v>0</v>
      </c>
      <c r="L318" s="1">
        <f>L317+Table118192023[[#This Row],[اجمالي الفاتوره]]-Table118192023[[#This Row],[الدفعات]]</f>
        <v>-1.1199999999880674</v>
      </c>
      <c r="N318" s="48"/>
    </row>
    <row r="319" spans="10:14" ht="21.6" customHeight="1" x14ac:dyDescent="0.3">
      <c r="J319" s="1">
        <f>Table118192023[[#This Row],[النولون]]+Table118192023[[#This Row],[الايصالات]]+Table118192023[[#This Row],[قيمة مضافة]]</f>
        <v>0</v>
      </c>
      <c r="L319" s="1">
        <f>L318+Table118192023[[#This Row],[اجمالي الفاتوره]]-Table118192023[[#This Row],[الدفعات]]</f>
        <v>-1.1199999999880674</v>
      </c>
      <c r="N319" s="48"/>
    </row>
    <row r="320" spans="10:14" ht="21.6" customHeight="1" x14ac:dyDescent="0.3">
      <c r="J320" s="1">
        <f>Table118192023[[#This Row],[النولون]]+Table118192023[[#This Row],[الايصالات]]+Table118192023[[#This Row],[قيمة مضافة]]</f>
        <v>0</v>
      </c>
      <c r="L320" s="1">
        <f>L319+Table118192023[[#This Row],[اجمالي الفاتوره]]-Table118192023[[#This Row],[الدفعات]]</f>
        <v>-1.1199999999880674</v>
      </c>
      <c r="N320" s="48"/>
    </row>
    <row r="321" spans="10:14" ht="21.6" customHeight="1" x14ac:dyDescent="0.3">
      <c r="J321" s="1">
        <f>Table118192023[[#This Row],[النولون]]+Table118192023[[#This Row],[الايصالات]]+Table118192023[[#This Row],[قيمة مضافة]]</f>
        <v>0</v>
      </c>
      <c r="L321" s="1">
        <f>L320+Table118192023[[#This Row],[اجمالي الفاتوره]]-Table118192023[[#This Row],[الدفعات]]</f>
        <v>-1.1199999999880674</v>
      </c>
      <c r="N321" s="48"/>
    </row>
    <row r="322" spans="10:14" ht="21.6" customHeight="1" x14ac:dyDescent="0.3">
      <c r="J322" s="1">
        <f>Table118192023[[#This Row],[النولون]]+Table118192023[[#This Row],[الايصالات]]+Table118192023[[#This Row],[قيمة مضافة]]</f>
        <v>0</v>
      </c>
      <c r="L322" s="1">
        <f>L321+Table118192023[[#This Row],[اجمالي الفاتوره]]-Table118192023[[#This Row],[الدفعات]]</f>
        <v>-1.1199999999880674</v>
      </c>
      <c r="N322" s="48"/>
    </row>
    <row r="323" spans="10:14" ht="21.6" customHeight="1" x14ac:dyDescent="0.3">
      <c r="J323" s="1">
        <f>Table118192023[[#This Row],[النولون]]+Table118192023[[#This Row],[الايصالات]]+Table118192023[[#This Row],[قيمة مضافة]]</f>
        <v>0</v>
      </c>
      <c r="L323" s="1">
        <f>L322+Table118192023[[#This Row],[اجمالي الفاتوره]]-Table118192023[[#This Row],[الدفعات]]</f>
        <v>-1.1199999999880674</v>
      </c>
      <c r="N323" s="48"/>
    </row>
    <row r="324" spans="10:14" ht="21.6" customHeight="1" x14ac:dyDescent="0.3">
      <c r="J324" s="1">
        <f>Table118192023[[#This Row],[النولون]]+Table118192023[[#This Row],[الايصالات]]+Table118192023[[#This Row],[قيمة مضافة]]</f>
        <v>0</v>
      </c>
      <c r="L324" s="1">
        <f>L323+Table118192023[[#This Row],[اجمالي الفاتوره]]-Table118192023[[#This Row],[الدفعات]]</f>
        <v>-1.1199999999880674</v>
      </c>
      <c r="N324" s="48"/>
    </row>
    <row r="325" spans="10:14" ht="21.6" customHeight="1" x14ac:dyDescent="0.3">
      <c r="J325" s="1">
        <f>Table118192023[[#This Row],[النولون]]+Table118192023[[#This Row],[الايصالات]]+Table118192023[[#This Row],[قيمة مضافة]]</f>
        <v>0</v>
      </c>
      <c r="L325" s="1">
        <f>L324+Table118192023[[#This Row],[اجمالي الفاتوره]]-Table118192023[[#This Row],[الدفعات]]</f>
        <v>-1.1199999999880674</v>
      </c>
      <c r="N325" s="48"/>
    </row>
    <row r="326" spans="10:14" ht="21.6" customHeight="1" x14ac:dyDescent="0.3">
      <c r="J326" s="1">
        <f>Table118192023[[#This Row],[النولون]]+Table118192023[[#This Row],[الايصالات]]+Table118192023[[#This Row],[قيمة مضافة]]</f>
        <v>0</v>
      </c>
      <c r="L326" s="1">
        <f>L325+Table118192023[[#This Row],[اجمالي الفاتوره]]-Table118192023[[#This Row],[الدفعات]]</f>
        <v>-1.1199999999880674</v>
      </c>
      <c r="N326" s="48"/>
    </row>
    <row r="327" spans="10:14" ht="21.6" customHeight="1" x14ac:dyDescent="0.3">
      <c r="J327" s="1">
        <f>Table118192023[[#This Row],[النولون]]+Table118192023[[#This Row],[الايصالات]]+Table118192023[[#This Row],[قيمة مضافة]]</f>
        <v>0</v>
      </c>
      <c r="L327" s="1">
        <f>L326+Table118192023[[#This Row],[اجمالي الفاتوره]]-Table118192023[[#This Row],[الدفعات]]</f>
        <v>-1.1199999999880674</v>
      </c>
      <c r="N327" s="48"/>
    </row>
    <row r="328" spans="10:14" ht="21.6" customHeight="1" x14ac:dyDescent="0.3">
      <c r="J328" s="1">
        <f>Table118192023[[#This Row],[النولون]]+Table118192023[[#This Row],[الايصالات]]+Table118192023[[#This Row],[قيمة مضافة]]</f>
        <v>0</v>
      </c>
      <c r="L328" s="1">
        <f>L327+Table118192023[[#This Row],[اجمالي الفاتوره]]-Table118192023[[#This Row],[الدفعات]]</f>
        <v>-1.1199999999880674</v>
      </c>
      <c r="N328" s="48"/>
    </row>
    <row r="329" spans="10:14" ht="21.6" customHeight="1" x14ac:dyDescent="0.3">
      <c r="J329" s="1">
        <f>Table118192023[[#This Row],[النولون]]+Table118192023[[#This Row],[الايصالات]]+Table118192023[[#This Row],[قيمة مضافة]]</f>
        <v>0</v>
      </c>
      <c r="L329" s="1">
        <f>L328+Table118192023[[#This Row],[اجمالي الفاتوره]]-Table118192023[[#This Row],[الدفعات]]</f>
        <v>-1.1199999999880674</v>
      </c>
      <c r="N329" s="48"/>
    </row>
    <row r="330" spans="10:14" ht="21.6" customHeight="1" x14ac:dyDescent="0.3">
      <c r="J330" s="1">
        <f>Table118192023[[#This Row],[النولون]]+Table118192023[[#This Row],[الايصالات]]+Table118192023[[#This Row],[قيمة مضافة]]</f>
        <v>0</v>
      </c>
      <c r="L330" s="1">
        <f>L329+Table118192023[[#This Row],[اجمالي الفاتوره]]-Table118192023[[#This Row],[الدفعات]]</f>
        <v>-1.1199999999880674</v>
      </c>
      <c r="N330" s="48"/>
    </row>
    <row r="331" spans="10:14" ht="21.6" customHeight="1" x14ac:dyDescent="0.3">
      <c r="J331" s="1">
        <f>Table118192023[[#This Row],[النولون]]+Table118192023[[#This Row],[الايصالات]]+Table118192023[[#This Row],[قيمة مضافة]]</f>
        <v>0</v>
      </c>
      <c r="L331" s="1">
        <f>L330+Table118192023[[#This Row],[اجمالي الفاتوره]]-Table118192023[[#This Row],[الدفعات]]</f>
        <v>-1.1199999999880674</v>
      </c>
      <c r="N331" s="48"/>
    </row>
    <row r="332" spans="10:14" ht="21.6" customHeight="1" x14ac:dyDescent="0.3">
      <c r="J332" s="1">
        <f>Table118192023[[#This Row],[النولون]]+Table118192023[[#This Row],[الايصالات]]+Table118192023[[#This Row],[قيمة مضافة]]</f>
        <v>0</v>
      </c>
      <c r="L332" s="1">
        <f>L331+Table118192023[[#This Row],[اجمالي الفاتوره]]-Table118192023[[#This Row],[الدفعات]]</f>
        <v>-1.1199999999880674</v>
      </c>
      <c r="N332" s="48"/>
    </row>
    <row r="333" spans="10:14" ht="21.6" customHeight="1" x14ac:dyDescent="0.3">
      <c r="J333" s="1">
        <f>Table118192023[[#This Row],[النولون]]+Table118192023[[#This Row],[الايصالات]]+Table118192023[[#This Row],[قيمة مضافة]]</f>
        <v>0</v>
      </c>
      <c r="L333" s="1">
        <f>L332+Table118192023[[#This Row],[اجمالي الفاتوره]]-Table118192023[[#This Row],[الدفعات]]</f>
        <v>-1.1199999999880674</v>
      </c>
      <c r="N333" s="48"/>
    </row>
    <row r="334" spans="10:14" ht="21.6" customHeight="1" x14ac:dyDescent="0.3">
      <c r="J334" s="1">
        <f>Table118192023[[#This Row],[النولون]]+Table118192023[[#This Row],[الايصالات]]+Table118192023[[#This Row],[قيمة مضافة]]</f>
        <v>0</v>
      </c>
      <c r="L334" s="1">
        <f>L333+Table118192023[[#This Row],[اجمالي الفاتوره]]-Table118192023[[#This Row],[الدفعات]]</f>
        <v>-1.1199999999880674</v>
      </c>
      <c r="N334" s="48"/>
    </row>
    <row r="335" spans="10:14" ht="21.6" customHeight="1" x14ac:dyDescent="0.3">
      <c r="J335" s="1">
        <f>Table118192023[[#This Row],[النولون]]+Table118192023[[#This Row],[الايصالات]]+Table118192023[[#This Row],[قيمة مضافة]]</f>
        <v>0</v>
      </c>
      <c r="L335" s="1">
        <f>L334+Table118192023[[#This Row],[اجمالي الفاتوره]]-Table118192023[[#This Row],[الدفعات]]</f>
        <v>-1.1199999999880674</v>
      </c>
      <c r="N335" s="48"/>
    </row>
    <row r="336" spans="10:14" ht="21.6" customHeight="1" x14ac:dyDescent="0.3">
      <c r="J336" s="1">
        <f>Table118192023[[#This Row],[النولون]]+Table118192023[[#This Row],[الايصالات]]+Table118192023[[#This Row],[قيمة مضافة]]</f>
        <v>0</v>
      </c>
      <c r="L336" s="1">
        <f>L335+Table118192023[[#This Row],[اجمالي الفاتوره]]-Table118192023[[#This Row],[الدفعات]]</f>
        <v>-1.1199999999880674</v>
      </c>
      <c r="N336" s="48"/>
    </row>
    <row r="337" spans="10:14" ht="21.6" customHeight="1" x14ac:dyDescent="0.3">
      <c r="J337" s="1">
        <f>Table118192023[[#This Row],[النولون]]+Table118192023[[#This Row],[الايصالات]]+Table118192023[[#This Row],[قيمة مضافة]]</f>
        <v>0</v>
      </c>
      <c r="L337" s="1">
        <f>L336+Table118192023[[#This Row],[اجمالي الفاتوره]]-Table118192023[[#This Row],[الدفعات]]</f>
        <v>-1.1199999999880674</v>
      </c>
      <c r="N337" s="48"/>
    </row>
    <row r="338" spans="10:14" ht="21.6" customHeight="1" x14ac:dyDescent="0.3">
      <c r="J338" s="1">
        <f>Table118192023[[#This Row],[النولون]]+Table118192023[[#This Row],[الايصالات]]+Table118192023[[#This Row],[قيمة مضافة]]</f>
        <v>0</v>
      </c>
      <c r="L338" s="1">
        <f>L337+Table118192023[[#This Row],[اجمالي الفاتوره]]-Table118192023[[#This Row],[الدفعات]]</f>
        <v>-1.1199999999880674</v>
      </c>
      <c r="N338" s="48"/>
    </row>
    <row r="339" spans="10:14" ht="21.6" customHeight="1" x14ac:dyDescent="0.3">
      <c r="J339" s="1">
        <f>Table118192023[[#This Row],[النولون]]+Table118192023[[#This Row],[الايصالات]]+Table118192023[[#This Row],[قيمة مضافة]]</f>
        <v>0</v>
      </c>
      <c r="L339" s="1">
        <f>L338+Table118192023[[#This Row],[اجمالي الفاتوره]]-Table118192023[[#This Row],[الدفعات]]</f>
        <v>-1.1199999999880674</v>
      </c>
      <c r="N339" s="48"/>
    </row>
    <row r="340" spans="10:14" ht="21.6" customHeight="1" x14ac:dyDescent="0.3">
      <c r="J340" s="1">
        <f>Table118192023[[#This Row],[النولون]]+Table118192023[[#This Row],[الايصالات]]+Table118192023[[#This Row],[قيمة مضافة]]</f>
        <v>0</v>
      </c>
      <c r="L340" s="1">
        <f>L339+Table118192023[[#This Row],[اجمالي الفاتوره]]-Table118192023[[#This Row],[الدفعات]]</f>
        <v>-1.1199999999880674</v>
      </c>
      <c r="N340" s="48"/>
    </row>
  </sheetData>
  <phoneticPr fontId="2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38"/>
  <sheetViews>
    <sheetView rightToLeft="1" topLeftCell="A10" zoomScaleNormal="100" workbookViewId="0">
      <selection activeCell="I18" sqref="I18"/>
    </sheetView>
  </sheetViews>
  <sheetFormatPr defaultColWidth="9.109375" defaultRowHeight="15.6" x14ac:dyDescent="0.3"/>
  <cols>
    <col min="1" max="1" width="5.44140625" style="1" customWidth="1"/>
    <col min="2" max="2" width="11" style="1" customWidth="1"/>
    <col min="3" max="3" width="15.109375" style="1" customWidth="1"/>
    <col min="4" max="4" width="11.21875" style="1" customWidth="1"/>
    <col min="5" max="5" width="13.33203125" style="1" customWidth="1"/>
    <col min="6" max="6" width="13" style="1" customWidth="1"/>
    <col min="7" max="7" width="11.6640625" style="1" customWidth="1"/>
    <col min="8" max="8" width="11.77734375" style="1" customWidth="1"/>
    <col min="9" max="9" width="6" style="1" customWidth="1"/>
    <col min="10" max="10" width="10.77734375" style="1" customWidth="1"/>
    <col min="11" max="11" width="12" style="1" customWidth="1"/>
    <col min="12" max="12" width="17.21875" style="1" bestFit="1" customWidth="1"/>
    <col min="13" max="13" width="15.21875" style="1" customWidth="1"/>
    <col min="14" max="14" width="11.109375" style="1" customWidth="1"/>
    <col min="15" max="16384" width="9.109375" style="1"/>
  </cols>
  <sheetData>
    <row r="1" spans="1:15" ht="26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8" t="s">
        <v>20</v>
      </c>
    </row>
    <row r="2" spans="1:15" ht="26.25" customHeight="1" x14ac:dyDescent="0.3">
      <c r="B2" s="2"/>
      <c r="K2" s="1">
        <f>Table11819202324[[#This Row],[النولون]]+Table11819202324[[#This Row],[الايصالات]]-Table11819202324[[#This Row],[خصم أ ت ص]]+Table11819202324[[#This Row],[قيمة مضافة]]</f>
        <v>0</v>
      </c>
      <c r="M2" s="1">
        <f>143132.58-150000</f>
        <v>-6867.4200000000128</v>
      </c>
      <c r="O2" s="48"/>
    </row>
    <row r="3" spans="1:15" ht="26.25" customHeight="1" x14ac:dyDescent="0.3">
      <c r="A3" s="72"/>
      <c r="B3" s="73" t="s">
        <v>148</v>
      </c>
      <c r="C3" s="72"/>
      <c r="D3" s="72"/>
      <c r="E3" s="72"/>
      <c r="F3" s="72"/>
      <c r="G3" s="72"/>
      <c r="H3" s="72"/>
      <c r="I3" s="72"/>
      <c r="J3" s="72"/>
      <c r="K3" s="72">
        <f>Table11819202324[[#This Row],[النولون]]+Table11819202324[[#This Row],[الايصالات]]-Table11819202324[[#This Row],[خصم أ ت ص]]+Table11819202324[[#This Row],[قيمة مضافة]]</f>
        <v>0</v>
      </c>
      <c r="L3" s="72"/>
      <c r="M3" s="72">
        <f>M2+Table11819202324[[#This Row],[اجمالي الفاتوره]]-Table11819202324[[#This Row],[الدفعات]]</f>
        <v>-6867.4200000000128</v>
      </c>
      <c r="O3" s="48"/>
    </row>
    <row r="4" spans="1:15" ht="26.25" customHeight="1" x14ac:dyDescent="0.3">
      <c r="A4" s="1">
        <v>1</v>
      </c>
      <c r="B4" s="2" t="s">
        <v>150</v>
      </c>
      <c r="C4" s="1" t="s">
        <v>173</v>
      </c>
      <c r="D4" s="1" t="s">
        <v>142</v>
      </c>
      <c r="E4" s="1">
        <v>75127</v>
      </c>
      <c r="F4" s="1" t="s">
        <v>143</v>
      </c>
      <c r="G4" s="1">
        <v>17600</v>
      </c>
      <c r="J4" s="1">
        <f>4000+1150+105.79+469.5+1368+228+114</f>
        <v>7435.29</v>
      </c>
      <c r="K4" s="1">
        <f>Table11819202324[[#This Row],[النولون]]+Table11819202324[[#This Row],[الايصالات]]-Table11819202324[[#This Row],[خصم أ ت ص]]+Table11819202324[[#This Row],[قيمة مضافة]]</f>
        <v>25035.29</v>
      </c>
      <c r="M4" s="1">
        <f>M3+Table11819202324[[#This Row],[اجمالي الفاتوره]]-Table11819202324[[#This Row],[الدفعات]]</f>
        <v>18167.869999999988</v>
      </c>
      <c r="O4" s="48"/>
    </row>
    <row r="5" spans="1:15" ht="26.25" customHeight="1" x14ac:dyDescent="0.3">
      <c r="A5" s="1">
        <v>2</v>
      </c>
      <c r="B5" s="2" t="s">
        <v>237</v>
      </c>
      <c r="C5" s="1" t="s">
        <v>173</v>
      </c>
      <c r="D5" s="1" t="s">
        <v>142</v>
      </c>
      <c r="E5" s="1">
        <v>37584</v>
      </c>
      <c r="F5" s="1" t="s">
        <v>143</v>
      </c>
      <c r="G5" s="1">
        <v>17600</v>
      </c>
      <c r="J5" s="1">
        <f>810+50+50+1135+469.5+45.15+1076.16+350+25.1+4000</f>
        <v>8010.91</v>
      </c>
      <c r="K5" s="1">
        <f>Table11819202324[[#This Row],[النولون]]+Table11819202324[[#This Row],[الايصالات]]-Table11819202324[[#This Row],[خصم أ ت ص]]+Table11819202324[[#This Row],[قيمة مضافة]]</f>
        <v>25610.91</v>
      </c>
      <c r="M5" s="1">
        <f>M4+Table11819202324[[#This Row],[اجمالي الفاتوره]]-Table11819202324[[#This Row],[الدفعات]]</f>
        <v>43778.779999999984</v>
      </c>
      <c r="O5" s="48"/>
    </row>
    <row r="6" spans="1:15" ht="26.25" customHeight="1" x14ac:dyDescent="0.3">
      <c r="A6" s="1">
        <v>3</v>
      </c>
      <c r="B6" s="2" t="s">
        <v>237</v>
      </c>
      <c r="C6" s="1" t="s">
        <v>173</v>
      </c>
      <c r="D6" s="1" t="s">
        <v>277</v>
      </c>
      <c r="E6" s="1">
        <v>873146</v>
      </c>
      <c r="F6" s="1" t="s">
        <v>143</v>
      </c>
      <c r="G6" s="1">
        <v>19000</v>
      </c>
      <c r="J6" s="1">
        <f>4000+1135+120+50+912+295.4+350+399</f>
        <v>7261.4</v>
      </c>
      <c r="K6" s="1">
        <f>Table11819202324[[#This Row],[النولون]]+Table11819202324[[#This Row],[الايصالات]]-Table11819202324[[#This Row],[خصم أ ت ص]]+Table11819202324[[#This Row],[قيمة مضافة]]</f>
        <v>26261.4</v>
      </c>
      <c r="M6" s="1">
        <f>M5+Table11819202324[[#This Row],[اجمالي الفاتوره]]-Table11819202324[[#This Row],[الدفعات]]</f>
        <v>70040.179999999993</v>
      </c>
      <c r="O6" s="48"/>
    </row>
    <row r="7" spans="1:15" ht="26.25" customHeight="1" x14ac:dyDescent="0.3">
      <c r="A7" s="1">
        <v>4</v>
      </c>
      <c r="B7" s="2" t="s">
        <v>323</v>
      </c>
      <c r="C7" s="1" t="s">
        <v>173</v>
      </c>
      <c r="D7" s="1" t="s">
        <v>298</v>
      </c>
      <c r="E7" s="1">
        <v>75520</v>
      </c>
      <c r="F7" s="1" t="s">
        <v>143</v>
      </c>
      <c r="G7" s="1">
        <v>11500</v>
      </c>
      <c r="J7" s="1">
        <f>105.79+591.35+1436.4+228+114+25.1</f>
        <v>2500.64</v>
      </c>
      <c r="K7" s="1">
        <f>Table11819202324[[#This Row],[النولون]]+Table11819202324[[#This Row],[الايصالات]]-Table11819202324[[#This Row],[خصم أ ت ص]]+Table11819202324[[#This Row],[قيمة مضافة]]</f>
        <v>14000.64</v>
      </c>
      <c r="M7" s="1">
        <f>M6+Table11819202324[[#This Row],[اجمالي الفاتوره]]-Table11819202324[[#This Row],[الدفعات]]</f>
        <v>84040.819999999992</v>
      </c>
      <c r="O7" s="48"/>
    </row>
    <row r="8" spans="1:15" ht="26.25" customHeight="1" x14ac:dyDescent="0.3">
      <c r="A8" s="1">
        <v>5</v>
      </c>
      <c r="B8" s="2" t="s">
        <v>323</v>
      </c>
      <c r="C8" s="1" t="s">
        <v>173</v>
      </c>
      <c r="D8" s="1" t="s">
        <v>298</v>
      </c>
      <c r="E8" s="1">
        <v>68</v>
      </c>
      <c r="F8" s="1" t="s">
        <v>143</v>
      </c>
      <c r="G8" s="1">
        <v>11500</v>
      </c>
      <c r="J8" s="1">
        <f>594.96+400+200+1400+11500</f>
        <v>14094.96</v>
      </c>
      <c r="K8" s="1">
        <f>Table11819202324[[#This Row],[النولون]]+Table11819202324[[#This Row],[الايصالات]]-Table11819202324[[#This Row],[خصم أ ت ص]]+Table11819202324[[#This Row],[قيمة مضافة]]</f>
        <v>25594.959999999999</v>
      </c>
      <c r="M8" s="1">
        <f>M7+Table11819202324[[#This Row],[اجمالي الفاتوره]]-Table11819202324[[#This Row],[الدفعات]]</f>
        <v>109635.78</v>
      </c>
      <c r="O8" s="48"/>
    </row>
    <row r="9" spans="1:15" ht="26.25" customHeight="1" x14ac:dyDescent="0.3">
      <c r="A9" s="1">
        <v>6</v>
      </c>
      <c r="B9" s="2" t="s">
        <v>323</v>
      </c>
      <c r="C9" s="1" t="s">
        <v>173</v>
      </c>
      <c r="D9" s="1" t="s">
        <v>298</v>
      </c>
      <c r="E9" s="1">
        <v>38336</v>
      </c>
      <c r="F9" s="1" t="s">
        <v>143</v>
      </c>
      <c r="G9" s="1">
        <v>11500</v>
      </c>
      <c r="J9" s="1">
        <f>850+656.49+1067.95+250+100</f>
        <v>2924.44</v>
      </c>
      <c r="K9" s="1">
        <f>Table11819202324[[#This Row],[النولون]]+Table11819202324[[#This Row],[الايصالات]]-Table11819202324[[#This Row],[خصم أ ت ص]]+Table11819202324[[#This Row],[قيمة مضافة]]</f>
        <v>14424.44</v>
      </c>
      <c r="M9" s="1">
        <f>M8+Table11819202324[[#This Row],[اجمالي الفاتوره]]-Table11819202324[[#This Row],[الدفعات]]</f>
        <v>124060.22</v>
      </c>
      <c r="O9" s="48"/>
    </row>
    <row r="10" spans="1:15" ht="26.25" customHeight="1" x14ac:dyDescent="0.3">
      <c r="A10" s="72"/>
      <c r="B10" s="73" t="s">
        <v>335</v>
      </c>
      <c r="C10" s="72"/>
      <c r="D10" s="72"/>
      <c r="E10" s="72"/>
      <c r="F10" s="72"/>
      <c r="G10" s="72"/>
      <c r="H10" s="72"/>
      <c r="I10" s="72"/>
      <c r="J10" s="72"/>
      <c r="K10" s="72">
        <f>Table11819202324[[#This Row],[النولون]]+Table11819202324[[#This Row],[الايصالات]]-Table11819202324[[#This Row],[خصم أ ت ص]]+Table11819202324[[#This Row],[قيمة مضافة]]</f>
        <v>0</v>
      </c>
      <c r="L10" s="72">
        <v>50000</v>
      </c>
      <c r="M10" s="72">
        <f>M9+Table11819202324[[#This Row],[اجمالي الفاتوره]]-Table11819202324[[#This Row],[الدفعات]]</f>
        <v>74060.22</v>
      </c>
      <c r="O10" s="48"/>
    </row>
    <row r="11" spans="1:15" ht="26.25" customHeight="1" x14ac:dyDescent="0.3">
      <c r="A11" s="72"/>
      <c r="B11" s="73" t="s">
        <v>335</v>
      </c>
      <c r="C11" s="72"/>
      <c r="D11" s="72"/>
      <c r="E11" s="72"/>
      <c r="F11" s="72"/>
      <c r="G11" s="72"/>
      <c r="H11" s="72"/>
      <c r="I11" s="72"/>
      <c r="J11" s="72"/>
      <c r="K11" s="72">
        <f>Table11819202324[[#This Row],[النولون]]+Table11819202324[[#This Row],[الايصالات]]-Table11819202324[[#This Row],[خصم أ ت ص]]+Table11819202324[[#This Row],[قيمة مضافة]]</f>
        <v>0</v>
      </c>
      <c r="L11" s="72">
        <v>43000</v>
      </c>
      <c r="M11" s="72">
        <f>M10+Table11819202324[[#This Row],[اجمالي الفاتوره]]-Table11819202324[[#This Row],[الدفعات]]</f>
        <v>31060.22</v>
      </c>
      <c r="O11" s="48"/>
    </row>
    <row r="12" spans="1:15" ht="26.25" customHeight="1" x14ac:dyDescent="0.3">
      <c r="A12" s="1">
        <v>7</v>
      </c>
      <c r="B12" s="2" t="s">
        <v>407</v>
      </c>
      <c r="C12" s="1" t="s">
        <v>414</v>
      </c>
      <c r="D12" s="1" t="s">
        <v>370</v>
      </c>
      <c r="E12" s="1">
        <v>2600032</v>
      </c>
      <c r="F12" s="1" t="s">
        <v>121</v>
      </c>
      <c r="G12" s="1">
        <v>34500</v>
      </c>
      <c r="J12" s="1">
        <f>1100+534.67+100+810+100+50+50+100+250+100</f>
        <v>3194.67</v>
      </c>
      <c r="K12" s="1">
        <f>Table11819202324[[#This Row],[النولون]]+Table11819202324[[#This Row],[الايصالات]]-Table11819202324[[#This Row],[خصم أ ت ص]]+Table11819202324[[#This Row],[قيمة مضافة]]</f>
        <v>37694.67</v>
      </c>
      <c r="M12" s="1">
        <f>M11+Table11819202324[[#This Row],[اجمالي الفاتوره]]-Table11819202324[[#This Row],[الدفعات]]</f>
        <v>68754.89</v>
      </c>
      <c r="O12" s="48"/>
    </row>
    <row r="13" spans="1:15" ht="26.25" customHeight="1" x14ac:dyDescent="0.3">
      <c r="A13" s="1">
        <v>8</v>
      </c>
      <c r="B13" s="2" t="s">
        <v>407</v>
      </c>
      <c r="C13" s="1" t="s">
        <v>414</v>
      </c>
      <c r="D13" s="1" t="s">
        <v>370</v>
      </c>
      <c r="E13" s="1">
        <v>2600031</v>
      </c>
      <c r="F13" s="1" t="s">
        <v>121</v>
      </c>
      <c r="G13" s="1">
        <v>34500</v>
      </c>
      <c r="J13" s="1">
        <f>1100+475.4+850+100+50*2+100+100+250+100+2907</f>
        <v>6082.4</v>
      </c>
      <c r="K13" s="1">
        <f>Table11819202324[[#This Row],[النولون]]+Table11819202324[[#This Row],[الايصالات]]-Table11819202324[[#This Row],[خصم أ ت ص]]+Table11819202324[[#This Row],[قيمة مضافة]]</f>
        <v>40582.400000000001</v>
      </c>
      <c r="M13" s="1">
        <f>M12+Table11819202324[[#This Row],[اجمالي الفاتوره]]-Table11819202324[[#This Row],[الدفعات]]</f>
        <v>109337.29000000001</v>
      </c>
      <c r="O13" s="48"/>
    </row>
    <row r="14" spans="1:15" ht="26.25" customHeight="1" x14ac:dyDescent="0.3">
      <c r="A14" s="1">
        <v>9</v>
      </c>
      <c r="B14" s="2">
        <v>46119</v>
      </c>
      <c r="C14" s="1" t="s">
        <v>430</v>
      </c>
      <c r="D14" s="1" t="s">
        <v>431</v>
      </c>
      <c r="E14" s="1">
        <v>896531</v>
      </c>
      <c r="F14" s="1" t="s">
        <v>159</v>
      </c>
      <c r="G14" s="1">
        <v>18000</v>
      </c>
      <c r="J14" s="1">
        <f>100+850+580+75.47+397.41+100+150+171+25.1</f>
        <v>2448.98</v>
      </c>
      <c r="K14" s="1">
        <f>Table11819202324[[#This Row],[النولون]]+Table11819202324[[#This Row],[الايصالات]]-Table11819202324[[#This Row],[خصم أ ت ص]]+Table11819202324[[#This Row],[قيمة مضافة]]</f>
        <v>20448.98</v>
      </c>
      <c r="M14" s="1">
        <f>M13+Table11819202324[[#This Row],[اجمالي الفاتوره]]-Table11819202324[[#This Row],[الدفعات]]</f>
        <v>129786.27</v>
      </c>
      <c r="O14" s="48"/>
    </row>
    <row r="15" spans="1:15" ht="26.25" customHeight="1" x14ac:dyDescent="0.3">
      <c r="A15" s="72"/>
      <c r="B15" s="73">
        <v>46124</v>
      </c>
      <c r="C15" s="72"/>
      <c r="D15" s="72"/>
      <c r="E15" s="72"/>
      <c r="F15" s="72"/>
      <c r="G15" s="72"/>
      <c r="H15" s="72"/>
      <c r="I15" s="72"/>
      <c r="J15" s="72"/>
      <c r="K15" s="72">
        <f>Table11819202324[[#This Row],[النولون]]+Table11819202324[[#This Row],[الايصالات]]-Table11819202324[[#This Row],[خصم أ ت ص]]+Table11819202324[[#This Row],[قيمة مضافة]]</f>
        <v>0</v>
      </c>
      <c r="L15" s="72">
        <v>40000</v>
      </c>
      <c r="M15" s="72">
        <f>M14+Table11819202324[[#This Row],[اجمالي الفاتوره]]-Table11819202324[[#This Row],[الدفعات]]</f>
        <v>89786.27</v>
      </c>
      <c r="O15" s="48"/>
    </row>
    <row r="16" spans="1:15" ht="26.25" customHeight="1" x14ac:dyDescent="0.3">
      <c r="A16" s="1">
        <v>10</v>
      </c>
      <c r="B16" s="2">
        <v>46137</v>
      </c>
      <c r="C16" s="1" t="s">
        <v>173</v>
      </c>
      <c r="D16" s="1" t="s">
        <v>476</v>
      </c>
      <c r="E16" s="1">
        <v>260251525</v>
      </c>
      <c r="F16" s="1" t="s">
        <v>143</v>
      </c>
      <c r="G16" s="1">
        <v>14000</v>
      </c>
      <c r="J16" s="1">
        <f>810+1135+435.57+45.15+120+460+1561.8+39.9+3500</f>
        <v>8107.42</v>
      </c>
      <c r="K16" s="1">
        <f>Table11819202324[[#This Row],[النولون]]+Table11819202324[[#This Row],[الايصالات]]-Table11819202324[[#This Row],[خصم أ ت ص]]+Table11819202324[[#This Row],[قيمة مضافة]]</f>
        <v>22107.42</v>
      </c>
      <c r="M16" s="1">
        <f>M15+Table11819202324[[#This Row],[اجمالي الفاتوره]]-Table11819202324[[#This Row],[الدفعات]]</f>
        <v>111893.69</v>
      </c>
      <c r="N16" s="1">
        <f>SUM(K:K)-SUM(L:L)+M2</f>
        <v>110479.34</v>
      </c>
      <c r="O16" s="48">
        <f>SUM(H:H)</f>
        <v>0</v>
      </c>
    </row>
    <row r="17" spans="1:15" ht="26.25" customHeight="1" x14ac:dyDescent="0.3">
      <c r="A17" s="1">
        <v>11</v>
      </c>
      <c r="B17" s="2">
        <v>46144</v>
      </c>
      <c r="C17" s="1" t="s">
        <v>430</v>
      </c>
      <c r="D17" s="1" t="s">
        <v>509</v>
      </c>
      <c r="E17" s="1">
        <v>1573</v>
      </c>
      <c r="F17" s="1" t="s">
        <v>121</v>
      </c>
      <c r="G17" s="1">
        <v>14500</v>
      </c>
      <c r="J17" s="1">
        <f>1100+446.88+1255+327</f>
        <v>3128.88</v>
      </c>
      <c r="K17" s="1">
        <f>Table11819202324[[#This Row],[النولون]]+Table11819202324[[#This Row],[الايصالات]]-Table11819202324[[#This Row],[خصم أ ت ص]]+Table11819202324[[#This Row],[قيمة مضافة]]</f>
        <v>17628.88</v>
      </c>
      <c r="M17" s="1">
        <f>M16+Table11819202324[[#This Row],[اجمالي الفاتوره]]-Table11819202324[[#This Row],[الدفعات]]</f>
        <v>129522.57</v>
      </c>
      <c r="O17" s="48"/>
    </row>
    <row r="18" spans="1:15" ht="26.25" customHeight="1" x14ac:dyDescent="0.3">
      <c r="A18" s="1">
        <v>12</v>
      </c>
      <c r="B18" s="2">
        <v>46181</v>
      </c>
      <c r="C18" s="2" t="s">
        <v>173</v>
      </c>
      <c r="D18" s="1" t="s">
        <v>600</v>
      </c>
      <c r="E18" s="1">
        <v>76889</v>
      </c>
      <c r="F18" s="1" t="s">
        <v>143</v>
      </c>
      <c r="G18" s="1">
        <v>18000</v>
      </c>
      <c r="J18" s="1">
        <f>850+850+35+50+50+1135+1915.2+228+228+3500+35+105.79+474.78+3500</f>
        <v>12956.770000000002</v>
      </c>
      <c r="K18" s="1">
        <f>Table11819202324[[#This Row],[النولون]]+Table11819202324[[#This Row],[الايصالات]]-Table11819202324[[#This Row],[خصم أ ت ص]]+Table11819202324[[#This Row],[قيمة مضافة]]</f>
        <v>30956.770000000004</v>
      </c>
      <c r="M18" s="1">
        <f>M17+Table11819202324[[#This Row],[اجمالي الفاتوره]]-Table11819202324[[#This Row],[الدفعات]]</f>
        <v>160479.34000000003</v>
      </c>
      <c r="O18" s="48"/>
    </row>
    <row r="19" spans="1:15" ht="26.25" customHeight="1" x14ac:dyDescent="0.3">
      <c r="A19" s="72"/>
      <c r="B19" s="73">
        <v>46187</v>
      </c>
      <c r="C19" s="72"/>
      <c r="D19" s="72"/>
      <c r="E19" s="72"/>
      <c r="F19" s="72"/>
      <c r="G19" s="72"/>
      <c r="H19" s="72"/>
      <c r="I19" s="72"/>
      <c r="J19" s="72"/>
      <c r="K19" s="72">
        <f>Table11819202324[[#This Row],[النولون]]+Table11819202324[[#This Row],[الايصالات]]-Table11819202324[[#This Row],[خصم أ ت ص]]+Table11819202324[[#This Row],[قيمة مضافة]]</f>
        <v>0</v>
      </c>
      <c r="L19" s="72">
        <v>50000</v>
      </c>
      <c r="M19" s="72">
        <f>M18+Table11819202324[[#This Row],[اجمالي الفاتوره]]-Table11819202324[[#This Row],[الدفعات]]</f>
        <v>110479.34000000003</v>
      </c>
      <c r="O19" s="48"/>
    </row>
    <row r="20" spans="1:15" ht="26.25" customHeight="1" x14ac:dyDescent="0.3">
      <c r="B20" s="2"/>
      <c r="K20" s="1">
        <f>Table11819202324[[#This Row],[النولون]]+Table11819202324[[#This Row],[الايصالات]]-Table11819202324[[#This Row],[خصم أ ت ص]]+Table11819202324[[#This Row],[قيمة مضافة]]</f>
        <v>0</v>
      </c>
      <c r="M20" s="1">
        <f>M19+Table11819202324[[#This Row],[اجمالي الفاتوره]]-Table11819202324[[#This Row],[الدفعات]]</f>
        <v>110479.34000000003</v>
      </c>
      <c r="O20" s="48"/>
    </row>
    <row r="21" spans="1:15" ht="26.25" customHeight="1" x14ac:dyDescent="0.3">
      <c r="B21" s="2"/>
      <c r="K21" s="1">
        <f>Table11819202324[[#This Row],[النولون]]+Table11819202324[[#This Row],[الايصالات]]-Table11819202324[[#This Row],[خصم أ ت ص]]+Table11819202324[[#This Row],[قيمة مضافة]]</f>
        <v>0</v>
      </c>
      <c r="M21" s="1">
        <f>M20+Table11819202324[[#This Row],[اجمالي الفاتوره]]-Table11819202324[[#This Row],[الدفعات]]</f>
        <v>110479.34000000003</v>
      </c>
      <c r="O21" s="48"/>
    </row>
    <row r="22" spans="1:15" ht="26.25" customHeight="1" x14ac:dyDescent="0.3">
      <c r="B22" s="2"/>
      <c r="K22" s="1">
        <f>Table11819202324[[#This Row],[النولون]]+Table11819202324[[#This Row],[الايصالات]]-Table11819202324[[#This Row],[خصم أ ت ص]]+Table11819202324[[#This Row],[قيمة مضافة]]</f>
        <v>0</v>
      </c>
      <c r="M22" s="1">
        <f>M21+Table11819202324[[#This Row],[اجمالي الفاتوره]]-Table11819202324[[#This Row],[الدفعات]]</f>
        <v>110479.34000000003</v>
      </c>
      <c r="O22" s="48"/>
    </row>
    <row r="23" spans="1:15" ht="26.25" customHeight="1" x14ac:dyDescent="0.3">
      <c r="B23" s="2"/>
      <c r="K23" s="1">
        <f>Table11819202324[[#This Row],[النولون]]+Table11819202324[[#This Row],[الايصالات]]-Table11819202324[[#This Row],[خصم أ ت ص]]+Table11819202324[[#This Row],[قيمة مضافة]]</f>
        <v>0</v>
      </c>
      <c r="M23" s="1">
        <f>M22+Table11819202324[[#This Row],[اجمالي الفاتوره]]-Table11819202324[[#This Row],[الدفعات]]</f>
        <v>110479.34000000003</v>
      </c>
      <c r="O23" s="48"/>
    </row>
    <row r="24" spans="1:15" ht="26.25" customHeight="1" x14ac:dyDescent="0.3">
      <c r="B24" s="2"/>
      <c r="K24" s="1">
        <f>Table11819202324[[#This Row],[النولون]]+Table11819202324[[#This Row],[الايصالات]]-Table11819202324[[#This Row],[خصم أ ت ص]]+Table11819202324[[#This Row],[قيمة مضافة]]</f>
        <v>0</v>
      </c>
      <c r="M24" s="1">
        <f>M23+Table11819202324[[#This Row],[اجمالي الفاتوره]]-Table11819202324[[#This Row],[الدفعات]]</f>
        <v>110479.34000000003</v>
      </c>
      <c r="O24" s="48"/>
    </row>
    <row r="25" spans="1:15" ht="26.25" customHeight="1" x14ac:dyDescent="0.3">
      <c r="B25" s="2"/>
      <c r="K25" s="1">
        <f>Table11819202324[[#This Row],[النولون]]+Table11819202324[[#This Row],[الايصالات]]-Table11819202324[[#This Row],[خصم أ ت ص]]+Table11819202324[[#This Row],[قيمة مضافة]]</f>
        <v>0</v>
      </c>
      <c r="M25" s="1">
        <f>M24+Table11819202324[[#This Row],[اجمالي الفاتوره]]-Table11819202324[[#This Row],[الدفعات]]</f>
        <v>110479.34000000003</v>
      </c>
      <c r="O25" s="48"/>
    </row>
    <row r="26" spans="1:15" ht="26.25" customHeight="1" x14ac:dyDescent="0.3">
      <c r="B26" s="2"/>
      <c r="K26" s="1">
        <f>Table11819202324[[#This Row],[النولون]]+Table11819202324[[#This Row],[الايصالات]]-Table11819202324[[#This Row],[خصم أ ت ص]]+Table11819202324[[#This Row],[قيمة مضافة]]</f>
        <v>0</v>
      </c>
      <c r="M26" s="1">
        <f>M25+Table11819202324[[#This Row],[اجمالي الفاتوره]]-Table11819202324[[#This Row],[الدفعات]]</f>
        <v>110479.34000000003</v>
      </c>
      <c r="O26" s="48"/>
    </row>
    <row r="27" spans="1:15" ht="26.25" customHeight="1" x14ac:dyDescent="0.3">
      <c r="B27" s="2"/>
      <c r="K27" s="1">
        <f>Table11819202324[[#This Row],[النولون]]+Table11819202324[[#This Row],[الايصالات]]-Table11819202324[[#This Row],[خصم أ ت ص]]+Table11819202324[[#This Row],[قيمة مضافة]]</f>
        <v>0</v>
      </c>
      <c r="M27" s="1">
        <f>M26+Table11819202324[[#This Row],[اجمالي الفاتوره]]-Table11819202324[[#This Row],[الدفعات]]</f>
        <v>110479.34000000003</v>
      </c>
      <c r="O27" s="48"/>
    </row>
    <row r="28" spans="1:15" ht="26.25" customHeight="1" x14ac:dyDescent="0.3">
      <c r="B28" s="2"/>
      <c r="K28" s="1">
        <f>Table11819202324[[#This Row],[النولون]]+Table11819202324[[#This Row],[الايصالات]]-Table11819202324[[#This Row],[خصم أ ت ص]]+Table11819202324[[#This Row],[قيمة مضافة]]</f>
        <v>0</v>
      </c>
      <c r="M28" s="1">
        <f>M27+Table11819202324[[#This Row],[اجمالي الفاتوره]]-Table11819202324[[#This Row],[الدفعات]]</f>
        <v>110479.34000000003</v>
      </c>
      <c r="O28" s="48"/>
    </row>
    <row r="29" spans="1:15" ht="26.25" customHeight="1" x14ac:dyDescent="0.3">
      <c r="B29" s="2"/>
      <c r="K29" s="1">
        <f>Table11819202324[[#This Row],[النولون]]+Table11819202324[[#This Row],[الايصالات]]-Table11819202324[[#This Row],[خصم أ ت ص]]+Table11819202324[[#This Row],[قيمة مضافة]]</f>
        <v>0</v>
      </c>
      <c r="M29" s="1">
        <f>M28+Table11819202324[[#This Row],[اجمالي الفاتوره]]-Table11819202324[[#This Row],[الدفعات]]</f>
        <v>110479.34000000003</v>
      </c>
      <c r="O29" s="48"/>
    </row>
    <row r="30" spans="1:15" ht="26.25" customHeight="1" x14ac:dyDescent="0.3">
      <c r="B30" s="2"/>
      <c r="K30" s="1">
        <f>Table11819202324[[#This Row],[النولون]]+Table11819202324[[#This Row],[الايصالات]]-Table11819202324[[#This Row],[خصم أ ت ص]]+Table11819202324[[#This Row],[قيمة مضافة]]</f>
        <v>0</v>
      </c>
      <c r="M30" s="1">
        <f>M29+Table11819202324[[#This Row],[اجمالي الفاتوره]]-Table11819202324[[#This Row],[الدفعات]]</f>
        <v>110479.34000000003</v>
      </c>
      <c r="O30" s="48"/>
    </row>
    <row r="31" spans="1:15" ht="26.25" customHeight="1" x14ac:dyDescent="0.3">
      <c r="B31" s="2"/>
      <c r="K31" s="1">
        <f>Table11819202324[[#This Row],[النولون]]+Table11819202324[[#This Row],[الايصالات]]-Table11819202324[[#This Row],[خصم أ ت ص]]+Table11819202324[[#This Row],[قيمة مضافة]]</f>
        <v>0</v>
      </c>
      <c r="M31" s="1">
        <f>M30+Table11819202324[[#This Row],[اجمالي الفاتوره]]-Table11819202324[[#This Row],[الدفعات]]</f>
        <v>110479.34000000003</v>
      </c>
      <c r="O31" s="48"/>
    </row>
    <row r="32" spans="1:15" ht="26.25" customHeight="1" x14ac:dyDescent="0.3">
      <c r="B32" s="2"/>
      <c r="K32" s="1">
        <f>Table11819202324[[#This Row],[النولون]]+Table11819202324[[#This Row],[الايصالات]]-Table11819202324[[#This Row],[خصم أ ت ص]]+Table11819202324[[#This Row],[قيمة مضافة]]</f>
        <v>0</v>
      </c>
      <c r="M32" s="1">
        <f>M31+Table11819202324[[#This Row],[اجمالي الفاتوره]]-Table11819202324[[#This Row],[الدفعات]]</f>
        <v>110479.34000000003</v>
      </c>
      <c r="O32" s="48"/>
    </row>
    <row r="33" spans="2:15" ht="26.25" customHeight="1" x14ac:dyDescent="0.3">
      <c r="B33" s="2"/>
      <c r="K33" s="1">
        <f>Table11819202324[[#This Row],[النولون]]+Table11819202324[[#This Row],[الايصالات]]-Table11819202324[[#This Row],[خصم أ ت ص]]+Table11819202324[[#This Row],[قيمة مضافة]]</f>
        <v>0</v>
      </c>
      <c r="M33" s="1">
        <f>M32+Table11819202324[[#This Row],[اجمالي الفاتوره]]-Table11819202324[[#This Row],[الدفعات]]</f>
        <v>110479.34000000003</v>
      </c>
      <c r="O33" s="48"/>
    </row>
    <row r="34" spans="2:15" ht="26.25" customHeight="1" x14ac:dyDescent="0.3">
      <c r="B34" s="2"/>
      <c r="K34" s="1">
        <f>Table11819202324[[#This Row],[النولون]]+Table11819202324[[#This Row],[الايصالات]]-Table11819202324[[#This Row],[خصم أ ت ص]]+Table11819202324[[#This Row],[قيمة مضافة]]</f>
        <v>0</v>
      </c>
      <c r="M34" s="1">
        <f>M33+Table11819202324[[#This Row],[اجمالي الفاتوره]]-Table11819202324[[#This Row],[الدفعات]]</f>
        <v>110479.34000000003</v>
      </c>
      <c r="O34" s="48"/>
    </row>
    <row r="35" spans="2:15" ht="26.25" customHeight="1" x14ac:dyDescent="0.3">
      <c r="B35" s="2"/>
      <c r="C35" s="2"/>
      <c r="K35" s="1">
        <f>Table11819202324[[#This Row],[النولون]]+Table11819202324[[#This Row],[الايصالات]]-Table11819202324[[#This Row],[خصم أ ت ص]]+Table11819202324[[#This Row],[قيمة مضافة]]</f>
        <v>0</v>
      </c>
      <c r="M35" s="1">
        <f>M34+Table11819202324[[#This Row],[اجمالي الفاتوره]]-Table11819202324[[#This Row],[الدفعات]]</f>
        <v>110479.34000000003</v>
      </c>
      <c r="O35" s="48"/>
    </row>
    <row r="36" spans="2:15" ht="26.25" customHeight="1" x14ac:dyDescent="0.3">
      <c r="B36" s="2"/>
      <c r="K36" s="1">
        <f>Table11819202324[[#This Row],[النولون]]+Table11819202324[[#This Row],[الايصالات]]-Table11819202324[[#This Row],[خصم أ ت ص]]+Table11819202324[[#This Row],[قيمة مضافة]]</f>
        <v>0</v>
      </c>
      <c r="M36" s="1">
        <f>M35+Table11819202324[[#This Row],[اجمالي الفاتوره]]-Table11819202324[[#This Row],[الدفعات]]</f>
        <v>110479.34000000003</v>
      </c>
      <c r="O36" s="48"/>
    </row>
    <row r="37" spans="2:15" ht="26.25" customHeight="1" x14ac:dyDescent="0.3">
      <c r="B37" s="2"/>
      <c r="K37" s="1">
        <f>Table11819202324[[#This Row],[النولون]]+Table11819202324[[#This Row],[الايصالات]]-Table11819202324[[#This Row],[خصم أ ت ص]]+Table11819202324[[#This Row],[قيمة مضافة]]</f>
        <v>0</v>
      </c>
      <c r="M37" s="1">
        <f>M36+Table11819202324[[#This Row],[اجمالي الفاتوره]]-Table11819202324[[#This Row],[الدفعات]]</f>
        <v>110479.34000000003</v>
      </c>
      <c r="O37" s="48"/>
    </row>
    <row r="38" spans="2:15" ht="26.25" customHeight="1" x14ac:dyDescent="0.3">
      <c r="B38" s="2"/>
      <c r="K38" s="1">
        <f>Table11819202324[[#This Row],[النولون]]+Table11819202324[[#This Row],[الايصالات]]-Table11819202324[[#This Row],[خصم أ ت ص]]+Table11819202324[[#This Row],[قيمة مضافة]]</f>
        <v>0</v>
      </c>
      <c r="M38" s="1">
        <f>M37+Table11819202324[[#This Row],[اجمالي الفاتوره]]-Table11819202324[[#This Row],[الدفعات]]</f>
        <v>110479.34000000003</v>
      </c>
      <c r="O38" s="48"/>
    </row>
    <row r="39" spans="2:15" ht="26.25" customHeight="1" x14ac:dyDescent="0.3">
      <c r="B39" s="2"/>
      <c r="K39" s="1">
        <f>Table11819202324[[#This Row],[النولون]]+Table11819202324[[#This Row],[الايصالات]]-Table11819202324[[#This Row],[خصم أ ت ص]]+Table11819202324[[#This Row],[قيمة مضافة]]</f>
        <v>0</v>
      </c>
      <c r="M39" s="1">
        <f>M38+Table11819202324[[#This Row],[اجمالي الفاتوره]]-Table11819202324[[#This Row],[الدفعات]]</f>
        <v>110479.34000000003</v>
      </c>
      <c r="O39" s="48"/>
    </row>
    <row r="40" spans="2:15" ht="26.25" customHeight="1" x14ac:dyDescent="0.3">
      <c r="B40" s="2"/>
      <c r="K40" s="1">
        <f>Table11819202324[[#This Row],[النولون]]+Table11819202324[[#This Row],[الايصالات]]-Table11819202324[[#This Row],[خصم أ ت ص]]+Table11819202324[[#This Row],[قيمة مضافة]]</f>
        <v>0</v>
      </c>
      <c r="M40" s="1">
        <f>M39+Table11819202324[[#This Row],[اجمالي الفاتوره]]-Table11819202324[[#This Row],[الدفعات]]</f>
        <v>110479.34000000003</v>
      </c>
      <c r="O40" s="48"/>
    </row>
    <row r="41" spans="2:15" ht="26.25" customHeight="1" x14ac:dyDescent="0.3">
      <c r="B41" s="2"/>
      <c r="K41" s="1">
        <f>Table11819202324[[#This Row],[النولون]]+Table11819202324[[#This Row],[الايصالات]]-Table11819202324[[#This Row],[خصم أ ت ص]]+Table11819202324[[#This Row],[قيمة مضافة]]</f>
        <v>0</v>
      </c>
      <c r="M41" s="1">
        <f>M40+Table11819202324[[#This Row],[اجمالي الفاتوره]]-Table11819202324[[#This Row],[الدفعات]]</f>
        <v>110479.34000000003</v>
      </c>
      <c r="O41" s="48"/>
    </row>
    <row r="42" spans="2:15" ht="26.25" customHeight="1" x14ac:dyDescent="0.3">
      <c r="B42" s="2"/>
      <c r="K42" s="1">
        <f>Table11819202324[[#This Row],[النولون]]+Table11819202324[[#This Row],[الايصالات]]-Table11819202324[[#This Row],[خصم أ ت ص]]+Table11819202324[[#This Row],[قيمة مضافة]]</f>
        <v>0</v>
      </c>
      <c r="M42" s="1">
        <f>M41+Table11819202324[[#This Row],[اجمالي الفاتوره]]-Table11819202324[[#This Row],[الدفعات]]</f>
        <v>110479.34000000003</v>
      </c>
      <c r="O42" s="48"/>
    </row>
    <row r="43" spans="2:15" ht="26.25" customHeight="1" x14ac:dyDescent="0.3">
      <c r="B43" s="2"/>
      <c r="K43" s="1">
        <f>Table11819202324[[#This Row],[النولون]]+Table11819202324[[#This Row],[الايصالات]]-Table11819202324[[#This Row],[خصم أ ت ص]]+Table11819202324[[#This Row],[قيمة مضافة]]</f>
        <v>0</v>
      </c>
      <c r="M43" s="1">
        <f>M42+Table11819202324[[#This Row],[اجمالي الفاتوره]]-Table11819202324[[#This Row],[الدفعات]]</f>
        <v>110479.34000000003</v>
      </c>
      <c r="O43" s="48"/>
    </row>
    <row r="44" spans="2:15" ht="26.25" customHeight="1" x14ac:dyDescent="0.3">
      <c r="B44" s="2"/>
      <c r="K44" s="1">
        <f>Table11819202324[[#This Row],[النولون]]+Table11819202324[[#This Row],[الايصالات]]-Table11819202324[[#This Row],[خصم أ ت ص]]+Table11819202324[[#This Row],[قيمة مضافة]]</f>
        <v>0</v>
      </c>
      <c r="M44" s="1">
        <f>M43+Table11819202324[[#This Row],[اجمالي الفاتوره]]-Table11819202324[[#This Row],[الدفعات]]</f>
        <v>110479.34000000003</v>
      </c>
      <c r="O44" s="48"/>
    </row>
    <row r="45" spans="2:15" ht="26.25" customHeight="1" x14ac:dyDescent="0.3">
      <c r="B45" s="2"/>
      <c r="K45" s="1">
        <f>Table11819202324[[#This Row],[النولون]]+Table11819202324[[#This Row],[الايصالات]]-Table11819202324[[#This Row],[خصم أ ت ص]]+Table11819202324[[#This Row],[قيمة مضافة]]</f>
        <v>0</v>
      </c>
      <c r="M45" s="1">
        <f>M44+Table11819202324[[#This Row],[اجمالي الفاتوره]]-Table11819202324[[#This Row],[الدفعات]]</f>
        <v>110479.34000000003</v>
      </c>
      <c r="O45" s="48"/>
    </row>
    <row r="46" spans="2:15" ht="26.25" customHeight="1" x14ac:dyDescent="0.3">
      <c r="B46" s="2"/>
      <c r="K46" s="1">
        <f>Table11819202324[[#This Row],[النولون]]+Table11819202324[[#This Row],[الايصالات]]-Table11819202324[[#This Row],[خصم أ ت ص]]+Table11819202324[[#This Row],[قيمة مضافة]]</f>
        <v>0</v>
      </c>
      <c r="M46" s="1">
        <f>M45+Table11819202324[[#This Row],[اجمالي الفاتوره]]-Table11819202324[[#This Row],[الدفعات]]</f>
        <v>110479.34000000003</v>
      </c>
      <c r="O46" s="48"/>
    </row>
    <row r="47" spans="2:15" ht="26.25" customHeight="1" x14ac:dyDescent="0.3">
      <c r="K47" s="1">
        <f>Table11819202324[[#This Row],[النولون]]+Table11819202324[[#This Row],[الايصالات]]-Table11819202324[[#This Row],[خصم أ ت ص]]+Table11819202324[[#This Row],[قيمة مضافة]]</f>
        <v>0</v>
      </c>
      <c r="M47" s="1">
        <f>M46+Table11819202324[[#This Row],[اجمالي الفاتوره]]-Table11819202324[[#This Row],[الدفعات]]</f>
        <v>110479.34000000003</v>
      </c>
      <c r="O47" s="48"/>
    </row>
    <row r="48" spans="2:15" ht="26.25" customHeight="1" x14ac:dyDescent="0.3">
      <c r="K48" s="1">
        <f>Table11819202324[[#This Row],[النولون]]+Table11819202324[[#This Row],[الايصالات]]-Table11819202324[[#This Row],[خصم أ ت ص]]+Table11819202324[[#This Row],[قيمة مضافة]]</f>
        <v>0</v>
      </c>
      <c r="M48" s="1">
        <f>M47+Table11819202324[[#This Row],[اجمالي الفاتوره]]-Table11819202324[[#This Row],[الدفعات]]</f>
        <v>110479.34000000003</v>
      </c>
      <c r="O48" s="48"/>
    </row>
    <row r="49" spans="11:15" ht="26.25" customHeight="1" x14ac:dyDescent="0.3">
      <c r="K49" s="1">
        <f>Table11819202324[[#This Row],[النولون]]+Table11819202324[[#This Row],[الايصالات]]-Table11819202324[[#This Row],[خصم أ ت ص]]+Table11819202324[[#This Row],[قيمة مضافة]]</f>
        <v>0</v>
      </c>
      <c r="M49" s="1">
        <f>M48+Table11819202324[[#This Row],[اجمالي الفاتوره]]-Table11819202324[[#This Row],[الدفعات]]</f>
        <v>110479.34000000003</v>
      </c>
      <c r="O49" s="48"/>
    </row>
    <row r="50" spans="11:15" ht="26.25" customHeight="1" x14ac:dyDescent="0.3">
      <c r="K50" s="1">
        <f>Table11819202324[[#This Row],[النولون]]+Table11819202324[[#This Row],[الايصالات]]-Table11819202324[[#This Row],[خصم أ ت ص]]+Table11819202324[[#This Row],[قيمة مضافة]]</f>
        <v>0</v>
      </c>
      <c r="M50" s="1">
        <f>M49+Table11819202324[[#This Row],[اجمالي الفاتوره]]-Table11819202324[[#This Row],[الدفعات]]</f>
        <v>110479.34000000003</v>
      </c>
      <c r="O50" s="48"/>
    </row>
    <row r="51" spans="11:15" ht="26.25" customHeight="1" x14ac:dyDescent="0.3">
      <c r="K51" s="1">
        <f>Table11819202324[[#This Row],[النولون]]+Table11819202324[[#This Row],[الايصالات]]-Table11819202324[[#This Row],[خصم أ ت ص]]+Table11819202324[[#This Row],[قيمة مضافة]]</f>
        <v>0</v>
      </c>
      <c r="M51" s="1">
        <f>M50+Table11819202324[[#This Row],[اجمالي الفاتوره]]-Table11819202324[[#This Row],[الدفعات]]</f>
        <v>110479.34000000003</v>
      </c>
      <c r="O51" s="48"/>
    </row>
    <row r="52" spans="11:15" ht="26.25" customHeight="1" x14ac:dyDescent="0.3">
      <c r="K52" s="1">
        <f>Table11819202324[[#This Row],[النولون]]+Table11819202324[[#This Row],[الايصالات]]-Table11819202324[[#This Row],[خصم أ ت ص]]+Table11819202324[[#This Row],[قيمة مضافة]]</f>
        <v>0</v>
      </c>
      <c r="M52" s="1">
        <f>M51+Table11819202324[[#This Row],[اجمالي الفاتوره]]-Table11819202324[[#This Row],[الدفعات]]</f>
        <v>110479.34000000003</v>
      </c>
      <c r="O52" s="48"/>
    </row>
    <row r="53" spans="11:15" ht="26.25" customHeight="1" x14ac:dyDescent="0.3">
      <c r="K53" s="1">
        <f>Table11819202324[[#This Row],[النولون]]+Table11819202324[[#This Row],[الايصالات]]-Table11819202324[[#This Row],[خصم أ ت ص]]+Table11819202324[[#This Row],[قيمة مضافة]]</f>
        <v>0</v>
      </c>
      <c r="M53" s="1">
        <f>M52+Table11819202324[[#This Row],[اجمالي الفاتوره]]-Table11819202324[[#This Row],[الدفعات]]</f>
        <v>110479.34000000003</v>
      </c>
      <c r="O53" s="48"/>
    </row>
    <row r="54" spans="11:15" ht="26.25" customHeight="1" x14ac:dyDescent="0.3">
      <c r="K54" s="1">
        <f>Table11819202324[[#This Row],[النولون]]+Table11819202324[[#This Row],[الايصالات]]-Table11819202324[[#This Row],[خصم أ ت ص]]+Table11819202324[[#This Row],[قيمة مضافة]]</f>
        <v>0</v>
      </c>
      <c r="M54" s="1">
        <f>M53+Table11819202324[[#This Row],[اجمالي الفاتوره]]-Table11819202324[[#This Row],[الدفعات]]</f>
        <v>110479.34000000003</v>
      </c>
      <c r="O54" s="48"/>
    </row>
    <row r="55" spans="11:15" ht="26.25" customHeight="1" x14ac:dyDescent="0.3">
      <c r="K55" s="1">
        <f>Table11819202324[[#This Row],[النولون]]+Table11819202324[[#This Row],[الايصالات]]-Table11819202324[[#This Row],[خصم أ ت ص]]+Table11819202324[[#This Row],[قيمة مضافة]]</f>
        <v>0</v>
      </c>
      <c r="M55" s="1">
        <f>M54+Table11819202324[[#This Row],[اجمالي الفاتوره]]-Table11819202324[[#This Row],[الدفعات]]</f>
        <v>110479.34000000003</v>
      </c>
      <c r="O55" s="48"/>
    </row>
    <row r="56" spans="11:15" ht="26.25" customHeight="1" x14ac:dyDescent="0.3">
      <c r="K56" s="1">
        <f>Table11819202324[[#This Row],[النولون]]+Table11819202324[[#This Row],[الايصالات]]-Table11819202324[[#This Row],[خصم أ ت ص]]+Table11819202324[[#This Row],[قيمة مضافة]]</f>
        <v>0</v>
      </c>
      <c r="M56" s="1">
        <f>M55+Table11819202324[[#This Row],[اجمالي الفاتوره]]-Table11819202324[[#This Row],[الدفعات]]</f>
        <v>110479.34000000003</v>
      </c>
      <c r="O56" s="48"/>
    </row>
    <row r="57" spans="11:15" ht="26.25" customHeight="1" x14ac:dyDescent="0.3">
      <c r="K57" s="1">
        <f>Table11819202324[[#This Row],[النولون]]+Table11819202324[[#This Row],[الايصالات]]-Table11819202324[[#This Row],[خصم أ ت ص]]+Table11819202324[[#This Row],[قيمة مضافة]]</f>
        <v>0</v>
      </c>
      <c r="M57" s="1">
        <f>M56+Table11819202324[[#This Row],[اجمالي الفاتوره]]-Table11819202324[[#This Row],[الدفعات]]</f>
        <v>110479.34000000003</v>
      </c>
      <c r="O57" s="48"/>
    </row>
    <row r="58" spans="11:15" ht="26.25" customHeight="1" x14ac:dyDescent="0.3">
      <c r="K58" s="1">
        <f>Table11819202324[[#This Row],[النولون]]+Table11819202324[[#This Row],[الايصالات]]-Table11819202324[[#This Row],[خصم أ ت ص]]+Table11819202324[[#This Row],[قيمة مضافة]]</f>
        <v>0</v>
      </c>
      <c r="M58" s="1">
        <f>M57+Table11819202324[[#This Row],[اجمالي الفاتوره]]-Table11819202324[[#This Row],[الدفعات]]</f>
        <v>110479.34000000003</v>
      </c>
      <c r="O58" s="48"/>
    </row>
    <row r="59" spans="11:15" ht="26.25" customHeight="1" x14ac:dyDescent="0.3">
      <c r="K59" s="1">
        <f>Table11819202324[[#This Row],[النولون]]+Table11819202324[[#This Row],[الايصالات]]-Table11819202324[[#This Row],[خصم أ ت ص]]+Table11819202324[[#This Row],[قيمة مضافة]]</f>
        <v>0</v>
      </c>
      <c r="M59" s="1">
        <f>M58+Table11819202324[[#This Row],[اجمالي الفاتوره]]-Table11819202324[[#This Row],[الدفعات]]</f>
        <v>110479.34000000003</v>
      </c>
      <c r="O59" s="48"/>
    </row>
    <row r="60" spans="11:15" ht="26.25" customHeight="1" x14ac:dyDescent="0.3">
      <c r="K60" s="1">
        <f>Table11819202324[[#This Row],[النولون]]+Table11819202324[[#This Row],[الايصالات]]-Table11819202324[[#This Row],[خصم أ ت ص]]+Table11819202324[[#This Row],[قيمة مضافة]]</f>
        <v>0</v>
      </c>
      <c r="M60" s="1">
        <f>M59+Table11819202324[[#This Row],[اجمالي الفاتوره]]-Table11819202324[[#This Row],[الدفعات]]</f>
        <v>110479.34000000003</v>
      </c>
      <c r="O60" s="48"/>
    </row>
    <row r="61" spans="11:15" ht="26.25" customHeight="1" x14ac:dyDescent="0.3">
      <c r="K61" s="1">
        <f>Table11819202324[[#This Row],[النولون]]+Table11819202324[[#This Row],[الايصالات]]-Table11819202324[[#This Row],[خصم أ ت ص]]+Table11819202324[[#This Row],[قيمة مضافة]]</f>
        <v>0</v>
      </c>
      <c r="M61" s="1">
        <f>M60+Table11819202324[[#This Row],[اجمالي الفاتوره]]-Table11819202324[[#This Row],[الدفعات]]</f>
        <v>110479.34000000003</v>
      </c>
      <c r="O61" s="48"/>
    </row>
    <row r="62" spans="11:15" ht="26.25" customHeight="1" x14ac:dyDescent="0.3">
      <c r="K62" s="1">
        <f>Table11819202324[[#This Row],[النولون]]+Table11819202324[[#This Row],[الايصالات]]-Table11819202324[[#This Row],[خصم أ ت ص]]+Table11819202324[[#This Row],[قيمة مضافة]]</f>
        <v>0</v>
      </c>
      <c r="M62" s="1">
        <f>M61+Table11819202324[[#This Row],[اجمالي الفاتوره]]-Table11819202324[[#This Row],[الدفعات]]</f>
        <v>110479.34000000003</v>
      </c>
      <c r="O62" s="48"/>
    </row>
    <row r="63" spans="11:15" ht="26.25" customHeight="1" x14ac:dyDescent="0.3">
      <c r="K63" s="1">
        <f>Table11819202324[[#This Row],[النولون]]+Table11819202324[[#This Row],[الايصالات]]-Table11819202324[[#This Row],[خصم أ ت ص]]+Table11819202324[[#This Row],[قيمة مضافة]]</f>
        <v>0</v>
      </c>
      <c r="M63" s="1">
        <f>M62+Table11819202324[[#This Row],[اجمالي الفاتوره]]-Table11819202324[[#This Row],[الدفعات]]</f>
        <v>110479.34000000003</v>
      </c>
      <c r="O63" s="48"/>
    </row>
    <row r="64" spans="11:15" ht="26.25" customHeight="1" x14ac:dyDescent="0.3">
      <c r="K64" s="1">
        <f>Table11819202324[[#This Row],[النولون]]+Table11819202324[[#This Row],[الايصالات]]-Table11819202324[[#This Row],[خصم أ ت ص]]+Table11819202324[[#This Row],[قيمة مضافة]]</f>
        <v>0</v>
      </c>
      <c r="M64" s="1">
        <f>M63+Table11819202324[[#This Row],[اجمالي الفاتوره]]-Table11819202324[[#This Row],[الدفعات]]</f>
        <v>110479.34000000003</v>
      </c>
      <c r="O64" s="48"/>
    </row>
    <row r="65" spans="11:15" ht="26.25" customHeight="1" x14ac:dyDescent="0.3">
      <c r="K65" s="1">
        <f>Table11819202324[[#This Row],[النولون]]+Table11819202324[[#This Row],[الايصالات]]-Table11819202324[[#This Row],[خصم أ ت ص]]+Table11819202324[[#This Row],[قيمة مضافة]]</f>
        <v>0</v>
      </c>
      <c r="M65" s="1">
        <f>M64+Table11819202324[[#This Row],[اجمالي الفاتوره]]-Table11819202324[[#This Row],[الدفعات]]</f>
        <v>110479.34000000003</v>
      </c>
      <c r="O65" s="48"/>
    </row>
    <row r="66" spans="11:15" ht="26.25" customHeight="1" x14ac:dyDescent="0.3">
      <c r="K66" s="1">
        <f>Table11819202324[[#This Row],[النولون]]+Table11819202324[[#This Row],[الايصالات]]-Table11819202324[[#This Row],[خصم أ ت ص]]+Table11819202324[[#This Row],[قيمة مضافة]]</f>
        <v>0</v>
      </c>
      <c r="M66" s="1">
        <f>M65+Table11819202324[[#This Row],[اجمالي الفاتوره]]-Table11819202324[[#This Row],[الدفعات]]</f>
        <v>110479.34000000003</v>
      </c>
      <c r="O66" s="48"/>
    </row>
    <row r="67" spans="11:15" ht="26.25" customHeight="1" x14ac:dyDescent="0.3">
      <c r="K67" s="1">
        <f>Table11819202324[[#This Row],[النولون]]+Table11819202324[[#This Row],[الايصالات]]-Table11819202324[[#This Row],[خصم أ ت ص]]+Table11819202324[[#This Row],[قيمة مضافة]]</f>
        <v>0</v>
      </c>
      <c r="M67" s="1">
        <f>M66+Table11819202324[[#This Row],[اجمالي الفاتوره]]-Table11819202324[[#This Row],[الدفعات]]</f>
        <v>110479.34000000003</v>
      </c>
      <c r="O67" s="48"/>
    </row>
    <row r="68" spans="11:15" ht="26.25" customHeight="1" x14ac:dyDescent="0.3">
      <c r="K68" s="1">
        <f>Table11819202324[[#This Row],[النولون]]+Table11819202324[[#This Row],[الايصالات]]-Table11819202324[[#This Row],[خصم أ ت ص]]+Table11819202324[[#This Row],[قيمة مضافة]]</f>
        <v>0</v>
      </c>
      <c r="M68" s="1">
        <f>M67+Table11819202324[[#This Row],[اجمالي الفاتوره]]-Table11819202324[[#This Row],[الدفعات]]</f>
        <v>110479.34000000003</v>
      </c>
      <c r="O68" s="48"/>
    </row>
    <row r="69" spans="11:15" ht="26.25" customHeight="1" x14ac:dyDescent="0.3">
      <c r="K69" s="1">
        <f>Table11819202324[[#This Row],[النولون]]+Table11819202324[[#This Row],[الايصالات]]-Table11819202324[[#This Row],[خصم أ ت ص]]+Table11819202324[[#This Row],[قيمة مضافة]]</f>
        <v>0</v>
      </c>
      <c r="M69" s="1">
        <f>M68+Table11819202324[[#This Row],[اجمالي الفاتوره]]-Table11819202324[[#This Row],[الدفعات]]</f>
        <v>110479.34000000003</v>
      </c>
      <c r="O69" s="48"/>
    </row>
    <row r="70" spans="11:15" ht="26.25" customHeight="1" x14ac:dyDescent="0.3">
      <c r="K70" s="1">
        <f>Table11819202324[[#This Row],[النولون]]+Table11819202324[[#This Row],[الايصالات]]-Table11819202324[[#This Row],[خصم أ ت ص]]+Table11819202324[[#This Row],[قيمة مضافة]]</f>
        <v>0</v>
      </c>
      <c r="M70" s="1">
        <f>M69+Table11819202324[[#This Row],[اجمالي الفاتوره]]-Table11819202324[[#This Row],[الدفعات]]</f>
        <v>110479.34000000003</v>
      </c>
      <c r="O70" s="48"/>
    </row>
    <row r="71" spans="11:15" ht="26.25" customHeight="1" x14ac:dyDescent="0.3">
      <c r="K71" s="1">
        <f>Table11819202324[[#This Row],[النولون]]+Table11819202324[[#This Row],[الايصالات]]-Table11819202324[[#This Row],[خصم أ ت ص]]+Table11819202324[[#This Row],[قيمة مضافة]]</f>
        <v>0</v>
      </c>
      <c r="M71" s="1">
        <f>M70+Table11819202324[[#This Row],[اجمالي الفاتوره]]-Table11819202324[[#This Row],[الدفعات]]</f>
        <v>110479.34000000003</v>
      </c>
      <c r="O71" s="48"/>
    </row>
    <row r="72" spans="11:15" ht="26.25" customHeight="1" x14ac:dyDescent="0.3">
      <c r="K72" s="1">
        <f>Table11819202324[[#This Row],[النولون]]+Table11819202324[[#This Row],[الايصالات]]-Table11819202324[[#This Row],[خصم أ ت ص]]+Table11819202324[[#This Row],[قيمة مضافة]]</f>
        <v>0</v>
      </c>
      <c r="M72" s="1">
        <f>M71+Table11819202324[[#This Row],[اجمالي الفاتوره]]-Table11819202324[[#This Row],[الدفعات]]</f>
        <v>110479.34000000003</v>
      </c>
      <c r="O72" s="48"/>
    </row>
    <row r="73" spans="11:15" ht="26.25" customHeight="1" x14ac:dyDescent="0.3">
      <c r="K73" s="1">
        <f>Table11819202324[[#This Row],[النولون]]+Table11819202324[[#This Row],[الايصالات]]-Table11819202324[[#This Row],[خصم أ ت ص]]+Table11819202324[[#This Row],[قيمة مضافة]]</f>
        <v>0</v>
      </c>
      <c r="M73" s="1">
        <f>M72+Table11819202324[[#This Row],[اجمالي الفاتوره]]-Table11819202324[[#This Row],[الدفعات]]</f>
        <v>110479.34000000003</v>
      </c>
      <c r="O73" s="48"/>
    </row>
    <row r="74" spans="11:15" ht="26.25" customHeight="1" x14ac:dyDescent="0.3">
      <c r="K74" s="1">
        <f>Table11819202324[[#This Row],[النولون]]+Table11819202324[[#This Row],[الايصالات]]-Table11819202324[[#This Row],[خصم أ ت ص]]+Table11819202324[[#This Row],[قيمة مضافة]]</f>
        <v>0</v>
      </c>
      <c r="M74" s="1">
        <f>M73+Table11819202324[[#This Row],[اجمالي الفاتوره]]-Table11819202324[[#This Row],[الدفعات]]</f>
        <v>110479.34000000003</v>
      </c>
      <c r="O74" s="48"/>
    </row>
    <row r="75" spans="11:15" ht="26.25" customHeight="1" x14ac:dyDescent="0.3">
      <c r="K75" s="1">
        <f>Table11819202324[[#This Row],[النولون]]+Table11819202324[[#This Row],[الايصالات]]-Table11819202324[[#This Row],[خصم أ ت ص]]+Table11819202324[[#This Row],[قيمة مضافة]]</f>
        <v>0</v>
      </c>
      <c r="M75" s="1">
        <f>M74+Table11819202324[[#This Row],[اجمالي الفاتوره]]-Table11819202324[[#This Row],[الدفعات]]</f>
        <v>110479.34000000003</v>
      </c>
      <c r="O75" s="48"/>
    </row>
    <row r="76" spans="11:15" ht="26.25" customHeight="1" x14ac:dyDescent="0.3">
      <c r="K76" s="1">
        <f>Table11819202324[[#This Row],[النولون]]+Table11819202324[[#This Row],[الايصالات]]-Table11819202324[[#This Row],[خصم أ ت ص]]+Table11819202324[[#This Row],[قيمة مضافة]]</f>
        <v>0</v>
      </c>
      <c r="M76" s="1">
        <f>M75+Table11819202324[[#This Row],[اجمالي الفاتوره]]-Table11819202324[[#This Row],[الدفعات]]</f>
        <v>110479.34000000003</v>
      </c>
      <c r="O76" s="48"/>
    </row>
    <row r="77" spans="11:15" ht="26.25" customHeight="1" x14ac:dyDescent="0.3">
      <c r="K77" s="1">
        <f>Table11819202324[[#This Row],[النولون]]+Table11819202324[[#This Row],[الايصالات]]-Table11819202324[[#This Row],[خصم أ ت ص]]+Table11819202324[[#This Row],[قيمة مضافة]]</f>
        <v>0</v>
      </c>
      <c r="M77" s="1">
        <f>M76+Table11819202324[[#This Row],[اجمالي الفاتوره]]-Table11819202324[[#This Row],[الدفعات]]</f>
        <v>110479.34000000003</v>
      </c>
      <c r="O77" s="48"/>
    </row>
    <row r="78" spans="11:15" ht="26.25" customHeight="1" x14ac:dyDescent="0.3">
      <c r="K78" s="1">
        <f>Table11819202324[[#This Row],[النولون]]+Table11819202324[[#This Row],[الايصالات]]-Table11819202324[[#This Row],[خصم أ ت ص]]+Table11819202324[[#This Row],[قيمة مضافة]]</f>
        <v>0</v>
      </c>
      <c r="M78" s="1">
        <f>M77+Table11819202324[[#This Row],[اجمالي الفاتوره]]-Table11819202324[[#This Row],[الدفعات]]</f>
        <v>110479.34000000003</v>
      </c>
      <c r="O78" s="48"/>
    </row>
    <row r="79" spans="11:15" ht="26.25" customHeight="1" x14ac:dyDescent="0.3">
      <c r="K79" s="1">
        <f>Table11819202324[[#This Row],[النولون]]+Table11819202324[[#This Row],[الايصالات]]-Table11819202324[[#This Row],[خصم أ ت ص]]+Table11819202324[[#This Row],[قيمة مضافة]]</f>
        <v>0</v>
      </c>
      <c r="M79" s="1">
        <f>M78+Table11819202324[[#This Row],[اجمالي الفاتوره]]-Table11819202324[[#This Row],[الدفعات]]</f>
        <v>110479.34000000003</v>
      </c>
      <c r="O79" s="48"/>
    </row>
    <row r="80" spans="11:15" ht="26.25" customHeight="1" x14ac:dyDescent="0.3">
      <c r="K80" s="1">
        <f>Table11819202324[[#This Row],[النولون]]+Table11819202324[[#This Row],[الايصالات]]-Table11819202324[[#This Row],[خصم أ ت ص]]+Table11819202324[[#This Row],[قيمة مضافة]]</f>
        <v>0</v>
      </c>
      <c r="M80" s="1">
        <f>M79+Table11819202324[[#This Row],[اجمالي الفاتوره]]-Table11819202324[[#This Row],[الدفعات]]</f>
        <v>110479.34000000003</v>
      </c>
      <c r="O80" s="48"/>
    </row>
    <row r="81" spans="11:15" ht="26.25" customHeight="1" x14ac:dyDescent="0.3">
      <c r="K81" s="1">
        <f>Table11819202324[[#This Row],[النولون]]+Table11819202324[[#This Row],[الايصالات]]-Table11819202324[[#This Row],[خصم أ ت ص]]+Table11819202324[[#This Row],[قيمة مضافة]]</f>
        <v>0</v>
      </c>
      <c r="M81" s="1">
        <f>M80+Table11819202324[[#This Row],[اجمالي الفاتوره]]-Table11819202324[[#This Row],[الدفعات]]</f>
        <v>110479.34000000003</v>
      </c>
      <c r="O81" s="48"/>
    </row>
    <row r="82" spans="11:15" ht="26.25" customHeight="1" x14ac:dyDescent="0.3">
      <c r="K82" s="1">
        <f>Table11819202324[[#This Row],[النولون]]+Table11819202324[[#This Row],[الايصالات]]-Table11819202324[[#This Row],[خصم أ ت ص]]+Table11819202324[[#This Row],[قيمة مضافة]]</f>
        <v>0</v>
      </c>
      <c r="M82" s="1">
        <f>M81+Table11819202324[[#This Row],[اجمالي الفاتوره]]-Table11819202324[[#This Row],[الدفعات]]</f>
        <v>110479.34000000003</v>
      </c>
      <c r="O82" s="48"/>
    </row>
    <row r="83" spans="11:15" ht="26.25" customHeight="1" x14ac:dyDescent="0.3">
      <c r="K83" s="1">
        <f>Table11819202324[[#This Row],[النولون]]+Table11819202324[[#This Row],[الايصالات]]-Table11819202324[[#This Row],[خصم أ ت ص]]+Table11819202324[[#This Row],[قيمة مضافة]]</f>
        <v>0</v>
      </c>
      <c r="M83" s="1">
        <f>M82+Table11819202324[[#This Row],[اجمالي الفاتوره]]-Table11819202324[[#This Row],[الدفعات]]</f>
        <v>110479.34000000003</v>
      </c>
      <c r="O83" s="48"/>
    </row>
    <row r="84" spans="11:15" ht="26.25" customHeight="1" x14ac:dyDescent="0.3">
      <c r="K84" s="1">
        <f>Table11819202324[[#This Row],[النولون]]+Table11819202324[[#This Row],[الايصالات]]-Table11819202324[[#This Row],[خصم أ ت ص]]+Table11819202324[[#This Row],[قيمة مضافة]]</f>
        <v>0</v>
      </c>
      <c r="M84" s="1">
        <f>M83+Table11819202324[[#This Row],[اجمالي الفاتوره]]-Table11819202324[[#This Row],[الدفعات]]</f>
        <v>110479.34000000003</v>
      </c>
      <c r="O84" s="48"/>
    </row>
    <row r="85" spans="11:15" ht="26.25" customHeight="1" x14ac:dyDescent="0.3">
      <c r="K85" s="1">
        <f>Table11819202324[[#This Row],[النولون]]+Table11819202324[[#This Row],[الايصالات]]-Table11819202324[[#This Row],[خصم أ ت ص]]+Table11819202324[[#This Row],[قيمة مضافة]]</f>
        <v>0</v>
      </c>
      <c r="M85" s="1">
        <f>M84+Table11819202324[[#This Row],[اجمالي الفاتوره]]-Table11819202324[[#This Row],[الدفعات]]</f>
        <v>110479.34000000003</v>
      </c>
      <c r="O85" s="48"/>
    </row>
    <row r="86" spans="11:15" ht="26.25" customHeight="1" x14ac:dyDescent="0.3">
      <c r="K86" s="1">
        <f>Table11819202324[[#This Row],[النولون]]+Table11819202324[[#This Row],[الايصالات]]-Table11819202324[[#This Row],[خصم أ ت ص]]+Table11819202324[[#This Row],[قيمة مضافة]]</f>
        <v>0</v>
      </c>
      <c r="M86" s="1">
        <f>M85+Table11819202324[[#This Row],[اجمالي الفاتوره]]-Table11819202324[[#This Row],[الدفعات]]</f>
        <v>110479.34000000003</v>
      </c>
      <c r="O86" s="48"/>
    </row>
    <row r="87" spans="11:15" ht="26.25" customHeight="1" x14ac:dyDescent="0.3">
      <c r="K87" s="1">
        <f>Table11819202324[[#This Row],[النولون]]+Table11819202324[[#This Row],[الايصالات]]-Table11819202324[[#This Row],[خصم أ ت ص]]+Table11819202324[[#This Row],[قيمة مضافة]]</f>
        <v>0</v>
      </c>
      <c r="M87" s="1">
        <f>M86+Table11819202324[[#This Row],[اجمالي الفاتوره]]-Table11819202324[[#This Row],[الدفعات]]</f>
        <v>110479.34000000003</v>
      </c>
      <c r="O87" s="48"/>
    </row>
    <row r="88" spans="11:15" ht="26.25" customHeight="1" x14ac:dyDescent="0.3">
      <c r="K88" s="1">
        <f>Table11819202324[[#This Row],[النولون]]+Table11819202324[[#This Row],[الايصالات]]-Table11819202324[[#This Row],[خصم أ ت ص]]+Table11819202324[[#This Row],[قيمة مضافة]]</f>
        <v>0</v>
      </c>
      <c r="M88" s="1">
        <f>M87+Table11819202324[[#This Row],[اجمالي الفاتوره]]-Table11819202324[[#This Row],[الدفعات]]</f>
        <v>110479.34000000003</v>
      </c>
      <c r="O88" s="48"/>
    </row>
    <row r="89" spans="11:15" ht="26.25" customHeight="1" x14ac:dyDescent="0.3">
      <c r="K89" s="1">
        <f>Table11819202324[[#This Row],[النولون]]+Table11819202324[[#This Row],[الايصالات]]-Table11819202324[[#This Row],[خصم أ ت ص]]+Table11819202324[[#This Row],[قيمة مضافة]]</f>
        <v>0</v>
      </c>
      <c r="M89" s="1">
        <f>M88+Table11819202324[[#This Row],[اجمالي الفاتوره]]-Table11819202324[[#This Row],[الدفعات]]</f>
        <v>110479.34000000003</v>
      </c>
      <c r="O89" s="48"/>
    </row>
    <row r="90" spans="11:15" ht="26.25" customHeight="1" x14ac:dyDescent="0.3">
      <c r="K90" s="1">
        <f>Table11819202324[[#This Row],[النولون]]+Table11819202324[[#This Row],[الايصالات]]-Table11819202324[[#This Row],[خصم أ ت ص]]+Table11819202324[[#This Row],[قيمة مضافة]]</f>
        <v>0</v>
      </c>
      <c r="M90" s="1">
        <f>M89+Table11819202324[[#This Row],[اجمالي الفاتوره]]-Table11819202324[[#This Row],[الدفعات]]</f>
        <v>110479.34000000003</v>
      </c>
      <c r="O90" s="48"/>
    </row>
    <row r="91" spans="11:15" ht="26.25" customHeight="1" x14ac:dyDescent="0.3">
      <c r="K91" s="1">
        <f>Table11819202324[[#This Row],[النولون]]+Table11819202324[[#This Row],[الايصالات]]-Table11819202324[[#This Row],[خصم أ ت ص]]+Table11819202324[[#This Row],[قيمة مضافة]]</f>
        <v>0</v>
      </c>
      <c r="M91" s="1">
        <f>M90+Table11819202324[[#This Row],[اجمالي الفاتوره]]-Table11819202324[[#This Row],[الدفعات]]</f>
        <v>110479.34000000003</v>
      </c>
      <c r="O91" s="48"/>
    </row>
    <row r="92" spans="11:15" ht="26.25" customHeight="1" x14ac:dyDescent="0.3">
      <c r="K92" s="1">
        <f>Table11819202324[[#This Row],[النولون]]+Table11819202324[[#This Row],[الايصالات]]-Table11819202324[[#This Row],[خصم أ ت ص]]+Table11819202324[[#This Row],[قيمة مضافة]]</f>
        <v>0</v>
      </c>
      <c r="M92" s="1">
        <f>M91+Table11819202324[[#This Row],[اجمالي الفاتوره]]-Table11819202324[[#This Row],[الدفعات]]</f>
        <v>110479.34000000003</v>
      </c>
      <c r="O92" s="48"/>
    </row>
    <row r="93" spans="11:15" ht="26.25" customHeight="1" x14ac:dyDescent="0.3">
      <c r="K93" s="1">
        <f>Table11819202324[[#This Row],[النولون]]+Table11819202324[[#This Row],[الايصالات]]-Table11819202324[[#This Row],[خصم أ ت ص]]+Table11819202324[[#This Row],[قيمة مضافة]]</f>
        <v>0</v>
      </c>
      <c r="M93" s="1">
        <f>M92+Table11819202324[[#This Row],[اجمالي الفاتوره]]-Table11819202324[[#This Row],[الدفعات]]</f>
        <v>110479.34000000003</v>
      </c>
      <c r="O93" s="48"/>
    </row>
    <row r="94" spans="11:15" ht="26.25" customHeight="1" x14ac:dyDescent="0.3">
      <c r="K94" s="1">
        <f>Table11819202324[[#This Row],[النولون]]+Table11819202324[[#This Row],[الايصالات]]-Table11819202324[[#This Row],[خصم أ ت ص]]+Table11819202324[[#This Row],[قيمة مضافة]]</f>
        <v>0</v>
      </c>
      <c r="M94" s="1">
        <f>M93+Table11819202324[[#This Row],[اجمالي الفاتوره]]-Table11819202324[[#This Row],[الدفعات]]</f>
        <v>110479.34000000003</v>
      </c>
      <c r="O94" s="48"/>
    </row>
    <row r="95" spans="11:15" ht="26.25" customHeight="1" x14ac:dyDescent="0.3">
      <c r="K95" s="1">
        <f>Table11819202324[[#This Row],[النولون]]+Table11819202324[[#This Row],[الايصالات]]-Table11819202324[[#This Row],[خصم أ ت ص]]+Table11819202324[[#This Row],[قيمة مضافة]]</f>
        <v>0</v>
      </c>
      <c r="M95" s="1">
        <f>M94+Table11819202324[[#This Row],[اجمالي الفاتوره]]-Table11819202324[[#This Row],[الدفعات]]</f>
        <v>110479.34000000003</v>
      </c>
      <c r="O95" s="48"/>
    </row>
    <row r="96" spans="11:15" ht="26.25" customHeight="1" x14ac:dyDescent="0.3">
      <c r="K96" s="1">
        <f>Table11819202324[[#This Row],[النولون]]+Table11819202324[[#This Row],[الايصالات]]-Table11819202324[[#This Row],[خصم أ ت ص]]+Table11819202324[[#This Row],[قيمة مضافة]]</f>
        <v>0</v>
      </c>
      <c r="M96" s="1">
        <f>M95+Table11819202324[[#This Row],[اجمالي الفاتوره]]-Table11819202324[[#This Row],[الدفعات]]</f>
        <v>110479.34000000003</v>
      </c>
      <c r="O96" s="48"/>
    </row>
    <row r="97" spans="11:15" ht="26.25" customHeight="1" x14ac:dyDescent="0.3">
      <c r="K97" s="1">
        <f>Table11819202324[[#This Row],[النولون]]+Table11819202324[[#This Row],[الايصالات]]-Table11819202324[[#This Row],[خصم أ ت ص]]+Table11819202324[[#This Row],[قيمة مضافة]]</f>
        <v>0</v>
      </c>
      <c r="M97" s="1">
        <f>M96+Table11819202324[[#This Row],[اجمالي الفاتوره]]-Table11819202324[[#This Row],[الدفعات]]</f>
        <v>110479.34000000003</v>
      </c>
      <c r="O97" s="48"/>
    </row>
    <row r="98" spans="11:15" ht="26.25" customHeight="1" x14ac:dyDescent="0.3">
      <c r="K98" s="1">
        <f>Table11819202324[[#This Row],[النولون]]+Table11819202324[[#This Row],[الايصالات]]-Table11819202324[[#This Row],[خصم أ ت ص]]+Table11819202324[[#This Row],[قيمة مضافة]]</f>
        <v>0</v>
      </c>
      <c r="M98" s="1">
        <f>M97+Table11819202324[[#This Row],[اجمالي الفاتوره]]-Table11819202324[[#This Row],[الدفعات]]</f>
        <v>110479.34000000003</v>
      </c>
      <c r="O98" s="48"/>
    </row>
    <row r="99" spans="11:15" ht="26.25" customHeight="1" x14ac:dyDescent="0.3">
      <c r="K99" s="1">
        <f>Table11819202324[[#This Row],[النولون]]+Table11819202324[[#This Row],[الايصالات]]-Table11819202324[[#This Row],[خصم أ ت ص]]+Table11819202324[[#This Row],[قيمة مضافة]]</f>
        <v>0</v>
      </c>
      <c r="M99" s="1">
        <f>M98+Table11819202324[[#This Row],[اجمالي الفاتوره]]-Table11819202324[[#This Row],[الدفعات]]</f>
        <v>110479.34000000003</v>
      </c>
      <c r="O99" s="48"/>
    </row>
    <row r="100" spans="11:15" ht="26.25" customHeight="1" x14ac:dyDescent="0.3">
      <c r="K100" s="1">
        <f>Table11819202324[[#This Row],[النولون]]+Table11819202324[[#This Row],[الايصالات]]-Table11819202324[[#This Row],[خصم أ ت ص]]+Table11819202324[[#This Row],[قيمة مضافة]]</f>
        <v>0</v>
      </c>
      <c r="M100" s="1">
        <f>M99+Table11819202324[[#This Row],[اجمالي الفاتوره]]-Table11819202324[[#This Row],[الدفعات]]</f>
        <v>110479.34000000003</v>
      </c>
      <c r="O100" s="48"/>
    </row>
    <row r="101" spans="11:15" ht="26.25" customHeight="1" x14ac:dyDescent="0.3">
      <c r="K101" s="1">
        <f>Table11819202324[[#This Row],[النولون]]+Table11819202324[[#This Row],[الايصالات]]-Table11819202324[[#This Row],[خصم أ ت ص]]+Table11819202324[[#This Row],[قيمة مضافة]]</f>
        <v>0</v>
      </c>
      <c r="M101" s="1">
        <f>M100+Table11819202324[[#This Row],[اجمالي الفاتوره]]-Table11819202324[[#This Row],[الدفعات]]</f>
        <v>110479.34000000003</v>
      </c>
      <c r="O101" s="48"/>
    </row>
    <row r="102" spans="11:15" ht="26.25" customHeight="1" x14ac:dyDescent="0.3">
      <c r="K102" s="1">
        <f>Table11819202324[[#This Row],[النولون]]+Table11819202324[[#This Row],[الايصالات]]-Table11819202324[[#This Row],[خصم أ ت ص]]+Table11819202324[[#This Row],[قيمة مضافة]]</f>
        <v>0</v>
      </c>
      <c r="M102" s="1">
        <f>M101+Table11819202324[[#This Row],[اجمالي الفاتوره]]-Table11819202324[[#This Row],[الدفعات]]</f>
        <v>110479.34000000003</v>
      </c>
      <c r="O102" s="48"/>
    </row>
    <row r="103" spans="11:15" ht="26.25" customHeight="1" x14ac:dyDescent="0.3">
      <c r="K103" s="1">
        <f>Table11819202324[[#This Row],[النولون]]+Table11819202324[[#This Row],[الايصالات]]-Table11819202324[[#This Row],[خصم أ ت ص]]+Table11819202324[[#This Row],[قيمة مضافة]]</f>
        <v>0</v>
      </c>
      <c r="M103" s="1">
        <f>M102+Table11819202324[[#This Row],[اجمالي الفاتوره]]-Table11819202324[[#This Row],[الدفعات]]</f>
        <v>110479.34000000003</v>
      </c>
      <c r="O103" s="48"/>
    </row>
    <row r="104" spans="11:15" ht="26.25" customHeight="1" x14ac:dyDescent="0.3">
      <c r="K104" s="1">
        <f>Table11819202324[[#This Row],[النولون]]+Table11819202324[[#This Row],[الايصالات]]-Table11819202324[[#This Row],[خصم أ ت ص]]+Table11819202324[[#This Row],[قيمة مضافة]]</f>
        <v>0</v>
      </c>
      <c r="M104" s="1">
        <f>M103+Table11819202324[[#This Row],[اجمالي الفاتوره]]-Table11819202324[[#This Row],[الدفعات]]</f>
        <v>110479.34000000003</v>
      </c>
      <c r="O104" s="48"/>
    </row>
    <row r="105" spans="11:15" ht="26.25" customHeight="1" x14ac:dyDescent="0.3">
      <c r="K105" s="1">
        <f>Table11819202324[[#This Row],[النولون]]+Table11819202324[[#This Row],[الايصالات]]-Table11819202324[[#This Row],[خصم أ ت ص]]+Table11819202324[[#This Row],[قيمة مضافة]]</f>
        <v>0</v>
      </c>
      <c r="M105" s="1">
        <f>M104+Table11819202324[[#This Row],[اجمالي الفاتوره]]-Table11819202324[[#This Row],[الدفعات]]</f>
        <v>110479.34000000003</v>
      </c>
      <c r="O105" s="48"/>
    </row>
    <row r="106" spans="11:15" ht="26.25" customHeight="1" x14ac:dyDescent="0.3">
      <c r="K106" s="1">
        <f>Table11819202324[[#This Row],[النولون]]+Table11819202324[[#This Row],[الايصالات]]-Table11819202324[[#This Row],[خصم أ ت ص]]+Table11819202324[[#This Row],[قيمة مضافة]]</f>
        <v>0</v>
      </c>
      <c r="M106" s="1">
        <f>M105+Table11819202324[[#This Row],[اجمالي الفاتوره]]-Table11819202324[[#This Row],[الدفعات]]</f>
        <v>110479.34000000003</v>
      </c>
      <c r="O106" s="48"/>
    </row>
    <row r="107" spans="11:15" ht="26.25" customHeight="1" x14ac:dyDescent="0.3">
      <c r="K107" s="1">
        <f>Table11819202324[[#This Row],[النولون]]+Table11819202324[[#This Row],[الايصالات]]-Table11819202324[[#This Row],[خصم أ ت ص]]+Table11819202324[[#This Row],[قيمة مضافة]]</f>
        <v>0</v>
      </c>
      <c r="M107" s="1">
        <f>M106+Table11819202324[[#This Row],[اجمالي الفاتوره]]-Table11819202324[[#This Row],[الدفعات]]</f>
        <v>110479.34000000003</v>
      </c>
      <c r="O107" s="48"/>
    </row>
    <row r="108" spans="11:15" ht="26.25" customHeight="1" x14ac:dyDescent="0.3">
      <c r="K108" s="1">
        <f>Table11819202324[[#This Row],[النولون]]+Table11819202324[[#This Row],[الايصالات]]-Table11819202324[[#This Row],[خصم أ ت ص]]+Table11819202324[[#This Row],[قيمة مضافة]]</f>
        <v>0</v>
      </c>
      <c r="M108" s="1">
        <f>M107+Table11819202324[[#This Row],[اجمالي الفاتوره]]-Table11819202324[[#This Row],[الدفعات]]</f>
        <v>110479.34000000003</v>
      </c>
      <c r="O108" s="48"/>
    </row>
    <row r="109" spans="11:15" ht="26.25" customHeight="1" x14ac:dyDescent="0.3">
      <c r="K109" s="1">
        <f>Table11819202324[[#This Row],[النولون]]+Table11819202324[[#This Row],[الايصالات]]-Table11819202324[[#This Row],[خصم أ ت ص]]+Table11819202324[[#This Row],[قيمة مضافة]]</f>
        <v>0</v>
      </c>
      <c r="M109" s="1">
        <f>M108+Table11819202324[[#This Row],[اجمالي الفاتوره]]-Table11819202324[[#This Row],[الدفعات]]</f>
        <v>110479.34000000003</v>
      </c>
      <c r="O109" s="48"/>
    </row>
    <row r="110" spans="11:15" ht="26.25" customHeight="1" x14ac:dyDescent="0.3">
      <c r="K110" s="1">
        <f>Table11819202324[[#This Row],[النولون]]+Table11819202324[[#This Row],[الايصالات]]-Table11819202324[[#This Row],[خصم أ ت ص]]+Table11819202324[[#This Row],[قيمة مضافة]]</f>
        <v>0</v>
      </c>
      <c r="M110" s="1">
        <f>M109+Table11819202324[[#This Row],[اجمالي الفاتوره]]-Table11819202324[[#This Row],[الدفعات]]</f>
        <v>110479.34000000003</v>
      </c>
      <c r="O110" s="48"/>
    </row>
    <row r="111" spans="11:15" ht="26.25" customHeight="1" x14ac:dyDescent="0.3">
      <c r="K111" s="1">
        <f>Table11819202324[[#This Row],[النولون]]+Table11819202324[[#This Row],[الايصالات]]-Table11819202324[[#This Row],[خصم أ ت ص]]+Table11819202324[[#This Row],[قيمة مضافة]]</f>
        <v>0</v>
      </c>
      <c r="M111" s="1">
        <f>M110+Table11819202324[[#This Row],[اجمالي الفاتوره]]-Table11819202324[[#This Row],[الدفعات]]</f>
        <v>110479.34000000003</v>
      </c>
      <c r="O111" s="48"/>
    </row>
    <row r="112" spans="11:15" ht="26.25" customHeight="1" x14ac:dyDescent="0.3">
      <c r="K112" s="1">
        <f>Table11819202324[[#This Row],[النولون]]+Table11819202324[[#This Row],[الايصالات]]-Table11819202324[[#This Row],[خصم أ ت ص]]+Table11819202324[[#This Row],[قيمة مضافة]]</f>
        <v>0</v>
      </c>
      <c r="M112" s="1">
        <f>M111+Table11819202324[[#This Row],[اجمالي الفاتوره]]-Table11819202324[[#This Row],[الدفعات]]</f>
        <v>110479.34000000003</v>
      </c>
      <c r="O112" s="48"/>
    </row>
    <row r="113" spans="11:15" ht="26.25" customHeight="1" x14ac:dyDescent="0.3">
      <c r="K113" s="1">
        <f>Table11819202324[[#This Row],[النولون]]+Table11819202324[[#This Row],[الايصالات]]-Table11819202324[[#This Row],[خصم أ ت ص]]+Table11819202324[[#This Row],[قيمة مضافة]]</f>
        <v>0</v>
      </c>
      <c r="M113" s="1">
        <f>M112+Table11819202324[[#This Row],[اجمالي الفاتوره]]-Table11819202324[[#This Row],[الدفعات]]</f>
        <v>110479.34000000003</v>
      </c>
      <c r="O113" s="48"/>
    </row>
    <row r="114" spans="11:15" ht="26.25" customHeight="1" x14ac:dyDescent="0.3">
      <c r="K114" s="1">
        <f>Table11819202324[[#This Row],[النولون]]+Table11819202324[[#This Row],[الايصالات]]-Table11819202324[[#This Row],[خصم أ ت ص]]+Table11819202324[[#This Row],[قيمة مضافة]]</f>
        <v>0</v>
      </c>
      <c r="M114" s="1">
        <f>M113+Table11819202324[[#This Row],[اجمالي الفاتوره]]-Table11819202324[[#This Row],[الدفعات]]</f>
        <v>110479.34000000003</v>
      </c>
      <c r="O114" s="48"/>
    </row>
    <row r="115" spans="11:15" ht="26.25" customHeight="1" x14ac:dyDescent="0.3">
      <c r="K115" s="1">
        <f>Table11819202324[[#This Row],[النولون]]+Table11819202324[[#This Row],[الايصالات]]-Table11819202324[[#This Row],[خصم أ ت ص]]+Table11819202324[[#This Row],[قيمة مضافة]]</f>
        <v>0</v>
      </c>
      <c r="M115" s="1">
        <f>M114+Table11819202324[[#This Row],[اجمالي الفاتوره]]-Table11819202324[[#This Row],[الدفعات]]</f>
        <v>110479.34000000003</v>
      </c>
      <c r="O115" s="48"/>
    </row>
    <row r="116" spans="11:15" ht="26.25" customHeight="1" x14ac:dyDescent="0.3">
      <c r="K116" s="1">
        <f>Table11819202324[[#This Row],[النولون]]+Table11819202324[[#This Row],[الايصالات]]-Table11819202324[[#This Row],[خصم أ ت ص]]+Table11819202324[[#This Row],[قيمة مضافة]]</f>
        <v>0</v>
      </c>
      <c r="M116" s="1">
        <f>M115+Table11819202324[[#This Row],[اجمالي الفاتوره]]-Table11819202324[[#This Row],[الدفعات]]</f>
        <v>110479.34000000003</v>
      </c>
      <c r="O116" s="48"/>
    </row>
    <row r="117" spans="11:15" ht="26.25" customHeight="1" x14ac:dyDescent="0.3">
      <c r="K117" s="1">
        <f>Table11819202324[[#This Row],[النولون]]+Table11819202324[[#This Row],[الايصالات]]-Table11819202324[[#This Row],[خصم أ ت ص]]+Table11819202324[[#This Row],[قيمة مضافة]]</f>
        <v>0</v>
      </c>
      <c r="M117" s="1">
        <f>M116+Table11819202324[[#This Row],[اجمالي الفاتوره]]-Table11819202324[[#This Row],[الدفعات]]</f>
        <v>110479.34000000003</v>
      </c>
      <c r="O117" s="48"/>
    </row>
    <row r="118" spans="11:15" ht="26.25" customHeight="1" x14ac:dyDescent="0.3">
      <c r="K118" s="1">
        <f>Table11819202324[[#This Row],[النولون]]+Table11819202324[[#This Row],[الايصالات]]-Table11819202324[[#This Row],[خصم أ ت ص]]+Table11819202324[[#This Row],[قيمة مضافة]]</f>
        <v>0</v>
      </c>
      <c r="M118" s="1">
        <f>M117+Table11819202324[[#This Row],[اجمالي الفاتوره]]-Table11819202324[[#This Row],[الدفعات]]</f>
        <v>110479.34000000003</v>
      </c>
      <c r="O118" s="48"/>
    </row>
    <row r="119" spans="11:15" ht="26.25" customHeight="1" x14ac:dyDescent="0.3">
      <c r="K119" s="1">
        <f>Table11819202324[[#This Row],[النولون]]+Table11819202324[[#This Row],[الايصالات]]-Table11819202324[[#This Row],[خصم أ ت ص]]+Table11819202324[[#This Row],[قيمة مضافة]]</f>
        <v>0</v>
      </c>
      <c r="M119" s="1">
        <f>M118+Table11819202324[[#This Row],[اجمالي الفاتوره]]-Table11819202324[[#This Row],[الدفعات]]</f>
        <v>110479.34000000003</v>
      </c>
      <c r="O119" s="48"/>
    </row>
    <row r="120" spans="11:15" ht="26.25" customHeight="1" x14ac:dyDescent="0.3">
      <c r="K120" s="1">
        <f>Table11819202324[[#This Row],[النولون]]+Table11819202324[[#This Row],[الايصالات]]-Table11819202324[[#This Row],[خصم أ ت ص]]+Table11819202324[[#This Row],[قيمة مضافة]]</f>
        <v>0</v>
      </c>
      <c r="M120" s="1">
        <f>M119+Table11819202324[[#This Row],[اجمالي الفاتوره]]-Table11819202324[[#This Row],[الدفعات]]</f>
        <v>110479.34000000003</v>
      </c>
      <c r="O120" s="48"/>
    </row>
    <row r="121" spans="11:15" ht="26.25" customHeight="1" x14ac:dyDescent="0.3">
      <c r="K121" s="1">
        <f>Table11819202324[[#This Row],[النولون]]+Table11819202324[[#This Row],[الايصالات]]-Table11819202324[[#This Row],[خصم أ ت ص]]+Table11819202324[[#This Row],[قيمة مضافة]]</f>
        <v>0</v>
      </c>
      <c r="M121" s="1">
        <f>M120+Table11819202324[[#This Row],[اجمالي الفاتوره]]-Table11819202324[[#This Row],[الدفعات]]</f>
        <v>110479.34000000003</v>
      </c>
      <c r="O121" s="48"/>
    </row>
    <row r="122" spans="11:15" ht="26.25" customHeight="1" x14ac:dyDescent="0.3">
      <c r="K122" s="1">
        <f>Table11819202324[[#This Row],[النولون]]+Table11819202324[[#This Row],[الايصالات]]-Table11819202324[[#This Row],[خصم أ ت ص]]+Table11819202324[[#This Row],[قيمة مضافة]]</f>
        <v>0</v>
      </c>
      <c r="M122" s="1">
        <f>M121+Table11819202324[[#This Row],[اجمالي الفاتوره]]-Table11819202324[[#This Row],[الدفعات]]</f>
        <v>110479.34000000003</v>
      </c>
      <c r="O122" s="48"/>
    </row>
    <row r="123" spans="11:15" ht="26.25" customHeight="1" x14ac:dyDescent="0.3">
      <c r="K123" s="1">
        <f>Table11819202324[[#This Row],[النولون]]+Table11819202324[[#This Row],[الايصالات]]-Table11819202324[[#This Row],[خصم أ ت ص]]+Table11819202324[[#This Row],[قيمة مضافة]]</f>
        <v>0</v>
      </c>
      <c r="M123" s="1">
        <f>M122+Table11819202324[[#This Row],[اجمالي الفاتوره]]-Table11819202324[[#This Row],[الدفعات]]</f>
        <v>110479.34000000003</v>
      </c>
      <c r="O123" s="48"/>
    </row>
    <row r="124" spans="11:15" ht="26.25" customHeight="1" x14ac:dyDescent="0.3">
      <c r="K124" s="1">
        <f>Table11819202324[[#This Row],[النولون]]+Table11819202324[[#This Row],[الايصالات]]-Table11819202324[[#This Row],[خصم أ ت ص]]+Table11819202324[[#This Row],[قيمة مضافة]]</f>
        <v>0</v>
      </c>
      <c r="M124" s="1">
        <f>M123+Table11819202324[[#This Row],[اجمالي الفاتوره]]-Table11819202324[[#This Row],[الدفعات]]</f>
        <v>110479.34000000003</v>
      </c>
      <c r="O124" s="48"/>
    </row>
    <row r="125" spans="11:15" ht="26.25" customHeight="1" x14ac:dyDescent="0.3">
      <c r="K125" s="1">
        <f>Table11819202324[[#This Row],[النولون]]+Table11819202324[[#This Row],[الايصالات]]-Table11819202324[[#This Row],[خصم أ ت ص]]+Table11819202324[[#This Row],[قيمة مضافة]]</f>
        <v>0</v>
      </c>
      <c r="M125" s="1">
        <f>M124+Table11819202324[[#This Row],[اجمالي الفاتوره]]-Table11819202324[[#This Row],[الدفعات]]</f>
        <v>110479.34000000003</v>
      </c>
      <c r="O125" s="48"/>
    </row>
    <row r="126" spans="11:15" ht="26.25" customHeight="1" x14ac:dyDescent="0.3">
      <c r="K126" s="1">
        <f>Table11819202324[[#This Row],[النولون]]+Table11819202324[[#This Row],[الايصالات]]-Table11819202324[[#This Row],[خصم أ ت ص]]+Table11819202324[[#This Row],[قيمة مضافة]]</f>
        <v>0</v>
      </c>
      <c r="M126" s="1">
        <f>M125+Table11819202324[[#This Row],[اجمالي الفاتوره]]-Table11819202324[[#This Row],[الدفعات]]</f>
        <v>110479.34000000003</v>
      </c>
      <c r="O126" s="48"/>
    </row>
    <row r="127" spans="11:15" ht="26.25" customHeight="1" x14ac:dyDescent="0.3">
      <c r="K127" s="1">
        <f>Table11819202324[[#This Row],[النولون]]+Table11819202324[[#This Row],[الايصالات]]-Table11819202324[[#This Row],[خصم أ ت ص]]+Table11819202324[[#This Row],[قيمة مضافة]]</f>
        <v>0</v>
      </c>
      <c r="M127" s="1">
        <f>M126+Table11819202324[[#This Row],[اجمالي الفاتوره]]-Table11819202324[[#This Row],[الدفعات]]</f>
        <v>110479.34000000003</v>
      </c>
      <c r="O127" s="48"/>
    </row>
    <row r="128" spans="11:15" ht="26.25" customHeight="1" x14ac:dyDescent="0.3">
      <c r="K128" s="1">
        <f>Table11819202324[[#This Row],[النولون]]+Table11819202324[[#This Row],[الايصالات]]-Table11819202324[[#This Row],[خصم أ ت ص]]+Table11819202324[[#This Row],[قيمة مضافة]]</f>
        <v>0</v>
      </c>
      <c r="M128" s="1">
        <f>M127+Table11819202324[[#This Row],[اجمالي الفاتوره]]-Table11819202324[[#This Row],[الدفعات]]</f>
        <v>110479.34000000003</v>
      </c>
      <c r="O128" s="48"/>
    </row>
    <row r="129" spans="11:15" ht="26.25" customHeight="1" x14ac:dyDescent="0.3">
      <c r="K129" s="1">
        <f>Table11819202324[[#This Row],[النولون]]+Table11819202324[[#This Row],[الايصالات]]-Table11819202324[[#This Row],[خصم أ ت ص]]+Table11819202324[[#This Row],[قيمة مضافة]]</f>
        <v>0</v>
      </c>
      <c r="M129" s="1">
        <f>M128+Table11819202324[[#This Row],[اجمالي الفاتوره]]-Table11819202324[[#This Row],[الدفعات]]</f>
        <v>110479.34000000003</v>
      </c>
      <c r="O129" s="48"/>
    </row>
    <row r="130" spans="11:15" ht="26.25" customHeight="1" x14ac:dyDescent="0.3">
      <c r="K130" s="1">
        <f>Table11819202324[[#This Row],[النولون]]+Table11819202324[[#This Row],[الايصالات]]-Table11819202324[[#This Row],[خصم أ ت ص]]+Table11819202324[[#This Row],[قيمة مضافة]]</f>
        <v>0</v>
      </c>
      <c r="M130" s="1">
        <f>M129+Table11819202324[[#This Row],[اجمالي الفاتوره]]-Table11819202324[[#This Row],[الدفعات]]</f>
        <v>110479.34000000003</v>
      </c>
      <c r="O130" s="48"/>
    </row>
    <row r="131" spans="11:15" ht="26.25" customHeight="1" x14ac:dyDescent="0.3">
      <c r="K131" s="1">
        <f>Table11819202324[[#This Row],[النولون]]+Table11819202324[[#This Row],[الايصالات]]-Table11819202324[[#This Row],[خصم أ ت ص]]+Table11819202324[[#This Row],[قيمة مضافة]]</f>
        <v>0</v>
      </c>
      <c r="M131" s="1">
        <f>M130+Table11819202324[[#This Row],[اجمالي الفاتوره]]-Table11819202324[[#This Row],[الدفعات]]</f>
        <v>110479.34000000003</v>
      </c>
      <c r="O131" s="48"/>
    </row>
    <row r="132" spans="11:15" ht="26.25" customHeight="1" x14ac:dyDescent="0.3">
      <c r="K132" s="1">
        <f>Table11819202324[[#This Row],[النولون]]+Table11819202324[[#This Row],[الايصالات]]-Table11819202324[[#This Row],[خصم أ ت ص]]+Table11819202324[[#This Row],[قيمة مضافة]]</f>
        <v>0</v>
      </c>
      <c r="M132" s="1">
        <f>M131+Table11819202324[[#This Row],[اجمالي الفاتوره]]-Table11819202324[[#This Row],[الدفعات]]</f>
        <v>110479.34000000003</v>
      </c>
      <c r="O132" s="48"/>
    </row>
    <row r="133" spans="11:15" ht="26.25" customHeight="1" x14ac:dyDescent="0.3">
      <c r="K133" s="1">
        <f>Table11819202324[[#This Row],[النولون]]+Table11819202324[[#This Row],[الايصالات]]-Table11819202324[[#This Row],[خصم أ ت ص]]+Table11819202324[[#This Row],[قيمة مضافة]]</f>
        <v>0</v>
      </c>
      <c r="M133" s="1">
        <f>M132+Table11819202324[[#This Row],[اجمالي الفاتوره]]-Table11819202324[[#This Row],[الدفعات]]</f>
        <v>110479.34000000003</v>
      </c>
      <c r="O133" s="48"/>
    </row>
    <row r="134" spans="11:15" ht="26.25" customHeight="1" x14ac:dyDescent="0.3">
      <c r="K134" s="1">
        <f>Table11819202324[[#This Row],[النولون]]+Table11819202324[[#This Row],[الايصالات]]-Table11819202324[[#This Row],[خصم أ ت ص]]+Table11819202324[[#This Row],[قيمة مضافة]]</f>
        <v>0</v>
      </c>
      <c r="M134" s="1">
        <f>M133+Table11819202324[[#This Row],[اجمالي الفاتوره]]-Table11819202324[[#This Row],[الدفعات]]</f>
        <v>110479.34000000003</v>
      </c>
      <c r="O134" s="48"/>
    </row>
    <row r="135" spans="11:15" ht="26.25" customHeight="1" x14ac:dyDescent="0.3">
      <c r="K135" s="1">
        <f>Table11819202324[[#This Row],[النولون]]+Table11819202324[[#This Row],[الايصالات]]-Table11819202324[[#This Row],[خصم أ ت ص]]+Table11819202324[[#This Row],[قيمة مضافة]]</f>
        <v>0</v>
      </c>
      <c r="M135" s="1">
        <f>M134+Table11819202324[[#This Row],[اجمالي الفاتوره]]-Table11819202324[[#This Row],[الدفعات]]</f>
        <v>110479.34000000003</v>
      </c>
      <c r="O135" s="48"/>
    </row>
    <row r="136" spans="11:15" ht="26.25" customHeight="1" x14ac:dyDescent="0.3">
      <c r="K136" s="1">
        <f>Table11819202324[[#This Row],[النولون]]+Table11819202324[[#This Row],[الايصالات]]-Table11819202324[[#This Row],[خصم أ ت ص]]+Table11819202324[[#This Row],[قيمة مضافة]]</f>
        <v>0</v>
      </c>
      <c r="M136" s="1">
        <f>M135+Table11819202324[[#This Row],[اجمالي الفاتوره]]-Table11819202324[[#This Row],[الدفعات]]</f>
        <v>110479.34000000003</v>
      </c>
      <c r="O136" s="48"/>
    </row>
    <row r="137" spans="11:15" ht="26.25" customHeight="1" x14ac:dyDescent="0.3">
      <c r="K137" s="1">
        <f>Table11819202324[[#This Row],[النولون]]+Table11819202324[[#This Row],[الايصالات]]-Table11819202324[[#This Row],[خصم أ ت ص]]+Table11819202324[[#This Row],[قيمة مضافة]]</f>
        <v>0</v>
      </c>
      <c r="M137" s="1">
        <f>M136+Table11819202324[[#This Row],[اجمالي الفاتوره]]-Table11819202324[[#This Row],[الدفعات]]</f>
        <v>110479.34000000003</v>
      </c>
      <c r="O137" s="48"/>
    </row>
    <row r="138" spans="11:15" ht="26.25" customHeight="1" x14ac:dyDescent="0.3">
      <c r="K138" s="1">
        <f>Table11819202324[[#This Row],[النولون]]+Table11819202324[[#This Row],[الايصالات]]-Table11819202324[[#This Row],[خصم أ ت ص]]+Table11819202324[[#This Row],[قيمة مضافة]]</f>
        <v>0</v>
      </c>
      <c r="M138" s="1">
        <f>M137+Table11819202324[[#This Row],[اجمالي الفاتوره]]-Table11819202324[[#This Row],[الدفعات]]</f>
        <v>110479.34000000003</v>
      </c>
      <c r="O138" s="48"/>
    </row>
    <row r="139" spans="11:15" ht="26.25" customHeight="1" x14ac:dyDescent="0.3">
      <c r="K139" s="1">
        <f>Table11819202324[[#This Row],[النولون]]+Table11819202324[[#This Row],[الايصالات]]-Table11819202324[[#This Row],[خصم أ ت ص]]+Table11819202324[[#This Row],[قيمة مضافة]]</f>
        <v>0</v>
      </c>
      <c r="M139" s="1">
        <f>M138+Table11819202324[[#This Row],[اجمالي الفاتوره]]-Table11819202324[[#This Row],[الدفعات]]</f>
        <v>110479.34000000003</v>
      </c>
      <c r="O139" s="48"/>
    </row>
    <row r="140" spans="11:15" ht="26.25" customHeight="1" x14ac:dyDescent="0.3">
      <c r="K140" s="1">
        <f>Table11819202324[[#This Row],[النولون]]+Table11819202324[[#This Row],[الايصالات]]-Table11819202324[[#This Row],[خصم أ ت ص]]+Table11819202324[[#This Row],[قيمة مضافة]]</f>
        <v>0</v>
      </c>
      <c r="M140" s="1">
        <f>M139+Table11819202324[[#This Row],[اجمالي الفاتوره]]-Table11819202324[[#This Row],[الدفعات]]</f>
        <v>110479.34000000003</v>
      </c>
      <c r="O140" s="48"/>
    </row>
    <row r="141" spans="11:15" ht="26.25" customHeight="1" x14ac:dyDescent="0.3">
      <c r="K141" s="1">
        <f>Table11819202324[[#This Row],[النولون]]+Table11819202324[[#This Row],[الايصالات]]-Table11819202324[[#This Row],[خصم أ ت ص]]+Table11819202324[[#This Row],[قيمة مضافة]]</f>
        <v>0</v>
      </c>
      <c r="M141" s="1">
        <f>M140+Table11819202324[[#This Row],[اجمالي الفاتوره]]-Table11819202324[[#This Row],[الدفعات]]</f>
        <v>110479.34000000003</v>
      </c>
      <c r="O141" s="48"/>
    </row>
    <row r="142" spans="11:15" ht="26.25" customHeight="1" x14ac:dyDescent="0.3">
      <c r="K142" s="1">
        <f>Table11819202324[[#This Row],[النولون]]+Table11819202324[[#This Row],[الايصالات]]-Table11819202324[[#This Row],[خصم أ ت ص]]+Table11819202324[[#This Row],[قيمة مضافة]]</f>
        <v>0</v>
      </c>
      <c r="M142" s="1">
        <f>M141+Table11819202324[[#This Row],[اجمالي الفاتوره]]-Table11819202324[[#This Row],[الدفعات]]</f>
        <v>110479.34000000003</v>
      </c>
      <c r="O142" s="48"/>
    </row>
    <row r="143" spans="11:15" ht="26.25" customHeight="1" x14ac:dyDescent="0.3">
      <c r="K143" s="1">
        <f>Table11819202324[[#This Row],[النولون]]+Table11819202324[[#This Row],[الايصالات]]-Table11819202324[[#This Row],[خصم أ ت ص]]+Table11819202324[[#This Row],[قيمة مضافة]]</f>
        <v>0</v>
      </c>
      <c r="M143" s="1">
        <f>M142+Table11819202324[[#This Row],[اجمالي الفاتوره]]-Table11819202324[[#This Row],[الدفعات]]</f>
        <v>110479.34000000003</v>
      </c>
      <c r="O143" s="48"/>
    </row>
    <row r="144" spans="11:15" ht="26.25" customHeight="1" x14ac:dyDescent="0.3">
      <c r="K144" s="1">
        <f>Table11819202324[[#This Row],[النولون]]+Table11819202324[[#This Row],[الايصالات]]-Table11819202324[[#This Row],[خصم أ ت ص]]+Table11819202324[[#This Row],[قيمة مضافة]]</f>
        <v>0</v>
      </c>
      <c r="M144" s="1">
        <f>M143+Table11819202324[[#This Row],[اجمالي الفاتوره]]-Table11819202324[[#This Row],[الدفعات]]</f>
        <v>110479.34000000003</v>
      </c>
      <c r="O144" s="48"/>
    </row>
    <row r="145" spans="11:15" ht="26.25" customHeight="1" x14ac:dyDescent="0.3">
      <c r="K145" s="1">
        <f>Table11819202324[[#This Row],[النولون]]+Table11819202324[[#This Row],[الايصالات]]-Table11819202324[[#This Row],[خصم أ ت ص]]+Table11819202324[[#This Row],[قيمة مضافة]]</f>
        <v>0</v>
      </c>
      <c r="M145" s="1">
        <f>M144+Table11819202324[[#This Row],[اجمالي الفاتوره]]-Table11819202324[[#This Row],[الدفعات]]</f>
        <v>110479.34000000003</v>
      </c>
      <c r="O145" s="48"/>
    </row>
    <row r="146" spans="11:15" ht="26.25" customHeight="1" x14ac:dyDescent="0.3">
      <c r="K146" s="1">
        <f>Table11819202324[[#This Row],[النولون]]+Table11819202324[[#This Row],[الايصالات]]-Table11819202324[[#This Row],[خصم أ ت ص]]+Table11819202324[[#This Row],[قيمة مضافة]]</f>
        <v>0</v>
      </c>
      <c r="M146" s="1">
        <f>M145+Table11819202324[[#This Row],[اجمالي الفاتوره]]-Table11819202324[[#This Row],[الدفعات]]</f>
        <v>110479.34000000003</v>
      </c>
      <c r="O146" s="48"/>
    </row>
    <row r="147" spans="11:15" ht="26.25" customHeight="1" x14ac:dyDescent="0.3">
      <c r="K147" s="1">
        <f>Table11819202324[[#This Row],[النولون]]+Table11819202324[[#This Row],[الايصالات]]-Table11819202324[[#This Row],[خصم أ ت ص]]+Table11819202324[[#This Row],[قيمة مضافة]]</f>
        <v>0</v>
      </c>
      <c r="M147" s="1">
        <f>M146+Table11819202324[[#This Row],[اجمالي الفاتوره]]-Table11819202324[[#This Row],[الدفعات]]</f>
        <v>110479.34000000003</v>
      </c>
      <c r="O147" s="48"/>
    </row>
    <row r="148" spans="11:15" ht="26.25" customHeight="1" x14ac:dyDescent="0.3">
      <c r="K148" s="1">
        <f>Table11819202324[[#This Row],[النولون]]+Table11819202324[[#This Row],[الايصالات]]-Table11819202324[[#This Row],[خصم أ ت ص]]+Table11819202324[[#This Row],[قيمة مضافة]]</f>
        <v>0</v>
      </c>
      <c r="M148" s="1">
        <f>M147+Table11819202324[[#This Row],[اجمالي الفاتوره]]-Table11819202324[[#This Row],[الدفعات]]</f>
        <v>110479.34000000003</v>
      </c>
      <c r="O148" s="48"/>
    </row>
    <row r="149" spans="11:15" ht="26.25" customHeight="1" x14ac:dyDescent="0.3">
      <c r="K149" s="1">
        <f>Table11819202324[[#This Row],[النولون]]+Table11819202324[[#This Row],[الايصالات]]-Table11819202324[[#This Row],[خصم أ ت ص]]+Table11819202324[[#This Row],[قيمة مضافة]]</f>
        <v>0</v>
      </c>
      <c r="M149" s="1">
        <f>M148+Table11819202324[[#This Row],[اجمالي الفاتوره]]-Table11819202324[[#This Row],[الدفعات]]</f>
        <v>110479.34000000003</v>
      </c>
      <c r="O149" s="48"/>
    </row>
    <row r="150" spans="11:15" ht="26.25" customHeight="1" x14ac:dyDescent="0.3">
      <c r="K150" s="1">
        <f>Table11819202324[[#This Row],[النولون]]+Table11819202324[[#This Row],[الايصالات]]-Table11819202324[[#This Row],[خصم أ ت ص]]+Table11819202324[[#This Row],[قيمة مضافة]]</f>
        <v>0</v>
      </c>
      <c r="M150" s="1">
        <f>M149+Table11819202324[[#This Row],[اجمالي الفاتوره]]-Table11819202324[[#This Row],[الدفعات]]</f>
        <v>110479.34000000003</v>
      </c>
      <c r="O150" s="48"/>
    </row>
    <row r="151" spans="11:15" ht="26.25" customHeight="1" x14ac:dyDescent="0.3">
      <c r="K151" s="1">
        <f>Table11819202324[[#This Row],[النولون]]+Table11819202324[[#This Row],[الايصالات]]-Table11819202324[[#This Row],[خصم أ ت ص]]+Table11819202324[[#This Row],[قيمة مضافة]]</f>
        <v>0</v>
      </c>
      <c r="M151" s="1">
        <f>M150+Table11819202324[[#This Row],[اجمالي الفاتوره]]-Table11819202324[[#This Row],[الدفعات]]</f>
        <v>110479.34000000003</v>
      </c>
      <c r="O151" s="48"/>
    </row>
    <row r="152" spans="11:15" ht="26.25" customHeight="1" x14ac:dyDescent="0.3">
      <c r="K152" s="1">
        <f>Table11819202324[[#This Row],[النولون]]+Table11819202324[[#This Row],[الايصالات]]-Table11819202324[[#This Row],[خصم أ ت ص]]+Table11819202324[[#This Row],[قيمة مضافة]]</f>
        <v>0</v>
      </c>
      <c r="M152" s="1">
        <f>M151+Table11819202324[[#This Row],[اجمالي الفاتوره]]-Table11819202324[[#This Row],[الدفعات]]</f>
        <v>110479.34000000003</v>
      </c>
      <c r="O152" s="48"/>
    </row>
    <row r="153" spans="11:15" ht="26.25" customHeight="1" x14ac:dyDescent="0.3">
      <c r="K153" s="1">
        <f>Table11819202324[[#This Row],[النولون]]+Table11819202324[[#This Row],[الايصالات]]-Table11819202324[[#This Row],[خصم أ ت ص]]+Table11819202324[[#This Row],[قيمة مضافة]]</f>
        <v>0</v>
      </c>
      <c r="M153" s="1">
        <f>M152+Table11819202324[[#This Row],[اجمالي الفاتوره]]-Table11819202324[[#This Row],[الدفعات]]</f>
        <v>110479.34000000003</v>
      </c>
      <c r="O153" s="48"/>
    </row>
    <row r="154" spans="11:15" ht="26.25" customHeight="1" x14ac:dyDescent="0.3">
      <c r="K154" s="1">
        <f>Table11819202324[[#This Row],[النولون]]+Table11819202324[[#This Row],[الايصالات]]-Table11819202324[[#This Row],[خصم أ ت ص]]+Table11819202324[[#This Row],[قيمة مضافة]]</f>
        <v>0</v>
      </c>
      <c r="M154" s="1">
        <f>M153+Table11819202324[[#This Row],[اجمالي الفاتوره]]-Table11819202324[[#This Row],[الدفعات]]</f>
        <v>110479.34000000003</v>
      </c>
      <c r="O154" s="48"/>
    </row>
    <row r="155" spans="11:15" ht="26.25" customHeight="1" x14ac:dyDescent="0.3">
      <c r="K155" s="1">
        <f>Table11819202324[[#This Row],[النولون]]+Table11819202324[[#This Row],[الايصالات]]-Table11819202324[[#This Row],[خصم أ ت ص]]+Table11819202324[[#This Row],[قيمة مضافة]]</f>
        <v>0</v>
      </c>
      <c r="M155" s="1">
        <f>M154+Table11819202324[[#This Row],[اجمالي الفاتوره]]-Table11819202324[[#This Row],[الدفعات]]</f>
        <v>110479.34000000003</v>
      </c>
      <c r="O155" s="48"/>
    </row>
    <row r="156" spans="11:15" ht="26.25" customHeight="1" x14ac:dyDescent="0.3">
      <c r="K156" s="1">
        <f>Table11819202324[[#This Row],[النولون]]+Table11819202324[[#This Row],[الايصالات]]-Table11819202324[[#This Row],[خصم أ ت ص]]+Table11819202324[[#This Row],[قيمة مضافة]]</f>
        <v>0</v>
      </c>
      <c r="M156" s="1">
        <f>M155+Table11819202324[[#This Row],[اجمالي الفاتوره]]-Table11819202324[[#This Row],[الدفعات]]</f>
        <v>110479.34000000003</v>
      </c>
      <c r="O156" s="48"/>
    </row>
    <row r="157" spans="11:15" ht="26.25" customHeight="1" x14ac:dyDescent="0.3">
      <c r="K157" s="1">
        <f>Table11819202324[[#This Row],[النولون]]+Table11819202324[[#This Row],[الايصالات]]-Table11819202324[[#This Row],[خصم أ ت ص]]+Table11819202324[[#This Row],[قيمة مضافة]]</f>
        <v>0</v>
      </c>
      <c r="M157" s="1">
        <f>M156+Table11819202324[[#This Row],[اجمالي الفاتوره]]-Table11819202324[[#This Row],[الدفعات]]</f>
        <v>110479.34000000003</v>
      </c>
      <c r="O157" s="48"/>
    </row>
    <row r="158" spans="11:15" ht="26.25" customHeight="1" x14ac:dyDescent="0.3">
      <c r="K158" s="1">
        <f>Table11819202324[[#This Row],[النولون]]+Table11819202324[[#This Row],[الايصالات]]-Table11819202324[[#This Row],[خصم أ ت ص]]+Table11819202324[[#This Row],[قيمة مضافة]]</f>
        <v>0</v>
      </c>
      <c r="M158" s="1">
        <f>M157+Table11819202324[[#This Row],[اجمالي الفاتوره]]-Table11819202324[[#This Row],[الدفعات]]</f>
        <v>110479.34000000003</v>
      </c>
      <c r="O158" s="48"/>
    </row>
    <row r="159" spans="11:15" ht="26.25" customHeight="1" x14ac:dyDescent="0.3">
      <c r="K159" s="1">
        <f>Table11819202324[[#This Row],[النولون]]+Table11819202324[[#This Row],[الايصالات]]-Table11819202324[[#This Row],[خصم أ ت ص]]+Table11819202324[[#This Row],[قيمة مضافة]]</f>
        <v>0</v>
      </c>
      <c r="M159" s="1">
        <f>M158+Table11819202324[[#This Row],[اجمالي الفاتوره]]-Table11819202324[[#This Row],[الدفعات]]</f>
        <v>110479.34000000003</v>
      </c>
      <c r="O159" s="48"/>
    </row>
    <row r="160" spans="11:15" ht="26.25" customHeight="1" x14ac:dyDescent="0.3">
      <c r="K160" s="1">
        <f>Table11819202324[[#This Row],[النولون]]+Table11819202324[[#This Row],[الايصالات]]-Table11819202324[[#This Row],[خصم أ ت ص]]+Table11819202324[[#This Row],[قيمة مضافة]]</f>
        <v>0</v>
      </c>
      <c r="M160" s="1">
        <f>M159+Table11819202324[[#This Row],[اجمالي الفاتوره]]-Table11819202324[[#This Row],[الدفعات]]</f>
        <v>110479.34000000003</v>
      </c>
      <c r="O160" s="48"/>
    </row>
    <row r="161" spans="11:15" ht="26.25" customHeight="1" x14ac:dyDescent="0.3">
      <c r="K161" s="1">
        <f>Table11819202324[[#This Row],[النولون]]+Table11819202324[[#This Row],[الايصالات]]-Table11819202324[[#This Row],[خصم أ ت ص]]+Table11819202324[[#This Row],[قيمة مضافة]]</f>
        <v>0</v>
      </c>
      <c r="M161" s="1">
        <f>M160+Table11819202324[[#This Row],[اجمالي الفاتوره]]-Table11819202324[[#This Row],[الدفعات]]</f>
        <v>110479.34000000003</v>
      </c>
      <c r="O161" s="48"/>
    </row>
    <row r="162" spans="11:15" ht="26.25" customHeight="1" x14ac:dyDescent="0.3">
      <c r="K162" s="1">
        <f>Table11819202324[[#This Row],[النولون]]+Table11819202324[[#This Row],[الايصالات]]-Table11819202324[[#This Row],[خصم أ ت ص]]+Table11819202324[[#This Row],[قيمة مضافة]]</f>
        <v>0</v>
      </c>
      <c r="M162" s="1">
        <f>M161+Table11819202324[[#This Row],[اجمالي الفاتوره]]-Table11819202324[[#This Row],[الدفعات]]</f>
        <v>110479.34000000003</v>
      </c>
      <c r="O162" s="48"/>
    </row>
    <row r="163" spans="11:15" ht="26.25" customHeight="1" x14ac:dyDescent="0.3">
      <c r="K163" s="1">
        <f>Table11819202324[[#This Row],[النولون]]+Table11819202324[[#This Row],[الايصالات]]-Table11819202324[[#This Row],[خصم أ ت ص]]+Table11819202324[[#This Row],[قيمة مضافة]]</f>
        <v>0</v>
      </c>
      <c r="M163" s="1">
        <f>M162+Table11819202324[[#This Row],[اجمالي الفاتوره]]-Table11819202324[[#This Row],[الدفعات]]</f>
        <v>110479.34000000003</v>
      </c>
      <c r="O163" s="48"/>
    </row>
    <row r="164" spans="11:15" ht="26.25" customHeight="1" x14ac:dyDescent="0.3">
      <c r="K164" s="1">
        <f>Table11819202324[[#This Row],[النولون]]+Table11819202324[[#This Row],[الايصالات]]-Table11819202324[[#This Row],[خصم أ ت ص]]+Table11819202324[[#This Row],[قيمة مضافة]]</f>
        <v>0</v>
      </c>
      <c r="M164" s="1">
        <f>M163+Table11819202324[[#This Row],[اجمالي الفاتوره]]-Table11819202324[[#This Row],[الدفعات]]</f>
        <v>110479.34000000003</v>
      </c>
      <c r="O164" s="48"/>
    </row>
    <row r="165" spans="11:15" ht="26.25" customHeight="1" x14ac:dyDescent="0.3">
      <c r="K165" s="1">
        <f>Table11819202324[[#This Row],[النولون]]+Table11819202324[[#This Row],[الايصالات]]-Table11819202324[[#This Row],[خصم أ ت ص]]+Table11819202324[[#This Row],[قيمة مضافة]]</f>
        <v>0</v>
      </c>
      <c r="M165" s="1">
        <f>M164+Table11819202324[[#This Row],[اجمالي الفاتوره]]-Table11819202324[[#This Row],[الدفعات]]</f>
        <v>110479.34000000003</v>
      </c>
      <c r="O165" s="48"/>
    </row>
    <row r="166" spans="11:15" ht="26.25" customHeight="1" x14ac:dyDescent="0.3">
      <c r="K166" s="1">
        <f>Table11819202324[[#This Row],[النولون]]+Table11819202324[[#This Row],[الايصالات]]-Table11819202324[[#This Row],[خصم أ ت ص]]+Table11819202324[[#This Row],[قيمة مضافة]]</f>
        <v>0</v>
      </c>
      <c r="M166" s="1">
        <f>M165+Table11819202324[[#This Row],[اجمالي الفاتوره]]-Table11819202324[[#This Row],[الدفعات]]</f>
        <v>110479.34000000003</v>
      </c>
      <c r="O166" s="48"/>
    </row>
    <row r="167" spans="11:15" ht="26.25" customHeight="1" x14ac:dyDescent="0.3">
      <c r="K167" s="1">
        <f>Table11819202324[[#This Row],[النولون]]+Table11819202324[[#This Row],[الايصالات]]-Table11819202324[[#This Row],[خصم أ ت ص]]+Table11819202324[[#This Row],[قيمة مضافة]]</f>
        <v>0</v>
      </c>
      <c r="M167" s="1">
        <f>M166+Table11819202324[[#This Row],[اجمالي الفاتوره]]-Table11819202324[[#This Row],[الدفعات]]</f>
        <v>110479.34000000003</v>
      </c>
      <c r="O167" s="48"/>
    </row>
    <row r="168" spans="11:15" ht="26.25" customHeight="1" x14ac:dyDescent="0.3">
      <c r="K168" s="1">
        <f>Table11819202324[[#This Row],[النولون]]+Table11819202324[[#This Row],[الايصالات]]-Table11819202324[[#This Row],[خصم أ ت ص]]+Table11819202324[[#This Row],[قيمة مضافة]]</f>
        <v>0</v>
      </c>
      <c r="M168" s="1">
        <f>M167+Table11819202324[[#This Row],[اجمالي الفاتوره]]-Table11819202324[[#This Row],[الدفعات]]</f>
        <v>110479.34000000003</v>
      </c>
      <c r="O168" s="48"/>
    </row>
    <row r="169" spans="11:15" ht="26.25" customHeight="1" x14ac:dyDescent="0.3">
      <c r="K169" s="1">
        <f>Table11819202324[[#This Row],[النولون]]+Table11819202324[[#This Row],[الايصالات]]-Table11819202324[[#This Row],[خصم أ ت ص]]+Table11819202324[[#This Row],[قيمة مضافة]]</f>
        <v>0</v>
      </c>
      <c r="M169" s="1">
        <f>M168+Table11819202324[[#This Row],[اجمالي الفاتوره]]-Table11819202324[[#This Row],[الدفعات]]</f>
        <v>110479.34000000003</v>
      </c>
      <c r="O169" s="48"/>
    </row>
    <row r="170" spans="11:15" ht="26.25" customHeight="1" x14ac:dyDescent="0.3">
      <c r="K170" s="1">
        <f>Table11819202324[[#This Row],[النولون]]+Table11819202324[[#This Row],[الايصالات]]-Table11819202324[[#This Row],[خصم أ ت ص]]+Table11819202324[[#This Row],[قيمة مضافة]]</f>
        <v>0</v>
      </c>
      <c r="M170" s="1">
        <f>M169+Table11819202324[[#This Row],[اجمالي الفاتوره]]-Table11819202324[[#This Row],[الدفعات]]</f>
        <v>110479.34000000003</v>
      </c>
      <c r="O170" s="48"/>
    </row>
    <row r="171" spans="11:15" ht="26.25" customHeight="1" x14ac:dyDescent="0.3">
      <c r="K171" s="1">
        <f>Table11819202324[[#This Row],[النولون]]+Table11819202324[[#This Row],[الايصالات]]-Table11819202324[[#This Row],[خصم أ ت ص]]+Table11819202324[[#This Row],[قيمة مضافة]]</f>
        <v>0</v>
      </c>
      <c r="M171" s="1">
        <f>M170+Table11819202324[[#This Row],[اجمالي الفاتوره]]-Table11819202324[[#This Row],[الدفعات]]</f>
        <v>110479.34000000003</v>
      </c>
      <c r="O171" s="48"/>
    </row>
    <row r="172" spans="11:15" ht="26.25" customHeight="1" x14ac:dyDescent="0.3">
      <c r="K172" s="1">
        <f>Table11819202324[[#This Row],[النولون]]+Table11819202324[[#This Row],[الايصالات]]-Table11819202324[[#This Row],[خصم أ ت ص]]+Table11819202324[[#This Row],[قيمة مضافة]]</f>
        <v>0</v>
      </c>
      <c r="M172" s="1">
        <f>M171+Table11819202324[[#This Row],[اجمالي الفاتوره]]-Table11819202324[[#This Row],[الدفعات]]</f>
        <v>110479.34000000003</v>
      </c>
      <c r="O172" s="48"/>
    </row>
    <row r="173" spans="11:15" ht="26.25" customHeight="1" x14ac:dyDescent="0.3">
      <c r="K173" s="1">
        <f>Table11819202324[[#This Row],[النولون]]+Table11819202324[[#This Row],[الايصالات]]-Table11819202324[[#This Row],[خصم أ ت ص]]+Table11819202324[[#This Row],[قيمة مضافة]]</f>
        <v>0</v>
      </c>
      <c r="M173" s="1">
        <f>M172+Table11819202324[[#This Row],[اجمالي الفاتوره]]-Table11819202324[[#This Row],[الدفعات]]</f>
        <v>110479.34000000003</v>
      </c>
      <c r="O173" s="48"/>
    </row>
    <row r="174" spans="11:15" ht="26.25" customHeight="1" x14ac:dyDescent="0.3">
      <c r="K174" s="1">
        <f>Table11819202324[[#This Row],[النولون]]+Table11819202324[[#This Row],[الايصالات]]-Table11819202324[[#This Row],[خصم أ ت ص]]+Table11819202324[[#This Row],[قيمة مضافة]]</f>
        <v>0</v>
      </c>
      <c r="M174" s="1">
        <f>M173+Table11819202324[[#This Row],[اجمالي الفاتوره]]-Table11819202324[[#This Row],[الدفعات]]</f>
        <v>110479.34000000003</v>
      </c>
      <c r="O174" s="48"/>
    </row>
    <row r="175" spans="11:15" ht="26.25" customHeight="1" x14ac:dyDescent="0.3">
      <c r="K175" s="1">
        <f>Table11819202324[[#This Row],[النولون]]+Table11819202324[[#This Row],[الايصالات]]-Table11819202324[[#This Row],[خصم أ ت ص]]+Table11819202324[[#This Row],[قيمة مضافة]]</f>
        <v>0</v>
      </c>
      <c r="M175" s="1">
        <f>M174+Table11819202324[[#This Row],[اجمالي الفاتوره]]-Table11819202324[[#This Row],[الدفعات]]</f>
        <v>110479.34000000003</v>
      </c>
      <c r="O175" s="48"/>
    </row>
    <row r="176" spans="11:15" ht="26.25" customHeight="1" x14ac:dyDescent="0.3">
      <c r="K176" s="1">
        <f>Table11819202324[[#This Row],[النولون]]+Table11819202324[[#This Row],[الايصالات]]-Table11819202324[[#This Row],[خصم أ ت ص]]+Table11819202324[[#This Row],[قيمة مضافة]]</f>
        <v>0</v>
      </c>
      <c r="M176" s="1">
        <f>M175+Table11819202324[[#This Row],[اجمالي الفاتوره]]-Table11819202324[[#This Row],[الدفعات]]</f>
        <v>110479.34000000003</v>
      </c>
      <c r="O176" s="48"/>
    </row>
    <row r="177" spans="11:15" ht="26.25" customHeight="1" x14ac:dyDescent="0.3">
      <c r="K177" s="1">
        <f>Table11819202324[[#This Row],[النولون]]+Table11819202324[[#This Row],[الايصالات]]-Table11819202324[[#This Row],[خصم أ ت ص]]+Table11819202324[[#This Row],[قيمة مضافة]]</f>
        <v>0</v>
      </c>
      <c r="M177" s="1">
        <f>M176+Table11819202324[[#This Row],[اجمالي الفاتوره]]-Table11819202324[[#This Row],[الدفعات]]</f>
        <v>110479.34000000003</v>
      </c>
      <c r="O177" s="48"/>
    </row>
    <row r="178" spans="11:15" ht="26.25" customHeight="1" x14ac:dyDescent="0.3">
      <c r="K178" s="1">
        <f>Table11819202324[[#This Row],[النولون]]+Table11819202324[[#This Row],[الايصالات]]-Table11819202324[[#This Row],[خصم أ ت ص]]+Table11819202324[[#This Row],[قيمة مضافة]]</f>
        <v>0</v>
      </c>
      <c r="M178" s="1">
        <f>M177+Table11819202324[[#This Row],[اجمالي الفاتوره]]-Table11819202324[[#This Row],[الدفعات]]</f>
        <v>110479.34000000003</v>
      </c>
      <c r="O178" s="48"/>
    </row>
    <row r="179" spans="11:15" ht="26.25" customHeight="1" x14ac:dyDescent="0.3">
      <c r="K179" s="1">
        <f>Table11819202324[[#This Row],[النولون]]+Table11819202324[[#This Row],[الايصالات]]-Table11819202324[[#This Row],[خصم أ ت ص]]+Table11819202324[[#This Row],[قيمة مضافة]]</f>
        <v>0</v>
      </c>
      <c r="M179" s="1">
        <f>M178+Table11819202324[[#This Row],[اجمالي الفاتوره]]-Table11819202324[[#This Row],[الدفعات]]</f>
        <v>110479.34000000003</v>
      </c>
      <c r="O179" s="48"/>
    </row>
    <row r="180" spans="11:15" ht="26.25" customHeight="1" x14ac:dyDescent="0.3">
      <c r="K180" s="1">
        <f>Table11819202324[[#This Row],[النولون]]+Table11819202324[[#This Row],[الايصالات]]-Table11819202324[[#This Row],[خصم أ ت ص]]+Table11819202324[[#This Row],[قيمة مضافة]]</f>
        <v>0</v>
      </c>
      <c r="M180" s="1">
        <f>M179+Table11819202324[[#This Row],[اجمالي الفاتوره]]-Table11819202324[[#This Row],[الدفعات]]</f>
        <v>110479.34000000003</v>
      </c>
      <c r="O180" s="48"/>
    </row>
    <row r="181" spans="11:15" ht="26.25" customHeight="1" x14ac:dyDescent="0.3">
      <c r="K181" s="1">
        <f>Table11819202324[[#This Row],[النولون]]+Table11819202324[[#This Row],[الايصالات]]-Table11819202324[[#This Row],[خصم أ ت ص]]+Table11819202324[[#This Row],[قيمة مضافة]]</f>
        <v>0</v>
      </c>
      <c r="M181" s="1">
        <f>M180+Table11819202324[[#This Row],[اجمالي الفاتوره]]-Table11819202324[[#This Row],[الدفعات]]</f>
        <v>110479.34000000003</v>
      </c>
      <c r="O181" s="48"/>
    </row>
    <row r="182" spans="11:15" ht="26.25" customHeight="1" x14ac:dyDescent="0.3">
      <c r="K182" s="1">
        <f>Table11819202324[[#This Row],[النولون]]+Table11819202324[[#This Row],[الايصالات]]-Table11819202324[[#This Row],[خصم أ ت ص]]+Table11819202324[[#This Row],[قيمة مضافة]]</f>
        <v>0</v>
      </c>
      <c r="M182" s="1">
        <f>M181+Table11819202324[[#This Row],[اجمالي الفاتوره]]-Table11819202324[[#This Row],[الدفعات]]</f>
        <v>110479.34000000003</v>
      </c>
      <c r="O182" s="48"/>
    </row>
    <row r="183" spans="11:15" ht="26.25" customHeight="1" x14ac:dyDescent="0.3">
      <c r="K183" s="1">
        <f>Table11819202324[[#This Row],[النولون]]+Table11819202324[[#This Row],[الايصالات]]-Table11819202324[[#This Row],[خصم أ ت ص]]+Table11819202324[[#This Row],[قيمة مضافة]]</f>
        <v>0</v>
      </c>
      <c r="M183" s="1">
        <f>M182+Table11819202324[[#This Row],[اجمالي الفاتوره]]-Table11819202324[[#This Row],[الدفعات]]</f>
        <v>110479.34000000003</v>
      </c>
      <c r="O183" s="48"/>
    </row>
    <row r="184" spans="11:15" ht="26.25" customHeight="1" x14ac:dyDescent="0.3">
      <c r="K184" s="1">
        <f>Table11819202324[[#This Row],[النولون]]+Table11819202324[[#This Row],[الايصالات]]-Table11819202324[[#This Row],[خصم أ ت ص]]+Table11819202324[[#This Row],[قيمة مضافة]]</f>
        <v>0</v>
      </c>
      <c r="M184" s="1">
        <f>M183+Table11819202324[[#This Row],[اجمالي الفاتوره]]-Table11819202324[[#This Row],[الدفعات]]</f>
        <v>110479.34000000003</v>
      </c>
      <c r="O184" s="48"/>
    </row>
    <row r="185" spans="11:15" ht="26.25" customHeight="1" x14ac:dyDescent="0.3">
      <c r="K185" s="1">
        <f>Table11819202324[[#This Row],[النولون]]+Table11819202324[[#This Row],[الايصالات]]-Table11819202324[[#This Row],[خصم أ ت ص]]+Table11819202324[[#This Row],[قيمة مضافة]]</f>
        <v>0</v>
      </c>
      <c r="M185" s="1">
        <f>M184+Table11819202324[[#This Row],[اجمالي الفاتوره]]-Table11819202324[[#This Row],[الدفعات]]</f>
        <v>110479.34000000003</v>
      </c>
      <c r="O185" s="48"/>
    </row>
    <row r="186" spans="11:15" ht="26.25" customHeight="1" x14ac:dyDescent="0.3">
      <c r="K186" s="1">
        <f>Table11819202324[[#This Row],[النولون]]+Table11819202324[[#This Row],[الايصالات]]-Table11819202324[[#This Row],[خصم أ ت ص]]+Table11819202324[[#This Row],[قيمة مضافة]]</f>
        <v>0</v>
      </c>
      <c r="M186" s="1">
        <f>M185+Table11819202324[[#This Row],[اجمالي الفاتوره]]-Table11819202324[[#This Row],[الدفعات]]</f>
        <v>110479.34000000003</v>
      </c>
      <c r="O186" s="48"/>
    </row>
    <row r="187" spans="11:15" ht="26.25" customHeight="1" x14ac:dyDescent="0.3">
      <c r="K187" s="1">
        <f>Table11819202324[[#This Row],[النولون]]+Table11819202324[[#This Row],[الايصالات]]-Table11819202324[[#This Row],[خصم أ ت ص]]+Table11819202324[[#This Row],[قيمة مضافة]]</f>
        <v>0</v>
      </c>
      <c r="M187" s="1">
        <f>M186+Table11819202324[[#This Row],[اجمالي الفاتوره]]-Table11819202324[[#This Row],[الدفعات]]</f>
        <v>110479.34000000003</v>
      </c>
      <c r="O187" s="48"/>
    </row>
    <row r="188" spans="11:15" ht="26.25" customHeight="1" x14ac:dyDescent="0.3">
      <c r="K188" s="1">
        <f>Table11819202324[[#This Row],[النولون]]+Table11819202324[[#This Row],[الايصالات]]-Table11819202324[[#This Row],[خصم أ ت ص]]+Table11819202324[[#This Row],[قيمة مضافة]]</f>
        <v>0</v>
      </c>
      <c r="M188" s="1">
        <f>M187+Table11819202324[[#This Row],[اجمالي الفاتوره]]-Table11819202324[[#This Row],[الدفعات]]</f>
        <v>110479.34000000003</v>
      </c>
      <c r="O188" s="48"/>
    </row>
    <row r="189" spans="11:15" ht="26.25" customHeight="1" x14ac:dyDescent="0.3">
      <c r="K189" s="1">
        <f>Table11819202324[[#This Row],[النولون]]+Table11819202324[[#This Row],[الايصالات]]-Table11819202324[[#This Row],[خصم أ ت ص]]+Table11819202324[[#This Row],[قيمة مضافة]]</f>
        <v>0</v>
      </c>
      <c r="M189" s="1">
        <f>M188+Table11819202324[[#This Row],[اجمالي الفاتوره]]-Table11819202324[[#This Row],[الدفعات]]</f>
        <v>110479.34000000003</v>
      </c>
      <c r="O189" s="48"/>
    </row>
    <row r="190" spans="11:15" ht="26.25" customHeight="1" x14ac:dyDescent="0.3">
      <c r="K190" s="1">
        <f>Table11819202324[[#This Row],[النولون]]+Table11819202324[[#This Row],[الايصالات]]-Table11819202324[[#This Row],[خصم أ ت ص]]+Table11819202324[[#This Row],[قيمة مضافة]]</f>
        <v>0</v>
      </c>
      <c r="M190" s="1">
        <f>M189+Table11819202324[[#This Row],[اجمالي الفاتوره]]-Table11819202324[[#This Row],[الدفعات]]</f>
        <v>110479.34000000003</v>
      </c>
      <c r="O190" s="48"/>
    </row>
    <row r="191" spans="11:15" ht="26.25" customHeight="1" x14ac:dyDescent="0.3">
      <c r="K191" s="1">
        <f>Table11819202324[[#This Row],[النولون]]+Table11819202324[[#This Row],[الايصالات]]-Table11819202324[[#This Row],[خصم أ ت ص]]+Table11819202324[[#This Row],[قيمة مضافة]]</f>
        <v>0</v>
      </c>
      <c r="M191" s="1">
        <f>M190+Table11819202324[[#This Row],[اجمالي الفاتوره]]-Table11819202324[[#This Row],[الدفعات]]</f>
        <v>110479.34000000003</v>
      </c>
      <c r="O191" s="48"/>
    </row>
    <row r="192" spans="11:15" ht="26.25" customHeight="1" x14ac:dyDescent="0.3">
      <c r="K192" s="1">
        <f>Table11819202324[[#This Row],[النولون]]+Table11819202324[[#This Row],[الايصالات]]-Table11819202324[[#This Row],[خصم أ ت ص]]+Table11819202324[[#This Row],[قيمة مضافة]]</f>
        <v>0</v>
      </c>
      <c r="M192" s="1">
        <f>M191+Table11819202324[[#This Row],[اجمالي الفاتوره]]-Table11819202324[[#This Row],[الدفعات]]</f>
        <v>110479.34000000003</v>
      </c>
      <c r="O192" s="48"/>
    </row>
    <row r="193" spans="11:15" ht="26.25" customHeight="1" x14ac:dyDescent="0.3">
      <c r="K193" s="1">
        <f>Table11819202324[[#This Row],[النولون]]+Table11819202324[[#This Row],[الايصالات]]-Table11819202324[[#This Row],[خصم أ ت ص]]+Table11819202324[[#This Row],[قيمة مضافة]]</f>
        <v>0</v>
      </c>
      <c r="M193" s="1">
        <f>M192+Table11819202324[[#This Row],[اجمالي الفاتوره]]-Table11819202324[[#This Row],[الدفعات]]</f>
        <v>110479.34000000003</v>
      </c>
      <c r="O193" s="48"/>
    </row>
    <row r="194" spans="11:15" ht="26.25" customHeight="1" x14ac:dyDescent="0.3">
      <c r="K194" s="1">
        <f>Table11819202324[[#This Row],[النولون]]+Table11819202324[[#This Row],[الايصالات]]-Table11819202324[[#This Row],[خصم أ ت ص]]+Table11819202324[[#This Row],[قيمة مضافة]]</f>
        <v>0</v>
      </c>
      <c r="M194" s="1">
        <f>M193+Table11819202324[[#This Row],[اجمالي الفاتوره]]-Table11819202324[[#This Row],[الدفعات]]</f>
        <v>110479.34000000003</v>
      </c>
      <c r="O194" s="48"/>
    </row>
    <row r="195" spans="11:15" ht="26.25" customHeight="1" x14ac:dyDescent="0.3">
      <c r="K195" s="1">
        <f>Table11819202324[[#This Row],[النولون]]+Table11819202324[[#This Row],[الايصالات]]-Table11819202324[[#This Row],[خصم أ ت ص]]+Table11819202324[[#This Row],[قيمة مضافة]]</f>
        <v>0</v>
      </c>
      <c r="M195" s="1">
        <f>M194+Table11819202324[[#This Row],[اجمالي الفاتوره]]-Table11819202324[[#This Row],[الدفعات]]</f>
        <v>110479.34000000003</v>
      </c>
      <c r="O195" s="48"/>
    </row>
    <row r="196" spans="11:15" ht="26.25" customHeight="1" x14ac:dyDescent="0.3">
      <c r="K196" s="1">
        <f>Table11819202324[[#This Row],[النولون]]+Table11819202324[[#This Row],[الايصالات]]-Table11819202324[[#This Row],[خصم أ ت ص]]+Table11819202324[[#This Row],[قيمة مضافة]]</f>
        <v>0</v>
      </c>
      <c r="M196" s="1">
        <f>M195+Table11819202324[[#This Row],[اجمالي الفاتوره]]-Table11819202324[[#This Row],[الدفعات]]</f>
        <v>110479.34000000003</v>
      </c>
      <c r="O196" s="48"/>
    </row>
    <row r="197" spans="11:15" ht="26.25" customHeight="1" x14ac:dyDescent="0.3">
      <c r="K197" s="1">
        <f>Table11819202324[[#This Row],[النولون]]+Table11819202324[[#This Row],[الايصالات]]-Table11819202324[[#This Row],[خصم أ ت ص]]+Table11819202324[[#This Row],[قيمة مضافة]]</f>
        <v>0</v>
      </c>
      <c r="M197" s="1">
        <f>M196+Table11819202324[[#This Row],[اجمالي الفاتوره]]-Table11819202324[[#This Row],[الدفعات]]</f>
        <v>110479.34000000003</v>
      </c>
      <c r="O197" s="48"/>
    </row>
    <row r="198" spans="11:15" ht="26.25" customHeight="1" x14ac:dyDescent="0.3">
      <c r="K198" s="1">
        <f>Table11819202324[[#This Row],[النولون]]+Table11819202324[[#This Row],[الايصالات]]-Table11819202324[[#This Row],[خصم أ ت ص]]+Table11819202324[[#This Row],[قيمة مضافة]]</f>
        <v>0</v>
      </c>
      <c r="M198" s="1">
        <f>M197+Table11819202324[[#This Row],[اجمالي الفاتوره]]-Table11819202324[[#This Row],[الدفعات]]</f>
        <v>110479.34000000003</v>
      </c>
      <c r="O198" s="48"/>
    </row>
    <row r="199" spans="11:15" ht="26.25" customHeight="1" x14ac:dyDescent="0.3">
      <c r="K199" s="1">
        <f>Table11819202324[[#This Row],[النولون]]+Table11819202324[[#This Row],[الايصالات]]-Table11819202324[[#This Row],[خصم أ ت ص]]+Table11819202324[[#This Row],[قيمة مضافة]]</f>
        <v>0</v>
      </c>
      <c r="M199" s="1">
        <f>M198+Table11819202324[[#This Row],[اجمالي الفاتوره]]-Table11819202324[[#This Row],[الدفعات]]</f>
        <v>110479.34000000003</v>
      </c>
      <c r="O199" s="48"/>
    </row>
    <row r="200" spans="11:15" ht="26.25" customHeight="1" x14ac:dyDescent="0.3">
      <c r="K200" s="1">
        <f>Table11819202324[[#This Row],[النولون]]+Table11819202324[[#This Row],[الايصالات]]-Table11819202324[[#This Row],[خصم أ ت ص]]+Table11819202324[[#This Row],[قيمة مضافة]]</f>
        <v>0</v>
      </c>
      <c r="M200" s="1">
        <f>M199+Table11819202324[[#This Row],[اجمالي الفاتوره]]-Table11819202324[[#This Row],[الدفعات]]</f>
        <v>110479.34000000003</v>
      </c>
      <c r="O200" s="48"/>
    </row>
    <row r="201" spans="11:15" ht="26.25" customHeight="1" x14ac:dyDescent="0.3">
      <c r="K201" s="1">
        <f>Table11819202324[[#This Row],[النولون]]+Table11819202324[[#This Row],[الايصالات]]-Table11819202324[[#This Row],[خصم أ ت ص]]+Table11819202324[[#This Row],[قيمة مضافة]]</f>
        <v>0</v>
      </c>
      <c r="M201" s="1">
        <f>M200+Table11819202324[[#This Row],[اجمالي الفاتوره]]-Table11819202324[[#This Row],[الدفعات]]</f>
        <v>110479.34000000003</v>
      </c>
      <c r="O201" s="48"/>
    </row>
    <row r="202" spans="11:15" ht="26.25" customHeight="1" x14ac:dyDescent="0.3">
      <c r="K202" s="1">
        <f>Table11819202324[[#This Row],[النولون]]+Table11819202324[[#This Row],[الايصالات]]-Table11819202324[[#This Row],[خصم أ ت ص]]+Table11819202324[[#This Row],[قيمة مضافة]]</f>
        <v>0</v>
      </c>
      <c r="M202" s="1">
        <f>M201+Table11819202324[[#This Row],[اجمالي الفاتوره]]-Table11819202324[[#This Row],[الدفعات]]</f>
        <v>110479.34000000003</v>
      </c>
      <c r="O202" s="48"/>
    </row>
    <row r="203" spans="11:15" ht="26.25" customHeight="1" x14ac:dyDescent="0.3">
      <c r="K203" s="1">
        <f>Table11819202324[[#This Row],[النولون]]+Table11819202324[[#This Row],[الايصالات]]-Table11819202324[[#This Row],[خصم أ ت ص]]+Table11819202324[[#This Row],[قيمة مضافة]]</f>
        <v>0</v>
      </c>
      <c r="M203" s="1">
        <f>M202+Table11819202324[[#This Row],[اجمالي الفاتوره]]-Table11819202324[[#This Row],[الدفعات]]</f>
        <v>110479.34000000003</v>
      </c>
      <c r="O203" s="48"/>
    </row>
    <row r="204" spans="11:15" ht="26.25" customHeight="1" x14ac:dyDescent="0.3">
      <c r="K204" s="1">
        <f>Table11819202324[[#This Row],[النولون]]+Table11819202324[[#This Row],[الايصالات]]-Table11819202324[[#This Row],[خصم أ ت ص]]+Table11819202324[[#This Row],[قيمة مضافة]]</f>
        <v>0</v>
      </c>
      <c r="M204" s="1">
        <f>M203+Table11819202324[[#This Row],[اجمالي الفاتوره]]-Table11819202324[[#This Row],[الدفعات]]</f>
        <v>110479.34000000003</v>
      </c>
      <c r="O204" s="48"/>
    </row>
    <row r="205" spans="11:15" ht="26.25" customHeight="1" x14ac:dyDescent="0.3">
      <c r="K205" s="1">
        <f>Table11819202324[[#This Row],[النولون]]+Table11819202324[[#This Row],[الايصالات]]-Table11819202324[[#This Row],[خصم أ ت ص]]+Table11819202324[[#This Row],[قيمة مضافة]]</f>
        <v>0</v>
      </c>
      <c r="M205" s="1">
        <f>M204+Table11819202324[[#This Row],[اجمالي الفاتوره]]-Table11819202324[[#This Row],[الدفعات]]</f>
        <v>110479.34000000003</v>
      </c>
      <c r="O205" s="48"/>
    </row>
    <row r="206" spans="11:15" ht="26.25" customHeight="1" x14ac:dyDescent="0.3">
      <c r="K206" s="1">
        <f>Table11819202324[[#This Row],[النولون]]+Table11819202324[[#This Row],[الايصالات]]-Table11819202324[[#This Row],[خصم أ ت ص]]+Table11819202324[[#This Row],[قيمة مضافة]]</f>
        <v>0</v>
      </c>
      <c r="M206" s="1">
        <f>M205+Table11819202324[[#This Row],[اجمالي الفاتوره]]-Table11819202324[[#This Row],[الدفعات]]</f>
        <v>110479.34000000003</v>
      </c>
      <c r="O206" s="48"/>
    </row>
    <row r="207" spans="11:15" ht="26.25" customHeight="1" x14ac:dyDescent="0.3">
      <c r="K207" s="1">
        <f>Table11819202324[[#This Row],[النولون]]+Table11819202324[[#This Row],[الايصالات]]-Table11819202324[[#This Row],[خصم أ ت ص]]+Table11819202324[[#This Row],[قيمة مضافة]]</f>
        <v>0</v>
      </c>
      <c r="M207" s="1">
        <f>M206+Table11819202324[[#This Row],[اجمالي الفاتوره]]-Table11819202324[[#This Row],[الدفعات]]</f>
        <v>110479.34000000003</v>
      </c>
      <c r="O207" s="48"/>
    </row>
    <row r="208" spans="11:15" ht="26.25" customHeight="1" x14ac:dyDescent="0.3">
      <c r="K208" s="1">
        <f>Table11819202324[[#This Row],[النولون]]+Table11819202324[[#This Row],[الايصالات]]-Table11819202324[[#This Row],[خصم أ ت ص]]+Table11819202324[[#This Row],[قيمة مضافة]]</f>
        <v>0</v>
      </c>
      <c r="M208" s="1">
        <f>M207+Table11819202324[[#This Row],[اجمالي الفاتوره]]-Table11819202324[[#This Row],[الدفعات]]</f>
        <v>110479.34000000003</v>
      </c>
      <c r="O208" s="48"/>
    </row>
    <row r="209" spans="11:15" ht="26.25" customHeight="1" x14ac:dyDescent="0.3">
      <c r="K209" s="1">
        <f>Table11819202324[[#This Row],[النولون]]+Table11819202324[[#This Row],[الايصالات]]-Table11819202324[[#This Row],[خصم أ ت ص]]+Table11819202324[[#This Row],[قيمة مضافة]]</f>
        <v>0</v>
      </c>
      <c r="M209" s="1">
        <f>M208+Table11819202324[[#This Row],[اجمالي الفاتوره]]-Table11819202324[[#This Row],[الدفعات]]</f>
        <v>110479.34000000003</v>
      </c>
      <c r="O209" s="48"/>
    </row>
    <row r="210" spans="11:15" ht="26.25" customHeight="1" x14ac:dyDescent="0.3">
      <c r="K210" s="1">
        <f>Table11819202324[[#This Row],[النولون]]+Table11819202324[[#This Row],[الايصالات]]-Table11819202324[[#This Row],[خصم أ ت ص]]+Table11819202324[[#This Row],[قيمة مضافة]]</f>
        <v>0</v>
      </c>
      <c r="M210" s="1">
        <f>M209+Table11819202324[[#This Row],[اجمالي الفاتوره]]-Table11819202324[[#This Row],[الدفعات]]</f>
        <v>110479.34000000003</v>
      </c>
      <c r="O210" s="48"/>
    </row>
    <row r="211" spans="11:15" ht="26.25" customHeight="1" x14ac:dyDescent="0.3">
      <c r="K211" s="1">
        <f>Table11819202324[[#This Row],[النولون]]+Table11819202324[[#This Row],[الايصالات]]-Table11819202324[[#This Row],[خصم أ ت ص]]+Table11819202324[[#This Row],[قيمة مضافة]]</f>
        <v>0</v>
      </c>
      <c r="M211" s="1">
        <f>M210+Table11819202324[[#This Row],[اجمالي الفاتوره]]-Table11819202324[[#This Row],[الدفعات]]</f>
        <v>110479.34000000003</v>
      </c>
      <c r="O211" s="48"/>
    </row>
    <row r="212" spans="11:15" ht="26.25" customHeight="1" x14ac:dyDescent="0.3">
      <c r="K212" s="1">
        <f>Table11819202324[[#This Row],[النولون]]+Table11819202324[[#This Row],[الايصالات]]-Table11819202324[[#This Row],[خصم أ ت ص]]+Table11819202324[[#This Row],[قيمة مضافة]]</f>
        <v>0</v>
      </c>
      <c r="M212" s="1">
        <f>M211+Table11819202324[[#This Row],[اجمالي الفاتوره]]-Table11819202324[[#This Row],[الدفعات]]</f>
        <v>110479.34000000003</v>
      </c>
      <c r="O212" s="48"/>
    </row>
    <row r="213" spans="11:15" ht="26.25" customHeight="1" x14ac:dyDescent="0.3">
      <c r="K213" s="1">
        <f>Table11819202324[[#This Row],[النولون]]+Table11819202324[[#This Row],[الايصالات]]-Table11819202324[[#This Row],[خصم أ ت ص]]+Table11819202324[[#This Row],[قيمة مضافة]]</f>
        <v>0</v>
      </c>
      <c r="M213" s="1">
        <f>M212+Table11819202324[[#This Row],[اجمالي الفاتوره]]-Table11819202324[[#This Row],[الدفعات]]</f>
        <v>110479.34000000003</v>
      </c>
      <c r="O213" s="48"/>
    </row>
    <row r="214" spans="11:15" ht="26.25" customHeight="1" x14ac:dyDescent="0.3">
      <c r="K214" s="1">
        <f>Table11819202324[[#This Row],[النولون]]+Table11819202324[[#This Row],[الايصالات]]-Table11819202324[[#This Row],[خصم أ ت ص]]+Table11819202324[[#This Row],[قيمة مضافة]]</f>
        <v>0</v>
      </c>
      <c r="M214" s="1">
        <f>M213+Table11819202324[[#This Row],[اجمالي الفاتوره]]-Table11819202324[[#This Row],[الدفعات]]</f>
        <v>110479.34000000003</v>
      </c>
      <c r="O214" s="48"/>
    </row>
    <row r="215" spans="11:15" ht="26.25" customHeight="1" x14ac:dyDescent="0.3">
      <c r="K215" s="1">
        <f>Table11819202324[[#This Row],[النولون]]+Table11819202324[[#This Row],[الايصالات]]-Table11819202324[[#This Row],[خصم أ ت ص]]+Table11819202324[[#This Row],[قيمة مضافة]]</f>
        <v>0</v>
      </c>
      <c r="M215" s="1">
        <f>M214+Table11819202324[[#This Row],[اجمالي الفاتوره]]-Table11819202324[[#This Row],[الدفعات]]</f>
        <v>110479.34000000003</v>
      </c>
      <c r="O215" s="48"/>
    </row>
    <row r="216" spans="11:15" ht="26.25" customHeight="1" x14ac:dyDescent="0.3">
      <c r="K216" s="1">
        <f>Table11819202324[[#This Row],[النولون]]+Table11819202324[[#This Row],[الايصالات]]-Table11819202324[[#This Row],[خصم أ ت ص]]+Table11819202324[[#This Row],[قيمة مضافة]]</f>
        <v>0</v>
      </c>
      <c r="M216" s="1">
        <f>M215+Table11819202324[[#This Row],[اجمالي الفاتوره]]-Table11819202324[[#This Row],[الدفعات]]</f>
        <v>110479.34000000003</v>
      </c>
      <c r="O216" s="48"/>
    </row>
    <row r="217" spans="11:15" ht="26.25" customHeight="1" x14ac:dyDescent="0.3">
      <c r="K217" s="1">
        <f>Table11819202324[[#This Row],[النولون]]+Table11819202324[[#This Row],[الايصالات]]-Table11819202324[[#This Row],[خصم أ ت ص]]+Table11819202324[[#This Row],[قيمة مضافة]]</f>
        <v>0</v>
      </c>
      <c r="M217" s="1">
        <f>M216+Table11819202324[[#This Row],[اجمالي الفاتوره]]-Table11819202324[[#This Row],[الدفعات]]</f>
        <v>110479.34000000003</v>
      </c>
      <c r="O217" s="48"/>
    </row>
    <row r="218" spans="11:15" ht="26.25" customHeight="1" x14ac:dyDescent="0.3">
      <c r="K218" s="1">
        <f>Table11819202324[[#This Row],[النولون]]+Table11819202324[[#This Row],[الايصالات]]-Table11819202324[[#This Row],[خصم أ ت ص]]+Table11819202324[[#This Row],[قيمة مضافة]]</f>
        <v>0</v>
      </c>
      <c r="M218" s="1">
        <f>M217+Table11819202324[[#This Row],[اجمالي الفاتوره]]-Table11819202324[[#This Row],[الدفعات]]</f>
        <v>110479.34000000003</v>
      </c>
      <c r="O218" s="48"/>
    </row>
    <row r="219" spans="11:15" ht="26.25" customHeight="1" x14ac:dyDescent="0.3">
      <c r="K219" s="1">
        <f>Table11819202324[[#This Row],[النولون]]+Table11819202324[[#This Row],[الايصالات]]-Table11819202324[[#This Row],[خصم أ ت ص]]+Table11819202324[[#This Row],[قيمة مضافة]]</f>
        <v>0</v>
      </c>
      <c r="M219" s="1">
        <f>M218+Table11819202324[[#This Row],[اجمالي الفاتوره]]-Table11819202324[[#This Row],[الدفعات]]</f>
        <v>110479.34000000003</v>
      </c>
      <c r="O219" s="48"/>
    </row>
    <row r="220" spans="11:15" ht="26.25" customHeight="1" x14ac:dyDescent="0.3">
      <c r="K220" s="1">
        <f>Table11819202324[[#This Row],[النولون]]+Table11819202324[[#This Row],[الايصالات]]-Table11819202324[[#This Row],[خصم أ ت ص]]+Table11819202324[[#This Row],[قيمة مضافة]]</f>
        <v>0</v>
      </c>
      <c r="M220" s="1">
        <f>M219+Table11819202324[[#This Row],[اجمالي الفاتوره]]-Table11819202324[[#This Row],[الدفعات]]</f>
        <v>110479.34000000003</v>
      </c>
      <c r="O220" s="48"/>
    </row>
    <row r="221" spans="11:15" ht="26.25" customHeight="1" x14ac:dyDescent="0.3">
      <c r="K221" s="1">
        <f>Table11819202324[[#This Row],[النولون]]+Table11819202324[[#This Row],[الايصالات]]-Table11819202324[[#This Row],[خصم أ ت ص]]+Table11819202324[[#This Row],[قيمة مضافة]]</f>
        <v>0</v>
      </c>
      <c r="M221" s="1">
        <f>M220+Table11819202324[[#This Row],[اجمالي الفاتوره]]-Table11819202324[[#This Row],[الدفعات]]</f>
        <v>110479.34000000003</v>
      </c>
      <c r="O221" s="48"/>
    </row>
    <row r="222" spans="11:15" ht="26.25" customHeight="1" x14ac:dyDescent="0.3">
      <c r="K222" s="1">
        <f>Table11819202324[[#This Row],[النولون]]+Table11819202324[[#This Row],[الايصالات]]-Table11819202324[[#This Row],[خصم أ ت ص]]+Table11819202324[[#This Row],[قيمة مضافة]]</f>
        <v>0</v>
      </c>
      <c r="M222" s="1">
        <f>M221+Table11819202324[[#This Row],[اجمالي الفاتوره]]-Table11819202324[[#This Row],[الدفعات]]</f>
        <v>110479.34000000003</v>
      </c>
      <c r="O222" s="48"/>
    </row>
    <row r="223" spans="11:15" ht="26.25" customHeight="1" x14ac:dyDescent="0.3">
      <c r="K223" s="1">
        <f>Table11819202324[[#This Row],[النولون]]+Table11819202324[[#This Row],[الايصالات]]-Table11819202324[[#This Row],[خصم أ ت ص]]+Table11819202324[[#This Row],[قيمة مضافة]]</f>
        <v>0</v>
      </c>
      <c r="M223" s="1">
        <f>M222+Table11819202324[[#This Row],[اجمالي الفاتوره]]-Table11819202324[[#This Row],[الدفعات]]</f>
        <v>110479.34000000003</v>
      </c>
      <c r="O223" s="48"/>
    </row>
    <row r="224" spans="11:15" ht="26.25" customHeight="1" x14ac:dyDescent="0.3">
      <c r="K224" s="1">
        <f>Table11819202324[[#This Row],[النولون]]+Table11819202324[[#This Row],[الايصالات]]-Table11819202324[[#This Row],[خصم أ ت ص]]+Table11819202324[[#This Row],[قيمة مضافة]]</f>
        <v>0</v>
      </c>
      <c r="M224" s="1">
        <f>M223+Table11819202324[[#This Row],[اجمالي الفاتوره]]-Table11819202324[[#This Row],[الدفعات]]</f>
        <v>110479.34000000003</v>
      </c>
      <c r="O224" s="48"/>
    </row>
    <row r="225" spans="11:15" ht="26.25" customHeight="1" x14ac:dyDescent="0.3">
      <c r="K225" s="1">
        <f>Table11819202324[[#This Row],[النولون]]+Table11819202324[[#This Row],[الايصالات]]-Table11819202324[[#This Row],[خصم أ ت ص]]+Table11819202324[[#This Row],[قيمة مضافة]]</f>
        <v>0</v>
      </c>
      <c r="M225" s="1">
        <f>M224+Table11819202324[[#This Row],[اجمالي الفاتوره]]-Table11819202324[[#This Row],[الدفعات]]</f>
        <v>110479.34000000003</v>
      </c>
      <c r="O225" s="48"/>
    </row>
    <row r="226" spans="11:15" ht="26.25" customHeight="1" x14ac:dyDescent="0.3">
      <c r="K226" s="1">
        <f>Table11819202324[[#This Row],[النولون]]+Table11819202324[[#This Row],[الايصالات]]-Table11819202324[[#This Row],[خصم أ ت ص]]+Table11819202324[[#This Row],[قيمة مضافة]]</f>
        <v>0</v>
      </c>
      <c r="M226" s="1">
        <f>M225+Table11819202324[[#This Row],[اجمالي الفاتوره]]-Table11819202324[[#This Row],[الدفعات]]</f>
        <v>110479.34000000003</v>
      </c>
      <c r="O226" s="48"/>
    </row>
    <row r="227" spans="11:15" ht="26.25" customHeight="1" x14ac:dyDescent="0.3">
      <c r="K227" s="1">
        <f>Table11819202324[[#This Row],[النولون]]+Table11819202324[[#This Row],[الايصالات]]-Table11819202324[[#This Row],[خصم أ ت ص]]+Table11819202324[[#This Row],[قيمة مضافة]]</f>
        <v>0</v>
      </c>
      <c r="M227" s="1">
        <f>M226+Table11819202324[[#This Row],[اجمالي الفاتوره]]-Table11819202324[[#This Row],[الدفعات]]</f>
        <v>110479.34000000003</v>
      </c>
      <c r="O227" s="48"/>
    </row>
    <row r="228" spans="11:15" ht="26.25" customHeight="1" x14ac:dyDescent="0.3">
      <c r="K228" s="1">
        <f>Table11819202324[[#This Row],[النولون]]+Table11819202324[[#This Row],[الايصالات]]-Table11819202324[[#This Row],[خصم أ ت ص]]+Table11819202324[[#This Row],[قيمة مضافة]]</f>
        <v>0</v>
      </c>
      <c r="M228" s="1">
        <f>M227+Table11819202324[[#This Row],[اجمالي الفاتوره]]-Table11819202324[[#This Row],[الدفعات]]</f>
        <v>110479.34000000003</v>
      </c>
      <c r="O228" s="48"/>
    </row>
    <row r="229" spans="11:15" ht="26.25" customHeight="1" x14ac:dyDescent="0.3">
      <c r="K229" s="1">
        <f>Table11819202324[[#This Row],[النولون]]+Table11819202324[[#This Row],[الايصالات]]-Table11819202324[[#This Row],[خصم أ ت ص]]+Table11819202324[[#This Row],[قيمة مضافة]]</f>
        <v>0</v>
      </c>
      <c r="M229" s="1">
        <f>M228+Table11819202324[[#This Row],[اجمالي الفاتوره]]-Table11819202324[[#This Row],[الدفعات]]</f>
        <v>110479.34000000003</v>
      </c>
      <c r="O229" s="48"/>
    </row>
    <row r="230" spans="11:15" ht="26.25" customHeight="1" x14ac:dyDescent="0.3">
      <c r="K230" s="1">
        <f>Table11819202324[[#This Row],[النولون]]+Table11819202324[[#This Row],[الايصالات]]-Table11819202324[[#This Row],[خصم أ ت ص]]+Table11819202324[[#This Row],[قيمة مضافة]]</f>
        <v>0</v>
      </c>
      <c r="M230" s="1">
        <f>M229+Table11819202324[[#This Row],[اجمالي الفاتوره]]-Table11819202324[[#This Row],[الدفعات]]</f>
        <v>110479.34000000003</v>
      </c>
      <c r="O230" s="48"/>
    </row>
    <row r="231" spans="11:15" ht="26.25" customHeight="1" x14ac:dyDescent="0.3">
      <c r="K231" s="1">
        <f>Table11819202324[[#This Row],[النولون]]+Table11819202324[[#This Row],[الايصالات]]-Table11819202324[[#This Row],[خصم أ ت ص]]+Table11819202324[[#This Row],[قيمة مضافة]]</f>
        <v>0</v>
      </c>
      <c r="M231" s="1">
        <f>M230+Table11819202324[[#This Row],[اجمالي الفاتوره]]-Table11819202324[[#This Row],[الدفعات]]</f>
        <v>110479.34000000003</v>
      </c>
      <c r="O231" s="48"/>
    </row>
    <row r="232" spans="11:15" ht="26.25" customHeight="1" x14ac:dyDescent="0.3">
      <c r="K232" s="1">
        <f>Table11819202324[[#This Row],[النولون]]+Table11819202324[[#This Row],[الايصالات]]-Table11819202324[[#This Row],[خصم أ ت ص]]+Table11819202324[[#This Row],[قيمة مضافة]]</f>
        <v>0</v>
      </c>
      <c r="M232" s="1">
        <f>M231+Table11819202324[[#This Row],[اجمالي الفاتوره]]-Table11819202324[[#This Row],[الدفعات]]</f>
        <v>110479.34000000003</v>
      </c>
      <c r="O232" s="48"/>
    </row>
    <row r="233" spans="11:15" ht="26.25" customHeight="1" x14ac:dyDescent="0.3">
      <c r="K233" s="1">
        <f>Table11819202324[[#This Row],[النولون]]+Table11819202324[[#This Row],[الايصالات]]-Table11819202324[[#This Row],[خصم أ ت ص]]+Table11819202324[[#This Row],[قيمة مضافة]]</f>
        <v>0</v>
      </c>
      <c r="M233" s="1">
        <f>M232+Table11819202324[[#This Row],[اجمالي الفاتوره]]-Table11819202324[[#This Row],[الدفعات]]</f>
        <v>110479.34000000003</v>
      </c>
      <c r="O233" s="48"/>
    </row>
    <row r="234" spans="11:15" ht="26.25" customHeight="1" x14ac:dyDescent="0.3">
      <c r="K234" s="1">
        <f>Table11819202324[[#This Row],[النولون]]+Table11819202324[[#This Row],[الايصالات]]-Table11819202324[[#This Row],[خصم أ ت ص]]+Table11819202324[[#This Row],[قيمة مضافة]]</f>
        <v>0</v>
      </c>
      <c r="M234" s="1">
        <f>M233+Table11819202324[[#This Row],[اجمالي الفاتوره]]-Table11819202324[[#This Row],[الدفعات]]</f>
        <v>110479.34000000003</v>
      </c>
      <c r="O234" s="48"/>
    </row>
    <row r="235" spans="11:15" ht="26.25" customHeight="1" x14ac:dyDescent="0.3">
      <c r="K235" s="1">
        <f>Table11819202324[[#This Row],[النولون]]+Table11819202324[[#This Row],[الايصالات]]-Table11819202324[[#This Row],[خصم أ ت ص]]+Table11819202324[[#This Row],[قيمة مضافة]]</f>
        <v>0</v>
      </c>
      <c r="M235" s="1">
        <f>M234+Table11819202324[[#This Row],[اجمالي الفاتوره]]-Table11819202324[[#This Row],[الدفعات]]</f>
        <v>110479.34000000003</v>
      </c>
      <c r="O235" s="48"/>
    </row>
    <row r="236" spans="11:15" ht="26.25" customHeight="1" x14ac:dyDescent="0.3">
      <c r="K236" s="1">
        <f>Table11819202324[[#This Row],[النولون]]+Table11819202324[[#This Row],[الايصالات]]-Table11819202324[[#This Row],[خصم أ ت ص]]+Table11819202324[[#This Row],[قيمة مضافة]]</f>
        <v>0</v>
      </c>
      <c r="M236" s="1">
        <f>M235+Table11819202324[[#This Row],[اجمالي الفاتوره]]-Table11819202324[[#This Row],[الدفعات]]</f>
        <v>110479.34000000003</v>
      </c>
      <c r="O236" s="48"/>
    </row>
    <row r="237" spans="11:15" ht="26.25" customHeight="1" x14ac:dyDescent="0.3">
      <c r="K237" s="1">
        <f>Table11819202324[[#This Row],[النولون]]+Table11819202324[[#This Row],[الايصالات]]-Table11819202324[[#This Row],[خصم أ ت ص]]+Table11819202324[[#This Row],[قيمة مضافة]]</f>
        <v>0</v>
      </c>
      <c r="M237" s="1">
        <f>M236+Table11819202324[[#This Row],[اجمالي الفاتوره]]-Table11819202324[[#This Row],[الدفعات]]</f>
        <v>110479.34000000003</v>
      </c>
      <c r="O237" s="48"/>
    </row>
    <row r="238" spans="11:15" ht="26.25" customHeight="1" x14ac:dyDescent="0.3">
      <c r="K238" s="1">
        <f>Table11819202324[[#This Row],[النولون]]+Table11819202324[[#This Row],[الايصالات]]-Table11819202324[[#This Row],[خصم أ ت ص]]+Table11819202324[[#This Row],[قيمة مضافة]]</f>
        <v>0</v>
      </c>
      <c r="M238" s="1">
        <f>M237+Table11819202324[[#This Row],[اجمالي الفاتوره]]-Table11819202324[[#This Row],[الدفعات]]</f>
        <v>110479.34000000003</v>
      </c>
      <c r="O238" s="48"/>
    </row>
    <row r="239" spans="11:15" ht="26.25" customHeight="1" x14ac:dyDescent="0.3">
      <c r="K239" s="1">
        <f>Table11819202324[[#This Row],[النولون]]+Table11819202324[[#This Row],[الايصالات]]-Table11819202324[[#This Row],[خصم أ ت ص]]+Table11819202324[[#This Row],[قيمة مضافة]]</f>
        <v>0</v>
      </c>
      <c r="M239" s="1">
        <f>M238+Table11819202324[[#This Row],[اجمالي الفاتوره]]-Table11819202324[[#This Row],[الدفعات]]</f>
        <v>110479.34000000003</v>
      </c>
      <c r="O239" s="48"/>
    </row>
    <row r="240" spans="11:15" ht="26.25" customHeight="1" x14ac:dyDescent="0.3">
      <c r="K240" s="1">
        <f>Table11819202324[[#This Row],[النولون]]+Table11819202324[[#This Row],[الايصالات]]-Table11819202324[[#This Row],[خصم أ ت ص]]+Table11819202324[[#This Row],[قيمة مضافة]]</f>
        <v>0</v>
      </c>
      <c r="M240" s="1">
        <f>M239+Table11819202324[[#This Row],[اجمالي الفاتوره]]-Table11819202324[[#This Row],[الدفعات]]</f>
        <v>110479.34000000003</v>
      </c>
      <c r="O240" s="48"/>
    </row>
    <row r="241" spans="11:15" ht="26.25" customHeight="1" x14ac:dyDescent="0.3">
      <c r="K241" s="1">
        <f>Table11819202324[[#This Row],[النولون]]+Table11819202324[[#This Row],[الايصالات]]-Table11819202324[[#This Row],[خصم أ ت ص]]+Table11819202324[[#This Row],[قيمة مضافة]]</f>
        <v>0</v>
      </c>
      <c r="M241" s="1">
        <f>M240+Table11819202324[[#This Row],[اجمالي الفاتوره]]-Table11819202324[[#This Row],[الدفعات]]</f>
        <v>110479.34000000003</v>
      </c>
      <c r="O241" s="48"/>
    </row>
    <row r="242" spans="11:15" ht="26.25" customHeight="1" x14ac:dyDescent="0.3">
      <c r="K242" s="1">
        <f>Table11819202324[[#This Row],[النولون]]+Table11819202324[[#This Row],[الايصالات]]-Table11819202324[[#This Row],[خصم أ ت ص]]+Table11819202324[[#This Row],[قيمة مضافة]]</f>
        <v>0</v>
      </c>
      <c r="M242" s="1">
        <f>M241+Table11819202324[[#This Row],[اجمالي الفاتوره]]-Table11819202324[[#This Row],[الدفعات]]</f>
        <v>110479.34000000003</v>
      </c>
      <c r="O242" s="48"/>
    </row>
    <row r="243" spans="11:15" ht="26.25" customHeight="1" x14ac:dyDescent="0.3">
      <c r="K243" s="1">
        <f>Table11819202324[[#This Row],[النولون]]+Table11819202324[[#This Row],[الايصالات]]-Table11819202324[[#This Row],[خصم أ ت ص]]+Table11819202324[[#This Row],[قيمة مضافة]]</f>
        <v>0</v>
      </c>
      <c r="M243" s="1">
        <f>M242+Table11819202324[[#This Row],[اجمالي الفاتوره]]-Table11819202324[[#This Row],[الدفعات]]</f>
        <v>110479.34000000003</v>
      </c>
      <c r="O243" s="48"/>
    </row>
    <row r="244" spans="11:15" ht="26.25" customHeight="1" x14ac:dyDescent="0.3">
      <c r="K244" s="1">
        <f>Table11819202324[[#This Row],[النولون]]+Table11819202324[[#This Row],[الايصالات]]-Table11819202324[[#This Row],[خصم أ ت ص]]+Table11819202324[[#This Row],[قيمة مضافة]]</f>
        <v>0</v>
      </c>
      <c r="M244" s="1">
        <f>M243+Table11819202324[[#This Row],[اجمالي الفاتوره]]-Table11819202324[[#This Row],[الدفعات]]</f>
        <v>110479.34000000003</v>
      </c>
      <c r="O244" s="48"/>
    </row>
    <row r="245" spans="11:15" ht="26.25" customHeight="1" x14ac:dyDescent="0.3">
      <c r="K245" s="1">
        <f>Table11819202324[[#This Row],[النولون]]+Table11819202324[[#This Row],[الايصالات]]-Table11819202324[[#This Row],[خصم أ ت ص]]+Table11819202324[[#This Row],[قيمة مضافة]]</f>
        <v>0</v>
      </c>
      <c r="M245" s="1">
        <f>M244+Table11819202324[[#This Row],[اجمالي الفاتوره]]-Table11819202324[[#This Row],[الدفعات]]</f>
        <v>110479.34000000003</v>
      </c>
      <c r="O245" s="48"/>
    </row>
    <row r="246" spans="11:15" ht="26.25" customHeight="1" x14ac:dyDescent="0.3">
      <c r="K246" s="1">
        <f>Table11819202324[[#This Row],[النولون]]+Table11819202324[[#This Row],[الايصالات]]-Table11819202324[[#This Row],[خصم أ ت ص]]+Table11819202324[[#This Row],[قيمة مضافة]]</f>
        <v>0</v>
      </c>
      <c r="M246" s="1">
        <f>M245+Table11819202324[[#This Row],[اجمالي الفاتوره]]-Table11819202324[[#This Row],[الدفعات]]</f>
        <v>110479.34000000003</v>
      </c>
      <c r="O246" s="48"/>
    </row>
    <row r="247" spans="11:15" ht="26.25" customHeight="1" x14ac:dyDescent="0.3">
      <c r="K247" s="1">
        <f>Table11819202324[[#This Row],[النولون]]+Table11819202324[[#This Row],[الايصالات]]-Table11819202324[[#This Row],[خصم أ ت ص]]+Table11819202324[[#This Row],[قيمة مضافة]]</f>
        <v>0</v>
      </c>
      <c r="M247" s="1">
        <f>M246+Table11819202324[[#This Row],[اجمالي الفاتوره]]-Table11819202324[[#This Row],[الدفعات]]</f>
        <v>110479.34000000003</v>
      </c>
      <c r="O247" s="48"/>
    </row>
    <row r="248" spans="11:15" ht="26.25" customHeight="1" x14ac:dyDescent="0.3">
      <c r="K248" s="1">
        <f>Table11819202324[[#This Row],[النولون]]+Table11819202324[[#This Row],[الايصالات]]-Table11819202324[[#This Row],[خصم أ ت ص]]+Table11819202324[[#This Row],[قيمة مضافة]]</f>
        <v>0</v>
      </c>
      <c r="M248" s="1">
        <f>M247+Table11819202324[[#This Row],[اجمالي الفاتوره]]-Table11819202324[[#This Row],[الدفعات]]</f>
        <v>110479.34000000003</v>
      </c>
      <c r="O248" s="48"/>
    </row>
    <row r="249" spans="11:15" ht="26.25" customHeight="1" x14ac:dyDescent="0.3">
      <c r="K249" s="1">
        <f>Table11819202324[[#This Row],[النولون]]+Table11819202324[[#This Row],[الايصالات]]-Table11819202324[[#This Row],[خصم أ ت ص]]+Table11819202324[[#This Row],[قيمة مضافة]]</f>
        <v>0</v>
      </c>
      <c r="M249" s="1">
        <f>M248+Table11819202324[[#This Row],[اجمالي الفاتوره]]-Table11819202324[[#This Row],[الدفعات]]</f>
        <v>110479.34000000003</v>
      </c>
      <c r="O249" s="48"/>
    </row>
    <row r="250" spans="11:15" ht="26.25" customHeight="1" x14ac:dyDescent="0.3">
      <c r="K250" s="1">
        <f>Table11819202324[[#This Row],[النولون]]+Table11819202324[[#This Row],[الايصالات]]-Table11819202324[[#This Row],[خصم أ ت ص]]+Table11819202324[[#This Row],[قيمة مضافة]]</f>
        <v>0</v>
      </c>
      <c r="M250" s="1">
        <f>M249+Table11819202324[[#This Row],[اجمالي الفاتوره]]-Table11819202324[[#This Row],[الدفعات]]</f>
        <v>110479.34000000003</v>
      </c>
      <c r="O250" s="48"/>
    </row>
    <row r="251" spans="11:15" ht="26.25" customHeight="1" x14ac:dyDescent="0.3">
      <c r="K251" s="1">
        <f>Table11819202324[[#This Row],[النولون]]+Table11819202324[[#This Row],[الايصالات]]-Table11819202324[[#This Row],[خصم أ ت ص]]+Table11819202324[[#This Row],[قيمة مضافة]]</f>
        <v>0</v>
      </c>
      <c r="M251" s="1">
        <f>M250+Table11819202324[[#This Row],[اجمالي الفاتوره]]-Table11819202324[[#This Row],[الدفعات]]</f>
        <v>110479.34000000003</v>
      </c>
      <c r="O251" s="48"/>
    </row>
    <row r="252" spans="11:15" ht="26.25" customHeight="1" x14ac:dyDescent="0.3">
      <c r="K252" s="1">
        <f>Table11819202324[[#This Row],[النولون]]+Table11819202324[[#This Row],[الايصالات]]-Table11819202324[[#This Row],[خصم أ ت ص]]+Table11819202324[[#This Row],[قيمة مضافة]]</f>
        <v>0</v>
      </c>
      <c r="M252" s="1">
        <f>M251+Table11819202324[[#This Row],[اجمالي الفاتوره]]-Table11819202324[[#This Row],[الدفعات]]</f>
        <v>110479.34000000003</v>
      </c>
      <c r="O252" s="48"/>
    </row>
    <row r="253" spans="11:15" ht="26.25" customHeight="1" x14ac:dyDescent="0.3">
      <c r="K253" s="1">
        <f>Table11819202324[[#This Row],[النولون]]+Table11819202324[[#This Row],[الايصالات]]-Table11819202324[[#This Row],[خصم أ ت ص]]+Table11819202324[[#This Row],[قيمة مضافة]]</f>
        <v>0</v>
      </c>
      <c r="M253" s="1">
        <f>M252+Table11819202324[[#This Row],[اجمالي الفاتوره]]-Table11819202324[[#This Row],[الدفعات]]</f>
        <v>110479.34000000003</v>
      </c>
      <c r="O253" s="48"/>
    </row>
    <row r="254" spans="11:15" ht="26.25" customHeight="1" x14ac:dyDescent="0.3">
      <c r="K254" s="1">
        <f>Table11819202324[[#This Row],[النولون]]+Table11819202324[[#This Row],[الايصالات]]-Table11819202324[[#This Row],[خصم أ ت ص]]+Table11819202324[[#This Row],[قيمة مضافة]]</f>
        <v>0</v>
      </c>
      <c r="M254" s="1">
        <f>M253+Table11819202324[[#This Row],[اجمالي الفاتوره]]-Table11819202324[[#This Row],[الدفعات]]</f>
        <v>110479.34000000003</v>
      </c>
      <c r="O254" s="48"/>
    </row>
    <row r="255" spans="11:15" ht="26.25" customHeight="1" x14ac:dyDescent="0.3">
      <c r="K255" s="1">
        <f>Table11819202324[[#This Row],[النولون]]+Table11819202324[[#This Row],[الايصالات]]-Table11819202324[[#This Row],[خصم أ ت ص]]+Table11819202324[[#This Row],[قيمة مضافة]]</f>
        <v>0</v>
      </c>
      <c r="M255" s="1">
        <f>M254+Table11819202324[[#This Row],[اجمالي الفاتوره]]-Table11819202324[[#This Row],[الدفعات]]</f>
        <v>110479.34000000003</v>
      </c>
      <c r="O255" s="48"/>
    </row>
    <row r="256" spans="11:15" ht="26.25" customHeight="1" x14ac:dyDescent="0.3">
      <c r="K256" s="1">
        <f>Table11819202324[[#This Row],[النولون]]+Table11819202324[[#This Row],[الايصالات]]-Table11819202324[[#This Row],[خصم أ ت ص]]+Table11819202324[[#This Row],[قيمة مضافة]]</f>
        <v>0</v>
      </c>
      <c r="M256" s="1">
        <f>M255+Table11819202324[[#This Row],[اجمالي الفاتوره]]-Table11819202324[[#This Row],[الدفعات]]</f>
        <v>110479.34000000003</v>
      </c>
      <c r="O256" s="48"/>
    </row>
    <row r="257" spans="11:15" ht="26.25" customHeight="1" x14ac:dyDescent="0.3">
      <c r="K257" s="1">
        <f>Table11819202324[[#This Row],[النولون]]+Table11819202324[[#This Row],[الايصالات]]-Table11819202324[[#This Row],[خصم أ ت ص]]+Table11819202324[[#This Row],[قيمة مضافة]]</f>
        <v>0</v>
      </c>
      <c r="M257" s="1">
        <f>M256+Table11819202324[[#This Row],[اجمالي الفاتوره]]-Table11819202324[[#This Row],[الدفعات]]</f>
        <v>110479.34000000003</v>
      </c>
      <c r="O257" s="48"/>
    </row>
    <row r="258" spans="11:15" ht="26.25" customHeight="1" x14ac:dyDescent="0.3">
      <c r="K258" s="1">
        <f>Table11819202324[[#This Row],[النولون]]+Table11819202324[[#This Row],[الايصالات]]-Table11819202324[[#This Row],[خصم أ ت ص]]+Table11819202324[[#This Row],[قيمة مضافة]]</f>
        <v>0</v>
      </c>
      <c r="M258" s="1">
        <f>M257+Table11819202324[[#This Row],[اجمالي الفاتوره]]-Table11819202324[[#This Row],[الدفعات]]</f>
        <v>110479.34000000003</v>
      </c>
      <c r="O258" s="48"/>
    </row>
    <row r="259" spans="11:15" ht="26.25" customHeight="1" x14ac:dyDescent="0.3">
      <c r="K259" s="1">
        <f>Table11819202324[[#This Row],[النولون]]+Table11819202324[[#This Row],[الايصالات]]-Table11819202324[[#This Row],[خصم أ ت ص]]+Table11819202324[[#This Row],[قيمة مضافة]]</f>
        <v>0</v>
      </c>
      <c r="M259" s="1">
        <f>M258+Table11819202324[[#This Row],[اجمالي الفاتوره]]-Table11819202324[[#This Row],[الدفعات]]</f>
        <v>110479.34000000003</v>
      </c>
      <c r="O259" s="48"/>
    </row>
    <row r="260" spans="11:15" ht="26.25" customHeight="1" x14ac:dyDescent="0.3">
      <c r="K260" s="1">
        <f>Table11819202324[[#This Row],[النولون]]+Table11819202324[[#This Row],[الايصالات]]-Table11819202324[[#This Row],[خصم أ ت ص]]+Table11819202324[[#This Row],[قيمة مضافة]]</f>
        <v>0</v>
      </c>
      <c r="M260" s="1">
        <f>M259+Table11819202324[[#This Row],[اجمالي الفاتوره]]-Table11819202324[[#This Row],[الدفعات]]</f>
        <v>110479.34000000003</v>
      </c>
      <c r="O260" s="48"/>
    </row>
    <row r="261" spans="11:15" ht="26.25" customHeight="1" x14ac:dyDescent="0.3">
      <c r="K261" s="1">
        <f>Table11819202324[[#This Row],[النولون]]+Table11819202324[[#This Row],[الايصالات]]-Table11819202324[[#This Row],[خصم أ ت ص]]+Table11819202324[[#This Row],[قيمة مضافة]]</f>
        <v>0</v>
      </c>
      <c r="M261" s="1">
        <f>M260+Table11819202324[[#This Row],[اجمالي الفاتوره]]-Table11819202324[[#This Row],[الدفعات]]</f>
        <v>110479.34000000003</v>
      </c>
      <c r="O261" s="48"/>
    </row>
    <row r="262" spans="11:15" ht="26.25" customHeight="1" x14ac:dyDescent="0.3">
      <c r="K262" s="1">
        <f>Table11819202324[[#This Row],[النولون]]+Table11819202324[[#This Row],[الايصالات]]-Table11819202324[[#This Row],[خصم أ ت ص]]+Table11819202324[[#This Row],[قيمة مضافة]]</f>
        <v>0</v>
      </c>
      <c r="M262" s="1">
        <f>M261+Table11819202324[[#This Row],[اجمالي الفاتوره]]-Table11819202324[[#This Row],[الدفعات]]</f>
        <v>110479.34000000003</v>
      </c>
      <c r="O262" s="48"/>
    </row>
    <row r="263" spans="11:15" ht="26.25" customHeight="1" x14ac:dyDescent="0.3">
      <c r="K263" s="1">
        <f>Table11819202324[[#This Row],[النولون]]+Table11819202324[[#This Row],[الايصالات]]-Table11819202324[[#This Row],[خصم أ ت ص]]+Table11819202324[[#This Row],[قيمة مضافة]]</f>
        <v>0</v>
      </c>
      <c r="M263" s="1">
        <f>M262+Table11819202324[[#This Row],[اجمالي الفاتوره]]-Table11819202324[[#This Row],[الدفعات]]</f>
        <v>110479.34000000003</v>
      </c>
      <c r="O263" s="48"/>
    </row>
    <row r="264" spans="11:15" ht="26.25" customHeight="1" x14ac:dyDescent="0.3">
      <c r="K264" s="1">
        <f>Table11819202324[[#This Row],[النولون]]+Table11819202324[[#This Row],[الايصالات]]-Table11819202324[[#This Row],[خصم أ ت ص]]+Table11819202324[[#This Row],[قيمة مضافة]]</f>
        <v>0</v>
      </c>
      <c r="M264" s="1">
        <f>M263+Table11819202324[[#This Row],[اجمالي الفاتوره]]-Table11819202324[[#This Row],[الدفعات]]</f>
        <v>110479.34000000003</v>
      </c>
      <c r="O264" s="48"/>
    </row>
    <row r="265" spans="11:15" ht="26.25" customHeight="1" x14ac:dyDescent="0.3">
      <c r="K265" s="1">
        <f>Table11819202324[[#This Row],[النولون]]+Table11819202324[[#This Row],[الايصالات]]-Table11819202324[[#This Row],[خصم أ ت ص]]+Table11819202324[[#This Row],[قيمة مضافة]]</f>
        <v>0</v>
      </c>
      <c r="M265" s="1">
        <f>M264+Table11819202324[[#This Row],[اجمالي الفاتوره]]-Table11819202324[[#This Row],[الدفعات]]</f>
        <v>110479.34000000003</v>
      </c>
      <c r="O265" s="48"/>
    </row>
    <row r="266" spans="11:15" ht="26.25" customHeight="1" x14ac:dyDescent="0.3">
      <c r="K266" s="1">
        <f>Table11819202324[[#This Row],[النولون]]+Table11819202324[[#This Row],[الايصالات]]-Table11819202324[[#This Row],[خصم أ ت ص]]+Table11819202324[[#This Row],[قيمة مضافة]]</f>
        <v>0</v>
      </c>
      <c r="M266" s="1">
        <f>M265+Table11819202324[[#This Row],[اجمالي الفاتوره]]-Table11819202324[[#This Row],[الدفعات]]</f>
        <v>110479.34000000003</v>
      </c>
      <c r="O266" s="48"/>
    </row>
    <row r="267" spans="11:15" ht="26.25" customHeight="1" x14ac:dyDescent="0.3">
      <c r="K267" s="1">
        <f>Table11819202324[[#This Row],[النولون]]+Table11819202324[[#This Row],[الايصالات]]-Table11819202324[[#This Row],[خصم أ ت ص]]+Table11819202324[[#This Row],[قيمة مضافة]]</f>
        <v>0</v>
      </c>
      <c r="M267" s="1">
        <f>M266+Table11819202324[[#This Row],[اجمالي الفاتوره]]-Table11819202324[[#This Row],[الدفعات]]</f>
        <v>110479.34000000003</v>
      </c>
      <c r="O267" s="48"/>
    </row>
    <row r="268" spans="11:15" ht="26.25" customHeight="1" x14ac:dyDescent="0.3">
      <c r="K268" s="1">
        <f>Table11819202324[[#This Row],[النولون]]+Table11819202324[[#This Row],[الايصالات]]-Table11819202324[[#This Row],[خصم أ ت ص]]+Table11819202324[[#This Row],[قيمة مضافة]]</f>
        <v>0</v>
      </c>
      <c r="M268" s="1">
        <f>M267+Table11819202324[[#This Row],[اجمالي الفاتوره]]-Table11819202324[[#This Row],[الدفعات]]</f>
        <v>110479.34000000003</v>
      </c>
      <c r="O268" s="48"/>
    </row>
    <row r="269" spans="11:15" ht="26.25" customHeight="1" x14ac:dyDescent="0.3">
      <c r="K269" s="1">
        <f>Table11819202324[[#This Row],[النولون]]+Table11819202324[[#This Row],[الايصالات]]-Table11819202324[[#This Row],[خصم أ ت ص]]+Table11819202324[[#This Row],[قيمة مضافة]]</f>
        <v>0</v>
      </c>
      <c r="M269" s="1">
        <f>M268+Table11819202324[[#This Row],[اجمالي الفاتوره]]-Table11819202324[[#This Row],[الدفعات]]</f>
        <v>110479.34000000003</v>
      </c>
      <c r="O269" s="48"/>
    </row>
    <row r="270" spans="11:15" ht="26.25" customHeight="1" x14ac:dyDescent="0.3">
      <c r="K270" s="1">
        <f>Table11819202324[[#This Row],[النولون]]+Table11819202324[[#This Row],[الايصالات]]-Table11819202324[[#This Row],[خصم أ ت ص]]+Table11819202324[[#This Row],[قيمة مضافة]]</f>
        <v>0</v>
      </c>
      <c r="M270" s="1">
        <f>M269+Table11819202324[[#This Row],[اجمالي الفاتوره]]-Table11819202324[[#This Row],[الدفعات]]</f>
        <v>110479.34000000003</v>
      </c>
      <c r="O270" s="48"/>
    </row>
    <row r="271" spans="11:15" ht="26.25" customHeight="1" x14ac:dyDescent="0.3">
      <c r="K271" s="1">
        <f>Table11819202324[[#This Row],[النولون]]+Table11819202324[[#This Row],[الايصالات]]-Table11819202324[[#This Row],[خصم أ ت ص]]+Table11819202324[[#This Row],[قيمة مضافة]]</f>
        <v>0</v>
      </c>
      <c r="M271" s="1">
        <f>M270+Table11819202324[[#This Row],[اجمالي الفاتوره]]-Table11819202324[[#This Row],[الدفعات]]</f>
        <v>110479.34000000003</v>
      </c>
      <c r="O271" s="48"/>
    </row>
    <row r="272" spans="11:15" ht="26.25" customHeight="1" x14ac:dyDescent="0.3">
      <c r="K272" s="1">
        <f>Table11819202324[[#This Row],[النولون]]+Table11819202324[[#This Row],[الايصالات]]-Table11819202324[[#This Row],[خصم أ ت ص]]+Table11819202324[[#This Row],[قيمة مضافة]]</f>
        <v>0</v>
      </c>
      <c r="M272" s="1">
        <f>M271+Table11819202324[[#This Row],[اجمالي الفاتوره]]-Table11819202324[[#This Row],[الدفعات]]</f>
        <v>110479.34000000003</v>
      </c>
      <c r="O272" s="48"/>
    </row>
    <row r="273" spans="11:15" ht="26.25" customHeight="1" x14ac:dyDescent="0.3">
      <c r="K273" s="1">
        <f>Table11819202324[[#This Row],[النولون]]+Table11819202324[[#This Row],[الايصالات]]-Table11819202324[[#This Row],[خصم أ ت ص]]+Table11819202324[[#This Row],[قيمة مضافة]]</f>
        <v>0</v>
      </c>
      <c r="M273" s="1">
        <f>M272+Table11819202324[[#This Row],[اجمالي الفاتوره]]-Table11819202324[[#This Row],[الدفعات]]</f>
        <v>110479.34000000003</v>
      </c>
      <c r="O273" s="48"/>
    </row>
    <row r="274" spans="11:15" ht="26.25" customHeight="1" x14ac:dyDescent="0.3">
      <c r="K274" s="1">
        <f>Table11819202324[[#This Row],[النولون]]+Table11819202324[[#This Row],[الايصالات]]-Table11819202324[[#This Row],[خصم أ ت ص]]+Table11819202324[[#This Row],[قيمة مضافة]]</f>
        <v>0</v>
      </c>
      <c r="M274" s="1">
        <f>M273+Table11819202324[[#This Row],[اجمالي الفاتوره]]-Table11819202324[[#This Row],[الدفعات]]</f>
        <v>110479.34000000003</v>
      </c>
      <c r="O274" s="48"/>
    </row>
    <row r="275" spans="11:15" ht="26.25" customHeight="1" x14ac:dyDescent="0.3">
      <c r="K275" s="1">
        <f>Table11819202324[[#This Row],[النولون]]+Table11819202324[[#This Row],[الايصالات]]-Table11819202324[[#This Row],[خصم أ ت ص]]+Table11819202324[[#This Row],[قيمة مضافة]]</f>
        <v>0</v>
      </c>
      <c r="M275" s="1">
        <f>M274+Table11819202324[[#This Row],[اجمالي الفاتوره]]-Table11819202324[[#This Row],[الدفعات]]</f>
        <v>110479.34000000003</v>
      </c>
      <c r="O275" s="48"/>
    </row>
    <row r="276" spans="11:15" ht="26.25" customHeight="1" x14ac:dyDescent="0.3">
      <c r="K276" s="1">
        <f>Table11819202324[[#This Row],[النولون]]+Table11819202324[[#This Row],[الايصالات]]-Table11819202324[[#This Row],[خصم أ ت ص]]+Table11819202324[[#This Row],[قيمة مضافة]]</f>
        <v>0</v>
      </c>
      <c r="M276" s="1">
        <f>M275+Table11819202324[[#This Row],[اجمالي الفاتوره]]-Table11819202324[[#This Row],[الدفعات]]</f>
        <v>110479.34000000003</v>
      </c>
      <c r="O276" s="48"/>
    </row>
    <row r="277" spans="11:15" ht="26.25" customHeight="1" x14ac:dyDescent="0.3">
      <c r="K277" s="1">
        <f>Table11819202324[[#This Row],[النولون]]+Table11819202324[[#This Row],[الايصالات]]-Table11819202324[[#This Row],[خصم أ ت ص]]+Table11819202324[[#This Row],[قيمة مضافة]]</f>
        <v>0</v>
      </c>
      <c r="M277" s="1">
        <f>M276+Table11819202324[[#This Row],[اجمالي الفاتوره]]-Table11819202324[[#This Row],[الدفعات]]</f>
        <v>110479.34000000003</v>
      </c>
      <c r="O277" s="48"/>
    </row>
    <row r="278" spans="11:15" ht="26.25" customHeight="1" x14ac:dyDescent="0.3">
      <c r="K278" s="1">
        <f>Table11819202324[[#This Row],[النولون]]+Table11819202324[[#This Row],[الايصالات]]-Table11819202324[[#This Row],[خصم أ ت ص]]+Table11819202324[[#This Row],[قيمة مضافة]]</f>
        <v>0</v>
      </c>
      <c r="M278" s="1">
        <f>M277+Table11819202324[[#This Row],[اجمالي الفاتوره]]-Table11819202324[[#This Row],[الدفعات]]</f>
        <v>110479.34000000003</v>
      </c>
      <c r="O278" s="48"/>
    </row>
    <row r="279" spans="11:15" ht="26.25" customHeight="1" x14ac:dyDescent="0.3">
      <c r="K279" s="1">
        <f>Table11819202324[[#This Row],[النولون]]+Table11819202324[[#This Row],[الايصالات]]-Table11819202324[[#This Row],[خصم أ ت ص]]+Table11819202324[[#This Row],[قيمة مضافة]]</f>
        <v>0</v>
      </c>
      <c r="M279" s="1">
        <f>M278+Table11819202324[[#This Row],[اجمالي الفاتوره]]-Table11819202324[[#This Row],[الدفعات]]</f>
        <v>110479.34000000003</v>
      </c>
      <c r="O279" s="48"/>
    </row>
    <row r="280" spans="11:15" ht="26.25" customHeight="1" x14ac:dyDescent="0.3">
      <c r="K280" s="1">
        <f>Table11819202324[[#This Row],[النولون]]+Table11819202324[[#This Row],[الايصالات]]-Table11819202324[[#This Row],[خصم أ ت ص]]+Table11819202324[[#This Row],[قيمة مضافة]]</f>
        <v>0</v>
      </c>
      <c r="M280" s="1">
        <f>M279+Table11819202324[[#This Row],[اجمالي الفاتوره]]-Table11819202324[[#This Row],[الدفعات]]</f>
        <v>110479.34000000003</v>
      </c>
      <c r="O280" s="48"/>
    </row>
    <row r="281" spans="11:15" ht="26.25" customHeight="1" x14ac:dyDescent="0.3">
      <c r="K281" s="1">
        <f>Table11819202324[[#This Row],[النولون]]+Table11819202324[[#This Row],[الايصالات]]-Table11819202324[[#This Row],[خصم أ ت ص]]+Table11819202324[[#This Row],[قيمة مضافة]]</f>
        <v>0</v>
      </c>
      <c r="M281" s="1">
        <f>M280+Table11819202324[[#This Row],[اجمالي الفاتوره]]-Table11819202324[[#This Row],[الدفعات]]</f>
        <v>110479.34000000003</v>
      </c>
      <c r="O281" s="48"/>
    </row>
    <row r="282" spans="11:15" ht="26.25" customHeight="1" x14ac:dyDescent="0.3">
      <c r="K282" s="1">
        <f>Table11819202324[[#This Row],[النولون]]+Table11819202324[[#This Row],[الايصالات]]-Table11819202324[[#This Row],[خصم أ ت ص]]+Table11819202324[[#This Row],[قيمة مضافة]]</f>
        <v>0</v>
      </c>
      <c r="M282" s="1">
        <f>M281+Table11819202324[[#This Row],[اجمالي الفاتوره]]-Table11819202324[[#This Row],[الدفعات]]</f>
        <v>110479.34000000003</v>
      </c>
      <c r="O282" s="48"/>
    </row>
    <row r="283" spans="11:15" ht="26.25" customHeight="1" x14ac:dyDescent="0.3">
      <c r="K283" s="1">
        <f>Table11819202324[[#This Row],[النولون]]+Table11819202324[[#This Row],[الايصالات]]-Table11819202324[[#This Row],[خصم أ ت ص]]+Table11819202324[[#This Row],[قيمة مضافة]]</f>
        <v>0</v>
      </c>
      <c r="M283" s="1">
        <f>M282+Table11819202324[[#This Row],[اجمالي الفاتوره]]-Table11819202324[[#This Row],[الدفعات]]</f>
        <v>110479.34000000003</v>
      </c>
      <c r="O283" s="48"/>
    </row>
    <row r="284" spans="11:15" ht="26.25" customHeight="1" x14ac:dyDescent="0.3">
      <c r="K284" s="1">
        <f>Table11819202324[[#This Row],[النولون]]+Table11819202324[[#This Row],[الايصالات]]-Table11819202324[[#This Row],[خصم أ ت ص]]+Table11819202324[[#This Row],[قيمة مضافة]]</f>
        <v>0</v>
      </c>
      <c r="M284" s="1">
        <f>M283+Table11819202324[[#This Row],[اجمالي الفاتوره]]-Table11819202324[[#This Row],[الدفعات]]</f>
        <v>110479.34000000003</v>
      </c>
      <c r="O284" s="48"/>
    </row>
    <row r="285" spans="11:15" ht="26.25" customHeight="1" x14ac:dyDescent="0.3">
      <c r="K285" s="1">
        <f>Table11819202324[[#This Row],[النولون]]+Table11819202324[[#This Row],[الايصالات]]-Table11819202324[[#This Row],[خصم أ ت ص]]+Table11819202324[[#This Row],[قيمة مضافة]]</f>
        <v>0</v>
      </c>
      <c r="M285" s="1">
        <f>M284+Table11819202324[[#This Row],[اجمالي الفاتوره]]-Table11819202324[[#This Row],[الدفعات]]</f>
        <v>110479.34000000003</v>
      </c>
      <c r="O285" s="48"/>
    </row>
    <row r="286" spans="11:15" ht="26.25" customHeight="1" x14ac:dyDescent="0.3">
      <c r="K286" s="1">
        <f>Table11819202324[[#This Row],[النولون]]+Table11819202324[[#This Row],[الايصالات]]-Table11819202324[[#This Row],[خصم أ ت ص]]+Table11819202324[[#This Row],[قيمة مضافة]]</f>
        <v>0</v>
      </c>
      <c r="M286" s="1">
        <f>M285+Table11819202324[[#This Row],[اجمالي الفاتوره]]-Table11819202324[[#This Row],[الدفعات]]</f>
        <v>110479.34000000003</v>
      </c>
      <c r="O286" s="48"/>
    </row>
    <row r="287" spans="11:15" ht="26.25" customHeight="1" x14ac:dyDescent="0.3">
      <c r="K287" s="1">
        <f>Table11819202324[[#This Row],[النولون]]+Table11819202324[[#This Row],[الايصالات]]-Table11819202324[[#This Row],[خصم أ ت ص]]+Table11819202324[[#This Row],[قيمة مضافة]]</f>
        <v>0</v>
      </c>
      <c r="M287" s="1">
        <f>M286+Table11819202324[[#This Row],[اجمالي الفاتوره]]-Table11819202324[[#This Row],[الدفعات]]</f>
        <v>110479.34000000003</v>
      </c>
      <c r="O287" s="48"/>
    </row>
    <row r="288" spans="11:15" ht="26.25" customHeight="1" x14ac:dyDescent="0.3">
      <c r="K288" s="1">
        <f>Table11819202324[[#This Row],[النولون]]+Table11819202324[[#This Row],[الايصالات]]-Table11819202324[[#This Row],[خصم أ ت ص]]+Table11819202324[[#This Row],[قيمة مضافة]]</f>
        <v>0</v>
      </c>
      <c r="M288" s="1">
        <f>M287+Table11819202324[[#This Row],[اجمالي الفاتوره]]-Table11819202324[[#This Row],[الدفعات]]</f>
        <v>110479.34000000003</v>
      </c>
      <c r="O288" s="48"/>
    </row>
    <row r="289" spans="11:15" ht="26.25" customHeight="1" x14ac:dyDescent="0.3">
      <c r="K289" s="1">
        <f>Table11819202324[[#This Row],[النولون]]+Table11819202324[[#This Row],[الايصالات]]-Table11819202324[[#This Row],[خصم أ ت ص]]+Table11819202324[[#This Row],[قيمة مضافة]]</f>
        <v>0</v>
      </c>
      <c r="M289" s="1">
        <f>M288+Table11819202324[[#This Row],[اجمالي الفاتوره]]-Table11819202324[[#This Row],[الدفعات]]</f>
        <v>110479.34000000003</v>
      </c>
      <c r="O289" s="48"/>
    </row>
    <row r="290" spans="11:15" ht="26.25" customHeight="1" x14ac:dyDescent="0.3">
      <c r="K290" s="1">
        <f>Table11819202324[[#This Row],[النولون]]+Table11819202324[[#This Row],[الايصالات]]-Table11819202324[[#This Row],[خصم أ ت ص]]+Table11819202324[[#This Row],[قيمة مضافة]]</f>
        <v>0</v>
      </c>
      <c r="M290" s="1">
        <f>M289+Table11819202324[[#This Row],[اجمالي الفاتوره]]-Table11819202324[[#This Row],[الدفعات]]</f>
        <v>110479.34000000003</v>
      </c>
      <c r="O290" s="48"/>
    </row>
    <row r="291" spans="11:15" ht="26.25" customHeight="1" x14ac:dyDescent="0.3">
      <c r="K291" s="1">
        <f>Table11819202324[[#This Row],[النولون]]+Table11819202324[[#This Row],[الايصالات]]-Table11819202324[[#This Row],[خصم أ ت ص]]+Table11819202324[[#This Row],[قيمة مضافة]]</f>
        <v>0</v>
      </c>
      <c r="M291" s="1">
        <f>M290+Table11819202324[[#This Row],[اجمالي الفاتوره]]-Table11819202324[[#This Row],[الدفعات]]</f>
        <v>110479.34000000003</v>
      </c>
      <c r="O291" s="48"/>
    </row>
    <row r="292" spans="11:15" ht="26.25" customHeight="1" x14ac:dyDescent="0.3">
      <c r="K292" s="1">
        <f>Table11819202324[[#This Row],[النولون]]+Table11819202324[[#This Row],[الايصالات]]-Table11819202324[[#This Row],[خصم أ ت ص]]+Table11819202324[[#This Row],[قيمة مضافة]]</f>
        <v>0</v>
      </c>
      <c r="M292" s="1">
        <f>M291+Table11819202324[[#This Row],[اجمالي الفاتوره]]-Table11819202324[[#This Row],[الدفعات]]</f>
        <v>110479.34000000003</v>
      </c>
      <c r="O292" s="48"/>
    </row>
    <row r="293" spans="11:15" ht="26.25" customHeight="1" x14ac:dyDescent="0.3">
      <c r="K293" s="1">
        <f>Table11819202324[[#This Row],[النولون]]+Table11819202324[[#This Row],[الايصالات]]-Table11819202324[[#This Row],[خصم أ ت ص]]+Table11819202324[[#This Row],[قيمة مضافة]]</f>
        <v>0</v>
      </c>
      <c r="M293" s="1">
        <f>M292+Table11819202324[[#This Row],[اجمالي الفاتوره]]-Table11819202324[[#This Row],[الدفعات]]</f>
        <v>110479.34000000003</v>
      </c>
      <c r="O293" s="48"/>
    </row>
    <row r="294" spans="11:15" ht="26.25" customHeight="1" x14ac:dyDescent="0.3">
      <c r="K294" s="1">
        <f>Table11819202324[[#This Row],[النولون]]+Table11819202324[[#This Row],[الايصالات]]-Table11819202324[[#This Row],[خصم أ ت ص]]+Table11819202324[[#This Row],[قيمة مضافة]]</f>
        <v>0</v>
      </c>
      <c r="M294" s="1">
        <f>M293+Table11819202324[[#This Row],[اجمالي الفاتوره]]-Table11819202324[[#This Row],[الدفعات]]</f>
        <v>110479.34000000003</v>
      </c>
      <c r="O294" s="48"/>
    </row>
    <row r="295" spans="11:15" ht="26.25" customHeight="1" x14ac:dyDescent="0.3">
      <c r="K295" s="1">
        <f>Table11819202324[[#This Row],[النولون]]+Table11819202324[[#This Row],[الايصالات]]-Table11819202324[[#This Row],[خصم أ ت ص]]+Table11819202324[[#This Row],[قيمة مضافة]]</f>
        <v>0</v>
      </c>
      <c r="M295" s="1">
        <f>M294+Table11819202324[[#This Row],[اجمالي الفاتوره]]-Table11819202324[[#This Row],[الدفعات]]</f>
        <v>110479.34000000003</v>
      </c>
      <c r="O295" s="48"/>
    </row>
    <row r="296" spans="11:15" ht="26.25" customHeight="1" x14ac:dyDescent="0.3">
      <c r="K296" s="1">
        <f>Table11819202324[[#This Row],[النولون]]+Table11819202324[[#This Row],[الايصالات]]-Table11819202324[[#This Row],[خصم أ ت ص]]+Table11819202324[[#This Row],[قيمة مضافة]]</f>
        <v>0</v>
      </c>
      <c r="M296" s="1">
        <f>M295+Table11819202324[[#This Row],[اجمالي الفاتوره]]-Table11819202324[[#This Row],[الدفعات]]</f>
        <v>110479.34000000003</v>
      </c>
      <c r="O296" s="48"/>
    </row>
    <row r="297" spans="11:15" ht="26.25" customHeight="1" x14ac:dyDescent="0.3">
      <c r="K297" s="1">
        <f>Table11819202324[[#This Row],[النولون]]+Table11819202324[[#This Row],[الايصالات]]-Table11819202324[[#This Row],[خصم أ ت ص]]+Table11819202324[[#This Row],[قيمة مضافة]]</f>
        <v>0</v>
      </c>
      <c r="M297" s="1">
        <f>M296+Table11819202324[[#This Row],[اجمالي الفاتوره]]-Table11819202324[[#This Row],[الدفعات]]</f>
        <v>110479.34000000003</v>
      </c>
      <c r="O297" s="48"/>
    </row>
    <row r="298" spans="11:15" ht="26.25" customHeight="1" x14ac:dyDescent="0.3">
      <c r="K298" s="1">
        <f>Table11819202324[[#This Row],[النولون]]+Table11819202324[[#This Row],[الايصالات]]-Table11819202324[[#This Row],[خصم أ ت ص]]+Table11819202324[[#This Row],[قيمة مضافة]]</f>
        <v>0</v>
      </c>
      <c r="M298" s="1">
        <f>M297+Table11819202324[[#This Row],[اجمالي الفاتوره]]-Table11819202324[[#This Row],[الدفعات]]</f>
        <v>110479.34000000003</v>
      </c>
      <c r="O298" s="48"/>
    </row>
    <row r="299" spans="11:15" ht="26.25" customHeight="1" x14ac:dyDescent="0.3">
      <c r="K299" s="1">
        <f>Table11819202324[[#This Row],[النولون]]+Table11819202324[[#This Row],[الايصالات]]-Table11819202324[[#This Row],[خصم أ ت ص]]+Table11819202324[[#This Row],[قيمة مضافة]]</f>
        <v>0</v>
      </c>
      <c r="M299" s="1">
        <f>M298+Table11819202324[[#This Row],[اجمالي الفاتوره]]-Table11819202324[[#This Row],[الدفعات]]</f>
        <v>110479.34000000003</v>
      </c>
      <c r="O299" s="48"/>
    </row>
    <row r="300" spans="11:15" ht="26.25" customHeight="1" x14ac:dyDescent="0.3">
      <c r="K300" s="1">
        <f>Table11819202324[[#This Row],[النولون]]+Table11819202324[[#This Row],[الايصالات]]-Table11819202324[[#This Row],[خصم أ ت ص]]+Table11819202324[[#This Row],[قيمة مضافة]]</f>
        <v>0</v>
      </c>
      <c r="M300" s="1">
        <f>M299+Table11819202324[[#This Row],[اجمالي الفاتوره]]-Table11819202324[[#This Row],[الدفعات]]</f>
        <v>110479.34000000003</v>
      </c>
      <c r="O300" s="48"/>
    </row>
    <row r="301" spans="11:15" ht="26.25" customHeight="1" x14ac:dyDescent="0.3">
      <c r="K301" s="1">
        <f>Table11819202324[[#This Row],[النولون]]+Table11819202324[[#This Row],[الايصالات]]-Table11819202324[[#This Row],[خصم أ ت ص]]+Table11819202324[[#This Row],[قيمة مضافة]]</f>
        <v>0</v>
      </c>
      <c r="M301" s="1">
        <f>M300+Table11819202324[[#This Row],[اجمالي الفاتوره]]-Table11819202324[[#This Row],[الدفعات]]</f>
        <v>110479.34000000003</v>
      </c>
      <c r="O301" s="48"/>
    </row>
    <row r="302" spans="11:15" ht="26.25" customHeight="1" x14ac:dyDescent="0.3">
      <c r="K302" s="1">
        <f>Table11819202324[[#This Row],[النولون]]+Table11819202324[[#This Row],[الايصالات]]-Table11819202324[[#This Row],[خصم أ ت ص]]+Table11819202324[[#This Row],[قيمة مضافة]]</f>
        <v>0</v>
      </c>
      <c r="M302" s="1">
        <f>M301+Table11819202324[[#This Row],[اجمالي الفاتوره]]-Table11819202324[[#This Row],[الدفعات]]</f>
        <v>110479.34000000003</v>
      </c>
      <c r="O302" s="48"/>
    </row>
    <row r="303" spans="11:15" ht="26.25" customHeight="1" x14ac:dyDescent="0.3">
      <c r="K303" s="1">
        <f>Table11819202324[[#This Row],[النولون]]+Table11819202324[[#This Row],[الايصالات]]-Table11819202324[[#This Row],[خصم أ ت ص]]+Table11819202324[[#This Row],[قيمة مضافة]]</f>
        <v>0</v>
      </c>
      <c r="M303" s="1">
        <f>M302+Table11819202324[[#This Row],[اجمالي الفاتوره]]-Table11819202324[[#This Row],[الدفعات]]</f>
        <v>110479.34000000003</v>
      </c>
      <c r="O303" s="48"/>
    </row>
    <row r="304" spans="11:15" ht="26.25" customHeight="1" x14ac:dyDescent="0.3">
      <c r="K304" s="1">
        <f>Table11819202324[[#This Row],[النولون]]+Table11819202324[[#This Row],[الايصالات]]-Table11819202324[[#This Row],[خصم أ ت ص]]+Table11819202324[[#This Row],[قيمة مضافة]]</f>
        <v>0</v>
      </c>
      <c r="M304" s="1">
        <f>M303+Table11819202324[[#This Row],[اجمالي الفاتوره]]-Table11819202324[[#This Row],[الدفعات]]</f>
        <v>110479.34000000003</v>
      </c>
      <c r="O304" s="48"/>
    </row>
    <row r="305" spans="11:15" ht="26.25" customHeight="1" x14ac:dyDescent="0.3">
      <c r="K305" s="1">
        <f>Table11819202324[[#This Row],[النولون]]+Table11819202324[[#This Row],[الايصالات]]-Table11819202324[[#This Row],[خصم أ ت ص]]+Table11819202324[[#This Row],[قيمة مضافة]]</f>
        <v>0</v>
      </c>
      <c r="M305" s="1">
        <f>M304+Table11819202324[[#This Row],[اجمالي الفاتوره]]-Table11819202324[[#This Row],[الدفعات]]</f>
        <v>110479.34000000003</v>
      </c>
      <c r="O305" s="48"/>
    </row>
    <row r="306" spans="11:15" ht="26.25" customHeight="1" x14ac:dyDescent="0.3">
      <c r="K306" s="1">
        <f>Table11819202324[[#This Row],[النولون]]+Table11819202324[[#This Row],[الايصالات]]-Table11819202324[[#This Row],[خصم أ ت ص]]+Table11819202324[[#This Row],[قيمة مضافة]]</f>
        <v>0</v>
      </c>
      <c r="M306" s="1">
        <f>M305+Table11819202324[[#This Row],[اجمالي الفاتوره]]-Table11819202324[[#This Row],[الدفعات]]</f>
        <v>110479.34000000003</v>
      </c>
      <c r="O306" s="48"/>
    </row>
    <row r="307" spans="11:15" ht="26.25" customHeight="1" x14ac:dyDescent="0.3">
      <c r="K307" s="1">
        <f>Table11819202324[[#This Row],[النولون]]+Table11819202324[[#This Row],[الايصالات]]-Table11819202324[[#This Row],[خصم أ ت ص]]+Table11819202324[[#This Row],[قيمة مضافة]]</f>
        <v>0</v>
      </c>
      <c r="M307" s="1">
        <f>M306+Table11819202324[[#This Row],[اجمالي الفاتوره]]-Table11819202324[[#This Row],[الدفعات]]</f>
        <v>110479.34000000003</v>
      </c>
      <c r="O307" s="48"/>
    </row>
    <row r="308" spans="11:15" ht="26.25" customHeight="1" x14ac:dyDescent="0.3">
      <c r="K308" s="1">
        <f>Table11819202324[[#This Row],[النولون]]+Table11819202324[[#This Row],[الايصالات]]-Table11819202324[[#This Row],[خصم أ ت ص]]+Table11819202324[[#This Row],[قيمة مضافة]]</f>
        <v>0</v>
      </c>
      <c r="M308" s="1">
        <f>M307+Table11819202324[[#This Row],[اجمالي الفاتوره]]-Table11819202324[[#This Row],[الدفعات]]</f>
        <v>110479.34000000003</v>
      </c>
      <c r="O308" s="48"/>
    </row>
    <row r="309" spans="11:15" ht="26.25" customHeight="1" x14ac:dyDescent="0.3">
      <c r="K309" s="1">
        <f>Table11819202324[[#This Row],[النولون]]+Table11819202324[[#This Row],[الايصالات]]-Table11819202324[[#This Row],[خصم أ ت ص]]+Table11819202324[[#This Row],[قيمة مضافة]]</f>
        <v>0</v>
      </c>
      <c r="M309" s="1">
        <f>M308+Table11819202324[[#This Row],[اجمالي الفاتوره]]-Table11819202324[[#This Row],[الدفعات]]</f>
        <v>110479.34000000003</v>
      </c>
      <c r="O309" s="48"/>
    </row>
    <row r="310" spans="11:15" ht="26.25" customHeight="1" x14ac:dyDescent="0.3">
      <c r="K310" s="1">
        <f>Table11819202324[[#This Row],[النولون]]+Table11819202324[[#This Row],[الايصالات]]-Table11819202324[[#This Row],[خصم أ ت ص]]+Table11819202324[[#This Row],[قيمة مضافة]]</f>
        <v>0</v>
      </c>
      <c r="M310" s="1">
        <f>M309+Table11819202324[[#This Row],[اجمالي الفاتوره]]-Table11819202324[[#This Row],[الدفعات]]</f>
        <v>110479.34000000003</v>
      </c>
      <c r="O310" s="48"/>
    </row>
    <row r="311" spans="11:15" ht="26.25" customHeight="1" x14ac:dyDescent="0.3">
      <c r="K311" s="1">
        <f>Table11819202324[[#This Row],[النولون]]+Table11819202324[[#This Row],[الايصالات]]-Table11819202324[[#This Row],[خصم أ ت ص]]+Table11819202324[[#This Row],[قيمة مضافة]]</f>
        <v>0</v>
      </c>
      <c r="M311" s="1">
        <f>M310+Table11819202324[[#This Row],[اجمالي الفاتوره]]-Table11819202324[[#This Row],[الدفعات]]</f>
        <v>110479.34000000003</v>
      </c>
      <c r="O311" s="48"/>
    </row>
    <row r="312" spans="11:15" ht="26.25" customHeight="1" x14ac:dyDescent="0.3">
      <c r="K312" s="1">
        <f>Table11819202324[[#This Row],[النولون]]+Table11819202324[[#This Row],[الايصالات]]-Table11819202324[[#This Row],[خصم أ ت ص]]+Table11819202324[[#This Row],[قيمة مضافة]]</f>
        <v>0</v>
      </c>
      <c r="M312" s="1">
        <f>M311+Table11819202324[[#This Row],[اجمالي الفاتوره]]-Table11819202324[[#This Row],[الدفعات]]</f>
        <v>110479.34000000003</v>
      </c>
      <c r="O312" s="48"/>
    </row>
    <row r="313" spans="11:15" ht="26.25" customHeight="1" x14ac:dyDescent="0.3">
      <c r="K313" s="1">
        <f>Table11819202324[[#This Row],[النولون]]+Table11819202324[[#This Row],[الايصالات]]-Table11819202324[[#This Row],[خصم أ ت ص]]+Table11819202324[[#This Row],[قيمة مضافة]]</f>
        <v>0</v>
      </c>
      <c r="M313" s="1">
        <f>M312+Table11819202324[[#This Row],[اجمالي الفاتوره]]-Table11819202324[[#This Row],[الدفعات]]</f>
        <v>110479.34000000003</v>
      </c>
      <c r="O313" s="48"/>
    </row>
    <row r="314" spans="11:15" ht="26.25" customHeight="1" x14ac:dyDescent="0.3">
      <c r="K314" s="1">
        <f>Table11819202324[[#This Row],[النولون]]+Table11819202324[[#This Row],[الايصالات]]-Table11819202324[[#This Row],[خصم أ ت ص]]+Table11819202324[[#This Row],[قيمة مضافة]]</f>
        <v>0</v>
      </c>
      <c r="M314" s="1">
        <f>M313+Table11819202324[[#This Row],[اجمالي الفاتوره]]-Table11819202324[[#This Row],[الدفعات]]</f>
        <v>110479.34000000003</v>
      </c>
      <c r="O314" s="48"/>
    </row>
    <row r="315" spans="11:15" ht="26.25" customHeight="1" x14ac:dyDescent="0.3">
      <c r="K315" s="1">
        <f>Table11819202324[[#This Row],[النولون]]+Table11819202324[[#This Row],[الايصالات]]-Table11819202324[[#This Row],[خصم أ ت ص]]+Table11819202324[[#This Row],[قيمة مضافة]]</f>
        <v>0</v>
      </c>
      <c r="M315" s="1">
        <f>M314+Table11819202324[[#This Row],[اجمالي الفاتوره]]-Table11819202324[[#This Row],[الدفعات]]</f>
        <v>110479.34000000003</v>
      </c>
      <c r="O315" s="48"/>
    </row>
    <row r="316" spans="11:15" ht="26.25" customHeight="1" x14ac:dyDescent="0.3">
      <c r="K316" s="1">
        <f>Table11819202324[[#This Row],[النولون]]+Table11819202324[[#This Row],[الايصالات]]-Table11819202324[[#This Row],[خصم أ ت ص]]+Table11819202324[[#This Row],[قيمة مضافة]]</f>
        <v>0</v>
      </c>
      <c r="M316" s="1">
        <f>M315+Table11819202324[[#This Row],[اجمالي الفاتوره]]-Table11819202324[[#This Row],[الدفعات]]</f>
        <v>110479.34000000003</v>
      </c>
      <c r="O316" s="48"/>
    </row>
    <row r="317" spans="11:15" ht="26.25" customHeight="1" x14ac:dyDescent="0.3">
      <c r="K317" s="1">
        <f>Table11819202324[[#This Row],[النولون]]+Table11819202324[[#This Row],[الايصالات]]-Table11819202324[[#This Row],[خصم أ ت ص]]+Table11819202324[[#This Row],[قيمة مضافة]]</f>
        <v>0</v>
      </c>
      <c r="M317" s="1">
        <f>M316+Table11819202324[[#This Row],[اجمالي الفاتوره]]-Table11819202324[[#This Row],[الدفعات]]</f>
        <v>110479.34000000003</v>
      </c>
      <c r="O317" s="48"/>
    </row>
    <row r="318" spans="11:15" ht="26.25" customHeight="1" x14ac:dyDescent="0.3">
      <c r="K318" s="1">
        <f>Table11819202324[[#This Row],[النولون]]+Table11819202324[[#This Row],[الايصالات]]-Table11819202324[[#This Row],[خصم أ ت ص]]+Table11819202324[[#This Row],[قيمة مضافة]]</f>
        <v>0</v>
      </c>
      <c r="M318" s="1">
        <f>M317+Table11819202324[[#This Row],[اجمالي الفاتوره]]-Table11819202324[[#This Row],[الدفعات]]</f>
        <v>110479.34000000003</v>
      </c>
      <c r="O318" s="48"/>
    </row>
    <row r="319" spans="11:15" ht="26.25" customHeight="1" x14ac:dyDescent="0.3">
      <c r="K319" s="1">
        <f>Table11819202324[[#This Row],[النولون]]+Table11819202324[[#This Row],[الايصالات]]-Table11819202324[[#This Row],[خصم أ ت ص]]+Table11819202324[[#This Row],[قيمة مضافة]]</f>
        <v>0</v>
      </c>
      <c r="M319" s="1">
        <f>M318+Table11819202324[[#This Row],[اجمالي الفاتوره]]-Table11819202324[[#This Row],[الدفعات]]</f>
        <v>110479.34000000003</v>
      </c>
      <c r="O319" s="48"/>
    </row>
    <row r="320" spans="11:15" ht="26.25" customHeight="1" x14ac:dyDescent="0.3">
      <c r="K320" s="1">
        <f>Table11819202324[[#This Row],[النولون]]+Table11819202324[[#This Row],[الايصالات]]-Table11819202324[[#This Row],[خصم أ ت ص]]+Table11819202324[[#This Row],[قيمة مضافة]]</f>
        <v>0</v>
      </c>
      <c r="M320" s="1">
        <f>M319+Table11819202324[[#This Row],[اجمالي الفاتوره]]-Table11819202324[[#This Row],[الدفعات]]</f>
        <v>110479.34000000003</v>
      </c>
      <c r="O320" s="48"/>
    </row>
    <row r="321" spans="11:15" ht="26.25" customHeight="1" x14ac:dyDescent="0.3">
      <c r="K321" s="1">
        <f>Table11819202324[[#This Row],[النولون]]+Table11819202324[[#This Row],[الايصالات]]-Table11819202324[[#This Row],[خصم أ ت ص]]+Table11819202324[[#This Row],[قيمة مضافة]]</f>
        <v>0</v>
      </c>
      <c r="M321" s="1">
        <f>M320+Table11819202324[[#This Row],[اجمالي الفاتوره]]-Table11819202324[[#This Row],[الدفعات]]</f>
        <v>110479.34000000003</v>
      </c>
      <c r="O321" s="48"/>
    </row>
    <row r="322" spans="11:15" ht="26.25" customHeight="1" x14ac:dyDescent="0.3">
      <c r="K322" s="1">
        <f>Table11819202324[[#This Row],[النولون]]+Table11819202324[[#This Row],[الايصالات]]-Table11819202324[[#This Row],[خصم أ ت ص]]+Table11819202324[[#This Row],[قيمة مضافة]]</f>
        <v>0</v>
      </c>
      <c r="M322" s="1">
        <f>M321+Table11819202324[[#This Row],[اجمالي الفاتوره]]-Table11819202324[[#This Row],[الدفعات]]</f>
        <v>110479.34000000003</v>
      </c>
      <c r="O322" s="48"/>
    </row>
    <row r="323" spans="11:15" ht="26.25" customHeight="1" x14ac:dyDescent="0.3">
      <c r="K323" s="1">
        <f>Table11819202324[[#This Row],[النولون]]+Table11819202324[[#This Row],[الايصالات]]-Table11819202324[[#This Row],[خصم أ ت ص]]+Table11819202324[[#This Row],[قيمة مضافة]]</f>
        <v>0</v>
      </c>
      <c r="M323" s="1">
        <f>M322+Table11819202324[[#This Row],[اجمالي الفاتوره]]-Table11819202324[[#This Row],[الدفعات]]</f>
        <v>110479.34000000003</v>
      </c>
      <c r="O323" s="48"/>
    </row>
    <row r="324" spans="11:15" ht="26.25" customHeight="1" x14ac:dyDescent="0.3">
      <c r="K324" s="1">
        <f>Table11819202324[[#This Row],[النولون]]+Table11819202324[[#This Row],[الايصالات]]-Table11819202324[[#This Row],[خصم أ ت ص]]+Table11819202324[[#This Row],[قيمة مضافة]]</f>
        <v>0</v>
      </c>
      <c r="M324" s="1">
        <f>M323+Table11819202324[[#This Row],[اجمالي الفاتوره]]-Table11819202324[[#This Row],[الدفعات]]</f>
        <v>110479.34000000003</v>
      </c>
      <c r="O324" s="48"/>
    </row>
    <row r="325" spans="11:15" ht="26.25" customHeight="1" x14ac:dyDescent="0.3">
      <c r="K325" s="1">
        <f>Table11819202324[[#This Row],[النولون]]+Table11819202324[[#This Row],[الايصالات]]-Table11819202324[[#This Row],[خصم أ ت ص]]+Table11819202324[[#This Row],[قيمة مضافة]]</f>
        <v>0</v>
      </c>
      <c r="M325" s="1">
        <f>M324+Table11819202324[[#This Row],[اجمالي الفاتوره]]-Table11819202324[[#This Row],[الدفعات]]</f>
        <v>110479.34000000003</v>
      </c>
      <c r="O325" s="48"/>
    </row>
    <row r="326" spans="11:15" ht="26.25" customHeight="1" x14ac:dyDescent="0.3">
      <c r="K326" s="1">
        <f>Table11819202324[[#This Row],[النولون]]+Table11819202324[[#This Row],[الايصالات]]-Table11819202324[[#This Row],[خصم أ ت ص]]+Table11819202324[[#This Row],[قيمة مضافة]]</f>
        <v>0</v>
      </c>
      <c r="M326" s="1">
        <f>M325+Table11819202324[[#This Row],[اجمالي الفاتوره]]-Table11819202324[[#This Row],[الدفعات]]</f>
        <v>110479.34000000003</v>
      </c>
      <c r="O326" s="48"/>
    </row>
    <row r="327" spans="11:15" ht="26.25" customHeight="1" x14ac:dyDescent="0.3">
      <c r="K327" s="1">
        <f>Table11819202324[[#This Row],[النولون]]+Table11819202324[[#This Row],[الايصالات]]-Table11819202324[[#This Row],[خصم أ ت ص]]+Table11819202324[[#This Row],[قيمة مضافة]]</f>
        <v>0</v>
      </c>
      <c r="M327" s="1">
        <f>M326+Table11819202324[[#This Row],[اجمالي الفاتوره]]-Table11819202324[[#This Row],[الدفعات]]</f>
        <v>110479.34000000003</v>
      </c>
      <c r="O327" s="48"/>
    </row>
    <row r="328" spans="11:15" ht="26.25" customHeight="1" x14ac:dyDescent="0.3">
      <c r="K328" s="1">
        <f>Table11819202324[[#This Row],[النولون]]+Table11819202324[[#This Row],[الايصالات]]-Table11819202324[[#This Row],[خصم أ ت ص]]+Table11819202324[[#This Row],[قيمة مضافة]]</f>
        <v>0</v>
      </c>
      <c r="M328" s="1">
        <f>M327+Table11819202324[[#This Row],[اجمالي الفاتوره]]-Table11819202324[[#This Row],[الدفعات]]</f>
        <v>110479.34000000003</v>
      </c>
      <c r="O328" s="48"/>
    </row>
    <row r="329" spans="11:15" ht="26.25" customHeight="1" x14ac:dyDescent="0.3">
      <c r="K329" s="1">
        <f>Table11819202324[[#This Row],[النولون]]+Table11819202324[[#This Row],[الايصالات]]-Table11819202324[[#This Row],[خصم أ ت ص]]+Table11819202324[[#This Row],[قيمة مضافة]]</f>
        <v>0</v>
      </c>
      <c r="M329" s="1">
        <f>M328+Table11819202324[[#This Row],[اجمالي الفاتوره]]-Table11819202324[[#This Row],[الدفعات]]</f>
        <v>110479.34000000003</v>
      </c>
      <c r="O329" s="48"/>
    </row>
    <row r="330" spans="11:15" ht="26.25" customHeight="1" x14ac:dyDescent="0.3">
      <c r="K330" s="1">
        <f>Table11819202324[[#This Row],[النولون]]+Table11819202324[[#This Row],[الايصالات]]-Table11819202324[[#This Row],[خصم أ ت ص]]+Table11819202324[[#This Row],[قيمة مضافة]]</f>
        <v>0</v>
      </c>
      <c r="M330" s="1">
        <f>M329+Table11819202324[[#This Row],[اجمالي الفاتوره]]-Table11819202324[[#This Row],[الدفعات]]</f>
        <v>110479.34000000003</v>
      </c>
      <c r="O330" s="48"/>
    </row>
    <row r="331" spans="11:15" ht="26.25" customHeight="1" x14ac:dyDescent="0.3">
      <c r="K331" s="1">
        <f>Table11819202324[[#This Row],[النولون]]+Table11819202324[[#This Row],[الايصالات]]-Table11819202324[[#This Row],[خصم أ ت ص]]+Table11819202324[[#This Row],[قيمة مضافة]]</f>
        <v>0</v>
      </c>
      <c r="M331" s="1">
        <f>M330+Table11819202324[[#This Row],[اجمالي الفاتوره]]-Table11819202324[[#This Row],[الدفعات]]</f>
        <v>110479.34000000003</v>
      </c>
      <c r="O331" s="48"/>
    </row>
    <row r="332" spans="11:15" ht="26.25" customHeight="1" x14ac:dyDescent="0.3">
      <c r="K332" s="1">
        <f>Table11819202324[[#This Row],[النولون]]+Table11819202324[[#This Row],[الايصالات]]-Table11819202324[[#This Row],[خصم أ ت ص]]+Table11819202324[[#This Row],[قيمة مضافة]]</f>
        <v>0</v>
      </c>
      <c r="M332" s="1">
        <f>M331+Table11819202324[[#This Row],[اجمالي الفاتوره]]-Table11819202324[[#This Row],[الدفعات]]</f>
        <v>110479.34000000003</v>
      </c>
      <c r="O332" s="48"/>
    </row>
    <row r="333" spans="11:15" ht="26.25" customHeight="1" x14ac:dyDescent="0.3">
      <c r="K333" s="1">
        <f>Table11819202324[[#This Row],[النولون]]+Table11819202324[[#This Row],[الايصالات]]-Table11819202324[[#This Row],[خصم أ ت ص]]+Table11819202324[[#This Row],[قيمة مضافة]]</f>
        <v>0</v>
      </c>
      <c r="M333" s="1">
        <f>M332+Table11819202324[[#This Row],[اجمالي الفاتوره]]-Table11819202324[[#This Row],[الدفعات]]</f>
        <v>110479.34000000003</v>
      </c>
      <c r="O333" s="48"/>
    </row>
    <row r="334" spans="11:15" ht="26.25" customHeight="1" x14ac:dyDescent="0.3">
      <c r="K334" s="1">
        <f>Table11819202324[[#This Row],[النولون]]+Table11819202324[[#This Row],[الايصالات]]-Table11819202324[[#This Row],[خصم أ ت ص]]+Table11819202324[[#This Row],[قيمة مضافة]]</f>
        <v>0</v>
      </c>
      <c r="M334" s="1">
        <f>M333+Table11819202324[[#This Row],[اجمالي الفاتوره]]-Table11819202324[[#This Row],[الدفعات]]</f>
        <v>110479.34000000003</v>
      </c>
      <c r="O334" s="48"/>
    </row>
    <row r="335" spans="11:15" ht="26.25" customHeight="1" x14ac:dyDescent="0.3">
      <c r="K335" s="1">
        <f>Table11819202324[[#This Row],[النولون]]+Table11819202324[[#This Row],[الايصالات]]-Table11819202324[[#This Row],[خصم أ ت ص]]+Table11819202324[[#This Row],[قيمة مضافة]]</f>
        <v>0</v>
      </c>
      <c r="M335" s="1">
        <f>M334+Table11819202324[[#This Row],[اجمالي الفاتوره]]-Table11819202324[[#This Row],[الدفعات]]</f>
        <v>110479.34000000003</v>
      </c>
      <c r="O335" s="48"/>
    </row>
    <row r="336" spans="11:15" ht="26.25" customHeight="1" x14ac:dyDescent="0.3">
      <c r="K336" s="1">
        <f>Table11819202324[[#This Row],[النولون]]+Table11819202324[[#This Row],[الايصالات]]-Table11819202324[[#This Row],[خصم أ ت ص]]+Table11819202324[[#This Row],[قيمة مضافة]]</f>
        <v>0</v>
      </c>
      <c r="M336" s="1">
        <f>M335+Table11819202324[[#This Row],[اجمالي الفاتوره]]-Table11819202324[[#This Row],[الدفعات]]</f>
        <v>110479.34000000003</v>
      </c>
      <c r="O336" s="48"/>
    </row>
    <row r="337" spans="11:15" ht="26.25" customHeight="1" x14ac:dyDescent="0.3">
      <c r="K337" s="1">
        <f>Table11819202324[[#This Row],[النولون]]+Table11819202324[[#This Row],[الايصالات]]-Table11819202324[[#This Row],[خصم أ ت ص]]+Table11819202324[[#This Row],[قيمة مضافة]]</f>
        <v>0</v>
      </c>
      <c r="M337" s="1">
        <f>M336+Table11819202324[[#This Row],[اجمالي الفاتوره]]-Table11819202324[[#This Row],[الدفعات]]</f>
        <v>110479.34000000003</v>
      </c>
      <c r="O337" s="48"/>
    </row>
    <row r="338" spans="11:15" ht="26.25" customHeight="1" x14ac:dyDescent="0.3">
      <c r="K338" s="1">
        <f>Table11819202324[[#This Row],[النولون]]+Table11819202324[[#This Row],[الايصالات]]-Table11819202324[[#This Row],[خصم أ ت ص]]+Table11819202324[[#This Row],[قيمة مضافة]]</f>
        <v>0</v>
      </c>
      <c r="M338" s="1">
        <f>M337+Table11819202324[[#This Row],[اجمالي الفاتوره]]-Table11819202324[[#This Row],[الدفعات]]</f>
        <v>110479.34000000003</v>
      </c>
      <c r="O338" s="48"/>
    </row>
  </sheetData>
  <phoneticPr fontId="2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338"/>
  <sheetViews>
    <sheetView rightToLeft="1" workbookViewId="0">
      <selection activeCell="L14" sqref="L14"/>
    </sheetView>
  </sheetViews>
  <sheetFormatPr defaultColWidth="9.109375" defaultRowHeight="24" customHeight="1" x14ac:dyDescent="0.3"/>
  <cols>
    <col min="1" max="1" width="9.109375" style="6"/>
    <col min="2" max="2" width="5.44140625" style="1" customWidth="1"/>
    <col min="3" max="3" width="11" style="1" customWidth="1"/>
    <col min="4" max="4" width="15.109375" style="1" customWidth="1"/>
    <col min="5" max="5" width="11.21875" style="1" customWidth="1"/>
    <col min="6" max="6" width="13.33203125" style="1" customWidth="1"/>
    <col min="7" max="7" width="11.88671875" style="1" customWidth="1"/>
    <col min="8" max="8" width="11.6640625" style="1" customWidth="1"/>
    <col min="9" max="9" width="8.33203125" style="1" customWidth="1"/>
    <col min="10" max="10" width="10.77734375" style="1" customWidth="1"/>
    <col min="11" max="11" width="12" style="1" customWidth="1"/>
    <col min="12" max="12" width="12.77734375" style="1" customWidth="1"/>
    <col min="13" max="13" width="15.21875" style="1" customWidth="1"/>
    <col min="14" max="14" width="12" style="1" customWidth="1"/>
    <col min="15" max="16384" width="9.109375" style="1"/>
  </cols>
  <sheetData>
    <row r="1" spans="1:15" ht="24" customHeight="1" x14ac:dyDescent="0.3">
      <c r="A1" s="6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8" t="s">
        <v>20</v>
      </c>
    </row>
    <row r="2" spans="1:15" ht="24" customHeight="1" x14ac:dyDescent="0.3">
      <c r="C2" s="2"/>
      <c r="I2" s="1">
        <f>0.14*Table1181920231030313235383940414811151820283753565758[[#This Row],[النولون]]</f>
        <v>0</v>
      </c>
      <c r="K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" s="1">
        <f>278661.97-265007.84</f>
        <v>13654.129999999946</v>
      </c>
      <c r="O2" s="48"/>
    </row>
    <row r="3" spans="1:15" ht="24" customHeight="1" x14ac:dyDescent="0.3">
      <c r="A3" s="5">
        <v>1220</v>
      </c>
      <c r="B3" s="7">
        <v>1</v>
      </c>
      <c r="C3" s="46" t="s">
        <v>113</v>
      </c>
      <c r="D3" s="7" t="s">
        <v>130</v>
      </c>
      <c r="E3" s="7" t="s">
        <v>118</v>
      </c>
      <c r="F3" s="7">
        <v>263327055</v>
      </c>
      <c r="G3" s="7" t="s">
        <v>121</v>
      </c>
      <c r="H3" s="7">
        <v>12800</v>
      </c>
      <c r="I3" s="7">
        <f>0.14*Table1181920231030313235383940414811151820283753565758[[#This Row],[النولون]]</f>
        <v>1792.0000000000002</v>
      </c>
      <c r="J3" s="7">
        <f>1130+412.95+1797.78+500+4259</f>
        <v>8099.73</v>
      </c>
      <c r="K3" s="7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22691.73</v>
      </c>
      <c r="L3" s="7"/>
      <c r="M3" s="7">
        <f>M2+Table1181920231030313235383940414811151820283753565758[[#This Row],[اجمالي الفاتوره]]-Table1181920231030313235383940414811151820283753565758[[#This Row],[الدفعات]]</f>
        <v>36345.859999999942</v>
      </c>
      <c r="N3" s="7"/>
      <c r="O3" s="48"/>
    </row>
    <row r="4" spans="1:15" ht="24" customHeight="1" x14ac:dyDescent="0.3">
      <c r="A4" s="42">
        <v>1221</v>
      </c>
      <c r="B4" s="1">
        <v>2</v>
      </c>
      <c r="C4" s="2" t="s">
        <v>113</v>
      </c>
      <c r="D4" s="1" t="s">
        <v>130</v>
      </c>
      <c r="E4" s="1" t="s">
        <v>118</v>
      </c>
      <c r="F4" s="1">
        <v>5526</v>
      </c>
      <c r="G4" s="1" t="s">
        <v>129</v>
      </c>
      <c r="H4" s="1">
        <v>12800</v>
      </c>
      <c r="I4" s="1">
        <f>0.14*Table1181920231030313235383940414811151820283753565758[[#This Row],[النولون]]</f>
        <v>1792.0000000000002</v>
      </c>
      <c r="J4" s="1">
        <f>220.89+1030+580+200</f>
        <v>2030.8899999999999</v>
      </c>
      <c r="K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16622.89</v>
      </c>
      <c r="M4" s="1">
        <f>M3+Table1181920231030313235383940414811151820283753565758[[#This Row],[اجمالي الفاتوره]]-Table1181920231030313235383940414811151820283753565758[[#This Row],[الدفعات]]</f>
        <v>52968.749999999942</v>
      </c>
      <c r="O4" s="48"/>
    </row>
    <row r="5" spans="1:15" ht="24" customHeight="1" x14ac:dyDescent="0.3">
      <c r="A5" s="6">
        <v>1257</v>
      </c>
      <c r="B5" s="1">
        <v>3</v>
      </c>
      <c r="C5" s="2" t="s">
        <v>222</v>
      </c>
      <c r="D5" s="1" t="s">
        <v>231</v>
      </c>
      <c r="E5" s="1" t="s">
        <v>233</v>
      </c>
      <c r="F5" s="1">
        <v>871831</v>
      </c>
      <c r="G5" s="1" t="s">
        <v>121</v>
      </c>
      <c r="H5" s="1">
        <v>15500</v>
      </c>
      <c r="I5" s="1">
        <f>0.14*Table1181920231030313235383940414811151820283753565758[[#This Row],[النولون]]</f>
        <v>2170</v>
      </c>
      <c r="J5" s="1">
        <f>120+1100+670.78+912+200+285</f>
        <v>3287.7799999999997</v>
      </c>
      <c r="K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20957.78</v>
      </c>
      <c r="M5" s="1">
        <f>M4+Table1181920231030313235383940414811151820283753565758[[#This Row],[اجمالي الفاتوره]]-Table1181920231030313235383940414811151820283753565758[[#This Row],[الدفعات]]</f>
        <v>73926.529999999941</v>
      </c>
      <c r="O5" s="48"/>
    </row>
    <row r="6" spans="1:15" ht="24" customHeight="1" x14ac:dyDescent="0.3">
      <c r="A6" s="6">
        <v>1258</v>
      </c>
      <c r="B6" s="1">
        <v>4</v>
      </c>
      <c r="C6" s="2" t="s">
        <v>222</v>
      </c>
      <c r="D6" s="1" t="s">
        <v>232</v>
      </c>
      <c r="E6" s="1" t="s">
        <v>233</v>
      </c>
      <c r="F6" s="1">
        <v>6442355830</v>
      </c>
      <c r="G6" s="1" t="s">
        <v>121</v>
      </c>
      <c r="H6" s="1">
        <v>15500</v>
      </c>
      <c r="I6" s="1">
        <f>0.14*Table1181920231030313235383940414811151820283753565758[[#This Row],[النولون]]</f>
        <v>2170</v>
      </c>
      <c r="J6" s="1">
        <f>850+210+210+50+1100+438.4+50+1003.2+342</f>
        <v>4253.6000000000004</v>
      </c>
      <c r="K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21923.599999999999</v>
      </c>
      <c r="M6" s="1">
        <f>M5+Table1181920231030313235383940414811151820283753565758[[#This Row],[اجمالي الفاتوره]]-Table1181920231030313235383940414811151820283753565758[[#This Row],[الدفعات]]</f>
        <v>95850.129999999946</v>
      </c>
      <c r="O6" s="48"/>
    </row>
    <row r="7" spans="1:15" ht="24" customHeight="1" x14ac:dyDescent="0.3">
      <c r="A7" s="74"/>
      <c r="B7" s="72"/>
      <c r="C7" s="73" t="s">
        <v>335</v>
      </c>
      <c r="D7" s="72"/>
      <c r="E7" s="72"/>
      <c r="F7" s="72"/>
      <c r="G7" s="72"/>
      <c r="H7" s="72"/>
      <c r="I7" s="72">
        <f>0.14*Table1181920231030313235383940414811151820283753565758[[#This Row],[النولون]]</f>
        <v>0</v>
      </c>
      <c r="J7" s="72"/>
      <c r="K7" s="72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L7" s="72">
        <v>95847.81</v>
      </c>
      <c r="M7" s="72">
        <f>M6+Table1181920231030313235383940414811151820283753565758[[#This Row],[اجمالي الفاتوره]]-Table1181920231030313235383940414811151820283753565758[[#This Row],[الدفعات]]</f>
        <v>2.3199999999487773</v>
      </c>
      <c r="O7" s="48"/>
    </row>
    <row r="8" spans="1:15" ht="24" customHeight="1" x14ac:dyDescent="0.3">
      <c r="A8" s="6">
        <v>1349</v>
      </c>
      <c r="B8" s="1">
        <v>5</v>
      </c>
      <c r="C8" s="2" t="s">
        <v>407</v>
      </c>
      <c r="D8" s="1" t="s">
        <v>412</v>
      </c>
      <c r="E8" s="1" t="s">
        <v>370</v>
      </c>
      <c r="F8" s="1">
        <v>891858</v>
      </c>
      <c r="G8" s="1" t="s">
        <v>401</v>
      </c>
      <c r="H8" s="1">
        <f>37400*3</f>
        <v>112200</v>
      </c>
      <c r="I8" s="1">
        <f>0.14*Table1181920231030313235383940414811151820283753565758[[#This Row],[النولون]]</f>
        <v>15708.000000000002</v>
      </c>
      <c r="J8" s="1">
        <f>1000+810+1100*3+638.95+474.17+645.52+3*100+1704.3+150+3420+1050+1197</f>
        <v>14689.939999999999</v>
      </c>
      <c r="K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142597.94</v>
      </c>
      <c r="M8" s="1">
        <f>M7+Table1181920231030313235383940414811151820283753565758[[#This Row],[اجمالي الفاتوره]]-Table1181920231030313235383940414811151820283753565758[[#This Row],[الدفعات]]</f>
        <v>142600.25999999995</v>
      </c>
      <c r="O8" s="48"/>
    </row>
    <row r="9" spans="1:15" ht="24" customHeight="1" x14ac:dyDescent="0.3">
      <c r="A9" s="74"/>
      <c r="B9" s="72"/>
      <c r="C9" s="73">
        <v>46128</v>
      </c>
      <c r="D9" s="72"/>
      <c r="E9" s="72"/>
      <c r="F9" s="85"/>
      <c r="G9" s="72"/>
      <c r="H9" s="72"/>
      <c r="I9" s="72">
        <f>0.14*Table1181920231030313235383940414811151820283753565758[[#This Row],[النولون]]</f>
        <v>0</v>
      </c>
      <c r="J9" s="72"/>
      <c r="K9" s="72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L9" s="72">
        <v>142447.94</v>
      </c>
      <c r="M9" s="72">
        <f>M8+Table1181920231030313235383940414811151820283753565758[[#This Row],[اجمالي الفاتوره]]-Table1181920231030313235383940414811151820283753565758[[#This Row],[الدفعات]]</f>
        <v>152.31999999994878</v>
      </c>
      <c r="O9" s="48"/>
    </row>
    <row r="10" spans="1:15" ht="24" customHeight="1" x14ac:dyDescent="0.3">
      <c r="A10" s="6">
        <v>1444</v>
      </c>
      <c r="B10" s="1">
        <v>6</v>
      </c>
      <c r="C10" s="2">
        <v>46146</v>
      </c>
      <c r="D10" s="1" t="s">
        <v>231</v>
      </c>
      <c r="E10" s="1" t="s">
        <v>233</v>
      </c>
      <c r="F10" s="20">
        <v>211613</v>
      </c>
      <c r="G10" s="1" t="s">
        <v>129</v>
      </c>
      <c r="H10" s="1">
        <v>16800</v>
      </c>
      <c r="I10" s="1">
        <f>0.14*Table1181920231030313235383940414811151820283753565758[[#This Row],[النولون]]</f>
        <v>2352</v>
      </c>
      <c r="J10" s="1">
        <f>850+580+873.86+100</f>
        <v>2403.86</v>
      </c>
      <c r="K1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21555.86</v>
      </c>
      <c r="M10" s="1">
        <f>M9+Table1181920231030313235383940414811151820283753565758[[#This Row],[اجمالي الفاتوره]]-Table1181920231030313235383940414811151820283753565758[[#This Row],[الدفعات]]</f>
        <v>21708.179999999949</v>
      </c>
      <c r="O10" s="48"/>
    </row>
    <row r="11" spans="1:15" ht="24" customHeight="1" x14ac:dyDescent="0.3">
      <c r="A11" s="6">
        <v>1451</v>
      </c>
      <c r="B11" s="1">
        <v>7</v>
      </c>
      <c r="C11" s="2">
        <v>46151</v>
      </c>
      <c r="D11" s="1" t="s">
        <v>231</v>
      </c>
      <c r="E11" s="1" t="s">
        <v>233</v>
      </c>
      <c r="F11" s="20">
        <v>915196</v>
      </c>
      <c r="G11" s="1" t="s">
        <v>121</v>
      </c>
      <c r="H11" s="1">
        <v>17000</v>
      </c>
      <c r="I11" s="1">
        <f>0.14*Table1181920231030313235383940414811151820283753565758[[#This Row],[النولون]]</f>
        <v>2380</v>
      </c>
      <c r="J11" s="1">
        <f>1100+740.06+2500+200+285</f>
        <v>4825.0599999999995</v>
      </c>
      <c r="K1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24205.059999999998</v>
      </c>
      <c r="M11" s="1">
        <f>M10+Table1181920231030313235383940414811151820283753565758[[#This Row],[اجمالي الفاتوره]]-Table1181920231030313235383940414811151820283753565758[[#This Row],[الدفعات]]</f>
        <v>45913.239999999947</v>
      </c>
      <c r="O11" s="48"/>
    </row>
    <row r="12" spans="1:15" ht="24" customHeight="1" x14ac:dyDescent="0.3">
      <c r="A12" s="6">
        <v>1452</v>
      </c>
      <c r="B12" s="1">
        <v>8</v>
      </c>
      <c r="C12" s="2">
        <v>46151</v>
      </c>
      <c r="D12" s="1" t="s">
        <v>231</v>
      </c>
      <c r="E12" s="1" t="s">
        <v>233</v>
      </c>
      <c r="F12" s="1">
        <v>914388</v>
      </c>
      <c r="G12" s="1" t="s">
        <v>159</v>
      </c>
      <c r="H12" s="1">
        <v>13800</v>
      </c>
      <c r="I12" s="1">
        <f>0.14*Table1181920231030313235383940414811151820283753565758[[#This Row],[النولون]]</f>
        <v>1932.0000000000002</v>
      </c>
      <c r="J12" s="1">
        <f>570+286.67+1311+150+171</f>
        <v>2488.67</v>
      </c>
      <c r="K1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18220.670000000002</v>
      </c>
      <c r="M12" s="1">
        <f>M11+Table1181920231030313235383940414811151820283753565758[[#This Row],[اجمالي الفاتوره]]-Table1181920231030313235383940414811151820283753565758[[#This Row],[الدفعات]]</f>
        <v>64133.909999999945</v>
      </c>
      <c r="N12" s="1">
        <f>SUM(K:K)-SUM(L:L)+M2</f>
        <v>152.31999999994878</v>
      </c>
      <c r="O12" s="48">
        <f>SUM(Table1181920231030313235383940414811151820283753565758[قيمة مضافة])</f>
        <v>30296</v>
      </c>
    </row>
    <row r="13" spans="1:15" ht="24" customHeight="1" x14ac:dyDescent="0.3">
      <c r="A13" s="74"/>
      <c r="B13" s="72"/>
      <c r="C13" s="73">
        <v>46184</v>
      </c>
      <c r="D13" s="72"/>
      <c r="E13" s="72"/>
      <c r="F13" s="72"/>
      <c r="G13" s="72"/>
      <c r="H13" s="72"/>
      <c r="I13" s="72">
        <f>0.14*Table1181920231030313235383940414811151820283753565758[[#This Row],[النولون]]</f>
        <v>0</v>
      </c>
      <c r="J13" s="72"/>
      <c r="K13" s="72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L13" s="72">
        <v>63981.59</v>
      </c>
      <c r="M13" s="72">
        <f>M12+Table1181920231030313235383940414811151820283753565758[[#This Row],[اجمالي الفاتوره]]-Table1181920231030313235383940414811151820283753565758[[#This Row],[الدفعات]]</f>
        <v>152.31999999994878</v>
      </c>
      <c r="O13" s="48"/>
    </row>
    <row r="14" spans="1:15" ht="24" customHeight="1" x14ac:dyDescent="0.3">
      <c r="C14" s="2"/>
      <c r="I14" s="1">
        <f>0.14*Table1181920231030313235383940414811151820283753565758[[#This Row],[النولون]]</f>
        <v>0</v>
      </c>
      <c r="K1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4" s="1">
        <f>M13+Table1181920231030313235383940414811151820283753565758[[#This Row],[اجمالي الفاتوره]]-Table1181920231030313235383940414811151820283753565758[[#This Row],[الدفعات]]</f>
        <v>152.31999999994878</v>
      </c>
      <c r="O14" s="48"/>
    </row>
    <row r="15" spans="1:15" ht="24" customHeight="1" x14ac:dyDescent="0.3">
      <c r="C15" s="2"/>
      <c r="I15" s="1">
        <f>0.14*Table1181920231030313235383940414811151820283753565758[[#This Row],[النولون]]</f>
        <v>0</v>
      </c>
      <c r="K1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5" s="1">
        <f>M14+Table1181920231030313235383940414811151820283753565758[[#This Row],[اجمالي الفاتوره]]-Table1181920231030313235383940414811151820283753565758[[#This Row],[الدفعات]]</f>
        <v>152.31999999994878</v>
      </c>
      <c r="O15" s="48"/>
    </row>
    <row r="16" spans="1:15" ht="24" customHeight="1" x14ac:dyDescent="0.3">
      <c r="C16" s="2"/>
      <c r="I16" s="1">
        <f>0.14*Table1181920231030313235383940414811151820283753565758[[#This Row],[النولون]]</f>
        <v>0</v>
      </c>
      <c r="K1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6" s="1">
        <f>M15+Table1181920231030313235383940414811151820283753565758[[#This Row],[اجمالي الفاتوره]]-Table1181920231030313235383940414811151820283753565758[[#This Row],[الدفعات]]</f>
        <v>152.31999999994878</v>
      </c>
      <c r="O16" s="48"/>
    </row>
    <row r="17" spans="3:15" s="1" customFormat="1" ht="24" customHeight="1" x14ac:dyDescent="0.3">
      <c r="C17" s="2"/>
      <c r="I17" s="1">
        <f>0.14*Table1181920231030313235383940414811151820283753565758[[#This Row],[النولون]]</f>
        <v>0</v>
      </c>
      <c r="K1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7" s="1">
        <f>M16+Table1181920231030313235383940414811151820283753565758[[#This Row],[اجمالي الفاتوره]]-Table1181920231030313235383940414811151820283753565758[[#This Row],[الدفعات]]</f>
        <v>152.31999999994878</v>
      </c>
      <c r="O17" s="48"/>
    </row>
    <row r="18" spans="3:15" s="1" customFormat="1" ht="24" customHeight="1" x14ac:dyDescent="0.3">
      <c r="C18" s="2"/>
      <c r="I18" s="1">
        <f>0.14*Table1181920231030313235383940414811151820283753565758[[#This Row],[النولون]]</f>
        <v>0</v>
      </c>
      <c r="K1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8" s="1">
        <f>M17+Table1181920231030313235383940414811151820283753565758[[#This Row],[اجمالي الفاتوره]]-Table1181920231030313235383940414811151820283753565758[[#This Row],[الدفعات]]</f>
        <v>152.31999999994878</v>
      </c>
      <c r="O18" s="48"/>
    </row>
    <row r="19" spans="3:15" s="1" customFormat="1" ht="24" customHeight="1" x14ac:dyDescent="0.3">
      <c r="C19" s="2"/>
      <c r="I19" s="1">
        <f>0.14*Table1181920231030313235383940414811151820283753565758[[#This Row],[النولون]]</f>
        <v>0</v>
      </c>
      <c r="K1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9" s="1">
        <f>M18+Table1181920231030313235383940414811151820283753565758[[#This Row],[اجمالي الفاتوره]]-Table1181920231030313235383940414811151820283753565758[[#This Row],[الدفعات]]</f>
        <v>152.31999999994878</v>
      </c>
      <c r="O19" s="48"/>
    </row>
    <row r="20" spans="3:15" s="1" customFormat="1" ht="24" customHeight="1" x14ac:dyDescent="0.3">
      <c r="C20" s="2"/>
      <c r="I20" s="1">
        <f>0.14*Table1181920231030313235383940414811151820283753565758[[#This Row],[النولون]]</f>
        <v>0</v>
      </c>
      <c r="K2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0" s="1">
        <f>M19+Table1181920231030313235383940414811151820283753565758[[#This Row],[اجمالي الفاتوره]]-Table1181920231030313235383940414811151820283753565758[[#This Row],[الدفعات]]</f>
        <v>152.31999999994878</v>
      </c>
      <c r="O20" s="48"/>
    </row>
    <row r="21" spans="3:15" s="1" customFormat="1" ht="24" customHeight="1" x14ac:dyDescent="0.3">
      <c r="C21" s="2"/>
      <c r="I21" s="1">
        <f>0.14*Table1181920231030313235383940414811151820283753565758[[#This Row],[النولون]]</f>
        <v>0</v>
      </c>
      <c r="K2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1" s="1">
        <f>M20+Table1181920231030313235383940414811151820283753565758[[#This Row],[اجمالي الفاتوره]]-Table1181920231030313235383940414811151820283753565758[[#This Row],[الدفعات]]</f>
        <v>152.31999999994878</v>
      </c>
      <c r="O21" s="48"/>
    </row>
    <row r="22" spans="3:15" s="1" customFormat="1" ht="24" customHeight="1" x14ac:dyDescent="0.3">
      <c r="C22" s="2"/>
      <c r="I22" s="1">
        <f>0.14*Table1181920231030313235383940414811151820283753565758[[#This Row],[النولون]]</f>
        <v>0</v>
      </c>
      <c r="K2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2" s="1">
        <f>M21+Table1181920231030313235383940414811151820283753565758[[#This Row],[اجمالي الفاتوره]]-Table1181920231030313235383940414811151820283753565758[[#This Row],[الدفعات]]</f>
        <v>152.31999999994878</v>
      </c>
      <c r="O22" s="48"/>
    </row>
    <row r="23" spans="3:15" s="1" customFormat="1" ht="24" customHeight="1" x14ac:dyDescent="0.3">
      <c r="C23" s="2"/>
      <c r="I23" s="1">
        <f>0.14*Table1181920231030313235383940414811151820283753565758[[#This Row],[النولون]]</f>
        <v>0</v>
      </c>
      <c r="K2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3" s="1">
        <f>M22+Table1181920231030313235383940414811151820283753565758[[#This Row],[اجمالي الفاتوره]]-Table1181920231030313235383940414811151820283753565758[[#This Row],[الدفعات]]</f>
        <v>152.31999999994878</v>
      </c>
      <c r="O23" s="48"/>
    </row>
    <row r="24" spans="3:15" s="1" customFormat="1" ht="24" customHeight="1" x14ac:dyDescent="0.3">
      <c r="I24" s="1">
        <f>0.14*Table1181920231030313235383940414811151820283753565758[[#This Row],[النولون]]</f>
        <v>0</v>
      </c>
      <c r="K2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4" s="1">
        <f>M23+Table1181920231030313235383940414811151820283753565758[[#This Row],[اجمالي الفاتوره]]-Table1181920231030313235383940414811151820283753565758[[#This Row],[الدفعات]]</f>
        <v>152.31999999994878</v>
      </c>
      <c r="O24" s="48"/>
    </row>
    <row r="25" spans="3:15" s="1" customFormat="1" ht="24" customHeight="1" x14ac:dyDescent="0.3">
      <c r="I25" s="1">
        <f>0.14*Table1181920231030313235383940414811151820283753565758[[#This Row],[النولون]]</f>
        <v>0</v>
      </c>
      <c r="K2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5" s="1">
        <f>M24+Table1181920231030313235383940414811151820283753565758[[#This Row],[اجمالي الفاتوره]]-Table1181920231030313235383940414811151820283753565758[[#This Row],[الدفعات]]</f>
        <v>152.31999999994878</v>
      </c>
      <c r="O25" s="48"/>
    </row>
    <row r="26" spans="3:15" s="1" customFormat="1" ht="24" customHeight="1" x14ac:dyDescent="0.3">
      <c r="C26" s="2"/>
      <c r="I26" s="1">
        <f>0.14*Table1181920231030313235383940414811151820283753565758[[#This Row],[النولون]]</f>
        <v>0</v>
      </c>
      <c r="K2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6" s="1">
        <f>M25+Table1181920231030313235383940414811151820283753565758[[#This Row],[اجمالي الفاتوره]]-Table1181920231030313235383940414811151820283753565758[[#This Row],[الدفعات]]</f>
        <v>152.31999999994878</v>
      </c>
      <c r="O26" s="48"/>
    </row>
    <row r="27" spans="3:15" s="1" customFormat="1" ht="24" customHeight="1" x14ac:dyDescent="0.3">
      <c r="C27" s="2"/>
      <c r="I27" s="1">
        <f>0.14*Table1181920231030313235383940414811151820283753565758[[#This Row],[النولون]]</f>
        <v>0</v>
      </c>
      <c r="K2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7" s="1">
        <f>M26+Table1181920231030313235383940414811151820283753565758[[#This Row],[اجمالي الفاتوره]]-Table1181920231030313235383940414811151820283753565758[[#This Row],[الدفعات]]</f>
        <v>152.31999999994878</v>
      </c>
      <c r="O27" s="48"/>
    </row>
    <row r="28" spans="3:15" s="1" customFormat="1" ht="24" customHeight="1" x14ac:dyDescent="0.3">
      <c r="C28" s="2"/>
      <c r="I28" s="1">
        <f>0.14*Table1181920231030313235383940414811151820283753565758[[#This Row],[النولون]]</f>
        <v>0</v>
      </c>
      <c r="K2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8" s="1">
        <f>M27+Table1181920231030313235383940414811151820283753565758[[#This Row],[اجمالي الفاتوره]]-Table1181920231030313235383940414811151820283753565758[[#This Row],[الدفعات]]</f>
        <v>152.31999999994878</v>
      </c>
      <c r="O28" s="48"/>
    </row>
    <row r="29" spans="3:15" s="1" customFormat="1" ht="24" customHeight="1" x14ac:dyDescent="0.3">
      <c r="C29" s="2"/>
      <c r="I29" s="1">
        <f>0.14*Table1181920231030313235383940414811151820283753565758[[#This Row],[النولون]]</f>
        <v>0</v>
      </c>
      <c r="K2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9" s="1">
        <f>M28+Table1181920231030313235383940414811151820283753565758[[#This Row],[اجمالي الفاتوره]]-Table1181920231030313235383940414811151820283753565758[[#This Row],[الدفعات]]</f>
        <v>152.31999999994878</v>
      </c>
      <c r="O29" s="48"/>
    </row>
    <row r="30" spans="3:15" s="1" customFormat="1" ht="24" customHeight="1" x14ac:dyDescent="0.3">
      <c r="I30" s="1">
        <f>0.14*Table1181920231030313235383940414811151820283753565758[[#This Row],[النولون]]</f>
        <v>0</v>
      </c>
      <c r="K3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0" s="1">
        <f>M29+Table1181920231030313235383940414811151820283753565758[[#This Row],[اجمالي الفاتوره]]-Table1181920231030313235383940414811151820283753565758[[#This Row],[الدفعات]]</f>
        <v>152.31999999994878</v>
      </c>
      <c r="O30" s="48"/>
    </row>
    <row r="31" spans="3:15" s="1" customFormat="1" ht="24" customHeight="1" x14ac:dyDescent="0.3">
      <c r="C31" s="2"/>
      <c r="I31" s="1">
        <f>0.14*Table1181920231030313235383940414811151820283753565758[[#This Row],[النولون]]</f>
        <v>0</v>
      </c>
      <c r="K3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1" s="1">
        <f>M30+Table1181920231030313235383940414811151820283753565758[[#This Row],[اجمالي الفاتوره]]-Table1181920231030313235383940414811151820283753565758[[#This Row],[الدفعات]]</f>
        <v>152.31999999994878</v>
      </c>
      <c r="O31" s="48"/>
    </row>
    <row r="32" spans="3:15" s="1" customFormat="1" ht="24" customHeight="1" x14ac:dyDescent="0.3">
      <c r="I32" s="1">
        <f>0.14*Table1181920231030313235383940414811151820283753565758[[#This Row],[النولون]]</f>
        <v>0</v>
      </c>
      <c r="K3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2" s="1">
        <f>M31+Table1181920231030313235383940414811151820283753565758[[#This Row],[اجمالي الفاتوره]]-Table1181920231030313235383940414811151820283753565758[[#This Row],[الدفعات]]</f>
        <v>152.31999999994878</v>
      </c>
      <c r="O32" s="48"/>
    </row>
    <row r="33" spans="3:15" s="1" customFormat="1" ht="24" customHeight="1" x14ac:dyDescent="0.3">
      <c r="I33" s="1">
        <f>0.14*Table1181920231030313235383940414811151820283753565758[[#This Row],[النولون]]</f>
        <v>0</v>
      </c>
      <c r="K3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3" s="1">
        <f>M32+Table1181920231030313235383940414811151820283753565758[[#This Row],[اجمالي الفاتوره]]-Table1181920231030313235383940414811151820283753565758[[#This Row],[الدفعات]]</f>
        <v>152.31999999994878</v>
      </c>
      <c r="O33" s="48"/>
    </row>
    <row r="34" spans="3:15" s="1" customFormat="1" ht="24" customHeight="1" x14ac:dyDescent="0.3">
      <c r="I34" s="1">
        <f>0.14*Table1181920231030313235383940414811151820283753565758[[#This Row],[النولون]]</f>
        <v>0</v>
      </c>
      <c r="K3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4" s="1">
        <f>M33+Table1181920231030313235383940414811151820283753565758[[#This Row],[اجمالي الفاتوره]]-Table1181920231030313235383940414811151820283753565758[[#This Row],[الدفعات]]</f>
        <v>152.31999999994878</v>
      </c>
      <c r="O34" s="48"/>
    </row>
    <row r="35" spans="3:15" s="1" customFormat="1" ht="24" customHeight="1" x14ac:dyDescent="0.3">
      <c r="C35" s="2"/>
      <c r="D35" s="2"/>
      <c r="I35" s="1">
        <f>0.14*Table1181920231030313235383940414811151820283753565758[[#This Row],[النولون]]</f>
        <v>0</v>
      </c>
      <c r="K3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5" s="1">
        <f>M34+Table1181920231030313235383940414811151820283753565758[[#This Row],[اجمالي الفاتوره]]-Table1181920231030313235383940414811151820283753565758[[#This Row],[الدفعات]]</f>
        <v>152.31999999994878</v>
      </c>
      <c r="O35" s="48"/>
    </row>
    <row r="36" spans="3:15" s="1" customFormat="1" ht="24" customHeight="1" x14ac:dyDescent="0.3">
      <c r="I36" s="1">
        <f>0.14*Table1181920231030313235383940414811151820283753565758[[#This Row],[النولون]]</f>
        <v>0</v>
      </c>
      <c r="K3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6" s="1">
        <f>M35+Table1181920231030313235383940414811151820283753565758[[#This Row],[اجمالي الفاتوره]]-Table1181920231030313235383940414811151820283753565758[[#This Row],[الدفعات]]</f>
        <v>152.31999999994878</v>
      </c>
      <c r="O36" s="48"/>
    </row>
    <row r="37" spans="3:15" s="1" customFormat="1" ht="24" customHeight="1" x14ac:dyDescent="0.3">
      <c r="I37" s="1">
        <f>0.14*Table1181920231030313235383940414811151820283753565758[[#This Row],[النولون]]</f>
        <v>0</v>
      </c>
      <c r="K3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7" s="1">
        <f>M36+Table1181920231030313235383940414811151820283753565758[[#This Row],[اجمالي الفاتوره]]-Table1181920231030313235383940414811151820283753565758[[#This Row],[الدفعات]]</f>
        <v>152.31999999994878</v>
      </c>
      <c r="O37" s="48"/>
    </row>
    <row r="38" spans="3:15" s="1" customFormat="1" ht="24" customHeight="1" x14ac:dyDescent="0.3">
      <c r="I38" s="1">
        <f>0.14*Table1181920231030313235383940414811151820283753565758[[#This Row],[النولون]]</f>
        <v>0</v>
      </c>
      <c r="K3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8" s="1">
        <f>M37+Table1181920231030313235383940414811151820283753565758[[#This Row],[اجمالي الفاتوره]]-Table1181920231030313235383940414811151820283753565758[[#This Row],[الدفعات]]</f>
        <v>152.31999999994878</v>
      </c>
      <c r="O38" s="48"/>
    </row>
    <row r="39" spans="3:15" s="1" customFormat="1" ht="24" customHeight="1" x14ac:dyDescent="0.3">
      <c r="I39" s="1">
        <f>0.14*Table1181920231030313235383940414811151820283753565758[[#This Row],[النولون]]</f>
        <v>0</v>
      </c>
      <c r="K3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9" s="1">
        <f>M38+Table1181920231030313235383940414811151820283753565758[[#This Row],[اجمالي الفاتوره]]-Table1181920231030313235383940414811151820283753565758[[#This Row],[الدفعات]]</f>
        <v>152.31999999994878</v>
      </c>
      <c r="O39" s="48"/>
    </row>
    <row r="40" spans="3:15" s="1" customFormat="1" ht="24" customHeight="1" x14ac:dyDescent="0.3">
      <c r="I40" s="1">
        <f>0.14*Table1181920231030313235383940414811151820283753565758[[#This Row],[النولون]]</f>
        <v>0</v>
      </c>
      <c r="K4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40" s="1">
        <f>M39+Table1181920231030313235383940414811151820283753565758[[#This Row],[اجمالي الفاتوره]]-Table1181920231030313235383940414811151820283753565758[[#This Row],[الدفعات]]</f>
        <v>152.31999999994878</v>
      </c>
      <c r="O40" s="48"/>
    </row>
    <row r="41" spans="3:15" s="1" customFormat="1" ht="24" customHeight="1" x14ac:dyDescent="0.3">
      <c r="I41" s="1">
        <f>0.14*Table1181920231030313235383940414811151820283753565758[[#This Row],[النولون]]</f>
        <v>0</v>
      </c>
      <c r="K4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41" s="1">
        <f>M40+Table1181920231030313235383940414811151820283753565758[[#This Row],[اجمالي الفاتوره]]-Table1181920231030313235383940414811151820283753565758[[#This Row],[الدفعات]]</f>
        <v>152.31999999994878</v>
      </c>
      <c r="O41" s="48"/>
    </row>
    <row r="42" spans="3:15" s="1" customFormat="1" ht="24" customHeight="1" x14ac:dyDescent="0.3">
      <c r="I42" s="1">
        <f>0.14*Table1181920231030313235383940414811151820283753565758[[#This Row],[النولون]]</f>
        <v>0</v>
      </c>
      <c r="K4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42" s="1">
        <f>M41+Table1181920231030313235383940414811151820283753565758[[#This Row],[اجمالي الفاتوره]]-Table1181920231030313235383940414811151820283753565758[[#This Row],[الدفعات]]</f>
        <v>152.31999999994878</v>
      </c>
      <c r="O42" s="48"/>
    </row>
    <row r="43" spans="3:15" s="1" customFormat="1" ht="24" customHeight="1" x14ac:dyDescent="0.3">
      <c r="I43" s="1">
        <f>0.14*Table1181920231030313235383940414811151820283753565758[[#This Row],[النولون]]</f>
        <v>0</v>
      </c>
      <c r="K4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43" s="1">
        <f>M42+Table1181920231030313235383940414811151820283753565758[[#This Row],[اجمالي الفاتوره]]-Table1181920231030313235383940414811151820283753565758[[#This Row],[الدفعات]]</f>
        <v>152.31999999994878</v>
      </c>
      <c r="O43" s="48"/>
    </row>
    <row r="44" spans="3:15" s="1" customFormat="1" ht="24" customHeight="1" x14ac:dyDescent="0.3">
      <c r="I44" s="1">
        <f>0.14*Table1181920231030313235383940414811151820283753565758[[#This Row],[النولون]]</f>
        <v>0</v>
      </c>
      <c r="K4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44" s="1">
        <f>M43+Table1181920231030313235383940414811151820283753565758[[#This Row],[اجمالي الفاتوره]]-Table1181920231030313235383940414811151820283753565758[[#This Row],[الدفعات]]</f>
        <v>152.31999999994878</v>
      </c>
      <c r="O44" s="48"/>
    </row>
    <row r="45" spans="3:15" s="1" customFormat="1" ht="24" customHeight="1" x14ac:dyDescent="0.3">
      <c r="I45" s="1">
        <f>0.14*Table1181920231030313235383940414811151820283753565758[[#This Row],[النولون]]</f>
        <v>0</v>
      </c>
      <c r="K4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45" s="1">
        <f>M44+Table1181920231030313235383940414811151820283753565758[[#This Row],[اجمالي الفاتوره]]-Table1181920231030313235383940414811151820283753565758[[#This Row],[الدفعات]]</f>
        <v>152.31999999994878</v>
      </c>
      <c r="O45" s="48"/>
    </row>
    <row r="46" spans="3:15" s="1" customFormat="1" ht="24" customHeight="1" x14ac:dyDescent="0.3">
      <c r="I46" s="1">
        <f>0.14*Table1181920231030313235383940414811151820283753565758[[#This Row],[النولون]]</f>
        <v>0</v>
      </c>
      <c r="K4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46" s="1">
        <f>M45+Table1181920231030313235383940414811151820283753565758[[#This Row],[اجمالي الفاتوره]]-Table1181920231030313235383940414811151820283753565758[[#This Row],[الدفعات]]</f>
        <v>152.31999999994878</v>
      </c>
      <c r="O46" s="48"/>
    </row>
    <row r="47" spans="3:15" s="1" customFormat="1" ht="24" customHeight="1" x14ac:dyDescent="0.3">
      <c r="I47" s="1">
        <f>0.14*Table1181920231030313235383940414811151820283753565758[[#This Row],[النولون]]</f>
        <v>0</v>
      </c>
      <c r="K4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47" s="1">
        <f>M46+Table1181920231030313235383940414811151820283753565758[[#This Row],[اجمالي الفاتوره]]-Table1181920231030313235383940414811151820283753565758[[#This Row],[الدفعات]]</f>
        <v>152.31999999994878</v>
      </c>
      <c r="O47" s="48"/>
    </row>
    <row r="48" spans="3:15" s="1" customFormat="1" ht="24" customHeight="1" x14ac:dyDescent="0.3">
      <c r="I48" s="1">
        <f>0.14*Table1181920231030313235383940414811151820283753565758[[#This Row],[النولون]]</f>
        <v>0</v>
      </c>
      <c r="K4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48" s="1">
        <f>M47+Table1181920231030313235383940414811151820283753565758[[#This Row],[اجمالي الفاتوره]]-Table1181920231030313235383940414811151820283753565758[[#This Row],[الدفعات]]</f>
        <v>152.31999999994878</v>
      </c>
      <c r="O48" s="48"/>
    </row>
    <row r="49" spans="9:15" s="1" customFormat="1" ht="24" customHeight="1" x14ac:dyDescent="0.3">
      <c r="I49" s="1">
        <f>0.14*Table1181920231030313235383940414811151820283753565758[[#This Row],[النولون]]</f>
        <v>0</v>
      </c>
      <c r="K4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49" s="1">
        <f>M48+Table1181920231030313235383940414811151820283753565758[[#This Row],[اجمالي الفاتوره]]-Table1181920231030313235383940414811151820283753565758[[#This Row],[الدفعات]]</f>
        <v>152.31999999994878</v>
      </c>
      <c r="O49" s="48"/>
    </row>
    <row r="50" spans="9:15" s="1" customFormat="1" ht="24" customHeight="1" x14ac:dyDescent="0.3">
      <c r="I50" s="1">
        <f>0.14*Table1181920231030313235383940414811151820283753565758[[#This Row],[النولون]]</f>
        <v>0</v>
      </c>
      <c r="K5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50" s="1">
        <f>M49+Table1181920231030313235383940414811151820283753565758[[#This Row],[اجمالي الفاتوره]]-Table1181920231030313235383940414811151820283753565758[[#This Row],[الدفعات]]</f>
        <v>152.31999999994878</v>
      </c>
      <c r="O50" s="48"/>
    </row>
    <row r="51" spans="9:15" s="1" customFormat="1" ht="24" customHeight="1" x14ac:dyDescent="0.3">
      <c r="I51" s="1">
        <f>0.14*Table1181920231030313235383940414811151820283753565758[[#This Row],[النولون]]</f>
        <v>0</v>
      </c>
      <c r="K5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51" s="1">
        <f>M50+Table1181920231030313235383940414811151820283753565758[[#This Row],[اجمالي الفاتوره]]-Table1181920231030313235383940414811151820283753565758[[#This Row],[الدفعات]]</f>
        <v>152.31999999994878</v>
      </c>
      <c r="O51" s="48"/>
    </row>
    <row r="52" spans="9:15" s="1" customFormat="1" ht="24" customHeight="1" x14ac:dyDescent="0.3">
      <c r="I52" s="1">
        <f>0.14*Table1181920231030313235383940414811151820283753565758[[#This Row],[النولون]]</f>
        <v>0</v>
      </c>
      <c r="K5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52" s="1">
        <f>M51+Table1181920231030313235383940414811151820283753565758[[#This Row],[اجمالي الفاتوره]]-Table1181920231030313235383940414811151820283753565758[[#This Row],[الدفعات]]</f>
        <v>152.31999999994878</v>
      </c>
      <c r="O52" s="48"/>
    </row>
    <row r="53" spans="9:15" s="1" customFormat="1" ht="24" customHeight="1" x14ac:dyDescent="0.3">
      <c r="I53" s="1">
        <f>0.14*Table1181920231030313235383940414811151820283753565758[[#This Row],[النولون]]</f>
        <v>0</v>
      </c>
      <c r="K5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53" s="1">
        <f>M52+Table1181920231030313235383940414811151820283753565758[[#This Row],[اجمالي الفاتوره]]-Table1181920231030313235383940414811151820283753565758[[#This Row],[الدفعات]]</f>
        <v>152.31999999994878</v>
      </c>
      <c r="O53" s="48"/>
    </row>
    <row r="54" spans="9:15" s="1" customFormat="1" ht="24" customHeight="1" x14ac:dyDescent="0.3">
      <c r="I54" s="1">
        <f>0.14*Table1181920231030313235383940414811151820283753565758[[#This Row],[النولون]]</f>
        <v>0</v>
      </c>
      <c r="K5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54" s="1">
        <f>M53+Table1181920231030313235383940414811151820283753565758[[#This Row],[اجمالي الفاتوره]]-Table1181920231030313235383940414811151820283753565758[[#This Row],[الدفعات]]</f>
        <v>152.31999999994878</v>
      </c>
      <c r="O54" s="48"/>
    </row>
    <row r="55" spans="9:15" s="1" customFormat="1" ht="24" customHeight="1" x14ac:dyDescent="0.3">
      <c r="I55" s="1">
        <f>0.14*Table1181920231030313235383940414811151820283753565758[[#This Row],[النولون]]</f>
        <v>0</v>
      </c>
      <c r="K5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55" s="1">
        <f>M54+Table1181920231030313235383940414811151820283753565758[[#This Row],[اجمالي الفاتوره]]-Table1181920231030313235383940414811151820283753565758[[#This Row],[الدفعات]]</f>
        <v>152.31999999994878</v>
      </c>
      <c r="O55" s="48"/>
    </row>
    <row r="56" spans="9:15" s="1" customFormat="1" ht="24" customHeight="1" x14ac:dyDescent="0.3">
      <c r="I56" s="1">
        <f>0.14*Table1181920231030313235383940414811151820283753565758[[#This Row],[النولون]]</f>
        <v>0</v>
      </c>
      <c r="K5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56" s="1">
        <f>M55+Table1181920231030313235383940414811151820283753565758[[#This Row],[اجمالي الفاتوره]]-Table1181920231030313235383940414811151820283753565758[[#This Row],[الدفعات]]</f>
        <v>152.31999999994878</v>
      </c>
      <c r="O56" s="48"/>
    </row>
    <row r="57" spans="9:15" s="1" customFormat="1" ht="24" customHeight="1" x14ac:dyDescent="0.3">
      <c r="I57" s="1">
        <f>0.14*Table1181920231030313235383940414811151820283753565758[[#This Row],[النولون]]</f>
        <v>0</v>
      </c>
      <c r="K5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57" s="1">
        <f>M56+Table1181920231030313235383940414811151820283753565758[[#This Row],[اجمالي الفاتوره]]-Table1181920231030313235383940414811151820283753565758[[#This Row],[الدفعات]]</f>
        <v>152.31999999994878</v>
      </c>
      <c r="O57" s="48"/>
    </row>
    <row r="58" spans="9:15" s="1" customFormat="1" ht="24" customHeight="1" x14ac:dyDescent="0.3">
      <c r="I58" s="1">
        <f>0.14*Table1181920231030313235383940414811151820283753565758[[#This Row],[النولون]]</f>
        <v>0</v>
      </c>
      <c r="K5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58" s="1">
        <f>M57+Table1181920231030313235383940414811151820283753565758[[#This Row],[اجمالي الفاتوره]]-Table1181920231030313235383940414811151820283753565758[[#This Row],[الدفعات]]</f>
        <v>152.31999999994878</v>
      </c>
      <c r="O58" s="48"/>
    </row>
    <row r="59" spans="9:15" s="1" customFormat="1" ht="24" customHeight="1" x14ac:dyDescent="0.3">
      <c r="I59" s="1">
        <f>0.14*Table1181920231030313235383940414811151820283753565758[[#This Row],[النولون]]</f>
        <v>0</v>
      </c>
      <c r="K5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59" s="1">
        <f>M58+Table1181920231030313235383940414811151820283753565758[[#This Row],[اجمالي الفاتوره]]-Table1181920231030313235383940414811151820283753565758[[#This Row],[الدفعات]]</f>
        <v>152.31999999994878</v>
      </c>
      <c r="O59" s="48"/>
    </row>
    <row r="60" spans="9:15" s="1" customFormat="1" ht="24" customHeight="1" x14ac:dyDescent="0.3">
      <c r="I60" s="1">
        <f>0.14*Table1181920231030313235383940414811151820283753565758[[#This Row],[النولون]]</f>
        <v>0</v>
      </c>
      <c r="K6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60" s="1">
        <f>M59+Table1181920231030313235383940414811151820283753565758[[#This Row],[اجمالي الفاتوره]]-Table1181920231030313235383940414811151820283753565758[[#This Row],[الدفعات]]</f>
        <v>152.31999999994878</v>
      </c>
      <c r="O60" s="48"/>
    </row>
    <row r="61" spans="9:15" s="1" customFormat="1" ht="24" customHeight="1" x14ac:dyDescent="0.3">
      <c r="I61" s="1">
        <f>0.14*Table1181920231030313235383940414811151820283753565758[[#This Row],[النولون]]</f>
        <v>0</v>
      </c>
      <c r="K6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61" s="1">
        <f>M60+Table1181920231030313235383940414811151820283753565758[[#This Row],[اجمالي الفاتوره]]-Table1181920231030313235383940414811151820283753565758[[#This Row],[الدفعات]]</f>
        <v>152.31999999994878</v>
      </c>
      <c r="O61" s="48"/>
    </row>
    <row r="62" spans="9:15" s="1" customFormat="1" ht="24" customHeight="1" x14ac:dyDescent="0.3">
      <c r="I62" s="1">
        <f>0.14*Table1181920231030313235383940414811151820283753565758[[#This Row],[النولون]]</f>
        <v>0</v>
      </c>
      <c r="K6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62" s="1">
        <f>M61+Table1181920231030313235383940414811151820283753565758[[#This Row],[اجمالي الفاتوره]]-Table1181920231030313235383940414811151820283753565758[[#This Row],[الدفعات]]</f>
        <v>152.31999999994878</v>
      </c>
      <c r="O62" s="48"/>
    </row>
    <row r="63" spans="9:15" s="1" customFormat="1" ht="24" customHeight="1" x14ac:dyDescent="0.3">
      <c r="I63" s="1">
        <f>0.14*Table1181920231030313235383940414811151820283753565758[[#This Row],[النولون]]</f>
        <v>0</v>
      </c>
      <c r="K6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63" s="1">
        <f>M62+Table1181920231030313235383940414811151820283753565758[[#This Row],[اجمالي الفاتوره]]-Table1181920231030313235383940414811151820283753565758[[#This Row],[الدفعات]]</f>
        <v>152.31999999994878</v>
      </c>
      <c r="O63" s="48"/>
    </row>
    <row r="64" spans="9:15" s="1" customFormat="1" ht="24" customHeight="1" x14ac:dyDescent="0.3">
      <c r="I64" s="1">
        <f>0.14*Table1181920231030313235383940414811151820283753565758[[#This Row],[النولون]]</f>
        <v>0</v>
      </c>
      <c r="K6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64" s="1">
        <f>M63+Table1181920231030313235383940414811151820283753565758[[#This Row],[اجمالي الفاتوره]]-Table1181920231030313235383940414811151820283753565758[[#This Row],[الدفعات]]</f>
        <v>152.31999999994878</v>
      </c>
      <c r="O64" s="48"/>
    </row>
    <row r="65" spans="9:15" s="1" customFormat="1" ht="24" customHeight="1" x14ac:dyDescent="0.3">
      <c r="I65" s="1">
        <f>0.14*Table1181920231030313235383940414811151820283753565758[[#This Row],[النولون]]</f>
        <v>0</v>
      </c>
      <c r="K6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65" s="1">
        <f>M64+Table1181920231030313235383940414811151820283753565758[[#This Row],[اجمالي الفاتوره]]-Table1181920231030313235383940414811151820283753565758[[#This Row],[الدفعات]]</f>
        <v>152.31999999994878</v>
      </c>
      <c r="O65" s="48"/>
    </row>
    <row r="66" spans="9:15" s="1" customFormat="1" ht="24" customHeight="1" x14ac:dyDescent="0.3">
      <c r="I66" s="1">
        <f>0.14*Table1181920231030313235383940414811151820283753565758[[#This Row],[النولون]]</f>
        <v>0</v>
      </c>
      <c r="K6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66" s="1">
        <f>M65+Table1181920231030313235383940414811151820283753565758[[#This Row],[اجمالي الفاتوره]]-Table1181920231030313235383940414811151820283753565758[[#This Row],[الدفعات]]</f>
        <v>152.31999999994878</v>
      </c>
      <c r="O66" s="48"/>
    </row>
    <row r="67" spans="9:15" s="1" customFormat="1" ht="24" customHeight="1" x14ac:dyDescent="0.3">
      <c r="I67" s="1">
        <f>0.14*Table1181920231030313235383940414811151820283753565758[[#This Row],[النولون]]</f>
        <v>0</v>
      </c>
      <c r="K6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67" s="1">
        <f>M66+Table1181920231030313235383940414811151820283753565758[[#This Row],[اجمالي الفاتوره]]-Table1181920231030313235383940414811151820283753565758[[#This Row],[الدفعات]]</f>
        <v>152.31999999994878</v>
      </c>
      <c r="O67" s="48"/>
    </row>
    <row r="68" spans="9:15" s="1" customFormat="1" ht="24" customHeight="1" x14ac:dyDescent="0.3">
      <c r="I68" s="1">
        <f>0.14*Table1181920231030313235383940414811151820283753565758[[#This Row],[النولون]]</f>
        <v>0</v>
      </c>
      <c r="K6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68" s="1">
        <f>M67+Table1181920231030313235383940414811151820283753565758[[#This Row],[اجمالي الفاتوره]]-Table1181920231030313235383940414811151820283753565758[[#This Row],[الدفعات]]</f>
        <v>152.31999999994878</v>
      </c>
      <c r="O68" s="48"/>
    </row>
    <row r="69" spans="9:15" s="1" customFormat="1" ht="24" customHeight="1" x14ac:dyDescent="0.3">
      <c r="I69" s="1">
        <f>0.14*Table1181920231030313235383940414811151820283753565758[[#This Row],[النولون]]</f>
        <v>0</v>
      </c>
      <c r="K6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69" s="1">
        <f>M68+Table1181920231030313235383940414811151820283753565758[[#This Row],[اجمالي الفاتوره]]-Table1181920231030313235383940414811151820283753565758[[#This Row],[الدفعات]]</f>
        <v>152.31999999994878</v>
      </c>
      <c r="O69" s="48"/>
    </row>
    <row r="70" spans="9:15" s="1" customFormat="1" ht="24" customHeight="1" x14ac:dyDescent="0.3">
      <c r="I70" s="1">
        <f>0.14*Table1181920231030313235383940414811151820283753565758[[#This Row],[النولون]]</f>
        <v>0</v>
      </c>
      <c r="K7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70" s="1">
        <f>M69+Table1181920231030313235383940414811151820283753565758[[#This Row],[اجمالي الفاتوره]]-Table1181920231030313235383940414811151820283753565758[[#This Row],[الدفعات]]</f>
        <v>152.31999999994878</v>
      </c>
      <c r="O70" s="48"/>
    </row>
    <row r="71" spans="9:15" s="1" customFormat="1" ht="24" customHeight="1" x14ac:dyDescent="0.3">
      <c r="I71" s="1">
        <f>0.14*Table1181920231030313235383940414811151820283753565758[[#This Row],[النولون]]</f>
        <v>0</v>
      </c>
      <c r="K7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71" s="1">
        <f>M70+Table1181920231030313235383940414811151820283753565758[[#This Row],[اجمالي الفاتوره]]-Table1181920231030313235383940414811151820283753565758[[#This Row],[الدفعات]]</f>
        <v>152.31999999994878</v>
      </c>
      <c r="O71" s="48"/>
    </row>
    <row r="72" spans="9:15" s="1" customFormat="1" ht="24" customHeight="1" x14ac:dyDescent="0.3">
      <c r="I72" s="1">
        <f>0.14*Table1181920231030313235383940414811151820283753565758[[#This Row],[النولون]]</f>
        <v>0</v>
      </c>
      <c r="K7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72" s="1">
        <f>M71+Table1181920231030313235383940414811151820283753565758[[#This Row],[اجمالي الفاتوره]]-Table1181920231030313235383940414811151820283753565758[[#This Row],[الدفعات]]</f>
        <v>152.31999999994878</v>
      </c>
      <c r="O72" s="48"/>
    </row>
    <row r="73" spans="9:15" s="1" customFormat="1" ht="24" customHeight="1" x14ac:dyDescent="0.3">
      <c r="I73" s="1">
        <f>0.14*Table1181920231030313235383940414811151820283753565758[[#This Row],[النولون]]</f>
        <v>0</v>
      </c>
      <c r="K7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73" s="1">
        <f>M72+Table1181920231030313235383940414811151820283753565758[[#This Row],[اجمالي الفاتوره]]-Table1181920231030313235383940414811151820283753565758[[#This Row],[الدفعات]]</f>
        <v>152.31999999994878</v>
      </c>
      <c r="O73" s="48"/>
    </row>
    <row r="74" spans="9:15" s="1" customFormat="1" ht="24" customHeight="1" x14ac:dyDescent="0.3">
      <c r="I74" s="1">
        <f>0.14*Table1181920231030313235383940414811151820283753565758[[#This Row],[النولون]]</f>
        <v>0</v>
      </c>
      <c r="K7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74" s="1">
        <f>M73+Table1181920231030313235383940414811151820283753565758[[#This Row],[اجمالي الفاتوره]]-Table1181920231030313235383940414811151820283753565758[[#This Row],[الدفعات]]</f>
        <v>152.31999999994878</v>
      </c>
      <c r="O74" s="48"/>
    </row>
    <row r="75" spans="9:15" s="1" customFormat="1" ht="24" customHeight="1" x14ac:dyDescent="0.3">
      <c r="I75" s="1">
        <f>0.14*Table1181920231030313235383940414811151820283753565758[[#This Row],[النولون]]</f>
        <v>0</v>
      </c>
      <c r="K7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75" s="1">
        <f>M74+Table1181920231030313235383940414811151820283753565758[[#This Row],[اجمالي الفاتوره]]-Table1181920231030313235383940414811151820283753565758[[#This Row],[الدفعات]]</f>
        <v>152.31999999994878</v>
      </c>
      <c r="O75" s="48"/>
    </row>
    <row r="76" spans="9:15" s="1" customFormat="1" ht="24" customHeight="1" x14ac:dyDescent="0.3">
      <c r="I76" s="1">
        <f>0.14*Table1181920231030313235383940414811151820283753565758[[#This Row],[النولون]]</f>
        <v>0</v>
      </c>
      <c r="K7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76" s="1">
        <f>M75+Table1181920231030313235383940414811151820283753565758[[#This Row],[اجمالي الفاتوره]]-Table1181920231030313235383940414811151820283753565758[[#This Row],[الدفعات]]</f>
        <v>152.31999999994878</v>
      </c>
      <c r="O76" s="48"/>
    </row>
    <row r="77" spans="9:15" s="1" customFormat="1" ht="24" customHeight="1" x14ac:dyDescent="0.3">
      <c r="I77" s="1">
        <f>0.14*Table1181920231030313235383940414811151820283753565758[[#This Row],[النولون]]</f>
        <v>0</v>
      </c>
      <c r="K7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77" s="1">
        <f>M76+Table1181920231030313235383940414811151820283753565758[[#This Row],[اجمالي الفاتوره]]-Table1181920231030313235383940414811151820283753565758[[#This Row],[الدفعات]]</f>
        <v>152.31999999994878</v>
      </c>
      <c r="O77" s="48"/>
    </row>
    <row r="78" spans="9:15" s="1" customFormat="1" ht="24" customHeight="1" x14ac:dyDescent="0.3">
      <c r="I78" s="1">
        <f>0.14*Table1181920231030313235383940414811151820283753565758[[#This Row],[النولون]]</f>
        <v>0</v>
      </c>
      <c r="K7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78" s="1">
        <f>M77+Table1181920231030313235383940414811151820283753565758[[#This Row],[اجمالي الفاتوره]]-Table1181920231030313235383940414811151820283753565758[[#This Row],[الدفعات]]</f>
        <v>152.31999999994878</v>
      </c>
      <c r="O78" s="48"/>
    </row>
    <row r="79" spans="9:15" s="1" customFormat="1" ht="24" customHeight="1" x14ac:dyDescent="0.3">
      <c r="I79" s="1">
        <f>0.14*Table1181920231030313235383940414811151820283753565758[[#This Row],[النولون]]</f>
        <v>0</v>
      </c>
      <c r="K7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79" s="1">
        <f>M78+Table1181920231030313235383940414811151820283753565758[[#This Row],[اجمالي الفاتوره]]-Table1181920231030313235383940414811151820283753565758[[#This Row],[الدفعات]]</f>
        <v>152.31999999994878</v>
      </c>
      <c r="O79" s="48"/>
    </row>
    <row r="80" spans="9:15" s="1" customFormat="1" ht="24" customHeight="1" x14ac:dyDescent="0.3">
      <c r="I80" s="1">
        <f>0.14*Table1181920231030313235383940414811151820283753565758[[#This Row],[النولون]]</f>
        <v>0</v>
      </c>
      <c r="K8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80" s="1">
        <f>M79+Table1181920231030313235383940414811151820283753565758[[#This Row],[اجمالي الفاتوره]]-Table1181920231030313235383940414811151820283753565758[[#This Row],[الدفعات]]</f>
        <v>152.31999999994878</v>
      </c>
      <c r="O80" s="48"/>
    </row>
    <row r="81" spans="9:15" s="1" customFormat="1" ht="24" customHeight="1" x14ac:dyDescent="0.3">
      <c r="I81" s="1">
        <f>0.14*Table1181920231030313235383940414811151820283753565758[[#This Row],[النولون]]</f>
        <v>0</v>
      </c>
      <c r="K8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81" s="1">
        <f>M80+Table1181920231030313235383940414811151820283753565758[[#This Row],[اجمالي الفاتوره]]-Table1181920231030313235383940414811151820283753565758[[#This Row],[الدفعات]]</f>
        <v>152.31999999994878</v>
      </c>
      <c r="O81" s="48"/>
    </row>
    <row r="82" spans="9:15" s="1" customFormat="1" ht="24" customHeight="1" x14ac:dyDescent="0.3">
      <c r="I82" s="1">
        <f>0.14*Table1181920231030313235383940414811151820283753565758[[#This Row],[النولون]]</f>
        <v>0</v>
      </c>
      <c r="K8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82" s="1">
        <f>M81+Table1181920231030313235383940414811151820283753565758[[#This Row],[اجمالي الفاتوره]]-Table1181920231030313235383940414811151820283753565758[[#This Row],[الدفعات]]</f>
        <v>152.31999999994878</v>
      </c>
      <c r="O82" s="48"/>
    </row>
    <row r="83" spans="9:15" s="1" customFormat="1" ht="24" customHeight="1" x14ac:dyDescent="0.3">
      <c r="I83" s="1">
        <f>0.14*Table1181920231030313235383940414811151820283753565758[[#This Row],[النولون]]</f>
        <v>0</v>
      </c>
      <c r="K8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83" s="1">
        <f>M82+Table1181920231030313235383940414811151820283753565758[[#This Row],[اجمالي الفاتوره]]-Table1181920231030313235383940414811151820283753565758[[#This Row],[الدفعات]]</f>
        <v>152.31999999994878</v>
      </c>
      <c r="O83" s="48"/>
    </row>
    <row r="84" spans="9:15" s="1" customFormat="1" ht="24" customHeight="1" x14ac:dyDescent="0.3">
      <c r="I84" s="1">
        <f>0.14*Table1181920231030313235383940414811151820283753565758[[#This Row],[النولون]]</f>
        <v>0</v>
      </c>
      <c r="K8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84" s="1">
        <f>M83+Table1181920231030313235383940414811151820283753565758[[#This Row],[اجمالي الفاتوره]]-Table1181920231030313235383940414811151820283753565758[[#This Row],[الدفعات]]</f>
        <v>152.31999999994878</v>
      </c>
      <c r="O84" s="48"/>
    </row>
    <row r="85" spans="9:15" s="1" customFormat="1" ht="24" customHeight="1" x14ac:dyDescent="0.3">
      <c r="I85" s="1">
        <f>0.14*Table1181920231030313235383940414811151820283753565758[[#This Row],[النولون]]</f>
        <v>0</v>
      </c>
      <c r="K8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85" s="1">
        <f>M84+Table1181920231030313235383940414811151820283753565758[[#This Row],[اجمالي الفاتوره]]-Table1181920231030313235383940414811151820283753565758[[#This Row],[الدفعات]]</f>
        <v>152.31999999994878</v>
      </c>
      <c r="O85" s="48"/>
    </row>
    <row r="86" spans="9:15" s="1" customFormat="1" ht="24" customHeight="1" x14ac:dyDescent="0.3">
      <c r="I86" s="1">
        <f>0.14*Table1181920231030313235383940414811151820283753565758[[#This Row],[النولون]]</f>
        <v>0</v>
      </c>
      <c r="K8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86" s="1">
        <f>M85+Table1181920231030313235383940414811151820283753565758[[#This Row],[اجمالي الفاتوره]]-Table1181920231030313235383940414811151820283753565758[[#This Row],[الدفعات]]</f>
        <v>152.31999999994878</v>
      </c>
      <c r="O86" s="48"/>
    </row>
    <row r="87" spans="9:15" s="1" customFormat="1" ht="24" customHeight="1" x14ac:dyDescent="0.3">
      <c r="I87" s="1">
        <f>0.14*Table1181920231030313235383940414811151820283753565758[[#This Row],[النولون]]</f>
        <v>0</v>
      </c>
      <c r="K8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87" s="1">
        <f>M86+Table1181920231030313235383940414811151820283753565758[[#This Row],[اجمالي الفاتوره]]-Table1181920231030313235383940414811151820283753565758[[#This Row],[الدفعات]]</f>
        <v>152.31999999994878</v>
      </c>
      <c r="O87" s="48"/>
    </row>
    <row r="88" spans="9:15" s="1" customFormat="1" ht="24" customHeight="1" x14ac:dyDescent="0.3">
      <c r="I88" s="1">
        <f>0.14*Table1181920231030313235383940414811151820283753565758[[#This Row],[النولون]]</f>
        <v>0</v>
      </c>
      <c r="K8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88" s="1">
        <f>M87+Table1181920231030313235383940414811151820283753565758[[#This Row],[اجمالي الفاتوره]]-Table1181920231030313235383940414811151820283753565758[[#This Row],[الدفعات]]</f>
        <v>152.31999999994878</v>
      </c>
      <c r="O88" s="48"/>
    </row>
    <row r="89" spans="9:15" s="1" customFormat="1" ht="24" customHeight="1" x14ac:dyDescent="0.3">
      <c r="I89" s="1">
        <f>0.14*Table1181920231030313235383940414811151820283753565758[[#This Row],[النولون]]</f>
        <v>0</v>
      </c>
      <c r="K8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89" s="1">
        <f>M88+Table1181920231030313235383940414811151820283753565758[[#This Row],[اجمالي الفاتوره]]-Table1181920231030313235383940414811151820283753565758[[#This Row],[الدفعات]]</f>
        <v>152.31999999994878</v>
      </c>
      <c r="O89" s="48"/>
    </row>
    <row r="90" spans="9:15" s="1" customFormat="1" ht="24" customHeight="1" x14ac:dyDescent="0.3">
      <c r="I90" s="1">
        <f>0.14*Table1181920231030313235383940414811151820283753565758[[#This Row],[النولون]]</f>
        <v>0</v>
      </c>
      <c r="K9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90" s="1">
        <f>M89+Table1181920231030313235383940414811151820283753565758[[#This Row],[اجمالي الفاتوره]]-Table1181920231030313235383940414811151820283753565758[[#This Row],[الدفعات]]</f>
        <v>152.31999999994878</v>
      </c>
      <c r="O90" s="48"/>
    </row>
    <row r="91" spans="9:15" s="1" customFormat="1" ht="24" customHeight="1" x14ac:dyDescent="0.3">
      <c r="I91" s="1">
        <f>0.14*Table1181920231030313235383940414811151820283753565758[[#This Row],[النولون]]</f>
        <v>0</v>
      </c>
      <c r="K9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91" s="1">
        <f>M90+Table1181920231030313235383940414811151820283753565758[[#This Row],[اجمالي الفاتوره]]-Table1181920231030313235383940414811151820283753565758[[#This Row],[الدفعات]]</f>
        <v>152.31999999994878</v>
      </c>
      <c r="O91" s="48"/>
    </row>
    <row r="92" spans="9:15" s="1" customFormat="1" ht="24" customHeight="1" x14ac:dyDescent="0.3">
      <c r="I92" s="1">
        <f>0.14*Table1181920231030313235383940414811151820283753565758[[#This Row],[النولون]]</f>
        <v>0</v>
      </c>
      <c r="K9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92" s="1">
        <f>M91+Table1181920231030313235383940414811151820283753565758[[#This Row],[اجمالي الفاتوره]]-Table1181920231030313235383940414811151820283753565758[[#This Row],[الدفعات]]</f>
        <v>152.31999999994878</v>
      </c>
      <c r="O92" s="48"/>
    </row>
    <row r="93" spans="9:15" s="1" customFormat="1" ht="24" customHeight="1" x14ac:dyDescent="0.3">
      <c r="I93" s="1">
        <f>0.14*Table1181920231030313235383940414811151820283753565758[[#This Row],[النولون]]</f>
        <v>0</v>
      </c>
      <c r="K9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93" s="1">
        <f>M92+Table1181920231030313235383940414811151820283753565758[[#This Row],[اجمالي الفاتوره]]-Table1181920231030313235383940414811151820283753565758[[#This Row],[الدفعات]]</f>
        <v>152.31999999994878</v>
      </c>
      <c r="O93" s="48"/>
    </row>
    <row r="94" spans="9:15" s="1" customFormat="1" ht="24" customHeight="1" x14ac:dyDescent="0.3">
      <c r="I94" s="1">
        <f>0.14*Table1181920231030313235383940414811151820283753565758[[#This Row],[النولون]]</f>
        <v>0</v>
      </c>
      <c r="K9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94" s="1">
        <f>M93+Table1181920231030313235383940414811151820283753565758[[#This Row],[اجمالي الفاتوره]]-Table1181920231030313235383940414811151820283753565758[[#This Row],[الدفعات]]</f>
        <v>152.31999999994878</v>
      </c>
      <c r="O94" s="48"/>
    </row>
    <row r="95" spans="9:15" s="1" customFormat="1" ht="24" customHeight="1" x14ac:dyDescent="0.3">
      <c r="I95" s="1">
        <f>0.14*Table1181920231030313235383940414811151820283753565758[[#This Row],[النولون]]</f>
        <v>0</v>
      </c>
      <c r="K9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95" s="1">
        <f>M94+Table1181920231030313235383940414811151820283753565758[[#This Row],[اجمالي الفاتوره]]-Table1181920231030313235383940414811151820283753565758[[#This Row],[الدفعات]]</f>
        <v>152.31999999994878</v>
      </c>
      <c r="O95" s="48"/>
    </row>
    <row r="96" spans="9:15" s="1" customFormat="1" ht="24" customHeight="1" x14ac:dyDescent="0.3">
      <c r="I96" s="1">
        <f>0.14*Table1181920231030313235383940414811151820283753565758[[#This Row],[النولون]]</f>
        <v>0</v>
      </c>
      <c r="K9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96" s="1">
        <f>M95+Table1181920231030313235383940414811151820283753565758[[#This Row],[اجمالي الفاتوره]]-Table1181920231030313235383940414811151820283753565758[[#This Row],[الدفعات]]</f>
        <v>152.31999999994878</v>
      </c>
      <c r="O96" s="48"/>
    </row>
    <row r="97" spans="9:15" s="1" customFormat="1" ht="24" customHeight="1" x14ac:dyDescent="0.3">
      <c r="I97" s="1">
        <f>0.14*Table1181920231030313235383940414811151820283753565758[[#This Row],[النولون]]</f>
        <v>0</v>
      </c>
      <c r="K9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97" s="1">
        <f>M96+Table1181920231030313235383940414811151820283753565758[[#This Row],[اجمالي الفاتوره]]-Table1181920231030313235383940414811151820283753565758[[#This Row],[الدفعات]]</f>
        <v>152.31999999994878</v>
      </c>
      <c r="O97" s="48"/>
    </row>
    <row r="98" spans="9:15" s="1" customFormat="1" ht="24" customHeight="1" x14ac:dyDescent="0.3">
      <c r="I98" s="1">
        <f>0.14*Table1181920231030313235383940414811151820283753565758[[#This Row],[النولون]]</f>
        <v>0</v>
      </c>
      <c r="K9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98" s="1">
        <f>M97+Table1181920231030313235383940414811151820283753565758[[#This Row],[اجمالي الفاتوره]]-Table1181920231030313235383940414811151820283753565758[[#This Row],[الدفعات]]</f>
        <v>152.31999999994878</v>
      </c>
      <c r="O98" s="48"/>
    </row>
    <row r="99" spans="9:15" s="1" customFormat="1" ht="24" customHeight="1" x14ac:dyDescent="0.3">
      <c r="I99" s="1">
        <f>0.14*Table1181920231030313235383940414811151820283753565758[[#This Row],[النولون]]</f>
        <v>0</v>
      </c>
      <c r="K9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99" s="1">
        <f>M98+Table1181920231030313235383940414811151820283753565758[[#This Row],[اجمالي الفاتوره]]-Table1181920231030313235383940414811151820283753565758[[#This Row],[الدفعات]]</f>
        <v>152.31999999994878</v>
      </c>
      <c r="O99" s="48"/>
    </row>
    <row r="100" spans="9:15" s="1" customFormat="1" ht="24" customHeight="1" x14ac:dyDescent="0.3">
      <c r="I100" s="1">
        <f>0.14*Table1181920231030313235383940414811151820283753565758[[#This Row],[النولون]]</f>
        <v>0</v>
      </c>
      <c r="K10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00" s="1">
        <f>M99+Table1181920231030313235383940414811151820283753565758[[#This Row],[اجمالي الفاتوره]]-Table1181920231030313235383940414811151820283753565758[[#This Row],[الدفعات]]</f>
        <v>152.31999999994878</v>
      </c>
      <c r="O100" s="48"/>
    </row>
    <row r="101" spans="9:15" s="1" customFormat="1" ht="24" customHeight="1" x14ac:dyDescent="0.3">
      <c r="I101" s="1">
        <f>0.14*Table1181920231030313235383940414811151820283753565758[[#This Row],[النولون]]</f>
        <v>0</v>
      </c>
      <c r="K10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01" s="1">
        <f>M100+Table1181920231030313235383940414811151820283753565758[[#This Row],[اجمالي الفاتوره]]-Table1181920231030313235383940414811151820283753565758[[#This Row],[الدفعات]]</f>
        <v>152.31999999994878</v>
      </c>
      <c r="O101" s="48"/>
    </row>
    <row r="102" spans="9:15" s="1" customFormat="1" ht="24" customHeight="1" x14ac:dyDescent="0.3">
      <c r="I102" s="1">
        <f>0.14*Table1181920231030313235383940414811151820283753565758[[#This Row],[النولون]]</f>
        <v>0</v>
      </c>
      <c r="K10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02" s="1">
        <f>M101+Table1181920231030313235383940414811151820283753565758[[#This Row],[اجمالي الفاتوره]]-Table1181920231030313235383940414811151820283753565758[[#This Row],[الدفعات]]</f>
        <v>152.31999999994878</v>
      </c>
      <c r="O102" s="48"/>
    </row>
    <row r="103" spans="9:15" s="1" customFormat="1" ht="24" customHeight="1" x14ac:dyDescent="0.3">
      <c r="I103" s="1">
        <f>0.14*Table1181920231030313235383940414811151820283753565758[[#This Row],[النولون]]</f>
        <v>0</v>
      </c>
      <c r="K10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03" s="1">
        <f>M102+Table1181920231030313235383940414811151820283753565758[[#This Row],[اجمالي الفاتوره]]-Table1181920231030313235383940414811151820283753565758[[#This Row],[الدفعات]]</f>
        <v>152.31999999994878</v>
      </c>
      <c r="O103" s="48"/>
    </row>
    <row r="104" spans="9:15" s="1" customFormat="1" ht="24" customHeight="1" x14ac:dyDescent="0.3">
      <c r="I104" s="1">
        <f>0.14*Table1181920231030313235383940414811151820283753565758[[#This Row],[النولون]]</f>
        <v>0</v>
      </c>
      <c r="K10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04" s="1">
        <f>M103+Table1181920231030313235383940414811151820283753565758[[#This Row],[اجمالي الفاتوره]]-Table1181920231030313235383940414811151820283753565758[[#This Row],[الدفعات]]</f>
        <v>152.31999999994878</v>
      </c>
      <c r="O104" s="48"/>
    </row>
    <row r="105" spans="9:15" s="1" customFormat="1" ht="24" customHeight="1" x14ac:dyDescent="0.3">
      <c r="I105" s="1">
        <f>0.14*Table1181920231030313235383940414811151820283753565758[[#This Row],[النولون]]</f>
        <v>0</v>
      </c>
      <c r="K10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05" s="1">
        <f>M104+Table1181920231030313235383940414811151820283753565758[[#This Row],[اجمالي الفاتوره]]-Table1181920231030313235383940414811151820283753565758[[#This Row],[الدفعات]]</f>
        <v>152.31999999994878</v>
      </c>
      <c r="O105" s="48"/>
    </row>
    <row r="106" spans="9:15" s="1" customFormat="1" ht="24" customHeight="1" x14ac:dyDescent="0.3">
      <c r="I106" s="1">
        <f>0.14*Table1181920231030313235383940414811151820283753565758[[#This Row],[النولون]]</f>
        <v>0</v>
      </c>
      <c r="K10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06" s="1">
        <f>M105+Table1181920231030313235383940414811151820283753565758[[#This Row],[اجمالي الفاتوره]]-Table1181920231030313235383940414811151820283753565758[[#This Row],[الدفعات]]</f>
        <v>152.31999999994878</v>
      </c>
      <c r="O106" s="48"/>
    </row>
    <row r="107" spans="9:15" s="1" customFormat="1" ht="24" customHeight="1" x14ac:dyDescent="0.3">
      <c r="I107" s="1">
        <f>0.14*Table1181920231030313235383940414811151820283753565758[[#This Row],[النولون]]</f>
        <v>0</v>
      </c>
      <c r="K10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07" s="1">
        <f>M106+Table1181920231030313235383940414811151820283753565758[[#This Row],[اجمالي الفاتوره]]-Table1181920231030313235383940414811151820283753565758[[#This Row],[الدفعات]]</f>
        <v>152.31999999994878</v>
      </c>
      <c r="O107" s="48"/>
    </row>
    <row r="108" spans="9:15" s="1" customFormat="1" ht="24" customHeight="1" x14ac:dyDescent="0.3">
      <c r="I108" s="1">
        <f>0.14*Table1181920231030313235383940414811151820283753565758[[#This Row],[النولون]]</f>
        <v>0</v>
      </c>
      <c r="K10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08" s="1">
        <f>M107+Table1181920231030313235383940414811151820283753565758[[#This Row],[اجمالي الفاتوره]]-Table1181920231030313235383940414811151820283753565758[[#This Row],[الدفعات]]</f>
        <v>152.31999999994878</v>
      </c>
      <c r="O108" s="48"/>
    </row>
    <row r="109" spans="9:15" s="1" customFormat="1" ht="24" customHeight="1" x14ac:dyDescent="0.3">
      <c r="I109" s="1">
        <f>0.14*Table1181920231030313235383940414811151820283753565758[[#This Row],[النولون]]</f>
        <v>0</v>
      </c>
      <c r="K10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09" s="1">
        <f>M108+Table1181920231030313235383940414811151820283753565758[[#This Row],[اجمالي الفاتوره]]-Table1181920231030313235383940414811151820283753565758[[#This Row],[الدفعات]]</f>
        <v>152.31999999994878</v>
      </c>
      <c r="O109" s="48"/>
    </row>
    <row r="110" spans="9:15" s="1" customFormat="1" ht="24" customHeight="1" x14ac:dyDescent="0.3">
      <c r="I110" s="1">
        <f>0.14*Table1181920231030313235383940414811151820283753565758[[#This Row],[النولون]]</f>
        <v>0</v>
      </c>
      <c r="K11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10" s="1">
        <f>M109+Table1181920231030313235383940414811151820283753565758[[#This Row],[اجمالي الفاتوره]]-Table1181920231030313235383940414811151820283753565758[[#This Row],[الدفعات]]</f>
        <v>152.31999999994878</v>
      </c>
      <c r="O110" s="48"/>
    </row>
    <row r="111" spans="9:15" s="1" customFormat="1" ht="24" customHeight="1" x14ac:dyDescent="0.3">
      <c r="I111" s="1">
        <f>0.14*Table1181920231030313235383940414811151820283753565758[[#This Row],[النولون]]</f>
        <v>0</v>
      </c>
      <c r="K11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11" s="1">
        <f>M110+Table1181920231030313235383940414811151820283753565758[[#This Row],[اجمالي الفاتوره]]-Table1181920231030313235383940414811151820283753565758[[#This Row],[الدفعات]]</f>
        <v>152.31999999994878</v>
      </c>
      <c r="O111" s="48"/>
    </row>
    <row r="112" spans="9:15" s="1" customFormat="1" ht="24" customHeight="1" x14ac:dyDescent="0.3">
      <c r="I112" s="1">
        <f>0.14*Table1181920231030313235383940414811151820283753565758[[#This Row],[النولون]]</f>
        <v>0</v>
      </c>
      <c r="K11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12" s="1">
        <f>M111+Table1181920231030313235383940414811151820283753565758[[#This Row],[اجمالي الفاتوره]]-Table1181920231030313235383940414811151820283753565758[[#This Row],[الدفعات]]</f>
        <v>152.31999999994878</v>
      </c>
      <c r="O112" s="48"/>
    </row>
    <row r="113" spans="9:15" s="1" customFormat="1" ht="24" customHeight="1" x14ac:dyDescent="0.3">
      <c r="I113" s="1">
        <f>0.14*Table1181920231030313235383940414811151820283753565758[[#This Row],[النولون]]</f>
        <v>0</v>
      </c>
      <c r="K11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13" s="1">
        <f>M112+Table1181920231030313235383940414811151820283753565758[[#This Row],[اجمالي الفاتوره]]-Table1181920231030313235383940414811151820283753565758[[#This Row],[الدفعات]]</f>
        <v>152.31999999994878</v>
      </c>
      <c r="O113" s="48"/>
    </row>
    <row r="114" spans="9:15" s="1" customFormat="1" ht="24" customHeight="1" x14ac:dyDescent="0.3">
      <c r="I114" s="1">
        <f>0.14*Table1181920231030313235383940414811151820283753565758[[#This Row],[النولون]]</f>
        <v>0</v>
      </c>
      <c r="K11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14" s="1">
        <f>M113+Table1181920231030313235383940414811151820283753565758[[#This Row],[اجمالي الفاتوره]]-Table1181920231030313235383940414811151820283753565758[[#This Row],[الدفعات]]</f>
        <v>152.31999999994878</v>
      </c>
      <c r="O114" s="48"/>
    </row>
    <row r="115" spans="9:15" s="1" customFormat="1" ht="24" customHeight="1" x14ac:dyDescent="0.3">
      <c r="I115" s="1">
        <f>0.14*Table1181920231030313235383940414811151820283753565758[[#This Row],[النولون]]</f>
        <v>0</v>
      </c>
      <c r="K11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15" s="1">
        <f>M114+Table1181920231030313235383940414811151820283753565758[[#This Row],[اجمالي الفاتوره]]-Table1181920231030313235383940414811151820283753565758[[#This Row],[الدفعات]]</f>
        <v>152.31999999994878</v>
      </c>
      <c r="O115" s="48"/>
    </row>
    <row r="116" spans="9:15" s="1" customFormat="1" ht="24" customHeight="1" x14ac:dyDescent="0.3">
      <c r="I116" s="1">
        <f>0.14*Table1181920231030313235383940414811151820283753565758[[#This Row],[النولون]]</f>
        <v>0</v>
      </c>
      <c r="K11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16" s="1">
        <f>M115+Table1181920231030313235383940414811151820283753565758[[#This Row],[اجمالي الفاتوره]]-Table1181920231030313235383940414811151820283753565758[[#This Row],[الدفعات]]</f>
        <v>152.31999999994878</v>
      </c>
      <c r="O116" s="48"/>
    </row>
    <row r="117" spans="9:15" s="1" customFormat="1" ht="24" customHeight="1" x14ac:dyDescent="0.3">
      <c r="I117" s="1">
        <f>0.14*Table1181920231030313235383940414811151820283753565758[[#This Row],[النولون]]</f>
        <v>0</v>
      </c>
      <c r="K11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17" s="1">
        <f>M116+Table1181920231030313235383940414811151820283753565758[[#This Row],[اجمالي الفاتوره]]-Table1181920231030313235383940414811151820283753565758[[#This Row],[الدفعات]]</f>
        <v>152.31999999994878</v>
      </c>
      <c r="O117" s="48"/>
    </row>
    <row r="118" spans="9:15" s="1" customFormat="1" ht="24" customHeight="1" x14ac:dyDescent="0.3">
      <c r="I118" s="1">
        <f>0.14*Table1181920231030313235383940414811151820283753565758[[#This Row],[النولون]]</f>
        <v>0</v>
      </c>
      <c r="K11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18" s="1">
        <f>M117+Table1181920231030313235383940414811151820283753565758[[#This Row],[اجمالي الفاتوره]]-Table1181920231030313235383940414811151820283753565758[[#This Row],[الدفعات]]</f>
        <v>152.31999999994878</v>
      </c>
      <c r="O118" s="48"/>
    </row>
    <row r="119" spans="9:15" s="1" customFormat="1" ht="24" customHeight="1" x14ac:dyDescent="0.3">
      <c r="I119" s="1">
        <f>0.14*Table1181920231030313235383940414811151820283753565758[[#This Row],[النولون]]</f>
        <v>0</v>
      </c>
      <c r="K11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19" s="1">
        <f>M118+Table1181920231030313235383940414811151820283753565758[[#This Row],[اجمالي الفاتوره]]-Table1181920231030313235383940414811151820283753565758[[#This Row],[الدفعات]]</f>
        <v>152.31999999994878</v>
      </c>
      <c r="O119" s="48"/>
    </row>
    <row r="120" spans="9:15" s="1" customFormat="1" ht="24" customHeight="1" x14ac:dyDescent="0.3">
      <c r="I120" s="1">
        <f>0.14*Table1181920231030313235383940414811151820283753565758[[#This Row],[النولون]]</f>
        <v>0</v>
      </c>
      <c r="K12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20" s="1">
        <f>M119+Table1181920231030313235383940414811151820283753565758[[#This Row],[اجمالي الفاتوره]]-Table1181920231030313235383940414811151820283753565758[[#This Row],[الدفعات]]</f>
        <v>152.31999999994878</v>
      </c>
      <c r="O120" s="48"/>
    </row>
    <row r="121" spans="9:15" s="1" customFormat="1" ht="24" customHeight="1" x14ac:dyDescent="0.3">
      <c r="I121" s="1">
        <f>0.14*Table1181920231030313235383940414811151820283753565758[[#This Row],[النولون]]</f>
        <v>0</v>
      </c>
      <c r="K12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21" s="1">
        <f>M120+Table1181920231030313235383940414811151820283753565758[[#This Row],[اجمالي الفاتوره]]-Table1181920231030313235383940414811151820283753565758[[#This Row],[الدفعات]]</f>
        <v>152.31999999994878</v>
      </c>
      <c r="O121" s="48"/>
    </row>
    <row r="122" spans="9:15" s="1" customFormat="1" ht="24" customHeight="1" x14ac:dyDescent="0.3">
      <c r="I122" s="1">
        <f>0.14*Table1181920231030313235383940414811151820283753565758[[#This Row],[النولون]]</f>
        <v>0</v>
      </c>
      <c r="K12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22" s="1">
        <f>M121+Table1181920231030313235383940414811151820283753565758[[#This Row],[اجمالي الفاتوره]]-Table1181920231030313235383940414811151820283753565758[[#This Row],[الدفعات]]</f>
        <v>152.31999999994878</v>
      </c>
      <c r="O122" s="48"/>
    </row>
    <row r="123" spans="9:15" s="1" customFormat="1" ht="24" customHeight="1" x14ac:dyDescent="0.3">
      <c r="I123" s="1">
        <f>0.14*Table1181920231030313235383940414811151820283753565758[[#This Row],[النولون]]</f>
        <v>0</v>
      </c>
      <c r="K12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23" s="1">
        <f>M122+Table1181920231030313235383940414811151820283753565758[[#This Row],[اجمالي الفاتوره]]-Table1181920231030313235383940414811151820283753565758[[#This Row],[الدفعات]]</f>
        <v>152.31999999994878</v>
      </c>
      <c r="O123" s="48"/>
    </row>
    <row r="124" spans="9:15" s="1" customFormat="1" ht="24" customHeight="1" x14ac:dyDescent="0.3">
      <c r="I124" s="1">
        <f>0.14*Table1181920231030313235383940414811151820283753565758[[#This Row],[النولون]]</f>
        <v>0</v>
      </c>
      <c r="K12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24" s="1">
        <f>M123+Table1181920231030313235383940414811151820283753565758[[#This Row],[اجمالي الفاتوره]]-Table1181920231030313235383940414811151820283753565758[[#This Row],[الدفعات]]</f>
        <v>152.31999999994878</v>
      </c>
      <c r="O124" s="48"/>
    </row>
    <row r="125" spans="9:15" s="1" customFormat="1" ht="24" customHeight="1" x14ac:dyDescent="0.3">
      <c r="I125" s="1">
        <f>0.14*Table1181920231030313235383940414811151820283753565758[[#This Row],[النولون]]</f>
        <v>0</v>
      </c>
      <c r="K12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25" s="1">
        <f>M124+Table1181920231030313235383940414811151820283753565758[[#This Row],[اجمالي الفاتوره]]-Table1181920231030313235383940414811151820283753565758[[#This Row],[الدفعات]]</f>
        <v>152.31999999994878</v>
      </c>
      <c r="O125" s="48"/>
    </row>
    <row r="126" spans="9:15" s="1" customFormat="1" ht="24" customHeight="1" x14ac:dyDescent="0.3">
      <c r="I126" s="1">
        <f>0.14*Table1181920231030313235383940414811151820283753565758[[#This Row],[النولون]]</f>
        <v>0</v>
      </c>
      <c r="K12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26" s="1">
        <f>M125+Table1181920231030313235383940414811151820283753565758[[#This Row],[اجمالي الفاتوره]]-Table1181920231030313235383940414811151820283753565758[[#This Row],[الدفعات]]</f>
        <v>152.31999999994878</v>
      </c>
      <c r="O126" s="48"/>
    </row>
    <row r="127" spans="9:15" s="1" customFormat="1" ht="24" customHeight="1" x14ac:dyDescent="0.3">
      <c r="I127" s="1">
        <f>0.14*Table1181920231030313235383940414811151820283753565758[[#This Row],[النولون]]</f>
        <v>0</v>
      </c>
      <c r="K12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27" s="1">
        <f>M126+Table1181920231030313235383940414811151820283753565758[[#This Row],[اجمالي الفاتوره]]-Table1181920231030313235383940414811151820283753565758[[#This Row],[الدفعات]]</f>
        <v>152.31999999994878</v>
      </c>
      <c r="O127" s="48"/>
    </row>
    <row r="128" spans="9:15" s="1" customFormat="1" ht="24" customHeight="1" x14ac:dyDescent="0.3">
      <c r="I128" s="1">
        <f>0.14*Table1181920231030313235383940414811151820283753565758[[#This Row],[النولون]]</f>
        <v>0</v>
      </c>
      <c r="K12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28" s="1">
        <f>M127+Table1181920231030313235383940414811151820283753565758[[#This Row],[اجمالي الفاتوره]]-Table1181920231030313235383940414811151820283753565758[[#This Row],[الدفعات]]</f>
        <v>152.31999999994878</v>
      </c>
      <c r="O128" s="48"/>
    </row>
    <row r="129" spans="9:15" s="1" customFormat="1" ht="24" customHeight="1" x14ac:dyDescent="0.3">
      <c r="I129" s="1">
        <f>0.14*Table1181920231030313235383940414811151820283753565758[[#This Row],[النولون]]</f>
        <v>0</v>
      </c>
      <c r="K12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29" s="1">
        <f>M128+Table1181920231030313235383940414811151820283753565758[[#This Row],[اجمالي الفاتوره]]-Table1181920231030313235383940414811151820283753565758[[#This Row],[الدفعات]]</f>
        <v>152.31999999994878</v>
      </c>
      <c r="O129" s="48"/>
    </row>
    <row r="130" spans="9:15" s="1" customFormat="1" ht="24" customHeight="1" x14ac:dyDescent="0.3">
      <c r="I130" s="1">
        <f>0.14*Table1181920231030313235383940414811151820283753565758[[#This Row],[النولون]]</f>
        <v>0</v>
      </c>
      <c r="K13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30" s="1">
        <f>M129+Table1181920231030313235383940414811151820283753565758[[#This Row],[اجمالي الفاتوره]]-Table1181920231030313235383940414811151820283753565758[[#This Row],[الدفعات]]</f>
        <v>152.31999999994878</v>
      </c>
      <c r="O130" s="48"/>
    </row>
    <row r="131" spans="9:15" s="1" customFormat="1" ht="24" customHeight="1" x14ac:dyDescent="0.3">
      <c r="I131" s="1">
        <f>0.14*Table1181920231030313235383940414811151820283753565758[[#This Row],[النولون]]</f>
        <v>0</v>
      </c>
      <c r="K13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31" s="1">
        <f>M130+Table1181920231030313235383940414811151820283753565758[[#This Row],[اجمالي الفاتوره]]-Table1181920231030313235383940414811151820283753565758[[#This Row],[الدفعات]]</f>
        <v>152.31999999994878</v>
      </c>
      <c r="O131" s="48"/>
    </row>
    <row r="132" spans="9:15" s="1" customFormat="1" ht="24" customHeight="1" x14ac:dyDescent="0.3">
      <c r="I132" s="1">
        <f>0.14*Table1181920231030313235383940414811151820283753565758[[#This Row],[النولون]]</f>
        <v>0</v>
      </c>
      <c r="K13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32" s="1">
        <f>M131+Table1181920231030313235383940414811151820283753565758[[#This Row],[اجمالي الفاتوره]]-Table1181920231030313235383940414811151820283753565758[[#This Row],[الدفعات]]</f>
        <v>152.31999999994878</v>
      </c>
      <c r="O132" s="48"/>
    </row>
    <row r="133" spans="9:15" s="1" customFormat="1" ht="24" customHeight="1" x14ac:dyDescent="0.3">
      <c r="I133" s="1">
        <f>0.14*Table1181920231030313235383940414811151820283753565758[[#This Row],[النولون]]</f>
        <v>0</v>
      </c>
      <c r="K13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33" s="1">
        <f>M132+Table1181920231030313235383940414811151820283753565758[[#This Row],[اجمالي الفاتوره]]-Table1181920231030313235383940414811151820283753565758[[#This Row],[الدفعات]]</f>
        <v>152.31999999994878</v>
      </c>
      <c r="O133" s="48"/>
    </row>
    <row r="134" spans="9:15" s="1" customFormat="1" ht="24" customHeight="1" x14ac:dyDescent="0.3">
      <c r="I134" s="1">
        <f>0.14*Table1181920231030313235383940414811151820283753565758[[#This Row],[النولون]]</f>
        <v>0</v>
      </c>
      <c r="K13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34" s="1">
        <f>M133+Table1181920231030313235383940414811151820283753565758[[#This Row],[اجمالي الفاتوره]]-Table1181920231030313235383940414811151820283753565758[[#This Row],[الدفعات]]</f>
        <v>152.31999999994878</v>
      </c>
      <c r="O134" s="48"/>
    </row>
    <row r="135" spans="9:15" s="1" customFormat="1" ht="24" customHeight="1" x14ac:dyDescent="0.3">
      <c r="I135" s="1">
        <f>0.14*Table1181920231030313235383940414811151820283753565758[[#This Row],[النولون]]</f>
        <v>0</v>
      </c>
      <c r="K13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35" s="1">
        <f>M134+Table1181920231030313235383940414811151820283753565758[[#This Row],[اجمالي الفاتوره]]-Table1181920231030313235383940414811151820283753565758[[#This Row],[الدفعات]]</f>
        <v>152.31999999994878</v>
      </c>
      <c r="O135" s="48"/>
    </row>
    <row r="136" spans="9:15" s="1" customFormat="1" ht="24" customHeight="1" x14ac:dyDescent="0.3">
      <c r="I136" s="1">
        <f>0.14*Table1181920231030313235383940414811151820283753565758[[#This Row],[النولون]]</f>
        <v>0</v>
      </c>
      <c r="K13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36" s="1">
        <f>M135+Table1181920231030313235383940414811151820283753565758[[#This Row],[اجمالي الفاتوره]]-Table1181920231030313235383940414811151820283753565758[[#This Row],[الدفعات]]</f>
        <v>152.31999999994878</v>
      </c>
      <c r="O136" s="48"/>
    </row>
    <row r="137" spans="9:15" s="1" customFormat="1" ht="24" customHeight="1" x14ac:dyDescent="0.3">
      <c r="I137" s="1">
        <f>0.14*Table1181920231030313235383940414811151820283753565758[[#This Row],[النولون]]</f>
        <v>0</v>
      </c>
      <c r="K13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37" s="1">
        <f>M136+Table1181920231030313235383940414811151820283753565758[[#This Row],[اجمالي الفاتوره]]-Table1181920231030313235383940414811151820283753565758[[#This Row],[الدفعات]]</f>
        <v>152.31999999994878</v>
      </c>
      <c r="O137" s="48"/>
    </row>
    <row r="138" spans="9:15" s="1" customFormat="1" ht="24" customHeight="1" x14ac:dyDescent="0.3">
      <c r="I138" s="1">
        <f>0.14*Table1181920231030313235383940414811151820283753565758[[#This Row],[النولون]]</f>
        <v>0</v>
      </c>
      <c r="K13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38" s="1">
        <f>M137+Table1181920231030313235383940414811151820283753565758[[#This Row],[اجمالي الفاتوره]]-Table1181920231030313235383940414811151820283753565758[[#This Row],[الدفعات]]</f>
        <v>152.31999999994878</v>
      </c>
      <c r="O138" s="48"/>
    </row>
    <row r="139" spans="9:15" s="1" customFormat="1" ht="24" customHeight="1" x14ac:dyDescent="0.3">
      <c r="I139" s="1">
        <f>0.14*Table1181920231030313235383940414811151820283753565758[[#This Row],[النولون]]</f>
        <v>0</v>
      </c>
      <c r="K13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39" s="1">
        <f>M138+Table1181920231030313235383940414811151820283753565758[[#This Row],[اجمالي الفاتوره]]-Table1181920231030313235383940414811151820283753565758[[#This Row],[الدفعات]]</f>
        <v>152.31999999994878</v>
      </c>
      <c r="O139" s="48"/>
    </row>
    <row r="140" spans="9:15" s="1" customFormat="1" ht="24" customHeight="1" x14ac:dyDescent="0.3">
      <c r="I140" s="1">
        <f>0.14*Table1181920231030313235383940414811151820283753565758[[#This Row],[النولون]]</f>
        <v>0</v>
      </c>
      <c r="K14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40" s="1">
        <f>M139+Table1181920231030313235383940414811151820283753565758[[#This Row],[اجمالي الفاتوره]]-Table1181920231030313235383940414811151820283753565758[[#This Row],[الدفعات]]</f>
        <v>152.31999999994878</v>
      </c>
      <c r="O140" s="48"/>
    </row>
    <row r="141" spans="9:15" s="1" customFormat="1" ht="24" customHeight="1" x14ac:dyDescent="0.3">
      <c r="I141" s="1">
        <f>0.14*Table1181920231030313235383940414811151820283753565758[[#This Row],[النولون]]</f>
        <v>0</v>
      </c>
      <c r="K14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41" s="1">
        <f>M140+Table1181920231030313235383940414811151820283753565758[[#This Row],[اجمالي الفاتوره]]-Table1181920231030313235383940414811151820283753565758[[#This Row],[الدفعات]]</f>
        <v>152.31999999994878</v>
      </c>
      <c r="O141" s="48"/>
    </row>
    <row r="142" spans="9:15" s="1" customFormat="1" ht="24" customHeight="1" x14ac:dyDescent="0.3">
      <c r="I142" s="1">
        <f>0.14*Table1181920231030313235383940414811151820283753565758[[#This Row],[النولون]]</f>
        <v>0</v>
      </c>
      <c r="K14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42" s="1">
        <f>M141+Table1181920231030313235383940414811151820283753565758[[#This Row],[اجمالي الفاتوره]]-Table1181920231030313235383940414811151820283753565758[[#This Row],[الدفعات]]</f>
        <v>152.31999999994878</v>
      </c>
      <c r="O142" s="48"/>
    </row>
    <row r="143" spans="9:15" s="1" customFormat="1" ht="24" customHeight="1" x14ac:dyDescent="0.3">
      <c r="I143" s="1">
        <f>0.14*Table1181920231030313235383940414811151820283753565758[[#This Row],[النولون]]</f>
        <v>0</v>
      </c>
      <c r="K14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43" s="1">
        <f>M142+Table1181920231030313235383940414811151820283753565758[[#This Row],[اجمالي الفاتوره]]-Table1181920231030313235383940414811151820283753565758[[#This Row],[الدفعات]]</f>
        <v>152.31999999994878</v>
      </c>
      <c r="O143" s="48"/>
    </row>
    <row r="144" spans="9:15" s="1" customFormat="1" ht="24" customHeight="1" x14ac:dyDescent="0.3">
      <c r="I144" s="1">
        <f>0.14*Table1181920231030313235383940414811151820283753565758[[#This Row],[النولون]]</f>
        <v>0</v>
      </c>
      <c r="K14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44" s="1">
        <f>M143+Table1181920231030313235383940414811151820283753565758[[#This Row],[اجمالي الفاتوره]]-Table1181920231030313235383940414811151820283753565758[[#This Row],[الدفعات]]</f>
        <v>152.31999999994878</v>
      </c>
      <c r="O144" s="48"/>
    </row>
    <row r="145" spans="9:15" s="1" customFormat="1" ht="24" customHeight="1" x14ac:dyDescent="0.3">
      <c r="I145" s="1">
        <f>0.14*Table1181920231030313235383940414811151820283753565758[[#This Row],[النولون]]</f>
        <v>0</v>
      </c>
      <c r="K14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45" s="1">
        <f>M144+Table1181920231030313235383940414811151820283753565758[[#This Row],[اجمالي الفاتوره]]-Table1181920231030313235383940414811151820283753565758[[#This Row],[الدفعات]]</f>
        <v>152.31999999994878</v>
      </c>
      <c r="O145" s="48"/>
    </row>
    <row r="146" spans="9:15" s="1" customFormat="1" ht="24" customHeight="1" x14ac:dyDescent="0.3">
      <c r="I146" s="1">
        <f>0.14*Table1181920231030313235383940414811151820283753565758[[#This Row],[النولون]]</f>
        <v>0</v>
      </c>
      <c r="K14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46" s="1">
        <f>M145+Table1181920231030313235383940414811151820283753565758[[#This Row],[اجمالي الفاتوره]]-Table1181920231030313235383940414811151820283753565758[[#This Row],[الدفعات]]</f>
        <v>152.31999999994878</v>
      </c>
      <c r="O146" s="48"/>
    </row>
    <row r="147" spans="9:15" s="1" customFormat="1" ht="24" customHeight="1" x14ac:dyDescent="0.3">
      <c r="I147" s="1">
        <f>0.14*Table1181920231030313235383940414811151820283753565758[[#This Row],[النولون]]</f>
        <v>0</v>
      </c>
      <c r="K14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47" s="1">
        <f>M146+Table1181920231030313235383940414811151820283753565758[[#This Row],[اجمالي الفاتوره]]-Table1181920231030313235383940414811151820283753565758[[#This Row],[الدفعات]]</f>
        <v>152.31999999994878</v>
      </c>
      <c r="O147" s="48"/>
    </row>
    <row r="148" spans="9:15" s="1" customFormat="1" ht="24" customHeight="1" x14ac:dyDescent="0.3">
      <c r="I148" s="1">
        <f>0.14*Table1181920231030313235383940414811151820283753565758[[#This Row],[النولون]]</f>
        <v>0</v>
      </c>
      <c r="K14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48" s="1">
        <f>M147+Table1181920231030313235383940414811151820283753565758[[#This Row],[اجمالي الفاتوره]]-Table1181920231030313235383940414811151820283753565758[[#This Row],[الدفعات]]</f>
        <v>152.31999999994878</v>
      </c>
      <c r="O148" s="48"/>
    </row>
    <row r="149" spans="9:15" s="1" customFormat="1" ht="24" customHeight="1" x14ac:dyDescent="0.3">
      <c r="I149" s="1">
        <f>0.14*Table1181920231030313235383940414811151820283753565758[[#This Row],[النولون]]</f>
        <v>0</v>
      </c>
      <c r="K14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49" s="1">
        <f>M148+Table1181920231030313235383940414811151820283753565758[[#This Row],[اجمالي الفاتوره]]-Table1181920231030313235383940414811151820283753565758[[#This Row],[الدفعات]]</f>
        <v>152.31999999994878</v>
      </c>
      <c r="O149" s="48"/>
    </row>
    <row r="150" spans="9:15" s="1" customFormat="1" ht="24" customHeight="1" x14ac:dyDescent="0.3">
      <c r="I150" s="1">
        <f>0.14*Table1181920231030313235383940414811151820283753565758[[#This Row],[النولون]]</f>
        <v>0</v>
      </c>
      <c r="K15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50" s="1">
        <f>M149+Table1181920231030313235383940414811151820283753565758[[#This Row],[اجمالي الفاتوره]]-Table1181920231030313235383940414811151820283753565758[[#This Row],[الدفعات]]</f>
        <v>152.31999999994878</v>
      </c>
      <c r="O150" s="48"/>
    </row>
    <row r="151" spans="9:15" s="1" customFormat="1" ht="24" customHeight="1" x14ac:dyDescent="0.3">
      <c r="I151" s="1">
        <f>0.14*Table1181920231030313235383940414811151820283753565758[[#This Row],[النولون]]</f>
        <v>0</v>
      </c>
      <c r="K15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51" s="1">
        <f>M150+Table1181920231030313235383940414811151820283753565758[[#This Row],[اجمالي الفاتوره]]-Table1181920231030313235383940414811151820283753565758[[#This Row],[الدفعات]]</f>
        <v>152.31999999994878</v>
      </c>
      <c r="O151" s="48"/>
    </row>
    <row r="152" spans="9:15" s="1" customFormat="1" ht="24" customHeight="1" x14ac:dyDescent="0.3">
      <c r="I152" s="1">
        <f>0.14*Table1181920231030313235383940414811151820283753565758[[#This Row],[النولون]]</f>
        <v>0</v>
      </c>
      <c r="K15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52" s="1">
        <f>M151+Table1181920231030313235383940414811151820283753565758[[#This Row],[اجمالي الفاتوره]]-Table1181920231030313235383940414811151820283753565758[[#This Row],[الدفعات]]</f>
        <v>152.31999999994878</v>
      </c>
      <c r="O152" s="48"/>
    </row>
    <row r="153" spans="9:15" s="1" customFormat="1" ht="24" customHeight="1" x14ac:dyDescent="0.3">
      <c r="I153" s="1">
        <f>0.14*Table1181920231030313235383940414811151820283753565758[[#This Row],[النولون]]</f>
        <v>0</v>
      </c>
      <c r="K15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53" s="1">
        <f>M152+Table1181920231030313235383940414811151820283753565758[[#This Row],[اجمالي الفاتوره]]-Table1181920231030313235383940414811151820283753565758[[#This Row],[الدفعات]]</f>
        <v>152.31999999994878</v>
      </c>
      <c r="O153" s="48"/>
    </row>
    <row r="154" spans="9:15" s="1" customFormat="1" ht="24" customHeight="1" x14ac:dyDescent="0.3">
      <c r="I154" s="1">
        <f>0.14*Table1181920231030313235383940414811151820283753565758[[#This Row],[النولون]]</f>
        <v>0</v>
      </c>
      <c r="K15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54" s="1">
        <f>M153+Table1181920231030313235383940414811151820283753565758[[#This Row],[اجمالي الفاتوره]]-Table1181920231030313235383940414811151820283753565758[[#This Row],[الدفعات]]</f>
        <v>152.31999999994878</v>
      </c>
      <c r="O154" s="48"/>
    </row>
    <row r="155" spans="9:15" s="1" customFormat="1" ht="24" customHeight="1" x14ac:dyDescent="0.3">
      <c r="I155" s="1">
        <f>0.14*Table1181920231030313235383940414811151820283753565758[[#This Row],[النولون]]</f>
        <v>0</v>
      </c>
      <c r="K15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55" s="1">
        <f>M154+Table1181920231030313235383940414811151820283753565758[[#This Row],[اجمالي الفاتوره]]-Table1181920231030313235383940414811151820283753565758[[#This Row],[الدفعات]]</f>
        <v>152.31999999994878</v>
      </c>
      <c r="O155" s="48"/>
    </row>
    <row r="156" spans="9:15" s="1" customFormat="1" ht="24" customHeight="1" x14ac:dyDescent="0.3">
      <c r="I156" s="1">
        <f>0.14*Table1181920231030313235383940414811151820283753565758[[#This Row],[النولون]]</f>
        <v>0</v>
      </c>
      <c r="K15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56" s="1">
        <f>M155+Table1181920231030313235383940414811151820283753565758[[#This Row],[اجمالي الفاتوره]]-Table1181920231030313235383940414811151820283753565758[[#This Row],[الدفعات]]</f>
        <v>152.31999999994878</v>
      </c>
      <c r="O156" s="48"/>
    </row>
    <row r="157" spans="9:15" s="1" customFormat="1" ht="24" customHeight="1" x14ac:dyDescent="0.3">
      <c r="I157" s="1">
        <f>0.14*Table1181920231030313235383940414811151820283753565758[[#This Row],[النولون]]</f>
        <v>0</v>
      </c>
      <c r="K15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57" s="1">
        <f>M156+Table1181920231030313235383940414811151820283753565758[[#This Row],[اجمالي الفاتوره]]-Table1181920231030313235383940414811151820283753565758[[#This Row],[الدفعات]]</f>
        <v>152.31999999994878</v>
      </c>
      <c r="O157" s="48"/>
    </row>
    <row r="158" spans="9:15" s="1" customFormat="1" ht="24" customHeight="1" x14ac:dyDescent="0.3">
      <c r="I158" s="1">
        <f>0.14*Table1181920231030313235383940414811151820283753565758[[#This Row],[النولون]]</f>
        <v>0</v>
      </c>
      <c r="K15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58" s="1">
        <f>M157+Table1181920231030313235383940414811151820283753565758[[#This Row],[اجمالي الفاتوره]]-Table1181920231030313235383940414811151820283753565758[[#This Row],[الدفعات]]</f>
        <v>152.31999999994878</v>
      </c>
      <c r="O158" s="48"/>
    </row>
    <row r="159" spans="9:15" s="1" customFormat="1" ht="24" customHeight="1" x14ac:dyDescent="0.3">
      <c r="I159" s="1">
        <f>0.14*Table1181920231030313235383940414811151820283753565758[[#This Row],[النولون]]</f>
        <v>0</v>
      </c>
      <c r="K15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59" s="1">
        <f>M158+Table1181920231030313235383940414811151820283753565758[[#This Row],[اجمالي الفاتوره]]-Table1181920231030313235383940414811151820283753565758[[#This Row],[الدفعات]]</f>
        <v>152.31999999994878</v>
      </c>
      <c r="O159" s="48"/>
    </row>
    <row r="160" spans="9:15" s="1" customFormat="1" ht="24" customHeight="1" x14ac:dyDescent="0.3">
      <c r="I160" s="1">
        <f>0.14*Table1181920231030313235383940414811151820283753565758[[#This Row],[النولون]]</f>
        <v>0</v>
      </c>
      <c r="K16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60" s="1">
        <f>M159+Table1181920231030313235383940414811151820283753565758[[#This Row],[اجمالي الفاتوره]]-Table1181920231030313235383940414811151820283753565758[[#This Row],[الدفعات]]</f>
        <v>152.31999999994878</v>
      </c>
      <c r="O160" s="48"/>
    </row>
    <row r="161" spans="9:15" s="1" customFormat="1" ht="24" customHeight="1" x14ac:dyDescent="0.3">
      <c r="I161" s="1">
        <f>0.14*Table1181920231030313235383940414811151820283753565758[[#This Row],[النولون]]</f>
        <v>0</v>
      </c>
      <c r="K16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61" s="1">
        <f>M160+Table1181920231030313235383940414811151820283753565758[[#This Row],[اجمالي الفاتوره]]-Table1181920231030313235383940414811151820283753565758[[#This Row],[الدفعات]]</f>
        <v>152.31999999994878</v>
      </c>
      <c r="O161" s="48"/>
    </row>
    <row r="162" spans="9:15" s="1" customFormat="1" ht="24" customHeight="1" x14ac:dyDescent="0.3">
      <c r="I162" s="1">
        <f>0.14*Table1181920231030313235383940414811151820283753565758[[#This Row],[النولون]]</f>
        <v>0</v>
      </c>
      <c r="K16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62" s="1">
        <f>M161+Table1181920231030313235383940414811151820283753565758[[#This Row],[اجمالي الفاتوره]]-Table1181920231030313235383940414811151820283753565758[[#This Row],[الدفعات]]</f>
        <v>152.31999999994878</v>
      </c>
      <c r="O162" s="48"/>
    </row>
    <row r="163" spans="9:15" s="1" customFormat="1" ht="24" customHeight="1" x14ac:dyDescent="0.3">
      <c r="I163" s="1">
        <f>0.14*Table1181920231030313235383940414811151820283753565758[[#This Row],[النولون]]</f>
        <v>0</v>
      </c>
      <c r="K16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63" s="1">
        <f>M162+Table1181920231030313235383940414811151820283753565758[[#This Row],[اجمالي الفاتوره]]-Table1181920231030313235383940414811151820283753565758[[#This Row],[الدفعات]]</f>
        <v>152.31999999994878</v>
      </c>
      <c r="O163" s="48"/>
    </row>
    <row r="164" spans="9:15" s="1" customFormat="1" ht="24" customHeight="1" x14ac:dyDescent="0.3">
      <c r="I164" s="1">
        <f>0.14*Table1181920231030313235383940414811151820283753565758[[#This Row],[النولون]]</f>
        <v>0</v>
      </c>
      <c r="K16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64" s="1">
        <f>M163+Table1181920231030313235383940414811151820283753565758[[#This Row],[اجمالي الفاتوره]]-Table1181920231030313235383940414811151820283753565758[[#This Row],[الدفعات]]</f>
        <v>152.31999999994878</v>
      </c>
      <c r="O164" s="48"/>
    </row>
    <row r="165" spans="9:15" s="1" customFormat="1" ht="24" customHeight="1" x14ac:dyDescent="0.3">
      <c r="I165" s="1">
        <f>0.14*Table1181920231030313235383940414811151820283753565758[[#This Row],[النولون]]</f>
        <v>0</v>
      </c>
      <c r="K16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65" s="1">
        <f>M164+Table1181920231030313235383940414811151820283753565758[[#This Row],[اجمالي الفاتوره]]-Table1181920231030313235383940414811151820283753565758[[#This Row],[الدفعات]]</f>
        <v>152.31999999994878</v>
      </c>
      <c r="O165" s="48"/>
    </row>
    <row r="166" spans="9:15" s="1" customFormat="1" ht="24" customHeight="1" x14ac:dyDescent="0.3">
      <c r="I166" s="1">
        <f>0.14*Table1181920231030313235383940414811151820283753565758[[#This Row],[النولون]]</f>
        <v>0</v>
      </c>
      <c r="K16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66" s="1">
        <f>M165+Table1181920231030313235383940414811151820283753565758[[#This Row],[اجمالي الفاتوره]]-Table1181920231030313235383940414811151820283753565758[[#This Row],[الدفعات]]</f>
        <v>152.31999999994878</v>
      </c>
      <c r="O166" s="48"/>
    </row>
    <row r="167" spans="9:15" s="1" customFormat="1" ht="24" customHeight="1" x14ac:dyDescent="0.3">
      <c r="I167" s="1">
        <f>0.14*Table1181920231030313235383940414811151820283753565758[[#This Row],[النولون]]</f>
        <v>0</v>
      </c>
      <c r="K16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67" s="1">
        <f>M166+Table1181920231030313235383940414811151820283753565758[[#This Row],[اجمالي الفاتوره]]-Table1181920231030313235383940414811151820283753565758[[#This Row],[الدفعات]]</f>
        <v>152.31999999994878</v>
      </c>
      <c r="O167" s="48"/>
    </row>
    <row r="168" spans="9:15" s="1" customFormat="1" ht="24" customHeight="1" x14ac:dyDescent="0.3">
      <c r="I168" s="1">
        <f>0.14*Table1181920231030313235383940414811151820283753565758[[#This Row],[النولون]]</f>
        <v>0</v>
      </c>
      <c r="K16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68" s="1">
        <f>M167+Table1181920231030313235383940414811151820283753565758[[#This Row],[اجمالي الفاتوره]]-Table1181920231030313235383940414811151820283753565758[[#This Row],[الدفعات]]</f>
        <v>152.31999999994878</v>
      </c>
      <c r="O168" s="48"/>
    </row>
    <row r="169" spans="9:15" s="1" customFormat="1" ht="24" customHeight="1" x14ac:dyDescent="0.3">
      <c r="I169" s="1">
        <f>0.14*Table1181920231030313235383940414811151820283753565758[[#This Row],[النولون]]</f>
        <v>0</v>
      </c>
      <c r="K16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69" s="1">
        <f>M168+Table1181920231030313235383940414811151820283753565758[[#This Row],[اجمالي الفاتوره]]-Table1181920231030313235383940414811151820283753565758[[#This Row],[الدفعات]]</f>
        <v>152.31999999994878</v>
      </c>
      <c r="O169" s="48"/>
    </row>
    <row r="170" spans="9:15" s="1" customFormat="1" ht="24" customHeight="1" x14ac:dyDescent="0.3">
      <c r="I170" s="1">
        <f>0.14*Table1181920231030313235383940414811151820283753565758[[#This Row],[النولون]]</f>
        <v>0</v>
      </c>
      <c r="K17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70" s="1">
        <f>M169+Table1181920231030313235383940414811151820283753565758[[#This Row],[اجمالي الفاتوره]]-Table1181920231030313235383940414811151820283753565758[[#This Row],[الدفعات]]</f>
        <v>152.31999999994878</v>
      </c>
      <c r="O170" s="48"/>
    </row>
    <row r="171" spans="9:15" s="1" customFormat="1" ht="24" customHeight="1" x14ac:dyDescent="0.3">
      <c r="I171" s="1">
        <f>0.14*Table1181920231030313235383940414811151820283753565758[[#This Row],[النولون]]</f>
        <v>0</v>
      </c>
      <c r="K17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71" s="1">
        <f>M170+Table1181920231030313235383940414811151820283753565758[[#This Row],[اجمالي الفاتوره]]-Table1181920231030313235383940414811151820283753565758[[#This Row],[الدفعات]]</f>
        <v>152.31999999994878</v>
      </c>
      <c r="O171" s="48"/>
    </row>
    <row r="172" spans="9:15" s="1" customFormat="1" ht="24" customHeight="1" x14ac:dyDescent="0.3">
      <c r="I172" s="1">
        <f>0.14*Table1181920231030313235383940414811151820283753565758[[#This Row],[النولون]]</f>
        <v>0</v>
      </c>
      <c r="K17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72" s="1">
        <f>M171+Table1181920231030313235383940414811151820283753565758[[#This Row],[اجمالي الفاتوره]]-Table1181920231030313235383940414811151820283753565758[[#This Row],[الدفعات]]</f>
        <v>152.31999999994878</v>
      </c>
      <c r="O172" s="48"/>
    </row>
    <row r="173" spans="9:15" s="1" customFormat="1" ht="24" customHeight="1" x14ac:dyDescent="0.3">
      <c r="I173" s="1">
        <f>0.14*Table1181920231030313235383940414811151820283753565758[[#This Row],[النولون]]</f>
        <v>0</v>
      </c>
      <c r="K17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73" s="1">
        <f>M172+Table1181920231030313235383940414811151820283753565758[[#This Row],[اجمالي الفاتوره]]-Table1181920231030313235383940414811151820283753565758[[#This Row],[الدفعات]]</f>
        <v>152.31999999994878</v>
      </c>
      <c r="O173" s="48"/>
    </row>
    <row r="174" spans="9:15" s="1" customFormat="1" ht="24" customHeight="1" x14ac:dyDescent="0.3">
      <c r="I174" s="1">
        <f>0.14*Table1181920231030313235383940414811151820283753565758[[#This Row],[النولون]]</f>
        <v>0</v>
      </c>
      <c r="K17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74" s="1">
        <f>M173+Table1181920231030313235383940414811151820283753565758[[#This Row],[اجمالي الفاتوره]]-Table1181920231030313235383940414811151820283753565758[[#This Row],[الدفعات]]</f>
        <v>152.31999999994878</v>
      </c>
      <c r="O174" s="48"/>
    </row>
    <row r="175" spans="9:15" s="1" customFormat="1" ht="24" customHeight="1" x14ac:dyDescent="0.3">
      <c r="I175" s="1">
        <f>0.14*Table1181920231030313235383940414811151820283753565758[[#This Row],[النولون]]</f>
        <v>0</v>
      </c>
      <c r="K17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75" s="1">
        <f>M174+Table1181920231030313235383940414811151820283753565758[[#This Row],[اجمالي الفاتوره]]-Table1181920231030313235383940414811151820283753565758[[#This Row],[الدفعات]]</f>
        <v>152.31999999994878</v>
      </c>
      <c r="O175" s="48"/>
    </row>
    <row r="176" spans="9:15" s="1" customFormat="1" ht="24" customHeight="1" x14ac:dyDescent="0.3">
      <c r="I176" s="1">
        <f>0.14*Table1181920231030313235383940414811151820283753565758[[#This Row],[النولون]]</f>
        <v>0</v>
      </c>
      <c r="K17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76" s="1">
        <f>M175+Table1181920231030313235383940414811151820283753565758[[#This Row],[اجمالي الفاتوره]]-Table1181920231030313235383940414811151820283753565758[[#This Row],[الدفعات]]</f>
        <v>152.31999999994878</v>
      </c>
      <c r="O176" s="48"/>
    </row>
    <row r="177" spans="9:15" s="1" customFormat="1" ht="24" customHeight="1" x14ac:dyDescent="0.3">
      <c r="I177" s="1">
        <f>0.14*Table1181920231030313235383940414811151820283753565758[[#This Row],[النولون]]</f>
        <v>0</v>
      </c>
      <c r="K17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77" s="1">
        <f>M176+Table1181920231030313235383940414811151820283753565758[[#This Row],[اجمالي الفاتوره]]-Table1181920231030313235383940414811151820283753565758[[#This Row],[الدفعات]]</f>
        <v>152.31999999994878</v>
      </c>
      <c r="O177" s="48"/>
    </row>
    <row r="178" spans="9:15" s="1" customFormat="1" ht="24" customHeight="1" x14ac:dyDescent="0.3">
      <c r="I178" s="1">
        <f>0.14*Table1181920231030313235383940414811151820283753565758[[#This Row],[النولون]]</f>
        <v>0</v>
      </c>
      <c r="K17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78" s="1">
        <f>M177+Table1181920231030313235383940414811151820283753565758[[#This Row],[اجمالي الفاتوره]]-Table1181920231030313235383940414811151820283753565758[[#This Row],[الدفعات]]</f>
        <v>152.31999999994878</v>
      </c>
      <c r="O178" s="48"/>
    </row>
    <row r="179" spans="9:15" s="1" customFormat="1" ht="24" customHeight="1" x14ac:dyDescent="0.3">
      <c r="I179" s="1">
        <f>0.14*Table1181920231030313235383940414811151820283753565758[[#This Row],[النولون]]</f>
        <v>0</v>
      </c>
      <c r="K17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79" s="1">
        <f>M178+Table1181920231030313235383940414811151820283753565758[[#This Row],[اجمالي الفاتوره]]-Table1181920231030313235383940414811151820283753565758[[#This Row],[الدفعات]]</f>
        <v>152.31999999994878</v>
      </c>
      <c r="O179" s="48"/>
    </row>
    <row r="180" spans="9:15" s="1" customFormat="1" ht="24" customHeight="1" x14ac:dyDescent="0.3">
      <c r="I180" s="1">
        <f>0.14*Table1181920231030313235383940414811151820283753565758[[#This Row],[النولون]]</f>
        <v>0</v>
      </c>
      <c r="K18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80" s="1">
        <f>M179+Table1181920231030313235383940414811151820283753565758[[#This Row],[اجمالي الفاتوره]]-Table1181920231030313235383940414811151820283753565758[[#This Row],[الدفعات]]</f>
        <v>152.31999999994878</v>
      </c>
      <c r="O180" s="48"/>
    </row>
    <row r="181" spans="9:15" s="1" customFormat="1" ht="24" customHeight="1" x14ac:dyDescent="0.3">
      <c r="I181" s="1">
        <f>0.14*Table1181920231030313235383940414811151820283753565758[[#This Row],[النولون]]</f>
        <v>0</v>
      </c>
      <c r="K18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81" s="1">
        <f>M180+Table1181920231030313235383940414811151820283753565758[[#This Row],[اجمالي الفاتوره]]-Table1181920231030313235383940414811151820283753565758[[#This Row],[الدفعات]]</f>
        <v>152.31999999994878</v>
      </c>
      <c r="O181" s="48"/>
    </row>
    <row r="182" spans="9:15" s="1" customFormat="1" ht="24" customHeight="1" x14ac:dyDescent="0.3">
      <c r="I182" s="1">
        <f>0.14*Table1181920231030313235383940414811151820283753565758[[#This Row],[النولون]]</f>
        <v>0</v>
      </c>
      <c r="K18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82" s="1">
        <f>M181+Table1181920231030313235383940414811151820283753565758[[#This Row],[اجمالي الفاتوره]]-Table1181920231030313235383940414811151820283753565758[[#This Row],[الدفعات]]</f>
        <v>152.31999999994878</v>
      </c>
      <c r="O182" s="48"/>
    </row>
    <row r="183" spans="9:15" s="1" customFormat="1" ht="24" customHeight="1" x14ac:dyDescent="0.3">
      <c r="I183" s="1">
        <f>0.14*Table1181920231030313235383940414811151820283753565758[[#This Row],[النولون]]</f>
        <v>0</v>
      </c>
      <c r="K18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83" s="1">
        <f>M182+Table1181920231030313235383940414811151820283753565758[[#This Row],[اجمالي الفاتوره]]-Table1181920231030313235383940414811151820283753565758[[#This Row],[الدفعات]]</f>
        <v>152.31999999994878</v>
      </c>
      <c r="O183" s="48"/>
    </row>
    <row r="184" spans="9:15" s="1" customFormat="1" ht="24" customHeight="1" x14ac:dyDescent="0.3">
      <c r="I184" s="1">
        <f>0.14*Table1181920231030313235383940414811151820283753565758[[#This Row],[النولون]]</f>
        <v>0</v>
      </c>
      <c r="K18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84" s="1">
        <f>M183+Table1181920231030313235383940414811151820283753565758[[#This Row],[اجمالي الفاتوره]]-Table1181920231030313235383940414811151820283753565758[[#This Row],[الدفعات]]</f>
        <v>152.31999999994878</v>
      </c>
      <c r="O184" s="48"/>
    </row>
    <row r="185" spans="9:15" s="1" customFormat="1" ht="24" customHeight="1" x14ac:dyDescent="0.3">
      <c r="I185" s="1">
        <f>0.14*Table1181920231030313235383940414811151820283753565758[[#This Row],[النولون]]</f>
        <v>0</v>
      </c>
      <c r="K18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85" s="1">
        <f>M184+Table1181920231030313235383940414811151820283753565758[[#This Row],[اجمالي الفاتوره]]-Table1181920231030313235383940414811151820283753565758[[#This Row],[الدفعات]]</f>
        <v>152.31999999994878</v>
      </c>
      <c r="O185" s="48"/>
    </row>
    <row r="186" spans="9:15" s="1" customFormat="1" ht="24" customHeight="1" x14ac:dyDescent="0.3">
      <c r="I186" s="1">
        <f>0.14*Table1181920231030313235383940414811151820283753565758[[#This Row],[النولون]]</f>
        <v>0</v>
      </c>
      <c r="K18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86" s="1">
        <f>M185+Table1181920231030313235383940414811151820283753565758[[#This Row],[اجمالي الفاتوره]]-Table1181920231030313235383940414811151820283753565758[[#This Row],[الدفعات]]</f>
        <v>152.31999999994878</v>
      </c>
      <c r="O186" s="48"/>
    </row>
    <row r="187" spans="9:15" s="1" customFormat="1" ht="24" customHeight="1" x14ac:dyDescent="0.3">
      <c r="I187" s="1">
        <f>0.14*Table1181920231030313235383940414811151820283753565758[[#This Row],[النولون]]</f>
        <v>0</v>
      </c>
      <c r="K18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87" s="1">
        <f>M186+Table1181920231030313235383940414811151820283753565758[[#This Row],[اجمالي الفاتوره]]-Table1181920231030313235383940414811151820283753565758[[#This Row],[الدفعات]]</f>
        <v>152.31999999994878</v>
      </c>
      <c r="O187" s="48"/>
    </row>
    <row r="188" spans="9:15" s="1" customFormat="1" ht="24" customHeight="1" x14ac:dyDescent="0.3">
      <c r="I188" s="1">
        <f>0.14*Table1181920231030313235383940414811151820283753565758[[#This Row],[النولون]]</f>
        <v>0</v>
      </c>
      <c r="K18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88" s="1">
        <f>M187+Table1181920231030313235383940414811151820283753565758[[#This Row],[اجمالي الفاتوره]]-Table1181920231030313235383940414811151820283753565758[[#This Row],[الدفعات]]</f>
        <v>152.31999999994878</v>
      </c>
      <c r="O188" s="48"/>
    </row>
    <row r="189" spans="9:15" s="1" customFormat="1" ht="24" customHeight="1" x14ac:dyDescent="0.3">
      <c r="I189" s="1">
        <f>0.14*Table1181920231030313235383940414811151820283753565758[[#This Row],[النولون]]</f>
        <v>0</v>
      </c>
      <c r="K18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89" s="1">
        <f>M188+Table1181920231030313235383940414811151820283753565758[[#This Row],[اجمالي الفاتوره]]-Table1181920231030313235383940414811151820283753565758[[#This Row],[الدفعات]]</f>
        <v>152.31999999994878</v>
      </c>
      <c r="O189" s="48"/>
    </row>
    <row r="190" spans="9:15" s="1" customFormat="1" ht="24" customHeight="1" x14ac:dyDescent="0.3">
      <c r="I190" s="1">
        <f>0.14*Table1181920231030313235383940414811151820283753565758[[#This Row],[النولون]]</f>
        <v>0</v>
      </c>
      <c r="K19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90" s="1">
        <f>M189+Table1181920231030313235383940414811151820283753565758[[#This Row],[اجمالي الفاتوره]]-Table1181920231030313235383940414811151820283753565758[[#This Row],[الدفعات]]</f>
        <v>152.31999999994878</v>
      </c>
      <c r="O190" s="48"/>
    </row>
    <row r="191" spans="9:15" s="1" customFormat="1" ht="24" customHeight="1" x14ac:dyDescent="0.3">
      <c r="I191" s="1">
        <f>0.14*Table1181920231030313235383940414811151820283753565758[[#This Row],[النولون]]</f>
        <v>0</v>
      </c>
      <c r="K19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91" s="1">
        <f>M190+Table1181920231030313235383940414811151820283753565758[[#This Row],[اجمالي الفاتوره]]-Table1181920231030313235383940414811151820283753565758[[#This Row],[الدفعات]]</f>
        <v>152.31999999994878</v>
      </c>
      <c r="O191" s="48"/>
    </row>
    <row r="192" spans="9:15" s="1" customFormat="1" ht="24" customHeight="1" x14ac:dyDescent="0.3">
      <c r="I192" s="1">
        <f>0.14*Table1181920231030313235383940414811151820283753565758[[#This Row],[النولون]]</f>
        <v>0</v>
      </c>
      <c r="K19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92" s="1">
        <f>M191+Table1181920231030313235383940414811151820283753565758[[#This Row],[اجمالي الفاتوره]]-Table1181920231030313235383940414811151820283753565758[[#This Row],[الدفعات]]</f>
        <v>152.31999999994878</v>
      </c>
      <c r="O192" s="48"/>
    </row>
    <row r="193" spans="9:15" s="1" customFormat="1" ht="24" customHeight="1" x14ac:dyDescent="0.3">
      <c r="I193" s="1">
        <f>0.14*Table1181920231030313235383940414811151820283753565758[[#This Row],[النولون]]</f>
        <v>0</v>
      </c>
      <c r="K19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93" s="1">
        <f>M192+Table1181920231030313235383940414811151820283753565758[[#This Row],[اجمالي الفاتوره]]-Table1181920231030313235383940414811151820283753565758[[#This Row],[الدفعات]]</f>
        <v>152.31999999994878</v>
      </c>
      <c r="O193" s="48"/>
    </row>
    <row r="194" spans="9:15" s="1" customFormat="1" ht="24" customHeight="1" x14ac:dyDescent="0.3">
      <c r="I194" s="1">
        <f>0.14*Table1181920231030313235383940414811151820283753565758[[#This Row],[النولون]]</f>
        <v>0</v>
      </c>
      <c r="K19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94" s="1">
        <f>M193+Table1181920231030313235383940414811151820283753565758[[#This Row],[اجمالي الفاتوره]]-Table1181920231030313235383940414811151820283753565758[[#This Row],[الدفعات]]</f>
        <v>152.31999999994878</v>
      </c>
      <c r="O194" s="48"/>
    </row>
    <row r="195" spans="9:15" s="1" customFormat="1" ht="24" customHeight="1" x14ac:dyDescent="0.3">
      <c r="I195" s="1">
        <f>0.14*Table1181920231030313235383940414811151820283753565758[[#This Row],[النولون]]</f>
        <v>0</v>
      </c>
      <c r="K19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95" s="1">
        <f>M194+Table1181920231030313235383940414811151820283753565758[[#This Row],[اجمالي الفاتوره]]-Table1181920231030313235383940414811151820283753565758[[#This Row],[الدفعات]]</f>
        <v>152.31999999994878</v>
      </c>
      <c r="O195" s="48"/>
    </row>
    <row r="196" spans="9:15" s="1" customFormat="1" ht="24" customHeight="1" x14ac:dyDescent="0.3">
      <c r="I196" s="1">
        <f>0.14*Table1181920231030313235383940414811151820283753565758[[#This Row],[النولون]]</f>
        <v>0</v>
      </c>
      <c r="K19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96" s="1">
        <f>M195+Table1181920231030313235383940414811151820283753565758[[#This Row],[اجمالي الفاتوره]]-Table1181920231030313235383940414811151820283753565758[[#This Row],[الدفعات]]</f>
        <v>152.31999999994878</v>
      </c>
      <c r="O196" s="48"/>
    </row>
    <row r="197" spans="9:15" s="1" customFormat="1" ht="24" customHeight="1" x14ac:dyDescent="0.3">
      <c r="I197" s="1">
        <f>0.14*Table1181920231030313235383940414811151820283753565758[[#This Row],[النولون]]</f>
        <v>0</v>
      </c>
      <c r="K19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97" s="1">
        <f>M196+Table1181920231030313235383940414811151820283753565758[[#This Row],[اجمالي الفاتوره]]-Table1181920231030313235383940414811151820283753565758[[#This Row],[الدفعات]]</f>
        <v>152.31999999994878</v>
      </c>
      <c r="O197" s="48"/>
    </row>
    <row r="198" spans="9:15" s="1" customFormat="1" ht="24" customHeight="1" x14ac:dyDescent="0.3">
      <c r="I198" s="1">
        <f>0.14*Table1181920231030313235383940414811151820283753565758[[#This Row],[النولون]]</f>
        <v>0</v>
      </c>
      <c r="K19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98" s="1">
        <f>M197+Table1181920231030313235383940414811151820283753565758[[#This Row],[اجمالي الفاتوره]]-Table1181920231030313235383940414811151820283753565758[[#This Row],[الدفعات]]</f>
        <v>152.31999999994878</v>
      </c>
      <c r="O198" s="48"/>
    </row>
    <row r="199" spans="9:15" s="1" customFormat="1" ht="24" customHeight="1" x14ac:dyDescent="0.3">
      <c r="I199" s="1">
        <f>0.14*Table1181920231030313235383940414811151820283753565758[[#This Row],[النولون]]</f>
        <v>0</v>
      </c>
      <c r="K19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199" s="1">
        <f>M198+Table1181920231030313235383940414811151820283753565758[[#This Row],[اجمالي الفاتوره]]-Table1181920231030313235383940414811151820283753565758[[#This Row],[الدفعات]]</f>
        <v>152.31999999994878</v>
      </c>
      <c r="O199" s="48"/>
    </row>
    <row r="200" spans="9:15" s="1" customFormat="1" ht="24" customHeight="1" x14ac:dyDescent="0.3">
      <c r="I200" s="1">
        <f>0.14*Table1181920231030313235383940414811151820283753565758[[#This Row],[النولون]]</f>
        <v>0</v>
      </c>
      <c r="K20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00" s="1">
        <f>M199+Table1181920231030313235383940414811151820283753565758[[#This Row],[اجمالي الفاتوره]]-Table1181920231030313235383940414811151820283753565758[[#This Row],[الدفعات]]</f>
        <v>152.31999999994878</v>
      </c>
      <c r="O200" s="48"/>
    </row>
    <row r="201" spans="9:15" s="1" customFormat="1" ht="24" customHeight="1" x14ac:dyDescent="0.3">
      <c r="I201" s="1">
        <f>0.14*Table1181920231030313235383940414811151820283753565758[[#This Row],[النولون]]</f>
        <v>0</v>
      </c>
      <c r="K20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01" s="1">
        <f>M200+Table1181920231030313235383940414811151820283753565758[[#This Row],[اجمالي الفاتوره]]-Table1181920231030313235383940414811151820283753565758[[#This Row],[الدفعات]]</f>
        <v>152.31999999994878</v>
      </c>
      <c r="O201" s="48"/>
    </row>
    <row r="202" spans="9:15" s="1" customFormat="1" ht="24" customHeight="1" x14ac:dyDescent="0.3">
      <c r="I202" s="1">
        <f>0.14*Table1181920231030313235383940414811151820283753565758[[#This Row],[النولون]]</f>
        <v>0</v>
      </c>
      <c r="K20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02" s="1">
        <f>M201+Table1181920231030313235383940414811151820283753565758[[#This Row],[اجمالي الفاتوره]]-Table1181920231030313235383940414811151820283753565758[[#This Row],[الدفعات]]</f>
        <v>152.31999999994878</v>
      </c>
      <c r="O202" s="48"/>
    </row>
    <row r="203" spans="9:15" s="1" customFormat="1" ht="24" customHeight="1" x14ac:dyDescent="0.3">
      <c r="I203" s="1">
        <f>0.14*Table1181920231030313235383940414811151820283753565758[[#This Row],[النولون]]</f>
        <v>0</v>
      </c>
      <c r="K20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03" s="1">
        <f>M202+Table1181920231030313235383940414811151820283753565758[[#This Row],[اجمالي الفاتوره]]-Table1181920231030313235383940414811151820283753565758[[#This Row],[الدفعات]]</f>
        <v>152.31999999994878</v>
      </c>
      <c r="O203" s="48"/>
    </row>
    <row r="204" spans="9:15" s="1" customFormat="1" ht="24" customHeight="1" x14ac:dyDescent="0.3">
      <c r="I204" s="1">
        <f>0.14*Table1181920231030313235383940414811151820283753565758[[#This Row],[النولون]]</f>
        <v>0</v>
      </c>
      <c r="K20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04" s="1">
        <f>M203+Table1181920231030313235383940414811151820283753565758[[#This Row],[اجمالي الفاتوره]]-Table1181920231030313235383940414811151820283753565758[[#This Row],[الدفعات]]</f>
        <v>152.31999999994878</v>
      </c>
      <c r="O204" s="48"/>
    </row>
    <row r="205" spans="9:15" s="1" customFormat="1" ht="24" customHeight="1" x14ac:dyDescent="0.3">
      <c r="I205" s="1">
        <f>0.14*Table1181920231030313235383940414811151820283753565758[[#This Row],[النولون]]</f>
        <v>0</v>
      </c>
      <c r="K20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05" s="1">
        <f>M204+Table1181920231030313235383940414811151820283753565758[[#This Row],[اجمالي الفاتوره]]-Table1181920231030313235383940414811151820283753565758[[#This Row],[الدفعات]]</f>
        <v>152.31999999994878</v>
      </c>
      <c r="O205" s="48"/>
    </row>
    <row r="206" spans="9:15" s="1" customFormat="1" ht="24" customHeight="1" x14ac:dyDescent="0.3">
      <c r="I206" s="1">
        <f>0.14*Table1181920231030313235383940414811151820283753565758[[#This Row],[النولون]]</f>
        <v>0</v>
      </c>
      <c r="K20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06" s="1">
        <f>M205+Table1181920231030313235383940414811151820283753565758[[#This Row],[اجمالي الفاتوره]]-Table1181920231030313235383940414811151820283753565758[[#This Row],[الدفعات]]</f>
        <v>152.31999999994878</v>
      </c>
      <c r="O206" s="48"/>
    </row>
    <row r="207" spans="9:15" s="1" customFormat="1" ht="24" customHeight="1" x14ac:dyDescent="0.3">
      <c r="I207" s="1">
        <f>0.14*Table1181920231030313235383940414811151820283753565758[[#This Row],[النولون]]</f>
        <v>0</v>
      </c>
      <c r="K20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07" s="1">
        <f>M206+Table1181920231030313235383940414811151820283753565758[[#This Row],[اجمالي الفاتوره]]-Table1181920231030313235383940414811151820283753565758[[#This Row],[الدفعات]]</f>
        <v>152.31999999994878</v>
      </c>
      <c r="O207" s="48"/>
    </row>
    <row r="208" spans="9:15" s="1" customFormat="1" ht="24" customHeight="1" x14ac:dyDescent="0.3">
      <c r="I208" s="1">
        <f>0.14*Table1181920231030313235383940414811151820283753565758[[#This Row],[النولون]]</f>
        <v>0</v>
      </c>
      <c r="K20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08" s="1">
        <f>M207+Table1181920231030313235383940414811151820283753565758[[#This Row],[اجمالي الفاتوره]]-Table1181920231030313235383940414811151820283753565758[[#This Row],[الدفعات]]</f>
        <v>152.31999999994878</v>
      </c>
      <c r="O208" s="48"/>
    </row>
    <row r="209" spans="9:15" s="1" customFormat="1" ht="24" customHeight="1" x14ac:dyDescent="0.3">
      <c r="I209" s="1">
        <f>0.14*Table1181920231030313235383940414811151820283753565758[[#This Row],[النولون]]</f>
        <v>0</v>
      </c>
      <c r="K20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09" s="1">
        <f>M208+Table1181920231030313235383940414811151820283753565758[[#This Row],[اجمالي الفاتوره]]-Table1181920231030313235383940414811151820283753565758[[#This Row],[الدفعات]]</f>
        <v>152.31999999994878</v>
      </c>
      <c r="O209" s="48"/>
    </row>
    <row r="210" spans="9:15" s="1" customFormat="1" ht="24" customHeight="1" x14ac:dyDescent="0.3">
      <c r="I210" s="1">
        <f>0.14*Table1181920231030313235383940414811151820283753565758[[#This Row],[النولون]]</f>
        <v>0</v>
      </c>
      <c r="K21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10" s="1">
        <f>M209+Table1181920231030313235383940414811151820283753565758[[#This Row],[اجمالي الفاتوره]]-Table1181920231030313235383940414811151820283753565758[[#This Row],[الدفعات]]</f>
        <v>152.31999999994878</v>
      </c>
      <c r="O210" s="48"/>
    </row>
    <row r="211" spans="9:15" s="1" customFormat="1" ht="24" customHeight="1" x14ac:dyDescent="0.3">
      <c r="I211" s="1">
        <f>0.14*Table1181920231030313235383940414811151820283753565758[[#This Row],[النولون]]</f>
        <v>0</v>
      </c>
      <c r="K21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11" s="1">
        <f>M210+Table1181920231030313235383940414811151820283753565758[[#This Row],[اجمالي الفاتوره]]-Table1181920231030313235383940414811151820283753565758[[#This Row],[الدفعات]]</f>
        <v>152.31999999994878</v>
      </c>
      <c r="O211" s="48"/>
    </row>
    <row r="212" spans="9:15" s="1" customFormat="1" ht="24" customHeight="1" x14ac:dyDescent="0.3">
      <c r="I212" s="1">
        <f>0.14*Table1181920231030313235383940414811151820283753565758[[#This Row],[النولون]]</f>
        <v>0</v>
      </c>
      <c r="K21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12" s="1">
        <f>M211+Table1181920231030313235383940414811151820283753565758[[#This Row],[اجمالي الفاتوره]]-Table1181920231030313235383940414811151820283753565758[[#This Row],[الدفعات]]</f>
        <v>152.31999999994878</v>
      </c>
      <c r="O212" s="48"/>
    </row>
    <row r="213" spans="9:15" s="1" customFormat="1" ht="24" customHeight="1" x14ac:dyDescent="0.3">
      <c r="I213" s="1">
        <f>0.14*Table1181920231030313235383940414811151820283753565758[[#This Row],[النولون]]</f>
        <v>0</v>
      </c>
      <c r="K21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13" s="1">
        <f>M212+Table1181920231030313235383940414811151820283753565758[[#This Row],[اجمالي الفاتوره]]-Table1181920231030313235383940414811151820283753565758[[#This Row],[الدفعات]]</f>
        <v>152.31999999994878</v>
      </c>
      <c r="O213" s="48"/>
    </row>
    <row r="214" spans="9:15" s="1" customFormat="1" ht="24" customHeight="1" x14ac:dyDescent="0.3">
      <c r="I214" s="1">
        <f>0.14*Table1181920231030313235383940414811151820283753565758[[#This Row],[النولون]]</f>
        <v>0</v>
      </c>
      <c r="K21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14" s="1">
        <f>M213+Table1181920231030313235383940414811151820283753565758[[#This Row],[اجمالي الفاتوره]]-Table1181920231030313235383940414811151820283753565758[[#This Row],[الدفعات]]</f>
        <v>152.31999999994878</v>
      </c>
      <c r="O214" s="48"/>
    </row>
    <row r="215" spans="9:15" s="1" customFormat="1" ht="24" customHeight="1" x14ac:dyDescent="0.3">
      <c r="I215" s="1">
        <f>0.14*Table1181920231030313235383940414811151820283753565758[[#This Row],[النولون]]</f>
        <v>0</v>
      </c>
      <c r="K21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15" s="1">
        <f>M214+Table1181920231030313235383940414811151820283753565758[[#This Row],[اجمالي الفاتوره]]-Table1181920231030313235383940414811151820283753565758[[#This Row],[الدفعات]]</f>
        <v>152.31999999994878</v>
      </c>
      <c r="O215" s="48"/>
    </row>
    <row r="216" spans="9:15" s="1" customFormat="1" ht="24" customHeight="1" x14ac:dyDescent="0.3">
      <c r="I216" s="1">
        <f>0.14*Table1181920231030313235383940414811151820283753565758[[#This Row],[النولون]]</f>
        <v>0</v>
      </c>
      <c r="K21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16" s="1">
        <f>M215+Table1181920231030313235383940414811151820283753565758[[#This Row],[اجمالي الفاتوره]]-Table1181920231030313235383940414811151820283753565758[[#This Row],[الدفعات]]</f>
        <v>152.31999999994878</v>
      </c>
      <c r="O216" s="48"/>
    </row>
    <row r="217" spans="9:15" s="1" customFormat="1" ht="24" customHeight="1" x14ac:dyDescent="0.3">
      <c r="I217" s="1">
        <f>0.14*Table1181920231030313235383940414811151820283753565758[[#This Row],[النولون]]</f>
        <v>0</v>
      </c>
      <c r="K21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17" s="1">
        <f>M216+Table1181920231030313235383940414811151820283753565758[[#This Row],[اجمالي الفاتوره]]-Table1181920231030313235383940414811151820283753565758[[#This Row],[الدفعات]]</f>
        <v>152.31999999994878</v>
      </c>
      <c r="O217" s="48"/>
    </row>
    <row r="218" spans="9:15" s="1" customFormat="1" ht="24" customHeight="1" x14ac:dyDescent="0.3">
      <c r="I218" s="1">
        <f>0.14*Table1181920231030313235383940414811151820283753565758[[#This Row],[النولون]]</f>
        <v>0</v>
      </c>
      <c r="K21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18" s="1">
        <f>M217+Table1181920231030313235383940414811151820283753565758[[#This Row],[اجمالي الفاتوره]]-Table1181920231030313235383940414811151820283753565758[[#This Row],[الدفعات]]</f>
        <v>152.31999999994878</v>
      </c>
      <c r="O218" s="48"/>
    </row>
    <row r="219" spans="9:15" s="1" customFormat="1" ht="24" customHeight="1" x14ac:dyDescent="0.3">
      <c r="I219" s="1">
        <f>0.14*Table1181920231030313235383940414811151820283753565758[[#This Row],[النولون]]</f>
        <v>0</v>
      </c>
      <c r="K21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19" s="1">
        <f>M218+Table1181920231030313235383940414811151820283753565758[[#This Row],[اجمالي الفاتوره]]-Table1181920231030313235383940414811151820283753565758[[#This Row],[الدفعات]]</f>
        <v>152.31999999994878</v>
      </c>
      <c r="O219" s="48"/>
    </row>
    <row r="220" spans="9:15" s="1" customFormat="1" ht="24" customHeight="1" x14ac:dyDescent="0.3">
      <c r="I220" s="1">
        <f>0.14*Table1181920231030313235383940414811151820283753565758[[#This Row],[النولون]]</f>
        <v>0</v>
      </c>
      <c r="K22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20" s="1">
        <f>M219+Table1181920231030313235383940414811151820283753565758[[#This Row],[اجمالي الفاتوره]]-Table1181920231030313235383940414811151820283753565758[[#This Row],[الدفعات]]</f>
        <v>152.31999999994878</v>
      </c>
      <c r="O220" s="48"/>
    </row>
    <row r="221" spans="9:15" s="1" customFormat="1" ht="24" customHeight="1" x14ac:dyDescent="0.3">
      <c r="I221" s="1">
        <f>0.14*Table1181920231030313235383940414811151820283753565758[[#This Row],[النولون]]</f>
        <v>0</v>
      </c>
      <c r="K22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21" s="1">
        <f>M220+Table1181920231030313235383940414811151820283753565758[[#This Row],[اجمالي الفاتوره]]-Table1181920231030313235383940414811151820283753565758[[#This Row],[الدفعات]]</f>
        <v>152.31999999994878</v>
      </c>
      <c r="O221" s="48"/>
    </row>
    <row r="222" spans="9:15" s="1" customFormat="1" ht="24" customHeight="1" x14ac:dyDescent="0.3">
      <c r="I222" s="1">
        <f>0.14*Table1181920231030313235383940414811151820283753565758[[#This Row],[النولون]]</f>
        <v>0</v>
      </c>
      <c r="K22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22" s="1">
        <f>M221+Table1181920231030313235383940414811151820283753565758[[#This Row],[اجمالي الفاتوره]]-Table1181920231030313235383940414811151820283753565758[[#This Row],[الدفعات]]</f>
        <v>152.31999999994878</v>
      </c>
      <c r="O222" s="48"/>
    </row>
    <row r="223" spans="9:15" s="1" customFormat="1" ht="24" customHeight="1" x14ac:dyDescent="0.3">
      <c r="I223" s="1">
        <f>0.14*Table1181920231030313235383940414811151820283753565758[[#This Row],[النولون]]</f>
        <v>0</v>
      </c>
      <c r="K22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23" s="1">
        <f>M222+Table1181920231030313235383940414811151820283753565758[[#This Row],[اجمالي الفاتوره]]-Table1181920231030313235383940414811151820283753565758[[#This Row],[الدفعات]]</f>
        <v>152.31999999994878</v>
      </c>
      <c r="O223" s="48"/>
    </row>
    <row r="224" spans="9:15" s="1" customFormat="1" ht="24" customHeight="1" x14ac:dyDescent="0.3">
      <c r="I224" s="1">
        <f>0.14*Table1181920231030313235383940414811151820283753565758[[#This Row],[النولون]]</f>
        <v>0</v>
      </c>
      <c r="K22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24" s="1">
        <f>M223+Table1181920231030313235383940414811151820283753565758[[#This Row],[اجمالي الفاتوره]]-Table1181920231030313235383940414811151820283753565758[[#This Row],[الدفعات]]</f>
        <v>152.31999999994878</v>
      </c>
      <c r="O224" s="48"/>
    </row>
    <row r="225" spans="9:15" s="1" customFormat="1" ht="24" customHeight="1" x14ac:dyDescent="0.3">
      <c r="I225" s="1">
        <f>0.14*Table1181920231030313235383940414811151820283753565758[[#This Row],[النولون]]</f>
        <v>0</v>
      </c>
      <c r="K22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25" s="1">
        <f>M224+Table1181920231030313235383940414811151820283753565758[[#This Row],[اجمالي الفاتوره]]-Table1181920231030313235383940414811151820283753565758[[#This Row],[الدفعات]]</f>
        <v>152.31999999994878</v>
      </c>
      <c r="O225" s="48"/>
    </row>
    <row r="226" spans="9:15" s="1" customFormat="1" ht="24" customHeight="1" x14ac:dyDescent="0.3">
      <c r="I226" s="1">
        <f>0.14*Table1181920231030313235383940414811151820283753565758[[#This Row],[النولون]]</f>
        <v>0</v>
      </c>
      <c r="K22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26" s="1">
        <f>M225+Table1181920231030313235383940414811151820283753565758[[#This Row],[اجمالي الفاتوره]]-Table1181920231030313235383940414811151820283753565758[[#This Row],[الدفعات]]</f>
        <v>152.31999999994878</v>
      </c>
      <c r="O226" s="48"/>
    </row>
    <row r="227" spans="9:15" s="1" customFormat="1" ht="24" customHeight="1" x14ac:dyDescent="0.3">
      <c r="I227" s="1">
        <f>0.14*Table1181920231030313235383940414811151820283753565758[[#This Row],[النولون]]</f>
        <v>0</v>
      </c>
      <c r="K22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27" s="1">
        <f>M226+Table1181920231030313235383940414811151820283753565758[[#This Row],[اجمالي الفاتوره]]-Table1181920231030313235383940414811151820283753565758[[#This Row],[الدفعات]]</f>
        <v>152.31999999994878</v>
      </c>
      <c r="O227" s="48"/>
    </row>
    <row r="228" spans="9:15" s="1" customFormat="1" ht="24" customHeight="1" x14ac:dyDescent="0.3">
      <c r="I228" s="1">
        <f>0.14*Table1181920231030313235383940414811151820283753565758[[#This Row],[النولون]]</f>
        <v>0</v>
      </c>
      <c r="K22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28" s="1">
        <f>M227+Table1181920231030313235383940414811151820283753565758[[#This Row],[اجمالي الفاتوره]]-Table1181920231030313235383940414811151820283753565758[[#This Row],[الدفعات]]</f>
        <v>152.31999999994878</v>
      </c>
      <c r="O228" s="48"/>
    </row>
    <row r="229" spans="9:15" s="1" customFormat="1" ht="24" customHeight="1" x14ac:dyDescent="0.3">
      <c r="I229" s="1">
        <f>0.14*Table1181920231030313235383940414811151820283753565758[[#This Row],[النولون]]</f>
        <v>0</v>
      </c>
      <c r="K22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29" s="1">
        <f>M228+Table1181920231030313235383940414811151820283753565758[[#This Row],[اجمالي الفاتوره]]-Table1181920231030313235383940414811151820283753565758[[#This Row],[الدفعات]]</f>
        <v>152.31999999994878</v>
      </c>
      <c r="O229" s="48"/>
    </row>
    <row r="230" spans="9:15" s="1" customFormat="1" ht="24" customHeight="1" x14ac:dyDescent="0.3">
      <c r="I230" s="1">
        <f>0.14*Table1181920231030313235383940414811151820283753565758[[#This Row],[النولون]]</f>
        <v>0</v>
      </c>
      <c r="K23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30" s="1">
        <f>M229+Table1181920231030313235383940414811151820283753565758[[#This Row],[اجمالي الفاتوره]]-Table1181920231030313235383940414811151820283753565758[[#This Row],[الدفعات]]</f>
        <v>152.31999999994878</v>
      </c>
      <c r="O230" s="48"/>
    </row>
    <row r="231" spans="9:15" s="1" customFormat="1" ht="24" customHeight="1" x14ac:dyDescent="0.3">
      <c r="I231" s="1">
        <f>0.14*Table1181920231030313235383940414811151820283753565758[[#This Row],[النولون]]</f>
        <v>0</v>
      </c>
      <c r="K23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31" s="1">
        <f>M230+Table1181920231030313235383940414811151820283753565758[[#This Row],[اجمالي الفاتوره]]-Table1181920231030313235383940414811151820283753565758[[#This Row],[الدفعات]]</f>
        <v>152.31999999994878</v>
      </c>
      <c r="O231" s="48"/>
    </row>
    <row r="232" spans="9:15" s="1" customFormat="1" ht="24" customHeight="1" x14ac:dyDescent="0.3">
      <c r="I232" s="1">
        <f>0.14*Table1181920231030313235383940414811151820283753565758[[#This Row],[النولون]]</f>
        <v>0</v>
      </c>
      <c r="K23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32" s="1">
        <f>M231+Table1181920231030313235383940414811151820283753565758[[#This Row],[اجمالي الفاتوره]]-Table1181920231030313235383940414811151820283753565758[[#This Row],[الدفعات]]</f>
        <v>152.31999999994878</v>
      </c>
      <c r="O232" s="48"/>
    </row>
    <row r="233" spans="9:15" s="1" customFormat="1" ht="24" customHeight="1" x14ac:dyDescent="0.3">
      <c r="I233" s="1">
        <f>0.14*Table1181920231030313235383940414811151820283753565758[[#This Row],[النولون]]</f>
        <v>0</v>
      </c>
      <c r="K23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33" s="1">
        <f>M232+Table1181920231030313235383940414811151820283753565758[[#This Row],[اجمالي الفاتوره]]-Table1181920231030313235383940414811151820283753565758[[#This Row],[الدفعات]]</f>
        <v>152.31999999994878</v>
      </c>
      <c r="O233" s="48"/>
    </row>
    <row r="234" spans="9:15" s="1" customFormat="1" ht="24" customHeight="1" x14ac:dyDescent="0.3">
      <c r="I234" s="1">
        <f>0.14*Table1181920231030313235383940414811151820283753565758[[#This Row],[النولون]]</f>
        <v>0</v>
      </c>
      <c r="K23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34" s="1">
        <f>M233+Table1181920231030313235383940414811151820283753565758[[#This Row],[اجمالي الفاتوره]]-Table1181920231030313235383940414811151820283753565758[[#This Row],[الدفعات]]</f>
        <v>152.31999999994878</v>
      </c>
      <c r="O234" s="48"/>
    </row>
    <row r="235" spans="9:15" s="1" customFormat="1" ht="24" customHeight="1" x14ac:dyDescent="0.3">
      <c r="I235" s="1">
        <f>0.14*Table1181920231030313235383940414811151820283753565758[[#This Row],[النولون]]</f>
        <v>0</v>
      </c>
      <c r="K23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35" s="1">
        <f>M234+Table1181920231030313235383940414811151820283753565758[[#This Row],[اجمالي الفاتوره]]-Table1181920231030313235383940414811151820283753565758[[#This Row],[الدفعات]]</f>
        <v>152.31999999994878</v>
      </c>
      <c r="O235" s="48"/>
    </row>
    <row r="236" spans="9:15" s="1" customFormat="1" ht="24" customHeight="1" x14ac:dyDescent="0.3">
      <c r="I236" s="1">
        <f>0.14*Table1181920231030313235383940414811151820283753565758[[#This Row],[النولون]]</f>
        <v>0</v>
      </c>
      <c r="K23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36" s="1">
        <f>M235+Table1181920231030313235383940414811151820283753565758[[#This Row],[اجمالي الفاتوره]]-Table1181920231030313235383940414811151820283753565758[[#This Row],[الدفعات]]</f>
        <v>152.31999999994878</v>
      </c>
      <c r="O236" s="48"/>
    </row>
    <row r="237" spans="9:15" s="1" customFormat="1" ht="24" customHeight="1" x14ac:dyDescent="0.3">
      <c r="I237" s="1">
        <f>0.14*Table1181920231030313235383940414811151820283753565758[[#This Row],[النولون]]</f>
        <v>0</v>
      </c>
      <c r="K23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37" s="1">
        <f>M236+Table1181920231030313235383940414811151820283753565758[[#This Row],[اجمالي الفاتوره]]-Table1181920231030313235383940414811151820283753565758[[#This Row],[الدفعات]]</f>
        <v>152.31999999994878</v>
      </c>
      <c r="O237" s="48"/>
    </row>
    <row r="238" spans="9:15" s="1" customFormat="1" ht="24" customHeight="1" x14ac:dyDescent="0.3">
      <c r="I238" s="1">
        <f>0.14*Table1181920231030313235383940414811151820283753565758[[#This Row],[النولون]]</f>
        <v>0</v>
      </c>
      <c r="K23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38" s="1">
        <f>M237+Table1181920231030313235383940414811151820283753565758[[#This Row],[اجمالي الفاتوره]]-Table1181920231030313235383940414811151820283753565758[[#This Row],[الدفعات]]</f>
        <v>152.31999999994878</v>
      </c>
      <c r="O238" s="48"/>
    </row>
    <row r="239" spans="9:15" s="1" customFormat="1" ht="24" customHeight="1" x14ac:dyDescent="0.3">
      <c r="I239" s="1">
        <f>0.14*Table1181920231030313235383940414811151820283753565758[[#This Row],[النولون]]</f>
        <v>0</v>
      </c>
      <c r="K23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39" s="1">
        <f>M238+Table1181920231030313235383940414811151820283753565758[[#This Row],[اجمالي الفاتوره]]-Table1181920231030313235383940414811151820283753565758[[#This Row],[الدفعات]]</f>
        <v>152.31999999994878</v>
      </c>
      <c r="O239" s="48"/>
    </row>
    <row r="240" spans="9:15" s="1" customFormat="1" ht="24" customHeight="1" x14ac:dyDescent="0.3">
      <c r="I240" s="1">
        <f>0.14*Table1181920231030313235383940414811151820283753565758[[#This Row],[النولون]]</f>
        <v>0</v>
      </c>
      <c r="K24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40" s="1">
        <f>M239+Table1181920231030313235383940414811151820283753565758[[#This Row],[اجمالي الفاتوره]]-Table1181920231030313235383940414811151820283753565758[[#This Row],[الدفعات]]</f>
        <v>152.31999999994878</v>
      </c>
      <c r="O240" s="48"/>
    </row>
    <row r="241" spans="9:15" s="1" customFormat="1" ht="24" customHeight="1" x14ac:dyDescent="0.3">
      <c r="I241" s="1">
        <f>0.14*Table1181920231030313235383940414811151820283753565758[[#This Row],[النولون]]</f>
        <v>0</v>
      </c>
      <c r="K24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41" s="1">
        <f>M240+Table1181920231030313235383940414811151820283753565758[[#This Row],[اجمالي الفاتوره]]-Table1181920231030313235383940414811151820283753565758[[#This Row],[الدفعات]]</f>
        <v>152.31999999994878</v>
      </c>
      <c r="O241" s="48"/>
    </row>
    <row r="242" spans="9:15" s="1" customFormat="1" ht="24" customHeight="1" x14ac:dyDescent="0.3">
      <c r="I242" s="1">
        <f>0.14*Table1181920231030313235383940414811151820283753565758[[#This Row],[النولون]]</f>
        <v>0</v>
      </c>
      <c r="K24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42" s="1">
        <f>M241+Table1181920231030313235383940414811151820283753565758[[#This Row],[اجمالي الفاتوره]]-Table1181920231030313235383940414811151820283753565758[[#This Row],[الدفعات]]</f>
        <v>152.31999999994878</v>
      </c>
      <c r="O242" s="48"/>
    </row>
    <row r="243" spans="9:15" s="1" customFormat="1" ht="24" customHeight="1" x14ac:dyDescent="0.3">
      <c r="I243" s="1">
        <f>0.14*Table1181920231030313235383940414811151820283753565758[[#This Row],[النولون]]</f>
        <v>0</v>
      </c>
      <c r="K24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43" s="1">
        <f>M242+Table1181920231030313235383940414811151820283753565758[[#This Row],[اجمالي الفاتوره]]-Table1181920231030313235383940414811151820283753565758[[#This Row],[الدفعات]]</f>
        <v>152.31999999994878</v>
      </c>
      <c r="O243" s="48"/>
    </row>
    <row r="244" spans="9:15" s="1" customFormat="1" ht="24" customHeight="1" x14ac:dyDescent="0.3">
      <c r="I244" s="1">
        <f>0.14*Table1181920231030313235383940414811151820283753565758[[#This Row],[النولون]]</f>
        <v>0</v>
      </c>
      <c r="K24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44" s="1">
        <f>M243+Table1181920231030313235383940414811151820283753565758[[#This Row],[اجمالي الفاتوره]]-Table1181920231030313235383940414811151820283753565758[[#This Row],[الدفعات]]</f>
        <v>152.31999999994878</v>
      </c>
      <c r="O244" s="48"/>
    </row>
    <row r="245" spans="9:15" s="1" customFormat="1" ht="24" customHeight="1" x14ac:dyDescent="0.3">
      <c r="I245" s="1">
        <f>0.14*Table1181920231030313235383940414811151820283753565758[[#This Row],[النولون]]</f>
        <v>0</v>
      </c>
      <c r="K24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45" s="1">
        <f>M244+Table1181920231030313235383940414811151820283753565758[[#This Row],[اجمالي الفاتوره]]-Table1181920231030313235383940414811151820283753565758[[#This Row],[الدفعات]]</f>
        <v>152.31999999994878</v>
      </c>
      <c r="O245" s="48"/>
    </row>
    <row r="246" spans="9:15" s="1" customFormat="1" ht="24" customHeight="1" x14ac:dyDescent="0.3">
      <c r="I246" s="1">
        <f>0.14*Table1181920231030313235383940414811151820283753565758[[#This Row],[النولون]]</f>
        <v>0</v>
      </c>
      <c r="K24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46" s="1">
        <f>M245+Table1181920231030313235383940414811151820283753565758[[#This Row],[اجمالي الفاتوره]]-Table1181920231030313235383940414811151820283753565758[[#This Row],[الدفعات]]</f>
        <v>152.31999999994878</v>
      </c>
      <c r="O246" s="48"/>
    </row>
    <row r="247" spans="9:15" s="1" customFormat="1" ht="24" customHeight="1" x14ac:dyDescent="0.3">
      <c r="I247" s="1">
        <f>0.14*Table1181920231030313235383940414811151820283753565758[[#This Row],[النولون]]</f>
        <v>0</v>
      </c>
      <c r="K24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47" s="1">
        <f>M246+Table1181920231030313235383940414811151820283753565758[[#This Row],[اجمالي الفاتوره]]-Table1181920231030313235383940414811151820283753565758[[#This Row],[الدفعات]]</f>
        <v>152.31999999994878</v>
      </c>
      <c r="O247" s="48"/>
    </row>
    <row r="248" spans="9:15" s="1" customFormat="1" ht="24" customHeight="1" x14ac:dyDescent="0.3">
      <c r="I248" s="1">
        <f>0.14*Table1181920231030313235383940414811151820283753565758[[#This Row],[النولون]]</f>
        <v>0</v>
      </c>
      <c r="K24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48" s="1">
        <f>M247+Table1181920231030313235383940414811151820283753565758[[#This Row],[اجمالي الفاتوره]]-Table1181920231030313235383940414811151820283753565758[[#This Row],[الدفعات]]</f>
        <v>152.31999999994878</v>
      </c>
      <c r="O248" s="48"/>
    </row>
    <row r="249" spans="9:15" s="1" customFormat="1" ht="24" customHeight="1" x14ac:dyDescent="0.3">
      <c r="I249" s="1">
        <f>0.14*Table1181920231030313235383940414811151820283753565758[[#This Row],[النولون]]</f>
        <v>0</v>
      </c>
      <c r="K24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49" s="1">
        <f>M248+Table1181920231030313235383940414811151820283753565758[[#This Row],[اجمالي الفاتوره]]-Table1181920231030313235383940414811151820283753565758[[#This Row],[الدفعات]]</f>
        <v>152.31999999994878</v>
      </c>
      <c r="O249" s="48"/>
    </row>
    <row r="250" spans="9:15" s="1" customFormat="1" ht="24" customHeight="1" x14ac:dyDescent="0.3">
      <c r="I250" s="1">
        <f>0.14*Table1181920231030313235383940414811151820283753565758[[#This Row],[النولون]]</f>
        <v>0</v>
      </c>
      <c r="K25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50" s="1">
        <f>M249+Table1181920231030313235383940414811151820283753565758[[#This Row],[اجمالي الفاتوره]]-Table1181920231030313235383940414811151820283753565758[[#This Row],[الدفعات]]</f>
        <v>152.31999999994878</v>
      </c>
      <c r="O250" s="48"/>
    </row>
    <row r="251" spans="9:15" s="1" customFormat="1" ht="24" customHeight="1" x14ac:dyDescent="0.3">
      <c r="I251" s="1">
        <f>0.14*Table1181920231030313235383940414811151820283753565758[[#This Row],[النولون]]</f>
        <v>0</v>
      </c>
      <c r="K25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51" s="1">
        <f>M250+Table1181920231030313235383940414811151820283753565758[[#This Row],[اجمالي الفاتوره]]-Table1181920231030313235383940414811151820283753565758[[#This Row],[الدفعات]]</f>
        <v>152.31999999994878</v>
      </c>
      <c r="O251" s="48"/>
    </row>
    <row r="252" spans="9:15" s="1" customFormat="1" ht="24" customHeight="1" x14ac:dyDescent="0.3">
      <c r="I252" s="1">
        <f>0.14*Table1181920231030313235383940414811151820283753565758[[#This Row],[النولون]]</f>
        <v>0</v>
      </c>
      <c r="K25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52" s="1">
        <f>M251+Table1181920231030313235383940414811151820283753565758[[#This Row],[اجمالي الفاتوره]]-Table1181920231030313235383940414811151820283753565758[[#This Row],[الدفعات]]</f>
        <v>152.31999999994878</v>
      </c>
      <c r="O252" s="48"/>
    </row>
    <row r="253" spans="9:15" s="1" customFormat="1" ht="24" customHeight="1" x14ac:dyDescent="0.3">
      <c r="I253" s="1">
        <f>0.14*Table1181920231030313235383940414811151820283753565758[[#This Row],[النولون]]</f>
        <v>0</v>
      </c>
      <c r="K25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53" s="1">
        <f>M252+Table1181920231030313235383940414811151820283753565758[[#This Row],[اجمالي الفاتوره]]-Table1181920231030313235383940414811151820283753565758[[#This Row],[الدفعات]]</f>
        <v>152.31999999994878</v>
      </c>
      <c r="O253" s="48"/>
    </row>
    <row r="254" spans="9:15" s="1" customFormat="1" ht="24" customHeight="1" x14ac:dyDescent="0.3">
      <c r="I254" s="1">
        <f>0.14*Table1181920231030313235383940414811151820283753565758[[#This Row],[النولون]]</f>
        <v>0</v>
      </c>
      <c r="K25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54" s="1">
        <f>M253+Table1181920231030313235383940414811151820283753565758[[#This Row],[اجمالي الفاتوره]]-Table1181920231030313235383940414811151820283753565758[[#This Row],[الدفعات]]</f>
        <v>152.31999999994878</v>
      </c>
      <c r="O254" s="48"/>
    </row>
    <row r="255" spans="9:15" s="1" customFormat="1" ht="24" customHeight="1" x14ac:dyDescent="0.3">
      <c r="I255" s="1">
        <f>0.14*Table1181920231030313235383940414811151820283753565758[[#This Row],[النولون]]</f>
        <v>0</v>
      </c>
      <c r="K25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55" s="1">
        <f>M254+Table1181920231030313235383940414811151820283753565758[[#This Row],[اجمالي الفاتوره]]-Table1181920231030313235383940414811151820283753565758[[#This Row],[الدفعات]]</f>
        <v>152.31999999994878</v>
      </c>
      <c r="O255" s="48"/>
    </row>
    <row r="256" spans="9:15" s="1" customFormat="1" ht="24" customHeight="1" x14ac:dyDescent="0.3">
      <c r="I256" s="1">
        <f>0.14*Table1181920231030313235383940414811151820283753565758[[#This Row],[النولون]]</f>
        <v>0</v>
      </c>
      <c r="K25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56" s="1">
        <f>M255+Table1181920231030313235383940414811151820283753565758[[#This Row],[اجمالي الفاتوره]]-Table1181920231030313235383940414811151820283753565758[[#This Row],[الدفعات]]</f>
        <v>152.31999999994878</v>
      </c>
      <c r="O256" s="48"/>
    </row>
    <row r="257" spans="9:15" s="1" customFormat="1" ht="24" customHeight="1" x14ac:dyDescent="0.3">
      <c r="I257" s="1">
        <f>0.14*Table1181920231030313235383940414811151820283753565758[[#This Row],[النولون]]</f>
        <v>0</v>
      </c>
      <c r="K25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57" s="1">
        <f>M256+Table1181920231030313235383940414811151820283753565758[[#This Row],[اجمالي الفاتوره]]-Table1181920231030313235383940414811151820283753565758[[#This Row],[الدفعات]]</f>
        <v>152.31999999994878</v>
      </c>
      <c r="O257" s="48"/>
    </row>
    <row r="258" spans="9:15" s="1" customFormat="1" ht="24" customHeight="1" x14ac:dyDescent="0.3">
      <c r="I258" s="1">
        <f>0.14*Table1181920231030313235383940414811151820283753565758[[#This Row],[النولون]]</f>
        <v>0</v>
      </c>
      <c r="K25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58" s="1">
        <f>M257+Table1181920231030313235383940414811151820283753565758[[#This Row],[اجمالي الفاتوره]]-Table1181920231030313235383940414811151820283753565758[[#This Row],[الدفعات]]</f>
        <v>152.31999999994878</v>
      </c>
      <c r="O258" s="48"/>
    </row>
    <row r="259" spans="9:15" s="1" customFormat="1" ht="24" customHeight="1" x14ac:dyDescent="0.3">
      <c r="I259" s="1">
        <f>0.14*Table1181920231030313235383940414811151820283753565758[[#This Row],[النولون]]</f>
        <v>0</v>
      </c>
      <c r="K25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59" s="1">
        <f>M258+Table1181920231030313235383940414811151820283753565758[[#This Row],[اجمالي الفاتوره]]-Table1181920231030313235383940414811151820283753565758[[#This Row],[الدفعات]]</f>
        <v>152.31999999994878</v>
      </c>
      <c r="O259" s="48"/>
    </row>
    <row r="260" spans="9:15" s="1" customFormat="1" ht="24" customHeight="1" x14ac:dyDescent="0.3">
      <c r="I260" s="1">
        <f>0.14*Table1181920231030313235383940414811151820283753565758[[#This Row],[النولون]]</f>
        <v>0</v>
      </c>
      <c r="K26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60" s="1">
        <f>M259+Table1181920231030313235383940414811151820283753565758[[#This Row],[اجمالي الفاتوره]]-Table1181920231030313235383940414811151820283753565758[[#This Row],[الدفعات]]</f>
        <v>152.31999999994878</v>
      </c>
      <c r="O260" s="48"/>
    </row>
    <row r="261" spans="9:15" s="1" customFormat="1" ht="24" customHeight="1" x14ac:dyDescent="0.3">
      <c r="I261" s="1">
        <f>0.14*Table1181920231030313235383940414811151820283753565758[[#This Row],[النولون]]</f>
        <v>0</v>
      </c>
      <c r="K26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61" s="1">
        <f>M260+Table1181920231030313235383940414811151820283753565758[[#This Row],[اجمالي الفاتوره]]-Table1181920231030313235383940414811151820283753565758[[#This Row],[الدفعات]]</f>
        <v>152.31999999994878</v>
      </c>
      <c r="O261" s="48"/>
    </row>
    <row r="262" spans="9:15" s="1" customFormat="1" ht="24" customHeight="1" x14ac:dyDescent="0.3">
      <c r="I262" s="1">
        <f>0.14*Table1181920231030313235383940414811151820283753565758[[#This Row],[النولون]]</f>
        <v>0</v>
      </c>
      <c r="K26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62" s="1">
        <f>M261+Table1181920231030313235383940414811151820283753565758[[#This Row],[اجمالي الفاتوره]]-Table1181920231030313235383940414811151820283753565758[[#This Row],[الدفعات]]</f>
        <v>152.31999999994878</v>
      </c>
      <c r="O262" s="48"/>
    </row>
    <row r="263" spans="9:15" s="1" customFormat="1" ht="24" customHeight="1" x14ac:dyDescent="0.3">
      <c r="I263" s="1">
        <f>0.14*Table1181920231030313235383940414811151820283753565758[[#This Row],[النولون]]</f>
        <v>0</v>
      </c>
      <c r="K26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63" s="1">
        <f>M262+Table1181920231030313235383940414811151820283753565758[[#This Row],[اجمالي الفاتوره]]-Table1181920231030313235383940414811151820283753565758[[#This Row],[الدفعات]]</f>
        <v>152.31999999994878</v>
      </c>
      <c r="O263" s="48"/>
    </row>
    <row r="264" spans="9:15" s="1" customFormat="1" ht="24" customHeight="1" x14ac:dyDescent="0.3">
      <c r="I264" s="1">
        <f>0.14*Table1181920231030313235383940414811151820283753565758[[#This Row],[النولون]]</f>
        <v>0</v>
      </c>
      <c r="K26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64" s="1">
        <f>M263+Table1181920231030313235383940414811151820283753565758[[#This Row],[اجمالي الفاتوره]]-Table1181920231030313235383940414811151820283753565758[[#This Row],[الدفعات]]</f>
        <v>152.31999999994878</v>
      </c>
      <c r="O264" s="48"/>
    </row>
    <row r="265" spans="9:15" s="1" customFormat="1" ht="24" customHeight="1" x14ac:dyDescent="0.3">
      <c r="I265" s="1">
        <f>0.14*Table1181920231030313235383940414811151820283753565758[[#This Row],[النولون]]</f>
        <v>0</v>
      </c>
      <c r="K26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65" s="1">
        <f>M264+Table1181920231030313235383940414811151820283753565758[[#This Row],[اجمالي الفاتوره]]-Table1181920231030313235383940414811151820283753565758[[#This Row],[الدفعات]]</f>
        <v>152.31999999994878</v>
      </c>
      <c r="O265" s="48"/>
    </row>
    <row r="266" spans="9:15" s="1" customFormat="1" ht="24" customHeight="1" x14ac:dyDescent="0.3">
      <c r="I266" s="1">
        <f>0.14*Table1181920231030313235383940414811151820283753565758[[#This Row],[النولون]]</f>
        <v>0</v>
      </c>
      <c r="K26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66" s="1">
        <f>M265+Table1181920231030313235383940414811151820283753565758[[#This Row],[اجمالي الفاتوره]]-Table1181920231030313235383940414811151820283753565758[[#This Row],[الدفعات]]</f>
        <v>152.31999999994878</v>
      </c>
      <c r="O266" s="48"/>
    </row>
    <row r="267" spans="9:15" s="1" customFormat="1" ht="24" customHeight="1" x14ac:dyDescent="0.3">
      <c r="I267" s="1">
        <f>0.14*Table1181920231030313235383940414811151820283753565758[[#This Row],[النولون]]</f>
        <v>0</v>
      </c>
      <c r="K26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67" s="1">
        <f>M266+Table1181920231030313235383940414811151820283753565758[[#This Row],[اجمالي الفاتوره]]-Table1181920231030313235383940414811151820283753565758[[#This Row],[الدفعات]]</f>
        <v>152.31999999994878</v>
      </c>
      <c r="O267" s="48"/>
    </row>
    <row r="268" spans="9:15" s="1" customFormat="1" ht="24" customHeight="1" x14ac:dyDescent="0.3">
      <c r="I268" s="1">
        <f>0.14*Table1181920231030313235383940414811151820283753565758[[#This Row],[النولون]]</f>
        <v>0</v>
      </c>
      <c r="K26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68" s="1">
        <f>M267+Table1181920231030313235383940414811151820283753565758[[#This Row],[اجمالي الفاتوره]]-Table1181920231030313235383940414811151820283753565758[[#This Row],[الدفعات]]</f>
        <v>152.31999999994878</v>
      </c>
      <c r="O268" s="48"/>
    </row>
    <row r="269" spans="9:15" s="1" customFormat="1" ht="24" customHeight="1" x14ac:dyDescent="0.3">
      <c r="I269" s="1">
        <f>0.14*Table1181920231030313235383940414811151820283753565758[[#This Row],[النولون]]</f>
        <v>0</v>
      </c>
      <c r="K26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69" s="1">
        <f>M268+Table1181920231030313235383940414811151820283753565758[[#This Row],[اجمالي الفاتوره]]-Table1181920231030313235383940414811151820283753565758[[#This Row],[الدفعات]]</f>
        <v>152.31999999994878</v>
      </c>
      <c r="O269" s="48"/>
    </row>
    <row r="270" spans="9:15" s="1" customFormat="1" ht="24" customHeight="1" x14ac:dyDescent="0.3">
      <c r="I270" s="1">
        <f>0.14*Table1181920231030313235383940414811151820283753565758[[#This Row],[النولون]]</f>
        <v>0</v>
      </c>
      <c r="K27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70" s="1">
        <f>M269+Table1181920231030313235383940414811151820283753565758[[#This Row],[اجمالي الفاتوره]]-Table1181920231030313235383940414811151820283753565758[[#This Row],[الدفعات]]</f>
        <v>152.31999999994878</v>
      </c>
      <c r="O270" s="48"/>
    </row>
    <row r="271" spans="9:15" s="1" customFormat="1" ht="24" customHeight="1" x14ac:dyDescent="0.3">
      <c r="I271" s="1">
        <f>0.14*Table1181920231030313235383940414811151820283753565758[[#This Row],[النولون]]</f>
        <v>0</v>
      </c>
      <c r="K27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71" s="1">
        <f>M270+Table1181920231030313235383940414811151820283753565758[[#This Row],[اجمالي الفاتوره]]-Table1181920231030313235383940414811151820283753565758[[#This Row],[الدفعات]]</f>
        <v>152.31999999994878</v>
      </c>
      <c r="O271" s="48"/>
    </row>
    <row r="272" spans="9:15" s="1" customFormat="1" ht="24" customHeight="1" x14ac:dyDescent="0.3">
      <c r="I272" s="1">
        <f>0.14*Table1181920231030313235383940414811151820283753565758[[#This Row],[النولون]]</f>
        <v>0</v>
      </c>
      <c r="K27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72" s="1">
        <f>M271+Table1181920231030313235383940414811151820283753565758[[#This Row],[اجمالي الفاتوره]]-Table1181920231030313235383940414811151820283753565758[[#This Row],[الدفعات]]</f>
        <v>152.31999999994878</v>
      </c>
      <c r="O272" s="48"/>
    </row>
    <row r="273" spans="9:15" s="1" customFormat="1" ht="24" customHeight="1" x14ac:dyDescent="0.3">
      <c r="I273" s="1">
        <f>0.14*Table1181920231030313235383940414811151820283753565758[[#This Row],[النولون]]</f>
        <v>0</v>
      </c>
      <c r="K27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73" s="1">
        <f>M272+Table1181920231030313235383940414811151820283753565758[[#This Row],[اجمالي الفاتوره]]-Table1181920231030313235383940414811151820283753565758[[#This Row],[الدفعات]]</f>
        <v>152.31999999994878</v>
      </c>
      <c r="O273" s="48"/>
    </row>
    <row r="274" spans="9:15" s="1" customFormat="1" ht="24" customHeight="1" x14ac:dyDescent="0.3">
      <c r="I274" s="1">
        <f>0.14*Table1181920231030313235383940414811151820283753565758[[#This Row],[النولون]]</f>
        <v>0</v>
      </c>
      <c r="K27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74" s="1">
        <f>M273+Table1181920231030313235383940414811151820283753565758[[#This Row],[اجمالي الفاتوره]]-Table1181920231030313235383940414811151820283753565758[[#This Row],[الدفعات]]</f>
        <v>152.31999999994878</v>
      </c>
      <c r="O274" s="48"/>
    </row>
    <row r="275" spans="9:15" s="1" customFormat="1" ht="24" customHeight="1" x14ac:dyDescent="0.3">
      <c r="I275" s="1">
        <f>0.14*Table1181920231030313235383940414811151820283753565758[[#This Row],[النولون]]</f>
        <v>0</v>
      </c>
      <c r="K27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75" s="1">
        <f>M274+Table1181920231030313235383940414811151820283753565758[[#This Row],[اجمالي الفاتوره]]-Table1181920231030313235383940414811151820283753565758[[#This Row],[الدفعات]]</f>
        <v>152.31999999994878</v>
      </c>
      <c r="O275" s="48"/>
    </row>
    <row r="276" spans="9:15" s="1" customFormat="1" ht="24" customHeight="1" x14ac:dyDescent="0.3">
      <c r="I276" s="1">
        <f>0.14*Table1181920231030313235383940414811151820283753565758[[#This Row],[النولون]]</f>
        <v>0</v>
      </c>
      <c r="K27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76" s="1">
        <f>M275+Table1181920231030313235383940414811151820283753565758[[#This Row],[اجمالي الفاتوره]]-Table1181920231030313235383940414811151820283753565758[[#This Row],[الدفعات]]</f>
        <v>152.31999999994878</v>
      </c>
      <c r="O276" s="48"/>
    </row>
    <row r="277" spans="9:15" s="1" customFormat="1" ht="24" customHeight="1" x14ac:dyDescent="0.3">
      <c r="I277" s="1">
        <f>0.14*Table1181920231030313235383940414811151820283753565758[[#This Row],[النولون]]</f>
        <v>0</v>
      </c>
      <c r="K27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77" s="1">
        <f>M276+Table1181920231030313235383940414811151820283753565758[[#This Row],[اجمالي الفاتوره]]-Table1181920231030313235383940414811151820283753565758[[#This Row],[الدفعات]]</f>
        <v>152.31999999994878</v>
      </c>
      <c r="O277" s="48"/>
    </row>
    <row r="278" spans="9:15" s="1" customFormat="1" ht="24" customHeight="1" x14ac:dyDescent="0.3">
      <c r="I278" s="1">
        <f>0.14*Table1181920231030313235383940414811151820283753565758[[#This Row],[النولون]]</f>
        <v>0</v>
      </c>
      <c r="K27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78" s="1">
        <f>M277+Table1181920231030313235383940414811151820283753565758[[#This Row],[اجمالي الفاتوره]]-Table1181920231030313235383940414811151820283753565758[[#This Row],[الدفعات]]</f>
        <v>152.31999999994878</v>
      </c>
      <c r="O278" s="48"/>
    </row>
    <row r="279" spans="9:15" s="1" customFormat="1" ht="24" customHeight="1" x14ac:dyDescent="0.3">
      <c r="I279" s="1">
        <f>0.14*Table1181920231030313235383940414811151820283753565758[[#This Row],[النولون]]</f>
        <v>0</v>
      </c>
      <c r="K27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79" s="1">
        <f>M278+Table1181920231030313235383940414811151820283753565758[[#This Row],[اجمالي الفاتوره]]-Table1181920231030313235383940414811151820283753565758[[#This Row],[الدفعات]]</f>
        <v>152.31999999994878</v>
      </c>
      <c r="O279" s="48"/>
    </row>
    <row r="280" spans="9:15" s="1" customFormat="1" ht="24" customHeight="1" x14ac:dyDescent="0.3">
      <c r="I280" s="1">
        <f>0.14*Table1181920231030313235383940414811151820283753565758[[#This Row],[النولون]]</f>
        <v>0</v>
      </c>
      <c r="K28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80" s="1">
        <f>M279+Table1181920231030313235383940414811151820283753565758[[#This Row],[اجمالي الفاتوره]]-Table1181920231030313235383940414811151820283753565758[[#This Row],[الدفعات]]</f>
        <v>152.31999999994878</v>
      </c>
      <c r="O280" s="48"/>
    </row>
    <row r="281" spans="9:15" s="1" customFormat="1" ht="24" customHeight="1" x14ac:dyDescent="0.3">
      <c r="I281" s="1">
        <f>0.14*Table1181920231030313235383940414811151820283753565758[[#This Row],[النولون]]</f>
        <v>0</v>
      </c>
      <c r="K28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81" s="1">
        <f>M280+Table1181920231030313235383940414811151820283753565758[[#This Row],[اجمالي الفاتوره]]-Table1181920231030313235383940414811151820283753565758[[#This Row],[الدفعات]]</f>
        <v>152.31999999994878</v>
      </c>
      <c r="O281" s="48"/>
    </row>
    <row r="282" spans="9:15" s="1" customFormat="1" ht="24" customHeight="1" x14ac:dyDescent="0.3">
      <c r="I282" s="1">
        <f>0.14*Table1181920231030313235383940414811151820283753565758[[#This Row],[النولون]]</f>
        <v>0</v>
      </c>
      <c r="K28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82" s="1">
        <f>M281+Table1181920231030313235383940414811151820283753565758[[#This Row],[اجمالي الفاتوره]]-Table1181920231030313235383940414811151820283753565758[[#This Row],[الدفعات]]</f>
        <v>152.31999999994878</v>
      </c>
      <c r="O282" s="48"/>
    </row>
    <row r="283" spans="9:15" s="1" customFormat="1" ht="24" customHeight="1" x14ac:dyDescent="0.3">
      <c r="I283" s="1">
        <f>0.14*Table1181920231030313235383940414811151820283753565758[[#This Row],[النولون]]</f>
        <v>0</v>
      </c>
      <c r="K28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83" s="1">
        <f>M282+Table1181920231030313235383940414811151820283753565758[[#This Row],[اجمالي الفاتوره]]-Table1181920231030313235383940414811151820283753565758[[#This Row],[الدفعات]]</f>
        <v>152.31999999994878</v>
      </c>
      <c r="O283" s="48"/>
    </row>
    <row r="284" spans="9:15" s="1" customFormat="1" ht="24" customHeight="1" x14ac:dyDescent="0.3">
      <c r="I284" s="1">
        <f>0.14*Table1181920231030313235383940414811151820283753565758[[#This Row],[النولون]]</f>
        <v>0</v>
      </c>
      <c r="K28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84" s="1">
        <f>M283+Table1181920231030313235383940414811151820283753565758[[#This Row],[اجمالي الفاتوره]]-Table1181920231030313235383940414811151820283753565758[[#This Row],[الدفعات]]</f>
        <v>152.31999999994878</v>
      </c>
      <c r="O284" s="48"/>
    </row>
    <row r="285" spans="9:15" s="1" customFormat="1" ht="24" customHeight="1" x14ac:dyDescent="0.3">
      <c r="I285" s="1">
        <f>0.14*Table1181920231030313235383940414811151820283753565758[[#This Row],[النولون]]</f>
        <v>0</v>
      </c>
      <c r="K28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85" s="1">
        <f>M284+Table1181920231030313235383940414811151820283753565758[[#This Row],[اجمالي الفاتوره]]-Table1181920231030313235383940414811151820283753565758[[#This Row],[الدفعات]]</f>
        <v>152.31999999994878</v>
      </c>
      <c r="O285" s="48"/>
    </row>
    <row r="286" spans="9:15" s="1" customFormat="1" ht="24" customHeight="1" x14ac:dyDescent="0.3">
      <c r="I286" s="1">
        <f>0.14*Table1181920231030313235383940414811151820283753565758[[#This Row],[النولون]]</f>
        <v>0</v>
      </c>
      <c r="K28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86" s="1">
        <f>M285+Table1181920231030313235383940414811151820283753565758[[#This Row],[اجمالي الفاتوره]]-Table1181920231030313235383940414811151820283753565758[[#This Row],[الدفعات]]</f>
        <v>152.31999999994878</v>
      </c>
      <c r="O286" s="48"/>
    </row>
    <row r="287" spans="9:15" s="1" customFormat="1" ht="24" customHeight="1" x14ac:dyDescent="0.3">
      <c r="I287" s="1">
        <f>0.14*Table1181920231030313235383940414811151820283753565758[[#This Row],[النولون]]</f>
        <v>0</v>
      </c>
      <c r="K28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87" s="1">
        <f>M286+Table1181920231030313235383940414811151820283753565758[[#This Row],[اجمالي الفاتوره]]-Table1181920231030313235383940414811151820283753565758[[#This Row],[الدفعات]]</f>
        <v>152.31999999994878</v>
      </c>
      <c r="O287" s="48"/>
    </row>
    <row r="288" spans="9:15" s="1" customFormat="1" ht="24" customHeight="1" x14ac:dyDescent="0.3">
      <c r="I288" s="1">
        <f>0.14*Table1181920231030313235383940414811151820283753565758[[#This Row],[النولون]]</f>
        <v>0</v>
      </c>
      <c r="K28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88" s="1">
        <f>M287+Table1181920231030313235383940414811151820283753565758[[#This Row],[اجمالي الفاتوره]]-Table1181920231030313235383940414811151820283753565758[[#This Row],[الدفعات]]</f>
        <v>152.31999999994878</v>
      </c>
      <c r="O288" s="48"/>
    </row>
    <row r="289" spans="9:15" s="1" customFormat="1" ht="24" customHeight="1" x14ac:dyDescent="0.3">
      <c r="I289" s="1">
        <f>0.14*Table1181920231030313235383940414811151820283753565758[[#This Row],[النولون]]</f>
        <v>0</v>
      </c>
      <c r="K28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89" s="1">
        <f>M288+Table1181920231030313235383940414811151820283753565758[[#This Row],[اجمالي الفاتوره]]-Table1181920231030313235383940414811151820283753565758[[#This Row],[الدفعات]]</f>
        <v>152.31999999994878</v>
      </c>
      <c r="O289" s="48"/>
    </row>
    <row r="290" spans="9:15" s="1" customFormat="1" ht="24" customHeight="1" x14ac:dyDescent="0.3">
      <c r="I290" s="1">
        <f>0.14*Table1181920231030313235383940414811151820283753565758[[#This Row],[النولون]]</f>
        <v>0</v>
      </c>
      <c r="K29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90" s="1">
        <f>M289+Table1181920231030313235383940414811151820283753565758[[#This Row],[اجمالي الفاتوره]]-Table1181920231030313235383940414811151820283753565758[[#This Row],[الدفعات]]</f>
        <v>152.31999999994878</v>
      </c>
      <c r="O290" s="48"/>
    </row>
    <row r="291" spans="9:15" s="1" customFormat="1" ht="24" customHeight="1" x14ac:dyDescent="0.3">
      <c r="I291" s="1">
        <f>0.14*Table1181920231030313235383940414811151820283753565758[[#This Row],[النولون]]</f>
        <v>0</v>
      </c>
      <c r="K29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91" s="1">
        <f>M290+Table1181920231030313235383940414811151820283753565758[[#This Row],[اجمالي الفاتوره]]-Table1181920231030313235383940414811151820283753565758[[#This Row],[الدفعات]]</f>
        <v>152.31999999994878</v>
      </c>
      <c r="O291" s="48"/>
    </row>
    <row r="292" spans="9:15" s="1" customFormat="1" ht="24" customHeight="1" x14ac:dyDescent="0.3">
      <c r="I292" s="1">
        <f>0.14*Table1181920231030313235383940414811151820283753565758[[#This Row],[النولون]]</f>
        <v>0</v>
      </c>
      <c r="K29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92" s="1">
        <f>M291+Table1181920231030313235383940414811151820283753565758[[#This Row],[اجمالي الفاتوره]]-Table1181920231030313235383940414811151820283753565758[[#This Row],[الدفعات]]</f>
        <v>152.31999999994878</v>
      </c>
      <c r="O292" s="48"/>
    </row>
    <row r="293" spans="9:15" s="1" customFormat="1" ht="24" customHeight="1" x14ac:dyDescent="0.3">
      <c r="I293" s="1">
        <f>0.14*Table1181920231030313235383940414811151820283753565758[[#This Row],[النولون]]</f>
        <v>0</v>
      </c>
      <c r="K29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93" s="1">
        <f>M292+Table1181920231030313235383940414811151820283753565758[[#This Row],[اجمالي الفاتوره]]-Table1181920231030313235383940414811151820283753565758[[#This Row],[الدفعات]]</f>
        <v>152.31999999994878</v>
      </c>
      <c r="O293" s="48"/>
    </row>
    <row r="294" spans="9:15" s="1" customFormat="1" ht="24" customHeight="1" x14ac:dyDescent="0.3">
      <c r="I294" s="1">
        <f>0.14*Table1181920231030313235383940414811151820283753565758[[#This Row],[النولون]]</f>
        <v>0</v>
      </c>
      <c r="K29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94" s="1">
        <f>M293+Table1181920231030313235383940414811151820283753565758[[#This Row],[اجمالي الفاتوره]]-Table1181920231030313235383940414811151820283753565758[[#This Row],[الدفعات]]</f>
        <v>152.31999999994878</v>
      </c>
      <c r="O294" s="48"/>
    </row>
    <row r="295" spans="9:15" s="1" customFormat="1" ht="24" customHeight="1" x14ac:dyDescent="0.3">
      <c r="I295" s="1">
        <f>0.14*Table1181920231030313235383940414811151820283753565758[[#This Row],[النولون]]</f>
        <v>0</v>
      </c>
      <c r="K29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95" s="1">
        <f>M294+Table1181920231030313235383940414811151820283753565758[[#This Row],[اجمالي الفاتوره]]-Table1181920231030313235383940414811151820283753565758[[#This Row],[الدفعات]]</f>
        <v>152.31999999994878</v>
      </c>
      <c r="O295" s="48"/>
    </row>
    <row r="296" spans="9:15" s="1" customFormat="1" ht="24" customHeight="1" x14ac:dyDescent="0.3">
      <c r="I296" s="1">
        <f>0.14*Table1181920231030313235383940414811151820283753565758[[#This Row],[النولون]]</f>
        <v>0</v>
      </c>
      <c r="K29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96" s="1">
        <f>M295+Table1181920231030313235383940414811151820283753565758[[#This Row],[اجمالي الفاتوره]]-Table1181920231030313235383940414811151820283753565758[[#This Row],[الدفعات]]</f>
        <v>152.31999999994878</v>
      </c>
      <c r="O296" s="48"/>
    </row>
    <row r="297" spans="9:15" s="1" customFormat="1" ht="24" customHeight="1" x14ac:dyDescent="0.3">
      <c r="I297" s="1">
        <f>0.14*Table1181920231030313235383940414811151820283753565758[[#This Row],[النولون]]</f>
        <v>0</v>
      </c>
      <c r="K29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97" s="1">
        <f>M296+Table1181920231030313235383940414811151820283753565758[[#This Row],[اجمالي الفاتوره]]-Table1181920231030313235383940414811151820283753565758[[#This Row],[الدفعات]]</f>
        <v>152.31999999994878</v>
      </c>
      <c r="O297" s="48"/>
    </row>
    <row r="298" spans="9:15" s="1" customFormat="1" ht="24" customHeight="1" x14ac:dyDescent="0.3">
      <c r="I298" s="1">
        <f>0.14*Table1181920231030313235383940414811151820283753565758[[#This Row],[النولون]]</f>
        <v>0</v>
      </c>
      <c r="K29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98" s="1">
        <f>M297+Table1181920231030313235383940414811151820283753565758[[#This Row],[اجمالي الفاتوره]]-Table1181920231030313235383940414811151820283753565758[[#This Row],[الدفعات]]</f>
        <v>152.31999999994878</v>
      </c>
      <c r="O298" s="48"/>
    </row>
    <row r="299" spans="9:15" s="1" customFormat="1" ht="24" customHeight="1" x14ac:dyDescent="0.3">
      <c r="I299" s="1">
        <f>0.14*Table1181920231030313235383940414811151820283753565758[[#This Row],[النولون]]</f>
        <v>0</v>
      </c>
      <c r="K29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299" s="1">
        <f>M298+Table1181920231030313235383940414811151820283753565758[[#This Row],[اجمالي الفاتوره]]-Table1181920231030313235383940414811151820283753565758[[#This Row],[الدفعات]]</f>
        <v>152.31999999994878</v>
      </c>
      <c r="O299" s="48"/>
    </row>
    <row r="300" spans="9:15" s="1" customFormat="1" ht="24" customHeight="1" x14ac:dyDescent="0.3">
      <c r="I300" s="1">
        <f>0.14*Table1181920231030313235383940414811151820283753565758[[#This Row],[النولون]]</f>
        <v>0</v>
      </c>
      <c r="K30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00" s="1">
        <f>M299+Table1181920231030313235383940414811151820283753565758[[#This Row],[اجمالي الفاتوره]]-Table1181920231030313235383940414811151820283753565758[[#This Row],[الدفعات]]</f>
        <v>152.31999999994878</v>
      </c>
      <c r="O300" s="48"/>
    </row>
    <row r="301" spans="9:15" s="1" customFormat="1" ht="24" customHeight="1" x14ac:dyDescent="0.3">
      <c r="I301" s="1">
        <f>0.14*Table1181920231030313235383940414811151820283753565758[[#This Row],[النولون]]</f>
        <v>0</v>
      </c>
      <c r="K30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01" s="1">
        <f>M300+Table1181920231030313235383940414811151820283753565758[[#This Row],[اجمالي الفاتوره]]-Table1181920231030313235383940414811151820283753565758[[#This Row],[الدفعات]]</f>
        <v>152.31999999994878</v>
      </c>
      <c r="O301" s="48"/>
    </row>
    <row r="302" spans="9:15" s="1" customFormat="1" ht="24" customHeight="1" x14ac:dyDescent="0.3">
      <c r="I302" s="1">
        <f>0.14*Table1181920231030313235383940414811151820283753565758[[#This Row],[النولون]]</f>
        <v>0</v>
      </c>
      <c r="K30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02" s="1">
        <f>M301+Table1181920231030313235383940414811151820283753565758[[#This Row],[اجمالي الفاتوره]]-Table1181920231030313235383940414811151820283753565758[[#This Row],[الدفعات]]</f>
        <v>152.31999999994878</v>
      </c>
      <c r="O302" s="48"/>
    </row>
    <row r="303" spans="9:15" s="1" customFormat="1" ht="24" customHeight="1" x14ac:dyDescent="0.3">
      <c r="I303" s="1">
        <f>0.14*Table1181920231030313235383940414811151820283753565758[[#This Row],[النولون]]</f>
        <v>0</v>
      </c>
      <c r="K30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03" s="1">
        <f>M302+Table1181920231030313235383940414811151820283753565758[[#This Row],[اجمالي الفاتوره]]-Table1181920231030313235383940414811151820283753565758[[#This Row],[الدفعات]]</f>
        <v>152.31999999994878</v>
      </c>
      <c r="O303" s="48"/>
    </row>
    <row r="304" spans="9:15" s="1" customFormat="1" ht="24" customHeight="1" x14ac:dyDescent="0.3">
      <c r="I304" s="1">
        <f>0.14*Table1181920231030313235383940414811151820283753565758[[#This Row],[النولون]]</f>
        <v>0</v>
      </c>
      <c r="K30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04" s="1">
        <f>M303+Table1181920231030313235383940414811151820283753565758[[#This Row],[اجمالي الفاتوره]]-Table1181920231030313235383940414811151820283753565758[[#This Row],[الدفعات]]</f>
        <v>152.31999999994878</v>
      </c>
      <c r="O304" s="48"/>
    </row>
    <row r="305" spans="9:15" s="1" customFormat="1" ht="24" customHeight="1" x14ac:dyDescent="0.3">
      <c r="I305" s="1">
        <f>0.14*Table1181920231030313235383940414811151820283753565758[[#This Row],[النولون]]</f>
        <v>0</v>
      </c>
      <c r="K30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05" s="1">
        <f>M304+Table1181920231030313235383940414811151820283753565758[[#This Row],[اجمالي الفاتوره]]-Table1181920231030313235383940414811151820283753565758[[#This Row],[الدفعات]]</f>
        <v>152.31999999994878</v>
      </c>
      <c r="O305" s="48"/>
    </row>
    <row r="306" spans="9:15" s="1" customFormat="1" ht="24" customHeight="1" x14ac:dyDescent="0.3">
      <c r="I306" s="1">
        <f>0.14*Table1181920231030313235383940414811151820283753565758[[#This Row],[النولون]]</f>
        <v>0</v>
      </c>
      <c r="K30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06" s="1">
        <f>M305+Table1181920231030313235383940414811151820283753565758[[#This Row],[اجمالي الفاتوره]]-Table1181920231030313235383940414811151820283753565758[[#This Row],[الدفعات]]</f>
        <v>152.31999999994878</v>
      </c>
      <c r="O306" s="48"/>
    </row>
    <row r="307" spans="9:15" s="1" customFormat="1" ht="24" customHeight="1" x14ac:dyDescent="0.3">
      <c r="I307" s="1">
        <f>0.14*Table1181920231030313235383940414811151820283753565758[[#This Row],[النولون]]</f>
        <v>0</v>
      </c>
      <c r="K30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07" s="1">
        <f>M306+Table1181920231030313235383940414811151820283753565758[[#This Row],[اجمالي الفاتوره]]-Table1181920231030313235383940414811151820283753565758[[#This Row],[الدفعات]]</f>
        <v>152.31999999994878</v>
      </c>
      <c r="O307" s="48"/>
    </row>
    <row r="308" spans="9:15" s="1" customFormat="1" ht="24" customHeight="1" x14ac:dyDescent="0.3">
      <c r="I308" s="1">
        <f>0.14*Table1181920231030313235383940414811151820283753565758[[#This Row],[النولون]]</f>
        <v>0</v>
      </c>
      <c r="K30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08" s="1">
        <f>M307+Table1181920231030313235383940414811151820283753565758[[#This Row],[اجمالي الفاتوره]]-Table1181920231030313235383940414811151820283753565758[[#This Row],[الدفعات]]</f>
        <v>152.31999999994878</v>
      </c>
      <c r="O308" s="48"/>
    </row>
    <row r="309" spans="9:15" s="1" customFormat="1" ht="24" customHeight="1" x14ac:dyDescent="0.3">
      <c r="I309" s="1">
        <f>0.14*Table1181920231030313235383940414811151820283753565758[[#This Row],[النولون]]</f>
        <v>0</v>
      </c>
      <c r="K30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09" s="1">
        <f>M308+Table1181920231030313235383940414811151820283753565758[[#This Row],[اجمالي الفاتوره]]-Table1181920231030313235383940414811151820283753565758[[#This Row],[الدفعات]]</f>
        <v>152.31999999994878</v>
      </c>
      <c r="O309" s="48"/>
    </row>
    <row r="310" spans="9:15" s="1" customFormat="1" ht="24" customHeight="1" x14ac:dyDescent="0.3">
      <c r="I310" s="1">
        <f>0.14*Table1181920231030313235383940414811151820283753565758[[#This Row],[النولون]]</f>
        <v>0</v>
      </c>
      <c r="K31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10" s="1">
        <f>M309+Table1181920231030313235383940414811151820283753565758[[#This Row],[اجمالي الفاتوره]]-Table1181920231030313235383940414811151820283753565758[[#This Row],[الدفعات]]</f>
        <v>152.31999999994878</v>
      </c>
      <c r="O310" s="48"/>
    </row>
    <row r="311" spans="9:15" s="1" customFormat="1" ht="24" customHeight="1" x14ac:dyDescent="0.3">
      <c r="I311" s="1">
        <f>0.14*Table1181920231030313235383940414811151820283753565758[[#This Row],[النولون]]</f>
        <v>0</v>
      </c>
      <c r="K31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11" s="1">
        <f>M310+Table1181920231030313235383940414811151820283753565758[[#This Row],[اجمالي الفاتوره]]-Table1181920231030313235383940414811151820283753565758[[#This Row],[الدفعات]]</f>
        <v>152.31999999994878</v>
      </c>
      <c r="O311" s="48"/>
    </row>
    <row r="312" spans="9:15" s="1" customFormat="1" ht="24" customHeight="1" x14ac:dyDescent="0.3">
      <c r="I312" s="1">
        <f>0.14*Table1181920231030313235383940414811151820283753565758[[#This Row],[النولون]]</f>
        <v>0</v>
      </c>
      <c r="K31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12" s="1">
        <f>M311+Table1181920231030313235383940414811151820283753565758[[#This Row],[اجمالي الفاتوره]]-Table1181920231030313235383940414811151820283753565758[[#This Row],[الدفعات]]</f>
        <v>152.31999999994878</v>
      </c>
      <c r="O312" s="48"/>
    </row>
    <row r="313" spans="9:15" s="1" customFormat="1" ht="24" customHeight="1" x14ac:dyDescent="0.3">
      <c r="I313" s="1">
        <f>0.14*Table1181920231030313235383940414811151820283753565758[[#This Row],[النولون]]</f>
        <v>0</v>
      </c>
      <c r="K31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13" s="1">
        <f>M312+Table1181920231030313235383940414811151820283753565758[[#This Row],[اجمالي الفاتوره]]-Table1181920231030313235383940414811151820283753565758[[#This Row],[الدفعات]]</f>
        <v>152.31999999994878</v>
      </c>
      <c r="O313" s="48"/>
    </row>
    <row r="314" spans="9:15" s="1" customFormat="1" ht="24" customHeight="1" x14ac:dyDescent="0.3">
      <c r="I314" s="1">
        <f>0.14*Table1181920231030313235383940414811151820283753565758[[#This Row],[النولون]]</f>
        <v>0</v>
      </c>
      <c r="K31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14" s="1">
        <f>M313+Table1181920231030313235383940414811151820283753565758[[#This Row],[اجمالي الفاتوره]]-Table1181920231030313235383940414811151820283753565758[[#This Row],[الدفعات]]</f>
        <v>152.31999999994878</v>
      </c>
      <c r="O314" s="48"/>
    </row>
    <row r="315" spans="9:15" s="1" customFormat="1" ht="24" customHeight="1" x14ac:dyDescent="0.3">
      <c r="I315" s="1">
        <f>0.14*Table1181920231030313235383940414811151820283753565758[[#This Row],[النولون]]</f>
        <v>0</v>
      </c>
      <c r="K31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15" s="1">
        <f>M314+Table1181920231030313235383940414811151820283753565758[[#This Row],[اجمالي الفاتوره]]-Table1181920231030313235383940414811151820283753565758[[#This Row],[الدفعات]]</f>
        <v>152.31999999994878</v>
      </c>
      <c r="O315" s="48"/>
    </row>
    <row r="316" spans="9:15" s="1" customFormat="1" ht="24" customHeight="1" x14ac:dyDescent="0.3">
      <c r="I316" s="1">
        <f>0.14*Table1181920231030313235383940414811151820283753565758[[#This Row],[النولون]]</f>
        <v>0</v>
      </c>
      <c r="K31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16" s="1">
        <f>M315+Table1181920231030313235383940414811151820283753565758[[#This Row],[اجمالي الفاتوره]]-Table1181920231030313235383940414811151820283753565758[[#This Row],[الدفعات]]</f>
        <v>152.31999999994878</v>
      </c>
      <c r="O316" s="48"/>
    </row>
    <row r="317" spans="9:15" s="1" customFormat="1" ht="24" customHeight="1" x14ac:dyDescent="0.3">
      <c r="I317" s="1">
        <f>0.14*Table1181920231030313235383940414811151820283753565758[[#This Row],[النولون]]</f>
        <v>0</v>
      </c>
      <c r="K31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17" s="1">
        <f>M316+Table1181920231030313235383940414811151820283753565758[[#This Row],[اجمالي الفاتوره]]-Table1181920231030313235383940414811151820283753565758[[#This Row],[الدفعات]]</f>
        <v>152.31999999994878</v>
      </c>
      <c r="O317" s="48"/>
    </row>
    <row r="318" spans="9:15" s="1" customFormat="1" ht="24" customHeight="1" x14ac:dyDescent="0.3">
      <c r="I318" s="1">
        <f>0.14*Table1181920231030313235383940414811151820283753565758[[#This Row],[النولون]]</f>
        <v>0</v>
      </c>
      <c r="K31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18" s="1">
        <f>M317+Table1181920231030313235383940414811151820283753565758[[#This Row],[اجمالي الفاتوره]]-Table1181920231030313235383940414811151820283753565758[[#This Row],[الدفعات]]</f>
        <v>152.31999999994878</v>
      </c>
      <c r="O318" s="48"/>
    </row>
    <row r="319" spans="9:15" s="1" customFormat="1" ht="24" customHeight="1" x14ac:dyDescent="0.3">
      <c r="I319" s="1">
        <f>0.14*Table1181920231030313235383940414811151820283753565758[[#This Row],[النولون]]</f>
        <v>0</v>
      </c>
      <c r="K31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19" s="1">
        <f>M318+Table1181920231030313235383940414811151820283753565758[[#This Row],[اجمالي الفاتوره]]-Table1181920231030313235383940414811151820283753565758[[#This Row],[الدفعات]]</f>
        <v>152.31999999994878</v>
      </c>
      <c r="O319" s="48"/>
    </row>
    <row r="320" spans="9:15" s="1" customFormat="1" ht="24" customHeight="1" x14ac:dyDescent="0.3">
      <c r="I320" s="1">
        <f>0.14*Table1181920231030313235383940414811151820283753565758[[#This Row],[النولون]]</f>
        <v>0</v>
      </c>
      <c r="K32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20" s="1">
        <f>M319+Table1181920231030313235383940414811151820283753565758[[#This Row],[اجمالي الفاتوره]]-Table1181920231030313235383940414811151820283753565758[[#This Row],[الدفعات]]</f>
        <v>152.31999999994878</v>
      </c>
      <c r="O320" s="48"/>
    </row>
    <row r="321" spans="9:15" s="1" customFormat="1" ht="24" customHeight="1" x14ac:dyDescent="0.3">
      <c r="I321" s="1">
        <f>0.14*Table1181920231030313235383940414811151820283753565758[[#This Row],[النولون]]</f>
        <v>0</v>
      </c>
      <c r="K32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21" s="1">
        <f>M320+Table1181920231030313235383940414811151820283753565758[[#This Row],[اجمالي الفاتوره]]-Table1181920231030313235383940414811151820283753565758[[#This Row],[الدفعات]]</f>
        <v>152.31999999994878</v>
      </c>
      <c r="O321" s="48"/>
    </row>
    <row r="322" spans="9:15" s="1" customFormat="1" ht="24" customHeight="1" x14ac:dyDescent="0.3">
      <c r="I322" s="1">
        <f>0.14*Table1181920231030313235383940414811151820283753565758[[#This Row],[النولون]]</f>
        <v>0</v>
      </c>
      <c r="K32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22" s="1">
        <f>M321+Table1181920231030313235383940414811151820283753565758[[#This Row],[اجمالي الفاتوره]]-Table1181920231030313235383940414811151820283753565758[[#This Row],[الدفعات]]</f>
        <v>152.31999999994878</v>
      </c>
      <c r="O322" s="48"/>
    </row>
    <row r="323" spans="9:15" s="1" customFormat="1" ht="24" customHeight="1" x14ac:dyDescent="0.3">
      <c r="I323" s="1">
        <f>0.14*Table1181920231030313235383940414811151820283753565758[[#This Row],[النولون]]</f>
        <v>0</v>
      </c>
      <c r="K32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23" s="1">
        <f>M322+Table1181920231030313235383940414811151820283753565758[[#This Row],[اجمالي الفاتوره]]-Table1181920231030313235383940414811151820283753565758[[#This Row],[الدفعات]]</f>
        <v>152.31999999994878</v>
      </c>
      <c r="O323" s="48"/>
    </row>
    <row r="324" spans="9:15" s="1" customFormat="1" ht="24" customHeight="1" x14ac:dyDescent="0.3">
      <c r="I324" s="1">
        <f>0.14*Table1181920231030313235383940414811151820283753565758[[#This Row],[النولون]]</f>
        <v>0</v>
      </c>
      <c r="K32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24" s="1">
        <f>M323+Table1181920231030313235383940414811151820283753565758[[#This Row],[اجمالي الفاتوره]]-Table1181920231030313235383940414811151820283753565758[[#This Row],[الدفعات]]</f>
        <v>152.31999999994878</v>
      </c>
      <c r="O324" s="48"/>
    </row>
    <row r="325" spans="9:15" s="1" customFormat="1" ht="24" customHeight="1" x14ac:dyDescent="0.3">
      <c r="I325" s="1">
        <f>0.14*Table1181920231030313235383940414811151820283753565758[[#This Row],[النولون]]</f>
        <v>0</v>
      </c>
      <c r="K32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25" s="1">
        <f>M324+Table1181920231030313235383940414811151820283753565758[[#This Row],[اجمالي الفاتوره]]-Table1181920231030313235383940414811151820283753565758[[#This Row],[الدفعات]]</f>
        <v>152.31999999994878</v>
      </c>
      <c r="O325" s="48"/>
    </row>
    <row r="326" spans="9:15" s="1" customFormat="1" ht="24" customHeight="1" x14ac:dyDescent="0.3">
      <c r="I326" s="1">
        <f>0.14*Table1181920231030313235383940414811151820283753565758[[#This Row],[النولون]]</f>
        <v>0</v>
      </c>
      <c r="K32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26" s="1">
        <f>M325+Table1181920231030313235383940414811151820283753565758[[#This Row],[اجمالي الفاتوره]]-Table1181920231030313235383940414811151820283753565758[[#This Row],[الدفعات]]</f>
        <v>152.31999999994878</v>
      </c>
      <c r="O326" s="48"/>
    </row>
    <row r="327" spans="9:15" s="1" customFormat="1" ht="24" customHeight="1" x14ac:dyDescent="0.3">
      <c r="I327" s="1">
        <f>0.14*Table1181920231030313235383940414811151820283753565758[[#This Row],[النولون]]</f>
        <v>0</v>
      </c>
      <c r="K32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27" s="1">
        <f>M326+Table1181920231030313235383940414811151820283753565758[[#This Row],[اجمالي الفاتوره]]-Table1181920231030313235383940414811151820283753565758[[#This Row],[الدفعات]]</f>
        <v>152.31999999994878</v>
      </c>
      <c r="O327" s="48"/>
    </row>
    <row r="328" spans="9:15" s="1" customFormat="1" ht="24" customHeight="1" x14ac:dyDescent="0.3">
      <c r="I328" s="1">
        <f>0.14*Table1181920231030313235383940414811151820283753565758[[#This Row],[النولون]]</f>
        <v>0</v>
      </c>
      <c r="K32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28" s="1">
        <f>M327+Table1181920231030313235383940414811151820283753565758[[#This Row],[اجمالي الفاتوره]]-Table1181920231030313235383940414811151820283753565758[[#This Row],[الدفعات]]</f>
        <v>152.31999999994878</v>
      </c>
      <c r="O328" s="48"/>
    </row>
    <row r="329" spans="9:15" s="1" customFormat="1" ht="24" customHeight="1" x14ac:dyDescent="0.3">
      <c r="I329" s="1">
        <f>0.14*Table1181920231030313235383940414811151820283753565758[[#This Row],[النولون]]</f>
        <v>0</v>
      </c>
      <c r="K329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29" s="1">
        <f>M328+Table1181920231030313235383940414811151820283753565758[[#This Row],[اجمالي الفاتوره]]-Table1181920231030313235383940414811151820283753565758[[#This Row],[الدفعات]]</f>
        <v>152.31999999994878</v>
      </c>
      <c r="O329" s="48"/>
    </row>
    <row r="330" spans="9:15" s="1" customFormat="1" ht="24" customHeight="1" x14ac:dyDescent="0.3">
      <c r="I330" s="1">
        <f>0.14*Table1181920231030313235383940414811151820283753565758[[#This Row],[النولون]]</f>
        <v>0</v>
      </c>
      <c r="K330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30" s="1">
        <f>M329+Table1181920231030313235383940414811151820283753565758[[#This Row],[اجمالي الفاتوره]]-Table1181920231030313235383940414811151820283753565758[[#This Row],[الدفعات]]</f>
        <v>152.31999999994878</v>
      </c>
      <c r="O330" s="48"/>
    </row>
    <row r="331" spans="9:15" s="1" customFormat="1" ht="24" customHeight="1" x14ac:dyDescent="0.3">
      <c r="I331" s="1">
        <f>0.14*Table1181920231030313235383940414811151820283753565758[[#This Row],[النولون]]</f>
        <v>0</v>
      </c>
      <c r="K331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31" s="1">
        <f>M330+Table1181920231030313235383940414811151820283753565758[[#This Row],[اجمالي الفاتوره]]-Table1181920231030313235383940414811151820283753565758[[#This Row],[الدفعات]]</f>
        <v>152.31999999994878</v>
      </c>
      <c r="O331" s="48"/>
    </row>
    <row r="332" spans="9:15" s="1" customFormat="1" ht="24" customHeight="1" x14ac:dyDescent="0.3">
      <c r="I332" s="1">
        <f>0.14*Table1181920231030313235383940414811151820283753565758[[#This Row],[النولون]]</f>
        <v>0</v>
      </c>
      <c r="K332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32" s="1">
        <f>M331+Table1181920231030313235383940414811151820283753565758[[#This Row],[اجمالي الفاتوره]]-Table1181920231030313235383940414811151820283753565758[[#This Row],[الدفعات]]</f>
        <v>152.31999999994878</v>
      </c>
      <c r="O332" s="48"/>
    </row>
    <row r="333" spans="9:15" s="1" customFormat="1" ht="24" customHeight="1" x14ac:dyDescent="0.3">
      <c r="I333" s="1">
        <f>0.14*Table1181920231030313235383940414811151820283753565758[[#This Row],[النولون]]</f>
        <v>0</v>
      </c>
      <c r="K333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33" s="1">
        <f>M332+Table1181920231030313235383940414811151820283753565758[[#This Row],[اجمالي الفاتوره]]-Table1181920231030313235383940414811151820283753565758[[#This Row],[الدفعات]]</f>
        <v>152.31999999994878</v>
      </c>
      <c r="O333" s="48"/>
    </row>
    <row r="334" spans="9:15" s="1" customFormat="1" ht="24" customHeight="1" x14ac:dyDescent="0.3">
      <c r="I334" s="1">
        <f>0.14*Table1181920231030313235383940414811151820283753565758[[#This Row],[النولون]]</f>
        <v>0</v>
      </c>
      <c r="K334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34" s="1">
        <f>M333+Table1181920231030313235383940414811151820283753565758[[#This Row],[اجمالي الفاتوره]]-Table1181920231030313235383940414811151820283753565758[[#This Row],[الدفعات]]</f>
        <v>152.31999999994878</v>
      </c>
      <c r="O334" s="48"/>
    </row>
    <row r="335" spans="9:15" s="1" customFormat="1" ht="24" customHeight="1" x14ac:dyDescent="0.3">
      <c r="I335" s="1">
        <f>0.14*Table1181920231030313235383940414811151820283753565758[[#This Row],[النولون]]</f>
        <v>0</v>
      </c>
      <c r="K335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35" s="1">
        <f>M334+Table1181920231030313235383940414811151820283753565758[[#This Row],[اجمالي الفاتوره]]-Table1181920231030313235383940414811151820283753565758[[#This Row],[الدفعات]]</f>
        <v>152.31999999994878</v>
      </c>
      <c r="O335" s="48"/>
    </row>
    <row r="336" spans="9:15" s="1" customFormat="1" ht="24" customHeight="1" x14ac:dyDescent="0.3">
      <c r="I336" s="1">
        <f>0.14*Table1181920231030313235383940414811151820283753565758[[#This Row],[النولون]]</f>
        <v>0</v>
      </c>
      <c r="K336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36" s="1">
        <f>M335+Table1181920231030313235383940414811151820283753565758[[#This Row],[اجمالي الفاتوره]]-Table1181920231030313235383940414811151820283753565758[[#This Row],[الدفعات]]</f>
        <v>152.31999999994878</v>
      </c>
      <c r="O336" s="48"/>
    </row>
    <row r="337" spans="9:15" s="1" customFormat="1" ht="24" customHeight="1" x14ac:dyDescent="0.3">
      <c r="I337" s="1">
        <f>0.14*Table1181920231030313235383940414811151820283753565758[[#This Row],[النولون]]</f>
        <v>0</v>
      </c>
      <c r="K337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37" s="1">
        <f>M336+Table1181920231030313235383940414811151820283753565758[[#This Row],[اجمالي الفاتوره]]-Table1181920231030313235383940414811151820283753565758[[#This Row],[الدفعات]]</f>
        <v>152.31999999994878</v>
      </c>
      <c r="O337" s="48"/>
    </row>
    <row r="338" spans="9:15" s="1" customFormat="1" ht="24" customHeight="1" x14ac:dyDescent="0.3">
      <c r="I338" s="1">
        <f>0.14*Table1181920231030313235383940414811151820283753565758[[#This Row],[النولون]]</f>
        <v>0</v>
      </c>
      <c r="K338" s="1">
        <f>Table1181920231030313235383940414811151820283753565758[[#This Row],[النولون]]+Table1181920231030313235383940414811151820283753565758[[#This Row],[الايصالات]]+Table1181920231030313235383940414811151820283753565758[[#This Row],[قيمة مضافة]]</f>
        <v>0</v>
      </c>
      <c r="M338" s="1">
        <f>M337+Table1181920231030313235383940414811151820283753565758[[#This Row],[اجمالي الفاتوره]]-Table1181920231030313235383940414811151820283753565758[[#This Row],[الدفعات]]</f>
        <v>152.31999999994878</v>
      </c>
      <c r="O338" s="48"/>
    </row>
  </sheetData>
  <phoneticPr fontId="23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354"/>
  <sheetViews>
    <sheetView rightToLeft="1" zoomScale="92" zoomScaleNormal="100" workbookViewId="0">
      <pane ySplit="1" topLeftCell="A48" activePane="bottomLeft" state="frozen"/>
      <selection pane="bottomLeft" activeCell="H64" sqref="H64"/>
    </sheetView>
  </sheetViews>
  <sheetFormatPr defaultColWidth="9.109375" defaultRowHeight="21.75" customHeight="1" x14ac:dyDescent="0.3"/>
  <cols>
    <col min="1" max="1" width="5.44140625" style="1" customWidth="1"/>
    <col min="2" max="2" width="11" style="1" customWidth="1"/>
    <col min="3" max="3" width="13.6640625" style="1" customWidth="1"/>
    <col min="4" max="4" width="13.6640625" style="1" bestFit="1" customWidth="1"/>
    <col min="5" max="5" width="14.88671875" style="1" customWidth="1"/>
    <col min="6" max="6" width="11.88671875" style="1" customWidth="1"/>
    <col min="7" max="7" width="11.6640625" style="1" customWidth="1"/>
    <col min="8" max="8" width="8.33203125" style="1" customWidth="1"/>
    <col min="9" max="9" width="8.21875" style="1" customWidth="1"/>
    <col min="10" max="10" width="10.77734375" style="1" customWidth="1"/>
    <col min="11" max="11" width="12" style="1" customWidth="1"/>
    <col min="12" max="12" width="12.77734375" style="1" customWidth="1"/>
    <col min="13" max="13" width="14.44140625" style="1" customWidth="1"/>
    <col min="14" max="14" width="9.77734375" style="1" customWidth="1"/>
    <col min="15" max="16384" width="9.109375" style="1"/>
  </cols>
  <sheetData>
    <row r="1" spans="1:15" ht="21.75" customHeight="1" x14ac:dyDescent="0.3">
      <c r="A1" s="91" t="s">
        <v>0</v>
      </c>
      <c r="B1" s="91" t="s">
        <v>1</v>
      </c>
      <c r="C1" s="91" t="s">
        <v>2</v>
      </c>
      <c r="D1" s="91" t="s">
        <v>3</v>
      </c>
      <c r="E1" s="91" t="s">
        <v>4</v>
      </c>
      <c r="F1" s="91" t="s">
        <v>5</v>
      </c>
      <c r="G1" s="91" t="s">
        <v>6</v>
      </c>
      <c r="H1" s="91" t="s">
        <v>7</v>
      </c>
      <c r="I1" s="91" t="s">
        <v>8</v>
      </c>
      <c r="J1" s="91" t="s">
        <v>9</v>
      </c>
      <c r="K1" s="91" t="s">
        <v>10</v>
      </c>
      <c r="L1" s="91" t="s">
        <v>11</v>
      </c>
      <c r="M1" s="91" t="s">
        <v>12</v>
      </c>
      <c r="N1" s="91" t="s">
        <v>13</v>
      </c>
      <c r="O1" s="93" t="s">
        <v>20</v>
      </c>
    </row>
    <row r="2" spans="1:15" ht="21.75" customHeight="1" x14ac:dyDescent="0.3">
      <c r="B2" s="2"/>
      <c r="K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" s="1">
        <v>73.14</v>
      </c>
      <c r="O2" s="48"/>
    </row>
    <row r="3" spans="1:15" ht="21.75" customHeight="1" x14ac:dyDescent="0.3">
      <c r="A3" s="41">
        <v>1</v>
      </c>
      <c r="B3" s="2" t="s">
        <v>113</v>
      </c>
      <c r="C3" s="1" t="s">
        <v>145</v>
      </c>
      <c r="D3" s="1" t="s">
        <v>122</v>
      </c>
      <c r="E3" s="41">
        <v>868615</v>
      </c>
      <c r="F3" s="1" t="s">
        <v>92</v>
      </c>
      <c r="G3" s="41">
        <f>2*11000</f>
        <v>22000</v>
      </c>
      <c r="H3" s="41"/>
      <c r="I3" s="41"/>
      <c r="J3" s="41">
        <f>2*100+105.79+412+68.08+591.35+700+798+1500*2</f>
        <v>5875.22</v>
      </c>
      <c r="K3" s="4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27875.22</v>
      </c>
      <c r="L3" s="41"/>
      <c r="M3" s="1">
        <f>Table11819202310303132353839404148111518202837535450[[#This Row],[اجمالي الفاتوره]]-Table11819202310303132353839404148111518202837535450[[#This Row],[الدفعات]]+M2</f>
        <v>27948.36</v>
      </c>
      <c r="N3" s="41"/>
      <c r="O3" s="48"/>
    </row>
    <row r="4" spans="1:15" ht="21.75" customHeight="1" x14ac:dyDescent="0.3">
      <c r="A4" s="1">
        <v>2</v>
      </c>
      <c r="B4" s="2" t="s">
        <v>113</v>
      </c>
      <c r="C4" s="1" t="s">
        <v>145</v>
      </c>
      <c r="D4" s="1" t="s">
        <v>122</v>
      </c>
      <c r="E4" s="1">
        <v>868656</v>
      </c>
      <c r="F4" s="1" t="s">
        <v>121</v>
      </c>
      <c r="G4" s="1">
        <v>11000</v>
      </c>
      <c r="J4" s="1">
        <f>105.79+487.65+125.4+350+399</f>
        <v>1467.84</v>
      </c>
      <c r="K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12467.84</v>
      </c>
      <c r="M4" s="1">
        <f>Table11819202310303132353839404148111518202837535450[[#This Row],[اجمالي الفاتوره]]-Table11819202310303132353839404148111518202837535450[[#This Row],[الدفعات]]+M3</f>
        <v>40416.199999999997</v>
      </c>
      <c r="O4" s="48"/>
    </row>
    <row r="5" spans="1:15" ht="21.75" customHeight="1" x14ac:dyDescent="0.3">
      <c r="A5" s="41">
        <v>3</v>
      </c>
      <c r="B5" s="2" t="s">
        <v>113</v>
      </c>
      <c r="C5" s="1" t="s">
        <v>145</v>
      </c>
      <c r="D5" s="1" t="s">
        <v>122</v>
      </c>
      <c r="E5" s="41">
        <v>869822</v>
      </c>
      <c r="F5" s="1" t="s">
        <v>92</v>
      </c>
      <c r="G5" s="41">
        <f>2*11000</f>
        <v>22000</v>
      </c>
      <c r="H5" s="41"/>
      <c r="I5" s="41"/>
      <c r="J5" s="41">
        <f>2*100+68.08+469.5+45.15+670.91+700+798</f>
        <v>2951.64</v>
      </c>
      <c r="K5" s="4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24951.64</v>
      </c>
      <c r="L5" s="41"/>
      <c r="M5" s="1">
        <f>Table11819202310303132353839404148111518202837535450[[#This Row],[اجمالي الفاتوره]]-Table11819202310303132353839404148111518202837535450[[#This Row],[الدفعات]]+M4</f>
        <v>65367.839999999997</v>
      </c>
      <c r="N5" s="41"/>
      <c r="O5" s="48"/>
    </row>
    <row r="6" spans="1:15" ht="21.75" customHeight="1" x14ac:dyDescent="0.3">
      <c r="A6" s="1">
        <v>4</v>
      </c>
      <c r="B6" s="2" t="s">
        <v>135</v>
      </c>
      <c r="C6" s="1" t="s">
        <v>139</v>
      </c>
      <c r="D6" s="1" t="s">
        <v>140</v>
      </c>
      <c r="E6" s="1">
        <v>871257</v>
      </c>
      <c r="F6" s="1" t="s">
        <v>92</v>
      </c>
      <c r="G6" s="1">
        <f>13000*2</f>
        <v>26000</v>
      </c>
      <c r="J6" s="1">
        <f>2750*2+1100+105.79*2+750.34+581.44+50*2+700+798</f>
        <v>9741.36</v>
      </c>
      <c r="K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35741.360000000001</v>
      </c>
      <c r="M6" s="1">
        <f>Table11819202310303132353839404148111518202837535450[[#This Row],[اجمالي الفاتوره]]-Table11819202310303132353839404148111518202837535450[[#This Row],[الدفعات]]+M5</f>
        <v>101109.2</v>
      </c>
      <c r="O6" s="48"/>
    </row>
    <row r="7" spans="1:15" ht="21.75" customHeight="1" x14ac:dyDescent="0.3">
      <c r="A7" s="41">
        <v>5</v>
      </c>
      <c r="B7" s="2" t="s">
        <v>135</v>
      </c>
      <c r="C7" s="1" t="s">
        <v>145</v>
      </c>
      <c r="D7" s="1" t="s">
        <v>122</v>
      </c>
      <c r="E7" s="41">
        <v>871579</v>
      </c>
      <c r="F7" s="1" t="s">
        <v>121</v>
      </c>
      <c r="G7" s="41">
        <v>11000</v>
      </c>
      <c r="H7" s="41"/>
      <c r="I7" s="41">
        <v>1000</v>
      </c>
      <c r="J7" s="41">
        <f>850+100+105.79+631.19+50.2+399+350</f>
        <v>2486.1800000000003</v>
      </c>
      <c r="K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12486.18</v>
      </c>
      <c r="L7" s="41"/>
      <c r="M7" s="1">
        <f>Table11819202310303132353839404148111518202837535450[[#This Row],[اجمالي الفاتوره]]-Table11819202310303132353839404148111518202837535450[[#This Row],[الدفعات]]+M6</f>
        <v>113595.38</v>
      </c>
      <c r="N7" s="41"/>
      <c r="O7" s="48"/>
    </row>
    <row r="8" spans="1:15" ht="21.75" customHeight="1" x14ac:dyDescent="0.3">
      <c r="A8" s="1">
        <v>6</v>
      </c>
      <c r="B8" s="2" t="s">
        <v>199</v>
      </c>
      <c r="C8" s="1" t="s">
        <v>145</v>
      </c>
      <c r="D8" s="1" t="s">
        <v>122</v>
      </c>
      <c r="E8" s="1" t="s">
        <v>216</v>
      </c>
      <c r="F8" s="1" t="s">
        <v>121</v>
      </c>
      <c r="G8" s="1">
        <v>11000</v>
      </c>
      <c r="J8" s="1">
        <f>100+591.35+1824</f>
        <v>2515.35</v>
      </c>
      <c r="K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13515.35</v>
      </c>
      <c r="M8" s="1">
        <f>Table11819202310303132353839404148111518202837535450[[#This Row],[اجمالي الفاتوره]]-Table11819202310303132353839404148111518202837535450[[#This Row],[الدفعات]]+M7</f>
        <v>127110.73000000001</v>
      </c>
      <c r="O8" s="48"/>
    </row>
    <row r="9" spans="1:15" ht="21.75" customHeight="1" x14ac:dyDescent="0.3">
      <c r="A9" s="1">
        <v>7</v>
      </c>
      <c r="B9" s="2" t="s">
        <v>199</v>
      </c>
      <c r="C9" s="1" t="s">
        <v>145</v>
      </c>
      <c r="D9" s="1" t="s">
        <v>122</v>
      </c>
      <c r="E9" s="1" t="s">
        <v>215</v>
      </c>
      <c r="F9" s="1" t="s">
        <v>121</v>
      </c>
      <c r="G9" s="1">
        <v>11000</v>
      </c>
      <c r="J9" s="1">
        <f>100+429.91+700+700+798</f>
        <v>2727.91</v>
      </c>
      <c r="K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13727.91</v>
      </c>
      <c r="M9" s="1">
        <f>Table11819202310303132353839404148111518202837535450[[#This Row],[اجمالي الفاتوره]]-Table11819202310303132353839404148111518202837535450[[#This Row],[الدفعات]]+M8</f>
        <v>140838.64000000001</v>
      </c>
      <c r="O9" s="48"/>
    </row>
    <row r="10" spans="1:15" ht="21.75" customHeight="1" x14ac:dyDescent="0.3">
      <c r="A10" s="41">
        <v>8</v>
      </c>
      <c r="B10" s="2" t="s">
        <v>199</v>
      </c>
      <c r="C10" s="1" t="s">
        <v>145</v>
      </c>
      <c r="D10" s="1" t="s">
        <v>122</v>
      </c>
      <c r="E10" s="41">
        <v>879667</v>
      </c>
      <c r="F10" s="1" t="s">
        <v>121</v>
      </c>
      <c r="G10" s="41">
        <v>11000</v>
      </c>
      <c r="H10" s="41"/>
      <c r="I10" s="41"/>
      <c r="J10" s="41">
        <f>100+453.39+912+350+350+399+75.25</f>
        <v>2639.64</v>
      </c>
      <c r="K1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13639.64</v>
      </c>
      <c r="L10" s="41"/>
      <c r="M10" s="1">
        <f>Table11819202310303132353839404148111518202837535450[[#This Row],[اجمالي الفاتوره]]-Table11819202310303132353839404148111518202837535450[[#This Row],[الدفعات]]+M9</f>
        <v>154478.28000000003</v>
      </c>
      <c r="N10" s="41"/>
      <c r="O10" s="48"/>
    </row>
    <row r="11" spans="1:15" ht="21.75" customHeight="1" x14ac:dyDescent="0.3">
      <c r="A11" s="1">
        <v>9</v>
      </c>
      <c r="B11" s="2" t="s">
        <v>199</v>
      </c>
      <c r="C11" s="1" t="s">
        <v>139</v>
      </c>
      <c r="D11" s="48">
        <v>10000</v>
      </c>
      <c r="E11" s="1">
        <v>879228</v>
      </c>
      <c r="F11" s="1" t="s">
        <v>121</v>
      </c>
      <c r="G11" s="1">
        <v>13750</v>
      </c>
      <c r="J11" s="1">
        <f>417.65+912+25.1+350+350+399</f>
        <v>2453.75</v>
      </c>
      <c r="K1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16203.75</v>
      </c>
      <c r="M11" s="1">
        <f>Table11819202310303132353839404148111518202837535450[[#This Row],[اجمالي الفاتوره]]-Table11819202310303132353839404148111518202837535450[[#This Row],[الدفعات]]+M10</f>
        <v>170682.03000000003</v>
      </c>
      <c r="O11" s="48"/>
    </row>
    <row r="12" spans="1:15" ht="21.75" customHeight="1" x14ac:dyDescent="0.3">
      <c r="A12" s="76"/>
      <c r="B12" s="73" t="s">
        <v>297</v>
      </c>
      <c r="C12" s="76"/>
      <c r="D12" s="76"/>
      <c r="E12" s="76"/>
      <c r="F12" s="76"/>
      <c r="G12" s="76"/>
      <c r="H12" s="76"/>
      <c r="I12" s="76">
        <f>0.03*Table11819202310303132353839404148111518202837535450[[#This Row],[النولون]]</f>
        <v>0</v>
      </c>
      <c r="J12" s="76"/>
      <c r="K12" s="76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L12" s="76">
        <v>170600</v>
      </c>
      <c r="M12" s="72">
        <f>Table11819202310303132353839404148111518202837535450[[#This Row],[اجمالي الفاتوره]]-Table11819202310303132353839404148111518202837535450[[#This Row],[الدفعات]]+M11</f>
        <v>82.03000000002794</v>
      </c>
      <c r="N12" s="48"/>
      <c r="O12" s="48"/>
    </row>
    <row r="13" spans="1:15" ht="21.75" customHeight="1" x14ac:dyDescent="0.3">
      <c r="A13" s="1">
        <v>10</v>
      </c>
      <c r="B13" s="2" t="s">
        <v>222</v>
      </c>
      <c r="C13" s="1" t="s">
        <v>234</v>
      </c>
      <c r="D13" s="1" t="s">
        <v>224</v>
      </c>
      <c r="E13" s="1">
        <v>3034</v>
      </c>
      <c r="F13" s="1" t="s">
        <v>92</v>
      </c>
      <c r="G13" s="1">
        <f>14000*2</f>
        <v>28000</v>
      </c>
      <c r="J13" s="1">
        <f>100*2+1135+1130+472.32+472.32+2622+30+700+10046+2*2750</f>
        <v>22307.64</v>
      </c>
      <c r="K1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50307.64</v>
      </c>
      <c r="M13" s="1">
        <f>Table11819202310303132353839404148111518202837535450[[#This Row],[اجمالي الفاتوره]]-Table11819202310303132353839404148111518202837535450[[#This Row],[الدفعات]]+M12</f>
        <v>50389.670000000027</v>
      </c>
      <c r="O13" s="48"/>
    </row>
    <row r="14" spans="1:15" ht="21.75" customHeight="1" x14ac:dyDescent="0.3">
      <c r="A14" s="1">
        <v>11</v>
      </c>
      <c r="B14" s="2" t="s">
        <v>265</v>
      </c>
      <c r="C14" s="1" t="s">
        <v>234</v>
      </c>
      <c r="D14" s="1" t="s">
        <v>224</v>
      </c>
      <c r="E14" s="20">
        <v>1515</v>
      </c>
      <c r="F14" s="1" t="s">
        <v>92</v>
      </c>
      <c r="G14" s="1">
        <f>14000*2</f>
        <v>28000</v>
      </c>
      <c r="J14" s="1">
        <f>1700+200+1130*2+472.32+789.99+45.15+125+6426.86+2750*2</f>
        <v>17519.32</v>
      </c>
      <c r="K1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45519.32</v>
      </c>
      <c r="M14" s="1">
        <f>Table11819202310303132353839404148111518202837535450[[#This Row],[اجمالي الفاتوره]]-Table11819202310303132353839404148111518202837535450[[#This Row],[الدفعات]]+M13</f>
        <v>95908.99000000002</v>
      </c>
      <c r="O14" s="48"/>
    </row>
    <row r="15" spans="1:15" ht="21.75" customHeight="1" x14ac:dyDescent="0.3">
      <c r="A15" s="1">
        <v>12</v>
      </c>
      <c r="B15" s="2" t="s">
        <v>265</v>
      </c>
      <c r="C15" s="1" t="s">
        <v>234</v>
      </c>
      <c r="D15" s="1" t="s">
        <v>268</v>
      </c>
      <c r="E15" s="1">
        <v>1520</v>
      </c>
      <c r="F15" s="1" t="s">
        <v>158</v>
      </c>
      <c r="G15" s="1">
        <f>13500*3</f>
        <v>40500</v>
      </c>
      <c r="J15" s="1">
        <f>2750*3+100*2+1100*3+909.09+660.75+621.03+105.79*3+68.08+6426.86+1700</f>
        <v>22453.18</v>
      </c>
      <c r="K1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62953.18</v>
      </c>
      <c r="M15" s="1">
        <f>Table11819202310303132353839404148111518202837535450[[#This Row],[اجمالي الفاتوره]]-Table11819202310303132353839404148111518202837535450[[#This Row],[الدفعات]]+M14</f>
        <v>158862.17000000001</v>
      </c>
      <c r="O15" s="48"/>
    </row>
    <row r="16" spans="1:15" ht="21.75" customHeight="1" x14ac:dyDescent="0.3">
      <c r="A16" s="76"/>
      <c r="B16" s="73" t="s">
        <v>342</v>
      </c>
      <c r="C16" s="76"/>
      <c r="D16" s="76"/>
      <c r="E16" s="76"/>
      <c r="F16" s="76"/>
      <c r="G16" s="76"/>
      <c r="H16" s="76"/>
      <c r="I16" s="76">
        <f>0.03*Table11819202310303132353839404148111518202837535450[[#This Row],[النولون]]</f>
        <v>0</v>
      </c>
      <c r="J16" s="76"/>
      <c r="K16" s="76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L16" s="76">
        <v>158900</v>
      </c>
      <c r="M16" s="72">
        <f>Table11819202310303132353839404148111518202837535450[[#This Row],[اجمالي الفاتوره]]-Table11819202310303132353839404148111518202837535450[[#This Row],[الدفعات]]+M15</f>
        <v>-37.829999999987194</v>
      </c>
      <c r="N16" s="48"/>
      <c r="O16" s="48"/>
    </row>
    <row r="17" spans="1:15" ht="21.75" customHeight="1" x14ac:dyDescent="0.3">
      <c r="A17" s="48">
        <v>13</v>
      </c>
      <c r="B17" s="2" t="s">
        <v>299</v>
      </c>
      <c r="C17" s="1" t="s">
        <v>139</v>
      </c>
      <c r="D17" s="1" t="s">
        <v>307</v>
      </c>
      <c r="E17" s="48">
        <v>260089343</v>
      </c>
      <c r="F17" s="1" t="s">
        <v>181</v>
      </c>
      <c r="G17" s="48">
        <f>25000*4</f>
        <v>100000</v>
      </c>
      <c r="H17" s="48"/>
      <c r="I17" s="48"/>
      <c r="J17" s="48">
        <f>35+50*2+4*1100+621.03+660.75+660.75+869.38+1600+350*4+5628</f>
        <v>15974.91</v>
      </c>
      <c r="K1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115974.91</v>
      </c>
      <c r="L17" s="48"/>
      <c r="M17" s="1">
        <f>Table11819202310303132353839404148111518202837535450[[#This Row],[اجمالي الفاتوره]]-Table11819202310303132353839404148111518202837535450[[#This Row],[الدفعات]]+M16</f>
        <v>115937.08000000002</v>
      </c>
      <c r="N17" s="48"/>
      <c r="O17" s="48"/>
    </row>
    <row r="18" spans="1:15" ht="21.75" customHeight="1" x14ac:dyDescent="0.3">
      <c r="A18" s="1">
        <v>14</v>
      </c>
      <c r="B18" s="2" t="s">
        <v>315</v>
      </c>
      <c r="C18" s="1" t="s">
        <v>320</v>
      </c>
      <c r="D18" s="1" t="s">
        <v>305</v>
      </c>
      <c r="E18" s="20">
        <v>884175</v>
      </c>
      <c r="F18" s="1" t="s">
        <v>92</v>
      </c>
      <c r="G18" s="1">
        <f>18000*2</f>
        <v>36000</v>
      </c>
      <c r="J18" s="1">
        <f>2750*2+1100*2+483.88+667.21+150+1824+700+798</f>
        <v>12323.09</v>
      </c>
      <c r="K1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48323.09</v>
      </c>
      <c r="M18" s="1">
        <f>Table11819202310303132353839404148111518202837535450[[#This Row],[اجمالي الفاتوره]]-Table11819202310303132353839404148111518202837535450[[#This Row],[الدفعات]]+M17</f>
        <v>164260.17000000001</v>
      </c>
      <c r="O18" s="48"/>
    </row>
    <row r="19" spans="1:15" ht="21.75" customHeight="1" x14ac:dyDescent="0.3">
      <c r="A19" s="76"/>
      <c r="B19" s="73" t="s">
        <v>389</v>
      </c>
      <c r="C19" s="76"/>
      <c r="D19" s="76"/>
      <c r="E19" s="76"/>
      <c r="F19" s="76"/>
      <c r="G19" s="76"/>
      <c r="H19" s="76"/>
      <c r="I19" s="76">
        <f>0.03*Table11819202310303132353839404148111518202837535450[[#This Row],[النولون]]</f>
        <v>0</v>
      </c>
      <c r="J19" s="76"/>
      <c r="K19" s="76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L19" s="76">
        <v>164000</v>
      </c>
      <c r="M19" s="72">
        <f>Table11819202310303132353839404148111518202837535450[[#This Row],[اجمالي الفاتوره]]-Table11819202310303132353839404148111518202837535450[[#This Row],[الدفعات]]+M18</f>
        <v>260.17000000001281</v>
      </c>
      <c r="N19" s="48"/>
      <c r="O19" s="48"/>
    </row>
    <row r="20" spans="1:15" ht="21.75" customHeight="1" x14ac:dyDescent="0.3">
      <c r="A20" s="1">
        <v>15</v>
      </c>
      <c r="B20" s="2" t="s">
        <v>342</v>
      </c>
      <c r="C20" s="1" t="s">
        <v>320</v>
      </c>
      <c r="D20" s="1" t="s">
        <v>305</v>
      </c>
      <c r="E20" s="1">
        <v>286344173</v>
      </c>
      <c r="F20" s="1" t="s">
        <v>92</v>
      </c>
      <c r="G20" s="1">
        <f>18000*2</f>
        <v>36000</v>
      </c>
      <c r="J20" s="1">
        <f>810+1100*2+591.46+466.67+50+1250+1910+2750*2</f>
        <v>12778.130000000001</v>
      </c>
      <c r="K2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48778.130000000005</v>
      </c>
      <c r="M20" s="1">
        <f>Table11819202310303132353839404148111518202837535450[[#This Row],[اجمالي الفاتوره]]-Table11819202310303132353839404148111518202837535450[[#This Row],[الدفعات]]+M19</f>
        <v>49038.300000000017</v>
      </c>
      <c r="N20" s="1">
        <f>SUM(K:K)-SUM(L:L)+M2</f>
        <v>74.190000000046567</v>
      </c>
      <c r="O20" s="48">
        <f>SUM(H:H)</f>
        <v>0</v>
      </c>
    </row>
    <row r="21" spans="1:15" ht="21.75" customHeight="1" x14ac:dyDescent="0.3">
      <c r="A21" s="1">
        <v>16</v>
      </c>
      <c r="B21" s="2" t="s">
        <v>342</v>
      </c>
      <c r="C21" s="1" t="s">
        <v>354</v>
      </c>
      <c r="D21" s="1" t="s">
        <v>132</v>
      </c>
      <c r="E21" s="1">
        <v>257357920</v>
      </c>
      <c r="F21" s="1" t="s">
        <v>92</v>
      </c>
      <c r="G21" s="1">
        <f>11500*2</f>
        <v>23000</v>
      </c>
      <c r="J21" s="1">
        <f>810+1135+1100+432.74+446.88+1250+1910+2750*2</f>
        <v>12584.619999999999</v>
      </c>
      <c r="K2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35584.619999999995</v>
      </c>
      <c r="M21" s="1">
        <f>Table11819202310303132353839404148111518202837535450[[#This Row],[اجمالي الفاتوره]]-Table11819202310303132353839404148111518202837535450[[#This Row],[الدفعات]]+M20</f>
        <v>84622.920000000013</v>
      </c>
      <c r="O21" s="48"/>
    </row>
    <row r="22" spans="1:15" ht="21.75" customHeight="1" x14ac:dyDescent="0.3">
      <c r="A22" s="1">
        <v>17</v>
      </c>
      <c r="B22" s="2" t="s">
        <v>356</v>
      </c>
      <c r="C22" s="1" t="s">
        <v>139</v>
      </c>
      <c r="D22" s="1" t="s">
        <v>268</v>
      </c>
      <c r="E22" s="1">
        <v>15965796</v>
      </c>
      <c r="F22" s="1" t="s">
        <v>121</v>
      </c>
      <c r="G22" s="1">
        <v>13500</v>
      </c>
      <c r="J22" s="1">
        <f>850+789.94+45.15+600+5023+25000</f>
        <v>32308.09</v>
      </c>
      <c r="K2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45808.09</v>
      </c>
      <c r="M22" s="1">
        <f>Table11819202310303132353839404148111518202837535450[[#This Row],[اجمالي الفاتوره]]-Table11819202310303132353839404148111518202837535450[[#This Row],[الدفعات]]+M21</f>
        <v>130431.01000000001</v>
      </c>
      <c r="O22" s="48"/>
    </row>
    <row r="23" spans="1:15" ht="21.75" customHeight="1" x14ac:dyDescent="0.3">
      <c r="A23" s="76"/>
      <c r="B23" s="72" t="s">
        <v>407</v>
      </c>
      <c r="C23" s="76"/>
      <c r="D23" s="76"/>
      <c r="E23" s="76"/>
      <c r="F23" s="76"/>
      <c r="G23" s="76"/>
      <c r="H23" s="76"/>
      <c r="I23" s="76">
        <f>0.03*Table11819202310303132353839404148111518202837535450[[#This Row],[النولون]]</f>
        <v>0</v>
      </c>
      <c r="J23" s="76"/>
      <c r="K23" s="76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L23" s="76">
        <v>130400</v>
      </c>
      <c r="M23" s="72">
        <f>Table11819202310303132353839404148111518202837535450[[#This Row],[اجمالي الفاتوره]]-Table11819202310303132353839404148111518202837535450[[#This Row],[الدفعات]]+M22</f>
        <v>31.010000000009313</v>
      </c>
      <c r="N23" s="48"/>
      <c r="O23" s="48"/>
    </row>
    <row r="24" spans="1:15" ht="21.75" customHeight="1" x14ac:dyDescent="0.3">
      <c r="A24" s="1">
        <v>18</v>
      </c>
      <c r="B24" s="2" t="s">
        <v>368</v>
      </c>
      <c r="C24" s="1" t="s">
        <v>320</v>
      </c>
      <c r="D24" s="1" t="s">
        <v>122</v>
      </c>
      <c r="E24" s="1">
        <v>9020609880</v>
      </c>
      <c r="F24" s="1" t="s">
        <v>92</v>
      </c>
      <c r="G24" s="1">
        <f>11000*2</f>
        <v>22000</v>
      </c>
      <c r="J24" s="1">
        <f>850+397.86+400.69+105.79+116.12+2246.71+25.1+1368</f>
        <v>5510.27</v>
      </c>
      <c r="K2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27510.27</v>
      </c>
      <c r="M24" s="1">
        <f>Table11819202310303132353839404148111518202837535450[[#This Row],[اجمالي الفاتوره]]-Table11819202310303132353839404148111518202837535450[[#This Row],[الدفعات]]+M23</f>
        <v>27541.28000000001</v>
      </c>
      <c r="O24" s="48"/>
    </row>
    <row r="25" spans="1:15" ht="21.75" customHeight="1" x14ac:dyDescent="0.3">
      <c r="A25" s="1">
        <v>19</v>
      </c>
      <c r="B25" s="2" t="s">
        <v>368</v>
      </c>
      <c r="C25" s="1" t="s">
        <v>320</v>
      </c>
      <c r="D25" s="1" t="s">
        <v>305</v>
      </c>
      <c r="E25" s="1">
        <v>9020609890</v>
      </c>
      <c r="F25" s="1" t="s">
        <v>92</v>
      </c>
      <c r="G25" s="1">
        <f>18000*2</f>
        <v>36000</v>
      </c>
      <c r="J25" s="1">
        <f>50+1100*2+112.67+670.78+466.67+45.15+2246.71+100.35+1368</f>
        <v>7260.33</v>
      </c>
      <c r="K2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43260.33</v>
      </c>
      <c r="M25" s="1">
        <f>Table11819202310303132353839404148111518202837535450[[#This Row],[اجمالي الفاتوره]]-Table11819202310303132353839404148111518202837535450[[#This Row],[الدفعات]]+M24</f>
        <v>70801.610000000015</v>
      </c>
      <c r="O25" s="48"/>
    </row>
    <row r="26" spans="1:15" ht="21.75" customHeight="1" x14ac:dyDescent="0.3">
      <c r="A26" s="1">
        <v>20</v>
      </c>
      <c r="B26" s="2" t="s">
        <v>368</v>
      </c>
      <c r="C26" s="1" t="s">
        <v>369</v>
      </c>
      <c r="D26" s="1" t="s">
        <v>370</v>
      </c>
      <c r="E26" s="1">
        <v>279807</v>
      </c>
      <c r="F26" s="1" t="s">
        <v>121</v>
      </c>
      <c r="G26" s="1">
        <v>35000</v>
      </c>
      <c r="J26" s="1">
        <f>100+1100+850+50*2+100+457.21+45.15+800+1123.36+25.1+4000</f>
        <v>8700.82</v>
      </c>
      <c r="K2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43700.82</v>
      </c>
      <c r="M26" s="1">
        <f>Table11819202310303132353839404148111518202837535450[[#This Row],[اجمالي الفاتوره]]-Table11819202310303132353839404148111518202837535450[[#This Row],[الدفعات]]+M25</f>
        <v>114502.43000000002</v>
      </c>
      <c r="O26" s="48"/>
    </row>
    <row r="27" spans="1:15" ht="21.75" customHeight="1" x14ac:dyDescent="0.3">
      <c r="A27" s="1">
        <v>21</v>
      </c>
      <c r="B27" s="2" t="s">
        <v>379</v>
      </c>
      <c r="C27" s="1" t="s">
        <v>234</v>
      </c>
      <c r="D27" s="1" t="s">
        <v>224</v>
      </c>
      <c r="E27" s="1">
        <v>16111072</v>
      </c>
      <c r="F27" s="1" t="s">
        <v>121</v>
      </c>
      <c r="G27" s="1">
        <v>14000</v>
      </c>
      <c r="J27" s="1">
        <f>2750+1135+714.24+45.15+600+5023+25.1</f>
        <v>10292.49</v>
      </c>
      <c r="K2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24292.489999999998</v>
      </c>
      <c r="M27" s="1">
        <f>Table11819202310303132353839404148111518202837535450[[#This Row],[اجمالي الفاتوره]]-Table11819202310303132353839404148111518202837535450[[#This Row],[الدفعات]]+M26</f>
        <v>138794.92000000001</v>
      </c>
      <c r="O27" s="48"/>
    </row>
    <row r="28" spans="1:15" ht="21.75" customHeight="1" x14ac:dyDescent="0.3">
      <c r="A28" s="76"/>
      <c r="B28" s="73" t="s">
        <v>432</v>
      </c>
      <c r="C28" s="76"/>
      <c r="D28" s="76"/>
      <c r="E28" s="76"/>
      <c r="F28" s="76"/>
      <c r="G28" s="76"/>
      <c r="H28" s="76"/>
      <c r="I28" s="76">
        <f>0.03*Table11819202310303132353839404148111518202837535450[[#This Row],[النولون]]</f>
        <v>0</v>
      </c>
      <c r="J28" s="76"/>
      <c r="K28" s="76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L28" s="76">
        <v>138800</v>
      </c>
      <c r="M28" s="72">
        <f>Table11819202310303132353839404148111518202837535450[[#This Row],[اجمالي الفاتوره]]-Table11819202310303132353839404148111518202837535450[[#This Row],[الدفعات]]+M27</f>
        <v>-5.0799999999871943</v>
      </c>
      <c r="N28" s="48"/>
      <c r="O28" s="48"/>
    </row>
    <row r="29" spans="1:15" ht="21.75" customHeight="1" x14ac:dyDescent="0.3">
      <c r="A29" s="1">
        <v>22</v>
      </c>
      <c r="B29" s="2" t="s">
        <v>379</v>
      </c>
      <c r="C29" s="1" t="s">
        <v>320</v>
      </c>
      <c r="D29" s="1" t="s">
        <v>305</v>
      </c>
      <c r="E29" s="1">
        <v>9020621020</v>
      </c>
      <c r="F29" s="1" t="s">
        <v>181</v>
      </c>
      <c r="G29" s="1">
        <f>18000*4</f>
        <v>72000</v>
      </c>
      <c r="J29" s="1">
        <f>150*2+850+1100*3+1130+45.15+466.67+466.67+462.86+663.59+116.12+45.15+78.41+100*2+4735.1+2736+100.35+4*2750</f>
        <v>26696.07</v>
      </c>
      <c r="K2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98696.07</v>
      </c>
      <c r="M29" s="1">
        <f>Table11819202310303132353839404148111518202837535450[[#This Row],[اجمالي الفاتوره]]-Table11819202310303132353839404148111518202837535450[[#This Row],[الدفعات]]+M28</f>
        <v>98690.99000000002</v>
      </c>
      <c r="O29" s="48"/>
    </row>
    <row r="30" spans="1:15" ht="21.75" customHeight="1" x14ac:dyDescent="0.3">
      <c r="A30" s="76"/>
      <c r="B30" s="80">
        <v>46128</v>
      </c>
      <c r="C30" s="76"/>
      <c r="D30" s="76"/>
      <c r="E30" s="76"/>
      <c r="F30" s="76"/>
      <c r="G30" s="76"/>
      <c r="H30" s="76"/>
      <c r="I30" s="76">
        <f>0.03*Table11819202310303132353839404148111518202837535450[[#This Row],[النولون]]</f>
        <v>0</v>
      </c>
      <c r="J30" s="76"/>
      <c r="K30" s="76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L30" s="76">
        <v>98600</v>
      </c>
      <c r="M30" s="72">
        <f>Table11819202310303132353839404148111518202837535450[[#This Row],[اجمالي الفاتوره]]-Table11819202310303132353839404148111518202837535450[[#This Row],[الدفعات]]+M29</f>
        <v>90.990000000019791</v>
      </c>
      <c r="N30" s="48"/>
      <c r="O30" s="48"/>
    </row>
    <row r="31" spans="1:15" ht="21.75" customHeight="1" x14ac:dyDescent="0.3">
      <c r="A31" s="1">
        <v>23</v>
      </c>
      <c r="B31" s="2" t="s">
        <v>407</v>
      </c>
      <c r="C31" s="1" t="s">
        <v>320</v>
      </c>
      <c r="D31" s="1" t="s">
        <v>370</v>
      </c>
      <c r="E31" s="1">
        <v>895171</v>
      </c>
      <c r="F31" s="1" t="s">
        <v>121</v>
      </c>
      <c r="G31" s="1">
        <v>36500</v>
      </c>
      <c r="J31" s="1">
        <f>1100+537.64+850+50*2+100+399+350+100.35+1311+350+4400</f>
        <v>9597.99</v>
      </c>
      <c r="K3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46097.99</v>
      </c>
      <c r="M31" s="1">
        <f>Table11819202310303132353839404148111518202837535450[[#This Row],[اجمالي الفاتوره]]-Table11819202310303132353839404148111518202837535450[[#This Row],[الدفعات]]+M30</f>
        <v>46188.980000000018</v>
      </c>
      <c r="O31" s="48"/>
    </row>
    <row r="32" spans="1:15" ht="21.75" customHeight="1" x14ac:dyDescent="0.3">
      <c r="A32" s="1">
        <v>24</v>
      </c>
      <c r="B32" s="2" t="s">
        <v>407</v>
      </c>
      <c r="C32" s="1" t="s">
        <v>320</v>
      </c>
      <c r="D32" s="1" t="s">
        <v>118</v>
      </c>
      <c r="E32" s="1">
        <v>896107</v>
      </c>
      <c r="F32" s="1" t="s">
        <v>121</v>
      </c>
      <c r="G32" s="1">
        <v>17800</v>
      </c>
      <c r="J32" s="1">
        <f>810+1130+529.77+1254+399+350+3000</f>
        <v>7472.77</v>
      </c>
      <c r="K3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25272.77</v>
      </c>
      <c r="M32" s="1">
        <f>Table11819202310303132353839404148111518202837535450[[#This Row],[اجمالي الفاتوره]]-Table11819202310303132353839404148111518202837535450[[#This Row],[الدفعات]]+M31</f>
        <v>71461.750000000015</v>
      </c>
      <c r="O32" s="48"/>
    </row>
    <row r="33" spans="1:15" ht="21.75" customHeight="1" x14ac:dyDescent="0.3">
      <c r="A33" s="1">
        <v>25</v>
      </c>
      <c r="B33" s="2" t="s">
        <v>407</v>
      </c>
      <c r="C33" s="1" t="s">
        <v>320</v>
      </c>
      <c r="D33" s="1" t="s">
        <v>305</v>
      </c>
      <c r="E33" s="1">
        <v>894615</v>
      </c>
      <c r="F33" s="1" t="s">
        <v>121</v>
      </c>
      <c r="G33" s="1">
        <v>20000</v>
      </c>
      <c r="J33" s="1">
        <f>850+1100+484.49+50+1995+1400+1596+25.1+100+3*400</f>
        <v>8800.59</v>
      </c>
      <c r="K3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28800.59</v>
      </c>
      <c r="M33" s="1">
        <f>Table11819202310303132353839404148111518202837535450[[#This Row],[اجمالي الفاتوره]]-Table11819202310303132353839404148111518202837535450[[#This Row],[الدفعات]]+M32</f>
        <v>100262.34000000001</v>
      </c>
      <c r="O33" s="48"/>
    </row>
    <row r="34" spans="1:15" ht="21.75" customHeight="1" x14ac:dyDescent="0.3">
      <c r="A34" s="1">
        <v>26</v>
      </c>
      <c r="B34" s="2" t="s">
        <v>407</v>
      </c>
      <c r="C34" s="1" t="s">
        <v>145</v>
      </c>
      <c r="D34" s="1" t="s">
        <v>122</v>
      </c>
      <c r="E34" s="1">
        <v>896874</v>
      </c>
      <c r="F34" s="1" t="s">
        <v>92</v>
      </c>
      <c r="G34" s="1">
        <f>12300*2</f>
        <v>24600</v>
      </c>
      <c r="J34" s="1">
        <f>810+421.43*2+2508+350*2+399*2+2750*2</f>
        <v>11158.86</v>
      </c>
      <c r="K3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35758.86</v>
      </c>
      <c r="M34" s="1">
        <f>Table11819202310303132353839404148111518202837535450[[#This Row],[اجمالي الفاتوره]]-Table11819202310303132353839404148111518202837535450[[#This Row],[الدفعات]]+M33</f>
        <v>136021.20000000001</v>
      </c>
      <c r="O34" s="48"/>
    </row>
    <row r="35" spans="1:15" ht="21.75" customHeight="1" x14ac:dyDescent="0.3">
      <c r="A35" s="1">
        <v>27</v>
      </c>
      <c r="B35" s="1" t="s">
        <v>407</v>
      </c>
      <c r="C35" s="1" t="s">
        <v>320</v>
      </c>
      <c r="D35" s="1" t="s">
        <v>415</v>
      </c>
      <c r="E35" s="1" t="s">
        <v>416</v>
      </c>
      <c r="F35" s="1" t="s">
        <v>158</v>
      </c>
      <c r="G35" s="1">
        <v>0</v>
      </c>
      <c r="J35" s="1">
        <f>850+1750+798+700+350+399+25.1+400*3</f>
        <v>6072.1</v>
      </c>
      <c r="K3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6072.1</v>
      </c>
      <c r="M35" s="1">
        <f>Table11819202310303132353839404148111518202837535450[[#This Row],[اجمالي الفاتوره]]-Table11819202310303132353839404148111518202837535450[[#This Row],[الدفعات]]+M34</f>
        <v>142093.30000000002</v>
      </c>
      <c r="O35" s="48"/>
    </row>
    <row r="36" spans="1:15" ht="21.75" customHeight="1" x14ac:dyDescent="0.3">
      <c r="A36" s="96"/>
      <c r="B36" s="99">
        <v>46138</v>
      </c>
      <c r="C36" s="96"/>
      <c r="D36" s="96"/>
      <c r="E36" s="96"/>
      <c r="F36" s="96"/>
      <c r="G36" s="96"/>
      <c r="H36" s="96"/>
      <c r="I36" s="96">
        <f>0.03*Table11819202310303132353839404148111518202837535450[[#This Row],[النولون]]</f>
        <v>0</v>
      </c>
      <c r="J36" s="96"/>
      <c r="K36" s="96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L36" s="96">
        <v>142000</v>
      </c>
      <c r="M36" s="72">
        <f>Table11819202310303132353839404148111518202837535450[[#This Row],[اجمالي الفاتوره]]-Table11819202310303132353839404148111518202837535450[[#This Row],[الدفعات]]+M35</f>
        <v>93.300000000017462</v>
      </c>
      <c r="N36" s="95"/>
      <c r="O36" s="95"/>
    </row>
    <row r="37" spans="1:15" ht="21.75" customHeight="1" x14ac:dyDescent="0.3">
      <c r="A37" s="1">
        <v>28</v>
      </c>
      <c r="B37" s="24">
        <v>46119</v>
      </c>
      <c r="C37" s="1" t="s">
        <v>320</v>
      </c>
      <c r="D37" s="1" t="s">
        <v>126</v>
      </c>
      <c r="E37" s="1">
        <v>900222</v>
      </c>
      <c r="F37" s="1" t="s">
        <v>121</v>
      </c>
      <c r="G37" s="1">
        <v>26000</v>
      </c>
      <c r="J37" s="1">
        <f>4000+120+50*2+1100+45.15+591.35+350+399</f>
        <v>6705.5</v>
      </c>
      <c r="K3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32705.5</v>
      </c>
      <c r="M37" s="1">
        <f>Table11819202310303132353839404148111518202837535450[[#This Row],[اجمالي الفاتوره]]-Table11819202310303132353839404148111518202837535450[[#This Row],[الدفعات]]+M36</f>
        <v>32798.800000000017</v>
      </c>
      <c r="O37" s="48"/>
    </row>
    <row r="38" spans="1:15" ht="21.75" customHeight="1" x14ac:dyDescent="0.3">
      <c r="A38" s="1">
        <v>29</v>
      </c>
      <c r="B38" s="24">
        <v>46119</v>
      </c>
      <c r="C38" s="1" t="s">
        <v>320</v>
      </c>
      <c r="D38" s="1" t="s">
        <v>305</v>
      </c>
      <c r="E38" s="1">
        <v>900213</v>
      </c>
      <c r="F38" s="1" t="s">
        <v>181</v>
      </c>
      <c r="G38" s="1">
        <f>4*19800</f>
        <v>79200</v>
      </c>
      <c r="J38" s="1">
        <f>850+4*1100+474.78+466.3+449.71+461.01+153.99+68.08+105.79+105.79+200+4*100+1400+1596+100.35</f>
        <v>11231.800000000001</v>
      </c>
      <c r="K3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90431.8</v>
      </c>
      <c r="M38" s="1">
        <f>Table11819202310303132353839404148111518202837535450[[#This Row],[اجمالي الفاتوره]]-Table11819202310303132353839404148111518202837535450[[#This Row],[الدفعات]]+M37</f>
        <v>123230.60000000002</v>
      </c>
      <c r="O38" s="48"/>
    </row>
    <row r="39" spans="1:15" ht="21.75" customHeight="1" x14ac:dyDescent="0.3">
      <c r="A39" s="1">
        <v>30</v>
      </c>
      <c r="B39" s="24">
        <v>46119</v>
      </c>
      <c r="C39" s="1" t="s">
        <v>320</v>
      </c>
      <c r="D39" s="1" t="s">
        <v>118</v>
      </c>
      <c r="E39" s="1">
        <v>900217</v>
      </c>
      <c r="F39" s="1" t="s">
        <v>181</v>
      </c>
      <c r="G39" s="1">
        <f>4*17500</f>
        <v>70000</v>
      </c>
      <c r="J39" s="1">
        <f>4*3000+150+850+3*1135+1100+789.94+829.66+869.38+480.8+45.15+45.15+45.15+45.15+1400+1596+125.4</f>
        <v>23776.780000000006</v>
      </c>
      <c r="K3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93776.78</v>
      </c>
      <c r="M39" s="1">
        <f>Table11819202310303132353839404148111518202837535450[[#This Row],[اجمالي الفاتوره]]-Table11819202310303132353839404148111518202837535450[[#This Row],[الدفعات]]+M38</f>
        <v>217007.38</v>
      </c>
      <c r="O39" s="48"/>
    </row>
    <row r="40" spans="1:15" ht="21.75" customHeight="1" x14ac:dyDescent="0.3">
      <c r="A40" s="1">
        <v>31</v>
      </c>
      <c r="B40" s="24">
        <v>46119</v>
      </c>
      <c r="C40" s="1" t="s">
        <v>369</v>
      </c>
      <c r="D40" s="1" t="s">
        <v>370</v>
      </c>
      <c r="E40" s="1">
        <v>901954</v>
      </c>
      <c r="F40" s="1" t="s">
        <v>121</v>
      </c>
      <c r="G40" s="1">
        <v>35500</v>
      </c>
      <c r="J40" s="1">
        <f>4000+250+1100+674.44+100*3+100+2280+700+798+79.8+400</f>
        <v>10682.24</v>
      </c>
      <c r="K4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46182.239999999998</v>
      </c>
      <c r="M40" s="1">
        <f>Table11819202310303132353839404148111518202837535450[[#This Row],[اجمالي الفاتوره]]-Table11819202310303132353839404148111518202837535450[[#This Row],[الدفعات]]+M39</f>
        <v>263189.62</v>
      </c>
      <c r="O40" s="48"/>
    </row>
    <row r="41" spans="1:15" ht="21.75" customHeight="1" x14ac:dyDescent="0.3">
      <c r="A41" s="96"/>
      <c r="B41" s="99">
        <v>46142</v>
      </c>
      <c r="C41" s="96"/>
      <c r="D41" s="96"/>
      <c r="E41" s="96"/>
      <c r="F41" s="96"/>
      <c r="G41" s="96"/>
      <c r="H41" s="96"/>
      <c r="I41" s="96">
        <f>0.03*Table11819202310303132353839404148111518202837535450[[#This Row],[النولون]]</f>
        <v>0</v>
      </c>
      <c r="J41" s="96"/>
      <c r="K41" s="96"/>
      <c r="L41" s="96">
        <v>228000</v>
      </c>
      <c r="M41" s="72">
        <f>Table11819202310303132353839404148111518202837535450[[#This Row],[اجمالي الفاتوره]]-Table11819202310303132353839404148111518202837535450[[#This Row],[الدفعات]]+M40</f>
        <v>35189.619999999995</v>
      </c>
      <c r="N41" s="95"/>
      <c r="O41" s="95"/>
    </row>
    <row r="42" spans="1:15" ht="21.75" customHeight="1" x14ac:dyDescent="0.3">
      <c r="A42" s="96"/>
      <c r="B42" s="99">
        <v>46142</v>
      </c>
      <c r="C42" s="96"/>
      <c r="D42" s="96"/>
      <c r="E42" s="96"/>
      <c r="F42" s="72" t="s">
        <v>503</v>
      </c>
      <c r="G42" s="96"/>
      <c r="H42" s="96"/>
      <c r="I42" s="96">
        <f>0.03*Table11819202310303132353839404148111518202837535450[[#This Row],[النولون]]</f>
        <v>0</v>
      </c>
      <c r="J42" s="96"/>
      <c r="K42" s="96"/>
      <c r="L42" s="96">
        <v>35100</v>
      </c>
      <c r="M42" s="72">
        <f>Table11819202310303132353839404148111518202837535450[[#This Row],[اجمالي الفاتوره]]-Table11819202310303132353839404148111518202837535450[[#This Row],[الدفعات]]+M41</f>
        <v>89.619999999995343</v>
      </c>
      <c r="N42" s="95"/>
      <c r="O42" s="95"/>
    </row>
    <row r="43" spans="1:15" ht="21.75" customHeight="1" x14ac:dyDescent="0.3">
      <c r="A43" s="1">
        <v>32</v>
      </c>
      <c r="B43" s="24">
        <v>46123</v>
      </c>
      <c r="C43" s="1" t="s">
        <v>354</v>
      </c>
      <c r="D43" s="1" t="s">
        <v>438</v>
      </c>
      <c r="E43" s="1">
        <v>16435084</v>
      </c>
      <c r="F43" s="1" t="s">
        <v>158</v>
      </c>
      <c r="G43" s="1">
        <f>19500*3</f>
        <v>58500</v>
      </c>
      <c r="J43" s="1">
        <f>3000+850+120*2+1135*2+1125+876.6+869.38+815.24+105.79+71.52+45.15+350+1800+119.7+16612+3*3000</f>
        <v>38150.380000000005</v>
      </c>
      <c r="K4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96650.38</v>
      </c>
      <c r="M43" s="1">
        <f>Table11819202310303132353839404148111518202837535450[[#This Row],[اجمالي الفاتوره]]-Table11819202310303132353839404148111518202837535450[[#This Row],[الدفعات]]+M42</f>
        <v>96740</v>
      </c>
      <c r="O43" s="48"/>
    </row>
    <row r="44" spans="1:15" ht="21.75" customHeight="1" x14ac:dyDescent="0.3">
      <c r="A44" s="1">
        <v>33</v>
      </c>
      <c r="B44" s="24">
        <v>46123</v>
      </c>
      <c r="C44" s="1" t="s">
        <v>139</v>
      </c>
      <c r="D44" s="1" t="s">
        <v>268</v>
      </c>
      <c r="E44" s="1">
        <v>16435560</v>
      </c>
      <c r="F44" s="1" t="s">
        <v>92</v>
      </c>
      <c r="G44" s="1">
        <f>15000*2</f>
        <v>30000</v>
      </c>
      <c r="J44" s="1">
        <f>850+150+1100+484.24+494.57+45.15+105.79+1200+79.8+11075+3000*2</f>
        <v>21584.55</v>
      </c>
      <c r="K4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51584.55</v>
      </c>
      <c r="M44" s="1">
        <f>Table11819202310303132353839404148111518202837535450[[#This Row],[اجمالي الفاتوره]]-Table11819202310303132353839404148111518202837535450[[#This Row],[الدفعات]]+M43</f>
        <v>148324.54999999999</v>
      </c>
      <c r="O44" s="48"/>
    </row>
    <row r="45" spans="1:15" ht="21.75" customHeight="1" x14ac:dyDescent="0.3">
      <c r="A45" s="1">
        <v>34</v>
      </c>
      <c r="B45" s="2">
        <v>46126</v>
      </c>
      <c r="C45" s="1" t="s">
        <v>320</v>
      </c>
      <c r="D45" s="1" t="s">
        <v>118</v>
      </c>
      <c r="E45" s="1">
        <v>900788</v>
      </c>
      <c r="F45" s="1" t="s">
        <v>181</v>
      </c>
      <c r="G45" s="1">
        <f>17500*4</f>
        <v>70000</v>
      </c>
      <c r="J45" s="1">
        <f>850*2+150+100+250+1135*2+1130*2+45.15+68.08+829.66+909.09+480.8+491.13+105.79+45.15+1400+1596+159.6+350+399+400+3000*4</f>
        <v>26009.449999999997</v>
      </c>
      <c r="K4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96009.45</v>
      </c>
      <c r="M45" s="1">
        <f>Table11819202310303132353839404148111518202837535450[[#This Row],[اجمالي الفاتوره]]-Table11819202310303132353839404148111518202837535450[[#This Row],[الدفعات]]+M44</f>
        <v>244334</v>
      </c>
      <c r="O45" s="48"/>
    </row>
    <row r="46" spans="1:15" ht="21.75" customHeight="1" x14ac:dyDescent="0.3">
      <c r="A46" s="96"/>
      <c r="B46" s="98">
        <v>46159</v>
      </c>
      <c r="C46" s="96"/>
      <c r="D46" s="96"/>
      <c r="E46" s="96"/>
      <c r="F46" s="96"/>
      <c r="G46" s="96"/>
      <c r="H46" s="96"/>
      <c r="I46" s="96"/>
      <c r="J46" s="96"/>
      <c r="K46" s="96"/>
      <c r="L46" s="96">
        <v>244000</v>
      </c>
      <c r="M46" s="72">
        <f>Table11819202310303132353839404148111518202837535450[[#This Row],[اجمالي الفاتوره]]-Table11819202310303132353839404148111518202837535450[[#This Row],[الدفعات]]+M45</f>
        <v>334</v>
      </c>
      <c r="N46" s="95"/>
      <c r="O46" s="95"/>
    </row>
    <row r="47" spans="1:15" ht="21.75" customHeight="1" x14ac:dyDescent="0.3">
      <c r="A47" s="1">
        <v>35</v>
      </c>
      <c r="B47" s="24">
        <v>46137</v>
      </c>
      <c r="C47" s="1" t="s">
        <v>477</v>
      </c>
      <c r="D47" s="1" t="s">
        <v>478</v>
      </c>
      <c r="E47" s="1">
        <v>16552617</v>
      </c>
      <c r="F47" s="1" t="s">
        <v>92</v>
      </c>
      <c r="G47" s="1">
        <f>15000*2</f>
        <v>30000</v>
      </c>
      <c r="J47" s="1">
        <f>1100*2+105.79*2+829.66+533.76+250+1200+79.8+11075</f>
        <v>16379.8</v>
      </c>
      <c r="K4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46379.8</v>
      </c>
      <c r="M47" s="1">
        <f>Table11819202310303132353839404148111518202837535450[[#This Row],[اجمالي الفاتوره]]-Table11819202310303132353839404148111518202837535450[[#This Row],[الدفعات]]+M46</f>
        <v>46713.8</v>
      </c>
      <c r="O47" s="48"/>
    </row>
    <row r="48" spans="1:15" ht="21.75" customHeight="1" x14ac:dyDescent="0.3">
      <c r="A48" s="96"/>
      <c r="B48" s="99">
        <v>46167</v>
      </c>
      <c r="C48" s="96"/>
      <c r="D48" s="96"/>
      <c r="E48" s="96"/>
      <c r="F48" s="96"/>
      <c r="G48" s="96"/>
      <c r="H48" s="96"/>
      <c r="I48" s="96">
        <f>0.03*Table11819202310303132353839404148111518202837535450[[#This Row],[النولون]]</f>
        <v>0</v>
      </c>
      <c r="J48" s="96"/>
      <c r="K48" s="96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L48" s="96">
        <v>46700</v>
      </c>
      <c r="M48" s="72">
        <f>Table11819202310303132353839404148111518202837535450[[#This Row],[اجمالي الفاتوره]]-Table11819202310303132353839404148111518202837535450[[#This Row],[الدفعات]]+M47</f>
        <v>13.80000000000291</v>
      </c>
      <c r="N48" s="95"/>
      <c r="O48" s="95"/>
    </row>
    <row r="49" spans="1:15" ht="21.75" customHeight="1" x14ac:dyDescent="0.3">
      <c r="A49" s="1">
        <v>36</v>
      </c>
      <c r="B49" s="24">
        <v>46144</v>
      </c>
      <c r="C49" s="1" t="s">
        <v>320</v>
      </c>
      <c r="D49" s="1" t="s">
        <v>224</v>
      </c>
      <c r="E49" s="1">
        <v>9020774880</v>
      </c>
      <c r="F49" s="1" t="s">
        <v>158</v>
      </c>
      <c r="G49" s="1">
        <f>15000*3</f>
        <v>45000</v>
      </c>
      <c r="J49" s="1">
        <f>3*3000+2000+3000*2+1000+850+1130+1135+1130+45.15+45.15+475.15+676.67+829.66+100*3+100+100+250+3597.84+2052+119.7</f>
        <v>30836.320000000003</v>
      </c>
      <c r="K4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75836.320000000007</v>
      </c>
      <c r="M49" s="1">
        <f>Table11819202310303132353839404148111518202837535450[[#This Row],[اجمالي الفاتوره]]-Table11819202310303132353839404148111518202837535450[[#This Row],[الدفعات]]+M48</f>
        <v>75850.12000000001</v>
      </c>
      <c r="O49" s="48"/>
    </row>
    <row r="50" spans="1:15" ht="21.75" customHeight="1" x14ac:dyDescent="0.3">
      <c r="A50" s="1">
        <v>37</v>
      </c>
      <c r="B50" s="24">
        <v>46144</v>
      </c>
      <c r="C50" s="1" t="s">
        <v>320</v>
      </c>
      <c r="D50" s="1" t="s">
        <v>126</v>
      </c>
      <c r="E50" s="1">
        <v>9020774870</v>
      </c>
      <c r="F50" s="1" t="s">
        <v>121</v>
      </c>
      <c r="G50" s="1">
        <v>26000</v>
      </c>
      <c r="J50" s="1">
        <f>3000+1000+120+50*2+1100+461.01+105.79+1202.24+684+4000+39.9</f>
        <v>11812.94</v>
      </c>
      <c r="K5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37812.94</v>
      </c>
      <c r="M50" s="1">
        <f>Table11819202310303132353839404148111518202837535450[[#This Row],[اجمالي الفاتوره]]-Table11819202310303132353839404148111518202837535450[[#This Row],[الدفعات]]+M49</f>
        <v>113663.06000000001</v>
      </c>
      <c r="O50" s="48"/>
    </row>
    <row r="51" spans="1:15" ht="21.75" customHeight="1" x14ac:dyDescent="0.3">
      <c r="A51" s="1">
        <v>38</v>
      </c>
      <c r="B51" s="24">
        <v>46145</v>
      </c>
      <c r="C51" s="2" t="s">
        <v>145</v>
      </c>
      <c r="D51" s="1" t="s">
        <v>122</v>
      </c>
      <c r="E51" s="1">
        <v>911075</v>
      </c>
      <c r="F51" s="1" t="s">
        <v>92</v>
      </c>
      <c r="G51" s="1">
        <v>24000</v>
      </c>
      <c r="J51" s="1">
        <f>200+1100+1100+444.05+452.53+3078+700+798</f>
        <v>7872.58</v>
      </c>
      <c r="K5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31872.58</v>
      </c>
      <c r="M51" s="1">
        <f>Table11819202310303132353839404148111518202837535450[[#This Row],[اجمالي الفاتوره]]-Table11819202310303132353839404148111518202837535450[[#This Row],[الدفعات]]+M50</f>
        <v>145535.64000000001</v>
      </c>
      <c r="O51" s="48"/>
    </row>
    <row r="52" spans="1:15" ht="21.75" customHeight="1" x14ac:dyDescent="0.3">
      <c r="A52" s="1">
        <v>39</v>
      </c>
      <c r="B52" s="24">
        <v>46158</v>
      </c>
      <c r="C52" s="1" t="s">
        <v>139</v>
      </c>
      <c r="D52" s="1" t="s">
        <v>478</v>
      </c>
      <c r="E52" s="1">
        <v>16856885</v>
      </c>
      <c r="F52" s="1" t="s">
        <v>92</v>
      </c>
      <c r="G52" s="1">
        <f>15000*2</f>
        <v>30000</v>
      </c>
      <c r="J52" s="1">
        <f>810+850+1100+761.19+829.78+105.79*2+100+1200+11076</f>
        <v>16938.55</v>
      </c>
      <c r="K5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46938.55</v>
      </c>
      <c r="M52" s="1">
        <f>Table11819202310303132353839404148111518202837535450[[#This Row],[اجمالي الفاتوره]]-Table11819202310303132353839404148111518202837535450[[#This Row],[الدفعات]]+M51</f>
        <v>192474.19</v>
      </c>
      <c r="O52" s="48"/>
    </row>
    <row r="53" spans="1:15" ht="21.75" customHeight="1" x14ac:dyDescent="0.3">
      <c r="A53" s="72"/>
      <c r="B53" s="97">
        <v>46196</v>
      </c>
      <c r="C53" s="72"/>
      <c r="D53" s="72"/>
      <c r="E53" s="72"/>
      <c r="F53" s="72"/>
      <c r="G53" s="72"/>
      <c r="H53" s="72"/>
      <c r="I53" s="72"/>
      <c r="J53" s="72"/>
      <c r="K53" s="72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L53" s="72">
        <v>192400</v>
      </c>
      <c r="M53" s="72">
        <f>M52+Table11819202310303132353839404148111518202837535450[[#This Row],[اجمالي الفاتوره]]-Table11819202310303132353839404148111518202837535450[[#This Row],[الدفعات]]</f>
        <v>74.190000000002328</v>
      </c>
      <c r="O53" s="48"/>
    </row>
    <row r="54" spans="1:15" ht="21.75" customHeight="1" x14ac:dyDescent="0.3">
      <c r="K5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54" s="1">
        <f>M53+Table11819202310303132353839404148111518202837535450[[#This Row],[اجمالي الفاتوره]]-Table11819202310303132353839404148111518202837535450[[#This Row],[الدفعات]]</f>
        <v>74.190000000002328</v>
      </c>
      <c r="O54" s="48"/>
    </row>
    <row r="55" spans="1:15" ht="21.75" customHeight="1" x14ac:dyDescent="0.3">
      <c r="K5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55" s="1">
        <f>M54+Table11819202310303132353839404148111518202837535450[[#This Row],[اجمالي الفاتوره]]-Table11819202310303132353839404148111518202837535450[[#This Row],[الدفعات]]</f>
        <v>74.190000000002328</v>
      </c>
      <c r="O55" s="48"/>
    </row>
    <row r="56" spans="1:15" ht="21.75" customHeight="1" x14ac:dyDescent="0.3">
      <c r="K5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56" s="1">
        <f>M55+Table11819202310303132353839404148111518202837535450[[#This Row],[اجمالي الفاتوره]]-Table11819202310303132353839404148111518202837535450[[#This Row],[الدفعات]]</f>
        <v>74.190000000002328</v>
      </c>
      <c r="O56" s="48"/>
    </row>
    <row r="57" spans="1:15" ht="21.75" customHeight="1" x14ac:dyDescent="0.3">
      <c r="K5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57" s="1">
        <f>M56+Table11819202310303132353839404148111518202837535450[[#This Row],[اجمالي الفاتوره]]-Table11819202310303132353839404148111518202837535450[[#This Row],[الدفعات]]</f>
        <v>74.190000000002328</v>
      </c>
      <c r="O57" s="48"/>
    </row>
    <row r="58" spans="1:15" ht="21.75" customHeight="1" x14ac:dyDescent="0.3">
      <c r="K5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58" s="1">
        <f>M57+Table11819202310303132353839404148111518202837535450[[#This Row],[اجمالي الفاتوره]]-Table11819202310303132353839404148111518202837535450[[#This Row],[الدفعات]]</f>
        <v>74.190000000002328</v>
      </c>
      <c r="O58" s="48"/>
    </row>
    <row r="59" spans="1:15" ht="21.75" customHeight="1" x14ac:dyDescent="0.3">
      <c r="K5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59" s="1">
        <f>M58+Table11819202310303132353839404148111518202837535450[[#This Row],[اجمالي الفاتوره]]-Table11819202310303132353839404148111518202837535450[[#This Row],[الدفعات]]</f>
        <v>74.190000000002328</v>
      </c>
      <c r="O59" s="48"/>
    </row>
    <row r="60" spans="1:15" ht="21.75" customHeight="1" x14ac:dyDescent="0.3">
      <c r="K6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60" s="1">
        <f>M59+Table11819202310303132353839404148111518202837535450[[#This Row],[اجمالي الفاتوره]]-Table11819202310303132353839404148111518202837535450[[#This Row],[الدفعات]]</f>
        <v>74.190000000002328</v>
      </c>
      <c r="O60" s="48"/>
    </row>
    <row r="61" spans="1:15" ht="21.75" customHeight="1" x14ac:dyDescent="0.3">
      <c r="K6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61" s="1">
        <f>M60+Table11819202310303132353839404148111518202837535450[[#This Row],[اجمالي الفاتوره]]-Table11819202310303132353839404148111518202837535450[[#This Row],[الدفعات]]</f>
        <v>74.190000000002328</v>
      </c>
      <c r="O61" s="48"/>
    </row>
    <row r="62" spans="1:15" ht="21.75" customHeight="1" x14ac:dyDescent="0.3">
      <c r="K6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62" s="1">
        <f>M61+Table11819202310303132353839404148111518202837535450[[#This Row],[اجمالي الفاتوره]]-Table11819202310303132353839404148111518202837535450[[#This Row],[الدفعات]]</f>
        <v>74.190000000002328</v>
      </c>
      <c r="O62" s="48"/>
    </row>
    <row r="63" spans="1:15" ht="21.75" customHeight="1" x14ac:dyDescent="0.3">
      <c r="K6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63" s="1">
        <f>M62+Table11819202310303132353839404148111518202837535450[[#This Row],[اجمالي الفاتوره]]-Table11819202310303132353839404148111518202837535450[[#This Row],[الدفعات]]</f>
        <v>74.190000000002328</v>
      </c>
      <c r="O63" s="48"/>
    </row>
    <row r="64" spans="1:15" ht="21.75" customHeight="1" x14ac:dyDescent="0.3">
      <c r="K6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64" s="1">
        <f>M63+Table11819202310303132353839404148111518202837535450[[#This Row],[اجمالي الفاتوره]]-Table11819202310303132353839404148111518202837535450[[#This Row],[الدفعات]]</f>
        <v>74.190000000002328</v>
      </c>
      <c r="O64" s="48"/>
    </row>
    <row r="65" spans="11:15" ht="21.75" customHeight="1" x14ac:dyDescent="0.3">
      <c r="K6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65" s="1">
        <f>M64+Table11819202310303132353839404148111518202837535450[[#This Row],[اجمالي الفاتوره]]-Table11819202310303132353839404148111518202837535450[[#This Row],[الدفعات]]</f>
        <v>74.190000000002328</v>
      </c>
      <c r="O65" s="48"/>
    </row>
    <row r="66" spans="11:15" ht="21.75" customHeight="1" x14ac:dyDescent="0.3">
      <c r="K6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66" s="1">
        <f>M65+Table11819202310303132353839404148111518202837535450[[#This Row],[اجمالي الفاتوره]]-Table11819202310303132353839404148111518202837535450[[#This Row],[الدفعات]]</f>
        <v>74.190000000002328</v>
      </c>
      <c r="O66" s="48"/>
    </row>
    <row r="67" spans="11:15" ht="21.75" customHeight="1" x14ac:dyDescent="0.3">
      <c r="K6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67" s="1">
        <f>M66+Table11819202310303132353839404148111518202837535450[[#This Row],[اجمالي الفاتوره]]-Table11819202310303132353839404148111518202837535450[[#This Row],[الدفعات]]</f>
        <v>74.190000000002328</v>
      </c>
      <c r="O67" s="48"/>
    </row>
    <row r="68" spans="11:15" ht="21.75" customHeight="1" x14ac:dyDescent="0.3">
      <c r="K6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68" s="1">
        <f>M67+Table11819202310303132353839404148111518202837535450[[#This Row],[اجمالي الفاتوره]]-Table11819202310303132353839404148111518202837535450[[#This Row],[الدفعات]]</f>
        <v>74.190000000002328</v>
      </c>
      <c r="O68" s="48"/>
    </row>
    <row r="69" spans="11:15" ht="21.75" customHeight="1" x14ac:dyDescent="0.3">
      <c r="K6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69" s="1">
        <f>M68+Table11819202310303132353839404148111518202837535450[[#This Row],[اجمالي الفاتوره]]-Table11819202310303132353839404148111518202837535450[[#This Row],[الدفعات]]</f>
        <v>74.190000000002328</v>
      </c>
      <c r="O69" s="48"/>
    </row>
    <row r="70" spans="11:15" ht="21.75" customHeight="1" x14ac:dyDescent="0.3">
      <c r="K7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70" s="1">
        <f>M69+Table11819202310303132353839404148111518202837535450[[#This Row],[اجمالي الفاتوره]]-Table11819202310303132353839404148111518202837535450[[#This Row],[الدفعات]]</f>
        <v>74.190000000002328</v>
      </c>
      <c r="O70" s="48"/>
    </row>
    <row r="71" spans="11:15" ht="21.75" customHeight="1" x14ac:dyDescent="0.3">
      <c r="K7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71" s="1">
        <f>M70+Table11819202310303132353839404148111518202837535450[[#This Row],[اجمالي الفاتوره]]-Table11819202310303132353839404148111518202837535450[[#This Row],[الدفعات]]</f>
        <v>74.190000000002328</v>
      </c>
      <c r="O71" s="48"/>
    </row>
    <row r="72" spans="11:15" ht="21.75" customHeight="1" x14ac:dyDescent="0.3">
      <c r="K7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72" s="1">
        <f>M71+Table11819202310303132353839404148111518202837535450[[#This Row],[اجمالي الفاتوره]]-Table11819202310303132353839404148111518202837535450[[#This Row],[الدفعات]]</f>
        <v>74.190000000002328</v>
      </c>
      <c r="O72" s="48"/>
    </row>
    <row r="73" spans="11:15" ht="21.75" customHeight="1" x14ac:dyDescent="0.3">
      <c r="K7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73" s="1">
        <f>M72+Table11819202310303132353839404148111518202837535450[[#This Row],[اجمالي الفاتوره]]-Table11819202310303132353839404148111518202837535450[[#This Row],[الدفعات]]</f>
        <v>74.190000000002328</v>
      </c>
      <c r="O73" s="48"/>
    </row>
    <row r="74" spans="11:15" ht="21.75" customHeight="1" x14ac:dyDescent="0.3">
      <c r="K7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74" s="1">
        <f>M73+Table11819202310303132353839404148111518202837535450[[#This Row],[اجمالي الفاتوره]]-Table11819202310303132353839404148111518202837535450[[#This Row],[الدفعات]]</f>
        <v>74.190000000002328</v>
      </c>
      <c r="O74" s="48"/>
    </row>
    <row r="75" spans="11:15" ht="21.75" customHeight="1" x14ac:dyDescent="0.3">
      <c r="K7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75" s="1">
        <f>M74+Table11819202310303132353839404148111518202837535450[[#This Row],[اجمالي الفاتوره]]-Table11819202310303132353839404148111518202837535450[[#This Row],[الدفعات]]</f>
        <v>74.190000000002328</v>
      </c>
      <c r="O75" s="48"/>
    </row>
    <row r="76" spans="11:15" ht="21.75" customHeight="1" x14ac:dyDescent="0.3">
      <c r="K7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76" s="1">
        <f>M75+Table11819202310303132353839404148111518202837535450[[#This Row],[اجمالي الفاتوره]]-Table11819202310303132353839404148111518202837535450[[#This Row],[الدفعات]]</f>
        <v>74.190000000002328</v>
      </c>
      <c r="O76" s="48"/>
    </row>
    <row r="77" spans="11:15" ht="21.75" customHeight="1" x14ac:dyDescent="0.3">
      <c r="K7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77" s="1">
        <f>M76+Table11819202310303132353839404148111518202837535450[[#This Row],[اجمالي الفاتوره]]-Table11819202310303132353839404148111518202837535450[[#This Row],[الدفعات]]</f>
        <v>74.190000000002328</v>
      </c>
      <c r="O77" s="48"/>
    </row>
    <row r="78" spans="11:15" ht="21.75" customHeight="1" x14ac:dyDescent="0.3">
      <c r="K7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78" s="1">
        <f>M77+Table11819202310303132353839404148111518202837535450[[#This Row],[اجمالي الفاتوره]]-Table11819202310303132353839404148111518202837535450[[#This Row],[الدفعات]]</f>
        <v>74.190000000002328</v>
      </c>
      <c r="O78" s="48"/>
    </row>
    <row r="79" spans="11:15" ht="21.75" customHeight="1" x14ac:dyDescent="0.3">
      <c r="K7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79" s="1">
        <f>M78+Table11819202310303132353839404148111518202837535450[[#This Row],[اجمالي الفاتوره]]-Table11819202310303132353839404148111518202837535450[[#This Row],[الدفعات]]</f>
        <v>74.190000000002328</v>
      </c>
      <c r="O79" s="48"/>
    </row>
    <row r="80" spans="11:15" ht="21.75" customHeight="1" x14ac:dyDescent="0.3">
      <c r="K8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80" s="1">
        <f>M79+Table11819202310303132353839404148111518202837535450[[#This Row],[اجمالي الفاتوره]]-Table11819202310303132353839404148111518202837535450[[#This Row],[الدفعات]]</f>
        <v>74.190000000002328</v>
      </c>
      <c r="O80" s="48"/>
    </row>
    <row r="81" spans="11:15" ht="21.75" customHeight="1" x14ac:dyDescent="0.3">
      <c r="K8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81" s="1">
        <f>M80+Table11819202310303132353839404148111518202837535450[[#This Row],[اجمالي الفاتوره]]-Table11819202310303132353839404148111518202837535450[[#This Row],[الدفعات]]</f>
        <v>74.190000000002328</v>
      </c>
      <c r="O81" s="48"/>
    </row>
    <row r="82" spans="11:15" ht="21.75" customHeight="1" x14ac:dyDescent="0.3">
      <c r="K8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82" s="1">
        <f>M81+Table11819202310303132353839404148111518202837535450[[#This Row],[اجمالي الفاتوره]]-Table11819202310303132353839404148111518202837535450[[#This Row],[الدفعات]]</f>
        <v>74.190000000002328</v>
      </c>
      <c r="O82" s="48"/>
    </row>
    <row r="83" spans="11:15" ht="21.75" customHeight="1" x14ac:dyDescent="0.3">
      <c r="K8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83" s="1">
        <f>M82+Table11819202310303132353839404148111518202837535450[[#This Row],[اجمالي الفاتوره]]-Table11819202310303132353839404148111518202837535450[[#This Row],[الدفعات]]</f>
        <v>74.190000000002328</v>
      </c>
      <c r="O83" s="48"/>
    </row>
    <row r="84" spans="11:15" ht="21.75" customHeight="1" x14ac:dyDescent="0.3">
      <c r="K8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84" s="1">
        <f>M83+Table11819202310303132353839404148111518202837535450[[#This Row],[اجمالي الفاتوره]]-Table11819202310303132353839404148111518202837535450[[#This Row],[الدفعات]]</f>
        <v>74.190000000002328</v>
      </c>
      <c r="O84" s="48"/>
    </row>
    <row r="85" spans="11:15" ht="21.75" customHeight="1" x14ac:dyDescent="0.3">
      <c r="K8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85" s="1">
        <f>M84+Table11819202310303132353839404148111518202837535450[[#This Row],[اجمالي الفاتوره]]-Table11819202310303132353839404148111518202837535450[[#This Row],[الدفعات]]</f>
        <v>74.190000000002328</v>
      </c>
      <c r="O85" s="48"/>
    </row>
    <row r="86" spans="11:15" ht="21.75" customHeight="1" x14ac:dyDescent="0.3">
      <c r="K8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86" s="1">
        <f>M85+Table11819202310303132353839404148111518202837535450[[#This Row],[اجمالي الفاتوره]]-Table11819202310303132353839404148111518202837535450[[#This Row],[الدفعات]]</f>
        <v>74.190000000002328</v>
      </c>
      <c r="O86" s="48"/>
    </row>
    <row r="87" spans="11:15" ht="21.75" customHeight="1" x14ac:dyDescent="0.3">
      <c r="K8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87" s="1">
        <f>M86+Table11819202310303132353839404148111518202837535450[[#This Row],[اجمالي الفاتوره]]-Table11819202310303132353839404148111518202837535450[[#This Row],[الدفعات]]</f>
        <v>74.190000000002328</v>
      </c>
      <c r="O87" s="48"/>
    </row>
    <row r="88" spans="11:15" ht="21.75" customHeight="1" x14ac:dyDescent="0.3">
      <c r="K8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88" s="1">
        <f>M87+Table11819202310303132353839404148111518202837535450[[#This Row],[اجمالي الفاتوره]]-Table11819202310303132353839404148111518202837535450[[#This Row],[الدفعات]]</f>
        <v>74.190000000002328</v>
      </c>
      <c r="O88" s="48"/>
    </row>
    <row r="89" spans="11:15" ht="21.75" customHeight="1" x14ac:dyDescent="0.3">
      <c r="K8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89" s="1">
        <f>M88+Table11819202310303132353839404148111518202837535450[[#This Row],[اجمالي الفاتوره]]-Table11819202310303132353839404148111518202837535450[[#This Row],[الدفعات]]</f>
        <v>74.190000000002328</v>
      </c>
      <c r="O89" s="48"/>
    </row>
    <row r="90" spans="11:15" ht="21.75" customHeight="1" x14ac:dyDescent="0.3">
      <c r="K9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90" s="1">
        <f>M89+Table11819202310303132353839404148111518202837535450[[#This Row],[اجمالي الفاتوره]]-Table11819202310303132353839404148111518202837535450[[#This Row],[الدفعات]]</f>
        <v>74.190000000002328</v>
      </c>
      <c r="O90" s="48"/>
    </row>
    <row r="91" spans="11:15" ht="21.75" customHeight="1" x14ac:dyDescent="0.3">
      <c r="K9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91" s="1">
        <f>M90+Table11819202310303132353839404148111518202837535450[[#This Row],[اجمالي الفاتوره]]-Table11819202310303132353839404148111518202837535450[[#This Row],[الدفعات]]</f>
        <v>74.190000000002328</v>
      </c>
      <c r="O91" s="48"/>
    </row>
    <row r="92" spans="11:15" ht="21.75" customHeight="1" x14ac:dyDescent="0.3">
      <c r="K9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92" s="1">
        <f>M91+Table11819202310303132353839404148111518202837535450[[#This Row],[اجمالي الفاتوره]]-Table11819202310303132353839404148111518202837535450[[#This Row],[الدفعات]]</f>
        <v>74.190000000002328</v>
      </c>
      <c r="O92" s="48"/>
    </row>
    <row r="93" spans="11:15" ht="21.75" customHeight="1" x14ac:dyDescent="0.3">
      <c r="K9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93" s="1">
        <f>M92+Table11819202310303132353839404148111518202837535450[[#This Row],[اجمالي الفاتوره]]-Table11819202310303132353839404148111518202837535450[[#This Row],[الدفعات]]</f>
        <v>74.190000000002328</v>
      </c>
      <c r="O93" s="48"/>
    </row>
    <row r="94" spans="11:15" ht="21.75" customHeight="1" x14ac:dyDescent="0.3">
      <c r="K9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94" s="1">
        <f>M93+Table11819202310303132353839404148111518202837535450[[#This Row],[اجمالي الفاتوره]]-Table11819202310303132353839404148111518202837535450[[#This Row],[الدفعات]]</f>
        <v>74.190000000002328</v>
      </c>
      <c r="O94" s="48"/>
    </row>
    <row r="95" spans="11:15" ht="21.75" customHeight="1" x14ac:dyDescent="0.3">
      <c r="K9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95" s="1">
        <f>M94+Table11819202310303132353839404148111518202837535450[[#This Row],[اجمالي الفاتوره]]-Table11819202310303132353839404148111518202837535450[[#This Row],[الدفعات]]</f>
        <v>74.190000000002328</v>
      </c>
      <c r="O95" s="48"/>
    </row>
    <row r="96" spans="11:15" ht="21.75" customHeight="1" x14ac:dyDescent="0.3">
      <c r="K9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96" s="1">
        <f>M95+Table11819202310303132353839404148111518202837535450[[#This Row],[اجمالي الفاتوره]]-Table11819202310303132353839404148111518202837535450[[#This Row],[الدفعات]]</f>
        <v>74.190000000002328</v>
      </c>
      <c r="O96" s="48"/>
    </row>
    <row r="97" spans="11:15" ht="21.75" customHeight="1" x14ac:dyDescent="0.3">
      <c r="K9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97" s="1">
        <f>M96+Table11819202310303132353839404148111518202837535450[[#This Row],[اجمالي الفاتوره]]-Table11819202310303132353839404148111518202837535450[[#This Row],[الدفعات]]</f>
        <v>74.190000000002328</v>
      </c>
      <c r="O97" s="48"/>
    </row>
    <row r="98" spans="11:15" ht="21.75" customHeight="1" x14ac:dyDescent="0.3">
      <c r="K9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98" s="1">
        <f>M97+Table11819202310303132353839404148111518202837535450[[#This Row],[اجمالي الفاتوره]]-Table11819202310303132353839404148111518202837535450[[#This Row],[الدفعات]]</f>
        <v>74.190000000002328</v>
      </c>
      <c r="O98" s="48"/>
    </row>
    <row r="99" spans="11:15" ht="21.75" customHeight="1" x14ac:dyDescent="0.3">
      <c r="K9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99" s="1">
        <f>M98+Table11819202310303132353839404148111518202837535450[[#This Row],[اجمالي الفاتوره]]-Table11819202310303132353839404148111518202837535450[[#This Row],[الدفعات]]</f>
        <v>74.190000000002328</v>
      </c>
      <c r="O99" s="48"/>
    </row>
    <row r="100" spans="11:15" ht="21.75" customHeight="1" x14ac:dyDescent="0.3">
      <c r="K10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00" s="1">
        <f>M99+Table11819202310303132353839404148111518202837535450[[#This Row],[اجمالي الفاتوره]]-Table11819202310303132353839404148111518202837535450[[#This Row],[الدفعات]]</f>
        <v>74.190000000002328</v>
      </c>
      <c r="O100" s="48"/>
    </row>
    <row r="101" spans="11:15" ht="21.75" customHeight="1" x14ac:dyDescent="0.3">
      <c r="K10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01" s="1">
        <f>M100+Table11819202310303132353839404148111518202837535450[[#This Row],[اجمالي الفاتوره]]-Table11819202310303132353839404148111518202837535450[[#This Row],[الدفعات]]</f>
        <v>74.190000000002328</v>
      </c>
      <c r="O101" s="48"/>
    </row>
    <row r="102" spans="11:15" ht="21.75" customHeight="1" x14ac:dyDescent="0.3">
      <c r="K10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02" s="1">
        <f>M101+Table11819202310303132353839404148111518202837535450[[#This Row],[اجمالي الفاتوره]]-Table11819202310303132353839404148111518202837535450[[#This Row],[الدفعات]]</f>
        <v>74.190000000002328</v>
      </c>
      <c r="O102" s="48"/>
    </row>
    <row r="103" spans="11:15" ht="21.75" customHeight="1" x14ac:dyDescent="0.3">
      <c r="K10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03" s="1">
        <f>M102+Table11819202310303132353839404148111518202837535450[[#This Row],[اجمالي الفاتوره]]-Table11819202310303132353839404148111518202837535450[[#This Row],[الدفعات]]</f>
        <v>74.190000000002328</v>
      </c>
      <c r="O103" s="48"/>
    </row>
    <row r="104" spans="11:15" ht="21.75" customHeight="1" x14ac:dyDescent="0.3">
      <c r="K10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04" s="1">
        <f>M103+Table11819202310303132353839404148111518202837535450[[#This Row],[اجمالي الفاتوره]]-Table11819202310303132353839404148111518202837535450[[#This Row],[الدفعات]]</f>
        <v>74.190000000002328</v>
      </c>
      <c r="O104" s="48"/>
    </row>
    <row r="105" spans="11:15" ht="21.75" customHeight="1" x14ac:dyDescent="0.3">
      <c r="K10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05" s="1">
        <f>M104+Table11819202310303132353839404148111518202837535450[[#This Row],[اجمالي الفاتوره]]-Table11819202310303132353839404148111518202837535450[[#This Row],[الدفعات]]</f>
        <v>74.190000000002328</v>
      </c>
      <c r="O105" s="48"/>
    </row>
    <row r="106" spans="11:15" ht="21.75" customHeight="1" x14ac:dyDescent="0.3">
      <c r="K10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06" s="1">
        <f>M105+Table11819202310303132353839404148111518202837535450[[#This Row],[اجمالي الفاتوره]]-Table11819202310303132353839404148111518202837535450[[#This Row],[الدفعات]]</f>
        <v>74.190000000002328</v>
      </c>
      <c r="O106" s="48"/>
    </row>
    <row r="107" spans="11:15" ht="21.75" customHeight="1" x14ac:dyDescent="0.3">
      <c r="K10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07" s="1">
        <f>M106+Table11819202310303132353839404148111518202837535450[[#This Row],[اجمالي الفاتوره]]-Table11819202310303132353839404148111518202837535450[[#This Row],[الدفعات]]</f>
        <v>74.190000000002328</v>
      </c>
      <c r="O107" s="48"/>
    </row>
    <row r="108" spans="11:15" ht="21.75" customHeight="1" x14ac:dyDescent="0.3">
      <c r="K10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08" s="1">
        <f>M107+Table11819202310303132353839404148111518202837535450[[#This Row],[اجمالي الفاتوره]]-Table11819202310303132353839404148111518202837535450[[#This Row],[الدفعات]]</f>
        <v>74.190000000002328</v>
      </c>
      <c r="O108" s="48"/>
    </row>
    <row r="109" spans="11:15" ht="21.75" customHeight="1" x14ac:dyDescent="0.3">
      <c r="K10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09" s="1">
        <f>M108+Table11819202310303132353839404148111518202837535450[[#This Row],[اجمالي الفاتوره]]-Table11819202310303132353839404148111518202837535450[[#This Row],[الدفعات]]</f>
        <v>74.190000000002328</v>
      </c>
      <c r="O109" s="48"/>
    </row>
    <row r="110" spans="11:15" ht="21.75" customHeight="1" x14ac:dyDescent="0.3">
      <c r="K11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10" s="1">
        <f>M109+Table11819202310303132353839404148111518202837535450[[#This Row],[اجمالي الفاتوره]]-Table11819202310303132353839404148111518202837535450[[#This Row],[الدفعات]]</f>
        <v>74.190000000002328</v>
      </c>
      <c r="O110" s="48"/>
    </row>
    <row r="111" spans="11:15" ht="21.75" customHeight="1" x14ac:dyDescent="0.3">
      <c r="K11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11" s="1">
        <f>M110+Table11819202310303132353839404148111518202837535450[[#This Row],[اجمالي الفاتوره]]-Table11819202310303132353839404148111518202837535450[[#This Row],[الدفعات]]</f>
        <v>74.190000000002328</v>
      </c>
      <c r="O111" s="48"/>
    </row>
    <row r="112" spans="11:15" ht="21.75" customHeight="1" x14ac:dyDescent="0.3">
      <c r="K11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12" s="1">
        <f>M111+Table11819202310303132353839404148111518202837535450[[#This Row],[اجمالي الفاتوره]]-Table11819202310303132353839404148111518202837535450[[#This Row],[الدفعات]]</f>
        <v>74.190000000002328</v>
      </c>
      <c r="O112" s="48"/>
    </row>
    <row r="113" spans="11:15" ht="21.75" customHeight="1" x14ac:dyDescent="0.3">
      <c r="K11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13" s="1">
        <f>M112+Table11819202310303132353839404148111518202837535450[[#This Row],[اجمالي الفاتوره]]-Table11819202310303132353839404148111518202837535450[[#This Row],[الدفعات]]</f>
        <v>74.190000000002328</v>
      </c>
      <c r="O113" s="48"/>
    </row>
    <row r="114" spans="11:15" ht="21.75" customHeight="1" x14ac:dyDescent="0.3">
      <c r="K11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14" s="1">
        <f>M113+Table11819202310303132353839404148111518202837535450[[#This Row],[اجمالي الفاتوره]]-Table11819202310303132353839404148111518202837535450[[#This Row],[الدفعات]]</f>
        <v>74.190000000002328</v>
      </c>
      <c r="O114" s="48"/>
    </row>
    <row r="115" spans="11:15" ht="21.75" customHeight="1" x14ac:dyDescent="0.3">
      <c r="K11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15" s="1">
        <f>M114+Table11819202310303132353839404148111518202837535450[[#This Row],[اجمالي الفاتوره]]-Table11819202310303132353839404148111518202837535450[[#This Row],[الدفعات]]</f>
        <v>74.190000000002328</v>
      </c>
      <c r="O115" s="48"/>
    </row>
    <row r="116" spans="11:15" ht="21.75" customHeight="1" x14ac:dyDescent="0.3">
      <c r="K11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16" s="1">
        <f>M115+Table11819202310303132353839404148111518202837535450[[#This Row],[اجمالي الفاتوره]]-Table11819202310303132353839404148111518202837535450[[#This Row],[الدفعات]]</f>
        <v>74.190000000002328</v>
      </c>
      <c r="O116" s="48"/>
    </row>
    <row r="117" spans="11:15" ht="21.75" customHeight="1" x14ac:dyDescent="0.3">
      <c r="K11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17" s="1">
        <f>M116+Table11819202310303132353839404148111518202837535450[[#This Row],[اجمالي الفاتوره]]-Table11819202310303132353839404148111518202837535450[[#This Row],[الدفعات]]</f>
        <v>74.190000000002328</v>
      </c>
      <c r="O117" s="48"/>
    </row>
    <row r="118" spans="11:15" ht="21.75" customHeight="1" x14ac:dyDescent="0.3">
      <c r="K11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18" s="1">
        <f>M117+Table11819202310303132353839404148111518202837535450[[#This Row],[اجمالي الفاتوره]]-Table11819202310303132353839404148111518202837535450[[#This Row],[الدفعات]]</f>
        <v>74.190000000002328</v>
      </c>
      <c r="O118" s="48"/>
    </row>
    <row r="119" spans="11:15" ht="21.75" customHeight="1" x14ac:dyDescent="0.3">
      <c r="K11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19" s="1">
        <f>M118+Table11819202310303132353839404148111518202837535450[[#This Row],[اجمالي الفاتوره]]-Table11819202310303132353839404148111518202837535450[[#This Row],[الدفعات]]</f>
        <v>74.190000000002328</v>
      </c>
      <c r="O119" s="48"/>
    </row>
    <row r="120" spans="11:15" ht="21.75" customHeight="1" x14ac:dyDescent="0.3">
      <c r="K12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20" s="1">
        <f>M119+Table11819202310303132353839404148111518202837535450[[#This Row],[اجمالي الفاتوره]]-Table11819202310303132353839404148111518202837535450[[#This Row],[الدفعات]]</f>
        <v>74.190000000002328</v>
      </c>
      <c r="O120" s="48"/>
    </row>
    <row r="121" spans="11:15" ht="21.75" customHeight="1" x14ac:dyDescent="0.3">
      <c r="K12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21" s="1">
        <f>M120+Table11819202310303132353839404148111518202837535450[[#This Row],[اجمالي الفاتوره]]-Table11819202310303132353839404148111518202837535450[[#This Row],[الدفعات]]</f>
        <v>74.190000000002328</v>
      </c>
      <c r="O121" s="48"/>
    </row>
    <row r="122" spans="11:15" ht="21.75" customHeight="1" x14ac:dyDescent="0.3">
      <c r="K12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22" s="1">
        <f>M121+Table11819202310303132353839404148111518202837535450[[#This Row],[اجمالي الفاتوره]]-Table11819202310303132353839404148111518202837535450[[#This Row],[الدفعات]]</f>
        <v>74.190000000002328</v>
      </c>
      <c r="O122" s="48"/>
    </row>
    <row r="123" spans="11:15" ht="21.75" customHeight="1" x14ac:dyDescent="0.3">
      <c r="K12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23" s="1">
        <f>M122+Table11819202310303132353839404148111518202837535450[[#This Row],[اجمالي الفاتوره]]-Table11819202310303132353839404148111518202837535450[[#This Row],[الدفعات]]</f>
        <v>74.190000000002328</v>
      </c>
      <c r="O123" s="48"/>
    </row>
    <row r="124" spans="11:15" ht="21.75" customHeight="1" x14ac:dyDescent="0.3">
      <c r="K12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24" s="1">
        <f>M123+Table11819202310303132353839404148111518202837535450[[#This Row],[اجمالي الفاتوره]]-Table11819202310303132353839404148111518202837535450[[#This Row],[الدفعات]]</f>
        <v>74.190000000002328</v>
      </c>
      <c r="O124" s="48"/>
    </row>
    <row r="125" spans="11:15" ht="21.75" customHeight="1" x14ac:dyDescent="0.3">
      <c r="K12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25" s="1">
        <f>M124+Table11819202310303132353839404148111518202837535450[[#This Row],[اجمالي الفاتوره]]-Table11819202310303132353839404148111518202837535450[[#This Row],[الدفعات]]</f>
        <v>74.190000000002328</v>
      </c>
      <c r="O125" s="48"/>
    </row>
    <row r="126" spans="11:15" ht="21.75" customHeight="1" x14ac:dyDescent="0.3">
      <c r="K12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26" s="1">
        <f>M125+Table11819202310303132353839404148111518202837535450[[#This Row],[اجمالي الفاتوره]]-Table11819202310303132353839404148111518202837535450[[#This Row],[الدفعات]]</f>
        <v>74.190000000002328</v>
      </c>
      <c r="O126" s="48"/>
    </row>
    <row r="127" spans="11:15" ht="21.75" customHeight="1" x14ac:dyDescent="0.3">
      <c r="K12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27" s="1">
        <f>M126+Table11819202310303132353839404148111518202837535450[[#This Row],[اجمالي الفاتوره]]-Table11819202310303132353839404148111518202837535450[[#This Row],[الدفعات]]</f>
        <v>74.190000000002328</v>
      </c>
      <c r="O127" s="48"/>
    </row>
    <row r="128" spans="11:15" ht="21.75" customHeight="1" x14ac:dyDescent="0.3">
      <c r="K12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28" s="1">
        <f>M127+Table11819202310303132353839404148111518202837535450[[#This Row],[اجمالي الفاتوره]]-Table11819202310303132353839404148111518202837535450[[#This Row],[الدفعات]]</f>
        <v>74.190000000002328</v>
      </c>
      <c r="O128" s="48"/>
    </row>
    <row r="129" spans="11:15" ht="21.75" customHeight="1" x14ac:dyDescent="0.3">
      <c r="K12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29" s="1">
        <f>M128+Table11819202310303132353839404148111518202837535450[[#This Row],[اجمالي الفاتوره]]-Table11819202310303132353839404148111518202837535450[[#This Row],[الدفعات]]</f>
        <v>74.190000000002328</v>
      </c>
      <c r="O129" s="48"/>
    </row>
    <row r="130" spans="11:15" ht="21.75" customHeight="1" x14ac:dyDescent="0.3">
      <c r="K13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30" s="1">
        <f>M129+Table11819202310303132353839404148111518202837535450[[#This Row],[اجمالي الفاتوره]]-Table11819202310303132353839404148111518202837535450[[#This Row],[الدفعات]]</f>
        <v>74.190000000002328</v>
      </c>
      <c r="O130" s="48"/>
    </row>
    <row r="131" spans="11:15" ht="21.75" customHeight="1" x14ac:dyDescent="0.3">
      <c r="K13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31" s="1">
        <f>M130+Table11819202310303132353839404148111518202837535450[[#This Row],[اجمالي الفاتوره]]-Table11819202310303132353839404148111518202837535450[[#This Row],[الدفعات]]</f>
        <v>74.190000000002328</v>
      </c>
      <c r="O131" s="48"/>
    </row>
    <row r="132" spans="11:15" ht="21.75" customHeight="1" x14ac:dyDescent="0.3">
      <c r="K13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32" s="1">
        <f>M131+Table11819202310303132353839404148111518202837535450[[#This Row],[اجمالي الفاتوره]]-Table11819202310303132353839404148111518202837535450[[#This Row],[الدفعات]]</f>
        <v>74.190000000002328</v>
      </c>
      <c r="O132" s="48"/>
    </row>
    <row r="133" spans="11:15" ht="21.75" customHeight="1" x14ac:dyDescent="0.3">
      <c r="K13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33" s="1">
        <f>M132+Table11819202310303132353839404148111518202837535450[[#This Row],[اجمالي الفاتوره]]-Table11819202310303132353839404148111518202837535450[[#This Row],[الدفعات]]</f>
        <v>74.190000000002328</v>
      </c>
      <c r="O133" s="48"/>
    </row>
    <row r="134" spans="11:15" ht="21.75" customHeight="1" x14ac:dyDescent="0.3">
      <c r="K13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34" s="1">
        <f>M133+Table11819202310303132353839404148111518202837535450[[#This Row],[اجمالي الفاتوره]]-Table11819202310303132353839404148111518202837535450[[#This Row],[الدفعات]]</f>
        <v>74.190000000002328</v>
      </c>
      <c r="O134" s="48"/>
    </row>
    <row r="135" spans="11:15" ht="21.75" customHeight="1" x14ac:dyDescent="0.3">
      <c r="K13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35" s="1">
        <f>M134+Table11819202310303132353839404148111518202837535450[[#This Row],[اجمالي الفاتوره]]-Table11819202310303132353839404148111518202837535450[[#This Row],[الدفعات]]</f>
        <v>74.190000000002328</v>
      </c>
      <c r="O135" s="48"/>
    </row>
    <row r="136" spans="11:15" ht="21.75" customHeight="1" x14ac:dyDescent="0.3">
      <c r="K13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36" s="1">
        <f>M135+Table11819202310303132353839404148111518202837535450[[#This Row],[اجمالي الفاتوره]]-Table11819202310303132353839404148111518202837535450[[#This Row],[الدفعات]]</f>
        <v>74.190000000002328</v>
      </c>
      <c r="O136" s="48"/>
    </row>
    <row r="137" spans="11:15" ht="21.75" customHeight="1" x14ac:dyDescent="0.3">
      <c r="K13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37" s="1">
        <f>M136+Table11819202310303132353839404148111518202837535450[[#This Row],[اجمالي الفاتوره]]-Table11819202310303132353839404148111518202837535450[[#This Row],[الدفعات]]</f>
        <v>74.190000000002328</v>
      </c>
      <c r="O137" s="48"/>
    </row>
    <row r="138" spans="11:15" ht="21.75" customHeight="1" x14ac:dyDescent="0.3">
      <c r="K13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38" s="1">
        <f>M137+Table11819202310303132353839404148111518202837535450[[#This Row],[اجمالي الفاتوره]]-Table11819202310303132353839404148111518202837535450[[#This Row],[الدفعات]]</f>
        <v>74.190000000002328</v>
      </c>
      <c r="O138" s="48"/>
    </row>
    <row r="139" spans="11:15" ht="21.75" customHeight="1" x14ac:dyDescent="0.3">
      <c r="K13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39" s="1">
        <f>M138+Table11819202310303132353839404148111518202837535450[[#This Row],[اجمالي الفاتوره]]-Table11819202310303132353839404148111518202837535450[[#This Row],[الدفعات]]</f>
        <v>74.190000000002328</v>
      </c>
      <c r="O139" s="48"/>
    </row>
    <row r="140" spans="11:15" ht="21.75" customHeight="1" x14ac:dyDescent="0.3">
      <c r="K14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40" s="1">
        <f>M139+Table11819202310303132353839404148111518202837535450[[#This Row],[اجمالي الفاتوره]]-Table11819202310303132353839404148111518202837535450[[#This Row],[الدفعات]]</f>
        <v>74.190000000002328</v>
      </c>
      <c r="O140" s="48"/>
    </row>
    <row r="141" spans="11:15" ht="21.75" customHeight="1" x14ac:dyDescent="0.3">
      <c r="K14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41" s="1">
        <f>M140+Table11819202310303132353839404148111518202837535450[[#This Row],[اجمالي الفاتوره]]-Table11819202310303132353839404148111518202837535450[[#This Row],[الدفعات]]</f>
        <v>74.190000000002328</v>
      </c>
      <c r="O141" s="48"/>
    </row>
    <row r="142" spans="11:15" ht="21.75" customHeight="1" x14ac:dyDescent="0.3">
      <c r="K14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42" s="1">
        <f>M141+Table11819202310303132353839404148111518202837535450[[#This Row],[اجمالي الفاتوره]]-Table11819202310303132353839404148111518202837535450[[#This Row],[الدفعات]]</f>
        <v>74.190000000002328</v>
      </c>
      <c r="O142" s="48"/>
    </row>
    <row r="143" spans="11:15" ht="21.75" customHeight="1" x14ac:dyDescent="0.3">
      <c r="K14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43" s="1">
        <f>M142+Table11819202310303132353839404148111518202837535450[[#This Row],[اجمالي الفاتوره]]-Table11819202310303132353839404148111518202837535450[[#This Row],[الدفعات]]</f>
        <v>74.190000000002328</v>
      </c>
      <c r="O143" s="48"/>
    </row>
    <row r="144" spans="11:15" ht="21.75" customHeight="1" x14ac:dyDescent="0.3">
      <c r="K14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44" s="1">
        <f>M143+Table11819202310303132353839404148111518202837535450[[#This Row],[اجمالي الفاتوره]]-Table11819202310303132353839404148111518202837535450[[#This Row],[الدفعات]]</f>
        <v>74.190000000002328</v>
      </c>
      <c r="O144" s="48"/>
    </row>
    <row r="145" spans="11:15" ht="21.75" customHeight="1" x14ac:dyDescent="0.3">
      <c r="K14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45" s="1">
        <f>M144+Table11819202310303132353839404148111518202837535450[[#This Row],[اجمالي الفاتوره]]-Table11819202310303132353839404148111518202837535450[[#This Row],[الدفعات]]</f>
        <v>74.190000000002328</v>
      </c>
      <c r="O145" s="48"/>
    </row>
    <row r="146" spans="11:15" ht="21.75" customHeight="1" x14ac:dyDescent="0.3">
      <c r="K14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46" s="1">
        <f>M145+Table11819202310303132353839404148111518202837535450[[#This Row],[اجمالي الفاتوره]]-Table11819202310303132353839404148111518202837535450[[#This Row],[الدفعات]]</f>
        <v>74.190000000002328</v>
      </c>
      <c r="O146" s="48"/>
    </row>
    <row r="147" spans="11:15" ht="21.75" customHeight="1" x14ac:dyDescent="0.3">
      <c r="K14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47" s="1">
        <f>M146+Table11819202310303132353839404148111518202837535450[[#This Row],[اجمالي الفاتوره]]-Table11819202310303132353839404148111518202837535450[[#This Row],[الدفعات]]</f>
        <v>74.190000000002328</v>
      </c>
      <c r="O147" s="48"/>
    </row>
    <row r="148" spans="11:15" ht="21.75" customHeight="1" x14ac:dyDescent="0.3">
      <c r="K14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48" s="1">
        <f>M147+Table11819202310303132353839404148111518202837535450[[#This Row],[اجمالي الفاتوره]]-Table11819202310303132353839404148111518202837535450[[#This Row],[الدفعات]]</f>
        <v>74.190000000002328</v>
      </c>
      <c r="O148" s="48"/>
    </row>
    <row r="149" spans="11:15" ht="21.75" customHeight="1" x14ac:dyDescent="0.3">
      <c r="K14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49" s="1">
        <f>M148+Table11819202310303132353839404148111518202837535450[[#This Row],[اجمالي الفاتوره]]-Table11819202310303132353839404148111518202837535450[[#This Row],[الدفعات]]</f>
        <v>74.190000000002328</v>
      </c>
      <c r="O149" s="48"/>
    </row>
    <row r="150" spans="11:15" ht="21.75" customHeight="1" x14ac:dyDescent="0.3">
      <c r="K15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50" s="1">
        <f>M149+Table11819202310303132353839404148111518202837535450[[#This Row],[اجمالي الفاتوره]]-Table11819202310303132353839404148111518202837535450[[#This Row],[الدفعات]]</f>
        <v>74.190000000002328</v>
      </c>
      <c r="O150" s="48"/>
    </row>
    <row r="151" spans="11:15" ht="21.75" customHeight="1" x14ac:dyDescent="0.3">
      <c r="K15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51" s="1">
        <f>M150+Table11819202310303132353839404148111518202837535450[[#This Row],[اجمالي الفاتوره]]-Table11819202310303132353839404148111518202837535450[[#This Row],[الدفعات]]</f>
        <v>74.190000000002328</v>
      </c>
      <c r="O151" s="48"/>
    </row>
    <row r="152" spans="11:15" ht="21.75" customHeight="1" x14ac:dyDescent="0.3">
      <c r="K15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52" s="1">
        <f>M151+Table11819202310303132353839404148111518202837535450[[#This Row],[اجمالي الفاتوره]]-Table11819202310303132353839404148111518202837535450[[#This Row],[الدفعات]]</f>
        <v>74.190000000002328</v>
      </c>
      <c r="O152" s="48"/>
    </row>
    <row r="153" spans="11:15" ht="21.75" customHeight="1" x14ac:dyDescent="0.3">
      <c r="K15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53" s="1">
        <f>M152+Table11819202310303132353839404148111518202837535450[[#This Row],[اجمالي الفاتوره]]-Table11819202310303132353839404148111518202837535450[[#This Row],[الدفعات]]</f>
        <v>74.190000000002328</v>
      </c>
      <c r="O153" s="48"/>
    </row>
    <row r="154" spans="11:15" ht="21.75" customHeight="1" x14ac:dyDescent="0.3">
      <c r="K15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54" s="1">
        <f>M153+Table11819202310303132353839404148111518202837535450[[#This Row],[اجمالي الفاتوره]]-Table11819202310303132353839404148111518202837535450[[#This Row],[الدفعات]]</f>
        <v>74.190000000002328</v>
      </c>
      <c r="O154" s="48"/>
    </row>
    <row r="155" spans="11:15" ht="21.75" customHeight="1" x14ac:dyDescent="0.3">
      <c r="K15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55" s="1">
        <f>M154+Table11819202310303132353839404148111518202837535450[[#This Row],[اجمالي الفاتوره]]-Table11819202310303132353839404148111518202837535450[[#This Row],[الدفعات]]</f>
        <v>74.190000000002328</v>
      </c>
      <c r="O155" s="48"/>
    </row>
    <row r="156" spans="11:15" ht="21.75" customHeight="1" x14ac:dyDescent="0.3">
      <c r="K15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56" s="1">
        <f>M155+Table11819202310303132353839404148111518202837535450[[#This Row],[اجمالي الفاتوره]]-Table11819202310303132353839404148111518202837535450[[#This Row],[الدفعات]]</f>
        <v>74.190000000002328</v>
      </c>
      <c r="O156" s="48"/>
    </row>
    <row r="157" spans="11:15" ht="21.75" customHeight="1" x14ac:dyDescent="0.3">
      <c r="K15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57" s="1">
        <f>M156+Table11819202310303132353839404148111518202837535450[[#This Row],[اجمالي الفاتوره]]-Table11819202310303132353839404148111518202837535450[[#This Row],[الدفعات]]</f>
        <v>74.190000000002328</v>
      </c>
      <c r="O157" s="48"/>
    </row>
    <row r="158" spans="11:15" ht="21.75" customHeight="1" x14ac:dyDescent="0.3">
      <c r="K15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58" s="1">
        <f>M157+Table11819202310303132353839404148111518202837535450[[#This Row],[اجمالي الفاتوره]]-Table11819202310303132353839404148111518202837535450[[#This Row],[الدفعات]]</f>
        <v>74.190000000002328</v>
      </c>
      <c r="O158" s="48"/>
    </row>
    <row r="159" spans="11:15" ht="21.75" customHeight="1" x14ac:dyDescent="0.3">
      <c r="K15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59" s="1">
        <f>M158+Table11819202310303132353839404148111518202837535450[[#This Row],[اجمالي الفاتوره]]-Table11819202310303132353839404148111518202837535450[[#This Row],[الدفعات]]</f>
        <v>74.190000000002328</v>
      </c>
      <c r="O159" s="48"/>
    </row>
    <row r="160" spans="11:15" ht="21.75" customHeight="1" x14ac:dyDescent="0.3">
      <c r="K16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60" s="1">
        <f>M159+Table11819202310303132353839404148111518202837535450[[#This Row],[اجمالي الفاتوره]]-Table11819202310303132353839404148111518202837535450[[#This Row],[الدفعات]]</f>
        <v>74.190000000002328</v>
      </c>
      <c r="O160" s="48"/>
    </row>
    <row r="161" spans="11:15" ht="21.75" customHeight="1" x14ac:dyDescent="0.3">
      <c r="K16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61" s="1">
        <f>M160+Table11819202310303132353839404148111518202837535450[[#This Row],[اجمالي الفاتوره]]-Table11819202310303132353839404148111518202837535450[[#This Row],[الدفعات]]</f>
        <v>74.190000000002328</v>
      </c>
      <c r="O161" s="48"/>
    </row>
    <row r="162" spans="11:15" ht="21.75" customHeight="1" x14ac:dyDescent="0.3">
      <c r="K16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62" s="1">
        <f>M161+Table11819202310303132353839404148111518202837535450[[#This Row],[اجمالي الفاتوره]]-Table11819202310303132353839404148111518202837535450[[#This Row],[الدفعات]]</f>
        <v>74.190000000002328</v>
      </c>
      <c r="O162" s="48"/>
    </row>
    <row r="163" spans="11:15" ht="21.75" customHeight="1" x14ac:dyDescent="0.3">
      <c r="K16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63" s="1">
        <f>M162+Table11819202310303132353839404148111518202837535450[[#This Row],[اجمالي الفاتوره]]-Table11819202310303132353839404148111518202837535450[[#This Row],[الدفعات]]</f>
        <v>74.190000000002328</v>
      </c>
      <c r="O163" s="48"/>
    </row>
    <row r="164" spans="11:15" ht="21.75" customHeight="1" x14ac:dyDescent="0.3">
      <c r="K16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64" s="1">
        <f>M163+Table11819202310303132353839404148111518202837535450[[#This Row],[اجمالي الفاتوره]]-Table11819202310303132353839404148111518202837535450[[#This Row],[الدفعات]]</f>
        <v>74.190000000002328</v>
      </c>
      <c r="O164" s="48"/>
    </row>
    <row r="165" spans="11:15" ht="21.75" customHeight="1" x14ac:dyDescent="0.3">
      <c r="K16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65" s="1">
        <f>M164+Table11819202310303132353839404148111518202837535450[[#This Row],[اجمالي الفاتوره]]-Table11819202310303132353839404148111518202837535450[[#This Row],[الدفعات]]</f>
        <v>74.190000000002328</v>
      </c>
      <c r="O165" s="48"/>
    </row>
    <row r="166" spans="11:15" ht="21.75" customHeight="1" x14ac:dyDescent="0.3">
      <c r="K16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66" s="1">
        <f>M165+Table11819202310303132353839404148111518202837535450[[#This Row],[اجمالي الفاتوره]]-Table11819202310303132353839404148111518202837535450[[#This Row],[الدفعات]]</f>
        <v>74.190000000002328</v>
      </c>
      <c r="O166" s="48"/>
    </row>
    <row r="167" spans="11:15" ht="21.75" customHeight="1" x14ac:dyDescent="0.3">
      <c r="K16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67" s="1">
        <f>M166+Table11819202310303132353839404148111518202837535450[[#This Row],[اجمالي الفاتوره]]-Table11819202310303132353839404148111518202837535450[[#This Row],[الدفعات]]</f>
        <v>74.190000000002328</v>
      </c>
      <c r="O167" s="48"/>
    </row>
    <row r="168" spans="11:15" ht="21.75" customHeight="1" x14ac:dyDescent="0.3">
      <c r="K16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68" s="1">
        <f>M167+Table11819202310303132353839404148111518202837535450[[#This Row],[اجمالي الفاتوره]]-Table11819202310303132353839404148111518202837535450[[#This Row],[الدفعات]]</f>
        <v>74.190000000002328</v>
      </c>
      <c r="O168" s="48"/>
    </row>
    <row r="169" spans="11:15" ht="21.75" customHeight="1" x14ac:dyDescent="0.3">
      <c r="K16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69" s="1">
        <f>M168+Table11819202310303132353839404148111518202837535450[[#This Row],[اجمالي الفاتوره]]-Table11819202310303132353839404148111518202837535450[[#This Row],[الدفعات]]</f>
        <v>74.190000000002328</v>
      </c>
      <c r="O169" s="48"/>
    </row>
    <row r="170" spans="11:15" ht="21.75" customHeight="1" x14ac:dyDescent="0.3">
      <c r="K17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70" s="1">
        <f>M169+Table11819202310303132353839404148111518202837535450[[#This Row],[اجمالي الفاتوره]]-Table11819202310303132353839404148111518202837535450[[#This Row],[الدفعات]]</f>
        <v>74.190000000002328</v>
      </c>
      <c r="O170" s="48"/>
    </row>
    <row r="171" spans="11:15" ht="21.75" customHeight="1" x14ac:dyDescent="0.3">
      <c r="K17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71" s="1">
        <f>M170+Table11819202310303132353839404148111518202837535450[[#This Row],[اجمالي الفاتوره]]-Table11819202310303132353839404148111518202837535450[[#This Row],[الدفعات]]</f>
        <v>74.190000000002328</v>
      </c>
      <c r="O171" s="48"/>
    </row>
    <row r="172" spans="11:15" ht="21.75" customHeight="1" x14ac:dyDescent="0.3">
      <c r="K17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72" s="1">
        <f>M171+Table11819202310303132353839404148111518202837535450[[#This Row],[اجمالي الفاتوره]]-Table11819202310303132353839404148111518202837535450[[#This Row],[الدفعات]]</f>
        <v>74.190000000002328</v>
      </c>
      <c r="O172" s="48"/>
    </row>
    <row r="173" spans="11:15" ht="21.75" customHeight="1" x14ac:dyDescent="0.3">
      <c r="K17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73" s="1">
        <f>M172+Table11819202310303132353839404148111518202837535450[[#This Row],[اجمالي الفاتوره]]-Table11819202310303132353839404148111518202837535450[[#This Row],[الدفعات]]</f>
        <v>74.190000000002328</v>
      </c>
      <c r="O173" s="48"/>
    </row>
    <row r="174" spans="11:15" ht="21.75" customHeight="1" x14ac:dyDescent="0.3">
      <c r="K17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74" s="1">
        <f>M173+Table11819202310303132353839404148111518202837535450[[#This Row],[اجمالي الفاتوره]]-Table11819202310303132353839404148111518202837535450[[#This Row],[الدفعات]]</f>
        <v>74.190000000002328</v>
      </c>
      <c r="O174" s="48"/>
    </row>
    <row r="175" spans="11:15" ht="21.75" customHeight="1" x14ac:dyDescent="0.3">
      <c r="K17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75" s="1">
        <f>M174+Table11819202310303132353839404148111518202837535450[[#This Row],[اجمالي الفاتوره]]-Table11819202310303132353839404148111518202837535450[[#This Row],[الدفعات]]</f>
        <v>74.190000000002328</v>
      </c>
      <c r="O175" s="48"/>
    </row>
    <row r="176" spans="11:15" ht="21.75" customHeight="1" x14ac:dyDescent="0.3">
      <c r="K17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76" s="1">
        <f>M175+Table11819202310303132353839404148111518202837535450[[#This Row],[اجمالي الفاتوره]]-Table11819202310303132353839404148111518202837535450[[#This Row],[الدفعات]]</f>
        <v>74.190000000002328</v>
      </c>
      <c r="O176" s="48"/>
    </row>
    <row r="177" spans="11:15" ht="21.75" customHeight="1" x14ac:dyDescent="0.3">
      <c r="K17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77" s="1">
        <f>M176+Table11819202310303132353839404148111518202837535450[[#This Row],[اجمالي الفاتوره]]-Table11819202310303132353839404148111518202837535450[[#This Row],[الدفعات]]</f>
        <v>74.190000000002328</v>
      </c>
      <c r="O177" s="48"/>
    </row>
    <row r="178" spans="11:15" ht="21.75" customHeight="1" x14ac:dyDescent="0.3">
      <c r="K17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78" s="1">
        <f>M177+Table11819202310303132353839404148111518202837535450[[#This Row],[اجمالي الفاتوره]]-Table11819202310303132353839404148111518202837535450[[#This Row],[الدفعات]]</f>
        <v>74.190000000002328</v>
      </c>
      <c r="O178" s="48"/>
    </row>
    <row r="179" spans="11:15" ht="21.75" customHeight="1" x14ac:dyDescent="0.3">
      <c r="K17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79" s="1">
        <f>M178+Table11819202310303132353839404148111518202837535450[[#This Row],[اجمالي الفاتوره]]-Table11819202310303132353839404148111518202837535450[[#This Row],[الدفعات]]</f>
        <v>74.190000000002328</v>
      </c>
      <c r="O179" s="48"/>
    </row>
    <row r="180" spans="11:15" ht="21.75" customHeight="1" x14ac:dyDescent="0.3">
      <c r="K18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80" s="1">
        <f>M179+Table11819202310303132353839404148111518202837535450[[#This Row],[اجمالي الفاتوره]]-Table11819202310303132353839404148111518202837535450[[#This Row],[الدفعات]]</f>
        <v>74.190000000002328</v>
      </c>
      <c r="O180" s="48"/>
    </row>
    <row r="181" spans="11:15" ht="21.75" customHeight="1" x14ac:dyDescent="0.3">
      <c r="K18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81" s="1">
        <f>M180+Table11819202310303132353839404148111518202837535450[[#This Row],[اجمالي الفاتوره]]-Table11819202310303132353839404148111518202837535450[[#This Row],[الدفعات]]</f>
        <v>74.190000000002328</v>
      </c>
      <c r="O181" s="48"/>
    </row>
    <row r="182" spans="11:15" ht="21.75" customHeight="1" x14ac:dyDescent="0.3">
      <c r="K18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82" s="1">
        <f>M181+Table11819202310303132353839404148111518202837535450[[#This Row],[اجمالي الفاتوره]]-Table11819202310303132353839404148111518202837535450[[#This Row],[الدفعات]]</f>
        <v>74.190000000002328</v>
      </c>
      <c r="O182" s="48"/>
    </row>
    <row r="183" spans="11:15" ht="21.75" customHeight="1" x14ac:dyDescent="0.3">
      <c r="K18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83" s="1">
        <f>M182+Table11819202310303132353839404148111518202837535450[[#This Row],[اجمالي الفاتوره]]-Table11819202310303132353839404148111518202837535450[[#This Row],[الدفعات]]</f>
        <v>74.190000000002328</v>
      </c>
      <c r="O183" s="48"/>
    </row>
    <row r="184" spans="11:15" ht="21.75" customHeight="1" x14ac:dyDescent="0.3">
      <c r="K18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84" s="1">
        <f>M183+Table11819202310303132353839404148111518202837535450[[#This Row],[اجمالي الفاتوره]]-Table11819202310303132353839404148111518202837535450[[#This Row],[الدفعات]]</f>
        <v>74.190000000002328</v>
      </c>
      <c r="O184" s="48"/>
    </row>
    <row r="185" spans="11:15" ht="21.75" customHeight="1" x14ac:dyDescent="0.3">
      <c r="K18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85" s="1">
        <f>M184+Table11819202310303132353839404148111518202837535450[[#This Row],[اجمالي الفاتوره]]-Table11819202310303132353839404148111518202837535450[[#This Row],[الدفعات]]</f>
        <v>74.190000000002328</v>
      </c>
      <c r="O185" s="48"/>
    </row>
    <row r="186" spans="11:15" ht="21.75" customHeight="1" x14ac:dyDescent="0.3">
      <c r="K18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86" s="1">
        <f>M185+Table11819202310303132353839404148111518202837535450[[#This Row],[اجمالي الفاتوره]]-Table11819202310303132353839404148111518202837535450[[#This Row],[الدفعات]]</f>
        <v>74.190000000002328</v>
      </c>
      <c r="O186" s="48"/>
    </row>
    <row r="187" spans="11:15" ht="21.75" customHeight="1" x14ac:dyDescent="0.3">
      <c r="K18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87" s="1">
        <f>M186+Table11819202310303132353839404148111518202837535450[[#This Row],[اجمالي الفاتوره]]-Table11819202310303132353839404148111518202837535450[[#This Row],[الدفعات]]</f>
        <v>74.190000000002328</v>
      </c>
      <c r="O187" s="48"/>
    </row>
    <row r="188" spans="11:15" ht="21.75" customHeight="1" x14ac:dyDescent="0.3">
      <c r="K18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88" s="1">
        <f>M187+Table11819202310303132353839404148111518202837535450[[#This Row],[اجمالي الفاتوره]]-Table11819202310303132353839404148111518202837535450[[#This Row],[الدفعات]]</f>
        <v>74.190000000002328</v>
      </c>
      <c r="O188" s="48"/>
    </row>
    <row r="189" spans="11:15" ht="21.75" customHeight="1" x14ac:dyDescent="0.3">
      <c r="K18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89" s="1">
        <f>M188+Table11819202310303132353839404148111518202837535450[[#This Row],[اجمالي الفاتوره]]-Table11819202310303132353839404148111518202837535450[[#This Row],[الدفعات]]</f>
        <v>74.190000000002328</v>
      </c>
      <c r="O189" s="48"/>
    </row>
    <row r="190" spans="11:15" ht="21.75" customHeight="1" x14ac:dyDescent="0.3">
      <c r="K19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90" s="1">
        <f>M189+Table11819202310303132353839404148111518202837535450[[#This Row],[اجمالي الفاتوره]]-Table11819202310303132353839404148111518202837535450[[#This Row],[الدفعات]]</f>
        <v>74.190000000002328</v>
      </c>
      <c r="O190" s="48"/>
    </row>
    <row r="191" spans="11:15" ht="21.75" customHeight="1" x14ac:dyDescent="0.3">
      <c r="K19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91" s="1">
        <f>M190+Table11819202310303132353839404148111518202837535450[[#This Row],[اجمالي الفاتوره]]-Table11819202310303132353839404148111518202837535450[[#This Row],[الدفعات]]</f>
        <v>74.190000000002328</v>
      </c>
      <c r="O191" s="48"/>
    </row>
    <row r="192" spans="11:15" ht="21.75" customHeight="1" x14ac:dyDescent="0.3">
      <c r="K19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92" s="1">
        <f>M191+Table11819202310303132353839404148111518202837535450[[#This Row],[اجمالي الفاتوره]]-Table11819202310303132353839404148111518202837535450[[#This Row],[الدفعات]]</f>
        <v>74.190000000002328</v>
      </c>
      <c r="O192" s="48"/>
    </row>
    <row r="193" spans="11:15" ht="21.75" customHeight="1" x14ac:dyDescent="0.3">
      <c r="K19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93" s="1">
        <f>M192+Table11819202310303132353839404148111518202837535450[[#This Row],[اجمالي الفاتوره]]-Table11819202310303132353839404148111518202837535450[[#This Row],[الدفعات]]</f>
        <v>74.190000000002328</v>
      </c>
      <c r="O193" s="48"/>
    </row>
    <row r="194" spans="11:15" ht="21.75" customHeight="1" x14ac:dyDescent="0.3">
      <c r="K19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94" s="1">
        <f>M193+Table11819202310303132353839404148111518202837535450[[#This Row],[اجمالي الفاتوره]]-Table11819202310303132353839404148111518202837535450[[#This Row],[الدفعات]]</f>
        <v>74.190000000002328</v>
      </c>
      <c r="O194" s="48"/>
    </row>
    <row r="195" spans="11:15" ht="21.75" customHeight="1" x14ac:dyDescent="0.3">
      <c r="K19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95" s="1">
        <f>M194+Table11819202310303132353839404148111518202837535450[[#This Row],[اجمالي الفاتوره]]-Table11819202310303132353839404148111518202837535450[[#This Row],[الدفعات]]</f>
        <v>74.190000000002328</v>
      </c>
      <c r="O195" s="48"/>
    </row>
    <row r="196" spans="11:15" ht="21.75" customHeight="1" x14ac:dyDescent="0.3">
      <c r="K19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96" s="1">
        <f>M195+Table11819202310303132353839404148111518202837535450[[#This Row],[اجمالي الفاتوره]]-Table11819202310303132353839404148111518202837535450[[#This Row],[الدفعات]]</f>
        <v>74.190000000002328</v>
      </c>
      <c r="O196" s="48"/>
    </row>
    <row r="197" spans="11:15" ht="21.75" customHeight="1" x14ac:dyDescent="0.3">
      <c r="K19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97" s="1">
        <f>M196+Table11819202310303132353839404148111518202837535450[[#This Row],[اجمالي الفاتوره]]-Table11819202310303132353839404148111518202837535450[[#This Row],[الدفعات]]</f>
        <v>74.190000000002328</v>
      </c>
      <c r="O197" s="48"/>
    </row>
    <row r="198" spans="11:15" ht="21.75" customHeight="1" x14ac:dyDescent="0.3">
      <c r="K19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98" s="1">
        <f>M197+Table11819202310303132353839404148111518202837535450[[#This Row],[اجمالي الفاتوره]]-Table11819202310303132353839404148111518202837535450[[#This Row],[الدفعات]]</f>
        <v>74.190000000002328</v>
      </c>
      <c r="O198" s="48"/>
    </row>
    <row r="199" spans="11:15" ht="21.75" customHeight="1" x14ac:dyDescent="0.3">
      <c r="K19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199" s="1">
        <f>M198+Table11819202310303132353839404148111518202837535450[[#This Row],[اجمالي الفاتوره]]-Table11819202310303132353839404148111518202837535450[[#This Row],[الدفعات]]</f>
        <v>74.190000000002328</v>
      </c>
      <c r="O199" s="48"/>
    </row>
    <row r="200" spans="11:15" ht="21.75" customHeight="1" x14ac:dyDescent="0.3">
      <c r="K20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00" s="1">
        <f>M199+Table11819202310303132353839404148111518202837535450[[#This Row],[اجمالي الفاتوره]]-Table11819202310303132353839404148111518202837535450[[#This Row],[الدفعات]]</f>
        <v>74.190000000002328</v>
      </c>
      <c r="O200" s="48"/>
    </row>
    <row r="201" spans="11:15" ht="21.75" customHeight="1" x14ac:dyDescent="0.3">
      <c r="K20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01" s="1">
        <f>M200+Table11819202310303132353839404148111518202837535450[[#This Row],[اجمالي الفاتوره]]-Table11819202310303132353839404148111518202837535450[[#This Row],[الدفعات]]</f>
        <v>74.190000000002328</v>
      </c>
      <c r="O201" s="48"/>
    </row>
    <row r="202" spans="11:15" ht="21.75" customHeight="1" x14ac:dyDescent="0.3">
      <c r="K20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02" s="1">
        <f>M201+Table11819202310303132353839404148111518202837535450[[#This Row],[اجمالي الفاتوره]]-Table11819202310303132353839404148111518202837535450[[#This Row],[الدفعات]]</f>
        <v>74.190000000002328</v>
      </c>
      <c r="O202" s="48"/>
    </row>
    <row r="203" spans="11:15" ht="21.75" customHeight="1" x14ac:dyDescent="0.3">
      <c r="K20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03" s="1">
        <f>M202+Table11819202310303132353839404148111518202837535450[[#This Row],[اجمالي الفاتوره]]-Table11819202310303132353839404148111518202837535450[[#This Row],[الدفعات]]</f>
        <v>74.190000000002328</v>
      </c>
      <c r="O203" s="48"/>
    </row>
    <row r="204" spans="11:15" ht="21.75" customHeight="1" x14ac:dyDescent="0.3">
      <c r="K20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04" s="1">
        <f>M203+Table11819202310303132353839404148111518202837535450[[#This Row],[اجمالي الفاتوره]]-Table11819202310303132353839404148111518202837535450[[#This Row],[الدفعات]]</f>
        <v>74.190000000002328</v>
      </c>
      <c r="O204" s="48"/>
    </row>
    <row r="205" spans="11:15" ht="21.75" customHeight="1" x14ac:dyDescent="0.3">
      <c r="K20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05" s="1">
        <f>M204+Table11819202310303132353839404148111518202837535450[[#This Row],[اجمالي الفاتوره]]-Table11819202310303132353839404148111518202837535450[[#This Row],[الدفعات]]</f>
        <v>74.190000000002328</v>
      </c>
      <c r="O205" s="48"/>
    </row>
    <row r="206" spans="11:15" ht="21.75" customHeight="1" x14ac:dyDescent="0.3">
      <c r="K20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06" s="1">
        <f>M205+Table11819202310303132353839404148111518202837535450[[#This Row],[اجمالي الفاتوره]]-Table11819202310303132353839404148111518202837535450[[#This Row],[الدفعات]]</f>
        <v>74.190000000002328</v>
      </c>
      <c r="O206" s="48"/>
    </row>
    <row r="207" spans="11:15" ht="21.75" customHeight="1" x14ac:dyDescent="0.3">
      <c r="K20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07" s="1">
        <f>M206+Table11819202310303132353839404148111518202837535450[[#This Row],[اجمالي الفاتوره]]-Table11819202310303132353839404148111518202837535450[[#This Row],[الدفعات]]</f>
        <v>74.190000000002328</v>
      </c>
      <c r="O207" s="48"/>
    </row>
    <row r="208" spans="11:15" ht="21.75" customHeight="1" x14ac:dyDescent="0.3">
      <c r="K20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08" s="1">
        <f>M207+Table11819202310303132353839404148111518202837535450[[#This Row],[اجمالي الفاتوره]]-Table11819202310303132353839404148111518202837535450[[#This Row],[الدفعات]]</f>
        <v>74.190000000002328</v>
      </c>
      <c r="O208" s="48"/>
    </row>
    <row r="209" spans="11:15" ht="21.75" customHeight="1" x14ac:dyDescent="0.3">
      <c r="K20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09" s="1">
        <f>M208+Table11819202310303132353839404148111518202837535450[[#This Row],[اجمالي الفاتوره]]-Table11819202310303132353839404148111518202837535450[[#This Row],[الدفعات]]</f>
        <v>74.190000000002328</v>
      </c>
      <c r="O209" s="48"/>
    </row>
    <row r="210" spans="11:15" ht="21.75" customHeight="1" x14ac:dyDescent="0.3">
      <c r="K21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10" s="1">
        <f>M209+Table11819202310303132353839404148111518202837535450[[#This Row],[اجمالي الفاتوره]]-Table11819202310303132353839404148111518202837535450[[#This Row],[الدفعات]]</f>
        <v>74.190000000002328</v>
      </c>
      <c r="O210" s="48"/>
    </row>
    <row r="211" spans="11:15" ht="21.75" customHeight="1" x14ac:dyDescent="0.3">
      <c r="K21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11" s="1">
        <f>M210+Table11819202310303132353839404148111518202837535450[[#This Row],[اجمالي الفاتوره]]-Table11819202310303132353839404148111518202837535450[[#This Row],[الدفعات]]</f>
        <v>74.190000000002328</v>
      </c>
      <c r="O211" s="48"/>
    </row>
    <row r="212" spans="11:15" ht="21.75" customHeight="1" x14ac:dyDescent="0.3">
      <c r="K21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12" s="1">
        <f>M211+Table11819202310303132353839404148111518202837535450[[#This Row],[اجمالي الفاتوره]]-Table11819202310303132353839404148111518202837535450[[#This Row],[الدفعات]]</f>
        <v>74.190000000002328</v>
      </c>
      <c r="O212" s="48"/>
    </row>
    <row r="213" spans="11:15" ht="21.75" customHeight="1" x14ac:dyDescent="0.3">
      <c r="K21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13" s="1">
        <f>M212+Table11819202310303132353839404148111518202837535450[[#This Row],[اجمالي الفاتوره]]-Table11819202310303132353839404148111518202837535450[[#This Row],[الدفعات]]</f>
        <v>74.190000000002328</v>
      </c>
      <c r="O213" s="48"/>
    </row>
    <row r="214" spans="11:15" ht="21.75" customHeight="1" x14ac:dyDescent="0.3">
      <c r="K21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14" s="1">
        <f>M213+Table11819202310303132353839404148111518202837535450[[#This Row],[اجمالي الفاتوره]]-Table11819202310303132353839404148111518202837535450[[#This Row],[الدفعات]]</f>
        <v>74.190000000002328</v>
      </c>
      <c r="O214" s="48"/>
    </row>
    <row r="215" spans="11:15" ht="21.75" customHeight="1" x14ac:dyDescent="0.3">
      <c r="K21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15" s="1">
        <f>M214+Table11819202310303132353839404148111518202837535450[[#This Row],[اجمالي الفاتوره]]-Table11819202310303132353839404148111518202837535450[[#This Row],[الدفعات]]</f>
        <v>74.190000000002328</v>
      </c>
      <c r="O215" s="48"/>
    </row>
    <row r="216" spans="11:15" ht="21.75" customHeight="1" x14ac:dyDescent="0.3">
      <c r="K21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16" s="1">
        <f>M215+Table11819202310303132353839404148111518202837535450[[#This Row],[اجمالي الفاتوره]]-Table11819202310303132353839404148111518202837535450[[#This Row],[الدفعات]]</f>
        <v>74.190000000002328</v>
      </c>
      <c r="O216" s="48"/>
    </row>
    <row r="217" spans="11:15" ht="21.75" customHeight="1" x14ac:dyDescent="0.3">
      <c r="K21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17" s="1">
        <f>M216+Table11819202310303132353839404148111518202837535450[[#This Row],[اجمالي الفاتوره]]-Table11819202310303132353839404148111518202837535450[[#This Row],[الدفعات]]</f>
        <v>74.190000000002328</v>
      </c>
      <c r="O217" s="48"/>
    </row>
    <row r="218" spans="11:15" ht="21.75" customHeight="1" x14ac:dyDescent="0.3">
      <c r="K21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18" s="1">
        <f>M217+Table11819202310303132353839404148111518202837535450[[#This Row],[اجمالي الفاتوره]]-Table11819202310303132353839404148111518202837535450[[#This Row],[الدفعات]]</f>
        <v>74.190000000002328</v>
      </c>
      <c r="O218" s="48"/>
    </row>
    <row r="219" spans="11:15" ht="21.75" customHeight="1" x14ac:dyDescent="0.3">
      <c r="K21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19" s="1">
        <f>M218+Table11819202310303132353839404148111518202837535450[[#This Row],[اجمالي الفاتوره]]-Table11819202310303132353839404148111518202837535450[[#This Row],[الدفعات]]</f>
        <v>74.190000000002328</v>
      </c>
      <c r="O219" s="48"/>
    </row>
    <row r="220" spans="11:15" ht="21.75" customHeight="1" x14ac:dyDescent="0.3">
      <c r="K22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20" s="1">
        <f>M219+Table11819202310303132353839404148111518202837535450[[#This Row],[اجمالي الفاتوره]]-Table11819202310303132353839404148111518202837535450[[#This Row],[الدفعات]]</f>
        <v>74.190000000002328</v>
      </c>
      <c r="O220" s="48"/>
    </row>
    <row r="221" spans="11:15" ht="21.75" customHeight="1" x14ac:dyDescent="0.3">
      <c r="K22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21" s="1">
        <f>M220+Table11819202310303132353839404148111518202837535450[[#This Row],[اجمالي الفاتوره]]-Table11819202310303132353839404148111518202837535450[[#This Row],[الدفعات]]</f>
        <v>74.190000000002328</v>
      </c>
      <c r="O221" s="48"/>
    </row>
    <row r="222" spans="11:15" ht="21.75" customHeight="1" x14ac:dyDescent="0.3">
      <c r="K22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22" s="1">
        <f>M221+Table11819202310303132353839404148111518202837535450[[#This Row],[اجمالي الفاتوره]]-Table11819202310303132353839404148111518202837535450[[#This Row],[الدفعات]]</f>
        <v>74.190000000002328</v>
      </c>
      <c r="O222" s="48"/>
    </row>
    <row r="223" spans="11:15" ht="21.75" customHeight="1" x14ac:dyDescent="0.3">
      <c r="K22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23" s="1">
        <f>M222+Table11819202310303132353839404148111518202837535450[[#This Row],[اجمالي الفاتوره]]-Table11819202310303132353839404148111518202837535450[[#This Row],[الدفعات]]</f>
        <v>74.190000000002328</v>
      </c>
      <c r="O223" s="48"/>
    </row>
    <row r="224" spans="11:15" ht="21.75" customHeight="1" x14ac:dyDescent="0.3">
      <c r="K22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24" s="1">
        <f>M223+Table11819202310303132353839404148111518202837535450[[#This Row],[اجمالي الفاتوره]]-Table11819202310303132353839404148111518202837535450[[#This Row],[الدفعات]]</f>
        <v>74.190000000002328</v>
      </c>
      <c r="O224" s="48"/>
    </row>
    <row r="225" spans="11:15" ht="21.75" customHeight="1" x14ac:dyDescent="0.3">
      <c r="K22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25" s="1">
        <f>M224+Table11819202310303132353839404148111518202837535450[[#This Row],[اجمالي الفاتوره]]-Table11819202310303132353839404148111518202837535450[[#This Row],[الدفعات]]</f>
        <v>74.190000000002328</v>
      </c>
      <c r="O225" s="48"/>
    </row>
    <row r="226" spans="11:15" ht="21.75" customHeight="1" x14ac:dyDescent="0.3">
      <c r="K22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26" s="1">
        <f>M225+Table11819202310303132353839404148111518202837535450[[#This Row],[اجمالي الفاتوره]]-Table11819202310303132353839404148111518202837535450[[#This Row],[الدفعات]]</f>
        <v>74.190000000002328</v>
      </c>
      <c r="O226" s="48"/>
    </row>
    <row r="227" spans="11:15" ht="21.75" customHeight="1" x14ac:dyDescent="0.3">
      <c r="K22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27" s="1">
        <f>M226+Table11819202310303132353839404148111518202837535450[[#This Row],[اجمالي الفاتوره]]-Table11819202310303132353839404148111518202837535450[[#This Row],[الدفعات]]</f>
        <v>74.190000000002328</v>
      </c>
      <c r="O227" s="48"/>
    </row>
    <row r="228" spans="11:15" ht="21.75" customHeight="1" x14ac:dyDescent="0.3">
      <c r="K22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28" s="1">
        <f>M227+Table11819202310303132353839404148111518202837535450[[#This Row],[اجمالي الفاتوره]]-Table11819202310303132353839404148111518202837535450[[#This Row],[الدفعات]]</f>
        <v>74.190000000002328</v>
      </c>
      <c r="O228" s="48"/>
    </row>
    <row r="229" spans="11:15" ht="21.75" customHeight="1" x14ac:dyDescent="0.3">
      <c r="K22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29" s="1">
        <f>M228+Table11819202310303132353839404148111518202837535450[[#This Row],[اجمالي الفاتوره]]-Table11819202310303132353839404148111518202837535450[[#This Row],[الدفعات]]</f>
        <v>74.190000000002328</v>
      </c>
      <c r="O229" s="48"/>
    </row>
    <row r="230" spans="11:15" ht="21.75" customHeight="1" x14ac:dyDescent="0.3">
      <c r="K23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30" s="1">
        <f>M229+Table11819202310303132353839404148111518202837535450[[#This Row],[اجمالي الفاتوره]]-Table11819202310303132353839404148111518202837535450[[#This Row],[الدفعات]]</f>
        <v>74.190000000002328</v>
      </c>
      <c r="O230" s="48"/>
    </row>
    <row r="231" spans="11:15" ht="21.75" customHeight="1" x14ac:dyDescent="0.3">
      <c r="K23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31" s="1">
        <f>M230+Table11819202310303132353839404148111518202837535450[[#This Row],[اجمالي الفاتوره]]-Table11819202310303132353839404148111518202837535450[[#This Row],[الدفعات]]</f>
        <v>74.190000000002328</v>
      </c>
      <c r="O231" s="48"/>
    </row>
    <row r="232" spans="11:15" ht="21.75" customHeight="1" x14ac:dyDescent="0.3">
      <c r="K23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32" s="1">
        <f>M231+Table11819202310303132353839404148111518202837535450[[#This Row],[اجمالي الفاتوره]]-Table11819202310303132353839404148111518202837535450[[#This Row],[الدفعات]]</f>
        <v>74.190000000002328</v>
      </c>
      <c r="O232" s="48"/>
    </row>
    <row r="233" spans="11:15" ht="21.75" customHeight="1" x14ac:dyDescent="0.3">
      <c r="K23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33" s="1">
        <f>M232+Table11819202310303132353839404148111518202837535450[[#This Row],[اجمالي الفاتوره]]-Table11819202310303132353839404148111518202837535450[[#This Row],[الدفعات]]</f>
        <v>74.190000000002328</v>
      </c>
      <c r="O233" s="48"/>
    </row>
    <row r="234" spans="11:15" ht="21.75" customHeight="1" x14ac:dyDescent="0.3">
      <c r="K23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34" s="1">
        <f>M233+Table11819202310303132353839404148111518202837535450[[#This Row],[اجمالي الفاتوره]]-Table11819202310303132353839404148111518202837535450[[#This Row],[الدفعات]]</f>
        <v>74.190000000002328</v>
      </c>
      <c r="O234" s="48"/>
    </row>
    <row r="235" spans="11:15" ht="21.75" customHeight="1" x14ac:dyDescent="0.3">
      <c r="K23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35" s="1">
        <f>M234+Table11819202310303132353839404148111518202837535450[[#This Row],[اجمالي الفاتوره]]-Table11819202310303132353839404148111518202837535450[[#This Row],[الدفعات]]</f>
        <v>74.190000000002328</v>
      </c>
      <c r="O235" s="48"/>
    </row>
    <row r="236" spans="11:15" ht="21.75" customHeight="1" x14ac:dyDescent="0.3">
      <c r="K23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36" s="1">
        <f>M235+Table11819202310303132353839404148111518202837535450[[#This Row],[اجمالي الفاتوره]]-Table11819202310303132353839404148111518202837535450[[#This Row],[الدفعات]]</f>
        <v>74.190000000002328</v>
      </c>
      <c r="O236" s="48"/>
    </row>
    <row r="237" spans="11:15" ht="21.75" customHeight="1" x14ac:dyDescent="0.3">
      <c r="K23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37" s="1">
        <f>M236+Table11819202310303132353839404148111518202837535450[[#This Row],[اجمالي الفاتوره]]-Table11819202310303132353839404148111518202837535450[[#This Row],[الدفعات]]</f>
        <v>74.190000000002328</v>
      </c>
      <c r="O237" s="48"/>
    </row>
    <row r="238" spans="11:15" ht="21.75" customHeight="1" x14ac:dyDescent="0.3">
      <c r="K23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38" s="1">
        <f>M237+Table11819202310303132353839404148111518202837535450[[#This Row],[اجمالي الفاتوره]]-Table11819202310303132353839404148111518202837535450[[#This Row],[الدفعات]]</f>
        <v>74.190000000002328</v>
      </c>
      <c r="O238" s="48"/>
    </row>
    <row r="239" spans="11:15" ht="21.75" customHeight="1" x14ac:dyDescent="0.3">
      <c r="K23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39" s="1">
        <f>M238+Table11819202310303132353839404148111518202837535450[[#This Row],[اجمالي الفاتوره]]-Table11819202310303132353839404148111518202837535450[[#This Row],[الدفعات]]</f>
        <v>74.190000000002328</v>
      </c>
      <c r="O239" s="48"/>
    </row>
    <row r="240" spans="11:15" ht="21.75" customHeight="1" x14ac:dyDescent="0.3">
      <c r="K24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40" s="1">
        <f>M239+Table11819202310303132353839404148111518202837535450[[#This Row],[اجمالي الفاتوره]]-Table11819202310303132353839404148111518202837535450[[#This Row],[الدفعات]]</f>
        <v>74.190000000002328</v>
      </c>
      <c r="O240" s="48"/>
    </row>
    <row r="241" spans="9:15" ht="21.75" customHeight="1" x14ac:dyDescent="0.3">
      <c r="K24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41" s="1">
        <f>M240+Table11819202310303132353839404148111518202837535450[[#This Row],[اجمالي الفاتوره]]-Table11819202310303132353839404148111518202837535450[[#This Row],[الدفعات]]</f>
        <v>74.190000000002328</v>
      </c>
      <c r="O241" s="48"/>
    </row>
    <row r="242" spans="9:15" ht="21.75" customHeight="1" x14ac:dyDescent="0.3">
      <c r="K24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42" s="1">
        <f>M241+Table11819202310303132353839404148111518202837535450[[#This Row],[اجمالي الفاتوره]]-Table11819202310303132353839404148111518202837535450[[#This Row],[الدفعات]]</f>
        <v>74.190000000002328</v>
      </c>
      <c r="O242" s="48"/>
    </row>
    <row r="243" spans="9:15" ht="21.75" customHeight="1" x14ac:dyDescent="0.3">
      <c r="K24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43" s="1">
        <f>M242+Table11819202310303132353839404148111518202837535450[[#This Row],[اجمالي الفاتوره]]-Table11819202310303132353839404148111518202837535450[[#This Row],[الدفعات]]</f>
        <v>74.190000000002328</v>
      </c>
      <c r="O243" s="48"/>
    </row>
    <row r="244" spans="9:15" ht="21.75" customHeight="1" x14ac:dyDescent="0.3">
      <c r="K24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44" s="1">
        <f>M243+Table11819202310303132353839404148111518202837535450[[#This Row],[اجمالي الفاتوره]]-Table11819202310303132353839404148111518202837535450[[#This Row],[الدفعات]]</f>
        <v>74.190000000002328</v>
      </c>
      <c r="O244" s="48"/>
    </row>
    <row r="245" spans="9:15" ht="21.75" customHeight="1" x14ac:dyDescent="0.3">
      <c r="K24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45" s="1">
        <f>M244+Table11819202310303132353839404148111518202837535450[[#This Row],[اجمالي الفاتوره]]-Table11819202310303132353839404148111518202837535450[[#This Row],[الدفعات]]</f>
        <v>74.190000000002328</v>
      </c>
      <c r="O245" s="48"/>
    </row>
    <row r="246" spans="9:15" ht="21.75" customHeight="1" x14ac:dyDescent="0.3">
      <c r="K24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46" s="1">
        <f>M245+Table11819202310303132353839404148111518202837535450[[#This Row],[اجمالي الفاتوره]]-Table11819202310303132353839404148111518202837535450[[#This Row],[الدفعات]]</f>
        <v>74.190000000002328</v>
      </c>
      <c r="O246" s="48"/>
    </row>
    <row r="247" spans="9:15" ht="21.75" customHeight="1" x14ac:dyDescent="0.3">
      <c r="K24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47" s="1">
        <f>M246+Table11819202310303132353839404148111518202837535450[[#This Row],[اجمالي الفاتوره]]-Table11819202310303132353839404148111518202837535450[[#This Row],[الدفعات]]</f>
        <v>74.190000000002328</v>
      </c>
      <c r="O247" s="48"/>
    </row>
    <row r="248" spans="9:15" ht="21.75" customHeight="1" x14ac:dyDescent="0.3">
      <c r="K24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48" s="1">
        <f>M247+Table11819202310303132353839404148111518202837535450[[#This Row],[اجمالي الفاتوره]]-Table11819202310303132353839404148111518202837535450[[#This Row],[الدفعات]]</f>
        <v>74.190000000002328</v>
      </c>
      <c r="O248" s="48"/>
    </row>
    <row r="249" spans="9:15" ht="21.75" customHeight="1" x14ac:dyDescent="0.3">
      <c r="K24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49" s="1">
        <f>M248+Table11819202310303132353839404148111518202837535450[[#This Row],[اجمالي الفاتوره]]-Table11819202310303132353839404148111518202837535450[[#This Row],[الدفعات]]</f>
        <v>74.190000000002328</v>
      </c>
      <c r="O249" s="48"/>
    </row>
    <row r="250" spans="9:15" ht="21.75" customHeight="1" x14ac:dyDescent="0.3">
      <c r="K25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50" s="1">
        <f>M249+Table11819202310303132353839404148111518202837535450[[#This Row],[اجمالي الفاتوره]]-Table11819202310303132353839404148111518202837535450[[#This Row],[الدفعات]]</f>
        <v>74.190000000002328</v>
      </c>
      <c r="O250" s="48"/>
    </row>
    <row r="251" spans="9:15" ht="21.75" customHeight="1" x14ac:dyDescent="0.3">
      <c r="K25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51" s="1">
        <f>M250+Table11819202310303132353839404148111518202837535450[[#This Row],[اجمالي الفاتوره]]-Table11819202310303132353839404148111518202837535450[[#This Row],[الدفعات]]</f>
        <v>74.190000000002328</v>
      </c>
      <c r="O251" s="48"/>
    </row>
    <row r="252" spans="9:15" ht="21.75" customHeight="1" x14ac:dyDescent="0.3">
      <c r="K25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52" s="1">
        <f>M251+Table11819202310303132353839404148111518202837535450[[#This Row],[اجمالي الفاتوره]]-Table11819202310303132353839404148111518202837535450[[#This Row],[الدفعات]]</f>
        <v>74.190000000002328</v>
      </c>
      <c r="O252" s="48"/>
    </row>
    <row r="253" spans="9:15" ht="21.75" customHeight="1" x14ac:dyDescent="0.3">
      <c r="K25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53" s="1">
        <f>M252+Table11819202310303132353839404148111518202837535450[[#This Row],[اجمالي الفاتوره]]-Table11819202310303132353839404148111518202837535450[[#This Row],[الدفعات]]</f>
        <v>74.190000000002328</v>
      </c>
      <c r="O253" s="48"/>
    </row>
    <row r="254" spans="9:15" ht="21.75" customHeight="1" x14ac:dyDescent="0.3">
      <c r="I254" s="1">
        <f>0.03*Table11819202310303132353839404148111518202837535450[[#This Row],[النولون]]</f>
        <v>0</v>
      </c>
      <c r="K25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54" s="1">
        <f>M253+Table11819202310303132353839404148111518202837535450[[#This Row],[اجمالي الفاتوره]]-Table11819202310303132353839404148111518202837535450[[#This Row],[الدفعات]]</f>
        <v>74.190000000002328</v>
      </c>
      <c r="O254" s="48"/>
    </row>
    <row r="255" spans="9:15" ht="21.75" customHeight="1" x14ac:dyDescent="0.3">
      <c r="I255" s="1">
        <f>0.03*Table11819202310303132353839404148111518202837535450[[#This Row],[النولون]]</f>
        <v>0</v>
      </c>
      <c r="K25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55" s="1">
        <f>M254+Table11819202310303132353839404148111518202837535450[[#This Row],[اجمالي الفاتوره]]-Table11819202310303132353839404148111518202837535450[[#This Row],[الدفعات]]</f>
        <v>74.190000000002328</v>
      </c>
      <c r="O255" s="48"/>
    </row>
    <row r="256" spans="9:15" ht="21.75" customHeight="1" x14ac:dyDescent="0.3">
      <c r="I256" s="1">
        <f>0.03*Table11819202310303132353839404148111518202837535450[[#This Row],[النولون]]</f>
        <v>0</v>
      </c>
      <c r="K25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56" s="1">
        <f>M255+Table11819202310303132353839404148111518202837535450[[#This Row],[اجمالي الفاتوره]]-Table11819202310303132353839404148111518202837535450[[#This Row],[الدفعات]]</f>
        <v>74.190000000002328</v>
      </c>
      <c r="O256" s="48"/>
    </row>
    <row r="257" spans="9:15" ht="21.75" customHeight="1" x14ac:dyDescent="0.3">
      <c r="I257" s="1">
        <f>0.03*Table11819202310303132353839404148111518202837535450[[#This Row],[النولون]]</f>
        <v>0</v>
      </c>
      <c r="K25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57" s="1">
        <f>M256+Table11819202310303132353839404148111518202837535450[[#This Row],[اجمالي الفاتوره]]-Table11819202310303132353839404148111518202837535450[[#This Row],[الدفعات]]</f>
        <v>74.190000000002328</v>
      </c>
      <c r="O257" s="48"/>
    </row>
    <row r="258" spans="9:15" ht="21.75" customHeight="1" x14ac:dyDescent="0.3">
      <c r="I258" s="1">
        <f>0.03*Table11819202310303132353839404148111518202837535450[[#This Row],[النولون]]</f>
        <v>0</v>
      </c>
      <c r="K25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58" s="1">
        <f>M257+Table11819202310303132353839404148111518202837535450[[#This Row],[اجمالي الفاتوره]]-Table11819202310303132353839404148111518202837535450[[#This Row],[الدفعات]]</f>
        <v>74.190000000002328</v>
      </c>
      <c r="O258" s="48"/>
    </row>
    <row r="259" spans="9:15" ht="21.75" customHeight="1" x14ac:dyDescent="0.3">
      <c r="I259" s="1">
        <f>0.03*Table11819202310303132353839404148111518202837535450[[#This Row],[النولون]]</f>
        <v>0</v>
      </c>
      <c r="K25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59" s="1">
        <f>M258+Table11819202310303132353839404148111518202837535450[[#This Row],[اجمالي الفاتوره]]-Table11819202310303132353839404148111518202837535450[[#This Row],[الدفعات]]</f>
        <v>74.190000000002328</v>
      </c>
      <c r="O259" s="48"/>
    </row>
    <row r="260" spans="9:15" ht="21.75" customHeight="1" x14ac:dyDescent="0.3">
      <c r="I260" s="1">
        <f>0.03*Table11819202310303132353839404148111518202837535450[[#This Row],[النولون]]</f>
        <v>0</v>
      </c>
      <c r="K26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60" s="1">
        <f>M259+Table11819202310303132353839404148111518202837535450[[#This Row],[اجمالي الفاتوره]]-Table11819202310303132353839404148111518202837535450[[#This Row],[الدفعات]]</f>
        <v>74.190000000002328</v>
      </c>
      <c r="O260" s="48"/>
    </row>
    <row r="261" spans="9:15" ht="21.75" customHeight="1" x14ac:dyDescent="0.3">
      <c r="I261" s="1">
        <f>0.03*Table11819202310303132353839404148111518202837535450[[#This Row],[النولون]]</f>
        <v>0</v>
      </c>
      <c r="K26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61" s="1">
        <f>M260+Table11819202310303132353839404148111518202837535450[[#This Row],[اجمالي الفاتوره]]-Table11819202310303132353839404148111518202837535450[[#This Row],[الدفعات]]</f>
        <v>74.190000000002328</v>
      </c>
      <c r="O261" s="48"/>
    </row>
    <row r="262" spans="9:15" ht="21.75" customHeight="1" x14ac:dyDescent="0.3">
      <c r="I262" s="1">
        <f>0.03*Table11819202310303132353839404148111518202837535450[[#This Row],[النولون]]</f>
        <v>0</v>
      </c>
      <c r="K26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62" s="1">
        <f>M261+Table11819202310303132353839404148111518202837535450[[#This Row],[اجمالي الفاتوره]]-Table11819202310303132353839404148111518202837535450[[#This Row],[الدفعات]]</f>
        <v>74.190000000002328</v>
      </c>
      <c r="O262" s="48"/>
    </row>
    <row r="263" spans="9:15" ht="21.75" customHeight="1" x14ac:dyDescent="0.3">
      <c r="I263" s="1">
        <f>0.03*Table11819202310303132353839404148111518202837535450[[#This Row],[النولون]]</f>
        <v>0</v>
      </c>
      <c r="K26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63" s="1">
        <f>M262+Table11819202310303132353839404148111518202837535450[[#This Row],[اجمالي الفاتوره]]-Table11819202310303132353839404148111518202837535450[[#This Row],[الدفعات]]</f>
        <v>74.190000000002328</v>
      </c>
      <c r="O263" s="48"/>
    </row>
    <row r="264" spans="9:15" ht="21.75" customHeight="1" x14ac:dyDescent="0.3">
      <c r="I264" s="1">
        <f>0.03*Table11819202310303132353839404148111518202837535450[[#This Row],[النولون]]</f>
        <v>0</v>
      </c>
      <c r="K26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64" s="1">
        <f>M263+Table11819202310303132353839404148111518202837535450[[#This Row],[اجمالي الفاتوره]]-Table11819202310303132353839404148111518202837535450[[#This Row],[الدفعات]]</f>
        <v>74.190000000002328</v>
      </c>
      <c r="O264" s="48"/>
    </row>
    <row r="265" spans="9:15" ht="21.75" customHeight="1" x14ac:dyDescent="0.3">
      <c r="I265" s="1">
        <f>0.03*Table11819202310303132353839404148111518202837535450[[#This Row],[النولون]]</f>
        <v>0</v>
      </c>
      <c r="K26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65" s="1">
        <f>M264+Table11819202310303132353839404148111518202837535450[[#This Row],[اجمالي الفاتوره]]-Table11819202310303132353839404148111518202837535450[[#This Row],[الدفعات]]</f>
        <v>74.190000000002328</v>
      </c>
      <c r="O265" s="48"/>
    </row>
    <row r="266" spans="9:15" ht="21.75" customHeight="1" x14ac:dyDescent="0.3">
      <c r="I266" s="1">
        <f>0.03*Table11819202310303132353839404148111518202837535450[[#This Row],[النولون]]</f>
        <v>0</v>
      </c>
      <c r="K26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66" s="1">
        <f>M265+Table11819202310303132353839404148111518202837535450[[#This Row],[اجمالي الفاتوره]]-Table11819202310303132353839404148111518202837535450[[#This Row],[الدفعات]]</f>
        <v>74.190000000002328</v>
      </c>
      <c r="O266" s="48"/>
    </row>
    <row r="267" spans="9:15" ht="21.75" customHeight="1" x14ac:dyDescent="0.3">
      <c r="I267" s="1">
        <f>0.03*Table11819202310303132353839404148111518202837535450[[#This Row],[النولون]]</f>
        <v>0</v>
      </c>
      <c r="K26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67" s="1">
        <f>M266+Table11819202310303132353839404148111518202837535450[[#This Row],[اجمالي الفاتوره]]-Table11819202310303132353839404148111518202837535450[[#This Row],[الدفعات]]</f>
        <v>74.190000000002328</v>
      </c>
      <c r="O267" s="48"/>
    </row>
    <row r="268" spans="9:15" ht="21.75" customHeight="1" x14ac:dyDescent="0.3">
      <c r="I268" s="1">
        <f>0.03*Table11819202310303132353839404148111518202837535450[[#This Row],[النولون]]</f>
        <v>0</v>
      </c>
      <c r="K26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68" s="1">
        <f>M267+Table11819202310303132353839404148111518202837535450[[#This Row],[اجمالي الفاتوره]]-Table11819202310303132353839404148111518202837535450[[#This Row],[الدفعات]]</f>
        <v>74.190000000002328</v>
      </c>
      <c r="O268" s="48"/>
    </row>
    <row r="269" spans="9:15" ht="21.75" customHeight="1" x14ac:dyDescent="0.3">
      <c r="I269" s="1">
        <f>0.03*Table11819202310303132353839404148111518202837535450[[#This Row],[النولون]]</f>
        <v>0</v>
      </c>
      <c r="K26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69" s="1">
        <f>M268+Table11819202310303132353839404148111518202837535450[[#This Row],[اجمالي الفاتوره]]-Table11819202310303132353839404148111518202837535450[[#This Row],[الدفعات]]</f>
        <v>74.190000000002328</v>
      </c>
      <c r="O269" s="48"/>
    </row>
    <row r="270" spans="9:15" ht="21.75" customHeight="1" x14ac:dyDescent="0.3">
      <c r="I270" s="1">
        <f>0.03*Table11819202310303132353839404148111518202837535450[[#This Row],[النولون]]</f>
        <v>0</v>
      </c>
      <c r="K27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70" s="1">
        <f>M269+Table11819202310303132353839404148111518202837535450[[#This Row],[اجمالي الفاتوره]]-Table11819202310303132353839404148111518202837535450[[#This Row],[الدفعات]]</f>
        <v>74.190000000002328</v>
      </c>
      <c r="O270" s="48"/>
    </row>
    <row r="271" spans="9:15" ht="21.75" customHeight="1" x14ac:dyDescent="0.3">
      <c r="I271" s="1">
        <f>0.03*Table11819202310303132353839404148111518202837535450[[#This Row],[النولون]]</f>
        <v>0</v>
      </c>
      <c r="K27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71" s="1">
        <f>M270+Table11819202310303132353839404148111518202837535450[[#This Row],[اجمالي الفاتوره]]-Table11819202310303132353839404148111518202837535450[[#This Row],[الدفعات]]</f>
        <v>74.190000000002328</v>
      </c>
      <c r="O271" s="48"/>
    </row>
    <row r="272" spans="9:15" ht="21.75" customHeight="1" x14ac:dyDescent="0.3">
      <c r="I272" s="1">
        <f>0.03*Table11819202310303132353839404148111518202837535450[[#This Row],[النولون]]</f>
        <v>0</v>
      </c>
      <c r="K27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72" s="1">
        <f>M271+Table11819202310303132353839404148111518202837535450[[#This Row],[اجمالي الفاتوره]]-Table11819202310303132353839404148111518202837535450[[#This Row],[الدفعات]]</f>
        <v>74.190000000002328</v>
      </c>
      <c r="O272" s="48"/>
    </row>
    <row r="273" spans="9:15" ht="21.75" customHeight="1" x14ac:dyDescent="0.3">
      <c r="I273" s="1">
        <f>0.03*Table11819202310303132353839404148111518202837535450[[#This Row],[النولون]]</f>
        <v>0</v>
      </c>
      <c r="K27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73" s="1">
        <f>M272+Table11819202310303132353839404148111518202837535450[[#This Row],[اجمالي الفاتوره]]-Table11819202310303132353839404148111518202837535450[[#This Row],[الدفعات]]</f>
        <v>74.190000000002328</v>
      </c>
      <c r="O273" s="48"/>
    </row>
    <row r="274" spans="9:15" ht="21.75" customHeight="1" x14ac:dyDescent="0.3">
      <c r="I274" s="1">
        <f>0.03*Table11819202310303132353839404148111518202837535450[[#This Row],[النولون]]</f>
        <v>0</v>
      </c>
      <c r="K27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74" s="1">
        <f>M273+Table11819202310303132353839404148111518202837535450[[#This Row],[اجمالي الفاتوره]]-Table11819202310303132353839404148111518202837535450[[#This Row],[الدفعات]]</f>
        <v>74.190000000002328</v>
      </c>
      <c r="O274" s="48"/>
    </row>
    <row r="275" spans="9:15" ht="21.75" customHeight="1" x14ac:dyDescent="0.3">
      <c r="I275" s="1">
        <f>0.03*Table11819202310303132353839404148111518202837535450[[#This Row],[النولون]]</f>
        <v>0</v>
      </c>
      <c r="K27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75" s="1">
        <f>M274+Table11819202310303132353839404148111518202837535450[[#This Row],[اجمالي الفاتوره]]-Table11819202310303132353839404148111518202837535450[[#This Row],[الدفعات]]</f>
        <v>74.190000000002328</v>
      </c>
      <c r="O275" s="48"/>
    </row>
    <row r="276" spans="9:15" ht="21.75" customHeight="1" x14ac:dyDescent="0.3">
      <c r="I276" s="1">
        <f>0.03*Table11819202310303132353839404148111518202837535450[[#This Row],[النولون]]</f>
        <v>0</v>
      </c>
      <c r="K27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76" s="1">
        <f>M275+Table11819202310303132353839404148111518202837535450[[#This Row],[اجمالي الفاتوره]]-Table11819202310303132353839404148111518202837535450[[#This Row],[الدفعات]]</f>
        <v>74.190000000002328</v>
      </c>
      <c r="O276" s="48"/>
    </row>
    <row r="277" spans="9:15" ht="21.75" customHeight="1" x14ac:dyDescent="0.3">
      <c r="I277" s="1">
        <f>0.03*Table11819202310303132353839404148111518202837535450[[#This Row],[النولون]]</f>
        <v>0</v>
      </c>
      <c r="K27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77" s="1">
        <f>M276+Table11819202310303132353839404148111518202837535450[[#This Row],[اجمالي الفاتوره]]-Table11819202310303132353839404148111518202837535450[[#This Row],[الدفعات]]</f>
        <v>74.190000000002328</v>
      </c>
      <c r="O277" s="48"/>
    </row>
    <row r="278" spans="9:15" ht="21.75" customHeight="1" x14ac:dyDescent="0.3">
      <c r="I278" s="1">
        <f>0.03*Table11819202310303132353839404148111518202837535450[[#This Row],[النولون]]</f>
        <v>0</v>
      </c>
      <c r="K27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78" s="1">
        <f>M277+Table11819202310303132353839404148111518202837535450[[#This Row],[اجمالي الفاتوره]]-Table11819202310303132353839404148111518202837535450[[#This Row],[الدفعات]]</f>
        <v>74.190000000002328</v>
      </c>
      <c r="O278" s="48"/>
    </row>
    <row r="279" spans="9:15" ht="21.75" customHeight="1" x14ac:dyDescent="0.3">
      <c r="I279" s="1">
        <f>0.03*Table11819202310303132353839404148111518202837535450[[#This Row],[النولون]]</f>
        <v>0</v>
      </c>
      <c r="K27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79" s="1">
        <f>M278+Table11819202310303132353839404148111518202837535450[[#This Row],[اجمالي الفاتوره]]-Table11819202310303132353839404148111518202837535450[[#This Row],[الدفعات]]</f>
        <v>74.190000000002328</v>
      </c>
      <c r="O279" s="48"/>
    </row>
    <row r="280" spans="9:15" ht="21.75" customHeight="1" x14ac:dyDescent="0.3">
      <c r="I280" s="1">
        <f>0.03*Table11819202310303132353839404148111518202837535450[[#This Row],[النولون]]</f>
        <v>0</v>
      </c>
      <c r="K28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80" s="1">
        <f>M279+Table11819202310303132353839404148111518202837535450[[#This Row],[اجمالي الفاتوره]]-Table11819202310303132353839404148111518202837535450[[#This Row],[الدفعات]]</f>
        <v>74.190000000002328</v>
      </c>
      <c r="O280" s="48"/>
    </row>
    <row r="281" spans="9:15" ht="21.75" customHeight="1" x14ac:dyDescent="0.3">
      <c r="I281" s="1">
        <f>0.03*Table11819202310303132353839404148111518202837535450[[#This Row],[النولون]]</f>
        <v>0</v>
      </c>
      <c r="K28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81" s="1">
        <f>M280+Table11819202310303132353839404148111518202837535450[[#This Row],[اجمالي الفاتوره]]-Table11819202310303132353839404148111518202837535450[[#This Row],[الدفعات]]</f>
        <v>74.190000000002328</v>
      </c>
      <c r="O281" s="48"/>
    </row>
    <row r="282" spans="9:15" ht="21.75" customHeight="1" x14ac:dyDescent="0.3">
      <c r="I282" s="1">
        <f>0.03*Table11819202310303132353839404148111518202837535450[[#This Row],[النولون]]</f>
        <v>0</v>
      </c>
      <c r="K28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82" s="1">
        <f>M281+Table11819202310303132353839404148111518202837535450[[#This Row],[اجمالي الفاتوره]]-Table11819202310303132353839404148111518202837535450[[#This Row],[الدفعات]]</f>
        <v>74.190000000002328</v>
      </c>
      <c r="O282" s="48"/>
    </row>
    <row r="283" spans="9:15" ht="21.75" customHeight="1" x14ac:dyDescent="0.3">
      <c r="I283" s="1">
        <f>0.03*Table11819202310303132353839404148111518202837535450[[#This Row],[النولون]]</f>
        <v>0</v>
      </c>
      <c r="K28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83" s="1">
        <f>M282+Table11819202310303132353839404148111518202837535450[[#This Row],[اجمالي الفاتوره]]-Table11819202310303132353839404148111518202837535450[[#This Row],[الدفعات]]</f>
        <v>74.190000000002328</v>
      </c>
      <c r="O283" s="48"/>
    </row>
    <row r="284" spans="9:15" ht="21.75" customHeight="1" x14ac:dyDescent="0.3">
      <c r="I284" s="1">
        <f>0.03*Table11819202310303132353839404148111518202837535450[[#This Row],[النولون]]</f>
        <v>0</v>
      </c>
      <c r="K28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84" s="1">
        <f>M283+Table11819202310303132353839404148111518202837535450[[#This Row],[اجمالي الفاتوره]]-Table11819202310303132353839404148111518202837535450[[#This Row],[الدفعات]]</f>
        <v>74.190000000002328</v>
      </c>
      <c r="O284" s="48"/>
    </row>
    <row r="285" spans="9:15" ht="21.75" customHeight="1" x14ac:dyDescent="0.3">
      <c r="I285" s="1">
        <f>0.03*Table11819202310303132353839404148111518202837535450[[#This Row],[النولون]]</f>
        <v>0</v>
      </c>
      <c r="K28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85" s="1">
        <f>M284+Table11819202310303132353839404148111518202837535450[[#This Row],[اجمالي الفاتوره]]-Table11819202310303132353839404148111518202837535450[[#This Row],[الدفعات]]</f>
        <v>74.190000000002328</v>
      </c>
      <c r="O285" s="48"/>
    </row>
    <row r="286" spans="9:15" ht="21.75" customHeight="1" x14ac:dyDescent="0.3">
      <c r="I286" s="1">
        <f>0.03*Table11819202310303132353839404148111518202837535450[[#This Row],[النولون]]</f>
        <v>0</v>
      </c>
      <c r="K28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86" s="1">
        <f>M285+Table11819202310303132353839404148111518202837535450[[#This Row],[اجمالي الفاتوره]]-Table11819202310303132353839404148111518202837535450[[#This Row],[الدفعات]]</f>
        <v>74.190000000002328</v>
      </c>
      <c r="O286" s="48"/>
    </row>
    <row r="287" spans="9:15" ht="21.75" customHeight="1" x14ac:dyDescent="0.3">
      <c r="I287" s="1">
        <f>0.03*Table11819202310303132353839404148111518202837535450[[#This Row],[النولون]]</f>
        <v>0</v>
      </c>
      <c r="K28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87" s="1">
        <f>M286+Table11819202310303132353839404148111518202837535450[[#This Row],[اجمالي الفاتوره]]-Table11819202310303132353839404148111518202837535450[[#This Row],[الدفعات]]</f>
        <v>74.190000000002328</v>
      </c>
      <c r="O287" s="48"/>
    </row>
    <row r="288" spans="9:15" ht="21.75" customHeight="1" x14ac:dyDescent="0.3">
      <c r="I288" s="1">
        <f>0.03*Table11819202310303132353839404148111518202837535450[[#This Row],[النولون]]</f>
        <v>0</v>
      </c>
      <c r="K28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88" s="1">
        <f>M287+Table11819202310303132353839404148111518202837535450[[#This Row],[اجمالي الفاتوره]]-Table11819202310303132353839404148111518202837535450[[#This Row],[الدفعات]]</f>
        <v>74.190000000002328</v>
      </c>
      <c r="O288" s="48"/>
    </row>
    <row r="289" spans="9:15" ht="21.75" customHeight="1" x14ac:dyDescent="0.3">
      <c r="I289" s="1">
        <f>0.03*Table11819202310303132353839404148111518202837535450[[#This Row],[النولون]]</f>
        <v>0</v>
      </c>
      <c r="K28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89" s="1">
        <f>M288+Table11819202310303132353839404148111518202837535450[[#This Row],[اجمالي الفاتوره]]-Table11819202310303132353839404148111518202837535450[[#This Row],[الدفعات]]</f>
        <v>74.190000000002328</v>
      </c>
      <c r="O289" s="48"/>
    </row>
    <row r="290" spans="9:15" ht="21.75" customHeight="1" x14ac:dyDescent="0.3">
      <c r="I290" s="1">
        <f>0.03*Table11819202310303132353839404148111518202837535450[[#This Row],[النولون]]</f>
        <v>0</v>
      </c>
      <c r="K29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90" s="1">
        <f>M289+Table11819202310303132353839404148111518202837535450[[#This Row],[اجمالي الفاتوره]]-Table11819202310303132353839404148111518202837535450[[#This Row],[الدفعات]]</f>
        <v>74.190000000002328</v>
      </c>
      <c r="O290" s="48"/>
    </row>
    <row r="291" spans="9:15" ht="21.75" customHeight="1" x14ac:dyDescent="0.3">
      <c r="I291" s="1">
        <f>0.03*Table11819202310303132353839404148111518202837535450[[#This Row],[النولون]]</f>
        <v>0</v>
      </c>
      <c r="K29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91" s="1">
        <f>M290+Table11819202310303132353839404148111518202837535450[[#This Row],[اجمالي الفاتوره]]-Table11819202310303132353839404148111518202837535450[[#This Row],[الدفعات]]</f>
        <v>74.190000000002328</v>
      </c>
      <c r="O291" s="48"/>
    </row>
    <row r="292" spans="9:15" ht="21.75" customHeight="1" x14ac:dyDescent="0.3">
      <c r="I292" s="1">
        <f>0.03*Table11819202310303132353839404148111518202837535450[[#This Row],[النولون]]</f>
        <v>0</v>
      </c>
      <c r="K29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92" s="1">
        <f>M291+Table11819202310303132353839404148111518202837535450[[#This Row],[اجمالي الفاتوره]]-Table11819202310303132353839404148111518202837535450[[#This Row],[الدفعات]]</f>
        <v>74.190000000002328</v>
      </c>
      <c r="O292" s="48"/>
    </row>
    <row r="293" spans="9:15" ht="21.75" customHeight="1" x14ac:dyDescent="0.3">
      <c r="I293" s="1">
        <f>0.03*Table11819202310303132353839404148111518202837535450[[#This Row],[النولون]]</f>
        <v>0</v>
      </c>
      <c r="K29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93" s="1">
        <f>M292+Table11819202310303132353839404148111518202837535450[[#This Row],[اجمالي الفاتوره]]-Table11819202310303132353839404148111518202837535450[[#This Row],[الدفعات]]</f>
        <v>74.190000000002328</v>
      </c>
      <c r="O293" s="48"/>
    </row>
    <row r="294" spans="9:15" ht="21.75" customHeight="1" x14ac:dyDescent="0.3">
      <c r="I294" s="1">
        <f>0.03*Table11819202310303132353839404148111518202837535450[[#This Row],[النولون]]</f>
        <v>0</v>
      </c>
      <c r="K29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94" s="1">
        <f>M293+Table11819202310303132353839404148111518202837535450[[#This Row],[اجمالي الفاتوره]]-Table11819202310303132353839404148111518202837535450[[#This Row],[الدفعات]]</f>
        <v>74.190000000002328</v>
      </c>
      <c r="O294" s="48"/>
    </row>
    <row r="295" spans="9:15" ht="21.75" customHeight="1" x14ac:dyDescent="0.3">
      <c r="I295" s="1">
        <f>0.03*Table11819202310303132353839404148111518202837535450[[#This Row],[النولون]]</f>
        <v>0</v>
      </c>
      <c r="K29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95" s="1">
        <f>M294+Table11819202310303132353839404148111518202837535450[[#This Row],[اجمالي الفاتوره]]-Table11819202310303132353839404148111518202837535450[[#This Row],[الدفعات]]</f>
        <v>74.190000000002328</v>
      </c>
      <c r="O295" s="48"/>
    </row>
    <row r="296" spans="9:15" ht="21.75" customHeight="1" x14ac:dyDescent="0.3">
      <c r="I296" s="1">
        <f>0.03*Table11819202310303132353839404148111518202837535450[[#This Row],[النولون]]</f>
        <v>0</v>
      </c>
      <c r="K29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96" s="1">
        <f>M295+Table11819202310303132353839404148111518202837535450[[#This Row],[اجمالي الفاتوره]]-Table11819202310303132353839404148111518202837535450[[#This Row],[الدفعات]]</f>
        <v>74.190000000002328</v>
      </c>
      <c r="O296" s="48"/>
    </row>
    <row r="297" spans="9:15" ht="21.75" customHeight="1" x14ac:dyDescent="0.3">
      <c r="I297" s="1">
        <f>0.03*Table11819202310303132353839404148111518202837535450[[#This Row],[النولون]]</f>
        <v>0</v>
      </c>
      <c r="K29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97" s="1">
        <f>M296+Table11819202310303132353839404148111518202837535450[[#This Row],[اجمالي الفاتوره]]-Table11819202310303132353839404148111518202837535450[[#This Row],[الدفعات]]</f>
        <v>74.190000000002328</v>
      </c>
      <c r="O297" s="48"/>
    </row>
    <row r="298" spans="9:15" ht="21.75" customHeight="1" x14ac:dyDescent="0.3">
      <c r="I298" s="1">
        <f>0.03*Table11819202310303132353839404148111518202837535450[[#This Row],[النولون]]</f>
        <v>0</v>
      </c>
      <c r="K29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98" s="1">
        <f>M297+Table11819202310303132353839404148111518202837535450[[#This Row],[اجمالي الفاتوره]]-Table11819202310303132353839404148111518202837535450[[#This Row],[الدفعات]]</f>
        <v>74.190000000002328</v>
      </c>
      <c r="O298" s="48"/>
    </row>
    <row r="299" spans="9:15" ht="21.75" customHeight="1" x14ac:dyDescent="0.3">
      <c r="I299" s="1">
        <f>0.03*Table11819202310303132353839404148111518202837535450[[#This Row],[النولون]]</f>
        <v>0</v>
      </c>
      <c r="K29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299" s="1">
        <f>M298+Table11819202310303132353839404148111518202837535450[[#This Row],[اجمالي الفاتوره]]-Table11819202310303132353839404148111518202837535450[[#This Row],[الدفعات]]</f>
        <v>74.190000000002328</v>
      </c>
      <c r="O299" s="48"/>
    </row>
    <row r="300" spans="9:15" ht="21.75" customHeight="1" x14ac:dyDescent="0.3">
      <c r="I300" s="1">
        <f>0.03*Table11819202310303132353839404148111518202837535450[[#This Row],[النولون]]</f>
        <v>0</v>
      </c>
      <c r="K30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00" s="1">
        <f>M299+Table11819202310303132353839404148111518202837535450[[#This Row],[اجمالي الفاتوره]]-Table11819202310303132353839404148111518202837535450[[#This Row],[الدفعات]]</f>
        <v>74.190000000002328</v>
      </c>
      <c r="O300" s="48"/>
    </row>
    <row r="301" spans="9:15" ht="21.75" customHeight="1" x14ac:dyDescent="0.3">
      <c r="I301" s="1">
        <f>0.03*Table11819202310303132353839404148111518202837535450[[#This Row],[النولون]]</f>
        <v>0</v>
      </c>
      <c r="K30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01" s="1">
        <f>M300+Table11819202310303132353839404148111518202837535450[[#This Row],[اجمالي الفاتوره]]-Table11819202310303132353839404148111518202837535450[[#This Row],[الدفعات]]</f>
        <v>74.190000000002328</v>
      </c>
      <c r="O301" s="48"/>
    </row>
    <row r="302" spans="9:15" ht="21.75" customHeight="1" x14ac:dyDescent="0.3">
      <c r="I302" s="1">
        <f>0.03*Table11819202310303132353839404148111518202837535450[[#This Row],[النولون]]</f>
        <v>0</v>
      </c>
      <c r="K30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02" s="1">
        <f>M301+Table11819202310303132353839404148111518202837535450[[#This Row],[اجمالي الفاتوره]]-Table11819202310303132353839404148111518202837535450[[#This Row],[الدفعات]]</f>
        <v>74.190000000002328</v>
      </c>
      <c r="O302" s="48"/>
    </row>
    <row r="303" spans="9:15" ht="21.75" customHeight="1" x14ac:dyDescent="0.3">
      <c r="I303" s="1">
        <f>0.03*Table11819202310303132353839404148111518202837535450[[#This Row],[النولون]]</f>
        <v>0</v>
      </c>
      <c r="K30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03" s="1">
        <f>M302+Table11819202310303132353839404148111518202837535450[[#This Row],[اجمالي الفاتوره]]-Table11819202310303132353839404148111518202837535450[[#This Row],[الدفعات]]</f>
        <v>74.190000000002328</v>
      </c>
      <c r="O303" s="48"/>
    </row>
    <row r="304" spans="9:15" ht="21.75" customHeight="1" x14ac:dyDescent="0.3">
      <c r="I304" s="1">
        <f>0.03*Table11819202310303132353839404148111518202837535450[[#This Row],[النولون]]</f>
        <v>0</v>
      </c>
      <c r="K30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04" s="1">
        <f>M303+Table11819202310303132353839404148111518202837535450[[#This Row],[اجمالي الفاتوره]]-Table11819202310303132353839404148111518202837535450[[#This Row],[الدفعات]]</f>
        <v>74.190000000002328</v>
      </c>
      <c r="O304" s="48"/>
    </row>
    <row r="305" spans="9:15" ht="21.75" customHeight="1" x14ac:dyDescent="0.3">
      <c r="I305" s="1">
        <f>0.03*Table11819202310303132353839404148111518202837535450[[#This Row],[النولون]]</f>
        <v>0</v>
      </c>
      <c r="K30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05" s="1">
        <f>M304+Table11819202310303132353839404148111518202837535450[[#This Row],[اجمالي الفاتوره]]-Table11819202310303132353839404148111518202837535450[[#This Row],[الدفعات]]</f>
        <v>74.190000000002328</v>
      </c>
      <c r="O305" s="48"/>
    </row>
    <row r="306" spans="9:15" ht="21.75" customHeight="1" x14ac:dyDescent="0.3">
      <c r="I306" s="1">
        <f>0.03*Table11819202310303132353839404148111518202837535450[[#This Row],[النولون]]</f>
        <v>0</v>
      </c>
      <c r="K30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06" s="1">
        <f>M305+Table11819202310303132353839404148111518202837535450[[#This Row],[اجمالي الفاتوره]]-Table11819202310303132353839404148111518202837535450[[#This Row],[الدفعات]]</f>
        <v>74.190000000002328</v>
      </c>
      <c r="O306" s="48"/>
    </row>
    <row r="307" spans="9:15" ht="21.75" customHeight="1" x14ac:dyDescent="0.3">
      <c r="I307" s="1">
        <f>0.03*Table11819202310303132353839404148111518202837535450[[#This Row],[النولون]]</f>
        <v>0</v>
      </c>
      <c r="K30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07" s="1">
        <f>M306+Table11819202310303132353839404148111518202837535450[[#This Row],[اجمالي الفاتوره]]-Table11819202310303132353839404148111518202837535450[[#This Row],[الدفعات]]</f>
        <v>74.190000000002328</v>
      </c>
      <c r="O307" s="48"/>
    </row>
    <row r="308" spans="9:15" ht="21.75" customHeight="1" x14ac:dyDescent="0.3">
      <c r="I308" s="1">
        <f>0.03*Table11819202310303132353839404148111518202837535450[[#This Row],[النولون]]</f>
        <v>0</v>
      </c>
      <c r="K30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08" s="1">
        <f>M307+Table11819202310303132353839404148111518202837535450[[#This Row],[اجمالي الفاتوره]]-Table11819202310303132353839404148111518202837535450[[#This Row],[الدفعات]]</f>
        <v>74.190000000002328</v>
      </c>
      <c r="O308" s="48"/>
    </row>
    <row r="309" spans="9:15" ht="21.75" customHeight="1" x14ac:dyDescent="0.3">
      <c r="I309" s="1">
        <f>0.03*Table11819202310303132353839404148111518202837535450[[#This Row],[النولون]]</f>
        <v>0</v>
      </c>
      <c r="K30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09" s="1">
        <f>M308+Table11819202310303132353839404148111518202837535450[[#This Row],[اجمالي الفاتوره]]-Table11819202310303132353839404148111518202837535450[[#This Row],[الدفعات]]</f>
        <v>74.190000000002328</v>
      </c>
      <c r="O309" s="48"/>
    </row>
    <row r="310" spans="9:15" ht="21.75" customHeight="1" x14ac:dyDescent="0.3">
      <c r="I310" s="1">
        <f>0.03*Table11819202310303132353839404148111518202837535450[[#This Row],[النولون]]</f>
        <v>0</v>
      </c>
      <c r="K31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10" s="1">
        <f>M309+Table11819202310303132353839404148111518202837535450[[#This Row],[اجمالي الفاتوره]]-Table11819202310303132353839404148111518202837535450[[#This Row],[الدفعات]]</f>
        <v>74.190000000002328</v>
      </c>
      <c r="O310" s="48"/>
    </row>
    <row r="311" spans="9:15" ht="21.75" customHeight="1" x14ac:dyDescent="0.3">
      <c r="I311" s="1">
        <f>0.03*Table11819202310303132353839404148111518202837535450[[#This Row],[النولون]]</f>
        <v>0</v>
      </c>
      <c r="K31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11" s="1">
        <f>M310+Table11819202310303132353839404148111518202837535450[[#This Row],[اجمالي الفاتوره]]-Table11819202310303132353839404148111518202837535450[[#This Row],[الدفعات]]</f>
        <v>74.190000000002328</v>
      </c>
      <c r="O311" s="48"/>
    </row>
    <row r="312" spans="9:15" ht="21.75" customHeight="1" x14ac:dyDescent="0.3">
      <c r="I312" s="1">
        <f>0.03*Table11819202310303132353839404148111518202837535450[[#This Row],[النولون]]</f>
        <v>0</v>
      </c>
      <c r="K31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12" s="1">
        <f>M311+Table11819202310303132353839404148111518202837535450[[#This Row],[اجمالي الفاتوره]]-Table11819202310303132353839404148111518202837535450[[#This Row],[الدفعات]]</f>
        <v>74.190000000002328</v>
      </c>
      <c r="O312" s="48"/>
    </row>
    <row r="313" spans="9:15" ht="21.75" customHeight="1" x14ac:dyDescent="0.3">
      <c r="I313" s="1">
        <f>0.03*Table11819202310303132353839404148111518202837535450[[#This Row],[النولون]]</f>
        <v>0</v>
      </c>
      <c r="K31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13" s="1">
        <f>M312+Table11819202310303132353839404148111518202837535450[[#This Row],[اجمالي الفاتوره]]-Table11819202310303132353839404148111518202837535450[[#This Row],[الدفعات]]</f>
        <v>74.190000000002328</v>
      </c>
      <c r="O313" s="48"/>
    </row>
    <row r="314" spans="9:15" ht="21.75" customHeight="1" x14ac:dyDescent="0.3">
      <c r="I314" s="1">
        <f>0.03*Table11819202310303132353839404148111518202837535450[[#This Row],[النولون]]</f>
        <v>0</v>
      </c>
      <c r="K31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14" s="1">
        <f>M313+Table11819202310303132353839404148111518202837535450[[#This Row],[اجمالي الفاتوره]]-Table11819202310303132353839404148111518202837535450[[#This Row],[الدفعات]]</f>
        <v>74.190000000002328</v>
      </c>
      <c r="O314" s="48"/>
    </row>
    <row r="315" spans="9:15" ht="21.75" customHeight="1" x14ac:dyDescent="0.3">
      <c r="I315" s="1">
        <f>0.03*Table11819202310303132353839404148111518202837535450[[#This Row],[النولون]]</f>
        <v>0</v>
      </c>
      <c r="K31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15" s="1">
        <f>M314+Table11819202310303132353839404148111518202837535450[[#This Row],[اجمالي الفاتوره]]-Table11819202310303132353839404148111518202837535450[[#This Row],[الدفعات]]</f>
        <v>74.190000000002328</v>
      </c>
      <c r="O315" s="48"/>
    </row>
    <row r="316" spans="9:15" ht="21.75" customHeight="1" x14ac:dyDescent="0.3">
      <c r="I316" s="1">
        <f>0.03*Table11819202310303132353839404148111518202837535450[[#This Row],[النولون]]</f>
        <v>0</v>
      </c>
      <c r="K31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16" s="1">
        <f>M315+Table11819202310303132353839404148111518202837535450[[#This Row],[اجمالي الفاتوره]]-Table11819202310303132353839404148111518202837535450[[#This Row],[الدفعات]]</f>
        <v>74.190000000002328</v>
      </c>
      <c r="O316" s="48"/>
    </row>
    <row r="317" spans="9:15" ht="21.75" customHeight="1" x14ac:dyDescent="0.3">
      <c r="I317" s="1">
        <f>0.03*Table11819202310303132353839404148111518202837535450[[#This Row],[النولون]]</f>
        <v>0</v>
      </c>
      <c r="K31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17" s="1">
        <f>M316+Table11819202310303132353839404148111518202837535450[[#This Row],[اجمالي الفاتوره]]-Table11819202310303132353839404148111518202837535450[[#This Row],[الدفعات]]</f>
        <v>74.190000000002328</v>
      </c>
      <c r="O317" s="48"/>
    </row>
    <row r="318" spans="9:15" ht="21.75" customHeight="1" x14ac:dyDescent="0.3">
      <c r="I318" s="1">
        <f>0.03*Table11819202310303132353839404148111518202837535450[[#This Row],[النولون]]</f>
        <v>0</v>
      </c>
      <c r="K31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18" s="1">
        <f>M317+Table11819202310303132353839404148111518202837535450[[#This Row],[اجمالي الفاتوره]]-Table11819202310303132353839404148111518202837535450[[#This Row],[الدفعات]]</f>
        <v>74.190000000002328</v>
      </c>
      <c r="O318" s="48"/>
    </row>
    <row r="319" spans="9:15" ht="21.75" customHeight="1" x14ac:dyDescent="0.3">
      <c r="I319" s="1">
        <f>0.03*Table11819202310303132353839404148111518202837535450[[#This Row],[النولون]]</f>
        <v>0</v>
      </c>
      <c r="K31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19" s="1">
        <f>M318+Table11819202310303132353839404148111518202837535450[[#This Row],[اجمالي الفاتوره]]-Table11819202310303132353839404148111518202837535450[[#This Row],[الدفعات]]</f>
        <v>74.190000000002328</v>
      </c>
      <c r="O319" s="48"/>
    </row>
    <row r="320" spans="9:15" ht="21.75" customHeight="1" x14ac:dyDescent="0.3">
      <c r="I320" s="1">
        <f>0.03*Table11819202310303132353839404148111518202837535450[[#This Row],[النولون]]</f>
        <v>0</v>
      </c>
      <c r="K32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20" s="1">
        <f>M319+Table11819202310303132353839404148111518202837535450[[#This Row],[اجمالي الفاتوره]]-Table11819202310303132353839404148111518202837535450[[#This Row],[الدفعات]]</f>
        <v>74.190000000002328</v>
      </c>
      <c r="O320" s="48"/>
    </row>
    <row r="321" spans="9:15" ht="21.75" customHeight="1" x14ac:dyDescent="0.3">
      <c r="I321" s="1">
        <f>0.03*Table11819202310303132353839404148111518202837535450[[#This Row],[النولون]]</f>
        <v>0</v>
      </c>
      <c r="K32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21" s="1">
        <f>M320+Table11819202310303132353839404148111518202837535450[[#This Row],[اجمالي الفاتوره]]-Table11819202310303132353839404148111518202837535450[[#This Row],[الدفعات]]</f>
        <v>74.190000000002328</v>
      </c>
      <c r="O321" s="48"/>
    </row>
    <row r="322" spans="9:15" ht="21.75" customHeight="1" x14ac:dyDescent="0.3">
      <c r="I322" s="1">
        <f>0.03*Table11819202310303132353839404148111518202837535450[[#This Row],[النولون]]</f>
        <v>0</v>
      </c>
      <c r="K32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22" s="1">
        <f>M321+Table11819202310303132353839404148111518202837535450[[#This Row],[اجمالي الفاتوره]]-Table11819202310303132353839404148111518202837535450[[#This Row],[الدفعات]]</f>
        <v>74.190000000002328</v>
      </c>
      <c r="O322" s="48"/>
    </row>
    <row r="323" spans="9:15" ht="21.75" customHeight="1" x14ac:dyDescent="0.3">
      <c r="I323" s="1">
        <f>0.03*Table11819202310303132353839404148111518202837535450[[#This Row],[النولون]]</f>
        <v>0</v>
      </c>
      <c r="K32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23" s="1">
        <f>M322+Table11819202310303132353839404148111518202837535450[[#This Row],[اجمالي الفاتوره]]-Table11819202310303132353839404148111518202837535450[[#This Row],[الدفعات]]</f>
        <v>74.190000000002328</v>
      </c>
      <c r="O323" s="48"/>
    </row>
    <row r="324" spans="9:15" ht="21.75" customHeight="1" x14ac:dyDescent="0.3">
      <c r="I324" s="1">
        <f>0.03*Table11819202310303132353839404148111518202837535450[[#This Row],[النولون]]</f>
        <v>0</v>
      </c>
      <c r="K32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24" s="1">
        <f>M323+Table11819202310303132353839404148111518202837535450[[#This Row],[اجمالي الفاتوره]]-Table11819202310303132353839404148111518202837535450[[#This Row],[الدفعات]]</f>
        <v>74.190000000002328</v>
      </c>
      <c r="O324" s="48"/>
    </row>
    <row r="325" spans="9:15" ht="21.75" customHeight="1" x14ac:dyDescent="0.3">
      <c r="I325" s="1">
        <f>0.03*Table11819202310303132353839404148111518202837535450[[#This Row],[النولون]]</f>
        <v>0</v>
      </c>
      <c r="K32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25" s="1">
        <f>M324+Table11819202310303132353839404148111518202837535450[[#This Row],[اجمالي الفاتوره]]-Table11819202310303132353839404148111518202837535450[[#This Row],[الدفعات]]</f>
        <v>74.190000000002328</v>
      </c>
      <c r="O325" s="48"/>
    </row>
    <row r="326" spans="9:15" ht="21.75" customHeight="1" x14ac:dyDescent="0.3">
      <c r="I326" s="1">
        <f>0.03*Table11819202310303132353839404148111518202837535450[[#This Row],[النولون]]</f>
        <v>0</v>
      </c>
      <c r="K32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26" s="1">
        <f>M325+Table11819202310303132353839404148111518202837535450[[#This Row],[اجمالي الفاتوره]]-Table11819202310303132353839404148111518202837535450[[#This Row],[الدفعات]]</f>
        <v>74.190000000002328</v>
      </c>
      <c r="O326" s="48"/>
    </row>
    <row r="327" spans="9:15" ht="21.75" customHeight="1" x14ac:dyDescent="0.3">
      <c r="I327" s="1">
        <f>0.03*Table11819202310303132353839404148111518202837535450[[#This Row],[النولون]]</f>
        <v>0</v>
      </c>
      <c r="K32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27" s="1">
        <f>M326+Table11819202310303132353839404148111518202837535450[[#This Row],[اجمالي الفاتوره]]-Table11819202310303132353839404148111518202837535450[[#This Row],[الدفعات]]</f>
        <v>74.190000000002328</v>
      </c>
      <c r="O327" s="48"/>
    </row>
    <row r="328" spans="9:15" ht="21.75" customHeight="1" x14ac:dyDescent="0.3">
      <c r="I328" s="1">
        <f>0.03*Table11819202310303132353839404148111518202837535450[[#This Row],[النولون]]</f>
        <v>0</v>
      </c>
      <c r="K32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28" s="1">
        <f>M327+Table11819202310303132353839404148111518202837535450[[#This Row],[اجمالي الفاتوره]]-Table11819202310303132353839404148111518202837535450[[#This Row],[الدفعات]]</f>
        <v>74.190000000002328</v>
      </c>
      <c r="O328" s="48"/>
    </row>
    <row r="329" spans="9:15" ht="21.75" customHeight="1" x14ac:dyDescent="0.3">
      <c r="I329" s="1">
        <f>0.03*Table11819202310303132353839404148111518202837535450[[#This Row],[النولون]]</f>
        <v>0</v>
      </c>
      <c r="K32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29" s="1">
        <f>M328+Table11819202310303132353839404148111518202837535450[[#This Row],[اجمالي الفاتوره]]-Table11819202310303132353839404148111518202837535450[[#This Row],[الدفعات]]</f>
        <v>74.190000000002328</v>
      </c>
      <c r="O329" s="48"/>
    </row>
    <row r="330" spans="9:15" ht="21.75" customHeight="1" x14ac:dyDescent="0.3">
      <c r="I330" s="1">
        <f>0.03*Table11819202310303132353839404148111518202837535450[[#This Row],[النولون]]</f>
        <v>0</v>
      </c>
      <c r="K33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30" s="1">
        <f>M329+Table11819202310303132353839404148111518202837535450[[#This Row],[اجمالي الفاتوره]]-Table11819202310303132353839404148111518202837535450[[#This Row],[الدفعات]]</f>
        <v>74.190000000002328</v>
      </c>
      <c r="O330" s="48"/>
    </row>
    <row r="331" spans="9:15" ht="21.75" customHeight="1" x14ac:dyDescent="0.3">
      <c r="I331" s="1">
        <f>0.03*Table11819202310303132353839404148111518202837535450[[#This Row],[النولون]]</f>
        <v>0</v>
      </c>
      <c r="K33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31" s="1">
        <f>M330+Table11819202310303132353839404148111518202837535450[[#This Row],[اجمالي الفاتوره]]-Table11819202310303132353839404148111518202837535450[[#This Row],[الدفعات]]</f>
        <v>74.190000000002328</v>
      </c>
      <c r="O331" s="48"/>
    </row>
    <row r="332" spans="9:15" ht="21.75" customHeight="1" x14ac:dyDescent="0.3">
      <c r="I332" s="1">
        <f>0.03*Table11819202310303132353839404148111518202837535450[[#This Row],[النولون]]</f>
        <v>0</v>
      </c>
      <c r="K33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32" s="1">
        <f>M331+Table11819202310303132353839404148111518202837535450[[#This Row],[اجمالي الفاتوره]]-Table11819202310303132353839404148111518202837535450[[#This Row],[الدفعات]]</f>
        <v>74.190000000002328</v>
      </c>
      <c r="O332" s="48"/>
    </row>
    <row r="333" spans="9:15" ht="21.75" customHeight="1" x14ac:dyDescent="0.3">
      <c r="I333" s="1">
        <f>0.03*Table11819202310303132353839404148111518202837535450[[#This Row],[النولون]]</f>
        <v>0</v>
      </c>
      <c r="K33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33" s="1">
        <f>M332+Table11819202310303132353839404148111518202837535450[[#This Row],[اجمالي الفاتوره]]-Table11819202310303132353839404148111518202837535450[[#This Row],[الدفعات]]</f>
        <v>74.190000000002328</v>
      </c>
      <c r="O333" s="48"/>
    </row>
    <row r="334" spans="9:15" ht="21.75" customHeight="1" x14ac:dyDescent="0.3">
      <c r="I334" s="1">
        <f>0.03*Table11819202310303132353839404148111518202837535450[[#This Row],[النولون]]</f>
        <v>0</v>
      </c>
      <c r="K33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34" s="1">
        <f>M333+Table11819202310303132353839404148111518202837535450[[#This Row],[اجمالي الفاتوره]]-Table11819202310303132353839404148111518202837535450[[#This Row],[الدفعات]]</f>
        <v>74.190000000002328</v>
      </c>
      <c r="O334" s="48"/>
    </row>
    <row r="335" spans="9:15" ht="21.75" customHeight="1" x14ac:dyDescent="0.3">
      <c r="I335" s="1">
        <f>0.03*Table11819202310303132353839404148111518202837535450[[#This Row],[النولون]]</f>
        <v>0</v>
      </c>
      <c r="K33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35" s="1">
        <f>M334+Table11819202310303132353839404148111518202837535450[[#This Row],[اجمالي الفاتوره]]-Table11819202310303132353839404148111518202837535450[[#This Row],[الدفعات]]</f>
        <v>74.190000000002328</v>
      </c>
      <c r="O335" s="48"/>
    </row>
    <row r="336" spans="9:15" ht="21.75" customHeight="1" x14ac:dyDescent="0.3">
      <c r="I336" s="1">
        <f>0.03*Table11819202310303132353839404148111518202837535450[[#This Row],[النولون]]</f>
        <v>0</v>
      </c>
      <c r="K33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36" s="1">
        <f>M335+Table11819202310303132353839404148111518202837535450[[#This Row],[اجمالي الفاتوره]]-Table11819202310303132353839404148111518202837535450[[#This Row],[الدفعات]]</f>
        <v>74.190000000002328</v>
      </c>
      <c r="O336" s="48"/>
    </row>
    <row r="337" spans="9:15" ht="21.75" customHeight="1" x14ac:dyDescent="0.3">
      <c r="I337" s="1">
        <f>0.03*Table11819202310303132353839404148111518202837535450[[#This Row],[النولون]]</f>
        <v>0</v>
      </c>
      <c r="K33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37" s="1">
        <f>M336+Table11819202310303132353839404148111518202837535450[[#This Row],[اجمالي الفاتوره]]-Table11819202310303132353839404148111518202837535450[[#This Row],[الدفعات]]</f>
        <v>74.190000000002328</v>
      </c>
      <c r="O337" s="48"/>
    </row>
    <row r="338" spans="9:15" ht="21.75" customHeight="1" x14ac:dyDescent="0.3">
      <c r="I338" s="1">
        <f>0.03*Table11819202310303132353839404148111518202837535450[[#This Row],[النولون]]</f>
        <v>0</v>
      </c>
      <c r="K33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38" s="1">
        <f>M337+Table11819202310303132353839404148111518202837535450[[#This Row],[اجمالي الفاتوره]]-Table11819202310303132353839404148111518202837535450[[#This Row],[الدفعات]]</f>
        <v>74.190000000002328</v>
      </c>
      <c r="O338" s="48"/>
    </row>
    <row r="339" spans="9:15" ht="21.75" customHeight="1" x14ac:dyDescent="0.3">
      <c r="I339" s="1">
        <f>0.03*Table11819202310303132353839404148111518202837535450[[#This Row],[النولون]]</f>
        <v>0</v>
      </c>
      <c r="K33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39" s="1">
        <f>M338+Table11819202310303132353839404148111518202837535450[[#This Row],[اجمالي الفاتوره]]-Table11819202310303132353839404148111518202837535450[[#This Row],[الدفعات]]</f>
        <v>74.190000000002328</v>
      </c>
      <c r="O339" s="48"/>
    </row>
    <row r="340" spans="9:15" ht="21.75" customHeight="1" x14ac:dyDescent="0.3">
      <c r="I340" s="1">
        <f>0.03*Table11819202310303132353839404148111518202837535450[[#This Row],[النولون]]</f>
        <v>0</v>
      </c>
      <c r="K34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40" s="1">
        <f>M339+Table11819202310303132353839404148111518202837535450[[#This Row],[اجمالي الفاتوره]]-Table11819202310303132353839404148111518202837535450[[#This Row],[الدفعات]]</f>
        <v>74.190000000002328</v>
      </c>
      <c r="O340" s="48"/>
    </row>
    <row r="341" spans="9:15" ht="21.75" customHeight="1" x14ac:dyDescent="0.3">
      <c r="I341" s="1">
        <f>0.03*Table11819202310303132353839404148111518202837535450[[#This Row],[النولون]]</f>
        <v>0</v>
      </c>
      <c r="K34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41" s="1">
        <f>M340+Table11819202310303132353839404148111518202837535450[[#This Row],[اجمالي الفاتوره]]-Table11819202310303132353839404148111518202837535450[[#This Row],[الدفعات]]</f>
        <v>74.190000000002328</v>
      </c>
      <c r="O341" s="48"/>
    </row>
    <row r="342" spans="9:15" ht="21.75" customHeight="1" x14ac:dyDescent="0.3">
      <c r="I342" s="1">
        <f>0.03*Table11819202310303132353839404148111518202837535450[[#This Row],[النولون]]</f>
        <v>0</v>
      </c>
      <c r="K34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42" s="1">
        <f>M341+Table11819202310303132353839404148111518202837535450[[#This Row],[اجمالي الفاتوره]]-Table11819202310303132353839404148111518202837535450[[#This Row],[الدفعات]]</f>
        <v>74.190000000002328</v>
      </c>
      <c r="O342" s="48"/>
    </row>
    <row r="343" spans="9:15" ht="21.75" customHeight="1" x14ac:dyDescent="0.3">
      <c r="I343" s="1">
        <f>0.03*Table11819202310303132353839404148111518202837535450[[#This Row],[النولون]]</f>
        <v>0</v>
      </c>
      <c r="K34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43" s="1">
        <f>M342+Table11819202310303132353839404148111518202837535450[[#This Row],[اجمالي الفاتوره]]-Table11819202310303132353839404148111518202837535450[[#This Row],[الدفعات]]</f>
        <v>74.190000000002328</v>
      </c>
      <c r="O343" s="48"/>
    </row>
    <row r="344" spans="9:15" ht="21.75" customHeight="1" x14ac:dyDescent="0.3">
      <c r="I344" s="1">
        <f>0.03*Table11819202310303132353839404148111518202837535450[[#This Row],[النولون]]</f>
        <v>0</v>
      </c>
      <c r="K34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44" s="1">
        <f>M343+Table11819202310303132353839404148111518202837535450[[#This Row],[اجمالي الفاتوره]]-Table11819202310303132353839404148111518202837535450[[#This Row],[الدفعات]]</f>
        <v>74.190000000002328</v>
      </c>
      <c r="O344" s="48"/>
    </row>
    <row r="345" spans="9:15" ht="21.75" customHeight="1" x14ac:dyDescent="0.3">
      <c r="I345" s="1">
        <f>0.03*Table11819202310303132353839404148111518202837535450[[#This Row],[النولون]]</f>
        <v>0</v>
      </c>
      <c r="K345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45" s="1">
        <f>M344+Table11819202310303132353839404148111518202837535450[[#This Row],[اجمالي الفاتوره]]-Table11819202310303132353839404148111518202837535450[[#This Row],[الدفعات]]</f>
        <v>74.190000000002328</v>
      </c>
      <c r="O345" s="48"/>
    </row>
    <row r="346" spans="9:15" ht="21.75" customHeight="1" x14ac:dyDescent="0.3">
      <c r="I346" s="1">
        <f>0.03*Table11819202310303132353839404148111518202837535450[[#This Row],[النولون]]</f>
        <v>0</v>
      </c>
      <c r="K346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46" s="1">
        <f>M345+Table11819202310303132353839404148111518202837535450[[#This Row],[اجمالي الفاتوره]]-Table11819202310303132353839404148111518202837535450[[#This Row],[الدفعات]]</f>
        <v>74.190000000002328</v>
      </c>
      <c r="O346" s="48"/>
    </row>
    <row r="347" spans="9:15" ht="21.75" customHeight="1" x14ac:dyDescent="0.3">
      <c r="I347" s="1">
        <f>0.03*Table11819202310303132353839404148111518202837535450[[#This Row],[النولون]]</f>
        <v>0</v>
      </c>
      <c r="K347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47" s="1">
        <f>M346+Table11819202310303132353839404148111518202837535450[[#This Row],[اجمالي الفاتوره]]-Table11819202310303132353839404148111518202837535450[[#This Row],[الدفعات]]</f>
        <v>74.190000000002328</v>
      </c>
      <c r="O347" s="48"/>
    </row>
    <row r="348" spans="9:15" ht="21.75" customHeight="1" x14ac:dyDescent="0.3">
      <c r="I348" s="1">
        <f>0.03*Table11819202310303132353839404148111518202837535450[[#This Row],[النولون]]</f>
        <v>0</v>
      </c>
      <c r="K348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48" s="1">
        <f>M347+Table11819202310303132353839404148111518202837535450[[#This Row],[اجمالي الفاتوره]]-Table11819202310303132353839404148111518202837535450[[#This Row],[الدفعات]]</f>
        <v>74.190000000002328</v>
      </c>
      <c r="O348" s="48"/>
    </row>
    <row r="349" spans="9:15" ht="21.75" customHeight="1" x14ac:dyDescent="0.3">
      <c r="I349" s="1">
        <f>0.03*Table11819202310303132353839404148111518202837535450[[#This Row],[النولون]]</f>
        <v>0</v>
      </c>
      <c r="K349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49" s="1">
        <f>M348+Table11819202310303132353839404148111518202837535450[[#This Row],[اجمالي الفاتوره]]-Table11819202310303132353839404148111518202837535450[[#This Row],[الدفعات]]</f>
        <v>74.190000000002328</v>
      </c>
      <c r="O349" s="48"/>
    </row>
    <row r="350" spans="9:15" ht="21.75" customHeight="1" x14ac:dyDescent="0.3">
      <c r="I350" s="1">
        <f>0.03*Table11819202310303132353839404148111518202837535450[[#This Row],[النولون]]</f>
        <v>0</v>
      </c>
      <c r="K350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50" s="1">
        <f>M349+Table11819202310303132353839404148111518202837535450[[#This Row],[اجمالي الفاتوره]]-Table11819202310303132353839404148111518202837535450[[#This Row],[الدفعات]]</f>
        <v>74.190000000002328</v>
      </c>
      <c r="O350" s="48"/>
    </row>
    <row r="351" spans="9:15" ht="21.75" customHeight="1" x14ac:dyDescent="0.3">
      <c r="I351" s="1">
        <f>0.03*Table11819202310303132353839404148111518202837535450[[#This Row],[النولون]]</f>
        <v>0</v>
      </c>
      <c r="K351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51" s="1">
        <f>M350+Table11819202310303132353839404148111518202837535450[[#This Row],[اجمالي الفاتوره]]-Table11819202310303132353839404148111518202837535450[[#This Row],[الدفعات]]</f>
        <v>74.190000000002328</v>
      </c>
      <c r="O351" s="48"/>
    </row>
    <row r="352" spans="9:15" ht="21.75" customHeight="1" x14ac:dyDescent="0.3">
      <c r="I352" s="1">
        <f>0.03*Table11819202310303132353839404148111518202837535450[[#This Row],[النولون]]</f>
        <v>0</v>
      </c>
      <c r="K352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52" s="1">
        <f>M351+Table11819202310303132353839404148111518202837535450[[#This Row],[اجمالي الفاتوره]]-Table11819202310303132353839404148111518202837535450[[#This Row],[الدفعات]]</f>
        <v>74.190000000002328</v>
      </c>
      <c r="O352" s="48"/>
    </row>
    <row r="353" spans="9:15" ht="21.75" customHeight="1" x14ac:dyDescent="0.3">
      <c r="I353" s="1">
        <f>0.03*Table11819202310303132353839404148111518202837535450[[#This Row],[النولون]]</f>
        <v>0</v>
      </c>
      <c r="K353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53" s="1">
        <f>M352+Table11819202310303132353839404148111518202837535450[[#This Row],[اجمالي الفاتوره]]-Table11819202310303132353839404148111518202837535450[[#This Row],[الدفعات]]</f>
        <v>74.190000000002328</v>
      </c>
      <c r="O353" s="48"/>
    </row>
    <row r="354" spans="9:15" ht="21.75" customHeight="1" x14ac:dyDescent="0.3">
      <c r="I354" s="1">
        <f>0.03*Table11819202310303132353839404148111518202837535450[[#This Row],[النولون]]</f>
        <v>0</v>
      </c>
      <c r="K354" s="1">
        <f>Table11819202310303132353839404148111518202837535450[[#This Row],[النولون]]+Table11819202310303132353839404148111518202837535450[[#This Row],[الايصالات]]-Table11819202310303132353839404148111518202837535450[[#This Row],[خصم أ ت ص]]+Table11819202310303132353839404148111518202837535450[[#This Row],[قيمة مضافة]]</f>
        <v>0</v>
      </c>
      <c r="M354" s="1">
        <f>M353+Table11819202310303132353839404148111518202837535450[[#This Row],[اجمالي الفاتوره]]-Table11819202310303132353839404148111518202837535450[[#This Row],[الدفعات]]</f>
        <v>74.190000000002328</v>
      </c>
      <c r="O354" s="48"/>
    </row>
  </sheetData>
  <phoneticPr fontId="2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340"/>
  <sheetViews>
    <sheetView rightToLeft="1" zoomScaleNormal="100" workbookViewId="0">
      <selection activeCell="J5" sqref="J5"/>
    </sheetView>
  </sheetViews>
  <sheetFormatPr defaultColWidth="9.109375" defaultRowHeight="15.6" x14ac:dyDescent="0.3"/>
  <cols>
    <col min="1" max="1" width="5.44140625" style="1" customWidth="1"/>
    <col min="2" max="2" width="11" style="1" customWidth="1"/>
    <col min="3" max="3" width="15.109375" style="1" customWidth="1"/>
    <col min="4" max="4" width="12.33203125" style="1" bestFit="1" customWidth="1"/>
    <col min="5" max="5" width="13.33203125" style="1" customWidth="1"/>
    <col min="6" max="6" width="13" style="1" customWidth="1"/>
    <col min="7" max="7" width="11.6640625" style="1" customWidth="1"/>
    <col min="8" max="8" width="11.77734375" style="1" customWidth="1"/>
    <col min="9" max="9" width="8.21875" style="1" customWidth="1"/>
    <col min="10" max="10" width="10.77734375" style="1" customWidth="1"/>
    <col min="11" max="11" width="12" style="1" customWidth="1"/>
    <col min="12" max="12" width="17.21875" style="1" bestFit="1" customWidth="1"/>
    <col min="13" max="13" width="15.21875" style="1" customWidth="1"/>
    <col min="14" max="14" width="9" style="1" customWidth="1"/>
    <col min="15" max="15" width="9.109375" style="6"/>
    <col min="16" max="16384" width="9.109375" style="1"/>
  </cols>
  <sheetData>
    <row r="1" spans="1:15" ht="26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8" t="s">
        <v>20</v>
      </c>
    </row>
    <row r="2" spans="1:15" ht="26.25" customHeight="1" x14ac:dyDescent="0.3">
      <c r="A2" s="1">
        <v>1</v>
      </c>
      <c r="B2" s="2" t="s">
        <v>237</v>
      </c>
      <c r="C2" s="1" t="s">
        <v>250</v>
      </c>
      <c r="D2" s="1" t="s">
        <v>251</v>
      </c>
      <c r="E2" s="1">
        <v>312</v>
      </c>
      <c r="F2" s="1" t="s">
        <v>92</v>
      </c>
      <c r="G2" s="1">
        <f>19800*2</f>
        <v>39600</v>
      </c>
      <c r="J2" s="1">
        <f>1100+1100+418.61+404.47+410+120+79*2+900+200+517+8518+2400</f>
        <v>16246.08</v>
      </c>
      <c r="K2" s="1">
        <f>Table1181920231030313236[[#This Row],[النولون]]+Table1181920231030313236[[#This Row],[الايصالات]]-Table1181920231030313236[[#This Row],[خصم أ ت ص]]+Table1181920231030313236[[#This Row],[قيمة مضافة]]</f>
        <v>55846.080000000002</v>
      </c>
      <c r="M2" s="1">
        <f>Table1181920231030313236[[#This Row],[اجمالي الفاتوره]]</f>
        <v>55846.080000000002</v>
      </c>
      <c r="O2" s="48"/>
    </row>
    <row r="3" spans="1:15" ht="26.25" customHeight="1" x14ac:dyDescent="0.3">
      <c r="A3" s="72"/>
      <c r="B3" s="73" t="s">
        <v>288</v>
      </c>
      <c r="C3" s="72"/>
      <c r="D3" s="72"/>
      <c r="E3" s="72"/>
      <c r="F3" s="72"/>
      <c r="G3" s="72"/>
      <c r="H3" s="72"/>
      <c r="I3" s="72"/>
      <c r="J3" s="72"/>
      <c r="K3" s="72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L3" s="72">
        <v>55846</v>
      </c>
      <c r="M3" s="72">
        <f>M2+Table1181920231030313236[[#This Row],[اجمالي الفاتوره]]-Table1181920231030313236[[#This Row],[الدفعات]]</f>
        <v>8.000000000174623E-2</v>
      </c>
      <c r="O3" s="48"/>
    </row>
    <row r="4" spans="1:15" ht="26.25" customHeight="1" x14ac:dyDescent="0.3">
      <c r="A4" s="1">
        <v>2</v>
      </c>
      <c r="B4" s="2">
        <v>46202</v>
      </c>
      <c r="C4" s="1" t="s">
        <v>643</v>
      </c>
      <c r="D4" s="1" t="s">
        <v>431</v>
      </c>
      <c r="E4" s="1">
        <v>272414402</v>
      </c>
      <c r="F4" s="1" t="s">
        <v>181</v>
      </c>
      <c r="G4" s="1">
        <f>4*17500</f>
        <v>70000</v>
      </c>
      <c r="J4" s="1">
        <f>850+850+1100*4+474.05+469.63+469.63+451.8+1990+9180+18460</f>
        <v>37595.11</v>
      </c>
      <c r="K4" s="1">
        <f>Table1181920231030313236[[#This Row],[النولون]]+Table1181920231030313236[[#This Row],[الايصالات]]-Table1181920231030313236[[#This Row],[خصم أ ت ص]]+Table1181920231030313236[[#This Row],[قيمة مضافة]]</f>
        <v>107595.11</v>
      </c>
      <c r="M4" s="1">
        <f>M3+Table1181920231030313236[[#This Row],[اجمالي الفاتوره]]-Table1181920231030313236[[#This Row],[الدفعات]]</f>
        <v>107595.19</v>
      </c>
      <c r="O4" s="48"/>
    </row>
    <row r="5" spans="1:15" ht="26.25" customHeight="1" x14ac:dyDescent="0.3">
      <c r="B5" s="2"/>
      <c r="K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5" s="1">
        <f>M4+Table1181920231030313236[[#This Row],[اجمالي الفاتوره]]-Table1181920231030313236[[#This Row],[الدفعات]]</f>
        <v>107595.19</v>
      </c>
      <c r="O5" s="48"/>
    </row>
    <row r="6" spans="1:15" ht="26.25" customHeight="1" x14ac:dyDescent="0.3">
      <c r="B6" s="2"/>
      <c r="K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6" s="1">
        <f>M5+Table1181920231030313236[[#This Row],[اجمالي الفاتوره]]-Table1181920231030313236[[#This Row],[الدفعات]]</f>
        <v>107595.19</v>
      </c>
      <c r="O6" s="48"/>
    </row>
    <row r="7" spans="1:15" ht="26.25" customHeight="1" x14ac:dyDescent="0.3">
      <c r="B7" s="2"/>
      <c r="K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7" s="1">
        <f>M6+Table1181920231030313236[[#This Row],[اجمالي الفاتوره]]-Table1181920231030313236[[#This Row],[الدفعات]]</f>
        <v>107595.19</v>
      </c>
      <c r="O7" s="48"/>
    </row>
    <row r="8" spans="1:15" ht="26.25" customHeight="1" x14ac:dyDescent="0.3">
      <c r="A8" s="41"/>
      <c r="B8" s="45"/>
      <c r="C8" s="41"/>
      <c r="D8" s="41"/>
      <c r="E8" s="41"/>
      <c r="F8" s="41"/>
      <c r="G8" s="41"/>
      <c r="H8" s="41"/>
      <c r="I8" s="41"/>
      <c r="J8" s="41"/>
      <c r="K8" s="4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L8" s="41"/>
      <c r="M8" s="1">
        <f>M7+Table1181920231030313236[[#This Row],[اجمالي الفاتوره]]-Table1181920231030313236[[#This Row],[الدفعات]]</f>
        <v>107595.19</v>
      </c>
      <c r="N8" s="41"/>
      <c r="O8" s="48"/>
    </row>
    <row r="9" spans="1:15" ht="26.25" customHeight="1" x14ac:dyDescent="0.3">
      <c r="B9" s="2"/>
      <c r="F9" s="30"/>
      <c r="K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9" s="1">
        <f>M8+Table1181920231030313236[[#This Row],[اجمالي الفاتوره]]-Table1181920231030313236[[#This Row],[الدفعات]]</f>
        <v>107595.19</v>
      </c>
      <c r="O9" s="48"/>
    </row>
    <row r="10" spans="1:15" ht="26.25" customHeight="1" x14ac:dyDescent="0.3">
      <c r="B10" s="2"/>
      <c r="K1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0" s="1">
        <f>M9+Table1181920231030313236[[#This Row],[اجمالي الفاتوره]]-Table1181920231030313236[[#This Row],[الدفعات]]</f>
        <v>107595.19</v>
      </c>
      <c r="N10" s="1">
        <f>SUM(K:K)-SUM(L:L)</f>
        <v>107595.19</v>
      </c>
      <c r="O10" s="48">
        <f>SUM(H:H)</f>
        <v>0</v>
      </c>
    </row>
    <row r="11" spans="1:15" ht="26.25" customHeight="1" x14ac:dyDescent="0.3">
      <c r="B11" s="2"/>
      <c r="K1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1" s="1">
        <f>M10+Table1181920231030313236[[#This Row],[اجمالي الفاتوره]]-Table1181920231030313236[[#This Row],[الدفعات]]</f>
        <v>107595.19</v>
      </c>
      <c r="O11" s="48"/>
    </row>
    <row r="12" spans="1:15" ht="26.25" customHeight="1" x14ac:dyDescent="0.3">
      <c r="B12" s="2"/>
      <c r="K1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2" s="1">
        <f>M11+Table1181920231030313236[[#This Row],[اجمالي الفاتوره]]-Table1181920231030313236[[#This Row],[الدفعات]]</f>
        <v>107595.19</v>
      </c>
      <c r="O12" s="48"/>
    </row>
    <row r="13" spans="1:15" ht="26.25" customHeight="1" x14ac:dyDescent="0.3">
      <c r="B13" s="2"/>
      <c r="K1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3" s="1">
        <f>M12+Table1181920231030313236[[#This Row],[اجمالي الفاتوره]]-Table1181920231030313236[[#This Row],[الدفعات]]</f>
        <v>107595.19</v>
      </c>
      <c r="O13" s="48"/>
    </row>
    <row r="14" spans="1:15" ht="26.25" customHeight="1" x14ac:dyDescent="0.3">
      <c r="B14" s="2"/>
      <c r="K1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4" s="1">
        <f>M13+Table1181920231030313236[[#This Row],[اجمالي الفاتوره]]-Table1181920231030313236[[#This Row],[الدفعات]]</f>
        <v>107595.19</v>
      </c>
      <c r="O14" s="48"/>
    </row>
    <row r="15" spans="1:15" ht="26.25" customHeight="1" x14ac:dyDescent="0.3">
      <c r="A15" s="41"/>
      <c r="B15" s="45"/>
      <c r="C15" s="45"/>
      <c r="D15" s="41"/>
      <c r="E15" s="41"/>
      <c r="F15" s="41"/>
      <c r="G15" s="41"/>
      <c r="H15" s="41"/>
      <c r="I15" s="41"/>
      <c r="J15" s="41"/>
      <c r="K1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L15" s="41"/>
      <c r="M15" s="1">
        <f>M14+Table1181920231030313236[[#This Row],[اجمالي الفاتوره]]-Table1181920231030313236[[#This Row],[الدفعات]]</f>
        <v>107595.19</v>
      </c>
      <c r="N15" s="41"/>
      <c r="O15" s="48"/>
    </row>
    <row r="16" spans="1:15" ht="26.25" customHeight="1" x14ac:dyDescent="0.3">
      <c r="B16" s="2"/>
      <c r="K1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6" s="1">
        <f>M15+Table1181920231030313236[[#This Row],[اجمالي الفاتوره]]-Table1181920231030313236[[#This Row],[الدفعات]]</f>
        <v>107595.19</v>
      </c>
      <c r="O16" s="48"/>
    </row>
    <row r="17" spans="2:15" ht="26.25" customHeight="1" x14ac:dyDescent="0.3">
      <c r="B17" s="2"/>
      <c r="K1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7" s="1">
        <f>M16+Table1181920231030313236[[#This Row],[اجمالي الفاتوره]]-Table1181920231030313236[[#This Row],[الدفعات]]</f>
        <v>107595.19</v>
      </c>
      <c r="O17" s="48"/>
    </row>
    <row r="18" spans="2:15" ht="26.25" customHeight="1" x14ac:dyDescent="0.3">
      <c r="B18" s="2"/>
      <c r="K1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8" s="1">
        <f>M17+Table1181920231030313236[[#This Row],[اجمالي الفاتوره]]-Table1181920231030313236[[#This Row],[الدفعات]]</f>
        <v>107595.19</v>
      </c>
      <c r="O18" s="48"/>
    </row>
    <row r="19" spans="2:15" ht="26.25" customHeight="1" x14ac:dyDescent="0.3">
      <c r="B19" s="2"/>
      <c r="K1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9" s="1">
        <f>M18+Table1181920231030313236[[#This Row],[اجمالي الفاتوره]]-Table1181920231030313236[[#This Row],[الدفعات]]</f>
        <v>107595.19</v>
      </c>
      <c r="O19" s="48"/>
    </row>
    <row r="20" spans="2:15" ht="26.25" customHeight="1" x14ac:dyDescent="0.3">
      <c r="B20" s="2"/>
      <c r="K2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0" s="1">
        <f>M19+Table1181920231030313236[[#This Row],[اجمالي الفاتوره]]-Table1181920231030313236[[#This Row],[الدفعات]]</f>
        <v>107595.19</v>
      </c>
      <c r="O20" s="48"/>
    </row>
    <row r="21" spans="2:15" ht="26.25" customHeight="1" x14ac:dyDescent="0.3">
      <c r="B21" s="2"/>
      <c r="K2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1" s="1">
        <f>M20+Table1181920231030313236[[#This Row],[اجمالي الفاتوره]]-Table1181920231030313236[[#This Row],[الدفعات]]</f>
        <v>107595.19</v>
      </c>
      <c r="O21" s="48"/>
    </row>
    <row r="22" spans="2:15" ht="26.25" customHeight="1" x14ac:dyDescent="0.3">
      <c r="B22" s="2"/>
      <c r="K2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2" s="1">
        <f>M21+Table1181920231030313236[[#This Row],[اجمالي الفاتوره]]-Table1181920231030313236[[#This Row],[الدفعات]]</f>
        <v>107595.19</v>
      </c>
      <c r="O22" s="48"/>
    </row>
    <row r="23" spans="2:15" ht="26.25" customHeight="1" x14ac:dyDescent="0.3">
      <c r="B23" s="2"/>
      <c r="K2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3" s="1">
        <f>M22+Table1181920231030313236[[#This Row],[اجمالي الفاتوره]]-Table1181920231030313236[[#This Row],[الدفعات]]</f>
        <v>107595.19</v>
      </c>
      <c r="O23" s="48"/>
    </row>
    <row r="24" spans="2:15" ht="26.25" customHeight="1" x14ac:dyDescent="0.3">
      <c r="B24" s="2"/>
      <c r="K2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4" s="1">
        <f>M23+Table1181920231030313236[[#This Row],[اجمالي الفاتوره]]-Table1181920231030313236[[#This Row],[الدفعات]]</f>
        <v>107595.19</v>
      </c>
      <c r="O24" s="48"/>
    </row>
    <row r="25" spans="2:15" ht="26.25" customHeight="1" x14ac:dyDescent="0.3">
      <c r="B25" s="2"/>
      <c r="K2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5" s="1">
        <f>M24+Table1181920231030313236[[#This Row],[اجمالي الفاتوره]]-Table1181920231030313236[[#This Row],[الدفعات]]</f>
        <v>107595.19</v>
      </c>
      <c r="O25" s="48"/>
    </row>
    <row r="26" spans="2:15" ht="26.25" customHeight="1" x14ac:dyDescent="0.3">
      <c r="K2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6" s="1">
        <f>M25+Table1181920231030313236[[#This Row],[اجمالي الفاتوره]]-Table1181920231030313236[[#This Row],[الدفعات]]</f>
        <v>107595.19</v>
      </c>
      <c r="O26" s="48"/>
    </row>
    <row r="27" spans="2:15" ht="26.25" customHeight="1" x14ac:dyDescent="0.3">
      <c r="K2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7" s="1">
        <f>M26+Table1181920231030313236[[#This Row],[اجمالي الفاتوره]]-Table1181920231030313236[[#This Row],[الدفعات]]</f>
        <v>107595.19</v>
      </c>
      <c r="O27" s="48"/>
    </row>
    <row r="28" spans="2:15" ht="26.25" customHeight="1" x14ac:dyDescent="0.3">
      <c r="B28" s="2"/>
      <c r="K2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8" s="1">
        <f>M27+Table1181920231030313236[[#This Row],[اجمالي الفاتوره]]-Table1181920231030313236[[#This Row],[الدفعات]]</f>
        <v>107595.19</v>
      </c>
      <c r="O28" s="48"/>
    </row>
    <row r="29" spans="2:15" ht="26.25" customHeight="1" x14ac:dyDescent="0.3">
      <c r="B29" s="2"/>
      <c r="K2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9" s="1">
        <f>M28+Table1181920231030313236[[#This Row],[اجمالي الفاتوره]]-Table1181920231030313236[[#This Row],[الدفعات]]</f>
        <v>107595.19</v>
      </c>
      <c r="O29" s="48"/>
    </row>
    <row r="30" spans="2:15" ht="26.25" customHeight="1" x14ac:dyDescent="0.3">
      <c r="B30" s="2"/>
      <c r="K3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0" s="1">
        <f>M29+Table1181920231030313236[[#This Row],[اجمالي الفاتوره]]-Table1181920231030313236[[#This Row],[الدفعات]]</f>
        <v>107595.19</v>
      </c>
      <c r="O30" s="48"/>
    </row>
    <row r="31" spans="2:15" ht="26.25" customHeight="1" x14ac:dyDescent="0.3">
      <c r="B31" s="2"/>
      <c r="K3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1" s="1">
        <f>M30+Table1181920231030313236[[#This Row],[اجمالي الفاتوره]]-Table1181920231030313236[[#This Row],[الدفعات]]</f>
        <v>107595.19</v>
      </c>
      <c r="O31" s="48"/>
    </row>
    <row r="32" spans="2:15" ht="26.25" customHeight="1" x14ac:dyDescent="0.3">
      <c r="K3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2" s="1">
        <f>M31+Table1181920231030313236[[#This Row],[اجمالي الفاتوره]]-Table1181920231030313236[[#This Row],[الدفعات]]</f>
        <v>107595.19</v>
      </c>
      <c r="O32" s="48"/>
    </row>
    <row r="33" spans="2:15" ht="26.25" customHeight="1" x14ac:dyDescent="0.3">
      <c r="B33" s="2"/>
      <c r="K3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3" s="1">
        <f>M32+Table1181920231030313236[[#This Row],[اجمالي الفاتوره]]-Table1181920231030313236[[#This Row],[الدفعات]]</f>
        <v>107595.19</v>
      </c>
      <c r="O33" s="48"/>
    </row>
    <row r="34" spans="2:15" ht="26.25" customHeight="1" x14ac:dyDescent="0.3">
      <c r="K3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4" s="1">
        <f>M33+Table1181920231030313236[[#This Row],[اجمالي الفاتوره]]-Table1181920231030313236[[#This Row],[الدفعات]]</f>
        <v>107595.19</v>
      </c>
      <c r="O34" s="48"/>
    </row>
    <row r="35" spans="2:15" ht="26.25" customHeight="1" x14ac:dyDescent="0.3">
      <c r="K3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5" s="1">
        <f>M34+Table1181920231030313236[[#This Row],[اجمالي الفاتوره]]-Table1181920231030313236[[#This Row],[الدفعات]]</f>
        <v>107595.19</v>
      </c>
      <c r="O35" s="48"/>
    </row>
    <row r="36" spans="2:15" ht="26.25" customHeight="1" x14ac:dyDescent="0.3">
      <c r="K3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6" s="1">
        <f>M35+Table1181920231030313236[[#This Row],[اجمالي الفاتوره]]-Table1181920231030313236[[#This Row],[الدفعات]]</f>
        <v>107595.19</v>
      </c>
      <c r="O36" s="48"/>
    </row>
    <row r="37" spans="2:15" ht="26.25" customHeight="1" x14ac:dyDescent="0.3">
      <c r="B37" s="2"/>
      <c r="C37" s="2"/>
      <c r="K3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7" s="1">
        <f>M36+Table1181920231030313236[[#This Row],[اجمالي الفاتوره]]-Table1181920231030313236[[#This Row],[الدفعات]]</f>
        <v>107595.19</v>
      </c>
      <c r="O37" s="48"/>
    </row>
    <row r="38" spans="2:15" ht="26.25" customHeight="1" x14ac:dyDescent="0.3">
      <c r="K3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8" s="1">
        <f>M37+Table1181920231030313236[[#This Row],[اجمالي الفاتوره]]-Table1181920231030313236[[#This Row],[الدفعات]]</f>
        <v>107595.19</v>
      </c>
      <c r="O38" s="48"/>
    </row>
    <row r="39" spans="2:15" ht="26.25" customHeight="1" x14ac:dyDescent="0.3">
      <c r="K3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9" s="1">
        <f>M38+Table1181920231030313236[[#This Row],[اجمالي الفاتوره]]-Table1181920231030313236[[#This Row],[الدفعات]]</f>
        <v>107595.19</v>
      </c>
      <c r="O39" s="48"/>
    </row>
    <row r="40" spans="2:15" ht="26.25" customHeight="1" x14ac:dyDescent="0.3">
      <c r="K4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40" s="1">
        <f>M39+Table1181920231030313236[[#This Row],[اجمالي الفاتوره]]-Table1181920231030313236[[#This Row],[الدفعات]]</f>
        <v>107595.19</v>
      </c>
      <c r="O40" s="48"/>
    </row>
    <row r="41" spans="2:15" ht="26.25" customHeight="1" x14ac:dyDescent="0.3">
      <c r="K4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41" s="1">
        <f>M40+Table1181920231030313236[[#This Row],[اجمالي الفاتوره]]-Table1181920231030313236[[#This Row],[الدفعات]]</f>
        <v>107595.19</v>
      </c>
      <c r="O41" s="48"/>
    </row>
    <row r="42" spans="2:15" ht="26.25" customHeight="1" x14ac:dyDescent="0.3">
      <c r="K4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42" s="1">
        <f>M41+Table1181920231030313236[[#This Row],[اجمالي الفاتوره]]-Table1181920231030313236[[#This Row],[الدفعات]]</f>
        <v>107595.19</v>
      </c>
      <c r="O42" s="48"/>
    </row>
    <row r="43" spans="2:15" ht="26.25" customHeight="1" x14ac:dyDescent="0.3">
      <c r="K4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43" s="1">
        <f>M42+Table1181920231030313236[[#This Row],[اجمالي الفاتوره]]-Table1181920231030313236[[#This Row],[الدفعات]]</f>
        <v>107595.19</v>
      </c>
      <c r="O43" s="48"/>
    </row>
    <row r="44" spans="2:15" ht="26.25" customHeight="1" x14ac:dyDescent="0.3">
      <c r="K4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44" s="1">
        <f>M43+Table1181920231030313236[[#This Row],[اجمالي الفاتوره]]-Table1181920231030313236[[#This Row],[الدفعات]]</f>
        <v>107595.19</v>
      </c>
      <c r="O44" s="48"/>
    </row>
    <row r="45" spans="2:15" ht="26.25" customHeight="1" x14ac:dyDescent="0.3">
      <c r="K4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45" s="1">
        <f>M44+Table1181920231030313236[[#This Row],[اجمالي الفاتوره]]-Table1181920231030313236[[#This Row],[الدفعات]]</f>
        <v>107595.19</v>
      </c>
      <c r="O45" s="48"/>
    </row>
    <row r="46" spans="2:15" ht="26.25" customHeight="1" x14ac:dyDescent="0.3">
      <c r="K4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46" s="1">
        <f>M45+Table1181920231030313236[[#This Row],[اجمالي الفاتوره]]-Table1181920231030313236[[#This Row],[الدفعات]]</f>
        <v>107595.19</v>
      </c>
      <c r="O46" s="48"/>
    </row>
    <row r="47" spans="2:15" ht="26.25" customHeight="1" x14ac:dyDescent="0.3">
      <c r="K4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47" s="1">
        <f>M46+Table1181920231030313236[[#This Row],[اجمالي الفاتوره]]-Table1181920231030313236[[#This Row],[الدفعات]]</f>
        <v>107595.19</v>
      </c>
      <c r="O47" s="48"/>
    </row>
    <row r="48" spans="2:15" ht="26.25" customHeight="1" x14ac:dyDescent="0.3">
      <c r="K4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48" s="1">
        <f>M47+Table1181920231030313236[[#This Row],[اجمالي الفاتوره]]-Table1181920231030313236[[#This Row],[الدفعات]]</f>
        <v>107595.19</v>
      </c>
      <c r="O48" s="48"/>
    </row>
    <row r="49" spans="11:15" ht="26.25" customHeight="1" x14ac:dyDescent="0.3">
      <c r="K4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49" s="1">
        <f>M48+Table1181920231030313236[[#This Row],[اجمالي الفاتوره]]-Table1181920231030313236[[#This Row],[الدفعات]]</f>
        <v>107595.19</v>
      </c>
      <c r="O49" s="48"/>
    </row>
    <row r="50" spans="11:15" ht="26.25" customHeight="1" x14ac:dyDescent="0.3">
      <c r="K5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50" s="1">
        <f>M49+Table1181920231030313236[[#This Row],[اجمالي الفاتوره]]-Table1181920231030313236[[#This Row],[الدفعات]]</f>
        <v>107595.19</v>
      </c>
      <c r="O50" s="48"/>
    </row>
    <row r="51" spans="11:15" ht="26.25" customHeight="1" x14ac:dyDescent="0.3">
      <c r="K5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51" s="1">
        <f>M50+Table1181920231030313236[[#This Row],[اجمالي الفاتوره]]-Table1181920231030313236[[#This Row],[الدفعات]]</f>
        <v>107595.19</v>
      </c>
      <c r="O51" s="48"/>
    </row>
    <row r="52" spans="11:15" ht="26.25" customHeight="1" x14ac:dyDescent="0.3">
      <c r="K5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52" s="1">
        <f>M51+Table1181920231030313236[[#This Row],[اجمالي الفاتوره]]-Table1181920231030313236[[#This Row],[الدفعات]]</f>
        <v>107595.19</v>
      </c>
      <c r="O52" s="48"/>
    </row>
    <row r="53" spans="11:15" ht="26.25" customHeight="1" x14ac:dyDescent="0.3">
      <c r="K5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53" s="1">
        <f>M52+Table1181920231030313236[[#This Row],[اجمالي الفاتوره]]-Table1181920231030313236[[#This Row],[الدفعات]]</f>
        <v>107595.19</v>
      </c>
      <c r="O53" s="48"/>
    </row>
    <row r="54" spans="11:15" ht="26.25" customHeight="1" x14ac:dyDescent="0.3">
      <c r="K5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54" s="1">
        <f>M53+Table1181920231030313236[[#This Row],[اجمالي الفاتوره]]-Table1181920231030313236[[#This Row],[الدفعات]]</f>
        <v>107595.19</v>
      </c>
      <c r="O54" s="48"/>
    </row>
    <row r="55" spans="11:15" ht="26.25" customHeight="1" x14ac:dyDescent="0.3">
      <c r="K5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55" s="1">
        <f>M54+Table1181920231030313236[[#This Row],[اجمالي الفاتوره]]-Table1181920231030313236[[#This Row],[الدفعات]]</f>
        <v>107595.19</v>
      </c>
      <c r="O55" s="48"/>
    </row>
    <row r="56" spans="11:15" ht="26.25" customHeight="1" x14ac:dyDescent="0.3">
      <c r="K5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56" s="1">
        <f>M55+Table1181920231030313236[[#This Row],[اجمالي الفاتوره]]-Table1181920231030313236[[#This Row],[الدفعات]]</f>
        <v>107595.19</v>
      </c>
      <c r="O56" s="48"/>
    </row>
    <row r="57" spans="11:15" ht="26.25" customHeight="1" x14ac:dyDescent="0.3">
      <c r="K5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57" s="1">
        <f>M56+Table1181920231030313236[[#This Row],[اجمالي الفاتوره]]-Table1181920231030313236[[#This Row],[الدفعات]]</f>
        <v>107595.19</v>
      </c>
      <c r="O57" s="48"/>
    </row>
    <row r="58" spans="11:15" ht="26.25" customHeight="1" x14ac:dyDescent="0.3">
      <c r="K5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58" s="1">
        <f>M57+Table1181920231030313236[[#This Row],[اجمالي الفاتوره]]-Table1181920231030313236[[#This Row],[الدفعات]]</f>
        <v>107595.19</v>
      </c>
      <c r="O58" s="48"/>
    </row>
    <row r="59" spans="11:15" ht="26.25" customHeight="1" x14ac:dyDescent="0.3">
      <c r="K5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59" s="1">
        <f>M58+Table1181920231030313236[[#This Row],[اجمالي الفاتوره]]-Table1181920231030313236[[#This Row],[الدفعات]]</f>
        <v>107595.19</v>
      </c>
      <c r="O59" s="48"/>
    </row>
    <row r="60" spans="11:15" ht="26.25" customHeight="1" x14ac:dyDescent="0.3">
      <c r="K6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60" s="1">
        <f>M59+Table1181920231030313236[[#This Row],[اجمالي الفاتوره]]-Table1181920231030313236[[#This Row],[الدفعات]]</f>
        <v>107595.19</v>
      </c>
      <c r="O60" s="48"/>
    </row>
    <row r="61" spans="11:15" ht="26.25" customHeight="1" x14ac:dyDescent="0.3">
      <c r="K6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61" s="1">
        <f>M60+Table1181920231030313236[[#This Row],[اجمالي الفاتوره]]-Table1181920231030313236[[#This Row],[الدفعات]]</f>
        <v>107595.19</v>
      </c>
      <c r="O61" s="48"/>
    </row>
    <row r="62" spans="11:15" ht="26.25" customHeight="1" x14ac:dyDescent="0.3">
      <c r="K6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62" s="1">
        <f>M61+Table1181920231030313236[[#This Row],[اجمالي الفاتوره]]-Table1181920231030313236[[#This Row],[الدفعات]]</f>
        <v>107595.19</v>
      </c>
      <c r="O62" s="48"/>
    </row>
    <row r="63" spans="11:15" ht="26.25" customHeight="1" x14ac:dyDescent="0.3">
      <c r="K6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63" s="1">
        <f>M62+Table1181920231030313236[[#This Row],[اجمالي الفاتوره]]-Table1181920231030313236[[#This Row],[الدفعات]]</f>
        <v>107595.19</v>
      </c>
      <c r="O63" s="48"/>
    </row>
    <row r="64" spans="11:15" ht="26.25" customHeight="1" x14ac:dyDescent="0.3">
      <c r="K6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64" s="1">
        <f>M63+Table1181920231030313236[[#This Row],[اجمالي الفاتوره]]-Table1181920231030313236[[#This Row],[الدفعات]]</f>
        <v>107595.19</v>
      </c>
      <c r="O64" s="48"/>
    </row>
    <row r="65" spans="11:15" ht="26.25" customHeight="1" x14ac:dyDescent="0.3">
      <c r="K6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65" s="1">
        <f>M64+Table1181920231030313236[[#This Row],[اجمالي الفاتوره]]-Table1181920231030313236[[#This Row],[الدفعات]]</f>
        <v>107595.19</v>
      </c>
      <c r="O65" s="48"/>
    </row>
    <row r="66" spans="11:15" ht="26.25" customHeight="1" x14ac:dyDescent="0.3">
      <c r="K6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66" s="1">
        <f>M65+Table1181920231030313236[[#This Row],[اجمالي الفاتوره]]-Table1181920231030313236[[#This Row],[الدفعات]]</f>
        <v>107595.19</v>
      </c>
      <c r="O66" s="48"/>
    </row>
    <row r="67" spans="11:15" ht="26.25" customHeight="1" x14ac:dyDescent="0.3">
      <c r="K6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67" s="1">
        <f>M66+Table1181920231030313236[[#This Row],[اجمالي الفاتوره]]-Table1181920231030313236[[#This Row],[الدفعات]]</f>
        <v>107595.19</v>
      </c>
      <c r="O67" s="48"/>
    </row>
    <row r="68" spans="11:15" ht="26.25" customHeight="1" x14ac:dyDescent="0.3">
      <c r="K6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68" s="1">
        <f>M67+Table1181920231030313236[[#This Row],[اجمالي الفاتوره]]-Table1181920231030313236[[#This Row],[الدفعات]]</f>
        <v>107595.19</v>
      </c>
      <c r="O68" s="48"/>
    </row>
    <row r="69" spans="11:15" ht="26.25" customHeight="1" x14ac:dyDescent="0.3">
      <c r="K6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69" s="1">
        <f>M68+Table1181920231030313236[[#This Row],[اجمالي الفاتوره]]-Table1181920231030313236[[#This Row],[الدفعات]]</f>
        <v>107595.19</v>
      </c>
      <c r="O69" s="48"/>
    </row>
    <row r="70" spans="11:15" ht="26.25" customHeight="1" x14ac:dyDescent="0.3">
      <c r="K7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70" s="1">
        <f>M69+Table1181920231030313236[[#This Row],[اجمالي الفاتوره]]-Table1181920231030313236[[#This Row],[الدفعات]]</f>
        <v>107595.19</v>
      </c>
      <c r="O70" s="48"/>
    </row>
    <row r="71" spans="11:15" ht="26.25" customHeight="1" x14ac:dyDescent="0.3">
      <c r="K7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71" s="1">
        <f>M70+Table1181920231030313236[[#This Row],[اجمالي الفاتوره]]-Table1181920231030313236[[#This Row],[الدفعات]]</f>
        <v>107595.19</v>
      </c>
      <c r="O71" s="48"/>
    </row>
    <row r="72" spans="11:15" ht="26.25" customHeight="1" x14ac:dyDescent="0.3">
      <c r="K7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72" s="1">
        <f>M71+Table1181920231030313236[[#This Row],[اجمالي الفاتوره]]-Table1181920231030313236[[#This Row],[الدفعات]]</f>
        <v>107595.19</v>
      </c>
      <c r="O72" s="48"/>
    </row>
    <row r="73" spans="11:15" ht="26.25" customHeight="1" x14ac:dyDescent="0.3">
      <c r="K7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73" s="1">
        <f>M72+Table1181920231030313236[[#This Row],[اجمالي الفاتوره]]-Table1181920231030313236[[#This Row],[الدفعات]]</f>
        <v>107595.19</v>
      </c>
      <c r="O73" s="48"/>
    </row>
    <row r="74" spans="11:15" ht="26.25" customHeight="1" x14ac:dyDescent="0.3">
      <c r="K7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74" s="1">
        <f>M73+Table1181920231030313236[[#This Row],[اجمالي الفاتوره]]-Table1181920231030313236[[#This Row],[الدفعات]]</f>
        <v>107595.19</v>
      </c>
      <c r="O74" s="48"/>
    </row>
    <row r="75" spans="11:15" ht="26.25" customHeight="1" x14ac:dyDescent="0.3">
      <c r="K7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75" s="1">
        <f>M74+Table1181920231030313236[[#This Row],[اجمالي الفاتوره]]-Table1181920231030313236[[#This Row],[الدفعات]]</f>
        <v>107595.19</v>
      </c>
      <c r="O75" s="48"/>
    </row>
    <row r="76" spans="11:15" ht="26.25" customHeight="1" x14ac:dyDescent="0.3">
      <c r="K7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76" s="1">
        <f>M75+Table1181920231030313236[[#This Row],[اجمالي الفاتوره]]-Table1181920231030313236[[#This Row],[الدفعات]]</f>
        <v>107595.19</v>
      </c>
      <c r="O76" s="48"/>
    </row>
    <row r="77" spans="11:15" ht="26.25" customHeight="1" x14ac:dyDescent="0.3">
      <c r="K7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77" s="1">
        <f>M76+Table1181920231030313236[[#This Row],[اجمالي الفاتوره]]-Table1181920231030313236[[#This Row],[الدفعات]]</f>
        <v>107595.19</v>
      </c>
      <c r="O77" s="48"/>
    </row>
    <row r="78" spans="11:15" ht="26.25" customHeight="1" x14ac:dyDescent="0.3">
      <c r="K7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78" s="1">
        <f>M77+Table1181920231030313236[[#This Row],[اجمالي الفاتوره]]-Table1181920231030313236[[#This Row],[الدفعات]]</f>
        <v>107595.19</v>
      </c>
      <c r="O78" s="48"/>
    </row>
    <row r="79" spans="11:15" ht="26.25" customHeight="1" x14ac:dyDescent="0.3">
      <c r="K7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79" s="1">
        <f>M78+Table1181920231030313236[[#This Row],[اجمالي الفاتوره]]-Table1181920231030313236[[#This Row],[الدفعات]]</f>
        <v>107595.19</v>
      </c>
      <c r="O79" s="48"/>
    </row>
    <row r="80" spans="11:15" ht="26.25" customHeight="1" x14ac:dyDescent="0.3">
      <c r="K8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80" s="1">
        <f>M79+Table1181920231030313236[[#This Row],[اجمالي الفاتوره]]-Table1181920231030313236[[#This Row],[الدفعات]]</f>
        <v>107595.19</v>
      </c>
      <c r="O80" s="48"/>
    </row>
    <row r="81" spans="11:15" ht="26.25" customHeight="1" x14ac:dyDescent="0.3">
      <c r="K8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81" s="1">
        <f>M80+Table1181920231030313236[[#This Row],[اجمالي الفاتوره]]-Table1181920231030313236[[#This Row],[الدفعات]]</f>
        <v>107595.19</v>
      </c>
      <c r="O81" s="48"/>
    </row>
    <row r="82" spans="11:15" ht="26.25" customHeight="1" x14ac:dyDescent="0.3">
      <c r="K8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82" s="1">
        <f>M81+Table1181920231030313236[[#This Row],[اجمالي الفاتوره]]-Table1181920231030313236[[#This Row],[الدفعات]]</f>
        <v>107595.19</v>
      </c>
      <c r="O82" s="48"/>
    </row>
    <row r="83" spans="11:15" ht="26.25" customHeight="1" x14ac:dyDescent="0.3">
      <c r="K8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83" s="1">
        <f>M82+Table1181920231030313236[[#This Row],[اجمالي الفاتوره]]-Table1181920231030313236[[#This Row],[الدفعات]]</f>
        <v>107595.19</v>
      </c>
      <c r="O83" s="48"/>
    </row>
    <row r="84" spans="11:15" ht="26.25" customHeight="1" x14ac:dyDescent="0.3">
      <c r="K8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84" s="1">
        <f>M83+Table1181920231030313236[[#This Row],[اجمالي الفاتوره]]-Table1181920231030313236[[#This Row],[الدفعات]]</f>
        <v>107595.19</v>
      </c>
      <c r="O84" s="48"/>
    </row>
    <row r="85" spans="11:15" ht="26.25" customHeight="1" x14ac:dyDescent="0.3">
      <c r="K8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85" s="1">
        <f>M84+Table1181920231030313236[[#This Row],[اجمالي الفاتوره]]-Table1181920231030313236[[#This Row],[الدفعات]]</f>
        <v>107595.19</v>
      </c>
      <c r="O85" s="48"/>
    </row>
    <row r="86" spans="11:15" ht="26.25" customHeight="1" x14ac:dyDescent="0.3">
      <c r="K8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86" s="1">
        <f>M85+Table1181920231030313236[[#This Row],[اجمالي الفاتوره]]-Table1181920231030313236[[#This Row],[الدفعات]]</f>
        <v>107595.19</v>
      </c>
      <c r="O86" s="48"/>
    </row>
    <row r="87" spans="11:15" ht="26.25" customHeight="1" x14ac:dyDescent="0.3">
      <c r="K8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87" s="1">
        <f>M86+Table1181920231030313236[[#This Row],[اجمالي الفاتوره]]-Table1181920231030313236[[#This Row],[الدفعات]]</f>
        <v>107595.19</v>
      </c>
      <c r="O87" s="48"/>
    </row>
    <row r="88" spans="11:15" ht="26.25" customHeight="1" x14ac:dyDescent="0.3">
      <c r="K8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88" s="1">
        <f>M87+Table1181920231030313236[[#This Row],[اجمالي الفاتوره]]-Table1181920231030313236[[#This Row],[الدفعات]]</f>
        <v>107595.19</v>
      </c>
      <c r="O88" s="48"/>
    </row>
    <row r="89" spans="11:15" ht="26.25" customHeight="1" x14ac:dyDescent="0.3">
      <c r="K8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89" s="1">
        <f>M88+Table1181920231030313236[[#This Row],[اجمالي الفاتوره]]-Table1181920231030313236[[#This Row],[الدفعات]]</f>
        <v>107595.19</v>
      </c>
      <c r="O89" s="48"/>
    </row>
    <row r="90" spans="11:15" ht="26.25" customHeight="1" x14ac:dyDescent="0.3">
      <c r="K9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90" s="1">
        <f>M89+Table1181920231030313236[[#This Row],[اجمالي الفاتوره]]-Table1181920231030313236[[#This Row],[الدفعات]]</f>
        <v>107595.19</v>
      </c>
      <c r="O90" s="48"/>
    </row>
    <row r="91" spans="11:15" ht="26.25" customHeight="1" x14ac:dyDescent="0.3">
      <c r="K9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91" s="1">
        <f>M90+Table1181920231030313236[[#This Row],[اجمالي الفاتوره]]-Table1181920231030313236[[#This Row],[الدفعات]]</f>
        <v>107595.19</v>
      </c>
      <c r="O91" s="48"/>
    </row>
    <row r="92" spans="11:15" ht="26.25" customHeight="1" x14ac:dyDescent="0.3">
      <c r="K9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92" s="1">
        <f>M91+Table1181920231030313236[[#This Row],[اجمالي الفاتوره]]-Table1181920231030313236[[#This Row],[الدفعات]]</f>
        <v>107595.19</v>
      </c>
      <c r="O92" s="48"/>
    </row>
    <row r="93" spans="11:15" ht="26.25" customHeight="1" x14ac:dyDescent="0.3">
      <c r="K9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93" s="1">
        <f>M92+Table1181920231030313236[[#This Row],[اجمالي الفاتوره]]-Table1181920231030313236[[#This Row],[الدفعات]]</f>
        <v>107595.19</v>
      </c>
      <c r="O93" s="48"/>
    </row>
    <row r="94" spans="11:15" ht="26.25" customHeight="1" x14ac:dyDescent="0.3">
      <c r="K9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94" s="1">
        <f>M93+Table1181920231030313236[[#This Row],[اجمالي الفاتوره]]-Table1181920231030313236[[#This Row],[الدفعات]]</f>
        <v>107595.19</v>
      </c>
      <c r="O94" s="48"/>
    </row>
    <row r="95" spans="11:15" ht="26.25" customHeight="1" x14ac:dyDescent="0.3">
      <c r="K9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95" s="1">
        <f>M94+Table1181920231030313236[[#This Row],[اجمالي الفاتوره]]-Table1181920231030313236[[#This Row],[الدفعات]]</f>
        <v>107595.19</v>
      </c>
      <c r="O95" s="48"/>
    </row>
    <row r="96" spans="11:15" ht="26.25" customHeight="1" x14ac:dyDescent="0.3">
      <c r="K9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96" s="1">
        <f>M95+Table1181920231030313236[[#This Row],[اجمالي الفاتوره]]-Table1181920231030313236[[#This Row],[الدفعات]]</f>
        <v>107595.19</v>
      </c>
      <c r="O96" s="48"/>
    </row>
    <row r="97" spans="11:15" ht="26.25" customHeight="1" x14ac:dyDescent="0.3">
      <c r="K9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97" s="1">
        <f>M96+Table1181920231030313236[[#This Row],[اجمالي الفاتوره]]-Table1181920231030313236[[#This Row],[الدفعات]]</f>
        <v>107595.19</v>
      </c>
      <c r="O97" s="48"/>
    </row>
    <row r="98" spans="11:15" ht="26.25" customHeight="1" x14ac:dyDescent="0.3">
      <c r="K9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98" s="1">
        <f>M97+Table1181920231030313236[[#This Row],[اجمالي الفاتوره]]-Table1181920231030313236[[#This Row],[الدفعات]]</f>
        <v>107595.19</v>
      </c>
      <c r="O98" s="48"/>
    </row>
    <row r="99" spans="11:15" ht="26.25" customHeight="1" x14ac:dyDescent="0.3">
      <c r="K9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99" s="1">
        <f>M98+Table1181920231030313236[[#This Row],[اجمالي الفاتوره]]-Table1181920231030313236[[#This Row],[الدفعات]]</f>
        <v>107595.19</v>
      </c>
      <c r="O99" s="48"/>
    </row>
    <row r="100" spans="11:15" ht="26.25" customHeight="1" x14ac:dyDescent="0.3">
      <c r="K10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00" s="1">
        <f>M99+Table1181920231030313236[[#This Row],[اجمالي الفاتوره]]-Table1181920231030313236[[#This Row],[الدفعات]]</f>
        <v>107595.19</v>
      </c>
      <c r="O100" s="48"/>
    </row>
    <row r="101" spans="11:15" ht="26.25" customHeight="1" x14ac:dyDescent="0.3">
      <c r="K10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01" s="1">
        <f>M100+Table1181920231030313236[[#This Row],[اجمالي الفاتوره]]-Table1181920231030313236[[#This Row],[الدفعات]]</f>
        <v>107595.19</v>
      </c>
      <c r="O101" s="48"/>
    </row>
    <row r="102" spans="11:15" ht="26.25" customHeight="1" x14ac:dyDescent="0.3">
      <c r="K10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02" s="1">
        <f>M101+Table1181920231030313236[[#This Row],[اجمالي الفاتوره]]-Table1181920231030313236[[#This Row],[الدفعات]]</f>
        <v>107595.19</v>
      </c>
      <c r="O102" s="48"/>
    </row>
    <row r="103" spans="11:15" ht="26.25" customHeight="1" x14ac:dyDescent="0.3">
      <c r="K10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03" s="1">
        <f>M102+Table1181920231030313236[[#This Row],[اجمالي الفاتوره]]-Table1181920231030313236[[#This Row],[الدفعات]]</f>
        <v>107595.19</v>
      </c>
      <c r="O103" s="48"/>
    </row>
    <row r="104" spans="11:15" ht="26.25" customHeight="1" x14ac:dyDescent="0.3">
      <c r="K10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04" s="1">
        <f>M103+Table1181920231030313236[[#This Row],[اجمالي الفاتوره]]-Table1181920231030313236[[#This Row],[الدفعات]]</f>
        <v>107595.19</v>
      </c>
      <c r="O104" s="48"/>
    </row>
    <row r="105" spans="11:15" ht="26.25" customHeight="1" x14ac:dyDescent="0.3">
      <c r="K10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05" s="1">
        <f>M104+Table1181920231030313236[[#This Row],[اجمالي الفاتوره]]-Table1181920231030313236[[#This Row],[الدفعات]]</f>
        <v>107595.19</v>
      </c>
      <c r="O105" s="48"/>
    </row>
    <row r="106" spans="11:15" ht="26.25" customHeight="1" x14ac:dyDescent="0.3">
      <c r="K10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06" s="1">
        <f>M105+Table1181920231030313236[[#This Row],[اجمالي الفاتوره]]-Table1181920231030313236[[#This Row],[الدفعات]]</f>
        <v>107595.19</v>
      </c>
      <c r="O106" s="48"/>
    </row>
    <row r="107" spans="11:15" ht="26.25" customHeight="1" x14ac:dyDescent="0.3">
      <c r="K10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07" s="1">
        <f>M106+Table1181920231030313236[[#This Row],[اجمالي الفاتوره]]-Table1181920231030313236[[#This Row],[الدفعات]]</f>
        <v>107595.19</v>
      </c>
      <c r="O107" s="48"/>
    </row>
    <row r="108" spans="11:15" ht="26.25" customHeight="1" x14ac:dyDescent="0.3">
      <c r="K10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08" s="1">
        <f>M107+Table1181920231030313236[[#This Row],[اجمالي الفاتوره]]-Table1181920231030313236[[#This Row],[الدفعات]]</f>
        <v>107595.19</v>
      </c>
      <c r="O108" s="48"/>
    </row>
    <row r="109" spans="11:15" ht="26.25" customHeight="1" x14ac:dyDescent="0.3">
      <c r="K10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09" s="1">
        <f>M108+Table1181920231030313236[[#This Row],[اجمالي الفاتوره]]-Table1181920231030313236[[#This Row],[الدفعات]]</f>
        <v>107595.19</v>
      </c>
      <c r="O109" s="48"/>
    </row>
    <row r="110" spans="11:15" ht="26.25" customHeight="1" x14ac:dyDescent="0.3">
      <c r="K11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10" s="1">
        <f>M109+Table1181920231030313236[[#This Row],[اجمالي الفاتوره]]-Table1181920231030313236[[#This Row],[الدفعات]]</f>
        <v>107595.19</v>
      </c>
      <c r="O110" s="48"/>
    </row>
    <row r="111" spans="11:15" ht="26.25" customHeight="1" x14ac:dyDescent="0.3">
      <c r="K11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11" s="1">
        <f>M110+Table1181920231030313236[[#This Row],[اجمالي الفاتوره]]-Table1181920231030313236[[#This Row],[الدفعات]]</f>
        <v>107595.19</v>
      </c>
      <c r="O111" s="48"/>
    </row>
    <row r="112" spans="11:15" ht="26.25" customHeight="1" x14ac:dyDescent="0.3">
      <c r="K11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12" s="1">
        <f>M111+Table1181920231030313236[[#This Row],[اجمالي الفاتوره]]-Table1181920231030313236[[#This Row],[الدفعات]]</f>
        <v>107595.19</v>
      </c>
      <c r="O112" s="48"/>
    </row>
    <row r="113" spans="11:15" ht="26.25" customHeight="1" x14ac:dyDescent="0.3">
      <c r="K11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13" s="1">
        <f>M112+Table1181920231030313236[[#This Row],[اجمالي الفاتوره]]-Table1181920231030313236[[#This Row],[الدفعات]]</f>
        <v>107595.19</v>
      </c>
      <c r="O113" s="48"/>
    </row>
    <row r="114" spans="11:15" ht="26.25" customHeight="1" x14ac:dyDescent="0.3">
      <c r="K11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14" s="1">
        <f>M113+Table1181920231030313236[[#This Row],[اجمالي الفاتوره]]-Table1181920231030313236[[#This Row],[الدفعات]]</f>
        <v>107595.19</v>
      </c>
      <c r="O114" s="48"/>
    </row>
    <row r="115" spans="11:15" ht="26.25" customHeight="1" x14ac:dyDescent="0.3">
      <c r="K11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15" s="1">
        <f>M114+Table1181920231030313236[[#This Row],[اجمالي الفاتوره]]-Table1181920231030313236[[#This Row],[الدفعات]]</f>
        <v>107595.19</v>
      </c>
      <c r="O115" s="48"/>
    </row>
    <row r="116" spans="11:15" ht="26.25" customHeight="1" x14ac:dyDescent="0.3">
      <c r="K11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16" s="1">
        <f>M115+Table1181920231030313236[[#This Row],[اجمالي الفاتوره]]-Table1181920231030313236[[#This Row],[الدفعات]]</f>
        <v>107595.19</v>
      </c>
      <c r="O116" s="48"/>
    </row>
    <row r="117" spans="11:15" ht="26.25" customHeight="1" x14ac:dyDescent="0.3">
      <c r="K11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17" s="1">
        <f>M116+Table1181920231030313236[[#This Row],[اجمالي الفاتوره]]-Table1181920231030313236[[#This Row],[الدفعات]]</f>
        <v>107595.19</v>
      </c>
      <c r="O117" s="48"/>
    </row>
    <row r="118" spans="11:15" ht="26.25" customHeight="1" x14ac:dyDescent="0.3">
      <c r="K11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18" s="1">
        <f>M117+Table1181920231030313236[[#This Row],[اجمالي الفاتوره]]-Table1181920231030313236[[#This Row],[الدفعات]]</f>
        <v>107595.19</v>
      </c>
      <c r="O118" s="48"/>
    </row>
    <row r="119" spans="11:15" ht="26.25" customHeight="1" x14ac:dyDescent="0.3">
      <c r="K11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19" s="1">
        <f>M118+Table1181920231030313236[[#This Row],[اجمالي الفاتوره]]-Table1181920231030313236[[#This Row],[الدفعات]]</f>
        <v>107595.19</v>
      </c>
      <c r="O119" s="48"/>
    </row>
    <row r="120" spans="11:15" ht="26.25" customHeight="1" x14ac:dyDescent="0.3">
      <c r="K12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20" s="1">
        <f>M119+Table1181920231030313236[[#This Row],[اجمالي الفاتوره]]-Table1181920231030313236[[#This Row],[الدفعات]]</f>
        <v>107595.19</v>
      </c>
      <c r="O120" s="48"/>
    </row>
    <row r="121" spans="11:15" ht="26.25" customHeight="1" x14ac:dyDescent="0.3">
      <c r="K12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21" s="1">
        <f>M120+Table1181920231030313236[[#This Row],[اجمالي الفاتوره]]-Table1181920231030313236[[#This Row],[الدفعات]]</f>
        <v>107595.19</v>
      </c>
      <c r="O121" s="48"/>
    </row>
    <row r="122" spans="11:15" ht="26.25" customHeight="1" x14ac:dyDescent="0.3">
      <c r="K12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22" s="1">
        <f>M121+Table1181920231030313236[[#This Row],[اجمالي الفاتوره]]-Table1181920231030313236[[#This Row],[الدفعات]]</f>
        <v>107595.19</v>
      </c>
      <c r="O122" s="48"/>
    </row>
    <row r="123" spans="11:15" ht="26.25" customHeight="1" x14ac:dyDescent="0.3">
      <c r="K12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23" s="1">
        <f>M122+Table1181920231030313236[[#This Row],[اجمالي الفاتوره]]-Table1181920231030313236[[#This Row],[الدفعات]]</f>
        <v>107595.19</v>
      </c>
      <c r="O123" s="48"/>
    </row>
    <row r="124" spans="11:15" ht="26.25" customHeight="1" x14ac:dyDescent="0.3">
      <c r="K12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24" s="1">
        <f>M123+Table1181920231030313236[[#This Row],[اجمالي الفاتوره]]-Table1181920231030313236[[#This Row],[الدفعات]]</f>
        <v>107595.19</v>
      </c>
      <c r="O124" s="48"/>
    </row>
    <row r="125" spans="11:15" ht="26.25" customHeight="1" x14ac:dyDescent="0.3">
      <c r="K12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25" s="1">
        <f>M124+Table1181920231030313236[[#This Row],[اجمالي الفاتوره]]-Table1181920231030313236[[#This Row],[الدفعات]]</f>
        <v>107595.19</v>
      </c>
      <c r="O125" s="48"/>
    </row>
    <row r="126" spans="11:15" ht="26.25" customHeight="1" x14ac:dyDescent="0.3">
      <c r="K12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26" s="1">
        <f>M125+Table1181920231030313236[[#This Row],[اجمالي الفاتوره]]-Table1181920231030313236[[#This Row],[الدفعات]]</f>
        <v>107595.19</v>
      </c>
      <c r="O126" s="48"/>
    </row>
    <row r="127" spans="11:15" ht="26.25" customHeight="1" x14ac:dyDescent="0.3">
      <c r="K12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27" s="1">
        <f>M126+Table1181920231030313236[[#This Row],[اجمالي الفاتوره]]-Table1181920231030313236[[#This Row],[الدفعات]]</f>
        <v>107595.19</v>
      </c>
      <c r="O127" s="48"/>
    </row>
    <row r="128" spans="11:15" ht="26.25" customHeight="1" x14ac:dyDescent="0.3">
      <c r="K12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28" s="1">
        <f>M127+Table1181920231030313236[[#This Row],[اجمالي الفاتوره]]-Table1181920231030313236[[#This Row],[الدفعات]]</f>
        <v>107595.19</v>
      </c>
      <c r="O128" s="48"/>
    </row>
    <row r="129" spans="11:15" ht="26.25" customHeight="1" x14ac:dyDescent="0.3">
      <c r="K12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29" s="1">
        <f>M128+Table1181920231030313236[[#This Row],[اجمالي الفاتوره]]-Table1181920231030313236[[#This Row],[الدفعات]]</f>
        <v>107595.19</v>
      </c>
      <c r="O129" s="48"/>
    </row>
    <row r="130" spans="11:15" ht="26.25" customHeight="1" x14ac:dyDescent="0.3">
      <c r="K13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30" s="1">
        <f>M129+Table1181920231030313236[[#This Row],[اجمالي الفاتوره]]-Table1181920231030313236[[#This Row],[الدفعات]]</f>
        <v>107595.19</v>
      </c>
      <c r="O130" s="48"/>
    </row>
    <row r="131" spans="11:15" ht="26.25" customHeight="1" x14ac:dyDescent="0.3">
      <c r="K13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31" s="1">
        <f>M130+Table1181920231030313236[[#This Row],[اجمالي الفاتوره]]-Table1181920231030313236[[#This Row],[الدفعات]]</f>
        <v>107595.19</v>
      </c>
      <c r="O131" s="48"/>
    </row>
    <row r="132" spans="11:15" ht="26.25" customHeight="1" x14ac:dyDescent="0.3">
      <c r="K13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32" s="1">
        <f>M131+Table1181920231030313236[[#This Row],[اجمالي الفاتوره]]-Table1181920231030313236[[#This Row],[الدفعات]]</f>
        <v>107595.19</v>
      </c>
      <c r="O132" s="48"/>
    </row>
    <row r="133" spans="11:15" ht="26.25" customHeight="1" x14ac:dyDescent="0.3">
      <c r="K13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33" s="1">
        <f>M132+Table1181920231030313236[[#This Row],[اجمالي الفاتوره]]-Table1181920231030313236[[#This Row],[الدفعات]]</f>
        <v>107595.19</v>
      </c>
      <c r="O133" s="48"/>
    </row>
    <row r="134" spans="11:15" ht="26.25" customHeight="1" x14ac:dyDescent="0.3">
      <c r="K13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34" s="1">
        <f>M133+Table1181920231030313236[[#This Row],[اجمالي الفاتوره]]-Table1181920231030313236[[#This Row],[الدفعات]]</f>
        <v>107595.19</v>
      </c>
      <c r="O134" s="48"/>
    </row>
    <row r="135" spans="11:15" ht="26.25" customHeight="1" x14ac:dyDescent="0.3">
      <c r="K13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35" s="1">
        <f>M134+Table1181920231030313236[[#This Row],[اجمالي الفاتوره]]-Table1181920231030313236[[#This Row],[الدفعات]]</f>
        <v>107595.19</v>
      </c>
      <c r="O135" s="48"/>
    </row>
    <row r="136" spans="11:15" ht="26.25" customHeight="1" x14ac:dyDescent="0.3">
      <c r="K13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36" s="1">
        <f>M135+Table1181920231030313236[[#This Row],[اجمالي الفاتوره]]-Table1181920231030313236[[#This Row],[الدفعات]]</f>
        <v>107595.19</v>
      </c>
      <c r="O136" s="48"/>
    </row>
    <row r="137" spans="11:15" ht="26.25" customHeight="1" x14ac:dyDescent="0.3">
      <c r="K13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37" s="1">
        <f>M136+Table1181920231030313236[[#This Row],[اجمالي الفاتوره]]-Table1181920231030313236[[#This Row],[الدفعات]]</f>
        <v>107595.19</v>
      </c>
      <c r="O137" s="48"/>
    </row>
    <row r="138" spans="11:15" ht="26.25" customHeight="1" x14ac:dyDescent="0.3">
      <c r="K13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38" s="1">
        <f>M137+Table1181920231030313236[[#This Row],[اجمالي الفاتوره]]-Table1181920231030313236[[#This Row],[الدفعات]]</f>
        <v>107595.19</v>
      </c>
      <c r="O138" s="48"/>
    </row>
    <row r="139" spans="11:15" ht="26.25" customHeight="1" x14ac:dyDescent="0.3">
      <c r="K13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39" s="1">
        <f>M138+Table1181920231030313236[[#This Row],[اجمالي الفاتوره]]-Table1181920231030313236[[#This Row],[الدفعات]]</f>
        <v>107595.19</v>
      </c>
      <c r="O139" s="48"/>
    </row>
    <row r="140" spans="11:15" ht="26.25" customHeight="1" x14ac:dyDescent="0.3">
      <c r="K14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40" s="1">
        <f>M139+Table1181920231030313236[[#This Row],[اجمالي الفاتوره]]-Table1181920231030313236[[#This Row],[الدفعات]]</f>
        <v>107595.19</v>
      </c>
      <c r="O140" s="48"/>
    </row>
    <row r="141" spans="11:15" ht="26.25" customHeight="1" x14ac:dyDescent="0.3">
      <c r="K14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41" s="1">
        <f>M140+Table1181920231030313236[[#This Row],[اجمالي الفاتوره]]-Table1181920231030313236[[#This Row],[الدفعات]]</f>
        <v>107595.19</v>
      </c>
      <c r="O141" s="48"/>
    </row>
    <row r="142" spans="11:15" ht="26.25" customHeight="1" x14ac:dyDescent="0.3">
      <c r="K14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42" s="1">
        <f>M141+Table1181920231030313236[[#This Row],[اجمالي الفاتوره]]-Table1181920231030313236[[#This Row],[الدفعات]]</f>
        <v>107595.19</v>
      </c>
      <c r="O142" s="48"/>
    </row>
    <row r="143" spans="11:15" ht="26.25" customHeight="1" x14ac:dyDescent="0.3">
      <c r="K14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43" s="1">
        <f>M142+Table1181920231030313236[[#This Row],[اجمالي الفاتوره]]-Table1181920231030313236[[#This Row],[الدفعات]]</f>
        <v>107595.19</v>
      </c>
      <c r="O143" s="48"/>
    </row>
    <row r="144" spans="11:15" ht="26.25" customHeight="1" x14ac:dyDescent="0.3">
      <c r="K14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44" s="1">
        <f>M143+Table1181920231030313236[[#This Row],[اجمالي الفاتوره]]-Table1181920231030313236[[#This Row],[الدفعات]]</f>
        <v>107595.19</v>
      </c>
      <c r="O144" s="48"/>
    </row>
    <row r="145" spans="11:15" ht="26.25" customHeight="1" x14ac:dyDescent="0.3">
      <c r="K14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45" s="1">
        <f>M144+Table1181920231030313236[[#This Row],[اجمالي الفاتوره]]-Table1181920231030313236[[#This Row],[الدفعات]]</f>
        <v>107595.19</v>
      </c>
      <c r="O145" s="48"/>
    </row>
    <row r="146" spans="11:15" ht="26.25" customHeight="1" x14ac:dyDescent="0.3">
      <c r="K14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46" s="1">
        <f>M145+Table1181920231030313236[[#This Row],[اجمالي الفاتوره]]-Table1181920231030313236[[#This Row],[الدفعات]]</f>
        <v>107595.19</v>
      </c>
      <c r="O146" s="48"/>
    </row>
    <row r="147" spans="11:15" ht="26.25" customHeight="1" x14ac:dyDescent="0.3">
      <c r="K14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47" s="1">
        <f>M146+Table1181920231030313236[[#This Row],[اجمالي الفاتوره]]-Table1181920231030313236[[#This Row],[الدفعات]]</f>
        <v>107595.19</v>
      </c>
      <c r="O147" s="48"/>
    </row>
    <row r="148" spans="11:15" ht="26.25" customHeight="1" x14ac:dyDescent="0.3">
      <c r="K14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48" s="1">
        <f>M147+Table1181920231030313236[[#This Row],[اجمالي الفاتوره]]-Table1181920231030313236[[#This Row],[الدفعات]]</f>
        <v>107595.19</v>
      </c>
      <c r="O148" s="48"/>
    </row>
    <row r="149" spans="11:15" ht="26.25" customHeight="1" x14ac:dyDescent="0.3">
      <c r="K14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49" s="1">
        <f>M148+Table1181920231030313236[[#This Row],[اجمالي الفاتوره]]-Table1181920231030313236[[#This Row],[الدفعات]]</f>
        <v>107595.19</v>
      </c>
      <c r="O149" s="48"/>
    </row>
    <row r="150" spans="11:15" ht="26.25" customHeight="1" x14ac:dyDescent="0.3">
      <c r="K15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50" s="1">
        <f>M149+Table1181920231030313236[[#This Row],[اجمالي الفاتوره]]-Table1181920231030313236[[#This Row],[الدفعات]]</f>
        <v>107595.19</v>
      </c>
      <c r="O150" s="48"/>
    </row>
    <row r="151" spans="11:15" ht="26.25" customHeight="1" x14ac:dyDescent="0.3">
      <c r="K15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51" s="1">
        <f>M150+Table1181920231030313236[[#This Row],[اجمالي الفاتوره]]-Table1181920231030313236[[#This Row],[الدفعات]]</f>
        <v>107595.19</v>
      </c>
      <c r="O151" s="48"/>
    </row>
    <row r="152" spans="11:15" ht="26.25" customHeight="1" x14ac:dyDescent="0.3">
      <c r="K15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52" s="1">
        <f>M151+Table1181920231030313236[[#This Row],[اجمالي الفاتوره]]-Table1181920231030313236[[#This Row],[الدفعات]]</f>
        <v>107595.19</v>
      </c>
      <c r="O152" s="48"/>
    </row>
    <row r="153" spans="11:15" ht="26.25" customHeight="1" x14ac:dyDescent="0.3">
      <c r="K15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53" s="1">
        <f>M152+Table1181920231030313236[[#This Row],[اجمالي الفاتوره]]-Table1181920231030313236[[#This Row],[الدفعات]]</f>
        <v>107595.19</v>
      </c>
      <c r="O153" s="48"/>
    </row>
    <row r="154" spans="11:15" ht="26.25" customHeight="1" x14ac:dyDescent="0.3">
      <c r="K15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54" s="1">
        <f>M153+Table1181920231030313236[[#This Row],[اجمالي الفاتوره]]-Table1181920231030313236[[#This Row],[الدفعات]]</f>
        <v>107595.19</v>
      </c>
      <c r="O154" s="48"/>
    </row>
    <row r="155" spans="11:15" ht="26.25" customHeight="1" x14ac:dyDescent="0.3">
      <c r="K15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55" s="1">
        <f>M154+Table1181920231030313236[[#This Row],[اجمالي الفاتوره]]-Table1181920231030313236[[#This Row],[الدفعات]]</f>
        <v>107595.19</v>
      </c>
      <c r="O155" s="48"/>
    </row>
    <row r="156" spans="11:15" ht="26.25" customHeight="1" x14ac:dyDescent="0.3">
      <c r="K15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56" s="1">
        <f>M155+Table1181920231030313236[[#This Row],[اجمالي الفاتوره]]-Table1181920231030313236[[#This Row],[الدفعات]]</f>
        <v>107595.19</v>
      </c>
      <c r="O156" s="48"/>
    </row>
    <row r="157" spans="11:15" ht="26.25" customHeight="1" x14ac:dyDescent="0.3">
      <c r="K15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57" s="1">
        <f>M156+Table1181920231030313236[[#This Row],[اجمالي الفاتوره]]-Table1181920231030313236[[#This Row],[الدفعات]]</f>
        <v>107595.19</v>
      </c>
      <c r="O157" s="48"/>
    </row>
    <row r="158" spans="11:15" ht="26.25" customHeight="1" x14ac:dyDescent="0.3">
      <c r="K15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58" s="1">
        <f>M157+Table1181920231030313236[[#This Row],[اجمالي الفاتوره]]-Table1181920231030313236[[#This Row],[الدفعات]]</f>
        <v>107595.19</v>
      </c>
      <c r="O158" s="48"/>
    </row>
    <row r="159" spans="11:15" ht="26.25" customHeight="1" x14ac:dyDescent="0.3">
      <c r="K15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59" s="1">
        <f>M158+Table1181920231030313236[[#This Row],[اجمالي الفاتوره]]-Table1181920231030313236[[#This Row],[الدفعات]]</f>
        <v>107595.19</v>
      </c>
      <c r="O159" s="48"/>
    </row>
    <row r="160" spans="11:15" ht="26.25" customHeight="1" x14ac:dyDescent="0.3">
      <c r="K16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60" s="1">
        <f>M159+Table1181920231030313236[[#This Row],[اجمالي الفاتوره]]-Table1181920231030313236[[#This Row],[الدفعات]]</f>
        <v>107595.19</v>
      </c>
      <c r="O160" s="48"/>
    </row>
    <row r="161" spans="11:15" ht="26.25" customHeight="1" x14ac:dyDescent="0.3">
      <c r="K16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61" s="1">
        <f>M160+Table1181920231030313236[[#This Row],[اجمالي الفاتوره]]-Table1181920231030313236[[#This Row],[الدفعات]]</f>
        <v>107595.19</v>
      </c>
      <c r="O161" s="48"/>
    </row>
    <row r="162" spans="11:15" ht="26.25" customHeight="1" x14ac:dyDescent="0.3">
      <c r="K16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62" s="1">
        <f>M161+Table1181920231030313236[[#This Row],[اجمالي الفاتوره]]-Table1181920231030313236[[#This Row],[الدفعات]]</f>
        <v>107595.19</v>
      </c>
      <c r="O162" s="48"/>
    </row>
    <row r="163" spans="11:15" ht="26.25" customHeight="1" x14ac:dyDescent="0.3">
      <c r="K16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63" s="1">
        <f>M162+Table1181920231030313236[[#This Row],[اجمالي الفاتوره]]-Table1181920231030313236[[#This Row],[الدفعات]]</f>
        <v>107595.19</v>
      </c>
      <c r="O163" s="48"/>
    </row>
    <row r="164" spans="11:15" ht="26.25" customHeight="1" x14ac:dyDescent="0.3">
      <c r="K16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64" s="1">
        <f>M163+Table1181920231030313236[[#This Row],[اجمالي الفاتوره]]-Table1181920231030313236[[#This Row],[الدفعات]]</f>
        <v>107595.19</v>
      </c>
      <c r="O164" s="48"/>
    </row>
    <row r="165" spans="11:15" ht="26.25" customHeight="1" x14ac:dyDescent="0.3">
      <c r="K16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65" s="1">
        <f>M164+Table1181920231030313236[[#This Row],[اجمالي الفاتوره]]-Table1181920231030313236[[#This Row],[الدفعات]]</f>
        <v>107595.19</v>
      </c>
      <c r="O165" s="48"/>
    </row>
    <row r="166" spans="11:15" ht="26.25" customHeight="1" x14ac:dyDescent="0.3">
      <c r="K16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66" s="1">
        <f>M165+Table1181920231030313236[[#This Row],[اجمالي الفاتوره]]-Table1181920231030313236[[#This Row],[الدفعات]]</f>
        <v>107595.19</v>
      </c>
      <c r="O166" s="48"/>
    </row>
    <row r="167" spans="11:15" ht="26.25" customHeight="1" x14ac:dyDescent="0.3">
      <c r="K16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67" s="1">
        <f>M166+Table1181920231030313236[[#This Row],[اجمالي الفاتوره]]-Table1181920231030313236[[#This Row],[الدفعات]]</f>
        <v>107595.19</v>
      </c>
      <c r="O167" s="48"/>
    </row>
    <row r="168" spans="11:15" ht="26.25" customHeight="1" x14ac:dyDescent="0.3">
      <c r="K16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68" s="1">
        <f>M167+Table1181920231030313236[[#This Row],[اجمالي الفاتوره]]-Table1181920231030313236[[#This Row],[الدفعات]]</f>
        <v>107595.19</v>
      </c>
      <c r="O168" s="48"/>
    </row>
    <row r="169" spans="11:15" ht="26.25" customHeight="1" x14ac:dyDescent="0.3">
      <c r="K16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69" s="1">
        <f>M168+Table1181920231030313236[[#This Row],[اجمالي الفاتوره]]-Table1181920231030313236[[#This Row],[الدفعات]]</f>
        <v>107595.19</v>
      </c>
      <c r="O169" s="48"/>
    </row>
    <row r="170" spans="11:15" ht="26.25" customHeight="1" x14ac:dyDescent="0.3">
      <c r="K17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70" s="1">
        <f>M169+Table1181920231030313236[[#This Row],[اجمالي الفاتوره]]-Table1181920231030313236[[#This Row],[الدفعات]]</f>
        <v>107595.19</v>
      </c>
      <c r="O170" s="48"/>
    </row>
    <row r="171" spans="11:15" ht="26.25" customHeight="1" x14ac:dyDescent="0.3">
      <c r="K17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71" s="1">
        <f>M170+Table1181920231030313236[[#This Row],[اجمالي الفاتوره]]-Table1181920231030313236[[#This Row],[الدفعات]]</f>
        <v>107595.19</v>
      </c>
      <c r="O171" s="48"/>
    </row>
    <row r="172" spans="11:15" ht="26.25" customHeight="1" x14ac:dyDescent="0.3">
      <c r="K17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72" s="1">
        <f>M171+Table1181920231030313236[[#This Row],[اجمالي الفاتوره]]-Table1181920231030313236[[#This Row],[الدفعات]]</f>
        <v>107595.19</v>
      </c>
      <c r="O172" s="48"/>
    </row>
    <row r="173" spans="11:15" ht="26.25" customHeight="1" x14ac:dyDescent="0.3">
      <c r="K17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73" s="1">
        <f>M172+Table1181920231030313236[[#This Row],[اجمالي الفاتوره]]-Table1181920231030313236[[#This Row],[الدفعات]]</f>
        <v>107595.19</v>
      </c>
      <c r="O173" s="48"/>
    </row>
    <row r="174" spans="11:15" ht="26.25" customHeight="1" x14ac:dyDescent="0.3">
      <c r="K17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74" s="1">
        <f>M173+Table1181920231030313236[[#This Row],[اجمالي الفاتوره]]-Table1181920231030313236[[#This Row],[الدفعات]]</f>
        <v>107595.19</v>
      </c>
      <c r="O174" s="48"/>
    </row>
    <row r="175" spans="11:15" ht="26.25" customHeight="1" x14ac:dyDescent="0.3">
      <c r="K17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75" s="1">
        <f>M174+Table1181920231030313236[[#This Row],[اجمالي الفاتوره]]-Table1181920231030313236[[#This Row],[الدفعات]]</f>
        <v>107595.19</v>
      </c>
      <c r="O175" s="48"/>
    </row>
    <row r="176" spans="11:15" ht="26.25" customHeight="1" x14ac:dyDescent="0.3">
      <c r="K17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76" s="1">
        <f>M175+Table1181920231030313236[[#This Row],[اجمالي الفاتوره]]-Table1181920231030313236[[#This Row],[الدفعات]]</f>
        <v>107595.19</v>
      </c>
      <c r="O176" s="48"/>
    </row>
    <row r="177" spans="11:15" ht="26.25" customHeight="1" x14ac:dyDescent="0.3">
      <c r="K17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77" s="1">
        <f>M176+Table1181920231030313236[[#This Row],[اجمالي الفاتوره]]-Table1181920231030313236[[#This Row],[الدفعات]]</f>
        <v>107595.19</v>
      </c>
      <c r="O177" s="48"/>
    </row>
    <row r="178" spans="11:15" ht="26.25" customHeight="1" x14ac:dyDescent="0.3">
      <c r="K17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78" s="1">
        <f>M177+Table1181920231030313236[[#This Row],[اجمالي الفاتوره]]-Table1181920231030313236[[#This Row],[الدفعات]]</f>
        <v>107595.19</v>
      </c>
      <c r="O178" s="48"/>
    </row>
    <row r="179" spans="11:15" ht="26.25" customHeight="1" x14ac:dyDescent="0.3">
      <c r="K17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79" s="1">
        <f>M178+Table1181920231030313236[[#This Row],[اجمالي الفاتوره]]-Table1181920231030313236[[#This Row],[الدفعات]]</f>
        <v>107595.19</v>
      </c>
      <c r="O179" s="48"/>
    </row>
    <row r="180" spans="11:15" ht="26.25" customHeight="1" x14ac:dyDescent="0.3">
      <c r="K18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80" s="1">
        <f>M179+Table1181920231030313236[[#This Row],[اجمالي الفاتوره]]-Table1181920231030313236[[#This Row],[الدفعات]]</f>
        <v>107595.19</v>
      </c>
      <c r="O180" s="48"/>
    </row>
    <row r="181" spans="11:15" ht="26.25" customHeight="1" x14ac:dyDescent="0.3">
      <c r="K18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81" s="1">
        <f>M180+Table1181920231030313236[[#This Row],[اجمالي الفاتوره]]-Table1181920231030313236[[#This Row],[الدفعات]]</f>
        <v>107595.19</v>
      </c>
      <c r="O181" s="48"/>
    </row>
    <row r="182" spans="11:15" ht="26.25" customHeight="1" x14ac:dyDescent="0.3">
      <c r="K18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82" s="1">
        <f>M181+Table1181920231030313236[[#This Row],[اجمالي الفاتوره]]-Table1181920231030313236[[#This Row],[الدفعات]]</f>
        <v>107595.19</v>
      </c>
      <c r="O182" s="48"/>
    </row>
    <row r="183" spans="11:15" ht="26.25" customHeight="1" x14ac:dyDescent="0.3">
      <c r="K18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83" s="1">
        <f>M182+Table1181920231030313236[[#This Row],[اجمالي الفاتوره]]-Table1181920231030313236[[#This Row],[الدفعات]]</f>
        <v>107595.19</v>
      </c>
      <c r="O183" s="48"/>
    </row>
    <row r="184" spans="11:15" ht="26.25" customHeight="1" x14ac:dyDescent="0.3">
      <c r="K18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84" s="1">
        <f>M183+Table1181920231030313236[[#This Row],[اجمالي الفاتوره]]-Table1181920231030313236[[#This Row],[الدفعات]]</f>
        <v>107595.19</v>
      </c>
      <c r="O184" s="48"/>
    </row>
    <row r="185" spans="11:15" ht="26.25" customHeight="1" x14ac:dyDescent="0.3">
      <c r="K18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85" s="1">
        <f>M184+Table1181920231030313236[[#This Row],[اجمالي الفاتوره]]-Table1181920231030313236[[#This Row],[الدفعات]]</f>
        <v>107595.19</v>
      </c>
      <c r="O185" s="48"/>
    </row>
    <row r="186" spans="11:15" ht="26.25" customHeight="1" x14ac:dyDescent="0.3">
      <c r="K18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86" s="1">
        <f>M185+Table1181920231030313236[[#This Row],[اجمالي الفاتوره]]-Table1181920231030313236[[#This Row],[الدفعات]]</f>
        <v>107595.19</v>
      </c>
      <c r="O186" s="48"/>
    </row>
    <row r="187" spans="11:15" ht="26.25" customHeight="1" x14ac:dyDescent="0.3">
      <c r="K18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87" s="1">
        <f>M186+Table1181920231030313236[[#This Row],[اجمالي الفاتوره]]-Table1181920231030313236[[#This Row],[الدفعات]]</f>
        <v>107595.19</v>
      </c>
      <c r="O187" s="48"/>
    </row>
    <row r="188" spans="11:15" ht="26.25" customHeight="1" x14ac:dyDescent="0.3">
      <c r="K18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88" s="1">
        <f>M187+Table1181920231030313236[[#This Row],[اجمالي الفاتوره]]-Table1181920231030313236[[#This Row],[الدفعات]]</f>
        <v>107595.19</v>
      </c>
      <c r="O188" s="48"/>
    </row>
    <row r="189" spans="11:15" ht="26.25" customHeight="1" x14ac:dyDescent="0.3">
      <c r="K18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89" s="1">
        <f>M188+Table1181920231030313236[[#This Row],[اجمالي الفاتوره]]-Table1181920231030313236[[#This Row],[الدفعات]]</f>
        <v>107595.19</v>
      </c>
      <c r="O189" s="48"/>
    </row>
    <row r="190" spans="11:15" ht="26.25" customHeight="1" x14ac:dyDescent="0.3">
      <c r="K19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90" s="1">
        <f>M189+Table1181920231030313236[[#This Row],[اجمالي الفاتوره]]-Table1181920231030313236[[#This Row],[الدفعات]]</f>
        <v>107595.19</v>
      </c>
      <c r="O190" s="48"/>
    </row>
    <row r="191" spans="11:15" ht="26.25" customHeight="1" x14ac:dyDescent="0.3">
      <c r="K19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91" s="1">
        <f>M190+Table1181920231030313236[[#This Row],[اجمالي الفاتوره]]-Table1181920231030313236[[#This Row],[الدفعات]]</f>
        <v>107595.19</v>
      </c>
      <c r="O191" s="48"/>
    </row>
    <row r="192" spans="11:15" ht="26.25" customHeight="1" x14ac:dyDescent="0.3">
      <c r="K19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92" s="1">
        <f>M191+Table1181920231030313236[[#This Row],[اجمالي الفاتوره]]-Table1181920231030313236[[#This Row],[الدفعات]]</f>
        <v>107595.19</v>
      </c>
      <c r="O192" s="48"/>
    </row>
    <row r="193" spans="11:15" ht="26.25" customHeight="1" x14ac:dyDescent="0.3">
      <c r="K19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93" s="1">
        <f>M192+Table1181920231030313236[[#This Row],[اجمالي الفاتوره]]-Table1181920231030313236[[#This Row],[الدفعات]]</f>
        <v>107595.19</v>
      </c>
      <c r="O193" s="48"/>
    </row>
    <row r="194" spans="11:15" ht="26.25" customHeight="1" x14ac:dyDescent="0.3">
      <c r="K19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94" s="1">
        <f>M193+Table1181920231030313236[[#This Row],[اجمالي الفاتوره]]-Table1181920231030313236[[#This Row],[الدفعات]]</f>
        <v>107595.19</v>
      </c>
      <c r="O194" s="48"/>
    </row>
    <row r="195" spans="11:15" ht="26.25" customHeight="1" x14ac:dyDescent="0.3">
      <c r="K19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95" s="1">
        <f>M194+Table1181920231030313236[[#This Row],[اجمالي الفاتوره]]-Table1181920231030313236[[#This Row],[الدفعات]]</f>
        <v>107595.19</v>
      </c>
      <c r="O195" s="48"/>
    </row>
    <row r="196" spans="11:15" ht="26.25" customHeight="1" x14ac:dyDescent="0.3">
      <c r="K19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96" s="1">
        <f>M195+Table1181920231030313236[[#This Row],[اجمالي الفاتوره]]-Table1181920231030313236[[#This Row],[الدفعات]]</f>
        <v>107595.19</v>
      </c>
      <c r="O196" s="48"/>
    </row>
    <row r="197" spans="11:15" ht="26.25" customHeight="1" x14ac:dyDescent="0.3">
      <c r="K19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97" s="1">
        <f>M196+Table1181920231030313236[[#This Row],[اجمالي الفاتوره]]-Table1181920231030313236[[#This Row],[الدفعات]]</f>
        <v>107595.19</v>
      </c>
      <c r="O197" s="48"/>
    </row>
    <row r="198" spans="11:15" ht="26.25" customHeight="1" x14ac:dyDescent="0.3">
      <c r="K19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98" s="1">
        <f>M197+Table1181920231030313236[[#This Row],[اجمالي الفاتوره]]-Table1181920231030313236[[#This Row],[الدفعات]]</f>
        <v>107595.19</v>
      </c>
      <c r="O198" s="48"/>
    </row>
    <row r="199" spans="11:15" ht="26.25" customHeight="1" x14ac:dyDescent="0.3">
      <c r="K19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199" s="1">
        <f>M198+Table1181920231030313236[[#This Row],[اجمالي الفاتوره]]-Table1181920231030313236[[#This Row],[الدفعات]]</f>
        <v>107595.19</v>
      </c>
      <c r="O199" s="48"/>
    </row>
    <row r="200" spans="11:15" ht="26.25" customHeight="1" x14ac:dyDescent="0.3">
      <c r="K20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00" s="1">
        <f>M199+Table1181920231030313236[[#This Row],[اجمالي الفاتوره]]-Table1181920231030313236[[#This Row],[الدفعات]]</f>
        <v>107595.19</v>
      </c>
      <c r="O200" s="48"/>
    </row>
    <row r="201" spans="11:15" ht="26.25" customHeight="1" x14ac:dyDescent="0.3">
      <c r="K20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01" s="1">
        <f>M200+Table1181920231030313236[[#This Row],[اجمالي الفاتوره]]-Table1181920231030313236[[#This Row],[الدفعات]]</f>
        <v>107595.19</v>
      </c>
      <c r="O201" s="48"/>
    </row>
    <row r="202" spans="11:15" ht="26.25" customHeight="1" x14ac:dyDescent="0.3">
      <c r="K20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02" s="1">
        <f>M201+Table1181920231030313236[[#This Row],[اجمالي الفاتوره]]-Table1181920231030313236[[#This Row],[الدفعات]]</f>
        <v>107595.19</v>
      </c>
      <c r="O202" s="48"/>
    </row>
    <row r="203" spans="11:15" ht="26.25" customHeight="1" x14ac:dyDescent="0.3">
      <c r="K20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03" s="1">
        <f>M202+Table1181920231030313236[[#This Row],[اجمالي الفاتوره]]-Table1181920231030313236[[#This Row],[الدفعات]]</f>
        <v>107595.19</v>
      </c>
      <c r="O203" s="48"/>
    </row>
    <row r="204" spans="11:15" ht="26.25" customHeight="1" x14ac:dyDescent="0.3">
      <c r="K20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04" s="1">
        <f>M203+Table1181920231030313236[[#This Row],[اجمالي الفاتوره]]-Table1181920231030313236[[#This Row],[الدفعات]]</f>
        <v>107595.19</v>
      </c>
      <c r="O204" s="48"/>
    </row>
    <row r="205" spans="11:15" ht="26.25" customHeight="1" x14ac:dyDescent="0.3">
      <c r="K20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05" s="1">
        <f>M204+Table1181920231030313236[[#This Row],[اجمالي الفاتوره]]-Table1181920231030313236[[#This Row],[الدفعات]]</f>
        <v>107595.19</v>
      </c>
      <c r="O205" s="48"/>
    </row>
    <row r="206" spans="11:15" ht="26.25" customHeight="1" x14ac:dyDescent="0.3">
      <c r="K20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06" s="1">
        <f>M205+Table1181920231030313236[[#This Row],[اجمالي الفاتوره]]-Table1181920231030313236[[#This Row],[الدفعات]]</f>
        <v>107595.19</v>
      </c>
      <c r="O206" s="48"/>
    </row>
    <row r="207" spans="11:15" ht="26.25" customHeight="1" x14ac:dyDescent="0.3">
      <c r="K20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07" s="1">
        <f>M206+Table1181920231030313236[[#This Row],[اجمالي الفاتوره]]-Table1181920231030313236[[#This Row],[الدفعات]]</f>
        <v>107595.19</v>
      </c>
      <c r="O207" s="48"/>
    </row>
    <row r="208" spans="11:15" ht="26.25" customHeight="1" x14ac:dyDescent="0.3">
      <c r="K20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08" s="1">
        <f>M207+Table1181920231030313236[[#This Row],[اجمالي الفاتوره]]-Table1181920231030313236[[#This Row],[الدفعات]]</f>
        <v>107595.19</v>
      </c>
      <c r="O208" s="48"/>
    </row>
    <row r="209" spans="11:15" ht="26.25" customHeight="1" x14ac:dyDescent="0.3">
      <c r="K20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09" s="1">
        <f>M208+Table1181920231030313236[[#This Row],[اجمالي الفاتوره]]-Table1181920231030313236[[#This Row],[الدفعات]]</f>
        <v>107595.19</v>
      </c>
      <c r="O209" s="48"/>
    </row>
    <row r="210" spans="11:15" ht="26.25" customHeight="1" x14ac:dyDescent="0.3">
      <c r="K21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10" s="1">
        <f>M209+Table1181920231030313236[[#This Row],[اجمالي الفاتوره]]-Table1181920231030313236[[#This Row],[الدفعات]]</f>
        <v>107595.19</v>
      </c>
      <c r="O210" s="48"/>
    </row>
    <row r="211" spans="11:15" ht="26.25" customHeight="1" x14ac:dyDescent="0.3">
      <c r="K21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11" s="1">
        <f>M210+Table1181920231030313236[[#This Row],[اجمالي الفاتوره]]-Table1181920231030313236[[#This Row],[الدفعات]]</f>
        <v>107595.19</v>
      </c>
      <c r="O211" s="48"/>
    </row>
    <row r="212" spans="11:15" ht="26.25" customHeight="1" x14ac:dyDescent="0.3">
      <c r="K21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12" s="1">
        <f>M211+Table1181920231030313236[[#This Row],[اجمالي الفاتوره]]-Table1181920231030313236[[#This Row],[الدفعات]]</f>
        <v>107595.19</v>
      </c>
      <c r="O212" s="48"/>
    </row>
    <row r="213" spans="11:15" ht="26.25" customHeight="1" x14ac:dyDescent="0.3">
      <c r="K21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13" s="1">
        <f>M212+Table1181920231030313236[[#This Row],[اجمالي الفاتوره]]-Table1181920231030313236[[#This Row],[الدفعات]]</f>
        <v>107595.19</v>
      </c>
      <c r="O213" s="48"/>
    </row>
    <row r="214" spans="11:15" ht="26.25" customHeight="1" x14ac:dyDescent="0.3">
      <c r="K21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14" s="1">
        <f>M213+Table1181920231030313236[[#This Row],[اجمالي الفاتوره]]-Table1181920231030313236[[#This Row],[الدفعات]]</f>
        <v>107595.19</v>
      </c>
      <c r="O214" s="48"/>
    </row>
    <row r="215" spans="11:15" ht="26.25" customHeight="1" x14ac:dyDescent="0.3">
      <c r="K21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15" s="1">
        <f>M214+Table1181920231030313236[[#This Row],[اجمالي الفاتوره]]-Table1181920231030313236[[#This Row],[الدفعات]]</f>
        <v>107595.19</v>
      </c>
      <c r="O215" s="48"/>
    </row>
    <row r="216" spans="11:15" ht="26.25" customHeight="1" x14ac:dyDescent="0.3">
      <c r="K21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16" s="1">
        <f>M215+Table1181920231030313236[[#This Row],[اجمالي الفاتوره]]-Table1181920231030313236[[#This Row],[الدفعات]]</f>
        <v>107595.19</v>
      </c>
      <c r="O216" s="48"/>
    </row>
    <row r="217" spans="11:15" ht="26.25" customHeight="1" x14ac:dyDescent="0.3">
      <c r="K21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17" s="1">
        <f>M216+Table1181920231030313236[[#This Row],[اجمالي الفاتوره]]-Table1181920231030313236[[#This Row],[الدفعات]]</f>
        <v>107595.19</v>
      </c>
      <c r="O217" s="48"/>
    </row>
    <row r="218" spans="11:15" ht="26.25" customHeight="1" x14ac:dyDescent="0.3">
      <c r="K21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18" s="1">
        <f>M217+Table1181920231030313236[[#This Row],[اجمالي الفاتوره]]-Table1181920231030313236[[#This Row],[الدفعات]]</f>
        <v>107595.19</v>
      </c>
      <c r="O218" s="48"/>
    </row>
    <row r="219" spans="11:15" ht="26.25" customHeight="1" x14ac:dyDescent="0.3">
      <c r="K21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19" s="1">
        <f>M218+Table1181920231030313236[[#This Row],[اجمالي الفاتوره]]-Table1181920231030313236[[#This Row],[الدفعات]]</f>
        <v>107595.19</v>
      </c>
      <c r="O219" s="48"/>
    </row>
    <row r="220" spans="11:15" ht="26.25" customHeight="1" x14ac:dyDescent="0.3">
      <c r="K22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20" s="1">
        <f>M219+Table1181920231030313236[[#This Row],[اجمالي الفاتوره]]-Table1181920231030313236[[#This Row],[الدفعات]]</f>
        <v>107595.19</v>
      </c>
      <c r="O220" s="48"/>
    </row>
    <row r="221" spans="11:15" ht="26.25" customHeight="1" x14ac:dyDescent="0.3">
      <c r="K22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21" s="1">
        <f>M220+Table1181920231030313236[[#This Row],[اجمالي الفاتوره]]-Table1181920231030313236[[#This Row],[الدفعات]]</f>
        <v>107595.19</v>
      </c>
      <c r="O221" s="48"/>
    </row>
    <row r="222" spans="11:15" ht="26.25" customHeight="1" x14ac:dyDescent="0.3">
      <c r="K22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22" s="1">
        <f>M221+Table1181920231030313236[[#This Row],[اجمالي الفاتوره]]-Table1181920231030313236[[#This Row],[الدفعات]]</f>
        <v>107595.19</v>
      </c>
      <c r="O222" s="48"/>
    </row>
    <row r="223" spans="11:15" ht="26.25" customHeight="1" x14ac:dyDescent="0.3">
      <c r="K22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23" s="1">
        <f>M222+Table1181920231030313236[[#This Row],[اجمالي الفاتوره]]-Table1181920231030313236[[#This Row],[الدفعات]]</f>
        <v>107595.19</v>
      </c>
      <c r="O223" s="48"/>
    </row>
    <row r="224" spans="11:15" ht="26.25" customHeight="1" x14ac:dyDescent="0.3">
      <c r="K22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24" s="1">
        <f>M223+Table1181920231030313236[[#This Row],[اجمالي الفاتوره]]-Table1181920231030313236[[#This Row],[الدفعات]]</f>
        <v>107595.19</v>
      </c>
      <c r="O224" s="48"/>
    </row>
    <row r="225" spans="11:15" ht="26.25" customHeight="1" x14ac:dyDescent="0.3">
      <c r="K22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25" s="1">
        <f>M224+Table1181920231030313236[[#This Row],[اجمالي الفاتوره]]-Table1181920231030313236[[#This Row],[الدفعات]]</f>
        <v>107595.19</v>
      </c>
      <c r="O225" s="48"/>
    </row>
    <row r="226" spans="11:15" ht="26.25" customHeight="1" x14ac:dyDescent="0.3">
      <c r="K22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26" s="1">
        <f>M225+Table1181920231030313236[[#This Row],[اجمالي الفاتوره]]-Table1181920231030313236[[#This Row],[الدفعات]]</f>
        <v>107595.19</v>
      </c>
      <c r="O226" s="48"/>
    </row>
    <row r="227" spans="11:15" ht="26.25" customHeight="1" x14ac:dyDescent="0.3">
      <c r="K22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27" s="1">
        <f>M226+Table1181920231030313236[[#This Row],[اجمالي الفاتوره]]-Table1181920231030313236[[#This Row],[الدفعات]]</f>
        <v>107595.19</v>
      </c>
      <c r="O227" s="48"/>
    </row>
    <row r="228" spans="11:15" ht="26.25" customHeight="1" x14ac:dyDescent="0.3">
      <c r="K22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28" s="1">
        <f>M227+Table1181920231030313236[[#This Row],[اجمالي الفاتوره]]-Table1181920231030313236[[#This Row],[الدفعات]]</f>
        <v>107595.19</v>
      </c>
      <c r="O228" s="48"/>
    </row>
    <row r="229" spans="11:15" ht="26.25" customHeight="1" x14ac:dyDescent="0.3">
      <c r="K22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29" s="1">
        <f>M228+Table1181920231030313236[[#This Row],[اجمالي الفاتوره]]-Table1181920231030313236[[#This Row],[الدفعات]]</f>
        <v>107595.19</v>
      </c>
      <c r="O229" s="48"/>
    </row>
    <row r="230" spans="11:15" ht="26.25" customHeight="1" x14ac:dyDescent="0.3">
      <c r="K23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30" s="1">
        <f>M229+Table1181920231030313236[[#This Row],[اجمالي الفاتوره]]-Table1181920231030313236[[#This Row],[الدفعات]]</f>
        <v>107595.19</v>
      </c>
      <c r="O230" s="48"/>
    </row>
    <row r="231" spans="11:15" ht="26.25" customHeight="1" x14ac:dyDescent="0.3">
      <c r="K23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31" s="1">
        <f>M230+Table1181920231030313236[[#This Row],[اجمالي الفاتوره]]-Table1181920231030313236[[#This Row],[الدفعات]]</f>
        <v>107595.19</v>
      </c>
      <c r="O231" s="48"/>
    </row>
    <row r="232" spans="11:15" ht="26.25" customHeight="1" x14ac:dyDescent="0.3">
      <c r="K23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32" s="1">
        <f>M231+Table1181920231030313236[[#This Row],[اجمالي الفاتوره]]-Table1181920231030313236[[#This Row],[الدفعات]]</f>
        <v>107595.19</v>
      </c>
      <c r="O232" s="48"/>
    </row>
    <row r="233" spans="11:15" ht="26.25" customHeight="1" x14ac:dyDescent="0.3">
      <c r="K23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33" s="1">
        <f>M232+Table1181920231030313236[[#This Row],[اجمالي الفاتوره]]-Table1181920231030313236[[#This Row],[الدفعات]]</f>
        <v>107595.19</v>
      </c>
      <c r="O233" s="48"/>
    </row>
    <row r="234" spans="11:15" ht="26.25" customHeight="1" x14ac:dyDescent="0.3">
      <c r="K23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34" s="1">
        <f>M233+Table1181920231030313236[[#This Row],[اجمالي الفاتوره]]-Table1181920231030313236[[#This Row],[الدفعات]]</f>
        <v>107595.19</v>
      </c>
      <c r="O234" s="48"/>
    </row>
    <row r="235" spans="11:15" ht="26.25" customHeight="1" x14ac:dyDescent="0.3">
      <c r="K23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35" s="1">
        <f>M234+Table1181920231030313236[[#This Row],[اجمالي الفاتوره]]-Table1181920231030313236[[#This Row],[الدفعات]]</f>
        <v>107595.19</v>
      </c>
      <c r="O235" s="48"/>
    </row>
    <row r="236" spans="11:15" ht="26.25" customHeight="1" x14ac:dyDescent="0.3">
      <c r="K23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36" s="1">
        <f>M235+Table1181920231030313236[[#This Row],[اجمالي الفاتوره]]-Table1181920231030313236[[#This Row],[الدفعات]]</f>
        <v>107595.19</v>
      </c>
      <c r="O236" s="48"/>
    </row>
    <row r="237" spans="11:15" ht="26.25" customHeight="1" x14ac:dyDescent="0.3">
      <c r="K23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37" s="1">
        <f>M236+Table1181920231030313236[[#This Row],[اجمالي الفاتوره]]-Table1181920231030313236[[#This Row],[الدفعات]]</f>
        <v>107595.19</v>
      </c>
      <c r="O237" s="48"/>
    </row>
    <row r="238" spans="11:15" ht="26.25" customHeight="1" x14ac:dyDescent="0.3">
      <c r="K23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38" s="1">
        <f>M237+Table1181920231030313236[[#This Row],[اجمالي الفاتوره]]-Table1181920231030313236[[#This Row],[الدفعات]]</f>
        <v>107595.19</v>
      </c>
      <c r="O238" s="48"/>
    </row>
    <row r="239" spans="11:15" ht="26.25" customHeight="1" x14ac:dyDescent="0.3">
      <c r="K23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39" s="1">
        <f>M238+Table1181920231030313236[[#This Row],[اجمالي الفاتوره]]-Table1181920231030313236[[#This Row],[الدفعات]]</f>
        <v>107595.19</v>
      </c>
      <c r="O239" s="48"/>
    </row>
    <row r="240" spans="11:15" ht="26.25" customHeight="1" x14ac:dyDescent="0.3">
      <c r="K24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40" s="1">
        <f>M239+Table1181920231030313236[[#This Row],[اجمالي الفاتوره]]-Table1181920231030313236[[#This Row],[الدفعات]]</f>
        <v>107595.19</v>
      </c>
      <c r="O240" s="48"/>
    </row>
    <row r="241" spans="11:15" ht="26.25" customHeight="1" x14ac:dyDescent="0.3">
      <c r="K24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41" s="1">
        <f>M240+Table1181920231030313236[[#This Row],[اجمالي الفاتوره]]-Table1181920231030313236[[#This Row],[الدفعات]]</f>
        <v>107595.19</v>
      </c>
      <c r="O241" s="48"/>
    </row>
    <row r="242" spans="11:15" ht="26.25" customHeight="1" x14ac:dyDescent="0.3">
      <c r="K24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42" s="1">
        <f>M241+Table1181920231030313236[[#This Row],[اجمالي الفاتوره]]-Table1181920231030313236[[#This Row],[الدفعات]]</f>
        <v>107595.19</v>
      </c>
      <c r="O242" s="48"/>
    </row>
    <row r="243" spans="11:15" ht="26.25" customHeight="1" x14ac:dyDescent="0.3">
      <c r="K24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43" s="1">
        <f>M242+Table1181920231030313236[[#This Row],[اجمالي الفاتوره]]-Table1181920231030313236[[#This Row],[الدفعات]]</f>
        <v>107595.19</v>
      </c>
      <c r="O243" s="48"/>
    </row>
    <row r="244" spans="11:15" ht="26.25" customHeight="1" x14ac:dyDescent="0.3">
      <c r="K24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44" s="1">
        <f>M243+Table1181920231030313236[[#This Row],[اجمالي الفاتوره]]-Table1181920231030313236[[#This Row],[الدفعات]]</f>
        <v>107595.19</v>
      </c>
      <c r="O244" s="48"/>
    </row>
    <row r="245" spans="11:15" ht="26.25" customHeight="1" x14ac:dyDescent="0.3">
      <c r="K24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45" s="1">
        <f>M244+Table1181920231030313236[[#This Row],[اجمالي الفاتوره]]-Table1181920231030313236[[#This Row],[الدفعات]]</f>
        <v>107595.19</v>
      </c>
      <c r="O245" s="48"/>
    </row>
    <row r="246" spans="11:15" ht="26.25" customHeight="1" x14ac:dyDescent="0.3">
      <c r="K24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46" s="1">
        <f>M245+Table1181920231030313236[[#This Row],[اجمالي الفاتوره]]-Table1181920231030313236[[#This Row],[الدفعات]]</f>
        <v>107595.19</v>
      </c>
      <c r="O246" s="48"/>
    </row>
    <row r="247" spans="11:15" ht="26.25" customHeight="1" x14ac:dyDescent="0.3">
      <c r="K24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47" s="1">
        <f>M246+Table1181920231030313236[[#This Row],[اجمالي الفاتوره]]-Table1181920231030313236[[#This Row],[الدفعات]]</f>
        <v>107595.19</v>
      </c>
      <c r="O247" s="48"/>
    </row>
    <row r="248" spans="11:15" ht="26.25" customHeight="1" x14ac:dyDescent="0.3">
      <c r="K24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48" s="1">
        <f>M247+Table1181920231030313236[[#This Row],[اجمالي الفاتوره]]-Table1181920231030313236[[#This Row],[الدفعات]]</f>
        <v>107595.19</v>
      </c>
      <c r="O248" s="48"/>
    </row>
    <row r="249" spans="11:15" ht="26.25" customHeight="1" x14ac:dyDescent="0.3">
      <c r="K24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49" s="1">
        <f>M248+Table1181920231030313236[[#This Row],[اجمالي الفاتوره]]-Table1181920231030313236[[#This Row],[الدفعات]]</f>
        <v>107595.19</v>
      </c>
      <c r="O249" s="48"/>
    </row>
    <row r="250" spans="11:15" ht="26.25" customHeight="1" x14ac:dyDescent="0.3">
      <c r="K25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50" s="1">
        <f>M249+Table1181920231030313236[[#This Row],[اجمالي الفاتوره]]-Table1181920231030313236[[#This Row],[الدفعات]]</f>
        <v>107595.19</v>
      </c>
      <c r="O250" s="48"/>
    </row>
    <row r="251" spans="11:15" ht="26.25" customHeight="1" x14ac:dyDescent="0.3">
      <c r="K25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51" s="1">
        <f>M250+Table1181920231030313236[[#This Row],[اجمالي الفاتوره]]-Table1181920231030313236[[#This Row],[الدفعات]]</f>
        <v>107595.19</v>
      </c>
      <c r="O251" s="48"/>
    </row>
    <row r="252" spans="11:15" ht="26.25" customHeight="1" x14ac:dyDescent="0.3">
      <c r="K25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52" s="1">
        <f>M251+Table1181920231030313236[[#This Row],[اجمالي الفاتوره]]-Table1181920231030313236[[#This Row],[الدفعات]]</f>
        <v>107595.19</v>
      </c>
      <c r="O252" s="48"/>
    </row>
    <row r="253" spans="11:15" ht="26.25" customHeight="1" x14ac:dyDescent="0.3">
      <c r="K25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53" s="1">
        <f>M252+Table1181920231030313236[[#This Row],[اجمالي الفاتوره]]-Table1181920231030313236[[#This Row],[الدفعات]]</f>
        <v>107595.19</v>
      </c>
      <c r="O253" s="48"/>
    </row>
    <row r="254" spans="11:15" ht="26.25" customHeight="1" x14ac:dyDescent="0.3">
      <c r="K25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54" s="1">
        <f>M253+Table1181920231030313236[[#This Row],[اجمالي الفاتوره]]-Table1181920231030313236[[#This Row],[الدفعات]]</f>
        <v>107595.19</v>
      </c>
      <c r="O254" s="48"/>
    </row>
    <row r="255" spans="11:15" ht="26.25" customHeight="1" x14ac:dyDescent="0.3">
      <c r="K25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55" s="1">
        <f>M254+Table1181920231030313236[[#This Row],[اجمالي الفاتوره]]-Table1181920231030313236[[#This Row],[الدفعات]]</f>
        <v>107595.19</v>
      </c>
      <c r="O255" s="48"/>
    </row>
    <row r="256" spans="11:15" ht="26.25" customHeight="1" x14ac:dyDescent="0.3">
      <c r="K25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56" s="1">
        <f>M255+Table1181920231030313236[[#This Row],[اجمالي الفاتوره]]-Table1181920231030313236[[#This Row],[الدفعات]]</f>
        <v>107595.19</v>
      </c>
      <c r="O256" s="48"/>
    </row>
    <row r="257" spans="11:15" ht="26.25" customHeight="1" x14ac:dyDescent="0.3">
      <c r="K25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57" s="1">
        <f>M256+Table1181920231030313236[[#This Row],[اجمالي الفاتوره]]-Table1181920231030313236[[#This Row],[الدفعات]]</f>
        <v>107595.19</v>
      </c>
      <c r="O257" s="48"/>
    </row>
    <row r="258" spans="11:15" ht="26.25" customHeight="1" x14ac:dyDescent="0.3">
      <c r="K25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58" s="1">
        <f>M257+Table1181920231030313236[[#This Row],[اجمالي الفاتوره]]-Table1181920231030313236[[#This Row],[الدفعات]]</f>
        <v>107595.19</v>
      </c>
      <c r="O258" s="48"/>
    </row>
    <row r="259" spans="11:15" ht="26.25" customHeight="1" x14ac:dyDescent="0.3">
      <c r="K25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59" s="1">
        <f>M258+Table1181920231030313236[[#This Row],[اجمالي الفاتوره]]-Table1181920231030313236[[#This Row],[الدفعات]]</f>
        <v>107595.19</v>
      </c>
      <c r="O259" s="48"/>
    </row>
    <row r="260" spans="11:15" ht="26.25" customHeight="1" x14ac:dyDescent="0.3">
      <c r="K26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60" s="1">
        <f>M259+Table1181920231030313236[[#This Row],[اجمالي الفاتوره]]-Table1181920231030313236[[#This Row],[الدفعات]]</f>
        <v>107595.19</v>
      </c>
      <c r="O260" s="48"/>
    </row>
    <row r="261" spans="11:15" ht="26.25" customHeight="1" x14ac:dyDescent="0.3">
      <c r="K26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61" s="1">
        <f>M260+Table1181920231030313236[[#This Row],[اجمالي الفاتوره]]-Table1181920231030313236[[#This Row],[الدفعات]]</f>
        <v>107595.19</v>
      </c>
      <c r="O261" s="48"/>
    </row>
    <row r="262" spans="11:15" ht="26.25" customHeight="1" x14ac:dyDescent="0.3">
      <c r="K26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62" s="1">
        <f>M261+Table1181920231030313236[[#This Row],[اجمالي الفاتوره]]-Table1181920231030313236[[#This Row],[الدفعات]]</f>
        <v>107595.19</v>
      </c>
      <c r="O262" s="48"/>
    </row>
    <row r="263" spans="11:15" ht="26.25" customHeight="1" x14ac:dyDescent="0.3">
      <c r="K26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63" s="1">
        <f>M262+Table1181920231030313236[[#This Row],[اجمالي الفاتوره]]-Table1181920231030313236[[#This Row],[الدفعات]]</f>
        <v>107595.19</v>
      </c>
      <c r="O263" s="48"/>
    </row>
    <row r="264" spans="11:15" ht="26.25" customHeight="1" x14ac:dyDescent="0.3">
      <c r="K26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64" s="1">
        <f>M263+Table1181920231030313236[[#This Row],[اجمالي الفاتوره]]-Table1181920231030313236[[#This Row],[الدفعات]]</f>
        <v>107595.19</v>
      </c>
      <c r="O264" s="48"/>
    </row>
    <row r="265" spans="11:15" ht="26.25" customHeight="1" x14ac:dyDescent="0.3">
      <c r="K26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65" s="1">
        <f>M264+Table1181920231030313236[[#This Row],[اجمالي الفاتوره]]-Table1181920231030313236[[#This Row],[الدفعات]]</f>
        <v>107595.19</v>
      </c>
      <c r="O265" s="48"/>
    </row>
    <row r="266" spans="11:15" ht="26.25" customHeight="1" x14ac:dyDescent="0.3">
      <c r="K26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66" s="1">
        <f>M265+Table1181920231030313236[[#This Row],[اجمالي الفاتوره]]-Table1181920231030313236[[#This Row],[الدفعات]]</f>
        <v>107595.19</v>
      </c>
      <c r="O266" s="48"/>
    </row>
    <row r="267" spans="11:15" ht="26.25" customHeight="1" x14ac:dyDescent="0.3">
      <c r="K26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67" s="1">
        <f>M266+Table1181920231030313236[[#This Row],[اجمالي الفاتوره]]-Table1181920231030313236[[#This Row],[الدفعات]]</f>
        <v>107595.19</v>
      </c>
      <c r="O267" s="48"/>
    </row>
    <row r="268" spans="11:15" ht="26.25" customHeight="1" x14ac:dyDescent="0.3">
      <c r="K26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68" s="1">
        <f>M267+Table1181920231030313236[[#This Row],[اجمالي الفاتوره]]-Table1181920231030313236[[#This Row],[الدفعات]]</f>
        <v>107595.19</v>
      </c>
      <c r="O268" s="48"/>
    </row>
    <row r="269" spans="11:15" ht="26.25" customHeight="1" x14ac:dyDescent="0.3">
      <c r="K26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69" s="1">
        <f>M268+Table1181920231030313236[[#This Row],[اجمالي الفاتوره]]-Table1181920231030313236[[#This Row],[الدفعات]]</f>
        <v>107595.19</v>
      </c>
      <c r="O269" s="48"/>
    </row>
    <row r="270" spans="11:15" ht="26.25" customHeight="1" x14ac:dyDescent="0.3">
      <c r="K27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70" s="1">
        <f>M269+Table1181920231030313236[[#This Row],[اجمالي الفاتوره]]-Table1181920231030313236[[#This Row],[الدفعات]]</f>
        <v>107595.19</v>
      </c>
      <c r="O270" s="48"/>
    </row>
    <row r="271" spans="11:15" ht="26.25" customHeight="1" x14ac:dyDescent="0.3">
      <c r="K27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71" s="1">
        <f>M270+Table1181920231030313236[[#This Row],[اجمالي الفاتوره]]-Table1181920231030313236[[#This Row],[الدفعات]]</f>
        <v>107595.19</v>
      </c>
      <c r="O271" s="48"/>
    </row>
    <row r="272" spans="11:15" ht="26.25" customHeight="1" x14ac:dyDescent="0.3">
      <c r="K27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72" s="1">
        <f>M271+Table1181920231030313236[[#This Row],[اجمالي الفاتوره]]-Table1181920231030313236[[#This Row],[الدفعات]]</f>
        <v>107595.19</v>
      </c>
      <c r="O272" s="48"/>
    </row>
    <row r="273" spans="11:15" ht="26.25" customHeight="1" x14ac:dyDescent="0.3">
      <c r="K27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73" s="1">
        <f>M272+Table1181920231030313236[[#This Row],[اجمالي الفاتوره]]-Table1181920231030313236[[#This Row],[الدفعات]]</f>
        <v>107595.19</v>
      </c>
      <c r="O273" s="48"/>
    </row>
    <row r="274" spans="11:15" ht="26.25" customHeight="1" x14ac:dyDescent="0.3">
      <c r="K27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74" s="1">
        <f>M273+Table1181920231030313236[[#This Row],[اجمالي الفاتوره]]-Table1181920231030313236[[#This Row],[الدفعات]]</f>
        <v>107595.19</v>
      </c>
      <c r="O274" s="48"/>
    </row>
    <row r="275" spans="11:15" ht="26.25" customHeight="1" x14ac:dyDescent="0.3">
      <c r="K27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75" s="1">
        <f>M274+Table1181920231030313236[[#This Row],[اجمالي الفاتوره]]-Table1181920231030313236[[#This Row],[الدفعات]]</f>
        <v>107595.19</v>
      </c>
      <c r="O275" s="48"/>
    </row>
    <row r="276" spans="11:15" ht="26.25" customHeight="1" x14ac:dyDescent="0.3">
      <c r="K27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76" s="1">
        <f>M275+Table1181920231030313236[[#This Row],[اجمالي الفاتوره]]-Table1181920231030313236[[#This Row],[الدفعات]]</f>
        <v>107595.19</v>
      </c>
      <c r="O276" s="48"/>
    </row>
    <row r="277" spans="11:15" ht="26.25" customHeight="1" x14ac:dyDescent="0.3">
      <c r="K27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77" s="1">
        <f>M276+Table1181920231030313236[[#This Row],[اجمالي الفاتوره]]-Table1181920231030313236[[#This Row],[الدفعات]]</f>
        <v>107595.19</v>
      </c>
      <c r="O277" s="48"/>
    </row>
    <row r="278" spans="11:15" ht="26.25" customHeight="1" x14ac:dyDescent="0.3">
      <c r="K27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78" s="1">
        <f>M277+Table1181920231030313236[[#This Row],[اجمالي الفاتوره]]-Table1181920231030313236[[#This Row],[الدفعات]]</f>
        <v>107595.19</v>
      </c>
      <c r="O278" s="48"/>
    </row>
    <row r="279" spans="11:15" ht="26.25" customHeight="1" x14ac:dyDescent="0.3">
      <c r="K27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79" s="1">
        <f>M278+Table1181920231030313236[[#This Row],[اجمالي الفاتوره]]-Table1181920231030313236[[#This Row],[الدفعات]]</f>
        <v>107595.19</v>
      </c>
      <c r="O279" s="48"/>
    </row>
    <row r="280" spans="11:15" ht="26.25" customHeight="1" x14ac:dyDescent="0.3">
      <c r="K28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80" s="1">
        <f>M279+Table1181920231030313236[[#This Row],[اجمالي الفاتوره]]-Table1181920231030313236[[#This Row],[الدفعات]]</f>
        <v>107595.19</v>
      </c>
      <c r="O280" s="48"/>
    </row>
    <row r="281" spans="11:15" ht="26.25" customHeight="1" x14ac:dyDescent="0.3">
      <c r="K28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81" s="1">
        <f>M280+Table1181920231030313236[[#This Row],[اجمالي الفاتوره]]-Table1181920231030313236[[#This Row],[الدفعات]]</f>
        <v>107595.19</v>
      </c>
      <c r="O281" s="48"/>
    </row>
    <row r="282" spans="11:15" ht="26.25" customHeight="1" x14ac:dyDescent="0.3">
      <c r="K28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82" s="1">
        <f>M281+Table1181920231030313236[[#This Row],[اجمالي الفاتوره]]-Table1181920231030313236[[#This Row],[الدفعات]]</f>
        <v>107595.19</v>
      </c>
      <c r="O282" s="48"/>
    </row>
    <row r="283" spans="11:15" ht="26.25" customHeight="1" x14ac:dyDescent="0.3">
      <c r="K28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83" s="1">
        <f>M282+Table1181920231030313236[[#This Row],[اجمالي الفاتوره]]-Table1181920231030313236[[#This Row],[الدفعات]]</f>
        <v>107595.19</v>
      </c>
      <c r="O283" s="48"/>
    </row>
    <row r="284" spans="11:15" ht="26.25" customHeight="1" x14ac:dyDescent="0.3">
      <c r="K28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84" s="1">
        <f>M283+Table1181920231030313236[[#This Row],[اجمالي الفاتوره]]-Table1181920231030313236[[#This Row],[الدفعات]]</f>
        <v>107595.19</v>
      </c>
      <c r="O284" s="48"/>
    </row>
    <row r="285" spans="11:15" ht="26.25" customHeight="1" x14ac:dyDescent="0.3">
      <c r="K28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85" s="1">
        <f>M284+Table1181920231030313236[[#This Row],[اجمالي الفاتوره]]-Table1181920231030313236[[#This Row],[الدفعات]]</f>
        <v>107595.19</v>
      </c>
      <c r="O285" s="48"/>
    </row>
    <row r="286" spans="11:15" ht="26.25" customHeight="1" x14ac:dyDescent="0.3">
      <c r="K28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86" s="1">
        <f>M285+Table1181920231030313236[[#This Row],[اجمالي الفاتوره]]-Table1181920231030313236[[#This Row],[الدفعات]]</f>
        <v>107595.19</v>
      </c>
      <c r="O286" s="48"/>
    </row>
    <row r="287" spans="11:15" ht="26.25" customHeight="1" x14ac:dyDescent="0.3">
      <c r="K28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87" s="1">
        <f>M286+Table1181920231030313236[[#This Row],[اجمالي الفاتوره]]-Table1181920231030313236[[#This Row],[الدفعات]]</f>
        <v>107595.19</v>
      </c>
      <c r="O287" s="48"/>
    </row>
    <row r="288" spans="11:15" ht="26.25" customHeight="1" x14ac:dyDescent="0.3">
      <c r="K28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88" s="1">
        <f>M287+Table1181920231030313236[[#This Row],[اجمالي الفاتوره]]-Table1181920231030313236[[#This Row],[الدفعات]]</f>
        <v>107595.19</v>
      </c>
      <c r="O288" s="48"/>
    </row>
    <row r="289" spans="11:15" ht="26.25" customHeight="1" x14ac:dyDescent="0.3">
      <c r="K28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89" s="1">
        <f>M288+Table1181920231030313236[[#This Row],[اجمالي الفاتوره]]-Table1181920231030313236[[#This Row],[الدفعات]]</f>
        <v>107595.19</v>
      </c>
      <c r="O289" s="48"/>
    </row>
    <row r="290" spans="11:15" ht="26.25" customHeight="1" x14ac:dyDescent="0.3">
      <c r="K29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90" s="1">
        <f>M289+Table1181920231030313236[[#This Row],[اجمالي الفاتوره]]-Table1181920231030313236[[#This Row],[الدفعات]]</f>
        <v>107595.19</v>
      </c>
      <c r="O290" s="48"/>
    </row>
    <row r="291" spans="11:15" ht="26.25" customHeight="1" x14ac:dyDescent="0.3">
      <c r="K29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91" s="1">
        <f>M290+Table1181920231030313236[[#This Row],[اجمالي الفاتوره]]-Table1181920231030313236[[#This Row],[الدفعات]]</f>
        <v>107595.19</v>
      </c>
      <c r="O291" s="48"/>
    </row>
    <row r="292" spans="11:15" ht="26.25" customHeight="1" x14ac:dyDescent="0.3">
      <c r="K29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92" s="1">
        <f>M291+Table1181920231030313236[[#This Row],[اجمالي الفاتوره]]-Table1181920231030313236[[#This Row],[الدفعات]]</f>
        <v>107595.19</v>
      </c>
      <c r="O292" s="48"/>
    </row>
    <row r="293" spans="11:15" ht="26.25" customHeight="1" x14ac:dyDescent="0.3">
      <c r="K29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93" s="1">
        <f>M292+Table1181920231030313236[[#This Row],[اجمالي الفاتوره]]-Table1181920231030313236[[#This Row],[الدفعات]]</f>
        <v>107595.19</v>
      </c>
      <c r="O293" s="48"/>
    </row>
    <row r="294" spans="11:15" ht="26.25" customHeight="1" x14ac:dyDescent="0.3">
      <c r="K29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94" s="1">
        <f>M293+Table1181920231030313236[[#This Row],[اجمالي الفاتوره]]-Table1181920231030313236[[#This Row],[الدفعات]]</f>
        <v>107595.19</v>
      </c>
      <c r="O294" s="48"/>
    </row>
    <row r="295" spans="11:15" ht="26.25" customHeight="1" x14ac:dyDescent="0.3">
      <c r="K29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95" s="1">
        <f>M294+Table1181920231030313236[[#This Row],[اجمالي الفاتوره]]-Table1181920231030313236[[#This Row],[الدفعات]]</f>
        <v>107595.19</v>
      </c>
      <c r="O295" s="48"/>
    </row>
    <row r="296" spans="11:15" ht="26.25" customHeight="1" x14ac:dyDescent="0.3">
      <c r="K29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96" s="1">
        <f>M295+Table1181920231030313236[[#This Row],[اجمالي الفاتوره]]-Table1181920231030313236[[#This Row],[الدفعات]]</f>
        <v>107595.19</v>
      </c>
      <c r="O296" s="48"/>
    </row>
    <row r="297" spans="11:15" ht="26.25" customHeight="1" x14ac:dyDescent="0.3">
      <c r="K29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97" s="1">
        <f>M296+Table1181920231030313236[[#This Row],[اجمالي الفاتوره]]-Table1181920231030313236[[#This Row],[الدفعات]]</f>
        <v>107595.19</v>
      </c>
      <c r="O297" s="48"/>
    </row>
    <row r="298" spans="11:15" ht="26.25" customHeight="1" x14ac:dyDescent="0.3">
      <c r="K29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98" s="1">
        <f>M297+Table1181920231030313236[[#This Row],[اجمالي الفاتوره]]-Table1181920231030313236[[#This Row],[الدفعات]]</f>
        <v>107595.19</v>
      </c>
      <c r="O298" s="48"/>
    </row>
    <row r="299" spans="11:15" ht="26.25" customHeight="1" x14ac:dyDescent="0.3">
      <c r="K29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299" s="1">
        <f>M298+Table1181920231030313236[[#This Row],[اجمالي الفاتوره]]-Table1181920231030313236[[#This Row],[الدفعات]]</f>
        <v>107595.19</v>
      </c>
      <c r="O299" s="48"/>
    </row>
    <row r="300" spans="11:15" ht="26.25" customHeight="1" x14ac:dyDescent="0.3">
      <c r="K30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00" s="1">
        <f>M299+Table1181920231030313236[[#This Row],[اجمالي الفاتوره]]-Table1181920231030313236[[#This Row],[الدفعات]]</f>
        <v>107595.19</v>
      </c>
      <c r="O300" s="48"/>
    </row>
    <row r="301" spans="11:15" ht="26.25" customHeight="1" x14ac:dyDescent="0.3">
      <c r="K30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01" s="1">
        <f>M300+Table1181920231030313236[[#This Row],[اجمالي الفاتوره]]-Table1181920231030313236[[#This Row],[الدفعات]]</f>
        <v>107595.19</v>
      </c>
      <c r="O301" s="48"/>
    </row>
    <row r="302" spans="11:15" ht="26.25" customHeight="1" x14ac:dyDescent="0.3">
      <c r="K30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02" s="1">
        <f>M301+Table1181920231030313236[[#This Row],[اجمالي الفاتوره]]-Table1181920231030313236[[#This Row],[الدفعات]]</f>
        <v>107595.19</v>
      </c>
      <c r="O302" s="48"/>
    </row>
    <row r="303" spans="11:15" ht="26.25" customHeight="1" x14ac:dyDescent="0.3">
      <c r="K30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03" s="1">
        <f>M302+Table1181920231030313236[[#This Row],[اجمالي الفاتوره]]-Table1181920231030313236[[#This Row],[الدفعات]]</f>
        <v>107595.19</v>
      </c>
      <c r="O303" s="48"/>
    </row>
    <row r="304" spans="11:15" ht="26.25" customHeight="1" x14ac:dyDescent="0.3">
      <c r="K30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04" s="1">
        <f>M303+Table1181920231030313236[[#This Row],[اجمالي الفاتوره]]-Table1181920231030313236[[#This Row],[الدفعات]]</f>
        <v>107595.19</v>
      </c>
      <c r="O304" s="48"/>
    </row>
    <row r="305" spans="11:15" ht="26.25" customHeight="1" x14ac:dyDescent="0.3">
      <c r="K30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05" s="1">
        <f>M304+Table1181920231030313236[[#This Row],[اجمالي الفاتوره]]-Table1181920231030313236[[#This Row],[الدفعات]]</f>
        <v>107595.19</v>
      </c>
      <c r="O305" s="48"/>
    </row>
    <row r="306" spans="11:15" ht="26.25" customHeight="1" x14ac:dyDescent="0.3">
      <c r="K30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06" s="1">
        <f>M305+Table1181920231030313236[[#This Row],[اجمالي الفاتوره]]-Table1181920231030313236[[#This Row],[الدفعات]]</f>
        <v>107595.19</v>
      </c>
      <c r="O306" s="48"/>
    </row>
    <row r="307" spans="11:15" ht="26.25" customHeight="1" x14ac:dyDescent="0.3">
      <c r="K30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07" s="1">
        <f>M306+Table1181920231030313236[[#This Row],[اجمالي الفاتوره]]-Table1181920231030313236[[#This Row],[الدفعات]]</f>
        <v>107595.19</v>
      </c>
      <c r="O307" s="48"/>
    </row>
    <row r="308" spans="11:15" ht="26.25" customHeight="1" x14ac:dyDescent="0.3">
      <c r="K30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08" s="1">
        <f>M307+Table1181920231030313236[[#This Row],[اجمالي الفاتوره]]-Table1181920231030313236[[#This Row],[الدفعات]]</f>
        <v>107595.19</v>
      </c>
      <c r="O308" s="48"/>
    </row>
    <row r="309" spans="11:15" ht="26.25" customHeight="1" x14ac:dyDescent="0.3">
      <c r="K30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09" s="1">
        <f>M308+Table1181920231030313236[[#This Row],[اجمالي الفاتوره]]-Table1181920231030313236[[#This Row],[الدفعات]]</f>
        <v>107595.19</v>
      </c>
      <c r="O309" s="48"/>
    </row>
    <row r="310" spans="11:15" ht="26.25" customHeight="1" x14ac:dyDescent="0.3">
      <c r="K31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10" s="1">
        <f>M309+Table1181920231030313236[[#This Row],[اجمالي الفاتوره]]-Table1181920231030313236[[#This Row],[الدفعات]]</f>
        <v>107595.19</v>
      </c>
      <c r="O310" s="48"/>
    </row>
    <row r="311" spans="11:15" ht="26.25" customHeight="1" x14ac:dyDescent="0.3">
      <c r="K31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11" s="1">
        <f>M310+Table1181920231030313236[[#This Row],[اجمالي الفاتوره]]-Table1181920231030313236[[#This Row],[الدفعات]]</f>
        <v>107595.19</v>
      </c>
      <c r="O311" s="48"/>
    </row>
    <row r="312" spans="11:15" ht="26.25" customHeight="1" x14ac:dyDescent="0.3">
      <c r="K31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12" s="1">
        <f>M311+Table1181920231030313236[[#This Row],[اجمالي الفاتوره]]-Table1181920231030313236[[#This Row],[الدفعات]]</f>
        <v>107595.19</v>
      </c>
      <c r="O312" s="48"/>
    </row>
    <row r="313" spans="11:15" ht="26.25" customHeight="1" x14ac:dyDescent="0.3">
      <c r="K31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13" s="1">
        <f>M312+Table1181920231030313236[[#This Row],[اجمالي الفاتوره]]-Table1181920231030313236[[#This Row],[الدفعات]]</f>
        <v>107595.19</v>
      </c>
      <c r="O313" s="48"/>
    </row>
    <row r="314" spans="11:15" ht="26.25" customHeight="1" x14ac:dyDescent="0.3">
      <c r="K31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14" s="1">
        <f>M313+Table1181920231030313236[[#This Row],[اجمالي الفاتوره]]-Table1181920231030313236[[#This Row],[الدفعات]]</f>
        <v>107595.19</v>
      </c>
      <c r="O314" s="48"/>
    </row>
    <row r="315" spans="11:15" ht="26.25" customHeight="1" x14ac:dyDescent="0.3">
      <c r="K31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15" s="1">
        <f>M314+Table1181920231030313236[[#This Row],[اجمالي الفاتوره]]-Table1181920231030313236[[#This Row],[الدفعات]]</f>
        <v>107595.19</v>
      </c>
      <c r="O315" s="48"/>
    </row>
    <row r="316" spans="11:15" ht="26.25" customHeight="1" x14ac:dyDescent="0.3">
      <c r="K31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16" s="1">
        <f>M315+Table1181920231030313236[[#This Row],[اجمالي الفاتوره]]-Table1181920231030313236[[#This Row],[الدفعات]]</f>
        <v>107595.19</v>
      </c>
      <c r="O316" s="48"/>
    </row>
    <row r="317" spans="11:15" ht="26.25" customHeight="1" x14ac:dyDescent="0.3">
      <c r="K31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17" s="1">
        <f>M316+Table1181920231030313236[[#This Row],[اجمالي الفاتوره]]-Table1181920231030313236[[#This Row],[الدفعات]]</f>
        <v>107595.19</v>
      </c>
      <c r="O317" s="48"/>
    </row>
    <row r="318" spans="11:15" ht="26.25" customHeight="1" x14ac:dyDescent="0.3">
      <c r="K31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18" s="1">
        <f>M317+Table1181920231030313236[[#This Row],[اجمالي الفاتوره]]-Table1181920231030313236[[#This Row],[الدفعات]]</f>
        <v>107595.19</v>
      </c>
      <c r="O318" s="48"/>
    </row>
    <row r="319" spans="11:15" ht="26.25" customHeight="1" x14ac:dyDescent="0.3">
      <c r="K31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19" s="1">
        <f>M318+Table1181920231030313236[[#This Row],[اجمالي الفاتوره]]-Table1181920231030313236[[#This Row],[الدفعات]]</f>
        <v>107595.19</v>
      </c>
      <c r="O319" s="48"/>
    </row>
    <row r="320" spans="11:15" ht="26.25" customHeight="1" x14ac:dyDescent="0.3">
      <c r="K32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20" s="1">
        <f>M319+Table1181920231030313236[[#This Row],[اجمالي الفاتوره]]-Table1181920231030313236[[#This Row],[الدفعات]]</f>
        <v>107595.19</v>
      </c>
      <c r="O320" s="48"/>
    </row>
    <row r="321" spans="11:15" ht="26.25" customHeight="1" x14ac:dyDescent="0.3">
      <c r="K32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21" s="1">
        <f>M320+Table1181920231030313236[[#This Row],[اجمالي الفاتوره]]-Table1181920231030313236[[#This Row],[الدفعات]]</f>
        <v>107595.19</v>
      </c>
      <c r="O321" s="48"/>
    </row>
    <row r="322" spans="11:15" ht="26.25" customHeight="1" x14ac:dyDescent="0.3">
      <c r="K32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22" s="1">
        <f>M321+Table1181920231030313236[[#This Row],[اجمالي الفاتوره]]-Table1181920231030313236[[#This Row],[الدفعات]]</f>
        <v>107595.19</v>
      </c>
      <c r="O322" s="48"/>
    </row>
    <row r="323" spans="11:15" ht="26.25" customHeight="1" x14ac:dyDescent="0.3">
      <c r="K32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23" s="1">
        <f>M322+Table1181920231030313236[[#This Row],[اجمالي الفاتوره]]-Table1181920231030313236[[#This Row],[الدفعات]]</f>
        <v>107595.19</v>
      </c>
      <c r="O323" s="48"/>
    </row>
    <row r="324" spans="11:15" ht="26.25" customHeight="1" x14ac:dyDescent="0.3">
      <c r="K32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24" s="1">
        <f>M323+Table1181920231030313236[[#This Row],[اجمالي الفاتوره]]-Table1181920231030313236[[#This Row],[الدفعات]]</f>
        <v>107595.19</v>
      </c>
      <c r="O324" s="48"/>
    </row>
    <row r="325" spans="11:15" ht="26.25" customHeight="1" x14ac:dyDescent="0.3">
      <c r="K32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25" s="1">
        <f>M324+Table1181920231030313236[[#This Row],[اجمالي الفاتوره]]-Table1181920231030313236[[#This Row],[الدفعات]]</f>
        <v>107595.19</v>
      </c>
      <c r="O325" s="48"/>
    </row>
    <row r="326" spans="11:15" ht="26.25" customHeight="1" x14ac:dyDescent="0.3">
      <c r="K32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26" s="1">
        <f>M325+Table1181920231030313236[[#This Row],[اجمالي الفاتوره]]-Table1181920231030313236[[#This Row],[الدفعات]]</f>
        <v>107595.19</v>
      </c>
      <c r="O326" s="48"/>
    </row>
    <row r="327" spans="11:15" ht="26.25" customHeight="1" x14ac:dyDescent="0.3">
      <c r="K32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27" s="1">
        <f>M326+Table1181920231030313236[[#This Row],[اجمالي الفاتوره]]-Table1181920231030313236[[#This Row],[الدفعات]]</f>
        <v>107595.19</v>
      </c>
      <c r="O327" s="48"/>
    </row>
    <row r="328" spans="11:15" ht="26.25" customHeight="1" x14ac:dyDescent="0.3">
      <c r="K32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28" s="1">
        <f>M327+Table1181920231030313236[[#This Row],[اجمالي الفاتوره]]-Table1181920231030313236[[#This Row],[الدفعات]]</f>
        <v>107595.19</v>
      </c>
      <c r="O328" s="48"/>
    </row>
    <row r="329" spans="11:15" ht="26.25" customHeight="1" x14ac:dyDescent="0.3">
      <c r="K32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29" s="1">
        <f>M328+Table1181920231030313236[[#This Row],[اجمالي الفاتوره]]-Table1181920231030313236[[#This Row],[الدفعات]]</f>
        <v>107595.19</v>
      </c>
      <c r="O329" s="48"/>
    </row>
    <row r="330" spans="11:15" ht="26.25" customHeight="1" x14ac:dyDescent="0.3">
      <c r="K33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30" s="1">
        <f>M329+Table1181920231030313236[[#This Row],[اجمالي الفاتوره]]-Table1181920231030313236[[#This Row],[الدفعات]]</f>
        <v>107595.19</v>
      </c>
      <c r="O330" s="48"/>
    </row>
    <row r="331" spans="11:15" ht="26.25" customHeight="1" x14ac:dyDescent="0.3">
      <c r="K331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31" s="1">
        <f>M330+Table1181920231030313236[[#This Row],[اجمالي الفاتوره]]-Table1181920231030313236[[#This Row],[الدفعات]]</f>
        <v>107595.19</v>
      </c>
      <c r="O331" s="48"/>
    </row>
    <row r="332" spans="11:15" ht="26.25" customHeight="1" x14ac:dyDescent="0.3">
      <c r="K332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32" s="1">
        <f>M331+Table1181920231030313236[[#This Row],[اجمالي الفاتوره]]-Table1181920231030313236[[#This Row],[الدفعات]]</f>
        <v>107595.19</v>
      </c>
      <c r="O332" s="48"/>
    </row>
    <row r="333" spans="11:15" ht="26.25" customHeight="1" x14ac:dyDescent="0.3">
      <c r="K333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33" s="1">
        <f>M332+Table1181920231030313236[[#This Row],[اجمالي الفاتوره]]-Table1181920231030313236[[#This Row],[الدفعات]]</f>
        <v>107595.19</v>
      </c>
      <c r="O333" s="48"/>
    </row>
    <row r="334" spans="11:15" ht="26.25" customHeight="1" x14ac:dyDescent="0.3">
      <c r="K334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34" s="1">
        <f>M333+Table1181920231030313236[[#This Row],[اجمالي الفاتوره]]-Table1181920231030313236[[#This Row],[الدفعات]]</f>
        <v>107595.19</v>
      </c>
      <c r="O334" s="48"/>
    </row>
    <row r="335" spans="11:15" ht="26.25" customHeight="1" x14ac:dyDescent="0.3">
      <c r="K335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35" s="1">
        <f>M334+Table1181920231030313236[[#This Row],[اجمالي الفاتوره]]-Table1181920231030313236[[#This Row],[الدفعات]]</f>
        <v>107595.19</v>
      </c>
      <c r="O335" s="48"/>
    </row>
    <row r="336" spans="11:15" ht="26.25" customHeight="1" x14ac:dyDescent="0.3">
      <c r="K336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36" s="1">
        <f>M335+Table1181920231030313236[[#This Row],[اجمالي الفاتوره]]-Table1181920231030313236[[#This Row],[الدفعات]]</f>
        <v>107595.19</v>
      </c>
      <c r="O336" s="48"/>
    </row>
    <row r="337" spans="11:15" ht="26.25" customHeight="1" x14ac:dyDescent="0.3">
      <c r="K337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37" s="1">
        <f>M336+Table1181920231030313236[[#This Row],[اجمالي الفاتوره]]-Table1181920231030313236[[#This Row],[الدفعات]]</f>
        <v>107595.19</v>
      </c>
      <c r="O337" s="48"/>
    </row>
    <row r="338" spans="11:15" ht="26.25" customHeight="1" x14ac:dyDescent="0.3">
      <c r="K338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38" s="1">
        <f>M337+Table1181920231030313236[[#This Row],[اجمالي الفاتوره]]-Table1181920231030313236[[#This Row],[الدفعات]]</f>
        <v>107595.19</v>
      </c>
      <c r="O338" s="48"/>
    </row>
    <row r="339" spans="11:15" ht="26.25" customHeight="1" x14ac:dyDescent="0.3">
      <c r="K339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39" s="1">
        <f>M338+Table1181920231030313236[[#This Row],[اجمالي الفاتوره]]-Table1181920231030313236[[#This Row],[الدفعات]]</f>
        <v>107595.19</v>
      </c>
      <c r="O339" s="48"/>
    </row>
    <row r="340" spans="11:15" ht="26.25" customHeight="1" x14ac:dyDescent="0.3">
      <c r="K340" s="1">
        <f>Table1181920231030313236[[#This Row],[النولون]]+Table1181920231030313236[[#This Row],[الايصالات]]-Table1181920231030313236[[#This Row],[خصم أ ت ص]]+Table1181920231030313236[[#This Row],[قيمة مضافة]]</f>
        <v>0</v>
      </c>
      <c r="M340" s="1">
        <f>M339+Table1181920231030313236[[#This Row],[اجمالي الفاتوره]]-Table1181920231030313236[[#This Row],[الدفعات]]</f>
        <v>107595.19</v>
      </c>
      <c r="O340" s="48"/>
    </row>
  </sheetData>
  <phoneticPr fontId="23" type="noConversion"/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62"/>
  <sheetViews>
    <sheetView rightToLeft="1" zoomScale="90" zoomScaleNormal="90" workbookViewId="0">
      <pane ySplit="1" topLeftCell="A40" activePane="bottomLeft" state="frozen"/>
      <selection pane="bottomLeft" activeCell="K52" sqref="K52"/>
    </sheetView>
  </sheetViews>
  <sheetFormatPr defaultColWidth="9.109375" defaultRowHeight="26.25" customHeight="1" x14ac:dyDescent="0.3"/>
  <cols>
    <col min="1" max="1" width="8.44140625" style="36" customWidth="1"/>
    <col min="2" max="2" width="11" style="36" customWidth="1"/>
    <col min="3" max="3" width="13.109375" style="36" customWidth="1"/>
    <col min="4" max="4" width="15.33203125" style="36" customWidth="1"/>
    <col min="5" max="5" width="14.33203125" style="36" customWidth="1"/>
    <col min="6" max="6" width="16.33203125" style="36" customWidth="1"/>
    <col min="7" max="7" width="11.6640625" style="36" customWidth="1"/>
    <col min="8" max="8" width="11.77734375" style="36" customWidth="1"/>
    <col min="9" max="9" width="9.44140625" style="36" customWidth="1"/>
    <col min="10" max="10" width="10.77734375" style="36" customWidth="1"/>
    <col min="11" max="11" width="12" style="36" customWidth="1"/>
    <col min="12" max="12" width="17.21875" style="36" bestFit="1" customWidth="1"/>
    <col min="13" max="13" width="12.33203125" style="36" customWidth="1"/>
    <col min="14" max="14" width="17.6640625" style="36" bestFit="1" customWidth="1"/>
    <col min="15" max="15" width="14.6640625" style="36" customWidth="1"/>
    <col min="16" max="16384" width="9.109375" style="36"/>
  </cols>
  <sheetData>
    <row r="1" spans="1:16" ht="26.25" customHeight="1" x14ac:dyDescent="0.3">
      <c r="A1" s="106" t="s">
        <v>32</v>
      </c>
      <c r="B1" s="106" t="s">
        <v>0</v>
      </c>
      <c r="C1" s="106" t="s">
        <v>1</v>
      </c>
      <c r="D1" s="106" t="s">
        <v>2</v>
      </c>
      <c r="E1" s="106" t="s">
        <v>3</v>
      </c>
      <c r="F1" s="106" t="s">
        <v>4</v>
      </c>
      <c r="G1" s="106" t="s">
        <v>5</v>
      </c>
      <c r="H1" s="106" t="s">
        <v>6</v>
      </c>
      <c r="I1" s="106" t="s">
        <v>7</v>
      </c>
      <c r="J1" s="106" t="s">
        <v>8</v>
      </c>
      <c r="K1" s="106" t="s">
        <v>9</v>
      </c>
      <c r="L1" s="106" t="s">
        <v>10</v>
      </c>
      <c r="M1" s="106" t="s">
        <v>11</v>
      </c>
      <c r="N1" s="106" t="s">
        <v>12</v>
      </c>
      <c r="O1" s="36" t="s">
        <v>13</v>
      </c>
      <c r="P1" s="49" t="s">
        <v>20</v>
      </c>
    </row>
    <row r="2" spans="1:16" ht="26.25" customHeight="1" x14ac:dyDescent="0.3">
      <c r="C2" s="37"/>
      <c r="L2" s="36">
        <f>Table11819[[#This Row],[النولون]]+Table11819[[#This Row],[الايصالات]]-Table11819[[#This Row],[خصم أ ت ص]]+Table11819[[#This Row],[قيمة مضافة]]</f>
        <v>0</v>
      </c>
      <c r="N2" s="36">
        <v>0</v>
      </c>
      <c r="P2" s="49"/>
    </row>
    <row r="3" spans="1:16" ht="26.25" customHeight="1" x14ac:dyDescent="0.3">
      <c r="A3" s="36">
        <v>1237</v>
      </c>
      <c r="B3" s="36">
        <v>1</v>
      </c>
      <c r="C3" s="37" t="s">
        <v>150</v>
      </c>
      <c r="D3" s="36" t="s">
        <v>176</v>
      </c>
      <c r="E3" s="36" t="s">
        <v>162</v>
      </c>
      <c r="F3" s="36">
        <v>15498900</v>
      </c>
      <c r="G3" s="36" t="s">
        <v>121</v>
      </c>
      <c r="H3" s="36">
        <v>19300</v>
      </c>
      <c r="K3" s="36">
        <f>100+1100+591.35+1000+25.1</f>
        <v>2816.45</v>
      </c>
      <c r="L3" s="36">
        <f>Table11819[[#This Row],[النولون]]+Table11819[[#This Row],[الايصالات]]-Table11819[[#This Row],[خصم أ ت ص]]+Table11819[[#This Row],[قيمة مضافة]]</f>
        <v>22116.45</v>
      </c>
      <c r="N3" s="36">
        <f>N2+Table11819[[#This Row],[اجمالي الفاتوره]]-Table11819[[#This Row],[الدفعات]]</f>
        <v>22116.45</v>
      </c>
      <c r="P3" s="49"/>
    </row>
    <row r="4" spans="1:16" ht="26.25" customHeight="1" x14ac:dyDescent="0.3">
      <c r="A4" s="36">
        <v>1238</v>
      </c>
      <c r="B4" s="36">
        <v>2</v>
      </c>
      <c r="C4" s="37" t="s">
        <v>150</v>
      </c>
      <c r="D4" s="36" t="s">
        <v>177</v>
      </c>
      <c r="E4" s="36" t="s">
        <v>178</v>
      </c>
      <c r="F4" s="36">
        <v>472296</v>
      </c>
      <c r="G4" s="36" t="s">
        <v>121</v>
      </c>
      <c r="H4" s="36">
        <v>21500</v>
      </c>
      <c r="I4" s="36">
        <v>3311</v>
      </c>
      <c r="K4" s="36">
        <f>810+5980+150+1120+377.6+2547.9</f>
        <v>10985.5</v>
      </c>
      <c r="L4" s="36">
        <f>Table11819[[#This Row],[النولون]]+Table11819[[#This Row],[الايصالات]]-Table11819[[#This Row],[خصم أ ت ص]]+Table11819[[#This Row],[قيمة مضافة]]</f>
        <v>35796.5</v>
      </c>
      <c r="N4" s="36">
        <f>N3+Table11819[[#This Row],[اجمالي الفاتوره]]-Table11819[[#This Row],[الدفعات]]</f>
        <v>57912.95</v>
      </c>
      <c r="P4" s="49"/>
    </row>
    <row r="5" spans="1:16" ht="26.25" customHeight="1" x14ac:dyDescent="0.3">
      <c r="A5" s="36">
        <v>1273</v>
      </c>
      <c r="B5" s="36">
        <v>3</v>
      </c>
      <c r="C5" s="37" t="s">
        <v>237</v>
      </c>
      <c r="D5" s="36" t="s">
        <v>176</v>
      </c>
      <c r="E5" s="36" t="s">
        <v>162</v>
      </c>
      <c r="F5" s="36">
        <v>75075</v>
      </c>
      <c r="G5" s="36" t="s">
        <v>121</v>
      </c>
      <c r="H5" s="36">
        <v>19300</v>
      </c>
      <c r="K5" s="36">
        <f>1100+446.88+105.79+1316.7+228+114</f>
        <v>3311.37</v>
      </c>
      <c r="L5" s="36">
        <f>Table11819[[#This Row],[النولون]]+Table11819[[#This Row],[الايصالات]]-Table11819[[#This Row],[خصم أ ت ص]]+Table11819[[#This Row],[قيمة مضافة]]</f>
        <v>22611.37</v>
      </c>
      <c r="N5" s="36">
        <f>N4+Table11819[[#This Row],[اجمالي الفاتوره]]-Table11819[[#This Row],[الدفعات]]</f>
        <v>80524.319999999992</v>
      </c>
      <c r="P5" s="49"/>
    </row>
    <row r="6" spans="1:16" ht="26.25" customHeight="1" x14ac:dyDescent="0.3">
      <c r="A6" s="36">
        <v>1274</v>
      </c>
      <c r="B6" s="36">
        <v>4</v>
      </c>
      <c r="C6" s="37" t="s">
        <v>237</v>
      </c>
      <c r="D6" s="36" t="s">
        <v>254</v>
      </c>
      <c r="E6" s="36" t="s">
        <v>255</v>
      </c>
      <c r="F6" s="36">
        <v>875729</v>
      </c>
      <c r="G6" s="36" t="s">
        <v>192</v>
      </c>
      <c r="H6" s="36">
        <f>17500*4</f>
        <v>70000</v>
      </c>
      <c r="K6" s="36">
        <f>1100*3+1135+45.15+68.08*2+480.8+869.38+829.66+483.63+850+1400+1596+100.35</f>
        <v>11226.13</v>
      </c>
      <c r="L6" s="36">
        <f>Table11819[[#This Row],[النولون]]+Table11819[[#This Row],[الايصالات]]-Table11819[[#This Row],[خصم أ ت ص]]+Table11819[[#This Row],[قيمة مضافة]]</f>
        <v>81226.13</v>
      </c>
      <c r="N6" s="36">
        <f>N5+Table11819[[#This Row],[اجمالي الفاتوره]]-Table11819[[#This Row],[الدفعات]]</f>
        <v>161750.45000000001</v>
      </c>
      <c r="P6" s="49"/>
    </row>
    <row r="7" spans="1:16" ht="26.25" customHeight="1" x14ac:dyDescent="0.3">
      <c r="A7" s="77"/>
      <c r="B7" s="77"/>
      <c r="C7" s="84"/>
      <c r="D7" s="77"/>
      <c r="E7" s="77"/>
      <c r="F7" s="77"/>
      <c r="G7" s="77"/>
      <c r="H7" s="77"/>
      <c r="I7" s="77"/>
      <c r="J7" s="77"/>
      <c r="K7" s="77"/>
      <c r="L7" s="77">
        <f>Table11819[[#This Row],[النولون]]+Table11819[[#This Row],[الايصالات]]-Table11819[[#This Row],[خصم أ ت ص]]+Table11819[[#This Row],[قيمة مضافة]]</f>
        <v>0</v>
      </c>
      <c r="M7" s="77">
        <v>161745</v>
      </c>
      <c r="N7" s="79">
        <f>N6+Table11819[[#This Row],[اجمالي الفاتوره]]-Table11819[[#This Row],[الدفعات]]</f>
        <v>5.4500000000116415</v>
      </c>
      <c r="O7" s="49"/>
      <c r="P7" s="49"/>
    </row>
    <row r="8" spans="1:16" ht="26.25" customHeight="1" x14ac:dyDescent="0.3">
      <c r="A8" s="36">
        <v>1275</v>
      </c>
      <c r="B8" s="36">
        <v>5</v>
      </c>
      <c r="C8" s="37" t="s">
        <v>237</v>
      </c>
      <c r="D8" s="36" t="s">
        <v>254</v>
      </c>
      <c r="E8" s="36" t="s">
        <v>255</v>
      </c>
      <c r="F8" s="36">
        <v>873176</v>
      </c>
      <c r="G8" s="36" t="s">
        <v>192</v>
      </c>
      <c r="H8" s="36">
        <f>17500*4</f>
        <v>70000</v>
      </c>
      <c r="K8" s="36">
        <f>100+1100*4+829.66+480.8+581.31+483.63+124.62+68.08+156.68+3648+100.35+1400+1596+1400</f>
        <v>15369.130000000001</v>
      </c>
      <c r="L8" s="36">
        <f>Table11819[[#This Row],[النولون]]+Table11819[[#This Row],[الايصالات]]-Table11819[[#This Row],[خصم أ ت ص]]+Table11819[[#This Row],[قيمة مضافة]]</f>
        <v>85369.13</v>
      </c>
      <c r="N8" s="36">
        <f>N7+Table11819[[#This Row],[اجمالي الفاتوره]]-Table11819[[#This Row],[الدفعات]]</f>
        <v>85374.580000000016</v>
      </c>
      <c r="P8" s="49"/>
    </row>
    <row r="9" spans="1:16" ht="26.25" customHeight="1" x14ac:dyDescent="0.3">
      <c r="A9" s="36">
        <v>1276</v>
      </c>
      <c r="B9" s="36">
        <v>6</v>
      </c>
      <c r="C9" s="37" t="s">
        <v>275</v>
      </c>
      <c r="D9" s="36" t="s">
        <v>30</v>
      </c>
      <c r="E9" s="36" t="s">
        <v>162</v>
      </c>
      <c r="F9" s="36">
        <v>880857</v>
      </c>
      <c r="G9" s="36" t="s">
        <v>159</v>
      </c>
      <c r="H9" s="36">
        <v>16000</v>
      </c>
      <c r="K9" s="36">
        <f>550+243.19+50+741+456+150+171</f>
        <v>2361.19</v>
      </c>
      <c r="L9" s="36">
        <f>Table11819[[#This Row],[النولون]]+Table11819[[#This Row],[الايصالات]]-Table11819[[#This Row],[خصم أ ت ص]]+Table11819[[#This Row],[قيمة مضافة]]</f>
        <v>18361.189999999999</v>
      </c>
      <c r="N9" s="36">
        <f>N8+Table11819[[#This Row],[اجمالي الفاتوره]]-Table11819[[#This Row],[الدفعات]]</f>
        <v>103735.77000000002</v>
      </c>
      <c r="P9" s="49"/>
    </row>
    <row r="10" spans="1:16" ht="26.25" customHeight="1" x14ac:dyDescent="0.3">
      <c r="A10" s="36">
        <v>1294</v>
      </c>
      <c r="B10" s="36">
        <v>7</v>
      </c>
      <c r="C10" s="37" t="s">
        <v>299</v>
      </c>
      <c r="D10" s="36" t="s">
        <v>176</v>
      </c>
      <c r="E10" s="36" t="s">
        <v>162</v>
      </c>
      <c r="F10" s="36">
        <v>266225393</v>
      </c>
      <c r="G10" s="36" t="s">
        <v>121</v>
      </c>
      <c r="H10" s="36">
        <v>19300</v>
      </c>
      <c r="K10" s="36">
        <f>100+1100+438.4+2086.2+500+4259</f>
        <v>8483.6</v>
      </c>
      <c r="L10" s="36">
        <f>Table11819[[#This Row],[النولون]]+Table11819[[#This Row],[الايصالات]]-Table11819[[#This Row],[خصم أ ت ص]]+Table11819[[#This Row],[قيمة مضافة]]</f>
        <v>27783.599999999999</v>
      </c>
      <c r="N10" s="36">
        <f>N9+Table11819[[#This Row],[اجمالي الفاتوره]]-Table11819[[#This Row],[الدفعات]]</f>
        <v>131519.37000000002</v>
      </c>
      <c r="P10" s="49"/>
    </row>
    <row r="11" spans="1:16" ht="26.25" customHeight="1" x14ac:dyDescent="0.3">
      <c r="A11" s="36">
        <v>1295</v>
      </c>
      <c r="B11" s="36">
        <v>8</v>
      </c>
      <c r="C11" s="37" t="s">
        <v>299</v>
      </c>
      <c r="D11" s="36" t="s">
        <v>176</v>
      </c>
      <c r="E11" s="36" t="s">
        <v>162</v>
      </c>
      <c r="F11" s="36">
        <v>15798010</v>
      </c>
      <c r="G11" s="36" t="s">
        <v>120</v>
      </c>
      <c r="H11" s="36">
        <v>19300</v>
      </c>
      <c r="K11" s="36">
        <f>550+630.84+500</f>
        <v>1680.8400000000001</v>
      </c>
      <c r="L11" s="36">
        <f>Table11819[[#This Row],[النولون]]+Table11819[[#This Row],[الايصالات]]-Table11819[[#This Row],[خصم أ ت ص]]+Table11819[[#This Row],[قيمة مضافة]]</f>
        <v>20980.84</v>
      </c>
      <c r="N11" s="36">
        <f>N10+Table11819[[#This Row],[اجمالي الفاتوره]]-Table11819[[#This Row],[الدفعات]]</f>
        <v>152500.21000000002</v>
      </c>
      <c r="P11" s="49"/>
    </row>
    <row r="12" spans="1:16" ht="26.25" customHeight="1" x14ac:dyDescent="0.3">
      <c r="A12" s="36">
        <v>1320</v>
      </c>
      <c r="C12" s="37" t="s">
        <v>351</v>
      </c>
      <c r="I12" s="36">
        <v>1120</v>
      </c>
      <c r="K12" s="36">
        <v>0</v>
      </c>
      <c r="L12" s="36">
        <f>Table11819[[#This Row],[النولون]]+Table11819[[#This Row],[الايصالات]]-Table11819[[#This Row],[خصم أ ت ص]]+Table11819[[#This Row],[قيمة مضافة]]</f>
        <v>1120</v>
      </c>
      <c r="N12" s="36">
        <f>N11+Table11819[[#This Row],[اجمالي الفاتوره]]-Table11819[[#This Row],[الدفعات]]</f>
        <v>153620.21000000002</v>
      </c>
      <c r="P12" s="49"/>
    </row>
    <row r="13" spans="1:16" ht="26.25" customHeight="1" x14ac:dyDescent="0.3">
      <c r="A13" s="79"/>
      <c r="B13" s="79"/>
      <c r="C13" s="78" t="s">
        <v>388</v>
      </c>
      <c r="D13" s="79"/>
      <c r="E13" s="79"/>
      <c r="F13" s="79"/>
      <c r="G13" s="79"/>
      <c r="H13" s="79"/>
      <c r="I13" s="79"/>
      <c r="J13" s="79">
        <v>5.21</v>
      </c>
      <c r="K13" s="79"/>
      <c r="L13" s="79">
        <f>Table11819[[#This Row],[النولون]]+Table11819[[#This Row],[الايصالات]]-Table11819[[#This Row],[خصم أ ت ص]]+Table11819[[#This Row],[قيمة مضافة]]</f>
        <v>-5.21</v>
      </c>
      <c r="M13" s="79">
        <v>153615</v>
      </c>
      <c r="N13" s="79">
        <f>N12+Table11819[[#This Row],[اجمالي الفاتوره]]-Table11819[[#This Row],[الدفعات]]</f>
        <v>0</v>
      </c>
      <c r="P13" s="49"/>
    </row>
    <row r="14" spans="1:16" ht="26.25" customHeight="1" x14ac:dyDescent="0.3">
      <c r="A14" s="36">
        <v>1391</v>
      </c>
      <c r="B14" s="36">
        <v>9</v>
      </c>
      <c r="C14" s="37">
        <v>46130</v>
      </c>
      <c r="D14" s="36" t="s">
        <v>464</v>
      </c>
      <c r="E14" s="36" t="s">
        <v>468</v>
      </c>
      <c r="F14" s="36">
        <v>152649</v>
      </c>
      <c r="G14" s="36" t="s">
        <v>121</v>
      </c>
      <c r="H14" s="36">
        <v>14000</v>
      </c>
      <c r="I14" s="36">
        <v>2184</v>
      </c>
      <c r="K14" s="36">
        <f>850+1135+272.24+1146.84</f>
        <v>3404.08</v>
      </c>
      <c r="L14" s="36">
        <f>Table11819[[#This Row],[النولون]]+Table11819[[#This Row],[الايصالات]]-Table11819[[#This Row],[خصم أ ت ص]]+Table11819[[#This Row],[قيمة مضافة]]</f>
        <v>19588.080000000002</v>
      </c>
      <c r="N14" s="36">
        <f>N13+Table11819[[#This Row],[اجمالي الفاتوره]]-Table11819[[#This Row],[الدفعات]]</f>
        <v>19588.080000000002</v>
      </c>
      <c r="P14" s="49"/>
    </row>
    <row r="15" spans="1:16" ht="26.25" customHeight="1" x14ac:dyDescent="0.3">
      <c r="A15" s="36">
        <v>1392</v>
      </c>
      <c r="B15" s="36">
        <v>10</v>
      </c>
      <c r="C15" s="37">
        <v>46130</v>
      </c>
      <c r="D15" s="36" t="s">
        <v>464</v>
      </c>
      <c r="E15" s="36" t="s">
        <v>468</v>
      </c>
      <c r="F15" s="36">
        <v>144388</v>
      </c>
      <c r="G15" s="36" t="s">
        <v>285</v>
      </c>
      <c r="H15" s="36">
        <f>6*14000</f>
        <v>84000</v>
      </c>
      <c r="I15" s="36">
        <v>13104</v>
      </c>
      <c r="K15" s="36">
        <f>850+4*1135+1130*2+109.23+209.07+199.41+265.03+195.62+192.79+192.79+1347.48*4</f>
        <v>14403.860000000002</v>
      </c>
      <c r="L15" s="36">
        <f>Table11819[[#This Row],[النولون]]+Table11819[[#This Row],[الايصالات]]-Table11819[[#This Row],[خصم أ ت ص]]+Table11819[[#This Row],[قيمة مضافة]]</f>
        <v>111507.86</v>
      </c>
      <c r="N15" s="36">
        <f>N14+Table11819[[#This Row],[اجمالي الفاتوره]]-Table11819[[#This Row],[الدفعات]]</f>
        <v>131095.94</v>
      </c>
      <c r="P15" s="49"/>
    </row>
    <row r="16" spans="1:16" ht="26.25" customHeight="1" x14ac:dyDescent="0.3">
      <c r="A16" s="36">
        <v>1393</v>
      </c>
      <c r="B16" s="36">
        <v>11</v>
      </c>
      <c r="C16" s="37">
        <v>46130</v>
      </c>
      <c r="D16" s="36" t="s">
        <v>464</v>
      </c>
      <c r="E16" s="36" t="s">
        <v>468</v>
      </c>
      <c r="F16" s="36">
        <v>152688</v>
      </c>
      <c r="G16" s="36" t="s">
        <v>91</v>
      </c>
      <c r="H16" s="36">
        <f>5*14000</f>
        <v>70000</v>
      </c>
      <c r="I16" s="36">
        <v>10920</v>
      </c>
      <c r="K16" s="36">
        <f>850+850+4*1135+1150+105.79*4+284.09+239.95+245.61+245.61+243.39</f>
        <v>9071.8100000000013</v>
      </c>
      <c r="L16" s="36">
        <f>Table11819[[#This Row],[النولون]]+Table11819[[#This Row],[الايصالات]]-Table11819[[#This Row],[خصم أ ت ص]]+Table11819[[#This Row],[قيمة مضافة]]</f>
        <v>89991.81</v>
      </c>
      <c r="N16" s="36">
        <f>N15+Table11819[[#This Row],[اجمالي الفاتوره]]-Table11819[[#This Row],[الدفعات]]</f>
        <v>221087.75</v>
      </c>
      <c r="P16" s="49"/>
    </row>
    <row r="17" spans="1:16" ht="26.25" customHeight="1" x14ac:dyDescent="0.3">
      <c r="A17" s="36">
        <v>1394</v>
      </c>
      <c r="B17" s="36">
        <v>12</v>
      </c>
      <c r="C17" s="37">
        <v>46130</v>
      </c>
      <c r="D17" s="36" t="s">
        <v>464</v>
      </c>
      <c r="E17" s="36" t="s">
        <v>468</v>
      </c>
      <c r="F17" s="36">
        <v>152763</v>
      </c>
      <c r="G17" s="36" t="s">
        <v>467</v>
      </c>
      <c r="H17" s="36">
        <f>14*14000</f>
        <v>196000</v>
      </c>
      <c r="I17" s="36">
        <v>30576</v>
      </c>
      <c r="K17" s="36">
        <f>11*1135+1150+2*1130+173.66+242.78+182.14+248.43+239.95+253.43+179.97+242.78+239.95+242.78+187.79+245.61+242.78+226.47+3*2337+1767*11</f>
        <v>45491.520000000004</v>
      </c>
      <c r="L17" s="36">
        <f>Table11819[[#This Row],[النولون]]+Table11819[[#This Row],[الايصالات]]-Table11819[[#This Row],[خصم أ ت ص]]+Table11819[[#This Row],[قيمة مضافة]]</f>
        <v>272067.52</v>
      </c>
      <c r="N17" s="36">
        <f>N16+Table11819[[#This Row],[اجمالي الفاتوره]]-Table11819[[#This Row],[الدفعات]]</f>
        <v>493155.27</v>
      </c>
      <c r="P17" s="49"/>
    </row>
    <row r="18" spans="1:16" ht="26.25" customHeight="1" x14ac:dyDescent="0.3">
      <c r="A18" s="36">
        <v>1395</v>
      </c>
      <c r="B18" s="36">
        <v>13</v>
      </c>
      <c r="C18" s="37">
        <v>46130</v>
      </c>
      <c r="D18" s="36" t="s">
        <v>176</v>
      </c>
      <c r="E18" s="36" t="s">
        <v>162</v>
      </c>
      <c r="F18" s="36">
        <v>60228</v>
      </c>
      <c r="G18" s="36" t="s">
        <v>121</v>
      </c>
      <c r="H18" s="36">
        <v>20300</v>
      </c>
      <c r="I18" s="36">
        <v>0</v>
      </c>
      <c r="K18" s="36">
        <f>100+100+1100+432.74+350+750+4000</f>
        <v>6832.74</v>
      </c>
      <c r="L18" s="36">
        <f>Table11819[[#This Row],[النولون]]+Table11819[[#This Row],[الايصالات]]-Table11819[[#This Row],[خصم أ ت ص]]+Table11819[[#This Row],[قيمة مضافة]]</f>
        <v>27132.739999999998</v>
      </c>
      <c r="N18" s="36">
        <f>N17+Table11819[[#This Row],[اجمالي الفاتوره]]-Table11819[[#This Row],[الدفعات]]</f>
        <v>520288.01</v>
      </c>
      <c r="O18" s="36">
        <f>SUM(Table11819[اجمالي الفاتوره])-SUM(Table11819[الدفعات])+N2</f>
        <v>595534.24</v>
      </c>
      <c r="P18" s="49">
        <f>SUM(I:I)</f>
        <v>123445</v>
      </c>
    </row>
    <row r="19" spans="1:16" ht="26.25" customHeight="1" x14ac:dyDescent="0.3">
      <c r="A19" s="36">
        <v>1396</v>
      </c>
      <c r="B19" s="36">
        <v>14</v>
      </c>
      <c r="C19" s="37">
        <v>46130</v>
      </c>
      <c r="D19" s="36" t="s">
        <v>465</v>
      </c>
      <c r="E19" s="36" t="s">
        <v>162</v>
      </c>
      <c r="F19" s="36">
        <v>16361226</v>
      </c>
      <c r="G19" s="36" t="s">
        <v>121</v>
      </c>
      <c r="H19" s="36">
        <v>20300</v>
      </c>
      <c r="I19" s="36">
        <v>0</v>
      </c>
      <c r="K19" s="36">
        <f>100+1100+432.74+1770+4368</f>
        <v>7770.74</v>
      </c>
      <c r="L19" s="36">
        <f>Table11819[[#This Row],[النولون]]+Table11819[[#This Row],[الايصالات]]-Table11819[[#This Row],[خصم أ ت ص]]+Table11819[[#This Row],[قيمة مضافة]]</f>
        <v>28070.739999999998</v>
      </c>
      <c r="N19" s="36">
        <f>N18+Table11819[[#This Row],[اجمالي الفاتوره]]-Table11819[[#This Row],[الدفعات]]</f>
        <v>548358.75</v>
      </c>
      <c r="P19" s="49"/>
    </row>
    <row r="20" spans="1:16" ht="26.25" customHeight="1" x14ac:dyDescent="0.3">
      <c r="A20" s="36">
        <v>1397</v>
      </c>
      <c r="B20" s="36">
        <v>15</v>
      </c>
      <c r="C20" s="37">
        <v>46130</v>
      </c>
      <c r="D20" s="36" t="s">
        <v>466</v>
      </c>
      <c r="E20" s="36" t="s">
        <v>469</v>
      </c>
      <c r="F20" s="36">
        <v>2600111</v>
      </c>
      <c r="G20" s="36" t="s">
        <v>159</v>
      </c>
      <c r="H20" s="36">
        <v>6500</v>
      </c>
      <c r="I20" s="36">
        <v>0</v>
      </c>
      <c r="K20" s="36">
        <f>850+226.22+45.15+150+50+39.9+200</f>
        <v>1561.2700000000002</v>
      </c>
      <c r="L20" s="36">
        <f>Table11819[[#This Row],[النولون]]+Table11819[[#This Row],[الايصالات]]-Table11819[[#This Row],[خصم أ ت ص]]+Table11819[[#This Row],[قيمة مضافة]]</f>
        <v>8061.27</v>
      </c>
      <c r="N20" s="36">
        <f>N19+Table11819[[#This Row],[اجمالي الفاتوره]]-Table11819[[#This Row],[الدفعات]]</f>
        <v>556420.02</v>
      </c>
      <c r="P20" s="49"/>
    </row>
    <row r="21" spans="1:16" ht="26.25" customHeight="1" x14ac:dyDescent="0.3">
      <c r="A21" s="79"/>
      <c r="B21" s="79"/>
      <c r="C21" s="78">
        <v>46132</v>
      </c>
      <c r="D21" s="79"/>
      <c r="E21" s="79"/>
      <c r="F21" s="79"/>
      <c r="G21" s="79"/>
      <c r="H21" s="79"/>
      <c r="I21" s="79"/>
      <c r="J21" s="79"/>
      <c r="K21" s="79"/>
      <c r="L21" s="79">
        <f>Table11819[[#This Row],[النولون]]+Table11819[[#This Row],[الايصالات]]-Table11819[[#This Row],[خصم أ ت ص]]+Table11819[[#This Row],[قيمة مضافة]]</f>
        <v>0</v>
      </c>
      <c r="M21" s="79">
        <v>250000</v>
      </c>
      <c r="N21" s="79">
        <f>N20+Table11819[[#This Row],[اجمالي الفاتوره]]-Table11819[[#This Row],[الدفعات]]</f>
        <v>306420.02</v>
      </c>
      <c r="P21" s="49"/>
    </row>
    <row r="22" spans="1:16" ht="26.25" customHeight="1" x14ac:dyDescent="0.3">
      <c r="A22" s="79"/>
      <c r="B22" s="79"/>
      <c r="C22" s="78">
        <v>46152</v>
      </c>
      <c r="D22" s="79" t="s">
        <v>537</v>
      </c>
      <c r="E22" s="79"/>
      <c r="F22" s="79"/>
      <c r="G22" s="79"/>
      <c r="H22" s="79"/>
      <c r="I22" s="79"/>
      <c r="J22" s="79"/>
      <c r="K22" s="79"/>
      <c r="L22" s="79">
        <f>Table11819[[#This Row],[النولون]]+Table11819[[#This Row],[الايصالات]]-Table11819[[#This Row],[خصم أ ت ص]]+Table11819[[#This Row],[قيمة مضافة]]</f>
        <v>0</v>
      </c>
      <c r="M22" s="79">
        <v>8000</v>
      </c>
      <c r="N22" s="79">
        <f>N21+Table11819[[#This Row],[اجمالي الفاتوره]]-Table11819[[#This Row],[الدفعات]]</f>
        <v>298420.02</v>
      </c>
      <c r="P22" s="49"/>
    </row>
    <row r="23" spans="1:16" ht="26.25" customHeight="1" x14ac:dyDescent="0.3">
      <c r="A23" s="101"/>
      <c r="B23" s="101"/>
      <c r="C23" s="102">
        <v>46163</v>
      </c>
      <c r="D23" s="101"/>
      <c r="E23" s="101"/>
      <c r="F23" s="101"/>
      <c r="G23" s="101"/>
      <c r="H23" s="101"/>
      <c r="I23" s="101"/>
      <c r="J23" s="101"/>
      <c r="K23" s="101"/>
      <c r="L23" s="101">
        <f>Table11819[[#This Row],[النولون]]+Table11819[[#This Row],[الايصالات]]-Table11819[[#This Row],[خصم أ ت ص]]+Table11819[[#This Row],[قيمة مضافة]]</f>
        <v>0</v>
      </c>
      <c r="M23" s="101">
        <v>145165</v>
      </c>
      <c r="N23" s="79">
        <f>N22+Table11819[[#This Row],[اجمالي الفاتوره]]-Table11819[[#This Row],[الدفعات]]</f>
        <v>153255.02000000002</v>
      </c>
      <c r="O23" s="100"/>
      <c r="P23" s="100"/>
    </row>
    <row r="24" spans="1:16" ht="26.25" customHeight="1" x14ac:dyDescent="0.3">
      <c r="A24" s="101"/>
      <c r="B24" s="101"/>
      <c r="C24" s="102">
        <v>46167</v>
      </c>
      <c r="D24" s="101"/>
      <c r="E24" s="101"/>
      <c r="F24" s="101"/>
      <c r="G24" s="101"/>
      <c r="H24" s="101"/>
      <c r="I24" s="101"/>
      <c r="J24" s="101"/>
      <c r="K24" s="101"/>
      <c r="L24" s="101">
        <f>Table11819[[#This Row],[النولون]]+Table11819[[#This Row],[الايصالات]]-Table11819[[#This Row],[خصم أ ت ص]]+Table11819[[#This Row],[قيمة مضافة]]</f>
        <v>0</v>
      </c>
      <c r="M24" s="101">
        <v>153255</v>
      </c>
      <c r="N24" s="79">
        <f>N23+Table11819[[#This Row],[اجمالي الفاتوره]]-Table11819[[#This Row],[الدفعات]]</f>
        <v>2.0000000018626451E-2</v>
      </c>
      <c r="O24" s="100"/>
      <c r="P24" s="100"/>
    </row>
    <row r="25" spans="1:16" ht="26.25" customHeight="1" x14ac:dyDescent="0.3">
      <c r="A25" s="36">
        <v>1459</v>
      </c>
      <c r="B25" s="36">
        <v>16</v>
      </c>
      <c r="C25" s="37">
        <v>46154</v>
      </c>
      <c r="D25" s="36" t="s">
        <v>541</v>
      </c>
      <c r="E25" s="36" t="s">
        <v>542</v>
      </c>
      <c r="F25" s="36">
        <v>260248914</v>
      </c>
      <c r="G25" s="36" t="s">
        <v>159</v>
      </c>
      <c r="H25" s="36">
        <v>11300</v>
      </c>
      <c r="K25" s="36">
        <f>50+213.02+75.47+1054.6+601.12+50+200</f>
        <v>2244.21</v>
      </c>
      <c r="L25" s="36">
        <f>Table11819[[#This Row],[النولون]]+Table11819[[#This Row],[الايصالات]]-Table11819[[#This Row],[خصم أ ت ص]]+Table11819[[#This Row],[قيمة مضافة]]</f>
        <v>13544.21</v>
      </c>
      <c r="N25" s="36">
        <f>N24+Table11819[[#This Row],[اجمالي الفاتوره]]-Table11819[[#This Row],[الدفعات]]</f>
        <v>13544.230000000018</v>
      </c>
      <c r="P25" s="49"/>
    </row>
    <row r="26" spans="1:16" ht="26.25" customHeight="1" x14ac:dyDescent="0.3">
      <c r="A26" s="36">
        <v>1460</v>
      </c>
      <c r="B26" s="36">
        <v>17</v>
      </c>
      <c r="C26" s="37">
        <v>46154</v>
      </c>
      <c r="D26" s="36" t="s">
        <v>464</v>
      </c>
      <c r="E26" s="36" t="s">
        <v>468</v>
      </c>
      <c r="F26" s="36">
        <v>190059</v>
      </c>
      <c r="G26" s="36" t="s">
        <v>181</v>
      </c>
      <c r="H26" s="36">
        <f>4*14000</f>
        <v>56000</v>
      </c>
      <c r="I26" s="36">
        <v>8736</v>
      </c>
      <c r="K26" s="36">
        <f>810+1135+1150+1135+247.78+258.43+249.95+247.78+1767*4</f>
        <v>12301.939999999999</v>
      </c>
      <c r="L26" s="36">
        <f>Table11819[[#This Row],[النولون]]+Table11819[[#This Row],[الايصالات]]-Table11819[[#This Row],[خصم أ ت ص]]+Table11819[[#This Row],[قيمة مضافة]]</f>
        <v>77037.94</v>
      </c>
      <c r="N26" s="36">
        <f>N25+Table11819[[#This Row],[اجمالي الفاتوره]]-Table11819[[#This Row],[الدفعات]]</f>
        <v>90582.170000000013</v>
      </c>
      <c r="P26" s="49"/>
    </row>
    <row r="27" spans="1:16" ht="26.25" customHeight="1" x14ac:dyDescent="0.3">
      <c r="A27" s="36">
        <v>1461</v>
      </c>
      <c r="B27" s="36">
        <v>18</v>
      </c>
      <c r="C27" s="37">
        <v>46154</v>
      </c>
      <c r="D27" s="36" t="s">
        <v>464</v>
      </c>
      <c r="E27" s="36" t="s">
        <v>468</v>
      </c>
      <c r="F27" s="36">
        <v>145373</v>
      </c>
      <c r="G27" s="36" t="s">
        <v>285</v>
      </c>
      <c r="H27" s="36">
        <f>14000*6+5*4000</f>
        <v>104000</v>
      </c>
      <c r="I27" s="36">
        <v>15904</v>
      </c>
      <c r="K27" s="36">
        <f>810+1135*4+1150+1130+187.79+498.27+197.79+262.49+119.56+268.14+236.71+224.78+1767*2+2337*3+1824</f>
        <v>21994.53</v>
      </c>
      <c r="L27" s="36">
        <f>Table11819[[#This Row],[النولون]]+Table11819[[#This Row],[الايصالات]]-Table11819[[#This Row],[خصم أ ت ص]]+Table11819[[#This Row],[قيمة مضافة]]</f>
        <v>141898.53</v>
      </c>
      <c r="N27" s="36">
        <f>N26+Table11819[[#This Row],[اجمالي الفاتوره]]-Table11819[[#This Row],[الدفعات]]</f>
        <v>232480.7</v>
      </c>
      <c r="P27" s="49"/>
    </row>
    <row r="28" spans="1:16" ht="26.25" customHeight="1" x14ac:dyDescent="0.3">
      <c r="A28" s="36">
        <v>1481</v>
      </c>
      <c r="B28" s="36">
        <v>19</v>
      </c>
      <c r="C28" s="37">
        <v>46167</v>
      </c>
      <c r="D28" s="36" t="s">
        <v>569</v>
      </c>
      <c r="E28" s="36" t="s">
        <v>570</v>
      </c>
      <c r="F28" s="36">
        <v>206953</v>
      </c>
      <c r="G28" s="36" t="s">
        <v>92</v>
      </c>
      <c r="H28" s="36">
        <f>16000*2</f>
        <v>32000</v>
      </c>
      <c r="I28" s="36">
        <v>5180</v>
      </c>
      <c r="K28" s="36">
        <f>120+1135+1105+200.62+189.97+1993.86+1467.18+997</f>
        <v>7208.63</v>
      </c>
      <c r="L28" s="36">
        <f>Table11819[[#This Row],[النولون]]+Table11819[[#This Row],[الايصالات]]-Table11819[[#This Row],[خصم أ ت ص]]+Table11819[[#This Row],[قيمة مضافة]]</f>
        <v>44388.63</v>
      </c>
      <c r="N28" s="36">
        <f>N27+Table11819[[#This Row],[اجمالي الفاتوره]]-Table11819[[#This Row],[الدفعات]]</f>
        <v>276869.33</v>
      </c>
      <c r="P28" s="49"/>
    </row>
    <row r="29" spans="1:16" ht="26.25" customHeight="1" x14ac:dyDescent="0.3">
      <c r="A29" s="36">
        <v>1482</v>
      </c>
      <c r="B29" s="36">
        <v>20</v>
      </c>
      <c r="C29" s="37">
        <v>46167</v>
      </c>
      <c r="D29" s="36" t="s">
        <v>571</v>
      </c>
      <c r="E29" s="36" t="s">
        <v>94</v>
      </c>
      <c r="F29" s="36">
        <v>16898928</v>
      </c>
      <c r="G29" s="36" t="s">
        <v>129</v>
      </c>
      <c r="H29" s="36">
        <v>17000</v>
      </c>
      <c r="K29" s="36">
        <f>550+737.91+500</f>
        <v>1787.9099999999999</v>
      </c>
      <c r="L29" s="36">
        <f>Table11819[[#This Row],[النولون]]+Table11819[[#This Row],[الايصالات]]-Table11819[[#This Row],[خصم أ ت ص]]+Table11819[[#This Row],[قيمة مضافة]]</f>
        <v>18787.91</v>
      </c>
      <c r="N29" s="36">
        <f>N28+Table11819[[#This Row],[اجمالي الفاتوره]]-Table11819[[#This Row],[الدفعات]]</f>
        <v>295657.24</v>
      </c>
      <c r="P29" s="49"/>
    </row>
    <row r="30" spans="1:16" ht="26.25" customHeight="1" x14ac:dyDescent="0.3">
      <c r="A30" s="36">
        <v>1483</v>
      </c>
      <c r="B30" s="36">
        <v>21</v>
      </c>
      <c r="C30" s="37">
        <v>46167</v>
      </c>
      <c r="D30" s="36" t="s">
        <v>176</v>
      </c>
      <c r="E30" s="36" t="s">
        <v>162</v>
      </c>
      <c r="F30" s="36">
        <v>16920412</v>
      </c>
      <c r="G30" s="36" t="s">
        <v>121</v>
      </c>
      <c r="H30" s="36">
        <v>20300</v>
      </c>
      <c r="K30" s="36">
        <f>100+100+1070+685.24+1347.48+4615</f>
        <v>7917.72</v>
      </c>
      <c r="L30" s="36">
        <f>Table11819[[#This Row],[النولون]]+Table11819[[#This Row],[الايصالات]]-Table11819[[#This Row],[خصم أ ت ص]]+Table11819[[#This Row],[قيمة مضافة]]</f>
        <v>28217.72</v>
      </c>
      <c r="N30" s="36">
        <f>N29+Table11819[[#This Row],[اجمالي الفاتوره]]-Table11819[[#This Row],[الدفعات]]</f>
        <v>323874.95999999996</v>
      </c>
      <c r="P30" s="49"/>
    </row>
    <row r="31" spans="1:16" ht="26.25" customHeight="1" x14ac:dyDescent="0.3">
      <c r="A31" s="101"/>
      <c r="B31" s="101"/>
      <c r="C31" s="102">
        <v>46182</v>
      </c>
      <c r="D31" s="101"/>
      <c r="E31" s="101"/>
      <c r="F31" s="101"/>
      <c r="G31" s="101"/>
      <c r="H31" s="101"/>
      <c r="I31" s="101"/>
      <c r="J31" s="101"/>
      <c r="K31" s="101"/>
      <c r="L31" s="101">
        <f>Table11819[[#This Row],[النولون]]+Table11819[[#This Row],[الايصالات]]-Table11819[[#This Row],[خصم أ ت ص]]+Table11819[[#This Row],[قيمة مضافة]]</f>
        <v>0</v>
      </c>
      <c r="M31" s="101">
        <v>243835</v>
      </c>
      <c r="N31" s="79">
        <f>N30+Table11819[[#This Row],[اجمالي الفاتوره]]-Table11819[[#This Row],[الدفعات]]</f>
        <v>80039.959999999963</v>
      </c>
      <c r="O31" s="100"/>
      <c r="P31" s="100"/>
    </row>
    <row r="32" spans="1:16" ht="26.25" customHeight="1" x14ac:dyDescent="0.3">
      <c r="A32" s="36">
        <v>1501</v>
      </c>
      <c r="B32" s="36">
        <v>22</v>
      </c>
      <c r="C32" s="37">
        <v>46174</v>
      </c>
      <c r="D32" s="36" t="s">
        <v>176</v>
      </c>
      <c r="E32" s="36" t="s">
        <v>162</v>
      </c>
      <c r="F32" s="36">
        <v>76787</v>
      </c>
      <c r="G32" s="36" t="s">
        <v>121</v>
      </c>
      <c r="H32" s="36">
        <v>20300</v>
      </c>
      <c r="K32" s="36">
        <f>100+1100+458.19+2850+114+228</f>
        <v>4850.1900000000005</v>
      </c>
      <c r="L32" s="36">
        <f>Table11819[[#This Row],[النولون]]+Table11819[[#This Row],[الايصالات]]-Table11819[[#This Row],[خصم أ ت ص]]+Table11819[[#This Row],[قيمة مضافة]]</f>
        <v>25150.190000000002</v>
      </c>
      <c r="N32" s="36">
        <f>N31+Table11819[[#This Row],[اجمالي الفاتوره]]-Table11819[[#This Row],[الدفعات]]</f>
        <v>105190.14999999997</v>
      </c>
      <c r="P32" s="49"/>
    </row>
    <row r="33" spans="1:16" ht="26.25" customHeight="1" x14ac:dyDescent="0.3">
      <c r="A33" s="36">
        <v>1502</v>
      </c>
      <c r="B33" s="36">
        <v>23</v>
      </c>
      <c r="C33" s="37">
        <v>46174</v>
      </c>
      <c r="D33" s="36" t="s">
        <v>176</v>
      </c>
      <c r="E33" s="36" t="s">
        <v>162</v>
      </c>
      <c r="F33" s="36">
        <v>76788</v>
      </c>
      <c r="G33" s="36" t="s">
        <v>121</v>
      </c>
      <c r="H33" s="36">
        <v>20300</v>
      </c>
      <c r="K33" s="36">
        <f>1100+461.01+2850+228+114</f>
        <v>4753.01</v>
      </c>
      <c r="L33" s="36">
        <f>Table11819[[#This Row],[النولون]]+Table11819[[#This Row],[الايصالات]]-Table11819[[#This Row],[خصم أ ت ص]]+Table11819[[#This Row],[قيمة مضافة]]</f>
        <v>25053.010000000002</v>
      </c>
      <c r="N33" s="36">
        <f>N32+Table11819[[#This Row],[اجمالي الفاتوره]]-Table11819[[#This Row],[الدفعات]]</f>
        <v>130243.15999999997</v>
      </c>
      <c r="P33" s="49"/>
    </row>
    <row r="34" spans="1:16" ht="26.25" customHeight="1" x14ac:dyDescent="0.3">
      <c r="A34" s="36">
        <v>1503</v>
      </c>
      <c r="B34" s="36">
        <v>24</v>
      </c>
      <c r="C34" s="37">
        <v>46174</v>
      </c>
      <c r="D34" s="36" t="s">
        <v>588</v>
      </c>
      <c r="E34" s="36" t="s">
        <v>178</v>
      </c>
      <c r="F34" s="36">
        <v>176</v>
      </c>
      <c r="G34" s="36" t="s">
        <v>159</v>
      </c>
      <c r="H34" s="36">
        <v>17500</v>
      </c>
      <c r="K34" s="36">
        <f>60+100+600+324.5+80+200+1030</f>
        <v>2394.5</v>
      </c>
      <c r="L34" s="36">
        <f>Table11819[[#This Row],[النولون]]+Table11819[[#This Row],[الايصالات]]-Table11819[[#This Row],[خصم أ ت ص]]+Table11819[[#This Row],[قيمة مضافة]]</f>
        <v>19894.5</v>
      </c>
      <c r="N34" s="36">
        <f>N33+Table11819[[#This Row],[اجمالي الفاتوره]]-Table11819[[#This Row],[الدفعات]]</f>
        <v>150137.65999999997</v>
      </c>
      <c r="P34" s="49"/>
    </row>
    <row r="35" spans="1:16" ht="26.25" customHeight="1" x14ac:dyDescent="0.3">
      <c r="A35" s="36">
        <v>1504</v>
      </c>
      <c r="C35" s="37" t="s">
        <v>591</v>
      </c>
      <c r="D35" s="36" t="s">
        <v>464</v>
      </c>
      <c r="I35" s="36">
        <v>700</v>
      </c>
      <c r="L35" s="36">
        <f>Table11819[[#This Row],[النولون]]+Table11819[[#This Row],[الايصالات]]-Table11819[[#This Row],[خصم أ ت ص]]+Table11819[[#This Row],[قيمة مضافة]]</f>
        <v>700</v>
      </c>
      <c r="N35" s="36">
        <f>N34+Table11819[[#This Row],[اجمالي الفاتوره]]-Table11819[[#This Row],[الدفعات]]</f>
        <v>150837.65999999997</v>
      </c>
      <c r="P35" s="49"/>
    </row>
    <row r="36" spans="1:16" ht="26.25" customHeight="1" x14ac:dyDescent="0.3">
      <c r="A36" s="36">
        <v>1505</v>
      </c>
      <c r="C36" s="37" t="s">
        <v>591</v>
      </c>
      <c r="D36" s="36" t="s">
        <v>464</v>
      </c>
      <c r="I36" s="36">
        <v>700</v>
      </c>
      <c r="L36" s="36">
        <f>Table11819[[#This Row],[النولون]]+Table11819[[#This Row],[الايصالات]]-Table11819[[#This Row],[خصم أ ت ص]]+Table11819[[#This Row],[قيمة مضافة]]</f>
        <v>700</v>
      </c>
      <c r="N36" s="36">
        <f>N35+Table11819[[#This Row],[اجمالي الفاتوره]]-Table11819[[#This Row],[الدفعات]]</f>
        <v>151537.65999999997</v>
      </c>
      <c r="P36" s="49"/>
    </row>
    <row r="37" spans="1:16" ht="26.25" customHeight="1" x14ac:dyDescent="0.3">
      <c r="A37" s="101"/>
      <c r="B37" s="101"/>
      <c r="C37" s="102">
        <v>46189</v>
      </c>
      <c r="D37" s="101"/>
      <c r="E37" s="101"/>
      <c r="F37" s="101"/>
      <c r="G37" s="101"/>
      <c r="H37" s="101"/>
      <c r="I37" s="101"/>
      <c r="J37" s="101"/>
      <c r="K37" s="101"/>
      <c r="L37" s="101">
        <f>Table11819[[#This Row],[النولون]]+Table11819[[#This Row],[الايصالات]]-Table11819[[#This Row],[خصم أ ت ص]]+Table11819[[#This Row],[قيمة مضافة]]</f>
        <v>0</v>
      </c>
      <c r="M37" s="101">
        <v>107150</v>
      </c>
      <c r="N37" s="79">
        <f>N36+Table11819[[#This Row],[اجمالي الفاتوره]]-Table11819[[#This Row],[الدفعات]]</f>
        <v>44387.659999999974</v>
      </c>
      <c r="O37" s="100"/>
      <c r="P37" s="100"/>
    </row>
    <row r="38" spans="1:16" ht="26.25" customHeight="1" x14ac:dyDescent="0.3">
      <c r="A38" s="36">
        <v>1514</v>
      </c>
      <c r="B38" s="36">
        <v>25</v>
      </c>
      <c r="C38" s="37">
        <v>46182</v>
      </c>
      <c r="D38" s="36" t="s">
        <v>464</v>
      </c>
      <c r="E38" s="36" t="s">
        <v>468</v>
      </c>
      <c r="F38" s="36">
        <v>265491</v>
      </c>
      <c r="G38" s="36" t="s">
        <v>158</v>
      </c>
      <c r="H38" s="36">
        <f>3*14000</f>
        <v>42000</v>
      </c>
      <c r="I38" s="36">
        <v>6552</v>
      </c>
      <c r="K38" s="36">
        <f>1105+1105+30+1105+30+221.93+268.43+279.74+1282.5*3</f>
        <v>7992.5999999999995</v>
      </c>
      <c r="L38" s="36">
        <f>Table11819[[#This Row],[النولون]]+Table11819[[#This Row],[الايصالات]]-Table11819[[#This Row],[خصم أ ت ص]]+Table11819[[#This Row],[قيمة مضافة]]</f>
        <v>56544.6</v>
      </c>
      <c r="N38" s="36">
        <f>N37+Table11819[[#This Row],[اجمالي الفاتوره]]-Table11819[[#This Row],[الدفعات]]</f>
        <v>100932.25999999998</v>
      </c>
      <c r="P38" s="49"/>
    </row>
    <row r="39" spans="1:16" ht="26.25" customHeight="1" x14ac:dyDescent="0.3">
      <c r="A39" s="36">
        <v>1515</v>
      </c>
      <c r="B39" s="36">
        <v>26</v>
      </c>
      <c r="C39" s="37">
        <v>46182</v>
      </c>
      <c r="D39" s="36" t="s">
        <v>464</v>
      </c>
      <c r="E39" s="36" t="s">
        <v>468</v>
      </c>
      <c r="F39" s="36">
        <v>225378</v>
      </c>
      <c r="G39" s="36" t="s">
        <v>92</v>
      </c>
      <c r="H39" s="36">
        <f>2*14000</f>
        <v>28000</v>
      </c>
      <c r="I39" s="36">
        <v>4368</v>
      </c>
      <c r="K39" s="36">
        <f>100+1105+1105+30+250.61+256.26+2736+1767</f>
        <v>7349.87</v>
      </c>
      <c r="L39" s="36">
        <f>Table11819[[#This Row],[النولون]]+Table11819[[#This Row],[الايصالات]]-Table11819[[#This Row],[خصم أ ت ص]]+Table11819[[#This Row],[قيمة مضافة]]</f>
        <v>39717.870000000003</v>
      </c>
      <c r="N39" s="36">
        <f>N38+Table11819[[#This Row],[اجمالي الفاتوره]]-Table11819[[#This Row],[الدفعات]]</f>
        <v>140650.12999999998</v>
      </c>
      <c r="P39" s="49"/>
    </row>
    <row r="40" spans="1:16" ht="26.25" customHeight="1" x14ac:dyDescent="0.3">
      <c r="A40" s="36">
        <v>1516</v>
      </c>
      <c r="B40" s="36">
        <v>27</v>
      </c>
      <c r="C40" s="37">
        <v>46182</v>
      </c>
      <c r="D40" s="36" t="s">
        <v>176</v>
      </c>
      <c r="E40" s="36" t="s">
        <v>162</v>
      </c>
      <c r="F40" s="36">
        <v>17182125</v>
      </c>
      <c r="G40" s="36" t="s">
        <v>121</v>
      </c>
      <c r="H40" s="36">
        <v>20300</v>
      </c>
      <c r="K40" s="36">
        <f>100+1070+465.07+1000+4615</f>
        <v>7250.07</v>
      </c>
      <c r="L40" s="36">
        <f>Table11819[[#This Row],[النولون]]+Table11819[[#This Row],[الايصالات]]-Table11819[[#This Row],[خصم أ ت ص]]+Table11819[[#This Row],[قيمة مضافة]]</f>
        <v>27550.07</v>
      </c>
      <c r="N40" s="36">
        <f>N39+Table11819[[#This Row],[اجمالي الفاتوره]]-Table11819[[#This Row],[الدفعات]]</f>
        <v>168200.19999999998</v>
      </c>
      <c r="P40" s="49"/>
    </row>
    <row r="41" spans="1:16" ht="26.25" customHeight="1" x14ac:dyDescent="0.3">
      <c r="A41" s="36">
        <v>1517</v>
      </c>
      <c r="B41" s="36">
        <v>28</v>
      </c>
      <c r="C41" s="37">
        <v>46182</v>
      </c>
      <c r="D41" s="36" t="s">
        <v>176</v>
      </c>
      <c r="E41" s="36" t="s">
        <v>162</v>
      </c>
      <c r="F41" s="36">
        <v>2638</v>
      </c>
      <c r="G41" s="36" t="s">
        <v>121</v>
      </c>
      <c r="H41" s="36">
        <v>20300</v>
      </c>
      <c r="K41" s="36">
        <f>1100+435.57+100+250+1653+4615</f>
        <v>8153.57</v>
      </c>
      <c r="L41" s="36">
        <f>Table11819[[#This Row],[النولون]]+Table11819[[#This Row],[الايصالات]]-Table11819[[#This Row],[خصم أ ت ص]]+Table11819[[#This Row],[قيمة مضافة]]</f>
        <v>28453.57</v>
      </c>
      <c r="N41" s="36">
        <f>N40+Table11819[[#This Row],[اجمالي الفاتوره]]-Table11819[[#This Row],[الدفعات]]</f>
        <v>196653.77</v>
      </c>
      <c r="P41" s="49"/>
    </row>
    <row r="42" spans="1:16" ht="26.25" customHeight="1" x14ac:dyDescent="0.3">
      <c r="A42" s="36">
        <v>1518</v>
      </c>
      <c r="B42" s="36">
        <v>29</v>
      </c>
      <c r="C42" s="37">
        <v>46182</v>
      </c>
      <c r="D42" s="36" t="s">
        <v>601</v>
      </c>
      <c r="E42" s="36" t="s">
        <v>178</v>
      </c>
      <c r="F42" s="36">
        <v>17182383</v>
      </c>
      <c r="G42" s="36" t="s">
        <v>92</v>
      </c>
      <c r="H42" s="36">
        <f>21000*2</f>
        <v>42000</v>
      </c>
      <c r="K42" s="36">
        <f>100*2+1150*2+469.5+466.67+350*2+2000+9230</f>
        <v>15366.17</v>
      </c>
      <c r="L42" s="36">
        <f>Table11819[[#This Row],[النولون]]+Table11819[[#This Row],[الايصالات]]-Table11819[[#This Row],[خصم أ ت ص]]+Table11819[[#This Row],[قيمة مضافة]]</f>
        <v>57366.17</v>
      </c>
      <c r="N42" s="36">
        <f>N41+Table11819[[#This Row],[اجمالي الفاتوره]]-Table11819[[#This Row],[الدفعات]]</f>
        <v>254019.94</v>
      </c>
      <c r="P42" s="49"/>
    </row>
    <row r="43" spans="1:16" ht="26.25" customHeight="1" x14ac:dyDescent="0.3">
      <c r="A43" s="36">
        <v>1519</v>
      </c>
      <c r="C43" s="37">
        <v>46182</v>
      </c>
      <c r="D43" s="36" t="s">
        <v>602</v>
      </c>
      <c r="I43" s="36">
        <v>2450</v>
      </c>
      <c r="L43" s="36">
        <f>Table11819[[#This Row],[النولون]]+Table11819[[#This Row],[الايصالات]]-Table11819[[#This Row],[خصم أ ت ص]]+Table11819[[#This Row],[قيمة مضافة]]</f>
        <v>2450</v>
      </c>
      <c r="N43" s="36">
        <f>N42+Table11819[[#This Row],[اجمالي الفاتوره]]-Table11819[[#This Row],[الدفعات]]</f>
        <v>256469.94</v>
      </c>
      <c r="P43" s="49"/>
    </row>
    <row r="44" spans="1:16" ht="26.25" customHeight="1" x14ac:dyDescent="0.3">
      <c r="A44" s="36">
        <v>1520</v>
      </c>
      <c r="C44" s="37">
        <v>46182</v>
      </c>
      <c r="D44" s="36" t="s">
        <v>602</v>
      </c>
      <c r="I44" s="36">
        <v>280</v>
      </c>
      <c r="L44" s="36">
        <f>Table11819[[#This Row],[النولون]]+Table11819[[#This Row],[الايصالات]]-Table11819[[#This Row],[خصم أ ت ص]]+Table11819[[#This Row],[قيمة مضافة]]</f>
        <v>280</v>
      </c>
      <c r="N44" s="36">
        <f>N43+Table11819[[#This Row],[اجمالي الفاتوره]]-Table11819[[#This Row],[الدفعات]]</f>
        <v>256749.94</v>
      </c>
      <c r="P44" s="49"/>
    </row>
    <row r="45" spans="1:16" ht="26.25" customHeight="1" x14ac:dyDescent="0.3">
      <c r="A45" s="36">
        <v>1543</v>
      </c>
      <c r="B45" s="36">
        <v>30</v>
      </c>
      <c r="C45" s="37">
        <v>46187</v>
      </c>
      <c r="D45" s="36" t="s">
        <v>176</v>
      </c>
      <c r="E45" s="36" t="s">
        <v>162</v>
      </c>
      <c r="F45" s="36">
        <v>2648</v>
      </c>
      <c r="G45" s="36" t="s">
        <v>121</v>
      </c>
      <c r="H45" s="36">
        <v>20300</v>
      </c>
      <c r="K45" s="36">
        <f>100+1070+446.88+250+100+4615</f>
        <v>6581.88</v>
      </c>
      <c r="L45" s="36">
        <f>Table11819[[#This Row],[النولون]]+Table11819[[#This Row],[الايصالات]]-Table11819[[#This Row],[خصم أ ت ص]]+Table11819[[#This Row],[قيمة مضافة]]</f>
        <v>26881.88</v>
      </c>
      <c r="N45" s="36">
        <f>N44+Table11819[[#This Row],[اجمالي الفاتوره]]-Table11819[[#This Row],[الدفعات]]</f>
        <v>283631.82</v>
      </c>
      <c r="P45" s="49"/>
    </row>
    <row r="46" spans="1:16" ht="26.25" customHeight="1" x14ac:dyDescent="0.3">
      <c r="A46" s="36">
        <v>1544</v>
      </c>
      <c r="B46" s="36">
        <v>31</v>
      </c>
      <c r="C46" s="37">
        <v>46187</v>
      </c>
      <c r="D46" s="36" t="s">
        <v>176</v>
      </c>
      <c r="E46" s="36" t="s">
        <v>162</v>
      </c>
      <c r="F46" s="36">
        <v>2641</v>
      </c>
      <c r="G46" s="36" t="s">
        <v>121</v>
      </c>
      <c r="H46" s="36">
        <v>20300</v>
      </c>
      <c r="K46" s="36">
        <f>100+1070+432.74+100+250+3306+4615</f>
        <v>9873.74</v>
      </c>
      <c r="L46" s="36">
        <f>Table11819[[#This Row],[النولون]]+Table11819[[#This Row],[الايصالات]]-Table11819[[#This Row],[خصم أ ت ص]]+Table11819[[#This Row],[قيمة مضافة]]</f>
        <v>30173.739999999998</v>
      </c>
      <c r="N46" s="36">
        <f>N45+Table11819[[#This Row],[اجمالي الفاتوره]]-Table11819[[#This Row],[الدفعات]]</f>
        <v>313805.56</v>
      </c>
      <c r="P46" s="49"/>
    </row>
    <row r="47" spans="1:16" ht="26.25" customHeight="1" x14ac:dyDescent="0.3">
      <c r="A47" s="36">
        <v>1545</v>
      </c>
      <c r="B47" s="36">
        <v>32</v>
      </c>
      <c r="C47" s="37">
        <v>46187</v>
      </c>
      <c r="D47" s="37" t="s">
        <v>601</v>
      </c>
      <c r="E47" s="36" t="s">
        <v>178</v>
      </c>
      <c r="F47" s="36">
        <v>17257609</v>
      </c>
      <c r="G47" s="36" t="s">
        <v>158</v>
      </c>
      <c r="H47" s="36">
        <f>21000*3</f>
        <v>63000</v>
      </c>
      <c r="K47" s="36">
        <f>100*3+1150*3+472.32+750.23+3000+350*2+13845+469.5</f>
        <v>22987.05</v>
      </c>
      <c r="L47" s="36">
        <f>Table11819[[#This Row],[النولون]]+Table11819[[#This Row],[الايصالات]]-Table11819[[#This Row],[خصم أ ت ص]]+Table11819[[#This Row],[قيمة مضافة]]</f>
        <v>85987.05</v>
      </c>
      <c r="N47" s="36">
        <f>N46+Table11819[[#This Row],[اجمالي الفاتوره]]-Table11819[[#This Row],[الدفعات]]</f>
        <v>399792.61</v>
      </c>
      <c r="P47" s="49"/>
    </row>
    <row r="48" spans="1:16" ht="26.25" customHeight="1" x14ac:dyDescent="0.3">
      <c r="A48" s="36">
        <v>1572</v>
      </c>
      <c r="B48" s="36">
        <v>33</v>
      </c>
      <c r="C48" s="37">
        <v>46200</v>
      </c>
      <c r="D48" s="36" t="s">
        <v>464</v>
      </c>
      <c r="E48" s="36" t="s">
        <v>468</v>
      </c>
      <c r="F48" s="36">
        <v>295919</v>
      </c>
      <c r="G48" s="36" t="s">
        <v>91</v>
      </c>
      <c r="H48" s="36">
        <f>14000*5</f>
        <v>70000</v>
      </c>
      <c r="I48" s="36">
        <f>5*2184</f>
        <v>10920</v>
      </c>
      <c r="K48" s="36">
        <f>1105*3+30+1100+1105+30+458.79+266.26+266.26+274.74+208.45+1282.5*5</f>
        <v>13467</v>
      </c>
      <c r="L48" s="36">
        <f>Table11819[[#This Row],[النولون]]+Table11819[[#This Row],[الايصالات]]-Table11819[[#This Row],[خصم أ ت ص]]+Table11819[[#This Row],[قيمة مضافة]]</f>
        <v>94387</v>
      </c>
      <c r="N48" s="36">
        <f>N47+Table11819[[#This Row],[اجمالي الفاتوره]]-Table11819[[#This Row],[الدفعات]]</f>
        <v>494179.61</v>
      </c>
      <c r="P48" s="49"/>
    </row>
    <row r="49" spans="1:16" ht="26.25" customHeight="1" x14ac:dyDescent="0.3">
      <c r="A49" s="36">
        <v>1573</v>
      </c>
      <c r="B49" s="36">
        <v>34</v>
      </c>
      <c r="C49" s="37">
        <v>46200</v>
      </c>
      <c r="D49" s="36" t="s">
        <v>30</v>
      </c>
      <c r="E49" s="36" t="s">
        <v>162</v>
      </c>
      <c r="F49" s="36">
        <v>17491407</v>
      </c>
      <c r="G49" s="36" t="s">
        <v>121</v>
      </c>
      <c r="H49" s="36">
        <v>20300</v>
      </c>
      <c r="K49" s="36">
        <f>100+1070+427.09+1000</f>
        <v>2597.09</v>
      </c>
      <c r="L49" s="36">
        <f>Table11819[[#This Row],[النولون]]+Table11819[[#This Row],[الايصالات]]-Table11819[[#This Row],[خصم أ ت ص]]+Table11819[[#This Row],[قيمة مضافة]]</f>
        <v>22897.09</v>
      </c>
      <c r="N49" s="36">
        <f>N48+Table11819[[#This Row],[اجمالي الفاتوره]]-Table11819[[#This Row],[الدفعات]]</f>
        <v>517076.7</v>
      </c>
      <c r="P49" s="49"/>
    </row>
    <row r="50" spans="1:16" ht="26.25" customHeight="1" x14ac:dyDescent="0.3">
      <c r="A50" s="36">
        <v>1574</v>
      </c>
      <c r="B50" s="36">
        <v>35</v>
      </c>
      <c r="C50" s="37">
        <v>46200</v>
      </c>
      <c r="D50" s="36" t="s">
        <v>639</v>
      </c>
      <c r="E50" s="36" t="s">
        <v>408</v>
      </c>
      <c r="F50" s="36">
        <v>264112</v>
      </c>
      <c r="G50" s="36" t="s">
        <v>272</v>
      </c>
      <c r="H50" s="36">
        <f>2*16500+2*3000</f>
        <v>39000</v>
      </c>
      <c r="I50" s="36">
        <f>3220*2</f>
        <v>6440</v>
      </c>
      <c r="K50" s="36">
        <f>100*2+1100*2+205.72+236.38+2069.1*2+1897</f>
        <v>8877.2999999999993</v>
      </c>
      <c r="L50" s="36">
        <f>Table11819[[#This Row],[النولون]]+Table11819[[#This Row],[الايصالات]]-Table11819[[#This Row],[خصم أ ت ص]]+Table11819[[#This Row],[قيمة مضافة]]</f>
        <v>54317.3</v>
      </c>
      <c r="N50" s="36">
        <f>N49+Table11819[[#This Row],[اجمالي الفاتوره]]-Table11819[[#This Row],[الدفعات]]</f>
        <v>571394</v>
      </c>
      <c r="P50" s="49"/>
    </row>
    <row r="51" spans="1:16" ht="26.25" customHeight="1" x14ac:dyDescent="0.3">
      <c r="A51" s="36">
        <v>1589</v>
      </c>
      <c r="B51" s="36">
        <v>36</v>
      </c>
      <c r="C51" s="37">
        <v>46208</v>
      </c>
      <c r="D51" s="36" t="s">
        <v>588</v>
      </c>
      <c r="E51" s="36" t="s">
        <v>178</v>
      </c>
      <c r="F51" s="36">
        <v>423</v>
      </c>
      <c r="G51" s="36" t="s">
        <v>121</v>
      </c>
      <c r="H51" s="36">
        <v>21000</v>
      </c>
      <c r="K51" s="36">
        <f>100+1100+440.24+100+200+1200</f>
        <v>3140.24</v>
      </c>
      <c r="L51" s="36">
        <f>Table11819[[#This Row],[النولون]]+Table11819[[#This Row],[الايصالات]]-Table11819[[#This Row],[خصم أ ت ص]]+Table11819[[#This Row],[قيمة مضافة]]</f>
        <v>24140.239999999998</v>
      </c>
      <c r="N51" s="36">
        <f>N50+Table11819[[#This Row],[اجمالي الفاتوره]]-Table11819[[#This Row],[الدفعات]]</f>
        <v>595534.24</v>
      </c>
      <c r="P51" s="49"/>
    </row>
    <row r="52" spans="1:16" ht="26.25" customHeight="1" x14ac:dyDescent="0.3">
      <c r="C52" s="37"/>
      <c r="L52" s="36">
        <f>Table11819[[#This Row],[النولون]]+Table11819[[#This Row],[الايصالات]]-Table11819[[#This Row],[خصم أ ت ص]]+Table11819[[#This Row],[قيمة مضافة]]</f>
        <v>0</v>
      </c>
      <c r="N52" s="36">
        <f>N51+Table11819[[#This Row],[اجمالي الفاتوره]]-Table11819[[#This Row],[الدفعات]]</f>
        <v>595534.24</v>
      </c>
      <c r="P52" s="49"/>
    </row>
    <row r="53" spans="1:16" ht="26.25" customHeight="1" x14ac:dyDescent="0.3">
      <c r="C53" s="37"/>
      <c r="L53" s="36">
        <f>Table11819[[#This Row],[النولون]]+Table11819[[#This Row],[الايصالات]]-Table11819[[#This Row],[خصم أ ت ص]]+Table11819[[#This Row],[قيمة مضافة]]</f>
        <v>0</v>
      </c>
      <c r="N53" s="36">
        <f>N52+Table11819[[#This Row],[اجمالي الفاتوره]]-Table11819[[#This Row],[الدفعات]]</f>
        <v>595534.24</v>
      </c>
      <c r="P53" s="49"/>
    </row>
    <row r="54" spans="1:16" ht="26.25" customHeight="1" x14ac:dyDescent="0.3">
      <c r="C54" s="37"/>
      <c r="D54" s="37"/>
      <c r="L54" s="36">
        <f>Table11819[[#This Row],[النولون]]+Table11819[[#This Row],[الايصالات]]-Table11819[[#This Row],[خصم أ ت ص]]+Table11819[[#This Row],[قيمة مضافة]]</f>
        <v>0</v>
      </c>
      <c r="N54" s="36">
        <f>N53+Table11819[[#This Row],[اجمالي الفاتوره]]-Table11819[[#This Row],[الدفعات]]</f>
        <v>595534.24</v>
      </c>
      <c r="P54" s="49"/>
    </row>
    <row r="55" spans="1:16" ht="26.25" customHeight="1" x14ac:dyDescent="0.3">
      <c r="C55" s="37"/>
      <c r="L55" s="36">
        <f>Table11819[[#This Row],[النولون]]+Table11819[[#This Row],[الايصالات]]-Table11819[[#This Row],[خصم أ ت ص]]+Table11819[[#This Row],[قيمة مضافة]]</f>
        <v>0</v>
      </c>
      <c r="N55" s="36">
        <f>N54+Table11819[[#This Row],[اجمالي الفاتوره]]-Table11819[[#This Row],[الدفعات]]</f>
        <v>595534.24</v>
      </c>
      <c r="P55" s="49"/>
    </row>
    <row r="56" spans="1:16" ht="26.25" customHeight="1" x14ac:dyDescent="0.3">
      <c r="C56" s="37"/>
      <c r="L56" s="36">
        <f>Table11819[[#This Row],[النولون]]+Table11819[[#This Row],[الايصالات]]-Table11819[[#This Row],[خصم أ ت ص]]+Table11819[[#This Row],[قيمة مضافة]]</f>
        <v>0</v>
      </c>
      <c r="N56" s="36">
        <f>N55+Table11819[[#This Row],[اجمالي الفاتوره]]-Table11819[[#This Row],[الدفعات]]</f>
        <v>595534.24</v>
      </c>
      <c r="P56" s="49"/>
    </row>
    <row r="57" spans="1:16" ht="26.25" customHeight="1" x14ac:dyDescent="0.3">
      <c r="C57" s="37"/>
      <c r="L57" s="36">
        <f>Table11819[[#This Row],[النولون]]+Table11819[[#This Row],[الايصالات]]-Table11819[[#This Row],[خصم أ ت ص]]+Table11819[[#This Row],[قيمة مضافة]]</f>
        <v>0</v>
      </c>
      <c r="N57" s="36">
        <f>N56+Table11819[[#This Row],[اجمالي الفاتوره]]-Table11819[[#This Row],[الدفعات]]</f>
        <v>595534.24</v>
      </c>
      <c r="P57" s="49"/>
    </row>
    <row r="58" spans="1:16" ht="26.25" customHeight="1" x14ac:dyDescent="0.3">
      <c r="C58" s="37"/>
      <c r="L58" s="36">
        <f>Table11819[[#This Row],[النولون]]+Table11819[[#This Row],[الايصالات]]-Table11819[[#This Row],[خصم أ ت ص]]+Table11819[[#This Row],[قيمة مضافة]]</f>
        <v>0</v>
      </c>
      <c r="N58" s="36">
        <f>N57+Table11819[[#This Row],[اجمالي الفاتوره]]-Table11819[[#This Row],[الدفعات]]</f>
        <v>595534.24</v>
      </c>
      <c r="P58" s="49"/>
    </row>
    <row r="59" spans="1:16" ht="26.25" customHeight="1" x14ac:dyDescent="0.3">
      <c r="C59" s="37"/>
      <c r="L59" s="36">
        <f>Table11819[[#This Row],[النولون]]+Table11819[[#This Row],[الايصالات]]-Table11819[[#This Row],[خصم أ ت ص]]+Table11819[[#This Row],[قيمة مضافة]]</f>
        <v>0</v>
      </c>
      <c r="N59" s="36">
        <f>N58+Table11819[[#This Row],[اجمالي الفاتوره]]-Table11819[[#This Row],[الدفعات]]</f>
        <v>595534.24</v>
      </c>
      <c r="P59" s="49"/>
    </row>
    <row r="60" spans="1:16" ht="26.25" customHeight="1" x14ac:dyDescent="0.3">
      <c r="C60" s="37"/>
      <c r="L60" s="36">
        <f>Table11819[[#This Row],[النولون]]+Table11819[[#This Row],[الايصالات]]-Table11819[[#This Row],[خصم أ ت ص]]+Table11819[[#This Row],[قيمة مضافة]]</f>
        <v>0</v>
      </c>
      <c r="N60" s="36">
        <f>N59+Table11819[[#This Row],[اجمالي الفاتوره]]-Table11819[[#This Row],[الدفعات]]</f>
        <v>595534.24</v>
      </c>
      <c r="P60" s="49"/>
    </row>
    <row r="61" spans="1:16" ht="26.25" customHeight="1" x14ac:dyDescent="0.3">
      <c r="C61" s="37"/>
      <c r="L61" s="36">
        <f>Table11819[[#This Row],[النولون]]+Table11819[[#This Row],[الايصالات]]-Table11819[[#This Row],[خصم أ ت ص]]+Table11819[[#This Row],[قيمة مضافة]]</f>
        <v>0</v>
      </c>
      <c r="N61" s="36">
        <f>N60+Table11819[[#This Row],[اجمالي الفاتوره]]-Table11819[[#This Row],[الدفعات]]</f>
        <v>595534.24</v>
      </c>
      <c r="P61" s="49"/>
    </row>
    <row r="62" spans="1:16" ht="26.25" customHeight="1" x14ac:dyDescent="0.3">
      <c r="B62" s="37"/>
      <c r="C62" s="37"/>
      <c r="L62" s="36">
        <f>Table11819[[#This Row],[النولون]]+Table11819[[#This Row],[الايصالات]]-Table11819[[#This Row],[خصم أ ت ص]]+Table11819[[#This Row],[قيمة مضافة]]</f>
        <v>0</v>
      </c>
      <c r="N62" s="36">
        <f>N61+Table11819[[#This Row],[اجمالي الفاتوره]]-Table11819[[#This Row],[الدفعات]]</f>
        <v>595534.24</v>
      </c>
      <c r="P62" s="49"/>
    </row>
    <row r="63" spans="1:16" ht="26.25" customHeight="1" x14ac:dyDescent="0.3">
      <c r="C63" s="37"/>
      <c r="L63" s="36">
        <f>Table11819[[#This Row],[النولون]]+Table11819[[#This Row],[الايصالات]]-Table11819[[#This Row],[خصم أ ت ص]]+Table11819[[#This Row],[قيمة مضافة]]</f>
        <v>0</v>
      </c>
      <c r="N63" s="36">
        <f>N62+Table11819[[#This Row],[اجمالي الفاتوره]]-Table11819[[#This Row],[الدفعات]]</f>
        <v>595534.24</v>
      </c>
      <c r="P63" s="49"/>
    </row>
    <row r="64" spans="1:16" ht="26.25" customHeight="1" x14ac:dyDescent="0.3">
      <c r="C64" s="37"/>
      <c r="L64" s="36">
        <f>Table11819[[#This Row],[النولون]]+Table11819[[#This Row],[الايصالات]]-Table11819[[#This Row],[خصم أ ت ص]]+Table11819[[#This Row],[قيمة مضافة]]</f>
        <v>0</v>
      </c>
      <c r="N64" s="36">
        <f>N63+Table11819[[#This Row],[اجمالي الفاتوره]]-Table11819[[#This Row],[الدفعات]]</f>
        <v>595534.24</v>
      </c>
      <c r="P64" s="49"/>
    </row>
    <row r="65" spans="3:16" ht="26.25" customHeight="1" x14ac:dyDescent="0.3">
      <c r="C65" s="37"/>
      <c r="L65" s="36">
        <f>Table11819[[#This Row],[النولون]]+Table11819[[#This Row],[الايصالات]]-Table11819[[#This Row],[خصم أ ت ص]]+Table11819[[#This Row],[قيمة مضافة]]</f>
        <v>0</v>
      </c>
      <c r="N65" s="36">
        <f>N64+Table11819[[#This Row],[اجمالي الفاتوره]]-Table11819[[#This Row],[الدفعات]]</f>
        <v>595534.24</v>
      </c>
      <c r="P65" s="49"/>
    </row>
    <row r="66" spans="3:16" ht="26.25" customHeight="1" x14ac:dyDescent="0.3">
      <c r="C66" s="37"/>
      <c r="L66" s="36">
        <f>Table11819[[#This Row],[النولون]]+Table11819[[#This Row],[الايصالات]]-Table11819[[#This Row],[خصم أ ت ص]]+Table11819[[#This Row],[قيمة مضافة]]</f>
        <v>0</v>
      </c>
      <c r="N66" s="36">
        <f>N65+Table11819[[#This Row],[اجمالي الفاتوره]]-Table11819[[#This Row],[الدفعات]]</f>
        <v>595534.24</v>
      </c>
      <c r="P66" s="49"/>
    </row>
    <row r="67" spans="3:16" ht="26.25" customHeight="1" x14ac:dyDescent="0.3">
      <c r="C67" s="37"/>
      <c r="L67" s="36">
        <f>Table11819[[#This Row],[النولون]]+Table11819[[#This Row],[الايصالات]]-Table11819[[#This Row],[خصم أ ت ص]]+Table11819[[#This Row],[قيمة مضافة]]</f>
        <v>0</v>
      </c>
      <c r="N67" s="36">
        <f>N66+Table11819[[#This Row],[اجمالي الفاتوره]]-Table11819[[#This Row],[الدفعات]]</f>
        <v>595534.24</v>
      </c>
      <c r="P67" s="49"/>
    </row>
    <row r="68" spans="3:16" ht="26.25" customHeight="1" x14ac:dyDescent="0.3">
      <c r="C68" s="37"/>
      <c r="L68" s="36">
        <f>Table11819[[#This Row],[النولون]]+Table11819[[#This Row],[الايصالات]]-Table11819[[#This Row],[خصم أ ت ص]]+Table11819[[#This Row],[قيمة مضافة]]</f>
        <v>0</v>
      </c>
      <c r="N68" s="36">
        <f>N67+Table11819[[#This Row],[اجمالي الفاتوره]]-Table11819[[#This Row],[الدفعات]]</f>
        <v>595534.24</v>
      </c>
      <c r="P68" s="49"/>
    </row>
    <row r="69" spans="3:16" ht="26.25" customHeight="1" x14ac:dyDescent="0.3">
      <c r="C69" s="37"/>
      <c r="L69" s="36">
        <f>Table11819[[#This Row],[النولون]]+Table11819[[#This Row],[الايصالات]]-Table11819[[#This Row],[خصم أ ت ص]]+Table11819[[#This Row],[قيمة مضافة]]</f>
        <v>0</v>
      </c>
      <c r="N69" s="36">
        <f>N68+Table11819[[#This Row],[اجمالي الفاتوره]]-Table11819[[#This Row],[الدفعات]]</f>
        <v>595534.24</v>
      </c>
      <c r="P69" s="49"/>
    </row>
    <row r="70" spans="3:16" ht="26.25" customHeight="1" x14ac:dyDescent="0.3">
      <c r="C70" s="37"/>
      <c r="L70" s="36">
        <f>Table11819[[#This Row],[النولون]]+Table11819[[#This Row],[الايصالات]]-Table11819[[#This Row],[خصم أ ت ص]]+Table11819[[#This Row],[قيمة مضافة]]</f>
        <v>0</v>
      </c>
      <c r="N70" s="36">
        <f>N69+Table11819[[#This Row],[اجمالي الفاتوره]]-Table11819[[#This Row],[الدفعات]]</f>
        <v>595534.24</v>
      </c>
      <c r="P70" s="49"/>
    </row>
    <row r="71" spans="3:16" ht="26.25" customHeight="1" x14ac:dyDescent="0.3">
      <c r="C71" s="37"/>
      <c r="L71" s="36">
        <f>Table11819[[#This Row],[النولون]]+Table11819[[#This Row],[الايصالات]]-Table11819[[#This Row],[خصم أ ت ص]]+Table11819[[#This Row],[قيمة مضافة]]</f>
        <v>0</v>
      </c>
      <c r="N71" s="36">
        <f>N70+Table11819[[#This Row],[اجمالي الفاتوره]]-Table11819[[#This Row],[الدفعات]]</f>
        <v>595534.24</v>
      </c>
      <c r="P71" s="49"/>
    </row>
    <row r="72" spans="3:16" ht="26.25" customHeight="1" x14ac:dyDescent="0.3">
      <c r="C72" s="37"/>
      <c r="L72" s="36">
        <f>Table11819[[#This Row],[النولون]]+Table11819[[#This Row],[الايصالات]]-Table11819[[#This Row],[خصم أ ت ص]]+Table11819[[#This Row],[قيمة مضافة]]</f>
        <v>0</v>
      </c>
      <c r="N72" s="36">
        <f>N71+Table11819[[#This Row],[اجمالي الفاتوره]]-Table11819[[#This Row],[الدفعات]]</f>
        <v>595534.24</v>
      </c>
      <c r="P72" s="49"/>
    </row>
    <row r="73" spans="3:16" ht="26.25" customHeight="1" x14ac:dyDescent="0.3">
      <c r="C73" s="37"/>
      <c r="L73" s="36">
        <f>Table11819[[#This Row],[النولون]]+Table11819[[#This Row],[الايصالات]]-Table11819[[#This Row],[خصم أ ت ص]]+Table11819[[#This Row],[قيمة مضافة]]</f>
        <v>0</v>
      </c>
      <c r="N73" s="36">
        <f>N72+Table11819[[#This Row],[اجمالي الفاتوره]]-Table11819[[#This Row],[الدفعات]]</f>
        <v>595534.24</v>
      </c>
      <c r="P73" s="49"/>
    </row>
    <row r="74" spans="3:16" ht="26.25" customHeight="1" x14ac:dyDescent="0.3">
      <c r="C74" s="37"/>
      <c r="L74" s="36">
        <f>Table11819[[#This Row],[النولون]]+Table11819[[#This Row],[الايصالات]]-Table11819[[#This Row],[خصم أ ت ص]]+Table11819[[#This Row],[قيمة مضافة]]</f>
        <v>0</v>
      </c>
      <c r="N74" s="36">
        <f>N73+Table11819[[#This Row],[اجمالي الفاتوره]]-Table11819[[#This Row],[الدفعات]]</f>
        <v>595534.24</v>
      </c>
      <c r="P74" s="49"/>
    </row>
    <row r="75" spans="3:16" ht="26.25" customHeight="1" x14ac:dyDescent="0.3">
      <c r="C75" s="37"/>
      <c r="L75" s="36">
        <f>Table11819[[#This Row],[النولون]]+Table11819[[#This Row],[الايصالات]]-Table11819[[#This Row],[خصم أ ت ص]]+Table11819[[#This Row],[قيمة مضافة]]</f>
        <v>0</v>
      </c>
      <c r="N75" s="36">
        <f>N74+Table11819[[#This Row],[اجمالي الفاتوره]]-Table11819[[#This Row],[الدفعات]]</f>
        <v>595534.24</v>
      </c>
      <c r="P75" s="49"/>
    </row>
    <row r="76" spans="3:16" ht="26.25" customHeight="1" x14ac:dyDescent="0.3">
      <c r="C76" s="37"/>
      <c r="L76" s="36">
        <f>Table11819[[#This Row],[النولون]]+Table11819[[#This Row],[الايصالات]]-Table11819[[#This Row],[خصم أ ت ص]]+Table11819[[#This Row],[قيمة مضافة]]</f>
        <v>0</v>
      </c>
      <c r="N76" s="36">
        <f>N75+Table11819[[#This Row],[اجمالي الفاتوره]]-Table11819[[#This Row],[الدفعات]]</f>
        <v>595534.24</v>
      </c>
      <c r="P76" s="49"/>
    </row>
    <row r="77" spans="3:16" ht="26.25" customHeight="1" x14ac:dyDescent="0.3">
      <c r="C77" s="37"/>
      <c r="L77" s="36">
        <f>Table11819[[#This Row],[النولون]]+Table11819[[#This Row],[الايصالات]]-Table11819[[#This Row],[خصم أ ت ص]]+Table11819[[#This Row],[قيمة مضافة]]</f>
        <v>0</v>
      </c>
      <c r="N77" s="36">
        <f>N76+Table11819[[#This Row],[اجمالي الفاتوره]]-Table11819[[#This Row],[الدفعات]]</f>
        <v>595534.24</v>
      </c>
      <c r="P77" s="49"/>
    </row>
    <row r="78" spans="3:16" ht="26.25" customHeight="1" x14ac:dyDescent="0.3">
      <c r="C78" s="37"/>
      <c r="L78" s="36">
        <f>Table11819[[#This Row],[النولون]]+Table11819[[#This Row],[الايصالات]]-Table11819[[#This Row],[خصم أ ت ص]]+Table11819[[#This Row],[قيمة مضافة]]</f>
        <v>0</v>
      </c>
      <c r="N78" s="36">
        <f>N77+Table11819[[#This Row],[اجمالي الفاتوره]]-Table11819[[#This Row],[الدفعات]]</f>
        <v>595534.24</v>
      </c>
      <c r="P78" s="49"/>
    </row>
    <row r="79" spans="3:16" ht="26.25" customHeight="1" x14ac:dyDescent="0.3">
      <c r="C79" s="37"/>
      <c r="L79" s="36">
        <f>Table11819[[#This Row],[النولون]]+Table11819[[#This Row],[الايصالات]]-Table11819[[#This Row],[خصم أ ت ص]]+Table11819[[#This Row],[قيمة مضافة]]</f>
        <v>0</v>
      </c>
      <c r="N79" s="36">
        <f>N78+Table11819[[#This Row],[اجمالي الفاتوره]]-Table11819[[#This Row],[الدفعات]]</f>
        <v>595534.24</v>
      </c>
      <c r="P79" s="49"/>
    </row>
    <row r="80" spans="3:16" ht="26.25" customHeight="1" x14ac:dyDescent="0.3">
      <c r="C80" s="37"/>
      <c r="L80" s="36">
        <f>Table11819[[#This Row],[النولون]]+Table11819[[#This Row],[الايصالات]]-Table11819[[#This Row],[خصم أ ت ص]]+Table11819[[#This Row],[قيمة مضافة]]</f>
        <v>0</v>
      </c>
      <c r="N80" s="36">
        <f>N79+Table11819[[#This Row],[اجمالي الفاتوره]]-Table11819[[#This Row],[الدفعات]]</f>
        <v>595534.24</v>
      </c>
      <c r="P80" s="49"/>
    </row>
    <row r="81" spans="2:16" ht="26.25" customHeight="1" x14ac:dyDescent="0.3">
      <c r="C81" s="37"/>
      <c r="L81" s="36">
        <f>Table11819[[#This Row],[النولون]]+Table11819[[#This Row],[الايصالات]]-Table11819[[#This Row],[خصم أ ت ص]]+Table11819[[#This Row],[قيمة مضافة]]</f>
        <v>0</v>
      </c>
      <c r="N81" s="36">
        <f>N80+Table11819[[#This Row],[اجمالي الفاتوره]]-Table11819[[#This Row],[الدفعات]]</f>
        <v>595534.24</v>
      </c>
      <c r="P81" s="49"/>
    </row>
    <row r="82" spans="2:16" ht="26.25" customHeight="1" x14ac:dyDescent="0.3">
      <c r="C82" s="37"/>
      <c r="L82" s="36">
        <f>Table11819[[#This Row],[النولون]]+Table11819[[#This Row],[الايصالات]]-Table11819[[#This Row],[خصم أ ت ص]]+Table11819[[#This Row],[قيمة مضافة]]</f>
        <v>0</v>
      </c>
      <c r="N82" s="36">
        <f>N81+Table11819[[#This Row],[اجمالي الفاتوره]]-Table11819[[#This Row],[الدفعات]]</f>
        <v>595534.24</v>
      </c>
      <c r="P82" s="49"/>
    </row>
    <row r="83" spans="2:16" ht="26.25" customHeight="1" x14ac:dyDescent="0.3">
      <c r="C83" s="37"/>
      <c r="L83" s="36">
        <f>Table11819[[#This Row],[النولون]]+Table11819[[#This Row],[الايصالات]]-Table11819[[#This Row],[خصم أ ت ص]]+Table11819[[#This Row],[قيمة مضافة]]</f>
        <v>0</v>
      </c>
      <c r="N83" s="36">
        <f>N82+Table11819[[#This Row],[اجمالي الفاتوره]]-Table11819[[#This Row],[الدفعات]]</f>
        <v>595534.24</v>
      </c>
      <c r="P83" s="49"/>
    </row>
    <row r="84" spans="2:16" ht="26.25" customHeight="1" x14ac:dyDescent="0.3">
      <c r="B84" s="37"/>
      <c r="C84" s="37"/>
      <c r="L84" s="36">
        <f>Table11819[[#This Row],[النولون]]+Table11819[[#This Row],[الايصالات]]-Table11819[[#This Row],[خصم أ ت ص]]+Table11819[[#This Row],[قيمة مضافة]]</f>
        <v>0</v>
      </c>
      <c r="N84" s="36">
        <f>N83+Table11819[[#This Row],[اجمالي الفاتوره]]-Table11819[[#This Row],[الدفعات]]</f>
        <v>595534.24</v>
      </c>
      <c r="P84" s="49"/>
    </row>
    <row r="85" spans="2:16" ht="26.25" customHeight="1" x14ac:dyDescent="0.3">
      <c r="B85" s="37"/>
      <c r="C85" s="37"/>
      <c r="L85" s="36">
        <f>Table11819[[#This Row],[النولون]]+Table11819[[#This Row],[الايصالات]]-Table11819[[#This Row],[خصم أ ت ص]]+Table11819[[#This Row],[قيمة مضافة]]</f>
        <v>0</v>
      </c>
      <c r="N85" s="36">
        <f>N84+Table11819[[#This Row],[اجمالي الفاتوره]]-Table11819[[#This Row],[الدفعات]]</f>
        <v>595534.24</v>
      </c>
      <c r="P85" s="49"/>
    </row>
    <row r="86" spans="2:16" ht="26.25" customHeight="1" x14ac:dyDescent="0.3">
      <c r="C86" s="37"/>
      <c r="L86" s="36">
        <f>Table11819[[#This Row],[النولون]]+Table11819[[#This Row],[الايصالات]]-Table11819[[#This Row],[خصم أ ت ص]]+Table11819[[#This Row],[قيمة مضافة]]</f>
        <v>0</v>
      </c>
      <c r="N86" s="36">
        <f>N85+Table11819[[#This Row],[اجمالي الفاتوره]]-Table11819[[#This Row],[الدفعات]]</f>
        <v>595534.24</v>
      </c>
      <c r="P86" s="49"/>
    </row>
    <row r="87" spans="2:16" ht="26.25" customHeight="1" x14ac:dyDescent="0.3">
      <c r="C87" s="37"/>
      <c r="L87" s="36">
        <f>Table11819[[#This Row],[النولون]]+Table11819[[#This Row],[الايصالات]]-Table11819[[#This Row],[خصم أ ت ص]]+Table11819[[#This Row],[قيمة مضافة]]</f>
        <v>0</v>
      </c>
      <c r="N87" s="36">
        <f>N86+Table11819[[#This Row],[اجمالي الفاتوره]]-Table11819[[#This Row],[الدفعات]]</f>
        <v>595534.24</v>
      </c>
      <c r="P87" s="49"/>
    </row>
    <row r="88" spans="2:16" ht="26.25" customHeight="1" x14ac:dyDescent="0.3">
      <c r="C88" s="37"/>
      <c r="L88" s="36">
        <f>Table11819[[#This Row],[النولون]]+Table11819[[#This Row],[الايصالات]]-Table11819[[#This Row],[خصم أ ت ص]]+Table11819[[#This Row],[قيمة مضافة]]</f>
        <v>0</v>
      </c>
      <c r="N88" s="36">
        <f>N87+Table11819[[#This Row],[اجمالي الفاتوره]]-Table11819[[#This Row],[الدفعات]]</f>
        <v>595534.24</v>
      </c>
      <c r="P88" s="49"/>
    </row>
    <row r="89" spans="2:16" ht="26.25" customHeight="1" x14ac:dyDescent="0.3">
      <c r="C89" s="37"/>
      <c r="L89" s="36">
        <f>Table11819[[#This Row],[النولون]]+Table11819[[#This Row],[الايصالات]]-Table11819[[#This Row],[خصم أ ت ص]]+Table11819[[#This Row],[قيمة مضافة]]</f>
        <v>0</v>
      </c>
      <c r="N89" s="36">
        <f>N88+Table11819[[#This Row],[اجمالي الفاتوره]]-Table11819[[#This Row],[الدفعات]]</f>
        <v>595534.24</v>
      </c>
      <c r="P89" s="49"/>
    </row>
    <row r="90" spans="2:16" ht="26.25" customHeight="1" x14ac:dyDescent="0.3">
      <c r="C90" s="37"/>
      <c r="L90" s="36">
        <f>Table11819[[#This Row],[النولون]]+Table11819[[#This Row],[الايصالات]]-Table11819[[#This Row],[خصم أ ت ص]]+Table11819[[#This Row],[قيمة مضافة]]</f>
        <v>0</v>
      </c>
      <c r="N90" s="36">
        <f>N89+Table11819[[#This Row],[اجمالي الفاتوره]]-Table11819[[#This Row],[الدفعات]]</f>
        <v>595534.24</v>
      </c>
      <c r="P90" s="49"/>
    </row>
    <row r="91" spans="2:16" ht="26.25" customHeight="1" x14ac:dyDescent="0.3">
      <c r="C91" s="37"/>
      <c r="L91" s="36">
        <f>Table11819[[#This Row],[النولون]]+Table11819[[#This Row],[الايصالات]]-Table11819[[#This Row],[خصم أ ت ص]]+Table11819[[#This Row],[قيمة مضافة]]</f>
        <v>0</v>
      </c>
      <c r="N91" s="36">
        <f>N90+Table11819[[#This Row],[اجمالي الفاتوره]]-Table11819[[#This Row],[الدفعات]]</f>
        <v>595534.24</v>
      </c>
      <c r="P91" s="49"/>
    </row>
    <row r="92" spans="2:16" ht="26.25" customHeight="1" x14ac:dyDescent="0.3">
      <c r="C92" s="37"/>
      <c r="L92" s="36">
        <f>Table11819[[#This Row],[النولون]]+Table11819[[#This Row],[الايصالات]]-Table11819[[#This Row],[خصم أ ت ص]]+Table11819[[#This Row],[قيمة مضافة]]</f>
        <v>0</v>
      </c>
      <c r="N92" s="36">
        <f>N91+Table11819[[#This Row],[اجمالي الفاتوره]]-Table11819[[#This Row],[الدفعات]]</f>
        <v>595534.24</v>
      </c>
      <c r="P92" s="49"/>
    </row>
    <row r="93" spans="2:16" ht="26.25" customHeight="1" x14ac:dyDescent="0.3">
      <c r="C93" s="37"/>
      <c r="L93" s="36">
        <f>Table11819[[#This Row],[النولون]]+Table11819[[#This Row],[الايصالات]]-Table11819[[#This Row],[خصم أ ت ص]]+Table11819[[#This Row],[قيمة مضافة]]</f>
        <v>0</v>
      </c>
      <c r="N93" s="36">
        <f>N92+Table11819[[#This Row],[اجمالي الفاتوره]]-Table11819[[#This Row],[الدفعات]]</f>
        <v>595534.24</v>
      </c>
      <c r="P93" s="49"/>
    </row>
    <row r="94" spans="2:16" ht="26.25" customHeight="1" x14ac:dyDescent="0.3">
      <c r="C94" s="37"/>
      <c r="L94" s="36">
        <f>Table11819[[#This Row],[النولون]]+Table11819[[#This Row],[الايصالات]]-Table11819[[#This Row],[خصم أ ت ص]]+Table11819[[#This Row],[قيمة مضافة]]</f>
        <v>0</v>
      </c>
      <c r="N94" s="36">
        <f>N93+Table11819[[#This Row],[اجمالي الفاتوره]]-Table11819[[#This Row],[الدفعات]]</f>
        <v>595534.24</v>
      </c>
      <c r="P94" s="49"/>
    </row>
    <row r="95" spans="2:16" ht="26.25" customHeight="1" x14ac:dyDescent="0.3">
      <c r="C95" s="37"/>
      <c r="L95" s="36">
        <f>Table11819[[#This Row],[النولون]]+Table11819[[#This Row],[الايصالات]]-Table11819[[#This Row],[خصم أ ت ص]]+Table11819[[#This Row],[قيمة مضافة]]</f>
        <v>0</v>
      </c>
      <c r="N95" s="36">
        <f>N94+Table11819[[#This Row],[اجمالي الفاتوره]]-Table11819[[#This Row],[الدفعات]]</f>
        <v>595534.24</v>
      </c>
      <c r="P95" s="49"/>
    </row>
    <row r="96" spans="2:16" ht="26.25" customHeight="1" x14ac:dyDescent="0.3">
      <c r="C96" s="37"/>
      <c r="L96" s="36">
        <f>Table11819[[#This Row],[النولون]]+Table11819[[#This Row],[الايصالات]]-Table11819[[#This Row],[خصم أ ت ص]]+Table11819[[#This Row],[قيمة مضافة]]</f>
        <v>0</v>
      </c>
      <c r="N96" s="36">
        <f>N95+Table11819[[#This Row],[اجمالي الفاتوره]]-Table11819[[#This Row],[الدفعات]]</f>
        <v>595534.24</v>
      </c>
      <c r="P96" s="49"/>
    </row>
    <row r="97" spans="1:16" ht="26.25" customHeight="1" x14ac:dyDescent="0.3">
      <c r="C97" s="37"/>
      <c r="L97" s="36">
        <f>Table11819[[#This Row],[النولون]]+Table11819[[#This Row],[الايصالات]]-Table11819[[#This Row],[خصم أ ت ص]]+Table11819[[#This Row],[قيمة مضافة]]</f>
        <v>0</v>
      </c>
      <c r="N97" s="36">
        <f>N96+Table11819[[#This Row],[اجمالي الفاتوره]]-Table11819[[#This Row],[الدفعات]]</f>
        <v>595534.24</v>
      </c>
      <c r="P97" s="49"/>
    </row>
    <row r="98" spans="1:16" ht="26.25" customHeight="1" x14ac:dyDescent="0.3">
      <c r="C98" s="37"/>
      <c r="L98" s="36">
        <f>Table11819[[#This Row],[النولون]]+Table11819[[#This Row],[الايصالات]]-Table11819[[#This Row],[خصم أ ت ص]]+Table11819[[#This Row],[قيمة مضافة]]</f>
        <v>0</v>
      </c>
      <c r="N98" s="36">
        <f>N97+Table11819[[#This Row],[اجمالي الفاتوره]]-Table11819[[#This Row],[الدفعات]]</f>
        <v>595534.24</v>
      </c>
      <c r="P98" s="49"/>
    </row>
    <row r="99" spans="1:16" ht="26.25" customHeight="1" x14ac:dyDescent="0.3">
      <c r="C99" s="37"/>
      <c r="L99" s="36">
        <f>Table11819[[#This Row],[النولون]]+Table11819[[#This Row],[الايصالات]]-Table11819[[#This Row],[خصم أ ت ص]]+Table11819[[#This Row],[قيمة مضافة]]</f>
        <v>0</v>
      </c>
      <c r="N99" s="36">
        <f>N98+Table11819[[#This Row],[اجمالي الفاتوره]]-Table11819[[#This Row],[الدفعات]]</f>
        <v>595534.24</v>
      </c>
      <c r="P99" s="49"/>
    </row>
    <row r="100" spans="1:16" ht="26.25" customHeight="1" x14ac:dyDescent="0.3">
      <c r="C100" s="37"/>
      <c r="L100" s="36">
        <f>Table11819[[#This Row],[النولون]]+Table11819[[#This Row],[الايصالات]]-Table11819[[#This Row],[خصم أ ت ص]]+Table11819[[#This Row],[قيمة مضافة]]</f>
        <v>0</v>
      </c>
      <c r="N100" s="36">
        <f>N99+Table11819[[#This Row],[اجمالي الفاتوره]]-Table11819[[#This Row],[الدفعات]]</f>
        <v>595534.24</v>
      </c>
      <c r="P100" s="49"/>
    </row>
    <row r="101" spans="1:16" ht="26.25" customHeight="1" x14ac:dyDescent="0.3">
      <c r="C101" s="37"/>
      <c r="L101" s="36">
        <f>Table11819[[#This Row],[النولون]]+Table11819[[#This Row],[الايصالات]]-Table11819[[#This Row],[خصم أ ت ص]]+Table11819[[#This Row],[قيمة مضافة]]</f>
        <v>0</v>
      </c>
      <c r="N101" s="36">
        <f>N100+Table11819[[#This Row],[اجمالي الفاتوره]]-Table11819[[#This Row],[الدفعات]]</f>
        <v>595534.24</v>
      </c>
      <c r="P101" s="49"/>
    </row>
    <row r="102" spans="1:16" ht="26.25" customHeight="1" x14ac:dyDescent="0.3">
      <c r="C102" s="37"/>
      <c r="L102" s="36">
        <f>Table11819[[#This Row],[النولون]]+Table11819[[#This Row],[الايصالات]]-Table11819[[#This Row],[خصم أ ت ص]]+Table11819[[#This Row],[قيمة مضافة]]</f>
        <v>0</v>
      </c>
      <c r="N102" s="36">
        <f>N101+Table11819[[#This Row],[اجمالي الفاتوره]]-Table11819[[#This Row],[الدفعات]]</f>
        <v>595534.24</v>
      </c>
      <c r="P102" s="49"/>
    </row>
    <row r="103" spans="1:16" ht="26.25" customHeight="1" x14ac:dyDescent="0.3">
      <c r="C103" s="37"/>
      <c r="L103" s="36">
        <f>Table11819[[#This Row],[النولون]]+Table11819[[#This Row],[الايصالات]]-Table11819[[#This Row],[خصم أ ت ص]]+Table11819[[#This Row],[قيمة مضافة]]</f>
        <v>0</v>
      </c>
      <c r="N103" s="36">
        <f>N102+Table11819[[#This Row],[اجمالي الفاتوره]]-Table11819[[#This Row],[الدفعات]]</f>
        <v>595534.24</v>
      </c>
      <c r="P103" s="49"/>
    </row>
    <row r="104" spans="1:16" ht="26.25" customHeight="1" x14ac:dyDescent="0.3">
      <c r="C104" s="37"/>
      <c r="L104" s="36">
        <f>Table11819[[#This Row],[النولون]]+Table11819[[#This Row],[الايصالات]]-Table11819[[#This Row],[خصم أ ت ص]]+Table11819[[#This Row],[قيمة مضافة]]</f>
        <v>0</v>
      </c>
      <c r="N104" s="36">
        <f>N103+Table11819[[#This Row],[اجمالي الفاتوره]]-Table11819[[#This Row],[الدفعات]]</f>
        <v>595534.24</v>
      </c>
      <c r="P104" s="49"/>
    </row>
    <row r="105" spans="1:16" ht="26.25" customHeight="1" x14ac:dyDescent="0.3">
      <c r="C105" s="37"/>
      <c r="L105" s="36">
        <f>Table11819[[#This Row],[النولون]]+Table11819[[#This Row],[الايصالات]]-Table11819[[#This Row],[خصم أ ت ص]]+Table11819[[#This Row],[قيمة مضافة]]</f>
        <v>0</v>
      </c>
      <c r="N105" s="36">
        <f>N104+Table11819[[#This Row],[اجمالي الفاتوره]]-Table11819[[#This Row],[الدفعات]]</f>
        <v>595534.24</v>
      </c>
      <c r="P105" s="49"/>
    </row>
    <row r="106" spans="1:16" ht="26.25" customHeight="1" x14ac:dyDescent="0.3">
      <c r="C106" s="37"/>
      <c r="L106" s="36">
        <f>Table11819[[#This Row],[النولون]]+Table11819[[#This Row],[الايصالات]]-Table11819[[#This Row],[خصم أ ت ص]]+Table11819[[#This Row],[قيمة مضافة]]</f>
        <v>0</v>
      </c>
      <c r="N106" s="36">
        <f>N105+Table11819[[#This Row],[اجمالي الفاتوره]]-Table11819[[#This Row],[الدفعات]]</f>
        <v>595534.24</v>
      </c>
      <c r="P106" s="49"/>
    </row>
    <row r="107" spans="1:16" ht="26.25" customHeight="1" x14ac:dyDescent="0.3">
      <c r="C107" s="37"/>
      <c r="L107" s="36">
        <f>Table11819[[#This Row],[النولون]]+Table11819[[#This Row],[الايصالات]]-Table11819[[#This Row],[خصم أ ت ص]]+Table11819[[#This Row],[قيمة مضافة]]</f>
        <v>0</v>
      </c>
      <c r="N107" s="36">
        <f>N106+Table11819[[#This Row],[اجمالي الفاتوره]]-Table11819[[#This Row],[الدفعات]]</f>
        <v>595534.24</v>
      </c>
      <c r="P107" s="49"/>
    </row>
    <row r="108" spans="1:16" ht="26.25" customHeight="1" x14ac:dyDescent="0.3">
      <c r="C108" s="37"/>
      <c r="L108" s="36">
        <f>Table11819[[#This Row],[النولون]]+Table11819[[#This Row],[الايصالات]]-Table11819[[#This Row],[خصم أ ت ص]]+Table11819[[#This Row],[قيمة مضافة]]</f>
        <v>0</v>
      </c>
      <c r="N108" s="36">
        <f>N107+Table11819[[#This Row],[اجمالي الفاتوره]]-Table11819[[#This Row],[الدفعات]]</f>
        <v>595534.24</v>
      </c>
      <c r="P108" s="49"/>
    </row>
    <row r="109" spans="1:16" ht="26.25" customHeight="1" x14ac:dyDescent="0.3">
      <c r="C109" s="37"/>
      <c r="L109" s="36">
        <f>Table11819[[#This Row],[النولون]]+Table11819[[#This Row],[الايصالات]]-Table11819[[#This Row],[خصم أ ت ص]]+Table11819[[#This Row],[قيمة مضافة]]</f>
        <v>0</v>
      </c>
      <c r="N109" s="36">
        <f>N108+Table11819[[#This Row],[اجمالي الفاتوره]]-Table11819[[#This Row],[الدفعات]]</f>
        <v>595534.24</v>
      </c>
      <c r="P109" s="49"/>
    </row>
    <row r="110" spans="1:16" ht="26.25" customHeight="1" x14ac:dyDescent="0.3">
      <c r="C110" s="37"/>
      <c r="L110" s="36">
        <f>Table11819[[#This Row],[النولون]]+Table11819[[#This Row],[الايصالات]]-Table11819[[#This Row],[خصم أ ت ص]]+Table11819[[#This Row],[قيمة مضافة]]</f>
        <v>0</v>
      </c>
      <c r="N110" s="36">
        <f>N109+Table11819[[#This Row],[اجمالي الفاتوره]]-Table11819[[#This Row],[الدفعات]]</f>
        <v>595534.24</v>
      </c>
      <c r="P110" s="49"/>
    </row>
    <row r="111" spans="1:16" ht="26.25" customHeight="1" x14ac:dyDescent="0.3">
      <c r="C111" s="37"/>
      <c r="L111" s="36">
        <f>Table11819[[#This Row],[النولون]]+Table11819[[#This Row],[الايصالات]]-Table11819[[#This Row],[خصم أ ت ص]]+Table11819[[#This Row],[قيمة مضافة]]</f>
        <v>0</v>
      </c>
      <c r="N111" s="36">
        <f>N110+Table11819[[#This Row],[اجمالي الفاتوره]]-Table11819[[#This Row],[الدفعات]]</f>
        <v>595534.24</v>
      </c>
      <c r="P111" s="49"/>
    </row>
    <row r="112" spans="1:16" ht="26.25" customHeight="1" x14ac:dyDescent="0.3">
      <c r="A112" s="43"/>
      <c r="B112" s="43"/>
      <c r="C112" s="44"/>
      <c r="D112" s="43"/>
      <c r="E112" s="43"/>
      <c r="F112" s="43"/>
      <c r="G112" s="43"/>
      <c r="H112" s="43"/>
      <c r="I112" s="43"/>
      <c r="J112" s="43"/>
      <c r="K112" s="43"/>
      <c r="L112" s="43">
        <f>Table11819[[#This Row],[النولون]]+Table11819[[#This Row],[الايصالات]]-Table11819[[#This Row],[خصم أ ت ص]]+Table11819[[#This Row],[قيمة مضافة]]</f>
        <v>0</v>
      </c>
      <c r="M112" s="43"/>
      <c r="N112" s="36">
        <f>N111+Table11819[[#This Row],[اجمالي الفاتوره]]-Table11819[[#This Row],[الدفعات]]</f>
        <v>595534.24</v>
      </c>
      <c r="O112" s="43"/>
      <c r="P112" s="49"/>
    </row>
    <row r="113" spans="1:16" ht="26.25" customHeight="1" x14ac:dyDescent="0.3">
      <c r="C113" s="37"/>
      <c r="L113" s="36">
        <f>Table11819[[#This Row],[النولون]]+Table11819[[#This Row],[الايصالات]]-Table11819[[#This Row],[خصم أ ت ص]]+Table11819[[#This Row],[قيمة مضافة]]</f>
        <v>0</v>
      </c>
      <c r="N113" s="36">
        <f>N112+Table11819[[#This Row],[اجمالي الفاتوره]]-Table11819[[#This Row],[الدفعات]]</f>
        <v>595534.24</v>
      </c>
      <c r="P113" s="49"/>
    </row>
    <row r="114" spans="1:16" ht="26.25" customHeight="1" x14ac:dyDescent="0.3">
      <c r="A114" s="43"/>
      <c r="B114" s="43"/>
      <c r="C114" s="44"/>
      <c r="D114" s="43"/>
      <c r="E114" s="43"/>
      <c r="F114" s="43"/>
      <c r="G114" s="43"/>
      <c r="H114" s="43"/>
      <c r="I114" s="43"/>
      <c r="J114" s="43"/>
      <c r="K114" s="43"/>
      <c r="L114" s="43">
        <f>Table11819[[#This Row],[النولون]]+Table11819[[#This Row],[الايصالات]]-Table11819[[#This Row],[خصم أ ت ص]]+Table11819[[#This Row],[قيمة مضافة]]</f>
        <v>0</v>
      </c>
      <c r="M114" s="43"/>
      <c r="N114" s="36">
        <f>N113+Table11819[[#This Row],[اجمالي الفاتوره]]-Table11819[[#This Row],[الدفعات]]</f>
        <v>595534.24</v>
      </c>
      <c r="O114" s="43"/>
      <c r="P114" s="49"/>
    </row>
    <row r="115" spans="1:16" ht="26.25" customHeight="1" x14ac:dyDescent="0.3">
      <c r="C115" s="37"/>
      <c r="L115" s="36">
        <f>Table11819[[#This Row],[النولون]]+Table11819[[#This Row],[الايصالات]]-Table11819[[#This Row],[خصم أ ت ص]]+Table11819[[#This Row],[قيمة مضافة]]</f>
        <v>0</v>
      </c>
      <c r="N115" s="36">
        <f>N114+Table11819[[#This Row],[اجمالي الفاتوره]]-Table11819[[#This Row],[الدفعات]]</f>
        <v>595534.24</v>
      </c>
      <c r="P115" s="49"/>
    </row>
    <row r="116" spans="1:16" ht="26.25" customHeight="1" x14ac:dyDescent="0.3">
      <c r="A116" s="43"/>
      <c r="B116" s="43"/>
      <c r="C116" s="44"/>
      <c r="D116" s="43"/>
      <c r="E116" s="43"/>
      <c r="F116" s="43"/>
      <c r="G116" s="43"/>
      <c r="H116" s="43"/>
      <c r="I116" s="43"/>
      <c r="J116" s="43"/>
      <c r="K116" s="43"/>
      <c r="L116" s="43">
        <f>Table11819[[#This Row],[النولون]]+Table11819[[#This Row],[الايصالات]]-Table11819[[#This Row],[خصم أ ت ص]]+Table11819[[#This Row],[قيمة مضافة]]</f>
        <v>0</v>
      </c>
      <c r="M116" s="43"/>
      <c r="N116" s="36">
        <f>N115+Table11819[[#This Row],[اجمالي الفاتوره]]-Table11819[[#This Row],[الدفعات]]</f>
        <v>595534.24</v>
      </c>
      <c r="O116" s="43"/>
      <c r="P116" s="49"/>
    </row>
    <row r="117" spans="1:16" ht="26.25" customHeight="1" x14ac:dyDescent="0.3">
      <c r="A117" s="43"/>
      <c r="B117" s="43"/>
      <c r="C117" s="44"/>
      <c r="D117" s="43"/>
      <c r="E117" s="43"/>
      <c r="F117" s="43"/>
      <c r="G117" s="43"/>
      <c r="H117" s="43"/>
      <c r="I117" s="43"/>
      <c r="J117" s="43"/>
      <c r="K117" s="43"/>
      <c r="L117" s="43">
        <f>Table11819[[#This Row],[النولون]]+Table11819[[#This Row],[الايصالات]]-Table11819[[#This Row],[خصم أ ت ص]]+Table11819[[#This Row],[قيمة مضافة]]</f>
        <v>0</v>
      </c>
      <c r="M117" s="43"/>
      <c r="N117" s="36">
        <f>N116+Table11819[[#This Row],[اجمالي الفاتوره]]-Table11819[[#This Row],[الدفعات]]</f>
        <v>595534.24</v>
      </c>
      <c r="O117" s="43"/>
      <c r="P117" s="49"/>
    </row>
    <row r="118" spans="1:16" ht="26.25" customHeight="1" x14ac:dyDescent="0.3">
      <c r="C118" s="37"/>
      <c r="L118" s="36">
        <f>Table11819[[#This Row],[النولون]]+Table11819[[#This Row],[الايصالات]]-Table11819[[#This Row],[خصم أ ت ص]]+Table11819[[#This Row],[قيمة مضافة]]</f>
        <v>0</v>
      </c>
      <c r="N118" s="36">
        <f>N117+Table11819[[#This Row],[اجمالي الفاتوره]]-Table11819[[#This Row],[الدفعات]]</f>
        <v>595534.24</v>
      </c>
      <c r="P118" s="49"/>
    </row>
    <row r="119" spans="1:16" ht="26.25" customHeight="1" x14ac:dyDescent="0.3">
      <c r="C119" s="37"/>
      <c r="L119" s="36">
        <f>Table11819[[#This Row],[النولون]]+Table11819[[#This Row],[الايصالات]]-Table11819[[#This Row],[خصم أ ت ص]]+Table11819[[#This Row],[قيمة مضافة]]</f>
        <v>0</v>
      </c>
      <c r="N119" s="36">
        <f>N118+Table11819[[#This Row],[اجمالي الفاتوره]]-Table11819[[#This Row],[الدفعات]]</f>
        <v>595534.24</v>
      </c>
      <c r="P119" s="49"/>
    </row>
    <row r="120" spans="1:16" ht="26.25" customHeight="1" x14ac:dyDescent="0.3">
      <c r="C120" s="37"/>
      <c r="L120" s="36">
        <f>Table11819[[#This Row],[النولون]]+Table11819[[#This Row],[الايصالات]]-Table11819[[#This Row],[خصم أ ت ص]]+Table11819[[#This Row],[قيمة مضافة]]</f>
        <v>0</v>
      </c>
      <c r="N120" s="36">
        <f>N119+Table11819[[#This Row],[اجمالي الفاتوره]]-Table11819[[#This Row],[الدفعات]]</f>
        <v>595534.24</v>
      </c>
      <c r="P120" s="49"/>
    </row>
    <row r="121" spans="1:16" ht="26.25" customHeight="1" x14ac:dyDescent="0.3">
      <c r="C121" s="37"/>
      <c r="L121" s="36">
        <f>Table11819[[#This Row],[النولون]]+Table11819[[#This Row],[الايصالات]]-Table11819[[#This Row],[خصم أ ت ص]]+Table11819[[#This Row],[قيمة مضافة]]</f>
        <v>0</v>
      </c>
      <c r="N121" s="36">
        <f>N120+Table11819[[#This Row],[اجمالي الفاتوره]]-Table11819[[#This Row],[الدفعات]]</f>
        <v>595534.24</v>
      </c>
      <c r="P121" s="49"/>
    </row>
    <row r="122" spans="1:16" ht="26.25" customHeight="1" x14ac:dyDescent="0.3">
      <c r="C122" s="37"/>
      <c r="L122" s="36">
        <f>Table11819[[#This Row],[النولون]]+Table11819[[#This Row],[الايصالات]]-Table11819[[#This Row],[خصم أ ت ص]]+Table11819[[#This Row],[قيمة مضافة]]</f>
        <v>0</v>
      </c>
      <c r="N122" s="36">
        <f>N121+Table11819[[#This Row],[اجمالي الفاتوره]]-Table11819[[#This Row],[الدفعات]]</f>
        <v>595534.24</v>
      </c>
      <c r="P122" s="49"/>
    </row>
    <row r="123" spans="1:16" ht="26.25" customHeight="1" x14ac:dyDescent="0.3">
      <c r="C123" s="37"/>
      <c r="L123" s="36">
        <f>Table11819[[#This Row],[النولون]]+Table11819[[#This Row],[الايصالات]]-Table11819[[#This Row],[خصم أ ت ص]]+Table11819[[#This Row],[قيمة مضافة]]</f>
        <v>0</v>
      </c>
      <c r="N123" s="36">
        <f>N122+Table11819[[#This Row],[اجمالي الفاتوره]]-Table11819[[#This Row],[الدفعات]]</f>
        <v>595534.24</v>
      </c>
      <c r="P123" s="49"/>
    </row>
    <row r="124" spans="1:16" ht="26.25" customHeight="1" x14ac:dyDescent="0.3">
      <c r="C124" s="37"/>
      <c r="L124" s="36">
        <f>Table11819[[#This Row],[النولون]]+Table11819[[#This Row],[الايصالات]]-Table11819[[#This Row],[خصم أ ت ص]]+Table11819[[#This Row],[قيمة مضافة]]</f>
        <v>0</v>
      </c>
      <c r="N124" s="36">
        <f>N123+Table11819[[#This Row],[اجمالي الفاتوره]]-Table11819[[#This Row],[الدفعات]]</f>
        <v>595534.24</v>
      </c>
      <c r="P124" s="49"/>
    </row>
    <row r="125" spans="1:16" ht="26.25" customHeight="1" x14ac:dyDescent="0.3">
      <c r="A125" s="43"/>
      <c r="B125" s="43"/>
      <c r="C125" s="44"/>
      <c r="D125" s="43"/>
      <c r="E125" s="43"/>
      <c r="F125" s="43"/>
      <c r="G125" s="43"/>
      <c r="H125" s="43"/>
      <c r="I125" s="43"/>
      <c r="J125" s="43"/>
      <c r="K125" s="43"/>
      <c r="L125" s="43">
        <f>Table11819[[#This Row],[النولون]]+Table11819[[#This Row],[الايصالات]]-Table11819[[#This Row],[خصم أ ت ص]]+Table11819[[#This Row],[قيمة مضافة]]</f>
        <v>0</v>
      </c>
      <c r="M125" s="43"/>
      <c r="N125" s="36">
        <f>N124+Table11819[[#This Row],[اجمالي الفاتوره]]-Table11819[[#This Row],[الدفعات]]</f>
        <v>595534.24</v>
      </c>
      <c r="O125" s="43"/>
      <c r="P125" s="49"/>
    </row>
    <row r="126" spans="1:16" ht="26.25" customHeight="1" x14ac:dyDescent="0.3">
      <c r="C126" s="37"/>
      <c r="L126" s="36">
        <f>Table11819[[#This Row],[النولون]]+Table11819[[#This Row],[الايصالات]]-Table11819[[#This Row],[خصم أ ت ص]]+Table11819[[#This Row],[قيمة مضافة]]</f>
        <v>0</v>
      </c>
      <c r="N126" s="36">
        <f>N125+Table11819[[#This Row],[اجمالي الفاتوره]]-Table11819[[#This Row],[الدفعات]]</f>
        <v>595534.24</v>
      </c>
      <c r="P126" s="49"/>
    </row>
    <row r="127" spans="1:16" ht="26.25" customHeight="1" x14ac:dyDescent="0.3">
      <c r="C127" s="37"/>
      <c r="L127" s="36">
        <f>Table11819[[#This Row],[النولون]]+Table11819[[#This Row],[الايصالات]]-Table11819[[#This Row],[خصم أ ت ص]]+Table11819[[#This Row],[قيمة مضافة]]</f>
        <v>0</v>
      </c>
      <c r="N127" s="36">
        <f>N126+Table11819[[#This Row],[اجمالي الفاتوره]]-Table11819[[#This Row],[الدفعات]]</f>
        <v>595534.24</v>
      </c>
      <c r="P127" s="49"/>
    </row>
    <row r="128" spans="1:16" ht="26.25" customHeight="1" x14ac:dyDescent="0.3">
      <c r="C128" s="37"/>
      <c r="L128" s="36">
        <f>Table11819[[#This Row],[النولون]]+Table11819[[#This Row],[الايصالات]]-Table11819[[#This Row],[خصم أ ت ص]]+Table11819[[#This Row],[قيمة مضافة]]</f>
        <v>0</v>
      </c>
      <c r="N128" s="36">
        <f>N127+Table11819[[#This Row],[اجمالي الفاتوره]]-Table11819[[#This Row],[الدفعات]]</f>
        <v>595534.24</v>
      </c>
      <c r="P128" s="49"/>
    </row>
    <row r="129" spans="1:16" ht="26.25" customHeight="1" x14ac:dyDescent="0.3">
      <c r="C129" s="37"/>
      <c r="L129" s="36">
        <f>Table11819[[#This Row],[النولون]]+Table11819[[#This Row],[الايصالات]]-Table11819[[#This Row],[خصم أ ت ص]]+Table11819[[#This Row],[قيمة مضافة]]</f>
        <v>0</v>
      </c>
      <c r="N129" s="36">
        <f>N128+Table11819[[#This Row],[اجمالي الفاتوره]]-Table11819[[#This Row],[الدفعات]]</f>
        <v>595534.24</v>
      </c>
      <c r="P129" s="49"/>
    </row>
    <row r="130" spans="1:16" ht="26.25" customHeight="1" x14ac:dyDescent="0.3">
      <c r="C130" s="37"/>
      <c r="L130" s="36">
        <f>Table11819[[#This Row],[النولون]]+Table11819[[#This Row],[الايصالات]]-Table11819[[#This Row],[خصم أ ت ص]]+Table11819[[#This Row],[قيمة مضافة]]</f>
        <v>0</v>
      </c>
      <c r="N130" s="36">
        <f>N129+Table11819[[#This Row],[اجمالي الفاتوره]]-Table11819[[#This Row],[الدفعات]]</f>
        <v>595534.24</v>
      </c>
      <c r="P130" s="49"/>
    </row>
    <row r="131" spans="1:16" ht="26.25" customHeight="1" x14ac:dyDescent="0.3">
      <c r="C131" s="37"/>
      <c r="L131" s="36">
        <f>Table11819[[#This Row],[النولون]]+Table11819[[#This Row],[الايصالات]]-Table11819[[#This Row],[خصم أ ت ص]]+Table11819[[#This Row],[قيمة مضافة]]</f>
        <v>0</v>
      </c>
      <c r="N131" s="36">
        <f>N130+Table11819[[#This Row],[اجمالي الفاتوره]]-Table11819[[#This Row],[الدفعات]]</f>
        <v>595534.24</v>
      </c>
      <c r="P131" s="49"/>
    </row>
    <row r="132" spans="1:16" ht="26.25" customHeight="1" x14ac:dyDescent="0.3">
      <c r="C132" s="37"/>
      <c r="L132" s="36">
        <f>Table11819[[#This Row],[النولون]]+Table11819[[#This Row],[الايصالات]]-Table11819[[#This Row],[خصم أ ت ص]]+Table11819[[#This Row],[قيمة مضافة]]</f>
        <v>0</v>
      </c>
      <c r="N132" s="36">
        <f>N131+Table11819[[#This Row],[اجمالي الفاتوره]]-Table11819[[#This Row],[الدفعات]]</f>
        <v>595534.24</v>
      </c>
      <c r="P132" s="49"/>
    </row>
    <row r="133" spans="1:16" ht="26.25" customHeight="1" x14ac:dyDescent="0.3">
      <c r="C133" s="37"/>
      <c r="L133" s="36">
        <f>Table11819[[#This Row],[النولون]]+Table11819[[#This Row],[الايصالات]]-Table11819[[#This Row],[خصم أ ت ص]]+Table11819[[#This Row],[قيمة مضافة]]</f>
        <v>0</v>
      </c>
      <c r="N133" s="36">
        <f>N132+Table11819[[#This Row],[اجمالي الفاتوره]]-Table11819[[#This Row],[الدفعات]]</f>
        <v>595534.24</v>
      </c>
      <c r="P133" s="49"/>
    </row>
    <row r="134" spans="1:16" ht="26.25" customHeight="1" x14ac:dyDescent="0.3">
      <c r="C134" s="37"/>
      <c r="L134" s="36">
        <f>Table11819[[#This Row],[النولون]]+Table11819[[#This Row],[الايصالات]]-Table11819[[#This Row],[خصم أ ت ص]]+Table11819[[#This Row],[قيمة مضافة]]</f>
        <v>0</v>
      </c>
      <c r="N134" s="36">
        <f>N133+Table11819[[#This Row],[اجمالي الفاتوره]]-Table11819[[#This Row],[الدفعات]]</f>
        <v>595534.24</v>
      </c>
      <c r="P134" s="49"/>
    </row>
    <row r="135" spans="1:16" ht="26.25" customHeight="1" x14ac:dyDescent="0.3">
      <c r="C135" s="37"/>
      <c r="L135" s="36">
        <f>Table11819[[#This Row],[النولون]]+Table11819[[#This Row],[الايصالات]]-Table11819[[#This Row],[خصم أ ت ص]]+Table11819[[#This Row],[قيمة مضافة]]</f>
        <v>0</v>
      </c>
      <c r="N135" s="36">
        <f>N134+Table11819[[#This Row],[اجمالي الفاتوره]]-Table11819[[#This Row],[الدفعات]]</f>
        <v>595534.24</v>
      </c>
      <c r="P135" s="49"/>
    </row>
    <row r="136" spans="1:16" ht="26.25" customHeight="1" x14ac:dyDescent="0.3">
      <c r="C136" s="37"/>
      <c r="L136" s="36">
        <f>Table11819[[#This Row],[النولون]]+Table11819[[#This Row],[الايصالات]]-Table11819[[#This Row],[خصم أ ت ص]]+Table11819[[#This Row],[قيمة مضافة]]</f>
        <v>0</v>
      </c>
      <c r="N136" s="36">
        <f>N135+Table11819[[#This Row],[اجمالي الفاتوره]]-Table11819[[#This Row],[الدفعات]]</f>
        <v>595534.24</v>
      </c>
      <c r="P136" s="49"/>
    </row>
    <row r="137" spans="1:16" ht="26.25" customHeight="1" x14ac:dyDescent="0.3">
      <c r="A137" s="49"/>
      <c r="B137" s="49"/>
      <c r="C137" s="52"/>
      <c r="D137" s="49"/>
      <c r="E137" s="49"/>
      <c r="F137" s="49"/>
      <c r="G137" s="49"/>
      <c r="H137" s="49"/>
      <c r="I137" s="49"/>
      <c r="J137" s="49"/>
      <c r="K137" s="49"/>
      <c r="L137" s="49">
        <f>Table11819[[#This Row],[النولون]]+Table11819[[#This Row],[الايصالات]]-Table11819[[#This Row],[خصم أ ت ص]]+Table11819[[#This Row],[قيمة مضافة]]</f>
        <v>0</v>
      </c>
      <c r="M137" s="49"/>
      <c r="N137" s="36">
        <f>N136+Table11819[[#This Row],[اجمالي الفاتوره]]-Table11819[[#This Row],[الدفعات]]</f>
        <v>595534.24</v>
      </c>
      <c r="O137" s="49"/>
      <c r="P137" s="49"/>
    </row>
    <row r="138" spans="1:16" ht="26.25" customHeight="1" x14ac:dyDescent="0.3">
      <c r="C138" s="37"/>
      <c r="L138" s="36">
        <f>Table11819[[#This Row],[النولون]]+Table11819[[#This Row],[الايصالات]]-Table11819[[#This Row],[خصم أ ت ص]]+Table11819[[#This Row],[قيمة مضافة]]</f>
        <v>0</v>
      </c>
      <c r="N138" s="36">
        <f>N137+Table11819[[#This Row],[اجمالي الفاتوره]]-Table11819[[#This Row],[الدفعات]]</f>
        <v>595534.24</v>
      </c>
      <c r="P138" s="49"/>
    </row>
    <row r="139" spans="1:16" ht="26.25" customHeight="1" x14ac:dyDescent="0.3">
      <c r="C139" s="37"/>
      <c r="L139" s="36">
        <f>Table11819[[#This Row],[النولون]]+Table11819[[#This Row],[الايصالات]]-Table11819[[#This Row],[خصم أ ت ص]]+Table11819[[#This Row],[قيمة مضافة]]</f>
        <v>0</v>
      </c>
      <c r="N139" s="36">
        <f>N138+Table11819[[#This Row],[اجمالي الفاتوره]]-Table11819[[#This Row],[الدفعات]]</f>
        <v>595534.24</v>
      </c>
      <c r="P139" s="49"/>
    </row>
    <row r="140" spans="1:16" ht="26.25" customHeight="1" x14ac:dyDescent="0.3">
      <c r="C140" s="37"/>
      <c r="L140" s="36">
        <f>Table11819[[#This Row],[النولون]]+Table11819[[#This Row],[الايصالات]]-Table11819[[#This Row],[خصم أ ت ص]]+Table11819[[#This Row],[قيمة مضافة]]</f>
        <v>0</v>
      </c>
      <c r="N140" s="36">
        <f>N139+Table11819[[#This Row],[اجمالي الفاتوره]]-Table11819[[#This Row],[الدفعات]]</f>
        <v>595534.24</v>
      </c>
      <c r="P140" s="49"/>
    </row>
    <row r="141" spans="1:16" ht="26.25" customHeight="1" x14ac:dyDescent="0.3">
      <c r="C141" s="37"/>
      <c r="L141" s="36">
        <f>Table11819[[#This Row],[النولون]]+Table11819[[#This Row],[الايصالات]]-Table11819[[#This Row],[خصم أ ت ص]]+Table11819[[#This Row],[قيمة مضافة]]</f>
        <v>0</v>
      </c>
      <c r="N141" s="36">
        <f>N140+Table11819[[#This Row],[اجمالي الفاتوره]]-Table11819[[#This Row],[الدفعات]]</f>
        <v>595534.24</v>
      </c>
      <c r="P141" s="49"/>
    </row>
    <row r="142" spans="1:16" ht="26.25" customHeight="1" x14ac:dyDescent="0.3">
      <c r="C142" s="37"/>
      <c r="L142" s="36">
        <f>Table11819[[#This Row],[النولون]]+Table11819[[#This Row],[الايصالات]]-Table11819[[#This Row],[خصم أ ت ص]]+Table11819[[#This Row],[قيمة مضافة]]</f>
        <v>0</v>
      </c>
      <c r="N142" s="36">
        <f>N141+Table11819[[#This Row],[اجمالي الفاتوره]]-Table11819[[#This Row],[الدفعات]]</f>
        <v>595534.24</v>
      </c>
      <c r="P142" s="49"/>
    </row>
    <row r="143" spans="1:16" ht="26.25" customHeight="1" x14ac:dyDescent="0.3">
      <c r="C143" s="37"/>
      <c r="L143" s="36">
        <f>Table11819[[#This Row],[النولون]]+Table11819[[#This Row],[الايصالات]]-Table11819[[#This Row],[خصم أ ت ص]]+Table11819[[#This Row],[قيمة مضافة]]</f>
        <v>0</v>
      </c>
      <c r="N143" s="36">
        <f>N142+Table11819[[#This Row],[اجمالي الفاتوره]]-Table11819[[#This Row],[الدفعات]]</f>
        <v>595534.24</v>
      </c>
      <c r="P143" s="49"/>
    </row>
    <row r="144" spans="1:16" ht="26.25" customHeight="1" x14ac:dyDescent="0.3">
      <c r="A144" s="49"/>
      <c r="B144" s="49"/>
      <c r="C144" s="52"/>
      <c r="D144" s="49"/>
      <c r="E144" s="49"/>
      <c r="F144" s="49"/>
      <c r="G144" s="49"/>
      <c r="H144" s="49"/>
      <c r="I144" s="49"/>
      <c r="J144" s="49"/>
      <c r="K144" s="49"/>
      <c r="L144" s="49">
        <f>Table11819[[#This Row],[النولون]]+Table11819[[#This Row],[الايصالات]]-Table11819[[#This Row],[خصم أ ت ص]]+Table11819[[#This Row],[قيمة مضافة]]</f>
        <v>0</v>
      </c>
      <c r="M144" s="49"/>
      <c r="N144" s="36">
        <f>N143+Table11819[[#This Row],[اجمالي الفاتوره]]-Table11819[[#This Row],[الدفعات]]</f>
        <v>595534.24</v>
      </c>
      <c r="O144" s="49"/>
      <c r="P144" s="49"/>
    </row>
    <row r="145" spans="1:16" ht="26.25" customHeight="1" x14ac:dyDescent="0.3">
      <c r="C145" s="37"/>
      <c r="L145" s="36">
        <f>Table11819[[#This Row],[النولون]]+Table11819[[#This Row],[الايصالات]]-Table11819[[#This Row],[خصم أ ت ص]]+Table11819[[#This Row],[قيمة مضافة]]</f>
        <v>0</v>
      </c>
      <c r="N145" s="36">
        <f>N144+Table11819[[#This Row],[اجمالي الفاتوره]]-Table11819[[#This Row],[الدفعات]]</f>
        <v>595534.24</v>
      </c>
      <c r="P145" s="49"/>
    </row>
    <row r="146" spans="1:16" ht="26.25" customHeight="1" x14ac:dyDescent="0.3">
      <c r="C146" s="37"/>
      <c r="L146" s="36">
        <f>Table11819[[#This Row],[النولون]]+Table11819[[#This Row],[الايصالات]]-Table11819[[#This Row],[خصم أ ت ص]]+Table11819[[#This Row],[قيمة مضافة]]</f>
        <v>0</v>
      </c>
      <c r="N146" s="36">
        <f>N145+Table11819[[#This Row],[اجمالي الفاتوره]]-Table11819[[#This Row],[الدفعات]]</f>
        <v>595534.24</v>
      </c>
      <c r="P146" s="49"/>
    </row>
    <row r="147" spans="1:16" ht="26.25" customHeight="1" x14ac:dyDescent="0.3">
      <c r="C147" s="37"/>
      <c r="L147" s="36">
        <f>Table11819[[#This Row],[النولون]]+Table11819[[#This Row],[الايصالات]]-Table11819[[#This Row],[خصم أ ت ص]]+Table11819[[#This Row],[قيمة مضافة]]</f>
        <v>0</v>
      </c>
      <c r="N147" s="36">
        <f>N146+Table11819[[#This Row],[اجمالي الفاتوره]]-Table11819[[#This Row],[الدفعات]]</f>
        <v>595534.24</v>
      </c>
      <c r="P147" s="49"/>
    </row>
    <row r="148" spans="1:16" ht="26.25" customHeight="1" x14ac:dyDescent="0.3">
      <c r="C148" s="37"/>
      <c r="L148" s="36">
        <f>Table11819[[#This Row],[النولون]]+Table11819[[#This Row],[الايصالات]]-Table11819[[#This Row],[خصم أ ت ص]]+Table11819[[#This Row],[قيمة مضافة]]</f>
        <v>0</v>
      </c>
      <c r="N148" s="36">
        <f>N147+Table11819[[#This Row],[اجمالي الفاتوره]]-Table11819[[#This Row],[الدفعات]]</f>
        <v>595534.24</v>
      </c>
      <c r="P148" s="49"/>
    </row>
    <row r="149" spans="1:16" ht="26.25" customHeight="1" x14ac:dyDescent="0.3">
      <c r="A149" s="49"/>
      <c r="B149" s="49"/>
      <c r="C149" s="52"/>
      <c r="D149" s="49"/>
      <c r="E149" s="49"/>
      <c r="F149" s="49"/>
      <c r="G149" s="49"/>
      <c r="H149" s="49"/>
      <c r="I149" s="49"/>
      <c r="J149" s="49"/>
      <c r="K149" s="49"/>
      <c r="L149" s="49">
        <f>Table11819[[#This Row],[النولون]]+Table11819[[#This Row],[الايصالات]]-Table11819[[#This Row],[خصم أ ت ص]]+Table11819[[#This Row],[قيمة مضافة]]</f>
        <v>0</v>
      </c>
      <c r="M149" s="49"/>
      <c r="N149" s="36">
        <f>N148+Table11819[[#This Row],[اجمالي الفاتوره]]-Table11819[[#This Row],[الدفعات]]</f>
        <v>595534.24</v>
      </c>
      <c r="O149" s="49"/>
      <c r="P149" s="49"/>
    </row>
    <row r="150" spans="1:16" ht="26.25" customHeight="1" x14ac:dyDescent="0.3">
      <c r="C150" s="37"/>
      <c r="L150" s="36">
        <f>Table11819[[#This Row],[النولون]]+Table11819[[#This Row],[الايصالات]]-Table11819[[#This Row],[خصم أ ت ص]]+Table11819[[#This Row],[قيمة مضافة]]</f>
        <v>0</v>
      </c>
      <c r="N150" s="36">
        <f>N149+Table11819[[#This Row],[اجمالي الفاتوره]]-Table11819[[#This Row],[الدفعات]]</f>
        <v>595534.24</v>
      </c>
      <c r="P150" s="49"/>
    </row>
    <row r="151" spans="1:16" ht="26.25" customHeight="1" x14ac:dyDescent="0.3">
      <c r="C151" s="37"/>
      <c r="L151" s="36">
        <f>Table11819[[#This Row],[النولون]]+Table11819[[#This Row],[الايصالات]]-Table11819[[#This Row],[خصم أ ت ص]]+Table11819[[#This Row],[قيمة مضافة]]</f>
        <v>0</v>
      </c>
      <c r="N151" s="36">
        <f>N150+Table11819[[#This Row],[اجمالي الفاتوره]]-Table11819[[#This Row],[الدفعات]]</f>
        <v>595534.24</v>
      </c>
      <c r="P151" s="49"/>
    </row>
    <row r="152" spans="1:16" ht="26.25" customHeight="1" x14ac:dyDescent="0.3">
      <c r="C152" s="37"/>
      <c r="L152" s="36">
        <f>Table11819[[#This Row],[النولون]]+Table11819[[#This Row],[الايصالات]]-Table11819[[#This Row],[خصم أ ت ص]]+Table11819[[#This Row],[قيمة مضافة]]</f>
        <v>0</v>
      </c>
      <c r="N152" s="36">
        <f>N151+Table11819[[#This Row],[اجمالي الفاتوره]]-Table11819[[#This Row],[الدفعات]]</f>
        <v>595534.24</v>
      </c>
      <c r="P152" s="49"/>
    </row>
    <row r="153" spans="1:16" ht="26.25" customHeight="1" x14ac:dyDescent="0.3">
      <c r="C153" s="37"/>
      <c r="L153" s="36">
        <f>Table11819[[#This Row],[النولون]]+Table11819[[#This Row],[الايصالات]]-Table11819[[#This Row],[خصم أ ت ص]]+Table11819[[#This Row],[قيمة مضافة]]</f>
        <v>0</v>
      </c>
      <c r="N153" s="36">
        <f>N152+Table11819[[#This Row],[اجمالي الفاتوره]]-Table11819[[#This Row],[الدفعات]]</f>
        <v>595534.24</v>
      </c>
      <c r="P153" s="49"/>
    </row>
    <row r="154" spans="1:16" ht="26.25" customHeight="1" x14ac:dyDescent="0.3">
      <c r="C154" s="37"/>
      <c r="L154" s="36">
        <f>Table11819[[#This Row],[النولون]]+Table11819[[#This Row],[الايصالات]]-Table11819[[#This Row],[خصم أ ت ص]]+Table11819[[#This Row],[قيمة مضافة]]</f>
        <v>0</v>
      </c>
      <c r="N154" s="36">
        <f>N153+Table11819[[#This Row],[اجمالي الفاتوره]]-Table11819[[#This Row],[الدفعات]]</f>
        <v>595534.24</v>
      </c>
      <c r="P154" s="49"/>
    </row>
    <row r="155" spans="1:16" ht="26.25" customHeight="1" x14ac:dyDescent="0.3">
      <c r="C155" s="37"/>
      <c r="L155" s="36">
        <f>Table11819[[#This Row],[النولون]]+Table11819[[#This Row],[الايصالات]]-Table11819[[#This Row],[خصم أ ت ص]]+Table11819[[#This Row],[قيمة مضافة]]</f>
        <v>0</v>
      </c>
      <c r="N155" s="36">
        <f>N154+Table11819[[#This Row],[اجمالي الفاتوره]]-Table11819[[#This Row],[الدفعات]]</f>
        <v>595534.24</v>
      </c>
      <c r="P155" s="49"/>
    </row>
    <row r="156" spans="1:16" ht="26.25" customHeight="1" x14ac:dyDescent="0.3">
      <c r="C156" s="37"/>
      <c r="L156" s="36">
        <f>Table11819[[#This Row],[النولون]]+Table11819[[#This Row],[الايصالات]]-Table11819[[#This Row],[خصم أ ت ص]]+Table11819[[#This Row],[قيمة مضافة]]</f>
        <v>0</v>
      </c>
      <c r="N156" s="36">
        <f>N155+Table11819[[#This Row],[اجمالي الفاتوره]]-Table11819[[#This Row],[الدفعات]]</f>
        <v>595534.24</v>
      </c>
      <c r="P156" s="49"/>
    </row>
    <row r="157" spans="1:16" ht="26.25" customHeight="1" x14ac:dyDescent="0.3">
      <c r="C157" s="37"/>
      <c r="L157" s="36">
        <f>Table11819[[#This Row],[النولون]]+Table11819[[#This Row],[الايصالات]]-Table11819[[#This Row],[خصم أ ت ص]]+Table11819[[#This Row],[قيمة مضافة]]</f>
        <v>0</v>
      </c>
      <c r="N157" s="36">
        <f>N156+Table11819[[#This Row],[اجمالي الفاتوره]]-Table11819[[#This Row],[الدفعات]]</f>
        <v>595534.24</v>
      </c>
      <c r="P157" s="49"/>
    </row>
    <row r="158" spans="1:16" ht="26.25" customHeight="1" x14ac:dyDescent="0.3">
      <c r="C158" s="37"/>
      <c r="L158" s="36">
        <f>Table11819[[#This Row],[النولون]]+Table11819[[#This Row],[الايصالات]]-Table11819[[#This Row],[خصم أ ت ص]]+Table11819[[#This Row],[قيمة مضافة]]</f>
        <v>0</v>
      </c>
      <c r="N158" s="36">
        <f>N157+Table11819[[#This Row],[اجمالي الفاتوره]]-Table11819[[#This Row],[الدفعات]]</f>
        <v>595534.24</v>
      </c>
      <c r="P158" s="49"/>
    </row>
    <row r="159" spans="1:16" ht="26.25" customHeight="1" x14ac:dyDescent="0.3">
      <c r="C159" s="37"/>
      <c r="L159" s="36">
        <f>Table11819[[#This Row],[النولون]]+Table11819[[#This Row],[الايصالات]]-Table11819[[#This Row],[خصم أ ت ص]]+Table11819[[#This Row],[قيمة مضافة]]</f>
        <v>0</v>
      </c>
      <c r="N159" s="36">
        <f>N158+Table11819[[#This Row],[اجمالي الفاتوره]]-Table11819[[#This Row],[الدفعات]]</f>
        <v>595534.24</v>
      </c>
      <c r="P159" s="49"/>
    </row>
    <row r="160" spans="1:16" ht="26.25" customHeight="1" x14ac:dyDescent="0.3">
      <c r="C160" s="37"/>
      <c r="L160" s="36">
        <f>Table11819[[#This Row],[النولون]]+Table11819[[#This Row],[الايصالات]]-Table11819[[#This Row],[خصم أ ت ص]]+Table11819[[#This Row],[قيمة مضافة]]</f>
        <v>0</v>
      </c>
      <c r="N160" s="36">
        <f>N159+Table11819[[#This Row],[اجمالي الفاتوره]]-Table11819[[#This Row],[الدفعات]]</f>
        <v>595534.24</v>
      </c>
      <c r="P160" s="49"/>
    </row>
    <row r="161" spans="3:16" ht="26.25" customHeight="1" x14ac:dyDescent="0.3">
      <c r="C161" s="37"/>
      <c r="L161" s="36">
        <f>Table11819[[#This Row],[النولون]]+Table11819[[#This Row],[الايصالات]]-Table11819[[#This Row],[خصم أ ت ص]]+Table11819[[#This Row],[قيمة مضافة]]</f>
        <v>0</v>
      </c>
      <c r="N161" s="36">
        <f>N160+Table11819[[#This Row],[اجمالي الفاتوره]]-Table11819[[#This Row],[الدفعات]]</f>
        <v>595534.24</v>
      </c>
      <c r="P161" s="49"/>
    </row>
    <row r="162" spans="3:16" ht="26.25" customHeight="1" x14ac:dyDescent="0.3">
      <c r="C162" s="37"/>
      <c r="L162" s="36">
        <f>Table11819[[#This Row],[النولون]]+Table11819[[#This Row],[الايصالات]]-Table11819[[#This Row],[خصم أ ت ص]]+Table11819[[#This Row],[قيمة مضافة]]</f>
        <v>0</v>
      </c>
      <c r="N162" s="36">
        <f>N161+Table11819[[#This Row],[اجمالي الفاتوره]]-Table11819[[#This Row],[الدفعات]]</f>
        <v>595534.24</v>
      </c>
      <c r="P162" s="49"/>
    </row>
    <row r="163" spans="3:16" ht="26.25" customHeight="1" x14ac:dyDescent="0.3">
      <c r="C163" s="37"/>
      <c r="L163" s="36">
        <f>Table11819[[#This Row],[النولون]]+Table11819[[#This Row],[الايصالات]]-Table11819[[#This Row],[خصم أ ت ص]]+Table11819[[#This Row],[قيمة مضافة]]</f>
        <v>0</v>
      </c>
      <c r="N163" s="36">
        <f>N162+Table11819[[#This Row],[اجمالي الفاتوره]]-Table11819[[#This Row],[الدفعات]]</f>
        <v>595534.24</v>
      </c>
      <c r="P163" s="49"/>
    </row>
    <row r="164" spans="3:16" ht="26.25" customHeight="1" x14ac:dyDescent="0.3">
      <c r="C164" s="37"/>
      <c r="L164" s="36">
        <f>Table11819[[#This Row],[النولون]]+Table11819[[#This Row],[الايصالات]]-Table11819[[#This Row],[خصم أ ت ص]]+Table11819[[#This Row],[قيمة مضافة]]</f>
        <v>0</v>
      </c>
      <c r="N164" s="36">
        <f>N163+Table11819[[#This Row],[اجمالي الفاتوره]]-Table11819[[#This Row],[الدفعات]]</f>
        <v>595534.24</v>
      </c>
      <c r="P164" s="49"/>
    </row>
    <row r="165" spans="3:16" ht="26.25" customHeight="1" x14ac:dyDescent="0.3">
      <c r="C165" s="37"/>
      <c r="L165" s="36">
        <f>Table11819[[#This Row],[النولون]]+Table11819[[#This Row],[الايصالات]]-Table11819[[#This Row],[خصم أ ت ص]]+Table11819[[#This Row],[قيمة مضافة]]</f>
        <v>0</v>
      </c>
      <c r="N165" s="36">
        <f>N164+Table11819[[#This Row],[اجمالي الفاتوره]]-Table11819[[#This Row],[الدفعات]]</f>
        <v>595534.24</v>
      </c>
      <c r="P165" s="49"/>
    </row>
    <row r="166" spans="3:16" ht="26.25" customHeight="1" x14ac:dyDescent="0.3">
      <c r="C166" s="37"/>
      <c r="L166" s="36">
        <f>Table11819[[#This Row],[النولون]]+Table11819[[#This Row],[الايصالات]]-Table11819[[#This Row],[خصم أ ت ص]]+Table11819[[#This Row],[قيمة مضافة]]</f>
        <v>0</v>
      </c>
      <c r="N166" s="36">
        <f>N165+Table11819[[#This Row],[اجمالي الفاتوره]]-Table11819[[#This Row],[الدفعات]]</f>
        <v>595534.24</v>
      </c>
      <c r="P166" s="49"/>
    </row>
    <row r="167" spans="3:16" ht="26.25" customHeight="1" x14ac:dyDescent="0.3">
      <c r="C167" s="37"/>
      <c r="L167" s="36">
        <f>Table11819[[#This Row],[النولون]]+Table11819[[#This Row],[الايصالات]]-Table11819[[#This Row],[خصم أ ت ص]]+Table11819[[#This Row],[قيمة مضافة]]</f>
        <v>0</v>
      </c>
      <c r="N167" s="36">
        <f>N166+Table11819[[#This Row],[اجمالي الفاتوره]]-Table11819[[#This Row],[الدفعات]]</f>
        <v>595534.24</v>
      </c>
      <c r="P167" s="49"/>
    </row>
    <row r="168" spans="3:16" ht="26.25" customHeight="1" x14ac:dyDescent="0.3">
      <c r="C168" s="37"/>
      <c r="L168" s="36">
        <f>Table11819[[#This Row],[النولون]]+Table11819[[#This Row],[الايصالات]]-Table11819[[#This Row],[خصم أ ت ص]]+Table11819[[#This Row],[قيمة مضافة]]</f>
        <v>0</v>
      </c>
      <c r="N168" s="36">
        <f>N167+Table11819[[#This Row],[اجمالي الفاتوره]]-Table11819[[#This Row],[الدفعات]]</f>
        <v>595534.24</v>
      </c>
      <c r="P168" s="49"/>
    </row>
    <row r="169" spans="3:16" ht="26.25" customHeight="1" x14ac:dyDescent="0.3">
      <c r="C169" s="37"/>
      <c r="L169" s="36">
        <f>Table11819[[#This Row],[النولون]]+Table11819[[#This Row],[الايصالات]]-Table11819[[#This Row],[خصم أ ت ص]]+Table11819[[#This Row],[قيمة مضافة]]</f>
        <v>0</v>
      </c>
      <c r="N169" s="36">
        <f>N168+Table11819[[#This Row],[اجمالي الفاتوره]]-Table11819[[#This Row],[الدفعات]]</f>
        <v>595534.24</v>
      </c>
      <c r="P169" s="49"/>
    </row>
    <row r="170" spans="3:16" ht="26.25" customHeight="1" x14ac:dyDescent="0.3">
      <c r="C170" s="37"/>
      <c r="L170" s="36">
        <f>Table11819[[#This Row],[النولون]]+Table11819[[#This Row],[الايصالات]]-Table11819[[#This Row],[خصم أ ت ص]]+Table11819[[#This Row],[قيمة مضافة]]</f>
        <v>0</v>
      </c>
      <c r="N170" s="36">
        <f>N169+Table11819[[#This Row],[اجمالي الفاتوره]]-Table11819[[#This Row],[الدفعات]]</f>
        <v>595534.24</v>
      </c>
      <c r="P170" s="49"/>
    </row>
    <row r="171" spans="3:16" ht="26.25" customHeight="1" x14ac:dyDescent="0.3">
      <c r="C171" s="37"/>
      <c r="L171" s="36">
        <f>Table11819[[#This Row],[النولون]]+Table11819[[#This Row],[الايصالات]]-Table11819[[#This Row],[خصم أ ت ص]]+Table11819[[#This Row],[قيمة مضافة]]</f>
        <v>0</v>
      </c>
      <c r="N171" s="36">
        <f>N170+Table11819[[#This Row],[اجمالي الفاتوره]]-Table11819[[#This Row],[الدفعات]]</f>
        <v>595534.24</v>
      </c>
      <c r="P171" s="49"/>
    </row>
    <row r="172" spans="3:16" ht="26.25" customHeight="1" x14ac:dyDescent="0.3">
      <c r="C172" s="37"/>
      <c r="L172" s="36">
        <f>Table11819[[#This Row],[النولون]]+Table11819[[#This Row],[الايصالات]]-Table11819[[#This Row],[خصم أ ت ص]]+Table11819[[#This Row],[قيمة مضافة]]</f>
        <v>0</v>
      </c>
      <c r="N172" s="36">
        <f>N171+Table11819[[#This Row],[اجمالي الفاتوره]]-Table11819[[#This Row],[الدفعات]]</f>
        <v>595534.24</v>
      </c>
      <c r="P172" s="49"/>
    </row>
    <row r="173" spans="3:16" ht="26.25" customHeight="1" x14ac:dyDescent="0.3">
      <c r="C173" s="37"/>
      <c r="L173" s="36">
        <f>Table11819[[#This Row],[النولون]]+Table11819[[#This Row],[الايصالات]]-Table11819[[#This Row],[خصم أ ت ص]]+Table11819[[#This Row],[قيمة مضافة]]</f>
        <v>0</v>
      </c>
      <c r="N173" s="36">
        <f>N172+Table11819[[#This Row],[اجمالي الفاتوره]]-Table11819[[#This Row],[الدفعات]]</f>
        <v>595534.24</v>
      </c>
      <c r="P173" s="49"/>
    </row>
    <row r="174" spans="3:16" ht="26.25" customHeight="1" x14ac:dyDescent="0.3">
      <c r="C174" s="37"/>
      <c r="L174" s="36">
        <f>Table11819[[#This Row],[النولون]]+Table11819[[#This Row],[الايصالات]]-Table11819[[#This Row],[خصم أ ت ص]]+Table11819[[#This Row],[قيمة مضافة]]</f>
        <v>0</v>
      </c>
      <c r="N174" s="36">
        <f>N173+Table11819[[#This Row],[اجمالي الفاتوره]]-Table11819[[#This Row],[الدفعات]]</f>
        <v>595534.24</v>
      </c>
      <c r="P174" s="49"/>
    </row>
    <row r="175" spans="3:16" ht="26.25" customHeight="1" x14ac:dyDescent="0.3">
      <c r="C175" s="37"/>
      <c r="L175" s="36">
        <f>Table11819[[#This Row],[النولون]]+Table11819[[#This Row],[الايصالات]]-Table11819[[#This Row],[خصم أ ت ص]]+Table11819[[#This Row],[قيمة مضافة]]</f>
        <v>0</v>
      </c>
      <c r="N175" s="36">
        <f>N174+Table11819[[#This Row],[اجمالي الفاتوره]]-Table11819[[#This Row],[الدفعات]]</f>
        <v>595534.24</v>
      </c>
      <c r="P175" s="49"/>
    </row>
    <row r="176" spans="3:16" ht="26.25" customHeight="1" x14ac:dyDescent="0.3">
      <c r="C176" s="37"/>
      <c r="L176" s="36">
        <f>Table11819[[#This Row],[النولون]]+Table11819[[#This Row],[الايصالات]]-Table11819[[#This Row],[خصم أ ت ص]]+Table11819[[#This Row],[قيمة مضافة]]</f>
        <v>0</v>
      </c>
      <c r="N176" s="36">
        <f>N175+Table11819[[#This Row],[اجمالي الفاتوره]]-Table11819[[#This Row],[الدفعات]]</f>
        <v>595534.24</v>
      </c>
      <c r="P176" s="49"/>
    </row>
    <row r="177" spans="3:16" ht="26.25" customHeight="1" x14ac:dyDescent="0.3">
      <c r="C177" s="37"/>
      <c r="L177" s="36">
        <f>Table11819[[#This Row],[النولون]]+Table11819[[#This Row],[الايصالات]]-Table11819[[#This Row],[خصم أ ت ص]]+Table11819[[#This Row],[قيمة مضافة]]</f>
        <v>0</v>
      </c>
      <c r="N177" s="36">
        <f>N176+Table11819[[#This Row],[اجمالي الفاتوره]]-Table11819[[#This Row],[الدفعات]]</f>
        <v>595534.24</v>
      </c>
      <c r="P177" s="49"/>
    </row>
    <row r="178" spans="3:16" ht="26.25" customHeight="1" x14ac:dyDescent="0.3">
      <c r="C178" s="37"/>
      <c r="L178" s="36">
        <f>Table11819[[#This Row],[النولون]]+Table11819[[#This Row],[الايصالات]]-Table11819[[#This Row],[خصم أ ت ص]]+Table11819[[#This Row],[قيمة مضافة]]</f>
        <v>0</v>
      </c>
      <c r="N178" s="36">
        <f>N177+Table11819[[#This Row],[اجمالي الفاتوره]]-Table11819[[#This Row],[الدفعات]]</f>
        <v>595534.24</v>
      </c>
      <c r="P178" s="49"/>
    </row>
    <row r="179" spans="3:16" ht="26.25" customHeight="1" x14ac:dyDescent="0.3">
      <c r="C179" s="37"/>
      <c r="L179" s="36">
        <f>Table11819[[#This Row],[النولون]]+Table11819[[#This Row],[الايصالات]]-Table11819[[#This Row],[خصم أ ت ص]]+Table11819[[#This Row],[قيمة مضافة]]</f>
        <v>0</v>
      </c>
      <c r="N179" s="36">
        <f>N178+Table11819[[#This Row],[اجمالي الفاتوره]]-Table11819[[#This Row],[الدفعات]]</f>
        <v>595534.24</v>
      </c>
      <c r="P179" s="49"/>
    </row>
    <row r="180" spans="3:16" ht="26.25" customHeight="1" x14ac:dyDescent="0.3">
      <c r="C180" s="37"/>
      <c r="L180" s="36">
        <f>Table11819[[#This Row],[النولون]]+Table11819[[#This Row],[الايصالات]]-Table11819[[#This Row],[خصم أ ت ص]]+Table11819[[#This Row],[قيمة مضافة]]</f>
        <v>0</v>
      </c>
      <c r="N180" s="36">
        <f>N179+Table11819[[#This Row],[اجمالي الفاتوره]]-Table11819[[#This Row],[الدفعات]]</f>
        <v>595534.24</v>
      </c>
      <c r="P180" s="49"/>
    </row>
    <row r="181" spans="3:16" ht="26.25" customHeight="1" x14ac:dyDescent="0.3">
      <c r="C181" s="38"/>
      <c r="L181" s="36">
        <f>Table11819[[#This Row],[النولون]]+Table11819[[#This Row],[الايصالات]]-Table11819[[#This Row],[خصم أ ت ص]]+Table11819[[#This Row],[قيمة مضافة]]</f>
        <v>0</v>
      </c>
      <c r="N181" s="36">
        <f>N180+Table11819[[#This Row],[اجمالي الفاتوره]]-Table11819[[#This Row],[الدفعات]]</f>
        <v>595534.24</v>
      </c>
      <c r="P181" s="49"/>
    </row>
    <row r="182" spans="3:16" ht="26.25" customHeight="1" x14ac:dyDescent="0.3">
      <c r="C182" s="37"/>
      <c r="L182" s="36">
        <f>Table11819[[#This Row],[النولون]]+Table11819[[#This Row],[الايصالات]]-Table11819[[#This Row],[خصم أ ت ص]]+Table11819[[#This Row],[قيمة مضافة]]</f>
        <v>0</v>
      </c>
      <c r="N182" s="36">
        <f>N181+Table11819[[#This Row],[اجمالي الفاتوره]]-Table11819[[#This Row],[الدفعات]]</f>
        <v>595534.24</v>
      </c>
      <c r="P182" s="49"/>
    </row>
    <row r="183" spans="3:16" ht="26.25" customHeight="1" x14ac:dyDescent="0.3">
      <c r="C183" s="37"/>
      <c r="L183" s="36">
        <f>Table11819[[#This Row],[النولون]]+Table11819[[#This Row],[الايصالات]]-Table11819[[#This Row],[خصم أ ت ص]]+Table11819[[#This Row],[قيمة مضافة]]</f>
        <v>0</v>
      </c>
      <c r="N183" s="36">
        <f>N182+Table11819[[#This Row],[اجمالي الفاتوره]]-Table11819[[#This Row],[الدفعات]]</f>
        <v>595534.24</v>
      </c>
      <c r="P183" s="49"/>
    </row>
    <row r="184" spans="3:16" ht="26.25" customHeight="1" x14ac:dyDescent="0.3">
      <c r="C184" s="37"/>
      <c r="L184" s="36">
        <f>Table11819[[#This Row],[النولون]]+Table11819[[#This Row],[الايصالات]]-Table11819[[#This Row],[خصم أ ت ص]]+Table11819[[#This Row],[قيمة مضافة]]</f>
        <v>0</v>
      </c>
      <c r="N184" s="36">
        <f>N183+Table11819[[#This Row],[اجمالي الفاتوره]]-Table11819[[#This Row],[الدفعات]]</f>
        <v>595534.24</v>
      </c>
      <c r="P184" s="49"/>
    </row>
    <row r="185" spans="3:16" ht="26.25" customHeight="1" x14ac:dyDescent="0.3">
      <c r="C185" s="37"/>
      <c r="L185" s="36">
        <f>Table11819[[#This Row],[النولون]]+Table11819[[#This Row],[الايصالات]]-Table11819[[#This Row],[خصم أ ت ص]]+Table11819[[#This Row],[قيمة مضافة]]</f>
        <v>0</v>
      </c>
      <c r="N185" s="36">
        <f>N184+Table11819[[#This Row],[اجمالي الفاتوره]]-Table11819[[#This Row],[الدفعات]]</f>
        <v>595534.24</v>
      </c>
      <c r="P185" s="49"/>
    </row>
    <row r="186" spans="3:16" ht="26.25" customHeight="1" x14ac:dyDescent="0.3">
      <c r="C186" s="37"/>
      <c r="L186" s="36">
        <f>Table11819[[#This Row],[النولون]]+Table11819[[#This Row],[الايصالات]]-Table11819[[#This Row],[خصم أ ت ص]]+Table11819[[#This Row],[قيمة مضافة]]</f>
        <v>0</v>
      </c>
      <c r="N186" s="36">
        <f>N185+Table11819[[#This Row],[اجمالي الفاتوره]]-Table11819[[#This Row],[الدفعات]]</f>
        <v>595534.24</v>
      </c>
      <c r="P186" s="49"/>
    </row>
    <row r="187" spans="3:16" ht="26.25" customHeight="1" x14ac:dyDescent="0.3">
      <c r="C187" s="37"/>
      <c r="L187" s="36">
        <f>Table11819[[#This Row],[النولون]]+Table11819[[#This Row],[الايصالات]]-Table11819[[#This Row],[خصم أ ت ص]]+Table11819[[#This Row],[قيمة مضافة]]</f>
        <v>0</v>
      </c>
      <c r="N187" s="36">
        <f>N186+Table11819[[#This Row],[اجمالي الفاتوره]]-Table11819[[#This Row],[الدفعات]]</f>
        <v>595534.24</v>
      </c>
      <c r="P187" s="49"/>
    </row>
    <row r="188" spans="3:16" ht="26.25" customHeight="1" x14ac:dyDescent="0.3">
      <c r="C188" s="37"/>
      <c r="L188" s="36">
        <f>Table11819[[#This Row],[النولون]]+Table11819[[#This Row],[الايصالات]]-Table11819[[#This Row],[خصم أ ت ص]]+Table11819[[#This Row],[قيمة مضافة]]</f>
        <v>0</v>
      </c>
      <c r="N188" s="36">
        <f>N187+Table11819[[#This Row],[اجمالي الفاتوره]]-Table11819[[#This Row],[الدفعات]]</f>
        <v>595534.24</v>
      </c>
      <c r="P188" s="49"/>
    </row>
    <row r="189" spans="3:16" ht="26.25" customHeight="1" x14ac:dyDescent="0.3">
      <c r="C189" s="37"/>
      <c r="L189" s="36">
        <f>Table11819[[#This Row],[النولون]]+Table11819[[#This Row],[الايصالات]]-Table11819[[#This Row],[خصم أ ت ص]]+Table11819[[#This Row],[قيمة مضافة]]</f>
        <v>0</v>
      </c>
      <c r="N189" s="36">
        <f>N188+Table11819[[#This Row],[اجمالي الفاتوره]]-Table11819[[#This Row],[الدفعات]]</f>
        <v>595534.24</v>
      </c>
      <c r="P189" s="49"/>
    </row>
    <row r="190" spans="3:16" ht="26.25" customHeight="1" x14ac:dyDescent="0.3">
      <c r="C190" s="37"/>
      <c r="L190" s="36">
        <f>Table11819[[#This Row],[النولون]]+Table11819[[#This Row],[الايصالات]]-Table11819[[#This Row],[خصم أ ت ص]]+Table11819[[#This Row],[قيمة مضافة]]</f>
        <v>0</v>
      </c>
      <c r="N190" s="36">
        <f>N189+Table11819[[#This Row],[اجمالي الفاتوره]]-Table11819[[#This Row],[الدفعات]]</f>
        <v>595534.24</v>
      </c>
      <c r="P190" s="49"/>
    </row>
    <row r="191" spans="3:16" ht="26.25" customHeight="1" x14ac:dyDescent="0.3">
      <c r="C191" s="37"/>
      <c r="L191" s="36">
        <f>Table11819[[#This Row],[النولون]]+Table11819[[#This Row],[الايصالات]]-Table11819[[#This Row],[خصم أ ت ص]]+Table11819[[#This Row],[قيمة مضافة]]</f>
        <v>0</v>
      </c>
      <c r="N191" s="36">
        <f>N190+Table11819[[#This Row],[اجمالي الفاتوره]]-Table11819[[#This Row],[الدفعات]]</f>
        <v>595534.24</v>
      </c>
      <c r="P191" s="49"/>
    </row>
    <row r="192" spans="3:16" ht="26.25" customHeight="1" x14ac:dyDescent="0.3">
      <c r="C192" s="37"/>
      <c r="L192" s="36">
        <f>Table11819[[#This Row],[النولون]]+Table11819[[#This Row],[الايصالات]]-Table11819[[#This Row],[خصم أ ت ص]]+Table11819[[#This Row],[قيمة مضافة]]</f>
        <v>0</v>
      </c>
      <c r="N192" s="36">
        <f>N191+Table11819[[#This Row],[اجمالي الفاتوره]]-Table11819[[#This Row],[الدفعات]]</f>
        <v>595534.24</v>
      </c>
      <c r="P192" s="49"/>
    </row>
    <row r="193" spans="3:16" ht="26.25" customHeight="1" x14ac:dyDescent="0.3">
      <c r="C193" s="37"/>
      <c r="L193" s="36">
        <f>Table11819[[#This Row],[النولون]]+Table11819[[#This Row],[الايصالات]]-Table11819[[#This Row],[خصم أ ت ص]]+Table11819[[#This Row],[قيمة مضافة]]</f>
        <v>0</v>
      </c>
      <c r="N193" s="36">
        <f>N192+Table11819[[#This Row],[اجمالي الفاتوره]]-Table11819[[#This Row],[الدفعات]]</f>
        <v>595534.24</v>
      </c>
      <c r="P193" s="49"/>
    </row>
    <row r="194" spans="3:16" ht="26.25" customHeight="1" x14ac:dyDescent="0.3">
      <c r="C194" s="37"/>
      <c r="L194" s="36">
        <f>Table11819[[#This Row],[النولون]]+Table11819[[#This Row],[الايصالات]]-Table11819[[#This Row],[خصم أ ت ص]]+Table11819[[#This Row],[قيمة مضافة]]</f>
        <v>0</v>
      </c>
      <c r="N194" s="36">
        <f>N193+Table11819[[#This Row],[اجمالي الفاتوره]]-Table11819[[#This Row],[الدفعات]]</f>
        <v>595534.24</v>
      </c>
      <c r="P194" s="49"/>
    </row>
    <row r="195" spans="3:16" ht="26.25" customHeight="1" x14ac:dyDescent="0.3">
      <c r="C195" s="37"/>
      <c r="L195" s="36">
        <f>Table11819[[#This Row],[النولون]]+Table11819[[#This Row],[الايصالات]]-Table11819[[#This Row],[خصم أ ت ص]]+Table11819[[#This Row],[قيمة مضافة]]</f>
        <v>0</v>
      </c>
      <c r="N195" s="36">
        <f>N194+Table11819[[#This Row],[اجمالي الفاتوره]]-Table11819[[#This Row],[الدفعات]]</f>
        <v>595534.24</v>
      </c>
      <c r="P195" s="49"/>
    </row>
    <row r="196" spans="3:16" ht="26.25" customHeight="1" x14ac:dyDescent="0.3">
      <c r="C196" s="37"/>
      <c r="L196" s="36">
        <f>Table11819[[#This Row],[النولون]]+Table11819[[#This Row],[الايصالات]]-Table11819[[#This Row],[خصم أ ت ص]]+Table11819[[#This Row],[قيمة مضافة]]</f>
        <v>0</v>
      </c>
      <c r="N196" s="36">
        <f>N195+Table11819[[#This Row],[اجمالي الفاتوره]]-Table11819[[#This Row],[الدفعات]]</f>
        <v>595534.24</v>
      </c>
      <c r="P196" s="49"/>
    </row>
    <row r="197" spans="3:16" ht="26.25" customHeight="1" x14ac:dyDescent="0.3">
      <c r="L197" s="36">
        <f>Table11819[[#This Row],[النولون]]+Table11819[[#This Row],[الايصالات]]-Table11819[[#This Row],[خصم أ ت ص]]+Table11819[[#This Row],[قيمة مضافة]]</f>
        <v>0</v>
      </c>
      <c r="N197" s="36">
        <f>N196+Table11819[[#This Row],[اجمالي الفاتوره]]-Table11819[[#This Row],[الدفعات]]</f>
        <v>595534.24</v>
      </c>
      <c r="P197" s="49"/>
    </row>
    <row r="198" spans="3:16" ht="26.25" customHeight="1" x14ac:dyDescent="0.3">
      <c r="C198" s="37"/>
      <c r="L198" s="36">
        <f>Table11819[[#This Row],[النولون]]+Table11819[[#This Row],[الايصالات]]-Table11819[[#This Row],[خصم أ ت ص]]+Table11819[[#This Row],[قيمة مضافة]]</f>
        <v>0</v>
      </c>
      <c r="N198" s="36">
        <f>N197+Table11819[[#This Row],[اجمالي الفاتوره]]-Table11819[[#This Row],[الدفعات]]</f>
        <v>595534.24</v>
      </c>
      <c r="P198" s="49"/>
    </row>
    <row r="199" spans="3:16" ht="26.25" customHeight="1" x14ac:dyDescent="0.3">
      <c r="C199" s="37"/>
      <c r="L199" s="36">
        <f>Table11819[[#This Row],[النولون]]+Table11819[[#This Row],[الايصالات]]-Table11819[[#This Row],[خصم أ ت ص]]+Table11819[[#This Row],[قيمة مضافة]]</f>
        <v>0</v>
      </c>
      <c r="N199" s="36">
        <f>N198+Table11819[[#This Row],[اجمالي الفاتوره]]-Table11819[[#This Row],[الدفعات]]</f>
        <v>595534.24</v>
      </c>
      <c r="P199" s="49"/>
    </row>
    <row r="200" spans="3:16" ht="26.25" customHeight="1" x14ac:dyDescent="0.3">
      <c r="C200" s="37"/>
      <c r="L200" s="36">
        <f>Table11819[[#This Row],[النولون]]+Table11819[[#This Row],[الايصالات]]-Table11819[[#This Row],[خصم أ ت ص]]+Table11819[[#This Row],[قيمة مضافة]]</f>
        <v>0</v>
      </c>
      <c r="N200" s="36">
        <f>N199+Table11819[[#This Row],[اجمالي الفاتوره]]-Table11819[[#This Row],[الدفعات]]</f>
        <v>595534.24</v>
      </c>
      <c r="P200" s="49"/>
    </row>
    <row r="201" spans="3:16" ht="26.25" customHeight="1" x14ac:dyDescent="0.3">
      <c r="C201" s="37"/>
      <c r="L201" s="36">
        <f>Table11819[[#This Row],[النولون]]+Table11819[[#This Row],[الايصالات]]-Table11819[[#This Row],[خصم أ ت ص]]+Table11819[[#This Row],[قيمة مضافة]]</f>
        <v>0</v>
      </c>
      <c r="N201" s="36">
        <f>N200+Table11819[[#This Row],[اجمالي الفاتوره]]-Table11819[[#This Row],[الدفعات]]</f>
        <v>595534.24</v>
      </c>
      <c r="P201" s="49"/>
    </row>
    <row r="202" spans="3:16" ht="26.25" customHeight="1" x14ac:dyDescent="0.3">
      <c r="C202" s="37"/>
      <c r="L202" s="36">
        <f>Table11819[[#This Row],[النولون]]+Table11819[[#This Row],[الايصالات]]-Table11819[[#This Row],[خصم أ ت ص]]+Table11819[[#This Row],[قيمة مضافة]]</f>
        <v>0</v>
      </c>
      <c r="N202" s="36">
        <f>N201+Table11819[[#This Row],[اجمالي الفاتوره]]-Table11819[[#This Row],[الدفعات]]</f>
        <v>595534.24</v>
      </c>
      <c r="P202" s="49"/>
    </row>
    <row r="203" spans="3:16" ht="26.25" customHeight="1" x14ac:dyDescent="0.3">
      <c r="C203" s="37"/>
      <c r="L203" s="36">
        <f>Table11819[[#This Row],[النولون]]+Table11819[[#This Row],[الايصالات]]-Table11819[[#This Row],[خصم أ ت ص]]+Table11819[[#This Row],[قيمة مضافة]]</f>
        <v>0</v>
      </c>
      <c r="N203" s="36">
        <f>N202+Table11819[[#This Row],[اجمالي الفاتوره]]-Table11819[[#This Row],[الدفعات]]</f>
        <v>595534.24</v>
      </c>
      <c r="P203" s="49"/>
    </row>
    <row r="204" spans="3:16" ht="26.25" customHeight="1" x14ac:dyDescent="0.3">
      <c r="C204" s="37"/>
      <c r="L204" s="36">
        <f>Table11819[[#This Row],[النولون]]+Table11819[[#This Row],[الايصالات]]-Table11819[[#This Row],[خصم أ ت ص]]+Table11819[[#This Row],[قيمة مضافة]]</f>
        <v>0</v>
      </c>
      <c r="N204" s="36">
        <f>N203+Table11819[[#This Row],[اجمالي الفاتوره]]-Table11819[[#This Row],[الدفعات]]</f>
        <v>595534.24</v>
      </c>
      <c r="P204" s="49"/>
    </row>
    <row r="205" spans="3:16" ht="26.25" customHeight="1" x14ac:dyDescent="0.3">
      <c r="C205" s="37"/>
      <c r="L205" s="36">
        <f>Table11819[[#This Row],[النولون]]+Table11819[[#This Row],[الايصالات]]-Table11819[[#This Row],[خصم أ ت ص]]+Table11819[[#This Row],[قيمة مضافة]]</f>
        <v>0</v>
      </c>
      <c r="N205" s="36">
        <f>N204+Table11819[[#This Row],[اجمالي الفاتوره]]-Table11819[[#This Row],[الدفعات]]</f>
        <v>595534.24</v>
      </c>
      <c r="P205" s="49"/>
    </row>
    <row r="206" spans="3:16" ht="26.25" customHeight="1" x14ac:dyDescent="0.3">
      <c r="C206" s="37"/>
      <c r="L206" s="36">
        <f>Table11819[[#This Row],[النولون]]+Table11819[[#This Row],[الايصالات]]-Table11819[[#This Row],[خصم أ ت ص]]+Table11819[[#This Row],[قيمة مضافة]]</f>
        <v>0</v>
      </c>
      <c r="N206" s="36">
        <f>N205+Table11819[[#This Row],[اجمالي الفاتوره]]-Table11819[[#This Row],[الدفعات]]</f>
        <v>595534.24</v>
      </c>
      <c r="P206" s="49"/>
    </row>
    <row r="207" spans="3:16" ht="26.25" customHeight="1" x14ac:dyDescent="0.3">
      <c r="C207" s="37"/>
      <c r="L207" s="36">
        <f>Table11819[[#This Row],[النولون]]+Table11819[[#This Row],[الايصالات]]-Table11819[[#This Row],[خصم أ ت ص]]+Table11819[[#This Row],[قيمة مضافة]]</f>
        <v>0</v>
      </c>
      <c r="N207" s="36">
        <f>N206+Table11819[[#This Row],[اجمالي الفاتوره]]-Table11819[[#This Row],[الدفعات]]</f>
        <v>595534.24</v>
      </c>
      <c r="P207" s="49"/>
    </row>
    <row r="208" spans="3:16" ht="26.25" customHeight="1" x14ac:dyDescent="0.3">
      <c r="C208" s="37"/>
      <c r="L208" s="36">
        <f>Table11819[[#This Row],[النولون]]+Table11819[[#This Row],[الايصالات]]-Table11819[[#This Row],[خصم أ ت ص]]+Table11819[[#This Row],[قيمة مضافة]]</f>
        <v>0</v>
      </c>
      <c r="N208" s="36">
        <f>N207+Table11819[[#This Row],[اجمالي الفاتوره]]-Table11819[[#This Row],[الدفعات]]</f>
        <v>595534.24</v>
      </c>
      <c r="P208" s="49"/>
    </row>
    <row r="209" spans="3:16" ht="26.25" customHeight="1" x14ac:dyDescent="0.3">
      <c r="C209" s="37"/>
      <c r="L209" s="36">
        <f>Table11819[[#This Row],[النولون]]+Table11819[[#This Row],[الايصالات]]-Table11819[[#This Row],[خصم أ ت ص]]+Table11819[[#This Row],[قيمة مضافة]]</f>
        <v>0</v>
      </c>
      <c r="N209" s="36">
        <f>N208+Table11819[[#This Row],[اجمالي الفاتوره]]-Table11819[[#This Row],[الدفعات]]</f>
        <v>595534.24</v>
      </c>
      <c r="P209" s="49"/>
    </row>
    <row r="210" spans="3:16" ht="26.25" customHeight="1" x14ac:dyDescent="0.3">
      <c r="C210" s="37"/>
      <c r="L210" s="36">
        <f>Table11819[[#This Row],[النولون]]+Table11819[[#This Row],[الايصالات]]-Table11819[[#This Row],[خصم أ ت ص]]+Table11819[[#This Row],[قيمة مضافة]]</f>
        <v>0</v>
      </c>
      <c r="N210" s="36">
        <f>N209+Table11819[[#This Row],[اجمالي الفاتوره]]-Table11819[[#This Row],[الدفعات]]</f>
        <v>595534.24</v>
      </c>
      <c r="P210" s="49"/>
    </row>
    <row r="211" spans="3:16" ht="26.25" customHeight="1" x14ac:dyDescent="0.3">
      <c r="C211" s="37"/>
      <c r="L211" s="36">
        <f>Table11819[[#This Row],[النولون]]+Table11819[[#This Row],[الايصالات]]-Table11819[[#This Row],[خصم أ ت ص]]+Table11819[[#This Row],[قيمة مضافة]]</f>
        <v>0</v>
      </c>
      <c r="N211" s="36">
        <f>N210+Table11819[[#This Row],[اجمالي الفاتوره]]-Table11819[[#This Row],[الدفعات]]</f>
        <v>595534.24</v>
      </c>
      <c r="P211" s="49"/>
    </row>
    <row r="212" spans="3:16" ht="26.25" customHeight="1" x14ac:dyDescent="0.3">
      <c r="C212" s="37"/>
      <c r="L212" s="36">
        <f>Table11819[[#This Row],[النولون]]+Table11819[[#This Row],[الايصالات]]-Table11819[[#This Row],[خصم أ ت ص]]+Table11819[[#This Row],[قيمة مضافة]]</f>
        <v>0</v>
      </c>
      <c r="N212" s="36">
        <f>N211+Table11819[[#This Row],[اجمالي الفاتوره]]-Table11819[[#This Row],[الدفعات]]</f>
        <v>595534.24</v>
      </c>
      <c r="P212" s="49"/>
    </row>
    <row r="213" spans="3:16" ht="26.25" customHeight="1" x14ac:dyDescent="0.3">
      <c r="C213" s="37"/>
      <c r="L213" s="36">
        <f>Table11819[[#This Row],[النولون]]+Table11819[[#This Row],[الايصالات]]-Table11819[[#This Row],[خصم أ ت ص]]+Table11819[[#This Row],[قيمة مضافة]]</f>
        <v>0</v>
      </c>
      <c r="N213" s="36">
        <f>N212+Table11819[[#This Row],[اجمالي الفاتوره]]-Table11819[[#This Row],[الدفعات]]</f>
        <v>595534.24</v>
      </c>
      <c r="P213" s="49"/>
    </row>
    <row r="214" spans="3:16" ht="26.25" customHeight="1" x14ac:dyDescent="0.3">
      <c r="C214" s="37"/>
      <c r="L214" s="36">
        <f>Table11819[[#This Row],[النولون]]+Table11819[[#This Row],[الايصالات]]-Table11819[[#This Row],[خصم أ ت ص]]+Table11819[[#This Row],[قيمة مضافة]]</f>
        <v>0</v>
      </c>
      <c r="N214" s="36">
        <f>N213+Table11819[[#This Row],[اجمالي الفاتوره]]-Table11819[[#This Row],[الدفعات]]</f>
        <v>595534.24</v>
      </c>
      <c r="P214" s="49"/>
    </row>
    <row r="215" spans="3:16" ht="26.25" customHeight="1" x14ac:dyDescent="0.3">
      <c r="C215" s="37"/>
      <c r="L215" s="36">
        <f>Table11819[[#This Row],[النولون]]+Table11819[[#This Row],[الايصالات]]-Table11819[[#This Row],[خصم أ ت ص]]+Table11819[[#This Row],[قيمة مضافة]]</f>
        <v>0</v>
      </c>
      <c r="N215" s="36">
        <f>N214+Table11819[[#This Row],[اجمالي الفاتوره]]-Table11819[[#This Row],[الدفعات]]</f>
        <v>595534.24</v>
      </c>
      <c r="P215" s="49"/>
    </row>
    <row r="216" spans="3:16" ht="26.25" customHeight="1" x14ac:dyDescent="0.3">
      <c r="C216" s="37"/>
      <c r="L216" s="36">
        <f>Table11819[[#This Row],[النولون]]+Table11819[[#This Row],[الايصالات]]-Table11819[[#This Row],[خصم أ ت ص]]+Table11819[[#This Row],[قيمة مضافة]]</f>
        <v>0</v>
      </c>
      <c r="N216" s="36">
        <f>N215+Table11819[[#This Row],[اجمالي الفاتوره]]-Table11819[[#This Row],[الدفعات]]</f>
        <v>595534.24</v>
      </c>
      <c r="P216" s="49"/>
    </row>
    <row r="217" spans="3:16" ht="26.25" customHeight="1" x14ac:dyDescent="0.3">
      <c r="C217" s="37"/>
      <c r="L217" s="36">
        <f>Table11819[[#This Row],[النولون]]+Table11819[[#This Row],[الايصالات]]-Table11819[[#This Row],[خصم أ ت ص]]+Table11819[[#This Row],[قيمة مضافة]]</f>
        <v>0</v>
      </c>
      <c r="N217" s="36">
        <f>N216+Table11819[[#This Row],[اجمالي الفاتوره]]-Table11819[[#This Row],[الدفعات]]</f>
        <v>595534.24</v>
      </c>
      <c r="P217" s="49"/>
    </row>
    <row r="218" spans="3:16" ht="26.25" customHeight="1" x14ac:dyDescent="0.3">
      <c r="C218" s="37"/>
      <c r="L218" s="36">
        <f>Table11819[[#This Row],[النولون]]+Table11819[[#This Row],[الايصالات]]-Table11819[[#This Row],[خصم أ ت ص]]+Table11819[[#This Row],[قيمة مضافة]]</f>
        <v>0</v>
      </c>
      <c r="N218" s="36">
        <f>N217+Table11819[[#This Row],[اجمالي الفاتوره]]-Table11819[[#This Row],[الدفعات]]</f>
        <v>595534.24</v>
      </c>
      <c r="P218" s="49"/>
    </row>
    <row r="219" spans="3:16" ht="26.25" customHeight="1" x14ac:dyDescent="0.3">
      <c r="C219" s="37"/>
      <c r="L219" s="36">
        <f>Table11819[[#This Row],[النولون]]+Table11819[[#This Row],[الايصالات]]-Table11819[[#This Row],[خصم أ ت ص]]+Table11819[[#This Row],[قيمة مضافة]]</f>
        <v>0</v>
      </c>
      <c r="N219" s="36">
        <f>N218+Table11819[[#This Row],[اجمالي الفاتوره]]-Table11819[[#This Row],[الدفعات]]</f>
        <v>595534.24</v>
      </c>
      <c r="P219" s="49"/>
    </row>
    <row r="220" spans="3:16" ht="26.25" customHeight="1" x14ac:dyDescent="0.3">
      <c r="L220" s="36">
        <f>Table11819[[#This Row],[النولون]]+Table11819[[#This Row],[الايصالات]]-Table11819[[#This Row],[خصم أ ت ص]]+Table11819[[#This Row],[قيمة مضافة]]</f>
        <v>0</v>
      </c>
      <c r="N220" s="36">
        <f>N219+Table11819[[#This Row],[اجمالي الفاتوره]]-Table11819[[#This Row],[الدفعات]]</f>
        <v>595534.24</v>
      </c>
      <c r="P220" s="49"/>
    </row>
    <row r="221" spans="3:16" ht="26.25" customHeight="1" x14ac:dyDescent="0.3">
      <c r="L221" s="36">
        <f>Table11819[[#This Row],[النولون]]+Table11819[[#This Row],[الايصالات]]-Table11819[[#This Row],[خصم أ ت ص]]+Table11819[[#This Row],[قيمة مضافة]]</f>
        <v>0</v>
      </c>
      <c r="N221" s="36">
        <f>N220+Table11819[[#This Row],[اجمالي الفاتوره]]-Table11819[[#This Row],[الدفعات]]</f>
        <v>595534.24</v>
      </c>
      <c r="P221" s="49"/>
    </row>
    <row r="222" spans="3:16" ht="26.25" customHeight="1" x14ac:dyDescent="0.3">
      <c r="L222" s="36">
        <f>Table11819[[#This Row],[النولون]]+Table11819[[#This Row],[الايصالات]]-Table11819[[#This Row],[خصم أ ت ص]]+Table11819[[#This Row],[قيمة مضافة]]</f>
        <v>0</v>
      </c>
      <c r="N222" s="36">
        <f>N221+Table11819[[#This Row],[اجمالي الفاتوره]]-Table11819[[#This Row],[الدفعات]]</f>
        <v>595534.24</v>
      </c>
      <c r="P222" s="49"/>
    </row>
    <row r="223" spans="3:16" ht="26.25" customHeight="1" x14ac:dyDescent="0.3">
      <c r="L223" s="36">
        <f>Table11819[[#This Row],[النولون]]+Table11819[[#This Row],[الايصالات]]-Table11819[[#This Row],[خصم أ ت ص]]+Table11819[[#This Row],[قيمة مضافة]]</f>
        <v>0</v>
      </c>
      <c r="N223" s="36">
        <f>N222+Table11819[[#This Row],[اجمالي الفاتوره]]-Table11819[[#This Row],[الدفعات]]</f>
        <v>595534.24</v>
      </c>
      <c r="P223" s="49"/>
    </row>
    <row r="224" spans="3:16" ht="26.25" customHeight="1" x14ac:dyDescent="0.3">
      <c r="L224" s="36">
        <f>Table11819[[#This Row],[النولون]]+Table11819[[#This Row],[الايصالات]]-Table11819[[#This Row],[خصم أ ت ص]]+Table11819[[#This Row],[قيمة مضافة]]</f>
        <v>0</v>
      </c>
      <c r="N224" s="36">
        <f>N223+Table11819[[#This Row],[اجمالي الفاتوره]]-Table11819[[#This Row],[الدفعات]]</f>
        <v>595534.24</v>
      </c>
      <c r="P224" s="49"/>
    </row>
    <row r="225" spans="12:16" ht="26.25" customHeight="1" x14ac:dyDescent="0.3">
      <c r="L225" s="36">
        <f>Table11819[[#This Row],[النولون]]+Table11819[[#This Row],[الايصالات]]-Table11819[[#This Row],[خصم أ ت ص]]+Table11819[[#This Row],[قيمة مضافة]]</f>
        <v>0</v>
      </c>
      <c r="N225" s="36">
        <f>N224+Table11819[[#This Row],[اجمالي الفاتوره]]-Table11819[[#This Row],[الدفعات]]</f>
        <v>595534.24</v>
      </c>
      <c r="P225" s="49"/>
    </row>
    <row r="226" spans="12:16" ht="26.25" customHeight="1" x14ac:dyDescent="0.3">
      <c r="L226" s="36">
        <f>Table11819[[#This Row],[النولون]]+Table11819[[#This Row],[الايصالات]]-Table11819[[#This Row],[خصم أ ت ص]]+Table11819[[#This Row],[قيمة مضافة]]</f>
        <v>0</v>
      </c>
      <c r="N226" s="36">
        <f>N225+Table11819[[#This Row],[اجمالي الفاتوره]]-Table11819[[#This Row],[الدفعات]]</f>
        <v>595534.24</v>
      </c>
      <c r="P226" s="49"/>
    </row>
    <row r="227" spans="12:16" ht="26.25" customHeight="1" x14ac:dyDescent="0.3">
      <c r="L227" s="36">
        <f>Table11819[[#This Row],[النولون]]+Table11819[[#This Row],[الايصالات]]-Table11819[[#This Row],[خصم أ ت ص]]+Table11819[[#This Row],[قيمة مضافة]]</f>
        <v>0</v>
      </c>
      <c r="N227" s="36">
        <f>N226+Table11819[[#This Row],[اجمالي الفاتوره]]-Table11819[[#This Row],[الدفعات]]</f>
        <v>595534.24</v>
      </c>
      <c r="P227" s="49"/>
    </row>
    <row r="228" spans="12:16" ht="26.25" customHeight="1" x14ac:dyDescent="0.3">
      <c r="L228" s="36">
        <f>Table11819[[#This Row],[النولون]]+Table11819[[#This Row],[الايصالات]]-Table11819[[#This Row],[خصم أ ت ص]]+Table11819[[#This Row],[قيمة مضافة]]</f>
        <v>0</v>
      </c>
      <c r="N228" s="36">
        <f>N227+Table11819[[#This Row],[اجمالي الفاتوره]]-Table11819[[#This Row],[الدفعات]]</f>
        <v>595534.24</v>
      </c>
      <c r="P228" s="49"/>
    </row>
    <row r="229" spans="12:16" ht="26.25" customHeight="1" x14ac:dyDescent="0.3">
      <c r="L229" s="36">
        <f>Table11819[[#This Row],[النولون]]+Table11819[[#This Row],[الايصالات]]-Table11819[[#This Row],[خصم أ ت ص]]+Table11819[[#This Row],[قيمة مضافة]]</f>
        <v>0</v>
      </c>
      <c r="N229" s="36">
        <f>N228+Table11819[[#This Row],[اجمالي الفاتوره]]-Table11819[[#This Row],[الدفعات]]</f>
        <v>595534.24</v>
      </c>
      <c r="P229" s="49"/>
    </row>
    <row r="230" spans="12:16" ht="26.25" customHeight="1" x14ac:dyDescent="0.3">
      <c r="L230" s="36">
        <f>Table11819[[#This Row],[النولون]]+Table11819[[#This Row],[الايصالات]]-Table11819[[#This Row],[خصم أ ت ص]]+Table11819[[#This Row],[قيمة مضافة]]</f>
        <v>0</v>
      </c>
      <c r="N230" s="36">
        <f>N229+Table11819[[#This Row],[اجمالي الفاتوره]]-Table11819[[#This Row],[الدفعات]]</f>
        <v>595534.24</v>
      </c>
      <c r="P230" s="49"/>
    </row>
    <row r="231" spans="12:16" ht="26.25" customHeight="1" x14ac:dyDescent="0.3">
      <c r="L231" s="36">
        <f>Table11819[[#This Row],[النولون]]+Table11819[[#This Row],[الايصالات]]-Table11819[[#This Row],[خصم أ ت ص]]+Table11819[[#This Row],[قيمة مضافة]]</f>
        <v>0</v>
      </c>
      <c r="N231" s="36">
        <f>N230+Table11819[[#This Row],[اجمالي الفاتوره]]-Table11819[[#This Row],[الدفعات]]</f>
        <v>595534.24</v>
      </c>
      <c r="P231" s="49"/>
    </row>
    <row r="232" spans="12:16" ht="26.25" customHeight="1" x14ac:dyDescent="0.3">
      <c r="L232" s="36">
        <f>Table11819[[#This Row],[النولون]]+Table11819[[#This Row],[الايصالات]]-Table11819[[#This Row],[خصم أ ت ص]]+Table11819[[#This Row],[قيمة مضافة]]</f>
        <v>0</v>
      </c>
      <c r="N232" s="36">
        <f>N231+Table11819[[#This Row],[اجمالي الفاتوره]]-Table11819[[#This Row],[الدفعات]]</f>
        <v>595534.24</v>
      </c>
      <c r="P232" s="49"/>
    </row>
    <row r="233" spans="12:16" ht="26.25" customHeight="1" x14ac:dyDescent="0.3">
      <c r="L233" s="36">
        <f>Table11819[[#This Row],[النولون]]+Table11819[[#This Row],[الايصالات]]-Table11819[[#This Row],[خصم أ ت ص]]+Table11819[[#This Row],[قيمة مضافة]]</f>
        <v>0</v>
      </c>
      <c r="N233" s="36">
        <f>N232+Table11819[[#This Row],[اجمالي الفاتوره]]-Table11819[[#This Row],[الدفعات]]</f>
        <v>595534.24</v>
      </c>
      <c r="P233" s="49"/>
    </row>
    <row r="234" spans="12:16" ht="26.25" customHeight="1" x14ac:dyDescent="0.3">
      <c r="L234" s="36">
        <f>Table11819[[#This Row],[النولون]]+Table11819[[#This Row],[الايصالات]]-Table11819[[#This Row],[خصم أ ت ص]]+Table11819[[#This Row],[قيمة مضافة]]</f>
        <v>0</v>
      </c>
      <c r="N234" s="36">
        <f>N233+Table11819[[#This Row],[اجمالي الفاتوره]]-Table11819[[#This Row],[الدفعات]]</f>
        <v>595534.24</v>
      </c>
      <c r="P234" s="49"/>
    </row>
    <row r="235" spans="12:16" ht="26.25" customHeight="1" x14ac:dyDescent="0.3">
      <c r="L235" s="36">
        <f>Table11819[[#This Row],[النولون]]+Table11819[[#This Row],[الايصالات]]-Table11819[[#This Row],[خصم أ ت ص]]+Table11819[[#This Row],[قيمة مضافة]]</f>
        <v>0</v>
      </c>
      <c r="N235" s="36">
        <f>N234+Table11819[[#This Row],[اجمالي الفاتوره]]-Table11819[[#This Row],[الدفعات]]</f>
        <v>595534.24</v>
      </c>
      <c r="P235" s="49"/>
    </row>
    <row r="236" spans="12:16" ht="26.25" customHeight="1" x14ac:dyDescent="0.3">
      <c r="L236" s="36">
        <f>Table11819[[#This Row],[النولون]]+Table11819[[#This Row],[الايصالات]]-Table11819[[#This Row],[خصم أ ت ص]]+Table11819[[#This Row],[قيمة مضافة]]</f>
        <v>0</v>
      </c>
      <c r="N236" s="36">
        <f>N235+Table11819[[#This Row],[اجمالي الفاتوره]]-Table11819[[#This Row],[الدفعات]]</f>
        <v>595534.24</v>
      </c>
      <c r="P236" s="49"/>
    </row>
    <row r="237" spans="12:16" ht="26.25" customHeight="1" x14ac:dyDescent="0.3">
      <c r="L237" s="36">
        <f>Table11819[[#This Row],[النولون]]+Table11819[[#This Row],[الايصالات]]-Table11819[[#This Row],[خصم أ ت ص]]+Table11819[[#This Row],[قيمة مضافة]]</f>
        <v>0</v>
      </c>
      <c r="N237" s="36">
        <f>N236+Table11819[[#This Row],[اجمالي الفاتوره]]-Table11819[[#This Row],[الدفعات]]</f>
        <v>595534.24</v>
      </c>
      <c r="P237" s="49"/>
    </row>
    <row r="238" spans="12:16" ht="26.25" customHeight="1" x14ac:dyDescent="0.3">
      <c r="L238" s="36">
        <f>Table11819[[#This Row],[النولون]]+Table11819[[#This Row],[الايصالات]]-Table11819[[#This Row],[خصم أ ت ص]]+Table11819[[#This Row],[قيمة مضافة]]</f>
        <v>0</v>
      </c>
      <c r="N238" s="36">
        <f>N237+Table11819[[#This Row],[اجمالي الفاتوره]]-Table11819[[#This Row],[الدفعات]]</f>
        <v>595534.24</v>
      </c>
      <c r="P238" s="49"/>
    </row>
    <row r="239" spans="12:16" ht="26.25" customHeight="1" x14ac:dyDescent="0.3">
      <c r="L239" s="36">
        <f>Table11819[[#This Row],[النولون]]+Table11819[[#This Row],[الايصالات]]-Table11819[[#This Row],[خصم أ ت ص]]+Table11819[[#This Row],[قيمة مضافة]]</f>
        <v>0</v>
      </c>
      <c r="N239" s="36">
        <f>N238+Table11819[[#This Row],[اجمالي الفاتوره]]-Table11819[[#This Row],[الدفعات]]</f>
        <v>595534.24</v>
      </c>
      <c r="P239" s="49"/>
    </row>
    <row r="240" spans="12:16" ht="26.25" customHeight="1" x14ac:dyDescent="0.3">
      <c r="L240" s="36">
        <f>Table11819[[#This Row],[النولون]]+Table11819[[#This Row],[الايصالات]]-Table11819[[#This Row],[خصم أ ت ص]]+Table11819[[#This Row],[قيمة مضافة]]</f>
        <v>0</v>
      </c>
      <c r="N240" s="36">
        <f>N239+Table11819[[#This Row],[اجمالي الفاتوره]]-Table11819[[#This Row],[الدفعات]]</f>
        <v>595534.24</v>
      </c>
      <c r="P240" s="49"/>
    </row>
    <row r="241" spans="12:16" ht="26.25" customHeight="1" x14ac:dyDescent="0.3">
      <c r="L241" s="36">
        <f>Table11819[[#This Row],[النولون]]+Table11819[[#This Row],[الايصالات]]-Table11819[[#This Row],[خصم أ ت ص]]+Table11819[[#This Row],[قيمة مضافة]]</f>
        <v>0</v>
      </c>
      <c r="N241" s="36">
        <f>N240+Table11819[[#This Row],[اجمالي الفاتوره]]-Table11819[[#This Row],[الدفعات]]</f>
        <v>595534.24</v>
      </c>
      <c r="P241" s="49"/>
    </row>
    <row r="242" spans="12:16" ht="26.25" customHeight="1" x14ac:dyDescent="0.3">
      <c r="L242" s="36">
        <f>Table11819[[#This Row],[النولون]]+Table11819[[#This Row],[الايصالات]]-Table11819[[#This Row],[خصم أ ت ص]]+Table11819[[#This Row],[قيمة مضافة]]</f>
        <v>0</v>
      </c>
      <c r="N242" s="36">
        <f>N241+Table11819[[#This Row],[اجمالي الفاتوره]]-Table11819[[#This Row],[الدفعات]]</f>
        <v>595534.24</v>
      </c>
      <c r="P242" s="49"/>
    </row>
    <row r="243" spans="12:16" ht="26.25" customHeight="1" x14ac:dyDescent="0.3">
      <c r="L243" s="36">
        <f>Table11819[[#This Row],[النولون]]+Table11819[[#This Row],[الايصالات]]-Table11819[[#This Row],[خصم أ ت ص]]+Table11819[[#This Row],[قيمة مضافة]]</f>
        <v>0</v>
      </c>
      <c r="N243" s="36">
        <f>N242+Table11819[[#This Row],[اجمالي الفاتوره]]-Table11819[[#This Row],[الدفعات]]</f>
        <v>595534.24</v>
      </c>
      <c r="P243" s="49"/>
    </row>
    <row r="244" spans="12:16" ht="26.25" customHeight="1" x14ac:dyDescent="0.3">
      <c r="L244" s="36">
        <f>Table11819[[#This Row],[النولون]]+Table11819[[#This Row],[الايصالات]]-Table11819[[#This Row],[خصم أ ت ص]]+Table11819[[#This Row],[قيمة مضافة]]</f>
        <v>0</v>
      </c>
      <c r="N244" s="36">
        <f>N243+Table11819[[#This Row],[اجمالي الفاتوره]]-Table11819[[#This Row],[الدفعات]]</f>
        <v>595534.24</v>
      </c>
      <c r="P244" s="49"/>
    </row>
    <row r="245" spans="12:16" ht="26.25" customHeight="1" x14ac:dyDescent="0.3">
      <c r="L245" s="36">
        <f>Table11819[[#This Row],[النولون]]+Table11819[[#This Row],[الايصالات]]-Table11819[[#This Row],[خصم أ ت ص]]+Table11819[[#This Row],[قيمة مضافة]]</f>
        <v>0</v>
      </c>
      <c r="N245" s="36">
        <f>N244+Table11819[[#This Row],[اجمالي الفاتوره]]-Table11819[[#This Row],[الدفعات]]</f>
        <v>595534.24</v>
      </c>
      <c r="P245" s="49"/>
    </row>
    <row r="246" spans="12:16" ht="26.25" customHeight="1" x14ac:dyDescent="0.3">
      <c r="L246" s="36">
        <f>Table11819[[#This Row],[النولون]]+Table11819[[#This Row],[الايصالات]]-Table11819[[#This Row],[خصم أ ت ص]]+Table11819[[#This Row],[قيمة مضافة]]</f>
        <v>0</v>
      </c>
      <c r="N246" s="36">
        <f>N245+Table11819[[#This Row],[اجمالي الفاتوره]]-Table11819[[#This Row],[الدفعات]]</f>
        <v>595534.24</v>
      </c>
      <c r="P246" s="49"/>
    </row>
    <row r="247" spans="12:16" ht="26.25" customHeight="1" x14ac:dyDescent="0.3">
      <c r="L247" s="36">
        <f>Table11819[[#This Row],[النولون]]+Table11819[[#This Row],[الايصالات]]-Table11819[[#This Row],[خصم أ ت ص]]+Table11819[[#This Row],[قيمة مضافة]]</f>
        <v>0</v>
      </c>
      <c r="N247" s="36">
        <f>N246+Table11819[[#This Row],[اجمالي الفاتوره]]-Table11819[[#This Row],[الدفعات]]</f>
        <v>595534.24</v>
      </c>
      <c r="P247" s="49"/>
    </row>
    <row r="248" spans="12:16" ht="26.25" customHeight="1" x14ac:dyDescent="0.3">
      <c r="L248" s="36">
        <f>Table11819[[#This Row],[النولون]]+Table11819[[#This Row],[الايصالات]]-Table11819[[#This Row],[خصم أ ت ص]]+Table11819[[#This Row],[قيمة مضافة]]</f>
        <v>0</v>
      </c>
      <c r="N248" s="36">
        <f>N247+Table11819[[#This Row],[اجمالي الفاتوره]]-Table11819[[#This Row],[الدفعات]]</f>
        <v>595534.24</v>
      </c>
      <c r="P248" s="49"/>
    </row>
    <row r="249" spans="12:16" ht="26.25" customHeight="1" x14ac:dyDescent="0.3">
      <c r="L249" s="36">
        <f>Table11819[[#This Row],[النولون]]+Table11819[[#This Row],[الايصالات]]-Table11819[[#This Row],[خصم أ ت ص]]+Table11819[[#This Row],[قيمة مضافة]]</f>
        <v>0</v>
      </c>
      <c r="N249" s="36">
        <f>N248+Table11819[[#This Row],[اجمالي الفاتوره]]-Table11819[[#This Row],[الدفعات]]</f>
        <v>595534.24</v>
      </c>
      <c r="P249" s="49"/>
    </row>
    <row r="250" spans="12:16" ht="26.25" customHeight="1" x14ac:dyDescent="0.3">
      <c r="L250" s="36">
        <f>Table11819[[#This Row],[النولون]]+Table11819[[#This Row],[الايصالات]]-Table11819[[#This Row],[خصم أ ت ص]]+Table11819[[#This Row],[قيمة مضافة]]</f>
        <v>0</v>
      </c>
      <c r="N250" s="36">
        <f>N249+Table11819[[#This Row],[اجمالي الفاتوره]]-Table11819[[#This Row],[الدفعات]]</f>
        <v>595534.24</v>
      </c>
      <c r="P250" s="49"/>
    </row>
    <row r="251" spans="12:16" ht="26.25" customHeight="1" x14ac:dyDescent="0.3">
      <c r="L251" s="36">
        <f>Table11819[[#This Row],[النولون]]+Table11819[[#This Row],[الايصالات]]-Table11819[[#This Row],[خصم أ ت ص]]+Table11819[[#This Row],[قيمة مضافة]]</f>
        <v>0</v>
      </c>
      <c r="N251" s="36">
        <f>N250+Table11819[[#This Row],[اجمالي الفاتوره]]-Table11819[[#This Row],[الدفعات]]</f>
        <v>595534.24</v>
      </c>
      <c r="P251" s="49"/>
    </row>
    <row r="252" spans="12:16" ht="26.25" customHeight="1" x14ac:dyDescent="0.3">
      <c r="L252" s="36">
        <f>Table11819[[#This Row],[النولون]]+Table11819[[#This Row],[الايصالات]]-Table11819[[#This Row],[خصم أ ت ص]]+Table11819[[#This Row],[قيمة مضافة]]</f>
        <v>0</v>
      </c>
      <c r="N252" s="36">
        <f>N251+Table11819[[#This Row],[اجمالي الفاتوره]]-Table11819[[#This Row],[الدفعات]]</f>
        <v>595534.24</v>
      </c>
      <c r="P252" s="49"/>
    </row>
    <row r="253" spans="12:16" ht="26.25" customHeight="1" x14ac:dyDescent="0.3">
      <c r="L253" s="36">
        <f>Table11819[[#This Row],[النولون]]+Table11819[[#This Row],[الايصالات]]-Table11819[[#This Row],[خصم أ ت ص]]+Table11819[[#This Row],[قيمة مضافة]]</f>
        <v>0</v>
      </c>
      <c r="N253" s="36">
        <f>N252+Table11819[[#This Row],[اجمالي الفاتوره]]-Table11819[[#This Row],[الدفعات]]</f>
        <v>595534.24</v>
      </c>
      <c r="P253" s="49"/>
    </row>
    <row r="254" spans="12:16" ht="26.25" customHeight="1" x14ac:dyDescent="0.3">
      <c r="L254" s="36">
        <f>Table11819[[#This Row],[النولون]]+Table11819[[#This Row],[الايصالات]]-Table11819[[#This Row],[خصم أ ت ص]]+Table11819[[#This Row],[قيمة مضافة]]</f>
        <v>0</v>
      </c>
      <c r="N254" s="36">
        <f>N253+Table11819[[#This Row],[اجمالي الفاتوره]]-Table11819[[#This Row],[الدفعات]]</f>
        <v>595534.24</v>
      </c>
      <c r="P254" s="49"/>
    </row>
    <row r="255" spans="12:16" ht="26.25" customHeight="1" x14ac:dyDescent="0.3">
      <c r="L255" s="36">
        <f>Table11819[[#This Row],[النولون]]+Table11819[[#This Row],[الايصالات]]-Table11819[[#This Row],[خصم أ ت ص]]+Table11819[[#This Row],[قيمة مضافة]]</f>
        <v>0</v>
      </c>
      <c r="N255" s="36">
        <f>N254+Table11819[[#This Row],[اجمالي الفاتوره]]-Table11819[[#This Row],[الدفعات]]</f>
        <v>595534.24</v>
      </c>
      <c r="P255" s="49"/>
    </row>
    <row r="256" spans="12:16" ht="26.25" customHeight="1" x14ac:dyDescent="0.3">
      <c r="L256" s="36">
        <f>Table11819[[#This Row],[النولون]]+Table11819[[#This Row],[الايصالات]]-Table11819[[#This Row],[خصم أ ت ص]]+Table11819[[#This Row],[قيمة مضافة]]</f>
        <v>0</v>
      </c>
      <c r="N256" s="36">
        <f>N255+Table11819[[#This Row],[اجمالي الفاتوره]]-Table11819[[#This Row],[الدفعات]]</f>
        <v>595534.24</v>
      </c>
      <c r="P256" s="49"/>
    </row>
    <row r="257" spans="12:16" ht="26.25" customHeight="1" x14ac:dyDescent="0.3">
      <c r="L257" s="36">
        <f>Table11819[[#This Row],[النولون]]+Table11819[[#This Row],[الايصالات]]-Table11819[[#This Row],[خصم أ ت ص]]+Table11819[[#This Row],[قيمة مضافة]]</f>
        <v>0</v>
      </c>
      <c r="N257" s="36">
        <f>N256+Table11819[[#This Row],[اجمالي الفاتوره]]-Table11819[[#This Row],[الدفعات]]</f>
        <v>595534.24</v>
      </c>
      <c r="P257" s="49"/>
    </row>
    <row r="258" spans="12:16" ht="26.25" customHeight="1" x14ac:dyDescent="0.3">
      <c r="L258" s="36">
        <f>Table11819[[#This Row],[النولون]]+Table11819[[#This Row],[الايصالات]]-Table11819[[#This Row],[خصم أ ت ص]]+Table11819[[#This Row],[قيمة مضافة]]</f>
        <v>0</v>
      </c>
      <c r="N258" s="36">
        <f>N257+Table11819[[#This Row],[اجمالي الفاتوره]]-Table11819[[#This Row],[الدفعات]]</f>
        <v>595534.24</v>
      </c>
      <c r="P258" s="49"/>
    </row>
    <row r="259" spans="12:16" ht="26.25" customHeight="1" x14ac:dyDescent="0.3">
      <c r="L259" s="36">
        <f>Table11819[[#This Row],[النولون]]+Table11819[[#This Row],[الايصالات]]-Table11819[[#This Row],[خصم أ ت ص]]+Table11819[[#This Row],[قيمة مضافة]]</f>
        <v>0</v>
      </c>
      <c r="N259" s="36">
        <f>N258+Table11819[[#This Row],[اجمالي الفاتوره]]-Table11819[[#This Row],[الدفعات]]</f>
        <v>595534.24</v>
      </c>
      <c r="P259" s="49"/>
    </row>
    <row r="260" spans="12:16" ht="26.25" customHeight="1" x14ac:dyDescent="0.3">
      <c r="L260" s="36">
        <f>Table11819[[#This Row],[النولون]]+Table11819[[#This Row],[الايصالات]]-Table11819[[#This Row],[خصم أ ت ص]]+Table11819[[#This Row],[قيمة مضافة]]</f>
        <v>0</v>
      </c>
      <c r="N260" s="36">
        <f>N259+Table11819[[#This Row],[اجمالي الفاتوره]]-Table11819[[#This Row],[الدفعات]]</f>
        <v>595534.24</v>
      </c>
      <c r="P260" s="49"/>
    </row>
    <row r="261" spans="12:16" ht="26.25" customHeight="1" x14ac:dyDescent="0.3">
      <c r="L261" s="36">
        <f>Table11819[[#This Row],[النولون]]+Table11819[[#This Row],[الايصالات]]-Table11819[[#This Row],[خصم أ ت ص]]+Table11819[[#This Row],[قيمة مضافة]]</f>
        <v>0</v>
      </c>
      <c r="N261" s="36">
        <f>N260+Table11819[[#This Row],[اجمالي الفاتوره]]-Table11819[[#This Row],[الدفعات]]</f>
        <v>595534.24</v>
      </c>
      <c r="P261" s="49"/>
    </row>
    <row r="262" spans="12:16" ht="26.25" customHeight="1" x14ac:dyDescent="0.3">
      <c r="L262" s="36">
        <f>Table11819[[#This Row],[النولون]]+Table11819[[#This Row],[الايصالات]]-Table11819[[#This Row],[خصم أ ت ص]]+Table11819[[#This Row],[قيمة مضافة]]</f>
        <v>0</v>
      </c>
      <c r="N262" s="36">
        <f>N261+Table11819[[#This Row],[اجمالي الفاتوره]]-Table11819[[#This Row],[الدفعات]]</f>
        <v>595534.24</v>
      </c>
      <c r="P262" s="49"/>
    </row>
    <row r="263" spans="12:16" ht="26.25" customHeight="1" x14ac:dyDescent="0.3">
      <c r="L263" s="36">
        <f>Table11819[[#This Row],[النولون]]+Table11819[[#This Row],[الايصالات]]-Table11819[[#This Row],[خصم أ ت ص]]+Table11819[[#This Row],[قيمة مضافة]]</f>
        <v>0</v>
      </c>
      <c r="N263" s="36">
        <f>N262+Table11819[[#This Row],[اجمالي الفاتوره]]-Table11819[[#This Row],[الدفعات]]</f>
        <v>595534.24</v>
      </c>
      <c r="P263" s="49"/>
    </row>
    <row r="264" spans="12:16" ht="26.25" customHeight="1" x14ac:dyDescent="0.3">
      <c r="L264" s="36">
        <f>Table11819[[#This Row],[النولون]]+Table11819[[#This Row],[الايصالات]]-Table11819[[#This Row],[خصم أ ت ص]]+Table11819[[#This Row],[قيمة مضافة]]</f>
        <v>0</v>
      </c>
      <c r="N264" s="36">
        <f>N263+Table11819[[#This Row],[اجمالي الفاتوره]]-Table11819[[#This Row],[الدفعات]]</f>
        <v>595534.24</v>
      </c>
      <c r="P264" s="49"/>
    </row>
    <row r="265" spans="12:16" ht="26.25" customHeight="1" x14ac:dyDescent="0.3">
      <c r="L265" s="36">
        <f>Table11819[[#This Row],[النولون]]+Table11819[[#This Row],[الايصالات]]-Table11819[[#This Row],[خصم أ ت ص]]+Table11819[[#This Row],[قيمة مضافة]]</f>
        <v>0</v>
      </c>
      <c r="N265" s="36">
        <f>N264+Table11819[[#This Row],[اجمالي الفاتوره]]-Table11819[[#This Row],[الدفعات]]</f>
        <v>595534.24</v>
      </c>
      <c r="P265" s="49"/>
    </row>
    <row r="266" spans="12:16" ht="26.25" customHeight="1" x14ac:dyDescent="0.3">
      <c r="L266" s="36">
        <f>Table11819[[#This Row],[النولون]]+Table11819[[#This Row],[الايصالات]]-Table11819[[#This Row],[خصم أ ت ص]]+Table11819[[#This Row],[قيمة مضافة]]</f>
        <v>0</v>
      </c>
      <c r="N266" s="36">
        <f>N265+Table11819[[#This Row],[اجمالي الفاتوره]]-Table11819[[#This Row],[الدفعات]]</f>
        <v>595534.24</v>
      </c>
      <c r="P266" s="49"/>
    </row>
    <row r="267" spans="12:16" ht="26.25" customHeight="1" x14ac:dyDescent="0.3">
      <c r="L267" s="36">
        <f>Table11819[[#This Row],[النولون]]+Table11819[[#This Row],[الايصالات]]-Table11819[[#This Row],[خصم أ ت ص]]+Table11819[[#This Row],[قيمة مضافة]]</f>
        <v>0</v>
      </c>
      <c r="N267" s="36">
        <f>N266+Table11819[[#This Row],[اجمالي الفاتوره]]-Table11819[[#This Row],[الدفعات]]</f>
        <v>595534.24</v>
      </c>
      <c r="P267" s="49"/>
    </row>
    <row r="268" spans="12:16" ht="26.25" customHeight="1" x14ac:dyDescent="0.3">
      <c r="L268" s="36">
        <f>Table11819[[#This Row],[النولون]]+Table11819[[#This Row],[الايصالات]]-Table11819[[#This Row],[خصم أ ت ص]]+Table11819[[#This Row],[قيمة مضافة]]</f>
        <v>0</v>
      </c>
      <c r="N268" s="36">
        <f>N267+Table11819[[#This Row],[اجمالي الفاتوره]]-Table11819[[#This Row],[الدفعات]]</f>
        <v>595534.24</v>
      </c>
      <c r="P268" s="49"/>
    </row>
    <row r="269" spans="12:16" ht="26.25" customHeight="1" x14ac:dyDescent="0.3">
      <c r="L269" s="36">
        <f>Table11819[[#This Row],[النولون]]+Table11819[[#This Row],[الايصالات]]-Table11819[[#This Row],[خصم أ ت ص]]+Table11819[[#This Row],[قيمة مضافة]]</f>
        <v>0</v>
      </c>
      <c r="N269" s="36">
        <f>N268+Table11819[[#This Row],[اجمالي الفاتوره]]-Table11819[[#This Row],[الدفعات]]</f>
        <v>595534.24</v>
      </c>
      <c r="P269" s="49"/>
    </row>
    <row r="270" spans="12:16" ht="26.25" customHeight="1" x14ac:dyDescent="0.3">
      <c r="L270" s="36">
        <f>Table11819[[#This Row],[النولون]]+Table11819[[#This Row],[الايصالات]]-Table11819[[#This Row],[خصم أ ت ص]]+Table11819[[#This Row],[قيمة مضافة]]</f>
        <v>0</v>
      </c>
      <c r="N270" s="36">
        <f>N269+Table11819[[#This Row],[اجمالي الفاتوره]]-Table11819[[#This Row],[الدفعات]]</f>
        <v>595534.24</v>
      </c>
      <c r="P270" s="49"/>
    </row>
    <row r="271" spans="12:16" ht="26.25" customHeight="1" x14ac:dyDescent="0.3">
      <c r="L271" s="36">
        <f>Table11819[[#This Row],[النولون]]+Table11819[[#This Row],[الايصالات]]-Table11819[[#This Row],[خصم أ ت ص]]+Table11819[[#This Row],[قيمة مضافة]]</f>
        <v>0</v>
      </c>
      <c r="N271" s="36">
        <f>N270+Table11819[[#This Row],[اجمالي الفاتوره]]-Table11819[[#This Row],[الدفعات]]</f>
        <v>595534.24</v>
      </c>
      <c r="P271" s="49"/>
    </row>
    <row r="272" spans="12:16" ht="26.25" customHeight="1" x14ac:dyDescent="0.3">
      <c r="L272" s="36">
        <f>Table11819[[#This Row],[النولون]]+Table11819[[#This Row],[الايصالات]]-Table11819[[#This Row],[خصم أ ت ص]]+Table11819[[#This Row],[قيمة مضافة]]</f>
        <v>0</v>
      </c>
      <c r="N272" s="36">
        <f>N271+Table11819[[#This Row],[اجمالي الفاتوره]]-Table11819[[#This Row],[الدفعات]]</f>
        <v>595534.24</v>
      </c>
      <c r="P272" s="49"/>
    </row>
    <row r="273" spans="12:16" ht="26.25" customHeight="1" x14ac:dyDescent="0.3">
      <c r="L273" s="36">
        <f>Table11819[[#This Row],[النولون]]+Table11819[[#This Row],[الايصالات]]-Table11819[[#This Row],[خصم أ ت ص]]+Table11819[[#This Row],[قيمة مضافة]]</f>
        <v>0</v>
      </c>
      <c r="N273" s="36">
        <f>N272+Table11819[[#This Row],[اجمالي الفاتوره]]-Table11819[[#This Row],[الدفعات]]</f>
        <v>595534.24</v>
      </c>
      <c r="P273" s="49"/>
    </row>
    <row r="274" spans="12:16" ht="26.25" customHeight="1" x14ac:dyDescent="0.3">
      <c r="L274" s="36">
        <f>Table11819[[#This Row],[النولون]]+Table11819[[#This Row],[الايصالات]]-Table11819[[#This Row],[خصم أ ت ص]]+Table11819[[#This Row],[قيمة مضافة]]</f>
        <v>0</v>
      </c>
      <c r="N274" s="36">
        <f>N273+Table11819[[#This Row],[اجمالي الفاتوره]]-Table11819[[#This Row],[الدفعات]]</f>
        <v>595534.24</v>
      </c>
      <c r="P274" s="49"/>
    </row>
    <row r="275" spans="12:16" ht="26.25" customHeight="1" x14ac:dyDescent="0.3">
      <c r="L275" s="36">
        <f>Table11819[[#This Row],[النولون]]+Table11819[[#This Row],[الايصالات]]-Table11819[[#This Row],[خصم أ ت ص]]+Table11819[[#This Row],[قيمة مضافة]]</f>
        <v>0</v>
      </c>
      <c r="N275" s="36">
        <f>N274+Table11819[[#This Row],[اجمالي الفاتوره]]-Table11819[[#This Row],[الدفعات]]</f>
        <v>595534.24</v>
      </c>
      <c r="P275" s="49"/>
    </row>
    <row r="276" spans="12:16" ht="26.25" customHeight="1" x14ac:dyDescent="0.3">
      <c r="L276" s="36">
        <f>Table11819[[#This Row],[النولون]]+Table11819[[#This Row],[الايصالات]]-Table11819[[#This Row],[خصم أ ت ص]]+Table11819[[#This Row],[قيمة مضافة]]</f>
        <v>0</v>
      </c>
      <c r="N276" s="36">
        <f>N275+Table11819[[#This Row],[اجمالي الفاتوره]]-Table11819[[#This Row],[الدفعات]]</f>
        <v>595534.24</v>
      </c>
      <c r="P276" s="49"/>
    </row>
    <row r="277" spans="12:16" ht="26.25" customHeight="1" x14ac:dyDescent="0.3">
      <c r="L277" s="36">
        <f>Table11819[[#This Row],[النولون]]+Table11819[[#This Row],[الايصالات]]-Table11819[[#This Row],[خصم أ ت ص]]+Table11819[[#This Row],[قيمة مضافة]]</f>
        <v>0</v>
      </c>
      <c r="N277" s="36">
        <f>N276+Table11819[[#This Row],[اجمالي الفاتوره]]-Table11819[[#This Row],[الدفعات]]</f>
        <v>595534.24</v>
      </c>
      <c r="P277" s="49"/>
    </row>
    <row r="278" spans="12:16" ht="26.25" customHeight="1" x14ac:dyDescent="0.3">
      <c r="L278" s="36">
        <f>Table11819[[#This Row],[النولون]]+Table11819[[#This Row],[الايصالات]]-Table11819[[#This Row],[خصم أ ت ص]]+Table11819[[#This Row],[قيمة مضافة]]</f>
        <v>0</v>
      </c>
      <c r="N278" s="36">
        <f>N277+Table11819[[#This Row],[اجمالي الفاتوره]]-Table11819[[#This Row],[الدفعات]]</f>
        <v>595534.24</v>
      </c>
      <c r="P278" s="49"/>
    </row>
    <row r="279" spans="12:16" ht="26.25" customHeight="1" x14ac:dyDescent="0.3">
      <c r="L279" s="36">
        <f>Table11819[[#This Row],[النولون]]+Table11819[[#This Row],[الايصالات]]-Table11819[[#This Row],[خصم أ ت ص]]+Table11819[[#This Row],[قيمة مضافة]]</f>
        <v>0</v>
      </c>
      <c r="N279" s="36">
        <f>N278+Table11819[[#This Row],[اجمالي الفاتوره]]-Table11819[[#This Row],[الدفعات]]</f>
        <v>595534.24</v>
      </c>
      <c r="P279" s="49"/>
    </row>
    <row r="280" spans="12:16" ht="26.25" customHeight="1" x14ac:dyDescent="0.3">
      <c r="L280" s="36">
        <f>Table11819[[#This Row],[النولون]]+Table11819[[#This Row],[الايصالات]]-Table11819[[#This Row],[خصم أ ت ص]]+Table11819[[#This Row],[قيمة مضافة]]</f>
        <v>0</v>
      </c>
      <c r="N280" s="36">
        <f>N279+Table11819[[#This Row],[اجمالي الفاتوره]]-Table11819[[#This Row],[الدفعات]]</f>
        <v>595534.24</v>
      </c>
      <c r="P280" s="49"/>
    </row>
    <row r="281" spans="12:16" ht="26.25" customHeight="1" x14ac:dyDescent="0.3">
      <c r="L281" s="36">
        <f>Table11819[[#This Row],[النولون]]+Table11819[[#This Row],[الايصالات]]-Table11819[[#This Row],[خصم أ ت ص]]+Table11819[[#This Row],[قيمة مضافة]]</f>
        <v>0</v>
      </c>
      <c r="N281" s="36">
        <f>N280+Table11819[[#This Row],[اجمالي الفاتوره]]-Table11819[[#This Row],[الدفعات]]</f>
        <v>595534.24</v>
      </c>
      <c r="P281" s="49"/>
    </row>
    <row r="282" spans="12:16" ht="26.25" customHeight="1" x14ac:dyDescent="0.3">
      <c r="L282" s="36">
        <f>Table11819[[#This Row],[النولون]]+Table11819[[#This Row],[الايصالات]]-Table11819[[#This Row],[خصم أ ت ص]]+Table11819[[#This Row],[قيمة مضافة]]</f>
        <v>0</v>
      </c>
      <c r="N282" s="36">
        <f>N281+Table11819[[#This Row],[اجمالي الفاتوره]]-Table11819[[#This Row],[الدفعات]]</f>
        <v>595534.24</v>
      </c>
      <c r="P282" s="49"/>
    </row>
    <row r="283" spans="12:16" ht="26.25" customHeight="1" x14ac:dyDescent="0.3">
      <c r="L283" s="36">
        <f>Table11819[[#This Row],[النولون]]+Table11819[[#This Row],[الايصالات]]-Table11819[[#This Row],[خصم أ ت ص]]+Table11819[[#This Row],[قيمة مضافة]]</f>
        <v>0</v>
      </c>
      <c r="N283" s="36">
        <f>N282+Table11819[[#This Row],[اجمالي الفاتوره]]-Table11819[[#This Row],[الدفعات]]</f>
        <v>595534.24</v>
      </c>
      <c r="P283" s="49"/>
    </row>
    <row r="284" spans="12:16" ht="26.25" customHeight="1" x14ac:dyDescent="0.3">
      <c r="L284" s="36">
        <f>Table11819[[#This Row],[النولون]]+Table11819[[#This Row],[الايصالات]]-Table11819[[#This Row],[خصم أ ت ص]]+Table11819[[#This Row],[قيمة مضافة]]</f>
        <v>0</v>
      </c>
      <c r="N284" s="36">
        <f>N283+Table11819[[#This Row],[اجمالي الفاتوره]]-Table11819[[#This Row],[الدفعات]]</f>
        <v>595534.24</v>
      </c>
      <c r="P284" s="49"/>
    </row>
    <row r="285" spans="12:16" ht="26.25" customHeight="1" x14ac:dyDescent="0.3">
      <c r="L285" s="36">
        <f>Table11819[[#This Row],[النولون]]+Table11819[[#This Row],[الايصالات]]-Table11819[[#This Row],[خصم أ ت ص]]+Table11819[[#This Row],[قيمة مضافة]]</f>
        <v>0</v>
      </c>
      <c r="N285" s="36">
        <f>N284+Table11819[[#This Row],[اجمالي الفاتوره]]-Table11819[[#This Row],[الدفعات]]</f>
        <v>595534.24</v>
      </c>
      <c r="P285" s="49"/>
    </row>
    <row r="286" spans="12:16" ht="26.25" customHeight="1" x14ac:dyDescent="0.3">
      <c r="L286" s="36">
        <f>Table11819[[#This Row],[النولون]]+Table11819[[#This Row],[الايصالات]]-Table11819[[#This Row],[خصم أ ت ص]]+Table11819[[#This Row],[قيمة مضافة]]</f>
        <v>0</v>
      </c>
      <c r="N286" s="36">
        <f>N285+Table11819[[#This Row],[اجمالي الفاتوره]]-Table11819[[#This Row],[الدفعات]]</f>
        <v>595534.24</v>
      </c>
      <c r="P286" s="49"/>
    </row>
    <row r="287" spans="12:16" ht="26.25" customHeight="1" x14ac:dyDescent="0.3">
      <c r="L287" s="36">
        <f>Table11819[[#This Row],[النولون]]+Table11819[[#This Row],[الايصالات]]-Table11819[[#This Row],[خصم أ ت ص]]+Table11819[[#This Row],[قيمة مضافة]]</f>
        <v>0</v>
      </c>
      <c r="N287" s="36">
        <f>N286+Table11819[[#This Row],[اجمالي الفاتوره]]-Table11819[[#This Row],[الدفعات]]</f>
        <v>595534.24</v>
      </c>
      <c r="P287" s="49"/>
    </row>
    <row r="288" spans="12:16" ht="26.25" customHeight="1" x14ac:dyDescent="0.3">
      <c r="L288" s="36">
        <f>Table11819[[#This Row],[النولون]]+Table11819[[#This Row],[الايصالات]]-Table11819[[#This Row],[خصم أ ت ص]]+Table11819[[#This Row],[قيمة مضافة]]</f>
        <v>0</v>
      </c>
      <c r="N288" s="36">
        <f>N287+Table11819[[#This Row],[اجمالي الفاتوره]]-Table11819[[#This Row],[الدفعات]]</f>
        <v>595534.24</v>
      </c>
      <c r="P288" s="49"/>
    </row>
    <row r="289" spans="12:16" ht="26.25" customHeight="1" x14ac:dyDescent="0.3">
      <c r="L289" s="36">
        <f>Table11819[[#This Row],[النولون]]+Table11819[[#This Row],[الايصالات]]-Table11819[[#This Row],[خصم أ ت ص]]+Table11819[[#This Row],[قيمة مضافة]]</f>
        <v>0</v>
      </c>
      <c r="N289" s="36">
        <f>N288+Table11819[[#This Row],[اجمالي الفاتوره]]-Table11819[[#This Row],[الدفعات]]</f>
        <v>595534.24</v>
      </c>
      <c r="P289" s="49"/>
    </row>
    <row r="290" spans="12:16" ht="26.25" customHeight="1" x14ac:dyDescent="0.3">
      <c r="L290" s="36">
        <f>Table11819[[#This Row],[النولون]]+Table11819[[#This Row],[الايصالات]]-Table11819[[#This Row],[خصم أ ت ص]]+Table11819[[#This Row],[قيمة مضافة]]</f>
        <v>0</v>
      </c>
      <c r="N290" s="36">
        <f>N289+Table11819[[#This Row],[اجمالي الفاتوره]]-Table11819[[#This Row],[الدفعات]]</f>
        <v>595534.24</v>
      </c>
      <c r="P290" s="49"/>
    </row>
    <row r="291" spans="12:16" ht="26.25" customHeight="1" x14ac:dyDescent="0.3">
      <c r="L291" s="36">
        <f>Table11819[[#This Row],[النولون]]+Table11819[[#This Row],[الايصالات]]-Table11819[[#This Row],[خصم أ ت ص]]+Table11819[[#This Row],[قيمة مضافة]]</f>
        <v>0</v>
      </c>
      <c r="N291" s="36">
        <f>N290+Table11819[[#This Row],[اجمالي الفاتوره]]-Table11819[[#This Row],[الدفعات]]</f>
        <v>595534.24</v>
      </c>
      <c r="P291" s="49"/>
    </row>
    <row r="292" spans="12:16" ht="26.25" customHeight="1" x14ac:dyDescent="0.3">
      <c r="L292" s="36">
        <f>Table11819[[#This Row],[النولون]]+Table11819[[#This Row],[الايصالات]]-Table11819[[#This Row],[خصم أ ت ص]]+Table11819[[#This Row],[قيمة مضافة]]</f>
        <v>0</v>
      </c>
      <c r="N292" s="36">
        <f>N291+Table11819[[#This Row],[اجمالي الفاتوره]]-Table11819[[#This Row],[الدفعات]]</f>
        <v>595534.24</v>
      </c>
      <c r="P292" s="49"/>
    </row>
    <row r="293" spans="12:16" ht="26.25" customHeight="1" x14ac:dyDescent="0.3">
      <c r="L293" s="36">
        <f>Table11819[[#This Row],[النولون]]+Table11819[[#This Row],[الايصالات]]-Table11819[[#This Row],[خصم أ ت ص]]+Table11819[[#This Row],[قيمة مضافة]]</f>
        <v>0</v>
      </c>
      <c r="N293" s="36">
        <f>N292+Table11819[[#This Row],[اجمالي الفاتوره]]-Table11819[[#This Row],[الدفعات]]</f>
        <v>595534.24</v>
      </c>
      <c r="P293" s="49"/>
    </row>
    <row r="294" spans="12:16" ht="26.25" customHeight="1" x14ac:dyDescent="0.3">
      <c r="L294" s="36">
        <f>Table11819[[#This Row],[النولون]]+Table11819[[#This Row],[الايصالات]]-Table11819[[#This Row],[خصم أ ت ص]]+Table11819[[#This Row],[قيمة مضافة]]</f>
        <v>0</v>
      </c>
      <c r="N294" s="36">
        <f>N293+Table11819[[#This Row],[اجمالي الفاتوره]]-Table11819[[#This Row],[الدفعات]]</f>
        <v>595534.24</v>
      </c>
      <c r="P294" s="49"/>
    </row>
    <row r="295" spans="12:16" ht="26.25" customHeight="1" x14ac:dyDescent="0.3">
      <c r="L295" s="36">
        <f>Table11819[[#This Row],[النولون]]+Table11819[[#This Row],[الايصالات]]-Table11819[[#This Row],[خصم أ ت ص]]+Table11819[[#This Row],[قيمة مضافة]]</f>
        <v>0</v>
      </c>
      <c r="N295" s="36">
        <f>N294+Table11819[[#This Row],[اجمالي الفاتوره]]-Table11819[[#This Row],[الدفعات]]</f>
        <v>595534.24</v>
      </c>
      <c r="P295" s="49"/>
    </row>
    <row r="296" spans="12:16" ht="26.25" customHeight="1" x14ac:dyDescent="0.3">
      <c r="L296" s="36">
        <f>Table11819[[#This Row],[النولون]]+Table11819[[#This Row],[الايصالات]]-Table11819[[#This Row],[خصم أ ت ص]]+Table11819[[#This Row],[قيمة مضافة]]</f>
        <v>0</v>
      </c>
      <c r="N296" s="36">
        <f>N295+Table11819[[#This Row],[اجمالي الفاتوره]]-Table11819[[#This Row],[الدفعات]]</f>
        <v>595534.24</v>
      </c>
      <c r="P296" s="49"/>
    </row>
    <row r="297" spans="12:16" ht="26.25" customHeight="1" x14ac:dyDescent="0.3">
      <c r="L297" s="36">
        <f>Table11819[[#This Row],[النولون]]+Table11819[[#This Row],[الايصالات]]-Table11819[[#This Row],[خصم أ ت ص]]+Table11819[[#This Row],[قيمة مضافة]]</f>
        <v>0</v>
      </c>
      <c r="N297" s="36">
        <f>N296+Table11819[[#This Row],[اجمالي الفاتوره]]-Table11819[[#This Row],[الدفعات]]</f>
        <v>595534.24</v>
      </c>
      <c r="P297" s="49"/>
    </row>
    <row r="298" spans="12:16" ht="26.25" customHeight="1" x14ac:dyDescent="0.3">
      <c r="L298" s="36">
        <f>Table11819[[#This Row],[النولون]]+Table11819[[#This Row],[الايصالات]]-Table11819[[#This Row],[خصم أ ت ص]]+Table11819[[#This Row],[قيمة مضافة]]</f>
        <v>0</v>
      </c>
      <c r="N298" s="36">
        <f>N297+Table11819[[#This Row],[اجمالي الفاتوره]]-Table11819[[#This Row],[الدفعات]]</f>
        <v>595534.24</v>
      </c>
      <c r="P298" s="49"/>
    </row>
    <row r="299" spans="12:16" ht="26.25" customHeight="1" x14ac:dyDescent="0.3">
      <c r="L299" s="36">
        <f>Table11819[[#This Row],[النولون]]+Table11819[[#This Row],[الايصالات]]-Table11819[[#This Row],[خصم أ ت ص]]+Table11819[[#This Row],[قيمة مضافة]]</f>
        <v>0</v>
      </c>
      <c r="N299" s="36">
        <f>N298+Table11819[[#This Row],[اجمالي الفاتوره]]-Table11819[[#This Row],[الدفعات]]</f>
        <v>595534.24</v>
      </c>
      <c r="P299" s="49"/>
    </row>
    <row r="300" spans="12:16" ht="26.25" customHeight="1" x14ac:dyDescent="0.3">
      <c r="L300" s="36">
        <f>Table11819[[#This Row],[النولون]]+Table11819[[#This Row],[الايصالات]]-Table11819[[#This Row],[خصم أ ت ص]]+Table11819[[#This Row],[قيمة مضافة]]</f>
        <v>0</v>
      </c>
      <c r="N300" s="36">
        <f>N299+Table11819[[#This Row],[اجمالي الفاتوره]]-Table11819[[#This Row],[الدفعات]]</f>
        <v>595534.24</v>
      </c>
      <c r="P300" s="49"/>
    </row>
    <row r="301" spans="12:16" ht="26.25" customHeight="1" x14ac:dyDescent="0.3">
      <c r="L301" s="36">
        <f>Table11819[[#This Row],[النولون]]+Table11819[[#This Row],[الايصالات]]-Table11819[[#This Row],[خصم أ ت ص]]+Table11819[[#This Row],[قيمة مضافة]]</f>
        <v>0</v>
      </c>
      <c r="N301" s="36">
        <f>N300+Table11819[[#This Row],[اجمالي الفاتوره]]-Table11819[[#This Row],[الدفعات]]</f>
        <v>595534.24</v>
      </c>
      <c r="P301" s="49"/>
    </row>
    <row r="302" spans="12:16" ht="26.25" customHeight="1" x14ac:dyDescent="0.3">
      <c r="L302" s="36">
        <f>Table11819[[#This Row],[النولون]]+Table11819[[#This Row],[الايصالات]]-Table11819[[#This Row],[خصم أ ت ص]]+Table11819[[#This Row],[قيمة مضافة]]</f>
        <v>0</v>
      </c>
      <c r="N302" s="36">
        <f>N301+Table11819[[#This Row],[اجمالي الفاتوره]]-Table11819[[#This Row],[الدفعات]]</f>
        <v>595534.24</v>
      </c>
      <c r="P302" s="49"/>
    </row>
    <row r="303" spans="12:16" ht="26.25" customHeight="1" x14ac:dyDescent="0.3">
      <c r="L303" s="36">
        <f>Table11819[[#This Row],[النولون]]+Table11819[[#This Row],[الايصالات]]-Table11819[[#This Row],[خصم أ ت ص]]+Table11819[[#This Row],[قيمة مضافة]]</f>
        <v>0</v>
      </c>
      <c r="N303" s="36">
        <f>N302+Table11819[[#This Row],[اجمالي الفاتوره]]-Table11819[[#This Row],[الدفعات]]</f>
        <v>595534.24</v>
      </c>
      <c r="P303" s="49"/>
    </row>
    <row r="304" spans="12:16" ht="26.25" customHeight="1" x14ac:dyDescent="0.3">
      <c r="L304" s="36">
        <f>Table11819[[#This Row],[النولون]]+Table11819[[#This Row],[الايصالات]]-Table11819[[#This Row],[خصم أ ت ص]]+Table11819[[#This Row],[قيمة مضافة]]</f>
        <v>0</v>
      </c>
      <c r="N304" s="36">
        <f>N303+Table11819[[#This Row],[اجمالي الفاتوره]]-Table11819[[#This Row],[الدفعات]]</f>
        <v>595534.24</v>
      </c>
      <c r="P304" s="49"/>
    </row>
    <row r="305" spans="12:16" ht="26.25" customHeight="1" x14ac:dyDescent="0.3">
      <c r="L305" s="36">
        <f>Table11819[[#This Row],[النولون]]+Table11819[[#This Row],[الايصالات]]-Table11819[[#This Row],[خصم أ ت ص]]+Table11819[[#This Row],[قيمة مضافة]]</f>
        <v>0</v>
      </c>
      <c r="N305" s="36">
        <f>N304+Table11819[[#This Row],[اجمالي الفاتوره]]-Table11819[[#This Row],[الدفعات]]</f>
        <v>595534.24</v>
      </c>
      <c r="P305" s="49"/>
    </row>
    <row r="306" spans="12:16" ht="26.25" customHeight="1" x14ac:dyDescent="0.3">
      <c r="L306" s="36">
        <f>Table11819[[#This Row],[النولون]]+Table11819[[#This Row],[الايصالات]]-Table11819[[#This Row],[خصم أ ت ص]]+Table11819[[#This Row],[قيمة مضافة]]</f>
        <v>0</v>
      </c>
      <c r="N306" s="36">
        <f>N305+Table11819[[#This Row],[اجمالي الفاتوره]]-Table11819[[#This Row],[الدفعات]]</f>
        <v>595534.24</v>
      </c>
      <c r="P306" s="49"/>
    </row>
    <row r="307" spans="12:16" ht="26.25" customHeight="1" x14ac:dyDescent="0.3">
      <c r="L307" s="36">
        <f>Table11819[[#This Row],[النولون]]+Table11819[[#This Row],[الايصالات]]-Table11819[[#This Row],[خصم أ ت ص]]+Table11819[[#This Row],[قيمة مضافة]]</f>
        <v>0</v>
      </c>
      <c r="N307" s="36">
        <f>N306+Table11819[[#This Row],[اجمالي الفاتوره]]-Table11819[[#This Row],[الدفعات]]</f>
        <v>595534.24</v>
      </c>
      <c r="P307" s="49"/>
    </row>
    <row r="308" spans="12:16" ht="26.25" customHeight="1" x14ac:dyDescent="0.3">
      <c r="L308" s="36">
        <f>Table11819[[#This Row],[النولون]]+Table11819[[#This Row],[الايصالات]]-Table11819[[#This Row],[خصم أ ت ص]]+Table11819[[#This Row],[قيمة مضافة]]</f>
        <v>0</v>
      </c>
      <c r="N308" s="36">
        <f>N307+Table11819[[#This Row],[اجمالي الفاتوره]]-Table11819[[#This Row],[الدفعات]]</f>
        <v>595534.24</v>
      </c>
      <c r="P308" s="49"/>
    </row>
    <row r="309" spans="12:16" ht="26.25" customHeight="1" x14ac:dyDescent="0.3">
      <c r="L309" s="36">
        <f>Table11819[[#This Row],[النولون]]+Table11819[[#This Row],[الايصالات]]-Table11819[[#This Row],[خصم أ ت ص]]+Table11819[[#This Row],[قيمة مضافة]]</f>
        <v>0</v>
      </c>
      <c r="N309" s="36">
        <f>N308+Table11819[[#This Row],[اجمالي الفاتوره]]-Table11819[[#This Row],[الدفعات]]</f>
        <v>595534.24</v>
      </c>
      <c r="P309" s="49"/>
    </row>
    <row r="310" spans="12:16" ht="26.25" customHeight="1" x14ac:dyDescent="0.3">
      <c r="L310" s="36">
        <f>Table11819[[#This Row],[النولون]]+Table11819[[#This Row],[الايصالات]]-Table11819[[#This Row],[خصم أ ت ص]]+Table11819[[#This Row],[قيمة مضافة]]</f>
        <v>0</v>
      </c>
      <c r="N310" s="36">
        <f>N309+Table11819[[#This Row],[اجمالي الفاتوره]]-Table11819[[#This Row],[الدفعات]]</f>
        <v>595534.24</v>
      </c>
      <c r="P310" s="49"/>
    </row>
    <row r="311" spans="12:16" ht="26.25" customHeight="1" x14ac:dyDescent="0.3">
      <c r="L311" s="36">
        <f>Table11819[[#This Row],[النولون]]+Table11819[[#This Row],[الايصالات]]-Table11819[[#This Row],[خصم أ ت ص]]+Table11819[[#This Row],[قيمة مضافة]]</f>
        <v>0</v>
      </c>
      <c r="N311" s="36">
        <f>N310+Table11819[[#This Row],[اجمالي الفاتوره]]-Table11819[[#This Row],[الدفعات]]</f>
        <v>595534.24</v>
      </c>
      <c r="P311" s="49"/>
    </row>
    <row r="312" spans="12:16" ht="26.25" customHeight="1" x14ac:dyDescent="0.3">
      <c r="L312" s="36">
        <f>Table11819[[#This Row],[النولون]]+Table11819[[#This Row],[الايصالات]]-Table11819[[#This Row],[خصم أ ت ص]]+Table11819[[#This Row],[قيمة مضافة]]</f>
        <v>0</v>
      </c>
      <c r="N312" s="36">
        <f>N311+Table11819[[#This Row],[اجمالي الفاتوره]]-Table11819[[#This Row],[الدفعات]]</f>
        <v>595534.24</v>
      </c>
      <c r="P312" s="49"/>
    </row>
    <row r="313" spans="12:16" ht="26.25" customHeight="1" x14ac:dyDescent="0.3">
      <c r="L313" s="36">
        <f>Table11819[[#This Row],[النولون]]+Table11819[[#This Row],[الايصالات]]-Table11819[[#This Row],[خصم أ ت ص]]+Table11819[[#This Row],[قيمة مضافة]]</f>
        <v>0</v>
      </c>
      <c r="N313" s="36">
        <f>N312+Table11819[[#This Row],[اجمالي الفاتوره]]-Table11819[[#This Row],[الدفعات]]</f>
        <v>595534.24</v>
      </c>
      <c r="P313" s="49"/>
    </row>
    <row r="314" spans="12:16" ht="26.25" customHeight="1" x14ac:dyDescent="0.3">
      <c r="L314" s="36">
        <f>Table11819[[#This Row],[النولون]]+Table11819[[#This Row],[الايصالات]]-Table11819[[#This Row],[خصم أ ت ص]]+Table11819[[#This Row],[قيمة مضافة]]</f>
        <v>0</v>
      </c>
      <c r="N314" s="36">
        <f>N313+Table11819[[#This Row],[اجمالي الفاتوره]]-Table11819[[#This Row],[الدفعات]]</f>
        <v>595534.24</v>
      </c>
      <c r="P314" s="49"/>
    </row>
    <row r="315" spans="12:16" ht="26.25" customHeight="1" x14ac:dyDescent="0.3">
      <c r="L315" s="36">
        <f>Table11819[[#This Row],[النولون]]+Table11819[[#This Row],[الايصالات]]-Table11819[[#This Row],[خصم أ ت ص]]+Table11819[[#This Row],[قيمة مضافة]]</f>
        <v>0</v>
      </c>
      <c r="N315" s="36">
        <f>N314+Table11819[[#This Row],[اجمالي الفاتوره]]-Table11819[[#This Row],[الدفعات]]</f>
        <v>595534.24</v>
      </c>
      <c r="P315" s="49"/>
    </row>
    <row r="316" spans="12:16" ht="26.25" customHeight="1" x14ac:dyDescent="0.3">
      <c r="L316" s="36">
        <f>Table11819[[#This Row],[النولون]]+Table11819[[#This Row],[الايصالات]]-Table11819[[#This Row],[خصم أ ت ص]]+Table11819[[#This Row],[قيمة مضافة]]</f>
        <v>0</v>
      </c>
      <c r="N316" s="36">
        <f>N315+Table11819[[#This Row],[اجمالي الفاتوره]]-Table11819[[#This Row],[الدفعات]]</f>
        <v>595534.24</v>
      </c>
      <c r="P316" s="49"/>
    </row>
    <row r="317" spans="12:16" ht="26.25" customHeight="1" x14ac:dyDescent="0.3">
      <c r="L317" s="36">
        <f>Table11819[[#This Row],[النولون]]+Table11819[[#This Row],[الايصالات]]-Table11819[[#This Row],[خصم أ ت ص]]+Table11819[[#This Row],[قيمة مضافة]]</f>
        <v>0</v>
      </c>
      <c r="N317" s="36">
        <f>N316+Table11819[[#This Row],[اجمالي الفاتوره]]-Table11819[[#This Row],[الدفعات]]</f>
        <v>595534.24</v>
      </c>
      <c r="P317" s="49"/>
    </row>
    <row r="318" spans="12:16" ht="26.25" customHeight="1" x14ac:dyDescent="0.3">
      <c r="L318" s="36">
        <f>Table11819[[#This Row],[النولون]]+Table11819[[#This Row],[الايصالات]]-Table11819[[#This Row],[خصم أ ت ص]]+Table11819[[#This Row],[قيمة مضافة]]</f>
        <v>0</v>
      </c>
      <c r="N318" s="36">
        <f>N317+Table11819[[#This Row],[اجمالي الفاتوره]]-Table11819[[#This Row],[الدفعات]]</f>
        <v>595534.24</v>
      </c>
      <c r="P318" s="49"/>
    </row>
    <row r="319" spans="12:16" ht="26.25" customHeight="1" x14ac:dyDescent="0.3">
      <c r="L319" s="36">
        <f>Table11819[[#This Row],[النولون]]+Table11819[[#This Row],[الايصالات]]-Table11819[[#This Row],[خصم أ ت ص]]+Table11819[[#This Row],[قيمة مضافة]]</f>
        <v>0</v>
      </c>
      <c r="N319" s="36">
        <f>N318+Table11819[[#This Row],[اجمالي الفاتوره]]-Table11819[[#This Row],[الدفعات]]</f>
        <v>595534.24</v>
      </c>
      <c r="P319" s="49"/>
    </row>
    <row r="320" spans="12:16" ht="26.25" customHeight="1" x14ac:dyDescent="0.3">
      <c r="L320" s="36">
        <f>Table11819[[#This Row],[النولون]]+Table11819[[#This Row],[الايصالات]]-Table11819[[#This Row],[خصم أ ت ص]]+Table11819[[#This Row],[قيمة مضافة]]</f>
        <v>0</v>
      </c>
      <c r="N320" s="36">
        <f>N319+Table11819[[#This Row],[اجمالي الفاتوره]]-Table11819[[#This Row],[الدفعات]]</f>
        <v>595534.24</v>
      </c>
      <c r="P320" s="49"/>
    </row>
    <row r="321" spans="12:16" ht="26.25" customHeight="1" x14ac:dyDescent="0.3">
      <c r="L321" s="36">
        <f>Table11819[[#This Row],[النولون]]+Table11819[[#This Row],[الايصالات]]-Table11819[[#This Row],[خصم أ ت ص]]+Table11819[[#This Row],[قيمة مضافة]]</f>
        <v>0</v>
      </c>
      <c r="N321" s="36">
        <f>N320+Table11819[[#This Row],[اجمالي الفاتوره]]-Table11819[[#This Row],[الدفعات]]</f>
        <v>595534.24</v>
      </c>
      <c r="P321" s="49"/>
    </row>
    <row r="322" spans="12:16" ht="26.25" customHeight="1" x14ac:dyDescent="0.3">
      <c r="L322" s="36">
        <f>Table11819[[#This Row],[النولون]]+Table11819[[#This Row],[الايصالات]]-Table11819[[#This Row],[خصم أ ت ص]]+Table11819[[#This Row],[قيمة مضافة]]</f>
        <v>0</v>
      </c>
      <c r="N322" s="36">
        <f>N321+Table11819[[#This Row],[اجمالي الفاتوره]]-Table11819[[#This Row],[الدفعات]]</f>
        <v>595534.24</v>
      </c>
      <c r="P322" s="49"/>
    </row>
    <row r="323" spans="12:16" ht="26.25" customHeight="1" x14ac:dyDescent="0.3">
      <c r="L323" s="36">
        <f>Table11819[[#This Row],[النولون]]+Table11819[[#This Row],[الايصالات]]-Table11819[[#This Row],[خصم أ ت ص]]+Table11819[[#This Row],[قيمة مضافة]]</f>
        <v>0</v>
      </c>
      <c r="N323" s="36">
        <f>N322+Table11819[[#This Row],[اجمالي الفاتوره]]-Table11819[[#This Row],[الدفعات]]</f>
        <v>595534.24</v>
      </c>
      <c r="P323" s="49"/>
    </row>
    <row r="324" spans="12:16" ht="26.25" customHeight="1" x14ac:dyDescent="0.3">
      <c r="L324" s="36">
        <f>Table11819[[#This Row],[النولون]]+Table11819[[#This Row],[الايصالات]]-Table11819[[#This Row],[خصم أ ت ص]]+Table11819[[#This Row],[قيمة مضافة]]</f>
        <v>0</v>
      </c>
      <c r="N324" s="36">
        <f>N323+Table11819[[#This Row],[اجمالي الفاتوره]]-Table11819[[#This Row],[الدفعات]]</f>
        <v>595534.24</v>
      </c>
      <c r="P324" s="49"/>
    </row>
    <row r="325" spans="12:16" ht="26.25" customHeight="1" x14ac:dyDescent="0.3">
      <c r="L325" s="36">
        <f>Table11819[[#This Row],[النولون]]+Table11819[[#This Row],[الايصالات]]-Table11819[[#This Row],[خصم أ ت ص]]+Table11819[[#This Row],[قيمة مضافة]]</f>
        <v>0</v>
      </c>
      <c r="N325" s="36">
        <f>N324+Table11819[[#This Row],[اجمالي الفاتوره]]-Table11819[[#This Row],[الدفعات]]</f>
        <v>595534.24</v>
      </c>
      <c r="P325" s="49"/>
    </row>
    <row r="326" spans="12:16" ht="26.25" customHeight="1" x14ac:dyDescent="0.3">
      <c r="L326" s="36">
        <f>Table11819[[#This Row],[النولون]]+Table11819[[#This Row],[الايصالات]]-Table11819[[#This Row],[خصم أ ت ص]]+Table11819[[#This Row],[قيمة مضافة]]</f>
        <v>0</v>
      </c>
      <c r="N326" s="36">
        <f>N325+Table11819[[#This Row],[اجمالي الفاتوره]]-Table11819[[#This Row],[الدفعات]]</f>
        <v>595534.24</v>
      </c>
      <c r="P326" s="49"/>
    </row>
    <row r="327" spans="12:16" ht="26.25" customHeight="1" x14ac:dyDescent="0.3">
      <c r="L327" s="36">
        <f>Table11819[[#This Row],[النولون]]+Table11819[[#This Row],[الايصالات]]-Table11819[[#This Row],[خصم أ ت ص]]+Table11819[[#This Row],[قيمة مضافة]]</f>
        <v>0</v>
      </c>
      <c r="N327" s="36">
        <f>N326+Table11819[[#This Row],[اجمالي الفاتوره]]-Table11819[[#This Row],[الدفعات]]</f>
        <v>595534.24</v>
      </c>
      <c r="P327" s="49"/>
    </row>
    <row r="328" spans="12:16" ht="26.25" customHeight="1" x14ac:dyDescent="0.3">
      <c r="L328" s="36">
        <f>Table11819[[#This Row],[النولون]]+Table11819[[#This Row],[الايصالات]]-Table11819[[#This Row],[خصم أ ت ص]]+Table11819[[#This Row],[قيمة مضافة]]</f>
        <v>0</v>
      </c>
      <c r="N328" s="36">
        <f>N327+Table11819[[#This Row],[اجمالي الفاتوره]]-Table11819[[#This Row],[الدفعات]]</f>
        <v>595534.24</v>
      </c>
      <c r="P328" s="49"/>
    </row>
    <row r="329" spans="12:16" ht="26.25" customHeight="1" x14ac:dyDescent="0.3">
      <c r="L329" s="36">
        <f>Table11819[[#This Row],[النولون]]+Table11819[[#This Row],[الايصالات]]-Table11819[[#This Row],[خصم أ ت ص]]+Table11819[[#This Row],[قيمة مضافة]]</f>
        <v>0</v>
      </c>
      <c r="N329" s="36">
        <f>N328+Table11819[[#This Row],[اجمالي الفاتوره]]-Table11819[[#This Row],[الدفعات]]</f>
        <v>595534.24</v>
      </c>
      <c r="P329" s="49"/>
    </row>
    <row r="330" spans="12:16" ht="26.25" customHeight="1" x14ac:dyDescent="0.3">
      <c r="L330" s="36">
        <f>Table11819[[#This Row],[النولون]]+Table11819[[#This Row],[الايصالات]]-Table11819[[#This Row],[خصم أ ت ص]]+Table11819[[#This Row],[قيمة مضافة]]</f>
        <v>0</v>
      </c>
      <c r="N330" s="36">
        <f>N329+Table11819[[#This Row],[اجمالي الفاتوره]]-Table11819[[#This Row],[الدفعات]]</f>
        <v>595534.24</v>
      </c>
      <c r="P330" s="49"/>
    </row>
    <row r="331" spans="12:16" ht="26.25" customHeight="1" x14ac:dyDescent="0.3">
      <c r="L331" s="36">
        <f>Table11819[[#This Row],[النولون]]+Table11819[[#This Row],[الايصالات]]-Table11819[[#This Row],[خصم أ ت ص]]+Table11819[[#This Row],[قيمة مضافة]]</f>
        <v>0</v>
      </c>
      <c r="N331" s="36">
        <f>N330+Table11819[[#This Row],[اجمالي الفاتوره]]-Table11819[[#This Row],[الدفعات]]</f>
        <v>595534.24</v>
      </c>
      <c r="P331" s="49"/>
    </row>
    <row r="332" spans="12:16" ht="26.25" customHeight="1" x14ac:dyDescent="0.3">
      <c r="L332" s="36">
        <f>Table11819[[#This Row],[النولون]]+Table11819[[#This Row],[الايصالات]]-Table11819[[#This Row],[خصم أ ت ص]]+Table11819[[#This Row],[قيمة مضافة]]</f>
        <v>0</v>
      </c>
      <c r="N332" s="36">
        <f>N331+Table11819[[#This Row],[اجمالي الفاتوره]]-Table11819[[#This Row],[الدفعات]]</f>
        <v>595534.24</v>
      </c>
      <c r="P332" s="49"/>
    </row>
    <row r="333" spans="12:16" ht="26.25" customHeight="1" x14ac:dyDescent="0.3">
      <c r="L333" s="36">
        <f>Table11819[[#This Row],[النولون]]+Table11819[[#This Row],[الايصالات]]-Table11819[[#This Row],[خصم أ ت ص]]+Table11819[[#This Row],[قيمة مضافة]]</f>
        <v>0</v>
      </c>
      <c r="N333" s="36">
        <f>N332+Table11819[[#This Row],[اجمالي الفاتوره]]-Table11819[[#This Row],[الدفعات]]</f>
        <v>595534.24</v>
      </c>
      <c r="P333" s="49"/>
    </row>
    <row r="334" spans="12:16" ht="26.25" customHeight="1" x14ac:dyDescent="0.3">
      <c r="L334" s="36">
        <f>Table11819[[#This Row],[النولون]]+Table11819[[#This Row],[الايصالات]]-Table11819[[#This Row],[خصم أ ت ص]]+Table11819[[#This Row],[قيمة مضافة]]</f>
        <v>0</v>
      </c>
      <c r="N334" s="36">
        <f>N333+Table11819[[#This Row],[اجمالي الفاتوره]]-Table11819[[#This Row],[الدفعات]]</f>
        <v>595534.24</v>
      </c>
      <c r="P334" s="49"/>
    </row>
    <row r="335" spans="12:16" ht="26.25" customHeight="1" x14ac:dyDescent="0.3">
      <c r="L335" s="36">
        <f>Table11819[[#This Row],[النولون]]+Table11819[[#This Row],[الايصالات]]-Table11819[[#This Row],[خصم أ ت ص]]+Table11819[[#This Row],[قيمة مضافة]]</f>
        <v>0</v>
      </c>
      <c r="N335" s="36">
        <f>N334+Table11819[[#This Row],[اجمالي الفاتوره]]-Table11819[[#This Row],[الدفعات]]</f>
        <v>595534.24</v>
      </c>
      <c r="P335" s="49"/>
    </row>
    <row r="336" spans="12:16" ht="26.25" customHeight="1" x14ac:dyDescent="0.3">
      <c r="L336" s="36">
        <f>Table11819[[#This Row],[النولون]]+Table11819[[#This Row],[الايصالات]]-Table11819[[#This Row],[خصم أ ت ص]]+Table11819[[#This Row],[قيمة مضافة]]</f>
        <v>0</v>
      </c>
      <c r="N336" s="36">
        <f>N335+Table11819[[#This Row],[اجمالي الفاتوره]]-Table11819[[#This Row],[الدفعات]]</f>
        <v>595534.24</v>
      </c>
      <c r="P336" s="49"/>
    </row>
    <row r="337" spans="12:16" ht="26.25" customHeight="1" x14ac:dyDescent="0.3">
      <c r="L337" s="36">
        <f>Table11819[[#This Row],[النولون]]+Table11819[[#This Row],[الايصالات]]-Table11819[[#This Row],[خصم أ ت ص]]+Table11819[[#This Row],[قيمة مضافة]]</f>
        <v>0</v>
      </c>
      <c r="N337" s="36">
        <f>N336+Table11819[[#This Row],[اجمالي الفاتوره]]-Table11819[[#This Row],[الدفعات]]</f>
        <v>595534.24</v>
      </c>
      <c r="P337" s="49"/>
    </row>
    <row r="338" spans="12:16" ht="26.25" customHeight="1" x14ac:dyDescent="0.3">
      <c r="L338" s="36">
        <f>Table11819[[#This Row],[النولون]]+Table11819[[#This Row],[الايصالات]]-Table11819[[#This Row],[خصم أ ت ص]]+Table11819[[#This Row],[قيمة مضافة]]</f>
        <v>0</v>
      </c>
      <c r="N338" s="36">
        <f>N337+Table11819[[#This Row],[اجمالي الفاتوره]]-Table11819[[#This Row],[الدفعات]]</f>
        <v>595534.24</v>
      </c>
      <c r="P338" s="49"/>
    </row>
    <row r="339" spans="12:16" ht="26.25" customHeight="1" x14ac:dyDescent="0.3">
      <c r="L339" s="36">
        <f>Table11819[[#This Row],[النولون]]+Table11819[[#This Row],[الايصالات]]-Table11819[[#This Row],[خصم أ ت ص]]+Table11819[[#This Row],[قيمة مضافة]]</f>
        <v>0</v>
      </c>
      <c r="N339" s="36">
        <f>N338+Table11819[[#This Row],[اجمالي الفاتوره]]-Table11819[[#This Row],[الدفعات]]</f>
        <v>595534.24</v>
      </c>
      <c r="P339" s="49"/>
    </row>
    <row r="340" spans="12:16" ht="26.25" customHeight="1" x14ac:dyDescent="0.3">
      <c r="L340" s="36">
        <f>Table11819[[#This Row],[النولون]]+Table11819[[#This Row],[الايصالات]]-Table11819[[#This Row],[خصم أ ت ص]]+Table11819[[#This Row],[قيمة مضافة]]</f>
        <v>0</v>
      </c>
      <c r="N340" s="36">
        <f>N339+Table11819[[#This Row],[اجمالي الفاتوره]]-Table11819[[#This Row],[الدفعات]]</f>
        <v>595534.24</v>
      </c>
      <c r="P340" s="49"/>
    </row>
    <row r="341" spans="12:16" ht="26.25" customHeight="1" x14ac:dyDescent="0.3">
      <c r="L341" s="36">
        <f>Table11819[[#This Row],[النولون]]+Table11819[[#This Row],[الايصالات]]-Table11819[[#This Row],[خصم أ ت ص]]+Table11819[[#This Row],[قيمة مضافة]]</f>
        <v>0</v>
      </c>
      <c r="N341" s="36">
        <f>N340+Table11819[[#This Row],[اجمالي الفاتوره]]-Table11819[[#This Row],[الدفعات]]</f>
        <v>595534.24</v>
      </c>
      <c r="P341" s="49"/>
    </row>
    <row r="342" spans="12:16" ht="26.25" customHeight="1" x14ac:dyDescent="0.3">
      <c r="L342" s="36">
        <f>Table11819[[#This Row],[النولون]]+Table11819[[#This Row],[الايصالات]]-Table11819[[#This Row],[خصم أ ت ص]]+Table11819[[#This Row],[قيمة مضافة]]</f>
        <v>0</v>
      </c>
      <c r="N342" s="36">
        <f>N341+Table11819[[#This Row],[اجمالي الفاتوره]]-Table11819[[#This Row],[الدفعات]]</f>
        <v>595534.24</v>
      </c>
      <c r="P342" s="49"/>
    </row>
    <row r="343" spans="12:16" ht="26.25" customHeight="1" x14ac:dyDescent="0.3">
      <c r="L343" s="36">
        <f>Table11819[[#This Row],[النولون]]+Table11819[[#This Row],[الايصالات]]-Table11819[[#This Row],[خصم أ ت ص]]+Table11819[[#This Row],[قيمة مضافة]]</f>
        <v>0</v>
      </c>
      <c r="N343" s="36">
        <f>N342+Table11819[[#This Row],[اجمالي الفاتوره]]-Table11819[[#This Row],[الدفعات]]</f>
        <v>595534.24</v>
      </c>
      <c r="P343" s="49"/>
    </row>
    <row r="344" spans="12:16" ht="26.25" customHeight="1" x14ac:dyDescent="0.3">
      <c r="L344" s="36">
        <f>Table11819[[#This Row],[النولون]]+Table11819[[#This Row],[الايصالات]]-Table11819[[#This Row],[خصم أ ت ص]]+Table11819[[#This Row],[قيمة مضافة]]</f>
        <v>0</v>
      </c>
      <c r="N344" s="36">
        <f>N343+Table11819[[#This Row],[اجمالي الفاتوره]]-Table11819[[#This Row],[الدفعات]]</f>
        <v>595534.24</v>
      </c>
      <c r="P344" s="49"/>
    </row>
    <row r="345" spans="12:16" ht="26.25" customHeight="1" x14ac:dyDescent="0.3">
      <c r="L345" s="36">
        <f>Table11819[[#This Row],[النولون]]+Table11819[[#This Row],[الايصالات]]-Table11819[[#This Row],[خصم أ ت ص]]+Table11819[[#This Row],[قيمة مضافة]]</f>
        <v>0</v>
      </c>
      <c r="N345" s="36">
        <f>N344+Table11819[[#This Row],[اجمالي الفاتوره]]-Table11819[[#This Row],[الدفعات]]</f>
        <v>595534.24</v>
      </c>
      <c r="P345" s="49"/>
    </row>
    <row r="346" spans="12:16" ht="26.25" customHeight="1" x14ac:dyDescent="0.3">
      <c r="L346" s="36">
        <f>Table11819[[#This Row],[النولون]]+Table11819[[#This Row],[الايصالات]]-Table11819[[#This Row],[خصم أ ت ص]]+Table11819[[#This Row],[قيمة مضافة]]</f>
        <v>0</v>
      </c>
      <c r="N346" s="36">
        <f>N345+Table11819[[#This Row],[اجمالي الفاتوره]]-Table11819[[#This Row],[الدفعات]]</f>
        <v>595534.24</v>
      </c>
      <c r="P346" s="49"/>
    </row>
    <row r="347" spans="12:16" ht="26.25" customHeight="1" x14ac:dyDescent="0.3">
      <c r="L347" s="36">
        <f>Table11819[[#This Row],[النولون]]+Table11819[[#This Row],[الايصالات]]-Table11819[[#This Row],[خصم أ ت ص]]+Table11819[[#This Row],[قيمة مضافة]]</f>
        <v>0</v>
      </c>
      <c r="N347" s="36">
        <f>N346+Table11819[[#This Row],[اجمالي الفاتوره]]-Table11819[[#This Row],[الدفعات]]</f>
        <v>595534.24</v>
      </c>
      <c r="P347" s="49"/>
    </row>
    <row r="348" spans="12:16" ht="26.25" customHeight="1" x14ac:dyDescent="0.3">
      <c r="L348" s="36">
        <f>Table11819[[#This Row],[النولون]]+Table11819[[#This Row],[الايصالات]]-Table11819[[#This Row],[خصم أ ت ص]]+Table11819[[#This Row],[قيمة مضافة]]</f>
        <v>0</v>
      </c>
      <c r="N348" s="36">
        <f>N347+Table11819[[#This Row],[اجمالي الفاتوره]]-Table11819[[#This Row],[الدفعات]]</f>
        <v>595534.24</v>
      </c>
      <c r="P348" s="49"/>
    </row>
    <row r="349" spans="12:16" ht="26.25" customHeight="1" x14ac:dyDescent="0.3">
      <c r="L349" s="36">
        <f>Table11819[[#This Row],[النولون]]+Table11819[[#This Row],[الايصالات]]-Table11819[[#This Row],[خصم أ ت ص]]+Table11819[[#This Row],[قيمة مضافة]]</f>
        <v>0</v>
      </c>
      <c r="N349" s="36">
        <f>N348+Table11819[[#This Row],[اجمالي الفاتوره]]-Table11819[[#This Row],[الدفعات]]</f>
        <v>595534.24</v>
      </c>
      <c r="P349" s="49"/>
    </row>
    <row r="350" spans="12:16" ht="26.25" customHeight="1" x14ac:dyDescent="0.3">
      <c r="L350" s="36">
        <f>Table11819[[#This Row],[النولون]]+Table11819[[#This Row],[الايصالات]]-Table11819[[#This Row],[خصم أ ت ص]]+Table11819[[#This Row],[قيمة مضافة]]</f>
        <v>0</v>
      </c>
      <c r="N350" s="36">
        <f>N349+Table11819[[#This Row],[اجمالي الفاتوره]]-Table11819[[#This Row],[الدفعات]]</f>
        <v>595534.24</v>
      </c>
      <c r="P350" s="49"/>
    </row>
    <row r="351" spans="12:16" ht="26.25" customHeight="1" x14ac:dyDescent="0.3">
      <c r="L351" s="36">
        <f>Table11819[[#This Row],[النولون]]+Table11819[[#This Row],[الايصالات]]-Table11819[[#This Row],[خصم أ ت ص]]+Table11819[[#This Row],[قيمة مضافة]]</f>
        <v>0</v>
      </c>
      <c r="N351" s="36">
        <f>N350+Table11819[[#This Row],[اجمالي الفاتوره]]-Table11819[[#This Row],[الدفعات]]</f>
        <v>595534.24</v>
      </c>
      <c r="P351" s="49"/>
    </row>
    <row r="352" spans="12:16" ht="26.25" customHeight="1" x14ac:dyDescent="0.3">
      <c r="L352" s="36">
        <f>Table11819[[#This Row],[النولون]]+Table11819[[#This Row],[الايصالات]]-Table11819[[#This Row],[خصم أ ت ص]]+Table11819[[#This Row],[قيمة مضافة]]</f>
        <v>0</v>
      </c>
      <c r="N352" s="36">
        <f>N351+Table11819[[#This Row],[اجمالي الفاتوره]]-Table11819[[#This Row],[الدفعات]]</f>
        <v>595534.24</v>
      </c>
      <c r="P352" s="49"/>
    </row>
    <row r="353" spans="12:16" ht="26.25" customHeight="1" x14ac:dyDescent="0.3">
      <c r="L353" s="36">
        <f>Table11819[[#This Row],[النولون]]+Table11819[[#This Row],[الايصالات]]-Table11819[[#This Row],[خصم أ ت ص]]+Table11819[[#This Row],[قيمة مضافة]]</f>
        <v>0</v>
      </c>
      <c r="N353" s="36">
        <f>N352+Table11819[[#This Row],[اجمالي الفاتوره]]-Table11819[[#This Row],[الدفعات]]</f>
        <v>595534.24</v>
      </c>
      <c r="P353" s="49"/>
    </row>
    <row r="354" spans="12:16" ht="26.25" customHeight="1" x14ac:dyDescent="0.3">
      <c r="L354" s="36">
        <f>Table11819[[#This Row],[النولون]]+Table11819[[#This Row],[الايصالات]]-Table11819[[#This Row],[خصم أ ت ص]]+Table11819[[#This Row],[قيمة مضافة]]</f>
        <v>0</v>
      </c>
      <c r="N354" s="36">
        <f>N353+Table11819[[#This Row],[اجمالي الفاتوره]]-Table11819[[#This Row],[الدفعات]]</f>
        <v>595534.24</v>
      </c>
      <c r="P354" s="49"/>
    </row>
    <row r="355" spans="12:16" ht="26.25" customHeight="1" x14ac:dyDescent="0.3">
      <c r="L355" s="36">
        <f>Table11819[[#This Row],[النولون]]+Table11819[[#This Row],[الايصالات]]-Table11819[[#This Row],[خصم أ ت ص]]+Table11819[[#This Row],[قيمة مضافة]]</f>
        <v>0</v>
      </c>
      <c r="N355" s="36">
        <f>N354+Table11819[[#This Row],[اجمالي الفاتوره]]-Table11819[[#This Row],[الدفعات]]</f>
        <v>595534.24</v>
      </c>
      <c r="P355" s="49"/>
    </row>
    <row r="356" spans="12:16" ht="26.25" customHeight="1" x14ac:dyDescent="0.3">
      <c r="L356" s="36">
        <f>Table11819[[#This Row],[النولون]]+Table11819[[#This Row],[الايصالات]]-Table11819[[#This Row],[خصم أ ت ص]]+Table11819[[#This Row],[قيمة مضافة]]</f>
        <v>0</v>
      </c>
      <c r="N356" s="36">
        <f>N355+Table11819[[#This Row],[اجمالي الفاتوره]]-Table11819[[#This Row],[الدفعات]]</f>
        <v>595534.24</v>
      </c>
      <c r="P356" s="49"/>
    </row>
    <row r="357" spans="12:16" ht="26.25" customHeight="1" x14ac:dyDescent="0.3">
      <c r="L357" s="36">
        <f>Table11819[[#This Row],[النولون]]+Table11819[[#This Row],[الايصالات]]-Table11819[[#This Row],[خصم أ ت ص]]+Table11819[[#This Row],[قيمة مضافة]]</f>
        <v>0</v>
      </c>
      <c r="N357" s="36">
        <f>N356+Table11819[[#This Row],[اجمالي الفاتوره]]-Table11819[[#This Row],[الدفعات]]</f>
        <v>595534.24</v>
      </c>
      <c r="P357" s="49"/>
    </row>
    <row r="358" spans="12:16" ht="26.25" customHeight="1" x14ac:dyDescent="0.3">
      <c r="L358" s="36">
        <f>Table11819[[#This Row],[النولون]]+Table11819[[#This Row],[الايصالات]]-Table11819[[#This Row],[خصم أ ت ص]]+Table11819[[#This Row],[قيمة مضافة]]</f>
        <v>0</v>
      </c>
      <c r="N358" s="36">
        <f>N357+Table11819[[#This Row],[اجمالي الفاتوره]]-Table11819[[#This Row],[الدفعات]]</f>
        <v>595534.24</v>
      </c>
      <c r="P358" s="49"/>
    </row>
    <row r="359" spans="12:16" ht="26.25" customHeight="1" x14ac:dyDescent="0.3">
      <c r="L359" s="36">
        <f>Table11819[[#This Row],[النولون]]+Table11819[[#This Row],[الايصالات]]-Table11819[[#This Row],[خصم أ ت ص]]+Table11819[[#This Row],[قيمة مضافة]]</f>
        <v>0</v>
      </c>
      <c r="N359" s="36">
        <f>N358+Table11819[[#This Row],[اجمالي الفاتوره]]-Table11819[[#This Row],[الدفعات]]</f>
        <v>595534.24</v>
      </c>
      <c r="P359" s="49"/>
    </row>
    <row r="360" spans="12:16" ht="26.25" customHeight="1" x14ac:dyDescent="0.3">
      <c r="L360" s="36">
        <f>Table11819[[#This Row],[النولون]]+Table11819[[#This Row],[الايصالات]]-Table11819[[#This Row],[خصم أ ت ص]]+Table11819[[#This Row],[قيمة مضافة]]</f>
        <v>0</v>
      </c>
      <c r="N360" s="36">
        <f>N359+Table11819[[#This Row],[اجمالي الفاتوره]]-Table11819[[#This Row],[الدفعات]]</f>
        <v>595534.24</v>
      </c>
      <c r="P360" s="49"/>
    </row>
    <row r="361" spans="12:16" ht="26.25" customHeight="1" x14ac:dyDescent="0.3">
      <c r="L361" s="36">
        <f>Table11819[[#This Row],[النولون]]+Table11819[[#This Row],[الايصالات]]-Table11819[[#This Row],[خصم أ ت ص]]+Table11819[[#This Row],[قيمة مضافة]]</f>
        <v>0</v>
      </c>
      <c r="N361" s="36">
        <f>N360+Table11819[[#This Row],[اجمالي الفاتوره]]-Table11819[[#This Row],[الدفعات]]</f>
        <v>595534.24</v>
      </c>
      <c r="P361" s="49"/>
    </row>
    <row r="362" spans="12:16" ht="26.25" customHeight="1" x14ac:dyDescent="0.3">
      <c r="L362" s="36">
        <f>Table11819[[#This Row],[النولون]]+Table11819[[#This Row],[الايصالات]]-Table11819[[#This Row],[خصم أ ت ص]]+Table11819[[#This Row],[قيمة مضافة]]</f>
        <v>0</v>
      </c>
      <c r="N362" s="36">
        <f>N361+Table11819[[#This Row],[اجمالي الفاتوره]]-Table11819[[#This Row],[الدفعات]]</f>
        <v>595534.24</v>
      </c>
      <c r="P362" s="49"/>
    </row>
  </sheetData>
  <phoneticPr fontId="2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174"/>
  <sheetViews>
    <sheetView rightToLeft="1" zoomScaleNormal="100" workbookViewId="0">
      <pane ySplit="1" topLeftCell="A26" activePane="bottomLeft" state="frozen"/>
      <selection pane="bottomLeft" activeCell="F24" sqref="F24"/>
    </sheetView>
  </sheetViews>
  <sheetFormatPr defaultColWidth="9.109375" defaultRowHeight="29.25" customHeight="1" x14ac:dyDescent="0.3"/>
  <cols>
    <col min="1" max="1" width="9.109375" style="71"/>
    <col min="2" max="2" width="8.109375" style="3" customWidth="1"/>
    <col min="3" max="3" width="11.6640625" style="3" customWidth="1"/>
    <col min="4" max="4" width="17.77734375" style="3" customWidth="1"/>
    <col min="5" max="5" width="11.33203125" style="3" customWidth="1"/>
    <col min="6" max="6" width="14.77734375" style="3" customWidth="1"/>
    <col min="7" max="7" width="13.21875" style="3" customWidth="1"/>
    <col min="8" max="8" width="11.33203125" style="3" customWidth="1"/>
    <col min="9" max="9" width="9.33203125" style="3" customWidth="1"/>
    <col min="10" max="10" width="11.21875" style="3" customWidth="1"/>
    <col min="11" max="11" width="12.88671875" style="3" customWidth="1"/>
    <col min="12" max="13" width="12.33203125" style="3" customWidth="1"/>
    <col min="14" max="14" width="10.88671875" style="3" customWidth="1"/>
    <col min="15" max="15" width="9.77734375" style="3" customWidth="1"/>
    <col min="16" max="16384" width="9.109375" style="3"/>
  </cols>
  <sheetData>
    <row r="1" spans="1:15" s="87" customFormat="1" ht="29.25" customHeight="1" x14ac:dyDescent="0.3">
      <c r="A1" s="86" t="s">
        <v>15</v>
      </c>
      <c r="B1" s="87" t="s">
        <v>0</v>
      </c>
      <c r="C1" s="87" t="s">
        <v>1</v>
      </c>
      <c r="D1" s="87" t="s">
        <v>2</v>
      </c>
      <c r="E1" s="87" t="s">
        <v>3</v>
      </c>
      <c r="F1" s="87" t="s">
        <v>4</v>
      </c>
      <c r="G1" s="87" t="s">
        <v>5</v>
      </c>
      <c r="H1" s="87" t="s">
        <v>6</v>
      </c>
      <c r="I1" s="87" t="s">
        <v>14</v>
      </c>
      <c r="J1" s="87" t="s">
        <v>9</v>
      </c>
      <c r="K1" s="87" t="s">
        <v>10</v>
      </c>
      <c r="L1" s="87" t="s">
        <v>11</v>
      </c>
      <c r="M1" s="87" t="s">
        <v>12</v>
      </c>
      <c r="N1" s="87" t="s">
        <v>13</v>
      </c>
      <c r="O1" s="87" t="s">
        <v>20</v>
      </c>
    </row>
    <row r="2" spans="1:15" ht="29.25" customHeight="1" x14ac:dyDescent="0.3">
      <c r="D2" s="1"/>
      <c r="K2" s="3">
        <f>Table15[[#This Row],[الايصالات]]+Table15[[#This Row],[النولون]]-Table15[[#This Row],[خصم 3%]]</f>
        <v>0</v>
      </c>
      <c r="M2" s="3">
        <v>0</v>
      </c>
    </row>
    <row r="3" spans="1:15" ht="29.25" customHeight="1" x14ac:dyDescent="0.3">
      <c r="B3" s="3">
        <v>1</v>
      </c>
      <c r="C3" s="3" t="s">
        <v>113</v>
      </c>
      <c r="D3" s="4" t="s">
        <v>123</v>
      </c>
      <c r="E3" s="3" t="s">
        <v>125</v>
      </c>
      <c r="F3" s="3">
        <v>263506617</v>
      </c>
      <c r="G3" s="3" t="s">
        <v>92</v>
      </c>
      <c r="H3" s="3">
        <f>12650*2</f>
        <v>25300</v>
      </c>
      <c r="J3" s="3">
        <f>1130*2+449.71*2+4393.56+997+8518</f>
        <v>17067.98</v>
      </c>
      <c r="K3" s="3">
        <f>Table15[[#This Row],[الايصالات]]+Table15[[#This Row],[النولون]]-Table15[[#This Row],[خصم 3%]]</f>
        <v>42367.979999999996</v>
      </c>
      <c r="M3" s="3">
        <f>M2+Table15[[#This Row],[اجمالي الفاتوره]]-Table15[[#This Row],[الدفعات]]</f>
        <v>42367.979999999996</v>
      </c>
    </row>
    <row r="4" spans="1:15" ht="29.25" customHeight="1" x14ac:dyDescent="0.3">
      <c r="B4" s="3">
        <v>2</v>
      </c>
      <c r="C4" s="3" t="s">
        <v>113</v>
      </c>
      <c r="D4" s="4" t="s">
        <v>124</v>
      </c>
      <c r="E4" s="3" t="s">
        <v>126</v>
      </c>
      <c r="F4" s="3">
        <v>263596606</v>
      </c>
      <c r="G4" s="3" t="s">
        <v>121</v>
      </c>
      <c r="H4" s="3">
        <v>18500</v>
      </c>
      <c r="J4" s="3">
        <f>1100+829.66+2196.78+500+4259</f>
        <v>8885.44</v>
      </c>
      <c r="K4" s="3">
        <f>Table15[[#This Row],[الايصالات]]+Table15[[#This Row],[النولون]]-Table15[[#This Row],[خصم 3%]]</f>
        <v>27385.440000000002</v>
      </c>
      <c r="M4" s="3">
        <f>M3+Table15[[#This Row],[اجمالي الفاتوره]]-Table15[[#This Row],[الدفعات]]</f>
        <v>69753.42</v>
      </c>
    </row>
    <row r="5" spans="1:15" ht="29.25" customHeight="1" x14ac:dyDescent="0.3">
      <c r="B5" s="3">
        <v>3</v>
      </c>
      <c r="C5" s="4" t="s">
        <v>146</v>
      </c>
      <c r="D5" s="3" t="s">
        <v>147</v>
      </c>
      <c r="E5" s="3" t="s">
        <v>125</v>
      </c>
      <c r="F5" s="3">
        <v>263258820</v>
      </c>
      <c r="G5" s="3" t="s">
        <v>92</v>
      </c>
      <c r="H5" s="3">
        <f>2*12650</f>
        <v>25300</v>
      </c>
      <c r="J5" s="3">
        <f>850+100*2+1130+1135+105.79*2+428.96+426.13+997+50.2</f>
        <v>5428.87</v>
      </c>
      <c r="K5" s="3">
        <f>Table15[[#This Row],[الايصالات]]+Table15[[#This Row],[النولون]]-Table15[[#This Row],[خصم 3%]]</f>
        <v>30728.87</v>
      </c>
      <c r="M5" s="3">
        <f>M4+Table15[[#This Row],[اجمالي الفاتوره]]-Table15[[#This Row],[الدفعات]]</f>
        <v>100482.29</v>
      </c>
    </row>
    <row r="6" spans="1:15" ht="29.25" customHeight="1" x14ac:dyDescent="0.3">
      <c r="B6" s="3">
        <v>4</v>
      </c>
      <c r="C6" s="4" t="s">
        <v>146</v>
      </c>
      <c r="D6" s="3" t="s">
        <v>147</v>
      </c>
      <c r="E6" s="3" t="s">
        <v>125</v>
      </c>
      <c r="F6" s="3">
        <v>263699130</v>
      </c>
      <c r="G6" s="3" t="s">
        <v>92</v>
      </c>
      <c r="H6" s="3">
        <f>2*12650</f>
        <v>25300</v>
      </c>
      <c r="J6" s="3">
        <f>150+1135+1130+105.79*2+449.71+591.35+997+50.2</f>
        <v>4714.8399999999992</v>
      </c>
      <c r="K6" s="3">
        <f>Table15[[#This Row],[الايصالات]]+Table15[[#This Row],[النولون]]-Table15[[#This Row],[خصم 3%]]</f>
        <v>30014.84</v>
      </c>
      <c r="M6" s="3">
        <f>M5+Table15[[#This Row],[اجمالي الفاتوره]]-Table15[[#This Row],[الدفعات]]</f>
        <v>130497.12999999999</v>
      </c>
    </row>
    <row r="7" spans="1:15" ht="29.25" customHeight="1" x14ac:dyDescent="0.3">
      <c r="B7" s="3">
        <v>5</v>
      </c>
      <c r="C7" s="3" t="s">
        <v>150</v>
      </c>
      <c r="D7" s="4" t="s">
        <v>147</v>
      </c>
      <c r="E7" s="3" t="s">
        <v>125</v>
      </c>
      <c r="F7" s="3">
        <v>263902826</v>
      </c>
      <c r="G7" s="3" t="s">
        <v>158</v>
      </c>
      <c r="H7" s="3">
        <f>3*12650</f>
        <v>37950</v>
      </c>
      <c r="J7" s="3">
        <f>810+1130*3+45.15+105.79+105.79+620.27+452.53+431.79+75.25+1493+12777</f>
        <v>20306.57</v>
      </c>
      <c r="K7" s="3">
        <f>Table15[[#This Row],[الايصالات]]+Table15[[#This Row],[النولون]]-Table15[[#This Row],[خصم 3%]]</f>
        <v>58256.57</v>
      </c>
      <c r="M7" s="3">
        <f>M6+Table15[[#This Row],[اجمالي الفاتوره]]-Table15[[#This Row],[الدفعات]]</f>
        <v>188753.69999999998</v>
      </c>
    </row>
    <row r="8" spans="1:15" ht="29.25" customHeight="1" x14ac:dyDescent="0.3">
      <c r="A8" s="71">
        <v>1240</v>
      </c>
      <c r="B8" s="3">
        <v>6</v>
      </c>
      <c r="C8" s="4" t="s">
        <v>150</v>
      </c>
      <c r="D8" s="3" t="s">
        <v>179</v>
      </c>
      <c r="E8" s="3" t="s">
        <v>180</v>
      </c>
      <c r="F8" s="3">
        <v>263807631</v>
      </c>
      <c r="G8" s="3" t="s">
        <v>181</v>
      </c>
      <c r="H8" s="3">
        <f>3*12650</f>
        <v>37950</v>
      </c>
      <c r="J8" s="3">
        <f>810+1130*3+1135+829.66+475.15+483.63+411.68+365.21+8344.8+1990+17306</f>
        <v>35541.129999999997</v>
      </c>
      <c r="K8" s="3">
        <f>Table15[[#This Row],[الايصالات]]+Table15[[#This Row],[النولون]]-Table15[[#This Row],[خصم 3%]]</f>
        <v>73491.13</v>
      </c>
      <c r="M8" s="3">
        <f>M7+Table15[[#This Row],[اجمالي الفاتوره]]-Table15[[#This Row],[الدفعات]]</f>
        <v>262244.82999999996</v>
      </c>
    </row>
    <row r="9" spans="1:15" ht="29.25" customHeight="1" x14ac:dyDescent="0.3">
      <c r="A9" s="71">
        <v>1251</v>
      </c>
      <c r="B9" s="3">
        <v>7</v>
      </c>
      <c r="C9" s="4" t="s">
        <v>199</v>
      </c>
      <c r="D9" s="3" t="s">
        <v>179</v>
      </c>
      <c r="E9" s="3" t="s">
        <v>162</v>
      </c>
      <c r="F9" s="3">
        <v>265207698</v>
      </c>
      <c r="G9" s="3" t="s">
        <v>121</v>
      </c>
      <c r="H9" s="3">
        <v>18500</v>
      </c>
      <c r="J9" s="3">
        <f>100+1100+477.61+1812.6+500+4259</f>
        <v>8249.2099999999991</v>
      </c>
      <c r="K9" s="3">
        <f>Table15[[#This Row],[الايصالات]]+Table15[[#This Row],[النولون]]-Table15[[#This Row],[خصم 3%]]</f>
        <v>26749.21</v>
      </c>
      <c r="M9" s="3">
        <f>M8+Table15[[#This Row],[اجمالي الفاتوره]]-Table15[[#This Row],[الدفعات]]</f>
        <v>288994.03999999998</v>
      </c>
      <c r="N9" s="3">
        <f>SUM(K:K)-SUM(L:L)+M2</f>
        <v>229525.46000000043</v>
      </c>
    </row>
    <row r="10" spans="1:15" ht="29.25" customHeight="1" x14ac:dyDescent="0.3">
      <c r="A10" s="71">
        <v>1252</v>
      </c>
      <c r="B10" s="3">
        <v>8</v>
      </c>
      <c r="C10" s="4" t="s">
        <v>199</v>
      </c>
      <c r="D10" s="3" t="s">
        <v>179</v>
      </c>
      <c r="E10" s="3" t="s">
        <v>214</v>
      </c>
      <c r="F10" s="3">
        <v>265261670</v>
      </c>
      <c r="G10" s="3" t="s">
        <v>158</v>
      </c>
      <c r="H10" s="3">
        <f>2*18500+12650</f>
        <v>49650</v>
      </c>
      <c r="J10" s="3">
        <f>100*2+1130+1150+1100+449.19+551.63+458.19+68.08+68.08+105.79+75.25+1493+12774</f>
        <v>19623.21</v>
      </c>
      <c r="K10" s="3">
        <f>Table15[[#This Row],[الايصالات]]+Table15[[#This Row],[النولون]]-Table15[[#This Row],[خصم 3%]]</f>
        <v>69273.209999999992</v>
      </c>
      <c r="M10" s="3">
        <f>M9+Table15[[#This Row],[اجمالي الفاتوره]]-Table15[[#This Row],[الدفعات]]</f>
        <v>358267.25</v>
      </c>
    </row>
    <row r="11" spans="1:15" ht="29.25" customHeight="1" x14ac:dyDescent="0.3">
      <c r="B11" s="3">
        <v>9</v>
      </c>
      <c r="C11" s="3" t="s">
        <v>222</v>
      </c>
      <c r="D11" s="3" t="s">
        <v>230</v>
      </c>
      <c r="E11" s="3" t="s">
        <v>126</v>
      </c>
      <c r="F11" s="3">
        <v>263606928</v>
      </c>
      <c r="G11" s="3" t="s">
        <v>92</v>
      </c>
      <c r="H11" s="3">
        <f>18500*2</f>
        <v>37000</v>
      </c>
      <c r="J11" s="3">
        <f>1110+1100+581.31+480.8+48.59+45.15+100*2+79+2595.37+2162.81+997+50.2</f>
        <v>9450.2300000000014</v>
      </c>
      <c r="K11" s="3">
        <f>Table15[[#This Row],[الايصالات]]+Table15[[#This Row],[النولون]]-Table15[[#This Row],[خصم 3%]]</f>
        <v>46450.23</v>
      </c>
      <c r="M11" s="3">
        <f>M10+Table15[[#This Row],[اجمالي الفاتوره]]-Table15[[#This Row],[الدفعات]]</f>
        <v>404717.48</v>
      </c>
    </row>
    <row r="12" spans="1:15" ht="29.25" customHeight="1" x14ac:dyDescent="0.3">
      <c r="B12" s="3">
        <v>10</v>
      </c>
      <c r="C12" s="4" t="s">
        <v>275</v>
      </c>
      <c r="D12" s="3" t="s">
        <v>124</v>
      </c>
      <c r="E12" s="3" t="s">
        <v>126</v>
      </c>
      <c r="F12" s="3">
        <v>263862067</v>
      </c>
      <c r="G12" s="3" t="s">
        <v>285</v>
      </c>
      <c r="H12" s="3">
        <f>18500*6</f>
        <v>111000</v>
      </c>
      <c r="J12" s="3">
        <f>850+6*1100+591.35+463.84+551.63+631.06+463.84+466.67+3*50+3*79+2983+12517.2+25554</f>
        <v>52059.59</v>
      </c>
      <c r="K12" s="3">
        <f>Table15[[#This Row],[الايصالات]]+Table15[[#This Row],[النولون]]-Table15[[#This Row],[خصم 3%]]</f>
        <v>163059.59</v>
      </c>
      <c r="M12" s="3">
        <f>M11+Table15[[#This Row],[اجمالي الفاتوره]]-Table15[[#This Row],[الدفعات]]</f>
        <v>567777.06999999995</v>
      </c>
    </row>
    <row r="13" spans="1:15" ht="29.25" customHeight="1" x14ac:dyDescent="0.3">
      <c r="A13" s="81"/>
      <c r="B13" s="82"/>
      <c r="C13" s="83" t="s">
        <v>313</v>
      </c>
      <c r="D13" s="82" t="s">
        <v>314</v>
      </c>
      <c r="E13" s="82"/>
      <c r="F13" s="82"/>
      <c r="G13" s="82"/>
      <c r="H13" s="82"/>
      <c r="I13" s="82"/>
      <c r="J13" s="82"/>
      <c r="K13" s="82">
        <f>Table15[[#This Row],[الايصالات]]+Table15[[#This Row],[النولون]]-Table15[[#This Row],[خصم 3%]]</f>
        <v>0</v>
      </c>
      <c r="L13" s="82">
        <v>1337.59</v>
      </c>
      <c r="M13" s="82">
        <f>M12+Table15[[#This Row],[اجمالي الفاتوره]]-Table15[[#This Row],[الدفعات]]</f>
        <v>566439.48</v>
      </c>
    </row>
    <row r="14" spans="1:15" ht="29.25" customHeight="1" x14ac:dyDescent="0.3">
      <c r="B14" s="3">
        <v>11</v>
      </c>
      <c r="C14" s="4" t="s">
        <v>315</v>
      </c>
      <c r="D14" s="3" t="s">
        <v>124</v>
      </c>
      <c r="E14" s="3" t="s">
        <v>126</v>
      </c>
      <c r="F14" s="3">
        <v>266514943</v>
      </c>
      <c r="G14" s="3" t="s">
        <v>121</v>
      </c>
      <c r="H14" s="3">
        <v>18500</v>
      </c>
      <c r="J14" s="3">
        <f>1100+45.15+466.67+500+25.1+4259</f>
        <v>6395.92</v>
      </c>
      <c r="K14" s="3">
        <f>Table15[[#This Row],[الايصالات]]+Table15[[#This Row],[النولون]]-Table15[[#This Row],[خصم 3%]]</f>
        <v>24895.919999999998</v>
      </c>
      <c r="M14" s="3">
        <f>M13+Table15[[#This Row],[اجمالي الفاتوره]]-Table15[[#This Row],[الدفعات]]</f>
        <v>591335.4</v>
      </c>
    </row>
    <row r="15" spans="1:15" ht="29.25" customHeight="1" x14ac:dyDescent="0.3">
      <c r="B15" s="3">
        <v>12</v>
      </c>
      <c r="C15" s="4" t="s">
        <v>315</v>
      </c>
      <c r="D15" s="3" t="s">
        <v>123</v>
      </c>
      <c r="E15" s="3" t="s">
        <v>125</v>
      </c>
      <c r="F15" s="3">
        <v>262023060</v>
      </c>
      <c r="G15" s="3" t="s">
        <v>121</v>
      </c>
      <c r="H15" s="3">
        <v>12650</v>
      </c>
      <c r="J15" s="3">
        <f>1130+68.08+449.71+500+25.1+4259</f>
        <v>6431.8899999999994</v>
      </c>
      <c r="K15" s="3">
        <f>Table15[[#This Row],[الايصالات]]+Table15[[#This Row],[النولون]]-Table15[[#This Row],[خصم 3%]]</f>
        <v>19081.89</v>
      </c>
      <c r="M15" s="3">
        <f>M14+Table15[[#This Row],[اجمالي الفاتوره]]-Table15[[#This Row],[الدفعات]]</f>
        <v>610417.29</v>
      </c>
    </row>
    <row r="16" spans="1:15" ht="29.25" customHeight="1" x14ac:dyDescent="0.3">
      <c r="B16" s="3">
        <v>13</v>
      </c>
      <c r="C16" s="4" t="s">
        <v>342</v>
      </c>
      <c r="D16" s="3" t="s">
        <v>124</v>
      </c>
      <c r="E16" s="3" t="s">
        <v>126</v>
      </c>
      <c r="F16" s="3">
        <v>266559744</v>
      </c>
      <c r="G16" s="3" t="s">
        <v>121</v>
      </c>
      <c r="H16" s="3">
        <v>18500</v>
      </c>
      <c r="J16" s="3">
        <f>1100+487.68+500+2086.2+4259</f>
        <v>8432.880000000001</v>
      </c>
      <c r="K16" s="3">
        <f>Table15[[#This Row],[الايصالات]]+Table15[[#This Row],[النولون]]-Table15[[#This Row],[خصم 3%]]</f>
        <v>26932.880000000001</v>
      </c>
      <c r="M16" s="3">
        <f>M15+Table15[[#This Row],[اجمالي الفاتوره]]-Table15[[#This Row],[الدفعات]]</f>
        <v>637350.17000000004</v>
      </c>
    </row>
    <row r="17" spans="1:13" ht="29.25" customHeight="1" x14ac:dyDescent="0.3">
      <c r="A17" s="81"/>
      <c r="B17" s="82"/>
      <c r="C17" s="83" t="s">
        <v>351</v>
      </c>
      <c r="D17" s="82"/>
      <c r="E17" s="82"/>
      <c r="F17" s="82"/>
      <c r="G17" s="82"/>
      <c r="H17" s="82"/>
      <c r="I17" s="82"/>
      <c r="J17" s="82"/>
      <c r="K17" s="82">
        <f>Table15[[#This Row],[الايصالات]]+Table15[[#This Row],[النولون]]-Table15[[#This Row],[خصم 3%]]</f>
        <v>0</v>
      </c>
      <c r="L17" s="82">
        <v>130000</v>
      </c>
      <c r="M17" s="82">
        <f>M16+Table15[[#This Row],[اجمالي الفاتوره]]-Table15[[#This Row],[الدفعات]]</f>
        <v>507350.17000000004</v>
      </c>
    </row>
    <row r="18" spans="1:13" ht="29.25" customHeight="1" x14ac:dyDescent="0.3">
      <c r="B18" s="3">
        <v>14</v>
      </c>
      <c r="C18" s="4" t="s">
        <v>368</v>
      </c>
      <c r="D18" s="3" t="s">
        <v>230</v>
      </c>
      <c r="E18" s="3" t="s">
        <v>126</v>
      </c>
      <c r="F18" s="3">
        <v>266946509</v>
      </c>
      <c r="G18" s="3" t="s">
        <v>181</v>
      </c>
      <c r="H18" s="3">
        <f>18500*4</f>
        <v>74000</v>
      </c>
      <c r="J18" s="3">
        <f>850+1100*4+829.66+818.85+606.62*2+105.79*2+119.56*2+4493.42+1990+17033+100.35</f>
        <v>32179.22</v>
      </c>
      <c r="K18" s="3">
        <f>Table15[[#This Row],[الايصالات]]+Table15[[#This Row],[النولون]]-Table15[[#This Row],[خصم 3%]]</f>
        <v>106179.22</v>
      </c>
      <c r="M18" s="3">
        <f>M17+Table15[[#This Row],[اجمالي الفاتوره]]-Table15[[#This Row],[الدفعات]]</f>
        <v>613529.39</v>
      </c>
    </row>
    <row r="19" spans="1:13" ht="29.25" customHeight="1" x14ac:dyDescent="0.3">
      <c r="B19" s="3">
        <v>15</v>
      </c>
      <c r="C19" s="4" t="s">
        <v>368</v>
      </c>
      <c r="D19" s="3" t="s">
        <v>230</v>
      </c>
      <c r="E19" s="3" t="s">
        <v>126</v>
      </c>
      <c r="F19" s="3">
        <v>266917332</v>
      </c>
      <c r="G19" s="3" t="s">
        <v>285</v>
      </c>
      <c r="H19" s="3">
        <f>18500*6</f>
        <v>111000</v>
      </c>
      <c r="J19" s="3">
        <f>50*4+850+810+1100*6+477.98+789.94+869.38+789.94+494.57+844.76+12517.2+2983+25549</f>
        <v>53775.770000000004</v>
      </c>
      <c r="K19" s="3">
        <f>Table15[[#This Row],[الايصالات]]+Table15[[#This Row],[النولون]]-Table15[[#This Row],[خصم 3%]]</f>
        <v>164775.77000000002</v>
      </c>
      <c r="M19" s="3">
        <f>M18+Table15[[#This Row],[اجمالي الفاتوره]]-Table15[[#This Row],[الدفعات]]</f>
        <v>778305.16</v>
      </c>
    </row>
    <row r="20" spans="1:13" ht="29.25" customHeight="1" x14ac:dyDescent="0.3">
      <c r="A20" s="81"/>
      <c r="B20" s="82"/>
      <c r="C20" s="83" t="s">
        <v>387</v>
      </c>
      <c r="D20" s="82"/>
      <c r="E20" s="82"/>
      <c r="F20" s="82"/>
      <c r="G20" s="82"/>
      <c r="H20" s="82"/>
      <c r="I20" s="82"/>
      <c r="J20" s="82"/>
      <c r="K20" s="82">
        <f>Table15[[#This Row],[الايصالات]]+Table15[[#This Row],[النولون]]-Table15[[#This Row],[خصم 3%]]</f>
        <v>0</v>
      </c>
      <c r="L20" s="82">
        <v>150000</v>
      </c>
      <c r="M20" s="82">
        <f>M19+Table15[[#This Row],[اجمالي الفاتوره]]-Table15[[#This Row],[الدفعات]]</f>
        <v>628305.16</v>
      </c>
    </row>
    <row r="21" spans="1:13" ht="29.25" customHeight="1" x14ac:dyDescent="0.3">
      <c r="B21" s="3">
        <v>16</v>
      </c>
      <c r="C21" s="4">
        <v>46123</v>
      </c>
      <c r="D21" s="3" t="s">
        <v>147</v>
      </c>
      <c r="E21" s="3" t="s">
        <v>125</v>
      </c>
      <c r="F21" s="3">
        <v>268741834</v>
      </c>
      <c r="G21" s="3" t="s">
        <v>121</v>
      </c>
      <c r="H21" s="3">
        <v>13900</v>
      </c>
      <c r="J21" s="3">
        <f>850+1130+466.67+2694.96+500+4615</f>
        <v>10256.630000000001</v>
      </c>
      <c r="K21" s="3">
        <f>Table15[[#This Row],[الايصالات]]+Table15[[#This Row],[النولون]]-Table15[[#This Row],[خصم 3%]]</f>
        <v>24156.63</v>
      </c>
      <c r="M21" s="3">
        <f>M20+Table15[[#This Row],[اجمالي الفاتوره]]-Table15[[#This Row],[الدفعات]]</f>
        <v>652461.79</v>
      </c>
    </row>
    <row r="22" spans="1:13" ht="29.25" customHeight="1" x14ac:dyDescent="0.3">
      <c r="B22" s="3">
        <v>17</v>
      </c>
      <c r="C22" s="4">
        <v>46123</v>
      </c>
      <c r="D22" s="3" t="s">
        <v>124</v>
      </c>
      <c r="E22" s="3" t="s">
        <v>126</v>
      </c>
      <c r="F22" s="3">
        <v>266999417</v>
      </c>
      <c r="G22" s="3" t="s">
        <v>92</v>
      </c>
      <c r="H22" s="3">
        <f>2*20350</f>
        <v>40700</v>
      </c>
      <c r="J22" s="3">
        <f>114+1100*2+495.8+496.42+4172.4+997+9230</f>
        <v>17705.62</v>
      </c>
      <c r="K22" s="3">
        <f>Table15[[#This Row],[الايصالات]]+Table15[[#This Row],[النولون]]-Table15[[#This Row],[خصم 3%]]</f>
        <v>58405.619999999995</v>
      </c>
      <c r="M22" s="3">
        <f>M21+Table15[[#This Row],[اجمالي الفاتوره]]-Table15[[#This Row],[الدفعات]]</f>
        <v>710867.41</v>
      </c>
    </row>
    <row r="23" spans="1:13" ht="29.25" customHeight="1" x14ac:dyDescent="0.3">
      <c r="B23" s="3">
        <v>18</v>
      </c>
      <c r="C23" s="4">
        <v>46123</v>
      </c>
      <c r="D23" s="3" t="s">
        <v>124</v>
      </c>
      <c r="E23" s="3" t="s">
        <v>126</v>
      </c>
      <c r="F23" s="3">
        <v>269126366</v>
      </c>
      <c r="G23" s="3" t="s">
        <v>121</v>
      </c>
      <c r="H23" s="3">
        <v>20350</v>
      </c>
      <c r="J23" s="3">
        <f>1100+475.15+1896.96+500+4615</f>
        <v>8587.11</v>
      </c>
      <c r="K23" s="3">
        <f>Table15[[#This Row],[الايصالات]]+Table15[[#This Row],[النولون]]-Table15[[#This Row],[خصم 3%]]</f>
        <v>28937.11</v>
      </c>
      <c r="M23" s="3">
        <f>M22+Table15[[#This Row],[اجمالي الفاتوره]]-Table15[[#This Row],[الدفعات]]</f>
        <v>739804.52</v>
      </c>
    </row>
    <row r="24" spans="1:13" ht="29.25" customHeight="1" x14ac:dyDescent="0.3">
      <c r="B24" s="3">
        <v>19</v>
      </c>
      <c r="C24" s="92">
        <v>46123</v>
      </c>
      <c r="D24" s="3" t="s">
        <v>124</v>
      </c>
      <c r="E24" s="3" t="s">
        <v>126</v>
      </c>
      <c r="F24" s="3">
        <v>266901179</v>
      </c>
      <c r="G24" s="3" t="s">
        <v>92</v>
      </c>
      <c r="H24" s="3">
        <f>2*20350</f>
        <v>40700</v>
      </c>
      <c r="J24" s="3">
        <f>850+114+79+1100+1100+463.84+466.67+4591.92+997+9230</f>
        <v>18992.43</v>
      </c>
      <c r="K24" s="3">
        <f>Table15[[#This Row],[الايصالات]]+Table15[[#This Row],[النولون]]-Table15[[#This Row],[خصم 3%]]</f>
        <v>59692.43</v>
      </c>
      <c r="M24" s="3">
        <f>M23+Table15[[#This Row],[اجمالي الفاتوره]]-Table15[[#This Row],[الدفعات]]</f>
        <v>799496.95000000007</v>
      </c>
    </row>
    <row r="25" spans="1:13" ht="29.25" customHeight="1" x14ac:dyDescent="0.3">
      <c r="A25" s="81"/>
      <c r="B25" s="82"/>
      <c r="C25" s="83">
        <v>46123</v>
      </c>
      <c r="D25" s="82"/>
      <c r="E25" s="82"/>
      <c r="F25" s="82"/>
      <c r="G25" s="82"/>
      <c r="H25" s="82"/>
      <c r="I25" s="82"/>
      <c r="J25" s="82"/>
      <c r="K25" s="82">
        <f>Table15[[#This Row],[الايصالات]]+Table15[[#This Row],[النولون]]-Table15[[#This Row],[خصم 3%]]</f>
        <v>0</v>
      </c>
      <c r="L25" s="82">
        <v>50000</v>
      </c>
      <c r="M25" s="82">
        <f>M24+Table15[[#This Row],[اجمالي الفاتوره]]-Table15[[#This Row],[الدفعات]]</f>
        <v>749496.95000000007</v>
      </c>
    </row>
    <row r="26" spans="1:13" ht="29.25" customHeight="1" x14ac:dyDescent="0.3">
      <c r="A26" s="81"/>
      <c r="B26" s="82"/>
      <c r="C26" s="83">
        <v>46135</v>
      </c>
      <c r="D26" s="82"/>
      <c r="E26" s="82"/>
      <c r="F26" s="82"/>
      <c r="G26" s="82"/>
      <c r="H26" s="82"/>
      <c r="I26" s="82"/>
      <c r="J26" s="82"/>
      <c r="K26" s="82">
        <f>Table15[[#This Row],[الايصالات]]+Table15[[#This Row],[النولون]]-Table15[[#This Row],[خصم 3%]]</f>
        <v>0</v>
      </c>
      <c r="L26" s="82">
        <v>100000</v>
      </c>
      <c r="M26" s="82">
        <f>M25+Table15[[#This Row],[اجمالي الفاتوره]]-Table15[[#This Row],[الدفعات]]</f>
        <v>649496.95000000007</v>
      </c>
    </row>
    <row r="27" spans="1:13" ht="29.25" customHeight="1" x14ac:dyDescent="0.3">
      <c r="B27" s="3">
        <v>20</v>
      </c>
      <c r="C27" s="4">
        <v>46137</v>
      </c>
      <c r="D27" s="3" t="s">
        <v>124</v>
      </c>
      <c r="E27" s="3" t="s">
        <v>126</v>
      </c>
      <c r="F27" s="3">
        <v>269630363</v>
      </c>
      <c r="G27" s="3" t="s">
        <v>92</v>
      </c>
      <c r="H27" s="3">
        <f>20350*2</f>
        <v>40700</v>
      </c>
      <c r="J27" s="3">
        <f>1100*2+105.79+45.15+472.32+490.77+79.8+997+9230</f>
        <v>13620.83</v>
      </c>
      <c r="K27" s="3">
        <f>Table15[[#This Row],[الايصالات]]+Table15[[#This Row],[النولون]]-Table15[[#This Row],[خصم 3%]]</f>
        <v>54320.83</v>
      </c>
      <c r="M27" s="3">
        <f>M26+Table15[[#This Row],[اجمالي الفاتوره]]-Table15[[#This Row],[الدفعات]]</f>
        <v>703817.78</v>
      </c>
    </row>
    <row r="28" spans="1:13" ht="29.25" customHeight="1" x14ac:dyDescent="0.3">
      <c r="A28" s="81"/>
      <c r="B28" s="82"/>
      <c r="C28" s="83">
        <v>46146</v>
      </c>
      <c r="D28" s="82"/>
      <c r="E28" s="82"/>
      <c r="F28" s="82"/>
      <c r="G28" s="82"/>
      <c r="H28" s="82"/>
      <c r="I28" s="82"/>
      <c r="J28" s="82"/>
      <c r="K28" s="82">
        <f>Table15[[#This Row],[الايصالات]]+Table15[[#This Row],[النولون]]-Table15[[#This Row],[خصم 3%]]</f>
        <v>0</v>
      </c>
      <c r="L28" s="82">
        <v>250000</v>
      </c>
      <c r="M28" s="82">
        <f>M27+Table15[[#This Row],[اجمالي الفاتوره]]-Table15[[#This Row],[الدفعات]]</f>
        <v>453817.78</v>
      </c>
    </row>
    <row r="29" spans="1:13" ht="29.25" customHeight="1" x14ac:dyDescent="0.3">
      <c r="A29" s="81"/>
      <c r="B29" s="82"/>
      <c r="C29" s="83">
        <v>46163</v>
      </c>
      <c r="D29" s="82"/>
      <c r="E29" s="82"/>
      <c r="F29" s="82"/>
      <c r="G29" s="82"/>
      <c r="H29" s="82"/>
      <c r="I29" s="82"/>
      <c r="J29" s="82"/>
      <c r="K29" s="82">
        <f>Table15[[#This Row],[الايصالات]]+Table15[[#This Row],[النولون]]-Table15[[#This Row],[خصم 3%]]</f>
        <v>0</v>
      </c>
      <c r="L29" s="82">
        <v>100000</v>
      </c>
      <c r="M29" s="82">
        <f>M28+Table15[[#This Row],[اجمالي الفاتوره]]-Table15[[#This Row],[الدفعات]]</f>
        <v>353817.78</v>
      </c>
    </row>
    <row r="30" spans="1:13" ht="29.25" customHeight="1" x14ac:dyDescent="0.3">
      <c r="B30" s="3">
        <v>21</v>
      </c>
      <c r="C30" s="4">
        <v>46172</v>
      </c>
      <c r="D30" s="3" t="s">
        <v>124</v>
      </c>
      <c r="E30" s="3" t="s">
        <v>126</v>
      </c>
      <c r="F30" s="3">
        <v>270484751</v>
      </c>
      <c r="G30" s="3" t="s">
        <v>92</v>
      </c>
      <c r="H30" s="3">
        <f>20350*2</f>
        <v>40700</v>
      </c>
      <c r="J30" s="3">
        <f>1100*2+469.5+472.32+45.15+105.79+997+9229</f>
        <v>13518.76</v>
      </c>
      <c r="K30" s="3">
        <f>Table15[[#This Row],[الايصالات]]+Table15[[#This Row],[النولون]]-Table15[[#This Row],[خصم 3%]]</f>
        <v>54218.76</v>
      </c>
      <c r="M30" s="3">
        <f>M29+Table15[[#This Row],[اجمالي الفاتوره]]-Table15[[#This Row],[الدفعات]]</f>
        <v>408036.54000000004</v>
      </c>
    </row>
    <row r="31" spans="1:13" ht="29.25" customHeight="1" x14ac:dyDescent="0.3">
      <c r="B31" s="3">
        <v>22</v>
      </c>
      <c r="C31" s="4">
        <v>46172</v>
      </c>
      <c r="D31" s="3" t="s">
        <v>124</v>
      </c>
      <c r="E31" s="3" t="s">
        <v>126</v>
      </c>
      <c r="F31" s="3">
        <v>270739972</v>
      </c>
      <c r="G31" s="3" t="s">
        <v>121</v>
      </c>
      <c r="H31" s="3">
        <v>20350</v>
      </c>
      <c r="J31" s="3">
        <f>850+1100+480.8+45.15+79.8+500+4615</f>
        <v>7670.75</v>
      </c>
      <c r="K31" s="3">
        <f>Table15[[#This Row],[الايصالات]]+Table15[[#This Row],[النولون]]-Table15[[#This Row],[خصم 3%]]</f>
        <v>28020.75</v>
      </c>
      <c r="M31" s="3">
        <f>M30+Table15[[#This Row],[اجمالي الفاتوره]]-Table15[[#This Row],[الدفعات]]</f>
        <v>436057.29000000004</v>
      </c>
    </row>
    <row r="32" spans="1:13" ht="29.25" customHeight="1" x14ac:dyDescent="0.3">
      <c r="A32" s="81"/>
      <c r="B32" s="82"/>
      <c r="C32" s="83">
        <v>46182</v>
      </c>
      <c r="D32" s="82"/>
      <c r="E32" s="82"/>
      <c r="F32" s="82"/>
      <c r="G32" s="82"/>
      <c r="H32" s="82"/>
      <c r="I32" s="82"/>
      <c r="J32" s="82"/>
      <c r="K32" s="82">
        <f>Table15[[#This Row],[الايصالات]]+Table15[[#This Row],[النولون]]-Table15[[#This Row],[خصم 3%]]</f>
        <v>0</v>
      </c>
      <c r="L32" s="82">
        <v>100000</v>
      </c>
      <c r="M32" s="82">
        <f>M31+Table15[[#This Row],[اجمالي الفاتوره]]-Table15[[#This Row],[الدفعات]]</f>
        <v>336057.29000000004</v>
      </c>
    </row>
    <row r="33" spans="1:13" ht="29.25" customHeight="1" x14ac:dyDescent="0.3">
      <c r="B33" s="3">
        <v>23</v>
      </c>
      <c r="C33" s="4">
        <v>46187</v>
      </c>
      <c r="D33" s="3" t="s">
        <v>613</v>
      </c>
      <c r="E33" s="3" t="s">
        <v>118</v>
      </c>
      <c r="F33" s="3">
        <v>270849531</v>
      </c>
      <c r="G33" s="3" t="s">
        <v>181</v>
      </c>
      <c r="H33" s="3">
        <f>13900*4</f>
        <v>55600</v>
      </c>
      <c r="J33" s="3">
        <f>810+1100*3+1130+469.5+588.38+551.63+452.53+100+75*4+9180+1990+18746</f>
        <v>37618.04</v>
      </c>
      <c r="K33" s="3">
        <f>Table15[[#This Row],[الايصالات]]+Table15[[#This Row],[النولون]]-Table15[[#This Row],[خصم 3%]]</f>
        <v>93218.040000000008</v>
      </c>
      <c r="M33" s="3">
        <f>M32+Table15[[#This Row],[اجمالي الفاتوره]]-Table15[[#This Row],[الدفعات]]</f>
        <v>429275.33000000007</v>
      </c>
    </row>
    <row r="34" spans="1:13" ht="29.25" customHeight="1" x14ac:dyDescent="0.3">
      <c r="B34" s="3">
        <v>24</v>
      </c>
      <c r="C34" s="4">
        <v>46187</v>
      </c>
      <c r="D34" s="3" t="s">
        <v>230</v>
      </c>
      <c r="E34" s="3" t="s">
        <v>126</v>
      </c>
      <c r="F34" s="3">
        <v>270708240</v>
      </c>
      <c r="G34" s="3" t="s">
        <v>92</v>
      </c>
      <c r="H34" s="3">
        <f>20350*2</f>
        <v>40700</v>
      </c>
      <c r="J34" s="3">
        <f>810+1100*2+475.15+477.98+4590+997</f>
        <v>9550.130000000001</v>
      </c>
      <c r="K34" s="3">
        <f>Table15[[#This Row],[الايصالات]]+Table15[[#This Row],[النولون]]-Table15[[#This Row],[خصم 3%]]</f>
        <v>50250.130000000005</v>
      </c>
      <c r="M34" s="3">
        <f>M33+Table15[[#This Row],[اجمالي الفاتوره]]-Table15[[#This Row],[الدفعات]]</f>
        <v>479525.46000000008</v>
      </c>
    </row>
    <row r="35" spans="1:13" ht="29.25" customHeight="1" x14ac:dyDescent="0.3">
      <c r="A35" s="81"/>
      <c r="B35" s="82"/>
      <c r="C35" s="83">
        <v>46189</v>
      </c>
      <c r="D35" s="82"/>
      <c r="E35" s="82"/>
      <c r="F35" s="82"/>
      <c r="G35" s="82"/>
      <c r="H35" s="82"/>
      <c r="I35" s="82"/>
      <c r="J35" s="82"/>
      <c r="K35" s="82">
        <f>Table15[[#This Row],[الايصالات]]+Table15[[#This Row],[النولون]]-Table15[[#This Row],[خصم 3%]]</f>
        <v>0</v>
      </c>
      <c r="L35" s="82">
        <v>100000</v>
      </c>
      <c r="M35" s="82">
        <f>M34+Table15[[#This Row],[اجمالي الفاتوره]]-Table15[[#This Row],[الدفعات]]</f>
        <v>379525.46000000008</v>
      </c>
    </row>
    <row r="36" spans="1:13" ht="29.25" customHeight="1" x14ac:dyDescent="0.3">
      <c r="A36" s="81"/>
      <c r="B36" s="82"/>
      <c r="C36" s="83">
        <v>46204</v>
      </c>
      <c r="D36" s="82"/>
      <c r="E36" s="82"/>
      <c r="F36" s="82"/>
      <c r="G36" s="82"/>
      <c r="H36" s="82"/>
      <c r="I36" s="82"/>
      <c r="J36" s="82"/>
      <c r="K36" s="82">
        <f>Table15[[#This Row],[الايصالات]]+Table15[[#This Row],[النولون]]-Table15[[#This Row],[خصم 3%]]</f>
        <v>0</v>
      </c>
      <c r="L36" s="82">
        <v>150000</v>
      </c>
      <c r="M36" s="82">
        <f>M35+Table15[[#This Row],[اجمالي الفاتوره]]-Table15[[#This Row],[الدفعات]]</f>
        <v>229525.46000000008</v>
      </c>
    </row>
    <row r="37" spans="1:13" ht="29.25" customHeight="1" x14ac:dyDescent="0.3">
      <c r="K37" s="3">
        <f>Table15[[#This Row],[الايصالات]]+Table15[[#This Row],[النولون]]-Table15[[#This Row],[خصم 3%]]</f>
        <v>0</v>
      </c>
      <c r="M37" s="3">
        <f>M36+Table15[[#This Row],[اجمالي الفاتوره]]-Table15[[#This Row],[الدفعات]]</f>
        <v>229525.46000000008</v>
      </c>
    </row>
    <row r="38" spans="1:13" ht="29.25" customHeight="1" x14ac:dyDescent="0.3">
      <c r="K38" s="3">
        <f>Table15[[#This Row],[الايصالات]]+Table15[[#This Row],[النولون]]-Table15[[#This Row],[خصم 3%]]</f>
        <v>0</v>
      </c>
      <c r="M38" s="3">
        <f>M37+Table15[[#This Row],[اجمالي الفاتوره]]-Table15[[#This Row],[الدفعات]]</f>
        <v>229525.46000000008</v>
      </c>
    </row>
    <row r="39" spans="1:13" ht="29.25" customHeight="1" x14ac:dyDescent="0.3">
      <c r="C39" s="4"/>
      <c r="K39" s="3">
        <f>Table15[[#This Row],[الايصالات]]+Table15[[#This Row],[النولون]]-Table15[[#This Row],[خصم 3%]]</f>
        <v>0</v>
      </c>
      <c r="M39" s="3">
        <f>M38+Table15[[#This Row],[اجمالي الفاتوره]]-Table15[[#This Row],[الدفعات]]</f>
        <v>229525.46000000008</v>
      </c>
    </row>
    <row r="40" spans="1:13" ht="29.25" customHeight="1" x14ac:dyDescent="0.3">
      <c r="K40" s="3">
        <f>Table15[[#This Row],[الايصالات]]+Table15[[#This Row],[النولون]]-Table15[[#This Row],[خصم 3%]]</f>
        <v>0</v>
      </c>
      <c r="M40" s="3">
        <f>M39+Table15[[#This Row],[اجمالي الفاتوره]]-Table15[[#This Row],[الدفعات]]</f>
        <v>229525.46000000008</v>
      </c>
    </row>
    <row r="41" spans="1:13" ht="29.25" customHeight="1" x14ac:dyDescent="0.3">
      <c r="C41" s="4"/>
      <c r="K41" s="3">
        <f>Table15[[#This Row],[الايصالات]]+Table15[[#This Row],[النولون]]-Table15[[#This Row],[خصم 3%]]</f>
        <v>0</v>
      </c>
      <c r="M41" s="3">
        <f>M40+Table15[[#This Row],[اجمالي الفاتوره]]-Table15[[#This Row],[الدفعات]]</f>
        <v>229525.46000000008</v>
      </c>
    </row>
    <row r="42" spans="1:13" ht="29.25" customHeight="1" x14ac:dyDescent="0.3">
      <c r="C42" s="4"/>
      <c r="K42" s="3">
        <f>Table15[[#This Row],[الايصالات]]+Table15[[#This Row],[النولون]]-Table15[[#This Row],[خصم 3%]]</f>
        <v>0</v>
      </c>
      <c r="M42" s="3">
        <f>M41+Table15[[#This Row],[اجمالي الفاتوره]]-Table15[[#This Row],[الدفعات]]</f>
        <v>229525.46000000008</v>
      </c>
    </row>
    <row r="43" spans="1:13" ht="29.25" customHeight="1" x14ac:dyDescent="0.3">
      <c r="C43" s="4"/>
      <c r="K43" s="3">
        <f>Table15[[#This Row],[الايصالات]]+Table15[[#This Row],[النولون]]-Table15[[#This Row],[خصم 3%]]</f>
        <v>0</v>
      </c>
      <c r="M43" s="3">
        <f>M42+Table15[[#This Row],[اجمالي الفاتوره]]-Table15[[#This Row],[الدفعات]]</f>
        <v>229525.46000000008</v>
      </c>
    </row>
    <row r="44" spans="1:13" ht="29.25" customHeight="1" x14ac:dyDescent="0.3">
      <c r="C44" s="4"/>
      <c r="K44" s="3">
        <f>Table15[[#This Row],[الايصالات]]+Table15[[#This Row],[النولون]]-Table15[[#This Row],[خصم 3%]]</f>
        <v>0</v>
      </c>
      <c r="M44" s="3">
        <f>M43+Table15[[#This Row],[اجمالي الفاتوره]]-Table15[[#This Row],[الدفعات]]</f>
        <v>229525.46000000008</v>
      </c>
    </row>
    <row r="45" spans="1:13" ht="29.25" customHeight="1" x14ac:dyDescent="0.3">
      <c r="K45" s="3">
        <f>Table15[[#This Row],[الايصالات]]+Table15[[#This Row],[النولون]]-Table15[[#This Row],[خصم 3%]]</f>
        <v>0</v>
      </c>
      <c r="M45" s="3">
        <f>M44+Table15[[#This Row],[اجمالي الفاتوره]]-Table15[[#This Row],[الدفعات]]</f>
        <v>229525.46000000008</v>
      </c>
    </row>
    <row r="46" spans="1:13" ht="29.25" customHeight="1" x14ac:dyDescent="0.3">
      <c r="K46" s="3">
        <f>Table15[[#This Row],[الايصالات]]+Table15[[#This Row],[النولون]]-Table15[[#This Row],[خصم 3%]]</f>
        <v>0</v>
      </c>
      <c r="M46" s="3">
        <f>M45+Table15[[#This Row],[اجمالي الفاتوره]]-Table15[[#This Row],[الدفعات]]</f>
        <v>229525.46000000008</v>
      </c>
    </row>
    <row r="47" spans="1:13" ht="29.25" customHeight="1" x14ac:dyDescent="0.3">
      <c r="K47" s="3">
        <f>Table15[[#This Row],[الايصالات]]+Table15[[#This Row],[النولون]]-Table15[[#This Row],[خصم 3%]]</f>
        <v>0</v>
      </c>
      <c r="M47" s="3">
        <f>M46+Table15[[#This Row],[اجمالي الفاتوره]]-Table15[[#This Row],[الدفعات]]</f>
        <v>229525.46000000008</v>
      </c>
    </row>
    <row r="48" spans="1:13" ht="29.25" customHeight="1" x14ac:dyDescent="0.3">
      <c r="C48" s="4"/>
      <c r="K48" s="3">
        <f>Table15[[#This Row],[الايصالات]]+Table15[[#This Row],[النولون]]-Table15[[#This Row],[خصم 3%]]</f>
        <v>0</v>
      </c>
      <c r="M48" s="3">
        <f>M47+Table15[[#This Row],[اجمالي الفاتوره]]-Table15[[#This Row],[الدفعات]]</f>
        <v>229525.46000000008</v>
      </c>
    </row>
    <row r="49" spans="3:13" ht="29.25" customHeight="1" x14ac:dyDescent="0.3">
      <c r="C49" s="4"/>
      <c r="K49" s="3">
        <f>Table15[[#This Row],[الايصالات]]+Table15[[#This Row],[النولون]]-Table15[[#This Row],[خصم 3%]]</f>
        <v>0</v>
      </c>
      <c r="M49" s="3">
        <f>M48+Table15[[#This Row],[اجمالي الفاتوره]]-Table15[[#This Row],[الدفعات]]</f>
        <v>229525.46000000008</v>
      </c>
    </row>
    <row r="50" spans="3:13" ht="29.25" customHeight="1" x14ac:dyDescent="0.3">
      <c r="C50" s="4"/>
      <c r="K50" s="3">
        <f>Table15[[#This Row],[الايصالات]]+Table15[[#This Row],[النولون]]-Table15[[#This Row],[خصم 3%]]</f>
        <v>0</v>
      </c>
      <c r="M50" s="3">
        <f>M49+Table15[[#This Row],[اجمالي الفاتوره]]-Table15[[#This Row],[الدفعات]]</f>
        <v>229525.46000000008</v>
      </c>
    </row>
    <row r="51" spans="3:13" ht="29.25" customHeight="1" x14ac:dyDescent="0.3">
      <c r="K51" s="3">
        <f>Table15[[#This Row],[الايصالات]]+Table15[[#This Row],[النولون]]-Table15[[#This Row],[خصم 3%]]</f>
        <v>0</v>
      </c>
      <c r="M51" s="3">
        <f>M50+Table15[[#This Row],[اجمالي الفاتوره]]-Table15[[#This Row],[الدفعات]]</f>
        <v>229525.46000000008</v>
      </c>
    </row>
    <row r="52" spans="3:13" ht="29.25" customHeight="1" x14ac:dyDescent="0.3">
      <c r="C52" s="4"/>
      <c r="K52" s="3">
        <f>Table15[[#This Row],[الايصالات]]+Table15[[#This Row],[النولون]]-Table15[[#This Row],[خصم 3%]]</f>
        <v>0</v>
      </c>
      <c r="M52" s="3">
        <f>M51+Table15[[#This Row],[اجمالي الفاتوره]]-Table15[[#This Row],[الدفعات]]</f>
        <v>229525.46000000008</v>
      </c>
    </row>
    <row r="53" spans="3:13" ht="29.25" customHeight="1" x14ac:dyDescent="0.3">
      <c r="C53" s="4"/>
      <c r="K53" s="3">
        <f>Table15[[#This Row],[الايصالات]]+Table15[[#This Row],[النولون]]-Table15[[#This Row],[خصم 3%]]</f>
        <v>0</v>
      </c>
      <c r="M53" s="3">
        <f>M52+Table15[[#This Row],[اجمالي الفاتوره]]-Table15[[#This Row],[الدفعات]]</f>
        <v>229525.46000000008</v>
      </c>
    </row>
    <row r="54" spans="3:13" ht="29.25" customHeight="1" x14ac:dyDescent="0.3">
      <c r="C54" s="4"/>
      <c r="K54" s="3">
        <f>Table15[[#This Row],[الايصالات]]+Table15[[#This Row],[النولون]]-Table15[[#This Row],[خصم 3%]]</f>
        <v>0</v>
      </c>
      <c r="M54" s="3">
        <f>M53+Table15[[#This Row],[اجمالي الفاتوره]]-Table15[[#This Row],[الدفعات]]</f>
        <v>229525.46000000008</v>
      </c>
    </row>
    <row r="55" spans="3:13" ht="29.25" customHeight="1" x14ac:dyDescent="0.3">
      <c r="K55" s="3">
        <f>Table15[[#This Row],[الايصالات]]+Table15[[#This Row],[النولون]]-Table15[[#This Row],[خصم 3%]]</f>
        <v>0</v>
      </c>
      <c r="M55" s="3">
        <f>M54+Table15[[#This Row],[اجمالي الفاتوره]]-Table15[[#This Row],[الدفعات]]</f>
        <v>229525.46000000008</v>
      </c>
    </row>
    <row r="56" spans="3:13" ht="29.25" customHeight="1" x14ac:dyDescent="0.3">
      <c r="C56" s="4"/>
      <c r="K56" s="3">
        <f>Table15[[#This Row],[الايصالات]]+Table15[[#This Row],[النولون]]-Table15[[#This Row],[خصم 3%]]</f>
        <v>0</v>
      </c>
      <c r="M56" s="3">
        <f>M55+Table15[[#This Row],[اجمالي الفاتوره]]-Table15[[#This Row],[الدفعات]]</f>
        <v>229525.46000000008</v>
      </c>
    </row>
    <row r="57" spans="3:13" ht="29.25" customHeight="1" x14ac:dyDescent="0.3">
      <c r="C57" s="4"/>
      <c r="K57" s="3">
        <f>Table15[[#This Row],[الايصالات]]+Table15[[#This Row],[النولون]]-Table15[[#This Row],[خصم 3%]]</f>
        <v>0</v>
      </c>
      <c r="M57" s="3">
        <f>M56+Table15[[#This Row],[اجمالي الفاتوره]]-Table15[[#This Row],[الدفعات]]</f>
        <v>229525.46000000008</v>
      </c>
    </row>
    <row r="58" spans="3:13" ht="29.25" customHeight="1" x14ac:dyDescent="0.3">
      <c r="K58" s="3">
        <f>Table15[[#This Row],[الايصالات]]+Table15[[#This Row],[النولون]]-Table15[[#This Row],[خصم 3%]]</f>
        <v>0</v>
      </c>
      <c r="M58" s="3">
        <f>M57+Table15[[#This Row],[اجمالي الفاتوره]]-Table15[[#This Row],[الدفعات]]</f>
        <v>229525.46000000008</v>
      </c>
    </row>
    <row r="59" spans="3:13" ht="29.25" customHeight="1" x14ac:dyDescent="0.3">
      <c r="K59" s="3">
        <f>Table15[[#This Row],[الايصالات]]+Table15[[#This Row],[النولون]]-Table15[[#This Row],[خصم 3%]]</f>
        <v>0</v>
      </c>
      <c r="M59" s="3">
        <f>M58+Table15[[#This Row],[اجمالي الفاتوره]]-Table15[[#This Row],[الدفعات]]</f>
        <v>229525.46000000008</v>
      </c>
    </row>
    <row r="60" spans="3:13" ht="29.25" customHeight="1" x14ac:dyDescent="0.3">
      <c r="C60" s="4"/>
      <c r="K60" s="3">
        <f>Table15[[#This Row],[الايصالات]]+Table15[[#This Row],[النولون]]-Table15[[#This Row],[خصم 3%]]</f>
        <v>0</v>
      </c>
      <c r="M60" s="3">
        <f>M59+Table15[[#This Row],[اجمالي الفاتوره]]-Table15[[#This Row],[الدفعات]]</f>
        <v>229525.46000000008</v>
      </c>
    </row>
    <row r="61" spans="3:13" ht="29.25" customHeight="1" x14ac:dyDescent="0.3">
      <c r="C61" s="4"/>
      <c r="K61" s="3">
        <f>Table15[[#This Row],[الايصالات]]+Table15[[#This Row],[النولون]]-Table15[[#This Row],[خصم 3%]]</f>
        <v>0</v>
      </c>
      <c r="M61" s="3">
        <f>M60+Table15[[#This Row],[اجمالي الفاتوره]]-Table15[[#This Row],[الدفعات]]</f>
        <v>229525.46000000008</v>
      </c>
    </row>
    <row r="62" spans="3:13" ht="29.25" customHeight="1" x14ac:dyDescent="0.3">
      <c r="C62" s="4"/>
      <c r="K62" s="3">
        <f>Table15[[#This Row],[الايصالات]]+Table15[[#This Row],[النولون]]-Table15[[#This Row],[خصم 3%]]</f>
        <v>0</v>
      </c>
      <c r="M62" s="3">
        <f>M61+Table15[[#This Row],[اجمالي الفاتوره]]-Table15[[#This Row],[الدفعات]]</f>
        <v>229525.46000000008</v>
      </c>
    </row>
    <row r="63" spans="3:13" ht="29.25" customHeight="1" x14ac:dyDescent="0.3">
      <c r="C63" s="4"/>
      <c r="K63" s="3">
        <f>Table15[[#This Row],[الايصالات]]+Table15[[#This Row],[النولون]]-Table15[[#This Row],[خصم 3%]]</f>
        <v>0</v>
      </c>
      <c r="M63" s="3">
        <f>M62+Table15[[#This Row],[اجمالي الفاتوره]]-Table15[[#This Row],[الدفعات]]</f>
        <v>229525.46000000008</v>
      </c>
    </row>
    <row r="64" spans="3:13" ht="29.25" customHeight="1" x14ac:dyDescent="0.3">
      <c r="K64" s="3">
        <f>Table15[[#This Row],[الايصالات]]+Table15[[#This Row],[النولون]]-Table15[[#This Row],[خصم 3%]]</f>
        <v>0</v>
      </c>
      <c r="M64" s="3">
        <f>M63+Table15[[#This Row],[اجمالي الفاتوره]]-Table15[[#This Row],[الدفعات]]</f>
        <v>229525.46000000008</v>
      </c>
    </row>
    <row r="65" spans="3:13" ht="29.25" customHeight="1" x14ac:dyDescent="0.3">
      <c r="K65" s="3">
        <f>Table15[[#This Row],[الايصالات]]+Table15[[#This Row],[النولون]]-Table15[[#This Row],[خصم 3%]]</f>
        <v>0</v>
      </c>
      <c r="M65" s="3">
        <f>M64+Table15[[#This Row],[اجمالي الفاتوره]]-Table15[[#This Row],[الدفعات]]</f>
        <v>229525.46000000008</v>
      </c>
    </row>
    <row r="66" spans="3:13" ht="29.25" customHeight="1" x14ac:dyDescent="0.3">
      <c r="C66" s="4"/>
      <c r="K66" s="3">
        <f>Table15[[#This Row],[الايصالات]]+Table15[[#This Row],[النولون]]-Table15[[#This Row],[خصم 3%]]</f>
        <v>0</v>
      </c>
      <c r="M66" s="3">
        <f>M65+Table15[[#This Row],[اجمالي الفاتوره]]-Table15[[#This Row],[الدفعات]]</f>
        <v>229525.46000000008</v>
      </c>
    </row>
    <row r="67" spans="3:13" ht="29.25" customHeight="1" x14ac:dyDescent="0.3">
      <c r="C67" s="4"/>
      <c r="K67" s="3">
        <f>Table15[[#This Row],[الايصالات]]+Table15[[#This Row],[النولون]]-Table15[[#This Row],[خصم 3%]]</f>
        <v>0</v>
      </c>
      <c r="M67" s="3">
        <f>M66+Table15[[#This Row],[اجمالي الفاتوره]]-Table15[[#This Row],[الدفعات]]</f>
        <v>229525.46000000008</v>
      </c>
    </row>
    <row r="68" spans="3:13" ht="29.25" customHeight="1" x14ac:dyDescent="0.3">
      <c r="K68" s="3">
        <f>Table15[[#This Row],[الايصالات]]+Table15[[#This Row],[النولون]]-Table15[[#This Row],[خصم 3%]]</f>
        <v>0</v>
      </c>
      <c r="M68" s="3">
        <f>M67+Table15[[#This Row],[اجمالي الفاتوره]]-Table15[[#This Row],[الدفعات]]</f>
        <v>229525.46000000008</v>
      </c>
    </row>
    <row r="69" spans="3:13" ht="29.25" customHeight="1" x14ac:dyDescent="0.3">
      <c r="C69" s="4"/>
      <c r="K69" s="3">
        <f>Table15[[#This Row],[الايصالات]]+Table15[[#This Row],[النولون]]-Table15[[#This Row],[خصم 3%]]</f>
        <v>0</v>
      </c>
      <c r="M69" s="3">
        <f>M68+Table15[[#This Row],[اجمالي الفاتوره]]-Table15[[#This Row],[الدفعات]]</f>
        <v>229525.46000000008</v>
      </c>
    </row>
    <row r="70" spans="3:13" ht="29.25" customHeight="1" x14ac:dyDescent="0.3">
      <c r="C70" s="4"/>
      <c r="K70" s="3">
        <f>Table15[[#This Row],[الايصالات]]+Table15[[#This Row],[النولون]]-Table15[[#This Row],[خصم 3%]]</f>
        <v>0</v>
      </c>
      <c r="M70" s="3">
        <f>M69+Table15[[#This Row],[اجمالي الفاتوره]]-Table15[[#This Row],[الدفعات]]</f>
        <v>229525.46000000008</v>
      </c>
    </row>
    <row r="71" spans="3:13" ht="29.25" customHeight="1" x14ac:dyDescent="0.3">
      <c r="C71" s="4"/>
      <c r="K71" s="3">
        <f>Table15[[#This Row],[الايصالات]]+Table15[[#This Row],[النولون]]-Table15[[#This Row],[خصم 3%]]</f>
        <v>0</v>
      </c>
      <c r="M71" s="3">
        <f>M70+Table15[[#This Row],[اجمالي الفاتوره]]-Table15[[#This Row],[الدفعات]]</f>
        <v>229525.46000000008</v>
      </c>
    </row>
    <row r="72" spans="3:13" ht="29.25" customHeight="1" x14ac:dyDescent="0.3">
      <c r="C72" s="4"/>
      <c r="K72" s="3">
        <f>Table15[[#This Row],[الايصالات]]+Table15[[#This Row],[النولون]]-Table15[[#This Row],[خصم 3%]]</f>
        <v>0</v>
      </c>
      <c r="M72" s="3">
        <f>M71+Table15[[#This Row],[اجمالي الفاتوره]]-Table15[[#This Row],[الدفعات]]</f>
        <v>229525.46000000008</v>
      </c>
    </row>
    <row r="73" spans="3:13" ht="29.25" customHeight="1" x14ac:dyDescent="0.3">
      <c r="C73" s="4"/>
      <c r="K73" s="3">
        <f>Table15[[#This Row],[الايصالات]]+Table15[[#This Row],[النولون]]-Table15[[#This Row],[خصم 3%]]</f>
        <v>0</v>
      </c>
      <c r="M73" s="3">
        <f>M72+Table15[[#This Row],[اجمالي الفاتوره]]-Table15[[#This Row],[الدفعات]]</f>
        <v>229525.46000000008</v>
      </c>
    </row>
    <row r="74" spans="3:13" ht="29.25" customHeight="1" x14ac:dyDescent="0.3">
      <c r="C74" s="4"/>
      <c r="K74" s="3">
        <f>Table15[[#This Row],[الايصالات]]+Table15[[#This Row],[النولون]]-Table15[[#This Row],[خصم 3%]]</f>
        <v>0</v>
      </c>
      <c r="M74" s="3">
        <f>M73+Table15[[#This Row],[اجمالي الفاتوره]]-Table15[[#This Row],[الدفعات]]</f>
        <v>229525.46000000008</v>
      </c>
    </row>
    <row r="75" spans="3:13" ht="29.25" customHeight="1" x14ac:dyDescent="0.3">
      <c r="C75" s="4"/>
      <c r="K75" s="3">
        <f>Table15[[#This Row],[الايصالات]]+Table15[[#This Row],[النولون]]-Table15[[#This Row],[خصم 3%]]</f>
        <v>0</v>
      </c>
      <c r="M75" s="3">
        <f>M74+Table15[[#This Row],[اجمالي الفاتوره]]-Table15[[#This Row],[الدفعات]]</f>
        <v>229525.46000000008</v>
      </c>
    </row>
    <row r="76" spans="3:13" ht="29.25" customHeight="1" x14ac:dyDescent="0.3">
      <c r="C76" s="4"/>
      <c r="K76" s="3">
        <f>Table15[[#This Row],[الايصالات]]+Table15[[#This Row],[النولون]]-Table15[[#This Row],[خصم 3%]]</f>
        <v>0</v>
      </c>
      <c r="M76" s="3">
        <f>M75+Table15[[#This Row],[اجمالي الفاتوره]]-Table15[[#This Row],[الدفعات]]</f>
        <v>229525.46000000008</v>
      </c>
    </row>
    <row r="77" spans="3:13" ht="29.25" customHeight="1" x14ac:dyDescent="0.3">
      <c r="K77" s="3">
        <f>Table15[[#This Row],[الايصالات]]+Table15[[#This Row],[النولون]]-Table15[[#This Row],[خصم 3%]]</f>
        <v>0</v>
      </c>
      <c r="M77" s="3">
        <f>M76+Table15[[#This Row],[اجمالي الفاتوره]]-Table15[[#This Row],[الدفعات]]</f>
        <v>229525.46000000008</v>
      </c>
    </row>
    <row r="78" spans="3:13" ht="29.25" customHeight="1" x14ac:dyDescent="0.3">
      <c r="C78" s="4"/>
      <c r="K78" s="3">
        <f>Table15[[#This Row],[الايصالات]]+Table15[[#This Row],[النولون]]-Table15[[#This Row],[خصم 3%]]</f>
        <v>0</v>
      </c>
      <c r="M78" s="3">
        <f>M77+Table15[[#This Row],[اجمالي الفاتوره]]-Table15[[#This Row],[الدفعات]]</f>
        <v>229525.46000000008</v>
      </c>
    </row>
    <row r="79" spans="3:13" ht="29.25" customHeight="1" x14ac:dyDescent="0.3">
      <c r="C79" s="4"/>
      <c r="K79" s="3">
        <f>Table15[[#This Row],[الايصالات]]+Table15[[#This Row],[النولون]]-Table15[[#This Row],[خصم 3%]]</f>
        <v>0</v>
      </c>
      <c r="M79" s="3">
        <f>M78+Table15[[#This Row],[اجمالي الفاتوره]]-Table15[[#This Row],[الدفعات]]</f>
        <v>229525.46000000008</v>
      </c>
    </row>
    <row r="80" spans="3:13" ht="29.25" customHeight="1" x14ac:dyDescent="0.3">
      <c r="C80" s="4"/>
      <c r="K80" s="3">
        <f>Table15[[#This Row],[الايصالات]]+Table15[[#This Row],[النولون]]-Table15[[#This Row],[خصم 3%]]</f>
        <v>0</v>
      </c>
      <c r="M80" s="3">
        <f>M79+Table15[[#This Row],[اجمالي الفاتوره]]-Table15[[#This Row],[الدفعات]]</f>
        <v>229525.46000000008</v>
      </c>
    </row>
    <row r="81" spans="3:13" ht="29.25" customHeight="1" x14ac:dyDescent="0.3">
      <c r="C81" s="4"/>
      <c r="K81" s="3">
        <f>Table15[[#This Row],[الايصالات]]+Table15[[#This Row],[النولون]]-Table15[[#This Row],[خصم 3%]]</f>
        <v>0</v>
      </c>
      <c r="M81" s="3">
        <f>M80+Table15[[#This Row],[اجمالي الفاتوره]]-Table15[[#This Row],[الدفعات]]</f>
        <v>229525.46000000008</v>
      </c>
    </row>
    <row r="82" spans="3:13" ht="29.25" customHeight="1" x14ac:dyDescent="0.3">
      <c r="C82" s="4"/>
      <c r="K82" s="3">
        <f>Table15[[#This Row],[الايصالات]]+Table15[[#This Row],[النولون]]-Table15[[#This Row],[خصم 3%]]</f>
        <v>0</v>
      </c>
      <c r="M82" s="3">
        <f>M81+Table15[[#This Row],[اجمالي الفاتوره]]-Table15[[#This Row],[الدفعات]]</f>
        <v>229525.46000000008</v>
      </c>
    </row>
    <row r="83" spans="3:13" ht="29.25" customHeight="1" x14ac:dyDescent="0.3">
      <c r="C83" s="4"/>
      <c r="K83" s="3">
        <f>Table15[[#This Row],[الايصالات]]+Table15[[#This Row],[النولون]]-Table15[[#This Row],[خصم 3%]]</f>
        <v>0</v>
      </c>
      <c r="M83" s="3">
        <f>M82+Table15[[#This Row],[اجمالي الفاتوره]]-Table15[[#This Row],[الدفعات]]</f>
        <v>229525.46000000008</v>
      </c>
    </row>
    <row r="84" spans="3:13" ht="29.25" customHeight="1" x14ac:dyDescent="0.3">
      <c r="C84" s="4"/>
      <c r="K84" s="3">
        <f>Table15[[#This Row],[الايصالات]]+Table15[[#This Row],[النولون]]-Table15[[#This Row],[خصم 3%]]</f>
        <v>0</v>
      </c>
      <c r="M84" s="3">
        <f>M83+Table15[[#This Row],[اجمالي الفاتوره]]-Table15[[#This Row],[الدفعات]]</f>
        <v>229525.46000000008</v>
      </c>
    </row>
    <row r="85" spans="3:13" ht="29.25" customHeight="1" x14ac:dyDescent="0.3">
      <c r="C85" s="4"/>
      <c r="K85" s="3">
        <f>Table15[[#This Row],[الايصالات]]+Table15[[#This Row],[النولون]]-Table15[[#This Row],[خصم 3%]]</f>
        <v>0</v>
      </c>
      <c r="M85" s="3">
        <f>M84+Table15[[#This Row],[اجمالي الفاتوره]]-Table15[[#This Row],[الدفعات]]</f>
        <v>229525.46000000008</v>
      </c>
    </row>
    <row r="86" spans="3:13" ht="29.25" customHeight="1" x14ac:dyDescent="0.3">
      <c r="C86" s="4"/>
      <c r="K86" s="3">
        <f>Table15[[#This Row],[الايصالات]]+Table15[[#This Row],[النولون]]-Table15[[#This Row],[خصم 3%]]</f>
        <v>0</v>
      </c>
      <c r="M86" s="3">
        <f>M85+Table15[[#This Row],[اجمالي الفاتوره]]-Table15[[#This Row],[الدفعات]]</f>
        <v>229525.46000000008</v>
      </c>
    </row>
    <row r="87" spans="3:13" ht="29.25" customHeight="1" x14ac:dyDescent="0.3">
      <c r="C87" s="4"/>
      <c r="K87" s="3">
        <f>Table15[[#This Row],[الايصالات]]+Table15[[#This Row],[النولون]]-Table15[[#This Row],[خصم 3%]]</f>
        <v>0</v>
      </c>
      <c r="M87" s="3">
        <f>M86+Table15[[#This Row],[اجمالي الفاتوره]]-Table15[[#This Row],[الدفعات]]</f>
        <v>229525.46000000008</v>
      </c>
    </row>
    <row r="88" spans="3:13" ht="29.25" customHeight="1" x14ac:dyDescent="0.3">
      <c r="C88" s="4"/>
      <c r="K88" s="3">
        <f>Table15[[#This Row],[الايصالات]]+Table15[[#This Row],[النولون]]-Table15[[#This Row],[خصم 3%]]</f>
        <v>0</v>
      </c>
      <c r="M88" s="3">
        <f>M87+Table15[[#This Row],[اجمالي الفاتوره]]-Table15[[#This Row],[الدفعات]]</f>
        <v>229525.46000000008</v>
      </c>
    </row>
    <row r="89" spans="3:13" ht="29.25" customHeight="1" x14ac:dyDescent="0.3">
      <c r="C89" s="4"/>
      <c r="K89" s="3">
        <f>Table15[[#This Row],[الايصالات]]+Table15[[#This Row],[النولون]]-Table15[[#This Row],[خصم 3%]]</f>
        <v>0</v>
      </c>
      <c r="M89" s="3">
        <f>M88+Table15[[#This Row],[اجمالي الفاتوره]]-Table15[[#This Row],[الدفعات]]</f>
        <v>229525.46000000008</v>
      </c>
    </row>
    <row r="90" spans="3:13" ht="29.25" customHeight="1" x14ac:dyDescent="0.3">
      <c r="C90" s="4"/>
      <c r="K90" s="3">
        <f>Table15[[#This Row],[الايصالات]]+Table15[[#This Row],[النولون]]-Table15[[#This Row],[خصم 3%]]</f>
        <v>0</v>
      </c>
      <c r="M90" s="3">
        <f>M89+Table15[[#This Row],[اجمالي الفاتوره]]-Table15[[#This Row],[الدفعات]]</f>
        <v>229525.46000000008</v>
      </c>
    </row>
    <row r="91" spans="3:13" ht="29.25" customHeight="1" x14ac:dyDescent="0.3">
      <c r="C91" s="4"/>
      <c r="K91" s="3">
        <f>Table15[[#This Row],[الايصالات]]+Table15[[#This Row],[النولون]]-Table15[[#This Row],[خصم 3%]]</f>
        <v>0</v>
      </c>
      <c r="M91" s="3">
        <f>M90+Table15[[#This Row],[اجمالي الفاتوره]]-Table15[[#This Row],[الدفعات]]</f>
        <v>229525.46000000008</v>
      </c>
    </row>
    <row r="92" spans="3:13" ht="29.25" customHeight="1" x14ac:dyDescent="0.3">
      <c r="C92" s="4"/>
      <c r="K92" s="3">
        <f>Table15[[#This Row],[الايصالات]]+Table15[[#This Row],[النولون]]-Table15[[#This Row],[خصم 3%]]</f>
        <v>0</v>
      </c>
      <c r="M92" s="3">
        <f>M91+Table15[[#This Row],[اجمالي الفاتوره]]-Table15[[#This Row],[الدفعات]]</f>
        <v>229525.46000000008</v>
      </c>
    </row>
    <row r="93" spans="3:13" ht="29.25" customHeight="1" x14ac:dyDescent="0.3">
      <c r="C93" s="4"/>
      <c r="K93" s="3">
        <f>Table15[[#This Row],[الايصالات]]+Table15[[#This Row],[النولون]]-Table15[[#This Row],[خصم 3%]]</f>
        <v>0</v>
      </c>
      <c r="M93" s="3">
        <f>M92+Table15[[#This Row],[اجمالي الفاتوره]]-Table15[[#This Row],[الدفعات]]</f>
        <v>229525.46000000008</v>
      </c>
    </row>
    <row r="94" spans="3:13" ht="29.25" customHeight="1" x14ac:dyDescent="0.3">
      <c r="C94" s="4"/>
      <c r="K94" s="3">
        <f>Table15[[#This Row],[الايصالات]]+Table15[[#This Row],[النولون]]-Table15[[#This Row],[خصم 3%]]</f>
        <v>0</v>
      </c>
      <c r="M94" s="3">
        <f>M93+Table15[[#This Row],[اجمالي الفاتوره]]-Table15[[#This Row],[الدفعات]]</f>
        <v>229525.46000000008</v>
      </c>
    </row>
    <row r="95" spans="3:13" ht="29.25" customHeight="1" x14ac:dyDescent="0.3">
      <c r="C95" s="4"/>
      <c r="K95" s="3">
        <f>Table15[[#This Row],[الايصالات]]+Table15[[#This Row],[النولون]]-Table15[[#This Row],[خصم 3%]]</f>
        <v>0</v>
      </c>
      <c r="M95" s="3">
        <f>M94+Table15[[#This Row],[اجمالي الفاتوره]]-Table15[[#This Row],[الدفعات]]</f>
        <v>229525.46000000008</v>
      </c>
    </row>
    <row r="96" spans="3:13" ht="29.25" customHeight="1" x14ac:dyDescent="0.3">
      <c r="C96" s="4"/>
      <c r="K96" s="3">
        <f>Table15[[#This Row],[الايصالات]]+Table15[[#This Row],[النولون]]-Table15[[#This Row],[خصم 3%]]</f>
        <v>0</v>
      </c>
      <c r="M96" s="3">
        <f>M95+Table15[[#This Row],[اجمالي الفاتوره]]-Table15[[#This Row],[الدفعات]]</f>
        <v>229525.46000000008</v>
      </c>
    </row>
    <row r="97" spans="3:13" ht="29.25" customHeight="1" x14ac:dyDescent="0.3">
      <c r="C97" s="4"/>
      <c r="K97" s="3">
        <f>Table15[[#This Row],[الايصالات]]+Table15[[#This Row],[النولون]]-Table15[[#This Row],[خصم 3%]]</f>
        <v>0</v>
      </c>
      <c r="M97" s="3">
        <f>M96+Table15[[#This Row],[اجمالي الفاتوره]]-Table15[[#This Row],[الدفعات]]</f>
        <v>229525.46000000008</v>
      </c>
    </row>
    <row r="98" spans="3:13" ht="29.25" customHeight="1" x14ac:dyDescent="0.3">
      <c r="C98" s="4"/>
      <c r="K98" s="3">
        <f>Table15[[#This Row],[الايصالات]]+Table15[[#This Row],[النولون]]-Table15[[#This Row],[خصم 3%]]</f>
        <v>0</v>
      </c>
      <c r="M98" s="3">
        <f>M97+Table15[[#This Row],[اجمالي الفاتوره]]-Table15[[#This Row],[الدفعات]]</f>
        <v>229525.46000000008</v>
      </c>
    </row>
    <row r="99" spans="3:13" ht="29.25" customHeight="1" x14ac:dyDescent="0.3">
      <c r="C99" s="4"/>
      <c r="K99" s="3">
        <f>Table15[[#This Row],[الايصالات]]+Table15[[#This Row],[النولون]]-Table15[[#This Row],[خصم 3%]]</f>
        <v>0</v>
      </c>
      <c r="M99" s="3">
        <f>M98+Table15[[#This Row],[اجمالي الفاتوره]]-Table15[[#This Row],[الدفعات]]</f>
        <v>229525.46000000008</v>
      </c>
    </row>
    <row r="100" spans="3:13" ht="29.25" customHeight="1" x14ac:dyDescent="0.3">
      <c r="C100" s="4"/>
      <c r="K100" s="3">
        <f>Table15[[#This Row],[الايصالات]]+Table15[[#This Row],[النولون]]-Table15[[#This Row],[خصم 3%]]</f>
        <v>0</v>
      </c>
      <c r="M100" s="3">
        <f>M99+Table15[[#This Row],[اجمالي الفاتوره]]-Table15[[#This Row],[الدفعات]]</f>
        <v>229525.46000000008</v>
      </c>
    </row>
    <row r="101" spans="3:13" ht="29.25" customHeight="1" x14ac:dyDescent="0.3">
      <c r="C101" s="4"/>
      <c r="K101" s="3">
        <f>Table15[[#This Row],[الايصالات]]+Table15[[#This Row],[النولون]]-Table15[[#This Row],[خصم 3%]]</f>
        <v>0</v>
      </c>
      <c r="M101" s="3">
        <f>M100+Table15[[#This Row],[اجمالي الفاتوره]]-Table15[[#This Row],[الدفعات]]</f>
        <v>229525.46000000008</v>
      </c>
    </row>
    <row r="102" spans="3:13" ht="29.25" customHeight="1" x14ac:dyDescent="0.3">
      <c r="C102" s="4"/>
      <c r="K102" s="3">
        <f>Table15[[#This Row],[الايصالات]]+Table15[[#This Row],[النولون]]-Table15[[#This Row],[خصم 3%]]</f>
        <v>0</v>
      </c>
      <c r="M102" s="3">
        <f>M101+Table15[[#This Row],[اجمالي الفاتوره]]-Table15[[#This Row],[الدفعات]]</f>
        <v>229525.46000000008</v>
      </c>
    </row>
    <row r="103" spans="3:13" ht="29.25" customHeight="1" x14ac:dyDescent="0.3">
      <c r="C103" s="4"/>
      <c r="K103" s="3">
        <f>Table15[[#This Row],[الايصالات]]+Table15[[#This Row],[النولون]]-Table15[[#This Row],[خصم 3%]]</f>
        <v>0</v>
      </c>
      <c r="M103" s="3">
        <f>M102+Table15[[#This Row],[اجمالي الفاتوره]]-Table15[[#This Row],[الدفعات]]</f>
        <v>229525.46000000008</v>
      </c>
    </row>
    <row r="104" spans="3:13" ht="29.25" customHeight="1" x14ac:dyDescent="0.3">
      <c r="C104" s="4"/>
      <c r="K104" s="3">
        <f>Table15[[#This Row],[الايصالات]]+Table15[[#This Row],[النولون]]-Table15[[#This Row],[خصم 3%]]</f>
        <v>0</v>
      </c>
      <c r="M104" s="3">
        <f>M103+Table15[[#This Row],[اجمالي الفاتوره]]-Table15[[#This Row],[الدفعات]]</f>
        <v>229525.46000000008</v>
      </c>
    </row>
    <row r="105" spans="3:13" ht="29.25" customHeight="1" x14ac:dyDescent="0.3">
      <c r="C105" s="4"/>
      <c r="K105" s="3">
        <f>Table15[[#This Row],[الايصالات]]+Table15[[#This Row],[النولون]]-Table15[[#This Row],[خصم 3%]]</f>
        <v>0</v>
      </c>
      <c r="M105" s="3">
        <f>M104+Table15[[#This Row],[اجمالي الفاتوره]]-Table15[[#This Row],[الدفعات]]</f>
        <v>229525.46000000008</v>
      </c>
    </row>
    <row r="106" spans="3:13" ht="29.25" customHeight="1" x14ac:dyDescent="0.3">
      <c r="C106" s="4"/>
      <c r="K106" s="3">
        <f>Table15[[#This Row],[الايصالات]]+Table15[[#This Row],[النولون]]-Table15[[#This Row],[خصم 3%]]</f>
        <v>0</v>
      </c>
      <c r="M106" s="3">
        <f>M105+Table15[[#This Row],[اجمالي الفاتوره]]-Table15[[#This Row],[الدفعات]]</f>
        <v>229525.46000000008</v>
      </c>
    </row>
    <row r="107" spans="3:13" ht="29.25" customHeight="1" x14ac:dyDescent="0.3">
      <c r="C107" s="4"/>
      <c r="K107" s="3">
        <f>Table15[[#This Row],[الايصالات]]+Table15[[#This Row],[النولون]]-Table15[[#This Row],[خصم 3%]]</f>
        <v>0</v>
      </c>
      <c r="M107" s="3">
        <f>M106+Table15[[#This Row],[اجمالي الفاتوره]]-Table15[[#This Row],[الدفعات]]</f>
        <v>229525.46000000008</v>
      </c>
    </row>
    <row r="108" spans="3:13" ht="29.25" customHeight="1" x14ac:dyDescent="0.3">
      <c r="C108" s="4"/>
      <c r="K108" s="3">
        <f>Table15[[#This Row],[الايصالات]]+Table15[[#This Row],[النولون]]-Table15[[#This Row],[خصم 3%]]</f>
        <v>0</v>
      </c>
      <c r="M108" s="3">
        <f>M107+Table15[[#This Row],[اجمالي الفاتوره]]-Table15[[#This Row],[الدفعات]]</f>
        <v>229525.46000000008</v>
      </c>
    </row>
    <row r="109" spans="3:13" ht="29.25" customHeight="1" x14ac:dyDescent="0.3">
      <c r="C109" s="4"/>
      <c r="K109" s="3">
        <f>Table15[[#This Row],[الايصالات]]+Table15[[#This Row],[النولون]]-Table15[[#This Row],[خصم 3%]]</f>
        <v>0</v>
      </c>
      <c r="M109" s="3">
        <f>M108+Table15[[#This Row],[اجمالي الفاتوره]]-Table15[[#This Row],[الدفعات]]</f>
        <v>229525.46000000008</v>
      </c>
    </row>
    <row r="110" spans="3:13" ht="29.25" customHeight="1" x14ac:dyDescent="0.3">
      <c r="C110" s="4"/>
      <c r="K110" s="3">
        <f>Table15[[#This Row],[الايصالات]]+Table15[[#This Row],[النولون]]-Table15[[#This Row],[خصم 3%]]</f>
        <v>0</v>
      </c>
      <c r="M110" s="3">
        <f>M109+Table15[[#This Row],[اجمالي الفاتوره]]-Table15[[#This Row],[الدفعات]]</f>
        <v>229525.46000000008</v>
      </c>
    </row>
    <row r="111" spans="3:13" ht="29.25" customHeight="1" x14ac:dyDescent="0.3">
      <c r="C111" s="4"/>
      <c r="K111" s="3">
        <f>Table15[[#This Row],[الايصالات]]+Table15[[#This Row],[النولون]]-Table15[[#This Row],[خصم 3%]]</f>
        <v>0</v>
      </c>
      <c r="M111" s="3">
        <f>M110+Table15[[#This Row],[اجمالي الفاتوره]]-Table15[[#This Row],[الدفعات]]</f>
        <v>229525.46000000008</v>
      </c>
    </row>
    <row r="112" spans="3:13" ht="29.25" customHeight="1" x14ac:dyDescent="0.3">
      <c r="C112" s="4"/>
      <c r="K112" s="3">
        <f>Table15[[#This Row],[الايصالات]]+Table15[[#This Row],[النولون]]-Table15[[#This Row],[خصم 3%]]</f>
        <v>0</v>
      </c>
      <c r="M112" s="3">
        <f>M111+Table15[[#This Row],[اجمالي الفاتوره]]-Table15[[#This Row],[الدفعات]]</f>
        <v>229525.46000000008</v>
      </c>
    </row>
    <row r="113" spans="3:13" ht="29.25" customHeight="1" x14ac:dyDescent="0.3">
      <c r="C113" s="4"/>
      <c r="K113" s="3">
        <f>Table15[[#This Row],[الايصالات]]+Table15[[#This Row],[النولون]]-Table15[[#This Row],[خصم 3%]]</f>
        <v>0</v>
      </c>
      <c r="M113" s="3">
        <f>M112+Table15[[#This Row],[اجمالي الفاتوره]]-Table15[[#This Row],[الدفعات]]</f>
        <v>229525.46000000008</v>
      </c>
    </row>
    <row r="114" spans="3:13" ht="29.25" customHeight="1" x14ac:dyDescent="0.3">
      <c r="C114" s="4"/>
      <c r="K114" s="3">
        <f>Table15[[#This Row],[الايصالات]]+Table15[[#This Row],[النولون]]-Table15[[#This Row],[خصم 3%]]</f>
        <v>0</v>
      </c>
      <c r="M114" s="3">
        <f>M113+Table15[[#This Row],[اجمالي الفاتوره]]-Table15[[#This Row],[الدفعات]]</f>
        <v>229525.46000000008</v>
      </c>
    </row>
    <row r="115" spans="3:13" ht="29.25" customHeight="1" x14ac:dyDescent="0.3">
      <c r="C115" s="4"/>
      <c r="K115" s="3">
        <f>Table15[[#This Row],[الايصالات]]+Table15[[#This Row],[النولون]]-Table15[[#This Row],[خصم 3%]]</f>
        <v>0</v>
      </c>
      <c r="M115" s="3">
        <f>M114+Table15[[#This Row],[اجمالي الفاتوره]]-Table15[[#This Row],[الدفعات]]</f>
        <v>229525.46000000008</v>
      </c>
    </row>
    <row r="116" spans="3:13" ht="29.25" customHeight="1" x14ac:dyDescent="0.3">
      <c r="C116" s="4"/>
      <c r="K116" s="3">
        <f>Table15[[#This Row],[الايصالات]]+Table15[[#This Row],[النولون]]-Table15[[#This Row],[خصم 3%]]</f>
        <v>0</v>
      </c>
      <c r="M116" s="3">
        <f>M115+Table15[[#This Row],[اجمالي الفاتوره]]-Table15[[#This Row],[الدفعات]]</f>
        <v>229525.46000000008</v>
      </c>
    </row>
    <row r="117" spans="3:13" ht="29.25" customHeight="1" x14ac:dyDescent="0.3">
      <c r="C117" s="4"/>
      <c r="K117" s="3">
        <f>Table15[[#This Row],[الايصالات]]+Table15[[#This Row],[النولون]]-Table15[[#This Row],[خصم 3%]]</f>
        <v>0</v>
      </c>
      <c r="M117" s="3">
        <f>M116+Table15[[#This Row],[اجمالي الفاتوره]]-Table15[[#This Row],[الدفعات]]</f>
        <v>229525.46000000008</v>
      </c>
    </row>
    <row r="118" spans="3:13" ht="29.25" customHeight="1" x14ac:dyDescent="0.3">
      <c r="C118" s="4"/>
      <c r="K118" s="3">
        <f>Table15[[#This Row],[الايصالات]]+Table15[[#This Row],[النولون]]-Table15[[#This Row],[خصم 3%]]</f>
        <v>0</v>
      </c>
      <c r="M118" s="3">
        <f>M117+Table15[[#This Row],[اجمالي الفاتوره]]-Table15[[#This Row],[الدفعات]]</f>
        <v>229525.46000000008</v>
      </c>
    </row>
    <row r="119" spans="3:13" ht="29.25" customHeight="1" x14ac:dyDescent="0.3">
      <c r="C119" s="4"/>
      <c r="K119" s="3">
        <f>Table15[[#This Row],[الايصالات]]+Table15[[#This Row],[النولون]]-Table15[[#This Row],[خصم 3%]]</f>
        <v>0</v>
      </c>
      <c r="M119" s="3">
        <f>M118+Table15[[#This Row],[اجمالي الفاتوره]]-Table15[[#This Row],[الدفعات]]</f>
        <v>229525.46000000008</v>
      </c>
    </row>
    <row r="120" spans="3:13" ht="29.25" customHeight="1" x14ac:dyDescent="0.3">
      <c r="C120" s="4"/>
      <c r="K120" s="3">
        <f>Table15[[#This Row],[الايصالات]]+Table15[[#This Row],[النولون]]-Table15[[#This Row],[خصم 3%]]</f>
        <v>0</v>
      </c>
      <c r="M120" s="3">
        <f>M119+Table15[[#This Row],[اجمالي الفاتوره]]-Table15[[#This Row],[الدفعات]]</f>
        <v>229525.46000000008</v>
      </c>
    </row>
    <row r="121" spans="3:13" ht="29.25" customHeight="1" x14ac:dyDescent="0.3">
      <c r="C121" s="4"/>
      <c r="K121" s="3">
        <f>Table15[[#This Row],[الايصالات]]+Table15[[#This Row],[النولون]]-Table15[[#This Row],[خصم 3%]]</f>
        <v>0</v>
      </c>
      <c r="M121" s="3">
        <f>M120+Table15[[#This Row],[اجمالي الفاتوره]]-Table15[[#This Row],[الدفعات]]</f>
        <v>229525.46000000008</v>
      </c>
    </row>
    <row r="122" spans="3:13" ht="29.25" customHeight="1" x14ac:dyDescent="0.3">
      <c r="C122" s="4"/>
      <c r="K122" s="3">
        <f>Table15[[#This Row],[الايصالات]]+Table15[[#This Row],[النولون]]-Table15[[#This Row],[خصم 3%]]</f>
        <v>0</v>
      </c>
      <c r="M122" s="3">
        <f>M121+Table15[[#This Row],[اجمالي الفاتوره]]-Table15[[#This Row],[الدفعات]]</f>
        <v>229525.46000000008</v>
      </c>
    </row>
    <row r="123" spans="3:13" ht="29.25" customHeight="1" x14ac:dyDescent="0.3">
      <c r="C123" s="4"/>
      <c r="K123" s="3">
        <f>Table15[[#This Row],[الايصالات]]+Table15[[#This Row],[النولون]]-Table15[[#This Row],[خصم 3%]]</f>
        <v>0</v>
      </c>
      <c r="M123" s="3">
        <f>M122+Table15[[#This Row],[اجمالي الفاتوره]]-Table15[[#This Row],[الدفعات]]</f>
        <v>229525.46000000008</v>
      </c>
    </row>
    <row r="124" spans="3:13" ht="29.25" customHeight="1" x14ac:dyDescent="0.3">
      <c r="C124" s="4"/>
      <c r="K124" s="3">
        <f>Table15[[#This Row],[الايصالات]]+Table15[[#This Row],[النولون]]-Table15[[#This Row],[خصم 3%]]</f>
        <v>0</v>
      </c>
      <c r="M124" s="3">
        <f>M123+Table15[[#This Row],[اجمالي الفاتوره]]-Table15[[#This Row],[الدفعات]]</f>
        <v>229525.46000000008</v>
      </c>
    </row>
    <row r="125" spans="3:13" ht="29.25" customHeight="1" x14ac:dyDescent="0.3">
      <c r="C125" s="4"/>
      <c r="K125" s="3">
        <f>Table15[[#This Row],[الايصالات]]+Table15[[#This Row],[النولون]]-Table15[[#This Row],[خصم 3%]]</f>
        <v>0</v>
      </c>
      <c r="M125" s="3">
        <f>M124+Table15[[#This Row],[اجمالي الفاتوره]]-Table15[[#This Row],[الدفعات]]</f>
        <v>229525.46000000008</v>
      </c>
    </row>
    <row r="126" spans="3:13" ht="29.25" customHeight="1" x14ac:dyDescent="0.3">
      <c r="C126" s="4"/>
      <c r="K126" s="3">
        <f>Table15[[#This Row],[الايصالات]]+Table15[[#This Row],[النولون]]-Table15[[#This Row],[خصم 3%]]</f>
        <v>0</v>
      </c>
      <c r="M126" s="3">
        <f>M125+Table15[[#This Row],[اجمالي الفاتوره]]-Table15[[#This Row],[الدفعات]]</f>
        <v>229525.46000000008</v>
      </c>
    </row>
    <row r="127" spans="3:13" ht="29.25" customHeight="1" x14ac:dyDescent="0.3">
      <c r="C127" s="4"/>
      <c r="K127" s="3">
        <f>Table15[[#This Row],[الايصالات]]+Table15[[#This Row],[النولون]]-Table15[[#This Row],[خصم 3%]]</f>
        <v>0</v>
      </c>
      <c r="M127" s="3">
        <f>M126+Table15[[#This Row],[اجمالي الفاتوره]]-Table15[[#This Row],[الدفعات]]</f>
        <v>229525.46000000008</v>
      </c>
    </row>
    <row r="128" spans="3:13" ht="29.25" customHeight="1" x14ac:dyDescent="0.3">
      <c r="C128" s="4"/>
      <c r="K128" s="3">
        <f>Table15[[#This Row],[الايصالات]]+Table15[[#This Row],[النولون]]-Table15[[#This Row],[خصم 3%]]</f>
        <v>0</v>
      </c>
      <c r="M128" s="3">
        <f>M127+Table15[[#This Row],[اجمالي الفاتوره]]-Table15[[#This Row],[الدفعات]]</f>
        <v>229525.46000000008</v>
      </c>
    </row>
    <row r="129" spans="3:13" ht="29.25" customHeight="1" x14ac:dyDescent="0.3">
      <c r="C129" s="4"/>
      <c r="K129" s="3">
        <f>Table15[[#This Row],[الايصالات]]+Table15[[#This Row],[النولون]]-Table15[[#This Row],[خصم 3%]]</f>
        <v>0</v>
      </c>
      <c r="M129" s="3">
        <f>M128+Table15[[#This Row],[اجمالي الفاتوره]]-Table15[[#This Row],[الدفعات]]</f>
        <v>229525.46000000008</v>
      </c>
    </row>
    <row r="130" spans="3:13" ht="29.25" customHeight="1" x14ac:dyDescent="0.3">
      <c r="C130" s="4"/>
      <c r="K130" s="3">
        <f>Table15[[#This Row],[الايصالات]]+Table15[[#This Row],[النولون]]-Table15[[#This Row],[خصم 3%]]</f>
        <v>0</v>
      </c>
      <c r="M130" s="3">
        <f>M129+Table15[[#This Row],[اجمالي الفاتوره]]-Table15[[#This Row],[الدفعات]]</f>
        <v>229525.46000000008</v>
      </c>
    </row>
    <row r="131" spans="3:13" ht="29.25" customHeight="1" x14ac:dyDescent="0.3">
      <c r="C131" s="4"/>
      <c r="K131" s="3">
        <f>Table15[[#This Row],[الايصالات]]+Table15[[#This Row],[النولون]]-Table15[[#This Row],[خصم 3%]]</f>
        <v>0</v>
      </c>
      <c r="M131" s="3">
        <f>M130+Table15[[#This Row],[اجمالي الفاتوره]]-Table15[[#This Row],[الدفعات]]</f>
        <v>229525.46000000008</v>
      </c>
    </row>
    <row r="132" spans="3:13" ht="29.25" customHeight="1" x14ac:dyDescent="0.3">
      <c r="C132" s="4"/>
      <c r="K132" s="3">
        <f>Table15[[#This Row],[الايصالات]]+Table15[[#This Row],[النولون]]-Table15[[#This Row],[خصم 3%]]</f>
        <v>0</v>
      </c>
      <c r="M132" s="3">
        <f>M131+Table15[[#This Row],[اجمالي الفاتوره]]-Table15[[#This Row],[الدفعات]]</f>
        <v>229525.46000000008</v>
      </c>
    </row>
    <row r="133" spans="3:13" ht="29.25" customHeight="1" x14ac:dyDescent="0.3">
      <c r="K133" s="3">
        <f>Table15[[#This Row],[الايصالات]]+Table15[[#This Row],[النولون]]-Table15[[#This Row],[خصم 3%]]</f>
        <v>0</v>
      </c>
      <c r="M133" s="3">
        <f>M132+Table15[[#This Row],[اجمالي الفاتوره]]-Table15[[#This Row],[الدفعات]]</f>
        <v>229525.46000000008</v>
      </c>
    </row>
    <row r="134" spans="3:13" ht="29.25" customHeight="1" x14ac:dyDescent="0.3">
      <c r="C134" s="4"/>
      <c r="K134" s="3">
        <f>Table15[[#This Row],[الايصالات]]+Table15[[#This Row],[النولون]]-Table15[[#This Row],[خصم 3%]]</f>
        <v>0</v>
      </c>
      <c r="M134" s="3">
        <f>M133+Table15[[#This Row],[اجمالي الفاتوره]]-Table15[[#This Row],[الدفعات]]</f>
        <v>229525.46000000008</v>
      </c>
    </row>
    <row r="135" spans="3:13" ht="29.25" customHeight="1" x14ac:dyDescent="0.3">
      <c r="C135" s="4"/>
      <c r="K135" s="3">
        <f>Table15[[#This Row],[الايصالات]]+Table15[[#This Row],[النولون]]-Table15[[#This Row],[خصم 3%]]</f>
        <v>0</v>
      </c>
      <c r="M135" s="3">
        <f>M134+Table15[[#This Row],[اجمالي الفاتوره]]-Table15[[#This Row],[الدفعات]]</f>
        <v>229525.46000000008</v>
      </c>
    </row>
    <row r="136" spans="3:13" ht="29.25" customHeight="1" x14ac:dyDescent="0.3">
      <c r="C136" s="4"/>
      <c r="K136" s="3">
        <f>Table15[[#This Row],[الايصالات]]+Table15[[#This Row],[النولون]]-Table15[[#This Row],[خصم 3%]]</f>
        <v>0</v>
      </c>
      <c r="M136" s="3">
        <f>M135+Table15[[#This Row],[اجمالي الفاتوره]]-Table15[[#This Row],[الدفعات]]</f>
        <v>229525.46000000008</v>
      </c>
    </row>
    <row r="137" spans="3:13" ht="29.25" customHeight="1" x14ac:dyDescent="0.3">
      <c r="C137" s="4"/>
      <c r="K137" s="3">
        <f>Table15[[#This Row],[الايصالات]]+Table15[[#This Row],[النولون]]-Table15[[#This Row],[خصم 3%]]</f>
        <v>0</v>
      </c>
      <c r="M137" s="3">
        <f>M136+Table15[[#This Row],[اجمالي الفاتوره]]-Table15[[#This Row],[الدفعات]]</f>
        <v>229525.46000000008</v>
      </c>
    </row>
    <row r="138" spans="3:13" ht="29.25" customHeight="1" x14ac:dyDescent="0.3">
      <c r="C138" s="4"/>
      <c r="K138" s="3">
        <f>Table15[[#This Row],[الايصالات]]+Table15[[#This Row],[النولون]]-Table15[[#This Row],[خصم 3%]]</f>
        <v>0</v>
      </c>
      <c r="M138" s="3">
        <f>M137+Table15[[#This Row],[اجمالي الفاتوره]]-Table15[[#This Row],[الدفعات]]</f>
        <v>229525.46000000008</v>
      </c>
    </row>
    <row r="139" spans="3:13" ht="29.25" customHeight="1" x14ac:dyDescent="0.3">
      <c r="C139" s="4"/>
      <c r="K139" s="3">
        <f>Table15[[#This Row],[الايصالات]]+Table15[[#This Row],[النولون]]-Table15[[#This Row],[خصم 3%]]</f>
        <v>0</v>
      </c>
      <c r="M139" s="3">
        <f>M138+Table15[[#This Row],[اجمالي الفاتوره]]-Table15[[#This Row],[الدفعات]]</f>
        <v>229525.46000000008</v>
      </c>
    </row>
    <row r="140" spans="3:13" ht="29.25" customHeight="1" x14ac:dyDescent="0.3">
      <c r="C140" s="4"/>
      <c r="K140" s="3">
        <f>Table15[[#This Row],[الايصالات]]+Table15[[#This Row],[النولون]]-Table15[[#This Row],[خصم 3%]]</f>
        <v>0</v>
      </c>
      <c r="M140" s="3">
        <f>M139+Table15[[#This Row],[اجمالي الفاتوره]]-Table15[[#This Row],[الدفعات]]</f>
        <v>229525.46000000008</v>
      </c>
    </row>
    <row r="141" spans="3:13" ht="29.25" customHeight="1" x14ac:dyDescent="0.3">
      <c r="C141" s="4"/>
      <c r="K141" s="3">
        <f>Table15[[#This Row],[الايصالات]]+Table15[[#This Row],[النولون]]-Table15[[#This Row],[خصم 3%]]</f>
        <v>0</v>
      </c>
      <c r="M141" s="3">
        <f>M140+Table15[[#This Row],[اجمالي الفاتوره]]-Table15[[#This Row],[الدفعات]]</f>
        <v>229525.46000000008</v>
      </c>
    </row>
    <row r="142" spans="3:13" ht="29.25" customHeight="1" x14ac:dyDescent="0.3">
      <c r="C142" s="4"/>
      <c r="K142" s="3">
        <f>Table15[[#This Row],[الايصالات]]+Table15[[#This Row],[النولون]]-Table15[[#This Row],[خصم 3%]]</f>
        <v>0</v>
      </c>
      <c r="M142" s="3">
        <f>M141+Table15[[#This Row],[اجمالي الفاتوره]]-Table15[[#This Row],[الدفعات]]</f>
        <v>229525.46000000008</v>
      </c>
    </row>
    <row r="143" spans="3:13" ht="29.25" customHeight="1" x14ac:dyDescent="0.3">
      <c r="C143" s="4"/>
      <c r="K143" s="3">
        <f>Table15[[#This Row],[الايصالات]]+Table15[[#This Row],[النولون]]-Table15[[#This Row],[خصم 3%]]</f>
        <v>0</v>
      </c>
      <c r="M143" s="3">
        <f>M142+Table15[[#This Row],[اجمالي الفاتوره]]-Table15[[#This Row],[الدفعات]]</f>
        <v>229525.46000000008</v>
      </c>
    </row>
    <row r="144" spans="3:13" ht="29.25" customHeight="1" x14ac:dyDescent="0.3">
      <c r="C144" s="4"/>
      <c r="K144" s="3">
        <f>Table15[[#This Row],[الايصالات]]+Table15[[#This Row],[النولون]]-Table15[[#This Row],[خصم 3%]]</f>
        <v>0</v>
      </c>
      <c r="M144" s="3">
        <f>M143+Table15[[#This Row],[اجمالي الفاتوره]]-Table15[[#This Row],[الدفعات]]</f>
        <v>229525.46000000008</v>
      </c>
    </row>
    <row r="145" spans="2:15" ht="29.25" customHeight="1" x14ac:dyDescent="0.3">
      <c r="C145" s="4"/>
      <c r="K145" s="3">
        <f>Table15[[#This Row],[الايصالات]]+Table15[[#This Row],[النولون]]-Table15[[#This Row],[خصم 3%]]</f>
        <v>0</v>
      </c>
      <c r="M145" s="3">
        <f>M144+Table15[[#This Row],[اجمالي الفاتوره]]-Table15[[#This Row],[الدفعات]]</f>
        <v>229525.46000000008</v>
      </c>
    </row>
    <row r="146" spans="2:15" ht="29.25" customHeight="1" x14ac:dyDescent="0.3">
      <c r="C146" s="4"/>
      <c r="K146" s="3">
        <f>Table15[[#This Row],[الايصالات]]+Table15[[#This Row],[النولون]]-Table15[[#This Row],[خصم 3%]]</f>
        <v>0</v>
      </c>
      <c r="M146" s="3">
        <f>M145+Table15[[#This Row],[اجمالي الفاتوره]]-Table15[[#This Row],[الدفعات]]</f>
        <v>229525.46000000008</v>
      </c>
    </row>
    <row r="147" spans="2:15" ht="29.25" customHeight="1" x14ac:dyDescent="0.3">
      <c r="C147" s="4"/>
      <c r="K147" s="3">
        <f>Table15[[#This Row],[الايصالات]]+Table15[[#This Row],[النولون]]-Table15[[#This Row],[خصم 3%]]</f>
        <v>0</v>
      </c>
      <c r="M147" s="3">
        <f>M146+Table15[[#This Row],[اجمالي الفاتوره]]-Table15[[#This Row],[الدفعات]]</f>
        <v>229525.46000000008</v>
      </c>
    </row>
    <row r="148" spans="2:15" ht="29.25" customHeight="1" x14ac:dyDescent="0.3">
      <c r="C148" s="4"/>
      <c r="K148" s="3">
        <f>Table15[[#This Row],[الايصالات]]+Table15[[#This Row],[النولون]]-Table15[[#This Row],[خصم 3%]]</f>
        <v>0</v>
      </c>
      <c r="M148" s="3">
        <f>M147+Table15[[#This Row],[اجمالي الفاتوره]]-Table15[[#This Row],[الدفعات]]</f>
        <v>229525.46000000008</v>
      </c>
    </row>
    <row r="149" spans="2:15" ht="29.25" customHeight="1" x14ac:dyDescent="0.3">
      <c r="C149" s="4"/>
      <c r="K149" s="3">
        <f>Table15[[#This Row],[الايصالات]]+Table15[[#This Row],[النولون]]-Table15[[#This Row],[خصم 3%]]</f>
        <v>0</v>
      </c>
      <c r="M149" s="3">
        <f>M148+Table15[[#This Row],[اجمالي الفاتوره]]-Table15[[#This Row],[الدفعات]]</f>
        <v>229525.46000000008</v>
      </c>
    </row>
    <row r="150" spans="2:15" ht="29.25" customHeight="1" x14ac:dyDescent="0.3">
      <c r="C150" s="4"/>
      <c r="K150" s="3">
        <f>Table15[[#This Row],[الايصالات]]+Table15[[#This Row],[النولون]]-Table15[[#This Row],[خصم 3%]]</f>
        <v>0</v>
      </c>
      <c r="M150" s="3">
        <f>M149+Table15[[#This Row],[اجمالي الفاتوره]]-Table15[[#This Row],[الدفعات]]</f>
        <v>229525.46000000008</v>
      </c>
    </row>
    <row r="151" spans="2:15" ht="29.25" customHeight="1" x14ac:dyDescent="0.3">
      <c r="C151" s="4"/>
      <c r="K151" s="3">
        <f>Table15[[#This Row],[الايصالات]]+Table15[[#This Row],[النولون]]-Table15[[#This Row],[خصم 3%]]</f>
        <v>0</v>
      </c>
      <c r="M151" s="3">
        <f>M150+Table15[[#This Row],[اجمالي الفاتوره]]-Table15[[#This Row],[الدفعات]]</f>
        <v>229525.46000000008</v>
      </c>
    </row>
    <row r="152" spans="2:15" ht="29.25" customHeight="1" x14ac:dyDescent="0.3">
      <c r="C152" s="4"/>
      <c r="K152" s="3">
        <f>Table15[[#This Row],[الايصالات]]+Table15[[#This Row],[النولون]]-Table15[[#This Row],[خصم 3%]]</f>
        <v>0</v>
      </c>
      <c r="M152" s="3">
        <f>M151+Table15[[#This Row],[اجمالي الفاتوره]]-Table15[[#This Row],[الدفعات]]</f>
        <v>229525.46000000008</v>
      </c>
    </row>
    <row r="153" spans="2:15" ht="29.25" customHeight="1" x14ac:dyDescent="0.3">
      <c r="C153" s="4"/>
      <c r="K153" s="3">
        <f>Table15[[#This Row],[الايصالات]]+Table15[[#This Row],[النولون]]-Table15[[#This Row],[خصم 3%]]</f>
        <v>0</v>
      </c>
      <c r="M153" s="3">
        <f>M152+Table15[[#This Row],[اجمالي الفاتوره]]-Table15[[#This Row],[الدفعات]]</f>
        <v>229525.46000000008</v>
      </c>
    </row>
    <row r="154" spans="2:15" ht="29.25" customHeight="1" x14ac:dyDescent="0.3">
      <c r="C154" s="4"/>
      <c r="K154" s="3">
        <f>Table15[[#This Row],[الايصالات]]+Table15[[#This Row],[النولون]]-Table15[[#This Row],[خصم 3%]]</f>
        <v>0</v>
      </c>
      <c r="M154" s="3">
        <f>M153+Table15[[#This Row],[اجمالي الفاتوره]]-Table15[[#This Row],[الدفعات]]</f>
        <v>229525.46000000008</v>
      </c>
    </row>
    <row r="155" spans="2:15" ht="29.25" customHeight="1" x14ac:dyDescent="0.3">
      <c r="C155" s="4"/>
      <c r="K155" s="3">
        <f>Table15[[#This Row],[الايصالات]]+Table15[[#This Row],[النولون]]-Table15[[#This Row],[خصم 3%]]</f>
        <v>0</v>
      </c>
      <c r="M155" s="3">
        <f>M154+Table15[[#This Row],[اجمالي الفاتوره]]-Table15[[#This Row],[الدفعات]]</f>
        <v>229525.46000000008</v>
      </c>
    </row>
    <row r="156" spans="2:15" ht="29.25" customHeight="1" x14ac:dyDescent="0.3">
      <c r="C156" s="4"/>
      <c r="K156" s="3">
        <f>Table15[[#This Row],[الايصالات]]+Table15[[#This Row],[النولون]]-Table15[[#This Row],[خصم 3%]]</f>
        <v>0</v>
      </c>
      <c r="M156" s="3">
        <f>M155+Table15[[#This Row],[اجمالي الفاتوره]]-Table15[[#This Row],[الدفعات]]</f>
        <v>229525.46000000008</v>
      </c>
    </row>
    <row r="157" spans="2:15" ht="29.25" customHeight="1" x14ac:dyDescent="0.3">
      <c r="B157" s="10"/>
      <c r="C157" s="10"/>
      <c r="D157" s="8"/>
      <c r="E157" s="8"/>
      <c r="F157" s="8"/>
      <c r="G157" s="8"/>
      <c r="H157" s="8"/>
      <c r="I157" s="8"/>
      <c r="J157" s="8"/>
      <c r="K157" s="3">
        <f>Table15[[#This Row],[الايصالات]]+Table15[[#This Row],[النولون]]-Table15[[#This Row],[خصم 3%]]</f>
        <v>0</v>
      </c>
      <c r="L157" s="8"/>
      <c r="M157" s="3">
        <f>M156+Table15[[#This Row],[اجمالي الفاتوره]]-Table15[[#This Row],[الدفعات]]</f>
        <v>229525.46000000008</v>
      </c>
      <c r="N157" s="8"/>
      <c r="O157" s="8"/>
    </row>
    <row r="158" spans="2:15" ht="29.25" customHeight="1" x14ac:dyDescent="0.3">
      <c r="C158" s="4"/>
      <c r="K158" s="3">
        <f>Table15[[#This Row],[الايصالات]]+Table15[[#This Row],[النولون]]-Table15[[#This Row],[خصم 3%]]</f>
        <v>0</v>
      </c>
      <c r="M158" s="3">
        <f>M157+Table15[[#This Row],[اجمالي الفاتوره]]-Table15[[#This Row],[الدفعات]]</f>
        <v>229525.46000000008</v>
      </c>
    </row>
    <row r="159" spans="2:15" ht="29.25" customHeight="1" x14ac:dyDescent="0.3">
      <c r="C159" s="4"/>
      <c r="K159" s="3">
        <f>Table15[[#This Row],[الايصالات]]+Table15[[#This Row],[النولون]]-Table15[[#This Row],[خصم 3%]]</f>
        <v>0</v>
      </c>
      <c r="M159" s="3">
        <f>M158+Table15[[#This Row],[اجمالي الفاتوره]]-Table15[[#This Row],[الدفعات]]</f>
        <v>229525.46000000008</v>
      </c>
    </row>
    <row r="160" spans="2:15" ht="29.25" customHeight="1" x14ac:dyDescent="0.3">
      <c r="C160" s="4"/>
      <c r="K160" s="3">
        <f>Table15[[#This Row],[الايصالات]]+Table15[[#This Row],[النولون]]-Table15[[#This Row],[خصم 3%]]</f>
        <v>0</v>
      </c>
      <c r="M160" s="3">
        <f>M159+Table15[[#This Row],[اجمالي الفاتوره]]-Table15[[#This Row],[الدفعات]]</f>
        <v>229525.46000000008</v>
      </c>
    </row>
    <row r="161" spans="2:15" ht="29.25" customHeight="1" x14ac:dyDescent="0.3">
      <c r="C161" s="4"/>
      <c r="K161" s="3">
        <f>Table15[[#This Row],[الايصالات]]+Table15[[#This Row],[النولون]]-Table15[[#This Row],[خصم 3%]]</f>
        <v>0</v>
      </c>
      <c r="M161" s="3">
        <f>M160+Table15[[#This Row],[اجمالي الفاتوره]]-Table15[[#This Row],[الدفعات]]</f>
        <v>229525.46000000008</v>
      </c>
    </row>
    <row r="162" spans="2:15" ht="29.25" customHeight="1" x14ac:dyDescent="0.3">
      <c r="C162" s="4"/>
      <c r="K162" s="3">
        <f>Table15[[#This Row],[الايصالات]]+Table15[[#This Row],[النولون]]-Table15[[#This Row],[خصم 3%]]</f>
        <v>0</v>
      </c>
      <c r="M162" s="3">
        <f>M161+Table15[[#This Row],[اجمالي الفاتوره]]-Table15[[#This Row],[الدفعات]]</f>
        <v>229525.46000000008</v>
      </c>
    </row>
    <row r="163" spans="2:15" ht="29.25" customHeight="1" x14ac:dyDescent="0.3">
      <c r="C163" s="4"/>
      <c r="K163" s="3">
        <f>Table15[[#This Row],[الايصالات]]+Table15[[#This Row],[النولون]]-Table15[[#This Row],[خصم 3%]]</f>
        <v>0</v>
      </c>
      <c r="M163" s="3">
        <f>M162+Table15[[#This Row],[اجمالي الفاتوره]]-Table15[[#This Row],[الدفعات]]</f>
        <v>229525.46000000008</v>
      </c>
    </row>
    <row r="164" spans="2:15" ht="29.25" customHeight="1" x14ac:dyDescent="0.3">
      <c r="C164" s="4"/>
      <c r="K164" s="3">
        <f>Table15[[#This Row],[الايصالات]]+Table15[[#This Row],[النولون]]-Table15[[#This Row],[خصم 3%]]</f>
        <v>0</v>
      </c>
      <c r="M164" s="3">
        <f>M163+Table15[[#This Row],[اجمالي الفاتوره]]-Table15[[#This Row],[الدفعات]]</f>
        <v>229525.46000000008</v>
      </c>
      <c r="O164" s="3">
        <f>SUM(K:K)-SUM(L:L)</f>
        <v>229525.46000000043</v>
      </c>
    </row>
    <row r="165" spans="2:15" ht="29.25" customHeight="1" x14ac:dyDescent="0.3">
      <c r="C165" s="4"/>
      <c r="K165" s="3">
        <f>Table15[[#This Row],[الايصالات]]+Table15[[#This Row],[النولون]]-Table15[[#This Row],[خصم 3%]]</f>
        <v>0</v>
      </c>
      <c r="M165" s="3">
        <f>M164+Table15[[#This Row],[اجمالي الفاتوره]]-Table15[[#This Row],[الدفعات]]</f>
        <v>229525.46000000008</v>
      </c>
    </row>
    <row r="166" spans="2:15" ht="29.25" customHeight="1" x14ac:dyDescent="0.3">
      <c r="C166" s="4"/>
      <c r="K166" s="3">
        <f>Table15[[#This Row],[الايصالات]]+Table15[[#This Row],[النولون]]-Table15[[#This Row],[خصم 3%]]</f>
        <v>0</v>
      </c>
      <c r="M166" s="3">
        <f>M165+Table15[[#This Row],[اجمالي الفاتوره]]-Table15[[#This Row],[الدفعات]]</f>
        <v>229525.46000000008</v>
      </c>
    </row>
    <row r="167" spans="2:15" ht="29.25" customHeight="1" x14ac:dyDescent="0.3">
      <c r="C167" s="4"/>
      <c r="K167" s="3">
        <f>Table15[[#This Row],[الايصالات]]+Table15[[#This Row],[النولون]]-Table15[[#This Row],[خصم 3%]]</f>
        <v>0</v>
      </c>
      <c r="M167" s="3">
        <f>M166+Table15[[#This Row],[اجمالي الفاتوره]]-Table15[[#This Row],[الدفعات]]</f>
        <v>229525.46000000008</v>
      </c>
    </row>
    <row r="168" spans="2:15" ht="29.25" customHeight="1" x14ac:dyDescent="0.3">
      <c r="C168" s="4"/>
      <c r="K168" s="3">
        <f>Table15[[#This Row],[الايصالات]]+Table15[[#This Row],[النولون]]-Table15[[#This Row],[خصم 3%]]</f>
        <v>0</v>
      </c>
      <c r="M168" s="3">
        <f>M167+Table15[[#This Row],[اجمالي الفاتوره]]-Table15[[#This Row],[الدفعات]]</f>
        <v>229525.46000000008</v>
      </c>
    </row>
    <row r="169" spans="2:15" ht="29.25" customHeight="1" x14ac:dyDescent="0.3">
      <c r="C169" s="4"/>
      <c r="K169" s="3">
        <f>Table15[[#This Row],[الايصالات]]+Table15[[#This Row],[النولون]]-Table15[[#This Row],[خصم 3%]]</f>
        <v>0</v>
      </c>
      <c r="M169" s="3">
        <f>M168+Table15[[#This Row],[اجمالي الفاتوره]]-Table15[[#This Row],[الدفعات]]</f>
        <v>229525.46000000008</v>
      </c>
    </row>
    <row r="170" spans="2:15" ht="29.25" customHeight="1" x14ac:dyDescent="0.3">
      <c r="C170" s="4"/>
      <c r="K170" s="3">
        <f>Table15[[#This Row],[الايصالات]]+Table15[[#This Row],[النولون]]-Table15[[#This Row],[خصم 3%]]</f>
        <v>0</v>
      </c>
      <c r="M170" s="3">
        <f>M169+Table15[[#This Row],[اجمالي الفاتوره]]-Table15[[#This Row],[الدفعات]]</f>
        <v>229525.46000000008</v>
      </c>
    </row>
    <row r="171" spans="2:15" ht="29.25" customHeight="1" x14ac:dyDescent="0.3">
      <c r="C171" s="4"/>
      <c r="K171" s="3">
        <f>Table15[[#This Row],[الايصالات]]+Table15[[#This Row],[النولون]]-Table15[[#This Row],[خصم 3%]]</f>
        <v>0</v>
      </c>
      <c r="M171" s="3">
        <f>M170+Table15[[#This Row],[اجمالي الفاتوره]]-Table15[[#This Row],[الدفعات]]</f>
        <v>229525.46000000008</v>
      </c>
    </row>
    <row r="172" spans="2:15" ht="29.25" customHeight="1" x14ac:dyDescent="0.3">
      <c r="B172" s="8"/>
      <c r="C172" s="10"/>
      <c r="D172" s="8"/>
      <c r="E172" s="8"/>
      <c r="F172" s="8"/>
      <c r="G172" s="8"/>
      <c r="H172" s="8"/>
      <c r="I172" s="8"/>
      <c r="J172" s="8"/>
      <c r="K172" s="8">
        <f>Table15[[#This Row],[الايصالات]]+Table15[[#This Row],[النولون]]-Table15[[#This Row],[خصم 3%]]</f>
        <v>0</v>
      </c>
      <c r="L172" s="8"/>
      <c r="M172" s="3">
        <f>M171+Table15[[#This Row],[اجمالي الفاتوره]]-Table15[[#This Row],[الدفعات]]</f>
        <v>229525.46000000008</v>
      </c>
      <c r="N172" s="8"/>
      <c r="O172" s="8"/>
    </row>
    <row r="173" spans="2:15" ht="29.25" customHeight="1" x14ac:dyDescent="0.3">
      <c r="C173" s="4"/>
      <c r="K173" s="3">
        <f>Table15[[#This Row],[الايصالات]]+Table15[[#This Row],[النولون]]-Table15[[#This Row],[خصم 3%]]</f>
        <v>0</v>
      </c>
      <c r="M173" s="3">
        <f>M172+Table15[[#This Row],[اجمالي الفاتوره]]-Table15[[#This Row],[الدفعات]]</f>
        <v>229525.46000000008</v>
      </c>
    </row>
    <row r="174" spans="2:15" ht="29.25" customHeight="1" x14ac:dyDescent="0.3">
      <c r="C174" s="4"/>
      <c r="K174" s="3">
        <f>Table15[[#This Row],[الايصالات]]+Table15[[#This Row],[النولون]]-Table15[[#This Row],[خصم 3%]]</f>
        <v>0</v>
      </c>
      <c r="M174" s="3">
        <f>M173+Table15[[#This Row],[اجمالي الفاتوره]]-Table15[[#This Row],[الدفعات]]</f>
        <v>229525.46000000008</v>
      </c>
    </row>
    <row r="175" spans="2:15" ht="29.25" customHeight="1" x14ac:dyDescent="0.3">
      <c r="C175" s="4"/>
      <c r="K175" s="3">
        <f>Table15[[#This Row],[الايصالات]]+Table15[[#This Row],[النولون]]-Table15[[#This Row],[خصم 3%]]</f>
        <v>0</v>
      </c>
      <c r="M175" s="3">
        <f>M174+Table15[[#This Row],[اجمالي الفاتوره]]-Table15[[#This Row],[الدفعات]]</f>
        <v>229525.46000000008</v>
      </c>
    </row>
    <row r="176" spans="2:15" ht="29.25" customHeight="1" x14ac:dyDescent="0.3">
      <c r="B176" s="8"/>
      <c r="C176" s="10"/>
      <c r="D176" s="8"/>
      <c r="E176" s="8"/>
      <c r="F176" s="8"/>
      <c r="G176" s="8"/>
      <c r="H176" s="8"/>
      <c r="I176" s="8"/>
      <c r="J176" s="8"/>
      <c r="K176" s="3">
        <f>Table15[[#This Row],[الايصالات]]+Table15[[#This Row],[النولون]]-Table15[[#This Row],[خصم 3%]]</f>
        <v>0</v>
      </c>
      <c r="M176" s="3">
        <f>M175+Table15[[#This Row],[اجمالي الفاتوره]]-Table15[[#This Row],[الدفعات]]</f>
        <v>229525.46000000008</v>
      </c>
    </row>
    <row r="177" spans="2:13" ht="29.25" customHeight="1" x14ac:dyDescent="0.3">
      <c r="C177" s="4"/>
      <c r="K177" s="3">
        <f>Table15[[#This Row],[الايصالات]]+Table15[[#This Row],[النولون]]-Table15[[#This Row],[خصم 3%]]</f>
        <v>0</v>
      </c>
      <c r="M177" s="3">
        <f>M176+Table15[[#This Row],[اجمالي الفاتوره]]-Table15[[#This Row],[الدفعات]]</f>
        <v>229525.46000000008</v>
      </c>
    </row>
    <row r="178" spans="2:13" ht="29.25" customHeight="1" x14ac:dyDescent="0.3">
      <c r="C178" s="4"/>
      <c r="K178" s="3">
        <f>Table15[[#This Row],[الايصالات]]+Table15[[#This Row],[النولون]]-Table15[[#This Row],[خصم 3%]]</f>
        <v>0</v>
      </c>
      <c r="M178" s="3">
        <f>M177+Table15[[#This Row],[اجمالي الفاتوره]]-Table15[[#This Row],[الدفعات]]</f>
        <v>229525.46000000008</v>
      </c>
    </row>
    <row r="179" spans="2:13" ht="29.25" customHeight="1" x14ac:dyDescent="0.3">
      <c r="B179" s="4"/>
      <c r="C179" s="4"/>
      <c r="K179" s="3">
        <f>Table15[[#This Row],[الايصالات]]+Table15[[#This Row],[النولون]]-Table15[[#This Row],[خصم 3%]]</f>
        <v>0</v>
      </c>
      <c r="M179" s="3">
        <f>M178+Table15[[#This Row],[اجمالي الفاتوره]]-Table15[[#This Row],[الدفعات]]</f>
        <v>229525.46000000008</v>
      </c>
    </row>
    <row r="180" spans="2:13" ht="29.25" customHeight="1" x14ac:dyDescent="0.3">
      <c r="K180" s="3">
        <f>Table15[[#This Row],[الايصالات]]+Table15[[#This Row],[النولون]]-Table15[[#This Row],[خصم 3%]]</f>
        <v>0</v>
      </c>
      <c r="M180" s="3">
        <f>M179+Table15[[#This Row],[اجمالي الفاتوره]]-Table15[[#This Row],[الدفعات]]</f>
        <v>229525.46000000008</v>
      </c>
    </row>
    <row r="181" spans="2:13" ht="29.25" customHeight="1" x14ac:dyDescent="0.3">
      <c r="K181" s="3">
        <f>Table15[[#This Row],[الايصالات]]+Table15[[#This Row],[النولون]]-Table15[[#This Row],[خصم 3%]]</f>
        <v>0</v>
      </c>
      <c r="M181" s="3">
        <f>M180+Table15[[#This Row],[اجمالي الفاتوره]]-Table15[[#This Row],[الدفعات]]</f>
        <v>229525.46000000008</v>
      </c>
    </row>
    <row r="182" spans="2:13" ht="29.25" customHeight="1" x14ac:dyDescent="0.3">
      <c r="C182" s="4"/>
      <c r="K182" s="3">
        <f>Table15[[#This Row],[الايصالات]]+Table15[[#This Row],[النولون]]-Table15[[#This Row],[خصم 3%]]</f>
        <v>0</v>
      </c>
      <c r="M182" s="3">
        <f>M181+Table15[[#This Row],[اجمالي الفاتوره]]-Table15[[#This Row],[الدفعات]]</f>
        <v>229525.46000000008</v>
      </c>
    </row>
    <row r="183" spans="2:13" ht="29.25" customHeight="1" x14ac:dyDescent="0.3">
      <c r="C183" s="4"/>
      <c r="K183" s="3">
        <f>Table15[[#This Row],[الايصالات]]+Table15[[#This Row],[النولون]]-Table15[[#This Row],[خصم 3%]]</f>
        <v>0</v>
      </c>
      <c r="M183" s="3">
        <f>M182+Table15[[#This Row],[اجمالي الفاتوره]]-Table15[[#This Row],[الدفعات]]</f>
        <v>229525.46000000008</v>
      </c>
    </row>
    <row r="184" spans="2:13" ht="29.25" customHeight="1" x14ac:dyDescent="0.3">
      <c r="C184" s="4"/>
      <c r="K184" s="3">
        <f>Table15[[#This Row],[الايصالات]]+Table15[[#This Row],[النولون]]-Table15[[#This Row],[خصم 3%]]</f>
        <v>0</v>
      </c>
      <c r="M184" s="3">
        <f>M183+Table15[[#This Row],[اجمالي الفاتوره]]-Table15[[#This Row],[الدفعات]]</f>
        <v>229525.46000000008</v>
      </c>
    </row>
    <row r="185" spans="2:13" ht="29.25" customHeight="1" x14ac:dyDescent="0.3">
      <c r="C185" s="4"/>
      <c r="K185" s="3">
        <f>Table15[[#This Row],[الايصالات]]+Table15[[#This Row],[النولون]]-Table15[[#This Row],[خصم 3%]]</f>
        <v>0</v>
      </c>
      <c r="M185" s="3">
        <f>M184+Table15[[#This Row],[اجمالي الفاتوره]]-Table15[[#This Row],[الدفعات]]</f>
        <v>229525.46000000008</v>
      </c>
    </row>
    <row r="186" spans="2:13" ht="29.25" customHeight="1" x14ac:dyDescent="0.3">
      <c r="K186" s="3">
        <f>Table15[[#This Row],[الايصالات]]+Table15[[#This Row],[النولون]]-Table15[[#This Row],[خصم 3%]]</f>
        <v>0</v>
      </c>
      <c r="M186" s="3">
        <f>M185+Table15[[#This Row],[اجمالي الفاتوره]]-Table15[[#This Row],[الدفعات]]</f>
        <v>229525.46000000008</v>
      </c>
    </row>
    <row r="187" spans="2:13" ht="29.25" customHeight="1" x14ac:dyDescent="0.3">
      <c r="C187" s="4"/>
      <c r="K187" s="3">
        <f>Table15[[#This Row],[الايصالات]]+Table15[[#This Row],[النولون]]-Table15[[#This Row],[خصم 3%]]</f>
        <v>0</v>
      </c>
      <c r="M187" s="3">
        <f>M186+Table15[[#This Row],[اجمالي الفاتوره]]-Table15[[#This Row],[الدفعات]]</f>
        <v>229525.46000000008</v>
      </c>
    </row>
    <row r="188" spans="2:13" ht="29.25" customHeight="1" x14ac:dyDescent="0.3">
      <c r="C188" s="4"/>
      <c r="K188" s="3">
        <f>Table15[[#This Row],[الايصالات]]+Table15[[#This Row],[النولون]]-Table15[[#This Row],[خصم 3%]]</f>
        <v>0</v>
      </c>
      <c r="M188" s="3">
        <f>M187+Table15[[#This Row],[اجمالي الفاتوره]]-Table15[[#This Row],[الدفعات]]</f>
        <v>229525.46000000008</v>
      </c>
    </row>
    <row r="189" spans="2:13" ht="29.25" customHeight="1" x14ac:dyDescent="0.3">
      <c r="C189" s="4"/>
      <c r="K189" s="3">
        <f>Table15[[#This Row],[الايصالات]]+Table15[[#This Row],[النولون]]-Table15[[#This Row],[خصم 3%]]</f>
        <v>0</v>
      </c>
      <c r="M189" s="3">
        <f>M188+Table15[[#This Row],[اجمالي الفاتوره]]-Table15[[#This Row],[الدفعات]]</f>
        <v>229525.46000000008</v>
      </c>
    </row>
    <row r="190" spans="2:13" ht="29.25" customHeight="1" x14ac:dyDescent="0.3">
      <c r="C190" s="4"/>
      <c r="K190" s="3">
        <f>Table15[[#This Row],[الايصالات]]+Table15[[#This Row],[النولون]]-Table15[[#This Row],[خصم 3%]]</f>
        <v>0</v>
      </c>
      <c r="M190" s="3">
        <f>M189+Table15[[#This Row],[اجمالي الفاتوره]]-Table15[[#This Row],[الدفعات]]</f>
        <v>229525.46000000008</v>
      </c>
    </row>
    <row r="191" spans="2:13" ht="29.25" customHeight="1" x14ac:dyDescent="0.3">
      <c r="C191" s="4"/>
      <c r="K191" s="3">
        <f>Table15[[#This Row],[الايصالات]]+Table15[[#This Row],[النولون]]-Table15[[#This Row],[خصم 3%]]</f>
        <v>0</v>
      </c>
      <c r="M191" s="3">
        <f>M190+Table15[[#This Row],[اجمالي الفاتوره]]-Table15[[#This Row],[الدفعات]]</f>
        <v>229525.46000000008</v>
      </c>
    </row>
    <row r="192" spans="2:13" ht="29.25" customHeight="1" x14ac:dyDescent="0.3">
      <c r="C192" s="4"/>
      <c r="K192" s="3">
        <f>Table15[[#This Row],[الايصالات]]+Table15[[#This Row],[النولون]]-Table15[[#This Row],[خصم 3%]]</f>
        <v>0</v>
      </c>
      <c r="M192" s="3">
        <f>M191+Table15[[#This Row],[اجمالي الفاتوره]]-Table15[[#This Row],[الدفعات]]</f>
        <v>229525.46000000008</v>
      </c>
    </row>
    <row r="193" spans="3:13" ht="29.25" customHeight="1" x14ac:dyDescent="0.3">
      <c r="C193" s="4"/>
      <c r="K193" s="3">
        <f>Table15[[#This Row],[الايصالات]]+Table15[[#This Row],[النولون]]-Table15[[#This Row],[خصم 3%]]</f>
        <v>0</v>
      </c>
      <c r="M193" s="3">
        <f>M192+Table15[[#This Row],[اجمالي الفاتوره]]-Table15[[#This Row],[الدفعات]]</f>
        <v>229525.46000000008</v>
      </c>
    </row>
    <row r="194" spans="3:13" ht="29.25" customHeight="1" x14ac:dyDescent="0.3">
      <c r="C194" s="4"/>
      <c r="K194" s="3">
        <f>Table15[[#This Row],[الايصالات]]+Table15[[#This Row],[النولون]]-Table15[[#This Row],[خصم 3%]]</f>
        <v>0</v>
      </c>
      <c r="M194" s="3">
        <f>M193+Table15[[#This Row],[اجمالي الفاتوره]]-Table15[[#This Row],[الدفعات]]</f>
        <v>229525.46000000008</v>
      </c>
    </row>
    <row r="195" spans="3:13" ht="29.25" customHeight="1" x14ac:dyDescent="0.3">
      <c r="C195" s="4"/>
      <c r="K195" s="3">
        <f>Table15[[#This Row],[الايصالات]]+Table15[[#This Row],[النولون]]-Table15[[#This Row],[خصم 3%]]</f>
        <v>0</v>
      </c>
      <c r="M195" s="3">
        <f>M194+Table15[[#This Row],[اجمالي الفاتوره]]-Table15[[#This Row],[الدفعات]]</f>
        <v>229525.46000000008</v>
      </c>
    </row>
    <row r="196" spans="3:13" ht="29.25" customHeight="1" x14ac:dyDescent="0.3">
      <c r="C196" s="4"/>
      <c r="K196" s="3">
        <f>Table15[[#This Row],[الايصالات]]+Table15[[#This Row],[النولون]]-Table15[[#This Row],[خصم 3%]]</f>
        <v>0</v>
      </c>
      <c r="M196" s="3">
        <f>M195+Table15[[#This Row],[اجمالي الفاتوره]]-Table15[[#This Row],[الدفعات]]</f>
        <v>229525.46000000008</v>
      </c>
    </row>
    <row r="197" spans="3:13" ht="29.25" customHeight="1" x14ac:dyDescent="0.3">
      <c r="C197" s="4"/>
      <c r="K197" s="3">
        <f>Table15[[#This Row],[الايصالات]]+Table15[[#This Row],[النولون]]-Table15[[#This Row],[خصم 3%]]</f>
        <v>0</v>
      </c>
      <c r="M197" s="3">
        <f>M196+Table15[[#This Row],[اجمالي الفاتوره]]-Table15[[#This Row],[الدفعات]]</f>
        <v>229525.46000000008</v>
      </c>
    </row>
    <row r="198" spans="3:13" ht="29.25" customHeight="1" x14ac:dyDescent="0.3">
      <c r="C198" s="4"/>
      <c r="K198" s="3">
        <f>Table15[[#This Row],[الايصالات]]+Table15[[#This Row],[النولون]]-Table15[[#This Row],[خصم 3%]]</f>
        <v>0</v>
      </c>
      <c r="M198" s="3">
        <f>M197+Table15[[#This Row],[اجمالي الفاتوره]]-Table15[[#This Row],[الدفعات]]</f>
        <v>229525.46000000008</v>
      </c>
    </row>
    <row r="199" spans="3:13" ht="29.25" customHeight="1" x14ac:dyDescent="0.3">
      <c r="C199" s="4"/>
      <c r="K199" s="3">
        <f>Table15[[#This Row],[الايصالات]]+Table15[[#This Row],[النولون]]-Table15[[#This Row],[خصم 3%]]</f>
        <v>0</v>
      </c>
      <c r="M199" s="3">
        <f>M198+Table15[[#This Row],[اجمالي الفاتوره]]-Table15[[#This Row],[الدفعات]]</f>
        <v>229525.46000000008</v>
      </c>
    </row>
    <row r="200" spans="3:13" ht="29.25" customHeight="1" x14ac:dyDescent="0.3">
      <c r="C200" s="4"/>
      <c r="K200" s="3">
        <f>Table15[[#This Row],[الايصالات]]+Table15[[#This Row],[النولون]]-Table15[[#This Row],[خصم 3%]]</f>
        <v>0</v>
      </c>
      <c r="M200" s="3">
        <f>M199+Table15[[#This Row],[اجمالي الفاتوره]]-Table15[[#This Row],[الدفعات]]</f>
        <v>229525.46000000008</v>
      </c>
    </row>
    <row r="201" spans="3:13" ht="29.25" customHeight="1" x14ac:dyDescent="0.3">
      <c r="C201" s="4"/>
      <c r="K201" s="3">
        <f>Table15[[#This Row],[الايصالات]]+Table15[[#This Row],[النولون]]-Table15[[#This Row],[خصم 3%]]</f>
        <v>0</v>
      </c>
      <c r="M201" s="3">
        <f>M200+Table15[[#This Row],[اجمالي الفاتوره]]-Table15[[#This Row],[الدفعات]]</f>
        <v>229525.46000000008</v>
      </c>
    </row>
    <row r="202" spans="3:13" ht="29.25" customHeight="1" x14ac:dyDescent="0.3">
      <c r="C202" s="4"/>
      <c r="K202" s="3">
        <f>Table15[[#This Row],[الايصالات]]+Table15[[#This Row],[النولون]]-Table15[[#This Row],[خصم 3%]]</f>
        <v>0</v>
      </c>
      <c r="M202" s="3">
        <f>M201+Table15[[#This Row],[اجمالي الفاتوره]]-Table15[[#This Row],[الدفعات]]</f>
        <v>229525.46000000008</v>
      </c>
    </row>
    <row r="203" spans="3:13" ht="29.25" customHeight="1" x14ac:dyDescent="0.3">
      <c r="C203" s="4"/>
      <c r="K203" s="3">
        <f>Table15[[#This Row],[الايصالات]]+Table15[[#This Row],[النولون]]-Table15[[#This Row],[خصم 3%]]</f>
        <v>0</v>
      </c>
      <c r="M203" s="3">
        <f>M202+Table15[[#This Row],[اجمالي الفاتوره]]-Table15[[#This Row],[الدفعات]]</f>
        <v>229525.46000000008</v>
      </c>
    </row>
    <row r="204" spans="3:13" ht="29.25" customHeight="1" x14ac:dyDescent="0.3">
      <c r="C204" s="4"/>
      <c r="K204" s="3">
        <f>Table15[[#This Row],[الايصالات]]+Table15[[#This Row],[النولون]]-Table15[[#This Row],[خصم 3%]]</f>
        <v>0</v>
      </c>
      <c r="M204" s="3">
        <f>M203+Table15[[#This Row],[اجمالي الفاتوره]]-Table15[[#This Row],[الدفعات]]</f>
        <v>229525.46000000008</v>
      </c>
    </row>
    <row r="205" spans="3:13" ht="29.25" customHeight="1" x14ac:dyDescent="0.3">
      <c r="C205" s="4"/>
      <c r="K205" s="3">
        <f>Table15[[#This Row],[الايصالات]]+Table15[[#This Row],[النولون]]-Table15[[#This Row],[خصم 3%]]</f>
        <v>0</v>
      </c>
      <c r="M205" s="3">
        <f>M204+Table15[[#This Row],[اجمالي الفاتوره]]-Table15[[#This Row],[الدفعات]]</f>
        <v>229525.46000000008</v>
      </c>
    </row>
    <row r="206" spans="3:13" ht="29.25" customHeight="1" x14ac:dyDescent="0.3">
      <c r="C206" s="4"/>
      <c r="K206" s="3">
        <f>Table15[[#This Row],[الايصالات]]+Table15[[#This Row],[النولون]]-Table15[[#This Row],[خصم 3%]]</f>
        <v>0</v>
      </c>
      <c r="M206" s="3">
        <f>M205+Table15[[#This Row],[اجمالي الفاتوره]]-Table15[[#This Row],[الدفعات]]</f>
        <v>229525.46000000008</v>
      </c>
    </row>
    <row r="207" spans="3:13" ht="29.25" customHeight="1" x14ac:dyDescent="0.3">
      <c r="C207" s="4"/>
      <c r="K207" s="3">
        <f>Table15[[#This Row],[الايصالات]]+Table15[[#This Row],[النولون]]-Table15[[#This Row],[خصم 3%]]</f>
        <v>0</v>
      </c>
      <c r="M207" s="3">
        <f>M206+Table15[[#This Row],[اجمالي الفاتوره]]-Table15[[#This Row],[الدفعات]]</f>
        <v>229525.46000000008</v>
      </c>
    </row>
    <row r="208" spans="3:13" ht="29.25" customHeight="1" x14ac:dyDescent="0.3">
      <c r="C208" s="4"/>
      <c r="K208" s="3">
        <f>Table15[[#This Row],[الايصالات]]+Table15[[#This Row],[النولون]]-Table15[[#This Row],[خصم 3%]]</f>
        <v>0</v>
      </c>
      <c r="M208" s="3">
        <f>M207+Table15[[#This Row],[اجمالي الفاتوره]]-Table15[[#This Row],[الدفعات]]</f>
        <v>229525.46000000008</v>
      </c>
    </row>
    <row r="209" spans="3:13" ht="29.25" customHeight="1" x14ac:dyDescent="0.3">
      <c r="C209" s="4"/>
      <c r="K209" s="3">
        <f>Table15[[#This Row],[الايصالات]]+Table15[[#This Row],[النولون]]-Table15[[#This Row],[خصم 3%]]</f>
        <v>0</v>
      </c>
      <c r="M209" s="3">
        <f>M208+Table15[[#This Row],[اجمالي الفاتوره]]-Table15[[#This Row],[الدفعات]]</f>
        <v>229525.46000000008</v>
      </c>
    </row>
    <row r="210" spans="3:13" ht="29.25" customHeight="1" x14ac:dyDescent="0.3">
      <c r="C210" s="4"/>
      <c r="K210" s="3">
        <f>Table15[[#This Row],[الايصالات]]+Table15[[#This Row],[النولون]]-Table15[[#This Row],[خصم 3%]]</f>
        <v>0</v>
      </c>
      <c r="M210" s="3">
        <f>M209+Table15[[#This Row],[اجمالي الفاتوره]]-Table15[[#This Row],[الدفعات]]</f>
        <v>229525.46000000008</v>
      </c>
    </row>
    <row r="211" spans="3:13" ht="29.25" customHeight="1" x14ac:dyDescent="0.3">
      <c r="C211" s="4"/>
      <c r="K211" s="3">
        <f>Table15[[#This Row],[الايصالات]]+Table15[[#This Row],[النولون]]-Table15[[#This Row],[خصم 3%]]</f>
        <v>0</v>
      </c>
      <c r="M211" s="3">
        <f>M210+Table15[[#This Row],[اجمالي الفاتوره]]-Table15[[#This Row],[الدفعات]]</f>
        <v>229525.46000000008</v>
      </c>
    </row>
    <row r="212" spans="3:13" ht="29.25" customHeight="1" x14ac:dyDescent="0.3">
      <c r="C212" s="4"/>
      <c r="K212" s="3">
        <f>Table15[[#This Row],[الايصالات]]+Table15[[#This Row],[النولون]]-Table15[[#This Row],[خصم 3%]]</f>
        <v>0</v>
      </c>
      <c r="M212" s="3">
        <f>M211+Table15[[#This Row],[اجمالي الفاتوره]]-Table15[[#This Row],[الدفعات]]</f>
        <v>229525.46000000008</v>
      </c>
    </row>
    <row r="213" spans="3:13" ht="29.25" customHeight="1" x14ac:dyDescent="0.3">
      <c r="C213" s="4"/>
      <c r="K213" s="3">
        <f>Table15[[#This Row],[الايصالات]]+Table15[[#This Row],[النولون]]-Table15[[#This Row],[خصم 3%]]</f>
        <v>0</v>
      </c>
      <c r="M213" s="3">
        <f>M212+Table15[[#This Row],[اجمالي الفاتوره]]-Table15[[#This Row],[الدفعات]]</f>
        <v>229525.46000000008</v>
      </c>
    </row>
    <row r="214" spans="3:13" ht="29.25" customHeight="1" x14ac:dyDescent="0.3">
      <c r="C214" s="4"/>
      <c r="K214" s="3">
        <f>Table15[[#This Row],[الايصالات]]+Table15[[#This Row],[النولون]]-Table15[[#This Row],[خصم 3%]]</f>
        <v>0</v>
      </c>
      <c r="M214" s="3">
        <f>M213+Table15[[#This Row],[اجمالي الفاتوره]]-Table15[[#This Row],[الدفعات]]</f>
        <v>229525.46000000008</v>
      </c>
    </row>
    <row r="215" spans="3:13" ht="29.25" customHeight="1" x14ac:dyDescent="0.3">
      <c r="C215" s="4"/>
      <c r="K215" s="3">
        <f>Table15[[#This Row],[الايصالات]]+Table15[[#This Row],[النولون]]-Table15[[#This Row],[خصم 3%]]</f>
        <v>0</v>
      </c>
      <c r="M215" s="3">
        <f>M214+Table15[[#This Row],[اجمالي الفاتوره]]-Table15[[#This Row],[الدفعات]]</f>
        <v>229525.46000000008</v>
      </c>
    </row>
    <row r="216" spans="3:13" ht="29.25" customHeight="1" x14ac:dyDescent="0.3">
      <c r="C216" s="4"/>
      <c r="K216" s="3">
        <f>Table15[[#This Row],[الايصالات]]+Table15[[#This Row],[النولون]]-Table15[[#This Row],[خصم 3%]]</f>
        <v>0</v>
      </c>
      <c r="M216" s="3">
        <f>M215+Table15[[#This Row],[اجمالي الفاتوره]]-Table15[[#This Row],[الدفعات]]</f>
        <v>229525.46000000008</v>
      </c>
    </row>
    <row r="217" spans="3:13" ht="29.25" customHeight="1" x14ac:dyDescent="0.3">
      <c r="C217" s="4"/>
      <c r="K217" s="3">
        <f>Table15[[#This Row],[الايصالات]]+Table15[[#This Row],[النولون]]-Table15[[#This Row],[خصم 3%]]</f>
        <v>0</v>
      </c>
      <c r="M217" s="3">
        <f>M216+Table15[[#This Row],[اجمالي الفاتوره]]-Table15[[#This Row],[الدفعات]]</f>
        <v>229525.46000000008</v>
      </c>
    </row>
    <row r="218" spans="3:13" ht="29.25" customHeight="1" x14ac:dyDescent="0.3">
      <c r="K218" s="3">
        <f>Table15[[#This Row],[الايصالات]]+Table15[[#This Row],[النولون]]-Table15[[#This Row],[خصم 3%]]</f>
        <v>0</v>
      </c>
      <c r="M218" s="3">
        <f>M217+Table15[[#This Row],[اجمالي الفاتوره]]-Table15[[#This Row],[الدفعات]]</f>
        <v>229525.46000000008</v>
      </c>
    </row>
    <row r="219" spans="3:13" ht="29.25" customHeight="1" x14ac:dyDescent="0.3">
      <c r="C219" s="4"/>
      <c r="K219" s="3">
        <f>Table15[[#This Row],[الايصالات]]+Table15[[#This Row],[النولون]]-Table15[[#This Row],[خصم 3%]]</f>
        <v>0</v>
      </c>
      <c r="M219" s="3">
        <f>M218+Table15[[#This Row],[اجمالي الفاتوره]]-Table15[[#This Row],[الدفعات]]</f>
        <v>229525.46000000008</v>
      </c>
    </row>
    <row r="220" spans="3:13" ht="29.25" customHeight="1" x14ac:dyDescent="0.3">
      <c r="C220" s="4"/>
      <c r="K220" s="3">
        <f>Table15[[#This Row],[الايصالات]]+Table15[[#This Row],[النولون]]-Table15[[#This Row],[خصم 3%]]</f>
        <v>0</v>
      </c>
      <c r="M220" s="3">
        <f>M219+Table15[[#This Row],[اجمالي الفاتوره]]-Table15[[#This Row],[الدفعات]]</f>
        <v>229525.46000000008</v>
      </c>
    </row>
    <row r="221" spans="3:13" ht="29.25" customHeight="1" x14ac:dyDescent="0.3">
      <c r="C221" s="4"/>
      <c r="K221" s="3">
        <f>Table15[[#This Row],[الايصالات]]+Table15[[#This Row],[النولون]]-Table15[[#This Row],[خصم 3%]]</f>
        <v>0</v>
      </c>
      <c r="M221" s="3">
        <f>M220+Table15[[#This Row],[اجمالي الفاتوره]]-Table15[[#This Row],[الدفعات]]</f>
        <v>229525.46000000008</v>
      </c>
    </row>
    <row r="222" spans="3:13" ht="29.25" customHeight="1" x14ac:dyDescent="0.3">
      <c r="C222" s="4"/>
      <c r="K222" s="3">
        <f>Table15[[#This Row],[الايصالات]]+Table15[[#This Row],[النولون]]-Table15[[#This Row],[خصم 3%]]</f>
        <v>0</v>
      </c>
      <c r="M222" s="3">
        <f>M221+Table15[[#This Row],[اجمالي الفاتوره]]-Table15[[#This Row],[الدفعات]]</f>
        <v>229525.46000000008</v>
      </c>
    </row>
    <row r="223" spans="3:13" ht="29.25" customHeight="1" x14ac:dyDescent="0.3">
      <c r="C223" s="4"/>
      <c r="K223" s="3">
        <f>Table15[[#This Row],[الايصالات]]+Table15[[#This Row],[النولون]]-Table15[[#This Row],[خصم 3%]]</f>
        <v>0</v>
      </c>
      <c r="M223" s="3">
        <f>M222+Table15[[#This Row],[اجمالي الفاتوره]]-Table15[[#This Row],[الدفعات]]</f>
        <v>229525.46000000008</v>
      </c>
    </row>
    <row r="224" spans="3:13" ht="29.25" customHeight="1" x14ac:dyDescent="0.3">
      <c r="C224" s="4"/>
      <c r="K224" s="3">
        <f>Table15[[#This Row],[الايصالات]]+Table15[[#This Row],[النولون]]-Table15[[#This Row],[خصم 3%]]</f>
        <v>0</v>
      </c>
      <c r="M224" s="3">
        <f>M223+Table15[[#This Row],[اجمالي الفاتوره]]-Table15[[#This Row],[الدفعات]]</f>
        <v>229525.46000000008</v>
      </c>
    </row>
    <row r="225" spans="2:15" ht="29.25" customHeight="1" x14ac:dyDescent="0.3">
      <c r="C225" s="4"/>
      <c r="K225" s="3">
        <f>Table15[[#This Row],[الايصالات]]+Table15[[#This Row],[النولون]]-Table15[[#This Row],[خصم 3%]]</f>
        <v>0</v>
      </c>
      <c r="M225" s="3">
        <f>M224+Table15[[#This Row],[اجمالي الفاتوره]]-Table15[[#This Row],[الدفعات]]</f>
        <v>229525.46000000008</v>
      </c>
    </row>
    <row r="226" spans="2:15" ht="29.25" customHeight="1" x14ac:dyDescent="0.3">
      <c r="C226" s="4"/>
      <c r="K226" s="3">
        <f>Table15[[#This Row],[الايصالات]]+Table15[[#This Row],[النولون]]-Table15[[#This Row],[خصم 3%]]</f>
        <v>0</v>
      </c>
      <c r="M226" s="3">
        <f>M225+Table15[[#This Row],[اجمالي الفاتوره]]-Table15[[#This Row],[الدفعات]]</f>
        <v>229525.46000000008</v>
      </c>
    </row>
    <row r="227" spans="2:15" ht="29.25" customHeight="1" x14ac:dyDescent="0.3">
      <c r="B227" s="8"/>
      <c r="C227" s="10"/>
      <c r="D227" s="8"/>
      <c r="E227" s="8"/>
      <c r="F227" s="8"/>
      <c r="G227" s="8"/>
      <c r="H227" s="8"/>
      <c r="I227" s="8"/>
      <c r="J227" s="8"/>
      <c r="K227" s="8">
        <f>Table15[[#This Row],[الايصالات]]+Table15[[#This Row],[النولون]]-Table15[[#This Row],[خصم 3%]]</f>
        <v>0</v>
      </c>
      <c r="L227" s="8"/>
      <c r="M227" s="3">
        <f>M226+Table15[[#This Row],[اجمالي الفاتوره]]-Table15[[#This Row],[الدفعات]]</f>
        <v>229525.46000000008</v>
      </c>
      <c r="N227" s="8"/>
      <c r="O227" s="8"/>
    </row>
    <row r="228" spans="2:15" ht="29.25" customHeight="1" x14ac:dyDescent="0.3">
      <c r="C228" s="4"/>
      <c r="K228" s="8">
        <f>Table15[[#This Row],[الايصالات]]+Table15[[#This Row],[النولون]]-Table15[[#This Row],[خصم 3%]]</f>
        <v>0</v>
      </c>
      <c r="M228" s="3">
        <f>M227+Table15[[#This Row],[اجمالي الفاتوره]]-Table15[[#This Row],[الدفعات]]</f>
        <v>229525.46000000008</v>
      </c>
    </row>
    <row r="229" spans="2:15" ht="29.25" customHeight="1" x14ac:dyDescent="0.3">
      <c r="C229" s="4"/>
      <c r="K229" s="3">
        <f>Table15[[#This Row],[الايصالات]]+Table15[[#This Row],[النولون]]-Table15[[#This Row],[خصم 3%]]</f>
        <v>0</v>
      </c>
      <c r="M229" s="3">
        <f>M228+Table15[[#This Row],[اجمالي الفاتوره]]-Table15[[#This Row],[الدفعات]]</f>
        <v>229525.46000000008</v>
      </c>
    </row>
    <row r="230" spans="2:15" ht="29.25" customHeight="1" x14ac:dyDescent="0.3">
      <c r="C230" s="4"/>
      <c r="K230" s="3">
        <f>Table15[[#This Row],[الايصالات]]+Table15[[#This Row],[النولون]]-Table15[[#This Row],[خصم 3%]]</f>
        <v>0</v>
      </c>
      <c r="M230" s="3">
        <f>M229+Table15[[#This Row],[اجمالي الفاتوره]]-Table15[[#This Row],[الدفعات]]</f>
        <v>229525.46000000008</v>
      </c>
    </row>
    <row r="231" spans="2:15" ht="29.25" customHeight="1" x14ac:dyDescent="0.3">
      <c r="C231" s="4"/>
      <c r="K231" s="3">
        <f>Table15[[#This Row],[الايصالات]]+Table15[[#This Row],[النولون]]-Table15[[#This Row],[خصم 3%]]</f>
        <v>0</v>
      </c>
      <c r="M231" s="3">
        <f>M230+Table15[[#This Row],[اجمالي الفاتوره]]-Table15[[#This Row],[الدفعات]]</f>
        <v>229525.46000000008</v>
      </c>
    </row>
    <row r="232" spans="2:15" ht="29.25" customHeight="1" x14ac:dyDescent="0.3">
      <c r="C232" s="4"/>
      <c r="K232" s="3">
        <f>Table15[[#This Row],[الايصالات]]+Table15[[#This Row],[النولون]]-Table15[[#This Row],[خصم 3%]]</f>
        <v>0</v>
      </c>
      <c r="M232" s="3">
        <f>M231+Table15[[#This Row],[اجمالي الفاتوره]]-Table15[[#This Row],[الدفعات]]</f>
        <v>229525.46000000008</v>
      </c>
    </row>
    <row r="233" spans="2:15" ht="29.25" customHeight="1" x14ac:dyDescent="0.3">
      <c r="C233" s="4"/>
      <c r="K233" s="3">
        <f>Table15[[#This Row],[الايصالات]]+Table15[[#This Row],[النولون]]-Table15[[#This Row],[خصم 3%]]</f>
        <v>0</v>
      </c>
      <c r="M233" s="3">
        <f>M232+Table15[[#This Row],[اجمالي الفاتوره]]-Table15[[#This Row],[الدفعات]]</f>
        <v>229525.46000000008</v>
      </c>
    </row>
    <row r="234" spans="2:15" ht="29.25" customHeight="1" x14ac:dyDescent="0.3">
      <c r="C234" s="4"/>
      <c r="K234" s="3">
        <f>Table15[[#This Row],[الايصالات]]+Table15[[#This Row],[النولون]]-Table15[[#This Row],[خصم 3%]]</f>
        <v>0</v>
      </c>
      <c r="M234" s="3">
        <f>M233+Table15[[#This Row],[اجمالي الفاتوره]]-Table15[[#This Row],[الدفعات]]</f>
        <v>229525.46000000008</v>
      </c>
    </row>
    <row r="235" spans="2:15" ht="29.25" customHeight="1" x14ac:dyDescent="0.3">
      <c r="C235" s="4"/>
      <c r="K235" s="3">
        <f>Table15[[#This Row],[الايصالات]]+Table15[[#This Row],[النولون]]-Table15[[#This Row],[خصم 3%]]</f>
        <v>0</v>
      </c>
      <c r="M235" s="3">
        <f>M234+Table15[[#This Row],[اجمالي الفاتوره]]-Table15[[#This Row],[الدفعات]]</f>
        <v>229525.46000000008</v>
      </c>
    </row>
    <row r="236" spans="2:15" ht="29.25" customHeight="1" x14ac:dyDescent="0.3">
      <c r="C236" s="4"/>
      <c r="K236" s="3">
        <f>Table15[[#This Row],[الايصالات]]+Table15[[#This Row],[النولون]]-Table15[[#This Row],[خصم 3%]]</f>
        <v>0</v>
      </c>
      <c r="M236" s="3">
        <f>M235+Table15[[#This Row],[اجمالي الفاتوره]]-Table15[[#This Row],[الدفعات]]</f>
        <v>229525.46000000008</v>
      </c>
    </row>
    <row r="237" spans="2:15" ht="29.25" customHeight="1" x14ac:dyDescent="0.3">
      <c r="C237" s="4"/>
      <c r="K237" s="3">
        <f>Table15[[#This Row],[الايصالات]]+Table15[[#This Row],[النولون]]-Table15[[#This Row],[خصم 3%]]</f>
        <v>0</v>
      </c>
      <c r="M237" s="3">
        <f>M236+Table15[[#This Row],[اجمالي الفاتوره]]-Table15[[#This Row],[الدفعات]]</f>
        <v>229525.46000000008</v>
      </c>
    </row>
    <row r="238" spans="2:15" ht="29.25" customHeight="1" x14ac:dyDescent="0.3">
      <c r="C238" s="4"/>
      <c r="K238" s="3">
        <f>Table15[[#This Row],[الايصالات]]+Table15[[#This Row],[النولون]]-Table15[[#This Row],[خصم 3%]]</f>
        <v>0</v>
      </c>
      <c r="M238" s="3">
        <f>M237+Table15[[#This Row],[اجمالي الفاتوره]]-Table15[[#This Row],[الدفعات]]</f>
        <v>229525.46000000008</v>
      </c>
    </row>
    <row r="239" spans="2:15" ht="29.25" customHeight="1" x14ac:dyDescent="0.3">
      <c r="C239" s="4"/>
      <c r="K239" s="3">
        <f>Table15[[#This Row],[الايصالات]]+Table15[[#This Row],[النولون]]-Table15[[#This Row],[خصم 3%]]</f>
        <v>0</v>
      </c>
      <c r="M239" s="3">
        <f>M238+Table15[[#This Row],[اجمالي الفاتوره]]-Table15[[#This Row],[الدفعات]]</f>
        <v>229525.46000000008</v>
      </c>
    </row>
    <row r="240" spans="2:15" ht="29.25" customHeight="1" x14ac:dyDescent="0.3">
      <c r="C240" s="4"/>
      <c r="K240" s="3">
        <f>Table15[[#This Row],[الايصالات]]+Table15[[#This Row],[النولون]]-Table15[[#This Row],[خصم 3%]]</f>
        <v>0</v>
      </c>
      <c r="M240" s="3">
        <f>M239+Table15[[#This Row],[اجمالي الفاتوره]]-Table15[[#This Row],[الدفعات]]</f>
        <v>229525.46000000008</v>
      </c>
    </row>
    <row r="241" spans="2:15" ht="29.25" customHeight="1" x14ac:dyDescent="0.3">
      <c r="K241" s="3">
        <f>Table15[[#This Row],[الايصالات]]+Table15[[#This Row],[النولون]]-Table15[[#This Row],[خصم 3%]]</f>
        <v>0</v>
      </c>
      <c r="M241" s="3">
        <f>M240+Table15[[#This Row],[اجمالي الفاتوره]]-Table15[[#This Row],[الدفعات]]</f>
        <v>229525.46000000008</v>
      </c>
    </row>
    <row r="242" spans="2:15" ht="29.25" customHeight="1" x14ac:dyDescent="0.3">
      <c r="C242" s="4"/>
      <c r="K242" s="3">
        <f>Table15[[#This Row],[الايصالات]]+Table15[[#This Row],[النولون]]-Table15[[#This Row],[خصم 3%]]</f>
        <v>0</v>
      </c>
      <c r="M242" s="3">
        <f>M241+Table15[[#This Row],[اجمالي الفاتوره]]-Table15[[#This Row],[الدفعات]]</f>
        <v>229525.46000000008</v>
      </c>
    </row>
    <row r="243" spans="2:15" ht="29.25" customHeight="1" x14ac:dyDescent="0.3">
      <c r="K243" s="3">
        <f>Table15[[#This Row],[الايصالات]]+Table15[[#This Row],[النولون]]-Table15[[#This Row],[خصم 3%]]</f>
        <v>0</v>
      </c>
      <c r="M243" s="3">
        <f>M242+Table15[[#This Row],[اجمالي الفاتوره]]-Table15[[#This Row],[الدفعات]]</f>
        <v>229525.46000000008</v>
      </c>
    </row>
    <row r="244" spans="2:15" ht="29.25" customHeight="1" x14ac:dyDescent="0.3">
      <c r="B244" s="8"/>
      <c r="C244" s="10"/>
      <c r="D244" s="8"/>
      <c r="E244" s="8"/>
      <c r="F244" s="8"/>
      <c r="G244" s="8"/>
      <c r="H244" s="8"/>
      <c r="I244" s="8"/>
      <c r="J244" s="8"/>
      <c r="K244" s="8">
        <f>Table15[[#This Row],[الايصالات]]+Table15[[#This Row],[النولون]]-Table15[[#This Row],[خصم 3%]]</f>
        <v>0</v>
      </c>
      <c r="L244" s="8"/>
      <c r="M244" s="3">
        <f>M243+Table15[[#This Row],[اجمالي الفاتوره]]-Table15[[#This Row],[الدفعات]]</f>
        <v>229525.46000000008</v>
      </c>
      <c r="N244" s="8"/>
      <c r="O244" s="8"/>
    </row>
    <row r="245" spans="2:15" ht="29.25" customHeight="1" x14ac:dyDescent="0.3">
      <c r="C245" s="4"/>
      <c r="K245" s="3">
        <f>Table15[[#This Row],[الايصالات]]+Table15[[#This Row],[النولون]]-Table15[[#This Row],[خصم 3%]]</f>
        <v>0</v>
      </c>
      <c r="M245" s="3">
        <f>M244+Table15[[#This Row],[اجمالي الفاتوره]]-Table15[[#This Row],[الدفعات]]</f>
        <v>229525.46000000008</v>
      </c>
    </row>
    <row r="246" spans="2:15" ht="29.25" customHeight="1" x14ac:dyDescent="0.3">
      <c r="C246" s="4"/>
      <c r="K246" s="3">
        <f>Table15[[#This Row],[الايصالات]]+Table15[[#This Row],[النولون]]-Table15[[#This Row],[خصم 3%]]</f>
        <v>0</v>
      </c>
      <c r="M246" s="3">
        <f>M245+Table15[[#This Row],[اجمالي الفاتوره]]-Table15[[#This Row],[الدفعات]]</f>
        <v>229525.46000000008</v>
      </c>
    </row>
    <row r="247" spans="2:15" ht="29.25" customHeight="1" x14ac:dyDescent="0.3">
      <c r="C247" s="4"/>
      <c r="K247" s="3">
        <f>Table15[[#This Row],[الايصالات]]+Table15[[#This Row],[النولون]]-Table15[[#This Row],[خصم 3%]]</f>
        <v>0</v>
      </c>
      <c r="M247" s="3">
        <f>M246+Table15[[#This Row],[اجمالي الفاتوره]]-Table15[[#This Row],[الدفعات]]</f>
        <v>229525.46000000008</v>
      </c>
    </row>
    <row r="248" spans="2:15" ht="29.25" customHeight="1" x14ac:dyDescent="0.3">
      <c r="K248" s="3">
        <f>Table15[[#This Row],[الايصالات]]+Table15[[#This Row],[النولون]]-Table15[[#This Row],[خصم 3%]]</f>
        <v>0</v>
      </c>
      <c r="M248" s="3">
        <f>M247+Table15[[#This Row],[اجمالي الفاتوره]]-Table15[[#This Row],[الدفعات]]</f>
        <v>229525.46000000008</v>
      </c>
    </row>
    <row r="249" spans="2:15" ht="29.25" customHeight="1" x14ac:dyDescent="0.3">
      <c r="K249" s="3">
        <f>Table15[[#This Row],[الايصالات]]+Table15[[#This Row],[النولون]]-Table15[[#This Row],[خصم 3%]]</f>
        <v>0</v>
      </c>
      <c r="M249" s="3">
        <f>M248+Table15[[#This Row],[اجمالي الفاتوره]]-Table15[[#This Row],[الدفعات]]</f>
        <v>229525.46000000008</v>
      </c>
    </row>
    <row r="250" spans="2:15" ht="29.25" customHeight="1" x14ac:dyDescent="0.3">
      <c r="C250" s="4"/>
      <c r="K250" s="3">
        <f>Table15[[#This Row],[الايصالات]]+Table15[[#This Row],[النولون]]-Table15[[#This Row],[خصم 3%]]</f>
        <v>0</v>
      </c>
      <c r="M250" s="3">
        <f>M249+Table15[[#This Row],[اجمالي الفاتوره]]-Table15[[#This Row],[الدفعات]]</f>
        <v>229525.46000000008</v>
      </c>
    </row>
    <row r="251" spans="2:15" ht="29.25" customHeight="1" x14ac:dyDescent="0.3">
      <c r="K251" s="3">
        <f>Table15[[#This Row],[الايصالات]]+Table15[[#This Row],[النولون]]-Table15[[#This Row],[خصم 3%]]</f>
        <v>0</v>
      </c>
      <c r="M251" s="3">
        <f>M250+Table15[[#This Row],[اجمالي الفاتوره]]-Table15[[#This Row],[الدفعات]]</f>
        <v>229525.46000000008</v>
      </c>
    </row>
    <row r="252" spans="2:15" ht="29.25" customHeight="1" x14ac:dyDescent="0.3">
      <c r="K252" s="3">
        <f>Table15[[#This Row],[الايصالات]]+Table15[[#This Row],[النولون]]-Table15[[#This Row],[خصم 3%]]</f>
        <v>0</v>
      </c>
      <c r="M252" s="3">
        <f>M251+Table15[[#This Row],[اجمالي الفاتوره]]-Table15[[#This Row],[الدفعات]]</f>
        <v>229525.46000000008</v>
      </c>
    </row>
    <row r="253" spans="2:15" ht="29.25" customHeight="1" x14ac:dyDescent="0.3">
      <c r="C253" s="4"/>
      <c r="K253" s="3">
        <f>Table15[[#This Row],[الايصالات]]+Table15[[#This Row],[النولون]]-Table15[[#This Row],[خصم 3%]]</f>
        <v>0</v>
      </c>
      <c r="M253" s="3">
        <f>M252+Table15[[#This Row],[اجمالي الفاتوره]]-Table15[[#This Row],[الدفعات]]</f>
        <v>229525.46000000008</v>
      </c>
    </row>
    <row r="254" spans="2:15" ht="29.25" customHeight="1" x14ac:dyDescent="0.3">
      <c r="C254" s="4"/>
      <c r="K254" s="3">
        <f>Table15[[#This Row],[الايصالات]]+Table15[[#This Row],[النولون]]-Table15[[#This Row],[خصم 3%]]</f>
        <v>0</v>
      </c>
      <c r="M254" s="3">
        <f>M253+Table15[[#This Row],[اجمالي الفاتوره]]-Table15[[#This Row],[الدفعات]]</f>
        <v>229525.46000000008</v>
      </c>
    </row>
    <row r="255" spans="2:15" ht="29.25" customHeight="1" x14ac:dyDescent="0.3">
      <c r="C255" s="4"/>
      <c r="K255" s="3">
        <f>Table15[[#This Row],[الايصالات]]+Table15[[#This Row],[النولون]]-Table15[[#This Row],[خصم 3%]]</f>
        <v>0</v>
      </c>
      <c r="M255" s="3">
        <f>M254+Table15[[#This Row],[اجمالي الفاتوره]]-Table15[[#This Row],[الدفعات]]</f>
        <v>229525.46000000008</v>
      </c>
    </row>
    <row r="256" spans="2:15" ht="29.25" customHeight="1" x14ac:dyDescent="0.3">
      <c r="C256" s="4"/>
      <c r="K256" s="3">
        <f>Table15[[#This Row],[الايصالات]]+Table15[[#This Row],[النولون]]-Table15[[#This Row],[خصم 3%]]</f>
        <v>0</v>
      </c>
      <c r="M256" s="3">
        <f>M255+Table15[[#This Row],[اجمالي الفاتوره]]-Table15[[#This Row],[الدفعات]]</f>
        <v>229525.46000000008</v>
      </c>
    </row>
    <row r="257" spans="2:15" ht="29.25" customHeight="1" x14ac:dyDescent="0.3">
      <c r="C257" s="4"/>
      <c r="K257" s="3">
        <f>Table15[[#This Row],[الايصالات]]+Table15[[#This Row],[النولون]]-Table15[[#This Row],[خصم 3%]]</f>
        <v>0</v>
      </c>
      <c r="M257" s="3">
        <f>M256+Table15[[#This Row],[اجمالي الفاتوره]]-Table15[[#This Row],[الدفعات]]</f>
        <v>229525.46000000008</v>
      </c>
    </row>
    <row r="258" spans="2:15" ht="29.25" customHeight="1" x14ac:dyDescent="0.3">
      <c r="K258" s="3">
        <f>Table15[[#This Row],[الايصالات]]+Table15[[#This Row],[النولون]]-Table15[[#This Row],[خصم 3%]]</f>
        <v>0</v>
      </c>
      <c r="M258" s="3">
        <f>M257+Table15[[#This Row],[اجمالي الفاتوره]]-Table15[[#This Row],[الدفعات]]</f>
        <v>229525.46000000008</v>
      </c>
    </row>
    <row r="259" spans="2:15" ht="29.25" customHeight="1" x14ac:dyDescent="0.3">
      <c r="K259" s="3">
        <f>Table15[[#This Row],[الايصالات]]+Table15[[#This Row],[النولون]]-Table15[[#This Row],[خصم 3%]]</f>
        <v>0</v>
      </c>
      <c r="M259" s="3">
        <f>M258+Table15[[#This Row],[اجمالي الفاتوره]]-Table15[[#This Row],[الدفعات]]</f>
        <v>229525.46000000008</v>
      </c>
    </row>
    <row r="260" spans="2:15" ht="29.25" customHeight="1" x14ac:dyDescent="0.3">
      <c r="C260" s="4"/>
      <c r="K260" s="3">
        <f>Table15[[#This Row],[الايصالات]]+Table15[[#This Row],[النولون]]-Table15[[#This Row],[خصم 3%]]</f>
        <v>0</v>
      </c>
      <c r="M260" s="3">
        <f>M259+Table15[[#This Row],[اجمالي الفاتوره]]-Table15[[#This Row],[الدفعات]]</f>
        <v>229525.46000000008</v>
      </c>
    </row>
    <row r="261" spans="2:15" ht="29.25" customHeight="1" x14ac:dyDescent="0.3">
      <c r="C261" s="4"/>
      <c r="K261" s="3">
        <f>Table15[[#This Row],[الايصالات]]+Table15[[#This Row],[النولون]]-Table15[[#This Row],[خصم 3%]]</f>
        <v>0</v>
      </c>
      <c r="M261" s="3">
        <f>M260+Table15[[#This Row],[اجمالي الفاتوره]]-Table15[[#This Row],[الدفعات]]</f>
        <v>229525.46000000008</v>
      </c>
    </row>
    <row r="262" spans="2:15" ht="29.25" customHeight="1" x14ac:dyDescent="0.3">
      <c r="C262" s="4"/>
      <c r="K262" s="3">
        <f>Table15[[#This Row],[الايصالات]]+Table15[[#This Row],[النولون]]-Table15[[#This Row],[خصم 3%]]</f>
        <v>0</v>
      </c>
      <c r="M262" s="3">
        <f>M261+Table15[[#This Row],[اجمالي الفاتوره]]-Table15[[#This Row],[الدفعات]]</f>
        <v>229525.46000000008</v>
      </c>
    </row>
    <row r="263" spans="2:15" ht="29.25" customHeight="1" x14ac:dyDescent="0.3">
      <c r="C263" s="4"/>
      <c r="K263" s="3">
        <f>Table15[[#This Row],[الايصالات]]+Table15[[#This Row],[النولون]]-Table15[[#This Row],[خصم 3%]]</f>
        <v>0</v>
      </c>
      <c r="M263" s="3">
        <f>M262+Table15[[#This Row],[اجمالي الفاتوره]]-Table15[[#This Row],[الدفعات]]</f>
        <v>229525.46000000008</v>
      </c>
    </row>
    <row r="264" spans="2:15" ht="29.25" customHeight="1" x14ac:dyDescent="0.3">
      <c r="C264" s="4"/>
      <c r="K264" s="3">
        <f>Table15[[#This Row],[الايصالات]]+Table15[[#This Row],[النولون]]-Table15[[#This Row],[خصم 3%]]</f>
        <v>0</v>
      </c>
      <c r="M264" s="3">
        <f>M263+Table15[[#This Row],[اجمالي الفاتوره]]-Table15[[#This Row],[الدفعات]]</f>
        <v>229525.46000000008</v>
      </c>
    </row>
    <row r="265" spans="2:15" ht="29.25" customHeight="1" x14ac:dyDescent="0.3">
      <c r="C265" s="4"/>
      <c r="K265" s="3">
        <f>Table15[[#This Row],[الايصالات]]+Table15[[#This Row],[النولون]]-Table15[[#This Row],[خصم 3%]]</f>
        <v>0</v>
      </c>
      <c r="M265" s="3">
        <f>M264+Table15[[#This Row],[اجمالي الفاتوره]]-Table15[[#This Row],[الدفعات]]</f>
        <v>229525.46000000008</v>
      </c>
    </row>
    <row r="266" spans="2:15" ht="29.25" customHeight="1" x14ac:dyDescent="0.3">
      <c r="C266" s="4"/>
      <c r="K266" s="3">
        <f>Table15[[#This Row],[الايصالات]]+Table15[[#This Row],[النولون]]-Table15[[#This Row],[خصم 3%]]</f>
        <v>0</v>
      </c>
      <c r="M266" s="3">
        <f>M265+Table15[[#This Row],[اجمالي الفاتوره]]-Table15[[#This Row],[الدفعات]]</f>
        <v>229525.46000000008</v>
      </c>
    </row>
    <row r="267" spans="2:15" ht="29.25" customHeight="1" x14ac:dyDescent="0.3">
      <c r="C267" s="4"/>
      <c r="K267" s="3">
        <f>Table15[[#This Row],[الايصالات]]+Table15[[#This Row],[النولون]]-Table15[[#This Row],[خصم 3%]]</f>
        <v>0</v>
      </c>
      <c r="M267" s="3">
        <f>M266+Table15[[#This Row],[اجمالي الفاتوره]]-Table15[[#This Row],[الدفعات]]</f>
        <v>229525.46000000008</v>
      </c>
    </row>
    <row r="268" spans="2:15" ht="29.25" customHeight="1" x14ac:dyDescent="0.3">
      <c r="C268" s="4"/>
      <c r="K268" s="3">
        <f>Table15[[#This Row],[الايصالات]]+Table15[[#This Row],[النولون]]-Table15[[#This Row],[خصم 3%]]</f>
        <v>0</v>
      </c>
      <c r="M268" s="3">
        <f>M267+Table15[[#This Row],[اجمالي الفاتوره]]-Table15[[#This Row],[الدفعات]]</f>
        <v>229525.46000000008</v>
      </c>
    </row>
    <row r="269" spans="2:15" ht="29.25" customHeight="1" x14ac:dyDescent="0.3">
      <c r="C269" s="4"/>
      <c r="K269" s="3">
        <f>Table15[[#This Row],[الايصالات]]+Table15[[#This Row],[النولون]]-Table15[[#This Row],[خصم 3%]]</f>
        <v>0</v>
      </c>
      <c r="M269" s="3">
        <f>M268+Table15[[#This Row],[اجمالي الفاتوره]]-Table15[[#This Row],[الدفعات]]</f>
        <v>229525.46000000008</v>
      </c>
    </row>
    <row r="270" spans="2:15" ht="29.25" customHeight="1" x14ac:dyDescent="0.3">
      <c r="C270" s="4"/>
      <c r="K270" s="3">
        <f>Table15[[#This Row],[الايصالات]]+Table15[[#This Row],[النولون]]-Table15[[#This Row],[خصم 3%]]</f>
        <v>0</v>
      </c>
      <c r="M270" s="3">
        <f>M269+Table15[[#This Row],[اجمالي الفاتوره]]-Table15[[#This Row],[الدفعات]]</f>
        <v>229525.46000000008</v>
      </c>
    </row>
    <row r="271" spans="2:15" ht="29.25" customHeight="1" x14ac:dyDescent="0.3">
      <c r="C271" s="4"/>
      <c r="K271" s="3">
        <f>Table15[[#This Row],[الايصالات]]+Table15[[#This Row],[النولون]]-Table15[[#This Row],[خصم 3%]]</f>
        <v>0</v>
      </c>
      <c r="M271" s="3">
        <f>M270+Table15[[#This Row],[اجمالي الفاتوره]]-Table15[[#This Row],[الدفعات]]</f>
        <v>229525.46000000008</v>
      </c>
    </row>
    <row r="272" spans="2:15" ht="29.25" customHeight="1" x14ac:dyDescent="0.3">
      <c r="B272" s="25"/>
      <c r="C272" s="26"/>
      <c r="D272" s="25"/>
      <c r="E272" s="25"/>
      <c r="F272" s="25"/>
      <c r="G272" s="25"/>
      <c r="H272" s="25"/>
      <c r="I272" s="25"/>
      <c r="J272" s="25"/>
      <c r="K272" s="25">
        <f>Table15[[#This Row],[الايصالات]]+Table15[[#This Row],[النولون]]-Table15[[#This Row],[خصم 3%]]</f>
        <v>0</v>
      </c>
      <c r="L272" s="25"/>
      <c r="M272" s="3">
        <f>M271+Table15[[#This Row],[اجمالي الفاتوره]]-Table15[[#This Row],[الدفعات]]</f>
        <v>229525.46000000008</v>
      </c>
      <c r="N272" s="25"/>
      <c r="O272" s="25"/>
    </row>
    <row r="273" spans="2:15" ht="29.25" customHeight="1" x14ac:dyDescent="0.3">
      <c r="C273" s="4"/>
      <c r="K273" s="3">
        <f>Table15[[#This Row],[الايصالات]]+Table15[[#This Row],[النولون]]-Table15[[#This Row],[خصم 3%]]</f>
        <v>0</v>
      </c>
      <c r="M273" s="3">
        <f>M272+Table15[[#This Row],[اجمالي الفاتوره]]-Table15[[#This Row],[الدفعات]]</f>
        <v>229525.46000000008</v>
      </c>
    </row>
    <row r="274" spans="2:15" ht="29.25" customHeight="1" x14ac:dyDescent="0.3">
      <c r="C274" s="4"/>
      <c r="K274" s="3">
        <f>Table15[[#This Row],[الايصالات]]+Table15[[#This Row],[النولون]]-Table15[[#This Row],[خصم 3%]]</f>
        <v>0</v>
      </c>
      <c r="M274" s="3">
        <f>M273+Table15[[#This Row],[اجمالي الفاتوره]]-Table15[[#This Row],[الدفعات]]</f>
        <v>229525.46000000008</v>
      </c>
    </row>
    <row r="275" spans="2:15" ht="29.25" customHeight="1" x14ac:dyDescent="0.3">
      <c r="C275" s="4"/>
      <c r="K275" s="3">
        <f>Table15[[#This Row],[الايصالات]]+Table15[[#This Row],[النولون]]-Table15[[#This Row],[خصم 3%]]</f>
        <v>0</v>
      </c>
      <c r="M275" s="3">
        <f>M274+Table15[[#This Row],[اجمالي الفاتوره]]-Table15[[#This Row],[الدفعات]]</f>
        <v>229525.46000000008</v>
      </c>
    </row>
    <row r="276" spans="2:15" ht="29.25" customHeight="1" x14ac:dyDescent="0.3">
      <c r="C276" s="4"/>
      <c r="K276" s="3">
        <f>Table15[[#This Row],[الايصالات]]+Table15[[#This Row],[النولون]]-Table15[[#This Row],[خصم 3%]]</f>
        <v>0</v>
      </c>
      <c r="M276" s="3">
        <f>M275+Table15[[#This Row],[اجمالي الفاتوره]]-Table15[[#This Row],[الدفعات]]</f>
        <v>229525.46000000008</v>
      </c>
    </row>
    <row r="277" spans="2:15" ht="29.25" customHeight="1" x14ac:dyDescent="0.3">
      <c r="C277" s="4"/>
      <c r="K277" s="3">
        <f>Table15[[#This Row],[الايصالات]]+Table15[[#This Row],[النولون]]-Table15[[#This Row],[خصم 3%]]</f>
        <v>0</v>
      </c>
      <c r="M277" s="3">
        <f>M276+Table15[[#This Row],[اجمالي الفاتوره]]-Table15[[#This Row],[الدفعات]]</f>
        <v>229525.46000000008</v>
      </c>
    </row>
    <row r="278" spans="2:15" ht="29.25" customHeight="1" x14ac:dyDescent="0.3">
      <c r="C278" s="4"/>
      <c r="K278" s="3">
        <f>Table15[[#This Row],[الايصالات]]+Table15[[#This Row],[النولون]]-Table15[[#This Row],[خصم 3%]]</f>
        <v>0</v>
      </c>
      <c r="M278" s="3">
        <f>M277+Table15[[#This Row],[اجمالي الفاتوره]]-Table15[[#This Row],[الدفعات]]</f>
        <v>229525.46000000008</v>
      </c>
    </row>
    <row r="279" spans="2:15" ht="29.25" customHeight="1" x14ac:dyDescent="0.3">
      <c r="C279" s="4"/>
      <c r="K279" s="3">
        <f>Table15[[#This Row],[الايصالات]]+Table15[[#This Row],[النولون]]-Table15[[#This Row],[خصم 3%]]</f>
        <v>0</v>
      </c>
      <c r="M279" s="3">
        <f>M278+Table15[[#This Row],[اجمالي الفاتوره]]-Table15[[#This Row],[الدفعات]]</f>
        <v>229525.46000000008</v>
      </c>
    </row>
    <row r="280" spans="2:15" ht="29.25" customHeight="1" x14ac:dyDescent="0.3">
      <c r="B280" s="25"/>
      <c r="C280" s="26"/>
      <c r="D280" s="25"/>
      <c r="E280" s="25"/>
      <c r="F280" s="25"/>
      <c r="G280" s="25"/>
      <c r="H280" s="25"/>
      <c r="I280" s="25"/>
      <c r="J280" s="25"/>
      <c r="K280" s="25">
        <f>Table15[[#This Row],[الايصالات]]+Table15[[#This Row],[النولون]]-Table15[[#This Row],[خصم 3%]]</f>
        <v>0</v>
      </c>
      <c r="L280" s="25"/>
      <c r="M280" s="3">
        <f>M279+Table15[[#This Row],[اجمالي الفاتوره]]-Table15[[#This Row],[الدفعات]]</f>
        <v>229525.46000000008</v>
      </c>
      <c r="N280" s="25"/>
      <c r="O280" s="25"/>
    </row>
    <row r="281" spans="2:15" ht="29.25" customHeight="1" x14ac:dyDescent="0.3">
      <c r="K281" s="3">
        <f>Table15[[#This Row],[الايصالات]]+Table15[[#This Row],[النولون]]-Table15[[#This Row],[خصم 3%]]</f>
        <v>0</v>
      </c>
      <c r="M281" s="3">
        <f>M280+Table15[[#This Row],[اجمالي الفاتوره]]-Table15[[#This Row],[الدفعات]]</f>
        <v>229525.46000000008</v>
      </c>
    </row>
    <row r="282" spans="2:15" ht="29.25" customHeight="1" x14ac:dyDescent="0.3">
      <c r="C282" s="4"/>
      <c r="K282" s="3">
        <f>Table15[[#This Row],[الايصالات]]+Table15[[#This Row],[النولون]]-Table15[[#This Row],[خصم 3%]]</f>
        <v>0</v>
      </c>
      <c r="M282" s="3">
        <f>M281+Table15[[#This Row],[اجمالي الفاتوره]]-Table15[[#This Row],[الدفعات]]</f>
        <v>229525.46000000008</v>
      </c>
    </row>
    <row r="283" spans="2:15" ht="29.25" customHeight="1" x14ac:dyDescent="0.3">
      <c r="C283" s="4"/>
      <c r="K283" s="3">
        <f>Table15[[#This Row],[الايصالات]]+Table15[[#This Row],[النولون]]-Table15[[#This Row],[خصم 3%]]</f>
        <v>0</v>
      </c>
      <c r="M283" s="3">
        <f>M282+Table15[[#This Row],[اجمالي الفاتوره]]-Table15[[#This Row],[الدفعات]]</f>
        <v>229525.46000000008</v>
      </c>
    </row>
    <row r="284" spans="2:15" ht="29.25" customHeight="1" x14ac:dyDescent="0.3">
      <c r="C284" s="4"/>
      <c r="K284" s="3">
        <f>Table15[[#This Row],[الايصالات]]+Table15[[#This Row],[النولون]]-Table15[[#This Row],[خصم 3%]]</f>
        <v>0</v>
      </c>
      <c r="M284" s="3">
        <f>M283+Table15[[#This Row],[اجمالي الفاتوره]]-Table15[[#This Row],[الدفعات]]</f>
        <v>229525.46000000008</v>
      </c>
    </row>
    <row r="285" spans="2:15" ht="29.25" customHeight="1" x14ac:dyDescent="0.3">
      <c r="C285" s="4"/>
      <c r="K285" s="3">
        <f>Table15[[#This Row],[الايصالات]]+Table15[[#This Row],[النولون]]-Table15[[#This Row],[خصم 3%]]</f>
        <v>0</v>
      </c>
      <c r="M285" s="3">
        <f>M284+Table15[[#This Row],[اجمالي الفاتوره]]-Table15[[#This Row],[الدفعات]]</f>
        <v>229525.46000000008</v>
      </c>
    </row>
    <row r="286" spans="2:15" ht="29.25" customHeight="1" x14ac:dyDescent="0.3">
      <c r="C286" s="4"/>
      <c r="K286" s="3">
        <f>Table15[[#This Row],[الايصالات]]+Table15[[#This Row],[النولون]]-Table15[[#This Row],[خصم 3%]]</f>
        <v>0</v>
      </c>
      <c r="M286" s="3">
        <f>M285+Table15[[#This Row],[اجمالي الفاتوره]]-Table15[[#This Row],[الدفعات]]</f>
        <v>229525.46000000008</v>
      </c>
    </row>
    <row r="287" spans="2:15" ht="29.25" customHeight="1" x14ac:dyDescent="0.3">
      <c r="C287" s="4"/>
      <c r="K287" s="3">
        <f>Table15[[#This Row],[الايصالات]]+Table15[[#This Row],[النولون]]-Table15[[#This Row],[خصم 3%]]</f>
        <v>0</v>
      </c>
      <c r="M287" s="3">
        <f>M286+Table15[[#This Row],[اجمالي الفاتوره]]-Table15[[#This Row],[الدفعات]]</f>
        <v>229525.46000000008</v>
      </c>
    </row>
    <row r="288" spans="2:15" ht="29.25" customHeight="1" x14ac:dyDescent="0.3">
      <c r="C288" s="4"/>
      <c r="K288" s="3">
        <f>Table15[[#This Row],[الايصالات]]+Table15[[#This Row],[النولون]]-Table15[[#This Row],[خصم 3%]]</f>
        <v>0</v>
      </c>
      <c r="M288" s="3">
        <f>M287+Table15[[#This Row],[اجمالي الفاتوره]]-Table15[[#This Row],[الدفعات]]</f>
        <v>229525.46000000008</v>
      </c>
    </row>
    <row r="289" spans="3:13" ht="29.25" customHeight="1" x14ac:dyDescent="0.3">
      <c r="C289" s="4"/>
      <c r="K289" s="3">
        <f>Table15[[#This Row],[الايصالات]]+Table15[[#This Row],[النولون]]-Table15[[#This Row],[خصم 3%]]</f>
        <v>0</v>
      </c>
      <c r="M289" s="3">
        <f>M288+Table15[[#This Row],[اجمالي الفاتوره]]-Table15[[#This Row],[الدفعات]]</f>
        <v>229525.46000000008</v>
      </c>
    </row>
    <row r="290" spans="3:13" ht="29.25" customHeight="1" x14ac:dyDescent="0.3">
      <c r="C290" s="4"/>
      <c r="K290" s="3">
        <f>Table15[[#This Row],[الايصالات]]+Table15[[#This Row],[النولون]]-Table15[[#This Row],[خصم 3%]]</f>
        <v>0</v>
      </c>
      <c r="M290" s="3">
        <f>M289+Table15[[#This Row],[اجمالي الفاتوره]]-Table15[[#This Row],[الدفعات]]</f>
        <v>229525.46000000008</v>
      </c>
    </row>
    <row r="291" spans="3:13" ht="29.25" customHeight="1" x14ac:dyDescent="0.3">
      <c r="C291" s="4"/>
      <c r="K291" s="3">
        <f>Table15[[#This Row],[الايصالات]]+Table15[[#This Row],[النولون]]-Table15[[#This Row],[خصم 3%]]</f>
        <v>0</v>
      </c>
      <c r="M291" s="3">
        <f>M290+Table15[[#This Row],[اجمالي الفاتوره]]-Table15[[#This Row],[الدفعات]]</f>
        <v>229525.46000000008</v>
      </c>
    </row>
    <row r="292" spans="3:13" ht="29.25" customHeight="1" x14ac:dyDescent="0.3">
      <c r="C292" s="4"/>
      <c r="K292" s="3">
        <f>Table15[[#This Row],[الايصالات]]+Table15[[#This Row],[النولون]]-Table15[[#This Row],[خصم 3%]]</f>
        <v>0</v>
      </c>
      <c r="M292" s="3">
        <f>M291+Table15[[#This Row],[اجمالي الفاتوره]]-Table15[[#This Row],[الدفعات]]</f>
        <v>229525.46000000008</v>
      </c>
    </row>
    <row r="293" spans="3:13" ht="29.25" customHeight="1" x14ac:dyDescent="0.3">
      <c r="C293" s="4"/>
      <c r="K293" s="3">
        <f>Table15[[#This Row],[الايصالات]]+Table15[[#This Row],[النولون]]-Table15[[#This Row],[خصم 3%]]</f>
        <v>0</v>
      </c>
      <c r="M293" s="3">
        <f>M292+Table15[[#This Row],[اجمالي الفاتوره]]-Table15[[#This Row],[الدفعات]]</f>
        <v>229525.46000000008</v>
      </c>
    </row>
    <row r="294" spans="3:13" ht="29.25" customHeight="1" x14ac:dyDescent="0.3">
      <c r="K294" s="3">
        <f>Table15[[#This Row],[الايصالات]]+Table15[[#This Row],[النولون]]-Table15[[#This Row],[خصم 3%]]</f>
        <v>0</v>
      </c>
      <c r="M294" s="3">
        <f>M293+Table15[[#This Row],[اجمالي الفاتوره]]-Table15[[#This Row],[الدفعات]]</f>
        <v>229525.46000000008</v>
      </c>
    </row>
    <row r="295" spans="3:13" ht="29.25" customHeight="1" x14ac:dyDescent="0.3">
      <c r="K295" s="3">
        <f>Table15[[#This Row],[الايصالات]]+Table15[[#This Row],[النولون]]-Table15[[#This Row],[خصم 3%]]</f>
        <v>0</v>
      </c>
      <c r="M295" s="3">
        <f>M294+Table15[[#This Row],[اجمالي الفاتوره]]-Table15[[#This Row],[الدفعات]]</f>
        <v>229525.46000000008</v>
      </c>
    </row>
    <row r="296" spans="3:13" ht="29.25" customHeight="1" x14ac:dyDescent="0.3">
      <c r="K296" s="3">
        <f>Table15[[#This Row],[الايصالات]]+Table15[[#This Row],[النولون]]-Table15[[#This Row],[خصم 3%]]</f>
        <v>0</v>
      </c>
      <c r="M296" s="3">
        <f>M295+Table15[[#This Row],[اجمالي الفاتوره]]-Table15[[#This Row],[الدفعات]]</f>
        <v>229525.46000000008</v>
      </c>
    </row>
    <row r="297" spans="3:13" ht="29.25" customHeight="1" x14ac:dyDescent="0.3">
      <c r="C297" s="4"/>
      <c r="K297" s="3">
        <f>Table15[[#This Row],[الايصالات]]+Table15[[#This Row],[النولون]]-Table15[[#This Row],[خصم 3%]]</f>
        <v>0</v>
      </c>
      <c r="M297" s="3">
        <f>M296+Table15[[#This Row],[اجمالي الفاتوره]]-Table15[[#This Row],[الدفعات]]</f>
        <v>229525.46000000008</v>
      </c>
    </row>
    <row r="298" spans="3:13" ht="29.25" customHeight="1" x14ac:dyDescent="0.3">
      <c r="K298" s="3">
        <f>Table15[[#This Row],[الايصالات]]+Table15[[#This Row],[النولون]]-Table15[[#This Row],[خصم 3%]]</f>
        <v>0</v>
      </c>
      <c r="M298" s="3">
        <f>M297+Table15[[#This Row],[اجمالي الفاتوره]]-Table15[[#This Row],[الدفعات]]</f>
        <v>229525.46000000008</v>
      </c>
    </row>
    <row r="299" spans="3:13" ht="29.25" customHeight="1" x14ac:dyDescent="0.3">
      <c r="K299" s="3">
        <f>Table15[[#This Row],[الايصالات]]+Table15[[#This Row],[النولون]]-Table15[[#This Row],[خصم 3%]]</f>
        <v>0</v>
      </c>
      <c r="M299" s="3">
        <f>M298+Table15[[#This Row],[اجمالي الفاتوره]]-Table15[[#This Row],[الدفعات]]</f>
        <v>229525.46000000008</v>
      </c>
    </row>
    <row r="300" spans="3:13" ht="29.25" customHeight="1" x14ac:dyDescent="0.3">
      <c r="C300" s="4"/>
      <c r="K300" s="3">
        <f>Table15[[#This Row],[الايصالات]]+Table15[[#This Row],[النولون]]-Table15[[#This Row],[خصم 3%]]</f>
        <v>0</v>
      </c>
      <c r="M300" s="3">
        <f>M299+Table15[[#This Row],[اجمالي الفاتوره]]-Table15[[#This Row],[الدفعات]]</f>
        <v>229525.46000000008</v>
      </c>
    </row>
    <row r="301" spans="3:13" ht="29.25" customHeight="1" x14ac:dyDescent="0.3">
      <c r="C301" s="4"/>
      <c r="K301" s="3">
        <f>Table15[[#This Row],[الايصالات]]+Table15[[#This Row],[النولون]]-Table15[[#This Row],[خصم 3%]]</f>
        <v>0</v>
      </c>
      <c r="M301" s="3">
        <f>M300+Table15[[#This Row],[اجمالي الفاتوره]]-Table15[[#This Row],[الدفعات]]</f>
        <v>229525.46000000008</v>
      </c>
    </row>
    <row r="302" spans="3:13" ht="29.25" customHeight="1" x14ac:dyDescent="0.3">
      <c r="C302" s="4"/>
      <c r="K302" s="3">
        <f>Table15[[#This Row],[الايصالات]]+Table15[[#This Row],[النولون]]-Table15[[#This Row],[خصم 3%]]</f>
        <v>0</v>
      </c>
      <c r="M302" s="3">
        <f>M301+Table15[[#This Row],[اجمالي الفاتوره]]-Table15[[#This Row],[الدفعات]]</f>
        <v>229525.46000000008</v>
      </c>
    </row>
    <row r="303" spans="3:13" ht="29.25" customHeight="1" x14ac:dyDescent="0.3">
      <c r="K303" s="3">
        <f>Table15[[#This Row],[الايصالات]]+Table15[[#This Row],[النولون]]-Table15[[#This Row],[خصم 3%]]</f>
        <v>0</v>
      </c>
      <c r="M303" s="3">
        <f>M302+Table15[[#This Row],[اجمالي الفاتوره]]-Table15[[#This Row],[الدفعات]]</f>
        <v>229525.46000000008</v>
      </c>
    </row>
    <row r="304" spans="3:13" ht="29.25" customHeight="1" x14ac:dyDescent="0.3">
      <c r="K304" s="3">
        <f>Table15[[#This Row],[الايصالات]]+Table15[[#This Row],[النولون]]-Table15[[#This Row],[خصم 3%]]</f>
        <v>0</v>
      </c>
      <c r="M304" s="3">
        <f>M303+Table15[[#This Row],[اجمالي الفاتوره]]-Table15[[#This Row],[الدفعات]]</f>
        <v>229525.46000000008</v>
      </c>
    </row>
    <row r="305" spans="2:13" ht="29.25" customHeight="1" x14ac:dyDescent="0.3">
      <c r="K305" s="3">
        <f>Table15[[#This Row],[الايصالات]]+Table15[[#This Row],[النولون]]-Table15[[#This Row],[خصم 3%]]</f>
        <v>0</v>
      </c>
      <c r="M305" s="3">
        <f>M304+Table15[[#This Row],[اجمالي الفاتوره]]-Table15[[#This Row],[الدفعات]]</f>
        <v>229525.46000000008</v>
      </c>
    </row>
    <row r="306" spans="2:13" ht="29.25" customHeight="1" x14ac:dyDescent="0.3">
      <c r="B306" s="4"/>
      <c r="C306" s="4"/>
      <c r="K306" s="3">
        <f>Table15[[#This Row],[الايصالات]]+Table15[[#This Row],[النولون]]-Table15[[#This Row],[خصم 3%]]</f>
        <v>0</v>
      </c>
      <c r="M306" s="3">
        <f>M305+Table15[[#This Row],[اجمالي الفاتوره]]-Table15[[#This Row],[الدفعات]]</f>
        <v>229525.46000000008</v>
      </c>
    </row>
    <row r="307" spans="2:13" ht="29.25" customHeight="1" x14ac:dyDescent="0.3">
      <c r="C307" s="4"/>
      <c r="K307" s="3">
        <f>Table15[[#This Row],[الايصالات]]+Table15[[#This Row],[النولون]]-Table15[[#This Row],[خصم 3%]]</f>
        <v>0</v>
      </c>
      <c r="M307" s="3">
        <f>M306+Table15[[#This Row],[اجمالي الفاتوره]]-Table15[[#This Row],[الدفعات]]</f>
        <v>229525.46000000008</v>
      </c>
    </row>
    <row r="308" spans="2:13" ht="29.25" customHeight="1" x14ac:dyDescent="0.3">
      <c r="C308" s="4"/>
      <c r="K308" s="3">
        <f>Table15[[#This Row],[الايصالات]]+Table15[[#This Row],[النولون]]-Table15[[#This Row],[خصم 3%]]</f>
        <v>0</v>
      </c>
      <c r="M308" s="3">
        <f>M307+Table15[[#This Row],[اجمالي الفاتوره]]-Table15[[#This Row],[الدفعات]]</f>
        <v>229525.46000000008</v>
      </c>
    </row>
    <row r="309" spans="2:13" ht="29.25" customHeight="1" x14ac:dyDescent="0.3">
      <c r="C309" s="4"/>
      <c r="K309" s="3">
        <f>Table15[[#This Row],[الايصالات]]+Table15[[#This Row],[النولون]]-Table15[[#This Row],[خصم 3%]]</f>
        <v>0</v>
      </c>
      <c r="M309" s="3">
        <f>M308+Table15[[#This Row],[اجمالي الفاتوره]]-Table15[[#This Row],[الدفعات]]</f>
        <v>229525.46000000008</v>
      </c>
    </row>
    <row r="310" spans="2:13" ht="29.25" customHeight="1" x14ac:dyDescent="0.3">
      <c r="C310" s="4"/>
      <c r="K310" s="3">
        <f>Table15[[#This Row],[الايصالات]]+Table15[[#This Row],[النولون]]-Table15[[#This Row],[خصم 3%]]</f>
        <v>0</v>
      </c>
      <c r="M310" s="3">
        <f>M309+Table15[[#This Row],[اجمالي الفاتوره]]-Table15[[#This Row],[الدفعات]]</f>
        <v>229525.46000000008</v>
      </c>
    </row>
    <row r="311" spans="2:13" ht="29.25" customHeight="1" x14ac:dyDescent="0.3">
      <c r="C311" s="4"/>
      <c r="K311" s="3">
        <f>Table15[[#This Row],[الايصالات]]+Table15[[#This Row],[النولون]]-Table15[[#This Row],[خصم 3%]]</f>
        <v>0</v>
      </c>
      <c r="M311" s="3">
        <f>M310+Table15[[#This Row],[اجمالي الفاتوره]]-Table15[[#This Row],[الدفعات]]</f>
        <v>229525.46000000008</v>
      </c>
    </row>
    <row r="312" spans="2:13" ht="29.25" customHeight="1" x14ac:dyDescent="0.3">
      <c r="C312" s="4"/>
      <c r="K312" s="3">
        <f>Table15[[#This Row],[الايصالات]]+Table15[[#This Row],[النولون]]-Table15[[#This Row],[خصم 3%]]</f>
        <v>0</v>
      </c>
      <c r="M312" s="3">
        <f>M311+Table15[[#This Row],[اجمالي الفاتوره]]-Table15[[#This Row],[الدفعات]]</f>
        <v>229525.46000000008</v>
      </c>
    </row>
    <row r="313" spans="2:13" ht="29.25" customHeight="1" x14ac:dyDescent="0.3">
      <c r="C313" s="4"/>
      <c r="K313" s="3">
        <f>Table15[[#This Row],[الايصالات]]+Table15[[#This Row],[النولون]]-Table15[[#This Row],[خصم 3%]]</f>
        <v>0</v>
      </c>
      <c r="M313" s="3">
        <f>M312+Table15[[#This Row],[اجمالي الفاتوره]]-Table15[[#This Row],[الدفعات]]</f>
        <v>229525.46000000008</v>
      </c>
    </row>
    <row r="314" spans="2:13" ht="29.25" customHeight="1" x14ac:dyDescent="0.3">
      <c r="C314" s="4"/>
      <c r="K314" s="3">
        <f>Table15[[#This Row],[الايصالات]]+Table15[[#This Row],[النولون]]-Table15[[#This Row],[خصم 3%]]</f>
        <v>0</v>
      </c>
      <c r="M314" s="3">
        <f>M313+Table15[[#This Row],[اجمالي الفاتوره]]-Table15[[#This Row],[الدفعات]]</f>
        <v>229525.46000000008</v>
      </c>
    </row>
    <row r="315" spans="2:13" ht="29.25" customHeight="1" x14ac:dyDescent="0.3">
      <c r="K315" s="3">
        <f>Table15[[#This Row],[الايصالات]]+Table15[[#This Row],[النولون]]-Table15[[#This Row],[خصم 3%]]</f>
        <v>0</v>
      </c>
      <c r="M315" s="3">
        <f>M314+Table15[[#This Row],[اجمالي الفاتوره]]-Table15[[#This Row],[الدفعات]]</f>
        <v>229525.46000000008</v>
      </c>
    </row>
    <row r="316" spans="2:13" ht="29.25" customHeight="1" x14ac:dyDescent="0.3">
      <c r="C316" s="4"/>
      <c r="K316" s="3">
        <f>Table15[[#This Row],[الايصالات]]+Table15[[#This Row],[النولون]]-Table15[[#This Row],[خصم 3%]]</f>
        <v>0</v>
      </c>
      <c r="M316" s="3">
        <f>M315+Table15[[#This Row],[اجمالي الفاتوره]]-Table15[[#This Row],[الدفعات]]</f>
        <v>229525.46000000008</v>
      </c>
    </row>
    <row r="317" spans="2:13" ht="29.25" customHeight="1" x14ac:dyDescent="0.3">
      <c r="C317" s="4"/>
      <c r="K317" s="3">
        <f>Table15[[#This Row],[الايصالات]]+Table15[[#This Row],[النولون]]-Table15[[#This Row],[خصم 3%]]</f>
        <v>0</v>
      </c>
      <c r="M317" s="3">
        <f>M316+Table15[[#This Row],[اجمالي الفاتوره]]-Table15[[#This Row],[الدفعات]]</f>
        <v>229525.46000000008</v>
      </c>
    </row>
    <row r="318" spans="2:13" ht="29.25" customHeight="1" x14ac:dyDescent="0.3">
      <c r="C318" s="4"/>
      <c r="K318" s="3">
        <f>Table15[[#This Row],[الايصالات]]+Table15[[#This Row],[النولون]]-Table15[[#This Row],[خصم 3%]]</f>
        <v>0</v>
      </c>
      <c r="M318" s="3">
        <f>M317+Table15[[#This Row],[اجمالي الفاتوره]]-Table15[[#This Row],[الدفعات]]</f>
        <v>229525.46000000008</v>
      </c>
    </row>
    <row r="319" spans="2:13" ht="29.25" customHeight="1" x14ac:dyDescent="0.3">
      <c r="C319" s="4"/>
      <c r="K319" s="3">
        <f>Table15[[#This Row],[الايصالات]]+Table15[[#This Row],[النولون]]-Table15[[#This Row],[خصم 3%]]</f>
        <v>0</v>
      </c>
      <c r="M319" s="3">
        <f>M318+Table15[[#This Row],[اجمالي الفاتوره]]-Table15[[#This Row],[الدفعات]]</f>
        <v>229525.46000000008</v>
      </c>
    </row>
    <row r="320" spans="2:13" ht="29.25" customHeight="1" x14ac:dyDescent="0.3">
      <c r="C320" s="4"/>
      <c r="K320" s="3">
        <f>Table15[[#This Row],[الايصالات]]+Table15[[#This Row],[النولون]]-Table15[[#This Row],[خصم 3%]]</f>
        <v>0</v>
      </c>
      <c r="M320" s="3">
        <f>M319+Table15[[#This Row],[اجمالي الفاتوره]]-Table15[[#This Row],[الدفعات]]</f>
        <v>229525.46000000008</v>
      </c>
    </row>
    <row r="321" spans="3:13" ht="29.25" customHeight="1" x14ac:dyDescent="0.3">
      <c r="C321" s="4"/>
      <c r="K321" s="3">
        <f>Table15[[#This Row],[الايصالات]]+Table15[[#This Row],[النولون]]-Table15[[#This Row],[خصم 3%]]</f>
        <v>0</v>
      </c>
      <c r="M321" s="3">
        <f>M320+Table15[[#This Row],[اجمالي الفاتوره]]-Table15[[#This Row],[الدفعات]]</f>
        <v>229525.46000000008</v>
      </c>
    </row>
    <row r="322" spans="3:13" ht="29.25" customHeight="1" x14ac:dyDescent="0.3">
      <c r="C322" s="4"/>
      <c r="K322" s="3">
        <f>Table15[[#This Row],[الايصالات]]+Table15[[#This Row],[النولون]]-Table15[[#This Row],[خصم 3%]]</f>
        <v>0</v>
      </c>
      <c r="M322" s="3">
        <f>M321+Table15[[#This Row],[اجمالي الفاتوره]]-Table15[[#This Row],[الدفعات]]</f>
        <v>229525.46000000008</v>
      </c>
    </row>
    <row r="323" spans="3:13" ht="29.25" customHeight="1" x14ac:dyDescent="0.3">
      <c r="C323" s="4"/>
      <c r="K323" s="3">
        <f>Table15[[#This Row],[الايصالات]]+Table15[[#This Row],[النولون]]-Table15[[#This Row],[خصم 3%]]</f>
        <v>0</v>
      </c>
      <c r="M323" s="3">
        <f>M322+Table15[[#This Row],[اجمالي الفاتوره]]-Table15[[#This Row],[الدفعات]]</f>
        <v>229525.46000000008</v>
      </c>
    </row>
    <row r="324" spans="3:13" ht="29.25" customHeight="1" x14ac:dyDescent="0.3">
      <c r="C324" s="4"/>
      <c r="K324" s="3">
        <f>Table15[[#This Row],[الايصالات]]+Table15[[#This Row],[النولون]]-Table15[[#This Row],[خصم 3%]]</f>
        <v>0</v>
      </c>
      <c r="M324" s="3">
        <f>M323+Table15[[#This Row],[اجمالي الفاتوره]]-Table15[[#This Row],[الدفعات]]</f>
        <v>229525.46000000008</v>
      </c>
    </row>
    <row r="325" spans="3:13" ht="29.25" customHeight="1" x14ac:dyDescent="0.3">
      <c r="C325" s="4"/>
      <c r="K325" s="3">
        <f>Table15[[#This Row],[الايصالات]]+Table15[[#This Row],[النولون]]-Table15[[#This Row],[خصم 3%]]</f>
        <v>0</v>
      </c>
      <c r="M325" s="3">
        <f>M324+Table15[[#This Row],[اجمالي الفاتوره]]-Table15[[#This Row],[الدفعات]]</f>
        <v>229525.46000000008</v>
      </c>
    </row>
    <row r="326" spans="3:13" ht="29.25" customHeight="1" x14ac:dyDescent="0.3">
      <c r="C326" s="4"/>
      <c r="K326" s="3">
        <f>Table15[[#This Row],[الايصالات]]+Table15[[#This Row],[النولون]]-Table15[[#This Row],[خصم 3%]]</f>
        <v>0</v>
      </c>
      <c r="M326" s="3">
        <f>M325+Table15[[#This Row],[اجمالي الفاتوره]]-Table15[[#This Row],[الدفعات]]</f>
        <v>229525.46000000008</v>
      </c>
    </row>
    <row r="327" spans="3:13" ht="29.25" customHeight="1" x14ac:dyDescent="0.3">
      <c r="C327" s="4"/>
      <c r="K327" s="3">
        <f>Table15[[#This Row],[الايصالات]]+Table15[[#This Row],[النولون]]-Table15[[#This Row],[خصم 3%]]</f>
        <v>0</v>
      </c>
      <c r="M327" s="3">
        <f>M326+Table15[[#This Row],[اجمالي الفاتوره]]-Table15[[#This Row],[الدفعات]]</f>
        <v>229525.46000000008</v>
      </c>
    </row>
    <row r="328" spans="3:13" ht="29.25" customHeight="1" x14ac:dyDescent="0.3">
      <c r="C328" s="4"/>
      <c r="K328" s="3">
        <f>Table15[[#This Row],[الايصالات]]+Table15[[#This Row],[النولون]]-Table15[[#This Row],[خصم 3%]]</f>
        <v>0</v>
      </c>
      <c r="M328" s="3">
        <f>M327+Table15[[#This Row],[اجمالي الفاتوره]]-Table15[[#This Row],[الدفعات]]</f>
        <v>229525.46000000008</v>
      </c>
    </row>
    <row r="329" spans="3:13" ht="29.25" customHeight="1" x14ac:dyDescent="0.3">
      <c r="C329" s="4"/>
      <c r="K329" s="3">
        <f>Table15[[#This Row],[الايصالات]]+Table15[[#This Row],[النولون]]-Table15[[#This Row],[خصم 3%]]</f>
        <v>0</v>
      </c>
      <c r="M329" s="3">
        <f>M328+Table15[[#This Row],[اجمالي الفاتوره]]-Table15[[#This Row],[الدفعات]]</f>
        <v>229525.46000000008</v>
      </c>
    </row>
    <row r="330" spans="3:13" ht="29.25" customHeight="1" x14ac:dyDescent="0.3">
      <c r="C330" s="4"/>
      <c r="K330" s="3">
        <f>Table15[[#This Row],[الايصالات]]+Table15[[#This Row],[النولون]]-Table15[[#This Row],[خصم 3%]]</f>
        <v>0</v>
      </c>
      <c r="M330" s="3">
        <f>M329+Table15[[#This Row],[اجمالي الفاتوره]]-Table15[[#This Row],[الدفعات]]</f>
        <v>229525.46000000008</v>
      </c>
    </row>
    <row r="331" spans="3:13" ht="29.25" customHeight="1" x14ac:dyDescent="0.3">
      <c r="C331" s="4"/>
      <c r="K331" s="3">
        <f>Table15[[#This Row],[الايصالات]]+Table15[[#This Row],[النولون]]-Table15[[#This Row],[خصم 3%]]</f>
        <v>0</v>
      </c>
      <c r="M331" s="3">
        <f>M330+Table15[[#This Row],[اجمالي الفاتوره]]-Table15[[#This Row],[الدفعات]]</f>
        <v>229525.46000000008</v>
      </c>
    </row>
    <row r="332" spans="3:13" ht="29.25" customHeight="1" x14ac:dyDescent="0.3">
      <c r="C332" s="4"/>
      <c r="H332" s="27"/>
      <c r="K332" s="3">
        <f>Table15[[#This Row],[الايصالات]]+Table15[[#This Row],[النولون]]-Table15[[#This Row],[خصم 3%]]</f>
        <v>0</v>
      </c>
      <c r="M332" s="3">
        <f>M331+Table15[[#This Row],[اجمالي الفاتوره]]-Table15[[#This Row],[الدفعات]]</f>
        <v>229525.46000000008</v>
      </c>
    </row>
    <row r="333" spans="3:13" ht="29.25" customHeight="1" x14ac:dyDescent="0.3">
      <c r="C333" s="4"/>
      <c r="K333" s="3">
        <f>Table15[[#This Row],[الايصالات]]+Table15[[#This Row],[النولون]]-Table15[[#This Row],[خصم 3%]]</f>
        <v>0</v>
      </c>
      <c r="M333" s="3">
        <f>M332+Table15[[#This Row],[اجمالي الفاتوره]]-Table15[[#This Row],[الدفعات]]</f>
        <v>229525.46000000008</v>
      </c>
    </row>
    <row r="334" spans="3:13" ht="29.25" customHeight="1" x14ac:dyDescent="0.3">
      <c r="C334" s="4"/>
      <c r="K334" s="3">
        <f>Table15[[#This Row],[الايصالات]]+Table15[[#This Row],[النولون]]-Table15[[#This Row],[خصم 3%]]</f>
        <v>0</v>
      </c>
      <c r="M334" s="3">
        <f>M333+Table15[[#This Row],[اجمالي الفاتوره]]-Table15[[#This Row],[الدفعات]]</f>
        <v>229525.46000000008</v>
      </c>
    </row>
    <row r="335" spans="3:13" ht="29.25" customHeight="1" x14ac:dyDescent="0.3">
      <c r="C335" s="4"/>
      <c r="K335" s="3">
        <f>Table15[[#This Row],[الايصالات]]+Table15[[#This Row],[النولون]]-Table15[[#This Row],[خصم 3%]]</f>
        <v>0</v>
      </c>
      <c r="M335" s="3">
        <f>M334+Table15[[#This Row],[اجمالي الفاتوره]]-Table15[[#This Row],[الدفعات]]</f>
        <v>229525.46000000008</v>
      </c>
    </row>
    <row r="336" spans="3:13" ht="29.25" customHeight="1" x14ac:dyDescent="0.3">
      <c r="C336" s="4"/>
      <c r="K336" s="3">
        <f>Table15[[#This Row],[الايصالات]]+Table15[[#This Row],[النولون]]-Table15[[#This Row],[خصم 3%]]</f>
        <v>0</v>
      </c>
      <c r="M336" s="3">
        <f>M335+Table15[[#This Row],[اجمالي الفاتوره]]-Table15[[#This Row],[الدفعات]]</f>
        <v>229525.46000000008</v>
      </c>
    </row>
    <row r="337" spans="2:15" ht="29.25" customHeight="1" x14ac:dyDescent="0.3">
      <c r="C337" s="4"/>
      <c r="K337" s="3">
        <f>Table15[[#This Row],[الايصالات]]+Table15[[#This Row],[النولون]]-Table15[[#This Row],[خصم 3%]]</f>
        <v>0</v>
      </c>
      <c r="M337" s="3">
        <f>M336+Table15[[#This Row],[اجمالي الفاتوره]]-Table15[[#This Row],[الدفعات]]</f>
        <v>229525.46000000008</v>
      </c>
    </row>
    <row r="338" spans="2:15" ht="29.25" customHeight="1" x14ac:dyDescent="0.3">
      <c r="C338" s="4"/>
      <c r="K338" s="3">
        <f>Table15[[#This Row],[الايصالات]]+Table15[[#This Row],[النولون]]-Table15[[#This Row],[خصم 3%]]</f>
        <v>0</v>
      </c>
      <c r="M338" s="3">
        <f>M337+Table15[[#This Row],[اجمالي الفاتوره]]-Table15[[#This Row],[الدفعات]]</f>
        <v>229525.46000000008</v>
      </c>
    </row>
    <row r="339" spans="2:15" ht="29.25" customHeight="1" x14ac:dyDescent="0.3">
      <c r="C339" s="4"/>
      <c r="K339" s="3">
        <f>Table15[[#This Row],[الايصالات]]+Table15[[#This Row],[النولون]]-Table15[[#This Row],[خصم 3%]]</f>
        <v>0</v>
      </c>
      <c r="M339" s="3">
        <f>M338+Table15[[#This Row],[اجمالي الفاتوره]]-Table15[[#This Row],[الدفعات]]</f>
        <v>229525.46000000008</v>
      </c>
    </row>
    <row r="340" spans="2:15" ht="29.25" customHeight="1" x14ac:dyDescent="0.3">
      <c r="C340" s="4"/>
      <c r="K340" s="3">
        <f>Table15[[#This Row],[الايصالات]]+Table15[[#This Row],[النولون]]-Table15[[#This Row],[خصم 3%]]</f>
        <v>0</v>
      </c>
      <c r="M340" s="3">
        <f>M339+Table15[[#This Row],[اجمالي الفاتوره]]-Table15[[#This Row],[الدفعات]]</f>
        <v>229525.46000000008</v>
      </c>
    </row>
    <row r="341" spans="2:15" ht="29.25" customHeight="1" x14ac:dyDescent="0.3">
      <c r="C341" s="4"/>
      <c r="K341" s="3">
        <f>Table15[[#This Row],[الايصالات]]+Table15[[#This Row],[النولون]]-Table15[[#This Row],[خصم 3%]]</f>
        <v>0</v>
      </c>
      <c r="M341" s="3">
        <f>M340+Table15[[#This Row],[اجمالي الفاتوره]]-Table15[[#This Row],[الدفعات]]</f>
        <v>229525.46000000008</v>
      </c>
    </row>
    <row r="342" spans="2:15" ht="29.25" customHeight="1" x14ac:dyDescent="0.3">
      <c r="C342" s="4"/>
      <c r="K342" s="3">
        <f>Table15[[#This Row],[الايصالات]]+Table15[[#This Row],[النولون]]-Table15[[#This Row],[خصم 3%]]</f>
        <v>0</v>
      </c>
      <c r="M342" s="3">
        <f>M341+Table15[[#This Row],[اجمالي الفاتوره]]-Table15[[#This Row],[الدفعات]]</f>
        <v>229525.46000000008</v>
      </c>
    </row>
    <row r="343" spans="2:15" ht="29.25" customHeight="1" x14ac:dyDescent="0.3">
      <c r="C343" s="4"/>
      <c r="K343" s="3">
        <f>Table15[[#This Row],[الايصالات]]+Table15[[#This Row],[النولون]]-Table15[[#This Row],[خصم 3%]]</f>
        <v>0</v>
      </c>
      <c r="M343" s="3">
        <f>M342+Table15[[#This Row],[اجمالي الفاتوره]]-Table15[[#This Row],[الدفعات]]</f>
        <v>229525.46000000008</v>
      </c>
    </row>
    <row r="344" spans="2:15" ht="29.25" customHeight="1" x14ac:dyDescent="0.3">
      <c r="B344" s="27"/>
      <c r="C344" s="28"/>
      <c r="D344" s="27"/>
      <c r="E344" s="27"/>
      <c r="F344" s="27"/>
      <c r="G344" s="27"/>
      <c r="H344" s="27"/>
      <c r="I344" s="27"/>
      <c r="J344" s="27"/>
      <c r="K344" s="27">
        <f>Table15[[#This Row],[الايصالات]]+Table15[[#This Row],[النولون]]-Table15[[#This Row],[خصم 3%]]</f>
        <v>0</v>
      </c>
      <c r="L344" s="27"/>
      <c r="M344" s="3">
        <f>M343+Table15[[#This Row],[اجمالي الفاتوره]]-Table15[[#This Row],[الدفعات]]</f>
        <v>229525.46000000008</v>
      </c>
      <c r="N344" s="27"/>
      <c r="O344" s="27"/>
    </row>
    <row r="345" spans="2:15" ht="29.25" customHeight="1" x14ac:dyDescent="0.3">
      <c r="B345" s="27"/>
      <c r="C345" s="28"/>
      <c r="D345" s="27"/>
      <c r="E345" s="27"/>
      <c r="F345" s="27"/>
      <c r="G345" s="27"/>
      <c r="H345" s="27"/>
      <c r="I345" s="27"/>
      <c r="J345" s="27"/>
      <c r="K345" s="27">
        <f>Table15[[#This Row],[الايصالات]]+Table15[[#This Row],[النولون]]-Table15[[#This Row],[خصم 3%]]</f>
        <v>0</v>
      </c>
      <c r="L345" s="27"/>
      <c r="M345" s="3">
        <f>M344+Table15[[#This Row],[اجمالي الفاتوره]]-Table15[[#This Row],[الدفعات]]</f>
        <v>229525.46000000008</v>
      </c>
      <c r="N345" s="27"/>
      <c r="O345" s="27"/>
    </row>
    <row r="346" spans="2:15" ht="29.25" customHeight="1" x14ac:dyDescent="0.3">
      <c r="B346" s="27"/>
      <c r="C346" s="28"/>
      <c r="D346" s="27"/>
      <c r="E346" s="27"/>
      <c r="F346" s="27"/>
      <c r="G346" s="27"/>
      <c r="H346" s="27"/>
      <c r="I346" s="27"/>
      <c r="J346" s="27"/>
      <c r="K346" s="27">
        <f>Table15[[#This Row],[الايصالات]]+Table15[[#This Row],[النولون]]-Table15[[#This Row],[خصم 3%]]</f>
        <v>0</v>
      </c>
      <c r="L346" s="27"/>
      <c r="M346" s="3">
        <f>M345+Table15[[#This Row],[اجمالي الفاتوره]]-Table15[[#This Row],[الدفعات]]</f>
        <v>229525.46000000008</v>
      </c>
      <c r="N346" s="27"/>
      <c r="O346" s="27"/>
    </row>
    <row r="347" spans="2:15" ht="29.25" customHeight="1" x14ac:dyDescent="0.3">
      <c r="B347" s="27"/>
      <c r="C347" s="28"/>
      <c r="D347" s="27"/>
      <c r="E347" s="27"/>
      <c r="F347" s="27"/>
      <c r="G347" s="27"/>
      <c r="H347" s="27"/>
      <c r="I347" s="27"/>
      <c r="J347" s="27"/>
      <c r="K347" s="27">
        <f>Table15[[#This Row],[الايصالات]]+Table15[[#This Row],[النولون]]-Table15[[#This Row],[خصم 3%]]</f>
        <v>0</v>
      </c>
      <c r="L347" s="27"/>
      <c r="M347" s="3">
        <f>M346+Table15[[#This Row],[اجمالي الفاتوره]]-Table15[[#This Row],[الدفعات]]</f>
        <v>229525.46000000008</v>
      </c>
      <c r="N347" s="27"/>
      <c r="O347" s="27"/>
    </row>
    <row r="348" spans="2:15" ht="29.25" customHeight="1" x14ac:dyDescent="0.3">
      <c r="B348" s="27"/>
      <c r="C348" s="27"/>
      <c r="D348" s="27"/>
      <c r="E348" s="27"/>
      <c r="F348" s="27"/>
      <c r="G348" s="27"/>
      <c r="H348" s="27"/>
      <c r="I348" s="27"/>
      <c r="J348" s="27"/>
      <c r="K348" s="27">
        <f>Table15[[#This Row],[الايصالات]]+Table15[[#This Row],[النولون]]-Table15[[#This Row],[خصم 3%]]</f>
        <v>0</v>
      </c>
      <c r="L348" s="27"/>
      <c r="M348" s="3">
        <f>M347+Table15[[#This Row],[اجمالي الفاتوره]]-Table15[[#This Row],[الدفعات]]</f>
        <v>229525.46000000008</v>
      </c>
      <c r="N348" s="27"/>
      <c r="O348" s="27"/>
    </row>
    <row r="349" spans="2:15" ht="29.25" customHeight="1" x14ac:dyDescent="0.3">
      <c r="B349" s="27"/>
      <c r="C349" s="27"/>
      <c r="D349" s="27"/>
      <c r="E349" s="27"/>
      <c r="F349" s="27"/>
      <c r="G349" s="27"/>
      <c r="H349" s="27"/>
      <c r="I349" s="27"/>
      <c r="J349" s="27"/>
      <c r="K349" s="27">
        <f>Table15[[#This Row],[الايصالات]]+Table15[[#This Row],[النولون]]-Table15[[#This Row],[خصم 3%]]</f>
        <v>0</v>
      </c>
      <c r="L349" s="27"/>
      <c r="M349" s="3">
        <f>M348+Table15[[#This Row],[اجمالي الفاتوره]]-Table15[[#This Row],[الدفعات]]</f>
        <v>229525.46000000008</v>
      </c>
      <c r="N349" s="27"/>
      <c r="O349" s="27"/>
    </row>
    <row r="350" spans="2:15" ht="29.25" customHeight="1" x14ac:dyDescent="0.3">
      <c r="B350" s="27"/>
      <c r="C350" s="27"/>
      <c r="D350" s="27"/>
      <c r="E350" s="27"/>
      <c r="F350" s="27"/>
      <c r="G350" s="27"/>
      <c r="H350" s="27"/>
      <c r="I350" s="27"/>
      <c r="J350" s="27"/>
      <c r="K350" s="27">
        <f>Table15[[#This Row],[الايصالات]]+Table15[[#This Row],[النولون]]-Table15[[#This Row],[خصم 3%]]</f>
        <v>0</v>
      </c>
      <c r="L350" s="27"/>
      <c r="M350" s="3">
        <f>M349+Table15[[#This Row],[اجمالي الفاتوره]]-Table15[[#This Row],[الدفعات]]</f>
        <v>229525.46000000008</v>
      </c>
      <c r="N350" s="27"/>
      <c r="O350" s="27"/>
    </row>
    <row r="351" spans="2:15" ht="29.25" customHeight="1" x14ac:dyDescent="0.3">
      <c r="B351" s="27"/>
      <c r="C351" s="27"/>
      <c r="D351" s="27"/>
      <c r="E351" s="27"/>
      <c r="F351" s="27"/>
      <c r="G351" s="27"/>
      <c r="H351" s="27"/>
      <c r="I351" s="27"/>
      <c r="J351" s="27"/>
      <c r="K351" s="27">
        <f>Table15[[#This Row],[الايصالات]]+Table15[[#This Row],[النولون]]-Table15[[#This Row],[خصم 3%]]</f>
        <v>0</v>
      </c>
      <c r="L351" s="27"/>
      <c r="M351" s="3">
        <f>M350+Table15[[#This Row],[اجمالي الفاتوره]]-Table15[[#This Row],[الدفعات]]</f>
        <v>229525.46000000008</v>
      </c>
      <c r="N351" s="27"/>
      <c r="O351" s="27"/>
    </row>
    <row r="352" spans="2:15" ht="29.25" customHeight="1" x14ac:dyDescent="0.3">
      <c r="B352" s="27"/>
      <c r="C352" s="27"/>
      <c r="D352" s="27"/>
      <c r="E352" s="27"/>
      <c r="F352" s="27"/>
      <c r="G352" s="27"/>
      <c r="H352" s="27"/>
      <c r="I352" s="27"/>
      <c r="J352" s="27"/>
      <c r="K352" s="27">
        <f>Table15[[#This Row],[الايصالات]]+Table15[[#This Row],[النولون]]-Table15[[#This Row],[خصم 3%]]</f>
        <v>0</v>
      </c>
      <c r="L352" s="27"/>
      <c r="M352" s="3">
        <f>M351+Table15[[#This Row],[اجمالي الفاتوره]]-Table15[[#This Row],[الدفعات]]</f>
        <v>229525.46000000008</v>
      </c>
      <c r="N352" s="27"/>
      <c r="O352" s="27"/>
    </row>
    <row r="353" spans="2:15" ht="29.25" customHeight="1" x14ac:dyDescent="0.3">
      <c r="B353" s="27"/>
      <c r="C353" s="27"/>
      <c r="D353" s="27"/>
      <c r="E353" s="27"/>
      <c r="F353" s="27"/>
      <c r="G353" s="27"/>
      <c r="H353" s="27"/>
      <c r="I353" s="27"/>
      <c r="J353" s="27"/>
      <c r="K353" s="27">
        <f>Table15[[#This Row],[الايصالات]]+Table15[[#This Row],[النولون]]-Table15[[#This Row],[خصم 3%]]</f>
        <v>0</v>
      </c>
      <c r="L353" s="27"/>
      <c r="M353" s="3">
        <f>M352+Table15[[#This Row],[اجمالي الفاتوره]]-Table15[[#This Row],[الدفعات]]</f>
        <v>229525.46000000008</v>
      </c>
      <c r="N353" s="27"/>
      <c r="O353" s="27"/>
    </row>
    <row r="354" spans="2:15" ht="29.25" customHeight="1" x14ac:dyDescent="0.3">
      <c r="B354" s="27"/>
      <c r="C354" s="27"/>
      <c r="D354" s="27"/>
      <c r="E354" s="27"/>
      <c r="F354" s="27"/>
      <c r="G354" s="27"/>
      <c r="H354" s="27"/>
      <c r="I354" s="27"/>
      <c r="J354" s="27"/>
      <c r="K354" s="27">
        <f>Table15[[#This Row],[الايصالات]]+Table15[[#This Row],[النولون]]-Table15[[#This Row],[خصم 3%]]</f>
        <v>0</v>
      </c>
      <c r="L354" s="27"/>
      <c r="M354" s="3">
        <f>M353+Table15[[#This Row],[اجمالي الفاتوره]]-Table15[[#This Row],[الدفعات]]</f>
        <v>229525.46000000008</v>
      </c>
      <c r="N354" s="27"/>
      <c r="O354" s="27"/>
    </row>
    <row r="355" spans="2:15" ht="29.25" customHeight="1" x14ac:dyDescent="0.3">
      <c r="B355" s="27"/>
      <c r="C355" s="27"/>
      <c r="D355" s="27"/>
      <c r="E355" s="27"/>
      <c r="F355" s="27"/>
      <c r="G355" s="27"/>
      <c r="H355" s="27"/>
      <c r="I355" s="27"/>
      <c r="J355" s="27"/>
      <c r="K355" s="27">
        <f>Table15[[#This Row],[الايصالات]]+Table15[[#This Row],[النولون]]-Table15[[#This Row],[خصم 3%]]</f>
        <v>0</v>
      </c>
      <c r="L355" s="27"/>
      <c r="M355" s="3">
        <f>M354+Table15[[#This Row],[اجمالي الفاتوره]]-Table15[[#This Row],[الدفعات]]</f>
        <v>229525.46000000008</v>
      </c>
      <c r="N355" s="27"/>
      <c r="O355" s="27"/>
    </row>
    <row r="356" spans="2:15" ht="29.25" customHeight="1" x14ac:dyDescent="0.3">
      <c r="B356" s="27"/>
      <c r="C356" s="27"/>
      <c r="D356" s="27"/>
      <c r="E356" s="27"/>
      <c r="F356" s="27"/>
      <c r="G356" s="27"/>
      <c r="H356" s="27"/>
      <c r="I356" s="27"/>
      <c r="J356" s="27"/>
      <c r="K356" s="27">
        <f>Table15[[#This Row],[الايصالات]]+Table15[[#This Row],[النولون]]-Table15[[#This Row],[خصم 3%]]</f>
        <v>0</v>
      </c>
      <c r="L356" s="27"/>
      <c r="M356" s="3">
        <f>M355+Table15[[#This Row],[اجمالي الفاتوره]]-Table15[[#This Row],[الدفعات]]</f>
        <v>229525.46000000008</v>
      </c>
      <c r="N356" s="27"/>
      <c r="O356" s="27"/>
    </row>
    <row r="357" spans="2:15" ht="29.25" customHeight="1" x14ac:dyDescent="0.3">
      <c r="B357" s="27"/>
      <c r="C357" s="27"/>
      <c r="D357" s="27"/>
      <c r="E357" s="27"/>
      <c r="F357" s="27"/>
      <c r="G357" s="27"/>
      <c r="H357" s="27"/>
      <c r="I357" s="27"/>
      <c r="J357" s="27"/>
      <c r="K357" s="27">
        <f>Table15[[#This Row],[الايصالات]]+Table15[[#This Row],[النولون]]-Table15[[#This Row],[خصم 3%]]</f>
        <v>0</v>
      </c>
      <c r="L357" s="27"/>
      <c r="M357" s="3">
        <f>M356+Table15[[#This Row],[اجمالي الفاتوره]]-Table15[[#This Row],[الدفعات]]</f>
        <v>229525.46000000008</v>
      </c>
      <c r="N357" s="27"/>
      <c r="O357" s="27"/>
    </row>
    <row r="358" spans="2:15" ht="29.25" customHeight="1" x14ac:dyDescent="0.3">
      <c r="B358" s="27"/>
      <c r="C358" s="27"/>
      <c r="D358" s="27"/>
      <c r="E358" s="27"/>
      <c r="F358" s="27"/>
      <c r="G358" s="27"/>
      <c r="H358" s="27"/>
      <c r="I358" s="27"/>
      <c r="J358" s="27"/>
      <c r="K358" s="27">
        <f>Table15[[#This Row],[الايصالات]]+Table15[[#This Row],[النولون]]-Table15[[#This Row],[خصم 3%]]</f>
        <v>0</v>
      </c>
      <c r="L358" s="27"/>
      <c r="M358" s="3">
        <f>M357+Table15[[#This Row],[اجمالي الفاتوره]]-Table15[[#This Row],[الدفعات]]</f>
        <v>229525.46000000008</v>
      </c>
      <c r="N358" s="27"/>
      <c r="O358" s="27"/>
    </row>
    <row r="359" spans="2:15" ht="29.25" customHeight="1" x14ac:dyDescent="0.3">
      <c r="B359" s="27"/>
      <c r="C359" s="27"/>
      <c r="D359" s="27"/>
      <c r="E359" s="27"/>
      <c r="F359" s="27"/>
      <c r="G359" s="27"/>
      <c r="H359" s="27"/>
      <c r="I359" s="27"/>
      <c r="J359" s="27"/>
      <c r="K359" s="27">
        <f>Table15[[#This Row],[الايصالات]]+Table15[[#This Row],[النولون]]-Table15[[#This Row],[خصم 3%]]</f>
        <v>0</v>
      </c>
      <c r="L359" s="27"/>
      <c r="M359" s="3">
        <f>M358+Table15[[#This Row],[اجمالي الفاتوره]]-Table15[[#This Row],[الدفعات]]</f>
        <v>229525.46000000008</v>
      </c>
      <c r="N359" s="27"/>
      <c r="O359" s="27"/>
    </row>
    <row r="360" spans="2:15" ht="29.25" customHeight="1" x14ac:dyDescent="0.3">
      <c r="B360" s="27"/>
      <c r="C360" s="27"/>
      <c r="D360" s="27"/>
      <c r="E360" s="27"/>
      <c r="F360" s="27"/>
      <c r="G360" s="27"/>
      <c r="H360" s="27"/>
      <c r="I360" s="27"/>
      <c r="J360" s="27"/>
      <c r="K360" s="27">
        <f>Table15[[#This Row],[الايصالات]]+Table15[[#This Row],[النولون]]-Table15[[#This Row],[خصم 3%]]</f>
        <v>0</v>
      </c>
      <c r="L360" s="27"/>
      <c r="M360" s="3">
        <f>M359+Table15[[#This Row],[اجمالي الفاتوره]]-Table15[[#This Row],[الدفعات]]</f>
        <v>229525.46000000008</v>
      </c>
      <c r="N360" s="27"/>
      <c r="O360" s="27"/>
    </row>
    <row r="361" spans="2:15" ht="29.25" customHeight="1" x14ac:dyDescent="0.3">
      <c r="B361" s="27"/>
      <c r="C361" s="27"/>
      <c r="D361" s="27"/>
      <c r="E361" s="27"/>
      <c r="F361" s="27"/>
      <c r="G361" s="27"/>
      <c r="H361" s="27"/>
      <c r="I361" s="27"/>
      <c r="J361" s="27"/>
      <c r="K361" s="27">
        <f>Table15[[#This Row],[الايصالات]]+Table15[[#This Row],[النولون]]-Table15[[#This Row],[خصم 3%]]</f>
        <v>0</v>
      </c>
      <c r="L361" s="27"/>
      <c r="M361" s="3">
        <f>M360+Table15[[#This Row],[اجمالي الفاتوره]]-Table15[[#This Row],[الدفعات]]</f>
        <v>229525.46000000008</v>
      </c>
      <c r="N361" s="27"/>
      <c r="O361" s="27"/>
    </row>
    <row r="362" spans="2:15" ht="29.25" customHeight="1" x14ac:dyDescent="0.3">
      <c r="B362" s="27"/>
      <c r="C362" s="27"/>
      <c r="D362" s="27"/>
      <c r="E362" s="27"/>
      <c r="F362" s="27"/>
      <c r="G362" s="27"/>
      <c r="H362" s="27"/>
      <c r="I362" s="27"/>
      <c r="J362" s="27"/>
      <c r="K362" s="27">
        <f>Table15[[#This Row],[الايصالات]]+Table15[[#This Row],[النولون]]-Table15[[#This Row],[خصم 3%]]</f>
        <v>0</v>
      </c>
      <c r="L362" s="27"/>
      <c r="M362" s="3">
        <f>M361+Table15[[#This Row],[اجمالي الفاتوره]]-Table15[[#This Row],[الدفعات]]</f>
        <v>229525.46000000008</v>
      </c>
      <c r="N362" s="27"/>
      <c r="O362" s="27"/>
    </row>
    <row r="363" spans="2:15" ht="29.25" customHeight="1" x14ac:dyDescent="0.3">
      <c r="B363" s="27"/>
      <c r="C363" s="27"/>
      <c r="D363" s="27"/>
      <c r="E363" s="27"/>
      <c r="F363" s="27"/>
      <c r="G363" s="27"/>
      <c r="H363" s="27"/>
      <c r="I363" s="27"/>
      <c r="J363" s="27"/>
      <c r="K363" s="27">
        <f>Table15[[#This Row],[الايصالات]]+Table15[[#This Row],[النولون]]-Table15[[#This Row],[خصم 3%]]</f>
        <v>0</v>
      </c>
      <c r="L363" s="27"/>
      <c r="M363" s="3">
        <f>M362+Table15[[#This Row],[اجمالي الفاتوره]]-Table15[[#This Row],[الدفعات]]</f>
        <v>229525.46000000008</v>
      </c>
      <c r="N363" s="27"/>
      <c r="O363" s="27"/>
    </row>
    <row r="364" spans="2:15" ht="29.25" customHeight="1" x14ac:dyDescent="0.3">
      <c r="B364" s="27"/>
      <c r="C364" s="27"/>
      <c r="D364" s="27"/>
      <c r="E364" s="27"/>
      <c r="F364" s="27"/>
      <c r="G364" s="27"/>
      <c r="H364" s="27"/>
      <c r="I364" s="27"/>
      <c r="J364" s="27"/>
      <c r="K364" s="27">
        <f>Table15[[#This Row],[الايصالات]]+Table15[[#This Row],[النولون]]-Table15[[#This Row],[خصم 3%]]</f>
        <v>0</v>
      </c>
      <c r="L364" s="27"/>
      <c r="M364" s="3">
        <f>M363+Table15[[#This Row],[اجمالي الفاتوره]]-Table15[[#This Row],[الدفعات]]</f>
        <v>229525.46000000008</v>
      </c>
      <c r="N364" s="27"/>
      <c r="O364" s="27"/>
    </row>
    <row r="365" spans="2:15" ht="29.25" customHeight="1" x14ac:dyDescent="0.3">
      <c r="B365" s="27"/>
      <c r="C365" s="27"/>
      <c r="D365" s="27"/>
      <c r="E365" s="27"/>
      <c r="F365" s="27"/>
      <c r="G365" s="27"/>
      <c r="H365" s="27"/>
      <c r="I365" s="27"/>
      <c r="J365" s="27"/>
      <c r="K365" s="27">
        <f>Table15[[#This Row],[الايصالات]]+Table15[[#This Row],[النولون]]-Table15[[#This Row],[خصم 3%]]</f>
        <v>0</v>
      </c>
      <c r="L365" s="27"/>
      <c r="M365" s="3">
        <f>M364+Table15[[#This Row],[اجمالي الفاتوره]]-Table15[[#This Row],[الدفعات]]</f>
        <v>229525.46000000008</v>
      </c>
      <c r="N365" s="27"/>
      <c r="O365" s="27"/>
    </row>
    <row r="366" spans="2:15" ht="29.25" customHeight="1" x14ac:dyDescent="0.3">
      <c r="B366" s="27"/>
      <c r="C366" s="27"/>
      <c r="D366" s="27"/>
      <c r="E366" s="27"/>
      <c r="F366" s="27"/>
      <c r="G366" s="27"/>
      <c r="H366" s="27"/>
      <c r="I366" s="27"/>
      <c r="J366" s="27"/>
      <c r="K366" s="27">
        <f>Table15[[#This Row],[الايصالات]]+Table15[[#This Row],[النولون]]-Table15[[#This Row],[خصم 3%]]</f>
        <v>0</v>
      </c>
      <c r="L366" s="27"/>
      <c r="M366" s="3">
        <f>M365+Table15[[#This Row],[اجمالي الفاتوره]]-Table15[[#This Row],[الدفعات]]</f>
        <v>229525.46000000008</v>
      </c>
      <c r="N366" s="27"/>
      <c r="O366" s="27"/>
    </row>
    <row r="367" spans="2:15" ht="29.25" customHeight="1" x14ac:dyDescent="0.3">
      <c r="B367" s="27"/>
      <c r="C367" s="27"/>
      <c r="D367" s="27"/>
      <c r="E367" s="27"/>
      <c r="F367" s="27"/>
      <c r="G367" s="27"/>
      <c r="H367" s="27"/>
      <c r="I367" s="27"/>
      <c r="J367" s="27"/>
      <c r="K367" s="27">
        <f>Table15[[#This Row],[الايصالات]]+Table15[[#This Row],[النولون]]-Table15[[#This Row],[خصم 3%]]</f>
        <v>0</v>
      </c>
      <c r="L367" s="27"/>
      <c r="M367" s="3">
        <f>M366+Table15[[#This Row],[اجمالي الفاتوره]]-Table15[[#This Row],[الدفعات]]</f>
        <v>229525.46000000008</v>
      </c>
      <c r="N367" s="27"/>
      <c r="O367" s="27"/>
    </row>
    <row r="368" spans="2:15" ht="29.25" customHeight="1" x14ac:dyDescent="0.3">
      <c r="B368" s="27"/>
      <c r="C368" s="27"/>
      <c r="D368" s="27"/>
      <c r="E368" s="27"/>
      <c r="F368" s="27"/>
      <c r="G368" s="27"/>
      <c r="H368" s="27"/>
      <c r="I368" s="27"/>
      <c r="J368" s="27"/>
      <c r="K368" s="27">
        <f>Table15[[#This Row],[الايصالات]]+Table15[[#This Row],[النولون]]-Table15[[#This Row],[خصم 3%]]</f>
        <v>0</v>
      </c>
      <c r="L368" s="27"/>
      <c r="M368" s="3">
        <f>M367+Table15[[#This Row],[اجمالي الفاتوره]]-Table15[[#This Row],[الدفعات]]</f>
        <v>229525.46000000008</v>
      </c>
      <c r="N368" s="27"/>
      <c r="O368" s="27"/>
    </row>
    <row r="369" spans="2:15" ht="29.25" customHeight="1" x14ac:dyDescent="0.3">
      <c r="B369" s="27"/>
      <c r="C369" s="27"/>
      <c r="D369" s="27"/>
      <c r="E369" s="27"/>
      <c r="F369" s="27"/>
      <c r="G369" s="27"/>
      <c r="H369" s="27"/>
      <c r="I369" s="27"/>
      <c r="J369" s="27"/>
      <c r="K369" s="27">
        <f>Table15[[#This Row],[الايصالات]]+Table15[[#This Row],[النولون]]-Table15[[#This Row],[خصم 3%]]</f>
        <v>0</v>
      </c>
      <c r="L369" s="27"/>
      <c r="M369" s="3">
        <f>M368+Table15[[#This Row],[اجمالي الفاتوره]]-Table15[[#This Row],[الدفعات]]</f>
        <v>229525.46000000008</v>
      </c>
      <c r="N369" s="27"/>
      <c r="O369" s="27"/>
    </row>
    <row r="370" spans="2:15" ht="29.25" customHeight="1" x14ac:dyDescent="0.3">
      <c r="B370" s="27"/>
      <c r="C370" s="27"/>
      <c r="D370" s="27"/>
      <c r="E370" s="27"/>
      <c r="F370" s="27"/>
      <c r="G370" s="27"/>
      <c r="H370" s="27"/>
      <c r="I370" s="27"/>
      <c r="J370" s="27"/>
      <c r="K370" s="27">
        <f>Table15[[#This Row],[الايصالات]]+Table15[[#This Row],[النولون]]-Table15[[#This Row],[خصم 3%]]</f>
        <v>0</v>
      </c>
      <c r="L370" s="27"/>
      <c r="M370" s="3">
        <f>M369+Table15[[#This Row],[اجمالي الفاتوره]]-Table15[[#This Row],[الدفعات]]</f>
        <v>229525.46000000008</v>
      </c>
      <c r="N370" s="27"/>
      <c r="O370" s="27"/>
    </row>
    <row r="371" spans="2:15" ht="29.25" customHeight="1" x14ac:dyDescent="0.3">
      <c r="B371" s="27"/>
      <c r="C371" s="27"/>
      <c r="D371" s="27"/>
      <c r="E371" s="27"/>
      <c r="F371" s="27"/>
      <c r="G371" s="27"/>
      <c r="H371" s="27"/>
      <c r="I371" s="27"/>
      <c r="J371" s="27"/>
      <c r="K371" s="27">
        <f>Table15[[#This Row],[الايصالات]]+Table15[[#This Row],[النولون]]-Table15[[#This Row],[خصم 3%]]</f>
        <v>0</v>
      </c>
      <c r="L371" s="27"/>
      <c r="M371" s="3">
        <f>M370+Table15[[#This Row],[اجمالي الفاتوره]]-Table15[[#This Row],[الدفعات]]</f>
        <v>229525.46000000008</v>
      </c>
      <c r="N371" s="27"/>
      <c r="O371" s="27"/>
    </row>
    <row r="372" spans="2:15" ht="29.25" customHeight="1" x14ac:dyDescent="0.3">
      <c r="B372" s="27"/>
      <c r="C372" s="27"/>
      <c r="D372" s="27"/>
      <c r="E372" s="27"/>
      <c r="F372" s="27"/>
      <c r="G372" s="27"/>
      <c r="H372" s="27"/>
      <c r="I372" s="27"/>
      <c r="J372" s="27"/>
      <c r="K372" s="27">
        <f>Table15[[#This Row],[الايصالات]]+Table15[[#This Row],[النولون]]-Table15[[#This Row],[خصم 3%]]</f>
        <v>0</v>
      </c>
      <c r="L372" s="27"/>
      <c r="M372" s="3">
        <f>M371+Table15[[#This Row],[اجمالي الفاتوره]]-Table15[[#This Row],[الدفعات]]</f>
        <v>229525.46000000008</v>
      </c>
      <c r="N372" s="27"/>
      <c r="O372" s="27"/>
    </row>
    <row r="373" spans="2:15" ht="29.25" customHeight="1" x14ac:dyDescent="0.3">
      <c r="B373" s="27"/>
      <c r="C373" s="27"/>
      <c r="D373" s="27"/>
      <c r="E373" s="27"/>
      <c r="F373" s="27"/>
      <c r="G373" s="27"/>
      <c r="H373" s="27"/>
      <c r="I373" s="27"/>
      <c r="J373" s="27"/>
      <c r="K373" s="27">
        <f>Table15[[#This Row],[الايصالات]]+Table15[[#This Row],[النولون]]-Table15[[#This Row],[خصم 3%]]</f>
        <v>0</v>
      </c>
      <c r="L373" s="27"/>
      <c r="M373" s="3">
        <f>M372+Table15[[#This Row],[اجمالي الفاتوره]]-Table15[[#This Row],[الدفعات]]</f>
        <v>229525.46000000008</v>
      </c>
      <c r="N373" s="27"/>
      <c r="O373" s="27"/>
    </row>
    <row r="374" spans="2:15" ht="29.25" customHeight="1" x14ac:dyDescent="0.3">
      <c r="B374" s="27"/>
      <c r="C374" s="27"/>
      <c r="D374" s="27"/>
      <c r="E374" s="27"/>
      <c r="F374" s="27"/>
      <c r="G374" s="27"/>
      <c r="H374" s="27"/>
      <c r="I374" s="27"/>
      <c r="J374" s="27"/>
      <c r="K374" s="27">
        <f>Table15[[#This Row],[الايصالات]]+Table15[[#This Row],[النولون]]-Table15[[#This Row],[خصم 3%]]</f>
        <v>0</v>
      </c>
      <c r="L374" s="27"/>
      <c r="M374" s="3">
        <f>M373+Table15[[#This Row],[اجمالي الفاتوره]]-Table15[[#This Row],[الدفعات]]</f>
        <v>229525.46000000008</v>
      </c>
      <c r="N374" s="27"/>
      <c r="O374" s="27"/>
    </row>
    <row r="375" spans="2:15" ht="29.25" customHeight="1" x14ac:dyDescent="0.3">
      <c r="B375" s="27"/>
      <c r="C375" s="27"/>
      <c r="D375" s="27"/>
      <c r="E375" s="27"/>
      <c r="F375" s="27"/>
      <c r="G375" s="27"/>
      <c r="H375" s="27"/>
      <c r="I375" s="27"/>
      <c r="J375" s="27"/>
      <c r="K375" s="27">
        <f>Table15[[#This Row],[الايصالات]]+Table15[[#This Row],[النولون]]-Table15[[#This Row],[خصم 3%]]</f>
        <v>0</v>
      </c>
      <c r="L375" s="27"/>
      <c r="M375" s="3">
        <f>M374+Table15[[#This Row],[اجمالي الفاتوره]]-Table15[[#This Row],[الدفعات]]</f>
        <v>229525.46000000008</v>
      </c>
      <c r="N375" s="27"/>
      <c r="O375" s="27"/>
    </row>
    <row r="376" spans="2:15" ht="29.25" customHeight="1" x14ac:dyDescent="0.3">
      <c r="B376" s="27"/>
      <c r="C376" s="27"/>
      <c r="D376" s="27"/>
      <c r="E376" s="27"/>
      <c r="F376" s="27"/>
      <c r="G376" s="27"/>
      <c r="H376" s="27"/>
      <c r="I376" s="27"/>
      <c r="J376" s="27"/>
      <c r="K376" s="27">
        <f>Table15[[#This Row],[الايصالات]]+Table15[[#This Row],[النولون]]-Table15[[#This Row],[خصم 3%]]</f>
        <v>0</v>
      </c>
      <c r="L376" s="27"/>
      <c r="M376" s="3">
        <f>M375+Table15[[#This Row],[اجمالي الفاتوره]]-Table15[[#This Row],[الدفعات]]</f>
        <v>229525.46000000008</v>
      </c>
      <c r="N376" s="27"/>
      <c r="O376" s="27"/>
    </row>
    <row r="377" spans="2:15" ht="29.25" customHeight="1" x14ac:dyDescent="0.3">
      <c r="B377" s="27"/>
      <c r="C377" s="27"/>
      <c r="D377" s="27"/>
      <c r="E377" s="27"/>
      <c r="F377" s="27"/>
      <c r="G377" s="27"/>
      <c r="H377" s="27"/>
      <c r="I377" s="27"/>
      <c r="J377" s="27"/>
      <c r="K377" s="27">
        <f>Table15[[#This Row],[الايصالات]]+Table15[[#This Row],[النولون]]-Table15[[#This Row],[خصم 3%]]</f>
        <v>0</v>
      </c>
      <c r="L377" s="27"/>
      <c r="M377" s="3">
        <f>M376+Table15[[#This Row],[اجمالي الفاتوره]]-Table15[[#This Row],[الدفعات]]</f>
        <v>229525.46000000008</v>
      </c>
      <c r="N377" s="27"/>
      <c r="O377" s="27"/>
    </row>
    <row r="378" spans="2:15" ht="29.25" customHeight="1" x14ac:dyDescent="0.3">
      <c r="B378" s="27"/>
      <c r="C378" s="27"/>
      <c r="D378" s="27"/>
      <c r="E378" s="27"/>
      <c r="F378" s="27"/>
      <c r="G378" s="27"/>
      <c r="H378" s="27"/>
      <c r="I378" s="27"/>
      <c r="J378" s="27"/>
      <c r="K378" s="27">
        <f>Table15[[#This Row],[الايصالات]]+Table15[[#This Row],[النولون]]-Table15[[#This Row],[خصم 3%]]</f>
        <v>0</v>
      </c>
      <c r="L378" s="27"/>
      <c r="M378" s="3">
        <f>M377+Table15[[#This Row],[اجمالي الفاتوره]]-Table15[[#This Row],[الدفعات]]</f>
        <v>229525.46000000008</v>
      </c>
      <c r="N378" s="27"/>
      <c r="O378" s="27"/>
    </row>
    <row r="379" spans="2:15" ht="29.25" customHeight="1" x14ac:dyDescent="0.3">
      <c r="B379" s="27"/>
      <c r="C379" s="27"/>
      <c r="D379" s="27"/>
      <c r="E379" s="27"/>
      <c r="F379" s="27"/>
      <c r="G379" s="27"/>
      <c r="H379" s="27"/>
      <c r="I379" s="27"/>
      <c r="J379" s="27"/>
      <c r="K379" s="27">
        <f>Table15[[#This Row],[الايصالات]]+Table15[[#This Row],[النولون]]-Table15[[#This Row],[خصم 3%]]</f>
        <v>0</v>
      </c>
      <c r="L379" s="27"/>
      <c r="M379" s="3">
        <f>M378+Table15[[#This Row],[اجمالي الفاتوره]]-Table15[[#This Row],[الدفعات]]</f>
        <v>229525.46000000008</v>
      </c>
      <c r="N379" s="27"/>
      <c r="O379" s="27"/>
    </row>
    <row r="380" spans="2:15" ht="29.25" customHeight="1" x14ac:dyDescent="0.3">
      <c r="B380" s="27"/>
      <c r="C380" s="27"/>
      <c r="D380" s="27"/>
      <c r="E380" s="27"/>
      <c r="F380" s="27"/>
      <c r="G380" s="27"/>
      <c r="H380" s="27"/>
      <c r="I380" s="27"/>
      <c r="J380" s="27"/>
      <c r="K380" s="27">
        <f>Table15[[#This Row],[الايصالات]]+Table15[[#This Row],[النولون]]-Table15[[#This Row],[خصم 3%]]</f>
        <v>0</v>
      </c>
      <c r="L380" s="27"/>
      <c r="M380" s="3">
        <f>M379+Table15[[#This Row],[اجمالي الفاتوره]]-Table15[[#This Row],[الدفعات]]</f>
        <v>229525.46000000008</v>
      </c>
      <c r="N380" s="27"/>
      <c r="O380" s="27"/>
    </row>
    <row r="381" spans="2:15" ht="29.25" customHeight="1" x14ac:dyDescent="0.3">
      <c r="B381" s="27"/>
      <c r="C381" s="27"/>
      <c r="D381" s="27"/>
      <c r="E381" s="27"/>
      <c r="F381" s="27"/>
      <c r="G381" s="27"/>
      <c r="H381" s="27"/>
      <c r="I381" s="27"/>
      <c r="J381" s="27"/>
      <c r="K381" s="27">
        <f>Table15[[#This Row],[الايصالات]]+Table15[[#This Row],[النولون]]-Table15[[#This Row],[خصم 3%]]</f>
        <v>0</v>
      </c>
      <c r="L381" s="27"/>
      <c r="M381" s="3">
        <f>M380+Table15[[#This Row],[اجمالي الفاتوره]]-Table15[[#This Row],[الدفعات]]</f>
        <v>229525.46000000008</v>
      </c>
      <c r="N381" s="27"/>
      <c r="O381" s="27"/>
    </row>
    <row r="382" spans="2:15" ht="29.25" customHeight="1" x14ac:dyDescent="0.3">
      <c r="B382" s="27"/>
      <c r="C382" s="27"/>
      <c r="D382" s="27"/>
      <c r="E382" s="27"/>
      <c r="F382" s="27"/>
      <c r="G382" s="27"/>
      <c r="H382" s="27"/>
      <c r="I382" s="27"/>
      <c r="J382" s="27"/>
      <c r="K382" s="27">
        <f>Table15[[#This Row],[الايصالات]]+Table15[[#This Row],[النولون]]-Table15[[#This Row],[خصم 3%]]</f>
        <v>0</v>
      </c>
      <c r="L382" s="27"/>
      <c r="M382" s="3">
        <f>M381+Table15[[#This Row],[اجمالي الفاتوره]]-Table15[[#This Row],[الدفعات]]</f>
        <v>229525.46000000008</v>
      </c>
      <c r="N382" s="27"/>
      <c r="O382" s="27"/>
    </row>
    <row r="383" spans="2:15" ht="29.25" customHeight="1" x14ac:dyDescent="0.3">
      <c r="B383" s="27"/>
      <c r="C383" s="27"/>
      <c r="D383" s="27"/>
      <c r="E383" s="27"/>
      <c r="F383" s="27"/>
      <c r="G383" s="27"/>
      <c r="H383" s="27"/>
      <c r="I383" s="27"/>
      <c r="J383" s="27"/>
      <c r="K383" s="27">
        <f>Table15[[#This Row],[الايصالات]]+Table15[[#This Row],[النولون]]-Table15[[#This Row],[خصم 3%]]</f>
        <v>0</v>
      </c>
      <c r="L383" s="27"/>
      <c r="M383" s="3">
        <f>M382+Table15[[#This Row],[اجمالي الفاتوره]]-Table15[[#This Row],[الدفعات]]</f>
        <v>229525.46000000008</v>
      </c>
      <c r="N383" s="27"/>
      <c r="O383" s="27"/>
    </row>
    <row r="384" spans="2:15" ht="29.25" customHeight="1" x14ac:dyDescent="0.3">
      <c r="B384" s="27"/>
      <c r="C384" s="27"/>
      <c r="D384" s="27"/>
      <c r="E384" s="27"/>
      <c r="F384" s="27"/>
      <c r="G384" s="27"/>
      <c r="H384" s="27"/>
      <c r="I384" s="27"/>
      <c r="J384" s="27"/>
      <c r="K384" s="27">
        <f>Table15[[#This Row],[الايصالات]]+Table15[[#This Row],[النولون]]-Table15[[#This Row],[خصم 3%]]</f>
        <v>0</v>
      </c>
      <c r="L384" s="27"/>
      <c r="M384" s="3">
        <f>M383+Table15[[#This Row],[اجمالي الفاتوره]]-Table15[[#This Row],[الدفعات]]</f>
        <v>229525.46000000008</v>
      </c>
      <c r="N384" s="27"/>
      <c r="O384" s="27"/>
    </row>
    <row r="385" spans="2:15" ht="29.25" customHeight="1" x14ac:dyDescent="0.3">
      <c r="B385" s="27"/>
      <c r="C385" s="27"/>
      <c r="D385" s="27"/>
      <c r="E385" s="27"/>
      <c r="F385" s="27"/>
      <c r="G385" s="27"/>
      <c r="H385" s="27"/>
      <c r="I385" s="27"/>
      <c r="J385" s="27"/>
      <c r="K385" s="27">
        <f>Table15[[#This Row],[الايصالات]]+Table15[[#This Row],[النولون]]-Table15[[#This Row],[خصم 3%]]</f>
        <v>0</v>
      </c>
      <c r="L385" s="27"/>
      <c r="M385" s="3">
        <f>M384+Table15[[#This Row],[اجمالي الفاتوره]]-Table15[[#This Row],[الدفعات]]</f>
        <v>229525.46000000008</v>
      </c>
      <c r="N385" s="27"/>
      <c r="O385" s="27"/>
    </row>
    <row r="386" spans="2:15" ht="29.25" customHeight="1" x14ac:dyDescent="0.3">
      <c r="B386" s="27"/>
      <c r="C386" s="27"/>
      <c r="D386" s="27"/>
      <c r="E386" s="27"/>
      <c r="F386" s="27"/>
      <c r="G386" s="27"/>
      <c r="H386" s="27"/>
      <c r="I386" s="27"/>
      <c r="J386" s="27"/>
      <c r="K386" s="27">
        <f>Table15[[#This Row],[الايصالات]]+Table15[[#This Row],[النولون]]-Table15[[#This Row],[خصم 3%]]</f>
        <v>0</v>
      </c>
      <c r="L386" s="27"/>
      <c r="M386" s="3">
        <f>M385+Table15[[#This Row],[اجمالي الفاتوره]]-Table15[[#This Row],[الدفعات]]</f>
        <v>229525.46000000008</v>
      </c>
      <c r="N386" s="27"/>
      <c r="O386" s="27"/>
    </row>
    <row r="387" spans="2:15" ht="29.25" customHeight="1" x14ac:dyDescent="0.3">
      <c r="B387" s="27"/>
      <c r="C387" s="27"/>
      <c r="D387" s="27"/>
      <c r="E387" s="27"/>
      <c r="F387" s="27"/>
      <c r="G387" s="27"/>
      <c r="H387" s="27"/>
      <c r="I387" s="27"/>
      <c r="J387" s="27"/>
      <c r="K387" s="27">
        <f>Table15[[#This Row],[الايصالات]]+Table15[[#This Row],[النولون]]-Table15[[#This Row],[خصم 3%]]</f>
        <v>0</v>
      </c>
      <c r="L387" s="27"/>
      <c r="M387" s="3">
        <f>M386+Table15[[#This Row],[اجمالي الفاتوره]]-Table15[[#This Row],[الدفعات]]</f>
        <v>229525.46000000008</v>
      </c>
      <c r="N387" s="27"/>
      <c r="O387" s="27"/>
    </row>
    <row r="388" spans="2:15" ht="29.25" customHeight="1" x14ac:dyDescent="0.3">
      <c r="B388" s="27"/>
      <c r="C388" s="27"/>
      <c r="D388" s="27"/>
      <c r="E388" s="27"/>
      <c r="F388" s="27"/>
      <c r="G388" s="27"/>
      <c r="H388" s="27"/>
      <c r="I388" s="27"/>
      <c r="J388" s="27"/>
      <c r="K388" s="27">
        <f>Table15[[#This Row],[الايصالات]]+Table15[[#This Row],[النولون]]-Table15[[#This Row],[خصم 3%]]</f>
        <v>0</v>
      </c>
      <c r="L388" s="27"/>
      <c r="M388" s="3">
        <f>M387+Table15[[#This Row],[اجمالي الفاتوره]]-Table15[[#This Row],[الدفعات]]</f>
        <v>229525.46000000008</v>
      </c>
      <c r="N388" s="27"/>
      <c r="O388" s="27"/>
    </row>
    <row r="389" spans="2:15" ht="29.25" customHeight="1" x14ac:dyDescent="0.3">
      <c r="B389" s="27"/>
      <c r="C389" s="27"/>
      <c r="D389" s="27"/>
      <c r="E389" s="27"/>
      <c r="F389" s="27"/>
      <c r="G389" s="27"/>
      <c r="H389" s="27"/>
      <c r="I389" s="27"/>
      <c r="J389" s="27"/>
      <c r="K389" s="27">
        <f>Table15[[#This Row],[الايصالات]]+Table15[[#This Row],[النولون]]-Table15[[#This Row],[خصم 3%]]</f>
        <v>0</v>
      </c>
      <c r="L389" s="27"/>
      <c r="M389" s="3">
        <f>M388+Table15[[#This Row],[اجمالي الفاتوره]]-Table15[[#This Row],[الدفعات]]</f>
        <v>229525.46000000008</v>
      </c>
      <c r="N389" s="27"/>
      <c r="O389" s="27"/>
    </row>
    <row r="390" spans="2:15" ht="29.25" customHeight="1" x14ac:dyDescent="0.3">
      <c r="B390" s="27"/>
      <c r="C390" s="27"/>
      <c r="D390" s="27"/>
      <c r="E390" s="27"/>
      <c r="F390" s="27"/>
      <c r="G390" s="27"/>
      <c r="H390" s="27"/>
      <c r="I390" s="27"/>
      <c r="J390" s="27"/>
      <c r="K390" s="27">
        <f>Table15[[#This Row],[الايصالات]]+Table15[[#This Row],[النولون]]-Table15[[#This Row],[خصم 3%]]</f>
        <v>0</v>
      </c>
      <c r="L390" s="27"/>
      <c r="M390" s="3">
        <f>M389+Table15[[#This Row],[اجمالي الفاتوره]]-Table15[[#This Row],[الدفعات]]</f>
        <v>229525.46000000008</v>
      </c>
      <c r="N390" s="27"/>
      <c r="O390" s="27"/>
    </row>
    <row r="391" spans="2:15" ht="29.25" customHeight="1" x14ac:dyDescent="0.3">
      <c r="B391" s="27"/>
      <c r="C391" s="27"/>
      <c r="D391" s="27"/>
      <c r="E391" s="27"/>
      <c r="F391" s="27"/>
      <c r="G391" s="27"/>
      <c r="H391" s="27"/>
      <c r="I391" s="27"/>
      <c r="J391" s="27"/>
      <c r="K391" s="27">
        <f>Table15[[#This Row],[الايصالات]]+Table15[[#This Row],[النولون]]-Table15[[#This Row],[خصم 3%]]</f>
        <v>0</v>
      </c>
      <c r="L391" s="27"/>
      <c r="M391" s="3">
        <f>M390+Table15[[#This Row],[اجمالي الفاتوره]]-Table15[[#This Row],[الدفعات]]</f>
        <v>229525.46000000008</v>
      </c>
      <c r="N391" s="27"/>
      <c r="O391" s="27"/>
    </row>
    <row r="392" spans="2:15" ht="29.25" customHeight="1" x14ac:dyDescent="0.3">
      <c r="B392" s="27"/>
      <c r="C392" s="27"/>
      <c r="D392" s="27"/>
      <c r="E392" s="27"/>
      <c r="F392" s="27"/>
      <c r="G392" s="27"/>
      <c r="H392" s="27"/>
      <c r="I392" s="27"/>
      <c r="J392" s="27"/>
      <c r="K392" s="27">
        <f>Table15[[#This Row],[الايصالات]]+Table15[[#This Row],[النولون]]-Table15[[#This Row],[خصم 3%]]</f>
        <v>0</v>
      </c>
      <c r="L392" s="27"/>
      <c r="M392" s="3">
        <f>M391+Table15[[#This Row],[اجمالي الفاتوره]]-Table15[[#This Row],[الدفعات]]</f>
        <v>229525.46000000008</v>
      </c>
      <c r="N392" s="27"/>
      <c r="O392" s="27"/>
    </row>
    <row r="393" spans="2:15" ht="29.25" customHeight="1" x14ac:dyDescent="0.3">
      <c r="B393" s="27"/>
      <c r="C393" s="27"/>
      <c r="D393" s="27"/>
      <c r="E393" s="27"/>
      <c r="F393" s="27"/>
      <c r="G393" s="27"/>
      <c r="H393" s="27"/>
      <c r="I393" s="27"/>
      <c r="J393" s="27"/>
      <c r="K393" s="27">
        <f>Table15[[#This Row],[الايصالات]]+Table15[[#This Row],[النولون]]-Table15[[#This Row],[خصم 3%]]</f>
        <v>0</v>
      </c>
      <c r="L393" s="27"/>
      <c r="M393" s="3">
        <f>M392+Table15[[#This Row],[اجمالي الفاتوره]]-Table15[[#This Row],[الدفعات]]</f>
        <v>229525.46000000008</v>
      </c>
      <c r="N393" s="27"/>
      <c r="O393" s="27"/>
    </row>
    <row r="394" spans="2:15" ht="29.25" customHeight="1" x14ac:dyDescent="0.3">
      <c r="B394" s="27"/>
      <c r="C394" s="27"/>
      <c r="D394" s="27"/>
      <c r="E394" s="27"/>
      <c r="F394" s="27"/>
      <c r="G394" s="27"/>
      <c r="H394" s="27"/>
      <c r="I394" s="27"/>
      <c r="J394" s="27"/>
      <c r="K394" s="27">
        <f>Table15[[#This Row],[الايصالات]]+Table15[[#This Row],[النولون]]-Table15[[#This Row],[خصم 3%]]</f>
        <v>0</v>
      </c>
      <c r="L394" s="27"/>
      <c r="M394" s="3">
        <f>M393+Table15[[#This Row],[اجمالي الفاتوره]]-Table15[[#This Row],[الدفعات]]</f>
        <v>229525.46000000008</v>
      </c>
      <c r="N394" s="27"/>
      <c r="O394" s="27"/>
    </row>
    <row r="395" spans="2:15" ht="29.25" customHeight="1" x14ac:dyDescent="0.3">
      <c r="B395" s="27"/>
      <c r="C395" s="27"/>
      <c r="D395" s="27"/>
      <c r="E395" s="27"/>
      <c r="F395" s="27"/>
      <c r="G395" s="27"/>
      <c r="H395" s="27"/>
      <c r="I395" s="27"/>
      <c r="J395" s="27"/>
      <c r="K395" s="27">
        <f>Table15[[#This Row],[الايصالات]]+Table15[[#This Row],[النولون]]-Table15[[#This Row],[خصم 3%]]</f>
        <v>0</v>
      </c>
      <c r="L395" s="27"/>
      <c r="M395" s="3">
        <f>M394+Table15[[#This Row],[اجمالي الفاتوره]]-Table15[[#This Row],[الدفعات]]</f>
        <v>229525.46000000008</v>
      </c>
      <c r="N395" s="27"/>
      <c r="O395" s="27"/>
    </row>
    <row r="396" spans="2:15" ht="29.25" customHeight="1" x14ac:dyDescent="0.3">
      <c r="B396" s="27"/>
      <c r="C396" s="27"/>
      <c r="D396" s="27"/>
      <c r="E396" s="27"/>
      <c r="F396" s="27"/>
      <c r="G396" s="27"/>
      <c r="H396" s="27"/>
      <c r="I396" s="27"/>
      <c r="J396" s="27"/>
      <c r="K396" s="27">
        <f>Table15[[#This Row],[الايصالات]]+Table15[[#This Row],[النولون]]-Table15[[#This Row],[خصم 3%]]</f>
        <v>0</v>
      </c>
      <c r="L396" s="27"/>
      <c r="M396" s="3">
        <f>M395+Table15[[#This Row],[اجمالي الفاتوره]]-Table15[[#This Row],[الدفعات]]</f>
        <v>229525.46000000008</v>
      </c>
      <c r="N396" s="27"/>
      <c r="O396" s="27"/>
    </row>
    <row r="397" spans="2:15" ht="29.25" customHeight="1" x14ac:dyDescent="0.3">
      <c r="B397" s="27"/>
      <c r="C397" s="27"/>
      <c r="D397" s="27"/>
      <c r="E397" s="27"/>
      <c r="F397" s="27"/>
      <c r="G397" s="27"/>
      <c r="H397" s="27"/>
      <c r="I397" s="27"/>
      <c r="J397" s="27"/>
      <c r="K397" s="27">
        <f>Table15[[#This Row],[الايصالات]]+Table15[[#This Row],[النولون]]-Table15[[#This Row],[خصم 3%]]</f>
        <v>0</v>
      </c>
      <c r="L397" s="27"/>
      <c r="M397" s="3">
        <f>M396+Table15[[#This Row],[اجمالي الفاتوره]]-Table15[[#This Row],[الدفعات]]</f>
        <v>229525.46000000008</v>
      </c>
      <c r="N397" s="27"/>
      <c r="O397" s="27"/>
    </row>
    <row r="398" spans="2:15" ht="29.25" customHeight="1" x14ac:dyDescent="0.3">
      <c r="B398" s="27"/>
      <c r="C398" s="27"/>
      <c r="D398" s="27"/>
      <c r="E398" s="27"/>
      <c r="F398" s="27"/>
      <c r="G398" s="27"/>
      <c r="H398" s="27"/>
      <c r="I398" s="27"/>
      <c r="J398" s="27"/>
      <c r="K398" s="27">
        <f>Table15[[#This Row],[الايصالات]]+Table15[[#This Row],[النولون]]-Table15[[#This Row],[خصم 3%]]</f>
        <v>0</v>
      </c>
      <c r="L398" s="27"/>
      <c r="M398" s="3">
        <f>M397+Table15[[#This Row],[اجمالي الفاتوره]]-Table15[[#This Row],[الدفعات]]</f>
        <v>229525.46000000008</v>
      </c>
      <c r="N398" s="27"/>
      <c r="O398" s="27"/>
    </row>
    <row r="399" spans="2:15" ht="29.25" customHeight="1" x14ac:dyDescent="0.3">
      <c r="B399" s="27"/>
      <c r="C399" s="27"/>
      <c r="D399" s="27"/>
      <c r="E399" s="27"/>
      <c r="F399" s="27"/>
      <c r="G399" s="27"/>
      <c r="H399" s="27"/>
      <c r="I399" s="27"/>
      <c r="J399" s="27"/>
      <c r="K399" s="27">
        <f>Table15[[#This Row],[الايصالات]]+Table15[[#This Row],[النولون]]-Table15[[#This Row],[خصم 3%]]</f>
        <v>0</v>
      </c>
      <c r="L399" s="27"/>
      <c r="M399" s="3">
        <f>M398+Table15[[#This Row],[اجمالي الفاتوره]]-Table15[[#This Row],[الدفعات]]</f>
        <v>229525.46000000008</v>
      </c>
      <c r="N399" s="27"/>
      <c r="O399" s="27"/>
    </row>
    <row r="400" spans="2:15" ht="29.25" customHeight="1" x14ac:dyDescent="0.3">
      <c r="B400" s="27"/>
      <c r="C400" s="27"/>
      <c r="D400" s="27"/>
      <c r="E400" s="27"/>
      <c r="F400" s="27"/>
      <c r="G400" s="27"/>
      <c r="H400" s="27"/>
      <c r="I400" s="27"/>
      <c r="J400" s="27"/>
      <c r="K400" s="27">
        <f>Table15[[#This Row],[الايصالات]]+Table15[[#This Row],[النولون]]-Table15[[#This Row],[خصم 3%]]</f>
        <v>0</v>
      </c>
      <c r="L400" s="27"/>
      <c r="M400" s="3">
        <f>M399+Table15[[#This Row],[اجمالي الفاتوره]]-Table15[[#This Row],[الدفعات]]</f>
        <v>229525.46000000008</v>
      </c>
      <c r="N400" s="27"/>
      <c r="O400" s="27"/>
    </row>
    <row r="401" spans="2:15" ht="29.25" customHeight="1" x14ac:dyDescent="0.3">
      <c r="B401" s="27"/>
      <c r="C401" s="27"/>
      <c r="D401" s="27"/>
      <c r="E401" s="27"/>
      <c r="F401" s="27"/>
      <c r="G401" s="27"/>
      <c r="H401" s="27"/>
      <c r="I401" s="27"/>
      <c r="J401" s="27"/>
      <c r="K401" s="27">
        <f>Table15[[#This Row],[الايصالات]]+Table15[[#This Row],[النولون]]-Table15[[#This Row],[خصم 3%]]</f>
        <v>0</v>
      </c>
      <c r="L401" s="27"/>
      <c r="M401" s="3">
        <f>M400+Table15[[#This Row],[اجمالي الفاتوره]]-Table15[[#This Row],[الدفعات]]</f>
        <v>229525.46000000008</v>
      </c>
      <c r="N401" s="27"/>
      <c r="O401" s="27"/>
    </row>
    <row r="402" spans="2:15" ht="29.25" customHeight="1" x14ac:dyDescent="0.3">
      <c r="B402" s="27"/>
      <c r="C402" s="27"/>
      <c r="D402" s="27"/>
      <c r="E402" s="27"/>
      <c r="F402" s="27"/>
      <c r="G402" s="27"/>
      <c r="H402" s="27"/>
      <c r="I402" s="27"/>
      <c r="J402" s="27"/>
      <c r="K402" s="27">
        <f>Table15[[#This Row],[الايصالات]]+Table15[[#This Row],[النولون]]-Table15[[#This Row],[خصم 3%]]</f>
        <v>0</v>
      </c>
      <c r="L402" s="27"/>
      <c r="M402" s="3">
        <f>M401+Table15[[#This Row],[اجمالي الفاتوره]]-Table15[[#This Row],[الدفعات]]</f>
        <v>229525.46000000008</v>
      </c>
      <c r="N402" s="27"/>
      <c r="O402" s="27"/>
    </row>
    <row r="403" spans="2:15" ht="29.25" customHeight="1" x14ac:dyDescent="0.3">
      <c r="B403" s="27"/>
      <c r="C403" s="27"/>
      <c r="D403" s="27"/>
      <c r="E403" s="27"/>
      <c r="F403" s="27"/>
      <c r="G403" s="27"/>
      <c r="H403" s="27"/>
      <c r="I403" s="27"/>
      <c r="J403" s="27"/>
      <c r="K403" s="27">
        <f>Table15[[#This Row],[الايصالات]]+Table15[[#This Row],[النولون]]-Table15[[#This Row],[خصم 3%]]</f>
        <v>0</v>
      </c>
      <c r="L403" s="27"/>
      <c r="M403" s="3">
        <f>M402+Table15[[#This Row],[اجمالي الفاتوره]]-Table15[[#This Row],[الدفعات]]</f>
        <v>229525.46000000008</v>
      </c>
      <c r="N403" s="27"/>
      <c r="O403" s="27"/>
    </row>
    <row r="404" spans="2:15" ht="29.25" customHeight="1" x14ac:dyDescent="0.3">
      <c r="B404" s="27"/>
      <c r="C404" s="27"/>
      <c r="D404" s="27"/>
      <c r="E404" s="27"/>
      <c r="F404" s="27"/>
      <c r="G404" s="27"/>
      <c r="H404" s="27"/>
      <c r="I404" s="27"/>
      <c r="J404" s="27"/>
      <c r="K404" s="27">
        <f>Table15[[#This Row],[الايصالات]]+Table15[[#This Row],[النولون]]-Table15[[#This Row],[خصم 3%]]</f>
        <v>0</v>
      </c>
      <c r="L404" s="27"/>
      <c r="M404" s="3">
        <f>M403+Table15[[#This Row],[اجمالي الفاتوره]]-Table15[[#This Row],[الدفعات]]</f>
        <v>229525.46000000008</v>
      </c>
      <c r="N404" s="27"/>
      <c r="O404" s="27"/>
    </row>
    <row r="405" spans="2:15" ht="29.25" customHeight="1" x14ac:dyDescent="0.3">
      <c r="B405" s="27"/>
      <c r="C405" s="27"/>
      <c r="D405" s="27"/>
      <c r="E405" s="27"/>
      <c r="F405" s="27"/>
      <c r="G405" s="27"/>
      <c r="H405" s="27"/>
      <c r="I405" s="27"/>
      <c r="J405" s="27"/>
      <c r="K405" s="27">
        <f>Table15[[#This Row],[الايصالات]]+Table15[[#This Row],[النولون]]-Table15[[#This Row],[خصم 3%]]</f>
        <v>0</v>
      </c>
      <c r="L405" s="27"/>
      <c r="M405" s="3">
        <f>M404+Table15[[#This Row],[اجمالي الفاتوره]]-Table15[[#This Row],[الدفعات]]</f>
        <v>229525.46000000008</v>
      </c>
      <c r="N405" s="27"/>
      <c r="O405" s="27"/>
    </row>
    <row r="406" spans="2:15" ht="29.25" customHeight="1" x14ac:dyDescent="0.3">
      <c r="B406" s="27"/>
      <c r="C406" s="27"/>
      <c r="D406" s="27"/>
      <c r="E406" s="27"/>
      <c r="F406" s="27"/>
      <c r="G406" s="27"/>
      <c r="H406" s="27"/>
      <c r="I406" s="27"/>
      <c r="J406" s="27"/>
      <c r="K406" s="27">
        <f>Table15[[#This Row],[الايصالات]]+Table15[[#This Row],[النولون]]-Table15[[#This Row],[خصم 3%]]</f>
        <v>0</v>
      </c>
      <c r="L406" s="27"/>
      <c r="M406" s="3">
        <f>M405+Table15[[#This Row],[اجمالي الفاتوره]]-Table15[[#This Row],[الدفعات]]</f>
        <v>229525.46000000008</v>
      </c>
      <c r="N406" s="27"/>
      <c r="O406" s="27"/>
    </row>
    <row r="407" spans="2:15" ht="29.25" customHeight="1" x14ac:dyDescent="0.3">
      <c r="B407" s="27"/>
      <c r="C407" s="27"/>
      <c r="D407" s="27"/>
      <c r="E407" s="27"/>
      <c r="F407" s="27"/>
      <c r="G407" s="27"/>
      <c r="H407" s="27"/>
      <c r="I407" s="27"/>
      <c r="J407" s="27"/>
      <c r="K407" s="27">
        <f>Table15[[#This Row],[الايصالات]]+Table15[[#This Row],[النولون]]-Table15[[#This Row],[خصم 3%]]</f>
        <v>0</v>
      </c>
      <c r="L407" s="27"/>
      <c r="M407" s="3">
        <f>M406+Table15[[#This Row],[اجمالي الفاتوره]]-Table15[[#This Row],[الدفعات]]</f>
        <v>229525.46000000008</v>
      </c>
      <c r="N407" s="27"/>
      <c r="O407" s="27"/>
    </row>
    <row r="408" spans="2:15" ht="29.25" customHeight="1" x14ac:dyDescent="0.3">
      <c r="B408" s="27"/>
      <c r="C408" s="27"/>
      <c r="D408" s="27"/>
      <c r="E408" s="27"/>
      <c r="F408" s="27"/>
      <c r="G408" s="27"/>
      <c r="H408" s="27"/>
      <c r="I408" s="27"/>
      <c r="J408" s="27"/>
      <c r="K408" s="27">
        <f>Table15[[#This Row],[الايصالات]]+Table15[[#This Row],[النولون]]-Table15[[#This Row],[خصم 3%]]</f>
        <v>0</v>
      </c>
      <c r="L408" s="27"/>
      <c r="M408" s="3">
        <f>M407+Table15[[#This Row],[اجمالي الفاتوره]]-Table15[[#This Row],[الدفعات]]</f>
        <v>229525.46000000008</v>
      </c>
      <c r="N408" s="27"/>
      <c r="O408" s="27"/>
    </row>
    <row r="409" spans="2:15" ht="29.25" customHeight="1" x14ac:dyDescent="0.3">
      <c r="B409" s="27"/>
      <c r="C409" s="27"/>
      <c r="D409" s="27"/>
      <c r="E409" s="27"/>
      <c r="F409" s="27"/>
      <c r="G409" s="27"/>
      <c r="H409" s="27"/>
      <c r="I409" s="27"/>
      <c r="J409" s="27"/>
      <c r="K409" s="27">
        <f>Table15[[#This Row],[الايصالات]]+Table15[[#This Row],[النولون]]-Table15[[#This Row],[خصم 3%]]</f>
        <v>0</v>
      </c>
      <c r="L409" s="27"/>
      <c r="M409" s="3">
        <f>M408+Table15[[#This Row],[اجمالي الفاتوره]]-Table15[[#This Row],[الدفعات]]</f>
        <v>229525.46000000008</v>
      </c>
      <c r="N409" s="27"/>
      <c r="O409" s="27"/>
    </row>
    <row r="410" spans="2:15" ht="29.25" customHeight="1" x14ac:dyDescent="0.3">
      <c r="B410" s="27"/>
      <c r="C410" s="27"/>
      <c r="D410" s="27"/>
      <c r="E410" s="27"/>
      <c r="F410" s="27"/>
      <c r="G410" s="27"/>
      <c r="H410" s="27"/>
      <c r="I410" s="27"/>
      <c r="J410" s="27"/>
      <c r="K410" s="27">
        <f>Table15[[#This Row],[الايصالات]]+Table15[[#This Row],[النولون]]-Table15[[#This Row],[خصم 3%]]</f>
        <v>0</v>
      </c>
      <c r="L410" s="27"/>
      <c r="M410" s="3">
        <f>M409+Table15[[#This Row],[اجمالي الفاتوره]]-Table15[[#This Row],[الدفعات]]</f>
        <v>229525.46000000008</v>
      </c>
      <c r="N410" s="27"/>
      <c r="O410" s="27"/>
    </row>
    <row r="411" spans="2:15" ht="29.25" customHeight="1" x14ac:dyDescent="0.3">
      <c r="B411" s="27"/>
      <c r="C411" s="27"/>
      <c r="D411" s="27"/>
      <c r="E411" s="27"/>
      <c r="F411" s="27"/>
      <c r="G411" s="27"/>
      <c r="H411" s="27"/>
      <c r="I411" s="27"/>
      <c r="J411" s="27"/>
      <c r="K411" s="27">
        <f>Table15[[#This Row],[الايصالات]]+Table15[[#This Row],[النولون]]-Table15[[#This Row],[خصم 3%]]</f>
        <v>0</v>
      </c>
      <c r="L411" s="27"/>
      <c r="M411" s="3">
        <f>M410+Table15[[#This Row],[اجمالي الفاتوره]]-Table15[[#This Row],[الدفعات]]</f>
        <v>229525.46000000008</v>
      </c>
      <c r="N411" s="27"/>
      <c r="O411" s="27"/>
    </row>
    <row r="412" spans="2:15" ht="29.25" customHeight="1" x14ac:dyDescent="0.3">
      <c r="B412" s="27"/>
      <c r="C412" s="27"/>
      <c r="D412" s="27"/>
      <c r="E412" s="27"/>
      <c r="F412" s="27"/>
      <c r="G412" s="27"/>
      <c r="H412" s="27"/>
      <c r="I412" s="27"/>
      <c r="J412" s="27"/>
      <c r="K412" s="27">
        <f>Table15[[#This Row],[الايصالات]]+Table15[[#This Row],[النولون]]-Table15[[#This Row],[خصم 3%]]</f>
        <v>0</v>
      </c>
      <c r="L412" s="27"/>
      <c r="M412" s="3">
        <f>M411+Table15[[#This Row],[اجمالي الفاتوره]]-Table15[[#This Row],[الدفعات]]</f>
        <v>229525.46000000008</v>
      </c>
      <c r="N412" s="27"/>
      <c r="O412" s="27"/>
    </row>
    <row r="413" spans="2:15" ht="29.25" customHeight="1" x14ac:dyDescent="0.3">
      <c r="B413" s="27"/>
      <c r="C413" s="27"/>
      <c r="D413" s="27"/>
      <c r="E413" s="27"/>
      <c r="F413" s="27"/>
      <c r="G413" s="27"/>
      <c r="H413" s="27"/>
      <c r="I413" s="27"/>
      <c r="J413" s="27"/>
      <c r="K413" s="27">
        <f>Table15[[#This Row],[الايصالات]]+Table15[[#This Row],[النولون]]-Table15[[#This Row],[خصم 3%]]</f>
        <v>0</v>
      </c>
      <c r="L413" s="27"/>
      <c r="M413" s="3">
        <f>M412+Table15[[#This Row],[اجمالي الفاتوره]]-Table15[[#This Row],[الدفعات]]</f>
        <v>229525.46000000008</v>
      </c>
      <c r="N413" s="27"/>
      <c r="O413" s="27"/>
    </row>
    <row r="414" spans="2:15" ht="29.25" customHeight="1" x14ac:dyDescent="0.3">
      <c r="B414" s="27"/>
      <c r="C414" s="27"/>
      <c r="D414" s="27"/>
      <c r="E414" s="27"/>
      <c r="F414" s="27"/>
      <c r="G414" s="27"/>
      <c r="H414" s="27"/>
      <c r="I414" s="27"/>
      <c r="J414" s="27"/>
      <c r="K414" s="27">
        <f>Table15[[#This Row],[الايصالات]]+Table15[[#This Row],[النولون]]-Table15[[#This Row],[خصم 3%]]</f>
        <v>0</v>
      </c>
      <c r="L414" s="27"/>
      <c r="M414" s="3">
        <f>M413+Table15[[#This Row],[اجمالي الفاتوره]]-Table15[[#This Row],[الدفعات]]</f>
        <v>229525.46000000008</v>
      </c>
      <c r="N414" s="27"/>
      <c r="O414" s="27"/>
    </row>
    <row r="415" spans="2:15" ht="29.25" customHeight="1" x14ac:dyDescent="0.3">
      <c r="B415" s="27"/>
      <c r="C415" s="27"/>
      <c r="D415" s="27"/>
      <c r="E415" s="27"/>
      <c r="F415" s="27"/>
      <c r="G415" s="27"/>
      <c r="H415" s="27"/>
      <c r="I415" s="27"/>
      <c r="J415" s="27"/>
      <c r="K415" s="27">
        <f>Table15[[#This Row],[الايصالات]]+Table15[[#This Row],[النولون]]-Table15[[#This Row],[خصم 3%]]</f>
        <v>0</v>
      </c>
      <c r="L415" s="27"/>
      <c r="M415" s="3">
        <f>M414+Table15[[#This Row],[اجمالي الفاتوره]]-Table15[[#This Row],[الدفعات]]</f>
        <v>229525.46000000008</v>
      </c>
      <c r="N415" s="27"/>
      <c r="O415" s="27"/>
    </row>
    <row r="416" spans="2:15" ht="29.25" customHeight="1" x14ac:dyDescent="0.3">
      <c r="B416" s="27"/>
      <c r="C416" s="27"/>
      <c r="D416" s="27"/>
      <c r="E416" s="27"/>
      <c r="F416" s="27"/>
      <c r="G416" s="27"/>
      <c r="H416" s="27"/>
      <c r="I416" s="27"/>
      <c r="J416" s="27"/>
      <c r="K416" s="27">
        <f>Table15[[#This Row],[الايصالات]]+Table15[[#This Row],[النولون]]-Table15[[#This Row],[خصم 3%]]</f>
        <v>0</v>
      </c>
      <c r="L416" s="27"/>
      <c r="M416" s="3">
        <f>M415+Table15[[#This Row],[اجمالي الفاتوره]]-Table15[[#This Row],[الدفعات]]</f>
        <v>229525.46000000008</v>
      </c>
      <c r="N416" s="27"/>
      <c r="O416" s="27"/>
    </row>
    <row r="417" spans="2:15" ht="29.25" customHeight="1" x14ac:dyDescent="0.3">
      <c r="B417" s="27"/>
      <c r="C417" s="27"/>
      <c r="D417" s="27"/>
      <c r="E417" s="27"/>
      <c r="F417" s="27"/>
      <c r="G417" s="27"/>
      <c r="H417" s="27"/>
      <c r="I417" s="27"/>
      <c r="J417" s="27"/>
      <c r="K417" s="27">
        <f>Table15[[#This Row],[الايصالات]]+Table15[[#This Row],[النولون]]-Table15[[#This Row],[خصم 3%]]</f>
        <v>0</v>
      </c>
      <c r="L417" s="27"/>
      <c r="M417" s="3">
        <f>M416+Table15[[#This Row],[اجمالي الفاتوره]]-Table15[[#This Row],[الدفعات]]</f>
        <v>229525.46000000008</v>
      </c>
      <c r="N417" s="27"/>
      <c r="O417" s="27"/>
    </row>
    <row r="418" spans="2:15" ht="29.25" customHeight="1" x14ac:dyDescent="0.3">
      <c r="B418" s="27"/>
      <c r="C418" s="27"/>
      <c r="D418" s="27"/>
      <c r="E418" s="27"/>
      <c r="F418" s="27"/>
      <c r="G418" s="27"/>
      <c r="H418" s="27"/>
      <c r="I418" s="27"/>
      <c r="J418" s="27"/>
      <c r="K418" s="27">
        <f>Table15[[#This Row],[الايصالات]]+Table15[[#This Row],[النولون]]-Table15[[#This Row],[خصم 3%]]</f>
        <v>0</v>
      </c>
      <c r="L418" s="27"/>
      <c r="M418" s="3">
        <f>M417+Table15[[#This Row],[اجمالي الفاتوره]]-Table15[[#This Row],[الدفعات]]</f>
        <v>229525.46000000008</v>
      </c>
      <c r="N418" s="27"/>
      <c r="O418" s="27"/>
    </row>
    <row r="419" spans="2:15" ht="29.25" customHeight="1" x14ac:dyDescent="0.3">
      <c r="B419" s="27"/>
      <c r="C419" s="27"/>
      <c r="D419" s="27"/>
      <c r="E419" s="27"/>
      <c r="F419" s="27"/>
      <c r="G419" s="27"/>
      <c r="H419" s="27"/>
      <c r="I419" s="27"/>
      <c r="J419" s="27"/>
      <c r="K419" s="27">
        <f>Table15[[#This Row],[الايصالات]]+Table15[[#This Row],[النولون]]-Table15[[#This Row],[خصم 3%]]</f>
        <v>0</v>
      </c>
      <c r="L419" s="27"/>
      <c r="M419" s="3">
        <f>M418+Table15[[#This Row],[اجمالي الفاتوره]]-Table15[[#This Row],[الدفعات]]</f>
        <v>229525.46000000008</v>
      </c>
      <c r="N419" s="27"/>
      <c r="O419" s="27"/>
    </row>
    <row r="420" spans="2:15" ht="29.25" customHeight="1" x14ac:dyDescent="0.3">
      <c r="B420" s="27"/>
      <c r="C420" s="27"/>
      <c r="D420" s="27"/>
      <c r="E420" s="27"/>
      <c r="F420" s="27"/>
      <c r="G420" s="27"/>
      <c r="H420" s="27"/>
      <c r="I420" s="27"/>
      <c r="J420" s="27"/>
      <c r="K420" s="27">
        <f>Table15[[#This Row],[الايصالات]]+Table15[[#This Row],[النولون]]-Table15[[#This Row],[خصم 3%]]</f>
        <v>0</v>
      </c>
      <c r="L420" s="27"/>
      <c r="M420" s="3">
        <f>M419+Table15[[#This Row],[اجمالي الفاتوره]]-Table15[[#This Row],[الدفعات]]</f>
        <v>229525.46000000008</v>
      </c>
      <c r="N420" s="27"/>
      <c r="O420" s="27"/>
    </row>
    <row r="421" spans="2:15" ht="29.25" customHeight="1" x14ac:dyDescent="0.3">
      <c r="B421" s="27"/>
      <c r="C421" s="27"/>
      <c r="D421" s="27"/>
      <c r="E421" s="27"/>
      <c r="F421" s="27"/>
      <c r="G421" s="27"/>
      <c r="H421" s="27"/>
      <c r="I421" s="27"/>
      <c r="J421" s="27"/>
      <c r="K421" s="27">
        <f>Table15[[#This Row],[الايصالات]]+Table15[[#This Row],[النولون]]-Table15[[#This Row],[خصم 3%]]</f>
        <v>0</v>
      </c>
      <c r="L421" s="27"/>
      <c r="M421" s="3">
        <f>M420+Table15[[#This Row],[اجمالي الفاتوره]]-Table15[[#This Row],[الدفعات]]</f>
        <v>229525.46000000008</v>
      </c>
      <c r="N421" s="27"/>
      <c r="O421" s="27"/>
    </row>
    <row r="422" spans="2:15" ht="29.25" customHeight="1" x14ac:dyDescent="0.3">
      <c r="B422" s="27"/>
      <c r="C422" s="27"/>
      <c r="D422" s="27"/>
      <c r="E422" s="27"/>
      <c r="F422" s="27"/>
      <c r="G422" s="27"/>
      <c r="H422" s="27"/>
      <c r="I422" s="27"/>
      <c r="J422" s="27"/>
      <c r="K422" s="27">
        <f>Table15[[#This Row],[الايصالات]]+Table15[[#This Row],[النولون]]-Table15[[#This Row],[خصم 3%]]</f>
        <v>0</v>
      </c>
      <c r="L422" s="27"/>
      <c r="M422" s="3">
        <f>M421+Table15[[#This Row],[اجمالي الفاتوره]]-Table15[[#This Row],[الدفعات]]</f>
        <v>229525.46000000008</v>
      </c>
      <c r="N422" s="27"/>
      <c r="O422" s="27"/>
    </row>
    <row r="423" spans="2:15" ht="29.25" customHeight="1" x14ac:dyDescent="0.3">
      <c r="B423" s="27"/>
      <c r="C423" s="27"/>
      <c r="D423" s="27"/>
      <c r="E423" s="27"/>
      <c r="F423" s="27"/>
      <c r="G423" s="27"/>
      <c r="H423" s="27"/>
      <c r="I423" s="27"/>
      <c r="J423" s="27"/>
      <c r="K423" s="27">
        <f>Table15[[#This Row],[الايصالات]]+Table15[[#This Row],[النولون]]-Table15[[#This Row],[خصم 3%]]</f>
        <v>0</v>
      </c>
      <c r="L423" s="27"/>
      <c r="M423" s="3">
        <f>M422+Table15[[#This Row],[اجمالي الفاتوره]]-Table15[[#This Row],[الدفعات]]</f>
        <v>229525.46000000008</v>
      </c>
      <c r="N423" s="27"/>
      <c r="O423" s="27"/>
    </row>
    <row r="424" spans="2:15" ht="29.25" customHeight="1" x14ac:dyDescent="0.3">
      <c r="B424" s="27"/>
      <c r="C424" s="27"/>
      <c r="D424" s="27"/>
      <c r="E424" s="27"/>
      <c r="F424" s="27"/>
      <c r="G424" s="27"/>
      <c r="H424" s="27"/>
      <c r="I424" s="27"/>
      <c r="J424" s="27"/>
      <c r="K424" s="27">
        <f>Table15[[#This Row],[الايصالات]]+Table15[[#This Row],[النولون]]-Table15[[#This Row],[خصم 3%]]</f>
        <v>0</v>
      </c>
      <c r="L424" s="27"/>
      <c r="M424" s="3">
        <f>M423+Table15[[#This Row],[اجمالي الفاتوره]]-Table15[[#This Row],[الدفعات]]</f>
        <v>229525.46000000008</v>
      </c>
      <c r="N424" s="27"/>
      <c r="O424" s="27"/>
    </row>
    <row r="425" spans="2:15" ht="29.25" customHeight="1" x14ac:dyDescent="0.3">
      <c r="B425" s="27"/>
      <c r="C425" s="27"/>
      <c r="D425" s="27"/>
      <c r="E425" s="27"/>
      <c r="F425" s="27"/>
      <c r="G425" s="27"/>
      <c r="H425" s="27"/>
      <c r="I425" s="27"/>
      <c r="J425" s="27"/>
      <c r="K425" s="27">
        <f>Table15[[#This Row],[الايصالات]]+Table15[[#This Row],[النولون]]-Table15[[#This Row],[خصم 3%]]</f>
        <v>0</v>
      </c>
      <c r="L425" s="27"/>
      <c r="M425" s="3">
        <f>M424+Table15[[#This Row],[اجمالي الفاتوره]]-Table15[[#This Row],[الدفعات]]</f>
        <v>229525.46000000008</v>
      </c>
      <c r="N425" s="27"/>
      <c r="O425" s="27"/>
    </row>
    <row r="426" spans="2:15" ht="29.25" customHeight="1" x14ac:dyDescent="0.3">
      <c r="B426" s="27"/>
      <c r="C426" s="27"/>
      <c r="D426" s="27"/>
      <c r="E426" s="27"/>
      <c r="F426" s="27"/>
      <c r="G426" s="27"/>
      <c r="H426" s="27"/>
      <c r="I426" s="27"/>
      <c r="J426" s="27"/>
      <c r="K426" s="27">
        <f>Table15[[#This Row],[الايصالات]]+Table15[[#This Row],[النولون]]-Table15[[#This Row],[خصم 3%]]</f>
        <v>0</v>
      </c>
      <c r="L426" s="27"/>
      <c r="M426" s="3">
        <f>M425+Table15[[#This Row],[اجمالي الفاتوره]]-Table15[[#This Row],[الدفعات]]</f>
        <v>229525.46000000008</v>
      </c>
      <c r="N426" s="27"/>
      <c r="O426" s="27"/>
    </row>
    <row r="427" spans="2:15" ht="29.25" customHeight="1" x14ac:dyDescent="0.3">
      <c r="B427" s="27"/>
      <c r="C427" s="27"/>
      <c r="D427" s="27"/>
      <c r="E427" s="27"/>
      <c r="F427" s="27"/>
      <c r="G427" s="27"/>
      <c r="H427" s="27"/>
      <c r="I427" s="27"/>
      <c r="J427" s="27"/>
      <c r="K427" s="27">
        <f>Table15[[#This Row],[الايصالات]]+Table15[[#This Row],[النولون]]-Table15[[#This Row],[خصم 3%]]</f>
        <v>0</v>
      </c>
      <c r="L427" s="27"/>
      <c r="M427" s="3">
        <f>M426+Table15[[#This Row],[اجمالي الفاتوره]]-Table15[[#This Row],[الدفعات]]</f>
        <v>229525.46000000008</v>
      </c>
      <c r="N427" s="27"/>
      <c r="O427" s="27"/>
    </row>
    <row r="428" spans="2:15" ht="29.25" customHeight="1" x14ac:dyDescent="0.3">
      <c r="B428" s="27"/>
      <c r="C428" s="27"/>
      <c r="D428" s="27"/>
      <c r="E428" s="27"/>
      <c r="F428" s="27"/>
      <c r="G428" s="27"/>
      <c r="H428" s="27"/>
      <c r="I428" s="27"/>
      <c r="J428" s="27"/>
      <c r="K428" s="27">
        <f>Table15[[#This Row],[الايصالات]]+Table15[[#This Row],[النولون]]-Table15[[#This Row],[خصم 3%]]</f>
        <v>0</v>
      </c>
      <c r="L428" s="27"/>
      <c r="M428" s="3">
        <f>M427+Table15[[#This Row],[اجمالي الفاتوره]]-Table15[[#This Row],[الدفعات]]</f>
        <v>229525.46000000008</v>
      </c>
      <c r="N428" s="27"/>
      <c r="O428" s="27"/>
    </row>
    <row r="429" spans="2:15" ht="29.25" customHeight="1" x14ac:dyDescent="0.3">
      <c r="B429" s="27"/>
      <c r="C429" s="27"/>
      <c r="D429" s="27"/>
      <c r="E429" s="27"/>
      <c r="F429" s="27"/>
      <c r="G429" s="27"/>
      <c r="H429" s="27"/>
      <c r="I429" s="27"/>
      <c r="J429" s="27"/>
      <c r="K429" s="27">
        <f>Table15[[#This Row],[الايصالات]]+Table15[[#This Row],[النولون]]-Table15[[#This Row],[خصم 3%]]</f>
        <v>0</v>
      </c>
      <c r="L429" s="27"/>
      <c r="M429" s="3">
        <f>M428+Table15[[#This Row],[اجمالي الفاتوره]]-Table15[[#This Row],[الدفعات]]</f>
        <v>229525.46000000008</v>
      </c>
      <c r="N429" s="27"/>
      <c r="O429" s="27"/>
    </row>
    <row r="430" spans="2:15" ht="29.25" customHeight="1" x14ac:dyDescent="0.3">
      <c r="B430" s="27"/>
      <c r="C430" s="27"/>
      <c r="D430" s="27"/>
      <c r="E430" s="27"/>
      <c r="F430" s="27"/>
      <c r="G430" s="27"/>
      <c r="H430" s="27"/>
      <c r="I430" s="27"/>
      <c r="J430" s="27"/>
      <c r="K430" s="27">
        <f>Table15[[#This Row],[الايصالات]]+Table15[[#This Row],[النولون]]-Table15[[#This Row],[خصم 3%]]</f>
        <v>0</v>
      </c>
      <c r="L430" s="27"/>
      <c r="M430" s="3">
        <f>M429+Table15[[#This Row],[اجمالي الفاتوره]]-Table15[[#This Row],[الدفعات]]</f>
        <v>229525.46000000008</v>
      </c>
      <c r="N430" s="27"/>
      <c r="O430" s="27"/>
    </row>
    <row r="431" spans="2:15" ht="29.25" customHeight="1" x14ac:dyDescent="0.3">
      <c r="B431" s="27"/>
      <c r="C431" s="27"/>
      <c r="D431" s="27"/>
      <c r="E431" s="27"/>
      <c r="F431" s="27"/>
      <c r="G431" s="27"/>
      <c r="H431" s="27"/>
      <c r="I431" s="27"/>
      <c r="J431" s="27"/>
      <c r="K431" s="27">
        <f>Table15[[#This Row],[الايصالات]]+Table15[[#This Row],[النولون]]-Table15[[#This Row],[خصم 3%]]</f>
        <v>0</v>
      </c>
      <c r="L431" s="27"/>
      <c r="M431" s="3">
        <f>M430+Table15[[#This Row],[اجمالي الفاتوره]]-Table15[[#This Row],[الدفعات]]</f>
        <v>229525.46000000008</v>
      </c>
      <c r="N431" s="27"/>
      <c r="O431" s="27"/>
    </row>
    <row r="432" spans="2:15" ht="29.25" customHeight="1" x14ac:dyDescent="0.3">
      <c r="B432" s="27"/>
      <c r="C432" s="27"/>
      <c r="D432" s="27"/>
      <c r="E432" s="27"/>
      <c r="F432" s="27"/>
      <c r="G432" s="27"/>
      <c r="H432" s="27"/>
      <c r="I432" s="27"/>
      <c r="J432" s="27"/>
      <c r="K432" s="27">
        <f>Table15[[#This Row],[الايصالات]]+Table15[[#This Row],[النولون]]-Table15[[#This Row],[خصم 3%]]</f>
        <v>0</v>
      </c>
      <c r="L432" s="27"/>
      <c r="M432" s="3">
        <f>M431+Table15[[#This Row],[اجمالي الفاتوره]]-Table15[[#This Row],[الدفعات]]</f>
        <v>229525.46000000008</v>
      </c>
      <c r="N432" s="27"/>
      <c r="O432" s="27"/>
    </row>
    <row r="433" spans="2:15" ht="29.25" customHeight="1" x14ac:dyDescent="0.3">
      <c r="B433" s="27"/>
      <c r="C433" s="27"/>
      <c r="D433" s="27"/>
      <c r="E433" s="27"/>
      <c r="F433" s="27"/>
      <c r="G433" s="27"/>
      <c r="H433" s="27"/>
      <c r="I433" s="27"/>
      <c r="J433" s="27"/>
      <c r="K433" s="27">
        <f>Table15[[#This Row],[الايصالات]]+Table15[[#This Row],[النولون]]-Table15[[#This Row],[خصم 3%]]</f>
        <v>0</v>
      </c>
      <c r="L433" s="27"/>
      <c r="M433" s="3">
        <f>M432+Table15[[#This Row],[اجمالي الفاتوره]]-Table15[[#This Row],[الدفعات]]</f>
        <v>229525.46000000008</v>
      </c>
      <c r="N433" s="27"/>
      <c r="O433" s="27"/>
    </row>
    <row r="434" spans="2:15" ht="29.25" customHeight="1" x14ac:dyDescent="0.3">
      <c r="B434" s="27"/>
      <c r="C434" s="27"/>
      <c r="D434" s="27"/>
      <c r="E434" s="27"/>
      <c r="F434" s="27"/>
      <c r="G434" s="27"/>
      <c r="H434" s="27"/>
      <c r="I434" s="27"/>
      <c r="J434" s="27"/>
      <c r="K434" s="27">
        <f>Table15[[#This Row],[الايصالات]]+Table15[[#This Row],[النولون]]-Table15[[#This Row],[خصم 3%]]</f>
        <v>0</v>
      </c>
      <c r="L434" s="27"/>
      <c r="M434" s="3">
        <f>M433+Table15[[#This Row],[اجمالي الفاتوره]]-Table15[[#This Row],[الدفعات]]</f>
        <v>229525.46000000008</v>
      </c>
      <c r="N434" s="27"/>
      <c r="O434" s="27"/>
    </row>
    <row r="435" spans="2:15" ht="29.25" customHeight="1" x14ac:dyDescent="0.3">
      <c r="B435" s="27"/>
      <c r="C435" s="27"/>
      <c r="D435" s="27"/>
      <c r="E435" s="27"/>
      <c r="F435" s="27"/>
      <c r="G435" s="27"/>
      <c r="H435" s="27"/>
      <c r="I435" s="27"/>
      <c r="J435" s="27"/>
      <c r="K435" s="27">
        <f>Table15[[#This Row],[الايصالات]]+Table15[[#This Row],[النولون]]-Table15[[#This Row],[خصم 3%]]</f>
        <v>0</v>
      </c>
      <c r="L435" s="27"/>
      <c r="M435" s="3">
        <f>M434+Table15[[#This Row],[اجمالي الفاتوره]]-Table15[[#This Row],[الدفعات]]</f>
        <v>229525.46000000008</v>
      </c>
      <c r="N435" s="27"/>
      <c r="O435" s="27"/>
    </row>
    <row r="436" spans="2:15" ht="29.25" customHeight="1" x14ac:dyDescent="0.3">
      <c r="B436" s="27"/>
      <c r="C436" s="27"/>
      <c r="D436" s="27"/>
      <c r="E436" s="27"/>
      <c r="F436" s="27"/>
      <c r="G436" s="27"/>
      <c r="H436" s="27"/>
      <c r="I436" s="27"/>
      <c r="J436" s="27"/>
      <c r="K436" s="27">
        <f>Table15[[#This Row],[الايصالات]]+Table15[[#This Row],[النولون]]-Table15[[#This Row],[خصم 3%]]</f>
        <v>0</v>
      </c>
      <c r="L436" s="27"/>
      <c r="M436" s="3">
        <f>M435+Table15[[#This Row],[اجمالي الفاتوره]]-Table15[[#This Row],[الدفعات]]</f>
        <v>229525.46000000008</v>
      </c>
      <c r="N436" s="27"/>
      <c r="O436" s="27"/>
    </row>
    <row r="437" spans="2:15" ht="29.25" customHeight="1" x14ac:dyDescent="0.3">
      <c r="B437" s="27"/>
      <c r="C437" s="27"/>
      <c r="D437" s="27"/>
      <c r="E437" s="27"/>
      <c r="F437" s="27"/>
      <c r="G437" s="27"/>
      <c r="H437" s="27"/>
      <c r="I437" s="27"/>
      <c r="J437" s="27"/>
      <c r="K437" s="27">
        <f>Table15[[#This Row],[الايصالات]]+Table15[[#This Row],[النولون]]-Table15[[#This Row],[خصم 3%]]</f>
        <v>0</v>
      </c>
      <c r="L437" s="27"/>
      <c r="M437" s="3">
        <f>M436+Table15[[#This Row],[اجمالي الفاتوره]]-Table15[[#This Row],[الدفعات]]</f>
        <v>229525.46000000008</v>
      </c>
      <c r="N437" s="27"/>
      <c r="O437" s="27"/>
    </row>
    <row r="438" spans="2:15" ht="29.25" customHeight="1" x14ac:dyDescent="0.3">
      <c r="B438" s="27"/>
      <c r="C438" s="27"/>
      <c r="D438" s="27"/>
      <c r="E438" s="27"/>
      <c r="F438" s="27"/>
      <c r="G438" s="27"/>
      <c r="H438" s="27"/>
      <c r="I438" s="27"/>
      <c r="J438" s="27"/>
      <c r="K438" s="27">
        <f>Table15[[#This Row],[الايصالات]]+Table15[[#This Row],[النولون]]-Table15[[#This Row],[خصم 3%]]</f>
        <v>0</v>
      </c>
      <c r="L438" s="27"/>
      <c r="M438" s="3">
        <f>M437+Table15[[#This Row],[اجمالي الفاتوره]]-Table15[[#This Row],[الدفعات]]</f>
        <v>229525.46000000008</v>
      </c>
      <c r="N438" s="27"/>
      <c r="O438" s="27"/>
    </row>
    <row r="439" spans="2:15" ht="29.25" customHeight="1" x14ac:dyDescent="0.3">
      <c r="B439" s="27"/>
      <c r="C439" s="27"/>
      <c r="D439" s="27"/>
      <c r="E439" s="27"/>
      <c r="F439" s="27"/>
      <c r="G439" s="27"/>
      <c r="H439" s="27"/>
      <c r="I439" s="27"/>
      <c r="J439" s="27"/>
      <c r="K439" s="27">
        <f>Table15[[#This Row],[الايصالات]]+Table15[[#This Row],[النولون]]-Table15[[#This Row],[خصم 3%]]</f>
        <v>0</v>
      </c>
      <c r="L439" s="27"/>
      <c r="M439" s="3">
        <f>M438+Table15[[#This Row],[اجمالي الفاتوره]]-Table15[[#This Row],[الدفعات]]</f>
        <v>229525.46000000008</v>
      </c>
      <c r="N439" s="27"/>
      <c r="O439" s="27"/>
    </row>
    <row r="440" spans="2:15" ht="29.25" customHeight="1" x14ac:dyDescent="0.3">
      <c r="B440" s="27"/>
      <c r="C440" s="27"/>
      <c r="D440" s="27"/>
      <c r="E440" s="27"/>
      <c r="F440" s="27"/>
      <c r="G440" s="27"/>
      <c r="H440" s="27"/>
      <c r="I440" s="27"/>
      <c r="J440" s="27"/>
      <c r="K440" s="27">
        <f>Table15[[#This Row],[الايصالات]]+Table15[[#This Row],[النولون]]-Table15[[#This Row],[خصم 3%]]</f>
        <v>0</v>
      </c>
      <c r="L440" s="27"/>
      <c r="M440" s="3">
        <f>M439+Table15[[#This Row],[اجمالي الفاتوره]]-Table15[[#This Row],[الدفعات]]</f>
        <v>229525.46000000008</v>
      </c>
      <c r="N440" s="27"/>
      <c r="O440" s="27"/>
    </row>
    <row r="441" spans="2:15" ht="29.25" customHeight="1" x14ac:dyDescent="0.3">
      <c r="B441" s="27"/>
      <c r="C441" s="27"/>
      <c r="D441" s="27"/>
      <c r="E441" s="27"/>
      <c r="F441" s="27"/>
      <c r="G441" s="27"/>
      <c r="H441" s="27"/>
      <c r="I441" s="27"/>
      <c r="J441" s="27"/>
      <c r="K441" s="27">
        <f>Table15[[#This Row],[الايصالات]]+Table15[[#This Row],[النولون]]-Table15[[#This Row],[خصم 3%]]</f>
        <v>0</v>
      </c>
      <c r="L441" s="27"/>
      <c r="M441" s="3">
        <f>M440+Table15[[#This Row],[اجمالي الفاتوره]]-Table15[[#This Row],[الدفعات]]</f>
        <v>229525.46000000008</v>
      </c>
      <c r="N441" s="27"/>
      <c r="O441" s="27"/>
    </row>
    <row r="442" spans="2:15" ht="29.25" customHeight="1" x14ac:dyDescent="0.3">
      <c r="B442" s="27"/>
      <c r="C442" s="27"/>
      <c r="D442" s="27"/>
      <c r="E442" s="27"/>
      <c r="F442" s="27"/>
      <c r="G442" s="27"/>
      <c r="H442" s="27"/>
      <c r="I442" s="27"/>
      <c r="J442" s="27"/>
      <c r="K442" s="27">
        <f>Table15[[#This Row],[الايصالات]]+Table15[[#This Row],[النولون]]-Table15[[#This Row],[خصم 3%]]</f>
        <v>0</v>
      </c>
      <c r="L442" s="27"/>
      <c r="M442" s="3">
        <f>M441+Table15[[#This Row],[اجمالي الفاتوره]]-Table15[[#This Row],[الدفعات]]</f>
        <v>229525.46000000008</v>
      </c>
      <c r="N442" s="27"/>
      <c r="O442" s="27"/>
    </row>
    <row r="443" spans="2:15" ht="29.25" customHeight="1" x14ac:dyDescent="0.3">
      <c r="B443" s="27"/>
      <c r="C443" s="27"/>
      <c r="D443" s="27"/>
      <c r="E443" s="27"/>
      <c r="F443" s="27"/>
      <c r="G443" s="27"/>
      <c r="H443" s="27"/>
      <c r="I443" s="27"/>
      <c r="J443" s="27"/>
      <c r="K443" s="27">
        <f>Table15[[#This Row],[الايصالات]]+Table15[[#This Row],[النولون]]-Table15[[#This Row],[خصم 3%]]</f>
        <v>0</v>
      </c>
      <c r="L443" s="27"/>
      <c r="M443" s="3">
        <f>M442+Table15[[#This Row],[اجمالي الفاتوره]]-Table15[[#This Row],[الدفعات]]</f>
        <v>229525.46000000008</v>
      </c>
      <c r="N443" s="27"/>
      <c r="O443" s="27"/>
    </row>
    <row r="444" spans="2:15" ht="29.25" customHeight="1" x14ac:dyDescent="0.3">
      <c r="B444" s="27"/>
      <c r="C444" s="27"/>
      <c r="D444" s="27"/>
      <c r="E444" s="27"/>
      <c r="F444" s="27"/>
      <c r="G444" s="27"/>
      <c r="H444" s="27"/>
      <c r="I444" s="27"/>
      <c r="J444" s="27"/>
      <c r="K444" s="27">
        <f>Table15[[#This Row],[الايصالات]]+Table15[[#This Row],[النولون]]-Table15[[#This Row],[خصم 3%]]</f>
        <v>0</v>
      </c>
      <c r="L444" s="27"/>
      <c r="M444" s="3">
        <f>M443+Table15[[#This Row],[اجمالي الفاتوره]]-Table15[[#This Row],[الدفعات]]</f>
        <v>229525.46000000008</v>
      </c>
      <c r="N444" s="27"/>
      <c r="O444" s="27"/>
    </row>
    <row r="445" spans="2:15" ht="29.25" customHeight="1" x14ac:dyDescent="0.3">
      <c r="B445" s="27"/>
      <c r="C445" s="27"/>
      <c r="D445" s="27"/>
      <c r="E445" s="27"/>
      <c r="F445" s="27"/>
      <c r="G445" s="27"/>
      <c r="H445" s="27"/>
      <c r="I445" s="27"/>
      <c r="J445" s="27"/>
      <c r="K445" s="27">
        <f>Table15[[#This Row],[الايصالات]]+Table15[[#This Row],[النولون]]-Table15[[#This Row],[خصم 3%]]</f>
        <v>0</v>
      </c>
      <c r="L445" s="27"/>
      <c r="M445" s="3">
        <f>M444+Table15[[#This Row],[اجمالي الفاتوره]]-Table15[[#This Row],[الدفعات]]</f>
        <v>229525.46000000008</v>
      </c>
      <c r="N445" s="27"/>
      <c r="O445" s="27"/>
    </row>
    <row r="446" spans="2:15" ht="29.25" customHeight="1" x14ac:dyDescent="0.3">
      <c r="B446" s="27"/>
      <c r="C446" s="27"/>
      <c r="D446" s="27"/>
      <c r="E446" s="27"/>
      <c r="F446" s="27"/>
      <c r="G446" s="27"/>
      <c r="H446" s="27"/>
      <c r="I446" s="27"/>
      <c r="J446" s="27"/>
      <c r="K446" s="27">
        <f>Table15[[#This Row],[الايصالات]]+Table15[[#This Row],[النولون]]-Table15[[#This Row],[خصم 3%]]</f>
        <v>0</v>
      </c>
      <c r="L446" s="27"/>
      <c r="M446" s="3">
        <f>M445+Table15[[#This Row],[اجمالي الفاتوره]]-Table15[[#This Row],[الدفعات]]</f>
        <v>229525.46000000008</v>
      </c>
      <c r="N446" s="27"/>
      <c r="O446" s="27"/>
    </row>
    <row r="447" spans="2:15" ht="29.25" customHeight="1" x14ac:dyDescent="0.3">
      <c r="B447" s="27"/>
      <c r="C447" s="27"/>
      <c r="D447" s="27"/>
      <c r="E447" s="27"/>
      <c r="F447" s="27"/>
      <c r="G447" s="27"/>
      <c r="H447" s="27"/>
      <c r="I447" s="27"/>
      <c r="J447" s="27"/>
      <c r="K447" s="27">
        <f>Table15[[#This Row],[الايصالات]]+Table15[[#This Row],[النولون]]-Table15[[#This Row],[خصم 3%]]</f>
        <v>0</v>
      </c>
      <c r="L447" s="27"/>
      <c r="M447" s="3">
        <f>M446+Table15[[#This Row],[اجمالي الفاتوره]]-Table15[[#This Row],[الدفعات]]</f>
        <v>229525.46000000008</v>
      </c>
      <c r="N447" s="27"/>
      <c r="O447" s="27"/>
    </row>
    <row r="448" spans="2:15" ht="29.25" customHeight="1" x14ac:dyDescent="0.3">
      <c r="B448" s="27"/>
      <c r="C448" s="27"/>
      <c r="D448" s="27"/>
      <c r="E448" s="27"/>
      <c r="F448" s="27"/>
      <c r="G448" s="27"/>
      <c r="H448" s="27"/>
      <c r="I448" s="27"/>
      <c r="J448" s="27"/>
      <c r="K448" s="27">
        <f>Table15[[#This Row],[الايصالات]]+Table15[[#This Row],[النولون]]-Table15[[#This Row],[خصم 3%]]</f>
        <v>0</v>
      </c>
      <c r="L448" s="27"/>
      <c r="M448" s="3">
        <f>M447+Table15[[#This Row],[اجمالي الفاتوره]]-Table15[[#This Row],[الدفعات]]</f>
        <v>229525.46000000008</v>
      </c>
      <c r="N448" s="27"/>
      <c r="O448" s="27"/>
    </row>
    <row r="449" spans="2:15" ht="29.25" customHeight="1" x14ac:dyDescent="0.3">
      <c r="B449" s="27"/>
      <c r="C449" s="27"/>
      <c r="D449" s="27"/>
      <c r="E449" s="27"/>
      <c r="F449" s="27"/>
      <c r="G449" s="27"/>
      <c r="H449" s="27"/>
      <c r="I449" s="27"/>
      <c r="J449" s="27"/>
      <c r="K449" s="27">
        <f>Table15[[#This Row],[الايصالات]]+Table15[[#This Row],[النولون]]-Table15[[#This Row],[خصم 3%]]</f>
        <v>0</v>
      </c>
      <c r="L449" s="27"/>
      <c r="M449" s="3">
        <f>M448+Table15[[#This Row],[اجمالي الفاتوره]]-Table15[[#This Row],[الدفعات]]</f>
        <v>229525.46000000008</v>
      </c>
      <c r="N449" s="27"/>
      <c r="O449" s="27"/>
    </row>
    <row r="450" spans="2:15" ht="29.25" customHeight="1" x14ac:dyDescent="0.3">
      <c r="B450" s="27"/>
      <c r="C450" s="27"/>
      <c r="D450" s="27"/>
      <c r="E450" s="27"/>
      <c r="F450" s="27"/>
      <c r="G450" s="27"/>
      <c r="H450" s="27"/>
      <c r="I450" s="27"/>
      <c r="J450" s="27"/>
      <c r="K450" s="27">
        <f>Table15[[#This Row],[الايصالات]]+Table15[[#This Row],[النولون]]-Table15[[#This Row],[خصم 3%]]</f>
        <v>0</v>
      </c>
      <c r="L450" s="27"/>
      <c r="M450" s="3">
        <f>M449+Table15[[#This Row],[اجمالي الفاتوره]]-Table15[[#This Row],[الدفعات]]</f>
        <v>229525.46000000008</v>
      </c>
      <c r="N450" s="27"/>
      <c r="O450" s="27"/>
    </row>
    <row r="451" spans="2:15" ht="29.25" customHeight="1" x14ac:dyDescent="0.3">
      <c r="B451" s="27"/>
      <c r="C451" s="27"/>
      <c r="D451" s="27"/>
      <c r="E451" s="27"/>
      <c r="F451" s="27"/>
      <c r="G451" s="27"/>
      <c r="H451" s="27"/>
      <c r="I451" s="27"/>
      <c r="J451" s="27"/>
      <c r="K451" s="27">
        <f>Table15[[#This Row],[الايصالات]]+Table15[[#This Row],[النولون]]-Table15[[#This Row],[خصم 3%]]</f>
        <v>0</v>
      </c>
      <c r="L451" s="27"/>
      <c r="M451" s="3">
        <f>M450+Table15[[#This Row],[اجمالي الفاتوره]]-Table15[[#This Row],[الدفعات]]</f>
        <v>229525.46000000008</v>
      </c>
      <c r="N451" s="27"/>
      <c r="O451" s="27"/>
    </row>
    <row r="452" spans="2:15" ht="29.25" customHeight="1" x14ac:dyDescent="0.3">
      <c r="B452" s="27"/>
      <c r="C452" s="27"/>
      <c r="D452" s="27"/>
      <c r="E452" s="27"/>
      <c r="F452" s="27"/>
      <c r="G452" s="27"/>
      <c r="H452" s="27"/>
      <c r="I452" s="27"/>
      <c r="J452" s="27"/>
      <c r="K452" s="27">
        <f>Table15[[#This Row],[الايصالات]]+Table15[[#This Row],[النولون]]-Table15[[#This Row],[خصم 3%]]</f>
        <v>0</v>
      </c>
      <c r="L452" s="27"/>
      <c r="M452" s="3">
        <f>M451+Table15[[#This Row],[اجمالي الفاتوره]]-Table15[[#This Row],[الدفعات]]</f>
        <v>229525.46000000008</v>
      </c>
      <c r="N452" s="27"/>
      <c r="O452" s="27"/>
    </row>
    <row r="453" spans="2:15" ht="29.25" customHeight="1" x14ac:dyDescent="0.3">
      <c r="B453" s="27"/>
      <c r="C453" s="27"/>
      <c r="D453" s="27"/>
      <c r="E453" s="27"/>
      <c r="F453" s="27"/>
      <c r="G453" s="27"/>
      <c r="H453" s="27"/>
      <c r="I453" s="27"/>
      <c r="J453" s="27"/>
      <c r="K453" s="27">
        <f>Table15[[#This Row],[الايصالات]]+Table15[[#This Row],[النولون]]-Table15[[#This Row],[خصم 3%]]</f>
        <v>0</v>
      </c>
      <c r="L453" s="27"/>
      <c r="M453" s="3">
        <f>M452+Table15[[#This Row],[اجمالي الفاتوره]]-Table15[[#This Row],[الدفعات]]</f>
        <v>229525.46000000008</v>
      </c>
      <c r="N453" s="27"/>
      <c r="O453" s="27"/>
    </row>
    <row r="454" spans="2:15" ht="29.25" customHeight="1" x14ac:dyDescent="0.3">
      <c r="B454" s="27"/>
      <c r="C454" s="27"/>
      <c r="D454" s="27"/>
      <c r="E454" s="27"/>
      <c r="F454" s="27"/>
      <c r="G454" s="27"/>
      <c r="H454" s="27"/>
      <c r="I454" s="27"/>
      <c r="J454" s="27"/>
      <c r="K454" s="27">
        <f>Table15[[#This Row],[الايصالات]]+Table15[[#This Row],[النولون]]-Table15[[#This Row],[خصم 3%]]</f>
        <v>0</v>
      </c>
      <c r="L454" s="27"/>
      <c r="M454" s="3">
        <f>M453+Table15[[#This Row],[اجمالي الفاتوره]]-Table15[[#This Row],[الدفعات]]</f>
        <v>229525.46000000008</v>
      </c>
      <c r="N454" s="27"/>
      <c r="O454" s="27"/>
    </row>
    <row r="455" spans="2:15" ht="29.25" customHeight="1" x14ac:dyDescent="0.3">
      <c r="B455" s="27"/>
      <c r="C455" s="27"/>
      <c r="D455" s="27"/>
      <c r="E455" s="27"/>
      <c r="F455" s="27"/>
      <c r="G455" s="27"/>
      <c r="H455" s="27"/>
      <c r="I455" s="27"/>
      <c r="J455" s="27"/>
      <c r="K455" s="27">
        <f>Table15[[#This Row],[الايصالات]]+Table15[[#This Row],[النولون]]-Table15[[#This Row],[خصم 3%]]</f>
        <v>0</v>
      </c>
      <c r="L455" s="27"/>
      <c r="M455" s="3">
        <f>M454+Table15[[#This Row],[اجمالي الفاتوره]]-Table15[[#This Row],[الدفعات]]</f>
        <v>229525.46000000008</v>
      </c>
      <c r="N455" s="27"/>
      <c r="O455" s="27"/>
    </row>
    <row r="456" spans="2:15" ht="29.25" customHeight="1" x14ac:dyDescent="0.3">
      <c r="B456" s="27"/>
      <c r="C456" s="27"/>
      <c r="D456" s="27"/>
      <c r="E456" s="27"/>
      <c r="F456" s="27"/>
      <c r="G456" s="27"/>
      <c r="H456" s="27"/>
      <c r="I456" s="27"/>
      <c r="J456" s="27"/>
      <c r="K456" s="27">
        <f>Table15[[#This Row],[الايصالات]]+Table15[[#This Row],[النولون]]-Table15[[#This Row],[خصم 3%]]</f>
        <v>0</v>
      </c>
      <c r="L456" s="27"/>
      <c r="M456" s="3">
        <f>M455+Table15[[#This Row],[اجمالي الفاتوره]]-Table15[[#This Row],[الدفعات]]</f>
        <v>229525.46000000008</v>
      </c>
      <c r="N456" s="27"/>
      <c r="O456" s="27"/>
    </row>
    <row r="457" spans="2:15" ht="29.25" customHeight="1" x14ac:dyDescent="0.3">
      <c r="B457" s="27"/>
      <c r="C457" s="27"/>
      <c r="D457" s="27"/>
      <c r="E457" s="27"/>
      <c r="F457" s="27"/>
      <c r="G457" s="27"/>
      <c r="H457" s="27"/>
      <c r="I457" s="27"/>
      <c r="J457" s="27"/>
      <c r="K457" s="27">
        <f>Table15[[#This Row],[الايصالات]]+Table15[[#This Row],[النولون]]-Table15[[#This Row],[خصم 3%]]</f>
        <v>0</v>
      </c>
      <c r="L457" s="27"/>
      <c r="M457" s="3">
        <f>M456+Table15[[#This Row],[اجمالي الفاتوره]]-Table15[[#This Row],[الدفعات]]</f>
        <v>229525.46000000008</v>
      </c>
      <c r="N457" s="27"/>
      <c r="O457" s="27"/>
    </row>
    <row r="458" spans="2:15" ht="29.25" customHeight="1" x14ac:dyDescent="0.3">
      <c r="B458" s="27"/>
      <c r="C458" s="27"/>
      <c r="D458" s="27"/>
      <c r="E458" s="27"/>
      <c r="F458" s="27"/>
      <c r="G458" s="27"/>
      <c r="H458" s="27"/>
      <c r="I458" s="27"/>
      <c r="J458" s="27"/>
      <c r="K458" s="27">
        <f>Table15[[#This Row],[الايصالات]]+Table15[[#This Row],[النولون]]-Table15[[#This Row],[خصم 3%]]</f>
        <v>0</v>
      </c>
      <c r="L458" s="27"/>
      <c r="M458" s="3">
        <f>M457+Table15[[#This Row],[اجمالي الفاتوره]]-Table15[[#This Row],[الدفعات]]</f>
        <v>229525.46000000008</v>
      </c>
      <c r="N458" s="27"/>
      <c r="O458" s="27"/>
    </row>
    <row r="459" spans="2:15" ht="29.25" customHeight="1" x14ac:dyDescent="0.3">
      <c r="B459" s="27"/>
      <c r="C459" s="27"/>
      <c r="D459" s="27"/>
      <c r="E459" s="27"/>
      <c r="F459" s="27"/>
      <c r="G459" s="27"/>
      <c r="H459" s="27"/>
      <c r="I459" s="27"/>
      <c r="J459" s="27"/>
      <c r="K459" s="27">
        <f>Table15[[#This Row],[الايصالات]]+Table15[[#This Row],[النولون]]-Table15[[#This Row],[خصم 3%]]</f>
        <v>0</v>
      </c>
      <c r="L459" s="27"/>
      <c r="M459" s="3">
        <f>M458+Table15[[#This Row],[اجمالي الفاتوره]]-Table15[[#This Row],[الدفعات]]</f>
        <v>229525.46000000008</v>
      </c>
      <c r="N459" s="27"/>
      <c r="O459" s="27"/>
    </row>
    <row r="460" spans="2:15" ht="29.25" customHeight="1" x14ac:dyDescent="0.3">
      <c r="B460" s="27"/>
      <c r="C460" s="27"/>
      <c r="D460" s="27"/>
      <c r="E460" s="27"/>
      <c r="F460" s="27"/>
      <c r="G460" s="27"/>
      <c r="H460" s="27"/>
      <c r="I460" s="27"/>
      <c r="J460" s="27"/>
      <c r="K460" s="27">
        <f>Table15[[#This Row],[الايصالات]]+Table15[[#This Row],[النولون]]-Table15[[#This Row],[خصم 3%]]</f>
        <v>0</v>
      </c>
      <c r="L460" s="27"/>
      <c r="M460" s="3">
        <f>M459+Table15[[#This Row],[اجمالي الفاتوره]]-Table15[[#This Row],[الدفعات]]</f>
        <v>229525.46000000008</v>
      </c>
      <c r="N460" s="27"/>
      <c r="O460" s="27"/>
    </row>
    <row r="461" spans="2:15" ht="29.25" customHeight="1" x14ac:dyDescent="0.3">
      <c r="B461" s="27"/>
      <c r="C461" s="27"/>
      <c r="D461" s="27"/>
      <c r="E461" s="27"/>
      <c r="F461" s="27"/>
      <c r="G461" s="27"/>
      <c r="H461" s="27"/>
      <c r="I461" s="27"/>
      <c r="J461" s="27"/>
      <c r="K461" s="27">
        <f>Table15[[#This Row],[الايصالات]]+Table15[[#This Row],[النولون]]-Table15[[#This Row],[خصم 3%]]</f>
        <v>0</v>
      </c>
      <c r="L461" s="27"/>
      <c r="M461" s="3">
        <f>M460+Table15[[#This Row],[اجمالي الفاتوره]]-Table15[[#This Row],[الدفعات]]</f>
        <v>229525.46000000008</v>
      </c>
      <c r="N461" s="27"/>
      <c r="O461" s="27"/>
    </row>
    <row r="462" spans="2:15" ht="29.25" customHeight="1" x14ac:dyDescent="0.3">
      <c r="B462" s="27"/>
      <c r="C462" s="27"/>
      <c r="D462" s="27"/>
      <c r="E462" s="27"/>
      <c r="F462" s="27"/>
      <c r="G462" s="27"/>
      <c r="H462" s="27"/>
      <c r="I462" s="27"/>
      <c r="J462" s="27"/>
      <c r="K462" s="27">
        <f>Table15[[#This Row],[الايصالات]]+Table15[[#This Row],[النولون]]-Table15[[#This Row],[خصم 3%]]</f>
        <v>0</v>
      </c>
      <c r="L462" s="27"/>
      <c r="M462" s="3">
        <f>M461+Table15[[#This Row],[اجمالي الفاتوره]]-Table15[[#This Row],[الدفعات]]</f>
        <v>229525.46000000008</v>
      </c>
      <c r="N462" s="27"/>
      <c r="O462" s="27"/>
    </row>
    <row r="463" spans="2:15" ht="29.25" customHeight="1" x14ac:dyDescent="0.3">
      <c r="B463" s="27"/>
      <c r="C463" s="27"/>
      <c r="D463" s="27"/>
      <c r="E463" s="27"/>
      <c r="F463" s="27"/>
      <c r="G463" s="27"/>
      <c r="H463" s="27"/>
      <c r="I463" s="27"/>
      <c r="J463" s="27"/>
      <c r="K463" s="27">
        <f>Table15[[#This Row],[الايصالات]]+Table15[[#This Row],[النولون]]-Table15[[#This Row],[خصم 3%]]</f>
        <v>0</v>
      </c>
      <c r="L463" s="27"/>
      <c r="M463" s="3">
        <f>M462+Table15[[#This Row],[اجمالي الفاتوره]]-Table15[[#This Row],[الدفعات]]</f>
        <v>229525.46000000008</v>
      </c>
      <c r="N463" s="27"/>
      <c r="O463" s="27"/>
    </row>
    <row r="464" spans="2:15" ht="29.25" customHeight="1" x14ac:dyDescent="0.3">
      <c r="B464" s="27"/>
      <c r="C464" s="27"/>
      <c r="D464" s="27"/>
      <c r="E464" s="27"/>
      <c r="F464" s="27"/>
      <c r="G464" s="27"/>
      <c r="H464" s="27"/>
      <c r="I464" s="27"/>
      <c r="J464" s="27"/>
      <c r="K464" s="27">
        <f>Table15[[#This Row],[الايصالات]]+Table15[[#This Row],[النولون]]-Table15[[#This Row],[خصم 3%]]</f>
        <v>0</v>
      </c>
      <c r="L464" s="27"/>
      <c r="M464" s="3">
        <f>M463+Table15[[#This Row],[اجمالي الفاتوره]]-Table15[[#This Row],[الدفعات]]</f>
        <v>229525.46000000008</v>
      </c>
      <c r="N464" s="27"/>
      <c r="O464" s="27"/>
    </row>
    <row r="465" spans="2:15" ht="29.25" customHeight="1" x14ac:dyDescent="0.3">
      <c r="B465" s="27"/>
      <c r="C465" s="27"/>
      <c r="D465" s="27"/>
      <c r="E465" s="27"/>
      <c r="F465" s="27"/>
      <c r="G465" s="27"/>
      <c r="H465" s="27"/>
      <c r="I465" s="27"/>
      <c r="J465" s="27"/>
      <c r="K465" s="27">
        <f>Table15[[#This Row],[الايصالات]]+Table15[[#This Row],[النولون]]-Table15[[#This Row],[خصم 3%]]</f>
        <v>0</v>
      </c>
      <c r="L465" s="27"/>
      <c r="M465" s="3">
        <f>M464+Table15[[#This Row],[اجمالي الفاتوره]]-Table15[[#This Row],[الدفعات]]</f>
        <v>229525.46000000008</v>
      </c>
      <c r="N465" s="27"/>
      <c r="O465" s="27"/>
    </row>
    <row r="466" spans="2:15" ht="29.25" customHeight="1" x14ac:dyDescent="0.3">
      <c r="B466" s="27"/>
      <c r="C466" s="27"/>
      <c r="D466" s="27"/>
      <c r="E466" s="27"/>
      <c r="F466" s="27"/>
      <c r="G466" s="27"/>
      <c r="H466" s="27"/>
      <c r="I466" s="27"/>
      <c r="J466" s="27"/>
      <c r="K466" s="27">
        <f>Table15[[#This Row],[الايصالات]]+Table15[[#This Row],[النولون]]-Table15[[#This Row],[خصم 3%]]</f>
        <v>0</v>
      </c>
      <c r="L466" s="27"/>
      <c r="M466" s="3">
        <f>M465+Table15[[#This Row],[اجمالي الفاتوره]]-Table15[[#This Row],[الدفعات]]</f>
        <v>229525.46000000008</v>
      </c>
      <c r="N466" s="27"/>
      <c r="O466" s="27"/>
    </row>
    <row r="467" spans="2:15" ht="29.25" customHeight="1" x14ac:dyDescent="0.3">
      <c r="B467" s="27"/>
      <c r="C467" s="27"/>
      <c r="D467" s="27"/>
      <c r="E467" s="27"/>
      <c r="F467" s="27"/>
      <c r="G467" s="27"/>
      <c r="H467" s="27"/>
      <c r="I467" s="27"/>
      <c r="J467" s="27"/>
      <c r="K467" s="27">
        <f>Table15[[#This Row],[الايصالات]]+Table15[[#This Row],[النولون]]-Table15[[#This Row],[خصم 3%]]</f>
        <v>0</v>
      </c>
      <c r="L467" s="27"/>
      <c r="M467" s="3">
        <f>M466+Table15[[#This Row],[اجمالي الفاتوره]]-Table15[[#This Row],[الدفعات]]</f>
        <v>229525.46000000008</v>
      </c>
      <c r="N467" s="27"/>
      <c r="O467" s="27"/>
    </row>
    <row r="468" spans="2:15" ht="29.25" customHeight="1" x14ac:dyDescent="0.3">
      <c r="B468" s="27"/>
      <c r="C468" s="27"/>
      <c r="D468" s="27"/>
      <c r="E468" s="27"/>
      <c r="F468" s="27"/>
      <c r="G468" s="27"/>
      <c r="H468" s="27"/>
      <c r="I468" s="27"/>
      <c r="J468" s="27"/>
      <c r="K468" s="27">
        <f>Table15[[#This Row],[الايصالات]]+Table15[[#This Row],[النولون]]-Table15[[#This Row],[خصم 3%]]</f>
        <v>0</v>
      </c>
      <c r="L468" s="27"/>
      <c r="M468" s="3">
        <f>M467+Table15[[#This Row],[اجمالي الفاتوره]]-Table15[[#This Row],[الدفعات]]</f>
        <v>229525.46000000008</v>
      </c>
      <c r="N468" s="27"/>
      <c r="O468" s="27"/>
    </row>
    <row r="469" spans="2:15" ht="29.25" customHeight="1" x14ac:dyDescent="0.3">
      <c r="B469" s="27"/>
      <c r="C469" s="27"/>
      <c r="D469" s="27"/>
      <c r="E469" s="27"/>
      <c r="F469" s="27"/>
      <c r="G469" s="27"/>
      <c r="H469" s="27"/>
      <c r="I469" s="27"/>
      <c r="J469" s="27"/>
      <c r="K469" s="27">
        <f>Table15[[#This Row],[الايصالات]]+Table15[[#This Row],[النولون]]-Table15[[#This Row],[خصم 3%]]</f>
        <v>0</v>
      </c>
      <c r="L469" s="27"/>
      <c r="M469" s="3">
        <f>M468+Table15[[#This Row],[اجمالي الفاتوره]]-Table15[[#This Row],[الدفعات]]</f>
        <v>229525.46000000008</v>
      </c>
      <c r="N469" s="27"/>
      <c r="O469" s="27"/>
    </row>
    <row r="470" spans="2:15" ht="29.25" customHeight="1" x14ac:dyDescent="0.3">
      <c r="B470" s="27"/>
      <c r="C470" s="27"/>
      <c r="D470" s="27"/>
      <c r="E470" s="27"/>
      <c r="F470" s="27"/>
      <c r="G470" s="27"/>
      <c r="H470" s="27"/>
      <c r="I470" s="27"/>
      <c r="J470" s="27"/>
      <c r="K470" s="27">
        <f>Table15[[#This Row],[الايصالات]]+Table15[[#This Row],[النولون]]-Table15[[#This Row],[خصم 3%]]</f>
        <v>0</v>
      </c>
      <c r="L470" s="27"/>
      <c r="M470" s="3">
        <f>M469+Table15[[#This Row],[اجمالي الفاتوره]]-Table15[[#This Row],[الدفعات]]</f>
        <v>229525.46000000008</v>
      </c>
      <c r="N470" s="27"/>
      <c r="O470" s="27"/>
    </row>
    <row r="471" spans="2:15" ht="29.25" customHeight="1" x14ac:dyDescent="0.3">
      <c r="B471" s="27"/>
      <c r="C471" s="27"/>
      <c r="D471" s="27"/>
      <c r="E471" s="27"/>
      <c r="F471" s="27"/>
      <c r="G471" s="27"/>
      <c r="H471" s="27"/>
      <c r="I471" s="27"/>
      <c r="J471" s="27"/>
      <c r="K471" s="27">
        <f>Table15[[#This Row],[الايصالات]]+Table15[[#This Row],[النولون]]-Table15[[#This Row],[خصم 3%]]</f>
        <v>0</v>
      </c>
      <c r="L471" s="27"/>
      <c r="M471" s="3">
        <f>M470+Table15[[#This Row],[اجمالي الفاتوره]]-Table15[[#This Row],[الدفعات]]</f>
        <v>229525.46000000008</v>
      </c>
      <c r="N471" s="27"/>
      <c r="O471" s="27"/>
    </row>
    <row r="472" spans="2:15" ht="29.25" customHeight="1" x14ac:dyDescent="0.3">
      <c r="B472" s="27"/>
      <c r="C472" s="27"/>
      <c r="D472" s="27"/>
      <c r="E472" s="27"/>
      <c r="F472" s="27"/>
      <c r="G472" s="27"/>
      <c r="H472" s="27"/>
      <c r="I472" s="27"/>
      <c r="J472" s="27"/>
      <c r="K472" s="27">
        <f>Table15[[#This Row],[الايصالات]]+Table15[[#This Row],[النولون]]-Table15[[#This Row],[خصم 3%]]</f>
        <v>0</v>
      </c>
      <c r="L472" s="27"/>
      <c r="M472" s="3">
        <f>M471+Table15[[#This Row],[اجمالي الفاتوره]]-Table15[[#This Row],[الدفعات]]</f>
        <v>229525.46000000008</v>
      </c>
      <c r="N472" s="27"/>
      <c r="O472" s="27"/>
    </row>
    <row r="473" spans="2:15" ht="29.25" customHeight="1" x14ac:dyDescent="0.3">
      <c r="B473" s="27"/>
      <c r="C473" s="27"/>
      <c r="D473" s="27"/>
      <c r="E473" s="27"/>
      <c r="F473" s="27"/>
      <c r="G473" s="27"/>
      <c r="H473" s="27"/>
      <c r="I473" s="27"/>
      <c r="J473" s="27"/>
      <c r="K473" s="27">
        <f>Table15[[#This Row],[الايصالات]]+Table15[[#This Row],[النولون]]-Table15[[#This Row],[خصم 3%]]</f>
        <v>0</v>
      </c>
      <c r="L473" s="27"/>
      <c r="M473" s="3">
        <f>M472+Table15[[#This Row],[اجمالي الفاتوره]]-Table15[[#This Row],[الدفعات]]</f>
        <v>229525.46000000008</v>
      </c>
      <c r="N473" s="27"/>
      <c r="O473" s="27"/>
    </row>
    <row r="474" spans="2:15" ht="29.25" customHeight="1" x14ac:dyDescent="0.3">
      <c r="B474" s="27"/>
      <c r="C474" s="27"/>
      <c r="D474" s="27"/>
      <c r="E474" s="27"/>
      <c r="F474" s="27"/>
      <c r="G474" s="27"/>
      <c r="H474" s="27"/>
      <c r="I474" s="27"/>
      <c r="J474" s="27"/>
      <c r="K474" s="27">
        <f>Table15[[#This Row],[الايصالات]]+Table15[[#This Row],[النولون]]-Table15[[#This Row],[خصم 3%]]</f>
        <v>0</v>
      </c>
      <c r="L474" s="27"/>
      <c r="M474" s="3">
        <f>M473+Table15[[#This Row],[اجمالي الفاتوره]]-Table15[[#This Row],[الدفعات]]</f>
        <v>229525.46000000008</v>
      </c>
      <c r="N474" s="27"/>
      <c r="O474" s="27"/>
    </row>
    <row r="475" spans="2:15" ht="29.25" customHeight="1" x14ac:dyDescent="0.3">
      <c r="B475" s="27"/>
      <c r="C475" s="27"/>
      <c r="D475" s="27"/>
      <c r="E475" s="27"/>
      <c r="F475" s="27"/>
      <c r="G475" s="27"/>
      <c r="H475" s="27"/>
      <c r="I475" s="27"/>
      <c r="J475" s="27"/>
      <c r="K475" s="27">
        <f>Table15[[#This Row],[الايصالات]]+Table15[[#This Row],[النولون]]-Table15[[#This Row],[خصم 3%]]</f>
        <v>0</v>
      </c>
      <c r="L475" s="27"/>
      <c r="M475" s="3">
        <f>M474+Table15[[#This Row],[اجمالي الفاتوره]]-Table15[[#This Row],[الدفعات]]</f>
        <v>229525.46000000008</v>
      </c>
      <c r="N475" s="27"/>
      <c r="O475" s="27"/>
    </row>
    <row r="476" spans="2:15" ht="29.25" customHeight="1" x14ac:dyDescent="0.3">
      <c r="B476" s="27"/>
      <c r="C476" s="27"/>
      <c r="D476" s="27"/>
      <c r="E476" s="27"/>
      <c r="F476" s="27"/>
      <c r="G476" s="27"/>
      <c r="H476" s="27"/>
      <c r="I476" s="27"/>
      <c r="J476" s="27"/>
      <c r="K476" s="27">
        <f>Table15[[#This Row],[الايصالات]]+Table15[[#This Row],[النولون]]-Table15[[#This Row],[خصم 3%]]</f>
        <v>0</v>
      </c>
      <c r="L476" s="27"/>
      <c r="M476" s="3">
        <f>M475+Table15[[#This Row],[اجمالي الفاتوره]]-Table15[[#This Row],[الدفعات]]</f>
        <v>229525.46000000008</v>
      </c>
      <c r="N476" s="27"/>
      <c r="O476" s="27"/>
    </row>
    <row r="477" spans="2:15" ht="29.25" customHeight="1" x14ac:dyDescent="0.3">
      <c r="B477" s="27"/>
      <c r="C477" s="27"/>
      <c r="D477" s="27"/>
      <c r="E477" s="27"/>
      <c r="F477" s="27"/>
      <c r="G477" s="27"/>
      <c r="H477" s="27"/>
      <c r="I477" s="27"/>
      <c r="J477" s="27"/>
      <c r="K477" s="27">
        <f>Table15[[#This Row],[الايصالات]]+Table15[[#This Row],[النولون]]-Table15[[#This Row],[خصم 3%]]</f>
        <v>0</v>
      </c>
      <c r="L477" s="27"/>
      <c r="M477" s="3">
        <f>M476+Table15[[#This Row],[اجمالي الفاتوره]]-Table15[[#This Row],[الدفعات]]</f>
        <v>229525.46000000008</v>
      </c>
      <c r="N477" s="27"/>
      <c r="O477" s="27"/>
    </row>
    <row r="478" spans="2:15" ht="29.25" customHeight="1" x14ac:dyDescent="0.3">
      <c r="B478" s="27"/>
      <c r="C478" s="27"/>
      <c r="D478" s="27"/>
      <c r="E478" s="27"/>
      <c r="F478" s="27"/>
      <c r="G478" s="27"/>
      <c r="H478" s="27"/>
      <c r="I478" s="27"/>
      <c r="J478" s="27"/>
      <c r="K478" s="27">
        <f>Table15[[#This Row],[الايصالات]]+Table15[[#This Row],[النولون]]-Table15[[#This Row],[خصم 3%]]</f>
        <v>0</v>
      </c>
      <c r="L478" s="27"/>
      <c r="M478" s="3">
        <f>M477+Table15[[#This Row],[اجمالي الفاتوره]]-Table15[[#This Row],[الدفعات]]</f>
        <v>229525.46000000008</v>
      </c>
      <c r="N478" s="27"/>
      <c r="O478" s="27"/>
    </row>
    <row r="479" spans="2:15" ht="29.25" customHeight="1" x14ac:dyDescent="0.3">
      <c r="B479" s="27"/>
      <c r="C479" s="27"/>
      <c r="D479" s="27"/>
      <c r="E479" s="27"/>
      <c r="F479" s="27"/>
      <c r="G479" s="27"/>
      <c r="H479" s="27"/>
      <c r="I479" s="27"/>
      <c r="J479" s="27"/>
      <c r="K479" s="27">
        <f>Table15[[#This Row],[الايصالات]]+Table15[[#This Row],[النولون]]-Table15[[#This Row],[خصم 3%]]</f>
        <v>0</v>
      </c>
      <c r="L479" s="27"/>
      <c r="M479" s="3">
        <f>M478+Table15[[#This Row],[اجمالي الفاتوره]]-Table15[[#This Row],[الدفعات]]</f>
        <v>229525.46000000008</v>
      </c>
      <c r="N479" s="27"/>
      <c r="O479" s="27"/>
    </row>
    <row r="480" spans="2:15" ht="29.25" customHeight="1" x14ac:dyDescent="0.3">
      <c r="B480" s="27"/>
      <c r="C480" s="27"/>
      <c r="D480" s="27"/>
      <c r="E480" s="27"/>
      <c r="F480" s="27"/>
      <c r="G480" s="27"/>
      <c r="H480" s="27"/>
      <c r="I480" s="27"/>
      <c r="J480" s="27"/>
      <c r="K480" s="27">
        <f>Table15[[#This Row],[الايصالات]]+Table15[[#This Row],[النولون]]-Table15[[#This Row],[خصم 3%]]</f>
        <v>0</v>
      </c>
      <c r="L480" s="27"/>
      <c r="M480" s="3">
        <f>M479+Table15[[#This Row],[اجمالي الفاتوره]]-Table15[[#This Row],[الدفعات]]</f>
        <v>229525.46000000008</v>
      </c>
      <c r="N480" s="27"/>
      <c r="O480" s="27"/>
    </row>
    <row r="481" spans="2:15" ht="29.25" customHeight="1" x14ac:dyDescent="0.3">
      <c r="B481" s="27"/>
      <c r="C481" s="27"/>
      <c r="D481" s="27"/>
      <c r="E481" s="27"/>
      <c r="F481" s="27"/>
      <c r="G481" s="27"/>
      <c r="H481" s="27"/>
      <c r="I481" s="27"/>
      <c r="J481" s="27"/>
      <c r="K481" s="27">
        <f>Table15[[#This Row],[الايصالات]]+Table15[[#This Row],[النولون]]-Table15[[#This Row],[خصم 3%]]</f>
        <v>0</v>
      </c>
      <c r="L481" s="27"/>
      <c r="M481" s="3">
        <f>M480+Table15[[#This Row],[اجمالي الفاتوره]]-Table15[[#This Row],[الدفعات]]</f>
        <v>229525.46000000008</v>
      </c>
      <c r="N481" s="27"/>
      <c r="O481" s="27"/>
    </row>
    <row r="482" spans="2:15" ht="29.25" customHeight="1" x14ac:dyDescent="0.3">
      <c r="B482" s="27"/>
      <c r="C482" s="27"/>
      <c r="D482" s="27"/>
      <c r="E482" s="27"/>
      <c r="F482" s="27"/>
      <c r="G482" s="27"/>
      <c r="H482" s="27"/>
      <c r="I482" s="27"/>
      <c r="J482" s="27"/>
      <c r="K482" s="27">
        <f>Table15[[#This Row],[الايصالات]]+Table15[[#This Row],[النولون]]-Table15[[#This Row],[خصم 3%]]</f>
        <v>0</v>
      </c>
      <c r="L482" s="27"/>
      <c r="M482" s="3">
        <f>M481+Table15[[#This Row],[اجمالي الفاتوره]]-Table15[[#This Row],[الدفعات]]</f>
        <v>229525.46000000008</v>
      </c>
      <c r="N482" s="27"/>
      <c r="O482" s="27"/>
    </row>
    <row r="483" spans="2:15" ht="29.25" customHeight="1" x14ac:dyDescent="0.3">
      <c r="B483" s="27"/>
      <c r="C483" s="27"/>
      <c r="D483" s="27"/>
      <c r="E483" s="27"/>
      <c r="F483" s="27"/>
      <c r="G483" s="27"/>
      <c r="H483" s="27"/>
      <c r="I483" s="27"/>
      <c r="J483" s="27"/>
      <c r="K483" s="27">
        <f>Table15[[#This Row],[الايصالات]]+Table15[[#This Row],[النولون]]-Table15[[#This Row],[خصم 3%]]</f>
        <v>0</v>
      </c>
      <c r="L483" s="27"/>
      <c r="M483" s="3">
        <f>M482+Table15[[#This Row],[اجمالي الفاتوره]]-Table15[[#This Row],[الدفعات]]</f>
        <v>229525.46000000008</v>
      </c>
      <c r="N483" s="27"/>
      <c r="O483" s="27"/>
    </row>
    <row r="484" spans="2:15" ht="29.25" customHeight="1" x14ac:dyDescent="0.3">
      <c r="B484" s="27"/>
      <c r="C484" s="27"/>
      <c r="D484" s="27"/>
      <c r="E484" s="27"/>
      <c r="F484" s="27"/>
      <c r="G484" s="27"/>
      <c r="H484" s="27"/>
      <c r="I484" s="27"/>
      <c r="J484" s="27"/>
      <c r="K484" s="27">
        <f>Table15[[#This Row],[الايصالات]]+Table15[[#This Row],[النولون]]-Table15[[#This Row],[خصم 3%]]</f>
        <v>0</v>
      </c>
      <c r="L484" s="27"/>
      <c r="M484" s="3">
        <f>M483+Table15[[#This Row],[اجمالي الفاتوره]]-Table15[[#This Row],[الدفعات]]</f>
        <v>229525.46000000008</v>
      </c>
      <c r="N484" s="27"/>
      <c r="O484" s="27"/>
    </row>
    <row r="485" spans="2:15" ht="29.25" customHeight="1" x14ac:dyDescent="0.3">
      <c r="B485" s="27"/>
      <c r="C485" s="27"/>
      <c r="D485" s="27"/>
      <c r="E485" s="27"/>
      <c r="F485" s="27"/>
      <c r="G485" s="27"/>
      <c r="H485" s="27"/>
      <c r="I485" s="27"/>
      <c r="J485" s="27"/>
      <c r="K485" s="27">
        <f>Table15[[#This Row],[الايصالات]]+Table15[[#This Row],[النولون]]-Table15[[#This Row],[خصم 3%]]</f>
        <v>0</v>
      </c>
      <c r="L485" s="27"/>
      <c r="M485" s="27">
        <f>Table15[[#This Row],[اجمالي الفاتوره]]-Table15[[#This Row],[الدفعات]]</f>
        <v>0</v>
      </c>
      <c r="N485" s="27"/>
      <c r="O485" s="27"/>
    </row>
    <row r="486" spans="2:15" ht="29.25" customHeight="1" x14ac:dyDescent="0.3">
      <c r="B486" s="27"/>
      <c r="C486" s="27"/>
      <c r="D486" s="27"/>
      <c r="E486" s="27"/>
      <c r="F486" s="27"/>
      <c r="G486" s="27"/>
      <c r="H486" s="27"/>
      <c r="I486" s="27"/>
      <c r="J486" s="27"/>
      <c r="K486" s="27">
        <f>Table15[[#This Row],[الايصالات]]+Table15[[#This Row],[النولون]]-Table15[[#This Row],[خصم 3%]]</f>
        <v>0</v>
      </c>
      <c r="L486" s="27"/>
      <c r="M486" s="27">
        <f>Table15[[#This Row],[اجمالي الفاتوره]]-Table15[[#This Row],[الدفعات]]</f>
        <v>0</v>
      </c>
      <c r="N486" s="27"/>
      <c r="O486" s="27"/>
    </row>
    <row r="487" spans="2:15" ht="29.25" customHeight="1" x14ac:dyDescent="0.3">
      <c r="B487" s="27"/>
      <c r="C487" s="27"/>
      <c r="D487" s="27"/>
      <c r="E487" s="27"/>
      <c r="F487" s="27"/>
      <c r="G487" s="27"/>
      <c r="H487" s="27"/>
      <c r="I487" s="27"/>
      <c r="J487" s="27"/>
      <c r="K487" s="27">
        <f>Table15[[#This Row],[الايصالات]]+Table15[[#This Row],[النولون]]-Table15[[#This Row],[خصم 3%]]</f>
        <v>0</v>
      </c>
      <c r="L487" s="27"/>
      <c r="M487" s="27">
        <f>Table15[[#This Row],[اجمالي الفاتوره]]-Table15[[#This Row],[الدفعات]]</f>
        <v>0</v>
      </c>
      <c r="N487" s="27"/>
      <c r="O487" s="27"/>
    </row>
    <row r="488" spans="2:15" ht="29.25" customHeight="1" x14ac:dyDescent="0.3">
      <c r="B488" s="27"/>
      <c r="C488" s="27"/>
      <c r="D488" s="27"/>
      <c r="E488" s="27"/>
      <c r="F488" s="27"/>
      <c r="G488" s="27"/>
      <c r="H488" s="27"/>
      <c r="I488" s="27"/>
      <c r="J488" s="27"/>
      <c r="K488" s="27">
        <f>Table15[[#This Row],[الايصالات]]+Table15[[#This Row],[النولون]]-Table15[[#This Row],[خصم 3%]]</f>
        <v>0</v>
      </c>
      <c r="L488" s="27"/>
      <c r="M488" s="27">
        <f>Table15[[#This Row],[اجمالي الفاتوره]]-Table15[[#This Row],[الدفعات]]</f>
        <v>0</v>
      </c>
      <c r="N488" s="27"/>
      <c r="O488" s="27"/>
    </row>
    <row r="489" spans="2:15" ht="29.25" customHeight="1" x14ac:dyDescent="0.3">
      <c r="B489" s="27"/>
      <c r="C489" s="27"/>
      <c r="D489" s="27"/>
      <c r="E489" s="27"/>
      <c r="F489" s="27"/>
      <c r="G489" s="27"/>
      <c r="H489" s="27"/>
      <c r="I489" s="27"/>
      <c r="J489" s="27"/>
      <c r="K489" s="27">
        <f>Table15[[#This Row],[الايصالات]]+Table15[[#This Row],[النولون]]-Table15[[#This Row],[خصم 3%]]</f>
        <v>0</v>
      </c>
      <c r="L489" s="27"/>
      <c r="M489" s="27">
        <f>Table15[[#This Row],[اجمالي الفاتوره]]-Table15[[#This Row],[الدفعات]]</f>
        <v>0</v>
      </c>
      <c r="N489" s="27"/>
      <c r="O489" s="27"/>
    </row>
    <row r="490" spans="2:15" ht="29.25" customHeight="1" x14ac:dyDescent="0.3">
      <c r="B490" s="27"/>
      <c r="C490" s="27"/>
      <c r="D490" s="27"/>
      <c r="E490" s="27"/>
      <c r="F490" s="27"/>
      <c r="G490" s="27"/>
      <c r="H490" s="27"/>
      <c r="I490" s="27"/>
      <c r="J490" s="27"/>
      <c r="K490" s="27">
        <f>Table15[[#This Row],[الايصالات]]+Table15[[#This Row],[النولون]]-Table15[[#This Row],[خصم 3%]]</f>
        <v>0</v>
      </c>
      <c r="L490" s="27"/>
      <c r="M490" s="27">
        <f>Table15[[#This Row],[اجمالي الفاتوره]]-Table15[[#This Row],[الدفعات]]</f>
        <v>0</v>
      </c>
      <c r="N490" s="27"/>
      <c r="O490" s="27"/>
    </row>
    <row r="491" spans="2:15" ht="29.25" customHeight="1" x14ac:dyDescent="0.3">
      <c r="B491" s="27"/>
      <c r="C491" s="27"/>
      <c r="D491" s="27"/>
      <c r="E491" s="27"/>
      <c r="F491" s="27"/>
      <c r="G491" s="27"/>
      <c r="H491" s="27"/>
      <c r="I491" s="27"/>
      <c r="J491" s="27"/>
      <c r="K491" s="27">
        <f>Table15[[#This Row],[الايصالات]]+Table15[[#This Row],[النولون]]-Table15[[#This Row],[خصم 3%]]</f>
        <v>0</v>
      </c>
      <c r="L491" s="27"/>
      <c r="M491" s="27">
        <f>Table15[[#This Row],[اجمالي الفاتوره]]-Table15[[#This Row],[الدفعات]]</f>
        <v>0</v>
      </c>
      <c r="N491" s="27"/>
      <c r="O491" s="27"/>
    </row>
    <row r="492" spans="2:15" ht="29.25" customHeight="1" x14ac:dyDescent="0.3">
      <c r="B492" s="27"/>
      <c r="C492" s="27"/>
      <c r="D492" s="27"/>
      <c r="E492" s="27"/>
      <c r="F492" s="27"/>
      <c r="G492" s="27"/>
      <c r="H492" s="27"/>
      <c r="I492" s="27"/>
      <c r="J492" s="27"/>
      <c r="K492" s="27">
        <f>Table15[[#This Row],[الايصالات]]+Table15[[#This Row],[النولون]]-Table15[[#This Row],[خصم 3%]]</f>
        <v>0</v>
      </c>
      <c r="L492" s="27"/>
      <c r="M492" s="27">
        <f>Table15[[#This Row],[اجمالي الفاتوره]]-Table15[[#This Row],[الدفعات]]</f>
        <v>0</v>
      </c>
      <c r="N492" s="27"/>
      <c r="O492" s="27"/>
    </row>
    <row r="493" spans="2:15" ht="29.25" customHeight="1" x14ac:dyDescent="0.3">
      <c r="B493" s="27"/>
      <c r="C493" s="27"/>
      <c r="D493" s="27"/>
      <c r="E493" s="27"/>
      <c r="F493" s="27"/>
      <c r="G493" s="27"/>
      <c r="H493" s="27"/>
      <c r="I493" s="27"/>
      <c r="J493" s="27"/>
      <c r="K493" s="27">
        <f>Table15[[#This Row],[الايصالات]]+Table15[[#This Row],[النولون]]-Table15[[#This Row],[خصم 3%]]</f>
        <v>0</v>
      </c>
      <c r="L493" s="27"/>
      <c r="M493" s="27">
        <f>Table15[[#This Row],[اجمالي الفاتوره]]-Table15[[#This Row],[الدفعات]]</f>
        <v>0</v>
      </c>
      <c r="N493" s="27"/>
      <c r="O493" s="27"/>
    </row>
    <row r="494" spans="2:15" ht="29.25" customHeight="1" x14ac:dyDescent="0.3">
      <c r="B494" s="27"/>
      <c r="C494" s="27"/>
      <c r="D494" s="27"/>
      <c r="E494" s="27"/>
      <c r="F494" s="27"/>
      <c r="G494" s="27"/>
      <c r="H494" s="27"/>
      <c r="I494" s="27"/>
      <c r="J494" s="27"/>
      <c r="K494" s="27">
        <f>Table15[[#This Row],[الايصالات]]+Table15[[#This Row],[النولون]]-Table15[[#This Row],[خصم 3%]]</f>
        <v>0</v>
      </c>
      <c r="L494" s="27"/>
      <c r="M494" s="27">
        <f>Table15[[#This Row],[اجمالي الفاتوره]]-Table15[[#This Row],[الدفعات]]</f>
        <v>0</v>
      </c>
      <c r="N494" s="27"/>
      <c r="O494" s="27"/>
    </row>
    <row r="495" spans="2:15" ht="29.25" customHeight="1" x14ac:dyDescent="0.3">
      <c r="B495" s="27"/>
      <c r="C495" s="27"/>
      <c r="D495" s="27"/>
      <c r="E495" s="27"/>
      <c r="F495" s="27"/>
      <c r="G495" s="27"/>
      <c r="H495" s="27"/>
      <c r="I495" s="27"/>
      <c r="J495" s="27"/>
      <c r="K495" s="27">
        <f>Table15[[#This Row],[الايصالات]]+Table15[[#This Row],[النولون]]-Table15[[#This Row],[خصم 3%]]</f>
        <v>0</v>
      </c>
      <c r="L495" s="27"/>
      <c r="M495" s="27">
        <f>Table15[[#This Row],[اجمالي الفاتوره]]-Table15[[#This Row],[الدفعات]]</f>
        <v>0</v>
      </c>
      <c r="N495" s="27"/>
      <c r="O495" s="27"/>
    </row>
    <row r="496" spans="2:15" ht="29.25" customHeight="1" x14ac:dyDescent="0.3">
      <c r="B496" s="27"/>
      <c r="C496" s="27"/>
      <c r="D496" s="27"/>
      <c r="E496" s="27"/>
      <c r="F496" s="27"/>
      <c r="G496" s="27"/>
      <c r="H496" s="27"/>
      <c r="I496" s="27"/>
      <c r="J496" s="27"/>
      <c r="K496" s="27">
        <f>Table15[[#This Row],[الايصالات]]+Table15[[#This Row],[النولون]]-Table15[[#This Row],[خصم 3%]]</f>
        <v>0</v>
      </c>
      <c r="L496" s="27"/>
      <c r="M496" s="27">
        <f>Table15[[#This Row],[اجمالي الفاتوره]]-Table15[[#This Row],[الدفعات]]</f>
        <v>0</v>
      </c>
      <c r="N496" s="27"/>
      <c r="O496" s="27"/>
    </row>
    <row r="497" spans="2:15" ht="29.25" customHeight="1" x14ac:dyDescent="0.3">
      <c r="B497" s="27"/>
      <c r="C497" s="27"/>
      <c r="D497" s="27"/>
      <c r="E497" s="27"/>
      <c r="F497" s="27"/>
      <c r="G497" s="27"/>
      <c r="H497" s="27"/>
      <c r="I497" s="27"/>
      <c r="J497" s="27"/>
      <c r="K497" s="27">
        <f>Table15[[#This Row],[الايصالات]]+Table15[[#This Row],[النولون]]-Table15[[#This Row],[خصم 3%]]</f>
        <v>0</v>
      </c>
      <c r="L497" s="27"/>
      <c r="M497" s="27">
        <f>Table15[[#This Row],[اجمالي الفاتوره]]-Table15[[#This Row],[الدفعات]]</f>
        <v>0</v>
      </c>
      <c r="N497" s="27"/>
      <c r="O497" s="27"/>
    </row>
    <row r="498" spans="2:15" ht="29.25" customHeight="1" x14ac:dyDescent="0.3">
      <c r="B498" s="27"/>
      <c r="C498" s="27"/>
      <c r="D498" s="27"/>
      <c r="E498" s="27"/>
      <c r="F498" s="27"/>
      <c r="G498" s="27"/>
      <c r="H498" s="27"/>
      <c r="I498" s="27"/>
      <c r="J498" s="27"/>
      <c r="K498" s="27">
        <f>Table15[[#This Row],[الايصالات]]+Table15[[#This Row],[النولون]]-Table15[[#This Row],[خصم 3%]]</f>
        <v>0</v>
      </c>
      <c r="L498" s="27"/>
      <c r="M498" s="27">
        <f>Table15[[#This Row],[اجمالي الفاتوره]]-Table15[[#This Row],[الدفعات]]</f>
        <v>0</v>
      </c>
      <c r="N498" s="27"/>
      <c r="O498" s="27"/>
    </row>
    <row r="499" spans="2:15" ht="29.25" customHeight="1" x14ac:dyDescent="0.3">
      <c r="B499" s="27"/>
      <c r="C499" s="27"/>
      <c r="D499" s="27"/>
      <c r="E499" s="27"/>
      <c r="F499" s="27"/>
      <c r="G499" s="27"/>
      <c r="H499" s="27"/>
      <c r="I499" s="27"/>
      <c r="J499" s="27"/>
      <c r="K499" s="27">
        <f>Table15[[#This Row],[الايصالات]]+Table15[[#This Row],[النولون]]-Table15[[#This Row],[خصم 3%]]</f>
        <v>0</v>
      </c>
      <c r="L499" s="27"/>
      <c r="M499" s="27">
        <f>Table15[[#This Row],[اجمالي الفاتوره]]-Table15[[#This Row],[الدفعات]]</f>
        <v>0</v>
      </c>
      <c r="N499" s="27"/>
      <c r="O499" s="27"/>
    </row>
    <row r="500" spans="2:15" ht="29.25" customHeight="1" x14ac:dyDescent="0.3">
      <c r="B500" s="27"/>
      <c r="C500" s="27"/>
      <c r="D500" s="27"/>
      <c r="E500" s="27"/>
      <c r="F500" s="27"/>
      <c r="G500" s="27"/>
      <c r="H500" s="27"/>
      <c r="I500" s="27"/>
      <c r="J500" s="27"/>
      <c r="K500" s="27">
        <f>Table15[[#This Row],[الايصالات]]+Table15[[#This Row],[النولون]]-Table15[[#This Row],[خصم 3%]]</f>
        <v>0</v>
      </c>
      <c r="L500" s="27"/>
      <c r="M500" s="27">
        <f>Table15[[#This Row],[اجمالي الفاتوره]]-Table15[[#This Row],[الدفعات]]</f>
        <v>0</v>
      </c>
      <c r="N500" s="27"/>
      <c r="O500" s="27"/>
    </row>
    <row r="501" spans="2:15" ht="29.25" customHeight="1" x14ac:dyDescent="0.3">
      <c r="B501" s="27"/>
      <c r="C501" s="27"/>
      <c r="D501" s="27"/>
      <c r="E501" s="27"/>
      <c r="F501" s="27"/>
      <c r="G501" s="27"/>
      <c r="H501" s="27"/>
      <c r="I501" s="27"/>
      <c r="J501" s="27"/>
      <c r="K501" s="27">
        <f>Table15[[#This Row],[الايصالات]]+Table15[[#This Row],[النولون]]-Table15[[#This Row],[خصم 3%]]</f>
        <v>0</v>
      </c>
      <c r="L501" s="27"/>
      <c r="M501" s="27">
        <f>Table15[[#This Row],[اجمالي الفاتوره]]-Table15[[#This Row],[الدفعات]]</f>
        <v>0</v>
      </c>
      <c r="N501" s="27"/>
      <c r="O501" s="27"/>
    </row>
    <row r="502" spans="2:15" ht="29.25" customHeight="1" x14ac:dyDescent="0.3">
      <c r="B502" s="27"/>
      <c r="C502" s="27"/>
      <c r="D502" s="27"/>
      <c r="E502" s="27"/>
      <c r="F502" s="27"/>
      <c r="G502" s="27"/>
      <c r="H502" s="27"/>
      <c r="I502" s="27"/>
      <c r="J502" s="27"/>
      <c r="K502" s="27">
        <f>Table15[[#This Row],[الايصالات]]+Table15[[#This Row],[النولون]]-Table15[[#This Row],[خصم 3%]]</f>
        <v>0</v>
      </c>
      <c r="L502" s="27"/>
      <c r="M502" s="27">
        <f>Table15[[#This Row],[اجمالي الفاتوره]]-Table15[[#This Row],[الدفعات]]</f>
        <v>0</v>
      </c>
      <c r="N502" s="27"/>
      <c r="O502" s="27"/>
    </row>
    <row r="503" spans="2:15" ht="29.25" customHeight="1" x14ac:dyDescent="0.3">
      <c r="B503" s="27"/>
      <c r="C503" s="27"/>
      <c r="D503" s="27"/>
      <c r="E503" s="27"/>
      <c r="F503" s="27"/>
      <c r="G503" s="27"/>
      <c r="H503" s="27"/>
      <c r="I503" s="27"/>
      <c r="J503" s="27"/>
      <c r="K503" s="27">
        <f>Table15[[#This Row],[الايصالات]]+Table15[[#This Row],[النولون]]-Table15[[#This Row],[خصم 3%]]</f>
        <v>0</v>
      </c>
      <c r="L503" s="27"/>
      <c r="M503" s="27">
        <f>Table15[[#This Row],[اجمالي الفاتوره]]-Table15[[#This Row],[الدفعات]]</f>
        <v>0</v>
      </c>
      <c r="N503" s="27"/>
      <c r="O503" s="27"/>
    </row>
    <row r="504" spans="2:15" ht="29.25" customHeight="1" x14ac:dyDescent="0.3">
      <c r="B504" s="27"/>
      <c r="C504" s="27"/>
      <c r="D504" s="27"/>
      <c r="E504" s="27"/>
      <c r="F504" s="27"/>
      <c r="G504" s="27"/>
      <c r="H504" s="27"/>
      <c r="I504" s="27"/>
      <c r="J504" s="27"/>
      <c r="K504" s="27">
        <f>Table15[[#This Row],[الايصالات]]+Table15[[#This Row],[النولون]]-Table15[[#This Row],[خصم 3%]]</f>
        <v>0</v>
      </c>
      <c r="L504" s="27"/>
      <c r="M504" s="27">
        <f>Table15[[#This Row],[اجمالي الفاتوره]]-Table15[[#This Row],[الدفعات]]</f>
        <v>0</v>
      </c>
      <c r="N504" s="27"/>
      <c r="O504" s="27"/>
    </row>
    <row r="505" spans="2:15" ht="29.25" customHeight="1" x14ac:dyDescent="0.3">
      <c r="B505" s="27"/>
      <c r="C505" s="27"/>
      <c r="D505" s="27"/>
      <c r="E505" s="27"/>
      <c r="F505" s="27"/>
      <c r="G505" s="27"/>
      <c r="H505" s="27"/>
      <c r="I505" s="27"/>
      <c r="J505" s="27"/>
      <c r="K505" s="27">
        <f>Table15[[#This Row],[الايصالات]]+Table15[[#This Row],[النولون]]-Table15[[#This Row],[خصم 3%]]</f>
        <v>0</v>
      </c>
      <c r="L505" s="27"/>
      <c r="M505" s="27">
        <f>Table15[[#This Row],[اجمالي الفاتوره]]-Table15[[#This Row],[الدفعات]]</f>
        <v>0</v>
      </c>
      <c r="N505" s="27"/>
      <c r="O505" s="27"/>
    </row>
    <row r="506" spans="2:15" ht="29.25" customHeight="1" x14ac:dyDescent="0.3">
      <c r="B506" s="27"/>
      <c r="C506" s="27"/>
      <c r="D506" s="27"/>
      <c r="E506" s="27"/>
      <c r="F506" s="27"/>
      <c r="G506" s="27"/>
      <c r="H506" s="27"/>
      <c r="I506" s="27"/>
      <c r="J506" s="27"/>
      <c r="K506" s="27">
        <f>Table15[[#This Row],[الايصالات]]+Table15[[#This Row],[النولون]]-Table15[[#This Row],[خصم 3%]]</f>
        <v>0</v>
      </c>
      <c r="L506" s="27"/>
      <c r="M506" s="27">
        <f>Table15[[#This Row],[اجمالي الفاتوره]]-Table15[[#This Row],[الدفعات]]</f>
        <v>0</v>
      </c>
      <c r="N506" s="27"/>
      <c r="O506" s="27"/>
    </row>
    <row r="507" spans="2:15" ht="29.25" customHeight="1" x14ac:dyDescent="0.3">
      <c r="B507" s="27"/>
      <c r="C507" s="27"/>
      <c r="D507" s="27"/>
      <c r="E507" s="27"/>
      <c r="F507" s="27"/>
      <c r="G507" s="27"/>
      <c r="H507" s="27"/>
      <c r="I507" s="27"/>
      <c r="J507" s="27"/>
      <c r="K507" s="27">
        <f>Table15[[#This Row],[الايصالات]]+Table15[[#This Row],[النولون]]-Table15[[#This Row],[خصم 3%]]</f>
        <v>0</v>
      </c>
      <c r="L507" s="27"/>
      <c r="M507" s="27">
        <f>Table15[[#This Row],[اجمالي الفاتوره]]-Table15[[#This Row],[الدفعات]]</f>
        <v>0</v>
      </c>
      <c r="N507" s="27"/>
      <c r="O507" s="27"/>
    </row>
    <row r="508" spans="2:15" ht="29.25" customHeight="1" x14ac:dyDescent="0.3">
      <c r="B508" s="27"/>
      <c r="C508" s="27"/>
      <c r="D508" s="27"/>
      <c r="E508" s="27"/>
      <c r="F508" s="27"/>
      <c r="G508" s="27"/>
      <c r="H508" s="27"/>
      <c r="I508" s="27"/>
      <c r="J508" s="27"/>
      <c r="K508" s="27">
        <f>Table15[[#This Row],[الايصالات]]+Table15[[#This Row],[النولون]]-Table15[[#This Row],[خصم 3%]]</f>
        <v>0</v>
      </c>
      <c r="L508" s="27"/>
      <c r="M508" s="27">
        <f>Table15[[#This Row],[اجمالي الفاتوره]]-Table15[[#This Row],[الدفعات]]</f>
        <v>0</v>
      </c>
      <c r="N508" s="27"/>
      <c r="O508" s="27"/>
    </row>
    <row r="509" spans="2:15" ht="29.25" customHeight="1" x14ac:dyDescent="0.3">
      <c r="B509" s="27"/>
      <c r="C509" s="27"/>
      <c r="D509" s="27"/>
      <c r="E509" s="27"/>
      <c r="F509" s="27"/>
      <c r="G509" s="27"/>
      <c r="H509" s="27"/>
      <c r="I509" s="27"/>
      <c r="J509" s="27"/>
      <c r="K509" s="27">
        <f>Table15[[#This Row],[الايصالات]]+Table15[[#This Row],[النولون]]-Table15[[#This Row],[خصم 3%]]</f>
        <v>0</v>
      </c>
      <c r="L509" s="27"/>
      <c r="M509" s="27">
        <f>Table15[[#This Row],[اجمالي الفاتوره]]-Table15[[#This Row],[الدفعات]]</f>
        <v>0</v>
      </c>
      <c r="N509" s="27"/>
      <c r="O509" s="27"/>
    </row>
    <row r="510" spans="2:15" ht="29.25" customHeight="1" x14ac:dyDescent="0.3">
      <c r="B510" s="27"/>
      <c r="C510" s="27"/>
      <c r="D510" s="27"/>
      <c r="E510" s="27"/>
      <c r="F510" s="27"/>
      <c r="G510" s="27"/>
      <c r="H510" s="27"/>
      <c r="I510" s="27"/>
      <c r="J510" s="27"/>
      <c r="K510" s="27">
        <f>Table15[[#This Row],[الايصالات]]+Table15[[#This Row],[النولون]]-Table15[[#This Row],[خصم 3%]]</f>
        <v>0</v>
      </c>
      <c r="L510" s="27"/>
      <c r="M510" s="27">
        <f>Table15[[#This Row],[اجمالي الفاتوره]]-Table15[[#This Row],[الدفعات]]</f>
        <v>0</v>
      </c>
      <c r="N510" s="27"/>
      <c r="O510" s="27"/>
    </row>
    <row r="511" spans="2:15" ht="29.25" customHeight="1" x14ac:dyDescent="0.3">
      <c r="B511" s="27"/>
      <c r="C511" s="27"/>
      <c r="D511" s="27"/>
      <c r="E511" s="27"/>
      <c r="F511" s="27"/>
      <c r="G511" s="27"/>
      <c r="H511" s="27"/>
      <c r="I511" s="27"/>
      <c r="J511" s="27"/>
      <c r="K511" s="27">
        <f>Table15[[#This Row],[الايصالات]]+Table15[[#This Row],[النولون]]-Table15[[#This Row],[خصم 3%]]</f>
        <v>0</v>
      </c>
      <c r="L511" s="27"/>
      <c r="M511" s="27">
        <f>Table15[[#This Row],[اجمالي الفاتوره]]-Table15[[#This Row],[الدفعات]]</f>
        <v>0</v>
      </c>
      <c r="N511" s="27"/>
      <c r="O511" s="27"/>
    </row>
    <row r="512" spans="2:15" ht="29.25" customHeight="1" x14ac:dyDescent="0.3">
      <c r="B512" s="27"/>
      <c r="C512" s="27"/>
      <c r="D512" s="27"/>
      <c r="E512" s="27"/>
      <c r="F512" s="27"/>
      <c r="G512" s="27"/>
      <c r="H512" s="27"/>
      <c r="I512" s="27"/>
      <c r="J512" s="27"/>
      <c r="K512" s="27">
        <f>Table15[[#This Row],[الايصالات]]+Table15[[#This Row],[النولون]]-Table15[[#This Row],[خصم 3%]]</f>
        <v>0</v>
      </c>
      <c r="L512" s="27"/>
      <c r="M512" s="27">
        <f>Table15[[#This Row],[اجمالي الفاتوره]]-Table15[[#This Row],[الدفعات]]</f>
        <v>0</v>
      </c>
      <c r="N512" s="27"/>
      <c r="O512" s="27"/>
    </row>
    <row r="513" spans="2:15" ht="29.25" customHeight="1" x14ac:dyDescent="0.3">
      <c r="B513" s="27"/>
      <c r="C513" s="27"/>
      <c r="D513" s="27"/>
      <c r="E513" s="27"/>
      <c r="F513" s="27"/>
      <c r="G513" s="27"/>
      <c r="H513" s="27"/>
      <c r="I513" s="27"/>
      <c r="J513" s="27"/>
      <c r="K513" s="27">
        <f>Table15[[#This Row],[الايصالات]]+Table15[[#This Row],[النولون]]-Table15[[#This Row],[خصم 3%]]</f>
        <v>0</v>
      </c>
      <c r="L513" s="27"/>
      <c r="M513" s="27">
        <f>Table15[[#This Row],[اجمالي الفاتوره]]-Table15[[#This Row],[الدفعات]]</f>
        <v>0</v>
      </c>
      <c r="N513" s="27"/>
      <c r="O513" s="27"/>
    </row>
    <row r="514" spans="2:15" ht="29.25" customHeight="1" x14ac:dyDescent="0.3">
      <c r="B514" s="27"/>
      <c r="C514" s="27"/>
      <c r="D514" s="27"/>
      <c r="E514" s="27"/>
      <c r="F514" s="27"/>
      <c r="G514" s="27"/>
      <c r="H514" s="27"/>
      <c r="I514" s="27"/>
      <c r="J514" s="27"/>
      <c r="K514" s="27">
        <f>Table15[[#This Row],[الايصالات]]+Table15[[#This Row],[النولون]]-Table15[[#This Row],[خصم 3%]]</f>
        <v>0</v>
      </c>
      <c r="L514" s="27"/>
      <c r="M514" s="27">
        <f>Table15[[#This Row],[اجمالي الفاتوره]]-Table15[[#This Row],[الدفعات]]</f>
        <v>0</v>
      </c>
      <c r="N514" s="27"/>
      <c r="O514" s="27"/>
    </row>
    <row r="515" spans="2:15" ht="29.25" customHeight="1" x14ac:dyDescent="0.3">
      <c r="B515" s="27"/>
      <c r="C515" s="27"/>
      <c r="D515" s="27"/>
      <c r="E515" s="27"/>
      <c r="F515" s="27"/>
      <c r="G515" s="27"/>
      <c r="H515" s="27"/>
      <c r="I515" s="27"/>
      <c r="J515" s="27"/>
      <c r="K515" s="27">
        <f>Table15[[#This Row],[الايصالات]]+Table15[[#This Row],[النولون]]-Table15[[#This Row],[خصم 3%]]</f>
        <v>0</v>
      </c>
      <c r="L515" s="27"/>
      <c r="M515" s="27">
        <f>Table15[[#This Row],[اجمالي الفاتوره]]-Table15[[#This Row],[الدفعات]]</f>
        <v>0</v>
      </c>
      <c r="N515" s="27"/>
      <c r="O515" s="27"/>
    </row>
    <row r="516" spans="2:15" ht="29.25" customHeight="1" x14ac:dyDescent="0.3">
      <c r="B516" s="27"/>
      <c r="C516" s="27"/>
      <c r="D516" s="27"/>
      <c r="E516" s="27"/>
      <c r="F516" s="27"/>
      <c r="G516" s="27"/>
      <c r="H516" s="27"/>
      <c r="I516" s="27"/>
      <c r="J516" s="27"/>
      <c r="K516" s="27">
        <f>Table15[[#This Row],[الايصالات]]+Table15[[#This Row],[النولون]]-Table15[[#This Row],[خصم 3%]]</f>
        <v>0</v>
      </c>
      <c r="L516" s="27"/>
      <c r="M516" s="27">
        <f>Table15[[#This Row],[اجمالي الفاتوره]]-Table15[[#This Row],[الدفعات]]</f>
        <v>0</v>
      </c>
      <c r="N516" s="27"/>
      <c r="O516" s="27"/>
    </row>
    <row r="517" spans="2:15" ht="29.25" customHeight="1" x14ac:dyDescent="0.3">
      <c r="B517" s="27"/>
      <c r="C517" s="27"/>
      <c r="D517" s="27"/>
      <c r="E517" s="27"/>
      <c r="F517" s="27"/>
      <c r="G517" s="27"/>
      <c r="H517" s="27"/>
      <c r="I517" s="27"/>
      <c r="J517" s="27"/>
      <c r="K517" s="27">
        <f>Table15[[#This Row],[الايصالات]]+Table15[[#This Row],[النولون]]-Table15[[#This Row],[خصم 3%]]</f>
        <v>0</v>
      </c>
      <c r="L517" s="27"/>
      <c r="M517" s="27">
        <f>Table15[[#This Row],[اجمالي الفاتوره]]-Table15[[#This Row],[الدفعات]]</f>
        <v>0</v>
      </c>
      <c r="N517" s="27"/>
      <c r="O517" s="27"/>
    </row>
    <row r="518" spans="2:15" ht="29.25" customHeight="1" x14ac:dyDescent="0.3">
      <c r="B518" s="27"/>
      <c r="C518" s="27"/>
      <c r="D518" s="27"/>
      <c r="E518" s="27"/>
      <c r="F518" s="27"/>
      <c r="G518" s="27"/>
      <c r="H518" s="27"/>
      <c r="I518" s="27"/>
      <c r="J518" s="27"/>
      <c r="K518" s="27">
        <f>Table15[[#This Row],[الايصالات]]+Table15[[#This Row],[النولون]]-Table15[[#This Row],[خصم 3%]]</f>
        <v>0</v>
      </c>
      <c r="L518" s="27"/>
      <c r="M518" s="27">
        <f>Table15[[#This Row],[اجمالي الفاتوره]]-Table15[[#This Row],[الدفعات]]</f>
        <v>0</v>
      </c>
      <c r="N518" s="27"/>
      <c r="O518" s="27"/>
    </row>
    <row r="519" spans="2:15" ht="29.25" customHeight="1" x14ac:dyDescent="0.3">
      <c r="B519" s="27"/>
      <c r="C519" s="27"/>
      <c r="D519" s="27"/>
      <c r="E519" s="27"/>
      <c r="F519" s="27"/>
      <c r="G519" s="27"/>
      <c r="H519" s="27"/>
      <c r="I519" s="27"/>
      <c r="J519" s="27"/>
      <c r="K519" s="27">
        <f>Table15[[#This Row],[الايصالات]]+Table15[[#This Row],[النولون]]-Table15[[#This Row],[خصم 3%]]</f>
        <v>0</v>
      </c>
      <c r="L519" s="27"/>
      <c r="M519" s="27">
        <f>Table15[[#This Row],[اجمالي الفاتوره]]-Table15[[#This Row],[الدفعات]]</f>
        <v>0</v>
      </c>
      <c r="N519" s="27"/>
      <c r="O519" s="27"/>
    </row>
    <row r="520" spans="2:15" ht="29.25" customHeight="1" x14ac:dyDescent="0.3">
      <c r="B520" s="27"/>
      <c r="C520" s="27"/>
      <c r="D520" s="27"/>
      <c r="E520" s="27"/>
      <c r="F520" s="27"/>
      <c r="G520" s="27"/>
      <c r="H520" s="27"/>
      <c r="I520" s="27"/>
      <c r="J520" s="27"/>
      <c r="K520" s="27">
        <f>Table15[[#This Row],[الايصالات]]+Table15[[#This Row],[النولون]]-Table15[[#This Row],[خصم 3%]]</f>
        <v>0</v>
      </c>
      <c r="L520" s="27"/>
      <c r="M520" s="27">
        <f>Table15[[#This Row],[اجمالي الفاتوره]]-Table15[[#This Row],[الدفعات]]</f>
        <v>0</v>
      </c>
      <c r="N520" s="27"/>
      <c r="O520" s="27"/>
    </row>
    <row r="521" spans="2:15" ht="29.25" customHeight="1" x14ac:dyDescent="0.3">
      <c r="B521" s="27"/>
      <c r="C521" s="27"/>
      <c r="D521" s="27"/>
      <c r="E521" s="27"/>
      <c r="F521" s="27"/>
      <c r="G521" s="27"/>
      <c r="H521" s="27"/>
      <c r="I521" s="27"/>
      <c r="J521" s="27"/>
      <c r="K521" s="27">
        <f>Table15[[#This Row],[الايصالات]]+Table15[[#This Row],[النولون]]-Table15[[#This Row],[خصم 3%]]</f>
        <v>0</v>
      </c>
      <c r="L521" s="27"/>
      <c r="M521" s="27">
        <f>Table15[[#This Row],[اجمالي الفاتوره]]-Table15[[#This Row],[الدفعات]]</f>
        <v>0</v>
      </c>
      <c r="N521" s="27"/>
      <c r="O521" s="27"/>
    </row>
    <row r="522" spans="2:15" ht="29.25" customHeight="1" x14ac:dyDescent="0.3">
      <c r="B522" s="27"/>
      <c r="C522" s="27"/>
      <c r="D522" s="27"/>
      <c r="E522" s="27"/>
      <c r="F522" s="27"/>
      <c r="G522" s="27"/>
      <c r="H522" s="27"/>
      <c r="I522" s="27"/>
      <c r="J522" s="27"/>
      <c r="K522" s="27">
        <f>Table15[[#This Row],[الايصالات]]+Table15[[#This Row],[النولون]]-Table15[[#This Row],[خصم 3%]]</f>
        <v>0</v>
      </c>
      <c r="L522" s="27"/>
      <c r="M522" s="27">
        <f>Table15[[#This Row],[اجمالي الفاتوره]]-Table15[[#This Row],[الدفعات]]</f>
        <v>0</v>
      </c>
      <c r="N522" s="27"/>
      <c r="O522" s="27"/>
    </row>
    <row r="523" spans="2:15" ht="29.25" customHeight="1" x14ac:dyDescent="0.3">
      <c r="B523" s="27"/>
      <c r="C523" s="27"/>
      <c r="D523" s="27"/>
      <c r="E523" s="27"/>
      <c r="F523" s="27"/>
      <c r="G523" s="27"/>
      <c r="H523" s="27"/>
      <c r="I523" s="27"/>
      <c r="J523" s="27"/>
      <c r="K523" s="27">
        <f>Table15[[#This Row],[الايصالات]]+Table15[[#This Row],[النولون]]-Table15[[#This Row],[خصم 3%]]</f>
        <v>0</v>
      </c>
      <c r="L523" s="27"/>
      <c r="M523" s="27">
        <f>Table15[[#This Row],[اجمالي الفاتوره]]-Table15[[#This Row],[الدفعات]]</f>
        <v>0</v>
      </c>
      <c r="N523" s="27"/>
      <c r="O523" s="27"/>
    </row>
    <row r="524" spans="2:15" ht="29.25" customHeight="1" x14ac:dyDescent="0.3">
      <c r="B524" s="27"/>
      <c r="C524" s="27"/>
      <c r="D524" s="27"/>
      <c r="E524" s="27"/>
      <c r="F524" s="27"/>
      <c r="G524" s="27"/>
      <c r="H524" s="27"/>
      <c r="I524" s="27"/>
      <c r="J524" s="27"/>
      <c r="K524" s="27">
        <f>Table15[[#This Row],[الايصالات]]+Table15[[#This Row],[النولون]]-Table15[[#This Row],[خصم 3%]]</f>
        <v>0</v>
      </c>
      <c r="L524" s="27"/>
      <c r="M524" s="27">
        <f>Table15[[#This Row],[اجمالي الفاتوره]]-Table15[[#This Row],[الدفعات]]</f>
        <v>0</v>
      </c>
      <c r="N524" s="27"/>
      <c r="O524" s="27"/>
    </row>
    <row r="525" spans="2:15" ht="29.25" customHeight="1" x14ac:dyDescent="0.3">
      <c r="B525" s="27"/>
      <c r="C525" s="27"/>
      <c r="D525" s="27"/>
      <c r="E525" s="27"/>
      <c r="F525" s="27"/>
      <c r="G525" s="27"/>
      <c r="H525" s="27"/>
      <c r="I525" s="27"/>
      <c r="J525" s="27"/>
      <c r="K525" s="27">
        <f>Table15[[#This Row],[الايصالات]]+Table15[[#This Row],[النولون]]-Table15[[#This Row],[خصم 3%]]</f>
        <v>0</v>
      </c>
      <c r="L525" s="27"/>
      <c r="M525" s="27">
        <f>Table15[[#This Row],[اجمالي الفاتوره]]-Table15[[#This Row],[الدفعات]]</f>
        <v>0</v>
      </c>
      <c r="N525" s="27"/>
      <c r="O525" s="27"/>
    </row>
    <row r="526" spans="2:15" ht="29.25" customHeight="1" x14ac:dyDescent="0.3">
      <c r="B526" s="27"/>
      <c r="C526" s="27"/>
      <c r="D526" s="27"/>
      <c r="E526" s="27"/>
      <c r="F526" s="27"/>
      <c r="G526" s="27"/>
      <c r="H526" s="27"/>
      <c r="I526" s="27"/>
      <c r="J526" s="27"/>
      <c r="K526" s="27">
        <f>Table15[[#This Row],[الايصالات]]+Table15[[#This Row],[النولون]]-Table15[[#This Row],[خصم 3%]]</f>
        <v>0</v>
      </c>
      <c r="L526" s="27"/>
      <c r="M526" s="27">
        <f>Table15[[#This Row],[اجمالي الفاتوره]]-Table15[[#This Row],[الدفعات]]</f>
        <v>0</v>
      </c>
      <c r="N526" s="27"/>
      <c r="O526" s="27"/>
    </row>
    <row r="527" spans="2:15" ht="29.25" customHeight="1" x14ac:dyDescent="0.3">
      <c r="B527" s="27"/>
      <c r="C527" s="27"/>
      <c r="D527" s="27"/>
      <c r="E527" s="27"/>
      <c r="F527" s="27"/>
      <c r="G527" s="27"/>
      <c r="H527" s="27"/>
      <c r="I527" s="27"/>
      <c r="J527" s="27"/>
      <c r="K527" s="27">
        <f>Table15[[#This Row],[الايصالات]]+Table15[[#This Row],[النولون]]-Table15[[#This Row],[خصم 3%]]</f>
        <v>0</v>
      </c>
      <c r="L527" s="27"/>
      <c r="M527" s="27">
        <f>Table15[[#This Row],[اجمالي الفاتوره]]-Table15[[#This Row],[الدفعات]]</f>
        <v>0</v>
      </c>
      <c r="N527" s="27"/>
      <c r="O527" s="27"/>
    </row>
    <row r="528" spans="2:15" ht="29.25" customHeight="1" x14ac:dyDescent="0.3">
      <c r="B528" s="27"/>
      <c r="C528" s="27"/>
      <c r="D528" s="27"/>
      <c r="E528" s="27"/>
      <c r="F528" s="27"/>
      <c r="G528" s="27"/>
      <c r="H528" s="27"/>
      <c r="I528" s="27"/>
      <c r="J528" s="27"/>
      <c r="K528" s="27">
        <f>Table15[[#This Row],[الايصالات]]+Table15[[#This Row],[النولون]]-Table15[[#This Row],[خصم 3%]]</f>
        <v>0</v>
      </c>
      <c r="L528" s="27"/>
      <c r="M528" s="27">
        <f>Table15[[#This Row],[اجمالي الفاتوره]]-Table15[[#This Row],[الدفعات]]</f>
        <v>0</v>
      </c>
      <c r="N528" s="27"/>
      <c r="O528" s="27"/>
    </row>
    <row r="529" spans="2:15" ht="29.25" customHeight="1" x14ac:dyDescent="0.3">
      <c r="B529" s="27"/>
      <c r="C529" s="27"/>
      <c r="D529" s="27"/>
      <c r="E529" s="27"/>
      <c r="F529" s="27"/>
      <c r="G529" s="27"/>
      <c r="H529" s="27"/>
      <c r="I529" s="27"/>
      <c r="J529" s="27"/>
      <c r="K529" s="27">
        <f>Table15[[#This Row],[الايصالات]]+Table15[[#This Row],[النولون]]-Table15[[#This Row],[خصم 3%]]</f>
        <v>0</v>
      </c>
      <c r="L529" s="27"/>
      <c r="M529" s="27">
        <f>Table15[[#This Row],[اجمالي الفاتوره]]-Table15[[#This Row],[الدفعات]]</f>
        <v>0</v>
      </c>
      <c r="N529" s="27"/>
      <c r="O529" s="27"/>
    </row>
    <row r="530" spans="2:15" ht="29.25" customHeight="1" x14ac:dyDescent="0.3">
      <c r="B530" s="27"/>
      <c r="C530" s="27"/>
      <c r="D530" s="27"/>
      <c r="E530" s="27"/>
      <c r="F530" s="27"/>
      <c r="G530" s="27"/>
      <c r="H530" s="27"/>
      <c r="I530" s="27"/>
      <c r="J530" s="27"/>
      <c r="K530" s="27">
        <f>Table15[[#This Row],[الايصالات]]+Table15[[#This Row],[النولون]]-Table15[[#This Row],[خصم 3%]]</f>
        <v>0</v>
      </c>
      <c r="L530" s="27"/>
      <c r="M530" s="27">
        <f>Table15[[#This Row],[اجمالي الفاتوره]]-Table15[[#This Row],[الدفعات]]</f>
        <v>0</v>
      </c>
      <c r="N530" s="27"/>
      <c r="O530" s="27"/>
    </row>
    <row r="531" spans="2:15" ht="29.25" customHeight="1" x14ac:dyDescent="0.3">
      <c r="B531" s="27"/>
      <c r="C531" s="27"/>
      <c r="D531" s="27"/>
      <c r="E531" s="27"/>
      <c r="F531" s="27"/>
      <c r="G531" s="27"/>
      <c r="H531" s="27"/>
      <c r="I531" s="27"/>
      <c r="J531" s="27"/>
      <c r="K531" s="27">
        <f>Table15[[#This Row],[الايصالات]]+Table15[[#This Row],[النولون]]-Table15[[#This Row],[خصم 3%]]</f>
        <v>0</v>
      </c>
      <c r="L531" s="27"/>
      <c r="M531" s="27">
        <f>Table15[[#This Row],[اجمالي الفاتوره]]-Table15[[#This Row],[الدفعات]]</f>
        <v>0</v>
      </c>
      <c r="N531" s="27"/>
      <c r="O531" s="27"/>
    </row>
    <row r="532" spans="2:15" ht="29.25" customHeight="1" x14ac:dyDescent="0.3">
      <c r="B532" s="27"/>
      <c r="C532" s="27"/>
      <c r="D532" s="27"/>
      <c r="E532" s="27"/>
      <c r="F532" s="27"/>
      <c r="G532" s="27"/>
      <c r="H532" s="27"/>
      <c r="I532" s="27"/>
      <c r="J532" s="27"/>
      <c r="K532" s="27">
        <f>Table15[[#This Row],[الايصالات]]+Table15[[#This Row],[النولون]]-Table15[[#This Row],[خصم 3%]]</f>
        <v>0</v>
      </c>
      <c r="L532" s="27"/>
      <c r="M532" s="27">
        <f>Table15[[#This Row],[اجمالي الفاتوره]]-Table15[[#This Row],[الدفعات]]</f>
        <v>0</v>
      </c>
      <c r="N532" s="27"/>
      <c r="O532" s="27"/>
    </row>
    <row r="533" spans="2:15" ht="29.25" customHeight="1" x14ac:dyDescent="0.3">
      <c r="B533" s="27"/>
      <c r="C533" s="27"/>
      <c r="D533" s="27"/>
      <c r="E533" s="27"/>
      <c r="F533" s="27"/>
      <c r="G533" s="27"/>
      <c r="H533" s="27"/>
      <c r="I533" s="27"/>
      <c r="J533" s="27"/>
      <c r="K533" s="27">
        <f>Table15[[#This Row],[الايصالات]]+Table15[[#This Row],[النولون]]-Table15[[#This Row],[خصم 3%]]</f>
        <v>0</v>
      </c>
      <c r="L533" s="27"/>
      <c r="M533" s="27">
        <f>Table15[[#This Row],[اجمالي الفاتوره]]-Table15[[#This Row],[الدفعات]]</f>
        <v>0</v>
      </c>
      <c r="N533" s="27"/>
      <c r="O533" s="27"/>
    </row>
    <row r="534" spans="2:15" ht="29.25" customHeight="1" x14ac:dyDescent="0.3">
      <c r="B534" s="27"/>
      <c r="C534" s="27"/>
      <c r="D534" s="27"/>
      <c r="E534" s="27"/>
      <c r="F534" s="27"/>
      <c r="G534" s="27"/>
      <c r="H534" s="27"/>
      <c r="I534" s="27"/>
      <c r="J534" s="27"/>
      <c r="K534" s="27">
        <f>Table15[[#This Row],[الايصالات]]+Table15[[#This Row],[النولون]]-Table15[[#This Row],[خصم 3%]]</f>
        <v>0</v>
      </c>
      <c r="L534" s="27"/>
      <c r="M534" s="27">
        <f>Table15[[#This Row],[اجمالي الفاتوره]]-Table15[[#This Row],[الدفعات]]</f>
        <v>0</v>
      </c>
      <c r="N534" s="27"/>
      <c r="O534" s="27"/>
    </row>
    <row r="535" spans="2:15" ht="29.25" customHeight="1" x14ac:dyDescent="0.3">
      <c r="B535" s="27"/>
      <c r="C535" s="27"/>
      <c r="D535" s="27"/>
      <c r="E535" s="27"/>
      <c r="F535" s="27"/>
      <c r="G535" s="27"/>
      <c r="H535" s="27"/>
      <c r="I535" s="27"/>
      <c r="J535" s="27"/>
      <c r="K535" s="27">
        <f>Table15[[#This Row],[الايصالات]]+Table15[[#This Row],[النولون]]-Table15[[#This Row],[خصم 3%]]</f>
        <v>0</v>
      </c>
      <c r="L535" s="27"/>
      <c r="M535" s="27">
        <f>Table15[[#This Row],[اجمالي الفاتوره]]-Table15[[#This Row],[الدفعات]]</f>
        <v>0</v>
      </c>
      <c r="N535" s="27"/>
      <c r="O535" s="27"/>
    </row>
    <row r="536" spans="2:15" ht="29.25" customHeight="1" x14ac:dyDescent="0.3">
      <c r="B536" s="27"/>
      <c r="C536" s="27"/>
      <c r="D536" s="27"/>
      <c r="E536" s="27"/>
      <c r="F536" s="27"/>
      <c r="G536" s="27"/>
      <c r="H536" s="27"/>
      <c r="I536" s="27"/>
      <c r="J536" s="27"/>
      <c r="K536" s="27">
        <f>Table15[[#This Row],[الايصالات]]+Table15[[#This Row],[النولون]]-Table15[[#This Row],[خصم 3%]]</f>
        <v>0</v>
      </c>
      <c r="L536" s="27"/>
      <c r="M536" s="27">
        <f>Table15[[#This Row],[اجمالي الفاتوره]]-Table15[[#This Row],[الدفعات]]</f>
        <v>0</v>
      </c>
      <c r="N536" s="27"/>
      <c r="O536" s="27"/>
    </row>
    <row r="537" spans="2:15" ht="29.25" customHeight="1" x14ac:dyDescent="0.3">
      <c r="B537" s="27"/>
      <c r="C537" s="27"/>
      <c r="D537" s="27"/>
      <c r="E537" s="27"/>
      <c r="F537" s="27"/>
      <c r="G537" s="27"/>
      <c r="H537" s="27"/>
      <c r="I537" s="27"/>
      <c r="J537" s="27"/>
      <c r="K537" s="27">
        <f>Table15[[#This Row],[الايصالات]]+Table15[[#This Row],[النولون]]-Table15[[#This Row],[خصم 3%]]</f>
        <v>0</v>
      </c>
      <c r="L537" s="27"/>
      <c r="M537" s="27">
        <f>Table15[[#This Row],[اجمالي الفاتوره]]-Table15[[#This Row],[الدفعات]]</f>
        <v>0</v>
      </c>
      <c r="N537" s="27"/>
      <c r="O537" s="27"/>
    </row>
    <row r="538" spans="2:15" ht="29.25" customHeight="1" x14ac:dyDescent="0.3">
      <c r="B538" s="27"/>
      <c r="C538" s="27"/>
      <c r="D538" s="27"/>
      <c r="E538" s="27"/>
      <c r="F538" s="27"/>
      <c r="G538" s="27"/>
      <c r="H538" s="27"/>
      <c r="I538" s="27"/>
      <c r="J538" s="27"/>
      <c r="K538" s="27">
        <f>Table15[[#This Row],[الايصالات]]+Table15[[#This Row],[النولون]]-Table15[[#This Row],[خصم 3%]]</f>
        <v>0</v>
      </c>
      <c r="L538" s="27"/>
      <c r="M538" s="27">
        <f>Table15[[#This Row],[اجمالي الفاتوره]]-Table15[[#This Row],[الدفعات]]</f>
        <v>0</v>
      </c>
      <c r="N538" s="27"/>
      <c r="O538" s="27"/>
    </row>
    <row r="539" spans="2:15" ht="29.25" customHeight="1" x14ac:dyDescent="0.3">
      <c r="B539" s="27"/>
      <c r="C539" s="27"/>
      <c r="D539" s="27"/>
      <c r="E539" s="27"/>
      <c r="F539" s="27"/>
      <c r="G539" s="27"/>
      <c r="H539" s="27"/>
      <c r="I539" s="27"/>
      <c r="J539" s="27"/>
      <c r="K539" s="27">
        <f>Table15[[#This Row],[الايصالات]]+Table15[[#This Row],[النولون]]-Table15[[#This Row],[خصم 3%]]</f>
        <v>0</v>
      </c>
      <c r="L539" s="27"/>
      <c r="M539" s="27">
        <f>Table15[[#This Row],[اجمالي الفاتوره]]-Table15[[#This Row],[الدفعات]]</f>
        <v>0</v>
      </c>
      <c r="N539" s="27"/>
      <c r="O539" s="27"/>
    </row>
    <row r="540" spans="2:15" ht="29.25" customHeight="1" x14ac:dyDescent="0.3">
      <c r="B540" s="27"/>
      <c r="C540" s="27"/>
      <c r="D540" s="27"/>
      <c r="E540" s="27"/>
      <c r="F540" s="27"/>
      <c r="G540" s="27"/>
      <c r="H540" s="27"/>
      <c r="I540" s="27"/>
      <c r="J540" s="27"/>
      <c r="K540" s="27">
        <f>Table15[[#This Row],[الايصالات]]+Table15[[#This Row],[النولون]]-Table15[[#This Row],[خصم 3%]]</f>
        <v>0</v>
      </c>
      <c r="L540" s="27"/>
      <c r="M540" s="27">
        <f>Table15[[#This Row],[اجمالي الفاتوره]]-Table15[[#This Row],[الدفعات]]</f>
        <v>0</v>
      </c>
      <c r="N540" s="27"/>
      <c r="O540" s="27"/>
    </row>
    <row r="541" spans="2:15" ht="29.25" customHeight="1" x14ac:dyDescent="0.3">
      <c r="B541" s="27"/>
      <c r="C541" s="27"/>
      <c r="D541" s="27"/>
      <c r="E541" s="27"/>
      <c r="F541" s="27"/>
      <c r="G541" s="27"/>
      <c r="H541" s="27"/>
      <c r="I541" s="27"/>
      <c r="J541" s="27"/>
      <c r="K541" s="27">
        <f>Table15[[#This Row],[الايصالات]]+Table15[[#This Row],[النولون]]-Table15[[#This Row],[خصم 3%]]</f>
        <v>0</v>
      </c>
      <c r="L541" s="27"/>
      <c r="M541" s="27">
        <f>Table15[[#This Row],[اجمالي الفاتوره]]-Table15[[#This Row],[الدفعات]]</f>
        <v>0</v>
      </c>
      <c r="N541" s="27"/>
      <c r="O541" s="27"/>
    </row>
    <row r="542" spans="2:15" ht="29.25" customHeight="1" x14ac:dyDescent="0.3">
      <c r="B542" s="27"/>
      <c r="C542" s="27"/>
      <c r="D542" s="27"/>
      <c r="E542" s="27"/>
      <c r="F542" s="27"/>
      <c r="G542" s="27"/>
      <c r="H542" s="27"/>
      <c r="I542" s="27"/>
      <c r="J542" s="27"/>
      <c r="K542" s="27">
        <f>Table15[[#This Row],[الايصالات]]+Table15[[#This Row],[النولون]]-Table15[[#This Row],[خصم 3%]]</f>
        <v>0</v>
      </c>
      <c r="L542" s="27"/>
      <c r="M542" s="27">
        <f>Table15[[#This Row],[اجمالي الفاتوره]]-Table15[[#This Row],[الدفعات]]</f>
        <v>0</v>
      </c>
      <c r="N542" s="27"/>
      <c r="O542" s="27"/>
    </row>
    <row r="543" spans="2:15" ht="29.25" customHeight="1" x14ac:dyDescent="0.3">
      <c r="B543" s="27"/>
      <c r="C543" s="27"/>
      <c r="D543" s="27"/>
      <c r="E543" s="27"/>
      <c r="F543" s="27"/>
      <c r="G543" s="27"/>
      <c r="H543" s="27"/>
      <c r="I543" s="27"/>
      <c r="J543" s="27"/>
      <c r="K543" s="27">
        <f>Table15[[#This Row],[الايصالات]]+Table15[[#This Row],[النولون]]-Table15[[#This Row],[خصم 3%]]</f>
        <v>0</v>
      </c>
      <c r="L543" s="27"/>
      <c r="M543" s="27">
        <f>Table15[[#This Row],[اجمالي الفاتوره]]-Table15[[#This Row],[الدفعات]]</f>
        <v>0</v>
      </c>
      <c r="N543" s="27"/>
      <c r="O543" s="27"/>
    </row>
    <row r="544" spans="2:15" ht="29.25" customHeight="1" x14ac:dyDescent="0.3">
      <c r="B544" s="27"/>
      <c r="C544" s="27"/>
      <c r="D544" s="27"/>
      <c r="E544" s="27"/>
      <c r="F544" s="27"/>
      <c r="G544" s="27"/>
      <c r="H544" s="27"/>
      <c r="I544" s="27"/>
      <c r="J544" s="27"/>
      <c r="K544" s="27">
        <f>Table15[[#This Row],[الايصالات]]+Table15[[#This Row],[النولون]]-Table15[[#This Row],[خصم 3%]]</f>
        <v>0</v>
      </c>
      <c r="L544" s="27"/>
      <c r="M544" s="27">
        <f>Table15[[#This Row],[اجمالي الفاتوره]]-Table15[[#This Row],[الدفعات]]</f>
        <v>0</v>
      </c>
      <c r="N544" s="27"/>
      <c r="O544" s="27"/>
    </row>
    <row r="545" spans="2:15" ht="29.25" customHeight="1" x14ac:dyDescent="0.3">
      <c r="B545" s="27"/>
      <c r="C545" s="27"/>
      <c r="D545" s="27"/>
      <c r="E545" s="27"/>
      <c r="F545" s="27"/>
      <c r="G545" s="27"/>
      <c r="H545" s="27"/>
      <c r="I545" s="27"/>
      <c r="J545" s="27"/>
      <c r="K545" s="27">
        <f>Table15[[#This Row],[الايصالات]]+Table15[[#This Row],[النولون]]-Table15[[#This Row],[خصم 3%]]</f>
        <v>0</v>
      </c>
      <c r="L545" s="27"/>
      <c r="M545" s="27">
        <f>Table15[[#This Row],[اجمالي الفاتوره]]-Table15[[#This Row],[الدفعات]]</f>
        <v>0</v>
      </c>
      <c r="N545" s="27"/>
      <c r="O545" s="27"/>
    </row>
    <row r="546" spans="2:15" ht="29.25" customHeight="1" x14ac:dyDescent="0.3">
      <c r="B546" s="27"/>
      <c r="C546" s="27"/>
      <c r="D546" s="27"/>
      <c r="E546" s="27"/>
      <c r="F546" s="27"/>
      <c r="G546" s="27"/>
      <c r="H546" s="27"/>
      <c r="I546" s="27"/>
      <c r="J546" s="27"/>
      <c r="K546" s="27">
        <f>Table15[[#This Row],[الايصالات]]+Table15[[#This Row],[النولون]]-Table15[[#This Row],[خصم 3%]]</f>
        <v>0</v>
      </c>
      <c r="L546" s="27"/>
      <c r="M546" s="27">
        <f>Table15[[#This Row],[اجمالي الفاتوره]]-Table15[[#This Row],[الدفعات]]</f>
        <v>0</v>
      </c>
      <c r="N546" s="27"/>
      <c r="O546" s="27"/>
    </row>
    <row r="547" spans="2:15" ht="29.25" customHeight="1" x14ac:dyDescent="0.3">
      <c r="B547" s="27"/>
      <c r="C547" s="27"/>
      <c r="D547" s="27"/>
      <c r="E547" s="27"/>
      <c r="F547" s="27"/>
      <c r="G547" s="27"/>
      <c r="H547" s="27"/>
      <c r="I547" s="27"/>
      <c r="J547" s="27"/>
      <c r="K547" s="27">
        <f>Table15[[#This Row],[الايصالات]]+Table15[[#This Row],[النولون]]-Table15[[#This Row],[خصم 3%]]</f>
        <v>0</v>
      </c>
      <c r="L547" s="27"/>
      <c r="M547" s="27">
        <f>Table15[[#This Row],[اجمالي الفاتوره]]-Table15[[#This Row],[الدفعات]]</f>
        <v>0</v>
      </c>
      <c r="N547" s="27"/>
      <c r="O547" s="27"/>
    </row>
    <row r="548" spans="2:15" ht="29.25" customHeight="1" x14ac:dyDescent="0.3">
      <c r="B548" s="27"/>
      <c r="C548" s="27"/>
      <c r="D548" s="27"/>
      <c r="E548" s="27"/>
      <c r="F548" s="27"/>
      <c r="G548" s="27"/>
      <c r="H548" s="27"/>
      <c r="I548" s="27"/>
      <c r="J548" s="27"/>
      <c r="K548" s="27">
        <f>Table15[[#This Row],[الايصالات]]+Table15[[#This Row],[النولون]]-Table15[[#This Row],[خصم 3%]]</f>
        <v>0</v>
      </c>
      <c r="L548" s="27"/>
      <c r="M548" s="27">
        <f>Table15[[#This Row],[اجمالي الفاتوره]]-Table15[[#This Row],[الدفعات]]</f>
        <v>0</v>
      </c>
      <c r="N548" s="27"/>
      <c r="O548" s="27"/>
    </row>
    <row r="549" spans="2:15" ht="29.25" customHeight="1" x14ac:dyDescent="0.3">
      <c r="B549" s="27"/>
      <c r="C549" s="27"/>
      <c r="D549" s="27"/>
      <c r="E549" s="27"/>
      <c r="F549" s="27"/>
      <c r="G549" s="27"/>
      <c r="H549" s="27"/>
      <c r="I549" s="27"/>
      <c r="J549" s="27"/>
      <c r="K549" s="27">
        <f>Table15[[#This Row],[الايصالات]]+Table15[[#This Row],[النولون]]-Table15[[#This Row],[خصم 3%]]</f>
        <v>0</v>
      </c>
      <c r="L549" s="27"/>
      <c r="M549" s="27">
        <f>Table15[[#This Row],[اجمالي الفاتوره]]-Table15[[#This Row],[الدفعات]]</f>
        <v>0</v>
      </c>
      <c r="N549" s="27"/>
      <c r="O549" s="27"/>
    </row>
    <row r="550" spans="2:15" ht="29.25" customHeight="1" x14ac:dyDescent="0.3">
      <c r="B550" s="27"/>
      <c r="C550" s="27"/>
      <c r="D550" s="27"/>
      <c r="E550" s="27"/>
      <c r="F550" s="27"/>
      <c r="G550" s="27"/>
      <c r="H550" s="27"/>
      <c r="I550" s="27"/>
      <c r="J550" s="27"/>
      <c r="K550" s="27">
        <f>Table15[[#This Row],[الايصالات]]+Table15[[#This Row],[النولون]]-Table15[[#This Row],[خصم 3%]]</f>
        <v>0</v>
      </c>
      <c r="L550" s="27"/>
      <c r="M550" s="27">
        <f>Table15[[#This Row],[اجمالي الفاتوره]]-Table15[[#This Row],[الدفعات]]</f>
        <v>0</v>
      </c>
      <c r="N550" s="27"/>
      <c r="O550" s="27"/>
    </row>
    <row r="551" spans="2:15" ht="29.25" customHeight="1" x14ac:dyDescent="0.3">
      <c r="B551" s="27"/>
      <c r="C551" s="27"/>
      <c r="D551" s="27"/>
      <c r="E551" s="27"/>
      <c r="F551" s="27"/>
      <c r="G551" s="27"/>
      <c r="H551" s="27"/>
      <c r="I551" s="27"/>
      <c r="J551" s="27"/>
      <c r="K551" s="27">
        <f>Table15[[#This Row],[الايصالات]]+Table15[[#This Row],[النولون]]-Table15[[#This Row],[خصم 3%]]</f>
        <v>0</v>
      </c>
      <c r="L551" s="27"/>
      <c r="M551" s="27">
        <f>Table15[[#This Row],[اجمالي الفاتوره]]-Table15[[#This Row],[الدفعات]]</f>
        <v>0</v>
      </c>
      <c r="N551" s="27"/>
      <c r="O551" s="27"/>
    </row>
    <row r="552" spans="2:15" ht="29.25" customHeight="1" x14ac:dyDescent="0.3">
      <c r="B552" s="27"/>
      <c r="C552" s="27"/>
      <c r="D552" s="27"/>
      <c r="E552" s="27"/>
      <c r="F552" s="27"/>
      <c r="G552" s="27"/>
      <c r="H552" s="27"/>
      <c r="I552" s="27"/>
      <c r="J552" s="27"/>
      <c r="K552" s="27">
        <f>Table15[[#This Row],[الايصالات]]+Table15[[#This Row],[النولون]]-Table15[[#This Row],[خصم 3%]]</f>
        <v>0</v>
      </c>
      <c r="L552" s="27"/>
      <c r="M552" s="27">
        <f>Table15[[#This Row],[اجمالي الفاتوره]]-Table15[[#This Row],[الدفعات]]</f>
        <v>0</v>
      </c>
      <c r="N552" s="27"/>
      <c r="O552" s="27"/>
    </row>
    <row r="553" spans="2:15" ht="29.25" customHeight="1" x14ac:dyDescent="0.3">
      <c r="B553" s="27"/>
      <c r="C553" s="27"/>
      <c r="D553" s="27"/>
      <c r="E553" s="27"/>
      <c r="F553" s="27"/>
      <c r="G553" s="27"/>
      <c r="H553" s="27"/>
      <c r="I553" s="27"/>
      <c r="J553" s="27"/>
      <c r="K553" s="27">
        <f>Table15[[#This Row],[الايصالات]]+Table15[[#This Row],[النولون]]-Table15[[#This Row],[خصم 3%]]</f>
        <v>0</v>
      </c>
      <c r="L553" s="27"/>
      <c r="M553" s="27">
        <f>Table15[[#This Row],[اجمالي الفاتوره]]-Table15[[#This Row],[الدفعات]]</f>
        <v>0</v>
      </c>
      <c r="N553" s="27"/>
      <c r="O553" s="27"/>
    </row>
    <row r="554" spans="2:15" ht="29.25" customHeight="1" x14ac:dyDescent="0.3">
      <c r="B554" s="27"/>
      <c r="C554" s="27"/>
      <c r="D554" s="27"/>
      <c r="E554" s="27"/>
      <c r="F554" s="27"/>
      <c r="G554" s="27"/>
      <c r="H554" s="27"/>
      <c r="I554" s="27"/>
      <c r="J554" s="27"/>
      <c r="K554" s="27">
        <f>Table15[[#This Row],[الايصالات]]+Table15[[#This Row],[النولون]]-Table15[[#This Row],[خصم 3%]]</f>
        <v>0</v>
      </c>
      <c r="L554" s="27"/>
      <c r="M554" s="27">
        <f>Table15[[#This Row],[اجمالي الفاتوره]]-Table15[[#This Row],[الدفعات]]</f>
        <v>0</v>
      </c>
      <c r="N554" s="27"/>
      <c r="O554" s="27"/>
    </row>
    <row r="555" spans="2:15" ht="29.25" customHeight="1" x14ac:dyDescent="0.3">
      <c r="B555" s="27"/>
      <c r="C555" s="27"/>
      <c r="D555" s="27"/>
      <c r="E555" s="27"/>
      <c r="F555" s="27"/>
      <c r="G555" s="27"/>
      <c r="H555" s="27"/>
      <c r="I555" s="27"/>
      <c r="J555" s="27"/>
      <c r="K555" s="27">
        <f>Table15[[#This Row],[الايصالات]]+Table15[[#This Row],[النولون]]-Table15[[#This Row],[خصم 3%]]</f>
        <v>0</v>
      </c>
      <c r="L555" s="27"/>
      <c r="M555" s="27">
        <f>Table15[[#This Row],[اجمالي الفاتوره]]-Table15[[#This Row],[الدفعات]]</f>
        <v>0</v>
      </c>
      <c r="N555" s="27"/>
      <c r="O555" s="27"/>
    </row>
    <row r="556" spans="2:15" ht="29.25" customHeight="1" x14ac:dyDescent="0.3">
      <c r="B556" s="27"/>
      <c r="C556" s="27"/>
      <c r="D556" s="27"/>
      <c r="E556" s="27"/>
      <c r="F556" s="27"/>
      <c r="G556" s="27"/>
      <c r="H556" s="27"/>
      <c r="I556" s="27"/>
      <c r="J556" s="27"/>
      <c r="K556" s="27">
        <f>Table15[[#This Row],[الايصالات]]+Table15[[#This Row],[النولون]]-Table15[[#This Row],[خصم 3%]]</f>
        <v>0</v>
      </c>
      <c r="L556" s="27"/>
      <c r="M556" s="27">
        <f>Table15[[#This Row],[اجمالي الفاتوره]]-Table15[[#This Row],[الدفعات]]</f>
        <v>0</v>
      </c>
      <c r="N556" s="27"/>
      <c r="O556" s="27"/>
    </row>
    <row r="557" spans="2:15" ht="29.25" customHeight="1" x14ac:dyDescent="0.3">
      <c r="B557" s="27"/>
      <c r="C557" s="27"/>
      <c r="D557" s="27"/>
      <c r="E557" s="27"/>
      <c r="F557" s="27"/>
      <c r="G557" s="27"/>
      <c r="H557" s="27"/>
      <c r="I557" s="27"/>
      <c r="J557" s="27"/>
      <c r="K557" s="27">
        <f>Table15[[#This Row],[الايصالات]]+Table15[[#This Row],[النولون]]-Table15[[#This Row],[خصم 3%]]</f>
        <v>0</v>
      </c>
      <c r="L557" s="27"/>
      <c r="M557" s="27">
        <f>Table15[[#This Row],[اجمالي الفاتوره]]-Table15[[#This Row],[الدفعات]]</f>
        <v>0</v>
      </c>
      <c r="N557" s="27"/>
      <c r="O557" s="27"/>
    </row>
    <row r="558" spans="2:15" ht="29.25" customHeight="1" x14ac:dyDescent="0.3">
      <c r="B558" s="27"/>
      <c r="C558" s="27"/>
      <c r="D558" s="27"/>
      <c r="E558" s="27"/>
      <c r="F558" s="27"/>
      <c r="G558" s="27"/>
      <c r="H558" s="27"/>
      <c r="I558" s="27"/>
      <c r="J558" s="27"/>
      <c r="K558" s="27">
        <f>Table15[[#This Row],[الايصالات]]+Table15[[#This Row],[النولون]]-Table15[[#This Row],[خصم 3%]]</f>
        <v>0</v>
      </c>
      <c r="L558" s="27"/>
      <c r="M558" s="27">
        <f>Table15[[#This Row],[اجمالي الفاتوره]]-Table15[[#This Row],[الدفعات]]</f>
        <v>0</v>
      </c>
      <c r="N558" s="27"/>
      <c r="O558" s="27"/>
    </row>
    <row r="559" spans="2:15" ht="29.25" customHeight="1" x14ac:dyDescent="0.3">
      <c r="B559" s="27"/>
      <c r="C559" s="27"/>
      <c r="D559" s="27"/>
      <c r="E559" s="27"/>
      <c r="F559" s="27"/>
      <c r="G559" s="27"/>
      <c r="H559" s="27"/>
      <c r="I559" s="27"/>
      <c r="J559" s="27"/>
      <c r="K559" s="27">
        <f>Table15[[#This Row],[الايصالات]]+Table15[[#This Row],[النولون]]-Table15[[#This Row],[خصم 3%]]</f>
        <v>0</v>
      </c>
      <c r="L559" s="27"/>
      <c r="M559" s="27">
        <f>Table15[[#This Row],[اجمالي الفاتوره]]-Table15[[#This Row],[الدفعات]]</f>
        <v>0</v>
      </c>
      <c r="N559" s="27"/>
      <c r="O559" s="27"/>
    </row>
    <row r="560" spans="2:15" ht="29.25" customHeight="1" x14ac:dyDescent="0.3">
      <c r="B560" s="27"/>
      <c r="C560" s="27"/>
      <c r="D560" s="27"/>
      <c r="E560" s="27"/>
      <c r="F560" s="27"/>
      <c r="G560" s="27"/>
      <c r="H560" s="27"/>
      <c r="I560" s="27"/>
      <c r="J560" s="27"/>
      <c r="K560" s="27">
        <f>Table15[[#This Row],[الايصالات]]+Table15[[#This Row],[النولون]]-Table15[[#This Row],[خصم 3%]]</f>
        <v>0</v>
      </c>
      <c r="L560" s="27"/>
      <c r="M560" s="27">
        <f>Table15[[#This Row],[اجمالي الفاتوره]]-Table15[[#This Row],[الدفعات]]</f>
        <v>0</v>
      </c>
      <c r="N560" s="27"/>
      <c r="O560" s="27"/>
    </row>
    <row r="561" spans="2:15" ht="29.25" customHeight="1" x14ac:dyDescent="0.3">
      <c r="B561" s="27"/>
      <c r="C561" s="27"/>
      <c r="D561" s="27"/>
      <c r="E561" s="27"/>
      <c r="F561" s="27"/>
      <c r="G561" s="27"/>
      <c r="H561" s="27"/>
      <c r="I561" s="27"/>
      <c r="J561" s="27"/>
      <c r="K561" s="27">
        <f>Table15[[#This Row],[الايصالات]]+Table15[[#This Row],[النولون]]-Table15[[#This Row],[خصم 3%]]</f>
        <v>0</v>
      </c>
      <c r="L561" s="27"/>
      <c r="M561" s="27">
        <f>Table15[[#This Row],[اجمالي الفاتوره]]-Table15[[#This Row],[الدفعات]]</f>
        <v>0</v>
      </c>
      <c r="N561" s="27"/>
      <c r="O561" s="27"/>
    </row>
    <row r="562" spans="2:15" ht="29.25" customHeight="1" x14ac:dyDescent="0.3">
      <c r="B562" s="27"/>
      <c r="C562" s="27"/>
      <c r="D562" s="27"/>
      <c r="E562" s="27"/>
      <c r="F562" s="27"/>
      <c r="G562" s="27"/>
      <c r="H562" s="27"/>
      <c r="I562" s="27"/>
      <c r="J562" s="27"/>
      <c r="K562" s="27">
        <f>Table15[[#This Row],[الايصالات]]+Table15[[#This Row],[النولون]]-Table15[[#This Row],[خصم 3%]]</f>
        <v>0</v>
      </c>
      <c r="L562" s="27"/>
      <c r="M562" s="27">
        <f>Table15[[#This Row],[اجمالي الفاتوره]]-Table15[[#This Row],[الدفعات]]</f>
        <v>0</v>
      </c>
      <c r="N562" s="27"/>
      <c r="O562" s="27"/>
    </row>
    <row r="563" spans="2:15" ht="29.25" customHeight="1" x14ac:dyDescent="0.3">
      <c r="B563" s="27"/>
      <c r="C563" s="27"/>
      <c r="D563" s="27"/>
      <c r="E563" s="27"/>
      <c r="F563" s="27"/>
      <c r="G563" s="27"/>
      <c r="H563" s="27"/>
      <c r="I563" s="27"/>
      <c r="J563" s="27"/>
      <c r="K563" s="27">
        <f>Table15[[#This Row],[الايصالات]]+Table15[[#This Row],[النولون]]-Table15[[#This Row],[خصم 3%]]</f>
        <v>0</v>
      </c>
      <c r="L563" s="27"/>
      <c r="M563" s="27">
        <f>Table15[[#This Row],[اجمالي الفاتوره]]-Table15[[#This Row],[الدفعات]]</f>
        <v>0</v>
      </c>
      <c r="N563" s="27"/>
      <c r="O563" s="27"/>
    </row>
    <row r="564" spans="2:15" ht="29.25" customHeight="1" x14ac:dyDescent="0.3">
      <c r="B564" s="27"/>
      <c r="C564" s="27"/>
      <c r="D564" s="27"/>
      <c r="E564" s="27"/>
      <c r="F564" s="27"/>
      <c r="G564" s="27"/>
      <c r="H564" s="27"/>
      <c r="I564" s="27"/>
      <c r="J564" s="27"/>
      <c r="K564" s="27">
        <f>Table15[[#This Row],[الايصالات]]+Table15[[#This Row],[النولون]]-Table15[[#This Row],[خصم 3%]]</f>
        <v>0</v>
      </c>
      <c r="L564" s="27"/>
      <c r="M564" s="27">
        <f>Table15[[#This Row],[اجمالي الفاتوره]]-Table15[[#This Row],[الدفعات]]</f>
        <v>0</v>
      </c>
      <c r="N564" s="27"/>
      <c r="O564" s="27"/>
    </row>
    <row r="565" spans="2:15" ht="29.25" customHeight="1" x14ac:dyDescent="0.3">
      <c r="B565" s="27"/>
      <c r="C565" s="27"/>
      <c r="D565" s="27"/>
      <c r="E565" s="27"/>
      <c r="F565" s="27"/>
      <c r="G565" s="27"/>
      <c r="H565" s="27"/>
      <c r="I565" s="27"/>
      <c r="J565" s="27"/>
      <c r="K565" s="27">
        <f>Table15[[#This Row],[الايصالات]]+Table15[[#This Row],[النولون]]-Table15[[#This Row],[خصم 3%]]</f>
        <v>0</v>
      </c>
      <c r="L565" s="27"/>
      <c r="M565" s="27">
        <f>Table15[[#This Row],[اجمالي الفاتوره]]-Table15[[#This Row],[الدفعات]]</f>
        <v>0</v>
      </c>
      <c r="N565" s="27"/>
      <c r="O565" s="27"/>
    </row>
    <row r="566" spans="2:15" ht="29.25" customHeight="1" x14ac:dyDescent="0.3">
      <c r="B566" s="27"/>
      <c r="C566" s="27"/>
      <c r="D566" s="27"/>
      <c r="E566" s="27"/>
      <c r="F566" s="27"/>
      <c r="G566" s="27"/>
      <c r="H566" s="27"/>
      <c r="I566" s="27"/>
      <c r="J566" s="27"/>
      <c r="K566" s="27">
        <f>Table15[[#This Row],[الايصالات]]+Table15[[#This Row],[النولون]]-Table15[[#This Row],[خصم 3%]]</f>
        <v>0</v>
      </c>
      <c r="L566" s="27"/>
      <c r="M566" s="27">
        <f>Table15[[#This Row],[اجمالي الفاتوره]]-Table15[[#This Row],[الدفعات]]</f>
        <v>0</v>
      </c>
      <c r="N566" s="27"/>
      <c r="O566" s="27"/>
    </row>
    <row r="567" spans="2:15" ht="29.25" customHeight="1" x14ac:dyDescent="0.3">
      <c r="B567" s="27"/>
      <c r="C567" s="27"/>
      <c r="D567" s="27"/>
      <c r="E567" s="27"/>
      <c r="F567" s="27"/>
      <c r="G567" s="27"/>
      <c r="H567" s="27"/>
      <c r="I567" s="27"/>
      <c r="J567" s="27"/>
      <c r="K567" s="27">
        <f>Table15[[#This Row],[الايصالات]]+Table15[[#This Row],[النولون]]-Table15[[#This Row],[خصم 3%]]</f>
        <v>0</v>
      </c>
      <c r="L567" s="27"/>
      <c r="M567" s="27">
        <f>Table15[[#This Row],[اجمالي الفاتوره]]-Table15[[#This Row],[الدفعات]]</f>
        <v>0</v>
      </c>
      <c r="N567" s="27"/>
      <c r="O567" s="27"/>
    </row>
    <row r="568" spans="2:15" ht="29.25" customHeight="1" x14ac:dyDescent="0.3">
      <c r="B568" s="27"/>
      <c r="C568" s="27"/>
      <c r="D568" s="27"/>
      <c r="E568" s="27"/>
      <c r="F568" s="27"/>
      <c r="G568" s="27"/>
      <c r="H568" s="27"/>
      <c r="I568" s="27"/>
      <c r="J568" s="27"/>
      <c r="K568" s="27">
        <f>Table15[[#This Row],[الايصالات]]+Table15[[#This Row],[النولون]]-Table15[[#This Row],[خصم 3%]]</f>
        <v>0</v>
      </c>
      <c r="L568" s="27"/>
      <c r="M568" s="27">
        <f>Table15[[#This Row],[اجمالي الفاتوره]]-Table15[[#This Row],[الدفعات]]</f>
        <v>0</v>
      </c>
      <c r="N568" s="27"/>
      <c r="O568" s="27"/>
    </row>
    <row r="569" spans="2:15" ht="29.25" customHeight="1" x14ac:dyDescent="0.3">
      <c r="B569" s="27"/>
      <c r="C569" s="27"/>
      <c r="D569" s="27"/>
      <c r="E569" s="27"/>
      <c r="F569" s="27"/>
      <c r="G569" s="27"/>
      <c r="H569" s="27"/>
      <c r="I569" s="27"/>
      <c r="J569" s="27"/>
      <c r="K569" s="27">
        <f>Table15[[#This Row],[الايصالات]]+Table15[[#This Row],[النولون]]-Table15[[#This Row],[خصم 3%]]</f>
        <v>0</v>
      </c>
      <c r="L569" s="27"/>
      <c r="M569" s="27">
        <f>Table15[[#This Row],[اجمالي الفاتوره]]-Table15[[#This Row],[الدفعات]]</f>
        <v>0</v>
      </c>
      <c r="N569" s="27"/>
      <c r="O569" s="27"/>
    </row>
    <row r="570" spans="2:15" ht="29.25" customHeight="1" x14ac:dyDescent="0.3">
      <c r="B570" s="27"/>
      <c r="C570" s="27"/>
      <c r="D570" s="27"/>
      <c r="E570" s="27"/>
      <c r="F570" s="27"/>
      <c r="G570" s="27"/>
      <c r="H570" s="27"/>
      <c r="I570" s="27"/>
      <c r="J570" s="27"/>
      <c r="K570" s="27">
        <f>Table15[[#This Row],[الايصالات]]+Table15[[#This Row],[النولون]]-Table15[[#This Row],[خصم 3%]]</f>
        <v>0</v>
      </c>
      <c r="L570" s="27"/>
      <c r="M570" s="27">
        <f>Table15[[#This Row],[اجمالي الفاتوره]]-Table15[[#This Row],[الدفعات]]</f>
        <v>0</v>
      </c>
      <c r="N570" s="27"/>
      <c r="O570" s="27"/>
    </row>
    <row r="571" spans="2:15" ht="29.25" customHeight="1" x14ac:dyDescent="0.3">
      <c r="B571" s="27"/>
      <c r="C571" s="27"/>
      <c r="D571" s="27"/>
      <c r="E571" s="27"/>
      <c r="F571" s="27"/>
      <c r="G571" s="27"/>
      <c r="H571" s="27"/>
      <c r="I571" s="27"/>
      <c r="J571" s="27"/>
      <c r="K571" s="27">
        <f>Table15[[#This Row],[الايصالات]]+Table15[[#This Row],[النولون]]-Table15[[#This Row],[خصم 3%]]</f>
        <v>0</v>
      </c>
      <c r="L571" s="27"/>
      <c r="M571" s="27">
        <f>Table15[[#This Row],[اجمالي الفاتوره]]-Table15[[#This Row],[الدفعات]]</f>
        <v>0</v>
      </c>
      <c r="N571" s="27"/>
      <c r="O571" s="27"/>
    </row>
    <row r="572" spans="2:15" ht="29.25" customHeight="1" x14ac:dyDescent="0.3">
      <c r="B572" s="27"/>
      <c r="C572" s="27"/>
      <c r="D572" s="27"/>
      <c r="E572" s="27"/>
      <c r="F572" s="27"/>
      <c r="G572" s="27"/>
      <c r="H572" s="27"/>
      <c r="I572" s="27"/>
      <c r="J572" s="27"/>
      <c r="K572" s="27">
        <f>Table15[[#This Row],[الايصالات]]+Table15[[#This Row],[النولون]]-Table15[[#This Row],[خصم 3%]]</f>
        <v>0</v>
      </c>
      <c r="L572" s="27"/>
      <c r="M572" s="27">
        <f>Table15[[#This Row],[اجمالي الفاتوره]]-Table15[[#This Row],[الدفعات]]</f>
        <v>0</v>
      </c>
      <c r="N572" s="27"/>
      <c r="O572" s="27"/>
    </row>
    <row r="573" spans="2:15" ht="29.25" customHeight="1" x14ac:dyDescent="0.3">
      <c r="B573" s="27"/>
      <c r="C573" s="27"/>
      <c r="D573" s="27"/>
      <c r="E573" s="27"/>
      <c r="F573" s="27"/>
      <c r="G573" s="27"/>
      <c r="H573" s="27"/>
      <c r="I573" s="27"/>
      <c r="J573" s="27"/>
      <c r="K573" s="27">
        <f>Table15[[#This Row],[الايصالات]]+Table15[[#This Row],[النولون]]-Table15[[#This Row],[خصم 3%]]</f>
        <v>0</v>
      </c>
      <c r="L573" s="27"/>
      <c r="M573" s="27">
        <f>Table15[[#This Row],[اجمالي الفاتوره]]-Table15[[#This Row],[الدفعات]]</f>
        <v>0</v>
      </c>
      <c r="N573" s="27"/>
      <c r="O573" s="27"/>
    </row>
    <row r="574" spans="2:15" ht="29.25" customHeight="1" x14ac:dyDescent="0.3">
      <c r="B574" s="27"/>
      <c r="C574" s="27"/>
      <c r="D574" s="27"/>
      <c r="E574" s="27"/>
      <c r="F574" s="27"/>
      <c r="G574" s="27"/>
      <c r="H574" s="27"/>
      <c r="I574" s="27"/>
      <c r="J574" s="27"/>
      <c r="K574" s="27">
        <f>Table15[[#This Row],[الايصالات]]+Table15[[#This Row],[النولون]]-Table15[[#This Row],[خصم 3%]]</f>
        <v>0</v>
      </c>
      <c r="L574" s="27"/>
      <c r="M574" s="27">
        <f>Table15[[#This Row],[اجمالي الفاتوره]]-Table15[[#This Row],[الدفعات]]</f>
        <v>0</v>
      </c>
      <c r="N574" s="27"/>
      <c r="O574" s="27"/>
    </row>
    <row r="575" spans="2:15" ht="29.25" customHeight="1" x14ac:dyDescent="0.3">
      <c r="B575" s="27"/>
      <c r="C575" s="27"/>
      <c r="D575" s="27"/>
      <c r="E575" s="27"/>
      <c r="F575" s="27"/>
      <c r="G575" s="27"/>
      <c r="H575" s="27"/>
      <c r="I575" s="27"/>
      <c r="J575" s="27"/>
      <c r="K575" s="27">
        <f>Table15[[#This Row],[الايصالات]]+Table15[[#This Row],[النولون]]-Table15[[#This Row],[خصم 3%]]</f>
        <v>0</v>
      </c>
      <c r="L575" s="27"/>
      <c r="M575" s="27">
        <f>Table15[[#This Row],[اجمالي الفاتوره]]-Table15[[#This Row],[الدفعات]]</f>
        <v>0</v>
      </c>
      <c r="N575" s="27"/>
      <c r="O575" s="27"/>
    </row>
    <row r="576" spans="2:15" ht="29.25" customHeight="1" x14ac:dyDescent="0.3">
      <c r="B576" s="27"/>
      <c r="C576" s="27"/>
      <c r="D576" s="27"/>
      <c r="E576" s="27"/>
      <c r="F576" s="27"/>
      <c r="G576" s="27"/>
      <c r="H576" s="27"/>
      <c r="I576" s="27"/>
      <c r="J576" s="27"/>
      <c r="K576" s="27">
        <f>Table15[[#This Row],[الايصالات]]+Table15[[#This Row],[النولون]]-Table15[[#This Row],[خصم 3%]]</f>
        <v>0</v>
      </c>
      <c r="L576" s="27"/>
      <c r="M576" s="27">
        <f>Table15[[#This Row],[اجمالي الفاتوره]]-Table15[[#This Row],[الدفعات]]</f>
        <v>0</v>
      </c>
      <c r="N576" s="27"/>
      <c r="O576" s="27"/>
    </row>
    <row r="577" spans="2:15" ht="29.25" customHeight="1" x14ac:dyDescent="0.3">
      <c r="B577" s="27"/>
      <c r="C577" s="27"/>
      <c r="D577" s="27"/>
      <c r="E577" s="27"/>
      <c r="F577" s="27"/>
      <c r="G577" s="27"/>
      <c r="H577" s="27"/>
      <c r="I577" s="27"/>
      <c r="J577" s="27"/>
      <c r="K577" s="27">
        <f>Table15[[#This Row],[الايصالات]]+Table15[[#This Row],[النولون]]-Table15[[#This Row],[خصم 3%]]</f>
        <v>0</v>
      </c>
      <c r="L577" s="27"/>
      <c r="M577" s="27">
        <f>Table15[[#This Row],[اجمالي الفاتوره]]-Table15[[#This Row],[الدفعات]]</f>
        <v>0</v>
      </c>
      <c r="N577" s="27"/>
      <c r="O577" s="27"/>
    </row>
    <row r="578" spans="2:15" ht="29.25" customHeight="1" x14ac:dyDescent="0.3">
      <c r="B578" s="27"/>
      <c r="C578" s="27"/>
      <c r="D578" s="27"/>
      <c r="E578" s="27"/>
      <c r="F578" s="27"/>
      <c r="G578" s="27"/>
      <c r="H578" s="27"/>
      <c r="I578" s="27"/>
      <c r="J578" s="27"/>
      <c r="K578" s="27">
        <f>Table15[[#This Row],[الايصالات]]+Table15[[#This Row],[النولون]]-Table15[[#This Row],[خصم 3%]]</f>
        <v>0</v>
      </c>
      <c r="L578" s="27"/>
      <c r="M578" s="27">
        <f>Table15[[#This Row],[اجمالي الفاتوره]]-Table15[[#This Row],[الدفعات]]</f>
        <v>0</v>
      </c>
      <c r="N578" s="27"/>
      <c r="O578" s="27"/>
    </row>
    <row r="579" spans="2:15" ht="29.25" customHeight="1" x14ac:dyDescent="0.3">
      <c r="B579" s="27"/>
      <c r="C579" s="27"/>
      <c r="D579" s="27"/>
      <c r="E579" s="27"/>
      <c r="F579" s="27"/>
      <c r="G579" s="27"/>
      <c r="H579" s="27"/>
      <c r="I579" s="27"/>
      <c r="J579" s="27"/>
      <c r="K579" s="27">
        <f>Table15[[#This Row],[الايصالات]]+Table15[[#This Row],[النولون]]-Table15[[#This Row],[خصم 3%]]</f>
        <v>0</v>
      </c>
      <c r="L579" s="27"/>
      <c r="M579" s="27">
        <f>Table15[[#This Row],[اجمالي الفاتوره]]-Table15[[#This Row],[الدفعات]]</f>
        <v>0</v>
      </c>
      <c r="N579" s="27"/>
      <c r="O579" s="27"/>
    </row>
    <row r="580" spans="2:15" ht="29.25" customHeight="1" x14ac:dyDescent="0.3">
      <c r="B580" s="27"/>
      <c r="C580" s="27"/>
      <c r="D580" s="27"/>
      <c r="E580" s="27"/>
      <c r="F580" s="27"/>
      <c r="G580" s="27"/>
      <c r="H580" s="27"/>
      <c r="I580" s="27"/>
      <c r="J580" s="27"/>
      <c r="K580" s="27">
        <f>Table15[[#This Row],[الايصالات]]+Table15[[#This Row],[النولون]]-Table15[[#This Row],[خصم 3%]]</f>
        <v>0</v>
      </c>
      <c r="L580" s="27"/>
      <c r="M580" s="27">
        <f>Table15[[#This Row],[اجمالي الفاتوره]]-Table15[[#This Row],[الدفعات]]</f>
        <v>0</v>
      </c>
      <c r="N580" s="27"/>
      <c r="O580" s="27"/>
    </row>
    <row r="581" spans="2:15" ht="29.25" customHeight="1" x14ac:dyDescent="0.3">
      <c r="B581" s="27"/>
      <c r="C581" s="27"/>
      <c r="D581" s="27"/>
      <c r="E581" s="27"/>
      <c r="F581" s="27"/>
      <c r="G581" s="27"/>
      <c r="H581" s="27"/>
      <c r="I581" s="27"/>
      <c r="J581" s="27"/>
      <c r="K581" s="27">
        <f>Table15[[#This Row],[الايصالات]]+Table15[[#This Row],[النولون]]-Table15[[#This Row],[خصم 3%]]</f>
        <v>0</v>
      </c>
      <c r="L581" s="27"/>
      <c r="M581" s="27">
        <f>Table15[[#This Row],[اجمالي الفاتوره]]-Table15[[#This Row],[الدفعات]]</f>
        <v>0</v>
      </c>
      <c r="N581" s="27"/>
      <c r="O581" s="27"/>
    </row>
    <row r="582" spans="2:15" ht="29.25" customHeight="1" x14ac:dyDescent="0.3">
      <c r="B582" s="27"/>
      <c r="C582" s="27"/>
      <c r="D582" s="27"/>
      <c r="E582" s="27"/>
      <c r="F582" s="27"/>
      <c r="G582" s="27"/>
      <c r="H582" s="27"/>
      <c r="I582" s="27"/>
      <c r="J582" s="27"/>
      <c r="K582" s="27">
        <f>Table15[[#This Row],[الايصالات]]+Table15[[#This Row],[النولون]]-Table15[[#This Row],[خصم 3%]]</f>
        <v>0</v>
      </c>
      <c r="L582" s="27"/>
      <c r="M582" s="27">
        <f>Table15[[#This Row],[اجمالي الفاتوره]]-Table15[[#This Row],[الدفعات]]</f>
        <v>0</v>
      </c>
      <c r="N582" s="27"/>
      <c r="O582" s="27"/>
    </row>
    <row r="583" spans="2:15" ht="29.25" customHeight="1" x14ac:dyDescent="0.3">
      <c r="B583" s="27"/>
      <c r="C583" s="27"/>
      <c r="D583" s="27"/>
      <c r="E583" s="27"/>
      <c r="F583" s="27"/>
      <c r="G583" s="27"/>
      <c r="H583" s="27"/>
      <c r="I583" s="27"/>
      <c r="J583" s="27"/>
      <c r="K583" s="27">
        <f>Table15[[#This Row],[الايصالات]]+Table15[[#This Row],[النولون]]-Table15[[#This Row],[خصم 3%]]</f>
        <v>0</v>
      </c>
      <c r="L583" s="27"/>
      <c r="M583" s="27">
        <f>Table15[[#This Row],[اجمالي الفاتوره]]-Table15[[#This Row],[الدفعات]]</f>
        <v>0</v>
      </c>
      <c r="N583" s="27"/>
      <c r="O583" s="27"/>
    </row>
    <row r="584" spans="2:15" ht="29.25" customHeight="1" x14ac:dyDescent="0.3">
      <c r="B584" s="27"/>
      <c r="C584" s="27"/>
      <c r="D584" s="27"/>
      <c r="E584" s="27"/>
      <c r="F584" s="27"/>
      <c r="G584" s="27"/>
      <c r="H584" s="27"/>
      <c r="I584" s="27"/>
      <c r="J584" s="27"/>
      <c r="K584" s="27">
        <f>Table15[[#This Row],[الايصالات]]+Table15[[#This Row],[النولون]]-Table15[[#This Row],[خصم 3%]]</f>
        <v>0</v>
      </c>
      <c r="L584" s="27"/>
      <c r="M584" s="27">
        <f>Table15[[#This Row],[اجمالي الفاتوره]]-Table15[[#This Row],[الدفعات]]</f>
        <v>0</v>
      </c>
      <c r="N584" s="27"/>
      <c r="O584" s="27"/>
    </row>
    <row r="585" spans="2:15" ht="29.25" customHeight="1" x14ac:dyDescent="0.3">
      <c r="B585" s="27"/>
      <c r="C585" s="27"/>
      <c r="D585" s="27"/>
      <c r="E585" s="27"/>
      <c r="F585" s="27"/>
      <c r="G585" s="27"/>
      <c r="H585" s="27"/>
      <c r="I585" s="27"/>
      <c r="J585" s="27"/>
      <c r="K585" s="27">
        <f>Table15[[#This Row],[الايصالات]]+Table15[[#This Row],[النولون]]-Table15[[#This Row],[خصم 3%]]</f>
        <v>0</v>
      </c>
      <c r="L585" s="27"/>
      <c r="M585" s="27">
        <f>Table15[[#This Row],[اجمالي الفاتوره]]-Table15[[#This Row],[الدفعات]]</f>
        <v>0</v>
      </c>
      <c r="N585" s="27"/>
      <c r="O585" s="27"/>
    </row>
    <row r="586" spans="2:15" ht="29.25" customHeight="1" x14ac:dyDescent="0.3">
      <c r="B586" s="27"/>
      <c r="C586" s="27"/>
      <c r="D586" s="27"/>
      <c r="E586" s="27"/>
      <c r="F586" s="27"/>
      <c r="G586" s="27"/>
      <c r="H586" s="27"/>
      <c r="I586" s="27"/>
      <c r="J586" s="27"/>
      <c r="K586" s="27">
        <f>Table15[[#This Row],[الايصالات]]+Table15[[#This Row],[النولون]]-Table15[[#This Row],[خصم 3%]]</f>
        <v>0</v>
      </c>
      <c r="L586" s="27"/>
      <c r="M586" s="27">
        <f>Table15[[#This Row],[اجمالي الفاتوره]]-Table15[[#This Row],[الدفعات]]</f>
        <v>0</v>
      </c>
      <c r="N586" s="27"/>
      <c r="O586" s="27"/>
    </row>
    <row r="587" spans="2:15" ht="29.25" customHeight="1" x14ac:dyDescent="0.3">
      <c r="B587" s="27"/>
      <c r="C587" s="27"/>
      <c r="D587" s="27"/>
      <c r="E587" s="27"/>
      <c r="F587" s="27"/>
      <c r="G587" s="27"/>
      <c r="H587" s="27"/>
      <c r="I587" s="27"/>
      <c r="J587" s="27"/>
      <c r="K587" s="27">
        <f>Table15[[#This Row],[الايصالات]]+Table15[[#This Row],[النولون]]-Table15[[#This Row],[خصم 3%]]</f>
        <v>0</v>
      </c>
      <c r="L587" s="27"/>
      <c r="M587" s="27">
        <f>Table15[[#This Row],[اجمالي الفاتوره]]-Table15[[#This Row],[الدفعات]]</f>
        <v>0</v>
      </c>
      <c r="N587" s="27"/>
      <c r="O587" s="27"/>
    </row>
    <row r="588" spans="2:15" ht="29.25" customHeight="1" x14ac:dyDescent="0.3">
      <c r="B588" s="27"/>
      <c r="C588" s="27"/>
      <c r="D588" s="27"/>
      <c r="E588" s="27"/>
      <c r="F588" s="27"/>
      <c r="G588" s="27"/>
      <c r="H588" s="27"/>
      <c r="I588" s="27"/>
      <c r="J588" s="27"/>
      <c r="K588" s="27">
        <f>Table15[[#This Row],[الايصالات]]+Table15[[#This Row],[النولون]]-Table15[[#This Row],[خصم 3%]]</f>
        <v>0</v>
      </c>
      <c r="L588" s="27"/>
      <c r="M588" s="27">
        <f>Table15[[#This Row],[اجمالي الفاتوره]]-Table15[[#This Row],[الدفعات]]</f>
        <v>0</v>
      </c>
      <c r="N588" s="27"/>
      <c r="O588" s="27"/>
    </row>
    <row r="589" spans="2:15" ht="29.25" customHeight="1" x14ac:dyDescent="0.3">
      <c r="B589" s="27"/>
      <c r="C589" s="27"/>
      <c r="D589" s="27"/>
      <c r="E589" s="27"/>
      <c r="F589" s="27"/>
      <c r="G589" s="27"/>
      <c r="H589" s="27"/>
      <c r="I589" s="27"/>
      <c r="J589" s="27"/>
      <c r="K589" s="27">
        <f>Table15[[#This Row],[الايصالات]]+Table15[[#This Row],[النولون]]-Table15[[#This Row],[خصم 3%]]</f>
        <v>0</v>
      </c>
      <c r="L589" s="27"/>
      <c r="M589" s="27">
        <f>Table15[[#This Row],[اجمالي الفاتوره]]-Table15[[#This Row],[الدفعات]]</f>
        <v>0</v>
      </c>
      <c r="N589" s="27"/>
      <c r="O589" s="27"/>
    </row>
    <row r="590" spans="2:15" ht="29.25" customHeight="1" x14ac:dyDescent="0.3">
      <c r="B590" s="27"/>
      <c r="C590" s="27"/>
      <c r="D590" s="27"/>
      <c r="E590" s="27"/>
      <c r="F590" s="27"/>
      <c r="G590" s="27"/>
      <c r="H590" s="27"/>
      <c r="I590" s="27"/>
      <c r="J590" s="27"/>
      <c r="K590" s="27">
        <f>Table15[[#This Row],[الايصالات]]+Table15[[#This Row],[النولون]]-Table15[[#This Row],[خصم 3%]]</f>
        <v>0</v>
      </c>
      <c r="L590" s="27"/>
      <c r="M590" s="27">
        <f>Table15[[#This Row],[اجمالي الفاتوره]]-Table15[[#This Row],[الدفعات]]</f>
        <v>0</v>
      </c>
      <c r="N590" s="27"/>
      <c r="O590" s="27"/>
    </row>
    <row r="591" spans="2:15" ht="29.25" customHeight="1" x14ac:dyDescent="0.3">
      <c r="B591" s="27"/>
      <c r="C591" s="27"/>
      <c r="D591" s="27"/>
      <c r="E591" s="27"/>
      <c r="F591" s="27"/>
      <c r="G591" s="27"/>
      <c r="H591" s="27"/>
      <c r="I591" s="27"/>
      <c r="J591" s="27"/>
      <c r="K591" s="27">
        <f>Table15[[#This Row],[الايصالات]]+Table15[[#This Row],[النولون]]-Table15[[#This Row],[خصم 3%]]</f>
        <v>0</v>
      </c>
      <c r="L591" s="27"/>
      <c r="M591" s="27">
        <f>Table15[[#This Row],[اجمالي الفاتوره]]-Table15[[#This Row],[الدفعات]]</f>
        <v>0</v>
      </c>
      <c r="N591" s="27"/>
      <c r="O591" s="27"/>
    </row>
    <row r="592" spans="2:15" ht="29.25" customHeight="1" x14ac:dyDescent="0.3">
      <c r="B592" s="27"/>
      <c r="C592" s="27"/>
      <c r="D592" s="27"/>
      <c r="E592" s="27"/>
      <c r="F592" s="27"/>
      <c r="G592" s="27"/>
      <c r="H592" s="27"/>
      <c r="I592" s="27"/>
      <c r="J592" s="27"/>
      <c r="K592" s="27">
        <f>Table15[[#This Row],[الايصالات]]+Table15[[#This Row],[النولون]]-Table15[[#This Row],[خصم 3%]]</f>
        <v>0</v>
      </c>
      <c r="L592" s="27"/>
      <c r="M592" s="27">
        <f>Table15[[#This Row],[اجمالي الفاتوره]]-Table15[[#This Row],[الدفعات]]</f>
        <v>0</v>
      </c>
      <c r="N592" s="27"/>
      <c r="O592" s="27"/>
    </row>
    <row r="593" spans="2:15" ht="29.25" customHeight="1" x14ac:dyDescent="0.3">
      <c r="B593" s="27"/>
      <c r="C593" s="27"/>
      <c r="D593" s="27"/>
      <c r="E593" s="27"/>
      <c r="F593" s="27"/>
      <c r="G593" s="27"/>
      <c r="H593" s="27"/>
      <c r="I593" s="27"/>
      <c r="J593" s="27"/>
      <c r="K593" s="27">
        <f>Table15[[#This Row],[الايصالات]]+Table15[[#This Row],[النولون]]-Table15[[#This Row],[خصم 3%]]</f>
        <v>0</v>
      </c>
      <c r="L593" s="27"/>
      <c r="M593" s="27">
        <f>Table15[[#This Row],[اجمالي الفاتوره]]-Table15[[#This Row],[الدفعات]]</f>
        <v>0</v>
      </c>
      <c r="N593" s="27"/>
      <c r="O593" s="27"/>
    </row>
    <row r="594" spans="2:15" ht="29.25" customHeight="1" x14ac:dyDescent="0.3">
      <c r="B594" s="27"/>
      <c r="C594" s="27"/>
      <c r="D594" s="27"/>
      <c r="E594" s="27"/>
      <c r="F594" s="27"/>
      <c r="G594" s="27"/>
      <c r="H594" s="27"/>
      <c r="I594" s="27"/>
      <c r="J594" s="27"/>
      <c r="K594" s="27">
        <f>Table15[[#This Row],[الايصالات]]+Table15[[#This Row],[النولون]]-Table15[[#This Row],[خصم 3%]]</f>
        <v>0</v>
      </c>
      <c r="L594" s="27"/>
      <c r="M594" s="27">
        <f>Table15[[#This Row],[اجمالي الفاتوره]]-Table15[[#This Row],[الدفعات]]</f>
        <v>0</v>
      </c>
      <c r="N594" s="27"/>
      <c r="O594" s="27"/>
    </row>
    <row r="595" spans="2:15" ht="29.25" customHeight="1" x14ac:dyDescent="0.3">
      <c r="B595" s="27"/>
      <c r="C595" s="27"/>
      <c r="D595" s="27"/>
      <c r="E595" s="27"/>
      <c r="F595" s="27"/>
      <c r="G595" s="27"/>
      <c r="H595" s="27"/>
      <c r="I595" s="27"/>
      <c r="J595" s="27"/>
      <c r="K595" s="27">
        <f>Table15[[#This Row],[الايصالات]]+Table15[[#This Row],[النولون]]-Table15[[#This Row],[خصم 3%]]</f>
        <v>0</v>
      </c>
      <c r="L595" s="27"/>
      <c r="M595" s="27">
        <f>Table15[[#This Row],[اجمالي الفاتوره]]-Table15[[#This Row],[الدفعات]]</f>
        <v>0</v>
      </c>
      <c r="N595" s="27"/>
      <c r="O595" s="27"/>
    </row>
    <row r="596" spans="2:15" ht="29.25" customHeight="1" x14ac:dyDescent="0.3">
      <c r="B596" s="27"/>
      <c r="C596" s="27"/>
      <c r="D596" s="27"/>
      <c r="E596" s="27"/>
      <c r="F596" s="27"/>
      <c r="G596" s="27"/>
      <c r="H596" s="27"/>
      <c r="I596" s="27"/>
      <c r="J596" s="27"/>
      <c r="K596" s="27">
        <f>Table15[[#This Row],[الايصالات]]+Table15[[#This Row],[النولون]]-Table15[[#This Row],[خصم 3%]]</f>
        <v>0</v>
      </c>
      <c r="L596" s="27"/>
      <c r="M596" s="27">
        <f>Table15[[#This Row],[اجمالي الفاتوره]]-Table15[[#This Row],[الدفعات]]</f>
        <v>0</v>
      </c>
      <c r="N596" s="27"/>
      <c r="O596" s="27"/>
    </row>
    <row r="597" spans="2:15" ht="29.25" customHeight="1" x14ac:dyDescent="0.3">
      <c r="B597" s="27"/>
      <c r="C597" s="27"/>
      <c r="D597" s="27"/>
      <c r="E597" s="27"/>
      <c r="F597" s="27"/>
      <c r="G597" s="27"/>
      <c r="H597" s="27"/>
      <c r="I597" s="27"/>
      <c r="J597" s="27"/>
      <c r="K597" s="27">
        <f>Table15[[#This Row],[الايصالات]]+Table15[[#This Row],[النولون]]-Table15[[#This Row],[خصم 3%]]</f>
        <v>0</v>
      </c>
      <c r="L597" s="27"/>
      <c r="M597" s="27">
        <f>Table15[[#This Row],[اجمالي الفاتوره]]-Table15[[#This Row],[الدفعات]]</f>
        <v>0</v>
      </c>
      <c r="N597" s="27"/>
      <c r="O597" s="27"/>
    </row>
    <row r="598" spans="2:15" ht="29.25" customHeight="1" x14ac:dyDescent="0.3">
      <c r="B598" s="27"/>
      <c r="C598" s="27"/>
      <c r="D598" s="27"/>
      <c r="E598" s="27"/>
      <c r="F598" s="27"/>
      <c r="G598" s="27"/>
      <c r="H598" s="27"/>
      <c r="I598" s="27"/>
      <c r="J598" s="27"/>
      <c r="K598" s="27">
        <f>Table15[[#This Row],[الايصالات]]+Table15[[#This Row],[النولون]]-Table15[[#This Row],[خصم 3%]]</f>
        <v>0</v>
      </c>
      <c r="L598" s="27"/>
      <c r="M598" s="27">
        <f>Table15[[#This Row],[اجمالي الفاتوره]]-Table15[[#This Row],[الدفعات]]</f>
        <v>0</v>
      </c>
      <c r="N598" s="27"/>
      <c r="O598" s="27"/>
    </row>
    <row r="599" spans="2:15" ht="29.25" customHeight="1" x14ac:dyDescent="0.3">
      <c r="B599" s="27"/>
      <c r="C599" s="27"/>
      <c r="D599" s="27"/>
      <c r="E599" s="27"/>
      <c r="F599" s="27"/>
      <c r="G599" s="27"/>
      <c r="H599" s="27"/>
      <c r="I599" s="27"/>
      <c r="J599" s="27"/>
      <c r="K599" s="27">
        <f>Table15[[#This Row],[الايصالات]]+Table15[[#This Row],[النولون]]-Table15[[#This Row],[خصم 3%]]</f>
        <v>0</v>
      </c>
      <c r="L599" s="27"/>
      <c r="M599" s="27">
        <f>Table15[[#This Row],[اجمالي الفاتوره]]-Table15[[#This Row],[الدفعات]]</f>
        <v>0</v>
      </c>
      <c r="N599" s="27"/>
      <c r="O599" s="27"/>
    </row>
    <row r="600" spans="2:15" ht="29.25" customHeight="1" x14ac:dyDescent="0.3">
      <c r="B600" s="27"/>
      <c r="C600" s="27"/>
      <c r="D600" s="27"/>
      <c r="E600" s="27"/>
      <c r="F600" s="27"/>
      <c r="G600" s="27"/>
      <c r="H600" s="27"/>
      <c r="I600" s="27"/>
      <c r="J600" s="27"/>
      <c r="K600" s="27">
        <f>Table15[[#This Row],[الايصالات]]+Table15[[#This Row],[النولون]]-Table15[[#This Row],[خصم 3%]]</f>
        <v>0</v>
      </c>
      <c r="L600" s="27"/>
      <c r="M600" s="27">
        <f>Table15[[#This Row],[اجمالي الفاتوره]]-Table15[[#This Row],[الدفعات]]</f>
        <v>0</v>
      </c>
      <c r="N600" s="27"/>
      <c r="O600" s="27"/>
    </row>
    <row r="601" spans="2:15" ht="29.25" customHeight="1" x14ac:dyDescent="0.3">
      <c r="B601" s="27"/>
      <c r="C601" s="27"/>
      <c r="D601" s="27"/>
      <c r="E601" s="27"/>
      <c r="F601" s="27"/>
      <c r="G601" s="27"/>
      <c r="H601" s="27"/>
      <c r="I601" s="27"/>
      <c r="J601" s="27"/>
      <c r="K601" s="27">
        <f>Table15[[#This Row],[الايصالات]]+Table15[[#This Row],[النولون]]-Table15[[#This Row],[خصم 3%]]</f>
        <v>0</v>
      </c>
      <c r="L601" s="27"/>
      <c r="M601" s="27">
        <f>Table15[[#This Row],[اجمالي الفاتوره]]-Table15[[#This Row],[الدفعات]]</f>
        <v>0</v>
      </c>
      <c r="N601" s="27"/>
      <c r="O601" s="27"/>
    </row>
    <row r="602" spans="2:15" ht="29.25" customHeight="1" x14ac:dyDescent="0.3">
      <c r="B602" s="27"/>
      <c r="C602" s="27"/>
      <c r="D602" s="27"/>
      <c r="E602" s="27"/>
      <c r="F602" s="27"/>
      <c r="G602" s="27"/>
      <c r="H602" s="27"/>
      <c r="I602" s="27"/>
      <c r="J602" s="27"/>
      <c r="K602" s="27">
        <f>Table15[[#This Row],[الايصالات]]+Table15[[#This Row],[النولون]]-Table15[[#This Row],[خصم 3%]]</f>
        <v>0</v>
      </c>
      <c r="L602" s="27"/>
      <c r="M602" s="27">
        <f>Table15[[#This Row],[اجمالي الفاتوره]]-Table15[[#This Row],[الدفعات]]</f>
        <v>0</v>
      </c>
      <c r="N602" s="27"/>
      <c r="O602" s="27"/>
    </row>
    <row r="603" spans="2:15" ht="29.25" customHeight="1" x14ac:dyDescent="0.3">
      <c r="B603" s="27"/>
      <c r="C603" s="27"/>
      <c r="D603" s="27"/>
      <c r="E603" s="27"/>
      <c r="F603" s="27"/>
      <c r="G603" s="27"/>
      <c r="H603" s="27"/>
      <c r="I603" s="27"/>
      <c r="J603" s="27"/>
      <c r="K603" s="27">
        <f>Table15[[#This Row],[الايصالات]]+Table15[[#This Row],[النولون]]-Table15[[#This Row],[خصم 3%]]</f>
        <v>0</v>
      </c>
      <c r="L603" s="27"/>
      <c r="M603" s="27">
        <f>Table15[[#This Row],[اجمالي الفاتوره]]-Table15[[#This Row],[الدفعات]]</f>
        <v>0</v>
      </c>
      <c r="N603" s="27"/>
      <c r="O603" s="27"/>
    </row>
    <row r="604" spans="2:15" ht="29.25" customHeight="1" x14ac:dyDescent="0.3">
      <c r="B604" s="27"/>
      <c r="C604" s="27"/>
      <c r="D604" s="27"/>
      <c r="E604" s="27"/>
      <c r="F604" s="27"/>
      <c r="G604" s="27"/>
      <c r="H604" s="27"/>
      <c r="I604" s="27"/>
      <c r="J604" s="27"/>
      <c r="K604" s="27">
        <f>Table15[[#This Row],[الايصالات]]+Table15[[#This Row],[النولون]]-Table15[[#This Row],[خصم 3%]]</f>
        <v>0</v>
      </c>
      <c r="L604" s="27"/>
      <c r="M604" s="27">
        <f>Table15[[#This Row],[اجمالي الفاتوره]]-Table15[[#This Row],[الدفعات]]</f>
        <v>0</v>
      </c>
      <c r="N604" s="27"/>
      <c r="O604" s="27"/>
    </row>
    <row r="605" spans="2:15" ht="29.25" customHeight="1" x14ac:dyDescent="0.3">
      <c r="B605" s="27"/>
      <c r="C605" s="27"/>
      <c r="D605" s="27"/>
      <c r="E605" s="27"/>
      <c r="F605" s="27"/>
      <c r="G605" s="27"/>
      <c r="H605" s="27"/>
      <c r="I605" s="27"/>
      <c r="J605" s="27"/>
      <c r="K605" s="27">
        <f>Table15[[#This Row],[الايصالات]]+Table15[[#This Row],[النولون]]-Table15[[#This Row],[خصم 3%]]</f>
        <v>0</v>
      </c>
      <c r="L605" s="27"/>
      <c r="M605" s="27">
        <f>Table15[[#This Row],[اجمالي الفاتوره]]-Table15[[#This Row],[الدفعات]]</f>
        <v>0</v>
      </c>
      <c r="N605" s="27"/>
      <c r="O605" s="27"/>
    </row>
    <row r="606" spans="2:15" ht="29.25" customHeight="1" x14ac:dyDescent="0.3">
      <c r="B606" s="27"/>
      <c r="C606" s="27"/>
      <c r="D606" s="27"/>
      <c r="E606" s="27"/>
      <c r="F606" s="27"/>
      <c r="G606" s="27"/>
      <c r="H606" s="27"/>
      <c r="I606" s="27"/>
      <c r="J606" s="27"/>
      <c r="K606" s="27">
        <f>Table15[[#This Row],[الايصالات]]+Table15[[#This Row],[النولون]]-Table15[[#This Row],[خصم 3%]]</f>
        <v>0</v>
      </c>
      <c r="L606" s="27"/>
      <c r="M606" s="27">
        <f>Table15[[#This Row],[اجمالي الفاتوره]]-Table15[[#This Row],[الدفعات]]</f>
        <v>0</v>
      </c>
      <c r="N606" s="27"/>
      <c r="O606" s="27"/>
    </row>
    <row r="607" spans="2:15" ht="29.25" customHeight="1" x14ac:dyDescent="0.3">
      <c r="B607" s="27"/>
      <c r="C607" s="27"/>
      <c r="D607" s="27"/>
      <c r="E607" s="27"/>
      <c r="F607" s="27"/>
      <c r="G607" s="27"/>
      <c r="H607" s="27"/>
      <c r="I607" s="27"/>
      <c r="J607" s="27"/>
      <c r="K607" s="27">
        <f>Table15[[#This Row],[الايصالات]]+Table15[[#This Row],[النولون]]-Table15[[#This Row],[خصم 3%]]</f>
        <v>0</v>
      </c>
      <c r="L607" s="27"/>
      <c r="M607" s="27">
        <f>Table15[[#This Row],[اجمالي الفاتوره]]-Table15[[#This Row],[الدفعات]]</f>
        <v>0</v>
      </c>
      <c r="N607" s="27"/>
      <c r="O607" s="27"/>
    </row>
    <row r="608" spans="2:15" ht="29.25" customHeight="1" x14ac:dyDescent="0.3">
      <c r="B608" s="27"/>
      <c r="C608" s="27"/>
      <c r="D608" s="27"/>
      <c r="E608" s="27"/>
      <c r="F608" s="27"/>
      <c r="G608" s="27"/>
      <c r="H608" s="27"/>
      <c r="I608" s="27"/>
      <c r="J608" s="27"/>
      <c r="K608" s="27">
        <f>Table15[[#This Row],[الايصالات]]+Table15[[#This Row],[النولون]]-Table15[[#This Row],[خصم 3%]]</f>
        <v>0</v>
      </c>
      <c r="L608" s="27"/>
      <c r="M608" s="27">
        <f>Table15[[#This Row],[اجمالي الفاتوره]]-Table15[[#This Row],[الدفعات]]</f>
        <v>0</v>
      </c>
      <c r="N608" s="27"/>
      <c r="O608" s="27"/>
    </row>
    <row r="609" spans="2:15" ht="29.25" customHeight="1" x14ac:dyDescent="0.3">
      <c r="B609" s="27"/>
      <c r="C609" s="27"/>
      <c r="D609" s="27"/>
      <c r="E609" s="27"/>
      <c r="F609" s="27"/>
      <c r="G609" s="27"/>
      <c r="H609" s="27"/>
      <c r="I609" s="27"/>
      <c r="J609" s="27"/>
      <c r="K609" s="27">
        <f>Table15[[#This Row],[الايصالات]]+Table15[[#This Row],[النولون]]-Table15[[#This Row],[خصم 3%]]</f>
        <v>0</v>
      </c>
      <c r="L609" s="27"/>
      <c r="M609" s="27">
        <f>Table15[[#This Row],[اجمالي الفاتوره]]-Table15[[#This Row],[الدفعات]]</f>
        <v>0</v>
      </c>
      <c r="N609" s="27"/>
      <c r="O609" s="27"/>
    </row>
    <row r="610" spans="2:15" ht="29.25" customHeight="1" x14ac:dyDescent="0.3">
      <c r="B610" s="27"/>
      <c r="C610" s="27"/>
      <c r="D610" s="27"/>
      <c r="E610" s="27"/>
      <c r="F610" s="27"/>
      <c r="G610" s="27"/>
      <c r="H610" s="27"/>
      <c r="I610" s="27"/>
      <c r="J610" s="27"/>
      <c r="K610" s="27">
        <f>Table15[[#This Row],[الايصالات]]+Table15[[#This Row],[النولون]]-Table15[[#This Row],[خصم 3%]]</f>
        <v>0</v>
      </c>
      <c r="L610" s="27"/>
      <c r="M610" s="27">
        <f>Table15[[#This Row],[اجمالي الفاتوره]]-Table15[[#This Row],[الدفعات]]</f>
        <v>0</v>
      </c>
      <c r="N610" s="27"/>
      <c r="O610" s="27"/>
    </row>
    <row r="611" spans="2:15" ht="29.25" customHeight="1" x14ac:dyDescent="0.3">
      <c r="B611" s="27"/>
      <c r="C611" s="27"/>
      <c r="D611" s="27"/>
      <c r="E611" s="27"/>
      <c r="F611" s="27"/>
      <c r="G611" s="27"/>
      <c r="H611" s="27"/>
      <c r="I611" s="27"/>
      <c r="J611" s="27"/>
      <c r="K611" s="27">
        <f>Table15[[#This Row],[الايصالات]]+Table15[[#This Row],[النولون]]-Table15[[#This Row],[خصم 3%]]</f>
        <v>0</v>
      </c>
      <c r="L611" s="27"/>
      <c r="M611" s="27">
        <f>Table15[[#This Row],[اجمالي الفاتوره]]-Table15[[#This Row],[الدفعات]]</f>
        <v>0</v>
      </c>
      <c r="N611" s="27"/>
      <c r="O611" s="27"/>
    </row>
    <row r="612" spans="2:15" ht="29.25" customHeight="1" x14ac:dyDescent="0.3">
      <c r="B612" s="27"/>
      <c r="C612" s="27"/>
      <c r="D612" s="27"/>
      <c r="E612" s="27"/>
      <c r="F612" s="27"/>
      <c r="G612" s="27"/>
      <c r="H612" s="27"/>
      <c r="I612" s="27"/>
      <c r="J612" s="27"/>
      <c r="K612" s="27">
        <f>Table15[[#This Row],[الايصالات]]+Table15[[#This Row],[النولون]]-Table15[[#This Row],[خصم 3%]]</f>
        <v>0</v>
      </c>
      <c r="L612" s="27"/>
      <c r="M612" s="27">
        <f>Table15[[#This Row],[اجمالي الفاتوره]]-Table15[[#This Row],[الدفعات]]</f>
        <v>0</v>
      </c>
      <c r="N612" s="27"/>
      <c r="O612" s="27"/>
    </row>
    <row r="613" spans="2:15" ht="29.25" customHeight="1" x14ac:dyDescent="0.3">
      <c r="B613" s="27"/>
      <c r="C613" s="27"/>
      <c r="D613" s="27"/>
      <c r="E613" s="27"/>
      <c r="F613" s="27"/>
      <c r="G613" s="27"/>
      <c r="H613" s="27"/>
      <c r="I613" s="27"/>
      <c r="J613" s="27"/>
      <c r="K613" s="27">
        <f>Table15[[#This Row],[الايصالات]]+Table15[[#This Row],[النولون]]-Table15[[#This Row],[خصم 3%]]</f>
        <v>0</v>
      </c>
      <c r="L613" s="27"/>
      <c r="M613" s="27">
        <f>Table15[[#This Row],[اجمالي الفاتوره]]-Table15[[#This Row],[الدفعات]]</f>
        <v>0</v>
      </c>
      <c r="N613" s="27"/>
      <c r="O613" s="27"/>
    </row>
    <row r="614" spans="2:15" ht="29.25" customHeight="1" x14ac:dyDescent="0.3">
      <c r="B614" s="27"/>
      <c r="C614" s="27"/>
      <c r="D614" s="27"/>
      <c r="E614" s="27"/>
      <c r="F614" s="27"/>
      <c r="G614" s="27"/>
      <c r="H614" s="27"/>
      <c r="I614" s="27"/>
      <c r="J614" s="27"/>
      <c r="K614" s="27">
        <f>Table15[[#This Row],[الايصالات]]+Table15[[#This Row],[النولون]]-Table15[[#This Row],[خصم 3%]]</f>
        <v>0</v>
      </c>
      <c r="L614" s="27"/>
      <c r="M614" s="27">
        <f>Table15[[#This Row],[اجمالي الفاتوره]]-Table15[[#This Row],[الدفعات]]</f>
        <v>0</v>
      </c>
      <c r="N614" s="27"/>
      <c r="O614" s="27"/>
    </row>
    <row r="615" spans="2:15" ht="29.25" customHeight="1" x14ac:dyDescent="0.3">
      <c r="B615" s="27"/>
      <c r="C615" s="27"/>
      <c r="D615" s="27"/>
      <c r="E615" s="27"/>
      <c r="F615" s="27"/>
      <c r="G615" s="27"/>
      <c r="H615" s="27"/>
      <c r="I615" s="27"/>
      <c r="J615" s="27"/>
      <c r="K615" s="27">
        <f>Table15[[#This Row],[الايصالات]]+Table15[[#This Row],[النولون]]-Table15[[#This Row],[خصم 3%]]</f>
        <v>0</v>
      </c>
      <c r="L615" s="27"/>
      <c r="M615" s="27">
        <f>Table15[[#This Row],[اجمالي الفاتوره]]-Table15[[#This Row],[الدفعات]]</f>
        <v>0</v>
      </c>
      <c r="N615" s="27"/>
      <c r="O615" s="27"/>
    </row>
    <row r="616" spans="2:15" ht="29.25" customHeight="1" x14ac:dyDescent="0.3">
      <c r="B616" s="27"/>
      <c r="C616" s="27"/>
      <c r="D616" s="27"/>
      <c r="E616" s="27"/>
      <c r="F616" s="27"/>
      <c r="G616" s="27"/>
      <c r="H616" s="27"/>
      <c r="I616" s="27"/>
      <c r="J616" s="27"/>
      <c r="K616" s="27">
        <f>Table15[[#This Row],[الايصالات]]+Table15[[#This Row],[النولون]]-Table15[[#This Row],[خصم 3%]]</f>
        <v>0</v>
      </c>
      <c r="L616" s="27"/>
      <c r="M616" s="27">
        <f>Table15[[#This Row],[اجمالي الفاتوره]]-Table15[[#This Row],[الدفعات]]</f>
        <v>0</v>
      </c>
      <c r="N616" s="27"/>
      <c r="O616" s="27"/>
    </row>
    <row r="617" spans="2:15" ht="29.25" customHeight="1" x14ac:dyDescent="0.3">
      <c r="B617" s="27"/>
      <c r="C617" s="27"/>
      <c r="D617" s="27"/>
      <c r="E617" s="27"/>
      <c r="F617" s="27"/>
      <c r="G617" s="27"/>
      <c r="H617" s="27"/>
      <c r="I617" s="27"/>
      <c r="J617" s="27"/>
      <c r="K617" s="27">
        <f>Table15[[#This Row],[الايصالات]]+Table15[[#This Row],[النولون]]-Table15[[#This Row],[خصم 3%]]</f>
        <v>0</v>
      </c>
      <c r="L617" s="27"/>
      <c r="M617" s="27">
        <f>Table15[[#This Row],[اجمالي الفاتوره]]-Table15[[#This Row],[الدفعات]]</f>
        <v>0</v>
      </c>
      <c r="N617" s="27"/>
      <c r="O617" s="27"/>
    </row>
    <row r="618" spans="2:15" ht="29.25" customHeight="1" x14ac:dyDescent="0.3">
      <c r="B618" s="27"/>
      <c r="C618" s="27"/>
      <c r="D618" s="27"/>
      <c r="E618" s="27"/>
      <c r="F618" s="27"/>
      <c r="G618" s="27"/>
      <c r="H618" s="27"/>
      <c r="I618" s="27"/>
      <c r="J618" s="27"/>
      <c r="K618" s="27">
        <f>Table15[[#This Row],[الايصالات]]+Table15[[#This Row],[النولون]]-Table15[[#This Row],[خصم 3%]]</f>
        <v>0</v>
      </c>
      <c r="L618" s="27"/>
      <c r="M618" s="27">
        <f>Table15[[#This Row],[اجمالي الفاتوره]]-Table15[[#This Row],[الدفعات]]</f>
        <v>0</v>
      </c>
      <c r="N618" s="27"/>
      <c r="O618" s="27"/>
    </row>
    <row r="619" spans="2:15" ht="29.25" customHeight="1" x14ac:dyDescent="0.3">
      <c r="B619" s="27"/>
      <c r="C619" s="27"/>
      <c r="D619" s="27"/>
      <c r="E619" s="27"/>
      <c r="F619" s="27"/>
      <c r="G619" s="27"/>
      <c r="H619" s="27"/>
      <c r="I619" s="27"/>
      <c r="J619" s="27"/>
      <c r="K619" s="27">
        <f>Table15[[#This Row],[الايصالات]]+Table15[[#This Row],[النولون]]-Table15[[#This Row],[خصم 3%]]</f>
        <v>0</v>
      </c>
      <c r="L619" s="27"/>
      <c r="M619" s="27">
        <f>Table15[[#This Row],[اجمالي الفاتوره]]-Table15[[#This Row],[الدفعات]]</f>
        <v>0</v>
      </c>
      <c r="N619" s="27"/>
      <c r="O619" s="27"/>
    </row>
    <row r="620" spans="2:15" ht="29.25" customHeight="1" x14ac:dyDescent="0.3">
      <c r="B620" s="27"/>
      <c r="C620" s="27"/>
      <c r="D620" s="27"/>
      <c r="E620" s="27"/>
      <c r="F620" s="27"/>
      <c r="G620" s="27"/>
      <c r="H620" s="27"/>
      <c r="I620" s="27"/>
      <c r="J620" s="27"/>
      <c r="K620" s="27">
        <f>Table15[[#This Row],[الايصالات]]+Table15[[#This Row],[النولون]]-Table15[[#This Row],[خصم 3%]]</f>
        <v>0</v>
      </c>
      <c r="L620" s="27"/>
      <c r="M620" s="27">
        <f>Table15[[#This Row],[اجمالي الفاتوره]]-Table15[[#This Row],[الدفعات]]</f>
        <v>0</v>
      </c>
      <c r="N620" s="27"/>
      <c r="O620" s="27"/>
    </row>
    <row r="621" spans="2:15" ht="29.25" customHeight="1" x14ac:dyDescent="0.3">
      <c r="B621" s="27"/>
      <c r="C621" s="27"/>
      <c r="D621" s="27"/>
      <c r="E621" s="27"/>
      <c r="F621" s="27"/>
      <c r="G621" s="27"/>
      <c r="H621" s="27"/>
      <c r="I621" s="27"/>
      <c r="J621" s="27"/>
      <c r="K621" s="27">
        <f>Table15[[#This Row],[الايصالات]]+Table15[[#This Row],[النولون]]-Table15[[#This Row],[خصم 3%]]</f>
        <v>0</v>
      </c>
      <c r="L621" s="27"/>
      <c r="M621" s="27">
        <f>Table15[[#This Row],[اجمالي الفاتوره]]-Table15[[#This Row],[الدفعات]]</f>
        <v>0</v>
      </c>
      <c r="N621" s="27"/>
      <c r="O621" s="27"/>
    </row>
    <row r="622" spans="2:15" ht="29.25" customHeight="1" x14ac:dyDescent="0.3">
      <c r="B622" s="27"/>
      <c r="C622" s="27"/>
      <c r="D622" s="27"/>
      <c r="E622" s="27"/>
      <c r="F622" s="27"/>
      <c r="G622" s="27"/>
      <c r="H622" s="27"/>
      <c r="I622" s="27"/>
      <c r="J622" s="27"/>
      <c r="K622" s="27">
        <f>Table15[[#This Row],[الايصالات]]+Table15[[#This Row],[النولون]]-Table15[[#This Row],[خصم 3%]]</f>
        <v>0</v>
      </c>
      <c r="L622" s="27"/>
      <c r="M622" s="27">
        <f>Table15[[#This Row],[اجمالي الفاتوره]]-Table15[[#This Row],[الدفعات]]</f>
        <v>0</v>
      </c>
      <c r="N622" s="27"/>
      <c r="O622" s="27"/>
    </row>
    <row r="623" spans="2:15" ht="29.25" customHeight="1" x14ac:dyDescent="0.3">
      <c r="B623" s="27"/>
      <c r="C623" s="27"/>
      <c r="D623" s="27"/>
      <c r="E623" s="27"/>
      <c r="F623" s="27"/>
      <c r="G623" s="27"/>
      <c r="H623" s="27"/>
      <c r="I623" s="27"/>
      <c r="J623" s="27"/>
      <c r="K623" s="27">
        <f>Table15[[#This Row],[الايصالات]]+Table15[[#This Row],[النولون]]-Table15[[#This Row],[خصم 3%]]</f>
        <v>0</v>
      </c>
      <c r="L623" s="27"/>
      <c r="M623" s="27">
        <f>Table15[[#This Row],[اجمالي الفاتوره]]-Table15[[#This Row],[الدفعات]]</f>
        <v>0</v>
      </c>
      <c r="N623" s="27"/>
      <c r="O623" s="27"/>
    </row>
    <row r="624" spans="2:15" ht="29.25" customHeight="1" x14ac:dyDescent="0.3">
      <c r="B624" s="27"/>
      <c r="C624" s="27"/>
      <c r="D624" s="27"/>
      <c r="E624" s="27"/>
      <c r="F624" s="27"/>
      <c r="G624" s="27"/>
      <c r="H624" s="27"/>
      <c r="I624" s="27"/>
      <c r="J624" s="27"/>
      <c r="K624" s="27">
        <f>Table15[[#This Row],[الايصالات]]+Table15[[#This Row],[النولون]]-Table15[[#This Row],[خصم 3%]]</f>
        <v>0</v>
      </c>
      <c r="L624" s="27"/>
      <c r="M624" s="27">
        <f>Table15[[#This Row],[اجمالي الفاتوره]]-Table15[[#This Row],[الدفعات]]</f>
        <v>0</v>
      </c>
      <c r="N624" s="27"/>
      <c r="O624" s="27"/>
    </row>
    <row r="625" spans="2:15" ht="29.25" customHeight="1" x14ac:dyDescent="0.3">
      <c r="B625" s="27"/>
      <c r="C625" s="27"/>
      <c r="D625" s="27"/>
      <c r="E625" s="27"/>
      <c r="F625" s="27"/>
      <c r="G625" s="27"/>
      <c r="H625" s="27"/>
      <c r="I625" s="27"/>
      <c r="J625" s="27"/>
      <c r="K625" s="27">
        <f>Table15[[#This Row],[الايصالات]]+Table15[[#This Row],[النولون]]-Table15[[#This Row],[خصم 3%]]</f>
        <v>0</v>
      </c>
      <c r="L625" s="27"/>
      <c r="M625" s="27">
        <f>Table15[[#This Row],[اجمالي الفاتوره]]-Table15[[#This Row],[الدفعات]]</f>
        <v>0</v>
      </c>
      <c r="N625" s="27"/>
      <c r="O625" s="27"/>
    </row>
    <row r="626" spans="2:15" ht="29.25" customHeight="1" x14ac:dyDescent="0.3">
      <c r="B626" s="27"/>
      <c r="C626" s="27"/>
      <c r="D626" s="27"/>
      <c r="E626" s="27"/>
      <c r="F626" s="27"/>
      <c r="G626" s="27"/>
      <c r="H626" s="27"/>
      <c r="I626" s="27"/>
      <c r="J626" s="27"/>
      <c r="K626" s="27">
        <f>Table15[[#This Row],[الايصالات]]+Table15[[#This Row],[النولون]]-Table15[[#This Row],[خصم 3%]]</f>
        <v>0</v>
      </c>
      <c r="L626" s="27"/>
      <c r="M626" s="27">
        <f>Table15[[#This Row],[اجمالي الفاتوره]]-Table15[[#This Row],[الدفعات]]</f>
        <v>0</v>
      </c>
      <c r="N626" s="27"/>
      <c r="O626" s="27"/>
    </row>
    <row r="627" spans="2:15" ht="29.25" customHeight="1" x14ac:dyDescent="0.3">
      <c r="B627" s="27"/>
      <c r="C627" s="27"/>
      <c r="D627" s="27"/>
      <c r="E627" s="27"/>
      <c r="F627" s="27"/>
      <c r="G627" s="27"/>
      <c r="H627" s="27"/>
      <c r="I627" s="27"/>
      <c r="J627" s="27"/>
      <c r="K627" s="27">
        <f>Table15[[#This Row],[الايصالات]]+Table15[[#This Row],[النولون]]-Table15[[#This Row],[خصم 3%]]</f>
        <v>0</v>
      </c>
      <c r="L627" s="27"/>
      <c r="M627" s="27">
        <f>Table15[[#This Row],[اجمالي الفاتوره]]-Table15[[#This Row],[الدفعات]]</f>
        <v>0</v>
      </c>
      <c r="N627" s="27"/>
      <c r="O627" s="27"/>
    </row>
    <row r="628" spans="2:15" ht="29.25" customHeight="1" x14ac:dyDescent="0.3">
      <c r="B628" s="27"/>
      <c r="C628" s="27"/>
      <c r="D628" s="27"/>
      <c r="E628" s="27"/>
      <c r="F628" s="27"/>
      <c r="G628" s="27"/>
      <c r="H628" s="27"/>
      <c r="I628" s="27"/>
      <c r="J628" s="27"/>
      <c r="K628" s="27">
        <f>Table15[[#This Row],[الايصالات]]+Table15[[#This Row],[النولون]]-Table15[[#This Row],[خصم 3%]]</f>
        <v>0</v>
      </c>
      <c r="L628" s="27"/>
      <c r="M628" s="27">
        <f>Table15[[#This Row],[اجمالي الفاتوره]]-Table15[[#This Row],[الدفعات]]</f>
        <v>0</v>
      </c>
      <c r="N628" s="27"/>
      <c r="O628" s="27"/>
    </row>
    <row r="629" spans="2:15" ht="29.25" customHeight="1" x14ac:dyDescent="0.3">
      <c r="B629" s="27"/>
      <c r="C629" s="27"/>
      <c r="D629" s="27"/>
      <c r="E629" s="27"/>
      <c r="F629" s="27"/>
      <c r="G629" s="27"/>
      <c r="H629" s="27"/>
      <c r="I629" s="27"/>
      <c r="J629" s="27"/>
      <c r="K629" s="27">
        <f>Table15[[#This Row],[الايصالات]]+Table15[[#This Row],[النولون]]-Table15[[#This Row],[خصم 3%]]</f>
        <v>0</v>
      </c>
      <c r="L629" s="27"/>
      <c r="M629" s="27">
        <f>Table15[[#This Row],[اجمالي الفاتوره]]-Table15[[#This Row],[الدفعات]]</f>
        <v>0</v>
      </c>
      <c r="N629" s="27"/>
      <c r="O629" s="27"/>
    </row>
    <row r="630" spans="2:15" ht="29.25" customHeight="1" x14ac:dyDescent="0.3">
      <c r="B630" s="27"/>
      <c r="C630" s="27"/>
      <c r="D630" s="27"/>
      <c r="E630" s="27"/>
      <c r="F630" s="27"/>
      <c r="G630" s="27"/>
      <c r="H630" s="27"/>
      <c r="I630" s="27"/>
      <c r="J630" s="27"/>
      <c r="K630" s="27">
        <f>Table15[[#This Row],[الايصالات]]+Table15[[#This Row],[النولون]]-Table15[[#This Row],[خصم 3%]]</f>
        <v>0</v>
      </c>
      <c r="L630" s="27"/>
      <c r="M630" s="27">
        <f>Table15[[#This Row],[اجمالي الفاتوره]]-Table15[[#This Row],[الدفعات]]</f>
        <v>0</v>
      </c>
      <c r="N630" s="27"/>
      <c r="O630" s="27"/>
    </row>
    <row r="631" spans="2:15" ht="29.25" customHeight="1" x14ac:dyDescent="0.3">
      <c r="B631" s="27"/>
      <c r="C631" s="27"/>
      <c r="D631" s="27"/>
      <c r="E631" s="27"/>
      <c r="F631" s="27"/>
      <c r="G631" s="27"/>
      <c r="H631" s="27"/>
      <c r="I631" s="27"/>
      <c r="J631" s="27"/>
      <c r="K631" s="27">
        <f>Table15[[#This Row],[الايصالات]]+Table15[[#This Row],[النولون]]-Table15[[#This Row],[خصم 3%]]</f>
        <v>0</v>
      </c>
      <c r="L631" s="27"/>
      <c r="M631" s="27">
        <f>Table15[[#This Row],[اجمالي الفاتوره]]-Table15[[#This Row],[الدفعات]]</f>
        <v>0</v>
      </c>
      <c r="N631" s="27"/>
      <c r="O631" s="27"/>
    </row>
    <row r="632" spans="2:15" ht="29.25" customHeight="1" x14ac:dyDescent="0.3">
      <c r="B632" s="27"/>
      <c r="C632" s="27"/>
      <c r="D632" s="27"/>
      <c r="E632" s="27"/>
      <c r="F632" s="27"/>
      <c r="G632" s="27"/>
      <c r="H632" s="27"/>
      <c r="I632" s="27"/>
      <c r="J632" s="27"/>
      <c r="K632" s="27">
        <f>Table15[[#This Row],[الايصالات]]+Table15[[#This Row],[النولون]]-Table15[[#This Row],[خصم 3%]]</f>
        <v>0</v>
      </c>
      <c r="L632" s="27"/>
      <c r="M632" s="27">
        <f>Table15[[#This Row],[اجمالي الفاتوره]]-Table15[[#This Row],[الدفعات]]</f>
        <v>0</v>
      </c>
      <c r="N632" s="27"/>
      <c r="O632" s="27"/>
    </row>
    <row r="633" spans="2:15" ht="29.25" customHeight="1" x14ac:dyDescent="0.3">
      <c r="B633" s="27"/>
      <c r="C633" s="27"/>
      <c r="D633" s="27"/>
      <c r="E633" s="27"/>
      <c r="F633" s="27"/>
      <c r="G633" s="27"/>
      <c r="H633" s="27"/>
      <c r="I633" s="27"/>
      <c r="J633" s="27"/>
      <c r="K633" s="27">
        <f>Table15[[#This Row],[الايصالات]]+Table15[[#This Row],[النولون]]-Table15[[#This Row],[خصم 3%]]</f>
        <v>0</v>
      </c>
      <c r="L633" s="27"/>
      <c r="M633" s="27">
        <f>Table15[[#This Row],[اجمالي الفاتوره]]-Table15[[#This Row],[الدفعات]]</f>
        <v>0</v>
      </c>
      <c r="N633" s="27"/>
      <c r="O633" s="27"/>
    </row>
    <row r="634" spans="2:15" ht="29.25" customHeight="1" x14ac:dyDescent="0.3">
      <c r="B634" s="27"/>
      <c r="C634" s="27"/>
      <c r="D634" s="27"/>
      <c r="E634" s="27"/>
      <c r="F634" s="27"/>
      <c r="G634" s="27"/>
      <c r="H634" s="27"/>
      <c r="I634" s="27"/>
      <c r="J634" s="27"/>
      <c r="K634" s="27">
        <f>Table15[[#This Row],[الايصالات]]+Table15[[#This Row],[النولون]]-Table15[[#This Row],[خصم 3%]]</f>
        <v>0</v>
      </c>
      <c r="L634" s="27"/>
      <c r="M634" s="27">
        <f>Table15[[#This Row],[اجمالي الفاتوره]]-Table15[[#This Row],[الدفعات]]</f>
        <v>0</v>
      </c>
      <c r="N634" s="27"/>
      <c r="O634" s="27"/>
    </row>
    <row r="635" spans="2:15" ht="29.25" customHeight="1" x14ac:dyDescent="0.3">
      <c r="B635" s="27"/>
      <c r="C635" s="27"/>
      <c r="D635" s="27"/>
      <c r="E635" s="27"/>
      <c r="F635" s="27"/>
      <c r="G635" s="27"/>
      <c r="H635" s="27"/>
      <c r="I635" s="27"/>
      <c r="J635" s="27"/>
      <c r="K635" s="27">
        <f>Table15[[#This Row],[الايصالات]]+Table15[[#This Row],[النولون]]-Table15[[#This Row],[خصم 3%]]</f>
        <v>0</v>
      </c>
      <c r="L635" s="27"/>
      <c r="M635" s="27">
        <f>Table15[[#This Row],[اجمالي الفاتوره]]-Table15[[#This Row],[الدفعات]]</f>
        <v>0</v>
      </c>
      <c r="N635" s="27"/>
      <c r="O635" s="27"/>
    </row>
    <row r="636" spans="2:15" ht="29.25" customHeight="1" x14ac:dyDescent="0.3">
      <c r="B636" s="27"/>
      <c r="C636" s="27"/>
      <c r="D636" s="27"/>
      <c r="E636" s="27"/>
      <c r="F636" s="27"/>
      <c r="G636" s="27"/>
      <c r="H636" s="27"/>
      <c r="I636" s="27"/>
      <c r="J636" s="27"/>
      <c r="K636" s="27">
        <f>Table15[[#This Row],[الايصالات]]+Table15[[#This Row],[النولون]]-Table15[[#This Row],[خصم 3%]]</f>
        <v>0</v>
      </c>
      <c r="L636" s="27"/>
      <c r="M636" s="27">
        <f>Table15[[#This Row],[اجمالي الفاتوره]]-Table15[[#This Row],[الدفعات]]</f>
        <v>0</v>
      </c>
      <c r="N636" s="27"/>
      <c r="O636" s="27"/>
    </row>
    <row r="637" spans="2:15" ht="29.25" customHeight="1" x14ac:dyDescent="0.3">
      <c r="B637" s="27"/>
      <c r="C637" s="27"/>
      <c r="D637" s="27"/>
      <c r="E637" s="27"/>
      <c r="F637" s="27"/>
      <c r="G637" s="27"/>
      <c r="H637" s="27"/>
      <c r="I637" s="27"/>
      <c r="J637" s="27"/>
      <c r="K637" s="27">
        <f>Table15[[#This Row],[الايصالات]]+Table15[[#This Row],[النولون]]-Table15[[#This Row],[خصم 3%]]</f>
        <v>0</v>
      </c>
      <c r="L637" s="27"/>
      <c r="M637" s="27">
        <f>Table15[[#This Row],[اجمالي الفاتوره]]-Table15[[#This Row],[الدفعات]]</f>
        <v>0</v>
      </c>
      <c r="N637" s="27"/>
      <c r="O637" s="27"/>
    </row>
    <row r="638" spans="2:15" ht="29.25" customHeight="1" x14ac:dyDescent="0.3">
      <c r="B638" s="27"/>
      <c r="C638" s="27"/>
      <c r="D638" s="27"/>
      <c r="E638" s="27"/>
      <c r="F638" s="27"/>
      <c r="G638" s="27"/>
      <c r="H638" s="27"/>
      <c r="I638" s="27"/>
      <c r="J638" s="27"/>
      <c r="K638" s="27">
        <f>Table15[[#This Row],[الايصالات]]+Table15[[#This Row],[النولون]]-Table15[[#This Row],[خصم 3%]]</f>
        <v>0</v>
      </c>
      <c r="L638" s="27"/>
      <c r="M638" s="27">
        <f>Table15[[#This Row],[اجمالي الفاتوره]]-Table15[[#This Row],[الدفعات]]</f>
        <v>0</v>
      </c>
      <c r="N638" s="27"/>
      <c r="O638" s="27"/>
    </row>
    <row r="639" spans="2:15" ht="29.25" customHeight="1" x14ac:dyDescent="0.3">
      <c r="B639" s="27"/>
      <c r="C639" s="27"/>
      <c r="D639" s="27"/>
      <c r="E639" s="27"/>
      <c r="F639" s="27"/>
      <c r="G639" s="27"/>
      <c r="H639" s="27"/>
      <c r="I639" s="27"/>
      <c r="J639" s="27"/>
      <c r="K639" s="27">
        <f>Table15[[#This Row],[الايصالات]]+Table15[[#This Row],[النولون]]-Table15[[#This Row],[خصم 3%]]</f>
        <v>0</v>
      </c>
      <c r="L639" s="27"/>
      <c r="M639" s="27">
        <f>Table15[[#This Row],[اجمالي الفاتوره]]-Table15[[#This Row],[الدفعات]]</f>
        <v>0</v>
      </c>
      <c r="N639" s="27"/>
      <c r="O639" s="27"/>
    </row>
    <row r="640" spans="2:15" ht="29.25" customHeight="1" x14ac:dyDescent="0.3">
      <c r="B640" s="27"/>
      <c r="C640" s="27"/>
      <c r="D640" s="27"/>
      <c r="E640" s="27"/>
      <c r="F640" s="27"/>
      <c r="G640" s="27"/>
      <c r="H640" s="27"/>
      <c r="I640" s="27"/>
      <c r="J640" s="27"/>
      <c r="K640" s="27">
        <f>Table15[[#This Row],[الايصالات]]+Table15[[#This Row],[النولون]]-Table15[[#This Row],[خصم 3%]]</f>
        <v>0</v>
      </c>
      <c r="L640" s="27"/>
      <c r="M640" s="27">
        <f>Table15[[#This Row],[اجمالي الفاتوره]]-Table15[[#This Row],[الدفعات]]</f>
        <v>0</v>
      </c>
      <c r="N640" s="27"/>
      <c r="O640" s="27"/>
    </row>
    <row r="641" spans="2:15" ht="29.25" customHeight="1" x14ac:dyDescent="0.3">
      <c r="B641" s="27"/>
      <c r="C641" s="27"/>
      <c r="D641" s="27"/>
      <c r="E641" s="27"/>
      <c r="F641" s="27"/>
      <c r="G641" s="27"/>
      <c r="H641" s="27"/>
      <c r="I641" s="27"/>
      <c r="J641" s="27"/>
      <c r="K641" s="27">
        <f>Table15[[#This Row],[الايصالات]]+Table15[[#This Row],[النولون]]-Table15[[#This Row],[خصم 3%]]</f>
        <v>0</v>
      </c>
      <c r="L641" s="27"/>
      <c r="M641" s="27">
        <f>Table15[[#This Row],[اجمالي الفاتوره]]-Table15[[#This Row],[الدفعات]]</f>
        <v>0</v>
      </c>
      <c r="N641" s="27"/>
      <c r="O641" s="27"/>
    </row>
    <row r="642" spans="2:15" ht="29.25" customHeight="1" x14ac:dyDescent="0.3">
      <c r="B642" s="27"/>
      <c r="C642" s="27"/>
      <c r="D642" s="27"/>
      <c r="E642" s="27"/>
      <c r="F642" s="27"/>
      <c r="G642" s="27"/>
      <c r="H642" s="27"/>
      <c r="I642" s="27"/>
      <c r="J642" s="27"/>
      <c r="K642" s="27">
        <f>Table15[[#This Row],[الايصالات]]+Table15[[#This Row],[النولون]]-Table15[[#This Row],[خصم 3%]]</f>
        <v>0</v>
      </c>
      <c r="L642" s="27"/>
      <c r="M642" s="27">
        <f>Table15[[#This Row],[اجمالي الفاتوره]]-Table15[[#This Row],[الدفعات]]</f>
        <v>0</v>
      </c>
      <c r="N642" s="27"/>
      <c r="O642" s="27"/>
    </row>
    <row r="643" spans="2:15" ht="29.25" customHeight="1" x14ac:dyDescent="0.3">
      <c r="B643" s="27"/>
      <c r="C643" s="27"/>
      <c r="D643" s="27"/>
      <c r="E643" s="27"/>
      <c r="F643" s="27"/>
      <c r="G643" s="27"/>
      <c r="H643" s="27"/>
      <c r="I643" s="27"/>
      <c r="J643" s="27"/>
      <c r="K643" s="27">
        <f>Table15[[#This Row],[الايصالات]]+Table15[[#This Row],[النولون]]-Table15[[#This Row],[خصم 3%]]</f>
        <v>0</v>
      </c>
      <c r="L643" s="27"/>
      <c r="M643" s="27">
        <f>Table15[[#This Row],[اجمالي الفاتوره]]-Table15[[#This Row],[الدفعات]]</f>
        <v>0</v>
      </c>
      <c r="N643" s="27"/>
      <c r="O643" s="27"/>
    </row>
    <row r="644" spans="2:15" ht="29.25" customHeight="1" x14ac:dyDescent="0.3">
      <c r="B644" s="27"/>
      <c r="C644" s="27"/>
      <c r="D644" s="27"/>
      <c r="E644" s="27"/>
      <c r="F644" s="27"/>
      <c r="G644" s="27"/>
      <c r="H644" s="27"/>
      <c r="I644" s="27"/>
      <c r="J644" s="27"/>
      <c r="K644" s="27">
        <f>Table15[[#This Row],[الايصالات]]+Table15[[#This Row],[النولون]]-Table15[[#This Row],[خصم 3%]]</f>
        <v>0</v>
      </c>
      <c r="L644" s="27"/>
      <c r="M644" s="27">
        <f>Table15[[#This Row],[اجمالي الفاتوره]]-Table15[[#This Row],[الدفعات]]</f>
        <v>0</v>
      </c>
      <c r="N644" s="27"/>
      <c r="O644" s="27"/>
    </row>
    <row r="645" spans="2:15" ht="29.25" customHeight="1" x14ac:dyDescent="0.3">
      <c r="B645" s="27"/>
      <c r="C645" s="27"/>
      <c r="D645" s="27"/>
      <c r="E645" s="27"/>
      <c r="F645" s="27"/>
      <c r="G645" s="27"/>
      <c r="H645" s="27"/>
      <c r="I645" s="27"/>
      <c r="J645" s="27"/>
      <c r="K645" s="27">
        <f>Table15[[#This Row],[الايصالات]]+Table15[[#This Row],[النولون]]-Table15[[#This Row],[خصم 3%]]</f>
        <v>0</v>
      </c>
      <c r="L645" s="27"/>
      <c r="M645" s="27">
        <f>Table15[[#This Row],[اجمالي الفاتوره]]-Table15[[#This Row],[الدفعات]]</f>
        <v>0</v>
      </c>
      <c r="N645" s="27"/>
      <c r="O645" s="27"/>
    </row>
    <row r="646" spans="2:15" ht="29.25" customHeight="1" x14ac:dyDescent="0.3">
      <c r="B646" s="27"/>
      <c r="C646" s="27"/>
      <c r="D646" s="27"/>
      <c r="E646" s="27"/>
      <c r="F646" s="27"/>
      <c r="G646" s="27"/>
      <c r="H646" s="27"/>
      <c r="I646" s="27"/>
      <c r="J646" s="27"/>
      <c r="K646" s="27">
        <f>Table15[[#This Row],[الايصالات]]+Table15[[#This Row],[النولون]]-Table15[[#This Row],[خصم 3%]]</f>
        <v>0</v>
      </c>
      <c r="L646" s="27"/>
      <c r="M646" s="27">
        <f>Table15[[#This Row],[اجمالي الفاتوره]]-Table15[[#This Row],[الدفعات]]</f>
        <v>0</v>
      </c>
      <c r="N646" s="27"/>
      <c r="O646" s="27"/>
    </row>
    <row r="647" spans="2:15" ht="29.25" customHeight="1" x14ac:dyDescent="0.3">
      <c r="B647" s="27"/>
      <c r="C647" s="27"/>
      <c r="D647" s="27"/>
      <c r="E647" s="27"/>
      <c r="F647" s="27"/>
      <c r="G647" s="27"/>
      <c r="H647" s="27"/>
      <c r="I647" s="27"/>
      <c r="J647" s="27"/>
      <c r="K647" s="27">
        <f>Table15[[#This Row],[الايصالات]]+Table15[[#This Row],[النولون]]-Table15[[#This Row],[خصم 3%]]</f>
        <v>0</v>
      </c>
      <c r="L647" s="27"/>
      <c r="M647" s="27">
        <f>Table15[[#This Row],[اجمالي الفاتوره]]-Table15[[#This Row],[الدفعات]]</f>
        <v>0</v>
      </c>
      <c r="N647" s="27"/>
      <c r="O647" s="27"/>
    </row>
    <row r="648" spans="2:15" ht="29.25" customHeight="1" x14ac:dyDescent="0.3">
      <c r="B648" s="27"/>
      <c r="C648" s="27"/>
      <c r="D648" s="27"/>
      <c r="E648" s="27"/>
      <c r="F648" s="27"/>
      <c r="G648" s="27"/>
      <c r="H648" s="27"/>
      <c r="I648" s="27"/>
      <c r="J648" s="27"/>
      <c r="K648" s="27">
        <f>Table15[[#This Row],[الايصالات]]+Table15[[#This Row],[النولون]]-Table15[[#This Row],[خصم 3%]]</f>
        <v>0</v>
      </c>
      <c r="L648" s="27"/>
      <c r="M648" s="27">
        <f>Table15[[#This Row],[اجمالي الفاتوره]]-Table15[[#This Row],[الدفعات]]</f>
        <v>0</v>
      </c>
      <c r="N648" s="27"/>
      <c r="O648" s="27"/>
    </row>
    <row r="649" spans="2:15" ht="29.25" customHeight="1" x14ac:dyDescent="0.3">
      <c r="B649" s="27"/>
      <c r="C649" s="27"/>
      <c r="D649" s="27"/>
      <c r="E649" s="27"/>
      <c r="F649" s="27"/>
      <c r="G649" s="27"/>
      <c r="H649" s="27"/>
      <c r="I649" s="27"/>
      <c r="J649" s="27"/>
      <c r="K649" s="27">
        <f>Table15[[#This Row],[الايصالات]]+Table15[[#This Row],[النولون]]-Table15[[#This Row],[خصم 3%]]</f>
        <v>0</v>
      </c>
      <c r="L649" s="27"/>
      <c r="M649" s="27">
        <f>Table15[[#This Row],[اجمالي الفاتوره]]-Table15[[#This Row],[الدفعات]]</f>
        <v>0</v>
      </c>
      <c r="N649" s="27"/>
      <c r="O649" s="27"/>
    </row>
    <row r="650" spans="2:15" ht="29.25" customHeight="1" x14ac:dyDescent="0.3">
      <c r="B650" s="27"/>
      <c r="C650" s="27"/>
      <c r="D650" s="27"/>
      <c r="E650" s="27"/>
      <c r="F650" s="27"/>
      <c r="G650" s="27"/>
      <c r="H650" s="27"/>
      <c r="I650" s="27"/>
      <c r="J650" s="27"/>
      <c r="K650" s="27">
        <f>Table15[[#This Row],[الايصالات]]+Table15[[#This Row],[النولون]]-Table15[[#This Row],[خصم 3%]]</f>
        <v>0</v>
      </c>
      <c r="L650" s="27"/>
      <c r="M650" s="27">
        <f>Table15[[#This Row],[اجمالي الفاتوره]]-Table15[[#This Row],[الدفعات]]</f>
        <v>0</v>
      </c>
      <c r="N650" s="27"/>
      <c r="O650" s="27"/>
    </row>
    <row r="651" spans="2:15" ht="29.25" customHeight="1" x14ac:dyDescent="0.3">
      <c r="B651" s="27"/>
      <c r="C651" s="27"/>
      <c r="D651" s="27"/>
      <c r="E651" s="27"/>
      <c r="F651" s="27"/>
      <c r="G651" s="27"/>
      <c r="H651" s="27"/>
      <c r="I651" s="27"/>
      <c r="J651" s="27"/>
      <c r="K651" s="27">
        <f>Table15[[#This Row],[الايصالات]]+Table15[[#This Row],[النولون]]-Table15[[#This Row],[خصم 3%]]</f>
        <v>0</v>
      </c>
      <c r="L651" s="27"/>
      <c r="M651" s="27">
        <f>Table15[[#This Row],[اجمالي الفاتوره]]-Table15[[#This Row],[الدفعات]]</f>
        <v>0</v>
      </c>
      <c r="N651" s="27"/>
      <c r="O651" s="27"/>
    </row>
    <row r="652" spans="2:15" ht="29.25" customHeight="1" x14ac:dyDescent="0.3">
      <c r="B652" s="27"/>
      <c r="C652" s="27"/>
      <c r="D652" s="27"/>
      <c r="E652" s="27"/>
      <c r="F652" s="27"/>
      <c r="G652" s="27"/>
      <c r="H652" s="27"/>
      <c r="I652" s="27"/>
      <c r="J652" s="27"/>
      <c r="K652" s="27">
        <f>Table15[[#This Row],[الايصالات]]+Table15[[#This Row],[النولون]]-Table15[[#This Row],[خصم 3%]]</f>
        <v>0</v>
      </c>
      <c r="L652" s="27"/>
      <c r="M652" s="27">
        <f>Table15[[#This Row],[اجمالي الفاتوره]]-Table15[[#This Row],[الدفعات]]</f>
        <v>0</v>
      </c>
      <c r="N652" s="27"/>
      <c r="O652" s="27"/>
    </row>
    <row r="653" spans="2:15" ht="29.25" customHeight="1" x14ac:dyDescent="0.3">
      <c r="B653" s="27"/>
      <c r="C653" s="27"/>
      <c r="D653" s="27"/>
      <c r="E653" s="27"/>
      <c r="F653" s="27"/>
      <c r="G653" s="27"/>
      <c r="H653" s="27"/>
      <c r="I653" s="27"/>
      <c r="J653" s="27"/>
      <c r="K653" s="27">
        <f>Table15[[#This Row],[الايصالات]]+Table15[[#This Row],[النولون]]-Table15[[#This Row],[خصم 3%]]</f>
        <v>0</v>
      </c>
      <c r="L653" s="27"/>
      <c r="M653" s="27">
        <f>Table15[[#This Row],[اجمالي الفاتوره]]-Table15[[#This Row],[الدفعات]]</f>
        <v>0</v>
      </c>
      <c r="N653" s="27"/>
      <c r="O653" s="27"/>
    </row>
    <row r="654" spans="2:15" ht="29.25" customHeight="1" x14ac:dyDescent="0.3">
      <c r="B654" s="27"/>
      <c r="C654" s="27"/>
      <c r="D654" s="27"/>
      <c r="E654" s="27"/>
      <c r="F654" s="27"/>
      <c r="G654" s="27"/>
      <c r="H654" s="27"/>
      <c r="I654" s="27"/>
      <c r="J654" s="27"/>
      <c r="K654" s="27">
        <f>Table15[[#This Row],[الايصالات]]+Table15[[#This Row],[النولون]]-Table15[[#This Row],[خصم 3%]]</f>
        <v>0</v>
      </c>
      <c r="L654" s="27"/>
      <c r="M654" s="27">
        <f>Table15[[#This Row],[اجمالي الفاتوره]]-Table15[[#This Row],[الدفعات]]</f>
        <v>0</v>
      </c>
      <c r="N654" s="27"/>
      <c r="O654" s="27"/>
    </row>
    <row r="655" spans="2:15" ht="29.25" customHeight="1" x14ac:dyDescent="0.3">
      <c r="B655" s="27"/>
      <c r="C655" s="27"/>
      <c r="D655" s="27"/>
      <c r="E655" s="27"/>
      <c r="F655" s="27"/>
      <c r="G655" s="27"/>
      <c r="H655" s="27"/>
      <c r="I655" s="27"/>
      <c r="J655" s="27"/>
      <c r="K655" s="27">
        <f>Table15[[#This Row],[الايصالات]]+Table15[[#This Row],[النولون]]-Table15[[#This Row],[خصم 3%]]</f>
        <v>0</v>
      </c>
      <c r="L655" s="27"/>
      <c r="M655" s="27">
        <f>Table15[[#This Row],[اجمالي الفاتوره]]-Table15[[#This Row],[الدفعات]]</f>
        <v>0</v>
      </c>
      <c r="N655" s="27"/>
      <c r="O655" s="27"/>
    </row>
    <row r="656" spans="2:15" ht="29.25" customHeight="1" x14ac:dyDescent="0.3">
      <c r="B656" s="27"/>
      <c r="C656" s="27"/>
      <c r="D656" s="27"/>
      <c r="E656" s="27"/>
      <c r="F656" s="27"/>
      <c r="G656" s="27"/>
      <c r="H656" s="27"/>
      <c r="I656" s="27"/>
      <c r="J656" s="27"/>
      <c r="K656" s="27">
        <f>Table15[[#This Row],[الايصالات]]+Table15[[#This Row],[النولون]]-Table15[[#This Row],[خصم 3%]]</f>
        <v>0</v>
      </c>
      <c r="L656" s="27"/>
      <c r="M656" s="27">
        <f>Table15[[#This Row],[اجمالي الفاتوره]]-Table15[[#This Row],[الدفعات]]</f>
        <v>0</v>
      </c>
      <c r="N656" s="27"/>
      <c r="O656" s="27"/>
    </row>
    <row r="657" spans="2:15" ht="29.25" customHeight="1" x14ac:dyDescent="0.3">
      <c r="B657" s="27"/>
      <c r="C657" s="27"/>
      <c r="D657" s="27"/>
      <c r="E657" s="27"/>
      <c r="F657" s="27"/>
      <c r="G657" s="27"/>
      <c r="H657" s="27"/>
      <c r="I657" s="27"/>
      <c r="J657" s="27"/>
      <c r="K657" s="27">
        <f>Table15[[#This Row],[الايصالات]]+Table15[[#This Row],[النولون]]-Table15[[#This Row],[خصم 3%]]</f>
        <v>0</v>
      </c>
      <c r="L657" s="27"/>
      <c r="M657" s="27">
        <f>Table15[[#This Row],[اجمالي الفاتوره]]-Table15[[#This Row],[الدفعات]]</f>
        <v>0</v>
      </c>
      <c r="N657" s="27"/>
      <c r="O657" s="27"/>
    </row>
    <row r="658" spans="2:15" ht="29.25" customHeight="1" x14ac:dyDescent="0.3">
      <c r="B658" s="27"/>
      <c r="C658" s="27"/>
      <c r="D658" s="27"/>
      <c r="E658" s="27"/>
      <c r="F658" s="27"/>
      <c r="G658" s="27"/>
      <c r="H658" s="27"/>
      <c r="I658" s="27"/>
      <c r="J658" s="27"/>
      <c r="K658" s="27">
        <f>Table15[[#This Row],[الايصالات]]+Table15[[#This Row],[النولون]]-Table15[[#This Row],[خصم 3%]]</f>
        <v>0</v>
      </c>
      <c r="L658" s="27"/>
      <c r="M658" s="27">
        <f>Table15[[#This Row],[اجمالي الفاتوره]]-Table15[[#This Row],[الدفعات]]</f>
        <v>0</v>
      </c>
      <c r="N658" s="27"/>
      <c r="O658" s="27"/>
    </row>
    <row r="659" spans="2:15" ht="29.25" customHeight="1" x14ac:dyDescent="0.3">
      <c r="B659" s="27"/>
      <c r="C659" s="27"/>
      <c r="D659" s="27"/>
      <c r="E659" s="27"/>
      <c r="F659" s="27"/>
      <c r="G659" s="27"/>
      <c r="H659" s="27"/>
      <c r="I659" s="27"/>
      <c r="J659" s="27"/>
      <c r="K659" s="27">
        <f>Table15[[#This Row],[الايصالات]]+Table15[[#This Row],[النولون]]-Table15[[#This Row],[خصم 3%]]</f>
        <v>0</v>
      </c>
      <c r="L659" s="27"/>
      <c r="M659" s="27">
        <f>Table15[[#This Row],[اجمالي الفاتوره]]-Table15[[#This Row],[الدفعات]]</f>
        <v>0</v>
      </c>
      <c r="N659" s="27"/>
      <c r="O659" s="27"/>
    </row>
    <row r="660" spans="2:15" ht="29.25" customHeight="1" x14ac:dyDescent="0.3">
      <c r="B660" s="27"/>
      <c r="C660" s="27"/>
      <c r="D660" s="27"/>
      <c r="E660" s="27"/>
      <c r="F660" s="27"/>
      <c r="G660" s="27"/>
      <c r="H660" s="27"/>
      <c r="I660" s="27"/>
      <c r="J660" s="27"/>
      <c r="K660" s="27">
        <f>Table15[[#This Row],[الايصالات]]+Table15[[#This Row],[النولون]]-Table15[[#This Row],[خصم 3%]]</f>
        <v>0</v>
      </c>
      <c r="L660" s="27"/>
      <c r="M660" s="27">
        <f>Table15[[#This Row],[اجمالي الفاتوره]]-Table15[[#This Row],[الدفعات]]</f>
        <v>0</v>
      </c>
      <c r="N660" s="27"/>
      <c r="O660" s="27"/>
    </row>
    <row r="661" spans="2:15" ht="29.25" customHeight="1" x14ac:dyDescent="0.3">
      <c r="B661" s="27"/>
      <c r="C661" s="27"/>
      <c r="D661" s="27"/>
      <c r="E661" s="27"/>
      <c r="F661" s="27"/>
      <c r="G661" s="27"/>
      <c r="H661" s="27"/>
      <c r="I661" s="27"/>
      <c r="J661" s="27"/>
      <c r="K661" s="27">
        <f>Table15[[#This Row],[الايصالات]]+Table15[[#This Row],[النولون]]-Table15[[#This Row],[خصم 3%]]</f>
        <v>0</v>
      </c>
      <c r="L661" s="27"/>
      <c r="M661" s="27">
        <f>Table15[[#This Row],[اجمالي الفاتوره]]-Table15[[#This Row],[الدفعات]]</f>
        <v>0</v>
      </c>
      <c r="N661" s="27"/>
      <c r="O661" s="27"/>
    </row>
    <row r="662" spans="2:15" ht="29.25" customHeight="1" x14ac:dyDescent="0.3">
      <c r="B662" s="27"/>
      <c r="C662" s="27"/>
      <c r="D662" s="27"/>
      <c r="E662" s="27"/>
      <c r="F662" s="27"/>
      <c r="G662" s="27"/>
      <c r="H662" s="27"/>
      <c r="I662" s="27"/>
      <c r="J662" s="27"/>
      <c r="K662" s="27">
        <f>Table15[[#This Row],[الايصالات]]+Table15[[#This Row],[النولون]]-Table15[[#This Row],[خصم 3%]]</f>
        <v>0</v>
      </c>
      <c r="L662" s="27"/>
      <c r="M662" s="27">
        <f>Table15[[#This Row],[اجمالي الفاتوره]]-Table15[[#This Row],[الدفعات]]</f>
        <v>0</v>
      </c>
      <c r="N662" s="27"/>
      <c r="O662" s="27"/>
    </row>
    <row r="663" spans="2:15" ht="29.25" customHeight="1" x14ac:dyDescent="0.3">
      <c r="B663" s="27"/>
      <c r="C663" s="27"/>
      <c r="D663" s="27"/>
      <c r="E663" s="27"/>
      <c r="F663" s="27"/>
      <c r="G663" s="27"/>
      <c r="H663" s="27"/>
      <c r="I663" s="27"/>
      <c r="J663" s="27"/>
      <c r="K663" s="27">
        <f>Table15[[#This Row],[الايصالات]]+Table15[[#This Row],[النولون]]-Table15[[#This Row],[خصم 3%]]</f>
        <v>0</v>
      </c>
      <c r="L663" s="27"/>
      <c r="M663" s="27">
        <f>Table15[[#This Row],[اجمالي الفاتوره]]-Table15[[#This Row],[الدفعات]]</f>
        <v>0</v>
      </c>
      <c r="N663" s="27"/>
      <c r="O663" s="27"/>
    </row>
    <row r="664" spans="2:15" ht="29.25" customHeight="1" x14ac:dyDescent="0.3">
      <c r="B664" s="27"/>
      <c r="C664" s="27"/>
      <c r="D664" s="27"/>
      <c r="E664" s="27"/>
      <c r="F664" s="27"/>
      <c r="G664" s="27"/>
      <c r="H664" s="27"/>
      <c r="I664" s="27"/>
      <c r="J664" s="27"/>
      <c r="K664" s="27">
        <f>Table15[[#This Row],[الايصالات]]+Table15[[#This Row],[النولون]]-Table15[[#This Row],[خصم 3%]]</f>
        <v>0</v>
      </c>
      <c r="L664" s="27"/>
      <c r="M664" s="27">
        <f>Table15[[#This Row],[اجمالي الفاتوره]]-Table15[[#This Row],[الدفعات]]</f>
        <v>0</v>
      </c>
      <c r="N664" s="27"/>
      <c r="O664" s="27"/>
    </row>
    <row r="665" spans="2:15" ht="29.25" customHeight="1" x14ac:dyDescent="0.3">
      <c r="B665" s="27"/>
      <c r="C665" s="27"/>
      <c r="D665" s="27"/>
      <c r="E665" s="27"/>
      <c r="F665" s="27"/>
      <c r="G665" s="27"/>
      <c r="H665" s="27"/>
      <c r="I665" s="27"/>
      <c r="J665" s="27"/>
      <c r="K665" s="27">
        <f>Table15[[#This Row],[الايصالات]]+Table15[[#This Row],[النولون]]-Table15[[#This Row],[خصم 3%]]</f>
        <v>0</v>
      </c>
      <c r="L665" s="27"/>
      <c r="M665" s="27">
        <f>Table15[[#This Row],[اجمالي الفاتوره]]-Table15[[#This Row],[الدفعات]]</f>
        <v>0</v>
      </c>
      <c r="N665" s="27"/>
      <c r="O665" s="27"/>
    </row>
    <row r="666" spans="2:15" ht="29.25" customHeight="1" x14ac:dyDescent="0.3">
      <c r="B666" s="27"/>
      <c r="C666" s="27"/>
      <c r="D666" s="27"/>
      <c r="E666" s="27"/>
      <c r="F666" s="27"/>
      <c r="G666" s="27"/>
      <c r="H666" s="27"/>
      <c r="I666" s="27"/>
      <c r="J666" s="27"/>
      <c r="K666" s="27">
        <f>Table15[[#This Row],[الايصالات]]+Table15[[#This Row],[النولون]]-Table15[[#This Row],[خصم 3%]]</f>
        <v>0</v>
      </c>
      <c r="L666" s="27"/>
      <c r="M666" s="27">
        <f>Table15[[#This Row],[اجمالي الفاتوره]]-Table15[[#This Row],[الدفعات]]</f>
        <v>0</v>
      </c>
      <c r="N666" s="27"/>
      <c r="O666" s="27"/>
    </row>
    <row r="667" spans="2:15" ht="29.25" customHeight="1" x14ac:dyDescent="0.3">
      <c r="B667" s="27"/>
      <c r="C667" s="27"/>
      <c r="D667" s="27"/>
      <c r="E667" s="27"/>
      <c r="F667" s="27"/>
      <c r="G667" s="27"/>
      <c r="H667" s="27"/>
      <c r="I667" s="27"/>
      <c r="J667" s="27"/>
      <c r="K667" s="27">
        <f>Table15[[#This Row],[الايصالات]]+Table15[[#This Row],[النولون]]-Table15[[#This Row],[خصم 3%]]</f>
        <v>0</v>
      </c>
      <c r="L667" s="27"/>
      <c r="M667" s="27">
        <f>Table15[[#This Row],[اجمالي الفاتوره]]-Table15[[#This Row],[الدفعات]]</f>
        <v>0</v>
      </c>
      <c r="N667" s="27"/>
      <c r="O667" s="27"/>
    </row>
    <row r="668" spans="2:15" ht="29.25" customHeight="1" x14ac:dyDescent="0.3">
      <c r="B668" s="27"/>
      <c r="C668" s="27"/>
      <c r="D668" s="27"/>
      <c r="E668" s="27"/>
      <c r="F668" s="27"/>
      <c r="G668" s="27"/>
      <c r="H668" s="27"/>
      <c r="I668" s="27"/>
      <c r="J668" s="27"/>
      <c r="K668" s="27">
        <f>Table15[[#This Row],[الايصالات]]+Table15[[#This Row],[النولون]]-Table15[[#This Row],[خصم 3%]]</f>
        <v>0</v>
      </c>
      <c r="L668" s="27"/>
      <c r="M668" s="27">
        <f>Table15[[#This Row],[اجمالي الفاتوره]]-Table15[[#This Row],[الدفعات]]</f>
        <v>0</v>
      </c>
      <c r="N668" s="27"/>
      <c r="O668" s="27"/>
    </row>
    <row r="669" spans="2:15" ht="29.25" customHeight="1" x14ac:dyDescent="0.3">
      <c r="B669" s="27"/>
      <c r="C669" s="27"/>
      <c r="D669" s="27"/>
      <c r="E669" s="27"/>
      <c r="F669" s="27"/>
      <c r="G669" s="27"/>
      <c r="H669" s="27"/>
      <c r="I669" s="27"/>
      <c r="J669" s="27"/>
      <c r="K669" s="27">
        <f>Table15[[#This Row],[الايصالات]]+Table15[[#This Row],[النولون]]-Table15[[#This Row],[خصم 3%]]</f>
        <v>0</v>
      </c>
      <c r="L669" s="27"/>
      <c r="M669" s="27">
        <f>Table15[[#This Row],[اجمالي الفاتوره]]-Table15[[#This Row],[الدفعات]]</f>
        <v>0</v>
      </c>
      <c r="N669" s="27"/>
      <c r="O669" s="27"/>
    </row>
    <row r="670" spans="2:15" ht="29.25" customHeight="1" x14ac:dyDescent="0.3">
      <c r="B670" s="27"/>
      <c r="C670" s="27"/>
      <c r="D670" s="27"/>
      <c r="E670" s="27"/>
      <c r="F670" s="27"/>
      <c r="G670" s="27"/>
      <c r="H670" s="27"/>
      <c r="I670" s="27"/>
      <c r="J670" s="27"/>
      <c r="K670" s="27">
        <f>Table15[[#This Row],[الايصالات]]+Table15[[#This Row],[النولون]]-Table15[[#This Row],[خصم 3%]]</f>
        <v>0</v>
      </c>
      <c r="L670" s="27"/>
      <c r="M670" s="27">
        <f>Table15[[#This Row],[اجمالي الفاتوره]]-Table15[[#This Row],[الدفعات]]</f>
        <v>0</v>
      </c>
      <c r="N670" s="27"/>
      <c r="O670" s="27"/>
    </row>
    <row r="671" spans="2:15" ht="29.25" customHeight="1" x14ac:dyDescent="0.3">
      <c r="B671" s="27"/>
      <c r="C671" s="27"/>
      <c r="D671" s="27"/>
      <c r="E671" s="27"/>
      <c r="F671" s="27"/>
      <c r="G671" s="27"/>
      <c r="H671" s="27"/>
      <c r="I671" s="27"/>
      <c r="J671" s="27"/>
      <c r="K671" s="27">
        <f>Table15[[#This Row],[الايصالات]]+Table15[[#This Row],[النولون]]-Table15[[#This Row],[خصم 3%]]</f>
        <v>0</v>
      </c>
      <c r="L671" s="27"/>
      <c r="M671" s="27">
        <f>Table15[[#This Row],[اجمالي الفاتوره]]-Table15[[#This Row],[الدفعات]]</f>
        <v>0</v>
      </c>
      <c r="N671" s="27"/>
      <c r="O671" s="27"/>
    </row>
    <row r="672" spans="2:15" ht="29.25" customHeight="1" x14ac:dyDescent="0.3">
      <c r="B672" s="27"/>
      <c r="C672" s="27"/>
      <c r="D672" s="27"/>
      <c r="E672" s="27"/>
      <c r="F672" s="27"/>
      <c r="G672" s="27"/>
      <c r="H672" s="27"/>
      <c r="I672" s="27"/>
      <c r="J672" s="27"/>
      <c r="K672" s="27">
        <f>Table15[[#This Row],[الايصالات]]+Table15[[#This Row],[النولون]]-Table15[[#This Row],[خصم 3%]]</f>
        <v>0</v>
      </c>
      <c r="L672" s="27"/>
      <c r="M672" s="27">
        <f>Table15[[#This Row],[اجمالي الفاتوره]]-Table15[[#This Row],[الدفعات]]</f>
        <v>0</v>
      </c>
      <c r="N672" s="27"/>
      <c r="O672" s="27"/>
    </row>
    <row r="673" spans="2:15" ht="29.25" customHeight="1" x14ac:dyDescent="0.3">
      <c r="B673" s="27"/>
      <c r="C673" s="27"/>
      <c r="D673" s="27"/>
      <c r="E673" s="27"/>
      <c r="F673" s="27"/>
      <c r="G673" s="27"/>
      <c r="H673" s="27"/>
      <c r="I673" s="27"/>
      <c r="J673" s="27"/>
      <c r="K673" s="27">
        <f>Table15[[#This Row],[الايصالات]]+Table15[[#This Row],[النولون]]-Table15[[#This Row],[خصم 3%]]</f>
        <v>0</v>
      </c>
      <c r="L673" s="27"/>
      <c r="M673" s="27">
        <f>Table15[[#This Row],[اجمالي الفاتوره]]-Table15[[#This Row],[الدفعات]]</f>
        <v>0</v>
      </c>
      <c r="N673" s="27"/>
      <c r="O673" s="27"/>
    </row>
    <row r="674" spans="2:15" ht="29.25" customHeight="1" x14ac:dyDescent="0.3">
      <c r="B674" s="27"/>
      <c r="C674" s="27"/>
      <c r="D674" s="27"/>
      <c r="E674" s="27"/>
      <c r="F674" s="27"/>
      <c r="G674" s="27"/>
      <c r="H674" s="27"/>
      <c r="I674" s="27"/>
      <c r="J674" s="27"/>
      <c r="K674" s="27">
        <f>Table15[[#This Row],[الايصالات]]+Table15[[#This Row],[النولون]]-Table15[[#This Row],[خصم 3%]]</f>
        <v>0</v>
      </c>
      <c r="L674" s="27"/>
      <c r="M674" s="27">
        <f>Table15[[#This Row],[اجمالي الفاتوره]]-Table15[[#This Row],[الدفعات]]</f>
        <v>0</v>
      </c>
      <c r="N674" s="27"/>
      <c r="O674" s="27"/>
    </row>
    <row r="675" spans="2:15" ht="29.25" customHeight="1" x14ac:dyDescent="0.3">
      <c r="B675" s="27"/>
      <c r="C675" s="27"/>
      <c r="D675" s="27"/>
      <c r="E675" s="27"/>
      <c r="F675" s="27"/>
      <c r="G675" s="27"/>
      <c r="H675" s="27"/>
      <c r="I675" s="27"/>
      <c r="J675" s="27"/>
      <c r="K675" s="27">
        <f>Table15[[#This Row],[الايصالات]]+Table15[[#This Row],[النولون]]-Table15[[#This Row],[خصم 3%]]</f>
        <v>0</v>
      </c>
      <c r="L675" s="27"/>
      <c r="M675" s="27">
        <f>Table15[[#This Row],[اجمالي الفاتوره]]-Table15[[#This Row],[الدفعات]]</f>
        <v>0</v>
      </c>
      <c r="N675" s="27"/>
      <c r="O675" s="27"/>
    </row>
    <row r="676" spans="2:15" ht="29.25" customHeight="1" x14ac:dyDescent="0.3">
      <c r="B676" s="27"/>
      <c r="C676" s="27"/>
      <c r="D676" s="27"/>
      <c r="E676" s="27"/>
      <c r="F676" s="27"/>
      <c r="G676" s="27"/>
      <c r="H676" s="27"/>
      <c r="I676" s="27"/>
      <c r="J676" s="27"/>
      <c r="K676" s="27">
        <f>Table15[[#This Row],[الايصالات]]+Table15[[#This Row],[النولون]]-Table15[[#This Row],[خصم 3%]]</f>
        <v>0</v>
      </c>
      <c r="L676" s="27"/>
      <c r="M676" s="27">
        <f>Table15[[#This Row],[اجمالي الفاتوره]]-Table15[[#This Row],[الدفعات]]</f>
        <v>0</v>
      </c>
      <c r="N676" s="27"/>
      <c r="O676" s="27"/>
    </row>
    <row r="677" spans="2:15" ht="29.25" customHeight="1" x14ac:dyDescent="0.3">
      <c r="B677" s="27"/>
      <c r="C677" s="27"/>
      <c r="D677" s="27"/>
      <c r="E677" s="27"/>
      <c r="F677" s="27"/>
      <c r="G677" s="27"/>
      <c r="H677" s="27"/>
      <c r="I677" s="27"/>
      <c r="J677" s="27"/>
      <c r="K677" s="27">
        <f>Table15[[#This Row],[الايصالات]]+Table15[[#This Row],[النولون]]-Table15[[#This Row],[خصم 3%]]</f>
        <v>0</v>
      </c>
      <c r="L677" s="27"/>
      <c r="M677" s="27">
        <f>Table15[[#This Row],[اجمالي الفاتوره]]-Table15[[#This Row],[الدفعات]]</f>
        <v>0</v>
      </c>
      <c r="N677" s="27"/>
      <c r="O677" s="27"/>
    </row>
    <row r="678" spans="2:15" ht="29.25" customHeight="1" x14ac:dyDescent="0.3">
      <c r="B678" s="27"/>
      <c r="C678" s="27"/>
      <c r="D678" s="27"/>
      <c r="E678" s="27"/>
      <c r="F678" s="27"/>
      <c r="G678" s="27"/>
      <c r="H678" s="27"/>
      <c r="I678" s="27"/>
      <c r="J678" s="27"/>
      <c r="K678" s="27">
        <f>Table15[[#This Row],[الايصالات]]+Table15[[#This Row],[النولون]]-Table15[[#This Row],[خصم 3%]]</f>
        <v>0</v>
      </c>
      <c r="L678" s="27"/>
      <c r="M678" s="27">
        <f>Table15[[#This Row],[اجمالي الفاتوره]]-Table15[[#This Row],[الدفعات]]</f>
        <v>0</v>
      </c>
      <c r="N678" s="27"/>
      <c r="O678" s="27"/>
    </row>
    <row r="679" spans="2:15" ht="29.25" customHeight="1" x14ac:dyDescent="0.3">
      <c r="B679" s="27"/>
      <c r="C679" s="27"/>
      <c r="D679" s="27"/>
      <c r="E679" s="27"/>
      <c r="F679" s="27"/>
      <c r="G679" s="27"/>
      <c r="H679" s="27"/>
      <c r="I679" s="27"/>
      <c r="J679" s="27"/>
      <c r="K679" s="27">
        <f>Table15[[#This Row],[الايصالات]]+Table15[[#This Row],[النولون]]-Table15[[#This Row],[خصم 3%]]</f>
        <v>0</v>
      </c>
      <c r="L679" s="27"/>
      <c r="M679" s="27">
        <f>Table15[[#This Row],[اجمالي الفاتوره]]-Table15[[#This Row],[الدفعات]]</f>
        <v>0</v>
      </c>
      <c r="N679" s="27"/>
      <c r="O679" s="27"/>
    </row>
    <row r="680" spans="2:15" ht="29.25" customHeight="1" x14ac:dyDescent="0.3">
      <c r="B680" s="27"/>
      <c r="C680" s="27"/>
      <c r="D680" s="27"/>
      <c r="E680" s="27"/>
      <c r="F680" s="27"/>
      <c r="G680" s="27"/>
      <c r="H680" s="27"/>
      <c r="I680" s="27"/>
      <c r="J680" s="27"/>
      <c r="K680" s="27">
        <f>Table15[[#This Row],[الايصالات]]+Table15[[#This Row],[النولون]]-Table15[[#This Row],[خصم 3%]]</f>
        <v>0</v>
      </c>
      <c r="L680" s="27"/>
      <c r="M680" s="27">
        <f>Table15[[#This Row],[اجمالي الفاتوره]]-Table15[[#This Row],[الدفعات]]</f>
        <v>0</v>
      </c>
      <c r="N680" s="27"/>
      <c r="O680" s="27"/>
    </row>
    <row r="681" spans="2:15" ht="29.25" customHeight="1" x14ac:dyDescent="0.3">
      <c r="B681" s="27"/>
      <c r="C681" s="27"/>
      <c r="D681" s="27"/>
      <c r="E681" s="27"/>
      <c r="F681" s="27"/>
      <c r="G681" s="27"/>
      <c r="H681" s="27"/>
      <c r="I681" s="27"/>
      <c r="J681" s="27"/>
      <c r="K681" s="27">
        <f>Table15[[#This Row],[الايصالات]]+Table15[[#This Row],[النولون]]-Table15[[#This Row],[خصم 3%]]</f>
        <v>0</v>
      </c>
      <c r="L681" s="27"/>
      <c r="M681" s="27">
        <f>Table15[[#This Row],[اجمالي الفاتوره]]-Table15[[#This Row],[الدفعات]]</f>
        <v>0</v>
      </c>
      <c r="N681" s="27"/>
      <c r="O681" s="27"/>
    </row>
    <row r="682" spans="2:15" ht="29.25" customHeight="1" x14ac:dyDescent="0.3">
      <c r="B682" s="27"/>
      <c r="C682" s="27"/>
      <c r="D682" s="27"/>
      <c r="E682" s="27"/>
      <c r="F682" s="27"/>
      <c r="G682" s="27"/>
      <c r="H682" s="27"/>
      <c r="I682" s="27"/>
      <c r="J682" s="27"/>
      <c r="K682" s="27">
        <f>Table15[[#This Row],[الايصالات]]+Table15[[#This Row],[النولون]]-Table15[[#This Row],[خصم 3%]]</f>
        <v>0</v>
      </c>
      <c r="L682" s="27"/>
      <c r="M682" s="27">
        <f>Table15[[#This Row],[اجمالي الفاتوره]]-Table15[[#This Row],[الدفعات]]</f>
        <v>0</v>
      </c>
      <c r="N682" s="27"/>
      <c r="O682" s="27"/>
    </row>
    <row r="683" spans="2:15" ht="29.25" customHeight="1" x14ac:dyDescent="0.3">
      <c r="B683" s="27"/>
      <c r="C683" s="27"/>
      <c r="D683" s="27"/>
      <c r="E683" s="27"/>
      <c r="F683" s="27"/>
      <c r="G683" s="27"/>
      <c r="H683" s="27"/>
      <c r="I683" s="27"/>
      <c r="J683" s="27"/>
      <c r="K683" s="27">
        <f>Table15[[#This Row],[الايصالات]]+Table15[[#This Row],[النولون]]-Table15[[#This Row],[خصم 3%]]</f>
        <v>0</v>
      </c>
      <c r="L683" s="27"/>
      <c r="M683" s="27">
        <f>Table15[[#This Row],[اجمالي الفاتوره]]-Table15[[#This Row],[الدفعات]]</f>
        <v>0</v>
      </c>
      <c r="N683" s="27"/>
      <c r="O683" s="27"/>
    </row>
    <row r="684" spans="2:15" ht="29.25" customHeight="1" x14ac:dyDescent="0.3">
      <c r="B684" s="27"/>
      <c r="C684" s="27"/>
      <c r="D684" s="27"/>
      <c r="E684" s="27"/>
      <c r="F684" s="27"/>
      <c r="G684" s="27"/>
      <c r="H684" s="27"/>
      <c r="I684" s="27"/>
      <c r="J684" s="27"/>
      <c r="K684" s="27">
        <f>Table15[[#This Row],[الايصالات]]+Table15[[#This Row],[النولون]]-Table15[[#This Row],[خصم 3%]]</f>
        <v>0</v>
      </c>
      <c r="L684" s="27"/>
      <c r="M684" s="27">
        <f>Table15[[#This Row],[اجمالي الفاتوره]]-Table15[[#This Row],[الدفعات]]</f>
        <v>0</v>
      </c>
      <c r="N684" s="27"/>
      <c r="O684" s="27"/>
    </row>
    <row r="685" spans="2:15" ht="29.25" customHeight="1" x14ac:dyDescent="0.3">
      <c r="B685" s="27"/>
      <c r="C685" s="27"/>
      <c r="D685" s="27"/>
      <c r="E685" s="27"/>
      <c r="F685" s="27"/>
      <c r="G685" s="27"/>
      <c r="H685" s="27"/>
      <c r="I685" s="27"/>
      <c r="J685" s="27"/>
      <c r="K685" s="27">
        <f>Table15[[#This Row],[الايصالات]]+Table15[[#This Row],[النولون]]-Table15[[#This Row],[خصم 3%]]</f>
        <v>0</v>
      </c>
      <c r="L685" s="27"/>
      <c r="M685" s="27">
        <f>Table15[[#This Row],[اجمالي الفاتوره]]-Table15[[#This Row],[الدفعات]]</f>
        <v>0</v>
      </c>
      <c r="N685" s="27"/>
      <c r="O685" s="27"/>
    </row>
    <row r="686" spans="2:15" ht="29.25" customHeight="1" x14ac:dyDescent="0.3">
      <c r="B686" s="27"/>
      <c r="C686" s="27"/>
      <c r="D686" s="27"/>
      <c r="E686" s="27"/>
      <c r="F686" s="27"/>
      <c r="G686" s="27"/>
      <c r="H686" s="27"/>
      <c r="I686" s="27"/>
      <c r="J686" s="27"/>
      <c r="K686" s="27">
        <f>Table15[[#This Row],[الايصالات]]+Table15[[#This Row],[النولون]]-Table15[[#This Row],[خصم 3%]]</f>
        <v>0</v>
      </c>
      <c r="L686" s="27"/>
      <c r="M686" s="27">
        <f>Table15[[#This Row],[اجمالي الفاتوره]]-Table15[[#This Row],[الدفعات]]</f>
        <v>0</v>
      </c>
      <c r="N686" s="27"/>
      <c r="O686" s="27"/>
    </row>
    <row r="687" spans="2:15" ht="29.25" customHeight="1" x14ac:dyDescent="0.3">
      <c r="B687" s="27"/>
      <c r="C687" s="27"/>
      <c r="D687" s="27"/>
      <c r="E687" s="27"/>
      <c r="F687" s="27"/>
      <c r="G687" s="27"/>
      <c r="H687" s="27"/>
      <c r="I687" s="27"/>
      <c r="J687" s="27"/>
      <c r="K687" s="27">
        <f>Table15[[#This Row],[الايصالات]]+Table15[[#This Row],[النولون]]-Table15[[#This Row],[خصم 3%]]</f>
        <v>0</v>
      </c>
      <c r="L687" s="27"/>
      <c r="M687" s="27">
        <f>Table15[[#This Row],[اجمالي الفاتوره]]-Table15[[#This Row],[الدفعات]]</f>
        <v>0</v>
      </c>
      <c r="N687" s="27"/>
      <c r="O687" s="27"/>
    </row>
    <row r="688" spans="2:15" ht="29.25" customHeight="1" x14ac:dyDescent="0.3">
      <c r="B688" s="27"/>
      <c r="C688" s="27"/>
      <c r="D688" s="27"/>
      <c r="E688" s="27"/>
      <c r="F688" s="27"/>
      <c r="G688" s="27"/>
      <c r="H688" s="27"/>
      <c r="I688" s="27"/>
      <c r="J688" s="27"/>
      <c r="K688" s="27">
        <f>Table15[[#This Row],[الايصالات]]+Table15[[#This Row],[النولون]]-Table15[[#This Row],[خصم 3%]]</f>
        <v>0</v>
      </c>
      <c r="L688" s="27"/>
      <c r="M688" s="27">
        <f>Table15[[#This Row],[اجمالي الفاتوره]]-Table15[[#This Row],[الدفعات]]</f>
        <v>0</v>
      </c>
      <c r="N688" s="27"/>
      <c r="O688" s="27"/>
    </row>
    <row r="689" spans="2:15" ht="29.25" customHeight="1" x14ac:dyDescent="0.3">
      <c r="B689" s="27"/>
      <c r="C689" s="27"/>
      <c r="D689" s="27"/>
      <c r="E689" s="27"/>
      <c r="F689" s="27"/>
      <c r="G689" s="27"/>
      <c r="H689" s="27"/>
      <c r="I689" s="27"/>
      <c r="J689" s="27"/>
      <c r="K689" s="27">
        <f>Table15[[#This Row],[الايصالات]]+Table15[[#This Row],[النولون]]-Table15[[#This Row],[خصم 3%]]</f>
        <v>0</v>
      </c>
      <c r="L689" s="27"/>
      <c r="M689" s="27">
        <f>Table15[[#This Row],[اجمالي الفاتوره]]-Table15[[#This Row],[الدفعات]]</f>
        <v>0</v>
      </c>
      <c r="N689" s="27"/>
      <c r="O689" s="27"/>
    </row>
    <row r="690" spans="2:15" ht="29.25" customHeight="1" x14ac:dyDescent="0.3">
      <c r="B690" s="27"/>
      <c r="C690" s="27"/>
      <c r="D690" s="27"/>
      <c r="E690" s="27"/>
      <c r="F690" s="27"/>
      <c r="G690" s="27"/>
      <c r="H690" s="27"/>
      <c r="I690" s="27"/>
      <c r="J690" s="27"/>
      <c r="K690" s="27">
        <f>Table15[[#This Row],[الايصالات]]+Table15[[#This Row],[النولون]]-Table15[[#This Row],[خصم 3%]]</f>
        <v>0</v>
      </c>
      <c r="L690" s="27"/>
      <c r="M690" s="27">
        <f>Table15[[#This Row],[اجمالي الفاتوره]]-Table15[[#This Row],[الدفعات]]</f>
        <v>0</v>
      </c>
      <c r="N690" s="27"/>
      <c r="O690" s="27"/>
    </row>
    <row r="691" spans="2:15" ht="29.25" customHeight="1" x14ac:dyDescent="0.3">
      <c r="B691" s="27"/>
      <c r="C691" s="27"/>
      <c r="D691" s="27"/>
      <c r="E691" s="27"/>
      <c r="F691" s="27"/>
      <c r="G691" s="27"/>
      <c r="H691" s="27"/>
      <c r="I691" s="27"/>
      <c r="J691" s="27"/>
      <c r="K691" s="27">
        <f>Table15[[#This Row],[الايصالات]]+Table15[[#This Row],[النولون]]-Table15[[#This Row],[خصم 3%]]</f>
        <v>0</v>
      </c>
      <c r="L691" s="27"/>
      <c r="M691" s="27">
        <f>Table15[[#This Row],[اجمالي الفاتوره]]-Table15[[#This Row],[الدفعات]]</f>
        <v>0</v>
      </c>
      <c r="N691" s="27"/>
      <c r="O691" s="27"/>
    </row>
    <row r="692" spans="2:15" ht="29.25" customHeight="1" x14ac:dyDescent="0.3">
      <c r="B692" s="27"/>
      <c r="C692" s="27"/>
      <c r="D692" s="27"/>
      <c r="E692" s="27"/>
      <c r="F692" s="27"/>
      <c r="G692" s="27"/>
      <c r="H692" s="27"/>
      <c r="I692" s="27"/>
      <c r="J692" s="27"/>
      <c r="K692" s="27">
        <f>Table15[[#This Row],[الايصالات]]+Table15[[#This Row],[النولون]]-Table15[[#This Row],[خصم 3%]]</f>
        <v>0</v>
      </c>
      <c r="L692" s="27"/>
      <c r="M692" s="27">
        <f>Table15[[#This Row],[اجمالي الفاتوره]]-Table15[[#This Row],[الدفعات]]</f>
        <v>0</v>
      </c>
      <c r="N692" s="27"/>
      <c r="O692" s="27"/>
    </row>
    <row r="693" spans="2:15" ht="29.25" customHeight="1" x14ac:dyDescent="0.3">
      <c r="B693" s="27"/>
      <c r="C693" s="27"/>
      <c r="D693" s="27"/>
      <c r="E693" s="27"/>
      <c r="F693" s="27"/>
      <c r="G693" s="27"/>
      <c r="H693" s="27"/>
      <c r="I693" s="27"/>
      <c r="J693" s="27"/>
      <c r="K693" s="27">
        <f>Table15[[#This Row],[الايصالات]]+Table15[[#This Row],[النولون]]-Table15[[#This Row],[خصم 3%]]</f>
        <v>0</v>
      </c>
      <c r="L693" s="27"/>
      <c r="M693" s="27">
        <f>Table15[[#This Row],[اجمالي الفاتوره]]-Table15[[#This Row],[الدفعات]]</f>
        <v>0</v>
      </c>
      <c r="N693" s="27"/>
      <c r="O693" s="27"/>
    </row>
    <row r="694" spans="2:15" ht="29.25" customHeight="1" x14ac:dyDescent="0.3">
      <c r="B694" s="27"/>
      <c r="C694" s="27"/>
      <c r="D694" s="27"/>
      <c r="E694" s="27"/>
      <c r="F694" s="27"/>
      <c r="G694" s="27"/>
      <c r="H694" s="27"/>
      <c r="I694" s="27"/>
      <c r="J694" s="27"/>
      <c r="K694" s="27">
        <f>Table15[[#This Row],[الايصالات]]+Table15[[#This Row],[النولون]]-Table15[[#This Row],[خصم 3%]]</f>
        <v>0</v>
      </c>
      <c r="L694" s="27"/>
      <c r="M694" s="27">
        <f>Table15[[#This Row],[اجمالي الفاتوره]]-Table15[[#This Row],[الدفعات]]</f>
        <v>0</v>
      </c>
      <c r="N694" s="27"/>
      <c r="O694" s="27"/>
    </row>
    <row r="695" spans="2:15" ht="29.25" customHeight="1" x14ac:dyDescent="0.3">
      <c r="B695" s="27"/>
      <c r="C695" s="27"/>
      <c r="D695" s="27"/>
      <c r="E695" s="27"/>
      <c r="F695" s="27"/>
      <c r="G695" s="27"/>
      <c r="H695" s="27"/>
      <c r="I695" s="27"/>
      <c r="J695" s="27"/>
      <c r="K695" s="27">
        <f>Table15[[#This Row],[الايصالات]]+Table15[[#This Row],[النولون]]-Table15[[#This Row],[خصم 3%]]</f>
        <v>0</v>
      </c>
      <c r="L695" s="27"/>
      <c r="M695" s="27">
        <f>Table15[[#This Row],[اجمالي الفاتوره]]-Table15[[#This Row],[الدفعات]]</f>
        <v>0</v>
      </c>
      <c r="N695" s="27"/>
      <c r="O695" s="27"/>
    </row>
    <row r="696" spans="2:15" ht="29.25" customHeight="1" x14ac:dyDescent="0.3">
      <c r="B696" s="27"/>
      <c r="C696" s="27"/>
      <c r="D696" s="27"/>
      <c r="E696" s="27"/>
      <c r="F696" s="27"/>
      <c r="G696" s="27"/>
      <c r="H696" s="27"/>
      <c r="I696" s="27"/>
      <c r="J696" s="27"/>
      <c r="K696" s="27">
        <f>Table15[[#This Row],[الايصالات]]+Table15[[#This Row],[النولون]]-Table15[[#This Row],[خصم 3%]]</f>
        <v>0</v>
      </c>
      <c r="L696" s="27"/>
      <c r="M696" s="27">
        <f>Table15[[#This Row],[اجمالي الفاتوره]]-Table15[[#This Row],[الدفعات]]</f>
        <v>0</v>
      </c>
      <c r="N696" s="27"/>
      <c r="O696" s="27"/>
    </row>
    <row r="697" spans="2:15" ht="29.25" customHeight="1" x14ac:dyDescent="0.3">
      <c r="B697" s="27"/>
      <c r="C697" s="27"/>
      <c r="D697" s="27"/>
      <c r="E697" s="27"/>
      <c r="F697" s="27"/>
      <c r="G697" s="27"/>
      <c r="H697" s="27"/>
      <c r="I697" s="27"/>
      <c r="J697" s="27"/>
      <c r="K697" s="27">
        <f>Table15[[#This Row],[الايصالات]]+Table15[[#This Row],[النولون]]-Table15[[#This Row],[خصم 3%]]</f>
        <v>0</v>
      </c>
      <c r="L697" s="27"/>
      <c r="M697" s="27">
        <f>Table15[[#This Row],[اجمالي الفاتوره]]-Table15[[#This Row],[الدفعات]]</f>
        <v>0</v>
      </c>
      <c r="N697" s="27"/>
      <c r="O697" s="27"/>
    </row>
    <row r="698" spans="2:15" ht="29.25" customHeight="1" x14ac:dyDescent="0.3">
      <c r="B698" s="27"/>
      <c r="C698" s="27"/>
      <c r="D698" s="27"/>
      <c r="E698" s="27"/>
      <c r="F698" s="27"/>
      <c r="G698" s="27"/>
      <c r="H698" s="27"/>
      <c r="I698" s="27"/>
      <c r="J698" s="27"/>
      <c r="K698" s="27">
        <f>Table15[[#This Row],[الايصالات]]+Table15[[#This Row],[النولون]]-Table15[[#This Row],[خصم 3%]]</f>
        <v>0</v>
      </c>
      <c r="L698" s="27"/>
      <c r="M698" s="27">
        <f>Table15[[#This Row],[اجمالي الفاتوره]]-Table15[[#This Row],[الدفعات]]</f>
        <v>0</v>
      </c>
      <c r="N698" s="27"/>
      <c r="O698" s="27"/>
    </row>
    <row r="699" spans="2:15" ht="29.25" customHeight="1" x14ac:dyDescent="0.3">
      <c r="B699" s="27"/>
      <c r="C699" s="27"/>
      <c r="D699" s="27"/>
      <c r="E699" s="27"/>
      <c r="F699" s="27"/>
      <c r="G699" s="27"/>
      <c r="H699" s="27"/>
      <c r="I699" s="27"/>
      <c r="J699" s="27"/>
      <c r="K699" s="27">
        <f>Table15[[#This Row],[الايصالات]]+Table15[[#This Row],[النولون]]-Table15[[#This Row],[خصم 3%]]</f>
        <v>0</v>
      </c>
      <c r="L699" s="27"/>
      <c r="M699" s="27">
        <f>Table15[[#This Row],[اجمالي الفاتوره]]-Table15[[#This Row],[الدفعات]]</f>
        <v>0</v>
      </c>
      <c r="N699" s="27"/>
      <c r="O699" s="27"/>
    </row>
    <row r="700" spans="2:15" ht="29.25" customHeight="1" x14ac:dyDescent="0.3">
      <c r="B700" s="27"/>
      <c r="C700" s="27"/>
      <c r="D700" s="27"/>
      <c r="E700" s="27"/>
      <c r="F700" s="27"/>
      <c r="G700" s="27"/>
      <c r="H700" s="27"/>
      <c r="I700" s="27"/>
      <c r="J700" s="27"/>
      <c r="K700" s="27">
        <f>Table15[[#This Row],[الايصالات]]+Table15[[#This Row],[النولون]]-Table15[[#This Row],[خصم 3%]]</f>
        <v>0</v>
      </c>
      <c r="L700" s="27"/>
      <c r="M700" s="27">
        <f>Table15[[#This Row],[اجمالي الفاتوره]]-Table15[[#This Row],[الدفعات]]</f>
        <v>0</v>
      </c>
      <c r="N700" s="27"/>
      <c r="O700" s="27"/>
    </row>
    <row r="701" spans="2:15" ht="29.25" customHeight="1" x14ac:dyDescent="0.3">
      <c r="B701" s="27"/>
      <c r="C701" s="27"/>
      <c r="D701" s="27"/>
      <c r="E701" s="27"/>
      <c r="F701" s="27"/>
      <c r="G701" s="27"/>
      <c r="H701" s="27"/>
      <c r="I701" s="27"/>
      <c r="J701" s="27"/>
      <c r="K701" s="27">
        <f>Table15[[#This Row],[الايصالات]]+Table15[[#This Row],[النولون]]-Table15[[#This Row],[خصم 3%]]</f>
        <v>0</v>
      </c>
      <c r="L701" s="27"/>
      <c r="M701" s="27">
        <f>Table15[[#This Row],[اجمالي الفاتوره]]-Table15[[#This Row],[الدفعات]]</f>
        <v>0</v>
      </c>
      <c r="N701" s="27"/>
      <c r="O701" s="27"/>
    </row>
    <row r="702" spans="2:15" ht="29.25" customHeight="1" x14ac:dyDescent="0.3">
      <c r="B702" s="27"/>
      <c r="C702" s="27"/>
      <c r="D702" s="27"/>
      <c r="E702" s="27"/>
      <c r="F702" s="27"/>
      <c r="G702" s="27"/>
      <c r="H702" s="27"/>
      <c r="I702" s="27"/>
      <c r="J702" s="27"/>
      <c r="K702" s="27">
        <f>Table15[[#This Row],[الايصالات]]+Table15[[#This Row],[النولون]]-Table15[[#This Row],[خصم 3%]]</f>
        <v>0</v>
      </c>
      <c r="L702" s="27"/>
      <c r="M702" s="27">
        <f>Table15[[#This Row],[اجمالي الفاتوره]]-Table15[[#This Row],[الدفعات]]</f>
        <v>0</v>
      </c>
      <c r="N702" s="27"/>
      <c r="O702" s="27"/>
    </row>
    <row r="703" spans="2:15" ht="29.25" customHeight="1" x14ac:dyDescent="0.3">
      <c r="B703" s="27"/>
      <c r="C703" s="27"/>
      <c r="D703" s="27"/>
      <c r="E703" s="27"/>
      <c r="F703" s="27"/>
      <c r="G703" s="27"/>
      <c r="H703" s="27"/>
      <c r="I703" s="27"/>
      <c r="J703" s="27"/>
      <c r="K703" s="27">
        <f>Table15[[#This Row],[الايصالات]]+Table15[[#This Row],[النولون]]-Table15[[#This Row],[خصم 3%]]</f>
        <v>0</v>
      </c>
      <c r="L703" s="27"/>
      <c r="M703" s="27">
        <f>Table15[[#This Row],[اجمالي الفاتوره]]-Table15[[#This Row],[الدفعات]]</f>
        <v>0</v>
      </c>
      <c r="N703" s="27"/>
      <c r="O703" s="27"/>
    </row>
    <row r="704" spans="2:15" ht="29.25" customHeight="1" x14ac:dyDescent="0.3">
      <c r="B704" s="27"/>
      <c r="C704" s="27"/>
      <c r="D704" s="27"/>
      <c r="E704" s="27"/>
      <c r="F704" s="27"/>
      <c r="G704" s="27"/>
      <c r="H704" s="27"/>
      <c r="I704" s="27"/>
      <c r="J704" s="27"/>
      <c r="K704" s="27">
        <f>Table15[[#This Row],[الايصالات]]+Table15[[#This Row],[النولون]]-Table15[[#This Row],[خصم 3%]]</f>
        <v>0</v>
      </c>
      <c r="L704" s="27"/>
      <c r="M704" s="27">
        <f>Table15[[#This Row],[اجمالي الفاتوره]]-Table15[[#This Row],[الدفعات]]</f>
        <v>0</v>
      </c>
      <c r="N704" s="27"/>
      <c r="O704" s="27"/>
    </row>
    <row r="705" spans="2:15" ht="29.25" customHeight="1" x14ac:dyDescent="0.3">
      <c r="B705" s="27"/>
      <c r="C705" s="27"/>
      <c r="D705" s="27"/>
      <c r="E705" s="27"/>
      <c r="F705" s="27"/>
      <c r="G705" s="27"/>
      <c r="H705" s="27"/>
      <c r="I705" s="27"/>
      <c r="J705" s="27"/>
      <c r="K705" s="27">
        <f>Table15[[#This Row],[الايصالات]]+Table15[[#This Row],[النولون]]-Table15[[#This Row],[خصم 3%]]</f>
        <v>0</v>
      </c>
      <c r="L705" s="27"/>
      <c r="M705" s="27">
        <f>Table15[[#This Row],[اجمالي الفاتوره]]-Table15[[#This Row],[الدفعات]]</f>
        <v>0</v>
      </c>
      <c r="N705" s="27"/>
      <c r="O705" s="27"/>
    </row>
    <row r="706" spans="2:15" ht="29.25" customHeight="1" x14ac:dyDescent="0.3">
      <c r="B706" s="27"/>
      <c r="C706" s="27"/>
      <c r="D706" s="27"/>
      <c r="E706" s="27"/>
      <c r="F706" s="27"/>
      <c r="G706" s="27"/>
      <c r="H706" s="27"/>
      <c r="I706" s="27"/>
      <c r="J706" s="27"/>
      <c r="K706" s="27">
        <f>Table15[[#This Row],[الايصالات]]+Table15[[#This Row],[النولون]]-Table15[[#This Row],[خصم 3%]]</f>
        <v>0</v>
      </c>
      <c r="L706" s="27"/>
      <c r="M706" s="27">
        <f>Table15[[#This Row],[اجمالي الفاتوره]]-Table15[[#This Row],[الدفعات]]</f>
        <v>0</v>
      </c>
      <c r="N706" s="27"/>
      <c r="O706" s="27"/>
    </row>
    <row r="707" spans="2:15" ht="29.25" customHeight="1" x14ac:dyDescent="0.3">
      <c r="B707" s="27"/>
      <c r="C707" s="27"/>
      <c r="D707" s="27"/>
      <c r="E707" s="27"/>
      <c r="F707" s="27"/>
      <c r="G707" s="27"/>
      <c r="H707" s="27"/>
      <c r="I707" s="27"/>
      <c r="J707" s="27"/>
      <c r="K707" s="27">
        <f>Table15[[#This Row],[الايصالات]]+Table15[[#This Row],[النولون]]-Table15[[#This Row],[خصم 3%]]</f>
        <v>0</v>
      </c>
      <c r="L707" s="27"/>
      <c r="M707" s="27">
        <f>Table15[[#This Row],[اجمالي الفاتوره]]-Table15[[#This Row],[الدفعات]]</f>
        <v>0</v>
      </c>
      <c r="N707" s="27"/>
      <c r="O707" s="27"/>
    </row>
    <row r="708" spans="2:15" ht="29.25" customHeight="1" x14ac:dyDescent="0.3">
      <c r="B708" s="27"/>
      <c r="C708" s="27"/>
      <c r="D708" s="27"/>
      <c r="E708" s="27"/>
      <c r="F708" s="27"/>
      <c r="G708" s="27"/>
      <c r="H708" s="27"/>
      <c r="I708" s="27"/>
      <c r="J708" s="27"/>
      <c r="K708" s="27">
        <f>Table15[[#This Row],[الايصالات]]+Table15[[#This Row],[النولون]]-Table15[[#This Row],[خصم 3%]]</f>
        <v>0</v>
      </c>
      <c r="L708" s="27"/>
      <c r="M708" s="27">
        <f>Table15[[#This Row],[اجمالي الفاتوره]]-Table15[[#This Row],[الدفعات]]</f>
        <v>0</v>
      </c>
      <c r="N708" s="27"/>
      <c r="O708" s="27"/>
    </row>
    <row r="709" spans="2:15" ht="29.25" customHeight="1" x14ac:dyDescent="0.3">
      <c r="B709" s="27"/>
      <c r="C709" s="27"/>
      <c r="D709" s="27"/>
      <c r="E709" s="27"/>
      <c r="F709" s="27"/>
      <c r="G709" s="27"/>
      <c r="H709" s="27"/>
      <c r="I709" s="27"/>
      <c r="J709" s="27"/>
      <c r="K709" s="27">
        <f>Table15[[#This Row],[الايصالات]]+Table15[[#This Row],[النولون]]-Table15[[#This Row],[خصم 3%]]</f>
        <v>0</v>
      </c>
      <c r="L709" s="27"/>
      <c r="M709" s="27">
        <f>Table15[[#This Row],[اجمالي الفاتوره]]-Table15[[#This Row],[الدفعات]]</f>
        <v>0</v>
      </c>
      <c r="N709" s="27"/>
      <c r="O709" s="27"/>
    </row>
    <row r="710" spans="2:15" ht="29.25" customHeight="1" x14ac:dyDescent="0.3">
      <c r="B710" s="27"/>
      <c r="C710" s="27"/>
      <c r="D710" s="27"/>
      <c r="E710" s="27"/>
      <c r="F710" s="27"/>
      <c r="G710" s="27"/>
      <c r="H710" s="27"/>
      <c r="I710" s="27"/>
      <c r="J710" s="27"/>
      <c r="K710" s="27">
        <f>Table15[[#This Row],[الايصالات]]+Table15[[#This Row],[النولون]]-Table15[[#This Row],[خصم 3%]]</f>
        <v>0</v>
      </c>
      <c r="L710" s="27"/>
      <c r="M710" s="27">
        <f>Table15[[#This Row],[اجمالي الفاتوره]]-Table15[[#This Row],[الدفعات]]</f>
        <v>0</v>
      </c>
      <c r="N710" s="27"/>
      <c r="O710" s="27"/>
    </row>
    <row r="711" spans="2:15" ht="29.25" customHeight="1" x14ac:dyDescent="0.3">
      <c r="B711" s="27"/>
      <c r="C711" s="27"/>
      <c r="D711" s="27"/>
      <c r="E711" s="27"/>
      <c r="F711" s="27"/>
      <c r="G711" s="27"/>
      <c r="H711" s="27"/>
      <c r="I711" s="27"/>
      <c r="J711" s="27"/>
      <c r="K711" s="27">
        <f>Table15[[#This Row],[الايصالات]]+Table15[[#This Row],[النولون]]-Table15[[#This Row],[خصم 3%]]</f>
        <v>0</v>
      </c>
      <c r="L711" s="27"/>
      <c r="M711" s="27">
        <f>Table15[[#This Row],[اجمالي الفاتوره]]-Table15[[#This Row],[الدفعات]]</f>
        <v>0</v>
      </c>
      <c r="N711" s="27"/>
      <c r="O711" s="27"/>
    </row>
    <row r="712" spans="2:15" ht="29.25" customHeight="1" x14ac:dyDescent="0.3">
      <c r="B712" s="27"/>
      <c r="C712" s="27"/>
      <c r="D712" s="27"/>
      <c r="E712" s="27"/>
      <c r="F712" s="27"/>
      <c r="G712" s="27"/>
      <c r="H712" s="27"/>
      <c r="I712" s="27"/>
      <c r="J712" s="27"/>
      <c r="K712" s="27">
        <f>Table15[[#This Row],[الايصالات]]+Table15[[#This Row],[النولون]]-Table15[[#This Row],[خصم 3%]]</f>
        <v>0</v>
      </c>
      <c r="L712" s="27"/>
      <c r="M712" s="27">
        <f>Table15[[#This Row],[اجمالي الفاتوره]]-Table15[[#This Row],[الدفعات]]</f>
        <v>0</v>
      </c>
      <c r="N712" s="27"/>
      <c r="O712" s="27"/>
    </row>
    <row r="713" spans="2:15" ht="29.25" customHeight="1" x14ac:dyDescent="0.3">
      <c r="B713" s="27"/>
      <c r="C713" s="27"/>
      <c r="D713" s="27"/>
      <c r="E713" s="27"/>
      <c r="F713" s="27"/>
      <c r="G713" s="27"/>
      <c r="H713" s="27"/>
      <c r="I713" s="27"/>
      <c r="J713" s="27"/>
      <c r="K713" s="27">
        <f>Table15[[#This Row],[الايصالات]]+Table15[[#This Row],[النولون]]-Table15[[#This Row],[خصم 3%]]</f>
        <v>0</v>
      </c>
      <c r="L713" s="27"/>
      <c r="M713" s="27">
        <f>Table15[[#This Row],[اجمالي الفاتوره]]-Table15[[#This Row],[الدفعات]]</f>
        <v>0</v>
      </c>
      <c r="N713" s="27"/>
      <c r="O713" s="27"/>
    </row>
    <row r="714" spans="2:15" ht="29.25" customHeight="1" x14ac:dyDescent="0.3">
      <c r="B714" s="27"/>
      <c r="C714" s="27"/>
      <c r="D714" s="27"/>
      <c r="E714" s="27"/>
      <c r="F714" s="27"/>
      <c r="G714" s="27"/>
      <c r="H714" s="27"/>
      <c r="I714" s="27"/>
      <c r="J714" s="27"/>
      <c r="K714" s="27">
        <f>Table15[[#This Row],[الايصالات]]+Table15[[#This Row],[النولون]]-Table15[[#This Row],[خصم 3%]]</f>
        <v>0</v>
      </c>
      <c r="L714" s="27"/>
      <c r="M714" s="27">
        <f>Table15[[#This Row],[اجمالي الفاتوره]]-Table15[[#This Row],[الدفعات]]</f>
        <v>0</v>
      </c>
      <c r="N714" s="27"/>
      <c r="O714" s="27"/>
    </row>
    <row r="715" spans="2:15" ht="29.25" customHeight="1" x14ac:dyDescent="0.3">
      <c r="B715" s="27"/>
      <c r="C715" s="27"/>
      <c r="D715" s="27"/>
      <c r="E715" s="27"/>
      <c r="F715" s="27"/>
      <c r="G715" s="27"/>
      <c r="H715" s="27"/>
      <c r="I715" s="27"/>
      <c r="J715" s="27"/>
      <c r="K715" s="27">
        <f>Table15[[#This Row],[الايصالات]]+Table15[[#This Row],[النولون]]-Table15[[#This Row],[خصم 3%]]</f>
        <v>0</v>
      </c>
      <c r="L715" s="27"/>
      <c r="M715" s="27">
        <f>Table15[[#This Row],[اجمالي الفاتوره]]-Table15[[#This Row],[الدفعات]]</f>
        <v>0</v>
      </c>
      <c r="N715" s="27"/>
      <c r="O715" s="27"/>
    </row>
    <row r="716" spans="2:15" ht="29.25" customHeight="1" x14ac:dyDescent="0.3">
      <c r="B716" s="27"/>
      <c r="C716" s="27"/>
      <c r="D716" s="27"/>
      <c r="E716" s="27"/>
      <c r="F716" s="27"/>
      <c r="G716" s="27"/>
      <c r="H716" s="27"/>
      <c r="I716" s="27"/>
      <c r="J716" s="27"/>
      <c r="K716" s="27">
        <f>Table15[[#This Row],[الايصالات]]+Table15[[#This Row],[النولون]]-Table15[[#This Row],[خصم 3%]]</f>
        <v>0</v>
      </c>
      <c r="L716" s="27"/>
      <c r="M716" s="27">
        <f>Table15[[#This Row],[اجمالي الفاتوره]]-Table15[[#This Row],[الدفعات]]</f>
        <v>0</v>
      </c>
      <c r="N716" s="27"/>
      <c r="O716" s="27"/>
    </row>
    <row r="717" spans="2:15" ht="29.25" customHeight="1" x14ac:dyDescent="0.3">
      <c r="B717" s="27"/>
      <c r="C717" s="27"/>
      <c r="D717" s="27"/>
      <c r="E717" s="27"/>
      <c r="F717" s="27"/>
      <c r="G717" s="27"/>
      <c r="H717" s="27"/>
      <c r="I717" s="27"/>
      <c r="J717" s="27"/>
      <c r="K717" s="27">
        <f>Table15[[#This Row],[الايصالات]]+Table15[[#This Row],[النولون]]-Table15[[#This Row],[خصم 3%]]</f>
        <v>0</v>
      </c>
      <c r="L717" s="27"/>
      <c r="M717" s="27">
        <f>Table15[[#This Row],[اجمالي الفاتوره]]-Table15[[#This Row],[الدفعات]]</f>
        <v>0</v>
      </c>
      <c r="N717" s="27"/>
      <c r="O717" s="27"/>
    </row>
    <row r="718" spans="2:15" ht="29.25" customHeight="1" x14ac:dyDescent="0.3">
      <c r="B718" s="27"/>
      <c r="C718" s="27"/>
      <c r="D718" s="27"/>
      <c r="E718" s="27"/>
      <c r="F718" s="27"/>
      <c r="G718" s="27"/>
      <c r="H718" s="27"/>
      <c r="I718" s="27"/>
      <c r="J718" s="27"/>
      <c r="K718" s="27">
        <f>Table15[[#This Row],[الايصالات]]+Table15[[#This Row],[النولون]]-Table15[[#This Row],[خصم 3%]]</f>
        <v>0</v>
      </c>
      <c r="L718" s="27"/>
      <c r="M718" s="27">
        <f>Table15[[#This Row],[اجمالي الفاتوره]]-Table15[[#This Row],[الدفعات]]</f>
        <v>0</v>
      </c>
      <c r="N718" s="27"/>
      <c r="O718" s="27"/>
    </row>
    <row r="719" spans="2:15" ht="29.25" customHeight="1" x14ac:dyDescent="0.3">
      <c r="B719" s="27"/>
      <c r="C719" s="27"/>
      <c r="D719" s="27"/>
      <c r="E719" s="27"/>
      <c r="F719" s="27"/>
      <c r="G719" s="27"/>
      <c r="H719" s="27"/>
      <c r="I719" s="27"/>
      <c r="J719" s="27"/>
      <c r="K719" s="27">
        <f>Table15[[#This Row],[الايصالات]]+Table15[[#This Row],[النولون]]-Table15[[#This Row],[خصم 3%]]</f>
        <v>0</v>
      </c>
      <c r="L719" s="27"/>
      <c r="M719" s="27">
        <f>Table15[[#This Row],[اجمالي الفاتوره]]-Table15[[#This Row],[الدفعات]]</f>
        <v>0</v>
      </c>
      <c r="N719" s="27"/>
      <c r="O719" s="27"/>
    </row>
    <row r="720" spans="2:15" ht="29.25" customHeight="1" x14ac:dyDescent="0.3">
      <c r="B720" s="27"/>
      <c r="C720" s="27"/>
      <c r="D720" s="27"/>
      <c r="E720" s="27"/>
      <c r="F720" s="27"/>
      <c r="G720" s="27"/>
      <c r="H720" s="27"/>
      <c r="I720" s="27"/>
      <c r="J720" s="27"/>
      <c r="K720" s="27">
        <f>Table15[[#This Row],[الايصالات]]+Table15[[#This Row],[النولون]]-Table15[[#This Row],[خصم 3%]]</f>
        <v>0</v>
      </c>
      <c r="L720" s="27"/>
      <c r="M720" s="27">
        <f>Table15[[#This Row],[اجمالي الفاتوره]]-Table15[[#This Row],[الدفعات]]</f>
        <v>0</v>
      </c>
      <c r="N720" s="27"/>
      <c r="O720" s="27"/>
    </row>
    <row r="721" spans="2:15" ht="29.25" customHeight="1" x14ac:dyDescent="0.3">
      <c r="B721" s="27"/>
      <c r="C721" s="27"/>
      <c r="D721" s="27"/>
      <c r="E721" s="27"/>
      <c r="F721" s="27"/>
      <c r="G721" s="27"/>
      <c r="H721" s="27"/>
      <c r="I721" s="27"/>
      <c r="J721" s="27"/>
      <c r="K721" s="27">
        <f>Table15[[#This Row],[الايصالات]]+Table15[[#This Row],[النولون]]-Table15[[#This Row],[خصم 3%]]</f>
        <v>0</v>
      </c>
      <c r="L721" s="27"/>
      <c r="M721" s="27">
        <f>Table15[[#This Row],[اجمالي الفاتوره]]-Table15[[#This Row],[الدفعات]]</f>
        <v>0</v>
      </c>
      <c r="N721" s="27"/>
      <c r="O721" s="27"/>
    </row>
    <row r="722" spans="2:15" ht="29.25" customHeight="1" x14ac:dyDescent="0.3">
      <c r="B722" s="27"/>
      <c r="C722" s="27"/>
      <c r="D722" s="27"/>
      <c r="E722" s="27"/>
      <c r="F722" s="27"/>
      <c r="G722" s="27"/>
      <c r="H722" s="27"/>
      <c r="I722" s="27"/>
      <c r="J722" s="27"/>
      <c r="K722" s="27">
        <f>Table15[[#This Row],[الايصالات]]+Table15[[#This Row],[النولون]]-Table15[[#This Row],[خصم 3%]]</f>
        <v>0</v>
      </c>
      <c r="L722" s="27"/>
      <c r="M722" s="27">
        <f>Table15[[#This Row],[اجمالي الفاتوره]]-Table15[[#This Row],[الدفعات]]</f>
        <v>0</v>
      </c>
      <c r="N722" s="27"/>
      <c r="O722" s="27"/>
    </row>
    <row r="723" spans="2:15" ht="29.25" customHeight="1" x14ac:dyDescent="0.3">
      <c r="B723" s="27"/>
      <c r="C723" s="27"/>
      <c r="D723" s="27"/>
      <c r="E723" s="27"/>
      <c r="F723" s="27"/>
      <c r="G723" s="27"/>
      <c r="H723" s="27"/>
      <c r="I723" s="27"/>
      <c r="J723" s="27"/>
      <c r="K723" s="27">
        <f>Table15[[#This Row],[الايصالات]]+Table15[[#This Row],[النولون]]-Table15[[#This Row],[خصم 3%]]</f>
        <v>0</v>
      </c>
      <c r="L723" s="27"/>
      <c r="M723" s="27">
        <f>Table15[[#This Row],[اجمالي الفاتوره]]-Table15[[#This Row],[الدفعات]]</f>
        <v>0</v>
      </c>
      <c r="N723" s="27"/>
      <c r="O723" s="27"/>
    </row>
    <row r="724" spans="2:15" ht="29.25" customHeight="1" x14ac:dyDescent="0.3">
      <c r="B724" s="27"/>
      <c r="C724" s="27"/>
      <c r="D724" s="27"/>
      <c r="E724" s="27"/>
      <c r="F724" s="27"/>
      <c r="G724" s="27"/>
      <c r="H724" s="27"/>
      <c r="I724" s="27"/>
      <c r="J724" s="27"/>
      <c r="K724" s="27">
        <f>Table15[[#This Row],[الايصالات]]+Table15[[#This Row],[النولون]]-Table15[[#This Row],[خصم 3%]]</f>
        <v>0</v>
      </c>
      <c r="L724" s="27"/>
      <c r="M724" s="27">
        <f>Table15[[#This Row],[اجمالي الفاتوره]]-Table15[[#This Row],[الدفعات]]</f>
        <v>0</v>
      </c>
      <c r="N724" s="27"/>
      <c r="O724" s="27"/>
    </row>
    <row r="725" spans="2:15" ht="29.25" customHeight="1" x14ac:dyDescent="0.3">
      <c r="B725" s="27"/>
      <c r="C725" s="27"/>
      <c r="D725" s="27"/>
      <c r="E725" s="27"/>
      <c r="F725" s="27"/>
      <c r="G725" s="27"/>
      <c r="H725" s="27"/>
      <c r="I725" s="27"/>
      <c r="J725" s="27"/>
      <c r="K725" s="27">
        <f>Table15[[#This Row],[الايصالات]]+Table15[[#This Row],[النولون]]-Table15[[#This Row],[خصم 3%]]</f>
        <v>0</v>
      </c>
      <c r="L725" s="27"/>
      <c r="M725" s="27">
        <f>Table15[[#This Row],[اجمالي الفاتوره]]-Table15[[#This Row],[الدفعات]]</f>
        <v>0</v>
      </c>
      <c r="N725" s="27"/>
      <c r="O725" s="27"/>
    </row>
    <row r="726" spans="2:15" ht="29.25" customHeight="1" x14ac:dyDescent="0.3">
      <c r="B726" s="27"/>
      <c r="C726" s="27"/>
      <c r="D726" s="27"/>
      <c r="E726" s="27"/>
      <c r="F726" s="27"/>
      <c r="G726" s="27"/>
      <c r="H726" s="27"/>
      <c r="I726" s="27"/>
      <c r="J726" s="27"/>
      <c r="K726" s="27">
        <f>Table15[[#This Row],[الايصالات]]+Table15[[#This Row],[النولون]]-Table15[[#This Row],[خصم 3%]]</f>
        <v>0</v>
      </c>
      <c r="L726" s="27"/>
      <c r="M726" s="27">
        <f>Table15[[#This Row],[اجمالي الفاتوره]]-Table15[[#This Row],[الدفعات]]</f>
        <v>0</v>
      </c>
      <c r="N726" s="27"/>
      <c r="O726" s="27"/>
    </row>
    <row r="727" spans="2:15" ht="29.25" customHeight="1" x14ac:dyDescent="0.3">
      <c r="B727" s="27"/>
      <c r="C727" s="27"/>
      <c r="D727" s="27"/>
      <c r="E727" s="27"/>
      <c r="F727" s="27"/>
      <c r="G727" s="27"/>
      <c r="H727" s="27"/>
      <c r="I727" s="27"/>
      <c r="J727" s="27"/>
      <c r="K727" s="27">
        <f>Table15[[#This Row],[الايصالات]]+Table15[[#This Row],[النولون]]-Table15[[#This Row],[خصم 3%]]</f>
        <v>0</v>
      </c>
      <c r="L727" s="27"/>
      <c r="M727" s="27">
        <f>Table15[[#This Row],[اجمالي الفاتوره]]-Table15[[#This Row],[الدفعات]]</f>
        <v>0</v>
      </c>
      <c r="N727" s="27"/>
      <c r="O727" s="27"/>
    </row>
    <row r="728" spans="2:15" ht="29.25" customHeight="1" x14ac:dyDescent="0.3">
      <c r="B728" s="27"/>
      <c r="C728" s="27"/>
      <c r="D728" s="27"/>
      <c r="E728" s="27"/>
      <c r="F728" s="27"/>
      <c r="G728" s="27"/>
      <c r="H728" s="27"/>
      <c r="I728" s="27"/>
      <c r="J728" s="27"/>
      <c r="K728" s="27">
        <f>Table15[[#This Row],[الايصالات]]+Table15[[#This Row],[النولون]]-Table15[[#This Row],[خصم 3%]]</f>
        <v>0</v>
      </c>
      <c r="L728" s="27"/>
      <c r="M728" s="27">
        <f>Table15[[#This Row],[اجمالي الفاتوره]]-Table15[[#This Row],[الدفعات]]</f>
        <v>0</v>
      </c>
      <c r="N728" s="27"/>
      <c r="O728" s="27"/>
    </row>
    <row r="729" spans="2:15" ht="29.25" customHeight="1" x14ac:dyDescent="0.3">
      <c r="B729" s="27"/>
      <c r="C729" s="27"/>
      <c r="D729" s="27"/>
      <c r="E729" s="27"/>
      <c r="F729" s="27"/>
      <c r="G729" s="27"/>
      <c r="H729" s="27"/>
      <c r="I729" s="27"/>
      <c r="J729" s="27"/>
      <c r="K729" s="27">
        <f>Table15[[#This Row],[الايصالات]]+Table15[[#This Row],[النولون]]-Table15[[#This Row],[خصم 3%]]</f>
        <v>0</v>
      </c>
      <c r="L729" s="27"/>
      <c r="M729" s="27">
        <f>Table15[[#This Row],[اجمالي الفاتوره]]-Table15[[#This Row],[الدفعات]]</f>
        <v>0</v>
      </c>
      <c r="N729" s="27"/>
      <c r="O729" s="27"/>
    </row>
    <row r="730" spans="2:15" ht="29.25" customHeight="1" x14ac:dyDescent="0.3">
      <c r="B730" s="27"/>
      <c r="C730" s="27"/>
      <c r="D730" s="27"/>
      <c r="E730" s="27"/>
      <c r="F730" s="27"/>
      <c r="G730" s="27"/>
      <c r="H730" s="27"/>
      <c r="I730" s="27"/>
      <c r="J730" s="27"/>
      <c r="K730" s="27">
        <f>Table15[[#This Row],[الايصالات]]+Table15[[#This Row],[النولون]]-Table15[[#This Row],[خصم 3%]]</f>
        <v>0</v>
      </c>
      <c r="L730" s="27"/>
      <c r="M730" s="27">
        <f>Table15[[#This Row],[اجمالي الفاتوره]]-Table15[[#This Row],[الدفعات]]</f>
        <v>0</v>
      </c>
      <c r="N730" s="27"/>
      <c r="O730" s="27"/>
    </row>
    <row r="731" spans="2:15" ht="29.25" customHeight="1" x14ac:dyDescent="0.3">
      <c r="B731" s="27"/>
      <c r="C731" s="27"/>
      <c r="D731" s="27"/>
      <c r="E731" s="27"/>
      <c r="F731" s="27"/>
      <c r="G731" s="27"/>
      <c r="H731" s="27"/>
      <c r="I731" s="27"/>
      <c r="J731" s="27"/>
      <c r="K731" s="27">
        <f>Table15[[#This Row],[الايصالات]]+Table15[[#This Row],[النولون]]-Table15[[#This Row],[خصم 3%]]</f>
        <v>0</v>
      </c>
      <c r="L731" s="27"/>
      <c r="M731" s="27">
        <f>Table15[[#This Row],[اجمالي الفاتوره]]-Table15[[#This Row],[الدفعات]]</f>
        <v>0</v>
      </c>
      <c r="N731" s="27"/>
      <c r="O731" s="27"/>
    </row>
    <row r="732" spans="2:15" ht="29.25" customHeight="1" x14ac:dyDescent="0.3">
      <c r="B732" s="27"/>
      <c r="C732" s="27"/>
      <c r="D732" s="27"/>
      <c r="E732" s="27"/>
      <c r="F732" s="27"/>
      <c r="G732" s="27"/>
      <c r="H732" s="27"/>
      <c r="I732" s="27"/>
      <c r="J732" s="27"/>
      <c r="K732" s="27">
        <f>Table15[[#This Row],[الايصالات]]+Table15[[#This Row],[النولون]]-Table15[[#This Row],[خصم 3%]]</f>
        <v>0</v>
      </c>
      <c r="L732" s="27"/>
      <c r="M732" s="27">
        <f>Table15[[#This Row],[اجمالي الفاتوره]]-Table15[[#This Row],[الدفعات]]</f>
        <v>0</v>
      </c>
      <c r="N732" s="27"/>
      <c r="O732" s="27"/>
    </row>
    <row r="733" spans="2:15" ht="29.25" customHeight="1" x14ac:dyDescent="0.3">
      <c r="B733" s="27"/>
      <c r="C733" s="27"/>
      <c r="D733" s="27"/>
      <c r="E733" s="27"/>
      <c r="F733" s="27"/>
      <c r="G733" s="27"/>
      <c r="H733" s="27"/>
      <c r="I733" s="27"/>
      <c r="J733" s="27"/>
      <c r="K733" s="27">
        <f>Table15[[#This Row],[الايصالات]]+Table15[[#This Row],[النولون]]-Table15[[#This Row],[خصم 3%]]</f>
        <v>0</v>
      </c>
      <c r="L733" s="27"/>
      <c r="M733" s="27">
        <f>Table15[[#This Row],[اجمالي الفاتوره]]-Table15[[#This Row],[الدفعات]]</f>
        <v>0</v>
      </c>
      <c r="N733" s="27"/>
      <c r="O733" s="27"/>
    </row>
    <row r="734" spans="2:15" ht="29.25" customHeight="1" x14ac:dyDescent="0.3">
      <c r="B734" s="27"/>
      <c r="C734" s="27"/>
      <c r="D734" s="27"/>
      <c r="E734" s="27"/>
      <c r="F734" s="27"/>
      <c r="G734" s="27"/>
      <c r="H734" s="27"/>
      <c r="I734" s="27"/>
      <c r="J734" s="27"/>
      <c r="K734" s="27">
        <f>Table15[[#This Row],[الايصالات]]+Table15[[#This Row],[النولون]]-Table15[[#This Row],[خصم 3%]]</f>
        <v>0</v>
      </c>
      <c r="L734" s="27"/>
      <c r="M734" s="27">
        <f>Table15[[#This Row],[اجمالي الفاتوره]]-Table15[[#This Row],[الدفعات]]</f>
        <v>0</v>
      </c>
      <c r="N734" s="27"/>
      <c r="O734" s="27"/>
    </row>
    <row r="735" spans="2:15" ht="29.25" customHeight="1" x14ac:dyDescent="0.3">
      <c r="B735" s="27"/>
      <c r="C735" s="27"/>
      <c r="D735" s="27"/>
      <c r="E735" s="27"/>
      <c r="F735" s="27"/>
      <c r="G735" s="27"/>
      <c r="H735" s="27"/>
      <c r="I735" s="27"/>
      <c r="J735" s="27"/>
      <c r="K735" s="27">
        <f>Table15[[#This Row],[الايصالات]]+Table15[[#This Row],[النولون]]-Table15[[#This Row],[خصم 3%]]</f>
        <v>0</v>
      </c>
      <c r="L735" s="27"/>
      <c r="M735" s="27">
        <f>Table15[[#This Row],[اجمالي الفاتوره]]-Table15[[#This Row],[الدفعات]]</f>
        <v>0</v>
      </c>
      <c r="N735" s="27"/>
      <c r="O735" s="27"/>
    </row>
    <row r="736" spans="2:15" ht="29.25" customHeight="1" x14ac:dyDescent="0.3">
      <c r="B736" s="27"/>
      <c r="C736" s="27"/>
      <c r="D736" s="27"/>
      <c r="E736" s="27"/>
      <c r="F736" s="27"/>
      <c r="G736" s="27"/>
      <c r="H736" s="27"/>
      <c r="I736" s="27"/>
      <c r="J736" s="27"/>
      <c r="K736" s="27">
        <f>Table15[[#This Row],[الايصالات]]+Table15[[#This Row],[النولون]]-Table15[[#This Row],[خصم 3%]]</f>
        <v>0</v>
      </c>
      <c r="L736" s="27"/>
      <c r="M736" s="27">
        <f>Table15[[#This Row],[اجمالي الفاتوره]]-Table15[[#This Row],[الدفعات]]</f>
        <v>0</v>
      </c>
      <c r="N736" s="27"/>
      <c r="O736" s="27"/>
    </row>
    <row r="737" spans="2:15" ht="29.25" customHeight="1" x14ac:dyDescent="0.3">
      <c r="B737" s="27"/>
      <c r="C737" s="27"/>
      <c r="D737" s="27"/>
      <c r="E737" s="27"/>
      <c r="F737" s="27"/>
      <c r="G737" s="27"/>
      <c r="H737" s="27"/>
      <c r="I737" s="27"/>
      <c r="J737" s="27"/>
      <c r="K737" s="27">
        <f>Table15[[#This Row],[الايصالات]]+Table15[[#This Row],[النولون]]-Table15[[#This Row],[خصم 3%]]</f>
        <v>0</v>
      </c>
      <c r="L737" s="27"/>
      <c r="M737" s="27">
        <f>Table15[[#This Row],[اجمالي الفاتوره]]-Table15[[#This Row],[الدفعات]]</f>
        <v>0</v>
      </c>
      <c r="N737" s="27"/>
      <c r="O737" s="27"/>
    </row>
    <row r="738" spans="2:15" ht="29.25" customHeight="1" x14ac:dyDescent="0.3">
      <c r="B738" s="27"/>
      <c r="C738" s="27"/>
      <c r="D738" s="27"/>
      <c r="E738" s="27"/>
      <c r="F738" s="27"/>
      <c r="G738" s="27"/>
      <c r="H738" s="27"/>
      <c r="I738" s="27"/>
      <c r="J738" s="27"/>
      <c r="K738" s="27">
        <f>Table15[[#This Row],[الايصالات]]+Table15[[#This Row],[النولون]]-Table15[[#This Row],[خصم 3%]]</f>
        <v>0</v>
      </c>
      <c r="L738" s="27"/>
      <c r="M738" s="27">
        <f>Table15[[#This Row],[اجمالي الفاتوره]]-Table15[[#This Row],[الدفعات]]</f>
        <v>0</v>
      </c>
      <c r="N738" s="27"/>
      <c r="O738" s="27"/>
    </row>
    <row r="739" spans="2:15" ht="29.25" customHeight="1" x14ac:dyDescent="0.3">
      <c r="B739" s="27"/>
      <c r="C739" s="27"/>
      <c r="D739" s="27"/>
      <c r="E739" s="27"/>
      <c r="F739" s="27"/>
      <c r="G739" s="27"/>
      <c r="H739" s="27"/>
      <c r="I739" s="27"/>
      <c r="J739" s="27"/>
      <c r="K739" s="27">
        <f>Table15[[#This Row],[الايصالات]]+Table15[[#This Row],[النولون]]-Table15[[#This Row],[خصم 3%]]</f>
        <v>0</v>
      </c>
      <c r="L739" s="27"/>
      <c r="M739" s="27">
        <f>Table15[[#This Row],[اجمالي الفاتوره]]-Table15[[#This Row],[الدفعات]]</f>
        <v>0</v>
      </c>
      <c r="N739" s="27"/>
      <c r="O739" s="27"/>
    </row>
    <row r="740" spans="2:15" ht="29.25" customHeight="1" x14ac:dyDescent="0.3">
      <c r="B740" s="27"/>
      <c r="C740" s="27"/>
      <c r="D740" s="27"/>
      <c r="E740" s="27"/>
      <c r="F740" s="27"/>
      <c r="G740" s="27"/>
      <c r="H740" s="27"/>
      <c r="I740" s="27"/>
      <c r="J740" s="27"/>
      <c r="K740" s="27">
        <f>Table15[[#This Row],[الايصالات]]+Table15[[#This Row],[النولون]]-Table15[[#This Row],[خصم 3%]]</f>
        <v>0</v>
      </c>
      <c r="L740" s="27"/>
      <c r="M740" s="27">
        <f>Table15[[#This Row],[اجمالي الفاتوره]]-Table15[[#This Row],[الدفعات]]</f>
        <v>0</v>
      </c>
      <c r="N740" s="27"/>
      <c r="O740" s="27"/>
    </row>
    <row r="741" spans="2:15" ht="29.25" customHeight="1" x14ac:dyDescent="0.3">
      <c r="B741" s="27"/>
      <c r="C741" s="27"/>
      <c r="D741" s="27"/>
      <c r="E741" s="27"/>
      <c r="F741" s="27"/>
      <c r="G741" s="27"/>
      <c r="H741" s="27"/>
      <c r="I741" s="27"/>
      <c r="J741" s="27"/>
      <c r="K741" s="27">
        <f>Table15[[#This Row],[الايصالات]]+Table15[[#This Row],[النولون]]-Table15[[#This Row],[خصم 3%]]</f>
        <v>0</v>
      </c>
      <c r="L741" s="27"/>
      <c r="M741" s="27">
        <f>Table15[[#This Row],[اجمالي الفاتوره]]-Table15[[#This Row],[الدفعات]]</f>
        <v>0</v>
      </c>
      <c r="N741" s="27"/>
      <c r="O741" s="27"/>
    </row>
    <row r="742" spans="2:15" ht="29.25" customHeight="1" x14ac:dyDescent="0.3">
      <c r="B742" s="27"/>
      <c r="C742" s="27"/>
      <c r="D742" s="27"/>
      <c r="E742" s="27"/>
      <c r="F742" s="27"/>
      <c r="G742" s="27"/>
      <c r="H742" s="27"/>
      <c r="I742" s="27"/>
      <c r="J742" s="27"/>
      <c r="K742" s="27">
        <f>Table15[[#This Row],[الايصالات]]+Table15[[#This Row],[النولون]]-Table15[[#This Row],[خصم 3%]]</f>
        <v>0</v>
      </c>
      <c r="L742" s="27"/>
      <c r="M742" s="27">
        <f>Table15[[#This Row],[اجمالي الفاتوره]]-Table15[[#This Row],[الدفعات]]</f>
        <v>0</v>
      </c>
      <c r="N742" s="27"/>
      <c r="O742" s="27"/>
    </row>
    <row r="743" spans="2:15" ht="29.25" customHeight="1" x14ac:dyDescent="0.3">
      <c r="B743" s="27"/>
      <c r="C743" s="27"/>
      <c r="D743" s="27"/>
      <c r="E743" s="27"/>
      <c r="F743" s="27"/>
      <c r="G743" s="27"/>
      <c r="H743" s="27"/>
      <c r="I743" s="27"/>
      <c r="J743" s="27"/>
      <c r="K743" s="27">
        <f>Table15[[#This Row],[الايصالات]]+Table15[[#This Row],[النولون]]-Table15[[#This Row],[خصم 3%]]</f>
        <v>0</v>
      </c>
      <c r="L743" s="27"/>
      <c r="M743" s="27">
        <f>Table15[[#This Row],[اجمالي الفاتوره]]-Table15[[#This Row],[الدفعات]]</f>
        <v>0</v>
      </c>
      <c r="N743" s="27"/>
      <c r="O743" s="27"/>
    </row>
    <row r="744" spans="2:15" ht="29.25" customHeight="1" x14ac:dyDescent="0.3">
      <c r="B744" s="27"/>
      <c r="C744" s="27"/>
      <c r="D744" s="27"/>
      <c r="E744" s="27"/>
      <c r="F744" s="27"/>
      <c r="G744" s="27"/>
      <c r="H744" s="27"/>
      <c r="I744" s="27"/>
      <c r="J744" s="27"/>
      <c r="K744" s="27">
        <f>Table15[[#This Row],[الايصالات]]+Table15[[#This Row],[النولون]]-Table15[[#This Row],[خصم 3%]]</f>
        <v>0</v>
      </c>
      <c r="L744" s="27"/>
      <c r="M744" s="27">
        <f>Table15[[#This Row],[اجمالي الفاتوره]]-Table15[[#This Row],[الدفعات]]</f>
        <v>0</v>
      </c>
      <c r="N744" s="27"/>
      <c r="O744" s="27"/>
    </row>
    <row r="745" spans="2:15" ht="29.25" customHeight="1" x14ac:dyDescent="0.3">
      <c r="B745" s="27"/>
      <c r="C745" s="27"/>
      <c r="D745" s="27"/>
      <c r="E745" s="27"/>
      <c r="F745" s="27"/>
      <c r="G745" s="27"/>
      <c r="H745" s="27"/>
      <c r="I745" s="27"/>
      <c r="J745" s="27"/>
      <c r="K745" s="27">
        <f>Table15[[#This Row],[الايصالات]]+Table15[[#This Row],[النولون]]-Table15[[#This Row],[خصم 3%]]</f>
        <v>0</v>
      </c>
      <c r="L745" s="27"/>
      <c r="M745" s="27">
        <f>Table15[[#This Row],[اجمالي الفاتوره]]-Table15[[#This Row],[الدفعات]]</f>
        <v>0</v>
      </c>
      <c r="N745" s="27"/>
      <c r="O745" s="27"/>
    </row>
    <row r="746" spans="2:15" ht="29.25" customHeight="1" x14ac:dyDescent="0.3">
      <c r="B746" s="27"/>
      <c r="C746" s="27"/>
      <c r="D746" s="27"/>
      <c r="E746" s="27"/>
      <c r="F746" s="27"/>
      <c r="G746" s="27"/>
      <c r="H746" s="27"/>
      <c r="I746" s="27"/>
      <c r="J746" s="27"/>
      <c r="K746" s="27">
        <f>Table15[[#This Row],[الايصالات]]+Table15[[#This Row],[النولون]]-Table15[[#This Row],[خصم 3%]]</f>
        <v>0</v>
      </c>
      <c r="L746" s="27"/>
      <c r="M746" s="27">
        <f>Table15[[#This Row],[اجمالي الفاتوره]]-Table15[[#This Row],[الدفعات]]</f>
        <v>0</v>
      </c>
      <c r="N746" s="27"/>
      <c r="O746" s="27"/>
    </row>
    <row r="747" spans="2:15" ht="29.25" customHeight="1" x14ac:dyDescent="0.3">
      <c r="B747" s="27"/>
      <c r="C747" s="27"/>
      <c r="D747" s="27"/>
      <c r="E747" s="27"/>
      <c r="F747" s="27"/>
      <c r="G747" s="27"/>
      <c r="H747" s="27"/>
      <c r="I747" s="27"/>
      <c r="J747" s="27"/>
      <c r="K747" s="27">
        <f>Table15[[#This Row],[الايصالات]]+Table15[[#This Row],[النولون]]-Table15[[#This Row],[خصم 3%]]</f>
        <v>0</v>
      </c>
      <c r="L747" s="27"/>
      <c r="M747" s="27">
        <f>Table15[[#This Row],[اجمالي الفاتوره]]-Table15[[#This Row],[الدفعات]]</f>
        <v>0</v>
      </c>
      <c r="N747" s="27"/>
      <c r="O747" s="27"/>
    </row>
    <row r="748" spans="2:15" ht="29.25" customHeight="1" x14ac:dyDescent="0.3">
      <c r="B748" s="27"/>
      <c r="C748" s="27"/>
      <c r="D748" s="27"/>
      <c r="E748" s="27"/>
      <c r="F748" s="27"/>
      <c r="G748" s="27"/>
      <c r="H748" s="27"/>
      <c r="I748" s="27"/>
      <c r="J748" s="27"/>
      <c r="K748" s="27">
        <f>Table15[[#This Row],[الايصالات]]+Table15[[#This Row],[النولون]]-Table15[[#This Row],[خصم 3%]]</f>
        <v>0</v>
      </c>
      <c r="L748" s="27"/>
      <c r="M748" s="27">
        <f>Table15[[#This Row],[اجمالي الفاتوره]]-Table15[[#This Row],[الدفعات]]</f>
        <v>0</v>
      </c>
      <c r="N748" s="27"/>
      <c r="O748" s="27"/>
    </row>
    <row r="749" spans="2:15" ht="29.25" customHeight="1" x14ac:dyDescent="0.3">
      <c r="B749" s="27"/>
      <c r="C749" s="27"/>
      <c r="D749" s="27"/>
      <c r="E749" s="27"/>
      <c r="F749" s="27"/>
      <c r="G749" s="27"/>
      <c r="H749" s="27"/>
      <c r="I749" s="27"/>
      <c r="J749" s="27"/>
      <c r="K749" s="27">
        <f>Table15[[#This Row],[الايصالات]]+Table15[[#This Row],[النولون]]-Table15[[#This Row],[خصم 3%]]</f>
        <v>0</v>
      </c>
      <c r="L749" s="27"/>
      <c r="M749" s="27">
        <f>Table15[[#This Row],[اجمالي الفاتوره]]-Table15[[#This Row],[الدفعات]]</f>
        <v>0</v>
      </c>
      <c r="N749" s="27"/>
      <c r="O749" s="27"/>
    </row>
    <row r="750" spans="2:15" ht="29.25" customHeight="1" x14ac:dyDescent="0.3">
      <c r="B750" s="27"/>
      <c r="C750" s="27"/>
      <c r="D750" s="27"/>
      <c r="E750" s="27"/>
      <c r="F750" s="27"/>
      <c r="G750" s="27"/>
      <c r="H750" s="27"/>
      <c r="I750" s="27"/>
      <c r="J750" s="27"/>
      <c r="K750" s="27">
        <f>Table15[[#This Row],[الايصالات]]+Table15[[#This Row],[النولون]]-Table15[[#This Row],[خصم 3%]]</f>
        <v>0</v>
      </c>
      <c r="L750" s="27"/>
      <c r="M750" s="27">
        <f>Table15[[#This Row],[اجمالي الفاتوره]]-Table15[[#This Row],[الدفعات]]</f>
        <v>0</v>
      </c>
      <c r="N750" s="27"/>
      <c r="O750" s="27"/>
    </row>
    <row r="751" spans="2:15" ht="29.25" customHeight="1" x14ac:dyDescent="0.3">
      <c r="B751" s="27"/>
      <c r="C751" s="27"/>
      <c r="D751" s="27"/>
      <c r="E751" s="27"/>
      <c r="F751" s="27"/>
      <c r="G751" s="27"/>
      <c r="H751" s="27"/>
      <c r="I751" s="27"/>
      <c r="J751" s="27"/>
      <c r="K751" s="27">
        <f>Table15[[#This Row],[الايصالات]]+Table15[[#This Row],[النولون]]-Table15[[#This Row],[خصم 3%]]</f>
        <v>0</v>
      </c>
      <c r="L751" s="27"/>
      <c r="M751" s="27">
        <f>Table15[[#This Row],[اجمالي الفاتوره]]-Table15[[#This Row],[الدفعات]]</f>
        <v>0</v>
      </c>
      <c r="N751" s="27"/>
      <c r="O751" s="27"/>
    </row>
    <row r="752" spans="2:15" ht="29.25" customHeight="1" x14ac:dyDescent="0.3">
      <c r="B752" s="27"/>
      <c r="C752" s="27"/>
      <c r="D752" s="27"/>
      <c r="E752" s="27"/>
      <c r="F752" s="27"/>
      <c r="G752" s="27"/>
      <c r="H752" s="27"/>
      <c r="I752" s="27"/>
      <c r="J752" s="27"/>
      <c r="K752" s="27">
        <f>Table15[[#This Row],[الايصالات]]+Table15[[#This Row],[النولون]]-Table15[[#This Row],[خصم 3%]]</f>
        <v>0</v>
      </c>
      <c r="L752" s="27"/>
      <c r="M752" s="27">
        <f>Table15[[#This Row],[اجمالي الفاتوره]]-Table15[[#This Row],[الدفعات]]</f>
        <v>0</v>
      </c>
      <c r="N752" s="27"/>
      <c r="O752" s="27"/>
    </row>
    <row r="753" spans="2:15" ht="29.25" customHeight="1" x14ac:dyDescent="0.3">
      <c r="B753" s="27"/>
      <c r="C753" s="27"/>
      <c r="D753" s="27"/>
      <c r="E753" s="27"/>
      <c r="F753" s="27"/>
      <c r="G753" s="27"/>
      <c r="H753" s="27"/>
      <c r="I753" s="27"/>
      <c r="J753" s="27"/>
      <c r="K753" s="27">
        <f>Table15[[#This Row],[الايصالات]]+Table15[[#This Row],[النولون]]-Table15[[#This Row],[خصم 3%]]</f>
        <v>0</v>
      </c>
      <c r="L753" s="27"/>
      <c r="M753" s="27">
        <f>Table15[[#This Row],[اجمالي الفاتوره]]-Table15[[#This Row],[الدفعات]]</f>
        <v>0</v>
      </c>
      <c r="N753" s="27"/>
      <c r="O753" s="27"/>
    </row>
    <row r="754" spans="2:15" ht="29.25" customHeight="1" x14ac:dyDescent="0.3">
      <c r="B754" s="27"/>
      <c r="C754" s="27"/>
      <c r="D754" s="27"/>
      <c r="E754" s="27"/>
      <c r="F754" s="27"/>
      <c r="G754" s="27"/>
      <c r="H754" s="27"/>
      <c r="I754" s="27"/>
      <c r="J754" s="27"/>
      <c r="K754" s="27">
        <f>Table15[[#This Row],[الايصالات]]+Table15[[#This Row],[النولون]]-Table15[[#This Row],[خصم 3%]]</f>
        <v>0</v>
      </c>
      <c r="L754" s="27"/>
      <c r="M754" s="27">
        <f>Table15[[#This Row],[اجمالي الفاتوره]]-Table15[[#This Row],[الدفعات]]</f>
        <v>0</v>
      </c>
      <c r="N754" s="27"/>
      <c r="O754" s="27"/>
    </row>
    <row r="755" spans="2:15" ht="29.25" customHeight="1" x14ac:dyDescent="0.3">
      <c r="B755" s="27"/>
      <c r="C755" s="27"/>
      <c r="D755" s="27"/>
      <c r="E755" s="27"/>
      <c r="F755" s="27"/>
      <c r="G755" s="27"/>
      <c r="H755" s="27"/>
      <c r="I755" s="27"/>
      <c r="J755" s="27"/>
      <c r="K755" s="27">
        <f>Table15[[#This Row],[الايصالات]]+Table15[[#This Row],[النولون]]-Table15[[#This Row],[خصم 3%]]</f>
        <v>0</v>
      </c>
      <c r="L755" s="27"/>
      <c r="M755" s="27">
        <f>Table15[[#This Row],[اجمالي الفاتوره]]-Table15[[#This Row],[الدفعات]]</f>
        <v>0</v>
      </c>
      <c r="N755" s="27"/>
      <c r="O755" s="27"/>
    </row>
    <row r="756" spans="2:15" ht="29.25" customHeight="1" x14ac:dyDescent="0.3">
      <c r="B756" s="27"/>
      <c r="C756" s="27"/>
      <c r="D756" s="27"/>
      <c r="E756" s="27"/>
      <c r="F756" s="27"/>
      <c r="G756" s="27"/>
      <c r="H756" s="27"/>
      <c r="I756" s="27"/>
      <c r="J756" s="27"/>
      <c r="K756" s="27">
        <f>Table15[[#This Row],[الايصالات]]+Table15[[#This Row],[النولون]]-Table15[[#This Row],[خصم 3%]]</f>
        <v>0</v>
      </c>
      <c r="L756" s="27"/>
      <c r="M756" s="27">
        <f>Table15[[#This Row],[اجمالي الفاتوره]]-Table15[[#This Row],[الدفعات]]</f>
        <v>0</v>
      </c>
      <c r="N756" s="27"/>
      <c r="O756" s="27"/>
    </row>
    <row r="757" spans="2:15" ht="29.25" customHeight="1" x14ac:dyDescent="0.3">
      <c r="B757" s="27"/>
      <c r="C757" s="27"/>
      <c r="D757" s="27"/>
      <c r="E757" s="27"/>
      <c r="F757" s="27"/>
      <c r="G757" s="27"/>
      <c r="H757" s="27"/>
      <c r="I757" s="27"/>
      <c r="J757" s="27"/>
      <c r="K757" s="27">
        <f>Table15[[#This Row],[الايصالات]]+Table15[[#This Row],[النولون]]-Table15[[#This Row],[خصم 3%]]</f>
        <v>0</v>
      </c>
      <c r="L757" s="27"/>
      <c r="M757" s="27">
        <f>Table15[[#This Row],[اجمالي الفاتوره]]-Table15[[#This Row],[الدفعات]]</f>
        <v>0</v>
      </c>
      <c r="N757" s="27"/>
      <c r="O757" s="27"/>
    </row>
    <row r="758" spans="2:15" ht="29.25" customHeight="1" x14ac:dyDescent="0.3">
      <c r="B758" s="27"/>
      <c r="C758" s="27"/>
      <c r="D758" s="27"/>
      <c r="E758" s="27"/>
      <c r="F758" s="27"/>
      <c r="G758" s="27"/>
      <c r="H758" s="27"/>
      <c r="I758" s="27"/>
      <c r="J758" s="27"/>
      <c r="K758" s="27">
        <f>Table15[[#This Row],[الايصالات]]+Table15[[#This Row],[النولون]]-Table15[[#This Row],[خصم 3%]]</f>
        <v>0</v>
      </c>
      <c r="L758" s="27"/>
      <c r="M758" s="27">
        <f>Table15[[#This Row],[اجمالي الفاتوره]]-Table15[[#This Row],[الدفعات]]</f>
        <v>0</v>
      </c>
      <c r="N758" s="27"/>
      <c r="O758" s="27"/>
    </row>
    <row r="759" spans="2:15" ht="29.25" customHeight="1" x14ac:dyDescent="0.3">
      <c r="B759" s="27"/>
      <c r="C759" s="27"/>
      <c r="D759" s="27"/>
      <c r="E759" s="27"/>
      <c r="F759" s="27"/>
      <c r="G759" s="27"/>
      <c r="H759" s="27"/>
      <c r="I759" s="27"/>
      <c r="J759" s="27"/>
      <c r="K759" s="27">
        <f>Table15[[#This Row],[الايصالات]]+Table15[[#This Row],[النولون]]-Table15[[#This Row],[خصم 3%]]</f>
        <v>0</v>
      </c>
      <c r="L759" s="27"/>
      <c r="M759" s="27">
        <f>Table15[[#This Row],[اجمالي الفاتوره]]-Table15[[#This Row],[الدفعات]]</f>
        <v>0</v>
      </c>
      <c r="N759" s="27"/>
      <c r="O759" s="27"/>
    </row>
    <row r="760" spans="2:15" ht="29.25" customHeight="1" x14ac:dyDescent="0.3">
      <c r="B760" s="27"/>
      <c r="C760" s="27"/>
      <c r="D760" s="27"/>
      <c r="E760" s="27"/>
      <c r="F760" s="27"/>
      <c r="G760" s="27"/>
      <c r="H760" s="27"/>
      <c r="I760" s="27"/>
      <c r="J760" s="27"/>
      <c r="K760" s="27">
        <f>Table15[[#This Row],[الايصالات]]+Table15[[#This Row],[النولون]]-Table15[[#This Row],[خصم 3%]]</f>
        <v>0</v>
      </c>
      <c r="L760" s="27"/>
      <c r="M760" s="27">
        <f>Table15[[#This Row],[اجمالي الفاتوره]]-Table15[[#This Row],[الدفعات]]</f>
        <v>0</v>
      </c>
      <c r="N760" s="27"/>
      <c r="O760" s="27"/>
    </row>
    <row r="761" spans="2:15" ht="29.25" customHeight="1" x14ac:dyDescent="0.3">
      <c r="B761" s="27"/>
      <c r="C761" s="27"/>
      <c r="D761" s="27"/>
      <c r="E761" s="27"/>
      <c r="F761" s="27"/>
      <c r="G761" s="27"/>
      <c r="H761" s="27"/>
      <c r="I761" s="27"/>
      <c r="J761" s="27"/>
      <c r="K761" s="27">
        <f>Table15[[#This Row],[الايصالات]]+Table15[[#This Row],[النولون]]-Table15[[#This Row],[خصم 3%]]</f>
        <v>0</v>
      </c>
      <c r="L761" s="27"/>
      <c r="M761" s="27">
        <f>Table15[[#This Row],[اجمالي الفاتوره]]-Table15[[#This Row],[الدفعات]]</f>
        <v>0</v>
      </c>
      <c r="N761" s="27"/>
      <c r="O761" s="27"/>
    </row>
    <row r="762" spans="2:15" ht="29.25" customHeight="1" x14ac:dyDescent="0.3">
      <c r="B762" s="27"/>
      <c r="C762" s="27"/>
      <c r="D762" s="27"/>
      <c r="E762" s="27"/>
      <c r="F762" s="27"/>
      <c r="G762" s="27"/>
      <c r="H762" s="27"/>
      <c r="I762" s="27"/>
      <c r="J762" s="27"/>
      <c r="K762" s="27">
        <f>Table15[[#This Row],[الايصالات]]+Table15[[#This Row],[النولون]]-Table15[[#This Row],[خصم 3%]]</f>
        <v>0</v>
      </c>
      <c r="L762" s="27"/>
      <c r="M762" s="27">
        <f>Table15[[#This Row],[اجمالي الفاتوره]]-Table15[[#This Row],[الدفعات]]</f>
        <v>0</v>
      </c>
      <c r="N762" s="27"/>
      <c r="O762" s="27"/>
    </row>
    <row r="763" spans="2:15" ht="29.25" customHeight="1" x14ac:dyDescent="0.3">
      <c r="B763" s="27"/>
      <c r="C763" s="27"/>
      <c r="D763" s="27"/>
      <c r="E763" s="27"/>
      <c r="F763" s="27"/>
      <c r="G763" s="27"/>
      <c r="H763" s="27"/>
      <c r="I763" s="27"/>
      <c r="J763" s="27"/>
      <c r="K763" s="27">
        <f>Table15[[#This Row],[الايصالات]]+Table15[[#This Row],[النولون]]-Table15[[#This Row],[خصم 3%]]</f>
        <v>0</v>
      </c>
      <c r="L763" s="27"/>
      <c r="M763" s="27">
        <f>Table15[[#This Row],[اجمالي الفاتوره]]-Table15[[#This Row],[الدفعات]]</f>
        <v>0</v>
      </c>
      <c r="N763" s="27"/>
      <c r="O763" s="27"/>
    </row>
    <row r="764" spans="2:15" ht="29.25" customHeight="1" x14ac:dyDescent="0.3">
      <c r="B764" s="27"/>
      <c r="C764" s="27"/>
      <c r="D764" s="27"/>
      <c r="E764" s="27"/>
      <c r="F764" s="27"/>
      <c r="G764" s="27"/>
      <c r="H764" s="27"/>
      <c r="I764" s="27"/>
      <c r="J764" s="27"/>
      <c r="K764" s="27">
        <f>Table15[[#This Row],[الايصالات]]+Table15[[#This Row],[النولون]]-Table15[[#This Row],[خصم 3%]]</f>
        <v>0</v>
      </c>
      <c r="L764" s="27"/>
      <c r="M764" s="27">
        <f>Table15[[#This Row],[اجمالي الفاتوره]]-Table15[[#This Row],[الدفعات]]</f>
        <v>0</v>
      </c>
      <c r="N764" s="27"/>
      <c r="O764" s="27"/>
    </row>
    <row r="765" spans="2:15" ht="29.25" customHeight="1" x14ac:dyDescent="0.3">
      <c r="B765" s="27"/>
      <c r="C765" s="27"/>
      <c r="D765" s="27"/>
      <c r="E765" s="27"/>
      <c r="F765" s="27"/>
      <c r="G765" s="27"/>
      <c r="H765" s="27"/>
      <c r="I765" s="27"/>
      <c r="J765" s="27"/>
      <c r="K765" s="27">
        <f>Table15[[#This Row],[الايصالات]]+Table15[[#This Row],[النولون]]-Table15[[#This Row],[خصم 3%]]</f>
        <v>0</v>
      </c>
      <c r="L765" s="27"/>
      <c r="M765" s="27">
        <f>Table15[[#This Row],[اجمالي الفاتوره]]-Table15[[#This Row],[الدفعات]]</f>
        <v>0</v>
      </c>
      <c r="N765" s="27"/>
      <c r="O765" s="27"/>
    </row>
    <row r="766" spans="2:15" ht="29.25" customHeight="1" x14ac:dyDescent="0.3">
      <c r="B766" s="27"/>
      <c r="C766" s="27"/>
      <c r="D766" s="27"/>
      <c r="E766" s="27"/>
      <c r="F766" s="27"/>
      <c r="G766" s="27"/>
      <c r="H766" s="27"/>
      <c r="I766" s="27"/>
      <c r="J766" s="27"/>
      <c r="K766" s="27">
        <f>Table15[[#This Row],[الايصالات]]+Table15[[#This Row],[النولون]]-Table15[[#This Row],[خصم 3%]]</f>
        <v>0</v>
      </c>
      <c r="L766" s="27"/>
      <c r="M766" s="27">
        <f>Table15[[#This Row],[اجمالي الفاتوره]]-Table15[[#This Row],[الدفعات]]</f>
        <v>0</v>
      </c>
      <c r="N766" s="27"/>
      <c r="O766" s="27"/>
    </row>
    <row r="767" spans="2:15" ht="29.25" customHeight="1" x14ac:dyDescent="0.3">
      <c r="B767" s="27"/>
      <c r="C767" s="27"/>
      <c r="D767" s="27"/>
      <c r="E767" s="27"/>
      <c r="F767" s="27"/>
      <c r="G767" s="27"/>
      <c r="H767" s="27"/>
      <c r="I767" s="27"/>
      <c r="J767" s="27"/>
      <c r="K767" s="27">
        <f>Table15[[#This Row],[الايصالات]]+Table15[[#This Row],[النولون]]-Table15[[#This Row],[خصم 3%]]</f>
        <v>0</v>
      </c>
      <c r="L767" s="27"/>
      <c r="M767" s="27">
        <f>Table15[[#This Row],[اجمالي الفاتوره]]-Table15[[#This Row],[الدفعات]]</f>
        <v>0</v>
      </c>
      <c r="N767" s="27"/>
      <c r="O767" s="27"/>
    </row>
    <row r="768" spans="2:15" ht="29.25" customHeight="1" x14ac:dyDescent="0.3">
      <c r="B768" s="27"/>
      <c r="C768" s="27"/>
      <c r="D768" s="27"/>
      <c r="E768" s="27"/>
      <c r="F768" s="27"/>
      <c r="G768" s="27"/>
      <c r="H768" s="27"/>
      <c r="I768" s="27"/>
      <c r="J768" s="27"/>
      <c r="K768" s="27">
        <f>Table15[[#This Row],[الايصالات]]+Table15[[#This Row],[النولون]]-Table15[[#This Row],[خصم 3%]]</f>
        <v>0</v>
      </c>
      <c r="L768" s="27"/>
      <c r="M768" s="27">
        <f>Table15[[#This Row],[اجمالي الفاتوره]]-Table15[[#This Row],[الدفعات]]</f>
        <v>0</v>
      </c>
      <c r="N768" s="27"/>
      <c r="O768" s="27"/>
    </row>
    <row r="769" spans="2:15" ht="29.25" customHeight="1" x14ac:dyDescent="0.3">
      <c r="B769" s="27"/>
      <c r="C769" s="27"/>
      <c r="D769" s="27"/>
      <c r="E769" s="27"/>
      <c r="F769" s="27"/>
      <c r="G769" s="27"/>
      <c r="H769" s="27"/>
      <c r="I769" s="27"/>
      <c r="J769" s="27"/>
      <c r="K769" s="27">
        <f>Table15[[#This Row],[الايصالات]]+Table15[[#This Row],[النولون]]-Table15[[#This Row],[خصم 3%]]</f>
        <v>0</v>
      </c>
      <c r="L769" s="27"/>
      <c r="M769" s="27">
        <f>Table15[[#This Row],[اجمالي الفاتوره]]-Table15[[#This Row],[الدفعات]]</f>
        <v>0</v>
      </c>
      <c r="N769" s="27"/>
      <c r="O769" s="27"/>
    </row>
    <row r="770" spans="2:15" ht="29.25" customHeight="1" x14ac:dyDescent="0.3">
      <c r="B770" s="27"/>
      <c r="C770" s="27"/>
      <c r="D770" s="27"/>
      <c r="E770" s="27"/>
      <c r="F770" s="27"/>
      <c r="G770" s="27"/>
      <c r="H770" s="27"/>
      <c r="I770" s="27"/>
      <c r="J770" s="27"/>
      <c r="K770" s="27">
        <f>Table15[[#This Row],[الايصالات]]+Table15[[#This Row],[النولون]]-Table15[[#This Row],[خصم 3%]]</f>
        <v>0</v>
      </c>
      <c r="L770" s="27"/>
      <c r="M770" s="27">
        <f>Table15[[#This Row],[اجمالي الفاتوره]]-Table15[[#This Row],[الدفعات]]</f>
        <v>0</v>
      </c>
      <c r="N770" s="27"/>
      <c r="O770" s="27"/>
    </row>
    <row r="771" spans="2:15" ht="29.25" customHeight="1" x14ac:dyDescent="0.3">
      <c r="B771" s="27"/>
      <c r="C771" s="27"/>
      <c r="D771" s="27"/>
      <c r="E771" s="27"/>
      <c r="F771" s="27"/>
      <c r="G771" s="27"/>
      <c r="H771" s="27"/>
      <c r="I771" s="27"/>
      <c r="J771" s="27"/>
      <c r="K771" s="27">
        <f>Table15[[#This Row],[الايصالات]]+Table15[[#This Row],[النولون]]-Table15[[#This Row],[خصم 3%]]</f>
        <v>0</v>
      </c>
      <c r="L771" s="27"/>
      <c r="M771" s="27">
        <f>Table15[[#This Row],[اجمالي الفاتوره]]-Table15[[#This Row],[الدفعات]]</f>
        <v>0</v>
      </c>
      <c r="N771" s="27"/>
      <c r="O771" s="27"/>
    </row>
    <row r="772" spans="2:15" ht="29.25" customHeight="1" x14ac:dyDescent="0.3">
      <c r="B772" s="27"/>
      <c r="C772" s="27"/>
      <c r="D772" s="27"/>
      <c r="E772" s="27"/>
      <c r="F772" s="27"/>
      <c r="G772" s="27"/>
      <c r="H772" s="27"/>
      <c r="I772" s="27"/>
      <c r="J772" s="27"/>
      <c r="K772" s="27">
        <f>Table15[[#This Row],[الايصالات]]+Table15[[#This Row],[النولون]]-Table15[[#This Row],[خصم 3%]]</f>
        <v>0</v>
      </c>
      <c r="L772" s="27"/>
      <c r="M772" s="27">
        <f>Table15[[#This Row],[اجمالي الفاتوره]]-Table15[[#This Row],[الدفعات]]</f>
        <v>0</v>
      </c>
      <c r="N772" s="27"/>
      <c r="O772" s="27"/>
    </row>
    <row r="773" spans="2:15" ht="29.25" customHeight="1" x14ac:dyDescent="0.3">
      <c r="B773" s="27"/>
      <c r="C773" s="27"/>
      <c r="D773" s="27"/>
      <c r="E773" s="27"/>
      <c r="F773" s="27"/>
      <c r="G773" s="27"/>
      <c r="H773" s="27"/>
      <c r="I773" s="27"/>
      <c r="J773" s="27"/>
      <c r="K773" s="27">
        <f>Table15[[#This Row],[الايصالات]]+Table15[[#This Row],[النولون]]-Table15[[#This Row],[خصم 3%]]</f>
        <v>0</v>
      </c>
      <c r="L773" s="27"/>
      <c r="M773" s="27">
        <f>Table15[[#This Row],[اجمالي الفاتوره]]-Table15[[#This Row],[الدفعات]]</f>
        <v>0</v>
      </c>
      <c r="N773" s="27"/>
      <c r="O773" s="27"/>
    </row>
    <row r="774" spans="2:15" ht="29.25" customHeight="1" x14ac:dyDescent="0.3">
      <c r="B774" s="27"/>
      <c r="C774" s="27"/>
      <c r="D774" s="27"/>
      <c r="E774" s="27"/>
      <c r="F774" s="27"/>
      <c r="G774" s="27"/>
      <c r="H774" s="27"/>
      <c r="I774" s="27"/>
      <c r="J774" s="27"/>
      <c r="K774" s="27">
        <f>Table15[[#This Row],[الايصالات]]+Table15[[#This Row],[النولون]]-Table15[[#This Row],[خصم 3%]]</f>
        <v>0</v>
      </c>
      <c r="L774" s="27"/>
      <c r="M774" s="27">
        <f>Table15[[#This Row],[اجمالي الفاتوره]]-Table15[[#This Row],[الدفعات]]</f>
        <v>0</v>
      </c>
      <c r="N774" s="27"/>
      <c r="O774" s="27"/>
    </row>
    <row r="775" spans="2:15" ht="29.25" customHeight="1" x14ac:dyDescent="0.3">
      <c r="B775" s="27"/>
      <c r="C775" s="27"/>
      <c r="D775" s="27"/>
      <c r="E775" s="27"/>
      <c r="F775" s="27"/>
      <c r="G775" s="27"/>
      <c r="H775" s="27"/>
      <c r="I775" s="27"/>
      <c r="J775" s="27"/>
      <c r="K775" s="27">
        <f>Table15[[#This Row],[الايصالات]]+Table15[[#This Row],[النولون]]-Table15[[#This Row],[خصم 3%]]</f>
        <v>0</v>
      </c>
      <c r="L775" s="27"/>
      <c r="M775" s="27">
        <f>Table15[[#This Row],[اجمالي الفاتوره]]-Table15[[#This Row],[الدفعات]]</f>
        <v>0</v>
      </c>
      <c r="N775" s="27"/>
      <c r="O775" s="27"/>
    </row>
    <row r="776" spans="2:15" ht="29.25" customHeight="1" x14ac:dyDescent="0.3">
      <c r="B776" s="27"/>
      <c r="C776" s="27"/>
      <c r="D776" s="27"/>
      <c r="E776" s="27"/>
      <c r="F776" s="27"/>
      <c r="G776" s="27"/>
      <c r="H776" s="27"/>
      <c r="I776" s="27"/>
      <c r="J776" s="27"/>
      <c r="K776" s="27">
        <f>Table15[[#This Row],[الايصالات]]+Table15[[#This Row],[النولون]]-Table15[[#This Row],[خصم 3%]]</f>
        <v>0</v>
      </c>
      <c r="L776" s="27"/>
      <c r="M776" s="27">
        <f>Table15[[#This Row],[اجمالي الفاتوره]]-Table15[[#This Row],[الدفعات]]</f>
        <v>0</v>
      </c>
      <c r="N776" s="27"/>
      <c r="O776" s="27"/>
    </row>
    <row r="777" spans="2:15" ht="29.25" customHeight="1" x14ac:dyDescent="0.3">
      <c r="B777" s="27"/>
      <c r="C777" s="27"/>
      <c r="D777" s="27"/>
      <c r="E777" s="27"/>
      <c r="F777" s="27"/>
      <c r="G777" s="27"/>
      <c r="H777" s="27"/>
      <c r="I777" s="27"/>
      <c r="J777" s="27"/>
      <c r="K777" s="27">
        <f>Table15[[#This Row],[الايصالات]]+Table15[[#This Row],[النولون]]-Table15[[#This Row],[خصم 3%]]</f>
        <v>0</v>
      </c>
      <c r="L777" s="27"/>
      <c r="M777" s="27">
        <f>Table15[[#This Row],[اجمالي الفاتوره]]-Table15[[#This Row],[الدفعات]]</f>
        <v>0</v>
      </c>
      <c r="N777" s="27"/>
      <c r="O777" s="27"/>
    </row>
    <row r="778" spans="2:15" ht="29.25" customHeight="1" x14ac:dyDescent="0.3">
      <c r="B778" s="27"/>
      <c r="C778" s="27"/>
      <c r="D778" s="27"/>
      <c r="E778" s="27"/>
      <c r="F778" s="27"/>
      <c r="G778" s="27"/>
      <c r="H778" s="27"/>
      <c r="I778" s="27"/>
      <c r="J778" s="27"/>
      <c r="K778" s="27">
        <f>Table15[[#This Row],[الايصالات]]+Table15[[#This Row],[النولون]]-Table15[[#This Row],[خصم 3%]]</f>
        <v>0</v>
      </c>
      <c r="L778" s="27"/>
      <c r="M778" s="27">
        <f>Table15[[#This Row],[اجمالي الفاتوره]]-Table15[[#This Row],[الدفعات]]</f>
        <v>0</v>
      </c>
      <c r="N778" s="27"/>
      <c r="O778" s="27"/>
    </row>
    <row r="779" spans="2:15" ht="29.25" customHeight="1" x14ac:dyDescent="0.3">
      <c r="B779" s="27"/>
      <c r="C779" s="27"/>
      <c r="D779" s="27"/>
      <c r="E779" s="27"/>
      <c r="F779" s="27"/>
      <c r="G779" s="27"/>
      <c r="H779" s="27"/>
      <c r="I779" s="27"/>
      <c r="J779" s="27"/>
      <c r="K779" s="27">
        <f>Table15[[#This Row],[الايصالات]]+Table15[[#This Row],[النولون]]-Table15[[#This Row],[خصم 3%]]</f>
        <v>0</v>
      </c>
      <c r="L779" s="27"/>
      <c r="M779" s="27">
        <f>Table15[[#This Row],[اجمالي الفاتوره]]-Table15[[#This Row],[الدفعات]]</f>
        <v>0</v>
      </c>
      <c r="N779" s="27"/>
      <c r="O779" s="27"/>
    </row>
    <row r="780" spans="2:15" ht="29.25" customHeight="1" x14ac:dyDescent="0.3">
      <c r="B780" s="27"/>
      <c r="C780" s="27"/>
      <c r="D780" s="27"/>
      <c r="E780" s="27"/>
      <c r="F780" s="27"/>
      <c r="G780" s="27"/>
      <c r="H780" s="27"/>
      <c r="I780" s="27"/>
      <c r="J780" s="27"/>
      <c r="K780" s="27">
        <f>Table15[[#This Row],[الايصالات]]+Table15[[#This Row],[النولون]]-Table15[[#This Row],[خصم 3%]]</f>
        <v>0</v>
      </c>
      <c r="L780" s="27"/>
      <c r="M780" s="27">
        <f>Table15[[#This Row],[اجمالي الفاتوره]]-Table15[[#This Row],[الدفعات]]</f>
        <v>0</v>
      </c>
      <c r="N780" s="27"/>
      <c r="O780" s="27"/>
    </row>
    <row r="781" spans="2:15" ht="29.25" customHeight="1" x14ac:dyDescent="0.3">
      <c r="B781" s="27"/>
      <c r="C781" s="27"/>
      <c r="D781" s="27"/>
      <c r="E781" s="27"/>
      <c r="F781" s="27"/>
      <c r="G781" s="27"/>
      <c r="H781" s="27"/>
      <c r="I781" s="27"/>
      <c r="J781" s="27"/>
      <c r="K781" s="27">
        <f>Table15[[#This Row],[الايصالات]]+Table15[[#This Row],[النولون]]-Table15[[#This Row],[خصم 3%]]</f>
        <v>0</v>
      </c>
      <c r="L781" s="27"/>
      <c r="M781" s="27">
        <f>Table15[[#This Row],[اجمالي الفاتوره]]-Table15[[#This Row],[الدفعات]]</f>
        <v>0</v>
      </c>
      <c r="N781" s="27"/>
      <c r="O781" s="27"/>
    </row>
    <row r="782" spans="2:15" ht="29.25" customHeight="1" x14ac:dyDescent="0.3">
      <c r="B782" s="27"/>
      <c r="C782" s="27"/>
      <c r="D782" s="27"/>
      <c r="E782" s="27"/>
      <c r="F782" s="27"/>
      <c r="G782" s="27"/>
      <c r="H782" s="27"/>
      <c r="I782" s="27"/>
      <c r="J782" s="27"/>
      <c r="K782" s="27">
        <f>Table15[[#This Row],[الايصالات]]+Table15[[#This Row],[النولون]]-Table15[[#This Row],[خصم 3%]]</f>
        <v>0</v>
      </c>
      <c r="L782" s="27"/>
      <c r="M782" s="27">
        <f>Table15[[#This Row],[اجمالي الفاتوره]]-Table15[[#This Row],[الدفعات]]</f>
        <v>0</v>
      </c>
      <c r="N782" s="27"/>
      <c r="O782" s="27"/>
    </row>
    <row r="783" spans="2:15" ht="29.25" customHeight="1" x14ac:dyDescent="0.3">
      <c r="B783" s="27"/>
      <c r="C783" s="27"/>
      <c r="D783" s="27"/>
      <c r="E783" s="27"/>
      <c r="F783" s="27"/>
      <c r="G783" s="27"/>
      <c r="H783" s="27"/>
      <c r="I783" s="27"/>
      <c r="J783" s="27"/>
      <c r="K783" s="27">
        <f>Table15[[#This Row],[الايصالات]]+Table15[[#This Row],[النولون]]-Table15[[#This Row],[خصم 3%]]</f>
        <v>0</v>
      </c>
      <c r="L783" s="27"/>
      <c r="M783" s="27">
        <f>Table15[[#This Row],[اجمالي الفاتوره]]-Table15[[#This Row],[الدفعات]]</f>
        <v>0</v>
      </c>
      <c r="N783" s="27"/>
      <c r="O783" s="27"/>
    </row>
    <row r="784" spans="2:15" ht="29.25" customHeight="1" x14ac:dyDescent="0.3">
      <c r="B784" s="27"/>
      <c r="C784" s="27"/>
      <c r="D784" s="27"/>
      <c r="E784" s="27"/>
      <c r="F784" s="27"/>
      <c r="G784" s="27"/>
      <c r="H784" s="27"/>
      <c r="I784" s="27"/>
      <c r="J784" s="27"/>
      <c r="K784" s="27">
        <f>Table15[[#This Row],[الايصالات]]+Table15[[#This Row],[النولون]]-Table15[[#This Row],[خصم 3%]]</f>
        <v>0</v>
      </c>
      <c r="L784" s="27"/>
      <c r="M784" s="27">
        <f>Table15[[#This Row],[اجمالي الفاتوره]]-Table15[[#This Row],[الدفعات]]</f>
        <v>0</v>
      </c>
      <c r="N784" s="27"/>
      <c r="O784" s="27"/>
    </row>
    <row r="785" spans="2:15" ht="29.25" customHeight="1" x14ac:dyDescent="0.3">
      <c r="B785" s="27"/>
      <c r="C785" s="27"/>
      <c r="D785" s="27"/>
      <c r="E785" s="27"/>
      <c r="F785" s="27"/>
      <c r="G785" s="27"/>
      <c r="H785" s="27"/>
      <c r="I785" s="27"/>
      <c r="J785" s="27"/>
      <c r="K785" s="27">
        <f>Table15[[#This Row],[الايصالات]]+Table15[[#This Row],[النولون]]-Table15[[#This Row],[خصم 3%]]</f>
        <v>0</v>
      </c>
      <c r="L785" s="27"/>
      <c r="M785" s="27">
        <f>Table15[[#This Row],[اجمالي الفاتوره]]-Table15[[#This Row],[الدفعات]]</f>
        <v>0</v>
      </c>
      <c r="N785" s="27"/>
      <c r="O785" s="27"/>
    </row>
    <row r="786" spans="2:15" ht="29.25" customHeight="1" x14ac:dyDescent="0.3">
      <c r="B786" s="27"/>
      <c r="C786" s="27"/>
      <c r="D786" s="27"/>
      <c r="E786" s="27"/>
      <c r="F786" s="27"/>
      <c r="G786" s="27"/>
      <c r="H786" s="27"/>
      <c r="I786" s="27"/>
      <c r="J786" s="27"/>
      <c r="K786" s="27">
        <f>Table15[[#This Row],[الايصالات]]+Table15[[#This Row],[النولون]]-Table15[[#This Row],[خصم 3%]]</f>
        <v>0</v>
      </c>
      <c r="L786" s="27"/>
      <c r="M786" s="27">
        <f>Table15[[#This Row],[اجمالي الفاتوره]]-Table15[[#This Row],[الدفعات]]</f>
        <v>0</v>
      </c>
      <c r="N786" s="27"/>
      <c r="O786" s="27"/>
    </row>
    <row r="787" spans="2:15" ht="29.25" customHeight="1" x14ac:dyDescent="0.3">
      <c r="B787" s="27"/>
      <c r="C787" s="27"/>
      <c r="D787" s="27"/>
      <c r="E787" s="27"/>
      <c r="F787" s="27"/>
      <c r="G787" s="27"/>
      <c r="H787" s="27"/>
      <c r="I787" s="27"/>
      <c r="J787" s="27"/>
      <c r="K787" s="27">
        <f>Table15[[#This Row],[الايصالات]]+Table15[[#This Row],[النولون]]-Table15[[#This Row],[خصم 3%]]</f>
        <v>0</v>
      </c>
      <c r="L787" s="27"/>
      <c r="M787" s="27">
        <f>Table15[[#This Row],[اجمالي الفاتوره]]-Table15[[#This Row],[الدفعات]]</f>
        <v>0</v>
      </c>
      <c r="N787" s="27"/>
      <c r="O787" s="27"/>
    </row>
    <row r="788" spans="2:15" ht="29.25" customHeight="1" x14ac:dyDescent="0.3">
      <c r="B788" s="27"/>
      <c r="C788" s="27"/>
      <c r="D788" s="27"/>
      <c r="E788" s="27"/>
      <c r="F788" s="27"/>
      <c r="G788" s="27"/>
      <c r="H788" s="27"/>
      <c r="I788" s="27"/>
      <c r="J788" s="27"/>
      <c r="K788" s="27">
        <f>Table15[[#This Row],[الايصالات]]+Table15[[#This Row],[النولون]]-Table15[[#This Row],[خصم 3%]]</f>
        <v>0</v>
      </c>
      <c r="L788" s="27"/>
      <c r="M788" s="27">
        <f>Table15[[#This Row],[اجمالي الفاتوره]]-Table15[[#This Row],[الدفعات]]</f>
        <v>0</v>
      </c>
      <c r="N788" s="27"/>
      <c r="O788" s="27"/>
    </row>
    <row r="789" spans="2:15" ht="29.25" customHeight="1" x14ac:dyDescent="0.3">
      <c r="B789" s="27"/>
      <c r="C789" s="27"/>
      <c r="D789" s="27"/>
      <c r="E789" s="27"/>
      <c r="F789" s="27"/>
      <c r="G789" s="27"/>
      <c r="H789" s="27"/>
      <c r="I789" s="27"/>
      <c r="J789" s="27"/>
      <c r="K789" s="27">
        <f>Table15[[#This Row],[الايصالات]]+Table15[[#This Row],[النولون]]-Table15[[#This Row],[خصم 3%]]</f>
        <v>0</v>
      </c>
      <c r="L789" s="27"/>
      <c r="M789" s="27">
        <f>Table15[[#This Row],[اجمالي الفاتوره]]-Table15[[#This Row],[الدفعات]]</f>
        <v>0</v>
      </c>
      <c r="N789" s="27"/>
      <c r="O789" s="27"/>
    </row>
    <row r="790" spans="2:15" ht="29.25" customHeight="1" x14ac:dyDescent="0.3">
      <c r="B790" s="27"/>
      <c r="C790" s="27"/>
      <c r="D790" s="27"/>
      <c r="E790" s="27"/>
      <c r="F790" s="27"/>
      <c r="G790" s="27"/>
      <c r="H790" s="27"/>
      <c r="I790" s="27"/>
      <c r="J790" s="27"/>
      <c r="K790" s="27">
        <f>Table15[[#This Row],[الايصالات]]+Table15[[#This Row],[النولون]]-Table15[[#This Row],[خصم 3%]]</f>
        <v>0</v>
      </c>
      <c r="L790" s="27"/>
      <c r="M790" s="27">
        <f>Table15[[#This Row],[اجمالي الفاتوره]]-Table15[[#This Row],[الدفعات]]</f>
        <v>0</v>
      </c>
      <c r="N790" s="27"/>
      <c r="O790" s="27"/>
    </row>
    <row r="791" spans="2:15" ht="29.25" customHeight="1" x14ac:dyDescent="0.3">
      <c r="B791" s="27"/>
      <c r="C791" s="27"/>
      <c r="D791" s="27"/>
      <c r="E791" s="27"/>
      <c r="F791" s="27"/>
      <c r="G791" s="27"/>
      <c r="H791" s="27"/>
      <c r="I791" s="27"/>
      <c r="J791" s="27"/>
      <c r="K791" s="27">
        <f>Table15[[#This Row],[الايصالات]]+Table15[[#This Row],[النولون]]-Table15[[#This Row],[خصم 3%]]</f>
        <v>0</v>
      </c>
      <c r="L791" s="27"/>
      <c r="M791" s="27">
        <f>Table15[[#This Row],[اجمالي الفاتوره]]-Table15[[#This Row],[الدفعات]]</f>
        <v>0</v>
      </c>
      <c r="N791" s="27"/>
      <c r="O791" s="27"/>
    </row>
    <row r="792" spans="2:15" ht="29.25" customHeight="1" x14ac:dyDescent="0.3">
      <c r="B792" s="27"/>
      <c r="C792" s="27"/>
      <c r="D792" s="27"/>
      <c r="E792" s="27"/>
      <c r="F792" s="27"/>
      <c r="G792" s="27"/>
      <c r="H792" s="27"/>
      <c r="I792" s="27"/>
      <c r="J792" s="27"/>
      <c r="K792" s="27">
        <f>Table15[[#This Row],[الايصالات]]+Table15[[#This Row],[النولون]]-Table15[[#This Row],[خصم 3%]]</f>
        <v>0</v>
      </c>
      <c r="L792" s="27"/>
      <c r="M792" s="27">
        <f>Table15[[#This Row],[اجمالي الفاتوره]]-Table15[[#This Row],[الدفعات]]</f>
        <v>0</v>
      </c>
      <c r="N792" s="27"/>
      <c r="O792" s="27"/>
    </row>
    <row r="793" spans="2:15" ht="29.25" customHeight="1" x14ac:dyDescent="0.3">
      <c r="B793" s="27"/>
      <c r="C793" s="27"/>
      <c r="D793" s="27"/>
      <c r="E793" s="27"/>
      <c r="F793" s="27"/>
      <c r="G793" s="27"/>
      <c r="H793" s="27"/>
      <c r="I793" s="27"/>
      <c r="J793" s="27"/>
      <c r="K793" s="27">
        <f>Table15[[#This Row],[الايصالات]]+Table15[[#This Row],[النولون]]-Table15[[#This Row],[خصم 3%]]</f>
        <v>0</v>
      </c>
      <c r="L793" s="27"/>
      <c r="M793" s="27">
        <f>Table15[[#This Row],[اجمالي الفاتوره]]-Table15[[#This Row],[الدفعات]]</f>
        <v>0</v>
      </c>
      <c r="N793" s="27"/>
      <c r="O793" s="27"/>
    </row>
    <row r="794" spans="2:15" ht="29.25" customHeight="1" x14ac:dyDescent="0.3">
      <c r="B794" s="27"/>
      <c r="C794" s="27"/>
      <c r="D794" s="27"/>
      <c r="E794" s="27"/>
      <c r="F794" s="27"/>
      <c r="G794" s="27"/>
      <c r="H794" s="27"/>
      <c r="I794" s="27"/>
      <c r="J794" s="27"/>
      <c r="K794" s="27">
        <f>Table15[[#This Row],[الايصالات]]+Table15[[#This Row],[النولون]]-Table15[[#This Row],[خصم 3%]]</f>
        <v>0</v>
      </c>
      <c r="L794" s="27"/>
      <c r="M794" s="27">
        <f>Table15[[#This Row],[اجمالي الفاتوره]]-Table15[[#This Row],[الدفعات]]</f>
        <v>0</v>
      </c>
      <c r="N794" s="27"/>
      <c r="O794" s="27"/>
    </row>
    <row r="795" spans="2:15" ht="29.25" customHeight="1" x14ac:dyDescent="0.3">
      <c r="B795" s="27"/>
      <c r="C795" s="27"/>
      <c r="D795" s="27"/>
      <c r="E795" s="27"/>
      <c r="F795" s="27"/>
      <c r="G795" s="27"/>
      <c r="H795" s="27"/>
      <c r="I795" s="27"/>
      <c r="J795" s="27"/>
      <c r="K795" s="27">
        <f>Table15[[#This Row],[الايصالات]]+Table15[[#This Row],[النولون]]-Table15[[#This Row],[خصم 3%]]</f>
        <v>0</v>
      </c>
      <c r="L795" s="27"/>
      <c r="M795" s="27">
        <f>Table15[[#This Row],[اجمالي الفاتوره]]-Table15[[#This Row],[الدفعات]]</f>
        <v>0</v>
      </c>
      <c r="N795" s="27"/>
      <c r="O795" s="27"/>
    </row>
    <row r="796" spans="2:15" ht="29.25" customHeight="1" x14ac:dyDescent="0.3">
      <c r="B796" s="27"/>
      <c r="C796" s="27"/>
      <c r="D796" s="27"/>
      <c r="E796" s="27"/>
      <c r="F796" s="27"/>
      <c r="G796" s="27"/>
      <c r="H796" s="27"/>
      <c r="I796" s="27"/>
      <c r="J796" s="27"/>
      <c r="K796" s="27">
        <f>Table15[[#This Row],[الايصالات]]+Table15[[#This Row],[النولون]]-Table15[[#This Row],[خصم 3%]]</f>
        <v>0</v>
      </c>
      <c r="L796" s="27"/>
      <c r="M796" s="27">
        <f>Table15[[#This Row],[اجمالي الفاتوره]]-Table15[[#This Row],[الدفعات]]</f>
        <v>0</v>
      </c>
      <c r="N796" s="27"/>
      <c r="O796" s="27"/>
    </row>
    <row r="797" spans="2:15" ht="29.25" customHeight="1" x14ac:dyDescent="0.3">
      <c r="B797" s="27"/>
      <c r="C797" s="27"/>
      <c r="D797" s="27"/>
      <c r="E797" s="27"/>
      <c r="F797" s="27"/>
      <c r="G797" s="27"/>
      <c r="H797" s="27"/>
      <c r="I797" s="27"/>
      <c r="J797" s="27"/>
      <c r="K797" s="27">
        <f>Table15[[#This Row],[الايصالات]]+Table15[[#This Row],[النولون]]-Table15[[#This Row],[خصم 3%]]</f>
        <v>0</v>
      </c>
      <c r="L797" s="27"/>
      <c r="M797" s="27">
        <f>Table15[[#This Row],[اجمالي الفاتوره]]-Table15[[#This Row],[الدفعات]]</f>
        <v>0</v>
      </c>
      <c r="N797" s="27"/>
      <c r="O797" s="27"/>
    </row>
    <row r="798" spans="2:15" ht="29.25" customHeight="1" x14ac:dyDescent="0.3">
      <c r="B798" s="27"/>
      <c r="C798" s="27"/>
      <c r="D798" s="27"/>
      <c r="E798" s="27"/>
      <c r="F798" s="27"/>
      <c r="G798" s="27"/>
      <c r="H798" s="27"/>
      <c r="I798" s="27"/>
      <c r="J798" s="27"/>
      <c r="K798" s="27">
        <f>Table15[[#This Row],[الايصالات]]+Table15[[#This Row],[النولون]]-Table15[[#This Row],[خصم 3%]]</f>
        <v>0</v>
      </c>
      <c r="L798" s="27"/>
      <c r="M798" s="27">
        <f>Table15[[#This Row],[اجمالي الفاتوره]]-Table15[[#This Row],[الدفعات]]</f>
        <v>0</v>
      </c>
      <c r="N798" s="27"/>
      <c r="O798" s="27"/>
    </row>
    <row r="799" spans="2:15" ht="29.25" customHeight="1" x14ac:dyDescent="0.3">
      <c r="B799" s="27"/>
      <c r="C799" s="27"/>
      <c r="D799" s="27"/>
      <c r="E799" s="27"/>
      <c r="F799" s="27"/>
      <c r="G799" s="27"/>
      <c r="H799" s="27"/>
      <c r="I799" s="27"/>
      <c r="J799" s="27"/>
      <c r="K799" s="27">
        <f>Table15[[#This Row],[الايصالات]]+Table15[[#This Row],[النولون]]-Table15[[#This Row],[خصم 3%]]</f>
        <v>0</v>
      </c>
      <c r="L799" s="27"/>
      <c r="M799" s="27">
        <f>Table15[[#This Row],[اجمالي الفاتوره]]-Table15[[#This Row],[الدفعات]]</f>
        <v>0</v>
      </c>
      <c r="N799" s="27"/>
      <c r="O799" s="27"/>
    </row>
    <row r="800" spans="2:15" ht="29.25" customHeight="1" x14ac:dyDescent="0.3">
      <c r="B800" s="27"/>
      <c r="C800" s="27"/>
      <c r="D800" s="27"/>
      <c r="E800" s="27"/>
      <c r="F800" s="27"/>
      <c r="G800" s="27"/>
      <c r="H800" s="27"/>
      <c r="I800" s="27"/>
      <c r="J800" s="27"/>
      <c r="K800" s="27">
        <f>Table15[[#This Row],[الايصالات]]+Table15[[#This Row],[النولون]]-Table15[[#This Row],[خصم 3%]]</f>
        <v>0</v>
      </c>
      <c r="L800" s="27"/>
      <c r="M800" s="27">
        <f>Table15[[#This Row],[اجمالي الفاتوره]]-Table15[[#This Row],[الدفعات]]</f>
        <v>0</v>
      </c>
      <c r="N800" s="27"/>
      <c r="O800" s="27"/>
    </row>
    <row r="801" spans="2:15" ht="29.25" customHeight="1" x14ac:dyDescent="0.3">
      <c r="B801" s="27"/>
      <c r="C801" s="27"/>
      <c r="D801" s="27"/>
      <c r="E801" s="27"/>
      <c r="F801" s="27"/>
      <c r="G801" s="27"/>
      <c r="H801" s="27"/>
      <c r="I801" s="27"/>
      <c r="J801" s="27"/>
      <c r="K801" s="27">
        <f>Table15[[#This Row],[الايصالات]]+Table15[[#This Row],[النولون]]-Table15[[#This Row],[خصم 3%]]</f>
        <v>0</v>
      </c>
      <c r="L801" s="27"/>
      <c r="M801" s="27">
        <f>Table15[[#This Row],[اجمالي الفاتوره]]-Table15[[#This Row],[الدفعات]]</f>
        <v>0</v>
      </c>
      <c r="N801" s="27"/>
      <c r="O801" s="27"/>
    </row>
    <row r="802" spans="2:15" ht="29.25" customHeight="1" x14ac:dyDescent="0.3">
      <c r="B802" s="27"/>
      <c r="C802" s="27"/>
      <c r="D802" s="27"/>
      <c r="E802" s="27"/>
      <c r="F802" s="27"/>
      <c r="G802" s="27"/>
      <c r="H802" s="27"/>
      <c r="I802" s="27"/>
      <c r="J802" s="27"/>
      <c r="K802" s="27">
        <f>Table15[[#This Row],[الايصالات]]+Table15[[#This Row],[النولون]]-Table15[[#This Row],[خصم 3%]]</f>
        <v>0</v>
      </c>
      <c r="L802" s="27"/>
      <c r="M802" s="27">
        <f>Table15[[#This Row],[اجمالي الفاتوره]]-Table15[[#This Row],[الدفعات]]</f>
        <v>0</v>
      </c>
      <c r="N802" s="27"/>
      <c r="O802" s="27"/>
    </row>
    <row r="803" spans="2:15" ht="29.25" customHeight="1" x14ac:dyDescent="0.3">
      <c r="B803" s="27"/>
      <c r="C803" s="27"/>
      <c r="D803" s="27"/>
      <c r="E803" s="27"/>
      <c r="F803" s="27"/>
      <c r="G803" s="27"/>
      <c r="H803" s="27"/>
      <c r="I803" s="27"/>
      <c r="J803" s="27"/>
      <c r="K803" s="27">
        <f>Table15[[#This Row],[الايصالات]]+Table15[[#This Row],[النولون]]-Table15[[#This Row],[خصم 3%]]</f>
        <v>0</v>
      </c>
      <c r="L803" s="27"/>
      <c r="M803" s="27">
        <f>Table15[[#This Row],[اجمالي الفاتوره]]-Table15[[#This Row],[الدفعات]]</f>
        <v>0</v>
      </c>
      <c r="N803" s="27"/>
      <c r="O803" s="27"/>
    </row>
    <row r="804" spans="2:15" ht="29.25" customHeight="1" x14ac:dyDescent="0.3">
      <c r="B804" s="27"/>
      <c r="C804" s="27"/>
      <c r="D804" s="27"/>
      <c r="E804" s="27"/>
      <c r="F804" s="27"/>
      <c r="G804" s="27"/>
      <c r="H804" s="27"/>
      <c r="I804" s="27"/>
      <c r="J804" s="27"/>
      <c r="K804" s="27">
        <f>Table15[[#This Row],[الايصالات]]+Table15[[#This Row],[النولون]]-Table15[[#This Row],[خصم 3%]]</f>
        <v>0</v>
      </c>
      <c r="L804" s="27"/>
      <c r="M804" s="27">
        <f>Table15[[#This Row],[اجمالي الفاتوره]]-Table15[[#This Row],[الدفعات]]</f>
        <v>0</v>
      </c>
      <c r="N804" s="27"/>
      <c r="O804" s="27"/>
    </row>
    <row r="805" spans="2:15" ht="29.25" customHeight="1" x14ac:dyDescent="0.3">
      <c r="B805" s="27"/>
      <c r="C805" s="27"/>
      <c r="D805" s="27"/>
      <c r="E805" s="27"/>
      <c r="F805" s="27"/>
      <c r="G805" s="27"/>
      <c r="H805" s="27"/>
      <c r="I805" s="27"/>
      <c r="J805" s="27"/>
      <c r="K805" s="27">
        <f>Table15[[#This Row],[الايصالات]]+Table15[[#This Row],[النولون]]-Table15[[#This Row],[خصم 3%]]</f>
        <v>0</v>
      </c>
      <c r="L805" s="27"/>
      <c r="M805" s="27">
        <f>Table15[[#This Row],[اجمالي الفاتوره]]-Table15[[#This Row],[الدفعات]]</f>
        <v>0</v>
      </c>
      <c r="N805" s="27"/>
      <c r="O805" s="27"/>
    </row>
    <row r="806" spans="2:15" ht="29.25" customHeight="1" x14ac:dyDescent="0.3">
      <c r="B806" s="27"/>
      <c r="C806" s="27"/>
      <c r="D806" s="27"/>
      <c r="E806" s="27"/>
      <c r="F806" s="27"/>
      <c r="G806" s="27"/>
      <c r="H806" s="27"/>
      <c r="I806" s="27"/>
      <c r="J806" s="27"/>
      <c r="K806" s="27">
        <f>Table15[[#This Row],[الايصالات]]+Table15[[#This Row],[النولون]]-Table15[[#This Row],[خصم 3%]]</f>
        <v>0</v>
      </c>
      <c r="L806" s="27"/>
      <c r="M806" s="27">
        <f>Table15[[#This Row],[اجمالي الفاتوره]]-Table15[[#This Row],[الدفعات]]</f>
        <v>0</v>
      </c>
      <c r="N806" s="27"/>
      <c r="O806" s="27"/>
    </row>
    <row r="807" spans="2:15" ht="29.25" customHeight="1" x14ac:dyDescent="0.3">
      <c r="B807" s="27"/>
      <c r="C807" s="27"/>
      <c r="D807" s="27"/>
      <c r="E807" s="27"/>
      <c r="F807" s="27"/>
      <c r="G807" s="27"/>
      <c r="H807" s="27"/>
      <c r="I807" s="27"/>
      <c r="J807" s="27"/>
      <c r="K807" s="27">
        <f>Table15[[#This Row],[الايصالات]]+Table15[[#This Row],[النولون]]-Table15[[#This Row],[خصم 3%]]</f>
        <v>0</v>
      </c>
      <c r="L807" s="27"/>
      <c r="M807" s="27">
        <f>Table15[[#This Row],[اجمالي الفاتوره]]-Table15[[#This Row],[الدفعات]]</f>
        <v>0</v>
      </c>
      <c r="N807" s="27"/>
      <c r="O807" s="27"/>
    </row>
    <row r="808" spans="2:15" ht="29.25" customHeight="1" x14ac:dyDescent="0.3">
      <c r="B808" s="27"/>
      <c r="C808" s="27"/>
      <c r="D808" s="27"/>
      <c r="E808" s="27"/>
      <c r="F808" s="27"/>
      <c r="G808" s="27"/>
      <c r="H808" s="27"/>
      <c r="I808" s="27"/>
      <c r="J808" s="27"/>
      <c r="K808" s="27">
        <f>Table15[[#This Row],[الايصالات]]+Table15[[#This Row],[النولون]]-Table15[[#This Row],[خصم 3%]]</f>
        <v>0</v>
      </c>
      <c r="L808" s="27"/>
      <c r="M808" s="27">
        <f>Table15[[#This Row],[اجمالي الفاتوره]]-Table15[[#This Row],[الدفعات]]</f>
        <v>0</v>
      </c>
      <c r="N808" s="27"/>
      <c r="O808" s="27"/>
    </row>
    <row r="809" spans="2:15" ht="29.25" customHeight="1" x14ac:dyDescent="0.3">
      <c r="B809" s="27"/>
      <c r="C809" s="27"/>
      <c r="D809" s="27"/>
      <c r="E809" s="27"/>
      <c r="F809" s="27"/>
      <c r="G809" s="27"/>
      <c r="H809" s="27"/>
      <c r="I809" s="27"/>
      <c r="J809" s="27"/>
      <c r="K809" s="27">
        <f>Table15[[#This Row],[الايصالات]]+Table15[[#This Row],[النولون]]-Table15[[#This Row],[خصم 3%]]</f>
        <v>0</v>
      </c>
      <c r="L809" s="27"/>
      <c r="M809" s="27">
        <f>Table15[[#This Row],[اجمالي الفاتوره]]-Table15[[#This Row],[الدفعات]]</f>
        <v>0</v>
      </c>
      <c r="N809" s="27"/>
      <c r="O809" s="27"/>
    </row>
    <row r="810" spans="2:15" ht="29.25" customHeight="1" x14ac:dyDescent="0.3">
      <c r="B810" s="27"/>
      <c r="C810" s="27"/>
      <c r="D810" s="27"/>
      <c r="E810" s="27"/>
      <c r="F810" s="27"/>
      <c r="G810" s="27"/>
      <c r="H810" s="27"/>
      <c r="I810" s="27"/>
      <c r="J810" s="27"/>
      <c r="K810" s="27">
        <f>Table15[[#This Row],[الايصالات]]+Table15[[#This Row],[النولون]]-Table15[[#This Row],[خصم 3%]]</f>
        <v>0</v>
      </c>
      <c r="L810" s="27"/>
      <c r="M810" s="27">
        <f>Table15[[#This Row],[اجمالي الفاتوره]]-Table15[[#This Row],[الدفعات]]</f>
        <v>0</v>
      </c>
      <c r="N810" s="27"/>
      <c r="O810" s="27"/>
    </row>
    <row r="811" spans="2:15" ht="29.25" customHeight="1" x14ac:dyDescent="0.3">
      <c r="B811" s="27"/>
      <c r="C811" s="27"/>
      <c r="D811" s="27"/>
      <c r="E811" s="27"/>
      <c r="F811" s="27"/>
      <c r="G811" s="27"/>
      <c r="H811" s="27"/>
      <c r="I811" s="27"/>
      <c r="J811" s="27"/>
      <c r="K811" s="27">
        <f>Table15[[#This Row],[الايصالات]]+Table15[[#This Row],[النولون]]-Table15[[#This Row],[خصم 3%]]</f>
        <v>0</v>
      </c>
      <c r="L811" s="27"/>
      <c r="M811" s="27">
        <f>Table15[[#This Row],[اجمالي الفاتوره]]-Table15[[#This Row],[الدفعات]]</f>
        <v>0</v>
      </c>
      <c r="N811" s="27"/>
      <c r="O811" s="27"/>
    </row>
    <row r="812" spans="2:15" ht="29.25" customHeight="1" x14ac:dyDescent="0.3">
      <c r="B812" s="27"/>
      <c r="C812" s="27"/>
      <c r="D812" s="27"/>
      <c r="E812" s="27"/>
      <c r="F812" s="27"/>
      <c r="G812" s="27"/>
      <c r="H812" s="27"/>
      <c r="I812" s="27"/>
      <c r="J812" s="27"/>
      <c r="K812" s="27">
        <f>Table15[[#This Row],[الايصالات]]+Table15[[#This Row],[النولون]]-Table15[[#This Row],[خصم 3%]]</f>
        <v>0</v>
      </c>
      <c r="L812" s="27"/>
      <c r="M812" s="27">
        <f>Table15[[#This Row],[اجمالي الفاتوره]]-Table15[[#This Row],[الدفعات]]</f>
        <v>0</v>
      </c>
      <c r="N812" s="27"/>
      <c r="O812" s="27"/>
    </row>
    <row r="813" spans="2:15" ht="29.25" customHeight="1" x14ac:dyDescent="0.3">
      <c r="B813" s="27"/>
      <c r="C813" s="27"/>
      <c r="D813" s="27"/>
      <c r="E813" s="27"/>
      <c r="F813" s="27"/>
      <c r="G813" s="27"/>
      <c r="H813" s="27"/>
      <c r="I813" s="27"/>
      <c r="J813" s="27"/>
      <c r="K813" s="27">
        <f>Table15[[#This Row],[الايصالات]]+Table15[[#This Row],[النولون]]-Table15[[#This Row],[خصم 3%]]</f>
        <v>0</v>
      </c>
      <c r="L813" s="27"/>
      <c r="M813" s="27">
        <f>Table15[[#This Row],[اجمالي الفاتوره]]-Table15[[#This Row],[الدفعات]]</f>
        <v>0</v>
      </c>
      <c r="N813" s="27"/>
      <c r="O813" s="27"/>
    </row>
    <row r="814" spans="2:15" ht="29.25" customHeight="1" x14ac:dyDescent="0.3">
      <c r="B814" s="27"/>
      <c r="C814" s="27"/>
      <c r="D814" s="27"/>
      <c r="E814" s="27"/>
      <c r="F814" s="27"/>
      <c r="G814" s="27"/>
      <c r="H814" s="27"/>
      <c r="I814" s="27"/>
      <c r="J814" s="27"/>
      <c r="K814" s="27">
        <f>Table15[[#This Row],[الايصالات]]+Table15[[#This Row],[النولون]]-Table15[[#This Row],[خصم 3%]]</f>
        <v>0</v>
      </c>
      <c r="L814" s="27"/>
      <c r="M814" s="27">
        <f>Table15[[#This Row],[اجمالي الفاتوره]]-Table15[[#This Row],[الدفعات]]</f>
        <v>0</v>
      </c>
      <c r="N814" s="27"/>
      <c r="O814" s="27"/>
    </row>
    <row r="815" spans="2:15" ht="29.25" customHeight="1" x14ac:dyDescent="0.3">
      <c r="B815" s="27"/>
      <c r="C815" s="27"/>
      <c r="D815" s="27"/>
      <c r="E815" s="27"/>
      <c r="F815" s="27"/>
      <c r="G815" s="27"/>
      <c r="H815" s="27"/>
      <c r="I815" s="27"/>
      <c r="J815" s="27"/>
      <c r="K815" s="27">
        <f>Table15[[#This Row],[الايصالات]]+Table15[[#This Row],[النولون]]-Table15[[#This Row],[خصم 3%]]</f>
        <v>0</v>
      </c>
      <c r="L815" s="27"/>
      <c r="M815" s="27">
        <f>Table15[[#This Row],[اجمالي الفاتوره]]-Table15[[#This Row],[الدفعات]]</f>
        <v>0</v>
      </c>
      <c r="N815" s="27"/>
      <c r="O815" s="27"/>
    </row>
    <row r="816" spans="2:15" ht="29.25" customHeight="1" x14ac:dyDescent="0.3">
      <c r="B816" s="27"/>
      <c r="C816" s="27"/>
      <c r="D816" s="27"/>
      <c r="E816" s="27"/>
      <c r="F816" s="27"/>
      <c r="G816" s="27"/>
      <c r="H816" s="27"/>
      <c r="I816" s="27"/>
      <c r="J816" s="27"/>
      <c r="K816" s="27">
        <f>Table15[[#This Row],[الايصالات]]+Table15[[#This Row],[النولون]]-Table15[[#This Row],[خصم 3%]]</f>
        <v>0</v>
      </c>
      <c r="L816" s="27"/>
      <c r="M816" s="27">
        <f>Table15[[#This Row],[اجمالي الفاتوره]]-Table15[[#This Row],[الدفعات]]</f>
        <v>0</v>
      </c>
      <c r="N816" s="27"/>
      <c r="O816" s="27"/>
    </row>
    <row r="817" spans="2:15" ht="29.25" customHeight="1" x14ac:dyDescent="0.3">
      <c r="B817" s="27"/>
      <c r="C817" s="27"/>
      <c r="D817" s="27"/>
      <c r="E817" s="27"/>
      <c r="F817" s="27"/>
      <c r="G817" s="27"/>
      <c r="H817" s="27"/>
      <c r="I817" s="27"/>
      <c r="J817" s="27"/>
      <c r="K817" s="27">
        <f>Table15[[#This Row],[الايصالات]]+Table15[[#This Row],[النولون]]-Table15[[#This Row],[خصم 3%]]</f>
        <v>0</v>
      </c>
      <c r="L817" s="27"/>
      <c r="M817" s="27">
        <f>Table15[[#This Row],[اجمالي الفاتوره]]-Table15[[#This Row],[الدفعات]]</f>
        <v>0</v>
      </c>
      <c r="N817" s="27"/>
      <c r="O817" s="27"/>
    </row>
    <row r="818" spans="2:15" ht="29.25" customHeight="1" x14ac:dyDescent="0.3">
      <c r="B818" s="27"/>
      <c r="C818" s="27"/>
      <c r="D818" s="27"/>
      <c r="E818" s="27"/>
      <c r="F818" s="27"/>
      <c r="G818" s="27"/>
      <c r="H818" s="27"/>
      <c r="I818" s="27"/>
      <c r="J818" s="27"/>
      <c r="K818" s="27">
        <f>Table15[[#This Row],[الايصالات]]+Table15[[#This Row],[النولون]]-Table15[[#This Row],[خصم 3%]]</f>
        <v>0</v>
      </c>
      <c r="L818" s="27"/>
      <c r="M818" s="27">
        <f>Table15[[#This Row],[اجمالي الفاتوره]]-Table15[[#This Row],[الدفعات]]</f>
        <v>0</v>
      </c>
      <c r="N818" s="27"/>
      <c r="O818" s="27"/>
    </row>
    <row r="819" spans="2:15" ht="29.25" customHeight="1" x14ac:dyDescent="0.3">
      <c r="B819" s="27"/>
      <c r="C819" s="27"/>
      <c r="D819" s="27"/>
      <c r="E819" s="27"/>
      <c r="F819" s="27"/>
      <c r="G819" s="27"/>
      <c r="H819" s="27"/>
      <c r="I819" s="27"/>
      <c r="J819" s="27"/>
      <c r="K819" s="27">
        <f>Table15[[#This Row],[الايصالات]]+Table15[[#This Row],[النولون]]-Table15[[#This Row],[خصم 3%]]</f>
        <v>0</v>
      </c>
      <c r="L819" s="27"/>
      <c r="M819" s="27">
        <f>Table15[[#This Row],[اجمالي الفاتوره]]-Table15[[#This Row],[الدفعات]]</f>
        <v>0</v>
      </c>
      <c r="N819" s="27"/>
      <c r="O819" s="27"/>
    </row>
    <row r="820" spans="2:15" ht="29.25" customHeight="1" x14ac:dyDescent="0.3">
      <c r="B820" s="27"/>
      <c r="C820" s="27"/>
      <c r="D820" s="27"/>
      <c r="E820" s="27"/>
      <c r="F820" s="27"/>
      <c r="G820" s="27"/>
      <c r="H820" s="27"/>
      <c r="I820" s="27"/>
      <c r="J820" s="27"/>
      <c r="K820" s="27">
        <f>Table15[[#This Row],[الايصالات]]+Table15[[#This Row],[النولون]]-Table15[[#This Row],[خصم 3%]]</f>
        <v>0</v>
      </c>
      <c r="L820" s="27"/>
      <c r="M820" s="27">
        <f>Table15[[#This Row],[اجمالي الفاتوره]]-Table15[[#This Row],[الدفعات]]</f>
        <v>0</v>
      </c>
      <c r="N820" s="27"/>
      <c r="O820" s="27"/>
    </row>
    <row r="821" spans="2:15" ht="29.25" customHeight="1" x14ac:dyDescent="0.3">
      <c r="B821" s="27"/>
      <c r="C821" s="27"/>
      <c r="D821" s="27"/>
      <c r="E821" s="27"/>
      <c r="F821" s="27"/>
      <c r="G821" s="27"/>
      <c r="H821" s="27"/>
      <c r="I821" s="27"/>
      <c r="J821" s="27"/>
      <c r="K821" s="27">
        <f>Table15[[#This Row],[الايصالات]]+Table15[[#This Row],[النولون]]-Table15[[#This Row],[خصم 3%]]</f>
        <v>0</v>
      </c>
      <c r="L821" s="27"/>
      <c r="M821" s="27">
        <f>Table15[[#This Row],[اجمالي الفاتوره]]-Table15[[#This Row],[الدفعات]]</f>
        <v>0</v>
      </c>
      <c r="N821" s="27"/>
      <c r="O821" s="27"/>
    </row>
    <row r="822" spans="2:15" ht="29.25" customHeight="1" x14ac:dyDescent="0.3">
      <c r="B822" s="27"/>
      <c r="C822" s="27"/>
      <c r="D822" s="27"/>
      <c r="E822" s="27"/>
      <c r="F822" s="27"/>
      <c r="G822" s="27"/>
      <c r="H822" s="27"/>
      <c r="I822" s="27"/>
      <c r="J822" s="27"/>
      <c r="K822" s="27">
        <f>Table15[[#This Row],[الايصالات]]+Table15[[#This Row],[النولون]]-Table15[[#This Row],[خصم 3%]]</f>
        <v>0</v>
      </c>
      <c r="L822" s="27"/>
      <c r="M822" s="27">
        <f>Table15[[#This Row],[اجمالي الفاتوره]]-Table15[[#This Row],[الدفعات]]</f>
        <v>0</v>
      </c>
      <c r="N822" s="27"/>
      <c r="O822" s="27"/>
    </row>
    <row r="823" spans="2:15" ht="29.25" customHeight="1" x14ac:dyDescent="0.3">
      <c r="B823" s="27"/>
      <c r="C823" s="27"/>
      <c r="D823" s="27"/>
      <c r="E823" s="27"/>
      <c r="F823" s="27"/>
      <c r="G823" s="27"/>
      <c r="H823" s="27"/>
      <c r="I823" s="27"/>
      <c r="J823" s="27"/>
      <c r="K823" s="27">
        <f>Table15[[#This Row],[الايصالات]]+Table15[[#This Row],[النولون]]-Table15[[#This Row],[خصم 3%]]</f>
        <v>0</v>
      </c>
      <c r="L823" s="27"/>
      <c r="M823" s="27">
        <f>Table15[[#This Row],[اجمالي الفاتوره]]-Table15[[#This Row],[الدفعات]]</f>
        <v>0</v>
      </c>
      <c r="N823" s="27"/>
      <c r="O823" s="27"/>
    </row>
    <row r="824" spans="2:15" ht="29.25" customHeight="1" x14ac:dyDescent="0.3">
      <c r="B824" s="27"/>
      <c r="C824" s="27"/>
      <c r="D824" s="27"/>
      <c r="E824" s="27"/>
      <c r="F824" s="27"/>
      <c r="G824" s="27"/>
      <c r="H824" s="27"/>
      <c r="I824" s="27"/>
      <c r="J824" s="27"/>
      <c r="K824" s="27">
        <f>Table15[[#This Row],[الايصالات]]+Table15[[#This Row],[النولون]]-Table15[[#This Row],[خصم 3%]]</f>
        <v>0</v>
      </c>
      <c r="L824" s="27"/>
      <c r="M824" s="27">
        <f>Table15[[#This Row],[اجمالي الفاتوره]]-Table15[[#This Row],[الدفعات]]</f>
        <v>0</v>
      </c>
      <c r="N824" s="27"/>
      <c r="O824" s="27"/>
    </row>
    <row r="825" spans="2:15" ht="29.25" customHeight="1" x14ac:dyDescent="0.3">
      <c r="B825" s="27"/>
      <c r="C825" s="27"/>
      <c r="D825" s="27"/>
      <c r="E825" s="27"/>
      <c r="F825" s="27"/>
      <c r="G825" s="27"/>
      <c r="H825" s="27"/>
      <c r="I825" s="27"/>
      <c r="J825" s="27"/>
      <c r="K825" s="27">
        <f>Table15[[#This Row],[الايصالات]]+Table15[[#This Row],[النولون]]-Table15[[#This Row],[خصم 3%]]</f>
        <v>0</v>
      </c>
      <c r="L825" s="27"/>
      <c r="M825" s="27">
        <f>Table15[[#This Row],[اجمالي الفاتوره]]-Table15[[#This Row],[الدفعات]]</f>
        <v>0</v>
      </c>
      <c r="N825" s="27"/>
      <c r="O825" s="27"/>
    </row>
    <row r="826" spans="2:15" ht="29.25" customHeight="1" x14ac:dyDescent="0.3">
      <c r="B826" s="27"/>
      <c r="C826" s="27"/>
      <c r="D826" s="27"/>
      <c r="E826" s="27"/>
      <c r="F826" s="27"/>
      <c r="G826" s="27"/>
      <c r="H826" s="27"/>
      <c r="I826" s="27"/>
      <c r="J826" s="27"/>
      <c r="K826" s="27">
        <f>Table15[[#This Row],[الايصالات]]+Table15[[#This Row],[النولون]]-Table15[[#This Row],[خصم 3%]]</f>
        <v>0</v>
      </c>
      <c r="L826" s="27"/>
      <c r="M826" s="27">
        <f>Table15[[#This Row],[اجمالي الفاتوره]]-Table15[[#This Row],[الدفعات]]</f>
        <v>0</v>
      </c>
      <c r="N826" s="27"/>
      <c r="O826" s="27"/>
    </row>
    <row r="827" spans="2:15" ht="29.25" customHeight="1" x14ac:dyDescent="0.3">
      <c r="B827" s="27"/>
      <c r="C827" s="27"/>
      <c r="D827" s="27"/>
      <c r="E827" s="27"/>
      <c r="F827" s="27"/>
      <c r="G827" s="27"/>
      <c r="H827" s="27"/>
      <c r="I827" s="27"/>
      <c r="J827" s="27"/>
      <c r="K827" s="27">
        <f>Table15[[#This Row],[الايصالات]]+Table15[[#This Row],[النولون]]-Table15[[#This Row],[خصم 3%]]</f>
        <v>0</v>
      </c>
      <c r="L827" s="27"/>
      <c r="M827" s="27">
        <f>Table15[[#This Row],[اجمالي الفاتوره]]-Table15[[#This Row],[الدفعات]]</f>
        <v>0</v>
      </c>
      <c r="N827" s="27"/>
      <c r="O827" s="27"/>
    </row>
    <row r="828" spans="2:15" ht="29.25" customHeight="1" x14ac:dyDescent="0.3">
      <c r="B828" s="27"/>
      <c r="C828" s="27"/>
      <c r="D828" s="27"/>
      <c r="E828" s="27"/>
      <c r="F828" s="27"/>
      <c r="G828" s="27"/>
      <c r="H828" s="27"/>
      <c r="I828" s="27"/>
      <c r="J828" s="27"/>
      <c r="K828" s="27">
        <f>Table15[[#This Row],[الايصالات]]+Table15[[#This Row],[النولون]]-Table15[[#This Row],[خصم 3%]]</f>
        <v>0</v>
      </c>
      <c r="L828" s="27"/>
      <c r="M828" s="27">
        <f>Table15[[#This Row],[اجمالي الفاتوره]]-Table15[[#This Row],[الدفعات]]</f>
        <v>0</v>
      </c>
      <c r="N828" s="27"/>
      <c r="O828" s="27"/>
    </row>
    <row r="829" spans="2:15" ht="29.25" customHeight="1" x14ac:dyDescent="0.3">
      <c r="B829" s="27"/>
      <c r="C829" s="27"/>
      <c r="D829" s="27"/>
      <c r="E829" s="27"/>
      <c r="F829" s="27"/>
      <c r="G829" s="27"/>
      <c r="H829" s="27"/>
      <c r="I829" s="27"/>
      <c r="J829" s="27"/>
      <c r="K829" s="27">
        <f>Table15[[#This Row],[الايصالات]]+Table15[[#This Row],[النولون]]-Table15[[#This Row],[خصم 3%]]</f>
        <v>0</v>
      </c>
      <c r="L829" s="27"/>
      <c r="M829" s="27">
        <f>Table15[[#This Row],[اجمالي الفاتوره]]-Table15[[#This Row],[الدفعات]]</f>
        <v>0</v>
      </c>
      <c r="N829" s="27"/>
      <c r="O829" s="27"/>
    </row>
    <row r="830" spans="2:15" ht="29.25" customHeight="1" x14ac:dyDescent="0.3">
      <c r="B830" s="27"/>
      <c r="C830" s="27"/>
      <c r="D830" s="27"/>
      <c r="E830" s="27"/>
      <c r="F830" s="27"/>
      <c r="G830" s="27"/>
      <c r="H830" s="27"/>
      <c r="I830" s="27"/>
      <c r="J830" s="27"/>
      <c r="K830" s="27">
        <f>Table15[[#This Row],[الايصالات]]+Table15[[#This Row],[النولون]]-Table15[[#This Row],[خصم 3%]]</f>
        <v>0</v>
      </c>
      <c r="L830" s="27"/>
      <c r="M830" s="27">
        <f>Table15[[#This Row],[اجمالي الفاتوره]]-Table15[[#This Row],[الدفعات]]</f>
        <v>0</v>
      </c>
      <c r="N830" s="27"/>
      <c r="O830" s="27"/>
    </row>
    <row r="831" spans="2:15" ht="29.25" customHeight="1" x14ac:dyDescent="0.3">
      <c r="B831" s="27"/>
      <c r="C831" s="27"/>
      <c r="D831" s="27"/>
      <c r="E831" s="27"/>
      <c r="F831" s="27"/>
      <c r="G831" s="27"/>
      <c r="H831" s="27"/>
      <c r="I831" s="27"/>
      <c r="J831" s="27"/>
      <c r="K831" s="27">
        <f>Table15[[#This Row],[الايصالات]]+Table15[[#This Row],[النولون]]-Table15[[#This Row],[خصم 3%]]</f>
        <v>0</v>
      </c>
      <c r="L831" s="27"/>
      <c r="M831" s="27">
        <f>Table15[[#This Row],[اجمالي الفاتوره]]-Table15[[#This Row],[الدفعات]]</f>
        <v>0</v>
      </c>
      <c r="N831" s="27"/>
      <c r="O831" s="27"/>
    </row>
    <row r="832" spans="2:15" ht="29.25" customHeight="1" x14ac:dyDescent="0.3">
      <c r="B832" s="27"/>
      <c r="C832" s="27"/>
      <c r="D832" s="27"/>
      <c r="E832" s="27"/>
      <c r="F832" s="27"/>
      <c r="G832" s="27"/>
      <c r="H832" s="27"/>
      <c r="I832" s="27"/>
      <c r="J832" s="27"/>
      <c r="K832" s="27">
        <f>Table15[[#This Row],[الايصالات]]+Table15[[#This Row],[النولون]]-Table15[[#This Row],[خصم 3%]]</f>
        <v>0</v>
      </c>
      <c r="L832" s="27"/>
      <c r="M832" s="27">
        <f>Table15[[#This Row],[اجمالي الفاتوره]]-Table15[[#This Row],[الدفعات]]</f>
        <v>0</v>
      </c>
      <c r="N832" s="27"/>
      <c r="O832" s="27"/>
    </row>
    <row r="833" spans="2:15" ht="29.25" customHeight="1" x14ac:dyDescent="0.3">
      <c r="B833" s="27"/>
      <c r="C833" s="27"/>
      <c r="D833" s="27"/>
      <c r="E833" s="27"/>
      <c r="F833" s="27"/>
      <c r="G833" s="27"/>
      <c r="H833" s="27"/>
      <c r="I833" s="27"/>
      <c r="J833" s="27"/>
      <c r="K833" s="27">
        <f>Table15[[#This Row],[الايصالات]]+Table15[[#This Row],[النولون]]-Table15[[#This Row],[خصم 3%]]</f>
        <v>0</v>
      </c>
      <c r="L833" s="27"/>
      <c r="M833" s="27">
        <f>Table15[[#This Row],[اجمالي الفاتوره]]-Table15[[#This Row],[الدفعات]]</f>
        <v>0</v>
      </c>
      <c r="N833" s="27"/>
      <c r="O833" s="27"/>
    </row>
    <row r="834" spans="2:15" ht="29.25" customHeight="1" x14ac:dyDescent="0.3">
      <c r="B834" s="27"/>
      <c r="C834" s="27"/>
      <c r="D834" s="27"/>
      <c r="E834" s="27"/>
      <c r="F834" s="27"/>
      <c r="G834" s="27"/>
      <c r="H834" s="27"/>
      <c r="I834" s="27"/>
      <c r="J834" s="27"/>
      <c r="K834" s="27">
        <f>Table15[[#This Row],[الايصالات]]+Table15[[#This Row],[النولون]]-Table15[[#This Row],[خصم 3%]]</f>
        <v>0</v>
      </c>
      <c r="L834" s="27"/>
      <c r="M834" s="27">
        <f>Table15[[#This Row],[اجمالي الفاتوره]]-Table15[[#This Row],[الدفعات]]</f>
        <v>0</v>
      </c>
      <c r="N834" s="27"/>
      <c r="O834" s="27"/>
    </row>
    <row r="835" spans="2:15" ht="29.25" customHeight="1" x14ac:dyDescent="0.3">
      <c r="B835" s="27"/>
      <c r="C835" s="27"/>
      <c r="D835" s="27"/>
      <c r="E835" s="27"/>
      <c r="F835" s="27"/>
      <c r="G835" s="27"/>
      <c r="H835" s="27"/>
      <c r="I835" s="27"/>
      <c r="J835" s="27"/>
      <c r="K835" s="27">
        <f>Table15[[#This Row],[الايصالات]]+Table15[[#This Row],[النولون]]-Table15[[#This Row],[خصم 3%]]</f>
        <v>0</v>
      </c>
      <c r="L835" s="27"/>
      <c r="M835" s="27">
        <f>Table15[[#This Row],[اجمالي الفاتوره]]-Table15[[#This Row],[الدفعات]]</f>
        <v>0</v>
      </c>
      <c r="N835" s="27"/>
      <c r="O835" s="27"/>
    </row>
    <row r="836" spans="2:15" ht="29.25" customHeight="1" x14ac:dyDescent="0.3">
      <c r="B836" s="27"/>
      <c r="C836" s="27"/>
      <c r="D836" s="27"/>
      <c r="E836" s="27"/>
      <c r="F836" s="27"/>
      <c r="G836" s="27"/>
      <c r="H836" s="27"/>
      <c r="I836" s="27"/>
      <c r="J836" s="27"/>
      <c r="K836" s="27">
        <f>Table15[[#This Row],[الايصالات]]+Table15[[#This Row],[النولون]]-Table15[[#This Row],[خصم 3%]]</f>
        <v>0</v>
      </c>
      <c r="L836" s="27"/>
      <c r="M836" s="27">
        <f>Table15[[#This Row],[اجمالي الفاتوره]]-Table15[[#This Row],[الدفعات]]</f>
        <v>0</v>
      </c>
      <c r="N836" s="27"/>
      <c r="O836" s="27"/>
    </row>
    <row r="837" spans="2:15" ht="29.25" customHeight="1" x14ac:dyDescent="0.3">
      <c r="B837" s="27"/>
      <c r="C837" s="27"/>
      <c r="D837" s="27"/>
      <c r="E837" s="27"/>
      <c r="F837" s="27"/>
      <c r="G837" s="27"/>
      <c r="H837" s="27"/>
      <c r="I837" s="27"/>
      <c r="J837" s="27"/>
      <c r="K837" s="27">
        <f>Table15[[#This Row],[الايصالات]]+Table15[[#This Row],[النولون]]-Table15[[#This Row],[خصم 3%]]</f>
        <v>0</v>
      </c>
      <c r="L837" s="27"/>
      <c r="M837" s="27">
        <f>Table15[[#This Row],[اجمالي الفاتوره]]-Table15[[#This Row],[الدفعات]]</f>
        <v>0</v>
      </c>
      <c r="N837" s="27"/>
      <c r="O837" s="27"/>
    </row>
    <row r="838" spans="2:15" ht="29.25" customHeight="1" x14ac:dyDescent="0.3">
      <c r="B838" s="27"/>
      <c r="C838" s="27"/>
      <c r="D838" s="27"/>
      <c r="E838" s="27"/>
      <c r="F838" s="27"/>
      <c r="G838" s="27"/>
      <c r="H838" s="27"/>
      <c r="I838" s="27"/>
      <c r="J838" s="27"/>
      <c r="K838" s="27">
        <f>Table15[[#This Row],[الايصالات]]+Table15[[#This Row],[النولون]]-Table15[[#This Row],[خصم 3%]]</f>
        <v>0</v>
      </c>
      <c r="L838" s="27"/>
      <c r="M838" s="27">
        <f>Table15[[#This Row],[اجمالي الفاتوره]]-Table15[[#This Row],[الدفعات]]</f>
        <v>0</v>
      </c>
      <c r="N838" s="27"/>
      <c r="O838" s="27"/>
    </row>
    <row r="839" spans="2:15" ht="29.25" customHeight="1" x14ac:dyDescent="0.3">
      <c r="B839" s="27"/>
      <c r="C839" s="27"/>
      <c r="D839" s="27"/>
      <c r="E839" s="27"/>
      <c r="F839" s="27"/>
      <c r="G839" s="27"/>
      <c r="H839" s="27"/>
      <c r="I839" s="27"/>
      <c r="J839" s="27"/>
      <c r="K839" s="27">
        <f>Table15[[#This Row],[الايصالات]]+Table15[[#This Row],[النولون]]-Table15[[#This Row],[خصم 3%]]</f>
        <v>0</v>
      </c>
      <c r="L839" s="27"/>
      <c r="M839" s="27">
        <f>Table15[[#This Row],[اجمالي الفاتوره]]-Table15[[#This Row],[الدفعات]]</f>
        <v>0</v>
      </c>
      <c r="N839" s="27"/>
      <c r="O839" s="27"/>
    </row>
    <row r="840" spans="2:15" ht="29.25" customHeight="1" x14ac:dyDescent="0.3">
      <c r="B840" s="27"/>
      <c r="C840" s="27"/>
      <c r="D840" s="27"/>
      <c r="E840" s="27"/>
      <c r="F840" s="27"/>
      <c r="G840" s="27"/>
      <c r="H840" s="27"/>
      <c r="I840" s="27"/>
      <c r="J840" s="27"/>
      <c r="K840" s="27">
        <f>Table15[[#This Row],[الايصالات]]+Table15[[#This Row],[النولون]]-Table15[[#This Row],[خصم 3%]]</f>
        <v>0</v>
      </c>
      <c r="L840" s="27"/>
      <c r="M840" s="27">
        <f>Table15[[#This Row],[اجمالي الفاتوره]]-Table15[[#This Row],[الدفعات]]</f>
        <v>0</v>
      </c>
      <c r="N840" s="27"/>
      <c r="O840" s="27"/>
    </row>
    <row r="841" spans="2:15" ht="29.25" customHeight="1" x14ac:dyDescent="0.3">
      <c r="B841" s="27"/>
      <c r="C841" s="27"/>
      <c r="D841" s="27"/>
      <c r="E841" s="27"/>
      <c r="F841" s="27"/>
      <c r="G841" s="27"/>
      <c r="H841" s="27"/>
      <c r="I841" s="27"/>
      <c r="J841" s="27"/>
      <c r="K841" s="27">
        <f>Table15[[#This Row],[الايصالات]]+Table15[[#This Row],[النولون]]-Table15[[#This Row],[خصم 3%]]</f>
        <v>0</v>
      </c>
      <c r="L841" s="27"/>
      <c r="M841" s="27">
        <f>Table15[[#This Row],[اجمالي الفاتوره]]-Table15[[#This Row],[الدفعات]]</f>
        <v>0</v>
      </c>
      <c r="N841" s="27"/>
      <c r="O841" s="27"/>
    </row>
    <row r="842" spans="2:15" ht="29.25" customHeight="1" x14ac:dyDescent="0.3">
      <c r="B842" s="27"/>
      <c r="C842" s="27"/>
      <c r="D842" s="27"/>
      <c r="E842" s="27"/>
      <c r="F842" s="27"/>
      <c r="G842" s="27"/>
      <c r="H842" s="27"/>
      <c r="I842" s="27"/>
      <c r="J842" s="27"/>
      <c r="K842" s="27">
        <f>Table15[[#This Row],[الايصالات]]+Table15[[#This Row],[النولون]]-Table15[[#This Row],[خصم 3%]]</f>
        <v>0</v>
      </c>
      <c r="L842" s="27"/>
      <c r="M842" s="27">
        <f>Table15[[#This Row],[اجمالي الفاتوره]]-Table15[[#This Row],[الدفعات]]</f>
        <v>0</v>
      </c>
      <c r="N842" s="27"/>
      <c r="O842" s="27"/>
    </row>
    <row r="843" spans="2:15" ht="29.25" customHeight="1" x14ac:dyDescent="0.3">
      <c r="B843" s="27"/>
      <c r="C843" s="27"/>
      <c r="D843" s="27"/>
      <c r="E843" s="27"/>
      <c r="F843" s="27"/>
      <c r="G843" s="27"/>
      <c r="H843" s="27"/>
      <c r="I843" s="27"/>
      <c r="J843" s="27"/>
      <c r="K843" s="27">
        <f>Table15[[#This Row],[الايصالات]]+Table15[[#This Row],[النولون]]-Table15[[#This Row],[خصم 3%]]</f>
        <v>0</v>
      </c>
      <c r="L843" s="27"/>
      <c r="M843" s="27">
        <f>Table15[[#This Row],[اجمالي الفاتوره]]-Table15[[#This Row],[الدفعات]]</f>
        <v>0</v>
      </c>
      <c r="N843" s="27"/>
      <c r="O843" s="27"/>
    </row>
    <row r="844" spans="2:15" ht="29.25" customHeight="1" x14ac:dyDescent="0.3">
      <c r="B844" s="27"/>
      <c r="C844" s="27"/>
      <c r="D844" s="27"/>
      <c r="E844" s="27"/>
      <c r="F844" s="27"/>
      <c r="G844" s="27"/>
      <c r="H844" s="27"/>
      <c r="I844" s="27"/>
      <c r="J844" s="27"/>
      <c r="K844" s="27">
        <f>Table15[[#This Row],[الايصالات]]+Table15[[#This Row],[النولون]]-Table15[[#This Row],[خصم 3%]]</f>
        <v>0</v>
      </c>
      <c r="L844" s="27"/>
      <c r="M844" s="27">
        <f>Table15[[#This Row],[اجمالي الفاتوره]]-Table15[[#This Row],[الدفعات]]</f>
        <v>0</v>
      </c>
      <c r="N844" s="27"/>
      <c r="O844" s="27"/>
    </row>
    <row r="845" spans="2:15" ht="29.25" customHeight="1" x14ac:dyDescent="0.3">
      <c r="B845" s="27"/>
      <c r="C845" s="27"/>
      <c r="D845" s="27"/>
      <c r="E845" s="27"/>
      <c r="F845" s="27"/>
      <c r="G845" s="27"/>
      <c r="H845" s="27"/>
      <c r="I845" s="27"/>
      <c r="J845" s="27"/>
      <c r="K845" s="27">
        <f>Table15[[#This Row],[الايصالات]]+Table15[[#This Row],[النولون]]-Table15[[#This Row],[خصم 3%]]</f>
        <v>0</v>
      </c>
      <c r="L845" s="27"/>
      <c r="M845" s="27">
        <f>Table15[[#This Row],[اجمالي الفاتوره]]-Table15[[#This Row],[الدفعات]]</f>
        <v>0</v>
      </c>
      <c r="N845" s="27"/>
      <c r="O845" s="27"/>
    </row>
    <row r="846" spans="2:15" ht="29.25" customHeight="1" x14ac:dyDescent="0.3">
      <c r="B846" s="27"/>
      <c r="C846" s="27"/>
      <c r="D846" s="27"/>
      <c r="E846" s="27"/>
      <c r="F846" s="27"/>
      <c r="G846" s="27"/>
      <c r="H846" s="27"/>
      <c r="I846" s="27"/>
      <c r="J846" s="27"/>
      <c r="K846" s="27">
        <f>Table15[[#This Row],[الايصالات]]+Table15[[#This Row],[النولون]]-Table15[[#This Row],[خصم 3%]]</f>
        <v>0</v>
      </c>
      <c r="L846" s="27"/>
      <c r="M846" s="27">
        <f>Table15[[#This Row],[اجمالي الفاتوره]]-Table15[[#This Row],[الدفعات]]</f>
        <v>0</v>
      </c>
      <c r="N846" s="27"/>
      <c r="O846" s="27"/>
    </row>
    <row r="847" spans="2:15" ht="29.25" customHeight="1" x14ac:dyDescent="0.3">
      <c r="B847" s="27"/>
      <c r="C847" s="27"/>
      <c r="D847" s="27"/>
      <c r="E847" s="27"/>
      <c r="F847" s="27"/>
      <c r="G847" s="27"/>
      <c r="H847" s="27"/>
      <c r="I847" s="27"/>
      <c r="J847" s="27"/>
      <c r="K847" s="27">
        <f>Table15[[#This Row],[الايصالات]]+Table15[[#This Row],[النولون]]-Table15[[#This Row],[خصم 3%]]</f>
        <v>0</v>
      </c>
      <c r="L847" s="27"/>
      <c r="M847" s="27">
        <f>Table15[[#This Row],[اجمالي الفاتوره]]-Table15[[#This Row],[الدفعات]]</f>
        <v>0</v>
      </c>
      <c r="N847" s="27"/>
      <c r="O847" s="27"/>
    </row>
    <row r="848" spans="2:15" ht="29.25" customHeight="1" x14ac:dyDescent="0.3">
      <c r="B848" s="27"/>
      <c r="C848" s="27"/>
      <c r="D848" s="27"/>
      <c r="E848" s="27"/>
      <c r="F848" s="27"/>
      <c r="G848" s="27"/>
      <c r="H848" s="27"/>
      <c r="I848" s="27"/>
      <c r="J848" s="27"/>
      <c r="K848" s="27">
        <f>Table15[[#This Row],[الايصالات]]+Table15[[#This Row],[النولون]]-Table15[[#This Row],[خصم 3%]]</f>
        <v>0</v>
      </c>
      <c r="L848" s="27"/>
      <c r="M848" s="27">
        <f>Table15[[#This Row],[اجمالي الفاتوره]]-Table15[[#This Row],[الدفعات]]</f>
        <v>0</v>
      </c>
      <c r="N848" s="27"/>
      <c r="O848" s="27"/>
    </row>
    <row r="849" spans="2:15" ht="29.25" customHeight="1" x14ac:dyDescent="0.3">
      <c r="B849" s="27"/>
      <c r="C849" s="27"/>
      <c r="D849" s="27"/>
      <c r="E849" s="27"/>
      <c r="F849" s="27"/>
      <c r="G849" s="27"/>
      <c r="H849" s="27"/>
      <c r="I849" s="27"/>
      <c r="J849" s="27"/>
      <c r="K849" s="27">
        <f>Table15[[#This Row],[الايصالات]]+Table15[[#This Row],[النولون]]-Table15[[#This Row],[خصم 3%]]</f>
        <v>0</v>
      </c>
      <c r="L849" s="27"/>
      <c r="M849" s="27">
        <f>Table15[[#This Row],[اجمالي الفاتوره]]-Table15[[#This Row],[الدفعات]]</f>
        <v>0</v>
      </c>
      <c r="N849" s="27"/>
      <c r="O849" s="27"/>
    </row>
    <row r="850" spans="2:15" ht="29.25" customHeight="1" x14ac:dyDescent="0.3">
      <c r="B850" s="27"/>
      <c r="C850" s="27"/>
      <c r="D850" s="27"/>
      <c r="E850" s="27"/>
      <c r="F850" s="27"/>
      <c r="G850" s="27"/>
      <c r="H850" s="27"/>
      <c r="I850" s="27"/>
      <c r="J850" s="27"/>
      <c r="K850" s="27">
        <f>Table15[[#This Row],[الايصالات]]+Table15[[#This Row],[النولون]]-Table15[[#This Row],[خصم 3%]]</f>
        <v>0</v>
      </c>
      <c r="L850" s="27"/>
      <c r="M850" s="27">
        <f>Table15[[#This Row],[اجمالي الفاتوره]]-Table15[[#This Row],[الدفعات]]</f>
        <v>0</v>
      </c>
      <c r="N850" s="27"/>
      <c r="O850" s="27"/>
    </row>
    <row r="851" spans="2:15" ht="29.25" customHeight="1" x14ac:dyDescent="0.3">
      <c r="B851" s="27"/>
      <c r="C851" s="27"/>
      <c r="D851" s="27"/>
      <c r="E851" s="27"/>
      <c r="F851" s="27"/>
      <c r="G851" s="27"/>
      <c r="H851" s="27"/>
      <c r="I851" s="27"/>
      <c r="J851" s="27"/>
      <c r="K851" s="27">
        <f>Table15[[#This Row],[الايصالات]]+Table15[[#This Row],[النولون]]-Table15[[#This Row],[خصم 3%]]</f>
        <v>0</v>
      </c>
      <c r="L851" s="27"/>
      <c r="M851" s="27">
        <f>Table15[[#This Row],[اجمالي الفاتوره]]-Table15[[#This Row],[الدفعات]]</f>
        <v>0</v>
      </c>
      <c r="N851" s="27"/>
      <c r="O851" s="27"/>
    </row>
    <row r="852" spans="2:15" ht="29.25" customHeight="1" x14ac:dyDescent="0.3">
      <c r="B852" s="27"/>
      <c r="C852" s="27"/>
      <c r="D852" s="27"/>
      <c r="E852" s="27"/>
      <c r="F852" s="27"/>
      <c r="G852" s="27"/>
      <c r="H852" s="27"/>
      <c r="I852" s="27"/>
      <c r="J852" s="27"/>
      <c r="K852" s="27">
        <f>Table15[[#This Row],[الايصالات]]+Table15[[#This Row],[النولون]]-Table15[[#This Row],[خصم 3%]]</f>
        <v>0</v>
      </c>
      <c r="L852" s="27"/>
      <c r="M852" s="27">
        <f>Table15[[#This Row],[اجمالي الفاتوره]]-Table15[[#This Row],[الدفعات]]</f>
        <v>0</v>
      </c>
      <c r="N852" s="27"/>
      <c r="O852" s="27"/>
    </row>
    <row r="853" spans="2:15" ht="29.25" customHeight="1" x14ac:dyDescent="0.3">
      <c r="B853" s="27"/>
      <c r="C853" s="27"/>
      <c r="D853" s="27"/>
      <c r="E853" s="27"/>
      <c r="F853" s="27"/>
      <c r="G853" s="27"/>
      <c r="H853" s="27"/>
      <c r="I853" s="27"/>
      <c r="J853" s="27"/>
      <c r="K853" s="27">
        <f>Table15[[#This Row],[الايصالات]]+Table15[[#This Row],[النولون]]-Table15[[#This Row],[خصم 3%]]</f>
        <v>0</v>
      </c>
      <c r="L853" s="27"/>
      <c r="M853" s="27">
        <f>Table15[[#This Row],[اجمالي الفاتوره]]-Table15[[#This Row],[الدفعات]]</f>
        <v>0</v>
      </c>
      <c r="N853" s="27"/>
      <c r="O853" s="27"/>
    </row>
    <row r="854" spans="2:15" ht="29.25" customHeight="1" x14ac:dyDescent="0.3">
      <c r="B854" s="27"/>
      <c r="C854" s="27"/>
      <c r="D854" s="27"/>
      <c r="E854" s="27"/>
      <c r="F854" s="27"/>
      <c r="G854" s="27"/>
      <c r="H854" s="27"/>
      <c r="I854" s="27"/>
      <c r="J854" s="27"/>
      <c r="K854" s="27">
        <f>Table15[[#This Row],[الايصالات]]+Table15[[#This Row],[النولون]]-Table15[[#This Row],[خصم 3%]]</f>
        <v>0</v>
      </c>
      <c r="L854" s="27"/>
      <c r="M854" s="27">
        <f>Table15[[#This Row],[اجمالي الفاتوره]]-Table15[[#This Row],[الدفعات]]</f>
        <v>0</v>
      </c>
      <c r="N854" s="27"/>
      <c r="O854" s="27"/>
    </row>
    <row r="855" spans="2:15" ht="29.25" customHeight="1" x14ac:dyDescent="0.3">
      <c r="B855" s="27"/>
      <c r="C855" s="27"/>
      <c r="D855" s="27"/>
      <c r="E855" s="27"/>
      <c r="F855" s="27"/>
      <c r="G855" s="27"/>
      <c r="H855" s="27"/>
      <c r="I855" s="27"/>
      <c r="J855" s="27"/>
      <c r="K855" s="27">
        <f>Table15[[#This Row],[الايصالات]]+Table15[[#This Row],[النولون]]-Table15[[#This Row],[خصم 3%]]</f>
        <v>0</v>
      </c>
      <c r="L855" s="27"/>
      <c r="M855" s="27">
        <f>Table15[[#This Row],[اجمالي الفاتوره]]-Table15[[#This Row],[الدفعات]]</f>
        <v>0</v>
      </c>
      <c r="N855" s="27"/>
      <c r="O855" s="27"/>
    </row>
    <row r="856" spans="2:15" ht="29.25" customHeight="1" x14ac:dyDescent="0.3">
      <c r="B856" s="27"/>
      <c r="C856" s="27"/>
      <c r="D856" s="27"/>
      <c r="E856" s="27"/>
      <c r="F856" s="27"/>
      <c r="G856" s="27"/>
      <c r="H856" s="27"/>
      <c r="I856" s="27"/>
      <c r="J856" s="27"/>
      <c r="K856" s="27">
        <f>Table15[[#This Row],[الايصالات]]+Table15[[#This Row],[النولون]]-Table15[[#This Row],[خصم 3%]]</f>
        <v>0</v>
      </c>
      <c r="L856" s="27"/>
      <c r="M856" s="27">
        <f>Table15[[#This Row],[اجمالي الفاتوره]]-Table15[[#This Row],[الدفعات]]</f>
        <v>0</v>
      </c>
      <c r="N856" s="27"/>
      <c r="O856" s="27"/>
    </row>
    <row r="857" spans="2:15" ht="29.25" customHeight="1" x14ac:dyDescent="0.3">
      <c r="B857" s="27"/>
      <c r="C857" s="27"/>
      <c r="D857" s="27"/>
      <c r="E857" s="27"/>
      <c r="F857" s="27"/>
      <c r="G857" s="27"/>
      <c r="H857" s="27"/>
      <c r="I857" s="27"/>
      <c r="J857" s="27"/>
      <c r="K857" s="27">
        <f>Table15[[#This Row],[الايصالات]]+Table15[[#This Row],[النولون]]-Table15[[#This Row],[خصم 3%]]</f>
        <v>0</v>
      </c>
      <c r="L857" s="27"/>
      <c r="M857" s="27">
        <f>Table15[[#This Row],[اجمالي الفاتوره]]-Table15[[#This Row],[الدفعات]]</f>
        <v>0</v>
      </c>
      <c r="N857" s="27"/>
      <c r="O857" s="27"/>
    </row>
    <row r="858" spans="2:15" ht="29.25" customHeight="1" x14ac:dyDescent="0.3">
      <c r="B858" s="27"/>
      <c r="C858" s="27"/>
      <c r="D858" s="27"/>
      <c r="E858" s="27"/>
      <c r="F858" s="27"/>
      <c r="G858" s="27"/>
      <c r="H858" s="27"/>
      <c r="I858" s="27"/>
      <c r="J858" s="27"/>
      <c r="K858" s="27">
        <f>Table15[[#This Row],[الايصالات]]+Table15[[#This Row],[النولون]]-Table15[[#This Row],[خصم 3%]]</f>
        <v>0</v>
      </c>
      <c r="L858" s="27"/>
      <c r="M858" s="27">
        <f>Table15[[#This Row],[اجمالي الفاتوره]]-Table15[[#This Row],[الدفعات]]</f>
        <v>0</v>
      </c>
      <c r="N858" s="27"/>
      <c r="O858" s="27"/>
    </row>
    <row r="859" spans="2:15" ht="29.25" customHeight="1" x14ac:dyDescent="0.3">
      <c r="B859" s="27"/>
      <c r="C859" s="27"/>
      <c r="D859" s="27"/>
      <c r="E859" s="27"/>
      <c r="F859" s="27"/>
      <c r="G859" s="27"/>
      <c r="H859" s="27"/>
      <c r="I859" s="27"/>
      <c r="J859" s="27"/>
      <c r="K859" s="27">
        <f>Table15[[#This Row],[الايصالات]]+Table15[[#This Row],[النولون]]-Table15[[#This Row],[خصم 3%]]</f>
        <v>0</v>
      </c>
      <c r="L859" s="27"/>
      <c r="M859" s="27">
        <f>Table15[[#This Row],[اجمالي الفاتوره]]-Table15[[#This Row],[الدفعات]]</f>
        <v>0</v>
      </c>
      <c r="N859" s="27"/>
      <c r="O859" s="27"/>
    </row>
    <row r="860" spans="2:15" ht="29.25" customHeight="1" x14ac:dyDescent="0.3">
      <c r="B860" s="27"/>
      <c r="C860" s="27"/>
      <c r="D860" s="27"/>
      <c r="E860" s="27"/>
      <c r="F860" s="27"/>
      <c r="G860" s="27"/>
      <c r="H860" s="27"/>
      <c r="I860" s="27"/>
      <c r="J860" s="27"/>
      <c r="K860" s="27">
        <f>Table15[[#This Row],[الايصالات]]+Table15[[#This Row],[النولون]]-Table15[[#This Row],[خصم 3%]]</f>
        <v>0</v>
      </c>
      <c r="L860" s="27"/>
      <c r="M860" s="27">
        <f>Table15[[#This Row],[اجمالي الفاتوره]]-Table15[[#This Row],[الدفعات]]</f>
        <v>0</v>
      </c>
      <c r="N860" s="27"/>
      <c r="O860" s="27"/>
    </row>
    <row r="861" spans="2:15" ht="29.25" customHeight="1" x14ac:dyDescent="0.3">
      <c r="B861" s="27"/>
      <c r="C861" s="27"/>
      <c r="D861" s="27"/>
      <c r="E861" s="27"/>
      <c r="F861" s="27"/>
      <c r="G861" s="27"/>
      <c r="H861" s="27"/>
      <c r="I861" s="27"/>
      <c r="J861" s="27"/>
      <c r="K861" s="27">
        <f>Table15[[#This Row],[الايصالات]]+Table15[[#This Row],[النولون]]-Table15[[#This Row],[خصم 3%]]</f>
        <v>0</v>
      </c>
      <c r="L861" s="27"/>
      <c r="M861" s="27">
        <f>Table15[[#This Row],[اجمالي الفاتوره]]-Table15[[#This Row],[الدفعات]]</f>
        <v>0</v>
      </c>
      <c r="N861" s="27"/>
      <c r="O861" s="27"/>
    </row>
    <row r="862" spans="2:15" ht="29.25" customHeight="1" x14ac:dyDescent="0.3">
      <c r="B862" s="27"/>
      <c r="C862" s="27"/>
      <c r="D862" s="27"/>
      <c r="E862" s="27"/>
      <c r="F862" s="27"/>
      <c r="G862" s="27"/>
      <c r="H862" s="27"/>
      <c r="I862" s="27"/>
      <c r="J862" s="27"/>
      <c r="K862" s="27">
        <f>Table15[[#This Row],[الايصالات]]+Table15[[#This Row],[النولون]]-Table15[[#This Row],[خصم 3%]]</f>
        <v>0</v>
      </c>
      <c r="L862" s="27"/>
      <c r="M862" s="27">
        <f>Table15[[#This Row],[اجمالي الفاتوره]]-Table15[[#This Row],[الدفعات]]</f>
        <v>0</v>
      </c>
      <c r="N862" s="27"/>
      <c r="O862" s="27"/>
    </row>
    <row r="863" spans="2:15" ht="29.25" customHeight="1" x14ac:dyDescent="0.3">
      <c r="B863" s="27"/>
      <c r="C863" s="27"/>
      <c r="D863" s="27"/>
      <c r="E863" s="27"/>
      <c r="F863" s="27"/>
      <c r="G863" s="27"/>
      <c r="H863" s="27"/>
      <c r="I863" s="27"/>
      <c r="J863" s="27"/>
      <c r="K863" s="27">
        <f>Table15[[#This Row],[الايصالات]]+Table15[[#This Row],[النولون]]-Table15[[#This Row],[خصم 3%]]</f>
        <v>0</v>
      </c>
      <c r="L863" s="27"/>
      <c r="M863" s="27">
        <f>Table15[[#This Row],[اجمالي الفاتوره]]-Table15[[#This Row],[الدفعات]]</f>
        <v>0</v>
      </c>
      <c r="N863" s="27"/>
      <c r="O863" s="27"/>
    </row>
    <row r="864" spans="2:15" ht="29.25" customHeight="1" x14ac:dyDescent="0.3">
      <c r="B864" s="27"/>
      <c r="C864" s="27"/>
      <c r="D864" s="27"/>
      <c r="E864" s="27"/>
      <c r="F864" s="27"/>
      <c r="G864" s="27"/>
      <c r="H864" s="27"/>
      <c r="I864" s="27"/>
      <c r="J864" s="27"/>
      <c r="K864" s="27">
        <f>Table15[[#This Row],[الايصالات]]+Table15[[#This Row],[النولون]]-Table15[[#This Row],[خصم 3%]]</f>
        <v>0</v>
      </c>
      <c r="L864" s="27"/>
      <c r="M864" s="27">
        <f>Table15[[#This Row],[اجمالي الفاتوره]]-Table15[[#This Row],[الدفعات]]</f>
        <v>0</v>
      </c>
      <c r="N864" s="27"/>
      <c r="O864" s="27"/>
    </row>
    <row r="865" spans="2:15" ht="29.25" customHeight="1" x14ac:dyDescent="0.3">
      <c r="B865" s="27"/>
      <c r="C865" s="27"/>
      <c r="D865" s="27"/>
      <c r="E865" s="27"/>
      <c r="F865" s="27"/>
      <c r="G865" s="27"/>
      <c r="H865" s="27"/>
      <c r="I865" s="27"/>
      <c r="J865" s="27"/>
      <c r="K865" s="27">
        <f>Table15[[#This Row],[الايصالات]]+Table15[[#This Row],[النولون]]-Table15[[#This Row],[خصم 3%]]</f>
        <v>0</v>
      </c>
      <c r="L865" s="27"/>
      <c r="M865" s="27">
        <f>Table15[[#This Row],[اجمالي الفاتوره]]-Table15[[#This Row],[الدفعات]]</f>
        <v>0</v>
      </c>
      <c r="N865" s="27"/>
      <c r="O865" s="27"/>
    </row>
    <row r="866" spans="2:15" ht="29.25" customHeight="1" x14ac:dyDescent="0.3">
      <c r="B866" s="27"/>
      <c r="C866" s="27"/>
      <c r="D866" s="27"/>
      <c r="E866" s="27"/>
      <c r="F866" s="27"/>
      <c r="G866" s="27"/>
      <c r="H866" s="27"/>
      <c r="I866" s="27"/>
      <c r="J866" s="27"/>
      <c r="K866" s="27">
        <f>Table15[[#This Row],[الايصالات]]+Table15[[#This Row],[النولون]]-Table15[[#This Row],[خصم 3%]]</f>
        <v>0</v>
      </c>
      <c r="L866" s="27"/>
      <c r="M866" s="27">
        <f>Table15[[#This Row],[اجمالي الفاتوره]]-Table15[[#This Row],[الدفعات]]</f>
        <v>0</v>
      </c>
      <c r="N866" s="27"/>
      <c r="O866" s="27"/>
    </row>
    <row r="867" spans="2:15" ht="29.25" customHeight="1" x14ac:dyDescent="0.3">
      <c r="B867" s="27"/>
      <c r="C867" s="27"/>
      <c r="D867" s="27"/>
      <c r="E867" s="27"/>
      <c r="F867" s="27"/>
      <c r="G867" s="27"/>
      <c r="H867" s="27"/>
      <c r="I867" s="27"/>
      <c r="J867" s="27"/>
      <c r="K867" s="27">
        <f>Table15[[#This Row],[الايصالات]]+Table15[[#This Row],[النولون]]-Table15[[#This Row],[خصم 3%]]</f>
        <v>0</v>
      </c>
      <c r="L867" s="27"/>
      <c r="M867" s="27">
        <f>Table15[[#This Row],[اجمالي الفاتوره]]-Table15[[#This Row],[الدفعات]]</f>
        <v>0</v>
      </c>
      <c r="N867" s="27"/>
      <c r="O867" s="27"/>
    </row>
    <row r="868" spans="2:15" ht="29.25" customHeight="1" x14ac:dyDescent="0.3">
      <c r="B868" s="27"/>
      <c r="C868" s="27"/>
      <c r="D868" s="27"/>
      <c r="E868" s="27"/>
      <c r="F868" s="27"/>
      <c r="G868" s="27"/>
      <c r="H868" s="27"/>
      <c r="I868" s="27"/>
      <c r="J868" s="27"/>
      <c r="K868" s="27">
        <f>Table15[[#This Row],[الايصالات]]+Table15[[#This Row],[النولون]]-Table15[[#This Row],[خصم 3%]]</f>
        <v>0</v>
      </c>
      <c r="L868" s="27"/>
      <c r="M868" s="27">
        <f>Table15[[#This Row],[اجمالي الفاتوره]]-Table15[[#This Row],[الدفعات]]</f>
        <v>0</v>
      </c>
      <c r="N868" s="27"/>
      <c r="O868" s="27"/>
    </row>
    <row r="869" spans="2:15" ht="29.25" customHeight="1" x14ac:dyDescent="0.3">
      <c r="B869" s="27"/>
      <c r="C869" s="27"/>
      <c r="D869" s="27"/>
      <c r="E869" s="27"/>
      <c r="F869" s="27"/>
      <c r="G869" s="27"/>
      <c r="H869" s="27"/>
      <c r="I869" s="27"/>
      <c r="J869" s="27"/>
      <c r="K869" s="27">
        <f>Table15[[#This Row],[الايصالات]]+Table15[[#This Row],[النولون]]-Table15[[#This Row],[خصم 3%]]</f>
        <v>0</v>
      </c>
      <c r="L869" s="27"/>
      <c r="M869" s="27">
        <f>Table15[[#This Row],[اجمالي الفاتوره]]-Table15[[#This Row],[الدفعات]]</f>
        <v>0</v>
      </c>
      <c r="N869" s="27"/>
      <c r="O869" s="27"/>
    </row>
    <row r="870" spans="2:15" ht="29.25" customHeight="1" x14ac:dyDescent="0.3">
      <c r="B870" s="27"/>
      <c r="C870" s="27"/>
      <c r="D870" s="27"/>
      <c r="E870" s="27"/>
      <c r="F870" s="27"/>
      <c r="G870" s="27"/>
      <c r="H870" s="27"/>
      <c r="I870" s="27"/>
      <c r="J870" s="27"/>
      <c r="K870" s="27">
        <f>Table15[[#This Row],[الايصالات]]+Table15[[#This Row],[النولون]]-Table15[[#This Row],[خصم 3%]]</f>
        <v>0</v>
      </c>
      <c r="L870" s="27"/>
      <c r="M870" s="27">
        <f>Table15[[#This Row],[اجمالي الفاتوره]]-Table15[[#This Row],[الدفعات]]</f>
        <v>0</v>
      </c>
      <c r="N870" s="27"/>
      <c r="O870" s="27"/>
    </row>
    <row r="871" spans="2:15" ht="29.25" customHeight="1" x14ac:dyDescent="0.3">
      <c r="B871" s="27"/>
      <c r="C871" s="27"/>
      <c r="D871" s="27"/>
      <c r="E871" s="27"/>
      <c r="F871" s="27"/>
      <c r="G871" s="27"/>
      <c r="H871" s="27"/>
      <c r="I871" s="27"/>
      <c r="J871" s="27"/>
      <c r="K871" s="27">
        <f>Table15[[#This Row],[الايصالات]]+Table15[[#This Row],[النولون]]-Table15[[#This Row],[خصم 3%]]</f>
        <v>0</v>
      </c>
      <c r="L871" s="27"/>
      <c r="M871" s="27">
        <f>Table15[[#This Row],[اجمالي الفاتوره]]-Table15[[#This Row],[الدفعات]]</f>
        <v>0</v>
      </c>
      <c r="N871" s="27"/>
      <c r="O871" s="27"/>
    </row>
    <row r="872" spans="2:15" ht="29.25" customHeight="1" x14ac:dyDescent="0.3">
      <c r="B872" s="27"/>
      <c r="C872" s="27"/>
      <c r="D872" s="27"/>
      <c r="E872" s="27"/>
      <c r="F872" s="27"/>
      <c r="G872" s="27"/>
      <c r="H872" s="27"/>
      <c r="I872" s="27"/>
      <c r="J872" s="27"/>
      <c r="K872" s="27">
        <f>Table15[[#This Row],[الايصالات]]+Table15[[#This Row],[النولون]]-Table15[[#This Row],[خصم 3%]]</f>
        <v>0</v>
      </c>
      <c r="L872" s="27"/>
      <c r="M872" s="27">
        <f>Table15[[#This Row],[اجمالي الفاتوره]]-Table15[[#This Row],[الدفعات]]</f>
        <v>0</v>
      </c>
      <c r="N872" s="27"/>
      <c r="O872" s="27"/>
    </row>
    <row r="873" spans="2:15" ht="29.25" customHeight="1" x14ac:dyDescent="0.3">
      <c r="B873" s="27"/>
      <c r="C873" s="27"/>
      <c r="D873" s="27"/>
      <c r="E873" s="27"/>
      <c r="F873" s="27"/>
      <c r="G873" s="27"/>
      <c r="H873" s="27"/>
      <c r="I873" s="27"/>
      <c r="J873" s="27"/>
      <c r="K873" s="27">
        <f>Table15[[#This Row],[الايصالات]]+Table15[[#This Row],[النولون]]-Table15[[#This Row],[خصم 3%]]</f>
        <v>0</v>
      </c>
      <c r="L873" s="27"/>
      <c r="M873" s="27">
        <f>Table15[[#This Row],[اجمالي الفاتوره]]-Table15[[#This Row],[الدفعات]]</f>
        <v>0</v>
      </c>
      <c r="N873" s="27"/>
      <c r="O873" s="27"/>
    </row>
    <row r="874" spans="2:15" ht="29.25" customHeight="1" x14ac:dyDescent="0.3">
      <c r="B874" s="27"/>
      <c r="C874" s="27"/>
      <c r="D874" s="27"/>
      <c r="E874" s="27"/>
      <c r="F874" s="27"/>
      <c r="G874" s="27"/>
      <c r="H874" s="27"/>
      <c r="I874" s="27"/>
      <c r="J874" s="27"/>
      <c r="K874" s="27">
        <f>Table15[[#This Row],[الايصالات]]+Table15[[#This Row],[النولون]]-Table15[[#This Row],[خصم 3%]]</f>
        <v>0</v>
      </c>
      <c r="L874" s="27"/>
      <c r="M874" s="27">
        <f>Table15[[#This Row],[اجمالي الفاتوره]]-Table15[[#This Row],[الدفعات]]</f>
        <v>0</v>
      </c>
      <c r="N874" s="27"/>
      <c r="O874" s="27"/>
    </row>
    <row r="875" spans="2:15" ht="29.25" customHeight="1" x14ac:dyDescent="0.3">
      <c r="B875" s="27"/>
      <c r="C875" s="27"/>
      <c r="D875" s="27"/>
      <c r="E875" s="27"/>
      <c r="F875" s="27"/>
      <c r="G875" s="27"/>
      <c r="H875" s="27"/>
      <c r="I875" s="27"/>
      <c r="J875" s="27"/>
      <c r="K875" s="27">
        <f>Table15[[#This Row],[الايصالات]]+Table15[[#This Row],[النولون]]-Table15[[#This Row],[خصم 3%]]</f>
        <v>0</v>
      </c>
      <c r="L875" s="27"/>
      <c r="M875" s="27">
        <f>Table15[[#This Row],[اجمالي الفاتوره]]-Table15[[#This Row],[الدفعات]]</f>
        <v>0</v>
      </c>
      <c r="N875" s="27"/>
      <c r="O875" s="27"/>
    </row>
    <row r="876" spans="2:15" ht="29.25" customHeight="1" x14ac:dyDescent="0.3">
      <c r="B876" s="27"/>
      <c r="C876" s="27"/>
      <c r="D876" s="27"/>
      <c r="E876" s="27"/>
      <c r="F876" s="27"/>
      <c r="G876" s="27"/>
      <c r="H876" s="27"/>
      <c r="I876" s="27"/>
      <c r="J876" s="27"/>
      <c r="K876" s="27">
        <f>Table15[[#This Row],[الايصالات]]+Table15[[#This Row],[النولون]]-Table15[[#This Row],[خصم 3%]]</f>
        <v>0</v>
      </c>
      <c r="L876" s="27"/>
      <c r="M876" s="27">
        <f>Table15[[#This Row],[اجمالي الفاتوره]]-Table15[[#This Row],[الدفعات]]</f>
        <v>0</v>
      </c>
      <c r="N876" s="27"/>
      <c r="O876" s="27"/>
    </row>
    <row r="877" spans="2:15" ht="29.25" customHeight="1" x14ac:dyDescent="0.3">
      <c r="B877" s="27"/>
      <c r="C877" s="27"/>
      <c r="D877" s="27"/>
      <c r="E877" s="27"/>
      <c r="F877" s="27"/>
      <c r="G877" s="27"/>
      <c r="H877" s="27"/>
      <c r="I877" s="27"/>
      <c r="J877" s="27"/>
      <c r="K877" s="27">
        <f>Table15[[#This Row],[الايصالات]]+Table15[[#This Row],[النولون]]-Table15[[#This Row],[خصم 3%]]</f>
        <v>0</v>
      </c>
      <c r="L877" s="27"/>
      <c r="M877" s="27">
        <f>Table15[[#This Row],[اجمالي الفاتوره]]-Table15[[#This Row],[الدفعات]]</f>
        <v>0</v>
      </c>
      <c r="N877" s="27"/>
      <c r="O877" s="27"/>
    </row>
    <row r="878" spans="2:15" ht="29.25" customHeight="1" x14ac:dyDescent="0.3">
      <c r="B878" s="27"/>
      <c r="C878" s="27"/>
      <c r="D878" s="27"/>
      <c r="E878" s="27"/>
      <c r="F878" s="27"/>
      <c r="G878" s="27"/>
      <c r="H878" s="27"/>
      <c r="I878" s="27"/>
      <c r="J878" s="27"/>
      <c r="K878" s="27">
        <f>Table15[[#This Row],[الايصالات]]+Table15[[#This Row],[النولون]]-Table15[[#This Row],[خصم 3%]]</f>
        <v>0</v>
      </c>
      <c r="L878" s="27"/>
      <c r="M878" s="27">
        <f>Table15[[#This Row],[اجمالي الفاتوره]]-Table15[[#This Row],[الدفعات]]</f>
        <v>0</v>
      </c>
      <c r="N878" s="27"/>
      <c r="O878" s="27"/>
    </row>
    <row r="879" spans="2:15" ht="29.25" customHeight="1" x14ac:dyDescent="0.3">
      <c r="B879" s="27"/>
      <c r="C879" s="27"/>
      <c r="D879" s="27"/>
      <c r="E879" s="27"/>
      <c r="F879" s="27"/>
      <c r="G879" s="27"/>
      <c r="H879" s="27"/>
      <c r="I879" s="27"/>
      <c r="J879" s="27"/>
      <c r="K879" s="27">
        <f>Table15[[#This Row],[الايصالات]]+Table15[[#This Row],[النولون]]-Table15[[#This Row],[خصم 3%]]</f>
        <v>0</v>
      </c>
      <c r="L879" s="27"/>
      <c r="M879" s="27">
        <f>Table15[[#This Row],[اجمالي الفاتوره]]-Table15[[#This Row],[الدفعات]]</f>
        <v>0</v>
      </c>
      <c r="N879" s="27"/>
      <c r="O879" s="27"/>
    </row>
    <row r="880" spans="2:15" ht="29.25" customHeight="1" x14ac:dyDescent="0.3">
      <c r="B880" s="27"/>
      <c r="C880" s="27"/>
      <c r="D880" s="27"/>
      <c r="E880" s="27"/>
      <c r="F880" s="27"/>
      <c r="G880" s="27"/>
      <c r="H880" s="27"/>
      <c r="I880" s="27"/>
      <c r="J880" s="27"/>
      <c r="K880" s="27">
        <f>Table15[[#This Row],[الايصالات]]+Table15[[#This Row],[النولون]]-Table15[[#This Row],[خصم 3%]]</f>
        <v>0</v>
      </c>
      <c r="L880" s="27"/>
      <c r="M880" s="27">
        <f>Table15[[#This Row],[اجمالي الفاتوره]]-Table15[[#This Row],[الدفعات]]</f>
        <v>0</v>
      </c>
      <c r="N880" s="27"/>
      <c r="O880" s="27"/>
    </row>
    <row r="881" spans="2:15" ht="29.25" customHeight="1" x14ac:dyDescent="0.3">
      <c r="B881" s="27"/>
      <c r="C881" s="27"/>
      <c r="D881" s="27"/>
      <c r="E881" s="27"/>
      <c r="F881" s="27"/>
      <c r="G881" s="27"/>
      <c r="H881" s="27"/>
      <c r="I881" s="27"/>
      <c r="J881" s="27"/>
      <c r="K881" s="27">
        <f>Table15[[#This Row],[الايصالات]]+Table15[[#This Row],[النولون]]-Table15[[#This Row],[خصم 3%]]</f>
        <v>0</v>
      </c>
      <c r="L881" s="27"/>
      <c r="M881" s="27">
        <f>Table15[[#This Row],[اجمالي الفاتوره]]-Table15[[#This Row],[الدفعات]]</f>
        <v>0</v>
      </c>
      <c r="N881" s="27"/>
      <c r="O881" s="27"/>
    </row>
    <row r="882" spans="2:15" ht="29.25" customHeight="1" x14ac:dyDescent="0.3">
      <c r="B882" s="27"/>
      <c r="C882" s="27"/>
      <c r="D882" s="27"/>
      <c r="E882" s="27"/>
      <c r="F882" s="27"/>
      <c r="G882" s="27"/>
      <c r="H882" s="27"/>
      <c r="I882" s="27"/>
      <c r="J882" s="27"/>
      <c r="K882" s="27">
        <f>Table15[[#This Row],[الايصالات]]+Table15[[#This Row],[النولون]]-Table15[[#This Row],[خصم 3%]]</f>
        <v>0</v>
      </c>
      <c r="L882" s="27"/>
      <c r="M882" s="27">
        <f>Table15[[#This Row],[اجمالي الفاتوره]]-Table15[[#This Row],[الدفعات]]</f>
        <v>0</v>
      </c>
      <c r="N882" s="27"/>
      <c r="O882" s="27"/>
    </row>
    <row r="883" spans="2:15" ht="29.25" customHeight="1" x14ac:dyDescent="0.3">
      <c r="B883" s="27"/>
      <c r="C883" s="27"/>
      <c r="D883" s="27"/>
      <c r="E883" s="27"/>
      <c r="F883" s="27"/>
      <c r="G883" s="27"/>
      <c r="H883" s="27"/>
      <c r="I883" s="27"/>
      <c r="J883" s="27"/>
      <c r="K883" s="27">
        <f>Table15[[#This Row],[الايصالات]]+Table15[[#This Row],[النولون]]-Table15[[#This Row],[خصم 3%]]</f>
        <v>0</v>
      </c>
      <c r="L883" s="27"/>
      <c r="M883" s="27">
        <f>Table15[[#This Row],[اجمالي الفاتوره]]-Table15[[#This Row],[الدفعات]]</f>
        <v>0</v>
      </c>
      <c r="N883" s="27"/>
      <c r="O883" s="27"/>
    </row>
    <row r="884" spans="2:15" ht="29.25" customHeight="1" x14ac:dyDescent="0.3">
      <c r="B884" s="27"/>
      <c r="C884" s="27"/>
      <c r="D884" s="27"/>
      <c r="E884" s="27"/>
      <c r="F884" s="27"/>
      <c r="G884" s="27"/>
      <c r="H884" s="27"/>
      <c r="I884" s="27"/>
      <c r="J884" s="27"/>
      <c r="K884" s="27">
        <f>Table15[[#This Row],[الايصالات]]+Table15[[#This Row],[النولون]]-Table15[[#This Row],[خصم 3%]]</f>
        <v>0</v>
      </c>
      <c r="L884" s="27"/>
      <c r="M884" s="27">
        <f>Table15[[#This Row],[اجمالي الفاتوره]]-Table15[[#This Row],[الدفعات]]</f>
        <v>0</v>
      </c>
      <c r="N884" s="27"/>
      <c r="O884" s="27"/>
    </row>
    <row r="885" spans="2:15" ht="29.25" customHeight="1" x14ac:dyDescent="0.3">
      <c r="B885" s="27"/>
      <c r="C885" s="27"/>
      <c r="D885" s="27"/>
      <c r="E885" s="27"/>
      <c r="F885" s="27"/>
      <c r="G885" s="27"/>
      <c r="H885" s="27"/>
      <c r="I885" s="27"/>
      <c r="J885" s="27"/>
      <c r="K885" s="27">
        <f>Table15[[#This Row],[الايصالات]]+Table15[[#This Row],[النولون]]-Table15[[#This Row],[خصم 3%]]</f>
        <v>0</v>
      </c>
      <c r="L885" s="27"/>
      <c r="M885" s="27">
        <f>Table15[[#This Row],[اجمالي الفاتوره]]-Table15[[#This Row],[الدفعات]]</f>
        <v>0</v>
      </c>
      <c r="N885" s="27"/>
      <c r="O885" s="27"/>
    </row>
    <row r="886" spans="2:15" ht="29.25" customHeight="1" x14ac:dyDescent="0.3">
      <c r="B886" s="27"/>
      <c r="C886" s="27"/>
      <c r="D886" s="27"/>
      <c r="E886" s="27"/>
      <c r="F886" s="27"/>
      <c r="G886" s="27"/>
      <c r="H886" s="27"/>
      <c r="I886" s="27"/>
      <c r="J886" s="27"/>
      <c r="K886" s="27">
        <f>Table15[[#This Row],[الايصالات]]+Table15[[#This Row],[النولون]]-Table15[[#This Row],[خصم 3%]]</f>
        <v>0</v>
      </c>
      <c r="L886" s="27"/>
      <c r="M886" s="27">
        <f>Table15[[#This Row],[اجمالي الفاتوره]]-Table15[[#This Row],[الدفعات]]</f>
        <v>0</v>
      </c>
      <c r="N886" s="27"/>
      <c r="O886" s="27"/>
    </row>
    <row r="887" spans="2:15" ht="29.25" customHeight="1" x14ac:dyDescent="0.3">
      <c r="B887" s="27"/>
      <c r="C887" s="27"/>
      <c r="D887" s="27"/>
      <c r="E887" s="27"/>
      <c r="F887" s="27"/>
      <c r="G887" s="27"/>
      <c r="H887" s="27"/>
      <c r="I887" s="27"/>
      <c r="J887" s="27"/>
      <c r="K887" s="27">
        <f>Table15[[#This Row],[الايصالات]]+Table15[[#This Row],[النولون]]-Table15[[#This Row],[خصم 3%]]</f>
        <v>0</v>
      </c>
      <c r="L887" s="27"/>
      <c r="M887" s="27">
        <f>Table15[[#This Row],[اجمالي الفاتوره]]-Table15[[#This Row],[الدفعات]]</f>
        <v>0</v>
      </c>
      <c r="N887" s="27"/>
      <c r="O887" s="27"/>
    </row>
    <row r="888" spans="2:15" ht="29.25" customHeight="1" x14ac:dyDescent="0.3">
      <c r="B888" s="27"/>
      <c r="C888" s="27"/>
      <c r="D888" s="27"/>
      <c r="E888" s="27"/>
      <c r="F888" s="27"/>
      <c r="G888" s="27"/>
      <c r="H888" s="27"/>
      <c r="I888" s="27"/>
      <c r="J888" s="27"/>
      <c r="K888" s="27">
        <f>Table15[[#This Row],[الايصالات]]+Table15[[#This Row],[النولون]]-Table15[[#This Row],[خصم 3%]]</f>
        <v>0</v>
      </c>
      <c r="L888" s="27"/>
      <c r="M888" s="27">
        <f>Table15[[#This Row],[اجمالي الفاتوره]]-Table15[[#This Row],[الدفعات]]</f>
        <v>0</v>
      </c>
      <c r="N888" s="27"/>
      <c r="O888" s="27"/>
    </row>
    <row r="889" spans="2:15" ht="29.25" customHeight="1" x14ac:dyDescent="0.3">
      <c r="B889" s="27"/>
      <c r="C889" s="27"/>
      <c r="D889" s="27"/>
      <c r="E889" s="27"/>
      <c r="F889" s="27"/>
      <c r="G889" s="27"/>
      <c r="H889" s="27"/>
      <c r="I889" s="27"/>
      <c r="J889" s="27"/>
      <c r="K889" s="27">
        <f>Table15[[#This Row],[الايصالات]]+Table15[[#This Row],[النولون]]-Table15[[#This Row],[خصم 3%]]</f>
        <v>0</v>
      </c>
      <c r="L889" s="27"/>
      <c r="M889" s="27">
        <f>Table15[[#This Row],[اجمالي الفاتوره]]-Table15[[#This Row],[الدفعات]]</f>
        <v>0</v>
      </c>
      <c r="N889" s="27"/>
      <c r="O889" s="27"/>
    </row>
    <row r="890" spans="2:15" ht="29.25" customHeight="1" x14ac:dyDescent="0.3">
      <c r="B890" s="27"/>
      <c r="C890" s="27"/>
      <c r="D890" s="27"/>
      <c r="E890" s="27"/>
      <c r="F890" s="27"/>
      <c r="G890" s="27"/>
      <c r="H890" s="27"/>
      <c r="I890" s="27"/>
      <c r="J890" s="27"/>
      <c r="K890" s="27">
        <f>Table15[[#This Row],[الايصالات]]+Table15[[#This Row],[النولون]]-Table15[[#This Row],[خصم 3%]]</f>
        <v>0</v>
      </c>
      <c r="L890" s="27"/>
      <c r="M890" s="27">
        <f>Table15[[#This Row],[اجمالي الفاتوره]]-Table15[[#This Row],[الدفعات]]</f>
        <v>0</v>
      </c>
      <c r="N890" s="27"/>
      <c r="O890" s="27"/>
    </row>
    <row r="891" spans="2:15" ht="29.25" customHeight="1" x14ac:dyDescent="0.3">
      <c r="B891" s="27"/>
      <c r="C891" s="27"/>
      <c r="D891" s="27"/>
      <c r="E891" s="27"/>
      <c r="F891" s="27"/>
      <c r="G891" s="27"/>
      <c r="H891" s="27"/>
      <c r="I891" s="27"/>
      <c r="J891" s="27"/>
      <c r="K891" s="27">
        <f>Table15[[#This Row],[الايصالات]]+Table15[[#This Row],[النولون]]-Table15[[#This Row],[خصم 3%]]</f>
        <v>0</v>
      </c>
      <c r="L891" s="27"/>
      <c r="M891" s="27">
        <f>Table15[[#This Row],[اجمالي الفاتوره]]-Table15[[#This Row],[الدفعات]]</f>
        <v>0</v>
      </c>
      <c r="N891" s="27"/>
      <c r="O891" s="27"/>
    </row>
    <row r="892" spans="2:15" ht="29.25" customHeight="1" x14ac:dyDescent="0.3">
      <c r="B892" s="27"/>
      <c r="C892" s="27"/>
      <c r="D892" s="27"/>
      <c r="E892" s="27"/>
      <c r="F892" s="27"/>
      <c r="G892" s="27"/>
      <c r="H892" s="27"/>
      <c r="I892" s="27"/>
      <c r="J892" s="27"/>
      <c r="K892" s="27">
        <f>Table15[[#This Row],[الايصالات]]+Table15[[#This Row],[النولون]]-Table15[[#This Row],[خصم 3%]]</f>
        <v>0</v>
      </c>
      <c r="L892" s="27"/>
      <c r="M892" s="27">
        <f>Table15[[#This Row],[اجمالي الفاتوره]]-Table15[[#This Row],[الدفعات]]</f>
        <v>0</v>
      </c>
      <c r="N892" s="27"/>
      <c r="O892" s="27"/>
    </row>
    <row r="893" spans="2:15" ht="29.25" customHeight="1" x14ac:dyDescent="0.3">
      <c r="B893" s="27"/>
      <c r="C893" s="27"/>
      <c r="D893" s="27"/>
      <c r="E893" s="27"/>
      <c r="F893" s="27"/>
      <c r="G893" s="27"/>
      <c r="H893" s="27"/>
      <c r="I893" s="27"/>
      <c r="J893" s="27"/>
      <c r="K893" s="27">
        <f>Table15[[#This Row],[الايصالات]]+Table15[[#This Row],[النولون]]-Table15[[#This Row],[خصم 3%]]</f>
        <v>0</v>
      </c>
      <c r="L893" s="27"/>
      <c r="M893" s="27">
        <f>Table15[[#This Row],[اجمالي الفاتوره]]-Table15[[#This Row],[الدفعات]]</f>
        <v>0</v>
      </c>
      <c r="N893" s="27"/>
      <c r="O893" s="27"/>
    </row>
    <row r="894" spans="2:15" ht="29.25" customHeight="1" x14ac:dyDescent="0.3">
      <c r="B894" s="27"/>
      <c r="C894" s="27"/>
      <c r="D894" s="27"/>
      <c r="E894" s="27"/>
      <c r="F894" s="27"/>
      <c r="G894" s="27"/>
      <c r="H894" s="27"/>
      <c r="I894" s="27"/>
      <c r="J894" s="27"/>
      <c r="K894" s="27">
        <f>Table15[[#This Row],[الايصالات]]+Table15[[#This Row],[النولون]]-Table15[[#This Row],[خصم 3%]]</f>
        <v>0</v>
      </c>
      <c r="L894" s="27"/>
      <c r="M894" s="27">
        <f>Table15[[#This Row],[اجمالي الفاتوره]]-Table15[[#This Row],[الدفعات]]</f>
        <v>0</v>
      </c>
      <c r="N894" s="27"/>
      <c r="O894" s="27"/>
    </row>
    <row r="895" spans="2:15" ht="29.25" customHeight="1" x14ac:dyDescent="0.3">
      <c r="B895" s="27"/>
      <c r="C895" s="27"/>
      <c r="D895" s="27"/>
      <c r="E895" s="27"/>
      <c r="F895" s="27"/>
      <c r="G895" s="27"/>
      <c r="H895" s="27"/>
      <c r="I895" s="27"/>
      <c r="J895" s="27"/>
      <c r="K895" s="27">
        <f>Table15[[#This Row],[الايصالات]]+Table15[[#This Row],[النولون]]-Table15[[#This Row],[خصم 3%]]</f>
        <v>0</v>
      </c>
      <c r="L895" s="27"/>
      <c r="M895" s="27">
        <f>Table15[[#This Row],[اجمالي الفاتوره]]-Table15[[#This Row],[الدفعات]]</f>
        <v>0</v>
      </c>
      <c r="N895" s="27"/>
      <c r="O895" s="27"/>
    </row>
    <row r="896" spans="2:15" ht="29.25" customHeight="1" x14ac:dyDescent="0.3">
      <c r="B896" s="27"/>
      <c r="C896" s="27"/>
      <c r="D896" s="27"/>
      <c r="E896" s="27"/>
      <c r="F896" s="27"/>
      <c r="G896" s="27"/>
      <c r="H896" s="27"/>
      <c r="I896" s="27"/>
      <c r="J896" s="27"/>
      <c r="K896" s="27">
        <f>Table15[[#This Row],[الايصالات]]+Table15[[#This Row],[النولون]]-Table15[[#This Row],[خصم 3%]]</f>
        <v>0</v>
      </c>
      <c r="L896" s="27"/>
      <c r="M896" s="27">
        <f>Table15[[#This Row],[اجمالي الفاتوره]]-Table15[[#This Row],[الدفعات]]</f>
        <v>0</v>
      </c>
      <c r="N896" s="27"/>
      <c r="O896" s="27"/>
    </row>
    <row r="897" spans="2:15" ht="29.25" customHeight="1" x14ac:dyDescent="0.3">
      <c r="B897" s="27"/>
      <c r="C897" s="27"/>
      <c r="D897" s="27"/>
      <c r="E897" s="27"/>
      <c r="F897" s="27"/>
      <c r="G897" s="27"/>
      <c r="H897" s="27"/>
      <c r="I897" s="27"/>
      <c r="J897" s="27"/>
      <c r="K897" s="27">
        <f>Table15[[#This Row],[الايصالات]]+Table15[[#This Row],[النولون]]-Table15[[#This Row],[خصم 3%]]</f>
        <v>0</v>
      </c>
      <c r="L897" s="27"/>
      <c r="M897" s="27">
        <f>Table15[[#This Row],[اجمالي الفاتوره]]-Table15[[#This Row],[الدفعات]]</f>
        <v>0</v>
      </c>
      <c r="N897" s="27"/>
      <c r="O897" s="27"/>
    </row>
    <row r="898" spans="2:15" ht="29.25" customHeight="1" x14ac:dyDescent="0.3">
      <c r="B898" s="27"/>
      <c r="C898" s="27"/>
      <c r="D898" s="27"/>
      <c r="E898" s="27"/>
      <c r="F898" s="27"/>
      <c r="G898" s="27"/>
      <c r="H898" s="27"/>
      <c r="I898" s="27"/>
      <c r="J898" s="27"/>
      <c r="K898" s="27">
        <f>Table15[[#This Row],[الايصالات]]+Table15[[#This Row],[النولون]]-Table15[[#This Row],[خصم 3%]]</f>
        <v>0</v>
      </c>
      <c r="L898" s="27"/>
      <c r="M898" s="27">
        <f>Table15[[#This Row],[اجمالي الفاتوره]]-Table15[[#This Row],[الدفعات]]</f>
        <v>0</v>
      </c>
      <c r="N898" s="27"/>
      <c r="O898" s="27"/>
    </row>
    <row r="899" spans="2:15" ht="29.25" customHeight="1" x14ac:dyDescent="0.3">
      <c r="B899" s="27"/>
      <c r="C899" s="27"/>
      <c r="D899" s="27"/>
      <c r="E899" s="27"/>
      <c r="F899" s="27"/>
      <c r="G899" s="27"/>
      <c r="H899" s="27"/>
      <c r="I899" s="27"/>
      <c r="J899" s="27"/>
      <c r="K899" s="27">
        <f>Table15[[#This Row],[الايصالات]]+Table15[[#This Row],[النولون]]-Table15[[#This Row],[خصم 3%]]</f>
        <v>0</v>
      </c>
      <c r="L899" s="27"/>
      <c r="M899" s="27">
        <f>Table15[[#This Row],[اجمالي الفاتوره]]-Table15[[#This Row],[الدفعات]]</f>
        <v>0</v>
      </c>
      <c r="N899" s="27"/>
      <c r="O899" s="27"/>
    </row>
    <row r="900" spans="2:15" ht="29.25" customHeight="1" x14ac:dyDescent="0.3">
      <c r="B900" s="27"/>
      <c r="C900" s="27"/>
      <c r="D900" s="27"/>
      <c r="E900" s="27"/>
      <c r="F900" s="27"/>
      <c r="G900" s="27"/>
      <c r="H900" s="27"/>
      <c r="I900" s="27"/>
      <c r="J900" s="27"/>
      <c r="K900" s="27">
        <f>Table15[[#This Row],[الايصالات]]+Table15[[#This Row],[النولون]]-Table15[[#This Row],[خصم 3%]]</f>
        <v>0</v>
      </c>
      <c r="L900" s="27"/>
      <c r="M900" s="27">
        <f>Table15[[#This Row],[اجمالي الفاتوره]]-Table15[[#This Row],[الدفعات]]</f>
        <v>0</v>
      </c>
      <c r="N900" s="27"/>
      <c r="O900" s="27"/>
    </row>
    <row r="901" spans="2:15" ht="29.25" customHeight="1" x14ac:dyDescent="0.3">
      <c r="B901" s="27"/>
      <c r="C901" s="27"/>
      <c r="D901" s="27"/>
      <c r="E901" s="27"/>
      <c r="F901" s="27"/>
      <c r="G901" s="27"/>
      <c r="H901" s="27"/>
      <c r="I901" s="27"/>
      <c r="J901" s="27"/>
      <c r="K901" s="27">
        <f>Table15[[#This Row],[الايصالات]]+Table15[[#This Row],[النولون]]-Table15[[#This Row],[خصم 3%]]</f>
        <v>0</v>
      </c>
      <c r="L901" s="27"/>
      <c r="M901" s="27">
        <f>Table15[[#This Row],[اجمالي الفاتوره]]-Table15[[#This Row],[الدفعات]]</f>
        <v>0</v>
      </c>
      <c r="N901" s="27"/>
      <c r="O901" s="27"/>
    </row>
    <row r="902" spans="2:15" ht="29.25" customHeight="1" x14ac:dyDescent="0.3">
      <c r="B902" s="27"/>
      <c r="C902" s="27"/>
      <c r="D902" s="27"/>
      <c r="E902" s="27"/>
      <c r="F902" s="27"/>
      <c r="G902" s="27"/>
      <c r="H902" s="27"/>
      <c r="I902" s="27"/>
      <c r="J902" s="27"/>
      <c r="K902" s="27">
        <f>Table15[[#This Row],[الايصالات]]+Table15[[#This Row],[النولون]]-Table15[[#This Row],[خصم 3%]]</f>
        <v>0</v>
      </c>
      <c r="L902" s="27"/>
      <c r="M902" s="27">
        <f>Table15[[#This Row],[اجمالي الفاتوره]]-Table15[[#This Row],[الدفعات]]</f>
        <v>0</v>
      </c>
      <c r="N902" s="27"/>
      <c r="O902" s="27"/>
    </row>
    <row r="903" spans="2:15" ht="29.25" customHeight="1" x14ac:dyDescent="0.3">
      <c r="B903" s="27"/>
      <c r="C903" s="27"/>
      <c r="D903" s="27"/>
      <c r="E903" s="27"/>
      <c r="F903" s="27"/>
      <c r="G903" s="27"/>
      <c r="H903" s="27"/>
      <c r="I903" s="27"/>
      <c r="J903" s="27"/>
      <c r="K903" s="27">
        <f>Table15[[#This Row],[الايصالات]]+Table15[[#This Row],[النولون]]-Table15[[#This Row],[خصم 3%]]</f>
        <v>0</v>
      </c>
      <c r="L903" s="27"/>
      <c r="M903" s="27">
        <f>Table15[[#This Row],[اجمالي الفاتوره]]-Table15[[#This Row],[الدفعات]]</f>
        <v>0</v>
      </c>
      <c r="N903" s="27"/>
      <c r="O903" s="27"/>
    </row>
    <row r="904" spans="2:15" ht="29.25" customHeight="1" x14ac:dyDescent="0.3">
      <c r="B904" s="27"/>
      <c r="C904" s="27"/>
      <c r="D904" s="27"/>
      <c r="E904" s="27"/>
      <c r="F904" s="27"/>
      <c r="G904" s="27"/>
      <c r="H904" s="27"/>
      <c r="I904" s="27"/>
      <c r="J904" s="27"/>
      <c r="K904" s="27">
        <f>Table15[[#This Row],[الايصالات]]+Table15[[#This Row],[النولون]]-Table15[[#This Row],[خصم 3%]]</f>
        <v>0</v>
      </c>
      <c r="L904" s="27"/>
      <c r="M904" s="27">
        <f>Table15[[#This Row],[اجمالي الفاتوره]]-Table15[[#This Row],[الدفعات]]</f>
        <v>0</v>
      </c>
      <c r="N904" s="27"/>
      <c r="O904" s="27"/>
    </row>
    <row r="905" spans="2:15" ht="29.25" customHeight="1" x14ac:dyDescent="0.3">
      <c r="B905" s="27"/>
      <c r="C905" s="27"/>
      <c r="D905" s="27"/>
      <c r="E905" s="27"/>
      <c r="F905" s="27"/>
      <c r="G905" s="27"/>
      <c r="H905" s="27"/>
      <c r="I905" s="27"/>
      <c r="J905" s="27"/>
      <c r="K905" s="27">
        <f>Table15[[#This Row],[الايصالات]]+Table15[[#This Row],[النولون]]-Table15[[#This Row],[خصم 3%]]</f>
        <v>0</v>
      </c>
      <c r="L905" s="27"/>
      <c r="M905" s="27">
        <f>Table15[[#This Row],[اجمالي الفاتوره]]-Table15[[#This Row],[الدفعات]]</f>
        <v>0</v>
      </c>
      <c r="N905" s="27"/>
      <c r="O905" s="27"/>
    </row>
    <row r="906" spans="2:15" ht="29.25" customHeight="1" x14ac:dyDescent="0.3">
      <c r="B906" s="27"/>
      <c r="C906" s="27"/>
      <c r="D906" s="27"/>
      <c r="E906" s="27"/>
      <c r="F906" s="27"/>
      <c r="G906" s="27"/>
      <c r="H906" s="27"/>
      <c r="I906" s="27"/>
      <c r="J906" s="27"/>
      <c r="K906" s="27">
        <f>Table15[[#This Row],[الايصالات]]+Table15[[#This Row],[النولون]]-Table15[[#This Row],[خصم 3%]]</f>
        <v>0</v>
      </c>
      <c r="L906" s="27"/>
      <c r="M906" s="27">
        <f>Table15[[#This Row],[اجمالي الفاتوره]]-Table15[[#This Row],[الدفعات]]</f>
        <v>0</v>
      </c>
      <c r="N906" s="27"/>
      <c r="O906" s="27"/>
    </row>
    <row r="907" spans="2:15" ht="29.25" customHeight="1" x14ac:dyDescent="0.3">
      <c r="B907" s="27"/>
      <c r="C907" s="27"/>
      <c r="D907" s="27"/>
      <c r="E907" s="27"/>
      <c r="F907" s="27"/>
      <c r="G907" s="27"/>
      <c r="H907" s="27"/>
      <c r="I907" s="27"/>
      <c r="J907" s="27"/>
      <c r="K907" s="27">
        <f>Table15[[#This Row],[الايصالات]]+Table15[[#This Row],[النولون]]-Table15[[#This Row],[خصم 3%]]</f>
        <v>0</v>
      </c>
      <c r="L907" s="27"/>
      <c r="M907" s="27">
        <f>Table15[[#This Row],[اجمالي الفاتوره]]-Table15[[#This Row],[الدفعات]]</f>
        <v>0</v>
      </c>
      <c r="N907" s="27"/>
      <c r="O907" s="27"/>
    </row>
    <row r="908" spans="2:15" ht="29.25" customHeight="1" x14ac:dyDescent="0.3">
      <c r="B908" s="27"/>
      <c r="C908" s="27"/>
      <c r="D908" s="27"/>
      <c r="E908" s="27"/>
      <c r="F908" s="27"/>
      <c r="G908" s="27"/>
      <c r="H908" s="27"/>
      <c r="I908" s="27"/>
      <c r="J908" s="27"/>
      <c r="K908" s="27">
        <f>Table15[[#This Row],[الايصالات]]+Table15[[#This Row],[النولون]]-Table15[[#This Row],[خصم 3%]]</f>
        <v>0</v>
      </c>
      <c r="L908" s="27"/>
      <c r="M908" s="27">
        <f>Table15[[#This Row],[اجمالي الفاتوره]]-Table15[[#This Row],[الدفعات]]</f>
        <v>0</v>
      </c>
      <c r="N908" s="27"/>
      <c r="O908" s="27"/>
    </row>
    <row r="909" spans="2:15" ht="29.25" customHeight="1" x14ac:dyDescent="0.3">
      <c r="B909" s="27"/>
      <c r="C909" s="27"/>
      <c r="D909" s="27"/>
      <c r="E909" s="27"/>
      <c r="F909" s="27"/>
      <c r="G909" s="27"/>
      <c r="H909" s="27"/>
      <c r="I909" s="27"/>
      <c r="J909" s="27"/>
      <c r="K909" s="27">
        <f>Table15[[#This Row],[الايصالات]]+Table15[[#This Row],[النولون]]-Table15[[#This Row],[خصم 3%]]</f>
        <v>0</v>
      </c>
      <c r="L909" s="27"/>
      <c r="M909" s="27">
        <f>Table15[[#This Row],[اجمالي الفاتوره]]-Table15[[#This Row],[الدفعات]]</f>
        <v>0</v>
      </c>
      <c r="N909" s="27"/>
      <c r="O909" s="27"/>
    </row>
    <row r="910" spans="2:15" ht="29.25" customHeight="1" x14ac:dyDescent="0.3">
      <c r="B910" s="27"/>
      <c r="C910" s="27"/>
      <c r="D910" s="27"/>
      <c r="E910" s="27"/>
      <c r="F910" s="27"/>
      <c r="G910" s="27"/>
      <c r="H910" s="27"/>
      <c r="I910" s="27"/>
      <c r="J910" s="27"/>
      <c r="K910" s="27">
        <f>Table15[[#This Row],[الايصالات]]+Table15[[#This Row],[النولون]]-Table15[[#This Row],[خصم 3%]]</f>
        <v>0</v>
      </c>
      <c r="L910" s="27"/>
      <c r="M910" s="27">
        <f>Table15[[#This Row],[اجمالي الفاتوره]]-Table15[[#This Row],[الدفعات]]</f>
        <v>0</v>
      </c>
      <c r="N910" s="27"/>
      <c r="O910" s="27"/>
    </row>
    <row r="911" spans="2:15" ht="29.25" customHeight="1" x14ac:dyDescent="0.3">
      <c r="B911" s="27"/>
      <c r="C911" s="27"/>
      <c r="D911" s="27"/>
      <c r="E911" s="27"/>
      <c r="F911" s="27"/>
      <c r="G911" s="27"/>
      <c r="H911" s="27"/>
      <c r="I911" s="27"/>
      <c r="J911" s="27"/>
      <c r="K911" s="27">
        <f>Table15[[#This Row],[الايصالات]]+Table15[[#This Row],[النولون]]-Table15[[#This Row],[خصم 3%]]</f>
        <v>0</v>
      </c>
      <c r="L911" s="27"/>
      <c r="M911" s="27">
        <f>Table15[[#This Row],[اجمالي الفاتوره]]-Table15[[#This Row],[الدفعات]]</f>
        <v>0</v>
      </c>
      <c r="N911" s="27"/>
      <c r="O911" s="27"/>
    </row>
    <row r="912" spans="2:15" ht="29.25" customHeight="1" x14ac:dyDescent="0.3">
      <c r="B912" s="27"/>
      <c r="C912" s="27"/>
      <c r="D912" s="27"/>
      <c r="E912" s="27"/>
      <c r="F912" s="27"/>
      <c r="G912" s="27"/>
      <c r="H912" s="27"/>
      <c r="I912" s="27"/>
      <c r="J912" s="27"/>
      <c r="K912" s="27">
        <f>Table15[[#This Row],[الايصالات]]+Table15[[#This Row],[النولون]]-Table15[[#This Row],[خصم 3%]]</f>
        <v>0</v>
      </c>
      <c r="L912" s="27"/>
      <c r="M912" s="27">
        <f>Table15[[#This Row],[اجمالي الفاتوره]]-Table15[[#This Row],[الدفعات]]</f>
        <v>0</v>
      </c>
      <c r="N912" s="27"/>
      <c r="O912" s="27"/>
    </row>
    <row r="913" spans="2:15" ht="29.25" customHeight="1" x14ac:dyDescent="0.3">
      <c r="B913" s="27"/>
      <c r="C913" s="27"/>
      <c r="D913" s="27"/>
      <c r="E913" s="27"/>
      <c r="F913" s="27"/>
      <c r="G913" s="27"/>
      <c r="H913" s="27"/>
      <c r="I913" s="27"/>
      <c r="J913" s="27"/>
      <c r="K913" s="27">
        <f>Table15[[#This Row],[الايصالات]]+Table15[[#This Row],[النولون]]-Table15[[#This Row],[خصم 3%]]</f>
        <v>0</v>
      </c>
      <c r="L913" s="27"/>
      <c r="M913" s="27">
        <f>Table15[[#This Row],[اجمالي الفاتوره]]-Table15[[#This Row],[الدفعات]]</f>
        <v>0</v>
      </c>
      <c r="N913" s="27"/>
      <c r="O913" s="27"/>
    </row>
    <row r="914" spans="2:15" ht="29.25" customHeight="1" x14ac:dyDescent="0.3">
      <c r="B914" s="27"/>
      <c r="C914" s="27"/>
      <c r="D914" s="27"/>
      <c r="E914" s="27"/>
      <c r="F914" s="27"/>
      <c r="G914" s="27"/>
      <c r="H914" s="27"/>
      <c r="I914" s="27"/>
      <c r="J914" s="27"/>
      <c r="K914" s="27">
        <f>Table15[[#This Row],[الايصالات]]+Table15[[#This Row],[النولون]]-Table15[[#This Row],[خصم 3%]]</f>
        <v>0</v>
      </c>
      <c r="L914" s="27"/>
      <c r="M914" s="27">
        <f>Table15[[#This Row],[اجمالي الفاتوره]]-Table15[[#This Row],[الدفعات]]</f>
        <v>0</v>
      </c>
      <c r="N914" s="27"/>
      <c r="O914" s="27"/>
    </row>
    <row r="915" spans="2:15" ht="29.25" customHeight="1" x14ac:dyDescent="0.3">
      <c r="B915" s="27"/>
      <c r="C915" s="27"/>
      <c r="D915" s="27"/>
      <c r="E915" s="27"/>
      <c r="F915" s="27"/>
      <c r="G915" s="27"/>
      <c r="H915" s="27"/>
      <c r="I915" s="27"/>
      <c r="J915" s="27"/>
      <c r="K915" s="27">
        <f>Table15[[#This Row],[الايصالات]]+Table15[[#This Row],[النولون]]-Table15[[#This Row],[خصم 3%]]</f>
        <v>0</v>
      </c>
      <c r="L915" s="27"/>
      <c r="M915" s="27">
        <f>Table15[[#This Row],[اجمالي الفاتوره]]-Table15[[#This Row],[الدفعات]]</f>
        <v>0</v>
      </c>
      <c r="N915" s="27"/>
      <c r="O915" s="27"/>
    </row>
    <row r="916" spans="2:15" ht="29.25" customHeight="1" x14ac:dyDescent="0.3">
      <c r="B916" s="27"/>
      <c r="C916" s="27"/>
      <c r="D916" s="27"/>
      <c r="E916" s="27"/>
      <c r="F916" s="27"/>
      <c r="G916" s="27"/>
      <c r="H916" s="27"/>
      <c r="I916" s="27"/>
      <c r="J916" s="27"/>
      <c r="K916" s="27">
        <f>Table15[[#This Row],[الايصالات]]+Table15[[#This Row],[النولون]]-Table15[[#This Row],[خصم 3%]]</f>
        <v>0</v>
      </c>
      <c r="L916" s="27"/>
      <c r="M916" s="27">
        <f>Table15[[#This Row],[اجمالي الفاتوره]]-Table15[[#This Row],[الدفعات]]</f>
        <v>0</v>
      </c>
      <c r="N916" s="27"/>
      <c r="O916" s="27"/>
    </row>
    <row r="917" spans="2:15" ht="29.25" customHeight="1" x14ac:dyDescent="0.3">
      <c r="B917" s="27"/>
      <c r="C917" s="27"/>
      <c r="D917" s="27"/>
      <c r="E917" s="27"/>
      <c r="F917" s="27"/>
      <c r="G917" s="27"/>
      <c r="H917" s="27"/>
      <c r="I917" s="27"/>
      <c r="J917" s="27"/>
      <c r="K917" s="27">
        <f>Table15[[#This Row],[الايصالات]]+Table15[[#This Row],[النولون]]-Table15[[#This Row],[خصم 3%]]</f>
        <v>0</v>
      </c>
      <c r="L917" s="27"/>
      <c r="M917" s="27">
        <f>Table15[[#This Row],[اجمالي الفاتوره]]-Table15[[#This Row],[الدفعات]]</f>
        <v>0</v>
      </c>
      <c r="N917" s="27"/>
      <c r="O917" s="27"/>
    </row>
    <row r="918" spans="2:15" ht="29.25" customHeight="1" x14ac:dyDescent="0.3">
      <c r="B918" s="27"/>
      <c r="C918" s="27"/>
      <c r="D918" s="27"/>
      <c r="E918" s="27"/>
      <c r="F918" s="27"/>
      <c r="G918" s="27"/>
      <c r="H918" s="27"/>
      <c r="I918" s="27"/>
      <c r="J918" s="27"/>
      <c r="K918" s="27">
        <f>Table15[[#This Row],[الايصالات]]+Table15[[#This Row],[النولون]]-Table15[[#This Row],[خصم 3%]]</f>
        <v>0</v>
      </c>
      <c r="L918" s="27"/>
      <c r="M918" s="27">
        <f>Table15[[#This Row],[اجمالي الفاتوره]]-Table15[[#This Row],[الدفعات]]</f>
        <v>0</v>
      </c>
      <c r="N918" s="27"/>
      <c r="O918" s="27"/>
    </row>
    <row r="919" spans="2:15" ht="29.25" customHeight="1" x14ac:dyDescent="0.3">
      <c r="B919" s="27"/>
      <c r="C919" s="27"/>
      <c r="D919" s="27"/>
      <c r="E919" s="27"/>
      <c r="F919" s="27"/>
      <c r="G919" s="27"/>
      <c r="H919" s="27"/>
      <c r="I919" s="27"/>
      <c r="J919" s="27"/>
      <c r="K919" s="27">
        <f>Table15[[#This Row],[الايصالات]]+Table15[[#This Row],[النولون]]-Table15[[#This Row],[خصم 3%]]</f>
        <v>0</v>
      </c>
      <c r="L919" s="27"/>
      <c r="M919" s="27">
        <f>Table15[[#This Row],[اجمالي الفاتوره]]-Table15[[#This Row],[الدفعات]]</f>
        <v>0</v>
      </c>
      <c r="N919" s="27"/>
      <c r="O919" s="27"/>
    </row>
    <row r="920" spans="2:15" ht="29.25" customHeight="1" x14ac:dyDescent="0.3">
      <c r="B920" s="27"/>
      <c r="C920" s="27"/>
      <c r="D920" s="27"/>
      <c r="E920" s="27"/>
      <c r="F920" s="27"/>
      <c r="G920" s="27"/>
      <c r="H920" s="27"/>
      <c r="I920" s="27"/>
      <c r="J920" s="27"/>
      <c r="K920" s="27">
        <f>Table15[[#This Row],[الايصالات]]+Table15[[#This Row],[النولون]]-Table15[[#This Row],[خصم 3%]]</f>
        <v>0</v>
      </c>
      <c r="L920" s="27"/>
      <c r="M920" s="27">
        <f>Table15[[#This Row],[اجمالي الفاتوره]]-Table15[[#This Row],[الدفعات]]</f>
        <v>0</v>
      </c>
      <c r="N920" s="27"/>
      <c r="O920" s="27"/>
    </row>
    <row r="921" spans="2:15" ht="29.25" customHeight="1" x14ac:dyDescent="0.3">
      <c r="B921" s="27"/>
      <c r="C921" s="27"/>
      <c r="D921" s="27"/>
      <c r="E921" s="27"/>
      <c r="F921" s="27"/>
      <c r="G921" s="27"/>
      <c r="H921" s="27"/>
      <c r="I921" s="27"/>
      <c r="J921" s="27"/>
      <c r="K921" s="27">
        <f>Table15[[#This Row],[الايصالات]]+Table15[[#This Row],[النولون]]-Table15[[#This Row],[خصم 3%]]</f>
        <v>0</v>
      </c>
      <c r="L921" s="27"/>
      <c r="M921" s="27">
        <f>Table15[[#This Row],[اجمالي الفاتوره]]-Table15[[#This Row],[الدفعات]]</f>
        <v>0</v>
      </c>
      <c r="N921" s="27"/>
      <c r="O921" s="27"/>
    </row>
    <row r="922" spans="2:15" ht="29.25" customHeight="1" x14ac:dyDescent="0.3">
      <c r="B922" s="27"/>
      <c r="C922" s="27"/>
      <c r="D922" s="27"/>
      <c r="E922" s="27"/>
      <c r="F922" s="27"/>
      <c r="G922" s="27"/>
      <c r="H922" s="27"/>
      <c r="I922" s="27"/>
      <c r="J922" s="27"/>
      <c r="K922" s="27">
        <f>Table15[[#This Row],[الايصالات]]+Table15[[#This Row],[النولون]]-Table15[[#This Row],[خصم 3%]]</f>
        <v>0</v>
      </c>
      <c r="L922" s="27"/>
      <c r="M922" s="27">
        <f>Table15[[#This Row],[اجمالي الفاتوره]]-Table15[[#This Row],[الدفعات]]</f>
        <v>0</v>
      </c>
      <c r="N922" s="27"/>
      <c r="O922" s="27"/>
    </row>
    <row r="923" spans="2:15" ht="29.25" customHeight="1" x14ac:dyDescent="0.3">
      <c r="B923" s="27"/>
      <c r="C923" s="27"/>
      <c r="D923" s="27"/>
      <c r="E923" s="27"/>
      <c r="F923" s="27"/>
      <c r="G923" s="27"/>
      <c r="H923" s="27"/>
      <c r="I923" s="27"/>
      <c r="J923" s="27"/>
      <c r="K923" s="27">
        <f>Table15[[#This Row],[الايصالات]]+Table15[[#This Row],[النولون]]-Table15[[#This Row],[خصم 3%]]</f>
        <v>0</v>
      </c>
      <c r="L923" s="27"/>
      <c r="M923" s="27">
        <f>Table15[[#This Row],[اجمالي الفاتوره]]-Table15[[#This Row],[الدفعات]]</f>
        <v>0</v>
      </c>
      <c r="N923" s="27"/>
      <c r="O923" s="27"/>
    </row>
    <row r="924" spans="2:15" ht="29.25" customHeight="1" x14ac:dyDescent="0.3">
      <c r="B924" s="27"/>
      <c r="C924" s="27"/>
      <c r="D924" s="27"/>
      <c r="E924" s="27"/>
      <c r="F924" s="27"/>
      <c r="G924" s="27"/>
      <c r="H924" s="27"/>
      <c r="I924" s="27"/>
      <c r="J924" s="27"/>
      <c r="K924" s="27">
        <f>Table15[[#This Row],[الايصالات]]+Table15[[#This Row],[النولون]]-Table15[[#This Row],[خصم 3%]]</f>
        <v>0</v>
      </c>
      <c r="L924" s="27"/>
      <c r="M924" s="27">
        <f>Table15[[#This Row],[اجمالي الفاتوره]]-Table15[[#This Row],[الدفعات]]</f>
        <v>0</v>
      </c>
      <c r="N924" s="27"/>
      <c r="O924" s="27"/>
    </row>
    <row r="925" spans="2:15" ht="29.25" customHeight="1" x14ac:dyDescent="0.3">
      <c r="B925" s="27"/>
      <c r="C925" s="27"/>
      <c r="D925" s="27"/>
      <c r="E925" s="27"/>
      <c r="F925" s="27"/>
      <c r="G925" s="27"/>
      <c r="H925" s="27"/>
      <c r="I925" s="27"/>
      <c r="J925" s="27"/>
      <c r="K925" s="27">
        <f>Table15[[#This Row],[الايصالات]]+Table15[[#This Row],[النولون]]-Table15[[#This Row],[خصم 3%]]</f>
        <v>0</v>
      </c>
      <c r="L925" s="27"/>
      <c r="M925" s="27">
        <f>Table15[[#This Row],[اجمالي الفاتوره]]-Table15[[#This Row],[الدفعات]]</f>
        <v>0</v>
      </c>
      <c r="N925" s="27"/>
      <c r="O925" s="27"/>
    </row>
    <row r="926" spans="2:15" ht="29.25" customHeight="1" x14ac:dyDescent="0.3">
      <c r="B926" s="27"/>
      <c r="C926" s="27"/>
      <c r="D926" s="27"/>
      <c r="E926" s="27"/>
      <c r="F926" s="27"/>
      <c r="G926" s="27"/>
      <c r="H926" s="27"/>
      <c r="I926" s="27"/>
      <c r="J926" s="27"/>
      <c r="K926" s="27">
        <f>Table15[[#This Row],[الايصالات]]+Table15[[#This Row],[النولون]]-Table15[[#This Row],[خصم 3%]]</f>
        <v>0</v>
      </c>
      <c r="L926" s="27"/>
      <c r="M926" s="27">
        <f>Table15[[#This Row],[اجمالي الفاتوره]]-Table15[[#This Row],[الدفعات]]</f>
        <v>0</v>
      </c>
      <c r="N926" s="27"/>
      <c r="O926" s="27"/>
    </row>
    <row r="927" spans="2:15" ht="29.25" customHeight="1" x14ac:dyDescent="0.3">
      <c r="B927" s="27"/>
      <c r="C927" s="27"/>
      <c r="D927" s="27"/>
      <c r="E927" s="27"/>
      <c r="F927" s="27"/>
      <c r="G927" s="27"/>
      <c r="H927" s="27"/>
      <c r="I927" s="27"/>
      <c r="J927" s="27"/>
      <c r="K927" s="27">
        <f>Table15[[#This Row],[الايصالات]]+Table15[[#This Row],[النولون]]-Table15[[#This Row],[خصم 3%]]</f>
        <v>0</v>
      </c>
      <c r="L927" s="27"/>
      <c r="M927" s="27">
        <f>Table15[[#This Row],[اجمالي الفاتوره]]-Table15[[#This Row],[الدفعات]]</f>
        <v>0</v>
      </c>
      <c r="N927" s="27"/>
      <c r="O927" s="27"/>
    </row>
    <row r="928" spans="2:15" ht="29.25" customHeight="1" x14ac:dyDescent="0.3">
      <c r="B928" s="27"/>
      <c r="C928" s="27"/>
      <c r="D928" s="27"/>
      <c r="E928" s="27"/>
      <c r="F928" s="27"/>
      <c r="G928" s="27"/>
      <c r="H928" s="27"/>
      <c r="I928" s="27"/>
      <c r="J928" s="27"/>
      <c r="K928" s="27">
        <f>Table15[[#This Row],[الايصالات]]+Table15[[#This Row],[النولون]]-Table15[[#This Row],[خصم 3%]]</f>
        <v>0</v>
      </c>
      <c r="L928" s="27"/>
      <c r="M928" s="27">
        <f>Table15[[#This Row],[اجمالي الفاتوره]]-Table15[[#This Row],[الدفعات]]</f>
        <v>0</v>
      </c>
      <c r="N928" s="27"/>
      <c r="O928" s="27"/>
    </row>
    <row r="929" spans="2:15" ht="29.25" customHeight="1" x14ac:dyDescent="0.3">
      <c r="B929" s="27"/>
      <c r="C929" s="27"/>
      <c r="D929" s="27"/>
      <c r="E929" s="27"/>
      <c r="F929" s="27"/>
      <c r="G929" s="27"/>
      <c r="H929" s="27"/>
      <c r="I929" s="27"/>
      <c r="J929" s="27"/>
      <c r="K929" s="27">
        <f>Table15[[#This Row],[الايصالات]]+Table15[[#This Row],[النولون]]-Table15[[#This Row],[خصم 3%]]</f>
        <v>0</v>
      </c>
      <c r="L929" s="27"/>
      <c r="M929" s="27">
        <f>Table15[[#This Row],[اجمالي الفاتوره]]-Table15[[#This Row],[الدفعات]]</f>
        <v>0</v>
      </c>
      <c r="N929" s="27"/>
      <c r="O929" s="27"/>
    </row>
    <row r="930" spans="2:15" ht="29.25" customHeight="1" x14ac:dyDescent="0.3">
      <c r="B930" s="27"/>
      <c r="C930" s="27"/>
      <c r="D930" s="27"/>
      <c r="E930" s="27"/>
      <c r="F930" s="27"/>
      <c r="G930" s="27"/>
      <c r="H930" s="27"/>
      <c r="I930" s="27"/>
      <c r="J930" s="27"/>
      <c r="K930" s="27">
        <f>Table15[[#This Row],[الايصالات]]+Table15[[#This Row],[النولون]]-Table15[[#This Row],[خصم 3%]]</f>
        <v>0</v>
      </c>
      <c r="L930" s="27"/>
      <c r="M930" s="27">
        <f>Table15[[#This Row],[اجمالي الفاتوره]]-Table15[[#This Row],[الدفعات]]</f>
        <v>0</v>
      </c>
      <c r="N930" s="27"/>
      <c r="O930" s="27"/>
    </row>
    <row r="931" spans="2:15" ht="29.25" customHeight="1" x14ac:dyDescent="0.3">
      <c r="B931" s="27"/>
      <c r="C931" s="27"/>
      <c r="D931" s="27"/>
      <c r="E931" s="27"/>
      <c r="F931" s="27"/>
      <c r="G931" s="27"/>
      <c r="H931" s="27"/>
      <c r="I931" s="27"/>
      <c r="J931" s="27"/>
      <c r="K931" s="27">
        <f>Table15[[#This Row],[الايصالات]]+Table15[[#This Row],[النولون]]-Table15[[#This Row],[خصم 3%]]</f>
        <v>0</v>
      </c>
      <c r="L931" s="27"/>
      <c r="M931" s="27">
        <f>Table15[[#This Row],[اجمالي الفاتوره]]-Table15[[#This Row],[الدفعات]]</f>
        <v>0</v>
      </c>
      <c r="N931" s="27"/>
      <c r="O931" s="27"/>
    </row>
    <row r="932" spans="2:15" ht="29.25" customHeight="1" x14ac:dyDescent="0.3">
      <c r="B932" s="27"/>
      <c r="C932" s="27"/>
      <c r="D932" s="27"/>
      <c r="E932" s="27"/>
      <c r="F932" s="27"/>
      <c r="G932" s="27"/>
      <c r="H932" s="27"/>
      <c r="I932" s="27"/>
      <c r="J932" s="27"/>
      <c r="K932" s="27">
        <f>Table15[[#This Row],[الايصالات]]+Table15[[#This Row],[النولون]]-Table15[[#This Row],[خصم 3%]]</f>
        <v>0</v>
      </c>
      <c r="L932" s="27"/>
      <c r="M932" s="27">
        <f>Table15[[#This Row],[اجمالي الفاتوره]]-Table15[[#This Row],[الدفعات]]</f>
        <v>0</v>
      </c>
      <c r="N932" s="27"/>
      <c r="O932" s="27"/>
    </row>
    <row r="933" spans="2:15" ht="29.25" customHeight="1" x14ac:dyDescent="0.3">
      <c r="B933" s="27"/>
      <c r="C933" s="27"/>
      <c r="D933" s="27"/>
      <c r="E933" s="27"/>
      <c r="F933" s="27"/>
      <c r="G933" s="27"/>
      <c r="H933" s="27"/>
      <c r="I933" s="27"/>
      <c r="J933" s="27"/>
      <c r="K933" s="27">
        <f>Table15[[#This Row],[الايصالات]]+Table15[[#This Row],[النولون]]-Table15[[#This Row],[خصم 3%]]</f>
        <v>0</v>
      </c>
      <c r="L933" s="27"/>
      <c r="M933" s="27">
        <f>Table15[[#This Row],[اجمالي الفاتوره]]-Table15[[#This Row],[الدفعات]]</f>
        <v>0</v>
      </c>
      <c r="N933" s="27"/>
      <c r="O933" s="27"/>
    </row>
    <row r="934" spans="2:15" ht="29.25" customHeight="1" x14ac:dyDescent="0.3">
      <c r="B934" s="27"/>
      <c r="C934" s="27"/>
      <c r="D934" s="27"/>
      <c r="E934" s="27"/>
      <c r="F934" s="27"/>
      <c r="G934" s="27"/>
      <c r="H934" s="27"/>
      <c r="I934" s="27"/>
      <c r="J934" s="27"/>
      <c r="K934" s="27">
        <f>Table15[[#This Row],[الايصالات]]+Table15[[#This Row],[النولون]]-Table15[[#This Row],[خصم 3%]]</f>
        <v>0</v>
      </c>
      <c r="L934" s="27"/>
      <c r="M934" s="27">
        <f>Table15[[#This Row],[اجمالي الفاتوره]]-Table15[[#This Row],[الدفعات]]</f>
        <v>0</v>
      </c>
      <c r="N934" s="27"/>
      <c r="O934" s="27"/>
    </row>
    <row r="935" spans="2:15" ht="29.25" customHeight="1" x14ac:dyDescent="0.3">
      <c r="B935" s="27"/>
      <c r="C935" s="27"/>
      <c r="D935" s="27"/>
      <c r="E935" s="27"/>
      <c r="F935" s="27"/>
      <c r="G935" s="27"/>
      <c r="H935" s="27"/>
      <c r="I935" s="27"/>
      <c r="J935" s="27"/>
      <c r="K935" s="27">
        <f>Table15[[#This Row],[الايصالات]]+Table15[[#This Row],[النولون]]-Table15[[#This Row],[خصم 3%]]</f>
        <v>0</v>
      </c>
      <c r="L935" s="27"/>
      <c r="M935" s="27">
        <f>Table15[[#This Row],[اجمالي الفاتوره]]-Table15[[#This Row],[الدفعات]]</f>
        <v>0</v>
      </c>
      <c r="N935" s="27"/>
      <c r="O935" s="27"/>
    </row>
    <row r="936" spans="2:15" ht="29.25" customHeight="1" x14ac:dyDescent="0.3">
      <c r="B936" s="27"/>
      <c r="C936" s="27"/>
      <c r="D936" s="27"/>
      <c r="E936" s="27"/>
      <c r="F936" s="27"/>
      <c r="G936" s="27"/>
      <c r="H936" s="27"/>
      <c r="I936" s="27"/>
      <c r="J936" s="27"/>
      <c r="K936" s="27">
        <f>Table15[[#This Row],[الايصالات]]+Table15[[#This Row],[النولون]]-Table15[[#This Row],[خصم 3%]]</f>
        <v>0</v>
      </c>
      <c r="L936" s="27"/>
      <c r="M936" s="27">
        <f>Table15[[#This Row],[اجمالي الفاتوره]]-Table15[[#This Row],[الدفعات]]</f>
        <v>0</v>
      </c>
      <c r="N936" s="27"/>
      <c r="O936" s="27"/>
    </row>
    <row r="937" spans="2:15" ht="29.25" customHeight="1" x14ac:dyDescent="0.3">
      <c r="B937" s="27"/>
      <c r="C937" s="27"/>
      <c r="D937" s="27"/>
      <c r="E937" s="27"/>
      <c r="F937" s="27"/>
      <c r="G937" s="27"/>
      <c r="H937" s="27"/>
      <c r="I937" s="27"/>
      <c r="J937" s="27"/>
      <c r="K937" s="27">
        <f>Table15[[#This Row],[الايصالات]]+Table15[[#This Row],[النولون]]-Table15[[#This Row],[خصم 3%]]</f>
        <v>0</v>
      </c>
      <c r="L937" s="27"/>
      <c r="M937" s="27">
        <f>Table15[[#This Row],[اجمالي الفاتوره]]-Table15[[#This Row],[الدفعات]]</f>
        <v>0</v>
      </c>
      <c r="N937" s="27"/>
      <c r="O937" s="27"/>
    </row>
    <row r="938" spans="2:15" ht="29.25" customHeight="1" x14ac:dyDescent="0.3">
      <c r="B938" s="27"/>
      <c r="C938" s="27"/>
      <c r="D938" s="27"/>
      <c r="E938" s="27"/>
      <c r="F938" s="27"/>
      <c r="G938" s="27"/>
      <c r="H938" s="27"/>
      <c r="I938" s="27"/>
      <c r="J938" s="27"/>
      <c r="K938" s="27">
        <f>Table15[[#This Row],[الايصالات]]+Table15[[#This Row],[النولون]]-Table15[[#This Row],[خصم 3%]]</f>
        <v>0</v>
      </c>
      <c r="L938" s="27"/>
      <c r="M938" s="27">
        <f>Table15[[#This Row],[اجمالي الفاتوره]]-Table15[[#This Row],[الدفعات]]</f>
        <v>0</v>
      </c>
      <c r="N938" s="27"/>
      <c r="O938" s="27"/>
    </row>
    <row r="939" spans="2:15" ht="29.25" customHeight="1" x14ac:dyDescent="0.3">
      <c r="B939" s="27"/>
      <c r="C939" s="27"/>
      <c r="D939" s="27"/>
      <c r="E939" s="27"/>
      <c r="F939" s="27"/>
      <c r="G939" s="27"/>
      <c r="H939" s="27"/>
      <c r="I939" s="27"/>
      <c r="J939" s="27"/>
      <c r="K939" s="27">
        <f>Table15[[#This Row],[الايصالات]]+Table15[[#This Row],[النولون]]-Table15[[#This Row],[خصم 3%]]</f>
        <v>0</v>
      </c>
      <c r="L939" s="27"/>
      <c r="M939" s="27">
        <f>Table15[[#This Row],[اجمالي الفاتوره]]-Table15[[#This Row],[الدفعات]]</f>
        <v>0</v>
      </c>
      <c r="N939" s="27"/>
      <c r="O939" s="27"/>
    </row>
    <row r="940" spans="2:15" ht="29.25" customHeight="1" x14ac:dyDescent="0.3">
      <c r="B940" s="27"/>
      <c r="C940" s="27"/>
      <c r="D940" s="27"/>
      <c r="E940" s="27"/>
      <c r="F940" s="27"/>
      <c r="G940" s="27"/>
      <c r="H940" s="27"/>
      <c r="I940" s="27"/>
      <c r="J940" s="27"/>
      <c r="K940" s="27">
        <f>Table15[[#This Row],[الايصالات]]+Table15[[#This Row],[النولون]]-Table15[[#This Row],[خصم 3%]]</f>
        <v>0</v>
      </c>
      <c r="L940" s="27"/>
      <c r="M940" s="27">
        <f>Table15[[#This Row],[اجمالي الفاتوره]]-Table15[[#This Row],[الدفعات]]</f>
        <v>0</v>
      </c>
      <c r="N940" s="27"/>
      <c r="O940" s="27"/>
    </row>
    <row r="941" spans="2:15" ht="29.25" customHeight="1" x14ac:dyDescent="0.3">
      <c r="B941" s="27"/>
      <c r="C941" s="27"/>
      <c r="D941" s="27"/>
      <c r="E941" s="27"/>
      <c r="F941" s="27"/>
      <c r="G941" s="27"/>
      <c r="H941" s="27"/>
      <c r="I941" s="27"/>
      <c r="J941" s="27"/>
      <c r="K941" s="27">
        <f>Table15[[#This Row],[الايصالات]]+Table15[[#This Row],[النولون]]-Table15[[#This Row],[خصم 3%]]</f>
        <v>0</v>
      </c>
      <c r="L941" s="27"/>
      <c r="M941" s="27">
        <f>Table15[[#This Row],[اجمالي الفاتوره]]-Table15[[#This Row],[الدفعات]]</f>
        <v>0</v>
      </c>
      <c r="N941" s="27"/>
      <c r="O941" s="27"/>
    </row>
    <row r="942" spans="2:15" ht="29.25" customHeight="1" x14ac:dyDescent="0.3">
      <c r="B942" s="27"/>
      <c r="C942" s="27"/>
      <c r="D942" s="27"/>
      <c r="E942" s="27"/>
      <c r="F942" s="27"/>
      <c r="G942" s="27"/>
      <c r="H942" s="27"/>
      <c r="I942" s="27"/>
      <c r="J942" s="27"/>
      <c r="K942" s="27">
        <f>Table15[[#This Row],[الايصالات]]+Table15[[#This Row],[النولون]]-Table15[[#This Row],[خصم 3%]]</f>
        <v>0</v>
      </c>
      <c r="L942" s="27"/>
      <c r="M942" s="27">
        <f>Table15[[#This Row],[اجمالي الفاتوره]]-Table15[[#This Row],[الدفعات]]</f>
        <v>0</v>
      </c>
      <c r="N942" s="27"/>
      <c r="O942" s="27"/>
    </row>
    <row r="943" spans="2:15" ht="29.25" customHeight="1" x14ac:dyDescent="0.3">
      <c r="B943" s="27"/>
      <c r="C943" s="27"/>
      <c r="D943" s="27"/>
      <c r="E943" s="27"/>
      <c r="F943" s="27"/>
      <c r="G943" s="27"/>
      <c r="H943" s="27"/>
      <c r="I943" s="27"/>
      <c r="J943" s="27"/>
      <c r="K943" s="27">
        <f>Table15[[#This Row],[الايصالات]]+Table15[[#This Row],[النولون]]-Table15[[#This Row],[خصم 3%]]</f>
        <v>0</v>
      </c>
      <c r="L943" s="27"/>
      <c r="M943" s="27">
        <f>Table15[[#This Row],[اجمالي الفاتوره]]-Table15[[#This Row],[الدفعات]]</f>
        <v>0</v>
      </c>
      <c r="N943" s="27"/>
      <c r="O943" s="27"/>
    </row>
    <row r="944" spans="2:15" ht="29.25" customHeight="1" x14ac:dyDescent="0.3">
      <c r="B944" s="27"/>
      <c r="C944" s="27"/>
      <c r="D944" s="27"/>
      <c r="E944" s="27"/>
      <c r="F944" s="27"/>
      <c r="G944" s="27"/>
      <c r="H944" s="27"/>
      <c r="I944" s="27"/>
      <c r="J944" s="27"/>
      <c r="K944" s="27">
        <f>Table15[[#This Row],[الايصالات]]+Table15[[#This Row],[النولون]]-Table15[[#This Row],[خصم 3%]]</f>
        <v>0</v>
      </c>
      <c r="L944" s="27"/>
      <c r="M944" s="27">
        <f>Table15[[#This Row],[اجمالي الفاتوره]]-Table15[[#This Row],[الدفعات]]</f>
        <v>0</v>
      </c>
      <c r="N944" s="27"/>
      <c r="O944" s="27"/>
    </row>
    <row r="945" spans="2:15" ht="29.25" customHeight="1" x14ac:dyDescent="0.3">
      <c r="B945" s="27"/>
      <c r="C945" s="27"/>
      <c r="D945" s="27"/>
      <c r="E945" s="27"/>
      <c r="F945" s="27"/>
      <c r="G945" s="27"/>
      <c r="H945" s="27"/>
      <c r="I945" s="27"/>
      <c r="J945" s="27"/>
      <c r="K945" s="27">
        <f>Table15[[#This Row],[الايصالات]]+Table15[[#This Row],[النولون]]-Table15[[#This Row],[خصم 3%]]</f>
        <v>0</v>
      </c>
      <c r="L945" s="27"/>
      <c r="M945" s="27">
        <f>Table15[[#This Row],[اجمالي الفاتوره]]-Table15[[#This Row],[الدفعات]]</f>
        <v>0</v>
      </c>
      <c r="N945" s="27"/>
      <c r="O945" s="27"/>
    </row>
    <row r="946" spans="2:15" ht="29.25" customHeight="1" x14ac:dyDescent="0.3">
      <c r="B946" s="27"/>
      <c r="C946" s="27"/>
      <c r="D946" s="27"/>
      <c r="E946" s="27"/>
      <c r="F946" s="27"/>
      <c r="G946" s="27"/>
      <c r="H946" s="27"/>
      <c r="I946" s="27"/>
      <c r="J946" s="27"/>
      <c r="K946" s="27">
        <f>Table15[[#This Row],[الايصالات]]+Table15[[#This Row],[النولون]]-Table15[[#This Row],[خصم 3%]]</f>
        <v>0</v>
      </c>
      <c r="L946" s="27"/>
      <c r="M946" s="27">
        <f>Table15[[#This Row],[اجمالي الفاتوره]]-Table15[[#This Row],[الدفعات]]</f>
        <v>0</v>
      </c>
      <c r="N946" s="27"/>
      <c r="O946" s="27"/>
    </row>
    <row r="947" spans="2:15" ht="29.25" customHeight="1" x14ac:dyDescent="0.3">
      <c r="B947" s="27"/>
      <c r="C947" s="27"/>
      <c r="D947" s="27"/>
      <c r="E947" s="27"/>
      <c r="F947" s="27"/>
      <c r="G947" s="27"/>
      <c r="H947" s="27"/>
      <c r="I947" s="27"/>
      <c r="J947" s="27"/>
      <c r="K947" s="27">
        <f>Table15[[#This Row],[الايصالات]]+Table15[[#This Row],[النولون]]-Table15[[#This Row],[خصم 3%]]</f>
        <v>0</v>
      </c>
      <c r="L947" s="27"/>
      <c r="M947" s="27">
        <f>Table15[[#This Row],[اجمالي الفاتوره]]-Table15[[#This Row],[الدفعات]]</f>
        <v>0</v>
      </c>
      <c r="N947" s="27"/>
      <c r="O947" s="27"/>
    </row>
    <row r="948" spans="2:15" ht="29.25" customHeight="1" x14ac:dyDescent="0.3">
      <c r="B948" s="27"/>
      <c r="C948" s="27"/>
      <c r="D948" s="27"/>
      <c r="E948" s="27"/>
      <c r="F948" s="27"/>
      <c r="G948" s="27"/>
      <c r="H948" s="27"/>
      <c r="I948" s="27"/>
      <c r="J948" s="27"/>
      <c r="K948" s="27">
        <f>Table15[[#This Row],[الايصالات]]+Table15[[#This Row],[النولون]]-Table15[[#This Row],[خصم 3%]]</f>
        <v>0</v>
      </c>
      <c r="L948" s="27"/>
      <c r="M948" s="27">
        <f>Table15[[#This Row],[اجمالي الفاتوره]]-Table15[[#This Row],[الدفعات]]</f>
        <v>0</v>
      </c>
      <c r="N948" s="27"/>
      <c r="O948" s="27"/>
    </row>
    <row r="949" spans="2:15" ht="29.25" customHeight="1" x14ac:dyDescent="0.3">
      <c r="B949" s="27"/>
      <c r="C949" s="27"/>
      <c r="D949" s="27"/>
      <c r="E949" s="27"/>
      <c r="F949" s="27"/>
      <c r="G949" s="27"/>
      <c r="H949" s="27"/>
      <c r="I949" s="27"/>
      <c r="J949" s="27"/>
      <c r="K949" s="27">
        <f>Table15[[#This Row],[الايصالات]]+Table15[[#This Row],[النولون]]-Table15[[#This Row],[خصم 3%]]</f>
        <v>0</v>
      </c>
      <c r="L949" s="27"/>
      <c r="M949" s="27">
        <f>Table15[[#This Row],[اجمالي الفاتوره]]-Table15[[#This Row],[الدفعات]]</f>
        <v>0</v>
      </c>
      <c r="N949" s="27"/>
      <c r="O949" s="27"/>
    </row>
    <row r="950" spans="2:15" ht="29.25" customHeight="1" x14ac:dyDescent="0.3">
      <c r="B950" s="27"/>
      <c r="C950" s="27"/>
      <c r="D950" s="27"/>
      <c r="E950" s="27"/>
      <c r="F950" s="27"/>
      <c r="G950" s="27"/>
      <c r="H950" s="27"/>
      <c r="I950" s="27"/>
      <c r="J950" s="27"/>
      <c r="K950" s="27">
        <f>Table15[[#This Row],[الايصالات]]+Table15[[#This Row],[النولون]]-Table15[[#This Row],[خصم 3%]]</f>
        <v>0</v>
      </c>
      <c r="L950" s="27"/>
      <c r="M950" s="27">
        <f>Table15[[#This Row],[اجمالي الفاتوره]]-Table15[[#This Row],[الدفعات]]</f>
        <v>0</v>
      </c>
      <c r="N950" s="27"/>
      <c r="O950" s="27"/>
    </row>
    <row r="951" spans="2:15" ht="29.25" customHeight="1" x14ac:dyDescent="0.3">
      <c r="B951" s="27"/>
      <c r="C951" s="27"/>
      <c r="D951" s="27"/>
      <c r="E951" s="27"/>
      <c r="F951" s="27"/>
      <c r="G951" s="27"/>
      <c r="H951" s="27"/>
      <c r="I951" s="27"/>
      <c r="J951" s="27"/>
      <c r="K951" s="27">
        <f>Table15[[#This Row],[الايصالات]]+Table15[[#This Row],[النولون]]-Table15[[#This Row],[خصم 3%]]</f>
        <v>0</v>
      </c>
      <c r="L951" s="27"/>
      <c r="M951" s="27">
        <f>Table15[[#This Row],[اجمالي الفاتوره]]-Table15[[#This Row],[الدفعات]]</f>
        <v>0</v>
      </c>
      <c r="N951" s="27"/>
      <c r="O951" s="27"/>
    </row>
    <row r="952" spans="2:15" ht="29.25" customHeight="1" x14ac:dyDescent="0.3">
      <c r="B952" s="27"/>
      <c r="C952" s="27"/>
      <c r="D952" s="27"/>
      <c r="E952" s="27"/>
      <c r="F952" s="27"/>
      <c r="G952" s="27"/>
      <c r="H952" s="27"/>
      <c r="I952" s="27"/>
      <c r="J952" s="27"/>
      <c r="K952" s="27">
        <f>Table15[[#This Row],[الايصالات]]+Table15[[#This Row],[النولون]]-Table15[[#This Row],[خصم 3%]]</f>
        <v>0</v>
      </c>
      <c r="L952" s="27"/>
      <c r="M952" s="27">
        <f>Table15[[#This Row],[اجمالي الفاتوره]]-Table15[[#This Row],[الدفعات]]</f>
        <v>0</v>
      </c>
      <c r="N952" s="27"/>
      <c r="O952" s="27"/>
    </row>
    <row r="953" spans="2:15" ht="29.25" customHeight="1" x14ac:dyDescent="0.3">
      <c r="B953" s="27"/>
      <c r="C953" s="27"/>
      <c r="D953" s="27"/>
      <c r="E953" s="27"/>
      <c r="F953" s="27"/>
      <c r="G953" s="27"/>
      <c r="H953" s="27"/>
      <c r="I953" s="27"/>
      <c r="J953" s="27"/>
      <c r="K953" s="27">
        <f>Table15[[#This Row],[الايصالات]]+Table15[[#This Row],[النولون]]-Table15[[#This Row],[خصم 3%]]</f>
        <v>0</v>
      </c>
      <c r="L953" s="27"/>
      <c r="M953" s="27">
        <f>Table15[[#This Row],[اجمالي الفاتوره]]-Table15[[#This Row],[الدفعات]]</f>
        <v>0</v>
      </c>
      <c r="N953" s="27"/>
      <c r="O953" s="27"/>
    </row>
    <row r="954" spans="2:15" ht="29.25" customHeight="1" x14ac:dyDescent="0.3">
      <c r="B954" s="27"/>
      <c r="C954" s="27"/>
      <c r="D954" s="27"/>
      <c r="E954" s="27"/>
      <c r="F954" s="27"/>
      <c r="G954" s="27"/>
      <c r="H954" s="27"/>
      <c r="I954" s="27"/>
      <c r="J954" s="27"/>
      <c r="K954" s="27">
        <f>Table15[[#This Row],[الايصالات]]+Table15[[#This Row],[النولون]]-Table15[[#This Row],[خصم 3%]]</f>
        <v>0</v>
      </c>
      <c r="L954" s="27"/>
      <c r="M954" s="27">
        <f>Table15[[#This Row],[اجمالي الفاتوره]]-Table15[[#This Row],[الدفعات]]</f>
        <v>0</v>
      </c>
      <c r="N954" s="27"/>
      <c r="O954" s="27"/>
    </row>
    <row r="955" spans="2:15" ht="29.25" customHeight="1" x14ac:dyDescent="0.3">
      <c r="B955" s="27"/>
      <c r="C955" s="27"/>
      <c r="D955" s="27"/>
      <c r="E955" s="27"/>
      <c r="F955" s="27"/>
      <c r="G955" s="27"/>
      <c r="H955" s="27"/>
      <c r="I955" s="27"/>
      <c r="J955" s="27"/>
      <c r="K955" s="27">
        <f>Table15[[#This Row],[الايصالات]]+Table15[[#This Row],[النولون]]-Table15[[#This Row],[خصم 3%]]</f>
        <v>0</v>
      </c>
      <c r="L955" s="27"/>
      <c r="M955" s="27">
        <f>Table15[[#This Row],[اجمالي الفاتوره]]-Table15[[#This Row],[الدفعات]]</f>
        <v>0</v>
      </c>
      <c r="N955" s="27"/>
      <c r="O955" s="27"/>
    </row>
    <row r="956" spans="2:15" ht="29.25" customHeight="1" x14ac:dyDescent="0.3">
      <c r="B956" s="27"/>
      <c r="C956" s="27"/>
      <c r="D956" s="27"/>
      <c r="E956" s="27"/>
      <c r="F956" s="27"/>
      <c r="G956" s="27"/>
      <c r="H956" s="27"/>
      <c r="I956" s="27"/>
      <c r="J956" s="27"/>
      <c r="K956" s="27">
        <f>Table15[[#This Row],[الايصالات]]+Table15[[#This Row],[النولون]]-Table15[[#This Row],[خصم 3%]]</f>
        <v>0</v>
      </c>
      <c r="L956" s="27"/>
      <c r="M956" s="27">
        <f>Table15[[#This Row],[اجمالي الفاتوره]]-Table15[[#This Row],[الدفعات]]</f>
        <v>0</v>
      </c>
      <c r="N956" s="27"/>
      <c r="O956" s="27"/>
    </row>
    <row r="957" spans="2:15" ht="29.25" customHeight="1" x14ac:dyDescent="0.3">
      <c r="B957" s="27"/>
      <c r="C957" s="27"/>
      <c r="D957" s="27"/>
      <c r="E957" s="27"/>
      <c r="F957" s="27"/>
      <c r="G957" s="27"/>
      <c r="H957" s="27"/>
      <c r="I957" s="27"/>
      <c r="J957" s="27"/>
      <c r="K957" s="27">
        <f>Table15[[#This Row],[الايصالات]]+Table15[[#This Row],[النولون]]-Table15[[#This Row],[خصم 3%]]</f>
        <v>0</v>
      </c>
      <c r="L957" s="27"/>
      <c r="M957" s="27">
        <f>Table15[[#This Row],[اجمالي الفاتوره]]-Table15[[#This Row],[الدفعات]]</f>
        <v>0</v>
      </c>
      <c r="N957" s="27"/>
      <c r="O957" s="27"/>
    </row>
    <row r="958" spans="2:15" ht="29.25" customHeight="1" x14ac:dyDescent="0.3">
      <c r="B958" s="27"/>
      <c r="C958" s="27"/>
      <c r="D958" s="27"/>
      <c r="E958" s="27"/>
      <c r="F958" s="27"/>
      <c r="G958" s="27"/>
      <c r="H958" s="27"/>
      <c r="I958" s="27"/>
      <c r="J958" s="27"/>
      <c r="K958" s="27">
        <f>Table15[[#This Row],[الايصالات]]+Table15[[#This Row],[النولون]]-Table15[[#This Row],[خصم 3%]]</f>
        <v>0</v>
      </c>
      <c r="L958" s="27"/>
      <c r="M958" s="27">
        <f>Table15[[#This Row],[اجمالي الفاتوره]]-Table15[[#This Row],[الدفعات]]</f>
        <v>0</v>
      </c>
      <c r="N958" s="27"/>
      <c r="O958" s="27"/>
    </row>
    <row r="959" spans="2:15" ht="29.25" customHeight="1" x14ac:dyDescent="0.3">
      <c r="B959" s="27"/>
      <c r="C959" s="27"/>
      <c r="D959" s="27"/>
      <c r="E959" s="27"/>
      <c r="F959" s="27"/>
      <c r="G959" s="27"/>
      <c r="H959" s="27"/>
      <c r="I959" s="27"/>
      <c r="J959" s="27"/>
      <c r="K959" s="27">
        <f>Table15[[#This Row],[الايصالات]]+Table15[[#This Row],[النولون]]-Table15[[#This Row],[خصم 3%]]</f>
        <v>0</v>
      </c>
      <c r="L959" s="27"/>
      <c r="M959" s="27">
        <f>Table15[[#This Row],[اجمالي الفاتوره]]-Table15[[#This Row],[الدفعات]]</f>
        <v>0</v>
      </c>
      <c r="N959" s="27"/>
      <c r="O959" s="27"/>
    </row>
    <row r="960" spans="2:15" ht="29.25" customHeight="1" x14ac:dyDescent="0.3">
      <c r="B960" s="27"/>
      <c r="C960" s="27"/>
      <c r="D960" s="27"/>
      <c r="E960" s="27"/>
      <c r="F960" s="27"/>
      <c r="G960" s="27"/>
      <c r="H960" s="27"/>
      <c r="I960" s="27"/>
      <c r="J960" s="27"/>
      <c r="K960" s="27">
        <f>Table15[[#This Row],[الايصالات]]+Table15[[#This Row],[النولون]]-Table15[[#This Row],[خصم 3%]]</f>
        <v>0</v>
      </c>
      <c r="L960" s="27"/>
      <c r="M960" s="27">
        <f>Table15[[#This Row],[اجمالي الفاتوره]]-Table15[[#This Row],[الدفعات]]</f>
        <v>0</v>
      </c>
      <c r="N960" s="27"/>
      <c r="O960" s="27"/>
    </row>
    <row r="961" spans="2:15" ht="29.25" customHeight="1" x14ac:dyDescent="0.3">
      <c r="B961" s="27"/>
      <c r="C961" s="27"/>
      <c r="D961" s="27"/>
      <c r="E961" s="27"/>
      <c r="F961" s="27"/>
      <c r="G961" s="27"/>
      <c r="H961" s="27"/>
      <c r="I961" s="27"/>
      <c r="J961" s="27"/>
      <c r="K961" s="27">
        <f>Table15[[#This Row],[الايصالات]]+Table15[[#This Row],[النولون]]-Table15[[#This Row],[خصم 3%]]</f>
        <v>0</v>
      </c>
      <c r="L961" s="27"/>
      <c r="M961" s="27">
        <f>Table15[[#This Row],[اجمالي الفاتوره]]-Table15[[#This Row],[الدفعات]]</f>
        <v>0</v>
      </c>
      <c r="N961" s="27"/>
      <c r="O961" s="27"/>
    </row>
    <row r="962" spans="2:15" ht="29.25" customHeight="1" x14ac:dyDescent="0.3">
      <c r="B962" s="27"/>
      <c r="C962" s="27"/>
      <c r="D962" s="27"/>
      <c r="E962" s="27"/>
      <c r="F962" s="27"/>
      <c r="G962" s="27"/>
      <c r="H962" s="27"/>
      <c r="I962" s="27"/>
      <c r="J962" s="27"/>
      <c r="K962" s="27">
        <f>Table15[[#This Row],[الايصالات]]+Table15[[#This Row],[النولون]]-Table15[[#This Row],[خصم 3%]]</f>
        <v>0</v>
      </c>
      <c r="L962" s="27"/>
      <c r="M962" s="27">
        <f>Table15[[#This Row],[اجمالي الفاتوره]]-Table15[[#This Row],[الدفعات]]</f>
        <v>0</v>
      </c>
      <c r="N962" s="27"/>
      <c r="O962" s="27"/>
    </row>
    <row r="963" spans="2:15" ht="29.25" customHeight="1" x14ac:dyDescent="0.3">
      <c r="B963" s="27"/>
      <c r="C963" s="27"/>
      <c r="D963" s="27"/>
      <c r="E963" s="27"/>
      <c r="F963" s="27"/>
      <c r="G963" s="27"/>
      <c r="H963" s="27"/>
      <c r="I963" s="27"/>
      <c r="J963" s="27"/>
      <c r="K963" s="27">
        <f>Table15[[#This Row],[الايصالات]]+Table15[[#This Row],[النولون]]-Table15[[#This Row],[خصم 3%]]</f>
        <v>0</v>
      </c>
      <c r="L963" s="27"/>
      <c r="M963" s="27">
        <f>Table15[[#This Row],[اجمالي الفاتوره]]-Table15[[#This Row],[الدفعات]]</f>
        <v>0</v>
      </c>
      <c r="N963" s="27"/>
      <c r="O963" s="27"/>
    </row>
    <row r="964" spans="2:15" ht="29.25" customHeight="1" x14ac:dyDescent="0.3">
      <c r="B964" s="27"/>
      <c r="C964" s="27"/>
      <c r="D964" s="27"/>
      <c r="E964" s="27"/>
      <c r="F964" s="27"/>
      <c r="G964" s="27"/>
      <c r="H964" s="27"/>
      <c r="I964" s="27"/>
      <c r="J964" s="27"/>
      <c r="K964" s="27">
        <f>Table15[[#This Row],[الايصالات]]+Table15[[#This Row],[النولون]]-Table15[[#This Row],[خصم 3%]]</f>
        <v>0</v>
      </c>
      <c r="L964" s="27"/>
      <c r="M964" s="27">
        <f>Table15[[#This Row],[اجمالي الفاتوره]]-Table15[[#This Row],[الدفعات]]</f>
        <v>0</v>
      </c>
      <c r="N964" s="27"/>
      <c r="O964" s="27"/>
    </row>
    <row r="965" spans="2:15" ht="29.25" customHeight="1" x14ac:dyDescent="0.3">
      <c r="B965" s="27"/>
      <c r="C965" s="27"/>
      <c r="D965" s="27"/>
      <c r="E965" s="27"/>
      <c r="F965" s="27"/>
      <c r="G965" s="27"/>
      <c r="H965" s="27"/>
      <c r="I965" s="27"/>
      <c r="J965" s="27"/>
      <c r="K965" s="27">
        <f>Table15[[#This Row],[الايصالات]]+Table15[[#This Row],[النولون]]-Table15[[#This Row],[خصم 3%]]</f>
        <v>0</v>
      </c>
      <c r="L965" s="27"/>
      <c r="M965" s="27">
        <f>Table15[[#This Row],[اجمالي الفاتوره]]-Table15[[#This Row],[الدفعات]]</f>
        <v>0</v>
      </c>
      <c r="N965" s="27"/>
      <c r="O965" s="27"/>
    </row>
    <row r="966" spans="2:15" ht="29.25" customHeight="1" x14ac:dyDescent="0.3">
      <c r="B966" s="27"/>
      <c r="C966" s="27"/>
      <c r="D966" s="27"/>
      <c r="E966" s="27"/>
      <c r="F966" s="27"/>
      <c r="G966" s="27"/>
      <c r="H966" s="27"/>
      <c r="I966" s="27"/>
      <c r="J966" s="27"/>
      <c r="K966" s="27">
        <f>Table15[[#This Row],[الايصالات]]+Table15[[#This Row],[النولون]]-Table15[[#This Row],[خصم 3%]]</f>
        <v>0</v>
      </c>
      <c r="L966" s="27"/>
      <c r="M966" s="27">
        <f>Table15[[#This Row],[اجمالي الفاتوره]]-Table15[[#This Row],[الدفعات]]</f>
        <v>0</v>
      </c>
      <c r="N966" s="27"/>
      <c r="O966" s="27"/>
    </row>
    <row r="967" spans="2:15" ht="29.25" customHeight="1" x14ac:dyDescent="0.3">
      <c r="B967" s="27"/>
      <c r="C967" s="27"/>
      <c r="D967" s="27"/>
      <c r="E967" s="27"/>
      <c r="F967" s="27"/>
      <c r="G967" s="27"/>
      <c r="H967" s="27"/>
      <c r="I967" s="27"/>
      <c r="J967" s="27"/>
      <c r="K967" s="27">
        <f>Table15[[#This Row],[الايصالات]]+Table15[[#This Row],[النولون]]-Table15[[#This Row],[خصم 3%]]</f>
        <v>0</v>
      </c>
      <c r="L967" s="27"/>
      <c r="M967" s="27">
        <f>Table15[[#This Row],[اجمالي الفاتوره]]-Table15[[#This Row],[الدفعات]]</f>
        <v>0</v>
      </c>
      <c r="N967" s="27"/>
      <c r="O967" s="27"/>
    </row>
    <row r="968" spans="2:15" ht="29.25" customHeight="1" x14ac:dyDescent="0.3">
      <c r="B968" s="27"/>
      <c r="C968" s="27"/>
      <c r="D968" s="27"/>
      <c r="E968" s="27"/>
      <c r="F968" s="27"/>
      <c r="G968" s="27"/>
      <c r="H968" s="27"/>
      <c r="I968" s="27"/>
      <c r="J968" s="27"/>
      <c r="K968" s="27">
        <f>Table15[[#This Row],[الايصالات]]+Table15[[#This Row],[النولون]]-Table15[[#This Row],[خصم 3%]]</f>
        <v>0</v>
      </c>
      <c r="L968" s="27"/>
      <c r="M968" s="27">
        <f>Table15[[#This Row],[اجمالي الفاتوره]]-Table15[[#This Row],[الدفعات]]</f>
        <v>0</v>
      </c>
      <c r="N968" s="27"/>
      <c r="O968" s="27"/>
    </row>
    <row r="969" spans="2:15" ht="29.25" customHeight="1" x14ac:dyDescent="0.3">
      <c r="B969" s="27"/>
      <c r="C969" s="27"/>
      <c r="D969" s="27"/>
      <c r="E969" s="27"/>
      <c r="F969" s="27"/>
      <c r="G969" s="27"/>
      <c r="H969" s="27"/>
      <c r="I969" s="27"/>
      <c r="J969" s="27"/>
      <c r="K969" s="27">
        <f>Table15[[#This Row],[الايصالات]]+Table15[[#This Row],[النولون]]-Table15[[#This Row],[خصم 3%]]</f>
        <v>0</v>
      </c>
      <c r="L969" s="27"/>
      <c r="M969" s="27">
        <f>Table15[[#This Row],[اجمالي الفاتوره]]-Table15[[#This Row],[الدفعات]]</f>
        <v>0</v>
      </c>
      <c r="N969" s="27"/>
      <c r="O969" s="27"/>
    </row>
    <row r="970" spans="2:15" ht="29.25" customHeight="1" x14ac:dyDescent="0.3">
      <c r="B970" s="27"/>
      <c r="C970" s="27"/>
      <c r="D970" s="27"/>
      <c r="E970" s="27"/>
      <c r="F970" s="27"/>
      <c r="G970" s="27"/>
      <c r="H970" s="27"/>
      <c r="I970" s="27"/>
      <c r="J970" s="27"/>
      <c r="K970" s="27">
        <f>Table15[[#This Row],[الايصالات]]+Table15[[#This Row],[النولون]]-Table15[[#This Row],[خصم 3%]]</f>
        <v>0</v>
      </c>
      <c r="L970" s="27"/>
      <c r="M970" s="27">
        <f>Table15[[#This Row],[اجمالي الفاتوره]]-Table15[[#This Row],[الدفعات]]</f>
        <v>0</v>
      </c>
      <c r="N970" s="27"/>
      <c r="O970" s="27"/>
    </row>
    <row r="971" spans="2:15" ht="29.25" customHeight="1" x14ac:dyDescent="0.3">
      <c r="B971" s="27"/>
      <c r="C971" s="27"/>
      <c r="D971" s="27"/>
      <c r="E971" s="27"/>
      <c r="F971" s="27"/>
      <c r="G971" s="27"/>
      <c r="H971" s="27"/>
      <c r="I971" s="27"/>
      <c r="J971" s="27"/>
      <c r="K971" s="27">
        <f>Table15[[#This Row],[الايصالات]]+Table15[[#This Row],[النولون]]-Table15[[#This Row],[خصم 3%]]</f>
        <v>0</v>
      </c>
      <c r="L971" s="27"/>
      <c r="M971" s="27">
        <f>Table15[[#This Row],[اجمالي الفاتوره]]-Table15[[#This Row],[الدفعات]]</f>
        <v>0</v>
      </c>
      <c r="N971" s="27"/>
      <c r="O971" s="27"/>
    </row>
    <row r="972" spans="2:15" ht="29.25" customHeight="1" x14ac:dyDescent="0.3">
      <c r="B972" s="27"/>
      <c r="C972" s="27"/>
      <c r="D972" s="27"/>
      <c r="E972" s="27"/>
      <c r="F972" s="27"/>
      <c r="G972" s="27"/>
      <c r="H972" s="27"/>
      <c r="I972" s="27"/>
      <c r="J972" s="27"/>
      <c r="K972" s="27">
        <f>Table15[[#This Row],[الايصالات]]+Table15[[#This Row],[النولون]]-Table15[[#This Row],[خصم 3%]]</f>
        <v>0</v>
      </c>
      <c r="L972" s="27"/>
      <c r="M972" s="27">
        <f>Table15[[#This Row],[اجمالي الفاتوره]]-Table15[[#This Row],[الدفعات]]</f>
        <v>0</v>
      </c>
      <c r="N972" s="27"/>
      <c r="O972" s="27"/>
    </row>
    <row r="973" spans="2:15" ht="29.25" customHeight="1" x14ac:dyDescent="0.3">
      <c r="B973" s="27"/>
      <c r="C973" s="27"/>
      <c r="D973" s="27"/>
      <c r="E973" s="27"/>
      <c r="F973" s="27"/>
      <c r="G973" s="27"/>
      <c r="H973" s="27"/>
      <c r="I973" s="27"/>
      <c r="J973" s="27"/>
      <c r="K973" s="27">
        <f>Table15[[#This Row],[الايصالات]]+Table15[[#This Row],[النولون]]-Table15[[#This Row],[خصم 3%]]</f>
        <v>0</v>
      </c>
      <c r="L973" s="27"/>
      <c r="M973" s="27">
        <f>Table15[[#This Row],[اجمالي الفاتوره]]-Table15[[#This Row],[الدفعات]]</f>
        <v>0</v>
      </c>
      <c r="N973" s="27"/>
      <c r="O973" s="27"/>
    </row>
    <row r="974" spans="2:15" ht="29.25" customHeight="1" x14ac:dyDescent="0.3">
      <c r="B974" s="27"/>
      <c r="C974" s="27"/>
      <c r="D974" s="27"/>
      <c r="E974" s="27"/>
      <c r="F974" s="27"/>
      <c r="G974" s="27"/>
      <c r="H974" s="27"/>
      <c r="I974" s="27"/>
      <c r="J974" s="27"/>
      <c r="K974" s="27">
        <f>Table15[[#This Row],[الايصالات]]+Table15[[#This Row],[النولون]]-Table15[[#This Row],[خصم 3%]]</f>
        <v>0</v>
      </c>
      <c r="L974" s="27"/>
      <c r="M974" s="27">
        <f>Table15[[#This Row],[اجمالي الفاتوره]]-Table15[[#This Row],[الدفعات]]</f>
        <v>0</v>
      </c>
      <c r="N974" s="27"/>
      <c r="O974" s="27"/>
    </row>
    <row r="975" spans="2:15" ht="29.25" customHeight="1" x14ac:dyDescent="0.3">
      <c r="B975" s="27"/>
      <c r="C975" s="27"/>
      <c r="D975" s="27"/>
      <c r="E975" s="27"/>
      <c r="F975" s="27"/>
      <c r="G975" s="27"/>
      <c r="H975" s="27"/>
      <c r="I975" s="27"/>
      <c r="J975" s="27"/>
      <c r="K975" s="27">
        <f>Table15[[#This Row],[الايصالات]]+Table15[[#This Row],[النولون]]-Table15[[#This Row],[خصم 3%]]</f>
        <v>0</v>
      </c>
      <c r="L975" s="27"/>
      <c r="M975" s="27">
        <f>Table15[[#This Row],[اجمالي الفاتوره]]-Table15[[#This Row],[الدفعات]]</f>
        <v>0</v>
      </c>
      <c r="N975" s="27"/>
      <c r="O975" s="27"/>
    </row>
    <row r="976" spans="2:15" ht="29.25" customHeight="1" x14ac:dyDescent="0.3">
      <c r="B976" s="27"/>
      <c r="C976" s="27"/>
      <c r="D976" s="27"/>
      <c r="E976" s="27"/>
      <c r="F976" s="27"/>
      <c r="G976" s="27"/>
      <c r="H976" s="27"/>
      <c r="I976" s="27"/>
      <c r="J976" s="27"/>
      <c r="K976" s="27">
        <f>Table15[[#This Row],[الايصالات]]+Table15[[#This Row],[النولون]]-Table15[[#This Row],[خصم 3%]]</f>
        <v>0</v>
      </c>
      <c r="L976" s="27"/>
      <c r="M976" s="27">
        <f>Table15[[#This Row],[اجمالي الفاتوره]]-Table15[[#This Row],[الدفعات]]</f>
        <v>0</v>
      </c>
      <c r="N976" s="27"/>
      <c r="O976" s="27"/>
    </row>
    <row r="977" spans="2:15" ht="29.25" customHeight="1" x14ac:dyDescent="0.3">
      <c r="B977" s="27"/>
      <c r="C977" s="27"/>
      <c r="D977" s="27"/>
      <c r="E977" s="27"/>
      <c r="F977" s="27"/>
      <c r="G977" s="27"/>
      <c r="H977" s="27"/>
      <c r="I977" s="27"/>
      <c r="J977" s="27"/>
      <c r="K977" s="27">
        <f>Table15[[#This Row],[الايصالات]]+Table15[[#This Row],[النولون]]-Table15[[#This Row],[خصم 3%]]</f>
        <v>0</v>
      </c>
      <c r="L977" s="27"/>
      <c r="M977" s="27">
        <f>Table15[[#This Row],[اجمالي الفاتوره]]-Table15[[#This Row],[الدفعات]]</f>
        <v>0</v>
      </c>
      <c r="N977" s="27"/>
      <c r="O977" s="27"/>
    </row>
    <row r="978" spans="2:15" ht="29.25" customHeight="1" x14ac:dyDescent="0.3">
      <c r="B978" s="27"/>
      <c r="C978" s="27"/>
      <c r="D978" s="27"/>
      <c r="E978" s="27"/>
      <c r="F978" s="27"/>
      <c r="G978" s="27"/>
      <c r="H978" s="27"/>
      <c r="I978" s="27"/>
      <c r="J978" s="27"/>
      <c r="K978" s="27">
        <f>Table15[[#This Row],[الايصالات]]+Table15[[#This Row],[النولون]]-Table15[[#This Row],[خصم 3%]]</f>
        <v>0</v>
      </c>
      <c r="L978" s="27"/>
      <c r="M978" s="27">
        <f>Table15[[#This Row],[اجمالي الفاتوره]]-Table15[[#This Row],[الدفعات]]</f>
        <v>0</v>
      </c>
      <c r="N978" s="27"/>
      <c r="O978" s="27"/>
    </row>
    <row r="979" spans="2:15" ht="29.25" customHeight="1" x14ac:dyDescent="0.3">
      <c r="B979" s="27"/>
      <c r="C979" s="27"/>
      <c r="D979" s="27"/>
      <c r="E979" s="27"/>
      <c r="F979" s="27"/>
      <c r="G979" s="27"/>
      <c r="H979" s="27"/>
      <c r="I979" s="27"/>
      <c r="J979" s="27"/>
      <c r="K979" s="27">
        <f>Table15[[#This Row],[الايصالات]]+Table15[[#This Row],[النولون]]-Table15[[#This Row],[خصم 3%]]</f>
        <v>0</v>
      </c>
      <c r="L979" s="27"/>
      <c r="M979" s="27">
        <f>Table15[[#This Row],[اجمالي الفاتوره]]-Table15[[#This Row],[الدفعات]]</f>
        <v>0</v>
      </c>
      <c r="N979" s="27"/>
      <c r="O979" s="27"/>
    </row>
    <row r="980" spans="2:15" ht="29.25" customHeight="1" x14ac:dyDescent="0.3">
      <c r="B980" s="27"/>
      <c r="C980" s="27"/>
      <c r="D980" s="27"/>
      <c r="E980" s="27"/>
      <c r="F980" s="27"/>
      <c r="G980" s="27"/>
      <c r="H980" s="27"/>
      <c r="I980" s="27"/>
      <c r="J980" s="27"/>
      <c r="K980" s="27">
        <f>Table15[[#This Row],[الايصالات]]+Table15[[#This Row],[النولون]]-Table15[[#This Row],[خصم 3%]]</f>
        <v>0</v>
      </c>
      <c r="L980" s="27"/>
      <c r="M980" s="27">
        <f>Table15[[#This Row],[اجمالي الفاتوره]]-Table15[[#This Row],[الدفعات]]</f>
        <v>0</v>
      </c>
      <c r="N980" s="27"/>
      <c r="O980" s="27"/>
    </row>
    <row r="981" spans="2:15" ht="29.25" customHeight="1" x14ac:dyDescent="0.3">
      <c r="B981" s="27"/>
      <c r="C981" s="27"/>
      <c r="D981" s="27"/>
      <c r="E981" s="27"/>
      <c r="F981" s="27"/>
      <c r="G981" s="27"/>
      <c r="H981" s="27"/>
      <c r="I981" s="27"/>
      <c r="J981" s="27"/>
      <c r="K981" s="27">
        <f>Table15[[#This Row],[الايصالات]]+Table15[[#This Row],[النولون]]-Table15[[#This Row],[خصم 3%]]</f>
        <v>0</v>
      </c>
      <c r="L981" s="27"/>
      <c r="M981" s="27">
        <f>Table15[[#This Row],[اجمالي الفاتوره]]-Table15[[#This Row],[الدفعات]]</f>
        <v>0</v>
      </c>
      <c r="N981" s="27"/>
      <c r="O981" s="27"/>
    </row>
    <row r="982" spans="2:15" ht="29.25" customHeight="1" x14ac:dyDescent="0.3">
      <c r="B982" s="27"/>
      <c r="C982" s="27"/>
      <c r="D982" s="27"/>
      <c r="E982" s="27"/>
      <c r="F982" s="27"/>
      <c r="G982" s="27"/>
      <c r="H982" s="27"/>
      <c r="I982" s="27"/>
      <c r="J982" s="27"/>
      <c r="K982" s="27">
        <f>Table15[[#This Row],[الايصالات]]+Table15[[#This Row],[النولون]]-Table15[[#This Row],[خصم 3%]]</f>
        <v>0</v>
      </c>
      <c r="L982" s="27"/>
      <c r="M982" s="27">
        <f>Table15[[#This Row],[اجمالي الفاتوره]]-Table15[[#This Row],[الدفعات]]</f>
        <v>0</v>
      </c>
      <c r="N982" s="27"/>
      <c r="O982" s="27"/>
    </row>
    <row r="983" spans="2:15" ht="29.25" customHeight="1" x14ac:dyDescent="0.3">
      <c r="B983" s="27"/>
      <c r="C983" s="27"/>
      <c r="D983" s="27"/>
      <c r="E983" s="27"/>
      <c r="F983" s="27"/>
      <c r="G983" s="27"/>
      <c r="H983" s="27"/>
      <c r="I983" s="27"/>
      <c r="J983" s="27"/>
      <c r="K983" s="27">
        <f>Table15[[#This Row],[الايصالات]]+Table15[[#This Row],[النولون]]-Table15[[#This Row],[خصم 3%]]</f>
        <v>0</v>
      </c>
      <c r="L983" s="27"/>
      <c r="M983" s="27">
        <f>Table15[[#This Row],[اجمالي الفاتوره]]-Table15[[#This Row],[الدفعات]]</f>
        <v>0</v>
      </c>
      <c r="N983" s="27"/>
      <c r="O983" s="27"/>
    </row>
    <row r="984" spans="2:15" ht="29.25" customHeight="1" x14ac:dyDescent="0.3">
      <c r="B984" s="27"/>
      <c r="C984" s="27"/>
      <c r="D984" s="27"/>
      <c r="E984" s="27"/>
      <c r="F984" s="27"/>
      <c r="G984" s="27"/>
      <c r="H984" s="27"/>
      <c r="I984" s="27"/>
      <c r="J984" s="27"/>
      <c r="K984" s="27">
        <f>Table15[[#This Row],[الايصالات]]+Table15[[#This Row],[النولون]]-Table15[[#This Row],[خصم 3%]]</f>
        <v>0</v>
      </c>
      <c r="L984" s="27"/>
      <c r="M984" s="27">
        <f>Table15[[#This Row],[اجمالي الفاتوره]]-Table15[[#This Row],[الدفعات]]</f>
        <v>0</v>
      </c>
      <c r="N984" s="27"/>
      <c r="O984" s="27"/>
    </row>
    <row r="985" spans="2:15" ht="29.25" customHeight="1" x14ac:dyDescent="0.3">
      <c r="B985" s="27"/>
      <c r="C985" s="27"/>
      <c r="D985" s="27"/>
      <c r="E985" s="27"/>
      <c r="F985" s="27"/>
      <c r="G985" s="27"/>
      <c r="H985" s="27"/>
      <c r="I985" s="27"/>
      <c r="J985" s="27"/>
      <c r="K985" s="27">
        <f>Table15[[#This Row],[الايصالات]]+Table15[[#This Row],[النولون]]-Table15[[#This Row],[خصم 3%]]</f>
        <v>0</v>
      </c>
      <c r="L985" s="27"/>
      <c r="M985" s="27">
        <f>Table15[[#This Row],[اجمالي الفاتوره]]-Table15[[#This Row],[الدفعات]]</f>
        <v>0</v>
      </c>
      <c r="N985" s="27"/>
      <c r="O985" s="27"/>
    </row>
    <row r="986" spans="2:15" ht="29.25" customHeight="1" x14ac:dyDescent="0.3">
      <c r="B986" s="27"/>
      <c r="C986" s="27"/>
      <c r="D986" s="27"/>
      <c r="E986" s="27"/>
      <c r="F986" s="27"/>
      <c r="G986" s="27"/>
      <c r="H986" s="27"/>
      <c r="I986" s="27"/>
      <c r="J986" s="27"/>
      <c r="K986" s="27">
        <f>Table15[[#This Row],[الايصالات]]+Table15[[#This Row],[النولون]]-Table15[[#This Row],[خصم 3%]]</f>
        <v>0</v>
      </c>
      <c r="L986" s="27"/>
      <c r="M986" s="27">
        <f>Table15[[#This Row],[اجمالي الفاتوره]]-Table15[[#This Row],[الدفعات]]</f>
        <v>0</v>
      </c>
      <c r="N986" s="27"/>
      <c r="O986" s="27"/>
    </row>
    <row r="987" spans="2:15" ht="29.25" customHeight="1" x14ac:dyDescent="0.3">
      <c r="B987" s="27"/>
      <c r="C987" s="27"/>
      <c r="D987" s="27"/>
      <c r="E987" s="27"/>
      <c r="F987" s="27"/>
      <c r="G987" s="27"/>
      <c r="H987" s="27"/>
      <c r="I987" s="27"/>
      <c r="J987" s="27"/>
      <c r="K987" s="27">
        <f>Table15[[#This Row],[الايصالات]]+Table15[[#This Row],[النولون]]-Table15[[#This Row],[خصم 3%]]</f>
        <v>0</v>
      </c>
      <c r="L987" s="27"/>
      <c r="M987" s="27">
        <f>Table15[[#This Row],[اجمالي الفاتوره]]-Table15[[#This Row],[الدفعات]]</f>
        <v>0</v>
      </c>
      <c r="N987" s="27"/>
      <c r="O987" s="27"/>
    </row>
    <row r="988" spans="2:15" ht="29.25" customHeight="1" x14ac:dyDescent="0.3">
      <c r="B988" s="27"/>
      <c r="C988" s="27"/>
      <c r="D988" s="27"/>
      <c r="E988" s="27"/>
      <c r="F988" s="27"/>
      <c r="G988" s="27"/>
      <c r="H988" s="27"/>
      <c r="I988" s="27"/>
      <c r="J988" s="27"/>
      <c r="K988" s="27">
        <f>Table15[[#This Row],[الايصالات]]+Table15[[#This Row],[النولون]]-Table15[[#This Row],[خصم 3%]]</f>
        <v>0</v>
      </c>
      <c r="L988" s="27"/>
      <c r="M988" s="27">
        <f>Table15[[#This Row],[اجمالي الفاتوره]]-Table15[[#This Row],[الدفعات]]</f>
        <v>0</v>
      </c>
      <c r="N988" s="27"/>
      <c r="O988" s="27"/>
    </row>
    <row r="989" spans="2:15" ht="29.25" customHeight="1" x14ac:dyDescent="0.3">
      <c r="B989" s="27"/>
      <c r="C989" s="27"/>
      <c r="D989" s="27"/>
      <c r="E989" s="27"/>
      <c r="F989" s="27"/>
      <c r="G989" s="27"/>
      <c r="H989" s="27"/>
      <c r="I989" s="27"/>
      <c r="J989" s="27"/>
      <c r="K989" s="27">
        <f>Table15[[#This Row],[الايصالات]]+Table15[[#This Row],[النولون]]-Table15[[#This Row],[خصم 3%]]</f>
        <v>0</v>
      </c>
      <c r="L989" s="27"/>
      <c r="M989" s="27">
        <f>Table15[[#This Row],[اجمالي الفاتوره]]-Table15[[#This Row],[الدفعات]]</f>
        <v>0</v>
      </c>
      <c r="N989" s="27"/>
      <c r="O989" s="27"/>
    </row>
    <row r="990" spans="2:15" ht="29.25" customHeight="1" x14ac:dyDescent="0.3">
      <c r="B990" s="27"/>
      <c r="C990" s="27"/>
      <c r="D990" s="27"/>
      <c r="E990" s="27"/>
      <c r="F990" s="27"/>
      <c r="G990" s="27"/>
      <c r="H990" s="27"/>
      <c r="I990" s="27"/>
      <c r="J990" s="27"/>
      <c r="K990" s="27">
        <f>Table15[[#This Row],[الايصالات]]+Table15[[#This Row],[النولون]]-Table15[[#This Row],[خصم 3%]]</f>
        <v>0</v>
      </c>
      <c r="L990" s="27"/>
      <c r="M990" s="27">
        <f>Table15[[#This Row],[اجمالي الفاتوره]]-Table15[[#This Row],[الدفعات]]</f>
        <v>0</v>
      </c>
      <c r="N990" s="27"/>
      <c r="O990" s="27"/>
    </row>
    <row r="991" spans="2:15" ht="29.25" customHeight="1" x14ac:dyDescent="0.3">
      <c r="B991" s="27"/>
      <c r="C991" s="27"/>
      <c r="D991" s="27"/>
      <c r="E991" s="27"/>
      <c r="F991" s="27"/>
      <c r="G991" s="27"/>
      <c r="H991" s="27"/>
      <c r="I991" s="27"/>
      <c r="J991" s="27"/>
      <c r="K991" s="27">
        <f>Table15[[#This Row],[الايصالات]]+Table15[[#This Row],[النولون]]-Table15[[#This Row],[خصم 3%]]</f>
        <v>0</v>
      </c>
      <c r="L991" s="27"/>
      <c r="M991" s="27">
        <f>Table15[[#This Row],[اجمالي الفاتوره]]-Table15[[#This Row],[الدفعات]]</f>
        <v>0</v>
      </c>
      <c r="N991" s="27"/>
      <c r="O991" s="27"/>
    </row>
    <row r="992" spans="2:15" ht="29.25" customHeight="1" x14ac:dyDescent="0.3">
      <c r="B992" s="27"/>
      <c r="C992" s="27"/>
      <c r="D992" s="27"/>
      <c r="E992" s="27"/>
      <c r="F992" s="27"/>
      <c r="G992" s="27"/>
      <c r="H992" s="27"/>
      <c r="I992" s="27"/>
      <c r="J992" s="27"/>
      <c r="K992" s="27">
        <f>Table15[[#This Row],[الايصالات]]+Table15[[#This Row],[النولون]]-Table15[[#This Row],[خصم 3%]]</f>
        <v>0</v>
      </c>
      <c r="L992" s="27"/>
      <c r="M992" s="27">
        <f>Table15[[#This Row],[اجمالي الفاتوره]]-Table15[[#This Row],[الدفعات]]</f>
        <v>0</v>
      </c>
      <c r="N992" s="27"/>
      <c r="O992" s="27"/>
    </row>
    <row r="993" spans="2:15" ht="29.25" customHeight="1" x14ac:dyDescent="0.3">
      <c r="B993" s="27"/>
      <c r="C993" s="27"/>
      <c r="D993" s="27"/>
      <c r="E993" s="27"/>
      <c r="F993" s="27"/>
      <c r="G993" s="27"/>
      <c r="H993" s="27"/>
      <c r="I993" s="27"/>
      <c r="J993" s="27"/>
      <c r="K993" s="27">
        <f>Table15[[#This Row],[الايصالات]]+Table15[[#This Row],[النولون]]-Table15[[#This Row],[خصم 3%]]</f>
        <v>0</v>
      </c>
      <c r="L993" s="27"/>
      <c r="M993" s="27">
        <f>Table15[[#This Row],[اجمالي الفاتوره]]-Table15[[#This Row],[الدفعات]]</f>
        <v>0</v>
      </c>
      <c r="N993" s="27"/>
      <c r="O993" s="27"/>
    </row>
    <row r="994" spans="2:15" ht="29.25" customHeight="1" x14ac:dyDescent="0.3">
      <c r="B994" s="27"/>
      <c r="C994" s="27"/>
      <c r="D994" s="27"/>
      <c r="E994" s="27"/>
      <c r="F994" s="27"/>
      <c r="G994" s="27"/>
      <c r="H994" s="27"/>
      <c r="I994" s="27"/>
      <c r="J994" s="27"/>
      <c r="K994" s="27">
        <f>Table15[[#This Row],[الايصالات]]+Table15[[#This Row],[النولون]]-Table15[[#This Row],[خصم 3%]]</f>
        <v>0</v>
      </c>
      <c r="L994" s="27"/>
      <c r="M994" s="27">
        <f>Table15[[#This Row],[اجمالي الفاتوره]]-Table15[[#This Row],[الدفعات]]</f>
        <v>0</v>
      </c>
      <c r="N994" s="27"/>
      <c r="O994" s="27"/>
    </row>
    <row r="995" spans="2:15" ht="29.25" customHeight="1" x14ac:dyDescent="0.3">
      <c r="B995" s="27"/>
      <c r="C995" s="27"/>
      <c r="D995" s="27"/>
      <c r="E995" s="27"/>
      <c r="F995" s="27"/>
      <c r="G995" s="27"/>
      <c r="H995" s="27"/>
      <c r="I995" s="27"/>
      <c r="J995" s="27"/>
      <c r="K995" s="27">
        <f>Table15[[#This Row],[الايصالات]]+Table15[[#This Row],[النولون]]-Table15[[#This Row],[خصم 3%]]</f>
        <v>0</v>
      </c>
      <c r="L995" s="27"/>
      <c r="M995" s="27">
        <f>Table15[[#This Row],[اجمالي الفاتوره]]-Table15[[#This Row],[الدفعات]]</f>
        <v>0</v>
      </c>
      <c r="N995" s="27"/>
      <c r="O995" s="27"/>
    </row>
    <row r="996" spans="2:15" ht="29.25" customHeight="1" x14ac:dyDescent="0.3">
      <c r="B996" s="27"/>
      <c r="C996" s="27"/>
      <c r="D996" s="27"/>
      <c r="E996" s="27"/>
      <c r="F996" s="27"/>
      <c r="G996" s="27"/>
      <c r="H996" s="27"/>
      <c r="I996" s="27"/>
      <c r="J996" s="27"/>
      <c r="K996" s="27">
        <f>Table15[[#This Row],[الايصالات]]+Table15[[#This Row],[النولون]]-Table15[[#This Row],[خصم 3%]]</f>
        <v>0</v>
      </c>
      <c r="L996" s="27"/>
      <c r="M996" s="27">
        <f>Table15[[#This Row],[اجمالي الفاتوره]]-Table15[[#This Row],[الدفعات]]</f>
        <v>0</v>
      </c>
      <c r="N996" s="27"/>
      <c r="O996" s="27"/>
    </row>
    <row r="997" spans="2:15" ht="29.25" customHeight="1" x14ac:dyDescent="0.3">
      <c r="B997" s="27"/>
      <c r="C997" s="27"/>
      <c r="D997" s="27"/>
      <c r="E997" s="27"/>
      <c r="F997" s="27"/>
      <c r="G997" s="27"/>
      <c r="H997" s="27"/>
      <c r="I997" s="27"/>
      <c r="J997" s="27"/>
      <c r="K997" s="27">
        <f>Table15[[#This Row],[الايصالات]]+Table15[[#This Row],[النولون]]-Table15[[#This Row],[خصم 3%]]</f>
        <v>0</v>
      </c>
      <c r="L997" s="27"/>
      <c r="M997" s="27">
        <f>Table15[[#This Row],[اجمالي الفاتوره]]-Table15[[#This Row],[الدفعات]]</f>
        <v>0</v>
      </c>
      <c r="N997" s="27"/>
      <c r="O997" s="27"/>
    </row>
    <row r="998" spans="2:15" ht="29.25" customHeight="1" x14ac:dyDescent="0.3">
      <c r="B998" s="27"/>
      <c r="C998" s="27"/>
      <c r="D998" s="27"/>
      <c r="E998" s="27"/>
      <c r="F998" s="27"/>
      <c r="G998" s="27"/>
      <c r="H998" s="27"/>
      <c r="I998" s="27"/>
      <c r="J998" s="27"/>
      <c r="K998" s="27">
        <f>Table15[[#This Row],[الايصالات]]+Table15[[#This Row],[النولون]]-Table15[[#This Row],[خصم 3%]]</f>
        <v>0</v>
      </c>
      <c r="L998" s="27"/>
      <c r="M998" s="27">
        <f>Table15[[#This Row],[اجمالي الفاتوره]]-Table15[[#This Row],[الدفعات]]</f>
        <v>0</v>
      </c>
      <c r="N998" s="27"/>
      <c r="O998" s="27"/>
    </row>
    <row r="999" spans="2:15" ht="29.25" customHeight="1" x14ac:dyDescent="0.3">
      <c r="B999" s="27"/>
      <c r="C999" s="27"/>
      <c r="D999" s="27"/>
      <c r="E999" s="27"/>
      <c r="F999" s="27"/>
      <c r="G999" s="27"/>
      <c r="H999" s="27"/>
      <c r="I999" s="27"/>
      <c r="J999" s="27"/>
      <c r="K999" s="27">
        <f>Table15[[#This Row],[الايصالات]]+Table15[[#This Row],[النولون]]-Table15[[#This Row],[خصم 3%]]</f>
        <v>0</v>
      </c>
      <c r="L999" s="27"/>
      <c r="M999" s="27">
        <f>Table15[[#This Row],[اجمالي الفاتوره]]-Table15[[#This Row],[الدفعات]]</f>
        <v>0</v>
      </c>
      <c r="N999" s="27"/>
      <c r="O999" s="27"/>
    </row>
    <row r="1000" spans="2:15" ht="29.25" customHeight="1" x14ac:dyDescent="0.3">
      <c r="B1000" s="27"/>
      <c r="C1000" s="27"/>
      <c r="D1000" s="27"/>
      <c r="E1000" s="27"/>
      <c r="F1000" s="27"/>
      <c r="G1000" s="27"/>
      <c r="H1000" s="27"/>
      <c r="I1000" s="27"/>
      <c r="J1000" s="27"/>
      <c r="K1000" s="27">
        <f>Table15[[#This Row],[الايصالات]]+Table15[[#This Row],[النولون]]-Table15[[#This Row],[خصم 3%]]</f>
        <v>0</v>
      </c>
      <c r="L1000" s="27"/>
      <c r="M1000" s="27">
        <f>Table15[[#This Row],[اجمالي الفاتوره]]-Table15[[#This Row],[الدفعات]]</f>
        <v>0</v>
      </c>
      <c r="N1000" s="27"/>
      <c r="O1000" s="27"/>
    </row>
    <row r="1001" spans="2:15" ht="29.25" customHeight="1" x14ac:dyDescent="0.3">
      <c r="B1001" s="27"/>
      <c r="C1001" s="27"/>
      <c r="D1001" s="27"/>
      <c r="E1001" s="27"/>
      <c r="F1001" s="27"/>
      <c r="G1001" s="27"/>
      <c r="H1001" s="27"/>
      <c r="I1001" s="27"/>
      <c r="J1001" s="27"/>
      <c r="K1001" s="27">
        <f>Table15[[#This Row],[الايصالات]]+Table15[[#This Row],[النولون]]-Table15[[#This Row],[خصم 3%]]</f>
        <v>0</v>
      </c>
      <c r="L1001" s="27"/>
      <c r="M1001" s="27">
        <f>Table15[[#This Row],[اجمالي الفاتوره]]-Table15[[#This Row],[الدفعات]]</f>
        <v>0</v>
      </c>
      <c r="N1001" s="27"/>
      <c r="O1001" s="27"/>
    </row>
    <row r="1002" spans="2:15" ht="29.25" customHeight="1" x14ac:dyDescent="0.3">
      <c r="B1002" s="27"/>
      <c r="C1002" s="27"/>
      <c r="D1002" s="27"/>
      <c r="E1002" s="27"/>
      <c r="F1002" s="27"/>
      <c r="G1002" s="27"/>
      <c r="H1002" s="27"/>
      <c r="I1002" s="27"/>
      <c r="J1002" s="27"/>
      <c r="K1002" s="27">
        <f>Table15[[#This Row],[الايصالات]]+Table15[[#This Row],[النولون]]-Table15[[#This Row],[خصم 3%]]</f>
        <v>0</v>
      </c>
      <c r="L1002" s="27"/>
      <c r="M1002" s="27">
        <f>Table15[[#This Row],[اجمالي الفاتوره]]-Table15[[#This Row],[الدفعات]]</f>
        <v>0</v>
      </c>
      <c r="N1002" s="27"/>
      <c r="O1002" s="27"/>
    </row>
    <row r="1003" spans="2:15" ht="29.25" customHeight="1" x14ac:dyDescent="0.3">
      <c r="B1003" s="27"/>
      <c r="C1003" s="27"/>
      <c r="D1003" s="27"/>
      <c r="E1003" s="27"/>
      <c r="F1003" s="27"/>
      <c r="G1003" s="27"/>
      <c r="H1003" s="27"/>
      <c r="I1003" s="27"/>
      <c r="J1003" s="27"/>
      <c r="K1003" s="27">
        <f>Table15[[#This Row],[الايصالات]]+Table15[[#This Row],[النولون]]-Table15[[#This Row],[خصم 3%]]</f>
        <v>0</v>
      </c>
      <c r="L1003" s="27"/>
      <c r="M1003" s="27">
        <f>Table15[[#This Row],[اجمالي الفاتوره]]-Table15[[#This Row],[الدفعات]]</f>
        <v>0</v>
      </c>
      <c r="N1003" s="27"/>
      <c r="O1003" s="27"/>
    </row>
    <row r="1004" spans="2:15" ht="29.25" customHeight="1" x14ac:dyDescent="0.3">
      <c r="B1004" s="27"/>
      <c r="C1004" s="27"/>
      <c r="D1004" s="27"/>
      <c r="E1004" s="27"/>
      <c r="F1004" s="27"/>
      <c r="G1004" s="27"/>
      <c r="H1004" s="27"/>
      <c r="I1004" s="27"/>
      <c r="J1004" s="27"/>
      <c r="K1004" s="27">
        <f>Table15[[#This Row],[الايصالات]]+Table15[[#This Row],[النولون]]-Table15[[#This Row],[خصم 3%]]</f>
        <v>0</v>
      </c>
      <c r="L1004" s="27"/>
      <c r="M1004" s="27">
        <f>Table15[[#This Row],[اجمالي الفاتوره]]-Table15[[#This Row],[الدفعات]]</f>
        <v>0</v>
      </c>
      <c r="N1004" s="27"/>
      <c r="O1004" s="27"/>
    </row>
    <row r="1005" spans="2:15" ht="29.25" customHeight="1" x14ac:dyDescent="0.3">
      <c r="B1005" s="27"/>
      <c r="C1005" s="27"/>
      <c r="D1005" s="27"/>
      <c r="E1005" s="27"/>
      <c r="F1005" s="27"/>
      <c r="G1005" s="27"/>
      <c r="H1005" s="27"/>
      <c r="I1005" s="27"/>
      <c r="J1005" s="27"/>
      <c r="K1005" s="27">
        <f>Table15[[#This Row],[الايصالات]]+Table15[[#This Row],[النولون]]-Table15[[#This Row],[خصم 3%]]</f>
        <v>0</v>
      </c>
      <c r="L1005" s="27"/>
      <c r="M1005" s="27">
        <f>Table15[[#This Row],[اجمالي الفاتوره]]-Table15[[#This Row],[الدفعات]]</f>
        <v>0</v>
      </c>
      <c r="N1005" s="27"/>
      <c r="O1005" s="27"/>
    </row>
    <row r="1006" spans="2:15" ht="29.25" customHeight="1" x14ac:dyDescent="0.3">
      <c r="B1006" s="27"/>
      <c r="C1006" s="27"/>
      <c r="D1006" s="27"/>
      <c r="E1006" s="27"/>
      <c r="F1006" s="27"/>
      <c r="G1006" s="27"/>
      <c r="H1006" s="27"/>
      <c r="I1006" s="27"/>
      <c r="J1006" s="27"/>
      <c r="K1006" s="27">
        <f>Table15[[#This Row],[الايصالات]]+Table15[[#This Row],[النولون]]-Table15[[#This Row],[خصم 3%]]</f>
        <v>0</v>
      </c>
      <c r="L1006" s="27"/>
      <c r="M1006" s="27">
        <f>Table15[[#This Row],[اجمالي الفاتوره]]-Table15[[#This Row],[الدفعات]]</f>
        <v>0</v>
      </c>
      <c r="N1006" s="27"/>
      <c r="O1006" s="27"/>
    </row>
    <row r="1007" spans="2:15" ht="29.25" customHeight="1" x14ac:dyDescent="0.3">
      <c r="B1007" s="27"/>
      <c r="C1007" s="27"/>
      <c r="D1007" s="27"/>
      <c r="E1007" s="27"/>
      <c r="F1007" s="27"/>
      <c r="G1007" s="27"/>
      <c r="H1007" s="27"/>
      <c r="I1007" s="27"/>
      <c r="J1007" s="27"/>
      <c r="K1007" s="27">
        <f>Table15[[#This Row],[الايصالات]]+Table15[[#This Row],[النولون]]-Table15[[#This Row],[خصم 3%]]</f>
        <v>0</v>
      </c>
      <c r="L1007" s="27"/>
      <c r="M1007" s="27">
        <f>Table15[[#This Row],[اجمالي الفاتوره]]-Table15[[#This Row],[الدفعات]]</f>
        <v>0</v>
      </c>
      <c r="N1007" s="27"/>
      <c r="O1007" s="27"/>
    </row>
    <row r="1008" spans="2:15" ht="29.25" customHeight="1" x14ac:dyDescent="0.3">
      <c r="B1008" s="27"/>
      <c r="C1008" s="27"/>
      <c r="D1008" s="27"/>
      <c r="E1008" s="27"/>
      <c r="F1008" s="27"/>
      <c r="G1008" s="27"/>
      <c r="H1008" s="27"/>
      <c r="I1008" s="27"/>
      <c r="J1008" s="27"/>
      <c r="K1008" s="27">
        <f>Table15[[#This Row],[الايصالات]]+Table15[[#This Row],[النولون]]-Table15[[#This Row],[خصم 3%]]</f>
        <v>0</v>
      </c>
      <c r="L1008" s="27"/>
      <c r="M1008" s="27">
        <f>Table15[[#This Row],[اجمالي الفاتوره]]-Table15[[#This Row],[الدفعات]]</f>
        <v>0</v>
      </c>
      <c r="N1008" s="27"/>
      <c r="O1008" s="27"/>
    </row>
    <row r="1009" spans="2:15" ht="29.25" customHeight="1" x14ac:dyDescent="0.3">
      <c r="B1009" s="27"/>
      <c r="C1009" s="27"/>
      <c r="D1009" s="27"/>
      <c r="E1009" s="27"/>
      <c r="F1009" s="27"/>
      <c r="G1009" s="27"/>
      <c r="H1009" s="27"/>
      <c r="I1009" s="27"/>
      <c r="J1009" s="27"/>
      <c r="K1009" s="27">
        <f>Table15[[#This Row],[الايصالات]]+Table15[[#This Row],[النولون]]-Table15[[#This Row],[خصم 3%]]</f>
        <v>0</v>
      </c>
      <c r="L1009" s="27"/>
      <c r="M1009" s="27">
        <f>Table15[[#This Row],[اجمالي الفاتوره]]-Table15[[#This Row],[الدفعات]]</f>
        <v>0</v>
      </c>
      <c r="N1009" s="27"/>
      <c r="O1009" s="27"/>
    </row>
    <row r="1010" spans="2:15" ht="29.25" customHeight="1" x14ac:dyDescent="0.3">
      <c r="B1010" s="27"/>
      <c r="C1010" s="27"/>
      <c r="D1010" s="27"/>
      <c r="E1010" s="27"/>
      <c r="F1010" s="27"/>
      <c r="G1010" s="27"/>
      <c r="H1010" s="27"/>
      <c r="I1010" s="27"/>
      <c r="J1010" s="27"/>
      <c r="K1010" s="27">
        <f>Table15[[#This Row],[الايصالات]]+Table15[[#This Row],[النولون]]-Table15[[#This Row],[خصم 3%]]</f>
        <v>0</v>
      </c>
      <c r="L1010" s="27"/>
      <c r="M1010" s="27">
        <f>Table15[[#This Row],[اجمالي الفاتوره]]-Table15[[#This Row],[الدفعات]]</f>
        <v>0</v>
      </c>
      <c r="N1010" s="27"/>
      <c r="O1010" s="27"/>
    </row>
    <row r="1011" spans="2:15" ht="29.25" customHeight="1" x14ac:dyDescent="0.3">
      <c r="B1011" s="27"/>
      <c r="C1011" s="27"/>
      <c r="D1011" s="27"/>
      <c r="E1011" s="27"/>
      <c r="F1011" s="27"/>
      <c r="G1011" s="27"/>
      <c r="H1011" s="27"/>
      <c r="I1011" s="27"/>
      <c r="J1011" s="27"/>
      <c r="K1011" s="27">
        <f>Table15[[#This Row],[الايصالات]]+Table15[[#This Row],[النولون]]-Table15[[#This Row],[خصم 3%]]</f>
        <v>0</v>
      </c>
      <c r="L1011" s="27"/>
      <c r="M1011" s="27">
        <f>Table15[[#This Row],[اجمالي الفاتوره]]-Table15[[#This Row],[الدفعات]]</f>
        <v>0</v>
      </c>
      <c r="N1011" s="27"/>
      <c r="O1011" s="27"/>
    </row>
    <row r="1012" spans="2:15" ht="29.25" customHeight="1" x14ac:dyDescent="0.3">
      <c r="B1012" s="27"/>
      <c r="C1012" s="27"/>
      <c r="D1012" s="27"/>
      <c r="E1012" s="27"/>
      <c r="F1012" s="27"/>
      <c r="G1012" s="27"/>
      <c r="H1012" s="27"/>
      <c r="I1012" s="27"/>
      <c r="J1012" s="27"/>
      <c r="K1012" s="27">
        <f>Table15[[#This Row],[الايصالات]]+Table15[[#This Row],[النولون]]-Table15[[#This Row],[خصم 3%]]</f>
        <v>0</v>
      </c>
      <c r="L1012" s="27"/>
      <c r="M1012" s="27">
        <f>Table15[[#This Row],[اجمالي الفاتوره]]-Table15[[#This Row],[الدفعات]]</f>
        <v>0</v>
      </c>
      <c r="N1012" s="27"/>
      <c r="O1012" s="27"/>
    </row>
    <row r="1013" spans="2:15" ht="29.25" customHeight="1" x14ac:dyDescent="0.3">
      <c r="B1013" s="27"/>
      <c r="C1013" s="27"/>
      <c r="D1013" s="27"/>
      <c r="E1013" s="27"/>
      <c r="F1013" s="27"/>
      <c r="G1013" s="27"/>
      <c r="H1013" s="27"/>
      <c r="I1013" s="27"/>
      <c r="J1013" s="27"/>
      <c r="K1013" s="27">
        <f>Table15[[#This Row],[الايصالات]]+Table15[[#This Row],[النولون]]-Table15[[#This Row],[خصم 3%]]</f>
        <v>0</v>
      </c>
      <c r="L1013" s="27"/>
      <c r="M1013" s="27">
        <f>Table15[[#This Row],[اجمالي الفاتوره]]-Table15[[#This Row],[الدفعات]]</f>
        <v>0</v>
      </c>
      <c r="N1013" s="27"/>
      <c r="O1013" s="27"/>
    </row>
    <row r="1014" spans="2:15" ht="29.25" customHeight="1" x14ac:dyDescent="0.3">
      <c r="B1014" s="27"/>
      <c r="C1014" s="27"/>
      <c r="D1014" s="27"/>
      <c r="E1014" s="27"/>
      <c r="F1014" s="27"/>
      <c r="G1014" s="27"/>
      <c r="H1014" s="27"/>
      <c r="I1014" s="27"/>
      <c r="J1014" s="27"/>
      <c r="K1014" s="27">
        <f>Table15[[#This Row],[الايصالات]]+Table15[[#This Row],[النولون]]-Table15[[#This Row],[خصم 3%]]</f>
        <v>0</v>
      </c>
      <c r="L1014" s="27"/>
      <c r="M1014" s="27">
        <f>Table15[[#This Row],[اجمالي الفاتوره]]-Table15[[#This Row],[الدفعات]]</f>
        <v>0</v>
      </c>
      <c r="N1014" s="27"/>
      <c r="O1014" s="27"/>
    </row>
    <row r="1015" spans="2:15" ht="29.25" customHeight="1" x14ac:dyDescent="0.3">
      <c r="B1015" s="27"/>
      <c r="C1015" s="27"/>
      <c r="D1015" s="27"/>
      <c r="E1015" s="27"/>
      <c r="F1015" s="27"/>
      <c r="G1015" s="27"/>
      <c r="H1015" s="27"/>
      <c r="I1015" s="27"/>
      <c r="J1015" s="27"/>
      <c r="K1015" s="27">
        <f>Table15[[#This Row],[الايصالات]]+Table15[[#This Row],[النولون]]-Table15[[#This Row],[خصم 3%]]</f>
        <v>0</v>
      </c>
      <c r="L1015" s="27"/>
      <c r="M1015" s="27">
        <f>Table15[[#This Row],[اجمالي الفاتوره]]-Table15[[#This Row],[الدفعات]]</f>
        <v>0</v>
      </c>
      <c r="N1015" s="27"/>
      <c r="O1015" s="27"/>
    </row>
    <row r="1016" spans="2:15" ht="29.25" customHeight="1" x14ac:dyDescent="0.3">
      <c r="B1016" s="27"/>
      <c r="C1016" s="27"/>
      <c r="D1016" s="27"/>
      <c r="E1016" s="27"/>
      <c r="F1016" s="27"/>
      <c r="G1016" s="27"/>
      <c r="H1016" s="27"/>
      <c r="I1016" s="27"/>
      <c r="J1016" s="27"/>
      <c r="K1016" s="27">
        <f>Table15[[#This Row],[الايصالات]]+Table15[[#This Row],[النولون]]-Table15[[#This Row],[خصم 3%]]</f>
        <v>0</v>
      </c>
      <c r="L1016" s="27"/>
      <c r="M1016" s="27">
        <f>Table15[[#This Row],[اجمالي الفاتوره]]-Table15[[#This Row],[الدفعات]]</f>
        <v>0</v>
      </c>
      <c r="N1016" s="27"/>
      <c r="O1016" s="27"/>
    </row>
    <row r="1017" spans="2:15" ht="29.25" customHeight="1" x14ac:dyDescent="0.3">
      <c r="B1017" s="27"/>
      <c r="C1017" s="27"/>
      <c r="D1017" s="27"/>
      <c r="E1017" s="27"/>
      <c r="F1017" s="27"/>
      <c r="G1017" s="27"/>
      <c r="H1017" s="27"/>
      <c r="I1017" s="27"/>
      <c r="J1017" s="27"/>
      <c r="K1017" s="27">
        <f>Table15[[#This Row],[الايصالات]]+Table15[[#This Row],[النولون]]-Table15[[#This Row],[خصم 3%]]</f>
        <v>0</v>
      </c>
      <c r="L1017" s="27"/>
      <c r="M1017" s="27">
        <f>Table15[[#This Row],[اجمالي الفاتوره]]-Table15[[#This Row],[الدفعات]]</f>
        <v>0</v>
      </c>
      <c r="N1017" s="27"/>
      <c r="O1017" s="27"/>
    </row>
    <row r="1018" spans="2:15" ht="29.25" customHeight="1" x14ac:dyDescent="0.3">
      <c r="B1018" s="27"/>
      <c r="C1018" s="27"/>
      <c r="D1018" s="27"/>
      <c r="E1018" s="27"/>
      <c r="F1018" s="27"/>
      <c r="G1018" s="27"/>
      <c r="H1018" s="27"/>
      <c r="I1018" s="27"/>
      <c r="J1018" s="27"/>
      <c r="K1018" s="27">
        <f>Table15[[#This Row],[الايصالات]]+Table15[[#This Row],[النولون]]-Table15[[#This Row],[خصم 3%]]</f>
        <v>0</v>
      </c>
      <c r="L1018" s="27"/>
      <c r="M1018" s="27">
        <f>Table15[[#This Row],[اجمالي الفاتوره]]-Table15[[#This Row],[الدفعات]]</f>
        <v>0</v>
      </c>
      <c r="N1018" s="27"/>
      <c r="O1018" s="27"/>
    </row>
    <row r="1019" spans="2:15" ht="29.25" customHeight="1" x14ac:dyDescent="0.3">
      <c r="B1019" s="27"/>
      <c r="C1019" s="27"/>
      <c r="D1019" s="27"/>
      <c r="E1019" s="27"/>
      <c r="F1019" s="27"/>
      <c r="G1019" s="27"/>
      <c r="H1019" s="27"/>
      <c r="I1019" s="27"/>
      <c r="J1019" s="27"/>
      <c r="K1019" s="27">
        <f>Table15[[#This Row],[الايصالات]]+Table15[[#This Row],[النولون]]-Table15[[#This Row],[خصم 3%]]</f>
        <v>0</v>
      </c>
      <c r="L1019" s="27"/>
      <c r="M1019" s="27">
        <f>Table15[[#This Row],[اجمالي الفاتوره]]-Table15[[#This Row],[الدفعات]]</f>
        <v>0</v>
      </c>
      <c r="N1019" s="27"/>
      <c r="O1019" s="27"/>
    </row>
    <row r="1020" spans="2:15" ht="29.25" customHeight="1" x14ac:dyDescent="0.3">
      <c r="B1020" s="27"/>
      <c r="C1020" s="27"/>
      <c r="D1020" s="27"/>
      <c r="E1020" s="27"/>
      <c r="F1020" s="27"/>
      <c r="G1020" s="27"/>
      <c r="H1020" s="27"/>
      <c r="I1020" s="27"/>
      <c r="J1020" s="27"/>
      <c r="K1020" s="27">
        <f>Table15[[#This Row],[الايصالات]]+Table15[[#This Row],[النولون]]-Table15[[#This Row],[خصم 3%]]</f>
        <v>0</v>
      </c>
      <c r="L1020" s="27"/>
      <c r="M1020" s="27">
        <f>Table15[[#This Row],[اجمالي الفاتوره]]-Table15[[#This Row],[الدفعات]]</f>
        <v>0</v>
      </c>
      <c r="N1020" s="27"/>
      <c r="O1020" s="27"/>
    </row>
    <row r="1021" spans="2:15" ht="29.25" customHeight="1" x14ac:dyDescent="0.3">
      <c r="B1021" s="27"/>
      <c r="C1021" s="27"/>
      <c r="D1021" s="27"/>
      <c r="E1021" s="27"/>
      <c r="F1021" s="27"/>
      <c r="G1021" s="27"/>
      <c r="H1021" s="27"/>
      <c r="I1021" s="27"/>
      <c r="J1021" s="27"/>
      <c r="K1021" s="27">
        <f>Table15[[#This Row],[الايصالات]]+Table15[[#This Row],[النولون]]-Table15[[#This Row],[خصم 3%]]</f>
        <v>0</v>
      </c>
      <c r="L1021" s="27"/>
      <c r="M1021" s="27">
        <f>Table15[[#This Row],[اجمالي الفاتوره]]-Table15[[#This Row],[الدفعات]]</f>
        <v>0</v>
      </c>
      <c r="N1021" s="27"/>
      <c r="O1021" s="27"/>
    </row>
    <row r="1022" spans="2:15" ht="29.25" customHeight="1" x14ac:dyDescent="0.3">
      <c r="B1022" s="27"/>
      <c r="C1022" s="27"/>
      <c r="D1022" s="27"/>
      <c r="E1022" s="27"/>
      <c r="F1022" s="27"/>
      <c r="G1022" s="27"/>
      <c r="H1022" s="27"/>
      <c r="I1022" s="27"/>
      <c r="J1022" s="27"/>
      <c r="K1022" s="27">
        <f>Table15[[#This Row],[الايصالات]]+Table15[[#This Row],[النولون]]-Table15[[#This Row],[خصم 3%]]</f>
        <v>0</v>
      </c>
      <c r="L1022" s="27"/>
      <c r="M1022" s="27">
        <f>Table15[[#This Row],[اجمالي الفاتوره]]-Table15[[#This Row],[الدفعات]]</f>
        <v>0</v>
      </c>
      <c r="N1022" s="27"/>
      <c r="O1022" s="27"/>
    </row>
    <row r="1023" spans="2:15" ht="29.25" customHeight="1" x14ac:dyDescent="0.3">
      <c r="B1023" s="27"/>
      <c r="C1023" s="27"/>
      <c r="D1023" s="27"/>
      <c r="E1023" s="27"/>
      <c r="F1023" s="27"/>
      <c r="G1023" s="27"/>
      <c r="H1023" s="27"/>
      <c r="I1023" s="27"/>
      <c r="J1023" s="27"/>
      <c r="K1023" s="27">
        <f>Table15[[#This Row],[الايصالات]]+Table15[[#This Row],[النولون]]-Table15[[#This Row],[خصم 3%]]</f>
        <v>0</v>
      </c>
      <c r="L1023" s="27"/>
      <c r="M1023" s="27">
        <f>Table15[[#This Row],[اجمالي الفاتوره]]-Table15[[#This Row],[الدفعات]]</f>
        <v>0</v>
      </c>
      <c r="N1023" s="27"/>
      <c r="O1023" s="27"/>
    </row>
    <row r="1024" spans="2:15" ht="29.25" customHeight="1" x14ac:dyDescent="0.3">
      <c r="B1024" s="27"/>
      <c r="C1024" s="27"/>
      <c r="D1024" s="27"/>
      <c r="E1024" s="27"/>
      <c r="F1024" s="27"/>
      <c r="G1024" s="27"/>
      <c r="H1024" s="27"/>
      <c r="I1024" s="27"/>
      <c r="J1024" s="27"/>
      <c r="K1024" s="27">
        <f>Table15[[#This Row],[الايصالات]]+Table15[[#This Row],[النولون]]-Table15[[#This Row],[خصم 3%]]</f>
        <v>0</v>
      </c>
      <c r="L1024" s="27"/>
      <c r="M1024" s="27">
        <f>Table15[[#This Row],[اجمالي الفاتوره]]-Table15[[#This Row],[الدفعات]]</f>
        <v>0</v>
      </c>
      <c r="N1024" s="27"/>
      <c r="O1024" s="27"/>
    </row>
    <row r="1025" spans="2:15" ht="29.25" customHeight="1" x14ac:dyDescent="0.3">
      <c r="B1025" s="27"/>
      <c r="C1025" s="27"/>
      <c r="D1025" s="27"/>
      <c r="E1025" s="27"/>
      <c r="F1025" s="27"/>
      <c r="G1025" s="27"/>
      <c r="H1025" s="27"/>
      <c r="I1025" s="27"/>
      <c r="J1025" s="27"/>
      <c r="K1025" s="27">
        <f>Table15[[#This Row],[الايصالات]]+Table15[[#This Row],[النولون]]-Table15[[#This Row],[خصم 3%]]</f>
        <v>0</v>
      </c>
      <c r="L1025" s="27"/>
      <c r="M1025" s="27">
        <f>Table15[[#This Row],[اجمالي الفاتوره]]-Table15[[#This Row],[الدفعات]]</f>
        <v>0</v>
      </c>
      <c r="N1025" s="27"/>
      <c r="O1025" s="27"/>
    </row>
    <row r="1026" spans="2:15" ht="29.25" customHeight="1" x14ac:dyDescent="0.3">
      <c r="B1026" s="27"/>
      <c r="C1026" s="27"/>
      <c r="D1026" s="27"/>
      <c r="E1026" s="27"/>
      <c r="F1026" s="27"/>
      <c r="G1026" s="27"/>
      <c r="H1026" s="27"/>
      <c r="I1026" s="27"/>
      <c r="J1026" s="27"/>
      <c r="K1026" s="27">
        <f>Table15[[#This Row],[الايصالات]]+Table15[[#This Row],[النولون]]-Table15[[#This Row],[خصم 3%]]</f>
        <v>0</v>
      </c>
      <c r="L1026" s="27"/>
      <c r="M1026" s="27">
        <f>Table15[[#This Row],[اجمالي الفاتوره]]-Table15[[#This Row],[الدفعات]]</f>
        <v>0</v>
      </c>
      <c r="N1026" s="27"/>
      <c r="O1026" s="27"/>
    </row>
    <row r="1027" spans="2:15" ht="29.25" customHeight="1" x14ac:dyDescent="0.3">
      <c r="B1027" s="27"/>
      <c r="C1027" s="27"/>
      <c r="D1027" s="27"/>
      <c r="E1027" s="27"/>
      <c r="F1027" s="27"/>
      <c r="G1027" s="27"/>
      <c r="H1027" s="27"/>
      <c r="I1027" s="27"/>
      <c r="J1027" s="27"/>
      <c r="K1027" s="27">
        <f>Table15[[#This Row],[الايصالات]]+Table15[[#This Row],[النولون]]-Table15[[#This Row],[خصم 3%]]</f>
        <v>0</v>
      </c>
      <c r="L1027" s="27"/>
      <c r="M1027" s="27">
        <f>Table15[[#This Row],[اجمالي الفاتوره]]-Table15[[#This Row],[الدفعات]]</f>
        <v>0</v>
      </c>
      <c r="N1027" s="27"/>
      <c r="O1027" s="27"/>
    </row>
    <row r="1028" spans="2:15" ht="29.25" customHeight="1" x14ac:dyDescent="0.3">
      <c r="B1028" s="27"/>
      <c r="C1028" s="27"/>
      <c r="D1028" s="27"/>
      <c r="E1028" s="27"/>
      <c r="F1028" s="27"/>
      <c r="G1028" s="27"/>
      <c r="H1028" s="27"/>
      <c r="I1028" s="27"/>
      <c r="J1028" s="27"/>
      <c r="K1028" s="27">
        <f>Table15[[#This Row],[الايصالات]]+Table15[[#This Row],[النولون]]-Table15[[#This Row],[خصم 3%]]</f>
        <v>0</v>
      </c>
      <c r="L1028" s="27"/>
      <c r="M1028" s="27">
        <f>Table15[[#This Row],[اجمالي الفاتوره]]-Table15[[#This Row],[الدفعات]]</f>
        <v>0</v>
      </c>
      <c r="N1028" s="27"/>
      <c r="O1028" s="27"/>
    </row>
    <row r="1029" spans="2:15" ht="29.25" customHeight="1" x14ac:dyDescent="0.3">
      <c r="B1029" s="27"/>
      <c r="C1029" s="27"/>
      <c r="D1029" s="27"/>
      <c r="E1029" s="27"/>
      <c r="F1029" s="27"/>
      <c r="G1029" s="27"/>
      <c r="H1029" s="27"/>
      <c r="I1029" s="27"/>
      <c r="J1029" s="27"/>
      <c r="K1029" s="27">
        <f>Table15[[#This Row],[الايصالات]]+Table15[[#This Row],[النولون]]-Table15[[#This Row],[خصم 3%]]</f>
        <v>0</v>
      </c>
      <c r="L1029" s="27"/>
      <c r="M1029" s="27">
        <f>Table15[[#This Row],[اجمالي الفاتوره]]-Table15[[#This Row],[الدفعات]]</f>
        <v>0</v>
      </c>
      <c r="N1029" s="27"/>
      <c r="O1029" s="27"/>
    </row>
    <row r="1030" spans="2:15" ht="29.25" customHeight="1" x14ac:dyDescent="0.3">
      <c r="B1030" s="27"/>
      <c r="C1030" s="27"/>
      <c r="D1030" s="27"/>
      <c r="E1030" s="27"/>
      <c r="F1030" s="27"/>
      <c r="G1030" s="27"/>
      <c r="H1030" s="27"/>
      <c r="I1030" s="27"/>
      <c r="J1030" s="27"/>
      <c r="K1030" s="27">
        <f>Table15[[#This Row],[الايصالات]]+Table15[[#This Row],[النولون]]-Table15[[#This Row],[خصم 3%]]</f>
        <v>0</v>
      </c>
      <c r="L1030" s="27"/>
      <c r="M1030" s="27">
        <f>Table15[[#This Row],[اجمالي الفاتوره]]-Table15[[#This Row],[الدفعات]]</f>
        <v>0</v>
      </c>
      <c r="N1030" s="27"/>
      <c r="O1030" s="27"/>
    </row>
    <row r="1031" spans="2:15" ht="29.25" customHeight="1" x14ac:dyDescent="0.3">
      <c r="B1031" s="27"/>
      <c r="C1031" s="27"/>
      <c r="D1031" s="27"/>
      <c r="E1031" s="27"/>
      <c r="F1031" s="27"/>
      <c r="G1031" s="27"/>
      <c r="H1031" s="27"/>
      <c r="I1031" s="27"/>
      <c r="J1031" s="27"/>
      <c r="K1031" s="27">
        <f>Table15[[#This Row],[الايصالات]]+Table15[[#This Row],[النولون]]-Table15[[#This Row],[خصم 3%]]</f>
        <v>0</v>
      </c>
      <c r="L1031" s="27"/>
      <c r="M1031" s="27">
        <f>Table15[[#This Row],[اجمالي الفاتوره]]-Table15[[#This Row],[الدفعات]]</f>
        <v>0</v>
      </c>
      <c r="N1031" s="27"/>
      <c r="O1031" s="27"/>
    </row>
    <row r="1032" spans="2:15" ht="29.25" customHeight="1" x14ac:dyDescent="0.3">
      <c r="B1032" s="27"/>
      <c r="C1032" s="27"/>
      <c r="D1032" s="27"/>
      <c r="E1032" s="27"/>
      <c r="F1032" s="27"/>
      <c r="G1032" s="27"/>
      <c r="H1032" s="27"/>
      <c r="I1032" s="27"/>
      <c r="J1032" s="27"/>
      <c r="K1032" s="27">
        <f>Table15[[#This Row],[الايصالات]]+Table15[[#This Row],[النولون]]-Table15[[#This Row],[خصم 3%]]</f>
        <v>0</v>
      </c>
      <c r="L1032" s="27"/>
      <c r="M1032" s="27">
        <f>Table15[[#This Row],[اجمالي الفاتوره]]-Table15[[#This Row],[الدفعات]]</f>
        <v>0</v>
      </c>
      <c r="N1032" s="27"/>
      <c r="O1032" s="27"/>
    </row>
    <row r="1033" spans="2:15" ht="29.25" customHeight="1" x14ac:dyDescent="0.3">
      <c r="B1033" s="27"/>
      <c r="C1033" s="27"/>
      <c r="D1033" s="27"/>
      <c r="E1033" s="27"/>
      <c r="F1033" s="27"/>
      <c r="G1033" s="27"/>
      <c r="H1033" s="27"/>
      <c r="I1033" s="27"/>
      <c r="J1033" s="27"/>
      <c r="K1033" s="27">
        <f>Table15[[#This Row],[الايصالات]]+Table15[[#This Row],[النولون]]-Table15[[#This Row],[خصم 3%]]</f>
        <v>0</v>
      </c>
      <c r="L1033" s="27"/>
      <c r="M1033" s="27">
        <f>Table15[[#This Row],[اجمالي الفاتوره]]-Table15[[#This Row],[الدفعات]]</f>
        <v>0</v>
      </c>
      <c r="N1033" s="27"/>
      <c r="O1033" s="27"/>
    </row>
    <row r="1034" spans="2:15" ht="29.25" customHeight="1" x14ac:dyDescent="0.3">
      <c r="B1034" s="27"/>
      <c r="C1034" s="27"/>
      <c r="D1034" s="27"/>
      <c r="E1034" s="27"/>
      <c r="F1034" s="27"/>
      <c r="G1034" s="27"/>
      <c r="H1034" s="27"/>
      <c r="I1034" s="27"/>
      <c r="J1034" s="27"/>
      <c r="K1034" s="27">
        <f>Table15[[#This Row],[الايصالات]]+Table15[[#This Row],[النولون]]-Table15[[#This Row],[خصم 3%]]</f>
        <v>0</v>
      </c>
      <c r="L1034" s="27"/>
      <c r="M1034" s="27">
        <f>Table15[[#This Row],[اجمالي الفاتوره]]-Table15[[#This Row],[الدفعات]]</f>
        <v>0</v>
      </c>
      <c r="N1034" s="27"/>
      <c r="O1034" s="27"/>
    </row>
    <row r="1035" spans="2:15" ht="29.25" customHeight="1" x14ac:dyDescent="0.3">
      <c r="B1035" s="27"/>
      <c r="C1035" s="27"/>
      <c r="D1035" s="27"/>
      <c r="E1035" s="27"/>
      <c r="F1035" s="27"/>
      <c r="G1035" s="27"/>
      <c r="H1035" s="27"/>
      <c r="I1035" s="27"/>
      <c r="J1035" s="27"/>
      <c r="K1035" s="27">
        <f>Table15[[#This Row],[الايصالات]]+Table15[[#This Row],[النولون]]-Table15[[#This Row],[خصم 3%]]</f>
        <v>0</v>
      </c>
      <c r="L1035" s="27"/>
      <c r="M1035" s="27">
        <f>Table15[[#This Row],[اجمالي الفاتوره]]-Table15[[#This Row],[الدفعات]]</f>
        <v>0</v>
      </c>
      <c r="N1035" s="27"/>
      <c r="O1035" s="27"/>
    </row>
    <row r="1036" spans="2:15" ht="29.25" customHeight="1" x14ac:dyDescent="0.3">
      <c r="B1036" s="27"/>
      <c r="C1036" s="27"/>
      <c r="D1036" s="27"/>
      <c r="E1036" s="27"/>
      <c r="F1036" s="27"/>
      <c r="G1036" s="27"/>
      <c r="H1036" s="27"/>
      <c r="I1036" s="27"/>
      <c r="J1036" s="27"/>
      <c r="K1036" s="27">
        <f>Table15[[#This Row],[الايصالات]]+Table15[[#This Row],[النولون]]-Table15[[#This Row],[خصم 3%]]</f>
        <v>0</v>
      </c>
      <c r="L1036" s="27"/>
      <c r="M1036" s="27">
        <f>Table15[[#This Row],[اجمالي الفاتوره]]-Table15[[#This Row],[الدفعات]]</f>
        <v>0</v>
      </c>
      <c r="N1036" s="27"/>
      <c r="O1036" s="27"/>
    </row>
    <row r="1037" spans="2:15" ht="29.25" customHeight="1" x14ac:dyDescent="0.3">
      <c r="B1037" s="27"/>
      <c r="C1037" s="27"/>
      <c r="D1037" s="27"/>
      <c r="E1037" s="27"/>
      <c r="F1037" s="27"/>
      <c r="G1037" s="27"/>
      <c r="H1037" s="27"/>
      <c r="I1037" s="27"/>
      <c r="J1037" s="27"/>
      <c r="K1037" s="27">
        <f>Table15[[#This Row],[الايصالات]]+Table15[[#This Row],[النولون]]-Table15[[#This Row],[خصم 3%]]</f>
        <v>0</v>
      </c>
      <c r="L1037" s="27"/>
      <c r="M1037" s="27">
        <f>Table15[[#This Row],[اجمالي الفاتوره]]-Table15[[#This Row],[الدفعات]]</f>
        <v>0</v>
      </c>
      <c r="N1037" s="27"/>
      <c r="O1037" s="27"/>
    </row>
    <row r="1038" spans="2:15" ht="29.25" customHeight="1" x14ac:dyDescent="0.3">
      <c r="B1038" s="27"/>
      <c r="C1038" s="27"/>
      <c r="D1038" s="27"/>
      <c r="E1038" s="27"/>
      <c r="F1038" s="27"/>
      <c r="G1038" s="27"/>
      <c r="H1038" s="27"/>
      <c r="I1038" s="27"/>
      <c r="J1038" s="27"/>
      <c r="K1038" s="27">
        <f>Table15[[#This Row],[الايصالات]]+Table15[[#This Row],[النولون]]-Table15[[#This Row],[خصم 3%]]</f>
        <v>0</v>
      </c>
      <c r="L1038" s="27"/>
      <c r="M1038" s="27">
        <f>Table15[[#This Row],[اجمالي الفاتوره]]-Table15[[#This Row],[الدفعات]]</f>
        <v>0</v>
      </c>
      <c r="N1038" s="27"/>
      <c r="O1038" s="27"/>
    </row>
    <row r="1039" spans="2:15" ht="29.25" customHeight="1" x14ac:dyDescent="0.3">
      <c r="B1039" s="27"/>
      <c r="C1039" s="27"/>
      <c r="D1039" s="27"/>
      <c r="E1039" s="27"/>
      <c r="F1039" s="27"/>
      <c r="G1039" s="27"/>
      <c r="H1039" s="27"/>
      <c r="I1039" s="27"/>
      <c r="J1039" s="27"/>
      <c r="K1039" s="27">
        <f>Table15[[#This Row],[الايصالات]]+Table15[[#This Row],[النولون]]-Table15[[#This Row],[خصم 3%]]</f>
        <v>0</v>
      </c>
      <c r="L1039" s="27"/>
      <c r="M1039" s="27">
        <f>Table15[[#This Row],[اجمالي الفاتوره]]-Table15[[#This Row],[الدفعات]]</f>
        <v>0</v>
      </c>
      <c r="N1039" s="27"/>
      <c r="O1039" s="27"/>
    </row>
    <row r="1040" spans="2:15" ht="29.25" customHeight="1" x14ac:dyDescent="0.3">
      <c r="B1040" s="27"/>
      <c r="C1040" s="27"/>
      <c r="D1040" s="27"/>
      <c r="E1040" s="27"/>
      <c r="F1040" s="27"/>
      <c r="G1040" s="27"/>
      <c r="H1040" s="27"/>
      <c r="I1040" s="27"/>
      <c r="J1040" s="27"/>
      <c r="K1040" s="27">
        <f>Table15[[#This Row],[الايصالات]]+Table15[[#This Row],[النولون]]-Table15[[#This Row],[خصم 3%]]</f>
        <v>0</v>
      </c>
      <c r="L1040" s="27"/>
      <c r="M1040" s="27">
        <f>Table15[[#This Row],[اجمالي الفاتوره]]-Table15[[#This Row],[الدفعات]]</f>
        <v>0</v>
      </c>
      <c r="N1040" s="27"/>
      <c r="O1040" s="27"/>
    </row>
    <row r="1041" spans="2:15" ht="29.25" customHeight="1" x14ac:dyDescent="0.3">
      <c r="B1041" s="27"/>
      <c r="C1041" s="27"/>
      <c r="D1041" s="27"/>
      <c r="E1041" s="27"/>
      <c r="F1041" s="27"/>
      <c r="G1041" s="27"/>
      <c r="H1041" s="27"/>
      <c r="I1041" s="27"/>
      <c r="J1041" s="27"/>
      <c r="K1041" s="27">
        <f>Table15[[#This Row],[الايصالات]]+Table15[[#This Row],[النولون]]-Table15[[#This Row],[خصم 3%]]</f>
        <v>0</v>
      </c>
      <c r="L1041" s="27"/>
      <c r="M1041" s="27">
        <f>Table15[[#This Row],[اجمالي الفاتوره]]-Table15[[#This Row],[الدفعات]]</f>
        <v>0</v>
      </c>
      <c r="N1041" s="27"/>
      <c r="O1041" s="27"/>
    </row>
    <row r="1042" spans="2:15" ht="29.25" customHeight="1" x14ac:dyDescent="0.3">
      <c r="B1042" s="27"/>
      <c r="C1042" s="27"/>
      <c r="D1042" s="27"/>
      <c r="E1042" s="27"/>
      <c r="F1042" s="27"/>
      <c r="G1042" s="27"/>
      <c r="H1042" s="27"/>
      <c r="I1042" s="27"/>
      <c r="J1042" s="27"/>
      <c r="K1042" s="27">
        <f>Table15[[#This Row],[الايصالات]]+Table15[[#This Row],[النولون]]-Table15[[#This Row],[خصم 3%]]</f>
        <v>0</v>
      </c>
      <c r="L1042" s="27"/>
      <c r="M1042" s="27">
        <f>Table15[[#This Row],[اجمالي الفاتوره]]-Table15[[#This Row],[الدفعات]]</f>
        <v>0</v>
      </c>
      <c r="N1042" s="27"/>
      <c r="O1042" s="27"/>
    </row>
    <row r="1043" spans="2:15" ht="29.25" customHeight="1" x14ac:dyDescent="0.3">
      <c r="B1043" s="27"/>
      <c r="C1043" s="27"/>
      <c r="D1043" s="27"/>
      <c r="E1043" s="27"/>
      <c r="F1043" s="27"/>
      <c r="G1043" s="27"/>
      <c r="H1043" s="27"/>
      <c r="I1043" s="27"/>
      <c r="J1043" s="27"/>
      <c r="K1043" s="27">
        <f>Table15[[#This Row],[الايصالات]]+Table15[[#This Row],[النولون]]-Table15[[#This Row],[خصم 3%]]</f>
        <v>0</v>
      </c>
      <c r="L1043" s="27"/>
      <c r="M1043" s="27">
        <f>Table15[[#This Row],[اجمالي الفاتوره]]-Table15[[#This Row],[الدفعات]]</f>
        <v>0</v>
      </c>
      <c r="N1043" s="27"/>
      <c r="O1043" s="27"/>
    </row>
    <row r="1044" spans="2:15" ht="29.25" customHeight="1" x14ac:dyDescent="0.3">
      <c r="B1044" s="27"/>
      <c r="C1044" s="27"/>
      <c r="D1044" s="27"/>
      <c r="E1044" s="27"/>
      <c r="F1044" s="27"/>
      <c r="G1044" s="27"/>
      <c r="H1044" s="27"/>
      <c r="I1044" s="27"/>
      <c r="J1044" s="27"/>
      <c r="K1044" s="27">
        <f>Table15[[#This Row],[الايصالات]]+Table15[[#This Row],[النولون]]-Table15[[#This Row],[خصم 3%]]</f>
        <v>0</v>
      </c>
      <c r="L1044" s="27"/>
      <c r="M1044" s="27">
        <f>Table15[[#This Row],[اجمالي الفاتوره]]-Table15[[#This Row],[الدفعات]]</f>
        <v>0</v>
      </c>
      <c r="N1044" s="27"/>
      <c r="O1044" s="27"/>
    </row>
    <row r="1045" spans="2:15" ht="29.25" customHeight="1" x14ac:dyDescent="0.3">
      <c r="B1045" s="27"/>
      <c r="C1045" s="27"/>
      <c r="D1045" s="27"/>
      <c r="E1045" s="27"/>
      <c r="F1045" s="27"/>
      <c r="G1045" s="27"/>
      <c r="H1045" s="27"/>
      <c r="I1045" s="27"/>
      <c r="J1045" s="27"/>
      <c r="K1045" s="27">
        <f>Table15[[#This Row],[الايصالات]]+Table15[[#This Row],[النولون]]-Table15[[#This Row],[خصم 3%]]</f>
        <v>0</v>
      </c>
      <c r="L1045" s="27"/>
      <c r="M1045" s="27">
        <f>Table15[[#This Row],[اجمالي الفاتوره]]-Table15[[#This Row],[الدفعات]]</f>
        <v>0</v>
      </c>
      <c r="N1045" s="27"/>
      <c r="O1045" s="27"/>
    </row>
    <row r="1046" spans="2:15" ht="29.25" customHeight="1" x14ac:dyDescent="0.3">
      <c r="B1046" s="27"/>
      <c r="C1046" s="27"/>
      <c r="D1046" s="27"/>
      <c r="E1046" s="27"/>
      <c r="F1046" s="27"/>
      <c r="G1046" s="27"/>
      <c r="H1046" s="27"/>
      <c r="I1046" s="27"/>
      <c r="J1046" s="27"/>
      <c r="K1046" s="27">
        <f>Table15[[#This Row],[الايصالات]]+Table15[[#This Row],[النولون]]-Table15[[#This Row],[خصم 3%]]</f>
        <v>0</v>
      </c>
      <c r="L1046" s="27"/>
      <c r="M1046" s="27">
        <f>Table15[[#This Row],[اجمالي الفاتوره]]-Table15[[#This Row],[الدفعات]]</f>
        <v>0</v>
      </c>
      <c r="N1046" s="27"/>
      <c r="O1046" s="27"/>
    </row>
    <row r="1047" spans="2:15" ht="29.25" customHeight="1" x14ac:dyDescent="0.3">
      <c r="B1047" s="27"/>
      <c r="C1047" s="27"/>
      <c r="D1047" s="27"/>
      <c r="E1047" s="27"/>
      <c r="F1047" s="27"/>
      <c r="G1047" s="27"/>
      <c r="H1047" s="27"/>
      <c r="I1047" s="27"/>
      <c r="J1047" s="27"/>
      <c r="K1047" s="27">
        <f>Table15[[#This Row],[الايصالات]]+Table15[[#This Row],[النولون]]-Table15[[#This Row],[خصم 3%]]</f>
        <v>0</v>
      </c>
      <c r="L1047" s="27"/>
      <c r="M1047" s="27">
        <f>Table15[[#This Row],[اجمالي الفاتوره]]-Table15[[#This Row],[الدفعات]]</f>
        <v>0</v>
      </c>
      <c r="N1047" s="27"/>
      <c r="O1047" s="27"/>
    </row>
    <row r="1048" spans="2:15" ht="29.25" customHeight="1" x14ac:dyDescent="0.3">
      <c r="B1048" s="27"/>
      <c r="C1048" s="27"/>
      <c r="D1048" s="27"/>
      <c r="E1048" s="27"/>
      <c r="F1048" s="27"/>
      <c r="G1048" s="27"/>
      <c r="H1048" s="27"/>
      <c r="I1048" s="27"/>
      <c r="J1048" s="27"/>
      <c r="K1048" s="27">
        <f>Table15[[#This Row],[الايصالات]]+Table15[[#This Row],[النولون]]-Table15[[#This Row],[خصم 3%]]</f>
        <v>0</v>
      </c>
      <c r="L1048" s="27"/>
      <c r="M1048" s="27">
        <f>Table15[[#This Row],[اجمالي الفاتوره]]-Table15[[#This Row],[الدفعات]]</f>
        <v>0</v>
      </c>
      <c r="N1048" s="27"/>
      <c r="O1048" s="27"/>
    </row>
    <row r="1049" spans="2:15" ht="29.25" customHeight="1" x14ac:dyDescent="0.3">
      <c r="B1049" s="27"/>
      <c r="C1049" s="27"/>
      <c r="D1049" s="27"/>
      <c r="E1049" s="27"/>
      <c r="F1049" s="27"/>
      <c r="G1049" s="27"/>
      <c r="H1049" s="27"/>
      <c r="I1049" s="27"/>
      <c r="J1049" s="27"/>
      <c r="K1049" s="27">
        <f>Table15[[#This Row],[الايصالات]]+Table15[[#This Row],[النولون]]-Table15[[#This Row],[خصم 3%]]</f>
        <v>0</v>
      </c>
      <c r="L1049" s="27"/>
      <c r="M1049" s="27">
        <f>Table15[[#This Row],[اجمالي الفاتوره]]-Table15[[#This Row],[الدفعات]]</f>
        <v>0</v>
      </c>
      <c r="N1049" s="27"/>
      <c r="O1049" s="27"/>
    </row>
    <row r="1050" spans="2:15" ht="29.25" customHeight="1" x14ac:dyDescent="0.3">
      <c r="B1050" s="27"/>
      <c r="C1050" s="27"/>
      <c r="D1050" s="27"/>
      <c r="E1050" s="27"/>
      <c r="F1050" s="27"/>
      <c r="G1050" s="27"/>
      <c r="H1050" s="27"/>
      <c r="I1050" s="27"/>
      <c r="J1050" s="27"/>
      <c r="K1050" s="27">
        <f>Table15[[#This Row],[الايصالات]]+Table15[[#This Row],[النولون]]-Table15[[#This Row],[خصم 3%]]</f>
        <v>0</v>
      </c>
      <c r="L1050" s="27"/>
      <c r="M1050" s="27">
        <f>Table15[[#This Row],[اجمالي الفاتوره]]-Table15[[#This Row],[الدفعات]]</f>
        <v>0</v>
      </c>
      <c r="N1050" s="27"/>
      <c r="O1050" s="27"/>
    </row>
    <row r="1051" spans="2:15" ht="29.25" customHeight="1" x14ac:dyDescent="0.3">
      <c r="B1051" s="27"/>
      <c r="C1051" s="27"/>
      <c r="D1051" s="27"/>
      <c r="E1051" s="27"/>
      <c r="F1051" s="27"/>
      <c r="G1051" s="27"/>
      <c r="H1051" s="27"/>
      <c r="I1051" s="27"/>
      <c r="J1051" s="27"/>
      <c r="K1051" s="27">
        <f>Table15[[#This Row],[الايصالات]]+Table15[[#This Row],[النولون]]-Table15[[#This Row],[خصم 3%]]</f>
        <v>0</v>
      </c>
      <c r="L1051" s="27"/>
      <c r="M1051" s="27">
        <f>Table15[[#This Row],[اجمالي الفاتوره]]-Table15[[#This Row],[الدفعات]]</f>
        <v>0</v>
      </c>
      <c r="N1051" s="27"/>
      <c r="O1051" s="27"/>
    </row>
    <row r="1052" spans="2:15" ht="29.25" customHeight="1" x14ac:dyDescent="0.3">
      <c r="B1052" s="27"/>
      <c r="C1052" s="27"/>
      <c r="D1052" s="27"/>
      <c r="E1052" s="27"/>
      <c r="F1052" s="27"/>
      <c r="G1052" s="27"/>
      <c r="H1052" s="27"/>
      <c r="I1052" s="27"/>
      <c r="J1052" s="27"/>
      <c r="K1052" s="27">
        <f>Table15[[#This Row],[الايصالات]]+Table15[[#This Row],[النولون]]-Table15[[#This Row],[خصم 3%]]</f>
        <v>0</v>
      </c>
      <c r="L1052" s="27"/>
      <c r="M1052" s="27">
        <f>Table15[[#This Row],[اجمالي الفاتوره]]-Table15[[#This Row],[الدفعات]]</f>
        <v>0</v>
      </c>
      <c r="N1052" s="27"/>
      <c r="O1052" s="27"/>
    </row>
    <row r="1053" spans="2:15" ht="29.25" customHeight="1" x14ac:dyDescent="0.3">
      <c r="B1053" s="27"/>
      <c r="C1053" s="27"/>
      <c r="D1053" s="27"/>
      <c r="E1053" s="27"/>
      <c r="F1053" s="27"/>
      <c r="G1053" s="27"/>
      <c r="H1053" s="27"/>
      <c r="I1053" s="27"/>
      <c r="J1053" s="27"/>
      <c r="K1053" s="27">
        <f>Table15[[#This Row],[الايصالات]]+Table15[[#This Row],[النولون]]-Table15[[#This Row],[خصم 3%]]</f>
        <v>0</v>
      </c>
      <c r="L1053" s="27"/>
      <c r="M1053" s="27">
        <f>Table15[[#This Row],[اجمالي الفاتوره]]-Table15[[#This Row],[الدفعات]]</f>
        <v>0</v>
      </c>
      <c r="N1053" s="27"/>
      <c r="O1053" s="27"/>
    </row>
    <row r="1054" spans="2:15" ht="29.25" customHeight="1" x14ac:dyDescent="0.3">
      <c r="B1054" s="27"/>
      <c r="C1054" s="27"/>
      <c r="D1054" s="27"/>
      <c r="E1054" s="27"/>
      <c r="F1054" s="27"/>
      <c r="G1054" s="27"/>
      <c r="H1054" s="27"/>
      <c r="I1054" s="27"/>
      <c r="J1054" s="27"/>
      <c r="K1054" s="27">
        <f>Table15[[#This Row],[الايصالات]]+Table15[[#This Row],[النولون]]-Table15[[#This Row],[خصم 3%]]</f>
        <v>0</v>
      </c>
      <c r="L1054" s="27"/>
      <c r="M1054" s="27">
        <f>Table15[[#This Row],[اجمالي الفاتوره]]-Table15[[#This Row],[الدفعات]]</f>
        <v>0</v>
      </c>
      <c r="N1054" s="27"/>
      <c r="O1054" s="27"/>
    </row>
    <row r="1055" spans="2:15" ht="29.25" customHeight="1" x14ac:dyDescent="0.3">
      <c r="B1055" s="27"/>
      <c r="C1055" s="27"/>
      <c r="D1055" s="27"/>
      <c r="E1055" s="27"/>
      <c r="F1055" s="27"/>
      <c r="G1055" s="27"/>
      <c r="H1055" s="27"/>
      <c r="I1055" s="27"/>
      <c r="J1055" s="27"/>
      <c r="K1055" s="27">
        <f>Table15[[#This Row],[الايصالات]]+Table15[[#This Row],[النولون]]-Table15[[#This Row],[خصم 3%]]</f>
        <v>0</v>
      </c>
      <c r="L1055" s="27"/>
      <c r="M1055" s="27">
        <f>Table15[[#This Row],[اجمالي الفاتوره]]-Table15[[#This Row],[الدفعات]]</f>
        <v>0</v>
      </c>
      <c r="N1055" s="27"/>
      <c r="O1055" s="27"/>
    </row>
    <row r="1056" spans="2:15" ht="29.25" customHeight="1" x14ac:dyDescent="0.3">
      <c r="B1056" s="27"/>
      <c r="C1056" s="27"/>
      <c r="D1056" s="27"/>
      <c r="E1056" s="27"/>
      <c r="F1056" s="27"/>
      <c r="G1056" s="27"/>
      <c r="H1056" s="27"/>
      <c r="I1056" s="27"/>
      <c r="J1056" s="27"/>
      <c r="K1056" s="27">
        <f>Table15[[#This Row],[الايصالات]]+Table15[[#This Row],[النولون]]-Table15[[#This Row],[خصم 3%]]</f>
        <v>0</v>
      </c>
      <c r="L1056" s="27"/>
      <c r="M1056" s="27">
        <f>Table15[[#This Row],[اجمالي الفاتوره]]-Table15[[#This Row],[الدفعات]]</f>
        <v>0</v>
      </c>
      <c r="N1056" s="27"/>
      <c r="O1056" s="27"/>
    </row>
    <row r="1057" spans="2:15" ht="29.25" customHeight="1" x14ac:dyDescent="0.3">
      <c r="B1057" s="27"/>
      <c r="C1057" s="27"/>
      <c r="D1057" s="27"/>
      <c r="E1057" s="27"/>
      <c r="F1057" s="27"/>
      <c r="G1057" s="27"/>
      <c r="H1057" s="27"/>
      <c r="I1057" s="27"/>
      <c r="J1057" s="27"/>
      <c r="K1057" s="27">
        <f>Table15[[#This Row],[الايصالات]]+Table15[[#This Row],[النولون]]-Table15[[#This Row],[خصم 3%]]</f>
        <v>0</v>
      </c>
      <c r="L1057" s="27"/>
      <c r="M1057" s="27">
        <f>Table15[[#This Row],[اجمالي الفاتوره]]-Table15[[#This Row],[الدفعات]]</f>
        <v>0</v>
      </c>
      <c r="N1057" s="27"/>
      <c r="O1057" s="27"/>
    </row>
    <row r="1058" spans="2:15" ht="29.25" customHeight="1" x14ac:dyDescent="0.3">
      <c r="B1058" s="27"/>
      <c r="C1058" s="27"/>
      <c r="D1058" s="27"/>
      <c r="E1058" s="27"/>
      <c r="F1058" s="27"/>
      <c r="G1058" s="27"/>
      <c r="H1058" s="27"/>
      <c r="I1058" s="27"/>
      <c r="J1058" s="27"/>
      <c r="K1058" s="27">
        <f>Table15[[#This Row],[الايصالات]]+Table15[[#This Row],[النولون]]-Table15[[#This Row],[خصم 3%]]</f>
        <v>0</v>
      </c>
      <c r="L1058" s="27"/>
      <c r="M1058" s="27">
        <f>Table15[[#This Row],[اجمالي الفاتوره]]-Table15[[#This Row],[الدفعات]]</f>
        <v>0</v>
      </c>
      <c r="N1058" s="27"/>
      <c r="O1058" s="27"/>
    </row>
    <row r="1059" spans="2:15" ht="29.25" customHeight="1" x14ac:dyDescent="0.3">
      <c r="B1059" s="27"/>
      <c r="C1059" s="27"/>
      <c r="D1059" s="27"/>
      <c r="E1059" s="27"/>
      <c r="F1059" s="27"/>
      <c r="G1059" s="27"/>
      <c r="H1059" s="27"/>
      <c r="I1059" s="27"/>
      <c r="J1059" s="27"/>
      <c r="K1059" s="27">
        <f>Table15[[#This Row],[الايصالات]]+Table15[[#This Row],[النولون]]-Table15[[#This Row],[خصم 3%]]</f>
        <v>0</v>
      </c>
      <c r="L1059" s="27"/>
      <c r="M1059" s="27">
        <f>Table15[[#This Row],[اجمالي الفاتوره]]-Table15[[#This Row],[الدفعات]]</f>
        <v>0</v>
      </c>
      <c r="N1059" s="27"/>
      <c r="O1059" s="27"/>
    </row>
    <row r="1060" spans="2:15" ht="29.25" customHeight="1" x14ac:dyDescent="0.3">
      <c r="B1060" s="27"/>
      <c r="C1060" s="27"/>
      <c r="D1060" s="27"/>
      <c r="E1060" s="27"/>
      <c r="F1060" s="27"/>
      <c r="G1060" s="27"/>
      <c r="H1060" s="27"/>
      <c r="I1060" s="27"/>
      <c r="J1060" s="27"/>
      <c r="K1060" s="27">
        <f>Table15[[#This Row],[الايصالات]]+Table15[[#This Row],[النولون]]-Table15[[#This Row],[خصم 3%]]</f>
        <v>0</v>
      </c>
      <c r="L1060" s="27"/>
      <c r="M1060" s="27">
        <f>Table15[[#This Row],[اجمالي الفاتوره]]-Table15[[#This Row],[الدفعات]]</f>
        <v>0</v>
      </c>
      <c r="N1060" s="27"/>
      <c r="O1060" s="27"/>
    </row>
    <row r="1061" spans="2:15" ht="29.25" customHeight="1" x14ac:dyDescent="0.3">
      <c r="B1061" s="27"/>
      <c r="C1061" s="27"/>
      <c r="D1061" s="27"/>
      <c r="E1061" s="27"/>
      <c r="F1061" s="27"/>
      <c r="G1061" s="27"/>
      <c r="H1061" s="27"/>
      <c r="I1061" s="27"/>
      <c r="J1061" s="27"/>
      <c r="K1061" s="27">
        <f>Table15[[#This Row],[الايصالات]]+Table15[[#This Row],[النولون]]-Table15[[#This Row],[خصم 3%]]</f>
        <v>0</v>
      </c>
      <c r="L1061" s="27"/>
      <c r="M1061" s="27">
        <f>Table15[[#This Row],[اجمالي الفاتوره]]-Table15[[#This Row],[الدفعات]]</f>
        <v>0</v>
      </c>
      <c r="N1061" s="27"/>
      <c r="O1061" s="27"/>
    </row>
    <row r="1062" spans="2:15" ht="29.25" customHeight="1" x14ac:dyDescent="0.3">
      <c r="B1062" s="27"/>
      <c r="C1062" s="27"/>
      <c r="D1062" s="27"/>
      <c r="E1062" s="27"/>
      <c r="F1062" s="27"/>
      <c r="G1062" s="27"/>
      <c r="H1062" s="27"/>
      <c r="I1062" s="27"/>
      <c r="J1062" s="27"/>
      <c r="K1062" s="27">
        <f>Table15[[#This Row],[الايصالات]]+Table15[[#This Row],[النولون]]-Table15[[#This Row],[خصم 3%]]</f>
        <v>0</v>
      </c>
      <c r="L1062" s="27"/>
      <c r="M1062" s="27">
        <f>Table15[[#This Row],[اجمالي الفاتوره]]-Table15[[#This Row],[الدفعات]]</f>
        <v>0</v>
      </c>
      <c r="N1062" s="27"/>
      <c r="O1062" s="27"/>
    </row>
    <row r="1063" spans="2:15" ht="29.25" customHeight="1" x14ac:dyDescent="0.3">
      <c r="B1063" s="27"/>
      <c r="C1063" s="27"/>
      <c r="D1063" s="27"/>
      <c r="E1063" s="27"/>
      <c r="F1063" s="27"/>
      <c r="G1063" s="27"/>
      <c r="H1063" s="27"/>
      <c r="I1063" s="27"/>
      <c r="J1063" s="27"/>
      <c r="K1063" s="27">
        <f>Table15[[#This Row],[الايصالات]]+Table15[[#This Row],[النولون]]-Table15[[#This Row],[خصم 3%]]</f>
        <v>0</v>
      </c>
      <c r="L1063" s="27"/>
      <c r="M1063" s="27">
        <f>Table15[[#This Row],[اجمالي الفاتوره]]-Table15[[#This Row],[الدفعات]]</f>
        <v>0</v>
      </c>
      <c r="N1063" s="27"/>
      <c r="O1063" s="27"/>
    </row>
    <row r="1064" spans="2:15" ht="29.25" customHeight="1" x14ac:dyDescent="0.3">
      <c r="B1064" s="27"/>
      <c r="C1064" s="27"/>
      <c r="D1064" s="27"/>
      <c r="E1064" s="27"/>
      <c r="F1064" s="27"/>
      <c r="G1064" s="27"/>
      <c r="H1064" s="27"/>
      <c r="I1064" s="27"/>
      <c r="J1064" s="27"/>
      <c r="K1064" s="27">
        <f>Table15[[#This Row],[الايصالات]]+Table15[[#This Row],[النولون]]-Table15[[#This Row],[خصم 3%]]</f>
        <v>0</v>
      </c>
      <c r="L1064" s="27"/>
      <c r="M1064" s="27">
        <f>Table15[[#This Row],[اجمالي الفاتوره]]-Table15[[#This Row],[الدفعات]]</f>
        <v>0</v>
      </c>
      <c r="N1064" s="27"/>
      <c r="O1064" s="27"/>
    </row>
    <row r="1065" spans="2:15" ht="29.25" customHeight="1" x14ac:dyDescent="0.3">
      <c r="B1065" s="27"/>
      <c r="C1065" s="27"/>
      <c r="D1065" s="27"/>
      <c r="E1065" s="27"/>
      <c r="F1065" s="27"/>
      <c r="G1065" s="27"/>
      <c r="H1065" s="27"/>
      <c r="I1065" s="27"/>
      <c r="J1065" s="27"/>
      <c r="K1065" s="27">
        <f>Table15[[#This Row],[الايصالات]]+Table15[[#This Row],[النولون]]-Table15[[#This Row],[خصم 3%]]</f>
        <v>0</v>
      </c>
      <c r="L1065" s="27"/>
      <c r="M1065" s="27">
        <f>Table15[[#This Row],[اجمالي الفاتوره]]-Table15[[#This Row],[الدفعات]]</f>
        <v>0</v>
      </c>
      <c r="N1065" s="27"/>
      <c r="O1065" s="27"/>
    </row>
    <row r="1066" spans="2:15" ht="29.25" customHeight="1" x14ac:dyDescent="0.3">
      <c r="B1066" s="27"/>
      <c r="C1066" s="27"/>
      <c r="D1066" s="27"/>
      <c r="E1066" s="27"/>
      <c r="F1066" s="27"/>
      <c r="G1066" s="27"/>
      <c r="H1066" s="27"/>
      <c r="I1066" s="27"/>
      <c r="J1066" s="27"/>
      <c r="K1066" s="27">
        <f>Table15[[#This Row],[الايصالات]]+Table15[[#This Row],[النولون]]-Table15[[#This Row],[خصم 3%]]</f>
        <v>0</v>
      </c>
      <c r="L1066" s="27"/>
      <c r="M1066" s="27">
        <f>Table15[[#This Row],[اجمالي الفاتوره]]-Table15[[#This Row],[الدفعات]]</f>
        <v>0</v>
      </c>
      <c r="N1066" s="27"/>
      <c r="O1066" s="27"/>
    </row>
    <row r="1067" spans="2:15" ht="29.25" customHeight="1" x14ac:dyDescent="0.3">
      <c r="B1067" s="27"/>
      <c r="C1067" s="27"/>
      <c r="D1067" s="27"/>
      <c r="E1067" s="27"/>
      <c r="F1067" s="27"/>
      <c r="G1067" s="27"/>
      <c r="H1067" s="27"/>
      <c r="I1067" s="27"/>
      <c r="J1067" s="27"/>
      <c r="K1067" s="27">
        <f>Table15[[#This Row],[الايصالات]]+Table15[[#This Row],[النولون]]-Table15[[#This Row],[خصم 3%]]</f>
        <v>0</v>
      </c>
      <c r="L1067" s="27"/>
      <c r="M1067" s="27">
        <f>Table15[[#This Row],[اجمالي الفاتوره]]-Table15[[#This Row],[الدفعات]]</f>
        <v>0</v>
      </c>
      <c r="N1067" s="27"/>
      <c r="O1067" s="27"/>
    </row>
    <row r="1068" spans="2:15" ht="29.25" customHeight="1" x14ac:dyDescent="0.3">
      <c r="B1068" s="27"/>
      <c r="C1068" s="27"/>
      <c r="D1068" s="27"/>
      <c r="E1068" s="27"/>
      <c r="F1068" s="27"/>
      <c r="G1068" s="27"/>
      <c r="H1068" s="27"/>
      <c r="I1068" s="27"/>
      <c r="J1068" s="27"/>
      <c r="K1068" s="27">
        <f>Table15[[#This Row],[الايصالات]]+Table15[[#This Row],[النولون]]-Table15[[#This Row],[خصم 3%]]</f>
        <v>0</v>
      </c>
      <c r="L1068" s="27"/>
      <c r="M1068" s="27">
        <f>Table15[[#This Row],[اجمالي الفاتوره]]-Table15[[#This Row],[الدفعات]]</f>
        <v>0</v>
      </c>
      <c r="N1068" s="27"/>
      <c r="O1068" s="27"/>
    </row>
    <row r="1069" spans="2:15" ht="29.25" customHeight="1" x14ac:dyDescent="0.3">
      <c r="B1069" s="27"/>
      <c r="C1069" s="27"/>
      <c r="D1069" s="27"/>
      <c r="E1069" s="27"/>
      <c r="F1069" s="27"/>
      <c r="G1069" s="27"/>
      <c r="H1069" s="27"/>
      <c r="I1069" s="27"/>
      <c r="J1069" s="27"/>
      <c r="K1069" s="27">
        <f>Table15[[#This Row],[الايصالات]]+Table15[[#This Row],[النولون]]-Table15[[#This Row],[خصم 3%]]</f>
        <v>0</v>
      </c>
      <c r="L1069" s="27"/>
      <c r="M1069" s="27">
        <f>Table15[[#This Row],[اجمالي الفاتوره]]-Table15[[#This Row],[الدفعات]]</f>
        <v>0</v>
      </c>
      <c r="N1069" s="27"/>
      <c r="O1069" s="27"/>
    </row>
    <row r="1070" spans="2:15" ht="29.25" customHeight="1" x14ac:dyDescent="0.3">
      <c r="B1070" s="27"/>
      <c r="C1070" s="27"/>
      <c r="D1070" s="27"/>
      <c r="E1070" s="27"/>
      <c r="F1070" s="27"/>
      <c r="G1070" s="27"/>
      <c r="H1070" s="27"/>
      <c r="I1070" s="27"/>
      <c r="J1070" s="27"/>
      <c r="K1070" s="27">
        <f>Table15[[#This Row],[الايصالات]]+Table15[[#This Row],[النولون]]-Table15[[#This Row],[خصم 3%]]</f>
        <v>0</v>
      </c>
      <c r="L1070" s="27"/>
      <c r="M1070" s="27">
        <f>Table15[[#This Row],[اجمالي الفاتوره]]-Table15[[#This Row],[الدفعات]]</f>
        <v>0</v>
      </c>
      <c r="N1070" s="27"/>
      <c r="O1070" s="27"/>
    </row>
    <row r="1071" spans="2:15" ht="29.25" customHeight="1" x14ac:dyDescent="0.3">
      <c r="B1071" s="27"/>
      <c r="C1071" s="27"/>
      <c r="D1071" s="27"/>
      <c r="E1071" s="27"/>
      <c r="F1071" s="27"/>
      <c r="G1071" s="27"/>
      <c r="H1071" s="27"/>
      <c r="I1071" s="27"/>
      <c r="J1071" s="27"/>
      <c r="K1071" s="27">
        <f>Table15[[#This Row],[الايصالات]]+Table15[[#This Row],[النولون]]-Table15[[#This Row],[خصم 3%]]</f>
        <v>0</v>
      </c>
      <c r="L1071" s="27"/>
      <c r="M1071" s="27">
        <f>Table15[[#This Row],[اجمالي الفاتوره]]-Table15[[#This Row],[الدفعات]]</f>
        <v>0</v>
      </c>
      <c r="N1071" s="27"/>
      <c r="O1071" s="27"/>
    </row>
    <row r="1072" spans="2:15" ht="29.25" customHeight="1" x14ac:dyDescent="0.3">
      <c r="B1072" s="27"/>
      <c r="C1072" s="27"/>
      <c r="D1072" s="27"/>
      <c r="E1072" s="27"/>
      <c r="F1072" s="27"/>
      <c r="G1072" s="27"/>
      <c r="H1072" s="27"/>
      <c r="I1072" s="27"/>
      <c r="J1072" s="27"/>
      <c r="K1072" s="27">
        <f>Table15[[#This Row],[الايصالات]]+Table15[[#This Row],[النولون]]-Table15[[#This Row],[خصم 3%]]</f>
        <v>0</v>
      </c>
      <c r="L1072" s="27"/>
      <c r="M1072" s="27">
        <f>Table15[[#This Row],[اجمالي الفاتوره]]-Table15[[#This Row],[الدفعات]]</f>
        <v>0</v>
      </c>
      <c r="N1072" s="27"/>
      <c r="O1072" s="27"/>
    </row>
    <row r="1073" spans="2:15" ht="29.25" customHeight="1" x14ac:dyDescent="0.3">
      <c r="B1073" s="27"/>
      <c r="C1073" s="27"/>
      <c r="D1073" s="27"/>
      <c r="E1073" s="27"/>
      <c r="F1073" s="27"/>
      <c r="G1073" s="27"/>
      <c r="H1073" s="27"/>
      <c r="I1073" s="27"/>
      <c r="J1073" s="27"/>
      <c r="K1073" s="27">
        <f>Table15[[#This Row],[الايصالات]]+Table15[[#This Row],[النولون]]-Table15[[#This Row],[خصم 3%]]</f>
        <v>0</v>
      </c>
      <c r="L1073" s="27"/>
      <c r="M1073" s="27">
        <f>Table15[[#This Row],[اجمالي الفاتوره]]-Table15[[#This Row],[الدفعات]]</f>
        <v>0</v>
      </c>
      <c r="N1073" s="27"/>
      <c r="O1073" s="27"/>
    </row>
    <row r="1074" spans="2:15" ht="29.25" customHeight="1" x14ac:dyDescent="0.3">
      <c r="B1074" s="27"/>
      <c r="C1074" s="27"/>
      <c r="D1074" s="27"/>
      <c r="E1074" s="27"/>
      <c r="F1074" s="27"/>
      <c r="G1074" s="27"/>
      <c r="H1074" s="27"/>
      <c r="I1074" s="27"/>
      <c r="J1074" s="27"/>
      <c r="K1074" s="27">
        <f>Table15[[#This Row],[الايصالات]]+Table15[[#This Row],[النولون]]-Table15[[#This Row],[خصم 3%]]</f>
        <v>0</v>
      </c>
      <c r="L1074" s="27"/>
      <c r="M1074" s="27">
        <f>Table15[[#This Row],[اجمالي الفاتوره]]-Table15[[#This Row],[الدفعات]]</f>
        <v>0</v>
      </c>
      <c r="N1074" s="27"/>
      <c r="O1074" s="27"/>
    </row>
    <row r="1075" spans="2:15" ht="29.25" customHeight="1" x14ac:dyDescent="0.3">
      <c r="B1075" s="27"/>
      <c r="C1075" s="27"/>
      <c r="D1075" s="27"/>
      <c r="E1075" s="27"/>
      <c r="F1075" s="27"/>
      <c r="G1075" s="27"/>
      <c r="H1075" s="27"/>
      <c r="I1075" s="27"/>
      <c r="J1075" s="27"/>
      <c r="K1075" s="27">
        <f>Table15[[#This Row],[الايصالات]]+Table15[[#This Row],[النولون]]-Table15[[#This Row],[خصم 3%]]</f>
        <v>0</v>
      </c>
      <c r="L1075" s="27"/>
      <c r="M1075" s="27">
        <f>Table15[[#This Row],[اجمالي الفاتوره]]-Table15[[#This Row],[الدفعات]]</f>
        <v>0</v>
      </c>
      <c r="N1075" s="27"/>
      <c r="O1075" s="27"/>
    </row>
    <row r="1076" spans="2:15" ht="29.25" customHeight="1" x14ac:dyDescent="0.3">
      <c r="B1076" s="27"/>
      <c r="C1076" s="27"/>
      <c r="D1076" s="27"/>
      <c r="E1076" s="27"/>
      <c r="F1076" s="27"/>
      <c r="G1076" s="27"/>
      <c r="H1076" s="27"/>
      <c r="I1076" s="27"/>
      <c r="J1076" s="27"/>
      <c r="K1076" s="27">
        <f>Table15[[#This Row],[الايصالات]]+Table15[[#This Row],[النولون]]-Table15[[#This Row],[خصم 3%]]</f>
        <v>0</v>
      </c>
      <c r="L1076" s="27"/>
      <c r="M1076" s="27">
        <f>Table15[[#This Row],[اجمالي الفاتوره]]-Table15[[#This Row],[الدفعات]]</f>
        <v>0</v>
      </c>
      <c r="N1076" s="27"/>
      <c r="O1076" s="27"/>
    </row>
    <row r="1077" spans="2:15" ht="29.25" customHeight="1" x14ac:dyDescent="0.3">
      <c r="B1077" s="27"/>
      <c r="C1077" s="27"/>
      <c r="D1077" s="27"/>
      <c r="E1077" s="27"/>
      <c r="F1077" s="27"/>
      <c r="G1077" s="27"/>
      <c r="H1077" s="27"/>
      <c r="I1077" s="27"/>
      <c r="J1077" s="27"/>
      <c r="K1077" s="27">
        <f>Table15[[#This Row],[الايصالات]]+Table15[[#This Row],[النولون]]-Table15[[#This Row],[خصم 3%]]</f>
        <v>0</v>
      </c>
      <c r="L1077" s="27"/>
      <c r="M1077" s="27">
        <f>Table15[[#This Row],[اجمالي الفاتوره]]-Table15[[#This Row],[الدفعات]]</f>
        <v>0</v>
      </c>
      <c r="N1077" s="27"/>
      <c r="O1077" s="27"/>
    </row>
    <row r="1078" spans="2:15" ht="29.25" customHeight="1" x14ac:dyDescent="0.3">
      <c r="B1078" s="27"/>
      <c r="C1078" s="27"/>
      <c r="D1078" s="27"/>
      <c r="E1078" s="27"/>
      <c r="F1078" s="27"/>
      <c r="G1078" s="27"/>
      <c r="H1078" s="27"/>
      <c r="I1078" s="27"/>
      <c r="J1078" s="27"/>
      <c r="K1078" s="27">
        <f>Table15[[#This Row],[الايصالات]]+Table15[[#This Row],[النولون]]-Table15[[#This Row],[خصم 3%]]</f>
        <v>0</v>
      </c>
      <c r="L1078" s="27"/>
      <c r="M1078" s="27">
        <f>Table15[[#This Row],[اجمالي الفاتوره]]-Table15[[#This Row],[الدفعات]]</f>
        <v>0</v>
      </c>
      <c r="N1078" s="27"/>
      <c r="O1078" s="27"/>
    </row>
    <row r="1079" spans="2:15" ht="29.25" customHeight="1" x14ac:dyDescent="0.3">
      <c r="B1079" s="27"/>
      <c r="C1079" s="27"/>
      <c r="D1079" s="27"/>
      <c r="E1079" s="27"/>
      <c r="F1079" s="27"/>
      <c r="G1079" s="27"/>
      <c r="H1079" s="27"/>
      <c r="I1079" s="27"/>
      <c r="J1079" s="27"/>
      <c r="K1079" s="27">
        <f>Table15[[#This Row],[الايصالات]]+Table15[[#This Row],[النولون]]-Table15[[#This Row],[خصم 3%]]</f>
        <v>0</v>
      </c>
      <c r="L1079" s="27"/>
      <c r="M1079" s="27">
        <f>Table15[[#This Row],[اجمالي الفاتوره]]-Table15[[#This Row],[الدفعات]]</f>
        <v>0</v>
      </c>
      <c r="N1079" s="27"/>
      <c r="O1079" s="27"/>
    </row>
    <row r="1080" spans="2:15" ht="29.25" customHeight="1" x14ac:dyDescent="0.3">
      <c r="B1080" s="27"/>
      <c r="C1080" s="27"/>
      <c r="D1080" s="27"/>
      <c r="E1080" s="27"/>
      <c r="F1080" s="27"/>
      <c r="G1080" s="27"/>
      <c r="H1080" s="27"/>
      <c r="I1080" s="27"/>
      <c r="J1080" s="27"/>
      <c r="K1080" s="27">
        <f>Table15[[#This Row],[الايصالات]]+Table15[[#This Row],[النولون]]-Table15[[#This Row],[خصم 3%]]</f>
        <v>0</v>
      </c>
      <c r="L1080" s="27"/>
      <c r="M1080" s="27">
        <f>Table15[[#This Row],[اجمالي الفاتوره]]-Table15[[#This Row],[الدفعات]]</f>
        <v>0</v>
      </c>
      <c r="N1080" s="27"/>
      <c r="O1080" s="27"/>
    </row>
    <row r="1081" spans="2:15" ht="29.25" customHeight="1" x14ac:dyDescent="0.3">
      <c r="B1081" s="27"/>
      <c r="C1081" s="27"/>
      <c r="D1081" s="27"/>
      <c r="E1081" s="27"/>
      <c r="F1081" s="27"/>
      <c r="G1081" s="27"/>
      <c r="H1081" s="27"/>
      <c r="I1081" s="27"/>
      <c r="J1081" s="27"/>
      <c r="K1081" s="27">
        <f>Table15[[#This Row],[الايصالات]]+Table15[[#This Row],[النولون]]-Table15[[#This Row],[خصم 3%]]</f>
        <v>0</v>
      </c>
      <c r="L1081" s="27"/>
      <c r="M1081" s="27">
        <f>Table15[[#This Row],[اجمالي الفاتوره]]-Table15[[#This Row],[الدفعات]]</f>
        <v>0</v>
      </c>
      <c r="N1081" s="27"/>
      <c r="O1081" s="27"/>
    </row>
    <row r="1082" spans="2:15" ht="29.25" customHeight="1" x14ac:dyDescent="0.3">
      <c r="B1082" s="27"/>
      <c r="C1082" s="27"/>
      <c r="D1082" s="27"/>
      <c r="E1082" s="27"/>
      <c r="F1082" s="27"/>
      <c r="G1082" s="27"/>
      <c r="H1082" s="27"/>
      <c r="I1082" s="27"/>
      <c r="J1082" s="27"/>
      <c r="K1082" s="27">
        <f>Table15[[#This Row],[الايصالات]]+Table15[[#This Row],[النولون]]-Table15[[#This Row],[خصم 3%]]</f>
        <v>0</v>
      </c>
      <c r="L1082" s="27"/>
      <c r="M1082" s="27">
        <f>Table15[[#This Row],[اجمالي الفاتوره]]-Table15[[#This Row],[الدفعات]]</f>
        <v>0</v>
      </c>
      <c r="N1082" s="27"/>
      <c r="O1082" s="27"/>
    </row>
    <row r="1083" spans="2:15" ht="29.25" customHeight="1" x14ac:dyDescent="0.3">
      <c r="B1083" s="27"/>
      <c r="C1083" s="27"/>
      <c r="D1083" s="27"/>
      <c r="E1083" s="27"/>
      <c r="F1083" s="27"/>
      <c r="G1083" s="27"/>
      <c r="H1083" s="27"/>
      <c r="I1083" s="27"/>
      <c r="J1083" s="27"/>
      <c r="K1083" s="27">
        <f>Table15[[#This Row],[الايصالات]]+Table15[[#This Row],[النولون]]-Table15[[#This Row],[خصم 3%]]</f>
        <v>0</v>
      </c>
      <c r="L1083" s="27"/>
      <c r="M1083" s="27">
        <f>Table15[[#This Row],[اجمالي الفاتوره]]-Table15[[#This Row],[الدفعات]]</f>
        <v>0</v>
      </c>
      <c r="N1083" s="27"/>
      <c r="O1083" s="27"/>
    </row>
    <row r="1084" spans="2:15" ht="29.25" customHeight="1" x14ac:dyDescent="0.3">
      <c r="B1084" s="27"/>
      <c r="C1084" s="27"/>
      <c r="D1084" s="27"/>
      <c r="E1084" s="27"/>
      <c r="F1084" s="27"/>
      <c r="G1084" s="27"/>
      <c r="H1084" s="27"/>
      <c r="I1084" s="27"/>
      <c r="J1084" s="27"/>
      <c r="K1084" s="27">
        <f>Table15[[#This Row],[الايصالات]]+Table15[[#This Row],[النولون]]-Table15[[#This Row],[خصم 3%]]</f>
        <v>0</v>
      </c>
      <c r="L1084" s="27"/>
      <c r="M1084" s="27">
        <f>Table15[[#This Row],[اجمالي الفاتوره]]-Table15[[#This Row],[الدفعات]]</f>
        <v>0</v>
      </c>
      <c r="N1084" s="27"/>
      <c r="O1084" s="27"/>
    </row>
    <row r="1085" spans="2:15" ht="29.25" customHeight="1" x14ac:dyDescent="0.3">
      <c r="B1085" s="27"/>
      <c r="C1085" s="27"/>
      <c r="D1085" s="27"/>
      <c r="E1085" s="27"/>
      <c r="F1085" s="27"/>
      <c r="G1085" s="27"/>
      <c r="H1085" s="27"/>
      <c r="I1085" s="27"/>
      <c r="J1085" s="27"/>
      <c r="K1085" s="27">
        <f>Table15[[#This Row],[الايصالات]]+Table15[[#This Row],[النولون]]-Table15[[#This Row],[خصم 3%]]</f>
        <v>0</v>
      </c>
      <c r="L1085" s="27"/>
      <c r="M1085" s="27">
        <f>Table15[[#This Row],[اجمالي الفاتوره]]-Table15[[#This Row],[الدفعات]]</f>
        <v>0</v>
      </c>
      <c r="N1085" s="27"/>
      <c r="O1085" s="27"/>
    </row>
    <row r="1086" spans="2:15" ht="29.25" customHeight="1" x14ac:dyDescent="0.3">
      <c r="B1086" s="27"/>
      <c r="C1086" s="27"/>
      <c r="D1086" s="27"/>
      <c r="E1086" s="27"/>
      <c r="F1086" s="27"/>
      <c r="G1086" s="27"/>
      <c r="H1086" s="27"/>
      <c r="I1086" s="27"/>
      <c r="J1086" s="27"/>
      <c r="K1086" s="27">
        <f>Table15[[#This Row],[الايصالات]]+Table15[[#This Row],[النولون]]-Table15[[#This Row],[خصم 3%]]</f>
        <v>0</v>
      </c>
      <c r="L1086" s="27"/>
      <c r="M1086" s="27">
        <f>Table15[[#This Row],[اجمالي الفاتوره]]-Table15[[#This Row],[الدفعات]]</f>
        <v>0</v>
      </c>
      <c r="N1086" s="27"/>
      <c r="O1086" s="27"/>
    </row>
    <row r="1087" spans="2:15" ht="29.25" customHeight="1" x14ac:dyDescent="0.3">
      <c r="B1087" s="27"/>
      <c r="C1087" s="27"/>
      <c r="D1087" s="27"/>
      <c r="E1087" s="27"/>
      <c r="F1087" s="27"/>
      <c r="G1087" s="27"/>
      <c r="H1087" s="27"/>
      <c r="I1087" s="27"/>
      <c r="J1087" s="27"/>
      <c r="K1087" s="27">
        <f>Table15[[#This Row],[الايصالات]]+Table15[[#This Row],[النولون]]-Table15[[#This Row],[خصم 3%]]</f>
        <v>0</v>
      </c>
      <c r="L1087" s="27"/>
      <c r="M1087" s="27">
        <f>Table15[[#This Row],[اجمالي الفاتوره]]-Table15[[#This Row],[الدفعات]]</f>
        <v>0</v>
      </c>
      <c r="N1087" s="27"/>
      <c r="O1087" s="27"/>
    </row>
    <row r="1088" spans="2:15" ht="29.25" customHeight="1" x14ac:dyDescent="0.3">
      <c r="B1088" s="27"/>
      <c r="C1088" s="27"/>
      <c r="D1088" s="27"/>
      <c r="E1088" s="27"/>
      <c r="F1088" s="27"/>
      <c r="G1088" s="27"/>
      <c r="H1088" s="27"/>
      <c r="I1088" s="27"/>
      <c r="J1088" s="27"/>
      <c r="K1088" s="27">
        <f>Table15[[#This Row],[الايصالات]]+Table15[[#This Row],[النولون]]-Table15[[#This Row],[خصم 3%]]</f>
        <v>0</v>
      </c>
      <c r="L1088" s="27"/>
      <c r="M1088" s="27">
        <f>Table15[[#This Row],[اجمالي الفاتوره]]-Table15[[#This Row],[الدفعات]]</f>
        <v>0</v>
      </c>
      <c r="N1088" s="27"/>
      <c r="O1088" s="27"/>
    </row>
    <row r="1089" spans="2:15" ht="29.25" customHeight="1" x14ac:dyDescent="0.3">
      <c r="B1089" s="27"/>
      <c r="C1089" s="27"/>
      <c r="D1089" s="27"/>
      <c r="E1089" s="27"/>
      <c r="F1089" s="27"/>
      <c r="G1089" s="27"/>
      <c r="H1089" s="27"/>
      <c r="I1089" s="27"/>
      <c r="J1089" s="27"/>
      <c r="K1089" s="27">
        <f>Table15[[#This Row],[الايصالات]]+Table15[[#This Row],[النولون]]-Table15[[#This Row],[خصم 3%]]</f>
        <v>0</v>
      </c>
      <c r="L1089" s="27"/>
      <c r="M1089" s="27">
        <f>Table15[[#This Row],[اجمالي الفاتوره]]-Table15[[#This Row],[الدفعات]]</f>
        <v>0</v>
      </c>
      <c r="N1089" s="27"/>
      <c r="O1089" s="27"/>
    </row>
    <row r="1090" spans="2:15" ht="29.25" customHeight="1" x14ac:dyDescent="0.3">
      <c r="B1090" s="27"/>
      <c r="C1090" s="27"/>
      <c r="D1090" s="27"/>
      <c r="E1090" s="27"/>
      <c r="F1090" s="27"/>
      <c r="G1090" s="27"/>
      <c r="H1090" s="27"/>
      <c r="I1090" s="27"/>
      <c r="J1090" s="27"/>
      <c r="K1090" s="27">
        <f>Table15[[#This Row],[الايصالات]]+Table15[[#This Row],[النولون]]-Table15[[#This Row],[خصم 3%]]</f>
        <v>0</v>
      </c>
      <c r="L1090" s="27"/>
      <c r="M1090" s="27">
        <f>Table15[[#This Row],[اجمالي الفاتوره]]-Table15[[#This Row],[الدفعات]]</f>
        <v>0</v>
      </c>
      <c r="N1090" s="27"/>
      <c r="O1090" s="27"/>
    </row>
    <row r="1091" spans="2:15" ht="29.25" customHeight="1" x14ac:dyDescent="0.3">
      <c r="B1091" s="27"/>
      <c r="C1091" s="27"/>
      <c r="D1091" s="27"/>
      <c r="E1091" s="27"/>
      <c r="F1091" s="27"/>
      <c r="G1091" s="27"/>
      <c r="H1091" s="27"/>
      <c r="I1091" s="27"/>
      <c r="J1091" s="27"/>
      <c r="K1091" s="27">
        <f>Table15[[#This Row],[الايصالات]]+Table15[[#This Row],[النولون]]-Table15[[#This Row],[خصم 3%]]</f>
        <v>0</v>
      </c>
      <c r="L1091" s="27"/>
      <c r="M1091" s="27">
        <f>Table15[[#This Row],[اجمالي الفاتوره]]-Table15[[#This Row],[الدفعات]]</f>
        <v>0</v>
      </c>
      <c r="N1091" s="27"/>
      <c r="O1091" s="27"/>
    </row>
    <row r="1092" spans="2:15" ht="29.25" customHeight="1" x14ac:dyDescent="0.3">
      <c r="B1092" s="27"/>
      <c r="C1092" s="27"/>
      <c r="D1092" s="27"/>
      <c r="E1092" s="27"/>
      <c r="F1092" s="27"/>
      <c r="G1092" s="27"/>
      <c r="H1092" s="27"/>
      <c r="I1092" s="27"/>
      <c r="J1092" s="27"/>
      <c r="K1092" s="27">
        <f>Table15[[#This Row],[الايصالات]]+Table15[[#This Row],[النولون]]-Table15[[#This Row],[خصم 3%]]</f>
        <v>0</v>
      </c>
      <c r="L1092" s="27"/>
      <c r="M1092" s="27">
        <f>Table15[[#This Row],[اجمالي الفاتوره]]-Table15[[#This Row],[الدفعات]]</f>
        <v>0</v>
      </c>
      <c r="N1092" s="27"/>
      <c r="O1092" s="27"/>
    </row>
    <row r="1093" spans="2:15" ht="29.25" customHeight="1" x14ac:dyDescent="0.3">
      <c r="B1093" s="27"/>
      <c r="C1093" s="27"/>
      <c r="D1093" s="27"/>
      <c r="E1093" s="27"/>
      <c r="F1093" s="27"/>
      <c r="G1093" s="27"/>
      <c r="H1093" s="27"/>
      <c r="I1093" s="27"/>
      <c r="J1093" s="27"/>
      <c r="K1093" s="27">
        <f>Table15[[#This Row],[الايصالات]]+Table15[[#This Row],[النولون]]-Table15[[#This Row],[خصم 3%]]</f>
        <v>0</v>
      </c>
      <c r="L1093" s="27"/>
      <c r="M1093" s="27">
        <f>Table15[[#This Row],[اجمالي الفاتوره]]-Table15[[#This Row],[الدفعات]]</f>
        <v>0</v>
      </c>
      <c r="N1093" s="27"/>
      <c r="O1093" s="27"/>
    </row>
    <row r="1094" spans="2:15" ht="29.25" customHeight="1" x14ac:dyDescent="0.3">
      <c r="B1094" s="27"/>
      <c r="C1094" s="27"/>
      <c r="D1094" s="27"/>
      <c r="E1094" s="27"/>
      <c r="F1094" s="27"/>
      <c r="G1094" s="27"/>
      <c r="H1094" s="27"/>
      <c r="I1094" s="27"/>
      <c r="J1094" s="27"/>
      <c r="K1094" s="27">
        <f>Table15[[#This Row],[الايصالات]]+Table15[[#This Row],[النولون]]-Table15[[#This Row],[خصم 3%]]</f>
        <v>0</v>
      </c>
      <c r="L1094" s="27"/>
      <c r="M1094" s="27">
        <f>Table15[[#This Row],[اجمالي الفاتوره]]-Table15[[#This Row],[الدفعات]]</f>
        <v>0</v>
      </c>
      <c r="N1094" s="27"/>
      <c r="O1094" s="27"/>
    </row>
    <row r="1095" spans="2:15" ht="29.25" customHeight="1" x14ac:dyDescent="0.3">
      <c r="B1095" s="27"/>
      <c r="C1095" s="27"/>
      <c r="D1095" s="27"/>
      <c r="E1095" s="27"/>
      <c r="F1095" s="27"/>
      <c r="G1095" s="27"/>
      <c r="H1095" s="27"/>
      <c r="I1095" s="27"/>
      <c r="J1095" s="27"/>
      <c r="K1095" s="27">
        <f>Table15[[#This Row],[الايصالات]]+Table15[[#This Row],[النولون]]-Table15[[#This Row],[خصم 3%]]</f>
        <v>0</v>
      </c>
      <c r="L1095" s="27"/>
      <c r="M1095" s="27">
        <f>Table15[[#This Row],[اجمالي الفاتوره]]-Table15[[#This Row],[الدفعات]]</f>
        <v>0</v>
      </c>
      <c r="N1095" s="27"/>
      <c r="O1095" s="27"/>
    </row>
    <row r="1096" spans="2:15" ht="29.25" customHeight="1" x14ac:dyDescent="0.3">
      <c r="B1096" s="27"/>
      <c r="C1096" s="27"/>
      <c r="D1096" s="27"/>
      <c r="E1096" s="27"/>
      <c r="F1096" s="27"/>
      <c r="G1096" s="27"/>
      <c r="H1096" s="27"/>
      <c r="I1096" s="27"/>
      <c r="J1096" s="27"/>
      <c r="K1096" s="27">
        <f>Table15[[#This Row],[الايصالات]]+Table15[[#This Row],[النولون]]-Table15[[#This Row],[خصم 3%]]</f>
        <v>0</v>
      </c>
      <c r="L1096" s="27"/>
      <c r="M1096" s="27">
        <f>Table15[[#This Row],[اجمالي الفاتوره]]-Table15[[#This Row],[الدفعات]]</f>
        <v>0</v>
      </c>
      <c r="N1096" s="27"/>
      <c r="O1096" s="27"/>
    </row>
    <row r="1097" spans="2:15" ht="29.25" customHeight="1" x14ac:dyDescent="0.3">
      <c r="B1097" s="27"/>
      <c r="C1097" s="27"/>
      <c r="D1097" s="27"/>
      <c r="E1097" s="27"/>
      <c r="F1097" s="27"/>
      <c r="G1097" s="27"/>
      <c r="H1097" s="27"/>
      <c r="I1097" s="27"/>
      <c r="J1097" s="27"/>
      <c r="K1097" s="27">
        <f>Table15[[#This Row],[الايصالات]]+Table15[[#This Row],[النولون]]-Table15[[#This Row],[خصم 3%]]</f>
        <v>0</v>
      </c>
      <c r="L1097" s="27"/>
      <c r="M1097" s="27">
        <f>Table15[[#This Row],[اجمالي الفاتوره]]-Table15[[#This Row],[الدفعات]]</f>
        <v>0</v>
      </c>
      <c r="N1097" s="27"/>
      <c r="O1097" s="27"/>
    </row>
    <row r="1098" spans="2:15" ht="29.25" customHeight="1" x14ac:dyDescent="0.3">
      <c r="B1098" s="27"/>
      <c r="C1098" s="27"/>
      <c r="D1098" s="27"/>
      <c r="E1098" s="27"/>
      <c r="F1098" s="27"/>
      <c r="G1098" s="27"/>
      <c r="H1098" s="27"/>
      <c r="I1098" s="27"/>
      <c r="J1098" s="27"/>
      <c r="K1098" s="27">
        <f>Table15[[#This Row],[الايصالات]]+Table15[[#This Row],[النولون]]-Table15[[#This Row],[خصم 3%]]</f>
        <v>0</v>
      </c>
      <c r="L1098" s="27"/>
      <c r="M1098" s="27">
        <f>Table15[[#This Row],[اجمالي الفاتوره]]-Table15[[#This Row],[الدفعات]]</f>
        <v>0</v>
      </c>
      <c r="N1098" s="27"/>
      <c r="O1098" s="27"/>
    </row>
    <row r="1099" spans="2:15" ht="29.25" customHeight="1" x14ac:dyDescent="0.3">
      <c r="B1099" s="27"/>
      <c r="C1099" s="27"/>
      <c r="D1099" s="27"/>
      <c r="E1099" s="27"/>
      <c r="F1099" s="27"/>
      <c r="G1099" s="27"/>
      <c r="H1099" s="27"/>
      <c r="I1099" s="27"/>
      <c r="J1099" s="27"/>
      <c r="K1099" s="27">
        <f>Table15[[#This Row],[الايصالات]]+Table15[[#This Row],[النولون]]-Table15[[#This Row],[خصم 3%]]</f>
        <v>0</v>
      </c>
      <c r="L1099" s="27"/>
      <c r="M1099" s="27">
        <f>Table15[[#This Row],[اجمالي الفاتوره]]-Table15[[#This Row],[الدفعات]]</f>
        <v>0</v>
      </c>
      <c r="N1099" s="27"/>
      <c r="O1099" s="27"/>
    </row>
    <row r="1100" spans="2:15" ht="29.25" customHeight="1" x14ac:dyDescent="0.3">
      <c r="B1100" s="27"/>
      <c r="C1100" s="27"/>
      <c r="D1100" s="27"/>
      <c r="E1100" s="27"/>
      <c r="F1100" s="27"/>
      <c r="G1100" s="27"/>
      <c r="H1100" s="27"/>
      <c r="I1100" s="27"/>
      <c r="J1100" s="27"/>
      <c r="K1100" s="27">
        <f>Table15[[#This Row],[الايصالات]]+Table15[[#This Row],[النولون]]-Table15[[#This Row],[خصم 3%]]</f>
        <v>0</v>
      </c>
      <c r="L1100" s="27"/>
      <c r="M1100" s="27">
        <f>Table15[[#This Row],[اجمالي الفاتوره]]-Table15[[#This Row],[الدفعات]]</f>
        <v>0</v>
      </c>
      <c r="N1100" s="27"/>
      <c r="O1100" s="27"/>
    </row>
    <row r="1101" spans="2:15" ht="29.25" customHeight="1" x14ac:dyDescent="0.3">
      <c r="B1101" s="27"/>
      <c r="C1101" s="27"/>
      <c r="D1101" s="27"/>
      <c r="E1101" s="27"/>
      <c r="F1101" s="27"/>
      <c r="G1101" s="27"/>
      <c r="H1101" s="27"/>
      <c r="I1101" s="27"/>
      <c r="J1101" s="27"/>
      <c r="K1101" s="27">
        <f>Table15[[#This Row],[الايصالات]]+Table15[[#This Row],[النولون]]-Table15[[#This Row],[خصم 3%]]</f>
        <v>0</v>
      </c>
      <c r="L1101" s="27"/>
      <c r="M1101" s="27">
        <f>Table15[[#This Row],[اجمالي الفاتوره]]-Table15[[#This Row],[الدفعات]]</f>
        <v>0</v>
      </c>
      <c r="N1101" s="27"/>
      <c r="O1101" s="27"/>
    </row>
    <row r="1102" spans="2:15" ht="29.25" customHeight="1" x14ac:dyDescent="0.3">
      <c r="B1102" s="27"/>
      <c r="C1102" s="27"/>
      <c r="D1102" s="27"/>
      <c r="E1102" s="27"/>
      <c r="F1102" s="27"/>
      <c r="G1102" s="27"/>
      <c r="H1102" s="27"/>
      <c r="I1102" s="27"/>
      <c r="J1102" s="27"/>
      <c r="K1102" s="27">
        <f>Table15[[#This Row],[الايصالات]]+Table15[[#This Row],[النولون]]-Table15[[#This Row],[خصم 3%]]</f>
        <v>0</v>
      </c>
      <c r="L1102" s="27"/>
      <c r="M1102" s="27">
        <f>Table15[[#This Row],[اجمالي الفاتوره]]-Table15[[#This Row],[الدفعات]]</f>
        <v>0</v>
      </c>
      <c r="N1102" s="27"/>
      <c r="O1102" s="27"/>
    </row>
    <row r="1103" spans="2:15" ht="29.25" customHeight="1" x14ac:dyDescent="0.3">
      <c r="B1103" s="27"/>
      <c r="C1103" s="27"/>
      <c r="D1103" s="27"/>
      <c r="E1103" s="27"/>
      <c r="F1103" s="27"/>
      <c r="G1103" s="27"/>
      <c r="H1103" s="27"/>
      <c r="I1103" s="27"/>
      <c r="J1103" s="27"/>
      <c r="K1103" s="27">
        <f>Table15[[#This Row],[الايصالات]]+Table15[[#This Row],[النولون]]-Table15[[#This Row],[خصم 3%]]</f>
        <v>0</v>
      </c>
      <c r="L1103" s="27"/>
      <c r="M1103" s="27">
        <f>Table15[[#This Row],[اجمالي الفاتوره]]-Table15[[#This Row],[الدفعات]]</f>
        <v>0</v>
      </c>
      <c r="N1103" s="27"/>
      <c r="O1103" s="27"/>
    </row>
    <row r="1104" spans="2:15" ht="29.25" customHeight="1" x14ac:dyDescent="0.3">
      <c r="B1104" s="27"/>
      <c r="C1104" s="27"/>
      <c r="D1104" s="27"/>
      <c r="E1104" s="27"/>
      <c r="F1104" s="27"/>
      <c r="G1104" s="27"/>
      <c r="H1104" s="27"/>
      <c r="I1104" s="27"/>
      <c r="J1104" s="27"/>
      <c r="K1104" s="27">
        <f>Table15[[#This Row],[الايصالات]]+Table15[[#This Row],[النولون]]-Table15[[#This Row],[خصم 3%]]</f>
        <v>0</v>
      </c>
      <c r="L1104" s="27"/>
      <c r="M1104" s="27">
        <f>Table15[[#This Row],[اجمالي الفاتوره]]-Table15[[#This Row],[الدفعات]]</f>
        <v>0</v>
      </c>
      <c r="N1104" s="27"/>
      <c r="O1104" s="27"/>
    </row>
    <row r="1105" spans="2:15" ht="29.25" customHeight="1" x14ac:dyDescent="0.3">
      <c r="B1105" s="27"/>
      <c r="C1105" s="27"/>
      <c r="D1105" s="27"/>
      <c r="E1105" s="27"/>
      <c r="F1105" s="27"/>
      <c r="G1105" s="27"/>
      <c r="H1105" s="27"/>
      <c r="I1105" s="27"/>
      <c r="J1105" s="27"/>
      <c r="K1105" s="27">
        <f>Table15[[#This Row],[الايصالات]]+Table15[[#This Row],[النولون]]-Table15[[#This Row],[خصم 3%]]</f>
        <v>0</v>
      </c>
      <c r="L1105" s="27"/>
      <c r="M1105" s="27">
        <f>Table15[[#This Row],[اجمالي الفاتوره]]-Table15[[#This Row],[الدفعات]]</f>
        <v>0</v>
      </c>
      <c r="N1105" s="27"/>
      <c r="O1105" s="27"/>
    </row>
    <row r="1106" spans="2:15" ht="29.25" customHeight="1" x14ac:dyDescent="0.3">
      <c r="B1106" s="27"/>
      <c r="C1106" s="27"/>
      <c r="D1106" s="27"/>
      <c r="E1106" s="27"/>
      <c r="F1106" s="27"/>
      <c r="G1106" s="27"/>
      <c r="H1106" s="27"/>
      <c r="I1106" s="27"/>
      <c r="J1106" s="27"/>
      <c r="K1106" s="27">
        <f>Table15[[#This Row],[الايصالات]]+Table15[[#This Row],[النولون]]-Table15[[#This Row],[خصم 3%]]</f>
        <v>0</v>
      </c>
      <c r="L1106" s="27"/>
      <c r="M1106" s="27">
        <f>Table15[[#This Row],[اجمالي الفاتوره]]-Table15[[#This Row],[الدفعات]]</f>
        <v>0</v>
      </c>
      <c r="N1106" s="27"/>
      <c r="O1106" s="27"/>
    </row>
    <row r="1107" spans="2:15" ht="29.25" customHeight="1" x14ac:dyDescent="0.3">
      <c r="B1107" s="27"/>
      <c r="C1107" s="27"/>
      <c r="D1107" s="27"/>
      <c r="E1107" s="27"/>
      <c r="F1107" s="27"/>
      <c r="G1107" s="27"/>
      <c r="H1107" s="27"/>
      <c r="I1107" s="27"/>
      <c r="J1107" s="27"/>
      <c r="K1107" s="27">
        <f>Table15[[#This Row],[الايصالات]]+Table15[[#This Row],[النولون]]-Table15[[#This Row],[خصم 3%]]</f>
        <v>0</v>
      </c>
      <c r="L1107" s="27"/>
      <c r="M1107" s="27">
        <f>Table15[[#This Row],[اجمالي الفاتوره]]-Table15[[#This Row],[الدفعات]]</f>
        <v>0</v>
      </c>
      <c r="N1107" s="27"/>
      <c r="O1107" s="27"/>
    </row>
    <row r="1108" spans="2:15" ht="29.25" customHeight="1" x14ac:dyDescent="0.3">
      <c r="B1108" s="27"/>
      <c r="C1108" s="27"/>
      <c r="D1108" s="27"/>
      <c r="E1108" s="27"/>
      <c r="F1108" s="27"/>
      <c r="G1108" s="27"/>
      <c r="H1108" s="27"/>
      <c r="I1108" s="27"/>
      <c r="J1108" s="27"/>
      <c r="K1108" s="27">
        <f>Table15[[#This Row],[الايصالات]]+Table15[[#This Row],[النولون]]-Table15[[#This Row],[خصم 3%]]</f>
        <v>0</v>
      </c>
      <c r="L1108" s="27"/>
      <c r="M1108" s="27">
        <f>Table15[[#This Row],[اجمالي الفاتوره]]-Table15[[#This Row],[الدفعات]]</f>
        <v>0</v>
      </c>
      <c r="N1108" s="27"/>
      <c r="O1108" s="27"/>
    </row>
    <row r="1109" spans="2:15" ht="29.25" customHeight="1" x14ac:dyDescent="0.3">
      <c r="B1109" s="27"/>
      <c r="C1109" s="27"/>
      <c r="D1109" s="27"/>
      <c r="E1109" s="27"/>
      <c r="F1109" s="27"/>
      <c r="G1109" s="27"/>
      <c r="H1109" s="27"/>
      <c r="I1109" s="27"/>
      <c r="J1109" s="27"/>
      <c r="K1109" s="27">
        <f>Table15[[#This Row],[الايصالات]]+Table15[[#This Row],[النولون]]-Table15[[#This Row],[خصم 3%]]</f>
        <v>0</v>
      </c>
      <c r="L1109" s="27"/>
      <c r="M1109" s="27">
        <f>Table15[[#This Row],[اجمالي الفاتوره]]-Table15[[#This Row],[الدفعات]]</f>
        <v>0</v>
      </c>
      <c r="N1109" s="27"/>
      <c r="O1109" s="27"/>
    </row>
    <row r="1110" spans="2:15" ht="29.25" customHeight="1" x14ac:dyDescent="0.3">
      <c r="B1110" s="27"/>
      <c r="C1110" s="27"/>
      <c r="D1110" s="27"/>
      <c r="E1110" s="27"/>
      <c r="F1110" s="27"/>
      <c r="G1110" s="27"/>
      <c r="H1110" s="27"/>
      <c r="I1110" s="27"/>
      <c r="J1110" s="27"/>
      <c r="K1110" s="27">
        <f>Table15[[#This Row],[الايصالات]]+Table15[[#This Row],[النولون]]-Table15[[#This Row],[خصم 3%]]</f>
        <v>0</v>
      </c>
      <c r="L1110" s="27"/>
      <c r="M1110" s="27">
        <f>Table15[[#This Row],[اجمالي الفاتوره]]-Table15[[#This Row],[الدفعات]]</f>
        <v>0</v>
      </c>
      <c r="N1110" s="27"/>
      <c r="O1110" s="27"/>
    </row>
    <row r="1111" spans="2:15" ht="29.25" customHeight="1" x14ac:dyDescent="0.3">
      <c r="B1111" s="27"/>
      <c r="C1111" s="27"/>
      <c r="D1111" s="27"/>
      <c r="E1111" s="27"/>
      <c r="F1111" s="27"/>
      <c r="G1111" s="27"/>
      <c r="H1111" s="27"/>
      <c r="I1111" s="27"/>
      <c r="J1111" s="27"/>
      <c r="K1111" s="27">
        <f>Table15[[#This Row],[الايصالات]]+Table15[[#This Row],[النولون]]-Table15[[#This Row],[خصم 3%]]</f>
        <v>0</v>
      </c>
      <c r="L1111" s="27"/>
      <c r="M1111" s="27">
        <f>Table15[[#This Row],[اجمالي الفاتوره]]-Table15[[#This Row],[الدفعات]]</f>
        <v>0</v>
      </c>
      <c r="N1111" s="27"/>
      <c r="O1111" s="27"/>
    </row>
    <row r="1112" spans="2:15" ht="29.25" customHeight="1" x14ac:dyDescent="0.3">
      <c r="B1112" s="27"/>
      <c r="C1112" s="27"/>
      <c r="D1112" s="27"/>
      <c r="E1112" s="27"/>
      <c r="F1112" s="27"/>
      <c r="G1112" s="27"/>
      <c r="H1112" s="27"/>
      <c r="I1112" s="27"/>
      <c r="J1112" s="27"/>
      <c r="K1112" s="27">
        <f>Table15[[#This Row],[الايصالات]]+Table15[[#This Row],[النولون]]-Table15[[#This Row],[خصم 3%]]</f>
        <v>0</v>
      </c>
      <c r="L1112" s="27"/>
      <c r="M1112" s="27">
        <f>Table15[[#This Row],[اجمالي الفاتوره]]-Table15[[#This Row],[الدفعات]]</f>
        <v>0</v>
      </c>
      <c r="N1112" s="27"/>
      <c r="O1112" s="27"/>
    </row>
    <row r="1113" spans="2:15" ht="29.25" customHeight="1" x14ac:dyDescent="0.3">
      <c r="B1113" s="27"/>
      <c r="C1113" s="27"/>
      <c r="D1113" s="27"/>
      <c r="E1113" s="27"/>
      <c r="F1113" s="27"/>
      <c r="G1113" s="27"/>
      <c r="H1113" s="27"/>
      <c r="I1113" s="27"/>
      <c r="J1113" s="27"/>
      <c r="K1113" s="27">
        <f>Table15[[#This Row],[الايصالات]]+Table15[[#This Row],[النولون]]-Table15[[#This Row],[خصم 3%]]</f>
        <v>0</v>
      </c>
      <c r="L1113" s="27"/>
      <c r="M1113" s="27">
        <f>Table15[[#This Row],[اجمالي الفاتوره]]-Table15[[#This Row],[الدفعات]]</f>
        <v>0</v>
      </c>
      <c r="N1113" s="27"/>
      <c r="O1113" s="27"/>
    </row>
    <row r="1114" spans="2:15" ht="29.25" customHeight="1" x14ac:dyDescent="0.3">
      <c r="B1114" s="27"/>
      <c r="C1114" s="27"/>
      <c r="D1114" s="27"/>
      <c r="E1114" s="27"/>
      <c r="F1114" s="27"/>
      <c r="G1114" s="27"/>
      <c r="H1114" s="27"/>
      <c r="I1114" s="27"/>
      <c r="J1114" s="27"/>
      <c r="K1114" s="27">
        <f>Table15[[#This Row],[الايصالات]]+Table15[[#This Row],[النولون]]-Table15[[#This Row],[خصم 3%]]</f>
        <v>0</v>
      </c>
      <c r="L1114" s="27"/>
      <c r="M1114" s="27">
        <f>Table15[[#This Row],[اجمالي الفاتوره]]-Table15[[#This Row],[الدفعات]]</f>
        <v>0</v>
      </c>
      <c r="N1114" s="27"/>
      <c r="O1114" s="27"/>
    </row>
    <row r="1115" spans="2:15" ht="29.25" customHeight="1" x14ac:dyDescent="0.3">
      <c r="B1115" s="27"/>
      <c r="C1115" s="27"/>
      <c r="D1115" s="27"/>
      <c r="E1115" s="27"/>
      <c r="F1115" s="27"/>
      <c r="G1115" s="27"/>
      <c r="H1115" s="27"/>
      <c r="I1115" s="27"/>
      <c r="J1115" s="27"/>
      <c r="K1115" s="27">
        <f>Table15[[#This Row],[الايصالات]]+Table15[[#This Row],[النولون]]-Table15[[#This Row],[خصم 3%]]</f>
        <v>0</v>
      </c>
      <c r="L1115" s="27"/>
      <c r="M1115" s="27">
        <f>Table15[[#This Row],[اجمالي الفاتوره]]-Table15[[#This Row],[الدفعات]]</f>
        <v>0</v>
      </c>
      <c r="N1115" s="27"/>
      <c r="O1115" s="27"/>
    </row>
    <row r="1116" spans="2:15" ht="29.25" customHeight="1" x14ac:dyDescent="0.3">
      <c r="B1116" s="27"/>
      <c r="C1116" s="27"/>
      <c r="D1116" s="27"/>
      <c r="E1116" s="27"/>
      <c r="F1116" s="27"/>
      <c r="G1116" s="27"/>
      <c r="H1116" s="27"/>
      <c r="I1116" s="27"/>
      <c r="J1116" s="27"/>
      <c r="K1116" s="27">
        <f>Table15[[#This Row],[الايصالات]]+Table15[[#This Row],[النولون]]-Table15[[#This Row],[خصم 3%]]</f>
        <v>0</v>
      </c>
      <c r="L1116" s="27"/>
      <c r="M1116" s="27">
        <f>Table15[[#This Row],[اجمالي الفاتوره]]-Table15[[#This Row],[الدفعات]]</f>
        <v>0</v>
      </c>
      <c r="N1116" s="27"/>
      <c r="O1116" s="27"/>
    </row>
    <row r="1117" spans="2:15" ht="29.25" customHeight="1" x14ac:dyDescent="0.3">
      <c r="B1117" s="27"/>
      <c r="C1117" s="27"/>
      <c r="D1117" s="27"/>
      <c r="E1117" s="27"/>
      <c r="F1117" s="27"/>
      <c r="G1117" s="27"/>
      <c r="H1117" s="27"/>
      <c r="I1117" s="27"/>
      <c r="J1117" s="27"/>
      <c r="K1117" s="27">
        <f>Table15[[#This Row],[الايصالات]]+Table15[[#This Row],[النولون]]-Table15[[#This Row],[خصم 3%]]</f>
        <v>0</v>
      </c>
      <c r="L1117" s="27"/>
      <c r="M1117" s="27">
        <f>Table15[[#This Row],[اجمالي الفاتوره]]-Table15[[#This Row],[الدفعات]]</f>
        <v>0</v>
      </c>
      <c r="N1117" s="27"/>
      <c r="O1117" s="27"/>
    </row>
    <row r="1118" spans="2:15" ht="29.25" customHeight="1" x14ac:dyDescent="0.3">
      <c r="B1118" s="27"/>
      <c r="C1118" s="27"/>
      <c r="D1118" s="27"/>
      <c r="E1118" s="27"/>
      <c r="F1118" s="27"/>
      <c r="G1118" s="27"/>
      <c r="H1118" s="27"/>
      <c r="I1118" s="27"/>
      <c r="J1118" s="27"/>
      <c r="K1118" s="27">
        <f>Table15[[#This Row],[الايصالات]]+Table15[[#This Row],[النولون]]-Table15[[#This Row],[خصم 3%]]</f>
        <v>0</v>
      </c>
      <c r="L1118" s="27"/>
      <c r="M1118" s="27">
        <f>Table15[[#This Row],[اجمالي الفاتوره]]-Table15[[#This Row],[الدفعات]]</f>
        <v>0</v>
      </c>
      <c r="N1118" s="27"/>
      <c r="O1118" s="27"/>
    </row>
    <row r="1119" spans="2:15" ht="29.25" customHeight="1" x14ac:dyDescent="0.3">
      <c r="B1119" s="27"/>
      <c r="C1119" s="27"/>
      <c r="D1119" s="27"/>
      <c r="E1119" s="27"/>
      <c r="F1119" s="27"/>
      <c r="G1119" s="27"/>
      <c r="H1119" s="27"/>
      <c r="I1119" s="27"/>
      <c r="J1119" s="27"/>
      <c r="K1119" s="27">
        <f>Table15[[#This Row],[الايصالات]]+Table15[[#This Row],[النولون]]-Table15[[#This Row],[خصم 3%]]</f>
        <v>0</v>
      </c>
      <c r="L1119" s="27"/>
      <c r="M1119" s="27">
        <f>Table15[[#This Row],[اجمالي الفاتوره]]-Table15[[#This Row],[الدفعات]]</f>
        <v>0</v>
      </c>
      <c r="N1119" s="27"/>
      <c r="O1119" s="27"/>
    </row>
    <row r="1120" spans="2:15" ht="29.25" customHeight="1" x14ac:dyDescent="0.3">
      <c r="B1120" s="27"/>
      <c r="C1120" s="27"/>
      <c r="D1120" s="27"/>
      <c r="E1120" s="27"/>
      <c r="F1120" s="27"/>
      <c r="G1120" s="27"/>
      <c r="H1120" s="27"/>
      <c r="I1120" s="27"/>
      <c r="J1120" s="27"/>
      <c r="K1120" s="27">
        <f>Table15[[#This Row],[الايصالات]]+Table15[[#This Row],[النولون]]-Table15[[#This Row],[خصم 3%]]</f>
        <v>0</v>
      </c>
      <c r="L1120" s="27"/>
      <c r="M1120" s="27">
        <f>Table15[[#This Row],[اجمالي الفاتوره]]-Table15[[#This Row],[الدفعات]]</f>
        <v>0</v>
      </c>
      <c r="N1120" s="27"/>
      <c r="O1120" s="27"/>
    </row>
    <row r="1121" spans="2:15" ht="29.25" customHeight="1" x14ac:dyDescent="0.3">
      <c r="B1121" s="27"/>
      <c r="C1121" s="27"/>
      <c r="D1121" s="27"/>
      <c r="E1121" s="27"/>
      <c r="F1121" s="27"/>
      <c r="G1121" s="27"/>
      <c r="H1121" s="27"/>
      <c r="I1121" s="27"/>
      <c r="J1121" s="27"/>
      <c r="K1121" s="27">
        <f>Table15[[#This Row],[الايصالات]]+Table15[[#This Row],[النولون]]-Table15[[#This Row],[خصم 3%]]</f>
        <v>0</v>
      </c>
      <c r="L1121" s="27"/>
      <c r="M1121" s="27">
        <f>Table15[[#This Row],[اجمالي الفاتوره]]-Table15[[#This Row],[الدفعات]]</f>
        <v>0</v>
      </c>
      <c r="N1121" s="27"/>
      <c r="O1121" s="27"/>
    </row>
    <row r="1122" spans="2:15" ht="29.25" customHeight="1" x14ac:dyDescent="0.3">
      <c r="B1122" s="27"/>
      <c r="C1122" s="27"/>
      <c r="D1122" s="27"/>
      <c r="E1122" s="27"/>
      <c r="F1122" s="27"/>
      <c r="G1122" s="27"/>
      <c r="H1122" s="27"/>
      <c r="I1122" s="27"/>
      <c r="J1122" s="27"/>
      <c r="K1122" s="27">
        <f>Table15[[#This Row],[الايصالات]]+Table15[[#This Row],[النولون]]-Table15[[#This Row],[خصم 3%]]</f>
        <v>0</v>
      </c>
      <c r="L1122" s="27"/>
      <c r="M1122" s="27">
        <f>Table15[[#This Row],[اجمالي الفاتوره]]-Table15[[#This Row],[الدفعات]]</f>
        <v>0</v>
      </c>
      <c r="N1122" s="27"/>
      <c r="O1122" s="27"/>
    </row>
    <row r="1123" spans="2:15" ht="29.25" customHeight="1" x14ac:dyDescent="0.3">
      <c r="B1123" s="27"/>
      <c r="C1123" s="27"/>
      <c r="D1123" s="27"/>
      <c r="E1123" s="27"/>
      <c r="F1123" s="27"/>
      <c r="G1123" s="27"/>
      <c r="H1123" s="27"/>
      <c r="I1123" s="27"/>
      <c r="J1123" s="27"/>
      <c r="K1123" s="27">
        <f>Table15[[#This Row],[الايصالات]]+Table15[[#This Row],[النولون]]-Table15[[#This Row],[خصم 3%]]</f>
        <v>0</v>
      </c>
      <c r="L1123" s="27"/>
      <c r="M1123" s="27">
        <f>Table15[[#This Row],[اجمالي الفاتوره]]-Table15[[#This Row],[الدفعات]]</f>
        <v>0</v>
      </c>
      <c r="N1123" s="27"/>
      <c r="O1123" s="27"/>
    </row>
    <row r="1124" spans="2:15" ht="29.25" customHeight="1" x14ac:dyDescent="0.3">
      <c r="B1124" s="27"/>
      <c r="C1124" s="27"/>
      <c r="D1124" s="27"/>
      <c r="E1124" s="27"/>
      <c r="F1124" s="27"/>
      <c r="G1124" s="27"/>
      <c r="H1124" s="27"/>
      <c r="I1124" s="27"/>
      <c r="J1124" s="27"/>
      <c r="K1124" s="27">
        <f>Table15[[#This Row],[الايصالات]]+Table15[[#This Row],[النولون]]-Table15[[#This Row],[خصم 3%]]</f>
        <v>0</v>
      </c>
      <c r="L1124" s="27"/>
      <c r="M1124" s="27">
        <f>Table15[[#This Row],[اجمالي الفاتوره]]-Table15[[#This Row],[الدفعات]]</f>
        <v>0</v>
      </c>
      <c r="N1124" s="27"/>
      <c r="O1124" s="27"/>
    </row>
    <row r="1125" spans="2:15" ht="29.25" customHeight="1" x14ac:dyDescent="0.3">
      <c r="B1125" s="27"/>
      <c r="C1125" s="27"/>
      <c r="D1125" s="27"/>
      <c r="E1125" s="27"/>
      <c r="F1125" s="27"/>
      <c r="G1125" s="27"/>
      <c r="H1125" s="27"/>
      <c r="I1125" s="27"/>
      <c r="J1125" s="27"/>
      <c r="K1125" s="27">
        <f>Table15[[#This Row],[الايصالات]]+Table15[[#This Row],[النولون]]-Table15[[#This Row],[خصم 3%]]</f>
        <v>0</v>
      </c>
      <c r="L1125" s="27"/>
      <c r="M1125" s="27">
        <f>Table15[[#This Row],[اجمالي الفاتوره]]-Table15[[#This Row],[الدفعات]]</f>
        <v>0</v>
      </c>
      <c r="N1125" s="27"/>
      <c r="O1125" s="27"/>
    </row>
    <row r="1126" spans="2:15" ht="29.25" customHeight="1" x14ac:dyDescent="0.3">
      <c r="B1126" s="27"/>
      <c r="C1126" s="27"/>
      <c r="D1126" s="27"/>
      <c r="E1126" s="27"/>
      <c r="F1126" s="27"/>
      <c r="G1126" s="27"/>
      <c r="H1126" s="27"/>
      <c r="I1126" s="27"/>
      <c r="J1126" s="27"/>
      <c r="K1126" s="27">
        <f>Table15[[#This Row],[الايصالات]]+Table15[[#This Row],[النولون]]-Table15[[#This Row],[خصم 3%]]</f>
        <v>0</v>
      </c>
      <c r="L1126" s="27"/>
      <c r="M1126" s="27">
        <f>Table15[[#This Row],[اجمالي الفاتوره]]-Table15[[#This Row],[الدفعات]]</f>
        <v>0</v>
      </c>
      <c r="N1126" s="27"/>
      <c r="O1126" s="27"/>
    </row>
    <row r="1127" spans="2:15" ht="29.25" customHeight="1" x14ac:dyDescent="0.3">
      <c r="B1127" s="27"/>
      <c r="C1127" s="27"/>
      <c r="D1127" s="27"/>
      <c r="E1127" s="27"/>
      <c r="F1127" s="27"/>
      <c r="G1127" s="27"/>
      <c r="H1127" s="27"/>
      <c r="I1127" s="27"/>
      <c r="J1127" s="27"/>
      <c r="K1127" s="27">
        <f>Table15[[#This Row],[الايصالات]]+Table15[[#This Row],[النولون]]-Table15[[#This Row],[خصم 3%]]</f>
        <v>0</v>
      </c>
      <c r="L1127" s="27"/>
      <c r="M1127" s="27">
        <f>Table15[[#This Row],[اجمالي الفاتوره]]-Table15[[#This Row],[الدفعات]]</f>
        <v>0</v>
      </c>
      <c r="N1127" s="27"/>
      <c r="O1127" s="27"/>
    </row>
    <row r="1128" spans="2:15" ht="29.25" customHeight="1" x14ac:dyDescent="0.3">
      <c r="B1128" s="27"/>
      <c r="C1128" s="27"/>
      <c r="D1128" s="27"/>
      <c r="E1128" s="27"/>
      <c r="F1128" s="27"/>
      <c r="G1128" s="27"/>
      <c r="H1128" s="27"/>
      <c r="I1128" s="27"/>
      <c r="J1128" s="27"/>
      <c r="K1128" s="27">
        <f>Table15[[#This Row],[الايصالات]]+Table15[[#This Row],[النولون]]-Table15[[#This Row],[خصم 3%]]</f>
        <v>0</v>
      </c>
      <c r="L1128" s="27"/>
      <c r="M1128" s="27">
        <f>Table15[[#This Row],[اجمالي الفاتوره]]-Table15[[#This Row],[الدفعات]]</f>
        <v>0</v>
      </c>
      <c r="N1128" s="27"/>
      <c r="O1128" s="27"/>
    </row>
    <row r="1129" spans="2:15" ht="29.25" customHeight="1" x14ac:dyDescent="0.3">
      <c r="B1129" s="27"/>
      <c r="C1129" s="27"/>
      <c r="D1129" s="27"/>
      <c r="E1129" s="27"/>
      <c r="F1129" s="27"/>
      <c r="G1129" s="27"/>
      <c r="H1129" s="27"/>
      <c r="I1129" s="27"/>
      <c r="J1129" s="27"/>
      <c r="K1129" s="27">
        <f>Table15[[#This Row],[الايصالات]]+Table15[[#This Row],[النولون]]-Table15[[#This Row],[خصم 3%]]</f>
        <v>0</v>
      </c>
      <c r="L1129" s="27"/>
      <c r="M1129" s="27">
        <f>Table15[[#This Row],[اجمالي الفاتوره]]-Table15[[#This Row],[الدفعات]]</f>
        <v>0</v>
      </c>
      <c r="N1129" s="27"/>
      <c r="O1129" s="27"/>
    </row>
    <row r="1130" spans="2:15" ht="29.25" customHeight="1" x14ac:dyDescent="0.3">
      <c r="B1130" s="27"/>
      <c r="C1130" s="27"/>
      <c r="D1130" s="27"/>
      <c r="E1130" s="27"/>
      <c r="F1130" s="27"/>
      <c r="G1130" s="27"/>
      <c r="H1130" s="27"/>
      <c r="I1130" s="27"/>
      <c r="J1130" s="27"/>
      <c r="K1130" s="27">
        <f>Table15[[#This Row],[الايصالات]]+Table15[[#This Row],[النولون]]-Table15[[#This Row],[خصم 3%]]</f>
        <v>0</v>
      </c>
      <c r="L1130" s="27"/>
      <c r="M1130" s="27">
        <f>Table15[[#This Row],[اجمالي الفاتوره]]-Table15[[#This Row],[الدفعات]]</f>
        <v>0</v>
      </c>
      <c r="N1130" s="27"/>
      <c r="O1130" s="27"/>
    </row>
    <row r="1131" spans="2:15" ht="29.25" customHeight="1" x14ac:dyDescent="0.3">
      <c r="B1131" s="27"/>
      <c r="C1131" s="27"/>
      <c r="D1131" s="27"/>
      <c r="E1131" s="27"/>
      <c r="F1131" s="27"/>
      <c r="G1131" s="27"/>
      <c r="H1131" s="27"/>
      <c r="I1131" s="27"/>
      <c r="J1131" s="27"/>
      <c r="K1131" s="27">
        <f>Table15[[#This Row],[الايصالات]]+Table15[[#This Row],[النولون]]-Table15[[#This Row],[خصم 3%]]</f>
        <v>0</v>
      </c>
      <c r="L1131" s="27"/>
      <c r="M1131" s="27">
        <f>Table15[[#This Row],[اجمالي الفاتوره]]-Table15[[#This Row],[الدفعات]]</f>
        <v>0</v>
      </c>
      <c r="N1131" s="27"/>
      <c r="O1131" s="27"/>
    </row>
    <row r="1132" spans="2:15" ht="29.25" customHeight="1" x14ac:dyDescent="0.3">
      <c r="B1132" s="27"/>
      <c r="C1132" s="27"/>
      <c r="D1132" s="27"/>
      <c r="E1132" s="27"/>
      <c r="F1132" s="27"/>
      <c r="G1132" s="27"/>
      <c r="H1132" s="27"/>
      <c r="I1132" s="27"/>
      <c r="J1132" s="27"/>
      <c r="K1132" s="27">
        <f>Table15[[#This Row],[الايصالات]]+Table15[[#This Row],[النولون]]-Table15[[#This Row],[خصم 3%]]</f>
        <v>0</v>
      </c>
      <c r="L1132" s="27"/>
      <c r="M1132" s="27">
        <f>Table15[[#This Row],[اجمالي الفاتوره]]-Table15[[#This Row],[الدفعات]]</f>
        <v>0</v>
      </c>
      <c r="N1132" s="27"/>
      <c r="O1132" s="27"/>
    </row>
    <row r="1133" spans="2:15" ht="29.25" customHeight="1" x14ac:dyDescent="0.3">
      <c r="B1133" s="27"/>
      <c r="C1133" s="27"/>
      <c r="D1133" s="27"/>
      <c r="E1133" s="27"/>
      <c r="F1133" s="27"/>
      <c r="G1133" s="27"/>
      <c r="H1133" s="27"/>
      <c r="I1133" s="27"/>
      <c r="J1133" s="27"/>
      <c r="K1133" s="27">
        <f>Table15[[#This Row],[الايصالات]]+Table15[[#This Row],[النولون]]-Table15[[#This Row],[خصم 3%]]</f>
        <v>0</v>
      </c>
      <c r="L1133" s="27"/>
      <c r="M1133" s="27">
        <f>Table15[[#This Row],[اجمالي الفاتوره]]-Table15[[#This Row],[الدفعات]]</f>
        <v>0</v>
      </c>
      <c r="N1133" s="27"/>
      <c r="O1133" s="27"/>
    </row>
    <row r="1134" spans="2:15" ht="29.25" customHeight="1" x14ac:dyDescent="0.3">
      <c r="B1134" s="27"/>
      <c r="C1134" s="27"/>
      <c r="D1134" s="27"/>
      <c r="E1134" s="27"/>
      <c r="F1134" s="27"/>
      <c r="G1134" s="27"/>
      <c r="H1134" s="27"/>
      <c r="I1134" s="27"/>
      <c r="J1134" s="27"/>
      <c r="K1134" s="27">
        <f>Table15[[#This Row],[الايصالات]]+Table15[[#This Row],[النولون]]-Table15[[#This Row],[خصم 3%]]</f>
        <v>0</v>
      </c>
      <c r="L1134" s="27"/>
      <c r="M1134" s="27">
        <f>Table15[[#This Row],[اجمالي الفاتوره]]-Table15[[#This Row],[الدفعات]]</f>
        <v>0</v>
      </c>
      <c r="N1134" s="27"/>
      <c r="O1134" s="27"/>
    </row>
    <row r="1135" spans="2:15" ht="29.25" customHeight="1" x14ac:dyDescent="0.3">
      <c r="B1135" s="27"/>
      <c r="C1135" s="27"/>
      <c r="D1135" s="27"/>
      <c r="E1135" s="27"/>
      <c r="F1135" s="27"/>
      <c r="G1135" s="27"/>
      <c r="H1135" s="27"/>
      <c r="I1135" s="27"/>
      <c r="J1135" s="27"/>
      <c r="K1135" s="27">
        <f>Table15[[#This Row],[الايصالات]]+Table15[[#This Row],[النولون]]-Table15[[#This Row],[خصم 3%]]</f>
        <v>0</v>
      </c>
      <c r="L1135" s="27"/>
      <c r="M1135" s="27">
        <f>Table15[[#This Row],[اجمالي الفاتوره]]-Table15[[#This Row],[الدفعات]]</f>
        <v>0</v>
      </c>
      <c r="N1135" s="27"/>
      <c r="O1135" s="27"/>
    </row>
    <row r="1136" spans="2:15" ht="29.25" customHeight="1" x14ac:dyDescent="0.3">
      <c r="B1136" s="27"/>
      <c r="C1136" s="27"/>
      <c r="D1136" s="27"/>
      <c r="E1136" s="27"/>
      <c r="F1136" s="27"/>
      <c r="G1136" s="27"/>
      <c r="H1136" s="27"/>
      <c r="I1136" s="27"/>
      <c r="J1136" s="27"/>
      <c r="K1136" s="27">
        <f>Table15[[#This Row],[الايصالات]]+Table15[[#This Row],[النولون]]-Table15[[#This Row],[خصم 3%]]</f>
        <v>0</v>
      </c>
      <c r="L1136" s="27"/>
      <c r="M1136" s="27">
        <f>Table15[[#This Row],[اجمالي الفاتوره]]-Table15[[#This Row],[الدفعات]]</f>
        <v>0</v>
      </c>
      <c r="N1136" s="27"/>
      <c r="O1136" s="27"/>
    </row>
    <row r="1137" spans="2:15" ht="29.25" customHeight="1" x14ac:dyDescent="0.3">
      <c r="B1137" s="27"/>
      <c r="C1137" s="27"/>
      <c r="D1137" s="27"/>
      <c r="E1137" s="27"/>
      <c r="F1137" s="27"/>
      <c r="G1137" s="27"/>
      <c r="H1137" s="27"/>
      <c r="I1137" s="27"/>
      <c r="J1137" s="27"/>
      <c r="K1137" s="27">
        <f>Table15[[#This Row],[الايصالات]]+Table15[[#This Row],[النولون]]-Table15[[#This Row],[خصم 3%]]</f>
        <v>0</v>
      </c>
      <c r="L1137" s="27"/>
      <c r="M1137" s="27">
        <f>Table15[[#This Row],[اجمالي الفاتوره]]-Table15[[#This Row],[الدفعات]]</f>
        <v>0</v>
      </c>
      <c r="N1137" s="27"/>
      <c r="O1137" s="27"/>
    </row>
    <row r="1138" spans="2:15" ht="29.25" customHeight="1" x14ac:dyDescent="0.3">
      <c r="B1138" s="27"/>
      <c r="C1138" s="27"/>
      <c r="D1138" s="27"/>
      <c r="E1138" s="27"/>
      <c r="F1138" s="27"/>
      <c r="G1138" s="27"/>
      <c r="H1138" s="27"/>
      <c r="I1138" s="27"/>
      <c r="J1138" s="27"/>
      <c r="K1138" s="27">
        <f>Table15[[#This Row],[الايصالات]]+Table15[[#This Row],[النولون]]-Table15[[#This Row],[خصم 3%]]</f>
        <v>0</v>
      </c>
      <c r="L1138" s="27"/>
      <c r="M1138" s="27">
        <f>Table15[[#This Row],[اجمالي الفاتوره]]-Table15[[#This Row],[الدفعات]]</f>
        <v>0</v>
      </c>
      <c r="N1138" s="27"/>
      <c r="O1138" s="27"/>
    </row>
    <row r="1139" spans="2:15" ht="29.25" customHeight="1" x14ac:dyDescent="0.3">
      <c r="B1139" s="27"/>
      <c r="C1139" s="27"/>
      <c r="D1139" s="27"/>
      <c r="E1139" s="27"/>
      <c r="F1139" s="27"/>
      <c r="G1139" s="27"/>
      <c r="H1139" s="27"/>
      <c r="I1139" s="27"/>
      <c r="J1139" s="27"/>
      <c r="K1139" s="27">
        <f>Table15[[#This Row],[الايصالات]]+Table15[[#This Row],[النولون]]-Table15[[#This Row],[خصم 3%]]</f>
        <v>0</v>
      </c>
      <c r="L1139" s="27"/>
      <c r="M1139" s="27">
        <f>Table15[[#This Row],[اجمالي الفاتوره]]-Table15[[#This Row],[الدفعات]]</f>
        <v>0</v>
      </c>
      <c r="N1139" s="27"/>
      <c r="O1139" s="27"/>
    </row>
    <row r="1140" spans="2:15" ht="29.25" customHeight="1" x14ac:dyDescent="0.3">
      <c r="B1140" s="27"/>
      <c r="C1140" s="27"/>
      <c r="D1140" s="27"/>
      <c r="E1140" s="27"/>
      <c r="F1140" s="27"/>
      <c r="G1140" s="27"/>
      <c r="H1140" s="27"/>
      <c r="I1140" s="27"/>
      <c r="J1140" s="27"/>
      <c r="K1140" s="27">
        <f>Table15[[#This Row],[الايصالات]]+Table15[[#This Row],[النولون]]-Table15[[#This Row],[خصم 3%]]</f>
        <v>0</v>
      </c>
      <c r="L1140" s="27"/>
      <c r="M1140" s="27">
        <f>Table15[[#This Row],[اجمالي الفاتوره]]-Table15[[#This Row],[الدفعات]]</f>
        <v>0</v>
      </c>
      <c r="N1140" s="27"/>
      <c r="O1140" s="27"/>
    </row>
    <row r="1141" spans="2:15" ht="29.25" customHeight="1" x14ac:dyDescent="0.3">
      <c r="B1141" s="27"/>
      <c r="C1141" s="27"/>
      <c r="D1141" s="27"/>
      <c r="E1141" s="27"/>
      <c r="F1141" s="27"/>
      <c r="G1141" s="27"/>
      <c r="H1141" s="27"/>
      <c r="I1141" s="27"/>
      <c r="J1141" s="27"/>
      <c r="K1141" s="27">
        <f>Table15[[#This Row],[الايصالات]]+Table15[[#This Row],[النولون]]-Table15[[#This Row],[خصم 3%]]</f>
        <v>0</v>
      </c>
      <c r="L1141" s="27"/>
      <c r="M1141" s="27">
        <f>Table15[[#This Row],[اجمالي الفاتوره]]-Table15[[#This Row],[الدفعات]]</f>
        <v>0</v>
      </c>
      <c r="N1141" s="27"/>
      <c r="O1141" s="27"/>
    </row>
    <row r="1142" spans="2:15" ht="29.25" customHeight="1" x14ac:dyDescent="0.3">
      <c r="B1142" s="27"/>
      <c r="C1142" s="27"/>
      <c r="D1142" s="27"/>
      <c r="E1142" s="27"/>
      <c r="F1142" s="27"/>
      <c r="G1142" s="27"/>
      <c r="H1142" s="27"/>
      <c r="I1142" s="27"/>
      <c r="J1142" s="27"/>
      <c r="K1142" s="27">
        <f>Table15[[#This Row],[الايصالات]]+Table15[[#This Row],[النولون]]-Table15[[#This Row],[خصم 3%]]</f>
        <v>0</v>
      </c>
      <c r="L1142" s="27"/>
      <c r="M1142" s="27">
        <f>Table15[[#This Row],[اجمالي الفاتوره]]-Table15[[#This Row],[الدفعات]]</f>
        <v>0</v>
      </c>
      <c r="N1142" s="27"/>
      <c r="O1142" s="27"/>
    </row>
    <row r="1143" spans="2:15" ht="29.25" customHeight="1" x14ac:dyDescent="0.3">
      <c r="B1143" s="27"/>
      <c r="C1143" s="27"/>
      <c r="D1143" s="27"/>
      <c r="E1143" s="27"/>
      <c r="F1143" s="27"/>
      <c r="G1143" s="27"/>
      <c r="H1143" s="27"/>
      <c r="I1143" s="27"/>
      <c r="J1143" s="27"/>
      <c r="K1143" s="27">
        <f>Table15[[#This Row],[الايصالات]]+Table15[[#This Row],[النولون]]-Table15[[#This Row],[خصم 3%]]</f>
        <v>0</v>
      </c>
      <c r="L1143" s="27"/>
      <c r="M1143" s="27">
        <f>Table15[[#This Row],[اجمالي الفاتوره]]-Table15[[#This Row],[الدفعات]]</f>
        <v>0</v>
      </c>
      <c r="N1143" s="27"/>
      <c r="O1143" s="27"/>
    </row>
    <row r="1144" spans="2:15" ht="29.25" customHeight="1" x14ac:dyDescent="0.3">
      <c r="B1144" s="27"/>
      <c r="C1144" s="27"/>
      <c r="D1144" s="27"/>
      <c r="E1144" s="27"/>
      <c r="F1144" s="27"/>
      <c r="G1144" s="27"/>
      <c r="H1144" s="27"/>
      <c r="I1144" s="27"/>
      <c r="J1144" s="27"/>
      <c r="K1144" s="27">
        <f>Table15[[#This Row],[الايصالات]]+Table15[[#This Row],[النولون]]-Table15[[#This Row],[خصم 3%]]</f>
        <v>0</v>
      </c>
      <c r="L1144" s="27"/>
      <c r="M1144" s="27">
        <f>Table15[[#This Row],[اجمالي الفاتوره]]-Table15[[#This Row],[الدفعات]]</f>
        <v>0</v>
      </c>
      <c r="N1144" s="27"/>
      <c r="O1144" s="27"/>
    </row>
    <row r="1145" spans="2:15" ht="29.25" customHeight="1" x14ac:dyDescent="0.3">
      <c r="B1145" s="27"/>
      <c r="C1145" s="27"/>
      <c r="D1145" s="27"/>
      <c r="E1145" s="27"/>
      <c r="F1145" s="27"/>
      <c r="G1145" s="27"/>
      <c r="H1145" s="27"/>
      <c r="I1145" s="27"/>
      <c r="J1145" s="27"/>
      <c r="K1145" s="27">
        <f>Table15[[#This Row],[الايصالات]]+Table15[[#This Row],[النولون]]-Table15[[#This Row],[خصم 3%]]</f>
        <v>0</v>
      </c>
      <c r="L1145" s="27"/>
      <c r="M1145" s="27">
        <f>Table15[[#This Row],[اجمالي الفاتوره]]-Table15[[#This Row],[الدفعات]]</f>
        <v>0</v>
      </c>
      <c r="N1145" s="27"/>
      <c r="O1145" s="27"/>
    </row>
    <row r="1146" spans="2:15" ht="29.25" customHeight="1" x14ac:dyDescent="0.3">
      <c r="B1146" s="27"/>
      <c r="C1146" s="27"/>
      <c r="D1146" s="27"/>
      <c r="E1146" s="27"/>
      <c r="F1146" s="27"/>
      <c r="G1146" s="27"/>
      <c r="H1146" s="27"/>
      <c r="I1146" s="27"/>
      <c r="J1146" s="27"/>
      <c r="K1146" s="27">
        <f>Table15[[#This Row],[الايصالات]]+Table15[[#This Row],[النولون]]-Table15[[#This Row],[خصم 3%]]</f>
        <v>0</v>
      </c>
      <c r="L1146" s="27"/>
      <c r="M1146" s="27">
        <f>Table15[[#This Row],[اجمالي الفاتوره]]-Table15[[#This Row],[الدفعات]]</f>
        <v>0</v>
      </c>
      <c r="N1146" s="27"/>
      <c r="O1146" s="27"/>
    </row>
    <row r="1147" spans="2:15" ht="29.25" customHeight="1" x14ac:dyDescent="0.3">
      <c r="B1147" s="27"/>
      <c r="C1147" s="27"/>
      <c r="D1147" s="27"/>
      <c r="E1147" s="27"/>
      <c r="F1147" s="27"/>
      <c r="G1147" s="27"/>
      <c r="H1147" s="27"/>
      <c r="I1147" s="27"/>
      <c r="J1147" s="27"/>
      <c r="K1147" s="27">
        <f>Table15[[#This Row],[الايصالات]]+Table15[[#This Row],[النولون]]-Table15[[#This Row],[خصم 3%]]</f>
        <v>0</v>
      </c>
      <c r="L1147" s="27"/>
      <c r="M1147" s="27">
        <f>Table15[[#This Row],[اجمالي الفاتوره]]-Table15[[#This Row],[الدفعات]]</f>
        <v>0</v>
      </c>
      <c r="N1147" s="27"/>
      <c r="O1147" s="27"/>
    </row>
    <row r="1148" spans="2:15" ht="29.25" customHeight="1" x14ac:dyDescent="0.3">
      <c r="B1148" s="27"/>
      <c r="C1148" s="27"/>
      <c r="D1148" s="27"/>
      <c r="E1148" s="27"/>
      <c r="F1148" s="27"/>
      <c r="G1148" s="27"/>
      <c r="H1148" s="27"/>
      <c r="I1148" s="27"/>
      <c r="J1148" s="27"/>
      <c r="K1148" s="27">
        <f>Table15[[#This Row],[الايصالات]]+Table15[[#This Row],[النولون]]-Table15[[#This Row],[خصم 3%]]</f>
        <v>0</v>
      </c>
      <c r="L1148" s="27"/>
      <c r="M1148" s="27">
        <f>Table15[[#This Row],[اجمالي الفاتوره]]-Table15[[#This Row],[الدفعات]]</f>
        <v>0</v>
      </c>
      <c r="N1148" s="27"/>
      <c r="O1148" s="27"/>
    </row>
    <row r="1149" spans="2:15" ht="29.25" customHeight="1" x14ac:dyDescent="0.3">
      <c r="B1149" s="27"/>
      <c r="C1149" s="27"/>
      <c r="D1149" s="27"/>
      <c r="E1149" s="27"/>
      <c r="F1149" s="27"/>
      <c r="G1149" s="27"/>
      <c r="H1149" s="27"/>
      <c r="I1149" s="27"/>
      <c r="J1149" s="27"/>
      <c r="K1149" s="27">
        <f>Table15[[#This Row],[الايصالات]]+Table15[[#This Row],[النولون]]-Table15[[#This Row],[خصم 3%]]</f>
        <v>0</v>
      </c>
      <c r="L1149" s="27"/>
      <c r="M1149" s="27">
        <f>Table15[[#This Row],[اجمالي الفاتوره]]-Table15[[#This Row],[الدفعات]]</f>
        <v>0</v>
      </c>
      <c r="N1149" s="27"/>
      <c r="O1149" s="27"/>
    </row>
    <row r="1150" spans="2:15" ht="29.25" customHeight="1" x14ac:dyDescent="0.3">
      <c r="B1150" s="27"/>
      <c r="C1150" s="27"/>
      <c r="D1150" s="27"/>
      <c r="E1150" s="27"/>
      <c r="F1150" s="27"/>
      <c r="G1150" s="27"/>
      <c r="H1150" s="27"/>
      <c r="I1150" s="27"/>
      <c r="J1150" s="27"/>
      <c r="K1150" s="27">
        <f>Table15[[#This Row],[الايصالات]]+Table15[[#This Row],[النولون]]-Table15[[#This Row],[خصم 3%]]</f>
        <v>0</v>
      </c>
      <c r="L1150" s="27"/>
      <c r="M1150" s="27">
        <f>Table15[[#This Row],[اجمالي الفاتوره]]-Table15[[#This Row],[الدفعات]]</f>
        <v>0</v>
      </c>
      <c r="N1150" s="27"/>
      <c r="O1150" s="27"/>
    </row>
    <row r="1151" spans="2:15" ht="29.25" customHeight="1" x14ac:dyDescent="0.3">
      <c r="B1151" s="27"/>
      <c r="C1151" s="27"/>
      <c r="D1151" s="27"/>
      <c r="E1151" s="27"/>
      <c r="F1151" s="27"/>
      <c r="G1151" s="27"/>
      <c r="H1151" s="27"/>
      <c r="I1151" s="27"/>
      <c r="J1151" s="27"/>
      <c r="K1151" s="27">
        <f>Table15[[#This Row],[الايصالات]]+Table15[[#This Row],[النولون]]-Table15[[#This Row],[خصم 3%]]</f>
        <v>0</v>
      </c>
      <c r="L1151" s="27"/>
      <c r="M1151" s="27">
        <f>Table15[[#This Row],[اجمالي الفاتوره]]-Table15[[#This Row],[الدفعات]]</f>
        <v>0</v>
      </c>
      <c r="N1151" s="27"/>
      <c r="O1151" s="27"/>
    </row>
    <row r="1152" spans="2:15" ht="29.25" customHeight="1" x14ac:dyDescent="0.3">
      <c r="B1152" s="27"/>
      <c r="C1152" s="27"/>
      <c r="D1152" s="27"/>
      <c r="E1152" s="27"/>
      <c r="F1152" s="27"/>
      <c r="G1152" s="27"/>
      <c r="H1152" s="27"/>
      <c r="I1152" s="27"/>
      <c r="J1152" s="27"/>
      <c r="K1152" s="27">
        <f>Table15[[#This Row],[الايصالات]]+Table15[[#This Row],[النولون]]-Table15[[#This Row],[خصم 3%]]</f>
        <v>0</v>
      </c>
      <c r="L1152" s="27"/>
      <c r="M1152" s="27">
        <f>Table15[[#This Row],[اجمالي الفاتوره]]-Table15[[#This Row],[الدفعات]]</f>
        <v>0</v>
      </c>
      <c r="N1152" s="27"/>
      <c r="O1152" s="27"/>
    </row>
    <row r="1153" spans="2:15" ht="29.25" customHeight="1" x14ac:dyDescent="0.3">
      <c r="B1153" s="27"/>
      <c r="C1153" s="27"/>
      <c r="D1153" s="27"/>
      <c r="E1153" s="27"/>
      <c r="F1153" s="27"/>
      <c r="G1153" s="27"/>
      <c r="H1153" s="27"/>
      <c r="I1153" s="27"/>
      <c r="J1153" s="27"/>
      <c r="K1153" s="27">
        <f>Table15[[#This Row],[الايصالات]]+Table15[[#This Row],[النولون]]-Table15[[#This Row],[خصم 3%]]</f>
        <v>0</v>
      </c>
      <c r="L1153" s="27"/>
      <c r="M1153" s="27">
        <f>Table15[[#This Row],[اجمالي الفاتوره]]-Table15[[#This Row],[الدفعات]]</f>
        <v>0</v>
      </c>
      <c r="N1153" s="27"/>
      <c r="O1153" s="27"/>
    </row>
    <row r="1154" spans="2:15" ht="29.25" customHeight="1" x14ac:dyDescent="0.3">
      <c r="B1154" s="27"/>
      <c r="C1154" s="27"/>
      <c r="D1154" s="27"/>
      <c r="E1154" s="27"/>
      <c r="F1154" s="27"/>
      <c r="G1154" s="27"/>
      <c r="H1154" s="27"/>
      <c r="I1154" s="27"/>
      <c r="J1154" s="27"/>
      <c r="K1154" s="27">
        <f>Table15[[#This Row],[الايصالات]]+Table15[[#This Row],[النولون]]-Table15[[#This Row],[خصم 3%]]</f>
        <v>0</v>
      </c>
      <c r="L1154" s="27"/>
      <c r="M1154" s="27">
        <f>Table15[[#This Row],[اجمالي الفاتوره]]-Table15[[#This Row],[الدفعات]]</f>
        <v>0</v>
      </c>
      <c r="N1154" s="27"/>
      <c r="O1154" s="27"/>
    </row>
    <row r="1155" spans="2:15" ht="29.25" customHeight="1" x14ac:dyDescent="0.3">
      <c r="B1155" s="27"/>
      <c r="C1155" s="27"/>
      <c r="D1155" s="27"/>
      <c r="E1155" s="27"/>
      <c r="F1155" s="27"/>
      <c r="G1155" s="27"/>
      <c r="H1155" s="27"/>
      <c r="I1155" s="27"/>
      <c r="J1155" s="27"/>
      <c r="K1155" s="27">
        <f>Table15[[#This Row],[الايصالات]]+Table15[[#This Row],[النولون]]-Table15[[#This Row],[خصم 3%]]</f>
        <v>0</v>
      </c>
      <c r="L1155" s="27"/>
      <c r="M1155" s="27">
        <f>Table15[[#This Row],[اجمالي الفاتوره]]-Table15[[#This Row],[الدفعات]]</f>
        <v>0</v>
      </c>
      <c r="N1155" s="27"/>
      <c r="O1155" s="27"/>
    </row>
    <row r="1156" spans="2:15" ht="29.25" customHeight="1" x14ac:dyDescent="0.3">
      <c r="B1156" s="27"/>
      <c r="C1156" s="27"/>
      <c r="D1156" s="27"/>
      <c r="E1156" s="27"/>
      <c r="F1156" s="27"/>
      <c r="G1156" s="27"/>
      <c r="H1156" s="27"/>
      <c r="I1156" s="27"/>
      <c r="J1156" s="27"/>
      <c r="K1156" s="27">
        <f>Table15[[#This Row],[الايصالات]]+Table15[[#This Row],[النولون]]-Table15[[#This Row],[خصم 3%]]</f>
        <v>0</v>
      </c>
      <c r="L1156" s="27"/>
      <c r="M1156" s="27">
        <f>Table15[[#This Row],[اجمالي الفاتوره]]-Table15[[#This Row],[الدفعات]]</f>
        <v>0</v>
      </c>
      <c r="N1156" s="27"/>
      <c r="O1156" s="27"/>
    </row>
    <row r="1157" spans="2:15" ht="29.25" customHeight="1" x14ac:dyDescent="0.3">
      <c r="B1157" s="27"/>
      <c r="C1157" s="27"/>
      <c r="D1157" s="27"/>
      <c r="E1157" s="27"/>
      <c r="F1157" s="27"/>
      <c r="G1157" s="27"/>
      <c r="H1157" s="27"/>
      <c r="I1157" s="27"/>
      <c r="J1157" s="27"/>
      <c r="K1157" s="27">
        <f>Table15[[#This Row],[الايصالات]]+Table15[[#This Row],[النولون]]-Table15[[#This Row],[خصم 3%]]</f>
        <v>0</v>
      </c>
      <c r="L1157" s="27"/>
      <c r="M1157" s="27">
        <f>Table15[[#This Row],[اجمالي الفاتوره]]-Table15[[#This Row],[الدفعات]]</f>
        <v>0</v>
      </c>
      <c r="N1157" s="27"/>
      <c r="O1157" s="27"/>
    </row>
    <row r="1158" spans="2:15" ht="29.25" customHeight="1" x14ac:dyDescent="0.3">
      <c r="B1158" s="27"/>
      <c r="C1158" s="27"/>
      <c r="D1158" s="27"/>
      <c r="E1158" s="27"/>
      <c r="F1158" s="27"/>
      <c r="G1158" s="27"/>
      <c r="H1158" s="27"/>
      <c r="I1158" s="27"/>
      <c r="J1158" s="27"/>
      <c r="K1158" s="27">
        <f>Table15[[#This Row],[الايصالات]]+Table15[[#This Row],[النولون]]-Table15[[#This Row],[خصم 3%]]</f>
        <v>0</v>
      </c>
      <c r="L1158" s="27"/>
      <c r="M1158" s="27">
        <f>Table15[[#This Row],[اجمالي الفاتوره]]-Table15[[#This Row],[الدفعات]]</f>
        <v>0</v>
      </c>
      <c r="N1158" s="27"/>
      <c r="O1158" s="27"/>
    </row>
    <row r="1159" spans="2:15" ht="29.25" customHeight="1" x14ac:dyDescent="0.3">
      <c r="B1159" s="27"/>
      <c r="C1159" s="27"/>
      <c r="D1159" s="27"/>
      <c r="E1159" s="27"/>
      <c r="F1159" s="27"/>
      <c r="G1159" s="27"/>
      <c r="H1159" s="27"/>
      <c r="I1159" s="27"/>
      <c r="J1159" s="27"/>
      <c r="K1159" s="27">
        <f>Table15[[#This Row],[الايصالات]]+Table15[[#This Row],[النولون]]-Table15[[#This Row],[خصم 3%]]</f>
        <v>0</v>
      </c>
      <c r="L1159" s="27"/>
      <c r="M1159" s="27">
        <f>Table15[[#This Row],[اجمالي الفاتوره]]-Table15[[#This Row],[الدفعات]]</f>
        <v>0</v>
      </c>
      <c r="N1159" s="27"/>
      <c r="O1159" s="27"/>
    </row>
    <row r="1160" spans="2:15" ht="29.25" customHeight="1" x14ac:dyDescent="0.3">
      <c r="B1160" s="27"/>
      <c r="C1160" s="27"/>
      <c r="D1160" s="27"/>
      <c r="E1160" s="27"/>
      <c r="F1160" s="27"/>
      <c r="G1160" s="27"/>
      <c r="H1160" s="27"/>
      <c r="I1160" s="27"/>
      <c r="J1160" s="27"/>
      <c r="K1160" s="27">
        <f>Table15[[#This Row],[الايصالات]]+Table15[[#This Row],[النولون]]-Table15[[#This Row],[خصم 3%]]</f>
        <v>0</v>
      </c>
      <c r="L1160" s="27"/>
      <c r="M1160" s="27">
        <f>Table15[[#This Row],[اجمالي الفاتوره]]-Table15[[#This Row],[الدفعات]]</f>
        <v>0</v>
      </c>
      <c r="N1160" s="27"/>
      <c r="O1160" s="27"/>
    </row>
    <row r="1161" spans="2:15" ht="29.25" customHeight="1" x14ac:dyDescent="0.3">
      <c r="B1161" s="27"/>
      <c r="C1161" s="27"/>
      <c r="D1161" s="27"/>
      <c r="E1161" s="27"/>
      <c r="F1161" s="27"/>
      <c r="G1161" s="27"/>
      <c r="H1161" s="27"/>
      <c r="I1161" s="27"/>
      <c r="J1161" s="27"/>
      <c r="K1161" s="27">
        <f>Table15[[#This Row],[الايصالات]]+Table15[[#This Row],[النولون]]-Table15[[#This Row],[خصم 3%]]</f>
        <v>0</v>
      </c>
      <c r="L1161" s="27"/>
      <c r="M1161" s="27">
        <f>Table15[[#This Row],[اجمالي الفاتوره]]-Table15[[#This Row],[الدفعات]]</f>
        <v>0</v>
      </c>
      <c r="N1161" s="27"/>
      <c r="O1161" s="27"/>
    </row>
    <row r="1162" spans="2:15" ht="29.25" customHeight="1" x14ac:dyDescent="0.3">
      <c r="B1162" s="27"/>
      <c r="C1162" s="27"/>
      <c r="D1162" s="27"/>
      <c r="E1162" s="27"/>
      <c r="F1162" s="27"/>
      <c r="G1162" s="27"/>
      <c r="H1162" s="27"/>
      <c r="I1162" s="27"/>
      <c r="J1162" s="27"/>
      <c r="K1162" s="27">
        <f>Table15[[#This Row],[الايصالات]]+Table15[[#This Row],[النولون]]-Table15[[#This Row],[خصم 3%]]</f>
        <v>0</v>
      </c>
      <c r="L1162" s="27"/>
      <c r="M1162" s="27">
        <f>Table15[[#This Row],[اجمالي الفاتوره]]-Table15[[#This Row],[الدفعات]]</f>
        <v>0</v>
      </c>
      <c r="N1162" s="27"/>
      <c r="O1162" s="27"/>
    </row>
    <row r="1163" spans="2:15" ht="29.25" customHeight="1" x14ac:dyDescent="0.3">
      <c r="B1163" s="27"/>
      <c r="C1163" s="27"/>
      <c r="D1163" s="27"/>
      <c r="E1163" s="27"/>
      <c r="F1163" s="27"/>
      <c r="G1163" s="27"/>
      <c r="H1163" s="27"/>
      <c r="I1163" s="27"/>
      <c r="J1163" s="27"/>
      <c r="K1163" s="27">
        <f>Table15[[#This Row],[الايصالات]]+Table15[[#This Row],[النولون]]-Table15[[#This Row],[خصم 3%]]</f>
        <v>0</v>
      </c>
      <c r="L1163" s="27"/>
      <c r="M1163" s="27">
        <f>Table15[[#This Row],[اجمالي الفاتوره]]-Table15[[#This Row],[الدفعات]]</f>
        <v>0</v>
      </c>
      <c r="N1163" s="27"/>
      <c r="O1163" s="27"/>
    </row>
    <row r="1164" spans="2:15" ht="29.25" customHeight="1" x14ac:dyDescent="0.3">
      <c r="B1164" s="27"/>
      <c r="C1164" s="27"/>
      <c r="D1164" s="27"/>
      <c r="E1164" s="27"/>
      <c r="F1164" s="27"/>
      <c r="G1164" s="27"/>
      <c r="H1164" s="27"/>
      <c r="I1164" s="27"/>
      <c r="J1164" s="27"/>
      <c r="K1164" s="27">
        <f>Table15[[#This Row],[الايصالات]]+Table15[[#This Row],[النولون]]-Table15[[#This Row],[خصم 3%]]</f>
        <v>0</v>
      </c>
      <c r="L1164" s="27"/>
      <c r="M1164" s="27">
        <f>Table15[[#This Row],[اجمالي الفاتوره]]-Table15[[#This Row],[الدفعات]]</f>
        <v>0</v>
      </c>
      <c r="N1164" s="27"/>
      <c r="O1164" s="27"/>
    </row>
    <row r="1165" spans="2:15" ht="29.25" customHeight="1" x14ac:dyDescent="0.3">
      <c r="B1165" s="27"/>
      <c r="C1165" s="27"/>
      <c r="D1165" s="27"/>
      <c r="E1165" s="27"/>
      <c r="F1165" s="27"/>
      <c r="G1165" s="27"/>
      <c r="H1165" s="27"/>
      <c r="I1165" s="27"/>
      <c r="J1165" s="27"/>
      <c r="K1165" s="27">
        <f>Table15[[#This Row],[الايصالات]]+Table15[[#This Row],[النولون]]-Table15[[#This Row],[خصم 3%]]</f>
        <v>0</v>
      </c>
      <c r="L1165" s="27"/>
      <c r="M1165" s="27">
        <f>Table15[[#This Row],[اجمالي الفاتوره]]-Table15[[#This Row],[الدفعات]]</f>
        <v>0</v>
      </c>
      <c r="N1165" s="27"/>
      <c r="O1165" s="27"/>
    </row>
    <row r="1166" spans="2:15" ht="29.25" customHeight="1" x14ac:dyDescent="0.3">
      <c r="B1166" s="27"/>
      <c r="C1166" s="27"/>
      <c r="D1166" s="27"/>
      <c r="E1166" s="27"/>
      <c r="F1166" s="27"/>
      <c r="G1166" s="27"/>
      <c r="H1166" s="27"/>
      <c r="I1166" s="27"/>
      <c r="J1166" s="27"/>
      <c r="K1166" s="27">
        <f>Table15[[#This Row],[الايصالات]]+Table15[[#This Row],[النولون]]-Table15[[#This Row],[خصم 3%]]</f>
        <v>0</v>
      </c>
      <c r="L1166" s="27"/>
      <c r="M1166" s="27">
        <f>Table15[[#This Row],[اجمالي الفاتوره]]-Table15[[#This Row],[الدفعات]]</f>
        <v>0</v>
      </c>
      <c r="N1166" s="27"/>
      <c r="O1166" s="27"/>
    </row>
    <row r="1167" spans="2:15" ht="29.25" customHeight="1" x14ac:dyDescent="0.3">
      <c r="B1167" s="27"/>
      <c r="C1167" s="27"/>
      <c r="D1167" s="27"/>
      <c r="E1167" s="27"/>
      <c r="F1167" s="27"/>
      <c r="G1167" s="27"/>
      <c r="H1167" s="27"/>
      <c r="I1167" s="27"/>
      <c r="J1167" s="27"/>
      <c r="K1167" s="27">
        <f>Table15[[#This Row],[الايصالات]]+Table15[[#This Row],[النولون]]-Table15[[#This Row],[خصم 3%]]</f>
        <v>0</v>
      </c>
      <c r="L1167" s="27"/>
      <c r="M1167" s="27">
        <f>Table15[[#This Row],[اجمالي الفاتوره]]-Table15[[#This Row],[الدفعات]]</f>
        <v>0</v>
      </c>
      <c r="N1167" s="27"/>
      <c r="O1167" s="27"/>
    </row>
    <row r="1168" spans="2:15" ht="29.25" customHeight="1" x14ac:dyDescent="0.3">
      <c r="B1168" s="27"/>
      <c r="C1168" s="27"/>
      <c r="D1168" s="27"/>
      <c r="E1168" s="27"/>
      <c r="F1168" s="27"/>
      <c r="G1168" s="27"/>
      <c r="H1168" s="27"/>
      <c r="I1168" s="27"/>
      <c r="J1168" s="27"/>
      <c r="K1168" s="27">
        <f>Table15[[#This Row],[الايصالات]]+Table15[[#This Row],[النولون]]-Table15[[#This Row],[خصم 3%]]</f>
        <v>0</v>
      </c>
      <c r="L1168" s="27"/>
      <c r="M1168" s="27">
        <f>Table15[[#This Row],[اجمالي الفاتوره]]-Table15[[#This Row],[الدفعات]]</f>
        <v>0</v>
      </c>
      <c r="N1168" s="27"/>
      <c r="O1168" s="27"/>
    </row>
    <row r="1169" spans="2:15" ht="29.25" customHeight="1" x14ac:dyDescent="0.3">
      <c r="B1169" s="27"/>
      <c r="C1169" s="27"/>
      <c r="D1169" s="27"/>
      <c r="E1169" s="27"/>
      <c r="F1169" s="27"/>
      <c r="G1169" s="27"/>
      <c r="H1169" s="27"/>
      <c r="I1169" s="27"/>
      <c r="J1169" s="27"/>
      <c r="K1169" s="27">
        <f>Table15[[#This Row],[الايصالات]]+Table15[[#This Row],[النولون]]-Table15[[#This Row],[خصم 3%]]</f>
        <v>0</v>
      </c>
      <c r="L1169" s="27"/>
      <c r="M1169" s="27">
        <f>Table15[[#This Row],[اجمالي الفاتوره]]-Table15[[#This Row],[الدفعات]]</f>
        <v>0</v>
      </c>
      <c r="N1169" s="27"/>
      <c r="O1169" s="27"/>
    </row>
    <row r="1170" spans="2:15" ht="29.25" customHeight="1" x14ac:dyDescent="0.3">
      <c r="B1170" s="27"/>
      <c r="C1170" s="27"/>
      <c r="D1170" s="27"/>
      <c r="E1170" s="27"/>
      <c r="F1170" s="27"/>
      <c r="G1170" s="27"/>
      <c r="H1170" s="27"/>
      <c r="I1170" s="27"/>
      <c r="J1170" s="27"/>
      <c r="K1170" s="27">
        <f>Table15[[#This Row],[الايصالات]]+Table15[[#This Row],[النولون]]-Table15[[#This Row],[خصم 3%]]</f>
        <v>0</v>
      </c>
      <c r="L1170" s="27"/>
      <c r="M1170" s="27">
        <f>Table15[[#This Row],[اجمالي الفاتوره]]-Table15[[#This Row],[الدفعات]]</f>
        <v>0</v>
      </c>
      <c r="N1170" s="27"/>
      <c r="O1170" s="27"/>
    </row>
    <row r="1171" spans="2:15" ht="29.25" customHeight="1" x14ac:dyDescent="0.3">
      <c r="B1171" s="27"/>
      <c r="C1171" s="27"/>
      <c r="D1171" s="27"/>
      <c r="E1171" s="27"/>
      <c r="F1171" s="27"/>
      <c r="G1171" s="27"/>
      <c r="H1171" s="27"/>
      <c r="I1171" s="27"/>
      <c r="J1171" s="27"/>
      <c r="K1171" s="27">
        <f>Table15[[#This Row],[الايصالات]]+Table15[[#This Row],[النولون]]-Table15[[#This Row],[خصم 3%]]</f>
        <v>0</v>
      </c>
      <c r="L1171" s="27"/>
      <c r="M1171" s="27">
        <f>Table15[[#This Row],[اجمالي الفاتوره]]-Table15[[#This Row],[الدفعات]]</f>
        <v>0</v>
      </c>
      <c r="N1171" s="27"/>
      <c r="O1171" s="27"/>
    </row>
    <row r="1172" spans="2:15" ht="29.25" customHeight="1" x14ac:dyDescent="0.3">
      <c r="B1172" s="27"/>
      <c r="C1172" s="27"/>
      <c r="D1172" s="27"/>
      <c r="E1172" s="27"/>
      <c r="F1172" s="27"/>
      <c r="G1172" s="27"/>
      <c r="H1172" s="27"/>
      <c r="I1172" s="27"/>
      <c r="J1172" s="27"/>
      <c r="K1172" s="27">
        <f>Table15[[#This Row],[الايصالات]]+Table15[[#This Row],[النولون]]-Table15[[#This Row],[خصم 3%]]</f>
        <v>0</v>
      </c>
      <c r="L1172" s="27"/>
      <c r="M1172" s="27">
        <f>Table15[[#This Row],[اجمالي الفاتوره]]-Table15[[#This Row],[الدفعات]]</f>
        <v>0</v>
      </c>
      <c r="N1172" s="27"/>
      <c r="O1172" s="27"/>
    </row>
    <row r="1173" spans="2:15" ht="29.25" customHeight="1" x14ac:dyDescent="0.3">
      <c r="B1173" s="27"/>
      <c r="C1173" s="27"/>
      <c r="D1173" s="27"/>
      <c r="E1173" s="27"/>
      <c r="F1173" s="27"/>
      <c r="G1173" s="27"/>
      <c r="H1173" s="27"/>
      <c r="I1173" s="27"/>
      <c r="J1173" s="27"/>
      <c r="K1173" s="27">
        <f>Table15[[#This Row],[الايصالات]]+Table15[[#This Row],[النولون]]-Table15[[#This Row],[خصم 3%]]</f>
        <v>0</v>
      </c>
      <c r="L1173" s="27"/>
      <c r="M1173" s="27">
        <f>Table15[[#This Row],[اجمالي الفاتوره]]-Table15[[#This Row],[الدفعات]]</f>
        <v>0</v>
      </c>
      <c r="N1173" s="27"/>
      <c r="O1173" s="27"/>
    </row>
    <row r="1174" spans="2:15" ht="29.25" customHeight="1" x14ac:dyDescent="0.3">
      <c r="B1174" s="27"/>
      <c r="C1174" s="27"/>
      <c r="D1174" s="27"/>
      <c r="E1174" s="27"/>
      <c r="F1174" s="27"/>
      <c r="G1174" s="27"/>
      <c r="H1174" s="27"/>
      <c r="I1174" s="27"/>
      <c r="J1174" s="27"/>
      <c r="K1174" s="27">
        <f>Table15[[#This Row],[الايصالات]]+Table15[[#This Row],[النولون]]-Table15[[#This Row],[خصم 3%]]</f>
        <v>0</v>
      </c>
      <c r="L1174" s="27"/>
      <c r="M1174" s="27">
        <f>Table15[[#This Row],[اجمالي الفاتوره]]-Table15[[#This Row],[الدفعات]]</f>
        <v>0</v>
      </c>
      <c r="N1174" s="27"/>
      <c r="O1174" s="2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37"/>
  <sheetViews>
    <sheetView rightToLeft="1" topLeftCell="A44" zoomScaleNormal="100" workbookViewId="0">
      <selection activeCell="E44" sqref="E44"/>
    </sheetView>
  </sheetViews>
  <sheetFormatPr defaultColWidth="9.109375" defaultRowHeight="15.6" x14ac:dyDescent="0.3"/>
  <cols>
    <col min="1" max="1" width="5.44140625" style="1" customWidth="1"/>
    <col min="2" max="2" width="11" style="1" customWidth="1"/>
    <col min="3" max="3" width="15.109375" style="1" customWidth="1"/>
    <col min="4" max="4" width="11.21875" style="1" customWidth="1"/>
    <col min="5" max="5" width="13.33203125" style="1" customWidth="1"/>
    <col min="6" max="6" width="13" style="1" customWidth="1"/>
    <col min="7" max="7" width="11.6640625" style="1" customWidth="1"/>
    <col min="8" max="8" width="11.77734375" style="1" customWidth="1"/>
    <col min="9" max="9" width="6" style="1" customWidth="1"/>
    <col min="10" max="10" width="10.77734375" style="1" customWidth="1"/>
    <col min="11" max="11" width="12" style="1" customWidth="1"/>
    <col min="12" max="12" width="17.21875" style="1" bestFit="1" customWidth="1"/>
    <col min="13" max="13" width="15.21875" style="1" customWidth="1"/>
    <col min="14" max="16384" width="9.109375" style="1"/>
  </cols>
  <sheetData>
    <row r="1" spans="1:14" ht="26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6.25" customHeight="1" x14ac:dyDescent="0.3">
      <c r="B2" s="2"/>
      <c r="K2" s="1">
        <f>Table11819202327[[#This Row],[النولون]]+Table11819202327[[#This Row],[الايصالات]]-Table11819202327[[#This Row],[خصم أ ت ص]]+Table11819202327[[#This Row],[قيمة مضافة]]</f>
        <v>0</v>
      </c>
      <c r="M2" s="1">
        <f>65323-50000</f>
        <v>15323</v>
      </c>
    </row>
    <row r="3" spans="1:14" ht="26.25" customHeight="1" x14ac:dyDescent="0.3">
      <c r="A3" s="1">
        <v>1</v>
      </c>
      <c r="B3" s="2" t="s">
        <v>150</v>
      </c>
      <c r="C3" s="1" t="s">
        <v>166</v>
      </c>
      <c r="D3" s="1" t="s">
        <v>96</v>
      </c>
      <c r="E3" s="1">
        <v>872384</v>
      </c>
      <c r="F3" s="1" t="s">
        <v>159</v>
      </c>
      <c r="G3" s="1">
        <v>12300</v>
      </c>
      <c r="J3" s="1">
        <f>110+585+229.05+150+741+912+150+171</f>
        <v>3048.05</v>
      </c>
      <c r="K3" s="1">
        <f>Table11819202327[[#This Row],[النولون]]+Table11819202327[[#This Row],[الايصالات]]-Table11819202327[[#This Row],[خصم أ ت ص]]+Table11819202327[[#This Row],[قيمة مضافة]]</f>
        <v>15348.05</v>
      </c>
      <c r="M3" s="1">
        <f>M2+Table11819202327[[#This Row],[اجمالي الفاتوره]]-Table11819202327[[#This Row],[الدفعات]]</f>
        <v>30671.05</v>
      </c>
    </row>
    <row r="4" spans="1:14" ht="26.25" customHeight="1" x14ac:dyDescent="0.3">
      <c r="A4" s="1">
        <v>2</v>
      </c>
      <c r="B4" s="2" t="s">
        <v>150</v>
      </c>
      <c r="C4" s="1" t="s">
        <v>166</v>
      </c>
      <c r="D4" s="1" t="s">
        <v>96</v>
      </c>
      <c r="E4" s="1">
        <v>6441837710</v>
      </c>
      <c r="F4" s="1" t="s">
        <v>159</v>
      </c>
      <c r="G4" s="1">
        <v>12300</v>
      </c>
      <c r="J4" s="1">
        <f>585+234.71+150+228+399+564.3+228</f>
        <v>2389.0100000000002</v>
      </c>
      <c r="K4" s="1">
        <f>Table11819202327[[#This Row],[النولون]]+Table11819202327[[#This Row],[الايصالات]]-Table11819202327[[#This Row],[خصم أ ت ص]]+Table11819202327[[#This Row],[قيمة مضافة]]</f>
        <v>14689.01</v>
      </c>
      <c r="M4" s="1">
        <f>M3+Table11819202327[[#This Row],[اجمالي الفاتوره]]-Table11819202327[[#This Row],[الدفعات]]</f>
        <v>45360.06</v>
      </c>
    </row>
    <row r="5" spans="1:14" ht="26.25" customHeight="1" x14ac:dyDescent="0.3">
      <c r="A5" s="1">
        <v>3</v>
      </c>
      <c r="B5" s="2" t="s">
        <v>150</v>
      </c>
      <c r="C5" s="1" t="s">
        <v>167</v>
      </c>
      <c r="D5" s="1" t="s">
        <v>169</v>
      </c>
      <c r="E5" s="1">
        <v>8829</v>
      </c>
      <c r="F5" s="1" t="s">
        <v>121</v>
      </c>
      <c r="G5" s="1">
        <v>14000</v>
      </c>
      <c r="J5" s="1">
        <f>850+1100+45.15+326.71+1345.2</f>
        <v>3667.0600000000004</v>
      </c>
      <c r="K5" s="1">
        <f>Table11819202327[[#This Row],[النولون]]+Table11819202327[[#This Row],[الايصالات]]-Table11819202327[[#This Row],[خصم أ ت ص]]+Table11819202327[[#This Row],[قيمة مضافة]]</f>
        <v>17667.060000000001</v>
      </c>
      <c r="M5" s="1">
        <f>M4+Table11819202327[[#This Row],[اجمالي الفاتوره]]-Table11819202327[[#This Row],[الدفعات]]</f>
        <v>63027.119999999995</v>
      </c>
    </row>
    <row r="6" spans="1:14" ht="26.25" customHeight="1" x14ac:dyDescent="0.3">
      <c r="A6" s="1">
        <v>4</v>
      </c>
      <c r="B6" s="2" t="s">
        <v>150</v>
      </c>
      <c r="C6" s="1" t="s">
        <v>168</v>
      </c>
      <c r="D6" s="1" t="s">
        <v>94</v>
      </c>
      <c r="E6" s="1">
        <v>14381</v>
      </c>
      <c r="F6" s="1" t="s">
        <v>121</v>
      </c>
      <c r="G6" s="1">
        <v>16000</v>
      </c>
      <c r="J6" s="1">
        <f>810+50+1100+350.19+68.08+100</f>
        <v>2478.27</v>
      </c>
      <c r="K6" s="1">
        <f>Table11819202327[[#This Row],[النولون]]+Table11819202327[[#This Row],[الايصالات]]-Table11819202327[[#This Row],[خصم أ ت ص]]+Table11819202327[[#This Row],[قيمة مضافة]]</f>
        <v>18478.27</v>
      </c>
      <c r="M6" s="1">
        <f>M5+Table11819202327[[#This Row],[اجمالي الفاتوره]]-Table11819202327[[#This Row],[الدفعات]]</f>
        <v>81505.39</v>
      </c>
    </row>
    <row r="7" spans="1:14" ht="26.25" customHeight="1" x14ac:dyDescent="0.3">
      <c r="A7" s="1">
        <v>5</v>
      </c>
      <c r="B7" s="2" t="s">
        <v>150</v>
      </c>
      <c r="C7" s="1" t="s">
        <v>172</v>
      </c>
      <c r="D7" s="1" t="s">
        <v>118</v>
      </c>
      <c r="E7" s="1">
        <v>36756</v>
      </c>
      <c r="F7" s="1" t="s">
        <v>121</v>
      </c>
      <c r="G7" s="1">
        <v>13200</v>
      </c>
      <c r="J7" s="1">
        <f>100+1130+430.77+1311+250</f>
        <v>3221.77</v>
      </c>
      <c r="K7" s="1">
        <f>Table11819202327[[#This Row],[النولون]]+Table11819202327[[#This Row],[الايصالات]]-Table11819202327[[#This Row],[خصم أ ت ص]]+Table11819202327[[#This Row],[قيمة مضافة]]</f>
        <v>16421.77</v>
      </c>
      <c r="M7" s="1">
        <f>M6+Table11819202327[[#This Row],[اجمالي الفاتوره]]-Table11819202327[[#This Row],[الدفعات]]</f>
        <v>97927.16</v>
      </c>
    </row>
    <row r="8" spans="1:14" ht="26.25" customHeight="1" x14ac:dyDescent="0.3">
      <c r="A8" s="1">
        <v>6</v>
      </c>
      <c r="B8" s="2" t="s">
        <v>292</v>
      </c>
      <c r="C8" s="1" t="s">
        <v>167</v>
      </c>
      <c r="D8" s="1" t="s">
        <v>169</v>
      </c>
      <c r="E8" s="1">
        <v>40218</v>
      </c>
      <c r="F8" s="1" t="s">
        <v>121</v>
      </c>
      <c r="G8" s="1">
        <v>13500</v>
      </c>
      <c r="J8" s="1">
        <f>1100+249.95+344.96+1521.9</f>
        <v>3216.8100000000004</v>
      </c>
      <c r="K8" s="1">
        <f>Table11819202327[[#This Row],[النولون]]+Table11819202327[[#This Row],[الايصالات]]-Table11819202327[[#This Row],[خصم أ ت ص]]+Table11819202327[[#This Row],[قيمة مضافة]]</f>
        <v>16716.810000000001</v>
      </c>
      <c r="M8" s="1">
        <f>M7+Table11819202327[[#This Row],[اجمالي الفاتوره]]-Table11819202327[[#This Row],[الدفعات]]</f>
        <v>114643.97</v>
      </c>
    </row>
    <row r="9" spans="1:14" ht="26.25" customHeight="1" x14ac:dyDescent="0.3">
      <c r="A9" s="1">
        <v>7</v>
      </c>
      <c r="B9" s="2" t="s">
        <v>292</v>
      </c>
      <c r="C9" s="1" t="s">
        <v>294</v>
      </c>
      <c r="D9" s="1" t="s">
        <v>118</v>
      </c>
      <c r="E9" s="1">
        <v>265758684</v>
      </c>
      <c r="F9" s="1" t="s">
        <v>121</v>
      </c>
      <c r="G9" s="1">
        <v>13000</v>
      </c>
      <c r="J9" s="1">
        <f>850+1130+448.97+2086.2+500+4259</f>
        <v>9274.17</v>
      </c>
      <c r="K9" s="1">
        <f>Table11819202327[[#This Row],[النولون]]+Table11819202327[[#This Row],[الايصالات]]-Table11819202327[[#This Row],[خصم أ ت ص]]+Table11819202327[[#This Row],[قيمة مضافة]]</f>
        <v>22274.17</v>
      </c>
      <c r="M9" s="1">
        <f>M8+Table11819202327[[#This Row],[اجمالي الفاتوره]]-Table11819202327[[#This Row],[الدفعات]]</f>
        <v>136918.14000000001</v>
      </c>
    </row>
    <row r="10" spans="1:14" ht="26.25" customHeight="1" x14ac:dyDescent="0.3">
      <c r="A10" s="1">
        <v>8</v>
      </c>
      <c r="B10" s="2" t="s">
        <v>299</v>
      </c>
      <c r="C10" s="1" t="s">
        <v>167</v>
      </c>
      <c r="D10" s="1" t="s">
        <v>169</v>
      </c>
      <c r="E10" s="1">
        <v>48998</v>
      </c>
      <c r="F10" s="1" t="s">
        <v>158</v>
      </c>
      <c r="G10" s="1">
        <f>13500*3</f>
        <v>40500</v>
      </c>
      <c r="J10" s="1">
        <f>50+1100+1135+240.37+286.91+241.02+850+1088.7*3</f>
        <v>7169.4</v>
      </c>
      <c r="K10" s="1">
        <f>Table11819202327[[#This Row],[النولون]]+Table11819202327[[#This Row],[الايصالات]]-Table11819202327[[#This Row],[خصم أ ت ص]]+Table11819202327[[#This Row],[قيمة مضافة]]</f>
        <v>47669.4</v>
      </c>
      <c r="M10" s="1">
        <f>M9+Table11819202327[[#This Row],[اجمالي الفاتوره]]-Table11819202327[[#This Row],[الدفعات]]</f>
        <v>184587.54</v>
      </c>
    </row>
    <row r="11" spans="1:14" ht="26.25" customHeight="1" x14ac:dyDescent="0.3">
      <c r="A11" s="1">
        <v>9</v>
      </c>
      <c r="B11" s="2" t="s">
        <v>309</v>
      </c>
      <c r="C11" s="1" t="s">
        <v>310</v>
      </c>
      <c r="D11" s="1" t="s">
        <v>203</v>
      </c>
      <c r="E11" s="1">
        <v>60080</v>
      </c>
      <c r="F11" s="1" t="s">
        <v>121</v>
      </c>
      <c r="G11" s="1">
        <v>15300</v>
      </c>
      <c r="J11" s="1">
        <f>79+1100+105.79+490.63</f>
        <v>1775.42</v>
      </c>
      <c r="K11" s="1">
        <f>Table11819202327[[#This Row],[النولون]]+Table11819202327[[#This Row],[الايصالات]]-Table11819202327[[#This Row],[خصم أ ت ص]]+Table11819202327[[#This Row],[قيمة مضافة]]</f>
        <v>17075.419999999998</v>
      </c>
      <c r="M11" s="1">
        <f>M10+Table11819202327[[#This Row],[اجمالي الفاتوره]]-Table11819202327[[#This Row],[الدفعات]]</f>
        <v>201662.96000000002</v>
      </c>
    </row>
    <row r="12" spans="1:14" ht="26.25" customHeight="1" x14ac:dyDescent="0.3">
      <c r="A12" s="1">
        <v>10</v>
      </c>
      <c r="B12" s="2" t="s">
        <v>315</v>
      </c>
      <c r="C12" s="1" t="s">
        <v>294</v>
      </c>
      <c r="D12" s="1" t="s">
        <v>118</v>
      </c>
      <c r="E12" s="1">
        <v>266049886</v>
      </c>
      <c r="F12" s="1" t="s">
        <v>121</v>
      </c>
      <c r="G12" s="1">
        <v>13000</v>
      </c>
      <c r="J12" s="1">
        <f>1130+369.59+45.15+810+500+4259+25.1</f>
        <v>7138.84</v>
      </c>
      <c r="K12" s="1">
        <f>Table11819202327[[#This Row],[النولون]]+Table11819202327[[#This Row],[الايصالات]]-Table11819202327[[#This Row],[خصم أ ت ص]]+Table11819202327[[#This Row],[قيمة مضافة]]</f>
        <v>20138.84</v>
      </c>
      <c r="M12" s="1">
        <f>M11+Table11819202327[[#This Row],[اجمالي الفاتوره]]-Table11819202327[[#This Row],[الدفعات]]</f>
        <v>221801.80000000002</v>
      </c>
    </row>
    <row r="13" spans="1:14" ht="26.25" customHeight="1" x14ac:dyDescent="0.3">
      <c r="A13" s="1">
        <v>11</v>
      </c>
      <c r="B13" s="2" t="s">
        <v>315</v>
      </c>
      <c r="C13" s="1" t="s">
        <v>321</v>
      </c>
      <c r="D13" s="1" t="s">
        <v>96</v>
      </c>
      <c r="E13" s="1">
        <v>63352</v>
      </c>
      <c r="F13" s="1" t="s">
        <v>91</v>
      </c>
      <c r="G13" s="1">
        <f>13500*3+15500+7500</f>
        <v>63500</v>
      </c>
      <c r="J13" s="1">
        <f>1135*4+399+525.21+136.77+336.51+644.36+604.65+105.79*2+850+5010+100+1300*2+4224.56</f>
        <v>20182.64</v>
      </c>
      <c r="K13" s="1">
        <f>Table11819202327[[#This Row],[النولون]]+Table11819202327[[#This Row],[الايصالات]]-Table11819202327[[#This Row],[خصم أ ت ص]]+Table11819202327[[#This Row],[قيمة مضافة]]</f>
        <v>83682.64</v>
      </c>
      <c r="M13" s="1">
        <f>M12+Table11819202327[[#This Row],[اجمالي الفاتوره]]-Table11819202327[[#This Row],[الدفعات]]</f>
        <v>305484.44</v>
      </c>
    </row>
    <row r="14" spans="1:14" ht="26.25" customHeight="1" x14ac:dyDescent="0.3">
      <c r="A14" s="72"/>
      <c r="B14" s="73" t="s">
        <v>338</v>
      </c>
      <c r="C14" s="72"/>
      <c r="D14" s="72"/>
      <c r="E14" s="72"/>
      <c r="F14" s="72"/>
      <c r="G14" s="72"/>
      <c r="H14" s="72"/>
      <c r="I14" s="72"/>
      <c r="J14" s="72"/>
      <c r="K14" s="72">
        <f>Table11819202327[[#This Row],[النولون]]+Table11819202327[[#This Row],[الايصالات]]-Table11819202327[[#This Row],[خصم أ ت ص]]+Table11819202327[[#This Row],[قيمة مضافة]]</f>
        <v>0</v>
      </c>
      <c r="L14" s="72">
        <v>100000</v>
      </c>
      <c r="M14" s="72">
        <f>M13+Table11819202327[[#This Row],[اجمالي الفاتوره]]-Table11819202327[[#This Row],[الدفعات]]</f>
        <v>205484.44</v>
      </c>
    </row>
    <row r="15" spans="1:14" ht="26.25" customHeight="1" x14ac:dyDescent="0.3">
      <c r="A15" s="72"/>
      <c r="B15" s="73" t="s">
        <v>356</v>
      </c>
      <c r="C15" s="72"/>
      <c r="D15" s="72"/>
      <c r="E15" s="72"/>
      <c r="F15" s="72"/>
      <c r="G15" s="72"/>
      <c r="H15" s="72"/>
      <c r="I15" s="72"/>
      <c r="J15" s="72"/>
      <c r="K15" s="72">
        <f>Table11819202327[[#This Row],[النولون]]+Table11819202327[[#This Row],[الايصالات]]-Table11819202327[[#This Row],[خصم أ ت ص]]+Table11819202327[[#This Row],[قيمة مضافة]]</f>
        <v>0</v>
      </c>
      <c r="L15" s="72">
        <v>100000</v>
      </c>
      <c r="M15" s="72">
        <f>M14+Table11819202327[[#This Row],[اجمالي الفاتوره]]-Table11819202327[[#This Row],[الدفعات]]</f>
        <v>105484.44</v>
      </c>
      <c r="N15" s="1">
        <f>SUM(K:K)-SUM(L:L)+M2</f>
        <v>34156.989999999991</v>
      </c>
    </row>
    <row r="16" spans="1:14" ht="26.25" customHeight="1" x14ac:dyDescent="0.3">
      <c r="A16" s="72"/>
      <c r="B16" s="73" t="s">
        <v>388</v>
      </c>
      <c r="C16" s="72"/>
      <c r="D16" s="72"/>
      <c r="E16" s="72"/>
      <c r="F16" s="72"/>
      <c r="G16" s="72"/>
      <c r="H16" s="72"/>
      <c r="I16" s="72"/>
      <c r="J16" s="72"/>
      <c r="K16" s="72">
        <f>Table11819202327[[#This Row],[النولون]]+Table11819202327[[#This Row],[الايصالات]]-Table11819202327[[#This Row],[خصم أ ت ص]]+Table11819202327[[#This Row],[قيمة مضافة]]</f>
        <v>0</v>
      </c>
      <c r="L16" s="72">
        <v>50000</v>
      </c>
      <c r="M16" s="72">
        <f>M15+Table11819202327[[#This Row],[اجمالي الفاتوره]]-Table11819202327[[#This Row],[الدفعات]]</f>
        <v>55484.44</v>
      </c>
    </row>
    <row r="17" spans="1:13" ht="26.25" customHeight="1" x14ac:dyDescent="0.3">
      <c r="A17" s="1">
        <v>12</v>
      </c>
      <c r="B17" s="2" t="s">
        <v>392</v>
      </c>
      <c r="C17" s="1" t="s">
        <v>393</v>
      </c>
      <c r="D17" s="1" t="s">
        <v>330</v>
      </c>
      <c r="E17" s="1">
        <v>895300</v>
      </c>
      <c r="F17" s="1" t="s">
        <v>159</v>
      </c>
      <c r="G17" s="1">
        <v>14950</v>
      </c>
      <c r="J17" s="1">
        <f>550+250.1+150+171+2500</f>
        <v>3621.1</v>
      </c>
      <c r="K17" s="1">
        <f>Table11819202327[[#This Row],[النولون]]+Table11819202327[[#This Row],[الايصالات]]-Table11819202327[[#This Row],[خصم أ ت ص]]+Table11819202327[[#This Row],[قيمة مضافة]]</f>
        <v>18571.099999999999</v>
      </c>
      <c r="M17" s="1">
        <f>M16+Table11819202327[[#This Row],[اجمالي الفاتوره]]-Table11819202327[[#This Row],[الدفعات]]</f>
        <v>74055.540000000008</v>
      </c>
    </row>
    <row r="18" spans="1:13" ht="26.25" customHeight="1" x14ac:dyDescent="0.3">
      <c r="A18" s="1">
        <v>13</v>
      </c>
      <c r="B18" s="2" t="s">
        <v>392</v>
      </c>
      <c r="C18" s="1" t="s">
        <v>394</v>
      </c>
      <c r="D18" s="1" t="s">
        <v>94</v>
      </c>
      <c r="E18" s="1">
        <v>100389</v>
      </c>
      <c r="F18" s="1" t="s">
        <v>121</v>
      </c>
      <c r="G18" s="1">
        <v>17600</v>
      </c>
      <c r="J18" s="1">
        <f>8990+150+1100+549.16+50+1345</f>
        <v>12184.16</v>
      </c>
      <c r="K18" s="1">
        <f>Table11819202327[[#This Row],[النولون]]+Table11819202327[[#This Row],[الايصالات]]-Table11819202327[[#This Row],[خصم أ ت ص]]+Table11819202327[[#This Row],[قيمة مضافة]]</f>
        <v>29784.16</v>
      </c>
      <c r="M18" s="1">
        <f>M17+Table11819202327[[#This Row],[اجمالي الفاتوره]]-Table11819202327[[#This Row],[الدفعات]]</f>
        <v>103839.70000000001</v>
      </c>
    </row>
    <row r="19" spans="1:13" ht="26.25" customHeight="1" x14ac:dyDescent="0.3">
      <c r="A19" s="1">
        <v>14</v>
      </c>
      <c r="B19" s="2" t="s">
        <v>392</v>
      </c>
      <c r="C19" s="1" t="s">
        <v>166</v>
      </c>
      <c r="D19" s="1" t="s">
        <v>96</v>
      </c>
      <c r="E19" s="1">
        <v>61324</v>
      </c>
      <c r="F19" s="1" t="s">
        <v>121</v>
      </c>
      <c r="G19" s="1">
        <v>16000</v>
      </c>
      <c r="J19" s="1">
        <f>210+1130+366.76+105.79+150+1194.49+25.1</f>
        <v>3182.14</v>
      </c>
      <c r="K19" s="1">
        <f>Table11819202327[[#This Row],[النولون]]+Table11819202327[[#This Row],[الايصالات]]-Table11819202327[[#This Row],[خصم أ ت ص]]+Table11819202327[[#This Row],[قيمة مضافة]]</f>
        <v>19182.14</v>
      </c>
      <c r="M19" s="1">
        <f>M18+Table11819202327[[#This Row],[اجمالي الفاتوره]]-Table11819202327[[#This Row],[الدفعات]]</f>
        <v>123021.84000000001</v>
      </c>
    </row>
    <row r="20" spans="1:13" ht="26.25" customHeight="1" x14ac:dyDescent="0.3">
      <c r="A20" s="1">
        <v>15</v>
      </c>
      <c r="B20" s="2">
        <v>46119</v>
      </c>
      <c r="C20" s="1" t="s">
        <v>294</v>
      </c>
      <c r="D20" s="1" t="s">
        <v>118</v>
      </c>
      <c r="E20" s="1">
        <v>267527368</v>
      </c>
      <c r="F20" s="1" t="s">
        <v>121</v>
      </c>
      <c r="G20" s="1">
        <v>14300</v>
      </c>
      <c r="J20" s="1">
        <f>850+1130+418.61+1812.6+500+4615</f>
        <v>9326.2099999999991</v>
      </c>
      <c r="K20" s="1">
        <f>Table11819202327[[#This Row],[النولون]]+Table11819202327[[#This Row],[الايصالات]]-Table11819202327[[#This Row],[خصم أ ت ص]]+Table11819202327[[#This Row],[قيمة مضافة]]</f>
        <v>23626.21</v>
      </c>
      <c r="M20" s="1">
        <f>M19+Table11819202327[[#This Row],[اجمالي الفاتوره]]-Table11819202327[[#This Row],[الدفعات]]</f>
        <v>146648.05000000002</v>
      </c>
    </row>
    <row r="21" spans="1:13" ht="26.25" customHeight="1" x14ac:dyDescent="0.3">
      <c r="A21" s="72"/>
      <c r="B21" s="73">
        <v>46124</v>
      </c>
      <c r="C21" s="72"/>
      <c r="D21" s="72"/>
      <c r="E21" s="72"/>
      <c r="F21" s="72"/>
      <c r="G21" s="72"/>
      <c r="H21" s="72"/>
      <c r="I21" s="72"/>
      <c r="J21" s="72"/>
      <c r="K21" s="72">
        <f>Table11819202327[[#This Row],[النولون]]+Table11819202327[[#This Row],[الايصالات]]-Table11819202327[[#This Row],[خصم أ ت ص]]+Table11819202327[[#This Row],[قيمة مضافة]]</f>
        <v>0</v>
      </c>
      <c r="L21" s="72">
        <v>50000</v>
      </c>
      <c r="M21" s="72">
        <f>M20+Table11819202327[[#This Row],[اجمالي الفاتوره]]-Table11819202327[[#This Row],[الدفعات]]</f>
        <v>96648.050000000017</v>
      </c>
    </row>
    <row r="22" spans="1:13" ht="26.25" customHeight="1" x14ac:dyDescent="0.3">
      <c r="A22" s="72"/>
      <c r="B22" s="73">
        <v>46131</v>
      </c>
      <c r="C22" s="72"/>
      <c r="D22" s="72"/>
      <c r="E22" s="72"/>
      <c r="F22" s="72"/>
      <c r="G22" s="72"/>
      <c r="H22" s="72"/>
      <c r="I22" s="72"/>
      <c r="J22" s="72"/>
      <c r="K22" s="72">
        <f>Table11819202327[[#This Row],[النولون]]+Table11819202327[[#This Row],[الايصالات]]-Table11819202327[[#This Row],[خصم أ ت ص]]+Table11819202327[[#This Row],[قيمة مضافة]]</f>
        <v>0</v>
      </c>
      <c r="L22" s="72">
        <v>20000</v>
      </c>
      <c r="M22" s="72">
        <f>M21+Table11819202327[[#This Row],[اجمالي الفاتوره]]-Table11819202327[[#This Row],[الدفعات]]</f>
        <v>76648.050000000017</v>
      </c>
    </row>
    <row r="23" spans="1:13" ht="26.25" customHeight="1" x14ac:dyDescent="0.3">
      <c r="A23" s="72"/>
      <c r="B23" s="97">
        <v>46131</v>
      </c>
      <c r="C23" s="73"/>
      <c r="D23" s="72"/>
      <c r="E23" s="72"/>
      <c r="F23" s="72"/>
      <c r="G23" s="72"/>
      <c r="H23" s="72"/>
      <c r="I23" s="72"/>
      <c r="J23" s="72"/>
      <c r="K23" s="72">
        <f>Table11819202327[[#This Row],[النولون]]+Table11819202327[[#This Row],[الايصالات]]-Table11819202327[[#This Row],[خصم أ ت ص]]+Table11819202327[[#This Row],[قيمة مضافة]]</f>
        <v>0</v>
      </c>
      <c r="L23" s="72">
        <v>50000</v>
      </c>
      <c r="M23" s="72">
        <f>M22+Table11819202327[[#This Row],[اجمالي الفاتوره]]-Table11819202327[[#This Row],[الدفعات]]</f>
        <v>26648.050000000017</v>
      </c>
    </row>
    <row r="24" spans="1:13" ht="26.25" customHeight="1" x14ac:dyDescent="0.3">
      <c r="A24" s="1">
        <v>16</v>
      </c>
      <c r="B24" s="2">
        <v>46137</v>
      </c>
      <c r="C24" s="1" t="s">
        <v>294</v>
      </c>
      <c r="D24" s="1" t="s">
        <v>118</v>
      </c>
      <c r="E24" s="1">
        <v>268979665</v>
      </c>
      <c r="F24" s="1" t="s">
        <v>121</v>
      </c>
      <c r="G24" s="1">
        <v>14300</v>
      </c>
      <c r="J24" s="1">
        <f>100+1130+407.3+2295.96+500+4615</f>
        <v>9048.26</v>
      </c>
      <c r="K24" s="1">
        <f>Table11819202327[[#This Row],[النولون]]+Table11819202327[[#This Row],[الايصالات]]-Table11819202327[[#This Row],[خصم أ ت ص]]+Table11819202327[[#This Row],[قيمة مضافة]]</f>
        <v>23348.260000000002</v>
      </c>
      <c r="M24" s="1">
        <f>M23+Table11819202327[[#This Row],[اجمالي الفاتوره]]-Table11819202327[[#This Row],[الدفعات]]</f>
        <v>49996.310000000019</v>
      </c>
    </row>
    <row r="25" spans="1:13" ht="26.25" customHeight="1" x14ac:dyDescent="0.3">
      <c r="A25" s="1">
        <v>17</v>
      </c>
      <c r="B25" s="2">
        <v>46139</v>
      </c>
      <c r="C25" s="1" t="s">
        <v>321</v>
      </c>
      <c r="D25" s="1" t="s">
        <v>493</v>
      </c>
      <c r="E25" s="1">
        <v>183415</v>
      </c>
      <c r="F25" s="1" t="s">
        <v>494</v>
      </c>
      <c r="G25" s="1">
        <f>5*17000+8*15500+2*8500-200*15</f>
        <v>223000</v>
      </c>
      <c r="J25" s="1">
        <f>850+850+12*1135+1150+1100+112.67+644.36+341.51+753.01+333.68+359.44+649.61+649.61+609.9+369.15+721.75+754.98+552.9+362.23+633.98+150+150+150+2565+1368*4+9*1140+7182</f>
        <v>51347.78</v>
      </c>
      <c r="K25" s="1">
        <f>Table11819202327[[#This Row],[النولون]]+Table11819202327[[#This Row],[الايصالات]]-Table11819202327[[#This Row],[خصم أ ت ص]]+Table11819202327[[#This Row],[قيمة مضافة]]</f>
        <v>274347.78000000003</v>
      </c>
      <c r="M25" s="1">
        <f>M24+Table11819202327[[#This Row],[اجمالي الفاتوره]]-Table11819202327[[#This Row],[الدفعات]]</f>
        <v>324344.09000000003</v>
      </c>
    </row>
    <row r="26" spans="1:13" ht="26.25" customHeight="1" x14ac:dyDescent="0.3">
      <c r="A26" s="1">
        <v>18</v>
      </c>
      <c r="B26" s="2">
        <v>46139</v>
      </c>
      <c r="C26" s="1" t="s">
        <v>495</v>
      </c>
      <c r="D26" s="1" t="s">
        <v>496</v>
      </c>
      <c r="E26" s="1" t="s">
        <v>497</v>
      </c>
      <c r="F26" s="1" t="s">
        <v>92</v>
      </c>
      <c r="G26" s="1">
        <f>7250*2</f>
        <v>14500</v>
      </c>
      <c r="J26" s="1">
        <f>7557*2</f>
        <v>15114</v>
      </c>
      <c r="K26" s="1">
        <f>Table11819202327[[#This Row],[النولون]]+Table11819202327[[#This Row],[الايصالات]]-Table11819202327[[#This Row],[خصم أ ت ص]]+Table11819202327[[#This Row],[قيمة مضافة]]</f>
        <v>29614</v>
      </c>
      <c r="M26" s="1">
        <f>M25+Table11819202327[[#This Row],[اجمالي الفاتوره]]-Table11819202327[[#This Row],[الدفعات]]</f>
        <v>353958.09</v>
      </c>
    </row>
    <row r="27" spans="1:13" ht="26.25" customHeight="1" x14ac:dyDescent="0.3">
      <c r="A27" s="1">
        <v>19</v>
      </c>
      <c r="B27" s="2">
        <v>46146</v>
      </c>
      <c r="C27" s="1" t="s">
        <v>524</v>
      </c>
      <c r="D27" s="1" t="s">
        <v>118</v>
      </c>
      <c r="E27" s="1">
        <v>266230039</v>
      </c>
      <c r="F27" s="1" t="s">
        <v>121</v>
      </c>
      <c r="G27" s="1">
        <v>14300</v>
      </c>
      <c r="J27" s="1">
        <f>850+1100+421.43+2295.96+500+4615</f>
        <v>9782.39</v>
      </c>
      <c r="K27" s="1">
        <f>Table11819202327[[#This Row],[النولون]]+Table11819202327[[#This Row],[الايصالات]]-Table11819202327[[#This Row],[خصم أ ت ص]]+Table11819202327[[#This Row],[قيمة مضافة]]</f>
        <v>24082.39</v>
      </c>
      <c r="M27" s="1">
        <f>M26+Table11819202327[[#This Row],[اجمالي الفاتوره]]-Table11819202327[[#This Row],[الدفعات]]</f>
        <v>378040.48000000004</v>
      </c>
    </row>
    <row r="28" spans="1:13" ht="26.25" customHeight="1" x14ac:dyDescent="0.3">
      <c r="A28" s="1">
        <v>20</v>
      </c>
      <c r="B28" s="2">
        <v>46146</v>
      </c>
      <c r="C28" s="1" t="s">
        <v>321</v>
      </c>
      <c r="D28" s="1" t="s">
        <v>96</v>
      </c>
      <c r="E28" s="1">
        <v>9020774980</v>
      </c>
      <c r="F28" s="1" t="s">
        <v>121</v>
      </c>
      <c r="G28" s="1">
        <v>16000</v>
      </c>
      <c r="J28" s="1">
        <f>2500+210+1130+688.85+150+228+684+1111.5+342</f>
        <v>7044.35</v>
      </c>
      <c r="K28" s="1">
        <f>Table11819202327[[#This Row],[النولون]]+Table11819202327[[#This Row],[الايصالات]]-Table11819202327[[#This Row],[خصم أ ت ص]]+Table11819202327[[#This Row],[قيمة مضافة]]</f>
        <v>23044.35</v>
      </c>
      <c r="M28" s="1">
        <f>M27+Table11819202327[[#This Row],[اجمالي الفاتوره]]-Table11819202327[[#This Row],[الدفعات]]</f>
        <v>401084.83</v>
      </c>
    </row>
    <row r="29" spans="1:13" ht="26.25" customHeight="1" x14ac:dyDescent="0.3">
      <c r="A29" s="72"/>
      <c r="B29" s="73">
        <v>46148</v>
      </c>
      <c r="C29" s="72"/>
      <c r="D29" s="72"/>
      <c r="E29" s="72"/>
      <c r="F29" s="72"/>
      <c r="G29" s="72"/>
      <c r="H29" s="72"/>
      <c r="I29" s="72"/>
      <c r="J29" s="72"/>
      <c r="K29" s="72">
        <f>Table11819202327[[#This Row],[النولون]]+Table11819202327[[#This Row],[الايصالات]]-Table11819202327[[#This Row],[خصم أ ت ص]]+Table11819202327[[#This Row],[قيمة مضافة]]</f>
        <v>0</v>
      </c>
      <c r="L29" s="72">
        <v>200000</v>
      </c>
      <c r="M29" s="72">
        <f>M28+Table11819202327[[#This Row],[اجمالي الفاتوره]]-Table11819202327[[#This Row],[الدفعات]]</f>
        <v>201084.83000000002</v>
      </c>
    </row>
    <row r="30" spans="1:13" ht="26.25" customHeight="1" x14ac:dyDescent="0.3">
      <c r="A30" s="1">
        <v>21</v>
      </c>
      <c r="B30" s="2">
        <v>46156</v>
      </c>
      <c r="C30" s="1" t="s">
        <v>294</v>
      </c>
      <c r="D30" s="1" t="s">
        <v>118</v>
      </c>
      <c r="E30" s="1">
        <v>270214021</v>
      </c>
      <c r="F30" s="1" t="s">
        <v>121</v>
      </c>
      <c r="G30" s="1">
        <v>14300</v>
      </c>
      <c r="J30" s="95">
        <f>810+1130+424.26+2672.16+500+4615</f>
        <v>10151.42</v>
      </c>
      <c r="K30" s="1">
        <f>Table11819202327[[#This Row],[النولون]]+Table11819202327[[#This Row],[الايصالات]]-Table11819202327[[#This Row],[خصم أ ت ص]]+Table11819202327[[#This Row],[قيمة مضافة]]</f>
        <v>24451.42</v>
      </c>
      <c r="M30" s="1">
        <f>M29+Table11819202327[[#This Row],[اجمالي الفاتوره]]-Table11819202327[[#This Row],[الدفعات]]</f>
        <v>225536.25</v>
      </c>
    </row>
    <row r="31" spans="1:13" ht="26.25" customHeight="1" x14ac:dyDescent="0.3">
      <c r="A31" s="1">
        <v>22</v>
      </c>
      <c r="B31" s="2">
        <v>46156</v>
      </c>
      <c r="C31" s="1" t="s">
        <v>546</v>
      </c>
      <c r="D31" s="1" t="s">
        <v>233</v>
      </c>
      <c r="E31" s="1">
        <v>203118</v>
      </c>
      <c r="F31" s="1" t="s">
        <v>92</v>
      </c>
      <c r="G31" s="1">
        <f>16500*2</f>
        <v>33000</v>
      </c>
      <c r="J31" s="1">
        <f>850+1120+1105+45.15+331.51+328.68</f>
        <v>3780.3399999999997</v>
      </c>
      <c r="K31" s="1">
        <f>Table11819202327[[#This Row],[النولون]]+Table11819202327[[#This Row],[الايصالات]]-Table11819202327[[#This Row],[خصم أ ت ص]]+Table11819202327[[#This Row],[قيمة مضافة]]</f>
        <v>36780.339999999997</v>
      </c>
      <c r="M31" s="1">
        <f>M30+Table11819202327[[#This Row],[اجمالي الفاتوره]]-Table11819202327[[#This Row],[الدفعات]]</f>
        <v>262316.58999999997</v>
      </c>
    </row>
    <row r="32" spans="1:13" ht="26.25" customHeight="1" x14ac:dyDescent="0.3">
      <c r="A32" s="72"/>
      <c r="B32" s="73">
        <v>46156</v>
      </c>
      <c r="C32" s="73"/>
      <c r="D32" s="72"/>
      <c r="E32" s="72"/>
      <c r="F32" s="72"/>
      <c r="G32" s="72"/>
      <c r="H32" s="72"/>
      <c r="I32" s="72"/>
      <c r="J32" s="72"/>
      <c r="K32" s="72">
        <f>Table11819202327[[#This Row],[النولون]]+Table11819202327[[#This Row],[الايصالات]]-Table11819202327[[#This Row],[خصم أ ت ص]]+Table11819202327[[#This Row],[قيمة مضافة]]</f>
        <v>0</v>
      </c>
      <c r="L32" s="72">
        <v>100000</v>
      </c>
      <c r="M32" s="72">
        <f>M31+Table11819202327[[#This Row],[اجمالي الفاتوره]]-Table11819202327[[#This Row],[الدفعات]]</f>
        <v>162316.58999999997</v>
      </c>
    </row>
    <row r="33" spans="1:14" ht="26.25" customHeight="1" x14ac:dyDescent="0.3">
      <c r="A33" s="1">
        <v>23</v>
      </c>
      <c r="B33" s="2">
        <v>46162</v>
      </c>
      <c r="C33" s="1" t="s">
        <v>394</v>
      </c>
      <c r="D33" s="1" t="s">
        <v>94</v>
      </c>
      <c r="E33" s="1">
        <v>223404</v>
      </c>
      <c r="F33" s="1" t="s">
        <v>563</v>
      </c>
      <c r="G33" s="1">
        <v>16500</v>
      </c>
      <c r="J33" s="1">
        <f>850+2065+530+775.83+50+1368+100</f>
        <v>5738.83</v>
      </c>
      <c r="K33" s="1">
        <f>Table11819202327[[#This Row],[النولون]]+Table11819202327[[#This Row],[الايصالات]]-Table11819202327[[#This Row],[خصم أ ت ص]]+Table11819202327[[#This Row],[قيمة مضافة]]</f>
        <v>22238.83</v>
      </c>
      <c r="M33" s="1">
        <f>M32+Table11819202327[[#This Row],[اجمالي الفاتوره]]-Table11819202327[[#This Row],[الدفعات]]</f>
        <v>184555.41999999998</v>
      </c>
    </row>
    <row r="34" spans="1:14" ht="26.25" customHeight="1" x14ac:dyDescent="0.3">
      <c r="A34" s="72"/>
      <c r="B34" s="73">
        <v>46165</v>
      </c>
      <c r="C34" s="73"/>
      <c r="D34" s="72"/>
      <c r="E34" s="72"/>
      <c r="F34" s="72"/>
      <c r="G34" s="72"/>
      <c r="H34" s="72"/>
      <c r="I34" s="72"/>
      <c r="J34" s="72"/>
      <c r="K34" s="72">
        <f>Table11819202327[[#This Row],[النولون]]+Table11819202327[[#This Row],[الايصالات]]-Table11819202327[[#This Row],[خصم أ ت ص]]+Table11819202327[[#This Row],[قيمة مضافة]]</f>
        <v>0</v>
      </c>
      <c r="L34" s="72">
        <v>50000</v>
      </c>
      <c r="M34" s="72">
        <f>M33+Table11819202327[[#This Row],[اجمالي الفاتوره]]-Table11819202327[[#This Row],[الدفعات]]</f>
        <v>134555.41999999998</v>
      </c>
    </row>
    <row r="35" spans="1:14" ht="26.25" customHeight="1" x14ac:dyDescent="0.3">
      <c r="A35" s="72"/>
      <c r="B35" s="73">
        <v>46167</v>
      </c>
      <c r="C35" s="72"/>
      <c r="D35" s="72"/>
      <c r="E35" s="72"/>
      <c r="F35" s="72"/>
      <c r="G35" s="72"/>
      <c r="H35" s="72"/>
      <c r="I35" s="72"/>
      <c r="J35" s="72"/>
      <c r="K35" s="72">
        <f>Table11819202327[[#This Row],[النولون]]+Table11819202327[[#This Row],[الايصالات]]-Table11819202327[[#This Row],[خصم أ ت ص]]+Table11819202327[[#This Row],[قيمة مضافة]]</f>
        <v>0</v>
      </c>
      <c r="L35" s="72">
        <v>50000</v>
      </c>
      <c r="M35" s="72">
        <f>M34+Table11819202327[[#This Row],[اجمالي الفاتوره]]-Table11819202327[[#This Row],[الدفعات]]</f>
        <v>84555.419999999984</v>
      </c>
    </row>
    <row r="36" spans="1:14" ht="26.25" customHeight="1" x14ac:dyDescent="0.3">
      <c r="A36" s="1">
        <v>24</v>
      </c>
      <c r="B36" s="2">
        <v>46172</v>
      </c>
      <c r="C36" s="1" t="s">
        <v>310</v>
      </c>
      <c r="D36" s="1" t="s">
        <v>203</v>
      </c>
      <c r="E36" s="1">
        <v>235801</v>
      </c>
      <c r="F36" s="1" t="s">
        <v>121</v>
      </c>
      <c r="G36" s="1">
        <v>16500</v>
      </c>
      <c r="J36" s="1">
        <f>1105+30+523.46+68.08+79+2898.47</f>
        <v>4704.01</v>
      </c>
      <c r="K36" s="1">
        <f>Table11819202327[[#This Row],[النولون]]+Table11819202327[[#This Row],[الايصالات]]-Table11819202327[[#This Row],[خصم أ ت ص]]+Table11819202327[[#This Row],[قيمة مضافة]]</f>
        <v>21204.010000000002</v>
      </c>
      <c r="M36" s="1">
        <f>M35+Table11819202327[[#This Row],[اجمالي الفاتوره]]-Table11819202327[[#This Row],[الدفعات]]</f>
        <v>105759.43</v>
      </c>
    </row>
    <row r="37" spans="1:14" ht="26.25" customHeight="1" x14ac:dyDescent="0.3">
      <c r="A37" s="1">
        <v>25</v>
      </c>
      <c r="B37" s="2">
        <v>46172</v>
      </c>
      <c r="C37" s="1" t="s">
        <v>574</v>
      </c>
      <c r="D37" s="1" t="s">
        <v>575</v>
      </c>
      <c r="E37" s="1">
        <v>520014</v>
      </c>
      <c r="F37" s="1" t="s">
        <v>227</v>
      </c>
      <c r="G37" s="1">
        <f>2*19500+16000</f>
        <v>55000</v>
      </c>
      <c r="J37" s="1">
        <f>365.21+220.89+365.21+1070+1100+600+5130+995+250+3500*3</f>
        <v>20596.309999999998</v>
      </c>
      <c r="K37" s="1">
        <f>Table11819202327[[#This Row],[النولون]]+Table11819202327[[#This Row],[الايصالات]]-Table11819202327[[#This Row],[خصم أ ت ص]]+Table11819202327[[#This Row],[قيمة مضافة]]</f>
        <v>75596.31</v>
      </c>
      <c r="M37" s="1">
        <f>M36+Table11819202327[[#This Row],[اجمالي الفاتوره]]-Table11819202327[[#This Row],[الدفعات]]</f>
        <v>181355.74</v>
      </c>
    </row>
    <row r="38" spans="1:14" ht="26.25" customHeight="1" x14ac:dyDescent="0.3">
      <c r="A38" s="1">
        <v>26</v>
      </c>
      <c r="B38" s="2">
        <v>46172</v>
      </c>
      <c r="C38" s="1" t="s">
        <v>576</v>
      </c>
      <c r="D38" s="1" t="s">
        <v>118</v>
      </c>
      <c r="E38" s="1">
        <v>270214165</v>
      </c>
      <c r="F38" s="1" t="s">
        <v>121</v>
      </c>
      <c r="G38" s="1">
        <v>14300</v>
      </c>
      <c r="J38" s="1">
        <f>2000+850+1130+45.15+418.61+130+39.9+500+4615</f>
        <v>9728.66</v>
      </c>
      <c r="K38" s="1">
        <f>Table11819202327[[#This Row],[النولون]]+Table11819202327[[#This Row],[الايصالات]]-Table11819202327[[#This Row],[خصم أ ت ص]]+Table11819202327[[#This Row],[قيمة مضافة]]</f>
        <v>24028.66</v>
      </c>
      <c r="M38" s="1">
        <f>M37+Table11819202327[[#This Row],[اجمالي الفاتوره]]-Table11819202327[[#This Row],[الدفعات]]</f>
        <v>205384.4</v>
      </c>
    </row>
    <row r="39" spans="1:14" ht="26.25" customHeight="1" x14ac:dyDescent="0.3">
      <c r="A39" s="1">
        <v>27</v>
      </c>
      <c r="B39" s="2">
        <v>46172</v>
      </c>
      <c r="C39" s="1" t="s">
        <v>321</v>
      </c>
      <c r="D39" s="1" t="s">
        <v>493</v>
      </c>
      <c r="E39" s="1">
        <v>221940</v>
      </c>
      <c r="F39" s="1" t="s">
        <v>181</v>
      </c>
      <c r="G39" s="1">
        <f>8000+15000+16500+15800</f>
        <v>55300</v>
      </c>
      <c r="J39" s="1">
        <f>120+1105+1105+30+1100+1100+1100+105.79+105.79+985.95+549.29+747.76+105.79+747.76+710.33+1949.48+10000+5000+5000</f>
        <v>31667.940000000002</v>
      </c>
      <c r="K39" s="1">
        <f>Table11819202327[[#This Row],[النولون]]+Table11819202327[[#This Row],[الايصالات]]-Table11819202327[[#This Row],[خصم أ ت ص]]+Table11819202327[[#This Row],[قيمة مضافة]]</f>
        <v>86967.94</v>
      </c>
      <c r="M39" s="1">
        <f>M38+Table11819202327[[#This Row],[اجمالي الفاتوره]]-Table11819202327[[#This Row],[الدفعات]]</f>
        <v>292352.33999999997</v>
      </c>
    </row>
    <row r="40" spans="1:14" ht="26.25" customHeight="1" x14ac:dyDescent="0.3">
      <c r="A40" s="72"/>
      <c r="B40" s="73">
        <v>46177</v>
      </c>
      <c r="C40" s="72"/>
      <c r="D40" s="72"/>
      <c r="E40" s="72"/>
      <c r="F40" s="72"/>
      <c r="G40" s="72"/>
      <c r="H40" s="72"/>
      <c r="I40" s="72"/>
      <c r="J40" s="72"/>
      <c r="K40" s="72">
        <f>Table11819202327[[#This Row],[النولون]]+Table11819202327[[#This Row],[الايصالات]]-Table11819202327[[#This Row],[خصم أ ت ص]]+Table11819202327[[#This Row],[قيمة مضافة]]</f>
        <v>0</v>
      </c>
      <c r="L40" s="72">
        <v>100000</v>
      </c>
      <c r="M40" s="72">
        <f>M39+Table11819202327[[#This Row],[اجمالي الفاتوره]]-Table11819202327[[#This Row],[الدفعات]]</f>
        <v>192352.33999999997</v>
      </c>
    </row>
    <row r="41" spans="1:14" ht="26.25" customHeight="1" x14ac:dyDescent="0.3">
      <c r="A41" s="72"/>
      <c r="B41" s="73">
        <v>46179</v>
      </c>
      <c r="C41" s="72"/>
      <c r="D41" s="72"/>
      <c r="E41" s="72"/>
      <c r="F41" s="72"/>
      <c r="G41" s="72"/>
      <c r="H41" s="72"/>
      <c r="I41" s="72"/>
      <c r="J41" s="72"/>
      <c r="K41" s="72">
        <f>Table11819202327[[#This Row],[النولون]]+Table11819202327[[#This Row],[الايصالات]]-Table11819202327[[#This Row],[خصم أ ت ص]]+Table11819202327[[#This Row],[قيمة مضافة]]</f>
        <v>0</v>
      </c>
      <c r="L41" s="72">
        <v>100000</v>
      </c>
      <c r="M41" s="72">
        <f>M40+Table11819202327[[#This Row],[اجمالي الفاتوره]]-Table11819202327[[#This Row],[الدفعات]]</f>
        <v>92352.339999999967</v>
      </c>
    </row>
    <row r="42" spans="1:14" ht="26.25" customHeight="1" x14ac:dyDescent="0.3">
      <c r="A42" s="72"/>
      <c r="B42" s="73">
        <v>46182</v>
      </c>
      <c r="C42" s="72"/>
      <c r="D42" s="72"/>
      <c r="E42" s="72"/>
      <c r="F42" s="72"/>
      <c r="G42" s="72"/>
      <c r="H42" s="72"/>
      <c r="I42" s="72"/>
      <c r="J42" s="72"/>
      <c r="K42" s="72">
        <f>Table11819202327[[#This Row],[النولون]]+Table11819202327[[#This Row],[الايصالات]]-Table11819202327[[#This Row],[خصم أ ت ص]]+Table11819202327[[#This Row],[قيمة مضافة]]</f>
        <v>0</v>
      </c>
      <c r="L42" s="72">
        <v>50000</v>
      </c>
      <c r="M42" s="72">
        <f>M41+Table11819202327[[#This Row],[اجمالي الفاتوره]]-Table11819202327[[#This Row],[الدفعات]]</f>
        <v>42352.339999999967</v>
      </c>
    </row>
    <row r="43" spans="1:14" ht="26.25" customHeight="1" x14ac:dyDescent="0.3">
      <c r="A43" s="1">
        <v>28</v>
      </c>
      <c r="B43" s="2">
        <v>46182</v>
      </c>
      <c r="C43" s="1" t="s">
        <v>495</v>
      </c>
      <c r="D43" s="1" t="s">
        <v>496</v>
      </c>
      <c r="E43" s="1">
        <v>0</v>
      </c>
      <c r="F43" s="1" t="s">
        <v>204</v>
      </c>
      <c r="G43" s="1">
        <f>7250*10</f>
        <v>72500</v>
      </c>
      <c r="J43" s="1">
        <f>800+10*7557</f>
        <v>76370</v>
      </c>
      <c r="K43" s="1">
        <f>Table11819202327[[#This Row],[النولون]]+Table11819202327[[#This Row],[الايصالات]]-Table11819202327[[#This Row],[خصم أ ت ص]]+Table11819202327[[#This Row],[قيمة مضافة]]</f>
        <v>148870</v>
      </c>
      <c r="M43" s="1">
        <f>M42+Table11819202327[[#This Row],[اجمالي الفاتوره]]-Table11819202327[[#This Row],[الدفعات]]</f>
        <v>191222.33999999997</v>
      </c>
    </row>
    <row r="44" spans="1:14" ht="26.25" customHeight="1" x14ac:dyDescent="0.3">
      <c r="A44" s="96"/>
      <c r="B44" s="98">
        <v>46191</v>
      </c>
      <c r="C44" s="98"/>
      <c r="D44" s="96"/>
      <c r="E44" s="96"/>
      <c r="F44" s="96"/>
      <c r="G44" s="96"/>
      <c r="H44" s="96"/>
      <c r="I44" s="96"/>
      <c r="J44" s="96"/>
      <c r="K44" s="96">
        <f>Table11819202327[[#This Row],[النولون]]+Table11819202327[[#This Row],[الايصالات]]-Table11819202327[[#This Row],[خصم أ ت ص]]+Table11819202327[[#This Row],[قيمة مضافة]]</f>
        <v>0</v>
      </c>
      <c r="L44" s="96">
        <v>100000</v>
      </c>
      <c r="M44" s="72">
        <f>M43+Table11819202327[[#This Row],[اجمالي الفاتوره]]-Table11819202327[[#This Row],[الدفعات]]</f>
        <v>91222.339999999967</v>
      </c>
      <c r="N44" s="95"/>
    </row>
    <row r="45" spans="1:14" ht="26.25" customHeight="1" x14ac:dyDescent="0.3">
      <c r="A45" s="1">
        <v>29</v>
      </c>
      <c r="B45" s="2">
        <v>46194</v>
      </c>
      <c r="C45" s="1" t="s">
        <v>546</v>
      </c>
      <c r="D45" s="1" t="s">
        <v>233</v>
      </c>
      <c r="E45" s="1">
        <v>237815</v>
      </c>
      <c r="F45" s="1" t="s">
        <v>158</v>
      </c>
      <c r="G45" s="1">
        <f>16500*3</f>
        <v>49500</v>
      </c>
      <c r="J45" s="1">
        <f>850+810+1100+1130+1105+30+336.51+399.98+333.68+3117.9+1407.9+2547.9</f>
        <v>13168.869999999999</v>
      </c>
      <c r="K45" s="1">
        <f>Table11819202327[[#This Row],[النولون]]+Table11819202327[[#This Row],[الايصالات]]-Table11819202327[[#This Row],[خصم أ ت ص]]+Table11819202327[[#This Row],[قيمة مضافة]]</f>
        <v>62668.869999999995</v>
      </c>
      <c r="M45" s="1">
        <f>M44+Table11819202327[[#This Row],[اجمالي الفاتوره]]-Table11819202327[[#This Row],[الدفعات]]</f>
        <v>153891.20999999996</v>
      </c>
    </row>
    <row r="46" spans="1:14" ht="26.25" customHeight="1" x14ac:dyDescent="0.3">
      <c r="A46" s="1">
        <v>30</v>
      </c>
      <c r="B46" s="2">
        <v>46194</v>
      </c>
      <c r="C46" s="1" t="s">
        <v>546</v>
      </c>
      <c r="D46" s="1" t="s">
        <v>233</v>
      </c>
      <c r="E46" s="1">
        <v>251567</v>
      </c>
      <c r="F46" s="1" t="s">
        <v>121</v>
      </c>
      <c r="G46" s="1">
        <v>16500</v>
      </c>
      <c r="J46" s="1">
        <f>810+1100+350.96+1350</f>
        <v>3610.96</v>
      </c>
      <c r="K46" s="1">
        <f>Table11819202327[[#This Row],[النولون]]+Table11819202327[[#This Row],[الايصالات]]-Table11819202327[[#This Row],[خصم أ ت ص]]+Table11819202327[[#This Row],[قيمة مضافة]]</f>
        <v>20110.96</v>
      </c>
      <c r="M46" s="1">
        <f>M45+Table11819202327[[#This Row],[اجمالي الفاتوره]]-Table11819202327[[#This Row],[الدفعات]]</f>
        <v>174002.16999999995</v>
      </c>
    </row>
    <row r="47" spans="1:14" ht="26.25" customHeight="1" x14ac:dyDescent="0.3">
      <c r="A47" s="1">
        <v>31</v>
      </c>
      <c r="B47" s="2">
        <v>46194</v>
      </c>
      <c r="C47" s="1" t="s">
        <v>546</v>
      </c>
      <c r="D47" s="1" t="s">
        <v>233</v>
      </c>
      <c r="E47" s="1">
        <v>256560</v>
      </c>
      <c r="F47" s="1" t="s">
        <v>121</v>
      </c>
      <c r="G47" s="1">
        <v>16500</v>
      </c>
      <c r="J47" s="1">
        <f>810+1105+30+663.08+1282.5</f>
        <v>3890.58</v>
      </c>
      <c r="K47" s="1">
        <f>Table11819202327[[#This Row],[النولون]]+Table11819202327[[#This Row],[الايصالات]]-Table11819202327[[#This Row],[خصم أ ت ص]]+Table11819202327[[#This Row],[قيمة مضافة]]</f>
        <v>20390.580000000002</v>
      </c>
      <c r="M47" s="1">
        <f>M46+Table11819202327[[#This Row],[اجمالي الفاتوره]]-Table11819202327[[#This Row],[الدفعات]]</f>
        <v>194392.74999999994</v>
      </c>
    </row>
    <row r="48" spans="1:14" ht="26.25" customHeight="1" x14ac:dyDescent="0.3">
      <c r="A48" s="1">
        <v>32</v>
      </c>
      <c r="B48" s="2">
        <v>46194</v>
      </c>
      <c r="C48" s="1" t="s">
        <v>546</v>
      </c>
      <c r="D48" s="1" t="s">
        <v>233</v>
      </c>
      <c r="E48" s="1">
        <v>251664</v>
      </c>
      <c r="F48" s="1" t="s">
        <v>92</v>
      </c>
      <c r="G48" s="1">
        <f>16500*2</f>
        <v>33000</v>
      </c>
      <c r="J48" s="1">
        <f>810+628.73+550.51+1105*2+1282.5*2</f>
        <v>6764.24</v>
      </c>
      <c r="K48" s="1">
        <f>Table11819202327[[#This Row],[النولون]]+Table11819202327[[#This Row],[الايصالات]]-Table11819202327[[#This Row],[خصم أ ت ص]]+Table11819202327[[#This Row],[قيمة مضافة]]</f>
        <v>39764.239999999998</v>
      </c>
      <c r="M48" s="1">
        <f>M47+Table11819202327[[#This Row],[اجمالي الفاتوره]]-Table11819202327[[#This Row],[الدفعات]]</f>
        <v>234156.98999999993</v>
      </c>
    </row>
    <row r="49" spans="1:13" ht="26.25" customHeight="1" x14ac:dyDescent="0.3">
      <c r="A49" s="72"/>
      <c r="B49" s="73">
        <v>46197</v>
      </c>
      <c r="C49" s="72"/>
      <c r="D49" s="72"/>
      <c r="E49" s="72"/>
      <c r="F49" s="72"/>
      <c r="G49" s="72"/>
      <c r="H49" s="72"/>
      <c r="I49" s="72"/>
      <c r="J49" s="72"/>
      <c r="K49" s="72">
        <f>Table11819202327[[#This Row],[النولون]]+Table11819202327[[#This Row],[الايصالات]]-Table11819202327[[#This Row],[خصم أ ت ص]]+Table11819202327[[#This Row],[قيمة مضافة]]</f>
        <v>0</v>
      </c>
      <c r="L49" s="72">
        <v>100000</v>
      </c>
      <c r="M49" s="72">
        <f>M48+Table11819202327[[#This Row],[اجمالي الفاتوره]]-Table11819202327[[#This Row],[الدفعات]]</f>
        <v>134156.98999999993</v>
      </c>
    </row>
    <row r="50" spans="1:13" ht="26.25" customHeight="1" x14ac:dyDescent="0.3">
      <c r="A50" s="72"/>
      <c r="B50" s="73">
        <v>46207</v>
      </c>
      <c r="C50" s="72"/>
      <c r="D50" s="72"/>
      <c r="E50" s="72"/>
      <c r="F50" s="72"/>
      <c r="G50" s="72"/>
      <c r="H50" s="72"/>
      <c r="I50" s="72"/>
      <c r="J50" s="72"/>
      <c r="K50" s="72">
        <f>Table11819202327[[#This Row],[النولون]]+Table11819202327[[#This Row],[الايصالات]]-Table11819202327[[#This Row],[خصم أ ت ص]]+Table11819202327[[#This Row],[قيمة مضافة]]</f>
        <v>0</v>
      </c>
      <c r="L50" s="72">
        <v>100000</v>
      </c>
      <c r="M50" s="72">
        <f>M49+Table11819202327[[#This Row],[اجمالي الفاتوره]]-Table11819202327[[#This Row],[الدفعات]]</f>
        <v>34156.989999999932</v>
      </c>
    </row>
    <row r="51" spans="1:13" ht="26.25" customHeight="1" x14ac:dyDescent="0.3">
      <c r="B51" s="2"/>
      <c r="K51" s="1">
        <f>Table11819202327[[#This Row],[النولون]]+Table11819202327[[#This Row],[الايصالات]]-Table11819202327[[#This Row],[خصم أ ت ص]]+Table11819202327[[#This Row],[قيمة مضافة]]</f>
        <v>0</v>
      </c>
      <c r="M51" s="1">
        <f>M50+Table11819202327[[#This Row],[اجمالي الفاتوره]]-Table11819202327[[#This Row],[الدفعات]]</f>
        <v>34156.989999999932</v>
      </c>
    </row>
    <row r="52" spans="1:13" ht="26.25" customHeight="1" x14ac:dyDescent="0.3">
      <c r="B52" s="2"/>
      <c r="K52" s="1">
        <f>Table11819202327[[#This Row],[النولون]]+Table11819202327[[#This Row],[الايصالات]]-Table11819202327[[#This Row],[خصم أ ت ص]]+Table11819202327[[#This Row],[قيمة مضافة]]</f>
        <v>0</v>
      </c>
      <c r="M52" s="1">
        <f>M51+Table11819202327[[#This Row],[اجمالي الفاتوره]]-Table11819202327[[#This Row],[الدفعات]]</f>
        <v>34156.989999999932</v>
      </c>
    </row>
    <row r="53" spans="1:13" ht="26.25" customHeight="1" x14ac:dyDescent="0.3">
      <c r="B53" s="2"/>
      <c r="K53" s="1">
        <f>Table11819202327[[#This Row],[النولون]]+Table11819202327[[#This Row],[الايصالات]]-Table11819202327[[#This Row],[خصم أ ت ص]]+Table11819202327[[#This Row],[قيمة مضافة]]</f>
        <v>0</v>
      </c>
      <c r="M53" s="1">
        <f>M52+Table11819202327[[#This Row],[اجمالي الفاتوره]]-Table11819202327[[#This Row],[الدفعات]]</f>
        <v>34156.989999999932</v>
      </c>
    </row>
    <row r="54" spans="1:13" ht="26.25" customHeight="1" x14ac:dyDescent="0.3">
      <c r="B54" s="2"/>
      <c r="K54" s="1">
        <f>Table11819202327[[#This Row],[النولون]]+Table11819202327[[#This Row],[الايصالات]]-Table11819202327[[#This Row],[خصم أ ت ص]]+Table11819202327[[#This Row],[قيمة مضافة]]</f>
        <v>0</v>
      </c>
      <c r="M54" s="1">
        <f>M53+Table11819202327[[#This Row],[اجمالي الفاتوره]]-Table11819202327[[#This Row],[الدفعات]]</f>
        <v>34156.989999999932</v>
      </c>
    </row>
    <row r="55" spans="1:13" ht="26.25" customHeight="1" x14ac:dyDescent="0.3">
      <c r="B55" s="2"/>
      <c r="K55" s="1">
        <f>Table11819202327[[#This Row],[النولون]]+Table11819202327[[#This Row],[الايصالات]]-Table11819202327[[#This Row],[خصم أ ت ص]]+Table11819202327[[#This Row],[قيمة مضافة]]</f>
        <v>0</v>
      </c>
      <c r="M55" s="1">
        <f>M54+Table11819202327[[#This Row],[اجمالي الفاتوره]]-Table11819202327[[#This Row],[الدفعات]]</f>
        <v>34156.989999999932</v>
      </c>
    </row>
    <row r="56" spans="1:13" ht="26.25" customHeight="1" x14ac:dyDescent="0.3">
      <c r="B56" s="2"/>
      <c r="K56" s="1">
        <f>Table11819202327[[#This Row],[النولون]]+Table11819202327[[#This Row],[الايصالات]]-Table11819202327[[#This Row],[خصم أ ت ص]]+Table11819202327[[#This Row],[قيمة مضافة]]</f>
        <v>0</v>
      </c>
      <c r="M56" s="1">
        <f>M55+Table11819202327[[#This Row],[اجمالي الفاتوره]]-Table11819202327[[#This Row],[الدفعات]]</f>
        <v>34156.989999999932</v>
      </c>
    </row>
    <row r="57" spans="1:13" ht="26.25" customHeight="1" x14ac:dyDescent="0.3">
      <c r="B57" s="2"/>
      <c r="K57" s="1">
        <f>Table11819202327[[#This Row],[النولون]]+Table11819202327[[#This Row],[الايصالات]]-Table11819202327[[#This Row],[خصم أ ت ص]]+Table11819202327[[#This Row],[قيمة مضافة]]</f>
        <v>0</v>
      </c>
      <c r="M57" s="1">
        <f>M56+Table11819202327[[#This Row],[اجمالي الفاتوره]]-Table11819202327[[#This Row],[الدفعات]]</f>
        <v>34156.989999999932</v>
      </c>
    </row>
    <row r="58" spans="1:13" ht="26.25" customHeight="1" x14ac:dyDescent="0.3">
      <c r="B58" s="2"/>
      <c r="K58" s="1">
        <f>Table11819202327[[#This Row],[النولون]]+Table11819202327[[#This Row],[الايصالات]]-Table11819202327[[#This Row],[خصم أ ت ص]]+Table11819202327[[#This Row],[قيمة مضافة]]</f>
        <v>0</v>
      </c>
      <c r="M58" s="1">
        <f>M57+Table11819202327[[#This Row],[اجمالي الفاتوره]]-Table11819202327[[#This Row],[الدفعات]]</f>
        <v>34156.989999999932</v>
      </c>
    </row>
    <row r="59" spans="1:13" ht="26.25" customHeight="1" x14ac:dyDescent="0.3">
      <c r="B59" s="2"/>
      <c r="K59" s="1">
        <f>Table11819202327[[#This Row],[النولون]]+Table11819202327[[#This Row],[الايصالات]]-Table11819202327[[#This Row],[خصم أ ت ص]]+Table11819202327[[#This Row],[قيمة مضافة]]</f>
        <v>0</v>
      </c>
      <c r="M59" s="1">
        <f>M58+Table11819202327[[#This Row],[اجمالي الفاتوره]]-Table11819202327[[#This Row],[الدفعات]]</f>
        <v>34156.989999999932</v>
      </c>
    </row>
    <row r="60" spans="1:13" ht="26.25" customHeight="1" x14ac:dyDescent="0.3">
      <c r="B60" s="2"/>
      <c r="K60" s="1">
        <f>Table11819202327[[#This Row],[النولون]]+Table11819202327[[#This Row],[الايصالات]]-Table11819202327[[#This Row],[خصم أ ت ص]]+Table11819202327[[#This Row],[قيمة مضافة]]</f>
        <v>0</v>
      </c>
      <c r="M60" s="1">
        <f>M59+Table11819202327[[#This Row],[اجمالي الفاتوره]]-Table11819202327[[#This Row],[الدفعات]]</f>
        <v>34156.989999999932</v>
      </c>
    </row>
    <row r="61" spans="1:13" ht="26.25" customHeight="1" x14ac:dyDescent="0.3">
      <c r="B61" s="2"/>
      <c r="K61" s="1">
        <f>Table11819202327[[#This Row],[النولون]]+Table11819202327[[#This Row],[الايصالات]]-Table11819202327[[#This Row],[خصم أ ت ص]]+Table11819202327[[#This Row],[قيمة مضافة]]</f>
        <v>0</v>
      </c>
      <c r="M61" s="1">
        <f>M60+Table11819202327[[#This Row],[اجمالي الفاتوره]]-Table11819202327[[#This Row],[الدفعات]]</f>
        <v>34156.989999999932</v>
      </c>
    </row>
    <row r="62" spans="1:13" ht="26.25" customHeight="1" x14ac:dyDescent="0.3">
      <c r="B62" s="2"/>
      <c r="K62" s="1">
        <f>Table11819202327[[#This Row],[النولون]]+Table11819202327[[#This Row],[الايصالات]]-Table11819202327[[#This Row],[خصم أ ت ص]]+Table11819202327[[#This Row],[قيمة مضافة]]</f>
        <v>0</v>
      </c>
      <c r="M62" s="1">
        <f>M61+Table11819202327[[#This Row],[اجمالي الفاتوره]]-Table11819202327[[#This Row],[الدفعات]]</f>
        <v>34156.989999999932</v>
      </c>
    </row>
    <row r="63" spans="1:13" ht="26.25" customHeight="1" x14ac:dyDescent="0.3">
      <c r="B63" s="2"/>
      <c r="K63" s="1">
        <f>Table11819202327[[#This Row],[النولون]]+Table11819202327[[#This Row],[الايصالات]]-Table11819202327[[#This Row],[خصم أ ت ص]]+Table11819202327[[#This Row],[قيمة مضافة]]</f>
        <v>0</v>
      </c>
      <c r="M63" s="1">
        <f>M62+Table11819202327[[#This Row],[اجمالي الفاتوره]]-Table11819202327[[#This Row],[الدفعات]]</f>
        <v>34156.989999999932</v>
      </c>
    </row>
    <row r="64" spans="1:13" ht="26.25" customHeight="1" x14ac:dyDescent="0.3">
      <c r="B64" s="2"/>
      <c r="K64" s="1">
        <f>Table11819202327[[#This Row],[النولون]]+Table11819202327[[#This Row],[الايصالات]]-Table11819202327[[#This Row],[خصم أ ت ص]]+Table11819202327[[#This Row],[قيمة مضافة]]</f>
        <v>0</v>
      </c>
      <c r="M64" s="1">
        <f>M63+Table11819202327[[#This Row],[اجمالي الفاتوره]]-Table11819202327[[#This Row],[الدفعات]]</f>
        <v>34156.989999999932</v>
      </c>
    </row>
    <row r="65" spans="2:13" ht="26.25" customHeight="1" x14ac:dyDescent="0.3">
      <c r="B65" s="2"/>
      <c r="K65" s="1">
        <f>Table11819202327[[#This Row],[النولون]]+Table11819202327[[#This Row],[الايصالات]]-Table11819202327[[#This Row],[خصم أ ت ص]]+Table11819202327[[#This Row],[قيمة مضافة]]</f>
        <v>0</v>
      </c>
      <c r="M65" s="1">
        <f>M64+Table11819202327[[#This Row],[اجمالي الفاتوره]]-Table11819202327[[#This Row],[الدفعات]]</f>
        <v>34156.989999999932</v>
      </c>
    </row>
    <row r="66" spans="2:13" ht="26.25" customHeight="1" x14ac:dyDescent="0.3">
      <c r="B66" s="2"/>
      <c r="K66" s="1">
        <f>Table11819202327[[#This Row],[النولون]]+Table11819202327[[#This Row],[الايصالات]]-Table11819202327[[#This Row],[خصم أ ت ص]]+Table11819202327[[#This Row],[قيمة مضافة]]</f>
        <v>0</v>
      </c>
      <c r="M66" s="1">
        <f>M65+Table11819202327[[#This Row],[اجمالي الفاتوره]]-Table11819202327[[#This Row],[الدفعات]]</f>
        <v>34156.989999999932</v>
      </c>
    </row>
    <row r="67" spans="2:13" ht="26.25" customHeight="1" x14ac:dyDescent="0.3">
      <c r="B67" s="2"/>
      <c r="K67" s="1">
        <f>Table11819202327[[#This Row],[النولون]]+Table11819202327[[#This Row],[الايصالات]]-Table11819202327[[#This Row],[خصم أ ت ص]]+Table11819202327[[#This Row],[قيمة مضافة]]</f>
        <v>0</v>
      </c>
      <c r="M67" s="1">
        <f>M66+Table11819202327[[#This Row],[اجمالي الفاتوره]]-Table11819202327[[#This Row],[الدفعات]]</f>
        <v>34156.989999999932</v>
      </c>
    </row>
    <row r="68" spans="2:13" ht="26.25" customHeight="1" x14ac:dyDescent="0.3">
      <c r="B68" s="2"/>
      <c r="K68" s="1">
        <f>Table11819202327[[#This Row],[النولون]]+Table11819202327[[#This Row],[الايصالات]]-Table11819202327[[#This Row],[خصم أ ت ص]]+Table11819202327[[#This Row],[قيمة مضافة]]</f>
        <v>0</v>
      </c>
      <c r="M68" s="1">
        <f>M67+Table11819202327[[#This Row],[اجمالي الفاتوره]]-Table11819202327[[#This Row],[الدفعات]]</f>
        <v>34156.989999999932</v>
      </c>
    </row>
    <row r="69" spans="2:13" ht="26.25" customHeight="1" x14ac:dyDescent="0.3">
      <c r="B69" s="2"/>
      <c r="K69" s="1">
        <f>Table11819202327[[#This Row],[النولون]]+Table11819202327[[#This Row],[الايصالات]]-Table11819202327[[#This Row],[خصم أ ت ص]]+Table11819202327[[#This Row],[قيمة مضافة]]</f>
        <v>0</v>
      </c>
      <c r="M69" s="1">
        <f>M68+Table11819202327[[#This Row],[اجمالي الفاتوره]]-Table11819202327[[#This Row],[الدفعات]]</f>
        <v>34156.989999999932</v>
      </c>
    </row>
    <row r="70" spans="2:13" ht="26.25" customHeight="1" x14ac:dyDescent="0.3">
      <c r="B70" s="2"/>
      <c r="K70" s="1">
        <f>Table11819202327[[#This Row],[النولون]]+Table11819202327[[#This Row],[الايصالات]]-Table11819202327[[#This Row],[خصم أ ت ص]]+Table11819202327[[#This Row],[قيمة مضافة]]</f>
        <v>0</v>
      </c>
      <c r="M70" s="1">
        <f>M69+Table11819202327[[#This Row],[اجمالي الفاتوره]]-Table11819202327[[#This Row],[الدفعات]]</f>
        <v>34156.989999999932</v>
      </c>
    </row>
    <row r="71" spans="2:13" ht="26.25" customHeight="1" x14ac:dyDescent="0.3">
      <c r="B71" s="2"/>
      <c r="K71" s="1">
        <f>Table11819202327[[#This Row],[النولون]]+Table11819202327[[#This Row],[الايصالات]]-Table11819202327[[#This Row],[خصم أ ت ص]]+Table11819202327[[#This Row],[قيمة مضافة]]</f>
        <v>0</v>
      </c>
      <c r="M71" s="1">
        <f>M70+Table11819202327[[#This Row],[اجمالي الفاتوره]]-Table11819202327[[#This Row],[الدفعات]]</f>
        <v>34156.989999999932</v>
      </c>
    </row>
    <row r="72" spans="2:13" ht="26.25" customHeight="1" x14ac:dyDescent="0.3">
      <c r="B72" s="2"/>
      <c r="K72" s="1">
        <f>Table11819202327[[#This Row],[النولون]]+Table11819202327[[#This Row],[الايصالات]]-Table11819202327[[#This Row],[خصم أ ت ص]]+Table11819202327[[#This Row],[قيمة مضافة]]</f>
        <v>0</v>
      </c>
      <c r="M72" s="1">
        <f>M71+Table11819202327[[#This Row],[اجمالي الفاتوره]]-Table11819202327[[#This Row],[الدفعات]]</f>
        <v>34156.989999999932</v>
      </c>
    </row>
    <row r="73" spans="2:13" ht="26.25" customHeight="1" x14ac:dyDescent="0.3">
      <c r="B73" s="2"/>
      <c r="K73" s="1">
        <f>Table11819202327[[#This Row],[النولون]]+Table11819202327[[#This Row],[الايصالات]]-Table11819202327[[#This Row],[خصم أ ت ص]]+Table11819202327[[#This Row],[قيمة مضافة]]</f>
        <v>0</v>
      </c>
      <c r="M73" s="1">
        <f>M72+Table11819202327[[#This Row],[اجمالي الفاتوره]]-Table11819202327[[#This Row],[الدفعات]]</f>
        <v>34156.989999999932</v>
      </c>
    </row>
    <row r="74" spans="2:13" ht="26.25" customHeight="1" x14ac:dyDescent="0.3">
      <c r="B74" s="2"/>
      <c r="K74" s="1">
        <f>Table11819202327[[#This Row],[النولون]]+Table11819202327[[#This Row],[الايصالات]]-Table11819202327[[#This Row],[خصم أ ت ص]]+Table11819202327[[#This Row],[قيمة مضافة]]</f>
        <v>0</v>
      </c>
      <c r="M74" s="1">
        <f>M73+Table11819202327[[#This Row],[اجمالي الفاتوره]]-Table11819202327[[#This Row],[الدفعات]]</f>
        <v>34156.989999999932</v>
      </c>
    </row>
    <row r="75" spans="2:13" ht="26.25" customHeight="1" x14ac:dyDescent="0.3">
      <c r="B75" s="2"/>
      <c r="K75" s="1">
        <f>Table11819202327[[#This Row],[النولون]]+Table11819202327[[#This Row],[الايصالات]]-Table11819202327[[#This Row],[خصم أ ت ص]]+Table11819202327[[#This Row],[قيمة مضافة]]</f>
        <v>0</v>
      </c>
      <c r="M75" s="1">
        <f>M74+Table11819202327[[#This Row],[اجمالي الفاتوره]]-Table11819202327[[#This Row],[الدفعات]]</f>
        <v>34156.989999999932</v>
      </c>
    </row>
    <row r="76" spans="2:13" ht="26.25" customHeight="1" x14ac:dyDescent="0.3">
      <c r="B76" s="2"/>
      <c r="K76" s="1">
        <f>Table11819202327[[#This Row],[النولون]]+Table11819202327[[#This Row],[الايصالات]]-Table11819202327[[#This Row],[خصم أ ت ص]]+Table11819202327[[#This Row],[قيمة مضافة]]</f>
        <v>0</v>
      </c>
      <c r="M76" s="1">
        <f>M75+Table11819202327[[#This Row],[اجمالي الفاتوره]]-Table11819202327[[#This Row],[الدفعات]]</f>
        <v>34156.989999999932</v>
      </c>
    </row>
    <row r="77" spans="2:13" ht="26.25" customHeight="1" x14ac:dyDescent="0.3">
      <c r="B77" s="2"/>
      <c r="K77" s="1">
        <f>Table11819202327[[#This Row],[النولون]]+Table11819202327[[#This Row],[الايصالات]]-Table11819202327[[#This Row],[خصم أ ت ص]]+Table11819202327[[#This Row],[قيمة مضافة]]</f>
        <v>0</v>
      </c>
      <c r="M77" s="1">
        <f>M76+Table11819202327[[#This Row],[اجمالي الفاتوره]]-Table11819202327[[#This Row],[الدفعات]]</f>
        <v>34156.989999999932</v>
      </c>
    </row>
    <row r="78" spans="2:13" ht="26.25" customHeight="1" x14ac:dyDescent="0.3">
      <c r="B78" s="2"/>
      <c r="K78" s="1">
        <f>Table11819202327[[#This Row],[النولون]]+Table11819202327[[#This Row],[الايصالات]]-Table11819202327[[#This Row],[خصم أ ت ص]]+Table11819202327[[#This Row],[قيمة مضافة]]</f>
        <v>0</v>
      </c>
      <c r="M78" s="1">
        <f>M77+Table11819202327[[#This Row],[اجمالي الفاتوره]]-Table11819202327[[#This Row],[الدفعات]]</f>
        <v>34156.989999999932</v>
      </c>
    </row>
    <row r="79" spans="2:13" ht="26.25" customHeight="1" x14ac:dyDescent="0.3">
      <c r="B79" s="2"/>
      <c r="K79" s="1">
        <f>Table11819202327[[#This Row],[النولون]]+Table11819202327[[#This Row],[الايصالات]]-Table11819202327[[#This Row],[خصم أ ت ص]]+Table11819202327[[#This Row],[قيمة مضافة]]</f>
        <v>0</v>
      </c>
      <c r="M79" s="1">
        <f>M78+Table11819202327[[#This Row],[اجمالي الفاتوره]]-Table11819202327[[#This Row],[الدفعات]]</f>
        <v>34156.989999999932</v>
      </c>
    </row>
    <row r="80" spans="2:13" ht="26.25" customHeight="1" x14ac:dyDescent="0.3">
      <c r="B80" s="2"/>
      <c r="K80" s="1">
        <f>Table11819202327[[#This Row],[النولون]]+Table11819202327[[#This Row],[الايصالات]]-Table11819202327[[#This Row],[خصم أ ت ص]]+Table11819202327[[#This Row],[قيمة مضافة]]</f>
        <v>0</v>
      </c>
      <c r="M80" s="1">
        <f>M79+Table11819202327[[#This Row],[اجمالي الفاتوره]]-Table11819202327[[#This Row],[الدفعات]]</f>
        <v>34156.989999999932</v>
      </c>
    </row>
    <row r="81" spans="2:13" ht="26.25" customHeight="1" x14ac:dyDescent="0.3">
      <c r="B81" s="2"/>
      <c r="K81" s="1">
        <f>Table11819202327[[#This Row],[النولون]]+Table11819202327[[#This Row],[الايصالات]]-Table11819202327[[#This Row],[خصم أ ت ص]]+Table11819202327[[#This Row],[قيمة مضافة]]</f>
        <v>0</v>
      </c>
      <c r="M81" s="1">
        <f>M80+Table11819202327[[#This Row],[اجمالي الفاتوره]]-Table11819202327[[#This Row],[الدفعات]]</f>
        <v>34156.989999999932</v>
      </c>
    </row>
    <row r="82" spans="2:13" ht="26.25" customHeight="1" x14ac:dyDescent="0.3">
      <c r="B82" s="2"/>
      <c r="K82" s="1">
        <f>Table11819202327[[#This Row],[النولون]]+Table11819202327[[#This Row],[الايصالات]]-Table11819202327[[#This Row],[خصم أ ت ص]]+Table11819202327[[#This Row],[قيمة مضافة]]</f>
        <v>0</v>
      </c>
      <c r="M82" s="1">
        <f>M81+Table11819202327[[#This Row],[اجمالي الفاتوره]]-Table11819202327[[#This Row],[الدفعات]]</f>
        <v>34156.989999999932</v>
      </c>
    </row>
    <row r="83" spans="2:13" ht="26.25" customHeight="1" x14ac:dyDescent="0.3">
      <c r="B83" s="2"/>
      <c r="K83" s="1">
        <f>Table11819202327[[#This Row],[النولون]]+Table11819202327[[#This Row],[الايصالات]]-Table11819202327[[#This Row],[خصم أ ت ص]]+Table11819202327[[#This Row],[قيمة مضافة]]</f>
        <v>0</v>
      </c>
      <c r="M83" s="1">
        <f>M82+Table11819202327[[#This Row],[اجمالي الفاتوره]]-Table11819202327[[#This Row],[الدفعات]]</f>
        <v>34156.989999999932</v>
      </c>
    </row>
    <row r="84" spans="2:13" ht="26.25" customHeight="1" x14ac:dyDescent="0.3">
      <c r="B84" s="2"/>
      <c r="K84" s="1">
        <f>Table11819202327[[#This Row],[النولون]]+Table11819202327[[#This Row],[الايصالات]]-Table11819202327[[#This Row],[خصم أ ت ص]]+Table11819202327[[#This Row],[قيمة مضافة]]</f>
        <v>0</v>
      </c>
      <c r="M84" s="1">
        <f>M83+Table11819202327[[#This Row],[اجمالي الفاتوره]]-Table11819202327[[#This Row],[الدفعات]]</f>
        <v>34156.989999999932</v>
      </c>
    </row>
    <row r="85" spans="2:13" ht="26.25" customHeight="1" x14ac:dyDescent="0.3">
      <c r="B85" s="2"/>
      <c r="K85" s="1">
        <f>Table11819202327[[#This Row],[النولون]]+Table11819202327[[#This Row],[الايصالات]]-Table11819202327[[#This Row],[خصم أ ت ص]]+Table11819202327[[#This Row],[قيمة مضافة]]</f>
        <v>0</v>
      </c>
      <c r="M85" s="1">
        <f>M84+Table11819202327[[#This Row],[اجمالي الفاتوره]]-Table11819202327[[#This Row],[الدفعات]]</f>
        <v>34156.989999999932</v>
      </c>
    </row>
    <row r="86" spans="2:13" ht="26.25" customHeight="1" x14ac:dyDescent="0.3">
      <c r="B86" s="2"/>
      <c r="K86" s="1">
        <f>Table11819202327[[#This Row],[النولون]]+Table11819202327[[#This Row],[الايصالات]]-Table11819202327[[#This Row],[خصم أ ت ص]]+Table11819202327[[#This Row],[قيمة مضافة]]</f>
        <v>0</v>
      </c>
      <c r="M86" s="1">
        <f>M85+Table11819202327[[#This Row],[اجمالي الفاتوره]]-Table11819202327[[#This Row],[الدفعات]]</f>
        <v>34156.989999999932</v>
      </c>
    </row>
    <row r="87" spans="2:13" ht="26.25" customHeight="1" x14ac:dyDescent="0.3">
      <c r="B87" s="2"/>
      <c r="K87" s="1">
        <f>Table11819202327[[#This Row],[النولون]]+Table11819202327[[#This Row],[الايصالات]]-Table11819202327[[#This Row],[خصم أ ت ص]]+Table11819202327[[#This Row],[قيمة مضافة]]</f>
        <v>0</v>
      </c>
      <c r="M87" s="1">
        <f>M86+Table11819202327[[#This Row],[اجمالي الفاتوره]]-Table11819202327[[#This Row],[الدفعات]]</f>
        <v>34156.989999999932</v>
      </c>
    </row>
    <row r="88" spans="2:13" ht="26.25" customHeight="1" x14ac:dyDescent="0.3">
      <c r="B88" s="2"/>
      <c r="K88" s="1">
        <f>Table11819202327[[#This Row],[النولون]]+Table11819202327[[#This Row],[الايصالات]]-Table11819202327[[#This Row],[خصم أ ت ص]]+Table11819202327[[#This Row],[قيمة مضافة]]</f>
        <v>0</v>
      </c>
      <c r="M88" s="1">
        <f>M87+Table11819202327[[#This Row],[اجمالي الفاتوره]]-Table11819202327[[#This Row],[الدفعات]]</f>
        <v>34156.989999999932</v>
      </c>
    </row>
    <row r="89" spans="2:13" ht="26.25" customHeight="1" x14ac:dyDescent="0.3">
      <c r="B89" s="2"/>
      <c r="K89" s="1">
        <f>Table11819202327[[#This Row],[النولون]]+Table11819202327[[#This Row],[الايصالات]]-Table11819202327[[#This Row],[خصم أ ت ص]]+Table11819202327[[#This Row],[قيمة مضافة]]</f>
        <v>0</v>
      </c>
      <c r="M89" s="1">
        <f>M88+Table11819202327[[#This Row],[اجمالي الفاتوره]]-Table11819202327[[#This Row],[الدفعات]]</f>
        <v>34156.989999999932</v>
      </c>
    </row>
    <row r="90" spans="2:13" ht="26.25" customHeight="1" x14ac:dyDescent="0.3">
      <c r="B90" s="2"/>
      <c r="K90" s="1">
        <f>Table11819202327[[#This Row],[النولون]]+Table11819202327[[#This Row],[الايصالات]]-Table11819202327[[#This Row],[خصم أ ت ص]]+Table11819202327[[#This Row],[قيمة مضافة]]</f>
        <v>0</v>
      </c>
      <c r="M90" s="1">
        <f>M89+Table11819202327[[#This Row],[اجمالي الفاتوره]]-Table11819202327[[#This Row],[الدفعات]]</f>
        <v>34156.989999999932</v>
      </c>
    </row>
    <row r="91" spans="2:13" ht="23.25" customHeight="1" x14ac:dyDescent="0.3">
      <c r="B91" s="2"/>
      <c r="K91" s="1">
        <f>Table11819202327[[#This Row],[النولون]]+Table11819202327[[#This Row],[الايصالات]]-Table11819202327[[#This Row],[خصم أ ت ص]]+Table11819202327[[#This Row],[قيمة مضافة]]</f>
        <v>0</v>
      </c>
      <c r="M91" s="1">
        <f>M90+Table11819202327[[#This Row],[اجمالي الفاتوره]]-Table11819202327[[#This Row],[الدفعات]]</f>
        <v>34156.989999999932</v>
      </c>
    </row>
    <row r="92" spans="2:13" ht="26.25" customHeight="1" x14ac:dyDescent="0.3">
      <c r="B92" s="2"/>
      <c r="K92" s="1">
        <f>Table11819202327[[#This Row],[النولون]]+Table11819202327[[#This Row],[الايصالات]]-Table11819202327[[#This Row],[خصم أ ت ص]]+Table11819202327[[#This Row],[قيمة مضافة]]</f>
        <v>0</v>
      </c>
      <c r="M92" s="1">
        <f>M91+Table11819202327[[#This Row],[اجمالي الفاتوره]]-Table11819202327[[#This Row],[الدفعات]]</f>
        <v>34156.989999999932</v>
      </c>
    </row>
    <row r="93" spans="2:13" ht="26.25" customHeight="1" x14ac:dyDescent="0.3">
      <c r="B93" s="2"/>
      <c r="K93" s="1">
        <f>Table11819202327[[#This Row],[النولون]]+Table11819202327[[#This Row],[الايصالات]]-Table11819202327[[#This Row],[خصم أ ت ص]]+Table11819202327[[#This Row],[قيمة مضافة]]</f>
        <v>0</v>
      </c>
      <c r="M93" s="1">
        <f>M92+Table11819202327[[#This Row],[اجمالي الفاتوره]]-Table11819202327[[#This Row],[الدفعات]]</f>
        <v>34156.989999999932</v>
      </c>
    </row>
    <row r="94" spans="2:13" ht="26.25" customHeight="1" x14ac:dyDescent="0.3">
      <c r="B94" s="2"/>
      <c r="K94" s="1">
        <f>Table11819202327[[#This Row],[النولون]]+Table11819202327[[#This Row],[الايصالات]]-Table11819202327[[#This Row],[خصم أ ت ص]]+Table11819202327[[#This Row],[قيمة مضافة]]</f>
        <v>0</v>
      </c>
      <c r="M94" s="1">
        <f>M93+Table11819202327[[#This Row],[اجمالي الفاتوره]]-Table11819202327[[#This Row],[الدفعات]]</f>
        <v>34156.989999999932</v>
      </c>
    </row>
    <row r="95" spans="2:13" ht="26.25" customHeight="1" x14ac:dyDescent="0.3">
      <c r="B95" s="2"/>
      <c r="K95" s="1">
        <f>Table11819202327[[#This Row],[النولون]]+Table11819202327[[#This Row],[الايصالات]]-Table11819202327[[#This Row],[خصم أ ت ص]]+Table11819202327[[#This Row],[قيمة مضافة]]</f>
        <v>0</v>
      </c>
      <c r="M95" s="1">
        <f>M94+Table11819202327[[#This Row],[اجمالي الفاتوره]]-Table11819202327[[#This Row],[الدفعات]]</f>
        <v>34156.989999999932</v>
      </c>
    </row>
    <row r="96" spans="2:13" ht="26.25" customHeight="1" x14ac:dyDescent="0.3">
      <c r="B96" s="2"/>
      <c r="K96" s="1">
        <f>Table11819202327[[#This Row],[النولون]]+Table11819202327[[#This Row],[الايصالات]]-Table11819202327[[#This Row],[خصم أ ت ص]]+Table11819202327[[#This Row],[قيمة مضافة]]</f>
        <v>0</v>
      </c>
      <c r="M96" s="1">
        <f>M95+Table11819202327[[#This Row],[اجمالي الفاتوره]]-Table11819202327[[#This Row],[الدفعات]]</f>
        <v>34156.989999999932</v>
      </c>
    </row>
    <row r="97" spans="2:13" ht="26.25" customHeight="1" x14ac:dyDescent="0.3">
      <c r="B97" s="2"/>
      <c r="K97" s="1">
        <f>Table11819202327[[#This Row],[النولون]]+Table11819202327[[#This Row],[الايصالات]]-Table11819202327[[#This Row],[خصم أ ت ص]]+Table11819202327[[#This Row],[قيمة مضافة]]</f>
        <v>0</v>
      </c>
      <c r="M97" s="1">
        <f>M96+Table11819202327[[#This Row],[اجمالي الفاتوره]]-Table11819202327[[#This Row],[الدفعات]]</f>
        <v>34156.989999999932</v>
      </c>
    </row>
    <row r="98" spans="2:13" ht="24" customHeight="1" x14ac:dyDescent="0.3">
      <c r="B98" s="2"/>
      <c r="K98" s="1">
        <f>Table11819202327[[#This Row],[النولون]]+Table11819202327[[#This Row],[الايصالات]]-Table11819202327[[#This Row],[خصم أ ت ص]]+Table11819202327[[#This Row],[قيمة مضافة]]</f>
        <v>0</v>
      </c>
      <c r="M98" s="1">
        <f>M97+Table11819202327[[#This Row],[اجمالي الفاتوره]]-Table11819202327[[#This Row],[الدفعات]]</f>
        <v>34156.989999999932</v>
      </c>
    </row>
    <row r="99" spans="2:13" ht="26.25" hidden="1" customHeight="1" x14ac:dyDescent="0.3">
      <c r="B99" s="2"/>
      <c r="K99" s="1">
        <f>Table11819202327[[#This Row],[النولون]]+Table11819202327[[#This Row],[الايصالات]]-Table11819202327[[#This Row],[خصم أ ت ص]]+Table11819202327[[#This Row],[قيمة مضافة]]</f>
        <v>0</v>
      </c>
      <c r="M99" s="1">
        <f>M98+Table11819202327[[#This Row],[اجمالي الفاتوره]]-Table11819202327[[#This Row],[الدفعات]]</f>
        <v>34156.989999999932</v>
      </c>
    </row>
    <row r="100" spans="2:13" ht="26.25" customHeight="1" x14ac:dyDescent="0.3">
      <c r="B100" s="2"/>
      <c r="K100" s="1">
        <f>Table11819202327[[#This Row],[النولون]]+Table11819202327[[#This Row],[الايصالات]]-Table11819202327[[#This Row],[خصم أ ت ص]]+Table11819202327[[#This Row],[قيمة مضافة]]</f>
        <v>0</v>
      </c>
      <c r="M100" s="1">
        <f>M99+Table11819202327[[#This Row],[اجمالي الفاتوره]]-Table11819202327[[#This Row],[الدفعات]]</f>
        <v>34156.989999999932</v>
      </c>
    </row>
    <row r="101" spans="2:13" ht="26.25" customHeight="1" x14ac:dyDescent="0.3">
      <c r="B101" s="2"/>
      <c r="K101" s="1">
        <f>Table11819202327[[#This Row],[النولون]]+Table11819202327[[#This Row],[الايصالات]]-Table11819202327[[#This Row],[خصم أ ت ص]]+Table11819202327[[#This Row],[قيمة مضافة]]</f>
        <v>0</v>
      </c>
      <c r="M101" s="1">
        <f>M100+Table11819202327[[#This Row],[اجمالي الفاتوره]]-Table11819202327[[#This Row],[الدفعات]]</f>
        <v>34156.989999999932</v>
      </c>
    </row>
    <row r="102" spans="2:13" ht="26.25" customHeight="1" x14ac:dyDescent="0.3">
      <c r="B102" s="2"/>
      <c r="K102" s="1">
        <f>Table11819202327[[#This Row],[النولون]]+Table11819202327[[#This Row],[الايصالات]]-Table11819202327[[#This Row],[خصم أ ت ص]]+Table11819202327[[#This Row],[قيمة مضافة]]</f>
        <v>0</v>
      </c>
      <c r="M102" s="1">
        <f>M101+Table11819202327[[#This Row],[اجمالي الفاتوره]]-Table11819202327[[#This Row],[الدفعات]]</f>
        <v>34156.989999999932</v>
      </c>
    </row>
    <row r="103" spans="2:13" ht="26.25" customHeight="1" x14ac:dyDescent="0.3">
      <c r="B103" s="2"/>
      <c r="K103" s="1">
        <f>Table11819202327[[#This Row],[النولون]]+Table11819202327[[#This Row],[الايصالات]]-Table11819202327[[#This Row],[خصم أ ت ص]]+Table11819202327[[#This Row],[قيمة مضافة]]</f>
        <v>0</v>
      </c>
      <c r="M103" s="1">
        <f>M102+Table11819202327[[#This Row],[اجمالي الفاتوره]]-Table11819202327[[#This Row],[الدفعات]]</f>
        <v>34156.989999999932</v>
      </c>
    </row>
    <row r="104" spans="2:13" ht="26.25" customHeight="1" x14ac:dyDescent="0.3">
      <c r="B104" s="2"/>
      <c r="K104" s="1">
        <f>Table11819202327[[#This Row],[النولون]]+Table11819202327[[#This Row],[الايصالات]]-Table11819202327[[#This Row],[خصم أ ت ص]]+Table11819202327[[#This Row],[قيمة مضافة]]</f>
        <v>0</v>
      </c>
      <c r="M104" s="1">
        <f>M103+Table11819202327[[#This Row],[اجمالي الفاتوره]]-Table11819202327[[#This Row],[الدفعات]]</f>
        <v>34156.989999999932</v>
      </c>
    </row>
    <row r="105" spans="2:13" ht="26.25" customHeight="1" x14ac:dyDescent="0.3">
      <c r="B105" s="2"/>
      <c r="K105" s="1">
        <f>Table11819202327[[#This Row],[النولون]]+Table11819202327[[#This Row],[الايصالات]]-Table11819202327[[#This Row],[خصم أ ت ص]]+Table11819202327[[#This Row],[قيمة مضافة]]</f>
        <v>0</v>
      </c>
      <c r="M105" s="1">
        <f>M104+Table11819202327[[#This Row],[اجمالي الفاتوره]]-Table11819202327[[#This Row],[الدفعات]]</f>
        <v>34156.989999999932</v>
      </c>
    </row>
    <row r="106" spans="2:13" ht="26.25" customHeight="1" x14ac:dyDescent="0.3">
      <c r="B106" s="2"/>
      <c r="K106" s="1">
        <f>Table11819202327[[#This Row],[النولون]]+Table11819202327[[#This Row],[الايصالات]]-Table11819202327[[#This Row],[خصم أ ت ص]]+Table11819202327[[#This Row],[قيمة مضافة]]</f>
        <v>0</v>
      </c>
      <c r="M106" s="1">
        <f>M105+Table11819202327[[#This Row],[اجمالي الفاتوره]]-Table11819202327[[#This Row],[الدفعات]]</f>
        <v>34156.989999999932</v>
      </c>
    </row>
    <row r="107" spans="2:13" ht="26.25" customHeight="1" x14ac:dyDescent="0.3">
      <c r="K107" s="1">
        <f>Table11819202327[[#This Row],[النولون]]+Table11819202327[[#This Row],[الايصالات]]-Table11819202327[[#This Row],[خصم أ ت ص]]+Table11819202327[[#This Row],[قيمة مضافة]]</f>
        <v>0</v>
      </c>
      <c r="M107" s="1">
        <f>M106+Table11819202327[[#This Row],[اجمالي الفاتوره]]-Table11819202327[[#This Row],[الدفعات]]</f>
        <v>34156.989999999932</v>
      </c>
    </row>
    <row r="108" spans="2:13" ht="26.25" customHeight="1" x14ac:dyDescent="0.3">
      <c r="K108" s="1">
        <f>Table11819202327[[#This Row],[النولون]]+Table11819202327[[#This Row],[الايصالات]]-Table11819202327[[#This Row],[خصم أ ت ص]]+Table11819202327[[#This Row],[قيمة مضافة]]</f>
        <v>0</v>
      </c>
      <c r="M108" s="1">
        <f>M107+Table11819202327[[#This Row],[اجمالي الفاتوره]]-Table11819202327[[#This Row],[الدفعات]]</f>
        <v>34156.989999999932</v>
      </c>
    </row>
    <row r="109" spans="2:13" ht="26.25" customHeight="1" x14ac:dyDescent="0.3">
      <c r="K109" s="1">
        <f>Table11819202327[[#This Row],[النولون]]+Table11819202327[[#This Row],[الايصالات]]-Table11819202327[[#This Row],[خصم أ ت ص]]+Table11819202327[[#This Row],[قيمة مضافة]]</f>
        <v>0</v>
      </c>
      <c r="M109" s="1">
        <f>M108+Table11819202327[[#This Row],[اجمالي الفاتوره]]-Table11819202327[[#This Row],[الدفعات]]</f>
        <v>34156.989999999932</v>
      </c>
    </row>
    <row r="110" spans="2:13" ht="26.25" customHeight="1" x14ac:dyDescent="0.3">
      <c r="K110" s="1">
        <f>Table11819202327[[#This Row],[النولون]]+Table11819202327[[#This Row],[الايصالات]]-Table11819202327[[#This Row],[خصم أ ت ص]]+Table11819202327[[#This Row],[قيمة مضافة]]</f>
        <v>0</v>
      </c>
      <c r="M110" s="1">
        <f>M109+Table11819202327[[#This Row],[اجمالي الفاتوره]]-Table11819202327[[#This Row],[الدفعات]]</f>
        <v>34156.989999999932</v>
      </c>
    </row>
    <row r="111" spans="2:13" ht="26.25" customHeight="1" x14ac:dyDescent="0.3">
      <c r="K111" s="1">
        <f>Table11819202327[[#This Row],[النولون]]+Table11819202327[[#This Row],[الايصالات]]-Table11819202327[[#This Row],[خصم أ ت ص]]+Table11819202327[[#This Row],[قيمة مضافة]]</f>
        <v>0</v>
      </c>
      <c r="M111" s="1">
        <f>M110+Table11819202327[[#This Row],[اجمالي الفاتوره]]-Table11819202327[[#This Row],[الدفعات]]</f>
        <v>34156.989999999932</v>
      </c>
    </row>
    <row r="112" spans="2:13" ht="26.25" customHeight="1" x14ac:dyDescent="0.3">
      <c r="K112" s="1">
        <f>Table11819202327[[#This Row],[النولون]]+Table11819202327[[#This Row],[الايصالات]]-Table11819202327[[#This Row],[خصم أ ت ص]]+Table11819202327[[#This Row],[قيمة مضافة]]</f>
        <v>0</v>
      </c>
      <c r="M112" s="1">
        <f>M111+Table11819202327[[#This Row],[اجمالي الفاتوره]]-Table11819202327[[#This Row],[الدفعات]]</f>
        <v>34156.989999999932</v>
      </c>
    </row>
    <row r="113" spans="11:13" ht="26.25" customHeight="1" x14ac:dyDescent="0.3">
      <c r="K113" s="1">
        <f>Table11819202327[[#This Row],[النولون]]+Table11819202327[[#This Row],[الايصالات]]-Table11819202327[[#This Row],[خصم أ ت ص]]+Table11819202327[[#This Row],[قيمة مضافة]]</f>
        <v>0</v>
      </c>
      <c r="M113" s="1">
        <f>M112+Table11819202327[[#This Row],[اجمالي الفاتوره]]-Table11819202327[[#This Row],[الدفعات]]</f>
        <v>34156.989999999932</v>
      </c>
    </row>
    <row r="114" spans="11:13" ht="26.25" customHeight="1" x14ac:dyDescent="0.3">
      <c r="K114" s="1">
        <f>Table11819202327[[#This Row],[النولون]]+Table11819202327[[#This Row],[الايصالات]]-Table11819202327[[#This Row],[خصم أ ت ص]]+Table11819202327[[#This Row],[قيمة مضافة]]</f>
        <v>0</v>
      </c>
      <c r="M114" s="1">
        <f>M113+Table11819202327[[#This Row],[اجمالي الفاتوره]]-Table11819202327[[#This Row],[الدفعات]]</f>
        <v>34156.989999999932</v>
      </c>
    </row>
    <row r="115" spans="11:13" ht="26.25" customHeight="1" x14ac:dyDescent="0.3">
      <c r="K115" s="1">
        <f>Table11819202327[[#This Row],[النولون]]+Table11819202327[[#This Row],[الايصالات]]-Table11819202327[[#This Row],[خصم أ ت ص]]+Table11819202327[[#This Row],[قيمة مضافة]]</f>
        <v>0</v>
      </c>
      <c r="M115" s="1">
        <f>M114+Table11819202327[[#This Row],[اجمالي الفاتوره]]-Table11819202327[[#This Row],[الدفعات]]</f>
        <v>34156.989999999932</v>
      </c>
    </row>
    <row r="116" spans="11:13" ht="26.25" customHeight="1" x14ac:dyDescent="0.3">
      <c r="K116" s="1">
        <f>Table11819202327[[#This Row],[النولون]]+Table11819202327[[#This Row],[الايصالات]]-Table11819202327[[#This Row],[خصم أ ت ص]]+Table11819202327[[#This Row],[قيمة مضافة]]</f>
        <v>0</v>
      </c>
      <c r="M116" s="1">
        <f>M115+Table11819202327[[#This Row],[اجمالي الفاتوره]]-Table11819202327[[#This Row],[الدفعات]]</f>
        <v>34156.989999999932</v>
      </c>
    </row>
    <row r="117" spans="11:13" ht="26.25" customHeight="1" x14ac:dyDescent="0.3">
      <c r="K117" s="1">
        <f>Table11819202327[[#This Row],[النولون]]+Table11819202327[[#This Row],[الايصالات]]-Table11819202327[[#This Row],[خصم أ ت ص]]+Table11819202327[[#This Row],[قيمة مضافة]]</f>
        <v>0</v>
      </c>
      <c r="M117" s="1">
        <f>M116+Table11819202327[[#This Row],[اجمالي الفاتوره]]-Table11819202327[[#This Row],[الدفعات]]</f>
        <v>34156.989999999932</v>
      </c>
    </row>
    <row r="118" spans="11:13" ht="26.25" customHeight="1" x14ac:dyDescent="0.3">
      <c r="K118" s="1">
        <f>Table11819202327[[#This Row],[النولون]]+Table11819202327[[#This Row],[الايصالات]]-Table11819202327[[#This Row],[خصم أ ت ص]]+Table11819202327[[#This Row],[قيمة مضافة]]</f>
        <v>0</v>
      </c>
      <c r="M118" s="1">
        <f>M117+Table11819202327[[#This Row],[اجمالي الفاتوره]]-Table11819202327[[#This Row],[الدفعات]]</f>
        <v>34156.989999999932</v>
      </c>
    </row>
    <row r="119" spans="11:13" ht="26.25" customHeight="1" x14ac:dyDescent="0.3">
      <c r="K119" s="1">
        <f>Table11819202327[[#This Row],[النولون]]+Table11819202327[[#This Row],[الايصالات]]-Table11819202327[[#This Row],[خصم أ ت ص]]+Table11819202327[[#This Row],[قيمة مضافة]]</f>
        <v>0</v>
      </c>
      <c r="M119" s="1">
        <f>M118+Table11819202327[[#This Row],[اجمالي الفاتوره]]-Table11819202327[[#This Row],[الدفعات]]</f>
        <v>34156.989999999932</v>
      </c>
    </row>
    <row r="120" spans="11:13" ht="26.25" customHeight="1" x14ac:dyDescent="0.3">
      <c r="K120" s="1">
        <f>Table11819202327[[#This Row],[النولون]]+Table11819202327[[#This Row],[الايصالات]]-Table11819202327[[#This Row],[خصم أ ت ص]]+Table11819202327[[#This Row],[قيمة مضافة]]</f>
        <v>0</v>
      </c>
      <c r="M120" s="1">
        <f>M119+Table11819202327[[#This Row],[اجمالي الفاتوره]]-Table11819202327[[#This Row],[الدفعات]]</f>
        <v>34156.989999999932</v>
      </c>
    </row>
    <row r="121" spans="11:13" ht="26.25" customHeight="1" x14ac:dyDescent="0.3">
      <c r="K121" s="1">
        <f>Table11819202327[[#This Row],[النولون]]+Table11819202327[[#This Row],[الايصالات]]-Table11819202327[[#This Row],[خصم أ ت ص]]+Table11819202327[[#This Row],[قيمة مضافة]]</f>
        <v>0</v>
      </c>
      <c r="M121" s="1">
        <f>M120+Table11819202327[[#This Row],[اجمالي الفاتوره]]-Table11819202327[[#This Row],[الدفعات]]</f>
        <v>34156.989999999932</v>
      </c>
    </row>
    <row r="122" spans="11:13" ht="26.25" customHeight="1" x14ac:dyDescent="0.3">
      <c r="K122" s="1">
        <f>Table11819202327[[#This Row],[النولون]]+Table11819202327[[#This Row],[الايصالات]]-Table11819202327[[#This Row],[خصم أ ت ص]]+Table11819202327[[#This Row],[قيمة مضافة]]</f>
        <v>0</v>
      </c>
      <c r="M122" s="1">
        <f>M121+Table11819202327[[#This Row],[اجمالي الفاتوره]]-Table11819202327[[#This Row],[الدفعات]]</f>
        <v>34156.989999999932</v>
      </c>
    </row>
    <row r="123" spans="11:13" ht="26.25" customHeight="1" x14ac:dyDescent="0.3">
      <c r="K123" s="1">
        <f>Table11819202327[[#This Row],[النولون]]+Table11819202327[[#This Row],[الايصالات]]-Table11819202327[[#This Row],[خصم أ ت ص]]+Table11819202327[[#This Row],[قيمة مضافة]]</f>
        <v>0</v>
      </c>
      <c r="M123" s="1">
        <f>M122+Table11819202327[[#This Row],[اجمالي الفاتوره]]-Table11819202327[[#This Row],[الدفعات]]</f>
        <v>34156.989999999932</v>
      </c>
    </row>
    <row r="124" spans="11:13" ht="26.25" customHeight="1" x14ac:dyDescent="0.3">
      <c r="K124" s="1">
        <f>Table11819202327[[#This Row],[النولون]]+Table11819202327[[#This Row],[الايصالات]]-Table11819202327[[#This Row],[خصم أ ت ص]]+Table11819202327[[#This Row],[قيمة مضافة]]</f>
        <v>0</v>
      </c>
      <c r="M124" s="1">
        <f>M123+Table11819202327[[#This Row],[اجمالي الفاتوره]]-Table11819202327[[#This Row],[الدفعات]]</f>
        <v>34156.989999999932</v>
      </c>
    </row>
    <row r="125" spans="11:13" ht="26.25" customHeight="1" x14ac:dyDescent="0.3">
      <c r="K125" s="1">
        <f>Table11819202327[[#This Row],[النولون]]+Table11819202327[[#This Row],[الايصالات]]-Table11819202327[[#This Row],[خصم أ ت ص]]+Table11819202327[[#This Row],[قيمة مضافة]]</f>
        <v>0</v>
      </c>
      <c r="M125" s="1">
        <f>M124+Table11819202327[[#This Row],[اجمالي الفاتوره]]-Table11819202327[[#This Row],[الدفعات]]</f>
        <v>34156.989999999932</v>
      </c>
    </row>
    <row r="126" spans="11:13" ht="26.25" customHeight="1" x14ac:dyDescent="0.3">
      <c r="K126" s="1">
        <f>Table11819202327[[#This Row],[النولون]]+Table11819202327[[#This Row],[الايصالات]]-Table11819202327[[#This Row],[خصم أ ت ص]]+Table11819202327[[#This Row],[قيمة مضافة]]</f>
        <v>0</v>
      </c>
      <c r="M126" s="1">
        <f>M125+Table11819202327[[#This Row],[اجمالي الفاتوره]]-Table11819202327[[#This Row],[الدفعات]]</f>
        <v>34156.989999999932</v>
      </c>
    </row>
    <row r="127" spans="11:13" ht="26.25" customHeight="1" x14ac:dyDescent="0.3">
      <c r="K127" s="1">
        <f>Table11819202327[[#This Row],[النولون]]+Table11819202327[[#This Row],[الايصالات]]-Table11819202327[[#This Row],[خصم أ ت ص]]+Table11819202327[[#This Row],[قيمة مضافة]]</f>
        <v>0</v>
      </c>
      <c r="M127" s="1">
        <f>M126+Table11819202327[[#This Row],[اجمالي الفاتوره]]-Table11819202327[[#This Row],[الدفعات]]</f>
        <v>34156.989999999932</v>
      </c>
    </row>
    <row r="128" spans="11:13" ht="26.25" customHeight="1" x14ac:dyDescent="0.3">
      <c r="K128" s="1">
        <f>Table11819202327[[#This Row],[النولون]]+Table11819202327[[#This Row],[الايصالات]]-Table11819202327[[#This Row],[خصم أ ت ص]]+Table11819202327[[#This Row],[قيمة مضافة]]</f>
        <v>0</v>
      </c>
      <c r="M128" s="1">
        <f>M127+Table11819202327[[#This Row],[اجمالي الفاتوره]]-Table11819202327[[#This Row],[الدفعات]]</f>
        <v>34156.989999999932</v>
      </c>
    </row>
    <row r="129" spans="11:13" ht="26.25" customHeight="1" x14ac:dyDescent="0.3">
      <c r="K129" s="1">
        <f>Table11819202327[[#This Row],[النولون]]+Table11819202327[[#This Row],[الايصالات]]-Table11819202327[[#This Row],[خصم أ ت ص]]+Table11819202327[[#This Row],[قيمة مضافة]]</f>
        <v>0</v>
      </c>
      <c r="M129" s="1">
        <f>M128+Table11819202327[[#This Row],[اجمالي الفاتوره]]-Table11819202327[[#This Row],[الدفعات]]</f>
        <v>34156.989999999932</v>
      </c>
    </row>
    <row r="130" spans="11:13" ht="26.25" customHeight="1" x14ac:dyDescent="0.3">
      <c r="K130" s="1">
        <f>Table11819202327[[#This Row],[النولون]]+Table11819202327[[#This Row],[الايصالات]]-Table11819202327[[#This Row],[خصم أ ت ص]]+Table11819202327[[#This Row],[قيمة مضافة]]</f>
        <v>0</v>
      </c>
      <c r="M130" s="1">
        <f>M129+Table11819202327[[#This Row],[اجمالي الفاتوره]]-Table11819202327[[#This Row],[الدفعات]]</f>
        <v>34156.989999999932</v>
      </c>
    </row>
    <row r="131" spans="11:13" ht="26.25" customHeight="1" x14ac:dyDescent="0.3">
      <c r="K131" s="1">
        <f>Table11819202327[[#This Row],[النولون]]+Table11819202327[[#This Row],[الايصالات]]-Table11819202327[[#This Row],[خصم أ ت ص]]+Table11819202327[[#This Row],[قيمة مضافة]]</f>
        <v>0</v>
      </c>
      <c r="M131" s="1">
        <f>M130+Table11819202327[[#This Row],[اجمالي الفاتوره]]-Table11819202327[[#This Row],[الدفعات]]</f>
        <v>34156.989999999932</v>
      </c>
    </row>
    <row r="132" spans="11:13" ht="26.25" customHeight="1" x14ac:dyDescent="0.3">
      <c r="K132" s="1">
        <f>Table11819202327[[#This Row],[النولون]]+Table11819202327[[#This Row],[الايصالات]]-Table11819202327[[#This Row],[خصم أ ت ص]]+Table11819202327[[#This Row],[قيمة مضافة]]</f>
        <v>0</v>
      </c>
      <c r="M132" s="1">
        <f>M131+Table11819202327[[#This Row],[اجمالي الفاتوره]]-Table11819202327[[#This Row],[الدفعات]]</f>
        <v>34156.989999999932</v>
      </c>
    </row>
    <row r="133" spans="11:13" ht="26.25" customHeight="1" x14ac:dyDescent="0.3">
      <c r="K133" s="1">
        <f>Table11819202327[[#This Row],[النولون]]+Table11819202327[[#This Row],[الايصالات]]-Table11819202327[[#This Row],[خصم أ ت ص]]+Table11819202327[[#This Row],[قيمة مضافة]]</f>
        <v>0</v>
      </c>
      <c r="M133" s="1">
        <f>M132+Table11819202327[[#This Row],[اجمالي الفاتوره]]-Table11819202327[[#This Row],[الدفعات]]</f>
        <v>34156.989999999932</v>
      </c>
    </row>
    <row r="134" spans="11:13" ht="26.25" customHeight="1" x14ac:dyDescent="0.3">
      <c r="K134" s="1">
        <f>Table11819202327[[#This Row],[النولون]]+Table11819202327[[#This Row],[الايصالات]]-Table11819202327[[#This Row],[خصم أ ت ص]]+Table11819202327[[#This Row],[قيمة مضافة]]</f>
        <v>0</v>
      </c>
      <c r="M134" s="1">
        <f>M133+Table11819202327[[#This Row],[اجمالي الفاتوره]]-Table11819202327[[#This Row],[الدفعات]]</f>
        <v>34156.989999999932</v>
      </c>
    </row>
    <row r="135" spans="11:13" ht="26.25" customHeight="1" x14ac:dyDescent="0.3">
      <c r="K135" s="1">
        <f>Table11819202327[[#This Row],[النولون]]+Table11819202327[[#This Row],[الايصالات]]-Table11819202327[[#This Row],[خصم أ ت ص]]+Table11819202327[[#This Row],[قيمة مضافة]]</f>
        <v>0</v>
      </c>
      <c r="M135" s="1">
        <f>M134+Table11819202327[[#This Row],[اجمالي الفاتوره]]-Table11819202327[[#This Row],[الدفعات]]</f>
        <v>34156.989999999932</v>
      </c>
    </row>
    <row r="136" spans="11:13" ht="26.25" customHeight="1" x14ac:dyDescent="0.3">
      <c r="K136" s="1">
        <f>Table11819202327[[#This Row],[النولون]]+Table11819202327[[#This Row],[الايصالات]]-Table11819202327[[#This Row],[خصم أ ت ص]]+Table11819202327[[#This Row],[قيمة مضافة]]</f>
        <v>0</v>
      </c>
      <c r="M136" s="1">
        <f>M135+Table11819202327[[#This Row],[اجمالي الفاتوره]]-Table11819202327[[#This Row],[الدفعات]]</f>
        <v>34156.989999999932</v>
      </c>
    </row>
    <row r="137" spans="11:13" ht="26.25" customHeight="1" x14ac:dyDescent="0.3">
      <c r="K137" s="1">
        <f>Table11819202327[[#This Row],[النولون]]+Table11819202327[[#This Row],[الايصالات]]-Table11819202327[[#This Row],[خصم أ ت ص]]+Table11819202327[[#This Row],[قيمة مضافة]]</f>
        <v>0</v>
      </c>
      <c r="M137" s="1">
        <f>M136+Table11819202327[[#This Row],[اجمالي الفاتوره]]-Table11819202327[[#This Row],[الدفعات]]</f>
        <v>34156.989999999932</v>
      </c>
    </row>
    <row r="138" spans="11:13" ht="26.25" customHeight="1" x14ac:dyDescent="0.3">
      <c r="K138" s="1">
        <f>Table11819202327[[#This Row],[النولون]]+Table11819202327[[#This Row],[الايصالات]]-Table11819202327[[#This Row],[خصم أ ت ص]]+Table11819202327[[#This Row],[قيمة مضافة]]</f>
        <v>0</v>
      </c>
      <c r="M138" s="1">
        <f>M137+Table11819202327[[#This Row],[اجمالي الفاتوره]]-Table11819202327[[#This Row],[الدفعات]]</f>
        <v>34156.989999999932</v>
      </c>
    </row>
    <row r="139" spans="11:13" ht="26.25" customHeight="1" x14ac:dyDescent="0.3">
      <c r="K139" s="1">
        <f>Table11819202327[[#This Row],[النولون]]+Table11819202327[[#This Row],[الايصالات]]-Table11819202327[[#This Row],[خصم أ ت ص]]+Table11819202327[[#This Row],[قيمة مضافة]]</f>
        <v>0</v>
      </c>
      <c r="M139" s="1">
        <f>M138+Table11819202327[[#This Row],[اجمالي الفاتوره]]-Table11819202327[[#This Row],[الدفعات]]</f>
        <v>34156.989999999932</v>
      </c>
    </row>
    <row r="140" spans="11:13" ht="26.25" customHeight="1" x14ac:dyDescent="0.3">
      <c r="K140" s="1">
        <f>Table11819202327[[#This Row],[النولون]]+Table11819202327[[#This Row],[الايصالات]]-Table11819202327[[#This Row],[خصم أ ت ص]]+Table11819202327[[#This Row],[قيمة مضافة]]</f>
        <v>0</v>
      </c>
      <c r="M140" s="1">
        <f>M139+Table11819202327[[#This Row],[اجمالي الفاتوره]]-Table11819202327[[#This Row],[الدفعات]]</f>
        <v>34156.989999999932</v>
      </c>
    </row>
    <row r="141" spans="11:13" ht="26.25" customHeight="1" x14ac:dyDescent="0.3">
      <c r="K141" s="1">
        <f>Table11819202327[[#This Row],[النولون]]+Table11819202327[[#This Row],[الايصالات]]-Table11819202327[[#This Row],[خصم أ ت ص]]+Table11819202327[[#This Row],[قيمة مضافة]]</f>
        <v>0</v>
      </c>
      <c r="M141" s="1">
        <f>M140+Table11819202327[[#This Row],[اجمالي الفاتوره]]-Table11819202327[[#This Row],[الدفعات]]</f>
        <v>34156.989999999932</v>
      </c>
    </row>
    <row r="142" spans="11:13" ht="26.25" customHeight="1" x14ac:dyDescent="0.3">
      <c r="K142" s="1">
        <f>Table11819202327[[#This Row],[النولون]]+Table11819202327[[#This Row],[الايصالات]]-Table11819202327[[#This Row],[خصم أ ت ص]]+Table11819202327[[#This Row],[قيمة مضافة]]</f>
        <v>0</v>
      </c>
      <c r="M142" s="1">
        <f>M141+Table11819202327[[#This Row],[اجمالي الفاتوره]]-Table11819202327[[#This Row],[الدفعات]]</f>
        <v>34156.989999999932</v>
      </c>
    </row>
    <row r="143" spans="11:13" ht="26.25" customHeight="1" x14ac:dyDescent="0.3">
      <c r="K143" s="1">
        <f>Table11819202327[[#This Row],[النولون]]+Table11819202327[[#This Row],[الايصالات]]-Table11819202327[[#This Row],[خصم أ ت ص]]+Table11819202327[[#This Row],[قيمة مضافة]]</f>
        <v>0</v>
      </c>
      <c r="M143" s="1">
        <f>M142+Table11819202327[[#This Row],[اجمالي الفاتوره]]-Table11819202327[[#This Row],[الدفعات]]</f>
        <v>34156.989999999932</v>
      </c>
    </row>
    <row r="144" spans="11:13" ht="26.25" customHeight="1" x14ac:dyDescent="0.3">
      <c r="K144" s="1">
        <f>Table11819202327[[#This Row],[النولون]]+Table11819202327[[#This Row],[الايصالات]]-Table11819202327[[#This Row],[خصم أ ت ص]]+Table11819202327[[#This Row],[قيمة مضافة]]</f>
        <v>0</v>
      </c>
      <c r="M144" s="1">
        <f>M143+Table11819202327[[#This Row],[اجمالي الفاتوره]]-Table11819202327[[#This Row],[الدفعات]]</f>
        <v>34156.989999999932</v>
      </c>
    </row>
    <row r="145" spans="11:13" ht="26.25" customHeight="1" x14ac:dyDescent="0.3">
      <c r="K145" s="1">
        <f>Table11819202327[[#This Row],[النولون]]+Table11819202327[[#This Row],[الايصالات]]-Table11819202327[[#This Row],[خصم أ ت ص]]+Table11819202327[[#This Row],[قيمة مضافة]]</f>
        <v>0</v>
      </c>
      <c r="M145" s="1">
        <f>M144+Table11819202327[[#This Row],[اجمالي الفاتوره]]-Table11819202327[[#This Row],[الدفعات]]</f>
        <v>34156.989999999932</v>
      </c>
    </row>
    <row r="146" spans="11:13" ht="26.25" customHeight="1" x14ac:dyDescent="0.3">
      <c r="K146" s="1">
        <f>Table11819202327[[#This Row],[النولون]]+Table11819202327[[#This Row],[الايصالات]]-Table11819202327[[#This Row],[خصم أ ت ص]]+Table11819202327[[#This Row],[قيمة مضافة]]</f>
        <v>0</v>
      </c>
      <c r="M146" s="1">
        <f>M145+Table11819202327[[#This Row],[اجمالي الفاتوره]]-Table11819202327[[#This Row],[الدفعات]]</f>
        <v>34156.989999999932</v>
      </c>
    </row>
    <row r="147" spans="11:13" ht="26.25" customHeight="1" x14ac:dyDescent="0.3">
      <c r="K147" s="1">
        <f>Table11819202327[[#This Row],[النولون]]+Table11819202327[[#This Row],[الايصالات]]-Table11819202327[[#This Row],[خصم أ ت ص]]+Table11819202327[[#This Row],[قيمة مضافة]]</f>
        <v>0</v>
      </c>
      <c r="M147" s="1">
        <f>M146+Table11819202327[[#This Row],[اجمالي الفاتوره]]-Table11819202327[[#This Row],[الدفعات]]</f>
        <v>34156.989999999932</v>
      </c>
    </row>
    <row r="148" spans="11:13" ht="26.25" customHeight="1" x14ac:dyDescent="0.3">
      <c r="K148" s="1">
        <f>Table11819202327[[#This Row],[النولون]]+Table11819202327[[#This Row],[الايصالات]]-Table11819202327[[#This Row],[خصم أ ت ص]]+Table11819202327[[#This Row],[قيمة مضافة]]</f>
        <v>0</v>
      </c>
      <c r="M148" s="1">
        <f>M147+Table11819202327[[#This Row],[اجمالي الفاتوره]]-Table11819202327[[#This Row],[الدفعات]]</f>
        <v>34156.989999999932</v>
      </c>
    </row>
    <row r="149" spans="11:13" ht="26.25" customHeight="1" x14ac:dyDescent="0.3">
      <c r="K149" s="1">
        <f>Table11819202327[[#This Row],[النولون]]+Table11819202327[[#This Row],[الايصالات]]-Table11819202327[[#This Row],[خصم أ ت ص]]+Table11819202327[[#This Row],[قيمة مضافة]]</f>
        <v>0</v>
      </c>
      <c r="M149" s="1">
        <f>M148+Table11819202327[[#This Row],[اجمالي الفاتوره]]-Table11819202327[[#This Row],[الدفعات]]</f>
        <v>34156.989999999932</v>
      </c>
    </row>
    <row r="150" spans="11:13" ht="26.25" customHeight="1" x14ac:dyDescent="0.3">
      <c r="K150" s="1">
        <f>Table11819202327[[#This Row],[النولون]]+Table11819202327[[#This Row],[الايصالات]]-Table11819202327[[#This Row],[خصم أ ت ص]]+Table11819202327[[#This Row],[قيمة مضافة]]</f>
        <v>0</v>
      </c>
      <c r="M150" s="1">
        <f>M149+Table11819202327[[#This Row],[اجمالي الفاتوره]]-Table11819202327[[#This Row],[الدفعات]]</f>
        <v>34156.989999999932</v>
      </c>
    </row>
    <row r="151" spans="11:13" ht="26.25" customHeight="1" x14ac:dyDescent="0.3">
      <c r="K151" s="1">
        <f>Table11819202327[[#This Row],[النولون]]+Table11819202327[[#This Row],[الايصالات]]-Table11819202327[[#This Row],[خصم أ ت ص]]+Table11819202327[[#This Row],[قيمة مضافة]]</f>
        <v>0</v>
      </c>
      <c r="M151" s="1">
        <f>M150+Table11819202327[[#This Row],[اجمالي الفاتوره]]-Table11819202327[[#This Row],[الدفعات]]</f>
        <v>34156.989999999932</v>
      </c>
    </row>
    <row r="152" spans="11:13" ht="26.25" customHeight="1" x14ac:dyDescent="0.3">
      <c r="K152" s="1">
        <f>Table11819202327[[#This Row],[النولون]]+Table11819202327[[#This Row],[الايصالات]]-Table11819202327[[#This Row],[خصم أ ت ص]]+Table11819202327[[#This Row],[قيمة مضافة]]</f>
        <v>0</v>
      </c>
      <c r="M152" s="1">
        <f>M151+Table11819202327[[#This Row],[اجمالي الفاتوره]]-Table11819202327[[#This Row],[الدفعات]]</f>
        <v>34156.989999999932</v>
      </c>
    </row>
    <row r="153" spans="11:13" ht="26.25" customHeight="1" x14ac:dyDescent="0.3">
      <c r="K153" s="1">
        <f>Table11819202327[[#This Row],[النولون]]+Table11819202327[[#This Row],[الايصالات]]-Table11819202327[[#This Row],[خصم أ ت ص]]+Table11819202327[[#This Row],[قيمة مضافة]]</f>
        <v>0</v>
      </c>
      <c r="M153" s="1">
        <f>M152+Table11819202327[[#This Row],[اجمالي الفاتوره]]-Table11819202327[[#This Row],[الدفعات]]</f>
        <v>34156.989999999932</v>
      </c>
    </row>
    <row r="154" spans="11:13" ht="26.25" customHeight="1" x14ac:dyDescent="0.3">
      <c r="K154" s="1">
        <f>Table11819202327[[#This Row],[النولون]]+Table11819202327[[#This Row],[الايصالات]]-Table11819202327[[#This Row],[خصم أ ت ص]]+Table11819202327[[#This Row],[قيمة مضافة]]</f>
        <v>0</v>
      </c>
      <c r="M154" s="1">
        <f>M153+Table11819202327[[#This Row],[اجمالي الفاتوره]]-Table11819202327[[#This Row],[الدفعات]]</f>
        <v>34156.989999999932</v>
      </c>
    </row>
    <row r="155" spans="11:13" ht="26.25" customHeight="1" x14ac:dyDescent="0.3">
      <c r="K155" s="1">
        <f>Table11819202327[[#This Row],[النولون]]+Table11819202327[[#This Row],[الايصالات]]-Table11819202327[[#This Row],[خصم أ ت ص]]+Table11819202327[[#This Row],[قيمة مضافة]]</f>
        <v>0</v>
      </c>
      <c r="M155" s="1">
        <f>M154+Table11819202327[[#This Row],[اجمالي الفاتوره]]-Table11819202327[[#This Row],[الدفعات]]</f>
        <v>34156.989999999932</v>
      </c>
    </row>
    <row r="156" spans="11:13" ht="26.25" customHeight="1" x14ac:dyDescent="0.3">
      <c r="K156" s="1">
        <f>Table11819202327[[#This Row],[النولون]]+Table11819202327[[#This Row],[الايصالات]]-Table11819202327[[#This Row],[خصم أ ت ص]]+Table11819202327[[#This Row],[قيمة مضافة]]</f>
        <v>0</v>
      </c>
      <c r="M156" s="1">
        <f>M155+Table11819202327[[#This Row],[اجمالي الفاتوره]]-Table11819202327[[#This Row],[الدفعات]]</f>
        <v>34156.989999999932</v>
      </c>
    </row>
    <row r="157" spans="11:13" ht="26.25" customHeight="1" x14ac:dyDescent="0.3">
      <c r="K157" s="1">
        <f>Table11819202327[[#This Row],[النولون]]+Table11819202327[[#This Row],[الايصالات]]-Table11819202327[[#This Row],[خصم أ ت ص]]+Table11819202327[[#This Row],[قيمة مضافة]]</f>
        <v>0</v>
      </c>
      <c r="M157" s="1">
        <f>M156+Table11819202327[[#This Row],[اجمالي الفاتوره]]-Table11819202327[[#This Row],[الدفعات]]</f>
        <v>34156.989999999932</v>
      </c>
    </row>
    <row r="158" spans="11:13" ht="26.25" customHeight="1" x14ac:dyDescent="0.3">
      <c r="K158" s="1">
        <f>Table11819202327[[#This Row],[النولون]]+Table11819202327[[#This Row],[الايصالات]]-Table11819202327[[#This Row],[خصم أ ت ص]]+Table11819202327[[#This Row],[قيمة مضافة]]</f>
        <v>0</v>
      </c>
      <c r="M158" s="1">
        <f>M157+Table11819202327[[#This Row],[اجمالي الفاتوره]]-Table11819202327[[#This Row],[الدفعات]]</f>
        <v>34156.989999999932</v>
      </c>
    </row>
    <row r="159" spans="11:13" ht="26.25" customHeight="1" x14ac:dyDescent="0.3">
      <c r="K159" s="1">
        <f>Table11819202327[[#This Row],[النولون]]+Table11819202327[[#This Row],[الايصالات]]-Table11819202327[[#This Row],[خصم أ ت ص]]+Table11819202327[[#This Row],[قيمة مضافة]]</f>
        <v>0</v>
      </c>
      <c r="M159" s="1">
        <f>M158+Table11819202327[[#This Row],[اجمالي الفاتوره]]-Table11819202327[[#This Row],[الدفعات]]</f>
        <v>34156.989999999932</v>
      </c>
    </row>
    <row r="160" spans="11:13" ht="26.25" customHeight="1" x14ac:dyDescent="0.3">
      <c r="K160" s="1">
        <f>Table11819202327[[#This Row],[النولون]]+Table11819202327[[#This Row],[الايصالات]]-Table11819202327[[#This Row],[خصم أ ت ص]]+Table11819202327[[#This Row],[قيمة مضافة]]</f>
        <v>0</v>
      </c>
      <c r="M160" s="1">
        <f>M159+Table11819202327[[#This Row],[اجمالي الفاتوره]]-Table11819202327[[#This Row],[الدفعات]]</f>
        <v>34156.989999999932</v>
      </c>
    </row>
    <row r="161" spans="11:13" ht="26.25" customHeight="1" x14ac:dyDescent="0.3">
      <c r="K161" s="1">
        <f>Table11819202327[[#This Row],[النولون]]+Table11819202327[[#This Row],[الايصالات]]-Table11819202327[[#This Row],[خصم أ ت ص]]+Table11819202327[[#This Row],[قيمة مضافة]]</f>
        <v>0</v>
      </c>
      <c r="M161" s="1">
        <f>M160+Table11819202327[[#This Row],[اجمالي الفاتوره]]-Table11819202327[[#This Row],[الدفعات]]</f>
        <v>34156.989999999932</v>
      </c>
    </row>
    <row r="162" spans="11:13" ht="26.25" customHeight="1" x14ac:dyDescent="0.3">
      <c r="K162" s="1">
        <f>Table11819202327[[#This Row],[النولون]]+Table11819202327[[#This Row],[الايصالات]]-Table11819202327[[#This Row],[خصم أ ت ص]]+Table11819202327[[#This Row],[قيمة مضافة]]</f>
        <v>0</v>
      </c>
      <c r="M162" s="1">
        <f>M161+Table11819202327[[#This Row],[اجمالي الفاتوره]]-Table11819202327[[#This Row],[الدفعات]]</f>
        <v>34156.989999999932</v>
      </c>
    </row>
    <row r="163" spans="11:13" ht="26.25" customHeight="1" x14ac:dyDescent="0.3">
      <c r="K163" s="1">
        <f>Table11819202327[[#This Row],[النولون]]+Table11819202327[[#This Row],[الايصالات]]-Table11819202327[[#This Row],[خصم أ ت ص]]+Table11819202327[[#This Row],[قيمة مضافة]]</f>
        <v>0</v>
      </c>
      <c r="M163" s="1">
        <f>M162+Table11819202327[[#This Row],[اجمالي الفاتوره]]-Table11819202327[[#This Row],[الدفعات]]</f>
        <v>34156.989999999932</v>
      </c>
    </row>
    <row r="164" spans="11:13" ht="26.25" customHeight="1" x14ac:dyDescent="0.3">
      <c r="K164" s="1">
        <f>Table11819202327[[#This Row],[النولون]]+Table11819202327[[#This Row],[الايصالات]]-Table11819202327[[#This Row],[خصم أ ت ص]]+Table11819202327[[#This Row],[قيمة مضافة]]</f>
        <v>0</v>
      </c>
      <c r="M164" s="1">
        <f>M163+Table11819202327[[#This Row],[اجمالي الفاتوره]]-Table11819202327[[#This Row],[الدفعات]]</f>
        <v>34156.989999999932</v>
      </c>
    </row>
    <row r="165" spans="11:13" ht="26.25" customHeight="1" x14ac:dyDescent="0.3">
      <c r="K165" s="1">
        <f>Table11819202327[[#This Row],[النولون]]+Table11819202327[[#This Row],[الايصالات]]-Table11819202327[[#This Row],[خصم أ ت ص]]+Table11819202327[[#This Row],[قيمة مضافة]]</f>
        <v>0</v>
      </c>
      <c r="M165" s="1">
        <f>M164+Table11819202327[[#This Row],[اجمالي الفاتوره]]-Table11819202327[[#This Row],[الدفعات]]</f>
        <v>34156.989999999932</v>
      </c>
    </row>
    <row r="166" spans="11:13" ht="26.25" customHeight="1" x14ac:dyDescent="0.3">
      <c r="K166" s="1">
        <f>Table11819202327[[#This Row],[النولون]]+Table11819202327[[#This Row],[الايصالات]]-Table11819202327[[#This Row],[خصم أ ت ص]]+Table11819202327[[#This Row],[قيمة مضافة]]</f>
        <v>0</v>
      </c>
      <c r="M166" s="1">
        <f>M165+Table11819202327[[#This Row],[اجمالي الفاتوره]]-Table11819202327[[#This Row],[الدفعات]]</f>
        <v>34156.989999999932</v>
      </c>
    </row>
    <row r="167" spans="11:13" ht="26.25" customHeight="1" x14ac:dyDescent="0.3">
      <c r="K167" s="1">
        <f>Table11819202327[[#This Row],[النولون]]+Table11819202327[[#This Row],[الايصالات]]-Table11819202327[[#This Row],[خصم أ ت ص]]+Table11819202327[[#This Row],[قيمة مضافة]]</f>
        <v>0</v>
      </c>
      <c r="M167" s="1">
        <f>M166+Table11819202327[[#This Row],[اجمالي الفاتوره]]-Table11819202327[[#This Row],[الدفعات]]</f>
        <v>34156.989999999932</v>
      </c>
    </row>
    <row r="168" spans="11:13" ht="26.25" customHeight="1" x14ac:dyDescent="0.3">
      <c r="K168" s="1">
        <f>Table11819202327[[#This Row],[النولون]]+Table11819202327[[#This Row],[الايصالات]]-Table11819202327[[#This Row],[خصم أ ت ص]]+Table11819202327[[#This Row],[قيمة مضافة]]</f>
        <v>0</v>
      </c>
      <c r="M168" s="1">
        <f>M167+Table11819202327[[#This Row],[اجمالي الفاتوره]]-Table11819202327[[#This Row],[الدفعات]]</f>
        <v>34156.989999999932</v>
      </c>
    </row>
    <row r="169" spans="11:13" ht="26.25" customHeight="1" x14ac:dyDescent="0.3">
      <c r="K169" s="1">
        <f>Table11819202327[[#This Row],[النولون]]+Table11819202327[[#This Row],[الايصالات]]-Table11819202327[[#This Row],[خصم أ ت ص]]+Table11819202327[[#This Row],[قيمة مضافة]]</f>
        <v>0</v>
      </c>
      <c r="M169" s="1">
        <f>M168+Table11819202327[[#This Row],[اجمالي الفاتوره]]-Table11819202327[[#This Row],[الدفعات]]</f>
        <v>34156.989999999932</v>
      </c>
    </row>
    <row r="170" spans="11:13" ht="26.25" customHeight="1" x14ac:dyDescent="0.3">
      <c r="K170" s="1">
        <f>Table11819202327[[#This Row],[النولون]]+Table11819202327[[#This Row],[الايصالات]]-Table11819202327[[#This Row],[خصم أ ت ص]]+Table11819202327[[#This Row],[قيمة مضافة]]</f>
        <v>0</v>
      </c>
      <c r="M170" s="1">
        <f>M169+Table11819202327[[#This Row],[اجمالي الفاتوره]]-Table11819202327[[#This Row],[الدفعات]]</f>
        <v>34156.989999999932</v>
      </c>
    </row>
    <row r="171" spans="11:13" ht="26.25" customHeight="1" x14ac:dyDescent="0.3">
      <c r="K171" s="1">
        <f>Table11819202327[[#This Row],[النولون]]+Table11819202327[[#This Row],[الايصالات]]-Table11819202327[[#This Row],[خصم أ ت ص]]+Table11819202327[[#This Row],[قيمة مضافة]]</f>
        <v>0</v>
      </c>
      <c r="M171" s="1">
        <f>M170+Table11819202327[[#This Row],[اجمالي الفاتوره]]-Table11819202327[[#This Row],[الدفعات]]</f>
        <v>34156.989999999932</v>
      </c>
    </row>
    <row r="172" spans="11:13" ht="26.25" customHeight="1" x14ac:dyDescent="0.3">
      <c r="K172" s="1">
        <f>Table11819202327[[#This Row],[النولون]]+Table11819202327[[#This Row],[الايصالات]]-Table11819202327[[#This Row],[خصم أ ت ص]]+Table11819202327[[#This Row],[قيمة مضافة]]</f>
        <v>0</v>
      </c>
      <c r="M172" s="1">
        <f>M171+Table11819202327[[#This Row],[اجمالي الفاتوره]]-Table11819202327[[#This Row],[الدفعات]]</f>
        <v>34156.989999999932</v>
      </c>
    </row>
    <row r="173" spans="11:13" ht="26.25" customHeight="1" x14ac:dyDescent="0.3">
      <c r="K173" s="1">
        <f>Table11819202327[[#This Row],[النولون]]+Table11819202327[[#This Row],[الايصالات]]-Table11819202327[[#This Row],[خصم أ ت ص]]+Table11819202327[[#This Row],[قيمة مضافة]]</f>
        <v>0</v>
      </c>
      <c r="M173" s="1">
        <f>M172+Table11819202327[[#This Row],[اجمالي الفاتوره]]-Table11819202327[[#This Row],[الدفعات]]</f>
        <v>34156.989999999932</v>
      </c>
    </row>
    <row r="174" spans="11:13" ht="26.25" customHeight="1" x14ac:dyDescent="0.3">
      <c r="K174" s="1">
        <f>Table11819202327[[#This Row],[النولون]]+Table11819202327[[#This Row],[الايصالات]]-Table11819202327[[#This Row],[خصم أ ت ص]]+Table11819202327[[#This Row],[قيمة مضافة]]</f>
        <v>0</v>
      </c>
      <c r="M174" s="1">
        <f>M173+Table11819202327[[#This Row],[اجمالي الفاتوره]]-Table11819202327[[#This Row],[الدفعات]]</f>
        <v>34156.989999999932</v>
      </c>
    </row>
    <row r="175" spans="11:13" ht="26.25" customHeight="1" x14ac:dyDescent="0.3">
      <c r="K175" s="1">
        <f>Table11819202327[[#This Row],[النولون]]+Table11819202327[[#This Row],[الايصالات]]-Table11819202327[[#This Row],[خصم أ ت ص]]+Table11819202327[[#This Row],[قيمة مضافة]]</f>
        <v>0</v>
      </c>
      <c r="M175" s="1">
        <f>M174+Table11819202327[[#This Row],[اجمالي الفاتوره]]-Table11819202327[[#This Row],[الدفعات]]</f>
        <v>34156.989999999932</v>
      </c>
    </row>
    <row r="176" spans="11:13" ht="26.25" customHeight="1" x14ac:dyDescent="0.3">
      <c r="K176" s="1">
        <f>Table11819202327[[#This Row],[النولون]]+Table11819202327[[#This Row],[الايصالات]]-Table11819202327[[#This Row],[خصم أ ت ص]]+Table11819202327[[#This Row],[قيمة مضافة]]</f>
        <v>0</v>
      </c>
      <c r="M176" s="1">
        <f>M175+Table11819202327[[#This Row],[اجمالي الفاتوره]]-Table11819202327[[#This Row],[الدفعات]]</f>
        <v>34156.989999999932</v>
      </c>
    </row>
    <row r="177" spans="11:13" ht="26.25" customHeight="1" x14ac:dyDescent="0.3">
      <c r="K177" s="1">
        <f>Table11819202327[[#This Row],[النولون]]+Table11819202327[[#This Row],[الايصالات]]-Table11819202327[[#This Row],[خصم أ ت ص]]+Table11819202327[[#This Row],[قيمة مضافة]]</f>
        <v>0</v>
      </c>
      <c r="M177" s="1">
        <f>M176+Table11819202327[[#This Row],[اجمالي الفاتوره]]-Table11819202327[[#This Row],[الدفعات]]</f>
        <v>34156.989999999932</v>
      </c>
    </row>
    <row r="178" spans="11:13" ht="26.25" customHeight="1" x14ac:dyDescent="0.3">
      <c r="K178" s="1">
        <f>Table11819202327[[#This Row],[النولون]]+Table11819202327[[#This Row],[الايصالات]]-Table11819202327[[#This Row],[خصم أ ت ص]]+Table11819202327[[#This Row],[قيمة مضافة]]</f>
        <v>0</v>
      </c>
      <c r="M178" s="1">
        <f>M177+Table11819202327[[#This Row],[اجمالي الفاتوره]]-Table11819202327[[#This Row],[الدفعات]]</f>
        <v>34156.989999999932</v>
      </c>
    </row>
    <row r="179" spans="11:13" ht="26.25" customHeight="1" x14ac:dyDescent="0.3">
      <c r="K179" s="1">
        <f>Table11819202327[[#This Row],[النولون]]+Table11819202327[[#This Row],[الايصالات]]-Table11819202327[[#This Row],[خصم أ ت ص]]+Table11819202327[[#This Row],[قيمة مضافة]]</f>
        <v>0</v>
      </c>
      <c r="M179" s="1">
        <f>M178+Table11819202327[[#This Row],[اجمالي الفاتوره]]-Table11819202327[[#This Row],[الدفعات]]</f>
        <v>34156.989999999932</v>
      </c>
    </row>
    <row r="180" spans="11:13" ht="26.25" customHeight="1" x14ac:dyDescent="0.3">
      <c r="K180" s="1">
        <f>Table11819202327[[#This Row],[النولون]]+Table11819202327[[#This Row],[الايصالات]]-Table11819202327[[#This Row],[خصم أ ت ص]]+Table11819202327[[#This Row],[قيمة مضافة]]</f>
        <v>0</v>
      </c>
      <c r="M180" s="1">
        <f>M179+Table11819202327[[#This Row],[اجمالي الفاتوره]]-Table11819202327[[#This Row],[الدفعات]]</f>
        <v>34156.989999999932</v>
      </c>
    </row>
    <row r="181" spans="11:13" ht="26.25" customHeight="1" x14ac:dyDescent="0.3">
      <c r="K181" s="1">
        <f>Table11819202327[[#This Row],[النولون]]+Table11819202327[[#This Row],[الايصالات]]-Table11819202327[[#This Row],[خصم أ ت ص]]+Table11819202327[[#This Row],[قيمة مضافة]]</f>
        <v>0</v>
      </c>
      <c r="M181" s="1">
        <f>M180+Table11819202327[[#This Row],[اجمالي الفاتوره]]-Table11819202327[[#This Row],[الدفعات]]</f>
        <v>34156.989999999932</v>
      </c>
    </row>
    <row r="182" spans="11:13" ht="26.25" customHeight="1" x14ac:dyDescent="0.3">
      <c r="K182" s="1">
        <f>Table11819202327[[#This Row],[النولون]]+Table11819202327[[#This Row],[الايصالات]]-Table11819202327[[#This Row],[خصم أ ت ص]]+Table11819202327[[#This Row],[قيمة مضافة]]</f>
        <v>0</v>
      </c>
      <c r="M182" s="1">
        <f>M181+Table11819202327[[#This Row],[اجمالي الفاتوره]]-Table11819202327[[#This Row],[الدفعات]]</f>
        <v>34156.989999999932</v>
      </c>
    </row>
    <row r="183" spans="11:13" ht="26.25" customHeight="1" x14ac:dyDescent="0.3">
      <c r="K183" s="1">
        <f>Table11819202327[[#This Row],[النولون]]+Table11819202327[[#This Row],[الايصالات]]-Table11819202327[[#This Row],[خصم أ ت ص]]+Table11819202327[[#This Row],[قيمة مضافة]]</f>
        <v>0</v>
      </c>
      <c r="M183" s="1">
        <f>M182+Table11819202327[[#This Row],[اجمالي الفاتوره]]-Table11819202327[[#This Row],[الدفعات]]</f>
        <v>34156.989999999932</v>
      </c>
    </row>
    <row r="184" spans="11:13" ht="26.25" customHeight="1" x14ac:dyDescent="0.3">
      <c r="K184" s="1">
        <f>Table11819202327[[#This Row],[النولون]]+Table11819202327[[#This Row],[الايصالات]]-Table11819202327[[#This Row],[خصم أ ت ص]]+Table11819202327[[#This Row],[قيمة مضافة]]</f>
        <v>0</v>
      </c>
      <c r="M184" s="1">
        <f>M183+Table11819202327[[#This Row],[اجمالي الفاتوره]]-Table11819202327[[#This Row],[الدفعات]]</f>
        <v>34156.989999999932</v>
      </c>
    </row>
    <row r="185" spans="11:13" ht="26.25" customHeight="1" x14ac:dyDescent="0.3">
      <c r="K185" s="1">
        <f>Table11819202327[[#This Row],[النولون]]+Table11819202327[[#This Row],[الايصالات]]-Table11819202327[[#This Row],[خصم أ ت ص]]+Table11819202327[[#This Row],[قيمة مضافة]]</f>
        <v>0</v>
      </c>
      <c r="M185" s="1">
        <f>M184+Table11819202327[[#This Row],[اجمالي الفاتوره]]-Table11819202327[[#This Row],[الدفعات]]</f>
        <v>34156.989999999932</v>
      </c>
    </row>
    <row r="186" spans="11:13" ht="26.25" customHeight="1" x14ac:dyDescent="0.3">
      <c r="K186" s="1">
        <f>Table11819202327[[#This Row],[النولون]]+Table11819202327[[#This Row],[الايصالات]]-Table11819202327[[#This Row],[خصم أ ت ص]]+Table11819202327[[#This Row],[قيمة مضافة]]</f>
        <v>0</v>
      </c>
      <c r="M186" s="1">
        <f>M185+Table11819202327[[#This Row],[اجمالي الفاتوره]]-Table11819202327[[#This Row],[الدفعات]]</f>
        <v>34156.989999999932</v>
      </c>
    </row>
    <row r="187" spans="11:13" ht="26.25" customHeight="1" x14ac:dyDescent="0.3">
      <c r="K187" s="1">
        <f>Table11819202327[[#This Row],[النولون]]+Table11819202327[[#This Row],[الايصالات]]-Table11819202327[[#This Row],[خصم أ ت ص]]+Table11819202327[[#This Row],[قيمة مضافة]]</f>
        <v>0</v>
      </c>
      <c r="M187" s="1">
        <f>M186+Table11819202327[[#This Row],[اجمالي الفاتوره]]-Table11819202327[[#This Row],[الدفعات]]</f>
        <v>34156.989999999932</v>
      </c>
    </row>
    <row r="188" spans="11:13" ht="26.25" customHeight="1" x14ac:dyDescent="0.3">
      <c r="K188" s="1">
        <f>Table11819202327[[#This Row],[النولون]]+Table11819202327[[#This Row],[الايصالات]]-Table11819202327[[#This Row],[خصم أ ت ص]]+Table11819202327[[#This Row],[قيمة مضافة]]</f>
        <v>0</v>
      </c>
      <c r="M188" s="1">
        <f>M187+Table11819202327[[#This Row],[اجمالي الفاتوره]]-Table11819202327[[#This Row],[الدفعات]]</f>
        <v>34156.989999999932</v>
      </c>
    </row>
    <row r="189" spans="11:13" ht="26.25" customHeight="1" x14ac:dyDescent="0.3">
      <c r="K189" s="1">
        <f>Table11819202327[[#This Row],[النولون]]+Table11819202327[[#This Row],[الايصالات]]-Table11819202327[[#This Row],[خصم أ ت ص]]+Table11819202327[[#This Row],[قيمة مضافة]]</f>
        <v>0</v>
      </c>
      <c r="M189" s="1">
        <f>M188+Table11819202327[[#This Row],[اجمالي الفاتوره]]-Table11819202327[[#This Row],[الدفعات]]</f>
        <v>34156.989999999932</v>
      </c>
    </row>
    <row r="190" spans="11:13" ht="26.25" customHeight="1" x14ac:dyDescent="0.3">
      <c r="K190" s="1">
        <f>Table11819202327[[#This Row],[النولون]]+Table11819202327[[#This Row],[الايصالات]]-Table11819202327[[#This Row],[خصم أ ت ص]]+Table11819202327[[#This Row],[قيمة مضافة]]</f>
        <v>0</v>
      </c>
      <c r="M190" s="1">
        <f>M189+Table11819202327[[#This Row],[اجمالي الفاتوره]]-Table11819202327[[#This Row],[الدفعات]]</f>
        <v>34156.989999999932</v>
      </c>
    </row>
    <row r="191" spans="11:13" ht="26.25" customHeight="1" x14ac:dyDescent="0.3">
      <c r="K191" s="1">
        <f>Table11819202327[[#This Row],[النولون]]+Table11819202327[[#This Row],[الايصالات]]-Table11819202327[[#This Row],[خصم أ ت ص]]+Table11819202327[[#This Row],[قيمة مضافة]]</f>
        <v>0</v>
      </c>
      <c r="M191" s="1">
        <f>M190+Table11819202327[[#This Row],[اجمالي الفاتوره]]-Table11819202327[[#This Row],[الدفعات]]</f>
        <v>34156.989999999932</v>
      </c>
    </row>
    <row r="192" spans="11:13" ht="26.25" customHeight="1" x14ac:dyDescent="0.3">
      <c r="K192" s="1">
        <f>Table11819202327[[#This Row],[النولون]]+Table11819202327[[#This Row],[الايصالات]]-Table11819202327[[#This Row],[خصم أ ت ص]]+Table11819202327[[#This Row],[قيمة مضافة]]</f>
        <v>0</v>
      </c>
      <c r="M192" s="1">
        <f>M191+Table11819202327[[#This Row],[اجمالي الفاتوره]]-Table11819202327[[#This Row],[الدفعات]]</f>
        <v>34156.989999999932</v>
      </c>
    </row>
    <row r="193" spans="11:13" ht="26.25" customHeight="1" x14ac:dyDescent="0.3">
      <c r="K193" s="1">
        <f>Table11819202327[[#This Row],[النولون]]+Table11819202327[[#This Row],[الايصالات]]-Table11819202327[[#This Row],[خصم أ ت ص]]+Table11819202327[[#This Row],[قيمة مضافة]]</f>
        <v>0</v>
      </c>
      <c r="M193" s="1">
        <f>M192+Table11819202327[[#This Row],[اجمالي الفاتوره]]-Table11819202327[[#This Row],[الدفعات]]</f>
        <v>34156.989999999932</v>
      </c>
    </row>
    <row r="194" spans="11:13" ht="26.25" customHeight="1" x14ac:dyDescent="0.3">
      <c r="K194" s="1">
        <f>Table11819202327[[#This Row],[النولون]]+Table11819202327[[#This Row],[الايصالات]]-Table11819202327[[#This Row],[خصم أ ت ص]]+Table11819202327[[#This Row],[قيمة مضافة]]</f>
        <v>0</v>
      </c>
      <c r="M194" s="1">
        <f>M193+Table11819202327[[#This Row],[اجمالي الفاتوره]]-Table11819202327[[#This Row],[الدفعات]]</f>
        <v>34156.989999999932</v>
      </c>
    </row>
    <row r="195" spans="11:13" ht="26.25" customHeight="1" x14ac:dyDescent="0.3">
      <c r="K195" s="1">
        <f>Table11819202327[[#This Row],[النولون]]+Table11819202327[[#This Row],[الايصالات]]-Table11819202327[[#This Row],[خصم أ ت ص]]+Table11819202327[[#This Row],[قيمة مضافة]]</f>
        <v>0</v>
      </c>
      <c r="M195" s="1">
        <f>M194+Table11819202327[[#This Row],[اجمالي الفاتوره]]-Table11819202327[[#This Row],[الدفعات]]</f>
        <v>34156.989999999932</v>
      </c>
    </row>
    <row r="196" spans="11:13" ht="26.25" customHeight="1" x14ac:dyDescent="0.3">
      <c r="K196" s="1">
        <f>Table11819202327[[#This Row],[النولون]]+Table11819202327[[#This Row],[الايصالات]]-Table11819202327[[#This Row],[خصم أ ت ص]]+Table11819202327[[#This Row],[قيمة مضافة]]</f>
        <v>0</v>
      </c>
      <c r="M196" s="1">
        <f>M195+Table11819202327[[#This Row],[اجمالي الفاتوره]]-Table11819202327[[#This Row],[الدفعات]]</f>
        <v>34156.989999999932</v>
      </c>
    </row>
    <row r="197" spans="11:13" ht="26.25" customHeight="1" x14ac:dyDescent="0.3">
      <c r="K197" s="1">
        <f>Table11819202327[[#This Row],[النولون]]+Table11819202327[[#This Row],[الايصالات]]-Table11819202327[[#This Row],[خصم أ ت ص]]+Table11819202327[[#This Row],[قيمة مضافة]]</f>
        <v>0</v>
      </c>
      <c r="M197" s="1">
        <f>M196+Table11819202327[[#This Row],[اجمالي الفاتوره]]-Table11819202327[[#This Row],[الدفعات]]</f>
        <v>34156.989999999932</v>
      </c>
    </row>
    <row r="198" spans="11:13" ht="26.25" customHeight="1" x14ac:dyDescent="0.3">
      <c r="K198" s="1">
        <f>Table11819202327[[#This Row],[النولون]]+Table11819202327[[#This Row],[الايصالات]]-Table11819202327[[#This Row],[خصم أ ت ص]]+Table11819202327[[#This Row],[قيمة مضافة]]</f>
        <v>0</v>
      </c>
      <c r="M198" s="1">
        <f>M197+Table11819202327[[#This Row],[اجمالي الفاتوره]]-Table11819202327[[#This Row],[الدفعات]]</f>
        <v>34156.989999999932</v>
      </c>
    </row>
    <row r="199" spans="11:13" ht="26.25" customHeight="1" x14ac:dyDescent="0.3">
      <c r="K199" s="1">
        <f>Table11819202327[[#This Row],[النولون]]+Table11819202327[[#This Row],[الايصالات]]-Table11819202327[[#This Row],[خصم أ ت ص]]+Table11819202327[[#This Row],[قيمة مضافة]]</f>
        <v>0</v>
      </c>
      <c r="M199" s="1">
        <f>M198+Table11819202327[[#This Row],[اجمالي الفاتوره]]-Table11819202327[[#This Row],[الدفعات]]</f>
        <v>34156.989999999932</v>
      </c>
    </row>
    <row r="200" spans="11:13" ht="26.25" customHeight="1" x14ac:dyDescent="0.3">
      <c r="K200" s="1">
        <f>Table11819202327[[#This Row],[النولون]]+Table11819202327[[#This Row],[الايصالات]]-Table11819202327[[#This Row],[خصم أ ت ص]]+Table11819202327[[#This Row],[قيمة مضافة]]</f>
        <v>0</v>
      </c>
      <c r="M200" s="1">
        <f>M199+Table11819202327[[#This Row],[اجمالي الفاتوره]]-Table11819202327[[#This Row],[الدفعات]]</f>
        <v>34156.989999999932</v>
      </c>
    </row>
    <row r="201" spans="11:13" ht="26.25" customHeight="1" x14ac:dyDescent="0.3">
      <c r="K201" s="1">
        <f>Table11819202327[[#This Row],[النولون]]+Table11819202327[[#This Row],[الايصالات]]-Table11819202327[[#This Row],[خصم أ ت ص]]+Table11819202327[[#This Row],[قيمة مضافة]]</f>
        <v>0</v>
      </c>
      <c r="M201" s="1">
        <f>M200+Table11819202327[[#This Row],[اجمالي الفاتوره]]-Table11819202327[[#This Row],[الدفعات]]</f>
        <v>34156.989999999932</v>
      </c>
    </row>
    <row r="202" spans="11:13" ht="26.25" customHeight="1" x14ac:dyDescent="0.3">
      <c r="K202" s="1">
        <f>Table11819202327[[#This Row],[النولون]]+Table11819202327[[#This Row],[الايصالات]]-Table11819202327[[#This Row],[خصم أ ت ص]]+Table11819202327[[#This Row],[قيمة مضافة]]</f>
        <v>0</v>
      </c>
      <c r="M202" s="1">
        <f>M201+Table11819202327[[#This Row],[اجمالي الفاتوره]]-Table11819202327[[#This Row],[الدفعات]]</f>
        <v>34156.989999999932</v>
      </c>
    </row>
    <row r="203" spans="11:13" ht="26.25" customHeight="1" x14ac:dyDescent="0.3">
      <c r="K203" s="1">
        <f>Table11819202327[[#This Row],[النولون]]+Table11819202327[[#This Row],[الايصالات]]-Table11819202327[[#This Row],[خصم أ ت ص]]+Table11819202327[[#This Row],[قيمة مضافة]]</f>
        <v>0</v>
      </c>
      <c r="M203" s="1">
        <f>M202+Table11819202327[[#This Row],[اجمالي الفاتوره]]-Table11819202327[[#This Row],[الدفعات]]</f>
        <v>34156.989999999932</v>
      </c>
    </row>
    <row r="204" spans="11:13" ht="26.25" customHeight="1" x14ac:dyDescent="0.3">
      <c r="K204" s="1">
        <f>Table11819202327[[#This Row],[النولون]]+Table11819202327[[#This Row],[الايصالات]]-Table11819202327[[#This Row],[خصم أ ت ص]]+Table11819202327[[#This Row],[قيمة مضافة]]</f>
        <v>0</v>
      </c>
      <c r="M204" s="1">
        <f>M203+Table11819202327[[#This Row],[اجمالي الفاتوره]]-Table11819202327[[#This Row],[الدفعات]]</f>
        <v>34156.989999999932</v>
      </c>
    </row>
    <row r="205" spans="11:13" ht="26.25" customHeight="1" x14ac:dyDescent="0.3">
      <c r="K205" s="1">
        <f>Table11819202327[[#This Row],[النولون]]+Table11819202327[[#This Row],[الايصالات]]-Table11819202327[[#This Row],[خصم أ ت ص]]+Table11819202327[[#This Row],[قيمة مضافة]]</f>
        <v>0</v>
      </c>
      <c r="M205" s="1">
        <f>M204+Table11819202327[[#This Row],[اجمالي الفاتوره]]-Table11819202327[[#This Row],[الدفعات]]</f>
        <v>34156.989999999932</v>
      </c>
    </row>
    <row r="206" spans="11:13" ht="26.25" customHeight="1" x14ac:dyDescent="0.3">
      <c r="K206" s="1">
        <f>Table11819202327[[#This Row],[النولون]]+Table11819202327[[#This Row],[الايصالات]]-Table11819202327[[#This Row],[خصم أ ت ص]]+Table11819202327[[#This Row],[قيمة مضافة]]</f>
        <v>0</v>
      </c>
      <c r="M206" s="1">
        <f>M205+Table11819202327[[#This Row],[اجمالي الفاتوره]]-Table11819202327[[#This Row],[الدفعات]]</f>
        <v>34156.989999999932</v>
      </c>
    </row>
    <row r="207" spans="11:13" ht="26.25" customHeight="1" x14ac:dyDescent="0.3">
      <c r="K207" s="1">
        <f>Table11819202327[[#This Row],[النولون]]+Table11819202327[[#This Row],[الايصالات]]-Table11819202327[[#This Row],[خصم أ ت ص]]+Table11819202327[[#This Row],[قيمة مضافة]]</f>
        <v>0</v>
      </c>
      <c r="M207" s="1">
        <f>M206+Table11819202327[[#This Row],[اجمالي الفاتوره]]-Table11819202327[[#This Row],[الدفعات]]</f>
        <v>34156.989999999932</v>
      </c>
    </row>
    <row r="208" spans="11:13" ht="26.25" customHeight="1" x14ac:dyDescent="0.3">
      <c r="K208" s="1">
        <f>Table11819202327[[#This Row],[النولون]]+Table11819202327[[#This Row],[الايصالات]]-Table11819202327[[#This Row],[خصم أ ت ص]]+Table11819202327[[#This Row],[قيمة مضافة]]</f>
        <v>0</v>
      </c>
      <c r="M208" s="1">
        <f>M207+Table11819202327[[#This Row],[اجمالي الفاتوره]]-Table11819202327[[#This Row],[الدفعات]]</f>
        <v>34156.989999999932</v>
      </c>
    </row>
    <row r="209" spans="11:13" ht="26.25" customHeight="1" x14ac:dyDescent="0.3">
      <c r="K209" s="1">
        <f>Table11819202327[[#This Row],[النولون]]+Table11819202327[[#This Row],[الايصالات]]-Table11819202327[[#This Row],[خصم أ ت ص]]+Table11819202327[[#This Row],[قيمة مضافة]]</f>
        <v>0</v>
      </c>
      <c r="M209" s="1">
        <f>M208+Table11819202327[[#This Row],[اجمالي الفاتوره]]-Table11819202327[[#This Row],[الدفعات]]</f>
        <v>34156.989999999932</v>
      </c>
    </row>
    <row r="210" spans="11:13" ht="26.25" customHeight="1" x14ac:dyDescent="0.3">
      <c r="K210" s="1">
        <f>Table11819202327[[#This Row],[النولون]]+Table11819202327[[#This Row],[الايصالات]]-Table11819202327[[#This Row],[خصم أ ت ص]]+Table11819202327[[#This Row],[قيمة مضافة]]</f>
        <v>0</v>
      </c>
      <c r="M210" s="1">
        <f>M209+Table11819202327[[#This Row],[اجمالي الفاتوره]]-Table11819202327[[#This Row],[الدفعات]]</f>
        <v>34156.989999999932</v>
      </c>
    </row>
    <row r="211" spans="11:13" ht="26.25" customHeight="1" x14ac:dyDescent="0.3">
      <c r="K211" s="1">
        <f>Table11819202327[[#This Row],[النولون]]+Table11819202327[[#This Row],[الايصالات]]-Table11819202327[[#This Row],[خصم أ ت ص]]+Table11819202327[[#This Row],[قيمة مضافة]]</f>
        <v>0</v>
      </c>
      <c r="M211" s="1">
        <f>M210+Table11819202327[[#This Row],[اجمالي الفاتوره]]-Table11819202327[[#This Row],[الدفعات]]</f>
        <v>34156.989999999932</v>
      </c>
    </row>
    <row r="212" spans="11:13" ht="26.25" customHeight="1" x14ac:dyDescent="0.3">
      <c r="K212" s="1">
        <f>Table11819202327[[#This Row],[النولون]]+Table11819202327[[#This Row],[الايصالات]]-Table11819202327[[#This Row],[خصم أ ت ص]]+Table11819202327[[#This Row],[قيمة مضافة]]</f>
        <v>0</v>
      </c>
      <c r="M212" s="1">
        <f>M211+Table11819202327[[#This Row],[اجمالي الفاتوره]]-Table11819202327[[#This Row],[الدفعات]]</f>
        <v>34156.989999999932</v>
      </c>
    </row>
    <row r="213" spans="11:13" ht="26.25" customHeight="1" x14ac:dyDescent="0.3">
      <c r="K213" s="1">
        <f>Table11819202327[[#This Row],[النولون]]+Table11819202327[[#This Row],[الايصالات]]-Table11819202327[[#This Row],[خصم أ ت ص]]+Table11819202327[[#This Row],[قيمة مضافة]]</f>
        <v>0</v>
      </c>
      <c r="M213" s="1">
        <f>M212+Table11819202327[[#This Row],[اجمالي الفاتوره]]-Table11819202327[[#This Row],[الدفعات]]</f>
        <v>34156.989999999932</v>
      </c>
    </row>
    <row r="214" spans="11:13" ht="26.25" customHeight="1" x14ac:dyDescent="0.3">
      <c r="K214" s="1">
        <f>Table11819202327[[#This Row],[النولون]]+Table11819202327[[#This Row],[الايصالات]]-Table11819202327[[#This Row],[خصم أ ت ص]]+Table11819202327[[#This Row],[قيمة مضافة]]</f>
        <v>0</v>
      </c>
      <c r="M214" s="1">
        <f>M213+Table11819202327[[#This Row],[اجمالي الفاتوره]]-Table11819202327[[#This Row],[الدفعات]]</f>
        <v>34156.989999999932</v>
      </c>
    </row>
    <row r="215" spans="11:13" ht="26.25" customHeight="1" x14ac:dyDescent="0.3">
      <c r="K215" s="1">
        <f>Table11819202327[[#This Row],[النولون]]+Table11819202327[[#This Row],[الايصالات]]-Table11819202327[[#This Row],[خصم أ ت ص]]+Table11819202327[[#This Row],[قيمة مضافة]]</f>
        <v>0</v>
      </c>
      <c r="M215" s="1">
        <f>M214+Table11819202327[[#This Row],[اجمالي الفاتوره]]-Table11819202327[[#This Row],[الدفعات]]</f>
        <v>34156.989999999932</v>
      </c>
    </row>
    <row r="216" spans="11:13" ht="26.25" customHeight="1" x14ac:dyDescent="0.3">
      <c r="K216" s="1">
        <f>Table11819202327[[#This Row],[النولون]]+Table11819202327[[#This Row],[الايصالات]]-Table11819202327[[#This Row],[خصم أ ت ص]]+Table11819202327[[#This Row],[قيمة مضافة]]</f>
        <v>0</v>
      </c>
      <c r="M216" s="1">
        <f>M215+Table11819202327[[#This Row],[اجمالي الفاتوره]]-Table11819202327[[#This Row],[الدفعات]]</f>
        <v>34156.989999999932</v>
      </c>
    </row>
    <row r="217" spans="11:13" ht="26.25" customHeight="1" x14ac:dyDescent="0.3">
      <c r="K217" s="1">
        <f>Table11819202327[[#This Row],[النولون]]+Table11819202327[[#This Row],[الايصالات]]-Table11819202327[[#This Row],[خصم أ ت ص]]+Table11819202327[[#This Row],[قيمة مضافة]]</f>
        <v>0</v>
      </c>
      <c r="M217" s="1">
        <f>M216+Table11819202327[[#This Row],[اجمالي الفاتوره]]-Table11819202327[[#This Row],[الدفعات]]</f>
        <v>34156.989999999932</v>
      </c>
    </row>
    <row r="218" spans="11:13" ht="26.25" customHeight="1" x14ac:dyDescent="0.3">
      <c r="K218" s="1">
        <f>Table11819202327[[#This Row],[النولون]]+Table11819202327[[#This Row],[الايصالات]]-Table11819202327[[#This Row],[خصم أ ت ص]]+Table11819202327[[#This Row],[قيمة مضافة]]</f>
        <v>0</v>
      </c>
      <c r="M218" s="1">
        <f>M217+Table11819202327[[#This Row],[اجمالي الفاتوره]]-Table11819202327[[#This Row],[الدفعات]]</f>
        <v>34156.989999999932</v>
      </c>
    </row>
    <row r="219" spans="11:13" ht="26.25" customHeight="1" x14ac:dyDescent="0.3">
      <c r="K219" s="1">
        <f>Table11819202327[[#This Row],[النولون]]+Table11819202327[[#This Row],[الايصالات]]-Table11819202327[[#This Row],[خصم أ ت ص]]+Table11819202327[[#This Row],[قيمة مضافة]]</f>
        <v>0</v>
      </c>
      <c r="M219" s="1">
        <f>M218+Table11819202327[[#This Row],[اجمالي الفاتوره]]-Table11819202327[[#This Row],[الدفعات]]</f>
        <v>34156.989999999932</v>
      </c>
    </row>
    <row r="220" spans="11:13" ht="26.25" customHeight="1" x14ac:dyDescent="0.3">
      <c r="K220" s="1">
        <f>Table11819202327[[#This Row],[النولون]]+Table11819202327[[#This Row],[الايصالات]]-Table11819202327[[#This Row],[خصم أ ت ص]]+Table11819202327[[#This Row],[قيمة مضافة]]</f>
        <v>0</v>
      </c>
      <c r="M220" s="1">
        <f>M219+Table11819202327[[#This Row],[اجمالي الفاتوره]]-Table11819202327[[#This Row],[الدفعات]]</f>
        <v>34156.989999999932</v>
      </c>
    </row>
    <row r="221" spans="11:13" ht="26.25" customHeight="1" x14ac:dyDescent="0.3">
      <c r="K221" s="1">
        <f>Table11819202327[[#This Row],[النولون]]+Table11819202327[[#This Row],[الايصالات]]-Table11819202327[[#This Row],[خصم أ ت ص]]+Table11819202327[[#This Row],[قيمة مضافة]]</f>
        <v>0</v>
      </c>
      <c r="M221" s="1">
        <f>M220+Table11819202327[[#This Row],[اجمالي الفاتوره]]-Table11819202327[[#This Row],[الدفعات]]</f>
        <v>34156.989999999932</v>
      </c>
    </row>
    <row r="222" spans="11:13" ht="26.25" customHeight="1" x14ac:dyDescent="0.3">
      <c r="K222" s="1">
        <f>Table11819202327[[#This Row],[النولون]]+Table11819202327[[#This Row],[الايصالات]]-Table11819202327[[#This Row],[خصم أ ت ص]]+Table11819202327[[#This Row],[قيمة مضافة]]</f>
        <v>0</v>
      </c>
      <c r="M222" s="1">
        <f>M221+Table11819202327[[#This Row],[اجمالي الفاتوره]]-Table11819202327[[#This Row],[الدفعات]]</f>
        <v>34156.989999999932</v>
      </c>
    </row>
    <row r="223" spans="11:13" ht="26.25" customHeight="1" x14ac:dyDescent="0.3">
      <c r="K223" s="1">
        <f>Table11819202327[[#This Row],[النولون]]+Table11819202327[[#This Row],[الايصالات]]-Table11819202327[[#This Row],[خصم أ ت ص]]+Table11819202327[[#This Row],[قيمة مضافة]]</f>
        <v>0</v>
      </c>
      <c r="M223" s="1">
        <f>M222+Table11819202327[[#This Row],[اجمالي الفاتوره]]-Table11819202327[[#This Row],[الدفعات]]</f>
        <v>34156.989999999932</v>
      </c>
    </row>
    <row r="224" spans="11:13" ht="26.25" customHeight="1" x14ac:dyDescent="0.3">
      <c r="K224" s="1">
        <f>Table11819202327[[#This Row],[النولون]]+Table11819202327[[#This Row],[الايصالات]]-Table11819202327[[#This Row],[خصم أ ت ص]]+Table11819202327[[#This Row],[قيمة مضافة]]</f>
        <v>0</v>
      </c>
      <c r="M224" s="1">
        <f>M223+Table11819202327[[#This Row],[اجمالي الفاتوره]]-Table11819202327[[#This Row],[الدفعات]]</f>
        <v>34156.989999999932</v>
      </c>
    </row>
    <row r="225" spans="11:13" ht="26.25" customHeight="1" x14ac:dyDescent="0.3">
      <c r="K225" s="1">
        <f>Table11819202327[[#This Row],[النولون]]+Table11819202327[[#This Row],[الايصالات]]-Table11819202327[[#This Row],[خصم أ ت ص]]+Table11819202327[[#This Row],[قيمة مضافة]]</f>
        <v>0</v>
      </c>
      <c r="M225" s="1">
        <f>M224+Table11819202327[[#This Row],[اجمالي الفاتوره]]-Table11819202327[[#This Row],[الدفعات]]</f>
        <v>34156.989999999932</v>
      </c>
    </row>
    <row r="226" spans="11:13" ht="26.25" customHeight="1" x14ac:dyDescent="0.3">
      <c r="K226" s="1">
        <f>Table11819202327[[#This Row],[النولون]]+Table11819202327[[#This Row],[الايصالات]]-Table11819202327[[#This Row],[خصم أ ت ص]]+Table11819202327[[#This Row],[قيمة مضافة]]</f>
        <v>0</v>
      </c>
      <c r="M226" s="1">
        <f>M225+Table11819202327[[#This Row],[اجمالي الفاتوره]]-Table11819202327[[#This Row],[الدفعات]]</f>
        <v>34156.989999999932</v>
      </c>
    </row>
    <row r="227" spans="11:13" ht="26.25" customHeight="1" x14ac:dyDescent="0.3">
      <c r="K227" s="1">
        <f>Table11819202327[[#This Row],[النولون]]+Table11819202327[[#This Row],[الايصالات]]-Table11819202327[[#This Row],[خصم أ ت ص]]+Table11819202327[[#This Row],[قيمة مضافة]]</f>
        <v>0</v>
      </c>
      <c r="M227" s="1">
        <f>M226+Table11819202327[[#This Row],[اجمالي الفاتوره]]-Table11819202327[[#This Row],[الدفعات]]</f>
        <v>34156.989999999932</v>
      </c>
    </row>
    <row r="228" spans="11:13" ht="26.25" customHeight="1" x14ac:dyDescent="0.3">
      <c r="K228" s="1">
        <f>Table11819202327[[#This Row],[النولون]]+Table11819202327[[#This Row],[الايصالات]]-Table11819202327[[#This Row],[خصم أ ت ص]]+Table11819202327[[#This Row],[قيمة مضافة]]</f>
        <v>0</v>
      </c>
      <c r="M228" s="1">
        <f>M227+Table11819202327[[#This Row],[اجمالي الفاتوره]]-Table11819202327[[#This Row],[الدفعات]]</f>
        <v>34156.989999999932</v>
      </c>
    </row>
    <row r="229" spans="11:13" ht="26.25" customHeight="1" x14ac:dyDescent="0.3">
      <c r="K229" s="1">
        <f>Table11819202327[[#This Row],[النولون]]+Table11819202327[[#This Row],[الايصالات]]-Table11819202327[[#This Row],[خصم أ ت ص]]+Table11819202327[[#This Row],[قيمة مضافة]]</f>
        <v>0</v>
      </c>
      <c r="M229" s="1">
        <f>M228+Table11819202327[[#This Row],[اجمالي الفاتوره]]-Table11819202327[[#This Row],[الدفعات]]</f>
        <v>34156.989999999932</v>
      </c>
    </row>
    <row r="230" spans="11:13" ht="26.25" customHeight="1" x14ac:dyDescent="0.3">
      <c r="K230" s="1">
        <f>Table11819202327[[#This Row],[النولون]]+Table11819202327[[#This Row],[الايصالات]]-Table11819202327[[#This Row],[خصم أ ت ص]]+Table11819202327[[#This Row],[قيمة مضافة]]</f>
        <v>0</v>
      </c>
      <c r="M230" s="1">
        <f>M229+Table11819202327[[#This Row],[اجمالي الفاتوره]]-Table11819202327[[#This Row],[الدفعات]]</f>
        <v>34156.989999999932</v>
      </c>
    </row>
    <row r="231" spans="11:13" ht="26.25" customHeight="1" x14ac:dyDescent="0.3">
      <c r="K231" s="1">
        <f>Table11819202327[[#This Row],[النولون]]+Table11819202327[[#This Row],[الايصالات]]-Table11819202327[[#This Row],[خصم أ ت ص]]+Table11819202327[[#This Row],[قيمة مضافة]]</f>
        <v>0</v>
      </c>
      <c r="M231" s="1">
        <f>M230+Table11819202327[[#This Row],[اجمالي الفاتوره]]-Table11819202327[[#This Row],[الدفعات]]</f>
        <v>34156.989999999932</v>
      </c>
    </row>
    <row r="232" spans="11:13" ht="26.25" customHeight="1" x14ac:dyDescent="0.3">
      <c r="K232" s="1">
        <f>Table11819202327[[#This Row],[النولون]]+Table11819202327[[#This Row],[الايصالات]]-Table11819202327[[#This Row],[خصم أ ت ص]]+Table11819202327[[#This Row],[قيمة مضافة]]</f>
        <v>0</v>
      </c>
      <c r="M232" s="1">
        <f>M231+Table11819202327[[#This Row],[اجمالي الفاتوره]]-Table11819202327[[#This Row],[الدفعات]]</f>
        <v>34156.989999999932</v>
      </c>
    </row>
    <row r="233" spans="11:13" ht="26.25" customHeight="1" x14ac:dyDescent="0.3">
      <c r="K233" s="1">
        <f>Table11819202327[[#This Row],[النولون]]+Table11819202327[[#This Row],[الايصالات]]-Table11819202327[[#This Row],[خصم أ ت ص]]+Table11819202327[[#This Row],[قيمة مضافة]]</f>
        <v>0</v>
      </c>
      <c r="M233" s="1">
        <f>M232+Table11819202327[[#This Row],[اجمالي الفاتوره]]-Table11819202327[[#This Row],[الدفعات]]</f>
        <v>34156.989999999932</v>
      </c>
    </row>
    <row r="234" spans="11:13" ht="26.25" customHeight="1" x14ac:dyDescent="0.3">
      <c r="K234" s="1">
        <f>Table11819202327[[#This Row],[النولون]]+Table11819202327[[#This Row],[الايصالات]]-Table11819202327[[#This Row],[خصم أ ت ص]]+Table11819202327[[#This Row],[قيمة مضافة]]</f>
        <v>0</v>
      </c>
      <c r="M234" s="1">
        <f>M233+Table11819202327[[#This Row],[اجمالي الفاتوره]]-Table11819202327[[#This Row],[الدفعات]]</f>
        <v>34156.989999999932</v>
      </c>
    </row>
    <row r="235" spans="11:13" ht="26.25" customHeight="1" x14ac:dyDescent="0.3">
      <c r="K235" s="1">
        <f>Table11819202327[[#This Row],[النولون]]+Table11819202327[[#This Row],[الايصالات]]-Table11819202327[[#This Row],[خصم أ ت ص]]+Table11819202327[[#This Row],[قيمة مضافة]]</f>
        <v>0</v>
      </c>
      <c r="M235" s="1">
        <f>M234+Table11819202327[[#This Row],[اجمالي الفاتوره]]-Table11819202327[[#This Row],[الدفعات]]</f>
        <v>34156.989999999932</v>
      </c>
    </row>
    <row r="236" spans="11:13" ht="26.25" customHeight="1" x14ac:dyDescent="0.3">
      <c r="K236" s="1">
        <f>Table11819202327[[#This Row],[النولون]]+Table11819202327[[#This Row],[الايصالات]]-Table11819202327[[#This Row],[خصم أ ت ص]]+Table11819202327[[#This Row],[قيمة مضافة]]</f>
        <v>0</v>
      </c>
      <c r="M236" s="1">
        <f>M235+Table11819202327[[#This Row],[اجمالي الفاتوره]]-Table11819202327[[#This Row],[الدفعات]]</f>
        <v>34156.989999999932</v>
      </c>
    </row>
    <row r="237" spans="11:13" ht="26.25" customHeight="1" x14ac:dyDescent="0.3">
      <c r="K237" s="1">
        <f>Table11819202327[[#This Row],[النولون]]+Table11819202327[[#This Row],[الايصالات]]-Table11819202327[[#This Row],[خصم أ ت ص]]+Table11819202327[[#This Row],[قيمة مضافة]]</f>
        <v>0</v>
      </c>
      <c r="M237" s="1">
        <f>M236+Table11819202327[[#This Row],[اجمالي الفاتوره]]-Table11819202327[[#This Row],[الدفعات]]</f>
        <v>34156.989999999932</v>
      </c>
    </row>
    <row r="238" spans="11:13" ht="26.25" customHeight="1" x14ac:dyDescent="0.3">
      <c r="K238" s="1">
        <f>Table11819202327[[#This Row],[النولون]]+Table11819202327[[#This Row],[الايصالات]]-Table11819202327[[#This Row],[خصم أ ت ص]]+Table11819202327[[#This Row],[قيمة مضافة]]</f>
        <v>0</v>
      </c>
      <c r="M238" s="1">
        <f>M237+Table11819202327[[#This Row],[اجمالي الفاتوره]]-Table11819202327[[#This Row],[الدفعات]]</f>
        <v>34156.989999999932</v>
      </c>
    </row>
    <row r="239" spans="11:13" ht="26.25" customHeight="1" x14ac:dyDescent="0.3">
      <c r="K239" s="1">
        <f>Table11819202327[[#This Row],[النولون]]+Table11819202327[[#This Row],[الايصالات]]-Table11819202327[[#This Row],[خصم أ ت ص]]+Table11819202327[[#This Row],[قيمة مضافة]]</f>
        <v>0</v>
      </c>
      <c r="M239" s="1">
        <f>M238+Table11819202327[[#This Row],[اجمالي الفاتوره]]-Table11819202327[[#This Row],[الدفعات]]</f>
        <v>34156.989999999932</v>
      </c>
    </row>
    <row r="240" spans="11:13" ht="26.25" customHeight="1" x14ac:dyDescent="0.3">
      <c r="K240" s="1">
        <f>Table11819202327[[#This Row],[النولون]]+Table11819202327[[#This Row],[الايصالات]]-Table11819202327[[#This Row],[خصم أ ت ص]]+Table11819202327[[#This Row],[قيمة مضافة]]</f>
        <v>0</v>
      </c>
      <c r="M240" s="1">
        <f>M239+Table11819202327[[#This Row],[اجمالي الفاتوره]]-Table11819202327[[#This Row],[الدفعات]]</f>
        <v>34156.989999999932</v>
      </c>
    </row>
    <row r="241" spans="11:13" ht="26.25" customHeight="1" x14ac:dyDescent="0.3">
      <c r="K241" s="1">
        <f>Table11819202327[[#This Row],[النولون]]+Table11819202327[[#This Row],[الايصالات]]-Table11819202327[[#This Row],[خصم أ ت ص]]+Table11819202327[[#This Row],[قيمة مضافة]]</f>
        <v>0</v>
      </c>
      <c r="M241" s="1">
        <f>M240+Table11819202327[[#This Row],[اجمالي الفاتوره]]-Table11819202327[[#This Row],[الدفعات]]</f>
        <v>34156.989999999932</v>
      </c>
    </row>
    <row r="242" spans="11:13" ht="26.25" customHeight="1" x14ac:dyDescent="0.3">
      <c r="K242" s="1">
        <f>Table11819202327[[#This Row],[النولون]]+Table11819202327[[#This Row],[الايصالات]]-Table11819202327[[#This Row],[خصم أ ت ص]]+Table11819202327[[#This Row],[قيمة مضافة]]</f>
        <v>0</v>
      </c>
      <c r="M242" s="1">
        <f>M241+Table11819202327[[#This Row],[اجمالي الفاتوره]]-Table11819202327[[#This Row],[الدفعات]]</f>
        <v>34156.989999999932</v>
      </c>
    </row>
    <row r="243" spans="11:13" ht="26.25" customHeight="1" x14ac:dyDescent="0.3">
      <c r="K243" s="1">
        <f>Table11819202327[[#This Row],[النولون]]+Table11819202327[[#This Row],[الايصالات]]-Table11819202327[[#This Row],[خصم أ ت ص]]+Table11819202327[[#This Row],[قيمة مضافة]]</f>
        <v>0</v>
      </c>
      <c r="M243" s="1">
        <f>M242+Table11819202327[[#This Row],[اجمالي الفاتوره]]-Table11819202327[[#This Row],[الدفعات]]</f>
        <v>34156.989999999932</v>
      </c>
    </row>
    <row r="244" spans="11:13" ht="26.25" customHeight="1" x14ac:dyDescent="0.3">
      <c r="K244" s="1">
        <f>Table11819202327[[#This Row],[النولون]]+Table11819202327[[#This Row],[الايصالات]]-Table11819202327[[#This Row],[خصم أ ت ص]]+Table11819202327[[#This Row],[قيمة مضافة]]</f>
        <v>0</v>
      </c>
      <c r="M244" s="1">
        <f>M243+Table11819202327[[#This Row],[اجمالي الفاتوره]]-Table11819202327[[#This Row],[الدفعات]]</f>
        <v>34156.989999999932</v>
      </c>
    </row>
    <row r="245" spans="11:13" ht="26.25" customHeight="1" x14ac:dyDescent="0.3">
      <c r="K245" s="1">
        <f>Table11819202327[[#This Row],[النولون]]+Table11819202327[[#This Row],[الايصالات]]-Table11819202327[[#This Row],[خصم أ ت ص]]+Table11819202327[[#This Row],[قيمة مضافة]]</f>
        <v>0</v>
      </c>
      <c r="M245" s="1">
        <f>M244+Table11819202327[[#This Row],[اجمالي الفاتوره]]-Table11819202327[[#This Row],[الدفعات]]</f>
        <v>34156.989999999932</v>
      </c>
    </row>
    <row r="246" spans="11:13" ht="26.25" customHeight="1" x14ac:dyDescent="0.3">
      <c r="K246" s="1">
        <f>Table11819202327[[#This Row],[النولون]]+Table11819202327[[#This Row],[الايصالات]]-Table11819202327[[#This Row],[خصم أ ت ص]]+Table11819202327[[#This Row],[قيمة مضافة]]</f>
        <v>0</v>
      </c>
      <c r="M246" s="1">
        <f>M245+Table11819202327[[#This Row],[اجمالي الفاتوره]]-Table11819202327[[#This Row],[الدفعات]]</f>
        <v>34156.989999999932</v>
      </c>
    </row>
    <row r="247" spans="11:13" ht="26.25" customHeight="1" x14ac:dyDescent="0.3">
      <c r="K247" s="1">
        <f>Table11819202327[[#This Row],[النولون]]+Table11819202327[[#This Row],[الايصالات]]-Table11819202327[[#This Row],[خصم أ ت ص]]+Table11819202327[[#This Row],[قيمة مضافة]]</f>
        <v>0</v>
      </c>
      <c r="M247" s="1">
        <f>M246+Table11819202327[[#This Row],[اجمالي الفاتوره]]-Table11819202327[[#This Row],[الدفعات]]</f>
        <v>34156.989999999932</v>
      </c>
    </row>
    <row r="248" spans="11:13" ht="26.25" customHeight="1" x14ac:dyDescent="0.3">
      <c r="K248" s="1">
        <f>Table11819202327[[#This Row],[النولون]]+Table11819202327[[#This Row],[الايصالات]]-Table11819202327[[#This Row],[خصم أ ت ص]]+Table11819202327[[#This Row],[قيمة مضافة]]</f>
        <v>0</v>
      </c>
      <c r="M248" s="1">
        <f>M247+Table11819202327[[#This Row],[اجمالي الفاتوره]]-Table11819202327[[#This Row],[الدفعات]]</f>
        <v>34156.989999999932</v>
      </c>
    </row>
    <row r="249" spans="11:13" ht="26.25" customHeight="1" x14ac:dyDescent="0.3">
      <c r="K249" s="1">
        <f>Table11819202327[[#This Row],[النولون]]+Table11819202327[[#This Row],[الايصالات]]-Table11819202327[[#This Row],[خصم أ ت ص]]+Table11819202327[[#This Row],[قيمة مضافة]]</f>
        <v>0</v>
      </c>
      <c r="M249" s="1">
        <f>M248+Table11819202327[[#This Row],[اجمالي الفاتوره]]-Table11819202327[[#This Row],[الدفعات]]</f>
        <v>34156.989999999932</v>
      </c>
    </row>
    <row r="250" spans="11:13" ht="26.25" customHeight="1" x14ac:dyDescent="0.3">
      <c r="K250" s="1">
        <f>Table11819202327[[#This Row],[النولون]]+Table11819202327[[#This Row],[الايصالات]]-Table11819202327[[#This Row],[خصم أ ت ص]]+Table11819202327[[#This Row],[قيمة مضافة]]</f>
        <v>0</v>
      </c>
      <c r="M250" s="1">
        <f>M249+Table11819202327[[#This Row],[اجمالي الفاتوره]]-Table11819202327[[#This Row],[الدفعات]]</f>
        <v>34156.989999999932</v>
      </c>
    </row>
    <row r="251" spans="11:13" ht="26.25" customHeight="1" x14ac:dyDescent="0.3">
      <c r="K251" s="1">
        <f>Table11819202327[[#This Row],[النولون]]+Table11819202327[[#This Row],[الايصالات]]-Table11819202327[[#This Row],[خصم أ ت ص]]+Table11819202327[[#This Row],[قيمة مضافة]]</f>
        <v>0</v>
      </c>
      <c r="M251" s="1">
        <f>M250+Table11819202327[[#This Row],[اجمالي الفاتوره]]-Table11819202327[[#This Row],[الدفعات]]</f>
        <v>34156.989999999932</v>
      </c>
    </row>
    <row r="252" spans="11:13" ht="26.25" customHeight="1" x14ac:dyDescent="0.3">
      <c r="K252" s="1">
        <f>Table11819202327[[#This Row],[النولون]]+Table11819202327[[#This Row],[الايصالات]]-Table11819202327[[#This Row],[خصم أ ت ص]]+Table11819202327[[#This Row],[قيمة مضافة]]</f>
        <v>0</v>
      </c>
      <c r="M252" s="1">
        <f>M251+Table11819202327[[#This Row],[اجمالي الفاتوره]]-Table11819202327[[#This Row],[الدفعات]]</f>
        <v>34156.989999999932</v>
      </c>
    </row>
    <row r="253" spans="11:13" ht="26.25" customHeight="1" x14ac:dyDescent="0.3">
      <c r="K253" s="1">
        <f>Table11819202327[[#This Row],[النولون]]+Table11819202327[[#This Row],[الايصالات]]-Table11819202327[[#This Row],[خصم أ ت ص]]+Table11819202327[[#This Row],[قيمة مضافة]]</f>
        <v>0</v>
      </c>
      <c r="M253" s="1">
        <f>M252+Table11819202327[[#This Row],[اجمالي الفاتوره]]-Table11819202327[[#This Row],[الدفعات]]</f>
        <v>34156.989999999932</v>
      </c>
    </row>
    <row r="254" spans="11:13" ht="26.25" customHeight="1" x14ac:dyDescent="0.3">
      <c r="K254" s="1">
        <f>Table11819202327[[#This Row],[النولون]]+Table11819202327[[#This Row],[الايصالات]]-Table11819202327[[#This Row],[خصم أ ت ص]]+Table11819202327[[#This Row],[قيمة مضافة]]</f>
        <v>0</v>
      </c>
      <c r="M254" s="1">
        <f>M253+Table11819202327[[#This Row],[اجمالي الفاتوره]]-Table11819202327[[#This Row],[الدفعات]]</f>
        <v>34156.989999999932</v>
      </c>
    </row>
    <row r="255" spans="11:13" ht="26.25" customHeight="1" x14ac:dyDescent="0.3">
      <c r="K255" s="1">
        <f>Table11819202327[[#This Row],[النولون]]+Table11819202327[[#This Row],[الايصالات]]-Table11819202327[[#This Row],[خصم أ ت ص]]+Table11819202327[[#This Row],[قيمة مضافة]]</f>
        <v>0</v>
      </c>
      <c r="M255" s="1">
        <f>M254+Table11819202327[[#This Row],[اجمالي الفاتوره]]-Table11819202327[[#This Row],[الدفعات]]</f>
        <v>34156.989999999932</v>
      </c>
    </row>
    <row r="256" spans="11:13" ht="26.25" customHeight="1" x14ac:dyDescent="0.3">
      <c r="K256" s="1">
        <f>Table11819202327[[#This Row],[النولون]]+Table11819202327[[#This Row],[الايصالات]]-Table11819202327[[#This Row],[خصم أ ت ص]]+Table11819202327[[#This Row],[قيمة مضافة]]</f>
        <v>0</v>
      </c>
      <c r="M256" s="1">
        <f>M255+Table11819202327[[#This Row],[اجمالي الفاتوره]]-Table11819202327[[#This Row],[الدفعات]]</f>
        <v>34156.989999999932</v>
      </c>
    </row>
    <row r="257" spans="11:13" ht="26.25" customHeight="1" x14ac:dyDescent="0.3">
      <c r="K257" s="1">
        <f>Table11819202327[[#This Row],[النولون]]+Table11819202327[[#This Row],[الايصالات]]-Table11819202327[[#This Row],[خصم أ ت ص]]+Table11819202327[[#This Row],[قيمة مضافة]]</f>
        <v>0</v>
      </c>
      <c r="M257" s="1">
        <f>M256+Table11819202327[[#This Row],[اجمالي الفاتوره]]-Table11819202327[[#This Row],[الدفعات]]</f>
        <v>34156.989999999932</v>
      </c>
    </row>
    <row r="258" spans="11:13" ht="26.25" customHeight="1" x14ac:dyDescent="0.3">
      <c r="K258" s="1">
        <f>Table11819202327[[#This Row],[النولون]]+Table11819202327[[#This Row],[الايصالات]]-Table11819202327[[#This Row],[خصم أ ت ص]]+Table11819202327[[#This Row],[قيمة مضافة]]</f>
        <v>0</v>
      </c>
      <c r="M258" s="1">
        <f>M257+Table11819202327[[#This Row],[اجمالي الفاتوره]]-Table11819202327[[#This Row],[الدفعات]]</f>
        <v>34156.989999999932</v>
      </c>
    </row>
    <row r="259" spans="11:13" ht="26.25" customHeight="1" x14ac:dyDescent="0.3">
      <c r="K259" s="1">
        <f>Table11819202327[[#This Row],[النولون]]+Table11819202327[[#This Row],[الايصالات]]-Table11819202327[[#This Row],[خصم أ ت ص]]+Table11819202327[[#This Row],[قيمة مضافة]]</f>
        <v>0</v>
      </c>
      <c r="M259" s="1">
        <f>M258+Table11819202327[[#This Row],[اجمالي الفاتوره]]-Table11819202327[[#This Row],[الدفعات]]</f>
        <v>34156.989999999932</v>
      </c>
    </row>
    <row r="260" spans="11:13" ht="26.25" customHeight="1" x14ac:dyDescent="0.3">
      <c r="K260" s="1">
        <f>Table11819202327[[#This Row],[النولون]]+Table11819202327[[#This Row],[الايصالات]]-Table11819202327[[#This Row],[خصم أ ت ص]]+Table11819202327[[#This Row],[قيمة مضافة]]</f>
        <v>0</v>
      </c>
      <c r="M260" s="1">
        <f>M259+Table11819202327[[#This Row],[اجمالي الفاتوره]]-Table11819202327[[#This Row],[الدفعات]]</f>
        <v>34156.989999999932</v>
      </c>
    </row>
    <row r="261" spans="11:13" ht="26.25" customHeight="1" x14ac:dyDescent="0.3">
      <c r="K261" s="1">
        <f>Table11819202327[[#This Row],[النولون]]+Table11819202327[[#This Row],[الايصالات]]-Table11819202327[[#This Row],[خصم أ ت ص]]+Table11819202327[[#This Row],[قيمة مضافة]]</f>
        <v>0</v>
      </c>
      <c r="M261" s="1">
        <f>M260+Table11819202327[[#This Row],[اجمالي الفاتوره]]-Table11819202327[[#This Row],[الدفعات]]</f>
        <v>34156.989999999932</v>
      </c>
    </row>
    <row r="262" spans="11:13" ht="26.25" customHeight="1" x14ac:dyDescent="0.3">
      <c r="K262" s="1">
        <f>Table11819202327[[#This Row],[النولون]]+Table11819202327[[#This Row],[الايصالات]]-Table11819202327[[#This Row],[خصم أ ت ص]]+Table11819202327[[#This Row],[قيمة مضافة]]</f>
        <v>0</v>
      </c>
      <c r="M262" s="1">
        <f>M261+Table11819202327[[#This Row],[اجمالي الفاتوره]]-Table11819202327[[#This Row],[الدفعات]]</f>
        <v>34156.989999999932</v>
      </c>
    </row>
    <row r="263" spans="11:13" ht="26.25" customHeight="1" x14ac:dyDescent="0.3">
      <c r="K263" s="1">
        <f>Table11819202327[[#This Row],[النولون]]+Table11819202327[[#This Row],[الايصالات]]-Table11819202327[[#This Row],[خصم أ ت ص]]+Table11819202327[[#This Row],[قيمة مضافة]]</f>
        <v>0</v>
      </c>
      <c r="M263" s="1">
        <f>M262+Table11819202327[[#This Row],[اجمالي الفاتوره]]-Table11819202327[[#This Row],[الدفعات]]</f>
        <v>34156.989999999932</v>
      </c>
    </row>
    <row r="264" spans="11:13" ht="26.25" customHeight="1" x14ac:dyDescent="0.3">
      <c r="K264" s="1">
        <f>Table11819202327[[#This Row],[النولون]]+Table11819202327[[#This Row],[الايصالات]]-Table11819202327[[#This Row],[خصم أ ت ص]]+Table11819202327[[#This Row],[قيمة مضافة]]</f>
        <v>0</v>
      </c>
      <c r="M264" s="1">
        <f>M263+Table11819202327[[#This Row],[اجمالي الفاتوره]]-Table11819202327[[#This Row],[الدفعات]]</f>
        <v>34156.989999999932</v>
      </c>
    </row>
    <row r="265" spans="11:13" ht="26.25" customHeight="1" x14ac:dyDescent="0.3">
      <c r="K265" s="1">
        <f>Table11819202327[[#This Row],[النولون]]+Table11819202327[[#This Row],[الايصالات]]-Table11819202327[[#This Row],[خصم أ ت ص]]+Table11819202327[[#This Row],[قيمة مضافة]]</f>
        <v>0</v>
      </c>
      <c r="M265" s="1">
        <f>M264+Table11819202327[[#This Row],[اجمالي الفاتوره]]-Table11819202327[[#This Row],[الدفعات]]</f>
        <v>34156.989999999932</v>
      </c>
    </row>
    <row r="266" spans="11:13" ht="26.25" customHeight="1" x14ac:dyDescent="0.3">
      <c r="K266" s="1">
        <f>Table11819202327[[#This Row],[النولون]]+Table11819202327[[#This Row],[الايصالات]]-Table11819202327[[#This Row],[خصم أ ت ص]]+Table11819202327[[#This Row],[قيمة مضافة]]</f>
        <v>0</v>
      </c>
      <c r="M266" s="1">
        <f>M265+Table11819202327[[#This Row],[اجمالي الفاتوره]]-Table11819202327[[#This Row],[الدفعات]]</f>
        <v>34156.989999999932</v>
      </c>
    </row>
    <row r="267" spans="11:13" ht="26.25" customHeight="1" x14ac:dyDescent="0.3">
      <c r="K267" s="1">
        <f>Table11819202327[[#This Row],[النولون]]+Table11819202327[[#This Row],[الايصالات]]-Table11819202327[[#This Row],[خصم أ ت ص]]+Table11819202327[[#This Row],[قيمة مضافة]]</f>
        <v>0</v>
      </c>
      <c r="M267" s="1">
        <f>M266+Table11819202327[[#This Row],[اجمالي الفاتوره]]-Table11819202327[[#This Row],[الدفعات]]</f>
        <v>34156.989999999932</v>
      </c>
    </row>
    <row r="268" spans="11:13" ht="26.25" customHeight="1" x14ac:dyDescent="0.3">
      <c r="K268" s="1">
        <f>Table11819202327[[#This Row],[النولون]]+Table11819202327[[#This Row],[الايصالات]]-Table11819202327[[#This Row],[خصم أ ت ص]]+Table11819202327[[#This Row],[قيمة مضافة]]</f>
        <v>0</v>
      </c>
      <c r="M268" s="1">
        <f>M267+Table11819202327[[#This Row],[اجمالي الفاتوره]]-Table11819202327[[#This Row],[الدفعات]]</f>
        <v>34156.989999999932</v>
      </c>
    </row>
    <row r="269" spans="11:13" ht="26.25" customHeight="1" x14ac:dyDescent="0.3">
      <c r="K269" s="1">
        <f>Table11819202327[[#This Row],[النولون]]+Table11819202327[[#This Row],[الايصالات]]-Table11819202327[[#This Row],[خصم أ ت ص]]+Table11819202327[[#This Row],[قيمة مضافة]]</f>
        <v>0</v>
      </c>
      <c r="M269" s="1">
        <f>M268+Table11819202327[[#This Row],[اجمالي الفاتوره]]-Table11819202327[[#This Row],[الدفعات]]</f>
        <v>34156.989999999932</v>
      </c>
    </row>
    <row r="270" spans="11:13" ht="26.25" customHeight="1" x14ac:dyDescent="0.3">
      <c r="K270" s="1">
        <f>Table11819202327[[#This Row],[النولون]]+Table11819202327[[#This Row],[الايصالات]]-Table11819202327[[#This Row],[خصم أ ت ص]]+Table11819202327[[#This Row],[قيمة مضافة]]</f>
        <v>0</v>
      </c>
      <c r="M270" s="1">
        <f>M269+Table11819202327[[#This Row],[اجمالي الفاتوره]]-Table11819202327[[#This Row],[الدفعات]]</f>
        <v>34156.989999999932</v>
      </c>
    </row>
    <row r="271" spans="11:13" ht="26.25" customHeight="1" x14ac:dyDescent="0.3">
      <c r="K271" s="1">
        <f>Table11819202327[[#This Row],[النولون]]+Table11819202327[[#This Row],[الايصالات]]-Table11819202327[[#This Row],[خصم أ ت ص]]+Table11819202327[[#This Row],[قيمة مضافة]]</f>
        <v>0</v>
      </c>
      <c r="M271" s="1">
        <f>M270+Table11819202327[[#This Row],[اجمالي الفاتوره]]-Table11819202327[[#This Row],[الدفعات]]</f>
        <v>34156.989999999932</v>
      </c>
    </row>
    <row r="272" spans="11:13" ht="26.25" customHeight="1" x14ac:dyDescent="0.3">
      <c r="K272" s="1">
        <f>Table11819202327[[#This Row],[النولون]]+Table11819202327[[#This Row],[الايصالات]]-Table11819202327[[#This Row],[خصم أ ت ص]]+Table11819202327[[#This Row],[قيمة مضافة]]</f>
        <v>0</v>
      </c>
      <c r="M272" s="1">
        <f>M271+Table11819202327[[#This Row],[اجمالي الفاتوره]]-Table11819202327[[#This Row],[الدفعات]]</f>
        <v>34156.989999999932</v>
      </c>
    </row>
    <row r="273" spans="11:13" ht="26.25" customHeight="1" x14ac:dyDescent="0.3">
      <c r="K273" s="1">
        <f>Table11819202327[[#This Row],[النولون]]+Table11819202327[[#This Row],[الايصالات]]-Table11819202327[[#This Row],[خصم أ ت ص]]+Table11819202327[[#This Row],[قيمة مضافة]]</f>
        <v>0</v>
      </c>
      <c r="M273" s="1">
        <f>M272+Table11819202327[[#This Row],[اجمالي الفاتوره]]-Table11819202327[[#This Row],[الدفعات]]</f>
        <v>34156.989999999932</v>
      </c>
    </row>
    <row r="274" spans="11:13" ht="26.25" customHeight="1" x14ac:dyDescent="0.3">
      <c r="K274" s="1">
        <f>Table11819202327[[#This Row],[النولون]]+Table11819202327[[#This Row],[الايصالات]]-Table11819202327[[#This Row],[خصم أ ت ص]]+Table11819202327[[#This Row],[قيمة مضافة]]</f>
        <v>0</v>
      </c>
      <c r="M274" s="1">
        <f>M273+Table11819202327[[#This Row],[اجمالي الفاتوره]]-Table11819202327[[#This Row],[الدفعات]]</f>
        <v>34156.989999999932</v>
      </c>
    </row>
    <row r="275" spans="11:13" ht="26.25" customHeight="1" x14ac:dyDescent="0.3">
      <c r="K275" s="1">
        <f>Table11819202327[[#This Row],[النولون]]+Table11819202327[[#This Row],[الايصالات]]-Table11819202327[[#This Row],[خصم أ ت ص]]+Table11819202327[[#This Row],[قيمة مضافة]]</f>
        <v>0</v>
      </c>
      <c r="M275" s="1">
        <f>M274+Table11819202327[[#This Row],[اجمالي الفاتوره]]-Table11819202327[[#This Row],[الدفعات]]</f>
        <v>34156.989999999932</v>
      </c>
    </row>
    <row r="276" spans="11:13" ht="26.25" customHeight="1" x14ac:dyDescent="0.3">
      <c r="K276" s="1">
        <f>Table11819202327[[#This Row],[النولون]]+Table11819202327[[#This Row],[الايصالات]]-Table11819202327[[#This Row],[خصم أ ت ص]]+Table11819202327[[#This Row],[قيمة مضافة]]</f>
        <v>0</v>
      </c>
      <c r="M276" s="1">
        <f>M275+Table11819202327[[#This Row],[اجمالي الفاتوره]]-Table11819202327[[#This Row],[الدفعات]]</f>
        <v>34156.989999999932</v>
      </c>
    </row>
    <row r="277" spans="11:13" ht="26.25" customHeight="1" x14ac:dyDescent="0.3">
      <c r="K277" s="1">
        <f>Table11819202327[[#This Row],[النولون]]+Table11819202327[[#This Row],[الايصالات]]-Table11819202327[[#This Row],[خصم أ ت ص]]+Table11819202327[[#This Row],[قيمة مضافة]]</f>
        <v>0</v>
      </c>
      <c r="M277" s="1">
        <f>M276+Table11819202327[[#This Row],[اجمالي الفاتوره]]-Table11819202327[[#This Row],[الدفعات]]</f>
        <v>34156.989999999932</v>
      </c>
    </row>
    <row r="278" spans="11:13" ht="26.25" customHeight="1" x14ac:dyDescent="0.3">
      <c r="K278" s="1">
        <f>Table11819202327[[#This Row],[النولون]]+Table11819202327[[#This Row],[الايصالات]]-Table11819202327[[#This Row],[خصم أ ت ص]]+Table11819202327[[#This Row],[قيمة مضافة]]</f>
        <v>0</v>
      </c>
      <c r="M278" s="1">
        <f>M277+Table11819202327[[#This Row],[اجمالي الفاتوره]]-Table11819202327[[#This Row],[الدفعات]]</f>
        <v>34156.989999999932</v>
      </c>
    </row>
    <row r="279" spans="11:13" ht="26.25" customHeight="1" x14ac:dyDescent="0.3">
      <c r="K279" s="1">
        <f>Table11819202327[[#This Row],[النولون]]+Table11819202327[[#This Row],[الايصالات]]-Table11819202327[[#This Row],[خصم أ ت ص]]+Table11819202327[[#This Row],[قيمة مضافة]]</f>
        <v>0</v>
      </c>
      <c r="M279" s="1">
        <f>M278+Table11819202327[[#This Row],[اجمالي الفاتوره]]-Table11819202327[[#This Row],[الدفعات]]</f>
        <v>34156.989999999932</v>
      </c>
    </row>
    <row r="280" spans="11:13" ht="26.25" customHeight="1" x14ac:dyDescent="0.3">
      <c r="K280" s="1">
        <f>Table11819202327[[#This Row],[النولون]]+Table11819202327[[#This Row],[الايصالات]]-Table11819202327[[#This Row],[خصم أ ت ص]]+Table11819202327[[#This Row],[قيمة مضافة]]</f>
        <v>0</v>
      </c>
      <c r="M280" s="1">
        <f>M279+Table11819202327[[#This Row],[اجمالي الفاتوره]]-Table11819202327[[#This Row],[الدفعات]]</f>
        <v>34156.989999999932</v>
      </c>
    </row>
    <row r="281" spans="11:13" ht="26.25" customHeight="1" x14ac:dyDescent="0.3">
      <c r="K281" s="1">
        <f>Table11819202327[[#This Row],[النولون]]+Table11819202327[[#This Row],[الايصالات]]-Table11819202327[[#This Row],[خصم أ ت ص]]+Table11819202327[[#This Row],[قيمة مضافة]]</f>
        <v>0</v>
      </c>
      <c r="M281" s="1">
        <f>M280+Table11819202327[[#This Row],[اجمالي الفاتوره]]-Table11819202327[[#This Row],[الدفعات]]</f>
        <v>34156.989999999932</v>
      </c>
    </row>
    <row r="282" spans="11:13" ht="26.25" customHeight="1" x14ac:dyDescent="0.3">
      <c r="K282" s="1">
        <f>Table11819202327[[#This Row],[النولون]]+Table11819202327[[#This Row],[الايصالات]]-Table11819202327[[#This Row],[خصم أ ت ص]]+Table11819202327[[#This Row],[قيمة مضافة]]</f>
        <v>0</v>
      </c>
      <c r="M282" s="1">
        <f>M281+Table11819202327[[#This Row],[اجمالي الفاتوره]]-Table11819202327[[#This Row],[الدفعات]]</f>
        <v>34156.989999999932</v>
      </c>
    </row>
    <row r="283" spans="11:13" ht="26.25" customHeight="1" x14ac:dyDescent="0.3">
      <c r="K283" s="1">
        <f>Table11819202327[[#This Row],[النولون]]+Table11819202327[[#This Row],[الايصالات]]-Table11819202327[[#This Row],[خصم أ ت ص]]+Table11819202327[[#This Row],[قيمة مضافة]]</f>
        <v>0</v>
      </c>
      <c r="M283" s="1">
        <f>M282+Table11819202327[[#This Row],[اجمالي الفاتوره]]-Table11819202327[[#This Row],[الدفعات]]</f>
        <v>34156.989999999932</v>
      </c>
    </row>
    <row r="284" spans="11:13" ht="26.25" customHeight="1" x14ac:dyDescent="0.3">
      <c r="K284" s="1">
        <f>Table11819202327[[#This Row],[النولون]]+Table11819202327[[#This Row],[الايصالات]]-Table11819202327[[#This Row],[خصم أ ت ص]]+Table11819202327[[#This Row],[قيمة مضافة]]</f>
        <v>0</v>
      </c>
      <c r="M284" s="1">
        <f>M283+Table11819202327[[#This Row],[اجمالي الفاتوره]]-Table11819202327[[#This Row],[الدفعات]]</f>
        <v>34156.989999999932</v>
      </c>
    </row>
    <row r="285" spans="11:13" ht="26.25" customHeight="1" x14ac:dyDescent="0.3">
      <c r="K285" s="1">
        <f>Table11819202327[[#This Row],[النولون]]+Table11819202327[[#This Row],[الايصالات]]-Table11819202327[[#This Row],[خصم أ ت ص]]+Table11819202327[[#This Row],[قيمة مضافة]]</f>
        <v>0</v>
      </c>
      <c r="M285" s="1">
        <f>M284+Table11819202327[[#This Row],[اجمالي الفاتوره]]-Table11819202327[[#This Row],[الدفعات]]</f>
        <v>34156.989999999932</v>
      </c>
    </row>
    <row r="286" spans="11:13" ht="26.25" customHeight="1" x14ac:dyDescent="0.3">
      <c r="K286" s="1">
        <f>Table11819202327[[#This Row],[النولون]]+Table11819202327[[#This Row],[الايصالات]]-Table11819202327[[#This Row],[خصم أ ت ص]]+Table11819202327[[#This Row],[قيمة مضافة]]</f>
        <v>0</v>
      </c>
      <c r="M286" s="1">
        <f>M285+Table11819202327[[#This Row],[اجمالي الفاتوره]]-Table11819202327[[#This Row],[الدفعات]]</f>
        <v>34156.989999999932</v>
      </c>
    </row>
    <row r="287" spans="11:13" ht="26.25" customHeight="1" x14ac:dyDescent="0.3">
      <c r="K287" s="1">
        <f>Table11819202327[[#This Row],[النولون]]+Table11819202327[[#This Row],[الايصالات]]-Table11819202327[[#This Row],[خصم أ ت ص]]+Table11819202327[[#This Row],[قيمة مضافة]]</f>
        <v>0</v>
      </c>
      <c r="M287" s="1">
        <f>M286+Table11819202327[[#This Row],[اجمالي الفاتوره]]-Table11819202327[[#This Row],[الدفعات]]</f>
        <v>34156.989999999932</v>
      </c>
    </row>
    <row r="288" spans="11:13" ht="26.25" customHeight="1" x14ac:dyDescent="0.3">
      <c r="K288" s="1">
        <f>Table11819202327[[#This Row],[النولون]]+Table11819202327[[#This Row],[الايصالات]]-Table11819202327[[#This Row],[خصم أ ت ص]]+Table11819202327[[#This Row],[قيمة مضافة]]</f>
        <v>0</v>
      </c>
      <c r="M288" s="1">
        <f>M287+Table11819202327[[#This Row],[اجمالي الفاتوره]]-Table11819202327[[#This Row],[الدفعات]]</f>
        <v>34156.989999999932</v>
      </c>
    </row>
    <row r="289" spans="11:13" ht="26.25" customHeight="1" x14ac:dyDescent="0.3">
      <c r="K289" s="1">
        <f>Table11819202327[[#This Row],[النولون]]+Table11819202327[[#This Row],[الايصالات]]-Table11819202327[[#This Row],[خصم أ ت ص]]+Table11819202327[[#This Row],[قيمة مضافة]]</f>
        <v>0</v>
      </c>
      <c r="M289" s="1">
        <f>M288+Table11819202327[[#This Row],[اجمالي الفاتوره]]-Table11819202327[[#This Row],[الدفعات]]</f>
        <v>34156.989999999932</v>
      </c>
    </row>
    <row r="290" spans="11:13" ht="26.25" customHeight="1" x14ac:dyDescent="0.3">
      <c r="K290" s="1">
        <f>Table11819202327[[#This Row],[النولون]]+Table11819202327[[#This Row],[الايصالات]]-Table11819202327[[#This Row],[خصم أ ت ص]]+Table11819202327[[#This Row],[قيمة مضافة]]</f>
        <v>0</v>
      </c>
      <c r="M290" s="1">
        <f>M289+Table11819202327[[#This Row],[اجمالي الفاتوره]]-Table11819202327[[#This Row],[الدفعات]]</f>
        <v>34156.989999999932</v>
      </c>
    </row>
    <row r="291" spans="11:13" ht="26.25" customHeight="1" x14ac:dyDescent="0.3">
      <c r="K291" s="1">
        <f>Table11819202327[[#This Row],[النولون]]+Table11819202327[[#This Row],[الايصالات]]-Table11819202327[[#This Row],[خصم أ ت ص]]+Table11819202327[[#This Row],[قيمة مضافة]]</f>
        <v>0</v>
      </c>
      <c r="M291" s="1">
        <f>M290+Table11819202327[[#This Row],[اجمالي الفاتوره]]-Table11819202327[[#This Row],[الدفعات]]</f>
        <v>34156.989999999932</v>
      </c>
    </row>
    <row r="292" spans="11:13" ht="26.25" customHeight="1" x14ac:dyDescent="0.3">
      <c r="K292" s="1">
        <f>Table11819202327[[#This Row],[النولون]]+Table11819202327[[#This Row],[الايصالات]]-Table11819202327[[#This Row],[خصم أ ت ص]]+Table11819202327[[#This Row],[قيمة مضافة]]</f>
        <v>0</v>
      </c>
      <c r="M292" s="1">
        <f>M291+Table11819202327[[#This Row],[اجمالي الفاتوره]]-Table11819202327[[#This Row],[الدفعات]]</f>
        <v>34156.989999999932</v>
      </c>
    </row>
    <row r="293" spans="11:13" ht="26.25" customHeight="1" x14ac:dyDescent="0.3">
      <c r="K293" s="1">
        <f>Table11819202327[[#This Row],[النولون]]+Table11819202327[[#This Row],[الايصالات]]-Table11819202327[[#This Row],[خصم أ ت ص]]+Table11819202327[[#This Row],[قيمة مضافة]]</f>
        <v>0</v>
      </c>
      <c r="M293" s="1">
        <f>M292+Table11819202327[[#This Row],[اجمالي الفاتوره]]-Table11819202327[[#This Row],[الدفعات]]</f>
        <v>34156.989999999932</v>
      </c>
    </row>
    <row r="294" spans="11:13" ht="26.25" customHeight="1" x14ac:dyDescent="0.3">
      <c r="K294" s="1">
        <f>Table11819202327[[#This Row],[النولون]]+Table11819202327[[#This Row],[الايصالات]]-Table11819202327[[#This Row],[خصم أ ت ص]]+Table11819202327[[#This Row],[قيمة مضافة]]</f>
        <v>0</v>
      </c>
      <c r="M294" s="1">
        <f>M293+Table11819202327[[#This Row],[اجمالي الفاتوره]]-Table11819202327[[#This Row],[الدفعات]]</f>
        <v>34156.989999999932</v>
      </c>
    </row>
    <row r="295" spans="11:13" ht="26.25" customHeight="1" x14ac:dyDescent="0.3">
      <c r="K295" s="1">
        <f>Table11819202327[[#This Row],[النولون]]+Table11819202327[[#This Row],[الايصالات]]-Table11819202327[[#This Row],[خصم أ ت ص]]+Table11819202327[[#This Row],[قيمة مضافة]]</f>
        <v>0</v>
      </c>
      <c r="M295" s="1">
        <f>M294+Table11819202327[[#This Row],[اجمالي الفاتوره]]-Table11819202327[[#This Row],[الدفعات]]</f>
        <v>34156.989999999932</v>
      </c>
    </row>
    <row r="296" spans="11:13" ht="26.25" customHeight="1" x14ac:dyDescent="0.3">
      <c r="K296" s="1">
        <f>Table11819202327[[#This Row],[النولون]]+Table11819202327[[#This Row],[الايصالات]]-Table11819202327[[#This Row],[خصم أ ت ص]]+Table11819202327[[#This Row],[قيمة مضافة]]</f>
        <v>0</v>
      </c>
      <c r="M296" s="1">
        <f>M295+Table11819202327[[#This Row],[اجمالي الفاتوره]]-Table11819202327[[#This Row],[الدفعات]]</f>
        <v>34156.989999999932</v>
      </c>
    </row>
    <row r="297" spans="11:13" ht="26.25" customHeight="1" x14ac:dyDescent="0.3">
      <c r="K297" s="1">
        <f>Table11819202327[[#This Row],[النولون]]+Table11819202327[[#This Row],[الايصالات]]-Table11819202327[[#This Row],[خصم أ ت ص]]+Table11819202327[[#This Row],[قيمة مضافة]]</f>
        <v>0</v>
      </c>
      <c r="M297" s="1">
        <f>M296+Table11819202327[[#This Row],[اجمالي الفاتوره]]-Table11819202327[[#This Row],[الدفعات]]</f>
        <v>34156.989999999932</v>
      </c>
    </row>
    <row r="298" spans="11:13" ht="26.25" customHeight="1" x14ac:dyDescent="0.3">
      <c r="K298" s="1">
        <f>Table11819202327[[#This Row],[النولون]]+Table11819202327[[#This Row],[الايصالات]]-Table11819202327[[#This Row],[خصم أ ت ص]]+Table11819202327[[#This Row],[قيمة مضافة]]</f>
        <v>0</v>
      </c>
      <c r="M298" s="1">
        <f>M297+Table11819202327[[#This Row],[اجمالي الفاتوره]]-Table11819202327[[#This Row],[الدفعات]]</f>
        <v>34156.989999999932</v>
      </c>
    </row>
    <row r="299" spans="11:13" ht="26.25" customHeight="1" x14ac:dyDescent="0.3">
      <c r="K299" s="1">
        <f>Table11819202327[[#This Row],[النولون]]+Table11819202327[[#This Row],[الايصالات]]-Table11819202327[[#This Row],[خصم أ ت ص]]+Table11819202327[[#This Row],[قيمة مضافة]]</f>
        <v>0</v>
      </c>
      <c r="M299" s="1">
        <f>M298+Table11819202327[[#This Row],[اجمالي الفاتوره]]-Table11819202327[[#This Row],[الدفعات]]</f>
        <v>34156.989999999932</v>
      </c>
    </row>
    <row r="300" spans="11:13" ht="26.25" customHeight="1" x14ac:dyDescent="0.3">
      <c r="K300" s="1">
        <f>Table11819202327[[#This Row],[النولون]]+Table11819202327[[#This Row],[الايصالات]]-Table11819202327[[#This Row],[خصم أ ت ص]]+Table11819202327[[#This Row],[قيمة مضافة]]</f>
        <v>0</v>
      </c>
      <c r="M300" s="1">
        <f>M299+Table11819202327[[#This Row],[اجمالي الفاتوره]]-Table11819202327[[#This Row],[الدفعات]]</f>
        <v>34156.989999999932</v>
      </c>
    </row>
    <row r="301" spans="11:13" ht="26.25" customHeight="1" x14ac:dyDescent="0.3">
      <c r="K301" s="1">
        <f>Table11819202327[[#This Row],[النولون]]+Table11819202327[[#This Row],[الايصالات]]-Table11819202327[[#This Row],[خصم أ ت ص]]+Table11819202327[[#This Row],[قيمة مضافة]]</f>
        <v>0</v>
      </c>
      <c r="M301" s="1">
        <f>M300+Table11819202327[[#This Row],[اجمالي الفاتوره]]-Table11819202327[[#This Row],[الدفعات]]</f>
        <v>34156.989999999932</v>
      </c>
    </row>
    <row r="302" spans="11:13" ht="26.25" customHeight="1" x14ac:dyDescent="0.3">
      <c r="K302" s="1">
        <f>Table11819202327[[#This Row],[النولون]]+Table11819202327[[#This Row],[الايصالات]]-Table11819202327[[#This Row],[خصم أ ت ص]]+Table11819202327[[#This Row],[قيمة مضافة]]</f>
        <v>0</v>
      </c>
      <c r="M302" s="1">
        <f>M301+Table11819202327[[#This Row],[اجمالي الفاتوره]]-Table11819202327[[#This Row],[الدفعات]]</f>
        <v>34156.989999999932</v>
      </c>
    </row>
    <row r="303" spans="11:13" ht="26.25" customHeight="1" x14ac:dyDescent="0.3">
      <c r="K303" s="1">
        <f>Table11819202327[[#This Row],[النولون]]+Table11819202327[[#This Row],[الايصالات]]-Table11819202327[[#This Row],[خصم أ ت ص]]+Table11819202327[[#This Row],[قيمة مضافة]]</f>
        <v>0</v>
      </c>
      <c r="M303" s="1">
        <f>M302+Table11819202327[[#This Row],[اجمالي الفاتوره]]-Table11819202327[[#This Row],[الدفعات]]</f>
        <v>34156.989999999932</v>
      </c>
    </row>
    <row r="304" spans="11:13" ht="26.25" customHeight="1" x14ac:dyDescent="0.3">
      <c r="K304" s="1">
        <f>Table11819202327[[#This Row],[النولون]]+Table11819202327[[#This Row],[الايصالات]]-Table11819202327[[#This Row],[خصم أ ت ص]]+Table11819202327[[#This Row],[قيمة مضافة]]</f>
        <v>0</v>
      </c>
      <c r="M304" s="1">
        <f>M303+Table11819202327[[#This Row],[اجمالي الفاتوره]]-Table11819202327[[#This Row],[الدفعات]]</f>
        <v>34156.989999999932</v>
      </c>
    </row>
    <row r="305" spans="11:13" ht="26.25" customHeight="1" x14ac:dyDescent="0.3">
      <c r="K305" s="1">
        <f>Table11819202327[[#This Row],[النولون]]+Table11819202327[[#This Row],[الايصالات]]-Table11819202327[[#This Row],[خصم أ ت ص]]+Table11819202327[[#This Row],[قيمة مضافة]]</f>
        <v>0</v>
      </c>
      <c r="M305" s="1">
        <f>M304+Table11819202327[[#This Row],[اجمالي الفاتوره]]-Table11819202327[[#This Row],[الدفعات]]</f>
        <v>34156.989999999932</v>
      </c>
    </row>
    <row r="306" spans="11:13" ht="26.25" customHeight="1" x14ac:dyDescent="0.3">
      <c r="K306" s="1">
        <f>Table11819202327[[#This Row],[النولون]]+Table11819202327[[#This Row],[الايصالات]]-Table11819202327[[#This Row],[خصم أ ت ص]]+Table11819202327[[#This Row],[قيمة مضافة]]</f>
        <v>0</v>
      </c>
      <c r="M306" s="1">
        <f>M305+Table11819202327[[#This Row],[اجمالي الفاتوره]]-Table11819202327[[#This Row],[الدفعات]]</f>
        <v>34156.989999999932</v>
      </c>
    </row>
    <row r="307" spans="11:13" ht="26.25" customHeight="1" x14ac:dyDescent="0.3">
      <c r="K307" s="1">
        <f>Table11819202327[[#This Row],[النولون]]+Table11819202327[[#This Row],[الايصالات]]-Table11819202327[[#This Row],[خصم أ ت ص]]+Table11819202327[[#This Row],[قيمة مضافة]]</f>
        <v>0</v>
      </c>
      <c r="M307" s="1">
        <f>M306+Table11819202327[[#This Row],[اجمالي الفاتوره]]-Table11819202327[[#This Row],[الدفعات]]</f>
        <v>34156.989999999932</v>
      </c>
    </row>
    <row r="308" spans="11:13" ht="26.25" customHeight="1" x14ac:dyDescent="0.3">
      <c r="K308" s="1">
        <f>Table11819202327[[#This Row],[النولون]]+Table11819202327[[#This Row],[الايصالات]]-Table11819202327[[#This Row],[خصم أ ت ص]]+Table11819202327[[#This Row],[قيمة مضافة]]</f>
        <v>0</v>
      </c>
      <c r="M308" s="1">
        <f>M307+Table11819202327[[#This Row],[اجمالي الفاتوره]]-Table11819202327[[#This Row],[الدفعات]]</f>
        <v>34156.989999999932</v>
      </c>
    </row>
    <row r="309" spans="11:13" ht="26.25" customHeight="1" x14ac:dyDescent="0.3">
      <c r="K309" s="1">
        <f>Table11819202327[[#This Row],[النولون]]+Table11819202327[[#This Row],[الايصالات]]-Table11819202327[[#This Row],[خصم أ ت ص]]+Table11819202327[[#This Row],[قيمة مضافة]]</f>
        <v>0</v>
      </c>
      <c r="M309" s="1">
        <f>M308+Table11819202327[[#This Row],[اجمالي الفاتوره]]-Table11819202327[[#This Row],[الدفعات]]</f>
        <v>34156.989999999932</v>
      </c>
    </row>
    <row r="310" spans="11:13" ht="26.25" customHeight="1" x14ac:dyDescent="0.3">
      <c r="K310" s="1">
        <f>Table11819202327[[#This Row],[النولون]]+Table11819202327[[#This Row],[الايصالات]]-Table11819202327[[#This Row],[خصم أ ت ص]]+Table11819202327[[#This Row],[قيمة مضافة]]</f>
        <v>0</v>
      </c>
      <c r="M310" s="1">
        <f>M309+Table11819202327[[#This Row],[اجمالي الفاتوره]]-Table11819202327[[#This Row],[الدفعات]]</f>
        <v>34156.989999999932</v>
      </c>
    </row>
    <row r="311" spans="11:13" ht="26.25" customHeight="1" x14ac:dyDescent="0.3">
      <c r="K311" s="1">
        <f>Table11819202327[[#This Row],[النولون]]+Table11819202327[[#This Row],[الايصالات]]-Table11819202327[[#This Row],[خصم أ ت ص]]+Table11819202327[[#This Row],[قيمة مضافة]]</f>
        <v>0</v>
      </c>
      <c r="M311" s="1">
        <f>M310+Table11819202327[[#This Row],[اجمالي الفاتوره]]-Table11819202327[[#This Row],[الدفعات]]</f>
        <v>34156.989999999932</v>
      </c>
    </row>
    <row r="312" spans="11:13" ht="26.25" customHeight="1" x14ac:dyDescent="0.3">
      <c r="K312" s="1">
        <f>Table11819202327[[#This Row],[النولون]]+Table11819202327[[#This Row],[الايصالات]]-Table11819202327[[#This Row],[خصم أ ت ص]]+Table11819202327[[#This Row],[قيمة مضافة]]</f>
        <v>0</v>
      </c>
      <c r="M312" s="1">
        <f>M311+Table11819202327[[#This Row],[اجمالي الفاتوره]]-Table11819202327[[#This Row],[الدفعات]]</f>
        <v>34156.989999999932</v>
      </c>
    </row>
    <row r="313" spans="11:13" ht="26.25" customHeight="1" x14ac:dyDescent="0.3">
      <c r="K313" s="1">
        <f>Table11819202327[[#This Row],[النولون]]+Table11819202327[[#This Row],[الايصالات]]-Table11819202327[[#This Row],[خصم أ ت ص]]+Table11819202327[[#This Row],[قيمة مضافة]]</f>
        <v>0</v>
      </c>
      <c r="M313" s="1">
        <f>M312+Table11819202327[[#This Row],[اجمالي الفاتوره]]-Table11819202327[[#This Row],[الدفعات]]</f>
        <v>34156.989999999932</v>
      </c>
    </row>
    <row r="314" spans="11:13" ht="26.25" customHeight="1" x14ac:dyDescent="0.3">
      <c r="K314" s="1">
        <f>Table11819202327[[#This Row],[النولون]]+Table11819202327[[#This Row],[الايصالات]]-Table11819202327[[#This Row],[خصم أ ت ص]]+Table11819202327[[#This Row],[قيمة مضافة]]</f>
        <v>0</v>
      </c>
      <c r="M314" s="1">
        <f>M313+Table11819202327[[#This Row],[اجمالي الفاتوره]]-Table11819202327[[#This Row],[الدفعات]]</f>
        <v>34156.989999999932</v>
      </c>
    </row>
    <row r="315" spans="11:13" ht="26.25" customHeight="1" x14ac:dyDescent="0.3">
      <c r="K315" s="1">
        <f>Table11819202327[[#This Row],[النولون]]+Table11819202327[[#This Row],[الايصالات]]-Table11819202327[[#This Row],[خصم أ ت ص]]+Table11819202327[[#This Row],[قيمة مضافة]]</f>
        <v>0</v>
      </c>
      <c r="M315" s="1">
        <f>M314+Table11819202327[[#This Row],[اجمالي الفاتوره]]-Table11819202327[[#This Row],[الدفعات]]</f>
        <v>34156.989999999932</v>
      </c>
    </row>
    <row r="316" spans="11:13" ht="26.25" customHeight="1" x14ac:dyDescent="0.3">
      <c r="K316" s="1">
        <f>Table11819202327[[#This Row],[النولون]]+Table11819202327[[#This Row],[الايصالات]]-Table11819202327[[#This Row],[خصم أ ت ص]]+Table11819202327[[#This Row],[قيمة مضافة]]</f>
        <v>0</v>
      </c>
      <c r="M316" s="1">
        <f>M315+Table11819202327[[#This Row],[اجمالي الفاتوره]]-Table11819202327[[#This Row],[الدفعات]]</f>
        <v>34156.989999999932</v>
      </c>
    </row>
    <row r="317" spans="11:13" ht="26.25" customHeight="1" x14ac:dyDescent="0.3">
      <c r="K317" s="1">
        <f>Table11819202327[[#This Row],[النولون]]+Table11819202327[[#This Row],[الايصالات]]-Table11819202327[[#This Row],[خصم أ ت ص]]+Table11819202327[[#This Row],[قيمة مضافة]]</f>
        <v>0</v>
      </c>
      <c r="M317" s="1">
        <f>M316+Table11819202327[[#This Row],[اجمالي الفاتوره]]-Table11819202327[[#This Row],[الدفعات]]</f>
        <v>34156.989999999932</v>
      </c>
    </row>
    <row r="318" spans="11:13" ht="26.25" customHeight="1" x14ac:dyDescent="0.3">
      <c r="K318" s="1">
        <f>Table11819202327[[#This Row],[النولون]]+Table11819202327[[#This Row],[الايصالات]]-Table11819202327[[#This Row],[خصم أ ت ص]]+Table11819202327[[#This Row],[قيمة مضافة]]</f>
        <v>0</v>
      </c>
      <c r="M318" s="1">
        <f>M317+Table11819202327[[#This Row],[اجمالي الفاتوره]]-Table11819202327[[#This Row],[الدفعات]]</f>
        <v>34156.989999999932</v>
      </c>
    </row>
    <row r="319" spans="11:13" ht="26.25" customHeight="1" x14ac:dyDescent="0.3">
      <c r="K319" s="1">
        <f>Table11819202327[[#This Row],[النولون]]+Table11819202327[[#This Row],[الايصالات]]-Table11819202327[[#This Row],[خصم أ ت ص]]+Table11819202327[[#This Row],[قيمة مضافة]]</f>
        <v>0</v>
      </c>
      <c r="M319" s="1">
        <f>M318+Table11819202327[[#This Row],[اجمالي الفاتوره]]-Table11819202327[[#This Row],[الدفعات]]</f>
        <v>34156.989999999932</v>
      </c>
    </row>
    <row r="320" spans="11:13" ht="26.25" customHeight="1" x14ac:dyDescent="0.3">
      <c r="K320" s="1">
        <f>Table11819202327[[#This Row],[النولون]]+Table11819202327[[#This Row],[الايصالات]]-Table11819202327[[#This Row],[خصم أ ت ص]]+Table11819202327[[#This Row],[قيمة مضافة]]</f>
        <v>0</v>
      </c>
      <c r="M320" s="1">
        <f>M319+Table11819202327[[#This Row],[اجمالي الفاتوره]]-Table11819202327[[#This Row],[الدفعات]]</f>
        <v>34156.989999999932</v>
      </c>
    </row>
    <row r="321" spans="11:13" ht="26.25" customHeight="1" x14ac:dyDescent="0.3">
      <c r="K321" s="1">
        <f>Table11819202327[[#This Row],[النولون]]+Table11819202327[[#This Row],[الايصالات]]-Table11819202327[[#This Row],[خصم أ ت ص]]+Table11819202327[[#This Row],[قيمة مضافة]]</f>
        <v>0</v>
      </c>
      <c r="M321" s="1">
        <f>M320+Table11819202327[[#This Row],[اجمالي الفاتوره]]-Table11819202327[[#This Row],[الدفعات]]</f>
        <v>34156.989999999932</v>
      </c>
    </row>
    <row r="322" spans="11:13" ht="26.25" customHeight="1" x14ac:dyDescent="0.3">
      <c r="K322" s="1">
        <f>Table11819202327[[#This Row],[النولون]]+Table11819202327[[#This Row],[الايصالات]]-Table11819202327[[#This Row],[خصم أ ت ص]]+Table11819202327[[#This Row],[قيمة مضافة]]</f>
        <v>0</v>
      </c>
      <c r="M322" s="1">
        <f>M321+Table11819202327[[#This Row],[اجمالي الفاتوره]]-Table11819202327[[#This Row],[الدفعات]]</f>
        <v>34156.989999999932</v>
      </c>
    </row>
    <row r="323" spans="11:13" ht="26.25" customHeight="1" x14ac:dyDescent="0.3">
      <c r="K323" s="1">
        <f>Table11819202327[[#This Row],[النولون]]+Table11819202327[[#This Row],[الايصالات]]-Table11819202327[[#This Row],[خصم أ ت ص]]+Table11819202327[[#This Row],[قيمة مضافة]]</f>
        <v>0</v>
      </c>
      <c r="M323" s="1">
        <f>M322+Table11819202327[[#This Row],[اجمالي الفاتوره]]-Table11819202327[[#This Row],[الدفعات]]</f>
        <v>34156.989999999932</v>
      </c>
    </row>
    <row r="324" spans="11:13" ht="26.25" customHeight="1" x14ac:dyDescent="0.3">
      <c r="K324" s="1">
        <f>Table11819202327[[#This Row],[النولون]]+Table11819202327[[#This Row],[الايصالات]]-Table11819202327[[#This Row],[خصم أ ت ص]]+Table11819202327[[#This Row],[قيمة مضافة]]</f>
        <v>0</v>
      </c>
      <c r="M324" s="1">
        <f>M323+Table11819202327[[#This Row],[اجمالي الفاتوره]]-Table11819202327[[#This Row],[الدفعات]]</f>
        <v>34156.989999999932</v>
      </c>
    </row>
    <row r="325" spans="11:13" ht="26.25" customHeight="1" x14ac:dyDescent="0.3">
      <c r="K325" s="1">
        <f>Table11819202327[[#This Row],[النولون]]+Table11819202327[[#This Row],[الايصالات]]-Table11819202327[[#This Row],[خصم أ ت ص]]+Table11819202327[[#This Row],[قيمة مضافة]]</f>
        <v>0</v>
      </c>
      <c r="M325" s="1">
        <f>M324+Table11819202327[[#This Row],[اجمالي الفاتوره]]-Table11819202327[[#This Row],[الدفعات]]</f>
        <v>34156.989999999932</v>
      </c>
    </row>
    <row r="326" spans="11:13" ht="26.25" customHeight="1" x14ac:dyDescent="0.3">
      <c r="K326" s="1">
        <f>Table11819202327[[#This Row],[النولون]]+Table11819202327[[#This Row],[الايصالات]]-Table11819202327[[#This Row],[خصم أ ت ص]]+Table11819202327[[#This Row],[قيمة مضافة]]</f>
        <v>0</v>
      </c>
      <c r="M326" s="1">
        <f>M325+Table11819202327[[#This Row],[اجمالي الفاتوره]]-Table11819202327[[#This Row],[الدفعات]]</f>
        <v>34156.989999999932</v>
      </c>
    </row>
    <row r="327" spans="11:13" ht="26.25" customHeight="1" x14ac:dyDescent="0.3">
      <c r="K327" s="1">
        <f>Table11819202327[[#This Row],[النولون]]+Table11819202327[[#This Row],[الايصالات]]-Table11819202327[[#This Row],[خصم أ ت ص]]+Table11819202327[[#This Row],[قيمة مضافة]]</f>
        <v>0</v>
      </c>
      <c r="M327" s="1">
        <f>M326+Table11819202327[[#This Row],[اجمالي الفاتوره]]-Table11819202327[[#This Row],[الدفعات]]</f>
        <v>34156.989999999932</v>
      </c>
    </row>
    <row r="328" spans="11:13" ht="26.25" customHeight="1" x14ac:dyDescent="0.3">
      <c r="K328" s="1">
        <f>Table11819202327[[#This Row],[النولون]]+Table11819202327[[#This Row],[الايصالات]]-Table11819202327[[#This Row],[خصم أ ت ص]]+Table11819202327[[#This Row],[قيمة مضافة]]</f>
        <v>0</v>
      </c>
      <c r="M328" s="1">
        <f>M327+Table11819202327[[#This Row],[اجمالي الفاتوره]]-Table11819202327[[#This Row],[الدفعات]]</f>
        <v>34156.989999999932</v>
      </c>
    </row>
    <row r="329" spans="11:13" ht="26.25" customHeight="1" x14ac:dyDescent="0.3">
      <c r="K329" s="1">
        <f>Table11819202327[[#This Row],[النولون]]+Table11819202327[[#This Row],[الايصالات]]-Table11819202327[[#This Row],[خصم أ ت ص]]+Table11819202327[[#This Row],[قيمة مضافة]]</f>
        <v>0</v>
      </c>
      <c r="M329" s="1">
        <f>M328+Table11819202327[[#This Row],[اجمالي الفاتوره]]-Table11819202327[[#This Row],[الدفعات]]</f>
        <v>34156.989999999932</v>
      </c>
    </row>
    <row r="330" spans="11:13" ht="26.25" customHeight="1" x14ac:dyDescent="0.3">
      <c r="K330" s="1">
        <f>Table11819202327[[#This Row],[النولون]]+Table11819202327[[#This Row],[الايصالات]]-Table11819202327[[#This Row],[خصم أ ت ص]]+Table11819202327[[#This Row],[قيمة مضافة]]</f>
        <v>0</v>
      </c>
      <c r="M330" s="1">
        <f>M329+Table11819202327[[#This Row],[اجمالي الفاتوره]]-Table11819202327[[#This Row],[الدفعات]]</f>
        <v>34156.989999999932</v>
      </c>
    </row>
    <row r="331" spans="11:13" ht="26.25" customHeight="1" x14ac:dyDescent="0.3">
      <c r="K331" s="1">
        <f>Table11819202327[[#This Row],[النولون]]+Table11819202327[[#This Row],[الايصالات]]-Table11819202327[[#This Row],[خصم أ ت ص]]+Table11819202327[[#This Row],[قيمة مضافة]]</f>
        <v>0</v>
      </c>
      <c r="M331" s="1">
        <f>M330+Table11819202327[[#This Row],[اجمالي الفاتوره]]-Table11819202327[[#This Row],[الدفعات]]</f>
        <v>34156.989999999932</v>
      </c>
    </row>
    <row r="332" spans="11:13" ht="26.25" customHeight="1" x14ac:dyDescent="0.3">
      <c r="K332" s="1">
        <f>Table11819202327[[#This Row],[النولون]]+Table11819202327[[#This Row],[الايصالات]]-Table11819202327[[#This Row],[خصم أ ت ص]]+Table11819202327[[#This Row],[قيمة مضافة]]</f>
        <v>0</v>
      </c>
      <c r="M332" s="1">
        <f>M331+Table11819202327[[#This Row],[اجمالي الفاتوره]]-Table11819202327[[#This Row],[الدفعات]]</f>
        <v>34156.989999999932</v>
      </c>
    </row>
    <row r="333" spans="11:13" ht="26.25" customHeight="1" x14ac:dyDescent="0.3">
      <c r="K333" s="1">
        <f>Table11819202327[[#This Row],[النولون]]+Table11819202327[[#This Row],[الايصالات]]-Table11819202327[[#This Row],[خصم أ ت ص]]+Table11819202327[[#This Row],[قيمة مضافة]]</f>
        <v>0</v>
      </c>
      <c r="M333" s="1">
        <f>M332+Table11819202327[[#This Row],[اجمالي الفاتوره]]-Table11819202327[[#This Row],[الدفعات]]</f>
        <v>34156.989999999932</v>
      </c>
    </row>
    <row r="334" spans="11:13" ht="26.25" customHeight="1" x14ac:dyDescent="0.3">
      <c r="K334" s="1">
        <f>Table11819202327[[#This Row],[النولون]]+Table11819202327[[#This Row],[الايصالات]]-Table11819202327[[#This Row],[خصم أ ت ص]]+Table11819202327[[#This Row],[قيمة مضافة]]</f>
        <v>0</v>
      </c>
      <c r="M334" s="1">
        <f>M333+Table11819202327[[#This Row],[اجمالي الفاتوره]]-Table11819202327[[#This Row],[الدفعات]]</f>
        <v>34156.989999999932</v>
      </c>
    </row>
    <row r="335" spans="11:13" ht="26.25" customHeight="1" x14ac:dyDescent="0.3">
      <c r="K335" s="1">
        <f>Table11819202327[[#This Row],[النولون]]+Table11819202327[[#This Row],[الايصالات]]-Table11819202327[[#This Row],[خصم أ ت ص]]+Table11819202327[[#This Row],[قيمة مضافة]]</f>
        <v>0</v>
      </c>
      <c r="M335" s="1">
        <f>M334+Table11819202327[[#This Row],[اجمالي الفاتوره]]-Table11819202327[[#This Row],[الدفعات]]</f>
        <v>34156.989999999932</v>
      </c>
    </row>
    <row r="336" spans="11:13" ht="26.25" customHeight="1" x14ac:dyDescent="0.3">
      <c r="K336" s="1">
        <f>Table11819202327[[#This Row],[النولون]]+Table11819202327[[#This Row],[الايصالات]]-Table11819202327[[#This Row],[خصم أ ت ص]]+Table11819202327[[#This Row],[قيمة مضافة]]</f>
        <v>0</v>
      </c>
      <c r="M336" s="1">
        <f>M335+Table11819202327[[#This Row],[اجمالي الفاتوره]]-Table11819202327[[#This Row],[الدفعات]]</f>
        <v>34156.989999999932</v>
      </c>
    </row>
    <row r="337" spans="11:13" ht="26.25" customHeight="1" x14ac:dyDescent="0.3">
      <c r="K337" s="1">
        <f>Table11819202327[[#This Row],[النولون]]+Table11819202327[[#This Row],[الايصالات]]-Table11819202327[[#This Row],[خصم أ ت ص]]+Table11819202327[[#This Row],[قيمة مضافة]]</f>
        <v>0</v>
      </c>
      <c r="M337" s="1">
        <f>M336+Table11819202327[[#This Row],[اجمالي الفاتوره]]-Table11819202327[[#This Row],[الدفعات]]</f>
        <v>34156.989999999932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339"/>
  <sheetViews>
    <sheetView rightToLeft="1" topLeftCell="A15" workbookViewId="0">
      <selection activeCell="H24" sqref="H24"/>
    </sheetView>
  </sheetViews>
  <sheetFormatPr defaultColWidth="9.109375" defaultRowHeight="23.25" customHeight="1" x14ac:dyDescent="0.3"/>
  <cols>
    <col min="1" max="1" width="9.109375" style="6"/>
    <col min="2" max="2" width="5.44140625" style="1" customWidth="1"/>
    <col min="3" max="3" width="11" style="1" customWidth="1"/>
    <col min="4" max="4" width="15.109375" style="1" customWidth="1"/>
    <col min="5" max="5" width="11.21875" style="1" customWidth="1"/>
    <col min="6" max="6" width="13.33203125" style="1" customWidth="1"/>
    <col min="7" max="7" width="11.88671875" style="1" customWidth="1"/>
    <col min="8" max="8" width="11.6640625" style="1" customWidth="1"/>
    <col min="9" max="9" width="8.33203125" style="1" customWidth="1"/>
    <col min="10" max="10" width="8.21875" style="1" customWidth="1"/>
    <col min="11" max="11" width="10.77734375" style="1" customWidth="1"/>
    <col min="12" max="12" width="12" style="1" customWidth="1"/>
    <col min="13" max="13" width="12.77734375" style="1" customWidth="1"/>
    <col min="14" max="14" width="15.21875" style="1" customWidth="1"/>
    <col min="15" max="15" width="11.109375" style="1" customWidth="1"/>
    <col min="16" max="16384" width="9.109375" style="1"/>
  </cols>
  <sheetData>
    <row r="1" spans="1:15" ht="23.25" customHeight="1" x14ac:dyDescent="0.3">
      <c r="A1" s="6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23.25" customHeight="1" x14ac:dyDescent="0.3">
      <c r="C2" s="2"/>
      <c r="L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" s="1">
        <v>27987.17</v>
      </c>
    </row>
    <row r="3" spans="1:15" ht="23.25" customHeight="1" x14ac:dyDescent="0.3">
      <c r="B3" s="1">
        <v>1</v>
      </c>
      <c r="C3" s="2" t="s">
        <v>150</v>
      </c>
      <c r="D3" s="1" t="s">
        <v>123</v>
      </c>
      <c r="E3" s="1" t="s">
        <v>96</v>
      </c>
      <c r="F3" s="1">
        <v>526566</v>
      </c>
      <c r="G3" s="1" t="s">
        <v>159</v>
      </c>
      <c r="H3" s="1">
        <v>11300</v>
      </c>
      <c r="K3" s="1">
        <f>580+230.18+638.4+189*50</f>
        <v>10898.58</v>
      </c>
      <c r="L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22198.58</v>
      </c>
      <c r="N3" s="1">
        <f>N2+Table11819202310303132353839404148111518202837535657[[#This Row],[اجمالي الفاتوره]]-Table11819202310303132353839404148111518202837535657[[#This Row],[الدفعات]]</f>
        <v>50185.75</v>
      </c>
    </row>
    <row r="4" spans="1:15" ht="23.25" customHeight="1" x14ac:dyDescent="0.3">
      <c r="A4" s="42"/>
      <c r="B4" s="1">
        <v>2</v>
      </c>
      <c r="C4" s="2" t="s">
        <v>237</v>
      </c>
      <c r="D4" s="1" t="s">
        <v>252</v>
      </c>
      <c r="E4" s="1" t="s">
        <v>96</v>
      </c>
      <c r="F4" s="1">
        <v>22969</v>
      </c>
      <c r="G4" s="1" t="s">
        <v>121</v>
      </c>
      <c r="H4" s="1">
        <v>14000</v>
      </c>
      <c r="K4" s="1">
        <f>1135+205.62+912</f>
        <v>2252.62</v>
      </c>
      <c r="L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16252.619999999999</v>
      </c>
      <c r="N4" s="1">
        <f>N3+Table11819202310303132353839404148111518202837535657[[#This Row],[اجمالي الفاتوره]]-Table11819202310303132353839404148111518202837535657[[#This Row],[الدفعات]]</f>
        <v>66438.37</v>
      </c>
    </row>
    <row r="5" spans="1:15" ht="23.25" customHeight="1" x14ac:dyDescent="0.3">
      <c r="A5" s="74"/>
      <c r="B5" s="72"/>
      <c r="C5" s="73" t="s">
        <v>291</v>
      </c>
      <c r="D5" s="72"/>
      <c r="E5" s="72"/>
      <c r="F5" s="72"/>
      <c r="G5" s="72"/>
      <c r="H5" s="72"/>
      <c r="I5" s="72"/>
      <c r="J5" s="72"/>
      <c r="K5" s="72"/>
      <c r="L5" s="72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M5" s="72">
        <v>50000</v>
      </c>
      <c r="N5" s="72">
        <f>N4+Table11819202310303132353839404148111518202837535657[[#This Row],[اجمالي الفاتوره]]-Table11819202310303132353839404148111518202837535657[[#This Row],[الدفعات]]</f>
        <v>16438.369999999995</v>
      </c>
    </row>
    <row r="6" spans="1:15" ht="23.25" customHeight="1" x14ac:dyDescent="0.3">
      <c r="B6" s="1">
        <v>3</v>
      </c>
      <c r="C6" s="2" t="s">
        <v>299</v>
      </c>
      <c r="D6" s="1" t="s">
        <v>303</v>
      </c>
      <c r="E6" s="1" t="s">
        <v>94</v>
      </c>
      <c r="F6" s="1">
        <v>52029</v>
      </c>
      <c r="G6" s="1" t="s">
        <v>92</v>
      </c>
      <c r="H6" s="1">
        <f>15300*2</f>
        <v>30600</v>
      </c>
      <c r="K6" s="1">
        <f>1135+1100+200.07+210.72+50*2+1174.2+2542.2+7554.35</f>
        <v>14016.54</v>
      </c>
      <c r="L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44616.54</v>
      </c>
      <c r="N6" s="1">
        <f>N5+Table11819202310303132353839404148111518202837535657[[#This Row],[اجمالي الفاتوره]]-Table11819202310303132353839404148111518202837535657[[#This Row],[الدفعات]]</f>
        <v>61054.909999999996</v>
      </c>
    </row>
    <row r="7" spans="1:15" ht="23.25" customHeight="1" x14ac:dyDescent="0.3">
      <c r="B7" s="1">
        <v>4</v>
      </c>
      <c r="C7" s="2" t="s">
        <v>315</v>
      </c>
      <c r="D7" s="1" t="s">
        <v>318</v>
      </c>
      <c r="E7" s="1" t="s">
        <v>118</v>
      </c>
      <c r="F7" s="1">
        <v>420255</v>
      </c>
      <c r="G7" s="1" t="s">
        <v>121</v>
      </c>
      <c r="H7" s="1">
        <v>13000</v>
      </c>
      <c r="K7" s="1">
        <f>1135+308.22+2836</f>
        <v>4279.22</v>
      </c>
      <c r="L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17279.22</v>
      </c>
      <c r="N7" s="1">
        <f>N6+Table11819202310303132353839404148111518202837535657[[#This Row],[اجمالي الفاتوره]]-Table11819202310303132353839404148111518202837535657[[#This Row],[الدفعات]]</f>
        <v>78334.13</v>
      </c>
    </row>
    <row r="8" spans="1:15" ht="23.25" customHeight="1" x14ac:dyDescent="0.3">
      <c r="B8" s="1">
        <v>5</v>
      </c>
      <c r="C8" s="2" t="s">
        <v>372</v>
      </c>
      <c r="D8" s="1" t="s">
        <v>303</v>
      </c>
      <c r="E8" s="1" t="s">
        <v>374</v>
      </c>
      <c r="F8" s="1">
        <v>104686</v>
      </c>
      <c r="G8" s="1" t="s">
        <v>121</v>
      </c>
      <c r="H8" s="1">
        <v>15300</v>
      </c>
      <c r="K8" s="1">
        <f>120+850+1135+234.95+912+3000</f>
        <v>6251.95</v>
      </c>
      <c r="L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21551.95</v>
      </c>
      <c r="N8" s="1">
        <f>N7+Table11819202310303132353839404148111518202837535657[[#This Row],[اجمالي الفاتوره]]-Table11819202310303132353839404148111518202837535657[[#This Row],[الدفعات]]</f>
        <v>99886.080000000002</v>
      </c>
    </row>
    <row r="9" spans="1:15" ht="23.25" customHeight="1" x14ac:dyDescent="0.3">
      <c r="A9" s="74"/>
      <c r="B9" s="76"/>
      <c r="C9" s="73" t="s">
        <v>407</v>
      </c>
      <c r="D9" s="76"/>
      <c r="E9" s="76"/>
      <c r="F9" s="76"/>
      <c r="G9" s="76"/>
      <c r="H9" s="76"/>
      <c r="I9" s="76"/>
      <c r="J9" s="76">
        <f>0.03*Table11819202310303132353839404148111518202837535657[[#This Row],[النولون]]</f>
        <v>0</v>
      </c>
      <c r="K9" s="76"/>
      <c r="L9" s="76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M9" s="76">
        <v>70000</v>
      </c>
      <c r="N9" s="72">
        <f>N8+Table11819202310303132353839404148111518202837535657[[#This Row],[اجمالي الفاتوره]]-Table11819202310303132353839404148111518202837535657[[#This Row],[الدفعات]]</f>
        <v>29886.080000000002</v>
      </c>
      <c r="O9" s="48"/>
    </row>
    <row r="10" spans="1:15" ht="23.25" customHeight="1" x14ac:dyDescent="0.3">
      <c r="B10" s="1">
        <v>6</v>
      </c>
      <c r="C10" s="2" t="s">
        <v>407</v>
      </c>
      <c r="D10" s="1" t="s">
        <v>303</v>
      </c>
      <c r="E10" s="1" t="s">
        <v>374</v>
      </c>
      <c r="F10" s="20">
        <v>127543</v>
      </c>
      <c r="G10" s="1" t="s">
        <v>92</v>
      </c>
      <c r="H10" s="1">
        <f>16500*2</f>
        <v>33000</v>
      </c>
      <c r="K10" s="1">
        <f>810+1135+1135+174.31+174.31</f>
        <v>3428.62</v>
      </c>
      <c r="L1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36428.620000000003</v>
      </c>
      <c r="N10" s="1">
        <f>N9+Table11819202310303132353839404148111518202837535657[[#This Row],[اجمالي الفاتوره]]-Table11819202310303132353839404148111518202837535657[[#This Row],[الدفعات]]</f>
        <v>66314.700000000012</v>
      </c>
    </row>
    <row r="11" spans="1:15" ht="23.25" customHeight="1" x14ac:dyDescent="0.3">
      <c r="B11" s="1">
        <v>7</v>
      </c>
      <c r="C11" s="2" t="s">
        <v>418</v>
      </c>
      <c r="D11" s="1" t="s">
        <v>318</v>
      </c>
      <c r="E11" s="1" t="s">
        <v>118</v>
      </c>
      <c r="F11" s="20">
        <v>14180</v>
      </c>
      <c r="G11" s="1" t="s">
        <v>159</v>
      </c>
      <c r="H11" s="1">
        <v>11500</v>
      </c>
      <c r="K11" s="1">
        <f>850+100+580+335.95+1232+50</f>
        <v>3147.95</v>
      </c>
      <c r="L1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14647.95</v>
      </c>
      <c r="N11" s="1">
        <f>N10+Table11819202310303132353839404148111518202837535657[[#This Row],[اجمالي الفاتوره]]-Table11819202310303132353839404148111518202837535657[[#This Row],[الدفعات]]</f>
        <v>80962.650000000009</v>
      </c>
    </row>
    <row r="12" spans="1:15" ht="23.25" customHeight="1" x14ac:dyDescent="0.3">
      <c r="B12" s="1">
        <v>8</v>
      </c>
      <c r="C12" s="2">
        <v>46123</v>
      </c>
      <c r="D12" s="1" t="s">
        <v>433</v>
      </c>
      <c r="E12" s="1" t="s">
        <v>434</v>
      </c>
      <c r="F12" s="20">
        <v>158064</v>
      </c>
      <c r="G12" s="1" t="s">
        <v>159</v>
      </c>
      <c r="H12" s="1">
        <v>13000</v>
      </c>
      <c r="K12" s="1">
        <f>580+148.53</f>
        <v>728.53</v>
      </c>
      <c r="L1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13728.53</v>
      </c>
      <c r="N12" s="1">
        <f>N11+Table11819202310303132353839404148111518202837535657[[#This Row],[اجمالي الفاتوره]]-Table11819202310303132353839404148111518202837535657[[#This Row],[الدفعات]]</f>
        <v>94691.180000000008</v>
      </c>
    </row>
    <row r="13" spans="1:15" ht="23.25" customHeight="1" x14ac:dyDescent="0.3">
      <c r="A13" s="74"/>
      <c r="B13" s="72"/>
      <c r="C13" s="73">
        <v>46126</v>
      </c>
      <c r="D13" s="72"/>
      <c r="E13" s="72"/>
      <c r="F13" s="72"/>
      <c r="G13" s="72"/>
      <c r="H13" s="72"/>
      <c r="I13" s="72"/>
      <c r="J13" s="72"/>
      <c r="K13" s="72"/>
      <c r="L13" s="72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M13" s="72">
        <v>50000</v>
      </c>
      <c r="N13" s="72">
        <f>N12+Table11819202310303132353839404148111518202837535657[[#This Row],[اجمالي الفاتوره]]-Table11819202310303132353839404148111518202837535657[[#This Row],[الدفعات]]</f>
        <v>44691.180000000008</v>
      </c>
      <c r="O13" s="1">
        <f>SUM(L:L)-SUM(M:M)+N2</f>
        <v>14439.190000000017</v>
      </c>
    </row>
    <row r="14" spans="1:15" ht="23.25" customHeight="1" x14ac:dyDescent="0.3">
      <c r="B14" s="1">
        <v>9</v>
      </c>
      <c r="C14" s="2">
        <v>46137</v>
      </c>
      <c r="D14" s="1" t="s">
        <v>433</v>
      </c>
      <c r="E14" s="1" t="s">
        <v>434</v>
      </c>
      <c r="F14" s="1">
        <v>189702</v>
      </c>
      <c r="G14" s="1" t="s">
        <v>121</v>
      </c>
      <c r="H14" s="1">
        <v>16000</v>
      </c>
      <c r="K14" s="1">
        <f>1135+186.59+1345.2+342</f>
        <v>3008.79</v>
      </c>
      <c r="L1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19008.79</v>
      </c>
      <c r="N14" s="1">
        <f>N13+Table11819202310303132353839404148111518202837535657[[#This Row],[اجمالي الفاتوره]]-Table11819202310303132353839404148111518202837535657[[#This Row],[الدفعات]]</f>
        <v>63699.970000000008</v>
      </c>
    </row>
    <row r="15" spans="1:15" ht="23.25" customHeight="1" x14ac:dyDescent="0.3">
      <c r="B15" s="1">
        <v>10</v>
      </c>
      <c r="C15" s="2">
        <v>46151</v>
      </c>
      <c r="D15" s="1" t="s">
        <v>529</v>
      </c>
      <c r="E15" s="1" t="s">
        <v>434</v>
      </c>
      <c r="F15" s="1">
        <v>200821</v>
      </c>
      <c r="G15" s="1" t="s">
        <v>121</v>
      </c>
      <c r="H15" s="1">
        <v>16000</v>
      </c>
      <c r="K15" s="1">
        <f>550+850+1135+211.27</f>
        <v>2746.27</v>
      </c>
      <c r="L1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18746.27</v>
      </c>
      <c r="N15" s="1">
        <f>N14+Table11819202310303132353839404148111518202837535657[[#This Row],[اجمالي الفاتوره]]-Table11819202310303132353839404148111518202837535657[[#This Row],[الدفعات]]</f>
        <v>82446.240000000005</v>
      </c>
    </row>
    <row r="16" spans="1:15" ht="23.25" customHeight="1" x14ac:dyDescent="0.3">
      <c r="B16" s="1">
        <v>11</v>
      </c>
      <c r="C16" s="2">
        <v>46151</v>
      </c>
      <c r="D16" s="1" t="s">
        <v>530</v>
      </c>
      <c r="E16" s="1" t="s">
        <v>531</v>
      </c>
      <c r="F16" s="1">
        <v>205770</v>
      </c>
      <c r="G16" s="1" t="s">
        <v>121</v>
      </c>
      <c r="H16" s="1">
        <v>38000</v>
      </c>
      <c r="K16" s="1">
        <f>625+1100+177.14+1345</f>
        <v>3247.14</v>
      </c>
      <c r="L1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41247.14</v>
      </c>
      <c r="N16" s="1">
        <f>N15+Table11819202310303132353839404148111518202837535657[[#This Row],[اجمالي الفاتوره]]-Table11819202310303132353839404148111518202837535657[[#This Row],[الدفعات]]</f>
        <v>123693.38</v>
      </c>
    </row>
    <row r="17" spans="1:14" ht="23.25" customHeight="1" x14ac:dyDescent="0.3">
      <c r="A17" s="74"/>
      <c r="B17" s="72"/>
      <c r="C17" s="73">
        <v>46153</v>
      </c>
      <c r="D17" s="72"/>
      <c r="E17" s="72"/>
      <c r="F17" s="72"/>
      <c r="G17" s="72"/>
      <c r="H17" s="72"/>
      <c r="I17" s="72"/>
      <c r="J17" s="72"/>
      <c r="K17" s="72"/>
      <c r="L17" s="72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M17" s="72">
        <v>73000</v>
      </c>
      <c r="N17" s="72">
        <f>N16+Table11819202310303132353839404148111518202837535657[[#This Row],[اجمالي الفاتوره]]-Table11819202310303132353839404148111518202837535657[[#This Row],[الدفعات]]</f>
        <v>50693.380000000005</v>
      </c>
    </row>
    <row r="18" spans="1:14" ht="23.25" customHeight="1" x14ac:dyDescent="0.3">
      <c r="B18" s="1">
        <v>12</v>
      </c>
      <c r="C18" s="2">
        <v>46158</v>
      </c>
      <c r="D18" s="1" t="s">
        <v>303</v>
      </c>
      <c r="E18" s="1" t="s">
        <v>94</v>
      </c>
      <c r="F18" s="1">
        <v>230579</v>
      </c>
      <c r="G18" s="1" t="s">
        <v>121</v>
      </c>
      <c r="H18" s="1">
        <v>16000</v>
      </c>
      <c r="K18" s="1">
        <f>1135+242.78+1254</f>
        <v>2631.7799999999997</v>
      </c>
      <c r="L1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18631.78</v>
      </c>
      <c r="N18" s="1">
        <f>N17+Table11819202310303132353839404148111518202837535657[[#This Row],[اجمالي الفاتوره]]-Table11819202310303132353839404148111518202837535657[[#This Row],[الدفعات]]</f>
        <v>69325.16</v>
      </c>
    </row>
    <row r="19" spans="1:14" ht="23.25" customHeight="1" x14ac:dyDescent="0.3">
      <c r="A19" s="74"/>
      <c r="B19" s="72"/>
      <c r="C19" s="73">
        <v>46159</v>
      </c>
      <c r="D19" s="72"/>
      <c r="E19" s="72"/>
      <c r="F19" s="72"/>
      <c r="G19" s="72"/>
      <c r="H19" s="72"/>
      <c r="I19" s="72"/>
      <c r="J19" s="72"/>
      <c r="K19" s="72"/>
      <c r="L19" s="72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M19" s="72">
        <v>50000</v>
      </c>
      <c r="N19" s="72">
        <f>N18+Table11819202310303132353839404148111518202837535657[[#This Row],[اجمالي الفاتوره]]-Table11819202310303132353839404148111518202837535657[[#This Row],[الدفعات]]</f>
        <v>19325.160000000003</v>
      </c>
    </row>
    <row r="20" spans="1:14" ht="23.25" customHeight="1" x14ac:dyDescent="0.3">
      <c r="B20" s="1">
        <v>13</v>
      </c>
      <c r="C20" s="2">
        <v>46174</v>
      </c>
      <c r="D20" s="1" t="s">
        <v>582</v>
      </c>
      <c r="E20" s="1" t="s">
        <v>330</v>
      </c>
      <c r="F20" s="1">
        <v>248488</v>
      </c>
      <c r="G20" s="1" t="s">
        <v>121</v>
      </c>
      <c r="H20" s="1">
        <v>16000</v>
      </c>
      <c r="K20" s="1">
        <f>810+1135+153</f>
        <v>2098</v>
      </c>
      <c r="L2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18098</v>
      </c>
      <c r="N20" s="1">
        <f>N19+Table11819202310303132353839404148111518202837535657[[#This Row],[اجمالي الفاتوره]]-Table11819202310303132353839404148111518202837535657[[#This Row],[الدفعات]]</f>
        <v>37423.160000000003</v>
      </c>
    </row>
    <row r="21" spans="1:14" ht="23.25" customHeight="1" x14ac:dyDescent="0.3">
      <c r="B21" s="1">
        <v>14</v>
      </c>
      <c r="C21" s="2">
        <v>46187</v>
      </c>
      <c r="D21" s="1" t="s">
        <v>433</v>
      </c>
      <c r="E21" s="1" t="s">
        <v>434</v>
      </c>
      <c r="F21" s="1">
        <v>259185</v>
      </c>
      <c r="G21" s="1" t="s">
        <v>121</v>
      </c>
      <c r="H21" s="1">
        <v>16000</v>
      </c>
      <c r="K21" s="1">
        <f>50*2+1100+218.64+1345</f>
        <v>2763.64</v>
      </c>
      <c r="L2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18763.64</v>
      </c>
      <c r="N21" s="1">
        <f>N20+Table11819202310303132353839404148111518202837535657[[#This Row],[اجمالي الفاتوره]]-Table11819202310303132353839404148111518202837535657[[#This Row],[الدفعات]]</f>
        <v>56186.8</v>
      </c>
    </row>
    <row r="22" spans="1:14" ht="23.25" customHeight="1" x14ac:dyDescent="0.3">
      <c r="A22" s="74"/>
      <c r="B22" s="72"/>
      <c r="C22" s="73">
        <v>46187</v>
      </c>
      <c r="D22" s="72"/>
      <c r="E22" s="72"/>
      <c r="F22" s="72"/>
      <c r="G22" s="72"/>
      <c r="H22" s="72"/>
      <c r="I22" s="72"/>
      <c r="J22" s="72"/>
      <c r="K22" s="72"/>
      <c r="L22" s="72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M22" s="72">
        <v>56200</v>
      </c>
      <c r="N22" s="72">
        <f>N21+Table11819202310303132353839404148111518202837535657[[#This Row],[اجمالي الفاتوره]]-Table11819202310303132353839404148111518202837535657[[#This Row],[الدفعات]]</f>
        <v>-13.19999999999709</v>
      </c>
    </row>
    <row r="23" spans="1:14" ht="23.25" customHeight="1" x14ac:dyDescent="0.3">
      <c r="B23" s="1">
        <v>15</v>
      </c>
      <c r="C23" s="2">
        <v>46208</v>
      </c>
      <c r="D23" s="1" t="s">
        <v>252</v>
      </c>
      <c r="E23" s="1" t="s">
        <v>96</v>
      </c>
      <c r="F23" s="1">
        <v>320379</v>
      </c>
      <c r="G23" s="1" t="s">
        <v>159</v>
      </c>
      <c r="H23" s="1">
        <v>12300</v>
      </c>
      <c r="K23" s="1">
        <f>560+110.39+1482</f>
        <v>2152.39</v>
      </c>
      <c r="L2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14452.39</v>
      </c>
      <c r="N23" s="1">
        <f>N22+Table11819202310303132353839404148111518202837535657[[#This Row],[اجمالي الفاتوره]]-Table11819202310303132353839404148111518202837535657[[#This Row],[الدفعات]]</f>
        <v>14439.190000000002</v>
      </c>
    </row>
    <row r="24" spans="1:14" ht="23.25" customHeight="1" x14ac:dyDescent="0.3">
      <c r="C24" s="2"/>
      <c r="L2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4" s="1">
        <f>N23+Table11819202310303132353839404148111518202837535657[[#This Row],[اجمالي الفاتوره]]-Table11819202310303132353839404148111518202837535657[[#This Row],[الدفعات]]</f>
        <v>14439.190000000002</v>
      </c>
    </row>
    <row r="25" spans="1:14" ht="23.25" customHeight="1" x14ac:dyDescent="0.3">
      <c r="L2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5" s="1">
        <f>N24+Table11819202310303132353839404148111518202837535657[[#This Row],[اجمالي الفاتوره]]-Table11819202310303132353839404148111518202837535657[[#This Row],[الدفعات]]</f>
        <v>14439.190000000002</v>
      </c>
    </row>
    <row r="26" spans="1:14" ht="23.25" customHeight="1" x14ac:dyDescent="0.3">
      <c r="L2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6" s="1">
        <f>N25+Table11819202310303132353839404148111518202837535657[[#This Row],[اجمالي الفاتوره]]-Table11819202310303132353839404148111518202837535657[[#This Row],[الدفعات]]</f>
        <v>14439.190000000002</v>
      </c>
    </row>
    <row r="27" spans="1:14" ht="23.25" customHeight="1" x14ac:dyDescent="0.3">
      <c r="C27" s="2"/>
      <c r="L2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7" s="1">
        <f>N26+Table11819202310303132353839404148111518202837535657[[#This Row],[اجمالي الفاتوره]]-Table11819202310303132353839404148111518202837535657[[#This Row],[الدفعات]]</f>
        <v>14439.190000000002</v>
      </c>
    </row>
    <row r="28" spans="1:14" ht="23.25" customHeight="1" x14ac:dyDescent="0.3">
      <c r="C28" s="2"/>
      <c r="L2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8" s="1">
        <f>N27+Table11819202310303132353839404148111518202837535657[[#This Row],[اجمالي الفاتوره]]-Table11819202310303132353839404148111518202837535657[[#This Row],[الدفعات]]</f>
        <v>14439.190000000002</v>
      </c>
    </row>
    <row r="29" spans="1:14" ht="23.25" customHeight="1" x14ac:dyDescent="0.3">
      <c r="C29" s="2"/>
      <c r="L2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9" s="1">
        <f>N28+Table11819202310303132353839404148111518202837535657[[#This Row],[اجمالي الفاتوره]]-Table11819202310303132353839404148111518202837535657[[#This Row],[الدفعات]]</f>
        <v>14439.190000000002</v>
      </c>
    </row>
    <row r="30" spans="1:14" ht="23.25" customHeight="1" x14ac:dyDescent="0.3">
      <c r="C30" s="2"/>
      <c r="L3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0" s="1">
        <f>N29+Table11819202310303132353839404148111518202837535657[[#This Row],[اجمالي الفاتوره]]-Table11819202310303132353839404148111518202837535657[[#This Row],[الدفعات]]</f>
        <v>14439.190000000002</v>
      </c>
    </row>
    <row r="31" spans="1:14" ht="23.25" customHeight="1" x14ac:dyDescent="0.3">
      <c r="L3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1" s="1">
        <f>N30+Table11819202310303132353839404148111518202837535657[[#This Row],[اجمالي الفاتوره]]-Table11819202310303132353839404148111518202837535657[[#This Row],[الدفعات]]</f>
        <v>14439.190000000002</v>
      </c>
    </row>
    <row r="32" spans="1:14" ht="23.25" customHeight="1" x14ac:dyDescent="0.3">
      <c r="C32" s="2"/>
      <c r="L3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2" s="1">
        <f>N31+Table11819202310303132353839404148111518202837535657[[#This Row],[اجمالي الفاتوره]]-Table11819202310303132353839404148111518202837535657[[#This Row],[الدفعات]]</f>
        <v>14439.190000000002</v>
      </c>
    </row>
    <row r="33" spans="1:14" ht="23.25" customHeight="1" x14ac:dyDescent="0.3">
      <c r="L3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3" s="1">
        <f>N32+Table11819202310303132353839404148111518202837535657[[#This Row],[اجمالي الفاتوره]]-Table11819202310303132353839404148111518202837535657[[#This Row],[الدفعات]]</f>
        <v>14439.190000000002</v>
      </c>
    </row>
    <row r="34" spans="1:14" ht="23.25" customHeight="1" x14ac:dyDescent="0.3">
      <c r="L3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4" s="1">
        <f>N33+Table11819202310303132353839404148111518202837535657[[#This Row],[اجمالي الفاتوره]]-Table11819202310303132353839404148111518202837535657[[#This Row],[الدفعات]]</f>
        <v>14439.190000000002</v>
      </c>
    </row>
    <row r="35" spans="1:14" ht="23.25" customHeight="1" x14ac:dyDescent="0.3">
      <c r="L3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5" s="1">
        <f>N34+Table11819202310303132353839404148111518202837535657[[#This Row],[اجمالي الفاتوره]]-Table11819202310303132353839404148111518202837535657[[#This Row],[الدفعات]]</f>
        <v>14439.190000000002</v>
      </c>
    </row>
    <row r="36" spans="1:14" ht="23.25" customHeight="1" x14ac:dyDescent="0.3">
      <c r="C36" s="2"/>
      <c r="D36" s="2"/>
      <c r="L3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6" s="1">
        <f>N35+Table11819202310303132353839404148111518202837535657[[#This Row],[اجمالي الفاتوره]]-Table11819202310303132353839404148111518202837535657[[#This Row],[الدفعات]]</f>
        <v>14439.190000000002</v>
      </c>
    </row>
    <row r="37" spans="1:14" ht="23.25" customHeight="1" x14ac:dyDescent="0.3">
      <c r="L3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7" s="1">
        <f>N36+Table11819202310303132353839404148111518202837535657[[#This Row],[اجمالي الفاتوره]]-Table11819202310303132353839404148111518202837535657[[#This Row],[الدفعات]]</f>
        <v>14439.190000000002</v>
      </c>
    </row>
    <row r="38" spans="1:14" ht="23.25" customHeight="1" x14ac:dyDescent="0.3">
      <c r="A38" s="1"/>
      <c r="L3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8" s="1">
        <f>N37+Table11819202310303132353839404148111518202837535657[[#This Row],[اجمالي الفاتوره]]-Table11819202310303132353839404148111518202837535657[[#This Row],[الدفعات]]</f>
        <v>14439.190000000002</v>
      </c>
    </row>
    <row r="39" spans="1:14" ht="23.25" customHeight="1" x14ac:dyDescent="0.3">
      <c r="A39" s="1"/>
      <c r="L3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9" s="1">
        <f>N38+Table11819202310303132353839404148111518202837535657[[#This Row],[اجمالي الفاتوره]]-Table11819202310303132353839404148111518202837535657[[#This Row],[الدفعات]]</f>
        <v>14439.190000000002</v>
      </c>
    </row>
    <row r="40" spans="1:14" ht="23.25" customHeight="1" x14ac:dyDescent="0.3">
      <c r="A40" s="1"/>
      <c r="L4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40" s="1">
        <f>N39+Table11819202310303132353839404148111518202837535657[[#This Row],[اجمالي الفاتوره]]-Table11819202310303132353839404148111518202837535657[[#This Row],[الدفعات]]</f>
        <v>14439.190000000002</v>
      </c>
    </row>
    <row r="41" spans="1:14" ht="23.25" customHeight="1" x14ac:dyDescent="0.3">
      <c r="A41" s="1"/>
      <c r="L4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41" s="1">
        <f>N40+Table11819202310303132353839404148111518202837535657[[#This Row],[اجمالي الفاتوره]]-Table11819202310303132353839404148111518202837535657[[#This Row],[الدفعات]]</f>
        <v>14439.190000000002</v>
      </c>
    </row>
    <row r="42" spans="1:14" ht="23.25" customHeight="1" x14ac:dyDescent="0.3">
      <c r="A42" s="1"/>
      <c r="L4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42" s="1">
        <f>N41+Table11819202310303132353839404148111518202837535657[[#This Row],[اجمالي الفاتوره]]-Table11819202310303132353839404148111518202837535657[[#This Row],[الدفعات]]</f>
        <v>14439.190000000002</v>
      </c>
    </row>
    <row r="43" spans="1:14" ht="23.25" customHeight="1" x14ac:dyDescent="0.3">
      <c r="A43" s="1"/>
      <c r="L4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43" s="1">
        <f>N42+Table11819202310303132353839404148111518202837535657[[#This Row],[اجمالي الفاتوره]]-Table11819202310303132353839404148111518202837535657[[#This Row],[الدفعات]]</f>
        <v>14439.190000000002</v>
      </c>
    </row>
    <row r="44" spans="1:14" ht="23.25" customHeight="1" x14ac:dyDescent="0.3">
      <c r="A44" s="1"/>
      <c r="L4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44" s="1">
        <f>N43+Table11819202310303132353839404148111518202837535657[[#This Row],[اجمالي الفاتوره]]-Table11819202310303132353839404148111518202837535657[[#This Row],[الدفعات]]</f>
        <v>14439.190000000002</v>
      </c>
    </row>
    <row r="45" spans="1:14" ht="23.25" customHeight="1" x14ac:dyDescent="0.3">
      <c r="A45" s="1"/>
      <c r="L4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45" s="1">
        <f>N44+Table11819202310303132353839404148111518202837535657[[#This Row],[اجمالي الفاتوره]]-Table11819202310303132353839404148111518202837535657[[#This Row],[الدفعات]]</f>
        <v>14439.190000000002</v>
      </c>
    </row>
    <row r="46" spans="1:14" ht="23.25" customHeight="1" x14ac:dyDescent="0.3">
      <c r="A46" s="1"/>
      <c r="L4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46" s="1">
        <f>N45+Table11819202310303132353839404148111518202837535657[[#This Row],[اجمالي الفاتوره]]-Table11819202310303132353839404148111518202837535657[[#This Row],[الدفعات]]</f>
        <v>14439.190000000002</v>
      </c>
    </row>
    <row r="47" spans="1:14" ht="23.25" customHeight="1" x14ac:dyDescent="0.3">
      <c r="A47" s="1"/>
      <c r="L4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47" s="1">
        <f>N46+Table11819202310303132353839404148111518202837535657[[#This Row],[اجمالي الفاتوره]]-Table11819202310303132353839404148111518202837535657[[#This Row],[الدفعات]]</f>
        <v>14439.190000000002</v>
      </c>
    </row>
    <row r="48" spans="1:14" ht="23.25" customHeight="1" x14ac:dyDescent="0.3">
      <c r="A48" s="1"/>
      <c r="L4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48" s="1">
        <f>N47+Table11819202310303132353839404148111518202837535657[[#This Row],[اجمالي الفاتوره]]-Table11819202310303132353839404148111518202837535657[[#This Row],[الدفعات]]</f>
        <v>14439.190000000002</v>
      </c>
    </row>
    <row r="49" spans="1:14" ht="23.25" customHeight="1" x14ac:dyDescent="0.3">
      <c r="A49" s="1"/>
      <c r="L4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49" s="1">
        <f>N48+Table11819202310303132353839404148111518202837535657[[#This Row],[اجمالي الفاتوره]]-Table11819202310303132353839404148111518202837535657[[#This Row],[الدفعات]]</f>
        <v>14439.190000000002</v>
      </c>
    </row>
    <row r="50" spans="1:14" ht="23.25" customHeight="1" x14ac:dyDescent="0.3">
      <c r="A50" s="1"/>
      <c r="L5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50" s="1">
        <f>N49+Table11819202310303132353839404148111518202837535657[[#This Row],[اجمالي الفاتوره]]-Table11819202310303132353839404148111518202837535657[[#This Row],[الدفعات]]</f>
        <v>14439.190000000002</v>
      </c>
    </row>
    <row r="51" spans="1:14" ht="23.25" customHeight="1" x14ac:dyDescent="0.3">
      <c r="A51" s="1"/>
      <c r="L5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51" s="1">
        <f>N50+Table11819202310303132353839404148111518202837535657[[#This Row],[اجمالي الفاتوره]]-Table11819202310303132353839404148111518202837535657[[#This Row],[الدفعات]]</f>
        <v>14439.190000000002</v>
      </c>
    </row>
    <row r="52" spans="1:14" ht="23.25" customHeight="1" x14ac:dyDescent="0.3">
      <c r="A52" s="1"/>
      <c r="L5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52" s="1">
        <f>N51+Table11819202310303132353839404148111518202837535657[[#This Row],[اجمالي الفاتوره]]-Table11819202310303132353839404148111518202837535657[[#This Row],[الدفعات]]</f>
        <v>14439.190000000002</v>
      </c>
    </row>
    <row r="53" spans="1:14" ht="23.25" customHeight="1" x14ac:dyDescent="0.3">
      <c r="A53" s="1"/>
      <c r="L5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53" s="1">
        <f>N52+Table11819202310303132353839404148111518202837535657[[#This Row],[اجمالي الفاتوره]]-Table11819202310303132353839404148111518202837535657[[#This Row],[الدفعات]]</f>
        <v>14439.190000000002</v>
      </c>
    </row>
    <row r="54" spans="1:14" ht="23.25" customHeight="1" x14ac:dyDescent="0.3">
      <c r="A54" s="1"/>
      <c r="L5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54" s="1">
        <f>N53+Table11819202310303132353839404148111518202837535657[[#This Row],[اجمالي الفاتوره]]-Table11819202310303132353839404148111518202837535657[[#This Row],[الدفعات]]</f>
        <v>14439.190000000002</v>
      </c>
    </row>
    <row r="55" spans="1:14" ht="23.25" customHeight="1" x14ac:dyDescent="0.3">
      <c r="A55" s="1"/>
      <c r="L5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55" s="1">
        <f>N54+Table11819202310303132353839404148111518202837535657[[#This Row],[اجمالي الفاتوره]]-Table11819202310303132353839404148111518202837535657[[#This Row],[الدفعات]]</f>
        <v>14439.190000000002</v>
      </c>
    </row>
    <row r="56" spans="1:14" ht="23.25" customHeight="1" x14ac:dyDescent="0.3">
      <c r="A56" s="1"/>
      <c r="L5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56" s="1">
        <f>N55+Table11819202310303132353839404148111518202837535657[[#This Row],[اجمالي الفاتوره]]-Table11819202310303132353839404148111518202837535657[[#This Row],[الدفعات]]</f>
        <v>14439.190000000002</v>
      </c>
    </row>
    <row r="57" spans="1:14" ht="23.25" customHeight="1" x14ac:dyDescent="0.3">
      <c r="A57" s="1"/>
      <c r="L5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57" s="1">
        <f>N56+Table11819202310303132353839404148111518202837535657[[#This Row],[اجمالي الفاتوره]]-Table11819202310303132353839404148111518202837535657[[#This Row],[الدفعات]]</f>
        <v>14439.190000000002</v>
      </c>
    </row>
    <row r="58" spans="1:14" ht="23.25" customHeight="1" x14ac:dyDescent="0.3">
      <c r="A58" s="1"/>
      <c r="L5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58" s="1">
        <f>N57+Table11819202310303132353839404148111518202837535657[[#This Row],[اجمالي الفاتوره]]-Table11819202310303132353839404148111518202837535657[[#This Row],[الدفعات]]</f>
        <v>14439.190000000002</v>
      </c>
    </row>
    <row r="59" spans="1:14" ht="23.25" customHeight="1" x14ac:dyDescent="0.3">
      <c r="A59" s="1"/>
      <c r="L5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59" s="1">
        <f>N58+Table11819202310303132353839404148111518202837535657[[#This Row],[اجمالي الفاتوره]]-Table11819202310303132353839404148111518202837535657[[#This Row],[الدفعات]]</f>
        <v>14439.190000000002</v>
      </c>
    </row>
    <row r="60" spans="1:14" ht="23.25" customHeight="1" x14ac:dyDescent="0.3">
      <c r="A60" s="1"/>
      <c r="L6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60" s="1">
        <f>N59+Table11819202310303132353839404148111518202837535657[[#This Row],[اجمالي الفاتوره]]-Table11819202310303132353839404148111518202837535657[[#This Row],[الدفعات]]</f>
        <v>14439.190000000002</v>
      </c>
    </row>
    <row r="61" spans="1:14" ht="23.25" customHeight="1" x14ac:dyDescent="0.3">
      <c r="A61" s="1"/>
      <c r="L6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61" s="1">
        <f>N60+Table11819202310303132353839404148111518202837535657[[#This Row],[اجمالي الفاتوره]]-Table11819202310303132353839404148111518202837535657[[#This Row],[الدفعات]]</f>
        <v>14439.190000000002</v>
      </c>
    </row>
    <row r="62" spans="1:14" ht="23.25" customHeight="1" x14ac:dyDescent="0.3">
      <c r="A62" s="1"/>
      <c r="L6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62" s="1">
        <f>N61+Table11819202310303132353839404148111518202837535657[[#This Row],[اجمالي الفاتوره]]-Table11819202310303132353839404148111518202837535657[[#This Row],[الدفعات]]</f>
        <v>14439.190000000002</v>
      </c>
    </row>
    <row r="63" spans="1:14" ht="23.25" customHeight="1" x14ac:dyDescent="0.3">
      <c r="A63" s="1"/>
      <c r="L6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63" s="1">
        <f>N62+Table11819202310303132353839404148111518202837535657[[#This Row],[اجمالي الفاتوره]]-Table11819202310303132353839404148111518202837535657[[#This Row],[الدفعات]]</f>
        <v>14439.190000000002</v>
      </c>
    </row>
    <row r="64" spans="1:14" ht="23.25" customHeight="1" x14ac:dyDescent="0.3">
      <c r="A64" s="1"/>
      <c r="L6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64" s="1">
        <f>N63+Table11819202310303132353839404148111518202837535657[[#This Row],[اجمالي الفاتوره]]-Table11819202310303132353839404148111518202837535657[[#This Row],[الدفعات]]</f>
        <v>14439.190000000002</v>
      </c>
    </row>
    <row r="65" spans="1:14" ht="23.25" customHeight="1" x14ac:dyDescent="0.3">
      <c r="A65" s="1"/>
      <c r="L6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65" s="1">
        <f>N64+Table11819202310303132353839404148111518202837535657[[#This Row],[اجمالي الفاتوره]]-Table11819202310303132353839404148111518202837535657[[#This Row],[الدفعات]]</f>
        <v>14439.190000000002</v>
      </c>
    </row>
    <row r="66" spans="1:14" ht="23.25" customHeight="1" x14ac:dyDescent="0.3">
      <c r="A66" s="1"/>
      <c r="L6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66" s="1">
        <f>N65+Table11819202310303132353839404148111518202837535657[[#This Row],[اجمالي الفاتوره]]-Table11819202310303132353839404148111518202837535657[[#This Row],[الدفعات]]</f>
        <v>14439.190000000002</v>
      </c>
    </row>
    <row r="67" spans="1:14" ht="23.25" customHeight="1" x14ac:dyDescent="0.3">
      <c r="A67" s="1"/>
      <c r="L6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67" s="1">
        <f>N66+Table11819202310303132353839404148111518202837535657[[#This Row],[اجمالي الفاتوره]]-Table11819202310303132353839404148111518202837535657[[#This Row],[الدفعات]]</f>
        <v>14439.190000000002</v>
      </c>
    </row>
    <row r="68" spans="1:14" ht="23.25" customHeight="1" x14ac:dyDescent="0.3">
      <c r="A68" s="1"/>
      <c r="L6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68" s="1">
        <f>N67+Table11819202310303132353839404148111518202837535657[[#This Row],[اجمالي الفاتوره]]-Table11819202310303132353839404148111518202837535657[[#This Row],[الدفعات]]</f>
        <v>14439.190000000002</v>
      </c>
    </row>
    <row r="69" spans="1:14" ht="23.25" customHeight="1" x14ac:dyDescent="0.3">
      <c r="A69" s="1"/>
      <c r="L6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69" s="1">
        <f>N68+Table11819202310303132353839404148111518202837535657[[#This Row],[اجمالي الفاتوره]]-Table11819202310303132353839404148111518202837535657[[#This Row],[الدفعات]]</f>
        <v>14439.190000000002</v>
      </c>
    </row>
    <row r="70" spans="1:14" ht="23.25" customHeight="1" x14ac:dyDescent="0.3">
      <c r="A70" s="1"/>
      <c r="L7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70" s="1">
        <f>N69+Table11819202310303132353839404148111518202837535657[[#This Row],[اجمالي الفاتوره]]-Table11819202310303132353839404148111518202837535657[[#This Row],[الدفعات]]</f>
        <v>14439.190000000002</v>
      </c>
    </row>
    <row r="71" spans="1:14" ht="23.25" customHeight="1" x14ac:dyDescent="0.3">
      <c r="A71" s="1"/>
      <c r="L7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71" s="1">
        <f>N70+Table11819202310303132353839404148111518202837535657[[#This Row],[اجمالي الفاتوره]]-Table11819202310303132353839404148111518202837535657[[#This Row],[الدفعات]]</f>
        <v>14439.190000000002</v>
      </c>
    </row>
    <row r="72" spans="1:14" ht="23.25" customHeight="1" x14ac:dyDescent="0.3">
      <c r="A72" s="1"/>
      <c r="L7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72" s="1">
        <f>N71+Table11819202310303132353839404148111518202837535657[[#This Row],[اجمالي الفاتوره]]-Table11819202310303132353839404148111518202837535657[[#This Row],[الدفعات]]</f>
        <v>14439.190000000002</v>
      </c>
    </row>
    <row r="73" spans="1:14" ht="23.25" customHeight="1" x14ac:dyDescent="0.3">
      <c r="A73" s="1"/>
      <c r="L7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73" s="1">
        <f>N72+Table11819202310303132353839404148111518202837535657[[#This Row],[اجمالي الفاتوره]]-Table11819202310303132353839404148111518202837535657[[#This Row],[الدفعات]]</f>
        <v>14439.190000000002</v>
      </c>
    </row>
    <row r="74" spans="1:14" ht="23.25" customHeight="1" x14ac:dyDescent="0.3">
      <c r="A74" s="1"/>
      <c r="L7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74" s="1">
        <f>N73+Table11819202310303132353839404148111518202837535657[[#This Row],[اجمالي الفاتوره]]-Table11819202310303132353839404148111518202837535657[[#This Row],[الدفعات]]</f>
        <v>14439.190000000002</v>
      </c>
    </row>
    <row r="75" spans="1:14" ht="23.25" customHeight="1" x14ac:dyDescent="0.3">
      <c r="A75" s="1"/>
      <c r="L7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75" s="1">
        <f>N74+Table11819202310303132353839404148111518202837535657[[#This Row],[اجمالي الفاتوره]]-Table11819202310303132353839404148111518202837535657[[#This Row],[الدفعات]]</f>
        <v>14439.190000000002</v>
      </c>
    </row>
    <row r="76" spans="1:14" ht="23.25" customHeight="1" x14ac:dyDescent="0.3">
      <c r="A76" s="1"/>
      <c r="L7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76" s="1">
        <f>N75+Table11819202310303132353839404148111518202837535657[[#This Row],[اجمالي الفاتوره]]-Table11819202310303132353839404148111518202837535657[[#This Row],[الدفعات]]</f>
        <v>14439.190000000002</v>
      </c>
    </row>
    <row r="77" spans="1:14" ht="23.25" customHeight="1" x14ac:dyDescent="0.3">
      <c r="A77" s="1"/>
      <c r="L7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77" s="1">
        <f>N76+Table11819202310303132353839404148111518202837535657[[#This Row],[اجمالي الفاتوره]]-Table11819202310303132353839404148111518202837535657[[#This Row],[الدفعات]]</f>
        <v>14439.190000000002</v>
      </c>
    </row>
    <row r="78" spans="1:14" ht="23.25" customHeight="1" x14ac:dyDescent="0.3">
      <c r="A78" s="1"/>
      <c r="L7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78" s="1">
        <f>N77+Table11819202310303132353839404148111518202837535657[[#This Row],[اجمالي الفاتوره]]-Table11819202310303132353839404148111518202837535657[[#This Row],[الدفعات]]</f>
        <v>14439.190000000002</v>
      </c>
    </row>
    <row r="79" spans="1:14" ht="23.25" customHeight="1" x14ac:dyDescent="0.3">
      <c r="A79" s="1"/>
      <c r="L7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79" s="1">
        <f>N78+Table11819202310303132353839404148111518202837535657[[#This Row],[اجمالي الفاتوره]]-Table11819202310303132353839404148111518202837535657[[#This Row],[الدفعات]]</f>
        <v>14439.190000000002</v>
      </c>
    </row>
    <row r="80" spans="1:14" ht="23.25" customHeight="1" x14ac:dyDescent="0.3">
      <c r="A80" s="1"/>
      <c r="L8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80" s="1">
        <f>N79+Table11819202310303132353839404148111518202837535657[[#This Row],[اجمالي الفاتوره]]-Table11819202310303132353839404148111518202837535657[[#This Row],[الدفعات]]</f>
        <v>14439.190000000002</v>
      </c>
    </row>
    <row r="81" spans="1:14" ht="23.25" customHeight="1" x14ac:dyDescent="0.3">
      <c r="A81" s="1"/>
      <c r="L8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81" s="1">
        <f>N80+Table11819202310303132353839404148111518202837535657[[#This Row],[اجمالي الفاتوره]]-Table11819202310303132353839404148111518202837535657[[#This Row],[الدفعات]]</f>
        <v>14439.190000000002</v>
      </c>
    </row>
    <row r="82" spans="1:14" ht="23.25" customHeight="1" x14ac:dyDescent="0.3">
      <c r="A82" s="1"/>
      <c r="L8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82" s="1">
        <f>N81+Table11819202310303132353839404148111518202837535657[[#This Row],[اجمالي الفاتوره]]-Table11819202310303132353839404148111518202837535657[[#This Row],[الدفعات]]</f>
        <v>14439.190000000002</v>
      </c>
    </row>
    <row r="83" spans="1:14" ht="23.25" customHeight="1" x14ac:dyDescent="0.3">
      <c r="A83" s="1"/>
      <c r="L8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83" s="1">
        <f>N82+Table11819202310303132353839404148111518202837535657[[#This Row],[اجمالي الفاتوره]]-Table11819202310303132353839404148111518202837535657[[#This Row],[الدفعات]]</f>
        <v>14439.190000000002</v>
      </c>
    </row>
    <row r="84" spans="1:14" ht="23.25" customHeight="1" x14ac:dyDescent="0.3">
      <c r="A84" s="1"/>
      <c r="L8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84" s="1">
        <f>N83+Table11819202310303132353839404148111518202837535657[[#This Row],[اجمالي الفاتوره]]-Table11819202310303132353839404148111518202837535657[[#This Row],[الدفعات]]</f>
        <v>14439.190000000002</v>
      </c>
    </row>
    <row r="85" spans="1:14" ht="23.25" customHeight="1" x14ac:dyDescent="0.3">
      <c r="A85" s="1"/>
      <c r="L8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85" s="1">
        <f>N84+Table11819202310303132353839404148111518202837535657[[#This Row],[اجمالي الفاتوره]]-Table11819202310303132353839404148111518202837535657[[#This Row],[الدفعات]]</f>
        <v>14439.190000000002</v>
      </c>
    </row>
    <row r="86" spans="1:14" ht="23.25" customHeight="1" x14ac:dyDescent="0.3">
      <c r="A86" s="1"/>
      <c r="L8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86" s="1">
        <f>N85+Table11819202310303132353839404148111518202837535657[[#This Row],[اجمالي الفاتوره]]-Table11819202310303132353839404148111518202837535657[[#This Row],[الدفعات]]</f>
        <v>14439.190000000002</v>
      </c>
    </row>
    <row r="87" spans="1:14" ht="23.25" customHeight="1" x14ac:dyDescent="0.3">
      <c r="A87" s="1"/>
      <c r="L8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87" s="1">
        <f>N86+Table11819202310303132353839404148111518202837535657[[#This Row],[اجمالي الفاتوره]]-Table11819202310303132353839404148111518202837535657[[#This Row],[الدفعات]]</f>
        <v>14439.190000000002</v>
      </c>
    </row>
    <row r="88" spans="1:14" ht="23.25" customHeight="1" x14ac:dyDescent="0.3">
      <c r="A88" s="1"/>
      <c r="L8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88" s="1">
        <f>N87+Table11819202310303132353839404148111518202837535657[[#This Row],[اجمالي الفاتوره]]-Table11819202310303132353839404148111518202837535657[[#This Row],[الدفعات]]</f>
        <v>14439.190000000002</v>
      </c>
    </row>
    <row r="89" spans="1:14" ht="23.25" customHeight="1" x14ac:dyDescent="0.3">
      <c r="A89" s="1"/>
      <c r="L8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89" s="1">
        <f>N88+Table11819202310303132353839404148111518202837535657[[#This Row],[اجمالي الفاتوره]]-Table11819202310303132353839404148111518202837535657[[#This Row],[الدفعات]]</f>
        <v>14439.190000000002</v>
      </c>
    </row>
    <row r="90" spans="1:14" ht="23.25" customHeight="1" x14ac:dyDescent="0.3">
      <c r="A90" s="1"/>
      <c r="L9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90" s="1">
        <f>N89+Table11819202310303132353839404148111518202837535657[[#This Row],[اجمالي الفاتوره]]-Table11819202310303132353839404148111518202837535657[[#This Row],[الدفعات]]</f>
        <v>14439.190000000002</v>
      </c>
    </row>
    <row r="91" spans="1:14" ht="23.25" customHeight="1" x14ac:dyDescent="0.3">
      <c r="A91" s="1"/>
      <c r="L9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91" s="1">
        <f>N90+Table11819202310303132353839404148111518202837535657[[#This Row],[اجمالي الفاتوره]]-Table11819202310303132353839404148111518202837535657[[#This Row],[الدفعات]]</f>
        <v>14439.190000000002</v>
      </c>
    </row>
    <row r="92" spans="1:14" ht="23.25" customHeight="1" x14ac:dyDescent="0.3">
      <c r="A92" s="1"/>
      <c r="L9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92" s="1">
        <f>N91+Table11819202310303132353839404148111518202837535657[[#This Row],[اجمالي الفاتوره]]-Table11819202310303132353839404148111518202837535657[[#This Row],[الدفعات]]</f>
        <v>14439.190000000002</v>
      </c>
    </row>
    <row r="93" spans="1:14" ht="23.25" customHeight="1" x14ac:dyDescent="0.3">
      <c r="A93" s="1"/>
      <c r="L9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93" s="1">
        <f>N92+Table11819202310303132353839404148111518202837535657[[#This Row],[اجمالي الفاتوره]]-Table11819202310303132353839404148111518202837535657[[#This Row],[الدفعات]]</f>
        <v>14439.190000000002</v>
      </c>
    </row>
    <row r="94" spans="1:14" ht="23.25" customHeight="1" x14ac:dyDescent="0.3">
      <c r="A94" s="1"/>
      <c r="L9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94" s="1">
        <f>N93+Table11819202310303132353839404148111518202837535657[[#This Row],[اجمالي الفاتوره]]-Table11819202310303132353839404148111518202837535657[[#This Row],[الدفعات]]</f>
        <v>14439.190000000002</v>
      </c>
    </row>
    <row r="95" spans="1:14" ht="23.25" customHeight="1" x14ac:dyDescent="0.3">
      <c r="A95" s="1"/>
      <c r="L9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95" s="1">
        <f>N94+Table11819202310303132353839404148111518202837535657[[#This Row],[اجمالي الفاتوره]]-Table11819202310303132353839404148111518202837535657[[#This Row],[الدفعات]]</f>
        <v>14439.190000000002</v>
      </c>
    </row>
    <row r="96" spans="1:14" ht="23.25" customHeight="1" x14ac:dyDescent="0.3">
      <c r="A96" s="1"/>
      <c r="L9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96" s="1">
        <f>N95+Table11819202310303132353839404148111518202837535657[[#This Row],[اجمالي الفاتوره]]-Table11819202310303132353839404148111518202837535657[[#This Row],[الدفعات]]</f>
        <v>14439.190000000002</v>
      </c>
    </row>
    <row r="97" spans="1:14" ht="23.25" customHeight="1" x14ac:dyDescent="0.3">
      <c r="A97" s="1"/>
      <c r="L9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97" s="1">
        <f>N96+Table11819202310303132353839404148111518202837535657[[#This Row],[اجمالي الفاتوره]]-Table11819202310303132353839404148111518202837535657[[#This Row],[الدفعات]]</f>
        <v>14439.190000000002</v>
      </c>
    </row>
    <row r="98" spans="1:14" ht="23.25" customHeight="1" x14ac:dyDescent="0.3">
      <c r="A98" s="1"/>
      <c r="L9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98" s="1">
        <f>N97+Table11819202310303132353839404148111518202837535657[[#This Row],[اجمالي الفاتوره]]-Table11819202310303132353839404148111518202837535657[[#This Row],[الدفعات]]</f>
        <v>14439.190000000002</v>
      </c>
    </row>
    <row r="99" spans="1:14" ht="23.25" customHeight="1" x14ac:dyDescent="0.3">
      <c r="A99" s="1"/>
      <c r="L9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99" s="1">
        <f>N98+Table11819202310303132353839404148111518202837535657[[#This Row],[اجمالي الفاتوره]]-Table11819202310303132353839404148111518202837535657[[#This Row],[الدفعات]]</f>
        <v>14439.190000000002</v>
      </c>
    </row>
    <row r="100" spans="1:14" ht="23.25" customHeight="1" x14ac:dyDescent="0.3">
      <c r="A100" s="1"/>
      <c r="L10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00" s="1">
        <f>N99+Table11819202310303132353839404148111518202837535657[[#This Row],[اجمالي الفاتوره]]-Table11819202310303132353839404148111518202837535657[[#This Row],[الدفعات]]</f>
        <v>14439.190000000002</v>
      </c>
    </row>
    <row r="101" spans="1:14" ht="23.25" customHeight="1" x14ac:dyDescent="0.3">
      <c r="A101" s="1"/>
      <c r="L10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01" s="1">
        <f>N100+Table11819202310303132353839404148111518202837535657[[#This Row],[اجمالي الفاتوره]]-Table11819202310303132353839404148111518202837535657[[#This Row],[الدفعات]]</f>
        <v>14439.190000000002</v>
      </c>
    </row>
    <row r="102" spans="1:14" ht="23.25" customHeight="1" x14ac:dyDescent="0.3">
      <c r="A102" s="1"/>
      <c r="L10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02" s="1">
        <f>N101+Table11819202310303132353839404148111518202837535657[[#This Row],[اجمالي الفاتوره]]-Table11819202310303132353839404148111518202837535657[[#This Row],[الدفعات]]</f>
        <v>14439.190000000002</v>
      </c>
    </row>
    <row r="103" spans="1:14" ht="23.25" customHeight="1" x14ac:dyDescent="0.3">
      <c r="A103" s="1"/>
      <c r="L10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03" s="1">
        <f>N102+Table11819202310303132353839404148111518202837535657[[#This Row],[اجمالي الفاتوره]]-Table11819202310303132353839404148111518202837535657[[#This Row],[الدفعات]]</f>
        <v>14439.190000000002</v>
      </c>
    </row>
    <row r="104" spans="1:14" ht="23.25" customHeight="1" x14ac:dyDescent="0.3">
      <c r="A104" s="1"/>
      <c r="L10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04" s="1">
        <f>N103+Table11819202310303132353839404148111518202837535657[[#This Row],[اجمالي الفاتوره]]-Table11819202310303132353839404148111518202837535657[[#This Row],[الدفعات]]</f>
        <v>14439.190000000002</v>
      </c>
    </row>
    <row r="105" spans="1:14" ht="23.25" customHeight="1" x14ac:dyDescent="0.3">
      <c r="A105" s="1"/>
      <c r="L10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05" s="1">
        <f>N104+Table11819202310303132353839404148111518202837535657[[#This Row],[اجمالي الفاتوره]]-Table11819202310303132353839404148111518202837535657[[#This Row],[الدفعات]]</f>
        <v>14439.190000000002</v>
      </c>
    </row>
    <row r="106" spans="1:14" ht="23.25" customHeight="1" x14ac:dyDescent="0.3">
      <c r="A106" s="1"/>
      <c r="L10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06" s="1">
        <f>N105+Table11819202310303132353839404148111518202837535657[[#This Row],[اجمالي الفاتوره]]-Table11819202310303132353839404148111518202837535657[[#This Row],[الدفعات]]</f>
        <v>14439.190000000002</v>
      </c>
    </row>
    <row r="107" spans="1:14" ht="23.25" customHeight="1" x14ac:dyDescent="0.3">
      <c r="A107" s="1"/>
      <c r="L10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07" s="1">
        <f>N106+Table11819202310303132353839404148111518202837535657[[#This Row],[اجمالي الفاتوره]]-Table11819202310303132353839404148111518202837535657[[#This Row],[الدفعات]]</f>
        <v>14439.190000000002</v>
      </c>
    </row>
    <row r="108" spans="1:14" ht="23.25" customHeight="1" x14ac:dyDescent="0.3">
      <c r="A108" s="1"/>
      <c r="L10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08" s="1">
        <f>N107+Table11819202310303132353839404148111518202837535657[[#This Row],[اجمالي الفاتوره]]-Table11819202310303132353839404148111518202837535657[[#This Row],[الدفعات]]</f>
        <v>14439.190000000002</v>
      </c>
    </row>
    <row r="109" spans="1:14" ht="23.25" customHeight="1" x14ac:dyDescent="0.3">
      <c r="A109" s="1"/>
      <c r="L10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09" s="1">
        <f>N108+Table11819202310303132353839404148111518202837535657[[#This Row],[اجمالي الفاتوره]]-Table11819202310303132353839404148111518202837535657[[#This Row],[الدفعات]]</f>
        <v>14439.190000000002</v>
      </c>
    </row>
    <row r="110" spans="1:14" ht="23.25" customHeight="1" x14ac:dyDescent="0.3">
      <c r="A110" s="1"/>
      <c r="L11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10" s="1">
        <f>N109+Table11819202310303132353839404148111518202837535657[[#This Row],[اجمالي الفاتوره]]-Table11819202310303132353839404148111518202837535657[[#This Row],[الدفعات]]</f>
        <v>14439.190000000002</v>
      </c>
    </row>
    <row r="111" spans="1:14" ht="23.25" customHeight="1" x14ac:dyDescent="0.3">
      <c r="A111" s="1"/>
      <c r="L11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11" s="1">
        <f>N110+Table11819202310303132353839404148111518202837535657[[#This Row],[اجمالي الفاتوره]]-Table11819202310303132353839404148111518202837535657[[#This Row],[الدفعات]]</f>
        <v>14439.190000000002</v>
      </c>
    </row>
    <row r="112" spans="1:14" ht="23.25" customHeight="1" x14ac:dyDescent="0.3">
      <c r="A112" s="1"/>
      <c r="L11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12" s="1">
        <f>N111+Table11819202310303132353839404148111518202837535657[[#This Row],[اجمالي الفاتوره]]-Table11819202310303132353839404148111518202837535657[[#This Row],[الدفعات]]</f>
        <v>14439.190000000002</v>
      </c>
    </row>
    <row r="113" spans="1:14" ht="23.25" customHeight="1" x14ac:dyDescent="0.3">
      <c r="A113" s="1"/>
      <c r="L11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13" s="1">
        <f>N112+Table11819202310303132353839404148111518202837535657[[#This Row],[اجمالي الفاتوره]]-Table11819202310303132353839404148111518202837535657[[#This Row],[الدفعات]]</f>
        <v>14439.190000000002</v>
      </c>
    </row>
    <row r="114" spans="1:14" ht="23.25" customHeight="1" x14ac:dyDescent="0.3">
      <c r="A114" s="1"/>
      <c r="L11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14" s="1">
        <f>N113+Table11819202310303132353839404148111518202837535657[[#This Row],[اجمالي الفاتوره]]-Table11819202310303132353839404148111518202837535657[[#This Row],[الدفعات]]</f>
        <v>14439.190000000002</v>
      </c>
    </row>
    <row r="115" spans="1:14" ht="23.25" customHeight="1" x14ac:dyDescent="0.3">
      <c r="A115" s="1"/>
      <c r="L11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15" s="1">
        <f>N114+Table11819202310303132353839404148111518202837535657[[#This Row],[اجمالي الفاتوره]]-Table11819202310303132353839404148111518202837535657[[#This Row],[الدفعات]]</f>
        <v>14439.190000000002</v>
      </c>
    </row>
    <row r="116" spans="1:14" ht="23.25" customHeight="1" x14ac:dyDescent="0.3">
      <c r="A116" s="1"/>
      <c r="L11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16" s="1">
        <f>N115+Table11819202310303132353839404148111518202837535657[[#This Row],[اجمالي الفاتوره]]-Table11819202310303132353839404148111518202837535657[[#This Row],[الدفعات]]</f>
        <v>14439.190000000002</v>
      </c>
    </row>
    <row r="117" spans="1:14" ht="23.25" customHeight="1" x14ac:dyDescent="0.3">
      <c r="A117" s="1"/>
      <c r="L11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17" s="1">
        <f>N116+Table11819202310303132353839404148111518202837535657[[#This Row],[اجمالي الفاتوره]]-Table11819202310303132353839404148111518202837535657[[#This Row],[الدفعات]]</f>
        <v>14439.190000000002</v>
      </c>
    </row>
    <row r="118" spans="1:14" ht="23.25" customHeight="1" x14ac:dyDescent="0.3">
      <c r="A118" s="1"/>
      <c r="L11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18" s="1">
        <f>N117+Table11819202310303132353839404148111518202837535657[[#This Row],[اجمالي الفاتوره]]-Table11819202310303132353839404148111518202837535657[[#This Row],[الدفعات]]</f>
        <v>14439.190000000002</v>
      </c>
    </row>
    <row r="119" spans="1:14" ht="23.25" customHeight="1" x14ac:dyDescent="0.3">
      <c r="A119" s="1"/>
      <c r="L11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19" s="1">
        <f>N118+Table11819202310303132353839404148111518202837535657[[#This Row],[اجمالي الفاتوره]]-Table11819202310303132353839404148111518202837535657[[#This Row],[الدفعات]]</f>
        <v>14439.190000000002</v>
      </c>
    </row>
    <row r="120" spans="1:14" ht="23.25" customHeight="1" x14ac:dyDescent="0.3">
      <c r="A120" s="1"/>
      <c r="L12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20" s="1">
        <f>N119+Table11819202310303132353839404148111518202837535657[[#This Row],[اجمالي الفاتوره]]-Table11819202310303132353839404148111518202837535657[[#This Row],[الدفعات]]</f>
        <v>14439.190000000002</v>
      </c>
    </row>
    <row r="121" spans="1:14" ht="23.25" customHeight="1" x14ac:dyDescent="0.3">
      <c r="A121" s="1"/>
      <c r="L12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21" s="1">
        <f>N120+Table11819202310303132353839404148111518202837535657[[#This Row],[اجمالي الفاتوره]]-Table11819202310303132353839404148111518202837535657[[#This Row],[الدفعات]]</f>
        <v>14439.190000000002</v>
      </c>
    </row>
    <row r="122" spans="1:14" ht="23.25" customHeight="1" x14ac:dyDescent="0.3">
      <c r="A122" s="1"/>
      <c r="L12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22" s="1">
        <f>N121+Table11819202310303132353839404148111518202837535657[[#This Row],[اجمالي الفاتوره]]-Table11819202310303132353839404148111518202837535657[[#This Row],[الدفعات]]</f>
        <v>14439.190000000002</v>
      </c>
    </row>
    <row r="123" spans="1:14" ht="23.25" customHeight="1" x14ac:dyDescent="0.3">
      <c r="A123" s="1"/>
      <c r="L12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23" s="1">
        <f>N122+Table11819202310303132353839404148111518202837535657[[#This Row],[اجمالي الفاتوره]]-Table11819202310303132353839404148111518202837535657[[#This Row],[الدفعات]]</f>
        <v>14439.190000000002</v>
      </c>
    </row>
    <row r="124" spans="1:14" ht="23.25" customHeight="1" x14ac:dyDescent="0.3">
      <c r="A124" s="1"/>
      <c r="L12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24" s="1">
        <f>N123+Table11819202310303132353839404148111518202837535657[[#This Row],[اجمالي الفاتوره]]-Table11819202310303132353839404148111518202837535657[[#This Row],[الدفعات]]</f>
        <v>14439.190000000002</v>
      </c>
    </row>
    <row r="125" spans="1:14" ht="23.25" customHeight="1" x14ac:dyDescent="0.3">
      <c r="A125" s="1"/>
      <c r="L12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25" s="1">
        <f>N124+Table11819202310303132353839404148111518202837535657[[#This Row],[اجمالي الفاتوره]]-Table11819202310303132353839404148111518202837535657[[#This Row],[الدفعات]]</f>
        <v>14439.190000000002</v>
      </c>
    </row>
    <row r="126" spans="1:14" ht="23.25" customHeight="1" x14ac:dyDescent="0.3">
      <c r="A126" s="1"/>
      <c r="L12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26" s="1">
        <f>N125+Table11819202310303132353839404148111518202837535657[[#This Row],[اجمالي الفاتوره]]-Table11819202310303132353839404148111518202837535657[[#This Row],[الدفعات]]</f>
        <v>14439.190000000002</v>
      </c>
    </row>
    <row r="127" spans="1:14" ht="23.25" customHeight="1" x14ac:dyDescent="0.3">
      <c r="A127" s="1"/>
      <c r="L12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27" s="1">
        <f>N126+Table11819202310303132353839404148111518202837535657[[#This Row],[اجمالي الفاتوره]]-Table11819202310303132353839404148111518202837535657[[#This Row],[الدفعات]]</f>
        <v>14439.190000000002</v>
      </c>
    </row>
    <row r="128" spans="1:14" ht="23.25" customHeight="1" x14ac:dyDescent="0.3">
      <c r="A128" s="1"/>
      <c r="L12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28" s="1">
        <f>N127+Table11819202310303132353839404148111518202837535657[[#This Row],[اجمالي الفاتوره]]-Table11819202310303132353839404148111518202837535657[[#This Row],[الدفعات]]</f>
        <v>14439.190000000002</v>
      </c>
    </row>
    <row r="129" spans="1:14" ht="23.25" customHeight="1" x14ac:dyDescent="0.3">
      <c r="A129" s="1"/>
      <c r="L12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29" s="1">
        <f>N128+Table11819202310303132353839404148111518202837535657[[#This Row],[اجمالي الفاتوره]]-Table11819202310303132353839404148111518202837535657[[#This Row],[الدفعات]]</f>
        <v>14439.190000000002</v>
      </c>
    </row>
    <row r="130" spans="1:14" ht="23.25" customHeight="1" x14ac:dyDescent="0.3">
      <c r="A130" s="1"/>
      <c r="L13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30" s="1">
        <f>N129+Table11819202310303132353839404148111518202837535657[[#This Row],[اجمالي الفاتوره]]-Table11819202310303132353839404148111518202837535657[[#This Row],[الدفعات]]</f>
        <v>14439.190000000002</v>
      </c>
    </row>
    <row r="131" spans="1:14" ht="23.25" customHeight="1" x14ac:dyDescent="0.3">
      <c r="A131" s="1"/>
      <c r="L13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31" s="1">
        <f>N130+Table11819202310303132353839404148111518202837535657[[#This Row],[اجمالي الفاتوره]]-Table11819202310303132353839404148111518202837535657[[#This Row],[الدفعات]]</f>
        <v>14439.190000000002</v>
      </c>
    </row>
    <row r="132" spans="1:14" ht="23.25" customHeight="1" x14ac:dyDescent="0.3">
      <c r="A132" s="1"/>
      <c r="L13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32" s="1">
        <f>N131+Table11819202310303132353839404148111518202837535657[[#This Row],[اجمالي الفاتوره]]-Table11819202310303132353839404148111518202837535657[[#This Row],[الدفعات]]</f>
        <v>14439.190000000002</v>
      </c>
    </row>
    <row r="133" spans="1:14" ht="23.25" customHeight="1" x14ac:dyDescent="0.3">
      <c r="A133" s="1"/>
      <c r="L13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33" s="1">
        <f>N132+Table11819202310303132353839404148111518202837535657[[#This Row],[اجمالي الفاتوره]]-Table11819202310303132353839404148111518202837535657[[#This Row],[الدفعات]]</f>
        <v>14439.190000000002</v>
      </c>
    </row>
    <row r="134" spans="1:14" ht="23.25" customHeight="1" x14ac:dyDescent="0.3">
      <c r="A134" s="1"/>
      <c r="L13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34" s="1">
        <f>N133+Table11819202310303132353839404148111518202837535657[[#This Row],[اجمالي الفاتوره]]-Table11819202310303132353839404148111518202837535657[[#This Row],[الدفعات]]</f>
        <v>14439.190000000002</v>
      </c>
    </row>
    <row r="135" spans="1:14" ht="23.25" customHeight="1" x14ac:dyDescent="0.3">
      <c r="A135" s="1"/>
      <c r="L13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35" s="1">
        <f>N134+Table11819202310303132353839404148111518202837535657[[#This Row],[اجمالي الفاتوره]]-Table11819202310303132353839404148111518202837535657[[#This Row],[الدفعات]]</f>
        <v>14439.190000000002</v>
      </c>
    </row>
    <row r="136" spans="1:14" ht="23.25" customHeight="1" x14ac:dyDescent="0.3">
      <c r="A136" s="1"/>
      <c r="L13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36" s="1">
        <f>N135+Table11819202310303132353839404148111518202837535657[[#This Row],[اجمالي الفاتوره]]-Table11819202310303132353839404148111518202837535657[[#This Row],[الدفعات]]</f>
        <v>14439.190000000002</v>
      </c>
    </row>
    <row r="137" spans="1:14" ht="23.25" customHeight="1" x14ac:dyDescent="0.3">
      <c r="A137" s="1"/>
      <c r="L13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37" s="1">
        <f>N136+Table11819202310303132353839404148111518202837535657[[#This Row],[اجمالي الفاتوره]]-Table11819202310303132353839404148111518202837535657[[#This Row],[الدفعات]]</f>
        <v>14439.190000000002</v>
      </c>
    </row>
    <row r="138" spans="1:14" ht="23.25" customHeight="1" x14ac:dyDescent="0.3">
      <c r="A138" s="1"/>
      <c r="L13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38" s="1">
        <f>N137+Table11819202310303132353839404148111518202837535657[[#This Row],[اجمالي الفاتوره]]-Table11819202310303132353839404148111518202837535657[[#This Row],[الدفعات]]</f>
        <v>14439.190000000002</v>
      </c>
    </row>
    <row r="139" spans="1:14" ht="23.25" customHeight="1" x14ac:dyDescent="0.3">
      <c r="A139" s="1"/>
      <c r="L13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39" s="1">
        <f>N138+Table11819202310303132353839404148111518202837535657[[#This Row],[اجمالي الفاتوره]]-Table11819202310303132353839404148111518202837535657[[#This Row],[الدفعات]]</f>
        <v>14439.190000000002</v>
      </c>
    </row>
    <row r="140" spans="1:14" ht="23.25" customHeight="1" x14ac:dyDescent="0.3">
      <c r="A140" s="1"/>
      <c r="L14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40" s="1">
        <f>N139+Table11819202310303132353839404148111518202837535657[[#This Row],[اجمالي الفاتوره]]-Table11819202310303132353839404148111518202837535657[[#This Row],[الدفعات]]</f>
        <v>14439.190000000002</v>
      </c>
    </row>
    <row r="141" spans="1:14" ht="23.25" customHeight="1" x14ac:dyDescent="0.3">
      <c r="A141" s="1"/>
      <c r="L14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41" s="1">
        <f>N140+Table11819202310303132353839404148111518202837535657[[#This Row],[اجمالي الفاتوره]]-Table11819202310303132353839404148111518202837535657[[#This Row],[الدفعات]]</f>
        <v>14439.190000000002</v>
      </c>
    </row>
    <row r="142" spans="1:14" ht="23.25" customHeight="1" x14ac:dyDescent="0.3">
      <c r="A142" s="1"/>
      <c r="L14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42" s="1">
        <f>N141+Table11819202310303132353839404148111518202837535657[[#This Row],[اجمالي الفاتوره]]-Table11819202310303132353839404148111518202837535657[[#This Row],[الدفعات]]</f>
        <v>14439.190000000002</v>
      </c>
    </row>
    <row r="143" spans="1:14" ht="23.25" customHeight="1" x14ac:dyDescent="0.3">
      <c r="A143" s="1"/>
      <c r="L14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43" s="1">
        <f>N142+Table11819202310303132353839404148111518202837535657[[#This Row],[اجمالي الفاتوره]]-Table11819202310303132353839404148111518202837535657[[#This Row],[الدفعات]]</f>
        <v>14439.190000000002</v>
      </c>
    </row>
    <row r="144" spans="1:14" ht="23.25" customHeight="1" x14ac:dyDescent="0.3">
      <c r="A144" s="1"/>
      <c r="L14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44" s="1">
        <f>N143+Table11819202310303132353839404148111518202837535657[[#This Row],[اجمالي الفاتوره]]-Table11819202310303132353839404148111518202837535657[[#This Row],[الدفعات]]</f>
        <v>14439.190000000002</v>
      </c>
    </row>
    <row r="145" spans="1:14" ht="23.25" customHeight="1" x14ac:dyDescent="0.3">
      <c r="A145" s="1"/>
      <c r="L14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45" s="1">
        <f>N144+Table11819202310303132353839404148111518202837535657[[#This Row],[اجمالي الفاتوره]]-Table11819202310303132353839404148111518202837535657[[#This Row],[الدفعات]]</f>
        <v>14439.190000000002</v>
      </c>
    </row>
    <row r="146" spans="1:14" ht="23.25" customHeight="1" x14ac:dyDescent="0.3">
      <c r="A146" s="1"/>
      <c r="L14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46" s="1">
        <f>N145+Table11819202310303132353839404148111518202837535657[[#This Row],[اجمالي الفاتوره]]-Table11819202310303132353839404148111518202837535657[[#This Row],[الدفعات]]</f>
        <v>14439.190000000002</v>
      </c>
    </row>
    <row r="147" spans="1:14" ht="23.25" customHeight="1" x14ac:dyDescent="0.3">
      <c r="A147" s="1"/>
      <c r="L14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47" s="1">
        <f>N146+Table11819202310303132353839404148111518202837535657[[#This Row],[اجمالي الفاتوره]]-Table11819202310303132353839404148111518202837535657[[#This Row],[الدفعات]]</f>
        <v>14439.190000000002</v>
      </c>
    </row>
    <row r="148" spans="1:14" ht="23.25" customHeight="1" x14ac:dyDescent="0.3">
      <c r="A148" s="1"/>
      <c r="L14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48" s="1">
        <f>N147+Table11819202310303132353839404148111518202837535657[[#This Row],[اجمالي الفاتوره]]-Table11819202310303132353839404148111518202837535657[[#This Row],[الدفعات]]</f>
        <v>14439.190000000002</v>
      </c>
    </row>
    <row r="149" spans="1:14" ht="23.25" customHeight="1" x14ac:dyDescent="0.3">
      <c r="A149" s="1"/>
      <c r="L14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49" s="1">
        <f>N148+Table11819202310303132353839404148111518202837535657[[#This Row],[اجمالي الفاتوره]]-Table11819202310303132353839404148111518202837535657[[#This Row],[الدفعات]]</f>
        <v>14439.190000000002</v>
      </c>
    </row>
    <row r="150" spans="1:14" ht="23.25" customHeight="1" x14ac:dyDescent="0.3">
      <c r="A150" s="1"/>
      <c r="L15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50" s="1">
        <f>N149+Table11819202310303132353839404148111518202837535657[[#This Row],[اجمالي الفاتوره]]-Table11819202310303132353839404148111518202837535657[[#This Row],[الدفعات]]</f>
        <v>14439.190000000002</v>
      </c>
    </row>
    <row r="151" spans="1:14" ht="23.25" customHeight="1" x14ac:dyDescent="0.3">
      <c r="A151" s="1"/>
      <c r="L15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51" s="1">
        <f>N150+Table11819202310303132353839404148111518202837535657[[#This Row],[اجمالي الفاتوره]]-Table11819202310303132353839404148111518202837535657[[#This Row],[الدفعات]]</f>
        <v>14439.190000000002</v>
      </c>
    </row>
    <row r="152" spans="1:14" ht="23.25" customHeight="1" x14ac:dyDescent="0.3">
      <c r="A152" s="1"/>
      <c r="L15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52" s="1">
        <f>N151+Table11819202310303132353839404148111518202837535657[[#This Row],[اجمالي الفاتوره]]-Table11819202310303132353839404148111518202837535657[[#This Row],[الدفعات]]</f>
        <v>14439.190000000002</v>
      </c>
    </row>
    <row r="153" spans="1:14" ht="23.25" customHeight="1" x14ac:dyDescent="0.3">
      <c r="A153" s="1"/>
      <c r="L15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53" s="1">
        <f>N152+Table11819202310303132353839404148111518202837535657[[#This Row],[اجمالي الفاتوره]]-Table11819202310303132353839404148111518202837535657[[#This Row],[الدفعات]]</f>
        <v>14439.190000000002</v>
      </c>
    </row>
    <row r="154" spans="1:14" ht="23.25" customHeight="1" x14ac:dyDescent="0.3">
      <c r="A154" s="1"/>
      <c r="L15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54" s="1">
        <f>N153+Table11819202310303132353839404148111518202837535657[[#This Row],[اجمالي الفاتوره]]-Table11819202310303132353839404148111518202837535657[[#This Row],[الدفعات]]</f>
        <v>14439.190000000002</v>
      </c>
    </row>
    <row r="155" spans="1:14" ht="23.25" customHeight="1" x14ac:dyDescent="0.3">
      <c r="A155" s="1"/>
      <c r="L15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55" s="1">
        <f>N154+Table11819202310303132353839404148111518202837535657[[#This Row],[اجمالي الفاتوره]]-Table11819202310303132353839404148111518202837535657[[#This Row],[الدفعات]]</f>
        <v>14439.190000000002</v>
      </c>
    </row>
    <row r="156" spans="1:14" ht="23.25" customHeight="1" x14ac:dyDescent="0.3">
      <c r="A156" s="1"/>
      <c r="L15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56" s="1">
        <f>N155+Table11819202310303132353839404148111518202837535657[[#This Row],[اجمالي الفاتوره]]-Table11819202310303132353839404148111518202837535657[[#This Row],[الدفعات]]</f>
        <v>14439.190000000002</v>
      </c>
    </row>
    <row r="157" spans="1:14" ht="23.25" customHeight="1" x14ac:dyDescent="0.3">
      <c r="A157" s="1"/>
      <c r="L15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57" s="1">
        <f>N156+Table11819202310303132353839404148111518202837535657[[#This Row],[اجمالي الفاتوره]]-Table11819202310303132353839404148111518202837535657[[#This Row],[الدفعات]]</f>
        <v>14439.190000000002</v>
      </c>
    </row>
    <row r="158" spans="1:14" ht="23.25" customHeight="1" x14ac:dyDescent="0.3">
      <c r="A158" s="1"/>
      <c r="L15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58" s="1">
        <f>N157+Table11819202310303132353839404148111518202837535657[[#This Row],[اجمالي الفاتوره]]-Table11819202310303132353839404148111518202837535657[[#This Row],[الدفعات]]</f>
        <v>14439.190000000002</v>
      </c>
    </row>
    <row r="159" spans="1:14" ht="23.25" customHeight="1" x14ac:dyDescent="0.3">
      <c r="A159" s="1"/>
      <c r="L15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59" s="1">
        <f>N158+Table11819202310303132353839404148111518202837535657[[#This Row],[اجمالي الفاتوره]]-Table11819202310303132353839404148111518202837535657[[#This Row],[الدفعات]]</f>
        <v>14439.190000000002</v>
      </c>
    </row>
    <row r="160" spans="1:14" ht="23.25" customHeight="1" x14ac:dyDescent="0.3">
      <c r="A160" s="1"/>
      <c r="L16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60" s="1">
        <f>N159+Table11819202310303132353839404148111518202837535657[[#This Row],[اجمالي الفاتوره]]-Table11819202310303132353839404148111518202837535657[[#This Row],[الدفعات]]</f>
        <v>14439.190000000002</v>
      </c>
    </row>
    <row r="161" spans="1:14" ht="23.25" customHeight="1" x14ac:dyDescent="0.3">
      <c r="A161" s="1"/>
      <c r="L16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61" s="1">
        <f>N160+Table11819202310303132353839404148111518202837535657[[#This Row],[اجمالي الفاتوره]]-Table11819202310303132353839404148111518202837535657[[#This Row],[الدفعات]]</f>
        <v>14439.190000000002</v>
      </c>
    </row>
    <row r="162" spans="1:14" ht="23.25" customHeight="1" x14ac:dyDescent="0.3">
      <c r="A162" s="1"/>
      <c r="L16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62" s="1">
        <f>N161+Table11819202310303132353839404148111518202837535657[[#This Row],[اجمالي الفاتوره]]-Table11819202310303132353839404148111518202837535657[[#This Row],[الدفعات]]</f>
        <v>14439.190000000002</v>
      </c>
    </row>
    <row r="163" spans="1:14" ht="23.25" customHeight="1" x14ac:dyDescent="0.3">
      <c r="A163" s="1"/>
      <c r="L16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63" s="1">
        <f>N162+Table11819202310303132353839404148111518202837535657[[#This Row],[اجمالي الفاتوره]]-Table11819202310303132353839404148111518202837535657[[#This Row],[الدفعات]]</f>
        <v>14439.190000000002</v>
      </c>
    </row>
    <row r="164" spans="1:14" ht="23.25" customHeight="1" x14ac:dyDescent="0.3">
      <c r="A164" s="1"/>
      <c r="L16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64" s="1">
        <f>N163+Table11819202310303132353839404148111518202837535657[[#This Row],[اجمالي الفاتوره]]-Table11819202310303132353839404148111518202837535657[[#This Row],[الدفعات]]</f>
        <v>14439.190000000002</v>
      </c>
    </row>
    <row r="165" spans="1:14" ht="23.25" customHeight="1" x14ac:dyDescent="0.3">
      <c r="A165" s="1"/>
      <c r="L16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65" s="1">
        <f>N164+Table11819202310303132353839404148111518202837535657[[#This Row],[اجمالي الفاتوره]]-Table11819202310303132353839404148111518202837535657[[#This Row],[الدفعات]]</f>
        <v>14439.190000000002</v>
      </c>
    </row>
    <row r="166" spans="1:14" ht="23.25" customHeight="1" x14ac:dyDescent="0.3">
      <c r="A166" s="1"/>
      <c r="L16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66" s="1">
        <f>N165+Table11819202310303132353839404148111518202837535657[[#This Row],[اجمالي الفاتوره]]-Table11819202310303132353839404148111518202837535657[[#This Row],[الدفعات]]</f>
        <v>14439.190000000002</v>
      </c>
    </row>
    <row r="167" spans="1:14" ht="23.25" customHeight="1" x14ac:dyDescent="0.3">
      <c r="A167" s="1"/>
      <c r="L16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67" s="1">
        <f>N166+Table11819202310303132353839404148111518202837535657[[#This Row],[اجمالي الفاتوره]]-Table11819202310303132353839404148111518202837535657[[#This Row],[الدفعات]]</f>
        <v>14439.190000000002</v>
      </c>
    </row>
    <row r="168" spans="1:14" ht="23.25" customHeight="1" x14ac:dyDescent="0.3">
      <c r="A168" s="1"/>
      <c r="L16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68" s="1">
        <f>N167+Table11819202310303132353839404148111518202837535657[[#This Row],[اجمالي الفاتوره]]-Table11819202310303132353839404148111518202837535657[[#This Row],[الدفعات]]</f>
        <v>14439.190000000002</v>
      </c>
    </row>
    <row r="169" spans="1:14" ht="23.25" customHeight="1" x14ac:dyDescent="0.3">
      <c r="A169" s="1"/>
      <c r="L16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69" s="1">
        <f>N168+Table11819202310303132353839404148111518202837535657[[#This Row],[اجمالي الفاتوره]]-Table11819202310303132353839404148111518202837535657[[#This Row],[الدفعات]]</f>
        <v>14439.190000000002</v>
      </c>
    </row>
    <row r="170" spans="1:14" ht="23.25" customHeight="1" x14ac:dyDescent="0.3">
      <c r="A170" s="1"/>
      <c r="L17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70" s="1">
        <f>N169+Table11819202310303132353839404148111518202837535657[[#This Row],[اجمالي الفاتوره]]-Table11819202310303132353839404148111518202837535657[[#This Row],[الدفعات]]</f>
        <v>14439.190000000002</v>
      </c>
    </row>
    <row r="171" spans="1:14" ht="23.25" customHeight="1" x14ac:dyDescent="0.3">
      <c r="A171" s="1"/>
      <c r="L17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71" s="1">
        <f>N170+Table11819202310303132353839404148111518202837535657[[#This Row],[اجمالي الفاتوره]]-Table11819202310303132353839404148111518202837535657[[#This Row],[الدفعات]]</f>
        <v>14439.190000000002</v>
      </c>
    </row>
    <row r="172" spans="1:14" ht="23.25" customHeight="1" x14ac:dyDescent="0.3">
      <c r="A172" s="1"/>
      <c r="L17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72" s="1">
        <f>N171+Table11819202310303132353839404148111518202837535657[[#This Row],[اجمالي الفاتوره]]-Table11819202310303132353839404148111518202837535657[[#This Row],[الدفعات]]</f>
        <v>14439.190000000002</v>
      </c>
    </row>
    <row r="173" spans="1:14" ht="23.25" customHeight="1" x14ac:dyDescent="0.3">
      <c r="A173" s="1"/>
      <c r="L17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73" s="1">
        <f>N172+Table11819202310303132353839404148111518202837535657[[#This Row],[اجمالي الفاتوره]]-Table11819202310303132353839404148111518202837535657[[#This Row],[الدفعات]]</f>
        <v>14439.190000000002</v>
      </c>
    </row>
    <row r="174" spans="1:14" ht="23.25" customHeight="1" x14ac:dyDescent="0.3">
      <c r="A174" s="1"/>
      <c r="L17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74" s="1">
        <f>N173+Table11819202310303132353839404148111518202837535657[[#This Row],[اجمالي الفاتوره]]-Table11819202310303132353839404148111518202837535657[[#This Row],[الدفعات]]</f>
        <v>14439.190000000002</v>
      </c>
    </row>
    <row r="175" spans="1:14" ht="23.25" customHeight="1" x14ac:dyDescent="0.3">
      <c r="A175" s="1"/>
      <c r="L17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75" s="1">
        <f>N174+Table11819202310303132353839404148111518202837535657[[#This Row],[اجمالي الفاتوره]]-Table11819202310303132353839404148111518202837535657[[#This Row],[الدفعات]]</f>
        <v>14439.190000000002</v>
      </c>
    </row>
    <row r="176" spans="1:14" ht="23.25" customHeight="1" x14ac:dyDescent="0.3">
      <c r="A176" s="1"/>
      <c r="L17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76" s="1">
        <f>N175+Table11819202310303132353839404148111518202837535657[[#This Row],[اجمالي الفاتوره]]-Table11819202310303132353839404148111518202837535657[[#This Row],[الدفعات]]</f>
        <v>14439.190000000002</v>
      </c>
    </row>
    <row r="177" spans="1:14" ht="23.25" customHeight="1" x14ac:dyDescent="0.3">
      <c r="A177" s="1"/>
      <c r="L17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77" s="1">
        <f>N176+Table11819202310303132353839404148111518202837535657[[#This Row],[اجمالي الفاتوره]]-Table11819202310303132353839404148111518202837535657[[#This Row],[الدفعات]]</f>
        <v>14439.190000000002</v>
      </c>
    </row>
    <row r="178" spans="1:14" ht="23.25" customHeight="1" x14ac:dyDescent="0.3">
      <c r="A178" s="1"/>
      <c r="L17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78" s="1">
        <f>N177+Table11819202310303132353839404148111518202837535657[[#This Row],[اجمالي الفاتوره]]-Table11819202310303132353839404148111518202837535657[[#This Row],[الدفعات]]</f>
        <v>14439.190000000002</v>
      </c>
    </row>
    <row r="179" spans="1:14" ht="23.25" customHeight="1" x14ac:dyDescent="0.3">
      <c r="A179" s="1"/>
      <c r="L17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79" s="1">
        <f>N178+Table11819202310303132353839404148111518202837535657[[#This Row],[اجمالي الفاتوره]]-Table11819202310303132353839404148111518202837535657[[#This Row],[الدفعات]]</f>
        <v>14439.190000000002</v>
      </c>
    </row>
    <row r="180" spans="1:14" ht="23.25" customHeight="1" x14ac:dyDescent="0.3">
      <c r="A180" s="1"/>
      <c r="L18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80" s="1">
        <f>N179+Table11819202310303132353839404148111518202837535657[[#This Row],[اجمالي الفاتوره]]-Table11819202310303132353839404148111518202837535657[[#This Row],[الدفعات]]</f>
        <v>14439.190000000002</v>
      </c>
    </row>
    <row r="181" spans="1:14" ht="23.25" customHeight="1" x14ac:dyDescent="0.3">
      <c r="A181" s="1"/>
      <c r="L18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81" s="1">
        <f>N180+Table11819202310303132353839404148111518202837535657[[#This Row],[اجمالي الفاتوره]]-Table11819202310303132353839404148111518202837535657[[#This Row],[الدفعات]]</f>
        <v>14439.190000000002</v>
      </c>
    </row>
    <row r="182" spans="1:14" ht="23.25" customHeight="1" x14ac:dyDescent="0.3">
      <c r="A182" s="1"/>
      <c r="L18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82" s="1">
        <f>N181+Table11819202310303132353839404148111518202837535657[[#This Row],[اجمالي الفاتوره]]-Table11819202310303132353839404148111518202837535657[[#This Row],[الدفعات]]</f>
        <v>14439.190000000002</v>
      </c>
    </row>
    <row r="183" spans="1:14" ht="23.25" customHeight="1" x14ac:dyDescent="0.3">
      <c r="A183" s="1"/>
      <c r="L18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83" s="1">
        <f>N182+Table11819202310303132353839404148111518202837535657[[#This Row],[اجمالي الفاتوره]]-Table11819202310303132353839404148111518202837535657[[#This Row],[الدفعات]]</f>
        <v>14439.190000000002</v>
      </c>
    </row>
    <row r="184" spans="1:14" ht="23.25" customHeight="1" x14ac:dyDescent="0.3">
      <c r="A184" s="1"/>
      <c r="L18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84" s="1">
        <f>N183+Table11819202310303132353839404148111518202837535657[[#This Row],[اجمالي الفاتوره]]-Table11819202310303132353839404148111518202837535657[[#This Row],[الدفعات]]</f>
        <v>14439.190000000002</v>
      </c>
    </row>
    <row r="185" spans="1:14" ht="23.25" customHeight="1" x14ac:dyDescent="0.3">
      <c r="A185" s="1"/>
      <c r="L18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85" s="1">
        <f>N184+Table11819202310303132353839404148111518202837535657[[#This Row],[اجمالي الفاتوره]]-Table11819202310303132353839404148111518202837535657[[#This Row],[الدفعات]]</f>
        <v>14439.190000000002</v>
      </c>
    </row>
    <row r="186" spans="1:14" ht="23.25" customHeight="1" x14ac:dyDescent="0.3">
      <c r="A186" s="1"/>
      <c r="L18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86" s="1">
        <f>N185+Table11819202310303132353839404148111518202837535657[[#This Row],[اجمالي الفاتوره]]-Table11819202310303132353839404148111518202837535657[[#This Row],[الدفعات]]</f>
        <v>14439.190000000002</v>
      </c>
    </row>
    <row r="187" spans="1:14" ht="23.25" customHeight="1" x14ac:dyDescent="0.3">
      <c r="A187" s="1"/>
      <c r="L18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87" s="1">
        <f>N186+Table11819202310303132353839404148111518202837535657[[#This Row],[اجمالي الفاتوره]]-Table11819202310303132353839404148111518202837535657[[#This Row],[الدفعات]]</f>
        <v>14439.190000000002</v>
      </c>
    </row>
    <row r="188" spans="1:14" ht="23.25" customHeight="1" x14ac:dyDescent="0.3">
      <c r="A188" s="1"/>
      <c r="L18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88" s="1">
        <f>N187+Table11819202310303132353839404148111518202837535657[[#This Row],[اجمالي الفاتوره]]-Table11819202310303132353839404148111518202837535657[[#This Row],[الدفعات]]</f>
        <v>14439.190000000002</v>
      </c>
    </row>
    <row r="189" spans="1:14" ht="23.25" customHeight="1" x14ac:dyDescent="0.3">
      <c r="A189" s="1"/>
      <c r="L18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89" s="1">
        <f>N188+Table11819202310303132353839404148111518202837535657[[#This Row],[اجمالي الفاتوره]]-Table11819202310303132353839404148111518202837535657[[#This Row],[الدفعات]]</f>
        <v>14439.190000000002</v>
      </c>
    </row>
    <row r="190" spans="1:14" ht="23.25" customHeight="1" x14ac:dyDescent="0.3">
      <c r="A190" s="1"/>
      <c r="L19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90" s="1">
        <f>N189+Table11819202310303132353839404148111518202837535657[[#This Row],[اجمالي الفاتوره]]-Table11819202310303132353839404148111518202837535657[[#This Row],[الدفعات]]</f>
        <v>14439.190000000002</v>
      </c>
    </row>
    <row r="191" spans="1:14" ht="23.25" customHeight="1" x14ac:dyDescent="0.3">
      <c r="A191" s="1"/>
      <c r="L19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91" s="1">
        <f>N190+Table11819202310303132353839404148111518202837535657[[#This Row],[اجمالي الفاتوره]]-Table11819202310303132353839404148111518202837535657[[#This Row],[الدفعات]]</f>
        <v>14439.190000000002</v>
      </c>
    </row>
    <row r="192" spans="1:14" ht="23.25" customHeight="1" x14ac:dyDescent="0.3">
      <c r="A192" s="1"/>
      <c r="L19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92" s="1">
        <f>N191+Table11819202310303132353839404148111518202837535657[[#This Row],[اجمالي الفاتوره]]-Table11819202310303132353839404148111518202837535657[[#This Row],[الدفعات]]</f>
        <v>14439.190000000002</v>
      </c>
    </row>
    <row r="193" spans="1:14" ht="23.25" customHeight="1" x14ac:dyDescent="0.3">
      <c r="A193" s="1"/>
      <c r="L19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93" s="1">
        <f>N192+Table11819202310303132353839404148111518202837535657[[#This Row],[اجمالي الفاتوره]]-Table11819202310303132353839404148111518202837535657[[#This Row],[الدفعات]]</f>
        <v>14439.190000000002</v>
      </c>
    </row>
    <row r="194" spans="1:14" ht="23.25" customHeight="1" x14ac:dyDescent="0.3">
      <c r="A194" s="1"/>
      <c r="L19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94" s="1">
        <f>N193+Table11819202310303132353839404148111518202837535657[[#This Row],[اجمالي الفاتوره]]-Table11819202310303132353839404148111518202837535657[[#This Row],[الدفعات]]</f>
        <v>14439.190000000002</v>
      </c>
    </row>
    <row r="195" spans="1:14" ht="23.25" customHeight="1" x14ac:dyDescent="0.3">
      <c r="A195" s="1"/>
      <c r="L19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95" s="1">
        <f>N194+Table11819202310303132353839404148111518202837535657[[#This Row],[اجمالي الفاتوره]]-Table11819202310303132353839404148111518202837535657[[#This Row],[الدفعات]]</f>
        <v>14439.190000000002</v>
      </c>
    </row>
    <row r="196" spans="1:14" ht="23.25" customHeight="1" x14ac:dyDescent="0.3">
      <c r="A196" s="1"/>
      <c r="L19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96" s="1">
        <f>N195+Table11819202310303132353839404148111518202837535657[[#This Row],[اجمالي الفاتوره]]-Table11819202310303132353839404148111518202837535657[[#This Row],[الدفعات]]</f>
        <v>14439.190000000002</v>
      </c>
    </row>
    <row r="197" spans="1:14" ht="23.25" customHeight="1" x14ac:dyDescent="0.3">
      <c r="A197" s="1"/>
      <c r="L19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97" s="1">
        <f>N196+Table11819202310303132353839404148111518202837535657[[#This Row],[اجمالي الفاتوره]]-Table11819202310303132353839404148111518202837535657[[#This Row],[الدفعات]]</f>
        <v>14439.190000000002</v>
      </c>
    </row>
    <row r="198" spans="1:14" ht="23.25" customHeight="1" x14ac:dyDescent="0.3">
      <c r="A198" s="1"/>
      <c r="L19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98" s="1">
        <f>N197+Table11819202310303132353839404148111518202837535657[[#This Row],[اجمالي الفاتوره]]-Table11819202310303132353839404148111518202837535657[[#This Row],[الدفعات]]</f>
        <v>14439.190000000002</v>
      </c>
    </row>
    <row r="199" spans="1:14" ht="23.25" customHeight="1" x14ac:dyDescent="0.3">
      <c r="A199" s="1"/>
      <c r="L19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199" s="1">
        <f>N198+Table11819202310303132353839404148111518202837535657[[#This Row],[اجمالي الفاتوره]]-Table11819202310303132353839404148111518202837535657[[#This Row],[الدفعات]]</f>
        <v>14439.190000000002</v>
      </c>
    </row>
    <row r="200" spans="1:14" ht="23.25" customHeight="1" x14ac:dyDescent="0.3">
      <c r="A200" s="1"/>
      <c r="L20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00" s="1">
        <f>N199+Table11819202310303132353839404148111518202837535657[[#This Row],[اجمالي الفاتوره]]-Table11819202310303132353839404148111518202837535657[[#This Row],[الدفعات]]</f>
        <v>14439.190000000002</v>
      </c>
    </row>
    <row r="201" spans="1:14" ht="23.25" customHeight="1" x14ac:dyDescent="0.3">
      <c r="A201" s="1"/>
      <c r="L20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01" s="1">
        <f>N200+Table11819202310303132353839404148111518202837535657[[#This Row],[اجمالي الفاتوره]]-Table11819202310303132353839404148111518202837535657[[#This Row],[الدفعات]]</f>
        <v>14439.190000000002</v>
      </c>
    </row>
    <row r="202" spans="1:14" ht="23.25" customHeight="1" x14ac:dyDescent="0.3">
      <c r="A202" s="1"/>
      <c r="L20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02" s="1">
        <f>N201+Table11819202310303132353839404148111518202837535657[[#This Row],[اجمالي الفاتوره]]-Table11819202310303132353839404148111518202837535657[[#This Row],[الدفعات]]</f>
        <v>14439.190000000002</v>
      </c>
    </row>
    <row r="203" spans="1:14" ht="23.25" customHeight="1" x14ac:dyDescent="0.3">
      <c r="A203" s="1"/>
      <c r="L20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03" s="1">
        <f>N202+Table11819202310303132353839404148111518202837535657[[#This Row],[اجمالي الفاتوره]]-Table11819202310303132353839404148111518202837535657[[#This Row],[الدفعات]]</f>
        <v>14439.190000000002</v>
      </c>
    </row>
    <row r="204" spans="1:14" ht="23.25" customHeight="1" x14ac:dyDescent="0.3">
      <c r="A204" s="1"/>
      <c r="L20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04" s="1">
        <f>N203+Table11819202310303132353839404148111518202837535657[[#This Row],[اجمالي الفاتوره]]-Table11819202310303132353839404148111518202837535657[[#This Row],[الدفعات]]</f>
        <v>14439.190000000002</v>
      </c>
    </row>
    <row r="205" spans="1:14" ht="23.25" customHeight="1" x14ac:dyDescent="0.3">
      <c r="A205" s="1"/>
      <c r="L20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05" s="1">
        <f>N204+Table11819202310303132353839404148111518202837535657[[#This Row],[اجمالي الفاتوره]]-Table11819202310303132353839404148111518202837535657[[#This Row],[الدفعات]]</f>
        <v>14439.190000000002</v>
      </c>
    </row>
    <row r="206" spans="1:14" ht="23.25" customHeight="1" x14ac:dyDescent="0.3">
      <c r="A206" s="1"/>
      <c r="L20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06" s="1">
        <f>N205+Table11819202310303132353839404148111518202837535657[[#This Row],[اجمالي الفاتوره]]-Table11819202310303132353839404148111518202837535657[[#This Row],[الدفعات]]</f>
        <v>14439.190000000002</v>
      </c>
    </row>
    <row r="207" spans="1:14" ht="23.25" customHeight="1" x14ac:dyDescent="0.3">
      <c r="A207" s="1"/>
      <c r="L20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07" s="1">
        <f>N206+Table11819202310303132353839404148111518202837535657[[#This Row],[اجمالي الفاتوره]]-Table11819202310303132353839404148111518202837535657[[#This Row],[الدفعات]]</f>
        <v>14439.190000000002</v>
      </c>
    </row>
    <row r="208" spans="1:14" ht="23.25" customHeight="1" x14ac:dyDescent="0.3">
      <c r="A208" s="1"/>
      <c r="L20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08" s="1">
        <f>N207+Table11819202310303132353839404148111518202837535657[[#This Row],[اجمالي الفاتوره]]-Table11819202310303132353839404148111518202837535657[[#This Row],[الدفعات]]</f>
        <v>14439.190000000002</v>
      </c>
    </row>
    <row r="209" spans="1:14" ht="23.25" customHeight="1" x14ac:dyDescent="0.3">
      <c r="A209" s="1"/>
      <c r="L20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09" s="1">
        <f>N208+Table11819202310303132353839404148111518202837535657[[#This Row],[اجمالي الفاتوره]]-Table11819202310303132353839404148111518202837535657[[#This Row],[الدفعات]]</f>
        <v>14439.190000000002</v>
      </c>
    </row>
    <row r="210" spans="1:14" ht="23.25" customHeight="1" x14ac:dyDescent="0.3">
      <c r="A210" s="1"/>
      <c r="L21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10" s="1">
        <f>N209+Table11819202310303132353839404148111518202837535657[[#This Row],[اجمالي الفاتوره]]-Table11819202310303132353839404148111518202837535657[[#This Row],[الدفعات]]</f>
        <v>14439.190000000002</v>
      </c>
    </row>
    <row r="211" spans="1:14" ht="23.25" customHeight="1" x14ac:dyDescent="0.3">
      <c r="A211" s="1"/>
      <c r="L21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11" s="1">
        <f>N210+Table11819202310303132353839404148111518202837535657[[#This Row],[اجمالي الفاتوره]]-Table11819202310303132353839404148111518202837535657[[#This Row],[الدفعات]]</f>
        <v>14439.190000000002</v>
      </c>
    </row>
    <row r="212" spans="1:14" ht="23.25" customHeight="1" x14ac:dyDescent="0.3">
      <c r="A212" s="1"/>
      <c r="L21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12" s="1">
        <f>N211+Table11819202310303132353839404148111518202837535657[[#This Row],[اجمالي الفاتوره]]-Table11819202310303132353839404148111518202837535657[[#This Row],[الدفعات]]</f>
        <v>14439.190000000002</v>
      </c>
    </row>
    <row r="213" spans="1:14" ht="23.25" customHeight="1" x14ac:dyDescent="0.3">
      <c r="A213" s="1"/>
      <c r="L21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13" s="1">
        <f>N212+Table11819202310303132353839404148111518202837535657[[#This Row],[اجمالي الفاتوره]]-Table11819202310303132353839404148111518202837535657[[#This Row],[الدفعات]]</f>
        <v>14439.190000000002</v>
      </c>
    </row>
    <row r="214" spans="1:14" ht="23.25" customHeight="1" x14ac:dyDescent="0.3">
      <c r="A214" s="1"/>
      <c r="L21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14" s="1">
        <f>N213+Table11819202310303132353839404148111518202837535657[[#This Row],[اجمالي الفاتوره]]-Table11819202310303132353839404148111518202837535657[[#This Row],[الدفعات]]</f>
        <v>14439.190000000002</v>
      </c>
    </row>
    <row r="215" spans="1:14" ht="23.25" customHeight="1" x14ac:dyDescent="0.3">
      <c r="A215" s="1"/>
      <c r="L21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15" s="1">
        <f>N214+Table11819202310303132353839404148111518202837535657[[#This Row],[اجمالي الفاتوره]]-Table11819202310303132353839404148111518202837535657[[#This Row],[الدفعات]]</f>
        <v>14439.190000000002</v>
      </c>
    </row>
    <row r="216" spans="1:14" ht="23.25" customHeight="1" x14ac:dyDescent="0.3">
      <c r="A216" s="1"/>
      <c r="L21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16" s="1">
        <f>N215+Table11819202310303132353839404148111518202837535657[[#This Row],[اجمالي الفاتوره]]-Table11819202310303132353839404148111518202837535657[[#This Row],[الدفعات]]</f>
        <v>14439.190000000002</v>
      </c>
    </row>
    <row r="217" spans="1:14" ht="23.25" customHeight="1" x14ac:dyDescent="0.3">
      <c r="A217" s="1"/>
      <c r="L21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17" s="1">
        <f>N216+Table11819202310303132353839404148111518202837535657[[#This Row],[اجمالي الفاتوره]]-Table11819202310303132353839404148111518202837535657[[#This Row],[الدفعات]]</f>
        <v>14439.190000000002</v>
      </c>
    </row>
    <row r="218" spans="1:14" ht="23.25" customHeight="1" x14ac:dyDescent="0.3">
      <c r="A218" s="1"/>
      <c r="L21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18" s="1">
        <f>N217+Table11819202310303132353839404148111518202837535657[[#This Row],[اجمالي الفاتوره]]-Table11819202310303132353839404148111518202837535657[[#This Row],[الدفعات]]</f>
        <v>14439.190000000002</v>
      </c>
    </row>
    <row r="219" spans="1:14" ht="23.25" customHeight="1" x14ac:dyDescent="0.3">
      <c r="A219" s="1"/>
      <c r="L21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19" s="1">
        <f>N218+Table11819202310303132353839404148111518202837535657[[#This Row],[اجمالي الفاتوره]]-Table11819202310303132353839404148111518202837535657[[#This Row],[الدفعات]]</f>
        <v>14439.190000000002</v>
      </c>
    </row>
    <row r="220" spans="1:14" ht="23.25" customHeight="1" x14ac:dyDescent="0.3">
      <c r="A220" s="1"/>
      <c r="L22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20" s="1">
        <f>N219+Table11819202310303132353839404148111518202837535657[[#This Row],[اجمالي الفاتوره]]-Table11819202310303132353839404148111518202837535657[[#This Row],[الدفعات]]</f>
        <v>14439.190000000002</v>
      </c>
    </row>
    <row r="221" spans="1:14" ht="23.25" customHeight="1" x14ac:dyDescent="0.3">
      <c r="A221" s="1"/>
      <c r="L22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21" s="1">
        <f>N220+Table11819202310303132353839404148111518202837535657[[#This Row],[اجمالي الفاتوره]]-Table11819202310303132353839404148111518202837535657[[#This Row],[الدفعات]]</f>
        <v>14439.190000000002</v>
      </c>
    </row>
    <row r="222" spans="1:14" ht="23.25" customHeight="1" x14ac:dyDescent="0.3">
      <c r="A222" s="1"/>
      <c r="L22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22" s="1">
        <f>N221+Table11819202310303132353839404148111518202837535657[[#This Row],[اجمالي الفاتوره]]-Table11819202310303132353839404148111518202837535657[[#This Row],[الدفعات]]</f>
        <v>14439.190000000002</v>
      </c>
    </row>
    <row r="223" spans="1:14" ht="23.25" customHeight="1" x14ac:dyDescent="0.3">
      <c r="A223" s="1"/>
      <c r="L22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23" s="1">
        <f>N222+Table11819202310303132353839404148111518202837535657[[#This Row],[اجمالي الفاتوره]]-Table11819202310303132353839404148111518202837535657[[#This Row],[الدفعات]]</f>
        <v>14439.190000000002</v>
      </c>
    </row>
    <row r="224" spans="1:14" ht="23.25" customHeight="1" x14ac:dyDescent="0.3">
      <c r="A224" s="1"/>
      <c r="L22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24" s="1">
        <f>N223+Table11819202310303132353839404148111518202837535657[[#This Row],[اجمالي الفاتوره]]-Table11819202310303132353839404148111518202837535657[[#This Row],[الدفعات]]</f>
        <v>14439.190000000002</v>
      </c>
    </row>
    <row r="225" spans="1:14" ht="23.25" customHeight="1" x14ac:dyDescent="0.3">
      <c r="A225" s="1"/>
      <c r="L22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25" s="1">
        <f>N224+Table11819202310303132353839404148111518202837535657[[#This Row],[اجمالي الفاتوره]]-Table11819202310303132353839404148111518202837535657[[#This Row],[الدفعات]]</f>
        <v>14439.190000000002</v>
      </c>
    </row>
    <row r="226" spans="1:14" ht="23.25" customHeight="1" x14ac:dyDescent="0.3">
      <c r="A226" s="1"/>
      <c r="L22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26" s="1">
        <f>N225+Table11819202310303132353839404148111518202837535657[[#This Row],[اجمالي الفاتوره]]-Table11819202310303132353839404148111518202837535657[[#This Row],[الدفعات]]</f>
        <v>14439.190000000002</v>
      </c>
    </row>
    <row r="227" spans="1:14" ht="23.25" customHeight="1" x14ac:dyDescent="0.3">
      <c r="A227" s="1"/>
      <c r="L22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27" s="1">
        <f>N226+Table11819202310303132353839404148111518202837535657[[#This Row],[اجمالي الفاتوره]]-Table11819202310303132353839404148111518202837535657[[#This Row],[الدفعات]]</f>
        <v>14439.190000000002</v>
      </c>
    </row>
    <row r="228" spans="1:14" ht="23.25" customHeight="1" x14ac:dyDescent="0.3">
      <c r="A228" s="1"/>
      <c r="L22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28" s="1">
        <f>N227+Table11819202310303132353839404148111518202837535657[[#This Row],[اجمالي الفاتوره]]-Table11819202310303132353839404148111518202837535657[[#This Row],[الدفعات]]</f>
        <v>14439.190000000002</v>
      </c>
    </row>
    <row r="229" spans="1:14" ht="23.25" customHeight="1" x14ac:dyDescent="0.3">
      <c r="A229" s="1"/>
      <c r="L22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29" s="1">
        <f>N228+Table11819202310303132353839404148111518202837535657[[#This Row],[اجمالي الفاتوره]]-Table11819202310303132353839404148111518202837535657[[#This Row],[الدفعات]]</f>
        <v>14439.190000000002</v>
      </c>
    </row>
    <row r="230" spans="1:14" ht="23.25" customHeight="1" x14ac:dyDescent="0.3">
      <c r="A230" s="1"/>
      <c r="L23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30" s="1">
        <f>N229+Table11819202310303132353839404148111518202837535657[[#This Row],[اجمالي الفاتوره]]-Table11819202310303132353839404148111518202837535657[[#This Row],[الدفعات]]</f>
        <v>14439.190000000002</v>
      </c>
    </row>
    <row r="231" spans="1:14" ht="23.25" customHeight="1" x14ac:dyDescent="0.3">
      <c r="A231" s="1"/>
      <c r="L23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31" s="1">
        <f>N230+Table11819202310303132353839404148111518202837535657[[#This Row],[اجمالي الفاتوره]]-Table11819202310303132353839404148111518202837535657[[#This Row],[الدفعات]]</f>
        <v>14439.190000000002</v>
      </c>
    </row>
    <row r="232" spans="1:14" ht="23.25" customHeight="1" x14ac:dyDescent="0.3">
      <c r="A232" s="1"/>
      <c r="L23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32" s="1">
        <f>N231+Table11819202310303132353839404148111518202837535657[[#This Row],[اجمالي الفاتوره]]-Table11819202310303132353839404148111518202837535657[[#This Row],[الدفعات]]</f>
        <v>14439.190000000002</v>
      </c>
    </row>
    <row r="233" spans="1:14" ht="23.25" customHeight="1" x14ac:dyDescent="0.3">
      <c r="A233" s="1"/>
      <c r="L23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33" s="1">
        <f>N232+Table11819202310303132353839404148111518202837535657[[#This Row],[اجمالي الفاتوره]]-Table11819202310303132353839404148111518202837535657[[#This Row],[الدفعات]]</f>
        <v>14439.190000000002</v>
      </c>
    </row>
    <row r="234" spans="1:14" ht="23.25" customHeight="1" x14ac:dyDescent="0.3">
      <c r="A234" s="1"/>
      <c r="L23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34" s="1">
        <f>N233+Table11819202310303132353839404148111518202837535657[[#This Row],[اجمالي الفاتوره]]-Table11819202310303132353839404148111518202837535657[[#This Row],[الدفعات]]</f>
        <v>14439.190000000002</v>
      </c>
    </row>
    <row r="235" spans="1:14" ht="23.25" customHeight="1" x14ac:dyDescent="0.3">
      <c r="A235" s="1"/>
      <c r="L23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35" s="1">
        <f>N234+Table11819202310303132353839404148111518202837535657[[#This Row],[اجمالي الفاتوره]]-Table11819202310303132353839404148111518202837535657[[#This Row],[الدفعات]]</f>
        <v>14439.190000000002</v>
      </c>
    </row>
    <row r="236" spans="1:14" ht="23.25" customHeight="1" x14ac:dyDescent="0.3">
      <c r="A236" s="1"/>
      <c r="L23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36" s="1">
        <f>N235+Table11819202310303132353839404148111518202837535657[[#This Row],[اجمالي الفاتوره]]-Table11819202310303132353839404148111518202837535657[[#This Row],[الدفعات]]</f>
        <v>14439.190000000002</v>
      </c>
    </row>
    <row r="237" spans="1:14" ht="23.25" customHeight="1" x14ac:dyDescent="0.3">
      <c r="A237" s="1"/>
      <c r="L23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37" s="1">
        <f>N236+Table11819202310303132353839404148111518202837535657[[#This Row],[اجمالي الفاتوره]]-Table11819202310303132353839404148111518202837535657[[#This Row],[الدفعات]]</f>
        <v>14439.190000000002</v>
      </c>
    </row>
    <row r="238" spans="1:14" ht="23.25" customHeight="1" x14ac:dyDescent="0.3">
      <c r="A238" s="1"/>
      <c r="L23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38" s="1">
        <f>N237+Table11819202310303132353839404148111518202837535657[[#This Row],[اجمالي الفاتوره]]-Table11819202310303132353839404148111518202837535657[[#This Row],[الدفعات]]</f>
        <v>14439.190000000002</v>
      </c>
    </row>
    <row r="239" spans="1:14" ht="23.25" customHeight="1" x14ac:dyDescent="0.3">
      <c r="A239" s="1"/>
      <c r="J239" s="1">
        <f>0.03*Table11819202310303132353839404148111518202837535657[[#This Row],[النولون]]</f>
        <v>0</v>
      </c>
      <c r="L23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39" s="1">
        <f>N238+Table11819202310303132353839404148111518202837535657[[#This Row],[اجمالي الفاتوره]]-Table11819202310303132353839404148111518202837535657[[#This Row],[الدفعات]]</f>
        <v>14439.190000000002</v>
      </c>
    </row>
    <row r="240" spans="1:14" ht="23.25" customHeight="1" x14ac:dyDescent="0.3">
      <c r="A240" s="1"/>
      <c r="J240" s="1">
        <f>0.03*Table11819202310303132353839404148111518202837535657[[#This Row],[النولون]]</f>
        <v>0</v>
      </c>
      <c r="L24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40" s="1">
        <f>N239+Table11819202310303132353839404148111518202837535657[[#This Row],[اجمالي الفاتوره]]-Table11819202310303132353839404148111518202837535657[[#This Row],[الدفعات]]</f>
        <v>14439.190000000002</v>
      </c>
    </row>
    <row r="241" spans="1:14" ht="23.25" customHeight="1" x14ac:dyDescent="0.3">
      <c r="A241" s="1"/>
      <c r="J241" s="1">
        <f>0.03*Table11819202310303132353839404148111518202837535657[[#This Row],[النولون]]</f>
        <v>0</v>
      </c>
      <c r="L24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41" s="1">
        <f>N240+Table11819202310303132353839404148111518202837535657[[#This Row],[اجمالي الفاتوره]]-Table11819202310303132353839404148111518202837535657[[#This Row],[الدفعات]]</f>
        <v>14439.190000000002</v>
      </c>
    </row>
    <row r="242" spans="1:14" ht="23.25" customHeight="1" x14ac:dyDescent="0.3">
      <c r="A242" s="1"/>
      <c r="J242" s="1">
        <f>0.03*Table11819202310303132353839404148111518202837535657[[#This Row],[النولون]]</f>
        <v>0</v>
      </c>
      <c r="L24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42" s="1">
        <f>N241+Table11819202310303132353839404148111518202837535657[[#This Row],[اجمالي الفاتوره]]-Table11819202310303132353839404148111518202837535657[[#This Row],[الدفعات]]</f>
        <v>14439.190000000002</v>
      </c>
    </row>
    <row r="243" spans="1:14" ht="23.25" customHeight="1" x14ac:dyDescent="0.3">
      <c r="A243" s="1"/>
      <c r="J243" s="1">
        <f>0.03*Table11819202310303132353839404148111518202837535657[[#This Row],[النولون]]</f>
        <v>0</v>
      </c>
      <c r="L24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43" s="1">
        <f>N242+Table11819202310303132353839404148111518202837535657[[#This Row],[اجمالي الفاتوره]]-Table11819202310303132353839404148111518202837535657[[#This Row],[الدفعات]]</f>
        <v>14439.190000000002</v>
      </c>
    </row>
    <row r="244" spans="1:14" ht="23.25" customHeight="1" x14ac:dyDescent="0.3">
      <c r="A244" s="1"/>
      <c r="J244" s="1">
        <f>0.03*Table11819202310303132353839404148111518202837535657[[#This Row],[النولون]]</f>
        <v>0</v>
      </c>
      <c r="L24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44" s="1">
        <f>N243+Table11819202310303132353839404148111518202837535657[[#This Row],[اجمالي الفاتوره]]-Table11819202310303132353839404148111518202837535657[[#This Row],[الدفعات]]</f>
        <v>14439.190000000002</v>
      </c>
    </row>
    <row r="245" spans="1:14" ht="23.25" customHeight="1" x14ac:dyDescent="0.3">
      <c r="A245" s="1"/>
      <c r="J245" s="1">
        <f>0.03*Table11819202310303132353839404148111518202837535657[[#This Row],[النولون]]</f>
        <v>0</v>
      </c>
      <c r="L24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45" s="1">
        <f>N244+Table11819202310303132353839404148111518202837535657[[#This Row],[اجمالي الفاتوره]]-Table11819202310303132353839404148111518202837535657[[#This Row],[الدفعات]]</f>
        <v>14439.190000000002</v>
      </c>
    </row>
    <row r="246" spans="1:14" ht="23.25" customHeight="1" x14ac:dyDescent="0.3">
      <c r="A246" s="1"/>
      <c r="J246" s="1">
        <f>0.03*Table11819202310303132353839404148111518202837535657[[#This Row],[النولون]]</f>
        <v>0</v>
      </c>
      <c r="L24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46" s="1">
        <f>N245+Table11819202310303132353839404148111518202837535657[[#This Row],[اجمالي الفاتوره]]-Table11819202310303132353839404148111518202837535657[[#This Row],[الدفعات]]</f>
        <v>14439.190000000002</v>
      </c>
    </row>
    <row r="247" spans="1:14" ht="23.25" customHeight="1" x14ac:dyDescent="0.3">
      <c r="A247" s="1"/>
      <c r="J247" s="1">
        <f>0.03*Table11819202310303132353839404148111518202837535657[[#This Row],[النولون]]</f>
        <v>0</v>
      </c>
      <c r="L24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47" s="1">
        <f>N246+Table11819202310303132353839404148111518202837535657[[#This Row],[اجمالي الفاتوره]]-Table11819202310303132353839404148111518202837535657[[#This Row],[الدفعات]]</f>
        <v>14439.190000000002</v>
      </c>
    </row>
    <row r="248" spans="1:14" ht="23.25" customHeight="1" x14ac:dyDescent="0.3">
      <c r="A248" s="1"/>
      <c r="J248" s="1">
        <f>0.03*Table11819202310303132353839404148111518202837535657[[#This Row],[النولون]]</f>
        <v>0</v>
      </c>
      <c r="L24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48" s="1">
        <f>N247+Table11819202310303132353839404148111518202837535657[[#This Row],[اجمالي الفاتوره]]-Table11819202310303132353839404148111518202837535657[[#This Row],[الدفعات]]</f>
        <v>14439.190000000002</v>
      </c>
    </row>
    <row r="249" spans="1:14" ht="23.25" customHeight="1" x14ac:dyDescent="0.3">
      <c r="A249" s="1"/>
      <c r="J249" s="1">
        <f>0.03*Table11819202310303132353839404148111518202837535657[[#This Row],[النولون]]</f>
        <v>0</v>
      </c>
      <c r="L24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49" s="1">
        <f>N248+Table11819202310303132353839404148111518202837535657[[#This Row],[اجمالي الفاتوره]]-Table11819202310303132353839404148111518202837535657[[#This Row],[الدفعات]]</f>
        <v>14439.190000000002</v>
      </c>
    </row>
    <row r="250" spans="1:14" ht="23.25" customHeight="1" x14ac:dyDescent="0.3">
      <c r="A250" s="1"/>
      <c r="J250" s="1">
        <f>0.03*Table11819202310303132353839404148111518202837535657[[#This Row],[النولون]]</f>
        <v>0</v>
      </c>
      <c r="L25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50" s="1">
        <f>N249+Table11819202310303132353839404148111518202837535657[[#This Row],[اجمالي الفاتوره]]-Table11819202310303132353839404148111518202837535657[[#This Row],[الدفعات]]</f>
        <v>14439.190000000002</v>
      </c>
    </row>
    <row r="251" spans="1:14" ht="23.25" customHeight="1" x14ac:dyDescent="0.3">
      <c r="A251" s="1"/>
      <c r="J251" s="1">
        <f>0.03*Table11819202310303132353839404148111518202837535657[[#This Row],[النولون]]</f>
        <v>0</v>
      </c>
      <c r="L25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51" s="1">
        <f>N250+Table11819202310303132353839404148111518202837535657[[#This Row],[اجمالي الفاتوره]]-Table11819202310303132353839404148111518202837535657[[#This Row],[الدفعات]]</f>
        <v>14439.190000000002</v>
      </c>
    </row>
    <row r="252" spans="1:14" ht="23.25" customHeight="1" x14ac:dyDescent="0.3">
      <c r="A252" s="1"/>
      <c r="J252" s="1">
        <f>0.03*Table11819202310303132353839404148111518202837535657[[#This Row],[النولون]]</f>
        <v>0</v>
      </c>
      <c r="L25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52" s="1">
        <f>N251+Table11819202310303132353839404148111518202837535657[[#This Row],[اجمالي الفاتوره]]-Table11819202310303132353839404148111518202837535657[[#This Row],[الدفعات]]</f>
        <v>14439.190000000002</v>
      </c>
    </row>
    <row r="253" spans="1:14" ht="23.25" customHeight="1" x14ac:dyDescent="0.3">
      <c r="A253" s="1"/>
      <c r="J253" s="1">
        <f>0.03*Table11819202310303132353839404148111518202837535657[[#This Row],[النولون]]</f>
        <v>0</v>
      </c>
      <c r="L25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53" s="1">
        <f>N252+Table11819202310303132353839404148111518202837535657[[#This Row],[اجمالي الفاتوره]]-Table11819202310303132353839404148111518202837535657[[#This Row],[الدفعات]]</f>
        <v>14439.190000000002</v>
      </c>
    </row>
    <row r="254" spans="1:14" ht="23.25" customHeight="1" x14ac:dyDescent="0.3">
      <c r="A254" s="1"/>
      <c r="J254" s="1">
        <f>0.03*Table11819202310303132353839404148111518202837535657[[#This Row],[النولون]]</f>
        <v>0</v>
      </c>
      <c r="L25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54" s="1">
        <f>N253+Table11819202310303132353839404148111518202837535657[[#This Row],[اجمالي الفاتوره]]-Table11819202310303132353839404148111518202837535657[[#This Row],[الدفعات]]</f>
        <v>14439.190000000002</v>
      </c>
    </row>
    <row r="255" spans="1:14" ht="23.25" customHeight="1" x14ac:dyDescent="0.3">
      <c r="A255" s="1"/>
      <c r="J255" s="1">
        <f>0.03*Table11819202310303132353839404148111518202837535657[[#This Row],[النولون]]</f>
        <v>0</v>
      </c>
      <c r="L25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55" s="1">
        <f>N254+Table11819202310303132353839404148111518202837535657[[#This Row],[اجمالي الفاتوره]]-Table11819202310303132353839404148111518202837535657[[#This Row],[الدفعات]]</f>
        <v>14439.190000000002</v>
      </c>
    </row>
    <row r="256" spans="1:14" ht="23.25" customHeight="1" x14ac:dyDescent="0.3">
      <c r="A256" s="1"/>
      <c r="J256" s="1">
        <f>0.03*Table11819202310303132353839404148111518202837535657[[#This Row],[النولون]]</f>
        <v>0</v>
      </c>
      <c r="L25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56" s="1">
        <f>N255+Table11819202310303132353839404148111518202837535657[[#This Row],[اجمالي الفاتوره]]-Table11819202310303132353839404148111518202837535657[[#This Row],[الدفعات]]</f>
        <v>14439.190000000002</v>
      </c>
    </row>
    <row r="257" spans="1:14" ht="23.25" customHeight="1" x14ac:dyDescent="0.3">
      <c r="A257" s="1"/>
      <c r="J257" s="1">
        <f>0.03*Table11819202310303132353839404148111518202837535657[[#This Row],[النولون]]</f>
        <v>0</v>
      </c>
      <c r="L25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57" s="1">
        <f>N256+Table11819202310303132353839404148111518202837535657[[#This Row],[اجمالي الفاتوره]]-Table11819202310303132353839404148111518202837535657[[#This Row],[الدفعات]]</f>
        <v>14439.190000000002</v>
      </c>
    </row>
    <row r="258" spans="1:14" ht="23.25" customHeight="1" x14ac:dyDescent="0.3">
      <c r="A258" s="1"/>
      <c r="J258" s="1">
        <f>0.03*Table11819202310303132353839404148111518202837535657[[#This Row],[النولون]]</f>
        <v>0</v>
      </c>
      <c r="L25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58" s="1">
        <f>N257+Table11819202310303132353839404148111518202837535657[[#This Row],[اجمالي الفاتوره]]-Table11819202310303132353839404148111518202837535657[[#This Row],[الدفعات]]</f>
        <v>14439.190000000002</v>
      </c>
    </row>
    <row r="259" spans="1:14" ht="23.25" customHeight="1" x14ac:dyDescent="0.3">
      <c r="A259" s="1"/>
      <c r="J259" s="1">
        <f>0.03*Table11819202310303132353839404148111518202837535657[[#This Row],[النولون]]</f>
        <v>0</v>
      </c>
      <c r="L25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59" s="1">
        <f>N258+Table11819202310303132353839404148111518202837535657[[#This Row],[اجمالي الفاتوره]]-Table11819202310303132353839404148111518202837535657[[#This Row],[الدفعات]]</f>
        <v>14439.190000000002</v>
      </c>
    </row>
    <row r="260" spans="1:14" ht="23.25" customHeight="1" x14ac:dyDescent="0.3">
      <c r="A260" s="1"/>
      <c r="J260" s="1">
        <f>0.03*Table11819202310303132353839404148111518202837535657[[#This Row],[النولون]]</f>
        <v>0</v>
      </c>
      <c r="L26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60" s="1">
        <f>N259+Table11819202310303132353839404148111518202837535657[[#This Row],[اجمالي الفاتوره]]-Table11819202310303132353839404148111518202837535657[[#This Row],[الدفعات]]</f>
        <v>14439.190000000002</v>
      </c>
    </row>
    <row r="261" spans="1:14" ht="23.25" customHeight="1" x14ac:dyDescent="0.3">
      <c r="A261" s="1"/>
      <c r="J261" s="1">
        <f>0.03*Table11819202310303132353839404148111518202837535657[[#This Row],[النولون]]</f>
        <v>0</v>
      </c>
      <c r="L26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61" s="1">
        <f>N260+Table11819202310303132353839404148111518202837535657[[#This Row],[اجمالي الفاتوره]]-Table11819202310303132353839404148111518202837535657[[#This Row],[الدفعات]]</f>
        <v>14439.190000000002</v>
      </c>
    </row>
    <row r="262" spans="1:14" ht="23.25" customHeight="1" x14ac:dyDescent="0.3">
      <c r="A262" s="1"/>
      <c r="J262" s="1">
        <f>0.03*Table11819202310303132353839404148111518202837535657[[#This Row],[النولون]]</f>
        <v>0</v>
      </c>
      <c r="L26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62" s="1">
        <f>N261+Table11819202310303132353839404148111518202837535657[[#This Row],[اجمالي الفاتوره]]-Table11819202310303132353839404148111518202837535657[[#This Row],[الدفعات]]</f>
        <v>14439.190000000002</v>
      </c>
    </row>
    <row r="263" spans="1:14" ht="23.25" customHeight="1" x14ac:dyDescent="0.3">
      <c r="A263" s="1"/>
      <c r="J263" s="1">
        <f>0.03*Table11819202310303132353839404148111518202837535657[[#This Row],[النولون]]</f>
        <v>0</v>
      </c>
      <c r="L26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63" s="1">
        <f>N262+Table11819202310303132353839404148111518202837535657[[#This Row],[اجمالي الفاتوره]]-Table11819202310303132353839404148111518202837535657[[#This Row],[الدفعات]]</f>
        <v>14439.190000000002</v>
      </c>
    </row>
    <row r="264" spans="1:14" ht="23.25" customHeight="1" x14ac:dyDescent="0.3">
      <c r="A264" s="1"/>
      <c r="J264" s="1">
        <f>0.03*Table11819202310303132353839404148111518202837535657[[#This Row],[النولون]]</f>
        <v>0</v>
      </c>
      <c r="L26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64" s="1">
        <f>N263+Table11819202310303132353839404148111518202837535657[[#This Row],[اجمالي الفاتوره]]-Table11819202310303132353839404148111518202837535657[[#This Row],[الدفعات]]</f>
        <v>14439.190000000002</v>
      </c>
    </row>
    <row r="265" spans="1:14" ht="23.25" customHeight="1" x14ac:dyDescent="0.3">
      <c r="A265" s="1"/>
      <c r="J265" s="1">
        <f>0.03*Table11819202310303132353839404148111518202837535657[[#This Row],[النولون]]</f>
        <v>0</v>
      </c>
      <c r="L26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65" s="1">
        <f>N264+Table11819202310303132353839404148111518202837535657[[#This Row],[اجمالي الفاتوره]]-Table11819202310303132353839404148111518202837535657[[#This Row],[الدفعات]]</f>
        <v>14439.190000000002</v>
      </c>
    </row>
    <row r="266" spans="1:14" ht="23.25" customHeight="1" x14ac:dyDescent="0.3">
      <c r="A266" s="1"/>
      <c r="J266" s="1">
        <f>0.03*Table11819202310303132353839404148111518202837535657[[#This Row],[النولون]]</f>
        <v>0</v>
      </c>
      <c r="L26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66" s="1">
        <f>N265+Table11819202310303132353839404148111518202837535657[[#This Row],[اجمالي الفاتوره]]-Table11819202310303132353839404148111518202837535657[[#This Row],[الدفعات]]</f>
        <v>14439.190000000002</v>
      </c>
    </row>
    <row r="267" spans="1:14" ht="23.25" customHeight="1" x14ac:dyDescent="0.3">
      <c r="A267" s="1"/>
      <c r="J267" s="1">
        <f>0.03*Table11819202310303132353839404148111518202837535657[[#This Row],[النولون]]</f>
        <v>0</v>
      </c>
      <c r="L26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67" s="1">
        <f>N266+Table11819202310303132353839404148111518202837535657[[#This Row],[اجمالي الفاتوره]]-Table11819202310303132353839404148111518202837535657[[#This Row],[الدفعات]]</f>
        <v>14439.190000000002</v>
      </c>
    </row>
    <row r="268" spans="1:14" ht="23.25" customHeight="1" x14ac:dyDescent="0.3">
      <c r="A268" s="1"/>
      <c r="J268" s="1">
        <f>0.03*Table11819202310303132353839404148111518202837535657[[#This Row],[النولون]]</f>
        <v>0</v>
      </c>
      <c r="L26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68" s="1">
        <f>N267+Table11819202310303132353839404148111518202837535657[[#This Row],[اجمالي الفاتوره]]-Table11819202310303132353839404148111518202837535657[[#This Row],[الدفعات]]</f>
        <v>14439.190000000002</v>
      </c>
    </row>
    <row r="269" spans="1:14" ht="23.25" customHeight="1" x14ac:dyDescent="0.3">
      <c r="A269" s="1"/>
      <c r="J269" s="1">
        <f>0.03*Table11819202310303132353839404148111518202837535657[[#This Row],[النولون]]</f>
        <v>0</v>
      </c>
      <c r="L26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69" s="1">
        <f>N268+Table11819202310303132353839404148111518202837535657[[#This Row],[اجمالي الفاتوره]]-Table11819202310303132353839404148111518202837535657[[#This Row],[الدفعات]]</f>
        <v>14439.190000000002</v>
      </c>
    </row>
    <row r="270" spans="1:14" ht="23.25" customHeight="1" x14ac:dyDescent="0.3">
      <c r="A270" s="1"/>
      <c r="J270" s="1">
        <f>0.03*Table11819202310303132353839404148111518202837535657[[#This Row],[النولون]]</f>
        <v>0</v>
      </c>
      <c r="L27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70" s="1">
        <f>N269+Table11819202310303132353839404148111518202837535657[[#This Row],[اجمالي الفاتوره]]-Table11819202310303132353839404148111518202837535657[[#This Row],[الدفعات]]</f>
        <v>14439.190000000002</v>
      </c>
    </row>
    <row r="271" spans="1:14" ht="23.25" customHeight="1" x14ac:dyDescent="0.3">
      <c r="A271" s="1"/>
      <c r="J271" s="1">
        <f>0.03*Table11819202310303132353839404148111518202837535657[[#This Row],[النولون]]</f>
        <v>0</v>
      </c>
      <c r="L27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71" s="1">
        <f>N270+Table11819202310303132353839404148111518202837535657[[#This Row],[اجمالي الفاتوره]]-Table11819202310303132353839404148111518202837535657[[#This Row],[الدفعات]]</f>
        <v>14439.190000000002</v>
      </c>
    </row>
    <row r="272" spans="1:14" ht="23.25" customHeight="1" x14ac:dyDescent="0.3">
      <c r="A272" s="1"/>
      <c r="J272" s="1">
        <f>0.03*Table11819202310303132353839404148111518202837535657[[#This Row],[النولون]]</f>
        <v>0</v>
      </c>
      <c r="L27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72" s="1">
        <f>N271+Table11819202310303132353839404148111518202837535657[[#This Row],[اجمالي الفاتوره]]-Table11819202310303132353839404148111518202837535657[[#This Row],[الدفعات]]</f>
        <v>14439.190000000002</v>
      </c>
    </row>
    <row r="273" spans="1:14" ht="23.25" customHeight="1" x14ac:dyDescent="0.3">
      <c r="A273" s="1"/>
      <c r="J273" s="1">
        <f>0.03*Table11819202310303132353839404148111518202837535657[[#This Row],[النولون]]</f>
        <v>0</v>
      </c>
      <c r="L27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73" s="1">
        <f>N272+Table11819202310303132353839404148111518202837535657[[#This Row],[اجمالي الفاتوره]]-Table11819202310303132353839404148111518202837535657[[#This Row],[الدفعات]]</f>
        <v>14439.190000000002</v>
      </c>
    </row>
    <row r="274" spans="1:14" ht="23.25" customHeight="1" x14ac:dyDescent="0.3">
      <c r="A274" s="1"/>
      <c r="J274" s="1">
        <f>0.03*Table11819202310303132353839404148111518202837535657[[#This Row],[النولون]]</f>
        <v>0</v>
      </c>
      <c r="L27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74" s="1">
        <f>N273+Table11819202310303132353839404148111518202837535657[[#This Row],[اجمالي الفاتوره]]-Table11819202310303132353839404148111518202837535657[[#This Row],[الدفعات]]</f>
        <v>14439.190000000002</v>
      </c>
    </row>
    <row r="275" spans="1:14" ht="23.25" customHeight="1" x14ac:dyDescent="0.3">
      <c r="A275" s="1"/>
      <c r="J275" s="1">
        <f>0.03*Table11819202310303132353839404148111518202837535657[[#This Row],[النولون]]</f>
        <v>0</v>
      </c>
      <c r="L27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75" s="1">
        <f>N274+Table11819202310303132353839404148111518202837535657[[#This Row],[اجمالي الفاتوره]]-Table11819202310303132353839404148111518202837535657[[#This Row],[الدفعات]]</f>
        <v>14439.190000000002</v>
      </c>
    </row>
    <row r="276" spans="1:14" ht="23.25" customHeight="1" x14ac:dyDescent="0.3">
      <c r="A276" s="1"/>
      <c r="J276" s="1">
        <f>0.03*Table11819202310303132353839404148111518202837535657[[#This Row],[النولون]]</f>
        <v>0</v>
      </c>
      <c r="L27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76" s="1">
        <f>N275+Table11819202310303132353839404148111518202837535657[[#This Row],[اجمالي الفاتوره]]-Table11819202310303132353839404148111518202837535657[[#This Row],[الدفعات]]</f>
        <v>14439.190000000002</v>
      </c>
    </row>
    <row r="277" spans="1:14" ht="23.25" customHeight="1" x14ac:dyDescent="0.3">
      <c r="A277" s="1"/>
      <c r="J277" s="1">
        <f>0.03*Table11819202310303132353839404148111518202837535657[[#This Row],[النولون]]</f>
        <v>0</v>
      </c>
      <c r="L27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77" s="1">
        <f>N276+Table11819202310303132353839404148111518202837535657[[#This Row],[اجمالي الفاتوره]]-Table11819202310303132353839404148111518202837535657[[#This Row],[الدفعات]]</f>
        <v>14439.190000000002</v>
      </c>
    </row>
    <row r="278" spans="1:14" ht="23.25" customHeight="1" x14ac:dyDescent="0.3">
      <c r="A278" s="1"/>
      <c r="J278" s="1">
        <f>0.03*Table11819202310303132353839404148111518202837535657[[#This Row],[النولون]]</f>
        <v>0</v>
      </c>
      <c r="L27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78" s="1">
        <f>N277+Table11819202310303132353839404148111518202837535657[[#This Row],[اجمالي الفاتوره]]-Table11819202310303132353839404148111518202837535657[[#This Row],[الدفعات]]</f>
        <v>14439.190000000002</v>
      </c>
    </row>
    <row r="279" spans="1:14" ht="23.25" customHeight="1" x14ac:dyDescent="0.3">
      <c r="A279" s="1"/>
      <c r="J279" s="1">
        <f>0.03*Table11819202310303132353839404148111518202837535657[[#This Row],[النولون]]</f>
        <v>0</v>
      </c>
      <c r="L27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79" s="1">
        <f>N278+Table11819202310303132353839404148111518202837535657[[#This Row],[اجمالي الفاتوره]]-Table11819202310303132353839404148111518202837535657[[#This Row],[الدفعات]]</f>
        <v>14439.190000000002</v>
      </c>
    </row>
    <row r="280" spans="1:14" ht="23.25" customHeight="1" x14ac:dyDescent="0.3">
      <c r="A280" s="1"/>
      <c r="J280" s="1">
        <f>0.03*Table11819202310303132353839404148111518202837535657[[#This Row],[النولون]]</f>
        <v>0</v>
      </c>
      <c r="L28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80" s="1">
        <f>N279+Table11819202310303132353839404148111518202837535657[[#This Row],[اجمالي الفاتوره]]-Table11819202310303132353839404148111518202837535657[[#This Row],[الدفعات]]</f>
        <v>14439.190000000002</v>
      </c>
    </row>
    <row r="281" spans="1:14" ht="23.25" customHeight="1" x14ac:dyDescent="0.3">
      <c r="A281" s="1"/>
      <c r="J281" s="1">
        <f>0.03*Table11819202310303132353839404148111518202837535657[[#This Row],[النولون]]</f>
        <v>0</v>
      </c>
      <c r="L28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81" s="1">
        <f>N280+Table11819202310303132353839404148111518202837535657[[#This Row],[اجمالي الفاتوره]]-Table11819202310303132353839404148111518202837535657[[#This Row],[الدفعات]]</f>
        <v>14439.190000000002</v>
      </c>
    </row>
    <row r="282" spans="1:14" ht="23.25" customHeight="1" x14ac:dyDescent="0.3">
      <c r="A282" s="1"/>
      <c r="J282" s="1">
        <f>0.03*Table11819202310303132353839404148111518202837535657[[#This Row],[النولون]]</f>
        <v>0</v>
      </c>
      <c r="L28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82" s="1">
        <f>N281+Table11819202310303132353839404148111518202837535657[[#This Row],[اجمالي الفاتوره]]-Table11819202310303132353839404148111518202837535657[[#This Row],[الدفعات]]</f>
        <v>14439.190000000002</v>
      </c>
    </row>
    <row r="283" spans="1:14" ht="23.25" customHeight="1" x14ac:dyDescent="0.3">
      <c r="A283" s="1"/>
      <c r="J283" s="1">
        <f>0.03*Table11819202310303132353839404148111518202837535657[[#This Row],[النولون]]</f>
        <v>0</v>
      </c>
      <c r="L28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83" s="1">
        <f>N282+Table11819202310303132353839404148111518202837535657[[#This Row],[اجمالي الفاتوره]]-Table11819202310303132353839404148111518202837535657[[#This Row],[الدفعات]]</f>
        <v>14439.190000000002</v>
      </c>
    </row>
    <row r="284" spans="1:14" ht="23.25" customHeight="1" x14ac:dyDescent="0.3">
      <c r="A284" s="1"/>
      <c r="J284" s="1">
        <f>0.03*Table11819202310303132353839404148111518202837535657[[#This Row],[النولون]]</f>
        <v>0</v>
      </c>
      <c r="L28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84" s="1">
        <f>N283+Table11819202310303132353839404148111518202837535657[[#This Row],[اجمالي الفاتوره]]-Table11819202310303132353839404148111518202837535657[[#This Row],[الدفعات]]</f>
        <v>14439.190000000002</v>
      </c>
    </row>
    <row r="285" spans="1:14" ht="23.25" customHeight="1" x14ac:dyDescent="0.3">
      <c r="A285" s="1"/>
      <c r="J285" s="1">
        <f>0.03*Table11819202310303132353839404148111518202837535657[[#This Row],[النولون]]</f>
        <v>0</v>
      </c>
      <c r="L28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85" s="1">
        <f>N284+Table11819202310303132353839404148111518202837535657[[#This Row],[اجمالي الفاتوره]]-Table11819202310303132353839404148111518202837535657[[#This Row],[الدفعات]]</f>
        <v>14439.190000000002</v>
      </c>
    </row>
    <row r="286" spans="1:14" ht="23.25" customHeight="1" x14ac:dyDescent="0.3">
      <c r="A286" s="1"/>
      <c r="J286" s="1">
        <f>0.03*Table11819202310303132353839404148111518202837535657[[#This Row],[النولون]]</f>
        <v>0</v>
      </c>
      <c r="L28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86" s="1">
        <f>N285+Table11819202310303132353839404148111518202837535657[[#This Row],[اجمالي الفاتوره]]-Table11819202310303132353839404148111518202837535657[[#This Row],[الدفعات]]</f>
        <v>14439.190000000002</v>
      </c>
    </row>
    <row r="287" spans="1:14" ht="23.25" customHeight="1" x14ac:dyDescent="0.3">
      <c r="A287" s="1"/>
      <c r="J287" s="1">
        <f>0.03*Table11819202310303132353839404148111518202837535657[[#This Row],[النولون]]</f>
        <v>0</v>
      </c>
      <c r="L28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87" s="1">
        <f>N286+Table11819202310303132353839404148111518202837535657[[#This Row],[اجمالي الفاتوره]]-Table11819202310303132353839404148111518202837535657[[#This Row],[الدفعات]]</f>
        <v>14439.190000000002</v>
      </c>
    </row>
    <row r="288" spans="1:14" ht="23.25" customHeight="1" x14ac:dyDescent="0.3">
      <c r="A288" s="1"/>
      <c r="J288" s="1">
        <f>0.03*Table11819202310303132353839404148111518202837535657[[#This Row],[النولون]]</f>
        <v>0</v>
      </c>
      <c r="L28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88" s="1">
        <f>N287+Table11819202310303132353839404148111518202837535657[[#This Row],[اجمالي الفاتوره]]-Table11819202310303132353839404148111518202837535657[[#This Row],[الدفعات]]</f>
        <v>14439.190000000002</v>
      </c>
    </row>
    <row r="289" spans="1:14" ht="23.25" customHeight="1" x14ac:dyDescent="0.3">
      <c r="A289" s="1"/>
      <c r="J289" s="1">
        <f>0.03*Table11819202310303132353839404148111518202837535657[[#This Row],[النولون]]</f>
        <v>0</v>
      </c>
      <c r="L28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89" s="1">
        <f>N288+Table11819202310303132353839404148111518202837535657[[#This Row],[اجمالي الفاتوره]]-Table11819202310303132353839404148111518202837535657[[#This Row],[الدفعات]]</f>
        <v>14439.190000000002</v>
      </c>
    </row>
    <row r="290" spans="1:14" ht="23.25" customHeight="1" x14ac:dyDescent="0.3">
      <c r="A290" s="1"/>
      <c r="J290" s="1">
        <f>0.03*Table11819202310303132353839404148111518202837535657[[#This Row],[النولون]]</f>
        <v>0</v>
      </c>
      <c r="L29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90" s="1">
        <f>N289+Table11819202310303132353839404148111518202837535657[[#This Row],[اجمالي الفاتوره]]-Table11819202310303132353839404148111518202837535657[[#This Row],[الدفعات]]</f>
        <v>14439.190000000002</v>
      </c>
    </row>
    <row r="291" spans="1:14" ht="23.25" customHeight="1" x14ac:dyDescent="0.3">
      <c r="A291" s="1"/>
      <c r="J291" s="1">
        <f>0.03*Table11819202310303132353839404148111518202837535657[[#This Row],[النولون]]</f>
        <v>0</v>
      </c>
      <c r="L29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91" s="1">
        <f>N290+Table11819202310303132353839404148111518202837535657[[#This Row],[اجمالي الفاتوره]]-Table11819202310303132353839404148111518202837535657[[#This Row],[الدفعات]]</f>
        <v>14439.190000000002</v>
      </c>
    </row>
    <row r="292" spans="1:14" ht="23.25" customHeight="1" x14ac:dyDescent="0.3">
      <c r="A292" s="1"/>
      <c r="J292" s="1">
        <f>0.03*Table11819202310303132353839404148111518202837535657[[#This Row],[النولون]]</f>
        <v>0</v>
      </c>
      <c r="L29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92" s="1">
        <f>N291+Table11819202310303132353839404148111518202837535657[[#This Row],[اجمالي الفاتوره]]-Table11819202310303132353839404148111518202837535657[[#This Row],[الدفعات]]</f>
        <v>14439.190000000002</v>
      </c>
    </row>
    <row r="293" spans="1:14" ht="23.25" customHeight="1" x14ac:dyDescent="0.3">
      <c r="A293" s="1"/>
      <c r="J293" s="1">
        <f>0.03*Table11819202310303132353839404148111518202837535657[[#This Row],[النولون]]</f>
        <v>0</v>
      </c>
      <c r="L29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93" s="1">
        <f>N292+Table11819202310303132353839404148111518202837535657[[#This Row],[اجمالي الفاتوره]]-Table11819202310303132353839404148111518202837535657[[#This Row],[الدفعات]]</f>
        <v>14439.190000000002</v>
      </c>
    </row>
    <row r="294" spans="1:14" ht="23.25" customHeight="1" x14ac:dyDescent="0.3">
      <c r="A294" s="1"/>
      <c r="J294" s="1">
        <f>0.03*Table11819202310303132353839404148111518202837535657[[#This Row],[النولون]]</f>
        <v>0</v>
      </c>
      <c r="L29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94" s="1">
        <f>N293+Table11819202310303132353839404148111518202837535657[[#This Row],[اجمالي الفاتوره]]-Table11819202310303132353839404148111518202837535657[[#This Row],[الدفعات]]</f>
        <v>14439.190000000002</v>
      </c>
    </row>
    <row r="295" spans="1:14" ht="23.25" customHeight="1" x14ac:dyDescent="0.3">
      <c r="A295" s="1"/>
      <c r="J295" s="1">
        <f>0.03*Table11819202310303132353839404148111518202837535657[[#This Row],[النولون]]</f>
        <v>0</v>
      </c>
      <c r="L29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95" s="1">
        <f>N294+Table11819202310303132353839404148111518202837535657[[#This Row],[اجمالي الفاتوره]]-Table11819202310303132353839404148111518202837535657[[#This Row],[الدفعات]]</f>
        <v>14439.190000000002</v>
      </c>
    </row>
    <row r="296" spans="1:14" ht="23.25" customHeight="1" x14ac:dyDescent="0.3">
      <c r="A296" s="1"/>
      <c r="J296" s="1">
        <f>0.03*Table11819202310303132353839404148111518202837535657[[#This Row],[النولون]]</f>
        <v>0</v>
      </c>
      <c r="L29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96" s="1">
        <f>N295+Table11819202310303132353839404148111518202837535657[[#This Row],[اجمالي الفاتوره]]-Table11819202310303132353839404148111518202837535657[[#This Row],[الدفعات]]</f>
        <v>14439.190000000002</v>
      </c>
    </row>
    <row r="297" spans="1:14" ht="23.25" customHeight="1" x14ac:dyDescent="0.3">
      <c r="A297" s="1"/>
      <c r="J297" s="1">
        <f>0.03*Table11819202310303132353839404148111518202837535657[[#This Row],[النولون]]</f>
        <v>0</v>
      </c>
      <c r="L29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97" s="1">
        <f>N296+Table11819202310303132353839404148111518202837535657[[#This Row],[اجمالي الفاتوره]]-Table11819202310303132353839404148111518202837535657[[#This Row],[الدفعات]]</f>
        <v>14439.190000000002</v>
      </c>
    </row>
    <row r="298" spans="1:14" ht="23.25" customHeight="1" x14ac:dyDescent="0.3">
      <c r="A298" s="1"/>
      <c r="J298" s="1">
        <f>0.03*Table11819202310303132353839404148111518202837535657[[#This Row],[النولون]]</f>
        <v>0</v>
      </c>
      <c r="L29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98" s="1">
        <f>N297+Table11819202310303132353839404148111518202837535657[[#This Row],[اجمالي الفاتوره]]-Table11819202310303132353839404148111518202837535657[[#This Row],[الدفعات]]</f>
        <v>14439.190000000002</v>
      </c>
    </row>
    <row r="299" spans="1:14" ht="23.25" customHeight="1" x14ac:dyDescent="0.3">
      <c r="A299" s="1"/>
      <c r="J299" s="1">
        <f>0.03*Table11819202310303132353839404148111518202837535657[[#This Row],[النولون]]</f>
        <v>0</v>
      </c>
      <c r="L29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299" s="1">
        <f>N298+Table11819202310303132353839404148111518202837535657[[#This Row],[اجمالي الفاتوره]]-Table11819202310303132353839404148111518202837535657[[#This Row],[الدفعات]]</f>
        <v>14439.190000000002</v>
      </c>
    </row>
    <row r="300" spans="1:14" ht="23.25" customHeight="1" x14ac:dyDescent="0.3">
      <c r="A300" s="1"/>
      <c r="J300" s="1">
        <f>0.03*Table11819202310303132353839404148111518202837535657[[#This Row],[النولون]]</f>
        <v>0</v>
      </c>
      <c r="L30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00" s="1">
        <f>N299+Table11819202310303132353839404148111518202837535657[[#This Row],[اجمالي الفاتوره]]-Table11819202310303132353839404148111518202837535657[[#This Row],[الدفعات]]</f>
        <v>14439.190000000002</v>
      </c>
    </row>
    <row r="301" spans="1:14" ht="23.25" customHeight="1" x14ac:dyDescent="0.3">
      <c r="A301" s="1"/>
      <c r="J301" s="1">
        <f>0.03*Table11819202310303132353839404148111518202837535657[[#This Row],[النولون]]</f>
        <v>0</v>
      </c>
      <c r="L30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01" s="1">
        <f>N300+Table11819202310303132353839404148111518202837535657[[#This Row],[اجمالي الفاتوره]]-Table11819202310303132353839404148111518202837535657[[#This Row],[الدفعات]]</f>
        <v>14439.190000000002</v>
      </c>
    </row>
    <row r="302" spans="1:14" ht="23.25" customHeight="1" x14ac:dyDescent="0.3">
      <c r="A302" s="1"/>
      <c r="J302" s="1">
        <f>0.03*Table11819202310303132353839404148111518202837535657[[#This Row],[النولون]]</f>
        <v>0</v>
      </c>
      <c r="L30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02" s="1">
        <f>N301+Table11819202310303132353839404148111518202837535657[[#This Row],[اجمالي الفاتوره]]-Table11819202310303132353839404148111518202837535657[[#This Row],[الدفعات]]</f>
        <v>14439.190000000002</v>
      </c>
    </row>
    <row r="303" spans="1:14" ht="23.25" customHeight="1" x14ac:dyDescent="0.3">
      <c r="A303" s="1"/>
      <c r="J303" s="1">
        <f>0.03*Table11819202310303132353839404148111518202837535657[[#This Row],[النولون]]</f>
        <v>0</v>
      </c>
      <c r="L30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03" s="1">
        <f>N302+Table11819202310303132353839404148111518202837535657[[#This Row],[اجمالي الفاتوره]]-Table11819202310303132353839404148111518202837535657[[#This Row],[الدفعات]]</f>
        <v>14439.190000000002</v>
      </c>
    </row>
    <row r="304" spans="1:14" ht="23.25" customHeight="1" x14ac:dyDescent="0.3">
      <c r="A304" s="1"/>
      <c r="J304" s="1">
        <f>0.03*Table11819202310303132353839404148111518202837535657[[#This Row],[النولون]]</f>
        <v>0</v>
      </c>
      <c r="L30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04" s="1">
        <f>N303+Table11819202310303132353839404148111518202837535657[[#This Row],[اجمالي الفاتوره]]-Table11819202310303132353839404148111518202837535657[[#This Row],[الدفعات]]</f>
        <v>14439.190000000002</v>
      </c>
    </row>
    <row r="305" spans="1:14" ht="23.25" customHeight="1" x14ac:dyDescent="0.3">
      <c r="A305" s="1"/>
      <c r="J305" s="1">
        <f>0.03*Table11819202310303132353839404148111518202837535657[[#This Row],[النولون]]</f>
        <v>0</v>
      </c>
      <c r="L30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05" s="1">
        <f>N304+Table11819202310303132353839404148111518202837535657[[#This Row],[اجمالي الفاتوره]]-Table11819202310303132353839404148111518202837535657[[#This Row],[الدفعات]]</f>
        <v>14439.190000000002</v>
      </c>
    </row>
    <row r="306" spans="1:14" ht="23.25" customHeight="1" x14ac:dyDescent="0.3">
      <c r="A306" s="1"/>
      <c r="J306" s="1">
        <f>0.03*Table11819202310303132353839404148111518202837535657[[#This Row],[النولون]]</f>
        <v>0</v>
      </c>
      <c r="L30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06" s="1">
        <f>N305+Table11819202310303132353839404148111518202837535657[[#This Row],[اجمالي الفاتوره]]-Table11819202310303132353839404148111518202837535657[[#This Row],[الدفعات]]</f>
        <v>14439.190000000002</v>
      </c>
    </row>
    <row r="307" spans="1:14" ht="23.25" customHeight="1" x14ac:dyDescent="0.3">
      <c r="A307" s="1"/>
      <c r="J307" s="1">
        <f>0.03*Table11819202310303132353839404148111518202837535657[[#This Row],[النولون]]</f>
        <v>0</v>
      </c>
      <c r="L30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07" s="1">
        <f>N306+Table11819202310303132353839404148111518202837535657[[#This Row],[اجمالي الفاتوره]]-Table11819202310303132353839404148111518202837535657[[#This Row],[الدفعات]]</f>
        <v>14439.190000000002</v>
      </c>
    </row>
    <row r="308" spans="1:14" ht="23.25" customHeight="1" x14ac:dyDescent="0.3">
      <c r="A308" s="1"/>
      <c r="J308" s="1">
        <f>0.03*Table11819202310303132353839404148111518202837535657[[#This Row],[النولون]]</f>
        <v>0</v>
      </c>
      <c r="L30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08" s="1">
        <f>N307+Table11819202310303132353839404148111518202837535657[[#This Row],[اجمالي الفاتوره]]-Table11819202310303132353839404148111518202837535657[[#This Row],[الدفعات]]</f>
        <v>14439.190000000002</v>
      </c>
    </row>
    <row r="309" spans="1:14" ht="23.25" customHeight="1" x14ac:dyDescent="0.3">
      <c r="A309" s="1"/>
      <c r="J309" s="1">
        <f>0.03*Table11819202310303132353839404148111518202837535657[[#This Row],[النولون]]</f>
        <v>0</v>
      </c>
      <c r="L30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09" s="1">
        <f>N308+Table11819202310303132353839404148111518202837535657[[#This Row],[اجمالي الفاتوره]]-Table11819202310303132353839404148111518202837535657[[#This Row],[الدفعات]]</f>
        <v>14439.190000000002</v>
      </c>
    </row>
    <row r="310" spans="1:14" ht="23.25" customHeight="1" x14ac:dyDescent="0.3">
      <c r="A310" s="1"/>
      <c r="J310" s="1">
        <f>0.03*Table11819202310303132353839404148111518202837535657[[#This Row],[النولون]]</f>
        <v>0</v>
      </c>
      <c r="L31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10" s="1">
        <f>N309+Table11819202310303132353839404148111518202837535657[[#This Row],[اجمالي الفاتوره]]-Table11819202310303132353839404148111518202837535657[[#This Row],[الدفعات]]</f>
        <v>14439.190000000002</v>
      </c>
    </row>
    <row r="311" spans="1:14" ht="23.25" customHeight="1" x14ac:dyDescent="0.3">
      <c r="A311" s="1"/>
      <c r="J311" s="1">
        <f>0.03*Table11819202310303132353839404148111518202837535657[[#This Row],[النولون]]</f>
        <v>0</v>
      </c>
      <c r="L31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11" s="1">
        <f>N310+Table11819202310303132353839404148111518202837535657[[#This Row],[اجمالي الفاتوره]]-Table11819202310303132353839404148111518202837535657[[#This Row],[الدفعات]]</f>
        <v>14439.190000000002</v>
      </c>
    </row>
    <row r="312" spans="1:14" ht="23.25" customHeight="1" x14ac:dyDescent="0.3">
      <c r="A312" s="1"/>
      <c r="J312" s="1">
        <f>0.03*Table11819202310303132353839404148111518202837535657[[#This Row],[النولون]]</f>
        <v>0</v>
      </c>
      <c r="L31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12" s="1">
        <f>N311+Table11819202310303132353839404148111518202837535657[[#This Row],[اجمالي الفاتوره]]-Table11819202310303132353839404148111518202837535657[[#This Row],[الدفعات]]</f>
        <v>14439.190000000002</v>
      </c>
    </row>
    <row r="313" spans="1:14" ht="23.25" customHeight="1" x14ac:dyDescent="0.3">
      <c r="A313" s="1"/>
      <c r="J313" s="1">
        <f>0.03*Table11819202310303132353839404148111518202837535657[[#This Row],[النولون]]</f>
        <v>0</v>
      </c>
      <c r="L31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13" s="1">
        <f>N312+Table11819202310303132353839404148111518202837535657[[#This Row],[اجمالي الفاتوره]]-Table11819202310303132353839404148111518202837535657[[#This Row],[الدفعات]]</f>
        <v>14439.190000000002</v>
      </c>
    </row>
    <row r="314" spans="1:14" ht="23.25" customHeight="1" x14ac:dyDescent="0.3">
      <c r="A314" s="1"/>
      <c r="J314" s="1">
        <f>0.03*Table11819202310303132353839404148111518202837535657[[#This Row],[النولون]]</f>
        <v>0</v>
      </c>
      <c r="L31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14" s="1">
        <f>N313+Table11819202310303132353839404148111518202837535657[[#This Row],[اجمالي الفاتوره]]-Table11819202310303132353839404148111518202837535657[[#This Row],[الدفعات]]</f>
        <v>14439.190000000002</v>
      </c>
    </row>
    <row r="315" spans="1:14" ht="23.25" customHeight="1" x14ac:dyDescent="0.3">
      <c r="A315" s="1"/>
      <c r="J315" s="1">
        <f>0.03*Table11819202310303132353839404148111518202837535657[[#This Row],[النولون]]</f>
        <v>0</v>
      </c>
      <c r="L31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15" s="1">
        <f>N314+Table11819202310303132353839404148111518202837535657[[#This Row],[اجمالي الفاتوره]]-Table11819202310303132353839404148111518202837535657[[#This Row],[الدفعات]]</f>
        <v>14439.190000000002</v>
      </c>
    </row>
    <row r="316" spans="1:14" ht="23.25" customHeight="1" x14ac:dyDescent="0.3">
      <c r="A316" s="1"/>
      <c r="J316" s="1">
        <f>0.03*Table11819202310303132353839404148111518202837535657[[#This Row],[النولون]]</f>
        <v>0</v>
      </c>
      <c r="L31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16" s="1">
        <f>N315+Table11819202310303132353839404148111518202837535657[[#This Row],[اجمالي الفاتوره]]-Table11819202310303132353839404148111518202837535657[[#This Row],[الدفعات]]</f>
        <v>14439.190000000002</v>
      </c>
    </row>
    <row r="317" spans="1:14" ht="23.25" customHeight="1" x14ac:dyDescent="0.3">
      <c r="A317" s="1"/>
      <c r="J317" s="1">
        <f>0.03*Table11819202310303132353839404148111518202837535657[[#This Row],[النولون]]</f>
        <v>0</v>
      </c>
      <c r="L31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17" s="1">
        <f>N316+Table11819202310303132353839404148111518202837535657[[#This Row],[اجمالي الفاتوره]]-Table11819202310303132353839404148111518202837535657[[#This Row],[الدفعات]]</f>
        <v>14439.190000000002</v>
      </c>
    </row>
    <row r="318" spans="1:14" ht="23.25" customHeight="1" x14ac:dyDescent="0.3">
      <c r="A318" s="1"/>
      <c r="J318" s="1">
        <f>0.03*Table11819202310303132353839404148111518202837535657[[#This Row],[النولون]]</f>
        <v>0</v>
      </c>
      <c r="L31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18" s="1">
        <f>N317+Table11819202310303132353839404148111518202837535657[[#This Row],[اجمالي الفاتوره]]-Table11819202310303132353839404148111518202837535657[[#This Row],[الدفعات]]</f>
        <v>14439.190000000002</v>
      </c>
    </row>
    <row r="319" spans="1:14" ht="23.25" customHeight="1" x14ac:dyDescent="0.3">
      <c r="A319" s="1"/>
      <c r="J319" s="1">
        <f>0.03*Table11819202310303132353839404148111518202837535657[[#This Row],[النولون]]</f>
        <v>0</v>
      </c>
      <c r="L31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19" s="1">
        <f>N318+Table11819202310303132353839404148111518202837535657[[#This Row],[اجمالي الفاتوره]]-Table11819202310303132353839404148111518202837535657[[#This Row],[الدفعات]]</f>
        <v>14439.190000000002</v>
      </c>
    </row>
    <row r="320" spans="1:14" ht="23.25" customHeight="1" x14ac:dyDescent="0.3">
      <c r="A320" s="1"/>
      <c r="J320" s="1">
        <f>0.03*Table11819202310303132353839404148111518202837535657[[#This Row],[النولون]]</f>
        <v>0</v>
      </c>
      <c r="L32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20" s="1">
        <f>N319+Table11819202310303132353839404148111518202837535657[[#This Row],[اجمالي الفاتوره]]-Table11819202310303132353839404148111518202837535657[[#This Row],[الدفعات]]</f>
        <v>14439.190000000002</v>
      </c>
    </row>
    <row r="321" spans="1:14" ht="23.25" customHeight="1" x14ac:dyDescent="0.3">
      <c r="A321" s="1"/>
      <c r="J321" s="1">
        <f>0.03*Table11819202310303132353839404148111518202837535657[[#This Row],[النولون]]</f>
        <v>0</v>
      </c>
      <c r="L32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21" s="1">
        <f>N320+Table11819202310303132353839404148111518202837535657[[#This Row],[اجمالي الفاتوره]]-Table11819202310303132353839404148111518202837535657[[#This Row],[الدفعات]]</f>
        <v>14439.190000000002</v>
      </c>
    </row>
    <row r="322" spans="1:14" ht="23.25" customHeight="1" x14ac:dyDescent="0.3">
      <c r="A322" s="1"/>
      <c r="J322" s="1">
        <f>0.03*Table11819202310303132353839404148111518202837535657[[#This Row],[النولون]]</f>
        <v>0</v>
      </c>
      <c r="L32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22" s="1">
        <f>N321+Table11819202310303132353839404148111518202837535657[[#This Row],[اجمالي الفاتوره]]-Table11819202310303132353839404148111518202837535657[[#This Row],[الدفعات]]</f>
        <v>14439.190000000002</v>
      </c>
    </row>
    <row r="323" spans="1:14" ht="23.25" customHeight="1" x14ac:dyDescent="0.3">
      <c r="A323" s="1"/>
      <c r="J323" s="1">
        <f>0.03*Table11819202310303132353839404148111518202837535657[[#This Row],[النولون]]</f>
        <v>0</v>
      </c>
      <c r="L32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23" s="1">
        <f>N322+Table11819202310303132353839404148111518202837535657[[#This Row],[اجمالي الفاتوره]]-Table11819202310303132353839404148111518202837535657[[#This Row],[الدفعات]]</f>
        <v>14439.190000000002</v>
      </c>
    </row>
    <row r="324" spans="1:14" ht="23.25" customHeight="1" x14ac:dyDescent="0.3">
      <c r="A324" s="1"/>
      <c r="J324" s="1">
        <f>0.03*Table11819202310303132353839404148111518202837535657[[#This Row],[النولون]]</f>
        <v>0</v>
      </c>
      <c r="L32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24" s="1">
        <f>N323+Table11819202310303132353839404148111518202837535657[[#This Row],[اجمالي الفاتوره]]-Table11819202310303132353839404148111518202837535657[[#This Row],[الدفعات]]</f>
        <v>14439.190000000002</v>
      </c>
    </row>
    <row r="325" spans="1:14" ht="23.25" customHeight="1" x14ac:dyDescent="0.3">
      <c r="A325" s="1"/>
      <c r="J325" s="1">
        <f>0.03*Table11819202310303132353839404148111518202837535657[[#This Row],[النولون]]</f>
        <v>0</v>
      </c>
      <c r="L32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25" s="1">
        <f>N324+Table11819202310303132353839404148111518202837535657[[#This Row],[اجمالي الفاتوره]]-Table11819202310303132353839404148111518202837535657[[#This Row],[الدفعات]]</f>
        <v>14439.190000000002</v>
      </c>
    </row>
    <row r="326" spans="1:14" ht="23.25" customHeight="1" x14ac:dyDescent="0.3">
      <c r="A326" s="1"/>
      <c r="J326" s="1">
        <f>0.03*Table11819202310303132353839404148111518202837535657[[#This Row],[النولون]]</f>
        <v>0</v>
      </c>
      <c r="L32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26" s="1">
        <f>N325+Table11819202310303132353839404148111518202837535657[[#This Row],[اجمالي الفاتوره]]-Table11819202310303132353839404148111518202837535657[[#This Row],[الدفعات]]</f>
        <v>14439.190000000002</v>
      </c>
    </row>
    <row r="327" spans="1:14" ht="23.25" customHeight="1" x14ac:dyDescent="0.3">
      <c r="A327" s="1"/>
      <c r="J327" s="1">
        <f>0.03*Table11819202310303132353839404148111518202837535657[[#This Row],[النولون]]</f>
        <v>0</v>
      </c>
      <c r="L32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27" s="1">
        <f>N326+Table11819202310303132353839404148111518202837535657[[#This Row],[اجمالي الفاتوره]]-Table11819202310303132353839404148111518202837535657[[#This Row],[الدفعات]]</f>
        <v>14439.190000000002</v>
      </c>
    </row>
    <row r="328" spans="1:14" ht="23.25" customHeight="1" x14ac:dyDescent="0.3">
      <c r="A328" s="1"/>
      <c r="J328" s="1">
        <f>0.03*Table11819202310303132353839404148111518202837535657[[#This Row],[النولون]]</f>
        <v>0</v>
      </c>
      <c r="L32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28" s="1">
        <f>N327+Table11819202310303132353839404148111518202837535657[[#This Row],[اجمالي الفاتوره]]-Table11819202310303132353839404148111518202837535657[[#This Row],[الدفعات]]</f>
        <v>14439.190000000002</v>
      </c>
    </row>
    <row r="329" spans="1:14" ht="23.25" customHeight="1" x14ac:dyDescent="0.3">
      <c r="A329" s="1"/>
      <c r="J329" s="1">
        <f>0.03*Table11819202310303132353839404148111518202837535657[[#This Row],[النولون]]</f>
        <v>0</v>
      </c>
      <c r="L32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29" s="1">
        <f>N328+Table11819202310303132353839404148111518202837535657[[#This Row],[اجمالي الفاتوره]]-Table11819202310303132353839404148111518202837535657[[#This Row],[الدفعات]]</f>
        <v>14439.190000000002</v>
      </c>
    </row>
    <row r="330" spans="1:14" ht="23.25" customHeight="1" x14ac:dyDescent="0.3">
      <c r="A330" s="1"/>
      <c r="J330" s="1">
        <f>0.03*Table11819202310303132353839404148111518202837535657[[#This Row],[النولون]]</f>
        <v>0</v>
      </c>
      <c r="L330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30" s="1">
        <f>N329+Table11819202310303132353839404148111518202837535657[[#This Row],[اجمالي الفاتوره]]-Table11819202310303132353839404148111518202837535657[[#This Row],[الدفعات]]</f>
        <v>14439.190000000002</v>
      </c>
    </row>
    <row r="331" spans="1:14" ht="23.25" customHeight="1" x14ac:dyDescent="0.3">
      <c r="A331" s="1"/>
      <c r="J331" s="1">
        <f>0.03*Table11819202310303132353839404148111518202837535657[[#This Row],[النولون]]</f>
        <v>0</v>
      </c>
      <c r="L331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31" s="1">
        <f>N330+Table11819202310303132353839404148111518202837535657[[#This Row],[اجمالي الفاتوره]]-Table11819202310303132353839404148111518202837535657[[#This Row],[الدفعات]]</f>
        <v>14439.190000000002</v>
      </c>
    </row>
    <row r="332" spans="1:14" ht="23.25" customHeight="1" x14ac:dyDescent="0.3">
      <c r="A332" s="1"/>
      <c r="J332" s="1">
        <f>0.03*Table11819202310303132353839404148111518202837535657[[#This Row],[النولون]]</f>
        <v>0</v>
      </c>
      <c r="L332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32" s="1">
        <f>N331+Table11819202310303132353839404148111518202837535657[[#This Row],[اجمالي الفاتوره]]-Table11819202310303132353839404148111518202837535657[[#This Row],[الدفعات]]</f>
        <v>14439.190000000002</v>
      </c>
    </row>
    <row r="333" spans="1:14" ht="23.25" customHeight="1" x14ac:dyDescent="0.3">
      <c r="A333" s="1"/>
      <c r="J333" s="1">
        <f>0.03*Table11819202310303132353839404148111518202837535657[[#This Row],[النولون]]</f>
        <v>0</v>
      </c>
      <c r="L333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33" s="1">
        <f>N332+Table11819202310303132353839404148111518202837535657[[#This Row],[اجمالي الفاتوره]]-Table11819202310303132353839404148111518202837535657[[#This Row],[الدفعات]]</f>
        <v>14439.190000000002</v>
      </c>
    </row>
    <row r="334" spans="1:14" ht="23.25" customHeight="1" x14ac:dyDescent="0.3">
      <c r="A334" s="1"/>
      <c r="J334" s="1">
        <f>0.03*Table11819202310303132353839404148111518202837535657[[#This Row],[النولون]]</f>
        <v>0</v>
      </c>
      <c r="L334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34" s="1">
        <f>N333+Table11819202310303132353839404148111518202837535657[[#This Row],[اجمالي الفاتوره]]-Table11819202310303132353839404148111518202837535657[[#This Row],[الدفعات]]</f>
        <v>14439.190000000002</v>
      </c>
    </row>
    <row r="335" spans="1:14" ht="23.25" customHeight="1" x14ac:dyDescent="0.3">
      <c r="A335" s="1"/>
      <c r="J335" s="1">
        <f>0.03*Table11819202310303132353839404148111518202837535657[[#This Row],[النولون]]</f>
        <v>0</v>
      </c>
      <c r="L335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35" s="1">
        <f>N334+Table11819202310303132353839404148111518202837535657[[#This Row],[اجمالي الفاتوره]]-Table11819202310303132353839404148111518202837535657[[#This Row],[الدفعات]]</f>
        <v>14439.190000000002</v>
      </c>
    </row>
    <row r="336" spans="1:14" ht="23.25" customHeight="1" x14ac:dyDescent="0.3">
      <c r="A336" s="1"/>
      <c r="J336" s="1">
        <f>0.03*Table11819202310303132353839404148111518202837535657[[#This Row],[النولون]]</f>
        <v>0</v>
      </c>
      <c r="L336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36" s="1">
        <f>N335+Table11819202310303132353839404148111518202837535657[[#This Row],[اجمالي الفاتوره]]-Table11819202310303132353839404148111518202837535657[[#This Row],[الدفعات]]</f>
        <v>14439.190000000002</v>
      </c>
    </row>
    <row r="337" spans="1:14" ht="23.25" customHeight="1" x14ac:dyDescent="0.3">
      <c r="A337" s="1"/>
      <c r="J337" s="1">
        <f>0.03*Table11819202310303132353839404148111518202837535657[[#This Row],[النولون]]</f>
        <v>0</v>
      </c>
      <c r="L337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37" s="1">
        <f>N336+Table11819202310303132353839404148111518202837535657[[#This Row],[اجمالي الفاتوره]]-Table11819202310303132353839404148111518202837535657[[#This Row],[الدفعات]]</f>
        <v>14439.190000000002</v>
      </c>
    </row>
    <row r="338" spans="1:14" ht="23.25" customHeight="1" x14ac:dyDescent="0.3">
      <c r="A338" s="1"/>
      <c r="J338" s="1">
        <f>0.03*Table11819202310303132353839404148111518202837535657[[#This Row],[النولون]]</f>
        <v>0</v>
      </c>
      <c r="L338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38" s="1">
        <f>N337+Table11819202310303132353839404148111518202837535657[[#This Row],[اجمالي الفاتوره]]-Table11819202310303132353839404148111518202837535657[[#This Row],[الدفعات]]</f>
        <v>14439.190000000002</v>
      </c>
    </row>
    <row r="339" spans="1:14" ht="23.25" customHeight="1" x14ac:dyDescent="0.3">
      <c r="A339" s="1"/>
      <c r="J339" s="1">
        <f>0.03*Table11819202310303132353839404148111518202837535657[[#This Row],[النولون]]</f>
        <v>0</v>
      </c>
      <c r="L339" s="1">
        <f>Table11819202310303132353839404148111518202837535657[[#This Row],[النولون]]+Table11819202310303132353839404148111518202837535657[[#This Row],[الايصالات]]-Table11819202310303132353839404148111518202837535657[[#This Row],[خصم أ ت ص]]+Table11819202310303132353839404148111518202837535657[[#This Row],[قيمة مضافة]]</f>
        <v>0</v>
      </c>
      <c r="N339" s="1">
        <f>N338+Table11819202310303132353839404148111518202837535657[[#This Row],[اجمالي الفاتوره]]-Table11819202310303132353839404148111518202837535657[[#This Row],[الدفعات]]</f>
        <v>14439.190000000002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34"/>
  <sheetViews>
    <sheetView rightToLeft="1" zoomScale="87" zoomScaleNormal="87" workbookViewId="0">
      <selection activeCell="B11" sqref="B11"/>
    </sheetView>
  </sheetViews>
  <sheetFormatPr defaultColWidth="10.88671875" defaultRowHeight="33.75" customHeight="1" x14ac:dyDescent="0.3"/>
  <cols>
    <col min="1" max="1" width="11.109375" style="36" bestFit="1" customWidth="1"/>
    <col min="2" max="2" width="14.33203125" style="36" customWidth="1"/>
    <col min="3" max="3" width="15" style="36" customWidth="1"/>
    <col min="4" max="4" width="17.88671875" style="36" customWidth="1"/>
    <col min="5" max="5" width="13.6640625" style="36" bestFit="1" customWidth="1"/>
    <col min="6" max="6" width="10.88671875" style="36"/>
    <col min="7" max="7" width="11.109375" style="36" bestFit="1" customWidth="1"/>
    <col min="8" max="8" width="11" style="36" bestFit="1" customWidth="1"/>
    <col min="9" max="9" width="10.88671875" style="36"/>
    <col min="10" max="10" width="11.109375" style="36" bestFit="1" customWidth="1"/>
    <col min="11" max="11" width="17.33203125" style="36" bestFit="1" customWidth="1"/>
    <col min="12" max="12" width="11.109375" style="36" bestFit="1" customWidth="1"/>
    <col min="13" max="13" width="17.33203125" style="36" bestFit="1" customWidth="1"/>
    <col min="14" max="14" width="11" style="36" bestFit="1" customWidth="1"/>
    <col min="15" max="16384" width="10.88671875" style="36"/>
  </cols>
  <sheetData>
    <row r="1" spans="1:14" ht="33.75" customHeight="1" x14ac:dyDescent="0.3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68</v>
      </c>
      <c r="I1" s="36" t="s">
        <v>58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</row>
    <row r="2" spans="1:14" ht="33.75" customHeight="1" x14ac:dyDescent="0.3">
      <c r="B2" s="37"/>
      <c r="K2" s="36">
        <f>Table113[[#This Row],[النولون]]+Table113[[#This Row],[الايصالات]]-Table113[[#This Row],[خصم ]]+Table113[[#This Row],[استخلاص]]</f>
        <v>0</v>
      </c>
      <c r="M2" s="36">
        <v>11526.28</v>
      </c>
    </row>
    <row r="3" spans="1:14" ht="33.75" customHeight="1" x14ac:dyDescent="0.3">
      <c r="A3" s="36">
        <v>1</v>
      </c>
      <c r="B3" s="37" t="s">
        <v>379</v>
      </c>
      <c r="C3" s="36" t="s">
        <v>385</v>
      </c>
      <c r="D3" s="36" t="s">
        <v>386</v>
      </c>
      <c r="E3" s="36">
        <v>117797</v>
      </c>
      <c r="F3" s="36" t="s">
        <v>121</v>
      </c>
      <c r="G3" s="36">
        <v>14000</v>
      </c>
      <c r="J3" s="36">
        <f>2370+810+1135+105.79+660.1+100+20236.6+200+150</f>
        <v>25767.489999999998</v>
      </c>
      <c r="K3" s="36">
        <f>Table113[[#This Row],[النولون]]+Table113[[#This Row],[الايصالات]]-Table113[[#This Row],[خصم ]]+Table113[[#This Row],[استخلاص]]</f>
        <v>39767.49</v>
      </c>
      <c r="M3" s="36">
        <f>M2+Table113[[#This Row],[اجمالي الفاتوره]]-Table113[[#This Row],[الدفعات]]</f>
        <v>51293.77</v>
      </c>
    </row>
    <row r="4" spans="1:14" ht="33.75" customHeight="1" x14ac:dyDescent="0.3">
      <c r="A4" s="79"/>
      <c r="B4" s="78" t="s">
        <v>407</v>
      </c>
      <c r="C4" s="79"/>
      <c r="D4" s="79"/>
      <c r="E4" s="79"/>
      <c r="F4" s="79"/>
      <c r="G4" s="79"/>
      <c r="H4" s="79"/>
      <c r="I4" s="79"/>
      <c r="J4" s="79"/>
      <c r="K4" s="79">
        <f>Table113[[#This Row],[النولون]]+Table113[[#This Row],[الايصالات]]-Table113[[#This Row],[خصم ]]+Table113[[#This Row],[استخلاص]]</f>
        <v>0</v>
      </c>
      <c r="L4" s="79">
        <v>45000</v>
      </c>
      <c r="M4" s="79">
        <f>M3+Table113[[#This Row],[اجمالي الفاتوره]]-Table113[[#This Row],[الدفعات]]</f>
        <v>6293.7699999999968</v>
      </c>
    </row>
    <row r="5" spans="1:14" ht="33.75" customHeight="1" x14ac:dyDescent="0.3">
      <c r="A5" s="79"/>
      <c r="B5" s="78">
        <v>46144</v>
      </c>
      <c r="C5" s="79"/>
      <c r="D5" s="79"/>
      <c r="E5" s="79"/>
      <c r="F5" s="79"/>
      <c r="G5" s="79"/>
      <c r="H5" s="79"/>
      <c r="I5" s="79"/>
      <c r="J5" s="79"/>
      <c r="K5" s="79">
        <f>Table113[[#This Row],[النولون]]+Table113[[#This Row],[الايصالات]]-Table113[[#This Row],[خصم ]]+Table113[[#This Row],[استخلاص]]</f>
        <v>0</v>
      </c>
      <c r="L5" s="79">
        <v>30000</v>
      </c>
      <c r="M5" s="79">
        <f>M4+Table113[[#This Row],[اجمالي الفاتوره]]-Table113[[#This Row],[الدفعات]]</f>
        <v>-23706.230000000003</v>
      </c>
    </row>
    <row r="6" spans="1:14" ht="33.75" customHeight="1" x14ac:dyDescent="0.3">
      <c r="A6" s="36">
        <v>2</v>
      </c>
      <c r="B6" s="37">
        <v>46145</v>
      </c>
      <c r="C6" s="36" t="s">
        <v>385</v>
      </c>
      <c r="D6" s="36" t="s">
        <v>386</v>
      </c>
      <c r="E6" s="36">
        <v>196273</v>
      </c>
      <c r="F6" s="36" t="s">
        <v>121</v>
      </c>
      <c r="G6" s="36">
        <v>14000</v>
      </c>
      <c r="J6" s="36">
        <f>850+1135+143.66+478.8</f>
        <v>2607.46</v>
      </c>
      <c r="K6" s="36">
        <f>Table113[[#This Row],[النولون]]+Table113[[#This Row],[الايصالات]]-Table113[[#This Row],[خصم ]]+Table113[[#This Row],[استخلاص]]</f>
        <v>16607.46</v>
      </c>
      <c r="M6" s="36">
        <f>M5+Table113[[#This Row],[اجمالي الفاتوره]]-Table113[[#This Row],[الدفعات]]</f>
        <v>-7098.7700000000041</v>
      </c>
    </row>
    <row r="7" spans="1:14" ht="33.75" customHeight="1" x14ac:dyDescent="0.3">
      <c r="A7" s="36">
        <v>3</v>
      </c>
      <c r="B7" s="37">
        <v>46158</v>
      </c>
      <c r="C7" s="36" t="s">
        <v>549</v>
      </c>
      <c r="D7" s="36" t="s">
        <v>550</v>
      </c>
      <c r="E7" s="36">
        <v>260282628</v>
      </c>
      <c r="F7" s="36" t="s">
        <v>92</v>
      </c>
      <c r="G7" s="36">
        <f>17000*2+2*2500</f>
        <v>39000</v>
      </c>
      <c r="J7" s="36">
        <f>410+1100+1125+415.78+424.26+200+3172.2+2565+200+719</f>
        <v>10331.24</v>
      </c>
      <c r="K7" s="36">
        <f>Table113[[#This Row],[النولون]]+Table113[[#This Row],[الايصالات]]-Table113[[#This Row],[خصم ]]+Table113[[#This Row],[استخلاص]]</f>
        <v>49331.24</v>
      </c>
      <c r="M7" s="36">
        <f>M6+Table113[[#This Row],[اجمالي الفاتوره]]-Table113[[#This Row],[الدفعات]]</f>
        <v>42232.469999999994</v>
      </c>
    </row>
    <row r="8" spans="1:14" ht="33.75" customHeight="1" x14ac:dyDescent="0.3">
      <c r="A8" s="36">
        <v>4</v>
      </c>
      <c r="B8" s="37">
        <v>46181</v>
      </c>
      <c r="C8" s="36" t="s">
        <v>596</v>
      </c>
      <c r="D8" s="36" t="s">
        <v>94</v>
      </c>
      <c r="E8" s="36">
        <v>267052</v>
      </c>
      <c r="F8" s="36" t="s">
        <v>129</v>
      </c>
      <c r="G8" s="36">
        <v>16500</v>
      </c>
      <c r="J8" s="36">
        <f>580+941.22+2860+1146.84+285+100</f>
        <v>5913.06</v>
      </c>
      <c r="K8" s="36">
        <f>Table113[[#This Row],[النولون]]+Table113[[#This Row],[الايصالات]]-Table113[[#This Row],[خصم ]]+Table113[[#This Row],[استخلاص]]</f>
        <v>22413.06</v>
      </c>
      <c r="M8" s="36">
        <f>M7+Table113[[#This Row],[اجمالي الفاتوره]]-Table113[[#This Row],[الدفعات]]</f>
        <v>64645.53</v>
      </c>
    </row>
    <row r="9" spans="1:14" ht="33.75" customHeight="1" x14ac:dyDescent="0.3">
      <c r="A9" s="36">
        <v>5</v>
      </c>
      <c r="B9" s="37">
        <v>46189</v>
      </c>
      <c r="C9" s="36" t="s">
        <v>619</v>
      </c>
      <c r="D9" s="36" t="s">
        <v>620</v>
      </c>
      <c r="E9" s="36">
        <v>282594</v>
      </c>
      <c r="F9" s="36" t="s">
        <v>159</v>
      </c>
      <c r="G9" s="36">
        <v>13000</v>
      </c>
      <c r="J9" s="36">
        <f>550+145.71+1653</f>
        <v>2348.71</v>
      </c>
      <c r="K9" s="36">
        <f>Table113[[#This Row],[النولون]]+Table113[[#This Row],[الايصالات]]-Table113[[#This Row],[خصم ]]+Table113[[#This Row],[استخلاص]]</f>
        <v>15348.71</v>
      </c>
      <c r="M9" s="36">
        <f>M8+Table113[[#This Row],[اجمالي الفاتوره]]-Table113[[#This Row],[الدفعات]]</f>
        <v>79994.239999999991</v>
      </c>
    </row>
    <row r="10" spans="1:14" ht="33.75" customHeight="1" x14ac:dyDescent="0.3">
      <c r="A10" s="79"/>
      <c r="B10" s="78">
        <v>46198</v>
      </c>
      <c r="C10" s="79"/>
      <c r="D10" s="79"/>
      <c r="E10" s="79"/>
      <c r="F10" s="79"/>
      <c r="G10" s="79"/>
      <c r="H10" s="79"/>
      <c r="I10" s="79"/>
      <c r="J10" s="79"/>
      <c r="K10" s="79">
        <f>Table113[[#This Row],[النولون]]+Table113[[#This Row],[الايصالات]]-Table113[[#This Row],[خصم ]]+Table113[[#This Row],[استخلاص]]</f>
        <v>0</v>
      </c>
      <c r="L10" s="79">
        <v>60000</v>
      </c>
      <c r="M10" s="79">
        <f>M9+Table113[[#This Row],[اجمالي الفاتوره]]-Table113[[#This Row],[الدفعات]]</f>
        <v>19994.239999999991</v>
      </c>
    </row>
    <row r="11" spans="1:14" ht="33.75" customHeight="1" x14ac:dyDescent="0.3">
      <c r="B11" s="37"/>
      <c r="K11" s="36">
        <f>Table113[[#This Row],[النولون]]+Table113[[#This Row],[الايصالات]]-Table113[[#This Row],[خصم ]]+Table113[[#This Row],[استخلاص]]</f>
        <v>0</v>
      </c>
      <c r="M11" s="36">
        <f>M10+Table113[[#This Row],[اجمالي الفاتوره]]-Table113[[#This Row],[الدفعات]]</f>
        <v>19994.239999999991</v>
      </c>
    </row>
    <row r="12" spans="1:14" ht="33.75" customHeight="1" x14ac:dyDescent="0.3">
      <c r="B12" s="37"/>
      <c r="K12" s="36">
        <f>Table113[[#This Row],[النولون]]+Table113[[#This Row],[الايصالات]]-Table113[[#This Row],[خصم ]]+Table113[[#This Row],[استخلاص]]</f>
        <v>0</v>
      </c>
      <c r="M12" s="36">
        <f>M11+Table113[[#This Row],[اجمالي الفاتوره]]-Table113[[#This Row],[الدفعات]]</f>
        <v>19994.239999999991</v>
      </c>
    </row>
    <row r="13" spans="1:14" ht="33.75" customHeight="1" x14ac:dyDescent="0.3">
      <c r="B13" s="37"/>
      <c r="K13" s="36">
        <f>Table113[[#This Row],[النولون]]+Table113[[#This Row],[الايصالات]]-Table113[[#This Row],[خصم ]]+Table113[[#This Row],[استخلاص]]</f>
        <v>0</v>
      </c>
      <c r="M13" s="36">
        <f>M12+Table113[[#This Row],[اجمالي الفاتوره]]-Table113[[#This Row],[الدفعات]]</f>
        <v>19994.239999999991</v>
      </c>
    </row>
    <row r="14" spans="1:14" ht="33.75" customHeight="1" x14ac:dyDescent="0.3">
      <c r="B14" s="37"/>
      <c r="K14" s="36">
        <f>Table113[[#This Row],[النولون]]+Table113[[#This Row],[الايصالات]]-Table113[[#This Row],[خصم ]]+Table113[[#This Row],[استخلاص]]</f>
        <v>0</v>
      </c>
      <c r="M14" s="36">
        <f>M13+Table113[[#This Row],[اجمالي الفاتوره]]-Table113[[#This Row],[الدفعات]]</f>
        <v>19994.239999999991</v>
      </c>
      <c r="N14" s="36">
        <f>SUM(K:K)-SUM(L:L)+M2</f>
        <v>19994.239999999991</v>
      </c>
    </row>
    <row r="15" spans="1:14" ht="33.75" customHeight="1" x14ac:dyDescent="0.3">
      <c r="B15" s="37"/>
      <c r="K15" s="36">
        <f>Table113[[#This Row],[النولون]]+Table113[[#This Row],[الايصالات]]-Table113[[#This Row],[خصم ]]+Table113[[#This Row],[استخلاص]]</f>
        <v>0</v>
      </c>
      <c r="M15" s="36">
        <f>M14+Table113[[#This Row],[اجمالي الفاتوره]]-Table113[[#This Row],[الدفعات]]</f>
        <v>19994.239999999991</v>
      </c>
    </row>
    <row r="16" spans="1:14" ht="33.75" customHeight="1" x14ac:dyDescent="0.3">
      <c r="B16" s="37"/>
      <c r="K16" s="36">
        <f>Table113[[#This Row],[النولون]]+Table113[[#This Row],[الايصالات]]-Table113[[#This Row],[خصم ]]+Table113[[#This Row],[استخلاص]]</f>
        <v>0</v>
      </c>
      <c r="M16" s="36">
        <f>M15+Table113[[#This Row],[اجمالي الفاتوره]]-Table113[[#This Row],[الدفعات]]</f>
        <v>19994.239999999991</v>
      </c>
    </row>
    <row r="17" spans="2:14" ht="33.75" customHeight="1" x14ac:dyDescent="0.3">
      <c r="B17" s="37"/>
      <c r="K17" s="36">
        <f>Table113[[#This Row],[النولون]]+Table113[[#This Row],[الايصالات]]-Table113[[#This Row],[خصم ]]+Table113[[#This Row],[استخلاص]]</f>
        <v>0</v>
      </c>
      <c r="M17" s="36">
        <f>M16+Table113[[#This Row],[اجمالي الفاتوره]]-Table113[[#This Row],[الدفعات]]</f>
        <v>19994.239999999991</v>
      </c>
    </row>
    <row r="18" spans="2:14" ht="33.75" customHeight="1" x14ac:dyDescent="0.3">
      <c r="B18" s="37"/>
      <c r="K18" s="36">
        <f>Table113[[#This Row],[النولون]]+Table113[[#This Row],[الايصالات]]-Table113[[#This Row],[خصم ]]+Table113[[#This Row],[استخلاص]]</f>
        <v>0</v>
      </c>
      <c r="M18" s="36">
        <f>M17+Table113[[#This Row],[اجمالي الفاتوره]]-Table113[[#This Row],[الدفعات]]</f>
        <v>19994.239999999991</v>
      </c>
    </row>
    <row r="19" spans="2:14" ht="33.75" customHeight="1" x14ac:dyDescent="0.3">
      <c r="B19" s="37"/>
      <c r="K19" s="36">
        <f>Table113[[#This Row],[النولون]]+Table113[[#This Row],[الايصالات]]-Table113[[#This Row],[خصم ]]+Table113[[#This Row],[استخلاص]]</f>
        <v>0</v>
      </c>
      <c r="M19" s="36">
        <f>M18+Table113[[#This Row],[اجمالي الفاتوره]]-Table113[[#This Row],[الدفعات]]</f>
        <v>19994.239999999991</v>
      </c>
    </row>
    <row r="20" spans="2:14" ht="33.75" customHeight="1" x14ac:dyDescent="0.3">
      <c r="B20" s="37"/>
      <c r="K20" s="36">
        <f>Table113[[#This Row],[النولون]]+Table113[[#This Row],[الايصالات]]-Table113[[#This Row],[خصم ]]+Table113[[#This Row],[استخلاص]]</f>
        <v>0</v>
      </c>
      <c r="M20" s="36">
        <f>M19+Table113[[#This Row],[اجمالي الفاتوره]]-Table113[[#This Row],[الدفعات]]</f>
        <v>19994.239999999991</v>
      </c>
    </row>
    <row r="21" spans="2:14" ht="33.75" customHeight="1" x14ac:dyDescent="0.3">
      <c r="B21" s="37"/>
      <c r="K21" s="36">
        <f>Table113[[#This Row],[النولون]]+Table113[[#This Row],[الايصالات]]-Table113[[#This Row],[خصم ]]+Table113[[#This Row],[استخلاص]]</f>
        <v>0</v>
      </c>
      <c r="M21" s="36">
        <f>M20+Table113[[#This Row],[اجمالي الفاتوره]]-Table113[[#This Row],[الدفعات]]</f>
        <v>19994.239999999991</v>
      </c>
    </row>
    <row r="22" spans="2:14" ht="33.75" customHeight="1" x14ac:dyDescent="0.3">
      <c r="B22" s="37"/>
      <c r="K22" s="36">
        <f>Table113[[#This Row],[النولون]]+Table113[[#This Row],[الايصالات]]-Table113[[#This Row],[خصم ]]+Table113[[#This Row],[استخلاص]]</f>
        <v>0</v>
      </c>
      <c r="M22" s="36">
        <f>M21+Table113[[#This Row],[اجمالي الفاتوره]]-Table113[[#This Row],[الدفعات]]</f>
        <v>19994.239999999991</v>
      </c>
    </row>
    <row r="23" spans="2:14" ht="33.75" customHeight="1" x14ac:dyDescent="0.3">
      <c r="B23" s="37"/>
      <c r="K23" s="36">
        <f>Table113[[#This Row],[النولون]]+Table113[[#This Row],[الايصالات]]-Table113[[#This Row],[خصم ]]+Table113[[#This Row],[استخلاص]]</f>
        <v>0</v>
      </c>
      <c r="M23" s="36">
        <f>M22+Table113[[#This Row],[اجمالي الفاتوره]]-Table113[[#This Row],[الدفعات]]</f>
        <v>19994.239999999991</v>
      </c>
    </row>
    <row r="24" spans="2:14" ht="33.75" customHeight="1" x14ac:dyDescent="0.3">
      <c r="B24" s="37"/>
      <c r="K24" s="36">
        <f>Table113[[#This Row],[النولون]]+Table113[[#This Row],[الايصالات]]-Table113[[#This Row],[خصم ]]+Table113[[#This Row],[استخلاص]]</f>
        <v>0</v>
      </c>
      <c r="M24" s="36">
        <f>M23+Table113[[#This Row],[اجمالي الفاتوره]]-Table113[[#This Row],[الدفعات]]</f>
        <v>19994.239999999991</v>
      </c>
    </row>
    <row r="25" spans="2:14" ht="33.75" customHeight="1" x14ac:dyDescent="0.3">
      <c r="B25" s="37"/>
      <c r="K25" s="36">
        <f>Table113[[#This Row],[النولون]]+Table113[[#This Row],[الايصالات]]-Table113[[#This Row],[خصم ]]+Table113[[#This Row],[استخلاص]]</f>
        <v>0</v>
      </c>
      <c r="M25" s="36">
        <f>M24+Table113[[#This Row],[اجمالي الفاتوره]]-Table113[[#This Row],[الدفعات]]</f>
        <v>19994.239999999991</v>
      </c>
    </row>
    <row r="26" spans="2:14" ht="33.75" customHeight="1" x14ac:dyDescent="0.3">
      <c r="B26" s="37"/>
      <c r="K26" s="36">
        <f>Table113[[#This Row],[النولون]]+Table113[[#This Row],[الايصالات]]-Table113[[#This Row],[خصم ]]+Table113[[#This Row],[استخلاص]]</f>
        <v>0</v>
      </c>
      <c r="M26" s="36">
        <f>M25+Table113[[#This Row],[اجمالي الفاتوره]]-Table113[[#This Row],[الدفعات]]</f>
        <v>19994.239999999991</v>
      </c>
    </row>
    <row r="27" spans="2:14" ht="33.75" customHeight="1" x14ac:dyDescent="0.3">
      <c r="B27" s="37"/>
      <c r="K27" s="36">
        <f>Table113[[#This Row],[النولون]]+Table113[[#This Row],[الايصالات]]-Table113[[#This Row],[خصم ]]+Table113[[#This Row],[استخلاص]]</f>
        <v>0</v>
      </c>
      <c r="M27" s="36">
        <f>M26+Table113[[#This Row],[اجمالي الفاتوره]]-Table113[[#This Row],[الدفعات]]</f>
        <v>19994.239999999991</v>
      </c>
    </row>
    <row r="28" spans="2:14" ht="33.75" customHeight="1" x14ac:dyDescent="0.3">
      <c r="B28" s="37"/>
      <c r="K28" s="36">
        <f>Table113[[#This Row],[النولون]]+Table113[[#This Row],[الايصالات]]-Table113[[#This Row],[خصم ]]+Table113[[#This Row],[استخلاص]]</f>
        <v>0</v>
      </c>
      <c r="M28" s="36">
        <f>M27+Table113[[#This Row],[اجمالي الفاتوره]]-Table113[[#This Row],[الدفعات]]</f>
        <v>19994.239999999991</v>
      </c>
    </row>
    <row r="29" spans="2:14" ht="33.75" customHeight="1" x14ac:dyDescent="0.3">
      <c r="B29" s="37"/>
      <c r="K29" s="36">
        <f>Table113[[#This Row],[النولون]]+Table113[[#This Row],[الايصالات]]-Table113[[#This Row],[خصم ]]+Table113[[#This Row],[استخلاص]]</f>
        <v>0</v>
      </c>
      <c r="M29" s="36">
        <f>M28+Table113[[#This Row],[اجمالي الفاتوره]]-Table113[[#This Row],[الدفعات]]</f>
        <v>19994.239999999991</v>
      </c>
    </row>
    <row r="30" spans="2:14" ht="33.75" customHeight="1" x14ac:dyDescent="0.3">
      <c r="B30" s="37"/>
      <c r="K30" s="36">
        <f>Table113[[#This Row],[النولون]]+Table113[[#This Row],[الايصالات]]-Table113[[#This Row],[خصم ]]+Table113[[#This Row],[استخلاص]]</f>
        <v>0</v>
      </c>
      <c r="M30" s="36">
        <f>M29+Table113[[#This Row],[اجمالي الفاتوره]]-Table113[[#This Row],[الدفعات]]</f>
        <v>19994.239999999991</v>
      </c>
    </row>
    <row r="31" spans="2:14" ht="33.75" customHeight="1" x14ac:dyDescent="0.3">
      <c r="B31" s="37"/>
      <c r="K31" s="36">
        <f>Table113[[#This Row],[النولون]]+Table113[[#This Row],[الايصالات]]-Table113[[#This Row],[خصم ]]+Table113[[#This Row],[استخلاص]]</f>
        <v>0</v>
      </c>
      <c r="M31" s="36">
        <f>M30+Table113[[#This Row],[اجمالي الفاتوره]]-Table113[[#This Row],[الدفعات]]</f>
        <v>19994.239999999991</v>
      </c>
    </row>
    <row r="32" spans="2:14" ht="33.75" customHeight="1" x14ac:dyDescent="0.3">
      <c r="B32" s="37"/>
      <c r="K32" s="36">
        <f>Table113[[#This Row],[النولون]]+Table113[[#This Row],[الايصالات]]-Table113[[#This Row],[خصم ]]+Table113[[#This Row],[استخلاص]]</f>
        <v>0</v>
      </c>
      <c r="M32" s="36">
        <f>M31+Table113[[#This Row],[اجمالي الفاتوره]]-Table113[[#This Row],[الدفعات]]</f>
        <v>19994.239999999991</v>
      </c>
      <c r="N32" s="36" t="s">
        <v>67</v>
      </c>
    </row>
    <row r="33" spans="1:14" ht="33.75" customHeight="1" x14ac:dyDescent="0.3">
      <c r="B33" s="37"/>
      <c r="K33" s="36">
        <f>Table113[[#This Row],[النولون]]+Table113[[#This Row],[الايصالات]]-Table113[[#This Row],[خصم ]]+Table113[[#This Row],[استخلاص]]</f>
        <v>0</v>
      </c>
      <c r="M33" s="36">
        <f>M32+Table113[[#This Row],[اجمالي الفاتوره]]-Table113[[#This Row],[الدفعات]]</f>
        <v>19994.239999999991</v>
      </c>
    </row>
    <row r="34" spans="1:14" ht="33.75" customHeight="1" x14ac:dyDescent="0.3">
      <c r="B34" s="37"/>
      <c r="K34" s="36">
        <f>Table113[[#This Row],[النولون]]+Table113[[#This Row],[الايصالات]]-Table113[[#This Row],[خصم ]]+Table113[[#This Row],[استخلاص]]</f>
        <v>0</v>
      </c>
      <c r="M34" s="36">
        <f>M33+Table113[[#This Row],[اجمالي الفاتوره]]-Table113[[#This Row],[الدفعات]]</f>
        <v>19994.239999999991</v>
      </c>
    </row>
    <row r="35" spans="1:14" ht="33.75" customHeight="1" x14ac:dyDescent="0.3">
      <c r="B35" s="37"/>
      <c r="C35" s="37"/>
      <c r="K35" s="36">
        <f>Table113[[#This Row],[النولون]]+Table113[[#This Row],[الايصالات]]-Table113[[#This Row],[خصم ]]+Table113[[#This Row],[استخلاص]]</f>
        <v>0</v>
      </c>
      <c r="M35" s="36">
        <f>M34+Table113[[#This Row],[اجمالي الفاتوره]]-Table113[[#This Row],[الدفعات]]</f>
        <v>19994.239999999991</v>
      </c>
    </row>
    <row r="36" spans="1:14" ht="33.75" customHeight="1" x14ac:dyDescent="0.3">
      <c r="B36" s="37"/>
      <c r="K36" s="36">
        <f>Table113[[#This Row],[النولون]]+Table113[[#This Row],[الايصالات]]-Table113[[#This Row],[خصم ]]+Table113[[#This Row],[استخلاص]]</f>
        <v>0</v>
      </c>
      <c r="M36" s="36">
        <f>M35+Table113[[#This Row],[اجمالي الفاتوره]]-Table113[[#This Row],[الدفعات]]</f>
        <v>19994.239999999991</v>
      </c>
    </row>
    <row r="37" spans="1:14" ht="33.75" customHeight="1" x14ac:dyDescent="0.3">
      <c r="A37" s="43"/>
      <c r="B37" s="44"/>
      <c r="C37" s="43"/>
      <c r="D37" s="43"/>
      <c r="E37" s="43"/>
      <c r="F37" s="43"/>
      <c r="G37" s="43"/>
      <c r="H37" s="43"/>
      <c r="I37" s="43"/>
      <c r="J37" s="43"/>
      <c r="K37" s="43">
        <f>Table113[[#This Row],[النولون]]+Table113[[#This Row],[الايصالات]]-Table113[[#This Row],[خصم ]]+Table113[[#This Row],[استخلاص]]</f>
        <v>0</v>
      </c>
      <c r="L37" s="43"/>
      <c r="M37" s="36">
        <f>M36+Table113[[#This Row],[اجمالي الفاتوره]]-Table113[[#This Row],[الدفعات]]</f>
        <v>19994.239999999991</v>
      </c>
      <c r="N37" s="43"/>
    </row>
    <row r="38" spans="1:14" ht="33.75" customHeight="1" x14ac:dyDescent="0.3">
      <c r="B38" s="37"/>
      <c r="K38" s="36">
        <f>Table113[[#This Row],[النولون]]+Table113[[#This Row],[الايصالات]]-Table113[[#This Row],[خصم ]]+Table113[[#This Row],[استخلاص]]</f>
        <v>0</v>
      </c>
      <c r="M38" s="36">
        <f>M37+Table113[[#This Row],[اجمالي الفاتوره]]-Table113[[#This Row],[الدفعات]]</f>
        <v>19994.239999999991</v>
      </c>
    </row>
    <row r="39" spans="1:14" ht="33.75" customHeight="1" x14ac:dyDescent="0.3">
      <c r="B39" s="37"/>
      <c r="K39" s="36">
        <f>Table113[[#This Row],[النولون]]+Table113[[#This Row],[الايصالات]]-Table113[[#This Row],[خصم ]]+Table113[[#This Row],[استخلاص]]</f>
        <v>0</v>
      </c>
      <c r="M39" s="36">
        <f>M38+Table113[[#This Row],[اجمالي الفاتوره]]-Table113[[#This Row],[الدفعات]]</f>
        <v>19994.239999999991</v>
      </c>
    </row>
    <row r="40" spans="1:14" ht="33.75" customHeight="1" x14ac:dyDescent="0.3">
      <c r="B40" s="37"/>
      <c r="K40" s="36">
        <f>Table113[[#This Row],[النولون]]+Table113[[#This Row],[الايصالات]]-Table113[[#This Row],[خصم ]]+Table113[[#This Row],[استخلاص]]</f>
        <v>0</v>
      </c>
      <c r="M40" s="36">
        <f>M39+Table113[[#This Row],[اجمالي الفاتوره]]-Table113[[#This Row],[الدفعات]]</f>
        <v>19994.239999999991</v>
      </c>
    </row>
    <row r="41" spans="1:14" ht="33.75" customHeight="1" x14ac:dyDescent="0.3">
      <c r="B41" s="37"/>
      <c r="K41" s="36">
        <f>Table113[[#This Row],[النولون]]+Table113[[#This Row],[الايصالات]]-Table113[[#This Row],[خصم ]]+Table113[[#This Row],[استخلاص]]</f>
        <v>0</v>
      </c>
      <c r="M41" s="36">
        <f>M40+Table113[[#This Row],[اجمالي الفاتوره]]-Table113[[#This Row],[الدفعات]]</f>
        <v>19994.239999999991</v>
      </c>
    </row>
    <row r="42" spans="1:14" ht="33.75" customHeight="1" x14ac:dyDescent="0.3">
      <c r="K42" s="36">
        <f>Table113[[#This Row],[النولون]]+Table113[[#This Row],[الايصالات]]-Table113[[#This Row],[خصم ]]+Table113[[#This Row],[استخلاص]]</f>
        <v>0</v>
      </c>
      <c r="M42" s="36">
        <f>M41+Table113[[#This Row],[اجمالي الفاتوره]]-Table113[[#This Row],[الدفعات]]</f>
        <v>19994.239999999991</v>
      </c>
    </row>
    <row r="43" spans="1:14" ht="33.75" customHeight="1" x14ac:dyDescent="0.3">
      <c r="B43" s="37"/>
      <c r="K43" s="36">
        <f>Table113[[#This Row],[النولون]]+Table113[[#This Row],[الايصالات]]-Table113[[#This Row],[خصم ]]+Table113[[#This Row],[استخلاص]]</f>
        <v>0</v>
      </c>
      <c r="M43" s="36">
        <f>M42+Table113[[#This Row],[اجمالي الفاتوره]]-Table113[[#This Row],[الدفعات]]</f>
        <v>19994.239999999991</v>
      </c>
    </row>
    <row r="44" spans="1:14" ht="33.75" customHeight="1" x14ac:dyDescent="0.3">
      <c r="B44" s="37"/>
      <c r="K44" s="36">
        <f>Table113[[#This Row],[النولون]]+Table113[[#This Row],[الايصالات]]-Table113[[#This Row],[خصم ]]+Table113[[#This Row],[استخلاص]]</f>
        <v>0</v>
      </c>
      <c r="M44" s="36">
        <f>M43+Table113[[#This Row],[اجمالي الفاتوره]]-Table113[[#This Row],[الدفعات]]</f>
        <v>19994.239999999991</v>
      </c>
    </row>
    <row r="45" spans="1:14" ht="33.75" customHeight="1" x14ac:dyDescent="0.3">
      <c r="B45" s="37"/>
      <c r="K45" s="36">
        <f>Table113[[#This Row],[النولون]]+Table113[[#This Row],[الايصالات]]-Table113[[#This Row],[خصم ]]+Table113[[#This Row],[استخلاص]]</f>
        <v>0</v>
      </c>
      <c r="M45" s="36">
        <f>M44+Table113[[#This Row],[اجمالي الفاتوره]]-Table113[[#This Row],[الدفعات]]</f>
        <v>19994.239999999991</v>
      </c>
    </row>
    <row r="46" spans="1:14" ht="33.75" customHeight="1" x14ac:dyDescent="0.3">
      <c r="B46" s="37"/>
      <c r="K46" s="36">
        <f>Table113[[#This Row],[النولون]]+Table113[[#This Row],[الايصالات]]-Table113[[#This Row],[خصم ]]+Table113[[#This Row],[استخلاص]]</f>
        <v>0</v>
      </c>
      <c r="M46" s="36">
        <f>M45+Table113[[#This Row],[اجمالي الفاتوره]]-Table113[[#This Row],[الدفعات]]</f>
        <v>19994.239999999991</v>
      </c>
    </row>
    <row r="47" spans="1:14" ht="33.75" customHeight="1" x14ac:dyDescent="0.3">
      <c r="B47" s="37"/>
      <c r="K47" s="36">
        <f>Table113[[#This Row],[النولون]]+Table113[[#This Row],[الايصالات]]-Table113[[#This Row],[خصم ]]+Table113[[#This Row],[استخلاص]]</f>
        <v>0</v>
      </c>
      <c r="M47" s="36">
        <f>M46+Table113[[#This Row],[اجمالي الفاتوره]]-Table113[[#This Row],[الدفعات]]</f>
        <v>19994.239999999991</v>
      </c>
    </row>
    <row r="48" spans="1:14" ht="33.75" customHeight="1" x14ac:dyDescent="0.3">
      <c r="B48" s="37"/>
      <c r="K48" s="36">
        <f>Table113[[#This Row],[النولون]]+Table113[[#This Row],[الايصالات]]-Table113[[#This Row],[خصم ]]+Table113[[#This Row],[استخلاص]]</f>
        <v>0</v>
      </c>
      <c r="M48" s="36">
        <f>M47+Table113[[#This Row],[اجمالي الفاتوره]]-Table113[[#This Row],[الدفعات]]</f>
        <v>19994.239999999991</v>
      </c>
    </row>
    <row r="49" spans="2:13" ht="33.75" customHeight="1" x14ac:dyDescent="0.3">
      <c r="B49" s="37"/>
      <c r="K49" s="36">
        <f>Table113[[#This Row],[النولون]]+Table113[[#This Row],[الايصالات]]-Table113[[#This Row],[خصم ]]+Table113[[#This Row],[استخلاص]]</f>
        <v>0</v>
      </c>
      <c r="M49" s="36">
        <f>M48+Table113[[#This Row],[اجمالي الفاتوره]]-Table113[[#This Row],[الدفعات]]</f>
        <v>19994.239999999991</v>
      </c>
    </row>
    <row r="50" spans="2:13" ht="33.75" customHeight="1" x14ac:dyDescent="0.3">
      <c r="B50" s="37"/>
      <c r="K50" s="36">
        <f>Table113[[#This Row],[النولون]]+Table113[[#This Row],[الايصالات]]-Table113[[#This Row],[خصم ]]+Table113[[#This Row],[استخلاص]]</f>
        <v>0</v>
      </c>
      <c r="M50" s="36">
        <f>M49+Table113[[#This Row],[اجمالي الفاتوره]]-Table113[[#This Row],[الدفعات]]</f>
        <v>19994.239999999991</v>
      </c>
    </row>
    <row r="51" spans="2:13" ht="33.75" customHeight="1" x14ac:dyDescent="0.3">
      <c r="B51" s="37"/>
      <c r="K51" s="36">
        <f>Table113[[#This Row],[النولون]]+Table113[[#This Row],[الايصالات]]-Table113[[#This Row],[خصم ]]+Table113[[#This Row],[استخلاص]]</f>
        <v>0</v>
      </c>
      <c r="M51" s="36">
        <f>M50+Table113[[#This Row],[اجمالي الفاتوره]]-Table113[[#This Row],[الدفعات]]</f>
        <v>19994.239999999991</v>
      </c>
    </row>
    <row r="52" spans="2:13" ht="33.75" customHeight="1" x14ac:dyDescent="0.3">
      <c r="B52" s="37"/>
      <c r="K52" s="36">
        <f>Table113[[#This Row],[النولون]]+Table113[[#This Row],[الايصالات]]-Table113[[#This Row],[خصم ]]+Table113[[#This Row],[استخلاص]]</f>
        <v>0</v>
      </c>
      <c r="M52" s="36">
        <f>M51+Table113[[#This Row],[اجمالي الفاتوره]]-Table113[[#This Row],[الدفعات]]</f>
        <v>19994.239999999991</v>
      </c>
    </row>
    <row r="53" spans="2:13" ht="33.75" customHeight="1" x14ac:dyDescent="0.3">
      <c r="B53" s="37"/>
      <c r="K53" s="36">
        <f>Table113[[#This Row],[النولون]]+Table113[[#This Row],[الايصالات]]-Table113[[#This Row],[خصم ]]+Table113[[#This Row],[استخلاص]]</f>
        <v>0</v>
      </c>
      <c r="M53" s="36">
        <f>M52+Table113[[#This Row],[اجمالي الفاتوره]]-Table113[[#This Row],[الدفعات]]</f>
        <v>19994.239999999991</v>
      </c>
    </row>
    <row r="54" spans="2:13" ht="33.75" customHeight="1" x14ac:dyDescent="0.3">
      <c r="B54" s="37"/>
      <c r="K54" s="36">
        <f>Table113[[#This Row],[النولون]]+Table113[[#This Row],[الايصالات]]-Table113[[#This Row],[خصم ]]+Table113[[#This Row],[استخلاص]]</f>
        <v>0</v>
      </c>
      <c r="M54" s="36">
        <f>M53+Table113[[#This Row],[اجمالي الفاتوره]]-Table113[[#This Row],[الدفعات]]</f>
        <v>19994.239999999991</v>
      </c>
    </row>
    <row r="55" spans="2:13" ht="33.75" customHeight="1" x14ac:dyDescent="0.3">
      <c r="B55" s="37"/>
      <c r="K55" s="36">
        <f>Table113[[#This Row],[النولون]]+Table113[[#This Row],[الايصالات]]-Table113[[#This Row],[خصم ]]+Table113[[#This Row],[استخلاص]]</f>
        <v>0</v>
      </c>
      <c r="M55" s="36">
        <f>M54+Table113[[#This Row],[اجمالي الفاتوره]]-Table113[[#This Row],[الدفعات]]</f>
        <v>19994.239999999991</v>
      </c>
    </row>
    <row r="56" spans="2:13" ht="33.75" customHeight="1" x14ac:dyDescent="0.3">
      <c r="B56" s="37"/>
      <c r="K56" s="36">
        <f>Table113[[#This Row],[النولون]]+Table113[[#This Row],[الايصالات]]-Table113[[#This Row],[خصم ]]+Table113[[#This Row],[استخلاص]]</f>
        <v>0</v>
      </c>
      <c r="M56" s="36">
        <f>M55+Table113[[#This Row],[اجمالي الفاتوره]]-Table113[[#This Row],[الدفعات]]</f>
        <v>19994.239999999991</v>
      </c>
    </row>
    <row r="57" spans="2:13" ht="33.75" customHeight="1" x14ac:dyDescent="0.3">
      <c r="B57" s="37"/>
      <c r="K57" s="36">
        <f>Table113[[#This Row],[النولون]]+Table113[[#This Row],[الايصالات]]-Table113[[#This Row],[خصم ]]+Table113[[#This Row],[استخلاص]]</f>
        <v>0</v>
      </c>
      <c r="M57" s="36">
        <f>M56+Table113[[#This Row],[اجمالي الفاتوره]]-Table113[[#This Row],[الدفعات]]</f>
        <v>19994.239999999991</v>
      </c>
    </row>
    <row r="58" spans="2:13" ht="33.75" customHeight="1" x14ac:dyDescent="0.3">
      <c r="B58" s="37"/>
      <c r="K58" s="36">
        <f>Table113[[#This Row],[النولون]]+Table113[[#This Row],[الايصالات]]-Table113[[#This Row],[خصم ]]+Table113[[#This Row],[استخلاص]]</f>
        <v>0</v>
      </c>
      <c r="M58" s="36">
        <f>M57+Table113[[#This Row],[اجمالي الفاتوره]]-Table113[[#This Row],[الدفعات]]</f>
        <v>19994.239999999991</v>
      </c>
    </row>
    <row r="59" spans="2:13" ht="33.75" customHeight="1" x14ac:dyDescent="0.3">
      <c r="B59" s="37"/>
      <c r="K59" s="36">
        <f>Table113[[#This Row],[النولون]]+Table113[[#This Row],[الايصالات]]-Table113[[#This Row],[خصم ]]+Table113[[#This Row],[استخلاص]]</f>
        <v>0</v>
      </c>
      <c r="M59" s="36">
        <f>M58+Table113[[#This Row],[اجمالي الفاتوره]]-Table113[[#This Row],[الدفعات]]</f>
        <v>19994.239999999991</v>
      </c>
    </row>
    <row r="60" spans="2:13" ht="33.75" customHeight="1" x14ac:dyDescent="0.3">
      <c r="B60" s="37"/>
      <c r="K60" s="36">
        <f>Table113[[#This Row],[النولون]]+Table113[[#This Row],[الايصالات]]-Table113[[#This Row],[خصم ]]+Table113[[#This Row],[استخلاص]]</f>
        <v>0</v>
      </c>
      <c r="M60" s="36">
        <f>M59+Table113[[#This Row],[اجمالي الفاتوره]]-Table113[[#This Row],[الدفعات]]</f>
        <v>19994.239999999991</v>
      </c>
    </row>
    <row r="61" spans="2:13" ht="33.75" customHeight="1" x14ac:dyDescent="0.3">
      <c r="B61" s="37"/>
      <c r="K61" s="36">
        <f>Table113[[#This Row],[النولون]]+Table113[[#This Row],[الايصالات]]-Table113[[#This Row],[خصم ]]+Table113[[#This Row],[استخلاص]]</f>
        <v>0</v>
      </c>
      <c r="M61" s="36">
        <f>M60+Table113[[#This Row],[اجمالي الفاتوره]]-Table113[[#This Row],[الدفعات]]</f>
        <v>19994.239999999991</v>
      </c>
    </row>
    <row r="62" spans="2:13" ht="33.75" customHeight="1" x14ac:dyDescent="0.3">
      <c r="B62" s="37"/>
      <c r="K62" s="36">
        <f>Table113[[#This Row],[النولون]]+Table113[[#This Row],[الايصالات]]-Table113[[#This Row],[خصم ]]+Table113[[#This Row],[استخلاص]]</f>
        <v>0</v>
      </c>
      <c r="M62" s="36">
        <f>M61+Table113[[#This Row],[اجمالي الفاتوره]]-Table113[[#This Row],[الدفعات]]</f>
        <v>19994.239999999991</v>
      </c>
    </row>
    <row r="63" spans="2:13" ht="33.75" customHeight="1" x14ac:dyDescent="0.3">
      <c r="B63" s="37"/>
      <c r="K63" s="36">
        <f>Table113[[#This Row],[النولون]]+Table113[[#This Row],[الايصالات]]-Table113[[#This Row],[خصم ]]+Table113[[#This Row],[استخلاص]]</f>
        <v>0</v>
      </c>
      <c r="M63" s="36">
        <f>M62+Table113[[#This Row],[اجمالي الفاتوره]]-Table113[[#This Row],[الدفعات]]</f>
        <v>19994.239999999991</v>
      </c>
    </row>
    <row r="64" spans="2:13" ht="33.75" customHeight="1" x14ac:dyDescent="0.3">
      <c r="B64" s="37"/>
      <c r="K64" s="36">
        <f>Table113[[#This Row],[النولون]]+Table113[[#This Row],[الايصالات]]-Table113[[#This Row],[خصم ]]+Table113[[#This Row],[استخلاص]]</f>
        <v>0</v>
      </c>
      <c r="M64" s="36">
        <f>M63+Table113[[#This Row],[اجمالي الفاتوره]]-Table113[[#This Row],[الدفعات]]</f>
        <v>19994.239999999991</v>
      </c>
    </row>
    <row r="65" spans="2:13" ht="33.75" customHeight="1" x14ac:dyDescent="0.3">
      <c r="B65" s="37"/>
      <c r="K65" s="36">
        <f>Table113[[#This Row],[النولون]]+Table113[[#This Row],[الايصالات]]-Table113[[#This Row],[خصم ]]+Table113[[#This Row],[استخلاص]]</f>
        <v>0</v>
      </c>
      <c r="M65" s="36">
        <f>M64+Table113[[#This Row],[اجمالي الفاتوره]]-Table113[[#This Row],[الدفعات]]</f>
        <v>19994.239999999991</v>
      </c>
    </row>
    <row r="66" spans="2:13" ht="33.75" customHeight="1" x14ac:dyDescent="0.3">
      <c r="K66" s="36">
        <f>Table113[[#This Row],[النولون]]+Table113[[#This Row],[الايصالات]]-Table113[[#This Row],[خصم ]]+Table113[[#This Row],[استخلاص]]</f>
        <v>0</v>
      </c>
      <c r="M66" s="36">
        <f>M65+Table113[[#This Row],[اجمالي الفاتوره]]-Table113[[#This Row],[الدفعات]]</f>
        <v>19994.239999999991</v>
      </c>
    </row>
    <row r="67" spans="2:13" ht="33.75" customHeight="1" x14ac:dyDescent="0.3">
      <c r="K67" s="36">
        <f>Table113[[#This Row],[النولون]]+Table113[[#This Row],[الايصالات]]-Table113[[#This Row],[خصم ]]+Table113[[#This Row],[استخلاص]]</f>
        <v>0</v>
      </c>
      <c r="M67" s="36">
        <f>M66+Table113[[#This Row],[اجمالي الفاتوره]]-Table113[[#This Row],[الدفعات]]</f>
        <v>19994.239999999991</v>
      </c>
    </row>
    <row r="68" spans="2:13" ht="33.75" customHeight="1" x14ac:dyDescent="0.3">
      <c r="B68" s="37"/>
      <c r="K68" s="36">
        <f>Table113[[#This Row],[النولون]]+Table113[[#This Row],[الايصالات]]-Table113[[#This Row],[خصم ]]+Table113[[#This Row],[استخلاص]]</f>
        <v>0</v>
      </c>
      <c r="M68" s="36">
        <f>M67+Table113[[#This Row],[اجمالي الفاتوره]]-Table113[[#This Row],[الدفعات]]</f>
        <v>19994.239999999991</v>
      </c>
    </row>
    <row r="69" spans="2:13" ht="33.75" customHeight="1" x14ac:dyDescent="0.3">
      <c r="B69" s="38"/>
      <c r="C69" s="37"/>
      <c r="K69" s="36">
        <f>Table113[[#This Row],[النولون]]+Table113[[#This Row],[الايصالات]]-Table113[[#This Row],[خصم ]]+Table113[[#This Row],[استخلاص]]</f>
        <v>0</v>
      </c>
      <c r="M69" s="36">
        <f>M68+Table113[[#This Row],[اجمالي الفاتوره]]-Table113[[#This Row],[الدفعات]]</f>
        <v>19994.239999999991</v>
      </c>
    </row>
    <row r="70" spans="2:13" ht="33.75" customHeight="1" x14ac:dyDescent="0.3">
      <c r="B70" s="37"/>
      <c r="K70" s="36">
        <f>Table113[[#This Row],[النولون]]+Table113[[#This Row],[الايصالات]]-Table113[[#This Row],[خصم ]]+Table113[[#This Row],[استخلاص]]</f>
        <v>0</v>
      </c>
      <c r="M70" s="36">
        <f>M69+Table113[[#This Row],[اجمالي الفاتوره]]-Table113[[#This Row],[الدفعات]]</f>
        <v>19994.239999999991</v>
      </c>
    </row>
    <row r="71" spans="2:13" ht="33.75" customHeight="1" x14ac:dyDescent="0.3">
      <c r="B71" s="37"/>
      <c r="K71" s="36">
        <f>Table113[[#This Row],[النولون]]+Table113[[#This Row],[الايصالات]]-Table113[[#This Row],[خصم ]]+Table113[[#This Row],[استخلاص]]</f>
        <v>0</v>
      </c>
      <c r="M71" s="36">
        <f>M70+Table113[[#This Row],[اجمالي الفاتوره]]-Table113[[#This Row],[الدفعات]]</f>
        <v>19994.239999999991</v>
      </c>
    </row>
    <row r="72" spans="2:13" ht="33.75" customHeight="1" x14ac:dyDescent="0.3">
      <c r="B72" s="37"/>
      <c r="K72" s="36">
        <f>Table113[[#This Row],[النولون]]+Table113[[#This Row],[الايصالات]]-Table113[[#This Row],[خصم ]]+Table113[[#This Row],[استخلاص]]</f>
        <v>0</v>
      </c>
      <c r="M72" s="36">
        <f>M71+Table113[[#This Row],[اجمالي الفاتوره]]-Table113[[#This Row],[الدفعات]]</f>
        <v>19994.239999999991</v>
      </c>
    </row>
    <row r="73" spans="2:13" ht="33.75" customHeight="1" x14ac:dyDescent="0.3">
      <c r="B73" s="37"/>
      <c r="K73" s="36">
        <f>Table113[[#This Row],[النولون]]+Table113[[#This Row],[الايصالات]]-Table113[[#This Row],[خصم ]]+Table113[[#This Row],[استخلاص]]</f>
        <v>0</v>
      </c>
      <c r="M73" s="36">
        <f>M72+Table113[[#This Row],[اجمالي الفاتوره]]-Table113[[#This Row],[الدفعات]]</f>
        <v>19994.239999999991</v>
      </c>
    </row>
    <row r="74" spans="2:13" ht="33.75" customHeight="1" x14ac:dyDescent="0.3">
      <c r="B74" s="37"/>
      <c r="K74" s="36">
        <f>Table113[[#This Row],[النولون]]+Table113[[#This Row],[الايصالات]]-Table113[[#This Row],[خصم ]]+Table113[[#This Row],[استخلاص]]</f>
        <v>0</v>
      </c>
      <c r="M74" s="36">
        <f>M73+Table113[[#This Row],[اجمالي الفاتوره]]-Table113[[#This Row],[الدفعات]]</f>
        <v>19994.239999999991</v>
      </c>
    </row>
    <row r="75" spans="2:13" ht="33.75" customHeight="1" x14ac:dyDescent="0.3">
      <c r="B75" s="37"/>
      <c r="K75" s="36">
        <f>Table113[[#This Row],[النولون]]+Table113[[#This Row],[الايصالات]]-Table113[[#This Row],[خصم ]]+Table113[[#This Row],[استخلاص]]</f>
        <v>0</v>
      </c>
      <c r="M75" s="36">
        <f>M74+Table113[[#This Row],[اجمالي الفاتوره]]-Table113[[#This Row],[الدفعات]]</f>
        <v>19994.239999999991</v>
      </c>
    </row>
    <row r="76" spans="2:13" ht="33.75" customHeight="1" x14ac:dyDescent="0.3">
      <c r="B76" s="37"/>
      <c r="K76" s="36">
        <f>Table113[[#This Row],[النولون]]+Table113[[#This Row],[الايصالات]]-Table113[[#This Row],[خصم ]]+Table113[[#This Row],[استخلاص]]</f>
        <v>0</v>
      </c>
      <c r="M76" s="36">
        <f>M75+Table113[[#This Row],[اجمالي الفاتوره]]-Table113[[#This Row],[الدفعات]]</f>
        <v>19994.239999999991</v>
      </c>
    </row>
    <row r="77" spans="2:13" ht="33.75" customHeight="1" x14ac:dyDescent="0.3">
      <c r="K77" s="36">
        <f>Table113[[#This Row],[النولون]]+Table113[[#This Row],[الايصالات]]-Table113[[#This Row],[خصم ]]+Table113[[#This Row],[استخلاص]]</f>
        <v>0</v>
      </c>
      <c r="M77" s="36">
        <f>M76+Table113[[#This Row],[اجمالي الفاتوره]]-Table113[[#This Row],[الدفعات]]</f>
        <v>19994.239999999991</v>
      </c>
    </row>
    <row r="78" spans="2:13" ht="33.75" customHeight="1" x14ac:dyDescent="0.3">
      <c r="B78" s="37"/>
      <c r="K78" s="36">
        <f>Table113[[#This Row],[النولون]]+Table113[[#This Row],[الايصالات]]-Table113[[#This Row],[خصم ]]+Table113[[#This Row],[استخلاص]]</f>
        <v>0</v>
      </c>
      <c r="M78" s="36">
        <f>M77+Table113[[#This Row],[اجمالي الفاتوره]]-Table113[[#This Row],[الدفعات]]</f>
        <v>19994.239999999991</v>
      </c>
    </row>
    <row r="79" spans="2:13" ht="33.75" customHeight="1" x14ac:dyDescent="0.3">
      <c r="B79" s="37"/>
      <c r="K79" s="36">
        <f>Table113[[#This Row],[النولون]]+Table113[[#This Row],[الايصالات]]-Table113[[#This Row],[خصم ]]+Table113[[#This Row],[استخلاص]]</f>
        <v>0</v>
      </c>
      <c r="M79" s="36">
        <f>M78+Table113[[#This Row],[اجمالي الفاتوره]]-Table113[[#This Row],[الدفعات]]</f>
        <v>19994.239999999991</v>
      </c>
    </row>
    <row r="80" spans="2:13" ht="33.75" customHeight="1" x14ac:dyDescent="0.3">
      <c r="B80" s="37"/>
      <c r="K80" s="36">
        <f>Table113[[#This Row],[النولون]]+Table113[[#This Row],[الايصالات]]-Table113[[#This Row],[خصم ]]+Table113[[#This Row],[استخلاص]]</f>
        <v>0</v>
      </c>
      <c r="M80" s="36">
        <f>M79+Table113[[#This Row],[اجمالي الفاتوره]]-Table113[[#This Row],[الدفعات]]</f>
        <v>19994.239999999991</v>
      </c>
    </row>
    <row r="81" spans="2:13" ht="33.75" customHeight="1" x14ac:dyDescent="0.3">
      <c r="B81" s="37"/>
      <c r="K81" s="36">
        <f>Table113[[#This Row],[النولون]]+Table113[[#This Row],[الايصالات]]-Table113[[#This Row],[خصم ]]+Table113[[#This Row],[استخلاص]]</f>
        <v>0</v>
      </c>
      <c r="M81" s="36">
        <f>M80+Table113[[#This Row],[اجمالي الفاتوره]]-Table113[[#This Row],[الدفعات]]</f>
        <v>19994.239999999991</v>
      </c>
    </row>
    <row r="82" spans="2:13" ht="33.75" customHeight="1" x14ac:dyDescent="0.3">
      <c r="B82" s="37"/>
      <c r="K82" s="36">
        <f>Table113[[#This Row],[النولون]]+Table113[[#This Row],[الايصالات]]-Table113[[#This Row],[خصم ]]+Table113[[#This Row],[استخلاص]]</f>
        <v>0</v>
      </c>
      <c r="M82" s="36">
        <f>M81+Table113[[#This Row],[اجمالي الفاتوره]]-Table113[[#This Row],[الدفعات]]</f>
        <v>19994.239999999991</v>
      </c>
    </row>
    <row r="83" spans="2:13" ht="33.75" customHeight="1" x14ac:dyDescent="0.3">
      <c r="B83" s="37"/>
      <c r="K83" s="36">
        <f>Table113[[#This Row],[النولون]]+Table113[[#This Row],[الايصالات]]-Table113[[#This Row],[خصم ]]+Table113[[#This Row],[استخلاص]]</f>
        <v>0</v>
      </c>
      <c r="M83" s="36">
        <f>M82+Table113[[#This Row],[اجمالي الفاتوره]]-Table113[[#This Row],[الدفعات]]</f>
        <v>19994.239999999991</v>
      </c>
    </row>
    <row r="84" spans="2:13" ht="33.75" customHeight="1" x14ac:dyDescent="0.3">
      <c r="B84" s="37"/>
      <c r="M84" s="36">
        <f>M83+Table113[[#This Row],[اجمالي الفاتوره]]-Table113[[#This Row],[الدفعات]]</f>
        <v>19994.239999999991</v>
      </c>
    </row>
    <row r="85" spans="2:13" ht="33.75" customHeight="1" x14ac:dyDescent="0.3">
      <c r="B85" s="37"/>
      <c r="K85" s="36">
        <f>Table113[[#This Row],[النولون]]+Table113[[#This Row],[الايصالات]]-Table113[[#This Row],[خصم ]]+Table113[[#This Row],[استخلاص]]</f>
        <v>0</v>
      </c>
      <c r="M85" s="36">
        <f>M84+Table113[[#This Row],[اجمالي الفاتوره]]-Table113[[#This Row],[الدفعات]]</f>
        <v>19994.239999999991</v>
      </c>
    </row>
    <row r="86" spans="2:13" ht="33.75" customHeight="1" x14ac:dyDescent="0.3">
      <c r="B86" s="37"/>
      <c r="K86" s="36">
        <f>Table113[[#This Row],[النولون]]+Table113[[#This Row],[الايصالات]]-Table113[[#This Row],[خصم ]]+Table113[[#This Row],[استخلاص]]</f>
        <v>0</v>
      </c>
      <c r="M86" s="36">
        <f>M85+Table113[[#This Row],[اجمالي الفاتوره]]-Table113[[#This Row],[الدفعات]]</f>
        <v>19994.239999999991</v>
      </c>
    </row>
    <row r="87" spans="2:13" ht="33.75" customHeight="1" x14ac:dyDescent="0.3">
      <c r="B87" s="37"/>
      <c r="K87" s="36">
        <f>Table113[[#This Row],[النولون]]+Table113[[#This Row],[الايصالات]]-Table113[[#This Row],[خصم ]]+Table113[[#This Row],[استخلاص]]</f>
        <v>0</v>
      </c>
      <c r="M87" s="36">
        <f>M86+Table113[[#This Row],[اجمالي الفاتوره]]-Table113[[#This Row],[الدفعات]]</f>
        <v>19994.239999999991</v>
      </c>
    </row>
    <row r="88" spans="2:13" ht="33.75" customHeight="1" x14ac:dyDescent="0.3">
      <c r="B88" s="37"/>
      <c r="K88" s="36">
        <f>Table113[[#This Row],[النولون]]+Table113[[#This Row],[الايصالات]]-Table113[[#This Row],[خصم ]]+Table113[[#This Row],[استخلاص]]</f>
        <v>0</v>
      </c>
      <c r="M88" s="36">
        <f>M87+Table113[[#This Row],[اجمالي الفاتوره]]-Table113[[#This Row],[الدفعات]]</f>
        <v>19994.239999999991</v>
      </c>
    </row>
    <row r="89" spans="2:13" ht="33.75" customHeight="1" x14ac:dyDescent="0.3">
      <c r="B89" s="37"/>
      <c r="K89" s="36">
        <f>Table113[[#This Row],[النولون]]+Table113[[#This Row],[الايصالات]]-Table113[[#This Row],[خصم ]]+Table113[[#This Row],[استخلاص]]</f>
        <v>0</v>
      </c>
      <c r="M89" s="36">
        <f>M88+Table113[[#This Row],[اجمالي الفاتوره]]-Table113[[#This Row],[الدفعات]]</f>
        <v>19994.239999999991</v>
      </c>
    </row>
    <row r="90" spans="2:13" ht="33.75" customHeight="1" x14ac:dyDescent="0.3">
      <c r="B90" s="37"/>
      <c r="K90" s="36">
        <f>Table113[[#This Row],[النولون]]+Table113[[#This Row],[الايصالات]]-Table113[[#This Row],[خصم ]]+Table113[[#This Row],[استخلاص]]</f>
        <v>0</v>
      </c>
      <c r="M90" s="36">
        <f>M89+Table113[[#This Row],[اجمالي الفاتوره]]-Table113[[#This Row],[الدفعات]]</f>
        <v>19994.239999999991</v>
      </c>
    </row>
    <row r="91" spans="2:13" ht="33.75" customHeight="1" x14ac:dyDescent="0.3">
      <c r="B91" s="37"/>
      <c r="K91" s="36">
        <f>Table113[[#This Row],[النولون]]+Table113[[#This Row],[الايصالات]]-Table113[[#This Row],[خصم ]]+Table113[[#This Row],[استخلاص]]</f>
        <v>0</v>
      </c>
      <c r="M91" s="36">
        <f>M90+Table113[[#This Row],[اجمالي الفاتوره]]-Table113[[#This Row],[الدفعات]]</f>
        <v>19994.239999999991</v>
      </c>
    </row>
    <row r="92" spans="2:13" ht="33.75" customHeight="1" x14ac:dyDescent="0.3">
      <c r="B92" s="37"/>
      <c r="K92" s="36">
        <f>Table113[[#This Row],[النولون]]+Table113[[#This Row],[الايصالات]]-Table113[[#This Row],[خصم ]]+Table113[[#This Row],[استخلاص]]</f>
        <v>0</v>
      </c>
      <c r="M92" s="36">
        <f>M91+Table113[[#This Row],[اجمالي الفاتوره]]-Table113[[#This Row],[الدفعات]]</f>
        <v>19994.239999999991</v>
      </c>
    </row>
    <row r="93" spans="2:13" ht="33.75" customHeight="1" x14ac:dyDescent="0.3">
      <c r="B93" s="37"/>
      <c r="K93" s="36">
        <f>Table113[[#This Row],[النولون]]+Table113[[#This Row],[الايصالات]]-Table113[[#This Row],[خصم ]]+Table113[[#This Row],[استخلاص]]</f>
        <v>0</v>
      </c>
      <c r="M93" s="36">
        <f>M92+Table113[[#This Row],[اجمالي الفاتوره]]-Table113[[#This Row],[الدفعات]]</f>
        <v>19994.239999999991</v>
      </c>
    </row>
    <row r="94" spans="2:13" ht="33.75" customHeight="1" x14ac:dyDescent="0.3">
      <c r="B94" s="37"/>
      <c r="K94" s="36">
        <f>Table113[[#This Row],[النولون]]+Table113[[#This Row],[الايصالات]]-Table113[[#This Row],[خصم ]]+Table113[[#This Row],[استخلاص]]</f>
        <v>0</v>
      </c>
      <c r="M94" s="36">
        <f>M93+Table113[[#This Row],[اجمالي الفاتوره]]-Table113[[#This Row],[الدفعات]]</f>
        <v>19994.239999999991</v>
      </c>
    </row>
    <row r="95" spans="2:13" ht="33.75" customHeight="1" x14ac:dyDescent="0.3">
      <c r="B95" s="37"/>
      <c r="K95" s="36">
        <f>Table113[[#This Row],[النولون]]+Table113[[#This Row],[الايصالات]]-Table113[[#This Row],[خصم ]]+Table113[[#This Row],[استخلاص]]</f>
        <v>0</v>
      </c>
      <c r="M95" s="36">
        <f>M94+Table113[[#This Row],[اجمالي الفاتوره]]-Table113[[#This Row],[الدفعات]]</f>
        <v>19994.239999999991</v>
      </c>
    </row>
    <row r="96" spans="2:13" ht="33.75" customHeight="1" x14ac:dyDescent="0.3">
      <c r="B96" s="37"/>
      <c r="K96" s="36">
        <f>Table113[[#This Row],[النولون]]+Table113[[#This Row],[الايصالات]]-Table113[[#This Row],[خصم ]]+Table113[[#This Row],[استخلاص]]</f>
        <v>0</v>
      </c>
      <c r="M96" s="36">
        <f>M95+Table113[[#This Row],[اجمالي الفاتوره]]-Table113[[#This Row],[الدفعات]]</f>
        <v>19994.239999999991</v>
      </c>
    </row>
    <row r="97" spans="2:13" ht="33.75" customHeight="1" x14ac:dyDescent="0.3">
      <c r="B97" s="37"/>
      <c r="K97" s="36">
        <f>Table113[[#This Row],[النولون]]+Table113[[#This Row],[الايصالات]]-Table113[[#This Row],[خصم ]]+Table113[[#This Row],[استخلاص]]</f>
        <v>0</v>
      </c>
      <c r="M97" s="36">
        <f>M96+Table113[[#This Row],[اجمالي الفاتوره]]-Table113[[#This Row],[الدفعات]]</f>
        <v>19994.239999999991</v>
      </c>
    </row>
    <row r="98" spans="2:13" ht="33.75" customHeight="1" x14ac:dyDescent="0.3">
      <c r="B98" s="37"/>
      <c r="K98" s="36">
        <f>Table113[[#This Row],[النولون]]+Table113[[#This Row],[الايصالات]]-Table113[[#This Row],[خصم ]]+Table113[[#This Row],[استخلاص]]</f>
        <v>0</v>
      </c>
      <c r="M98" s="36">
        <f>M97+Table113[[#This Row],[اجمالي الفاتوره]]-Table113[[#This Row],[الدفعات]]</f>
        <v>19994.239999999991</v>
      </c>
    </row>
    <row r="99" spans="2:13" ht="33.75" customHeight="1" x14ac:dyDescent="0.3">
      <c r="B99" s="37"/>
      <c r="K99" s="36">
        <f>Table113[[#This Row],[النولون]]+Table113[[#This Row],[الايصالات]]-Table113[[#This Row],[خصم ]]+Table113[[#This Row],[استخلاص]]</f>
        <v>0</v>
      </c>
      <c r="M99" s="36">
        <f>M98+Table113[[#This Row],[اجمالي الفاتوره]]-Table113[[#This Row],[الدفعات]]</f>
        <v>19994.239999999991</v>
      </c>
    </row>
    <row r="100" spans="2:13" ht="33.75" customHeight="1" x14ac:dyDescent="0.3">
      <c r="B100" s="39"/>
      <c r="K100" s="36">
        <f>Table113[[#This Row],[النولون]]+Table113[[#This Row],[الايصالات]]-Table113[[#This Row],[خصم ]]+Table113[[#This Row],[استخلاص]]</f>
        <v>0</v>
      </c>
      <c r="M100" s="36">
        <f>M99+Table113[[#This Row],[اجمالي الفاتوره]]-Table113[[#This Row],[الدفعات]]</f>
        <v>19994.239999999991</v>
      </c>
    </row>
    <row r="101" spans="2:13" ht="33.75" customHeight="1" x14ac:dyDescent="0.3">
      <c r="K101" s="36">
        <f>Table113[[#This Row],[النولون]]+Table113[[#This Row],[الايصالات]]-Table113[[#This Row],[خصم ]]+Table113[[#This Row],[استخلاص]]</f>
        <v>0</v>
      </c>
      <c r="M101" s="36">
        <f>M100+Table113[[#This Row],[اجمالي الفاتوره]]-Table113[[#This Row],[الدفعات]]</f>
        <v>19994.239999999991</v>
      </c>
    </row>
    <row r="102" spans="2:13" ht="33.75" customHeight="1" x14ac:dyDescent="0.3">
      <c r="K102" s="36">
        <f>Table113[[#This Row],[النولون]]+Table113[[#This Row],[الايصالات]]-Table113[[#This Row],[خصم ]]+Table113[[#This Row],[استخلاص]]</f>
        <v>0</v>
      </c>
      <c r="M102" s="36">
        <f>M101+Table113[[#This Row],[اجمالي الفاتوره]]-Table113[[#This Row],[الدفعات]]</f>
        <v>19994.239999999991</v>
      </c>
    </row>
    <row r="103" spans="2:13" ht="33.75" customHeight="1" x14ac:dyDescent="0.3">
      <c r="K103" s="36">
        <f>Table113[[#This Row],[النولون]]+Table113[[#This Row],[الايصالات]]-Table113[[#This Row],[خصم ]]+Table113[[#This Row],[استخلاص]]</f>
        <v>0</v>
      </c>
      <c r="M103" s="36">
        <f>M102+Table113[[#This Row],[اجمالي الفاتوره]]-Table113[[#This Row],[الدفعات]]</f>
        <v>19994.239999999991</v>
      </c>
    </row>
    <row r="104" spans="2:13" ht="33.75" customHeight="1" x14ac:dyDescent="0.3">
      <c r="K104" s="36">
        <f>Table113[[#This Row],[النولون]]+Table113[[#This Row],[الايصالات]]-Table113[[#This Row],[خصم ]]+Table113[[#This Row],[استخلاص]]</f>
        <v>0</v>
      </c>
      <c r="M104" s="36">
        <f>M103+Table113[[#This Row],[اجمالي الفاتوره]]-Table113[[#This Row],[الدفعات]]</f>
        <v>19994.239999999991</v>
      </c>
    </row>
    <row r="105" spans="2:13" ht="33.75" customHeight="1" x14ac:dyDescent="0.3">
      <c r="K105" s="36">
        <f>Table113[[#This Row],[النولون]]+Table113[[#This Row],[الايصالات]]-Table113[[#This Row],[خصم ]]+Table113[[#This Row],[استخلاص]]</f>
        <v>0</v>
      </c>
      <c r="M105" s="36">
        <f>M104+Table113[[#This Row],[اجمالي الفاتوره]]-Table113[[#This Row],[الدفعات]]</f>
        <v>19994.239999999991</v>
      </c>
    </row>
    <row r="106" spans="2:13" ht="33.75" customHeight="1" x14ac:dyDescent="0.3">
      <c r="K106" s="36">
        <f>Table113[[#This Row],[النولون]]+Table113[[#This Row],[الايصالات]]-Table113[[#This Row],[خصم ]]+Table113[[#This Row],[استخلاص]]</f>
        <v>0</v>
      </c>
      <c r="M106" s="36">
        <f>M105+Table113[[#This Row],[اجمالي الفاتوره]]-Table113[[#This Row],[الدفعات]]</f>
        <v>19994.239999999991</v>
      </c>
    </row>
    <row r="107" spans="2:13" ht="33.75" customHeight="1" x14ac:dyDescent="0.3">
      <c r="K107" s="36">
        <f>Table113[[#This Row],[النولون]]+Table113[[#This Row],[الايصالات]]-Table113[[#This Row],[خصم ]]+Table113[[#This Row],[استخلاص]]</f>
        <v>0</v>
      </c>
      <c r="M107" s="36">
        <f>M106+Table113[[#This Row],[اجمالي الفاتوره]]-Table113[[#This Row],[الدفعات]]</f>
        <v>19994.239999999991</v>
      </c>
    </row>
    <row r="108" spans="2:13" ht="33.75" customHeight="1" x14ac:dyDescent="0.3">
      <c r="K108" s="36">
        <f>Table113[[#This Row],[النولون]]+Table113[[#This Row],[الايصالات]]-Table113[[#This Row],[خصم ]]+Table113[[#This Row],[استخلاص]]</f>
        <v>0</v>
      </c>
      <c r="M108" s="36">
        <f>M107+Table113[[#This Row],[اجمالي الفاتوره]]-Table113[[#This Row],[الدفعات]]</f>
        <v>19994.239999999991</v>
      </c>
    </row>
    <row r="109" spans="2:13" ht="33.75" customHeight="1" x14ac:dyDescent="0.3">
      <c r="K109" s="36">
        <f>Table113[[#This Row],[النولون]]+Table113[[#This Row],[الايصالات]]-Table113[[#This Row],[خصم ]]+Table113[[#This Row],[استخلاص]]</f>
        <v>0</v>
      </c>
      <c r="M109" s="36">
        <f>M108+Table113[[#This Row],[اجمالي الفاتوره]]-Table113[[#This Row],[الدفعات]]</f>
        <v>19994.239999999991</v>
      </c>
    </row>
    <row r="110" spans="2:13" ht="33.75" customHeight="1" x14ac:dyDescent="0.3">
      <c r="K110" s="36">
        <f>Table113[[#This Row],[النولون]]+Table113[[#This Row],[الايصالات]]-Table113[[#This Row],[خصم ]]+Table113[[#This Row],[استخلاص]]</f>
        <v>0</v>
      </c>
      <c r="M110" s="36">
        <f>M109+Table113[[#This Row],[اجمالي الفاتوره]]-Table113[[#This Row],[الدفعات]]</f>
        <v>19994.239999999991</v>
      </c>
    </row>
    <row r="111" spans="2:13" ht="33.75" customHeight="1" x14ac:dyDescent="0.3">
      <c r="K111" s="36">
        <f>Table113[[#This Row],[النولون]]+Table113[[#This Row],[الايصالات]]-Table113[[#This Row],[خصم ]]+Table113[[#This Row],[استخلاص]]</f>
        <v>0</v>
      </c>
      <c r="M111" s="36">
        <f>M110+Table113[[#This Row],[اجمالي الفاتوره]]-Table113[[#This Row],[الدفعات]]</f>
        <v>19994.239999999991</v>
      </c>
    </row>
    <row r="112" spans="2:13" ht="33.75" customHeight="1" x14ac:dyDescent="0.3">
      <c r="K112" s="36">
        <f>Table113[[#This Row],[النولون]]+Table113[[#This Row],[الايصالات]]-Table113[[#This Row],[خصم ]]+Table113[[#This Row],[استخلاص]]</f>
        <v>0</v>
      </c>
      <c r="M112" s="36">
        <f>M111+Table113[[#This Row],[اجمالي الفاتوره]]-Table113[[#This Row],[الدفعات]]</f>
        <v>19994.239999999991</v>
      </c>
    </row>
    <row r="113" spans="11:13" ht="33.75" customHeight="1" x14ac:dyDescent="0.3">
      <c r="K113" s="36">
        <f>Table113[[#This Row],[النولون]]+Table113[[#This Row],[الايصالات]]-Table113[[#This Row],[خصم ]]+Table113[[#This Row],[استخلاص]]</f>
        <v>0</v>
      </c>
      <c r="M113" s="36">
        <f>M112+Table113[[#This Row],[اجمالي الفاتوره]]-Table113[[#This Row],[الدفعات]]</f>
        <v>19994.239999999991</v>
      </c>
    </row>
    <row r="114" spans="11:13" ht="33.75" customHeight="1" x14ac:dyDescent="0.3">
      <c r="K114" s="36">
        <f>Table113[[#This Row],[النولون]]+Table113[[#This Row],[الايصالات]]-Table113[[#This Row],[خصم ]]+Table113[[#This Row],[استخلاص]]</f>
        <v>0</v>
      </c>
      <c r="M114" s="36">
        <f>M113+Table113[[#This Row],[اجمالي الفاتوره]]-Table113[[#This Row],[الدفعات]]</f>
        <v>19994.239999999991</v>
      </c>
    </row>
    <row r="115" spans="11:13" ht="33.75" customHeight="1" x14ac:dyDescent="0.3">
      <c r="K115" s="36">
        <f>Table113[[#This Row],[النولون]]+Table113[[#This Row],[الايصالات]]-Table113[[#This Row],[خصم ]]+Table113[[#This Row],[استخلاص]]</f>
        <v>0</v>
      </c>
      <c r="M115" s="36">
        <f>M114+Table113[[#This Row],[اجمالي الفاتوره]]-Table113[[#This Row],[الدفعات]]</f>
        <v>19994.239999999991</v>
      </c>
    </row>
    <row r="116" spans="11:13" ht="33.75" customHeight="1" x14ac:dyDescent="0.3">
      <c r="K116" s="36">
        <f>Table113[[#This Row],[النولون]]+Table113[[#This Row],[الايصالات]]-Table113[[#This Row],[خصم ]]+Table113[[#This Row],[استخلاص]]</f>
        <v>0</v>
      </c>
      <c r="M116" s="36">
        <f>M115+Table113[[#This Row],[اجمالي الفاتوره]]-Table113[[#This Row],[الدفعات]]</f>
        <v>19994.239999999991</v>
      </c>
    </row>
    <row r="117" spans="11:13" ht="33.75" customHeight="1" x14ac:dyDescent="0.3">
      <c r="K117" s="36">
        <f>Table113[[#This Row],[النولون]]+Table113[[#This Row],[الايصالات]]-Table113[[#This Row],[خصم ]]+Table113[[#This Row],[استخلاص]]</f>
        <v>0</v>
      </c>
      <c r="M117" s="36">
        <f>M116+Table113[[#This Row],[اجمالي الفاتوره]]-Table113[[#This Row],[الدفعات]]</f>
        <v>19994.239999999991</v>
      </c>
    </row>
    <row r="118" spans="11:13" ht="33.75" customHeight="1" x14ac:dyDescent="0.3">
      <c r="K118" s="36">
        <f>Table113[[#This Row],[النولون]]+Table113[[#This Row],[الايصالات]]-Table113[[#This Row],[خصم ]]+Table113[[#This Row],[استخلاص]]</f>
        <v>0</v>
      </c>
      <c r="M118" s="36">
        <f>M117+Table113[[#This Row],[اجمالي الفاتوره]]-Table113[[#This Row],[الدفعات]]</f>
        <v>19994.239999999991</v>
      </c>
    </row>
    <row r="119" spans="11:13" ht="33.75" customHeight="1" x14ac:dyDescent="0.3">
      <c r="K119" s="36">
        <f>Table113[[#This Row],[النولون]]+Table113[[#This Row],[الايصالات]]-Table113[[#This Row],[خصم ]]+Table113[[#This Row],[استخلاص]]</f>
        <v>0</v>
      </c>
      <c r="M119" s="36">
        <f>M118+Table113[[#This Row],[اجمالي الفاتوره]]-Table113[[#This Row],[الدفعات]]</f>
        <v>19994.239999999991</v>
      </c>
    </row>
    <row r="120" spans="11:13" ht="33.75" customHeight="1" x14ac:dyDescent="0.3">
      <c r="K120" s="36">
        <f>Table113[[#This Row],[النولون]]+Table113[[#This Row],[الايصالات]]-Table113[[#This Row],[خصم ]]+Table113[[#This Row],[استخلاص]]</f>
        <v>0</v>
      </c>
      <c r="M120" s="36">
        <f>M119+Table113[[#This Row],[اجمالي الفاتوره]]-Table113[[#This Row],[الدفعات]]</f>
        <v>19994.239999999991</v>
      </c>
    </row>
    <row r="121" spans="11:13" ht="33.75" customHeight="1" x14ac:dyDescent="0.3">
      <c r="K121" s="36">
        <f>Table113[[#This Row],[النولون]]+Table113[[#This Row],[الايصالات]]-Table113[[#This Row],[خصم ]]+Table113[[#This Row],[استخلاص]]</f>
        <v>0</v>
      </c>
      <c r="M121" s="36">
        <f>M120+Table113[[#This Row],[اجمالي الفاتوره]]-Table113[[#This Row],[الدفعات]]</f>
        <v>19994.239999999991</v>
      </c>
    </row>
    <row r="122" spans="11:13" ht="33.75" customHeight="1" x14ac:dyDescent="0.3">
      <c r="K122" s="36">
        <f>Table113[[#This Row],[النولون]]+Table113[[#This Row],[الايصالات]]-Table113[[#This Row],[خصم ]]+Table113[[#This Row],[استخلاص]]</f>
        <v>0</v>
      </c>
      <c r="M122" s="36">
        <f>M121+Table113[[#This Row],[اجمالي الفاتوره]]-Table113[[#This Row],[الدفعات]]</f>
        <v>19994.239999999991</v>
      </c>
    </row>
    <row r="123" spans="11:13" ht="33.75" customHeight="1" x14ac:dyDescent="0.3">
      <c r="K123" s="36">
        <f>Table113[[#This Row],[النولون]]+Table113[[#This Row],[الايصالات]]-Table113[[#This Row],[خصم ]]+Table113[[#This Row],[استخلاص]]</f>
        <v>0</v>
      </c>
      <c r="M123" s="36">
        <f>M122+Table113[[#This Row],[اجمالي الفاتوره]]-Table113[[#This Row],[الدفعات]]</f>
        <v>19994.239999999991</v>
      </c>
    </row>
    <row r="124" spans="11:13" ht="33.75" customHeight="1" x14ac:dyDescent="0.3">
      <c r="K124" s="36">
        <f>Table113[[#This Row],[النولون]]+Table113[[#This Row],[الايصالات]]-Table113[[#This Row],[خصم ]]+Table113[[#This Row],[استخلاص]]</f>
        <v>0</v>
      </c>
      <c r="M124" s="36">
        <f>M123+Table113[[#This Row],[اجمالي الفاتوره]]-Table113[[#This Row],[الدفعات]]</f>
        <v>19994.239999999991</v>
      </c>
    </row>
    <row r="125" spans="11:13" ht="33.75" customHeight="1" x14ac:dyDescent="0.3">
      <c r="K125" s="36">
        <f>Table113[[#This Row],[النولون]]+Table113[[#This Row],[الايصالات]]-Table113[[#This Row],[خصم ]]+Table113[[#This Row],[استخلاص]]</f>
        <v>0</v>
      </c>
      <c r="M125" s="36">
        <f>M124+Table113[[#This Row],[اجمالي الفاتوره]]-Table113[[#This Row],[الدفعات]]</f>
        <v>19994.239999999991</v>
      </c>
    </row>
    <row r="126" spans="11:13" ht="33.75" customHeight="1" x14ac:dyDescent="0.3">
      <c r="K126" s="36">
        <f>Table113[[#This Row],[النولون]]+Table113[[#This Row],[الايصالات]]-Table113[[#This Row],[خصم ]]+Table113[[#This Row],[استخلاص]]</f>
        <v>0</v>
      </c>
      <c r="M126" s="36">
        <f>M125+Table113[[#This Row],[اجمالي الفاتوره]]-Table113[[#This Row],[الدفعات]]</f>
        <v>19994.239999999991</v>
      </c>
    </row>
    <row r="127" spans="11:13" ht="33.75" customHeight="1" x14ac:dyDescent="0.3">
      <c r="K127" s="36">
        <f>Table113[[#This Row],[النولون]]+Table113[[#This Row],[الايصالات]]-Table113[[#This Row],[خصم ]]+Table113[[#This Row],[استخلاص]]</f>
        <v>0</v>
      </c>
      <c r="M127" s="36">
        <f>M126+Table113[[#This Row],[اجمالي الفاتوره]]-Table113[[#This Row],[الدفعات]]</f>
        <v>19994.239999999991</v>
      </c>
    </row>
    <row r="128" spans="11:13" ht="33.75" customHeight="1" x14ac:dyDescent="0.3">
      <c r="K128" s="36">
        <f>Table113[[#This Row],[النولون]]+Table113[[#This Row],[الايصالات]]-Table113[[#This Row],[خصم ]]+Table113[[#This Row],[استخلاص]]</f>
        <v>0</v>
      </c>
      <c r="M128" s="36">
        <f>M127+Table113[[#This Row],[اجمالي الفاتوره]]-Table113[[#This Row],[الدفعات]]</f>
        <v>19994.239999999991</v>
      </c>
    </row>
    <row r="129" spans="11:13" ht="33.75" customHeight="1" x14ac:dyDescent="0.3">
      <c r="K129" s="36">
        <f>Table113[[#This Row],[النولون]]+Table113[[#This Row],[الايصالات]]-Table113[[#This Row],[خصم ]]+Table113[[#This Row],[استخلاص]]</f>
        <v>0</v>
      </c>
      <c r="M129" s="36">
        <f>M128+Table113[[#This Row],[اجمالي الفاتوره]]-Table113[[#This Row],[الدفعات]]</f>
        <v>19994.239999999991</v>
      </c>
    </row>
    <row r="130" spans="11:13" ht="33.75" customHeight="1" x14ac:dyDescent="0.3">
      <c r="K130" s="36">
        <f>Table113[[#This Row],[النولون]]+Table113[[#This Row],[الايصالات]]-Table113[[#This Row],[خصم ]]+Table113[[#This Row],[استخلاص]]</f>
        <v>0</v>
      </c>
      <c r="M130" s="36">
        <f>M129+Table113[[#This Row],[اجمالي الفاتوره]]-Table113[[#This Row],[الدفعات]]</f>
        <v>19994.239999999991</v>
      </c>
    </row>
    <row r="131" spans="11:13" ht="33.75" customHeight="1" x14ac:dyDescent="0.3">
      <c r="K131" s="36">
        <f>Table113[[#This Row],[النولون]]+Table113[[#This Row],[الايصالات]]-Table113[[#This Row],[خصم ]]+Table113[[#This Row],[استخلاص]]</f>
        <v>0</v>
      </c>
      <c r="M131" s="36">
        <f>M130+Table113[[#This Row],[اجمالي الفاتوره]]-Table113[[#This Row],[الدفعات]]</f>
        <v>19994.239999999991</v>
      </c>
    </row>
    <row r="132" spans="11:13" ht="33.75" customHeight="1" x14ac:dyDescent="0.3">
      <c r="K132" s="36">
        <f>Table113[[#This Row],[النولون]]+Table113[[#This Row],[الايصالات]]-Table113[[#This Row],[خصم ]]+Table113[[#This Row],[استخلاص]]</f>
        <v>0</v>
      </c>
      <c r="M132" s="36">
        <f>M131+Table113[[#This Row],[اجمالي الفاتوره]]-Table113[[#This Row],[الدفعات]]</f>
        <v>19994.239999999991</v>
      </c>
    </row>
    <row r="133" spans="11:13" ht="33.75" customHeight="1" x14ac:dyDescent="0.3">
      <c r="K133" s="36">
        <f>Table113[[#This Row],[النولون]]+Table113[[#This Row],[الايصالات]]-Table113[[#This Row],[خصم ]]+Table113[[#This Row],[استخلاص]]</f>
        <v>0</v>
      </c>
      <c r="M133" s="36">
        <f>M132+Table113[[#This Row],[اجمالي الفاتوره]]-Table113[[#This Row],[الدفعات]]</f>
        <v>19994.239999999991</v>
      </c>
    </row>
    <row r="134" spans="11:13" ht="33.75" customHeight="1" x14ac:dyDescent="0.3">
      <c r="K134" s="36">
        <f>Table113[[#This Row],[النولون]]+Table113[[#This Row],[الايصالات]]-Table113[[#This Row],[خصم ]]+Table113[[#This Row],[استخلاص]]</f>
        <v>0</v>
      </c>
      <c r="M134" s="36">
        <f>M133+Table113[[#This Row],[اجمالي الفاتوره]]-Table113[[#This Row],[الدفعات]]</f>
        <v>19994.239999999991</v>
      </c>
    </row>
    <row r="135" spans="11:13" ht="33.75" customHeight="1" x14ac:dyDescent="0.3">
      <c r="K135" s="36">
        <f>Table113[[#This Row],[النولون]]+Table113[[#This Row],[الايصالات]]-Table113[[#This Row],[خصم ]]+Table113[[#This Row],[استخلاص]]</f>
        <v>0</v>
      </c>
      <c r="M135" s="36">
        <f>M134+Table113[[#This Row],[اجمالي الفاتوره]]-Table113[[#This Row],[الدفعات]]</f>
        <v>19994.239999999991</v>
      </c>
    </row>
    <row r="136" spans="11:13" ht="33.75" customHeight="1" x14ac:dyDescent="0.3">
      <c r="K136" s="36">
        <f>Table113[[#This Row],[النولون]]+Table113[[#This Row],[الايصالات]]-Table113[[#This Row],[خصم ]]+Table113[[#This Row],[استخلاص]]</f>
        <v>0</v>
      </c>
      <c r="M136" s="36">
        <f>M135+Table113[[#This Row],[اجمالي الفاتوره]]-Table113[[#This Row],[الدفعات]]</f>
        <v>19994.239999999991</v>
      </c>
    </row>
    <row r="137" spans="11:13" ht="33.75" customHeight="1" x14ac:dyDescent="0.3">
      <c r="K137" s="36">
        <f>Table113[[#This Row],[النولون]]+Table113[[#This Row],[الايصالات]]-Table113[[#This Row],[خصم ]]+Table113[[#This Row],[استخلاص]]</f>
        <v>0</v>
      </c>
      <c r="M137" s="36">
        <f>M136+Table113[[#This Row],[اجمالي الفاتوره]]-Table113[[#This Row],[الدفعات]]</f>
        <v>19994.239999999991</v>
      </c>
    </row>
    <row r="138" spans="11:13" ht="33.75" customHeight="1" x14ac:dyDescent="0.3">
      <c r="K138" s="36">
        <f>Table113[[#This Row],[النولون]]+Table113[[#This Row],[الايصالات]]-Table113[[#This Row],[خصم ]]+Table113[[#This Row],[استخلاص]]</f>
        <v>0</v>
      </c>
      <c r="M138" s="36">
        <f>M137+Table113[[#This Row],[اجمالي الفاتوره]]-Table113[[#This Row],[الدفعات]]</f>
        <v>19994.239999999991</v>
      </c>
    </row>
    <row r="139" spans="11:13" ht="33.75" customHeight="1" x14ac:dyDescent="0.3">
      <c r="K139" s="36">
        <f>Table113[[#This Row],[النولون]]+Table113[[#This Row],[الايصالات]]-Table113[[#This Row],[خصم ]]+Table113[[#This Row],[استخلاص]]</f>
        <v>0</v>
      </c>
      <c r="M139" s="36">
        <f>M138+Table113[[#This Row],[اجمالي الفاتوره]]-Table113[[#This Row],[الدفعات]]</f>
        <v>19994.239999999991</v>
      </c>
    </row>
    <row r="140" spans="11:13" ht="33.75" customHeight="1" x14ac:dyDescent="0.3">
      <c r="K140" s="36">
        <f>Table113[[#This Row],[النولون]]+Table113[[#This Row],[الايصالات]]-Table113[[#This Row],[خصم ]]+Table113[[#This Row],[استخلاص]]</f>
        <v>0</v>
      </c>
      <c r="M140" s="36">
        <f>M139+Table113[[#This Row],[اجمالي الفاتوره]]-Table113[[#This Row],[الدفعات]]</f>
        <v>19994.239999999991</v>
      </c>
    </row>
    <row r="141" spans="11:13" ht="33.75" customHeight="1" x14ac:dyDescent="0.3">
      <c r="K141" s="36">
        <f>Table113[[#This Row],[النولون]]+Table113[[#This Row],[الايصالات]]-Table113[[#This Row],[خصم ]]+Table113[[#This Row],[استخلاص]]</f>
        <v>0</v>
      </c>
      <c r="M141" s="36">
        <f>M140+Table113[[#This Row],[اجمالي الفاتوره]]-Table113[[#This Row],[الدفعات]]</f>
        <v>19994.239999999991</v>
      </c>
    </row>
    <row r="142" spans="11:13" ht="33.75" customHeight="1" x14ac:dyDescent="0.3">
      <c r="K142" s="36">
        <f>Table113[[#This Row],[النولون]]+Table113[[#This Row],[الايصالات]]-Table113[[#This Row],[خصم ]]+Table113[[#This Row],[استخلاص]]</f>
        <v>0</v>
      </c>
      <c r="M142" s="36">
        <f>M141+Table113[[#This Row],[اجمالي الفاتوره]]-Table113[[#This Row],[الدفعات]]</f>
        <v>19994.239999999991</v>
      </c>
    </row>
    <row r="143" spans="11:13" ht="33.75" customHeight="1" x14ac:dyDescent="0.3">
      <c r="K143" s="36">
        <f>Table113[[#This Row],[النولون]]+Table113[[#This Row],[الايصالات]]-Table113[[#This Row],[خصم ]]+Table113[[#This Row],[استخلاص]]</f>
        <v>0</v>
      </c>
      <c r="M143" s="36">
        <f>M142+Table113[[#This Row],[اجمالي الفاتوره]]-Table113[[#This Row],[الدفعات]]</f>
        <v>19994.239999999991</v>
      </c>
    </row>
    <row r="144" spans="11:13" ht="33.75" customHeight="1" x14ac:dyDescent="0.3">
      <c r="K144" s="36">
        <f>Table113[[#This Row],[النولون]]+Table113[[#This Row],[الايصالات]]-Table113[[#This Row],[خصم ]]+Table113[[#This Row],[استخلاص]]</f>
        <v>0</v>
      </c>
      <c r="M144" s="36">
        <f>M143+Table113[[#This Row],[اجمالي الفاتوره]]-Table113[[#This Row],[الدفعات]]</f>
        <v>19994.239999999991</v>
      </c>
    </row>
    <row r="145" spans="11:13" ht="33.75" customHeight="1" x14ac:dyDescent="0.3">
      <c r="K145" s="36">
        <f>Table113[[#This Row],[النولون]]+Table113[[#This Row],[الايصالات]]-Table113[[#This Row],[خصم ]]+Table113[[#This Row],[استخلاص]]</f>
        <v>0</v>
      </c>
      <c r="M145" s="36">
        <f>M144+Table113[[#This Row],[اجمالي الفاتوره]]-Table113[[#This Row],[الدفعات]]</f>
        <v>19994.239999999991</v>
      </c>
    </row>
    <row r="146" spans="11:13" ht="33.75" customHeight="1" x14ac:dyDescent="0.3">
      <c r="K146" s="36">
        <f>Table113[[#This Row],[النولون]]+Table113[[#This Row],[الايصالات]]-Table113[[#This Row],[خصم ]]+Table113[[#This Row],[استخلاص]]</f>
        <v>0</v>
      </c>
      <c r="M146" s="36">
        <f>M145+Table113[[#This Row],[اجمالي الفاتوره]]-Table113[[#This Row],[الدفعات]]</f>
        <v>19994.239999999991</v>
      </c>
    </row>
    <row r="147" spans="11:13" ht="33.75" customHeight="1" x14ac:dyDescent="0.3">
      <c r="K147" s="36">
        <f>Table113[[#This Row],[النولون]]+Table113[[#This Row],[الايصالات]]-Table113[[#This Row],[خصم ]]+Table113[[#This Row],[استخلاص]]</f>
        <v>0</v>
      </c>
      <c r="M147" s="36">
        <f>M146+Table113[[#This Row],[اجمالي الفاتوره]]-Table113[[#This Row],[الدفعات]]</f>
        <v>19994.239999999991</v>
      </c>
    </row>
    <row r="148" spans="11:13" ht="33.75" customHeight="1" x14ac:dyDescent="0.3">
      <c r="K148" s="36">
        <f>Table113[[#This Row],[النولون]]+Table113[[#This Row],[الايصالات]]-Table113[[#This Row],[خصم ]]+Table113[[#This Row],[استخلاص]]</f>
        <v>0</v>
      </c>
      <c r="M148" s="36">
        <f>M147+Table113[[#This Row],[اجمالي الفاتوره]]-Table113[[#This Row],[الدفعات]]</f>
        <v>19994.239999999991</v>
      </c>
    </row>
    <row r="149" spans="11:13" ht="33.75" customHeight="1" x14ac:dyDescent="0.3">
      <c r="K149" s="36">
        <f>Table113[[#This Row],[النولون]]+Table113[[#This Row],[الايصالات]]-Table113[[#This Row],[خصم ]]+Table113[[#This Row],[استخلاص]]</f>
        <v>0</v>
      </c>
      <c r="M149" s="36">
        <f>M148+Table113[[#This Row],[اجمالي الفاتوره]]-Table113[[#This Row],[الدفعات]]</f>
        <v>19994.239999999991</v>
      </c>
    </row>
    <row r="150" spans="11:13" ht="33.75" customHeight="1" x14ac:dyDescent="0.3">
      <c r="K150" s="36">
        <f>Table113[[#This Row],[النولون]]+Table113[[#This Row],[الايصالات]]-Table113[[#This Row],[خصم ]]+Table113[[#This Row],[استخلاص]]</f>
        <v>0</v>
      </c>
      <c r="M150" s="36">
        <f>M149+Table113[[#This Row],[اجمالي الفاتوره]]-Table113[[#This Row],[الدفعات]]</f>
        <v>19994.239999999991</v>
      </c>
    </row>
    <row r="151" spans="11:13" ht="33.75" customHeight="1" x14ac:dyDescent="0.3">
      <c r="K151" s="36">
        <f>Table113[[#This Row],[النولون]]+Table113[[#This Row],[الايصالات]]-Table113[[#This Row],[خصم ]]+Table113[[#This Row],[استخلاص]]</f>
        <v>0</v>
      </c>
      <c r="M151" s="36">
        <f>M150+Table113[[#This Row],[اجمالي الفاتوره]]-Table113[[#This Row],[الدفعات]]</f>
        <v>19994.239999999991</v>
      </c>
    </row>
    <row r="152" spans="11:13" ht="33.75" customHeight="1" x14ac:dyDescent="0.3">
      <c r="K152" s="36">
        <f>Table113[[#This Row],[النولون]]+Table113[[#This Row],[الايصالات]]-Table113[[#This Row],[خصم ]]+Table113[[#This Row],[استخلاص]]</f>
        <v>0</v>
      </c>
      <c r="M152" s="36">
        <f>M151+Table113[[#This Row],[اجمالي الفاتوره]]-Table113[[#This Row],[الدفعات]]</f>
        <v>19994.239999999991</v>
      </c>
    </row>
    <row r="153" spans="11:13" ht="33.75" customHeight="1" x14ac:dyDescent="0.3">
      <c r="K153" s="36">
        <f>Table113[[#This Row],[النولون]]+Table113[[#This Row],[الايصالات]]-Table113[[#This Row],[خصم ]]+Table113[[#This Row],[استخلاص]]</f>
        <v>0</v>
      </c>
      <c r="M153" s="36">
        <f>M152+Table113[[#This Row],[اجمالي الفاتوره]]-Table113[[#This Row],[الدفعات]]</f>
        <v>19994.239999999991</v>
      </c>
    </row>
    <row r="154" spans="11:13" ht="33.75" customHeight="1" x14ac:dyDescent="0.3">
      <c r="K154" s="36">
        <f>Table113[[#This Row],[النولون]]+Table113[[#This Row],[الايصالات]]-Table113[[#This Row],[خصم ]]+Table113[[#This Row],[استخلاص]]</f>
        <v>0</v>
      </c>
      <c r="M154" s="36">
        <f>M153+Table113[[#This Row],[اجمالي الفاتوره]]-Table113[[#This Row],[الدفعات]]</f>
        <v>19994.239999999991</v>
      </c>
    </row>
    <row r="155" spans="11:13" ht="33.75" customHeight="1" x14ac:dyDescent="0.3">
      <c r="K155" s="36">
        <f>Table113[[#This Row],[النولون]]+Table113[[#This Row],[الايصالات]]-Table113[[#This Row],[خصم ]]+Table113[[#This Row],[استخلاص]]</f>
        <v>0</v>
      </c>
      <c r="M155" s="36">
        <f>M154+Table113[[#This Row],[اجمالي الفاتوره]]-Table113[[#This Row],[الدفعات]]</f>
        <v>19994.239999999991</v>
      </c>
    </row>
    <row r="156" spans="11:13" ht="33.75" customHeight="1" x14ac:dyDescent="0.3">
      <c r="K156" s="36">
        <f>Table113[[#This Row],[النولون]]+Table113[[#This Row],[الايصالات]]-Table113[[#This Row],[خصم ]]+Table113[[#This Row],[استخلاص]]</f>
        <v>0</v>
      </c>
      <c r="M156" s="36">
        <f>M155+Table113[[#This Row],[اجمالي الفاتوره]]-Table113[[#This Row],[الدفعات]]</f>
        <v>19994.239999999991</v>
      </c>
    </row>
    <row r="157" spans="11:13" ht="33.75" customHeight="1" x14ac:dyDescent="0.3">
      <c r="K157" s="36">
        <f>Table113[[#This Row],[النولون]]+Table113[[#This Row],[الايصالات]]-Table113[[#This Row],[خصم ]]+Table113[[#This Row],[استخلاص]]</f>
        <v>0</v>
      </c>
      <c r="M157" s="36">
        <f>M156+Table113[[#This Row],[اجمالي الفاتوره]]-Table113[[#This Row],[الدفعات]]</f>
        <v>19994.239999999991</v>
      </c>
    </row>
    <row r="158" spans="11:13" ht="33.75" customHeight="1" x14ac:dyDescent="0.3">
      <c r="K158" s="36">
        <f>Table113[[#This Row],[النولون]]+Table113[[#This Row],[الايصالات]]-Table113[[#This Row],[خصم ]]+Table113[[#This Row],[استخلاص]]</f>
        <v>0</v>
      </c>
      <c r="M158" s="36">
        <f>M157+Table113[[#This Row],[اجمالي الفاتوره]]-Table113[[#This Row],[الدفعات]]</f>
        <v>19994.239999999991</v>
      </c>
    </row>
    <row r="159" spans="11:13" ht="33.75" customHeight="1" x14ac:dyDescent="0.3">
      <c r="K159" s="36">
        <f>Table113[[#This Row],[النولون]]+Table113[[#This Row],[الايصالات]]-Table113[[#This Row],[خصم ]]+Table113[[#This Row],[استخلاص]]</f>
        <v>0</v>
      </c>
      <c r="M159" s="36">
        <f>M158+Table113[[#This Row],[اجمالي الفاتوره]]-Table113[[#This Row],[الدفعات]]</f>
        <v>19994.239999999991</v>
      </c>
    </row>
    <row r="160" spans="11:13" ht="33.75" customHeight="1" x14ac:dyDescent="0.3">
      <c r="K160" s="36">
        <f>Table113[[#This Row],[النولون]]+Table113[[#This Row],[الايصالات]]-Table113[[#This Row],[خصم ]]+Table113[[#This Row],[استخلاص]]</f>
        <v>0</v>
      </c>
      <c r="M160" s="36">
        <f>M159+Table113[[#This Row],[اجمالي الفاتوره]]-Table113[[#This Row],[الدفعات]]</f>
        <v>19994.239999999991</v>
      </c>
    </row>
    <row r="161" spans="11:13" ht="33.75" customHeight="1" x14ac:dyDescent="0.3">
      <c r="K161" s="36">
        <f>Table113[[#This Row],[النولون]]+Table113[[#This Row],[الايصالات]]-Table113[[#This Row],[خصم ]]+Table113[[#This Row],[استخلاص]]</f>
        <v>0</v>
      </c>
      <c r="M161" s="36">
        <f>M160+Table113[[#This Row],[اجمالي الفاتوره]]-Table113[[#This Row],[الدفعات]]</f>
        <v>19994.239999999991</v>
      </c>
    </row>
    <row r="162" spans="11:13" ht="33.75" customHeight="1" x14ac:dyDescent="0.3">
      <c r="K162" s="36">
        <f>Table113[[#This Row],[النولون]]+Table113[[#This Row],[الايصالات]]-Table113[[#This Row],[خصم ]]+Table113[[#This Row],[استخلاص]]</f>
        <v>0</v>
      </c>
      <c r="M162" s="36">
        <f>M161+Table113[[#This Row],[اجمالي الفاتوره]]-Table113[[#This Row],[الدفعات]]</f>
        <v>19994.239999999991</v>
      </c>
    </row>
    <row r="163" spans="11:13" ht="33.75" customHeight="1" x14ac:dyDescent="0.3">
      <c r="K163" s="36">
        <f>Table113[[#This Row],[النولون]]+Table113[[#This Row],[الايصالات]]-Table113[[#This Row],[خصم ]]+Table113[[#This Row],[استخلاص]]</f>
        <v>0</v>
      </c>
      <c r="M163" s="36">
        <f>M162+Table113[[#This Row],[اجمالي الفاتوره]]-Table113[[#This Row],[الدفعات]]</f>
        <v>19994.239999999991</v>
      </c>
    </row>
    <row r="164" spans="11:13" ht="33.75" customHeight="1" x14ac:dyDescent="0.3">
      <c r="K164" s="36">
        <f>Table113[[#This Row],[النولون]]+Table113[[#This Row],[الايصالات]]-Table113[[#This Row],[خصم ]]+Table113[[#This Row],[استخلاص]]</f>
        <v>0</v>
      </c>
      <c r="M164" s="36">
        <f>M163+Table113[[#This Row],[اجمالي الفاتوره]]-Table113[[#This Row],[الدفعات]]</f>
        <v>19994.239999999991</v>
      </c>
    </row>
    <row r="165" spans="11:13" ht="33.75" customHeight="1" x14ac:dyDescent="0.3">
      <c r="K165" s="36">
        <f>Table113[[#This Row],[النولون]]+Table113[[#This Row],[الايصالات]]-Table113[[#This Row],[خصم ]]+Table113[[#This Row],[استخلاص]]</f>
        <v>0</v>
      </c>
      <c r="M165" s="36">
        <f>M164+Table113[[#This Row],[اجمالي الفاتوره]]-Table113[[#This Row],[الدفعات]]</f>
        <v>19994.239999999991</v>
      </c>
    </row>
    <row r="166" spans="11:13" ht="33.75" customHeight="1" x14ac:dyDescent="0.3">
      <c r="K166" s="36">
        <f>Table113[[#This Row],[النولون]]+Table113[[#This Row],[الايصالات]]-Table113[[#This Row],[خصم ]]+Table113[[#This Row],[استخلاص]]</f>
        <v>0</v>
      </c>
      <c r="M166" s="36">
        <f>M165+Table113[[#This Row],[اجمالي الفاتوره]]-Table113[[#This Row],[الدفعات]]</f>
        <v>19994.239999999991</v>
      </c>
    </row>
    <row r="167" spans="11:13" ht="33.75" customHeight="1" x14ac:dyDescent="0.3">
      <c r="K167" s="36">
        <f>Table113[[#This Row],[النولون]]+Table113[[#This Row],[الايصالات]]-Table113[[#This Row],[خصم ]]+Table113[[#This Row],[استخلاص]]</f>
        <v>0</v>
      </c>
      <c r="M167" s="36">
        <f>M166+Table113[[#This Row],[اجمالي الفاتوره]]-Table113[[#This Row],[الدفعات]]</f>
        <v>19994.239999999991</v>
      </c>
    </row>
    <row r="168" spans="11:13" ht="33.75" customHeight="1" x14ac:dyDescent="0.3">
      <c r="K168" s="36">
        <f>Table113[[#This Row],[النولون]]+Table113[[#This Row],[الايصالات]]-Table113[[#This Row],[خصم ]]+Table113[[#This Row],[استخلاص]]</f>
        <v>0</v>
      </c>
      <c r="M168" s="36">
        <f>M167+Table113[[#This Row],[اجمالي الفاتوره]]-Table113[[#This Row],[الدفعات]]</f>
        <v>19994.239999999991</v>
      </c>
    </row>
    <row r="169" spans="11:13" ht="33.75" customHeight="1" x14ac:dyDescent="0.3">
      <c r="K169" s="36">
        <f>Table113[[#This Row],[النولون]]+Table113[[#This Row],[الايصالات]]-Table113[[#This Row],[خصم ]]+Table113[[#This Row],[استخلاص]]</f>
        <v>0</v>
      </c>
      <c r="M169" s="36">
        <f>M168+Table113[[#This Row],[اجمالي الفاتوره]]-Table113[[#This Row],[الدفعات]]</f>
        <v>19994.239999999991</v>
      </c>
    </row>
    <row r="170" spans="11:13" ht="33.75" customHeight="1" x14ac:dyDescent="0.3">
      <c r="K170" s="36">
        <f>Table113[[#This Row],[النولون]]+Table113[[#This Row],[الايصالات]]-Table113[[#This Row],[خصم ]]+Table113[[#This Row],[استخلاص]]</f>
        <v>0</v>
      </c>
      <c r="M170" s="36">
        <f>M169+Table113[[#This Row],[اجمالي الفاتوره]]-Table113[[#This Row],[الدفعات]]</f>
        <v>19994.239999999991</v>
      </c>
    </row>
    <row r="171" spans="11:13" ht="33.75" customHeight="1" x14ac:dyDescent="0.3">
      <c r="K171" s="36">
        <f>Table113[[#This Row],[النولون]]+Table113[[#This Row],[الايصالات]]-Table113[[#This Row],[خصم ]]+Table113[[#This Row],[استخلاص]]</f>
        <v>0</v>
      </c>
      <c r="M171" s="36">
        <f>M170+Table113[[#This Row],[اجمالي الفاتوره]]-Table113[[#This Row],[الدفعات]]</f>
        <v>19994.239999999991</v>
      </c>
    </row>
    <row r="172" spans="11:13" ht="33.75" customHeight="1" x14ac:dyDescent="0.3">
      <c r="K172" s="36">
        <f>Table113[[#This Row],[النولون]]+Table113[[#This Row],[الايصالات]]-Table113[[#This Row],[خصم ]]+Table113[[#This Row],[استخلاص]]</f>
        <v>0</v>
      </c>
      <c r="M172" s="36">
        <f>M171+Table113[[#This Row],[اجمالي الفاتوره]]-Table113[[#This Row],[الدفعات]]</f>
        <v>19994.239999999991</v>
      </c>
    </row>
    <row r="173" spans="11:13" ht="33.75" customHeight="1" x14ac:dyDescent="0.3">
      <c r="K173" s="36">
        <f>Table113[[#This Row],[النولون]]+Table113[[#This Row],[الايصالات]]-Table113[[#This Row],[خصم ]]+Table113[[#This Row],[استخلاص]]</f>
        <v>0</v>
      </c>
      <c r="M173" s="36">
        <f>M172+Table113[[#This Row],[اجمالي الفاتوره]]-Table113[[#This Row],[الدفعات]]</f>
        <v>19994.239999999991</v>
      </c>
    </row>
    <row r="174" spans="11:13" ht="33.75" customHeight="1" x14ac:dyDescent="0.3">
      <c r="K174" s="36">
        <f>Table113[[#This Row],[النولون]]+Table113[[#This Row],[الايصالات]]-Table113[[#This Row],[خصم ]]+Table113[[#This Row],[استخلاص]]</f>
        <v>0</v>
      </c>
      <c r="M174" s="36">
        <f>M173+Table113[[#This Row],[اجمالي الفاتوره]]-Table113[[#This Row],[الدفعات]]</f>
        <v>19994.239999999991</v>
      </c>
    </row>
    <row r="175" spans="11:13" ht="33.75" customHeight="1" x14ac:dyDescent="0.3">
      <c r="K175" s="36">
        <f>Table113[[#This Row],[النولون]]+Table113[[#This Row],[الايصالات]]-Table113[[#This Row],[خصم ]]+Table113[[#This Row],[استخلاص]]</f>
        <v>0</v>
      </c>
      <c r="M175" s="36">
        <f>M174+Table113[[#This Row],[اجمالي الفاتوره]]-Table113[[#This Row],[الدفعات]]</f>
        <v>19994.239999999991</v>
      </c>
    </row>
    <row r="176" spans="11:13" ht="33.75" customHeight="1" x14ac:dyDescent="0.3">
      <c r="K176" s="36">
        <f>Table113[[#This Row],[النولون]]+Table113[[#This Row],[الايصالات]]-Table113[[#This Row],[خصم ]]+Table113[[#This Row],[استخلاص]]</f>
        <v>0</v>
      </c>
      <c r="M176" s="36">
        <f>M175+Table113[[#This Row],[اجمالي الفاتوره]]-Table113[[#This Row],[الدفعات]]</f>
        <v>19994.239999999991</v>
      </c>
    </row>
    <row r="177" spans="11:13" ht="33.75" customHeight="1" x14ac:dyDescent="0.3">
      <c r="K177" s="36">
        <f>Table113[[#This Row],[النولون]]+Table113[[#This Row],[الايصالات]]-Table113[[#This Row],[خصم ]]+Table113[[#This Row],[استخلاص]]</f>
        <v>0</v>
      </c>
      <c r="M177" s="36">
        <f>M176+Table113[[#This Row],[اجمالي الفاتوره]]-Table113[[#This Row],[الدفعات]]</f>
        <v>19994.239999999991</v>
      </c>
    </row>
    <row r="178" spans="11:13" ht="33.75" customHeight="1" x14ac:dyDescent="0.3">
      <c r="K178" s="36">
        <f>Table113[[#This Row],[النولون]]+Table113[[#This Row],[الايصالات]]-Table113[[#This Row],[خصم ]]+Table113[[#This Row],[استخلاص]]</f>
        <v>0</v>
      </c>
      <c r="M178" s="36">
        <f>M177+Table113[[#This Row],[اجمالي الفاتوره]]-Table113[[#This Row],[الدفعات]]</f>
        <v>19994.239999999991</v>
      </c>
    </row>
    <row r="179" spans="11:13" ht="33.75" customHeight="1" x14ac:dyDescent="0.3">
      <c r="K179" s="36">
        <f>Table113[[#This Row],[النولون]]+Table113[[#This Row],[الايصالات]]-Table113[[#This Row],[خصم ]]+Table113[[#This Row],[استخلاص]]</f>
        <v>0</v>
      </c>
      <c r="M179" s="36">
        <f>M178+Table113[[#This Row],[اجمالي الفاتوره]]-Table113[[#This Row],[الدفعات]]</f>
        <v>19994.239999999991</v>
      </c>
    </row>
    <row r="180" spans="11:13" ht="33.75" customHeight="1" x14ac:dyDescent="0.3">
      <c r="K180" s="36">
        <f>Table113[[#This Row],[النولون]]+Table113[[#This Row],[الايصالات]]-Table113[[#This Row],[خصم ]]+Table113[[#This Row],[استخلاص]]</f>
        <v>0</v>
      </c>
      <c r="M180" s="36">
        <f>M179+Table113[[#This Row],[اجمالي الفاتوره]]-Table113[[#This Row],[الدفعات]]</f>
        <v>19994.239999999991</v>
      </c>
    </row>
    <row r="181" spans="11:13" ht="33.75" customHeight="1" x14ac:dyDescent="0.3">
      <c r="K181" s="36">
        <f>Table113[[#This Row],[النولون]]+Table113[[#This Row],[الايصالات]]-Table113[[#This Row],[خصم ]]+Table113[[#This Row],[استخلاص]]</f>
        <v>0</v>
      </c>
      <c r="M181" s="36">
        <f>M180+Table113[[#This Row],[اجمالي الفاتوره]]-Table113[[#This Row],[الدفعات]]</f>
        <v>19994.239999999991</v>
      </c>
    </row>
    <row r="182" spans="11:13" ht="33.75" customHeight="1" x14ac:dyDescent="0.3">
      <c r="K182" s="36">
        <f>Table113[[#This Row],[النولون]]+Table113[[#This Row],[الايصالات]]-Table113[[#This Row],[خصم ]]+Table113[[#This Row],[استخلاص]]</f>
        <v>0</v>
      </c>
      <c r="M182" s="36">
        <f>M181+Table113[[#This Row],[اجمالي الفاتوره]]-Table113[[#This Row],[الدفعات]]</f>
        <v>19994.239999999991</v>
      </c>
    </row>
    <row r="183" spans="11:13" ht="33.75" customHeight="1" x14ac:dyDescent="0.3">
      <c r="K183" s="36">
        <f>Table113[[#This Row],[النولون]]+Table113[[#This Row],[الايصالات]]-Table113[[#This Row],[خصم ]]+Table113[[#This Row],[استخلاص]]</f>
        <v>0</v>
      </c>
      <c r="M183" s="36">
        <f>M182+Table113[[#This Row],[اجمالي الفاتوره]]-Table113[[#This Row],[الدفعات]]</f>
        <v>19994.239999999991</v>
      </c>
    </row>
    <row r="184" spans="11:13" ht="33.75" customHeight="1" x14ac:dyDescent="0.3">
      <c r="K184" s="36">
        <f>Table113[[#This Row],[النولون]]+Table113[[#This Row],[الايصالات]]-Table113[[#This Row],[خصم ]]+Table113[[#This Row],[استخلاص]]</f>
        <v>0</v>
      </c>
      <c r="M184" s="36">
        <f>M183+Table113[[#This Row],[اجمالي الفاتوره]]-Table113[[#This Row],[الدفعات]]</f>
        <v>19994.239999999991</v>
      </c>
    </row>
    <row r="185" spans="11:13" ht="33.75" customHeight="1" x14ac:dyDescent="0.3">
      <c r="K185" s="36">
        <f>Table113[[#This Row],[النولون]]+Table113[[#This Row],[الايصالات]]-Table113[[#This Row],[خصم ]]+Table113[[#This Row],[استخلاص]]</f>
        <v>0</v>
      </c>
      <c r="M185" s="36">
        <f>M184+Table113[[#This Row],[اجمالي الفاتوره]]-Table113[[#This Row],[الدفعات]]</f>
        <v>19994.239999999991</v>
      </c>
    </row>
    <row r="186" spans="11:13" ht="33.75" customHeight="1" x14ac:dyDescent="0.3">
      <c r="K186" s="36">
        <f>Table113[[#This Row],[النولون]]+Table113[[#This Row],[الايصالات]]-Table113[[#This Row],[خصم ]]+Table113[[#This Row],[استخلاص]]</f>
        <v>0</v>
      </c>
      <c r="M186" s="36">
        <f>M185+Table113[[#This Row],[اجمالي الفاتوره]]-Table113[[#This Row],[الدفعات]]</f>
        <v>19994.239999999991</v>
      </c>
    </row>
    <row r="187" spans="11:13" ht="33.75" customHeight="1" x14ac:dyDescent="0.3">
      <c r="K187" s="36">
        <f>Table113[[#This Row],[النولون]]+Table113[[#This Row],[الايصالات]]-Table113[[#This Row],[خصم ]]+Table113[[#This Row],[استخلاص]]</f>
        <v>0</v>
      </c>
      <c r="M187" s="36">
        <f>M186+Table113[[#This Row],[اجمالي الفاتوره]]-Table113[[#This Row],[الدفعات]]</f>
        <v>19994.239999999991</v>
      </c>
    </row>
    <row r="188" spans="11:13" ht="33.75" customHeight="1" x14ac:dyDescent="0.3">
      <c r="K188" s="36">
        <f>Table113[[#This Row],[النولون]]+Table113[[#This Row],[الايصالات]]-Table113[[#This Row],[خصم ]]+Table113[[#This Row],[استخلاص]]</f>
        <v>0</v>
      </c>
      <c r="M188" s="36">
        <f>M187+Table113[[#This Row],[اجمالي الفاتوره]]-Table113[[#This Row],[الدفعات]]</f>
        <v>19994.239999999991</v>
      </c>
    </row>
    <row r="189" spans="11:13" ht="33.75" customHeight="1" x14ac:dyDescent="0.3">
      <c r="K189" s="36">
        <f>Table113[[#This Row],[النولون]]+Table113[[#This Row],[الايصالات]]-Table113[[#This Row],[خصم ]]+Table113[[#This Row],[استخلاص]]</f>
        <v>0</v>
      </c>
      <c r="M189" s="36">
        <f>M188+Table113[[#This Row],[اجمالي الفاتوره]]-Table113[[#This Row],[الدفعات]]</f>
        <v>19994.239999999991</v>
      </c>
    </row>
    <row r="190" spans="11:13" ht="33.75" customHeight="1" x14ac:dyDescent="0.3">
      <c r="K190" s="36">
        <f>Table113[[#This Row],[النولون]]+Table113[[#This Row],[الايصالات]]-Table113[[#This Row],[خصم ]]+Table113[[#This Row],[استخلاص]]</f>
        <v>0</v>
      </c>
      <c r="M190" s="36">
        <f>M189+Table113[[#This Row],[اجمالي الفاتوره]]-Table113[[#This Row],[الدفعات]]</f>
        <v>19994.239999999991</v>
      </c>
    </row>
    <row r="191" spans="11:13" ht="33.75" customHeight="1" x14ac:dyDescent="0.3">
      <c r="K191" s="36">
        <f>Table113[[#This Row],[النولون]]+Table113[[#This Row],[الايصالات]]-Table113[[#This Row],[خصم ]]+Table113[[#This Row],[استخلاص]]</f>
        <v>0</v>
      </c>
      <c r="M191" s="36">
        <f>M190+Table113[[#This Row],[اجمالي الفاتوره]]-Table113[[#This Row],[الدفعات]]</f>
        <v>19994.239999999991</v>
      </c>
    </row>
    <row r="192" spans="11:13" ht="33.75" customHeight="1" x14ac:dyDescent="0.3">
      <c r="K192" s="36">
        <f>Table113[[#This Row],[النولون]]+Table113[[#This Row],[الايصالات]]-Table113[[#This Row],[خصم ]]+Table113[[#This Row],[استخلاص]]</f>
        <v>0</v>
      </c>
      <c r="M192" s="36">
        <f>M191+Table113[[#This Row],[اجمالي الفاتوره]]-Table113[[#This Row],[الدفعات]]</f>
        <v>19994.239999999991</v>
      </c>
    </row>
    <row r="193" spans="11:13" ht="33.75" customHeight="1" x14ac:dyDescent="0.3">
      <c r="K193" s="36">
        <f>Table113[[#This Row],[النولون]]+Table113[[#This Row],[الايصالات]]-Table113[[#This Row],[خصم ]]+Table113[[#This Row],[استخلاص]]</f>
        <v>0</v>
      </c>
      <c r="M193" s="36">
        <f>M192+Table113[[#This Row],[اجمالي الفاتوره]]-Table113[[#This Row],[الدفعات]]</f>
        <v>19994.239999999991</v>
      </c>
    </row>
    <row r="194" spans="11:13" ht="33.75" customHeight="1" x14ac:dyDescent="0.3">
      <c r="K194" s="36">
        <f>Table113[[#This Row],[النولون]]+Table113[[#This Row],[الايصالات]]-Table113[[#This Row],[خصم ]]+Table113[[#This Row],[استخلاص]]</f>
        <v>0</v>
      </c>
      <c r="M194" s="36">
        <f>M193+Table113[[#This Row],[اجمالي الفاتوره]]-Table113[[#This Row],[الدفعات]]</f>
        <v>19994.239999999991</v>
      </c>
    </row>
    <row r="195" spans="11:13" ht="33.75" customHeight="1" x14ac:dyDescent="0.3">
      <c r="K195" s="36">
        <f>Table113[[#This Row],[النولون]]+Table113[[#This Row],[الايصالات]]-Table113[[#This Row],[خصم ]]+Table113[[#This Row],[استخلاص]]</f>
        <v>0</v>
      </c>
      <c r="M195" s="36">
        <f>M194+Table113[[#This Row],[اجمالي الفاتوره]]-Table113[[#This Row],[الدفعات]]</f>
        <v>19994.239999999991</v>
      </c>
    </row>
    <row r="196" spans="11:13" ht="33.75" customHeight="1" x14ac:dyDescent="0.3">
      <c r="K196" s="36">
        <f>Table113[[#This Row],[النولون]]+Table113[[#This Row],[الايصالات]]-Table113[[#This Row],[خصم ]]+Table113[[#This Row],[استخلاص]]</f>
        <v>0</v>
      </c>
      <c r="M196" s="36">
        <f>M195+Table113[[#This Row],[اجمالي الفاتوره]]-Table113[[#This Row],[الدفعات]]</f>
        <v>19994.239999999991</v>
      </c>
    </row>
    <row r="197" spans="11:13" ht="33.75" customHeight="1" x14ac:dyDescent="0.3">
      <c r="K197" s="36">
        <f>Table113[[#This Row],[النولون]]+Table113[[#This Row],[الايصالات]]-Table113[[#This Row],[خصم ]]+Table113[[#This Row],[استخلاص]]</f>
        <v>0</v>
      </c>
      <c r="M197" s="36">
        <f>M196+Table113[[#This Row],[اجمالي الفاتوره]]-Table113[[#This Row],[الدفعات]]</f>
        <v>19994.239999999991</v>
      </c>
    </row>
    <row r="198" spans="11:13" ht="33.75" customHeight="1" x14ac:dyDescent="0.3">
      <c r="K198" s="36">
        <f>Table113[[#This Row],[النولون]]+Table113[[#This Row],[الايصالات]]-Table113[[#This Row],[خصم ]]+Table113[[#This Row],[استخلاص]]</f>
        <v>0</v>
      </c>
      <c r="M198" s="36">
        <f>M197+Table113[[#This Row],[اجمالي الفاتوره]]-Table113[[#This Row],[الدفعات]]</f>
        <v>19994.239999999991</v>
      </c>
    </row>
    <row r="199" spans="11:13" ht="33.75" customHeight="1" x14ac:dyDescent="0.3">
      <c r="K199" s="36">
        <f>Table113[[#This Row],[النولون]]+Table113[[#This Row],[الايصالات]]-Table113[[#This Row],[خصم ]]+Table113[[#This Row],[استخلاص]]</f>
        <v>0</v>
      </c>
      <c r="M199" s="36">
        <f>M198+Table113[[#This Row],[اجمالي الفاتوره]]-Table113[[#This Row],[الدفعات]]</f>
        <v>19994.239999999991</v>
      </c>
    </row>
    <row r="200" spans="11:13" ht="33.75" customHeight="1" x14ac:dyDescent="0.3">
      <c r="K200" s="36">
        <f>Table113[[#This Row],[النولون]]+Table113[[#This Row],[الايصالات]]-Table113[[#This Row],[خصم ]]+Table113[[#This Row],[استخلاص]]</f>
        <v>0</v>
      </c>
      <c r="M200" s="36">
        <f>M199+Table113[[#This Row],[اجمالي الفاتوره]]-Table113[[#This Row],[الدفعات]]</f>
        <v>19994.239999999991</v>
      </c>
    </row>
    <row r="201" spans="11:13" ht="33.75" customHeight="1" x14ac:dyDescent="0.3">
      <c r="K201" s="36">
        <f>Table113[[#This Row],[النولون]]+Table113[[#This Row],[الايصالات]]-Table113[[#This Row],[خصم ]]+Table113[[#This Row],[استخلاص]]</f>
        <v>0</v>
      </c>
      <c r="M201" s="36">
        <f>M200+Table113[[#This Row],[اجمالي الفاتوره]]-Table113[[#This Row],[الدفعات]]</f>
        <v>19994.239999999991</v>
      </c>
    </row>
    <row r="202" spans="11:13" ht="33.75" customHeight="1" x14ac:dyDescent="0.3">
      <c r="K202" s="36">
        <f>Table113[[#This Row],[النولون]]+Table113[[#This Row],[الايصالات]]-Table113[[#This Row],[خصم ]]+Table113[[#This Row],[استخلاص]]</f>
        <v>0</v>
      </c>
      <c r="M202" s="36">
        <f>M201+Table113[[#This Row],[اجمالي الفاتوره]]-Table113[[#This Row],[الدفعات]]</f>
        <v>19994.239999999991</v>
      </c>
    </row>
    <row r="203" spans="11:13" ht="33.75" customHeight="1" x14ac:dyDescent="0.3">
      <c r="K203" s="36">
        <f>Table113[[#This Row],[النولون]]+Table113[[#This Row],[الايصالات]]-Table113[[#This Row],[خصم ]]+Table113[[#This Row],[استخلاص]]</f>
        <v>0</v>
      </c>
      <c r="M203" s="36">
        <f>M202+Table113[[#This Row],[اجمالي الفاتوره]]-Table113[[#This Row],[الدفعات]]</f>
        <v>19994.239999999991</v>
      </c>
    </row>
    <row r="204" spans="11:13" ht="33.75" customHeight="1" x14ac:dyDescent="0.3">
      <c r="K204" s="36">
        <f>Table113[[#This Row],[النولون]]+Table113[[#This Row],[الايصالات]]-Table113[[#This Row],[خصم ]]+Table113[[#This Row],[استخلاص]]</f>
        <v>0</v>
      </c>
      <c r="M204" s="36">
        <f>M203+Table113[[#This Row],[اجمالي الفاتوره]]-Table113[[#This Row],[الدفعات]]</f>
        <v>19994.239999999991</v>
      </c>
    </row>
    <row r="205" spans="11:13" ht="33.75" customHeight="1" x14ac:dyDescent="0.3">
      <c r="K205" s="36">
        <f>Table113[[#This Row],[النولون]]+Table113[[#This Row],[الايصالات]]-Table113[[#This Row],[خصم ]]+Table113[[#This Row],[استخلاص]]</f>
        <v>0</v>
      </c>
      <c r="M205" s="36">
        <f>M204+Table113[[#This Row],[اجمالي الفاتوره]]-Table113[[#This Row],[الدفعات]]</f>
        <v>19994.239999999991</v>
      </c>
    </row>
    <row r="206" spans="11:13" ht="33.75" customHeight="1" x14ac:dyDescent="0.3">
      <c r="K206" s="36">
        <f>Table113[[#This Row],[النولون]]+Table113[[#This Row],[الايصالات]]-Table113[[#This Row],[خصم ]]+Table113[[#This Row],[استخلاص]]</f>
        <v>0</v>
      </c>
      <c r="M206" s="36">
        <f>M205+Table113[[#This Row],[اجمالي الفاتوره]]-Table113[[#This Row],[الدفعات]]</f>
        <v>19994.239999999991</v>
      </c>
    </row>
    <row r="207" spans="11:13" ht="33.75" customHeight="1" x14ac:dyDescent="0.3">
      <c r="K207" s="36">
        <f>Table113[[#This Row],[النولون]]+Table113[[#This Row],[الايصالات]]-Table113[[#This Row],[خصم ]]+Table113[[#This Row],[استخلاص]]</f>
        <v>0</v>
      </c>
      <c r="M207" s="36">
        <f>M206+Table113[[#This Row],[اجمالي الفاتوره]]-Table113[[#This Row],[الدفعات]]</f>
        <v>19994.239999999991</v>
      </c>
    </row>
    <row r="208" spans="11:13" ht="33.75" customHeight="1" x14ac:dyDescent="0.3">
      <c r="K208" s="36">
        <f>Table113[[#This Row],[النولون]]+Table113[[#This Row],[الايصالات]]-Table113[[#This Row],[خصم ]]+Table113[[#This Row],[استخلاص]]</f>
        <v>0</v>
      </c>
      <c r="M208" s="36">
        <f>M207+Table113[[#This Row],[اجمالي الفاتوره]]-Table113[[#This Row],[الدفعات]]</f>
        <v>19994.239999999991</v>
      </c>
    </row>
    <row r="209" spans="11:13" ht="33.75" customHeight="1" x14ac:dyDescent="0.3">
      <c r="K209" s="36">
        <f>Table113[[#This Row],[النولون]]+Table113[[#This Row],[الايصالات]]-Table113[[#This Row],[خصم ]]+Table113[[#This Row],[استخلاص]]</f>
        <v>0</v>
      </c>
      <c r="M209" s="36">
        <f>M208+Table113[[#This Row],[اجمالي الفاتوره]]-Table113[[#This Row],[الدفعات]]</f>
        <v>19994.239999999991</v>
      </c>
    </row>
    <row r="210" spans="11:13" ht="33.75" customHeight="1" x14ac:dyDescent="0.3">
      <c r="K210" s="36">
        <f>Table113[[#This Row],[النولون]]+Table113[[#This Row],[الايصالات]]-Table113[[#This Row],[خصم ]]+Table113[[#This Row],[استخلاص]]</f>
        <v>0</v>
      </c>
      <c r="M210" s="36">
        <f>M209+Table113[[#This Row],[اجمالي الفاتوره]]-Table113[[#This Row],[الدفعات]]</f>
        <v>19994.239999999991</v>
      </c>
    </row>
    <row r="211" spans="11:13" ht="33.75" customHeight="1" x14ac:dyDescent="0.3">
      <c r="K211" s="36">
        <f>Table113[[#This Row],[النولون]]+Table113[[#This Row],[الايصالات]]-Table113[[#This Row],[خصم ]]+Table113[[#This Row],[استخلاص]]</f>
        <v>0</v>
      </c>
      <c r="M211" s="36">
        <f>M210+Table113[[#This Row],[اجمالي الفاتوره]]-Table113[[#This Row],[الدفعات]]</f>
        <v>19994.239999999991</v>
      </c>
    </row>
    <row r="212" spans="11:13" ht="33.75" customHeight="1" x14ac:dyDescent="0.3">
      <c r="K212" s="36">
        <f>Table113[[#This Row],[النولون]]+Table113[[#This Row],[الايصالات]]-Table113[[#This Row],[خصم ]]+Table113[[#This Row],[استخلاص]]</f>
        <v>0</v>
      </c>
      <c r="M212" s="36">
        <f>M211+Table113[[#This Row],[اجمالي الفاتوره]]-Table113[[#This Row],[الدفعات]]</f>
        <v>19994.239999999991</v>
      </c>
    </row>
    <row r="213" spans="11:13" ht="33.75" customHeight="1" x14ac:dyDescent="0.3">
      <c r="K213" s="36">
        <f>Table113[[#This Row],[النولون]]+Table113[[#This Row],[الايصالات]]-Table113[[#This Row],[خصم ]]+Table113[[#This Row],[استخلاص]]</f>
        <v>0</v>
      </c>
      <c r="M213" s="36">
        <f>M212+Table113[[#This Row],[اجمالي الفاتوره]]-Table113[[#This Row],[الدفعات]]</f>
        <v>19994.239999999991</v>
      </c>
    </row>
    <row r="214" spans="11:13" ht="33.75" customHeight="1" x14ac:dyDescent="0.3">
      <c r="K214" s="36">
        <f>Table113[[#This Row],[النولون]]+Table113[[#This Row],[الايصالات]]-Table113[[#This Row],[خصم ]]+Table113[[#This Row],[استخلاص]]</f>
        <v>0</v>
      </c>
      <c r="M214" s="36">
        <f>M213+Table113[[#This Row],[اجمالي الفاتوره]]-Table113[[#This Row],[الدفعات]]</f>
        <v>19994.239999999991</v>
      </c>
    </row>
    <row r="215" spans="11:13" ht="33.75" customHeight="1" x14ac:dyDescent="0.3">
      <c r="K215" s="36">
        <f>Table113[[#This Row],[النولون]]+Table113[[#This Row],[الايصالات]]-Table113[[#This Row],[خصم ]]+Table113[[#This Row],[استخلاص]]</f>
        <v>0</v>
      </c>
      <c r="M215" s="36">
        <f>M214+Table113[[#This Row],[اجمالي الفاتوره]]-Table113[[#This Row],[الدفعات]]</f>
        <v>19994.239999999991</v>
      </c>
    </row>
    <row r="216" spans="11:13" ht="33.75" customHeight="1" x14ac:dyDescent="0.3">
      <c r="K216" s="36">
        <f>Table113[[#This Row],[النولون]]+Table113[[#This Row],[الايصالات]]-Table113[[#This Row],[خصم ]]+Table113[[#This Row],[استخلاص]]</f>
        <v>0</v>
      </c>
      <c r="M216" s="36">
        <f>M215+Table113[[#This Row],[اجمالي الفاتوره]]-Table113[[#This Row],[الدفعات]]</f>
        <v>19994.239999999991</v>
      </c>
    </row>
    <row r="217" spans="11:13" ht="33.75" customHeight="1" x14ac:dyDescent="0.3">
      <c r="K217" s="36">
        <f>Table113[[#This Row],[النولون]]+Table113[[#This Row],[الايصالات]]-Table113[[#This Row],[خصم ]]+Table113[[#This Row],[استخلاص]]</f>
        <v>0</v>
      </c>
      <c r="M217" s="36">
        <f>M216+Table113[[#This Row],[اجمالي الفاتوره]]-Table113[[#This Row],[الدفعات]]</f>
        <v>19994.239999999991</v>
      </c>
    </row>
    <row r="218" spans="11:13" ht="33.75" customHeight="1" x14ac:dyDescent="0.3">
      <c r="K218" s="36">
        <f>Table113[[#This Row],[النولون]]+Table113[[#This Row],[الايصالات]]-Table113[[#This Row],[خصم ]]+Table113[[#This Row],[استخلاص]]</f>
        <v>0</v>
      </c>
      <c r="M218" s="36">
        <f>M217+Table113[[#This Row],[اجمالي الفاتوره]]-Table113[[#This Row],[الدفعات]]</f>
        <v>19994.239999999991</v>
      </c>
    </row>
    <row r="219" spans="11:13" ht="33.75" customHeight="1" x14ac:dyDescent="0.3">
      <c r="K219" s="36">
        <f>Table113[[#This Row],[النولون]]+Table113[[#This Row],[الايصالات]]-Table113[[#This Row],[خصم ]]+Table113[[#This Row],[استخلاص]]</f>
        <v>0</v>
      </c>
      <c r="M219" s="36">
        <f>M218+Table113[[#This Row],[اجمالي الفاتوره]]-Table113[[#This Row],[الدفعات]]</f>
        <v>19994.239999999991</v>
      </c>
    </row>
    <row r="220" spans="11:13" ht="33.75" customHeight="1" x14ac:dyDescent="0.3">
      <c r="K220" s="36">
        <f>Table113[[#This Row],[النولون]]+Table113[[#This Row],[الايصالات]]-Table113[[#This Row],[خصم ]]+Table113[[#This Row],[استخلاص]]</f>
        <v>0</v>
      </c>
      <c r="M220" s="36">
        <f>M219+Table113[[#This Row],[اجمالي الفاتوره]]-Table113[[#This Row],[الدفعات]]</f>
        <v>19994.239999999991</v>
      </c>
    </row>
    <row r="221" spans="11:13" ht="33.75" customHeight="1" x14ac:dyDescent="0.3">
      <c r="K221" s="36">
        <f>Table113[[#This Row],[النولون]]+Table113[[#This Row],[الايصالات]]-Table113[[#This Row],[خصم ]]+Table113[[#This Row],[استخلاص]]</f>
        <v>0</v>
      </c>
      <c r="M221" s="36">
        <f>M220+Table113[[#This Row],[اجمالي الفاتوره]]-Table113[[#This Row],[الدفعات]]</f>
        <v>19994.239999999991</v>
      </c>
    </row>
    <row r="222" spans="11:13" ht="33.75" customHeight="1" x14ac:dyDescent="0.3">
      <c r="K222" s="36">
        <f>Table113[[#This Row],[النولون]]+Table113[[#This Row],[الايصالات]]-Table113[[#This Row],[خصم ]]+Table113[[#This Row],[استخلاص]]</f>
        <v>0</v>
      </c>
      <c r="M222" s="36">
        <f>M221+Table113[[#This Row],[اجمالي الفاتوره]]-Table113[[#This Row],[الدفعات]]</f>
        <v>19994.239999999991</v>
      </c>
    </row>
    <row r="223" spans="11:13" ht="33.75" customHeight="1" x14ac:dyDescent="0.3">
      <c r="K223" s="36">
        <f>Table113[[#This Row],[النولون]]+Table113[[#This Row],[الايصالات]]-Table113[[#This Row],[خصم ]]+Table113[[#This Row],[استخلاص]]</f>
        <v>0</v>
      </c>
      <c r="M223" s="36">
        <f>M222+Table113[[#This Row],[اجمالي الفاتوره]]-Table113[[#This Row],[الدفعات]]</f>
        <v>19994.239999999991</v>
      </c>
    </row>
    <row r="224" spans="11:13" ht="33.75" customHeight="1" x14ac:dyDescent="0.3">
      <c r="K224" s="36">
        <f>Table113[[#This Row],[النولون]]+Table113[[#This Row],[الايصالات]]-Table113[[#This Row],[خصم ]]+Table113[[#This Row],[استخلاص]]</f>
        <v>0</v>
      </c>
      <c r="M224" s="36">
        <f>M223+Table113[[#This Row],[اجمالي الفاتوره]]-Table113[[#This Row],[الدفعات]]</f>
        <v>19994.239999999991</v>
      </c>
    </row>
    <row r="225" spans="11:13" ht="33.75" customHeight="1" x14ac:dyDescent="0.3">
      <c r="K225" s="36">
        <f>Table113[[#This Row],[النولون]]+Table113[[#This Row],[الايصالات]]-Table113[[#This Row],[خصم ]]+Table113[[#This Row],[استخلاص]]</f>
        <v>0</v>
      </c>
      <c r="M225" s="36">
        <f>M224+Table113[[#This Row],[اجمالي الفاتوره]]-Table113[[#This Row],[الدفعات]]</f>
        <v>19994.239999999991</v>
      </c>
    </row>
    <row r="226" spans="11:13" ht="33.75" customHeight="1" x14ac:dyDescent="0.3">
      <c r="K226" s="36">
        <f>Table113[[#This Row],[النولون]]+Table113[[#This Row],[الايصالات]]-Table113[[#This Row],[خصم ]]+Table113[[#This Row],[استخلاص]]</f>
        <v>0</v>
      </c>
      <c r="M226" s="36">
        <f>M225+Table113[[#This Row],[اجمالي الفاتوره]]-Table113[[#This Row],[الدفعات]]</f>
        <v>19994.239999999991</v>
      </c>
    </row>
    <row r="227" spans="11:13" ht="33.75" customHeight="1" x14ac:dyDescent="0.3">
      <c r="K227" s="36">
        <f>Table113[[#This Row],[النولون]]+Table113[[#This Row],[الايصالات]]-Table113[[#This Row],[خصم ]]+Table113[[#This Row],[استخلاص]]</f>
        <v>0</v>
      </c>
      <c r="M227" s="36">
        <f>M226+Table113[[#This Row],[اجمالي الفاتوره]]-Table113[[#This Row],[الدفعات]]</f>
        <v>19994.239999999991</v>
      </c>
    </row>
    <row r="228" spans="11:13" ht="33.75" customHeight="1" x14ac:dyDescent="0.3">
      <c r="K228" s="36">
        <f>Table113[[#This Row],[النولون]]+Table113[[#This Row],[الايصالات]]-Table113[[#This Row],[خصم ]]+Table113[[#This Row],[استخلاص]]</f>
        <v>0</v>
      </c>
      <c r="M228" s="36">
        <f>M227+Table113[[#This Row],[اجمالي الفاتوره]]-Table113[[#This Row],[الدفعات]]</f>
        <v>19994.239999999991</v>
      </c>
    </row>
    <row r="229" spans="11:13" ht="33.75" customHeight="1" x14ac:dyDescent="0.3">
      <c r="K229" s="36">
        <f>Table113[[#This Row],[النولون]]+Table113[[#This Row],[الايصالات]]-Table113[[#This Row],[خصم ]]+Table113[[#This Row],[استخلاص]]</f>
        <v>0</v>
      </c>
      <c r="M229" s="36">
        <f>M228+Table113[[#This Row],[اجمالي الفاتوره]]-Table113[[#This Row],[الدفعات]]</f>
        <v>19994.239999999991</v>
      </c>
    </row>
    <row r="230" spans="11:13" ht="33.75" customHeight="1" x14ac:dyDescent="0.3">
      <c r="K230" s="36">
        <f>Table113[[#This Row],[النولون]]+Table113[[#This Row],[الايصالات]]-Table113[[#This Row],[خصم ]]+Table113[[#This Row],[استخلاص]]</f>
        <v>0</v>
      </c>
      <c r="M230" s="36">
        <f>M229+Table113[[#This Row],[اجمالي الفاتوره]]-Table113[[#This Row],[الدفعات]]</f>
        <v>19994.239999999991</v>
      </c>
    </row>
    <row r="231" spans="11:13" ht="33.75" customHeight="1" x14ac:dyDescent="0.3">
      <c r="K231" s="36">
        <f>Table113[[#This Row],[النولون]]+Table113[[#This Row],[الايصالات]]-Table113[[#This Row],[خصم ]]+Table113[[#This Row],[استخلاص]]</f>
        <v>0</v>
      </c>
      <c r="M231" s="36">
        <f>M230+Table113[[#This Row],[اجمالي الفاتوره]]-Table113[[#This Row],[الدفعات]]</f>
        <v>19994.239999999991</v>
      </c>
    </row>
    <row r="232" spans="11:13" ht="33.75" customHeight="1" x14ac:dyDescent="0.3">
      <c r="K232" s="36">
        <f>Table113[[#This Row],[النولون]]+Table113[[#This Row],[الايصالات]]-Table113[[#This Row],[خصم ]]+Table113[[#This Row],[استخلاص]]</f>
        <v>0</v>
      </c>
      <c r="M232" s="36">
        <f>M231+Table113[[#This Row],[اجمالي الفاتوره]]-Table113[[#This Row],[الدفعات]]</f>
        <v>19994.239999999991</v>
      </c>
    </row>
    <row r="233" spans="11:13" ht="33.75" customHeight="1" x14ac:dyDescent="0.3">
      <c r="K233" s="36">
        <f>Table113[[#This Row],[النولون]]+Table113[[#This Row],[الايصالات]]-Table113[[#This Row],[خصم ]]+Table113[[#This Row],[استخلاص]]</f>
        <v>0</v>
      </c>
      <c r="M233" s="36">
        <f>M232+Table113[[#This Row],[اجمالي الفاتوره]]-Table113[[#This Row],[الدفعات]]</f>
        <v>19994.239999999991</v>
      </c>
    </row>
    <row r="234" spans="11:13" ht="33.75" customHeight="1" x14ac:dyDescent="0.3">
      <c r="K234" s="36">
        <f>Table113[[#This Row],[النولون]]+Table113[[#This Row],[الايصالات]]-Table113[[#This Row],[خصم ]]+Table113[[#This Row],[استخلاص]]</f>
        <v>0</v>
      </c>
      <c r="M234" s="36">
        <f>M233+Table113[[#This Row],[اجمالي الفاتوره]]-Table113[[#This Row],[الدفعات]]</f>
        <v>19994.239999999991</v>
      </c>
    </row>
    <row r="235" spans="11:13" ht="33.75" customHeight="1" x14ac:dyDescent="0.3">
      <c r="K235" s="36">
        <f>Table113[[#This Row],[النولون]]+Table113[[#This Row],[الايصالات]]-Table113[[#This Row],[خصم ]]+Table113[[#This Row],[استخلاص]]</f>
        <v>0</v>
      </c>
      <c r="M235" s="36">
        <f>M234+Table113[[#This Row],[اجمالي الفاتوره]]-Table113[[#This Row],[الدفعات]]</f>
        <v>19994.239999999991</v>
      </c>
    </row>
    <row r="236" spans="11:13" ht="33.75" customHeight="1" x14ac:dyDescent="0.3">
      <c r="K236" s="36">
        <f>Table113[[#This Row],[النولون]]+Table113[[#This Row],[الايصالات]]-Table113[[#This Row],[خصم ]]+Table113[[#This Row],[استخلاص]]</f>
        <v>0</v>
      </c>
      <c r="M236" s="36">
        <f>M235+Table113[[#This Row],[اجمالي الفاتوره]]-Table113[[#This Row],[الدفعات]]</f>
        <v>19994.239999999991</v>
      </c>
    </row>
    <row r="237" spans="11:13" ht="33.75" customHeight="1" x14ac:dyDescent="0.3">
      <c r="K237" s="36">
        <f>Table113[[#This Row],[النولون]]+Table113[[#This Row],[الايصالات]]-Table113[[#This Row],[خصم ]]+Table113[[#This Row],[استخلاص]]</f>
        <v>0</v>
      </c>
      <c r="M237" s="36">
        <f>M236+Table113[[#This Row],[اجمالي الفاتوره]]-Table113[[#This Row],[الدفعات]]</f>
        <v>19994.239999999991</v>
      </c>
    </row>
    <row r="238" spans="11:13" ht="33.75" customHeight="1" x14ac:dyDescent="0.3">
      <c r="K238" s="36">
        <f>Table113[[#This Row],[النولون]]+Table113[[#This Row],[الايصالات]]-Table113[[#This Row],[خصم ]]+Table113[[#This Row],[استخلاص]]</f>
        <v>0</v>
      </c>
      <c r="M238" s="36">
        <f>M237+Table113[[#This Row],[اجمالي الفاتوره]]-Table113[[#This Row],[الدفعات]]</f>
        <v>19994.239999999991</v>
      </c>
    </row>
    <row r="239" spans="11:13" ht="33.75" customHeight="1" x14ac:dyDescent="0.3">
      <c r="K239" s="36">
        <f>Table113[[#This Row],[النولون]]+Table113[[#This Row],[الايصالات]]-Table113[[#This Row],[خصم ]]+Table113[[#This Row],[استخلاص]]</f>
        <v>0</v>
      </c>
      <c r="M239" s="36">
        <f>M238+Table113[[#This Row],[اجمالي الفاتوره]]-Table113[[#This Row],[الدفعات]]</f>
        <v>19994.239999999991</v>
      </c>
    </row>
    <row r="240" spans="11:13" ht="33.75" customHeight="1" x14ac:dyDescent="0.3">
      <c r="K240" s="36">
        <f>Table113[[#This Row],[النولون]]+Table113[[#This Row],[الايصالات]]-Table113[[#This Row],[خصم ]]+Table113[[#This Row],[استخلاص]]</f>
        <v>0</v>
      </c>
      <c r="M240" s="36">
        <f>M239+Table113[[#This Row],[اجمالي الفاتوره]]-Table113[[#This Row],[الدفعات]]</f>
        <v>19994.239999999991</v>
      </c>
    </row>
    <row r="241" spans="11:13" ht="33.75" customHeight="1" x14ac:dyDescent="0.3">
      <c r="K241" s="36">
        <f>Table113[[#This Row],[النولون]]+Table113[[#This Row],[الايصالات]]-Table113[[#This Row],[خصم ]]+Table113[[#This Row],[استخلاص]]</f>
        <v>0</v>
      </c>
      <c r="M241" s="36">
        <f>M240+Table113[[#This Row],[اجمالي الفاتوره]]-Table113[[#This Row],[الدفعات]]</f>
        <v>19994.239999999991</v>
      </c>
    </row>
    <row r="242" spans="11:13" ht="33.75" customHeight="1" x14ac:dyDescent="0.3">
      <c r="K242" s="36">
        <f>Table113[[#This Row],[النولون]]+Table113[[#This Row],[الايصالات]]-Table113[[#This Row],[خصم ]]+Table113[[#This Row],[استخلاص]]</f>
        <v>0</v>
      </c>
      <c r="M242" s="36">
        <f>M241+Table113[[#This Row],[اجمالي الفاتوره]]-Table113[[#This Row],[الدفعات]]</f>
        <v>19994.239999999991</v>
      </c>
    </row>
    <row r="243" spans="11:13" ht="33.75" customHeight="1" x14ac:dyDescent="0.3">
      <c r="K243" s="36">
        <f>Table113[[#This Row],[النولون]]+Table113[[#This Row],[الايصالات]]-Table113[[#This Row],[خصم ]]+Table113[[#This Row],[استخلاص]]</f>
        <v>0</v>
      </c>
      <c r="M243" s="36">
        <f>M242+Table113[[#This Row],[اجمالي الفاتوره]]-Table113[[#This Row],[الدفعات]]</f>
        <v>19994.239999999991</v>
      </c>
    </row>
    <row r="244" spans="11:13" ht="33.75" customHeight="1" x14ac:dyDescent="0.3">
      <c r="K244" s="36">
        <f>Table113[[#This Row],[النولون]]+Table113[[#This Row],[الايصالات]]-Table113[[#This Row],[خصم ]]+Table113[[#This Row],[استخلاص]]</f>
        <v>0</v>
      </c>
      <c r="M244" s="36">
        <f>M243+Table113[[#This Row],[اجمالي الفاتوره]]-Table113[[#This Row],[الدفعات]]</f>
        <v>19994.239999999991</v>
      </c>
    </row>
    <row r="245" spans="11:13" ht="33.75" customHeight="1" x14ac:dyDescent="0.3">
      <c r="K245" s="36">
        <f>Table113[[#This Row],[النولون]]+Table113[[#This Row],[الايصالات]]-Table113[[#This Row],[خصم ]]+Table113[[#This Row],[استخلاص]]</f>
        <v>0</v>
      </c>
      <c r="M245" s="36">
        <f>M244+Table113[[#This Row],[اجمالي الفاتوره]]-Table113[[#This Row],[الدفعات]]</f>
        <v>19994.239999999991</v>
      </c>
    </row>
    <row r="246" spans="11:13" ht="33.75" customHeight="1" x14ac:dyDescent="0.3">
      <c r="K246" s="36">
        <f>Table113[[#This Row],[النولون]]+Table113[[#This Row],[الايصالات]]-Table113[[#This Row],[خصم ]]+Table113[[#This Row],[استخلاص]]</f>
        <v>0</v>
      </c>
      <c r="M246" s="36">
        <f>M245+Table113[[#This Row],[اجمالي الفاتوره]]-Table113[[#This Row],[الدفعات]]</f>
        <v>19994.239999999991</v>
      </c>
    </row>
    <row r="247" spans="11:13" ht="33.75" customHeight="1" x14ac:dyDescent="0.3">
      <c r="K247" s="36">
        <f>Table113[[#This Row],[النولون]]+Table113[[#This Row],[الايصالات]]-Table113[[#This Row],[خصم ]]+Table113[[#This Row],[استخلاص]]</f>
        <v>0</v>
      </c>
      <c r="M247" s="36">
        <f>M246+Table113[[#This Row],[اجمالي الفاتوره]]-Table113[[#This Row],[الدفعات]]</f>
        <v>19994.239999999991</v>
      </c>
    </row>
    <row r="248" spans="11:13" ht="33.75" customHeight="1" x14ac:dyDescent="0.3">
      <c r="K248" s="36">
        <f>Table113[[#This Row],[النولون]]+Table113[[#This Row],[الايصالات]]-Table113[[#This Row],[خصم ]]+Table113[[#This Row],[استخلاص]]</f>
        <v>0</v>
      </c>
      <c r="M248" s="36">
        <f>M247+Table113[[#This Row],[اجمالي الفاتوره]]-Table113[[#This Row],[الدفعات]]</f>
        <v>19994.239999999991</v>
      </c>
    </row>
    <row r="249" spans="11:13" ht="33.75" customHeight="1" x14ac:dyDescent="0.3">
      <c r="K249" s="36">
        <f>Table113[[#This Row],[النولون]]+Table113[[#This Row],[الايصالات]]-Table113[[#This Row],[خصم ]]+Table113[[#This Row],[استخلاص]]</f>
        <v>0</v>
      </c>
      <c r="M249" s="36">
        <f>M248+Table113[[#This Row],[اجمالي الفاتوره]]-Table113[[#This Row],[الدفعات]]</f>
        <v>19994.239999999991</v>
      </c>
    </row>
    <row r="250" spans="11:13" ht="33.75" customHeight="1" x14ac:dyDescent="0.3">
      <c r="K250" s="36">
        <f>Table113[[#This Row],[النولون]]+Table113[[#This Row],[الايصالات]]-Table113[[#This Row],[خصم ]]+Table113[[#This Row],[استخلاص]]</f>
        <v>0</v>
      </c>
      <c r="M250" s="36">
        <f>M249+Table113[[#This Row],[اجمالي الفاتوره]]-Table113[[#This Row],[الدفعات]]</f>
        <v>19994.239999999991</v>
      </c>
    </row>
    <row r="251" spans="11:13" ht="33.75" customHeight="1" x14ac:dyDescent="0.3">
      <c r="K251" s="36">
        <f>Table113[[#This Row],[النولون]]+Table113[[#This Row],[الايصالات]]-Table113[[#This Row],[خصم ]]+Table113[[#This Row],[استخلاص]]</f>
        <v>0</v>
      </c>
      <c r="M251" s="36">
        <f>M250+Table113[[#This Row],[اجمالي الفاتوره]]-Table113[[#This Row],[الدفعات]]</f>
        <v>19994.239999999991</v>
      </c>
    </row>
    <row r="252" spans="11:13" ht="33.75" customHeight="1" x14ac:dyDescent="0.3">
      <c r="K252" s="36">
        <f>Table113[[#This Row],[النولون]]+Table113[[#This Row],[الايصالات]]-Table113[[#This Row],[خصم ]]+Table113[[#This Row],[استخلاص]]</f>
        <v>0</v>
      </c>
      <c r="M252" s="36">
        <f>M251+Table113[[#This Row],[اجمالي الفاتوره]]-Table113[[#This Row],[الدفعات]]</f>
        <v>19994.239999999991</v>
      </c>
    </row>
    <row r="253" spans="11:13" ht="33.75" customHeight="1" x14ac:dyDescent="0.3">
      <c r="K253" s="36">
        <f>Table113[[#This Row],[النولون]]+Table113[[#This Row],[الايصالات]]-Table113[[#This Row],[خصم ]]+Table113[[#This Row],[استخلاص]]</f>
        <v>0</v>
      </c>
      <c r="M253" s="36">
        <f>M252+Table113[[#This Row],[اجمالي الفاتوره]]-Table113[[#This Row],[الدفعات]]</f>
        <v>19994.239999999991</v>
      </c>
    </row>
    <row r="254" spans="11:13" ht="33.75" customHeight="1" x14ac:dyDescent="0.3">
      <c r="K254" s="36">
        <f>Table113[[#This Row],[النولون]]+Table113[[#This Row],[الايصالات]]-Table113[[#This Row],[خصم ]]+Table113[[#This Row],[استخلاص]]</f>
        <v>0</v>
      </c>
      <c r="M254" s="36">
        <f>M253+Table113[[#This Row],[اجمالي الفاتوره]]-Table113[[#This Row],[الدفعات]]</f>
        <v>19994.239999999991</v>
      </c>
    </row>
    <row r="255" spans="11:13" ht="33.75" customHeight="1" x14ac:dyDescent="0.3">
      <c r="K255" s="36">
        <f>Table113[[#This Row],[النولون]]+Table113[[#This Row],[الايصالات]]-Table113[[#This Row],[خصم ]]+Table113[[#This Row],[استخلاص]]</f>
        <v>0</v>
      </c>
      <c r="M255" s="36">
        <f>M254+Table113[[#This Row],[اجمالي الفاتوره]]-Table113[[#This Row],[الدفعات]]</f>
        <v>19994.239999999991</v>
      </c>
    </row>
    <row r="256" spans="11:13" ht="33.75" customHeight="1" x14ac:dyDescent="0.3">
      <c r="K256" s="36">
        <f>Table113[[#This Row],[النولون]]+Table113[[#This Row],[الايصالات]]-Table113[[#This Row],[خصم ]]+Table113[[#This Row],[استخلاص]]</f>
        <v>0</v>
      </c>
      <c r="M256" s="36">
        <f>M255+Table113[[#This Row],[اجمالي الفاتوره]]-Table113[[#This Row],[الدفعات]]</f>
        <v>19994.239999999991</v>
      </c>
    </row>
    <row r="257" spans="11:13" ht="33.75" customHeight="1" x14ac:dyDescent="0.3">
      <c r="K257" s="36">
        <f>Table113[[#This Row],[النولون]]+Table113[[#This Row],[الايصالات]]-Table113[[#This Row],[خصم ]]+Table113[[#This Row],[استخلاص]]</f>
        <v>0</v>
      </c>
      <c r="M257" s="36">
        <f>M256+Table113[[#This Row],[اجمالي الفاتوره]]-Table113[[#This Row],[الدفعات]]</f>
        <v>19994.239999999991</v>
      </c>
    </row>
    <row r="258" spans="11:13" ht="33.75" customHeight="1" x14ac:dyDescent="0.3">
      <c r="K258" s="36">
        <f>Table113[[#This Row],[النولون]]+Table113[[#This Row],[الايصالات]]-Table113[[#This Row],[خصم ]]+Table113[[#This Row],[استخلاص]]</f>
        <v>0</v>
      </c>
      <c r="M258" s="36">
        <f>M257+Table113[[#This Row],[اجمالي الفاتوره]]-Table113[[#This Row],[الدفعات]]</f>
        <v>19994.239999999991</v>
      </c>
    </row>
    <row r="259" spans="11:13" ht="33.75" customHeight="1" x14ac:dyDescent="0.3">
      <c r="K259" s="36">
        <f>Table113[[#This Row],[النولون]]+Table113[[#This Row],[الايصالات]]-Table113[[#This Row],[خصم ]]+Table113[[#This Row],[استخلاص]]</f>
        <v>0</v>
      </c>
      <c r="M259" s="36">
        <f>M258+Table113[[#This Row],[اجمالي الفاتوره]]-Table113[[#This Row],[الدفعات]]</f>
        <v>19994.239999999991</v>
      </c>
    </row>
    <row r="260" spans="11:13" ht="33.75" customHeight="1" x14ac:dyDescent="0.3">
      <c r="K260" s="36">
        <f>Table113[[#This Row],[النولون]]+Table113[[#This Row],[الايصالات]]-Table113[[#This Row],[خصم ]]+Table113[[#This Row],[استخلاص]]</f>
        <v>0</v>
      </c>
      <c r="M260" s="36">
        <f>M259+Table113[[#This Row],[اجمالي الفاتوره]]-Table113[[#This Row],[الدفعات]]</f>
        <v>19994.239999999991</v>
      </c>
    </row>
    <row r="261" spans="11:13" ht="33.75" customHeight="1" x14ac:dyDescent="0.3">
      <c r="K261" s="36">
        <f>Table113[[#This Row],[النولون]]+Table113[[#This Row],[الايصالات]]-Table113[[#This Row],[خصم ]]+Table113[[#This Row],[استخلاص]]</f>
        <v>0</v>
      </c>
      <c r="M261" s="36">
        <f>M260+Table113[[#This Row],[اجمالي الفاتوره]]-Table113[[#This Row],[الدفعات]]</f>
        <v>19994.239999999991</v>
      </c>
    </row>
    <row r="262" spans="11:13" ht="33.75" customHeight="1" x14ac:dyDescent="0.3">
      <c r="K262" s="36">
        <f>Table113[[#This Row],[النولون]]+Table113[[#This Row],[الايصالات]]-Table113[[#This Row],[خصم ]]+Table113[[#This Row],[استخلاص]]</f>
        <v>0</v>
      </c>
      <c r="M262" s="36">
        <f>M261+Table113[[#This Row],[اجمالي الفاتوره]]-Table113[[#This Row],[الدفعات]]</f>
        <v>19994.239999999991</v>
      </c>
    </row>
    <row r="263" spans="11:13" ht="33.75" customHeight="1" x14ac:dyDescent="0.3">
      <c r="K263" s="36">
        <f>Table113[[#This Row],[النولون]]+Table113[[#This Row],[الايصالات]]-Table113[[#This Row],[خصم ]]+Table113[[#This Row],[استخلاص]]</f>
        <v>0</v>
      </c>
      <c r="M263" s="36">
        <f>M262+Table113[[#This Row],[اجمالي الفاتوره]]-Table113[[#This Row],[الدفعات]]</f>
        <v>19994.239999999991</v>
      </c>
    </row>
    <row r="264" spans="11:13" ht="33.75" customHeight="1" x14ac:dyDescent="0.3">
      <c r="K264" s="36">
        <f>Table113[[#This Row],[النولون]]+Table113[[#This Row],[الايصالات]]-Table113[[#This Row],[خصم ]]+Table113[[#This Row],[استخلاص]]</f>
        <v>0</v>
      </c>
      <c r="M264" s="36">
        <f>M263+Table113[[#This Row],[اجمالي الفاتوره]]-Table113[[#This Row],[الدفعات]]</f>
        <v>19994.239999999991</v>
      </c>
    </row>
    <row r="265" spans="11:13" ht="33.75" customHeight="1" x14ac:dyDescent="0.3">
      <c r="K265" s="36">
        <f>Table113[[#This Row],[النولون]]+Table113[[#This Row],[الايصالات]]-Table113[[#This Row],[خصم ]]+Table113[[#This Row],[استخلاص]]</f>
        <v>0</v>
      </c>
      <c r="M265" s="36">
        <f>M264+Table113[[#This Row],[اجمالي الفاتوره]]-Table113[[#This Row],[الدفعات]]</f>
        <v>19994.239999999991</v>
      </c>
    </row>
    <row r="266" spans="11:13" ht="33.75" customHeight="1" x14ac:dyDescent="0.3">
      <c r="K266" s="36">
        <f>Table113[[#This Row],[النولون]]+Table113[[#This Row],[الايصالات]]-Table113[[#This Row],[خصم ]]+Table113[[#This Row],[استخلاص]]</f>
        <v>0</v>
      </c>
      <c r="M266" s="36">
        <f>M265+Table113[[#This Row],[اجمالي الفاتوره]]-Table113[[#This Row],[الدفعات]]</f>
        <v>19994.239999999991</v>
      </c>
    </row>
    <row r="267" spans="11:13" ht="33.75" customHeight="1" x14ac:dyDescent="0.3">
      <c r="K267" s="36">
        <f>Table113[[#This Row],[النولون]]+Table113[[#This Row],[الايصالات]]-Table113[[#This Row],[خصم ]]+Table113[[#This Row],[استخلاص]]</f>
        <v>0</v>
      </c>
      <c r="M267" s="36">
        <f>M266+Table113[[#This Row],[اجمالي الفاتوره]]-Table113[[#This Row],[الدفعات]]</f>
        <v>19994.239999999991</v>
      </c>
    </row>
    <row r="268" spans="11:13" ht="33.75" customHeight="1" x14ac:dyDescent="0.3">
      <c r="K268" s="36">
        <f>Table113[[#This Row],[النولون]]+Table113[[#This Row],[الايصالات]]-Table113[[#This Row],[خصم ]]+Table113[[#This Row],[استخلاص]]</f>
        <v>0</v>
      </c>
      <c r="M268" s="36">
        <f>M267+Table113[[#This Row],[اجمالي الفاتوره]]-Table113[[#This Row],[الدفعات]]</f>
        <v>19994.239999999991</v>
      </c>
    </row>
    <row r="269" spans="11:13" ht="33.75" customHeight="1" x14ac:dyDescent="0.3">
      <c r="K269" s="36">
        <f>Table113[[#This Row],[النولون]]+Table113[[#This Row],[الايصالات]]-Table113[[#This Row],[خصم ]]+Table113[[#This Row],[استخلاص]]</f>
        <v>0</v>
      </c>
      <c r="M269" s="36">
        <f>M268+Table113[[#This Row],[اجمالي الفاتوره]]-Table113[[#This Row],[الدفعات]]</f>
        <v>19994.239999999991</v>
      </c>
    </row>
    <row r="270" spans="11:13" ht="33.75" customHeight="1" x14ac:dyDescent="0.3">
      <c r="K270" s="36">
        <f>Table113[[#This Row],[النولون]]+Table113[[#This Row],[الايصالات]]-Table113[[#This Row],[خصم ]]+Table113[[#This Row],[استخلاص]]</f>
        <v>0</v>
      </c>
      <c r="M270" s="36">
        <f>M269+Table113[[#This Row],[اجمالي الفاتوره]]-Table113[[#This Row],[الدفعات]]</f>
        <v>19994.239999999991</v>
      </c>
    </row>
    <row r="271" spans="11:13" ht="33.75" customHeight="1" x14ac:dyDescent="0.3">
      <c r="K271" s="36">
        <f>Table113[[#This Row],[النولون]]+Table113[[#This Row],[الايصالات]]-Table113[[#This Row],[خصم ]]+Table113[[#This Row],[استخلاص]]</f>
        <v>0</v>
      </c>
      <c r="M271" s="36">
        <f>M270+Table113[[#This Row],[اجمالي الفاتوره]]-Table113[[#This Row],[الدفعات]]</f>
        <v>19994.239999999991</v>
      </c>
    </row>
    <row r="272" spans="11:13" ht="33.75" customHeight="1" x14ac:dyDescent="0.3">
      <c r="K272" s="36">
        <f>Table113[[#This Row],[النولون]]+Table113[[#This Row],[الايصالات]]-Table113[[#This Row],[خصم ]]+Table113[[#This Row],[استخلاص]]</f>
        <v>0</v>
      </c>
      <c r="M272" s="36">
        <f>M271+Table113[[#This Row],[اجمالي الفاتوره]]-Table113[[#This Row],[الدفعات]]</f>
        <v>19994.239999999991</v>
      </c>
    </row>
    <row r="273" spans="11:13" ht="33.75" customHeight="1" x14ac:dyDescent="0.3">
      <c r="K273" s="36">
        <f>Table113[[#This Row],[النولون]]+Table113[[#This Row],[الايصالات]]-Table113[[#This Row],[خصم ]]+Table113[[#This Row],[استخلاص]]</f>
        <v>0</v>
      </c>
      <c r="M273" s="36">
        <f>M272+Table113[[#This Row],[اجمالي الفاتوره]]-Table113[[#This Row],[الدفعات]]</f>
        <v>19994.239999999991</v>
      </c>
    </row>
    <row r="274" spans="11:13" ht="33.75" customHeight="1" x14ac:dyDescent="0.3">
      <c r="K274" s="36">
        <f>Table113[[#This Row],[النولون]]+Table113[[#This Row],[الايصالات]]-Table113[[#This Row],[خصم ]]+Table113[[#This Row],[استخلاص]]</f>
        <v>0</v>
      </c>
      <c r="M274" s="36">
        <f>M273+Table113[[#This Row],[اجمالي الفاتوره]]-Table113[[#This Row],[الدفعات]]</f>
        <v>19994.239999999991</v>
      </c>
    </row>
    <row r="275" spans="11:13" ht="33.75" customHeight="1" x14ac:dyDescent="0.3">
      <c r="K275" s="36">
        <f>Table113[[#This Row],[النولون]]+Table113[[#This Row],[الايصالات]]-Table113[[#This Row],[خصم ]]+Table113[[#This Row],[استخلاص]]</f>
        <v>0</v>
      </c>
      <c r="M275" s="36">
        <f>M274+Table113[[#This Row],[اجمالي الفاتوره]]-Table113[[#This Row],[الدفعات]]</f>
        <v>19994.239999999991</v>
      </c>
    </row>
    <row r="276" spans="11:13" ht="33.75" customHeight="1" x14ac:dyDescent="0.3">
      <c r="K276" s="36">
        <f>Table113[[#This Row],[النولون]]+Table113[[#This Row],[الايصالات]]-Table113[[#This Row],[خصم ]]+Table113[[#This Row],[استخلاص]]</f>
        <v>0</v>
      </c>
      <c r="M276" s="36">
        <f>M275+Table113[[#This Row],[اجمالي الفاتوره]]-Table113[[#This Row],[الدفعات]]</f>
        <v>19994.239999999991</v>
      </c>
    </row>
    <row r="277" spans="11:13" ht="33.75" customHeight="1" x14ac:dyDescent="0.3">
      <c r="K277" s="36">
        <f>Table113[[#This Row],[النولون]]+Table113[[#This Row],[الايصالات]]-Table113[[#This Row],[خصم ]]+Table113[[#This Row],[استخلاص]]</f>
        <v>0</v>
      </c>
      <c r="M277" s="36">
        <f>M276+Table113[[#This Row],[اجمالي الفاتوره]]-Table113[[#This Row],[الدفعات]]</f>
        <v>19994.239999999991</v>
      </c>
    </row>
    <row r="278" spans="11:13" ht="33.75" customHeight="1" x14ac:dyDescent="0.3">
      <c r="K278" s="36">
        <f>Table113[[#This Row],[النولون]]+Table113[[#This Row],[الايصالات]]-Table113[[#This Row],[خصم ]]+Table113[[#This Row],[استخلاص]]</f>
        <v>0</v>
      </c>
      <c r="M278" s="36">
        <f>M277+Table113[[#This Row],[اجمالي الفاتوره]]-Table113[[#This Row],[الدفعات]]</f>
        <v>19994.239999999991</v>
      </c>
    </row>
    <row r="279" spans="11:13" ht="33.75" customHeight="1" x14ac:dyDescent="0.3">
      <c r="K279" s="36">
        <f>Table113[[#This Row],[النولون]]+Table113[[#This Row],[الايصالات]]-Table113[[#This Row],[خصم ]]+Table113[[#This Row],[استخلاص]]</f>
        <v>0</v>
      </c>
      <c r="M279" s="36">
        <f>M278+Table113[[#This Row],[اجمالي الفاتوره]]-Table113[[#This Row],[الدفعات]]</f>
        <v>19994.239999999991</v>
      </c>
    </row>
    <row r="280" spans="11:13" ht="33.75" customHeight="1" x14ac:dyDescent="0.3">
      <c r="K280" s="36">
        <f>Table113[[#This Row],[النولون]]+Table113[[#This Row],[الايصالات]]-Table113[[#This Row],[خصم ]]+Table113[[#This Row],[استخلاص]]</f>
        <v>0</v>
      </c>
      <c r="M280" s="36">
        <f>M279+Table113[[#This Row],[اجمالي الفاتوره]]-Table113[[#This Row],[الدفعات]]</f>
        <v>19994.239999999991</v>
      </c>
    </row>
    <row r="281" spans="11:13" ht="33.75" customHeight="1" x14ac:dyDescent="0.3">
      <c r="K281" s="36">
        <f>Table113[[#This Row],[النولون]]+Table113[[#This Row],[الايصالات]]-Table113[[#This Row],[خصم ]]+Table113[[#This Row],[استخلاص]]</f>
        <v>0</v>
      </c>
      <c r="M281" s="36">
        <f>M280+Table113[[#This Row],[اجمالي الفاتوره]]-Table113[[#This Row],[الدفعات]]</f>
        <v>19994.239999999991</v>
      </c>
    </row>
    <row r="282" spans="11:13" ht="33.75" customHeight="1" x14ac:dyDescent="0.3">
      <c r="K282" s="36">
        <f>Table113[[#This Row],[النولون]]+Table113[[#This Row],[الايصالات]]-Table113[[#This Row],[خصم ]]+Table113[[#This Row],[استخلاص]]</f>
        <v>0</v>
      </c>
      <c r="M282" s="36">
        <f>M281+Table113[[#This Row],[اجمالي الفاتوره]]-Table113[[#This Row],[الدفعات]]</f>
        <v>19994.239999999991</v>
      </c>
    </row>
    <row r="283" spans="11:13" ht="33.75" customHeight="1" x14ac:dyDescent="0.3">
      <c r="K283" s="36">
        <f>Table113[[#This Row],[النولون]]+Table113[[#This Row],[الايصالات]]-Table113[[#This Row],[خصم ]]+Table113[[#This Row],[استخلاص]]</f>
        <v>0</v>
      </c>
      <c r="M283" s="36">
        <f>M282+Table113[[#This Row],[اجمالي الفاتوره]]-Table113[[#This Row],[الدفعات]]</f>
        <v>19994.239999999991</v>
      </c>
    </row>
    <row r="284" spans="11:13" ht="33.75" customHeight="1" x14ac:dyDescent="0.3">
      <c r="K284" s="36">
        <f>Table113[[#This Row],[النولون]]+Table113[[#This Row],[الايصالات]]-Table113[[#This Row],[خصم ]]+Table113[[#This Row],[استخلاص]]</f>
        <v>0</v>
      </c>
      <c r="M284" s="36">
        <f>M283+Table113[[#This Row],[اجمالي الفاتوره]]-Table113[[#This Row],[الدفعات]]</f>
        <v>19994.239999999991</v>
      </c>
    </row>
    <row r="285" spans="11:13" ht="33.75" customHeight="1" x14ac:dyDescent="0.3">
      <c r="K285" s="36">
        <f>Table113[[#This Row],[النولون]]+Table113[[#This Row],[الايصالات]]-Table113[[#This Row],[خصم ]]+Table113[[#This Row],[استخلاص]]</f>
        <v>0</v>
      </c>
      <c r="M285" s="36">
        <f>M284+Table113[[#This Row],[اجمالي الفاتوره]]-Table113[[#This Row],[الدفعات]]</f>
        <v>19994.239999999991</v>
      </c>
    </row>
    <row r="286" spans="11:13" ht="33.75" customHeight="1" x14ac:dyDescent="0.3">
      <c r="K286" s="36">
        <f>Table113[[#This Row],[النولون]]+Table113[[#This Row],[الايصالات]]-Table113[[#This Row],[خصم ]]+Table113[[#This Row],[استخلاص]]</f>
        <v>0</v>
      </c>
      <c r="M286" s="36">
        <f>M285+Table113[[#This Row],[اجمالي الفاتوره]]-Table113[[#This Row],[الدفعات]]</f>
        <v>19994.239999999991</v>
      </c>
    </row>
    <row r="287" spans="11:13" ht="33.75" customHeight="1" x14ac:dyDescent="0.3">
      <c r="K287" s="36">
        <f>Table113[[#This Row],[النولون]]+Table113[[#This Row],[الايصالات]]-Table113[[#This Row],[خصم ]]+Table113[[#This Row],[استخلاص]]</f>
        <v>0</v>
      </c>
      <c r="M287" s="36">
        <f>M286+Table113[[#This Row],[اجمالي الفاتوره]]-Table113[[#This Row],[الدفعات]]</f>
        <v>19994.239999999991</v>
      </c>
    </row>
    <row r="288" spans="11:13" ht="33.75" customHeight="1" x14ac:dyDescent="0.3">
      <c r="K288" s="36">
        <f>Table113[[#This Row],[النولون]]+Table113[[#This Row],[الايصالات]]-Table113[[#This Row],[خصم ]]+Table113[[#This Row],[استخلاص]]</f>
        <v>0</v>
      </c>
      <c r="M288" s="36">
        <f>M287+Table113[[#This Row],[اجمالي الفاتوره]]-Table113[[#This Row],[الدفعات]]</f>
        <v>19994.239999999991</v>
      </c>
    </row>
    <row r="289" spans="11:13" ht="33.75" customHeight="1" x14ac:dyDescent="0.3">
      <c r="K289" s="36">
        <f>Table113[[#This Row],[النولون]]+Table113[[#This Row],[الايصالات]]-Table113[[#This Row],[خصم ]]+Table113[[#This Row],[استخلاص]]</f>
        <v>0</v>
      </c>
      <c r="M289" s="36">
        <f>M288+Table113[[#This Row],[اجمالي الفاتوره]]-Table113[[#This Row],[الدفعات]]</f>
        <v>19994.239999999991</v>
      </c>
    </row>
    <row r="290" spans="11:13" ht="33.75" customHeight="1" x14ac:dyDescent="0.3">
      <c r="K290" s="36">
        <f>Table113[[#This Row],[النولون]]+Table113[[#This Row],[الايصالات]]-Table113[[#This Row],[خصم ]]+Table113[[#This Row],[استخلاص]]</f>
        <v>0</v>
      </c>
      <c r="M290" s="36">
        <f>M289+Table113[[#This Row],[اجمالي الفاتوره]]-Table113[[#This Row],[الدفعات]]</f>
        <v>19994.239999999991</v>
      </c>
    </row>
    <row r="291" spans="11:13" ht="33.75" customHeight="1" x14ac:dyDescent="0.3">
      <c r="K291" s="36">
        <f>Table113[[#This Row],[النولون]]+Table113[[#This Row],[الايصالات]]-Table113[[#This Row],[خصم ]]+Table113[[#This Row],[استخلاص]]</f>
        <v>0</v>
      </c>
      <c r="M291" s="36">
        <f>M290+Table113[[#This Row],[اجمالي الفاتوره]]-Table113[[#This Row],[الدفعات]]</f>
        <v>19994.239999999991</v>
      </c>
    </row>
    <row r="292" spans="11:13" ht="33.75" customHeight="1" x14ac:dyDescent="0.3">
      <c r="K292" s="36">
        <f>Table113[[#This Row],[النولون]]+Table113[[#This Row],[الايصالات]]-Table113[[#This Row],[خصم ]]+Table113[[#This Row],[استخلاص]]</f>
        <v>0</v>
      </c>
      <c r="M292" s="36">
        <f>M291+Table113[[#This Row],[اجمالي الفاتوره]]-Table113[[#This Row],[الدفعات]]</f>
        <v>19994.239999999991</v>
      </c>
    </row>
    <row r="293" spans="11:13" ht="33.75" customHeight="1" x14ac:dyDescent="0.3">
      <c r="K293" s="36">
        <f>Table113[[#This Row],[النولون]]+Table113[[#This Row],[الايصالات]]-Table113[[#This Row],[خصم ]]+Table113[[#This Row],[استخلاص]]</f>
        <v>0</v>
      </c>
      <c r="M293" s="36">
        <f>M292+Table113[[#This Row],[اجمالي الفاتوره]]-Table113[[#This Row],[الدفعات]]</f>
        <v>19994.239999999991</v>
      </c>
    </row>
    <row r="294" spans="11:13" ht="33.75" customHeight="1" x14ac:dyDescent="0.3">
      <c r="K294" s="36">
        <f>Table113[[#This Row],[النولون]]+Table113[[#This Row],[الايصالات]]-Table113[[#This Row],[خصم ]]+Table113[[#This Row],[استخلاص]]</f>
        <v>0</v>
      </c>
      <c r="M294" s="36">
        <f>M293+Table113[[#This Row],[اجمالي الفاتوره]]-Table113[[#This Row],[الدفعات]]</f>
        <v>19994.239999999991</v>
      </c>
    </row>
    <row r="295" spans="11:13" ht="33.75" customHeight="1" x14ac:dyDescent="0.3">
      <c r="K295" s="36">
        <f>Table113[[#This Row],[النولون]]+Table113[[#This Row],[الايصالات]]-Table113[[#This Row],[خصم ]]+Table113[[#This Row],[استخلاص]]</f>
        <v>0</v>
      </c>
      <c r="M295" s="36">
        <f>M294+Table113[[#This Row],[اجمالي الفاتوره]]-Table113[[#This Row],[الدفعات]]</f>
        <v>19994.239999999991</v>
      </c>
    </row>
    <row r="296" spans="11:13" ht="33.75" customHeight="1" x14ac:dyDescent="0.3">
      <c r="K296" s="36">
        <f>Table113[[#This Row],[النولون]]+Table113[[#This Row],[الايصالات]]-Table113[[#This Row],[خصم ]]+Table113[[#This Row],[استخلاص]]</f>
        <v>0</v>
      </c>
      <c r="M296" s="36">
        <f>M295+Table113[[#This Row],[اجمالي الفاتوره]]-Table113[[#This Row],[الدفعات]]</f>
        <v>19994.239999999991</v>
      </c>
    </row>
    <row r="297" spans="11:13" ht="33.75" customHeight="1" x14ac:dyDescent="0.3">
      <c r="K297" s="36">
        <f>Table113[[#This Row],[النولون]]+Table113[[#This Row],[الايصالات]]-Table113[[#This Row],[خصم ]]+Table113[[#This Row],[استخلاص]]</f>
        <v>0</v>
      </c>
      <c r="M297" s="36">
        <f>M296+Table113[[#This Row],[اجمالي الفاتوره]]-Table113[[#This Row],[الدفعات]]</f>
        <v>19994.239999999991</v>
      </c>
    </row>
    <row r="298" spans="11:13" ht="33.75" customHeight="1" x14ac:dyDescent="0.3">
      <c r="K298" s="36">
        <f>Table113[[#This Row],[النولون]]+Table113[[#This Row],[الايصالات]]-Table113[[#This Row],[خصم ]]+Table113[[#This Row],[استخلاص]]</f>
        <v>0</v>
      </c>
      <c r="M298" s="36">
        <f>M297+Table113[[#This Row],[اجمالي الفاتوره]]-Table113[[#This Row],[الدفعات]]</f>
        <v>19994.239999999991</v>
      </c>
    </row>
    <row r="299" spans="11:13" ht="33.75" customHeight="1" x14ac:dyDescent="0.3">
      <c r="K299" s="36">
        <f>Table113[[#This Row],[النولون]]+Table113[[#This Row],[الايصالات]]-Table113[[#This Row],[خصم ]]+Table113[[#This Row],[استخلاص]]</f>
        <v>0</v>
      </c>
      <c r="M299" s="36">
        <f>M298+Table113[[#This Row],[اجمالي الفاتوره]]-Table113[[#This Row],[الدفعات]]</f>
        <v>19994.239999999991</v>
      </c>
    </row>
    <row r="300" spans="11:13" ht="33.75" customHeight="1" x14ac:dyDescent="0.3">
      <c r="K300" s="36">
        <f>Table113[[#This Row],[النولون]]+Table113[[#This Row],[الايصالات]]-Table113[[#This Row],[خصم ]]+Table113[[#This Row],[استخلاص]]</f>
        <v>0</v>
      </c>
      <c r="M300" s="36">
        <f>M299+Table113[[#This Row],[اجمالي الفاتوره]]-Table113[[#This Row],[الدفعات]]</f>
        <v>19994.239999999991</v>
      </c>
    </row>
    <row r="301" spans="11:13" ht="33.75" customHeight="1" x14ac:dyDescent="0.3">
      <c r="K301" s="36">
        <f>Table113[[#This Row],[النولون]]+Table113[[#This Row],[الايصالات]]-Table113[[#This Row],[خصم ]]+Table113[[#This Row],[استخلاص]]</f>
        <v>0</v>
      </c>
      <c r="M301" s="36">
        <f>M300+Table113[[#This Row],[اجمالي الفاتوره]]-Table113[[#This Row],[الدفعات]]</f>
        <v>19994.239999999991</v>
      </c>
    </row>
    <row r="302" spans="11:13" ht="33.75" customHeight="1" x14ac:dyDescent="0.3">
      <c r="K302" s="36">
        <f>Table113[[#This Row],[النولون]]+Table113[[#This Row],[الايصالات]]-Table113[[#This Row],[خصم ]]+Table113[[#This Row],[استخلاص]]</f>
        <v>0</v>
      </c>
      <c r="M302" s="36">
        <f>M301+Table113[[#This Row],[اجمالي الفاتوره]]-Table113[[#This Row],[الدفعات]]</f>
        <v>19994.239999999991</v>
      </c>
    </row>
    <row r="303" spans="11:13" ht="33.75" customHeight="1" x14ac:dyDescent="0.3">
      <c r="K303" s="36">
        <f>Table113[[#This Row],[النولون]]+Table113[[#This Row],[الايصالات]]-Table113[[#This Row],[خصم ]]+Table113[[#This Row],[استخلاص]]</f>
        <v>0</v>
      </c>
      <c r="M303" s="36">
        <f>M302+Table113[[#This Row],[اجمالي الفاتوره]]-Table113[[#This Row],[الدفعات]]</f>
        <v>19994.239999999991</v>
      </c>
    </row>
    <row r="304" spans="11:13" ht="33.75" customHeight="1" x14ac:dyDescent="0.3">
      <c r="K304" s="36">
        <f>Table113[[#This Row],[النولون]]+Table113[[#This Row],[الايصالات]]-Table113[[#This Row],[خصم ]]+Table113[[#This Row],[استخلاص]]</f>
        <v>0</v>
      </c>
      <c r="M304" s="36">
        <f>M303+Table113[[#This Row],[اجمالي الفاتوره]]-Table113[[#This Row],[الدفعات]]</f>
        <v>19994.239999999991</v>
      </c>
    </row>
    <row r="305" spans="11:13" ht="33.75" customHeight="1" x14ac:dyDescent="0.3">
      <c r="K305" s="36">
        <f>Table113[[#This Row],[النولون]]+Table113[[#This Row],[الايصالات]]-Table113[[#This Row],[خصم ]]+Table113[[#This Row],[استخلاص]]</f>
        <v>0</v>
      </c>
      <c r="M305" s="36">
        <f>M304+Table113[[#This Row],[اجمالي الفاتوره]]-Table113[[#This Row],[الدفعات]]</f>
        <v>19994.239999999991</v>
      </c>
    </row>
    <row r="306" spans="11:13" ht="33.75" customHeight="1" x14ac:dyDescent="0.3">
      <c r="K306" s="36">
        <f>Table113[[#This Row],[النولون]]+Table113[[#This Row],[الايصالات]]-Table113[[#This Row],[خصم ]]+Table113[[#This Row],[استخلاص]]</f>
        <v>0</v>
      </c>
      <c r="M306" s="36">
        <f>M305+Table113[[#This Row],[اجمالي الفاتوره]]-Table113[[#This Row],[الدفعات]]</f>
        <v>19994.239999999991</v>
      </c>
    </row>
    <row r="307" spans="11:13" ht="33.75" customHeight="1" x14ac:dyDescent="0.3">
      <c r="K307" s="36">
        <f>Table113[[#This Row],[النولون]]+Table113[[#This Row],[الايصالات]]-Table113[[#This Row],[خصم ]]+Table113[[#This Row],[استخلاص]]</f>
        <v>0</v>
      </c>
      <c r="M307" s="36">
        <f>M306+Table113[[#This Row],[اجمالي الفاتوره]]-Table113[[#This Row],[الدفعات]]</f>
        <v>19994.239999999991</v>
      </c>
    </row>
    <row r="308" spans="11:13" ht="33.75" customHeight="1" x14ac:dyDescent="0.3">
      <c r="K308" s="36">
        <f>Table113[[#This Row],[النولون]]+Table113[[#This Row],[الايصالات]]-Table113[[#This Row],[خصم ]]+Table113[[#This Row],[استخلاص]]</f>
        <v>0</v>
      </c>
      <c r="M308" s="36">
        <f>M307+Table113[[#This Row],[اجمالي الفاتوره]]-Table113[[#This Row],[الدفعات]]</f>
        <v>19994.239999999991</v>
      </c>
    </row>
    <row r="309" spans="11:13" ht="33.75" customHeight="1" x14ac:dyDescent="0.3">
      <c r="K309" s="36">
        <f>Table113[[#This Row],[النولون]]+Table113[[#This Row],[الايصالات]]-Table113[[#This Row],[خصم ]]+Table113[[#This Row],[استخلاص]]</f>
        <v>0</v>
      </c>
      <c r="M309" s="36">
        <f>M308+Table113[[#This Row],[اجمالي الفاتوره]]-Table113[[#This Row],[الدفعات]]</f>
        <v>19994.239999999991</v>
      </c>
    </row>
    <row r="310" spans="11:13" ht="33.75" customHeight="1" x14ac:dyDescent="0.3">
      <c r="K310" s="36">
        <f>Table113[[#This Row],[النولون]]+Table113[[#This Row],[الايصالات]]-Table113[[#This Row],[خصم ]]+Table113[[#This Row],[استخلاص]]</f>
        <v>0</v>
      </c>
      <c r="M310" s="36">
        <f>M309+Table113[[#This Row],[اجمالي الفاتوره]]-Table113[[#This Row],[الدفعات]]</f>
        <v>19994.239999999991</v>
      </c>
    </row>
    <row r="311" spans="11:13" ht="33.75" customHeight="1" x14ac:dyDescent="0.3">
      <c r="K311" s="36">
        <f>Table113[[#This Row],[النولون]]+Table113[[#This Row],[الايصالات]]-Table113[[#This Row],[خصم ]]+Table113[[#This Row],[استخلاص]]</f>
        <v>0</v>
      </c>
      <c r="M311" s="36">
        <f>M310+Table113[[#This Row],[اجمالي الفاتوره]]-Table113[[#This Row],[الدفعات]]</f>
        <v>19994.239999999991</v>
      </c>
    </row>
    <row r="312" spans="11:13" ht="33.75" customHeight="1" x14ac:dyDescent="0.3">
      <c r="K312" s="36">
        <f>Table113[[#This Row],[النولون]]+Table113[[#This Row],[الايصالات]]-Table113[[#This Row],[خصم ]]+Table113[[#This Row],[استخلاص]]</f>
        <v>0</v>
      </c>
      <c r="M312" s="36">
        <f>M311+Table113[[#This Row],[اجمالي الفاتوره]]-Table113[[#This Row],[الدفعات]]</f>
        <v>19994.239999999991</v>
      </c>
    </row>
    <row r="313" spans="11:13" ht="33.75" customHeight="1" x14ac:dyDescent="0.3">
      <c r="K313" s="36">
        <f>Table113[[#This Row],[النولون]]+Table113[[#This Row],[الايصالات]]-Table113[[#This Row],[خصم ]]+Table113[[#This Row],[استخلاص]]</f>
        <v>0</v>
      </c>
      <c r="M313" s="36">
        <f>M312+Table113[[#This Row],[اجمالي الفاتوره]]-Table113[[#This Row],[الدفعات]]</f>
        <v>19994.239999999991</v>
      </c>
    </row>
    <row r="314" spans="11:13" ht="33.75" customHeight="1" x14ac:dyDescent="0.3">
      <c r="K314" s="36">
        <f>Table113[[#This Row],[النولون]]+Table113[[#This Row],[الايصالات]]-Table113[[#This Row],[خصم ]]+Table113[[#This Row],[استخلاص]]</f>
        <v>0</v>
      </c>
      <c r="M314" s="36">
        <f>M313+Table113[[#This Row],[اجمالي الفاتوره]]-Table113[[#This Row],[الدفعات]]</f>
        <v>19994.239999999991</v>
      </c>
    </row>
    <row r="315" spans="11:13" ht="33.75" customHeight="1" x14ac:dyDescent="0.3">
      <c r="K315" s="36">
        <f>Table113[[#This Row],[النولون]]+Table113[[#This Row],[الايصالات]]-Table113[[#This Row],[خصم ]]+Table113[[#This Row],[استخلاص]]</f>
        <v>0</v>
      </c>
      <c r="M315" s="36">
        <f>M314+Table113[[#This Row],[اجمالي الفاتوره]]-Table113[[#This Row],[الدفعات]]</f>
        <v>19994.239999999991</v>
      </c>
    </row>
    <row r="316" spans="11:13" ht="33.75" customHeight="1" x14ac:dyDescent="0.3">
      <c r="K316" s="36">
        <f>Table113[[#This Row],[النولون]]+Table113[[#This Row],[الايصالات]]-Table113[[#This Row],[خصم ]]+Table113[[#This Row],[استخلاص]]</f>
        <v>0</v>
      </c>
      <c r="M316" s="36">
        <f>M315+Table113[[#This Row],[اجمالي الفاتوره]]-Table113[[#This Row],[الدفعات]]</f>
        <v>19994.239999999991</v>
      </c>
    </row>
    <row r="317" spans="11:13" ht="33.75" customHeight="1" x14ac:dyDescent="0.3">
      <c r="K317" s="36">
        <f>Table113[[#This Row],[النولون]]+Table113[[#This Row],[الايصالات]]-Table113[[#This Row],[خصم ]]+Table113[[#This Row],[استخلاص]]</f>
        <v>0</v>
      </c>
      <c r="M317" s="36">
        <f>M316+Table113[[#This Row],[اجمالي الفاتوره]]-Table113[[#This Row],[الدفعات]]</f>
        <v>19994.239999999991</v>
      </c>
    </row>
    <row r="318" spans="11:13" ht="33.75" customHeight="1" x14ac:dyDescent="0.3">
      <c r="K318" s="36">
        <f>Table113[[#This Row],[النولون]]+Table113[[#This Row],[الايصالات]]-Table113[[#This Row],[خصم ]]+Table113[[#This Row],[استخلاص]]</f>
        <v>0</v>
      </c>
      <c r="M318" s="36">
        <f>M317+Table113[[#This Row],[اجمالي الفاتوره]]-Table113[[#This Row],[الدفعات]]</f>
        <v>19994.239999999991</v>
      </c>
    </row>
    <row r="319" spans="11:13" ht="33.75" customHeight="1" x14ac:dyDescent="0.3">
      <c r="K319" s="36">
        <f>Table113[[#This Row],[النولون]]+Table113[[#This Row],[الايصالات]]-Table113[[#This Row],[خصم ]]+Table113[[#This Row],[استخلاص]]</f>
        <v>0</v>
      </c>
      <c r="M319" s="36">
        <f>M318+Table113[[#This Row],[اجمالي الفاتوره]]-Table113[[#This Row],[الدفعات]]</f>
        <v>19994.239999999991</v>
      </c>
    </row>
    <row r="320" spans="11:13" ht="33.75" customHeight="1" x14ac:dyDescent="0.3">
      <c r="K320" s="36">
        <f>Table113[[#This Row],[النولون]]+Table113[[#This Row],[الايصالات]]-Table113[[#This Row],[خصم ]]+Table113[[#This Row],[استخلاص]]</f>
        <v>0</v>
      </c>
      <c r="M320" s="36">
        <f>M319+Table113[[#This Row],[اجمالي الفاتوره]]-Table113[[#This Row],[الدفعات]]</f>
        <v>19994.239999999991</v>
      </c>
    </row>
    <row r="321" spans="11:13" ht="33.75" customHeight="1" x14ac:dyDescent="0.3">
      <c r="K321" s="36">
        <f>Table113[[#This Row],[النولون]]+Table113[[#This Row],[الايصالات]]-Table113[[#This Row],[خصم ]]+Table113[[#This Row],[استخلاص]]</f>
        <v>0</v>
      </c>
      <c r="M321" s="36">
        <f>M320+Table113[[#This Row],[اجمالي الفاتوره]]-Table113[[#This Row],[الدفعات]]</f>
        <v>19994.239999999991</v>
      </c>
    </row>
    <row r="322" spans="11:13" ht="33.75" customHeight="1" x14ac:dyDescent="0.3">
      <c r="K322" s="36">
        <f>Table113[[#This Row],[النولون]]+Table113[[#This Row],[الايصالات]]-Table113[[#This Row],[خصم ]]+Table113[[#This Row],[استخلاص]]</f>
        <v>0</v>
      </c>
      <c r="M322" s="36">
        <f>M321+Table113[[#This Row],[اجمالي الفاتوره]]-Table113[[#This Row],[الدفعات]]</f>
        <v>19994.239999999991</v>
      </c>
    </row>
    <row r="323" spans="11:13" ht="33.75" customHeight="1" x14ac:dyDescent="0.3">
      <c r="K323" s="36">
        <f>Table113[[#This Row],[النولون]]+Table113[[#This Row],[الايصالات]]-Table113[[#This Row],[خصم ]]+Table113[[#This Row],[استخلاص]]</f>
        <v>0</v>
      </c>
      <c r="M323" s="36">
        <f>M322+Table113[[#This Row],[اجمالي الفاتوره]]-Table113[[#This Row],[الدفعات]]</f>
        <v>19994.239999999991</v>
      </c>
    </row>
    <row r="324" spans="11:13" ht="33.75" customHeight="1" x14ac:dyDescent="0.3">
      <c r="K324" s="36">
        <f>Table113[[#This Row],[النولون]]+Table113[[#This Row],[الايصالات]]-Table113[[#This Row],[خصم ]]+Table113[[#This Row],[استخلاص]]</f>
        <v>0</v>
      </c>
      <c r="M324" s="36">
        <f>M323+Table113[[#This Row],[اجمالي الفاتوره]]-Table113[[#This Row],[الدفعات]]</f>
        <v>19994.239999999991</v>
      </c>
    </row>
    <row r="325" spans="11:13" ht="33.75" customHeight="1" x14ac:dyDescent="0.3">
      <c r="K325" s="36">
        <f>Table113[[#This Row],[النولون]]+Table113[[#This Row],[الايصالات]]-Table113[[#This Row],[خصم ]]+Table113[[#This Row],[استخلاص]]</f>
        <v>0</v>
      </c>
      <c r="M325" s="36">
        <f>M324+Table113[[#This Row],[اجمالي الفاتوره]]-Table113[[#This Row],[الدفعات]]</f>
        <v>19994.239999999991</v>
      </c>
    </row>
    <row r="326" spans="11:13" ht="33.75" customHeight="1" x14ac:dyDescent="0.3">
      <c r="K326" s="36">
        <f>Table113[[#This Row],[النولون]]+Table113[[#This Row],[الايصالات]]-Table113[[#This Row],[خصم ]]+Table113[[#This Row],[استخلاص]]</f>
        <v>0</v>
      </c>
      <c r="M326" s="36">
        <f>M325+Table113[[#This Row],[اجمالي الفاتوره]]-Table113[[#This Row],[الدفعات]]</f>
        <v>19994.239999999991</v>
      </c>
    </row>
    <row r="327" spans="11:13" ht="33.75" customHeight="1" x14ac:dyDescent="0.3">
      <c r="K327" s="36">
        <f>Table113[[#This Row],[النولون]]+Table113[[#This Row],[الايصالات]]-Table113[[#This Row],[خصم ]]+Table113[[#This Row],[استخلاص]]</f>
        <v>0</v>
      </c>
      <c r="M327" s="36">
        <f>M326+Table113[[#This Row],[اجمالي الفاتوره]]-Table113[[#This Row],[الدفعات]]</f>
        <v>19994.239999999991</v>
      </c>
    </row>
    <row r="328" spans="11:13" ht="33.75" customHeight="1" x14ac:dyDescent="0.3">
      <c r="K328" s="36">
        <f>Table113[[#This Row],[النولون]]+Table113[[#This Row],[الايصالات]]-Table113[[#This Row],[خصم ]]+Table113[[#This Row],[استخلاص]]</f>
        <v>0</v>
      </c>
      <c r="M328" s="36">
        <f>M327+Table113[[#This Row],[اجمالي الفاتوره]]-Table113[[#This Row],[الدفعات]]</f>
        <v>19994.239999999991</v>
      </c>
    </row>
    <row r="329" spans="11:13" ht="33.75" customHeight="1" x14ac:dyDescent="0.3">
      <c r="K329" s="36">
        <f>Table113[[#This Row],[النولون]]+Table113[[#This Row],[الايصالات]]-Table113[[#This Row],[خصم ]]+Table113[[#This Row],[استخلاص]]</f>
        <v>0</v>
      </c>
      <c r="M329" s="36">
        <f>M328+Table113[[#This Row],[اجمالي الفاتوره]]-Table113[[#This Row],[الدفعات]]</f>
        <v>19994.239999999991</v>
      </c>
    </row>
    <row r="330" spans="11:13" ht="33.75" customHeight="1" x14ac:dyDescent="0.3">
      <c r="K330" s="36">
        <f>Table113[[#This Row],[النولون]]+Table113[[#This Row],[الايصالات]]-Table113[[#This Row],[خصم ]]+Table113[[#This Row],[استخلاص]]</f>
        <v>0</v>
      </c>
      <c r="M330" s="36">
        <f>M329+Table113[[#This Row],[اجمالي الفاتوره]]-Table113[[#This Row],[الدفعات]]</f>
        <v>19994.239999999991</v>
      </c>
    </row>
    <row r="331" spans="11:13" ht="33.75" customHeight="1" x14ac:dyDescent="0.3">
      <c r="K331" s="36">
        <f>Table113[[#This Row],[النولون]]+Table113[[#This Row],[الايصالات]]-Table113[[#This Row],[خصم ]]+Table113[[#This Row],[استخلاص]]</f>
        <v>0</v>
      </c>
      <c r="M331" s="36">
        <f>M330+Table113[[#This Row],[اجمالي الفاتوره]]-Table113[[#This Row],[الدفعات]]</f>
        <v>19994.239999999991</v>
      </c>
    </row>
    <row r="332" spans="11:13" ht="33.75" customHeight="1" x14ac:dyDescent="0.3">
      <c r="K332" s="36">
        <f>Table113[[#This Row],[النولون]]+Table113[[#This Row],[الايصالات]]-Table113[[#This Row],[خصم ]]+Table113[[#This Row],[استخلاص]]</f>
        <v>0</v>
      </c>
      <c r="M332" s="36">
        <f>M331+Table113[[#This Row],[اجمالي الفاتوره]]-Table113[[#This Row],[الدفعات]]</f>
        <v>19994.239999999991</v>
      </c>
    </row>
    <row r="333" spans="11:13" ht="33.75" customHeight="1" x14ac:dyDescent="0.3">
      <c r="K333" s="36">
        <f>Table113[[#This Row],[النولون]]+Table113[[#This Row],[الايصالات]]-Table113[[#This Row],[خصم ]]+Table113[[#This Row],[استخلاص]]</f>
        <v>0</v>
      </c>
      <c r="M333" s="36">
        <f>M332+Table113[[#This Row],[اجمالي الفاتوره]]-Table113[[#This Row],[الدفعات]]</f>
        <v>19994.239999999991</v>
      </c>
    </row>
    <row r="334" spans="11:13" ht="33.75" customHeight="1" x14ac:dyDescent="0.3">
      <c r="K334" s="36">
        <f>Table113[[#This Row],[النولون]]+Table113[[#This Row],[الايصالات]]-Table113[[#This Row],[خصم ]]+Table113[[#This Row],[استخلاص]]</f>
        <v>0</v>
      </c>
      <c r="M334" s="36">
        <f>M333+Table113[[#This Row],[اجمالي الفاتوره]]-Table113[[#This Row],[الدفعات]]</f>
        <v>19994.239999999991</v>
      </c>
    </row>
  </sheetData>
  <pageMargins left="0.7" right="0.7" top="0.75" bottom="0.75" header="0.3" footer="0.3"/>
  <pageSetup paperSize="9" scale="72" orientation="landscape" r:id="rId1"/>
  <rowBreaks count="1" manualBreakCount="1">
    <brk id="31" max="12" man="1"/>
  </rowBreaks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38"/>
  <sheetViews>
    <sheetView rightToLeft="1" topLeftCell="A23" zoomScale="90" zoomScaleNormal="90" workbookViewId="0">
      <selection activeCell="F39" sqref="F39"/>
    </sheetView>
  </sheetViews>
  <sheetFormatPr defaultColWidth="9.109375" defaultRowHeight="15.6" x14ac:dyDescent="0.3"/>
  <cols>
    <col min="1" max="1" width="5.44140625" style="1" customWidth="1"/>
    <col min="2" max="2" width="11.44140625" style="1" bestFit="1" customWidth="1"/>
    <col min="3" max="3" width="17.109375" style="1" bestFit="1" customWidth="1"/>
    <col min="4" max="4" width="11.21875" style="1" customWidth="1"/>
    <col min="5" max="5" width="13.33203125" style="1" customWidth="1"/>
    <col min="6" max="6" width="13" style="1" customWidth="1"/>
    <col min="7" max="7" width="11.6640625" style="1" customWidth="1"/>
    <col min="8" max="8" width="11.77734375" style="1" customWidth="1"/>
    <col min="9" max="9" width="11.33203125" style="1" customWidth="1"/>
    <col min="10" max="10" width="10.77734375" style="1" customWidth="1"/>
    <col min="11" max="11" width="12" style="1" customWidth="1"/>
    <col min="12" max="12" width="17.21875" style="1" bestFit="1" customWidth="1"/>
    <col min="13" max="13" width="15.21875" style="1" customWidth="1"/>
    <col min="14" max="16384" width="9.109375" style="1"/>
  </cols>
  <sheetData>
    <row r="1" spans="1:14" ht="26.25" customHeight="1" x14ac:dyDescent="0.3">
      <c r="A1" s="91" t="s">
        <v>0</v>
      </c>
      <c r="B1" s="91" t="s">
        <v>1</v>
      </c>
      <c r="C1" s="91" t="s">
        <v>2</v>
      </c>
      <c r="D1" s="91" t="s">
        <v>3</v>
      </c>
      <c r="E1" s="91" t="s">
        <v>4</v>
      </c>
      <c r="F1" s="91" t="s">
        <v>5</v>
      </c>
      <c r="G1" s="91" t="s">
        <v>6</v>
      </c>
      <c r="H1" s="91" t="s">
        <v>7</v>
      </c>
      <c r="I1" s="91" t="s">
        <v>8</v>
      </c>
      <c r="J1" s="91" t="s">
        <v>9</v>
      </c>
      <c r="K1" s="91" t="s">
        <v>10</v>
      </c>
      <c r="L1" s="91" t="s">
        <v>11</v>
      </c>
      <c r="M1" s="91" t="s">
        <v>12</v>
      </c>
      <c r="N1" s="91" t="s">
        <v>13</v>
      </c>
    </row>
    <row r="2" spans="1:14" ht="26.25" customHeight="1" x14ac:dyDescent="0.3">
      <c r="A2" s="1">
        <v>1</v>
      </c>
      <c r="B2" s="2" t="s">
        <v>150</v>
      </c>
      <c r="C2" s="1" t="s">
        <v>170</v>
      </c>
      <c r="D2" s="1" t="s">
        <v>94</v>
      </c>
      <c r="E2" s="1">
        <v>8169</v>
      </c>
      <c r="F2" s="1" t="s">
        <v>159</v>
      </c>
      <c r="G2" s="1">
        <v>12700</v>
      </c>
      <c r="J2" s="1">
        <f>550+155+565</f>
        <v>1270</v>
      </c>
      <c r="K2" s="1">
        <f>Table11819202122[[#This Row],[النولون]]+Table11819202122[[#This Row],[الايصالات]]-Table11819202122[[#This Row],[خصم أ ت ص]]+Table11819202122[[#This Row],[قيمة مضافة]]</f>
        <v>13970</v>
      </c>
      <c r="M2" s="1">
        <f>Table11819202122[[#This Row],[اجمالي الفاتوره]]-Table11819202122[[#This Row],[الدفعات]]</f>
        <v>13970</v>
      </c>
    </row>
    <row r="3" spans="1:14" ht="26.25" customHeight="1" x14ac:dyDescent="0.3">
      <c r="A3" s="72"/>
      <c r="B3" s="73"/>
      <c r="C3" s="72"/>
      <c r="D3" s="72"/>
      <c r="E3" s="72"/>
      <c r="F3" s="72"/>
      <c r="G3" s="72"/>
      <c r="H3" s="72"/>
      <c r="I3" s="72"/>
      <c r="J3" s="72"/>
      <c r="K3" s="72">
        <f>Table11819202122[[#This Row],[النولون]]+Table11819202122[[#This Row],[الايصالات]]-Table11819202122[[#This Row],[خصم أ ت ص]]+Table11819202122[[#This Row],[قيمة مضافة]]</f>
        <v>0</v>
      </c>
      <c r="L3" s="72">
        <v>10000</v>
      </c>
      <c r="M3" s="72">
        <f>M2+Table11819202122[[#This Row],[اجمالي الفاتوره]]-Table11819202122[[#This Row],[الدفعات]]</f>
        <v>3970</v>
      </c>
    </row>
    <row r="4" spans="1:14" ht="26.25" customHeight="1" x14ac:dyDescent="0.3">
      <c r="A4" s="1">
        <v>2</v>
      </c>
      <c r="B4" s="2" t="s">
        <v>187</v>
      </c>
      <c r="C4" s="1" t="s">
        <v>194</v>
      </c>
      <c r="D4" s="1" t="s">
        <v>195</v>
      </c>
      <c r="E4" s="1">
        <v>23255</v>
      </c>
      <c r="F4" s="1" t="s">
        <v>196</v>
      </c>
      <c r="G4" s="1">
        <f>7150*2</f>
        <v>14300</v>
      </c>
      <c r="J4" s="1">
        <f>1100+360+430+675+150</f>
        <v>2715</v>
      </c>
      <c r="K4" s="1">
        <f>Table11819202122[[#This Row],[النولون]]+Table11819202122[[#This Row],[الايصالات]]-Table11819202122[[#This Row],[خصم أ ت ص]]+Table11819202122[[#This Row],[قيمة مضافة]]</f>
        <v>17015</v>
      </c>
      <c r="M4" s="1">
        <f>M3+Table11819202122[[#This Row],[اجمالي الفاتوره]]-Table11819202122[[#This Row],[الدفعات]]</f>
        <v>20985</v>
      </c>
    </row>
    <row r="5" spans="1:14" ht="26.25" customHeight="1" x14ac:dyDescent="0.3">
      <c r="A5" s="72"/>
      <c r="B5" s="73"/>
      <c r="C5" s="72"/>
      <c r="D5" s="72"/>
      <c r="E5" s="72"/>
      <c r="F5" s="72"/>
      <c r="G5" s="72"/>
      <c r="H5" s="72"/>
      <c r="I5" s="72"/>
      <c r="J5" s="72"/>
      <c r="K5" s="72">
        <f>Table11819202122[[#This Row],[النولون]]+Table11819202122[[#This Row],[الايصالات]]-Table11819202122[[#This Row],[خصم أ ت ص]]+Table11819202122[[#This Row],[قيمة مضافة]]</f>
        <v>0</v>
      </c>
      <c r="L5" s="72">
        <v>22000</v>
      </c>
      <c r="M5" s="72">
        <f>M4+Table11819202122[[#This Row],[اجمالي الفاتوره]]-Table11819202122[[#This Row],[الدفعات]]</f>
        <v>-1015</v>
      </c>
    </row>
    <row r="6" spans="1:14" ht="26.25" customHeight="1" x14ac:dyDescent="0.3">
      <c r="A6" s="1">
        <v>3</v>
      </c>
      <c r="B6" s="2" t="s">
        <v>222</v>
      </c>
      <c r="C6" s="1" t="s">
        <v>223</v>
      </c>
      <c r="D6" s="1" t="s">
        <v>224</v>
      </c>
      <c r="E6" s="1">
        <v>15666</v>
      </c>
      <c r="F6" s="1" t="s">
        <v>121</v>
      </c>
      <c r="G6" s="1">
        <v>11000</v>
      </c>
      <c r="J6" s="1">
        <f>1135+1710+715+850+100</f>
        <v>4510</v>
      </c>
      <c r="K6" s="1">
        <f>Table11819202122[[#This Row],[النولون]]+Table11819202122[[#This Row],[الايصالات]]-Table11819202122[[#This Row],[خصم أ ت ص]]+Table11819202122[[#This Row],[قيمة مضافة]]</f>
        <v>15510</v>
      </c>
      <c r="M6" s="1">
        <f>M5+Table11819202122[[#This Row],[اجمالي الفاتوره]]-Table11819202122[[#This Row],[الدفعات]]</f>
        <v>14495</v>
      </c>
    </row>
    <row r="7" spans="1:14" ht="26.25" customHeight="1" x14ac:dyDescent="0.3">
      <c r="A7" s="72"/>
      <c r="B7" s="73" t="s">
        <v>235</v>
      </c>
      <c r="C7" s="72"/>
      <c r="D7" s="72"/>
      <c r="E7" s="72"/>
      <c r="F7" s="72"/>
      <c r="G7" s="72"/>
      <c r="H7" s="72"/>
      <c r="I7" s="72">
        <v>495</v>
      </c>
      <c r="J7" s="72"/>
      <c r="K7" s="72">
        <f>Table11819202122[[#This Row],[النولون]]+Table11819202122[[#This Row],[الايصالات]]-Table11819202122[[#This Row],[خصم أ ت ص]]+Table11819202122[[#This Row],[قيمة مضافة]]</f>
        <v>-495</v>
      </c>
      <c r="L7" s="72">
        <v>14000</v>
      </c>
      <c r="M7" s="72">
        <f>M6+Table11819202122[[#This Row],[اجمالي الفاتوره]]-Table11819202122[[#This Row],[الدفعات]]</f>
        <v>0</v>
      </c>
    </row>
    <row r="8" spans="1:14" ht="26.25" customHeight="1" x14ac:dyDescent="0.3">
      <c r="A8" s="1">
        <v>4</v>
      </c>
      <c r="B8" s="2" t="s">
        <v>275</v>
      </c>
      <c r="C8" s="1" t="s">
        <v>276</v>
      </c>
      <c r="D8" s="1" t="s">
        <v>277</v>
      </c>
      <c r="E8" s="1">
        <v>39910</v>
      </c>
      <c r="F8" s="1" t="s">
        <v>120</v>
      </c>
      <c r="G8" s="1">
        <v>15600</v>
      </c>
      <c r="J8" s="1">
        <f>590+260+970+50</f>
        <v>1870</v>
      </c>
      <c r="K8" s="1">
        <f>Table11819202122[[#This Row],[النولون]]+Table11819202122[[#This Row],[الايصالات]]-Table11819202122[[#This Row],[خصم أ ت ص]]+Table11819202122[[#This Row],[قيمة مضافة]]</f>
        <v>17470</v>
      </c>
      <c r="M8" s="1">
        <f>M7+Table11819202122[[#This Row],[اجمالي الفاتوره]]-Table11819202122[[#This Row],[الدفعات]]</f>
        <v>17470</v>
      </c>
    </row>
    <row r="9" spans="1:14" ht="26.25" customHeight="1" x14ac:dyDescent="0.3">
      <c r="A9" s="72"/>
      <c r="B9" s="73" t="s">
        <v>275</v>
      </c>
      <c r="C9" s="72"/>
      <c r="D9" s="72"/>
      <c r="E9" s="72"/>
      <c r="F9" s="72"/>
      <c r="G9" s="72"/>
      <c r="H9" s="72"/>
      <c r="I9" s="72"/>
      <c r="J9" s="72"/>
      <c r="K9" s="72">
        <f>Table11819202122[[#This Row],[النولون]]+Table11819202122[[#This Row],[الايصالات]]-Table11819202122[[#This Row],[خصم أ ت ص]]+Table11819202122[[#This Row],[قيمة مضافة]]</f>
        <v>0</v>
      </c>
      <c r="L9" s="72">
        <v>17000</v>
      </c>
      <c r="M9" s="72">
        <f>M8+Table11819202122[[#This Row],[اجمالي الفاتوره]]-Table11819202122[[#This Row],[الدفعات]]</f>
        <v>470</v>
      </c>
    </row>
    <row r="10" spans="1:14" ht="26.25" customHeight="1" x14ac:dyDescent="0.3">
      <c r="A10" s="1">
        <v>5</v>
      </c>
      <c r="B10" s="2" t="s">
        <v>356</v>
      </c>
      <c r="C10" s="2" t="s">
        <v>365</v>
      </c>
      <c r="D10" s="1" t="s">
        <v>366</v>
      </c>
      <c r="E10" s="1">
        <v>98923</v>
      </c>
      <c r="F10" s="1" t="s">
        <v>121</v>
      </c>
      <c r="G10" s="1">
        <v>13500</v>
      </c>
      <c r="J10" s="1">
        <f>850+8030+75+45+345+150+7000+105</f>
        <v>16600</v>
      </c>
      <c r="K10" s="1">
        <f>Table11819202122[[#This Row],[النولون]]+Table11819202122[[#This Row],[الايصالات]]-Table11819202122[[#This Row],[خصم أ ت ص]]+Table11819202122[[#This Row],[قيمة مضافة]]</f>
        <v>30100</v>
      </c>
      <c r="M10" s="1">
        <f>M9+Table11819202122[[#This Row],[اجمالي الفاتوره]]-Table11819202122[[#This Row],[الدفعات]]</f>
        <v>30570</v>
      </c>
    </row>
    <row r="11" spans="1:14" ht="26.25" customHeight="1" x14ac:dyDescent="0.3">
      <c r="A11" s="72"/>
      <c r="B11" s="73" t="s">
        <v>351</v>
      </c>
      <c r="C11" s="72"/>
      <c r="D11" s="72"/>
      <c r="E11" s="72"/>
      <c r="F11" s="72"/>
      <c r="G11" s="72"/>
      <c r="H11" s="72"/>
      <c r="I11" s="72"/>
      <c r="J11" s="72"/>
      <c r="K11" s="72">
        <f>Table11819202122[[#This Row],[النولون]]+Table11819202122[[#This Row],[الايصالات]]-Table11819202122[[#This Row],[خصم أ ت ص]]+Table11819202122[[#This Row],[قيمة مضافة]]</f>
        <v>0</v>
      </c>
      <c r="L11" s="72">
        <v>15000</v>
      </c>
      <c r="M11" s="72">
        <f>M10+Table11819202122[[#This Row],[اجمالي الفاتوره]]-Table11819202122[[#This Row],[الدفعات]]</f>
        <v>15570</v>
      </c>
    </row>
    <row r="12" spans="1:14" ht="26.25" customHeight="1" x14ac:dyDescent="0.3">
      <c r="A12" s="1">
        <v>6</v>
      </c>
      <c r="B12" s="2" t="s">
        <v>392</v>
      </c>
      <c r="C12" s="1" t="s">
        <v>395</v>
      </c>
      <c r="D12" s="1" t="s">
        <v>96</v>
      </c>
      <c r="E12" s="1">
        <v>77801</v>
      </c>
      <c r="F12" s="1" t="s">
        <v>121</v>
      </c>
      <c r="G12" s="1">
        <v>16300</v>
      </c>
      <c r="J12" s="1">
        <f>810+850+1135+234.1+1235</f>
        <v>4264.1000000000004</v>
      </c>
      <c r="K12" s="1">
        <f>Table11819202122[[#This Row],[النولون]]+Table11819202122[[#This Row],[الايصالات]]-Table11819202122[[#This Row],[خصم أ ت ص]]+Table11819202122[[#This Row],[قيمة مضافة]]</f>
        <v>20564.099999999999</v>
      </c>
      <c r="M12" s="1">
        <f>M11+Table11819202122[[#This Row],[اجمالي الفاتوره]]-Table11819202122[[#This Row],[الدفعات]]</f>
        <v>36134.1</v>
      </c>
    </row>
    <row r="13" spans="1:14" ht="26.25" customHeight="1" x14ac:dyDescent="0.3">
      <c r="A13" s="72"/>
      <c r="B13" s="73" t="s">
        <v>389</v>
      </c>
      <c r="C13" s="72"/>
      <c r="D13" s="72"/>
      <c r="E13" s="72"/>
      <c r="F13" s="72"/>
      <c r="G13" s="72"/>
      <c r="H13" s="72"/>
      <c r="I13" s="72"/>
      <c r="J13" s="72"/>
      <c r="K13" s="72">
        <f>Table11819202122[[#This Row],[النولون]]+Table11819202122[[#This Row],[الايصالات]]-Table11819202122[[#This Row],[خصم أ ت ص]]+Table11819202122[[#This Row],[قيمة مضافة]]</f>
        <v>0</v>
      </c>
      <c r="L13" s="72">
        <v>20000</v>
      </c>
      <c r="M13" s="72">
        <f>M12+Table11819202122[[#This Row],[اجمالي الفاتوره]]-Table11819202122[[#This Row],[الدفعات]]</f>
        <v>16134.099999999999</v>
      </c>
    </row>
    <row r="14" spans="1:14" ht="26.25" customHeight="1" x14ac:dyDescent="0.3">
      <c r="A14" s="72"/>
      <c r="B14" s="73" t="s">
        <v>435</v>
      </c>
      <c r="C14" s="72"/>
      <c r="D14" s="72"/>
      <c r="E14" s="72"/>
      <c r="F14" s="72"/>
      <c r="G14" s="72"/>
      <c r="H14" s="72"/>
      <c r="I14" s="72"/>
      <c r="J14" s="72"/>
      <c r="K14" s="72">
        <f>Table11819202122[[#This Row],[النولون]]+Table11819202122[[#This Row],[الايصالات]]-Table11819202122[[#This Row],[خصم أ ت ص]]+Table11819202122[[#This Row],[قيمة مضافة]]</f>
        <v>0</v>
      </c>
      <c r="L14" s="72">
        <v>20000</v>
      </c>
      <c r="M14" s="72">
        <f>M13+Table11819202122[[#This Row],[اجمالي الفاتوره]]-Table11819202122[[#This Row],[الدفعات]]</f>
        <v>-3865.9000000000015</v>
      </c>
    </row>
    <row r="15" spans="1:14" ht="26.25" customHeight="1" x14ac:dyDescent="0.3">
      <c r="A15" s="72"/>
      <c r="B15" s="73" t="s">
        <v>432</v>
      </c>
      <c r="C15" s="72"/>
      <c r="D15" s="72"/>
      <c r="E15" s="72"/>
      <c r="F15" s="72"/>
      <c r="G15" s="72"/>
      <c r="H15" s="72"/>
      <c r="I15" s="72"/>
      <c r="J15" s="72"/>
      <c r="K15" s="72">
        <f>Table11819202122[[#This Row],[النولون]]+Table11819202122[[#This Row],[الايصالات]]-Table11819202122[[#This Row],[خصم أ ت ص]]+Table11819202122[[#This Row],[قيمة مضافة]]</f>
        <v>0</v>
      </c>
      <c r="L15" s="72">
        <v>15000</v>
      </c>
      <c r="M15" s="72">
        <f>M14+Table11819202122[[#This Row],[اجمالي الفاتوره]]-Table11819202122[[#This Row],[الدفعات]]</f>
        <v>-18865.900000000001</v>
      </c>
    </row>
    <row r="16" spans="1:14" ht="26.25" customHeight="1" x14ac:dyDescent="0.3">
      <c r="A16" s="1">
        <v>7</v>
      </c>
      <c r="B16" s="2">
        <v>46123</v>
      </c>
      <c r="C16" s="1" t="s">
        <v>365</v>
      </c>
      <c r="D16" s="1" t="s">
        <v>206</v>
      </c>
      <c r="E16" s="1">
        <v>165566</v>
      </c>
      <c r="F16" s="1" t="s">
        <v>92</v>
      </c>
      <c r="G16" s="1">
        <f>17500*2</f>
        <v>35000</v>
      </c>
      <c r="J16" s="1">
        <f>850+1135*2+224.95+164.31+68.08+105.79+1544.7*2</f>
        <v>6772.53</v>
      </c>
      <c r="K16" s="1">
        <f>Table11819202122[[#This Row],[النولون]]+Table11819202122[[#This Row],[الايصالات]]-Table11819202122[[#This Row],[خصم أ ت ص]]+Table11819202122[[#This Row],[قيمة مضافة]]</f>
        <v>41772.53</v>
      </c>
      <c r="L16" s="1">
        <v>206.63</v>
      </c>
      <c r="M16" s="1">
        <f>M15+Table11819202122[[#This Row],[اجمالي الفاتوره]]-Table11819202122[[#This Row],[الدفعات]]</f>
        <v>22699.999999999996</v>
      </c>
      <c r="N16" s="1">
        <f>SUM(K:K)-SUM(L:L)</f>
        <v>0</v>
      </c>
    </row>
    <row r="17" spans="1:13" ht="26.25" customHeight="1" x14ac:dyDescent="0.3">
      <c r="A17" s="72"/>
      <c r="B17" s="73" t="s">
        <v>442</v>
      </c>
      <c r="C17" s="72"/>
      <c r="D17" s="72"/>
      <c r="E17" s="72"/>
      <c r="F17" s="72"/>
      <c r="G17" s="72"/>
      <c r="H17" s="72"/>
      <c r="I17" s="72"/>
      <c r="J17" s="72"/>
      <c r="K17" s="72">
        <f>Table11819202122[[#This Row],[النولون]]+Table11819202122[[#This Row],[الايصالات]]-Table11819202122[[#This Row],[خصم أ ت ص]]+Table11819202122[[#This Row],[قيمة مضافة]]</f>
        <v>0</v>
      </c>
      <c r="L17" s="72">
        <v>22700</v>
      </c>
      <c r="M17" s="72">
        <f>M16+Table11819202122[[#This Row],[اجمالي الفاتوره]]-Table11819202122[[#This Row],[الدفعات]]</f>
        <v>0</v>
      </c>
    </row>
    <row r="18" spans="1:13" ht="26.25" customHeight="1" x14ac:dyDescent="0.3">
      <c r="A18" s="85"/>
      <c r="B18" s="73" t="s">
        <v>474</v>
      </c>
      <c r="C18" s="72"/>
      <c r="D18" s="72"/>
      <c r="E18" s="72"/>
      <c r="F18" s="72"/>
      <c r="G18" s="72"/>
      <c r="H18" s="72"/>
      <c r="I18" s="72"/>
      <c r="J18" s="72"/>
      <c r="K18" s="72">
        <f>Table11819202122[[#This Row],[النولون]]+Table11819202122[[#This Row],[الايصالات]]-Table11819202122[[#This Row],[خصم أ ت ص]]+Table11819202122[[#This Row],[قيمة مضافة]]</f>
        <v>0</v>
      </c>
      <c r="L18" s="72">
        <v>20000</v>
      </c>
      <c r="M18" s="72">
        <f>M17+Table11819202122[[#This Row],[اجمالي الفاتوره]]-Table11819202122[[#This Row],[الدفعات]]</f>
        <v>-20000</v>
      </c>
    </row>
    <row r="19" spans="1:13" ht="26.25" customHeight="1" x14ac:dyDescent="0.3">
      <c r="A19" s="1">
        <v>8</v>
      </c>
      <c r="B19" s="2">
        <v>46140</v>
      </c>
      <c r="C19" s="1" t="s">
        <v>501</v>
      </c>
      <c r="D19" s="1" t="s">
        <v>502</v>
      </c>
      <c r="E19" s="1">
        <v>175451</v>
      </c>
      <c r="F19" s="1" t="s">
        <v>121</v>
      </c>
      <c r="G19" s="1">
        <v>47000</v>
      </c>
      <c r="J19" s="1">
        <f>850+1135+148.66+850+1345</f>
        <v>4328.66</v>
      </c>
      <c r="K19" s="1">
        <f>Table11819202122[[#This Row],[النولون]]+Table11819202122[[#This Row],[الايصالات]]-Table11819202122[[#This Row],[خصم أ ت ص]]+Table11819202122[[#This Row],[قيمة مضافة]]</f>
        <v>51328.66</v>
      </c>
      <c r="M19" s="1">
        <f>M18+Table11819202122[[#This Row],[اجمالي الفاتوره]]-Table11819202122[[#This Row],[الدفعات]]</f>
        <v>31328.660000000003</v>
      </c>
    </row>
    <row r="20" spans="1:13" ht="26.25" customHeight="1" x14ac:dyDescent="0.3">
      <c r="A20" s="72"/>
      <c r="B20" s="73" t="s">
        <v>508</v>
      </c>
      <c r="C20" s="72"/>
      <c r="D20" s="72"/>
      <c r="E20" s="72"/>
      <c r="F20" s="72"/>
      <c r="G20" s="72"/>
      <c r="H20" s="72"/>
      <c r="I20" s="72"/>
      <c r="J20" s="72"/>
      <c r="K20" s="72">
        <f>Table11819202122[[#This Row],[النولون]]+Table11819202122[[#This Row],[الايصالات]]-Table11819202122[[#This Row],[خصم أ ت ص]]+Table11819202122[[#This Row],[قيمة مضافة]]</f>
        <v>0</v>
      </c>
      <c r="L20" s="72">
        <v>20000</v>
      </c>
      <c r="M20" s="72">
        <f>M19+Table11819202122[[#This Row],[اجمالي الفاتوره]]-Table11819202122[[#This Row],[الدفعات]]</f>
        <v>11328.660000000003</v>
      </c>
    </row>
    <row r="21" spans="1:13" ht="26.25" customHeight="1" x14ac:dyDescent="0.3">
      <c r="A21" s="1">
        <v>9</v>
      </c>
      <c r="B21" s="2">
        <v>46144</v>
      </c>
      <c r="C21" s="1" t="s">
        <v>276</v>
      </c>
      <c r="D21" s="1" t="s">
        <v>277</v>
      </c>
      <c r="E21" s="1">
        <v>193784</v>
      </c>
      <c r="F21" s="1" t="s">
        <v>92</v>
      </c>
      <c r="G21" s="1">
        <f>2*17000</f>
        <v>34000</v>
      </c>
      <c r="J21" s="1">
        <f>850+120*2+120+1135+1130+252.78+226.99+1368+1368+600</f>
        <v>7290.77</v>
      </c>
      <c r="K21" s="1">
        <f>Table11819202122[[#This Row],[النولون]]+Table11819202122[[#This Row],[الايصالات]]-Table11819202122[[#This Row],[خصم أ ت ص]]+Table11819202122[[#This Row],[قيمة مضافة]]</f>
        <v>41290.770000000004</v>
      </c>
      <c r="M21" s="1">
        <f>M20+Table11819202122[[#This Row],[اجمالي الفاتوره]]-Table11819202122[[#This Row],[الدفعات]]</f>
        <v>52619.430000000008</v>
      </c>
    </row>
    <row r="22" spans="1:13" ht="26.25" customHeight="1" x14ac:dyDescent="0.3">
      <c r="A22" s="72"/>
      <c r="B22" s="73">
        <v>46148</v>
      </c>
      <c r="C22" s="72"/>
      <c r="D22" s="72"/>
      <c r="E22" s="72"/>
      <c r="F22" s="72"/>
      <c r="G22" s="72"/>
      <c r="H22" s="72"/>
      <c r="I22" s="72"/>
      <c r="J22" s="72"/>
      <c r="K22" s="72">
        <f>Table11819202122[[#This Row],[النولون]]+Table11819202122[[#This Row],[الايصالات]]-Table11819202122[[#This Row],[خصم أ ت ص]]+Table11819202122[[#This Row],[قيمة مضافة]]</f>
        <v>0</v>
      </c>
      <c r="L22" s="72">
        <v>20000</v>
      </c>
      <c r="M22" s="72">
        <f>M21+Table11819202122[[#This Row],[اجمالي الفاتوره]]-Table11819202122[[#This Row],[الدفعات]]</f>
        <v>32619.430000000008</v>
      </c>
    </row>
    <row r="23" spans="1:13" ht="26.25" customHeight="1" x14ac:dyDescent="0.3">
      <c r="A23" s="72"/>
      <c r="B23" s="73">
        <v>46158</v>
      </c>
      <c r="C23" s="72"/>
      <c r="D23" s="72"/>
      <c r="E23" s="72"/>
      <c r="F23" s="72"/>
      <c r="G23" s="72"/>
      <c r="H23" s="72"/>
      <c r="I23" s="72"/>
      <c r="J23" s="72"/>
      <c r="K23" s="72">
        <f>Table11819202122[[#This Row],[النولون]]+Table11819202122[[#This Row],[الايصالات]]-Table11819202122[[#This Row],[خصم أ ت ص]]+Table11819202122[[#This Row],[قيمة مضافة]]</f>
        <v>0</v>
      </c>
      <c r="L23" s="72">
        <v>20000</v>
      </c>
      <c r="M23" s="72">
        <f>M22+Table11819202122[[#This Row],[اجمالي الفاتوره]]-Table11819202122[[#This Row],[الدفعات]]</f>
        <v>12619.430000000008</v>
      </c>
    </row>
    <row r="24" spans="1:13" ht="26.25" customHeight="1" x14ac:dyDescent="0.3">
      <c r="A24" s="72"/>
      <c r="B24" s="73">
        <v>46160</v>
      </c>
      <c r="C24" s="72"/>
      <c r="D24" s="72"/>
      <c r="E24" s="72"/>
      <c r="F24" s="72"/>
      <c r="G24" s="72"/>
      <c r="H24" s="72"/>
      <c r="I24" s="72"/>
      <c r="J24" s="72"/>
      <c r="K24" s="72">
        <f>Table11819202122[[#This Row],[النولون]]+Table11819202122[[#This Row],[الايصالات]]-Table11819202122[[#This Row],[خصم أ ت ص]]+Table11819202122[[#This Row],[قيمة مضافة]]</f>
        <v>0</v>
      </c>
      <c r="L24" s="72">
        <v>50000</v>
      </c>
      <c r="M24" s="72">
        <f>M23+Table11819202122[[#This Row],[اجمالي الفاتوره]]-Table11819202122[[#This Row],[الدفعات]]</f>
        <v>-37380.569999999992</v>
      </c>
    </row>
    <row r="25" spans="1:13" ht="26.25" customHeight="1" x14ac:dyDescent="0.3">
      <c r="A25" s="1">
        <v>10</v>
      </c>
      <c r="B25" s="2">
        <v>46165</v>
      </c>
      <c r="C25" s="1" t="s">
        <v>365</v>
      </c>
      <c r="D25" s="1" t="s">
        <v>564</v>
      </c>
      <c r="E25" s="1">
        <v>236338</v>
      </c>
      <c r="F25" s="1" t="s">
        <v>92</v>
      </c>
      <c r="G25" s="1">
        <f>17500*2</f>
        <v>35000</v>
      </c>
      <c r="J25" s="1">
        <f>850+100+7970+8000+143.66+304.94+485.3+150+250+109.23+3500</f>
        <v>21863.129999999997</v>
      </c>
      <c r="K25" s="1">
        <f>Table11819202122[[#This Row],[النولون]]+Table11819202122[[#This Row],[الايصالات]]-Table11819202122[[#This Row],[خصم أ ت ص]]+Table11819202122[[#This Row],[قيمة مضافة]]</f>
        <v>56863.13</v>
      </c>
      <c r="L25" s="1">
        <v>982.56</v>
      </c>
      <c r="M25" s="1">
        <f>M24+Table11819202122[[#This Row],[اجمالي الفاتوره]]-Table11819202122[[#This Row],[الدفعات]]</f>
        <v>18500.000000000004</v>
      </c>
    </row>
    <row r="26" spans="1:13" ht="26.25" customHeight="1" x14ac:dyDescent="0.3">
      <c r="A26" s="72"/>
      <c r="B26" s="73">
        <v>46167</v>
      </c>
      <c r="C26" s="72"/>
      <c r="D26" s="72"/>
      <c r="E26" s="72"/>
      <c r="F26" s="72"/>
      <c r="G26" s="72"/>
      <c r="H26" s="72"/>
      <c r="I26" s="72"/>
      <c r="J26" s="72"/>
      <c r="K26" s="72">
        <f>Table11819202122[[#This Row],[النولون]]+Table11819202122[[#This Row],[الايصالات]]-Table11819202122[[#This Row],[خصم أ ت ص]]+Table11819202122[[#This Row],[قيمة مضافة]]</f>
        <v>0</v>
      </c>
      <c r="L26" s="72">
        <v>18500</v>
      </c>
      <c r="M26" s="72">
        <f>M25+Table11819202122[[#This Row],[اجمالي الفاتوره]]-Table11819202122[[#This Row],[الدفعات]]</f>
        <v>0</v>
      </c>
    </row>
    <row r="27" spans="1:13" ht="26.25" customHeight="1" x14ac:dyDescent="0.3">
      <c r="A27" s="1">
        <v>11</v>
      </c>
      <c r="B27" s="2">
        <v>46183</v>
      </c>
      <c r="C27" s="1" t="s">
        <v>276</v>
      </c>
      <c r="D27" s="1" t="s">
        <v>277</v>
      </c>
      <c r="E27" s="1">
        <v>269195</v>
      </c>
      <c r="F27" s="1" t="s">
        <v>121</v>
      </c>
      <c r="G27" s="1">
        <v>17000</v>
      </c>
      <c r="J27" s="1">
        <f>120+1105+30+235+275</f>
        <v>1765</v>
      </c>
      <c r="K27" s="1">
        <f>Table11819202122[[#This Row],[النولون]]+Table11819202122[[#This Row],[الايصالات]]-Table11819202122[[#This Row],[خصم أ ت ص]]+Table11819202122[[#This Row],[قيمة مضافة]]</f>
        <v>18765</v>
      </c>
      <c r="L27" s="1">
        <v>265</v>
      </c>
      <c r="M27" s="1">
        <f>M26+Table11819202122[[#This Row],[اجمالي الفاتوره]]-Table11819202122[[#This Row],[الدفعات]]</f>
        <v>18500</v>
      </c>
    </row>
    <row r="28" spans="1:13" ht="26.25" customHeight="1" x14ac:dyDescent="0.3">
      <c r="A28" s="72"/>
      <c r="B28" s="73">
        <v>46183</v>
      </c>
      <c r="C28" s="72"/>
      <c r="D28" s="72"/>
      <c r="E28" s="72"/>
      <c r="F28" s="72"/>
      <c r="G28" s="72"/>
      <c r="H28" s="72"/>
      <c r="I28" s="72"/>
      <c r="J28" s="72"/>
      <c r="K28" s="72">
        <f>Table11819202122[[#This Row],[النولون]]+Table11819202122[[#This Row],[الايصالات]]-Table11819202122[[#This Row],[خصم أ ت ص]]+Table11819202122[[#This Row],[قيمة مضافة]]</f>
        <v>0</v>
      </c>
      <c r="L28" s="72">
        <v>18500</v>
      </c>
      <c r="M28" s="72">
        <f>M27+Table11819202122[[#This Row],[اجمالي الفاتوره]]-Table11819202122[[#This Row],[الدفعات]]</f>
        <v>0</v>
      </c>
    </row>
    <row r="29" spans="1:13" ht="26.25" customHeight="1" x14ac:dyDescent="0.3">
      <c r="A29" s="1">
        <v>12</v>
      </c>
      <c r="B29" s="2">
        <v>46186</v>
      </c>
      <c r="C29" s="1" t="s">
        <v>173</v>
      </c>
      <c r="D29" s="1" t="s">
        <v>279</v>
      </c>
      <c r="E29" s="1">
        <v>230583</v>
      </c>
      <c r="F29" s="1" t="s">
        <v>181</v>
      </c>
      <c r="G29" s="1">
        <f>13375*4+3700</f>
        <v>57200</v>
      </c>
      <c r="J29" s="1">
        <f>155+1100*2+1105+4185+150+200*2+100+157.91+336.51+336.51+549.29+544.04+1282.5*4</f>
        <v>15349.260000000002</v>
      </c>
      <c r="K29" s="1">
        <f>Table11819202122[[#This Row],[النولون]]+Table11819202122[[#This Row],[الايصالات]]-Table11819202122[[#This Row],[خصم أ ت ص]]+Table11819202122[[#This Row],[قيمة مضافة]]</f>
        <v>72549.260000000009</v>
      </c>
      <c r="L29" s="1">
        <v>1049.26</v>
      </c>
      <c r="M29" s="1">
        <f>M28+Table11819202122[[#This Row],[اجمالي الفاتوره]]-Table11819202122[[#This Row],[الدفعات]]</f>
        <v>71500.000000000015</v>
      </c>
    </row>
    <row r="30" spans="1:13" ht="26.25" customHeight="1" x14ac:dyDescent="0.3">
      <c r="A30" s="72"/>
      <c r="B30" s="73">
        <v>46186</v>
      </c>
      <c r="C30" s="72"/>
      <c r="D30" s="72"/>
      <c r="E30" s="72"/>
      <c r="F30" s="72"/>
      <c r="G30" s="72"/>
      <c r="H30" s="72"/>
      <c r="I30" s="72"/>
      <c r="J30" s="72"/>
      <c r="K30" s="72">
        <f>Table11819202122[[#This Row],[النولون]]+Table11819202122[[#This Row],[الايصالات]]-Table11819202122[[#This Row],[خصم أ ت ص]]+Table11819202122[[#This Row],[قيمة مضافة]]</f>
        <v>0</v>
      </c>
      <c r="L30" s="72">
        <v>25000</v>
      </c>
      <c r="M30" s="72">
        <f>M29+Table11819202122[[#This Row],[اجمالي الفاتوره]]-Table11819202122[[#This Row],[الدفعات]]</f>
        <v>46500.000000000015</v>
      </c>
    </row>
    <row r="31" spans="1:13" ht="26.25" customHeight="1" x14ac:dyDescent="0.3">
      <c r="A31" s="72"/>
      <c r="B31" s="73">
        <v>46187</v>
      </c>
      <c r="C31" s="72"/>
      <c r="D31" s="72"/>
      <c r="E31" s="72"/>
      <c r="F31" s="72"/>
      <c r="G31" s="72"/>
      <c r="H31" s="72"/>
      <c r="I31" s="72"/>
      <c r="J31" s="72"/>
      <c r="K31" s="72">
        <f>Table11819202122[[#This Row],[النولون]]+Table11819202122[[#This Row],[الايصالات]]-Table11819202122[[#This Row],[خصم أ ت ص]]+Table11819202122[[#This Row],[قيمة مضافة]]</f>
        <v>0</v>
      </c>
      <c r="L31" s="72">
        <v>25000</v>
      </c>
      <c r="M31" s="72">
        <f>M30+Table11819202122[[#This Row],[اجمالي الفاتوره]]-Table11819202122[[#This Row],[الدفعات]]</f>
        <v>21500.000000000015</v>
      </c>
    </row>
    <row r="32" spans="1:13" ht="26.25" customHeight="1" x14ac:dyDescent="0.3">
      <c r="A32" s="72"/>
      <c r="B32" s="73">
        <v>46187</v>
      </c>
      <c r="C32" s="72"/>
      <c r="D32" s="72"/>
      <c r="E32" s="72"/>
      <c r="F32" s="72"/>
      <c r="G32" s="72"/>
      <c r="H32" s="72"/>
      <c r="I32" s="72"/>
      <c r="J32" s="72"/>
      <c r="K32" s="72">
        <f>Table11819202122[[#This Row],[النولون]]+Table11819202122[[#This Row],[الايصالات]]-Table11819202122[[#This Row],[خصم أ ت ص]]+Table11819202122[[#This Row],[قيمة مضافة]]</f>
        <v>0</v>
      </c>
      <c r="L32" s="72">
        <v>21500</v>
      </c>
      <c r="M32" s="72">
        <f>M31+Table11819202122[[#This Row],[اجمالي الفاتوره]]-Table11819202122[[#This Row],[الدفعات]]</f>
        <v>0</v>
      </c>
    </row>
    <row r="33" spans="1:13" ht="26.25" customHeight="1" x14ac:dyDescent="0.3">
      <c r="A33" s="1">
        <v>13</v>
      </c>
      <c r="B33" s="2">
        <v>46207</v>
      </c>
      <c r="C33" s="1" t="s">
        <v>276</v>
      </c>
      <c r="D33" s="1" t="s">
        <v>277</v>
      </c>
      <c r="E33" s="1">
        <v>326889</v>
      </c>
      <c r="F33" s="1" t="s">
        <v>121</v>
      </c>
      <c r="G33" s="1">
        <v>17000</v>
      </c>
      <c r="J33" s="1">
        <f>850+1105+30+225+120+1995</f>
        <v>4325</v>
      </c>
      <c r="K33" s="1">
        <f>Table11819202122[[#This Row],[النولون]]+Table11819202122[[#This Row],[الايصالات]]-Table11819202122[[#This Row],[خصم أ ت ص]]+Table11819202122[[#This Row],[قيمة مضافة]]</f>
        <v>21325</v>
      </c>
      <c r="M33" s="1">
        <f>M32+Table11819202122[[#This Row],[اجمالي الفاتوره]]-Table11819202122[[#This Row],[الدفعات]]</f>
        <v>21325</v>
      </c>
    </row>
    <row r="34" spans="1:13" ht="26.25" customHeight="1" x14ac:dyDescent="0.3">
      <c r="A34" s="1">
        <v>14</v>
      </c>
      <c r="B34" s="2">
        <v>46207</v>
      </c>
      <c r="C34" s="1" t="s">
        <v>365</v>
      </c>
      <c r="D34" s="1" t="s">
        <v>644</v>
      </c>
      <c r="E34" s="1">
        <v>319889</v>
      </c>
      <c r="F34" s="1" t="s">
        <v>159</v>
      </c>
      <c r="G34" s="1">
        <v>13000</v>
      </c>
      <c r="J34" s="1">
        <f>850+560+120+285</f>
        <v>1815</v>
      </c>
      <c r="K34" s="1">
        <f>Table11819202122[[#This Row],[النولون]]+Table11819202122[[#This Row],[الايصالات]]-Table11819202122[[#This Row],[خصم أ ت ص]]+Table11819202122[[#This Row],[قيمة مضافة]]</f>
        <v>14815</v>
      </c>
      <c r="L34" s="1">
        <v>140</v>
      </c>
      <c r="M34" s="1">
        <f>M33+Table11819202122[[#This Row],[اجمالي الفاتوره]]-Table11819202122[[#This Row],[الدفعات]]</f>
        <v>36000</v>
      </c>
    </row>
    <row r="35" spans="1:13" ht="26.25" customHeight="1" x14ac:dyDescent="0.3">
      <c r="A35" s="72"/>
      <c r="B35" s="73">
        <v>46203</v>
      </c>
      <c r="C35" s="73"/>
      <c r="D35" s="72"/>
      <c r="E35" s="72"/>
      <c r="F35" s="72"/>
      <c r="G35" s="72"/>
      <c r="H35" s="72"/>
      <c r="I35" s="72"/>
      <c r="J35" s="72"/>
      <c r="K35" s="72">
        <f>Table11819202122[[#This Row],[النولون]]+Table11819202122[[#This Row],[الايصالات]]-Table11819202122[[#This Row],[خصم أ ت ص]]+Table11819202122[[#This Row],[قيمة مضافة]]</f>
        <v>0</v>
      </c>
      <c r="L35" s="72">
        <v>20000</v>
      </c>
      <c r="M35" s="72">
        <f>M34+Table11819202122[[#This Row],[اجمالي الفاتوره]]-Table11819202122[[#This Row],[الدفعات]]</f>
        <v>16000</v>
      </c>
    </row>
    <row r="36" spans="1:13" ht="26.25" customHeight="1" x14ac:dyDescent="0.3">
      <c r="A36" s="72"/>
      <c r="B36" s="97">
        <v>46209</v>
      </c>
      <c r="C36" s="72"/>
      <c r="D36" s="72"/>
      <c r="E36" s="72"/>
      <c r="F36" s="72"/>
      <c r="G36" s="72"/>
      <c r="H36" s="72"/>
      <c r="I36" s="72"/>
      <c r="J36" s="72"/>
      <c r="K36" s="72">
        <f>Table11819202122[[#This Row],[النولون]]+Table11819202122[[#This Row],[الايصالات]]-Table11819202122[[#This Row],[خصم أ ت ص]]+Table11819202122[[#This Row],[قيمة مضافة]]</f>
        <v>0</v>
      </c>
      <c r="L36" s="72">
        <v>16000</v>
      </c>
      <c r="M36" s="72">
        <f>M35+Table11819202122[[#This Row],[اجمالي الفاتوره]]-Table11819202122[[#This Row],[الدفعات]]</f>
        <v>0</v>
      </c>
    </row>
    <row r="37" spans="1:13" ht="26.25" customHeight="1" x14ac:dyDescent="0.3">
      <c r="B37" s="2"/>
      <c r="K37" s="1">
        <f>Table11819202122[[#This Row],[النولون]]+Table11819202122[[#This Row],[الايصالات]]-Table11819202122[[#This Row],[خصم أ ت ص]]+Table11819202122[[#This Row],[قيمة مضافة]]</f>
        <v>0</v>
      </c>
      <c r="M37" s="1">
        <f>M36+Table11819202122[[#This Row],[اجمالي الفاتوره]]-Table11819202122[[#This Row],[الدفعات]]</f>
        <v>0</v>
      </c>
    </row>
    <row r="38" spans="1:13" ht="26.25" customHeight="1" x14ac:dyDescent="0.3">
      <c r="B38" s="2"/>
      <c r="K38" s="1">
        <f>Table11819202122[[#This Row],[النولون]]+Table11819202122[[#This Row],[الايصالات]]-Table11819202122[[#This Row],[خصم أ ت ص]]+Table11819202122[[#This Row],[قيمة مضافة]]</f>
        <v>0</v>
      </c>
      <c r="M38" s="1">
        <f>M37+Table11819202122[[#This Row],[اجمالي الفاتوره]]-Table11819202122[[#This Row],[الدفعات]]</f>
        <v>0</v>
      </c>
    </row>
    <row r="39" spans="1:13" ht="26.25" customHeight="1" x14ac:dyDescent="0.3">
      <c r="B39" s="2"/>
      <c r="K39" s="1">
        <f>Table11819202122[[#This Row],[النولون]]+Table11819202122[[#This Row],[الايصالات]]-Table11819202122[[#This Row],[خصم أ ت ص]]+Table11819202122[[#This Row],[قيمة مضافة]]</f>
        <v>0</v>
      </c>
      <c r="M39" s="1">
        <f>M38+Table11819202122[[#This Row],[اجمالي الفاتوره]]-Table11819202122[[#This Row],[الدفعات]]</f>
        <v>0</v>
      </c>
    </row>
    <row r="40" spans="1:13" ht="26.25" customHeight="1" x14ac:dyDescent="0.3">
      <c r="B40" s="2"/>
      <c r="K40" s="1">
        <f>Table11819202122[[#This Row],[النولون]]+Table11819202122[[#This Row],[الايصالات]]-Table11819202122[[#This Row],[خصم أ ت ص]]+Table11819202122[[#This Row],[قيمة مضافة]]</f>
        <v>0</v>
      </c>
      <c r="M40" s="1">
        <f>M39+Table11819202122[[#This Row],[اجمالي الفاتوره]]-Table11819202122[[#This Row],[الدفعات]]</f>
        <v>0</v>
      </c>
    </row>
    <row r="41" spans="1:13" ht="26.25" customHeight="1" x14ac:dyDescent="0.3">
      <c r="B41" s="2"/>
      <c r="K41" s="1">
        <f>Table11819202122[[#This Row],[النولون]]+Table11819202122[[#This Row],[الايصالات]]-Table11819202122[[#This Row],[خصم أ ت ص]]+Table11819202122[[#This Row],[قيمة مضافة]]</f>
        <v>0</v>
      </c>
      <c r="M41" s="1">
        <f>M40+Table11819202122[[#This Row],[اجمالي الفاتوره]]-Table11819202122[[#This Row],[الدفعات]]</f>
        <v>0</v>
      </c>
    </row>
    <row r="42" spans="1:13" ht="26.25" customHeight="1" x14ac:dyDescent="0.3">
      <c r="B42" s="2"/>
      <c r="K42" s="1">
        <f>Table11819202122[[#This Row],[النولون]]+Table11819202122[[#This Row],[الايصالات]]-Table11819202122[[#This Row],[خصم أ ت ص]]+Table11819202122[[#This Row],[قيمة مضافة]]</f>
        <v>0</v>
      </c>
      <c r="M42" s="1">
        <f>M41+Table11819202122[[#This Row],[اجمالي الفاتوره]]-Table11819202122[[#This Row],[الدفعات]]</f>
        <v>0</v>
      </c>
    </row>
    <row r="43" spans="1:13" ht="26.25" customHeight="1" x14ac:dyDescent="0.3">
      <c r="B43" s="2"/>
      <c r="K43" s="1">
        <f>Table11819202122[[#This Row],[النولون]]+Table11819202122[[#This Row],[الايصالات]]-Table11819202122[[#This Row],[خصم أ ت ص]]+Table11819202122[[#This Row],[قيمة مضافة]]</f>
        <v>0</v>
      </c>
      <c r="M43" s="1">
        <f>M42+Table11819202122[[#This Row],[اجمالي الفاتوره]]-Table11819202122[[#This Row],[الدفعات]]</f>
        <v>0</v>
      </c>
    </row>
    <row r="44" spans="1:13" ht="26.25" customHeight="1" x14ac:dyDescent="0.3">
      <c r="B44" s="2"/>
      <c r="K44" s="1">
        <f>Table11819202122[[#This Row],[النولون]]+Table11819202122[[#This Row],[الايصالات]]-Table11819202122[[#This Row],[خصم أ ت ص]]+Table11819202122[[#This Row],[قيمة مضافة]]</f>
        <v>0</v>
      </c>
      <c r="M44" s="1">
        <f>M43+Table11819202122[[#This Row],[اجمالي الفاتوره]]-Table11819202122[[#This Row],[الدفعات]]</f>
        <v>0</v>
      </c>
    </row>
    <row r="45" spans="1:13" ht="26.25" customHeight="1" x14ac:dyDescent="0.3">
      <c r="B45" s="2"/>
      <c r="K45" s="1">
        <f>Table11819202122[[#This Row],[النولون]]+Table11819202122[[#This Row],[الايصالات]]-Table11819202122[[#This Row],[خصم أ ت ص]]+Table11819202122[[#This Row],[قيمة مضافة]]</f>
        <v>0</v>
      </c>
      <c r="M45" s="1">
        <f>M44+Table11819202122[[#This Row],[اجمالي الفاتوره]]-Table11819202122[[#This Row],[الدفعات]]</f>
        <v>0</v>
      </c>
    </row>
    <row r="46" spans="1:13" ht="26.25" customHeight="1" x14ac:dyDescent="0.3">
      <c r="B46" s="2"/>
      <c r="K46" s="1">
        <f>Table11819202122[[#This Row],[النولون]]+Table11819202122[[#This Row],[الايصالات]]-Table11819202122[[#This Row],[خصم أ ت ص]]+Table11819202122[[#This Row],[قيمة مضافة]]</f>
        <v>0</v>
      </c>
      <c r="M46" s="1">
        <f>M45+Table11819202122[[#This Row],[اجمالي الفاتوره]]-Table11819202122[[#This Row],[الدفعات]]</f>
        <v>0</v>
      </c>
    </row>
    <row r="47" spans="1:13" ht="26.25" customHeight="1" x14ac:dyDescent="0.3">
      <c r="B47" s="2"/>
      <c r="K47" s="1">
        <f>Table11819202122[[#This Row],[النولون]]+Table11819202122[[#This Row],[الايصالات]]-Table11819202122[[#This Row],[خصم أ ت ص]]+Table11819202122[[#This Row],[قيمة مضافة]]</f>
        <v>0</v>
      </c>
      <c r="M47" s="1">
        <f>M46+Table11819202122[[#This Row],[اجمالي الفاتوره]]-Table11819202122[[#This Row],[الدفعات]]</f>
        <v>0</v>
      </c>
    </row>
    <row r="48" spans="1:13" ht="26.25" customHeight="1" x14ac:dyDescent="0.3">
      <c r="B48" s="2"/>
      <c r="K48" s="1">
        <f>Table11819202122[[#This Row],[النولون]]+Table11819202122[[#This Row],[الايصالات]]-Table11819202122[[#This Row],[خصم أ ت ص]]+Table11819202122[[#This Row],[قيمة مضافة]]</f>
        <v>0</v>
      </c>
      <c r="M48" s="1">
        <f>M47+Table11819202122[[#This Row],[اجمالي الفاتوره]]-Table11819202122[[#This Row],[الدفعات]]</f>
        <v>0</v>
      </c>
    </row>
    <row r="49" spans="1:13" ht="26.25" customHeight="1" x14ac:dyDescent="0.3">
      <c r="B49" s="2"/>
      <c r="K49" s="1">
        <f>Table11819202122[[#This Row],[النولون]]+Table11819202122[[#This Row],[الايصالات]]-Table11819202122[[#This Row],[خصم أ ت ص]]+Table11819202122[[#This Row],[قيمة مضافة]]</f>
        <v>0</v>
      </c>
      <c r="M49" s="1">
        <f>M48+Table11819202122[[#This Row],[اجمالي الفاتوره]]-Table11819202122[[#This Row],[الدفعات]]</f>
        <v>0</v>
      </c>
    </row>
    <row r="50" spans="1:13" ht="26.25" customHeight="1" x14ac:dyDescent="0.3">
      <c r="B50" s="2"/>
      <c r="K50" s="1">
        <f>Table11819202122[[#This Row],[النولون]]+Table11819202122[[#This Row],[الايصالات]]-Table11819202122[[#This Row],[خصم أ ت ص]]+Table11819202122[[#This Row],[قيمة مضافة]]</f>
        <v>0</v>
      </c>
      <c r="M50" s="1">
        <f>M49+Table11819202122[[#This Row],[اجمالي الفاتوره]]-Table11819202122[[#This Row],[الدفعات]]</f>
        <v>0</v>
      </c>
    </row>
    <row r="51" spans="1:13" ht="26.25" customHeight="1" x14ac:dyDescent="0.3">
      <c r="B51" s="2"/>
      <c r="K51" s="1">
        <f>Table11819202122[[#This Row],[النولون]]+Table11819202122[[#This Row],[الايصالات]]-Table11819202122[[#This Row],[خصم أ ت ص]]+Table11819202122[[#This Row],[قيمة مضافة]]</f>
        <v>0</v>
      </c>
      <c r="M51" s="1">
        <f>M50+Table11819202122[[#This Row],[اجمالي الفاتوره]]-Table11819202122[[#This Row],[الدفعات]]</f>
        <v>0</v>
      </c>
    </row>
    <row r="52" spans="1:13" ht="26.25" customHeight="1" x14ac:dyDescent="0.3">
      <c r="B52" s="2"/>
      <c r="K52" s="1">
        <f>Table11819202122[[#This Row],[النولون]]+Table11819202122[[#This Row],[الايصالات]]-Table11819202122[[#This Row],[خصم أ ت ص]]+Table11819202122[[#This Row],[قيمة مضافة]]</f>
        <v>0</v>
      </c>
      <c r="M52" s="1">
        <f>M51+Table11819202122[[#This Row],[اجمالي الفاتوره]]-Table11819202122[[#This Row],[الدفعات]]</f>
        <v>0</v>
      </c>
    </row>
    <row r="53" spans="1:13" ht="26.25" customHeight="1" x14ac:dyDescent="0.3">
      <c r="B53" s="2"/>
      <c r="K53" s="1">
        <f>Table11819202122[[#This Row],[النولون]]+Table11819202122[[#This Row],[الايصالات]]-Table11819202122[[#This Row],[خصم أ ت ص]]+Table11819202122[[#This Row],[قيمة مضافة]]</f>
        <v>0</v>
      </c>
      <c r="M53" s="1">
        <f>M52+Table11819202122[[#This Row],[اجمالي الفاتوره]]-Table11819202122[[#This Row],[الدفعات]]</f>
        <v>0</v>
      </c>
    </row>
    <row r="54" spans="1:13" ht="26.25" customHeight="1" x14ac:dyDescent="0.3">
      <c r="B54" s="2"/>
      <c r="K54" s="1">
        <f>Table11819202122[[#This Row],[النولون]]+Table11819202122[[#This Row],[الايصالات]]-Table11819202122[[#This Row],[خصم أ ت ص]]+Table11819202122[[#This Row],[قيمة مضافة]]</f>
        <v>0</v>
      </c>
      <c r="M54" s="1">
        <f>M53+Table11819202122[[#This Row],[اجمالي الفاتوره]]-Table11819202122[[#This Row],[الدفعات]]</f>
        <v>0</v>
      </c>
    </row>
    <row r="55" spans="1:13" ht="26.25" customHeight="1" x14ac:dyDescent="0.3">
      <c r="B55" s="2"/>
      <c r="K55" s="1">
        <f>Table11819202122[[#This Row],[النولون]]+Table11819202122[[#This Row],[الايصالات]]-Table11819202122[[#This Row],[خصم أ ت ص]]+Table11819202122[[#This Row],[قيمة مضافة]]</f>
        <v>0</v>
      </c>
      <c r="M55" s="1">
        <f>M54+Table11819202122[[#This Row],[اجمالي الفاتوره]]-Table11819202122[[#This Row],[الدفعات]]</f>
        <v>0</v>
      </c>
    </row>
    <row r="56" spans="1:13" ht="26.25" customHeight="1" x14ac:dyDescent="0.3">
      <c r="B56" s="2"/>
      <c r="K56" s="1">
        <f>Table11819202122[[#This Row],[النولون]]+Table11819202122[[#This Row],[الايصالات]]-Table11819202122[[#This Row],[خصم أ ت ص]]+Table11819202122[[#This Row],[قيمة مضافة]]</f>
        <v>0</v>
      </c>
      <c r="M56" s="1">
        <f>M55+Table11819202122[[#This Row],[اجمالي الفاتوره]]-Table11819202122[[#This Row],[الدفعات]]</f>
        <v>0</v>
      </c>
    </row>
    <row r="57" spans="1:13" ht="26.25" customHeight="1" x14ac:dyDescent="0.3">
      <c r="A57" s="41"/>
      <c r="B57" s="45"/>
      <c r="C57" s="41"/>
      <c r="D57" s="41"/>
      <c r="E57" s="41"/>
      <c r="F57" s="41"/>
      <c r="G57" s="41"/>
      <c r="H57" s="41"/>
      <c r="I57" s="41"/>
      <c r="J57" s="41"/>
      <c r="K57" s="1">
        <f>Table11819202122[[#This Row],[النولون]]+Table11819202122[[#This Row],[الايصالات]]-Table11819202122[[#This Row],[خصم أ ت ص]]+Table11819202122[[#This Row],[قيمة مضافة]]</f>
        <v>0</v>
      </c>
      <c r="M57" s="1">
        <f>M56+Table11819202122[[#This Row],[اجمالي الفاتوره]]-Table11819202122[[#This Row],[الدفعات]]</f>
        <v>0</v>
      </c>
    </row>
    <row r="58" spans="1:13" ht="26.25" customHeight="1" x14ac:dyDescent="0.3">
      <c r="B58" s="2"/>
      <c r="K58" s="1">
        <f>Table11819202122[[#This Row],[النولون]]+Table11819202122[[#This Row],[الايصالات]]-Table11819202122[[#This Row],[خصم أ ت ص]]+Table11819202122[[#This Row],[قيمة مضافة]]</f>
        <v>0</v>
      </c>
      <c r="M58" s="1">
        <f>M57+Table11819202122[[#This Row],[اجمالي الفاتوره]]-Table11819202122[[#This Row],[الدفعات]]</f>
        <v>0</v>
      </c>
    </row>
    <row r="59" spans="1:13" ht="26.25" customHeight="1" x14ac:dyDescent="0.3">
      <c r="B59" s="2"/>
      <c r="K59" s="1">
        <f>Table11819202122[[#This Row],[النولون]]+Table11819202122[[#This Row],[الايصالات]]-Table11819202122[[#This Row],[خصم أ ت ص]]+Table11819202122[[#This Row],[قيمة مضافة]]</f>
        <v>0</v>
      </c>
      <c r="M59" s="1">
        <f>M58+Table11819202122[[#This Row],[اجمالي الفاتوره]]-Table11819202122[[#This Row],[الدفعات]]</f>
        <v>0</v>
      </c>
    </row>
    <row r="60" spans="1:13" ht="26.25" customHeight="1" x14ac:dyDescent="0.3">
      <c r="B60" s="2"/>
      <c r="K60" s="1">
        <f>Table11819202122[[#This Row],[النولون]]+Table11819202122[[#This Row],[الايصالات]]-Table11819202122[[#This Row],[خصم أ ت ص]]+Table11819202122[[#This Row],[قيمة مضافة]]</f>
        <v>0</v>
      </c>
      <c r="M60" s="1">
        <f>M59+Table11819202122[[#This Row],[اجمالي الفاتوره]]-Table11819202122[[#This Row],[الدفعات]]</f>
        <v>0</v>
      </c>
    </row>
    <row r="61" spans="1:13" ht="26.25" customHeight="1" x14ac:dyDescent="0.3">
      <c r="B61" s="2"/>
      <c r="K61" s="1">
        <f>Table11819202122[[#This Row],[النولون]]+Table11819202122[[#This Row],[الايصالات]]-Table11819202122[[#This Row],[خصم أ ت ص]]+Table11819202122[[#This Row],[قيمة مضافة]]</f>
        <v>0</v>
      </c>
      <c r="M61" s="1">
        <f>M60+Table11819202122[[#This Row],[اجمالي الفاتوره]]-Table11819202122[[#This Row],[الدفعات]]</f>
        <v>0</v>
      </c>
    </row>
    <row r="62" spans="1:13" ht="26.25" customHeight="1" x14ac:dyDescent="0.3">
      <c r="B62" s="2"/>
      <c r="K62" s="1">
        <f>Table11819202122[[#This Row],[النولون]]+Table11819202122[[#This Row],[الايصالات]]-Table11819202122[[#This Row],[خصم أ ت ص]]+Table11819202122[[#This Row],[قيمة مضافة]]</f>
        <v>0</v>
      </c>
      <c r="M62" s="1">
        <f>M61+Table11819202122[[#This Row],[اجمالي الفاتوره]]-Table11819202122[[#This Row],[الدفعات]]</f>
        <v>0</v>
      </c>
    </row>
    <row r="63" spans="1:13" ht="26.25" customHeight="1" x14ac:dyDescent="0.3">
      <c r="C63" s="2"/>
      <c r="K63" s="1">
        <f>Table11819202122[[#This Row],[النولون]]+Table11819202122[[#This Row],[الايصالات]]-Table11819202122[[#This Row],[خصم أ ت ص]]+Table11819202122[[#This Row],[قيمة مضافة]]</f>
        <v>0</v>
      </c>
      <c r="M63" s="1">
        <f>M62+Table11819202122[[#This Row],[اجمالي الفاتوره]]-Table11819202122[[#This Row],[الدفعات]]</f>
        <v>0</v>
      </c>
    </row>
    <row r="64" spans="1:13" ht="26.25" customHeight="1" x14ac:dyDescent="0.3">
      <c r="B64" s="2"/>
      <c r="K64" s="1">
        <f>Table11819202122[[#This Row],[النولون]]+Table11819202122[[#This Row],[الايصالات]]-Table11819202122[[#This Row],[خصم أ ت ص]]+Table11819202122[[#This Row],[قيمة مضافة]]</f>
        <v>0</v>
      </c>
      <c r="M64" s="1">
        <f>M63+Table11819202122[[#This Row],[اجمالي الفاتوره]]-Table11819202122[[#This Row],[الدفعات]]</f>
        <v>0</v>
      </c>
    </row>
    <row r="65" spans="2:13" ht="26.25" customHeight="1" x14ac:dyDescent="0.3">
      <c r="B65" s="2"/>
      <c r="C65" s="2"/>
      <c r="K65" s="1">
        <f>Table11819202122[[#This Row],[النولون]]+Table11819202122[[#This Row],[الايصالات]]-Table11819202122[[#This Row],[خصم أ ت ص]]+Table11819202122[[#This Row],[قيمة مضافة]]</f>
        <v>0</v>
      </c>
      <c r="M65" s="1">
        <f>M64+Table11819202122[[#This Row],[اجمالي الفاتوره]]-Table11819202122[[#This Row],[الدفعات]]</f>
        <v>0</v>
      </c>
    </row>
    <row r="66" spans="2:13" ht="26.25" customHeight="1" x14ac:dyDescent="0.3">
      <c r="B66" s="2"/>
      <c r="K66" s="1">
        <f>Table11819202122[[#This Row],[النولون]]+Table11819202122[[#This Row],[الايصالات]]-Table11819202122[[#This Row],[خصم أ ت ص]]+Table11819202122[[#This Row],[قيمة مضافة]]</f>
        <v>0</v>
      </c>
      <c r="M66" s="1">
        <f>M65+Table11819202122[[#This Row],[اجمالي الفاتوره]]-Table11819202122[[#This Row],[الدفعات]]</f>
        <v>0</v>
      </c>
    </row>
    <row r="67" spans="2:13" ht="26.25" customHeight="1" x14ac:dyDescent="0.3">
      <c r="B67" s="2"/>
      <c r="C67" s="2"/>
      <c r="K67" s="1">
        <f>Table11819202122[[#This Row],[النولون]]+Table11819202122[[#This Row],[الايصالات]]-Table11819202122[[#This Row],[خصم أ ت ص]]+Table11819202122[[#This Row],[قيمة مضافة]]</f>
        <v>0</v>
      </c>
      <c r="M67" s="1">
        <f>M66+Table11819202122[[#This Row],[اجمالي الفاتوره]]-Table11819202122[[#This Row],[الدفعات]]</f>
        <v>0</v>
      </c>
    </row>
    <row r="68" spans="2:13" ht="26.25" customHeight="1" x14ac:dyDescent="0.3">
      <c r="B68" s="2"/>
      <c r="K68" s="1">
        <f>Table11819202122[[#This Row],[النولون]]+Table11819202122[[#This Row],[الايصالات]]-Table11819202122[[#This Row],[خصم أ ت ص]]+Table11819202122[[#This Row],[قيمة مضافة]]</f>
        <v>0</v>
      </c>
      <c r="M68" s="1">
        <f>M67+Table11819202122[[#This Row],[اجمالي الفاتوره]]-Table11819202122[[#This Row],[الدفعات]]</f>
        <v>0</v>
      </c>
    </row>
    <row r="69" spans="2:13" ht="26.25" customHeight="1" x14ac:dyDescent="0.3">
      <c r="B69" s="2"/>
      <c r="K69" s="1">
        <f>Table11819202122[[#This Row],[النولون]]+Table11819202122[[#This Row],[الايصالات]]-Table11819202122[[#This Row],[خصم أ ت ص]]+Table11819202122[[#This Row],[قيمة مضافة]]</f>
        <v>0</v>
      </c>
      <c r="M69" s="1">
        <f>M68+Table11819202122[[#This Row],[اجمالي الفاتوره]]-Table11819202122[[#This Row],[الدفعات]]</f>
        <v>0</v>
      </c>
    </row>
    <row r="70" spans="2:13" ht="26.25" customHeight="1" x14ac:dyDescent="0.3">
      <c r="B70" s="2"/>
      <c r="K70" s="1">
        <f>Table11819202122[[#This Row],[النولون]]+Table11819202122[[#This Row],[الايصالات]]-Table11819202122[[#This Row],[خصم أ ت ص]]+Table11819202122[[#This Row],[قيمة مضافة]]</f>
        <v>0</v>
      </c>
      <c r="M70" s="1">
        <f>M69+Table11819202122[[#This Row],[اجمالي الفاتوره]]-Table11819202122[[#This Row],[الدفعات]]</f>
        <v>0</v>
      </c>
    </row>
    <row r="71" spans="2:13" ht="26.25" customHeight="1" x14ac:dyDescent="0.3">
      <c r="B71" s="2"/>
      <c r="K71" s="1">
        <f>Table11819202122[[#This Row],[النولون]]+Table11819202122[[#This Row],[الايصالات]]-Table11819202122[[#This Row],[خصم أ ت ص]]+Table11819202122[[#This Row],[قيمة مضافة]]</f>
        <v>0</v>
      </c>
      <c r="M71" s="1">
        <f>M70+Table11819202122[[#This Row],[اجمالي الفاتوره]]-Table11819202122[[#This Row],[الدفعات]]</f>
        <v>0</v>
      </c>
    </row>
    <row r="72" spans="2:13" ht="26.25" customHeight="1" x14ac:dyDescent="0.3">
      <c r="B72" s="2"/>
      <c r="K72" s="1">
        <f>Table11819202122[[#This Row],[النولون]]+Table11819202122[[#This Row],[الايصالات]]-Table11819202122[[#This Row],[خصم أ ت ص]]+Table11819202122[[#This Row],[قيمة مضافة]]</f>
        <v>0</v>
      </c>
      <c r="M72" s="1">
        <f>M71+Table11819202122[[#This Row],[اجمالي الفاتوره]]-Table11819202122[[#This Row],[الدفعات]]</f>
        <v>0</v>
      </c>
    </row>
    <row r="73" spans="2:13" ht="26.25" customHeight="1" x14ac:dyDescent="0.3">
      <c r="B73" s="2"/>
      <c r="K73" s="1">
        <f>Table11819202122[[#This Row],[النولون]]+Table11819202122[[#This Row],[الايصالات]]-Table11819202122[[#This Row],[خصم أ ت ص]]+Table11819202122[[#This Row],[قيمة مضافة]]</f>
        <v>0</v>
      </c>
      <c r="M73" s="1">
        <f>M72+Table11819202122[[#This Row],[اجمالي الفاتوره]]-Table11819202122[[#This Row],[الدفعات]]</f>
        <v>0</v>
      </c>
    </row>
    <row r="74" spans="2:13" ht="26.25" customHeight="1" x14ac:dyDescent="0.3">
      <c r="B74" s="2"/>
      <c r="K74" s="1">
        <f>Table11819202122[[#This Row],[النولون]]+Table11819202122[[#This Row],[الايصالات]]-Table11819202122[[#This Row],[خصم أ ت ص]]+Table11819202122[[#This Row],[قيمة مضافة]]</f>
        <v>0</v>
      </c>
      <c r="M74" s="1">
        <f>M73+Table11819202122[[#This Row],[اجمالي الفاتوره]]-Table11819202122[[#This Row],[الدفعات]]</f>
        <v>0</v>
      </c>
    </row>
    <row r="75" spans="2:13" ht="26.25" customHeight="1" x14ac:dyDescent="0.3">
      <c r="B75" s="2"/>
      <c r="K75" s="1">
        <f>Table11819202122[[#This Row],[النولون]]+Table11819202122[[#This Row],[الايصالات]]-Table11819202122[[#This Row],[خصم أ ت ص]]+Table11819202122[[#This Row],[قيمة مضافة]]</f>
        <v>0</v>
      </c>
      <c r="M75" s="1">
        <f>M74+Table11819202122[[#This Row],[اجمالي الفاتوره]]-Table11819202122[[#This Row],[الدفعات]]</f>
        <v>0</v>
      </c>
    </row>
    <row r="76" spans="2:13" ht="26.25" customHeight="1" x14ac:dyDescent="0.3">
      <c r="B76" s="2"/>
      <c r="K76" s="1">
        <f>Table11819202122[[#This Row],[النولون]]+Table11819202122[[#This Row],[الايصالات]]-Table11819202122[[#This Row],[خصم أ ت ص]]+Table11819202122[[#This Row],[قيمة مضافة]]</f>
        <v>0</v>
      </c>
      <c r="M76" s="1">
        <f>M75+Table11819202122[[#This Row],[اجمالي الفاتوره]]-Table11819202122[[#This Row],[الدفعات]]</f>
        <v>0</v>
      </c>
    </row>
    <row r="77" spans="2:13" ht="26.25" customHeight="1" x14ac:dyDescent="0.3">
      <c r="B77" s="2"/>
      <c r="K77" s="1">
        <f>Table11819202122[[#This Row],[النولون]]+Table11819202122[[#This Row],[الايصالات]]-Table11819202122[[#This Row],[خصم أ ت ص]]+Table11819202122[[#This Row],[قيمة مضافة]]</f>
        <v>0</v>
      </c>
      <c r="M77" s="1">
        <f>M76+Table11819202122[[#This Row],[اجمالي الفاتوره]]-Table11819202122[[#This Row],[الدفعات]]</f>
        <v>0</v>
      </c>
    </row>
    <row r="78" spans="2:13" ht="26.25" customHeight="1" x14ac:dyDescent="0.3">
      <c r="B78" s="2"/>
      <c r="K78" s="1">
        <f>Table11819202122[[#This Row],[النولون]]+Table11819202122[[#This Row],[الايصالات]]-Table11819202122[[#This Row],[خصم أ ت ص]]+Table11819202122[[#This Row],[قيمة مضافة]]</f>
        <v>0</v>
      </c>
      <c r="M78" s="1">
        <f>M77+Table11819202122[[#This Row],[اجمالي الفاتوره]]-Table11819202122[[#This Row],[الدفعات]]</f>
        <v>0</v>
      </c>
    </row>
    <row r="79" spans="2:13" ht="26.25" customHeight="1" x14ac:dyDescent="0.3">
      <c r="B79" s="2"/>
      <c r="K79" s="1">
        <f>Table11819202122[[#This Row],[النولون]]+Table11819202122[[#This Row],[الايصالات]]-Table11819202122[[#This Row],[خصم أ ت ص]]+Table11819202122[[#This Row],[قيمة مضافة]]</f>
        <v>0</v>
      </c>
      <c r="M79" s="1">
        <f>M78+Table11819202122[[#This Row],[اجمالي الفاتوره]]-Table11819202122[[#This Row],[الدفعات]]</f>
        <v>0</v>
      </c>
    </row>
    <row r="80" spans="2:13" ht="26.25" customHeight="1" x14ac:dyDescent="0.3">
      <c r="B80" s="2"/>
      <c r="K80" s="1">
        <f>Table11819202122[[#This Row],[النولون]]+Table11819202122[[#This Row],[الايصالات]]-Table11819202122[[#This Row],[خصم أ ت ص]]+Table11819202122[[#This Row],[قيمة مضافة]]</f>
        <v>0</v>
      </c>
      <c r="M80" s="1">
        <f>M79+Table11819202122[[#This Row],[اجمالي الفاتوره]]-Table11819202122[[#This Row],[الدفعات]]</f>
        <v>0</v>
      </c>
    </row>
    <row r="81" spans="2:13" ht="26.25" customHeight="1" x14ac:dyDescent="0.3">
      <c r="B81" s="2"/>
      <c r="K81" s="1">
        <f>Table11819202122[[#This Row],[النولون]]+Table11819202122[[#This Row],[الايصالات]]-Table11819202122[[#This Row],[خصم أ ت ص]]+Table11819202122[[#This Row],[قيمة مضافة]]</f>
        <v>0</v>
      </c>
      <c r="M81" s="1">
        <f>M80+Table11819202122[[#This Row],[اجمالي الفاتوره]]-Table11819202122[[#This Row],[الدفعات]]</f>
        <v>0</v>
      </c>
    </row>
    <row r="82" spans="2:13" ht="26.25" customHeight="1" x14ac:dyDescent="0.3">
      <c r="B82" s="2"/>
      <c r="K82" s="1">
        <f>Table11819202122[[#This Row],[النولون]]+Table11819202122[[#This Row],[الايصالات]]-Table11819202122[[#This Row],[خصم أ ت ص]]+Table11819202122[[#This Row],[قيمة مضافة]]</f>
        <v>0</v>
      </c>
      <c r="M82" s="1">
        <f>M81+Table11819202122[[#This Row],[اجمالي الفاتوره]]-Table11819202122[[#This Row],[الدفعات]]</f>
        <v>0</v>
      </c>
    </row>
    <row r="83" spans="2:13" ht="26.25" customHeight="1" x14ac:dyDescent="0.3">
      <c r="B83" s="2"/>
      <c r="K83" s="1">
        <f>Table11819202122[[#This Row],[النولون]]+Table11819202122[[#This Row],[الايصالات]]-Table11819202122[[#This Row],[خصم أ ت ص]]+Table11819202122[[#This Row],[قيمة مضافة]]</f>
        <v>0</v>
      </c>
      <c r="M83" s="1">
        <f>M82+Table11819202122[[#This Row],[اجمالي الفاتوره]]-Table11819202122[[#This Row],[الدفعات]]</f>
        <v>0</v>
      </c>
    </row>
    <row r="84" spans="2:13" ht="26.25" customHeight="1" x14ac:dyDescent="0.3">
      <c r="C84" s="2"/>
      <c r="K84" s="1">
        <f>Table11819202122[[#This Row],[النولون]]+Table11819202122[[#This Row],[الايصالات]]-Table11819202122[[#This Row],[خصم أ ت ص]]+Table11819202122[[#This Row],[قيمة مضافة]]</f>
        <v>0</v>
      </c>
      <c r="M84" s="1">
        <f>M83+Table11819202122[[#This Row],[اجمالي الفاتوره]]-Table11819202122[[#This Row],[الدفعات]]</f>
        <v>0</v>
      </c>
    </row>
    <row r="85" spans="2:13" ht="26.25" customHeight="1" x14ac:dyDescent="0.3">
      <c r="B85" s="2"/>
      <c r="K85" s="1">
        <f>Table11819202122[[#This Row],[النولون]]+Table11819202122[[#This Row],[الايصالات]]-Table11819202122[[#This Row],[خصم أ ت ص]]+Table11819202122[[#This Row],[قيمة مضافة]]</f>
        <v>0</v>
      </c>
      <c r="M85" s="1">
        <f>M84+Table11819202122[[#This Row],[اجمالي الفاتوره]]-Table11819202122[[#This Row],[الدفعات]]</f>
        <v>0</v>
      </c>
    </row>
    <row r="86" spans="2:13" ht="26.25" customHeight="1" x14ac:dyDescent="0.3">
      <c r="B86" s="2"/>
      <c r="K86" s="1">
        <f>Table11819202122[[#This Row],[النولون]]+Table11819202122[[#This Row],[الايصالات]]-Table11819202122[[#This Row],[خصم أ ت ص]]+Table11819202122[[#This Row],[قيمة مضافة]]</f>
        <v>0</v>
      </c>
      <c r="M86" s="1">
        <f>M85+Table11819202122[[#This Row],[اجمالي الفاتوره]]-Table11819202122[[#This Row],[الدفعات]]</f>
        <v>0</v>
      </c>
    </row>
    <row r="87" spans="2:13" ht="26.25" customHeight="1" x14ac:dyDescent="0.3">
      <c r="B87" s="2"/>
      <c r="K87" s="1">
        <f>Table11819202122[[#This Row],[النولون]]+Table11819202122[[#This Row],[الايصالات]]-Table11819202122[[#This Row],[خصم أ ت ص]]+Table11819202122[[#This Row],[قيمة مضافة]]</f>
        <v>0</v>
      </c>
      <c r="M87" s="1">
        <f>M86+Table11819202122[[#This Row],[اجمالي الفاتوره]]-Table11819202122[[#This Row],[الدفعات]]</f>
        <v>0</v>
      </c>
    </row>
    <row r="88" spans="2:13" ht="26.25" customHeight="1" x14ac:dyDescent="0.3">
      <c r="K88" s="1">
        <f>Table11819202122[[#This Row],[النولون]]+Table11819202122[[#This Row],[الايصالات]]-Table11819202122[[#This Row],[خصم أ ت ص]]+Table11819202122[[#This Row],[قيمة مضافة]]</f>
        <v>0</v>
      </c>
      <c r="M88" s="1">
        <f>M87+Table11819202122[[#This Row],[اجمالي الفاتوره]]-Table11819202122[[#This Row],[الدفعات]]</f>
        <v>0</v>
      </c>
    </row>
    <row r="89" spans="2:13" ht="26.25" customHeight="1" x14ac:dyDescent="0.3">
      <c r="K89" s="1">
        <f>Table11819202122[[#This Row],[النولون]]+Table11819202122[[#This Row],[الايصالات]]-Table11819202122[[#This Row],[خصم أ ت ص]]+Table11819202122[[#This Row],[قيمة مضافة]]</f>
        <v>0</v>
      </c>
      <c r="M89" s="1">
        <f>M88+Table11819202122[[#This Row],[اجمالي الفاتوره]]-Table11819202122[[#This Row],[الدفعات]]</f>
        <v>0</v>
      </c>
    </row>
    <row r="90" spans="2:13" ht="26.25" customHeight="1" x14ac:dyDescent="0.3">
      <c r="C90" s="2"/>
      <c r="K90" s="1">
        <f>Table11819202122[[#This Row],[النولون]]+Table11819202122[[#This Row],[الايصالات]]-Table11819202122[[#This Row],[خصم أ ت ص]]+Table11819202122[[#This Row],[قيمة مضافة]]</f>
        <v>0</v>
      </c>
      <c r="M90" s="1">
        <f>M89+Table11819202122[[#This Row],[اجمالي الفاتوره]]-Table11819202122[[#This Row],[الدفعات]]</f>
        <v>0</v>
      </c>
    </row>
    <row r="91" spans="2:13" ht="26.25" customHeight="1" x14ac:dyDescent="0.3">
      <c r="C91" s="2"/>
      <c r="K91" s="1">
        <f>Table11819202122[[#This Row],[النولون]]+Table11819202122[[#This Row],[الايصالات]]-Table11819202122[[#This Row],[خصم أ ت ص]]+Table11819202122[[#This Row],[قيمة مضافة]]</f>
        <v>0</v>
      </c>
      <c r="M91" s="1">
        <f>M90+Table11819202122[[#This Row],[اجمالي الفاتوره]]-Table11819202122[[#This Row],[الدفعات]]</f>
        <v>0</v>
      </c>
    </row>
    <row r="92" spans="2:13" ht="26.25" customHeight="1" x14ac:dyDescent="0.3">
      <c r="B92" s="2"/>
      <c r="K92" s="1">
        <f>Table11819202122[[#This Row],[النولون]]+Table11819202122[[#This Row],[الايصالات]]-Table11819202122[[#This Row],[خصم أ ت ص]]+Table11819202122[[#This Row],[قيمة مضافة]]</f>
        <v>0</v>
      </c>
      <c r="M92" s="1">
        <f>M91+Table11819202122[[#This Row],[اجمالي الفاتوره]]-Table11819202122[[#This Row],[الدفعات]]</f>
        <v>0</v>
      </c>
    </row>
    <row r="93" spans="2:13" ht="26.25" customHeight="1" x14ac:dyDescent="0.3">
      <c r="B93" s="2"/>
      <c r="K93" s="1">
        <f>Table11819202122[[#This Row],[النولون]]+Table11819202122[[#This Row],[الايصالات]]-Table11819202122[[#This Row],[خصم أ ت ص]]+Table11819202122[[#This Row],[قيمة مضافة]]</f>
        <v>0</v>
      </c>
      <c r="M93" s="1">
        <f>M92+Table11819202122[[#This Row],[اجمالي الفاتوره]]-Table11819202122[[#This Row],[الدفعات]]</f>
        <v>0</v>
      </c>
    </row>
    <row r="94" spans="2:13" ht="26.25" customHeight="1" x14ac:dyDescent="0.3">
      <c r="B94" s="2"/>
      <c r="K94" s="1">
        <f>Table11819202122[[#This Row],[النولون]]+Table11819202122[[#This Row],[الايصالات]]-Table11819202122[[#This Row],[خصم أ ت ص]]+Table11819202122[[#This Row],[قيمة مضافة]]</f>
        <v>0</v>
      </c>
      <c r="M94" s="1">
        <f>M93+Table11819202122[[#This Row],[اجمالي الفاتوره]]-Table11819202122[[#This Row],[الدفعات]]</f>
        <v>0</v>
      </c>
    </row>
    <row r="95" spans="2:13" ht="26.25" customHeight="1" x14ac:dyDescent="0.3">
      <c r="B95" s="2"/>
      <c r="K95" s="1">
        <f>Table11819202122[[#This Row],[النولون]]+Table11819202122[[#This Row],[الايصالات]]-Table11819202122[[#This Row],[خصم أ ت ص]]+Table11819202122[[#This Row],[قيمة مضافة]]</f>
        <v>0</v>
      </c>
      <c r="M95" s="1">
        <f>M94+Table11819202122[[#This Row],[اجمالي الفاتوره]]-Table11819202122[[#This Row],[الدفعات]]</f>
        <v>0</v>
      </c>
    </row>
    <row r="96" spans="2:13" ht="26.25" customHeight="1" x14ac:dyDescent="0.3">
      <c r="K96" s="1">
        <f>Table11819202122[[#This Row],[النولون]]+Table11819202122[[#This Row],[الايصالات]]-Table11819202122[[#This Row],[خصم أ ت ص]]+Table11819202122[[#This Row],[قيمة مضافة]]</f>
        <v>0</v>
      </c>
      <c r="M96" s="1">
        <f>M95+Table11819202122[[#This Row],[اجمالي الفاتوره]]-Table11819202122[[#This Row],[الدفعات]]</f>
        <v>0</v>
      </c>
    </row>
    <row r="97" spans="11:13" ht="26.25" customHeight="1" x14ac:dyDescent="0.3">
      <c r="K97" s="1">
        <f>Table11819202122[[#This Row],[النولون]]+Table11819202122[[#This Row],[الايصالات]]-Table11819202122[[#This Row],[خصم أ ت ص]]+Table11819202122[[#This Row],[قيمة مضافة]]</f>
        <v>0</v>
      </c>
      <c r="M97" s="1">
        <f>M96+Table11819202122[[#This Row],[اجمالي الفاتوره]]-Table11819202122[[#This Row],[الدفعات]]</f>
        <v>0</v>
      </c>
    </row>
    <row r="98" spans="11:13" ht="26.25" customHeight="1" x14ac:dyDescent="0.3">
      <c r="K98" s="1">
        <f>Table11819202122[[#This Row],[النولون]]+Table11819202122[[#This Row],[الايصالات]]-Table11819202122[[#This Row],[خصم أ ت ص]]+Table11819202122[[#This Row],[قيمة مضافة]]</f>
        <v>0</v>
      </c>
      <c r="M98" s="1">
        <f>M97+Table11819202122[[#This Row],[اجمالي الفاتوره]]-Table11819202122[[#This Row],[الدفعات]]</f>
        <v>0</v>
      </c>
    </row>
    <row r="99" spans="11:13" ht="26.25" customHeight="1" x14ac:dyDescent="0.3">
      <c r="K99" s="1">
        <f>Table11819202122[[#This Row],[النولون]]+Table11819202122[[#This Row],[الايصالات]]-Table11819202122[[#This Row],[خصم أ ت ص]]+Table11819202122[[#This Row],[قيمة مضافة]]</f>
        <v>0</v>
      </c>
      <c r="M99" s="1">
        <f>M98+Table11819202122[[#This Row],[اجمالي الفاتوره]]-Table11819202122[[#This Row],[الدفعات]]</f>
        <v>0</v>
      </c>
    </row>
    <row r="100" spans="11:13" ht="26.25" customHeight="1" x14ac:dyDescent="0.3">
      <c r="K100" s="1">
        <f>Table11819202122[[#This Row],[النولون]]+Table11819202122[[#This Row],[الايصالات]]-Table11819202122[[#This Row],[خصم أ ت ص]]+Table11819202122[[#This Row],[قيمة مضافة]]</f>
        <v>0</v>
      </c>
      <c r="M100" s="1">
        <f>M99+Table11819202122[[#This Row],[اجمالي الفاتوره]]-Table11819202122[[#This Row],[الدفعات]]</f>
        <v>0</v>
      </c>
    </row>
    <row r="101" spans="11:13" ht="26.25" customHeight="1" x14ac:dyDescent="0.3">
      <c r="K101" s="1">
        <f>Table11819202122[[#This Row],[النولون]]+Table11819202122[[#This Row],[الايصالات]]-Table11819202122[[#This Row],[خصم أ ت ص]]+Table11819202122[[#This Row],[قيمة مضافة]]</f>
        <v>0</v>
      </c>
      <c r="M101" s="1">
        <f>M100+Table11819202122[[#This Row],[اجمالي الفاتوره]]-Table11819202122[[#This Row],[الدفعات]]</f>
        <v>0</v>
      </c>
    </row>
    <row r="102" spans="11:13" ht="26.25" customHeight="1" x14ac:dyDescent="0.3">
      <c r="K102" s="1">
        <f>Table11819202122[[#This Row],[النولون]]+Table11819202122[[#This Row],[الايصالات]]-Table11819202122[[#This Row],[خصم أ ت ص]]+Table11819202122[[#This Row],[قيمة مضافة]]</f>
        <v>0</v>
      </c>
      <c r="M102" s="1">
        <f>M101+Table11819202122[[#This Row],[اجمالي الفاتوره]]-Table11819202122[[#This Row],[الدفعات]]</f>
        <v>0</v>
      </c>
    </row>
    <row r="103" spans="11:13" ht="26.25" customHeight="1" x14ac:dyDescent="0.3">
      <c r="K103" s="1">
        <f>Table11819202122[[#This Row],[النولون]]+Table11819202122[[#This Row],[الايصالات]]-Table11819202122[[#This Row],[خصم أ ت ص]]+Table11819202122[[#This Row],[قيمة مضافة]]</f>
        <v>0</v>
      </c>
      <c r="M103" s="1">
        <f>M102+Table11819202122[[#This Row],[اجمالي الفاتوره]]-Table11819202122[[#This Row],[الدفعات]]</f>
        <v>0</v>
      </c>
    </row>
    <row r="104" spans="11:13" ht="26.25" customHeight="1" x14ac:dyDescent="0.3">
      <c r="K104" s="1">
        <f>Table11819202122[[#This Row],[النولون]]+Table11819202122[[#This Row],[الايصالات]]-Table11819202122[[#This Row],[خصم أ ت ص]]+Table11819202122[[#This Row],[قيمة مضافة]]</f>
        <v>0</v>
      </c>
      <c r="M104" s="1">
        <f>M103+Table11819202122[[#This Row],[اجمالي الفاتوره]]-Table11819202122[[#This Row],[الدفعات]]</f>
        <v>0</v>
      </c>
    </row>
    <row r="105" spans="11:13" ht="26.25" customHeight="1" x14ac:dyDescent="0.3">
      <c r="K105" s="1">
        <f>Table11819202122[[#This Row],[النولون]]+Table11819202122[[#This Row],[الايصالات]]-Table11819202122[[#This Row],[خصم أ ت ص]]+Table11819202122[[#This Row],[قيمة مضافة]]</f>
        <v>0</v>
      </c>
      <c r="M105" s="1">
        <f>M104+Table11819202122[[#This Row],[اجمالي الفاتوره]]-Table11819202122[[#This Row],[الدفعات]]</f>
        <v>0</v>
      </c>
    </row>
    <row r="106" spans="11:13" ht="26.25" customHeight="1" x14ac:dyDescent="0.3">
      <c r="K106" s="1">
        <f>Table11819202122[[#This Row],[النولون]]+Table11819202122[[#This Row],[الايصالات]]-Table11819202122[[#This Row],[خصم أ ت ص]]+Table11819202122[[#This Row],[قيمة مضافة]]</f>
        <v>0</v>
      </c>
      <c r="M106" s="1">
        <f>M105+Table11819202122[[#This Row],[اجمالي الفاتوره]]-Table11819202122[[#This Row],[الدفعات]]</f>
        <v>0</v>
      </c>
    </row>
    <row r="107" spans="11:13" ht="26.25" customHeight="1" x14ac:dyDescent="0.3">
      <c r="K107" s="1">
        <f>Table11819202122[[#This Row],[النولون]]+Table11819202122[[#This Row],[الايصالات]]-Table11819202122[[#This Row],[خصم أ ت ص]]+Table11819202122[[#This Row],[قيمة مضافة]]</f>
        <v>0</v>
      </c>
      <c r="M107" s="1">
        <f>M106+Table11819202122[[#This Row],[اجمالي الفاتوره]]-Table11819202122[[#This Row],[الدفعات]]</f>
        <v>0</v>
      </c>
    </row>
    <row r="108" spans="11:13" ht="26.25" customHeight="1" x14ac:dyDescent="0.3">
      <c r="K108" s="1">
        <f>Table11819202122[[#This Row],[النولون]]+Table11819202122[[#This Row],[الايصالات]]-Table11819202122[[#This Row],[خصم أ ت ص]]+Table11819202122[[#This Row],[قيمة مضافة]]</f>
        <v>0</v>
      </c>
      <c r="M108" s="1">
        <f>M107+Table11819202122[[#This Row],[اجمالي الفاتوره]]-Table11819202122[[#This Row],[الدفعات]]</f>
        <v>0</v>
      </c>
    </row>
    <row r="109" spans="11:13" ht="26.25" customHeight="1" x14ac:dyDescent="0.3">
      <c r="K109" s="1">
        <f>Table11819202122[[#This Row],[النولون]]+Table11819202122[[#This Row],[الايصالات]]-Table11819202122[[#This Row],[خصم أ ت ص]]+Table11819202122[[#This Row],[قيمة مضافة]]</f>
        <v>0</v>
      </c>
      <c r="M109" s="1">
        <f>M108+Table11819202122[[#This Row],[اجمالي الفاتوره]]-Table11819202122[[#This Row],[الدفعات]]</f>
        <v>0</v>
      </c>
    </row>
    <row r="110" spans="11:13" ht="26.25" customHeight="1" x14ac:dyDescent="0.3">
      <c r="K110" s="1">
        <f>Table11819202122[[#This Row],[النولون]]+Table11819202122[[#This Row],[الايصالات]]-Table11819202122[[#This Row],[خصم أ ت ص]]+Table11819202122[[#This Row],[قيمة مضافة]]</f>
        <v>0</v>
      </c>
      <c r="M110" s="1">
        <f>M109+Table11819202122[[#This Row],[اجمالي الفاتوره]]-Table11819202122[[#This Row],[الدفعات]]</f>
        <v>0</v>
      </c>
    </row>
    <row r="111" spans="11:13" ht="26.25" customHeight="1" x14ac:dyDescent="0.3">
      <c r="K111" s="1">
        <f>Table11819202122[[#This Row],[النولون]]+Table11819202122[[#This Row],[الايصالات]]-Table11819202122[[#This Row],[خصم أ ت ص]]+Table11819202122[[#This Row],[قيمة مضافة]]</f>
        <v>0</v>
      </c>
      <c r="M111" s="1">
        <f>M110+Table11819202122[[#This Row],[اجمالي الفاتوره]]-Table11819202122[[#This Row],[الدفعات]]</f>
        <v>0</v>
      </c>
    </row>
    <row r="112" spans="11:13" ht="26.25" customHeight="1" x14ac:dyDescent="0.3">
      <c r="K112" s="1">
        <f>Table11819202122[[#This Row],[النولون]]+Table11819202122[[#This Row],[الايصالات]]-Table11819202122[[#This Row],[خصم أ ت ص]]+Table11819202122[[#This Row],[قيمة مضافة]]</f>
        <v>0</v>
      </c>
      <c r="M112" s="1">
        <f>M111+Table11819202122[[#This Row],[اجمالي الفاتوره]]-Table11819202122[[#This Row],[الدفعات]]</f>
        <v>0</v>
      </c>
    </row>
    <row r="113" spans="11:13" ht="26.25" customHeight="1" x14ac:dyDescent="0.3">
      <c r="K113" s="1">
        <f>Table11819202122[[#This Row],[النولون]]+Table11819202122[[#This Row],[الايصالات]]-Table11819202122[[#This Row],[خصم أ ت ص]]+Table11819202122[[#This Row],[قيمة مضافة]]</f>
        <v>0</v>
      </c>
      <c r="M113" s="1">
        <f>M112+Table11819202122[[#This Row],[اجمالي الفاتوره]]-Table11819202122[[#This Row],[الدفعات]]</f>
        <v>0</v>
      </c>
    </row>
    <row r="114" spans="11:13" ht="26.25" customHeight="1" x14ac:dyDescent="0.3">
      <c r="K114" s="1">
        <f>Table11819202122[[#This Row],[النولون]]+Table11819202122[[#This Row],[الايصالات]]-Table11819202122[[#This Row],[خصم أ ت ص]]+Table11819202122[[#This Row],[قيمة مضافة]]</f>
        <v>0</v>
      </c>
      <c r="M114" s="1">
        <f>M113+Table11819202122[[#This Row],[اجمالي الفاتوره]]-Table11819202122[[#This Row],[الدفعات]]</f>
        <v>0</v>
      </c>
    </row>
    <row r="115" spans="11:13" ht="26.25" customHeight="1" x14ac:dyDescent="0.3">
      <c r="K115" s="1">
        <f>Table11819202122[[#This Row],[النولون]]+Table11819202122[[#This Row],[الايصالات]]-Table11819202122[[#This Row],[خصم أ ت ص]]+Table11819202122[[#This Row],[قيمة مضافة]]</f>
        <v>0</v>
      </c>
      <c r="M115" s="1">
        <f>M114+Table11819202122[[#This Row],[اجمالي الفاتوره]]-Table11819202122[[#This Row],[الدفعات]]</f>
        <v>0</v>
      </c>
    </row>
    <row r="116" spans="11:13" ht="26.25" customHeight="1" x14ac:dyDescent="0.3">
      <c r="K116" s="1">
        <f>Table11819202122[[#This Row],[النولون]]+Table11819202122[[#This Row],[الايصالات]]-Table11819202122[[#This Row],[خصم أ ت ص]]+Table11819202122[[#This Row],[قيمة مضافة]]</f>
        <v>0</v>
      </c>
      <c r="M116" s="1">
        <f>M115+Table11819202122[[#This Row],[اجمالي الفاتوره]]-Table11819202122[[#This Row],[الدفعات]]</f>
        <v>0</v>
      </c>
    </row>
    <row r="117" spans="11:13" ht="26.25" customHeight="1" x14ac:dyDescent="0.3">
      <c r="K117" s="1">
        <f>Table11819202122[[#This Row],[النولون]]+Table11819202122[[#This Row],[الايصالات]]-Table11819202122[[#This Row],[خصم أ ت ص]]+Table11819202122[[#This Row],[قيمة مضافة]]</f>
        <v>0</v>
      </c>
      <c r="M117" s="1">
        <f>M116+Table11819202122[[#This Row],[اجمالي الفاتوره]]-Table11819202122[[#This Row],[الدفعات]]</f>
        <v>0</v>
      </c>
    </row>
    <row r="118" spans="11:13" ht="26.25" customHeight="1" x14ac:dyDescent="0.3">
      <c r="K118" s="1">
        <f>Table11819202122[[#This Row],[النولون]]+Table11819202122[[#This Row],[الايصالات]]-Table11819202122[[#This Row],[خصم أ ت ص]]+Table11819202122[[#This Row],[قيمة مضافة]]</f>
        <v>0</v>
      </c>
      <c r="M118" s="1">
        <f>M117+Table11819202122[[#This Row],[اجمالي الفاتوره]]-Table11819202122[[#This Row],[الدفعات]]</f>
        <v>0</v>
      </c>
    </row>
    <row r="119" spans="11:13" ht="26.25" customHeight="1" x14ac:dyDescent="0.3">
      <c r="K119" s="1">
        <f>Table11819202122[[#This Row],[النولون]]+Table11819202122[[#This Row],[الايصالات]]-Table11819202122[[#This Row],[خصم أ ت ص]]+Table11819202122[[#This Row],[قيمة مضافة]]</f>
        <v>0</v>
      </c>
      <c r="M119" s="1">
        <f>M118+Table11819202122[[#This Row],[اجمالي الفاتوره]]-Table11819202122[[#This Row],[الدفعات]]</f>
        <v>0</v>
      </c>
    </row>
    <row r="120" spans="11:13" ht="26.25" customHeight="1" x14ac:dyDescent="0.3">
      <c r="K120" s="1">
        <f>Table11819202122[[#This Row],[النولون]]+Table11819202122[[#This Row],[الايصالات]]-Table11819202122[[#This Row],[خصم أ ت ص]]+Table11819202122[[#This Row],[قيمة مضافة]]</f>
        <v>0</v>
      </c>
      <c r="M120" s="1">
        <f>M119+Table11819202122[[#This Row],[اجمالي الفاتوره]]-Table11819202122[[#This Row],[الدفعات]]</f>
        <v>0</v>
      </c>
    </row>
    <row r="121" spans="11:13" ht="26.25" customHeight="1" x14ac:dyDescent="0.3">
      <c r="K121" s="1">
        <f>Table11819202122[[#This Row],[النولون]]+Table11819202122[[#This Row],[الايصالات]]-Table11819202122[[#This Row],[خصم أ ت ص]]+Table11819202122[[#This Row],[قيمة مضافة]]</f>
        <v>0</v>
      </c>
      <c r="M121" s="1">
        <f>M120+Table11819202122[[#This Row],[اجمالي الفاتوره]]-Table11819202122[[#This Row],[الدفعات]]</f>
        <v>0</v>
      </c>
    </row>
    <row r="122" spans="11:13" ht="26.25" customHeight="1" x14ac:dyDescent="0.3">
      <c r="K122" s="1">
        <f>Table11819202122[[#This Row],[النولون]]+Table11819202122[[#This Row],[الايصالات]]-Table11819202122[[#This Row],[خصم أ ت ص]]+Table11819202122[[#This Row],[قيمة مضافة]]</f>
        <v>0</v>
      </c>
      <c r="M122" s="1">
        <f>M121+Table11819202122[[#This Row],[اجمالي الفاتوره]]-Table11819202122[[#This Row],[الدفعات]]</f>
        <v>0</v>
      </c>
    </row>
    <row r="123" spans="11:13" ht="26.25" customHeight="1" x14ac:dyDescent="0.3">
      <c r="K123" s="1">
        <f>Table11819202122[[#This Row],[النولون]]+Table11819202122[[#This Row],[الايصالات]]-Table11819202122[[#This Row],[خصم أ ت ص]]+Table11819202122[[#This Row],[قيمة مضافة]]</f>
        <v>0</v>
      </c>
      <c r="M123" s="1">
        <f>M122+Table11819202122[[#This Row],[اجمالي الفاتوره]]-Table11819202122[[#This Row],[الدفعات]]</f>
        <v>0</v>
      </c>
    </row>
    <row r="124" spans="11:13" ht="26.25" customHeight="1" x14ac:dyDescent="0.3">
      <c r="K124" s="1">
        <f>Table11819202122[[#This Row],[النولون]]+Table11819202122[[#This Row],[الايصالات]]-Table11819202122[[#This Row],[خصم أ ت ص]]+Table11819202122[[#This Row],[قيمة مضافة]]</f>
        <v>0</v>
      </c>
      <c r="M124" s="1">
        <f>M123+Table11819202122[[#This Row],[اجمالي الفاتوره]]-Table11819202122[[#This Row],[الدفعات]]</f>
        <v>0</v>
      </c>
    </row>
    <row r="125" spans="11:13" ht="26.25" customHeight="1" x14ac:dyDescent="0.3">
      <c r="K125" s="1">
        <f>Table11819202122[[#This Row],[النولون]]+Table11819202122[[#This Row],[الايصالات]]-Table11819202122[[#This Row],[خصم أ ت ص]]+Table11819202122[[#This Row],[قيمة مضافة]]</f>
        <v>0</v>
      </c>
      <c r="M125" s="1">
        <f>M124+Table11819202122[[#This Row],[اجمالي الفاتوره]]-Table11819202122[[#This Row],[الدفعات]]</f>
        <v>0</v>
      </c>
    </row>
    <row r="126" spans="11:13" ht="26.25" customHeight="1" x14ac:dyDescent="0.3">
      <c r="K126" s="1">
        <f>Table11819202122[[#This Row],[النولون]]+Table11819202122[[#This Row],[الايصالات]]-Table11819202122[[#This Row],[خصم أ ت ص]]+Table11819202122[[#This Row],[قيمة مضافة]]</f>
        <v>0</v>
      </c>
      <c r="M126" s="1">
        <f>M125+Table11819202122[[#This Row],[اجمالي الفاتوره]]-Table11819202122[[#This Row],[الدفعات]]</f>
        <v>0</v>
      </c>
    </row>
    <row r="127" spans="11:13" ht="26.25" customHeight="1" x14ac:dyDescent="0.3">
      <c r="K127" s="1">
        <f>Table11819202122[[#This Row],[النولون]]+Table11819202122[[#This Row],[الايصالات]]-Table11819202122[[#This Row],[خصم أ ت ص]]+Table11819202122[[#This Row],[قيمة مضافة]]</f>
        <v>0</v>
      </c>
      <c r="M127" s="1">
        <f>M126+Table11819202122[[#This Row],[اجمالي الفاتوره]]-Table11819202122[[#This Row],[الدفعات]]</f>
        <v>0</v>
      </c>
    </row>
    <row r="128" spans="11:13" ht="26.25" customHeight="1" x14ac:dyDescent="0.3">
      <c r="K128" s="1">
        <f>Table11819202122[[#This Row],[النولون]]+Table11819202122[[#This Row],[الايصالات]]-Table11819202122[[#This Row],[خصم أ ت ص]]+Table11819202122[[#This Row],[قيمة مضافة]]</f>
        <v>0</v>
      </c>
      <c r="M128" s="1">
        <f>M127+Table11819202122[[#This Row],[اجمالي الفاتوره]]-Table11819202122[[#This Row],[الدفعات]]</f>
        <v>0</v>
      </c>
    </row>
    <row r="129" spans="11:13" ht="26.25" customHeight="1" x14ac:dyDescent="0.3">
      <c r="K129" s="1">
        <f>Table11819202122[[#This Row],[النولون]]+Table11819202122[[#This Row],[الايصالات]]-Table11819202122[[#This Row],[خصم أ ت ص]]+Table11819202122[[#This Row],[قيمة مضافة]]</f>
        <v>0</v>
      </c>
      <c r="M129" s="1">
        <f>M128+Table11819202122[[#This Row],[اجمالي الفاتوره]]-Table11819202122[[#This Row],[الدفعات]]</f>
        <v>0</v>
      </c>
    </row>
    <row r="130" spans="11:13" ht="26.25" customHeight="1" x14ac:dyDescent="0.3">
      <c r="K130" s="1">
        <f>Table11819202122[[#This Row],[النولون]]+Table11819202122[[#This Row],[الايصالات]]-Table11819202122[[#This Row],[خصم أ ت ص]]+Table11819202122[[#This Row],[قيمة مضافة]]</f>
        <v>0</v>
      </c>
      <c r="M130" s="1">
        <f>M129+Table11819202122[[#This Row],[اجمالي الفاتوره]]-Table11819202122[[#This Row],[الدفعات]]</f>
        <v>0</v>
      </c>
    </row>
    <row r="131" spans="11:13" ht="26.25" customHeight="1" x14ac:dyDescent="0.3">
      <c r="K131" s="1">
        <f>Table11819202122[[#This Row],[النولون]]+Table11819202122[[#This Row],[الايصالات]]-Table11819202122[[#This Row],[خصم أ ت ص]]+Table11819202122[[#This Row],[قيمة مضافة]]</f>
        <v>0</v>
      </c>
      <c r="M131" s="1">
        <f>M130+Table11819202122[[#This Row],[اجمالي الفاتوره]]-Table11819202122[[#This Row],[الدفعات]]</f>
        <v>0</v>
      </c>
    </row>
    <row r="132" spans="11:13" ht="26.25" customHeight="1" x14ac:dyDescent="0.3">
      <c r="K132" s="1">
        <f>Table11819202122[[#This Row],[النولون]]+Table11819202122[[#This Row],[الايصالات]]-Table11819202122[[#This Row],[خصم أ ت ص]]+Table11819202122[[#This Row],[قيمة مضافة]]</f>
        <v>0</v>
      </c>
      <c r="M132" s="1">
        <f>M131+Table11819202122[[#This Row],[اجمالي الفاتوره]]-Table11819202122[[#This Row],[الدفعات]]</f>
        <v>0</v>
      </c>
    </row>
    <row r="133" spans="11:13" ht="26.25" customHeight="1" x14ac:dyDescent="0.3">
      <c r="K133" s="1">
        <f>Table11819202122[[#This Row],[النولون]]+Table11819202122[[#This Row],[الايصالات]]-Table11819202122[[#This Row],[خصم أ ت ص]]+Table11819202122[[#This Row],[قيمة مضافة]]</f>
        <v>0</v>
      </c>
      <c r="M133" s="1">
        <f>M132+Table11819202122[[#This Row],[اجمالي الفاتوره]]-Table11819202122[[#This Row],[الدفعات]]</f>
        <v>0</v>
      </c>
    </row>
    <row r="134" spans="11:13" ht="26.25" customHeight="1" x14ac:dyDescent="0.3">
      <c r="K134" s="1">
        <f>Table11819202122[[#This Row],[النولون]]+Table11819202122[[#This Row],[الايصالات]]-Table11819202122[[#This Row],[خصم أ ت ص]]+Table11819202122[[#This Row],[قيمة مضافة]]</f>
        <v>0</v>
      </c>
      <c r="M134" s="1">
        <f>M133+Table11819202122[[#This Row],[اجمالي الفاتوره]]-Table11819202122[[#This Row],[الدفعات]]</f>
        <v>0</v>
      </c>
    </row>
    <row r="135" spans="11:13" ht="26.25" customHeight="1" x14ac:dyDescent="0.3">
      <c r="K135" s="1">
        <f>Table11819202122[[#This Row],[النولون]]+Table11819202122[[#This Row],[الايصالات]]-Table11819202122[[#This Row],[خصم أ ت ص]]+Table11819202122[[#This Row],[قيمة مضافة]]</f>
        <v>0</v>
      </c>
      <c r="M135" s="1">
        <f>M134+Table11819202122[[#This Row],[اجمالي الفاتوره]]-Table11819202122[[#This Row],[الدفعات]]</f>
        <v>0</v>
      </c>
    </row>
    <row r="136" spans="11:13" ht="26.25" customHeight="1" x14ac:dyDescent="0.3">
      <c r="K136" s="1">
        <f>Table11819202122[[#This Row],[النولون]]+Table11819202122[[#This Row],[الايصالات]]-Table11819202122[[#This Row],[خصم أ ت ص]]+Table11819202122[[#This Row],[قيمة مضافة]]</f>
        <v>0</v>
      </c>
      <c r="M136" s="1">
        <f>M135+Table11819202122[[#This Row],[اجمالي الفاتوره]]-Table11819202122[[#This Row],[الدفعات]]</f>
        <v>0</v>
      </c>
    </row>
    <row r="137" spans="11:13" ht="26.25" customHeight="1" x14ac:dyDescent="0.3">
      <c r="K137" s="1">
        <f>Table11819202122[[#This Row],[النولون]]+Table11819202122[[#This Row],[الايصالات]]-Table11819202122[[#This Row],[خصم أ ت ص]]+Table11819202122[[#This Row],[قيمة مضافة]]</f>
        <v>0</v>
      </c>
      <c r="M137" s="1">
        <f>M136+Table11819202122[[#This Row],[اجمالي الفاتوره]]-Table11819202122[[#This Row],[الدفعات]]</f>
        <v>0</v>
      </c>
    </row>
    <row r="138" spans="11:13" ht="26.25" customHeight="1" x14ac:dyDescent="0.3">
      <c r="K138" s="1">
        <f>Table11819202122[[#This Row],[النولون]]+Table11819202122[[#This Row],[الايصالات]]-Table11819202122[[#This Row],[خصم أ ت ص]]+Table11819202122[[#This Row],[قيمة مضافة]]</f>
        <v>0</v>
      </c>
      <c r="M138" s="1">
        <f>M137+Table11819202122[[#This Row],[اجمالي الفاتوره]]-Table11819202122[[#This Row],[الدفعات]]</f>
        <v>0</v>
      </c>
    </row>
    <row r="139" spans="11:13" ht="26.25" customHeight="1" x14ac:dyDescent="0.3">
      <c r="K139" s="1">
        <f>Table11819202122[[#This Row],[النولون]]+Table11819202122[[#This Row],[الايصالات]]-Table11819202122[[#This Row],[خصم أ ت ص]]+Table11819202122[[#This Row],[قيمة مضافة]]</f>
        <v>0</v>
      </c>
      <c r="M139" s="1">
        <f>M138+Table11819202122[[#This Row],[اجمالي الفاتوره]]-Table11819202122[[#This Row],[الدفعات]]</f>
        <v>0</v>
      </c>
    </row>
    <row r="140" spans="11:13" ht="26.25" customHeight="1" x14ac:dyDescent="0.3">
      <c r="K140" s="1">
        <f>Table11819202122[[#This Row],[النولون]]+Table11819202122[[#This Row],[الايصالات]]-Table11819202122[[#This Row],[خصم أ ت ص]]+Table11819202122[[#This Row],[قيمة مضافة]]</f>
        <v>0</v>
      </c>
      <c r="M140" s="1">
        <f>M139+Table11819202122[[#This Row],[اجمالي الفاتوره]]-Table11819202122[[#This Row],[الدفعات]]</f>
        <v>0</v>
      </c>
    </row>
    <row r="141" spans="11:13" ht="26.25" customHeight="1" x14ac:dyDescent="0.3">
      <c r="K141" s="1">
        <f>Table11819202122[[#This Row],[النولون]]+Table11819202122[[#This Row],[الايصالات]]-Table11819202122[[#This Row],[خصم أ ت ص]]+Table11819202122[[#This Row],[قيمة مضافة]]</f>
        <v>0</v>
      </c>
      <c r="M141" s="1">
        <f>M140+Table11819202122[[#This Row],[اجمالي الفاتوره]]-Table11819202122[[#This Row],[الدفعات]]</f>
        <v>0</v>
      </c>
    </row>
    <row r="142" spans="11:13" ht="26.25" customHeight="1" x14ac:dyDescent="0.3">
      <c r="K142" s="1">
        <f>Table11819202122[[#This Row],[النولون]]+Table11819202122[[#This Row],[الايصالات]]-Table11819202122[[#This Row],[خصم أ ت ص]]+Table11819202122[[#This Row],[قيمة مضافة]]</f>
        <v>0</v>
      </c>
      <c r="M142" s="1">
        <f>M141+Table11819202122[[#This Row],[اجمالي الفاتوره]]-Table11819202122[[#This Row],[الدفعات]]</f>
        <v>0</v>
      </c>
    </row>
    <row r="143" spans="11:13" ht="26.25" customHeight="1" x14ac:dyDescent="0.3">
      <c r="K143" s="1">
        <f>Table11819202122[[#This Row],[النولون]]+Table11819202122[[#This Row],[الايصالات]]-Table11819202122[[#This Row],[خصم أ ت ص]]+Table11819202122[[#This Row],[قيمة مضافة]]</f>
        <v>0</v>
      </c>
      <c r="M143" s="1">
        <f>M142+Table11819202122[[#This Row],[اجمالي الفاتوره]]-Table11819202122[[#This Row],[الدفعات]]</f>
        <v>0</v>
      </c>
    </row>
    <row r="144" spans="11:13" ht="26.25" customHeight="1" x14ac:dyDescent="0.3">
      <c r="K144" s="1">
        <f>Table11819202122[[#This Row],[النولون]]+Table11819202122[[#This Row],[الايصالات]]-Table11819202122[[#This Row],[خصم أ ت ص]]+Table11819202122[[#This Row],[قيمة مضافة]]</f>
        <v>0</v>
      </c>
      <c r="M144" s="1">
        <f>M143+Table11819202122[[#This Row],[اجمالي الفاتوره]]-Table11819202122[[#This Row],[الدفعات]]</f>
        <v>0</v>
      </c>
    </row>
    <row r="145" spans="11:13" ht="26.25" customHeight="1" x14ac:dyDescent="0.3">
      <c r="K145" s="1">
        <f>Table11819202122[[#This Row],[النولون]]+Table11819202122[[#This Row],[الايصالات]]-Table11819202122[[#This Row],[خصم أ ت ص]]+Table11819202122[[#This Row],[قيمة مضافة]]</f>
        <v>0</v>
      </c>
      <c r="M145" s="1">
        <f>M144+Table11819202122[[#This Row],[اجمالي الفاتوره]]-Table11819202122[[#This Row],[الدفعات]]</f>
        <v>0</v>
      </c>
    </row>
    <row r="146" spans="11:13" ht="26.25" customHeight="1" x14ac:dyDescent="0.3">
      <c r="K146" s="1">
        <f>Table11819202122[[#This Row],[النولون]]+Table11819202122[[#This Row],[الايصالات]]-Table11819202122[[#This Row],[خصم أ ت ص]]+Table11819202122[[#This Row],[قيمة مضافة]]</f>
        <v>0</v>
      </c>
      <c r="M146" s="1">
        <f>M145+Table11819202122[[#This Row],[اجمالي الفاتوره]]-Table11819202122[[#This Row],[الدفعات]]</f>
        <v>0</v>
      </c>
    </row>
    <row r="147" spans="11:13" ht="26.25" customHeight="1" x14ac:dyDescent="0.3">
      <c r="K147" s="1">
        <f>Table11819202122[[#This Row],[النولون]]+Table11819202122[[#This Row],[الايصالات]]-Table11819202122[[#This Row],[خصم أ ت ص]]+Table11819202122[[#This Row],[قيمة مضافة]]</f>
        <v>0</v>
      </c>
      <c r="M147" s="1">
        <f>M146+Table11819202122[[#This Row],[اجمالي الفاتوره]]-Table11819202122[[#This Row],[الدفعات]]</f>
        <v>0</v>
      </c>
    </row>
    <row r="148" spans="11:13" ht="26.25" customHeight="1" x14ac:dyDescent="0.3">
      <c r="K148" s="1">
        <f>Table11819202122[[#This Row],[النولون]]+Table11819202122[[#This Row],[الايصالات]]-Table11819202122[[#This Row],[خصم أ ت ص]]+Table11819202122[[#This Row],[قيمة مضافة]]</f>
        <v>0</v>
      </c>
      <c r="M148" s="1">
        <f>M147+Table11819202122[[#This Row],[اجمالي الفاتوره]]-Table11819202122[[#This Row],[الدفعات]]</f>
        <v>0</v>
      </c>
    </row>
    <row r="149" spans="11:13" ht="26.25" customHeight="1" x14ac:dyDescent="0.3">
      <c r="K149" s="1">
        <f>Table11819202122[[#This Row],[النولون]]+Table11819202122[[#This Row],[الايصالات]]-Table11819202122[[#This Row],[خصم أ ت ص]]+Table11819202122[[#This Row],[قيمة مضافة]]</f>
        <v>0</v>
      </c>
      <c r="M149" s="1">
        <f>M148+Table11819202122[[#This Row],[اجمالي الفاتوره]]-Table11819202122[[#This Row],[الدفعات]]</f>
        <v>0</v>
      </c>
    </row>
    <row r="150" spans="11:13" ht="26.25" customHeight="1" x14ac:dyDescent="0.3">
      <c r="K150" s="1">
        <f>Table11819202122[[#This Row],[النولون]]+Table11819202122[[#This Row],[الايصالات]]-Table11819202122[[#This Row],[خصم أ ت ص]]+Table11819202122[[#This Row],[قيمة مضافة]]</f>
        <v>0</v>
      </c>
      <c r="M150" s="1">
        <f>M149+Table11819202122[[#This Row],[اجمالي الفاتوره]]-Table11819202122[[#This Row],[الدفعات]]</f>
        <v>0</v>
      </c>
    </row>
    <row r="151" spans="11:13" ht="26.25" customHeight="1" x14ac:dyDescent="0.3">
      <c r="K151" s="1">
        <f>Table11819202122[[#This Row],[النولون]]+Table11819202122[[#This Row],[الايصالات]]-Table11819202122[[#This Row],[خصم أ ت ص]]+Table11819202122[[#This Row],[قيمة مضافة]]</f>
        <v>0</v>
      </c>
      <c r="M151" s="1">
        <f>M150+Table11819202122[[#This Row],[اجمالي الفاتوره]]-Table11819202122[[#This Row],[الدفعات]]</f>
        <v>0</v>
      </c>
    </row>
    <row r="152" spans="11:13" ht="26.25" customHeight="1" x14ac:dyDescent="0.3">
      <c r="K152" s="1">
        <f>Table11819202122[[#This Row],[النولون]]+Table11819202122[[#This Row],[الايصالات]]-Table11819202122[[#This Row],[خصم أ ت ص]]+Table11819202122[[#This Row],[قيمة مضافة]]</f>
        <v>0</v>
      </c>
      <c r="M152" s="1">
        <f>M151+Table11819202122[[#This Row],[اجمالي الفاتوره]]-Table11819202122[[#This Row],[الدفعات]]</f>
        <v>0</v>
      </c>
    </row>
    <row r="153" spans="11:13" ht="26.25" customHeight="1" x14ac:dyDescent="0.3">
      <c r="K153" s="1">
        <f>Table11819202122[[#This Row],[النولون]]+Table11819202122[[#This Row],[الايصالات]]-Table11819202122[[#This Row],[خصم أ ت ص]]+Table11819202122[[#This Row],[قيمة مضافة]]</f>
        <v>0</v>
      </c>
      <c r="M153" s="1">
        <f>M152+Table11819202122[[#This Row],[اجمالي الفاتوره]]-Table11819202122[[#This Row],[الدفعات]]</f>
        <v>0</v>
      </c>
    </row>
    <row r="154" spans="11:13" ht="26.25" customHeight="1" x14ac:dyDescent="0.3">
      <c r="K154" s="1">
        <f>Table11819202122[[#This Row],[النولون]]+Table11819202122[[#This Row],[الايصالات]]-Table11819202122[[#This Row],[خصم أ ت ص]]+Table11819202122[[#This Row],[قيمة مضافة]]</f>
        <v>0</v>
      </c>
      <c r="M154" s="1">
        <f>M153+Table11819202122[[#This Row],[اجمالي الفاتوره]]-Table11819202122[[#This Row],[الدفعات]]</f>
        <v>0</v>
      </c>
    </row>
    <row r="155" spans="11:13" ht="26.25" customHeight="1" x14ac:dyDescent="0.3">
      <c r="K155" s="1">
        <f>Table11819202122[[#This Row],[النولون]]+Table11819202122[[#This Row],[الايصالات]]-Table11819202122[[#This Row],[خصم أ ت ص]]+Table11819202122[[#This Row],[قيمة مضافة]]</f>
        <v>0</v>
      </c>
      <c r="M155" s="1">
        <f>M154+Table11819202122[[#This Row],[اجمالي الفاتوره]]-Table11819202122[[#This Row],[الدفعات]]</f>
        <v>0</v>
      </c>
    </row>
    <row r="156" spans="11:13" ht="26.25" customHeight="1" x14ac:dyDescent="0.3">
      <c r="K156" s="1">
        <f>Table11819202122[[#This Row],[النولون]]+Table11819202122[[#This Row],[الايصالات]]-Table11819202122[[#This Row],[خصم أ ت ص]]+Table11819202122[[#This Row],[قيمة مضافة]]</f>
        <v>0</v>
      </c>
      <c r="M156" s="1">
        <f>M155+Table11819202122[[#This Row],[اجمالي الفاتوره]]-Table11819202122[[#This Row],[الدفعات]]</f>
        <v>0</v>
      </c>
    </row>
    <row r="157" spans="11:13" ht="26.25" customHeight="1" x14ac:dyDescent="0.3">
      <c r="K157" s="1">
        <f>Table11819202122[[#This Row],[النولون]]+Table11819202122[[#This Row],[الايصالات]]-Table11819202122[[#This Row],[خصم أ ت ص]]+Table11819202122[[#This Row],[قيمة مضافة]]</f>
        <v>0</v>
      </c>
      <c r="M157" s="1">
        <f>M156+Table11819202122[[#This Row],[اجمالي الفاتوره]]-Table11819202122[[#This Row],[الدفعات]]</f>
        <v>0</v>
      </c>
    </row>
    <row r="158" spans="11:13" ht="26.25" customHeight="1" x14ac:dyDescent="0.3">
      <c r="K158" s="1">
        <f>Table11819202122[[#This Row],[النولون]]+Table11819202122[[#This Row],[الايصالات]]-Table11819202122[[#This Row],[خصم أ ت ص]]+Table11819202122[[#This Row],[قيمة مضافة]]</f>
        <v>0</v>
      </c>
      <c r="M158" s="1">
        <f>M157+Table11819202122[[#This Row],[اجمالي الفاتوره]]-Table11819202122[[#This Row],[الدفعات]]</f>
        <v>0</v>
      </c>
    </row>
    <row r="159" spans="11:13" ht="26.25" customHeight="1" x14ac:dyDescent="0.3">
      <c r="K159" s="1">
        <f>Table11819202122[[#This Row],[النولون]]+Table11819202122[[#This Row],[الايصالات]]-Table11819202122[[#This Row],[خصم أ ت ص]]+Table11819202122[[#This Row],[قيمة مضافة]]</f>
        <v>0</v>
      </c>
      <c r="M159" s="1">
        <f>M158+Table11819202122[[#This Row],[اجمالي الفاتوره]]-Table11819202122[[#This Row],[الدفعات]]</f>
        <v>0</v>
      </c>
    </row>
    <row r="160" spans="11:13" ht="26.25" customHeight="1" x14ac:dyDescent="0.3">
      <c r="K160" s="1">
        <f>Table11819202122[[#This Row],[النولون]]+Table11819202122[[#This Row],[الايصالات]]-Table11819202122[[#This Row],[خصم أ ت ص]]+Table11819202122[[#This Row],[قيمة مضافة]]</f>
        <v>0</v>
      </c>
      <c r="M160" s="1">
        <f>M159+Table11819202122[[#This Row],[اجمالي الفاتوره]]-Table11819202122[[#This Row],[الدفعات]]</f>
        <v>0</v>
      </c>
    </row>
    <row r="161" spans="11:13" ht="26.25" customHeight="1" x14ac:dyDescent="0.3">
      <c r="K161" s="1">
        <f>Table11819202122[[#This Row],[النولون]]+Table11819202122[[#This Row],[الايصالات]]-Table11819202122[[#This Row],[خصم أ ت ص]]+Table11819202122[[#This Row],[قيمة مضافة]]</f>
        <v>0</v>
      </c>
      <c r="M161" s="1">
        <f>M160+Table11819202122[[#This Row],[اجمالي الفاتوره]]-Table11819202122[[#This Row],[الدفعات]]</f>
        <v>0</v>
      </c>
    </row>
    <row r="162" spans="11:13" ht="26.25" customHeight="1" x14ac:dyDescent="0.3">
      <c r="K162" s="1">
        <f>Table11819202122[[#This Row],[النولون]]+Table11819202122[[#This Row],[الايصالات]]-Table11819202122[[#This Row],[خصم أ ت ص]]+Table11819202122[[#This Row],[قيمة مضافة]]</f>
        <v>0</v>
      </c>
      <c r="M162" s="1">
        <f>M161+Table11819202122[[#This Row],[اجمالي الفاتوره]]-Table11819202122[[#This Row],[الدفعات]]</f>
        <v>0</v>
      </c>
    </row>
    <row r="163" spans="11:13" ht="26.25" customHeight="1" x14ac:dyDescent="0.3">
      <c r="K163" s="1">
        <f>Table11819202122[[#This Row],[النولون]]+Table11819202122[[#This Row],[الايصالات]]-Table11819202122[[#This Row],[خصم أ ت ص]]+Table11819202122[[#This Row],[قيمة مضافة]]</f>
        <v>0</v>
      </c>
      <c r="M163" s="1">
        <f>M162+Table11819202122[[#This Row],[اجمالي الفاتوره]]-Table11819202122[[#This Row],[الدفعات]]</f>
        <v>0</v>
      </c>
    </row>
    <row r="164" spans="11:13" ht="26.25" customHeight="1" x14ac:dyDescent="0.3">
      <c r="K164" s="1">
        <f>Table11819202122[[#This Row],[النولون]]+Table11819202122[[#This Row],[الايصالات]]-Table11819202122[[#This Row],[خصم أ ت ص]]+Table11819202122[[#This Row],[قيمة مضافة]]</f>
        <v>0</v>
      </c>
      <c r="M164" s="1">
        <f>M163+Table11819202122[[#This Row],[اجمالي الفاتوره]]-Table11819202122[[#This Row],[الدفعات]]</f>
        <v>0</v>
      </c>
    </row>
    <row r="165" spans="11:13" ht="26.25" customHeight="1" x14ac:dyDescent="0.3">
      <c r="K165" s="1">
        <f>Table11819202122[[#This Row],[النولون]]+Table11819202122[[#This Row],[الايصالات]]-Table11819202122[[#This Row],[خصم أ ت ص]]+Table11819202122[[#This Row],[قيمة مضافة]]</f>
        <v>0</v>
      </c>
      <c r="M165" s="1">
        <f>M164+Table11819202122[[#This Row],[اجمالي الفاتوره]]-Table11819202122[[#This Row],[الدفعات]]</f>
        <v>0</v>
      </c>
    </row>
    <row r="166" spans="11:13" ht="26.25" customHeight="1" x14ac:dyDescent="0.3">
      <c r="K166" s="1">
        <f>Table11819202122[[#This Row],[النولون]]+Table11819202122[[#This Row],[الايصالات]]-Table11819202122[[#This Row],[خصم أ ت ص]]+Table11819202122[[#This Row],[قيمة مضافة]]</f>
        <v>0</v>
      </c>
      <c r="M166" s="1">
        <f>M165+Table11819202122[[#This Row],[اجمالي الفاتوره]]-Table11819202122[[#This Row],[الدفعات]]</f>
        <v>0</v>
      </c>
    </row>
    <row r="167" spans="11:13" ht="26.25" customHeight="1" x14ac:dyDescent="0.3">
      <c r="K167" s="1">
        <f>Table11819202122[[#This Row],[النولون]]+Table11819202122[[#This Row],[الايصالات]]-Table11819202122[[#This Row],[خصم أ ت ص]]+Table11819202122[[#This Row],[قيمة مضافة]]</f>
        <v>0</v>
      </c>
      <c r="M167" s="1">
        <f>M166+Table11819202122[[#This Row],[اجمالي الفاتوره]]-Table11819202122[[#This Row],[الدفعات]]</f>
        <v>0</v>
      </c>
    </row>
    <row r="168" spans="11:13" ht="26.25" customHeight="1" x14ac:dyDescent="0.3">
      <c r="K168" s="1">
        <f>Table11819202122[[#This Row],[النولون]]+Table11819202122[[#This Row],[الايصالات]]-Table11819202122[[#This Row],[خصم أ ت ص]]+Table11819202122[[#This Row],[قيمة مضافة]]</f>
        <v>0</v>
      </c>
      <c r="M168" s="1">
        <f>M167+Table11819202122[[#This Row],[اجمالي الفاتوره]]-Table11819202122[[#This Row],[الدفعات]]</f>
        <v>0</v>
      </c>
    </row>
    <row r="169" spans="11:13" ht="26.25" customHeight="1" x14ac:dyDescent="0.3">
      <c r="K169" s="1">
        <f>Table11819202122[[#This Row],[النولون]]+Table11819202122[[#This Row],[الايصالات]]-Table11819202122[[#This Row],[خصم أ ت ص]]+Table11819202122[[#This Row],[قيمة مضافة]]</f>
        <v>0</v>
      </c>
      <c r="M169" s="1">
        <f>M168+Table11819202122[[#This Row],[اجمالي الفاتوره]]-Table11819202122[[#This Row],[الدفعات]]</f>
        <v>0</v>
      </c>
    </row>
    <row r="170" spans="11:13" ht="26.25" customHeight="1" x14ac:dyDescent="0.3">
      <c r="K170" s="1">
        <f>Table11819202122[[#This Row],[النولون]]+Table11819202122[[#This Row],[الايصالات]]-Table11819202122[[#This Row],[خصم أ ت ص]]+Table11819202122[[#This Row],[قيمة مضافة]]</f>
        <v>0</v>
      </c>
      <c r="M170" s="1">
        <f>M169+Table11819202122[[#This Row],[اجمالي الفاتوره]]-Table11819202122[[#This Row],[الدفعات]]</f>
        <v>0</v>
      </c>
    </row>
    <row r="171" spans="11:13" ht="26.25" customHeight="1" x14ac:dyDescent="0.3">
      <c r="K171" s="1">
        <f>Table11819202122[[#This Row],[النولون]]+Table11819202122[[#This Row],[الايصالات]]-Table11819202122[[#This Row],[خصم أ ت ص]]+Table11819202122[[#This Row],[قيمة مضافة]]</f>
        <v>0</v>
      </c>
      <c r="M171" s="1">
        <f>M170+Table11819202122[[#This Row],[اجمالي الفاتوره]]-Table11819202122[[#This Row],[الدفعات]]</f>
        <v>0</v>
      </c>
    </row>
    <row r="172" spans="11:13" ht="26.25" customHeight="1" x14ac:dyDescent="0.3">
      <c r="K172" s="1">
        <f>Table11819202122[[#This Row],[النولون]]+Table11819202122[[#This Row],[الايصالات]]-Table11819202122[[#This Row],[خصم أ ت ص]]+Table11819202122[[#This Row],[قيمة مضافة]]</f>
        <v>0</v>
      </c>
      <c r="M172" s="1">
        <f>M171+Table11819202122[[#This Row],[اجمالي الفاتوره]]-Table11819202122[[#This Row],[الدفعات]]</f>
        <v>0</v>
      </c>
    </row>
    <row r="173" spans="11:13" ht="26.25" customHeight="1" x14ac:dyDescent="0.3">
      <c r="K173" s="1">
        <f>Table11819202122[[#This Row],[النولون]]+Table11819202122[[#This Row],[الايصالات]]-Table11819202122[[#This Row],[خصم أ ت ص]]+Table11819202122[[#This Row],[قيمة مضافة]]</f>
        <v>0</v>
      </c>
      <c r="M173" s="1">
        <f>M172+Table11819202122[[#This Row],[اجمالي الفاتوره]]-Table11819202122[[#This Row],[الدفعات]]</f>
        <v>0</v>
      </c>
    </row>
    <row r="174" spans="11:13" ht="26.25" customHeight="1" x14ac:dyDescent="0.3">
      <c r="K174" s="1">
        <f>Table11819202122[[#This Row],[النولون]]+Table11819202122[[#This Row],[الايصالات]]-Table11819202122[[#This Row],[خصم أ ت ص]]+Table11819202122[[#This Row],[قيمة مضافة]]</f>
        <v>0</v>
      </c>
      <c r="M174" s="1">
        <f>M173+Table11819202122[[#This Row],[اجمالي الفاتوره]]-Table11819202122[[#This Row],[الدفعات]]</f>
        <v>0</v>
      </c>
    </row>
    <row r="175" spans="11:13" ht="26.25" customHeight="1" x14ac:dyDescent="0.3">
      <c r="K175" s="1">
        <f>Table11819202122[[#This Row],[النولون]]+Table11819202122[[#This Row],[الايصالات]]-Table11819202122[[#This Row],[خصم أ ت ص]]+Table11819202122[[#This Row],[قيمة مضافة]]</f>
        <v>0</v>
      </c>
      <c r="M175" s="1">
        <f>M174+Table11819202122[[#This Row],[اجمالي الفاتوره]]-Table11819202122[[#This Row],[الدفعات]]</f>
        <v>0</v>
      </c>
    </row>
    <row r="176" spans="11:13" ht="26.25" customHeight="1" x14ac:dyDescent="0.3">
      <c r="K176" s="1">
        <f>Table11819202122[[#This Row],[النولون]]+Table11819202122[[#This Row],[الايصالات]]-Table11819202122[[#This Row],[خصم أ ت ص]]+Table11819202122[[#This Row],[قيمة مضافة]]</f>
        <v>0</v>
      </c>
      <c r="M176" s="1">
        <f>M175+Table11819202122[[#This Row],[اجمالي الفاتوره]]-Table11819202122[[#This Row],[الدفعات]]</f>
        <v>0</v>
      </c>
    </row>
    <row r="177" spans="11:13" ht="26.25" customHeight="1" x14ac:dyDescent="0.3">
      <c r="K177" s="1">
        <f>Table11819202122[[#This Row],[النولون]]+Table11819202122[[#This Row],[الايصالات]]-Table11819202122[[#This Row],[خصم أ ت ص]]+Table11819202122[[#This Row],[قيمة مضافة]]</f>
        <v>0</v>
      </c>
      <c r="M177" s="1">
        <f>M176+Table11819202122[[#This Row],[اجمالي الفاتوره]]-Table11819202122[[#This Row],[الدفعات]]</f>
        <v>0</v>
      </c>
    </row>
    <row r="178" spans="11:13" ht="26.25" customHeight="1" x14ac:dyDescent="0.3">
      <c r="K178" s="1">
        <f>Table11819202122[[#This Row],[النولون]]+Table11819202122[[#This Row],[الايصالات]]-Table11819202122[[#This Row],[خصم أ ت ص]]+Table11819202122[[#This Row],[قيمة مضافة]]</f>
        <v>0</v>
      </c>
      <c r="M178" s="1">
        <f>M177+Table11819202122[[#This Row],[اجمالي الفاتوره]]-Table11819202122[[#This Row],[الدفعات]]</f>
        <v>0</v>
      </c>
    </row>
    <row r="179" spans="11:13" ht="26.25" customHeight="1" x14ac:dyDescent="0.3">
      <c r="K179" s="1">
        <f>Table11819202122[[#This Row],[النولون]]+Table11819202122[[#This Row],[الايصالات]]-Table11819202122[[#This Row],[خصم أ ت ص]]+Table11819202122[[#This Row],[قيمة مضافة]]</f>
        <v>0</v>
      </c>
      <c r="M179" s="1">
        <f>M178+Table11819202122[[#This Row],[اجمالي الفاتوره]]-Table11819202122[[#This Row],[الدفعات]]</f>
        <v>0</v>
      </c>
    </row>
    <row r="180" spans="11:13" ht="26.25" customHeight="1" x14ac:dyDescent="0.3">
      <c r="K180" s="1">
        <f>Table11819202122[[#This Row],[النولون]]+Table11819202122[[#This Row],[الايصالات]]-Table11819202122[[#This Row],[خصم أ ت ص]]+Table11819202122[[#This Row],[قيمة مضافة]]</f>
        <v>0</v>
      </c>
      <c r="M180" s="1">
        <f>M179+Table11819202122[[#This Row],[اجمالي الفاتوره]]-Table11819202122[[#This Row],[الدفعات]]</f>
        <v>0</v>
      </c>
    </row>
    <row r="181" spans="11:13" ht="26.25" customHeight="1" x14ac:dyDescent="0.3">
      <c r="K181" s="1">
        <f>Table11819202122[[#This Row],[النولون]]+Table11819202122[[#This Row],[الايصالات]]-Table11819202122[[#This Row],[خصم أ ت ص]]+Table11819202122[[#This Row],[قيمة مضافة]]</f>
        <v>0</v>
      </c>
      <c r="M181" s="1">
        <f>M180+Table11819202122[[#This Row],[اجمالي الفاتوره]]-Table11819202122[[#This Row],[الدفعات]]</f>
        <v>0</v>
      </c>
    </row>
    <row r="182" spans="11:13" ht="26.25" customHeight="1" x14ac:dyDescent="0.3">
      <c r="K182" s="1">
        <f>Table11819202122[[#This Row],[النولون]]+Table11819202122[[#This Row],[الايصالات]]-Table11819202122[[#This Row],[خصم أ ت ص]]+Table11819202122[[#This Row],[قيمة مضافة]]</f>
        <v>0</v>
      </c>
      <c r="M182" s="1">
        <f>M181+Table11819202122[[#This Row],[اجمالي الفاتوره]]-Table11819202122[[#This Row],[الدفعات]]</f>
        <v>0</v>
      </c>
    </row>
    <row r="183" spans="11:13" ht="26.25" customHeight="1" x14ac:dyDescent="0.3">
      <c r="K183" s="1">
        <f>Table11819202122[[#This Row],[النولون]]+Table11819202122[[#This Row],[الايصالات]]-Table11819202122[[#This Row],[خصم أ ت ص]]+Table11819202122[[#This Row],[قيمة مضافة]]</f>
        <v>0</v>
      </c>
      <c r="M183" s="1">
        <f>M182+Table11819202122[[#This Row],[اجمالي الفاتوره]]-Table11819202122[[#This Row],[الدفعات]]</f>
        <v>0</v>
      </c>
    </row>
    <row r="184" spans="11:13" ht="26.25" customHeight="1" x14ac:dyDescent="0.3">
      <c r="K184" s="1">
        <f>Table11819202122[[#This Row],[النولون]]+Table11819202122[[#This Row],[الايصالات]]-Table11819202122[[#This Row],[خصم أ ت ص]]+Table11819202122[[#This Row],[قيمة مضافة]]</f>
        <v>0</v>
      </c>
      <c r="M184" s="1">
        <f>M183+Table11819202122[[#This Row],[اجمالي الفاتوره]]-Table11819202122[[#This Row],[الدفعات]]</f>
        <v>0</v>
      </c>
    </row>
    <row r="185" spans="11:13" ht="26.25" customHeight="1" x14ac:dyDescent="0.3">
      <c r="K185" s="1">
        <f>Table11819202122[[#This Row],[النولون]]+Table11819202122[[#This Row],[الايصالات]]-Table11819202122[[#This Row],[خصم أ ت ص]]+Table11819202122[[#This Row],[قيمة مضافة]]</f>
        <v>0</v>
      </c>
      <c r="M185" s="1">
        <f>M184+Table11819202122[[#This Row],[اجمالي الفاتوره]]-Table11819202122[[#This Row],[الدفعات]]</f>
        <v>0</v>
      </c>
    </row>
    <row r="186" spans="11:13" ht="26.25" customHeight="1" x14ac:dyDescent="0.3">
      <c r="K186" s="1">
        <f>Table11819202122[[#This Row],[النولون]]+Table11819202122[[#This Row],[الايصالات]]-Table11819202122[[#This Row],[خصم أ ت ص]]+Table11819202122[[#This Row],[قيمة مضافة]]</f>
        <v>0</v>
      </c>
      <c r="M186" s="1">
        <f>M185+Table11819202122[[#This Row],[اجمالي الفاتوره]]-Table11819202122[[#This Row],[الدفعات]]</f>
        <v>0</v>
      </c>
    </row>
    <row r="187" spans="11:13" ht="26.25" customHeight="1" x14ac:dyDescent="0.3">
      <c r="K187" s="1">
        <f>Table11819202122[[#This Row],[النولون]]+Table11819202122[[#This Row],[الايصالات]]-Table11819202122[[#This Row],[خصم أ ت ص]]+Table11819202122[[#This Row],[قيمة مضافة]]</f>
        <v>0</v>
      </c>
      <c r="M187" s="1">
        <f>M186+Table11819202122[[#This Row],[اجمالي الفاتوره]]-Table11819202122[[#This Row],[الدفعات]]</f>
        <v>0</v>
      </c>
    </row>
    <row r="188" spans="11:13" ht="26.25" customHeight="1" x14ac:dyDescent="0.3">
      <c r="K188" s="1">
        <f>Table11819202122[[#This Row],[النولون]]+Table11819202122[[#This Row],[الايصالات]]-Table11819202122[[#This Row],[خصم أ ت ص]]+Table11819202122[[#This Row],[قيمة مضافة]]</f>
        <v>0</v>
      </c>
      <c r="M188" s="1">
        <f>M187+Table11819202122[[#This Row],[اجمالي الفاتوره]]-Table11819202122[[#This Row],[الدفعات]]</f>
        <v>0</v>
      </c>
    </row>
    <row r="189" spans="11:13" ht="26.25" customHeight="1" x14ac:dyDescent="0.3">
      <c r="K189" s="1">
        <f>Table11819202122[[#This Row],[النولون]]+Table11819202122[[#This Row],[الايصالات]]-Table11819202122[[#This Row],[خصم أ ت ص]]+Table11819202122[[#This Row],[قيمة مضافة]]</f>
        <v>0</v>
      </c>
      <c r="M189" s="1">
        <f>M188+Table11819202122[[#This Row],[اجمالي الفاتوره]]-Table11819202122[[#This Row],[الدفعات]]</f>
        <v>0</v>
      </c>
    </row>
    <row r="190" spans="11:13" ht="26.25" customHeight="1" x14ac:dyDescent="0.3">
      <c r="K190" s="1">
        <f>Table11819202122[[#This Row],[النولون]]+Table11819202122[[#This Row],[الايصالات]]-Table11819202122[[#This Row],[خصم أ ت ص]]+Table11819202122[[#This Row],[قيمة مضافة]]</f>
        <v>0</v>
      </c>
      <c r="M190" s="1">
        <f>M189+Table11819202122[[#This Row],[اجمالي الفاتوره]]-Table11819202122[[#This Row],[الدفعات]]</f>
        <v>0</v>
      </c>
    </row>
    <row r="191" spans="11:13" ht="26.25" customHeight="1" x14ac:dyDescent="0.3">
      <c r="K191" s="1">
        <f>Table11819202122[[#This Row],[النولون]]+Table11819202122[[#This Row],[الايصالات]]-Table11819202122[[#This Row],[خصم أ ت ص]]+Table11819202122[[#This Row],[قيمة مضافة]]</f>
        <v>0</v>
      </c>
      <c r="M191" s="1">
        <f>M190+Table11819202122[[#This Row],[اجمالي الفاتوره]]-Table11819202122[[#This Row],[الدفعات]]</f>
        <v>0</v>
      </c>
    </row>
    <row r="192" spans="11:13" ht="26.25" customHeight="1" x14ac:dyDescent="0.3">
      <c r="K192" s="1">
        <f>Table11819202122[[#This Row],[النولون]]+Table11819202122[[#This Row],[الايصالات]]-Table11819202122[[#This Row],[خصم أ ت ص]]+Table11819202122[[#This Row],[قيمة مضافة]]</f>
        <v>0</v>
      </c>
      <c r="M192" s="1">
        <f>M191+Table11819202122[[#This Row],[اجمالي الفاتوره]]-Table11819202122[[#This Row],[الدفعات]]</f>
        <v>0</v>
      </c>
    </row>
    <row r="193" spans="11:13" ht="26.25" customHeight="1" x14ac:dyDescent="0.3">
      <c r="K193" s="1">
        <f>Table11819202122[[#This Row],[النولون]]+Table11819202122[[#This Row],[الايصالات]]-Table11819202122[[#This Row],[خصم أ ت ص]]+Table11819202122[[#This Row],[قيمة مضافة]]</f>
        <v>0</v>
      </c>
      <c r="M193" s="1">
        <f>M192+Table11819202122[[#This Row],[اجمالي الفاتوره]]-Table11819202122[[#This Row],[الدفعات]]</f>
        <v>0</v>
      </c>
    </row>
    <row r="194" spans="11:13" ht="26.25" customHeight="1" x14ac:dyDescent="0.3">
      <c r="K194" s="1">
        <f>Table11819202122[[#This Row],[النولون]]+Table11819202122[[#This Row],[الايصالات]]-Table11819202122[[#This Row],[خصم أ ت ص]]+Table11819202122[[#This Row],[قيمة مضافة]]</f>
        <v>0</v>
      </c>
      <c r="M194" s="1">
        <f>M193+Table11819202122[[#This Row],[اجمالي الفاتوره]]-Table11819202122[[#This Row],[الدفعات]]</f>
        <v>0</v>
      </c>
    </row>
    <row r="195" spans="11:13" ht="26.25" customHeight="1" x14ac:dyDescent="0.3">
      <c r="K195" s="1">
        <f>Table11819202122[[#This Row],[النولون]]+Table11819202122[[#This Row],[الايصالات]]-Table11819202122[[#This Row],[خصم أ ت ص]]+Table11819202122[[#This Row],[قيمة مضافة]]</f>
        <v>0</v>
      </c>
      <c r="M195" s="1">
        <f>M194+Table11819202122[[#This Row],[اجمالي الفاتوره]]-Table11819202122[[#This Row],[الدفعات]]</f>
        <v>0</v>
      </c>
    </row>
    <row r="196" spans="11:13" ht="26.25" customHeight="1" x14ac:dyDescent="0.3">
      <c r="K196" s="1">
        <f>Table11819202122[[#This Row],[النولون]]+Table11819202122[[#This Row],[الايصالات]]-Table11819202122[[#This Row],[خصم أ ت ص]]+Table11819202122[[#This Row],[قيمة مضافة]]</f>
        <v>0</v>
      </c>
      <c r="M196" s="1">
        <f>M195+Table11819202122[[#This Row],[اجمالي الفاتوره]]-Table11819202122[[#This Row],[الدفعات]]</f>
        <v>0</v>
      </c>
    </row>
    <row r="197" spans="11:13" ht="26.25" customHeight="1" x14ac:dyDescent="0.3">
      <c r="K197" s="1">
        <f>Table11819202122[[#This Row],[النولون]]+Table11819202122[[#This Row],[الايصالات]]-Table11819202122[[#This Row],[خصم أ ت ص]]+Table11819202122[[#This Row],[قيمة مضافة]]</f>
        <v>0</v>
      </c>
      <c r="M197" s="1">
        <f>M196+Table11819202122[[#This Row],[اجمالي الفاتوره]]-Table11819202122[[#This Row],[الدفعات]]</f>
        <v>0</v>
      </c>
    </row>
    <row r="198" spans="11:13" ht="26.25" customHeight="1" x14ac:dyDescent="0.3">
      <c r="K198" s="1">
        <f>Table11819202122[[#This Row],[النولون]]+Table11819202122[[#This Row],[الايصالات]]-Table11819202122[[#This Row],[خصم أ ت ص]]+Table11819202122[[#This Row],[قيمة مضافة]]</f>
        <v>0</v>
      </c>
      <c r="M198" s="1">
        <f>M197+Table11819202122[[#This Row],[اجمالي الفاتوره]]-Table11819202122[[#This Row],[الدفعات]]</f>
        <v>0</v>
      </c>
    </row>
    <row r="199" spans="11:13" ht="26.25" customHeight="1" x14ac:dyDescent="0.3">
      <c r="K199" s="1">
        <f>Table11819202122[[#This Row],[النولون]]+Table11819202122[[#This Row],[الايصالات]]-Table11819202122[[#This Row],[خصم أ ت ص]]+Table11819202122[[#This Row],[قيمة مضافة]]</f>
        <v>0</v>
      </c>
      <c r="M199" s="1">
        <f>M198+Table11819202122[[#This Row],[اجمالي الفاتوره]]-Table11819202122[[#This Row],[الدفعات]]</f>
        <v>0</v>
      </c>
    </row>
    <row r="200" spans="11:13" ht="26.25" customHeight="1" x14ac:dyDescent="0.3">
      <c r="K200" s="1">
        <f>Table11819202122[[#This Row],[النولون]]+Table11819202122[[#This Row],[الايصالات]]-Table11819202122[[#This Row],[خصم أ ت ص]]+Table11819202122[[#This Row],[قيمة مضافة]]</f>
        <v>0</v>
      </c>
      <c r="M200" s="1">
        <f>M199+Table11819202122[[#This Row],[اجمالي الفاتوره]]-Table11819202122[[#This Row],[الدفعات]]</f>
        <v>0</v>
      </c>
    </row>
    <row r="201" spans="11:13" ht="26.25" customHeight="1" x14ac:dyDescent="0.3">
      <c r="K201" s="1">
        <f>Table11819202122[[#This Row],[النولون]]+Table11819202122[[#This Row],[الايصالات]]-Table11819202122[[#This Row],[خصم أ ت ص]]+Table11819202122[[#This Row],[قيمة مضافة]]</f>
        <v>0</v>
      </c>
      <c r="M201" s="1">
        <f>M200+Table11819202122[[#This Row],[اجمالي الفاتوره]]-Table11819202122[[#This Row],[الدفعات]]</f>
        <v>0</v>
      </c>
    </row>
    <row r="202" spans="11:13" ht="26.25" customHeight="1" x14ac:dyDescent="0.3">
      <c r="K202" s="1">
        <f>Table11819202122[[#This Row],[النولون]]+Table11819202122[[#This Row],[الايصالات]]-Table11819202122[[#This Row],[خصم أ ت ص]]+Table11819202122[[#This Row],[قيمة مضافة]]</f>
        <v>0</v>
      </c>
      <c r="M202" s="1">
        <f>M201+Table11819202122[[#This Row],[اجمالي الفاتوره]]-Table11819202122[[#This Row],[الدفعات]]</f>
        <v>0</v>
      </c>
    </row>
    <row r="203" spans="11:13" ht="26.25" customHeight="1" x14ac:dyDescent="0.3">
      <c r="K203" s="1">
        <f>Table11819202122[[#This Row],[النولون]]+Table11819202122[[#This Row],[الايصالات]]-Table11819202122[[#This Row],[خصم أ ت ص]]+Table11819202122[[#This Row],[قيمة مضافة]]</f>
        <v>0</v>
      </c>
      <c r="M203" s="1">
        <f>M202+Table11819202122[[#This Row],[اجمالي الفاتوره]]-Table11819202122[[#This Row],[الدفعات]]</f>
        <v>0</v>
      </c>
    </row>
    <row r="204" spans="11:13" ht="26.25" customHeight="1" x14ac:dyDescent="0.3">
      <c r="K204" s="1">
        <f>Table11819202122[[#This Row],[النولون]]+Table11819202122[[#This Row],[الايصالات]]-Table11819202122[[#This Row],[خصم أ ت ص]]+Table11819202122[[#This Row],[قيمة مضافة]]</f>
        <v>0</v>
      </c>
      <c r="M204" s="1">
        <f>M203+Table11819202122[[#This Row],[اجمالي الفاتوره]]-Table11819202122[[#This Row],[الدفعات]]</f>
        <v>0</v>
      </c>
    </row>
    <row r="205" spans="11:13" ht="26.25" customHeight="1" x14ac:dyDescent="0.3">
      <c r="K205" s="1">
        <f>Table11819202122[[#This Row],[النولون]]+Table11819202122[[#This Row],[الايصالات]]-Table11819202122[[#This Row],[خصم أ ت ص]]+Table11819202122[[#This Row],[قيمة مضافة]]</f>
        <v>0</v>
      </c>
      <c r="M205" s="1">
        <f>M204+Table11819202122[[#This Row],[اجمالي الفاتوره]]-Table11819202122[[#This Row],[الدفعات]]</f>
        <v>0</v>
      </c>
    </row>
    <row r="206" spans="11:13" ht="26.25" customHeight="1" x14ac:dyDescent="0.3">
      <c r="K206" s="1">
        <f>Table11819202122[[#This Row],[النولون]]+Table11819202122[[#This Row],[الايصالات]]-Table11819202122[[#This Row],[خصم أ ت ص]]+Table11819202122[[#This Row],[قيمة مضافة]]</f>
        <v>0</v>
      </c>
      <c r="M206" s="1">
        <f>M205+Table11819202122[[#This Row],[اجمالي الفاتوره]]-Table11819202122[[#This Row],[الدفعات]]</f>
        <v>0</v>
      </c>
    </row>
    <row r="207" spans="11:13" ht="26.25" customHeight="1" x14ac:dyDescent="0.3">
      <c r="K207" s="1">
        <f>Table11819202122[[#This Row],[النولون]]+Table11819202122[[#This Row],[الايصالات]]-Table11819202122[[#This Row],[خصم أ ت ص]]+Table11819202122[[#This Row],[قيمة مضافة]]</f>
        <v>0</v>
      </c>
      <c r="M207" s="1">
        <f>M206+Table11819202122[[#This Row],[اجمالي الفاتوره]]-Table11819202122[[#This Row],[الدفعات]]</f>
        <v>0</v>
      </c>
    </row>
    <row r="208" spans="11:13" ht="26.25" customHeight="1" x14ac:dyDescent="0.3">
      <c r="K208" s="1">
        <f>Table11819202122[[#This Row],[النولون]]+Table11819202122[[#This Row],[الايصالات]]-Table11819202122[[#This Row],[خصم أ ت ص]]+Table11819202122[[#This Row],[قيمة مضافة]]</f>
        <v>0</v>
      </c>
      <c r="M208" s="1">
        <f>M207+Table11819202122[[#This Row],[اجمالي الفاتوره]]-Table11819202122[[#This Row],[الدفعات]]</f>
        <v>0</v>
      </c>
    </row>
    <row r="209" spans="11:13" ht="26.25" customHeight="1" x14ac:dyDescent="0.3">
      <c r="K209" s="1">
        <f>Table11819202122[[#This Row],[النولون]]+Table11819202122[[#This Row],[الايصالات]]-Table11819202122[[#This Row],[خصم أ ت ص]]+Table11819202122[[#This Row],[قيمة مضافة]]</f>
        <v>0</v>
      </c>
      <c r="M209" s="1">
        <f>M208+Table11819202122[[#This Row],[اجمالي الفاتوره]]-Table11819202122[[#This Row],[الدفعات]]</f>
        <v>0</v>
      </c>
    </row>
    <row r="210" spans="11:13" ht="26.25" customHeight="1" x14ac:dyDescent="0.3">
      <c r="K210" s="1">
        <f>Table11819202122[[#This Row],[النولون]]+Table11819202122[[#This Row],[الايصالات]]-Table11819202122[[#This Row],[خصم أ ت ص]]+Table11819202122[[#This Row],[قيمة مضافة]]</f>
        <v>0</v>
      </c>
      <c r="M210" s="1">
        <f>M209+Table11819202122[[#This Row],[اجمالي الفاتوره]]-Table11819202122[[#This Row],[الدفعات]]</f>
        <v>0</v>
      </c>
    </row>
    <row r="211" spans="11:13" ht="26.25" customHeight="1" x14ac:dyDescent="0.3">
      <c r="K211" s="1">
        <f>Table11819202122[[#This Row],[النولون]]+Table11819202122[[#This Row],[الايصالات]]-Table11819202122[[#This Row],[خصم أ ت ص]]+Table11819202122[[#This Row],[قيمة مضافة]]</f>
        <v>0</v>
      </c>
      <c r="M211" s="1">
        <f>M210+Table11819202122[[#This Row],[اجمالي الفاتوره]]-Table11819202122[[#This Row],[الدفعات]]</f>
        <v>0</v>
      </c>
    </row>
    <row r="212" spans="11:13" ht="26.25" customHeight="1" x14ac:dyDescent="0.3">
      <c r="K212" s="1">
        <f>Table11819202122[[#This Row],[النولون]]+Table11819202122[[#This Row],[الايصالات]]-Table11819202122[[#This Row],[خصم أ ت ص]]+Table11819202122[[#This Row],[قيمة مضافة]]</f>
        <v>0</v>
      </c>
      <c r="M212" s="1">
        <f>M211+Table11819202122[[#This Row],[اجمالي الفاتوره]]-Table11819202122[[#This Row],[الدفعات]]</f>
        <v>0</v>
      </c>
    </row>
    <row r="213" spans="11:13" ht="26.25" customHeight="1" x14ac:dyDescent="0.3">
      <c r="K213" s="1">
        <f>Table11819202122[[#This Row],[النولون]]+Table11819202122[[#This Row],[الايصالات]]-Table11819202122[[#This Row],[خصم أ ت ص]]+Table11819202122[[#This Row],[قيمة مضافة]]</f>
        <v>0</v>
      </c>
      <c r="M213" s="1">
        <f>M212+Table11819202122[[#This Row],[اجمالي الفاتوره]]-Table11819202122[[#This Row],[الدفعات]]</f>
        <v>0</v>
      </c>
    </row>
    <row r="214" spans="11:13" ht="26.25" customHeight="1" x14ac:dyDescent="0.3">
      <c r="K214" s="1">
        <f>Table11819202122[[#This Row],[النولون]]+Table11819202122[[#This Row],[الايصالات]]-Table11819202122[[#This Row],[خصم أ ت ص]]+Table11819202122[[#This Row],[قيمة مضافة]]</f>
        <v>0</v>
      </c>
      <c r="M214" s="1">
        <f>M213+Table11819202122[[#This Row],[اجمالي الفاتوره]]-Table11819202122[[#This Row],[الدفعات]]</f>
        <v>0</v>
      </c>
    </row>
    <row r="215" spans="11:13" ht="26.25" customHeight="1" x14ac:dyDescent="0.3">
      <c r="K215" s="1">
        <f>Table11819202122[[#This Row],[النولون]]+Table11819202122[[#This Row],[الايصالات]]-Table11819202122[[#This Row],[خصم أ ت ص]]+Table11819202122[[#This Row],[قيمة مضافة]]</f>
        <v>0</v>
      </c>
      <c r="M215" s="1">
        <f>M214+Table11819202122[[#This Row],[اجمالي الفاتوره]]-Table11819202122[[#This Row],[الدفعات]]</f>
        <v>0</v>
      </c>
    </row>
    <row r="216" spans="11:13" ht="26.25" customHeight="1" x14ac:dyDescent="0.3">
      <c r="K216" s="1">
        <f>Table11819202122[[#This Row],[النولون]]+Table11819202122[[#This Row],[الايصالات]]-Table11819202122[[#This Row],[خصم أ ت ص]]+Table11819202122[[#This Row],[قيمة مضافة]]</f>
        <v>0</v>
      </c>
      <c r="M216" s="1">
        <f>M215+Table11819202122[[#This Row],[اجمالي الفاتوره]]-Table11819202122[[#This Row],[الدفعات]]</f>
        <v>0</v>
      </c>
    </row>
    <row r="217" spans="11:13" ht="26.25" customHeight="1" x14ac:dyDescent="0.3">
      <c r="K217" s="1">
        <f>Table11819202122[[#This Row],[النولون]]+Table11819202122[[#This Row],[الايصالات]]-Table11819202122[[#This Row],[خصم أ ت ص]]+Table11819202122[[#This Row],[قيمة مضافة]]</f>
        <v>0</v>
      </c>
      <c r="M217" s="1">
        <f>M216+Table11819202122[[#This Row],[اجمالي الفاتوره]]-Table11819202122[[#This Row],[الدفعات]]</f>
        <v>0</v>
      </c>
    </row>
    <row r="218" spans="11:13" ht="26.25" customHeight="1" x14ac:dyDescent="0.3">
      <c r="K218" s="1">
        <f>Table11819202122[[#This Row],[النولون]]+Table11819202122[[#This Row],[الايصالات]]-Table11819202122[[#This Row],[خصم أ ت ص]]+Table11819202122[[#This Row],[قيمة مضافة]]</f>
        <v>0</v>
      </c>
      <c r="M218" s="1">
        <f>M217+Table11819202122[[#This Row],[اجمالي الفاتوره]]-Table11819202122[[#This Row],[الدفعات]]</f>
        <v>0</v>
      </c>
    </row>
    <row r="219" spans="11:13" ht="26.25" customHeight="1" x14ac:dyDescent="0.3">
      <c r="K219" s="1">
        <f>Table11819202122[[#This Row],[النولون]]+Table11819202122[[#This Row],[الايصالات]]-Table11819202122[[#This Row],[خصم أ ت ص]]+Table11819202122[[#This Row],[قيمة مضافة]]</f>
        <v>0</v>
      </c>
      <c r="M219" s="1">
        <f>M218+Table11819202122[[#This Row],[اجمالي الفاتوره]]-Table11819202122[[#This Row],[الدفعات]]</f>
        <v>0</v>
      </c>
    </row>
    <row r="220" spans="11:13" ht="26.25" customHeight="1" x14ac:dyDescent="0.3">
      <c r="K220" s="1">
        <f>Table11819202122[[#This Row],[النولون]]+Table11819202122[[#This Row],[الايصالات]]-Table11819202122[[#This Row],[خصم أ ت ص]]+Table11819202122[[#This Row],[قيمة مضافة]]</f>
        <v>0</v>
      </c>
      <c r="M220" s="1">
        <f>M219+Table11819202122[[#This Row],[اجمالي الفاتوره]]-Table11819202122[[#This Row],[الدفعات]]</f>
        <v>0</v>
      </c>
    </row>
    <row r="221" spans="11:13" ht="26.25" customHeight="1" x14ac:dyDescent="0.3">
      <c r="K221" s="1">
        <f>Table11819202122[[#This Row],[النولون]]+Table11819202122[[#This Row],[الايصالات]]-Table11819202122[[#This Row],[خصم أ ت ص]]+Table11819202122[[#This Row],[قيمة مضافة]]</f>
        <v>0</v>
      </c>
      <c r="M221" s="1">
        <f>M220+Table11819202122[[#This Row],[اجمالي الفاتوره]]-Table11819202122[[#This Row],[الدفعات]]</f>
        <v>0</v>
      </c>
    </row>
    <row r="222" spans="11:13" ht="26.25" customHeight="1" x14ac:dyDescent="0.3">
      <c r="K222" s="1">
        <f>Table11819202122[[#This Row],[النولون]]+Table11819202122[[#This Row],[الايصالات]]-Table11819202122[[#This Row],[خصم أ ت ص]]+Table11819202122[[#This Row],[قيمة مضافة]]</f>
        <v>0</v>
      </c>
      <c r="M222" s="1">
        <f>M221+Table11819202122[[#This Row],[اجمالي الفاتوره]]-Table11819202122[[#This Row],[الدفعات]]</f>
        <v>0</v>
      </c>
    </row>
    <row r="223" spans="11:13" ht="26.25" customHeight="1" x14ac:dyDescent="0.3">
      <c r="K223" s="1">
        <f>Table11819202122[[#This Row],[النولون]]+Table11819202122[[#This Row],[الايصالات]]-Table11819202122[[#This Row],[خصم أ ت ص]]+Table11819202122[[#This Row],[قيمة مضافة]]</f>
        <v>0</v>
      </c>
      <c r="M223" s="1">
        <f>M222+Table11819202122[[#This Row],[اجمالي الفاتوره]]-Table11819202122[[#This Row],[الدفعات]]</f>
        <v>0</v>
      </c>
    </row>
    <row r="224" spans="11:13" ht="26.25" customHeight="1" x14ac:dyDescent="0.3">
      <c r="K224" s="1">
        <f>Table11819202122[[#This Row],[النولون]]+Table11819202122[[#This Row],[الايصالات]]-Table11819202122[[#This Row],[خصم أ ت ص]]+Table11819202122[[#This Row],[قيمة مضافة]]</f>
        <v>0</v>
      </c>
      <c r="M224" s="1">
        <f>M223+Table11819202122[[#This Row],[اجمالي الفاتوره]]-Table11819202122[[#This Row],[الدفعات]]</f>
        <v>0</v>
      </c>
    </row>
    <row r="225" spans="11:13" ht="26.25" customHeight="1" x14ac:dyDescent="0.3">
      <c r="K225" s="1">
        <f>Table11819202122[[#This Row],[النولون]]+Table11819202122[[#This Row],[الايصالات]]-Table11819202122[[#This Row],[خصم أ ت ص]]+Table11819202122[[#This Row],[قيمة مضافة]]</f>
        <v>0</v>
      </c>
      <c r="M225" s="1">
        <f>M224+Table11819202122[[#This Row],[اجمالي الفاتوره]]-Table11819202122[[#This Row],[الدفعات]]</f>
        <v>0</v>
      </c>
    </row>
    <row r="226" spans="11:13" ht="26.25" customHeight="1" x14ac:dyDescent="0.3">
      <c r="K226" s="1">
        <f>Table11819202122[[#This Row],[النولون]]+Table11819202122[[#This Row],[الايصالات]]-Table11819202122[[#This Row],[خصم أ ت ص]]+Table11819202122[[#This Row],[قيمة مضافة]]</f>
        <v>0</v>
      </c>
      <c r="M226" s="1">
        <f>M225+Table11819202122[[#This Row],[اجمالي الفاتوره]]-Table11819202122[[#This Row],[الدفعات]]</f>
        <v>0</v>
      </c>
    </row>
    <row r="227" spans="11:13" ht="26.25" customHeight="1" x14ac:dyDescent="0.3">
      <c r="K227" s="1">
        <f>Table11819202122[[#This Row],[النولون]]+Table11819202122[[#This Row],[الايصالات]]-Table11819202122[[#This Row],[خصم أ ت ص]]+Table11819202122[[#This Row],[قيمة مضافة]]</f>
        <v>0</v>
      </c>
      <c r="M227" s="1">
        <f>M226+Table11819202122[[#This Row],[اجمالي الفاتوره]]-Table11819202122[[#This Row],[الدفعات]]</f>
        <v>0</v>
      </c>
    </row>
    <row r="228" spans="11:13" ht="26.25" customHeight="1" x14ac:dyDescent="0.3">
      <c r="K228" s="1">
        <f>Table11819202122[[#This Row],[النولون]]+Table11819202122[[#This Row],[الايصالات]]-Table11819202122[[#This Row],[خصم أ ت ص]]+Table11819202122[[#This Row],[قيمة مضافة]]</f>
        <v>0</v>
      </c>
      <c r="M228" s="1">
        <f>M227+Table11819202122[[#This Row],[اجمالي الفاتوره]]-Table11819202122[[#This Row],[الدفعات]]</f>
        <v>0</v>
      </c>
    </row>
    <row r="229" spans="11:13" ht="26.25" customHeight="1" x14ac:dyDescent="0.3">
      <c r="K229" s="1">
        <f>Table11819202122[[#This Row],[النولون]]+Table11819202122[[#This Row],[الايصالات]]-Table11819202122[[#This Row],[خصم أ ت ص]]+Table11819202122[[#This Row],[قيمة مضافة]]</f>
        <v>0</v>
      </c>
      <c r="M229" s="1">
        <f>M228+Table11819202122[[#This Row],[اجمالي الفاتوره]]-Table11819202122[[#This Row],[الدفعات]]</f>
        <v>0</v>
      </c>
    </row>
    <row r="230" spans="11:13" ht="26.25" customHeight="1" x14ac:dyDescent="0.3">
      <c r="K230" s="1">
        <f>Table11819202122[[#This Row],[النولون]]+Table11819202122[[#This Row],[الايصالات]]-Table11819202122[[#This Row],[خصم أ ت ص]]+Table11819202122[[#This Row],[قيمة مضافة]]</f>
        <v>0</v>
      </c>
      <c r="M230" s="1">
        <f>M229+Table11819202122[[#This Row],[اجمالي الفاتوره]]-Table11819202122[[#This Row],[الدفعات]]</f>
        <v>0</v>
      </c>
    </row>
    <row r="231" spans="11:13" ht="26.25" customHeight="1" x14ac:dyDescent="0.3">
      <c r="K231" s="1">
        <f>Table11819202122[[#This Row],[النولون]]+Table11819202122[[#This Row],[الايصالات]]-Table11819202122[[#This Row],[خصم أ ت ص]]+Table11819202122[[#This Row],[قيمة مضافة]]</f>
        <v>0</v>
      </c>
      <c r="M231" s="1">
        <f>M230+Table11819202122[[#This Row],[اجمالي الفاتوره]]-Table11819202122[[#This Row],[الدفعات]]</f>
        <v>0</v>
      </c>
    </row>
    <row r="232" spans="11:13" ht="26.25" customHeight="1" x14ac:dyDescent="0.3">
      <c r="K232" s="1">
        <f>Table11819202122[[#This Row],[النولون]]+Table11819202122[[#This Row],[الايصالات]]-Table11819202122[[#This Row],[خصم أ ت ص]]+Table11819202122[[#This Row],[قيمة مضافة]]</f>
        <v>0</v>
      </c>
      <c r="M232" s="1">
        <f>M231+Table11819202122[[#This Row],[اجمالي الفاتوره]]-Table11819202122[[#This Row],[الدفعات]]</f>
        <v>0</v>
      </c>
    </row>
    <row r="233" spans="11:13" ht="26.25" customHeight="1" x14ac:dyDescent="0.3">
      <c r="K233" s="1">
        <f>Table11819202122[[#This Row],[النولون]]+Table11819202122[[#This Row],[الايصالات]]-Table11819202122[[#This Row],[خصم أ ت ص]]+Table11819202122[[#This Row],[قيمة مضافة]]</f>
        <v>0</v>
      </c>
      <c r="M233" s="1">
        <f>M232+Table11819202122[[#This Row],[اجمالي الفاتوره]]-Table11819202122[[#This Row],[الدفعات]]</f>
        <v>0</v>
      </c>
    </row>
    <row r="234" spans="11:13" ht="26.25" customHeight="1" x14ac:dyDescent="0.3">
      <c r="K234" s="1">
        <f>Table11819202122[[#This Row],[النولون]]+Table11819202122[[#This Row],[الايصالات]]-Table11819202122[[#This Row],[خصم أ ت ص]]+Table11819202122[[#This Row],[قيمة مضافة]]</f>
        <v>0</v>
      </c>
      <c r="M234" s="1">
        <f>M233+Table11819202122[[#This Row],[اجمالي الفاتوره]]-Table11819202122[[#This Row],[الدفعات]]</f>
        <v>0</v>
      </c>
    </row>
    <row r="235" spans="11:13" ht="26.25" customHeight="1" x14ac:dyDescent="0.3">
      <c r="K235" s="1">
        <f>Table11819202122[[#This Row],[النولون]]+Table11819202122[[#This Row],[الايصالات]]-Table11819202122[[#This Row],[خصم أ ت ص]]+Table11819202122[[#This Row],[قيمة مضافة]]</f>
        <v>0</v>
      </c>
      <c r="M235" s="1">
        <f>M234+Table11819202122[[#This Row],[اجمالي الفاتوره]]-Table11819202122[[#This Row],[الدفعات]]</f>
        <v>0</v>
      </c>
    </row>
    <row r="236" spans="11:13" ht="26.25" customHeight="1" x14ac:dyDescent="0.3">
      <c r="K236" s="1">
        <f>Table11819202122[[#This Row],[النولون]]+Table11819202122[[#This Row],[الايصالات]]-Table11819202122[[#This Row],[خصم أ ت ص]]+Table11819202122[[#This Row],[قيمة مضافة]]</f>
        <v>0</v>
      </c>
      <c r="M236" s="1">
        <f>M235+Table11819202122[[#This Row],[اجمالي الفاتوره]]-Table11819202122[[#This Row],[الدفعات]]</f>
        <v>0</v>
      </c>
    </row>
    <row r="237" spans="11:13" ht="26.25" customHeight="1" x14ac:dyDescent="0.3">
      <c r="K237" s="1">
        <f>Table11819202122[[#This Row],[النولون]]+Table11819202122[[#This Row],[الايصالات]]-Table11819202122[[#This Row],[خصم أ ت ص]]+Table11819202122[[#This Row],[قيمة مضافة]]</f>
        <v>0</v>
      </c>
      <c r="M237" s="1">
        <f>M236+Table11819202122[[#This Row],[اجمالي الفاتوره]]-Table11819202122[[#This Row],[الدفعات]]</f>
        <v>0</v>
      </c>
    </row>
    <row r="238" spans="11:13" ht="26.25" customHeight="1" x14ac:dyDescent="0.3">
      <c r="K238" s="1">
        <f>Table11819202122[[#This Row],[النولون]]+Table11819202122[[#This Row],[الايصالات]]-Table11819202122[[#This Row],[خصم أ ت ص]]+Table11819202122[[#This Row],[قيمة مضافة]]</f>
        <v>0</v>
      </c>
      <c r="M238" s="1">
        <f>M237+Table11819202122[[#This Row],[اجمالي الفاتوره]]-Table11819202122[[#This Row],[الدفعات]]</f>
        <v>0</v>
      </c>
    </row>
    <row r="239" spans="11:13" ht="26.25" customHeight="1" x14ac:dyDescent="0.3">
      <c r="K239" s="1">
        <f>Table11819202122[[#This Row],[النولون]]+Table11819202122[[#This Row],[الايصالات]]-Table11819202122[[#This Row],[خصم أ ت ص]]+Table11819202122[[#This Row],[قيمة مضافة]]</f>
        <v>0</v>
      </c>
      <c r="M239" s="1">
        <f>M238+Table11819202122[[#This Row],[اجمالي الفاتوره]]-Table11819202122[[#This Row],[الدفعات]]</f>
        <v>0</v>
      </c>
    </row>
    <row r="240" spans="11:13" ht="26.25" customHeight="1" x14ac:dyDescent="0.3">
      <c r="K240" s="1">
        <f>Table11819202122[[#This Row],[النولون]]+Table11819202122[[#This Row],[الايصالات]]-Table11819202122[[#This Row],[خصم أ ت ص]]+Table11819202122[[#This Row],[قيمة مضافة]]</f>
        <v>0</v>
      </c>
      <c r="M240" s="1">
        <f>M239+Table11819202122[[#This Row],[اجمالي الفاتوره]]-Table11819202122[[#This Row],[الدفعات]]</f>
        <v>0</v>
      </c>
    </row>
    <row r="241" spans="11:13" ht="26.25" customHeight="1" x14ac:dyDescent="0.3">
      <c r="K241" s="1">
        <f>Table11819202122[[#This Row],[النولون]]+Table11819202122[[#This Row],[الايصالات]]-Table11819202122[[#This Row],[خصم أ ت ص]]+Table11819202122[[#This Row],[قيمة مضافة]]</f>
        <v>0</v>
      </c>
      <c r="M241" s="1">
        <f>M240+Table11819202122[[#This Row],[اجمالي الفاتوره]]-Table11819202122[[#This Row],[الدفعات]]</f>
        <v>0</v>
      </c>
    </row>
    <row r="242" spans="11:13" ht="26.25" customHeight="1" x14ac:dyDescent="0.3">
      <c r="K242" s="1">
        <f>Table11819202122[[#This Row],[النولون]]+Table11819202122[[#This Row],[الايصالات]]-Table11819202122[[#This Row],[خصم أ ت ص]]+Table11819202122[[#This Row],[قيمة مضافة]]</f>
        <v>0</v>
      </c>
      <c r="M242" s="1">
        <f>M241+Table11819202122[[#This Row],[اجمالي الفاتوره]]-Table11819202122[[#This Row],[الدفعات]]</f>
        <v>0</v>
      </c>
    </row>
    <row r="243" spans="11:13" ht="26.25" customHeight="1" x14ac:dyDescent="0.3">
      <c r="K243" s="1">
        <f>Table11819202122[[#This Row],[النولون]]+Table11819202122[[#This Row],[الايصالات]]-Table11819202122[[#This Row],[خصم أ ت ص]]+Table11819202122[[#This Row],[قيمة مضافة]]</f>
        <v>0</v>
      </c>
      <c r="M243" s="1">
        <f>M242+Table11819202122[[#This Row],[اجمالي الفاتوره]]-Table11819202122[[#This Row],[الدفعات]]</f>
        <v>0</v>
      </c>
    </row>
    <row r="244" spans="11:13" ht="26.25" customHeight="1" x14ac:dyDescent="0.3">
      <c r="K244" s="1">
        <f>Table11819202122[[#This Row],[النولون]]+Table11819202122[[#This Row],[الايصالات]]-Table11819202122[[#This Row],[خصم أ ت ص]]+Table11819202122[[#This Row],[قيمة مضافة]]</f>
        <v>0</v>
      </c>
      <c r="M244" s="1">
        <f>M243+Table11819202122[[#This Row],[اجمالي الفاتوره]]-Table11819202122[[#This Row],[الدفعات]]</f>
        <v>0</v>
      </c>
    </row>
    <row r="245" spans="11:13" ht="26.25" customHeight="1" x14ac:dyDescent="0.3">
      <c r="K245" s="1">
        <f>Table11819202122[[#This Row],[النولون]]+Table11819202122[[#This Row],[الايصالات]]-Table11819202122[[#This Row],[خصم أ ت ص]]+Table11819202122[[#This Row],[قيمة مضافة]]</f>
        <v>0</v>
      </c>
      <c r="M245" s="1">
        <f>M244+Table11819202122[[#This Row],[اجمالي الفاتوره]]-Table11819202122[[#This Row],[الدفعات]]</f>
        <v>0</v>
      </c>
    </row>
    <row r="246" spans="11:13" ht="26.25" customHeight="1" x14ac:dyDescent="0.3">
      <c r="K246" s="1">
        <f>Table11819202122[[#This Row],[النولون]]+Table11819202122[[#This Row],[الايصالات]]-Table11819202122[[#This Row],[خصم أ ت ص]]+Table11819202122[[#This Row],[قيمة مضافة]]</f>
        <v>0</v>
      </c>
      <c r="M246" s="1">
        <f>M245+Table11819202122[[#This Row],[اجمالي الفاتوره]]-Table11819202122[[#This Row],[الدفعات]]</f>
        <v>0</v>
      </c>
    </row>
    <row r="247" spans="11:13" ht="26.25" customHeight="1" x14ac:dyDescent="0.3">
      <c r="K247" s="1">
        <f>Table11819202122[[#This Row],[النولون]]+Table11819202122[[#This Row],[الايصالات]]-Table11819202122[[#This Row],[خصم أ ت ص]]+Table11819202122[[#This Row],[قيمة مضافة]]</f>
        <v>0</v>
      </c>
      <c r="M247" s="1">
        <f>M246+Table11819202122[[#This Row],[اجمالي الفاتوره]]-Table11819202122[[#This Row],[الدفعات]]</f>
        <v>0</v>
      </c>
    </row>
    <row r="248" spans="11:13" ht="26.25" customHeight="1" x14ac:dyDescent="0.3">
      <c r="K248" s="1">
        <f>Table11819202122[[#This Row],[النولون]]+Table11819202122[[#This Row],[الايصالات]]-Table11819202122[[#This Row],[خصم أ ت ص]]+Table11819202122[[#This Row],[قيمة مضافة]]</f>
        <v>0</v>
      </c>
      <c r="M248" s="1">
        <f>M247+Table11819202122[[#This Row],[اجمالي الفاتوره]]-Table11819202122[[#This Row],[الدفعات]]</f>
        <v>0</v>
      </c>
    </row>
    <row r="249" spans="11:13" ht="26.25" customHeight="1" x14ac:dyDescent="0.3">
      <c r="K249" s="1">
        <f>Table11819202122[[#This Row],[النولون]]+Table11819202122[[#This Row],[الايصالات]]-Table11819202122[[#This Row],[خصم أ ت ص]]+Table11819202122[[#This Row],[قيمة مضافة]]</f>
        <v>0</v>
      </c>
      <c r="M249" s="1">
        <f>M248+Table11819202122[[#This Row],[اجمالي الفاتوره]]-Table11819202122[[#This Row],[الدفعات]]</f>
        <v>0</v>
      </c>
    </row>
    <row r="250" spans="11:13" ht="26.25" customHeight="1" x14ac:dyDescent="0.3">
      <c r="K250" s="1">
        <f>Table11819202122[[#This Row],[النولون]]+Table11819202122[[#This Row],[الايصالات]]-Table11819202122[[#This Row],[خصم أ ت ص]]+Table11819202122[[#This Row],[قيمة مضافة]]</f>
        <v>0</v>
      </c>
      <c r="M250" s="1">
        <f>M249+Table11819202122[[#This Row],[اجمالي الفاتوره]]-Table11819202122[[#This Row],[الدفعات]]</f>
        <v>0</v>
      </c>
    </row>
    <row r="251" spans="11:13" ht="26.25" customHeight="1" x14ac:dyDescent="0.3">
      <c r="K251" s="1">
        <f>Table11819202122[[#This Row],[النولون]]+Table11819202122[[#This Row],[الايصالات]]-Table11819202122[[#This Row],[خصم أ ت ص]]+Table11819202122[[#This Row],[قيمة مضافة]]</f>
        <v>0</v>
      </c>
      <c r="M251" s="1">
        <f>M250+Table11819202122[[#This Row],[اجمالي الفاتوره]]-Table11819202122[[#This Row],[الدفعات]]</f>
        <v>0</v>
      </c>
    </row>
    <row r="252" spans="11:13" ht="26.25" customHeight="1" x14ac:dyDescent="0.3">
      <c r="K252" s="1">
        <f>Table11819202122[[#This Row],[النولون]]+Table11819202122[[#This Row],[الايصالات]]-Table11819202122[[#This Row],[خصم أ ت ص]]+Table11819202122[[#This Row],[قيمة مضافة]]</f>
        <v>0</v>
      </c>
      <c r="M252" s="1">
        <f>M251+Table11819202122[[#This Row],[اجمالي الفاتوره]]-Table11819202122[[#This Row],[الدفعات]]</f>
        <v>0</v>
      </c>
    </row>
    <row r="253" spans="11:13" ht="26.25" customHeight="1" x14ac:dyDescent="0.3">
      <c r="K253" s="1">
        <f>Table11819202122[[#This Row],[النولون]]+Table11819202122[[#This Row],[الايصالات]]-Table11819202122[[#This Row],[خصم أ ت ص]]+Table11819202122[[#This Row],[قيمة مضافة]]</f>
        <v>0</v>
      </c>
      <c r="M253" s="1">
        <f>M252+Table11819202122[[#This Row],[اجمالي الفاتوره]]-Table11819202122[[#This Row],[الدفعات]]</f>
        <v>0</v>
      </c>
    </row>
    <row r="254" spans="11:13" ht="26.25" customHeight="1" x14ac:dyDescent="0.3">
      <c r="K254" s="1">
        <f>Table11819202122[[#This Row],[النولون]]+Table11819202122[[#This Row],[الايصالات]]-Table11819202122[[#This Row],[خصم أ ت ص]]+Table11819202122[[#This Row],[قيمة مضافة]]</f>
        <v>0</v>
      </c>
      <c r="M254" s="1">
        <f>M253+Table11819202122[[#This Row],[اجمالي الفاتوره]]-Table11819202122[[#This Row],[الدفعات]]</f>
        <v>0</v>
      </c>
    </row>
    <row r="255" spans="11:13" ht="26.25" customHeight="1" x14ac:dyDescent="0.3">
      <c r="K255" s="1">
        <f>Table11819202122[[#This Row],[النولون]]+Table11819202122[[#This Row],[الايصالات]]-Table11819202122[[#This Row],[خصم أ ت ص]]+Table11819202122[[#This Row],[قيمة مضافة]]</f>
        <v>0</v>
      </c>
      <c r="M255" s="1">
        <f>M254+Table11819202122[[#This Row],[اجمالي الفاتوره]]-Table11819202122[[#This Row],[الدفعات]]</f>
        <v>0</v>
      </c>
    </row>
    <row r="256" spans="11:13" ht="26.25" customHeight="1" x14ac:dyDescent="0.3">
      <c r="K256" s="1">
        <f>Table11819202122[[#This Row],[النولون]]+Table11819202122[[#This Row],[الايصالات]]-Table11819202122[[#This Row],[خصم أ ت ص]]+Table11819202122[[#This Row],[قيمة مضافة]]</f>
        <v>0</v>
      </c>
      <c r="M256" s="1">
        <f>M255+Table11819202122[[#This Row],[اجمالي الفاتوره]]-Table11819202122[[#This Row],[الدفعات]]</f>
        <v>0</v>
      </c>
    </row>
    <row r="257" spans="11:13" ht="26.25" customHeight="1" x14ac:dyDescent="0.3">
      <c r="K257" s="1">
        <f>Table11819202122[[#This Row],[النولون]]+Table11819202122[[#This Row],[الايصالات]]-Table11819202122[[#This Row],[خصم أ ت ص]]+Table11819202122[[#This Row],[قيمة مضافة]]</f>
        <v>0</v>
      </c>
      <c r="M257" s="1">
        <f>M256+Table11819202122[[#This Row],[اجمالي الفاتوره]]-Table11819202122[[#This Row],[الدفعات]]</f>
        <v>0</v>
      </c>
    </row>
    <row r="258" spans="11:13" ht="26.25" customHeight="1" x14ac:dyDescent="0.3">
      <c r="K258" s="1">
        <f>Table11819202122[[#This Row],[النولون]]+Table11819202122[[#This Row],[الايصالات]]-Table11819202122[[#This Row],[خصم أ ت ص]]+Table11819202122[[#This Row],[قيمة مضافة]]</f>
        <v>0</v>
      </c>
      <c r="M258" s="1">
        <f>M257+Table11819202122[[#This Row],[اجمالي الفاتوره]]-Table11819202122[[#This Row],[الدفعات]]</f>
        <v>0</v>
      </c>
    </row>
    <row r="259" spans="11:13" ht="26.25" customHeight="1" x14ac:dyDescent="0.3">
      <c r="K259" s="1">
        <f>Table11819202122[[#This Row],[النولون]]+Table11819202122[[#This Row],[الايصالات]]-Table11819202122[[#This Row],[خصم أ ت ص]]+Table11819202122[[#This Row],[قيمة مضافة]]</f>
        <v>0</v>
      </c>
      <c r="M259" s="1">
        <f>M258+Table11819202122[[#This Row],[اجمالي الفاتوره]]-Table11819202122[[#This Row],[الدفعات]]</f>
        <v>0</v>
      </c>
    </row>
    <row r="260" spans="11:13" ht="26.25" customHeight="1" x14ac:dyDescent="0.3">
      <c r="K260" s="1">
        <f>Table11819202122[[#This Row],[النولون]]+Table11819202122[[#This Row],[الايصالات]]-Table11819202122[[#This Row],[خصم أ ت ص]]+Table11819202122[[#This Row],[قيمة مضافة]]</f>
        <v>0</v>
      </c>
      <c r="M260" s="1">
        <f>M259+Table11819202122[[#This Row],[اجمالي الفاتوره]]-Table11819202122[[#This Row],[الدفعات]]</f>
        <v>0</v>
      </c>
    </row>
    <row r="261" spans="11:13" ht="26.25" customHeight="1" x14ac:dyDescent="0.3">
      <c r="K261" s="1">
        <f>Table11819202122[[#This Row],[النولون]]+Table11819202122[[#This Row],[الايصالات]]-Table11819202122[[#This Row],[خصم أ ت ص]]+Table11819202122[[#This Row],[قيمة مضافة]]</f>
        <v>0</v>
      </c>
      <c r="M261" s="1">
        <f>M260+Table11819202122[[#This Row],[اجمالي الفاتوره]]-Table11819202122[[#This Row],[الدفعات]]</f>
        <v>0</v>
      </c>
    </row>
    <row r="262" spans="11:13" ht="26.25" customHeight="1" x14ac:dyDescent="0.3">
      <c r="K262" s="1">
        <f>Table11819202122[[#This Row],[النولون]]+Table11819202122[[#This Row],[الايصالات]]-Table11819202122[[#This Row],[خصم أ ت ص]]+Table11819202122[[#This Row],[قيمة مضافة]]</f>
        <v>0</v>
      </c>
      <c r="M262" s="1">
        <f>M261+Table11819202122[[#This Row],[اجمالي الفاتوره]]-Table11819202122[[#This Row],[الدفعات]]</f>
        <v>0</v>
      </c>
    </row>
    <row r="263" spans="11:13" ht="26.25" customHeight="1" x14ac:dyDescent="0.3">
      <c r="K263" s="1">
        <f>Table11819202122[[#This Row],[النولون]]+Table11819202122[[#This Row],[الايصالات]]-Table11819202122[[#This Row],[خصم أ ت ص]]+Table11819202122[[#This Row],[قيمة مضافة]]</f>
        <v>0</v>
      </c>
      <c r="M263" s="1">
        <f>M262+Table11819202122[[#This Row],[اجمالي الفاتوره]]-Table11819202122[[#This Row],[الدفعات]]</f>
        <v>0</v>
      </c>
    </row>
    <row r="264" spans="11:13" ht="26.25" customHeight="1" x14ac:dyDescent="0.3">
      <c r="K264" s="1">
        <f>Table11819202122[[#This Row],[النولون]]+Table11819202122[[#This Row],[الايصالات]]-Table11819202122[[#This Row],[خصم أ ت ص]]+Table11819202122[[#This Row],[قيمة مضافة]]</f>
        <v>0</v>
      </c>
      <c r="M264" s="1">
        <f>M263+Table11819202122[[#This Row],[اجمالي الفاتوره]]-Table11819202122[[#This Row],[الدفعات]]</f>
        <v>0</v>
      </c>
    </row>
    <row r="265" spans="11:13" ht="26.25" customHeight="1" x14ac:dyDescent="0.3">
      <c r="K265" s="1">
        <f>Table11819202122[[#This Row],[النولون]]+Table11819202122[[#This Row],[الايصالات]]-Table11819202122[[#This Row],[خصم أ ت ص]]+Table11819202122[[#This Row],[قيمة مضافة]]</f>
        <v>0</v>
      </c>
      <c r="M265" s="1">
        <f>M264+Table11819202122[[#This Row],[اجمالي الفاتوره]]-Table11819202122[[#This Row],[الدفعات]]</f>
        <v>0</v>
      </c>
    </row>
    <row r="266" spans="11:13" ht="26.25" customHeight="1" x14ac:dyDescent="0.3">
      <c r="K266" s="1">
        <f>Table11819202122[[#This Row],[النولون]]+Table11819202122[[#This Row],[الايصالات]]-Table11819202122[[#This Row],[خصم أ ت ص]]+Table11819202122[[#This Row],[قيمة مضافة]]</f>
        <v>0</v>
      </c>
      <c r="M266" s="1">
        <f>M265+Table11819202122[[#This Row],[اجمالي الفاتوره]]-Table11819202122[[#This Row],[الدفعات]]</f>
        <v>0</v>
      </c>
    </row>
    <row r="267" spans="11:13" ht="26.25" customHeight="1" x14ac:dyDescent="0.3">
      <c r="K267" s="1">
        <f>Table11819202122[[#This Row],[النولون]]+Table11819202122[[#This Row],[الايصالات]]-Table11819202122[[#This Row],[خصم أ ت ص]]+Table11819202122[[#This Row],[قيمة مضافة]]</f>
        <v>0</v>
      </c>
      <c r="M267" s="1">
        <f>M266+Table11819202122[[#This Row],[اجمالي الفاتوره]]-Table11819202122[[#This Row],[الدفعات]]</f>
        <v>0</v>
      </c>
    </row>
    <row r="268" spans="11:13" ht="26.25" customHeight="1" x14ac:dyDescent="0.3">
      <c r="K268" s="1">
        <f>Table11819202122[[#This Row],[النولون]]+Table11819202122[[#This Row],[الايصالات]]-Table11819202122[[#This Row],[خصم أ ت ص]]+Table11819202122[[#This Row],[قيمة مضافة]]</f>
        <v>0</v>
      </c>
      <c r="M268" s="1">
        <f>M267+Table11819202122[[#This Row],[اجمالي الفاتوره]]-Table11819202122[[#This Row],[الدفعات]]</f>
        <v>0</v>
      </c>
    </row>
    <row r="269" spans="11:13" ht="26.25" customHeight="1" x14ac:dyDescent="0.3">
      <c r="K269" s="1">
        <f>Table11819202122[[#This Row],[النولون]]+Table11819202122[[#This Row],[الايصالات]]-Table11819202122[[#This Row],[خصم أ ت ص]]+Table11819202122[[#This Row],[قيمة مضافة]]</f>
        <v>0</v>
      </c>
      <c r="M269" s="1">
        <f>M268+Table11819202122[[#This Row],[اجمالي الفاتوره]]-Table11819202122[[#This Row],[الدفعات]]</f>
        <v>0</v>
      </c>
    </row>
    <row r="270" spans="11:13" ht="26.25" customHeight="1" x14ac:dyDescent="0.3">
      <c r="K270" s="1">
        <f>Table11819202122[[#This Row],[النولون]]+Table11819202122[[#This Row],[الايصالات]]-Table11819202122[[#This Row],[خصم أ ت ص]]+Table11819202122[[#This Row],[قيمة مضافة]]</f>
        <v>0</v>
      </c>
      <c r="M270" s="1">
        <f>M269+Table11819202122[[#This Row],[اجمالي الفاتوره]]-Table11819202122[[#This Row],[الدفعات]]</f>
        <v>0</v>
      </c>
    </row>
    <row r="271" spans="11:13" ht="26.25" customHeight="1" x14ac:dyDescent="0.3">
      <c r="K271" s="1">
        <f>Table11819202122[[#This Row],[النولون]]+Table11819202122[[#This Row],[الايصالات]]-Table11819202122[[#This Row],[خصم أ ت ص]]+Table11819202122[[#This Row],[قيمة مضافة]]</f>
        <v>0</v>
      </c>
      <c r="M271" s="1">
        <f>M270+Table11819202122[[#This Row],[اجمالي الفاتوره]]-Table11819202122[[#This Row],[الدفعات]]</f>
        <v>0</v>
      </c>
    </row>
    <row r="272" spans="11:13" ht="26.25" customHeight="1" x14ac:dyDescent="0.3">
      <c r="K272" s="1">
        <f>Table11819202122[[#This Row],[النولون]]+Table11819202122[[#This Row],[الايصالات]]-Table11819202122[[#This Row],[خصم أ ت ص]]+Table11819202122[[#This Row],[قيمة مضافة]]</f>
        <v>0</v>
      </c>
      <c r="M272" s="1">
        <f>M271+Table11819202122[[#This Row],[اجمالي الفاتوره]]-Table11819202122[[#This Row],[الدفعات]]</f>
        <v>0</v>
      </c>
    </row>
    <row r="273" spans="11:13" ht="26.25" customHeight="1" x14ac:dyDescent="0.3">
      <c r="K273" s="1">
        <f>Table11819202122[[#This Row],[النولون]]+Table11819202122[[#This Row],[الايصالات]]-Table11819202122[[#This Row],[خصم أ ت ص]]+Table11819202122[[#This Row],[قيمة مضافة]]</f>
        <v>0</v>
      </c>
      <c r="M273" s="1">
        <f>M272+Table11819202122[[#This Row],[اجمالي الفاتوره]]-Table11819202122[[#This Row],[الدفعات]]</f>
        <v>0</v>
      </c>
    </row>
    <row r="274" spans="11:13" ht="26.25" customHeight="1" x14ac:dyDescent="0.3">
      <c r="K274" s="1">
        <f>Table11819202122[[#This Row],[النولون]]+Table11819202122[[#This Row],[الايصالات]]-Table11819202122[[#This Row],[خصم أ ت ص]]+Table11819202122[[#This Row],[قيمة مضافة]]</f>
        <v>0</v>
      </c>
      <c r="M274" s="1">
        <f>M273+Table11819202122[[#This Row],[اجمالي الفاتوره]]-Table11819202122[[#This Row],[الدفعات]]</f>
        <v>0</v>
      </c>
    </row>
    <row r="275" spans="11:13" ht="26.25" customHeight="1" x14ac:dyDescent="0.3">
      <c r="K275" s="1">
        <f>Table11819202122[[#This Row],[النولون]]+Table11819202122[[#This Row],[الايصالات]]-Table11819202122[[#This Row],[خصم أ ت ص]]+Table11819202122[[#This Row],[قيمة مضافة]]</f>
        <v>0</v>
      </c>
      <c r="M275" s="1">
        <f>M274+Table11819202122[[#This Row],[اجمالي الفاتوره]]-Table11819202122[[#This Row],[الدفعات]]</f>
        <v>0</v>
      </c>
    </row>
    <row r="276" spans="11:13" ht="26.25" customHeight="1" x14ac:dyDescent="0.3">
      <c r="K276" s="1">
        <f>Table11819202122[[#This Row],[النولون]]+Table11819202122[[#This Row],[الايصالات]]-Table11819202122[[#This Row],[خصم أ ت ص]]+Table11819202122[[#This Row],[قيمة مضافة]]</f>
        <v>0</v>
      </c>
      <c r="M276" s="1">
        <f>M275+Table11819202122[[#This Row],[اجمالي الفاتوره]]-Table11819202122[[#This Row],[الدفعات]]</f>
        <v>0</v>
      </c>
    </row>
    <row r="277" spans="11:13" ht="26.25" customHeight="1" x14ac:dyDescent="0.3">
      <c r="K277" s="1">
        <f>Table11819202122[[#This Row],[النولون]]+Table11819202122[[#This Row],[الايصالات]]-Table11819202122[[#This Row],[خصم أ ت ص]]+Table11819202122[[#This Row],[قيمة مضافة]]</f>
        <v>0</v>
      </c>
      <c r="M277" s="1">
        <f>M276+Table11819202122[[#This Row],[اجمالي الفاتوره]]-Table11819202122[[#This Row],[الدفعات]]</f>
        <v>0</v>
      </c>
    </row>
    <row r="278" spans="11:13" ht="26.25" customHeight="1" x14ac:dyDescent="0.3">
      <c r="K278" s="1">
        <f>Table11819202122[[#This Row],[النولون]]+Table11819202122[[#This Row],[الايصالات]]-Table11819202122[[#This Row],[خصم أ ت ص]]+Table11819202122[[#This Row],[قيمة مضافة]]</f>
        <v>0</v>
      </c>
      <c r="M278" s="1">
        <f>M277+Table11819202122[[#This Row],[اجمالي الفاتوره]]-Table11819202122[[#This Row],[الدفعات]]</f>
        <v>0</v>
      </c>
    </row>
    <row r="279" spans="11:13" ht="26.25" customHeight="1" x14ac:dyDescent="0.3">
      <c r="K279" s="1">
        <f>Table11819202122[[#This Row],[النولون]]+Table11819202122[[#This Row],[الايصالات]]-Table11819202122[[#This Row],[خصم أ ت ص]]+Table11819202122[[#This Row],[قيمة مضافة]]</f>
        <v>0</v>
      </c>
      <c r="M279" s="1">
        <f>M278+Table11819202122[[#This Row],[اجمالي الفاتوره]]-Table11819202122[[#This Row],[الدفعات]]</f>
        <v>0</v>
      </c>
    </row>
    <row r="280" spans="11:13" ht="26.25" customHeight="1" x14ac:dyDescent="0.3">
      <c r="K280" s="1">
        <f>Table11819202122[[#This Row],[النولون]]+Table11819202122[[#This Row],[الايصالات]]-Table11819202122[[#This Row],[خصم أ ت ص]]+Table11819202122[[#This Row],[قيمة مضافة]]</f>
        <v>0</v>
      </c>
      <c r="M280" s="1">
        <f>M279+Table11819202122[[#This Row],[اجمالي الفاتوره]]-Table11819202122[[#This Row],[الدفعات]]</f>
        <v>0</v>
      </c>
    </row>
    <row r="281" spans="11:13" ht="26.25" customHeight="1" x14ac:dyDescent="0.3">
      <c r="K281" s="1">
        <f>Table11819202122[[#This Row],[النولون]]+Table11819202122[[#This Row],[الايصالات]]-Table11819202122[[#This Row],[خصم أ ت ص]]+Table11819202122[[#This Row],[قيمة مضافة]]</f>
        <v>0</v>
      </c>
      <c r="M281" s="1">
        <f>M280+Table11819202122[[#This Row],[اجمالي الفاتوره]]-Table11819202122[[#This Row],[الدفعات]]</f>
        <v>0</v>
      </c>
    </row>
    <row r="282" spans="11:13" ht="26.25" customHeight="1" x14ac:dyDescent="0.3">
      <c r="K282" s="1">
        <f>Table11819202122[[#This Row],[النولون]]+Table11819202122[[#This Row],[الايصالات]]-Table11819202122[[#This Row],[خصم أ ت ص]]+Table11819202122[[#This Row],[قيمة مضافة]]</f>
        <v>0</v>
      </c>
      <c r="M282" s="1">
        <f>M281+Table11819202122[[#This Row],[اجمالي الفاتوره]]-Table11819202122[[#This Row],[الدفعات]]</f>
        <v>0</v>
      </c>
    </row>
    <row r="283" spans="11:13" ht="26.25" customHeight="1" x14ac:dyDescent="0.3">
      <c r="K283" s="1">
        <f>Table11819202122[[#This Row],[النولون]]+Table11819202122[[#This Row],[الايصالات]]-Table11819202122[[#This Row],[خصم أ ت ص]]+Table11819202122[[#This Row],[قيمة مضافة]]</f>
        <v>0</v>
      </c>
      <c r="M283" s="1">
        <f>M282+Table11819202122[[#This Row],[اجمالي الفاتوره]]-Table11819202122[[#This Row],[الدفعات]]</f>
        <v>0</v>
      </c>
    </row>
    <row r="284" spans="11:13" ht="26.25" customHeight="1" x14ac:dyDescent="0.3">
      <c r="K284" s="1">
        <f>Table11819202122[[#This Row],[النولون]]+Table11819202122[[#This Row],[الايصالات]]-Table11819202122[[#This Row],[خصم أ ت ص]]+Table11819202122[[#This Row],[قيمة مضافة]]</f>
        <v>0</v>
      </c>
      <c r="M284" s="1">
        <f>M283+Table11819202122[[#This Row],[اجمالي الفاتوره]]-Table11819202122[[#This Row],[الدفعات]]</f>
        <v>0</v>
      </c>
    </row>
    <row r="285" spans="11:13" ht="26.25" customHeight="1" x14ac:dyDescent="0.3">
      <c r="K285" s="1">
        <f>Table11819202122[[#This Row],[النولون]]+Table11819202122[[#This Row],[الايصالات]]-Table11819202122[[#This Row],[خصم أ ت ص]]+Table11819202122[[#This Row],[قيمة مضافة]]</f>
        <v>0</v>
      </c>
      <c r="M285" s="1">
        <f>M284+Table11819202122[[#This Row],[اجمالي الفاتوره]]-Table11819202122[[#This Row],[الدفعات]]</f>
        <v>0</v>
      </c>
    </row>
    <row r="286" spans="11:13" ht="26.25" customHeight="1" x14ac:dyDescent="0.3">
      <c r="K286" s="1">
        <f>Table11819202122[[#This Row],[النولون]]+Table11819202122[[#This Row],[الايصالات]]-Table11819202122[[#This Row],[خصم أ ت ص]]+Table11819202122[[#This Row],[قيمة مضافة]]</f>
        <v>0</v>
      </c>
      <c r="M286" s="1">
        <f>M285+Table11819202122[[#This Row],[اجمالي الفاتوره]]-Table11819202122[[#This Row],[الدفعات]]</f>
        <v>0</v>
      </c>
    </row>
    <row r="287" spans="11:13" ht="26.25" customHeight="1" x14ac:dyDescent="0.3">
      <c r="K287" s="1">
        <f>Table11819202122[[#This Row],[النولون]]+Table11819202122[[#This Row],[الايصالات]]-Table11819202122[[#This Row],[خصم أ ت ص]]+Table11819202122[[#This Row],[قيمة مضافة]]</f>
        <v>0</v>
      </c>
      <c r="M287" s="1">
        <f>M286+Table11819202122[[#This Row],[اجمالي الفاتوره]]-Table11819202122[[#This Row],[الدفعات]]</f>
        <v>0</v>
      </c>
    </row>
    <row r="288" spans="11:13" ht="26.25" customHeight="1" x14ac:dyDescent="0.3">
      <c r="K288" s="1">
        <f>Table11819202122[[#This Row],[النولون]]+Table11819202122[[#This Row],[الايصالات]]-Table11819202122[[#This Row],[خصم أ ت ص]]+Table11819202122[[#This Row],[قيمة مضافة]]</f>
        <v>0</v>
      </c>
      <c r="M288" s="1">
        <f>M287+Table11819202122[[#This Row],[اجمالي الفاتوره]]-Table11819202122[[#This Row],[الدفعات]]</f>
        <v>0</v>
      </c>
    </row>
    <row r="289" spans="11:13" ht="26.25" customHeight="1" x14ac:dyDescent="0.3">
      <c r="K289" s="1">
        <f>Table11819202122[[#This Row],[النولون]]+Table11819202122[[#This Row],[الايصالات]]-Table11819202122[[#This Row],[خصم أ ت ص]]+Table11819202122[[#This Row],[قيمة مضافة]]</f>
        <v>0</v>
      </c>
      <c r="M289" s="1">
        <f>M288+Table11819202122[[#This Row],[اجمالي الفاتوره]]-Table11819202122[[#This Row],[الدفعات]]</f>
        <v>0</v>
      </c>
    </row>
    <row r="290" spans="11:13" ht="26.25" customHeight="1" x14ac:dyDescent="0.3">
      <c r="K290" s="1">
        <f>Table11819202122[[#This Row],[النولون]]+Table11819202122[[#This Row],[الايصالات]]-Table11819202122[[#This Row],[خصم أ ت ص]]+Table11819202122[[#This Row],[قيمة مضافة]]</f>
        <v>0</v>
      </c>
      <c r="M290" s="1">
        <f>M289+Table11819202122[[#This Row],[اجمالي الفاتوره]]-Table11819202122[[#This Row],[الدفعات]]</f>
        <v>0</v>
      </c>
    </row>
    <row r="291" spans="11:13" ht="26.25" customHeight="1" x14ac:dyDescent="0.3">
      <c r="K291" s="1">
        <f>Table11819202122[[#This Row],[النولون]]+Table11819202122[[#This Row],[الايصالات]]-Table11819202122[[#This Row],[خصم أ ت ص]]+Table11819202122[[#This Row],[قيمة مضافة]]</f>
        <v>0</v>
      </c>
      <c r="M291" s="1">
        <f>M290+Table11819202122[[#This Row],[اجمالي الفاتوره]]-Table11819202122[[#This Row],[الدفعات]]</f>
        <v>0</v>
      </c>
    </row>
    <row r="292" spans="11:13" ht="26.25" customHeight="1" x14ac:dyDescent="0.3">
      <c r="K292" s="1">
        <f>Table11819202122[[#This Row],[النولون]]+Table11819202122[[#This Row],[الايصالات]]-Table11819202122[[#This Row],[خصم أ ت ص]]+Table11819202122[[#This Row],[قيمة مضافة]]</f>
        <v>0</v>
      </c>
      <c r="M292" s="1">
        <f>M291+Table11819202122[[#This Row],[اجمالي الفاتوره]]-Table11819202122[[#This Row],[الدفعات]]</f>
        <v>0</v>
      </c>
    </row>
    <row r="293" spans="11:13" ht="26.25" customHeight="1" x14ac:dyDescent="0.3">
      <c r="K293" s="1">
        <f>Table11819202122[[#This Row],[النولون]]+Table11819202122[[#This Row],[الايصالات]]-Table11819202122[[#This Row],[خصم أ ت ص]]+Table11819202122[[#This Row],[قيمة مضافة]]</f>
        <v>0</v>
      </c>
      <c r="M293" s="1">
        <f>M292+Table11819202122[[#This Row],[اجمالي الفاتوره]]-Table11819202122[[#This Row],[الدفعات]]</f>
        <v>0</v>
      </c>
    </row>
    <row r="294" spans="11:13" ht="26.25" customHeight="1" x14ac:dyDescent="0.3">
      <c r="K294" s="1">
        <f>Table11819202122[[#This Row],[النولون]]+Table11819202122[[#This Row],[الايصالات]]-Table11819202122[[#This Row],[خصم أ ت ص]]+Table11819202122[[#This Row],[قيمة مضافة]]</f>
        <v>0</v>
      </c>
      <c r="M294" s="1">
        <f>M293+Table11819202122[[#This Row],[اجمالي الفاتوره]]-Table11819202122[[#This Row],[الدفعات]]</f>
        <v>0</v>
      </c>
    </row>
    <row r="295" spans="11:13" ht="26.25" customHeight="1" x14ac:dyDescent="0.3">
      <c r="K295" s="1">
        <f>Table11819202122[[#This Row],[النولون]]+Table11819202122[[#This Row],[الايصالات]]-Table11819202122[[#This Row],[خصم أ ت ص]]+Table11819202122[[#This Row],[قيمة مضافة]]</f>
        <v>0</v>
      </c>
      <c r="M295" s="1">
        <f>M294+Table11819202122[[#This Row],[اجمالي الفاتوره]]-Table11819202122[[#This Row],[الدفعات]]</f>
        <v>0</v>
      </c>
    </row>
    <row r="296" spans="11:13" ht="26.25" customHeight="1" x14ac:dyDescent="0.3">
      <c r="K296" s="1">
        <f>Table11819202122[[#This Row],[النولون]]+Table11819202122[[#This Row],[الايصالات]]-Table11819202122[[#This Row],[خصم أ ت ص]]+Table11819202122[[#This Row],[قيمة مضافة]]</f>
        <v>0</v>
      </c>
      <c r="M296" s="1">
        <f>M295+Table11819202122[[#This Row],[اجمالي الفاتوره]]-Table11819202122[[#This Row],[الدفعات]]</f>
        <v>0</v>
      </c>
    </row>
    <row r="297" spans="11:13" ht="26.25" customHeight="1" x14ac:dyDescent="0.3">
      <c r="K297" s="1">
        <f>Table11819202122[[#This Row],[النولون]]+Table11819202122[[#This Row],[الايصالات]]-Table11819202122[[#This Row],[خصم أ ت ص]]+Table11819202122[[#This Row],[قيمة مضافة]]</f>
        <v>0</v>
      </c>
      <c r="M297" s="1">
        <f>M296+Table11819202122[[#This Row],[اجمالي الفاتوره]]-Table11819202122[[#This Row],[الدفعات]]</f>
        <v>0</v>
      </c>
    </row>
    <row r="298" spans="11:13" ht="26.25" customHeight="1" x14ac:dyDescent="0.3">
      <c r="K298" s="1">
        <f>Table11819202122[[#This Row],[النولون]]+Table11819202122[[#This Row],[الايصالات]]-Table11819202122[[#This Row],[خصم أ ت ص]]+Table11819202122[[#This Row],[قيمة مضافة]]</f>
        <v>0</v>
      </c>
      <c r="M298" s="1">
        <f>M297+Table11819202122[[#This Row],[اجمالي الفاتوره]]-Table11819202122[[#This Row],[الدفعات]]</f>
        <v>0</v>
      </c>
    </row>
    <row r="299" spans="11:13" ht="26.25" customHeight="1" x14ac:dyDescent="0.3">
      <c r="K299" s="1">
        <f>Table11819202122[[#This Row],[النولون]]+Table11819202122[[#This Row],[الايصالات]]-Table11819202122[[#This Row],[خصم أ ت ص]]+Table11819202122[[#This Row],[قيمة مضافة]]</f>
        <v>0</v>
      </c>
      <c r="M299" s="1">
        <f>M298+Table11819202122[[#This Row],[اجمالي الفاتوره]]-Table11819202122[[#This Row],[الدفعات]]</f>
        <v>0</v>
      </c>
    </row>
    <row r="300" spans="11:13" ht="26.25" customHeight="1" x14ac:dyDescent="0.3">
      <c r="K300" s="1">
        <f>Table11819202122[[#This Row],[النولون]]+Table11819202122[[#This Row],[الايصالات]]-Table11819202122[[#This Row],[خصم أ ت ص]]+Table11819202122[[#This Row],[قيمة مضافة]]</f>
        <v>0</v>
      </c>
      <c r="M300" s="1">
        <f>M299+Table11819202122[[#This Row],[اجمالي الفاتوره]]-Table11819202122[[#This Row],[الدفعات]]</f>
        <v>0</v>
      </c>
    </row>
    <row r="301" spans="11:13" ht="26.25" customHeight="1" x14ac:dyDescent="0.3">
      <c r="K301" s="1">
        <f>Table11819202122[[#This Row],[النولون]]+Table11819202122[[#This Row],[الايصالات]]-Table11819202122[[#This Row],[خصم أ ت ص]]+Table11819202122[[#This Row],[قيمة مضافة]]</f>
        <v>0</v>
      </c>
      <c r="M301" s="1">
        <f>M300+Table11819202122[[#This Row],[اجمالي الفاتوره]]-Table11819202122[[#This Row],[الدفعات]]</f>
        <v>0</v>
      </c>
    </row>
    <row r="302" spans="11:13" ht="26.25" customHeight="1" x14ac:dyDescent="0.3">
      <c r="K302" s="1">
        <f>Table11819202122[[#This Row],[النولون]]+Table11819202122[[#This Row],[الايصالات]]-Table11819202122[[#This Row],[خصم أ ت ص]]+Table11819202122[[#This Row],[قيمة مضافة]]</f>
        <v>0</v>
      </c>
      <c r="M302" s="1">
        <f>M301+Table11819202122[[#This Row],[اجمالي الفاتوره]]-Table11819202122[[#This Row],[الدفعات]]</f>
        <v>0</v>
      </c>
    </row>
    <row r="303" spans="11:13" ht="26.25" customHeight="1" x14ac:dyDescent="0.3">
      <c r="K303" s="1">
        <f>Table11819202122[[#This Row],[النولون]]+Table11819202122[[#This Row],[الايصالات]]-Table11819202122[[#This Row],[خصم أ ت ص]]+Table11819202122[[#This Row],[قيمة مضافة]]</f>
        <v>0</v>
      </c>
      <c r="M303" s="1">
        <f>M302+Table11819202122[[#This Row],[اجمالي الفاتوره]]-Table11819202122[[#This Row],[الدفعات]]</f>
        <v>0</v>
      </c>
    </row>
    <row r="304" spans="11:13" ht="26.25" customHeight="1" x14ac:dyDescent="0.3">
      <c r="K304" s="1">
        <f>Table11819202122[[#This Row],[النولون]]+Table11819202122[[#This Row],[الايصالات]]-Table11819202122[[#This Row],[خصم أ ت ص]]+Table11819202122[[#This Row],[قيمة مضافة]]</f>
        <v>0</v>
      </c>
      <c r="M304" s="1">
        <f>M303+Table11819202122[[#This Row],[اجمالي الفاتوره]]-Table11819202122[[#This Row],[الدفعات]]</f>
        <v>0</v>
      </c>
    </row>
    <row r="305" spans="11:13" ht="26.25" customHeight="1" x14ac:dyDescent="0.3">
      <c r="K305" s="1">
        <f>Table11819202122[[#This Row],[النولون]]+Table11819202122[[#This Row],[الايصالات]]-Table11819202122[[#This Row],[خصم أ ت ص]]+Table11819202122[[#This Row],[قيمة مضافة]]</f>
        <v>0</v>
      </c>
      <c r="M305" s="1">
        <f>M304+Table11819202122[[#This Row],[اجمالي الفاتوره]]-Table11819202122[[#This Row],[الدفعات]]</f>
        <v>0</v>
      </c>
    </row>
    <row r="306" spans="11:13" ht="26.25" customHeight="1" x14ac:dyDescent="0.3">
      <c r="K306" s="1">
        <f>Table11819202122[[#This Row],[النولون]]+Table11819202122[[#This Row],[الايصالات]]-Table11819202122[[#This Row],[خصم أ ت ص]]+Table11819202122[[#This Row],[قيمة مضافة]]</f>
        <v>0</v>
      </c>
      <c r="M306" s="1">
        <f>M305+Table11819202122[[#This Row],[اجمالي الفاتوره]]-Table11819202122[[#This Row],[الدفعات]]</f>
        <v>0</v>
      </c>
    </row>
    <row r="307" spans="11:13" ht="26.25" customHeight="1" x14ac:dyDescent="0.3">
      <c r="K307" s="1">
        <f>Table11819202122[[#This Row],[النولون]]+Table11819202122[[#This Row],[الايصالات]]-Table11819202122[[#This Row],[خصم أ ت ص]]+Table11819202122[[#This Row],[قيمة مضافة]]</f>
        <v>0</v>
      </c>
      <c r="M307" s="1">
        <f>M306+Table11819202122[[#This Row],[اجمالي الفاتوره]]-Table11819202122[[#This Row],[الدفعات]]</f>
        <v>0</v>
      </c>
    </row>
    <row r="308" spans="11:13" ht="26.25" customHeight="1" x14ac:dyDescent="0.3">
      <c r="K308" s="1">
        <f>Table11819202122[[#This Row],[النولون]]+Table11819202122[[#This Row],[الايصالات]]-Table11819202122[[#This Row],[خصم أ ت ص]]+Table11819202122[[#This Row],[قيمة مضافة]]</f>
        <v>0</v>
      </c>
      <c r="M308" s="1">
        <f>M307+Table11819202122[[#This Row],[اجمالي الفاتوره]]-Table11819202122[[#This Row],[الدفعات]]</f>
        <v>0</v>
      </c>
    </row>
    <row r="309" spans="11:13" ht="26.25" customHeight="1" x14ac:dyDescent="0.3">
      <c r="K309" s="1">
        <f>Table11819202122[[#This Row],[النولون]]+Table11819202122[[#This Row],[الايصالات]]-Table11819202122[[#This Row],[خصم أ ت ص]]+Table11819202122[[#This Row],[قيمة مضافة]]</f>
        <v>0</v>
      </c>
      <c r="M309" s="1">
        <f>M308+Table11819202122[[#This Row],[اجمالي الفاتوره]]-Table11819202122[[#This Row],[الدفعات]]</f>
        <v>0</v>
      </c>
    </row>
    <row r="310" spans="11:13" ht="26.25" customHeight="1" x14ac:dyDescent="0.3">
      <c r="K310" s="1">
        <f>Table11819202122[[#This Row],[النولون]]+Table11819202122[[#This Row],[الايصالات]]-Table11819202122[[#This Row],[خصم أ ت ص]]+Table11819202122[[#This Row],[قيمة مضافة]]</f>
        <v>0</v>
      </c>
      <c r="M310" s="1">
        <f>M309+Table11819202122[[#This Row],[اجمالي الفاتوره]]-Table11819202122[[#This Row],[الدفعات]]</f>
        <v>0</v>
      </c>
    </row>
    <row r="311" spans="11:13" ht="26.25" customHeight="1" x14ac:dyDescent="0.3">
      <c r="K311" s="1">
        <f>Table11819202122[[#This Row],[النولون]]+Table11819202122[[#This Row],[الايصالات]]-Table11819202122[[#This Row],[خصم أ ت ص]]+Table11819202122[[#This Row],[قيمة مضافة]]</f>
        <v>0</v>
      </c>
      <c r="M311" s="1">
        <f>M310+Table11819202122[[#This Row],[اجمالي الفاتوره]]-Table11819202122[[#This Row],[الدفعات]]</f>
        <v>0</v>
      </c>
    </row>
    <row r="312" spans="11:13" ht="26.25" customHeight="1" x14ac:dyDescent="0.3">
      <c r="K312" s="1">
        <f>Table11819202122[[#This Row],[النولون]]+Table11819202122[[#This Row],[الايصالات]]-Table11819202122[[#This Row],[خصم أ ت ص]]+Table11819202122[[#This Row],[قيمة مضافة]]</f>
        <v>0</v>
      </c>
      <c r="M312" s="1">
        <f>M311+Table11819202122[[#This Row],[اجمالي الفاتوره]]-Table11819202122[[#This Row],[الدفعات]]</f>
        <v>0</v>
      </c>
    </row>
    <row r="313" spans="11:13" ht="26.25" customHeight="1" x14ac:dyDescent="0.3">
      <c r="K313" s="1">
        <f>Table11819202122[[#This Row],[النولون]]+Table11819202122[[#This Row],[الايصالات]]-Table11819202122[[#This Row],[خصم أ ت ص]]+Table11819202122[[#This Row],[قيمة مضافة]]</f>
        <v>0</v>
      </c>
      <c r="M313" s="1">
        <f>M312+Table11819202122[[#This Row],[اجمالي الفاتوره]]-Table11819202122[[#This Row],[الدفعات]]</f>
        <v>0</v>
      </c>
    </row>
    <row r="314" spans="11:13" ht="26.25" customHeight="1" x14ac:dyDescent="0.3">
      <c r="K314" s="1">
        <f>Table11819202122[[#This Row],[النولون]]+Table11819202122[[#This Row],[الايصالات]]-Table11819202122[[#This Row],[خصم أ ت ص]]+Table11819202122[[#This Row],[قيمة مضافة]]</f>
        <v>0</v>
      </c>
      <c r="M314" s="1">
        <f>M313+Table11819202122[[#This Row],[اجمالي الفاتوره]]-Table11819202122[[#This Row],[الدفعات]]</f>
        <v>0</v>
      </c>
    </row>
    <row r="315" spans="11:13" ht="26.25" customHeight="1" x14ac:dyDescent="0.3">
      <c r="K315" s="1">
        <f>Table11819202122[[#This Row],[النولون]]+Table11819202122[[#This Row],[الايصالات]]-Table11819202122[[#This Row],[خصم أ ت ص]]+Table11819202122[[#This Row],[قيمة مضافة]]</f>
        <v>0</v>
      </c>
      <c r="M315" s="1">
        <f>M314+Table11819202122[[#This Row],[اجمالي الفاتوره]]-Table11819202122[[#This Row],[الدفعات]]</f>
        <v>0</v>
      </c>
    </row>
    <row r="316" spans="11:13" ht="26.25" customHeight="1" x14ac:dyDescent="0.3">
      <c r="K316" s="1">
        <f>Table11819202122[[#This Row],[النولون]]+Table11819202122[[#This Row],[الايصالات]]-Table11819202122[[#This Row],[خصم أ ت ص]]+Table11819202122[[#This Row],[قيمة مضافة]]</f>
        <v>0</v>
      </c>
      <c r="M316" s="1">
        <f>M315+Table11819202122[[#This Row],[اجمالي الفاتوره]]-Table11819202122[[#This Row],[الدفعات]]</f>
        <v>0</v>
      </c>
    </row>
    <row r="317" spans="11:13" ht="26.25" customHeight="1" x14ac:dyDescent="0.3">
      <c r="K317" s="1">
        <f>Table11819202122[[#This Row],[النولون]]+Table11819202122[[#This Row],[الايصالات]]-Table11819202122[[#This Row],[خصم أ ت ص]]+Table11819202122[[#This Row],[قيمة مضافة]]</f>
        <v>0</v>
      </c>
      <c r="M317" s="1">
        <f>M316+Table11819202122[[#This Row],[اجمالي الفاتوره]]-Table11819202122[[#This Row],[الدفعات]]</f>
        <v>0</v>
      </c>
    </row>
    <row r="318" spans="11:13" ht="26.25" customHeight="1" x14ac:dyDescent="0.3">
      <c r="K318" s="1">
        <f>Table11819202122[[#This Row],[النولون]]+Table11819202122[[#This Row],[الايصالات]]-Table11819202122[[#This Row],[خصم أ ت ص]]+Table11819202122[[#This Row],[قيمة مضافة]]</f>
        <v>0</v>
      </c>
      <c r="M318" s="1">
        <f>M317+Table11819202122[[#This Row],[اجمالي الفاتوره]]-Table11819202122[[#This Row],[الدفعات]]</f>
        <v>0</v>
      </c>
    </row>
    <row r="319" spans="11:13" ht="26.25" customHeight="1" x14ac:dyDescent="0.3">
      <c r="K319" s="1">
        <f>Table11819202122[[#This Row],[النولون]]+Table11819202122[[#This Row],[الايصالات]]-Table11819202122[[#This Row],[خصم أ ت ص]]+Table11819202122[[#This Row],[قيمة مضافة]]</f>
        <v>0</v>
      </c>
      <c r="M319" s="1">
        <f>M318+Table11819202122[[#This Row],[اجمالي الفاتوره]]-Table11819202122[[#This Row],[الدفعات]]</f>
        <v>0</v>
      </c>
    </row>
    <row r="320" spans="11:13" ht="26.25" customHeight="1" x14ac:dyDescent="0.3">
      <c r="K320" s="1">
        <f>Table11819202122[[#This Row],[النولون]]+Table11819202122[[#This Row],[الايصالات]]-Table11819202122[[#This Row],[خصم أ ت ص]]+Table11819202122[[#This Row],[قيمة مضافة]]</f>
        <v>0</v>
      </c>
      <c r="M320" s="1">
        <f>M319+Table11819202122[[#This Row],[اجمالي الفاتوره]]-Table11819202122[[#This Row],[الدفعات]]</f>
        <v>0</v>
      </c>
    </row>
    <row r="321" spans="11:13" ht="26.25" customHeight="1" x14ac:dyDescent="0.3">
      <c r="K321" s="1">
        <f>Table11819202122[[#This Row],[النولون]]+Table11819202122[[#This Row],[الايصالات]]-Table11819202122[[#This Row],[خصم أ ت ص]]+Table11819202122[[#This Row],[قيمة مضافة]]</f>
        <v>0</v>
      </c>
      <c r="M321" s="1">
        <f>M320+Table11819202122[[#This Row],[اجمالي الفاتوره]]-Table11819202122[[#This Row],[الدفعات]]</f>
        <v>0</v>
      </c>
    </row>
    <row r="322" spans="11:13" ht="26.25" customHeight="1" x14ac:dyDescent="0.3">
      <c r="K322" s="1">
        <f>Table11819202122[[#This Row],[النولون]]+Table11819202122[[#This Row],[الايصالات]]-Table11819202122[[#This Row],[خصم أ ت ص]]+Table11819202122[[#This Row],[قيمة مضافة]]</f>
        <v>0</v>
      </c>
      <c r="M322" s="1">
        <f>M321+Table11819202122[[#This Row],[اجمالي الفاتوره]]-Table11819202122[[#This Row],[الدفعات]]</f>
        <v>0</v>
      </c>
    </row>
    <row r="323" spans="11:13" ht="26.25" customHeight="1" x14ac:dyDescent="0.3">
      <c r="K323" s="1">
        <f>Table11819202122[[#This Row],[النولون]]+Table11819202122[[#This Row],[الايصالات]]-Table11819202122[[#This Row],[خصم أ ت ص]]+Table11819202122[[#This Row],[قيمة مضافة]]</f>
        <v>0</v>
      </c>
      <c r="M323" s="1">
        <f>M322+Table11819202122[[#This Row],[اجمالي الفاتوره]]-Table11819202122[[#This Row],[الدفعات]]</f>
        <v>0</v>
      </c>
    </row>
    <row r="324" spans="11:13" ht="26.25" customHeight="1" x14ac:dyDescent="0.3">
      <c r="K324" s="1">
        <f>Table11819202122[[#This Row],[النولون]]+Table11819202122[[#This Row],[الايصالات]]-Table11819202122[[#This Row],[خصم أ ت ص]]+Table11819202122[[#This Row],[قيمة مضافة]]</f>
        <v>0</v>
      </c>
      <c r="M324" s="1">
        <f>M323+Table11819202122[[#This Row],[اجمالي الفاتوره]]-Table11819202122[[#This Row],[الدفعات]]</f>
        <v>0</v>
      </c>
    </row>
    <row r="325" spans="11:13" ht="26.25" customHeight="1" x14ac:dyDescent="0.3">
      <c r="K325" s="1">
        <f>Table11819202122[[#This Row],[النولون]]+Table11819202122[[#This Row],[الايصالات]]-Table11819202122[[#This Row],[خصم أ ت ص]]+Table11819202122[[#This Row],[قيمة مضافة]]</f>
        <v>0</v>
      </c>
      <c r="M325" s="1">
        <f>M324+Table11819202122[[#This Row],[اجمالي الفاتوره]]-Table11819202122[[#This Row],[الدفعات]]</f>
        <v>0</v>
      </c>
    </row>
    <row r="326" spans="11:13" ht="26.25" customHeight="1" x14ac:dyDescent="0.3">
      <c r="K326" s="1">
        <f>Table11819202122[[#This Row],[النولون]]+Table11819202122[[#This Row],[الايصالات]]-Table11819202122[[#This Row],[خصم أ ت ص]]+Table11819202122[[#This Row],[قيمة مضافة]]</f>
        <v>0</v>
      </c>
      <c r="M326" s="1">
        <f>M325+Table11819202122[[#This Row],[اجمالي الفاتوره]]-Table11819202122[[#This Row],[الدفعات]]</f>
        <v>0</v>
      </c>
    </row>
    <row r="327" spans="11:13" ht="26.25" customHeight="1" x14ac:dyDescent="0.3">
      <c r="K327" s="1">
        <f>Table11819202122[[#This Row],[النولون]]+Table11819202122[[#This Row],[الايصالات]]-Table11819202122[[#This Row],[خصم أ ت ص]]+Table11819202122[[#This Row],[قيمة مضافة]]</f>
        <v>0</v>
      </c>
      <c r="M327" s="1">
        <f>M326+Table11819202122[[#This Row],[اجمالي الفاتوره]]-Table11819202122[[#This Row],[الدفعات]]</f>
        <v>0</v>
      </c>
    </row>
    <row r="328" spans="11:13" ht="26.25" customHeight="1" x14ac:dyDescent="0.3">
      <c r="K328" s="1">
        <f>Table11819202122[[#This Row],[النولون]]+Table11819202122[[#This Row],[الايصالات]]-Table11819202122[[#This Row],[خصم أ ت ص]]+Table11819202122[[#This Row],[قيمة مضافة]]</f>
        <v>0</v>
      </c>
      <c r="M328" s="1">
        <f>M327+Table11819202122[[#This Row],[اجمالي الفاتوره]]-Table11819202122[[#This Row],[الدفعات]]</f>
        <v>0</v>
      </c>
    </row>
    <row r="329" spans="11:13" ht="26.25" customHeight="1" x14ac:dyDescent="0.3">
      <c r="K329" s="1">
        <f>Table11819202122[[#This Row],[النولون]]+Table11819202122[[#This Row],[الايصالات]]-Table11819202122[[#This Row],[خصم أ ت ص]]+Table11819202122[[#This Row],[قيمة مضافة]]</f>
        <v>0</v>
      </c>
      <c r="M329" s="1">
        <f>M328+Table11819202122[[#This Row],[اجمالي الفاتوره]]-Table11819202122[[#This Row],[الدفعات]]</f>
        <v>0</v>
      </c>
    </row>
    <row r="330" spans="11:13" ht="26.25" customHeight="1" x14ac:dyDescent="0.3">
      <c r="K330" s="1">
        <f>Table11819202122[[#This Row],[النولون]]+Table11819202122[[#This Row],[الايصالات]]-Table11819202122[[#This Row],[خصم أ ت ص]]+Table11819202122[[#This Row],[قيمة مضافة]]</f>
        <v>0</v>
      </c>
      <c r="M330" s="1">
        <f>M329+Table11819202122[[#This Row],[اجمالي الفاتوره]]-Table11819202122[[#This Row],[الدفعات]]</f>
        <v>0</v>
      </c>
    </row>
    <row r="331" spans="11:13" ht="26.25" customHeight="1" x14ac:dyDescent="0.3">
      <c r="K331" s="1">
        <f>Table11819202122[[#This Row],[النولون]]+Table11819202122[[#This Row],[الايصالات]]-Table11819202122[[#This Row],[خصم أ ت ص]]+Table11819202122[[#This Row],[قيمة مضافة]]</f>
        <v>0</v>
      </c>
      <c r="M331" s="1">
        <f>M330+Table11819202122[[#This Row],[اجمالي الفاتوره]]-Table11819202122[[#This Row],[الدفعات]]</f>
        <v>0</v>
      </c>
    </row>
    <row r="332" spans="11:13" ht="26.25" customHeight="1" x14ac:dyDescent="0.3">
      <c r="K332" s="1">
        <f>Table11819202122[[#This Row],[النولون]]+Table11819202122[[#This Row],[الايصالات]]-Table11819202122[[#This Row],[خصم أ ت ص]]+Table11819202122[[#This Row],[قيمة مضافة]]</f>
        <v>0</v>
      </c>
      <c r="M332" s="1">
        <f>M331+Table11819202122[[#This Row],[اجمالي الفاتوره]]-Table11819202122[[#This Row],[الدفعات]]</f>
        <v>0</v>
      </c>
    </row>
    <row r="333" spans="11:13" ht="26.25" customHeight="1" x14ac:dyDescent="0.3">
      <c r="K333" s="1">
        <f>Table11819202122[[#This Row],[النولون]]+Table11819202122[[#This Row],[الايصالات]]-Table11819202122[[#This Row],[خصم أ ت ص]]+Table11819202122[[#This Row],[قيمة مضافة]]</f>
        <v>0</v>
      </c>
      <c r="M333" s="1">
        <f>M332+Table11819202122[[#This Row],[اجمالي الفاتوره]]-Table11819202122[[#This Row],[الدفعات]]</f>
        <v>0</v>
      </c>
    </row>
    <row r="334" spans="11:13" ht="26.25" customHeight="1" x14ac:dyDescent="0.3">
      <c r="K334" s="1">
        <f>Table11819202122[[#This Row],[النولون]]+Table11819202122[[#This Row],[الايصالات]]-Table11819202122[[#This Row],[خصم أ ت ص]]+Table11819202122[[#This Row],[قيمة مضافة]]</f>
        <v>0</v>
      </c>
      <c r="M334" s="1">
        <f>M333+Table11819202122[[#This Row],[اجمالي الفاتوره]]-Table11819202122[[#This Row],[الدفعات]]</f>
        <v>0</v>
      </c>
    </row>
    <row r="335" spans="11:13" ht="26.25" customHeight="1" x14ac:dyDescent="0.3">
      <c r="K335" s="1">
        <f>Table11819202122[[#This Row],[النولون]]+Table11819202122[[#This Row],[الايصالات]]-Table11819202122[[#This Row],[خصم أ ت ص]]+Table11819202122[[#This Row],[قيمة مضافة]]</f>
        <v>0</v>
      </c>
      <c r="M335" s="1">
        <f>M334+Table11819202122[[#This Row],[اجمالي الفاتوره]]-Table11819202122[[#This Row],[الدفعات]]</f>
        <v>0</v>
      </c>
    </row>
    <row r="336" spans="11:13" ht="26.25" customHeight="1" x14ac:dyDescent="0.3">
      <c r="K336" s="1">
        <f>Table11819202122[[#This Row],[النولون]]+Table11819202122[[#This Row],[الايصالات]]-Table11819202122[[#This Row],[خصم أ ت ص]]+Table11819202122[[#This Row],[قيمة مضافة]]</f>
        <v>0</v>
      </c>
      <c r="M336" s="1">
        <f>M335+Table11819202122[[#This Row],[اجمالي الفاتوره]]-Table11819202122[[#This Row],[الدفعات]]</f>
        <v>0</v>
      </c>
    </row>
    <row r="337" spans="11:13" ht="26.25" customHeight="1" x14ac:dyDescent="0.3">
      <c r="K337" s="1">
        <f>Table11819202122[[#This Row],[النولون]]+Table11819202122[[#This Row],[الايصالات]]-Table11819202122[[#This Row],[خصم أ ت ص]]+Table11819202122[[#This Row],[قيمة مضافة]]</f>
        <v>0</v>
      </c>
      <c r="M337" s="1">
        <f>M336+Table11819202122[[#This Row],[اجمالي الفاتوره]]-Table11819202122[[#This Row],[الدفعات]]</f>
        <v>0</v>
      </c>
    </row>
    <row r="338" spans="11:13" ht="26.25" customHeight="1" x14ac:dyDescent="0.3">
      <c r="K338" s="1">
        <f>Table11819202122[[#This Row],[النولون]]+Table11819202122[[#This Row],[الايصالات]]-Table11819202122[[#This Row],[خصم أ ت ص]]+Table11819202122[[#This Row],[قيمة مضافة]]</f>
        <v>0</v>
      </c>
      <c r="M338" s="1">
        <f>M337+Table11819202122[[#This Row],[اجمالي الفاتوره]]-Table11819202122[[#This Row],[الدفعات]]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8"/>
  <sheetViews>
    <sheetView rightToLeft="1" zoomScaleNormal="100" workbookViewId="0">
      <selection activeCell="I6" sqref="I6"/>
    </sheetView>
  </sheetViews>
  <sheetFormatPr defaultColWidth="9.109375" defaultRowHeight="15.6" x14ac:dyDescent="0.3"/>
  <cols>
    <col min="1" max="1" width="6" style="1" customWidth="1"/>
    <col min="2" max="2" width="11" style="1" customWidth="1"/>
    <col min="3" max="3" width="16.88671875" style="1" customWidth="1"/>
    <col min="4" max="4" width="15.33203125" style="1" customWidth="1"/>
    <col min="5" max="5" width="14.77734375" style="1" customWidth="1"/>
    <col min="6" max="6" width="10.6640625" style="1" customWidth="1"/>
    <col min="7" max="7" width="12.77734375" style="1" customWidth="1"/>
    <col min="8" max="8" width="8.21875" style="1" customWidth="1"/>
    <col min="9" max="9" width="11" style="1" customWidth="1"/>
    <col min="10" max="10" width="12.44140625" style="1" customWidth="1"/>
    <col min="11" max="11" width="14.33203125" style="1" customWidth="1"/>
    <col min="12" max="12" width="11.44140625" style="1" customWidth="1"/>
    <col min="13" max="13" width="15.21875" style="1" customWidth="1"/>
    <col min="14" max="16384" width="9.109375" style="1"/>
  </cols>
  <sheetData>
    <row r="1" spans="1:14" ht="24" customHeight="1" x14ac:dyDescent="0.3">
      <c r="A1" s="88" t="s">
        <v>0</v>
      </c>
      <c r="B1" s="88" t="s">
        <v>1</v>
      </c>
      <c r="C1" s="88" t="s">
        <v>2</v>
      </c>
      <c r="D1" s="88" t="s">
        <v>3</v>
      </c>
      <c r="E1" s="88" t="s">
        <v>4</v>
      </c>
      <c r="F1" s="88" t="s">
        <v>5</v>
      </c>
      <c r="G1" s="88" t="s">
        <v>6</v>
      </c>
      <c r="H1" s="88" t="s">
        <v>7</v>
      </c>
      <c r="I1" s="88" t="s">
        <v>8</v>
      </c>
      <c r="J1" s="88" t="s">
        <v>9</v>
      </c>
      <c r="K1" s="88" t="s">
        <v>10</v>
      </c>
      <c r="L1" s="88" t="s">
        <v>11</v>
      </c>
      <c r="M1" s="88" t="s">
        <v>12</v>
      </c>
      <c r="N1" s="88" t="s">
        <v>13</v>
      </c>
    </row>
    <row r="2" spans="1:14" ht="24" customHeight="1" x14ac:dyDescent="0.3">
      <c r="A2" s="1">
        <v>1</v>
      </c>
      <c r="B2" s="2">
        <v>46137</v>
      </c>
      <c r="C2" s="1" t="s">
        <v>479</v>
      </c>
      <c r="D2" s="1" t="s">
        <v>480</v>
      </c>
      <c r="E2" s="1">
        <v>260215536</v>
      </c>
      <c r="F2" s="1" t="s">
        <v>121</v>
      </c>
      <c r="G2" s="1">
        <v>23000</v>
      </c>
      <c r="J2" s="1">
        <f>350+1100+415.78+75+1282.5+200+1553.7+100+360</f>
        <v>5436.98</v>
      </c>
      <c r="K2" s="1">
        <f>Table1101516[[#This Row],[النولون]]+Table1101516[[#This Row],[الايصالات]]-Table1101516[[#This Row],[خصم أ ت ص]]+Table1101516[[#This Row],[قيمة مضافة]]</f>
        <v>28436.98</v>
      </c>
      <c r="M2" s="1">
        <f>Table1101516[[#This Row],[اجمالي الفاتوره]]</f>
        <v>28436.98</v>
      </c>
    </row>
    <row r="3" spans="1:14" ht="24" customHeight="1" x14ac:dyDescent="0.3">
      <c r="A3" s="72"/>
      <c r="B3" s="73">
        <v>46139</v>
      </c>
      <c r="C3" s="72"/>
      <c r="D3" s="72"/>
      <c r="E3" s="72"/>
      <c r="F3" s="72"/>
      <c r="G3" s="72"/>
      <c r="H3" s="72"/>
      <c r="I3" s="72"/>
      <c r="J3" s="72"/>
      <c r="K3" s="72">
        <f>Table1101516[[#This Row],[النولون]]+Table1101516[[#This Row],[الايصالات]]-Table1101516[[#This Row],[خصم أ ت ص]]+Table1101516[[#This Row],[قيمة مضافة]]</f>
        <v>0</v>
      </c>
      <c r="L3" s="72">
        <v>28436.98</v>
      </c>
      <c r="M3" s="72">
        <f>M2+Table1101516[[#This Row],[اجمالي الفاتوره]]-Table1101516[[#This Row],[الدفعات]]</f>
        <v>0</v>
      </c>
    </row>
    <row r="4" spans="1:14" ht="24" customHeight="1" x14ac:dyDescent="0.3">
      <c r="B4" s="2"/>
      <c r="K4" s="1">
        <f>Table1101516[[#This Row],[النولون]]+Table1101516[[#This Row],[الايصالات]]-Table1101516[[#This Row],[خصم أ ت ص]]+Table1101516[[#This Row],[قيمة مضافة]]</f>
        <v>0</v>
      </c>
      <c r="M4" s="1">
        <f>M3+Table1101516[[#This Row],[اجمالي الفاتوره]]-Table1101516[[#This Row],[الدفعات]]</f>
        <v>0</v>
      </c>
    </row>
    <row r="5" spans="1:14" ht="24" customHeight="1" x14ac:dyDescent="0.3">
      <c r="B5" s="2"/>
      <c r="K5" s="1">
        <f>Table1101516[[#This Row],[النولون]]+Table1101516[[#This Row],[الايصالات]]-Table1101516[[#This Row],[خصم أ ت ص]]+Table1101516[[#This Row],[قيمة مضافة]]</f>
        <v>0</v>
      </c>
      <c r="M5" s="1">
        <f>M4+Table1101516[[#This Row],[اجمالي الفاتوره]]-Table1101516[[#This Row],[الدفعات]]</f>
        <v>0</v>
      </c>
    </row>
    <row r="6" spans="1:14" ht="24" customHeight="1" x14ac:dyDescent="0.3">
      <c r="B6" s="2"/>
      <c r="K6" s="1">
        <f>Table1101516[[#This Row],[النولون]]+Table1101516[[#This Row],[الايصالات]]-Table1101516[[#This Row],[خصم أ ت ص]]+Table1101516[[#This Row],[قيمة مضافة]]</f>
        <v>0</v>
      </c>
      <c r="M6" s="1">
        <f>M5+Table1101516[[#This Row],[اجمالي الفاتوره]]-Table1101516[[#This Row],[الدفعات]]</f>
        <v>0</v>
      </c>
    </row>
    <row r="7" spans="1:14" ht="24" customHeight="1" x14ac:dyDescent="0.3">
      <c r="B7" s="2"/>
      <c r="K7" s="1">
        <f>Table1101516[[#This Row],[النولون]]+Table1101516[[#This Row],[الايصالات]]-Table1101516[[#This Row],[خصم أ ت ص]]+Table1101516[[#This Row],[قيمة مضافة]]</f>
        <v>0</v>
      </c>
      <c r="M7" s="1">
        <f>M6+Table1101516[[#This Row],[اجمالي الفاتوره]]-Table1101516[[#This Row],[الدفعات]]</f>
        <v>0</v>
      </c>
    </row>
    <row r="8" spans="1:14" ht="24" customHeight="1" x14ac:dyDescent="0.3">
      <c r="B8" s="2"/>
      <c r="K8" s="1">
        <f>Table1101516[[#This Row],[النولون]]+Table1101516[[#This Row],[الايصالات]]-Table1101516[[#This Row],[خصم أ ت ص]]+Table1101516[[#This Row],[قيمة مضافة]]</f>
        <v>0</v>
      </c>
      <c r="M8" s="1">
        <f>M7+Table1101516[[#This Row],[اجمالي الفاتوره]]-Table1101516[[#This Row],[الدفعات]]</f>
        <v>0</v>
      </c>
    </row>
    <row r="9" spans="1:14" ht="24" customHeight="1" x14ac:dyDescent="0.3">
      <c r="B9" s="2"/>
      <c r="K9" s="1">
        <f>Table1101516[[#This Row],[النولون]]+Table1101516[[#This Row],[الايصالات]]-Table1101516[[#This Row],[خصم أ ت ص]]+Table1101516[[#This Row],[قيمة مضافة]]</f>
        <v>0</v>
      </c>
      <c r="M9" s="1">
        <f>M8+Table1101516[[#This Row],[اجمالي الفاتوره]]-Table1101516[[#This Row],[الدفعات]]</f>
        <v>0</v>
      </c>
    </row>
    <row r="10" spans="1:14" ht="24" customHeight="1" x14ac:dyDescent="0.3">
      <c r="B10" s="2"/>
      <c r="K10" s="1">
        <f>Table1101516[[#This Row],[النولون]]+Table1101516[[#This Row],[الايصالات]]-Table1101516[[#This Row],[خصم أ ت ص]]+Table1101516[[#This Row],[قيمة مضافة]]</f>
        <v>0</v>
      </c>
      <c r="M10" s="1">
        <f>M9+Table1101516[[#This Row],[اجمالي الفاتوره]]-Table1101516[[#This Row],[الدفعات]]</f>
        <v>0</v>
      </c>
    </row>
    <row r="11" spans="1:14" ht="24" customHeight="1" x14ac:dyDescent="0.3">
      <c r="B11" s="2"/>
      <c r="K11" s="1">
        <f>Table1101516[[#This Row],[النولون]]+Table1101516[[#This Row],[الايصالات]]-Table1101516[[#This Row],[خصم أ ت ص]]+Table1101516[[#This Row],[قيمة مضافة]]</f>
        <v>0</v>
      </c>
      <c r="M11" s="1">
        <f>M10+Table1101516[[#This Row],[اجمالي الفاتوره]]-Table1101516[[#This Row],[الدفعات]]</f>
        <v>0</v>
      </c>
      <c r="N11" s="1">
        <f>SUM(K:K)-SUM(L:L)</f>
        <v>0</v>
      </c>
    </row>
    <row r="12" spans="1:14" ht="24" customHeight="1" x14ac:dyDescent="0.3">
      <c r="B12" s="2"/>
      <c r="K12" s="1">
        <f>Table1101516[[#This Row],[النولون]]+Table1101516[[#This Row],[الايصالات]]-Table1101516[[#This Row],[خصم أ ت ص]]+Table1101516[[#This Row],[قيمة مضافة]]</f>
        <v>0</v>
      </c>
      <c r="M12" s="1">
        <f>M11+Table1101516[[#This Row],[اجمالي الفاتوره]]-Table1101516[[#This Row],[الدفعات]]</f>
        <v>0</v>
      </c>
    </row>
    <row r="13" spans="1:14" ht="24" customHeight="1" x14ac:dyDescent="0.3">
      <c r="B13" s="2"/>
      <c r="K13" s="1">
        <f>Table1101516[[#This Row],[النولون]]+Table1101516[[#This Row],[الايصالات]]-Table1101516[[#This Row],[خصم أ ت ص]]+Table1101516[[#This Row],[قيمة مضافة]]</f>
        <v>0</v>
      </c>
      <c r="M13" s="1">
        <f>M12+Table1101516[[#This Row],[اجمالي الفاتوره]]-Table1101516[[#This Row],[الدفعات]]</f>
        <v>0</v>
      </c>
    </row>
    <row r="14" spans="1:14" ht="24" customHeight="1" x14ac:dyDescent="0.3">
      <c r="B14" s="2"/>
      <c r="K14" s="1">
        <f>Table1101516[[#This Row],[النولون]]+Table1101516[[#This Row],[الايصالات]]-Table1101516[[#This Row],[خصم أ ت ص]]+Table1101516[[#This Row],[قيمة مضافة]]</f>
        <v>0</v>
      </c>
      <c r="M14" s="1">
        <f>M13+Table1101516[[#This Row],[اجمالي الفاتوره]]-Table1101516[[#This Row],[الدفعات]]</f>
        <v>0</v>
      </c>
    </row>
    <row r="15" spans="1:14" ht="24" customHeight="1" x14ac:dyDescent="0.3">
      <c r="B15" s="2"/>
      <c r="K15" s="1">
        <f>Table1101516[[#This Row],[النولون]]+Table1101516[[#This Row],[الايصالات]]-Table1101516[[#This Row],[خصم أ ت ص]]+Table1101516[[#This Row],[قيمة مضافة]]</f>
        <v>0</v>
      </c>
      <c r="M15" s="1">
        <f>M14+Table1101516[[#This Row],[اجمالي الفاتوره]]-Table1101516[[#This Row],[الدفعات]]</f>
        <v>0</v>
      </c>
    </row>
    <row r="16" spans="1:14" ht="24" customHeight="1" x14ac:dyDescent="0.3">
      <c r="B16" s="2"/>
      <c r="K16" s="1">
        <f>Table1101516[[#This Row],[النولون]]+Table1101516[[#This Row],[الايصالات]]-Table1101516[[#This Row],[خصم أ ت ص]]+Table1101516[[#This Row],[قيمة مضافة]]</f>
        <v>0</v>
      </c>
      <c r="M16" s="1">
        <f>M15+Table1101516[[#This Row],[اجمالي الفاتوره]]-Table1101516[[#This Row],[الدفعات]]</f>
        <v>0</v>
      </c>
    </row>
    <row r="17" spans="2:13" ht="24" customHeight="1" x14ac:dyDescent="0.3">
      <c r="B17" s="2"/>
      <c r="K17" s="1">
        <f>Table1101516[[#This Row],[النولون]]+Table1101516[[#This Row],[الايصالات]]-Table1101516[[#This Row],[خصم أ ت ص]]+Table1101516[[#This Row],[قيمة مضافة]]</f>
        <v>0</v>
      </c>
      <c r="M17" s="1">
        <f>M16+Table1101516[[#This Row],[اجمالي الفاتوره]]-Table1101516[[#This Row],[الدفعات]]</f>
        <v>0</v>
      </c>
    </row>
    <row r="18" spans="2:13" ht="24" customHeight="1" x14ac:dyDescent="0.3">
      <c r="B18" s="2"/>
      <c r="K18" s="1">
        <f>Table1101516[[#This Row],[النولون]]+Table1101516[[#This Row],[الايصالات]]-Table1101516[[#This Row],[خصم أ ت ص]]+Table1101516[[#This Row],[قيمة مضافة]]</f>
        <v>0</v>
      </c>
      <c r="M18" s="1">
        <f>M17+Table1101516[[#This Row],[اجمالي الفاتوره]]-Table1101516[[#This Row],[الدفعات]]</f>
        <v>0</v>
      </c>
    </row>
    <row r="19" spans="2:13" ht="24" customHeight="1" x14ac:dyDescent="0.3">
      <c r="B19" s="2"/>
      <c r="K19" s="1">
        <f>Table1101516[[#This Row],[النولون]]+Table1101516[[#This Row],[الايصالات]]-Table1101516[[#This Row],[خصم أ ت ص]]+Table1101516[[#This Row],[قيمة مضافة]]</f>
        <v>0</v>
      </c>
      <c r="M19" s="1">
        <f>M18+Table1101516[[#This Row],[اجمالي الفاتوره]]-Table1101516[[#This Row],[الدفعات]]</f>
        <v>0</v>
      </c>
    </row>
    <row r="20" spans="2:13" ht="24" customHeight="1" x14ac:dyDescent="0.3">
      <c r="B20" s="2"/>
      <c r="K20" s="1">
        <f>Table1101516[[#This Row],[النولون]]+Table1101516[[#This Row],[الايصالات]]-Table1101516[[#This Row],[خصم أ ت ص]]+Table1101516[[#This Row],[قيمة مضافة]]</f>
        <v>0</v>
      </c>
      <c r="M20" s="1">
        <f>M19+Table1101516[[#This Row],[اجمالي الفاتوره]]-Table1101516[[#This Row],[الدفعات]]</f>
        <v>0</v>
      </c>
    </row>
    <row r="21" spans="2:13" ht="24" customHeight="1" x14ac:dyDescent="0.3">
      <c r="B21" s="2"/>
      <c r="K21" s="1">
        <f>Table1101516[[#This Row],[النولون]]+Table1101516[[#This Row],[الايصالات]]-Table1101516[[#This Row],[خصم أ ت ص]]+Table1101516[[#This Row],[قيمة مضافة]]</f>
        <v>0</v>
      </c>
      <c r="M21" s="1">
        <f>M20+Table1101516[[#This Row],[اجمالي الفاتوره]]-Table1101516[[#This Row],[الدفعات]]</f>
        <v>0</v>
      </c>
    </row>
    <row r="22" spans="2:13" ht="24" customHeight="1" x14ac:dyDescent="0.3">
      <c r="B22" s="2"/>
      <c r="K22" s="1">
        <f>Table1101516[[#This Row],[النولون]]+Table1101516[[#This Row],[الايصالات]]-Table1101516[[#This Row],[خصم أ ت ص]]+Table1101516[[#This Row],[قيمة مضافة]]</f>
        <v>0</v>
      </c>
      <c r="M22" s="1">
        <f>M21+Table1101516[[#This Row],[اجمالي الفاتوره]]-Table1101516[[#This Row],[الدفعات]]</f>
        <v>0</v>
      </c>
    </row>
    <row r="23" spans="2:13" ht="24" customHeight="1" x14ac:dyDescent="0.3">
      <c r="B23" s="2"/>
      <c r="K23" s="1">
        <f>Table1101516[[#This Row],[النولون]]+Table1101516[[#This Row],[الايصالات]]-Table1101516[[#This Row],[خصم أ ت ص]]+Table1101516[[#This Row],[قيمة مضافة]]</f>
        <v>0</v>
      </c>
      <c r="M23" s="1">
        <f>M22+Table1101516[[#This Row],[اجمالي الفاتوره]]-Table1101516[[#This Row],[الدفعات]]</f>
        <v>0</v>
      </c>
    </row>
    <row r="24" spans="2:13" ht="24" customHeight="1" x14ac:dyDescent="0.3">
      <c r="B24" s="2"/>
      <c r="K24" s="1">
        <f>Table1101516[[#This Row],[النولون]]+Table1101516[[#This Row],[الايصالات]]-Table1101516[[#This Row],[خصم أ ت ص]]+Table1101516[[#This Row],[قيمة مضافة]]</f>
        <v>0</v>
      </c>
      <c r="M24" s="1">
        <f>M23+Table1101516[[#This Row],[اجمالي الفاتوره]]-Table1101516[[#This Row],[الدفعات]]</f>
        <v>0</v>
      </c>
    </row>
    <row r="25" spans="2:13" ht="24" customHeight="1" x14ac:dyDescent="0.3">
      <c r="B25" s="2"/>
      <c r="K25" s="1">
        <f>Table1101516[[#This Row],[النولون]]+Table1101516[[#This Row],[الايصالات]]-Table1101516[[#This Row],[خصم أ ت ص]]+Table1101516[[#This Row],[قيمة مضافة]]</f>
        <v>0</v>
      </c>
      <c r="M25" s="1">
        <f>M24+Table1101516[[#This Row],[اجمالي الفاتوره]]-Table1101516[[#This Row],[الدفعات]]</f>
        <v>0</v>
      </c>
    </row>
    <row r="26" spans="2:13" ht="24" customHeight="1" x14ac:dyDescent="0.3">
      <c r="B26" s="2"/>
      <c r="K26" s="1">
        <f>Table1101516[[#This Row],[النولون]]+Table1101516[[#This Row],[الايصالات]]-Table1101516[[#This Row],[خصم أ ت ص]]+Table1101516[[#This Row],[قيمة مضافة]]</f>
        <v>0</v>
      </c>
      <c r="M26" s="1">
        <f>M25+Table1101516[[#This Row],[اجمالي الفاتوره]]-Table1101516[[#This Row],[الدفعات]]</f>
        <v>0</v>
      </c>
    </row>
    <row r="27" spans="2:13" ht="24" customHeight="1" x14ac:dyDescent="0.3">
      <c r="B27" s="2"/>
      <c r="K27" s="1">
        <f>Table1101516[[#This Row],[النولون]]+Table1101516[[#This Row],[الايصالات]]-Table1101516[[#This Row],[خصم أ ت ص]]+Table1101516[[#This Row],[قيمة مضافة]]</f>
        <v>0</v>
      </c>
      <c r="M27" s="1">
        <f>M26+Table1101516[[#This Row],[اجمالي الفاتوره]]-Table1101516[[#This Row],[الدفعات]]</f>
        <v>0</v>
      </c>
    </row>
    <row r="28" spans="2:13" ht="24" customHeight="1" x14ac:dyDescent="0.3">
      <c r="B28" s="2"/>
      <c r="K28" s="1">
        <f>Table1101516[[#This Row],[النولون]]+Table1101516[[#This Row],[الايصالات]]-Table1101516[[#This Row],[خصم أ ت ص]]+Table1101516[[#This Row],[قيمة مضافة]]</f>
        <v>0</v>
      </c>
      <c r="M28" s="1">
        <f>M27+Table1101516[[#This Row],[اجمالي الفاتوره]]-Table1101516[[#This Row],[الدفعات]]</f>
        <v>0</v>
      </c>
    </row>
    <row r="29" spans="2:13" ht="24" customHeight="1" x14ac:dyDescent="0.3">
      <c r="B29" s="2"/>
      <c r="K29" s="1">
        <f>Table1101516[[#This Row],[النولون]]+Table1101516[[#This Row],[الايصالات]]-Table1101516[[#This Row],[خصم أ ت ص]]+Table1101516[[#This Row],[قيمة مضافة]]</f>
        <v>0</v>
      </c>
      <c r="M29" s="1">
        <f>M28+Table1101516[[#This Row],[اجمالي الفاتوره]]-Table1101516[[#This Row],[الدفعات]]</f>
        <v>0</v>
      </c>
    </row>
    <row r="30" spans="2:13" ht="24" customHeight="1" x14ac:dyDescent="0.3">
      <c r="B30" s="2"/>
      <c r="K30" s="1">
        <f>Table1101516[[#This Row],[النولون]]+Table1101516[[#This Row],[الايصالات]]-Table1101516[[#This Row],[خصم أ ت ص]]+Table1101516[[#This Row],[قيمة مضافة]]</f>
        <v>0</v>
      </c>
      <c r="M30" s="1">
        <f>M29+Table1101516[[#This Row],[اجمالي الفاتوره]]-Table1101516[[#This Row],[الدفعات]]</f>
        <v>0</v>
      </c>
    </row>
    <row r="31" spans="2:13" ht="24" customHeight="1" x14ac:dyDescent="0.3">
      <c r="B31" s="2"/>
      <c r="K31" s="1">
        <f>Table1101516[[#This Row],[النولون]]+Table1101516[[#This Row],[الايصالات]]-Table1101516[[#This Row],[خصم أ ت ص]]+Table1101516[[#This Row],[قيمة مضافة]]</f>
        <v>0</v>
      </c>
      <c r="M31" s="1">
        <f>M30+Table1101516[[#This Row],[اجمالي الفاتوره]]-Table1101516[[#This Row],[الدفعات]]</f>
        <v>0</v>
      </c>
    </row>
    <row r="32" spans="2:13" ht="24" customHeight="1" x14ac:dyDescent="0.3">
      <c r="B32" s="2"/>
      <c r="K32" s="1">
        <f>Table1101516[[#This Row],[النولون]]+Table1101516[[#This Row],[الايصالات]]-Table1101516[[#This Row],[خصم أ ت ص]]+Table1101516[[#This Row],[قيمة مضافة]]</f>
        <v>0</v>
      </c>
      <c r="M32" s="1">
        <f>M31+Table1101516[[#This Row],[اجمالي الفاتوره]]-Table1101516[[#This Row],[الدفعات]]</f>
        <v>0</v>
      </c>
    </row>
    <row r="33" spans="2:13" ht="24" customHeight="1" x14ac:dyDescent="0.3">
      <c r="B33" s="2"/>
      <c r="K33" s="1">
        <f>Table1101516[[#This Row],[النولون]]+Table1101516[[#This Row],[الايصالات]]-Table1101516[[#This Row],[خصم أ ت ص]]+Table1101516[[#This Row],[قيمة مضافة]]</f>
        <v>0</v>
      </c>
      <c r="M33" s="1">
        <f>M32+Table1101516[[#This Row],[اجمالي الفاتوره]]-Table1101516[[#This Row],[الدفعات]]</f>
        <v>0</v>
      </c>
    </row>
    <row r="34" spans="2:13" ht="24" customHeight="1" x14ac:dyDescent="0.3">
      <c r="B34" s="2"/>
      <c r="K34" s="1">
        <f>Table1101516[[#This Row],[النولون]]+Table1101516[[#This Row],[الايصالات]]-Table1101516[[#This Row],[خصم أ ت ص]]+Table1101516[[#This Row],[قيمة مضافة]]</f>
        <v>0</v>
      </c>
      <c r="M34" s="1">
        <f>M33+Table1101516[[#This Row],[اجمالي الفاتوره]]-Table1101516[[#This Row],[الدفعات]]</f>
        <v>0</v>
      </c>
    </row>
    <row r="35" spans="2:13" ht="24" customHeight="1" x14ac:dyDescent="0.3">
      <c r="B35" s="2"/>
      <c r="K35" s="1">
        <f>Table1101516[[#This Row],[النولون]]+Table1101516[[#This Row],[الايصالات]]-Table1101516[[#This Row],[خصم أ ت ص]]+Table1101516[[#This Row],[قيمة مضافة]]</f>
        <v>0</v>
      </c>
      <c r="M35" s="1">
        <f>M34+Table1101516[[#This Row],[اجمالي الفاتوره]]-Table1101516[[#This Row],[الدفعات]]</f>
        <v>0</v>
      </c>
    </row>
    <row r="36" spans="2:13" ht="24" customHeight="1" x14ac:dyDescent="0.3">
      <c r="B36" s="2"/>
      <c r="K36" s="1">
        <f>Table1101516[[#This Row],[النولون]]+Table1101516[[#This Row],[الايصالات]]-Table1101516[[#This Row],[خصم أ ت ص]]+Table1101516[[#This Row],[قيمة مضافة]]</f>
        <v>0</v>
      </c>
      <c r="M36" s="1">
        <f>M35+Table1101516[[#This Row],[اجمالي الفاتوره]]-Table1101516[[#This Row],[الدفعات]]</f>
        <v>0</v>
      </c>
    </row>
    <row r="37" spans="2:13" ht="24" customHeight="1" x14ac:dyDescent="0.3">
      <c r="B37" s="2"/>
      <c r="K37" s="1">
        <f>Table1101516[[#This Row],[النولون]]+Table1101516[[#This Row],[الايصالات]]-Table1101516[[#This Row],[خصم أ ت ص]]+Table1101516[[#This Row],[قيمة مضافة]]</f>
        <v>0</v>
      </c>
      <c r="M37" s="1">
        <f>M36+Table1101516[[#This Row],[اجمالي الفاتوره]]-Table1101516[[#This Row],[الدفعات]]</f>
        <v>0</v>
      </c>
    </row>
    <row r="38" spans="2:13" ht="24" customHeight="1" x14ac:dyDescent="0.3">
      <c r="B38" s="2"/>
      <c r="K38" s="1">
        <f>Table1101516[[#This Row],[النولون]]+Table1101516[[#This Row],[الايصالات]]-Table1101516[[#This Row],[خصم أ ت ص]]+Table1101516[[#This Row],[قيمة مضافة]]</f>
        <v>0</v>
      </c>
      <c r="M38" s="1">
        <f>M37+Table1101516[[#This Row],[اجمالي الفاتوره]]-Table1101516[[#This Row],[الدفعات]]</f>
        <v>0</v>
      </c>
    </row>
    <row r="39" spans="2:13" ht="24" customHeight="1" x14ac:dyDescent="0.3">
      <c r="B39" s="2"/>
      <c r="K39" s="1">
        <f>Table1101516[[#This Row],[النولون]]+Table1101516[[#This Row],[الايصالات]]-Table1101516[[#This Row],[خصم أ ت ص]]+Table1101516[[#This Row],[قيمة مضافة]]</f>
        <v>0</v>
      </c>
      <c r="M39" s="1">
        <f>M38+Table1101516[[#This Row],[اجمالي الفاتوره]]-Table1101516[[#This Row],[الدفعات]]</f>
        <v>0</v>
      </c>
    </row>
    <row r="40" spans="2:13" ht="24" customHeight="1" x14ac:dyDescent="0.3">
      <c r="B40" s="2"/>
      <c r="K40" s="1">
        <f>Table1101516[[#This Row],[النولون]]+Table1101516[[#This Row],[الايصالات]]-Table1101516[[#This Row],[خصم أ ت ص]]+Table1101516[[#This Row],[قيمة مضافة]]</f>
        <v>0</v>
      </c>
      <c r="M40" s="1">
        <f>M39+Table1101516[[#This Row],[اجمالي الفاتوره]]-Table1101516[[#This Row],[الدفعات]]</f>
        <v>0</v>
      </c>
    </row>
    <row r="41" spans="2:13" ht="24" customHeight="1" x14ac:dyDescent="0.3">
      <c r="B41" s="2"/>
      <c r="K41" s="1">
        <f>Table1101516[[#This Row],[النولون]]+Table1101516[[#This Row],[الايصالات]]-Table1101516[[#This Row],[خصم أ ت ص]]+Table1101516[[#This Row],[قيمة مضافة]]</f>
        <v>0</v>
      </c>
      <c r="M41" s="1">
        <f>M40+Table1101516[[#This Row],[اجمالي الفاتوره]]-Table1101516[[#This Row],[الدفعات]]</f>
        <v>0</v>
      </c>
    </row>
    <row r="42" spans="2:13" ht="24" customHeight="1" x14ac:dyDescent="0.3">
      <c r="B42" s="2"/>
      <c r="K42" s="1">
        <f>Table1101516[[#This Row],[النولون]]+Table1101516[[#This Row],[الايصالات]]-Table1101516[[#This Row],[خصم أ ت ص]]+Table1101516[[#This Row],[قيمة مضافة]]</f>
        <v>0</v>
      </c>
      <c r="M42" s="1">
        <f>M41+Table1101516[[#This Row],[اجمالي الفاتوره]]-Table1101516[[#This Row],[الدفعات]]</f>
        <v>0</v>
      </c>
    </row>
    <row r="43" spans="2:13" ht="24" customHeight="1" x14ac:dyDescent="0.3">
      <c r="B43" s="2"/>
      <c r="K43" s="1">
        <f>Table1101516[[#This Row],[النولون]]+Table1101516[[#This Row],[الايصالات]]-Table1101516[[#This Row],[خصم أ ت ص]]+Table1101516[[#This Row],[قيمة مضافة]]</f>
        <v>0</v>
      </c>
      <c r="M43" s="1">
        <f>M42+Table1101516[[#This Row],[اجمالي الفاتوره]]-Table1101516[[#This Row],[الدفعات]]</f>
        <v>0</v>
      </c>
    </row>
    <row r="44" spans="2:13" ht="24" customHeight="1" x14ac:dyDescent="0.3">
      <c r="B44" s="2"/>
      <c r="K44" s="1">
        <f>Table1101516[[#This Row],[النولون]]+Table1101516[[#This Row],[الايصالات]]-Table1101516[[#This Row],[خصم أ ت ص]]+Table1101516[[#This Row],[قيمة مضافة]]</f>
        <v>0</v>
      </c>
      <c r="M44" s="1">
        <f>M43+Table1101516[[#This Row],[اجمالي الفاتوره]]-Table1101516[[#This Row],[الدفعات]]</f>
        <v>0</v>
      </c>
    </row>
    <row r="45" spans="2:13" ht="24" customHeight="1" x14ac:dyDescent="0.3">
      <c r="B45" s="2"/>
      <c r="K45" s="1">
        <f>Table1101516[[#This Row],[النولون]]+Table1101516[[#This Row],[الايصالات]]-Table1101516[[#This Row],[خصم أ ت ص]]+Table1101516[[#This Row],[قيمة مضافة]]</f>
        <v>0</v>
      </c>
      <c r="M45" s="1">
        <f>M44+Table1101516[[#This Row],[اجمالي الفاتوره]]-Table1101516[[#This Row],[الدفعات]]</f>
        <v>0</v>
      </c>
    </row>
    <row r="46" spans="2:13" ht="24" customHeight="1" x14ac:dyDescent="0.3">
      <c r="B46" s="2"/>
      <c r="K46" s="1">
        <f>Table1101516[[#This Row],[النولون]]+Table1101516[[#This Row],[الايصالات]]-Table1101516[[#This Row],[خصم أ ت ص]]+Table1101516[[#This Row],[قيمة مضافة]]</f>
        <v>0</v>
      </c>
      <c r="M46" s="1">
        <f>M45+Table1101516[[#This Row],[اجمالي الفاتوره]]-Table1101516[[#This Row],[الدفعات]]</f>
        <v>0</v>
      </c>
    </row>
    <row r="47" spans="2:13" ht="24" customHeight="1" x14ac:dyDescent="0.3">
      <c r="B47" s="2"/>
      <c r="K47" s="1">
        <f>Table1101516[[#This Row],[النولون]]+Table1101516[[#This Row],[الايصالات]]-Table1101516[[#This Row],[خصم أ ت ص]]+Table1101516[[#This Row],[قيمة مضافة]]</f>
        <v>0</v>
      </c>
      <c r="M47" s="1">
        <f>M46+Table1101516[[#This Row],[اجمالي الفاتوره]]-Table1101516[[#This Row],[الدفعات]]</f>
        <v>0</v>
      </c>
    </row>
    <row r="48" spans="2:13" ht="24" customHeight="1" x14ac:dyDescent="0.3">
      <c r="B48" s="2"/>
      <c r="K48" s="1">
        <f>Table1101516[[#This Row],[النولون]]+Table1101516[[#This Row],[الايصالات]]-Table1101516[[#This Row],[خصم أ ت ص]]+Table1101516[[#This Row],[قيمة مضافة]]</f>
        <v>0</v>
      </c>
      <c r="M48" s="1">
        <f>M47+Table1101516[[#This Row],[اجمالي الفاتوره]]-Table1101516[[#This Row],[الدفعات]]</f>
        <v>0</v>
      </c>
    </row>
    <row r="49" spans="2:13" ht="24" customHeight="1" x14ac:dyDescent="0.3">
      <c r="B49" s="2"/>
      <c r="K49" s="1">
        <f>Table1101516[[#This Row],[النولون]]+Table1101516[[#This Row],[الايصالات]]-Table1101516[[#This Row],[خصم أ ت ص]]+Table1101516[[#This Row],[قيمة مضافة]]</f>
        <v>0</v>
      </c>
      <c r="M49" s="1">
        <f>M48+Table1101516[[#This Row],[اجمالي الفاتوره]]-Table1101516[[#This Row],[الدفعات]]</f>
        <v>0</v>
      </c>
    </row>
    <row r="50" spans="2:13" ht="24" customHeight="1" x14ac:dyDescent="0.3">
      <c r="B50" s="2"/>
      <c r="K50" s="1">
        <f>Table1101516[[#This Row],[النولون]]+Table1101516[[#This Row],[الايصالات]]-Table1101516[[#This Row],[خصم أ ت ص]]+Table1101516[[#This Row],[قيمة مضافة]]</f>
        <v>0</v>
      </c>
      <c r="M50" s="1">
        <f>M49+Table1101516[[#This Row],[اجمالي الفاتوره]]-Table1101516[[#This Row],[الدفعات]]</f>
        <v>0</v>
      </c>
    </row>
    <row r="51" spans="2:13" ht="24" customHeight="1" x14ac:dyDescent="0.3">
      <c r="B51" s="2"/>
      <c r="K51" s="1">
        <f>Table1101516[[#This Row],[النولون]]+Table1101516[[#This Row],[الايصالات]]-Table1101516[[#This Row],[خصم أ ت ص]]+Table1101516[[#This Row],[قيمة مضافة]]</f>
        <v>0</v>
      </c>
      <c r="M51" s="1">
        <f>M50+Table1101516[[#This Row],[اجمالي الفاتوره]]-Table1101516[[#This Row],[الدفعات]]</f>
        <v>0</v>
      </c>
    </row>
    <row r="52" spans="2:13" ht="24" customHeight="1" x14ac:dyDescent="0.3">
      <c r="B52" s="2"/>
      <c r="K52" s="1">
        <f>Table1101516[[#This Row],[النولون]]+Table1101516[[#This Row],[الايصالات]]-Table1101516[[#This Row],[خصم أ ت ص]]+Table1101516[[#This Row],[قيمة مضافة]]</f>
        <v>0</v>
      </c>
      <c r="M52" s="1">
        <f>M51+Table1101516[[#This Row],[اجمالي الفاتوره]]-Table1101516[[#This Row],[الدفعات]]</f>
        <v>0</v>
      </c>
    </row>
    <row r="53" spans="2:13" ht="24" customHeight="1" x14ac:dyDescent="0.3">
      <c r="B53" s="2"/>
      <c r="K53" s="1">
        <f>Table1101516[[#This Row],[النولون]]+Table1101516[[#This Row],[الايصالات]]-Table1101516[[#This Row],[خصم أ ت ص]]+Table1101516[[#This Row],[قيمة مضافة]]</f>
        <v>0</v>
      </c>
      <c r="M53" s="1">
        <f>M52+Table1101516[[#This Row],[اجمالي الفاتوره]]-Table1101516[[#This Row],[الدفعات]]</f>
        <v>0</v>
      </c>
    </row>
    <row r="54" spans="2:13" ht="24" customHeight="1" x14ac:dyDescent="0.3">
      <c r="B54" s="2"/>
      <c r="K54" s="1">
        <f>Table1101516[[#This Row],[النولون]]+Table1101516[[#This Row],[الايصالات]]-Table1101516[[#This Row],[خصم أ ت ص]]+Table1101516[[#This Row],[قيمة مضافة]]</f>
        <v>0</v>
      </c>
      <c r="M54" s="1">
        <f>M53+Table1101516[[#This Row],[اجمالي الفاتوره]]-Table1101516[[#This Row],[الدفعات]]</f>
        <v>0</v>
      </c>
    </row>
    <row r="55" spans="2:13" ht="24" customHeight="1" x14ac:dyDescent="0.3">
      <c r="B55" s="2"/>
      <c r="K55" s="1">
        <f>Table1101516[[#This Row],[النولون]]+Table1101516[[#This Row],[الايصالات]]-Table1101516[[#This Row],[خصم أ ت ص]]+Table1101516[[#This Row],[قيمة مضافة]]</f>
        <v>0</v>
      </c>
      <c r="M55" s="1">
        <v>0</v>
      </c>
    </row>
    <row r="56" spans="2:13" ht="24" customHeight="1" x14ac:dyDescent="0.3">
      <c r="B56" s="2"/>
      <c r="K56" s="1">
        <f>Table1101516[[#This Row],[النولون]]+Table1101516[[#This Row],[الايصالات]]-Table1101516[[#This Row],[خصم أ ت ص]]+Table1101516[[#This Row],[قيمة مضافة]]</f>
        <v>0</v>
      </c>
      <c r="M56" s="1">
        <f>M55+Table1101516[[#This Row],[اجمالي الفاتوره]]-Table1101516[[#This Row],[الدفعات]]</f>
        <v>0</v>
      </c>
    </row>
    <row r="57" spans="2:13" ht="24" customHeight="1" x14ac:dyDescent="0.3">
      <c r="B57" s="2"/>
      <c r="K57" s="1">
        <f>Table1101516[[#This Row],[النولون]]+Table1101516[[#This Row],[الايصالات]]-Table1101516[[#This Row],[خصم أ ت ص]]+Table1101516[[#This Row],[قيمة مضافة]]</f>
        <v>0</v>
      </c>
      <c r="M57" s="1">
        <f>M56+Table1101516[[#This Row],[اجمالي الفاتوره]]-Table1101516[[#This Row],[الدفعات]]</f>
        <v>0</v>
      </c>
    </row>
    <row r="58" spans="2:13" ht="24" customHeight="1" x14ac:dyDescent="0.3">
      <c r="B58" s="2"/>
      <c r="K58" s="1">
        <f>Table1101516[[#This Row],[النولون]]+Table1101516[[#This Row],[الايصالات]]-Table1101516[[#This Row],[خصم أ ت ص]]+Table1101516[[#This Row],[قيمة مضافة]]</f>
        <v>0</v>
      </c>
      <c r="M58" s="1">
        <f>M57+Table1101516[[#This Row],[اجمالي الفاتوره]]-Table1101516[[#This Row],[الدفعات]]</f>
        <v>0</v>
      </c>
    </row>
    <row r="59" spans="2:13" ht="24" customHeight="1" x14ac:dyDescent="0.3">
      <c r="B59" s="2"/>
      <c r="K59" s="1">
        <f>Table1101516[[#This Row],[النولون]]+Table1101516[[#This Row],[الايصالات]]-Table1101516[[#This Row],[خصم أ ت ص]]+Table1101516[[#This Row],[قيمة مضافة]]</f>
        <v>0</v>
      </c>
      <c r="M59" s="1">
        <f>M58+Table1101516[[#This Row],[اجمالي الفاتوره]]-Table1101516[[#This Row],[الدفعات]]</f>
        <v>0</v>
      </c>
    </row>
    <row r="60" spans="2:13" ht="24" customHeight="1" x14ac:dyDescent="0.3">
      <c r="B60" s="2"/>
      <c r="K60" s="1">
        <f>Table1101516[[#This Row],[النولون]]+Table1101516[[#This Row],[الايصالات]]-Table1101516[[#This Row],[خصم أ ت ص]]+Table1101516[[#This Row],[قيمة مضافة]]</f>
        <v>0</v>
      </c>
      <c r="M60" s="1">
        <f>M59+Table1101516[[#This Row],[اجمالي الفاتوره]]-Table1101516[[#This Row],[الدفعات]]</f>
        <v>0</v>
      </c>
    </row>
    <row r="61" spans="2:13" ht="24" customHeight="1" x14ac:dyDescent="0.3">
      <c r="B61" s="2"/>
      <c r="K61" s="1">
        <f>Table1101516[[#This Row],[النولون]]+Table1101516[[#This Row],[الايصالات]]-Table1101516[[#This Row],[خصم أ ت ص]]+Table1101516[[#This Row],[قيمة مضافة]]</f>
        <v>0</v>
      </c>
      <c r="M61" s="1">
        <f>M60+Table1101516[[#This Row],[اجمالي الفاتوره]]-Table1101516[[#This Row],[الدفعات]]</f>
        <v>0</v>
      </c>
    </row>
    <row r="62" spans="2:13" ht="24" customHeight="1" x14ac:dyDescent="0.3">
      <c r="B62" s="2"/>
      <c r="K62" s="1">
        <f>Table1101516[[#This Row],[النولون]]+Table1101516[[#This Row],[الايصالات]]-Table1101516[[#This Row],[خصم أ ت ص]]+Table1101516[[#This Row],[قيمة مضافة]]</f>
        <v>0</v>
      </c>
      <c r="M62" s="1">
        <f>M61+Table1101516[[#This Row],[اجمالي الفاتوره]]-Table1101516[[#This Row],[الدفعات]]</f>
        <v>0</v>
      </c>
    </row>
    <row r="63" spans="2:13" ht="24" customHeight="1" x14ac:dyDescent="0.3">
      <c r="B63" s="2"/>
      <c r="K63" s="1">
        <f>Table1101516[[#This Row],[النولون]]+Table1101516[[#This Row],[الايصالات]]-Table1101516[[#This Row],[خصم أ ت ص]]+Table1101516[[#This Row],[قيمة مضافة]]</f>
        <v>0</v>
      </c>
      <c r="M63" s="1">
        <f>M62+Table1101516[[#This Row],[اجمالي الفاتوره]]-Table1101516[[#This Row],[الدفعات]]</f>
        <v>0</v>
      </c>
    </row>
    <row r="64" spans="2:13" ht="24" customHeight="1" x14ac:dyDescent="0.3">
      <c r="B64" s="2"/>
      <c r="K64" s="1">
        <f>Table1101516[[#This Row],[النولون]]+Table1101516[[#This Row],[الايصالات]]-Table1101516[[#This Row],[خصم أ ت ص]]+Table1101516[[#This Row],[قيمة مضافة]]</f>
        <v>0</v>
      </c>
      <c r="M64" s="1">
        <f>M63+Table1101516[[#This Row],[اجمالي الفاتوره]]-Table1101516[[#This Row],[الدفعات]]</f>
        <v>0</v>
      </c>
    </row>
    <row r="65" spans="2:13" ht="24" customHeight="1" x14ac:dyDescent="0.3">
      <c r="B65" s="2"/>
      <c r="K65" s="1">
        <f>Table1101516[[#This Row],[النولون]]+Table1101516[[#This Row],[الايصالات]]-Table1101516[[#This Row],[خصم أ ت ص]]+Table1101516[[#This Row],[قيمة مضافة]]</f>
        <v>0</v>
      </c>
      <c r="M65" s="1">
        <f>M64+Table1101516[[#This Row],[اجمالي الفاتوره]]-Table1101516[[#This Row],[الدفعات]]</f>
        <v>0</v>
      </c>
    </row>
    <row r="66" spans="2:13" ht="24" customHeight="1" x14ac:dyDescent="0.3">
      <c r="B66" s="2"/>
      <c r="K66" s="1">
        <f>Table1101516[[#This Row],[النولون]]+Table1101516[[#This Row],[الايصالات]]-Table1101516[[#This Row],[خصم أ ت ص]]+Table1101516[[#This Row],[قيمة مضافة]]</f>
        <v>0</v>
      </c>
      <c r="M66" s="1">
        <f>M65+Table1101516[[#This Row],[اجمالي الفاتوره]]-Table1101516[[#This Row],[الدفعات]]</f>
        <v>0</v>
      </c>
    </row>
    <row r="67" spans="2:13" ht="24" customHeight="1" x14ac:dyDescent="0.3">
      <c r="B67" s="2"/>
      <c r="K67" s="1">
        <f>Table1101516[[#This Row],[النولون]]+Table1101516[[#This Row],[الايصالات]]-Table1101516[[#This Row],[خصم أ ت ص]]+Table1101516[[#This Row],[قيمة مضافة]]</f>
        <v>0</v>
      </c>
      <c r="M67" s="1">
        <f>M66+Table1101516[[#This Row],[اجمالي الفاتوره]]-Table1101516[[#This Row],[الدفعات]]</f>
        <v>0</v>
      </c>
    </row>
    <row r="68" spans="2:13" ht="24" customHeight="1" x14ac:dyDescent="0.3">
      <c r="B68" s="2"/>
      <c r="K68" s="1">
        <f>Table1101516[[#This Row],[النولون]]+Table1101516[[#This Row],[الايصالات]]-Table1101516[[#This Row],[خصم أ ت ص]]+Table1101516[[#This Row],[قيمة مضافة]]</f>
        <v>0</v>
      </c>
      <c r="M68" s="1">
        <f>M67+Table1101516[[#This Row],[اجمالي الفاتوره]]-Table1101516[[#This Row],[الدفعات]]</f>
        <v>0</v>
      </c>
    </row>
    <row r="69" spans="2:13" ht="24" customHeight="1" x14ac:dyDescent="0.3">
      <c r="B69" s="2"/>
      <c r="K69" s="1">
        <f>Table1101516[[#This Row],[النولون]]+Table1101516[[#This Row],[الايصالات]]-Table1101516[[#This Row],[خصم أ ت ص]]+Table1101516[[#This Row],[قيمة مضافة]]</f>
        <v>0</v>
      </c>
      <c r="M69" s="1">
        <f>M68+Table1101516[[#This Row],[اجمالي الفاتوره]]-Table1101516[[#This Row],[الدفعات]]</f>
        <v>0</v>
      </c>
    </row>
    <row r="70" spans="2:13" ht="24" customHeight="1" x14ac:dyDescent="0.3">
      <c r="B70" s="2"/>
      <c r="K70" s="1">
        <f>Table1101516[[#This Row],[النولون]]+Table1101516[[#This Row],[الايصالات]]-Table1101516[[#This Row],[خصم أ ت ص]]+Table1101516[[#This Row],[قيمة مضافة]]</f>
        <v>0</v>
      </c>
      <c r="M70" s="1">
        <f>M69+Table1101516[[#This Row],[اجمالي الفاتوره]]-Table1101516[[#This Row],[الدفعات]]</f>
        <v>0</v>
      </c>
    </row>
    <row r="71" spans="2:13" ht="24" customHeight="1" x14ac:dyDescent="0.3">
      <c r="B71" s="2"/>
      <c r="K71" s="1">
        <f>Table1101516[[#This Row],[النولون]]+Table1101516[[#This Row],[الايصالات]]-Table1101516[[#This Row],[خصم أ ت ص]]+Table1101516[[#This Row],[قيمة مضافة]]</f>
        <v>0</v>
      </c>
      <c r="M71" s="1">
        <f>M70+Table1101516[[#This Row],[اجمالي الفاتوره]]-Table1101516[[#This Row],[الدفعات]]</f>
        <v>0</v>
      </c>
    </row>
    <row r="72" spans="2:13" ht="24" customHeight="1" x14ac:dyDescent="0.3">
      <c r="K72" s="1">
        <f>Table1101516[[#This Row],[النولون]]+Table1101516[[#This Row],[الايصالات]]-Table1101516[[#This Row],[خصم أ ت ص]]+Table1101516[[#This Row],[قيمة مضافة]]</f>
        <v>0</v>
      </c>
      <c r="M72" s="1">
        <f>M71+Table1101516[[#This Row],[اجمالي الفاتوره]]-Table1101516[[#This Row],[الدفعات]]</f>
        <v>0</v>
      </c>
    </row>
    <row r="73" spans="2:13" ht="24" customHeight="1" x14ac:dyDescent="0.3">
      <c r="K73" s="1">
        <f>Table1101516[[#This Row],[النولون]]+Table1101516[[#This Row],[الايصالات]]-Table1101516[[#This Row],[خصم أ ت ص]]+Table1101516[[#This Row],[قيمة مضافة]]</f>
        <v>0</v>
      </c>
      <c r="M73" s="1">
        <f>M72+Table1101516[[#This Row],[اجمالي الفاتوره]]-Table1101516[[#This Row],[الدفعات]]</f>
        <v>0</v>
      </c>
    </row>
    <row r="74" spans="2:13" ht="24" customHeight="1" x14ac:dyDescent="0.3">
      <c r="K74" s="1">
        <f>Table1101516[[#This Row],[النولون]]+Table1101516[[#This Row],[الايصالات]]-Table1101516[[#This Row],[خصم أ ت ص]]+Table1101516[[#This Row],[قيمة مضافة]]</f>
        <v>0</v>
      </c>
      <c r="M74" s="1">
        <f>M73+Table1101516[[#This Row],[اجمالي الفاتوره]]-Table1101516[[#This Row],[الدفعات]]</f>
        <v>0</v>
      </c>
    </row>
    <row r="75" spans="2:13" ht="24" customHeight="1" x14ac:dyDescent="0.3">
      <c r="K75" s="1">
        <f>Table1101516[[#This Row],[النولون]]+Table1101516[[#This Row],[الايصالات]]-Table1101516[[#This Row],[خصم أ ت ص]]+Table1101516[[#This Row],[قيمة مضافة]]</f>
        <v>0</v>
      </c>
      <c r="M75" s="1">
        <f>M74+Table1101516[[#This Row],[اجمالي الفاتوره]]-Table1101516[[#This Row],[الدفعات]]</f>
        <v>0</v>
      </c>
    </row>
    <row r="76" spans="2:13" ht="24" customHeight="1" x14ac:dyDescent="0.3">
      <c r="K76" s="1">
        <f>Table1101516[[#This Row],[النولون]]+Table1101516[[#This Row],[الايصالات]]-Table1101516[[#This Row],[خصم أ ت ص]]+Table1101516[[#This Row],[قيمة مضافة]]</f>
        <v>0</v>
      </c>
      <c r="M76" s="1">
        <f>M75+Table1101516[[#This Row],[اجمالي الفاتوره]]-Table1101516[[#This Row],[الدفعات]]</f>
        <v>0</v>
      </c>
    </row>
    <row r="77" spans="2:13" ht="24" customHeight="1" x14ac:dyDescent="0.3">
      <c r="K77" s="1">
        <f>Table1101516[[#This Row],[النولون]]+Table1101516[[#This Row],[الايصالات]]-Table1101516[[#This Row],[خصم أ ت ص]]+Table1101516[[#This Row],[قيمة مضافة]]</f>
        <v>0</v>
      </c>
      <c r="M77" s="1">
        <f>M76+Table1101516[[#This Row],[اجمالي الفاتوره]]-Table1101516[[#This Row],[الدفعات]]</f>
        <v>0</v>
      </c>
    </row>
    <row r="78" spans="2:13" ht="24" customHeight="1" x14ac:dyDescent="0.3">
      <c r="K78" s="1">
        <f>Table1101516[[#This Row],[النولون]]+Table1101516[[#This Row],[الايصالات]]-Table1101516[[#This Row],[خصم أ ت ص]]+Table1101516[[#This Row],[قيمة مضافة]]</f>
        <v>0</v>
      </c>
      <c r="M78" s="1">
        <f>M77+Table1101516[[#This Row],[اجمالي الفاتوره]]-Table1101516[[#This Row],[الدفعات]]</f>
        <v>0</v>
      </c>
    </row>
    <row r="79" spans="2:13" ht="24" customHeight="1" x14ac:dyDescent="0.3">
      <c r="K79" s="1">
        <f>Table1101516[[#This Row],[النولون]]+Table1101516[[#This Row],[الايصالات]]-Table1101516[[#This Row],[خصم أ ت ص]]+Table1101516[[#This Row],[قيمة مضافة]]</f>
        <v>0</v>
      </c>
      <c r="M79" s="1">
        <f>M78+Table1101516[[#This Row],[اجمالي الفاتوره]]-Table1101516[[#This Row],[الدفعات]]</f>
        <v>0</v>
      </c>
    </row>
    <row r="80" spans="2:13" ht="24" customHeight="1" x14ac:dyDescent="0.3">
      <c r="K80" s="1">
        <f>Table1101516[[#This Row],[النولون]]+Table1101516[[#This Row],[الايصالات]]-Table1101516[[#This Row],[خصم أ ت ص]]+Table1101516[[#This Row],[قيمة مضافة]]</f>
        <v>0</v>
      </c>
      <c r="M80" s="1">
        <f>M79+Table1101516[[#This Row],[اجمالي الفاتوره]]-Table1101516[[#This Row],[الدفعات]]</f>
        <v>0</v>
      </c>
    </row>
    <row r="81" spans="11:13" ht="24" customHeight="1" x14ac:dyDescent="0.3">
      <c r="K81" s="1">
        <f>Table1101516[[#This Row],[النولون]]+Table1101516[[#This Row],[الايصالات]]-Table1101516[[#This Row],[خصم أ ت ص]]+Table1101516[[#This Row],[قيمة مضافة]]</f>
        <v>0</v>
      </c>
      <c r="M81" s="1">
        <f>M80+Table1101516[[#This Row],[اجمالي الفاتوره]]-Table1101516[[#This Row],[الدفعات]]</f>
        <v>0</v>
      </c>
    </row>
    <row r="82" spans="11:13" ht="24" customHeight="1" x14ac:dyDescent="0.3">
      <c r="K82" s="1">
        <f>Table1101516[[#This Row],[النولون]]+Table1101516[[#This Row],[الايصالات]]-Table1101516[[#This Row],[خصم أ ت ص]]+Table1101516[[#This Row],[قيمة مضافة]]</f>
        <v>0</v>
      </c>
      <c r="M82" s="1">
        <f>M81+Table1101516[[#This Row],[اجمالي الفاتوره]]-Table1101516[[#This Row],[الدفعات]]</f>
        <v>0</v>
      </c>
    </row>
    <row r="83" spans="11:13" ht="24" customHeight="1" x14ac:dyDescent="0.3">
      <c r="K83" s="1">
        <f>Table1101516[[#This Row],[النولون]]+Table1101516[[#This Row],[الايصالات]]-Table1101516[[#This Row],[خصم أ ت ص]]+Table1101516[[#This Row],[قيمة مضافة]]</f>
        <v>0</v>
      </c>
      <c r="M83" s="1">
        <f>M82+Table1101516[[#This Row],[اجمالي الفاتوره]]-Table1101516[[#This Row],[الدفعات]]</f>
        <v>0</v>
      </c>
    </row>
    <row r="84" spans="11:13" ht="24" customHeight="1" x14ac:dyDescent="0.3">
      <c r="K84" s="1">
        <f>Table1101516[[#This Row],[النولون]]+Table1101516[[#This Row],[الايصالات]]-Table1101516[[#This Row],[خصم أ ت ص]]+Table1101516[[#This Row],[قيمة مضافة]]</f>
        <v>0</v>
      </c>
      <c r="M84" s="1">
        <f>M83+Table1101516[[#This Row],[اجمالي الفاتوره]]-Table1101516[[#This Row],[الدفعات]]</f>
        <v>0</v>
      </c>
    </row>
    <row r="85" spans="11:13" ht="24" customHeight="1" x14ac:dyDescent="0.3">
      <c r="K85" s="1">
        <f>Table1101516[[#This Row],[النولون]]+Table1101516[[#This Row],[الايصالات]]-Table1101516[[#This Row],[خصم أ ت ص]]+Table1101516[[#This Row],[قيمة مضافة]]</f>
        <v>0</v>
      </c>
      <c r="M85" s="1">
        <f>M84+Table1101516[[#This Row],[اجمالي الفاتوره]]-Table1101516[[#This Row],[الدفعات]]</f>
        <v>0</v>
      </c>
    </row>
    <row r="86" spans="11:13" ht="24" customHeight="1" x14ac:dyDescent="0.3">
      <c r="K86" s="1">
        <f>Table1101516[[#This Row],[النولون]]+Table1101516[[#This Row],[الايصالات]]-Table1101516[[#This Row],[خصم أ ت ص]]+Table1101516[[#This Row],[قيمة مضافة]]</f>
        <v>0</v>
      </c>
      <c r="M86" s="1">
        <f>M85+Table1101516[[#This Row],[اجمالي الفاتوره]]-Table1101516[[#This Row],[الدفعات]]</f>
        <v>0</v>
      </c>
    </row>
    <row r="87" spans="11:13" ht="24" customHeight="1" x14ac:dyDescent="0.3">
      <c r="K87" s="1">
        <f>Table1101516[[#This Row],[النولون]]+Table1101516[[#This Row],[الايصالات]]-Table1101516[[#This Row],[خصم أ ت ص]]+Table1101516[[#This Row],[قيمة مضافة]]</f>
        <v>0</v>
      </c>
      <c r="M87" s="1">
        <f>M86+Table1101516[[#This Row],[اجمالي الفاتوره]]-Table1101516[[#This Row],[الدفعات]]</f>
        <v>0</v>
      </c>
    </row>
    <row r="88" spans="11:13" ht="24" customHeight="1" x14ac:dyDescent="0.3">
      <c r="K88" s="1">
        <f>Table1101516[[#This Row],[النولون]]+Table1101516[[#This Row],[الايصالات]]-Table1101516[[#This Row],[خصم أ ت ص]]+Table1101516[[#This Row],[قيمة مضافة]]</f>
        <v>0</v>
      </c>
      <c r="M88" s="1">
        <f>M87+Table1101516[[#This Row],[اجمالي الفاتوره]]-Table1101516[[#This Row],[الدفعات]]</f>
        <v>0</v>
      </c>
    </row>
    <row r="89" spans="11:13" ht="24" customHeight="1" x14ac:dyDescent="0.3">
      <c r="K89" s="1">
        <f>Table1101516[[#This Row],[النولون]]+Table1101516[[#This Row],[الايصالات]]-Table1101516[[#This Row],[خصم أ ت ص]]+Table1101516[[#This Row],[قيمة مضافة]]</f>
        <v>0</v>
      </c>
      <c r="M89" s="1">
        <f>M88+Table1101516[[#This Row],[اجمالي الفاتوره]]-Table1101516[[#This Row],[الدفعات]]</f>
        <v>0</v>
      </c>
    </row>
    <row r="90" spans="11:13" ht="24" customHeight="1" x14ac:dyDescent="0.3">
      <c r="K90" s="1">
        <f>Table1101516[[#This Row],[النولون]]+Table1101516[[#This Row],[الايصالات]]-Table1101516[[#This Row],[خصم أ ت ص]]+Table1101516[[#This Row],[قيمة مضافة]]</f>
        <v>0</v>
      </c>
      <c r="M90" s="1">
        <f>M89+Table1101516[[#This Row],[اجمالي الفاتوره]]-Table1101516[[#This Row],[الدفعات]]</f>
        <v>0</v>
      </c>
    </row>
    <row r="91" spans="11:13" ht="24" customHeight="1" x14ac:dyDescent="0.3">
      <c r="K91" s="1">
        <f>Table1101516[[#This Row],[النولون]]+Table1101516[[#This Row],[الايصالات]]-Table1101516[[#This Row],[خصم أ ت ص]]+Table1101516[[#This Row],[قيمة مضافة]]</f>
        <v>0</v>
      </c>
      <c r="M91" s="1">
        <f>M90+Table1101516[[#This Row],[اجمالي الفاتوره]]-Table1101516[[#This Row],[الدفعات]]</f>
        <v>0</v>
      </c>
    </row>
    <row r="92" spans="11:13" ht="24" customHeight="1" x14ac:dyDescent="0.3">
      <c r="K92" s="1">
        <f>Table1101516[[#This Row],[النولون]]+Table1101516[[#This Row],[الايصالات]]-Table1101516[[#This Row],[خصم أ ت ص]]+Table1101516[[#This Row],[قيمة مضافة]]</f>
        <v>0</v>
      </c>
      <c r="M92" s="1">
        <f>M91+Table1101516[[#This Row],[اجمالي الفاتوره]]-Table1101516[[#This Row],[الدفعات]]</f>
        <v>0</v>
      </c>
    </row>
    <row r="93" spans="11:13" ht="24" customHeight="1" x14ac:dyDescent="0.3">
      <c r="K93" s="1">
        <f>Table1101516[[#This Row],[النولون]]+Table1101516[[#This Row],[الايصالات]]-Table1101516[[#This Row],[خصم أ ت ص]]+Table1101516[[#This Row],[قيمة مضافة]]</f>
        <v>0</v>
      </c>
      <c r="M93" s="1">
        <f>M92+Table1101516[[#This Row],[اجمالي الفاتوره]]-Table1101516[[#This Row],[الدفعات]]</f>
        <v>0</v>
      </c>
    </row>
    <row r="94" spans="11:13" ht="24" customHeight="1" x14ac:dyDescent="0.3">
      <c r="K94" s="1">
        <f>Table1101516[[#This Row],[النولون]]+Table1101516[[#This Row],[الايصالات]]-Table1101516[[#This Row],[خصم أ ت ص]]+Table1101516[[#This Row],[قيمة مضافة]]</f>
        <v>0</v>
      </c>
      <c r="M94" s="1">
        <f>M93+Table1101516[[#This Row],[اجمالي الفاتوره]]-Table1101516[[#This Row],[الدفعات]]</f>
        <v>0</v>
      </c>
    </row>
    <row r="95" spans="11:13" ht="24" customHeight="1" x14ac:dyDescent="0.3">
      <c r="K95" s="1">
        <f>Table1101516[[#This Row],[النولون]]+Table1101516[[#This Row],[الايصالات]]-Table1101516[[#This Row],[خصم أ ت ص]]+Table1101516[[#This Row],[قيمة مضافة]]</f>
        <v>0</v>
      </c>
      <c r="M95" s="1">
        <f>M94+Table1101516[[#This Row],[اجمالي الفاتوره]]-Table1101516[[#This Row],[الدفعات]]</f>
        <v>0</v>
      </c>
    </row>
    <row r="96" spans="11:13" ht="24" customHeight="1" x14ac:dyDescent="0.3">
      <c r="K96" s="1">
        <f>Table1101516[[#This Row],[النولون]]+Table1101516[[#This Row],[الايصالات]]-Table1101516[[#This Row],[خصم أ ت ص]]+Table1101516[[#This Row],[قيمة مضافة]]</f>
        <v>0</v>
      </c>
      <c r="M96" s="1">
        <f>M95+Table1101516[[#This Row],[اجمالي الفاتوره]]-Table1101516[[#This Row],[الدفعات]]</f>
        <v>0</v>
      </c>
    </row>
    <row r="97" spans="11:13" ht="24" customHeight="1" x14ac:dyDescent="0.3">
      <c r="K97" s="1">
        <f>Table1101516[[#This Row],[النولون]]+Table1101516[[#This Row],[الايصالات]]-Table1101516[[#This Row],[خصم أ ت ص]]+Table1101516[[#This Row],[قيمة مضافة]]</f>
        <v>0</v>
      </c>
      <c r="M97" s="1">
        <f>M96+Table1101516[[#This Row],[اجمالي الفاتوره]]-Table1101516[[#This Row],[الدفعات]]</f>
        <v>0</v>
      </c>
    </row>
    <row r="98" spans="11:13" ht="24" customHeight="1" x14ac:dyDescent="0.3">
      <c r="K98" s="1">
        <f>Table1101516[[#This Row],[النولون]]+Table1101516[[#This Row],[الايصالات]]-Table1101516[[#This Row],[خصم أ ت ص]]+Table1101516[[#This Row],[قيمة مضافة]]</f>
        <v>0</v>
      </c>
      <c r="M98" s="1">
        <f>M97+Table1101516[[#This Row],[اجمالي الفاتوره]]-Table1101516[[#This Row],[الدفعات]]</f>
        <v>0</v>
      </c>
    </row>
    <row r="99" spans="11:13" ht="24" customHeight="1" x14ac:dyDescent="0.3">
      <c r="K99" s="1">
        <f>Table1101516[[#This Row],[النولون]]+Table1101516[[#This Row],[الايصالات]]-Table1101516[[#This Row],[خصم أ ت ص]]+Table1101516[[#This Row],[قيمة مضافة]]</f>
        <v>0</v>
      </c>
      <c r="M99" s="1">
        <f>M98+Table1101516[[#This Row],[اجمالي الفاتوره]]-Table1101516[[#This Row],[الدفعات]]</f>
        <v>0</v>
      </c>
    </row>
    <row r="100" spans="11:13" ht="24" customHeight="1" x14ac:dyDescent="0.3">
      <c r="K100" s="1">
        <f>Table1101516[[#This Row],[النولون]]+Table1101516[[#This Row],[الايصالات]]-Table1101516[[#This Row],[خصم أ ت ص]]+Table1101516[[#This Row],[قيمة مضافة]]</f>
        <v>0</v>
      </c>
      <c r="M100" s="1">
        <f>M99+Table1101516[[#This Row],[اجمالي الفاتوره]]-Table1101516[[#This Row],[الدفعات]]</f>
        <v>0</v>
      </c>
    </row>
    <row r="101" spans="11:13" ht="24" customHeight="1" x14ac:dyDescent="0.3">
      <c r="K101" s="1">
        <f>Table1101516[[#This Row],[النولون]]+Table1101516[[#This Row],[الايصالات]]-Table1101516[[#This Row],[خصم أ ت ص]]+Table1101516[[#This Row],[قيمة مضافة]]</f>
        <v>0</v>
      </c>
      <c r="M101" s="1">
        <f>M100+Table1101516[[#This Row],[اجمالي الفاتوره]]-Table1101516[[#This Row],[الدفعات]]</f>
        <v>0</v>
      </c>
    </row>
    <row r="102" spans="11:13" ht="24" customHeight="1" x14ac:dyDescent="0.3">
      <c r="K102" s="1">
        <f>Table1101516[[#This Row],[النولون]]+Table1101516[[#This Row],[الايصالات]]-Table1101516[[#This Row],[خصم أ ت ص]]+Table1101516[[#This Row],[قيمة مضافة]]</f>
        <v>0</v>
      </c>
      <c r="M102" s="1">
        <f>M101+Table1101516[[#This Row],[اجمالي الفاتوره]]-Table1101516[[#This Row],[الدفعات]]</f>
        <v>0</v>
      </c>
    </row>
    <row r="103" spans="11:13" ht="24" customHeight="1" x14ac:dyDescent="0.3">
      <c r="K103" s="1">
        <f>Table1101516[[#This Row],[النولون]]+Table1101516[[#This Row],[الايصالات]]-Table1101516[[#This Row],[خصم أ ت ص]]+Table1101516[[#This Row],[قيمة مضافة]]</f>
        <v>0</v>
      </c>
      <c r="M103" s="1">
        <f>M102+Table1101516[[#This Row],[اجمالي الفاتوره]]-Table1101516[[#This Row],[الدفعات]]</f>
        <v>0</v>
      </c>
    </row>
    <row r="104" spans="11:13" ht="24" customHeight="1" x14ac:dyDescent="0.3">
      <c r="K104" s="1">
        <f>Table1101516[[#This Row],[النولون]]+Table1101516[[#This Row],[الايصالات]]-Table1101516[[#This Row],[خصم أ ت ص]]+Table1101516[[#This Row],[قيمة مضافة]]</f>
        <v>0</v>
      </c>
      <c r="M104" s="1">
        <f>M103+Table1101516[[#This Row],[اجمالي الفاتوره]]-Table1101516[[#This Row],[الدفعات]]</f>
        <v>0</v>
      </c>
    </row>
    <row r="105" spans="11:13" ht="24" customHeight="1" x14ac:dyDescent="0.3">
      <c r="K105" s="1">
        <f>Table1101516[[#This Row],[النولون]]+Table1101516[[#This Row],[الايصالات]]-Table1101516[[#This Row],[خصم أ ت ص]]+Table1101516[[#This Row],[قيمة مضافة]]</f>
        <v>0</v>
      </c>
      <c r="M105" s="1">
        <f>M104+Table1101516[[#This Row],[اجمالي الفاتوره]]-Table1101516[[#This Row],[الدفعات]]</f>
        <v>0</v>
      </c>
    </row>
    <row r="106" spans="11:13" ht="24" customHeight="1" x14ac:dyDescent="0.3">
      <c r="K106" s="1">
        <f>Table1101516[[#This Row],[النولون]]+Table1101516[[#This Row],[الايصالات]]-Table1101516[[#This Row],[خصم أ ت ص]]+Table1101516[[#This Row],[قيمة مضافة]]</f>
        <v>0</v>
      </c>
      <c r="M106" s="1">
        <f>M105+Table1101516[[#This Row],[اجمالي الفاتوره]]-Table1101516[[#This Row],[الدفعات]]</f>
        <v>0</v>
      </c>
    </row>
    <row r="107" spans="11:13" ht="24" customHeight="1" x14ac:dyDescent="0.3">
      <c r="K107" s="1">
        <f>Table1101516[[#This Row],[النولون]]+Table1101516[[#This Row],[الايصالات]]-Table1101516[[#This Row],[خصم أ ت ص]]+Table1101516[[#This Row],[قيمة مضافة]]</f>
        <v>0</v>
      </c>
      <c r="M107" s="1">
        <f>M106+Table1101516[[#This Row],[اجمالي الفاتوره]]-Table1101516[[#This Row],[الدفعات]]</f>
        <v>0</v>
      </c>
    </row>
    <row r="108" spans="11:13" ht="24" customHeight="1" x14ac:dyDescent="0.3">
      <c r="K108" s="1">
        <f>Table1101516[[#This Row],[النولون]]+Table1101516[[#This Row],[الايصالات]]-Table1101516[[#This Row],[خصم أ ت ص]]+Table1101516[[#This Row],[قيمة مضافة]]</f>
        <v>0</v>
      </c>
      <c r="M108" s="1">
        <f>M107+Table1101516[[#This Row],[اجمالي الفاتوره]]-Table1101516[[#This Row],[الدفعات]]</f>
        <v>0</v>
      </c>
    </row>
    <row r="109" spans="11:13" ht="24" customHeight="1" x14ac:dyDescent="0.3">
      <c r="K109" s="1">
        <f>Table1101516[[#This Row],[النولون]]+Table1101516[[#This Row],[الايصالات]]-Table1101516[[#This Row],[خصم أ ت ص]]+Table1101516[[#This Row],[قيمة مضافة]]</f>
        <v>0</v>
      </c>
      <c r="M109" s="1">
        <f>M108+Table1101516[[#This Row],[اجمالي الفاتوره]]-Table1101516[[#This Row],[الدفعات]]</f>
        <v>0</v>
      </c>
    </row>
    <row r="110" spans="11:13" ht="24" customHeight="1" x14ac:dyDescent="0.3">
      <c r="K110" s="1">
        <f>Table1101516[[#This Row],[النولون]]+Table1101516[[#This Row],[الايصالات]]-Table1101516[[#This Row],[خصم أ ت ص]]+Table1101516[[#This Row],[قيمة مضافة]]</f>
        <v>0</v>
      </c>
      <c r="M110" s="1">
        <f>M109+Table1101516[[#This Row],[اجمالي الفاتوره]]-Table1101516[[#This Row],[الدفعات]]</f>
        <v>0</v>
      </c>
    </row>
    <row r="111" spans="11:13" ht="24" customHeight="1" x14ac:dyDescent="0.3">
      <c r="K111" s="1">
        <f>Table1101516[[#This Row],[النولون]]+Table1101516[[#This Row],[الايصالات]]-Table1101516[[#This Row],[خصم أ ت ص]]+Table1101516[[#This Row],[قيمة مضافة]]</f>
        <v>0</v>
      </c>
      <c r="M111" s="1">
        <f>M110+Table1101516[[#This Row],[اجمالي الفاتوره]]-Table1101516[[#This Row],[الدفعات]]</f>
        <v>0</v>
      </c>
    </row>
    <row r="112" spans="11:13" ht="24" customHeight="1" x14ac:dyDescent="0.3">
      <c r="K112" s="1">
        <f>Table1101516[[#This Row],[النولون]]+Table1101516[[#This Row],[الايصالات]]-Table1101516[[#This Row],[خصم أ ت ص]]+Table1101516[[#This Row],[قيمة مضافة]]</f>
        <v>0</v>
      </c>
      <c r="M112" s="1">
        <f>M111+Table1101516[[#This Row],[اجمالي الفاتوره]]-Table1101516[[#This Row],[الدفعات]]</f>
        <v>0</v>
      </c>
    </row>
    <row r="113" spans="11:13" ht="24" customHeight="1" x14ac:dyDescent="0.3">
      <c r="K113" s="1">
        <f>Table1101516[[#This Row],[النولون]]+Table1101516[[#This Row],[الايصالات]]-Table1101516[[#This Row],[خصم أ ت ص]]+Table1101516[[#This Row],[قيمة مضافة]]</f>
        <v>0</v>
      </c>
      <c r="M113" s="1">
        <f>M112+Table1101516[[#This Row],[اجمالي الفاتوره]]-Table1101516[[#This Row],[الدفعات]]</f>
        <v>0</v>
      </c>
    </row>
    <row r="114" spans="11:13" ht="24" customHeight="1" x14ac:dyDescent="0.3">
      <c r="K114" s="1">
        <f>Table1101516[[#This Row],[النولون]]+Table1101516[[#This Row],[الايصالات]]-Table1101516[[#This Row],[خصم أ ت ص]]+Table1101516[[#This Row],[قيمة مضافة]]</f>
        <v>0</v>
      </c>
      <c r="M114" s="1">
        <f>M113+Table1101516[[#This Row],[اجمالي الفاتوره]]-Table1101516[[#This Row],[الدفعات]]</f>
        <v>0</v>
      </c>
    </row>
    <row r="115" spans="11:13" ht="24" customHeight="1" x14ac:dyDescent="0.3">
      <c r="K115" s="1">
        <f>Table1101516[[#This Row],[النولون]]+Table1101516[[#This Row],[الايصالات]]-Table1101516[[#This Row],[خصم أ ت ص]]+Table1101516[[#This Row],[قيمة مضافة]]</f>
        <v>0</v>
      </c>
      <c r="M115" s="1">
        <f>M114+Table1101516[[#This Row],[اجمالي الفاتوره]]-Table1101516[[#This Row],[الدفعات]]</f>
        <v>0</v>
      </c>
    </row>
    <row r="116" spans="11:13" ht="24" customHeight="1" x14ac:dyDescent="0.3">
      <c r="K116" s="1">
        <f>Table1101516[[#This Row],[النولون]]+Table1101516[[#This Row],[الايصالات]]-Table1101516[[#This Row],[خصم أ ت ص]]+Table1101516[[#This Row],[قيمة مضافة]]</f>
        <v>0</v>
      </c>
      <c r="M116" s="1">
        <f>M115+Table1101516[[#This Row],[اجمالي الفاتوره]]-Table1101516[[#This Row],[الدفعات]]</f>
        <v>0</v>
      </c>
    </row>
    <row r="117" spans="11:13" ht="24" customHeight="1" x14ac:dyDescent="0.3">
      <c r="K117" s="1">
        <f>Table1101516[[#This Row],[النولون]]+Table1101516[[#This Row],[الايصالات]]-Table1101516[[#This Row],[خصم أ ت ص]]+Table1101516[[#This Row],[قيمة مضافة]]</f>
        <v>0</v>
      </c>
      <c r="M117" s="1">
        <f>M116+Table1101516[[#This Row],[اجمالي الفاتوره]]-Table1101516[[#This Row],[الدفعات]]</f>
        <v>0</v>
      </c>
    </row>
    <row r="118" spans="11:13" ht="24" customHeight="1" x14ac:dyDescent="0.3">
      <c r="K118" s="1">
        <f>Table1101516[[#This Row],[النولون]]+Table1101516[[#This Row],[الايصالات]]-Table1101516[[#This Row],[خصم أ ت ص]]+Table1101516[[#This Row],[قيمة مضافة]]</f>
        <v>0</v>
      </c>
      <c r="M118" s="1">
        <f>M117+Table1101516[[#This Row],[اجمالي الفاتوره]]-Table1101516[[#This Row],[الدفعات]]</f>
        <v>0</v>
      </c>
    </row>
    <row r="119" spans="11:13" ht="24" customHeight="1" x14ac:dyDescent="0.3">
      <c r="K119" s="1">
        <f>Table1101516[[#This Row],[النولون]]+Table1101516[[#This Row],[الايصالات]]-Table1101516[[#This Row],[خصم أ ت ص]]+Table1101516[[#This Row],[قيمة مضافة]]</f>
        <v>0</v>
      </c>
      <c r="M119" s="1">
        <f>M118+Table1101516[[#This Row],[اجمالي الفاتوره]]-Table1101516[[#This Row],[الدفعات]]</f>
        <v>0</v>
      </c>
    </row>
    <row r="120" spans="11:13" ht="24" customHeight="1" x14ac:dyDescent="0.3">
      <c r="K120" s="1">
        <f>Table1101516[[#This Row],[النولون]]+Table1101516[[#This Row],[الايصالات]]-Table1101516[[#This Row],[خصم أ ت ص]]+Table1101516[[#This Row],[قيمة مضافة]]</f>
        <v>0</v>
      </c>
      <c r="M120" s="1">
        <f>M119+Table1101516[[#This Row],[اجمالي الفاتوره]]-Table1101516[[#This Row],[الدفعات]]</f>
        <v>0</v>
      </c>
    </row>
    <row r="121" spans="11:13" ht="24" customHeight="1" x14ac:dyDescent="0.3">
      <c r="K121" s="1">
        <f>Table1101516[[#This Row],[النولون]]+Table1101516[[#This Row],[الايصالات]]-Table1101516[[#This Row],[خصم أ ت ص]]+Table1101516[[#This Row],[قيمة مضافة]]</f>
        <v>0</v>
      </c>
      <c r="M121" s="1">
        <f>M120+Table1101516[[#This Row],[اجمالي الفاتوره]]-Table1101516[[#This Row],[الدفعات]]</f>
        <v>0</v>
      </c>
    </row>
    <row r="122" spans="11:13" ht="24" customHeight="1" x14ac:dyDescent="0.3">
      <c r="K122" s="1">
        <f>Table1101516[[#This Row],[النولون]]+Table1101516[[#This Row],[الايصالات]]-Table1101516[[#This Row],[خصم أ ت ص]]+Table1101516[[#This Row],[قيمة مضافة]]</f>
        <v>0</v>
      </c>
      <c r="M122" s="1">
        <f>M121+Table1101516[[#This Row],[اجمالي الفاتوره]]-Table1101516[[#This Row],[الدفعات]]</f>
        <v>0</v>
      </c>
    </row>
    <row r="123" spans="11:13" ht="24" customHeight="1" x14ac:dyDescent="0.3">
      <c r="K123" s="1">
        <f>Table1101516[[#This Row],[النولون]]+Table1101516[[#This Row],[الايصالات]]-Table1101516[[#This Row],[خصم أ ت ص]]+Table1101516[[#This Row],[قيمة مضافة]]</f>
        <v>0</v>
      </c>
      <c r="M123" s="1">
        <f>M122+Table1101516[[#This Row],[اجمالي الفاتوره]]-Table1101516[[#This Row],[الدفعات]]</f>
        <v>0</v>
      </c>
    </row>
    <row r="124" spans="11:13" ht="24" customHeight="1" x14ac:dyDescent="0.3">
      <c r="K124" s="1">
        <f>Table1101516[[#This Row],[النولون]]+Table1101516[[#This Row],[الايصالات]]-Table1101516[[#This Row],[خصم أ ت ص]]+Table1101516[[#This Row],[قيمة مضافة]]</f>
        <v>0</v>
      </c>
      <c r="M124" s="1">
        <f>M123+Table1101516[[#This Row],[اجمالي الفاتوره]]-Table1101516[[#This Row],[الدفعات]]</f>
        <v>0</v>
      </c>
    </row>
    <row r="125" spans="11:13" ht="24" customHeight="1" x14ac:dyDescent="0.3">
      <c r="K125" s="1">
        <f>Table1101516[[#This Row],[النولون]]+Table1101516[[#This Row],[الايصالات]]-Table1101516[[#This Row],[خصم أ ت ص]]+Table1101516[[#This Row],[قيمة مضافة]]</f>
        <v>0</v>
      </c>
      <c r="M125" s="1">
        <f>M124+Table1101516[[#This Row],[اجمالي الفاتوره]]-Table1101516[[#This Row],[الدفعات]]</f>
        <v>0</v>
      </c>
    </row>
    <row r="126" spans="11:13" ht="24" customHeight="1" x14ac:dyDescent="0.3">
      <c r="K126" s="1">
        <f>Table1101516[[#This Row],[النولون]]+Table1101516[[#This Row],[الايصالات]]-Table1101516[[#This Row],[خصم أ ت ص]]+Table1101516[[#This Row],[قيمة مضافة]]</f>
        <v>0</v>
      </c>
      <c r="M126" s="1">
        <f>M125+Table1101516[[#This Row],[اجمالي الفاتوره]]-Table1101516[[#This Row],[الدفعات]]</f>
        <v>0</v>
      </c>
    </row>
    <row r="127" spans="11:13" ht="24" customHeight="1" x14ac:dyDescent="0.3">
      <c r="K127" s="1">
        <f>Table1101516[[#This Row],[النولون]]+Table1101516[[#This Row],[الايصالات]]-Table1101516[[#This Row],[خصم أ ت ص]]+Table1101516[[#This Row],[قيمة مضافة]]</f>
        <v>0</v>
      </c>
      <c r="M127" s="1">
        <f>M126+Table1101516[[#This Row],[اجمالي الفاتوره]]-Table1101516[[#This Row],[الدفعات]]</f>
        <v>0</v>
      </c>
    </row>
    <row r="128" spans="11:13" ht="24" customHeight="1" x14ac:dyDescent="0.3">
      <c r="K128" s="1">
        <f>Table1101516[[#This Row],[النولون]]+Table1101516[[#This Row],[الايصالات]]-Table1101516[[#This Row],[خصم أ ت ص]]+Table1101516[[#This Row],[قيمة مضافة]]</f>
        <v>0</v>
      </c>
      <c r="M128" s="1">
        <f>M127+Table1101516[[#This Row],[اجمالي الفاتوره]]-Table1101516[[#This Row],[الدفعات]]</f>
        <v>0</v>
      </c>
    </row>
    <row r="129" spans="11:13" ht="24" customHeight="1" x14ac:dyDescent="0.3">
      <c r="K129" s="1">
        <f>Table1101516[[#This Row],[النولون]]+Table1101516[[#This Row],[الايصالات]]-Table1101516[[#This Row],[خصم أ ت ص]]+Table1101516[[#This Row],[قيمة مضافة]]</f>
        <v>0</v>
      </c>
      <c r="M129" s="1">
        <f>M128+Table1101516[[#This Row],[اجمالي الفاتوره]]-Table1101516[[#This Row],[الدفعات]]</f>
        <v>0</v>
      </c>
    </row>
    <row r="130" spans="11:13" ht="24" customHeight="1" x14ac:dyDescent="0.3">
      <c r="K130" s="1">
        <f>Table1101516[[#This Row],[النولون]]+Table1101516[[#This Row],[الايصالات]]-Table1101516[[#This Row],[خصم أ ت ص]]+Table1101516[[#This Row],[قيمة مضافة]]</f>
        <v>0</v>
      </c>
      <c r="M130" s="1">
        <f>M129+Table1101516[[#This Row],[اجمالي الفاتوره]]-Table1101516[[#This Row],[الدفعات]]</f>
        <v>0</v>
      </c>
    </row>
    <row r="131" spans="11:13" ht="24" customHeight="1" x14ac:dyDescent="0.3">
      <c r="K131" s="1">
        <f>Table1101516[[#This Row],[النولون]]+Table1101516[[#This Row],[الايصالات]]-Table1101516[[#This Row],[خصم أ ت ص]]+Table1101516[[#This Row],[قيمة مضافة]]</f>
        <v>0</v>
      </c>
      <c r="M131" s="1">
        <f>M130+Table1101516[[#This Row],[اجمالي الفاتوره]]-Table1101516[[#This Row],[الدفعات]]</f>
        <v>0</v>
      </c>
    </row>
    <row r="132" spans="11:13" ht="24" customHeight="1" x14ac:dyDescent="0.3">
      <c r="K132" s="1">
        <f>Table1101516[[#This Row],[النولون]]+Table1101516[[#This Row],[الايصالات]]-Table1101516[[#This Row],[خصم أ ت ص]]+Table1101516[[#This Row],[قيمة مضافة]]</f>
        <v>0</v>
      </c>
      <c r="M132" s="1">
        <f>M131+Table1101516[[#This Row],[اجمالي الفاتوره]]-Table1101516[[#This Row],[الدفعات]]</f>
        <v>0</v>
      </c>
    </row>
    <row r="133" spans="11:13" ht="24" customHeight="1" x14ac:dyDescent="0.3">
      <c r="K133" s="1">
        <f>Table1101516[[#This Row],[النولون]]+Table1101516[[#This Row],[الايصالات]]-Table1101516[[#This Row],[خصم أ ت ص]]+Table1101516[[#This Row],[قيمة مضافة]]</f>
        <v>0</v>
      </c>
      <c r="M133" s="1">
        <f>M132+Table1101516[[#This Row],[اجمالي الفاتوره]]-Table1101516[[#This Row],[الدفعات]]</f>
        <v>0</v>
      </c>
    </row>
    <row r="134" spans="11:13" ht="24" customHeight="1" x14ac:dyDescent="0.3">
      <c r="K134" s="1">
        <f>Table1101516[[#This Row],[النولون]]+Table1101516[[#This Row],[الايصالات]]-Table1101516[[#This Row],[خصم أ ت ص]]+Table1101516[[#This Row],[قيمة مضافة]]</f>
        <v>0</v>
      </c>
      <c r="M134" s="1">
        <f>M133+Table1101516[[#This Row],[اجمالي الفاتوره]]-Table1101516[[#This Row],[الدفعات]]</f>
        <v>0</v>
      </c>
    </row>
    <row r="135" spans="11:13" ht="24" customHeight="1" x14ac:dyDescent="0.3">
      <c r="K135" s="1">
        <f>Table1101516[[#This Row],[النولون]]+Table1101516[[#This Row],[الايصالات]]-Table1101516[[#This Row],[خصم أ ت ص]]+Table1101516[[#This Row],[قيمة مضافة]]</f>
        <v>0</v>
      </c>
      <c r="M135" s="1">
        <f>M134+Table1101516[[#This Row],[اجمالي الفاتوره]]-Table1101516[[#This Row],[الدفعات]]</f>
        <v>0</v>
      </c>
    </row>
    <row r="136" spans="11:13" ht="24" customHeight="1" x14ac:dyDescent="0.3">
      <c r="K136" s="1">
        <f>Table1101516[[#This Row],[النولون]]+Table1101516[[#This Row],[الايصالات]]-Table1101516[[#This Row],[خصم أ ت ص]]+Table1101516[[#This Row],[قيمة مضافة]]</f>
        <v>0</v>
      </c>
      <c r="M136" s="1">
        <f>M135+Table1101516[[#This Row],[اجمالي الفاتوره]]-Table1101516[[#This Row],[الدفعات]]</f>
        <v>0</v>
      </c>
    </row>
    <row r="137" spans="11:13" ht="24" customHeight="1" x14ac:dyDescent="0.3">
      <c r="K137" s="1">
        <f>Table1101516[[#This Row],[النولون]]+Table1101516[[#This Row],[الايصالات]]-Table1101516[[#This Row],[خصم أ ت ص]]+Table1101516[[#This Row],[قيمة مضافة]]</f>
        <v>0</v>
      </c>
      <c r="M137" s="1">
        <f>M136+Table1101516[[#This Row],[اجمالي الفاتوره]]-Table1101516[[#This Row],[الدفعات]]</f>
        <v>0</v>
      </c>
    </row>
    <row r="138" spans="11:13" ht="24" customHeight="1" x14ac:dyDescent="0.3">
      <c r="K138" s="1">
        <f>Table1101516[[#This Row],[النولون]]+Table1101516[[#This Row],[الايصالات]]-Table1101516[[#This Row],[خصم أ ت ص]]+Table1101516[[#This Row],[قيمة مضافة]]</f>
        <v>0</v>
      </c>
      <c r="M138" s="1">
        <f>M137+Table1101516[[#This Row],[اجمالي الفاتوره]]-Table1101516[[#This Row],[الدفعات]]</f>
        <v>0</v>
      </c>
    </row>
    <row r="139" spans="11:13" ht="24" customHeight="1" x14ac:dyDescent="0.3">
      <c r="K139" s="1">
        <f>Table1101516[[#This Row],[النولون]]+Table1101516[[#This Row],[الايصالات]]-Table1101516[[#This Row],[خصم أ ت ص]]+Table1101516[[#This Row],[قيمة مضافة]]</f>
        <v>0</v>
      </c>
      <c r="M139" s="1">
        <f>M138+Table1101516[[#This Row],[اجمالي الفاتوره]]-Table1101516[[#This Row],[الدفعات]]</f>
        <v>0</v>
      </c>
    </row>
    <row r="140" spans="11:13" ht="24" customHeight="1" x14ac:dyDescent="0.3">
      <c r="K140" s="1">
        <f>Table1101516[[#This Row],[النولون]]+Table1101516[[#This Row],[الايصالات]]-Table1101516[[#This Row],[خصم أ ت ص]]+Table1101516[[#This Row],[قيمة مضافة]]</f>
        <v>0</v>
      </c>
      <c r="M140" s="1">
        <f>M139+Table1101516[[#This Row],[اجمالي الفاتوره]]-Table1101516[[#This Row],[الدفعات]]</f>
        <v>0</v>
      </c>
    </row>
    <row r="141" spans="11:13" ht="24" customHeight="1" x14ac:dyDescent="0.3">
      <c r="K141" s="1">
        <f>Table1101516[[#This Row],[النولون]]+Table1101516[[#This Row],[الايصالات]]-Table1101516[[#This Row],[خصم أ ت ص]]+Table1101516[[#This Row],[قيمة مضافة]]</f>
        <v>0</v>
      </c>
      <c r="M141" s="1">
        <f>M140+Table1101516[[#This Row],[اجمالي الفاتوره]]-Table1101516[[#This Row],[الدفعات]]</f>
        <v>0</v>
      </c>
    </row>
    <row r="142" spans="11:13" ht="24" customHeight="1" x14ac:dyDescent="0.3">
      <c r="K142" s="1">
        <f>Table1101516[[#This Row],[النولون]]+Table1101516[[#This Row],[الايصالات]]-Table1101516[[#This Row],[خصم أ ت ص]]+Table1101516[[#This Row],[قيمة مضافة]]</f>
        <v>0</v>
      </c>
      <c r="M142" s="1">
        <f>M141+Table1101516[[#This Row],[اجمالي الفاتوره]]-Table1101516[[#This Row],[الدفعات]]</f>
        <v>0</v>
      </c>
    </row>
    <row r="143" spans="11:13" ht="24" customHeight="1" x14ac:dyDescent="0.3">
      <c r="K143" s="1">
        <f>Table1101516[[#This Row],[النولون]]+Table1101516[[#This Row],[الايصالات]]-Table1101516[[#This Row],[خصم أ ت ص]]+Table1101516[[#This Row],[قيمة مضافة]]</f>
        <v>0</v>
      </c>
      <c r="M143" s="1">
        <f>M142+Table1101516[[#This Row],[اجمالي الفاتوره]]-Table1101516[[#This Row],[الدفعات]]</f>
        <v>0</v>
      </c>
    </row>
    <row r="144" spans="11:13" ht="24" customHeight="1" x14ac:dyDescent="0.3">
      <c r="K144" s="1">
        <f>Table1101516[[#This Row],[النولون]]+Table1101516[[#This Row],[الايصالات]]-Table1101516[[#This Row],[خصم أ ت ص]]+Table1101516[[#This Row],[قيمة مضافة]]</f>
        <v>0</v>
      </c>
      <c r="M144" s="1">
        <f>M143+Table1101516[[#This Row],[اجمالي الفاتوره]]-Table1101516[[#This Row],[الدفعات]]</f>
        <v>0</v>
      </c>
    </row>
    <row r="145" spans="11:13" ht="24" customHeight="1" x14ac:dyDescent="0.3">
      <c r="K145" s="1">
        <f>Table1101516[[#This Row],[النولون]]+Table1101516[[#This Row],[الايصالات]]-Table1101516[[#This Row],[خصم أ ت ص]]+Table1101516[[#This Row],[قيمة مضافة]]</f>
        <v>0</v>
      </c>
      <c r="M145" s="1">
        <f>M144+Table1101516[[#This Row],[اجمالي الفاتوره]]-Table1101516[[#This Row],[الدفعات]]</f>
        <v>0</v>
      </c>
    </row>
    <row r="146" spans="11:13" ht="24" customHeight="1" x14ac:dyDescent="0.3">
      <c r="K146" s="1">
        <f>Table1101516[[#This Row],[النولون]]+Table1101516[[#This Row],[الايصالات]]-Table1101516[[#This Row],[خصم أ ت ص]]+Table1101516[[#This Row],[قيمة مضافة]]</f>
        <v>0</v>
      </c>
      <c r="M146" s="1">
        <f>M145+Table1101516[[#This Row],[اجمالي الفاتوره]]-Table1101516[[#This Row],[الدفعات]]</f>
        <v>0</v>
      </c>
    </row>
    <row r="147" spans="11:13" ht="24" customHeight="1" x14ac:dyDescent="0.3">
      <c r="K147" s="1">
        <f>Table1101516[[#This Row],[النولون]]+Table1101516[[#This Row],[الايصالات]]-Table1101516[[#This Row],[خصم أ ت ص]]+Table1101516[[#This Row],[قيمة مضافة]]</f>
        <v>0</v>
      </c>
      <c r="M147" s="1">
        <f>M146+Table1101516[[#This Row],[اجمالي الفاتوره]]-Table1101516[[#This Row],[الدفعات]]</f>
        <v>0</v>
      </c>
    </row>
    <row r="148" spans="11:13" ht="24" customHeight="1" x14ac:dyDescent="0.3">
      <c r="K148" s="1">
        <f>Table1101516[[#This Row],[النولون]]+Table1101516[[#This Row],[الايصالات]]-Table1101516[[#This Row],[خصم أ ت ص]]+Table1101516[[#This Row],[قيمة مضافة]]</f>
        <v>0</v>
      </c>
      <c r="M148" s="1">
        <f>M147+Table1101516[[#This Row],[اجمالي الفاتوره]]-Table1101516[[#This Row],[الدفعات]]</f>
        <v>0</v>
      </c>
    </row>
    <row r="149" spans="11:13" ht="24" customHeight="1" x14ac:dyDescent="0.3">
      <c r="K149" s="1">
        <f>Table1101516[[#This Row],[النولون]]+Table1101516[[#This Row],[الايصالات]]-Table1101516[[#This Row],[خصم أ ت ص]]+Table1101516[[#This Row],[قيمة مضافة]]</f>
        <v>0</v>
      </c>
      <c r="M149" s="1">
        <f>M148+Table1101516[[#This Row],[اجمالي الفاتوره]]-Table1101516[[#This Row],[الدفعات]]</f>
        <v>0</v>
      </c>
    </row>
    <row r="150" spans="11:13" ht="24" customHeight="1" x14ac:dyDescent="0.3">
      <c r="K150" s="1">
        <f>Table1101516[[#This Row],[النولون]]+Table1101516[[#This Row],[الايصالات]]-Table1101516[[#This Row],[خصم أ ت ص]]+Table1101516[[#This Row],[قيمة مضافة]]</f>
        <v>0</v>
      </c>
      <c r="M150" s="1">
        <f>M149+Table1101516[[#This Row],[اجمالي الفاتوره]]-Table1101516[[#This Row],[الدفعات]]</f>
        <v>0</v>
      </c>
    </row>
    <row r="151" spans="11:13" ht="24" customHeight="1" x14ac:dyDescent="0.3">
      <c r="K151" s="1">
        <f>Table1101516[[#This Row],[النولون]]+Table1101516[[#This Row],[الايصالات]]-Table1101516[[#This Row],[خصم أ ت ص]]+Table1101516[[#This Row],[قيمة مضافة]]</f>
        <v>0</v>
      </c>
      <c r="M151" s="1">
        <f>M150+Table1101516[[#This Row],[اجمالي الفاتوره]]-Table1101516[[#This Row],[الدفعات]]</f>
        <v>0</v>
      </c>
    </row>
    <row r="152" spans="11:13" ht="24" customHeight="1" x14ac:dyDescent="0.3">
      <c r="K152" s="1">
        <f>Table1101516[[#This Row],[النولون]]+Table1101516[[#This Row],[الايصالات]]-Table1101516[[#This Row],[خصم أ ت ص]]+Table1101516[[#This Row],[قيمة مضافة]]</f>
        <v>0</v>
      </c>
      <c r="M152" s="1">
        <f>M151+Table1101516[[#This Row],[اجمالي الفاتوره]]-Table1101516[[#This Row],[الدفعات]]</f>
        <v>0</v>
      </c>
    </row>
    <row r="153" spans="11:13" ht="24" customHeight="1" x14ac:dyDescent="0.3">
      <c r="K153" s="1">
        <f>Table1101516[[#This Row],[النولون]]+Table1101516[[#This Row],[الايصالات]]-Table1101516[[#This Row],[خصم أ ت ص]]+Table1101516[[#This Row],[قيمة مضافة]]</f>
        <v>0</v>
      </c>
      <c r="M153" s="1">
        <f>M152+Table1101516[[#This Row],[اجمالي الفاتوره]]-Table1101516[[#This Row],[الدفعات]]</f>
        <v>0</v>
      </c>
    </row>
    <row r="154" spans="11:13" ht="24" customHeight="1" x14ac:dyDescent="0.3">
      <c r="K154" s="1">
        <f>Table1101516[[#This Row],[النولون]]+Table1101516[[#This Row],[الايصالات]]-Table1101516[[#This Row],[خصم أ ت ص]]+Table1101516[[#This Row],[قيمة مضافة]]</f>
        <v>0</v>
      </c>
      <c r="M154" s="1">
        <f>M153+Table1101516[[#This Row],[اجمالي الفاتوره]]-Table1101516[[#This Row],[الدفعات]]</f>
        <v>0</v>
      </c>
    </row>
    <row r="155" spans="11:13" ht="24" customHeight="1" x14ac:dyDescent="0.3">
      <c r="K155" s="1">
        <f>Table1101516[[#This Row],[النولون]]+Table1101516[[#This Row],[الايصالات]]-Table1101516[[#This Row],[خصم أ ت ص]]+Table1101516[[#This Row],[قيمة مضافة]]</f>
        <v>0</v>
      </c>
      <c r="M155" s="1">
        <f>M154+Table1101516[[#This Row],[اجمالي الفاتوره]]-Table1101516[[#This Row],[الدفعات]]</f>
        <v>0</v>
      </c>
    </row>
    <row r="156" spans="11:13" ht="24" customHeight="1" x14ac:dyDescent="0.3">
      <c r="K156" s="1">
        <f>Table1101516[[#This Row],[النولون]]+Table1101516[[#This Row],[الايصالات]]-Table1101516[[#This Row],[خصم أ ت ص]]+Table1101516[[#This Row],[قيمة مضافة]]</f>
        <v>0</v>
      </c>
      <c r="M156" s="1">
        <f>M155+Table1101516[[#This Row],[اجمالي الفاتوره]]-Table1101516[[#This Row],[الدفعات]]</f>
        <v>0</v>
      </c>
    </row>
    <row r="157" spans="11:13" ht="24" customHeight="1" x14ac:dyDescent="0.3">
      <c r="K157" s="1">
        <f>Table1101516[[#This Row],[النولون]]+Table1101516[[#This Row],[الايصالات]]-Table1101516[[#This Row],[خصم أ ت ص]]+Table1101516[[#This Row],[قيمة مضافة]]</f>
        <v>0</v>
      </c>
      <c r="M157" s="1">
        <f>M156+Table1101516[[#This Row],[اجمالي الفاتوره]]-Table1101516[[#This Row],[الدفعات]]</f>
        <v>0</v>
      </c>
    </row>
    <row r="158" spans="11:13" ht="24" customHeight="1" x14ac:dyDescent="0.3">
      <c r="K158" s="1">
        <f>Table1101516[[#This Row],[النولون]]+Table1101516[[#This Row],[الايصالات]]-Table1101516[[#This Row],[خصم أ ت ص]]+Table1101516[[#This Row],[قيمة مضافة]]</f>
        <v>0</v>
      </c>
      <c r="M158" s="1">
        <f>M157+Table1101516[[#This Row],[اجمالي الفاتوره]]-Table1101516[[#This Row],[الدفعات]]</f>
        <v>0</v>
      </c>
    </row>
    <row r="159" spans="11:13" ht="24" customHeight="1" x14ac:dyDescent="0.3">
      <c r="K159" s="1">
        <f>Table1101516[[#This Row],[النولون]]+Table1101516[[#This Row],[الايصالات]]-Table1101516[[#This Row],[خصم أ ت ص]]+Table1101516[[#This Row],[قيمة مضافة]]</f>
        <v>0</v>
      </c>
      <c r="M159" s="1">
        <f>M158+Table1101516[[#This Row],[اجمالي الفاتوره]]-Table1101516[[#This Row],[الدفعات]]</f>
        <v>0</v>
      </c>
    </row>
    <row r="160" spans="11:13" ht="24" customHeight="1" x14ac:dyDescent="0.3">
      <c r="K160" s="1">
        <f>Table1101516[[#This Row],[النولون]]+Table1101516[[#This Row],[الايصالات]]-Table1101516[[#This Row],[خصم أ ت ص]]+Table1101516[[#This Row],[قيمة مضافة]]</f>
        <v>0</v>
      </c>
      <c r="M160" s="1">
        <f>M159+Table1101516[[#This Row],[اجمالي الفاتوره]]-Table1101516[[#This Row],[الدفعات]]</f>
        <v>0</v>
      </c>
    </row>
    <row r="161" spans="11:13" ht="24" customHeight="1" x14ac:dyDescent="0.3">
      <c r="K161" s="1">
        <f>Table1101516[[#This Row],[النولون]]+Table1101516[[#This Row],[الايصالات]]-Table1101516[[#This Row],[خصم أ ت ص]]+Table1101516[[#This Row],[قيمة مضافة]]</f>
        <v>0</v>
      </c>
      <c r="M161" s="1">
        <f>M160+Table1101516[[#This Row],[اجمالي الفاتوره]]-Table1101516[[#This Row],[الدفعات]]</f>
        <v>0</v>
      </c>
    </row>
    <row r="162" spans="11:13" ht="24" customHeight="1" x14ac:dyDescent="0.3">
      <c r="K162" s="1">
        <f>Table1101516[[#This Row],[النولون]]+Table1101516[[#This Row],[الايصالات]]-Table1101516[[#This Row],[خصم أ ت ص]]+Table1101516[[#This Row],[قيمة مضافة]]</f>
        <v>0</v>
      </c>
      <c r="M162" s="1">
        <f>M161+Table1101516[[#This Row],[اجمالي الفاتوره]]-Table1101516[[#This Row],[الدفعات]]</f>
        <v>0</v>
      </c>
    </row>
    <row r="163" spans="11:13" ht="24" customHeight="1" x14ac:dyDescent="0.3">
      <c r="K163" s="1">
        <f>Table1101516[[#This Row],[النولون]]+Table1101516[[#This Row],[الايصالات]]-Table1101516[[#This Row],[خصم أ ت ص]]+Table1101516[[#This Row],[قيمة مضافة]]</f>
        <v>0</v>
      </c>
      <c r="M163" s="1">
        <f>M162+Table1101516[[#This Row],[اجمالي الفاتوره]]-Table1101516[[#This Row],[الدفعات]]</f>
        <v>0</v>
      </c>
    </row>
    <row r="164" spans="11:13" ht="24" customHeight="1" x14ac:dyDescent="0.3">
      <c r="K164" s="1">
        <f>Table1101516[[#This Row],[النولون]]+Table1101516[[#This Row],[الايصالات]]-Table1101516[[#This Row],[خصم أ ت ص]]+Table1101516[[#This Row],[قيمة مضافة]]</f>
        <v>0</v>
      </c>
      <c r="M164" s="1">
        <f>M163+Table1101516[[#This Row],[اجمالي الفاتوره]]-Table1101516[[#This Row],[الدفعات]]</f>
        <v>0</v>
      </c>
    </row>
    <row r="165" spans="11:13" ht="24" customHeight="1" x14ac:dyDescent="0.3">
      <c r="K165" s="1">
        <f>Table1101516[[#This Row],[النولون]]+Table1101516[[#This Row],[الايصالات]]-Table1101516[[#This Row],[خصم أ ت ص]]+Table1101516[[#This Row],[قيمة مضافة]]</f>
        <v>0</v>
      </c>
      <c r="M165" s="1">
        <f>M164+Table1101516[[#This Row],[اجمالي الفاتوره]]-Table1101516[[#This Row],[الدفعات]]</f>
        <v>0</v>
      </c>
    </row>
    <row r="166" spans="11:13" ht="24" customHeight="1" x14ac:dyDescent="0.3">
      <c r="K166" s="1">
        <f>Table1101516[[#This Row],[النولون]]+Table1101516[[#This Row],[الايصالات]]-Table1101516[[#This Row],[خصم أ ت ص]]+Table1101516[[#This Row],[قيمة مضافة]]</f>
        <v>0</v>
      </c>
      <c r="M166" s="1">
        <f>M165+Table1101516[[#This Row],[اجمالي الفاتوره]]-Table1101516[[#This Row],[الدفعات]]</f>
        <v>0</v>
      </c>
    </row>
    <row r="167" spans="11:13" ht="24" customHeight="1" x14ac:dyDescent="0.3">
      <c r="K167" s="1">
        <f>Table1101516[[#This Row],[النولون]]+Table1101516[[#This Row],[الايصالات]]-Table1101516[[#This Row],[خصم أ ت ص]]+Table1101516[[#This Row],[قيمة مضافة]]</f>
        <v>0</v>
      </c>
      <c r="M167" s="1">
        <f>M166+Table1101516[[#This Row],[اجمالي الفاتوره]]-Table1101516[[#This Row],[الدفعات]]</f>
        <v>0</v>
      </c>
    </row>
    <row r="168" spans="11:13" ht="24" customHeight="1" x14ac:dyDescent="0.3">
      <c r="K168" s="1">
        <f>Table1101516[[#This Row],[النولون]]+Table1101516[[#This Row],[الايصالات]]-Table1101516[[#This Row],[خصم أ ت ص]]+Table1101516[[#This Row],[قيمة مضافة]]</f>
        <v>0</v>
      </c>
      <c r="M168" s="1">
        <f>M167+Table1101516[[#This Row],[اجمالي الفاتوره]]-Table1101516[[#This Row],[الدفعات]]</f>
        <v>0</v>
      </c>
    </row>
    <row r="169" spans="11:13" ht="24" customHeight="1" x14ac:dyDescent="0.3">
      <c r="K169" s="1">
        <f>Table1101516[[#This Row],[النولون]]+Table1101516[[#This Row],[الايصالات]]-Table1101516[[#This Row],[خصم أ ت ص]]+Table1101516[[#This Row],[قيمة مضافة]]</f>
        <v>0</v>
      </c>
      <c r="M169" s="1">
        <f>M168+Table1101516[[#This Row],[اجمالي الفاتوره]]-Table1101516[[#This Row],[الدفعات]]</f>
        <v>0</v>
      </c>
    </row>
    <row r="170" spans="11:13" ht="24" customHeight="1" x14ac:dyDescent="0.3">
      <c r="K170" s="1">
        <f>Table1101516[[#This Row],[النولون]]+Table1101516[[#This Row],[الايصالات]]-Table1101516[[#This Row],[خصم أ ت ص]]+Table1101516[[#This Row],[قيمة مضافة]]</f>
        <v>0</v>
      </c>
      <c r="M170" s="1">
        <f>M169+Table1101516[[#This Row],[اجمالي الفاتوره]]-Table1101516[[#This Row],[الدفعات]]</f>
        <v>0</v>
      </c>
    </row>
    <row r="171" spans="11:13" ht="24" customHeight="1" x14ac:dyDescent="0.3">
      <c r="K171" s="1">
        <f>Table1101516[[#This Row],[النولون]]+Table1101516[[#This Row],[الايصالات]]-Table1101516[[#This Row],[خصم أ ت ص]]+Table1101516[[#This Row],[قيمة مضافة]]</f>
        <v>0</v>
      </c>
      <c r="M171" s="1">
        <f>M170+Table1101516[[#This Row],[اجمالي الفاتوره]]-Table1101516[[#This Row],[الدفعات]]</f>
        <v>0</v>
      </c>
    </row>
    <row r="172" spans="11:13" ht="24" customHeight="1" x14ac:dyDescent="0.3">
      <c r="K172" s="1">
        <f>Table1101516[[#This Row],[النولون]]+Table1101516[[#This Row],[الايصالات]]-Table1101516[[#This Row],[خصم أ ت ص]]+Table1101516[[#This Row],[قيمة مضافة]]</f>
        <v>0</v>
      </c>
      <c r="M172" s="1">
        <f>M171+Table1101516[[#This Row],[اجمالي الفاتوره]]-Table1101516[[#This Row],[الدفعات]]</f>
        <v>0</v>
      </c>
    </row>
    <row r="173" spans="11:13" ht="24" customHeight="1" x14ac:dyDescent="0.3">
      <c r="K173" s="1">
        <f>Table1101516[[#This Row],[النولون]]+Table1101516[[#This Row],[الايصالات]]-Table1101516[[#This Row],[خصم أ ت ص]]+Table1101516[[#This Row],[قيمة مضافة]]</f>
        <v>0</v>
      </c>
      <c r="M173" s="1">
        <f>M172+Table1101516[[#This Row],[اجمالي الفاتوره]]-Table1101516[[#This Row],[الدفعات]]</f>
        <v>0</v>
      </c>
    </row>
    <row r="174" spans="11:13" ht="24" customHeight="1" x14ac:dyDescent="0.3">
      <c r="K174" s="1">
        <f>Table1101516[[#This Row],[النولون]]+Table1101516[[#This Row],[الايصالات]]-Table1101516[[#This Row],[خصم أ ت ص]]+Table1101516[[#This Row],[قيمة مضافة]]</f>
        <v>0</v>
      </c>
      <c r="M174" s="1">
        <f>M173+Table1101516[[#This Row],[اجمالي الفاتوره]]-Table1101516[[#This Row],[الدفعات]]</f>
        <v>0</v>
      </c>
    </row>
    <row r="175" spans="11:13" ht="24" customHeight="1" x14ac:dyDescent="0.3">
      <c r="K175" s="1">
        <f>Table1101516[[#This Row],[النولون]]+Table1101516[[#This Row],[الايصالات]]-Table1101516[[#This Row],[خصم أ ت ص]]+Table1101516[[#This Row],[قيمة مضافة]]</f>
        <v>0</v>
      </c>
      <c r="M175" s="1">
        <f>M174+Table1101516[[#This Row],[اجمالي الفاتوره]]-Table1101516[[#This Row],[الدفعات]]</f>
        <v>0</v>
      </c>
    </row>
    <row r="176" spans="11:13" ht="24" customHeight="1" x14ac:dyDescent="0.3">
      <c r="K176" s="1">
        <f>Table1101516[[#This Row],[النولون]]+Table1101516[[#This Row],[الايصالات]]-Table1101516[[#This Row],[خصم أ ت ص]]+Table1101516[[#This Row],[قيمة مضافة]]</f>
        <v>0</v>
      </c>
      <c r="M176" s="1">
        <f>M175+Table1101516[[#This Row],[اجمالي الفاتوره]]-Table1101516[[#This Row],[الدفعات]]</f>
        <v>0</v>
      </c>
    </row>
    <row r="177" spans="11:13" ht="24" customHeight="1" x14ac:dyDescent="0.3">
      <c r="K177" s="1">
        <f>Table1101516[[#This Row],[النولون]]+Table1101516[[#This Row],[الايصالات]]-Table1101516[[#This Row],[خصم أ ت ص]]+Table1101516[[#This Row],[قيمة مضافة]]</f>
        <v>0</v>
      </c>
      <c r="M177" s="1">
        <f>M176+Table1101516[[#This Row],[اجمالي الفاتوره]]-Table1101516[[#This Row],[الدفعات]]</f>
        <v>0</v>
      </c>
    </row>
    <row r="178" spans="11:13" ht="24" customHeight="1" x14ac:dyDescent="0.3">
      <c r="K178" s="1">
        <f>Table1101516[[#This Row],[النولون]]+Table1101516[[#This Row],[الايصالات]]-Table1101516[[#This Row],[خصم أ ت ص]]+Table1101516[[#This Row],[قيمة مضافة]]</f>
        <v>0</v>
      </c>
      <c r="M178" s="1">
        <f>M177+Table1101516[[#This Row],[اجمالي الفاتوره]]-Table1101516[[#This Row],[الدفعات]]</f>
        <v>0</v>
      </c>
    </row>
    <row r="179" spans="11:13" ht="24" customHeight="1" x14ac:dyDescent="0.3">
      <c r="K179" s="1">
        <f>Table1101516[[#This Row],[النولون]]+Table1101516[[#This Row],[الايصالات]]-Table1101516[[#This Row],[خصم أ ت ص]]+Table1101516[[#This Row],[قيمة مضافة]]</f>
        <v>0</v>
      </c>
      <c r="M179" s="1">
        <f>M178+Table1101516[[#This Row],[اجمالي الفاتوره]]-Table1101516[[#This Row],[الدفعات]]</f>
        <v>0</v>
      </c>
    </row>
    <row r="180" spans="11:13" ht="24" customHeight="1" x14ac:dyDescent="0.3">
      <c r="K180" s="1">
        <f>Table1101516[[#This Row],[النولون]]+Table1101516[[#This Row],[الايصالات]]-Table1101516[[#This Row],[خصم أ ت ص]]+Table1101516[[#This Row],[قيمة مضافة]]</f>
        <v>0</v>
      </c>
      <c r="M180" s="1">
        <f>M179+Table1101516[[#This Row],[اجمالي الفاتوره]]-Table1101516[[#This Row],[الدفعات]]</f>
        <v>0</v>
      </c>
    </row>
    <row r="181" spans="11:13" ht="24" customHeight="1" x14ac:dyDescent="0.3">
      <c r="K181" s="1">
        <f>Table1101516[[#This Row],[النولون]]+Table1101516[[#This Row],[الايصالات]]-Table1101516[[#This Row],[خصم أ ت ص]]+Table1101516[[#This Row],[قيمة مضافة]]</f>
        <v>0</v>
      </c>
      <c r="M181" s="1">
        <f>M180+Table1101516[[#This Row],[اجمالي الفاتوره]]-Table1101516[[#This Row],[الدفعات]]</f>
        <v>0</v>
      </c>
    </row>
    <row r="182" spans="11:13" ht="24" customHeight="1" x14ac:dyDescent="0.3">
      <c r="K182" s="1">
        <f>Table1101516[[#This Row],[النولون]]+Table1101516[[#This Row],[الايصالات]]-Table1101516[[#This Row],[خصم أ ت ص]]+Table1101516[[#This Row],[قيمة مضافة]]</f>
        <v>0</v>
      </c>
      <c r="M182" s="1">
        <f>M181+Table1101516[[#This Row],[اجمالي الفاتوره]]-Table1101516[[#This Row],[الدفعات]]</f>
        <v>0</v>
      </c>
    </row>
    <row r="183" spans="11:13" ht="24" customHeight="1" x14ac:dyDescent="0.3">
      <c r="K183" s="1">
        <f>Table1101516[[#This Row],[النولون]]+Table1101516[[#This Row],[الايصالات]]-Table1101516[[#This Row],[خصم أ ت ص]]+Table1101516[[#This Row],[قيمة مضافة]]</f>
        <v>0</v>
      </c>
      <c r="M183" s="1">
        <f>M182+Table1101516[[#This Row],[اجمالي الفاتوره]]-Table1101516[[#This Row],[الدفعات]]</f>
        <v>0</v>
      </c>
    </row>
    <row r="184" spans="11:13" ht="24" customHeight="1" x14ac:dyDescent="0.3">
      <c r="K184" s="1">
        <f>Table1101516[[#This Row],[النولون]]+Table1101516[[#This Row],[الايصالات]]-Table1101516[[#This Row],[خصم أ ت ص]]+Table1101516[[#This Row],[قيمة مضافة]]</f>
        <v>0</v>
      </c>
      <c r="M184" s="1">
        <f>M183+Table1101516[[#This Row],[اجمالي الفاتوره]]-Table1101516[[#This Row],[الدفعات]]</f>
        <v>0</v>
      </c>
    </row>
    <row r="185" spans="11:13" ht="24" customHeight="1" x14ac:dyDescent="0.3">
      <c r="K185" s="1">
        <f>Table1101516[[#This Row],[النولون]]+Table1101516[[#This Row],[الايصالات]]-Table1101516[[#This Row],[خصم أ ت ص]]+Table1101516[[#This Row],[قيمة مضافة]]</f>
        <v>0</v>
      </c>
      <c r="M185" s="1">
        <f>M184+Table1101516[[#This Row],[اجمالي الفاتوره]]-Table1101516[[#This Row],[الدفعات]]</f>
        <v>0</v>
      </c>
    </row>
    <row r="186" spans="11:13" ht="24" customHeight="1" x14ac:dyDescent="0.3">
      <c r="K186" s="1">
        <f>Table1101516[[#This Row],[النولون]]+Table1101516[[#This Row],[الايصالات]]-Table1101516[[#This Row],[خصم أ ت ص]]+Table1101516[[#This Row],[قيمة مضافة]]</f>
        <v>0</v>
      </c>
      <c r="M186" s="1">
        <f>M185+Table1101516[[#This Row],[اجمالي الفاتوره]]-Table1101516[[#This Row],[الدفعات]]</f>
        <v>0</v>
      </c>
    </row>
    <row r="187" spans="11:13" ht="24" customHeight="1" x14ac:dyDescent="0.3">
      <c r="K187" s="1">
        <f>Table1101516[[#This Row],[النولون]]+Table1101516[[#This Row],[الايصالات]]-Table1101516[[#This Row],[خصم أ ت ص]]+Table1101516[[#This Row],[قيمة مضافة]]</f>
        <v>0</v>
      </c>
      <c r="M187" s="1">
        <f>M186+Table1101516[[#This Row],[اجمالي الفاتوره]]-Table1101516[[#This Row],[الدفعات]]</f>
        <v>0</v>
      </c>
    </row>
    <row r="188" spans="11:13" ht="24" customHeight="1" x14ac:dyDescent="0.3">
      <c r="K188" s="1">
        <f>Table1101516[[#This Row],[النولون]]+Table1101516[[#This Row],[الايصالات]]-Table1101516[[#This Row],[خصم أ ت ص]]+Table1101516[[#This Row],[قيمة مضافة]]</f>
        <v>0</v>
      </c>
      <c r="M188" s="1">
        <f>M187+Table1101516[[#This Row],[اجمالي الفاتوره]]-Table1101516[[#This Row],[الدفعات]]</f>
        <v>0</v>
      </c>
    </row>
    <row r="189" spans="11:13" ht="24" customHeight="1" x14ac:dyDescent="0.3">
      <c r="K189" s="1">
        <f>Table1101516[[#This Row],[النولون]]+Table1101516[[#This Row],[الايصالات]]-Table1101516[[#This Row],[خصم أ ت ص]]+Table1101516[[#This Row],[قيمة مضافة]]</f>
        <v>0</v>
      </c>
      <c r="M189" s="1">
        <f>M188+Table1101516[[#This Row],[اجمالي الفاتوره]]-Table1101516[[#This Row],[الدفعات]]</f>
        <v>0</v>
      </c>
    </row>
    <row r="190" spans="11:13" ht="24" customHeight="1" x14ac:dyDescent="0.3">
      <c r="K190" s="1">
        <f>Table1101516[[#This Row],[النولون]]+Table1101516[[#This Row],[الايصالات]]-Table1101516[[#This Row],[خصم أ ت ص]]+Table1101516[[#This Row],[قيمة مضافة]]</f>
        <v>0</v>
      </c>
      <c r="M190" s="1">
        <f>M189+Table1101516[[#This Row],[اجمالي الفاتوره]]-Table1101516[[#This Row],[الدفعات]]</f>
        <v>0</v>
      </c>
    </row>
    <row r="191" spans="11:13" ht="24" customHeight="1" x14ac:dyDescent="0.3">
      <c r="K191" s="1">
        <f>Table1101516[[#This Row],[النولون]]+Table1101516[[#This Row],[الايصالات]]-Table1101516[[#This Row],[خصم أ ت ص]]+Table1101516[[#This Row],[قيمة مضافة]]</f>
        <v>0</v>
      </c>
      <c r="M191" s="1">
        <f>M190+Table1101516[[#This Row],[اجمالي الفاتوره]]-Table1101516[[#This Row],[الدفعات]]</f>
        <v>0</v>
      </c>
    </row>
    <row r="192" spans="11:13" ht="24" customHeight="1" x14ac:dyDescent="0.3">
      <c r="K192" s="1">
        <f>Table1101516[[#This Row],[النولون]]+Table1101516[[#This Row],[الايصالات]]-Table1101516[[#This Row],[خصم أ ت ص]]+Table1101516[[#This Row],[قيمة مضافة]]</f>
        <v>0</v>
      </c>
      <c r="M192" s="1">
        <f>M191+Table1101516[[#This Row],[اجمالي الفاتوره]]-Table1101516[[#This Row],[الدفعات]]</f>
        <v>0</v>
      </c>
    </row>
    <row r="193" spans="11:13" ht="24" customHeight="1" x14ac:dyDescent="0.3">
      <c r="K193" s="1">
        <f>Table1101516[[#This Row],[النولون]]+Table1101516[[#This Row],[الايصالات]]-Table1101516[[#This Row],[خصم أ ت ص]]+Table1101516[[#This Row],[قيمة مضافة]]</f>
        <v>0</v>
      </c>
      <c r="M193" s="1">
        <f>M192+Table1101516[[#This Row],[اجمالي الفاتوره]]-Table1101516[[#This Row],[الدفعات]]</f>
        <v>0</v>
      </c>
    </row>
    <row r="194" spans="11:13" ht="24" customHeight="1" x14ac:dyDescent="0.3">
      <c r="K194" s="1">
        <f>Table1101516[[#This Row],[النولون]]+Table1101516[[#This Row],[الايصالات]]-Table1101516[[#This Row],[خصم أ ت ص]]+Table1101516[[#This Row],[قيمة مضافة]]</f>
        <v>0</v>
      </c>
      <c r="M194" s="1">
        <f>M193+Table1101516[[#This Row],[اجمالي الفاتوره]]-Table1101516[[#This Row],[الدفعات]]</f>
        <v>0</v>
      </c>
    </row>
    <row r="195" spans="11:13" ht="24" customHeight="1" x14ac:dyDescent="0.3">
      <c r="K195" s="1">
        <f>Table1101516[[#This Row],[النولون]]+Table1101516[[#This Row],[الايصالات]]-Table1101516[[#This Row],[خصم أ ت ص]]+Table1101516[[#This Row],[قيمة مضافة]]</f>
        <v>0</v>
      </c>
      <c r="M195" s="1">
        <f>M194+Table1101516[[#This Row],[اجمالي الفاتوره]]-Table1101516[[#This Row],[الدفعات]]</f>
        <v>0</v>
      </c>
    </row>
    <row r="196" spans="11:13" ht="24" customHeight="1" x14ac:dyDescent="0.3">
      <c r="K196" s="1">
        <f>Table1101516[[#This Row],[النولون]]+Table1101516[[#This Row],[الايصالات]]-Table1101516[[#This Row],[خصم أ ت ص]]+Table1101516[[#This Row],[قيمة مضافة]]</f>
        <v>0</v>
      </c>
      <c r="M196" s="1">
        <f>M195+Table1101516[[#This Row],[اجمالي الفاتوره]]-Table1101516[[#This Row],[الدفعات]]</f>
        <v>0</v>
      </c>
    </row>
    <row r="197" spans="11:13" ht="24" customHeight="1" x14ac:dyDescent="0.3">
      <c r="K197" s="1">
        <f>Table1101516[[#This Row],[النولون]]+Table1101516[[#This Row],[الايصالات]]-Table1101516[[#This Row],[خصم أ ت ص]]+Table1101516[[#This Row],[قيمة مضافة]]</f>
        <v>0</v>
      </c>
      <c r="M197" s="1">
        <f>M196+Table1101516[[#This Row],[اجمالي الفاتوره]]-Table1101516[[#This Row],[الدفعات]]</f>
        <v>0</v>
      </c>
    </row>
    <row r="198" spans="11:13" ht="24" customHeight="1" x14ac:dyDescent="0.3">
      <c r="K198" s="1">
        <f>Table1101516[[#This Row],[النولون]]+Table1101516[[#This Row],[الايصالات]]-Table1101516[[#This Row],[خصم أ ت ص]]+Table1101516[[#This Row],[قيمة مضافة]]</f>
        <v>0</v>
      </c>
      <c r="M198" s="1">
        <f>M197+Table1101516[[#This Row],[اجمالي الفاتوره]]-Table1101516[[#This Row],[الدفعات]]</f>
        <v>0</v>
      </c>
    </row>
    <row r="199" spans="11:13" ht="24" customHeight="1" x14ac:dyDescent="0.3">
      <c r="K199" s="1">
        <f>Table1101516[[#This Row],[النولون]]+Table1101516[[#This Row],[الايصالات]]-Table1101516[[#This Row],[خصم أ ت ص]]+Table1101516[[#This Row],[قيمة مضافة]]</f>
        <v>0</v>
      </c>
      <c r="M199" s="1">
        <f>M198+Table1101516[[#This Row],[اجمالي الفاتوره]]-Table1101516[[#This Row],[الدفعات]]</f>
        <v>0</v>
      </c>
    </row>
    <row r="200" spans="11:13" ht="24" customHeight="1" x14ac:dyDescent="0.3">
      <c r="K200" s="1">
        <f>Table1101516[[#This Row],[النولون]]+Table1101516[[#This Row],[الايصالات]]-Table1101516[[#This Row],[خصم أ ت ص]]+Table1101516[[#This Row],[قيمة مضافة]]</f>
        <v>0</v>
      </c>
      <c r="M200" s="1">
        <f>M199+Table1101516[[#This Row],[اجمالي الفاتوره]]-Table1101516[[#This Row],[الدفعات]]</f>
        <v>0</v>
      </c>
    </row>
    <row r="201" spans="11:13" ht="24" customHeight="1" x14ac:dyDescent="0.3">
      <c r="K201" s="1">
        <f>Table1101516[[#This Row],[النولون]]+Table1101516[[#This Row],[الايصالات]]-Table1101516[[#This Row],[خصم أ ت ص]]+Table1101516[[#This Row],[قيمة مضافة]]</f>
        <v>0</v>
      </c>
      <c r="M201" s="1">
        <f>M200+Table1101516[[#This Row],[اجمالي الفاتوره]]-Table1101516[[#This Row],[الدفعات]]</f>
        <v>0</v>
      </c>
    </row>
    <row r="202" spans="11:13" ht="24" customHeight="1" x14ac:dyDescent="0.3">
      <c r="K202" s="1">
        <f>Table1101516[[#This Row],[النولون]]+Table1101516[[#This Row],[الايصالات]]-Table1101516[[#This Row],[خصم أ ت ص]]+Table1101516[[#This Row],[قيمة مضافة]]</f>
        <v>0</v>
      </c>
      <c r="M202" s="1">
        <f>M201+Table1101516[[#This Row],[اجمالي الفاتوره]]-Table1101516[[#This Row],[الدفعات]]</f>
        <v>0</v>
      </c>
    </row>
    <row r="203" spans="11:13" ht="24" customHeight="1" x14ac:dyDescent="0.3">
      <c r="K203" s="1">
        <f>Table1101516[[#This Row],[النولون]]+Table1101516[[#This Row],[الايصالات]]-Table1101516[[#This Row],[خصم أ ت ص]]+Table1101516[[#This Row],[قيمة مضافة]]</f>
        <v>0</v>
      </c>
      <c r="M203" s="1">
        <f>M202+Table1101516[[#This Row],[اجمالي الفاتوره]]-Table1101516[[#This Row],[الدفعات]]</f>
        <v>0</v>
      </c>
    </row>
    <row r="204" spans="11:13" ht="24" customHeight="1" x14ac:dyDescent="0.3">
      <c r="K204" s="1">
        <f>Table1101516[[#This Row],[النولون]]+Table1101516[[#This Row],[الايصالات]]-Table1101516[[#This Row],[خصم أ ت ص]]+Table1101516[[#This Row],[قيمة مضافة]]</f>
        <v>0</v>
      </c>
      <c r="M204" s="1">
        <f>M203+Table1101516[[#This Row],[اجمالي الفاتوره]]-Table1101516[[#This Row],[الدفعات]]</f>
        <v>0</v>
      </c>
    </row>
    <row r="205" spans="11:13" ht="24" customHeight="1" x14ac:dyDescent="0.3">
      <c r="K205" s="1">
        <f>Table1101516[[#This Row],[النولون]]+Table1101516[[#This Row],[الايصالات]]-Table1101516[[#This Row],[خصم أ ت ص]]+Table1101516[[#This Row],[قيمة مضافة]]</f>
        <v>0</v>
      </c>
      <c r="M205" s="1">
        <f>M204+Table1101516[[#This Row],[اجمالي الفاتوره]]-Table1101516[[#This Row],[الدفعات]]</f>
        <v>0</v>
      </c>
    </row>
    <row r="206" spans="11:13" ht="24" customHeight="1" x14ac:dyDescent="0.3">
      <c r="K206" s="1">
        <f>Table1101516[[#This Row],[النولون]]+Table1101516[[#This Row],[الايصالات]]-Table1101516[[#This Row],[خصم أ ت ص]]+Table1101516[[#This Row],[قيمة مضافة]]</f>
        <v>0</v>
      </c>
      <c r="M206" s="1">
        <f>M205+Table1101516[[#This Row],[اجمالي الفاتوره]]-Table1101516[[#This Row],[الدفعات]]</f>
        <v>0</v>
      </c>
    </row>
    <row r="207" spans="11:13" ht="24" customHeight="1" x14ac:dyDescent="0.3">
      <c r="K207" s="1">
        <f>Table1101516[[#This Row],[النولون]]+Table1101516[[#This Row],[الايصالات]]-Table1101516[[#This Row],[خصم أ ت ص]]+Table1101516[[#This Row],[قيمة مضافة]]</f>
        <v>0</v>
      </c>
      <c r="M207" s="1">
        <f>M206+Table1101516[[#This Row],[اجمالي الفاتوره]]-Table1101516[[#This Row],[الدفعات]]</f>
        <v>0</v>
      </c>
    </row>
    <row r="208" spans="11:13" ht="24" customHeight="1" x14ac:dyDescent="0.3">
      <c r="K208" s="1">
        <f>Table1101516[[#This Row],[النولون]]+Table1101516[[#This Row],[الايصالات]]-Table1101516[[#This Row],[خصم أ ت ص]]+Table1101516[[#This Row],[قيمة مضافة]]</f>
        <v>0</v>
      </c>
      <c r="M208" s="1">
        <f>M207+Table1101516[[#This Row],[اجمالي الفاتوره]]-Table1101516[[#This Row],[الدفعات]]</f>
        <v>0</v>
      </c>
    </row>
    <row r="209" spans="11:13" ht="24" customHeight="1" x14ac:dyDescent="0.3">
      <c r="K209" s="1">
        <f>Table1101516[[#This Row],[النولون]]+Table1101516[[#This Row],[الايصالات]]-Table1101516[[#This Row],[خصم أ ت ص]]+Table1101516[[#This Row],[قيمة مضافة]]</f>
        <v>0</v>
      </c>
      <c r="M209" s="1">
        <f>M208+Table1101516[[#This Row],[اجمالي الفاتوره]]-Table1101516[[#This Row],[الدفعات]]</f>
        <v>0</v>
      </c>
    </row>
    <row r="210" spans="11:13" ht="24" customHeight="1" x14ac:dyDescent="0.3">
      <c r="K210" s="1">
        <f>Table1101516[[#This Row],[النولون]]+Table1101516[[#This Row],[الايصالات]]-Table1101516[[#This Row],[خصم أ ت ص]]+Table1101516[[#This Row],[قيمة مضافة]]</f>
        <v>0</v>
      </c>
      <c r="M210" s="1">
        <f>M209+Table1101516[[#This Row],[اجمالي الفاتوره]]-Table1101516[[#This Row],[الدفعات]]</f>
        <v>0</v>
      </c>
    </row>
    <row r="211" spans="11:13" ht="24" customHeight="1" x14ac:dyDescent="0.3">
      <c r="K211" s="1">
        <f>Table1101516[[#This Row],[النولون]]+Table1101516[[#This Row],[الايصالات]]-Table1101516[[#This Row],[خصم أ ت ص]]+Table1101516[[#This Row],[قيمة مضافة]]</f>
        <v>0</v>
      </c>
      <c r="M211" s="1">
        <f>M210+Table1101516[[#This Row],[اجمالي الفاتوره]]-Table1101516[[#This Row],[الدفعات]]</f>
        <v>0</v>
      </c>
    </row>
    <row r="212" spans="11:13" ht="24" customHeight="1" x14ac:dyDescent="0.3">
      <c r="K212" s="1">
        <f>Table1101516[[#This Row],[النولون]]+Table1101516[[#This Row],[الايصالات]]-Table1101516[[#This Row],[خصم أ ت ص]]+Table1101516[[#This Row],[قيمة مضافة]]</f>
        <v>0</v>
      </c>
      <c r="M212" s="1">
        <f>M211+Table1101516[[#This Row],[اجمالي الفاتوره]]-Table1101516[[#This Row],[الدفعات]]</f>
        <v>0</v>
      </c>
    </row>
    <row r="213" spans="11:13" ht="24" customHeight="1" x14ac:dyDescent="0.3">
      <c r="K213" s="1">
        <f>Table1101516[[#This Row],[النولون]]+Table1101516[[#This Row],[الايصالات]]-Table1101516[[#This Row],[خصم أ ت ص]]+Table1101516[[#This Row],[قيمة مضافة]]</f>
        <v>0</v>
      </c>
      <c r="M213" s="1">
        <f>M212+Table1101516[[#This Row],[اجمالي الفاتوره]]-Table1101516[[#This Row],[الدفعات]]</f>
        <v>0</v>
      </c>
    </row>
    <row r="214" spans="11:13" ht="24" customHeight="1" x14ac:dyDescent="0.3">
      <c r="K214" s="1">
        <f>Table1101516[[#This Row],[النولون]]+Table1101516[[#This Row],[الايصالات]]-Table1101516[[#This Row],[خصم أ ت ص]]+Table1101516[[#This Row],[قيمة مضافة]]</f>
        <v>0</v>
      </c>
      <c r="M214" s="1">
        <f>M213+Table1101516[[#This Row],[اجمالي الفاتوره]]-Table1101516[[#This Row],[الدفعات]]</f>
        <v>0</v>
      </c>
    </row>
    <row r="215" spans="11:13" ht="24" customHeight="1" x14ac:dyDescent="0.3">
      <c r="K215" s="1">
        <f>Table1101516[[#This Row],[النولون]]+Table1101516[[#This Row],[الايصالات]]-Table1101516[[#This Row],[خصم أ ت ص]]+Table1101516[[#This Row],[قيمة مضافة]]</f>
        <v>0</v>
      </c>
      <c r="M215" s="1">
        <f>M214+Table1101516[[#This Row],[اجمالي الفاتوره]]-Table1101516[[#This Row],[الدفعات]]</f>
        <v>0</v>
      </c>
    </row>
    <row r="216" spans="11:13" ht="24" customHeight="1" x14ac:dyDescent="0.3">
      <c r="K216" s="1">
        <f>Table1101516[[#This Row],[النولون]]+Table1101516[[#This Row],[الايصالات]]-Table1101516[[#This Row],[خصم أ ت ص]]+Table1101516[[#This Row],[قيمة مضافة]]</f>
        <v>0</v>
      </c>
      <c r="M216" s="1">
        <f>M215+Table1101516[[#This Row],[اجمالي الفاتوره]]-Table1101516[[#This Row],[الدفعات]]</f>
        <v>0</v>
      </c>
    </row>
    <row r="217" spans="11:13" ht="24" customHeight="1" x14ac:dyDescent="0.3">
      <c r="K217" s="1">
        <f>Table1101516[[#This Row],[النولون]]+Table1101516[[#This Row],[الايصالات]]-Table1101516[[#This Row],[خصم أ ت ص]]+Table1101516[[#This Row],[قيمة مضافة]]</f>
        <v>0</v>
      </c>
      <c r="M217" s="1">
        <f>M216+Table1101516[[#This Row],[اجمالي الفاتوره]]-Table1101516[[#This Row],[الدفعات]]</f>
        <v>0</v>
      </c>
    </row>
    <row r="218" spans="11:13" ht="24" customHeight="1" x14ac:dyDescent="0.3">
      <c r="K218" s="1">
        <f>Table1101516[[#This Row],[النولون]]+Table1101516[[#This Row],[الايصالات]]-Table1101516[[#This Row],[خصم أ ت ص]]+Table1101516[[#This Row],[قيمة مضافة]]</f>
        <v>0</v>
      </c>
      <c r="M218" s="1">
        <f>M217+Table1101516[[#This Row],[اجمالي الفاتوره]]-Table1101516[[#This Row],[الدفعات]]</f>
        <v>0</v>
      </c>
    </row>
    <row r="219" spans="11:13" ht="24" customHeight="1" x14ac:dyDescent="0.3">
      <c r="K219" s="1">
        <f>Table1101516[[#This Row],[النولون]]+Table1101516[[#This Row],[الايصالات]]-Table1101516[[#This Row],[خصم أ ت ص]]+Table1101516[[#This Row],[قيمة مضافة]]</f>
        <v>0</v>
      </c>
      <c r="M219" s="1">
        <f>M218+Table1101516[[#This Row],[اجمالي الفاتوره]]-Table1101516[[#This Row],[الدفعات]]</f>
        <v>0</v>
      </c>
    </row>
    <row r="220" spans="11:13" ht="24" customHeight="1" x14ac:dyDescent="0.3">
      <c r="K220" s="1">
        <f>Table1101516[[#This Row],[النولون]]+Table1101516[[#This Row],[الايصالات]]-Table1101516[[#This Row],[خصم أ ت ص]]+Table1101516[[#This Row],[قيمة مضافة]]</f>
        <v>0</v>
      </c>
      <c r="M220" s="1">
        <f>M219+Table1101516[[#This Row],[اجمالي الفاتوره]]-Table1101516[[#This Row],[الدفعات]]</f>
        <v>0</v>
      </c>
    </row>
    <row r="221" spans="11:13" ht="24" customHeight="1" x14ac:dyDescent="0.3">
      <c r="K221" s="1">
        <f>Table1101516[[#This Row],[النولون]]+Table1101516[[#This Row],[الايصالات]]-Table1101516[[#This Row],[خصم أ ت ص]]+Table1101516[[#This Row],[قيمة مضافة]]</f>
        <v>0</v>
      </c>
      <c r="M221" s="1">
        <f>M220+Table1101516[[#This Row],[اجمالي الفاتوره]]-Table1101516[[#This Row],[الدفعات]]</f>
        <v>0</v>
      </c>
    </row>
    <row r="222" spans="11:13" ht="24" customHeight="1" x14ac:dyDescent="0.3">
      <c r="K222" s="1">
        <f>Table1101516[[#This Row],[النولون]]+Table1101516[[#This Row],[الايصالات]]-Table1101516[[#This Row],[خصم أ ت ص]]+Table1101516[[#This Row],[قيمة مضافة]]</f>
        <v>0</v>
      </c>
      <c r="M222" s="1">
        <f>M221+Table1101516[[#This Row],[اجمالي الفاتوره]]-Table1101516[[#This Row],[الدفعات]]</f>
        <v>0</v>
      </c>
    </row>
    <row r="223" spans="11:13" ht="24" customHeight="1" x14ac:dyDescent="0.3">
      <c r="K223" s="1">
        <f>Table1101516[[#This Row],[النولون]]+Table1101516[[#This Row],[الايصالات]]-Table1101516[[#This Row],[خصم أ ت ص]]+Table1101516[[#This Row],[قيمة مضافة]]</f>
        <v>0</v>
      </c>
      <c r="M223" s="1">
        <f>M222+Table1101516[[#This Row],[اجمالي الفاتوره]]-Table1101516[[#This Row],[الدفعات]]</f>
        <v>0</v>
      </c>
    </row>
    <row r="224" spans="11:13" ht="24" customHeight="1" x14ac:dyDescent="0.3">
      <c r="K224" s="1">
        <f>Table1101516[[#This Row],[النولون]]+Table1101516[[#This Row],[الايصالات]]-Table1101516[[#This Row],[خصم أ ت ص]]+Table1101516[[#This Row],[قيمة مضافة]]</f>
        <v>0</v>
      </c>
      <c r="M224" s="1">
        <f>M223+Table1101516[[#This Row],[اجمالي الفاتوره]]-Table1101516[[#This Row],[الدفعات]]</f>
        <v>0</v>
      </c>
    </row>
    <row r="225" spans="11:13" ht="24" customHeight="1" x14ac:dyDescent="0.3">
      <c r="K225" s="1">
        <f>Table1101516[[#This Row],[النولون]]+Table1101516[[#This Row],[الايصالات]]-Table1101516[[#This Row],[خصم أ ت ص]]+Table1101516[[#This Row],[قيمة مضافة]]</f>
        <v>0</v>
      </c>
      <c r="M225" s="1">
        <f>M224+Table1101516[[#This Row],[اجمالي الفاتوره]]-Table1101516[[#This Row],[الدفعات]]</f>
        <v>0</v>
      </c>
    </row>
    <row r="226" spans="11:13" ht="24" customHeight="1" x14ac:dyDescent="0.3">
      <c r="K226" s="1">
        <f>Table1101516[[#This Row],[النولون]]+Table1101516[[#This Row],[الايصالات]]-Table1101516[[#This Row],[خصم أ ت ص]]+Table1101516[[#This Row],[قيمة مضافة]]</f>
        <v>0</v>
      </c>
      <c r="M226" s="1">
        <f>M225+Table1101516[[#This Row],[اجمالي الفاتوره]]-Table1101516[[#This Row],[الدفعات]]</f>
        <v>0</v>
      </c>
    </row>
    <row r="227" spans="11:13" ht="24" customHeight="1" x14ac:dyDescent="0.3">
      <c r="K227" s="1">
        <f>Table1101516[[#This Row],[النولون]]+Table1101516[[#This Row],[الايصالات]]-Table1101516[[#This Row],[خصم أ ت ص]]+Table1101516[[#This Row],[قيمة مضافة]]</f>
        <v>0</v>
      </c>
      <c r="M227" s="1">
        <f>M226+Table1101516[[#This Row],[اجمالي الفاتوره]]-Table1101516[[#This Row],[الدفعات]]</f>
        <v>0</v>
      </c>
    </row>
    <row r="228" spans="11:13" ht="24" customHeight="1" x14ac:dyDescent="0.3">
      <c r="K228" s="1">
        <f>Table1101516[[#This Row],[النولون]]+Table1101516[[#This Row],[الايصالات]]-Table1101516[[#This Row],[خصم أ ت ص]]+Table1101516[[#This Row],[قيمة مضافة]]</f>
        <v>0</v>
      </c>
      <c r="M228" s="1">
        <f>M227+Table1101516[[#This Row],[اجمالي الفاتوره]]-Table1101516[[#This Row],[الدفعات]]</f>
        <v>0</v>
      </c>
    </row>
    <row r="229" spans="11:13" ht="24" customHeight="1" x14ac:dyDescent="0.3">
      <c r="K229" s="1">
        <f>Table1101516[[#This Row],[النولون]]+Table1101516[[#This Row],[الايصالات]]-Table1101516[[#This Row],[خصم أ ت ص]]+Table1101516[[#This Row],[قيمة مضافة]]</f>
        <v>0</v>
      </c>
      <c r="M229" s="1">
        <f>M228+Table1101516[[#This Row],[اجمالي الفاتوره]]-Table1101516[[#This Row],[الدفعات]]</f>
        <v>0</v>
      </c>
    </row>
    <row r="230" spans="11:13" ht="24" customHeight="1" x14ac:dyDescent="0.3">
      <c r="K230" s="1">
        <f>Table1101516[[#This Row],[النولون]]+Table1101516[[#This Row],[الايصالات]]-Table1101516[[#This Row],[خصم أ ت ص]]+Table1101516[[#This Row],[قيمة مضافة]]</f>
        <v>0</v>
      </c>
      <c r="M230" s="1">
        <f>M229+Table1101516[[#This Row],[اجمالي الفاتوره]]-Table1101516[[#This Row],[الدفعات]]</f>
        <v>0</v>
      </c>
    </row>
    <row r="231" spans="11:13" ht="24" customHeight="1" x14ac:dyDescent="0.3">
      <c r="K231" s="1">
        <f>Table1101516[[#This Row],[النولون]]+Table1101516[[#This Row],[الايصالات]]-Table1101516[[#This Row],[خصم أ ت ص]]+Table1101516[[#This Row],[قيمة مضافة]]</f>
        <v>0</v>
      </c>
      <c r="M231" s="1">
        <f>M230+Table1101516[[#This Row],[اجمالي الفاتوره]]-Table1101516[[#This Row],[الدفعات]]</f>
        <v>0</v>
      </c>
    </row>
    <row r="232" spans="11:13" ht="24" customHeight="1" x14ac:dyDescent="0.3">
      <c r="K232" s="1">
        <f>Table1101516[[#This Row],[النولون]]+Table1101516[[#This Row],[الايصالات]]-Table1101516[[#This Row],[خصم أ ت ص]]+Table1101516[[#This Row],[قيمة مضافة]]</f>
        <v>0</v>
      </c>
      <c r="M232" s="1">
        <f>M231+Table1101516[[#This Row],[اجمالي الفاتوره]]-Table1101516[[#This Row],[الدفعات]]</f>
        <v>0</v>
      </c>
    </row>
    <row r="233" spans="11:13" ht="24" customHeight="1" x14ac:dyDescent="0.3">
      <c r="K233" s="1">
        <f>Table1101516[[#This Row],[النولون]]+Table1101516[[#This Row],[الايصالات]]-Table1101516[[#This Row],[خصم أ ت ص]]+Table1101516[[#This Row],[قيمة مضافة]]</f>
        <v>0</v>
      </c>
      <c r="M233" s="1">
        <f>M232+Table1101516[[#This Row],[اجمالي الفاتوره]]-Table1101516[[#This Row],[الدفعات]]</f>
        <v>0</v>
      </c>
    </row>
    <row r="234" spans="11:13" ht="24" customHeight="1" x14ac:dyDescent="0.3">
      <c r="K234" s="1">
        <f>Table1101516[[#This Row],[النولون]]+Table1101516[[#This Row],[الايصالات]]-Table1101516[[#This Row],[خصم أ ت ص]]+Table1101516[[#This Row],[قيمة مضافة]]</f>
        <v>0</v>
      </c>
      <c r="M234" s="1">
        <f>M233+Table1101516[[#This Row],[اجمالي الفاتوره]]-Table1101516[[#This Row],[الدفعات]]</f>
        <v>0</v>
      </c>
    </row>
    <row r="235" spans="11:13" ht="24" customHeight="1" x14ac:dyDescent="0.3">
      <c r="K235" s="1">
        <f>Table1101516[[#This Row],[النولون]]+Table1101516[[#This Row],[الايصالات]]-Table1101516[[#This Row],[خصم أ ت ص]]+Table1101516[[#This Row],[قيمة مضافة]]</f>
        <v>0</v>
      </c>
      <c r="M235" s="1">
        <f>M234+Table1101516[[#This Row],[اجمالي الفاتوره]]-Table1101516[[#This Row],[الدفعات]]</f>
        <v>0</v>
      </c>
    </row>
    <row r="236" spans="11:13" ht="24" customHeight="1" x14ac:dyDescent="0.3">
      <c r="K236" s="1">
        <f>Table1101516[[#This Row],[النولون]]+Table1101516[[#This Row],[الايصالات]]-Table1101516[[#This Row],[خصم أ ت ص]]+Table1101516[[#This Row],[قيمة مضافة]]</f>
        <v>0</v>
      </c>
      <c r="M236" s="1">
        <f>M235+Table1101516[[#This Row],[اجمالي الفاتوره]]-Table1101516[[#This Row],[الدفعات]]</f>
        <v>0</v>
      </c>
    </row>
    <row r="237" spans="11:13" ht="24" customHeight="1" x14ac:dyDescent="0.3">
      <c r="K237" s="1">
        <f>Table1101516[[#This Row],[النولون]]+Table1101516[[#This Row],[الايصالات]]-Table1101516[[#This Row],[خصم أ ت ص]]+Table1101516[[#This Row],[قيمة مضافة]]</f>
        <v>0</v>
      </c>
      <c r="M237" s="1">
        <f>M236+Table1101516[[#This Row],[اجمالي الفاتوره]]-Table1101516[[#This Row],[الدفعات]]</f>
        <v>0</v>
      </c>
    </row>
    <row r="238" spans="11:13" ht="24" customHeight="1" x14ac:dyDescent="0.3">
      <c r="K238" s="1">
        <f>Table1101516[[#This Row],[النولون]]+Table1101516[[#This Row],[الايصالات]]-Table1101516[[#This Row],[خصم أ ت ص]]+Table1101516[[#This Row],[قيمة مضافة]]</f>
        <v>0</v>
      </c>
      <c r="M238" s="1">
        <f>M237+Table1101516[[#This Row],[اجمالي الفاتوره]]-Table1101516[[#This Row],[الدفعات]]</f>
        <v>0</v>
      </c>
    </row>
    <row r="239" spans="11:13" ht="24" customHeight="1" x14ac:dyDescent="0.3">
      <c r="K239" s="1">
        <f>Table1101516[[#This Row],[النولون]]+Table1101516[[#This Row],[الايصالات]]-Table1101516[[#This Row],[خصم أ ت ص]]+Table1101516[[#This Row],[قيمة مضافة]]</f>
        <v>0</v>
      </c>
      <c r="M239" s="1">
        <f>M238+Table1101516[[#This Row],[اجمالي الفاتوره]]-Table1101516[[#This Row],[الدفعات]]</f>
        <v>0</v>
      </c>
    </row>
    <row r="240" spans="11:13" ht="24" customHeight="1" x14ac:dyDescent="0.3">
      <c r="K240" s="1">
        <f>Table1101516[[#This Row],[النولون]]+Table1101516[[#This Row],[الايصالات]]-Table1101516[[#This Row],[خصم أ ت ص]]+Table1101516[[#This Row],[قيمة مضافة]]</f>
        <v>0</v>
      </c>
      <c r="M240" s="1">
        <f>M239+Table1101516[[#This Row],[اجمالي الفاتوره]]-Table1101516[[#This Row],[الدفعات]]</f>
        <v>0</v>
      </c>
    </row>
    <row r="241" spans="11:13" ht="24" customHeight="1" x14ac:dyDescent="0.3">
      <c r="K241" s="1">
        <f>Table1101516[[#This Row],[النولون]]+Table1101516[[#This Row],[الايصالات]]-Table1101516[[#This Row],[خصم أ ت ص]]+Table1101516[[#This Row],[قيمة مضافة]]</f>
        <v>0</v>
      </c>
      <c r="M241" s="1">
        <f>M240+Table1101516[[#This Row],[اجمالي الفاتوره]]-Table1101516[[#This Row],[الدفعات]]</f>
        <v>0</v>
      </c>
    </row>
    <row r="242" spans="11:13" ht="24" customHeight="1" x14ac:dyDescent="0.3">
      <c r="K242" s="1">
        <f>Table1101516[[#This Row],[النولون]]+Table1101516[[#This Row],[الايصالات]]-Table1101516[[#This Row],[خصم أ ت ص]]+Table1101516[[#This Row],[قيمة مضافة]]</f>
        <v>0</v>
      </c>
      <c r="M242" s="1">
        <f>M241+Table1101516[[#This Row],[اجمالي الفاتوره]]-Table1101516[[#This Row],[الدفعات]]</f>
        <v>0</v>
      </c>
    </row>
    <row r="243" spans="11:13" ht="24" customHeight="1" x14ac:dyDescent="0.3">
      <c r="K243" s="1">
        <f>Table1101516[[#This Row],[النولون]]+Table1101516[[#This Row],[الايصالات]]-Table1101516[[#This Row],[خصم أ ت ص]]+Table1101516[[#This Row],[قيمة مضافة]]</f>
        <v>0</v>
      </c>
      <c r="M243" s="1">
        <f>M242+Table1101516[[#This Row],[اجمالي الفاتوره]]-Table1101516[[#This Row],[الدفعات]]</f>
        <v>0</v>
      </c>
    </row>
    <row r="244" spans="11:13" ht="24" customHeight="1" x14ac:dyDescent="0.3">
      <c r="K244" s="1">
        <f>Table1101516[[#This Row],[النولون]]+Table1101516[[#This Row],[الايصالات]]-Table1101516[[#This Row],[خصم أ ت ص]]+Table1101516[[#This Row],[قيمة مضافة]]</f>
        <v>0</v>
      </c>
      <c r="M244" s="1">
        <f>M243+Table1101516[[#This Row],[اجمالي الفاتوره]]-Table1101516[[#This Row],[الدفعات]]</f>
        <v>0</v>
      </c>
    </row>
    <row r="245" spans="11:13" ht="24" customHeight="1" x14ac:dyDescent="0.3">
      <c r="K245" s="1">
        <f>Table1101516[[#This Row],[النولون]]+Table1101516[[#This Row],[الايصالات]]-Table1101516[[#This Row],[خصم أ ت ص]]+Table1101516[[#This Row],[قيمة مضافة]]</f>
        <v>0</v>
      </c>
      <c r="M245" s="1">
        <f>M244+Table1101516[[#This Row],[اجمالي الفاتوره]]-Table1101516[[#This Row],[الدفعات]]</f>
        <v>0</v>
      </c>
    </row>
    <row r="246" spans="11:13" ht="24" customHeight="1" x14ac:dyDescent="0.3">
      <c r="K246" s="1">
        <f>Table1101516[[#This Row],[النولون]]+Table1101516[[#This Row],[الايصالات]]-Table1101516[[#This Row],[خصم أ ت ص]]+Table1101516[[#This Row],[قيمة مضافة]]</f>
        <v>0</v>
      </c>
      <c r="M246" s="1">
        <f>M245+Table1101516[[#This Row],[اجمالي الفاتوره]]-Table1101516[[#This Row],[الدفعات]]</f>
        <v>0</v>
      </c>
    </row>
    <row r="247" spans="11:13" ht="24" customHeight="1" x14ac:dyDescent="0.3">
      <c r="K247" s="1">
        <f>Table1101516[[#This Row],[النولون]]+Table1101516[[#This Row],[الايصالات]]-Table1101516[[#This Row],[خصم أ ت ص]]+Table1101516[[#This Row],[قيمة مضافة]]</f>
        <v>0</v>
      </c>
      <c r="M247" s="1">
        <f>M246+Table1101516[[#This Row],[اجمالي الفاتوره]]-Table1101516[[#This Row],[الدفعات]]</f>
        <v>0</v>
      </c>
    </row>
    <row r="248" spans="11:13" ht="24" customHeight="1" x14ac:dyDescent="0.3">
      <c r="K248" s="1">
        <f>Table1101516[[#This Row],[النولون]]+Table1101516[[#This Row],[الايصالات]]-Table1101516[[#This Row],[خصم أ ت ص]]+Table1101516[[#This Row],[قيمة مضافة]]</f>
        <v>0</v>
      </c>
      <c r="M248" s="1">
        <f>M247+Table1101516[[#This Row],[اجمالي الفاتوره]]-Table1101516[[#This Row],[الدفعات]]</f>
        <v>0</v>
      </c>
    </row>
    <row r="249" spans="11:13" ht="24" customHeight="1" x14ac:dyDescent="0.3">
      <c r="K249" s="1">
        <f>Table1101516[[#This Row],[النولون]]+Table1101516[[#This Row],[الايصالات]]-Table1101516[[#This Row],[خصم أ ت ص]]+Table1101516[[#This Row],[قيمة مضافة]]</f>
        <v>0</v>
      </c>
      <c r="M249" s="1">
        <f>M248+Table1101516[[#This Row],[اجمالي الفاتوره]]-Table1101516[[#This Row],[الدفعات]]</f>
        <v>0</v>
      </c>
    </row>
    <row r="250" spans="11:13" ht="24" customHeight="1" x14ac:dyDescent="0.3">
      <c r="K250" s="1">
        <f>Table1101516[[#This Row],[النولون]]+Table1101516[[#This Row],[الايصالات]]-Table1101516[[#This Row],[خصم أ ت ص]]+Table1101516[[#This Row],[قيمة مضافة]]</f>
        <v>0</v>
      </c>
      <c r="M250" s="1">
        <f>M249+Table1101516[[#This Row],[اجمالي الفاتوره]]-Table1101516[[#This Row],[الدفعات]]</f>
        <v>0</v>
      </c>
    </row>
    <row r="251" spans="11:13" ht="24" customHeight="1" x14ac:dyDescent="0.3">
      <c r="K251" s="1">
        <f>Table1101516[[#This Row],[النولون]]+Table1101516[[#This Row],[الايصالات]]-Table1101516[[#This Row],[خصم أ ت ص]]+Table1101516[[#This Row],[قيمة مضافة]]</f>
        <v>0</v>
      </c>
      <c r="M251" s="1">
        <f>M250+Table1101516[[#This Row],[اجمالي الفاتوره]]-Table1101516[[#This Row],[الدفعات]]</f>
        <v>0</v>
      </c>
    </row>
    <row r="252" spans="11:13" ht="24" customHeight="1" x14ac:dyDescent="0.3">
      <c r="K252" s="1">
        <f>Table1101516[[#This Row],[النولون]]+Table1101516[[#This Row],[الايصالات]]-Table1101516[[#This Row],[خصم أ ت ص]]+Table1101516[[#This Row],[قيمة مضافة]]</f>
        <v>0</v>
      </c>
      <c r="M252" s="1">
        <f>M251+Table1101516[[#This Row],[اجمالي الفاتوره]]-Table1101516[[#This Row],[الدفعات]]</f>
        <v>0</v>
      </c>
    </row>
    <row r="253" spans="11:13" ht="24" customHeight="1" x14ac:dyDescent="0.3">
      <c r="K253" s="1">
        <f>Table1101516[[#This Row],[النولون]]+Table1101516[[#This Row],[الايصالات]]-Table1101516[[#This Row],[خصم أ ت ص]]+Table1101516[[#This Row],[قيمة مضافة]]</f>
        <v>0</v>
      </c>
      <c r="M253" s="1">
        <f>M252+Table1101516[[#This Row],[اجمالي الفاتوره]]-Table1101516[[#This Row],[الدفعات]]</f>
        <v>0</v>
      </c>
    </row>
    <row r="254" spans="11:13" ht="24" customHeight="1" x14ac:dyDescent="0.3">
      <c r="K254" s="1">
        <f>Table1101516[[#This Row],[النولون]]+Table1101516[[#This Row],[الايصالات]]-Table1101516[[#This Row],[خصم أ ت ص]]+Table1101516[[#This Row],[قيمة مضافة]]</f>
        <v>0</v>
      </c>
      <c r="M254" s="1">
        <f>M253+Table1101516[[#This Row],[اجمالي الفاتوره]]-Table1101516[[#This Row],[الدفعات]]</f>
        <v>0</v>
      </c>
    </row>
    <row r="255" spans="11:13" ht="24" customHeight="1" x14ac:dyDescent="0.3">
      <c r="K255" s="1">
        <f>Table1101516[[#This Row],[النولون]]+Table1101516[[#This Row],[الايصالات]]-Table1101516[[#This Row],[خصم أ ت ص]]+Table1101516[[#This Row],[قيمة مضافة]]</f>
        <v>0</v>
      </c>
      <c r="M255" s="1">
        <f>M254+Table1101516[[#This Row],[اجمالي الفاتوره]]-Table1101516[[#This Row],[الدفعات]]</f>
        <v>0</v>
      </c>
    </row>
    <row r="256" spans="11:13" ht="24" customHeight="1" x14ac:dyDescent="0.3">
      <c r="K256" s="1">
        <f>Table1101516[[#This Row],[النولون]]+Table1101516[[#This Row],[الايصالات]]-Table1101516[[#This Row],[خصم أ ت ص]]+Table1101516[[#This Row],[قيمة مضافة]]</f>
        <v>0</v>
      </c>
      <c r="M256" s="1">
        <f>M255+Table1101516[[#This Row],[اجمالي الفاتوره]]-Table1101516[[#This Row],[الدفعات]]</f>
        <v>0</v>
      </c>
    </row>
    <row r="257" spans="11:13" ht="24" customHeight="1" x14ac:dyDescent="0.3">
      <c r="K257" s="1">
        <f>Table1101516[[#This Row],[النولون]]+Table1101516[[#This Row],[الايصالات]]-Table1101516[[#This Row],[خصم أ ت ص]]+Table1101516[[#This Row],[قيمة مضافة]]</f>
        <v>0</v>
      </c>
      <c r="M257" s="1">
        <f>M256+Table1101516[[#This Row],[اجمالي الفاتوره]]-Table1101516[[#This Row],[الدفعات]]</f>
        <v>0</v>
      </c>
    </row>
    <row r="258" spans="11:13" ht="24" customHeight="1" x14ac:dyDescent="0.3">
      <c r="K258" s="1">
        <f>Table1101516[[#This Row],[النولون]]+Table1101516[[#This Row],[الايصالات]]-Table1101516[[#This Row],[خصم أ ت ص]]+Table1101516[[#This Row],[قيمة مضافة]]</f>
        <v>0</v>
      </c>
      <c r="M258" s="1">
        <f>M257+Table1101516[[#This Row],[اجمالي الفاتوره]]-Table1101516[[#This Row],[الدفعات]]</f>
        <v>0</v>
      </c>
    </row>
    <row r="259" spans="11:13" ht="24" customHeight="1" x14ac:dyDescent="0.3">
      <c r="K259" s="1">
        <f>Table1101516[[#This Row],[النولون]]+Table1101516[[#This Row],[الايصالات]]-Table1101516[[#This Row],[خصم أ ت ص]]+Table1101516[[#This Row],[قيمة مضافة]]</f>
        <v>0</v>
      </c>
      <c r="M259" s="1">
        <f>M258+Table1101516[[#This Row],[اجمالي الفاتوره]]-Table1101516[[#This Row],[الدفعات]]</f>
        <v>0</v>
      </c>
    </row>
    <row r="260" spans="11:13" ht="24" customHeight="1" x14ac:dyDescent="0.3">
      <c r="K260" s="1">
        <f>Table1101516[[#This Row],[النولون]]+Table1101516[[#This Row],[الايصالات]]-Table1101516[[#This Row],[خصم أ ت ص]]+Table1101516[[#This Row],[قيمة مضافة]]</f>
        <v>0</v>
      </c>
      <c r="M260" s="1">
        <f>M259+Table1101516[[#This Row],[اجمالي الفاتوره]]-Table1101516[[#This Row],[الدفعات]]</f>
        <v>0</v>
      </c>
    </row>
    <row r="261" spans="11:13" ht="24" customHeight="1" x14ac:dyDescent="0.3">
      <c r="K261" s="1">
        <f>Table1101516[[#This Row],[النولون]]+Table1101516[[#This Row],[الايصالات]]-Table1101516[[#This Row],[خصم أ ت ص]]+Table1101516[[#This Row],[قيمة مضافة]]</f>
        <v>0</v>
      </c>
      <c r="M261" s="1">
        <f>M260+Table1101516[[#This Row],[اجمالي الفاتوره]]-Table1101516[[#This Row],[الدفعات]]</f>
        <v>0</v>
      </c>
    </row>
    <row r="262" spans="11:13" ht="24" customHeight="1" x14ac:dyDescent="0.3">
      <c r="K262" s="1">
        <f>Table1101516[[#This Row],[النولون]]+Table1101516[[#This Row],[الايصالات]]-Table1101516[[#This Row],[خصم أ ت ص]]+Table1101516[[#This Row],[قيمة مضافة]]</f>
        <v>0</v>
      </c>
      <c r="M262" s="1">
        <f>M261+Table1101516[[#This Row],[اجمالي الفاتوره]]-Table1101516[[#This Row],[الدفعات]]</f>
        <v>0</v>
      </c>
    </row>
    <row r="263" spans="11:13" ht="24" customHeight="1" x14ac:dyDescent="0.3">
      <c r="K263" s="1">
        <f>Table1101516[[#This Row],[النولون]]+Table1101516[[#This Row],[الايصالات]]-Table1101516[[#This Row],[خصم أ ت ص]]+Table1101516[[#This Row],[قيمة مضافة]]</f>
        <v>0</v>
      </c>
      <c r="M263" s="1">
        <f>M262+Table1101516[[#This Row],[اجمالي الفاتوره]]-Table1101516[[#This Row],[الدفعات]]</f>
        <v>0</v>
      </c>
    </row>
    <row r="264" spans="11:13" ht="24" customHeight="1" x14ac:dyDescent="0.3">
      <c r="K264" s="1">
        <f>Table1101516[[#This Row],[النولون]]+Table1101516[[#This Row],[الايصالات]]-Table1101516[[#This Row],[خصم أ ت ص]]+Table1101516[[#This Row],[قيمة مضافة]]</f>
        <v>0</v>
      </c>
      <c r="M264" s="1">
        <f>M263+Table1101516[[#This Row],[اجمالي الفاتوره]]-Table1101516[[#This Row],[الدفعات]]</f>
        <v>0</v>
      </c>
    </row>
    <row r="265" spans="11:13" ht="24" customHeight="1" x14ac:dyDescent="0.3">
      <c r="K265" s="1">
        <f>Table1101516[[#This Row],[النولون]]+Table1101516[[#This Row],[الايصالات]]-Table1101516[[#This Row],[خصم أ ت ص]]+Table1101516[[#This Row],[قيمة مضافة]]</f>
        <v>0</v>
      </c>
      <c r="M265" s="1">
        <f>M264+Table1101516[[#This Row],[اجمالي الفاتوره]]-Table1101516[[#This Row],[الدفعات]]</f>
        <v>0</v>
      </c>
    </row>
    <row r="266" spans="11:13" ht="24" customHeight="1" x14ac:dyDescent="0.3">
      <c r="K266" s="1">
        <f>Table1101516[[#This Row],[النولون]]+Table1101516[[#This Row],[الايصالات]]-Table1101516[[#This Row],[خصم أ ت ص]]+Table1101516[[#This Row],[قيمة مضافة]]</f>
        <v>0</v>
      </c>
      <c r="M266" s="1">
        <f>M265+Table1101516[[#This Row],[اجمالي الفاتوره]]-Table1101516[[#This Row],[الدفعات]]</f>
        <v>0</v>
      </c>
    </row>
    <row r="267" spans="11:13" ht="24" customHeight="1" x14ac:dyDescent="0.3">
      <c r="K267" s="1">
        <f>Table1101516[[#This Row],[النولون]]+Table1101516[[#This Row],[الايصالات]]-Table1101516[[#This Row],[خصم أ ت ص]]+Table1101516[[#This Row],[قيمة مضافة]]</f>
        <v>0</v>
      </c>
      <c r="M267" s="1">
        <f>M266+Table1101516[[#This Row],[اجمالي الفاتوره]]-Table1101516[[#This Row],[الدفعات]]</f>
        <v>0</v>
      </c>
    </row>
    <row r="268" spans="11:13" ht="24" customHeight="1" x14ac:dyDescent="0.3">
      <c r="K268" s="1">
        <f>Table1101516[[#This Row],[النولون]]+Table1101516[[#This Row],[الايصالات]]-Table1101516[[#This Row],[خصم أ ت ص]]+Table1101516[[#This Row],[قيمة مضافة]]</f>
        <v>0</v>
      </c>
      <c r="M268" s="1">
        <f>M267+Table1101516[[#This Row],[اجمالي الفاتوره]]-Table1101516[[#This Row],[الدفعات]]</f>
        <v>0</v>
      </c>
    </row>
    <row r="269" spans="11:13" ht="24" customHeight="1" x14ac:dyDescent="0.3">
      <c r="K269" s="1">
        <f>Table1101516[[#This Row],[النولون]]+Table1101516[[#This Row],[الايصالات]]-Table1101516[[#This Row],[خصم أ ت ص]]+Table1101516[[#This Row],[قيمة مضافة]]</f>
        <v>0</v>
      </c>
      <c r="M269" s="1">
        <f>M268+Table1101516[[#This Row],[اجمالي الفاتوره]]-Table1101516[[#This Row],[الدفعات]]</f>
        <v>0</v>
      </c>
    </row>
    <row r="270" spans="11:13" ht="24" customHeight="1" x14ac:dyDescent="0.3">
      <c r="K270" s="1">
        <f>Table1101516[[#This Row],[النولون]]+Table1101516[[#This Row],[الايصالات]]-Table1101516[[#This Row],[خصم أ ت ص]]+Table1101516[[#This Row],[قيمة مضافة]]</f>
        <v>0</v>
      </c>
      <c r="M270" s="1">
        <f>M269+Table1101516[[#This Row],[اجمالي الفاتوره]]-Table1101516[[#This Row],[الدفعات]]</f>
        <v>0</v>
      </c>
    </row>
    <row r="271" spans="11:13" ht="24" customHeight="1" x14ac:dyDescent="0.3">
      <c r="K271" s="1">
        <f>Table1101516[[#This Row],[النولون]]+Table1101516[[#This Row],[الايصالات]]-Table1101516[[#This Row],[خصم أ ت ص]]+Table1101516[[#This Row],[قيمة مضافة]]</f>
        <v>0</v>
      </c>
      <c r="M271" s="1">
        <f>M270+Table1101516[[#This Row],[اجمالي الفاتوره]]-Table1101516[[#This Row],[الدفعات]]</f>
        <v>0</v>
      </c>
    </row>
    <row r="272" spans="11:13" ht="24" customHeight="1" x14ac:dyDescent="0.3">
      <c r="K272" s="1">
        <f>Table1101516[[#This Row],[النولون]]+Table1101516[[#This Row],[الايصالات]]-Table1101516[[#This Row],[خصم أ ت ص]]+Table1101516[[#This Row],[قيمة مضافة]]</f>
        <v>0</v>
      </c>
      <c r="M272" s="1">
        <f>M271+Table1101516[[#This Row],[اجمالي الفاتوره]]-Table1101516[[#This Row],[الدفعات]]</f>
        <v>0</v>
      </c>
    </row>
    <row r="273" spans="11:13" ht="24" customHeight="1" x14ac:dyDescent="0.3">
      <c r="K273" s="1">
        <f>Table1101516[[#This Row],[النولون]]+Table1101516[[#This Row],[الايصالات]]-Table1101516[[#This Row],[خصم أ ت ص]]+Table1101516[[#This Row],[قيمة مضافة]]</f>
        <v>0</v>
      </c>
      <c r="M273" s="1">
        <f>M272+Table1101516[[#This Row],[اجمالي الفاتوره]]-Table1101516[[#This Row],[الدفعات]]</f>
        <v>0</v>
      </c>
    </row>
    <row r="274" spans="11:13" ht="24" customHeight="1" x14ac:dyDescent="0.3">
      <c r="K274" s="1">
        <f>Table1101516[[#This Row],[النولون]]+Table1101516[[#This Row],[الايصالات]]-Table1101516[[#This Row],[خصم أ ت ص]]+Table1101516[[#This Row],[قيمة مضافة]]</f>
        <v>0</v>
      </c>
      <c r="M274" s="1">
        <f>M273+Table1101516[[#This Row],[اجمالي الفاتوره]]-Table1101516[[#This Row],[الدفعات]]</f>
        <v>0</v>
      </c>
    </row>
    <row r="275" spans="11:13" ht="24" customHeight="1" x14ac:dyDescent="0.3">
      <c r="K275" s="1">
        <f>Table1101516[[#This Row],[النولون]]+Table1101516[[#This Row],[الايصالات]]-Table1101516[[#This Row],[خصم أ ت ص]]+Table1101516[[#This Row],[قيمة مضافة]]</f>
        <v>0</v>
      </c>
      <c r="M275" s="1">
        <f>M274+Table1101516[[#This Row],[اجمالي الفاتوره]]-Table1101516[[#This Row],[الدفعات]]</f>
        <v>0</v>
      </c>
    </row>
    <row r="276" spans="11:13" ht="24" customHeight="1" x14ac:dyDescent="0.3">
      <c r="K276" s="1">
        <f>Table1101516[[#This Row],[النولون]]+Table1101516[[#This Row],[الايصالات]]-Table1101516[[#This Row],[خصم أ ت ص]]+Table1101516[[#This Row],[قيمة مضافة]]</f>
        <v>0</v>
      </c>
      <c r="M276" s="1">
        <f>M275+Table1101516[[#This Row],[اجمالي الفاتوره]]-Table1101516[[#This Row],[الدفعات]]</f>
        <v>0</v>
      </c>
    </row>
    <row r="277" spans="11:13" ht="24" customHeight="1" x14ac:dyDescent="0.3">
      <c r="K277" s="1">
        <f>Table1101516[[#This Row],[النولون]]+Table1101516[[#This Row],[الايصالات]]-Table1101516[[#This Row],[خصم أ ت ص]]+Table1101516[[#This Row],[قيمة مضافة]]</f>
        <v>0</v>
      </c>
      <c r="M277" s="1">
        <f>M276+Table1101516[[#This Row],[اجمالي الفاتوره]]-Table1101516[[#This Row],[الدفعات]]</f>
        <v>0</v>
      </c>
    </row>
    <row r="278" spans="11:13" ht="24" customHeight="1" x14ac:dyDescent="0.3">
      <c r="K278" s="1">
        <f>Table1101516[[#This Row],[النولون]]+Table1101516[[#This Row],[الايصالات]]-Table1101516[[#This Row],[خصم أ ت ص]]+Table1101516[[#This Row],[قيمة مضافة]]</f>
        <v>0</v>
      </c>
      <c r="M278" s="1">
        <f>M277+Table1101516[[#This Row],[اجمالي الفاتوره]]-Table1101516[[#This Row],[الدفعات]]</f>
        <v>0</v>
      </c>
    </row>
    <row r="279" spans="11:13" ht="24" customHeight="1" x14ac:dyDescent="0.3">
      <c r="K279" s="1">
        <f>Table1101516[[#This Row],[النولون]]+Table1101516[[#This Row],[الايصالات]]-Table1101516[[#This Row],[خصم أ ت ص]]+Table1101516[[#This Row],[قيمة مضافة]]</f>
        <v>0</v>
      </c>
      <c r="M279" s="1">
        <f>M278+Table1101516[[#This Row],[اجمالي الفاتوره]]-Table1101516[[#This Row],[الدفعات]]</f>
        <v>0</v>
      </c>
    </row>
    <row r="280" spans="11:13" ht="24" customHeight="1" x14ac:dyDescent="0.3">
      <c r="K280" s="1">
        <f>Table1101516[[#This Row],[النولون]]+Table1101516[[#This Row],[الايصالات]]-Table1101516[[#This Row],[خصم أ ت ص]]+Table1101516[[#This Row],[قيمة مضافة]]</f>
        <v>0</v>
      </c>
      <c r="M280" s="1">
        <f>M279+Table1101516[[#This Row],[اجمالي الفاتوره]]-Table1101516[[#This Row],[الدفعات]]</f>
        <v>0</v>
      </c>
    </row>
    <row r="281" spans="11:13" ht="24" customHeight="1" x14ac:dyDescent="0.3">
      <c r="K281" s="1">
        <f>Table1101516[[#This Row],[النولون]]+Table1101516[[#This Row],[الايصالات]]-Table1101516[[#This Row],[خصم أ ت ص]]+Table1101516[[#This Row],[قيمة مضافة]]</f>
        <v>0</v>
      </c>
      <c r="M281" s="1">
        <f>M280+Table1101516[[#This Row],[اجمالي الفاتوره]]-Table1101516[[#This Row],[الدفعات]]</f>
        <v>0</v>
      </c>
    </row>
    <row r="282" spans="11:13" ht="24" customHeight="1" x14ac:dyDescent="0.3">
      <c r="K282" s="1">
        <f>Table1101516[[#This Row],[النولون]]+Table1101516[[#This Row],[الايصالات]]-Table1101516[[#This Row],[خصم أ ت ص]]+Table1101516[[#This Row],[قيمة مضافة]]</f>
        <v>0</v>
      </c>
      <c r="M282" s="1">
        <f>M281+Table1101516[[#This Row],[اجمالي الفاتوره]]-Table1101516[[#This Row],[الدفعات]]</f>
        <v>0</v>
      </c>
    </row>
    <row r="283" spans="11:13" ht="24" customHeight="1" x14ac:dyDescent="0.3">
      <c r="K283" s="1">
        <f>Table1101516[[#This Row],[النولون]]+Table1101516[[#This Row],[الايصالات]]-Table1101516[[#This Row],[خصم أ ت ص]]+Table1101516[[#This Row],[قيمة مضافة]]</f>
        <v>0</v>
      </c>
      <c r="M283" s="1">
        <f>M282+Table1101516[[#This Row],[اجمالي الفاتوره]]-Table1101516[[#This Row],[الدفعات]]</f>
        <v>0</v>
      </c>
    </row>
    <row r="284" spans="11:13" ht="24" customHeight="1" x14ac:dyDescent="0.3">
      <c r="K284" s="1">
        <f>Table1101516[[#This Row],[النولون]]+Table1101516[[#This Row],[الايصالات]]-Table1101516[[#This Row],[خصم أ ت ص]]+Table1101516[[#This Row],[قيمة مضافة]]</f>
        <v>0</v>
      </c>
      <c r="M284" s="1">
        <f>M283+Table1101516[[#This Row],[اجمالي الفاتوره]]-Table1101516[[#This Row],[الدفعات]]</f>
        <v>0</v>
      </c>
    </row>
    <row r="285" spans="11:13" ht="24" customHeight="1" x14ac:dyDescent="0.3">
      <c r="K285" s="1">
        <f>Table1101516[[#This Row],[النولون]]+Table1101516[[#This Row],[الايصالات]]-Table1101516[[#This Row],[خصم أ ت ص]]+Table1101516[[#This Row],[قيمة مضافة]]</f>
        <v>0</v>
      </c>
      <c r="M285" s="1">
        <f>M284+Table1101516[[#This Row],[اجمالي الفاتوره]]-Table1101516[[#This Row],[الدفعات]]</f>
        <v>0</v>
      </c>
    </row>
    <row r="286" spans="11:13" ht="24" customHeight="1" x14ac:dyDescent="0.3">
      <c r="K286" s="1">
        <f>Table1101516[[#This Row],[النولون]]+Table1101516[[#This Row],[الايصالات]]-Table1101516[[#This Row],[خصم أ ت ص]]+Table1101516[[#This Row],[قيمة مضافة]]</f>
        <v>0</v>
      </c>
      <c r="M286" s="1">
        <f>M285+Table1101516[[#This Row],[اجمالي الفاتوره]]-Table1101516[[#This Row],[الدفعات]]</f>
        <v>0</v>
      </c>
    </row>
    <row r="287" spans="11:13" ht="24" customHeight="1" x14ac:dyDescent="0.3">
      <c r="K287" s="1">
        <f>Table1101516[[#This Row],[النولون]]+Table1101516[[#This Row],[الايصالات]]-Table1101516[[#This Row],[خصم أ ت ص]]+Table1101516[[#This Row],[قيمة مضافة]]</f>
        <v>0</v>
      </c>
      <c r="M287" s="1">
        <f>M286+Table1101516[[#This Row],[اجمالي الفاتوره]]-Table1101516[[#This Row],[الدفعات]]</f>
        <v>0</v>
      </c>
    </row>
    <row r="288" spans="11:13" ht="24" customHeight="1" x14ac:dyDescent="0.3">
      <c r="K288" s="1">
        <f>Table1101516[[#This Row],[النولون]]+Table1101516[[#This Row],[الايصالات]]-Table1101516[[#This Row],[خصم أ ت ص]]+Table1101516[[#This Row],[قيمة مضافة]]</f>
        <v>0</v>
      </c>
      <c r="M288" s="1">
        <f>M287+Table1101516[[#This Row],[اجمالي الفاتوره]]-Table1101516[[#This Row],[الدفعات]]</f>
        <v>0</v>
      </c>
    </row>
    <row r="289" spans="11:13" ht="24" customHeight="1" x14ac:dyDescent="0.3">
      <c r="K289" s="1">
        <f>Table1101516[[#This Row],[النولون]]+Table1101516[[#This Row],[الايصالات]]-Table1101516[[#This Row],[خصم أ ت ص]]+Table1101516[[#This Row],[قيمة مضافة]]</f>
        <v>0</v>
      </c>
      <c r="M289" s="1">
        <f>M288+Table1101516[[#This Row],[اجمالي الفاتوره]]-Table1101516[[#This Row],[الدفعات]]</f>
        <v>0</v>
      </c>
    </row>
    <row r="290" spans="11:13" ht="24" customHeight="1" x14ac:dyDescent="0.3">
      <c r="K290" s="1">
        <f>Table1101516[[#This Row],[النولون]]+Table1101516[[#This Row],[الايصالات]]-Table1101516[[#This Row],[خصم أ ت ص]]+Table1101516[[#This Row],[قيمة مضافة]]</f>
        <v>0</v>
      </c>
      <c r="M290" s="1">
        <f>M289+Table1101516[[#This Row],[اجمالي الفاتوره]]-Table1101516[[#This Row],[الدفعات]]</f>
        <v>0</v>
      </c>
    </row>
    <row r="291" spans="11:13" ht="24" customHeight="1" x14ac:dyDescent="0.3">
      <c r="K291" s="1">
        <f>Table1101516[[#This Row],[النولون]]+Table1101516[[#This Row],[الايصالات]]-Table1101516[[#This Row],[خصم أ ت ص]]+Table1101516[[#This Row],[قيمة مضافة]]</f>
        <v>0</v>
      </c>
      <c r="M291" s="1">
        <f>M290+Table1101516[[#This Row],[اجمالي الفاتوره]]-Table1101516[[#This Row],[الدفعات]]</f>
        <v>0</v>
      </c>
    </row>
    <row r="292" spans="11:13" ht="24" customHeight="1" x14ac:dyDescent="0.3">
      <c r="K292" s="1">
        <f>Table1101516[[#This Row],[النولون]]+Table1101516[[#This Row],[الايصالات]]-Table1101516[[#This Row],[خصم أ ت ص]]+Table1101516[[#This Row],[قيمة مضافة]]</f>
        <v>0</v>
      </c>
      <c r="M292" s="1">
        <f>M291+Table1101516[[#This Row],[اجمالي الفاتوره]]-Table1101516[[#This Row],[الدفعات]]</f>
        <v>0</v>
      </c>
    </row>
    <row r="293" spans="11:13" ht="24" customHeight="1" x14ac:dyDescent="0.3">
      <c r="K293" s="1">
        <f>Table1101516[[#This Row],[النولون]]+Table1101516[[#This Row],[الايصالات]]-Table1101516[[#This Row],[خصم أ ت ص]]+Table1101516[[#This Row],[قيمة مضافة]]</f>
        <v>0</v>
      </c>
      <c r="M293" s="1">
        <f>M292+Table1101516[[#This Row],[اجمالي الفاتوره]]-Table1101516[[#This Row],[الدفعات]]</f>
        <v>0</v>
      </c>
    </row>
    <row r="294" spans="11:13" ht="24" customHeight="1" x14ac:dyDescent="0.3">
      <c r="K294" s="1">
        <f>Table1101516[[#This Row],[النولون]]+Table1101516[[#This Row],[الايصالات]]-Table1101516[[#This Row],[خصم أ ت ص]]+Table1101516[[#This Row],[قيمة مضافة]]</f>
        <v>0</v>
      </c>
      <c r="M294" s="1">
        <f>M293+Table1101516[[#This Row],[اجمالي الفاتوره]]-Table1101516[[#This Row],[الدفعات]]</f>
        <v>0</v>
      </c>
    </row>
    <row r="295" spans="11:13" ht="24" customHeight="1" x14ac:dyDescent="0.3">
      <c r="K295" s="1">
        <f>Table1101516[[#This Row],[النولون]]+Table1101516[[#This Row],[الايصالات]]-Table1101516[[#This Row],[خصم أ ت ص]]+Table1101516[[#This Row],[قيمة مضافة]]</f>
        <v>0</v>
      </c>
      <c r="M295" s="1">
        <f>M294+Table1101516[[#This Row],[اجمالي الفاتوره]]-Table1101516[[#This Row],[الدفعات]]</f>
        <v>0</v>
      </c>
    </row>
    <row r="296" spans="11:13" ht="24" customHeight="1" x14ac:dyDescent="0.3">
      <c r="K296" s="1">
        <f>Table1101516[[#This Row],[النولون]]+Table1101516[[#This Row],[الايصالات]]-Table1101516[[#This Row],[خصم أ ت ص]]+Table1101516[[#This Row],[قيمة مضافة]]</f>
        <v>0</v>
      </c>
      <c r="M296" s="1">
        <f>M295+Table1101516[[#This Row],[اجمالي الفاتوره]]-Table1101516[[#This Row],[الدفعات]]</f>
        <v>0</v>
      </c>
    </row>
    <row r="297" spans="11:13" ht="24" customHeight="1" x14ac:dyDescent="0.3">
      <c r="K297" s="1">
        <f>Table1101516[[#This Row],[النولون]]+Table1101516[[#This Row],[الايصالات]]-Table1101516[[#This Row],[خصم أ ت ص]]+Table1101516[[#This Row],[قيمة مضافة]]</f>
        <v>0</v>
      </c>
      <c r="M297" s="1">
        <f>M296+Table1101516[[#This Row],[اجمالي الفاتوره]]-Table1101516[[#This Row],[الدفعات]]</f>
        <v>0</v>
      </c>
    </row>
    <row r="298" spans="11:13" ht="24" customHeight="1" x14ac:dyDescent="0.3">
      <c r="K298" s="1">
        <f>Table1101516[[#This Row],[النولون]]+Table1101516[[#This Row],[الايصالات]]-Table1101516[[#This Row],[خصم أ ت ص]]+Table1101516[[#This Row],[قيمة مضافة]]</f>
        <v>0</v>
      </c>
      <c r="M298" s="1">
        <f>M297+Table1101516[[#This Row],[اجمالي الفاتوره]]-Table1101516[[#This Row],[الدفعات]]</f>
        <v>0</v>
      </c>
    </row>
    <row r="299" spans="11:13" ht="24" customHeight="1" x14ac:dyDescent="0.3">
      <c r="K299" s="1">
        <f>Table1101516[[#This Row],[النولون]]+Table1101516[[#This Row],[الايصالات]]-Table1101516[[#This Row],[خصم أ ت ص]]+Table1101516[[#This Row],[قيمة مضافة]]</f>
        <v>0</v>
      </c>
      <c r="M299" s="1">
        <f>M298+Table1101516[[#This Row],[اجمالي الفاتوره]]-Table1101516[[#This Row],[الدفعات]]</f>
        <v>0</v>
      </c>
    </row>
    <row r="300" spans="11:13" ht="24" customHeight="1" x14ac:dyDescent="0.3">
      <c r="K300" s="1">
        <f>Table1101516[[#This Row],[النولون]]+Table1101516[[#This Row],[الايصالات]]-Table1101516[[#This Row],[خصم أ ت ص]]+Table1101516[[#This Row],[قيمة مضافة]]</f>
        <v>0</v>
      </c>
      <c r="M300" s="1">
        <f>M299+Table1101516[[#This Row],[اجمالي الفاتوره]]-Table1101516[[#This Row],[الدفعات]]</f>
        <v>0</v>
      </c>
    </row>
    <row r="301" spans="11:13" ht="24" customHeight="1" x14ac:dyDescent="0.3">
      <c r="K301" s="1">
        <f>Table1101516[[#This Row],[النولون]]+Table1101516[[#This Row],[الايصالات]]-Table1101516[[#This Row],[خصم أ ت ص]]+Table1101516[[#This Row],[قيمة مضافة]]</f>
        <v>0</v>
      </c>
      <c r="M301" s="1">
        <f>M300+Table1101516[[#This Row],[اجمالي الفاتوره]]-Table1101516[[#This Row],[الدفعات]]</f>
        <v>0</v>
      </c>
    </row>
    <row r="302" spans="11:13" ht="24" customHeight="1" x14ac:dyDescent="0.3">
      <c r="K302" s="1">
        <f>Table1101516[[#This Row],[النولون]]+Table1101516[[#This Row],[الايصالات]]-Table1101516[[#This Row],[خصم أ ت ص]]+Table1101516[[#This Row],[قيمة مضافة]]</f>
        <v>0</v>
      </c>
      <c r="M302" s="1">
        <f>M301+Table1101516[[#This Row],[اجمالي الفاتوره]]-Table1101516[[#This Row],[الدفعات]]</f>
        <v>0</v>
      </c>
    </row>
    <row r="303" spans="11:13" ht="24" customHeight="1" x14ac:dyDescent="0.3">
      <c r="K303" s="1">
        <f>Table1101516[[#This Row],[النولون]]+Table1101516[[#This Row],[الايصالات]]-Table1101516[[#This Row],[خصم أ ت ص]]+Table1101516[[#This Row],[قيمة مضافة]]</f>
        <v>0</v>
      </c>
      <c r="M303" s="1">
        <f>M302+Table1101516[[#This Row],[اجمالي الفاتوره]]-Table1101516[[#This Row],[الدفعات]]</f>
        <v>0</v>
      </c>
    </row>
    <row r="304" spans="11:13" ht="24" customHeight="1" x14ac:dyDescent="0.3">
      <c r="K304" s="1">
        <f>Table1101516[[#This Row],[النولون]]+Table1101516[[#This Row],[الايصالات]]-Table1101516[[#This Row],[خصم أ ت ص]]+Table1101516[[#This Row],[قيمة مضافة]]</f>
        <v>0</v>
      </c>
      <c r="M304" s="1">
        <f>M303+Table1101516[[#This Row],[اجمالي الفاتوره]]-Table1101516[[#This Row],[الدفعات]]</f>
        <v>0</v>
      </c>
    </row>
    <row r="305" spans="11:13" ht="24" customHeight="1" x14ac:dyDescent="0.3">
      <c r="K305" s="1">
        <f>Table1101516[[#This Row],[النولون]]+Table1101516[[#This Row],[الايصالات]]-Table1101516[[#This Row],[خصم أ ت ص]]+Table1101516[[#This Row],[قيمة مضافة]]</f>
        <v>0</v>
      </c>
      <c r="M305" s="1">
        <f>M304+Table1101516[[#This Row],[اجمالي الفاتوره]]-Table1101516[[#This Row],[الدفعات]]</f>
        <v>0</v>
      </c>
    </row>
    <row r="306" spans="11:13" ht="24" customHeight="1" x14ac:dyDescent="0.3">
      <c r="K306" s="1">
        <f>Table1101516[[#This Row],[النولون]]+Table1101516[[#This Row],[الايصالات]]-Table1101516[[#This Row],[خصم أ ت ص]]+Table1101516[[#This Row],[قيمة مضافة]]</f>
        <v>0</v>
      </c>
      <c r="M306" s="1">
        <f>M305+Table1101516[[#This Row],[اجمالي الفاتوره]]-Table1101516[[#This Row],[الدفعات]]</f>
        <v>0</v>
      </c>
    </row>
    <row r="307" spans="11:13" ht="24" customHeight="1" x14ac:dyDescent="0.3">
      <c r="K307" s="1">
        <f>Table1101516[[#This Row],[النولون]]+Table1101516[[#This Row],[الايصالات]]-Table1101516[[#This Row],[خصم أ ت ص]]+Table1101516[[#This Row],[قيمة مضافة]]</f>
        <v>0</v>
      </c>
      <c r="M307" s="1">
        <f>M306+Table1101516[[#This Row],[اجمالي الفاتوره]]-Table1101516[[#This Row],[الدفعات]]</f>
        <v>0</v>
      </c>
    </row>
    <row r="308" spans="11:13" ht="24" customHeight="1" x14ac:dyDescent="0.3">
      <c r="K308" s="1">
        <f>Table1101516[[#This Row],[النولون]]+Table1101516[[#This Row],[الايصالات]]-Table1101516[[#This Row],[خصم أ ت ص]]+Table1101516[[#This Row],[قيمة مضافة]]</f>
        <v>0</v>
      </c>
      <c r="M308" s="1">
        <f>M307+Table1101516[[#This Row],[اجمالي الفاتوره]]-Table1101516[[#This Row],[الدفعات]]</f>
        <v>0</v>
      </c>
    </row>
    <row r="309" spans="11:13" ht="24" customHeight="1" x14ac:dyDescent="0.3">
      <c r="K309" s="1">
        <f>Table1101516[[#This Row],[النولون]]+Table1101516[[#This Row],[الايصالات]]-Table1101516[[#This Row],[خصم أ ت ص]]+Table1101516[[#This Row],[قيمة مضافة]]</f>
        <v>0</v>
      </c>
      <c r="M309" s="1">
        <f>M308+Table1101516[[#This Row],[اجمالي الفاتوره]]-Table1101516[[#This Row],[الدفعات]]</f>
        <v>0</v>
      </c>
    </row>
    <row r="310" spans="11:13" ht="24" customHeight="1" x14ac:dyDescent="0.3">
      <c r="K310" s="1">
        <f>Table1101516[[#This Row],[النولون]]+Table1101516[[#This Row],[الايصالات]]-Table1101516[[#This Row],[خصم أ ت ص]]+Table1101516[[#This Row],[قيمة مضافة]]</f>
        <v>0</v>
      </c>
      <c r="M310" s="1">
        <f>M309+Table1101516[[#This Row],[اجمالي الفاتوره]]-Table1101516[[#This Row],[الدفعات]]</f>
        <v>0</v>
      </c>
    </row>
    <row r="311" spans="11:13" ht="24" customHeight="1" x14ac:dyDescent="0.3">
      <c r="K311" s="1">
        <f>Table1101516[[#This Row],[النولون]]+Table1101516[[#This Row],[الايصالات]]-Table1101516[[#This Row],[خصم أ ت ص]]+Table1101516[[#This Row],[قيمة مضافة]]</f>
        <v>0</v>
      </c>
      <c r="M311" s="1">
        <f>M310+Table1101516[[#This Row],[اجمالي الفاتوره]]-Table1101516[[#This Row],[الدفعات]]</f>
        <v>0</v>
      </c>
    </row>
    <row r="312" spans="11:13" ht="24" customHeight="1" x14ac:dyDescent="0.3">
      <c r="K312" s="1">
        <f>Table1101516[[#This Row],[النولون]]+Table1101516[[#This Row],[الايصالات]]-Table1101516[[#This Row],[خصم أ ت ص]]+Table1101516[[#This Row],[قيمة مضافة]]</f>
        <v>0</v>
      </c>
      <c r="M312" s="1">
        <f>M311+Table1101516[[#This Row],[اجمالي الفاتوره]]-Table1101516[[#This Row],[الدفعات]]</f>
        <v>0</v>
      </c>
    </row>
    <row r="313" spans="11:13" ht="24" customHeight="1" x14ac:dyDescent="0.3">
      <c r="K313" s="1">
        <f>Table1101516[[#This Row],[النولون]]+Table1101516[[#This Row],[الايصالات]]-Table1101516[[#This Row],[خصم أ ت ص]]+Table1101516[[#This Row],[قيمة مضافة]]</f>
        <v>0</v>
      </c>
      <c r="M313" s="1">
        <f>M312+Table1101516[[#This Row],[اجمالي الفاتوره]]-Table1101516[[#This Row],[الدفعات]]</f>
        <v>0</v>
      </c>
    </row>
    <row r="314" spans="11:13" ht="24" customHeight="1" x14ac:dyDescent="0.3">
      <c r="K314" s="1">
        <f>Table1101516[[#This Row],[النولون]]+Table1101516[[#This Row],[الايصالات]]-Table1101516[[#This Row],[خصم أ ت ص]]+Table1101516[[#This Row],[قيمة مضافة]]</f>
        <v>0</v>
      </c>
      <c r="M314" s="1">
        <f>M313+Table1101516[[#This Row],[اجمالي الفاتوره]]-Table1101516[[#This Row],[الدفعات]]</f>
        <v>0</v>
      </c>
    </row>
    <row r="315" spans="11:13" ht="24" customHeight="1" x14ac:dyDescent="0.3">
      <c r="K315" s="1">
        <f>Table1101516[[#This Row],[النولون]]+Table1101516[[#This Row],[الايصالات]]-Table1101516[[#This Row],[خصم أ ت ص]]+Table1101516[[#This Row],[قيمة مضافة]]</f>
        <v>0</v>
      </c>
      <c r="M315" s="1">
        <f>M314+Table1101516[[#This Row],[اجمالي الفاتوره]]-Table1101516[[#This Row],[الدفعات]]</f>
        <v>0</v>
      </c>
    </row>
    <row r="316" spans="11:13" ht="24" customHeight="1" x14ac:dyDescent="0.3">
      <c r="K316" s="1">
        <f>Table1101516[[#This Row],[النولون]]+Table1101516[[#This Row],[الايصالات]]-Table1101516[[#This Row],[خصم أ ت ص]]+Table1101516[[#This Row],[قيمة مضافة]]</f>
        <v>0</v>
      </c>
      <c r="M316" s="1">
        <f>M315+Table1101516[[#This Row],[اجمالي الفاتوره]]-Table1101516[[#This Row],[الدفعات]]</f>
        <v>0</v>
      </c>
    </row>
    <row r="317" spans="11:13" ht="24" customHeight="1" x14ac:dyDescent="0.3">
      <c r="K317" s="1">
        <f>Table1101516[[#This Row],[النولون]]+Table1101516[[#This Row],[الايصالات]]-Table1101516[[#This Row],[خصم أ ت ص]]+Table1101516[[#This Row],[قيمة مضافة]]</f>
        <v>0</v>
      </c>
      <c r="M317" s="1">
        <f>M316+Table1101516[[#This Row],[اجمالي الفاتوره]]-Table1101516[[#This Row],[الدفعات]]</f>
        <v>0</v>
      </c>
    </row>
    <row r="318" spans="11:13" ht="24" customHeight="1" x14ac:dyDescent="0.3">
      <c r="K318" s="1">
        <f>Table1101516[[#This Row],[النولون]]+Table1101516[[#This Row],[الايصالات]]-Table1101516[[#This Row],[خصم أ ت ص]]+Table1101516[[#This Row],[قيمة مضافة]]</f>
        <v>0</v>
      </c>
      <c r="M318" s="1">
        <f>M317+Table1101516[[#This Row],[اجمالي الفاتوره]]-Table1101516[[#This Row],[الدفعات]]</f>
        <v>0</v>
      </c>
    </row>
    <row r="319" spans="11:13" ht="24" customHeight="1" x14ac:dyDescent="0.3">
      <c r="K319" s="1">
        <f>Table1101516[[#This Row],[النولون]]+Table1101516[[#This Row],[الايصالات]]-Table1101516[[#This Row],[خصم أ ت ص]]+Table1101516[[#This Row],[قيمة مضافة]]</f>
        <v>0</v>
      </c>
      <c r="M319" s="1">
        <f>M318+Table1101516[[#This Row],[اجمالي الفاتوره]]-Table1101516[[#This Row],[الدفعات]]</f>
        <v>0</v>
      </c>
    </row>
    <row r="320" spans="11:13" ht="24" customHeight="1" x14ac:dyDescent="0.3">
      <c r="K320" s="1">
        <f>Table1101516[[#This Row],[النولون]]+Table1101516[[#This Row],[الايصالات]]-Table1101516[[#This Row],[خصم أ ت ص]]+Table1101516[[#This Row],[قيمة مضافة]]</f>
        <v>0</v>
      </c>
      <c r="M320" s="1">
        <f>M319+Table1101516[[#This Row],[اجمالي الفاتوره]]-Table1101516[[#This Row],[الدفعات]]</f>
        <v>0</v>
      </c>
    </row>
    <row r="321" spans="11:13" ht="24" customHeight="1" x14ac:dyDescent="0.3">
      <c r="K321" s="1">
        <f>Table1101516[[#This Row],[النولون]]+Table1101516[[#This Row],[الايصالات]]-Table1101516[[#This Row],[خصم أ ت ص]]+Table1101516[[#This Row],[قيمة مضافة]]</f>
        <v>0</v>
      </c>
      <c r="M321" s="1">
        <f>M320+Table1101516[[#This Row],[اجمالي الفاتوره]]-Table1101516[[#This Row],[الدفعات]]</f>
        <v>0</v>
      </c>
    </row>
    <row r="322" spans="11:13" ht="24" customHeight="1" x14ac:dyDescent="0.3">
      <c r="K322" s="1">
        <f>Table1101516[[#This Row],[النولون]]+Table1101516[[#This Row],[الايصالات]]-Table1101516[[#This Row],[خصم أ ت ص]]+Table1101516[[#This Row],[قيمة مضافة]]</f>
        <v>0</v>
      </c>
      <c r="M322" s="1">
        <f>M321+Table1101516[[#This Row],[اجمالي الفاتوره]]-Table1101516[[#This Row],[الدفعات]]</f>
        <v>0</v>
      </c>
    </row>
    <row r="323" spans="11:13" ht="24" customHeight="1" x14ac:dyDescent="0.3">
      <c r="K323" s="1">
        <f>Table1101516[[#This Row],[النولون]]+Table1101516[[#This Row],[الايصالات]]-Table1101516[[#This Row],[خصم أ ت ص]]+Table1101516[[#This Row],[قيمة مضافة]]</f>
        <v>0</v>
      </c>
      <c r="M323" s="1">
        <f>M322+Table1101516[[#This Row],[اجمالي الفاتوره]]-Table1101516[[#This Row],[الدفعات]]</f>
        <v>0</v>
      </c>
    </row>
    <row r="324" spans="11:13" ht="24" customHeight="1" x14ac:dyDescent="0.3">
      <c r="K324" s="1">
        <f>Table1101516[[#This Row],[النولون]]+Table1101516[[#This Row],[الايصالات]]-Table1101516[[#This Row],[خصم أ ت ص]]+Table1101516[[#This Row],[قيمة مضافة]]</f>
        <v>0</v>
      </c>
      <c r="M324" s="1">
        <f>M323+Table1101516[[#This Row],[اجمالي الفاتوره]]-Table1101516[[#This Row],[الدفعات]]</f>
        <v>0</v>
      </c>
    </row>
    <row r="325" spans="11:13" ht="24" customHeight="1" x14ac:dyDescent="0.3">
      <c r="K325" s="1">
        <f>Table1101516[[#This Row],[النولون]]+Table1101516[[#This Row],[الايصالات]]-Table1101516[[#This Row],[خصم أ ت ص]]+Table1101516[[#This Row],[قيمة مضافة]]</f>
        <v>0</v>
      </c>
      <c r="M325" s="1">
        <f>M324+Table1101516[[#This Row],[اجمالي الفاتوره]]-Table1101516[[#This Row],[الدفعات]]</f>
        <v>0</v>
      </c>
    </row>
    <row r="326" spans="11:13" ht="24" customHeight="1" x14ac:dyDescent="0.3">
      <c r="K326" s="1">
        <f>Table1101516[[#This Row],[النولون]]+Table1101516[[#This Row],[الايصالات]]-Table1101516[[#This Row],[خصم أ ت ص]]+Table1101516[[#This Row],[قيمة مضافة]]</f>
        <v>0</v>
      </c>
      <c r="M326" s="1">
        <f>M325+Table1101516[[#This Row],[اجمالي الفاتوره]]-Table1101516[[#This Row],[الدفعات]]</f>
        <v>0</v>
      </c>
    </row>
    <row r="327" spans="11:13" ht="24" customHeight="1" x14ac:dyDescent="0.3">
      <c r="K327" s="1">
        <f>Table1101516[[#This Row],[النولون]]+Table1101516[[#This Row],[الايصالات]]-Table1101516[[#This Row],[خصم أ ت ص]]+Table1101516[[#This Row],[قيمة مضافة]]</f>
        <v>0</v>
      </c>
      <c r="M327" s="1">
        <f>M326+Table1101516[[#This Row],[اجمالي الفاتوره]]-Table1101516[[#This Row],[الدفعات]]</f>
        <v>0</v>
      </c>
    </row>
    <row r="328" spans="11:13" ht="24" customHeight="1" x14ac:dyDescent="0.3">
      <c r="K328" s="1">
        <f>Table1101516[[#This Row],[النولون]]+Table1101516[[#This Row],[الايصالات]]-Table1101516[[#This Row],[خصم أ ت ص]]+Table1101516[[#This Row],[قيمة مضافة]]</f>
        <v>0</v>
      </c>
      <c r="M328" s="1">
        <f>M327+Table1101516[[#This Row],[اجمالي الفاتوره]]-Table1101516[[#This Row],[الدفعات]]</f>
        <v>0</v>
      </c>
    </row>
    <row r="329" spans="11:13" ht="24" customHeight="1" x14ac:dyDescent="0.3">
      <c r="K329" s="1">
        <f>Table1101516[[#This Row],[النولون]]+Table1101516[[#This Row],[الايصالات]]-Table1101516[[#This Row],[خصم أ ت ص]]+Table1101516[[#This Row],[قيمة مضافة]]</f>
        <v>0</v>
      </c>
      <c r="M329" s="1">
        <f>M328+Table1101516[[#This Row],[اجمالي الفاتوره]]-Table1101516[[#This Row],[الدفعات]]</f>
        <v>0</v>
      </c>
    </row>
    <row r="330" spans="11:13" ht="24" customHeight="1" x14ac:dyDescent="0.3">
      <c r="K330" s="1">
        <f>Table1101516[[#This Row],[النولون]]+Table1101516[[#This Row],[الايصالات]]-Table1101516[[#This Row],[خصم أ ت ص]]+Table1101516[[#This Row],[قيمة مضافة]]</f>
        <v>0</v>
      </c>
      <c r="M330" s="1">
        <f>M329+Table1101516[[#This Row],[اجمالي الفاتوره]]-Table1101516[[#This Row],[الدفعات]]</f>
        <v>0</v>
      </c>
    </row>
    <row r="331" spans="11:13" ht="24" customHeight="1" x14ac:dyDescent="0.3">
      <c r="K331" s="1">
        <f>Table1101516[[#This Row],[النولون]]+Table1101516[[#This Row],[الايصالات]]-Table1101516[[#This Row],[خصم أ ت ص]]+Table1101516[[#This Row],[قيمة مضافة]]</f>
        <v>0</v>
      </c>
      <c r="M331" s="1">
        <f>M330+Table1101516[[#This Row],[اجمالي الفاتوره]]-Table1101516[[#This Row],[الدفعات]]</f>
        <v>0</v>
      </c>
    </row>
    <row r="332" spans="11:13" ht="24" customHeight="1" x14ac:dyDescent="0.3">
      <c r="K332" s="1">
        <f>Table1101516[[#This Row],[النولون]]+Table1101516[[#This Row],[الايصالات]]-Table1101516[[#This Row],[خصم أ ت ص]]+Table1101516[[#This Row],[قيمة مضافة]]</f>
        <v>0</v>
      </c>
      <c r="M332" s="1">
        <f>M331+Table1101516[[#This Row],[اجمالي الفاتوره]]-Table1101516[[#This Row],[الدفعات]]</f>
        <v>0</v>
      </c>
    </row>
    <row r="333" spans="11:13" ht="24" customHeight="1" x14ac:dyDescent="0.3">
      <c r="K333" s="1">
        <f>Table1101516[[#This Row],[النولون]]+Table1101516[[#This Row],[الايصالات]]-Table1101516[[#This Row],[خصم أ ت ص]]+Table1101516[[#This Row],[قيمة مضافة]]</f>
        <v>0</v>
      </c>
      <c r="M333" s="1">
        <f>M332+Table1101516[[#This Row],[اجمالي الفاتوره]]-Table1101516[[#This Row],[الدفعات]]</f>
        <v>0</v>
      </c>
    </row>
    <row r="334" spans="11:13" ht="24" customHeight="1" x14ac:dyDescent="0.3">
      <c r="K334" s="1">
        <f>Table1101516[[#This Row],[النولون]]+Table1101516[[#This Row],[الايصالات]]-Table1101516[[#This Row],[خصم أ ت ص]]+Table1101516[[#This Row],[قيمة مضافة]]</f>
        <v>0</v>
      </c>
      <c r="M334" s="1">
        <f>M333+Table1101516[[#This Row],[اجمالي الفاتوره]]-Table1101516[[#This Row],[الدفعات]]</f>
        <v>0</v>
      </c>
    </row>
    <row r="335" spans="11:13" ht="24" customHeight="1" x14ac:dyDescent="0.3">
      <c r="K335" s="1">
        <f>Table1101516[[#This Row],[النولون]]+Table1101516[[#This Row],[الايصالات]]-Table1101516[[#This Row],[خصم أ ت ص]]+Table1101516[[#This Row],[قيمة مضافة]]</f>
        <v>0</v>
      </c>
      <c r="M335" s="1">
        <f>M334+Table1101516[[#This Row],[اجمالي الفاتوره]]-Table1101516[[#This Row],[الدفعات]]</f>
        <v>0</v>
      </c>
    </row>
    <row r="336" spans="11:13" ht="24" customHeight="1" x14ac:dyDescent="0.3">
      <c r="K336" s="1">
        <f>Table1101516[[#This Row],[النولون]]+Table1101516[[#This Row],[الايصالات]]-Table1101516[[#This Row],[خصم أ ت ص]]+Table1101516[[#This Row],[قيمة مضافة]]</f>
        <v>0</v>
      </c>
      <c r="M336" s="1">
        <f>M335+Table1101516[[#This Row],[اجمالي الفاتوره]]-Table1101516[[#This Row],[الدفعات]]</f>
        <v>0</v>
      </c>
    </row>
    <row r="337" spans="11:13" ht="24" customHeight="1" x14ac:dyDescent="0.3">
      <c r="K337" s="1">
        <f>Table1101516[[#This Row],[النولون]]+Table1101516[[#This Row],[الايصالات]]-Table1101516[[#This Row],[خصم أ ت ص]]+Table1101516[[#This Row],[قيمة مضافة]]</f>
        <v>0</v>
      </c>
      <c r="M337" s="1">
        <f>M336+Table1101516[[#This Row],[اجمالي الفاتوره]]-Table1101516[[#This Row],[الدفعات]]</f>
        <v>0</v>
      </c>
    </row>
    <row r="338" spans="11:13" ht="24" customHeight="1" x14ac:dyDescent="0.3">
      <c r="K338" s="1">
        <f>Table1101516[[#This Row],[النولون]]+Table1101516[[#This Row],[الايصالات]]-Table1101516[[#This Row],[خصم أ ت ص]]+Table1101516[[#This Row],[قيمة مضافة]]</f>
        <v>0</v>
      </c>
      <c r="M338" s="1">
        <f>M337+Table1101516[[#This Row],[اجمالي الفاتوره]]-Table1101516[[#This Row],[الدفعات]]</f>
        <v>0</v>
      </c>
    </row>
    <row r="339" spans="11:13" ht="24" customHeight="1" x14ac:dyDescent="0.3">
      <c r="K339" s="1">
        <f>Table1101516[[#This Row],[النولون]]+Table1101516[[#This Row],[الايصالات]]-Table1101516[[#This Row],[خصم أ ت ص]]+Table1101516[[#This Row],[قيمة مضافة]]</f>
        <v>0</v>
      </c>
      <c r="M339" s="1">
        <f>M338+Table1101516[[#This Row],[اجمالي الفاتوره]]-Table1101516[[#This Row],[الدفعات]]</f>
        <v>0</v>
      </c>
    </row>
    <row r="340" spans="11:13" ht="24" customHeight="1" x14ac:dyDescent="0.3">
      <c r="K340" s="1">
        <f>Table1101516[[#This Row],[النولون]]+Table1101516[[#This Row],[الايصالات]]-Table1101516[[#This Row],[خصم أ ت ص]]+Table1101516[[#This Row],[قيمة مضافة]]</f>
        <v>0</v>
      </c>
      <c r="M340" s="1">
        <f>M339+Table1101516[[#This Row],[اجمالي الفاتوره]]-Table1101516[[#This Row],[الدفعات]]</f>
        <v>0</v>
      </c>
    </row>
    <row r="341" spans="11:13" ht="24" customHeight="1" x14ac:dyDescent="0.3">
      <c r="K341" s="1">
        <f>Table1101516[[#This Row],[النولون]]+Table1101516[[#This Row],[الايصالات]]-Table1101516[[#This Row],[خصم أ ت ص]]+Table1101516[[#This Row],[قيمة مضافة]]</f>
        <v>0</v>
      </c>
      <c r="M341" s="1">
        <f>M340+Table1101516[[#This Row],[اجمالي الفاتوره]]-Table1101516[[#This Row],[الدفعات]]</f>
        <v>0</v>
      </c>
    </row>
    <row r="342" spans="11:13" ht="24" customHeight="1" x14ac:dyDescent="0.3">
      <c r="K342" s="1">
        <f>Table1101516[[#This Row],[النولون]]+Table1101516[[#This Row],[الايصالات]]-Table1101516[[#This Row],[خصم أ ت ص]]+Table1101516[[#This Row],[قيمة مضافة]]</f>
        <v>0</v>
      </c>
      <c r="M342" s="1">
        <f>M341+Table1101516[[#This Row],[اجمالي الفاتوره]]-Table1101516[[#This Row],[الدفعات]]</f>
        <v>0</v>
      </c>
    </row>
    <row r="343" spans="11:13" ht="24" customHeight="1" x14ac:dyDescent="0.3">
      <c r="K343" s="1">
        <f>Table1101516[[#This Row],[النولون]]+Table1101516[[#This Row],[الايصالات]]-Table1101516[[#This Row],[خصم أ ت ص]]+Table1101516[[#This Row],[قيمة مضافة]]</f>
        <v>0</v>
      </c>
      <c r="M343" s="1">
        <f>M342+Table1101516[[#This Row],[اجمالي الفاتوره]]-Table1101516[[#This Row],[الدفعات]]</f>
        <v>0</v>
      </c>
    </row>
    <row r="344" spans="11:13" ht="24" customHeight="1" x14ac:dyDescent="0.3">
      <c r="K344" s="1">
        <f>Table1101516[[#This Row],[النولون]]+Table1101516[[#This Row],[الايصالات]]-Table1101516[[#This Row],[خصم أ ت ص]]+Table1101516[[#This Row],[قيمة مضافة]]</f>
        <v>0</v>
      </c>
      <c r="M344" s="1">
        <f>M343+Table1101516[[#This Row],[اجمالي الفاتوره]]-Table1101516[[#This Row],[الدفعات]]</f>
        <v>0</v>
      </c>
    </row>
    <row r="345" spans="11:13" ht="24" customHeight="1" x14ac:dyDescent="0.3">
      <c r="K345" s="1">
        <f>Table1101516[[#This Row],[النولون]]+Table1101516[[#This Row],[الايصالات]]-Table1101516[[#This Row],[خصم أ ت ص]]+Table1101516[[#This Row],[قيمة مضافة]]</f>
        <v>0</v>
      </c>
      <c r="M345" s="1">
        <f>M344+Table1101516[[#This Row],[اجمالي الفاتوره]]-Table1101516[[#This Row],[الدفعات]]</f>
        <v>0</v>
      </c>
    </row>
    <row r="346" spans="11:13" ht="24" customHeight="1" x14ac:dyDescent="0.3">
      <c r="K346" s="1">
        <f>Table1101516[[#This Row],[النولون]]+Table1101516[[#This Row],[الايصالات]]-Table1101516[[#This Row],[خصم أ ت ص]]+Table1101516[[#This Row],[قيمة مضافة]]</f>
        <v>0</v>
      </c>
      <c r="M346" s="1">
        <f>M345+Table1101516[[#This Row],[اجمالي الفاتوره]]-Table1101516[[#This Row],[الدفعات]]</f>
        <v>0</v>
      </c>
    </row>
    <row r="347" spans="11:13" ht="24" customHeight="1" x14ac:dyDescent="0.3">
      <c r="K347" s="1">
        <f>Table1101516[[#This Row],[النولون]]+Table1101516[[#This Row],[الايصالات]]-Table1101516[[#This Row],[خصم أ ت ص]]+Table1101516[[#This Row],[قيمة مضافة]]</f>
        <v>0</v>
      </c>
      <c r="M347" s="1">
        <f>M346+Table1101516[[#This Row],[اجمالي الفاتوره]]-Table1101516[[#This Row],[الدفعات]]</f>
        <v>0</v>
      </c>
    </row>
    <row r="348" spans="11:13" ht="24" customHeight="1" x14ac:dyDescent="0.3">
      <c r="K348" s="1">
        <f>Table1101516[[#This Row],[النولون]]+Table1101516[[#This Row],[الايصالات]]-Table1101516[[#This Row],[خصم أ ت ص]]+Table1101516[[#This Row],[قيمة مضافة]]</f>
        <v>0</v>
      </c>
      <c r="M348" s="1">
        <f>M347+Table1101516[[#This Row],[اجمالي الفاتوره]]-Table1101516[[#This Row],[الدفعات]]</f>
        <v>0</v>
      </c>
    </row>
  </sheetData>
  <pageMargins left="0.70866141732283461" right="0.70866141732283461" top="0.74803149606299213" bottom="0.74803149606299213" header="0.31496062992125984" footer="4.2519685039370083"/>
  <pageSetup paperSize="9" orientation="landscape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5"/>
  <sheetViews>
    <sheetView rightToLeft="1" topLeftCell="A2" workbookViewId="0">
      <selection activeCell="I17" sqref="I17"/>
    </sheetView>
  </sheetViews>
  <sheetFormatPr defaultColWidth="9.109375" defaultRowHeight="24" customHeight="1" x14ac:dyDescent="0.3"/>
  <cols>
    <col min="1" max="1" width="6.44140625" style="1" bestFit="1" customWidth="1"/>
    <col min="2" max="2" width="11" style="1" customWidth="1"/>
    <col min="3" max="3" width="14.21875" style="1" customWidth="1"/>
    <col min="4" max="4" width="14.109375" style="1" customWidth="1"/>
    <col min="5" max="5" width="14.88671875" style="1" customWidth="1"/>
    <col min="6" max="6" width="9.109375" style="1" customWidth="1"/>
    <col min="7" max="7" width="12.33203125" style="1" customWidth="1"/>
    <col min="8" max="8" width="11.6640625" style="1" customWidth="1"/>
    <col min="9" max="9" width="10.44140625" style="1" customWidth="1"/>
    <col min="10" max="10" width="11.33203125" style="1" customWidth="1"/>
    <col min="11" max="11" width="14.21875" style="1" customWidth="1"/>
    <col min="12" max="12" width="9.88671875" style="1" customWidth="1"/>
    <col min="13" max="13" width="13.109375" style="1" customWidth="1"/>
    <col min="14" max="14" width="10.88671875" style="1" customWidth="1"/>
    <col min="15" max="16384" width="9.109375" style="1"/>
  </cols>
  <sheetData>
    <row r="1" spans="1:15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95" t="s">
        <v>20</v>
      </c>
    </row>
    <row r="2" spans="1:15" ht="24" customHeight="1" x14ac:dyDescent="0.3">
      <c r="A2" s="1">
        <v>1</v>
      </c>
      <c r="B2" s="2">
        <v>46130</v>
      </c>
      <c r="C2" s="1" t="s">
        <v>460</v>
      </c>
      <c r="D2" s="1" t="s">
        <v>118</v>
      </c>
      <c r="E2" s="1">
        <v>903425</v>
      </c>
      <c r="F2" s="1" t="s">
        <v>401</v>
      </c>
      <c r="G2" s="1">
        <f>17000*3</f>
        <v>51000</v>
      </c>
      <c r="H2" s="1">
        <v>0</v>
      </c>
      <c r="J2" s="1">
        <f>3000*3+3500+850+1130*3+438.4*2+45.15*2+431.05+798+1146.84+350+399+700+798+39.9</f>
        <v>22369.89</v>
      </c>
      <c r="K2" s="1">
        <f>Table112[[#This Row],[النولون]]+Table112[[#This Row],[الايصالات]]-Table112[[#This Row],[خصم أ ت ص]]+Table112[[#This Row],[قيمة مضافة]]</f>
        <v>73369.89</v>
      </c>
      <c r="M2" s="1">
        <f>Table112[[#This Row],[اجمالي الفاتوره]]</f>
        <v>73369.89</v>
      </c>
      <c r="O2" s="95"/>
    </row>
    <row r="3" spans="1:15" ht="24" customHeight="1" x14ac:dyDescent="0.3">
      <c r="A3" s="1">
        <v>1387</v>
      </c>
      <c r="B3" s="2">
        <v>46130</v>
      </c>
      <c r="C3" s="1" t="s">
        <v>461</v>
      </c>
      <c r="D3" s="1" t="s">
        <v>94</v>
      </c>
      <c r="E3" s="1">
        <v>411</v>
      </c>
      <c r="F3" s="1" t="s">
        <v>543</v>
      </c>
      <c r="G3" s="1">
        <f>4500+1000</f>
        <v>5500</v>
      </c>
      <c r="H3" s="1">
        <f>0.14*Table112[[#This Row],[النولون]]</f>
        <v>770.00000000000011</v>
      </c>
      <c r="J3" s="1">
        <f>250+40+78.61+150</f>
        <v>518.61</v>
      </c>
      <c r="K3" s="1">
        <f>Table112[[#This Row],[النولون]]+Table112[[#This Row],[الايصالات]]-Table112[[#This Row],[خصم أ ت ص]]+Table112[[#This Row],[قيمة مضافة]]</f>
        <v>6788.61</v>
      </c>
      <c r="M3" s="1">
        <f>M2+Table112[[#This Row],[اجمالي الفاتوره]]-Table112[[#This Row],[الدفعات]]</f>
        <v>80158.5</v>
      </c>
      <c r="O3" s="95"/>
    </row>
    <row r="4" spans="1:15" ht="24" customHeight="1" x14ac:dyDescent="0.3">
      <c r="A4" s="1">
        <v>1398</v>
      </c>
      <c r="B4" s="2">
        <v>46137</v>
      </c>
      <c r="C4" s="1" t="s">
        <v>461</v>
      </c>
      <c r="D4" s="1" t="s">
        <v>94</v>
      </c>
      <c r="E4" s="1" t="s">
        <v>482</v>
      </c>
      <c r="F4" s="1" t="s">
        <v>266</v>
      </c>
      <c r="G4" s="1">
        <f>6*22500</f>
        <v>135000</v>
      </c>
      <c r="H4" s="1">
        <f>0.14*Table112[[#This Row],[النولون]]</f>
        <v>18900</v>
      </c>
      <c r="J4" s="1">
        <f>1210+120+79*3+6*1100+1406.48+1482.13+1475.87+365.21*2+1509.3+2100+16800+2400+100+1768+39742+500</f>
        <v>78181.2</v>
      </c>
      <c r="K4" s="1">
        <f>Table112[[#This Row],[النولون]]+Table112[[#This Row],[الايصالات]]-Table112[[#This Row],[خصم أ ت ص]]+Table112[[#This Row],[قيمة مضافة]]</f>
        <v>232081.2</v>
      </c>
      <c r="M4" s="1">
        <f>M3+Table112[[#This Row],[اجمالي الفاتوره]]-Table112[[#This Row],[الدفعات]]</f>
        <v>312239.7</v>
      </c>
      <c r="O4" s="95"/>
    </row>
    <row r="5" spans="1:15" ht="24" customHeight="1" x14ac:dyDescent="0.3">
      <c r="A5" s="1">
        <v>1399</v>
      </c>
      <c r="B5" s="2">
        <v>46137</v>
      </c>
      <c r="C5" s="1" t="s">
        <v>461</v>
      </c>
      <c r="D5" s="1" t="s">
        <v>94</v>
      </c>
      <c r="E5" s="1" t="s">
        <v>483</v>
      </c>
      <c r="F5" s="1" t="s">
        <v>266</v>
      </c>
      <c r="G5" s="1">
        <f>6*22500</f>
        <v>135000</v>
      </c>
      <c r="H5" s="1">
        <f>0.14*Table112[[#This Row],[النولون]]</f>
        <v>18900</v>
      </c>
      <c r="J5" s="1">
        <f>1270+4*120+79*2+6*1100+5*365.21+747.05+16800+2400+11900+1768+500+39454</f>
        <v>83903.1</v>
      </c>
      <c r="K5" s="1">
        <f>Table112[[#This Row],[النولون]]+Table112[[#This Row],[الايصالات]]-Table112[[#This Row],[خصم أ ت ص]]+Table112[[#This Row],[قيمة مضافة]]</f>
        <v>237803.1</v>
      </c>
      <c r="M5" s="1">
        <f>M4+Table112[[#This Row],[اجمالي الفاتوره]]-Table112[[#This Row],[الدفعات]]</f>
        <v>550042.80000000005</v>
      </c>
      <c r="O5" s="95"/>
    </row>
    <row r="6" spans="1:15" ht="24" customHeight="1" x14ac:dyDescent="0.3">
      <c r="A6" s="1">
        <v>1401</v>
      </c>
      <c r="B6" s="2">
        <v>46137</v>
      </c>
      <c r="C6" s="1" t="s">
        <v>461</v>
      </c>
      <c r="D6" s="1" t="s">
        <v>94</v>
      </c>
      <c r="E6" s="1" t="s">
        <v>484</v>
      </c>
      <c r="F6" s="1" t="s">
        <v>90</v>
      </c>
      <c r="G6" s="1">
        <f>5*22500</f>
        <v>112500</v>
      </c>
      <c r="H6" s="1">
        <f>0.14*Table112[[#This Row],[النولون]]</f>
        <v>15750.000000000002</v>
      </c>
      <c r="J6" s="1">
        <f>1010+120*2+3*79+251.21+365.21*4+14000+2000+1474+400+32878+5*1100</f>
        <v>59451.05</v>
      </c>
      <c r="K6" s="1">
        <f>Table112[[#This Row],[النولون]]+Table112[[#This Row],[الايصالات]]-Table112[[#This Row],[خصم أ ت ص]]+Table112[[#This Row],[قيمة مضافة]]</f>
        <v>187701.05</v>
      </c>
      <c r="M6" s="1">
        <f>M5+Table112[[#This Row],[اجمالي الفاتوره]]-Table112[[#This Row],[الدفعات]]</f>
        <v>737743.85000000009</v>
      </c>
      <c r="O6" s="95"/>
    </row>
    <row r="7" spans="1:15" ht="24" customHeight="1" x14ac:dyDescent="0.3">
      <c r="A7" s="1">
        <v>1447</v>
      </c>
      <c r="B7" s="2">
        <v>46151</v>
      </c>
      <c r="C7" s="1" t="s">
        <v>461</v>
      </c>
      <c r="D7" s="1" t="s">
        <v>94</v>
      </c>
      <c r="E7" s="1" t="s">
        <v>533</v>
      </c>
      <c r="F7" s="1" t="s">
        <v>534</v>
      </c>
      <c r="G7" s="1">
        <f>4*22000+17000</f>
        <v>105000</v>
      </c>
      <c r="H7" s="1">
        <f>0.14*Table112[[#This Row],[النولون]]</f>
        <v>14700.000000000002</v>
      </c>
      <c r="J7" s="1">
        <f>955+550+365.21*4+358.32+120+79*3+1800+1100*4+9000+450+500</f>
        <v>19831.16</v>
      </c>
      <c r="K7" s="1">
        <f>Table112[[#This Row],[النولون]]+Table112[[#This Row],[الايصالات]]-Table112[[#This Row],[خصم أ ت ص]]+Table112[[#This Row],[قيمة مضافة]]</f>
        <v>139531.16</v>
      </c>
      <c r="M7" s="1">
        <f>M6+Table112[[#This Row],[اجمالي الفاتوره]]-Table112[[#This Row],[الدفعات]]</f>
        <v>877275.01000000013</v>
      </c>
      <c r="O7" s="95"/>
    </row>
    <row r="8" spans="1:15" ht="24" customHeight="1" x14ac:dyDescent="0.3">
      <c r="A8" s="72"/>
      <c r="B8" s="73">
        <v>46162</v>
      </c>
      <c r="C8" s="72"/>
      <c r="D8" s="72"/>
      <c r="E8" s="72"/>
      <c r="F8" s="72"/>
      <c r="G8" s="72"/>
      <c r="H8" s="72"/>
      <c r="I8" s="72"/>
      <c r="J8" s="72"/>
      <c r="K8" s="72">
        <f>Table112[[#This Row],[النولون]]+Table112[[#This Row],[الايصالات]]-Table112[[#This Row],[خصم أ ت ص]]+Table112[[#This Row],[قيمة مضافة]]</f>
        <v>0</v>
      </c>
      <c r="L8" s="72">
        <v>73369.89</v>
      </c>
      <c r="M8" s="72">
        <f>M7+Table112[[#This Row],[اجمالي الفاتوره]]-Table112[[#This Row],[الدفعات]]</f>
        <v>803905.12000000011</v>
      </c>
      <c r="O8" s="95"/>
    </row>
    <row r="9" spans="1:15" ht="24" customHeight="1" x14ac:dyDescent="0.3">
      <c r="A9" s="96"/>
      <c r="B9" s="98">
        <v>46188</v>
      </c>
      <c r="C9" s="96"/>
      <c r="D9" s="96"/>
      <c r="E9" s="96"/>
      <c r="F9" s="96"/>
      <c r="G9" s="96"/>
      <c r="H9" s="96"/>
      <c r="I9" s="96"/>
      <c r="J9" s="96"/>
      <c r="K9" s="96">
        <f>Table112[[#This Row],[النولون]]+Table112[[#This Row],[الايصالات]]-Table112[[#This Row],[خصم أ ت ص]]+Table112[[#This Row],[قيمة مضافة]]</f>
        <v>0</v>
      </c>
      <c r="L9" s="96">
        <v>350000</v>
      </c>
      <c r="M9" s="72">
        <f>M8+Table112[[#This Row],[اجمالي الفاتوره]]-Table112[[#This Row],[الدفعات]]</f>
        <v>453905.12000000011</v>
      </c>
      <c r="N9" s="95"/>
      <c r="O9" s="95"/>
    </row>
    <row r="10" spans="1:15" ht="24" customHeight="1" x14ac:dyDescent="0.3">
      <c r="A10" s="96"/>
      <c r="B10" s="98">
        <v>46190</v>
      </c>
      <c r="C10" s="96"/>
      <c r="D10" s="96"/>
      <c r="E10" s="96"/>
      <c r="F10" s="96"/>
      <c r="G10" s="96"/>
      <c r="H10" s="96"/>
      <c r="I10" s="96"/>
      <c r="J10" s="96"/>
      <c r="K10" s="96">
        <f>Table112[[#This Row],[النولون]]+Table112[[#This Row],[الايصالات]]-Table112[[#This Row],[خصم أ ت ص]]+Table112[[#This Row],[قيمة مضافة]]</f>
        <v>0</v>
      </c>
      <c r="L10" s="96">
        <v>463910</v>
      </c>
      <c r="M10" s="72">
        <f>M9+Table112[[#This Row],[اجمالي الفاتوره]]-Table112[[#This Row],[الدفعات]]</f>
        <v>-10004.879999999888</v>
      </c>
      <c r="N10" s="95"/>
      <c r="O10" s="95"/>
    </row>
    <row r="11" spans="1:15" ht="24" customHeight="1" x14ac:dyDescent="0.3">
      <c r="A11" s="1">
        <v>1496</v>
      </c>
      <c r="B11" s="2">
        <v>46174</v>
      </c>
      <c r="C11" s="1" t="s">
        <v>461</v>
      </c>
      <c r="D11" s="1" t="s">
        <v>94</v>
      </c>
      <c r="E11" s="1">
        <v>91</v>
      </c>
      <c r="F11" s="1" t="s">
        <v>133</v>
      </c>
      <c r="G11" s="1">
        <v>22000</v>
      </c>
      <c r="H11" s="1">
        <f>0.14*Table112[[#This Row],[النولون]]</f>
        <v>3080.0000000000005</v>
      </c>
      <c r="J11" s="1">
        <f>210+1100+700.47+400+2000+100+200</f>
        <v>4710.47</v>
      </c>
      <c r="K11" s="1">
        <f>Table112[[#This Row],[النولون]]+Table112[[#This Row],[الايصالات]]-Table112[[#This Row],[خصم أ ت ص]]+Table112[[#This Row],[قيمة مضافة]]</f>
        <v>29790.47</v>
      </c>
      <c r="M11" s="1">
        <f>M10+Table112[[#This Row],[اجمالي الفاتوره]]-Table112[[#This Row],[الدفعات]]</f>
        <v>19785.590000000113</v>
      </c>
      <c r="O11" s="95"/>
    </row>
    <row r="12" spans="1:15" ht="24" customHeight="1" x14ac:dyDescent="0.3">
      <c r="A12" s="1">
        <v>2</v>
      </c>
      <c r="B12" s="2">
        <v>46181</v>
      </c>
      <c r="C12" s="1" t="s">
        <v>595</v>
      </c>
      <c r="D12" s="1" t="s">
        <v>94</v>
      </c>
      <c r="E12" s="1">
        <v>270823120</v>
      </c>
      <c r="F12" s="1" t="s">
        <v>158</v>
      </c>
      <c r="G12" s="1">
        <f>17000*3</f>
        <v>51000</v>
      </c>
      <c r="H12" s="1">
        <v>0</v>
      </c>
      <c r="J12" s="1">
        <f>114+120*3+610+2*1100+1105+435.57+432.74+432.74+250+5690.88+1493+14132</f>
        <v>27255.93</v>
      </c>
      <c r="K12" s="1">
        <f>Table112[[#This Row],[النولون]]+Table112[[#This Row],[الايصالات]]-Table112[[#This Row],[خصم أ ت ص]]+Table112[[#This Row],[قيمة مضافة]]</f>
        <v>78255.929999999993</v>
      </c>
      <c r="M12" s="1">
        <f>M11+Table112[[#This Row],[اجمالي الفاتوره]]-Table112[[#This Row],[الدفعات]]</f>
        <v>98041.520000000106</v>
      </c>
      <c r="O12" s="95"/>
    </row>
    <row r="13" spans="1:15" ht="24" customHeight="1" x14ac:dyDescent="0.3">
      <c r="A13" s="1">
        <v>1552</v>
      </c>
      <c r="B13" s="2">
        <v>46194</v>
      </c>
      <c r="C13" s="1" t="s">
        <v>461</v>
      </c>
      <c r="D13" s="1" t="s">
        <v>94</v>
      </c>
      <c r="E13" s="1">
        <v>928240</v>
      </c>
      <c r="F13" s="1" t="s">
        <v>120</v>
      </c>
      <c r="G13" s="1">
        <v>17000</v>
      </c>
      <c r="H13" s="1">
        <f>0.14*Table112[[#This Row],[النولون]]</f>
        <v>2380</v>
      </c>
      <c r="J13" s="1">
        <f>110+251.87+150+150+171+2500</f>
        <v>3332.87</v>
      </c>
      <c r="K13" s="1">
        <f>Table112[[#This Row],[النولون]]+Table112[[#This Row],[الايصالات]]-Table112[[#This Row],[خصم أ ت ص]]+Table112[[#This Row],[قيمة مضافة]]</f>
        <v>22712.87</v>
      </c>
      <c r="M13" s="1">
        <f>M12+Table112[[#This Row],[اجمالي الفاتوره]]-Table112[[#This Row],[الدفعات]]</f>
        <v>120754.3900000001</v>
      </c>
      <c r="N13" s="1">
        <f>SUM(K:K)-SUM(L:L)</f>
        <v>163138.15000000026</v>
      </c>
      <c r="O13" s="95">
        <f>SUM(Table112[قيمة مضافة])</f>
        <v>76328</v>
      </c>
    </row>
    <row r="14" spans="1:15" ht="24" customHeight="1" x14ac:dyDescent="0.3">
      <c r="A14" s="1">
        <v>3</v>
      </c>
      <c r="B14" s="2">
        <v>46208</v>
      </c>
      <c r="C14" s="1" t="s">
        <v>649</v>
      </c>
      <c r="D14" s="1" t="s">
        <v>94</v>
      </c>
      <c r="E14" s="1">
        <v>272238768</v>
      </c>
      <c r="F14" s="1" t="s">
        <v>120</v>
      </c>
      <c r="G14" s="1">
        <v>17000</v>
      </c>
      <c r="H14" s="1">
        <v>0</v>
      </c>
      <c r="J14" s="1">
        <f>110+120+560+324.4+150+250+2107+3288</f>
        <v>6909.4</v>
      </c>
      <c r="K14" s="1">
        <f>Table112[[#This Row],[النولون]]+Table112[[#This Row],[الايصالات]]-Table112[[#This Row],[خصم أ ت ص]]+Table112[[#This Row],[قيمة مضافة]]</f>
        <v>23909.4</v>
      </c>
      <c r="M14" s="1">
        <f>M13+Table112[[#This Row],[اجمالي الفاتوره]]-Table112[[#This Row],[الدفعات]]</f>
        <v>144663.7900000001</v>
      </c>
      <c r="O14" s="95"/>
    </row>
    <row r="15" spans="1:15" ht="24" customHeight="1" x14ac:dyDescent="0.3">
      <c r="A15" s="1">
        <v>1581</v>
      </c>
      <c r="B15" s="2">
        <v>46208</v>
      </c>
      <c r="C15" s="1" t="s">
        <v>461</v>
      </c>
      <c r="D15" s="1" t="s">
        <v>94</v>
      </c>
      <c r="E15" s="1">
        <v>2026065509</v>
      </c>
      <c r="F15" s="1" t="s">
        <v>650</v>
      </c>
      <c r="G15" s="1">
        <f>13200</f>
        <v>13200</v>
      </c>
      <c r="H15" s="1">
        <f>0.14*Table112[[#This Row],[النولون]]</f>
        <v>1848.0000000000002</v>
      </c>
      <c r="J15" s="1">
        <f>550+126.36+250+2500</f>
        <v>3426.36</v>
      </c>
      <c r="K15" s="1">
        <f>Table112[[#This Row],[النولون]]+Table112[[#This Row],[الايصالات]]-Table112[[#This Row],[خصم أ ت ص]]+Table112[[#This Row],[قيمة مضافة]]</f>
        <v>18474.36</v>
      </c>
      <c r="M15" s="1">
        <f>M14+Table112[[#This Row],[اجمالي الفاتوره]]-Table112[[#This Row],[الدفعات]]</f>
        <v>163138.15000000008</v>
      </c>
      <c r="O15" s="95"/>
    </row>
    <row r="16" spans="1:15" ht="24" customHeight="1" x14ac:dyDescent="0.3">
      <c r="B16" s="2"/>
      <c r="K16" s="1">
        <f>Table112[[#This Row],[النولون]]+Table112[[#This Row],[الايصالات]]-Table112[[#This Row],[خصم أ ت ص]]+Table112[[#This Row],[قيمة مضافة]]</f>
        <v>0</v>
      </c>
      <c r="M16" s="1">
        <f>M15+Table112[[#This Row],[اجمالي الفاتوره]]-Table112[[#This Row],[الدفعات]]</f>
        <v>163138.15000000008</v>
      </c>
      <c r="O16" s="95"/>
    </row>
    <row r="17" spans="2:15" ht="24" customHeight="1" x14ac:dyDescent="0.3">
      <c r="B17" s="2"/>
      <c r="K17" s="1">
        <f>Table112[[#This Row],[النولون]]+Table112[[#This Row],[الايصالات]]-Table112[[#This Row],[خصم أ ت ص]]+Table112[[#This Row],[قيمة مضافة]]</f>
        <v>0</v>
      </c>
      <c r="M17" s="1">
        <f>M16+Table112[[#This Row],[اجمالي الفاتوره]]-Table112[[#This Row],[الدفعات]]</f>
        <v>163138.15000000008</v>
      </c>
      <c r="O17" s="95"/>
    </row>
    <row r="18" spans="2:15" ht="24" customHeight="1" x14ac:dyDescent="0.3">
      <c r="B18" s="2"/>
      <c r="K18" s="1">
        <f>Table112[[#This Row],[النولون]]+Table112[[#This Row],[الايصالات]]-Table112[[#This Row],[خصم أ ت ص]]+Table112[[#This Row],[قيمة مضافة]]</f>
        <v>0</v>
      </c>
      <c r="M18" s="1">
        <f>M17+Table112[[#This Row],[اجمالي الفاتوره]]-Table112[[#This Row],[الدفعات]]</f>
        <v>163138.15000000008</v>
      </c>
      <c r="O18" s="95"/>
    </row>
    <row r="19" spans="2:15" ht="24" customHeight="1" x14ac:dyDescent="0.3">
      <c r="B19" s="2"/>
      <c r="K19" s="1">
        <f>Table112[[#This Row],[النولون]]+Table112[[#This Row],[الايصالات]]-Table112[[#This Row],[خصم أ ت ص]]+Table112[[#This Row],[قيمة مضافة]]</f>
        <v>0</v>
      </c>
      <c r="M19" s="1">
        <f>M18+Table112[[#This Row],[اجمالي الفاتوره]]-Table112[[#This Row],[الدفعات]]</f>
        <v>163138.15000000008</v>
      </c>
      <c r="O19" s="95"/>
    </row>
    <row r="20" spans="2:15" ht="24" customHeight="1" x14ac:dyDescent="0.3">
      <c r="B20" s="2"/>
      <c r="K20" s="1">
        <f>Table112[[#This Row],[النولون]]+Table112[[#This Row],[الايصالات]]-Table112[[#This Row],[خصم أ ت ص]]+Table112[[#This Row],[قيمة مضافة]]</f>
        <v>0</v>
      </c>
      <c r="M20" s="1">
        <f>M19+Table112[[#This Row],[اجمالي الفاتوره]]-Table112[[#This Row],[الدفعات]]</f>
        <v>163138.15000000008</v>
      </c>
      <c r="O20" s="95"/>
    </row>
    <row r="21" spans="2:15" ht="24" customHeight="1" x14ac:dyDescent="0.3">
      <c r="B21" s="2"/>
      <c r="K21" s="1">
        <f>Table112[[#This Row],[النولون]]+Table112[[#This Row],[الايصالات]]-Table112[[#This Row],[خصم أ ت ص]]+Table112[[#This Row],[قيمة مضافة]]</f>
        <v>0</v>
      </c>
      <c r="M21" s="1">
        <f>M20+Table112[[#This Row],[اجمالي الفاتوره]]-Table112[[#This Row],[الدفعات]]</f>
        <v>163138.15000000008</v>
      </c>
      <c r="O21" s="95"/>
    </row>
    <row r="22" spans="2:15" ht="24" customHeight="1" x14ac:dyDescent="0.3">
      <c r="B22" s="2"/>
      <c r="K22" s="1">
        <f>Table112[[#This Row],[النولون]]+Table112[[#This Row],[الايصالات]]-Table112[[#This Row],[خصم أ ت ص]]+Table112[[#This Row],[قيمة مضافة]]</f>
        <v>0</v>
      </c>
      <c r="M22" s="1">
        <f>M21+Table112[[#This Row],[اجمالي الفاتوره]]-Table112[[#This Row],[الدفعات]]</f>
        <v>163138.15000000008</v>
      </c>
      <c r="O22" s="95"/>
    </row>
    <row r="23" spans="2:15" ht="24" customHeight="1" x14ac:dyDescent="0.3">
      <c r="B23" s="2"/>
      <c r="K23" s="1">
        <f>Table112[[#This Row],[النولون]]+Table112[[#This Row],[الايصالات]]-Table112[[#This Row],[خصم أ ت ص]]+Table112[[#This Row],[قيمة مضافة]]</f>
        <v>0</v>
      </c>
      <c r="M23" s="1">
        <f>M22+Table112[[#This Row],[اجمالي الفاتوره]]-Table112[[#This Row],[الدفعات]]</f>
        <v>163138.15000000008</v>
      </c>
      <c r="O23" s="95"/>
    </row>
    <row r="24" spans="2:15" ht="24" customHeight="1" x14ac:dyDescent="0.3">
      <c r="B24" s="2"/>
      <c r="K24" s="1">
        <f>Table112[[#This Row],[النولون]]+Table112[[#This Row],[الايصالات]]-Table112[[#This Row],[خصم أ ت ص]]+Table112[[#This Row],[قيمة مضافة]]</f>
        <v>0</v>
      </c>
      <c r="M24" s="1">
        <f>M23+Table112[[#This Row],[اجمالي الفاتوره]]-Table112[[#This Row],[الدفعات]]</f>
        <v>163138.15000000008</v>
      </c>
      <c r="O24" s="95"/>
    </row>
    <row r="25" spans="2:15" ht="24" customHeight="1" x14ac:dyDescent="0.3">
      <c r="K25" s="1">
        <f>Table112[[#This Row],[النولون]]+Table112[[#This Row],[الايصالات]]-Table112[[#This Row],[خصم أ ت ص]]+Table112[[#This Row],[قيمة مضافة]]</f>
        <v>0</v>
      </c>
      <c r="M25" s="1">
        <f>M24+Table112[[#This Row],[اجمالي الفاتوره]]-Table112[[#This Row],[الدفعات]]</f>
        <v>163138.15000000008</v>
      </c>
      <c r="O25" s="95"/>
    </row>
    <row r="26" spans="2:15" ht="24" customHeight="1" x14ac:dyDescent="0.3">
      <c r="B26" s="2"/>
      <c r="K26" s="1">
        <f>Table112[[#This Row],[النولون]]+Table112[[#This Row],[الايصالات]]-Table112[[#This Row],[خصم أ ت ص]]+Table112[[#This Row],[قيمة مضافة]]</f>
        <v>0</v>
      </c>
      <c r="M26" s="1">
        <f>M25+Table112[[#This Row],[اجمالي الفاتوره]]-Table112[[#This Row],[الدفعات]]</f>
        <v>163138.15000000008</v>
      </c>
      <c r="O26" s="95"/>
    </row>
    <row r="27" spans="2:15" ht="24" customHeight="1" x14ac:dyDescent="0.3">
      <c r="B27" s="2"/>
      <c r="K27" s="1">
        <f>Table112[[#This Row],[النولون]]+Table112[[#This Row],[الايصالات]]-Table112[[#This Row],[خصم أ ت ص]]+Table112[[#This Row],[قيمة مضافة]]</f>
        <v>0</v>
      </c>
      <c r="M27" s="1">
        <f>M26+Table112[[#This Row],[اجمالي الفاتوره]]-Table112[[#This Row],[الدفعات]]</f>
        <v>163138.15000000008</v>
      </c>
      <c r="O27" s="95"/>
    </row>
    <row r="28" spans="2:15" ht="24" customHeight="1" x14ac:dyDescent="0.3">
      <c r="B28" s="2"/>
      <c r="K28" s="1">
        <f>Table112[[#This Row],[النولون]]+Table112[[#This Row],[الايصالات]]-Table112[[#This Row],[خصم أ ت ص]]+Table112[[#This Row],[قيمة مضافة]]</f>
        <v>0</v>
      </c>
      <c r="M28" s="1">
        <f>M27+Table112[[#This Row],[اجمالي الفاتوره]]-Table112[[#This Row],[الدفعات]]</f>
        <v>163138.15000000008</v>
      </c>
      <c r="O28" s="95"/>
    </row>
    <row r="29" spans="2:15" ht="24" customHeight="1" x14ac:dyDescent="0.3">
      <c r="B29" s="2"/>
      <c r="K29" s="1">
        <f>Table112[[#This Row],[النولون]]+Table112[[#This Row],[الايصالات]]-Table112[[#This Row],[خصم أ ت ص]]+Table112[[#This Row],[قيمة مضافة]]</f>
        <v>0</v>
      </c>
      <c r="M29" s="1">
        <f>M28+Table112[[#This Row],[اجمالي الفاتوره]]-Table112[[#This Row],[الدفعات]]</f>
        <v>163138.15000000008</v>
      </c>
      <c r="O29" s="95"/>
    </row>
    <row r="30" spans="2:15" ht="24" customHeight="1" x14ac:dyDescent="0.3">
      <c r="B30" s="2"/>
      <c r="K30" s="1">
        <f>Table112[[#This Row],[النولون]]+Table112[[#This Row],[الايصالات]]-Table112[[#This Row],[خصم أ ت ص]]+Table112[[#This Row],[قيمة مضافة]]</f>
        <v>0</v>
      </c>
      <c r="M30" s="1">
        <f>M29+Table112[[#This Row],[اجمالي الفاتوره]]-Table112[[#This Row],[الدفعات]]</f>
        <v>163138.15000000008</v>
      </c>
      <c r="O30" s="95"/>
    </row>
    <row r="31" spans="2:15" ht="24" customHeight="1" x14ac:dyDescent="0.3">
      <c r="B31" s="2"/>
      <c r="K31" s="1">
        <f>Table112[[#This Row],[النولون]]+Table112[[#This Row],[الايصالات]]-Table112[[#This Row],[خصم أ ت ص]]+Table112[[#This Row],[قيمة مضافة]]</f>
        <v>0</v>
      </c>
      <c r="M31" s="1">
        <f>M30+Table112[[#This Row],[اجمالي الفاتوره]]-Table112[[#This Row],[الدفعات]]</f>
        <v>163138.15000000008</v>
      </c>
      <c r="O31" s="95"/>
    </row>
    <row r="32" spans="2:15" ht="24" customHeight="1" x14ac:dyDescent="0.3">
      <c r="B32" s="2"/>
      <c r="K32" s="1">
        <f>Table112[[#This Row],[النولون]]+Table112[[#This Row],[الايصالات]]-Table112[[#This Row],[خصم أ ت ص]]+Table112[[#This Row],[قيمة مضافة]]</f>
        <v>0</v>
      </c>
      <c r="M32" s="1">
        <f>M31+Table112[[#This Row],[اجمالي الفاتوره]]-Table112[[#This Row],[الدفعات]]</f>
        <v>163138.15000000008</v>
      </c>
      <c r="O32" s="95"/>
    </row>
    <row r="33" spans="1:15" ht="24" customHeight="1" x14ac:dyDescent="0.3">
      <c r="B33" s="2"/>
      <c r="K33" s="1">
        <f>Table112[[#This Row],[النولون]]+Table112[[#This Row],[الايصالات]]-Table112[[#This Row],[خصم أ ت ص]]+Table112[[#This Row],[قيمة مضافة]]</f>
        <v>0</v>
      </c>
      <c r="M33" s="1">
        <f>M32+Table112[[#This Row],[اجمالي الفاتوره]]-Table112[[#This Row],[الدفعات]]</f>
        <v>163138.15000000008</v>
      </c>
      <c r="O33" s="95"/>
    </row>
    <row r="34" spans="1:15" ht="24" customHeight="1" x14ac:dyDescent="0.3">
      <c r="K34" s="1">
        <f>Table112[[#This Row],[النولون]]+Table112[[#This Row],[الايصالات]]-Table112[[#This Row],[خصم أ ت ص]]+Table112[[#This Row],[قيمة مضافة]]</f>
        <v>0</v>
      </c>
      <c r="M34" s="1">
        <f>M33+Table112[[#This Row],[اجمالي الفاتوره]]-Table112[[#This Row],[الدفعات]]</f>
        <v>163138.15000000008</v>
      </c>
      <c r="O34" s="95"/>
    </row>
    <row r="35" spans="1:15" ht="24" customHeight="1" x14ac:dyDescent="0.3">
      <c r="B35" s="2"/>
      <c r="K35" s="1">
        <f>Table112[[#This Row],[النولون]]+Table112[[#This Row],[الايصالات]]-Table112[[#This Row],[خصم أ ت ص]]+Table112[[#This Row],[قيمة مضافة]]</f>
        <v>0</v>
      </c>
      <c r="M35" s="1">
        <f>M34+Table112[[#This Row],[اجمالي الفاتوره]]-Table112[[#This Row],[الدفعات]]</f>
        <v>163138.15000000008</v>
      </c>
      <c r="O35" s="95"/>
    </row>
    <row r="36" spans="1:15" ht="24" customHeight="1" x14ac:dyDescent="0.3">
      <c r="B36" s="2"/>
      <c r="K36" s="1">
        <f>Table112[[#This Row],[النولون]]+Table112[[#This Row],[الايصالات]]-Table112[[#This Row],[خصم أ ت ص]]+Table112[[#This Row],[قيمة مضافة]]</f>
        <v>0</v>
      </c>
      <c r="M36" s="1">
        <f>M35+Table112[[#This Row],[اجمالي الفاتوره]]-Table112[[#This Row],[الدفعات]]</f>
        <v>163138.15000000008</v>
      </c>
      <c r="O36" s="95"/>
    </row>
    <row r="37" spans="1:15" ht="24" customHeight="1" x14ac:dyDescent="0.3">
      <c r="B37" s="2"/>
      <c r="K37" s="1">
        <f>Table112[[#This Row],[النولون]]+Table112[[#This Row],[الايصالات]]-Table112[[#This Row],[خصم أ ت ص]]+Table112[[#This Row],[قيمة مضافة]]</f>
        <v>0</v>
      </c>
      <c r="M37" s="1">
        <f>M36+Table112[[#This Row],[اجمالي الفاتوره]]-Table112[[#This Row],[الدفعات]]</f>
        <v>163138.15000000008</v>
      </c>
      <c r="O37" s="95"/>
    </row>
    <row r="38" spans="1:15" ht="24" customHeight="1" x14ac:dyDescent="0.3">
      <c r="B38" s="2"/>
      <c r="K38" s="1">
        <f>Table112[[#This Row],[النولون]]+Table112[[#This Row],[الايصالات]]-Table112[[#This Row],[خصم أ ت ص]]+Table112[[#This Row],[قيمة مضافة]]</f>
        <v>0</v>
      </c>
      <c r="M38" s="1">
        <f>M37+Table112[[#This Row],[اجمالي الفاتوره]]-Table112[[#This Row],[الدفعات]]</f>
        <v>163138.15000000008</v>
      </c>
      <c r="O38" s="95"/>
    </row>
    <row r="39" spans="1:15" ht="24" customHeight="1" x14ac:dyDescent="0.3">
      <c r="B39" s="2"/>
      <c r="K39" s="1">
        <f>Table112[[#This Row],[النولون]]+Table112[[#This Row],[الايصالات]]-Table112[[#This Row],[خصم أ ت ص]]+Table112[[#This Row],[قيمة مضافة]]</f>
        <v>0</v>
      </c>
      <c r="M39" s="1">
        <f>M38+Table112[[#This Row],[اجمالي الفاتوره]]-Table112[[#This Row],[الدفعات]]</f>
        <v>163138.15000000008</v>
      </c>
      <c r="O39" s="95"/>
    </row>
    <row r="40" spans="1:15" ht="24" customHeight="1" x14ac:dyDescent="0.3">
      <c r="B40" s="2"/>
      <c r="K40" s="1">
        <f>Table112[[#This Row],[النولون]]+Table112[[#This Row],[الايصالات]]-Table112[[#This Row],[خصم أ ت ص]]+Table112[[#This Row],[قيمة مضافة]]</f>
        <v>0</v>
      </c>
      <c r="M40" s="1">
        <f>M39+Table112[[#This Row],[اجمالي الفاتوره]]-Table112[[#This Row],[الدفعات]]</f>
        <v>163138.15000000008</v>
      </c>
      <c r="O40" s="95"/>
    </row>
    <row r="41" spans="1:15" ht="24" customHeight="1" x14ac:dyDescent="0.3">
      <c r="K41" s="1">
        <f>Table112[[#This Row],[النولون]]+Table112[[#This Row],[الايصالات]]-Table112[[#This Row],[خصم أ ت ص]]+Table112[[#This Row],[قيمة مضافة]]</f>
        <v>0</v>
      </c>
      <c r="M41" s="1">
        <f>M40+Table112[[#This Row],[اجمالي الفاتوره]]-Table112[[#This Row],[الدفعات]]</f>
        <v>163138.15000000008</v>
      </c>
      <c r="O41" s="95"/>
    </row>
    <row r="42" spans="1:15" ht="24" customHeight="1" x14ac:dyDescent="0.3">
      <c r="B42" s="2"/>
      <c r="K42" s="1">
        <f>Table112[[#This Row],[النولون]]+Table112[[#This Row],[الايصالات]]-Table112[[#This Row],[خصم أ ت ص]]+Table112[[#This Row],[قيمة مضافة]]</f>
        <v>0</v>
      </c>
      <c r="M42" s="1">
        <f>M41+Table112[[#This Row],[اجمالي الفاتوره]]-Table112[[#This Row],[الدفعات]]</f>
        <v>163138.15000000008</v>
      </c>
      <c r="O42" s="95"/>
    </row>
    <row r="43" spans="1:15" ht="24" customHeight="1" x14ac:dyDescent="0.3">
      <c r="B43" s="2"/>
      <c r="K43" s="1">
        <f>Table112[[#This Row],[النولون]]+Table112[[#This Row],[الايصالات]]-Table112[[#This Row],[خصم أ ت ص]]+Table112[[#This Row],[قيمة مضافة]]</f>
        <v>0</v>
      </c>
      <c r="M43" s="1">
        <f>M42+Table112[[#This Row],[اجمالي الفاتوره]]-Table112[[#This Row],[الدفعات]]</f>
        <v>163138.15000000008</v>
      </c>
      <c r="O43" s="95"/>
    </row>
    <row r="44" spans="1:15" ht="24" customHeight="1" x14ac:dyDescent="0.3">
      <c r="B44" s="2"/>
      <c r="K44" s="1">
        <f>Table112[[#This Row],[النولون]]+Table112[[#This Row],[الايصالات]]-Table112[[#This Row],[خصم أ ت ص]]+Table112[[#This Row],[قيمة مضافة]]</f>
        <v>0</v>
      </c>
      <c r="M44" s="1">
        <f>M43+Table112[[#This Row],[اجمالي الفاتوره]]-Table112[[#This Row],[الدفعات]]</f>
        <v>163138.15000000008</v>
      </c>
      <c r="O44" s="95"/>
    </row>
    <row r="45" spans="1:15" ht="24" customHeight="1" x14ac:dyDescent="0.3">
      <c r="B45" s="2"/>
      <c r="K45" s="1">
        <f>Table112[[#This Row],[النولون]]+Table112[[#This Row],[الايصالات]]-Table112[[#This Row],[خصم أ ت ص]]+Table112[[#This Row],[قيمة مضافة]]</f>
        <v>0</v>
      </c>
      <c r="M45" s="1">
        <f>M44+Table112[[#This Row],[اجمالي الفاتوره]]-Table112[[#This Row],[الدفعات]]</f>
        <v>163138.15000000008</v>
      </c>
      <c r="O45" s="95"/>
    </row>
    <row r="46" spans="1:15" ht="24" customHeight="1" x14ac:dyDescent="0.3">
      <c r="B46" s="2"/>
      <c r="K46" s="1">
        <f>Table112[[#This Row],[النولون]]+Table112[[#This Row],[الايصالات]]-Table112[[#This Row],[خصم أ ت ص]]+Table112[[#This Row],[قيمة مضافة]]</f>
        <v>0</v>
      </c>
      <c r="M46" s="1">
        <f>M45+Table112[[#This Row],[اجمالي الفاتوره]]-Table112[[#This Row],[الدفعات]]</f>
        <v>163138.15000000008</v>
      </c>
      <c r="O46" s="95"/>
    </row>
    <row r="47" spans="1:15" ht="24" customHeight="1" x14ac:dyDescent="0.3">
      <c r="B47" s="2"/>
      <c r="K47" s="1">
        <f>Table112[[#This Row],[النولون]]+Table112[[#This Row],[الايصالات]]-Table112[[#This Row],[خصم أ ت ص]]+Table112[[#This Row],[قيمة مضافة]]</f>
        <v>0</v>
      </c>
      <c r="M47" s="1">
        <f>M46+Table112[[#This Row],[اجمالي الفاتوره]]-Table112[[#This Row],[الدفعات]]</f>
        <v>163138.15000000008</v>
      </c>
      <c r="O47" s="95"/>
    </row>
    <row r="48" spans="1:15" ht="24" customHeight="1" x14ac:dyDescent="0.3">
      <c r="A48" s="20"/>
      <c r="B48" s="23"/>
      <c r="E48" s="20"/>
      <c r="G48" s="20"/>
      <c r="H48" s="20"/>
      <c r="I48" s="20"/>
      <c r="J48" s="20"/>
      <c r="K48" s="20">
        <f>Table112[[#This Row],[النولون]]+Table112[[#This Row],[الايصالات]]-Table112[[#This Row],[خصم أ ت ص]]+Table112[[#This Row],[قيمة مضافة]]</f>
        <v>0</v>
      </c>
      <c r="L48" s="20"/>
      <c r="M48" s="1">
        <f>M47+Table112[[#This Row],[اجمالي الفاتوره]]-Table112[[#This Row],[الدفعات]]</f>
        <v>163138.15000000008</v>
      </c>
      <c r="N48" s="20"/>
      <c r="O48" s="95"/>
    </row>
    <row r="49" spans="2:15" ht="24" customHeight="1" x14ac:dyDescent="0.3">
      <c r="B49" s="2"/>
      <c r="K49" s="1">
        <f>Table112[[#This Row],[النولون]]+Table112[[#This Row],[الايصالات]]-Table112[[#This Row],[خصم أ ت ص]]+Table112[[#This Row],[قيمة مضافة]]</f>
        <v>0</v>
      </c>
      <c r="M49" s="1">
        <f>M48+Table112[[#This Row],[اجمالي الفاتوره]]-Table112[[#This Row],[الدفعات]]</f>
        <v>163138.15000000008</v>
      </c>
      <c r="O49" s="95"/>
    </row>
    <row r="50" spans="2:15" ht="24" customHeight="1" x14ac:dyDescent="0.3">
      <c r="B50" s="2"/>
      <c r="K50" s="1">
        <f>Table112[[#This Row],[النولون]]+Table112[[#This Row],[الايصالات]]-Table112[[#This Row],[خصم أ ت ص]]+Table112[[#This Row],[قيمة مضافة]]</f>
        <v>0</v>
      </c>
      <c r="M50" s="1">
        <f>M49+Table112[[#This Row],[اجمالي الفاتوره]]-Table112[[#This Row],[الدفعات]]</f>
        <v>163138.15000000008</v>
      </c>
      <c r="O50" s="95"/>
    </row>
    <row r="51" spans="2:15" ht="24" customHeight="1" x14ac:dyDescent="0.3">
      <c r="K51" s="1">
        <f>Table112[[#This Row],[النولون]]+Table112[[#This Row],[الايصالات]]-Table112[[#This Row],[خصم أ ت ص]]+Table112[[#This Row],[قيمة مضافة]]</f>
        <v>0</v>
      </c>
      <c r="M51" s="1">
        <f>M50+Table112[[#This Row],[اجمالي الفاتوره]]-Table112[[#This Row],[الدفعات]]</f>
        <v>163138.15000000008</v>
      </c>
      <c r="O51" s="95"/>
    </row>
    <row r="52" spans="2:15" ht="24" customHeight="1" x14ac:dyDescent="0.3">
      <c r="B52" s="2"/>
      <c r="K52" s="1">
        <f>Table112[[#This Row],[النولون]]+Table112[[#This Row],[الايصالات]]-Table112[[#This Row],[خصم أ ت ص]]+Table112[[#This Row],[قيمة مضافة]]</f>
        <v>0</v>
      </c>
      <c r="M52" s="1">
        <f>M51+Table112[[#This Row],[اجمالي الفاتوره]]-Table112[[#This Row],[الدفعات]]</f>
        <v>163138.15000000008</v>
      </c>
      <c r="O52" s="95"/>
    </row>
    <row r="53" spans="2:15" ht="24" customHeight="1" x14ac:dyDescent="0.3">
      <c r="B53" s="2"/>
      <c r="K53" s="1">
        <f>Table112[[#This Row],[النولون]]+Table112[[#This Row],[الايصالات]]-Table112[[#This Row],[خصم أ ت ص]]+Table112[[#This Row],[قيمة مضافة]]</f>
        <v>0</v>
      </c>
      <c r="M53" s="1">
        <f>M52+Table112[[#This Row],[اجمالي الفاتوره]]-Table112[[#This Row],[الدفعات]]</f>
        <v>163138.15000000008</v>
      </c>
      <c r="O53" s="95"/>
    </row>
    <row r="54" spans="2:15" ht="24" customHeight="1" x14ac:dyDescent="0.3">
      <c r="B54" s="2"/>
      <c r="K54" s="1">
        <f>Table112[[#This Row],[النولون]]+Table112[[#This Row],[الايصالات]]-Table112[[#This Row],[خصم أ ت ص]]+Table112[[#This Row],[قيمة مضافة]]</f>
        <v>0</v>
      </c>
      <c r="M54" s="1">
        <f>M53+Table112[[#This Row],[اجمالي الفاتوره]]-Table112[[#This Row],[الدفعات]]</f>
        <v>163138.15000000008</v>
      </c>
      <c r="O54" s="95"/>
    </row>
    <row r="55" spans="2:15" ht="24" customHeight="1" x14ac:dyDescent="0.3">
      <c r="B55" s="2"/>
      <c r="K55" s="1">
        <f>Table112[[#This Row],[النولون]]+Table112[[#This Row],[الايصالات]]-Table112[[#This Row],[خصم أ ت ص]]+Table112[[#This Row],[قيمة مضافة]]</f>
        <v>0</v>
      </c>
      <c r="M55" s="1">
        <f>M54+Table112[[#This Row],[اجمالي الفاتوره]]-Table112[[#This Row],[الدفعات]]</f>
        <v>163138.15000000008</v>
      </c>
      <c r="O55" s="95"/>
    </row>
    <row r="56" spans="2:15" ht="24" customHeight="1" x14ac:dyDescent="0.3">
      <c r="B56" s="2"/>
      <c r="K56" s="1">
        <f>Table112[[#This Row],[النولون]]+Table112[[#This Row],[الايصالات]]-Table112[[#This Row],[خصم أ ت ص]]+Table112[[#This Row],[قيمة مضافة]]</f>
        <v>0</v>
      </c>
      <c r="M56" s="1">
        <f>M55+Table112[[#This Row],[اجمالي الفاتوره]]-Table112[[#This Row],[الدفعات]]</f>
        <v>163138.15000000008</v>
      </c>
      <c r="O56" s="95"/>
    </row>
    <row r="57" spans="2:15" ht="24" customHeight="1" x14ac:dyDescent="0.3">
      <c r="B57" s="2"/>
      <c r="K57" s="1">
        <f>Table112[[#This Row],[النولون]]+Table112[[#This Row],[الايصالات]]-Table112[[#This Row],[خصم أ ت ص]]+Table112[[#This Row],[قيمة مضافة]]</f>
        <v>0</v>
      </c>
      <c r="M57" s="1">
        <f>M56+Table112[[#This Row],[اجمالي الفاتوره]]-Table112[[#This Row],[الدفعات]]</f>
        <v>163138.15000000008</v>
      </c>
      <c r="O57" s="95"/>
    </row>
    <row r="58" spans="2:15" ht="24" customHeight="1" x14ac:dyDescent="0.3">
      <c r="K58" s="1">
        <f>Table112[[#This Row],[النولون]]+Table112[[#This Row],[الايصالات]]-Table112[[#This Row],[خصم أ ت ص]]+Table112[[#This Row],[قيمة مضافة]]</f>
        <v>0</v>
      </c>
      <c r="M58" s="1">
        <f>M57+Table112[[#This Row],[اجمالي الفاتوره]]-Table112[[#This Row],[الدفعات]]</f>
        <v>163138.15000000008</v>
      </c>
      <c r="O58" s="95"/>
    </row>
    <row r="59" spans="2:15" ht="24" customHeight="1" x14ac:dyDescent="0.3">
      <c r="K59" s="1">
        <f>Table112[[#This Row],[النولون]]+Table112[[#This Row],[الايصالات]]-Table112[[#This Row],[خصم أ ت ص]]+Table112[[#This Row],[قيمة مضافة]]</f>
        <v>0</v>
      </c>
      <c r="M59" s="1">
        <f>M58+Table112[[#This Row],[اجمالي الفاتوره]]-Table112[[#This Row],[الدفعات]]</f>
        <v>163138.15000000008</v>
      </c>
      <c r="O59" s="95"/>
    </row>
    <row r="60" spans="2:15" ht="24" customHeight="1" x14ac:dyDescent="0.3">
      <c r="K60" s="1">
        <f>Table112[[#This Row],[النولون]]+Table112[[#This Row],[الايصالات]]-Table112[[#This Row],[خصم أ ت ص]]+Table112[[#This Row],[قيمة مضافة]]</f>
        <v>0</v>
      </c>
      <c r="M60" s="1">
        <f>M59+Table112[[#This Row],[اجمالي الفاتوره]]-Table112[[#This Row],[الدفعات]]</f>
        <v>163138.15000000008</v>
      </c>
      <c r="O60" s="95"/>
    </row>
    <row r="61" spans="2:15" ht="24" customHeight="1" x14ac:dyDescent="0.3">
      <c r="K61" s="1">
        <f>Table112[[#This Row],[النولون]]+Table112[[#This Row],[الايصالات]]-Table112[[#This Row],[خصم أ ت ص]]+Table112[[#This Row],[قيمة مضافة]]</f>
        <v>0</v>
      </c>
      <c r="M61" s="1">
        <f>M60+Table112[[#This Row],[اجمالي الفاتوره]]-Table112[[#This Row],[الدفعات]]</f>
        <v>163138.15000000008</v>
      </c>
      <c r="O61" s="95"/>
    </row>
    <row r="62" spans="2:15" ht="24" customHeight="1" x14ac:dyDescent="0.3">
      <c r="K62" s="1">
        <f>Table112[[#This Row],[النولون]]+Table112[[#This Row],[الايصالات]]-Table112[[#This Row],[خصم أ ت ص]]+Table112[[#This Row],[قيمة مضافة]]</f>
        <v>0</v>
      </c>
      <c r="M62" s="1">
        <f>M61+Table112[[#This Row],[اجمالي الفاتوره]]-Table112[[#This Row],[الدفعات]]</f>
        <v>163138.15000000008</v>
      </c>
      <c r="O62" s="95"/>
    </row>
    <row r="63" spans="2:15" ht="24" customHeight="1" x14ac:dyDescent="0.3">
      <c r="K63" s="1">
        <f>Table112[[#This Row],[النولون]]+Table112[[#This Row],[الايصالات]]-Table112[[#This Row],[خصم أ ت ص]]+Table112[[#This Row],[قيمة مضافة]]</f>
        <v>0</v>
      </c>
      <c r="M63" s="1">
        <f>M62+Table112[[#This Row],[اجمالي الفاتوره]]-Table112[[#This Row],[الدفعات]]</f>
        <v>163138.15000000008</v>
      </c>
      <c r="O63" s="95"/>
    </row>
    <row r="64" spans="2:15" ht="24" customHeight="1" x14ac:dyDescent="0.3">
      <c r="K64" s="1">
        <f>Table112[[#This Row],[النولون]]+Table112[[#This Row],[الايصالات]]-Table112[[#This Row],[خصم أ ت ص]]+Table112[[#This Row],[قيمة مضافة]]</f>
        <v>0</v>
      </c>
      <c r="M64" s="1">
        <f>M63+Table112[[#This Row],[اجمالي الفاتوره]]-Table112[[#This Row],[الدفعات]]</f>
        <v>163138.15000000008</v>
      </c>
      <c r="O64" s="95"/>
    </row>
    <row r="65" spans="11:15" ht="24" customHeight="1" x14ac:dyDescent="0.3">
      <c r="K65" s="1">
        <f>Table112[[#This Row],[النولون]]+Table112[[#This Row],[الايصالات]]-Table112[[#This Row],[خصم أ ت ص]]+Table112[[#This Row],[قيمة مضافة]]</f>
        <v>0</v>
      </c>
      <c r="M65" s="1">
        <f>M64+Table112[[#This Row],[اجمالي الفاتوره]]-Table112[[#This Row],[الدفعات]]</f>
        <v>163138.15000000008</v>
      </c>
      <c r="O65" s="95"/>
    </row>
    <row r="66" spans="11:15" ht="24" customHeight="1" x14ac:dyDescent="0.3">
      <c r="K66" s="1">
        <f>Table112[[#This Row],[النولون]]+Table112[[#This Row],[الايصالات]]-Table112[[#This Row],[خصم أ ت ص]]+Table112[[#This Row],[قيمة مضافة]]</f>
        <v>0</v>
      </c>
      <c r="M66" s="1">
        <f>M65+Table112[[#This Row],[اجمالي الفاتوره]]-Table112[[#This Row],[الدفعات]]</f>
        <v>163138.15000000008</v>
      </c>
      <c r="O66" s="95"/>
    </row>
    <row r="67" spans="11:15" ht="24" customHeight="1" x14ac:dyDescent="0.3">
      <c r="K67" s="1">
        <f>Table112[[#This Row],[النولون]]+Table112[[#This Row],[الايصالات]]-Table112[[#This Row],[خصم أ ت ص]]+Table112[[#This Row],[قيمة مضافة]]</f>
        <v>0</v>
      </c>
      <c r="M67" s="1">
        <f>M66+Table112[[#This Row],[اجمالي الفاتوره]]-Table112[[#This Row],[الدفعات]]</f>
        <v>163138.15000000008</v>
      </c>
      <c r="O67" s="95"/>
    </row>
    <row r="68" spans="11:15" ht="24" customHeight="1" x14ac:dyDescent="0.3">
      <c r="K68" s="1">
        <f>Table112[[#This Row],[النولون]]+Table112[[#This Row],[الايصالات]]-Table112[[#This Row],[خصم أ ت ص]]+Table112[[#This Row],[قيمة مضافة]]</f>
        <v>0</v>
      </c>
      <c r="M68" s="1">
        <f>M67+Table112[[#This Row],[اجمالي الفاتوره]]-Table112[[#This Row],[الدفعات]]</f>
        <v>163138.15000000008</v>
      </c>
      <c r="O68" s="95"/>
    </row>
    <row r="69" spans="11:15" ht="24" customHeight="1" x14ac:dyDescent="0.3">
      <c r="K69" s="1">
        <f>Table112[[#This Row],[النولون]]+Table112[[#This Row],[الايصالات]]-Table112[[#This Row],[خصم أ ت ص]]+Table112[[#This Row],[قيمة مضافة]]</f>
        <v>0</v>
      </c>
      <c r="M69" s="1">
        <f>M68+Table112[[#This Row],[اجمالي الفاتوره]]-Table112[[#This Row],[الدفعات]]</f>
        <v>163138.15000000008</v>
      </c>
      <c r="O69" s="95"/>
    </row>
    <row r="70" spans="11:15" ht="24" customHeight="1" x14ac:dyDescent="0.3">
      <c r="K70" s="1">
        <f>Table112[[#This Row],[النولون]]+Table112[[#This Row],[الايصالات]]-Table112[[#This Row],[خصم أ ت ص]]+Table112[[#This Row],[قيمة مضافة]]</f>
        <v>0</v>
      </c>
      <c r="M70" s="1">
        <f>M69+Table112[[#This Row],[اجمالي الفاتوره]]-Table112[[#This Row],[الدفعات]]</f>
        <v>163138.15000000008</v>
      </c>
      <c r="O70" s="95"/>
    </row>
    <row r="71" spans="11:15" ht="24" customHeight="1" x14ac:dyDescent="0.3">
      <c r="K71" s="1">
        <f>Table112[[#This Row],[النولون]]+Table112[[#This Row],[الايصالات]]-Table112[[#This Row],[خصم أ ت ص]]+Table112[[#This Row],[قيمة مضافة]]</f>
        <v>0</v>
      </c>
      <c r="M71" s="1">
        <f>M70+Table112[[#This Row],[اجمالي الفاتوره]]-Table112[[#This Row],[الدفعات]]</f>
        <v>163138.15000000008</v>
      </c>
      <c r="O71" s="95"/>
    </row>
    <row r="72" spans="11:15" ht="24" customHeight="1" x14ac:dyDescent="0.3">
      <c r="K72" s="1">
        <f>Table112[[#This Row],[النولون]]+Table112[[#This Row],[الايصالات]]-Table112[[#This Row],[خصم أ ت ص]]+Table112[[#This Row],[قيمة مضافة]]</f>
        <v>0</v>
      </c>
      <c r="M72" s="1">
        <f>M71+Table112[[#This Row],[اجمالي الفاتوره]]-Table112[[#This Row],[الدفعات]]</f>
        <v>163138.15000000008</v>
      </c>
      <c r="O72" s="95"/>
    </row>
    <row r="73" spans="11:15" ht="24" customHeight="1" x14ac:dyDescent="0.3">
      <c r="K73" s="1">
        <f>Table112[[#This Row],[النولون]]+Table112[[#This Row],[الايصالات]]-Table112[[#This Row],[خصم أ ت ص]]+Table112[[#This Row],[قيمة مضافة]]</f>
        <v>0</v>
      </c>
      <c r="M73" s="1">
        <f>M72+Table112[[#This Row],[اجمالي الفاتوره]]-Table112[[#This Row],[الدفعات]]</f>
        <v>163138.15000000008</v>
      </c>
      <c r="O73" s="95"/>
    </row>
    <row r="74" spans="11:15" ht="24" customHeight="1" x14ac:dyDescent="0.3">
      <c r="K74" s="1">
        <f>Table112[[#This Row],[النولون]]+Table112[[#This Row],[الايصالات]]-Table112[[#This Row],[خصم أ ت ص]]+Table112[[#This Row],[قيمة مضافة]]</f>
        <v>0</v>
      </c>
      <c r="M74" s="1">
        <f>M73+Table112[[#This Row],[اجمالي الفاتوره]]-Table112[[#This Row],[الدفعات]]</f>
        <v>163138.15000000008</v>
      </c>
      <c r="O74" s="95"/>
    </row>
    <row r="75" spans="11:15" ht="24" customHeight="1" x14ac:dyDescent="0.3">
      <c r="K75" s="1">
        <f>Table112[[#This Row],[النولون]]+Table112[[#This Row],[الايصالات]]-Table112[[#This Row],[خصم أ ت ص]]+Table112[[#This Row],[قيمة مضافة]]</f>
        <v>0</v>
      </c>
      <c r="M75" s="1">
        <f>M74+Table112[[#This Row],[اجمالي الفاتوره]]-Table112[[#This Row],[الدفعات]]</f>
        <v>163138.15000000008</v>
      </c>
      <c r="O75" s="95"/>
    </row>
    <row r="76" spans="11:15" ht="24" customHeight="1" x14ac:dyDescent="0.3">
      <c r="K76" s="1">
        <f>Table112[[#This Row],[النولون]]+Table112[[#This Row],[الايصالات]]-Table112[[#This Row],[خصم أ ت ص]]+Table112[[#This Row],[قيمة مضافة]]</f>
        <v>0</v>
      </c>
      <c r="M76" s="1">
        <f>M75+Table112[[#This Row],[اجمالي الفاتوره]]-Table112[[#This Row],[الدفعات]]</f>
        <v>163138.15000000008</v>
      </c>
      <c r="O76" s="95"/>
    </row>
    <row r="77" spans="11:15" ht="24" customHeight="1" x14ac:dyDescent="0.3">
      <c r="K77" s="1">
        <f>Table112[[#This Row],[النولون]]+Table112[[#This Row],[الايصالات]]-Table112[[#This Row],[خصم أ ت ص]]+Table112[[#This Row],[قيمة مضافة]]</f>
        <v>0</v>
      </c>
      <c r="M77" s="1">
        <f>M76+Table112[[#This Row],[اجمالي الفاتوره]]-Table112[[#This Row],[الدفعات]]</f>
        <v>163138.15000000008</v>
      </c>
      <c r="O77" s="95"/>
    </row>
    <row r="78" spans="11:15" ht="24" customHeight="1" x14ac:dyDescent="0.3">
      <c r="K78" s="1">
        <f>Table112[[#This Row],[النولون]]+Table112[[#This Row],[الايصالات]]-Table112[[#This Row],[خصم أ ت ص]]+Table112[[#This Row],[قيمة مضافة]]</f>
        <v>0</v>
      </c>
      <c r="M78" s="1">
        <f>M77+Table112[[#This Row],[اجمالي الفاتوره]]-Table112[[#This Row],[الدفعات]]</f>
        <v>163138.15000000008</v>
      </c>
      <c r="O78" s="95"/>
    </row>
    <row r="79" spans="11:15" ht="24" customHeight="1" x14ac:dyDescent="0.3">
      <c r="K79" s="1">
        <f>Table112[[#This Row],[النولون]]+Table112[[#This Row],[الايصالات]]-Table112[[#This Row],[خصم أ ت ص]]+Table112[[#This Row],[قيمة مضافة]]</f>
        <v>0</v>
      </c>
      <c r="M79" s="1">
        <f>M78+Table112[[#This Row],[اجمالي الفاتوره]]-Table112[[#This Row],[الدفعات]]</f>
        <v>163138.15000000008</v>
      </c>
      <c r="O79" s="95"/>
    </row>
    <row r="80" spans="11:15" ht="24" customHeight="1" x14ac:dyDescent="0.3">
      <c r="K80" s="1">
        <f>Table112[[#This Row],[النولون]]+Table112[[#This Row],[الايصالات]]-Table112[[#This Row],[خصم أ ت ص]]+Table112[[#This Row],[قيمة مضافة]]</f>
        <v>0</v>
      </c>
      <c r="M80" s="1">
        <f>M79+Table112[[#This Row],[اجمالي الفاتوره]]-Table112[[#This Row],[الدفعات]]</f>
        <v>163138.15000000008</v>
      </c>
      <c r="O80" s="95"/>
    </row>
    <row r="81" spans="11:15" ht="24" customHeight="1" x14ac:dyDescent="0.3">
      <c r="K81" s="1">
        <f>Table112[[#This Row],[النولون]]+Table112[[#This Row],[الايصالات]]-Table112[[#This Row],[خصم أ ت ص]]+Table112[[#This Row],[قيمة مضافة]]</f>
        <v>0</v>
      </c>
      <c r="M81" s="1">
        <f>M80+Table112[[#This Row],[اجمالي الفاتوره]]-Table112[[#This Row],[الدفعات]]</f>
        <v>163138.15000000008</v>
      </c>
      <c r="O81" s="95"/>
    </row>
    <row r="82" spans="11:15" ht="24" customHeight="1" x14ac:dyDescent="0.3">
      <c r="K82" s="1">
        <f>Table112[[#This Row],[النولون]]+Table112[[#This Row],[الايصالات]]-Table112[[#This Row],[خصم أ ت ص]]+Table112[[#This Row],[قيمة مضافة]]</f>
        <v>0</v>
      </c>
      <c r="M82" s="1">
        <f>M81+Table112[[#This Row],[اجمالي الفاتوره]]-Table112[[#This Row],[الدفعات]]</f>
        <v>163138.15000000008</v>
      </c>
      <c r="O82" s="95"/>
    </row>
    <row r="83" spans="11:15" ht="24" customHeight="1" x14ac:dyDescent="0.3">
      <c r="K83" s="1">
        <f>Table112[[#This Row],[النولون]]+Table112[[#This Row],[الايصالات]]-Table112[[#This Row],[خصم أ ت ص]]+Table112[[#This Row],[قيمة مضافة]]</f>
        <v>0</v>
      </c>
      <c r="M83" s="1">
        <f>M82+Table112[[#This Row],[اجمالي الفاتوره]]-Table112[[#This Row],[الدفعات]]</f>
        <v>163138.15000000008</v>
      </c>
      <c r="O83" s="95"/>
    </row>
    <row r="84" spans="11:15" ht="24" customHeight="1" x14ac:dyDescent="0.3">
      <c r="K84" s="1">
        <f>Table112[[#This Row],[النولون]]+Table112[[#This Row],[الايصالات]]-Table112[[#This Row],[خصم أ ت ص]]+Table112[[#This Row],[قيمة مضافة]]</f>
        <v>0</v>
      </c>
      <c r="M84" s="1">
        <f>M83+Table112[[#This Row],[اجمالي الفاتوره]]-Table112[[#This Row],[الدفعات]]</f>
        <v>163138.15000000008</v>
      </c>
      <c r="O84" s="95"/>
    </row>
    <row r="85" spans="11:15" ht="24" customHeight="1" x14ac:dyDescent="0.3">
      <c r="K85" s="1">
        <f>Table112[[#This Row],[النولون]]+Table112[[#This Row],[الايصالات]]-Table112[[#This Row],[خصم أ ت ص]]+Table112[[#This Row],[قيمة مضافة]]</f>
        <v>0</v>
      </c>
      <c r="M85" s="1">
        <f>M84+Table112[[#This Row],[اجمالي الفاتوره]]-Table112[[#This Row],[الدفعات]]</f>
        <v>163138.15000000008</v>
      </c>
      <c r="O85" s="95"/>
    </row>
    <row r="86" spans="11:15" ht="24" customHeight="1" x14ac:dyDescent="0.3">
      <c r="K86" s="1">
        <f>Table112[[#This Row],[النولون]]+Table112[[#This Row],[الايصالات]]-Table112[[#This Row],[خصم أ ت ص]]+Table112[[#This Row],[قيمة مضافة]]</f>
        <v>0</v>
      </c>
      <c r="M86" s="1">
        <f>M85+Table112[[#This Row],[اجمالي الفاتوره]]-Table112[[#This Row],[الدفعات]]</f>
        <v>163138.15000000008</v>
      </c>
      <c r="O86" s="95"/>
    </row>
    <row r="87" spans="11:15" ht="24" customHeight="1" x14ac:dyDescent="0.3">
      <c r="K87" s="1">
        <f>Table112[[#This Row],[النولون]]+Table112[[#This Row],[الايصالات]]-Table112[[#This Row],[خصم أ ت ص]]+Table112[[#This Row],[قيمة مضافة]]</f>
        <v>0</v>
      </c>
      <c r="M87" s="1">
        <f>M86+Table112[[#This Row],[اجمالي الفاتوره]]-Table112[[#This Row],[الدفعات]]</f>
        <v>163138.15000000008</v>
      </c>
      <c r="O87" s="95"/>
    </row>
    <row r="88" spans="11:15" ht="24" customHeight="1" x14ac:dyDescent="0.3">
      <c r="K88" s="1">
        <f>Table112[[#This Row],[النولون]]+Table112[[#This Row],[الايصالات]]-Table112[[#This Row],[خصم أ ت ص]]+Table112[[#This Row],[قيمة مضافة]]</f>
        <v>0</v>
      </c>
      <c r="M88" s="1">
        <f>M87+Table112[[#This Row],[اجمالي الفاتوره]]-Table112[[#This Row],[الدفعات]]</f>
        <v>163138.15000000008</v>
      </c>
      <c r="O88" s="95"/>
    </row>
    <row r="89" spans="11:15" ht="24" customHeight="1" x14ac:dyDescent="0.3">
      <c r="K89" s="1">
        <f>Table112[[#This Row],[النولون]]+Table112[[#This Row],[الايصالات]]-Table112[[#This Row],[خصم أ ت ص]]+Table112[[#This Row],[قيمة مضافة]]</f>
        <v>0</v>
      </c>
      <c r="M89" s="1">
        <f>M88+Table112[[#This Row],[اجمالي الفاتوره]]-Table112[[#This Row],[الدفعات]]</f>
        <v>163138.15000000008</v>
      </c>
      <c r="O89" s="95"/>
    </row>
    <row r="90" spans="11:15" ht="24" customHeight="1" x14ac:dyDescent="0.3">
      <c r="K90" s="1">
        <f>Table112[[#This Row],[النولون]]+Table112[[#This Row],[الايصالات]]-Table112[[#This Row],[خصم أ ت ص]]+Table112[[#This Row],[قيمة مضافة]]</f>
        <v>0</v>
      </c>
      <c r="M90" s="1">
        <f>M89+Table112[[#This Row],[اجمالي الفاتوره]]-Table112[[#This Row],[الدفعات]]</f>
        <v>163138.15000000008</v>
      </c>
      <c r="O90" s="95"/>
    </row>
    <row r="91" spans="11:15" ht="24" customHeight="1" x14ac:dyDescent="0.3">
      <c r="K91" s="1">
        <f>Table112[[#This Row],[النولون]]+Table112[[#This Row],[الايصالات]]-Table112[[#This Row],[خصم أ ت ص]]+Table112[[#This Row],[قيمة مضافة]]</f>
        <v>0</v>
      </c>
      <c r="M91" s="1">
        <f>M90+Table112[[#This Row],[اجمالي الفاتوره]]-Table112[[#This Row],[الدفعات]]</f>
        <v>163138.15000000008</v>
      </c>
      <c r="O91" s="95"/>
    </row>
    <row r="92" spans="11:15" ht="24" customHeight="1" x14ac:dyDescent="0.3">
      <c r="K92" s="1">
        <f>Table112[[#This Row],[النولون]]+Table112[[#This Row],[الايصالات]]-Table112[[#This Row],[خصم أ ت ص]]+Table112[[#This Row],[قيمة مضافة]]</f>
        <v>0</v>
      </c>
      <c r="M92" s="1">
        <f>M91+Table112[[#This Row],[اجمالي الفاتوره]]-Table112[[#This Row],[الدفعات]]</f>
        <v>163138.15000000008</v>
      </c>
      <c r="O92" s="95"/>
    </row>
    <row r="93" spans="11:15" ht="24" customHeight="1" x14ac:dyDescent="0.3">
      <c r="K93" s="1">
        <f>Table112[[#This Row],[النولون]]+Table112[[#This Row],[الايصالات]]-Table112[[#This Row],[خصم أ ت ص]]+Table112[[#This Row],[قيمة مضافة]]</f>
        <v>0</v>
      </c>
      <c r="M93" s="1">
        <f>M92+Table112[[#This Row],[اجمالي الفاتوره]]-Table112[[#This Row],[الدفعات]]</f>
        <v>163138.15000000008</v>
      </c>
      <c r="O93" s="95"/>
    </row>
    <row r="94" spans="11:15" ht="24" customHeight="1" x14ac:dyDescent="0.3">
      <c r="K94" s="1">
        <f>Table112[[#This Row],[النولون]]+Table112[[#This Row],[الايصالات]]-Table112[[#This Row],[خصم أ ت ص]]+Table112[[#This Row],[قيمة مضافة]]</f>
        <v>0</v>
      </c>
      <c r="M94" s="1">
        <f>M93+Table112[[#This Row],[اجمالي الفاتوره]]-Table112[[#This Row],[الدفعات]]</f>
        <v>163138.15000000008</v>
      </c>
      <c r="O94" s="95"/>
    </row>
    <row r="95" spans="11:15" ht="24" customHeight="1" x14ac:dyDescent="0.3">
      <c r="K95" s="1">
        <f>Table112[[#This Row],[النولون]]+Table112[[#This Row],[الايصالات]]-Table112[[#This Row],[خصم أ ت ص]]+Table112[[#This Row],[قيمة مضافة]]</f>
        <v>0</v>
      </c>
      <c r="M95" s="1">
        <f>M94+Table112[[#This Row],[اجمالي الفاتوره]]-Table112[[#This Row],[الدفعات]]</f>
        <v>163138.15000000008</v>
      </c>
      <c r="O95" s="95"/>
    </row>
    <row r="96" spans="11:15" ht="24" customHeight="1" x14ac:dyDescent="0.3">
      <c r="K96" s="1">
        <f>Table112[[#This Row],[النولون]]+Table112[[#This Row],[الايصالات]]-Table112[[#This Row],[خصم أ ت ص]]+Table112[[#This Row],[قيمة مضافة]]</f>
        <v>0</v>
      </c>
      <c r="M96" s="1">
        <f>M95+Table112[[#This Row],[اجمالي الفاتوره]]-Table112[[#This Row],[الدفعات]]</f>
        <v>163138.15000000008</v>
      </c>
      <c r="O96" s="95"/>
    </row>
    <row r="97" spans="11:15" ht="24" customHeight="1" x14ac:dyDescent="0.3">
      <c r="K97" s="1">
        <f>Table112[[#This Row],[النولون]]+Table112[[#This Row],[الايصالات]]-Table112[[#This Row],[خصم أ ت ص]]+Table112[[#This Row],[قيمة مضافة]]</f>
        <v>0</v>
      </c>
      <c r="M97" s="1">
        <f>M96+Table112[[#This Row],[اجمالي الفاتوره]]-Table112[[#This Row],[الدفعات]]</f>
        <v>163138.15000000008</v>
      </c>
      <c r="O97" s="95"/>
    </row>
    <row r="98" spans="11:15" ht="24" customHeight="1" x14ac:dyDescent="0.3">
      <c r="K98" s="1">
        <f>Table112[[#This Row],[النولون]]+Table112[[#This Row],[الايصالات]]-Table112[[#This Row],[خصم أ ت ص]]+Table112[[#This Row],[قيمة مضافة]]</f>
        <v>0</v>
      </c>
      <c r="M98" s="1">
        <f>M97+Table112[[#This Row],[اجمالي الفاتوره]]-Table112[[#This Row],[الدفعات]]</f>
        <v>163138.15000000008</v>
      </c>
      <c r="O98" s="95"/>
    </row>
    <row r="99" spans="11:15" ht="24" customHeight="1" x14ac:dyDescent="0.3">
      <c r="K99" s="1">
        <f>Table112[[#This Row],[النولون]]+Table112[[#This Row],[الايصالات]]-Table112[[#This Row],[خصم أ ت ص]]+Table112[[#This Row],[قيمة مضافة]]</f>
        <v>0</v>
      </c>
      <c r="M99" s="1">
        <f>M98+Table112[[#This Row],[اجمالي الفاتوره]]-Table112[[#This Row],[الدفعات]]</f>
        <v>163138.15000000008</v>
      </c>
      <c r="O99" s="95"/>
    </row>
    <row r="100" spans="11:15" ht="24" customHeight="1" x14ac:dyDescent="0.3">
      <c r="K100" s="1">
        <f>Table112[[#This Row],[النولون]]+Table112[[#This Row],[الايصالات]]-Table112[[#This Row],[خصم أ ت ص]]+Table112[[#This Row],[قيمة مضافة]]</f>
        <v>0</v>
      </c>
      <c r="M100" s="1">
        <f>M99+Table112[[#This Row],[اجمالي الفاتوره]]-Table112[[#This Row],[الدفعات]]</f>
        <v>163138.15000000008</v>
      </c>
      <c r="O100" s="95"/>
    </row>
    <row r="101" spans="11:15" ht="24" customHeight="1" x14ac:dyDescent="0.3">
      <c r="K101" s="1">
        <f>Table112[[#This Row],[النولون]]+Table112[[#This Row],[الايصالات]]-Table112[[#This Row],[خصم أ ت ص]]+Table112[[#This Row],[قيمة مضافة]]</f>
        <v>0</v>
      </c>
      <c r="M101" s="1">
        <f>M100+Table112[[#This Row],[اجمالي الفاتوره]]-Table112[[#This Row],[الدفعات]]</f>
        <v>163138.15000000008</v>
      </c>
      <c r="O101" s="95"/>
    </row>
    <row r="102" spans="11:15" ht="24" customHeight="1" x14ac:dyDescent="0.3">
      <c r="K102" s="1">
        <f>Table112[[#This Row],[النولون]]+Table112[[#This Row],[الايصالات]]-Table112[[#This Row],[خصم أ ت ص]]+Table112[[#This Row],[قيمة مضافة]]</f>
        <v>0</v>
      </c>
      <c r="M102" s="1">
        <f>M101+Table112[[#This Row],[اجمالي الفاتوره]]-Table112[[#This Row],[الدفعات]]</f>
        <v>163138.15000000008</v>
      </c>
      <c r="O102" s="95"/>
    </row>
    <row r="103" spans="11:15" ht="24" customHeight="1" x14ac:dyDescent="0.3">
      <c r="K103" s="1">
        <f>Table112[[#This Row],[النولون]]+Table112[[#This Row],[الايصالات]]-Table112[[#This Row],[خصم أ ت ص]]+Table112[[#This Row],[قيمة مضافة]]</f>
        <v>0</v>
      </c>
      <c r="M103" s="1">
        <f>M102+Table112[[#This Row],[اجمالي الفاتوره]]-Table112[[#This Row],[الدفعات]]</f>
        <v>163138.15000000008</v>
      </c>
      <c r="O103" s="95"/>
    </row>
    <row r="104" spans="11:15" ht="24" customHeight="1" x14ac:dyDescent="0.3">
      <c r="K104" s="1">
        <f>Table112[[#This Row],[النولون]]+Table112[[#This Row],[الايصالات]]-Table112[[#This Row],[خصم أ ت ص]]+Table112[[#This Row],[قيمة مضافة]]</f>
        <v>0</v>
      </c>
      <c r="M104" s="1">
        <f>M103+Table112[[#This Row],[اجمالي الفاتوره]]-Table112[[#This Row],[الدفعات]]</f>
        <v>163138.15000000008</v>
      </c>
      <c r="O104" s="95"/>
    </row>
    <row r="105" spans="11:15" ht="24" customHeight="1" x14ac:dyDescent="0.3">
      <c r="K105" s="1">
        <f>Table112[[#This Row],[النولون]]+Table112[[#This Row],[الايصالات]]-Table112[[#This Row],[خصم أ ت ص]]+Table112[[#This Row],[قيمة مضافة]]</f>
        <v>0</v>
      </c>
      <c r="M105" s="1">
        <f>M104+Table112[[#This Row],[اجمالي الفاتوره]]-Table112[[#This Row],[الدفعات]]</f>
        <v>163138.15000000008</v>
      </c>
      <c r="O105" s="95"/>
    </row>
    <row r="106" spans="11:15" ht="24" customHeight="1" x14ac:dyDescent="0.3">
      <c r="K106" s="1">
        <f>Table112[[#This Row],[النولون]]+Table112[[#This Row],[الايصالات]]-Table112[[#This Row],[خصم أ ت ص]]+Table112[[#This Row],[قيمة مضافة]]</f>
        <v>0</v>
      </c>
      <c r="M106" s="1">
        <f>M105+Table112[[#This Row],[اجمالي الفاتوره]]-Table112[[#This Row],[الدفعات]]</f>
        <v>163138.15000000008</v>
      </c>
      <c r="O106" s="95"/>
    </row>
    <row r="107" spans="11:15" ht="24" customHeight="1" x14ac:dyDescent="0.3">
      <c r="K107" s="1">
        <f>Table112[[#This Row],[النولون]]+Table112[[#This Row],[الايصالات]]-Table112[[#This Row],[خصم أ ت ص]]+Table112[[#This Row],[قيمة مضافة]]</f>
        <v>0</v>
      </c>
      <c r="M107" s="1">
        <f>M106+Table112[[#This Row],[اجمالي الفاتوره]]-Table112[[#This Row],[الدفعات]]</f>
        <v>163138.15000000008</v>
      </c>
      <c r="O107" s="95"/>
    </row>
    <row r="108" spans="11:15" ht="24" customHeight="1" x14ac:dyDescent="0.3">
      <c r="K108" s="1">
        <f>Table112[[#This Row],[النولون]]+Table112[[#This Row],[الايصالات]]-Table112[[#This Row],[خصم أ ت ص]]+Table112[[#This Row],[قيمة مضافة]]</f>
        <v>0</v>
      </c>
      <c r="M108" s="1">
        <f>M107+Table112[[#This Row],[اجمالي الفاتوره]]-Table112[[#This Row],[الدفعات]]</f>
        <v>163138.15000000008</v>
      </c>
      <c r="O108" s="95"/>
    </row>
    <row r="109" spans="11:15" ht="24" customHeight="1" x14ac:dyDescent="0.3">
      <c r="K109" s="1">
        <f>Table112[[#This Row],[النولون]]+Table112[[#This Row],[الايصالات]]-Table112[[#This Row],[خصم أ ت ص]]+Table112[[#This Row],[قيمة مضافة]]</f>
        <v>0</v>
      </c>
      <c r="M109" s="1">
        <f>M108+Table112[[#This Row],[اجمالي الفاتوره]]-Table112[[#This Row],[الدفعات]]</f>
        <v>163138.15000000008</v>
      </c>
      <c r="O109" s="95"/>
    </row>
    <row r="110" spans="11:15" ht="24" customHeight="1" x14ac:dyDescent="0.3">
      <c r="K110" s="1">
        <f>Table112[[#This Row],[النولون]]+Table112[[#This Row],[الايصالات]]-Table112[[#This Row],[خصم أ ت ص]]+Table112[[#This Row],[قيمة مضافة]]</f>
        <v>0</v>
      </c>
      <c r="M110" s="1">
        <f>M109+Table112[[#This Row],[اجمالي الفاتوره]]-Table112[[#This Row],[الدفعات]]</f>
        <v>163138.15000000008</v>
      </c>
      <c r="O110" s="95"/>
    </row>
    <row r="111" spans="11:15" ht="24" customHeight="1" x14ac:dyDescent="0.3">
      <c r="K111" s="1">
        <f>Table112[[#This Row],[النولون]]+Table112[[#This Row],[الايصالات]]-Table112[[#This Row],[خصم أ ت ص]]+Table112[[#This Row],[قيمة مضافة]]</f>
        <v>0</v>
      </c>
      <c r="M111" s="1">
        <f>M110+Table112[[#This Row],[اجمالي الفاتوره]]-Table112[[#This Row],[الدفعات]]</f>
        <v>163138.15000000008</v>
      </c>
      <c r="O111" s="95"/>
    </row>
    <row r="112" spans="11:15" ht="24" customHeight="1" x14ac:dyDescent="0.3">
      <c r="K112" s="1">
        <f>Table112[[#This Row],[النولون]]+Table112[[#This Row],[الايصالات]]-Table112[[#This Row],[خصم أ ت ص]]+Table112[[#This Row],[قيمة مضافة]]</f>
        <v>0</v>
      </c>
      <c r="M112" s="1">
        <f>M111+Table112[[#This Row],[اجمالي الفاتوره]]-Table112[[#This Row],[الدفعات]]</f>
        <v>163138.15000000008</v>
      </c>
      <c r="O112" s="95"/>
    </row>
    <row r="113" spans="11:15" ht="24" customHeight="1" x14ac:dyDescent="0.3">
      <c r="K113" s="1">
        <f>Table112[[#This Row],[النولون]]+Table112[[#This Row],[الايصالات]]-Table112[[#This Row],[خصم أ ت ص]]+Table112[[#This Row],[قيمة مضافة]]</f>
        <v>0</v>
      </c>
      <c r="M113" s="1">
        <f>M112+Table112[[#This Row],[اجمالي الفاتوره]]-Table112[[#This Row],[الدفعات]]</f>
        <v>163138.15000000008</v>
      </c>
      <c r="O113" s="95"/>
    </row>
    <row r="114" spans="11:15" ht="24" customHeight="1" x14ac:dyDescent="0.3">
      <c r="K114" s="1">
        <f>Table112[[#This Row],[النولون]]+Table112[[#This Row],[الايصالات]]-Table112[[#This Row],[خصم أ ت ص]]+Table112[[#This Row],[قيمة مضافة]]</f>
        <v>0</v>
      </c>
      <c r="M114" s="1">
        <f>M113+Table112[[#This Row],[اجمالي الفاتوره]]-Table112[[#This Row],[الدفعات]]</f>
        <v>163138.15000000008</v>
      </c>
      <c r="O114" s="95"/>
    </row>
    <row r="115" spans="11:15" ht="24" customHeight="1" x14ac:dyDescent="0.3">
      <c r="K115" s="1">
        <f>Table112[[#This Row],[النولون]]+Table112[[#This Row],[الايصالات]]-Table112[[#This Row],[خصم أ ت ص]]+Table112[[#This Row],[قيمة مضافة]]</f>
        <v>0</v>
      </c>
      <c r="M115" s="1">
        <f>M114+Table112[[#This Row],[اجمالي الفاتوره]]-Table112[[#This Row],[الدفعات]]</f>
        <v>163138.15000000008</v>
      </c>
      <c r="O115" s="95"/>
    </row>
    <row r="116" spans="11:15" ht="24" customHeight="1" x14ac:dyDescent="0.3">
      <c r="K116" s="1">
        <f>Table112[[#This Row],[النولون]]+Table112[[#This Row],[الايصالات]]-Table112[[#This Row],[خصم أ ت ص]]+Table112[[#This Row],[قيمة مضافة]]</f>
        <v>0</v>
      </c>
      <c r="M116" s="1">
        <f>M115+Table112[[#This Row],[اجمالي الفاتوره]]-Table112[[#This Row],[الدفعات]]</f>
        <v>163138.15000000008</v>
      </c>
      <c r="O116" s="95"/>
    </row>
    <row r="117" spans="11:15" ht="24" customHeight="1" x14ac:dyDescent="0.3">
      <c r="K117" s="1">
        <f>Table112[[#This Row],[النولون]]+Table112[[#This Row],[الايصالات]]-Table112[[#This Row],[خصم أ ت ص]]+Table112[[#This Row],[قيمة مضافة]]</f>
        <v>0</v>
      </c>
      <c r="M117" s="1">
        <f>M116+Table112[[#This Row],[اجمالي الفاتوره]]-Table112[[#This Row],[الدفعات]]</f>
        <v>163138.15000000008</v>
      </c>
      <c r="O117" s="95"/>
    </row>
    <row r="118" spans="11:15" ht="24" customHeight="1" x14ac:dyDescent="0.3">
      <c r="K118" s="1">
        <f>Table112[[#This Row],[النولون]]+Table112[[#This Row],[الايصالات]]-Table112[[#This Row],[خصم أ ت ص]]+Table112[[#This Row],[قيمة مضافة]]</f>
        <v>0</v>
      </c>
      <c r="M118" s="1">
        <f>M117+Table112[[#This Row],[اجمالي الفاتوره]]-Table112[[#This Row],[الدفعات]]</f>
        <v>163138.15000000008</v>
      </c>
      <c r="O118" s="95"/>
    </row>
    <row r="119" spans="11:15" ht="24" customHeight="1" x14ac:dyDescent="0.3">
      <c r="K119" s="1">
        <f>Table112[[#This Row],[النولون]]+Table112[[#This Row],[الايصالات]]-Table112[[#This Row],[خصم أ ت ص]]+Table112[[#This Row],[قيمة مضافة]]</f>
        <v>0</v>
      </c>
      <c r="M119" s="1">
        <f>M118+Table112[[#This Row],[اجمالي الفاتوره]]-Table112[[#This Row],[الدفعات]]</f>
        <v>163138.15000000008</v>
      </c>
      <c r="O119" s="95"/>
    </row>
    <row r="120" spans="11:15" ht="24" customHeight="1" x14ac:dyDescent="0.3">
      <c r="K120" s="1">
        <f>Table112[[#This Row],[النولون]]+Table112[[#This Row],[الايصالات]]-Table112[[#This Row],[خصم أ ت ص]]+Table112[[#This Row],[قيمة مضافة]]</f>
        <v>0</v>
      </c>
      <c r="M120" s="1">
        <f>M119+Table112[[#This Row],[اجمالي الفاتوره]]-Table112[[#This Row],[الدفعات]]</f>
        <v>163138.15000000008</v>
      </c>
      <c r="O120" s="95"/>
    </row>
    <row r="121" spans="11:15" ht="24" customHeight="1" x14ac:dyDescent="0.3">
      <c r="K121" s="1">
        <f>Table112[[#This Row],[النولون]]+Table112[[#This Row],[الايصالات]]-Table112[[#This Row],[خصم أ ت ص]]+Table112[[#This Row],[قيمة مضافة]]</f>
        <v>0</v>
      </c>
      <c r="M121" s="1">
        <f>M120+Table112[[#This Row],[اجمالي الفاتوره]]-Table112[[#This Row],[الدفعات]]</f>
        <v>163138.15000000008</v>
      </c>
      <c r="O121" s="95"/>
    </row>
    <row r="122" spans="11:15" ht="24" customHeight="1" x14ac:dyDescent="0.3">
      <c r="K122" s="1">
        <f>Table112[[#This Row],[النولون]]+Table112[[#This Row],[الايصالات]]-Table112[[#This Row],[خصم أ ت ص]]+Table112[[#This Row],[قيمة مضافة]]</f>
        <v>0</v>
      </c>
      <c r="M122" s="1">
        <f>M121+Table112[[#This Row],[اجمالي الفاتوره]]-Table112[[#This Row],[الدفعات]]</f>
        <v>163138.15000000008</v>
      </c>
      <c r="O122" s="95"/>
    </row>
    <row r="123" spans="11:15" ht="24" customHeight="1" x14ac:dyDescent="0.3">
      <c r="K123" s="1">
        <f>Table112[[#This Row],[النولون]]+Table112[[#This Row],[الايصالات]]-Table112[[#This Row],[خصم أ ت ص]]+Table112[[#This Row],[قيمة مضافة]]</f>
        <v>0</v>
      </c>
      <c r="M123" s="1">
        <f>M122+Table112[[#This Row],[اجمالي الفاتوره]]-Table112[[#This Row],[الدفعات]]</f>
        <v>163138.15000000008</v>
      </c>
      <c r="O123" s="95"/>
    </row>
    <row r="124" spans="11:15" ht="24" customHeight="1" x14ac:dyDescent="0.3">
      <c r="K124" s="1">
        <f>Table112[[#This Row],[النولون]]+Table112[[#This Row],[الايصالات]]-Table112[[#This Row],[خصم أ ت ص]]+Table112[[#This Row],[قيمة مضافة]]</f>
        <v>0</v>
      </c>
      <c r="M124" s="1">
        <f>M123+Table112[[#This Row],[اجمالي الفاتوره]]-Table112[[#This Row],[الدفعات]]</f>
        <v>163138.15000000008</v>
      </c>
      <c r="O124" s="95"/>
    </row>
    <row r="125" spans="11:15" ht="24" customHeight="1" x14ac:dyDescent="0.3">
      <c r="K125" s="1">
        <f>Table112[[#This Row],[النولون]]+Table112[[#This Row],[الايصالات]]-Table112[[#This Row],[خصم أ ت ص]]+Table112[[#This Row],[قيمة مضافة]]</f>
        <v>0</v>
      </c>
      <c r="M125" s="1">
        <f>M124+Table112[[#This Row],[اجمالي الفاتوره]]-Table112[[#This Row],[الدفعات]]</f>
        <v>163138.15000000008</v>
      </c>
      <c r="O125" s="95"/>
    </row>
    <row r="126" spans="11:15" ht="24" customHeight="1" x14ac:dyDescent="0.3">
      <c r="K126" s="1">
        <f>Table112[[#This Row],[النولون]]+Table112[[#This Row],[الايصالات]]-Table112[[#This Row],[خصم أ ت ص]]+Table112[[#This Row],[قيمة مضافة]]</f>
        <v>0</v>
      </c>
      <c r="M126" s="1">
        <f>M125+Table112[[#This Row],[اجمالي الفاتوره]]-Table112[[#This Row],[الدفعات]]</f>
        <v>163138.15000000008</v>
      </c>
      <c r="O126" s="95"/>
    </row>
    <row r="127" spans="11:15" ht="24" customHeight="1" x14ac:dyDescent="0.3">
      <c r="K127" s="1">
        <f>Table112[[#This Row],[النولون]]+Table112[[#This Row],[الايصالات]]-Table112[[#This Row],[خصم أ ت ص]]+Table112[[#This Row],[قيمة مضافة]]</f>
        <v>0</v>
      </c>
      <c r="M127" s="1">
        <f>M126+Table112[[#This Row],[اجمالي الفاتوره]]-Table112[[#This Row],[الدفعات]]</f>
        <v>163138.15000000008</v>
      </c>
      <c r="O127" s="95"/>
    </row>
    <row r="128" spans="11:15" ht="24" customHeight="1" x14ac:dyDescent="0.3">
      <c r="K128" s="1">
        <f>Table112[[#This Row],[النولون]]+Table112[[#This Row],[الايصالات]]-Table112[[#This Row],[خصم أ ت ص]]+Table112[[#This Row],[قيمة مضافة]]</f>
        <v>0</v>
      </c>
      <c r="M128" s="1">
        <f>M127+Table112[[#This Row],[اجمالي الفاتوره]]-Table112[[#This Row],[الدفعات]]</f>
        <v>163138.15000000008</v>
      </c>
      <c r="O128" s="95"/>
    </row>
    <row r="129" spans="11:15" ht="24" customHeight="1" x14ac:dyDescent="0.3">
      <c r="K129" s="1">
        <f>Table112[[#This Row],[النولون]]+Table112[[#This Row],[الايصالات]]-Table112[[#This Row],[خصم أ ت ص]]+Table112[[#This Row],[قيمة مضافة]]</f>
        <v>0</v>
      </c>
      <c r="M129" s="1">
        <f>M128+Table112[[#This Row],[اجمالي الفاتوره]]-Table112[[#This Row],[الدفعات]]</f>
        <v>163138.15000000008</v>
      </c>
      <c r="O129" s="95"/>
    </row>
    <row r="130" spans="11:15" ht="24" customHeight="1" x14ac:dyDescent="0.3">
      <c r="K130" s="1">
        <f>Table112[[#This Row],[النولون]]+Table112[[#This Row],[الايصالات]]-Table112[[#This Row],[خصم أ ت ص]]+Table112[[#This Row],[قيمة مضافة]]</f>
        <v>0</v>
      </c>
      <c r="M130" s="1">
        <f>M129+Table112[[#This Row],[اجمالي الفاتوره]]-Table112[[#This Row],[الدفعات]]</f>
        <v>163138.15000000008</v>
      </c>
      <c r="O130" s="95"/>
    </row>
    <row r="131" spans="11:15" ht="24" customHeight="1" x14ac:dyDescent="0.3">
      <c r="K131" s="1">
        <f>Table112[[#This Row],[النولون]]+Table112[[#This Row],[الايصالات]]-Table112[[#This Row],[خصم أ ت ص]]+Table112[[#This Row],[قيمة مضافة]]</f>
        <v>0</v>
      </c>
      <c r="M131" s="1">
        <f>M130+Table112[[#This Row],[اجمالي الفاتوره]]-Table112[[#This Row],[الدفعات]]</f>
        <v>163138.15000000008</v>
      </c>
      <c r="O131" s="95"/>
    </row>
    <row r="132" spans="11:15" ht="24" customHeight="1" x14ac:dyDescent="0.3">
      <c r="K132" s="1">
        <f>Table112[[#This Row],[النولون]]+Table112[[#This Row],[الايصالات]]-Table112[[#This Row],[خصم أ ت ص]]+Table112[[#This Row],[قيمة مضافة]]</f>
        <v>0</v>
      </c>
      <c r="M132" s="1">
        <f>M131+Table112[[#This Row],[اجمالي الفاتوره]]-Table112[[#This Row],[الدفعات]]</f>
        <v>163138.15000000008</v>
      </c>
      <c r="O132" s="95"/>
    </row>
    <row r="133" spans="11:15" ht="24" customHeight="1" x14ac:dyDescent="0.3">
      <c r="K133" s="1">
        <f>Table112[[#This Row],[النولون]]+Table112[[#This Row],[الايصالات]]-Table112[[#This Row],[خصم أ ت ص]]+Table112[[#This Row],[قيمة مضافة]]</f>
        <v>0</v>
      </c>
      <c r="M133" s="1">
        <f>M132+Table112[[#This Row],[اجمالي الفاتوره]]-Table112[[#This Row],[الدفعات]]</f>
        <v>163138.15000000008</v>
      </c>
      <c r="O133" s="95"/>
    </row>
    <row r="134" spans="11:15" ht="24" customHeight="1" x14ac:dyDescent="0.3">
      <c r="K134" s="1">
        <f>Table112[[#This Row],[النولون]]+Table112[[#This Row],[الايصالات]]-Table112[[#This Row],[خصم أ ت ص]]+Table112[[#This Row],[قيمة مضافة]]</f>
        <v>0</v>
      </c>
      <c r="M134" s="1">
        <f>M133+Table112[[#This Row],[اجمالي الفاتوره]]-Table112[[#This Row],[الدفعات]]</f>
        <v>163138.15000000008</v>
      </c>
      <c r="O134" s="95"/>
    </row>
    <row r="135" spans="11:15" ht="24" customHeight="1" x14ac:dyDescent="0.3">
      <c r="K135" s="1">
        <f>Table112[[#This Row],[النولون]]+Table112[[#This Row],[الايصالات]]-Table112[[#This Row],[خصم أ ت ص]]+Table112[[#This Row],[قيمة مضافة]]</f>
        <v>0</v>
      </c>
      <c r="M135" s="1">
        <f>M134+Table112[[#This Row],[اجمالي الفاتوره]]-Table112[[#This Row],[الدفعات]]</f>
        <v>163138.15000000008</v>
      </c>
      <c r="O135" s="95"/>
    </row>
    <row r="136" spans="11:15" ht="24" customHeight="1" x14ac:dyDescent="0.3">
      <c r="K136" s="1">
        <f>Table112[[#This Row],[النولون]]+Table112[[#This Row],[الايصالات]]-Table112[[#This Row],[خصم أ ت ص]]+Table112[[#This Row],[قيمة مضافة]]</f>
        <v>0</v>
      </c>
      <c r="M136" s="1">
        <f>M135+Table112[[#This Row],[اجمالي الفاتوره]]-Table112[[#This Row],[الدفعات]]</f>
        <v>163138.15000000008</v>
      </c>
      <c r="O136" s="95"/>
    </row>
    <row r="137" spans="11:15" ht="24" customHeight="1" x14ac:dyDescent="0.3">
      <c r="K137" s="1">
        <f>Table112[[#This Row],[النولون]]+Table112[[#This Row],[الايصالات]]-Table112[[#This Row],[خصم أ ت ص]]+Table112[[#This Row],[قيمة مضافة]]</f>
        <v>0</v>
      </c>
      <c r="M137" s="1">
        <f>M136+Table112[[#This Row],[اجمالي الفاتوره]]-Table112[[#This Row],[الدفعات]]</f>
        <v>163138.15000000008</v>
      </c>
      <c r="O137" s="95"/>
    </row>
    <row r="138" spans="11:15" ht="24" customHeight="1" x14ac:dyDescent="0.3">
      <c r="K138" s="1">
        <f>Table112[[#This Row],[النولون]]+Table112[[#This Row],[الايصالات]]-Table112[[#This Row],[خصم أ ت ص]]+Table112[[#This Row],[قيمة مضافة]]</f>
        <v>0</v>
      </c>
      <c r="M138" s="1">
        <f>M137+Table112[[#This Row],[اجمالي الفاتوره]]-Table112[[#This Row],[الدفعات]]</f>
        <v>163138.15000000008</v>
      </c>
      <c r="O138" s="95"/>
    </row>
    <row r="139" spans="11:15" ht="24" customHeight="1" x14ac:dyDescent="0.3">
      <c r="K139" s="1">
        <f>Table112[[#This Row],[النولون]]+Table112[[#This Row],[الايصالات]]-Table112[[#This Row],[خصم أ ت ص]]+Table112[[#This Row],[قيمة مضافة]]</f>
        <v>0</v>
      </c>
      <c r="M139" s="1">
        <f>M138+Table112[[#This Row],[اجمالي الفاتوره]]-Table112[[#This Row],[الدفعات]]</f>
        <v>163138.15000000008</v>
      </c>
      <c r="O139" s="95"/>
    </row>
    <row r="140" spans="11:15" ht="24" customHeight="1" x14ac:dyDescent="0.3">
      <c r="K140" s="1">
        <f>Table112[[#This Row],[النولون]]+Table112[[#This Row],[الايصالات]]-Table112[[#This Row],[خصم أ ت ص]]+Table112[[#This Row],[قيمة مضافة]]</f>
        <v>0</v>
      </c>
      <c r="M140" s="1">
        <f>M139+Table112[[#This Row],[اجمالي الفاتوره]]-Table112[[#This Row],[الدفعات]]</f>
        <v>163138.15000000008</v>
      </c>
      <c r="O140" s="95"/>
    </row>
    <row r="141" spans="11:15" ht="24" customHeight="1" x14ac:dyDescent="0.3">
      <c r="K141" s="1">
        <f>Table112[[#This Row],[النولون]]+Table112[[#This Row],[الايصالات]]-Table112[[#This Row],[خصم أ ت ص]]+Table112[[#This Row],[قيمة مضافة]]</f>
        <v>0</v>
      </c>
      <c r="M141" s="1">
        <f>M140+Table112[[#This Row],[اجمالي الفاتوره]]-Table112[[#This Row],[الدفعات]]</f>
        <v>163138.15000000008</v>
      </c>
      <c r="O141" s="95"/>
    </row>
    <row r="142" spans="11:15" ht="24" customHeight="1" x14ac:dyDescent="0.3">
      <c r="K142" s="1">
        <f>Table112[[#This Row],[النولون]]+Table112[[#This Row],[الايصالات]]-Table112[[#This Row],[خصم أ ت ص]]+Table112[[#This Row],[قيمة مضافة]]</f>
        <v>0</v>
      </c>
      <c r="M142" s="1">
        <f>M141+Table112[[#This Row],[اجمالي الفاتوره]]-Table112[[#This Row],[الدفعات]]</f>
        <v>163138.15000000008</v>
      </c>
      <c r="O142" s="95"/>
    </row>
    <row r="143" spans="11:15" ht="24" customHeight="1" x14ac:dyDescent="0.3">
      <c r="K143" s="1">
        <f>Table112[[#This Row],[النولون]]+Table112[[#This Row],[الايصالات]]-Table112[[#This Row],[خصم أ ت ص]]+Table112[[#This Row],[قيمة مضافة]]</f>
        <v>0</v>
      </c>
      <c r="M143" s="1">
        <f>M142+Table112[[#This Row],[اجمالي الفاتوره]]-Table112[[#This Row],[الدفعات]]</f>
        <v>163138.15000000008</v>
      </c>
      <c r="O143" s="95"/>
    </row>
    <row r="144" spans="11:15" ht="24" customHeight="1" x14ac:dyDescent="0.3">
      <c r="K144" s="1">
        <f>Table112[[#This Row],[النولون]]+Table112[[#This Row],[الايصالات]]-Table112[[#This Row],[خصم أ ت ص]]+Table112[[#This Row],[قيمة مضافة]]</f>
        <v>0</v>
      </c>
      <c r="M144" s="1">
        <f>M143+Table112[[#This Row],[اجمالي الفاتوره]]-Table112[[#This Row],[الدفعات]]</f>
        <v>163138.15000000008</v>
      </c>
      <c r="O144" s="95"/>
    </row>
    <row r="145" spans="11:15" ht="24" customHeight="1" x14ac:dyDescent="0.3">
      <c r="K145" s="1">
        <f>Table112[[#This Row],[النولون]]+Table112[[#This Row],[الايصالات]]-Table112[[#This Row],[خصم أ ت ص]]+Table112[[#This Row],[قيمة مضافة]]</f>
        <v>0</v>
      </c>
      <c r="M145" s="1">
        <f>M144+Table112[[#This Row],[اجمالي الفاتوره]]-Table112[[#This Row],[الدفعات]]</f>
        <v>163138.15000000008</v>
      </c>
      <c r="O145" s="95"/>
    </row>
    <row r="146" spans="11:15" ht="24" customHeight="1" x14ac:dyDescent="0.3">
      <c r="K146" s="1">
        <f>Table112[[#This Row],[النولون]]+Table112[[#This Row],[الايصالات]]-Table112[[#This Row],[خصم أ ت ص]]+Table112[[#This Row],[قيمة مضافة]]</f>
        <v>0</v>
      </c>
      <c r="M146" s="1">
        <f>M145+Table112[[#This Row],[اجمالي الفاتوره]]-Table112[[#This Row],[الدفعات]]</f>
        <v>163138.15000000008</v>
      </c>
      <c r="O146" s="95"/>
    </row>
    <row r="147" spans="11:15" ht="24" customHeight="1" x14ac:dyDescent="0.3">
      <c r="K147" s="1">
        <f>Table112[[#This Row],[النولون]]+Table112[[#This Row],[الايصالات]]-Table112[[#This Row],[خصم أ ت ص]]+Table112[[#This Row],[قيمة مضافة]]</f>
        <v>0</v>
      </c>
      <c r="M147" s="1">
        <f>M146+Table112[[#This Row],[اجمالي الفاتوره]]-Table112[[#This Row],[الدفعات]]</f>
        <v>163138.15000000008</v>
      </c>
      <c r="O147" s="95"/>
    </row>
    <row r="148" spans="11:15" ht="24" customHeight="1" x14ac:dyDescent="0.3">
      <c r="K148" s="1">
        <f>Table112[[#This Row],[النولون]]+Table112[[#This Row],[الايصالات]]-Table112[[#This Row],[خصم أ ت ص]]+Table112[[#This Row],[قيمة مضافة]]</f>
        <v>0</v>
      </c>
      <c r="M148" s="1">
        <f>M147+Table112[[#This Row],[اجمالي الفاتوره]]-Table112[[#This Row],[الدفعات]]</f>
        <v>163138.15000000008</v>
      </c>
      <c r="O148" s="95"/>
    </row>
    <row r="149" spans="11:15" ht="24" customHeight="1" x14ac:dyDescent="0.3">
      <c r="K149" s="1">
        <f>Table112[[#This Row],[النولون]]+Table112[[#This Row],[الايصالات]]-Table112[[#This Row],[خصم أ ت ص]]+Table112[[#This Row],[قيمة مضافة]]</f>
        <v>0</v>
      </c>
      <c r="M149" s="1">
        <f>M148+Table112[[#This Row],[اجمالي الفاتوره]]-Table112[[#This Row],[الدفعات]]</f>
        <v>163138.15000000008</v>
      </c>
      <c r="O149" s="95"/>
    </row>
    <row r="150" spans="11:15" ht="24" customHeight="1" x14ac:dyDescent="0.3">
      <c r="K150" s="1">
        <f>Table112[[#This Row],[النولون]]+Table112[[#This Row],[الايصالات]]-Table112[[#This Row],[خصم أ ت ص]]+Table112[[#This Row],[قيمة مضافة]]</f>
        <v>0</v>
      </c>
      <c r="M150" s="1">
        <f>M149+Table112[[#This Row],[اجمالي الفاتوره]]-Table112[[#This Row],[الدفعات]]</f>
        <v>163138.15000000008</v>
      </c>
      <c r="O150" s="95"/>
    </row>
    <row r="151" spans="11:15" ht="24" customHeight="1" x14ac:dyDescent="0.3">
      <c r="K151" s="1">
        <f>Table112[[#This Row],[النولون]]+Table112[[#This Row],[الايصالات]]-Table112[[#This Row],[خصم أ ت ص]]+Table112[[#This Row],[قيمة مضافة]]</f>
        <v>0</v>
      </c>
      <c r="M151" s="1">
        <f>M150+Table112[[#This Row],[اجمالي الفاتوره]]-Table112[[#This Row],[الدفعات]]</f>
        <v>163138.15000000008</v>
      </c>
      <c r="O151" s="95"/>
    </row>
    <row r="152" spans="11:15" ht="24" customHeight="1" x14ac:dyDescent="0.3">
      <c r="K152" s="1">
        <f>Table112[[#This Row],[النولون]]+Table112[[#This Row],[الايصالات]]-Table112[[#This Row],[خصم أ ت ص]]+Table112[[#This Row],[قيمة مضافة]]</f>
        <v>0</v>
      </c>
      <c r="M152" s="1">
        <f>M151+Table112[[#This Row],[اجمالي الفاتوره]]-Table112[[#This Row],[الدفعات]]</f>
        <v>163138.15000000008</v>
      </c>
      <c r="O152" s="95"/>
    </row>
    <row r="153" spans="11:15" ht="24" customHeight="1" x14ac:dyDescent="0.3">
      <c r="K153" s="1">
        <f>Table112[[#This Row],[النولون]]+Table112[[#This Row],[الايصالات]]-Table112[[#This Row],[خصم أ ت ص]]+Table112[[#This Row],[قيمة مضافة]]</f>
        <v>0</v>
      </c>
      <c r="M153" s="1">
        <f>M152+Table112[[#This Row],[اجمالي الفاتوره]]-Table112[[#This Row],[الدفعات]]</f>
        <v>163138.15000000008</v>
      </c>
      <c r="O153" s="95"/>
    </row>
    <row r="154" spans="11:15" ht="24" customHeight="1" x14ac:dyDescent="0.3">
      <c r="K154" s="1">
        <f>Table112[[#This Row],[النولون]]+Table112[[#This Row],[الايصالات]]-Table112[[#This Row],[خصم أ ت ص]]+Table112[[#This Row],[قيمة مضافة]]</f>
        <v>0</v>
      </c>
      <c r="M154" s="1">
        <f>M153+Table112[[#This Row],[اجمالي الفاتوره]]-Table112[[#This Row],[الدفعات]]</f>
        <v>163138.15000000008</v>
      </c>
      <c r="O154" s="95"/>
    </row>
    <row r="155" spans="11:15" ht="24" customHeight="1" x14ac:dyDescent="0.3">
      <c r="K155" s="1">
        <f>Table112[[#This Row],[النولون]]+Table112[[#This Row],[الايصالات]]-Table112[[#This Row],[خصم أ ت ص]]+Table112[[#This Row],[قيمة مضافة]]</f>
        <v>0</v>
      </c>
      <c r="M155" s="1">
        <f>M154+Table112[[#This Row],[اجمالي الفاتوره]]-Table112[[#This Row],[الدفعات]]</f>
        <v>163138.15000000008</v>
      </c>
      <c r="O155" s="95"/>
    </row>
    <row r="156" spans="11:15" ht="24" customHeight="1" x14ac:dyDescent="0.3">
      <c r="K156" s="1">
        <f>Table112[[#This Row],[النولون]]+Table112[[#This Row],[الايصالات]]-Table112[[#This Row],[خصم أ ت ص]]+Table112[[#This Row],[قيمة مضافة]]</f>
        <v>0</v>
      </c>
      <c r="M156" s="1">
        <f>M155+Table112[[#This Row],[اجمالي الفاتوره]]-Table112[[#This Row],[الدفعات]]</f>
        <v>163138.15000000008</v>
      </c>
      <c r="O156" s="95"/>
    </row>
    <row r="157" spans="11:15" ht="24" customHeight="1" x14ac:dyDescent="0.3">
      <c r="K157" s="1">
        <f>Table112[[#This Row],[النولون]]+Table112[[#This Row],[الايصالات]]-Table112[[#This Row],[خصم أ ت ص]]+Table112[[#This Row],[قيمة مضافة]]</f>
        <v>0</v>
      </c>
      <c r="M157" s="1">
        <f>M156+Table112[[#This Row],[اجمالي الفاتوره]]-Table112[[#This Row],[الدفعات]]</f>
        <v>163138.15000000008</v>
      </c>
      <c r="O157" s="95"/>
    </row>
    <row r="158" spans="11:15" ht="24" customHeight="1" x14ac:dyDescent="0.3">
      <c r="K158" s="1">
        <f>Table112[[#This Row],[النولون]]+Table112[[#This Row],[الايصالات]]-Table112[[#This Row],[خصم أ ت ص]]+Table112[[#This Row],[قيمة مضافة]]</f>
        <v>0</v>
      </c>
      <c r="M158" s="1">
        <f>M157+Table112[[#This Row],[اجمالي الفاتوره]]-Table112[[#This Row],[الدفعات]]</f>
        <v>163138.15000000008</v>
      </c>
      <c r="O158" s="95"/>
    </row>
    <row r="159" spans="11:15" ht="24" customHeight="1" x14ac:dyDescent="0.3">
      <c r="K159" s="1">
        <f>Table112[[#This Row],[النولون]]+Table112[[#This Row],[الايصالات]]-Table112[[#This Row],[خصم أ ت ص]]+Table112[[#This Row],[قيمة مضافة]]</f>
        <v>0</v>
      </c>
      <c r="M159" s="1">
        <f>M158+Table112[[#This Row],[اجمالي الفاتوره]]-Table112[[#This Row],[الدفعات]]</f>
        <v>163138.15000000008</v>
      </c>
      <c r="O159" s="95"/>
    </row>
    <row r="160" spans="11:15" ht="24" customHeight="1" x14ac:dyDescent="0.3">
      <c r="K160" s="1">
        <f>Table112[[#This Row],[النولون]]+Table112[[#This Row],[الايصالات]]-Table112[[#This Row],[خصم أ ت ص]]+Table112[[#This Row],[قيمة مضافة]]</f>
        <v>0</v>
      </c>
      <c r="M160" s="1">
        <f>M159+Table112[[#This Row],[اجمالي الفاتوره]]-Table112[[#This Row],[الدفعات]]</f>
        <v>163138.15000000008</v>
      </c>
      <c r="O160" s="95"/>
    </row>
    <row r="161" spans="11:15" ht="24" customHeight="1" x14ac:dyDescent="0.3">
      <c r="K161" s="1">
        <f>Table112[[#This Row],[النولون]]+Table112[[#This Row],[الايصالات]]-Table112[[#This Row],[خصم أ ت ص]]+Table112[[#This Row],[قيمة مضافة]]</f>
        <v>0</v>
      </c>
      <c r="M161" s="1">
        <f>M160+Table112[[#This Row],[اجمالي الفاتوره]]-Table112[[#This Row],[الدفعات]]</f>
        <v>163138.15000000008</v>
      </c>
      <c r="O161" s="95"/>
    </row>
    <row r="162" spans="11:15" ht="24" customHeight="1" x14ac:dyDescent="0.3">
      <c r="K162" s="1">
        <f>Table112[[#This Row],[النولون]]+Table112[[#This Row],[الايصالات]]-Table112[[#This Row],[خصم أ ت ص]]+Table112[[#This Row],[قيمة مضافة]]</f>
        <v>0</v>
      </c>
      <c r="M162" s="1">
        <f>M161+Table112[[#This Row],[اجمالي الفاتوره]]-Table112[[#This Row],[الدفعات]]</f>
        <v>163138.15000000008</v>
      </c>
      <c r="O162" s="95"/>
    </row>
    <row r="163" spans="11:15" ht="24" customHeight="1" x14ac:dyDescent="0.3">
      <c r="K163" s="1">
        <f>Table112[[#This Row],[النولون]]+Table112[[#This Row],[الايصالات]]-Table112[[#This Row],[خصم أ ت ص]]+Table112[[#This Row],[قيمة مضافة]]</f>
        <v>0</v>
      </c>
      <c r="M163" s="1">
        <f>M162+Table112[[#This Row],[اجمالي الفاتوره]]-Table112[[#This Row],[الدفعات]]</f>
        <v>163138.15000000008</v>
      </c>
      <c r="O163" s="95"/>
    </row>
    <row r="164" spans="11:15" ht="24" customHeight="1" x14ac:dyDescent="0.3">
      <c r="K164" s="1">
        <f>Table112[[#This Row],[النولون]]+Table112[[#This Row],[الايصالات]]-Table112[[#This Row],[خصم أ ت ص]]+Table112[[#This Row],[قيمة مضافة]]</f>
        <v>0</v>
      </c>
      <c r="M164" s="1">
        <f>M163+Table112[[#This Row],[اجمالي الفاتوره]]-Table112[[#This Row],[الدفعات]]</f>
        <v>163138.15000000008</v>
      </c>
      <c r="O164" s="95"/>
    </row>
    <row r="165" spans="11:15" ht="24" customHeight="1" x14ac:dyDescent="0.3">
      <c r="K165" s="1">
        <f>Table112[[#This Row],[النولون]]+Table112[[#This Row],[الايصالات]]-Table112[[#This Row],[خصم أ ت ص]]+Table112[[#This Row],[قيمة مضافة]]</f>
        <v>0</v>
      </c>
      <c r="M165" s="1">
        <f>M164+Table112[[#This Row],[اجمالي الفاتوره]]-Table112[[#This Row],[الدفعات]]</f>
        <v>163138.15000000008</v>
      </c>
      <c r="O165" s="95"/>
    </row>
    <row r="166" spans="11:15" ht="24" customHeight="1" x14ac:dyDescent="0.3">
      <c r="K166" s="1">
        <f>Table112[[#This Row],[النولون]]+Table112[[#This Row],[الايصالات]]-Table112[[#This Row],[خصم أ ت ص]]+Table112[[#This Row],[قيمة مضافة]]</f>
        <v>0</v>
      </c>
      <c r="M166" s="1">
        <f>M165+Table112[[#This Row],[اجمالي الفاتوره]]-Table112[[#This Row],[الدفعات]]</f>
        <v>163138.15000000008</v>
      </c>
      <c r="O166" s="95"/>
    </row>
    <row r="167" spans="11:15" ht="24" customHeight="1" x14ac:dyDescent="0.3">
      <c r="K167" s="1">
        <f>Table112[[#This Row],[النولون]]+Table112[[#This Row],[الايصالات]]-Table112[[#This Row],[خصم أ ت ص]]+Table112[[#This Row],[قيمة مضافة]]</f>
        <v>0</v>
      </c>
      <c r="M167" s="1">
        <f>M166+Table112[[#This Row],[اجمالي الفاتوره]]-Table112[[#This Row],[الدفعات]]</f>
        <v>163138.15000000008</v>
      </c>
      <c r="O167" s="95"/>
    </row>
    <row r="168" spans="11:15" ht="24" customHeight="1" x14ac:dyDescent="0.3">
      <c r="K168" s="1">
        <f>Table112[[#This Row],[النولون]]+Table112[[#This Row],[الايصالات]]-Table112[[#This Row],[خصم أ ت ص]]+Table112[[#This Row],[قيمة مضافة]]</f>
        <v>0</v>
      </c>
      <c r="M168" s="1">
        <f>M167+Table112[[#This Row],[اجمالي الفاتوره]]-Table112[[#This Row],[الدفعات]]</f>
        <v>163138.15000000008</v>
      </c>
      <c r="O168" s="95"/>
    </row>
    <row r="169" spans="11:15" ht="24" customHeight="1" x14ac:dyDescent="0.3">
      <c r="K169" s="1">
        <f>Table112[[#This Row],[النولون]]+Table112[[#This Row],[الايصالات]]-Table112[[#This Row],[خصم أ ت ص]]+Table112[[#This Row],[قيمة مضافة]]</f>
        <v>0</v>
      </c>
      <c r="M169" s="1">
        <f>M168+Table112[[#This Row],[اجمالي الفاتوره]]-Table112[[#This Row],[الدفعات]]</f>
        <v>163138.15000000008</v>
      </c>
      <c r="O169" s="95"/>
    </row>
    <row r="170" spans="11:15" ht="24" customHeight="1" x14ac:dyDescent="0.3">
      <c r="K170" s="1">
        <f>Table112[[#This Row],[النولون]]+Table112[[#This Row],[الايصالات]]-Table112[[#This Row],[خصم أ ت ص]]+Table112[[#This Row],[قيمة مضافة]]</f>
        <v>0</v>
      </c>
      <c r="M170" s="1">
        <f>M169+Table112[[#This Row],[اجمالي الفاتوره]]-Table112[[#This Row],[الدفعات]]</f>
        <v>163138.15000000008</v>
      </c>
      <c r="O170" s="95"/>
    </row>
    <row r="171" spans="11:15" ht="24" customHeight="1" x14ac:dyDescent="0.3">
      <c r="K171" s="1">
        <f>Table112[[#This Row],[النولون]]+Table112[[#This Row],[الايصالات]]-Table112[[#This Row],[خصم أ ت ص]]+Table112[[#This Row],[قيمة مضافة]]</f>
        <v>0</v>
      </c>
      <c r="M171" s="1">
        <f>M170+Table112[[#This Row],[اجمالي الفاتوره]]-Table112[[#This Row],[الدفعات]]</f>
        <v>163138.15000000008</v>
      </c>
      <c r="O171" s="95"/>
    </row>
    <row r="172" spans="11:15" ht="24" customHeight="1" x14ac:dyDescent="0.3">
      <c r="K172" s="1">
        <f>Table112[[#This Row],[النولون]]+Table112[[#This Row],[الايصالات]]-Table112[[#This Row],[خصم أ ت ص]]+Table112[[#This Row],[قيمة مضافة]]</f>
        <v>0</v>
      </c>
      <c r="M172" s="1">
        <f>M171+Table112[[#This Row],[اجمالي الفاتوره]]-Table112[[#This Row],[الدفعات]]</f>
        <v>163138.15000000008</v>
      </c>
      <c r="O172" s="95"/>
    </row>
    <row r="173" spans="11:15" ht="24" customHeight="1" x14ac:dyDescent="0.3">
      <c r="K173" s="1">
        <f>Table112[[#This Row],[النولون]]+Table112[[#This Row],[الايصالات]]-Table112[[#This Row],[خصم أ ت ص]]+Table112[[#This Row],[قيمة مضافة]]</f>
        <v>0</v>
      </c>
      <c r="M173" s="1">
        <f>M172+Table112[[#This Row],[اجمالي الفاتوره]]-Table112[[#This Row],[الدفعات]]</f>
        <v>163138.15000000008</v>
      </c>
      <c r="O173" s="95"/>
    </row>
    <row r="174" spans="11:15" ht="24" customHeight="1" x14ac:dyDescent="0.3">
      <c r="K174" s="1">
        <f>Table112[[#This Row],[النولون]]+Table112[[#This Row],[الايصالات]]-Table112[[#This Row],[خصم أ ت ص]]+Table112[[#This Row],[قيمة مضافة]]</f>
        <v>0</v>
      </c>
      <c r="M174" s="1">
        <f>M173+Table112[[#This Row],[اجمالي الفاتوره]]-Table112[[#This Row],[الدفعات]]</f>
        <v>163138.15000000008</v>
      </c>
      <c r="O174" s="95"/>
    </row>
    <row r="175" spans="11:15" ht="24" customHeight="1" x14ac:dyDescent="0.3">
      <c r="K175" s="1">
        <f>Table112[[#This Row],[النولون]]+Table112[[#This Row],[الايصالات]]-Table112[[#This Row],[خصم أ ت ص]]+Table112[[#This Row],[قيمة مضافة]]</f>
        <v>0</v>
      </c>
      <c r="M175" s="1">
        <f>M174+Table112[[#This Row],[اجمالي الفاتوره]]-Table112[[#This Row],[الدفعات]]</f>
        <v>163138.15000000008</v>
      </c>
      <c r="O175" s="95"/>
    </row>
    <row r="176" spans="11:15" ht="24" customHeight="1" x14ac:dyDescent="0.3">
      <c r="K176" s="1">
        <f>Table112[[#This Row],[النولون]]+Table112[[#This Row],[الايصالات]]-Table112[[#This Row],[خصم أ ت ص]]+Table112[[#This Row],[قيمة مضافة]]</f>
        <v>0</v>
      </c>
      <c r="M176" s="1">
        <f>M175+Table112[[#This Row],[اجمالي الفاتوره]]-Table112[[#This Row],[الدفعات]]</f>
        <v>163138.15000000008</v>
      </c>
      <c r="O176" s="95"/>
    </row>
    <row r="177" spans="11:15" ht="24" customHeight="1" x14ac:dyDescent="0.3">
      <c r="K177" s="1">
        <f>Table112[[#This Row],[النولون]]+Table112[[#This Row],[الايصالات]]-Table112[[#This Row],[خصم أ ت ص]]+Table112[[#This Row],[قيمة مضافة]]</f>
        <v>0</v>
      </c>
      <c r="M177" s="1">
        <f>M176+Table112[[#This Row],[اجمالي الفاتوره]]-Table112[[#This Row],[الدفعات]]</f>
        <v>163138.15000000008</v>
      </c>
      <c r="O177" s="95"/>
    </row>
    <row r="178" spans="11:15" ht="24" customHeight="1" x14ac:dyDescent="0.3">
      <c r="K178" s="1">
        <f>Table112[[#This Row],[النولون]]+Table112[[#This Row],[الايصالات]]-Table112[[#This Row],[خصم أ ت ص]]+Table112[[#This Row],[قيمة مضافة]]</f>
        <v>0</v>
      </c>
      <c r="M178" s="1">
        <f>M177+Table112[[#This Row],[اجمالي الفاتوره]]-Table112[[#This Row],[الدفعات]]</f>
        <v>163138.15000000008</v>
      </c>
      <c r="O178" s="95"/>
    </row>
    <row r="179" spans="11:15" ht="24" customHeight="1" x14ac:dyDescent="0.3">
      <c r="K179" s="1">
        <f>Table112[[#This Row],[النولون]]+Table112[[#This Row],[الايصالات]]-Table112[[#This Row],[خصم أ ت ص]]+Table112[[#This Row],[قيمة مضافة]]</f>
        <v>0</v>
      </c>
      <c r="M179" s="1">
        <f>M178+Table112[[#This Row],[اجمالي الفاتوره]]-Table112[[#This Row],[الدفعات]]</f>
        <v>163138.15000000008</v>
      </c>
      <c r="O179" s="95"/>
    </row>
    <row r="180" spans="11:15" ht="24" customHeight="1" x14ac:dyDescent="0.3">
      <c r="K180" s="1">
        <f>Table112[[#This Row],[النولون]]+Table112[[#This Row],[الايصالات]]-Table112[[#This Row],[خصم أ ت ص]]+Table112[[#This Row],[قيمة مضافة]]</f>
        <v>0</v>
      </c>
      <c r="M180" s="1">
        <f>M179+Table112[[#This Row],[اجمالي الفاتوره]]-Table112[[#This Row],[الدفعات]]</f>
        <v>163138.15000000008</v>
      </c>
      <c r="O180" s="95"/>
    </row>
    <row r="181" spans="11:15" ht="24" customHeight="1" x14ac:dyDescent="0.3">
      <c r="K181" s="1">
        <f>Table112[[#This Row],[النولون]]+Table112[[#This Row],[الايصالات]]-Table112[[#This Row],[خصم أ ت ص]]+Table112[[#This Row],[قيمة مضافة]]</f>
        <v>0</v>
      </c>
      <c r="M181" s="1">
        <f>M180+Table112[[#This Row],[اجمالي الفاتوره]]-Table112[[#This Row],[الدفعات]]</f>
        <v>163138.15000000008</v>
      </c>
      <c r="O181" s="95"/>
    </row>
    <row r="182" spans="11:15" ht="24" customHeight="1" x14ac:dyDescent="0.3">
      <c r="K182" s="1">
        <f>Table112[[#This Row],[النولون]]+Table112[[#This Row],[الايصالات]]-Table112[[#This Row],[خصم أ ت ص]]+Table112[[#This Row],[قيمة مضافة]]</f>
        <v>0</v>
      </c>
      <c r="M182" s="1">
        <f>M181+Table112[[#This Row],[اجمالي الفاتوره]]-Table112[[#This Row],[الدفعات]]</f>
        <v>163138.15000000008</v>
      </c>
      <c r="O182" s="95"/>
    </row>
    <row r="183" spans="11:15" ht="24" customHeight="1" x14ac:dyDescent="0.3">
      <c r="K183" s="1">
        <f>Table112[[#This Row],[النولون]]+Table112[[#This Row],[الايصالات]]-Table112[[#This Row],[خصم أ ت ص]]+Table112[[#This Row],[قيمة مضافة]]</f>
        <v>0</v>
      </c>
      <c r="M183" s="1">
        <f>M182+Table112[[#This Row],[اجمالي الفاتوره]]-Table112[[#This Row],[الدفعات]]</f>
        <v>163138.15000000008</v>
      </c>
      <c r="O183" s="95"/>
    </row>
    <row r="184" spans="11:15" ht="24" customHeight="1" x14ac:dyDescent="0.3">
      <c r="K184" s="1">
        <f>Table112[[#This Row],[النولون]]+Table112[[#This Row],[الايصالات]]-Table112[[#This Row],[خصم أ ت ص]]+Table112[[#This Row],[قيمة مضافة]]</f>
        <v>0</v>
      </c>
      <c r="M184" s="1">
        <f>M183+Table112[[#This Row],[اجمالي الفاتوره]]-Table112[[#This Row],[الدفعات]]</f>
        <v>163138.15000000008</v>
      </c>
      <c r="O184" s="95"/>
    </row>
    <row r="185" spans="11:15" ht="24" customHeight="1" x14ac:dyDescent="0.3">
      <c r="K185" s="1">
        <f>Table112[[#This Row],[النولون]]+Table112[[#This Row],[الايصالات]]-Table112[[#This Row],[خصم أ ت ص]]+Table112[[#This Row],[قيمة مضافة]]</f>
        <v>0</v>
      </c>
      <c r="M185" s="1">
        <f>M184+Table112[[#This Row],[اجمالي الفاتوره]]-Table112[[#This Row],[الدفعات]]</f>
        <v>163138.15000000008</v>
      </c>
      <c r="O185" s="95"/>
    </row>
    <row r="186" spans="11:15" ht="24" customHeight="1" x14ac:dyDescent="0.3">
      <c r="K186" s="1">
        <f>Table112[[#This Row],[النولون]]+Table112[[#This Row],[الايصالات]]-Table112[[#This Row],[خصم أ ت ص]]+Table112[[#This Row],[قيمة مضافة]]</f>
        <v>0</v>
      </c>
      <c r="M186" s="1">
        <f>M185+Table112[[#This Row],[اجمالي الفاتوره]]-Table112[[#This Row],[الدفعات]]</f>
        <v>163138.15000000008</v>
      </c>
      <c r="O186" s="95"/>
    </row>
    <row r="187" spans="11:15" ht="24" customHeight="1" x14ac:dyDescent="0.3">
      <c r="K187" s="1">
        <f>Table112[[#This Row],[النولون]]+Table112[[#This Row],[الايصالات]]-Table112[[#This Row],[خصم أ ت ص]]+Table112[[#This Row],[قيمة مضافة]]</f>
        <v>0</v>
      </c>
      <c r="M187" s="1">
        <f>M186+Table112[[#This Row],[اجمالي الفاتوره]]-Table112[[#This Row],[الدفعات]]</f>
        <v>163138.15000000008</v>
      </c>
      <c r="O187" s="95"/>
    </row>
    <row r="188" spans="11:15" ht="24" customHeight="1" x14ac:dyDescent="0.3">
      <c r="K188" s="1">
        <f>Table112[[#This Row],[النولون]]+Table112[[#This Row],[الايصالات]]-Table112[[#This Row],[خصم أ ت ص]]+Table112[[#This Row],[قيمة مضافة]]</f>
        <v>0</v>
      </c>
      <c r="M188" s="1">
        <f>M187+Table112[[#This Row],[اجمالي الفاتوره]]-Table112[[#This Row],[الدفعات]]</f>
        <v>163138.15000000008</v>
      </c>
      <c r="O188" s="95"/>
    </row>
    <row r="189" spans="11:15" ht="24" customHeight="1" x14ac:dyDescent="0.3">
      <c r="K189" s="1">
        <f>Table112[[#This Row],[النولون]]+Table112[[#This Row],[الايصالات]]-Table112[[#This Row],[خصم أ ت ص]]+Table112[[#This Row],[قيمة مضافة]]</f>
        <v>0</v>
      </c>
      <c r="M189" s="1">
        <f>M188+Table112[[#This Row],[اجمالي الفاتوره]]-Table112[[#This Row],[الدفعات]]</f>
        <v>163138.15000000008</v>
      </c>
      <c r="O189" s="95"/>
    </row>
    <row r="190" spans="11:15" ht="24" customHeight="1" x14ac:dyDescent="0.3">
      <c r="K190" s="1">
        <f>Table112[[#This Row],[النولون]]+Table112[[#This Row],[الايصالات]]-Table112[[#This Row],[خصم أ ت ص]]+Table112[[#This Row],[قيمة مضافة]]</f>
        <v>0</v>
      </c>
      <c r="M190" s="1">
        <f>M189+Table112[[#This Row],[اجمالي الفاتوره]]-Table112[[#This Row],[الدفعات]]</f>
        <v>163138.15000000008</v>
      </c>
      <c r="O190" s="95"/>
    </row>
    <row r="191" spans="11:15" ht="24" customHeight="1" x14ac:dyDescent="0.3">
      <c r="K191" s="1">
        <f>Table112[[#This Row],[النولون]]+Table112[[#This Row],[الايصالات]]-Table112[[#This Row],[خصم أ ت ص]]+Table112[[#This Row],[قيمة مضافة]]</f>
        <v>0</v>
      </c>
      <c r="M191" s="1">
        <f>M190+Table112[[#This Row],[اجمالي الفاتوره]]-Table112[[#This Row],[الدفعات]]</f>
        <v>163138.15000000008</v>
      </c>
      <c r="O191" s="95"/>
    </row>
    <row r="192" spans="11:15" ht="24" customHeight="1" x14ac:dyDescent="0.3">
      <c r="K192" s="1">
        <f>Table112[[#This Row],[النولون]]+Table112[[#This Row],[الايصالات]]-Table112[[#This Row],[خصم أ ت ص]]+Table112[[#This Row],[قيمة مضافة]]</f>
        <v>0</v>
      </c>
      <c r="M192" s="1">
        <f>M191+Table112[[#This Row],[اجمالي الفاتوره]]-Table112[[#This Row],[الدفعات]]</f>
        <v>163138.15000000008</v>
      </c>
      <c r="O192" s="95"/>
    </row>
    <row r="193" spans="11:15" ht="24" customHeight="1" x14ac:dyDescent="0.3">
      <c r="K193" s="1">
        <f>Table112[[#This Row],[النولون]]+Table112[[#This Row],[الايصالات]]-Table112[[#This Row],[خصم أ ت ص]]+Table112[[#This Row],[قيمة مضافة]]</f>
        <v>0</v>
      </c>
      <c r="M193" s="1">
        <f>M192+Table112[[#This Row],[اجمالي الفاتوره]]-Table112[[#This Row],[الدفعات]]</f>
        <v>163138.15000000008</v>
      </c>
      <c r="O193" s="95"/>
    </row>
    <row r="194" spans="11:15" ht="24" customHeight="1" x14ac:dyDescent="0.3">
      <c r="K194" s="1">
        <f>Table112[[#This Row],[النولون]]+Table112[[#This Row],[الايصالات]]-Table112[[#This Row],[خصم أ ت ص]]+Table112[[#This Row],[قيمة مضافة]]</f>
        <v>0</v>
      </c>
      <c r="M194" s="1">
        <f>M193+Table112[[#This Row],[اجمالي الفاتوره]]-Table112[[#This Row],[الدفعات]]</f>
        <v>163138.15000000008</v>
      </c>
      <c r="O194" s="95"/>
    </row>
    <row r="195" spans="11:15" ht="24" customHeight="1" x14ac:dyDescent="0.3">
      <c r="K195" s="1">
        <f>Table112[[#This Row],[النولون]]+Table112[[#This Row],[الايصالات]]-Table112[[#This Row],[خصم أ ت ص]]+Table112[[#This Row],[قيمة مضافة]]</f>
        <v>0</v>
      </c>
      <c r="M195" s="1">
        <f>M194+Table112[[#This Row],[اجمالي الفاتوره]]-Table112[[#This Row],[الدفعات]]</f>
        <v>163138.15000000008</v>
      </c>
      <c r="O195" s="95"/>
    </row>
    <row r="196" spans="11:15" ht="24" customHeight="1" x14ac:dyDescent="0.3">
      <c r="K196" s="1">
        <f>Table112[[#This Row],[النولون]]+Table112[[#This Row],[الايصالات]]-Table112[[#This Row],[خصم أ ت ص]]+Table112[[#This Row],[قيمة مضافة]]</f>
        <v>0</v>
      </c>
      <c r="M196" s="1">
        <f>M195+Table112[[#This Row],[اجمالي الفاتوره]]-Table112[[#This Row],[الدفعات]]</f>
        <v>163138.15000000008</v>
      </c>
      <c r="O196" s="95"/>
    </row>
    <row r="197" spans="11:15" ht="24" customHeight="1" x14ac:dyDescent="0.3">
      <c r="K197" s="1">
        <f>Table112[[#This Row],[النولون]]+Table112[[#This Row],[الايصالات]]-Table112[[#This Row],[خصم أ ت ص]]+Table112[[#This Row],[قيمة مضافة]]</f>
        <v>0</v>
      </c>
      <c r="M197" s="1">
        <f>M196+Table112[[#This Row],[اجمالي الفاتوره]]-Table112[[#This Row],[الدفعات]]</f>
        <v>163138.15000000008</v>
      </c>
      <c r="O197" s="95"/>
    </row>
    <row r="198" spans="11:15" ht="24" customHeight="1" x14ac:dyDescent="0.3">
      <c r="K198" s="1">
        <f>Table112[[#This Row],[النولون]]+Table112[[#This Row],[الايصالات]]-Table112[[#This Row],[خصم أ ت ص]]+Table112[[#This Row],[قيمة مضافة]]</f>
        <v>0</v>
      </c>
      <c r="M198" s="1">
        <f>M197+Table112[[#This Row],[اجمالي الفاتوره]]-Table112[[#This Row],[الدفعات]]</f>
        <v>163138.15000000008</v>
      </c>
      <c r="O198" s="95"/>
    </row>
    <row r="199" spans="11:15" ht="24" customHeight="1" x14ac:dyDescent="0.3">
      <c r="K199" s="1">
        <f>Table112[[#This Row],[النولون]]+Table112[[#This Row],[الايصالات]]-Table112[[#This Row],[خصم أ ت ص]]+Table112[[#This Row],[قيمة مضافة]]</f>
        <v>0</v>
      </c>
      <c r="M199" s="1">
        <f>M198+Table112[[#This Row],[اجمالي الفاتوره]]-Table112[[#This Row],[الدفعات]]</f>
        <v>163138.15000000008</v>
      </c>
      <c r="O199" s="95"/>
    </row>
    <row r="200" spans="11:15" ht="24" customHeight="1" x14ac:dyDescent="0.3">
      <c r="K200" s="1">
        <f>Table112[[#This Row],[النولون]]+Table112[[#This Row],[الايصالات]]-Table112[[#This Row],[خصم أ ت ص]]+Table112[[#This Row],[قيمة مضافة]]</f>
        <v>0</v>
      </c>
      <c r="M200" s="1">
        <f>M199+Table112[[#This Row],[اجمالي الفاتوره]]-Table112[[#This Row],[الدفعات]]</f>
        <v>163138.15000000008</v>
      </c>
      <c r="O200" s="95"/>
    </row>
    <row r="201" spans="11:15" ht="24" customHeight="1" x14ac:dyDescent="0.3">
      <c r="K201" s="1">
        <f>Table112[[#This Row],[النولون]]+Table112[[#This Row],[الايصالات]]-Table112[[#This Row],[خصم أ ت ص]]+Table112[[#This Row],[قيمة مضافة]]</f>
        <v>0</v>
      </c>
      <c r="M201" s="1">
        <f>M200+Table112[[#This Row],[اجمالي الفاتوره]]-Table112[[#This Row],[الدفعات]]</f>
        <v>163138.15000000008</v>
      </c>
      <c r="O201" s="95"/>
    </row>
    <row r="202" spans="11:15" ht="24" customHeight="1" x14ac:dyDescent="0.3">
      <c r="K202" s="1">
        <f>Table112[[#This Row],[النولون]]+Table112[[#This Row],[الايصالات]]-Table112[[#This Row],[خصم أ ت ص]]+Table112[[#This Row],[قيمة مضافة]]</f>
        <v>0</v>
      </c>
      <c r="M202" s="1">
        <f>M201+Table112[[#This Row],[اجمالي الفاتوره]]-Table112[[#This Row],[الدفعات]]</f>
        <v>163138.15000000008</v>
      </c>
      <c r="O202" s="95"/>
    </row>
    <row r="203" spans="11:15" ht="24" customHeight="1" x14ac:dyDescent="0.3">
      <c r="K203" s="1">
        <f>Table112[[#This Row],[النولون]]+Table112[[#This Row],[الايصالات]]-Table112[[#This Row],[خصم أ ت ص]]+Table112[[#This Row],[قيمة مضافة]]</f>
        <v>0</v>
      </c>
      <c r="M203" s="1">
        <f>M202+Table112[[#This Row],[اجمالي الفاتوره]]-Table112[[#This Row],[الدفعات]]</f>
        <v>163138.15000000008</v>
      </c>
      <c r="O203" s="95"/>
    </row>
    <row r="204" spans="11:15" ht="24" customHeight="1" x14ac:dyDescent="0.3">
      <c r="K204" s="1">
        <f>Table112[[#This Row],[النولون]]+Table112[[#This Row],[الايصالات]]-Table112[[#This Row],[خصم أ ت ص]]+Table112[[#This Row],[قيمة مضافة]]</f>
        <v>0</v>
      </c>
      <c r="M204" s="1">
        <f>M203+Table112[[#This Row],[اجمالي الفاتوره]]-Table112[[#This Row],[الدفعات]]</f>
        <v>163138.15000000008</v>
      </c>
      <c r="O204" s="95"/>
    </row>
    <row r="205" spans="11:15" ht="24" customHeight="1" x14ac:dyDescent="0.3">
      <c r="K205" s="1">
        <f>Table112[[#This Row],[النولون]]+Table112[[#This Row],[الايصالات]]-Table112[[#This Row],[خصم أ ت ص]]+Table112[[#This Row],[قيمة مضافة]]</f>
        <v>0</v>
      </c>
      <c r="M205" s="1">
        <f>M204+Table112[[#This Row],[اجمالي الفاتوره]]-Table112[[#This Row],[الدفعات]]</f>
        <v>163138.15000000008</v>
      </c>
      <c r="O205" s="95"/>
    </row>
    <row r="206" spans="11:15" ht="24" customHeight="1" x14ac:dyDescent="0.3">
      <c r="K206" s="1">
        <f>Table112[[#This Row],[النولون]]+Table112[[#This Row],[الايصالات]]-Table112[[#This Row],[خصم أ ت ص]]+Table112[[#This Row],[قيمة مضافة]]</f>
        <v>0</v>
      </c>
      <c r="M206" s="1">
        <f>M205+Table112[[#This Row],[اجمالي الفاتوره]]-Table112[[#This Row],[الدفعات]]</f>
        <v>163138.15000000008</v>
      </c>
      <c r="O206" s="95"/>
    </row>
    <row r="207" spans="11:15" ht="24" customHeight="1" x14ac:dyDescent="0.3">
      <c r="K207" s="1">
        <f>Table112[[#This Row],[النولون]]+Table112[[#This Row],[الايصالات]]-Table112[[#This Row],[خصم أ ت ص]]+Table112[[#This Row],[قيمة مضافة]]</f>
        <v>0</v>
      </c>
      <c r="M207" s="1">
        <f>M206+Table112[[#This Row],[اجمالي الفاتوره]]-Table112[[#This Row],[الدفعات]]</f>
        <v>163138.15000000008</v>
      </c>
      <c r="O207" s="95"/>
    </row>
    <row r="208" spans="11:15" ht="24" customHeight="1" x14ac:dyDescent="0.3">
      <c r="K208" s="1">
        <f>Table112[[#This Row],[النولون]]+Table112[[#This Row],[الايصالات]]-Table112[[#This Row],[خصم أ ت ص]]+Table112[[#This Row],[قيمة مضافة]]</f>
        <v>0</v>
      </c>
      <c r="M208" s="1">
        <f>M207+Table112[[#This Row],[اجمالي الفاتوره]]-Table112[[#This Row],[الدفعات]]</f>
        <v>163138.15000000008</v>
      </c>
      <c r="O208" s="95"/>
    </row>
    <row r="209" spans="11:15" ht="24" customHeight="1" x14ac:dyDescent="0.3">
      <c r="K209" s="1">
        <f>Table112[[#This Row],[النولون]]+Table112[[#This Row],[الايصالات]]-Table112[[#This Row],[خصم أ ت ص]]+Table112[[#This Row],[قيمة مضافة]]</f>
        <v>0</v>
      </c>
      <c r="M209" s="1">
        <f>M208+Table112[[#This Row],[اجمالي الفاتوره]]-Table112[[#This Row],[الدفعات]]</f>
        <v>163138.15000000008</v>
      </c>
      <c r="O209" s="95"/>
    </row>
    <row r="210" spans="11:15" ht="24" customHeight="1" x14ac:dyDescent="0.3">
      <c r="K210" s="1">
        <f>Table112[[#This Row],[النولون]]+Table112[[#This Row],[الايصالات]]-Table112[[#This Row],[خصم أ ت ص]]+Table112[[#This Row],[قيمة مضافة]]</f>
        <v>0</v>
      </c>
      <c r="M210" s="1">
        <f>M209+Table112[[#This Row],[اجمالي الفاتوره]]-Table112[[#This Row],[الدفعات]]</f>
        <v>163138.15000000008</v>
      </c>
      <c r="O210" s="95"/>
    </row>
    <row r="211" spans="11:15" ht="24" customHeight="1" x14ac:dyDescent="0.3">
      <c r="K211" s="1">
        <f>Table112[[#This Row],[النولون]]+Table112[[#This Row],[الايصالات]]-Table112[[#This Row],[خصم أ ت ص]]+Table112[[#This Row],[قيمة مضافة]]</f>
        <v>0</v>
      </c>
      <c r="M211" s="1">
        <f>M210+Table112[[#This Row],[اجمالي الفاتوره]]-Table112[[#This Row],[الدفعات]]</f>
        <v>163138.15000000008</v>
      </c>
      <c r="O211" s="95"/>
    </row>
    <row r="212" spans="11:15" ht="24" customHeight="1" x14ac:dyDescent="0.3">
      <c r="K212" s="1">
        <f>Table112[[#This Row],[النولون]]+Table112[[#This Row],[الايصالات]]-Table112[[#This Row],[خصم أ ت ص]]+Table112[[#This Row],[قيمة مضافة]]</f>
        <v>0</v>
      </c>
      <c r="M212" s="1">
        <f>M211+Table112[[#This Row],[اجمالي الفاتوره]]-Table112[[#This Row],[الدفعات]]</f>
        <v>163138.15000000008</v>
      </c>
      <c r="O212" s="95"/>
    </row>
    <row r="213" spans="11:15" ht="24" customHeight="1" x14ac:dyDescent="0.3">
      <c r="K213" s="1">
        <f>Table112[[#This Row],[النولون]]+Table112[[#This Row],[الايصالات]]-Table112[[#This Row],[خصم أ ت ص]]+Table112[[#This Row],[قيمة مضافة]]</f>
        <v>0</v>
      </c>
      <c r="M213" s="1">
        <f>M212+Table112[[#This Row],[اجمالي الفاتوره]]-Table112[[#This Row],[الدفعات]]</f>
        <v>163138.15000000008</v>
      </c>
      <c r="O213" s="95"/>
    </row>
    <row r="214" spans="11:15" ht="24" customHeight="1" x14ac:dyDescent="0.3">
      <c r="K214" s="1">
        <f>Table112[[#This Row],[النولون]]+Table112[[#This Row],[الايصالات]]-Table112[[#This Row],[خصم أ ت ص]]+Table112[[#This Row],[قيمة مضافة]]</f>
        <v>0</v>
      </c>
      <c r="M214" s="1">
        <f>M213+Table112[[#This Row],[اجمالي الفاتوره]]-Table112[[#This Row],[الدفعات]]</f>
        <v>163138.15000000008</v>
      </c>
      <c r="O214" s="95"/>
    </row>
    <row r="215" spans="11:15" ht="24" customHeight="1" x14ac:dyDescent="0.3">
      <c r="K215" s="1">
        <f>Table112[[#This Row],[النولون]]+Table112[[#This Row],[الايصالات]]-Table112[[#This Row],[خصم أ ت ص]]+Table112[[#This Row],[قيمة مضافة]]</f>
        <v>0</v>
      </c>
      <c r="M215" s="1">
        <f>M214+Table112[[#This Row],[اجمالي الفاتوره]]-Table112[[#This Row],[الدفعات]]</f>
        <v>163138.15000000008</v>
      </c>
      <c r="O215" s="95"/>
    </row>
    <row r="216" spans="11:15" ht="24" customHeight="1" x14ac:dyDescent="0.3">
      <c r="K216" s="1">
        <f>Table112[[#This Row],[النولون]]+Table112[[#This Row],[الايصالات]]-Table112[[#This Row],[خصم أ ت ص]]+Table112[[#This Row],[قيمة مضافة]]</f>
        <v>0</v>
      </c>
      <c r="M216" s="1">
        <f>M215+Table112[[#This Row],[اجمالي الفاتوره]]-Table112[[#This Row],[الدفعات]]</f>
        <v>163138.15000000008</v>
      </c>
      <c r="O216" s="95"/>
    </row>
    <row r="217" spans="11:15" ht="24" customHeight="1" x14ac:dyDescent="0.3">
      <c r="K217" s="1">
        <f>Table112[[#This Row],[النولون]]+Table112[[#This Row],[الايصالات]]-Table112[[#This Row],[خصم أ ت ص]]+Table112[[#This Row],[قيمة مضافة]]</f>
        <v>0</v>
      </c>
      <c r="M217" s="1">
        <f>M216+Table112[[#This Row],[اجمالي الفاتوره]]-Table112[[#This Row],[الدفعات]]</f>
        <v>163138.15000000008</v>
      </c>
      <c r="O217" s="95"/>
    </row>
    <row r="218" spans="11:15" ht="24" customHeight="1" x14ac:dyDescent="0.3">
      <c r="K218" s="1">
        <f>Table112[[#This Row],[النولون]]+Table112[[#This Row],[الايصالات]]-Table112[[#This Row],[خصم أ ت ص]]+Table112[[#This Row],[قيمة مضافة]]</f>
        <v>0</v>
      </c>
      <c r="M218" s="1">
        <f>M217+Table112[[#This Row],[اجمالي الفاتوره]]-Table112[[#This Row],[الدفعات]]</f>
        <v>163138.15000000008</v>
      </c>
      <c r="O218" s="95"/>
    </row>
    <row r="219" spans="11:15" ht="24" customHeight="1" x14ac:dyDescent="0.3">
      <c r="K219" s="1">
        <f>Table112[[#This Row],[النولون]]+Table112[[#This Row],[الايصالات]]-Table112[[#This Row],[خصم أ ت ص]]+Table112[[#This Row],[قيمة مضافة]]</f>
        <v>0</v>
      </c>
      <c r="M219" s="1">
        <f>M218+Table112[[#This Row],[اجمالي الفاتوره]]-Table112[[#This Row],[الدفعات]]</f>
        <v>163138.15000000008</v>
      </c>
      <c r="O219" s="95"/>
    </row>
    <row r="220" spans="11:15" ht="24" customHeight="1" x14ac:dyDescent="0.3">
      <c r="K220" s="1">
        <f>Table112[[#This Row],[النولون]]+Table112[[#This Row],[الايصالات]]-Table112[[#This Row],[خصم أ ت ص]]+Table112[[#This Row],[قيمة مضافة]]</f>
        <v>0</v>
      </c>
      <c r="M220" s="1">
        <f>M219+Table112[[#This Row],[اجمالي الفاتوره]]-Table112[[#This Row],[الدفعات]]</f>
        <v>163138.15000000008</v>
      </c>
      <c r="O220" s="95"/>
    </row>
    <row r="221" spans="11:15" ht="24" customHeight="1" x14ac:dyDescent="0.3">
      <c r="K221" s="1">
        <f>Table112[[#This Row],[النولون]]+Table112[[#This Row],[الايصالات]]-Table112[[#This Row],[خصم أ ت ص]]+Table112[[#This Row],[قيمة مضافة]]</f>
        <v>0</v>
      </c>
      <c r="M221" s="1">
        <f>M220+Table112[[#This Row],[اجمالي الفاتوره]]-Table112[[#This Row],[الدفعات]]</f>
        <v>163138.15000000008</v>
      </c>
      <c r="O221" s="95"/>
    </row>
    <row r="222" spans="11:15" ht="24" customHeight="1" x14ac:dyDescent="0.3">
      <c r="K222" s="1">
        <f>Table112[[#This Row],[النولون]]+Table112[[#This Row],[الايصالات]]-Table112[[#This Row],[خصم أ ت ص]]+Table112[[#This Row],[قيمة مضافة]]</f>
        <v>0</v>
      </c>
      <c r="M222" s="1">
        <f>M221+Table112[[#This Row],[اجمالي الفاتوره]]-Table112[[#This Row],[الدفعات]]</f>
        <v>163138.15000000008</v>
      </c>
      <c r="O222" s="95"/>
    </row>
    <row r="223" spans="11:15" ht="24" customHeight="1" x14ac:dyDescent="0.3">
      <c r="K223" s="1">
        <f>Table112[[#This Row],[النولون]]+Table112[[#This Row],[الايصالات]]-Table112[[#This Row],[خصم أ ت ص]]+Table112[[#This Row],[قيمة مضافة]]</f>
        <v>0</v>
      </c>
      <c r="M223" s="1">
        <f>M222+Table112[[#This Row],[اجمالي الفاتوره]]-Table112[[#This Row],[الدفعات]]</f>
        <v>163138.15000000008</v>
      </c>
      <c r="O223" s="95"/>
    </row>
    <row r="224" spans="11:15" ht="24" customHeight="1" x14ac:dyDescent="0.3">
      <c r="K224" s="1">
        <f>Table112[[#This Row],[النولون]]+Table112[[#This Row],[الايصالات]]-Table112[[#This Row],[خصم أ ت ص]]+Table112[[#This Row],[قيمة مضافة]]</f>
        <v>0</v>
      </c>
      <c r="M224" s="1">
        <f>M223+Table112[[#This Row],[اجمالي الفاتوره]]-Table112[[#This Row],[الدفعات]]</f>
        <v>163138.15000000008</v>
      </c>
      <c r="O224" s="95"/>
    </row>
    <row r="225" spans="11:15" ht="24" customHeight="1" x14ac:dyDescent="0.3">
      <c r="K225" s="1">
        <f>Table112[[#This Row],[النولون]]+Table112[[#This Row],[الايصالات]]-Table112[[#This Row],[خصم أ ت ص]]+Table112[[#This Row],[قيمة مضافة]]</f>
        <v>0</v>
      </c>
      <c r="M225" s="1">
        <f>M224+Table112[[#This Row],[اجمالي الفاتوره]]-Table112[[#This Row],[الدفعات]]</f>
        <v>163138.15000000008</v>
      </c>
      <c r="O225" s="95"/>
    </row>
    <row r="226" spans="11:15" ht="24" customHeight="1" x14ac:dyDescent="0.3">
      <c r="K226" s="1">
        <f>Table112[[#This Row],[النولون]]+Table112[[#This Row],[الايصالات]]-Table112[[#This Row],[خصم أ ت ص]]+Table112[[#This Row],[قيمة مضافة]]</f>
        <v>0</v>
      </c>
      <c r="M226" s="1">
        <f>M225+Table112[[#This Row],[اجمالي الفاتوره]]-Table112[[#This Row],[الدفعات]]</f>
        <v>163138.15000000008</v>
      </c>
      <c r="O226" s="95"/>
    </row>
    <row r="227" spans="11:15" ht="24" customHeight="1" x14ac:dyDescent="0.3">
      <c r="K227" s="1">
        <f>Table112[[#This Row],[النولون]]+Table112[[#This Row],[الايصالات]]-Table112[[#This Row],[خصم أ ت ص]]+Table112[[#This Row],[قيمة مضافة]]</f>
        <v>0</v>
      </c>
      <c r="M227" s="1">
        <f>M226+Table112[[#This Row],[اجمالي الفاتوره]]-Table112[[#This Row],[الدفعات]]</f>
        <v>163138.15000000008</v>
      </c>
      <c r="O227" s="95"/>
    </row>
    <row r="228" spans="11:15" ht="24" customHeight="1" x14ac:dyDescent="0.3">
      <c r="K228" s="1">
        <f>Table112[[#This Row],[النولون]]+Table112[[#This Row],[الايصالات]]-Table112[[#This Row],[خصم أ ت ص]]+Table112[[#This Row],[قيمة مضافة]]</f>
        <v>0</v>
      </c>
      <c r="M228" s="1">
        <f>M227+Table112[[#This Row],[اجمالي الفاتوره]]-Table112[[#This Row],[الدفعات]]</f>
        <v>163138.15000000008</v>
      </c>
      <c r="O228" s="95"/>
    </row>
    <row r="229" spans="11:15" ht="24" customHeight="1" x14ac:dyDescent="0.3">
      <c r="K229" s="1">
        <f>Table112[[#This Row],[النولون]]+Table112[[#This Row],[الايصالات]]-Table112[[#This Row],[خصم أ ت ص]]+Table112[[#This Row],[قيمة مضافة]]</f>
        <v>0</v>
      </c>
      <c r="M229" s="1">
        <f>M228+Table112[[#This Row],[اجمالي الفاتوره]]-Table112[[#This Row],[الدفعات]]</f>
        <v>163138.15000000008</v>
      </c>
      <c r="O229" s="95"/>
    </row>
    <row r="230" spans="11:15" ht="24" customHeight="1" x14ac:dyDescent="0.3">
      <c r="K230" s="1">
        <f>Table112[[#This Row],[النولون]]+Table112[[#This Row],[الايصالات]]-Table112[[#This Row],[خصم أ ت ص]]+Table112[[#This Row],[قيمة مضافة]]</f>
        <v>0</v>
      </c>
      <c r="M230" s="1">
        <f>M229+Table112[[#This Row],[اجمالي الفاتوره]]-Table112[[#This Row],[الدفعات]]</f>
        <v>163138.15000000008</v>
      </c>
      <c r="O230" s="95"/>
    </row>
    <row r="231" spans="11:15" ht="24" customHeight="1" x14ac:dyDescent="0.3">
      <c r="K231" s="1">
        <f>Table112[[#This Row],[النولون]]+Table112[[#This Row],[الايصالات]]-Table112[[#This Row],[خصم أ ت ص]]+Table112[[#This Row],[قيمة مضافة]]</f>
        <v>0</v>
      </c>
      <c r="M231" s="1">
        <f>M230+Table112[[#This Row],[اجمالي الفاتوره]]-Table112[[#This Row],[الدفعات]]</f>
        <v>163138.15000000008</v>
      </c>
      <c r="O231" s="95"/>
    </row>
    <row r="232" spans="11:15" ht="24" customHeight="1" x14ac:dyDescent="0.3">
      <c r="K232" s="1">
        <f>Table112[[#This Row],[النولون]]+Table112[[#This Row],[الايصالات]]-Table112[[#This Row],[خصم أ ت ص]]+Table112[[#This Row],[قيمة مضافة]]</f>
        <v>0</v>
      </c>
      <c r="M232" s="1">
        <f>M231+Table112[[#This Row],[اجمالي الفاتوره]]-Table112[[#This Row],[الدفعات]]</f>
        <v>163138.15000000008</v>
      </c>
      <c r="O232" s="95"/>
    </row>
    <row r="233" spans="11:15" ht="24" customHeight="1" x14ac:dyDescent="0.3">
      <c r="K233" s="1">
        <f>Table112[[#This Row],[النولون]]+Table112[[#This Row],[الايصالات]]-Table112[[#This Row],[خصم أ ت ص]]+Table112[[#This Row],[قيمة مضافة]]</f>
        <v>0</v>
      </c>
      <c r="M233" s="1">
        <f>M232+Table112[[#This Row],[اجمالي الفاتوره]]-Table112[[#This Row],[الدفعات]]</f>
        <v>163138.15000000008</v>
      </c>
      <c r="O233" s="95"/>
    </row>
    <row r="234" spans="11:15" ht="24" customHeight="1" x14ac:dyDescent="0.3">
      <c r="K234" s="1">
        <f>Table112[[#This Row],[النولون]]+Table112[[#This Row],[الايصالات]]-Table112[[#This Row],[خصم أ ت ص]]+Table112[[#This Row],[قيمة مضافة]]</f>
        <v>0</v>
      </c>
      <c r="M234" s="1">
        <f>M233+Table112[[#This Row],[اجمالي الفاتوره]]-Table112[[#This Row],[الدفعات]]</f>
        <v>163138.15000000008</v>
      </c>
      <c r="O234" s="95"/>
    </row>
    <row r="235" spans="11:15" ht="24" customHeight="1" x14ac:dyDescent="0.3">
      <c r="K235" s="1">
        <f>Table112[[#This Row],[النولون]]+Table112[[#This Row],[الايصالات]]-Table112[[#This Row],[خصم أ ت ص]]+Table112[[#This Row],[قيمة مضافة]]</f>
        <v>0</v>
      </c>
      <c r="M235" s="1">
        <f>M234+Table112[[#This Row],[اجمالي الفاتوره]]-Table112[[#This Row],[الدفعات]]</f>
        <v>163138.15000000008</v>
      </c>
      <c r="O235" s="95"/>
    </row>
    <row r="236" spans="11:15" ht="24" customHeight="1" x14ac:dyDescent="0.3">
      <c r="K236" s="1">
        <f>Table112[[#This Row],[النولون]]+Table112[[#This Row],[الايصالات]]-Table112[[#This Row],[خصم أ ت ص]]+Table112[[#This Row],[قيمة مضافة]]</f>
        <v>0</v>
      </c>
      <c r="M236" s="1">
        <f>M235+Table112[[#This Row],[اجمالي الفاتوره]]-Table112[[#This Row],[الدفعات]]</f>
        <v>163138.15000000008</v>
      </c>
      <c r="O236" s="95"/>
    </row>
    <row r="237" spans="11:15" ht="24" customHeight="1" x14ac:dyDescent="0.3">
      <c r="K237" s="1">
        <f>Table112[[#This Row],[النولون]]+Table112[[#This Row],[الايصالات]]-Table112[[#This Row],[خصم أ ت ص]]+Table112[[#This Row],[قيمة مضافة]]</f>
        <v>0</v>
      </c>
      <c r="M237" s="1">
        <f>M236+Table112[[#This Row],[اجمالي الفاتوره]]-Table112[[#This Row],[الدفعات]]</f>
        <v>163138.15000000008</v>
      </c>
      <c r="O237" s="95"/>
    </row>
    <row r="238" spans="11:15" ht="24" customHeight="1" x14ac:dyDescent="0.3">
      <c r="K238" s="1">
        <f>Table112[[#This Row],[النولون]]+Table112[[#This Row],[الايصالات]]-Table112[[#This Row],[خصم أ ت ص]]+Table112[[#This Row],[قيمة مضافة]]</f>
        <v>0</v>
      </c>
      <c r="M238" s="1">
        <f>M237+Table112[[#This Row],[اجمالي الفاتوره]]-Table112[[#This Row],[الدفعات]]</f>
        <v>163138.15000000008</v>
      </c>
      <c r="O238" s="95"/>
    </row>
    <row r="239" spans="11:15" ht="24" customHeight="1" x14ac:dyDescent="0.3">
      <c r="K239" s="1">
        <f>Table112[[#This Row],[النولون]]+Table112[[#This Row],[الايصالات]]-Table112[[#This Row],[خصم أ ت ص]]+Table112[[#This Row],[قيمة مضافة]]</f>
        <v>0</v>
      </c>
      <c r="M239" s="1">
        <f>M238+Table112[[#This Row],[اجمالي الفاتوره]]-Table112[[#This Row],[الدفعات]]</f>
        <v>163138.15000000008</v>
      </c>
      <c r="O239" s="95"/>
    </row>
    <row r="240" spans="11:15" ht="24" customHeight="1" x14ac:dyDescent="0.3">
      <c r="K240" s="1">
        <f>Table112[[#This Row],[النولون]]+Table112[[#This Row],[الايصالات]]-Table112[[#This Row],[خصم أ ت ص]]+Table112[[#This Row],[قيمة مضافة]]</f>
        <v>0</v>
      </c>
      <c r="M240" s="1">
        <f>M239+Table112[[#This Row],[اجمالي الفاتوره]]-Table112[[#This Row],[الدفعات]]</f>
        <v>163138.15000000008</v>
      </c>
      <c r="O240" s="95"/>
    </row>
    <row r="241" spans="11:15" ht="24" customHeight="1" x14ac:dyDescent="0.3">
      <c r="K241" s="1">
        <f>Table112[[#This Row],[النولون]]+Table112[[#This Row],[الايصالات]]-Table112[[#This Row],[خصم أ ت ص]]+Table112[[#This Row],[قيمة مضافة]]</f>
        <v>0</v>
      </c>
      <c r="M241" s="1">
        <f>M240+Table112[[#This Row],[اجمالي الفاتوره]]-Table112[[#This Row],[الدفعات]]</f>
        <v>163138.15000000008</v>
      </c>
      <c r="O241" s="95"/>
    </row>
    <row r="242" spans="11:15" ht="24" customHeight="1" x14ac:dyDescent="0.3">
      <c r="K242" s="1">
        <f>Table112[[#This Row],[النولون]]+Table112[[#This Row],[الايصالات]]-Table112[[#This Row],[خصم أ ت ص]]+Table112[[#This Row],[قيمة مضافة]]</f>
        <v>0</v>
      </c>
      <c r="M242" s="1">
        <f>M241+Table112[[#This Row],[اجمالي الفاتوره]]-Table112[[#This Row],[الدفعات]]</f>
        <v>163138.15000000008</v>
      </c>
      <c r="O242" s="95"/>
    </row>
    <row r="243" spans="11:15" ht="24" customHeight="1" x14ac:dyDescent="0.3">
      <c r="K243" s="1">
        <f>Table112[[#This Row],[النولون]]+Table112[[#This Row],[الايصالات]]-Table112[[#This Row],[خصم أ ت ص]]+Table112[[#This Row],[قيمة مضافة]]</f>
        <v>0</v>
      </c>
      <c r="M243" s="1">
        <f>M242+Table112[[#This Row],[اجمالي الفاتوره]]-Table112[[#This Row],[الدفعات]]</f>
        <v>163138.15000000008</v>
      </c>
      <c r="O243" s="95"/>
    </row>
    <row r="244" spans="11:15" ht="24" customHeight="1" x14ac:dyDescent="0.3">
      <c r="K244" s="1">
        <f>Table112[[#This Row],[النولون]]+Table112[[#This Row],[الايصالات]]-Table112[[#This Row],[خصم أ ت ص]]+Table112[[#This Row],[قيمة مضافة]]</f>
        <v>0</v>
      </c>
      <c r="M244" s="1">
        <f>M243+Table112[[#This Row],[اجمالي الفاتوره]]-Table112[[#This Row],[الدفعات]]</f>
        <v>163138.15000000008</v>
      </c>
      <c r="O244" s="95"/>
    </row>
    <row r="245" spans="11:15" ht="24" customHeight="1" x14ac:dyDescent="0.3">
      <c r="K245" s="1">
        <f>Table112[[#This Row],[النولون]]+Table112[[#This Row],[الايصالات]]-Table112[[#This Row],[خصم أ ت ص]]+Table112[[#This Row],[قيمة مضافة]]</f>
        <v>0</v>
      </c>
      <c r="M245" s="1">
        <f>M244+Table112[[#This Row],[اجمالي الفاتوره]]-Table112[[#This Row],[الدفعات]]</f>
        <v>163138.15000000008</v>
      </c>
      <c r="O245" s="95"/>
    </row>
    <row r="246" spans="11:15" ht="24" customHeight="1" x14ac:dyDescent="0.3">
      <c r="K246" s="1">
        <f>Table112[[#This Row],[النولون]]+Table112[[#This Row],[الايصالات]]-Table112[[#This Row],[خصم أ ت ص]]+Table112[[#This Row],[قيمة مضافة]]</f>
        <v>0</v>
      </c>
      <c r="M246" s="1">
        <f>M245+Table112[[#This Row],[اجمالي الفاتوره]]-Table112[[#This Row],[الدفعات]]</f>
        <v>163138.15000000008</v>
      </c>
      <c r="O246" s="95"/>
    </row>
    <row r="247" spans="11:15" ht="24" customHeight="1" x14ac:dyDescent="0.3">
      <c r="K247" s="1">
        <f>Table112[[#This Row],[النولون]]+Table112[[#This Row],[الايصالات]]-Table112[[#This Row],[خصم أ ت ص]]+Table112[[#This Row],[قيمة مضافة]]</f>
        <v>0</v>
      </c>
      <c r="M247" s="1">
        <f>M246+Table112[[#This Row],[اجمالي الفاتوره]]-Table112[[#This Row],[الدفعات]]</f>
        <v>163138.15000000008</v>
      </c>
      <c r="O247" s="95"/>
    </row>
    <row r="248" spans="11:15" ht="24" customHeight="1" x14ac:dyDescent="0.3">
      <c r="K248" s="1">
        <f>Table112[[#This Row],[النولون]]+Table112[[#This Row],[الايصالات]]-Table112[[#This Row],[خصم أ ت ص]]+Table112[[#This Row],[قيمة مضافة]]</f>
        <v>0</v>
      </c>
      <c r="M248" s="1">
        <f>M247+Table112[[#This Row],[اجمالي الفاتوره]]-Table112[[#This Row],[الدفعات]]</f>
        <v>163138.15000000008</v>
      </c>
      <c r="O248" s="95"/>
    </row>
    <row r="249" spans="11:15" ht="24" customHeight="1" x14ac:dyDescent="0.3">
      <c r="K249" s="1">
        <f>Table112[[#This Row],[النولون]]+Table112[[#This Row],[الايصالات]]-Table112[[#This Row],[خصم أ ت ص]]+Table112[[#This Row],[قيمة مضافة]]</f>
        <v>0</v>
      </c>
      <c r="M249" s="1">
        <f>M248+Table112[[#This Row],[اجمالي الفاتوره]]-Table112[[#This Row],[الدفعات]]</f>
        <v>163138.15000000008</v>
      </c>
      <c r="O249" s="95"/>
    </row>
    <row r="250" spans="11:15" ht="24" customHeight="1" x14ac:dyDescent="0.3">
      <c r="K250" s="1">
        <f>Table112[[#This Row],[النولون]]+Table112[[#This Row],[الايصالات]]-Table112[[#This Row],[خصم أ ت ص]]+Table112[[#This Row],[قيمة مضافة]]</f>
        <v>0</v>
      </c>
      <c r="M250" s="1">
        <f>M249+Table112[[#This Row],[اجمالي الفاتوره]]-Table112[[#This Row],[الدفعات]]</f>
        <v>163138.15000000008</v>
      </c>
      <c r="O250" s="95"/>
    </row>
    <row r="251" spans="11:15" ht="24" customHeight="1" x14ac:dyDescent="0.3">
      <c r="K251" s="1">
        <f>Table112[[#This Row],[النولون]]+Table112[[#This Row],[الايصالات]]-Table112[[#This Row],[خصم أ ت ص]]+Table112[[#This Row],[قيمة مضافة]]</f>
        <v>0</v>
      </c>
      <c r="M251" s="1">
        <f>M250+Table112[[#This Row],[اجمالي الفاتوره]]-Table112[[#This Row],[الدفعات]]</f>
        <v>163138.15000000008</v>
      </c>
      <c r="O251" s="95"/>
    </row>
    <row r="252" spans="11:15" ht="24" customHeight="1" x14ac:dyDescent="0.3">
      <c r="K252" s="1">
        <f>Table112[[#This Row],[النولون]]+Table112[[#This Row],[الايصالات]]-Table112[[#This Row],[خصم أ ت ص]]+Table112[[#This Row],[قيمة مضافة]]</f>
        <v>0</v>
      </c>
      <c r="M252" s="1">
        <f>M251+Table112[[#This Row],[اجمالي الفاتوره]]-Table112[[#This Row],[الدفعات]]</f>
        <v>163138.15000000008</v>
      </c>
      <c r="O252" s="95"/>
    </row>
    <row r="253" spans="11:15" ht="24" customHeight="1" x14ac:dyDescent="0.3">
      <c r="K253" s="1">
        <f>Table112[[#This Row],[النولون]]+Table112[[#This Row],[الايصالات]]-Table112[[#This Row],[خصم أ ت ص]]+Table112[[#This Row],[قيمة مضافة]]</f>
        <v>0</v>
      </c>
      <c r="M253" s="1">
        <f>M252+Table112[[#This Row],[اجمالي الفاتوره]]-Table112[[#This Row],[الدفعات]]</f>
        <v>163138.15000000008</v>
      </c>
      <c r="O253" s="95"/>
    </row>
    <row r="254" spans="11:15" ht="24" customHeight="1" x14ac:dyDescent="0.3">
      <c r="K254" s="1">
        <f>Table112[[#This Row],[النولون]]+Table112[[#This Row],[الايصالات]]-Table112[[#This Row],[خصم أ ت ص]]+Table112[[#This Row],[قيمة مضافة]]</f>
        <v>0</v>
      </c>
      <c r="M254" s="1">
        <f>M253+Table112[[#This Row],[اجمالي الفاتوره]]-Table112[[#This Row],[الدفعات]]</f>
        <v>163138.15000000008</v>
      </c>
      <c r="O254" s="95"/>
    </row>
    <row r="255" spans="11:15" ht="24" customHeight="1" x14ac:dyDescent="0.3">
      <c r="K255" s="1">
        <f>Table112[[#This Row],[النولون]]+Table112[[#This Row],[الايصالات]]-Table112[[#This Row],[خصم أ ت ص]]+Table112[[#This Row],[قيمة مضافة]]</f>
        <v>0</v>
      </c>
      <c r="M255" s="1">
        <f>M254+Table112[[#This Row],[اجمالي الفاتوره]]-Table112[[#This Row],[الدفعات]]</f>
        <v>163138.15000000008</v>
      </c>
      <c r="O255" s="95"/>
    </row>
    <row r="256" spans="11:15" ht="24" customHeight="1" x14ac:dyDescent="0.3">
      <c r="K256" s="1">
        <f>Table112[[#This Row],[النولون]]+Table112[[#This Row],[الايصالات]]-Table112[[#This Row],[خصم أ ت ص]]+Table112[[#This Row],[قيمة مضافة]]</f>
        <v>0</v>
      </c>
      <c r="M256" s="1">
        <f>M255+Table112[[#This Row],[اجمالي الفاتوره]]-Table112[[#This Row],[الدفعات]]</f>
        <v>163138.15000000008</v>
      </c>
      <c r="O256" s="95"/>
    </row>
    <row r="257" spans="11:15" ht="24" customHeight="1" x14ac:dyDescent="0.3">
      <c r="K257" s="1">
        <f>Table112[[#This Row],[النولون]]+Table112[[#This Row],[الايصالات]]-Table112[[#This Row],[خصم أ ت ص]]+Table112[[#This Row],[قيمة مضافة]]</f>
        <v>0</v>
      </c>
      <c r="M257" s="1">
        <f>M256+Table112[[#This Row],[اجمالي الفاتوره]]-Table112[[#This Row],[الدفعات]]</f>
        <v>163138.15000000008</v>
      </c>
      <c r="O257" s="95"/>
    </row>
    <row r="258" spans="11:15" ht="24" customHeight="1" x14ac:dyDescent="0.3">
      <c r="K258" s="1">
        <f>Table112[[#This Row],[النولون]]+Table112[[#This Row],[الايصالات]]-Table112[[#This Row],[خصم أ ت ص]]+Table112[[#This Row],[قيمة مضافة]]</f>
        <v>0</v>
      </c>
      <c r="M258" s="1">
        <f>M257+Table112[[#This Row],[اجمالي الفاتوره]]-Table112[[#This Row],[الدفعات]]</f>
        <v>163138.15000000008</v>
      </c>
      <c r="O258" s="95"/>
    </row>
    <row r="259" spans="11:15" ht="24" customHeight="1" x14ac:dyDescent="0.3">
      <c r="K259" s="1">
        <f>Table112[[#This Row],[النولون]]+Table112[[#This Row],[الايصالات]]-Table112[[#This Row],[خصم أ ت ص]]+Table112[[#This Row],[قيمة مضافة]]</f>
        <v>0</v>
      </c>
      <c r="M259" s="1">
        <f>M258+Table112[[#This Row],[اجمالي الفاتوره]]-Table112[[#This Row],[الدفعات]]</f>
        <v>163138.15000000008</v>
      </c>
      <c r="O259" s="95"/>
    </row>
    <row r="260" spans="11:15" ht="24" customHeight="1" x14ac:dyDescent="0.3">
      <c r="K260" s="1">
        <f>Table112[[#This Row],[النولون]]+Table112[[#This Row],[الايصالات]]-Table112[[#This Row],[خصم أ ت ص]]+Table112[[#This Row],[قيمة مضافة]]</f>
        <v>0</v>
      </c>
      <c r="M260" s="1">
        <f>M259+Table112[[#This Row],[اجمالي الفاتوره]]-Table112[[#This Row],[الدفعات]]</f>
        <v>163138.15000000008</v>
      </c>
      <c r="O260" s="95"/>
    </row>
    <row r="261" spans="11:15" ht="24" customHeight="1" x14ac:dyDescent="0.3">
      <c r="K261" s="1">
        <f>Table112[[#This Row],[النولون]]+Table112[[#This Row],[الايصالات]]-Table112[[#This Row],[خصم أ ت ص]]+Table112[[#This Row],[قيمة مضافة]]</f>
        <v>0</v>
      </c>
      <c r="M261" s="1">
        <f>M260+Table112[[#This Row],[اجمالي الفاتوره]]-Table112[[#This Row],[الدفعات]]</f>
        <v>163138.15000000008</v>
      </c>
      <c r="O261" s="95"/>
    </row>
    <row r="262" spans="11:15" ht="24" customHeight="1" x14ac:dyDescent="0.3">
      <c r="K262" s="1">
        <f>Table112[[#This Row],[النولون]]+Table112[[#This Row],[الايصالات]]-Table112[[#This Row],[خصم أ ت ص]]+Table112[[#This Row],[قيمة مضافة]]</f>
        <v>0</v>
      </c>
      <c r="M262" s="1">
        <f>M261+Table112[[#This Row],[اجمالي الفاتوره]]-Table112[[#This Row],[الدفعات]]</f>
        <v>163138.15000000008</v>
      </c>
      <c r="O262" s="95"/>
    </row>
    <row r="263" spans="11:15" ht="24" customHeight="1" x14ac:dyDescent="0.3">
      <c r="K263" s="1">
        <f>Table112[[#This Row],[النولون]]+Table112[[#This Row],[الايصالات]]-Table112[[#This Row],[خصم أ ت ص]]+Table112[[#This Row],[قيمة مضافة]]</f>
        <v>0</v>
      </c>
      <c r="M263" s="1">
        <f>M262+Table112[[#This Row],[اجمالي الفاتوره]]-Table112[[#This Row],[الدفعات]]</f>
        <v>163138.15000000008</v>
      </c>
      <c r="O263" s="95"/>
    </row>
    <row r="264" spans="11:15" ht="24" customHeight="1" x14ac:dyDescent="0.3">
      <c r="K264" s="1">
        <f>Table112[[#This Row],[النولون]]+Table112[[#This Row],[الايصالات]]-Table112[[#This Row],[خصم أ ت ص]]+Table112[[#This Row],[قيمة مضافة]]</f>
        <v>0</v>
      </c>
      <c r="M264" s="1">
        <f>M263+Table112[[#This Row],[اجمالي الفاتوره]]-Table112[[#This Row],[الدفعات]]</f>
        <v>163138.15000000008</v>
      </c>
      <c r="O264" s="95"/>
    </row>
    <row r="265" spans="11:15" ht="24" customHeight="1" x14ac:dyDescent="0.3">
      <c r="K265" s="1">
        <f>Table112[[#This Row],[النولون]]+Table112[[#This Row],[الايصالات]]-Table112[[#This Row],[خصم أ ت ص]]+Table112[[#This Row],[قيمة مضافة]]</f>
        <v>0</v>
      </c>
      <c r="M265" s="1">
        <f>M264+Table112[[#This Row],[اجمالي الفاتوره]]-Table112[[#This Row],[الدفعات]]</f>
        <v>163138.15000000008</v>
      </c>
      <c r="O265" s="95"/>
    </row>
    <row r="266" spans="11:15" ht="24" customHeight="1" x14ac:dyDescent="0.3">
      <c r="K266" s="1">
        <f>Table112[[#This Row],[النولون]]+Table112[[#This Row],[الايصالات]]-Table112[[#This Row],[خصم أ ت ص]]+Table112[[#This Row],[قيمة مضافة]]</f>
        <v>0</v>
      </c>
      <c r="M266" s="1">
        <f>M265+Table112[[#This Row],[اجمالي الفاتوره]]-Table112[[#This Row],[الدفعات]]</f>
        <v>163138.15000000008</v>
      </c>
      <c r="O266" s="95"/>
    </row>
    <row r="267" spans="11:15" ht="24" customHeight="1" x14ac:dyDescent="0.3">
      <c r="K267" s="1">
        <f>Table112[[#This Row],[النولون]]+Table112[[#This Row],[الايصالات]]-Table112[[#This Row],[خصم أ ت ص]]+Table112[[#This Row],[قيمة مضافة]]</f>
        <v>0</v>
      </c>
      <c r="M267" s="1">
        <f>M266+Table112[[#This Row],[اجمالي الفاتوره]]-Table112[[#This Row],[الدفعات]]</f>
        <v>163138.15000000008</v>
      </c>
      <c r="O267" s="95"/>
    </row>
    <row r="268" spans="11:15" ht="24" customHeight="1" x14ac:dyDescent="0.3">
      <c r="K268" s="1">
        <f>Table112[[#This Row],[النولون]]+Table112[[#This Row],[الايصالات]]-Table112[[#This Row],[خصم أ ت ص]]+Table112[[#This Row],[قيمة مضافة]]</f>
        <v>0</v>
      </c>
      <c r="M268" s="1">
        <f>M267+Table112[[#This Row],[اجمالي الفاتوره]]-Table112[[#This Row],[الدفعات]]</f>
        <v>163138.15000000008</v>
      </c>
      <c r="O268" s="95"/>
    </row>
    <row r="269" spans="11:15" ht="24" customHeight="1" x14ac:dyDescent="0.3">
      <c r="K269" s="1">
        <f>Table112[[#This Row],[النولون]]+Table112[[#This Row],[الايصالات]]-Table112[[#This Row],[خصم أ ت ص]]+Table112[[#This Row],[قيمة مضافة]]</f>
        <v>0</v>
      </c>
      <c r="M269" s="1">
        <f>M268+Table112[[#This Row],[اجمالي الفاتوره]]-Table112[[#This Row],[الدفعات]]</f>
        <v>163138.15000000008</v>
      </c>
      <c r="O269" s="95"/>
    </row>
    <row r="270" spans="11:15" ht="24" customHeight="1" x14ac:dyDescent="0.3">
      <c r="K270" s="1">
        <f>Table112[[#This Row],[النولون]]+Table112[[#This Row],[الايصالات]]-Table112[[#This Row],[خصم أ ت ص]]+Table112[[#This Row],[قيمة مضافة]]</f>
        <v>0</v>
      </c>
      <c r="M270" s="1">
        <f>M269+Table112[[#This Row],[اجمالي الفاتوره]]-Table112[[#This Row],[الدفعات]]</f>
        <v>163138.15000000008</v>
      </c>
      <c r="O270" s="95"/>
    </row>
    <row r="271" spans="11:15" ht="24" customHeight="1" x14ac:dyDescent="0.3">
      <c r="K271" s="1">
        <f>Table112[[#This Row],[النولون]]+Table112[[#This Row],[الايصالات]]-Table112[[#This Row],[خصم أ ت ص]]+Table112[[#This Row],[قيمة مضافة]]</f>
        <v>0</v>
      </c>
      <c r="M271" s="1">
        <f>M270+Table112[[#This Row],[اجمالي الفاتوره]]-Table112[[#This Row],[الدفعات]]</f>
        <v>163138.15000000008</v>
      </c>
      <c r="O271" s="95"/>
    </row>
    <row r="272" spans="11:15" ht="24" customHeight="1" x14ac:dyDescent="0.3">
      <c r="K272" s="1">
        <f>Table112[[#This Row],[النولون]]+Table112[[#This Row],[الايصالات]]-Table112[[#This Row],[خصم أ ت ص]]+Table112[[#This Row],[قيمة مضافة]]</f>
        <v>0</v>
      </c>
      <c r="M272" s="1">
        <f>M271+Table112[[#This Row],[اجمالي الفاتوره]]-Table112[[#This Row],[الدفعات]]</f>
        <v>163138.15000000008</v>
      </c>
      <c r="O272" s="95"/>
    </row>
    <row r="273" spans="11:15" ht="24" customHeight="1" x14ac:dyDescent="0.3">
      <c r="K273" s="1">
        <f>Table112[[#This Row],[النولون]]+Table112[[#This Row],[الايصالات]]-Table112[[#This Row],[خصم أ ت ص]]+Table112[[#This Row],[قيمة مضافة]]</f>
        <v>0</v>
      </c>
      <c r="M273" s="1">
        <f>M272+Table112[[#This Row],[اجمالي الفاتوره]]-Table112[[#This Row],[الدفعات]]</f>
        <v>163138.15000000008</v>
      </c>
      <c r="O273" s="95"/>
    </row>
    <row r="274" spans="11:15" ht="24" customHeight="1" x14ac:dyDescent="0.3">
      <c r="K274" s="1">
        <f>Table112[[#This Row],[النولون]]+Table112[[#This Row],[الايصالات]]-Table112[[#This Row],[خصم أ ت ص]]+Table112[[#This Row],[قيمة مضافة]]</f>
        <v>0</v>
      </c>
      <c r="M274" s="1">
        <f>M273+Table112[[#This Row],[اجمالي الفاتوره]]-Table112[[#This Row],[الدفعات]]</f>
        <v>163138.15000000008</v>
      </c>
      <c r="O274" s="95"/>
    </row>
    <row r="275" spans="11:15" ht="24" customHeight="1" x14ac:dyDescent="0.3">
      <c r="K275" s="1">
        <f>Table112[[#This Row],[النولون]]+Table112[[#This Row],[الايصالات]]-Table112[[#This Row],[خصم أ ت ص]]+Table112[[#This Row],[قيمة مضافة]]</f>
        <v>0</v>
      </c>
      <c r="M275" s="1">
        <f>M274+Table112[[#This Row],[اجمالي الفاتوره]]-Table112[[#This Row],[الدفعات]]</f>
        <v>163138.15000000008</v>
      </c>
      <c r="O275" s="95"/>
    </row>
    <row r="276" spans="11:15" ht="24" customHeight="1" x14ac:dyDescent="0.3">
      <c r="K276" s="1">
        <f>Table112[[#This Row],[النولون]]+Table112[[#This Row],[الايصالات]]-Table112[[#This Row],[خصم أ ت ص]]+Table112[[#This Row],[قيمة مضافة]]</f>
        <v>0</v>
      </c>
      <c r="M276" s="1">
        <f>M275+Table112[[#This Row],[اجمالي الفاتوره]]-Table112[[#This Row],[الدفعات]]</f>
        <v>163138.15000000008</v>
      </c>
      <c r="O276" s="95"/>
    </row>
    <row r="277" spans="11:15" ht="24" customHeight="1" x14ac:dyDescent="0.3">
      <c r="K277" s="1">
        <f>Table112[[#This Row],[النولون]]+Table112[[#This Row],[الايصالات]]-Table112[[#This Row],[خصم أ ت ص]]+Table112[[#This Row],[قيمة مضافة]]</f>
        <v>0</v>
      </c>
      <c r="M277" s="1">
        <f>M276+Table112[[#This Row],[اجمالي الفاتوره]]-Table112[[#This Row],[الدفعات]]</f>
        <v>163138.15000000008</v>
      </c>
      <c r="O277" s="95"/>
    </row>
    <row r="278" spans="11:15" ht="24" customHeight="1" x14ac:dyDescent="0.3">
      <c r="K278" s="1">
        <f>Table112[[#This Row],[النولون]]+Table112[[#This Row],[الايصالات]]-Table112[[#This Row],[خصم أ ت ص]]+Table112[[#This Row],[قيمة مضافة]]</f>
        <v>0</v>
      </c>
      <c r="M278" s="1">
        <f>M277+Table112[[#This Row],[اجمالي الفاتوره]]-Table112[[#This Row],[الدفعات]]</f>
        <v>163138.15000000008</v>
      </c>
      <c r="O278" s="95"/>
    </row>
    <row r="279" spans="11:15" ht="24" customHeight="1" x14ac:dyDescent="0.3">
      <c r="K279" s="1">
        <f>Table112[[#This Row],[النولون]]+Table112[[#This Row],[الايصالات]]-Table112[[#This Row],[خصم أ ت ص]]+Table112[[#This Row],[قيمة مضافة]]</f>
        <v>0</v>
      </c>
      <c r="M279" s="1">
        <f>M278+Table112[[#This Row],[اجمالي الفاتوره]]-Table112[[#This Row],[الدفعات]]</f>
        <v>163138.15000000008</v>
      </c>
      <c r="O279" s="95"/>
    </row>
    <row r="280" spans="11:15" ht="24" customHeight="1" x14ac:dyDescent="0.3">
      <c r="K280" s="1">
        <f>Table112[[#This Row],[النولون]]+Table112[[#This Row],[الايصالات]]-Table112[[#This Row],[خصم أ ت ص]]+Table112[[#This Row],[قيمة مضافة]]</f>
        <v>0</v>
      </c>
      <c r="M280" s="1">
        <f>M279+Table112[[#This Row],[اجمالي الفاتوره]]-Table112[[#This Row],[الدفعات]]</f>
        <v>163138.15000000008</v>
      </c>
      <c r="O280" s="95"/>
    </row>
    <row r="281" spans="11:15" ht="24" customHeight="1" x14ac:dyDescent="0.3">
      <c r="K281" s="1">
        <f>Table112[[#This Row],[النولون]]+Table112[[#This Row],[الايصالات]]-Table112[[#This Row],[خصم أ ت ص]]+Table112[[#This Row],[قيمة مضافة]]</f>
        <v>0</v>
      </c>
      <c r="M281" s="1">
        <f>M280+Table112[[#This Row],[اجمالي الفاتوره]]-Table112[[#This Row],[الدفعات]]</f>
        <v>163138.15000000008</v>
      </c>
      <c r="O281" s="95"/>
    </row>
    <row r="282" spans="11:15" ht="24" customHeight="1" x14ac:dyDescent="0.3">
      <c r="K282" s="1">
        <f>Table112[[#This Row],[النولون]]+Table112[[#This Row],[الايصالات]]-Table112[[#This Row],[خصم أ ت ص]]+Table112[[#This Row],[قيمة مضافة]]</f>
        <v>0</v>
      </c>
      <c r="M282" s="1">
        <f>M281+Table112[[#This Row],[اجمالي الفاتوره]]-Table112[[#This Row],[الدفعات]]</f>
        <v>163138.15000000008</v>
      </c>
      <c r="O282" s="95"/>
    </row>
    <row r="283" spans="11:15" ht="24" customHeight="1" x14ac:dyDescent="0.3">
      <c r="K283" s="1">
        <f>Table112[[#This Row],[النولون]]+Table112[[#This Row],[الايصالات]]-Table112[[#This Row],[خصم أ ت ص]]+Table112[[#This Row],[قيمة مضافة]]</f>
        <v>0</v>
      </c>
      <c r="M283" s="1">
        <f>M282+Table112[[#This Row],[اجمالي الفاتوره]]-Table112[[#This Row],[الدفعات]]</f>
        <v>163138.15000000008</v>
      </c>
      <c r="O283" s="95"/>
    </row>
    <row r="284" spans="11:15" ht="24" customHeight="1" x14ac:dyDescent="0.3">
      <c r="K284" s="1">
        <f>Table112[[#This Row],[النولون]]+Table112[[#This Row],[الايصالات]]-Table112[[#This Row],[خصم أ ت ص]]+Table112[[#This Row],[قيمة مضافة]]</f>
        <v>0</v>
      </c>
      <c r="M284" s="1">
        <f>M283+Table112[[#This Row],[اجمالي الفاتوره]]-Table112[[#This Row],[الدفعات]]</f>
        <v>163138.15000000008</v>
      </c>
      <c r="O284" s="95"/>
    </row>
    <row r="285" spans="11:15" ht="24" customHeight="1" x14ac:dyDescent="0.3">
      <c r="K285" s="1">
        <f>Table112[[#This Row],[النولون]]+Table112[[#This Row],[الايصالات]]-Table112[[#This Row],[خصم أ ت ص]]+Table112[[#This Row],[قيمة مضافة]]</f>
        <v>0</v>
      </c>
      <c r="M285" s="1">
        <f>M284+Table112[[#This Row],[اجمالي الفاتوره]]-Table112[[#This Row],[الدفعات]]</f>
        <v>163138.15000000008</v>
      </c>
      <c r="O285" s="95"/>
    </row>
    <row r="286" spans="11:15" ht="24" customHeight="1" x14ac:dyDescent="0.3">
      <c r="K286" s="1">
        <f>Table112[[#This Row],[النولون]]+Table112[[#This Row],[الايصالات]]-Table112[[#This Row],[خصم أ ت ص]]+Table112[[#This Row],[قيمة مضافة]]</f>
        <v>0</v>
      </c>
      <c r="M286" s="1">
        <f>M285+Table112[[#This Row],[اجمالي الفاتوره]]-Table112[[#This Row],[الدفعات]]</f>
        <v>163138.15000000008</v>
      </c>
      <c r="O286" s="95"/>
    </row>
    <row r="287" spans="11:15" ht="24" customHeight="1" x14ac:dyDescent="0.3">
      <c r="K287" s="1">
        <f>Table112[[#This Row],[النولون]]+Table112[[#This Row],[الايصالات]]-Table112[[#This Row],[خصم أ ت ص]]+Table112[[#This Row],[قيمة مضافة]]</f>
        <v>0</v>
      </c>
      <c r="M287" s="1">
        <f>M286+Table112[[#This Row],[اجمالي الفاتوره]]-Table112[[#This Row],[الدفعات]]</f>
        <v>163138.15000000008</v>
      </c>
      <c r="O287" s="95"/>
    </row>
    <row r="288" spans="11:15" ht="24" customHeight="1" x14ac:dyDescent="0.3">
      <c r="K288" s="1">
        <f>Table112[[#This Row],[النولون]]+Table112[[#This Row],[الايصالات]]-Table112[[#This Row],[خصم أ ت ص]]+Table112[[#This Row],[قيمة مضافة]]</f>
        <v>0</v>
      </c>
      <c r="M288" s="1">
        <f>M287+Table112[[#This Row],[اجمالي الفاتوره]]-Table112[[#This Row],[الدفعات]]</f>
        <v>163138.15000000008</v>
      </c>
      <c r="O288" s="95"/>
    </row>
    <row r="289" spans="11:15" ht="24" customHeight="1" x14ac:dyDescent="0.3">
      <c r="K289" s="1">
        <f>Table112[[#This Row],[النولون]]+Table112[[#This Row],[الايصالات]]-Table112[[#This Row],[خصم أ ت ص]]+Table112[[#This Row],[قيمة مضافة]]</f>
        <v>0</v>
      </c>
      <c r="M289" s="1">
        <f>M288+Table112[[#This Row],[اجمالي الفاتوره]]-Table112[[#This Row],[الدفعات]]</f>
        <v>163138.15000000008</v>
      </c>
      <c r="O289" s="95"/>
    </row>
    <row r="290" spans="11:15" ht="24" customHeight="1" x14ac:dyDescent="0.3">
      <c r="K290" s="1">
        <f>Table112[[#This Row],[النولون]]+Table112[[#This Row],[الايصالات]]-Table112[[#This Row],[خصم أ ت ص]]+Table112[[#This Row],[قيمة مضافة]]</f>
        <v>0</v>
      </c>
      <c r="M290" s="1">
        <f>M289+Table112[[#This Row],[اجمالي الفاتوره]]-Table112[[#This Row],[الدفعات]]</f>
        <v>163138.15000000008</v>
      </c>
      <c r="O290" s="95"/>
    </row>
    <row r="291" spans="11:15" ht="24" customHeight="1" x14ac:dyDescent="0.3">
      <c r="K291" s="1">
        <f>Table112[[#This Row],[النولون]]+Table112[[#This Row],[الايصالات]]-Table112[[#This Row],[خصم أ ت ص]]+Table112[[#This Row],[قيمة مضافة]]</f>
        <v>0</v>
      </c>
      <c r="M291" s="1">
        <f>M290+Table112[[#This Row],[اجمالي الفاتوره]]-Table112[[#This Row],[الدفعات]]</f>
        <v>163138.15000000008</v>
      </c>
      <c r="O291" s="95"/>
    </row>
    <row r="292" spans="11:15" ht="24" customHeight="1" x14ac:dyDescent="0.3">
      <c r="K292" s="1">
        <f>Table112[[#This Row],[النولون]]+Table112[[#This Row],[الايصالات]]-Table112[[#This Row],[خصم أ ت ص]]+Table112[[#This Row],[قيمة مضافة]]</f>
        <v>0</v>
      </c>
      <c r="M292" s="1">
        <f>M291+Table112[[#This Row],[اجمالي الفاتوره]]-Table112[[#This Row],[الدفعات]]</f>
        <v>163138.15000000008</v>
      </c>
      <c r="O292" s="95"/>
    </row>
    <row r="293" spans="11:15" ht="24" customHeight="1" x14ac:dyDescent="0.3">
      <c r="K293" s="1">
        <f>Table112[[#This Row],[النولون]]+Table112[[#This Row],[الايصالات]]-Table112[[#This Row],[خصم أ ت ص]]+Table112[[#This Row],[قيمة مضافة]]</f>
        <v>0</v>
      </c>
      <c r="M293" s="1">
        <f>M292+Table112[[#This Row],[اجمالي الفاتوره]]-Table112[[#This Row],[الدفعات]]</f>
        <v>163138.15000000008</v>
      </c>
      <c r="O293" s="95"/>
    </row>
    <row r="294" spans="11:15" ht="24" customHeight="1" x14ac:dyDescent="0.3">
      <c r="K294" s="1">
        <f>Table112[[#This Row],[النولون]]+Table112[[#This Row],[الايصالات]]-Table112[[#This Row],[خصم أ ت ص]]+Table112[[#This Row],[قيمة مضافة]]</f>
        <v>0</v>
      </c>
      <c r="M294" s="1">
        <f>M293+Table112[[#This Row],[اجمالي الفاتوره]]-Table112[[#This Row],[الدفعات]]</f>
        <v>163138.15000000008</v>
      </c>
      <c r="O294" s="95"/>
    </row>
    <row r="295" spans="11:15" ht="24" customHeight="1" x14ac:dyDescent="0.3">
      <c r="K295" s="1">
        <f>Table112[[#This Row],[النولون]]+Table112[[#This Row],[الايصالات]]-Table112[[#This Row],[خصم أ ت ص]]+Table112[[#This Row],[قيمة مضافة]]</f>
        <v>0</v>
      </c>
      <c r="M295" s="1">
        <f>M294+Table112[[#This Row],[اجمالي الفاتوره]]-Table112[[#This Row],[الدفعات]]</f>
        <v>163138.15000000008</v>
      </c>
      <c r="O295" s="95"/>
    </row>
    <row r="296" spans="11:15" ht="24" customHeight="1" x14ac:dyDescent="0.3">
      <c r="K296" s="1">
        <f>Table112[[#This Row],[النولون]]+Table112[[#This Row],[الايصالات]]-Table112[[#This Row],[خصم أ ت ص]]+Table112[[#This Row],[قيمة مضافة]]</f>
        <v>0</v>
      </c>
      <c r="M296" s="1">
        <f>M295+Table112[[#This Row],[اجمالي الفاتوره]]-Table112[[#This Row],[الدفعات]]</f>
        <v>163138.15000000008</v>
      </c>
      <c r="O296" s="95"/>
    </row>
    <row r="297" spans="11:15" ht="24" customHeight="1" x14ac:dyDescent="0.3">
      <c r="K297" s="1">
        <f>Table112[[#This Row],[النولون]]+Table112[[#This Row],[الايصالات]]-Table112[[#This Row],[خصم أ ت ص]]+Table112[[#This Row],[قيمة مضافة]]</f>
        <v>0</v>
      </c>
      <c r="M297" s="1">
        <f>M296+Table112[[#This Row],[اجمالي الفاتوره]]-Table112[[#This Row],[الدفعات]]</f>
        <v>163138.15000000008</v>
      </c>
      <c r="O297" s="95"/>
    </row>
    <row r="298" spans="11:15" ht="24" customHeight="1" x14ac:dyDescent="0.3">
      <c r="K298" s="1">
        <f>Table112[[#This Row],[النولون]]+Table112[[#This Row],[الايصالات]]-Table112[[#This Row],[خصم أ ت ص]]+Table112[[#This Row],[قيمة مضافة]]</f>
        <v>0</v>
      </c>
      <c r="M298" s="1">
        <f>M297+Table112[[#This Row],[اجمالي الفاتوره]]-Table112[[#This Row],[الدفعات]]</f>
        <v>163138.15000000008</v>
      </c>
      <c r="O298" s="95"/>
    </row>
    <row r="299" spans="11:15" ht="24" customHeight="1" x14ac:dyDescent="0.3">
      <c r="K299" s="1">
        <f>Table112[[#This Row],[النولون]]+Table112[[#This Row],[الايصالات]]-Table112[[#This Row],[خصم أ ت ص]]+Table112[[#This Row],[قيمة مضافة]]</f>
        <v>0</v>
      </c>
      <c r="M299" s="1">
        <f>M298+Table112[[#This Row],[اجمالي الفاتوره]]-Table112[[#This Row],[الدفعات]]</f>
        <v>163138.15000000008</v>
      </c>
      <c r="O299" s="95"/>
    </row>
    <row r="300" spans="11:15" ht="24" customHeight="1" x14ac:dyDescent="0.3">
      <c r="K300" s="1">
        <f>Table112[[#This Row],[النولون]]+Table112[[#This Row],[الايصالات]]-Table112[[#This Row],[خصم أ ت ص]]+Table112[[#This Row],[قيمة مضافة]]</f>
        <v>0</v>
      </c>
      <c r="M300" s="1">
        <f>M299+Table112[[#This Row],[اجمالي الفاتوره]]-Table112[[#This Row],[الدفعات]]</f>
        <v>163138.15000000008</v>
      </c>
      <c r="O300" s="95"/>
    </row>
    <row r="301" spans="11:15" ht="24" customHeight="1" x14ac:dyDescent="0.3">
      <c r="K301" s="1">
        <f>Table112[[#This Row],[النولون]]+Table112[[#This Row],[الايصالات]]-Table112[[#This Row],[خصم أ ت ص]]+Table112[[#This Row],[قيمة مضافة]]</f>
        <v>0</v>
      </c>
      <c r="M301" s="1">
        <f>M300+Table112[[#This Row],[اجمالي الفاتوره]]-Table112[[#This Row],[الدفعات]]</f>
        <v>163138.15000000008</v>
      </c>
      <c r="O301" s="95"/>
    </row>
    <row r="302" spans="11:15" ht="24" customHeight="1" x14ac:dyDescent="0.3">
      <c r="K302" s="1">
        <f>Table112[[#This Row],[النولون]]+Table112[[#This Row],[الايصالات]]-Table112[[#This Row],[خصم أ ت ص]]+Table112[[#This Row],[قيمة مضافة]]</f>
        <v>0</v>
      </c>
      <c r="M302" s="1">
        <f>M301+Table112[[#This Row],[اجمالي الفاتوره]]-Table112[[#This Row],[الدفعات]]</f>
        <v>163138.15000000008</v>
      </c>
      <c r="O302" s="95"/>
    </row>
    <row r="303" spans="11:15" ht="24" customHeight="1" x14ac:dyDescent="0.3">
      <c r="K303" s="1">
        <f>Table112[[#This Row],[النولون]]+Table112[[#This Row],[الايصالات]]-Table112[[#This Row],[خصم أ ت ص]]+Table112[[#This Row],[قيمة مضافة]]</f>
        <v>0</v>
      </c>
      <c r="M303" s="1">
        <f>M302+Table112[[#This Row],[اجمالي الفاتوره]]-Table112[[#This Row],[الدفعات]]</f>
        <v>163138.15000000008</v>
      </c>
      <c r="O303" s="95"/>
    </row>
    <row r="304" spans="11:15" ht="24" customHeight="1" x14ac:dyDescent="0.3">
      <c r="K304" s="1">
        <f>Table112[[#This Row],[النولون]]+Table112[[#This Row],[الايصالات]]-Table112[[#This Row],[خصم أ ت ص]]+Table112[[#This Row],[قيمة مضافة]]</f>
        <v>0</v>
      </c>
      <c r="M304" s="1">
        <f>M303+Table112[[#This Row],[اجمالي الفاتوره]]-Table112[[#This Row],[الدفعات]]</f>
        <v>163138.15000000008</v>
      </c>
      <c r="O304" s="95"/>
    </row>
    <row r="305" spans="11:15" ht="24" customHeight="1" x14ac:dyDescent="0.3">
      <c r="K305" s="1">
        <f>Table112[[#This Row],[النولون]]+Table112[[#This Row],[الايصالات]]-Table112[[#This Row],[خصم أ ت ص]]+Table112[[#This Row],[قيمة مضافة]]</f>
        <v>0</v>
      </c>
      <c r="M305" s="1">
        <f>M304+Table112[[#This Row],[اجمالي الفاتوره]]-Table112[[#This Row],[الدفعات]]</f>
        <v>163138.15000000008</v>
      </c>
      <c r="O305" s="95"/>
    </row>
    <row r="306" spans="11:15" ht="24" customHeight="1" x14ac:dyDescent="0.3">
      <c r="K306" s="1">
        <f>Table112[[#This Row],[النولون]]+Table112[[#This Row],[الايصالات]]-Table112[[#This Row],[خصم أ ت ص]]+Table112[[#This Row],[قيمة مضافة]]</f>
        <v>0</v>
      </c>
      <c r="M306" s="1">
        <f>M305+Table112[[#This Row],[اجمالي الفاتوره]]-Table112[[#This Row],[الدفعات]]</f>
        <v>163138.15000000008</v>
      </c>
      <c r="O306" s="95"/>
    </row>
    <row r="307" spans="11:15" ht="24" customHeight="1" x14ac:dyDescent="0.3">
      <c r="K307" s="1">
        <f>Table112[[#This Row],[النولون]]+Table112[[#This Row],[الايصالات]]-Table112[[#This Row],[خصم أ ت ص]]+Table112[[#This Row],[قيمة مضافة]]</f>
        <v>0</v>
      </c>
      <c r="M307" s="1">
        <f>M306+Table112[[#This Row],[اجمالي الفاتوره]]-Table112[[#This Row],[الدفعات]]</f>
        <v>163138.15000000008</v>
      </c>
      <c r="O307" s="95"/>
    </row>
    <row r="308" spans="11:15" ht="24" customHeight="1" x14ac:dyDescent="0.3">
      <c r="K308" s="1">
        <f>Table112[[#This Row],[النولون]]+Table112[[#This Row],[الايصالات]]-Table112[[#This Row],[خصم أ ت ص]]+Table112[[#This Row],[قيمة مضافة]]</f>
        <v>0</v>
      </c>
      <c r="M308" s="1">
        <f>M307+Table112[[#This Row],[اجمالي الفاتوره]]-Table112[[#This Row],[الدفعات]]</f>
        <v>163138.15000000008</v>
      </c>
      <c r="O308" s="95"/>
    </row>
    <row r="309" spans="11:15" ht="24" customHeight="1" x14ac:dyDescent="0.3">
      <c r="K309" s="1">
        <f>Table112[[#This Row],[النولون]]+Table112[[#This Row],[الايصالات]]-Table112[[#This Row],[خصم أ ت ص]]+Table112[[#This Row],[قيمة مضافة]]</f>
        <v>0</v>
      </c>
      <c r="M309" s="1">
        <f>M308+Table112[[#This Row],[اجمالي الفاتوره]]-Table112[[#This Row],[الدفعات]]</f>
        <v>163138.15000000008</v>
      </c>
      <c r="O309" s="95"/>
    </row>
    <row r="310" spans="11:15" ht="24" customHeight="1" x14ac:dyDescent="0.3">
      <c r="K310" s="1">
        <f>Table112[[#This Row],[النولون]]+Table112[[#This Row],[الايصالات]]-Table112[[#This Row],[خصم أ ت ص]]+Table112[[#This Row],[قيمة مضافة]]</f>
        <v>0</v>
      </c>
      <c r="M310" s="1">
        <f>M309+Table112[[#This Row],[اجمالي الفاتوره]]-Table112[[#This Row],[الدفعات]]</f>
        <v>163138.15000000008</v>
      </c>
      <c r="O310" s="95"/>
    </row>
    <row r="311" spans="11:15" ht="24" customHeight="1" x14ac:dyDescent="0.3">
      <c r="K311" s="1">
        <f>Table112[[#This Row],[النولون]]+Table112[[#This Row],[الايصالات]]-Table112[[#This Row],[خصم أ ت ص]]+Table112[[#This Row],[قيمة مضافة]]</f>
        <v>0</v>
      </c>
      <c r="M311" s="1">
        <f>M310+Table112[[#This Row],[اجمالي الفاتوره]]-Table112[[#This Row],[الدفعات]]</f>
        <v>163138.15000000008</v>
      </c>
      <c r="O311" s="95"/>
    </row>
    <row r="312" spans="11:15" ht="24" customHeight="1" x14ac:dyDescent="0.3">
      <c r="K312" s="1">
        <f>Table112[[#This Row],[النولون]]+Table112[[#This Row],[الايصالات]]-Table112[[#This Row],[خصم أ ت ص]]+Table112[[#This Row],[قيمة مضافة]]</f>
        <v>0</v>
      </c>
      <c r="M312" s="1">
        <f>M311+Table112[[#This Row],[اجمالي الفاتوره]]-Table112[[#This Row],[الدفعات]]</f>
        <v>163138.15000000008</v>
      </c>
      <c r="O312" s="95"/>
    </row>
    <row r="313" spans="11:15" ht="24" customHeight="1" x14ac:dyDescent="0.3">
      <c r="K313" s="1">
        <f>Table112[[#This Row],[النولون]]+Table112[[#This Row],[الايصالات]]-Table112[[#This Row],[خصم أ ت ص]]+Table112[[#This Row],[قيمة مضافة]]</f>
        <v>0</v>
      </c>
      <c r="M313" s="1">
        <f>M312+Table112[[#This Row],[اجمالي الفاتوره]]-Table112[[#This Row],[الدفعات]]</f>
        <v>163138.15000000008</v>
      </c>
      <c r="O313" s="95"/>
    </row>
    <row r="314" spans="11:15" ht="24" customHeight="1" x14ac:dyDescent="0.3">
      <c r="K314" s="1">
        <f>Table112[[#This Row],[النولون]]+Table112[[#This Row],[الايصالات]]-Table112[[#This Row],[خصم أ ت ص]]+Table112[[#This Row],[قيمة مضافة]]</f>
        <v>0</v>
      </c>
      <c r="M314" s="1">
        <f>M313+Table112[[#This Row],[اجمالي الفاتوره]]-Table112[[#This Row],[الدفعات]]</f>
        <v>163138.15000000008</v>
      </c>
      <c r="O314" s="95"/>
    </row>
    <row r="315" spans="11:15" ht="24" customHeight="1" x14ac:dyDescent="0.3">
      <c r="K315" s="1">
        <f>Table112[[#This Row],[النولون]]+Table112[[#This Row],[الايصالات]]-Table112[[#This Row],[خصم أ ت ص]]+Table112[[#This Row],[قيمة مضافة]]</f>
        <v>0</v>
      </c>
      <c r="M315" s="1">
        <f>M314+Table112[[#This Row],[اجمالي الفاتوره]]-Table112[[#This Row],[الدفعات]]</f>
        <v>163138.15000000008</v>
      </c>
      <c r="O315" s="95"/>
    </row>
    <row r="316" spans="11:15" ht="24" customHeight="1" x14ac:dyDescent="0.3">
      <c r="K316" s="1">
        <f>Table112[[#This Row],[النولون]]+Table112[[#This Row],[الايصالات]]-Table112[[#This Row],[خصم أ ت ص]]+Table112[[#This Row],[قيمة مضافة]]</f>
        <v>0</v>
      </c>
      <c r="M316" s="1">
        <f>M315+Table112[[#This Row],[اجمالي الفاتوره]]-Table112[[#This Row],[الدفعات]]</f>
        <v>163138.15000000008</v>
      </c>
      <c r="O316" s="95"/>
    </row>
    <row r="317" spans="11:15" ht="24" customHeight="1" x14ac:dyDescent="0.3">
      <c r="K317" s="1">
        <f>Table112[[#This Row],[النولون]]+Table112[[#This Row],[الايصالات]]-Table112[[#This Row],[خصم أ ت ص]]+Table112[[#This Row],[قيمة مضافة]]</f>
        <v>0</v>
      </c>
      <c r="M317" s="1">
        <f>M316+Table112[[#This Row],[اجمالي الفاتوره]]-Table112[[#This Row],[الدفعات]]</f>
        <v>163138.15000000008</v>
      </c>
      <c r="O317" s="95"/>
    </row>
    <row r="318" spans="11:15" ht="24" customHeight="1" x14ac:dyDescent="0.3">
      <c r="K318" s="1">
        <f>Table112[[#This Row],[النولون]]+Table112[[#This Row],[الايصالات]]-Table112[[#This Row],[خصم أ ت ص]]+Table112[[#This Row],[قيمة مضافة]]</f>
        <v>0</v>
      </c>
      <c r="M318" s="1">
        <f>M317+Table112[[#This Row],[اجمالي الفاتوره]]-Table112[[#This Row],[الدفعات]]</f>
        <v>163138.15000000008</v>
      </c>
      <c r="O318" s="95"/>
    </row>
    <row r="319" spans="11:15" ht="24" customHeight="1" x14ac:dyDescent="0.3">
      <c r="K319" s="1">
        <f>Table112[[#This Row],[النولون]]+Table112[[#This Row],[الايصالات]]-Table112[[#This Row],[خصم أ ت ص]]+Table112[[#This Row],[قيمة مضافة]]</f>
        <v>0</v>
      </c>
      <c r="M319" s="1">
        <f>M318+Table112[[#This Row],[اجمالي الفاتوره]]-Table112[[#This Row],[الدفعات]]</f>
        <v>163138.15000000008</v>
      </c>
      <c r="O319" s="95"/>
    </row>
    <row r="320" spans="11:15" ht="24" customHeight="1" x14ac:dyDescent="0.3">
      <c r="K320" s="1">
        <f>Table112[[#This Row],[النولون]]+Table112[[#This Row],[الايصالات]]-Table112[[#This Row],[خصم أ ت ص]]+Table112[[#This Row],[قيمة مضافة]]</f>
        <v>0</v>
      </c>
      <c r="M320" s="1">
        <f>M319+Table112[[#This Row],[اجمالي الفاتوره]]-Table112[[#This Row],[الدفعات]]</f>
        <v>163138.15000000008</v>
      </c>
      <c r="O320" s="95"/>
    </row>
    <row r="321" spans="11:15" ht="24" customHeight="1" x14ac:dyDescent="0.3">
      <c r="K321" s="1">
        <f>Table112[[#This Row],[النولون]]+Table112[[#This Row],[الايصالات]]-Table112[[#This Row],[خصم أ ت ص]]+Table112[[#This Row],[قيمة مضافة]]</f>
        <v>0</v>
      </c>
      <c r="M321" s="1">
        <f>M320+Table112[[#This Row],[اجمالي الفاتوره]]-Table112[[#This Row],[الدفعات]]</f>
        <v>163138.15000000008</v>
      </c>
      <c r="O321" s="95"/>
    </row>
    <row r="322" spans="11:15" ht="24" customHeight="1" x14ac:dyDescent="0.3">
      <c r="K322" s="1">
        <f>Table112[[#This Row],[النولون]]+Table112[[#This Row],[الايصالات]]-Table112[[#This Row],[خصم أ ت ص]]+Table112[[#This Row],[قيمة مضافة]]</f>
        <v>0</v>
      </c>
      <c r="M322" s="1">
        <f>M321+Table112[[#This Row],[اجمالي الفاتوره]]-Table112[[#This Row],[الدفعات]]</f>
        <v>163138.15000000008</v>
      </c>
      <c r="O322" s="95"/>
    </row>
    <row r="323" spans="11:15" ht="24" customHeight="1" x14ac:dyDescent="0.3">
      <c r="K323" s="1">
        <f>Table112[[#This Row],[النولون]]+Table112[[#This Row],[الايصالات]]-Table112[[#This Row],[خصم أ ت ص]]+Table112[[#This Row],[قيمة مضافة]]</f>
        <v>0</v>
      </c>
      <c r="M323" s="1">
        <f>M322+Table112[[#This Row],[اجمالي الفاتوره]]-Table112[[#This Row],[الدفعات]]</f>
        <v>163138.15000000008</v>
      </c>
      <c r="O323" s="95"/>
    </row>
    <row r="324" spans="11:15" ht="24" customHeight="1" x14ac:dyDescent="0.3">
      <c r="K324" s="1">
        <f>Table112[[#This Row],[النولون]]+Table112[[#This Row],[الايصالات]]-Table112[[#This Row],[خصم أ ت ص]]+Table112[[#This Row],[قيمة مضافة]]</f>
        <v>0</v>
      </c>
      <c r="M324" s="1">
        <f>M323+Table112[[#This Row],[اجمالي الفاتوره]]-Table112[[#This Row],[الدفعات]]</f>
        <v>163138.15000000008</v>
      </c>
      <c r="O324" s="95"/>
    </row>
    <row r="325" spans="11:15" ht="24" customHeight="1" x14ac:dyDescent="0.3">
      <c r="K325" s="1">
        <f>Table112[[#This Row],[النولون]]+Table112[[#This Row],[الايصالات]]-Table112[[#This Row],[خصم أ ت ص]]+Table112[[#This Row],[قيمة مضافة]]</f>
        <v>0</v>
      </c>
      <c r="M325" s="1">
        <f>M324+Table112[[#This Row],[اجمالي الفاتوره]]-Table112[[#This Row],[الدفعات]]</f>
        <v>163138.15000000008</v>
      </c>
      <c r="O325" s="95"/>
    </row>
    <row r="326" spans="11:15" ht="24" customHeight="1" x14ac:dyDescent="0.3">
      <c r="K326" s="1">
        <f>Table112[[#This Row],[النولون]]+Table112[[#This Row],[الايصالات]]-Table112[[#This Row],[خصم أ ت ص]]+Table112[[#This Row],[قيمة مضافة]]</f>
        <v>0</v>
      </c>
      <c r="M326" s="1">
        <f>M325+Table112[[#This Row],[اجمالي الفاتوره]]-Table112[[#This Row],[الدفعات]]</f>
        <v>163138.15000000008</v>
      </c>
      <c r="O326" s="95"/>
    </row>
    <row r="327" spans="11:15" ht="24" customHeight="1" x14ac:dyDescent="0.3">
      <c r="K327" s="1">
        <f>Table112[[#This Row],[النولون]]+Table112[[#This Row],[الايصالات]]-Table112[[#This Row],[خصم أ ت ص]]+Table112[[#This Row],[قيمة مضافة]]</f>
        <v>0</v>
      </c>
      <c r="M327" s="1">
        <f>M326+Table112[[#This Row],[اجمالي الفاتوره]]-Table112[[#This Row],[الدفعات]]</f>
        <v>163138.15000000008</v>
      </c>
      <c r="O327" s="95"/>
    </row>
    <row r="328" spans="11:15" ht="24" customHeight="1" x14ac:dyDescent="0.3">
      <c r="K328" s="1">
        <f>Table112[[#This Row],[النولون]]+Table112[[#This Row],[الايصالات]]-Table112[[#This Row],[خصم أ ت ص]]+Table112[[#This Row],[قيمة مضافة]]</f>
        <v>0</v>
      </c>
      <c r="M328" s="1">
        <f>M327+Table112[[#This Row],[اجمالي الفاتوره]]-Table112[[#This Row],[الدفعات]]</f>
        <v>163138.15000000008</v>
      </c>
      <c r="O328" s="95"/>
    </row>
    <row r="329" spans="11:15" ht="24" customHeight="1" x14ac:dyDescent="0.3">
      <c r="K329" s="1">
        <f>Table112[[#This Row],[النولون]]+Table112[[#This Row],[الايصالات]]-Table112[[#This Row],[خصم أ ت ص]]+Table112[[#This Row],[قيمة مضافة]]</f>
        <v>0</v>
      </c>
      <c r="M329" s="1">
        <f>M328+Table112[[#This Row],[اجمالي الفاتوره]]-Table112[[#This Row],[الدفعات]]</f>
        <v>163138.15000000008</v>
      </c>
      <c r="O329" s="95"/>
    </row>
    <row r="330" spans="11:15" ht="24" customHeight="1" x14ac:dyDescent="0.3">
      <c r="K330" s="1">
        <f>Table112[[#This Row],[النولون]]+Table112[[#This Row],[الايصالات]]-Table112[[#This Row],[خصم أ ت ص]]+Table112[[#This Row],[قيمة مضافة]]</f>
        <v>0</v>
      </c>
      <c r="M330" s="1">
        <f>M329+Table112[[#This Row],[اجمالي الفاتوره]]-Table112[[#This Row],[الدفعات]]</f>
        <v>163138.15000000008</v>
      </c>
      <c r="O330" s="95"/>
    </row>
    <row r="331" spans="11:15" ht="24" customHeight="1" x14ac:dyDescent="0.3">
      <c r="K331" s="1">
        <f>Table112[[#This Row],[النولون]]+Table112[[#This Row],[الايصالات]]-Table112[[#This Row],[خصم أ ت ص]]+Table112[[#This Row],[قيمة مضافة]]</f>
        <v>0</v>
      </c>
      <c r="M331" s="1">
        <f>M330+Table112[[#This Row],[اجمالي الفاتوره]]-Table112[[#This Row],[الدفعات]]</f>
        <v>163138.15000000008</v>
      </c>
      <c r="O331" s="95"/>
    </row>
    <row r="332" spans="11:15" ht="24" customHeight="1" x14ac:dyDescent="0.3">
      <c r="K332" s="1">
        <f>Table112[[#This Row],[النولون]]+Table112[[#This Row],[الايصالات]]-Table112[[#This Row],[خصم أ ت ص]]+Table112[[#This Row],[قيمة مضافة]]</f>
        <v>0</v>
      </c>
      <c r="M332" s="1">
        <f>M331+Table112[[#This Row],[اجمالي الفاتوره]]-Table112[[#This Row],[الدفعات]]</f>
        <v>163138.15000000008</v>
      </c>
      <c r="O332" s="95"/>
    </row>
    <row r="333" spans="11:15" ht="24" customHeight="1" x14ac:dyDescent="0.3">
      <c r="K333" s="1">
        <f>Table112[[#This Row],[النولون]]+Table112[[#This Row],[الايصالات]]-Table112[[#This Row],[خصم أ ت ص]]+Table112[[#This Row],[قيمة مضافة]]</f>
        <v>0</v>
      </c>
      <c r="M333" s="1">
        <f>M332+Table112[[#This Row],[اجمالي الفاتوره]]-Table112[[#This Row],[الدفعات]]</f>
        <v>163138.15000000008</v>
      </c>
      <c r="O333" s="95"/>
    </row>
    <row r="334" spans="11:15" ht="24" customHeight="1" x14ac:dyDescent="0.3">
      <c r="K334" s="1">
        <f>Table112[[#This Row],[النولون]]+Table112[[#This Row],[الايصالات]]-Table112[[#This Row],[خصم أ ت ص]]+Table112[[#This Row],[قيمة مضافة]]</f>
        <v>0</v>
      </c>
      <c r="M334" s="1">
        <f>M333+Table112[[#This Row],[اجمالي الفاتوره]]-Table112[[#This Row],[الدفعات]]</f>
        <v>163138.15000000008</v>
      </c>
      <c r="O334" s="95"/>
    </row>
    <row r="335" spans="11:15" ht="24" customHeight="1" x14ac:dyDescent="0.3">
      <c r="K335" s="1">
        <f>Table112[[#This Row],[النولون]]+Table112[[#This Row],[الايصالات]]-Table112[[#This Row],[خصم أ ت ص]]+Table112[[#This Row],[قيمة مضافة]]</f>
        <v>0</v>
      </c>
      <c r="M335" s="1">
        <f>M334+Table112[[#This Row],[اجمالي الفاتوره]]-Table112[[#This Row],[الدفعات]]</f>
        <v>163138.15000000008</v>
      </c>
      <c r="O335" s="95"/>
    </row>
  </sheetData>
  <phoneticPr fontId="2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338"/>
  <sheetViews>
    <sheetView rightToLeft="1" zoomScaleNormal="100" workbookViewId="0">
      <selection activeCell="D19" sqref="D6:D19"/>
    </sheetView>
  </sheetViews>
  <sheetFormatPr defaultColWidth="9.109375" defaultRowHeight="23.25" customHeight="1" x14ac:dyDescent="0.3"/>
  <cols>
    <col min="1" max="1" width="5.77734375" style="6" customWidth="1"/>
    <col min="2" max="2" width="5.44140625" style="1" customWidth="1"/>
    <col min="3" max="3" width="11" style="1" customWidth="1"/>
    <col min="4" max="4" width="15.109375" style="1" customWidth="1"/>
    <col min="5" max="5" width="11.21875" style="1" customWidth="1"/>
    <col min="6" max="6" width="13.33203125" style="1" customWidth="1"/>
    <col min="7" max="7" width="11.88671875" style="1" customWidth="1"/>
    <col min="8" max="8" width="11.6640625" style="1" customWidth="1"/>
    <col min="9" max="9" width="8.33203125" style="1" customWidth="1"/>
    <col min="10" max="10" width="8.21875" style="1" customWidth="1"/>
    <col min="11" max="11" width="10.77734375" style="1" customWidth="1"/>
    <col min="12" max="12" width="13.5546875" style="1" customWidth="1"/>
    <col min="13" max="13" width="12.77734375" style="1" customWidth="1"/>
    <col min="14" max="14" width="15.21875" style="1" customWidth="1"/>
    <col min="15" max="16384" width="9.109375" style="1"/>
  </cols>
  <sheetData>
    <row r="1" spans="1:15" ht="27.75" customHeight="1" x14ac:dyDescent="0.3">
      <c r="A1" s="6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23.25" customHeight="1" x14ac:dyDescent="0.3">
      <c r="C2" s="2"/>
      <c r="L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" s="1">
        <f>70019.61-35000</f>
        <v>35019.61</v>
      </c>
    </row>
    <row r="3" spans="1:15" ht="23.25" customHeight="1" x14ac:dyDescent="0.3">
      <c r="B3" s="1">
        <v>1</v>
      </c>
      <c r="C3" s="2" t="s">
        <v>135</v>
      </c>
      <c r="D3" s="1" t="s">
        <v>137</v>
      </c>
      <c r="E3" s="1" t="s">
        <v>138</v>
      </c>
      <c r="F3" s="1">
        <v>531519</v>
      </c>
      <c r="G3" s="1" t="s">
        <v>120</v>
      </c>
      <c r="H3" s="1">
        <v>14500</v>
      </c>
      <c r="K3" s="1">
        <f>25*2+560+75.47+393.98+250+810</f>
        <v>2139.4499999999998</v>
      </c>
      <c r="L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16639.45</v>
      </c>
      <c r="N3" s="1">
        <f>N2+Table1181920231030313235383940414811151820284349[[#This Row],[اجمالي الفاتوره]]-Table1181920231030313235383940414811151820284349[[#This Row],[الدفعات]]</f>
        <v>51659.06</v>
      </c>
    </row>
    <row r="4" spans="1:15" ht="23.25" customHeight="1" x14ac:dyDescent="0.3">
      <c r="A4" s="42"/>
      <c r="B4" s="1">
        <v>2</v>
      </c>
      <c r="C4" s="2" t="s">
        <v>187</v>
      </c>
      <c r="D4" s="1" t="s">
        <v>197</v>
      </c>
      <c r="E4" s="1" t="s">
        <v>96</v>
      </c>
      <c r="F4" s="1">
        <v>13964</v>
      </c>
      <c r="G4" s="1" t="s">
        <v>184</v>
      </c>
      <c r="H4" s="1">
        <f>6*13850+14850</f>
        <v>97950</v>
      </c>
      <c r="K4" s="1">
        <f>1135*7+105.79*5+68.08+397.15*2+549.16+708.04*2+747.76+394.32+1197</f>
        <v>13640.65</v>
      </c>
      <c r="L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111590.65</v>
      </c>
      <c r="N4" s="1">
        <f>N3+Table1181920231030313235383940414811151820284349[[#This Row],[اجمالي الفاتوره]]-Table1181920231030313235383940414811151820284349[[#This Row],[الدفعات]]</f>
        <v>163249.71</v>
      </c>
    </row>
    <row r="5" spans="1:15" ht="23.25" customHeight="1" x14ac:dyDescent="0.3">
      <c r="B5" s="1">
        <v>3</v>
      </c>
      <c r="C5" s="2" t="s">
        <v>237</v>
      </c>
      <c r="D5" s="1" t="s">
        <v>243</v>
      </c>
      <c r="E5" s="1" t="s">
        <v>96</v>
      </c>
      <c r="F5" s="1">
        <v>23605</v>
      </c>
      <c r="G5" s="1" t="s">
        <v>121</v>
      </c>
      <c r="H5" s="1">
        <v>13850</v>
      </c>
      <c r="K5" s="1">
        <f>1105+271.91+912+3734.28</f>
        <v>6023.1900000000005</v>
      </c>
      <c r="L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19873.190000000002</v>
      </c>
      <c r="N5" s="1">
        <f>N4+Table1181920231030313235383940414811151820284349[[#This Row],[اجمالي الفاتوره]]-Table1181920231030313235383940414811151820284349[[#This Row],[الدفعات]]</f>
        <v>183122.9</v>
      </c>
    </row>
    <row r="6" spans="1:15" ht="23.25" customHeight="1" x14ac:dyDescent="0.3">
      <c r="A6" s="74"/>
      <c r="B6" s="72"/>
      <c r="C6" s="73" t="s">
        <v>311</v>
      </c>
      <c r="D6" s="72"/>
      <c r="E6" s="72"/>
      <c r="F6" s="72"/>
      <c r="G6" s="72"/>
      <c r="H6" s="72"/>
      <c r="I6" s="72"/>
      <c r="J6" s="72"/>
      <c r="K6" s="72"/>
      <c r="L6" s="72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M6" s="72">
        <v>120000</v>
      </c>
      <c r="N6" s="72">
        <f>N5+Table1181920231030313235383940414811151820284349[[#This Row],[اجمالي الفاتوره]]-Table1181920231030313235383940414811151820284349[[#This Row],[الدفعات]]</f>
        <v>63122.899999999994</v>
      </c>
    </row>
    <row r="7" spans="1:15" ht="23.25" customHeight="1" x14ac:dyDescent="0.3">
      <c r="B7" s="1">
        <v>4</v>
      </c>
      <c r="C7" s="2" t="s">
        <v>356</v>
      </c>
      <c r="D7" s="1" t="s">
        <v>363</v>
      </c>
      <c r="E7" s="1" t="s">
        <v>96</v>
      </c>
      <c r="F7" s="1">
        <v>89747</v>
      </c>
      <c r="G7" s="1" t="s">
        <v>121</v>
      </c>
      <c r="H7" s="1">
        <v>13850</v>
      </c>
      <c r="K7" s="1">
        <f>1135+109.23+190.07</f>
        <v>1434.3</v>
      </c>
      <c r="L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15284.3</v>
      </c>
      <c r="N7" s="1">
        <f>N6+Table1181920231030313235383940414811151820284349[[#This Row],[اجمالي الفاتوره]]-Table1181920231030313235383940414811151820284349[[#This Row],[الدفعات]]</f>
        <v>78407.199999999997</v>
      </c>
    </row>
    <row r="8" spans="1:15" ht="23.25" customHeight="1" x14ac:dyDescent="0.3">
      <c r="B8" s="1">
        <v>5</v>
      </c>
      <c r="C8" s="2" t="s">
        <v>356</v>
      </c>
      <c r="D8" s="1" t="s">
        <v>363</v>
      </c>
      <c r="E8" s="1" t="s">
        <v>96</v>
      </c>
      <c r="F8" s="1">
        <v>87341</v>
      </c>
      <c r="G8" s="1" t="s">
        <v>364</v>
      </c>
      <c r="H8" s="1">
        <v>14000</v>
      </c>
      <c r="K8" s="1">
        <f>4200+165.93+600</f>
        <v>4965.93</v>
      </c>
      <c r="L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18965.93</v>
      </c>
      <c r="N8" s="1">
        <f>N7+Table1181920231030313235383940414811151820284349[[#This Row],[اجمالي الفاتوره]]-Table1181920231030313235383940414811151820284349[[#This Row],[الدفعات]]</f>
        <v>97373.13</v>
      </c>
    </row>
    <row r="9" spans="1:15" ht="23.25" customHeight="1" x14ac:dyDescent="0.3">
      <c r="B9" s="1">
        <v>6</v>
      </c>
      <c r="C9" s="2" t="s">
        <v>379</v>
      </c>
      <c r="D9" s="1" t="s">
        <v>380</v>
      </c>
      <c r="E9" s="1" t="s">
        <v>381</v>
      </c>
      <c r="F9" s="20">
        <v>89879</v>
      </c>
      <c r="G9" s="1" t="s">
        <v>159</v>
      </c>
      <c r="H9" s="1">
        <v>13000</v>
      </c>
      <c r="K9" s="1">
        <f>850+560+56.61+162.74+855+200</f>
        <v>2684.35</v>
      </c>
      <c r="L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15684.35</v>
      </c>
      <c r="N9" s="1">
        <f>N8+Table1181920231030313235383940414811151820284349[[#This Row],[اجمالي الفاتوره]]-Table1181920231030313235383940414811151820284349[[#This Row],[الدفعات]]</f>
        <v>113057.48000000001</v>
      </c>
    </row>
    <row r="10" spans="1:15" ht="23.25" customHeight="1" x14ac:dyDescent="0.3">
      <c r="A10" s="74"/>
      <c r="B10" s="72"/>
      <c r="C10" s="73" t="s">
        <v>388</v>
      </c>
      <c r="D10" s="72"/>
      <c r="E10" s="72"/>
      <c r="F10" s="85"/>
      <c r="G10" s="72"/>
      <c r="H10" s="72"/>
      <c r="I10" s="72"/>
      <c r="J10" s="72"/>
      <c r="K10" s="72"/>
      <c r="L10" s="72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M10" s="72">
        <v>40000</v>
      </c>
      <c r="N10" s="72">
        <f>N9+Table1181920231030313235383940414811151820284349[[#This Row],[اجمالي الفاتوره]]-Table1181920231030313235383940414811151820284349[[#This Row],[الدفعات]]</f>
        <v>73057.48000000001</v>
      </c>
    </row>
    <row r="11" spans="1:15" ht="23.25" customHeight="1" x14ac:dyDescent="0.3">
      <c r="B11" s="1">
        <v>7</v>
      </c>
      <c r="C11" s="2">
        <v>46123</v>
      </c>
      <c r="D11" s="1" t="s">
        <v>436</v>
      </c>
      <c r="E11" s="1" t="s">
        <v>437</v>
      </c>
      <c r="F11" s="20">
        <v>0</v>
      </c>
      <c r="G11" s="1" t="s">
        <v>159</v>
      </c>
      <c r="H11" s="1">
        <v>13500</v>
      </c>
      <c r="K11" s="1">
        <f>580+145.71+1482+30</f>
        <v>2237.71</v>
      </c>
      <c r="L1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15737.71</v>
      </c>
      <c r="N11" s="1">
        <f>N10+Table1181920231030313235383940414811151820284349[[#This Row],[اجمالي الفاتوره]]-Table1181920231030313235383940414811151820284349[[#This Row],[الدفعات]]</f>
        <v>88795.19</v>
      </c>
    </row>
    <row r="12" spans="1:15" ht="23.25" customHeight="1" x14ac:dyDescent="0.3">
      <c r="B12" s="1">
        <v>8</v>
      </c>
      <c r="C12" s="2">
        <v>46144</v>
      </c>
      <c r="D12" s="1" t="s">
        <v>505</v>
      </c>
      <c r="E12" s="1" t="s">
        <v>96</v>
      </c>
      <c r="F12" s="1">
        <v>190609</v>
      </c>
      <c r="G12" s="1" t="s">
        <v>133</v>
      </c>
      <c r="H12" s="1">
        <v>20000</v>
      </c>
      <c r="K12" s="1">
        <f>4532+810+1150+1630.66+1219.8+150</f>
        <v>9492.4599999999991</v>
      </c>
      <c r="L1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29492.46</v>
      </c>
      <c r="N12" s="1">
        <f>N11+Table1181920231030313235383940414811151820284349[[#This Row],[اجمالي الفاتوره]]-Table1181920231030313235383940414811151820284349[[#This Row],[الدفعات]]</f>
        <v>118287.65</v>
      </c>
      <c r="O12" s="1">
        <f>SUM(L:L)-SUM(M:M)+N2</f>
        <v>70885.97999999988</v>
      </c>
    </row>
    <row r="13" spans="1:15" ht="23.25" customHeight="1" x14ac:dyDescent="0.3">
      <c r="A13" s="74"/>
      <c r="B13" s="72"/>
      <c r="C13" s="73">
        <v>46160</v>
      </c>
      <c r="D13" s="72"/>
      <c r="E13" s="72"/>
      <c r="F13" s="72"/>
      <c r="G13" s="72"/>
      <c r="H13" s="72"/>
      <c r="I13" s="72"/>
      <c r="J13" s="72"/>
      <c r="K13" s="72"/>
      <c r="L13" s="72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M13" s="72">
        <v>30000</v>
      </c>
      <c r="N13" s="72">
        <f>N12+Table1181920231030313235383940414811151820284349[[#This Row],[اجمالي الفاتوره]]-Table1181920231030313235383940414811151820284349[[#This Row],[الدفعات]]</f>
        <v>88287.65</v>
      </c>
    </row>
    <row r="14" spans="1:15" ht="23.25" customHeight="1" x14ac:dyDescent="0.3">
      <c r="A14" s="74"/>
      <c r="B14" s="72"/>
      <c r="C14" s="73">
        <v>46184</v>
      </c>
      <c r="D14" s="72"/>
      <c r="E14" s="72"/>
      <c r="F14" s="72"/>
      <c r="G14" s="72"/>
      <c r="H14" s="72"/>
      <c r="I14" s="72"/>
      <c r="J14" s="72"/>
      <c r="K14" s="72"/>
      <c r="L14" s="72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M14" s="72">
        <v>50000</v>
      </c>
      <c r="N14" s="72">
        <f>N13+Table1181920231030313235383940414811151820284349[[#This Row],[اجمالي الفاتوره]]-Table1181920231030313235383940414811151820284349[[#This Row],[الدفعات]]</f>
        <v>38287.649999999994</v>
      </c>
    </row>
    <row r="15" spans="1:15" ht="23.25" customHeight="1" x14ac:dyDescent="0.3">
      <c r="A15" s="74"/>
      <c r="B15" s="72"/>
      <c r="C15" s="73">
        <v>46198</v>
      </c>
      <c r="D15" s="72"/>
      <c r="E15" s="72"/>
      <c r="F15" s="72"/>
      <c r="G15" s="72"/>
      <c r="H15" s="72"/>
      <c r="I15" s="72"/>
      <c r="J15" s="72"/>
      <c r="K15" s="72"/>
      <c r="L15" s="72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M15" s="72">
        <v>20000</v>
      </c>
      <c r="N15" s="72">
        <f>N14+Table1181920231030313235383940414811151820284349[[#This Row],[اجمالي الفاتوره]]-Table1181920231030313235383940414811151820284349[[#This Row],[الدفعات]]</f>
        <v>18287.649999999994</v>
      </c>
    </row>
    <row r="16" spans="1:15" ht="23.25" customHeight="1" x14ac:dyDescent="0.3">
      <c r="C16" s="2"/>
      <c r="L1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6" s="1">
        <f>N15+Table1181920231030313235383940414811151820284349[[#This Row],[اجمالي الفاتوره]]-Table1181920231030313235383940414811151820284349[[#This Row],[الدفعات]]</f>
        <v>18287.649999999994</v>
      </c>
    </row>
    <row r="17" spans="1:14" ht="23.25" customHeight="1" x14ac:dyDescent="0.3">
      <c r="B17" s="1">
        <v>9</v>
      </c>
      <c r="C17" s="2">
        <v>46202</v>
      </c>
      <c r="D17" s="1" t="s">
        <v>197</v>
      </c>
      <c r="E17" s="1" t="s">
        <v>96</v>
      </c>
      <c r="F17" s="1">
        <v>291695</v>
      </c>
      <c r="G17" s="1" t="s">
        <v>186</v>
      </c>
      <c r="H17" s="1">
        <f>8*15300</f>
        <v>122400</v>
      </c>
      <c r="K17" s="1">
        <f>3*3000+1100+1135+1135+1135+1120+1100+1135+1135+105.79*3+157.43+181.53+333.68+822.03+333.68+328.68+604.65+457.37+333.68+336.51+1370+4220+1370+300*8+200</f>
        <v>31761.609999999997</v>
      </c>
      <c r="L1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154161.60999999999</v>
      </c>
      <c r="N17" s="1">
        <f>N16+Table1181920231030313235383940414811151820284349[[#This Row],[اجمالي الفاتوره]]-Table1181920231030313235383940414811151820284349[[#This Row],[الدفعات]]</f>
        <v>172449.25999999998</v>
      </c>
    </row>
    <row r="18" spans="1:14" ht="23.25" customHeight="1" x14ac:dyDescent="0.3">
      <c r="A18" s="74"/>
      <c r="B18" s="72"/>
      <c r="C18" s="73">
        <v>46198</v>
      </c>
      <c r="D18" s="72"/>
      <c r="E18" s="72"/>
      <c r="F18" s="72"/>
      <c r="G18" s="72"/>
      <c r="H18" s="72"/>
      <c r="I18" s="72"/>
      <c r="J18" s="72"/>
      <c r="K18" s="72"/>
      <c r="L18" s="72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M18" s="72">
        <v>120000</v>
      </c>
      <c r="N18" s="72">
        <f>N17+Table1181920231030313235383940414811151820284349[[#This Row],[اجمالي الفاتوره]]-Table1181920231030313235383940414811151820284349[[#This Row],[الدفعات]]</f>
        <v>52449.25999999998</v>
      </c>
    </row>
    <row r="19" spans="1:14" ht="23.25" customHeight="1" x14ac:dyDescent="0.3">
      <c r="B19" s="1">
        <v>10</v>
      </c>
      <c r="C19" s="2">
        <v>46208</v>
      </c>
      <c r="D19" s="1" t="s">
        <v>651</v>
      </c>
      <c r="E19" s="1" t="s">
        <v>644</v>
      </c>
      <c r="F19" s="1">
        <v>291241</v>
      </c>
      <c r="G19" s="1" t="s">
        <v>120</v>
      </c>
      <c r="H19" s="1">
        <v>16500</v>
      </c>
      <c r="K19" s="1">
        <f>580+638.52+718.2</f>
        <v>1936.72</v>
      </c>
      <c r="L1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18436.72</v>
      </c>
      <c r="N19" s="1">
        <f>N18+Table1181920231030313235383940414811151820284349[[#This Row],[اجمالي الفاتوره]]-Table1181920231030313235383940414811151820284349[[#This Row],[الدفعات]]</f>
        <v>70885.979999999981</v>
      </c>
    </row>
    <row r="20" spans="1:14" ht="23.25" customHeight="1" x14ac:dyDescent="0.3">
      <c r="C20" s="2"/>
      <c r="L2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0" s="1">
        <f>N19+Table1181920231030313235383940414811151820284349[[#This Row],[اجمالي الفاتوره]]-Table1181920231030313235383940414811151820284349[[#This Row],[الدفعات]]</f>
        <v>70885.979999999981</v>
      </c>
    </row>
    <row r="21" spans="1:14" ht="23.25" customHeight="1" x14ac:dyDescent="0.3">
      <c r="C21" s="2"/>
      <c r="L2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1" s="1">
        <f>N20+Table1181920231030313235383940414811151820284349[[#This Row],[اجمالي الفاتوره]]-Table1181920231030313235383940414811151820284349[[#This Row],[الدفعات]]</f>
        <v>70885.979999999981</v>
      </c>
    </row>
    <row r="22" spans="1:14" ht="23.25" customHeight="1" x14ac:dyDescent="0.3">
      <c r="C22" s="2"/>
      <c r="L2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2" s="1">
        <f>N21+Table1181920231030313235383940414811151820284349[[#This Row],[اجمالي الفاتوره]]-Table1181920231030313235383940414811151820284349[[#This Row],[الدفعات]]</f>
        <v>70885.979999999981</v>
      </c>
    </row>
    <row r="23" spans="1:14" ht="23.25" customHeight="1" x14ac:dyDescent="0.3">
      <c r="C23" s="2"/>
      <c r="L2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3" s="1">
        <f>N22+Table1181920231030313235383940414811151820284349[[#This Row],[اجمالي الفاتوره]]-Table1181920231030313235383940414811151820284349[[#This Row],[الدفعات]]</f>
        <v>70885.979999999981</v>
      </c>
    </row>
    <row r="24" spans="1:14" ht="23.25" customHeight="1" x14ac:dyDescent="0.3">
      <c r="L2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4" s="1">
        <f>N23+Table1181920231030313235383940414811151820284349[[#This Row],[اجمالي الفاتوره]]-Table1181920231030313235383940414811151820284349[[#This Row],[الدفعات]]</f>
        <v>70885.979999999981</v>
      </c>
    </row>
    <row r="25" spans="1:14" ht="23.25" customHeight="1" x14ac:dyDescent="0.3">
      <c r="L2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5" s="1">
        <f>N24+Table1181920231030313235383940414811151820284349[[#This Row],[اجمالي الفاتوره]]-Table1181920231030313235383940414811151820284349[[#This Row],[الدفعات]]</f>
        <v>70885.979999999981</v>
      </c>
    </row>
    <row r="26" spans="1:14" ht="23.25" customHeight="1" x14ac:dyDescent="0.3">
      <c r="C26" s="2"/>
      <c r="L2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6" s="1">
        <f>N25+Table1181920231030313235383940414811151820284349[[#This Row],[اجمالي الفاتوره]]-Table1181920231030313235383940414811151820284349[[#This Row],[الدفعات]]</f>
        <v>70885.979999999981</v>
      </c>
    </row>
    <row r="27" spans="1:14" ht="23.25" customHeight="1" x14ac:dyDescent="0.3">
      <c r="C27" s="2"/>
      <c r="L2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7" s="1">
        <f>N26+Table1181920231030313235383940414811151820284349[[#This Row],[اجمالي الفاتوره]]-Table1181920231030313235383940414811151820284349[[#This Row],[الدفعات]]</f>
        <v>70885.979999999981</v>
      </c>
    </row>
    <row r="28" spans="1:14" ht="23.25" customHeight="1" x14ac:dyDescent="0.3">
      <c r="C28" s="2"/>
      <c r="L2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8" s="1">
        <f>N27+Table1181920231030313235383940414811151820284349[[#This Row],[اجمالي الفاتوره]]-Table1181920231030313235383940414811151820284349[[#This Row],[الدفعات]]</f>
        <v>70885.979999999981</v>
      </c>
    </row>
    <row r="29" spans="1:14" ht="23.25" customHeight="1" x14ac:dyDescent="0.3">
      <c r="C29" s="2"/>
      <c r="L2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9" s="1">
        <f>N28+Table1181920231030313235383940414811151820284349[[#This Row],[اجمالي الفاتوره]]-Table1181920231030313235383940414811151820284349[[#This Row],[الدفعات]]</f>
        <v>70885.979999999981</v>
      </c>
    </row>
    <row r="30" spans="1:14" ht="23.25" customHeight="1" x14ac:dyDescent="0.3">
      <c r="L3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0" s="1">
        <f>N29+Table1181920231030313235383940414811151820284349[[#This Row],[اجمالي الفاتوره]]-Table1181920231030313235383940414811151820284349[[#This Row],[الدفعات]]</f>
        <v>70885.979999999981</v>
      </c>
    </row>
    <row r="31" spans="1:14" ht="23.25" customHeight="1" x14ac:dyDescent="0.3">
      <c r="C31" s="2"/>
      <c r="L3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1" s="1">
        <f>N30+Table1181920231030313235383940414811151820284349[[#This Row],[اجمالي الفاتوره]]-Table1181920231030313235383940414811151820284349[[#This Row],[الدفعات]]</f>
        <v>70885.979999999981</v>
      </c>
    </row>
    <row r="32" spans="1:14" ht="23.25" customHeight="1" x14ac:dyDescent="0.3">
      <c r="L3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2" s="1">
        <f>N31+Table1181920231030313235383940414811151820284349[[#This Row],[اجمالي الفاتوره]]-Table1181920231030313235383940414811151820284349[[#This Row],[الدفعات]]</f>
        <v>70885.979999999981</v>
      </c>
    </row>
    <row r="33" spans="3:14" ht="23.25" customHeight="1" x14ac:dyDescent="0.3">
      <c r="L3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3" s="1">
        <f>N32+Table1181920231030313235383940414811151820284349[[#This Row],[اجمالي الفاتوره]]-Table1181920231030313235383940414811151820284349[[#This Row],[الدفعات]]</f>
        <v>70885.979999999981</v>
      </c>
    </row>
    <row r="34" spans="3:14" ht="23.25" customHeight="1" x14ac:dyDescent="0.3">
      <c r="L3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4" s="1">
        <f>N33+Table1181920231030313235383940414811151820284349[[#This Row],[اجمالي الفاتوره]]-Table1181920231030313235383940414811151820284349[[#This Row],[الدفعات]]</f>
        <v>70885.979999999981</v>
      </c>
    </row>
    <row r="35" spans="3:14" ht="23.25" customHeight="1" x14ac:dyDescent="0.3">
      <c r="C35" s="2"/>
      <c r="D35" s="2"/>
      <c r="L3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5" s="1">
        <f>N34+Table1181920231030313235383940414811151820284349[[#This Row],[اجمالي الفاتوره]]-Table1181920231030313235383940414811151820284349[[#This Row],[الدفعات]]</f>
        <v>70885.979999999981</v>
      </c>
    </row>
    <row r="36" spans="3:14" ht="23.25" customHeight="1" x14ac:dyDescent="0.3">
      <c r="L3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6" s="1">
        <f>N35+Table1181920231030313235383940414811151820284349[[#This Row],[اجمالي الفاتوره]]-Table1181920231030313235383940414811151820284349[[#This Row],[الدفعات]]</f>
        <v>70885.979999999981</v>
      </c>
    </row>
    <row r="37" spans="3:14" ht="23.25" customHeight="1" x14ac:dyDescent="0.3">
      <c r="L3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7" s="1">
        <f>N36+Table1181920231030313235383940414811151820284349[[#This Row],[اجمالي الفاتوره]]-Table1181920231030313235383940414811151820284349[[#This Row],[الدفعات]]</f>
        <v>70885.979999999981</v>
      </c>
    </row>
    <row r="38" spans="3:14" ht="23.25" customHeight="1" x14ac:dyDescent="0.3">
      <c r="L3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8" s="1">
        <f>N37+Table1181920231030313235383940414811151820284349[[#This Row],[اجمالي الفاتوره]]-Table1181920231030313235383940414811151820284349[[#This Row],[الدفعات]]</f>
        <v>70885.979999999981</v>
      </c>
    </row>
    <row r="39" spans="3:14" ht="23.25" customHeight="1" x14ac:dyDescent="0.3">
      <c r="L3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9" s="1">
        <f>N38+Table1181920231030313235383940414811151820284349[[#This Row],[اجمالي الفاتوره]]-Table1181920231030313235383940414811151820284349[[#This Row],[الدفعات]]</f>
        <v>70885.979999999981</v>
      </c>
    </row>
    <row r="40" spans="3:14" ht="23.25" customHeight="1" x14ac:dyDescent="0.3">
      <c r="L4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40" s="1">
        <f>N39+Table1181920231030313235383940414811151820284349[[#This Row],[اجمالي الفاتوره]]-Table1181920231030313235383940414811151820284349[[#This Row],[الدفعات]]</f>
        <v>70885.979999999981</v>
      </c>
    </row>
    <row r="41" spans="3:14" ht="23.25" customHeight="1" x14ac:dyDescent="0.3">
      <c r="L4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41" s="1">
        <f>N40+Table1181920231030313235383940414811151820284349[[#This Row],[اجمالي الفاتوره]]-Table1181920231030313235383940414811151820284349[[#This Row],[الدفعات]]</f>
        <v>70885.979999999981</v>
      </c>
    </row>
    <row r="42" spans="3:14" ht="23.25" customHeight="1" x14ac:dyDescent="0.3">
      <c r="L4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42" s="1">
        <f>N41+Table1181920231030313235383940414811151820284349[[#This Row],[اجمالي الفاتوره]]-Table1181920231030313235383940414811151820284349[[#This Row],[الدفعات]]</f>
        <v>70885.979999999981</v>
      </c>
    </row>
    <row r="43" spans="3:14" ht="23.25" customHeight="1" x14ac:dyDescent="0.3">
      <c r="L4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43" s="1">
        <f>N42+Table1181920231030313235383940414811151820284349[[#This Row],[اجمالي الفاتوره]]-Table1181920231030313235383940414811151820284349[[#This Row],[الدفعات]]</f>
        <v>70885.979999999981</v>
      </c>
    </row>
    <row r="44" spans="3:14" ht="23.25" customHeight="1" x14ac:dyDescent="0.3">
      <c r="L4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44" s="1">
        <f>N43+Table1181920231030313235383940414811151820284349[[#This Row],[اجمالي الفاتوره]]-Table1181920231030313235383940414811151820284349[[#This Row],[الدفعات]]</f>
        <v>70885.979999999981</v>
      </c>
    </row>
    <row r="45" spans="3:14" ht="23.25" customHeight="1" x14ac:dyDescent="0.3">
      <c r="L4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45" s="1">
        <f>N44+Table1181920231030313235383940414811151820284349[[#This Row],[اجمالي الفاتوره]]-Table1181920231030313235383940414811151820284349[[#This Row],[الدفعات]]</f>
        <v>70885.979999999981</v>
      </c>
    </row>
    <row r="46" spans="3:14" ht="23.25" customHeight="1" x14ac:dyDescent="0.3">
      <c r="L4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46" s="1">
        <f>N45+Table1181920231030313235383940414811151820284349[[#This Row],[اجمالي الفاتوره]]-Table1181920231030313235383940414811151820284349[[#This Row],[الدفعات]]</f>
        <v>70885.979999999981</v>
      </c>
    </row>
    <row r="47" spans="3:14" ht="23.25" customHeight="1" x14ac:dyDescent="0.3">
      <c r="L4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47" s="1">
        <f>N46+Table1181920231030313235383940414811151820284349[[#This Row],[اجمالي الفاتوره]]-Table1181920231030313235383940414811151820284349[[#This Row],[الدفعات]]</f>
        <v>70885.979999999981</v>
      </c>
    </row>
    <row r="48" spans="3:14" ht="23.25" customHeight="1" x14ac:dyDescent="0.3">
      <c r="L4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48" s="1">
        <f>N47+Table1181920231030313235383940414811151820284349[[#This Row],[اجمالي الفاتوره]]-Table1181920231030313235383940414811151820284349[[#This Row],[الدفعات]]</f>
        <v>70885.979999999981</v>
      </c>
    </row>
    <row r="49" spans="12:14" ht="23.25" customHeight="1" x14ac:dyDescent="0.3">
      <c r="L4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49" s="1">
        <f>N48+Table1181920231030313235383940414811151820284349[[#This Row],[اجمالي الفاتوره]]-Table1181920231030313235383940414811151820284349[[#This Row],[الدفعات]]</f>
        <v>70885.979999999981</v>
      </c>
    </row>
    <row r="50" spans="12:14" ht="23.25" customHeight="1" x14ac:dyDescent="0.3">
      <c r="L5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50" s="1">
        <f>N49+Table1181920231030313235383940414811151820284349[[#This Row],[اجمالي الفاتوره]]-Table1181920231030313235383940414811151820284349[[#This Row],[الدفعات]]</f>
        <v>70885.979999999981</v>
      </c>
    </row>
    <row r="51" spans="12:14" ht="23.25" customHeight="1" x14ac:dyDescent="0.3">
      <c r="L5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51" s="1">
        <f>N50+Table1181920231030313235383940414811151820284349[[#This Row],[اجمالي الفاتوره]]-Table1181920231030313235383940414811151820284349[[#This Row],[الدفعات]]</f>
        <v>70885.979999999981</v>
      </c>
    </row>
    <row r="52" spans="12:14" ht="23.25" customHeight="1" x14ac:dyDescent="0.3">
      <c r="L5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52" s="1">
        <f>N51+Table1181920231030313235383940414811151820284349[[#This Row],[اجمالي الفاتوره]]-Table1181920231030313235383940414811151820284349[[#This Row],[الدفعات]]</f>
        <v>70885.979999999981</v>
      </c>
    </row>
    <row r="53" spans="12:14" ht="23.25" customHeight="1" x14ac:dyDescent="0.3">
      <c r="L5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53" s="1">
        <f>N52+Table1181920231030313235383940414811151820284349[[#This Row],[اجمالي الفاتوره]]-Table1181920231030313235383940414811151820284349[[#This Row],[الدفعات]]</f>
        <v>70885.979999999981</v>
      </c>
    </row>
    <row r="54" spans="12:14" ht="23.25" customHeight="1" x14ac:dyDescent="0.3">
      <c r="L5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54" s="1">
        <f>N53+Table1181920231030313235383940414811151820284349[[#This Row],[اجمالي الفاتوره]]-Table1181920231030313235383940414811151820284349[[#This Row],[الدفعات]]</f>
        <v>70885.979999999981</v>
      </c>
    </row>
    <row r="55" spans="12:14" ht="23.25" customHeight="1" x14ac:dyDescent="0.3">
      <c r="L5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55" s="1">
        <f>N54+Table1181920231030313235383940414811151820284349[[#This Row],[اجمالي الفاتوره]]-Table1181920231030313235383940414811151820284349[[#This Row],[الدفعات]]</f>
        <v>70885.979999999981</v>
      </c>
    </row>
    <row r="56" spans="12:14" ht="23.25" customHeight="1" x14ac:dyDescent="0.3">
      <c r="L5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56" s="1">
        <f>N55+Table1181920231030313235383940414811151820284349[[#This Row],[اجمالي الفاتوره]]-Table1181920231030313235383940414811151820284349[[#This Row],[الدفعات]]</f>
        <v>70885.979999999981</v>
      </c>
    </row>
    <row r="57" spans="12:14" ht="23.25" customHeight="1" x14ac:dyDescent="0.3">
      <c r="L5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57" s="1">
        <f>N56+Table1181920231030313235383940414811151820284349[[#This Row],[اجمالي الفاتوره]]-Table1181920231030313235383940414811151820284349[[#This Row],[الدفعات]]</f>
        <v>70885.979999999981</v>
      </c>
    </row>
    <row r="58" spans="12:14" ht="23.25" customHeight="1" x14ac:dyDescent="0.3">
      <c r="L5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58" s="1">
        <f>N57+Table1181920231030313235383940414811151820284349[[#This Row],[اجمالي الفاتوره]]-Table1181920231030313235383940414811151820284349[[#This Row],[الدفعات]]</f>
        <v>70885.979999999981</v>
      </c>
    </row>
    <row r="59" spans="12:14" ht="23.25" customHeight="1" x14ac:dyDescent="0.3">
      <c r="L5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59" s="1">
        <f>N58+Table1181920231030313235383940414811151820284349[[#This Row],[اجمالي الفاتوره]]-Table1181920231030313235383940414811151820284349[[#This Row],[الدفعات]]</f>
        <v>70885.979999999981</v>
      </c>
    </row>
    <row r="60" spans="12:14" ht="23.25" customHeight="1" x14ac:dyDescent="0.3">
      <c r="L6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60" s="1">
        <f>N59+Table1181920231030313235383940414811151820284349[[#This Row],[اجمالي الفاتوره]]-Table1181920231030313235383940414811151820284349[[#This Row],[الدفعات]]</f>
        <v>70885.979999999981</v>
      </c>
    </row>
    <row r="61" spans="12:14" ht="23.25" customHeight="1" x14ac:dyDescent="0.3">
      <c r="L6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61" s="1">
        <f>N60+Table1181920231030313235383940414811151820284349[[#This Row],[اجمالي الفاتوره]]-Table1181920231030313235383940414811151820284349[[#This Row],[الدفعات]]</f>
        <v>70885.979999999981</v>
      </c>
    </row>
    <row r="62" spans="12:14" ht="23.25" customHeight="1" x14ac:dyDescent="0.3">
      <c r="L6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62" s="1">
        <f>N61+Table1181920231030313235383940414811151820284349[[#This Row],[اجمالي الفاتوره]]-Table1181920231030313235383940414811151820284349[[#This Row],[الدفعات]]</f>
        <v>70885.979999999981</v>
      </c>
    </row>
    <row r="63" spans="12:14" ht="23.25" customHeight="1" x14ac:dyDescent="0.3">
      <c r="L6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63" s="1">
        <f>N62+Table1181920231030313235383940414811151820284349[[#This Row],[اجمالي الفاتوره]]-Table1181920231030313235383940414811151820284349[[#This Row],[الدفعات]]</f>
        <v>70885.979999999981</v>
      </c>
    </row>
    <row r="64" spans="12:14" ht="23.25" customHeight="1" x14ac:dyDescent="0.3">
      <c r="L6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64" s="1">
        <f>N63+Table1181920231030313235383940414811151820284349[[#This Row],[اجمالي الفاتوره]]-Table1181920231030313235383940414811151820284349[[#This Row],[الدفعات]]</f>
        <v>70885.979999999981</v>
      </c>
    </row>
    <row r="65" spans="12:14" ht="23.25" customHeight="1" x14ac:dyDescent="0.3">
      <c r="L6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65" s="1">
        <f>N64+Table1181920231030313235383940414811151820284349[[#This Row],[اجمالي الفاتوره]]-Table1181920231030313235383940414811151820284349[[#This Row],[الدفعات]]</f>
        <v>70885.979999999981</v>
      </c>
    </row>
    <row r="66" spans="12:14" ht="23.25" customHeight="1" x14ac:dyDescent="0.3">
      <c r="L6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66" s="1">
        <f>N65+Table1181920231030313235383940414811151820284349[[#This Row],[اجمالي الفاتوره]]-Table1181920231030313235383940414811151820284349[[#This Row],[الدفعات]]</f>
        <v>70885.979999999981</v>
      </c>
    </row>
    <row r="67" spans="12:14" ht="23.25" customHeight="1" x14ac:dyDescent="0.3">
      <c r="L6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67" s="1">
        <f>N66+Table1181920231030313235383940414811151820284349[[#This Row],[اجمالي الفاتوره]]-Table1181920231030313235383940414811151820284349[[#This Row],[الدفعات]]</f>
        <v>70885.979999999981</v>
      </c>
    </row>
    <row r="68" spans="12:14" ht="23.25" customHeight="1" x14ac:dyDescent="0.3">
      <c r="L6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68" s="1">
        <f>N67+Table1181920231030313235383940414811151820284349[[#This Row],[اجمالي الفاتوره]]-Table1181920231030313235383940414811151820284349[[#This Row],[الدفعات]]</f>
        <v>70885.979999999981</v>
      </c>
    </row>
    <row r="69" spans="12:14" ht="23.25" customHeight="1" x14ac:dyDescent="0.3">
      <c r="L6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69" s="1">
        <f>N68+Table1181920231030313235383940414811151820284349[[#This Row],[اجمالي الفاتوره]]-Table1181920231030313235383940414811151820284349[[#This Row],[الدفعات]]</f>
        <v>70885.979999999981</v>
      </c>
    </row>
    <row r="70" spans="12:14" ht="23.25" customHeight="1" x14ac:dyDescent="0.3">
      <c r="L7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70" s="1">
        <f>N69+Table1181920231030313235383940414811151820284349[[#This Row],[اجمالي الفاتوره]]-Table1181920231030313235383940414811151820284349[[#This Row],[الدفعات]]</f>
        <v>70885.979999999981</v>
      </c>
    </row>
    <row r="71" spans="12:14" ht="23.25" customHeight="1" x14ac:dyDescent="0.3">
      <c r="L7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71" s="1">
        <f>N70+Table1181920231030313235383940414811151820284349[[#This Row],[اجمالي الفاتوره]]-Table1181920231030313235383940414811151820284349[[#This Row],[الدفعات]]</f>
        <v>70885.979999999981</v>
      </c>
    </row>
    <row r="72" spans="12:14" ht="23.25" customHeight="1" x14ac:dyDescent="0.3">
      <c r="L7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72" s="1">
        <f>N71+Table1181920231030313235383940414811151820284349[[#This Row],[اجمالي الفاتوره]]-Table1181920231030313235383940414811151820284349[[#This Row],[الدفعات]]</f>
        <v>70885.979999999981</v>
      </c>
    </row>
    <row r="73" spans="12:14" ht="23.25" customHeight="1" x14ac:dyDescent="0.3">
      <c r="L7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73" s="1">
        <f>N72+Table1181920231030313235383940414811151820284349[[#This Row],[اجمالي الفاتوره]]-Table1181920231030313235383940414811151820284349[[#This Row],[الدفعات]]</f>
        <v>70885.979999999981</v>
      </c>
    </row>
    <row r="74" spans="12:14" ht="23.25" customHeight="1" x14ac:dyDescent="0.3">
      <c r="L7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74" s="1">
        <f>N73+Table1181920231030313235383940414811151820284349[[#This Row],[اجمالي الفاتوره]]-Table1181920231030313235383940414811151820284349[[#This Row],[الدفعات]]</f>
        <v>70885.979999999981</v>
      </c>
    </row>
    <row r="75" spans="12:14" ht="23.25" customHeight="1" x14ac:dyDescent="0.3">
      <c r="L7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75" s="1">
        <f>N74+Table1181920231030313235383940414811151820284349[[#This Row],[اجمالي الفاتوره]]-Table1181920231030313235383940414811151820284349[[#This Row],[الدفعات]]</f>
        <v>70885.979999999981</v>
      </c>
    </row>
    <row r="76" spans="12:14" ht="23.25" customHeight="1" x14ac:dyDescent="0.3">
      <c r="L7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76" s="1">
        <f>N75+Table1181920231030313235383940414811151820284349[[#This Row],[اجمالي الفاتوره]]-Table1181920231030313235383940414811151820284349[[#This Row],[الدفعات]]</f>
        <v>70885.979999999981</v>
      </c>
    </row>
    <row r="77" spans="12:14" ht="23.25" customHeight="1" x14ac:dyDescent="0.3">
      <c r="L7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77" s="1">
        <f>N76+Table1181920231030313235383940414811151820284349[[#This Row],[اجمالي الفاتوره]]-Table1181920231030313235383940414811151820284349[[#This Row],[الدفعات]]</f>
        <v>70885.979999999981</v>
      </c>
    </row>
    <row r="78" spans="12:14" ht="23.25" customHeight="1" x14ac:dyDescent="0.3">
      <c r="L7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78" s="1">
        <f>N77+Table1181920231030313235383940414811151820284349[[#This Row],[اجمالي الفاتوره]]-Table1181920231030313235383940414811151820284349[[#This Row],[الدفعات]]</f>
        <v>70885.979999999981</v>
      </c>
    </row>
    <row r="79" spans="12:14" ht="23.25" customHeight="1" x14ac:dyDescent="0.3">
      <c r="L7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79" s="1">
        <f>N78+Table1181920231030313235383940414811151820284349[[#This Row],[اجمالي الفاتوره]]-Table1181920231030313235383940414811151820284349[[#This Row],[الدفعات]]</f>
        <v>70885.979999999981</v>
      </c>
    </row>
    <row r="80" spans="12:14" ht="23.25" customHeight="1" x14ac:dyDescent="0.3">
      <c r="L8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80" s="1">
        <f>N79+Table1181920231030313235383940414811151820284349[[#This Row],[اجمالي الفاتوره]]-Table1181920231030313235383940414811151820284349[[#This Row],[الدفعات]]</f>
        <v>70885.979999999981</v>
      </c>
    </row>
    <row r="81" spans="12:14" ht="23.25" customHeight="1" x14ac:dyDescent="0.3">
      <c r="L8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81" s="1">
        <f>N80+Table1181920231030313235383940414811151820284349[[#This Row],[اجمالي الفاتوره]]-Table1181920231030313235383940414811151820284349[[#This Row],[الدفعات]]</f>
        <v>70885.979999999981</v>
      </c>
    </row>
    <row r="82" spans="12:14" ht="23.25" customHeight="1" x14ac:dyDescent="0.3">
      <c r="L8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82" s="1">
        <f>N81+Table1181920231030313235383940414811151820284349[[#This Row],[اجمالي الفاتوره]]-Table1181920231030313235383940414811151820284349[[#This Row],[الدفعات]]</f>
        <v>70885.979999999981</v>
      </c>
    </row>
    <row r="83" spans="12:14" ht="23.25" customHeight="1" x14ac:dyDescent="0.3">
      <c r="L8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83" s="1">
        <f>N82+Table1181920231030313235383940414811151820284349[[#This Row],[اجمالي الفاتوره]]-Table1181920231030313235383940414811151820284349[[#This Row],[الدفعات]]</f>
        <v>70885.979999999981</v>
      </c>
    </row>
    <row r="84" spans="12:14" ht="23.25" customHeight="1" x14ac:dyDescent="0.3">
      <c r="L8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84" s="1">
        <f>N83+Table1181920231030313235383940414811151820284349[[#This Row],[اجمالي الفاتوره]]-Table1181920231030313235383940414811151820284349[[#This Row],[الدفعات]]</f>
        <v>70885.979999999981</v>
      </c>
    </row>
    <row r="85" spans="12:14" ht="23.25" customHeight="1" x14ac:dyDescent="0.3">
      <c r="L8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85" s="1">
        <f>N84+Table1181920231030313235383940414811151820284349[[#This Row],[اجمالي الفاتوره]]-Table1181920231030313235383940414811151820284349[[#This Row],[الدفعات]]</f>
        <v>70885.979999999981</v>
      </c>
    </row>
    <row r="86" spans="12:14" ht="23.25" customHeight="1" x14ac:dyDescent="0.3">
      <c r="L8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86" s="1">
        <f>N85+Table1181920231030313235383940414811151820284349[[#This Row],[اجمالي الفاتوره]]-Table1181920231030313235383940414811151820284349[[#This Row],[الدفعات]]</f>
        <v>70885.979999999981</v>
      </c>
    </row>
    <row r="87" spans="12:14" ht="23.25" customHeight="1" x14ac:dyDescent="0.3">
      <c r="L8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87" s="1">
        <f>N86+Table1181920231030313235383940414811151820284349[[#This Row],[اجمالي الفاتوره]]-Table1181920231030313235383940414811151820284349[[#This Row],[الدفعات]]</f>
        <v>70885.979999999981</v>
      </c>
    </row>
    <row r="88" spans="12:14" ht="23.25" customHeight="1" x14ac:dyDescent="0.3">
      <c r="L8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88" s="1">
        <f>N87+Table1181920231030313235383940414811151820284349[[#This Row],[اجمالي الفاتوره]]-Table1181920231030313235383940414811151820284349[[#This Row],[الدفعات]]</f>
        <v>70885.979999999981</v>
      </c>
    </row>
    <row r="89" spans="12:14" ht="23.25" customHeight="1" x14ac:dyDescent="0.3">
      <c r="L8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89" s="1">
        <f>N88+Table1181920231030313235383940414811151820284349[[#This Row],[اجمالي الفاتوره]]-Table1181920231030313235383940414811151820284349[[#This Row],[الدفعات]]</f>
        <v>70885.979999999981</v>
      </c>
    </row>
    <row r="90" spans="12:14" ht="23.25" customHeight="1" x14ac:dyDescent="0.3">
      <c r="L9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90" s="1">
        <f>N89+Table1181920231030313235383940414811151820284349[[#This Row],[اجمالي الفاتوره]]-Table1181920231030313235383940414811151820284349[[#This Row],[الدفعات]]</f>
        <v>70885.979999999981</v>
      </c>
    </row>
    <row r="91" spans="12:14" ht="23.25" customHeight="1" x14ac:dyDescent="0.3">
      <c r="L9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91" s="1">
        <f>N90+Table1181920231030313235383940414811151820284349[[#This Row],[اجمالي الفاتوره]]-Table1181920231030313235383940414811151820284349[[#This Row],[الدفعات]]</f>
        <v>70885.979999999981</v>
      </c>
    </row>
    <row r="92" spans="12:14" ht="23.25" customHeight="1" x14ac:dyDescent="0.3">
      <c r="L9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92" s="1">
        <f>N91+Table1181920231030313235383940414811151820284349[[#This Row],[اجمالي الفاتوره]]-Table1181920231030313235383940414811151820284349[[#This Row],[الدفعات]]</f>
        <v>70885.979999999981</v>
      </c>
    </row>
    <row r="93" spans="12:14" ht="23.25" customHeight="1" x14ac:dyDescent="0.3">
      <c r="L9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93" s="1">
        <f>N92+Table1181920231030313235383940414811151820284349[[#This Row],[اجمالي الفاتوره]]-Table1181920231030313235383940414811151820284349[[#This Row],[الدفعات]]</f>
        <v>70885.979999999981</v>
      </c>
    </row>
    <row r="94" spans="12:14" ht="23.25" customHeight="1" x14ac:dyDescent="0.3">
      <c r="L9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94" s="1">
        <f>N93+Table1181920231030313235383940414811151820284349[[#This Row],[اجمالي الفاتوره]]-Table1181920231030313235383940414811151820284349[[#This Row],[الدفعات]]</f>
        <v>70885.979999999981</v>
      </c>
    </row>
    <row r="95" spans="12:14" ht="23.25" customHeight="1" x14ac:dyDescent="0.3">
      <c r="L9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95" s="1">
        <f>N94+Table1181920231030313235383940414811151820284349[[#This Row],[اجمالي الفاتوره]]-Table1181920231030313235383940414811151820284349[[#This Row],[الدفعات]]</f>
        <v>70885.979999999981</v>
      </c>
    </row>
    <row r="96" spans="12:14" ht="23.25" customHeight="1" x14ac:dyDescent="0.3">
      <c r="L9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96" s="1">
        <f>N95+Table1181920231030313235383940414811151820284349[[#This Row],[اجمالي الفاتوره]]-Table1181920231030313235383940414811151820284349[[#This Row],[الدفعات]]</f>
        <v>70885.979999999981</v>
      </c>
    </row>
    <row r="97" spans="1:14" ht="23.25" customHeight="1" x14ac:dyDescent="0.3">
      <c r="L9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97" s="1">
        <f>N96+Table1181920231030313235383940414811151820284349[[#This Row],[اجمالي الفاتوره]]-Table1181920231030313235383940414811151820284349[[#This Row],[الدفعات]]</f>
        <v>70885.979999999981</v>
      </c>
    </row>
    <row r="98" spans="1:14" ht="23.25" customHeight="1" x14ac:dyDescent="0.3">
      <c r="L9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98" s="1">
        <f>N97+Table1181920231030313235383940414811151820284349[[#This Row],[اجمالي الفاتوره]]-Table1181920231030313235383940414811151820284349[[#This Row],[الدفعات]]</f>
        <v>70885.979999999981</v>
      </c>
    </row>
    <row r="99" spans="1:14" ht="23.25" customHeight="1" x14ac:dyDescent="0.3">
      <c r="L9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99" s="1">
        <f>N98+Table1181920231030313235383940414811151820284349[[#This Row],[اجمالي الفاتوره]]-Table1181920231030313235383940414811151820284349[[#This Row],[الدفعات]]</f>
        <v>70885.979999999981</v>
      </c>
    </row>
    <row r="100" spans="1:14" ht="23.25" customHeight="1" x14ac:dyDescent="0.3">
      <c r="L10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00" s="1">
        <f>N99+Table1181920231030313235383940414811151820284349[[#This Row],[اجمالي الفاتوره]]-Table1181920231030313235383940414811151820284349[[#This Row],[الدفعات]]</f>
        <v>70885.979999999981</v>
      </c>
    </row>
    <row r="101" spans="1:14" ht="23.25" customHeight="1" x14ac:dyDescent="0.3">
      <c r="L10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01" s="1">
        <f>N100+Table1181920231030313235383940414811151820284349[[#This Row],[اجمالي الفاتوره]]-Table1181920231030313235383940414811151820284349[[#This Row],[الدفعات]]</f>
        <v>70885.979999999981</v>
      </c>
    </row>
    <row r="102" spans="1:14" ht="23.25" customHeight="1" x14ac:dyDescent="0.3">
      <c r="L10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02" s="1">
        <f>N101+Table1181920231030313235383940414811151820284349[[#This Row],[اجمالي الفاتوره]]-Table1181920231030313235383940414811151820284349[[#This Row],[الدفعات]]</f>
        <v>70885.979999999981</v>
      </c>
    </row>
    <row r="103" spans="1:14" ht="23.25" customHeight="1" x14ac:dyDescent="0.3">
      <c r="L10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03" s="1">
        <f>N102+Table1181920231030313235383940414811151820284349[[#This Row],[اجمالي الفاتوره]]-Table1181920231030313235383940414811151820284349[[#This Row],[الدفعات]]</f>
        <v>70885.979999999981</v>
      </c>
    </row>
    <row r="104" spans="1:14" ht="23.25" customHeight="1" x14ac:dyDescent="0.3">
      <c r="L10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04" s="1">
        <f>N103+Table1181920231030313235383940414811151820284349[[#This Row],[اجمالي الفاتوره]]-Table1181920231030313235383940414811151820284349[[#This Row],[الدفعات]]</f>
        <v>70885.979999999981</v>
      </c>
    </row>
    <row r="105" spans="1:14" ht="23.25" customHeight="1" x14ac:dyDescent="0.3">
      <c r="A105" s="1"/>
      <c r="L10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05" s="1">
        <f>N104+Table1181920231030313235383940414811151820284349[[#This Row],[اجمالي الفاتوره]]-Table1181920231030313235383940414811151820284349[[#This Row],[الدفعات]]</f>
        <v>70885.979999999981</v>
      </c>
    </row>
    <row r="106" spans="1:14" ht="23.25" customHeight="1" x14ac:dyDescent="0.3">
      <c r="A106" s="1"/>
      <c r="L10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06" s="1">
        <f>N105+Table1181920231030313235383940414811151820284349[[#This Row],[اجمالي الفاتوره]]-Table1181920231030313235383940414811151820284349[[#This Row],[الدفعات]]</f>
        <v>70885.979999999981</v>
      </c>
    </row>
    <row r="107" spans="1:14" ht="23.25" customHeight="1" x14ac:dyDescent="0.3">
      <c r="A107" s="1"/>
      <c r="L10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07" s="1">
        <f>N106+Table1181920231030313235383940414811151820284349[[#This Row],[اجمالي الفاتوره]]-Table1181920231030313235383940414811151820284349[[#This Row],[الدفعات]]</f>
        <v>70885.979999999981</v>
      </c>
    </row>
    <row r="108" spans="1:14" ht="23.25" customHeight="1" x14ac:dyDescent="0.3">
      <c r="A108" s="1"/>
      <c r="L10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08" s="1">
        <f>N107+Table1181920231030313235383940414811151820284349[[#This Row],[اجمالي الفاتوره]]-Table1181920231030313235383940414811151820284349[[#This Row],[الدفعات]]</f>
        <v>70885.979999999981</v>
      </c>
    </row>
    <row r="109" spans="1:14" ht="23.25" customHeight="1" x14ac:dyDescent="0.3">
      <c r="A109" s="1"/>
      <c r="L10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09" s="1">
        <f>N108+Table1181920231030313235383940414811151820284349[[#This Row],[اجمالي الفاتوره]]-Table1181920231030313235383940414811151820284349[[#This Row],[الدفعات]]</f>
        <v>70885.979999999981</v>
      </c>
    </row>
    <row r="110" spans="1:14" ht="23.25" customHeight="1" x14ac:dyDescent="0.3">
      <c r="A110" s="1"/>
      <c r="L11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10" s="1">
        <f>N109+Table1181920231030313235383940414811151820284349[[#This Row],[اجمالي الفاتوره]]-Table1181920231030313235383940414811151820284349[[#This Row],[الدفعات]]</f>
        <v>70885.979999999981</v>
      </c>
    </row>
    <row r="111" spans="1:14" ht="23.25" customHeight="1" x14ac:dyDescent="0.3">
      <c r="A111" s="1"/>
      <c r="L11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11" s="1">
        <f>N110+Table1181920231030313235383940414811151820284349[[#This Row],[اجمالي الفاتوره]]-Table1181920231030313235383940414811151820284349[[#This Row],[الدفعات]]</f>
        <v>70885.979999999981</v>
      </c>
    </row>
    <row r="112" spans="1:14" ht="23.25" customHeight="1" x14ac:dyDescent="0.3">
      <c r="A112" s="1"/>
      <c r="L11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12" s="1">
        <f>N111+Table1181920231030313235383940414811151820284349[[#This Row],[اجمالي الفاتوره]]-Table1181920231030313235383940414811151820284349[[#This Row],[الدفعات]]</f>
        <v>70885.979999999981</v>
      </c>
    </row>
    <row r="113" spans="12:14" s="1" customFormat="1" ht="23.25" customHeight="1" x14ac:dyDescent="0.3">
      <c r="L11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13" s="1">
        <f>N112+Table1181920231030313235383940414811151820284349[[#This Row],[اجمالي الفاتوره]]-Table1181920231030313235383940414811151820284349[[#This Row],[الدفعات]]</f>
        <v>70885.979999999981</v>
      </c>
    </row>
    <row r="114" spans="12:14" s="1" customFormat="1" ht="23.25" customHeight="1" x14ac:dyDescent="0.3">
      <c r="L11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14" s="1">
        <f>N113+Table1181920231030313235383940414811151820284349[[#This Row],[اجمالي الفاتوره]]-Table1181920231030313235383940414811151820284349[[#This Row],[الدفعات]]</f>
        <v>70885.979999999981</v>
      </c>
    </row>
    <row r="115" spans="12:14" s="1" customFormat="1" ht="23.25" customHeight="1" x14ac:dyDescent="0.3">
      <c r="L11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15" s="1">
        <f>N114+Table1181920231030313235383940414811151820284349[[#This Row],[اجمالي الفاتوره]]-Table1181920231030313235383940414811151820284349[[#This Row],[الدفعات]]</f>
        <v>70885.979999999981</v>
      </c>
    </row>
    <row r="116" spans="12:14" s="1" customFormat="1" ht="23.25" customHeight="1" x14ac:dyDescent="0.3">
      <c r="L11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16" s="1">
        <f>N115+Table1181920231030313235383940414811151820284349[[#This Row],[اجمالي الفاتوره]]-Table1181920231030313235383940414811151820284349[[#This Row],[الدفعات]]</f>
        <v>70885.979999999981</v>
      </c>
    </row>
    <row r="117" spans="12:14" s="1" customFormat="1" ht="23.25" customHeight="1" x14ac:dyDescent="0.3">
      <c r="L11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17" s="1">
        <f>N116+Table1181920231030313235383940414811151820284349[[#This Row],[اجمالي الفاتوره]]-Table1181920231030313235383940414811151820284349[[#This Row],[الدفعات]]</f>
        <v>70885.979999999981</v>
      </c>
    </row>
    <row r="118" spans="12:14" s="1" customFormat="1" ht="23.25" customHeight="1" x14ac:dyDescent="0.3">
      <c r="L11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18" s="1">
        <f>N117+Table1181920231030313235383940414811151820284349[[#This Row],[اجمالي الفاتوره]]-Table1181920231030313235383940414811151820284349[[#This Row],[الدفعات]]</f>
        <v>70885.979999999981</v>
      </c>
    </row>
    <row r="119" spans="12:14" s="1" customFormat="1" ht="23.25" customHeight="1" x14ac:dyDescent="0.3">
      <c r="L11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19" s="1">
        <f>N118+Table1181920231030313235383940414811151820284349[[#This Row],[اجمالي الفاتوره]]-Table1181920231030313235383940414811151820284349[[#This Row],[الدفعات]]</f>
        <v>70885.979999999981</v>
      </c>
    </row>
    <row r="120" spans="12:14" s="1" customFormat="1" ht="23.25" customHeight="1" x14ac:dyDescent="0.3">
      <c r="L12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20" s="1">
        <f>N119+Table1181920231030313235383940414811151820284349[[#This Row],[اجمالي الفاتوره]]-Table1181920231030313235383940414811151820284349[[#This Row],[الدفعات]]</f>
        <v>70885.979999999981</v>
      </c>
    </row>
    <row r="121" spans="12:14" s="1" customFormat="1" ht="23.25" customHeight="1" x14ac:dyDescent="0.3">
      <c r="L12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21" s="1">
        <f>N120+Table1181920231030313235383940414811151820284349[[#This Row],[اجمالي الفاتوره]]-Table1181920231030313235383940414811151820284349[[#This Row],[الدفعات]]</f>
        <v>70885.979999999981</v>
      </c>
    </row>
    <row r="122" spans="12:14" s="1" customFormat="1" ht="23.25" customHeight="1" x14ac:dyDescent="0.3">
      <c r="L12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22" s="1">
        <f>N121+Table1181920231030313235383940414811151820284349[[#This Row],[اجمالي الفاتوره]]-Table1181920231030313235383940414811151820284349[[#This Row],[الدفعات]]</f>
        <v>70885.979999999981</v>
      </c>
    </row>
    <row r="123" spans="12:14" s="1" customFormat="1" ht="23.25" customHeight="1" x14ac:dyDescent="0.3">
      <c r="L12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23" s="1">
        <f>N122+Table1181920231030313235383940414811151820284349[[#This Row],[اجمالي الفاتوره]]-Table1181920231030313235383940414811151820284349[[#This Row],[الدفعات]]</f>
        <v>70885.979999999981</v>
      </c>
    </row>
    <row r="124" spans="12:14" s="1" customFormat="1" ht="23.25" customHeight="1" x14ac:dyDescent="0.3">
      <c r="L12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24" s="1">
        <f>N123+Table1181920231030313235383940414811151820284349[[#This Row],[اجمالي الفاتوره]]-Table1181920231030313235383940414811151820284349[[#This Row],[الدفعات]]</f>
        <v>70885.979999999981</v>
      </c>
    </row>
    <row r="125" spans="12:14" s="1" customFormat="1" ht="23.25" customHeight="1" x14ac:dyDescent="0.3">
      <c r="L12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25" s="1">
        <f>N124+Table1181920231030313235383940414811151820284349[[#This Row],[اجمالي الفاتوره]]-Table1181920231030313235383940414811151820284349[[#This Row],[الدفعات]]</f>
        <v>70885.979999999981</v>
      </c>
    </row>
    <row r="126" spans="12:14" s="1" customFormat="1" ht="23.25" customHeight="1" x14ac:dyDescent="0.3">
      <c r="L12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26" s="1">
        <f>N125+Table1181920231030313235383940414811151820284349[[#This Row],[اجمالي الفاتوره]]-Table1181920231030313235383940414811151820284349[[#This Row],[الدفعات]]</f>
        <v>70885.979999999981</v>
      </c>
    </row>
    <row r="127" spans="12:14" s="1" customFormat="1" ht="23.25" customHeight="1" x14ac:dyDescent="0.3">
      <c r="L12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27" s="1">
        <f>N126+Table1181920231030313235383940414811151820284349[[#This Row],[اجمالي الفاتوره]]-Table1181920231030313235383940414811151820284349[[#This Row],[الدفعات]]</f>
        <v>70885.979999999981</v>
      </c>
    </row>
    <row r="128" spans="12:14" s="1" customFormat="1" ht="23.25" customHeight="1" x14ac:dyDescent="0.3">
      <c r="L12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28" s="1">
        <f>N127+Table1181920231030313235383940414811151820284349[[#This Row],[اجمالي الفاتوره]]-Table1181920231030313235383940414811151820284349[[#This Row],[الدفعات]]</f>
        <v>70885.979999999981</v>
      </c>
    </row>
    <row r="129" spans="12:14" s="1" customFormat="1" ht="23.25" customHeight="1" x14ac:dyDescent="0.3">
      <c r="L12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29" s="1">
        <f>N128+Table1181920231030313235383940414811151820284349[[#This Row],[اجمالي الفاتوره]]-Table1181920231030313235383940414811151820284349[[#This Row],[الدفعات]]</f>
        <v>70885.979999999981</v>
      </c>
    </row>
    <row r="130" spans="12:14" s="1" customFormat="1" ht="23.25" customHeight="1" x14ac:dyDescent="0.3">
      <c r="L13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30" s="1">
        <f>N129+Table1181920231030313235383940414811151820284349[[#This Row],[اجمالي الفاتوره]]-Table1181920231030313235383940414811151820284349[[#This Row],[الدفعات]]</f>
        <v>70885.979999999981</v>
      </c>
    </row>
    <row r="131" spans="12:14" s="1" customFormat="1" ht="23.25" customHeight="1" x14ac:dyDescent="0.3">
      <c r="L13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31" s="1">
        <f>N130+Table1181920231030313235383940414811151820284349[[#This Row],[اجمالي الفاتوره]]-Table1181920231030313235383940414811151820284349[[#This Row],[الدفعات]]</f>
        <v>70885.979999999981</v>
      </c>
    </row>
    <row r="132" spans="12:14" s="1" customFormat="1" ht="23.25" customHeight="1" x14ac:dyDescent="0.3">
      <c r="L13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32" s="1">
        <f>N131+Table1181920231030313235383940414811151820284349[[#This Row],[اجمالي الفاتوره]]-Table1181920231030313235383940414811151820284349[[#This Row],[الدفعات]]</f>
        <v>70885.979999999981</v>
      </c>
    </row>
    <row r="133" spans="12:14" s="1" customFormat="1" ht="23.25" customHeight="1" x14ac:dyDescent="0.3">
      <c r="L13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33" s="1">
        <f>N132+Table1181920231030313235383940414811151820284349[[#This Row],[اجمالي الفاتوره]]-Table1181920231030313235383940414811151820284349[[#This Row],[الدفعات]]</f>
        <v>70885.979999999981</v>
      </c>
    </row>
    <row r="134" spans="12:14" s="1" customFormat="1" ht="23.25" customHeight="1" x14ac:dyDescent="0.3">
      <c r="L13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34" s="1">
        <f>N133+Table1181920231030313235383940414811151820284349[[#This Row],[اجمالي الفاتوره]]-Table1181920231030313235383940414811151820284349[[#This Row],[الدفعات]]</f>
        <v>70885.979999999981</v>
      </c>
    </row>
    <row r="135" spans="12:14" s="1" customFormat="1" ht="23.25" customHeight="1" x14ac:dyDescent="0.3">
      <c r="L13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35" s="1">
        <f>N134+Table1181920231030313235383940414811151820284349[[#This Row],[اجمالي الفاتوره]]-Table1181920231030313235383940414811151820284349[[#This Row],[الدفعات]]</f>
        <v>70885.979999999981</v>
      </c>
    </row>
    <row r="136" spans="12:14" s="1" customFormat="1" ht="23.25" customHeight="1" x14ac:dyDescent="0.3">
      <c r="L13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36" s="1">
        <f>N135+Table1181920231030313235383940414811151820284349[[#This Row],[اجمالي الفاتوره]]-Table1181920231030313235383940414811151820284349[[#This Row],[الدفعات]]</f>
        <v>70885.979999999981</v>
      </c>
    </row>
    <row r="137" spans="12:14" s="1" customFormat="1" ht="23.25" customHeight="1" x14ac:dyDescent="0.3">
      <c r="L13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37" s="1">
        <f>N136+Table1181920231030313235383940414811151820284349[[#This Row],[اجمالي الفاتوره]]-Table1181920231030313235383940414811151820284349[[#This Row],[الدفعات]]</f>
        <v>70885.979999999981</v>
      </c>
    </row>
    <row r="138" spans="12:14" s="1" customFormat="1" ht="23.25" customHeight="1" x14ac:dyDescent="0.3">
      <c r="L13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38" s="1">
        <f>N137+Table1181920231030313235383940414811151820284349[[#This Row],[اجمالي الفاتوره]]-Table1181920231030313235383940414811151820284349[[#This Row],[الدفعات]]</f>
        <v>70885.979999999981</v>
      </c>
    </row>
    <row r="139" spans="12:14" s="1" customFormat="1" ht="23.25" customHeight="1" x14ac:dyDescent="0.3">
      <c r="L13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39" s="1">
        <f>N138+Table1181920231030313235383940414811151820284349[[#This Row],[اجمالي الفاتوره]]-Table1181920231030313235383940414811151820284349[[#This Row],[الدفعات]]</f>
        <v>70885.979999999981</v>
      </c>
    </row>
    <row r="140" spans="12:14" s="1" customFormat="1" ht="23.25" customHeight="1" x14ac:dyDescent="0.3">
      <c r="L14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40" s="1">
        <f>N139+Table1181920231030313235383940414811151820284349[[#This Row],[اجمالي الفاتوره]]-Table1181920231030313235383940414811151820284349[[#This Row],[الدفعات]]</f>
        <v>70885.979999999981</v>
      </c>
    </row>
    <row r="141" spans="12:14" s="1" customFormat="1" ht="23.25" customHeight="1" x14ac:dyDescent="0.3">
      <c r="L14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41" s="1">
        <f>N140+Table1181920231030313235383940414811151820284349[[#This Row],[اجمالي الفاتوره]]-Table1181920231030313235383940414811151820284349[[#This Row],[الدفعات]]</f>
        <v>70885.979999999981</v>
      </c>
    </row>
    <row r="142" spans="12:14" s="1" customFormat="1" ht="23.25" customHeight="1" x14ac:dyDescent="0.3">
      <c r="L14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42" s="1">
        <f>N141+Table1181920231030313235383940414811151820284349[[#This Row],[اجمالي الفاتوره]]-Table1181920231030313235383940414811151820284349[[#This Row],[الدفعات]]</f>
        <v>70885.979999999981</v>
      </c>
    </row>
    <row r="143" spans="12:14" s="1" customFormat="1" ht="23.25" customHeight="1" x14ac:dyDescent="0.3">
      <c r="L14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43" s="1">
        <f>N142+Table1181920231030313235383940414811151820284349[[#This Row],[اجمالي الفاتوره]]-Table1181920231030313235383940414811151820284349[[#This Row],[الدفعات]]</f>
        <v>70885.979999999981</v>
      </c>
    </row>
    <row r="144" spans="12:14" s="1" customFormat="1" ht="23.25" customHeight="1" x14ac:dyDescent="0.3">
      <c r="L14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44" s="1">
        <f>N143+Table1181920231030313235383940414811151820284349[[#This Row],[اجمالي الفاتوره]]-Table1181920231030313235383940414811151820284349[[#This Row],[الدفعات]]</f>
        <v>70885.979999999981</v>
      </c>
    </row>
    <row r="145" spans="12:14" s="1" customFormat="1" ht="23.25" customHeight="1" x14ac:dyDescent="0.3">
      <c r="L14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45" s="1">
        <f>N144+Table1181920231030313235383940414811151820284349[[#This Row],[اجمالي الفاتوره]]-Table1181920231030313235383940414811151820284349[[#This Row],[الدفعات]]</f>
        <v>70885.979999999981</v>
      </c>
    </row>
    <row r="146" spans="12:14" s="1" customFormat="1" ht="23.25" customHeight="1" x14ac:dyDescent="0.3">
      <c r="L14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46" s="1">
        <f>N145+Table1181920231030313235383940414811151820284349[[#This Row],[اجمالي الفاتوره]]-Table1181920231030313235383940414811151820284349[[#This Row],[الدفعات]]</f>
        <v>70885.979999999981</v>
      </c>
    </row>
    <row r="147" spans="12:14" s="1" customFormat="1" ht="23.25" customHeight="1" x14ac:dyDescent="0.3">
      <c r="L14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47" s="1">
        <f>N146+Table1181920231030313235383940414811151820284349[[#This Row],[اجمالي الفاتوره]]-Table1181920231030313235383940414811151820284349[[#This Row],[الدفعات]]</f>
        <v>70885.979999999981</v>
      </c>
    </row>
    <row r="148" spans="12:14" s="1" customFormat="1" ht="23.25" customHeight="1" x14ac:dyDescent="0.3">
      <c r="L14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48" s="1">
        <f>N147+Table1181920231030313235383940414811151820284349[[#This Row],[اجمالي الفاتوره]]-Table1181920231030313235383940414811151820284349[[#This Row],[الدفعات]]</f>
        <v>70885.979999999981</v>
      </c>
    </row>
    <row r="149" spans="12:14" s="1" customFormat="1" ht="23.25" customHeight="1" x14ac:dyDescent="0.3">
      <c r="L14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49" s="1">
        <f>N148+Table1181920231030313235383940414811151820284349[[#This Row],[اجمالي الفاتوره]]-Table1181920231030313235383940414811151820284349[[#This Row],[الدفعات]]</f>
        <v>70885.979999999981</v>
      </c>
    </row>
    <row r="150" spans="12:14" s="1" customFormat="1" ht="23.25" customHeight="1" x14ac:dyDescent="0.3">
      <c r="L15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50" s="1">
        <f>N149+Table1181920231030313235383940414811151820284349[[#This Row],[اجمالي الفاتوره]]-Table1181920231030313235383940414811151820284349[[#This Row],[الدفعات]]</f>
        <v>70885.979999999981</v>
      </c>
    </row>
    <row r="151" spans="12:14" s="1" customFormat="1" ht="23.25" customHeight="1" x14ac:dyDescent="0.3">
      <c r="L15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51" s="1">
        <f>N150+Table1181920231030313235383940414811151820284349[[#This Row],[اجمالي الفاتوره]]-Table1181920231030313235383940414811151820284349[[#This Row],[الدفعات]]</f>
        <v>70885.979999999981</v>
      </c>
    </row>
    <row r="152" spans="12:14" s="1" customFormat="1" ht="23.25" customHeight="1" x14ac:dyDescent="0.3">
      <c r="L15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52" s="1">
        <f>N151+Table1181920231030313235383940414811151820284349[[#This Row],[اجمالي الفاتوره]]-Table1181920231030313235383940414811151820284349[[#This Row],[الدفعات]]</f>
        <v>70885.979999999981</v>
      </c>
    </row>
    <row r="153" spans="12:14" s="1" customFormat="1" ht="23.25" customHeight="1" x14ac:dyDescent="0.3">
      <c r="L15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53" s="1">
        <f>N152+Table1181920231030313235383940414811151820284349[[#This Row],[اجمالي الفاتوره]]-Table1181920231030313235383940414811151820284349[[#This Row],[الدفعات]]</f>
        <v>70885.979999999981</v>
      </c>
    </row>
    <row r="154" spans="12:14" s="1" customFormat="1" ht="23.25" customHeight="1" x14ac:dyDescent="0.3">
      <c r="L15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54" s="1">
        <f>N153+Table1181920231030313235383940414811151820284349[[#This Row],[اجمالي الفاتوره]]-Table1181920231030313235383940414811151820284349[[#This Row],[الدفعات]]</f>
        <v>70885.979999999981</v>
      </c>
    </row>
    <row r="155" spans="12:14" s="1" customFormat="1" ht="23.25" customHeight="1" x14ac:dyDescent="0.3">
      <c r="L15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55" s="1">
        <f>N154+Table1181920231030313235383940414811151820284349[[#This Row],[اجمالي الفاتوره]]-Table1181920231030313235383940414811151820284349[[#This Row],[الدفعات]]</f>
        <v>70885.979999999981</v>
      </c>
    </row>
    <row r="156" spans="12:14" s="1" customFormat="1" ht="23.25" customHeight="1" x14ac:dyDescent="0.3">
      <c r="L15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56" s="1">
        <f>N155+Table1181920231030313235383940414811151820284349[[#This Row],[اجمالي الفاتوره]]-Table1181920231030313235383940414811151820284349[[#This Row],[الدفعات]]</f>
        <v>70885.979999999981</v>
      </c>
    </row>
    <row r="157" spans="12:14" s="1" customFormat="1" ht="23.25" customHeight="1" x14ac:dyDescent="0.3">
      <c r="L15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57" s="1">
        <f>N156+Table1181920231030313235383940414811151820284349[[#This Row],[اجمالي الفاتوره]]-Table1181920231030313235383940414811151820284349[[#This Row],[الدفعات]]</f>
        <v>70885.979999999981</v>
      </c>
    </row>
    <row r="158" spans="12:14" s="1" customFormat="1" ht="23.25" customHeight="1" x14ac:dyDescent="0.3">
      <c r="L15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58" s="1">
        <f>N157+Table1181920231030313235383940414811151820284349[[#This Row],[اجمالي الفاتوره]]-Table1181920231030313235383940414811151820284349[[#This Row],[الدفعات]]</f>
        <v>70885.979999999981</v>
      </c>
    </row>
    <row r="159" spans="12:14" s="1" customFormat="1" ht="23.25" customHeight="1" x14ac:dyDescent="0.3">
      <c r="L15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59" s="1">
        <f>N158+Table1181920231030313235383940414811151820284349[[#This Row],[اجمالي الفاتوره]]-Table1181920231030313235383940414811151820284349[[#This Row],[الدفعات]]</f>
        <v>70885.979999999981</v>
      </c>
    </row>
    <row r="160" spans="12:14" s="1" customFormat="1" ht="23.25" customHeight="1" x14ac:dyDescent="0.3">
      <c r="L16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60" s="1">
        <f>N159+Table1181920231030313235383940414811151820284349[[#This Row],[اجمالي الفاتوره]]-Table1181920231030313235383940414811151820284349[[#This Row],[الدفعات]]</f>
        <v>70885.979999999981</v>
      </c>
    </row>
    <row r="161" spans="12:14" s="1" customFormat="1" ht="23.25" customHeight="1" x14ac:dyDescent="0.3">
      <c r="L16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61" s="1">
        <f>N160+Table1181920231030313235383940414811151820284349[[#This Row],[اجمالي الفاتوره]]-Table1181920231030313235383940414811151820284349[[#This Row],[الدفعات]]</f>
        <v>70885.979999999981</v>
      </c>
    </row>
    <row r="162" spans="12:14" s="1" customFormat="1" ht="23.25" customHeight="1" x14ac:dyDescent="0.3">
      <c r="L16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62" s="1">
        <f>N161+Table1181920231030313235383940414811151820284349[[#This Row],[اجمالي الفاتوره]]-Table1181920231030313235383940414811151820284349[[#This Row],[الدفعات]]</f>
        <v>70885.979999999981</v>
      </c>
    </row>
    <row r="163" spans="12:14" s="1" customFormat="1" ht="23.25" customHeight="1" x14ac:dyDescent="0.3">
      <c r="L16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63" s="1">
        <f>N162+Table1181920231030313235383940414811151820284349[[#This Row],[اجمالي الفاتوره]]-Table1181920231030313235383940414811151820284349[[#This Row],[الدفعات]]</f>
        <v>70885.979999999981</v>
      </c>
    </row>
    <row r="164" spans="12:14" s="1" customFormat="1" ht="23.25" customHeight="1" x14ac:dyDescent="0.3">
      <c r="L16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64" s="1">
        <f>N163+Table1181920231030313235383940414811151820284349[[#This Row],[اجمالي الفاتوره]]-Table1181920231030313235383940414811151820284349[[#This Row],[الدفعات]]</f>
        <v>70885.979999999981</v>
      </c>
    </row>
    <row r="165" spans="12:14" s="1" customFormat="1" ht="23.25" customHeight="1" x14ac:dyDescent="0.3">
      <c r="L16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65" s="1">
        <f>N164+Table1181920231030313235383940414811151820284349[[#This Row],[اجمالي الفاتوره]]-Table1181920231030313235383940414811151820284349[[#This Row],[الدفعات]]</f>
        <v>70885.979999999981</v>
      </c>
    </row>
    <row r="166" spans="12:14" s="1" customFormat="1" ht="23.25" customHeight="1" x14ac:dyDescent="0.3">
      <c r="L16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66" s="1">
        <f>N165+Table1181920231030313235383940414811151820284349[[#This Row],[اجمالي الفاتوره]]-Table1181920231030313235383940414811151820284349[[#This Row],[الدفعات]]</f>
        <v>70885.979999999981</v>
      </c>
    </row>
    <row r="167" spans="12:14" s="1" customFormat="1" ht="23.25" customHeight="1" x14ac:dyDescent="0.3">
      <c r="L16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67" s="1">
        <f>N166+Table1181920231030313235383940414811151820284349[[#This Row],[اجمالي الفاتوره]]-Table1181920231030313235383940414811151820284349[[#This Row],[الدفعات]]</f>
        <v>70885.979999999981</v>
      </c>
    </row>
    <row r="168" spans="12:14" s="1" customFormat="1" ht="23.25" customHeight="1" x14ac:dyDescent="0.3">
      <c r="L16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68" s="1">
        <f>N167+Table1181920231030313235383940414811151820284349[[#This Row],[اجمالي الفاتوره]]-Table1181920231030313235383940414811151820284349[[#This Row],[الدفعات]]</f>
        <v>70885.979999999981</v>
      </c>
    </row>
    <row r="169" spans="12:14" s="1" customFormat="1" ht="23.25" customHeight="1" x14ac:dyDescent="0.3">
      <c r="L16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69" s="1">
        <f>N168+Table1181920231030313235383940414811151820284349[[#This Row],[اجمالي الفاتوره]]-Table1181920231030313235383940414811151820284349[[#This Row],[الدفعات]]</f>
        <v>70885.979999999981</v>
      </c>
    </row>
    <row r="170" spans="12:14" s="1" customFormat="1" ht="23.25" customHeight="1" x14ac:dyDescent="0.3">
      <c r="L17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70" s="1">
        <f>N169+Table1181920231030313235383940414811151820284349[[#This Row],[اجمالي الفاتوره]]-Table1181920231030313235383940414811151820284349[[#This Row],[الدفعات]]</f>
        <v>70885.979999999981</v>
      </c>
    </row>
    <row r="171" spans="12:14" s="1" customFormat="1" ht="23.25" customHeight="1" x14ac:dyDescent="0.3">
      <c r="L17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71" s="1">
        <f>N170+Table1181920231030313235383940414811151820284349[[#This Row],[اجمالي الفاتوره]]-Table1181920231030313235383940414811151820284349[[#This Row],[الدفعات]]</f>
        <v>70885.979999999981</v>
      </c>
    </row>
    <row r="172" spans="12:14" s="1" customFormat="1" ht="23.25" customHeight="1" x14ac:dyDescent="0.3">
      <c r="L17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72" s="1">
        <f>N171+Table1181920231030313235383940414811151820284349[[#This Row],[اجمالي الفاتوره]]-Table1181920231030313235383940414811151820284349[[#This Row],[الدفعات]]</f>
        <v>70885.979999999981</v>
      </c>
    </row>
    <row r="173" spans="12:14" s="1" customFormat="1" ht="23.25" customHeight="1" x14ac:dyDescent="0.3">
      <c r="L17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73" s="1">
        <f>N172+Table1181920231030313235383940414811151820284349[[#This Row],[اجمالي الفاتوره]]-Table1181920231030313235383940414811151820284349[[#This Row],[الدفعات]]</f>
        <v>70885.979999999981</v>
      </c>
    </row>
    <row r="174" spans="12:14" s="1" customFormat="1" ht="23.25" customHeight="1" x14ac:dyDescent="0.3">
      <c r="L17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74" s="1">
        <f>N173+Table1181920231030313235383940414811151820284349[[#This Row],[اجمالي الفاتوره]]-Table1181920231030313235383940414811151820284349[[#This Row],[الدفعات]]</f>
        <v>70885.979999999981</v>
      </c>
    </row>
    <row r="175" spans="12:14" s="1" customFormat="1" ht="23.25" customHeight="1" x14ac:dyDescent="0.3">
      <c r="L17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75" s="1">
        <f>N174+Table1181920231030313235383940414811151820284349[[#This Row],[اجمالي الفاتوره]]-Table1181920231030313235383940414811151820284349[[#This Row],[الدفعات]]</f>
        <v>70885.979999999981</v>
      </c>
    </row>
    <row r="176" spans="12:14" s="1" customFormat="1" ht="23.25" customHeight="1" x14ac:dyDescent="0.3">
      <c r="L17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76" s="1">
        <f>N175+Table1181920231030313235383940414811151820284349[[#This Row],[اجمالي الفاتوره]]-Table1181920231030313235383940414811151820284349[[#This Row],[الدفعات]]</f>
        <v>70885.979999999981</v>
      </c>
    </row>
    <row r="177" spans="12:14" s="1" customFormat="1" ht="23.25" customHeight="1" x14ac:dyDescent="0.3">
      <c r="L17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77" s="1">
        <f>N176+Table1181920231030313235383940414811151820284349[[#This Row],[اجمالي الفاتوره]]-Table1181920231030313235383940414811151820284349[[#This Row],[الدفعات]]</f>
        <v>70885.979999999981</v>
      </c>
    </row>
    <row r="178" spans="12:14" s="1" customFormat="1" ht="23.25" customHeight="1" x14ac:dyDescent="0.3">
      <c r="L17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78" s="1">
        <f>N177+Table1181920231030313235383940414811151820284349[[#This Row],[اجمالي الفاتوره]]-Table1181920231030313235383940414811151820284349[[#This Row],[الدفعات]]</f>
        <v>70885.979999999981</v>
      </c>
    </row>
    <row r="179" spans="12:14" s="1" customFormat="1" ht="23.25" customHeight="1" x14ac:dyDescent="0.3">
      <c r="L17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79" s="1">
        <f>N178+Table1181920231030313235383940414811151820284349[[#This Row],[اجمالي الفاتوره]]-Table1181920231030313235383940414811151820284349[[#This Row],[الدفعات]]</f>
        <v>70885.979999999981</v>
      </c>
    </row>
    <row r="180" spans="12:14" s="1" customFormat="1" ht="23.25" customHeight="1" x14ac:dyDescent="0.3">
      <c r="L18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80" s="1">
        <f>N179+Table1181920231030313235383940414811151820284349[[#This Row],[اجمالي الفاتوره]]-Table1181920231030313235383940414811151820284349[[#This Row],[الدفعات]]</f>
        <v>70885.979999999981</v>
      </c>
    </row>
    <row r="181" spans="12:14" s="1" customFormat="1" ht="23.25" customHeight="1" x14ac:dyDescent="0.3">
      <c r="L18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81" s="1">
        <f>N180+Table1181920231030313235383940414811151820284349[[#This Row],[اجمالي الفاتوره]]-Table1181920231030313235383940414811151820284349[[#This Row],[الدفعات]]</f>
        <v>70885.979999999981</v>
      </c>
    </row>
    <row r="182" spans="12:14" s="1" customFormat="1" ht="23.25" customHeight="1" x14ac:dyDescent="0.3">
      <c r="L18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82" s="1">
        <f>N181+Table1181920231030313235383940414811151820284349[[#This Row],[اجمالي الفاتوره]]-Table1181920231030313235383940414811151820284349[[#This Row],[الدفعات]]</f>
        <v>70885.979999999981</v>
      </c>
    </row>
    <row r="183" spans="12:14" s="1" customFormat="1" ht="23.25" customHeight="1" x14ac:dyDescent="0.3">
      <c r="L18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83" s="1">
        <f>N182+Table1181920231030313235383940414811151820284349[[#This Row],[اجمالي الفاتوره]]-Table1181920231030313235383940414811151820284349[[#This Row],[الدفعات]]</f>
        <v>70885.979999999981</v>
      </c>
    </row>
    <row r="184" spans="12:14" s="1" customFormat="1" ht="23.25" customHeight="1" x14ac:dyDescent="0.3">
      <c r="L18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84" s="1">
        <f>N183+Table1181920231030313235383940414811151820284349[[#This Row],[اجمالي الفاتوره]]-Table1181920231030313235383940414811151820284349[[#This Row],[الدفعات]]</f>
        <v>70885.979999999981</v>
      </c>
    </row>
    <row r="185" spans="12:14" s="1" customFormat="1" ht="23.25" customHeight="1" x14ac:dyDescent="0.3">
      <c r="L18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85" s="1">
        <f>N184+Table1181920231030313235383940414811151820284349[[#This Row],[اجمالي الفاتوره]]-Table1181920231030313235383940414811151820284349[[#This Row],[الدفعات]]</f>
        <v>70885.979999999981</v>
      </c>
    </row>
    <row r="186" spans="12:14" s="1" customFormat="1" ht="23.25" customHeight="1" x14ac:dyDescent="0.3">
      <c r="L18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86" s="1">
        <f>N185+Table1181920231030313235383940414811151820284349[[#This Row],[اجمالي الفاتوره]]-Table1181920231030313235383940414811151820284349[[#This Row],[الدفعات]]</f>
        <v>70885.979999999981</v>
      </c>
    </row>
    <row r="187" spans="12:14" s="1" customFormat="1" ht="23.25" customHeight="1" x14ac:dyDescent="0.3">
      <c r="L18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87" s="1">
        <f>N186+Table1181920231030313235383940414811151820284349[[#This Row],[اجمالي الفاتوره]]-Table1181920231030313235383940414811151820284349[[#This Row],[الدفعات]]</f>
        <v>70885.979999999981</v>
      </c>
    </row>
    <row r="188" spans="12:14" s="1" customFormat="1" ht="23.25" customHeight="1" x14ac:dyDescent="0.3">
      <c r="L18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88" s="1">
        <f>N187+Table1181920231030313235383940414811151820284349[[#This Row],[اجمالي الفاتوره]]-Table1181920231030313235383940414811151820284349[[#This Row],[الدفعات]]</f>
        <v>70885.979999999981</v>
      </c>
    </row>
    <row r="189" spans="12:14" s="1" customFormat="1" ht="23.25" customHeight="1" x14ac:dyDescent="0.3">
      <c r="L18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89" s="1">
        <f>N188+Table1181920231030313235383940414811151820284349[[#This Row],[اجمالي الفاتوره]]-Table1181920231030313235383940414811151820284349[[#This Row],[الدفعات]]</f>
        <v>70885.979999999981</v>
      </c>
    </row>
    <row r="190" spans="12:14" s="1" customFormat="1" ht="23.25" customHeight="1" x14ac:dyDescent="0.3">
      <c r="L19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90" s="1">
        <f>N189+Table1181920231030313235383940414811151820284349[[#This Row],[اجمالي الفاتوره]]-Table1181920231030313235383940414811151820284349[[#This Row],[الدفعات]]</f>
        <v>70885.979999999981</v>
      </c>
    </row>
    <row r="191" spans="12:14" s="1" customFormat="1" ht="23.25" customHeight="1" x14ac:dyDescent="0.3">
      <c r="L19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91" s="1">
        <f>N190+Table1181920231030313235383940414811151820284349[[#This Row],[اجمالي الفاتوره]]-Table1181920231030313235383940414811151820284349[[#This Row],[الدفعات]]</f>
        <v>70885.979999999981</v>
      </c>
    </row>
    <row r="192" spans="12:14" s="1" customFormat="1" ht="23.25" customHeight="1" x14ac:dyDescent="0.3">
      <c r="L19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92" s="1">
        <f>N191+Table1181920231030313235383940414811151820284349[[#This Row],[اجمالي الفاتوره]]-Table1181920231030313235383940414811151820284349[[#This Row],[الدفعات]]</f>
        <v>70885.979999999981</v>
      </c>
    </row>
    <row r="193" spans="12:14" s="1" customFormat="1" ht="23.25" customHeight="1" x14ac:dyDescent="0.3">
      <c r="L19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93" s="1">
        <f>N192+Table1181920231030313235383940414811151820284349[[#This Row],[اجمالي الفاتوره]]-Table1181920231030313235383940414811151820284349[[#This Row],[الدفعات]]</f>
        <v>70885.979999999981</v>
      </c>
    </row>
    <row r="194" spans="12:14" s="1" customFormat="1" ht="23.25" customHeight="1" x14ac:dyDescent="0.3">
      <c r="L19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94" s="1">
        <f>N193+Table1181920231030313235383940414811151820284349[[#This Row],[اجمالي الفاتوره]]-Table1181920231030313235383940414811151820284349[[#This Row],[الدفعات]]</f>
        <v>70885.979999999981</v>
      </c>
    </row>
    <row r="195" spans="12:14" s="1" customFormat="1" ht="23.25" customHeight="1" x14ac:dyDescent="0.3">
      <c r="L19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95" s="1">
        <f>N194+Table1181920231030313235383940414811151820284349[[#This Row],[اجمالي الفاتوره]]-Table1181920231030313235383940414811151820284349[[#This Row],[الدفعات]]</f>
        <v>70885.979999999981</v>
      </c>
    </row>
    <row r="196" spans="12:14" s="1" customFormat="1" ht="23.25" customHeight="1" x14ac:dyDescent="0.3">
      <c r="L19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96" s="1">
        <f>N195+Table1181920231030313235383940414811151820284349[[#This Row],[اجمالي الفاتوره]]-Table1181920231030313235383940414811151820284349[[#This Row],[الدفعات]]</f>
        <v>70885.979999999981</v>
      </c>
    </row>
    <row r="197" spans="12:14" s="1" customFormat="1" ht="23.25" customHeight="1" x14ac:dyDescent="0.3">
      <c r="L19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97" s="1">
        <f>N196+Table1181920231030313235383940414811151820284349[[#This Row],[اجمالي الفاتوره]]-Table1181920231030313235383940414811151820284349[[#This Row],[الدفعات]]</f>
        <v>70885.979999999981</v>
      </c>
    </row>
    <row r="198" spans="12:14" s="1" customFormat="1" ht="23.25" customHeight="1" x14ac:dyDescent="0.3">
      <c r="L19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98" s="1">
        <f>N197+Table1181920231030313235383940414811151820284349[[#This Row],[اجمالي الفاتوره]]-Table1181920231030313235383940414811151820284349[[#This Row],[الدفعات]]</f>
        <v>70885.979999999981</v>
      </c>
    </row>
    <row r="199" spans="12:14" s="1" customFormat="1" ht="23.25" customHeight="1" x14ac:dyDescent="0.3">
      <c r="L19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199" s="1">
        <f>N198+Table1181920231030313235383940414811151820284349[[#This Row],[اجمالي الفاتوره]]-Table1181920231030313235383940414811151820284349[[#This Row],[الدفعات]]</f>
        <v>70885.979999999981</v>
      </c>
    </row>
    <row r="200" spans="12:14" s="1" customFormat="1" ht="23.25" customHeight="1" x14ac:dyDescent="0.3">
      <c r="L20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00" s="1">
        <f>N199+Table1181920231030313235383940414811151820284349[[#This Row],[اجمالي الفاتوره]]-Table1181920231030313235383940414811151820284349[[#This Row],[الدفعات]]</f>
        <v>70885.979999999981</v>
      </c>
    </row>
    <row r="201" spans="12:14" s="1" customFormat="1" ht="23.25" customHeight="1" x14ac:dyDescent="0.3">
      <c r="L20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01" s="1">
        <f>N200+Table1181920231030313235383940414811151820284349[[#This Row],[اجمالي الفاتوره]]-Table1181920231030313235383940414811151820284349[[#This Row],[الدفعات]]</f>
        <v>70885.979999999981</v>
      </c>
    </row>
    <row r="202" spans="12:14" s="1" customFormat="1" ht="23.25" customHeight="1" x14ac:dyDescent="0.3">
      <c r="L20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02" s="1">
        <f>N201+Table1181920231030313235383940414811151820284349[[#This Row],[اجمالي الفاتوره]]-Table1181920231030313235383940414811151820284349[[#This Row],[الدفعات]]</f>
        <v>70885.979999999981</v>
      </c>
    </row>
    <row r="203" spans="12:14" s="1" customFormat="1" ht="23.25" customHeight="1" x14ac:dyDescent="0.3">
      <c r="L20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03" s="1">
        <f>N202+Table1181920231030313235383940414811151820284349[[#This Row],[اجمالي الفاتوره]]-Table1181920231030313235383940414811151820284349[[#This Row],[الدفعات]]</f>
        <v>70885.979999999981</v>
      </c>
    </row>
    <row r="204" spans="12:14" s="1" customFormat="1" ht="23.25" customHeight="1" x14ac:dyDescent="0.3">
      <c r="L20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04" s="1">
        <f>N203+Table1181920231030313235383940414811151820284349[[#This Row],[اجمالي الفاتوره]]-Table1181920231030313235383940414811151820284349[[#This Row],[الدفعات]]</f>
        <v>70885.979999999981</v>
      </c>
    </row>
    <row r="205" spans="12:14" s="1" customFormat="1" ht="23.25" customHeight="1" x14ac:dyDescent="0.3">
      <c r="L20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05" s="1">
        <f>N204+Table1181920231030313235383940414811151820284349[[#This Row],[اجمالي الفاتوره]]-Table1181920231030313235383940414811151820284349[[#This Row],[الدفعات]]</f>
        <v>70885.979999999981</v>
      </c>
    </row>
    <row r="206" spans="12:14" s="1" customFormat="1" ht="23.25" customHeight="1" x14ac:dyDescent="0.3">
      <c r="L20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06" s="1">
        <f>N205+Table1181920231030313235383940414811151820284349[[#This Row],[اجمالي الفاتوره]]-Table1181920231030313235383940414811151820284349[[#This Row],[الدفعات]]</f>
        <v>70885.979999999981</v>
      </c>
    </row>
    <row r="207" spans="12:14" s="1" customFormat="1" ht="23.25" customHeight="1" x14ac:dyDescent="0.3">
      <c r="L20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07" s="1">
        <f>N206+Table1181920231030313235383940414811151820284349[[#This Row],[اجمالي الفاتوره]]-Table1181920231030313235383940414811151820284349[[#This Row],[الدفعات]]</f>
        <v>70885.979999999981</v>
      </c>
    </row>
    <row r="208" spans="12:14" s="1" customFormat="1" ht="23.25" customHeight="1" x14ac:dyDescent="0.3">
      <c r="L20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08" s="1">
        <f>N207+Table1181920231030313235383940414811151820284349[[#This Row],[اجمالي الفاتوره]]-Table1181920231030313235383940414811151820284349[[#This Row],[الدفعات]]</f>
        <v>70885.979999999981</v>
      </c>
    </row>
    <row r="209" spans="12:14" s="1" customFormat="1" ht="23.25" customHeight="1" x14ac:dyDescent="0.3">
      <c r="L20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09" s="1">
        <f>N208+Table1181920231030313235383940414811151820284349[[#This Row],[اجمالي الفاتوره]]-Table1181920231030313235383940414811151820284349[[#This Row],[الدفعات]]</f>
        <v>70885.979999999981</v>
      </c>
    </row>
    <row r="210" spans="12:14" s="1" customFormat="1" ht="23.25" customHeight="1" x14ac:dyDescent="0.3">
      <c r="L21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10" s="1">
        <f>N209+Table1181920231030313235383940414811151820284349[[#This Row],[اجمالي الفاتوره]]-Table1181920231030313235383940414811151820284349[[#This Row],[الدفعات]]</f>
        <v>70885.979999999981</v>
      </c>
    </row>
    <row r="211" spans="12:14" s="1" customFormat="1" ht="23.25" customHeight="1" x14ac:dyDescent="0.3">
      <c r="L21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11" s="1">
        <f>N210+Table1181920231030313235383940414811151820284349[[#This Row],[اجمالي الفاتوره]]-Table1181920231030313235383940414811151820284349[[#This Row],[الدفعات]]</f>
        <v>70885.979999999981</v>
      </c>
    </row>
    <row r="212" spans="12:14" s="1" customFormat="1" ht="23.25" customHeight="1" x14ac:dyDescent="0.3">
      <c r="L21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12" s="1">
        <f>N211+Table1181920231030313235383940414811151820284349[[#This Row],[اجمالي الفاتوره]]-Table1181920231030313235383940414811151820284349[[#This Row],[الدفعات]]</f>
        <v>70885.979999999981</v>
      </c>
    </row>
    <row r="213" spans="12:14" s="1" customFormat="1" ht="23.25" customHeight="1" x14ac:dyDescent="0.3">
      <c r="L21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13" s="1">
        <f>N212+Table1181920231030313235383940414811151820284349[[#This Row],[اجمالي الفاتوره]]-Table1181920231030313235383940414811151820284349[[#This Row],[الدفعات]]</f>
        <v>70885.979999999981</v>
      </c>
    </row>
    <row r="214" spans="12:14" s="1" customFormat="1" ht="23.25" customHeight="1" x14ac:dyDescent="0.3">
      <c r="L21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14" s="1">
        <f>N213+Table1181920231030313235383940414811151820284349[[#This Row],[اجمالي الفاتوره]]-Table1181920231030313235383940414811151820284349[[#This Row],[الدفعات]]</f>
        <v>70885.979999999981</v>
      </c>
    </row>
    <row r="215" spans="12:14" s="1" customFormat="1" ht="23.25" customHeight="1" x14ac:dyDescent="0.3">
      <c r="L21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15" s="1">
        <f>N214+Table1181920231030313235383940414811151820284349[[#This Row],[اجمالي الفاتوره]]-Table1181920231030313235383940414811151820284349[[#This Row],[الدفعات]]</f>
        <v>70885.979999999981</v>
      </c>
    </row>
    <row r="216" spans="12:14" s="1" customFormat="1" ht="23.25" customHeight="1" x14ac:dyDescent="0.3">
      <c r="L21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16" s="1">
        <f>N215+Table1181920231030313235383940414811151820284349[[#This Row],[اجمالي الفاتوره]]-Table1181920231030313235383940414811151820284349[[#This Row],[الدفعات]]</f>
        <v>70885.979999999981</v>
      </c>
    </row>
    <row r="217" spans="12:14" s="1" customFormat="1" ht="23.25" customHeight="1" x14ac:dyDescent="0.3">
      <c r="L21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17" s="1">
        <f>N216+Table1181920231030313235383940414811151820284349[[#This Row],[اجمالي الفاتوره]]-Table1181920231030313235383940414811151820284349[[#This Row],[الدفعات]]</f>
        <v>70885.979999999981</v>
      </c>
    </row>
    <row r="218" spans="12:14" s="1" customFormat="1" ht="23.25" customHeight="1" x14ac:dyDescent="0.3">
      <c r="L21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18" s="1">
        <f>N217+Table1181920231030313235383940414811151820284349[[#This Row],[اجمالي الفاتوره]]-Table1181920231030313235383940414811151820284349[[#This Row],[الدفعات]]</f>
        <v>70885.979999999981</v>
      </c>
    </row>
    <row r="219" spans="12:14" s="1" customFormat="1" ht="23.25" customHeight="1" x14ac:dyDescent="0.3">
      <c r="L21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19" s="1">
        <f>N218+Table1181920231030313235383940414811151820284349[[#This Row],[اجمالي الفاتوره]]-Table1181920231030313235383940414811151820284349[[#This Row],[الدفعات]]</f>
        <v>70885.979999999981</v>
      </c>
    </row>
    <row r="220" spans="12:14" s="1" customFormat="1" ht="23.25" customHeight="1" x14ac:dyDescent="0.3">
      <c r="L22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20" s="1">
        <f>N219+Table1181920231030313235383940414811151820284349[[#This Row],[اجمالي الفاتوره]]-Table1181920231030313235383940414811151820284349[[#This Row],[الدفعات]]</f>
        <v>70885.979999999981</v>
      </c>
    </row>
    <row r="221" spans="12:14" s="1" customFormat="1" ht="23.25" customHeight="1" x14ac:dyDescent="0.3">
      <c r="L22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21" s="1">
        <f>N220+Table1181920231030313235383940414811151820284349[[#This Row],[اجمالي الفاتوره]]-Table1181920231030313235383940414811151820284349[[#This Row],[الدفعات]]</f>
        <v>70885.979999999981</v>
      </c>
    </row>
    <row r="222" spans="12:14" s="1" customFormat="1" ht="23.25" customHeight="1" x14ac:dyDescent="0.3">
      <c r="L22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22" s="1">
        <f>N221+Table1181920231030313235383940414811151820284349[[#This Row],[اجمالي الفاتوره]]-Table1181920231030313235383940414811151820284349[[#This Row],[الدفعات]]</f>
        <v>70885.979999999981</v>
      </c>
    </row>
    <row r="223" spans="12:14" s="1" customFormat="1" ht="23.25" customHeight="1" x14ac:dyDescent="0.3">
      <c r="L22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23" s="1">
        <f>N222+Table1181920231030313235383940414811151820284349[[#This Row],[اجمالي الفاتوره]]-Table1181920231030313235383940414811151820284349[[#This Row],[الدفعات]]</f>
        <v>70885.979999999981</v>
      </c>
    </row>
    <row r="224" spans="12:14" s="1" customFormat="1" ht="23.25" customHeight="1" x14ac:dyDescent="0.3">
      <c r="L22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24" s="1">
        <f>N223+Table1181920231030313235383940414811151820284349[[#This Row],[اجمالي الفاتوره]]-Table1181920231030313235383940414811151820284349[[#This Row],[الدفعات]]</f>
        <v>70885.979999999981</v>
      </c>
    </row>
    <row r="225" spans="10:14" s="1" customFormat="1" ht="23.25" customHeight="1" x14ac:dyDescent="0.3">
      <c r="L22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25" s="1">
        <f>N224+Table1181920231030313235383940414811151820284349[[#This Row],[اجمالي الفاتوره]]-Table1181920231030313235383940414811151820284349[[#This Row],[الدفعات]]</f>
        <v>70885.979999999981</v>
      </c>
    </row>
    <row r="226" spans="10:14" s="1" customFormat="1" ht="23.25" customHeight="1" x14ac:dyDescent="0.3">
      <c r="L22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26" s="1">
        <f>N225+Table1181920231030313235383940414811151820284349[[#This Row],[اجمالي الفاتوره]]-Table1181920231030313235383940414811151820284349[[#This Row],[الدفعات]]</f>
        <v>70885.979999999981</v>
      </c>
    </row>
    <row r="227" spans="10:14" s="1" customFormat="1" ht="23.25" customHeight="1" x14ac:dyDescent="0.3">
      <c r="L22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27" s="1">
        <f>N226+Table1181920231030313235383940414811151820284349[[#This Row],[اجمالي الفاتوره]]-Table1181920231030313235383940414811151820284349[[#This Row],[الدفعات]]</f>
        <v>70885.979999999981</v>
      </c>
    </row>
    <row r="228" spans="10:14" s="1" customFormat="1" ht="23.25" customHeight="1" x14ac:dyDescent="0.3">
      <c r="L22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28" s="1">
        <f>N227+Table1181920231030313235383940414811151820284349[[#This Row],[اجمالي الفاتوره]]-Table1181920231030313235383940414811151820284349[[#This Row],[الدفعات]]</f>
        <v>70885.979999999981</v>
      </c>
    </row>
    <row r="229" spans="10:14" s="1" customFormat="1" ht="23.25" customHeight="1" x14ac:dyDescent="0.3">
      <c r="L22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29" s="1">
        <f>N228+Table1181920231030313235383940414811151820284349[[#This Row],[اجمالي الفاتوره]]-Table1181920231030313235383940414811151820284349[[#This Row],[الدفعات]]</f>
        <v>70885.979999999981</v>
      </c>
    </row>
    <row r="230" spans="10:14" s="1" customFormat="1" ht="23.25" customHeight="1" x14ac:dyDescent="0.3">
      <c r="L23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30" s="1">
        <f>N229+Table1181920231030313235383940414811151820284349[[#This Row],[اجمالي الفاتوره]]-Table1181920231030313235383940414811151820284349[[#This Row],[الدفعات]]</f>
        <v>70885.979999999981</v>
      </c>
    </row>
    <row r="231" spans="10:14" s="1" customFormat="1" ht="23.25" customHeight="1" x14ac:dyDescent="0.3">
      <c r="L23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31" s="1">
        <f>N230+Table1181920231030313235383940414811151820284349[[#This Row],[اجمالي الفاتوره]]-Table1181920231030313235383940414811151820284349[[#This Row],[الدفعات]]</f>
        <v>70885.979999999981</v>
      </c>
    </row>
    <row r="232" spans="10:14" s="1" customFormat="1" ht="23.25" customHeight="1" x14ac:dyDescent="0.3">
      <c r="L23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32" s="1">
        <f>N231+Table1181920231030313235383940414811151820284349[[#This Row],[اجمالي الفاتوره]]-Table1181920231030313235383940414811151820284349[[#This Row],[الدفعات]]</f>
        <v>70885.979999999981</v>
      </c>
    </row>
    <row r="233" spans="10:14" s="1" customFormat="1" ht="23.25" customHeight="1" x14ac:dyDescent="0.3">
      <c r="L23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33" s="1">
        <f>N232+Table1181920231030313235383940414811151820284349[[#This Row],[اجمالي الفاتوره]]-Table1181920231030313235383940414811151820284349[[#This Row],[الدفعات]]</f>
        <v>70885.979999999981</v>
      </c>
    </row>
    <row r="234" spans="10:14" s="1" customFormat="1" ht="23.25" customHeight="1" x14ac:dyDescent="0.3">
      <c r="L23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34" s="1">
        <f>N233+Table1181920231030313235383940414811151820284349[[#This Row],[اجمالي الفاتوره]]-Table1181920231030313235383940414811151820284349[[#This Row],[الدفعات]]</f>
        <v>70885.979999999981</v>
      </c>
    </row>
    <row r="235" spans="10:14" s="1" customFormat="1" ht="23.25" customHeight="1" x14ac:dyDescent="0.3">
      <c r="L23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35" s="1">
        <f>N234+Table1181920231030313235383940414811151820284349[[#This Row],[اجمالي الفاتوره]]-Table1181920231030313235383940414811151820284349[[#This Row],[الدفعات]]</f>
        <v>70885.979999999981</v>
      </c>
    </row>
    <row r="236" spans="10:14" s="1" customFormat="1" ht="23.25" customHeight="1" x14ac:dyDescent="0.3">
      <c r="L23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36" s="1">
        <f>N235+Table1181920231030313235383940414811151820284349[[#This Row],[اجمالي الفاتوره]]-Table1181920231030313235383940414811151820284349[[#This Row],[الدفعات]]</f>
        <v>70885.979999999981</v>
      </c>
    </row>
    <row r="237" spans="10:14" s="1" customFormat="1" ht="23.25" customHeight="1" x14ac:dyDescent="0.3">
      <c r="L23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37" s="1">
        <f>N236+Table1181920231030313235383940414811151820284349[[#This Row],[اجمالي الفاتوره]]-Table1181920231030313235383940414811151820284349[[#This Row],[الدفعات]]</f>
        <v>70885.979999999981</v>
      </c>
    </row>
    <row r="238" spans="10:14" s="1" customFormat="1" ht="23.25" customHeight="1" x14ac:dyDescent="0.3">
      <c r="J238" s="1">
        <f>0.03*Table1181920231030313235383940414811151820284349[[#This Row],[النولون]]</f>
        <v>0</v>
      </c>
      <c r="L23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38" s="1">
        <f>N237+Table1181920231030313235383940414811151820284349[[#This Row],[اجمالي الفاتوره]]-Table1181920231030313235383940414811151820284349[[#This Row],[الدفعات]]</f>
        <v>70885.979999999981</v>
      </c>
    </row>
    <row r="239" spans="10:14" s="1" customFormat="1" ht="23.25" customHeight="1" x14ac:dyDescent="0.3">
      <c r="J239" s="1">
        <f>0.03*Table1181920231030313235383940414811151820284349[[#This Row],[النولون]]</f>
        <v>0</v>
      </c>
      <c r="L23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39" s="1">
        <f>N238+Table1181920231030313235383940414811151820284349[[#This Row],[اجمالي الفاتوره]]-Table1181920231030313235383940414811151820284349[[#This Row],[الدفعات]]</f>
        <v>70885.979999999981</v>
      </c>
    </row>
    <row r="240" spans="10:14" s="1" customFormat="1" ht="23.25" customHeight="1" x14ac:dyDescent="0.3">
      <c r="J240" s="1">
        <f>0.03*Table1181920231030313235383940414811151820284349[[#This Row],[النولون]]</f>
        <v>0</v>
      </c>
      <c r="L24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40" s="1">
        <f>N239+Table1181920231030313235383940414811151820284349[[#This Row],[اجمالي الفاتوره]]-Table1181920231030313235383940414811151820284349[[#This Row],[الدفعات]]</f>
        <v>70885.979999999981</v>
      </c>
    </row>
    <row r="241" spans="10:14" s="1" customFormat="1" ht="23.25" customHeight="1" x14ac:dyDescent="0.3">
      <c r="J241" s="1">
        <f>0.03*Table1181920231030313235383940414811151820284349[[#This Row],[النولون]]</f>
        <v>0</v>
      </c>
      <c r="L24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41" s="1">
        <f>N240+Table1181920231030313235383940414811151820284349[[#This Row],[اجمالي الفاتوره]]-Table1181920231030313235383940414811151820284349[[#This Row],[الدفعات]]</f>
        <v>70885.979999999981</v>
      </c>
    </row>
    <row r="242" spans="10:14" s="1" customFormat="1" ht="23.25" customHeight="1" x14ac:dyDescent="0.3">
      <c r="J242" s="1">
        <f>0.03*Table1181920231030313235383940414811151820284349[[#This Row],[النولون]]</f>
        <v>0</v>
      </c>
      <c r="L24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42" s="1">
        <f>N241+Table1181920231030313235383940414811151820284349[[#This Row],[اجمالي الفاتوره]]-Table1181920231030313235383940414811151820284349[[#This Row],[الدفعات]]</f>
        <v>70885.979999999981</v>
      </c>
    </row>
    <row r="243" spans="10:14" s="1" customFormat="1" ht="23.25" customHeight="1" x14ac:dyDescent="0.3">
      <c r="J243" s="1">
        <f>0.03*Table1181920231030313235383940414811151820284349[[#This Row],[النولون]]</f>
        <v>0</v>
      </c>
      <c r="L24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43" s="1">
        <f>N242+Table1181920231030313235383940414811151820284349[[#This Row],[اجمالي الفاتوره]]-Table1181920231030313235383940414811151820284349[[#This Row],[الدفعات]]</f>
        <v>70885.979999999981</v>
      </c>
    </row>
    <row r="244" spans="10:14" s="1" customFormat="1" ht="23.25" customHeight="1" x14ac:dyDescent="0.3">
      <c r="J244" s="1">
        <f>0.03*Table1181920231030313235383940414811151820284349[[#This Row],[النولون]]</f>
        <v>0</v>
      </c>
      <c r="L24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44" s="1">
        <f>N243+Table1181920231030313235383940414811151820284349[[#This Row],[اجمالي الفاتوره]]-Table1181920231030313235383940414811151820284349[[#This Row],[الدفعات]]</f>
        <v>70885.979999999981</v>
      </c>
    </row>
    <row r="245" spans="10:14" s="1" customFormat="1" ht="23.25" customHeight="1" x14ac:dyDescent="0.3">
      <c r="J245" s="1">
        <f>0.03*Table1181920231030313235383940414811151820284349[[#This Row],[النولون]]</f>
        <v>0</v>
      </c>
      <c r="L24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45" s="1">
        <f>N244+Table1181920231030313235383940414811151820284349[[#This Row],[اجمالي الفاتوره]]-Table1181920231030313235383940414811151820284349[[#This Row],[الدفعات]]</f>
        <v>70885.979999999981</v>
      </c>
    </row>
    <row r="246" spans="10:14" s="1" customFormat="1" ht="23.25" customHeight="1" x14ac:dyDescent="0.3">
      <c r="J246" s="1">
        <f>0.03*Table1181920231030313235383940414811151820284349[[#This Row],[النولون]]</f>
        <v>0</v>
      </c>
      <c r="L24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46" s="1">
        <f>N245+Table1181920231030313235383940414811151820284349[[#This Row],[اجمالي الفاتوره]]-Table1181920231030313235383940414811151820284349[[#This Row],[الدفعات]]</f>
        <v>70885.979999999981</v>
      </c>
    </row>
    <row r="247" spans="10:14" s="1" customFormat="1" ht="23.25" customHeight="1" x14ac:dyDescent="0.3">
      <c r="J247" s="1">
        <f>0.03*Table1181920231030313235383940414811151820284349[[#This Row],[النولون]]</f>
        <v>0</v>
      </c>
      <c r="L24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47" s="1">
        <f>N246+Table1181920231030313235383940414811151820284349[[#This Row],[اجمالي الفاتوره]]-Table1181920231030313235383940414811151820284349[[#This Row],[الدفعات]]</f>
        <v>70885.979999999981</v>
      </c>
    </row>
    <row r="248" spans="10:14" s="1" customFormat="1" ht="23.25" customHeight="1" x14ac:dyDescent="0.3">
      <c r="J248" s="1">
        <f>0.03*Table1181920231030313235383940414811151820284349[[#This Row],[النولون]]</f>
        <v>0</v>
      </c>
      <c r="L24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48" s="1">
        <f>N247+Table1181920231030313235383940414811151820284349[[#This Row],[اجمالي الفاتوره]]-Table1181920231030313235383940414811151820284349[[#This Row],[الدفعات]]</f>
        <v>70885.979999999981</v>
      </c>
    </row>
    <row r="249" spans="10:14" s="1" customFormat="1" ht="23.25" customHeight="1" x14ac:dyDescent="0.3">
      <c r="J249" s="1">
        <f>0.03*Table1181920231030313235383940414811151820284349[[#This Row],[النولون]]</f>
        <v>0</v>
      </c>
      <c r="L24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49" s="1">
        <f>N248+Table1181920231030313235383940414811151820284349[[#This Row],[اجمالي الفاتوره]]-Table1181920231030313235383940414811151820284349[[#This Row],[الدفعات]]</f>
        <v>70885.979999999981</v>
      </c>
    </row>
    <row r="250" spans="10:14" s="1" customFormat="1" ht="23.25" customHeight="1" x14ac:dyDescent="0.3">
      <c r="J250" s="1">
        <f>0.03*Table1181920231030313235383940414811151820284349[[#This Row],[النولون]]</f>
        <v>0</v>
      </c>
      <c r="L25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50" s="1">
        <f>N249+Table1181920231030313235383940414811151820284349[[#This Row],[اجمالي الفاتوره]]-Table1181920231030313235383940414811151820284349[[#This Row],[الدفعات]]</f>
        <v>70885.979999999981</v>
      </c>
    </row>
    <row r="251" spans="10:14" s="1" customFormat="1" ht="23.25" customHeight="1" x14ac:dyDescent="0.3">
      <c r="J251" s="1">
        <f>0.03*Table1181920231030313235383940414811151820284349[[#This Row],[النولون]]</f>
        <v>0</v>
      </c>
      <c r="L25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51" s="1">
        <f>N250+Table1181920231030313235383940414811151820284349[[#This Row],[اجمالي الفاتوره]]-Table1181920231030313235383940414811151820284349[[#This Row],[الدفعات]]</f>
        <v>70885.979999999981</v>
      </c>
    </row>
    <row r="252" spans="10:14" s="1" customFormat="1" ht="23.25" customHeight="1" x14ac:dyDescent="0.3">
      <c r="J252" s="1">
        <f>0.03*Table1181920231030313235383940414811151820284349[[#This Row],[النولون]]</f>
        <v>0</v>
      </c>
      <c r="L25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52" s="1">
        <f>N251+Table1181920231030313235383940414811151820284349[[#This Row],[اجمالي الفاتوره]]-Table1181920231030313235383940414811151820284349[[#This Row],[الدفعات]]</f>
        <v>70885.979999999981</v>
      </c>
    </row>
    <row r="253" spans="10:14" s="1" customFormat="1" ht="23.25" customHeight="1" x14ac:dyDescent="0.3">
      <c r="J253" s="1">
        <f>0.03*Table1181920231030313235383940414811151820284349[[#This Row],[النولون]]</f>
        <v>0</v>
      </c>
      <c r="L25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53" s="1">
        <f>N252+Table1181920231030313235383940414811151820284349[[#This Row],[اجمالي الفاتوره]]-Table1181920231030313235383940414811151820284349[[#This Row],[الدفعات]]</f>
        <v>70885.979999999981</v>
      </c>
    </row>
    <row r="254" spans="10:14" s="1" customFormat="1" ht="23.25" customHeight="1" x14ac:dyDescent="0.3">
      <c r="J254" s="1">
        <f>0.03*Table1181920231030313235383940414811151820284349[[#This Row],[النولون]]</f>
        <v>0</v>
      </c>
      <c r="L25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54" s="1">
        <f>N253+Table1181920231030313235383940414811151820284349[[#This Row],[اجمالي الفاتوره]]-Table1181920231030313235383940414811151820284349[[#This Row],[الدفعات]]</f>
        <v>70885.979999999981</v>
      </c>
    </row>
    <row r="255" spans="10:14" s="1" customFormat="1" ht="23.25" customHeight="1" x14ac:dyDescent="0.3">
      <c r="J255" s="1">
        <f>0.03*Table1181920231030313235383940414811151820284349[[#This Row],[النولون]]</f>
        <v>0</v>
      </c>
      <c r="L25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55" s="1">
        <f>N254+Table1181920231030313235383940414811151820284349[[#This Row],[اجمالي الفاتوره]]-Table1181920231030313235383940414811151820284349[[#This Row],[الدفعات]]</f>
        <v>70885.979999999981</v>
      </c>
    </row>
    <row r="256" spans="10:14" s="1" customFormat="1" ht="23.25" customHeight="1" x14ac:dyDescent="0.3">
      <c r="J256" s="1">
        <f>0.03*Table1181920231030313235383940414811151820284349[[#This Row],[النولون]]</f>
        <v>0</v>
      </c>
      <c r="L25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56" s="1">
        <f>N255+Table1181920231030313235383940414811151820284349[[#This Row],[اجمالي الفاتوره]]-Table1181920231030313235383940414811151820284349[[#This Row],[الدفعات]]</f>
        <v>70885.979999999981</v>
      </c>
    </row>
    <row r="257" spans="10:14" s="1" customFormat="1" ht="23.25" customHeight="1" x14ac:dyDescent="0.3">
      <c r="J257" s="1">
        <f>0.03*Table1181920231030313235383940414811151820284349[[#This Row],[النولون]]</f>
        <v>0</v>
      </c>
      <c r="L25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57" s="1">
        <f>N256+Table1181920231030313235383940414811151820284349[[#This Row],[اجمالي الفاتوره]]-Table1181920231030313235383940414811151820284349[[#This Row],[الدفعات]]</f>
        <v>70885.979999999981</v>
      </c>
    </row>
    <row r="258" spans="10:14" s="1" customFormat="1" ht="23.25" customHeight="1" x14ac:dyDescent="0.3">
      <c r="J258" s="1">
        <f>0.03*Table1181920231030313235383940414811151820284349[[#This Row],[النولون]]</f>
        <v>0</v>
      </c>
      <c r="L25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58" s="1">
        <f>N257+Table1181920231030313235383940414811151820284349[[#This Row],[اجمالي الفاتوره]]-Table1181920231030313235383940414811151820284349[[#This Row],[الدفعات]]</f>
        <v>70885.979999999981</v>
      </c>
    </row>
    <row r="259" spans="10:14" s="1" customFormat="1" ht="23.25" customHeight="1" x14ac:dyDescent="0.3">
      <c r="J259" s="1">
        <f>0.03*Table1181920231030313235383940414811151820284349[[#This Row],[النولون]]</f>
        <v>0</v>
      </c>
      <c r="L25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59" s="1">
        <f>N258+Table1181920231030313235383940414811151820284349[[#This Row],[اجمالي الفاتوره]]-Table1181920231030313235383940414811151820284349[[#This Row],[الدفعات]]</f>
        <v>70885.979999999981</v>
      </c>
    </row>
    <row r="260" spans="10:14" s="1" customFormat="1" ht="23.25" customHeight="1" x14ac:dyDescent="0.3">
      <c r="J260" s="1">
        <f>0.03*Table1181920231030313235383940414811151820284349[[#This Row],[النولون]]</f>
        <v>0</v>
      </c>
      <c r="L26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60" s="1">
        <f>N259+Table1181920231030313235383940414811151820284349[[#This Row],[اجمالي الفاتوره]]-Table1181920231030313235383940414811151820284349[[#This Row],[الدفعات]]</f>
        <v>70885.979999999981</v>
      </c>
    </row>
    <row r="261" spans="10:14" s="1" customFormat="1" ht="23.25" customHeight="1" x14ac:dyDescent="0.3">
      <c r="J261" s="1">
        <f>0.03*Table1181920231030313235383940414811151820284349[[#This Row],[النولون]]</f>
        <v>0</v>
      </c>
      <c r="L26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61" s="1">
        <f>N260+Table1181920231030313235383940414811151820284349[[#This Row],[اجمالي الفاتوره]]-Table1181920231030313235383940414811151820284349[[#This Row],[الدفعات]]</f>
        <v>70885.979999999981</v>
      </c>
    </row>
    <row r="262" spans="10:14" s="1" customFormat="1" ht="23.25" customHeight="1" x14ac:dyDescent="0.3">
      <c r="J262" s="1">
        <f>0.03*Table1181920231030313235383940414811151820284349[[#This Row],[النولون]]</f>
        <v>0</v>
      </c>
      <c r="L26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62" s="1">
        <f>N261+Table1181920231030313235383940414811151820284349[[#This Row],[اجمالي الفاتوره]]-Table1181920231030313235383940414811151820284349[[#This Row],[الدفعات]]</f>
        <v>70885.979999999981</v>
      </c>
    </row>
    <row r="263" spans="10:14" s="1" customFormat="1" ht="23.25" customHeight="1" x14ac:dyDescent="0.3">
      <c r="J263" s="1">
        <f>0.03*Table1181920231030313235383940414811151820284349[[#This Row],[النولون]]</f>
        <v>0</v>
      </c>
      <c r="L26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63" s="1">
        <f>N262+Table1181920231030313235383940414811151820284349[[#This Row],[اجمالي الفاتوره]]-Table1181920231030313235383940414811151820284349[[#This Row],[الدفعات]]</f>
        <v>70885.979999999981</v>
      </c>
    </row>
    <row r="264" spans="10:14" s="1" customFormat="1" ht="23.25" customHeight="1" x14ac:dyDescent="0.3">
      <c r="J264" s="1">
        <f>0.03*Table1181920231030313235383940414811151820284349[[#This Row],[النولون]]</f>
        <v>0</v>
      </c>
      <c r="L26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64" s="1">
        <f>N263+Table1181920231030313235383940414811151820284349[[#This Row],[اجمالي الفاتوره]]-Table1181920231030313235383940414811151820284349[[#This Row],[الدفعات]]</f>
        <v>70885.979999999981</v>
      </c>
    </row>
    <row r="265" spans="10:14" s="1" customFormat="1" ht="23.25" customHeight="1" x14ac:dyDescent="0.3">
      <c r="J265" s="1">
        <f>0.03*Table1181920231030313235383940414811151820284349[[#This Row],[النولون]]</f>
        <v>0</v>
      </c>
      <c r="L26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65" s="1">
        <f>N264+Table1181920231030313235383940414811151820284349[[#This Row],[اجمالي الفاتوره]]-Table1181920231030313235383940414811151820284349[[#This Row],[الدفعات]]</f>
        <v>70885.979999999981</v>
      </c>
    </row>
    <row r="266" spans="10:14" s="1" customFormat="1" ht="23.25" customHeight="1" x14ac:dyDescent="0.3">
      <c r="J266" s="1">
        <f>0.03*Table1181920231030313235383940414811151820284349[[#This Row],[النولون]]</f>
        <v>0</v>
      </c>
      <c r="L26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66" s="1">
        <f>N265+Table1181920231030313235383940414811151820284349[[#This Row],[اجمالي الفاتوره]]-Table1181920231030313235383940414811151820284349[[#This Row],[الدفعات]]</f>
        <v>70885.979999999981</v>
      </c>
    </row>
    <row r="267" spans="10:14" s="1" customFormat="1" ht="23.25" customHeight="1" x14ac:dyDescent="0.3">
      <c r="J267" s="1">
        <f>0.03*Table1181920231030313235383940414811151820284349[[#This Row],[النولون]]</f>
        <v>0</v>
      </c>
      <c r="L26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67" s="1">
        <f>N266+Table1181920231030313235383940414811151820284349[[#This Row],[اجمالي الفاتوره]]-Table1181920231030313235383940414811151820284349[[#This Row],[الدفعات]]</f>
        <v>70885.979999999981</v>
      </c>
    </row>
    <row r="268" spans="10:14" s="1" customFormat="1" ht="23.25" customHeight="1" x14ac:dyDescent="0.3">
      <c r="J268" s="1">
        <f>0.03*Table1181920231030313235383940414811151820284349[[#This Row],[النولون]]</f>
        <v>0</v>
      </c>
      <c r="L26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68" s="1">
        <f>N267+Table1181920231030313235383940414811151820284349[[#This Row],[اجمالي الفاتوره]]-Table1181920231030313235383940414811151820284349[[#This Row],[الدفعات]]</f>
        <v>70885.979999999981</v>
      </c>
    </row>
    <row r="269" spans="10:14" s="1" customFormat="1" ht="23.25" customHeight="1" x14ac:dyDescent="0.3">
      <c r="J269" s="1">
        <f>0.03*Table1181920231030313235383940414811151820284349[[#This Row],[النولون]]</f>
        <v>0</v>
      </c>
      <c r="L26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69" s="1">
        <f>N268+Table1181920231030313235383940414811151820284349[[#This Row],[اجمالي الفاتوره]]-Table1181920231030313235383940414811151820284349[[#This Row],[الدفعات]]</f>
        <v>70885.979999999981</v>
      </c>
    </row>
    <row r="270" spans="10:14" s="1" customFormat="1" ht="23.25" customHeight="1" x14ac:dyDescent="0.3">
      <c r="J270" s="1">
        <f>0.03*Table1181920231030313235383940414811151820284349[[#This Row],[النولون]]</f>
        <v>0</v>
      </c>
      <c r="L27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70" s="1">
        <f>N269+Table1181920231030313235383940414811151820284349[[#This Row],[اجمالي الفاتوره]]-Table1181920231030313235383940414811151820284349[[#This Row],[الدفعات]]</f>
        <v>70885.979999999981</v>
      </c>
    </row>
    <row r="271" spans="10:14" s="1" customFormat="1" ht="23.25" customHeight="1" x14ac:dyDescent="0.3">
      <c r="J271" s="1">
        <f>0.03*Table1181920231030313235383940414811151820284349[[#This Row],[النولون]]</f>
        <v>0</v>
      </c>
      <c r="L27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71" s="1">
        <f>N270+Table1181920231030313235383940414811151820284349[[#This Row],[اجمالي الفاتوره]]-Table1181920231030313235383940414811151820284349[[#This Row],[الدفعات]]</f>
        <v>70885.979999999981</v>
      </c>
    </row>
    <row r="272" spans="10:14" s="1" customFormat="1" ht="23.25" customHeight="1" x14ac:dyDescent="0.3">
      <c r="J272" s="1">
        <f>0.03*Table1181920231030313235383940414811151820284349[[#This Row],[النولون]]</f>
        <v>0</v>
      </c>
      <c r="L27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72" s="1">
        <f>N271+Table1181920231030313235383940414811151820284349[[#This Row],[اجمالي الفاتوره]]-Table1181920231030313235383940414811151820284349[[#This Row],[الدفعات]]</f>
        <v>70885.979999999981</v>
      </c>
    </row>
    <row r="273" spans="10:14" s="1" customFormat="1" ht="23.25" customHeight="1" x14ac:dyDescent="0.3">
      <c r="J273" s="1">
        <f>0.03*Table1181920231030313235383940414811151820284349[[#This Row],[النولون]]</f>
        <v>0</v>
      </c>
      <c r="L27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73" s="1">
        <f>N272+Table1181920231030313235383940414811151820284349[[#This Row],[اجمالي الفاتوره]]-Table1181920231030313235383940414811151820284349[[#This Row],[الدفعات]]</f>
        <v>70885.979999999981</v>
      </c>
    </row>
    <row r="274" spans="10:14" s="1" customFormat="1" ht="23.25" customHeight="1" x14ac:dyDescent="0.3">
      <c r="J274" s="1">
        <f>0.03*Table1181920231030313235383940414811151820284349[[#This Row],[النولون]]</f>
        <v>0</v>
      </c>
      <c r="L27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74" s="1">
        <f>N273+Table1181920231030313235383940414811151820284349[[#This Row],[اجمالي الفاتوره]]-Table1181920231030313235383940414811151820284349[[#This Row],[الدفعات]]</f>
        <v>70885.979999999981</v>
      </c>
    </row>
    <row r="275" spans="10:14" s="1" customFormat="1" ht="23.25" customHeight="1" x14ac:dyDescent="0.3">
      <c r="J275" s="1">
        <f>0.03*Table1181920231030313235383940414811151820284349[[#This Row],[النولون]]</f>
        <v>0</v>
      </c>
      <c r="L27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75" s="1">
        <f>N274+Table1181920231030313235383940414811151820284349[[#This Row],[اجمالي الفاتوره]]-Table1181920231030313235383940414811151820284349[[#This Row],[الدفعات]]</f>
        <v>70885.979999999981</v>
      </c>
    </row>
    <row r="276" spans="10:14" s="1" customFormat="1" ht="23.25" customHeight="1" x14ac:dyDescent="0.3">
      <c r="J276" s="1">
        <f>0.03*Table1181920231030313235383940414811151820284349[[#This Row],[النولون]]</f>
        <v>0</v>
      </c>
      <c r="L27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76" s="1">
        <f>N275+Table1181920231030313235383940414811151820284349[[#This Row],[اجمالي الفاتوره]]-Table1181920231030313235383940414811151820284349[[#This Row],[الدفعات]]</f>
        <v>70885.979999999981</v>
      </c>
    </row>
    <row r="277" spans="10:14" s="1" customFormat="1" ht="23.25" customHeight="1" x14ac:dyDescent="0.3">
      <c r="J277" s="1">
        <f>0.03*Table1181920231030313235383940414811151820284349[[#This Row],[النولون]]</f>
        <v>0</v>
      </c>
      <c r="L27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77" s="1">
        <f>N276+Table1181920231030313235383940414811151820284349[[#This Row],[اجمالي الفاتوره]]-Table1181920231030313235383940414811151820284349[[#This Row],[الدفعات]]</f>
        <v>70885.979999999981</v>
      </c>
    </row>
    <row r="278" spans="10:14" s="1" customFormat="1" ht="23.25" customHeight="1" x14ac:dyDescent="0.3">
      <c r="J278" s="1">
        <f>0.03*Table1181920231030313235383940414811151820284349[[#This Row],[النولون]]</f>
        <v>0</v>
      </c>
      <c r="L27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78" s="1">
        <f>N277+Table1181920231030313235383940414811151820284349[[#This Row],[اجمالي الفاتوره]]-Table1181920231030313235383940414811151820284349[[#This Row],[الدفعات]]</f>
        <v>70885.979999999981</v>
      </c>
    </row>
    <row r="279" spans="10:14" s="1" customFormat="1" ht="23.25" customHeight="1" x14ac:dyDescent="0.3">
      <c r="J279" s="1">
        <f>0.03*Table1181920231030313235383940414811151820284349[[#This Row],[النولون]]</f>
        <v>0</v>
      </c>
      <c r="L27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79" s="1">
        <f>N278+Table1181920231030313235383940414811151820284349[[#This Row],[اجمالي الفاتوره]]-Table1181920231030313235383940414811151820284349[[#This Row],[الدفعات]]</f>
        <v>70885.979999999981</v>
      </c>
    </row>
    <row r="280" spans="10:14" s="1" customFormat="1" ht="23.25" customHeight="1" x14ac:dyDescent="0.3">
      <c r="J280" s="1">
        <f>0.03*Table1181920231030313235383940414811151820284349[[#This Row],[النولون]]</f>
        <v>0</v>
      </c>
      <c r="L28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80" s="1">
        <f>N279+Table1181920231030313235383940414811151820284349[[#This Row],[اجمالي الفاتوره]]-Table1181920231030313235383940414811151820284349[[#This Row],[الدفعات]]</f>
        <v>70885.979999999981</v>
      </c>
    </row>
    <row r="281" spans="10:14" s="1" customFormat="1" ht="23.25" customHeight="1" x14ac:dyDescent="0.3">
      <c r="J281" s="1">
        <f>0.03*Table1181920231030313235383940414811151820284349[[#This Row],[النولون]]</f>
        <v>0</v>
      </c>
      <c r="L28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81" s="1">
        <f>N280+Table1181920231030313235383940414811151820284349[[#This Row],[اجمالي الفاتوره]]-Table1181920231030313235383940414811151820284349[[#This Row],[الدفعات]]</f>
        <v>70885.979999999981</v>
      </c>
    </row>
    <row r="282" spans="10:14" s="1" customFormat="1" ht="23.25" customHeight="1" x14ac:dyDescent="0.3">
      <c r="J282" s="1">
        <f>0.03*Table1181920231030313235383940414811151820284349[[#This Row],[النولون]]</f>
        <v>0</v>
      </c>
      <c r="L28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82" s="1">
        <f>N281+Table1181920231030313235383940414811151820284349[[#This Row],[اجمالي الفاتوره]]-Table1181920231030313235383940414811151820284349[[#This Row],[الدفعات]]</f>
        <v>70885.979999999981</v>
      </c>
    </row>
    <row r="283" spans="10:14" s="1" customFormat="1" ht="23.25" customHeight="1" x14ac:dyDescent="0.3">
      <c r="J283" s="1">
        <f>0.03*Table1181920231030313235383940414811151820284349[[#This Row],[النولون]]</f>
        <v>0</v>
      </c>
      <c r="L28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83" s="1">
        <f>N282+Table1181920231030313235383940414811151820284349[[#This Row],[اجمالي الفاتوره]]-Table1181920231030313235383940414811151820284349[[#This Row],[الدفعات]]</f>
        <v>70885.979999999981</v>
      </c>
    </row>
    <row r="284" spans="10:14" s="1" customFormat="1" ht="23.25" customHeight="1" x14ac:dyDescent="0.3">
      <c r="J284" s="1">
        <f>0.03*Table1181920231030313235383940414811151820284349[[#This Row],[النولون]]</f>
        <v>0</v>
      </c>
      <c r="L28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84" s="1">
        <f>N283+Table1181920231030313235383940414811151820284349[[#This Row],[اجمالي الفاتوره]]-Table1181920231030313235383940414811151820284349[[#This Row],[الدفعات]]</f>
        <v>70885.979999999981</v>
      </c>
    </row>
    <row r="285" spans="10:14" s="1" customFormat="1" ht="23.25" customHeight="1" x14ac:dyDescent="0.3">
      <c r="J285" s="1">
        <f>0.03*Table1181920231030313235383940414811151820284349[[#This Row],[النولون]]</f>
        <v>0</v>
      </c>
      <c r="L28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85" s="1">
        <f>N284+Table1181920231030313235383940414811151820284349[[#This Row],[اجمالي الفاتوره]]-Table1181920231030313235383940414811151820284349[[#This Row],[الدفعات]]</f>
        <v>70885.979999999981</v>
      </c>
    </row>
    <row r="286" spans="10:14" s="1" customFormat="1" ht="23.25" customHeight="1" x14ac:dyDescent="0.3">
      <c r="J286" s="1">
        <f>0.03*Table1181920231030313235383940414811151820284349[[#This Row],[النولون]]</f>
        <v>0</v>
      </c>
      <c r="L28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86" s="1">
        <f>N285+Table1181920231030313235383940414811151820284349[[#This Row],[اجمالي الفاتوره]]-Table1181920231030313235383940414811151820284349[[#This Row],[الدفعات]]</f>
        <v>70885.979999999981</v>
      </c>
    </row>
    <row r="287" spans="10:14" s="1" customFormat="1" ht="23.25" customHeight="1" x14ac:dyDescent="0.3">
      <c r="J287" s="1">
        <f>0.03*Table1181920231030313235383940414811151820284349[[#This Row],[النولون]]</f>
        <v>0</v>
      </c>
      <c r="L28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87" s="1">
        <f>N286+Table1181920231030313235383940414811151820284349[[#This Row],[اجمالي الفاتوره]]-Table1181920231030313235383940414811151820284349[[#This Row],[الدفعات]]</f>
        <v>70885.979999999981</v>
      </c>
    </row>
    <row r="288" spans="10:14" s="1" customFormat="1" ht="23.25" customHeight="1" x14ac:dyDescent="0.3">
      <c r="J288" s="1">
        <f>0.03*Table1181920231030313235383940414811151820284349[[#This Row],[النولون]]</f>
        <v>0</v>
      </c>
      <c r="L28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88" s="1">
        <f>N287+Table1181920231030313235383940414811151820284349[[#This Row],[اجمالي الفاتوره]]-Table1181920231030313235383940414811151820284349[[#This Row],[الدفعات]]</f>
        <v>70885.979999999981</v>
      </c>
    </row>
    <row r="289" spans="10:14" s="1" customFormat="1" ht="23.25" customHeight="1" x14ac:dyDescent="0.3">
      <c r="J289" s="1">
        <f>0.03*Table1181920231030313235383940414811151820284349[[#This Row],[النولون]]</f>
        <v>0</v>
      </c>
      <c r="L28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89" s="1">
        <f>N288+Table1181920231030313235383940414811151820284349[[#This Row],[اجمالي الفاتوره]]-Table1181920231030313235383940414811151820284349[[#This Row],[الدفعات]]</f>
        <v>70885.979999999981</v>
      </c>
    </row>
    <row r="290" spans="10:14" s="1" customFormat="1" ht="23.25" customHeight="1" x14ac:dyDescent="0.3">
      <c r="J290" s="1">
        <f>0.03*Table1181920231030313235383940414811151820284349[[#This Row],[النولون]]</f>
        <v>0</v>
      </c>
      <c r="L29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90" s="1">
        <f>N289+Table1181920231030313235383940414811151820284349[[#This Row],[اجمالي الفاتوره]]-Table1181920231030313235383940414811151820284349[[#This Row],[الدفعات]]</f>
        <v>70885.979999999981</v>
      </c>
    </row>
    <row r="291" spans="10:14" s="1" customFormat="1" ht="23.25" customHeight="1" x14ac:dyDescent="0.3">
      <c r="J291" s="1">
        <f>0.03*Table1181920231030313235383940414811151820284349[[#This Row],[النولون]]</f>
        <v>0</v>
      </c>
      <c r="L29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91" s="1">
        <f>N290+Table1181920231030313235383940414811151820284349[[#This Row],[اجمالي الفاتوره]]-Table1181920231030313235383940414811151820284349[[#This Row],[الدفعات]]</f>
        <v>70885.979999999981</v>
      </c>
    </row>
    <row r="292" spans="10:14" s="1" customFormat="1" ht="23.25" customHeight="1" x14ac:dyDescent="0.3">
      <c r="J292" s="1">
        <f>0.03*Table1181920231030313235383940414811151820284349[[#This Row],[النولون]]</f>
        <v>0</v>
      </c>
      <c r="L29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92" s="1">
        <f>N291+Table1181920231030313235383940414811151820284349[[#This Row],[اجمالي الفاتوره]]-Table1181920231030313235383940414811151820284349[[#This Row],[الدفعات]]</f>
        <v>70885.979999999981</v>
      </c>
    </row>
    <row r="293" spans="10:14" s="1" customFormat="1" ht="23.25" customHeight="1" x14ac:dyDescent="0.3">
      <c r="J293" s="1">
        <f>0.03*Table1181920231030313235383940414811151820284349[[#This Row],[النولون]]</f>
        <v>0</v>
      </c>
      <c r="L29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93" s="1">
        <f>N292+Table1181920231030313235383940414811151820284349[[#This Row],[اجمالي الفاتوره]]-Table1181920231030313235383940414811151820284349[[#This Row],[الدفعات]]</f>
        <v>70885.979999999981</v>
      </c>
    </row>
    <row r="294" spans="10:14" s="1" customFormat="1" ht="23.25" customHeight="1" x14ac:dyDescent="0.3">
      <c r="J294" s="1">
        <f>0.03*Table1181920231030313235383940414811151820284349[[#This Row],[النولون]]</f>
        <v>0</v>
      </c>
      <c r="L29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94" s="1">
        <f>N293+Table1181920231030313235383940414811151820284349[[#This Row],[اجمالي الفاتوره]]-Table1181920231030313235383940414811151820284349[[#This Row],[الدفعات]]</f>
        <v>70885.979999999981</v>
      </c>
    </row>
    <row r="295" spans="10:14" s="1" customFormat="1" ht="23.25" customHeight="1" x14ac:dyDescent="0.3">
      <c r="J295" s="1">
        <f>0.03*Table1181920231030313235383940414811151820284349[[#This Row],[النولون]]</f>
        <v>0</v>
      </c>
      <c r="L29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95" s="1">
        <f>N294+Table1181920231030313235383940414811151820284349[[#This Row],[اجمالي الفاتوره]]-Table1181920231030313235383940414811151820284349[[#This Row],[الدفعات]]</f>
        <v>70885.979999999981</v>
      </c>
    </row>
    <row r="296" spans="10:14" s="1" customFormat="1" ht="23.25" customHeight="1" x14ac:dyDescent="0.3">
      <c r="J296" s="1">
        <f>0.03*Table1181920231030313235383940414811151820284349[[#This Row],[النولون]]</f>
        <v>0</v>
      </c>
      <c r="L29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96" s="1">
        <f>N295+Table1181920231030313235383940414811151820284349[[#This Row],[اجمالي الفاتوره]]-Table1181920231030313235383940414811151820284349[[#This Row],[الدفعات]]</f>
        <v>70885.979999999981</v>
      </c>
    </row>
    <row r="297" spans="10:14" s="1" customFormat="1" ht="23.25" customHeight="1" x14ac:dyDescent="0.3">
      <c r="J297" s="1">
        <f>0.03*Table1181920231030313235383940414811151820284349[[#This Row],[النولون]]</f>
        <v>0</v>
      </c>
      <c r="L29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97" s="1">
        <f>N296+Table1181920231030313235383940414811151820284349[[#This Row],[اجمالي الفاتوره]]-Table1181920231030313235383940414811151820284349[[#This Row],[الدفعات]]</f>
        <v>70885.979999999981</v>
      </c>
    </row>
    <row r="298" spans="10:14" s="1" customFormat="1" ht="23.25" customHeight="1" x14ac:dyDescent="0.3">
      <c r="J298" s="1">
        <f>0.03*Table1181920231030313235383940414811151820284349[[#This Row],[النولون]]</f>
        <v>0</v>
      </c>
      <c r="L29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98" s="1">
        <f>N297+Table1181920231030313235383940414811151820284349[[#This Row],[اجمالي الفاتوره]]-Table1181920231030313235383940414811151820284349[[#This Row],[الدفعات]]</f>
        <v>70885.979999999981</v>
      </c>
    </row>
    <row r="299" spans="10:14" s="1" customFormat="1" ht="23.25" customHeight="1" x14ac:dyDescent="0.3">
      <c r="J299" s="1">
        <f>0.03*Table1181920231030313235383940414811151820284349[[#This Row],[النولون]]</f>
        <v>0</v>
      </c>
      <c r="L29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299" s="1">
        <f>N298+Table1181920231030313235383940414811151820284349[[#This Row],[اجمالي الفاتوره]]-Table1181920231030313235383940414811151820284349[[#This Row],[الدفعات]]</f>
        <v>70885.979999999981</v>
      </c>
    </row>
    <row r="300" spans="10:14" s="1" customFormat="1" ht="23.25" customHeight="1" x14ac:dyDescent="0.3">
      <c r="J300" s="1">
        <f>0.03*Table1181920231030313235383940414811151820284349[[#This Row],[النولون]]</f>
        <v>0</v>
      </c>
      <c r="L30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00" s="1">
        <f>N299+Table1181920231030313235383940414811151820284349[[#This Row],[اجمالي الفاتوره]]-Table1181920231030313235383940414811151820284349[[#This Row],[الدفعات]]</f>
        <v>70885.979999999981</v>
      </c>
    </row>
    <row r="301" spans="10:14" s="1" customFormat="1" ht="23.25" customHeight="1" x14ac:dyDescent="0.3">
      <c r="J301" s="1">
        <f>0.03*Table1181920231030313235383940414811151820284349[[#This Row],[النولون]]</f>
        <v>0</v>
      </c>
      <c r="L30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01" s="1">
        <f>N300+Table1181920231030313235383940414811151820284349[[#This Row],[اجمالي الفاتوره]]-Table1181920231030313235383940414811151820284349[[#This Row],[الدفعات]]</f>
        <v>70885.979999999981</v>
      </c>
    </row>
    <row r="302" spans="10:14" s="1" customFormat="1" ht="23.25" customHeight="1" x14ac:dyDescent="0.3">
      <c r="J302" s="1">
        <f>0.03*Table1181920231030313235383940414811151820284349[[#This Row],[النولون]]</f>
        <v>0</v>
      </c>
      <c r="L30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02" s="1">
        <f>N301+Table1181920231030313235383940414811151820284349[[#This Row],[اجمالي الفاتوره]]-Table1181920231030313235383940414811151820284349[[#This Row],[الدفعات]]</f>
        <v>70885.979999999981</v>
      </c>
    </row>
    <row r="303" spans="10:14" s="1" customFormat="1" ht="23.25" customHeight="1" x14ac:dyDescent="0.3">
      <c r="J303" s="1">
        <f>0.03*Table1181920231030313235383940414811151820284349[[#This Row],[النولون]]</f>
        <v>0</v>
      </c>
      <c r="L30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03" s="1">
        <f>N302+Table1181920231030313235383940414811151820284349[[#This Row],[اجمالي الفاتوره]]-Table1181920231030313235383940414811151820284349[[#This Row],[الدفعات]]</f>
        <v>70885.979999999981</v>
      </c>
    </row>
    <row r="304" spans="10:14" s="1" customFormat="1" ht="23.25" customHeight="1" x14ac:dyDescent="0.3">
      <c r="J304" s="1">
        <f>0.03*Table1181920231030313235383940414811151820284349[[#This Row],[النولون]]</f>
        <v>0</v>
      </c>
      <c r="L30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04" s="1">
        <f>N303+Table1181920231030313235383940414811151820284349[[#This Row],[اجمالي الفاتوره]]-Table1181920231030313235383940414811151820284349[[#This Row],[الدفعات]]</f>
        <v>70885.979999999981</v>
      </c>
    </row>
    <row r="305" spans="10:14" s="1" customFormat="1" ht="23.25" customHeight="1" x14ac:dyDescent="0.3">
      <c r="J305" s="1">
        <f>0.03*Table1181920231030313235383940414811151820284349[[#This Row],[النولون]]</f>
        <v>0</v>
      </c>
      <c r="L30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05" s="1">
        <f>N304+Table1181920231030313235383940414811151820284349[[#This Row],[اجمالي الفاتوره]]-Table1181920231030313235383940414811151820284349[[#This Row],[الدفعات]]</f>
        <v>70885.979999999981</v>
      </c>
    </row>
    <row r="306" spans="10:14" s="1" customFormat="1" ht="23.25" customHeight="1" x14ac:dyDescent="0.3">
      <c r="J306" s="1">
        <f>0.03*Table1181920231030313235383940414811151820284349[[#This Row],[النولون]]</f>
        <v>0</v>
      </c>
      <c r="L30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06" s="1">
        <f>N305+Table1181920231030313235383940414811151820284349[[#This Row],[اجمالي الفاتوره]]-Table1181920231030313235383940414811151820284349[[#This Row],[الدفعات]]</f>
        <v>70885.979999999981</v>
      </c>
    </row>
    <row r="307" spans="10:14" s="1" customFormat="1" ht="23.25" customHeight="1" x14ac:dyDescent="0.3">
      <c r="J307" s="1">
        <f>0.03*Table1181920231030313235383940414811151820284349[[#This Row],[النولون]]</f>
        <v>0</v>
      </c>
      <c r="L30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07" s="1">
        <f>N306+Table1181920231030313235383940414811151820284349[[#This Row],[اجمالي الفاتوره]]-Table1181920231030313235383940414811151820284349[[#This Row],[الدفعات]]</f>
        <v>70885.979999999981</v>
      </c>
    </row>
    <row r="308" spans="10:14" s="1" customFormat="1" ht="23.25" customHeight="1" x14ac:dyDescent="0.3">
      <c r="J308" s="1">
        <f>0.03*Table1181920231030313235383940414811151820284349[[#This Row],[النولون]]</f>
        <v>0</v>
      </c>
      <c r="L30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08" s="1">
        <f>N307+Table1181920231030313235383940414811151820284349[[#This Row],[اجمالي الفاتوره]]-Table1181920231030313235383940414811151820284349[[#This Row],[الدفعات]]</f>
        <v>70885.979999999981</v>
      </c>
    </row>
    <row r="309" spans="10:14" s="1" customFormat="1" ht="23.25" customHeight="1" x14ac:dyDescent="0.3">
      <c r="J309" s="1">
        <f>0.03*Table1181920231030313235383940414811151820284349[[#This Row],[النولون]]</f>
        <v>0</v>
      </c>
      <c r="L30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09" s="1">
        <f>N308+Table1181920231030313235383940414811151820284349[[#This Row],[اجمالي الفاتوره]]-Table1181920231030313235383940414811151820284349[[#This Row],[الدفعات]]</f>
        <v>70885.979999999981</v>
      </c>
    </row>
    <row r="310" spans="10:14" s="1" customFormat="1" ht="23.25" customHeight="1" x14ac:dyDescent="0.3">
      <c r="J310" s="1">
        <f>0.03*Table1181920231030313235383940414811151820284349[[#This Row],[النولون]]</f>
        <v>0</v>
      </c>
      <c r="L31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10" s="1">
        <f>N309+Table1181920231030313235383940414811151820284349[[#This Row],[اجمالي الفاتوره]]-Table1181920231030313235383940414811151820284349[[#This Row],[الدفعات]]</f>
        <v>70885.979999999981</v>
      </c>
    </row>
    <row r="311" spans="10:14" s="1" customFormat="1" ht="23.25" customHeight="1" x14ac:dyDescent="0.3">
      <c r="J311" s="1">
        <f>0.03*Table1181920231030313235383940414811151820284349[[#This Row],[النولون]]</f>
        <v>0</v>
      </c>
      <c r="L31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11" s="1">
        <f>N310+Table1181920231030313235383940414811151820284349[[#This Row],[اجمالي الفاتوره]]-Table1181920231030313235383940414811151820284349[[#This Row],[الدفعات]]</f>
        <v>70885.979999999981</v>
      </c>
    </row>
    <row r="312" spans="10:14" s="1" customFormat="1" ht="23.25" customHeight="1" x14ac:dyDescent="0.3">
      <c r="J312" s="1">
        <f>0.03*Table1181920231030313235383940414811151820284349[[#This Row],[النولون]]</f>
        <v>0</v>
      </c>
      <c r="L31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12" s="1">
        <f>N311+Table1181920231030313235383940414811151820284349[[#This Row],[اجمالي الفاتوره]]-Table1181920231030313235383940414811151820284349[[#This Row],[الدفعات]]</f>
        <v>70885.979999999981</v>
      </c>
    </row>
    <row r="313" spans="10:14" s="1" customFormat="1" ht="23.25" customHeight="1" x14ac:dyDescent="0.3">
      <c r="J313" s="1">
        <f>0.03*Table1181920231030313235383940414811151820284349[[#This Row],[النولون]]</f>
        <v>0</v>
      </c>
      <c r="L31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13" s="1">
        <f>N312+Table1181920231030313235383940414811151820284349[[#This Row],[اجمالي الفاتوره]]-Table1181920231030313235383940414811151820284349[[#This Row],[الدفعات]]</f>
        <v>70885.979999999981</v>
      </c>
    </row>
    <row r="314" spans="10:14" s="1" customFormat="1" ht="23.25" customHeight="1" x14ac:dyDescent="0.3">
      <c r="J314" s="1">
        <f>0.03*Table1181920231030313235383940414811151820284349[[#This Row],[النولون]]</f>
        <v>0</v>
      </c>
      <c r="L31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14" s="1">
        <f>N313+Table1181920231030313235383940414811151820284349[[#This Row],[اجمالي الفاتوره]]-Table1181920231030313235383940414811151820284349[[#This Row],[الدفعات]]</f>
        <v>70885.979999999981</v>
      </c>
    </row>
    <row r="315" spans="10:14" s="1" customFormat="1" ht="23.25" customHeight="1" x14ac:dyDescent="0.3">
      <c r="J315" s="1">
        <f>0.03*Table1181920231030313235383940414811151820284349[[#This Row],[النولون]]</f>
        <v>0</v>
      </c>
      <c r="L31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15" s="1">
        <f>N314+Table1181920231030313235383940414811151820284349[[#This Row],[اجمالي الفاتوره]]-Table1181920231030313235383940414811151820284349[[#This Row],[الدفعات]]</f>
        <v>70885.979999999981</v>
      </c>
    </row>
    <row r="316" spans="10:14" s="1" customFormat="1" ht="23.25" customHeight="1" x14ac:dyDescent="0.3">
      <c r="J316" s="1">
        <f>0.03*Table1181920231030313235383940414811151820284349[[#This Row],[النولون]]</f>
        <v>0</v>
      </c>
      <c r="L31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16" s="1">
        <f>N315+Table1181920231030313235383940414811151820284349[[#This Row],[اجمالي الفاتوره]]-Table1181920231030313235383940414811151820284349[[#This Row],[الدفعات]]</f>
        <v>70885.979999999981</v>
      </c>
    </row>
    <row r="317" spans="10:14" s="1" customFormat="1" ht="23.25" customHeight="1" x14ac:dyDescent="0.3">
      <c r="J317" s="1">
        <f>0.03*Table1181920231030313235383940414811151820284349[[#This Row],[النولون]]</f>
        <v>0</v>
      </c>
      <c r="L31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17" s="1">
        <f>N316+Table1181920231030313235383940414811151820284349[[#This Row],[اجمالي الفاتوره]]-Table1181920231030313235383940414811151820284349[[#This Row],[الدفعات]]</f>
        <v>70885.979999999981</v>
      </c>
    </row>
    <row r="318" spans="10:14" s="1" customFormat="1" ht="23.25" customHeight="1" x14ac:dyDescent="0.3">
      <c r="J318" s="1">
        <f>0.03*Table1181920231030313235383940414811151820284349[[#This Row],[النولون]]</f>
        <v>0</v>
      </c>
      <c r="L31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18" s="1">
        <f>N317+Table1181920231030313235383940414811151820284349[[#This Row],[اجمالي الفاتوره]]-Table1181920231030313235383940414811151820284349[[#This Row],[الدفعات]]</f>
        <v>70885.979999999981</v>
      </c>
    </row>
    <row r="319" spans="10:14" s="1" customFormat="1" ht="23.25" customHeight="1" x14ac:dyDescent="0.3">
      <c r="J319" s="1">
        <f>0.03*Table1181920231030313235383940414811151820284349[[#This Row],[النولون]]</f>
        <v>0</v>
      </c>
      <c r="L31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19" s="1">
        <f>N318+Table1181920231030313235383940414811151820284349[[#This Row],[اجمالي الفاتوره]]-Table1181920231030313235383940414811151820284349[[#This Row],[الدفعات]]</f>
        <v>70885.979999999981</v>
      </c>
    </row>
    <row r="320" spans="10:14" s="1" customFormat="1" ht="23.25" customHeight="1" x14ac:dyDescent="0.3">
      <c r="J320" s="1">
        <f>0.03*Table1181920231030313235383940414811151820284349[[#This Row],[النولون]]</f>
        <v>0</v>
      </c>
      <c r="L32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20" s="1">
        <f>N319+Table1181920231030313235383940414811151820284349[[#This Row],[اجمالي الفاتوره]]-Table1181920231030313235383940414811151820284349[[#This Row],[الدفعات]]</f>
        <v>70885.979999999981</v>
      </c>
    </row>
    <row r="321" spans="10:14" s="1" customFormat="1" ht="23.25" customHeight="1" x14ac:dyDescent="0.3">
      <c r="J321" s="1">
        <f>0.03*Table1181920231030313235383940414811151820284349[[#This Row],[النولون]]</f>
        <v>0</v>
      </c>
      <c r="L32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21" s="1">
        <f>N320+Table1181920231030313235383940414811151820284349[[#This Row],[اجمالي الفاتوره]]-Table1181920231030313235383940414811151820284349[[#This Row],[الدفعات]]</f>
        <v>70885.979999999981</v>
      </c>
    </row>
    <row r="322" spans="10:14" s="1" customFormat="1" ht="23.25" customHeight="1" x14ac:dyDescent="0.3">
      <c r="J322" s="1">
        <f>0.03*Table1181920231030313235383940414811151820284349[[#This Row],[النولون]]</f>
        <v>0</v>
      </c>
      <c r="L32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22" s="1">
        <f>N321+Table1181920231030313235383940414811151820284349[[#This Row],[اجمالي الفاتوره]]-Table1181920231030313235383940414811151820284349[[#This Row],[الدفعات]]</f>
        <v>70885.979999999981</v>
      </c>
    </row>
    <row r="323" spans="10:14" s="1" customFormat="1" ht="23.25" customHeight="1" x14ac:dyDescent="0.3">
      <c r="J323" s="1">
        <f>0.03*Table1181920231030313235383940414811151820284349[[#This Row],[النولون]]</f>
        <v>0</v>
      </c>
      <c r="L32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23" s="1">
        <f>N322+Table1181920231030313235383940414811151820284349[[#This Row],[اجمالي الفاتوره]]-Table1181920231030313235383940414811151820284349[[#This Row],[الدفعات]]</f>
        <v>70885.979999999981</v>
      </c>
    </row>
    <row r="324" spans="10:14" s="1" customFormat="1" ht="23.25" customHeight="1" x14ac:dyDescent="0.3">
      <c r="J324" s="1">
        <f>0.03*Table1181920231030313235383940414811151820284349[[#This Row],[النولون]]</f>
        <v>0</v>
      </c>
      <c r="L32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24" s="1">
        <f>N323+Table1181920231030313235383940414811151820284349[[#This Row],[اجمالي الفاتوره]]-Table1181920231030313235383940414811151820284349[[#This Row],[الدفعات]]</f>
        <v>70885.979999999981</v>
      </c>
    </row>
    <row r="325" spans="10:14" s="1" customFormat="1" ht="23.25" customHeight="1" x14ac:dyDescent="0.3">
      <c r="J325" s="1">
        <f>0.03*Table1181920231030313235383940414811151820284349[[#This Row],[النولون]]</f>
        <v>0</v>
      </c>
      <c r="L32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25" s="1">
        <f>N324+Table1181920231030313235383940414811151820284349[[#This Row],[اجمالي الفاتوره]]-Table1181920231030313235383940414811151820284349[[#This Row],[الدفعات]]</f>
        <v>70885.979999999981</v>
      </c>
    </row>
    <row r="326" spans="10:14" s="1" customFormat="1" ht="23.25" customHeight="1" x14ac:dyDescent="0.3">
      <c r="J326" s="1">
        <f>0.03*Table1181920231030313235383940414811151820284349[[#This Row],[النولون]]</f>
        <v>0</v>
      </c>
      <c r="L32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26" s="1">
        <f>N325+Table1181920231030313235383940414811151820284349[[#This Row],[اجمالي الفاتوره]]-Table1181920231030313235383940414811151820284349[[#This Row],[الدفعات]]</f>
        <v>70885.979999999981</v>
      </c>
    </row>
    <row r="327" spans="10:14" s="1" customFormat="1" ht="23.25" customHeight="1" x14ac:dyDescent="0.3">
      <c r="J327" s="1">
        <f>0.03*Table1181920231030313235383940414811151820284349[[#This Row],[النولون]]</f>
        <v>0</v>
      </c>
      <c r="L32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27" s="1">
        <f>N326+Table1181920231030313235383940414811151820284349[[#This Row],[اجمالي الفاتوره]]-Table1181920231030313235383940414811151820284349[[#This Row],[الدفعات]]</f>
        <v>70885.979999999981</v>
      </c>
    </row>
    <row r="328" spans="10:14" s="1" customFormat="1" ht="23.25" customHeight="1" x14ac:dyDescent="0.3">
      <c r="J328" s="1">
        <f>0.03*Table1181920231030313235383940414811151820284349[[#This Row],[النولون]]</f>
        <v>0</v>
      </c>
      <c r="L32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28" s="1">
        <f>N327+Table1181920231030313235383940414811151820284349[[#This Row],[اجمالي الفاتوره]]-Table1181920231030313235383940414811151820284349[[#This Row],[الدفعات]]</f>
        <v>70885.979999999981</v>
      </c>
    </row>
    <row r="329" spans="10:14" s="1" customFormat="1" ht="23.25" customHeight="1" x14ac:dyDescent="0.3">
      <c r="J329" s="1">
        <f>0.03*Table1181920231030313235383940414811151820284349[[#This Row],[النولون]]</f>
        <v>0</v>
      </c>
      <c r="L329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29" s="1">
        <f>N328+Table1181920231030313235383940414811151820284349[[#This Row],[اجمالي الفاتوره]]-Table1181920231030313235383940414811151820284349[[#This Row],[الدفعات]]</f>
        <v>70885.979999999981</v>
      </c>
    </row>
    <row r="330" spans="10:14" s="1" customFormat="1" ht="23.25" customHeight="1" x14ac:dyDescent="0.3">
      <c r="J330" s="1">
        <f>0.03*Table1181920231030313235383940414811151820284349[[#This Row],[النولون]]</f>
        <v>0</v>
      </c>
      <c r="L330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30" s="1">
        <f>N329+Table1181920231030313235383940414811151820284349[[#This Row],[اجمالي الفاتوره]]-Table1181920231030313235383940414811151820284349[[#This Row],[الدفعات]]</f>
        <v>70885.979999999981</v>
      </c>
    </row>
    <row r="331" spans="10:14" s="1" customFormat="1" ht="23.25" customHeight="1" x14ac:dyDescent="0.3">
      <c r="J331" s="1">
        <f>0.03*Table1181920231030313235383940414811151820284349[[#This Row],[النولون]]</f>
        <v>0</v>
      </c>
      <c r="L331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31" s="1">
        <f>N330+Table1181920231030313235383940414811151820284349[[#This Row],[اجمالي الفاتوره]]-Table1181920231030313235383940414811151820284349[[#This Row],[الدفعات]]</f>
        <v>70885.979999999981</v>
      </c>
    </row>
    <row r="332" spans="10:14" s="1" customFormat="1" ht="23.25" customHeight="1" x14ac:dyDescent="0.3">
      <c r="J332" s="1">
        <f>0.03*Table1181920231030313235383940414811151820284349[[#This Row],[النولون]]</f>
        <v>0</v>
      </c>
      <c r="L332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32" s="1">
        <f>N331+Table1181920231030313235383940414811151820284349[[#This Row],[اجمالي الفاتوره]]-Table1181920231030313235383940414811151820284349[[#This Row],[الدفعات]]</f>
        <v>70885.979999999981</v>
      </c>
    </row>
    <row r="333" spans="10:14" s="1" customFormat="1" ht="23.25" customHeight="1" x14ac:dyDescent="0.3">
      <c r="J333" s="1">
        <f>0.03*Table1181920231030313235383940414811151820284349[[#This Row],[النولون]]</f>
        <v>0</v>
      </c>
      <c r="L333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33" s="1">
        <f>N332+Table1181920231030313235383940414811151820284349[[#This Row],[اجمالي الفاتوره]]-Table1181920231030313235383940414811151820284349[[#This Row],[الدفعات]]</f>
        <v>70885.979999999981</v>
      </c>
    </row>
    <row r="334" spans="10:14" s="1" customFormat="1" ht="23.25" customHeight="1" x14ac:dyDescent="0.3">
      <c r="J334" s="1">
        <f>0.03*Table1181920231030313235383940414811151820284349[[#This Row],[النولون]]</f>
        <v>0</v>
      </c>
      <c r="L334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34" s="1">
        <f>N333+Table1181920231030313235383940414811151820284349[[#This Row],[اجمالي الفاتوره]]-Table1181920231030313235383940414811151820284349[[#This Row],[الدفعات]]</f>
        <v>70885.979999999981</v>
      </c>
    </row>
    <row r="335" spans="10:14" s="1" customFormat="1" ht="23.25" customHeight="1" x14ac:dyDescent="0.3">
      <c r="J335" s="1">
        <f>0.03*Table1181920231030313235383940414811151820284349[[#This Row],[النولون]]</f>
        <v>0</v>
      </c>
      <c r="L335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35" s="1">
        <f>N334+Table1181920231030313235383940414811151820284349[[#This Row],[اجمالي الفاتوره]]-Table1181920231030313235383940414811151820284349[[#This Row],[الدفعات]]</f>
        <v>70885.979999999981</v>
      </c>
    </row>
    <row r="336" spans="10:14" s="1" customFormat="1" ht="23.25" customHeight="1" x14ac:dyDescent="0.3">
      <c r="J336" s="1">
        <f>0.03*Table1181920231030313235383940414811151820284349[[#This Row],[النولون]]</f>
        <v>0</v>
      </c>
      <c r="L336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36" s="1">
        <f>N335+Table1181920231030313235383940414811151820284349[[#This Row],[اجمالي الفاتوره]]-Table1181920231030313235383940414811151820284349[[#This Row],[الدفعات]]</f>
        <v>70885.979999999981</v>
      </c>
    </row>
    <row r="337" spans="10:14" s="1" customFormat="1" ht="23.25" customHeight="1" x14ac:dyDescent="0.3">
      <c r="J337" s="1">
        <f>0.03*Table1181920231030313235383940414811151820284349[[#This Row],[النولون]]</f>
        <v>0</v>
      </c>
      <c r="L337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37" s="1">
        <f>N336+Table1181920231030313235383940414811151820284349[[#This Row],[اجمالي الفاتوره]]-Table1181920231030313235383940414811151820284349[[#This Row],[الدفعات]]</f>
        <v>70885.979999999981</v>
      </c>
    </row>
    <row r="338" spans="10:14" s="1" customFormat="1" ht="23.25" customHeight="1" x14ac:dyDescent="0.3">
      <c r="J338" s="1">
        <f>0.03*Table1181920231030313235383940414811151820284349[[#This Row],[النولون]]</f>
        <v>0</v>
      </c>
      <c r="L338" s="1">
        <f>Table1181920231030313235383940414811151820284349[[#This Row],[النولون]]+Table1181920231030313235383940414811151820284349[[#This Row],[الايصالات]]-Table1181920231030313235383940414811151820284349[[#This Row],[خصم أ ت ص]]+Table1181920231030313235383940414811151820284349[[#This Row],[قيمة مضافة]]</f>
        <v>0</v>
      </c>
      <c r="N338" s="1">
        <f>N337+Table1181920231030313235383940414811151820284349[[#This Row],[اجمالي الفاتوره]]-Table1181920231030313235383940414811151820284349[[#This Row],[الدفعات]]</f>
        <v>70885.979999999981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340"/>
  <sheetViews>
    <sheetView rightToLeft="1" zoomScale="90" zoomScaleNormal="90" workbookViewId="0">
      <selection activeCell="C14" sqref="C14"/>
    </sheetView>
  </sheetViews>
  <sheetFormatPr defaultColWidth="9.109375" defaultRowHeight="22.5" customHeight="1" x14ac:dyDescent="0.3"/>
  <cols>
    <col min="1" max="1" width="9.109375" style="6"/>
    <col min="2" max="2" width="5.44140625" style="1" customWidth="1"/>
    <col min="3" max="3" width="11" style="1" customWidth="1"/>
    <col min="4" max="4" width="15.109375" style="1" customWidth="1"/>
    <col min="5" max="5" width="11.21875" style="1" customWidth="1"/>
    <col min="6" max="6" width="13.33203125" style="1" customWidth="1"/>
    <col min="7" max="7" width="11.88671875" style="1" customWidth="1"/>
    <col min="8" max="8" width="11.6640625" style="1" customWidth="1"/>
    <col min="9" max="9" width="8.33203125" style="1" customWidth="1"/>
    <col min="10" max="10" width="8.21875" style="1" customWidth="1"/>
    <col min="11" max="11" width="10.77734375" style="1" customWidth="1"/>
    <col min="12" max="12" width="12" style="1" customWidth="1"/>
    <col min="13" max="13" width="12.77734375" style="1" customWidth="1"/>
    <col min="14" max="14" width="15.21875" style="1" customWidth="1"/>
    <col min="15" max="16384" width="9.109375" style="1"/>
  </cols>
  <sheetData>
    <row r="1" spans="1:15" ht="22.5" customHeight="1" x14ac:dyDescent="0.3">
      <c r="A1" s="64" t="s">
        <v>15</v>
      </c>
      <c r="B1" s="88" t="s">
        <v>0</v>
      </c>
      <c r="C1" s="88" t="s">
        <v>1</v>
      </c>
      <c r="D1" s="88" t="s">
        <v>2</v>
      </c>
      <c r="E1" s="88" t="s">
        <v>3</v>
      </c>
      <c r="F1" s="88" t="s">
        <v>4</v>
      </c>
      <c r="G1" s="88" t="s">
        <v>5</v>
      </c>
      <c r="H1" s="88" t="s">
        <v>6</v>
      </c>
      <c r="I1" s="88" t="s">
        <v>7</v>
      </c>
      <c r="J1" s="88" t="s">
        <v>8</v>
      </c>
      <c r="K1" s="88" t="s">
        <v>9</v>
      </c>
      <c r="L1" s="88" t="s">
        <v>10</v>
      </c>
      <c r="M1" s="88" t="s">
        <v>11</v>
      </c>
      <c r="N1" s="88" t="s">
        <v>12</v>
      </c>
      <c r="O1" s="88" t="s">
        <v>13</v>
      </c>
    </row>
    <row r="2" spans="1:15" ht="22.5" customHeight="1" x14ac:dyDescent="0.3">
      <c r="B2" s="1">
        <v>1</v>
      </c>
      <c r="C2" s="2" t="s">
        <v>187</v>
      </c>
      <c r="D2" s="1" t="s">
        <v>193</v>
      </c>
      <c r="E2" s="1" t="s">
        <v>178</v>
      </c>
      <c r="F2" s="1">
        <v>869866</v>
      </c>
      <c r="G2" s="1" t="s">
        <v>121</v>
      </c>
      <c r="H2" s="1">
        <v>21500</v>
      </c>
      <c r="K2" s="1">
        <f>1100+105.79+452.78+100+25*4+25.1+200+285</f>
        <v>2368.67</v>
      </c>
      <c r="L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23868.67</v>
      </c>
      <c r="N2" s="1">
        <f>Table1181920231030313235383940414811151820284348[[#This Row],[اجمالي الفاتوره]]-Table1181920231030313235383940414811151820284348[[#This Row],[الدفعات]]</f>
        <v>23868.67</v>
      </c>
    </row>
    <row r="3" spans="1:15" ht="22.5" customHeight="1" x14ac:dyDescent="0.3">
      <c r="B3" s="1">
        <v>2</v>
      </c>
      <c r="C3" s="2" t="s">
        <v>237</v>
      </c>
      <c r="D3" s="1" t="s">
        <v>193</v>
      </c>
      <c r="E3" s="1" t="s">
        <v>178</v>
      </c>
      <c r="F3" s="1">
        <v>15559167</v>
      </c>
      <c r="G3" s="1" t="s">
        <v>120</v>
      </c>
      <c r="H3" s="1">
        <v>21500</v>
      </c>
      <c r="K3" s="1">
        <f>20+20+50+50+560+695.22+1655+3003+20</f>
        <v>6073.22</v>
      </c>
      <c r="L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27573.22</v>
      </c>
      <c r="N3" s="1">
        <f>N2+Table1181920231030313235383940414811151820284348[[#This Row],[اجمالي الفاتوره]]-Table1181920231030313235383940414811151820284348[[#This Row],[الدفعات]]</f>
        <v>51441.89</v>
      </c>
    </row>
    <row r="4" spans="1:15" ht="22.5" customHeight="1" x14ac:dyDescent="0.3">
      <c r="A4" s="89"/>
      <c r="B4" s="72"/>
      <c r="C4" s="73" t="s">
        <v>288</v>
      </c>
      <c r="D4" s="72"/>
      <c r="E4" s="72"/>
      <c r="F4" s="72"/>
      <c r="G4" s="72"/>
      <c r="H4" s="72"/>
      <c r="I4" s="72"/>
      <c r="J4" s="72"/>
      <c r="K4" s="72"/>
      <c r="L4" s="72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M4" s="72">
        <v>40000</v>
      </c>
      <c r="N4" s="72">
        <f>N3+Table1181920231030313235383940414811151820284348[[#This Row],[اجمالي الفاتوره]]-Table1181920231030313235383940414811151820284348[[#This Row],[الدفعات]]</f>
        <v>11441.89</v>
      </c>
    </row>
    <row r="5" spans="1:15" ht="22.5" customHeight="1" x14ac:dyDescent="0.3">
      <c r="B5" s="1">
        <v>3</v>
      </c>
      <c r="C5" s="2" t="s">
        <v>299</v>
      </c>
      <c r="D5" s="2" t="s">
        <v>193</v>
      </c>
      <c r="E5" s="1" t="s">
        <v>178</v>
      </c>
      <c r="F5" s="1">
        <v>2369</v>
      </c>
      <c r="G5" s="1" t="s">
        <v>159</v>
      </c>
      <c r="H5" s="1">
        <v>16500</v>
      </c>
      <c r="K5" s="1">
        <f>580+243.19+60+672.6</f>
        <v>1555.79</v>
      </c>
      <c r="L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18055.79</v>
      </c>
      <c r="N5" s="1">
        <f>N4+Table1181920231030313235383940414811151820284348[[#This Row],[اجمالي الفاتوره]]-Table1181920231030313235383940414811151820284348[[#This Row],[الدفعات]]</f>
        <v>29497.68</v>
      </c>
    </row>
    <row r="6" spans="1:15" ht="22.5" customHeight="1" x14ac:dyDescent="0.3">
      <c r="B6" s="1">
        <v>4</v>
      </c>
      <c r="C6" s="2" t="s">
        <v>356</v>
      </c>
      <c r="D6" s="1" t="s">
        <v>193</v>
      </c>
      <c r="E6" s="1" t="s">
        <v>178</v>
      </c>
      <c r="F6" s="1">
        <v>882897</v>
      </c>
      <c r="G6" s="1" t="s">
        <v>159</v>
      </c>
      <c r="H6" s="1">
        <v>16500</v>
      </c>
      <c r="K6" s="1">
        <f>50+60+590+259.82+171+150+2500</f>
        <v>3780.8199999999997</v>
      </c>
      <c r="L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20280.82</v>
      </c>
      <c r="N6" s="1">
        <f>N5+Table1181920231030313235383940414811151820284348[[#This Row],[اجمالي الفاتوره]]-Table1181920231030313235383940414811151820284348[[#This Row],[الدفعات]]</f>
        <v>49778.5</v>
      </c>
    </row>
    <row r="7" spans="1:15" ht="22.5" customHeight="1" x14ac:dyDescent="0.3">
      <c r="A7" s="74"/>
      <c r="B7" s="72"/>
      <c r="C7" s="73" t="s">
        <v>389</v>
      </c>
      <c r="D7" s="72"/>
      <c r="E7" s="72"/>
      <c r="F7" s="72"/>
      <c r="G7" s="72"/>
      <c r="H7" s="72"/>
      <c r="I7" s="72"/>
      <c r="J7" s="72"/>
      <c r="K7" s="72"/>
      <c r="L7" s="72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M7" s="72">
        <v>15000</v>
      </c>
      <c r="N7" s="72">
        <f>N6+Table1181920231030313235383940414811151820284348[[#This Row],[اجمالي الفاتوره]]-Table1181920231030313235383940414811151820284348[[#This Row],[الدفعات]]</f>
        <v>34778.5</v>
      </c>
    </row>
    <row r="8" spans="1:15" ht="22.5" customHeight="1" x14ac:dyDescent="0.3">
      <c r="B8" s="1">
        <v>5</v>
      </c>
      <c r="C8" s="2" t="s">
        <v>407</v>
      </c>
      <c r="D8" s="1" t="s">
        <v>193</v>
      </c>
      <c r="E8" s="1" t="s">
        <v>178</v>
      </c>
      <c r="F8" s="1">
        <v>6446372930</v>
      </c>
      <c r="G8" s="1" t="s">
        <v>121</v>
      </c>
      <c r="H8" s="1">
        <v>23500</v>
      </c>
      <c r="K8" s="1">
        <f>850+1100+418.61+1231.2+342</f>
        <v>3941.8100000000004</v>
      </c>
      <c r="L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27441.81</v>
      </c>
      <c r="N8" s="1">
        <f>N7+Table1181920231030313235383940414811151820284348[[#This Row],[اجمالي الفاتوره]]-Table1181920231030313235383940414811151820284348[[#This Row],[الدفعات]]</f>
        <v>62220.31</v>
      </c>
    </row>
    <row r="9" spans="1:15" ht="22.5" customHeight="1" x14ac:dyDescent="0.3">
      <c r="B9" s="1">
        <v>6</v>
      </c>
      <c r="C9" s="2" t="s">
        <v>407</v>
      </c>
      <c r="D9" s="1" t="s">
        <v>193</v>
      </c>
      <c r="E9" s="1" t="s">
        <v>94</v>
      </c>
      <c r="F9" s="20">
        <v>266593241</v>
      </c>
      <c r="G9" s="1" t="s">
        <v>121</v>
      </c>
      <c r="H9" s="1">
        <v>18000</v>
      </c>
      <c r="K9" s="1">
        <f>1100+45.15+450.56+139.4+850+79+500+4368</f>
        <v>7532.1100000000006</v>
      </c>
      <c r="L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25532.11</v>
      </c>
      <c r="N9" s="1">
        <f>N8+Table1181920231030313235383940414811151820284348[[#This Row],[اجمالي الفاتوره]]-Table1181920231030313235383940414811151820284348[[#This Row],[الدفعات]]</f>
        <v>87752.42</v>
      </c>
    </row>
    <row r="10" spans="1:15" ht="22.5" customHeight="1" x14ac:dyDescent="0.3">
      <c r="B10" s="1">
        <v>7</v>
      </c>
      <c r="C10" s="2" t="s">
        <v>407</v>
      </c>
      <c r="D10" s="1" t="s">
        <v>193</v>
      </c>
      <c r="E10" s="1" t="s">
        <v>178</v>
      </c>
      <c r="F10" s="20">
        <v>897484</v>
      </c>
      <c r="G10" s="1" t="s">
        <v>121</v>
      </c>
      <c r="H10" s="1">
        <v>23500</v>
      </c>
      <c r="K10" s="1">
        <f>850+100+100+1150+441.22+1146.84+200+285</f>
        <v>4273.0600000000004</v>
      </c>
      <c r="L1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27773.06</v>
      </c>
      <c r="N10" s="1">
        <f>N9+Table1181920231030313235383940414811151820284348[[#This Row],[اجمالي الفاتوره]]-Table1181920231030313235383940414811151820284348[[#This Row],[الدفعات]]</f>
        <v>115525.48</v>
      </c>
    </row>
    <row r="11" spans="1:15" ht="22.5" customHeight="1" x14ac:dyDescent="0.3">
      <c r="B11" s="41">
        <v>8</v>
      </c>
      <c r="C11" s="2" t="s">
        <v>407</v>
      </c>
      <c r="D11" s="1" t="s">
        <v>193</v>
      </c>
      <c r="E11" s="1" t="s">
        <v>178</v>
      </c>
      <c r="F11" s="41">
        <v>890142</v>
      </c>
      <c r="G11" s="1" t="s">
        <v>159</v>
      </c>
      <c r="H11" s="41">
        <v>18000</v>
      </c>
      <c r="I11" s="41"/>
      <c r="J11" s="41"/>
      <c r="K11" s="41">
        <f>60+810+590+246.01+50+969+150+171</f>
        <v>3046.01</v>
      </c>
      <c r="L11" s="4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21046.010000000002</v>
      </c>
      <c r="M11" s="41"/>
      <c r="N11" s="1">
        <f>N10+Table1181920231030313235383940414811151820284348[[#This Row],[اجمالي الفاتوره]]-Table1181920231030313235383940414811151820284348[[#This Row],[الدفعات]]</f>
        <v>136571.49</v>
      </c>
      <c r="O11" s="41"/>
    </row>
    <row r="12" spans="1:15" ht="22.5" customHeight="1" x14ac:dyDescent="0.3">
      <c r="A12" s="74"/>
      <c r="B12" s="72"/>
      <c r="C12" s="73">
        <v>46126</v>
      </c>
      <c r="D12" s="72"/>
      <c r="E12" s="72"/>
      <c r="F12" s="85"/>
      <c r="G12" s="72"/>
      <c r="H12" s="72"/>
      <c r="I12" s="72"/>
      <c r="J12" s="72"/>
      <c r="K12" s="72"/>
      <c r="L12" s="94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M12" s="72">
        <v>70000</v>
      </c>
      <c r="N12" s="72">
        <f>N11+Table1181920231030313235383940414811151820284348[[#This Row],[اجمالي الفاتوره]]-Table1181920231030313235383940414811151820284348[[#This Row],[الدفعات]]</f>
        <v>66571.489999999991</v>
      </c>
    </row>
    <row r="13" spans="1:15" ht="22.5" customHeight="1" x14ac:dyDescent="0.3">
      <c r="A13" s="74"/>
      <c r="B13" s="94"/>
      <c r="C13" s="103">
        <v>46146</v>
      </c>
      <c r="D13" s="94"/>
      <c r="E13" s="94"/>
      <c r="F13" s="94"/>
      <c r="G13" s="94"/>
      <c r="H13" s="94"/>
      <c r="I13" s="94"/>
      <c r="J13" s="94"/>
      <c r="K13" s="94"/>
      <c r="L13" s="94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M13" s="94">
        <v>66570</v>
      </c>
      <c r="N13" s="72">
        <f>N12+Table1181920231030313235383940414811151820284348[[#This Row],[اجمالي الفاتوره]]-Table1181920231030313235383940414811151820284348[[#This Row],[الدفعات]]</f>
        <v>1.4899999999906868</v>
      </c>
      <c r="O13" s="41"/>
    </row>
    <row r="14" spans="1:15" ht="22.5" customHeight="1" x14ac:dyDescent="0.3">
      <c r="C14" s="2"/>
      <c r="L14" s="4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4" s="1">
        <f>N13+Table1181920231030313235383940414811151820284348[[#This Row],[اجمالي الفاتوره]]-Table1181920231030313235383940414811151820284348[[#This Row],[الدفعات]]</f>
        <v>1.4899999999906868</v>
      </c>
      <c r="O14" s="1">
        <f>SUM(L:L)-SUM(M:M)</f>
        <v>1.4899999999906868</v>
      </c>
    </row>
    <row r="15" spans="1:15" ht="22.5" customHeight="1" x14ac:dyDescent="0.3">
      <c r="C15" s="2"/>
      <c r="L1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5" s="1">
        <f>N14+Table1181920231030313235383940414811151820284348[[#This Row],[اجمالي الفاتوره]]-Table1181920231030313235383940414811151820284348[[#This Row],[الدفعات]]</f>
        <v>1.4899999999906868</v>
      </c>
    </row>
    <row r="16" spans="1:15" ht="22.5" customHeight="1" x14ac:dyDescent="0.3">
      <c r="C16" s="2"/>
      <c r="L1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6" s="1">
        <f>N15+Table1181920231030313235383940414811151820284348[[#This Row],[اجمالي الفاتوره]]-Table1181920231030313235383940414811151820284348[[#This Row],[الدفعات]]</f>
        <v>1.4899999999906868</v>
      </c>
    </row>
    <row r="17" spans="3:14" ht="22.5" customHeight="1" x14ac:dyDescent="0.3">
      <c r="C17" s="2"/>
      <c r="L1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7" s="1">
        <f>N16+Table1181920231030313235383940414811151820284348[[#This Row],[اجمالي الفاتوره]]-Table1181920231030313235383940414811151820284348[[#This Row],[الدفعات]]</f>
        <v>1.4899999999906868</v>
      </c>
    </row>
    <row r="18" spans="3:14" ht="22.5" customHeight="1" x14ac:dyDescent="0.3">
      <c r="C18" s="2"/>
      <c r="L1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8" s="1">
        <f>N17+Table1181920231030313235383940414811151820284348[[#This Row],[اجمالي الفاتوره]]-Table1181920231030313235383940414811151820284348[[#This Row],[الدفعات]]</f>
        <v>1.4899999999906868</v>
      </c>
    </row>
    <row r="19" spans="3:14" ht="22.5" customHeight="1" x14ac:dyDescent="0.3">
      <c r="C19" s="2"/>
      <c r="L1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9" s="1">
        <f>N18+Table1181920231030313235383940414811151820284348[[#This Row],[اجمالي الفاتوره]]-Table1181920231030313235383940414811151820284348[[#This Row],[الدفعات]]</f>
        <v>1.4899999999906868</v>
      </c>
    </row>
    <row r="20" spans="3:14" ht="22.5" customHeight="1" x14ac:dyDescent="0.3">
      <c r="C20" s="2"/>
      <c r="L2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0" s="1">
        <f>N19+Table1181920231030313235383940414811151820284348[[#This Row],[اجمالي الفاتوره]]-Table1181920231030313235383940414811151820284348[[#This Row],[الدفعات]]</f>
        <v>1.4899999999906868</v>
      </c>
    </row>
    <row r="21" spans="3:14" ht="22.5" customHeight="1" x14ac:dyDescent="0.3">
      <c r="C21" s="2"/>
      <c r="L2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1" s="1">
        <f>N20+Table1181920231030313235383940414811151820284348[[#This Row],[اجمالي الفاتوره]]-Table1181920231030313235383940414811151820284348[[#This Row],[الدفعات]]</f>
        <v>1.4899999999906868</v>
      </c>
    </row>
    <row r="22" spans="3:14" ht="22.5" customHeight="1" x14ac:dyDescent="0.3">
      <c r="C22" s="2"/>
      <c r="L2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2" s="1">
        <f>N21+Table1181920231030313235383940414811151820284348[[#This Row],[اجمالي الفاتوره]]-Table1181920231030313235383940414811151820284348[[#This Row],[الدفعات]]</f>
        <v>1.4899999999906868</v>
      </c>
    </row>
    <row r="23" spans="3:14" ht="22.5" customHeight="1" x14ac:dyDescent="0.3">
      <c r="C23" s="2"/>
      <c r="L2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3" s="1">
        <f>N22+Table1181920231030313235383940414811151820284348[[#This Row],[اجمالي الفاتوره]]-Table1181920231030313235383940414811151820284348[[#This Row],[الدفعات]]</f>
        <v>1.4899999999906868</v>
      </c>
    </row>
    <row r="24" spans="3:14" ht="22.5" customHeight="1" x14ac:dyDescent="0.3">
      <c r="C24" s="2"/>
      <c r="L2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4" s="1">
        <f>N23+Table1181920231030313235383940414811151820284348[[#This Row],[اجمالي الفاتوره]]-Table1181920231030313235383940414811151820284348[[#This Row],[الدفعات]]</f>
        <v>1.4899999999906868</v>
      </c>
    </row>
    <row r="25" spans="3:14" ht="22.5" customHeight="1" x14ac:dyDescent="0.3">
      <c r="C25" s="2"/>
      <c r="L2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5" s="1">
        <f>N24+Table1181920231030313235383940414811151820284348[[#This Row],[اجمالي الفاتوره]]-Table1181920231030313235383940414811151820284348[[#This Row],[الدفعات]]</f>
        <v>1.4899999999906868</v>
      </c>
    </row>
    <row r="26" spans="3:14" ht="22.5" customHeight="1" x14ac:dyDescent="0.3">
      <c r="L2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6" s="1">
        <f>N25+Table1181920231030313235383940414811151820284348[[#This Row],[اجمالي الفاتوره]]-Table1181920231030313235383940414811151820284348[[#This Row],[الدفعات]]</f>
        <v>1.4899999999906868</v>
      </c>
    </row>
    <row r="27" spans="3:14" ht="22.5" customHeight="1" x14ac:dyDescent="0.3">
      <c r="L2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7" s="1">
        <f>N26+Table1181920231030313235383940414811151820284348[[#This Row],[اجمالي الفاتوره]]-Table1181920231030313235383940414811151820284348[[#This Row],[الدفعات]]</f>
        <v>1.4899999999906868</v>
      </c>
    </row>
    <row r="28" spans="3:14" ht="22.5" customHeight="1" x14ac:dyDescent="0.3">
      <c r="C28" s="2"/>
      <c r="L2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8" s="1">
        <f>N27+Table1181920231030313235383940414811151820284348[[#This Row],[اجمالي الفاتوره]]-Table1181920231030313235383940414811151820284348[[#This Row],[الدفعات]]</f>
        <v>1.4899999999906868</v>
      </c>
    </row>
    <row r="29" spans="3:14" ht="22.5" customHeight="1" x14ac:dyDescent="0.3">
      <c r="C29" s="2"/>
      <c r="L2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9" s="1">
        <f>N28+Table1181920231030313235383940414811151820284348[[#This Row],[اجمالي الفاتوره]]-Table1181920231030313235383940414811151820284348[[#This Row],[الدفعات]]</f>
        <v>1.4899999999906868</v>
      </c>
    </row>
    <row r="30" spans="3:14" ht="22.5" customHeight="1" x14ac:dyDescent="0.3">
      <c r="C30" s="2"/>
      <c r="L3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0" s="1">
        <f>N29+Table1181920231030313235383940414811151820284348[[#This Row],[اجمالي الفاتوره]]-Table1181920231030313235383940414811151820284348[[#This Row],[الدفعات]]</f>
        <v>1.4899999999906868</v>
      </c>
    </row>
    <row r="31" spans="3:14" ht="22.5" customHeight="1" x14ac:dyDescent="0.3">
      <c r="C31" s="2"/>
      <c r="L3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1" s="1">
        <f>N30+Table1181920231030313235383940414811151820284348[[#This Row],[اجمالي الفاتوره]]-Table1181920231030313235383940414811151820284348[[#This Row],[الدفعات]]</f>
        <v>1.4899999999906868</v>
      </c>
    </row>
    <row r="32" spans="3:14" ht="22.5" customHeight="1" x14ac:dyDescent="0.3">
      <c r="L3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2" s="1">
        <f>N31+Table1181920231030313235383940414811151820284348[[#This Row],[اجمالي الفاتوره]]-Table1181920231030313235383940414811151820284348[[#This Row],[الدفعات]]</f>
        <v>1.4899999999906868</v>
      </c>
    </row>
    <row r="33" spans="3:14" ht="22.5" customHeight="1" x14ac:dyDescent="0.3">
      <c r="C33" s="2"/>
      <c r="L3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3" s="1">
        <f>N32+Table1181920231030313235383940414811151820284348[[#This Row],[اجمالي الفاتوره]]-Table1181920231030313235383940414811151820284348[[#This Row],[الدفعات]]</f>
        <v>1.4899999999906868</v>
      </c>
    </row>
    <row r="34" spans="3:14" ht="22.5" customHeight="1" x14ac:dyDescent="0.3">
      <c r="L3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4" s="1">
        <f>N33+Table1181920231030313235383940414811151820284348[[#This Row],[اجمالي الفاتوره]]-Table1181920231030313235383940414811151820284348[[#This Row],[الدفعات]]</f>
        <v>1.4899999999906868</v>
      </c>
    </row>
    <row r="35" spans="3:14" ht="22.5" customHeight="1" x14ac:dyDescent="0.3">
      <c r="L3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5" s="1">
        <f>N34+Table1181920231030313235383940414811151820284348[[#This Row],[اجمالي الفاتوره]]-Table1181920231030313235383940414811151820284348[[#This Row],[الدفعات]]</f>
        <v>1.4899999999906868</v>
      </c>
    </row>
    <row r="36" spans="3:14" ht="22.5" customHeight="1" x14ac:dyDescent="0.3">
      <c r="L3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6" s="1">
        <f>N35+Table1181920231030313235383940414811151820284348[[#This Row],[اجمالي الفاتوره]]-Table1181920231030313235383940414811151820284348[[#This Row],[الدفعات]]</f>
        <v>1.4899999999906868</v>
      </c>
    </row>
    <row r="37" spans="3:14" ht="22.5" customHeight="1" x14ac:dyDescent="0.3">
      <c r="C37" s="2"/>
      <c r="D37" s="2"/>
      <c r="L3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7" s="1">
        <f>N36+Table1181920231030313235383940414811151820284348[[#This Row],[اجمالي الفاتوره]]-Table1181920231030313235383940414811151820284348[[#This Row],[الدفعات]]</f>
        <v>1.4899999999906868</v>
      </c>
    </row>
    <row r="38" spans="3:14" ht="22.5" customHeight="1" x14ac:dyDescent="0.3">
      <c r="L3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8" s="1">
        <f>N37+Table1181920231030313235383940414811151820284348[[#This Row],[اجمالي الفاتوره]]-Table1181920231030313235383940414811151820284348[[#This Row],[الدفعات]]</f>
        <v>1.4899999999906868</v>
      </c>
    </row>
    <row r="39" spans="3:14" ht="22.5" customHeight="1" x14ac:dyDescent="0.3">
      <c r="L3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9" s="1">
        <f>N38+Table1181920231030313235383940414811151820284348[[#This Row],[اجمالي الفاتوره]]-Table1181920231030313235383940414811151820284348[[#This Row],[الدفعات]]</f>
        <v>1.4899999999906868</v>
      </c>
    </row>
    <row r="40" spans="3:14" ht="22.5" customHeight="1" x14ac:dyDescent="0.3">
      <c r="L4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40" s="1">
        <f>N39+Table1181920231030313235383940414811151820284348[[#This Row],[اجمالي الفاتوره]]-Table1181920231030313235383940414811151820284348[[#This Row],[الدفعات]]</f>
        <v>1.4899999999906868</v>
      </c>
    </row>
    <row r="41" spans="3:14" ht="22.5" customHeight="1" x14ac:dyDescent="0.3">
      <c r="L4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41" s="1">
        <f>N40+Table1181920231030313235383940414811151820284348[[#This Row],[اجمالي الفاتوره]]-Table1181920231030313235383940414811151820284348[[#This Row],[الدفعات]]</f>
        <v>1.4899999999906868</v>
      </c>
    </row>
    <row r="42" spans="3:14" ht="22.5" customHeight="1" x14ac:dyDescent="0.3">
      <c r="L4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42" s="1">
        <f>N41+Table1181920231030313235383940414811151820284348[[#This Row],[اجمالي الفاتوره]]-Table1181920231030313235383940414811151820284348[[#This Row],[الدفعات]]</f>
        <v>1.4899999999906868</v>
      </c>
    </row>
    <row r="43" spans="3:14" ht="22.5" customHeight="1" x14ac:dyDescent="0.3">
      <c r="L4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43" s="1">
        <f>N42+Table1181920231030313235383940414811151820284348[[#This Row],[اجمالي الفاتوره]]-Table1181920231030313235383940414811151820284348[[#This Row],[الدفعات]]</f>
        <v>1.4899999999906868</v>
      </c>
    </row>
    <row r="44" spans="3:14" ht="22.5" customHeight="1" x14ac:dyDescent="0.3">
      <c r="L4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44" s="1">
        <f>N43+Table1181920231030313235383940414811151820284348[[#This Row],[اجمالي الفاتوره]]-Table1181920231030313235383940414811151820284348[[#This Row],[الدفعات]]</f>
        <v>1.4899999999906868</v>
      </c>
    </row>
    <row r="45" spans="3:14" ht="22.5" customHeight="1" x14ac:dyDescent="0.3">
      <c r="L4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45" s="1">
        <f>N44+Table1181920231030313235383940414811151820284348[[#This Row],[اجمالي الفاتوره]]-Table1181920231030313235383940414811151820284348[[#This Row],[الدفعات]]</f>
        <v>1.4899999999906868</v>
      </c>
    </row>
    <row r="46" spans="3:14" ht="22.5" customHeight="1" x14ac:dyDescent="0.3">
      <c r="L4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46" s="1">
        <f>N45+Table1181920231030313235383940414811151820284348[[#This Row],[اجمالي الفاتوره]]-Table1181920231030313235383940414811151820284348[[#This Row],[الدفعات]]</f>
        <v>1.4899999999906868</v>
      </c>
    </row>
    <row r="47" spans="3:14" ht="22.5" customHeight="1" x14ac:dyDescent="0.3">
      <c r="L4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47" s="1">
        <f>N46+Table1181920231030313235383940414811151820284348[[#This Row],[اجمالي الفاتوره]]-Table1181920231030313235383940414811151820284348[[#This Row],[الدفعات]]</f>
        <v>1.4899999999906868</v>
      </c>
    </row>
    <row r="48" spans="3:14" ht="22.5" customHeight="1" x14ac:dyDescent="0.3">
      <c r="L4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48" s="1">
        <f>N47+Table1181920231030313235383940414811151820284348[[#This Row],[اجمالي الفاتوره]]-Table1181920231030313235383940414811151820284348[[#This Row],[الدفعات]]</f>
        <v>1.4899999999906868</v>
      </c>
    </row>
    <row r="49" spans="1:14" ht="22.5" customHeight="1" x14ac:dyDescent="0.3">
      <c r="L4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49" s="1">
        <f>N48+Table1181920231030313235383940414811151820284348[[#This Row],[اجمالي الفاتوره]]-Table1181920231030313235383940414811151820284348[[#This Row],[الدفعات]]</f>
        <v>1.4899999999906868</v>
      </c>
    </row>
    <row r="50" spans="1:14" ht="22.5" customHeight="1" x14ac:dyDescent="0.3">
      <c r="L5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50" s="1">
        <f>N49+Table1181920231030313235383940414811151820284348[[#This Row],[اجمالي الفاتوره]]-Table1181920231030313235383940414811151820284348[[#This Row],[الدفعات]]</f>
        <v>1.4899999999906868</v>
      </c>
    </row>
    <row r="51" spans="1:14" ht="22.5" customHeight="1" x14ac:dyDescent="0.3">
      <c r="A51" s="1"/>
      <c r="L5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51" s="1">
        <f>N50+Table1181920231030313235383940414811151820284348[[#This Row],[اجمالي الفاتوره]]-Table1181920231030313235383940414811151820284348[[#This Row],[الدفعات]]</f>
        <v>1.4899999999906868</v>
      </c>
    </row>
    <row r="52" spans="1:14" ht="22.5" customHeight="1" x14ac:dyDescent="0.3">
      <c r="A52" s="1"/>
      <c r="L5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52" s="1">
        <f>N51+Table1181920231030313235383940414811151820284348[[#This Row],[اجمالي الفاتوره]]-Table1181920231030313235383940414811151820284348[[#This Row],[الدفعات]]</f>
        <v>1.4899999999906868</v>
      </c>
    </row>
    <row r="53" spans="1:14" ht="22.5" customHeight="1" x14ac:dyDescent="0.3">
      <c r="A53" s="1"/>
      <c r="L5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53" s="1">
        <f>N52+Table1181920231030313235383940414811151820284348[[#This Row],[اجمالي الفاتوره]]-Table1181920231030313235383940414811151820284348[[#This Row],[الدفعات]]</f>
        <v>1.4899999999906868</v>
      </c>
    </row>
    <row r="54" spans="1:14" ht="22.5" customHeight="1" x14ac:dyDescent="0.3">
      <c r="A54" s="1"/>
      <c r="L5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54" s="1">
        <f>N53+Table1181920231030313235383940414811151820284348[[#This Row],[اجمالي الفاتوره]]-Table1181920231030313235383940414811151820284348[[#This Row],[الدفعات]]</f>
        <v>1.4899999999906868</v>
      </c>
    </row>
    <row r="55" spans="1:14" ht="22.5" customHeight="1" x14ac:dyDescent="0.3">
      <c r="A55" s="1"/>
      <c r="L5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55" s="1">
        <f>N54+Table1181920231030313235383940414811151820284348[[#This Row],[اجمالي الفاتوره]]-Table1181920231030313235383940414811151820284348[[#This Row],[الدفعات]]</f>
        <v>1.4899999999906868</v>
      </c>
    </row>
    <row r="56" spans="1:14" ht="22.5" customHeight="1" x14ac:dyDescent="0.3">
      <c r="A56" s="1"/>
      <c r="L5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56" s="1">
        <f>N55+Table1181920231030313235383940414811151820284348[[#This Row],[اجمالي الفاتوره]]-Table1181920231030313235383940414811151820284348[[#This Row],[الدفعات]]</f>
        <v>1.4899999999906868</v>
      </c>
    </row>
    <row r="57" spans="1:14" ht="22.5" customHeight="1" x14ac:dyDescent="0.3">
      <c r="A57" s="1"/>
      <c r="L5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57" s="1">
        <f>N56+Table1181920231030313235383940414811151820284348[[#This Row],[اجمالي الفاتوره]]-Table1181920231030313235383940414811151820284348[[#This Row],[الدفعات]]</f>
        <v>1.4899999999906868</v>
      </c>
    </row>
    <row r="58" spans="1:14" ht="22.5" customHeight="1" x14ac:dyDescent="0.3">
      <c r="A58" s="1"/>
      <c r="L5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58" s="1">
        <f>N57+Table1181920231030313235383940414811151820284348[[#This Row],[اجمالي الفاتوره]]-Table1181920231030313235383940414811151820284348[[#This Row],[الدفعات]]</f>
        <v>1.4899999999906868</v>
      </c>
    </row>
    <row r="59" spans="1:14" ht="22.5" customHeight="1" x14ac:dyDescent="0.3">
      <c r="A59" s="1"/>
      <c r="L5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59" s="1">
        <f>N58+Table1181920231030313235383940414811151820284348[[#This Row],[اجمالي الفاتوره]]-Table1181920231030313235383940414811151820284348[[#This Row],[الدفعات]]</f>
        <v>1.4899999999906868</v>
      </c>
    </row>
    <row r="60" spans="1:14" ht="22.5" customHeight="1" x14ac:dyDescent="0.3">
      <c r="A60" s="1"/>
      <c r="L6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60" s="1">
        <f>N59+Table1181920231030313235383940414811151820284348[[#This Row],[اجمالي الفاتوره]]-Table1181920231030313235383940414811151820284348[[#This Row],[الدفعات]]</f>
        <v>1.4899999999906868</v>
      </c>
    </row>
    <row r="61" spans="1:14" ht="22.5" customHeight="1" x14ac:dyDescent="0.3">
      <c r="A61" s="1"/>
      <c r="L6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61" s="1">
        <f>N60+Table1181920231030313235383940414811151820284348[[#This Row],[اجمالي الفاتوره]]-Table1181920231030313235383940414811151820284348[[#This Row],[الدفعات]]</f>
        <v>1.4899999999906868</v>
      </c>
    </row>
    <row r="62" spans="1:14" ht="22.5" customHeight="1" x14ac:dyDescent="0.3">
      <c r="A62" s="1"/>
      <c r="L6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62" s="1">
        <f>N61+Table1181920231030313235383940414811151820284348[[#This Row],[اجمالي الفاتوره]]-Table1181920231030313235383940414811151820284348[[#This Row],[الدفعات]]</f>
        <v>1.4899999999906868</v>
      </c>
    </row>
    <row r="63" spans="1:14" ht="22.5" customHeight="1" x14ac:dyDescent="0.3">
      <c r="A63" s="1"/>
      <c r="L6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63" s="1">
        <f>N62+Table1181920231030313235383940414811151820284348[[#This Row],[اجمالي الفاتوره]]-Table1181920231030313235383940414811151820284348[[#This Row],[الدفعات]]</f>
        <v>1.4899999999906868</v>
      </c>
    </row>
    <row r="64" spans="1:14" ht="22.5" customHeight="1" x14ac:dyDescent="0.3">
      <c r="A64" s="1"/>
      <c r="L6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64" s="1">
        <f>N63+Table1181920231030313235383940414811151820284348[[#This Row],[اجمالي الفاتوره]]-Table1181920231030313235383940414811151820284348[[#This Row],[الدفعات]]</f>
        <v>1.4899999999906868</v>
      </c>
    </row>
    <row r="65" spans="12:14" s="1" customFormat="1" ht="22.5" customHeight="1" x14ac:dyDescent="0.3">
      <c r="L6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65" s="1">
        <f>N64+Table1181920231030313235383940414811151820284348[[#This Row],[اجمالي الفاتوره]]-Table1181920231030313235383940414811151820284348[[#This Row],[الدفعات]]</f>
        <v>1.4899999999906868</v>
      </c>
    </row>
    <row r="66" spans="12:14" s="1" customFormat="1" ht="22.5" customHeight="1" x14ac:dyDescent="0.3">
      <c r="L6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66" s="1">
        <f>N65+Table1181920231030313235383940414811151820284348[[#This Row],[اجمالي الفاتوره]]-Table1181920231030313235383940414811151820284348[[#This Row],[الدفعات]]</f>
        <v>1.4899999999906868</v>
      </c>
    </row>
    <row r="67" spans="12:14" s="1" customFormat="1" ht="22.5" customHeight="1" x14ac:dyDescent="0.3">
      <c r="L6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67" s="1">
        <f>N66+Table1181920231030313235383940414811151820284348[[#This Row],[اجمالي الفاتوره]]-Table1181920231030313235383940414811151820284348[[#This Row],[الدفعات]]</f>
        <v>1.4899999999906868</v>
      </c>
    </row>
    <row r="68" spans="12:14" s="1" customFormat="1" ht="22.5" customHeight="1" x14ac:dyDescent="0.3">
      <c r="L6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68" s="1">
        <f>N67+Table1181920231030313235383940414811151820284348[[#This Row],[اجمالي الفاتوره]]-Table1181920231030313235383940414811151820284348[[#This Row],[الدفعات]]</f>
        <v>1.4899999999906868</v>
      </c>
    </row>
    <row r="69" spans="12:14" s="1" customFormat="1" ht="22.5" customHeight="1" x14ac:dyDescent="0.3">
      <c r="L6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69" s="1">
        <f>N68+Table1181920231030313235383940414811151820284348[[#This Row],[اجمالي الفاتوره]]-Table1181920231030313235383940414811151820284348[[#This Row],[الدفعات]]</f>
        <v>1.4899999999906868</v>
      </c>
    </row>
    <row r="70" spans="12:14" s="1" customFormat="1" ht="22.5" customHeight="1" x14ac:dyDescent="0.3">
      <c r="L7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70" s="1">
        <f>N69+Table1181920231030313235383940414811151820284348[[#This Row],[اجمالي الفاتوره]]-Table1181920231030313235383940414811151820284348[[#This Row],[الدفعات]]</f>
        <v>1.4899999999906868</v>
      </c>
    </row>
    <row r="71" spans="12:14" s="1" customFormat="1" ht="22.5" customHeight="1" x14ac:dyDescent="0.3">
      <c r="L7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71" s="1">
        <f>N70+Table1181920231030313235383940414811151820284348[[#This Row],[اجمالي الفاتوره]]-Table1181920231030313235383940414811151820284348[[#This Row],[الدفعات]]</f>
        <v>1.4899999999906868</v>
      </c>
    </row>
    <row r="72" spans="12:14" s="1" customFormat="1" ht="22.5" customHeight="1" x14ac:dyDescent="0.3">
      <c r="L7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72" s="1">
        <f>N71+Table1181920231030313235383940414811151820284348[[#This Row],[اجمالي الفاتوره]]-Table1181920231030313235383940414811151820284348[[#This Row],[الدفعات]]</f>
        <v>1.4899999999906868</v>
      </c>
    </row>
    <row r="73" spans="12:14" s="1" customFormat="1" ht="22.5" customHeight="1" x14ac:dyDescent="0.3">
      <c r="L7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73" s="1">
        <f>N72+Table1181920231030313235383940414811151820284348[[#This Row],[اجمالي الفاتوره]]-Table1181920231030313235383940414811151820284348[[#This Row],[الدفعات]]</f>
        <v>1.4899999999906868</v>
      </c>
    </row>
    <row r="74" spans="12:14" s="1" customFormat="1" ht="22.5" customHeight="1" x14ac:dyDescent="0.3">
      <c r="L7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74" s="1">
        <f>N73+Table1181920231030313235383940414811151820284348[[#This Row],[اجمالي الفاتوره]]-Table1181920231030313235383940414811151820284348[[#This Row],[الدفعات]]</f>
        <v>1.4899999999906868</v>
      </c>
    </row>
    <row r="75" spans="12:14" s="1" customFormat="1" ht="22.5" customHeight="1" x14ac:dyDescent="0.3">
      <c r="L7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75" s="1">
        <f>N74+Table1181920231030313235383940414811151820284348[[#This Row],[اجمالي الفاتوره]]-Table1181920231030313235383940414811151820284348[[#This Row],[الدفعات]]</f>
        <v>1.4899999999906868</v>
      </c>
    </row>
    <row r="76" spans="12:14" s="1" customFormat="1" ht="22.5" customHeight="1" x14ac:dyDescent="0.3">
      <c r="L7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76" s="1">
        <f>N75+Table1181920231030313235383940414811151820284348[[#This Row],[اجمالي الفاتوره]]-Table1181920231030313235383940414811151820284348[[#This Row],[الدفعات]]</f>
        <v>1.4899999999906868</v>
      </c>
    </row>
    <row r="77" spans="12:14" s="1" customFormat="1" ht="22.5" customHeight="1" x14ac:dyDescent="0.3">
      <c r="L7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77" s="1">
        <f>N76+Table1181920231030313235383940414811151820284348[[#This Row],[اجمالي الفاتوره]]-Table1181920231030313235383940414811151820284348[[#This Row],[الدفعات]]</f>
        <v>1.4899999999906868</v>
      </c>
    </row>
    <row r="78" spans="12:14" s="1" customFormat="1" ht="22.5" customHeight="1" x14ac:dyDescent="0.3">
      <c r="L7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78" s="1">
        <f>N77+Table1181920231030313235383940414811151820284348[[#This Row],[اجمالي الفاتوره]]-Table1181920231030313235383940414811151820284348[[#This Row],[الدفعات]]</f>
        <v>1.4899999999906868</v>
      </c>
    </row>
    <row r="79" spans="12:14" s="1" customFormat="1" ht="22.5" customHeight="1" x14ac:dyDescent="0.3">
      <c r="L7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79" s="1">
        <f>N78+Table1181920231030313235383940414811151820284348[[#This Row],[اجمالي الفاتوره]]-Table1181920231030313235383940414811151820284348[[#This Row],[الدفعات]]</f>
        <v>1.4899999999906868</v>
      </c>
    </row>
    <row r="80" spans="12:14" s="1" customFormat="1" ht="22.5" customHeight="1" x14ac:dyDescent="0.3">
      <c r="L8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80" s="1">
        <f>N79+Table1181920231030313235383940414811151820284348[[#This Row],[اجمالي الفاتوره]]-Table1181920231030313235383940414811151820284348[[#This Row],[الدفعات]]</f>
        <v>1.4899999999906868</v>
      </c>
    </row>
    <row r="81" spans="12:14" s="1" customFormat="1" ht="22.5" customHeight="1" x14ac:dyDescent="0.3">
      <c r="L8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81" s="1">
        <f>N80+Table1181920231030313235383940414811151820284348[[#This Row],[اجمالي الفاتوره]]-Table1181920231030313235383940414811151820284348[[#This Row],[الدفعات]]</f>
        <v>1.4899999999906868</v>
      </c>
    </row>
    <row r="82" spans="12:14" s="1" customFormat="1" ht="22.5" customHeight="1" x14ac:dyDescent="0.3">
      <c r="L8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82" s="1">
        <f>N81+Table1181920231030313235383940414811151820284348[[#This Row],[اجمالي الفاتوره]]-Table1181920231030313235383940414811151820284348[[#This Row],[الدفعات]]</f>
        <v>1.4899999999906868</v>
      </c>
    </row>
    <row r="83" spans="12:14" s="1" customFormat="1" ht="22.5" customHeight="1" x14ac:dyDescent="0.3">
      <c r="L8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83" s="1">
        <f>N82+Table1181920231030313235383940414811151820284348[[#This Row],[اجمالي الفاتوره]]-Table1181920231030313235383940414811151820284348[[#This Row],[الدفعات]]</f>
        <v>1.4899999999906868</v>
      </c>
    </row>
    <row r="84" spans="12:14" s="1" customFormat="1" ht="22.5" customHeight="1" x14ac:dyDescent="0.3">
      <c r="L8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84" s="1">
        <f>N83+Table1181920231030313235383940414811151820284348[[#This Row],[اجمالي الفاتوره]]-Table1181920231030313235383940414811151820284348[[#This Row],[الدفعات]]</f>
        <v>1.4899999999906868</v>
      </c>
    </row>
    <row r="85" spans="12:14" s="1" customFormat="1" ht="22.5" customHeight="1" x14ac:dyDescent="0.3">
      <c r="L8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85" s="1">
        <f>N84+Table1181920231030313235383940414811151820284348[[#This Row],[اجمالي الفاتوره]]-Table1181920231030313235383940414811151820284348[[#This Row],[الدفعات]]</f>
        <v>1.4899999999906868</v>
      </c>
    </row>
    <row r="86" spans="12:14" s="1" customFormat="1" ht="22.5" customHeight="1" x14ac:dyDescent="0.3">
      <c r="L8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86" s="1">
        <f>N85+Table1181920231030313235383940414811151820284348[[#This Row],[اجمالي الفاتوره]]-Table1181920231030313235383940414811151820284348[[#This Row],[الدفعات]]</f>
        <v>1.4899999999906868</v>
      </c>
    </row>
    <row r="87" spans="12:14" s="1" customFormat="1" ht="22.5" customHeight="1" x14ac:dyDescent="0.3">
      <c r="L8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87" s="1">
        <f>N86+Table1181920231030313235383940414811151820284348[[#This Row],[اجمالي الفاتوره]]-Table1181920231030313235383940414811151820284348[[#This Row],[الدفعات]]</f>
        <v>1.4899999999906868</v>
      </c>
    </row>
    <row r="88" spans="12:14" s="1" customFormat="1" ht="22.5" customHeight="1" x14ac:dyDescent="0.3">
      <c r="L8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88" s="1">
        <f>N87+Table1181920231030313235383940414811151820284348[[#This Row],[اجمالي الفاتوره]]-Table1181920231030313235383940414811151820284348[[#This Row],[الدفعات]]</f>
        <v>1.4899999999906868</v>
      </c>
    </row>
    <row r="89" spans="12:14" s="1" customFormat="1" ht="22.5" customHeight="1" x14ac:dyDescent="0.3">
      <c r="L8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89" s="1">
        <f>N88+Table1181920231030313235383940414811151820284348[[#This Row],[اجمالي الفاتوره]]-Table1181920231030313235383940414811151820284348[[#This Row],[الدفعات]]</f>
        <v>1.4899999999906868</v>
      </c>
    </row>
    <row r="90" spans="12:14" s="1" customFormat="1" ht="22.5" customHeight="1" x14ac:dyDescent="0.3">
      <c r="L9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90" s="1">
        <f>N89+Table1181920231030313235383940414811151820284348[[#This Row],[اجمالي الفاتوره]]-Table1181920231030313235383940414811151820284348[[#This Row],[الدفعات]]</f>
        <v>1.4899999999906868</v>
      </c>
    </row>
    <row r="91" spans="12:14" s="1" customFormat="1" ht="22.5" customHeight="1" x14ac:dyDescent="0.3">
      <c r="L9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91" s="1">
        <f>N90+Table1181920231030313235383940414811151820284348[[#This Row],[اجمالي الفاتوره]]-Table1181920231030313235383940414811151820284348[[#This Row],[الدفعات]]</f>
        <v>1.4899999999906868</v>
      </c>
    </row>
    <row r="92" spans="12:14" s="1" customFormat="1" ht="22.5" customHeight="1" x14ac:dyDescent="0.3">
      <c r="L9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92" s="1">
        <f>N91+Table1181920231030313235383940414811151820284348[[#This Row],[اجمالي الفاتوره]]-Table1181920231030313235383940414811151820284348[[#This Row],[الدفعات]]</f>
        <v>1.4899999999906868</v>
      </c>
    </row>
    <row r="93" spans="12:14" s="1" customFormat="1" ht="22.5" customHeight="1" x14ac:dyDescent="0.3">
      <c r="L9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93" s="1">
        <f>N92+Table1181920231030313235383940414811151820284348[[#This Row],[اجمالي الفاتوره]]-Table1181920231030313235383940414811151820284348[[#This Row],[الدفعات]]</f>
        <v>1.4899999999906868</v>
      </c>
    </row>
    <row r="94" spans="12:14" s="1" customFormat="1" ht="22.5" customHeight="1" x14ac:dyDescent="0.3">
      <c r="L9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94" s="1">
        <f>N93+Table1181920231030313235383940414811151820284348[[#This Row],[اجمالي الفاتوره]]-Table1181920231030313235383940414811151820284348[[#This Row],[الدفعات]]</f>
        <v>1.4899999999906868</v>
      </c>
    </row>
    <row r="95" spans="12:14" s="1" customFormat="1" ht="22.5" customHeight="1" x14ac:dyDescent="0.3">
      <c r="L9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95" s="1">
        <f>N94+Table1181920231030313235383940414811151820284348[[#This Row],[اجمالي الفاتوره]]-Table1181920231030313235383940414811151820284348[[#This Row],[الدفعات]]</f>
        <v>1.4899999999906868</v>
      </c>
    </row>
    <row r="96" spans="12:14" s="1" customFormat="1" ht="22.5" customHeight="1" x14ac:dyDescent="0.3">
      <c r="L9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96" s="1">
        <f>N95+Table1181920231030313235383940414811151820284348[[#This Row],[اجمالي الفاتوره]]-Table1181920231030313235383940414811151820284348[[#This Row],[الدفعات]]</f>
        <v>1.4899999999906868</v>
      </c>
    </row>
    <row r="97" spans="12:14" s="1" customFormat="1" ht="22.5" customHeight="1" x14ac:dyDescent="0.3">
      <c r="L9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97" s="1">
        <f>N96+Table1181920231030313235383940414811151820284348[[#This Row],[اجمالي الفاتوره]]-Table1181920231030313235383940414811151820284348[[#This Row],[الدفعات]]</f>
        <v>1.4899999999906868</v>
      </c>
    </row>
    <row r="98" spans="12:14" s="1" customFormat="1" ht="22.5" customHeight="1" x14ac:dyDescent="0.3">
      <c r="L9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98" s="1">
        <f>N97+Table1181920231030313235383940414811151820284348[[#This Row],[اجمالي الفاتوره]]-Table1181920231030313235383940414811151820284348[[#This Row],[الدفعات]]</f>
        <v>1.4899999999906868</v>
      </c>
    </row>
    <row r="99" spans="12:14" s="1" customFormat="1" ht="22.5" customHeight="1" x14ac:dyDescent="0.3">
      <c r="L9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99" s="1">
        <f>N98+Table1181920231030313235383940414811151820284348[[#This Row],[اجمالي الفاتوره]]-Table1181920231030313235383940414811151820284348[[#This Row],[الدفعات]]</f>
        <v>1.4899999999906868</v>
      </c>
    </row>
    <row r="100" spans="12:14" s="1" customFormat="1" ht="22.5" customHeight="1" x14ac:dyDescent="0.3">
      <c r="L10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00" s="1">
        <f>N99+Table1181920231030313235383940414811151820284348[[#This Row],[اجمالي الفاتوره]]-Table1181920231030313235383940414811151820284348[[#This Row],[الدفعات]]</f>
        <v>1.4899999999906868</v>
      </c>
    </row>
    <row r="101" spans="12:14" s="1" customFormat="1" ht="22.5" customHeight="1" x14ac:dyDescent="0.3">
      <c r="L10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01" s="1">
        <f>N100+Table1181920231030313235383940414811151820284348[[#This Row],[اجمالي الفاتوره]]-Table1181920231030313235383940414811151820284348[[#This Row],[الدفعات]]</f>
        <v>1.4899999999906868</v>
      </c>
    </row>
    <row r="102" spans="12:14" s="1" customFormat="1" ht="22.5" customHeight="1" x14ac:dyDescent="0.3">
      <c r="L10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02" s="1">
        <f>N101+Table1181920231030313235383940414811151820284348[[#This Row],[اجمالي الفاتوره]]-Table1181920231030313235383940414811151820284348[[#This Row],[الدفعات]]</f>
        <v>1.4899999999906868</v>
      </c>
    </row>
    <row r="103" spans="12:14" s="1" customFormat="1" ht="22.5" customHeight="1" x14ac:dyDescent="0.3">
      <c r="L10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03" s="1">
        <f>N102+Table1181920231030313235383940414811151820284348[[#This Row],[اجمالي الفاتوره]]-Table1181920231030313235383940414811151820284348[[#This Row],[الدفعات]]</f>
        <v>1.4899999999906868</v>
      </c>
    </row>
    <row r="104" spans="12:14" s="1" customFormat="1" ht="22.5" customHeight="1" x14ac:dyDescent="0.3">
      <c r="L10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04" s="1">
        <f>N103+Table1181920231030313235383940414811151820284348[[#This Row],[اجمالي الفاتوره]]-Table1181920231030313235383940414811151820284348[[#This Row],[الدفعات]]</f>
        <v>1.4899999999906868</v>
      </c>
    </row>
    <row r="105" spans="12:14" s="1" customFormat="1" ht="22.5" customHeight="1" x14ac:dyDescent="0.3">
      <c r="L10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05" s="1">
        <f>N104+Table1181920231030313235383940414811151820284348[[#This Row],[اجمالي الفاتوره]]-Table1181920231030313235383940414811151820284348[[#This Row],[الدفعات]]</f>
        <v>1.4899999999906868</v>
      </c>
    </row>
    <row r="106" spans="12:14" s="1" customFormat="1" ht="22.5" customHeight="1" x14ac:dyDescent="0.3">
      <c r="L10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06" s="1">
        <f>N105+Table1181920231030313235383940414811151820284348[[#This Row],[اجمالي الفاتوره]]-Table1181920231030313235383940414811151820284348[[#This Row],[الدفعات]]</f>
        <v>1.4899999999906868</v>
      </c>
    </row>
    <row r="107" spans="12:14" s="1" customFormat="1" ht="22.5" customHeight="1" x14ac:dyDescent="0.3">
      <c r="L10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07" s="1">
        <f>N106+Table1181920231030313235383940414811151820284348[[#This Row],[اجمالي الفاتوره]]-Table1181920231030313235383940414811151820284348[[#This Row],[الدفعات]]</f>
        <v>1.4899999999906868</v>
      </c>
    </row>
    <row r="108" spans="12:14" s="1" customFormat="1" ht="22.5" customHeight="1" x14ac:dyDescent="0.3">
      <c r="L10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08" s="1">
        <f>N107+Table1181920231030313235383940414811151820284348[[#This Row],[اجمالي الفاتوره]]-Table1181920231030313235383940414811151820284348[[#This Row],[الدفعات]]</f>
        <v>1.4899999999906868</v>
      </c>
    </row>
    <row r="109" spans="12:14" s="1" customFormat="1" ht="22.5" customHeight="1" x14ac:dyDescent="0.3">
      <c r="L10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09" s="1">
        <f>N108+Table1181920231030313235383940414811151820284348[[#This Row],[اجمالي الفاتوره]]-Table1181920231030313235383940414811151820284348[[#This Row],[الدفعات]]</f>
        <v>1.4899999999906868</v>
      </c>
    </row>
    <row r="110" spans="12:14" s="1" customFormat="1" ht="22.5" customHeight="1" x14ac:dyDescent="0.3">
      <c r="L11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10" s="1">
        <f>N109+Table1181920231030313235383940414811151820284348[[#This Row],[اجمالي الفاتوره]]-Table1181920231030313235383940414811151820284348[[#This Row],[الدفعات]]</f>
        <v>1.4899999999906868</v>
      </c>
    </row>
    <row r="111" spans="12:14" s="1" customFormat="1" ht="22.5" customHeight="1" x14ac:dyDescent="0.3">
      <c r="L11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11" s="1">
        <f>N110+Table1181920231030313235383940414811151820284348[[#This Row],[اجمالي الفاتوره]]-Table1181920231030313235383940414811151820284348[[#This Row],[الدفعات]]</f>
        <v>1.4899999999906868</v>
      </c>
    </row>
    <row r="112" spans="12:14" s="1" customFormat="1" ht="22.5" customHeight="1" x14ac:dyDescent="0.3">
      <c r="L11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12" s="1">
        <f>N111+Table1181920231030313235383940414811151820284348[[#This Row],[اجمالي الفاتوره]]-Table1181920231030313235383940414811151820284348[[#This Row],[الدفعات]]</f>
        <v>1.4899999999906868</v>
      </c>
    </row>
    <row r="113" spans="12:14" s="1" customFormat="1" ht="22.5" customHeight="1" x14ac:dyDescent="0.3">
      <c r="L11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13" s="1">
        <f>N112+Table1181920231030313235383940414811151820284348[[#This Row],[اجمالي الفاتوره]]-Table1181920231030313235383940414811151820284348[[#This Row],[الدفعات]]</f>
        <v>1.4899999999906868</v>
      </c>
    </row>
    <row r="114" spans="12:14" s="1" customFormat="1" ht="22.5" customHeight="1" x14ac:dyDescent="0.3">
      <c r="L11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14" s="1">
        <f>N113+Table1181920231030313235383940414811151820284348[[#This Row],[اجمالي الفاتوره]]-Table1181920231030313235383940414811151820284348[[#This Row],[الدفعات]]</f>
        <v>1.4899999999906868</v>
      </c>
    </row>
    <row r="115" spans="12:14" s="1" customFormat="1" ht="22.5" customHeight="1" x14ac:dyDescent="0.3">
      <c r="L11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15" s="1">
        <f>N114+Table1181920231030313235383940414811151820284348[[#This Row],[اجمالي الفاتوره]]-Table1181920231030313235383940414811151820284348[[#This Row],[الدفعات]]</f>
        <v>1.4899999999906868</v>
      </c>
    </row>
    <row r="116" spans="12:14" s="1" customFormat="1" ht="22.5" customHeight="1" x14ac:dyDescent="0.3">
      <c r="L11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16" s="1">
        <f>N115+Table1181920231030313235383940414811151820284348[[#This Row],[اجمالي الفاتوره]]-Table1181920231030313235383940414811151820284348[[#This Row],[الدفعات]]</f>
        <v>1.4899999999906868</v>
      </c>
    </row>
    <row r="117" spans="12:14" s="1" customFormat="1" ht="22.5" customHeight="1" x14ac:dyDescent="0.3">
      <c r="L11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17" s="1">
        <f>N116+Table1181920231030313235383940414811151820284348[[#This Row],[اجمالي الفاتوره]]-Table1181920231030313235383940414811151820284348[[#This Row],[الدفعات]]</f>
        <v>1.4899999999906868</v>
      </c>
    </row>
    <row r="118" spans="12:14" s="1" customFormat="1" ht="22.5" customHeight="1" x14ac:dyDescent="0.3">
      <c r="L11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18" s="1">
        <f>N117+Table1181920231030313235383940414811151820284348[[#This Row],[اجمالي الفاتوره]]-Table1181920231030313235383940414811151820284348[[#This Row],[الدفعات]]</f>
        <v>1.4899999999906868</v>
      </c>
    </row>
    <row r="119" spans="12:14" s="1" customFormat="1" ht="22.5" customHeight="1" x14ac:dyDescent="0.3">
      <c r="L11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19" s="1">
        <f>N118+Table1181920231030313235383940414811151820284348[[#This Row],[اجمالي الفاتوره]]-Table1181920231030313235383940414811151820284348[[#This Row],[الدفعات]]</f>
        <v>1.4899999999906868</v>
      </c>
    </row>
    <row r="120" spans="12:14" s="1" customFormat="1" ht="22.5" customHeight="1" x14ac:dyDescent="0.3">
      <c r="L12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20" s="1">
        <f>N119+Table1181920231030313235383940414811151820284348[[#This Row],[اجمالي الفاتوره]]-Table1181920231030313235383940414811151820284348[[#This Row],[الدفعات]]</f>
        <v>1.4899999999906868</v>
      </c>
    </row>
    <row r="121" spans="12:14" s="1" customFormat="1" ht="22.5" customHeight="1" x14ac:dyDescent="0.3">
      <c r="L12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21" s="1">
        <f>N120+Table1181920231030313235383940414811151820284348[[#This Row],[اجمالي الفاتوره]]-Table1181920231030313235383940414811151820284348[[#This Row],[الدفعات]]</f>
        <v>1.4899999999906868</v>
      </c>
    </row>
    <row r="122" spans="12:14" s="1" customFormat="1" ht="22.5" customHeight="1" x14ac:dyDescent="0.3">
      <c r="L12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22" s="1">
        <f>N121+Table1181920231030313235383940414811151820284348[[#This Row],[اجمالي الفاتوره]]-Table1181920231030313235383940414811151820284348[[#This Row],[الدفعات]]</f>
        <v>1.4899999999906868</v>
      </c>
    </row>
    <row r="123" spans="12:14" s="1" customFormat="1" ht="22.5" customHeight="1" x14ac:dyDescent="0.3">
      <c r="L12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23" s="1">
        <f>N122+Table1181920231030313235383940414811151820284348[[#This Row],[اجمالي الفاتوره]]-Table1181920231030313235383940414811151820284348[[#This Row],[الدفعات]]</f>
        <v>1.4899999999906868</v>
      </c>
    </row>
    <row r="124" spans="12:14" s="1" customFormat="1" ht="22.5" customHeight="1" x14ac:dyDescent="0.3">
      <c r="L12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24" s="1">
        <f>N123+Table1181920231030313235383940414811151820284348[[#This Row],[اجمالي الفاتوره]]-Table1181920231030313235383940414811151820284348[[#This Row],[الدفعات]]</f>
        <v>1.4899999999906868</v>
      </c>
    </row>
    <row r="125" spans="12:14" s="1" customFormat="1" ht="22.5" customHeight="1" x14ac:dyDescent="0.3">
      <c r="L12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25" s="1">
        <f>N124+Table1181920231030313235383940414811151820284348[[#This Row],[اجمالي الفاتوره]]-Table1181920231030313235383940414811151820284348[[#This Row],[الدفعات]]</f>
        <v>1.4899999999906868</v>
      </c>
    </row>
    <row r="126" spans="12:14" s="1" customFormat="1" ht="22.5" customHeight="1" x14ac:dyDescent="0.3">
      <c r="L12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26" s="1">
        <f>N125+Table1181920231030313235383940414811151820284348[[#This Row],[اجمالي الفاتوره]]-Table1181920231030313235383940414811151820284348[[#This Row],[الدفعات]]</f>
        <v>1.4899999999906868</v>
      </c>
    </row>
    <row r="127" spans="12:14" s="1" customFormat="1" ht="22.5" customHeight="1" x14ac:dyDescent="0.3">
      <c r="L12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27" s="1">
        <f>N126+Table1181920231030313235383940414811151820284348[[#This Row],[اجمالي الفاتوره]]-Table1181920231030313235383940414811151820284348[[#This Row],[الدفعات]]</f>
        <v>1.4899999999906868</v>
      </c>
    </row>
    <row r="128" spans="12:14" s="1" customFormat="1" ht="22.5" customHeight="1" x14ac:dyDescent="0.3">
      <c r="L12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28" s="1">
        <f>N127+Table1181920231030313235383940414811151820284348[[#This Row],[اجمالي الفاتوره]]-Table1181920231030313235383940414811151820284348[[#This Row],[الدفعات]]</f>
        <v>1.4899999999906868</v>
      </c>
    </row>
    <row r="129" spans="12:14" s="1" customFormat="1" ht="22.5" customHeight="1" x14ac:dyDescent="0.3">
      <c r="L12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29" s="1">
        <f>N128+Table1181920231030313235383940414811151820284348[[#This Row],[اجمالي الفاتوره]]-Table1181920231030313235383940414811151820284348[[#This Row],[الدفعات]]</f>
        <v>1.4899999999906868</v>
      </c>
    </row>
    <row r="130" spans="12:14" s="1" customFormat="1" ht="22.5" customHeight="1" x14ac:dyDescent="0.3">
      <c r="L13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30" s="1">
        <f>N129+Table1181920231030313235383940414811151820284348[[#This Row],[اجمالي الفاتوره]]-Table1181920231030313235383940414811151820284348[[#This Row],[الدفعات]]</f>
        <v>1.4899999999906868</v>
      </c>
    </row>
    <row r="131" spans="12:14" s="1" customFormat="1" ht="22.5" customHeight="1" x14ac:dyDescent="0.3">
      <c r="L13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31" s="1">
        <f>N130+Table1181920231030313235383940414811151820284348[[#This Row],[اجمالي الفاتوره]]-Table1181920231030313235383940414811151820284348[[#This Row],[الدفعات]]</f>
        <v>1.4899999999906868</v>
      </c>
    </row>
    <row r="132" spans="12:14" s="1" customFormat="1" ht="22.5" customHeight="1" x14ac:dyDescent="0.3">
      <c r="L13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32" s="1">
        <f>N131+Table1181920231030313235383940414811151820284348[[#This Row],[اجمالي الفاتوره]]-Table1181920231030313235383940414811151820284348[[#This Row],[الدفعات]]</f>
        <v>1.4899999999906868</v>
      </c>
    </row>
    <row r="133" spans="12:14" s="1" customFormat="1" ht="22.5" customHeight="1" x14ac:dyDescent="0.3">
      <c r="L13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33" s="1">
        <f>N132+Table1181920231030313235383940414811151820284348[[#This Row],[اجمالي الفاتوره]]-Table1181920231030313235383940414811151820284348[[#This Row],[الدفعات]]</f>
        <v>1.4899999999906868</v>
      </c>
    </row>
    <row r="134" spans="12:14" s="1" customFormat="1" ht="22.5" customHeight="1" x14ac:dyDescent="0.3">
      <c r="L13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34" s="1">
        <f>N133+Table1181920231030313235383940414811151820284348[[#This Row],[اجمالي الفاتوره]]-Table1181920231030313235383940414811151820284348[[#This Row],[الدفعات]]</f>
        <v>1.4899999999906868</v>
      </c>
    </row>
    <row r="135" spans="12:14" s="1" customFormat="1" ht="22.5" customHeight="1" x14ac:dyDescent="0.3">
      <c r="L13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35" s="1">
        <f>N134+Table1181920231030313235383940414811151820284348[[#This Row],[اجمالي الفاتوره]]-Table1181920231030313235383940414811151820284348[[#This Row],[الدفعات]]</f>
        <v>1.4899999999906868</v>
      </c>
    </row>
    <row r="136" spans="12:14" s="1" customFormat="1" ht="22.5" customHeight="1" x14ac:dyDescent="0.3">
      <c r="L13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36" s="1">
        <f>N135+Table1181920231030313235383940414811151820284348[[#This Row],[اجمالي الفاتوره]]-Table1181920231030313235383940414811151820284348[[#This Row],[الدفعات]]</f>
        <v>1.4899999999906868</v>
      </c>
    </row>
    <row r="137" spans="12:14" s="1" customFormat="1" ht="22.5" customHeight="1" x14ac:dyDescent="0.3">
      <c r="L13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37" s="1">
        <f>N136+Table1181920231030313235383940414811151820284348[[#This Row],[اجمالي الفاتوره]]-Table1181920231030313235383940414811151820284348[[#This Row],[الدفعات]]</f>
        <v>1.4899999999906868</v>
      </c>
    </row>
    <row r="138" spans="12:14" s="1" customFormat="1" ht="22.5" customHeight="1" x14ac:dyDescent="0.3">
      <c r="L13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38" s="1">
        <f>N137+Table1181920231030313235383940414811151820284348[[#This Row],[اجمالي الفاتوره]]-Table1181920231030313235383940414811151820284348[[#This Row],[الدفعات]]</f>
        <v>1.4899999999906868</v>
      </c>
    </row>
    <row r="139" spans="12:14" s="1" customFormat="1" ht="22.5" customHeight="1" x14ac:dyDescent="0.3">
      <c r="L13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39" s="1">
        <f>N138+Table1181920231030313235383940414811151820284348[[#This Row],[اجمالي الفاتوره]]-Table1181920231030313235383940414811151820284348[[#This Row],[الدفعات]]</f>
        <v>1.4899999999906868</v>
      </c>
    </row>
    <row r="140" spans="12:14" s="1" customFormat="1" ht="22.5" customHeight="1" x14ac:dyDescent="0.3">
      <c r="L14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40" s="1">
        <f>N139+Table1181920231030313235383940414811151820284348[[#This Row],[اجمالي الفاتوره]]-Table1181920231030313235383940414811151820284348[[#This Row],[الدفعات]]</f>
        <v>1.4899999999906868</v>
      </c>
    </row>
    <row r="141" spans="12:14" s="1" customFormat="1" ht="22.5" customHeight="1" x14ac:dyDescent="0.3">
      <c r="L14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41" s="1">
        <f>N140+Table1181920231030313235383940414811151820284348[[#This Row],[اجمالي الفاتوره]]-Table1181920231030313235383940414811151820284348[[#This Row],[الدفعات]]</f>
        <v>1.4899999999906868</v>
      </c>
    </row>
    <row r="142" spans="12:14" s="1" customFormat="1" ht="22.5" customHeight="1" x14ac:dyDescent="0.3">
      <c r="L14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42" s="1">
        <f>N141+Table1181920231030313235383940414811151820284348[[#This Row],[اجمالي الفاتوره]]-Table1181920231030313235383940414811151820284348[[#This Row],[الدفعات]]</f>
        <v>1.4899999999906868</v>
      </c>
    </row>
    <row r="143" spans="12:14" s="1" customFormat="1" ht="22.5" customHeight="1" x14ac:dyDescent="0.3">
      <c r="L14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43" s="1">
        <f>N142+Table1181920231030313235383940414811151820284348[[#This Row],[اجمالي الفاتوره]]-Table1181920231030313235383940414811151820284348[[#This Row],[الدفعات]]</f>
        <v>1.4899999999906868</v>
      </c>
    </row>
    <row r="144" spans="12:14" s="1" customFormat="1" ht="22.5" customHeight="1" x14ac:dyDescent="0.3">
      <c r="L14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44" s="1">
        <f>N143+Table1181920231030313235383940414811151820284348[[#This Row],[اجمالي الفاتوره]]-Table1181920231030313235383940414811151820284348[[#This Row],[الدفعات]]</f>
        <v>1.4899999999906868</v>
      </c>
    </row>
    <row r="145" spans="12:14" s="1" customFormat="1" ht="22.5" customHeight="1" x14ac:dyDescent="0.3">
      <c r="L14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45" s="1">
        <f>N144+Table1181920231030313235383940414811151820284348[[#This Row],[اجمالي الفاتوره]]-Table1181920231030313235383940414811151820284348[[#This Row],[الدفعات]]</f>
        <v>1.4899999999906868</v>
      </c>
    </row>
    <row r="146" spans="12:14" s="1" customFormat="1" ht="22.5" customHeight="1" x14ac:dyDescent="0.3">
      <c r="L14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46" s="1">
        <f>N145+Table1181920231030313235383940414811151820284348[[#This Row],[اجمالي الفاتوره]]-Table1181920231030313235383940414811151820284348[[#This Row],[الدفعات]]</f>
        <v>1.4899999999906868</v>
      </c>
    </row>
    <row r="147" spans="12:14" s="1" customFormat="1" ht="22.5" customHeight="1" x14ac:dyDescent="0.3">
      <c r="L14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47" s="1">
        <f>N146+Table1181920231030313235383940414811151820284348[[#This Row],[اجمالي الفاتوره]]-Table1181920231030313235383940414811151820284348[[#This Row],[الدفعات]]</f>
        <v>1.4899999999906868</v>
      </c>
    </row>
    <row r="148" spans="12:14" s="1" customFormat="1" ht="22.5" customHeight="1" x14ac:dyDescent="0.3">
      <c r="L14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48" s="1">
        <f>N147+Table1181920231030313235383940414811151820284348[[#This Row],[اجمالي الفاتوره]]-Table1181920231030313235383940414811151820284348[[#This Row],[الدفعات]]</f>
        <v>1.4899999999906868</v>
      </c>
    </row>
    <row r="149" spans="12:14" s="1" customFormat="1" ht="22.5" customHeight="1" x14ac:dyDescent="0.3">
      <c r="L14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49" s="1">
        <f>N148+Table1181920231030313235383940414811151820284348[[#This Row],[اجمالي الفاتوره]]-Table1181920231030313235383940414811151820284348[[#This Row],[الدفعات]]</f>
        <v>1.4899999999906868</v>
      </c>
    </row>
    <row r="150" spans="12:14" s="1" customFormat="1" ht="22.5" customHeight="1" x14ac:dyDescent="0.3">
      <c r="L15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50" s="1">
        <f>N149+Table1181920231030313235383940414811151820284348[[#This Row],[اجمالي الفاتوره]]-Table1181920231030313235383940414811151820284348[[#This Row],[الدفعات]]</f>
        <v>1.4899999999906868</v>
      </c>
    </row>
    <row r="151" spans="12:14" s="1" customFormat="1" ht="22.5" customHeight="1" x14ac:dyDescent="0.3">
      <c r="L15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51" s="1">
        <f>N150+Table1181920231030313235383940414811151820284348[[#This Row],[اجمالي الفاتوره]]-Table1181920231030313235383940414811151820284348[[#This Row],[الدفعات]]</f>
        <v>1.4899999999906868</v>
      </c>
    </row>
    <row r="152" spans="12:14" s="1" customFormat="1" ht="22.5" customHeight="1" x14ac:dyDescent="0.3">
      <c r="L15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52" s="1">
        <f>N151+Table1181920231030313235383940414811151820284348[[#This Row],[اجمالي الفاتوره]]-Table1181920231030313235383940414811151820284348[[#This Row],[الدفعات]]</f>
        <v>1.4899999999906868</v>
      </c>
    </row>
    <row r="153" spans="12:14" s="1" customFormat="1" ht="22.5" customHeight="1" x14ac:dyDescent="0.3">
      <c r="L15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53" s="1">
        <f>N152+Table1181920231030313235383940414811151820284348[[#This Row],[اجمالي الفاتوره]]-Table1181920231030313235383940414811151820284348[[#This Row],[الدفعات]]</f>
        <v>1.4899999999906868</v>
      </c>
    </row>
    <row r="154" spans="12:14" s="1" customFormat="1" ht="22.5" customHeight="1" x14ac:dyDescent="0.3">
      <c r="L15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54" s="1">
        <f>N153+Table1181920231030313235383940414811151820284348[[#This Row],[اجمالي الفاتوره]]-Table1181920231030313235383940414811151820284348[[#This Row],[الدفعات]]</f>
        <v>1.4899999999906868</v>
      </c>
    </row>
    <row r="155" spans="12:14" s="1" customFormat="1" ht="22.5" customHeight="1" x14ac:dyDescent="0.3">
      <c r="L15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55" s="1">
        <f>N154+Table1181920231030313235383940414811151820284348[[#This Row],[اجمالي الفاتوره]]-Table1181920231030313235383940414811151820284348[[#This Row],[الدفعات]]</f>
        <v>1.4899999999906868</v>
      </c>
    </row>
    <row r="156" spans="12:14" s="1" customFormat="1" ht="22.5" customHeight="1" x14ac:dyDescent="0.3">
      <c r="L15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56" s="1">
        <f>N155+Table1181920231030313235383940414811151820284348[[#This Row],[اجمالي الفاتوره]]-Table1181920231030313235383940414811151820284348[[#This Row],[الدفعات]]</f>
        <v>1.4899999999906868</v>
      </c>
    </row>
    <row r="157" spans="12:14" s="1" customFormat="1" ht="22.5" customHeight="1" x14ac:dyDescent="0.3">
      <c r="L15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57" s="1">
        <f>N156+Table1181920231030313235383940414811151820284348[[#This Row],[اجمالي الفاتوره]]-Table1181920231030313235383940414811151820284348[[#This Row],[الدفعات]]</f>
        <v>1.4899999999906868</v>
      </c>
    </row>
    <row r="158" spans="12:14" s="1" customFormat="1" ht="22.5" customHeight="1" x14ac:dyDescent="0.3">
      <c r="L15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58" s="1">
        <f>N157+Table1181920231030313235383940414811151820284348[[#This Row],[اجمالي الفاتوره]]-Table1181920231030313235383940414811151820284348[[#This Row],[الدفعات]]</f>
        <v>1.4899999999906868</v>
      </c>
    </row>
    <row r="159" spans="12:14" s="1" customFormat="1" ht="22.5" customHeight="1" x14ac:dyDescent="0.3">
      <c r="L15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59" s="1">
        <f>N158+Table1181920231030313235383940414811151820284348[[#This Row],[اجمالي الفاتوره]]-Table1181920231030313235383940414811151820284348[[#This Row],[الدفعات]]</f>
        <v>1.4899999999906868</v>
      </c>
    </row>
    <row r="160" spans="12:14" s="1" customFormat="1" ht="22.5" customHeight="1" x14ac:dyDescent="0.3">
      <c r="L16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60" s="1">
        <f>N159+Table1181920231030313235383940414811151820284348[[#This Row],[اجمالي الفاتوره]]-Table1181920231030313235383940414811151820284348[[#This Row],[الدفعات]]</f>
        <v>1.4899999999906868</v>
      </c>
    </row>
    <row r="161" spans="12:14" s="1" customFormat="1" ht="22.5" customHeight="1" x14ac:dyDescent="0.3">
      <c r="L16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61" s="1">
        <f>N160+Table1181920231030313235383940414811151820284348[[#This Row],[اجمالي الفاتوره]]-Table1181920231030313235383940414811151820284348[[#This Row],[الدفعات]]</f>
        <v>1.4899999999906868</v>
      </c>
    </row>
    <row r="162" spans="12:14" s="1" customFormat="1" ht="22.5" customHeight="1" x14ac:dyDescent="0.3">
      <c r="L16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62" s="1">
        <f>N161+Table1181920231030313235383940414811151820284348[[#This Row],[اجمالي الفاتوره]]-Table1181920231030313235383940414811151820284348[[#This Row],[الدفعات]]</f>
        <v>1.4899999999906868</v>
      </c>
    </row>
    <row r="163" spans="12:14" s="1" customFormat="1" ht="22.5" customHeight="1" x14ac:dyDescent="0.3">
      <c r="L16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63" s="1">
        <f>N162+Table1181920231030313235383940414811151820284348[[#This Row],[اجمالي الفاتوره]]-Table1181920231030313235383940414811151820284348[[#This Row],[الدفعات]]</f>
        <v>1.4899999999906868</v>
      </c>
    </row>
    <row r="164" spans="12:14" s="1" customFormat="1" ht="22.5" customHeight="1" x14ac:dyDescent="0.3">
      <c r="L16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64" s="1">
        <f>N163+Table1181920231030313235383940414811151820284348[[#This Row],[اجمالي الفاتوره]]-Table1181920231030313235383940414811151820284348[[#This Row],[الدفعات]]</f>
        <v>1.4899999999906868</v>
      </c>
    </row>
    <row r="165" spans="12:14" s="1" customFormat="1" ht="22.5" customHeight="1" x14ac:dyDescent="0.3">
      <c r="L16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65" s="1">
        <f>N164+Table1181920231030313235383940414811151820284348[[#This Row],[اجمالي الفاتوره]]-Table1181920231030313235383940414811151820284348[[#This Row],[الدفعات]]</f>
        <v>1.4899999999906868</v>
      </c>
    </row>
    <row r="166" spans="12:14" s="1" customFormat="1" ht="22.5" customHeight="1" x14ac:dyDescent="0.3">
      <c r="L16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66" s="1">
        <f>N165+Table1181920231030313235383940414811151820284348[[#This Row],[اجمالي الفاتوره]]-Table1181920231030313235383940414811151820284348[[#This Row],[الدفعات]]</f>
        <v>1.4899999999906868</v>
      </c>
    </row>
    <row r="167" spans="12:14" s="1" customFormat="1" ht="22.5" customHeight="1" x14ac:dyDescent="0.3">
      <c r="L16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67" s="1">
        <f>N166+Table1181920231030313235383940414811151820284348[[#This Row],[اجمالي الفاتوره]]-Table1181920231030313235383940414811151820284348[[#This Row],[الدفعات]]</f>
        <v>1.4899999999906868</v>
      </c>
    </row>
    <row r="168" spans="12:14" s="1" customFormat="1" ht="22.5" customHeight="1" x14ac:dyDescent="0.3">
      <c r="L16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68" s="1">
        <f>N167+Table1181920231030313235383940414811151820284348[[#This Row],[اجمالي الفاتوره]]-Table1181920231030313235383940414811151820284348[[#This Row],[الدفعات]]</f>
        <v>1.4899999999906868</v>
      </c>
    </row>
    <row r="169" spans="12:14" s="1" customFormat="1" ht="22.5" customHeight="1" x14ac:dyDescent="0.3">
      <c r="L16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69" s="1">
        <f>N168+Table1181920231030313235383940414811151820284348[[#This Row],[اجمالي الفاتوره]]-Table1181920231030313235383940414811151820284348[[#This Row],[الدفعات]]</f>
        <v>1.4899999999906868</v>
      </c>
    </row>
    <row r="170" spans="12:14" s="1" customFormat="1" ht="22.5" customHeight="1" x14ac:dyDescent="0.3">
      <c r="L17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70" s="1">
        <f>N169+Table1181920231030313235383940414811151820284348[[#This Row],[اجمالي الفاتوره]]-Table1181920231030313235383940414811151820284348[[#This Row],[الدفعات]]</f>
        <v>1.4899999999906868</v>
      </c>
    </row>
    <row r="171" spans="12:14" s="1" customFormat="1" ht="22.5" customHeight="1" x14ac:dyDescent="0.3">
      <c r="L17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71" s="1">
        <f>N170+Table1181920231030313235383940414811151820284348[[#This Row],[اجمالي الفاتوره]]-Table1181920231030313235383940414811151820284348[[#This Row],[الدفعات]]</f>
        <v>1.4899999999906868</v>
      </c>
    </row>
    <row r="172" spans="12:14" s="1" customFormat="1" ht="22.5" customHeight="1" x14ac:dyDescent="0.3">
      <c r="L17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72" s="1">
        <f>N171+Table1181920231030313235383940414811151820284348[[#This Row],[اجمالي الفاتوره]]-Table1181920231030313235383940414811151820284348[[#This Row],[الدفعات]]</f>
        <v>1.4899999999906868</v>
      </c>
    </row>
    <row r="173" spans="12:14" s="1" customFormat="1" ht="22.5" customHeight="1" x14ac:dyDescent="0.3">
      <c r="L17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73" s="1">
        <f>N172+Table1181920231030313235383940414811151820284348[[#This Row],[اجمالي الفاتوره]]-Table1181920231030313235383940414811151820284348[[#This Row],[الدفعات]]</f>
        <v>1.4899999999906868</v>
      </c>
    </row>
    <row r="174" spans="12:14" s="1" customFormat="1" ht="22.5" customHeight="1" x14ac:dyDescent="0.3">
      <c r="L17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74" s="1">
        <f>N173+Table1181920231030313235383940414811151820284348[[#This Row],[اجمالي الفاتوره]]-Table1181920231030313235383940414811151820284348[[#This Row],[الدفعات]]</f>
        <v>1.4899999999906868</v>
      </c>
    </row>
    <row r="175" spans="12:14" s="1" customFormat="1" ht="22.5" customHeight="1" x14ac:dyDescent="0.3">
      <c r="L17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75" s="1">
        <f>N174+Table1181920231030313235383940414811151820284348[[#This Row],[اجمالي الفاتوره]]-Table1181920231030313235383940414811151820284348[[#This Row],[الدفعات]]</f>
        <v>1.4899999999906868</v>
      </c>
    </row>
    <row r="176" spans="12:14" s="1" customFormat="1" ht="22.5" customHeight="1" x14ac:dyDescent="0.3">
      <c r="L17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76" s="1">
        <f>N175+Table1181920231030313235383940414811151820284348[[#This Row],[اجمالي الفاتوره]]-Table1181920231030313235383940414811151820284348[[#This Row],[الدفعات]]</f>
        <v>1.4899999999906868</v>
      </c>
    </row>
    <row r="177" spans="12:14" s="1" customFormat="1" ht="22.5" customHeight="1" x14ac:dyDescent="0.3">
      <c r="L17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77" s="1">
        <f>N176+Table1181920231030313235383940414811151820284348[[#This Row],[اجمالي الفاتوره]]-Table1181920231030313235383940414811151820284348[[#This Row],[الدفعات]]</f>
        <v>1.4899999999906868</v>
      </c>
    </row>
    <row r="178" spans="12:14" s="1" customFormat="1" ht="22.5" customHeight="1" x14ac:dyDescent="0.3">
      <c r="L17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78" s="1">
        <f>N177+Table1181920231030313235383940414811151820284348[[#This Row],[اجمالي الفاتوره]]-Table1181920231030313235383940414811151820284348[[#This Row],[الدفعات]]</f>
        <v>1.4899999999906868</v>
      </c>
    </row>
    <row r="179" spans="12:14" s="1" customFormat="1" ht="22.5" customHeight="1" x14ac:dyDescent="0.3">
      <c r="L17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79" s="1">
        <f>N178+Table1181920231030313235383940414811151820284348[[#This Row],[اجمالي الفاتوره]]-Table1181920231030313235383940414811151820284348[[#This Row],[الدفعات]]</f>
        <v>1.4899999999906868</v>
      </c>
    </row>
    <row r="180" spans="12:14" s="1" customFormat="1" ht="22.5" customHeight="1" x14ac:dyDescent="0.3">
      <c r="L18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80" s="1">
        <f>N179+Table1181920231030313235383940414811151820284348[[#This Row],[اجمالي الفاتوره]]-Table1181920231030313235383940414811151820284348[[#This Row],[الدفعات]]</f>
        <v>1.4899999999906868</v>
      </c>
    </row>
    <row r="181" spans="12:14" s="1" customFormat="1" ht="22.5" customHeight="1" x14ac:dyDescent="0.3">
      <c r="L18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81" s="1">
        <f>N180+Table1181920231030313235383940414811151820284348[[#This Row],[اجمالي الفاتوره]]-Table1181920231030313235383940414811151820284348[[#This Row],[الدفعات]]</f>
        <v>1.4899999999906868</v>
      </c>
    </row>
    <row r="182" spans="12:14" s="1" customFormat="1" ht="22.5" customHeight="1" x14ac:dyDescent="0.3">
      <c r="L18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82" s="1">
        <f>N181+Table1181920231030313235383940414811151820284348[[#This Row],[اجمالي الفاتوره]]-Table1181920231030313235383940414811151820284348[[#This Row],[الدفعات]]</f>
        <v>1.4899999999906868</v>
      </c>
    </row>
    <row r="183" spans="12:14" s="1" customFormat="1" ht="22.5" customHeight="1" x14ac:dyDescent="0.3">
      <c r="L18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83" s="1">
        <f>N182+Table1181920231030313235383940414811151820284348[[#This Row],[اجمالي الفاتوره]]-Table1181920231030313235383940414811151820284348[[#This Row],[الدفعات]]</f>
        <v>1.4899999999906868</v>
      </c>
    </row>
    <row r="184" spans="12:14" s="1" customFormat="1" ht="22.5" customHeight="1" x14ac:dyDescent="0.3">
      <c r="L18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84" s="1">
        <f>N183+Table1181920231030313235383940414811151820284348[[#This Row],[اجمالي الفاتوره]]-Table1181920231030313235383940414811151820284348[[#This Row],[الدفعات]]</f>
        <v>1.4899999999906868</v>
      </c>
    </row>
    <row r="185" spans="12:14" s="1" customFormat="1" ht="22.5" customHeight="1" x14ac:dyDescent="0.3">
      <c r="L18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85" s="1">
        <f>N184+Table1181920231030313235383940414811151820284348[[#This Row],[اجمالي الفاتوره]]-Table1181920231030313235383940414811151820284348[[#This Row],[الدفعات]]</f>
        <v>1.4899999999906868</v>
      </c>
    </row>
    <row r="186" spans="12:14" s="1" customFormat="1" ht="22.5" customHeight="1" x14ac:dyDescent="0.3">
      <c r="L18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86" s="1">
        <f>N185+Table1181920231030313235383940414811151820284348[[#This Row],[اجمالي الفاتوره]]-Table1181920231030313235383940414811151820284348[[#This Row],[الدفعات]]</f>
        <v>1.4899999999906868</v>
      </c>
    </row>
    <row r="187" spans="12:14" s="1" customFormat="1" ht="22.5" customHeight="1" x14ac:dyDescent="0.3">
      <c r="L18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87" s="1">
        <f>N186+Table1181920231030313235383940414811151820284348[[#This Row],[اجمالي الفاتوره]]-Table1181920231030313235383940414811151820284348[[#This Row],[الدفعات]]</f>
        <v>1.4899999999906868</v>
      </c>
    </row>
    <row r="188" spans="12:14" s="1" customFormat="1" ht="22.5" customHeight="1" x14ac:dyDescent="0.3">
      <c r="L18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88" s="1">
        <f>N187+Table1181920231030313235383940414811151820284348[[#This Row],[اجمالي الفاتوره]]-Table1181920231030313235383940414811151820284348[[#This Row],[الدفعات]]</f>
        <v>1.4899999999906868</v>
      </c>
    </row>
    <row r="189" spans="12:14" s="1" customFormat="1" ht="22.5" customHeight="1" x14ac:dyDescent="0.3">
      <c r="L18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89" s="1">
        <f>N188+Table1181920231030313235383940414811151820284348[[#This Row],[اجمالي الفاتوره]]-Table1181920231030313235383940414811151820284348[[#This Row],[الدفعات]]</f>
        <v>1.4899999999906868</v>
      </c>
    </row>
    <row r="190" spans="12:14" s="1" customFormat="1" ht="22.5" customHeight="1" x14ac:dyDescent="0.3">
      <c r="L19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90" s="1">
        <f>N189+Table1181920231030313235383940414811151820284348[[#This Row],[اجمالي الفاتوره]]-Table1181920231030313235383940414811151820284348[[#This Row],[الدفعات]]</f>
        <v>1.4899999999906868</v>
      </c>
    </row>
    <row r="191" spans="12:14" s="1" customFormat="1" ht="22.5" customHeight="1" x14ac:dyDescent="0.3">
      <c r="L19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91" s="1">
        <f>N190+Table1181920231030313235383940414811151820284348[[#This Row],[اجمالي الفاتوره]]-Table1181920231030313235383940414811151820284348[[#This Row],[الدفعات]]</f>
        <v>1.4899999999906868</v>
      </c>
    </row>
    <row r="192" spans="12:14" s="1" customFormat="1" ht="22.5" customHeight="1" x14ac:dyDescent="0.3">
      <c r="L19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92" s="1">
        <f>N191+Table1181920231030313235383940414811151820284348[[#This Row],[اجمالي الفاتوره]]-Table1181920231030313235383940414811151820284348[[#This Row],[الدفعات]]</f>
        <v>1.4899999999906868</v>
      </c>
    </row>
    <row r="193" spans="12:14" s="1" customFormat="1" ht="22.5" customHeight="1" x14ac:dyDescent="0.3">
      <c r="L19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93" s="1">
        <f>N192+Table1181920231030313235383940414811151820284348[[#This Row],[اجمالي الفاتوره]]-Table1181920231030313235383940414811151820284348[[#This Row],[الدفعات]]</f>
        <v>1.4899999999906868</v>
      </c>
    </row>
    <row r="194" spans="12:14" s="1" customFormat="1" ht="22.5" customHeight="1" x14ac:dyDescent="0.3">
      <c r="L19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94" s="1">
        <f>N193+Table1181920231030313235383940414811151820284348[[#This Row],[اجمالي الفاتوره]]-Table1181920231030313235383940414811151820284348[[#This Row],[الدفعات]]</f>
        <v>1.4899999999906868</v>
      </c>
    </row>
    <row r="195" spans="12:14" s="1" customFormat="1" ht="22.5" customHeight="1" x14ac:dyDescent="0.3">
      <c r="L19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95" s="1">
        <f>N194+Table1181920231030313235383940414811151820284348[[#This Row],[اجمالي الفاتوره]]-Table1181920231030313235383940414811151820284348[[#This Row],[الدفعات]]</f>
        <v>1.4899999999906868</v>
      </c>
    </row>
    <row r="196" spans="12:14" s="1" customFormat="1" ht="22.5" customHeight="1" x14ac:dyDescent="0.3">
      <c r="L19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96" s="1">
        <f>N195+Table1181920231030313235383940414811151820284348[[#This Row],[اجمالي الفاتوره]]-Table1181920231030313235383940414811151820284348[[#This Row],[الدفعات]]</f>
        <v>1.4899999999906868</v>
      </c>
    </row>
    <row r="197" spans="12:14" s="1" customFormat="1" ht="22.5" customHeight="1" x14ac:dyDescent="0.3">
      <c r="L19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97" s="1">
        <f>N196+Table1181920231030313235383940414811151820284348[[#This Row],[اجمالي الفاتوره]]-Table1181920231030313235383940414811151820284348[[#This Row],[الدفعات]]</f>
        <v>1.4899999999906868</v>
      </c>
    </row>
    <row r="198" spans="12:14" s="1" customFormat="1" ht="22.5" customHeight="1" x14ac:dyDescent="0.3">
      <c r="L19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98" s="1">
        <f>N197+Table1181920231030313235383940414811151820284348[[#This Row],[اجمالي الفاتوره]]-Table1181920231030313235383940414811151820284348[[#This Row],[الدفعات]]</f>
        <v>1.4899999999906868</v>
      </c>
    </row>
    <row r="199" spans="12:14" s="1" customFormat="1" ht="22.5" customHeight="1" x14ac:dyDescent="0.3">
      <c r="L19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199" s="1">
        <f>N198+Table1181920231030313235383940414811151820284348[[#This Row],[اجمالي الفاتوره]]-Table1181920231030313235383940414811151820284348[[#This Row],[الدفعات]]</f>
        <v>1.4899999999906868</v>
      </c>
    </row>
    <row r="200" spans="12:14" s="1" customFormat="1" ht="22.5" customHeight="1" x14ac:dyDescent="0.3">
      <c r="L20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00" s="1">
        <f>N199+Table1181920231030313235383940414811151820284348[[#This Row],[اجمالي الفاتوره]]-Table1181920231030313235383940414811151820284348[[#This Row],[الدفعات]]</f>
        <v>1.4899999999906868</v>
      </c>
    </row>
    <row r="201" spans="12:14" s="1" customFormat="1" ht="22.5" customHeight="1" x14ac:dyDescent="0.3">
      <c r="L20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01" s="1">
        <f>N200+Table1181920231030313235383940414811151820284348[[#This Row],[اجمالي الفاتوره]]-Table1181920231030313235383940414811151820284348[[#This Row],[الدفعات]]</f>
        <v>1.4899999999906868</v>
      </c>
    </row>
    <row r="202" spans="12:14" s="1" customFormat="1" ht="22.5" customHeight="1" x14ac:dyDescent="0.3">
      <c r="L20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02" s="1">
        <f>N201+Table1181920231030313235383940414811151820284348[[#This Row],[اجمالي الفاتوره]]-Table1181920231030313235383940414811151820284348[[#This Row],[الدفعات]]</f>
        <v>1.4899999999906868</v>
      </c>
    </row>
    <row r="203" spans="12:14" s="1" customFormat="1" ht="22.5" customHeight="1" x14ac:dyDescent="0.3">
      <c r="L20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03" s="1">
        <f>N202+Table1181920231030313235383940414811151820284348[[#This Row],[اجمالي الفاتوره]]-Table1181920231030313235383940414811151820284348[[#This Row],[الدفعات]]</f>
        <v>1.4899999999906868</v>
      </c>
    </row>
    <row r="204" spans="12:14" s="1" customFormat="1" ht="22.5" customHeight="1" x14ac:dyDescent="0.3">
      <c r="L20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04" s="1">
        <f>N203+Table1181920231030313235383940414811151820284348[[#This Row],[اجمالي الفاتوره]]-Table1181920231030313235383940414811151820284348[[#This Row],[الدفعات]]</f>
        <v>1.4899999999906868</v>
      </c>
    </row>
    <row r="205" spans="12:14" s="1" customFormat="1" ht="22.5" customHeight="1" x14ac:dyDescent="0.3">
      <c r="L20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05" s="1">
        <f>N204+Table1181920231030313235383940414811151820284348[[#This Row],[اجمالي الفاتوره]]-Table1181920231030313235383940414811151820284348[[#This Row],[الدفعات]]</f>
        <v>1.4899999999906868</v>
      </c>
    </row>
    <row r="206" spans="12:14" s="1" customFormat="1" ht="22.5" customHeight="1" x14ac:dyDescent="0.3">
      <c r="L20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06" s="1">
        <f>N205+Table1181920231030313235383940414811151820284348[[#This Row],[اجمالي الفاتوره]]-Table1181920231030313235383940414811151820284348[[#This Row],[الدفعات]]</f>
        <v>1.4899999999906868</v>
      </c>
    </row>
    <row r="207" spans="12:14" s="1" customFormat="1" ht="22.5" customHeight="1" x14ac:dyDescent="0.3">
      <c r="L20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07" s="1">
        <f>N206+Table1181920231030313235383940414811151820284348[[#This Row],[اجمالي الفاتوره]]-Table1181920231030313235383940414811151820284348[[#This Row],[الدفعات]]</f>
        <v>1.4899999999906868</v>
      </c>
    </row>
    <row r="208" spans="12:14" s="1" customFormat="1" ht="22.5" customHeight="1" x14ac:dyDescent="0.3">
      <c r="L20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08" s="1">
        <f>N207+Table1181920231030313235383940414811151820284348[[#This Row],[اجمالي الفاتوره]]-Table1181920231030313235383940414811151820284348[[#This Row],[الدفعات]]</f>
        <v>1.4899999999906868</v>
      </c>
    </row>
    <row r="209" spans="12:14" s="1" customFormat="1" ht="22.5" customHeight="1" x14ac:dyDescent="0.3">
      <c r="L20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09" s="1">
        <f>N208+Table1181920231030313235383940414811151820284348[[#This Row],[اجمالي الفاتوره]]-Table1181920231030313235383940414811151820284348[[#This Row],[الدفعات]]</f>
        <v>1.4899999999906868</v>
      </c>
    </row>
    <row r="210" spans="12:14" s="1" customFormat="1" ht="22.5" customHeight="1" x14ac:dyDescent="0.3">
      <c r="L21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10" s="1">
        <f>N209+Table1181920231030313235383940414811151820284348[[#This Row],[اجمالي الفاتوره]]-Table1181920231030313235383940414811151820284348[[#This Row],[الدفعات]]</f>
        <v>1.4899999999906868</v>
      </c>
    </row>
    <row r="211" spans="12:14" s="1" customFormat="1" ht="22.5" customHeight="1" x14ac:dyDescent="0.3">
      <c r="L21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11" s="1">
        <f>N210+Table1181920231030313235383940414811151820284348[[#This Row],[اجمالي الفاتوره]]-Table1181920231030313235383940414811151820284348[[#This Row],[الدفعات]]</f>
        <v>1.4899999999906868</v>
      </c>
    </row>
    <row r="212" spans="12:14" s="1" customFormat="1" ht="22.5" customHeight="1" x14ac:dyDescent="0.3">
      <c r="L21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12" s="1">
        <f>N211+Table1181920231030313235383940414811151820284348[[#This Row],[اجمالي الفاتوره]]-Table1181920231030313235383940414811151820284348[[#This Row],[الدفعات]]</f>
        <v>1.4899999999906868</v>
      </c>
    </row>
    <row r="213" spans="12:14" s="1" customFormat="1" ht="22.5" customHeight="1" x14ac:dyDescent="0.3">
      <c r="L21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13" s="1">
        <f>N212+Table1181920231030313235383940414811151820284348[[#This Row],[اجمالي الفاتوره]]-Table1181920231030313235383940414811151820284348[[#This Row],[الدفعات]]</f>
        <v>1.4899999999906868</v>
      </c>
    </row>
    <row r="214" spans="12:14" s="1" customFormat="1" ht="22.5" customHeight="1" x14ac:dyDescent="0.3">
      <c r="L21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14" s="1">
        <f>N213+Table1181920231030313235383940414811151820284348[[#This Row],[اجمالي الفاتوره]]-Table1181920231030313235383940414811151820284348[[#This Row],[الدفعات]]</f>
        <v>1.4899999999906868</v>
      </c>
    </row>
    <row r="215" spans="12:14" s="1" customFormat="1" ht="22.5" customHeight="1" x14ac:dyDescent="0.3">
      <c r="L21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15" s="1">
        <f>N214+Table1181920231030313235383940414811151820284348[[#This Row],[اجمالي الفاتوره]]-Table1181920231030313235383940414811151820284348[[#This Row],[الدفعات]]</f>
        <v>1.4899999999906868</v>
      </c>
    </row>
    <row r="216" spans="12:14" s="1" customFormat="1" ht="22.5" customHeight="1" x14ac:dyDescent="0.3">
      <c r="L21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16" s="1">
        <f>N215+Table1181920231030313235383940414811151820284348[[#This Row],[اجمالي الفاتوره]]-Table1181920231030313235383940414811151820284348[[#This Row],[الدفعات]]</f>
        <v>1.4899999999906868</v>
      </c>
    </row>
    <row r="217" spans="12:14" s="1" customFormat="1" ht="22.5" customHeight="1" x14ac:dyDescent="0.3">
      <c r="L21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17" s="1">
        <f>N216+Table1181920231030313235383940414811151820284348[[#This Row],[اجمالي الفاتوره]]-Table1181920231030313235383940414811151820284348[[#This Row],[الدفعات]]</f>
        <v>1.4899999999906868</v>
      </c>
    </row>
    <row r="218" spans="12:14" s="1" customFormat="1" ht="22.5" customHeight="1" x14ac:dyDescent="0.3">
      <c r="L21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18" s="1">
        <f>N217+Table1181920231030313235383940414811151820284348[[#This Row],[اجمالي الفاتوره]]-Table1181920231030313235383940414811151820284348[[#This Row],[الدفعات]]</f>
        <v>1.4899999999906868</v>
      </c>
    </row>
    <row r="219" spans="12:14" s="1" customFormat="1" ht="22.5" customHeight="1" x14ac:dyDescent="0.3">
      <c r="L21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19" s="1">
        <f>N218+Table1181920231030313235383940414811151820284348[[#This Row],[اجمالي الفاتوره]]-Table1181920231030313235383940414811151820284348[[#This Row],[الدفعات]]</f>
        <v>1.4899999999906868</v>
      </c>
    </row>
    <row r="220" spans="12:14" s="1" customFormat="1" ht="22.5" customHeight="1" x14ac:dyDescent="0.3">
      <c r="L22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20" s="1">
        <f>N219+Table1181920231030313235383940414811151820284348[[#This Row],[اجمالي الفاتوره]]-Table1181920231030313235383940414811151820284348[[#This Row],[الدفعات]]</f>
        <v>1.4899999999906868</v>
      </c>
    </row>
    <row r="221" spans="12:14" s="1" customFormat="1" ht="22.5" customHeight="1" x14ac:dyDescent="0.3">
      <c r="L22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21" s="1">
        <f>N220+Table1181920231030313235383940414811151820284348[[#This Row],[اجمالي الفاتوره]]-Table1181920231030313235383940414811151820284348[[#This Row],[الدفعات]]</f>
        <v>1.4899999999906868</v>
      </c>
    </row>
    <row r="222" spans="12:14" s="1" customFormat="1" ht="22.5" customHeight="1" x14ac:dyDescent="0.3">
      <c r="L22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22" s="1">
        <f>N221+Table1181920231030313235383940414811151820284348[[#This Row],[اجمالي الفاتوره]]-Table1181920231030313235383940414811151820284348[[#This Row],[الدفعات]]</f>
        <v>1.4899999999906868</v>
      </c>
    </row>
    <row r="223" spans="12:14" s="1" customFormat="1" ht="22.5" customHeight="1" x14ac:dyDescent="0.3">
      <c r="L22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23" s="1">
        <f>N222+Table1181920231030313235383940414811151820284348[[#This Row],[اجمالي الفاتوره]]-Table1181920231030313235383940414811151820284348[[#This Row],[الدفعات]]</f>
        <v>1.4899999999906868</v>
      </c>
    </row>
    <row r="224" spans="12:14" s="1" customFormat="1" ht="22.5" customHeight="1" x14ac:dyDescent="0.3">
      <c r="L22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24" s="1">
        <f>N223+Table1181920231030313235383940414811151820284348[[#This Row],[اجمالي الفاتوره]]-Table1181920231030313235383940414811151820284348[[#This Row],[الدفعات]]</f>
        <v>1.4899999999906868</v>
      </c>
    </row>
    <row r="225" spans="10:14" s="1" customFormat="1" ht="22.5" customHeight="1" x14ac:dyDescent="0.3">
      <c r="L22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25" s="1">
        <f>N224+Table1181920231030313235383940414811151820284348[[#This Row],[اجمالي الفاتوره]]-Table1181920231030313235383940414811151820284348[[#This Row],[الدفعات]]</f>
        <v>1.4899999999906868</v>
      </c>
    </row>
    <row r="226" spans="10:14" s="1" customFormat="1" ht="22.5" customHeight="1" x14ac:dyDescent="0.3">
      <c r="L22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26" s="1">
        <f>N225+Table1181920231030313235383940414811151820284348[[#This Row],[اجمالي الفاتوره]]-Table1181920231030313235383940414811151820284348[[#This Row],[الدفعات]]</f>
        <v>1.4899999999906868</v>
      </c>
    </row>
    <row r="227" spans="10:14" s="1" customFormat="1" ht="22.5" customHeight="1" x14ac:dyDescent="0.3">
      <c r="L22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27" s="1">
        <f>N226+Table1181920231030313235383940414811151820284348[[#This Row],[اجمالي الفاتوره]]-Table1181920231030313235383940414811151820284348[[#This Row],[الدفعات]]</f>
        <v>1.4899999999906868</v>
      </c>
    </row>
    <row r="228" spans="10:14" s="1" customFormat="1" ht="22.5" customHeight="1" x14ac:dyDescent="0.3">
      <c r="L22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28" s="1">
        <f>N227+Table1181920231030313235383940414811151820284348[[#This Row],[اجمالي الفاتوره]]-Table1181920231030313235383940414811151820284348[[#This Row],[الدفعات]]</f>
        <v>1.4899999999906868</v>
      </c>
    </row>
    <row r="229" spans="10:14" s="1" customFormat="1" ht="22.5" customHeight="1" x14ac:dyDescent="0.3">
      <c r="L22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29" s="1">
        <f>N228+Table1181920231030313235383940414811151820284348[[#This Row],[اجمالي الفاتوره]]-Table1181920231030313235383940414811151820284348[[#This Row],[الدفعات]]</f>
        <v>1.4899999999906868</v>
      </c>
    </row>
    <row r="230" spans="10:14" s="1" customFormat="1" ht="22.5" customHeight="1" x14ac:dyDescent="0.3">
      <c r="L23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30" s="1">
        <f>N229+Table1181920231030313235383940414811151820284348[[#This Row],[اجمالي الفاتوره]]-Table1181920231030313235383940414811151820284348[[#This Row],[الدفعات]]</f>
        <v>1.4899999999906868</v>
      </c>
    </row>
    <row r="231" spans="10:14" s="1" customFormat="1" ht="22.5" customHeight="1" x14ac:dyDescent="0.3">
      <c r="L23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31" s="1">
        <f>N230+Table1181920231030313235383940414811151820284348[[#This Row],[اجمالي الفاتوره]]-Table1181920231030313235383940414811151820284348[[#This Row],[الدفعات]]</f>
        <v>1.4899999999906868</v>
      </c>
    </row>
    <row r="232" spans="10:14" s="1" customFormat="1" ht="22.5" customHeight="1" x14ac:dyDescent="0.3">
      <c r="L23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32" s="1">
        <f>N231+Table1181920231030313235383940414811151820284348[[#This Row],[اجمالي الفاتوره]]-Table1181920231030313235383940414811151820284348[[#This Row],[الدفعات]]</f>
        <v>1.4899999999906868</v>
      </c>
    </row>
    <row r="233" spans="10:14" s="1" customFormat="1" ht="22.5" customHeight="1" x14ac:dyDescent="0.3">
      <c r="L23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33" s="1">
        <f>N232+Table1181920231030313235383940414811151820284348[[#This Row],[اجمالي الفاتوره]]-Table1181920231030313235383940414811151820284348[[#This Row],[الدفعات]]</f>
        <v>1.4899999999906868</v>
      </c>
    </row>
    <row r="234" spans="10:14" s="1" customFormat="1" ht="22.5" customHeight="1" x14ac:dyDescent="0.3">
      <c r="L23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34" s="1">
        <f>N233+Table1181920231030313235383940414811151820284348[[#This Row],[اجمالي الفاتوره]]-Table1181920231030313235383940414811151820284348[[#This Row],[الدفعات]]</f>
        <v>1.4899999999906868</v>
      </c>
    </row>
    <row r="235" spans="10:14" s="1" customFormat="1" ht="22.5" customHeight="1" x14ac:dyDescent="0.3">
      <c r="L23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35" s="1">
        <f>N234+Table1181920231030313235383940414811151820284348[[#This Row],[اجمالي الفاتوره]]-Table1181920231030313235383940414811151820284348[[#This Row],[الدفعات]]</f>
        <v>1.4899999999906868</v>
      </c>
    </row>
    <row r="236" spans="10:14" s="1" customFormat="1" ht="22.5" customHeight="1" x14ac:dyDescent="0.3">
      <c r="L23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36" s="1">
        <f>N235+Table1181920231030313235383940414811151820284348[[#This Row],[اجمالي الفاتوره]]-Table1181920231030313235383940414811151820284348[[#This Row],[الدفعات]]</f>
        <v>1.4899999999906868</v>
      </c>
    </row>
    <row r="237" spans="10:14" s="1" customFormat="1" ht="22.5" customHeight="1" x14ac:dyDescent="0.3">
      <c r="L23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37" s="1">
        <f>N236+Table1181920231030313235383940414811151820284348[[#This Row],[اجمالي الفاتوره]]-Table1181920231030313235383940414811151820284348[[#This Row],[الدفعات]]</f>
        <v>1.4899999999906868</v>
      </c>
    </row>
    <row r="238" spans="10:14" s="1" customFormat="1" ht="22.5" customHeight="1" x14ac:dyDescent="0.3">
      <c r="L23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38" s="1">
        <f>N237+Table1181920231030313235383940414811151820284348[[#This Row],[اجمالي الفاتوره]]-Table1181920231030313235383940414811151820284348[[#This Row],[الدفعات]]</f>
        <v>1.4899999999906868</v>
      </c>
    </row>
    <row r="239" spans="10:14" s="1" customFormat="1" ht="22.5" customHeight="1" x14ac:dyDescent="0.3">
      <c r="L23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39" s="1">
        <f>N238+Table1181920231030313235383940414811151820284348[[#This Row],[اجمالي الفاتوره]]-Table1181920231030313235383940414811151820284348[[#This Row],[الدفعات]]</f>
        <v>1.4899999999906868</v>
      </c>
    </row>
    <row r="240" spans="10:14" s="1" customFormat="1" ht="22.5" customHeight="1" x14ac:dyDescent="0.3">
      <c r="J240" s="1">
        <f>0.03*Table1181920231030313235383940414811151820284348[[#This Row],[النولون]]</f>
        <v>0</v>
      </c>
      <c r="L24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40" s="1">
        <f>N239+Table1181920231030313235383940414811151820284348[[#This Row],[اجمالي الفاتوره]]-Table1181920231030313235383940414811151820284348[[#This Row],[الدفعات]]</f>
        <v>1.4899999999906868</v>
      </c>
    </row>
    <row r="241" spans="10:14" s="1" customFormat="1" ht="22.5" customHeight="1" x14ac:dyDescent="0.3">
      <c r="J241" s="1">
        <f>0.03*Table1181920231030313235383940414811151820284348[[#This Row],[النولون]]</f>
        <v>0</v>
      </c>
      <c r="L24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41" s="1">
        <f>N240+Table1181920231030313235383940414811151820284348[[#This Row],[اجمالي الفاتوره]]-Table1181920231030313235383940414811151820284348[[#This Row],[الدفعات]]</f>
        <v>1.4899999999906868</v>
      </c>
    </row>
    <row r="242" spans="10:14" s="1" customFormat="1" ht="22.5" customHeight="1" x14ac:dyDescent="0.3">
      <c r="J242" s="1">
        <f>0.03*Table1181920231030313235383940414811151820284348[[#This Row],[النولون]]</f>
        <v>0</v>
      </c>
      <c r="L24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42" s="1">
        <f>N241+Table1181920231030313235383940414811151820284348[[#This Row],[اجمالي الفاتوره]]-Table1181920231030313235383940414811151820284348[[#This Row],[الدفعات]]</f>
        <v>1.4899999999906868</v>
      </c>
    </row>
    <row r="243" spans="10:14" s="1" customFormat="1" ht="22.5" customHeight="1" x14ac:dyDescent="0.3">
      <c r="J243" s="1">
        <f>0.03*Table1181920231030313235383940414811151820284348[[#This Row],[النولون]]</f>
        <v>0</v>
      </c>
      <c r="L24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43" s="1">
        <f>N242+Table1181920231030313235383940414811151820284348[[#This Row],[اجمالي الفاتوره]]-Table1181920231030313235383940414811151820284348[[#This Row],[الدفعات]]</f>
        <v>1.4899999999906868</v>
      </c>
    </row>
    <row r="244" spans="10:14" s="1" customFormat="1" ht="22.5" customHeight="1" x14ac:dyDescent="0.3">
      <c r="J244" s="1">
        <f>0.03*Table1181920231030313235383940414811151820284348[[#This Row],[النولون]]</f>
        <v>0</v>
      </c>
      <c r="L24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44" s="1">
        <f>N243+Table1181920231030313235383940414811151820284348[[#This Row],[اجمالي الفاتوره]]-Table1181920231030313235383940414811151820284348[[#This Row],[الدفعات]]</f>
        <v>1.4899999999906868</v>
      </c>
    </row>
    <row r="245" spans="10:14" s="1" customFormat="1" ht="22.5" customHeight="1" x14ac:dyDescent="0.3">
      <c r="J245" s="1">
        <f>0.03*Table1181920231030313235383940414811151820284348[[#This Row],[النولون]]</f>
        <v>0</v>
      </c>
      <c r="L24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45" s="1">
        <f>N244+Table1181920231030313235383940414811151820284348[[#This Row],[اجمالي الفاتوره]]-Table1181920231030313235383940414811151820284348[[#This Row],[الدفعات]]</f>
        <v>1.4899999999906868</v>
      </c>
    </row>
    <row r="246" spans="10:14" s="1" customFormat="1" ht="22.5" customHeight="1" x14ac:dyDescent="0.3">
      <c r="J246" s="1">
        <f>0.03*Table1181920231030313235383940414811151820284348[[#This Row],[النولون]]</f>
        <v>0</v>
      </c>
      <c r="L24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46" s="1">
        <f>N245+Table1181920231030313235383940414811151820284348[[#This Row],[اجمالي الفاتوره]]-Table1181920231030313235383940414811151820284348[[#This Row],[الدفعات]]</f>
        <v>1.4899999999906868</v>
      </c>
    </row>
    <row r="247" spans="10:14" s="1" customFormat="1" ht="22.5" customHeight="1" x14ac:dyDescent="0.3">
      <c r="J247" s="1">
        <f>0.03*Table1181920231030313235383940414811151820284348[[#This Row],[النولون]]</f>
        <v>0</v>
      </c>
      <c r="L24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47" s="1">
        <f>N246+Table1181920231030313235383940414811151820284348[[#This Row],[اجمالي الفاتوره]]-Table1181920231030313235383940414811151820284348[[#This Row],[الدفعات]]</f>
        <v>1.4899999999906868</v>
      </c>
    </row>
    <row r="248" spans="10:14" s="1" customFormat="1" ht="22.5" customHeight="1" x14ac:dyDescent="0.3">
      <c r="J248" s="1">
        <f>0.03*Table1181920231030313235383940414811151820284348[[#This Row],[النولون]]</f>
        <v>0</v>
      </c>
      <c r="L24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48" s="1">
        <f>N247+Table1181920231030313235383940414811151820284348[[#This Row],[اجمالي الفاتوره]]-Table1181920231030313235383940414811151820284348[[#This Row],[الدفعات]]</f>
        <v>1.4899999999906868</v>
      </c>
    </row>
    <row r="249" spans="10:14" s="1" customFormat="1" ht="22.5" customHeight="1" x14ac:dyDescent="0.3">
      <c r="J249" s="1">
        <f>0.03*Table1181920231030313235383940414811151820284348[[#This Row],[النولون]]</f>
        <v>0</v>
      </c>
      <c r="L24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49" s="1">
        <f>N248+Table1181920231030313235383940414811151820284348[[#This Row],[اجمالي الفاتوره]]-Table1181920231030313235383940414811151820284348[[#This Row],[الدفعات]]</f>
        <v>1.4899999999906868</v>
      </c>
    </row>
    <row r="250" spans="10:14" s="1" customFormat="1" ht="22.5" customHeight="1" x14ac:dyDescent="0.3">
      <c r="J250" s="1">
        <f>0.03*Table1181920231030313235383940414811151820284348[[#This Row],[النولون]]</f>
        <v>0</v>
      </c>
      <c r="L25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50" s="1">
        <f>N249+Table1181920231030313235383940414811151820284348[[#This Row],[اجمالي الفاتوره]]-Table1181920231030313235383940414811151820284348[[#This Row],[الدفعات]]</f>
        <v>1.4899999999906868</v>
      </c>
    </row>
    <row r="251" spans="10:14" s="1" customFormat="1" ht="22.5" customHeight="1" x14ac:dyDescent="0.3">
      <c r="J251" s="1">
        <f>0.03*Table1181920231030313235383940414811151820284348[[#This Row],[النولون]]</f>
        <v>0</v>
      </c>
      <c r="L25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51" s="1">
        <f>N250+Table1181920231030313235383940414811151820284348[[#This Row],[اجمالي الفاتوره]]-Table1181920231030313235383940414811151820284348[[#This Row],[الدفعات]]</f>
        <v>1.4899999999906868</v>
      </c>
    </row>
    <row r="252" spans="10:14" s="1" customFormat="1" ht="22.5" customHeight="1" x14ac:dyDescent="0.3">
      <c r="J252" s="1">
        <f>0.03*Table1181920231030313235383940414811151820284348[[#This Row],[النولون]]</f>
        <v>0</v>
      </c>
      <c r="L25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52" s="1">
        <f>N251+Table1181920231030313235383940414811151820284348[[#This Row],[اجمالي الفاتوره]]-Table1181920231030313235383940414811151820284348[[#This Row],[الدفعات]]</f>
        <v>1.4899999999906868</v>
      </c>
    </row>
    <row r="253" spans="10:14" s="1" customFormat="1" ht="22.5" customHeight="1" x14ac:dyDescent="0.3">
      <c r="J253" s="1">
        <f>0.03*Table1181920231030313235383940414811151820284348[[#This Row],[النولون]]</f>
        <v>0</v>
      </c>
      <c r="L25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53" s="1">
        <f>N252+Table1181920231030313235383940414811151820284348[[#This Row],[اجمالي الفاتوره]]-Table1181920231030313235383940414811151820284348[[#This Row],[الدفعات]]</f>
        <v>1.4899999999906868</v>
      </c>
    </row>
    <row r="254" spans="10:14" s="1" customFormat="1" ht="22.5" customHeight="1" x14ac:dyDescent="0.3">
      <c r="J254" s="1">
        <f>0.03*Table1181920231030313235383940414811151820284348[[#This Row],[النولون]]</f>
        <v>0</v>
      </c>
      <c r="L25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54" s="1">
        <f>N253+Table1181920231030313235383940414811151820284348[[#This Row],[اجمالي الفاتوره]]-Table1181920231030313235383940414811151820284348[[#This Row],[الدفعات]]</f>
        <v>1.4899999999906868</v>
      </c>
    </row>
    <row r="255" spans="10:14" s="1" customFormat="1" ht="22.5" customHeight="1" x14ac:dyDescent="0.3">
      <c r="J255" s="1">
        <f>0.03*Table1181920231030313235383940414811151820284348[[#This Row],[النولون]]</f>
        <v>0</v>
      </c>
      <c r="L25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55" s="1">
        <f>N254+Table1181920231030313235383940414811151820284348[[#This Row],[اجمالي الفاتوره]]-Table1181920231030313235383940414811151820284348[[#This Row],[الدفعات]]</f>
        <v>1.4899999999906868</v>
      </c>
    </row>
    <row r="256" spans="10:14" s="1" customFormat="1" ht="22.5" customHeight="1" x14ac:dyDescent="0.3">
      <c r="J256" s="1">
        <f>0.03*Table1181920231030313235383940414811151820284348[[#This Row],[النولون]]</f>
        <v>0</v>
      </c>
      <c r="L25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56" s="1">
        <f>N255+Table1181920231030313235383940414811151820284348[[#This Row],[اجمالي الفاتوره]]-Table1181920231030313235383940414811151820284348[[#This Row],[الدفعات]]</f>
        <v>1.4899999999906868</v>
      </c>
    </row>
    <row r="257" spans="10:14" s="1" customFormat="1" ht="22.5" customHeight="1" x14ac:dyDescent="0.3">
      <c r="J257" s="1">
        <f>0.03*Table1181920231030313235383940414811151820284348[[#This Row],[النولون]]</f>
        <v>0</v>
      </c>
      <c r="L25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57" s="1">
        <f>N256+Table1181920231030313235383940414811151820284348[[#This Row],[اجمالي الفاتوره]]-Table1181920231030313235383940414811151820284348[[#This Row],[الدفعات]]</f>
        <v>1.4899999999906868</v>
      </c>
    </row>
    <row r="258" spans="10:14" s="1" customFormat="1" ht="22.5" customHeight="1" x14ac:dyDescent="0.3">
      <c r="J258" s="1">
        <f>0.03*Table1181920231030313235383940414811151820284348[[#This Row],[النولون]]</f>
        <v>0</v>
      </c>
      <c r="L25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58" s="1">
        <f>N257+Table1181920231030313235383940414811151820284348[[#This Row],[اجمالي الفاتوره]]-Table1181920231030313235383940414811151820284348[[#This Row],[الدفعات]]</f>
        <v>1.4899999999906868</v>
      </c>
    </row>
    <row r="259" spans="10:14" s="1" customFormat="1" ht="22.5" customHeight="1" x14ac:dyDescent="0.3">
      <c r="J259" s="1">
        <f>0.03*Table1181920231030313235383940414811151820284348[[#This Row],[النولون]]</f>
        <v>0</v>
      </c>
      <c r="L25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59" s="1">
        <f>N258+Table1181920231030313235383940414811151820284348[[#This Row],[اجمالي الفاتوره]]-Table1181920231030313235383940414811151820284348[[#This Row],[الدفعات]]</f>
        <v>1.4899999999906868</v>
      </c>
    </row>
    <row r="260" spans="10:14" s="1" customFormat="1" ht="22.5" customHeight="1" x14ac:dyDescent="0.3">
      <c r="J260" s="1">
        <f>0.03*Table1181920231030313235383940414811151820284348[[#This Row],[النولون]]</f>
        <v>0</v>
      </c>
      <c r="L26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60" s="1">
        <f>N259+Table1181920231030313235383940414811151820284348[[#This Row],[اجمالي الفاتوره]]-Table1181920231030313235383940414811151820284348[[#This Row],[الدفعات]]</f>
        <v>1.4899999999906868</v>
      </c>
    </row>
    <row r="261" spans="10:14" s="1" customFormat="1" ht="22.5" customHeight="1" x14ac:dyDescent="0.3">
      <c r="J261" s="1">
        <f>0.03*Table1181920231030313235383940414811151820284348[[#This Row],[النولون]]</f>
        <v>0</v>
      </c>
      <c r="L26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61" s="1">
        <f>N260+Table1181920231030313235383940414811151820284348[[#This Row],[اجمالي الفاتوره]]-Table1181920231030313235383940414811151820284348[[#This Row],[الدفعات]]</f>
        <v>1.4899999999906868</v>
      </c>
    </row>
    <row r="262" spans="10:14" s="1" customFormat="1" ht="22.5" customHeight="1" x14ac:dyDescent="0.3">
      <c r="J262" s="1">
        <f>0.03*Table1181920231030313235383940414811151820284348[[#This Row],[النولون]]</f>
        <v>0</v>
      </c>
      <c r="L26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62" s="1">
        <f>N261+Table1181920231030313235383940414811151820284348[[#This Row],[اجمالي الفاتوره]]-Table1181920231030313235383940414811151820284348[[#This Row],[الدفعات]]</f>
        <v>1.4899999999906868</v>
      </c>
    </row>
    <row r="263" spans="10:14" s="1" customFormat="1" ht="22.5" customHeight="1" x14ac:dyDescent="0.3">
      <c r="J263" s="1">
        <f>0.03*Table1181920231030313235383940414811151820284348[[#This Row],[النولون]]</f>
        <v>0</v>
      </c>
      <c r="L26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63" s="1">
        <f>N262+Table1181920231030313235383940414811151820284348[[#This Row],[اجمالي الفاتوره]]-Table1181920231030313235383940414811151820284348[[#This Row],[الدفعات]]</f>
        <v>1.4899999999906868</v>
      </c>
    </row>
    <row r="264" spans="10:14" s="1" customFormat="1" ht="22.5" customHeight="1" x14ac:dyDescent="0.3">
      <c r="J264" s="1">
        <f>0.03*Table1181920231030313235383940414811151820284348[[#This Row],[النولون]]</f>
        <v>0</v>
      </c>
      <c r="L26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64" s="1">
        <f>N263+Table1181920231030313235383940414811151820284348[[#This Row],[اجمالي الفاتوره]]-Table1181920231030313235383940414811151820284348[[#This Row],[الدفعات]]</f>
        <v>1.4899999999906868</v>
      </c>
    </row>
    <row r="265" spans="10:14" s="1" customFormat="1" ht="22.5" customHeight="1" x14ac:dyDescent="0.3">
      <c r="J265" s="1">
        <f>0.03*Table1181920231030313235383940414811151820284348[[#This Row],[النولون]]</f>
        <v>0</v>
      </c>
      <c r="L26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65" s="1">
        <f>N264+Table1181920231030313235383940414811151820284348[[#This Row],[اجمالي الفاتوره]]-Table1181920231030313235383940414811151820284348[[#This Row],[الدفعات]]</f>
        <v>1.4899999999906868</v>
      </c>
    </row>
    <row r="266" spans="10:14" s="1" customFormat="1" ht="22.5" customHeight="1" x14ac:dyDescent="0.3">
      <c r="J266" s="1">
        <f>0.03*Table1181920231030313235383940414811151820284348[[#This Row],[النولون]]</f>
        <v>0</v>
      </c>
      <c r="L26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66" s="1">
        <f>N265+Table1181920231030313235383940414811151820284348[[#This Row],[اجمالي الفاتوره]]-Table1181920231030313235383940414811151820284348[[#This Row],[الدفعات]]</f>
        <v>1.4899999999906868</v>
      </c>
    </row>
    <row r="267" spans="10:14" s="1" customFormat="1" ht="22.5" customHeight="1" x14ac:dyDescent="0.3">
      <c r="J267" s="1">
        <f>0.03*Table1181920231030313235383940414811151820284348[[#This Row],[النولون]]</f>
        <v>0</v>
      </c>
      <c r="L26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67" s="1">
        <f>N266+Table1181920231030313235383940414811151820284348[[#This Row],[اجمالي الفاتوره]]-Table1181920231030313235383940414811151820284348[[#This Row],[الدفعات]]</f>
        <v>1.4899999999906868</v>
      </c>
    </row>
    <row r="268" spans="10:14" s="1" customFormat="1" ht="22.5" customHeight="1" x14ac:dyDescent="0.3">
      <c r="J268" s="1">
        <f>0.03*Table1181920231030313235383940414811151820284348[[#This Row],[النولون]]</f>
        <v>0</v>
      </c>
      <c r="L26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68" s="1">
        <f>N267+Table1181920231030313235383940414811151820284348[[#This Row],[اجمالي الفاتوره]]-Table1181920231030313235383940414811151820284348[[#This Row],[الدفعات]]</f>
        <v>1.4899999999906868</v>
      </c>
    </row>
    <row r="269" spans="10:14" s="1" customFormat="1" ht="22.5" customHeight="1" x14ac:dyDescent="0.3">
      <c r="J269" s="1">
        <f>0.03*Table1181920231030313235383940414811151820284348[[#This Row],[النولون]]</f>
        <v>0</v>
      </c>
      <c r="L26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69" s="1">
        <f>N268+Table1181920231030313235383940414811151820284348[[#This Row],[اجمالي الفاتوره]]-Table1181920231030313235383940414811151820284348[[#This Row],[الدفعات]]</f>
        <v>1.4899999999906868</v>
      </c>
    </row>
    <row r="270" spans="10:14" s="1" customFormat="1" ht="22.5" customHeight="1" x14ac:dyDescent="0.3">
      <c r="J270" s="1">
        <f>0.03*Table1181920231030313235383940414811151820284348[[#This Row],[النولون]]</f>
        <v>0</v>
      </c>
      <c r="L27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70" s="1">
        <f>N269+Table1181920231030313235383940414811151820284348[[#This Row],[اجمالي الفاتوره]]-Table1181920231030313235383940414811151820284348[[#This Row],[الدفعات]]</f>
        <v>1.4899999999906868</v>
      </c>
    </row>
    <row r="271" spans="10:14" s="1" customFormat="1" ht="22.5" customHeight="1" x14ac:dyDescent="0.3">
      <c r="J271" s="1">
        <f>0.03*Table1181920231030313235383940414811151820284348[[#This Row],[النولون]]</f>
        <v>0</v>
      </c>
      <c r="L27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71" s="1">
        <f>N270+Table1181920231030313235383940414811151820284348[[#This Row],[اجمالي الفاتوره]]-Table1181920231030313235383940414811151820284348[[#This Row],[الدفعات]]</f>
        <v>1.4899999999906868</v>
      </c>
    </row>
    <row r="272" spans="10:14" s="1" customFormat="1" ht="22.5" customHeight="1" x14ac:dyDescent="0.3">
      <c r="J272" s="1">
        <f>0.03*Table1181920231030313235383940414811151820284348[[#This Row],[النولون]]</f>
        <v>0</v>
      </c>
      <c r="L27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72" s="1">
        <f>N271+Table1181920231030313235383940414811151820284348[[#This Row],[اجمالي الفاتوره]]-Table1181920231030313235383940414811151820284348[[#This Row],[الدفعات]]</f>
        <v>1.4899999999906868</v>
      </c>
    </row>
    <row r="273" spans="10:14" s="1" customFormat="1" ht="22.5" customHeight="1" x14ac:dyDescent="0.3">
      <c r="J273" s="1">
        <f>0.03*Table1181920231030313235383940414811151820284348[[#This Row],[النولون]]</f>
        <v>0</v>
      </c>
      <c r="L27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73" s="1">
        <f>N272+Table1181920231030313235383940414811151820284348[[#This Row],[اجمالي الفاتوره]]-Table1181920231030313235383940414811151820284348[[#This Row],[الدفعات]]</f>
        <v>1.4899999999906868</v>
      </c>
    </row>
    <row r="274" spans="10:14" s="1" customFormat="1" ht="22.5" customHeight="1" x14ac:dyDescent="0.3">
      <c r="J274" s="1">
        <f>0.03*Table1181920231030313235383940414811151820284348[[#This Row],[النولون]]</f>
        <v>0</v>
      </c>
      <c r="L27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74" s="1">
        <f>N273+Table1181920231030313235383940414811151820284348[[#This Row],[اجمالي الفاتوره]]-Table1181920231030313235383940414811151820284348[[#This Row],[الدفعات]]</f>
        <v>1.4899999999906868</v>
      </c>
    </row>
    <row r="275" spans="10:14" s="1" customFormat="1" ht="22.5" customHeight="1" x14ac:dyDescent="0.3">
      <c r="J275" s="1">
        <f>0.03*Table1181920231030313235383940414811151820284348[[#This Row],[النولون]]</f>
        <v>0</v>
      </c>
      <c r="L27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75" s="1">
        <f>N274+Table1181920231030313235383940414811151820284348[[#This Row],[اجمالي الفاتوره]]-Table1181920231030313235383940414811151820284348[[#This Row],[الدفعات]]</f>
        <v>1.4899999999906868</v>
      </c>
    </row>
    <row r="276" spans="10:14" s="1" customFormat="1" ht="22.5" customHeight="1" x14ac:dyDescent="0.3">
      <c r="J276" s="1">
        <f>0.03*Table1181920231030313235383940414811151820284348[[#This Row],[النولون]]</f>
        <v>0</v>
      </c>
      <c r="L27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76" s="1">
        <f>N275+Table1181920231030313235383940414811151820284348[[#This Row],[اجمالي الفاتوره]]-Table1181920231030313235383940414811151820284348[[#This Row],[الدفعات]]</f>
        <v>1.4899999999906868</v>
      </c>
    </row>
    <row r="277" spans="10:14" s="1" customFormat="1" ht="22.5" customHeight="1" x14ac:dyDescent="0.3">
      <c r="J277" s="1">
        <f>0.03*Table1181920231030313235383940414811151820284348[[#This Row],[النولون]]</f>
        <v>0</v>
      </c>
      <c r="L27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77" s="1">
        <f>N276+Table1181920231030313235383940414811151820284348[[#This Row],[اجمالي الفاتوره]]-Table1181920231030313235383940414811151820284348[[#This Row],[الدفعات]]</f>
        <v>1.4899999999906868</v>
      </c>
    </row>
    <row r="278" spans="10:14" s="1" customFormat="1" ht="22.5" customHeight="1" x14ac:dyDescent="0.3">
      <c r="J278" s="1">
        <f>0.03*Table1181920231030313235383940414811151820284348[[#This Row],[النولون]]</f>
        <v>0</v>
      </c>
      <c r="L27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78" s="1">
        <f>N277+Table1181920231030313235383940414811151820284348[[#This Row],[اجمالي الفاتوره]]-Table1181920231030313235383940414811151820284348[[#This Row],[الدفعات]]</f>
        <v>1.4899999999906868</v>
      </c>
    </row>
    <row r="279" spans="10:14" s="1" customFormat="1" ht="22.5" customHeight="1" x14ac:dyDescent="0.3">
      <c r="J279" s="1">
        <f>0.03*Table1181920231030313235383940414811151820284348[[#This Row],[النولون]]</f>
        <v>0</v>
      </c>
      <c r="L27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79" s="1">
        <f>N278+Table1181920231030313235383940414811151820284348[[#This Row],[اجمالي الفاتوره]]-Table1181920231030313235383940414811151820284348[[#This Row],[الدفعات]]</f>
        <v>1.4899999999906868</v>
      </c>
    </row>
    <row r="280" spans="10:14" s="1" customFormat="1" ht="22.5" customHeight="1" x14ac:dyDescent="0.3">
      <c r="J280" s="1">
        <f>0.03*Table1181920231030313235383940414811151820284348[[#This Row],[النولون]]</f>
        <v>0</v>
      </c>
      <c r="L28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80" s="1">
        <f>N279+Table1181920231030313235383940414811151820284348[[#This Row],[اجمالي الفاتوره]]-Table1181920231030313235383940414811151820284348[[#This Row],[الدفعات]]</f>
        <v>1.4899999999906868</v>
      </c>
    </row>
    <row r="281" spans="10:14" s="1" customFormat="1" ht="22.5" customHeight="1" x14ac:dyDescent="0.3">
      <c r="J281" s="1">
        <f>0.03*Table1181920231030313235383940414811151820284348[[#This Row],[النولون]]</f>
        <v>0</v>
      </c>
      <c r="L28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81" s="1">
        <f>N280+Table1181920231030313235383940414811151820284348[[#This Row],[اجمالي الفاتوره]]-Table1181920231030313235383940414811151820284348[[#This Row],[الدفعات]]</f>
        <v>1.4899999999906868</v>
      </c>
    </row>
    <row r="282" spans="10:14" s="1" customFormat="1" ht="22.5" customHeight="1" x14ac:dyDescent="0.3">
      <c r="J282" s="1">
        <f>0.03*Table1181920231030313235383940414811151820284348[[#This Row],[النولون]]</f>
        <v>0</v>
      </c>
      <c r="L28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82" s="1">
        <f>N281+Table1181920231030313235383940414811151820284348[[#This Row],[اجمالي الفاتوره]]-Table1181920231030313235383940414811151820284348[[#This Row],[الدفعات]]</f>
        <v>1.4899999999906868</v>
      </c>
    </row>
    <row r="283" spans="10:14" s="1" customFormat="1" ht="22.5" customHeight="1" x14ac:dyDescent="0.3">
      <c r="J283" s="1">
        <f>0.03*Table1181920231030313235383940414811151820284348[[#This Row],[النولون]]</f>
        <v>0</v>
      </c>
      <c r="L28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83" s="1">
        <f>N282+Table1181920231030313235383940414811151820284348[[#This Row],[اجمالي الفاتوره]]-Table1181920231030313235383940414811151820284348[[#This Row],[الدفعات]]</f>
        <v>1.4899999999906868</v>
      </c>
    </row>
    <row r="284" spans="10:14" s="1" customFormat="1" ht="22.5" customHeight="1" x14ac:dyDescent="0.3">
      <c r="J284" s="1">
        <f>0.03*Table1181920231030313235383940414811151820284348[[#This Row],[النولون]]</f>
        <v>0</v>
      </c>
      <c r="L28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84" s="1">
        <f>N283+Table1181920231030313235383940414811151820284348[[#This Row],[اجمالي الفاتوره]]-Table1181920231030313235383940414811151820284348[[#This Row],[الدفعات]]</f>
        <v>1.4899999999906868</v>
      </c>
    </row>
    <row r="285" spans="10:14" s="1" customFormat="1" ht="22.5" customHeight="1" x14ac:dyDescent="0.3">
      <c r="J285" s="1">
        <f>0.03*Table1181920231030313235383940414811151820284348[[#This Row],[النولون]]</f>
        <v>0</v>
      </c>
      <c r="L28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85" s="1">
        <f>N284+Table1181920231030313235383940414811151820284348[[#This Row],[اجمالي الفاتوره]]-Table1181920231030313235383940414811151820284348[[#This Row],[الدفعات]]</f>
        <v>1.4899999999906868</v>
      </c>
    </row>
    <row r="286" spans="10:14" s="1" customFormat="1" ht="22.5" customHeight="1" x14ac:dyDescent="0.3">
      <c r="J286" s="1">
        <f>0.03*Table1181920231030313235383940414811151820284348[[#This Row],[النولون]]</f>
        <v>0</v>
      </c>
      <c r="L28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86" s="1">
        <f>N285+Table1181920231030313235383940414811151820284348[[#This Row],[اجمالي الفاتوره]]-Table1181920231030313235383940414811151820284348[[#This Row],[الدفعات]]</f>
        <v>1.4899999999906868</v>
      </c>
    </row>
    <row r="287" spans="10:14" s="1" customFormat="1" ht="22.5" customHeight="1" x14ac:dyDescent="0.3">
      <c r="J287" s="1">
        <f>0.03*Table1181920231030313235383940414811151820284348[[#This Row],[النولون]]</f>
        <v>0</v>
      </c>
      <c r="L28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87" s="1">
        <f>N286+Table1181920231030313235383940414811151820284348[[#This Row],[اجمالي الفاتوره]]-Table1181920231030313235383940414811151820284348[[#This Row],[الدفعات]]</f>
        <v>1.4899999999906868</v>
      </c>
    </row>
    <row r="288" spans="10:14" s="1" customFormat="1" ht="22.5" customHeight="1" x14ac:dyDescent="0.3">
      <c r="J288" s="1">
        <f>0.03*Table1181920231030313235383940414811151820284348[[#This Row],[النولون]]</f>
        <v>0</v>
      </c>
      <c r="L28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88" s="1">
        <f>N287+Table1181920231030313235383940414811151820284348[[#This Row],[اجمالي الفاتوره]]-Table1181920231030313235383940414811151820284348[[#This Row],[الدفعات]]</f>
        <v>1.4899999999906868</v>
      </c>
    </row>
    <row r="289" spans="10:14" s="1" customFormat="1" ht="22.5" customHeight="1" x14ac:dyDescent="0.3">
      <c r="J289" s="1">
        <f>0.03*Table1181920231030313235383940414811151820284348[[#This Row],[النولون]]</f>
        <v>0</v>
      </c>
      <c r="L28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89" s="1">
        <f>N288+Table1181920231030313235383940414811151820284348[[#This Row],[اجمالي الفاتوره]]-Table1181920231030313235383940414811151820284348[[#This Row],[الدفعات]]</f>
        <v>1.4899999999906868</v>
      </c>
    </row>
    <row r="290" spans="10:14" s="1" customFormat="1" ht="22.5" customHeight="1" x14ac:dyDescent="0.3">
      <c r="J290" s="1">
        <f>0.03*Table1181920231030313235383940414811151820284348[[#This Row],[النولون]]</f>
        <v>0</v>
      </c>
      <c r="L29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90" s="1">
        <f>N289+Table1181920231030313235383940414811151820284348[[#This Row],[اجمالي الفاتوره]]-Table1181920231030313235383940414811151820284348[[#This Row],[الدفعات]]</f>
        <v>1.4899999999906868</v>
      </c>
    </row>
    <row r="291" spans="10:14" s="1" customFormat="1" ht="22.5" customHeight="1" x14ac:dyDescent="0.3">
      <c r="J291" s="1">
        <f>0.03*Table1181920231030313235383940414811151820284348[[#This Row],[النولون]]</f>
        <v>0</v>
      </c>
      <c r="L29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91" s="1">
        <f>N290+Table1181920231030313235383940414811151820284348[[#This Row],[اجمالي الفاتوره]]-Table1181920231030313235383940414811151820284348[[#This Row],[الدفعات]]</f>
        <v>1.4899999999906868</v>
      </c>
    </row>
    <row r="292" spans="10:14" s="1" customFormat="1" ht="22.5" customHeight="1" x14ac:dyDescent="0.3">
      <c r="J292" s="1">
        <f>0.03*Table1181920231030313235383940414811151820284348[[#This Row],[النولون]]</f>
        <v>0</v>
      </c>
      <c r="L29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92" s="1">
        <f>N291+Table1181920231030313235383940414811151820284348[[#This Row],[اجمالي الفاتوره]]-Table1181920231030313235383940414811151820284348[[#This Row],[الدفعات]]</f>
        <v>1.4899999999906868</v>
      </c>
    </row>
    <row r="293" spans="10:14" s="1" customFormat="1" ht="22.5" customHeight="1" x14ac:dyDescent="0.3">
      <c r="J293" s="1">
        <f>0.03*Table1181920231030313235383940414811151820284348[[#This Row],[النولون]]</f>
        <v>0</v>
      </c>
      <c r="L29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93" s="1">
        <f>N292+Table1181920231030313235383940414811151820284348[[#This Row],[اجمالي الفاتوره]]-Table1181920231030313235383940414811151820284348[[#This Row],[الدفعات]]</f>
        <v>1.4899999999906868</v>
      </c>
    </row>
    <row r="294" spans="10:14" s="1" customFormat="1" ht="22.5" customHeight="1" x14ac:dyDescent="0.3">
      <c r="J294" s="1">
        <f>0.03*Table1181920231030313235383940414811151820284348[[#This Row],[النولون]]</f>
        <v>0</v>
      </c>
      <c r="L29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94" s="1">
        <f>N293+Table1181920231030313235383940414811151820284348[[#This Row],[اجمالي الفاتوره]]-Table1181920231030313235383940414811151820284348[[#This Row],[الدفعات]]</f>
        <v>1.4899999999906868</v>
      </c>
    </row>
    <row r="295" spans="10:14" s="1" customFormat="1" ht="22.5" customHeight="1" x14ac:dyDescent="0.3">
      <c r="J295" s="1">
        <f>0.03*Table1181920231030313235383940414811151820284348[[#This Row],[النولون]]</f>
        <v>0</v>
      </c>
      <c r="L29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95" s="1">
        <f>N294+Table1181920231030313235383940414811151820284348[[#This Row],[اجمالي الفاتوره]]-Table1181920231030313235383940414811151820284348[[#This Row],[الدفعات]]</f>
        <v>1.4899999999906868</v>
      </c>
    </row>
    <row r="296" spans="10:14" s="1" customFormat="1" ht="22.5" customHeight="1" x14ac:dyDescent="0.3">
      <c r="J296" s="1">
        <f>0.03*Table1181920231030313235383940414811151820284348[[#This Row],[النولون]]</f>
        <v>0</v>
      </c>
      <c r="L29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96" s="1">
        <f>N295+Table1181920231030313235383940414811151820284348[[#This Row],[اجمالي الفاتوره]]-Table1181920231030313235383940414811151820284348[[#This Row],[الدفعات]]</f>
        <v>1.4899999999906868</v>
      </c>
    </row>
    <row r="297" spans="10:14" s="1" customFormat="1" ht="22.5" customHeight="1" x14ac:dyDescent="0.3">
      <c r="J297" s="1">
        <f>0.03*Table1181920231030313235383940414811151820284348[[#This Row],[النولون]]</f>
        <v>0</v>
      </c>
      <c r="L29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97" s="1">
        <f>N296+Table1181920231030313235383940414811151820284348[[#This Row],[اجمالي الفاتوره]]-Table1181920231030313235383940414811151820284348[[#This Row],[الدفعات]]</f>
        <v>1.4899999999906868</v>
      </c>
    </row>
    <row r="298" spans="10:14" s="1" customFormat="1" ht="22.5" customHeight="1" x14ac:dyDescent="0.3">
      <c r="J298" s="1">
        <f>0.03*Table1181920231030313235383940414811151820284348[[#This Row],[النولون]]</f>
        <v>0</v>
      </c>
      <c r="L29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98" s="1">
        <f>N297+Table1181920231030313235383940414811151820284348[[#This Row],[اجمالي الفاتوره]]-Table1181920231030313235383940414811151820284348[[#This Row],[الدفعات]]</f>
        <v>1.4899999999906868</v>
      </c>
    </row>
    <row r="299" spans="10:14" s="1" customFormat="1" ht="22.5" customHeight="1" x14ac:dyDescent="0.3">
      <c r="J299" s="1">
        <f>0.03*Table1181920231030313235383940414811151820284348[[#This Row],[النولون]]</f>
        <v>0</v>
      </c>
      <c r="L29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299" s="1">
        <f>N298+Table1181920231030313235383940414811151820284348[[#This Row],[اجمالي الفاتوره]]-Table1181920231030313235383940414811151820284348[[#This Row],[الدفعات]]</f>
        <v>1.4899999999906868</v>
      </c>
    </row>
    <row r="300" spans="10:14" s="1" customFormat="1" ht="22.5" customHeight="1" x14ac:dyDescent="0.3">
      <c r="J300" s="1">
        <f>0.03*Table1181920231030313235383940414811151820284348[[#This Row],[النولون]]</f>
        <v>0</v>
      </c>
      <c r="L30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00" s="1">
        <f>N299+Table1181920231030313235383940414811151820284348[[#This Row],[اجمالي الفاتوره]]-Table1181920231030313235383940414811151820284348[[#This Row],[الدفعات]]</f>
        <v>1.4899999999906868</v>
      </c>
    </row>
    <row r="301" spans="10:14" s="1" customFormat="1" ht="22.5" customHeight="1" x14ac:dyDescent="0.3">
      <c r="J301" s="1">
        <f>0.03*Table1181920231030313235383940414811151820284348[[#This Row],[النولون]]</f>
        <v>0</v>
      </c>
      <c r="L30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01" s="1">
        <f>N300+Table1181920231030313235383940414811151820284348[[#This Row],[اجمالي الفاتوره]]-Table1181920231030313235383940414811151820284348[[#This Row],[الدفعات]]</f>
        <v>1.4899999999906868</v>
      </c>
    </row>
    <row r="302" spans="10:14" s="1" customFormat="1" ht="22.5" customHeight="1" x14ac:dyDescent="0.3">
      <c r="J302" s="1">
        <f>0.03*Table1181920231030313235383940414811151820284348[[#This Row],[النولون]]</f>
        <v>0</v>
      </c>
      <c r="L30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02" s="1">
        <f>N301+Table1181920231030313235383940414811151820284348[[#This Row],[اجمالي الفاتوره]]-Table1181920231030313235383940414811151820284348[[#This Row],[الدفعات]]</f>
        <v>1.4899999999906868</v>
      </c>
    </row>
    <row r="303" spans="10:14" s="1" customFormat="1" ht="22.5" customHeight="1" x14ac:dyDescent="0.3">
      <c r="J303" s="1">
        <f>0.03*Table1181920231030313235383940414811151820284348[[#This Row],[النولون]]</f>
        <v>0</v>
      </c>
      <c r="L30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03" s="1">
        <f>N302+Table1181920231030313235383940414811151820284348[[#This Row],[اجمالي الفاتوره]]-Table1181920231030313235383940414811151820284348[[#This Row],[الدفعات]]</f>
        <v>1.4899999999906868</v>
      </c>
    </row>
    <row r="304" spans="10:14" s="1" customFormat="1" ht="22.5" customHeight="1" x14ac:dyDescent="0.3">
      <c r="J304" s="1">
        <f>0.03*Table1181920231030313235383940414811151820284348[[#This Row],[النولون]]</f>
        <v>0</v>
      </c>
      <c r="L30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04" s="1">
        <f>N303+Table1181920231030313235383940414811151820284348[[#This Row],[اجمالي الفاتوره]]-Table1181920231030313235383940414811151820284348[[#This Row],[الدفعات]]</f>
        <v>1.4899999999906868</v>
      </c>
    </row>
    <row r="305" spans="10:14" s="1" customFormat="1" ht="22.5" customHeight="1" x14ac:dyDescent="0.3">
      <c r="J305" s="1">
        <f>0.03*Table1181920231030313235383940414811151820284348[[#This Row],[النولون]]</f>
        <v>0</v>
      </c>
      <c r="L30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05" s="1">
        <f>N304+Table1181920231030313235383940414811151820284348[[#This Row],[اجمالي الفاتوره]]-Table1181920231030313235383940414811151820284348[[#This Row],[الدفعات]]</f>
        <v>1.4899999999906868</v>
      </c>
    </row>
    <row r="306" spans="10:14" s="1" customFormat="1" ht="22.5" customHeight="1" x14ac:dyDescent="0.3">
      <c r="J306" s="1">
        <f>0.03*Table1181920231030313235383940414811151820284348[[#This Row],[النولون]]</f>
        <v>0</v>
      </c>
      <c r="L30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06" s="1">
        <f>N305+Table1181920231030313235383940414811151820284348[[#This Row],[اجمالي الفاتوره]]-Table1181920231030313235383940414811151820284348[[#This Row],[الدفعات]]</f>
        <v>1.4899999999906868</v>
      </c>
    </row>
    <row r="307" spans="10:14" s="1" customFormat="1" ht="22.5" customHeight="1" x14ac:dyDescent="0.3">
      <c r="J307" s="1">
        <f>0.03*Table1181920231030313235383940414811151820284348[[#This Row],[النولون]]</f>
        <v>0</v>
      </c>
      <c r="L30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07" s="1">
        <f>N306+Table1181920231030313235383940414811151820284348[[#This Row],[اجمالي الفاتوره]]-Table1181920231030313235383940414811151820284348[[#This Row],[الدفعات]]</f>
        <v>1.4899999999906868</v>
      </c>
    </row>
    <row r="308" spans="10:14" s="1" customFormat="1" ht="22.5" customHeight="1" x14ac:dyDescent="0.3">
      <c r="J308" s="1">
        <f>0.03*Table1181920231030313235383940414811151820284348[[#This Row],[النولون]]</f>
        <v>0</v>
      </c>
      <c r="L30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08" s="1">
        <f>N307+Table1181920231030313235383940414811151820284348[[#This Row],[اجمالي الفاتوره]]-Table1181920231030313235383940414811151820284348[[#This Row],[الدفعات]]</f>
        <v>1.4899999999906868</v>
      </c>
    </row>
    <row r="309" spans="10:14" s="1" customFormat="1" ht="22.5" customHeight="1" x14ac:dyDescent="0.3">
      <c r="J309" s="1">
        <f>0.03*Table1181920231030313235383940414811151820284348[[#This Row],[النولون]]</f>
        <v>0</v>
      </c>
      <c r="L30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09" s="1">
        <f>N308+Table1181920231030313235383940414811151820284348[[#This Row],[اجمالي الفاتوره]]-Table1181920231030313235383940414811151820284348[[#This Row],[الدفعات]]</f>
        <v>1.4899999999906868</v>
      </c>
    </row>
    <row r="310" spans="10:14" s="1" customFormat="1" ht="22.5" customHeight="1" x14ac:dyDescent="0.3">
      <c r="J310" s="1">
        <f>0.03*Table1181920231030313235383940414811151820284348[[#This Row],[النولون]]</f>
        <v>0</v>
      </c>
      <c r="L31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10" s="1">
        <f>N309+Table1181920231030313235383940414811151820284348[[#This Row],[اجمالي الفاتوره]]-Table1181920231030313235383940414811151820284348[[#This Row],[الدفعات]]</f>
        <v>1.4899999999906868</v>
      </c>
    </row>
    <row r="311" spans="10:14" s="1" customFormat="1" ht="22.5" customHeight="1" x14ac:dyDescent="0.3">
      <c r="J311" s="1">
        <f>0.03*Table1181920231030313235383940414811151820284348[[#This Row],[النولون]]</f>
        <v>0</v>
      </c>
      <c r="L31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11" s="1">
        <f>N310+Table1181920231030313235383940414811151820284348[[#This Row],[اجمالي الفاتوره]]-Table1181920231030313235383940414811151820284348[[#This Row],[الدفعات]]</f>
        <v>1.4899999999906868</v>
      </c>
    </row>
    <row r="312" spans="10:14" s="1" customFormat="1" ht="22.5" customHeight="1" x14ac:dyDescent="0.3">
      <c r="J312" s="1">
        <f>0.03*Table1181920231030313235383940414811151820284348[[#This Row],[النولون]]</f>
        <v>0</v>
      </c>
      <c r="L31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12" s="1">
        <f>N311+Table1181920231030313235383940414811151820284348[[#This Row],[اجمالي الفاتوره]]-Table1181920231030313235383940414811151820284348[[#This Row],[الدفعات]]</f>
        <v>1.4899999999906868</v>
      </c>
    </row>
    <row r="313" spans="10:14" s="1" customFormat="1" ht="22.5" customHeight="1" x14ac:dyDescent="0.3">
      <c r="J313" s="1">
        <f>0.03*Table1181920231030313235383940414811151820284348[[#This Row],[النولون]]</f>
        <v>0</v>
      </c>
      <c r="L31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13" s="1">
        <f>N312+Table1181920231030313235383940414811151820284348[[#This Row],[اجمالي الفاتوره]]-Table1181920231030313235383940414811151820284348[[#This Row],[الدفعات]]</f>
        <v>1.4899999999906868</v>
      </c>
    </row>
    <row r="314" spans="10:14" s="1" customFormat="1" ht="22.5" customHeight="1" x14ac:dyDescent="0.3">
      <c r="J314" s="1">
        <f>0.03*Table1181920231030313235383940414811151820284348[[#This Row],[النولون]]</f>
        <v>0</v>
      </c>
      <c r="L31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14" s="1">
        <f>N313+Table1181920231030313235383940414811151820284348[[#This Row],[اجمالي الفاتوره]]-Table1181920231030313235383940414811151820284348[[#This Row],[الدفعات]]</f>
        <v>1.4899999999906868</v>
      </c>
    </row>
    <row r="315" spans="10:14" s="1" customFormat="1" ht="22.5" customHeight="1" x14ac:dyDescent="0.3">
      <c r="J315" s="1">
        <f>0.03*Table1181920231030313235383940414811151820284348[[#This Row],[النولون]]</f>
        <v>0</v>
      </c>
      <c r="L31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15" s="1">
        <f>N314+Table1181920231030313235383940414811151820284348[[#This Row],[اجمالي الفاتوره]]-Table1181920231030313235383940414811151820284348[[#This Row],[الدفعات]]</f>
        <v>1.4899999999906868</v>
      </c>
    </row>
    <row r="316" spans="10:14" s="1" customFormat="1" ht="22.5" customHeight="1" x14ac:dyDescent="0.3">
      <c r="J316" s="1">
        <f>0.03*Table1181920231030313235383940414811151820284348[[#This Row],[النولون]]</f>
        <v>0</v>
      </c>
      <c r="L31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16" s="1">
        <f>N315+Table1181920231030313235383940414811151820284348[[#This Row],[اجمالي الفاتوره]]-Table1181920231030313235383940414811151820284348[[#This Row],[الدفعات]]</f>
        <v>1.4899999999906868</v>
      </c>
    </row>
    <row r="317" spans="10:14" s="1" customFormat="1" ht="22.5" customHeight="1" x14ac:dyDescent="0.3">
      <c r="J317" s="1">
        <f>0.03*Table1181920231030313235383940414811151820284348[[#This Row],[النولون]]</f>
        <v>0</v>
      </c>
      <c r="L31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17" s="1">
        <f>N316+Table1181920231030313235383940414811151820284348[[#This Row],[اجمالي الفاتوره]]-Table1181920231030313235383940414811151820284348[[#This Row],[الدفعات]]</f>
        <v>1.4899999999906868</v>
      </c>
    </row>
    <row r="318" spans="10:14" s="1" customFormat="1" ht="22.5" customHeight="1" x14ac:dyDescent="0.3">
      <c r="J318" s="1">
        <f>0.03*Table1181920231030313235383940414811151820284348[[#This Row],[النولون]]</f>
        <v>0</v>
      </c>
      <c r="L31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18" s="1">
        <f>N317+Table1181920231030313235383940414811151820284348[[#This Row],[اجمالي الفاتوره]]-Table1181920231030313235383940414811151820284348[[#This Row],[الدفعات]]</f>
        <v>1.4899999999906868</v>
      </c>
    </row>
    <row r="319" spans="10:14" s="1" customFormat="1" ht="22.5" customHeight="1" x14ac:dyDescent="0.3">
      <c r="J319" s="1">
        <f>0.03*Table1181920231030313235383940414811151820284348[[#This Row],[النولون]]</f>
        <v>0</v>
      </c>
      <c r="L31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19" s="1">
        <f>N318+Table1181920231030313235383940414811151820284348[[#This Row],[اجمالي الفاتوره]]-Table1181920231030313235383940414811151820284348[[#This Row],[الدفعات]]</f>
        <v>1.4899999999906868</v>
      </c>
    </row>
    <row r="320" spans="10:14" s="1" customFormat="1" ht="22.5" customHeight="1" x14ac:dyDescent="0.3">
      <c r="J320" s="1">
        <f>0.03*Table1181920231030313235383940414811151820284348[[#This Row],[النولون]]</f>
        <v>0</v>
      </c>
      <c r="L32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20" s="1">
        <f>N319+Table1181920231030313235383940414811151820284348[[#This Row],[اجمالي الفاتوره]]-Table1181920231030313235383940414811151820284348[[#This Row],[الدفعات]]</f>
        <v>1.4899999999906868</v>
      </c>
    </row>
    <row r="321" spans="10:14" s="1" customFormat="1" ht="22.5" customHeight="1" x14ac:dyDescent="0.3">
      <c r="J321" s="1">
        <f>0.03*Table1181920231030313235383940414811151820284348[[#This Row],[النولون]]</f>
        <v>0</v>
      </c>
      <c r="L32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21" s="1">
        <f>N320+Table1181920231030313235383940414811151820284348[[#This Row],[اجمالي الفاتوره]]-Table1181920231030313235383940414811151820284348[[#This Row],[الدفعات]]</f>
        <v>1.4899999999906868</v>
      </c>
    </row>
    <row r="322" spans="10:14" s="1" customFormat="1" ht="22.5" customHeight="1" x14ac:dyDescent="0.3">
      <c r="J322" s="1">
        <f>0.03*Table1181920231030313235383940414811151820284348[[#This Row],[النولون]]</f>
        <v>0</v>
      </c>
      <c r="L32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22" s="1">
        <f>N321+Table1181920231030313235383940414811151820284348[[#This Row],[اجمالي الفاتوره]]-Table1181920231030313235383940414811151820284348[[#This Row],[الدفعات]]</f>
        <v>1.4899999999906868</v>
      </c>
    </row>
    <row r="323" spans="10:14" s="1" customFormat="1" ht="22.5" customHeight="1" x14ac:dyDescent="0.3">
      <c r="J323" s="1">
        <f>0.03*Table1181920231030313235383940414811151820284348[[#This Row],[النولون]]</f>
        <v>0</v>
      </c>
      <c r="L32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23" s="1">
        <f>N322+Table1181920231030313235383940414811151820284348[[#This Row],[اجمالي الفاتوره]]-Table1181920231030313235383940414811151820284348[[#This Row],[الدفعات]]</f>
        <v>1.4899999999906868</v>
      </c>
    </row>
    <row r="324" spans="10:14" s="1" customFormat="1" ht="22.5" customHeight="1" x14ac:dyDescent="0.3">
      <c r="J324" s="1">
        <f>0.03*Table1181920231030313235383940414811151820284348[[#This Row],[النولون]]</f>
        <v>0</v>
      </c>
      <c r="L32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24" s="1">
        <f>N323+Table1181920231030313235383940414811151820284348[[#This Row],[اجمالي الفاتوره]]-Table1181920231030313235383940414811151820284348[[#This Row],[الدفعات]]</f>
        <v>1.4899999999906868</v>
      </c>
    </row>
    <row r="325" spans="10:14" s="1" customFormat="1" ht="22.5" customHeight="1" x14ac:dyDescent="0.3">
      <c r="J325" s="1">
        <f>0.03*Table1181920231030313235383940414811151820284348[[#This Row],[النولون]]</f>
        <v>0</v>
      </c>
      <c r="L32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25" s="1">
        <f>N324+Table1181920231030313235383940414811151820284348[[#This Row],[اجمالي الفاتوره]]-Table1181920231030313235383940414811151820284348[[#This Row],[الدفعات]]</f>
        <v>1.4899999999906868</v>
      </c>
    </row>
    <row r="326" spans="10:14" s="1" customFormat="1" ht="22.5" customHeight="1" x14ac:dyDescent="0.3">
      <c r="J326" s="1">
        <f>0.03*Table1181920231030313235383940414811151820284348[[#This Row],[النولون]]</f>
        <v>0</v>
      </c>
      <c r="L32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26" s="1">
        <f>N325+Table1181920231030313235383940414811151820284348[[#This Row],[اجمالي الفاتوره]]-Table1181920231030313235383940414811151820284348[[#This Row],[الدفعات]]</f>
        <v>1.4899999999906868</v>
      </c>
    </row>
    <row r="327" spans="10:14" s="1" customFormat="1" ht="22.5" customHeight="1" x14ac:dyDescent="0.3">
      <c r="J327" s="1">
        <f>0.03*Table1181920231030313235383940414811151820284348[[#This Row],[النولون]]</f>
        <v>0</v>
      </c>
      <c r="L32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27" s="1">
        <f>N326+Table1181920231030313235383940414811151820284348[[#This Row],[اجمالي الفاتوره]]-Table1181920231030313235383940414811151820284348[[#This Row],[الدفعات]]</f>
        <v>1.4899999999906868</v>
      </c>
    </row>
    <row r="328" spans="10:14" s="1" customFormat="1" ht="22.5" customHeight="1" x14ac:dyDescent="0.3">
      <c r="J328" s="1">
        <f>0.03*Table1181920231030313235383940414811151820284348[[#This Row],[النولون]]</f>
        <v>0</v>
      </c>
      <c r="L32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28" s="1">
        <f>N327+Table1181920231030313235383940414811151820284348[[#This Row],[اجمالي الفاتوره]]-Table1181920231030313235383940414811151820284348[[#This Row],[الدفعات]]</f>
        <v>1.4899999999906868</v>
      </c>
    </row>
    <row r="329" spans="10:14" s="1" customFormat="1" ht="22.5" customHeight="1" x14ac:dyDescent="0.3">
      <c r="J329" s="1">
        <f>0.03*Table1181920231030313235383940414811151820284348[[#This Row],[النولون]]</f>
        <v>0</v>
      </c>
      <c r="L32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29" s="1">
        <f>N328+Table1181920231030313235383940414811151820284348[[#This Row],[اجمالي الفاتوره]]-Table1181920231030313235383940414811151820284348[[#This Row],[الدفعات]]</f>
        <v>1.4899999999906868</v>
      </c>
    </row>
    <row r="330" spans="10:14" s="1" customFormat="1" ht="22.5" customHeight="1" x14ac:dyDescent="0.3">
      <c r="J330" s="1">
        <f>0.03*Table1181920231030313235383940414811151820284348[[#This Row],[النولون]]</f>
        <v>0</v>
      </c>
      <c r="L33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30" s="1">
        <f>N329+Table1181920231030313235383940414811151820284348[[#This Row],[اجمالي الفاتوره]]-Table1181920231030313235383940414811151820284348[[#This Row],[الدفعات]]</f>
        <v>1.4899999999906868</v>
      </c>
    </row>
    <row r="331" spans="10:14" s="1" customFormat="1" ht="22.5" customHeight="1" x14ac:dyDescent="0.3">
      <c r="J331" s="1">
        <f>0.03*Table1181920231030313235383940414811151820284348[[#This Row],[النولون]]</f>
        <v>0</v>
      </c>
      <c r="L331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31" s="1">
        <f>N330+Table1181920231030313235383940414811151820284348[[#This Row],[اجمالي الفاتوره]]-Table1181920231030313235383940414811151820284348[[#This Row],[الدفعات]]</f>
        <v>1.4899999999906868</v>
      </c>
    </row>
    <row r="332" spans="10:14" s="1" customFormat="1" ht="22.5" customHeight="1" x14ac:dyDescent="0.3">
      <c r="J332" s="1">
        <f>0.03*Table1181920231030313235383940414811151820284348[[#This Row],[النولون]]</f>
        <v>0</v>
      </c>
      <c r="L332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32" s="1">
        <f>N331+Table1181920231030313235383940414811151820284348[[#This Row],[اجمالي الفاتوره]]-Table1181920231030313235383940414811151820284348[[#This Row],[الدفعات]]</f>
        <v>1.4899999999906868</v>
      </c>
    </row>
    <row r="333" spans="10:14" s="1" customFormat="1" ht="22.5" customHeight="1" x14ac:dyDescent="0.3">
      <c r="J333" s="1">
        <f>0.03*Table1181920231030313235383940414811151820284348[[#This Row],[النولون]]</f>
        <v>0</v>
      </c>
      <c r="L333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33" s="1">
        <f>N332+Table1181920231030313235383940414811151820284348[[#This Row],[اجمالي الفاتوره]]-Table1181920231030313235383940414811151820284348[[#This Row],[الدفعات]]</f>
        <v>1.4899999999906868</v>
      </c>
    </row>
    <row r="334" spans="10:14" s="1" customFormat="1" ht="22.5" customHeight="1" x14ac:dyDescent="0.3">
      <c r="J334" s="1">
        <f>0.03*Table1181920231030313235383940414811151820284348[[#This Row],[النولون]]</f>
        <v>0</v>
      </c>
      <c r="L334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34" s="1">
        <f>N333+Table1181920231030313235383940414811151820284348[[#This Row],[اجمالي الفاتوره]]-Table1181920231030313235383940414811151820284348[[#This Row],[الدفعات]]</f>
        <v>1.4899999999906868</v>
      </c>
    </row>
    <row r="335" spans="10:14" s="1" customFormat="1" ht="22.5" customHeight="1" x14ac:dyDescent="0.3">
      <c r="J335" s="1">
        <f>0.03*Table1181920231030313235383940414811151820284348[[#This Row],[النولون]]</f>
        <v>0</v>
      </c>
      <c r="L335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35" s="1">
        <f>N334+Table1181920231030313235383940414811151820284348[[#This Row],[اجمالي الفاتوره]]-Table1181920231030313235383940414811151820284348[[#This Row],[الدفعات]]</f>
        <v>1.4899999999906868</v>
      </c>
    </row>
    <row r="336" spans="10:14" s="1" customFormat="1" ht="22.5" customHeight="1" x14ac:dyDescent="0.3">
      <c r="J336" s="1">
        <f>0.03*Table1181920231030313235383940414811151820284348[[#This Row],[النولون]]</f>
        <v>0</v>
      </c>
      <c r="L336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36" s="1">
        <f>N335+Table1181920231030313235383940414811151820284348[[#This Row],[اجمالي الفاتوره]]-Table1181920231030313235383940414811151820284348[[#This Row],[الدفعات]]</f>
        <v>1.4899999999906868</v>
      </c>
    </row>
    <row r="337" spans="10:14" s="1" customFormat="1" ht="22.5" customHeight="1" x14ac:dyDescent="0.3">
      <c r="J337" s="1">
        <f>0.03*Table1181920231030313235383940414811151820284348[[#This Row],[النولون]]</f>
        <v>0</v>
      </c>
      <c r="L337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37" s="1">
        <f>N336+Table1181920231030313235383940414811151820284348[[#This Row],[اجمالي الفاتوره]]-Table1181920231030313235383940414811151820284348[[#This Row],[الدفعات]]</f>
        <v>1.4899999999906868</v>
      </c>
    </row>
    <row r="338" spans="10:14" s="1" customFormat="1" ht="22.5" customHeight="1" x14ac:dyDescent="0.3">
      <c r="J338" s="1">
        <f>0.03*Table1181920231030313235383940414811151820284348[[#This Row],[النولون]]</f>
        <v>0</v>
      </c>
      <c r="L338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38" s="1">
        <f>N337+Table1181920231030313235383940414811151820284348[[#This Row],[اجمالي الفاتوره]]-Table1181920231030313235383940414811151820284348[[#This Row],[الدفعات]]</f>
        <v>1.4899999999906868</v>
      </c>
    </row>
    <row r="339" spans="10:14" s="1" customFormat="1" ht="22.5" customHeight="1" x14ac:dyDescent="0.3">
      <c r="J339" s="1">
        <f>0.03*Table1181920231030313235383940414811151820284348[[#This Row],[النولون]]</f>
        <v>0</v>
      </c>
      <c r="L339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39" s="1">
        <f>N338+Table1181920231030313235383940414811151820284348[[#This Row],[اجمالي الفاتوره]]-Table1181920231030313235383940414811151820284348[[#This Row],[الدفعات]]</f>
        <v>1.4899999999906868</v>
      </c>
    </row>
    <row r="340" spans="10:14" s="1" customFormat="1" ht="22.5" customHeight="1" x14ac:dyDescent="0.3">
      <c r="J340" s="1">
        <f>0.03*Table1181920231030313235383940414811151820284348[[#This Row],[النولون]]</f>
        <v>0</v>
      </c>
      <c r="L340" s="1">
        <f>Table1181920231030313235383940414811151820284348[[#This Row],[النولون]]+Table1181920231030313235383940414811151820284348[[#This Row],[الايصالات]]-Table1181920231030313235383940414811151820284348[[#This Row],[خصم أ ت ص]]+Table1181920231030313235383940414811151820284348[[#This Row],[قيمة مضافة]]</f>
        <v>0</v>
      </c>
      <c r="N340" s="1">
        <f>N339+Table1181920231030313235383940414811151820284348[[#This Row],[اجمالي الفاتوره]]-Table1181920231030313235383940414811151820284348[[#This Row],[الدفعات]]</f>
        <v>1.4899999999906868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33"/>
  <sheetViews>
    <sheetView rightToLeft="1" workbookViewId="0">
      <selection activeCell="F8" sqref="F8"/>
    </sheetView>
  </sheetViews>
  <sheetFormatPr defaultColWidth="9.109375" defaultRowHeight="15.6" x14ac:dyDescent="0.3"/>
  <cols>
    <col min="1" max="1" width="6.109375" style="1" customWidth="1"/>
    <col min="2" max="2" width="11" style="1" customWidth="1"/>
    <col min="3" max="3" width="14.109375" style="1" customWidth="1"/>
    <col min="4" max="4" width="14.88671875" style="1" customWidth="1"/>
    <col min="5" max="6" width="12.33203125" style="1" customWidth="1"/>
    <col min="7" max="7" width="11.6640625" style="1" customWidth="1"/>
    <col min="8" max="8" width="11.21875" style="1" customWidth="1"/>
    <col min="9" max="9" width="13.21875" style="1" customWidth="1"/>
    <col min="10" max="10" width="12.6640625" style="1" customWidth="1"/>
    <col min="11" max="11" width="13.109375" style="1" customWidth="1"/>
    <col min="12" max="12" width="12.21875" style="1" customWidth="1"/>
    <col min="13" max="16384" width="9.109375" style="1"/>
  </cols>
  <sheetData>
    <row r="1" spans="1:13" ht="24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95" t="s">
        <v>20</v>
      </c>
    </row>
    <row r="2" spans="1:13" ht="24" customHeight="1" x14ac:dyDescent="0.3">
      <c r="A2" s="1">
        <v>1427</v>
      </c>
      <c r="B2" s="2" t="s">
        <v>573</v>
      </c>
      <c r="C2" s="1" t="s">
        <v>504</v>
      </c>
      <c r="D2" s="1">
        <v>148538</v>
      </c>
      <c r="E2" s="1" t="s">
        <v>272</v>
      </c>
      <c r="F2" s="1">
        <f>18000*2</f>
        <v>36000</v>
      </c>
      <c r="G2" s="1">
        <f>0.14*Table11217[[#This Row],[النولون]]</f>
        <v>5040.0000000000009</v>
      </c>
      <c r="H2" s="1">
        <f>3000*2+850+850+1135*2+268.47+274.24+2069.1+2370.06+1897</f>
        <v>16848.87</v>
      </c>
      <c r="I2" s="1">
        <f>Table11217[[#This Row],[النولون]]+Table11217[[#This Row],[الايصالات]]+Table11217[[#This Row],[قيمة مضافة]]</f>
        <v>57888.869999999995</v>
      </c>
      <c r="K2" s="1">
        <f>Table11217[[#This Row],[اجمالي الفاتوره]]</f>
        <v>57888.869999999995</v>
      </c>
      <c r="M2" s="95"/>
    </row>
    <row r="3" spans="1:13" ht="24" customHeight="1" x14ac:dyDescent="0.3">
      <c r="A3" s="1">
        <v>1428</v>
      </c>
      <c r="B3" s="2" t="s">
        <v>573</v>
      </c>
      <c r="C3" s="2" t="s">
        <v>504</v>
      </c>
      <c r="D3" s="1">
        <v>179493</v>
      </c>
      <c r="E3" s="1" t="s">
        <v>91</v>
      </c>
      <c r="F3" s="1">
        <f>5*16000</f>
        <v>80000</v>
      </c>
      <c r="G3" s="1">
        <f>0.14*Table11217[[#This Row],[النولون]]</f>
        <v>11200.000000000002</v>
      </c>
      <c r="H3" s="1">
        <f>810+3*1135+1150+1130+105.79*2+195.62+105.79+216.34+187.79+234.3+245.61+2540</f>
        <v>10432.029999999999</v>
      </c>
      <c r="I3" s="1">
        <f>Table11217[[#This Row],[النولون]]+Table11217[[#This Row],[الايصالات]]+Table11217[[#This Row],[قيمة مضافة]]</f>
        <v>101632.03</v>
      </c>
      <c r="K3" s="1">
        <f>K2+Table11217[[#This Row],[اجمالي الفاتوره]]-Table11217[[#This Row],[الدفعات]]</f>
        <v>159520.9</v>
      </c>
      <c r="M3" s="95"/>
    </row>
    <row r="4" spans="1:13" ht="24" customHeight="1" x14ac:dyDescent="0.3">
      <c r="A4" s="1">
        <v>1489</v>
      </c>
      <c r="B4" s="2">
        <v>46174</v>
      </c>
      <c r="C4" s="1" t="s">
        <v>504</v>
      </c>
      <c r="D4" s="1">
        <v>219569</v>
      </c>
      <c r="E4" s="1" t="s">
        <v>583</v>
      </c>
      <c r="F4" s="1">
        <f>16*17000</f>
        <v>272000</v>
      </c>
      <c r="G4" s="1">
        <f>0.14*Table11217[[#This Row],[النولون]]</f>
        <v>38080</v>
      </c>
      <c r="H4" s="1">
        <f>850*2+1100+3*1150+5*1105+8*1135+7*105.79+248.43+198.74+202.24+254.09+248.43+239.95+251.26+116.12+237.12+210.07+245.61+250.61+112.67+205.07+212.22+205.07+239.95+133.33+184.97+116.12+179.31+1347.48*5+5360+1370</f>
        <v>39354.310000000005</v>
      </c>
      <c r="I4" s="1">
        <f>Table11217[[#This Row],[النولون]]+Table11217[[#This Row],[الايصالات]]+Table11217[[#This Row],[قيمة مضافة]]</f>
        <v>349434.31</v>
      </c>
      <c r="K4" s="1">
        <f>K3+Table11217[[#This Row],[اجمالي الفاتوره]]-Table11217[[#This Row],[الدفعات]]</f>
        <v>508955.20999999996</v>
      </c>
      <c r="M4" s="95"/>
    </row>
    <row r="5" spans="1:13" ht="24" customHeight="1" x14ac:dyDescent="0.3">
      <c r="A5" s="1">
        <v>1490</v>
      </c>
      <c r="B5" s="2">
        <v>46174</v>
      </c>
      <c r="C5" s="1" t="s">
        <v>504</v>
      </c>
      <c r="D5" s="1">
        <v>206737</v>
      </c>
      <c r="E5" s="1" t="s">
        <v>584</v>
      </c>
      <c r="F5" s="1">
        <f>11*16000</f>
        <v>176000</v>
      </c>
      <c r="G5" s="1">
        <f>0.14*Table11217[[#This Row],[النولون]]</f>
        <v>24640.000000000004</v>
      </c>
      <c r="H5" s="1">
        <f>850+1100+1110+1110+1100*3+1105*2+1135+105.79*4+234.3+249.05+249.05+240.56+190.62+200.03+243.39+234.3+205.68+239.95+242.78+4*1254+5266.8</f>
        <v>24050.67</v>
      </c>
      <c r="I5" s="1">
        <f>Table11217[[#This Row],[النولون]]+Table11217[[#This Row],[الايصالات]]+Table11217[[#This Row],[قيمة مضافة]]</f>
        <v>224690.66999999998</v>
      </c>
      <c r="K5" s="1">
        <f>K4+Table11217[[#This Row],[اجمالي الفاتوره]]-Table11217[[#This Row],[الدفعات]]</f>
        <v>733645.87999999989</v>
      </c>
      <c r="M5" s="95"/>
    </row>
    <row r="6" spans="1:13" ht="24" customHeight="1" x14ac:dyDescent="0.3">
      <c r="B6" s="2"/>
      <c r="C6" s="1" t="s">
        <v>617</v>
      </c>
      <c r="G6" s="1">
        <f>0.14*Table11217[[#This Row],[النولون]]</f>
        <v>0</v>
      </c>
      <c r="H6" s="1">
        <v>16220</v>
      </c>
      <c r="I6" s="1">
        <f>Table11217[[#This Row],[النولون]]+Table11217[[#This Row],[الايصالات]]+Table11217[[#This Row],[قيمة مضافة]]</f>
        <v>16220</v>
      </c>
      <c r="K6" s="1">
        <f>K5+Table11217[[#This Row],[اجمالي الفاتوره]]-Table11217[[#This Row],[الدفعات]]</f>
        <v>749865.87999999989</v>
      </c>
      <c r="M6" s="95"/>
    </row>
    <row r="7" spans="1:13" ht="24" customHeight="1" x14ac:dyDescent="0.3">
      <c r="A7" s="72"/>
      <c r="B7" s="73">
        <v>46189</v>
      </c>
      <c r="C7" s="72"/>
      <c r="D7" s="72"/>
      <c r="E7" s="72"/>
      <c r="F7" s="72"/>
      <c r="G7" s="72">
        <f>0.14*Table11217[[#This Row],[النولون]]</f>
        <v>0</v>
      </c>
      <c r="H7" s="72"/>
      <c r="I7" s="72">
        <f>Table11217[[#This Row],[النولون]]+Table11217[[#This Row],[الايصالات]]+Table11217[[#This Row],[قيمة مضافة]]</f>
        <v>0</v>
      </c>
      <c r="J7" s="72">
        <v>749865</v>
      </c>
      <c r="K7" s="72">
        <f>K6+Table11217[[#This Row],[اجمالي الفاتوره]]-Table11217[[#This Row],[الدفعات]]</f>
        <v>0.87999999988824129</v>
      </c>
      <c r="M7" s="95"/>
    </row>
    <row r="8" spans="1:13" ht="24" customHeight="1" x14ac:dyDescent="0.3">
      <c r="B8" s="2"/>
      <c r="G8" s="1">
        <f>0.14*Table11217[[#This Row],[النولون]]</f>
        <v>0</v>
      </c>
      <c r="I8" s="1">
        <f>Table11217[[#This Row],[النولون]]+Table11217[[#This Row],[الايصالات]]+Table11217[[#This Row],[قيمة مضافة]]</f>
        <v>0</v>
      </c>
      <c r="K8" s="1">
        <f>K7+Table11217[[#This Row],[اجمالي الفاتوره]]-Table11217[[#This Row],[الدفعات]]</f>
        <v>0.87999999988824129</v>
      </c>
      <c r="M8" s="95"/>
    </row>
    <row r="9" spans="1:13" ht="24" customHeight="1" x14ac:dyDescent="0.3">
      <c r="B9" s="2"/>
      <c r="G9" s="1">
        <f>0.14*Table11217[[#This Row],[النولون]]</f>
        <v>0</v>
      </c>
      <c r="I9" s="1">
        <f>Table11217[[#This Row],[النولون]]+Table11217[[#This Row],[الايصالات]]+Table11217[[#This Row],[قيمة مضافة]]</f>
        <v>0</v>
      </c>
      <c r="K9" s="1">
        <f>K8+Table11217[[#This Row],[اجمالي الفاتوره]]-Table11217[[#This Row],[الدفعات]]</f>
        <v>0.87999999988824129</v>
      </c>
      <c r="M9" s="95"/>
    </row>
    <row r="10" spans="1:13" ht="24" customHeight="1" x14ac:dyDescent="0.3">
      <c r="B10" s="2"/>
      <c r="G10" s="1">
        <f>0.14*Table11217[[#This Row],[النولون]]</f>
        <v>0</v>
      </c>
      <c r="I10" s="1">
        <f>Table11217[[#This Row],[النولون]]+Table11217[[#This Row],[الايصالات]]+Table11217[[#This Row],[قيمة مضافة]]</f>
        <v>0</v>
      </c>
      <c r="K10" s="1">
        <f>K9+Table11217[[#This Row],[اجمالي الفاتوره]]-Table11217[[#This Row],[الدفعات]]</f>
        <v>0.87999999988824129</v>
      </c>
      <c r="M10" s="95"/>
    </row>
    <row r="11" spans="1:13" ht="24" customHeight="1" x14ac:dyDescent="0.3">
      <c r="B11" s="2"/>
      <c r="G11" s="1">
        <f>0.14*Table11217[[#This Row],[النولون]]</f>
        <v>0</v>
      </c>
      <c r="I11" s="1">
        <f>Table11217[[#This Row],[النولون]]+Table11217[[#This Row],[الايصالات]]+Table11217[[#This Row],[قيمة مضافة]]</f>
        <v>0</v>
      </c>
      <c r="K11" s="1">
        <f>K10+Table11217[[#This Row],[اجمالي الفاتوره]]-Table11217[[#This Row],[الدفعات]]</f>
        <v>0.87999999988824129</v>
      </c>
      <c r="M11" s="95"/>
    </row>
    <row r="12" spans="1:13" ht="24" customHeight="1" x14ac:dyDescent="0.3">
      <c r="B12" s="2"/>
      <c r="G12" s="1">
        <f>0.14*Table11217[[#This Row],[النولون]]</f>
        <v>0</v>
      </c>
      <c r="I12" s="1">
        <f>Table11217[[#This Row],[النولون]]+Table11217[[#This Row],[الايصالات]]+Table11217[[#This Row],[قيمة مضافة]]</f>
        <v>0</v>
      </c>
      <c r="K12" s="1">
        <f>K11+Table11217[[#This Row],[اجمالي الفاتوره]]-Table11217[[#This Row],[الدفعات]]</f>
        <v>0.87999999988824129</v>
      </c>
      <c r="L12" s="1">
        <f>SUM(I:I)-SUM(J:J)</f>
        <v>0.87999999988824129</v>
      </c>
      <c r="M12" s="95">
        <f>SUM(G:G)</f>
        <v>78960</v>
      </c>
    </row>
    <row r="13" spans="1:13" ht="24" customHeight="1" x14ac:dyDescent="0.3">
      <c r="B13" s="2"/>
      <c r="G13" s="1">
        <f>0.14*Table11217[[#This Row],[النولون]]</f>
        <v>0</v>
      </c>
      <c r="I13" s="1">
        <f>Table11217[[#This Row],[النولون]]+Table11217[[#This Row],[الايصالات]]+Table11217[[#This Row],[قيمة مضافة]]</f>
        <v>0</v>
      </c>
      <c r="K13" s="1">
        <f>K12+Table11217[[#This Row],[اجمالي الفاتوره]]-Table11217[[#This Row],[الدفعات]]</f>
        <v>0.87999999988824129</v>
      </c>
      <c r="M13" s="95"/>
    </row>
    <row r="14" spans="1:13" ht="24" customHeight="1" x14ac:dyDescent="0.3">
      <c r="B14" s="2"/>
      <c r="G14" s="1">
        <f>0.14*Table11217[[#This Row],[النولون]]</f>
        <v>0</v>
      </c>
      <c r="I14" s="1">
        <f>Table11217[[#This Row],[النولون]]+Table11217[[#This Row],[الايصالات]]+Table11217[[#This Row],[قيمة مضافة]]</f>
        <v>0</v>
      </c>
      <c r="K14" s="1">
        <f>K13+Table11217[[#This Row],[اجمالي الفاتوره]]-Table11217[[#This Row],[الدفعات]]</f>
        <v>0.87999999988824129</v>
      </c>
      <c r="M14" s="95"/>
    </row>
    <row r="15" spans="1:13" ht="24" customHeight="1" x14ac:dyDescent="0.3">
      <c r="B15" s="2"/>
      <c r="G15" s="1">
        <f>0.14*Table11217[[#This Row],[النولون]]</f>
        <v>0</v>
      </c>
      <c r="I15" s="1">
        <f>Table11217[[#This Row],[النولون]]+Table11217[[#This Row],[الايصالات]]+Table11217[[#This Row],[قيمة مضافة]]</f>
        <v>0</v>
      </c>
      <c r="K15" s="1">
        <f>K14+Table11217[[#This Row],[اجمالي الفاتوره]]-Table11217[[#This Row],[الدفعات]]</f>
        <v>0.87999999988824129</v>
      </c>
      <c r="M15" s="95"/>
    </row>
    <row r="16" spans="1:13" ht="24" customHeight="1" x14ac:dyDescent="0.3">
      <c r="B16" s="2"/>
      <c r="G16" s="1">
        <f>0.14*Table11217[[#This Row],[النولون]]</f>
        <v>0</v>
      </c>
      <c r="I16" s="1">
        <f>Table11217[[#This Row],[النولون]]+Table11217[[#This Row],[الايصالات]]+Table11217[[#This Row],[قيمة مضافة]]</f>
        <v>0</v>
      </c>
      <c r="K16" s="1">
        <f>K15+Table11217[[#This Row],[اجمالي الفاتوره]]-Table11217[[#This Row],[الدفعات]]</f>
        <v>0.87999999988824129</v>
      </c>
      <c r="M16" s="95"/>
    </row>
    <row r="17" spans="2:13" ht="24" customHeight="1" x14ac:dyDescent="0.3">
      <c r="B17" s="2"/>
      <c r="G17" s="1">
        <f>0.14*Table11217[[#This Row],[النولون]]</f>
        <v>0</v>
      </c>
      <c r="I17" s="1">
        <f>Table11217[[#This Row],[النولون]]+Table11217[[#This Row],[الايصالات]]+Table11217[[#This Row],[قيمة مضافة]]</f>
        <v>0</v>
      </c>
      <c r="K17" s="1">
        <f>K16+Table11217[[#This Row],[اجمالي الفاتوره]]-Table11217[[#This Row],[الدفعات]]</f>
        <v>0.87999999988824129</v>
      </c>
      <c r="M17" s="95"/>
    </row>
    <row r="18" spans="2:13" ht="24" customHeight="1" x14ac:dyDescent="0.3">
      <c r="B18" s="2"/>
      <c r="G18" s="1">
        <f>0.14*Table11217[[#This Row],[النولون]]</f>
        <v>0</v>
      </c>
      <c r="I18" s="1">
        <f>Table11217[[#This Row],[النولون]]+Table11217[[#This Row],[الايصالات]]+Table11217[[#This Row],[قيمة مضافة]]</f>
        <v>0</v>
      </c>
      <c r="K18" s="1">
        <f>K17+Table11217[[#This Row],[اجمالي الفاتوره]]-Table11217[[#This Row],[الدفعات]]</f>
        <v>0.87999999988824129</v>
      </c>
      <c r="M18" s="95"/>
    </row>
    <row r="19" spans="2:13" ht="24" customHeight="1" x14ac:dyDescent="0.3">
      <c r="B19" s="2"/>
      <c r="G19" s="1">
        <f>0.14*Table11217[[#This Row],[النولون]]</f>
        <v>0</v>
      </c>
      <c r="I19" s="1">
        <f>Table11217[[#This Row],[النولون]]+Table11217[[#This Row],[الايصالات]]+Table11217[[#This Row],[قيمة مضافة]]</f>
        <v>0</v>
      </c>
      <c r="K19" s="1">
        <f>K18+Table11217[[#This Row],[اجمالي الفاتوره]]-Table11217[[#This Row],[الدفعات]]</f>
        <v>0.87999999988824129</v>
      </c>
      <c r="M19" s="95"/>
    </row>
    <row r="20" spans="2:13" ht="24" customHeight="1" x14ac:dyDescent="0.3">
      <c r="B20" s="2"/>
      <c r="G20" s="1">
        <f>0.14*Table11217[[#This Row],[النولون]]</f>
        <v>0</v>
      </c>
      <c r="I20" s="1">
        <f>Table11217[[#This Row],[النولون]]+Table11217[[#This Row],[الايصالات]]+Table11217[[#This Row],[قيمة مضافة]]</f>
        <v>0</v>
      </c>
      <c r="K20" s="1">
        <f>K19+Table11217[[#This Row],[اجمالي الفاتوره]]-Table11217[[#This Row],[الدفعات]]</f>
        <v>0.87999999988824129</v>
      </c>
      <c r="M20" s="95"/>
    </row>
    <row r="21" spans="2:13" ht="24" customHeight="1" x14ac:dyDescent="0.3">
      <c r="B21" s="2"/>
      <c r="G21" s="1">
        <f>0.14*Table11217[[#This Row],[النولون]]</f>
        <v>0</v>
      </c>
      <c r="I21" s="1">
        <f>Table11217[[#This Row],[النولون]]+Table11217[[#This Row],[الايصالات]]+Table11217[[#This Row],[قيمة مضافة]]</f>
        <v>0</v>
      </c>
      <c r="K21" s="1">
        <f>K20+Table11217[[#This Row],[اجمالي الفاتوره]]-Table11217[[#This Row],[الدفعات]]</f>
        <v>0.87999999988824129</v>
      </c>
      <c r="M21" s="95"/>
    </row>
    <row r="22" spans="2:13" ht="24" customHeight="1" x14ac:dyDescent="0.3">
      <c r="B22" s="2"/>
      <c r="G22" s="1">
        <f>0.14*Table11217[[#This Row],[النولون]]</f>
        <v>0</v>
      </c>
      <c r="I22" s="1">
        <f>Table11217[[#This Row],[النولون]]+Table11217[[#This Row],[الايصالات]]+Table11217[[#This Row],[قيمة مضافة]]</f>
        <v>0</v>
      </c>
      <c r="K22" s="1">
        <f>K21+Table11217[[#This Row],[اجمالي الفاتوره]]-Table11217[[#This Row],[الدفعات]]</f>
        <v>0.87999999988824129</v>
      </c>
      <c r="M22" s="95"/>
    </row>
    <row r="23" spans="2:13" ht="24" customHeight="1" x14ac:dyDescent="0.3">
      <c r="B23" s="2"/>
      <c r="G23" s="1">
        <f>0.14*Table11217[[#This Row],[النولون]]</f>
        <v>0</v>
      </c>
      <c r="I23" s="1">
        <f>Table11217[[#This Row],[النولون]]+Table11217[[#This Row],[الايصالات]]+Table11217[[#This Row],[قيمة مضافة]]</f>
        <v>0</v>
      </c>
      <c r="K23" s="1">
        <f>K22+Table11217[[#This Row],[اجمالي الفاتوره]]-Table11217[[#This Row],[الدفعات]]</f>
        <v>0.87999999988824129</v>
      </c>
      <c r="M23" s="95"/>
    </row>
    <row r="24" spans="2:13" ht="24" customHeight="1" x14ac:dyDescent="0.3">
      <c r="B24" s="2"/>
      <c r="G24" s="1">
        <f>0.14*Table11217[[#This Row],[النولون]]</f>
        <v>0</v>
      </c>
      <c r="I24" s="1">
        <f>Table11217[[#This Row],[النولون]]+Table11217[[#This Row],[الايصالات]]+Table11217[[#This Row],[قيمة مضافة]]</f>
        <v>0</v>
      </c>
      <c r="K24" s="1">
        <f>K23+Table11217[[#This Row],[اجمالي الفاتوره]]-Table11217[[#This Row],[الدفعات]]</f>
        <v>0.87999999988824129</v>
      </c>
      <c r="M24" s="95"/>
    </row>
    <row r="25" spans="2:13" ht="24" customHeight="1" x14ac:dyDescent="0.3">
      <c r="B25" s="2"/>
      <c r="G25" s="1">
        <f>0.14*Table11217[[#This Row],[النولون]]</f>
        <v>0</v>
      </c>
      <c r="I25" s="1">
        <f>Table11217[[#This Row],[النولون]]+Table11217[[#This Row],[الايصالات]]+Table11217[[#This Row],[قيمة مضافة]]</f>
        <v>0</v>
      </c>
      <c r="K25" s="1">
        <f>K24+Table11217[[#This Row],[اجمالي الفاتوره]]-Table11217[[#This Row],[الدفعات]]</f>
        <v>0.87999999988824129</v>
      </c>
      <c r="M25" s="95"/>
    </row>
    <row r="26" spans="2:13" ht="24" customHeight="1" x14ac:dyDescent="0.3">
      <c r="B26" s="2"/>
      <c r="G26" s="1">
        <f>0.14*Table11217[[#This Row],[النولون]]</f>
        <v>0</v>
      </c>
      <c r="I26" s="1">
        <f>Table11217[[#This Row],[النولون]]+Table11217[[#This Row],[الايصالات]]+Table11217[[#This Row],[قيمة مضافة]]</f>
        <v>0</v>
      </c>
      <c r="K26" s="1">
        <f>K25+Table11217[[#This Row],[اجمالي الفاتوره]]-Table11217[[#This Row],[الدفعات]]</f>
        <v>0.87999999988824129</v>
      </c>
      <c r="M26" s="95"/>
    </row>
    <row r="27" spans="2:13" ht="24" customHeight="1" x14ac:dyDescent="0.3">
      <c r="B27" s="2"/>
      <c r="G27" s="1">
        <f>0.14*Table11217[[#This Row],[النولون]]</f>
        <v>0</v>
      </c>
      <c r="I27" s="1">
        <f>Table11217[[#This Row],[النولون]]+Table11217[[#This Row],[الايصالات]]+Table11217[[#This Row],[قيمة مضافة]]</f>
        <v>0</v>
      </c>
      <c r="K27" s="1">
        <f>K26+Table11217[[#This Row],[اجمالي الفاتوره]]-Table11217[[#This Row],[الدفعات]]</f>
        <v>0.87999999988824129</v>
      </c>
      <c r="M27" s="95"/>
    </row>
    <row r="28" spans="2:13" ht="24" customHeight="1" x14ac:dyDescent="0.3">
      <c r="B28" s="2"/>
      <c r="G28" s="1">
        <f>0.14*Table11217[[#This Row],[النولون]]</f>
        <v>0</v>
      </c>
      <c r="I28" s="1">
        <f>Table11217[[#This Row],[النولون]]+Table11217[[#This Row],[الايصالات]]+Table11217[[#This Row],[قيمة مضافة]]</f>
        <v>0</v>
      </c>
      <c r="K28" s="1">
        <f>K27+Table11217[[#This Row],[اجمالي الفاتوره]]-Table11217[[#This Row],[الدفعات]]</f>
        <v>0.87999999988824129</v>
      </c>
      <c r="M28" s="95"/>
    </row>
    <row r="29" spans="2:13" ht="24" customHeight="1" x14ac:dyDescent="0.3">
      <c r="B29" s="2"/>
      <c r="G29" s="1">
        <f>0.14*Table11217[[#This Row],[النولون]]</f>
        <v>0</v>
      </c>
      <c r="I29" s="1">
        <f>Table11217[[#This Row],[النولون]]+Table11217[[#This Row],[الايصالات]]+Table11217[[#This Row],[قيمة مضافة]]</f>
        <v>0</v>
      </c>
      <c r="K29" s="1">
        <f>K28+Table11217[[#This Row],[اجمالي الفاتوره]]-Table11217[[#This Row],[الدفعات]]</f>
        <v>0.87999999988824129</v>
      </c>
      <c r="M29" s="95"/>
    </row>
    <row r="30" spans="2:13" ht="24" customHeight="1" x14ac:dyDescent="0.3">
      <c r="G30" s="1">
        <f>0.14*Table11217[[#This Row],[النولون]]</f>
        <v>0</v>
      </c>
      <c r="I30" s="1">
        <f>Table11217[[#This Row],[النولون]]+Table11217[[#This Row],[الايصالات]]+Table11217[[#This Row],[قيمة مضافة]]</f>
        <v>0</v>
      </c>
      <c r="K30" s="1">
        <f>K29+Table11217[[#This Row],[اجمالي الفاتوره]]-Table11217[[#This Row],[الدفعات]]</f>
        <v>0.87999999988824129</v>
      </c>
      <c r="M30" s="95"/>
    </row>
    <row r="31" spans="2:13" ht="24" customHeight="1" x14ac:dyDescent="0.3">
      <c r="B31" s="2"/>
      <c r="G31" s="1">
        <f>0.14*Table11217[[#This Row],[النولون]]</f>
        <v>0</v>
      </c>
      <c r="I31" s="1">
        <f>Table11217[[#This Row],[النولون]]+Table11217[[#This Row],[الايصالات]]+Table11217[[#This Row],[قيمة مضافة]]</f>
        <v>0</v>
      </c>
      <c r="K31" s="1">
        <f>K30+Table11217[[#This Row],[اجمالي الفاتوره]]-Table11217[[#This Row],[الدفعات]]</f>
        <v>0.87999999988824129</v>
      </c>
      <c r="M31" s="95"/>
    </row>
    <row r="32" spans="2:13" ht="24" customHeight="1" x14ac:dyDescent="0.3">
      <c r="B32" s="2"/>
      <c r="G32" s="1">
        <f>0.14*Table11217[[#This Row],[النولون]]</f>
        <v>0</v>
      </c>
      <c r="I32" s="1">
        <f>Table11217[[#This Row],[النولون]]+Table11217[[#This Row],[الايصالات]]+Table11217[[#This Row],[قيمة مضافة]]</f>
        <v>0</v>
      </c>
      <c r="K32" s="1">
        <f>K31+Table11217[[#This Row],[اجمالي الفاتوره]]-Table11217[[#This Row],[الدفعات]]</f>
        <v>0.87999999988824129</v>
      </c>
      <c r="M32" s="95"/>
    </row>
    <row r="33" spans="2:13" ht="24" customHeight="1" x14ac:dyDescent="0.3">
      <c r="G33" s="1">
        <f>0.14*Table11217[[#This Row],[النولون]]</f>
        <v>0</v>
      </c>
      <c r="I33" s="1">
        <f>Table11217[[#This Row],[النولون]]+Table11217[[#This Row],[الايصالات]]+Table11217[[#This Row],[قيمة مضافة]]</f>
        <v>0</v>
      </c>
      <c r="K33" s="1">
        <f>K32+Table11217[[#This Row],[اجمالي الفاتوره]]-Table11217[[#This Row],[الدفعات]]</f>
        <v>0.87999999988824129</v>
      </c>
      <c r="M33" s="95"/>
    </row>
    <row r="34" spans="2:13" ht="24" customHeight="1" x14ac:dyDescent="0.3">
      <c r="B34" s="2"/>
      <c r="G34" s="1">
        <f>0.14*Table11217[[#This Row],[النولون]]</f>
        <v>0</v>
      </c>
      <c r="I34" s="1">
        <f>Table11217[[#This Row],[النولون]]+Table11217[[#This Row],[الايصالات]]+Table11217[[#This Row],[قيمة مضافة]]</f>
        <v>0</v>
      </c>
      <c r="K34" s="1">
        <f>K33+Table11217[[#This Row],[اجمالي الفاتوره]]-Table11217[[#This Row],[الدفعات]]</f>
        <v>0.87999999988824129</v>
      </c>
      <c r="M34" s="95"/>
    </row>
    <row r="35" spans="2:13" ht="24" customHeight="1" x14ac:dyDescent="0.3">
      <c r="B35" s="2"/>
      <c r="G35" s="1">
        <f>0.14*Table11217[[#This Row],[النولون]]</f>
        <v>0</v>
      </c>
      <c r="I35" s="1">
        <f>Table11217[[#This Row],[النولون]]+Table11217[[#This Row],[الايصالات]]+Table11217[[#This Row],[قيمة مضافة]]</f>
        <v>0</v>
      </c>
      <c r="K35" s="1">
        <f>K34+Table11217[[#This Row],[اجمالي الفاتوره]]-Table11217[[#This Row],[الدفعات]]</f>
        <v>0.87999999988824129</v>
      </c>
      <c r="M35" s="95"/>
    </row>
    <row r="36" spans="2:13" ht="24" customHeight="1" x14ac:dyDescent="0.3">
      <c r="B36" s="2"/>
      <c r="G36" s="1">
        <f>0.14*Table11217[[#This Row],[النولون]]</f>
        <v>0</v>
      </c>
      <c r="I36" s="1">
        <f>Table11217[[#This Row],[النولون]]+Table11217[[#This Row],[الايصالات]]+Table11217[[#This Row],[قيمة مضافة]]</f>
        <v>0</v>
      </c>
      <c r="K36" s="1">
        <f>K35+Table11217[[#This Row],[اجمالي الفاتوره]]-Table11217[[#This Row],[الدفعات]]</f>
        <v>0.87999999988824129</v>
      </c>
      <c r="M36" s="95"/>
    </row>
    <row r="37" spans="2:13" ht="24" customHeight="1" x14ac:dyDescent="0.3">
      <c r="G37" s="1">
        <f>0.14*Table11217[[#This Row],[النولون]]</f>
        <v>0</v>
      </c>
      <c r="I37" s="1">
        <f>Table11217[[#This Row],[النولون]]+Table11217[[#This Row],[الايصالات]]+Table11217[[#This Row],[قيمة مضافة]]</f>
        <v>0</v>
      </c>
      <c r="K37" s="1">
        <f>K36+Table11217[[#This Row],[اجمالي الفاتوره]]-Table11217[[#This Row],[الدفعات]]</f>
        <v>0.87999999988824129</v>
      </c>
      <c r="M37" s="95"/>
    </row>
    <row r="38" spans="2:13" ht="24" customHeight="1" x14ac:dyDescent="0.3">
      <c r="G38" s="1">
        <f>0.14*Table11217[[#This Row],[النولون]]</f>
        <v>0</v>
      </c>
      <c r="I38" s="1">
        <f>Table11217[[#This Row],[النولون]]+Table11217[[#This Row],[الايصالات]]+Table11217[[#This Row],[قيمة مضافة]]</f>
        <v>0</v>
      </c>
      <c r="K38" s="1">
        <f>K37+Table11217[[#This Row],[اجمالي الفاتوره]]-Table11217[[#This Row],[الدفعات]]</f>
        <v>0.87999999988824129</v>
      </c>
      <c r="M38" s="95"/>
    </row>
    <row r="39" spans="2:13" ht="24" customHeight="1" x14ac:dyDescent="0.3">
      <c r="G39" s="1">
        <f>0.14*Table11217[[#This Row],[النولون]]</f>
        <v>0</v>
      </c>
      <c r="I39" s="1">
        <f>Table11217[[#This Row],[النولون]]+Table11217[[#This Row],[الايصالات]]+Table11217[[#This Row],[قيمة مضافة]]</f>
        <v>0</v>
      </c>
      <c r="K39" s="1">
        <f>K38+Table11217[[#This Row],[اجمالي الفاتوره]]-Table11217[[#This Row],[الدفعات]]</f>
        <v>0.87999999988824129</v>
      </c>
      <c r="M39" s="95"/>
    </row>
    <row r="40" spans="2:13" ht="24" customHeight="1" x14ac:dyDescent="0.3">
      <c r="G40" s="1">
        <f>0.14*Table11217[[#This Row],[النولون]]</f>
        <v>0</v>
      </c>
      <c r="I40" s="1">
        <f>Table11217[[#This Row],[النولون]]+Table11217[[#This Row],[الايصالات]]+Table11217[[#This Row],[قيمة مضافة]]</f>
        <v>0</v>
      </c>
      <c r="K40" s="1">
        <f>K39+Table11217[[#This Row],[اجمالي الفاتوره]]-Table11217[[#This Row],[الدفعات]]</f>
        <v>0.87999999988824129</v>
      </c>
      <c r="M40" s="95"/>
    </row>
    <row r="41" spans="2:13" ht="24" customHeight="1" x14ac:dyDescent="0.3">
      <c r="G41" s="1">
        <f>0.14*Table11217[[#This Row],[النولون]]</f>
        <v>0</v>
      </c>
      <c r="I41" s="1">
        <f>Table11217[[#This Row],[النولون]]+Table11217[[#This Row],[الايصالات]]+Table11217[[#This Row],[قيمة مضافة]]</f>
        <v>0</v>
      </c>
      <c r="K41" s="1">
        <f>K40+Table11217[[#This Row],[اجمالي الفاتوره]]-Table11217[[#This Row],[الدفعات]]</f>
        <v>0.87999999988824129</v>
      </c>
      <c r="M41" s="95"/>
    </row>
    <row r="42" spans="2:13" ht="24" customHeight="1" x14ac:dyDescent="0.3">
      <c r="G42" s="1">
        <f>0.14*Table11217[[#This Row],[النولون]]</f>
        <v>0</v>
      </c>
      <c r="I42" s="1">
        <f>Table11217[[#This Row],[النولون]]+Table11217[[#This Row],[الايصالات]]+Table11217[[#This Row],[قيمة مضافة]]</f>
        <v>0</v>
      </c>
      <c r="K42" s="1">
        <f>K41+Table11217[[#This Row],[اجمالي الفاتوره]]-Table11217[[#This Row],[الدفعات]]</f>
        <v>0.87999999988824129</v>
      </c>
      <c r="M42" s="95"/>
    </row>
    <row r="43" spans="2:13" ht="24" customHeight="1" x14ac:dyDescent="0.3">
      <c r="G43" s="1">
        <f>0.14*Table11217[[#This Row],[النولون]]</f>
        <v>0</v>
      </c>
      <c r="I43" s="1">
        <f>Table11217[[#This Row],[النولون]]+Table11217[[#This Row],[الايصالات]]+Table11217[[#This Row],[قيمة مضافة]]</f>
        <v>0</v>
      </c>
      <c r="K43" s="1">
        <f>K42+Table11217[[#This Row],[اجمالي الفاتوره]]-Table11217[[#This Row],[الدفعات]]</f>
        <v>0.87999999988824129</v>
      </c>
      <c r="M43" s="95"/>
    </row>
    <row r="44" spans="2:13" ht="24" customHeight="1" x14ac:dyDescent="0.3">
      <c r="G44" s="1">
        <f>0.14*Table11217[[#This Row],[النولون]]</f>
        <v>0</v>
      </c>
      <c r="I44" s="1">
        <f>Table11217[[#This Row],[النولون]]+Table11217[[#This Row],[الايصالات]]+Table11217[[#This Row],[قيمة مضافة]]</f>
        <v>0</v>
      </c>
      <c r="K44" s="1">
        <f>K43+Table11217[[#This Row],[اجمالي الفاتوره]]-Table11217[[#This Row],[الدفعات]]</f>
        <v>0.87999999988824129</v>
      </c>
      <c r="M44" s="95"/>
    </row>
    <row r="45" spans="2:13" ht="24" customHeight="1" x14ac:dyDescent="0.3">
      <c r="G45" s="1">
        <f>0.14*Table11217[[#This Row],[النولون]]</f>
        <v>0</v>
      </c>
      <c r="I45" s="1">
        <f>Table11217[[#This Row],[النولون]]+Table11217[[#This Row],[الايصالات]]+Table11217[[#This Row],[قيمة مضافة]]</f>
        <v>0</v>
      </c>
      <c r="K45" s="1">
        <f>K44+Table11217[[#This Row],[اجمالي الفاتوره]]-Table11217[[#This Row],[الدفعات]]</f>
        <v>0.87999999988824129</v>
      </c>
      <c r="M45" s="95"/>
    </row>
    <row r="46" spans="2:13" ht="24" customHeight="1" x14ac:dyDescent="0.3">
      <c r="G46" s="1">
        <f>0.14*Table11217[[#This Row],[النولون]]</f>
        <v>0</v>
      </c>
      <c r="I46" s="1">
        <f>Table11217[[#This Row],[النولون]]+Table11217[[#This Row],[الايصالات]]+Table11217[[#This Row],[قيمة مضافة]]</f>
        <v>0</v>
      </c>
      <c r="K46" s="1">
        <f>K45+Table11217[[#This Row],[اجمالي الفاتوره]]-Table11217[[#This Row],[الدفعات]]</f>
        <v>0.87999999988824129</v>
      </c>
      <c r="M46" s="95"/>
    </row>
    <row r="47" spans="2:13" ht="24" customHeight="1" x14ac:dyDescent="0.3">
      <c r="G47" s="1">
        <f>0.14*Table11217[[#This Row],[النولون]]</f>
        <v>0</v>
      </c>
      <c r="I47" s="1">
        <f>Table11217[[#This Row],[النولون]]+Table11217[[#This Row],[الايصالات]]+Table11217[[#This Row],[قيمة مضافة]]</f>
        <v>0</v>
      </c>
      <c r="K47" s="1">
        <f>K46+Table11217[[#This Row],[اجمالي الفاتوره]]-Table11217[[#This Row],[الدفعات]]</f>
        <v>0.87999999988824129</v>
      </c>
      <c r="M47" s="95"/>
    </row>
    <row r="48" spans="2:13" ht="24" customHeight="1" x14ac:dyDescent="0.3">
      <c r="G48" s="1">
        <f>0.14*Table11217[[#This Row],[النولون]]</f>
        <v>0</v>
      </c>
      <c r="I48" s="1">
        <f>Table11217[[#This Row],[النولون]]+Table11217[[#This Row],[الايصالات]]+Table11217[[#This Row],[قيمة مضافة]]</f>
        <v>0</v>
      </c>
      <c r="K48" s="1">
        <f>K47+Table11217[[#This Row],[اجمالي الفاتوره]]-Table11217[[#This Row],[الدفعات]]</f>
        <v>0.87999999988824129</v>
      </c>
      <c r="M48" s="95"/>
    </row>
    <row r="49" spans="7:13" ht="24" customHeight="1" x14ac:dyDescent="0.3">
      <c r="G49" s="1">
        <f>0.14*Table11217[[#This Row],[النولون]]</f>
        <v>0</v>
      </c>
      <c r="I49" s="1">
        <f>Table11217[[#This Row],[النولون]]+Table11217[[#This Row],[الايصالات]]+Table11217[[#This Row],[قيمة مضافة]]</f>
        <v>0</v>
      </c>
      <c r="K49" s="1">
        <f>K48+Table11217[[#This Row],[اجمالي الفاتوره]]-Table11217[[#This Row],[الدفعات]]</f>
        <v>0.87999999988824129</v>
      </c>
      <c r="M49" s="95"/>
    </row>
    <row r="50" spans="7:13" ht="24" customHeight="1" x14ac:dyDescent="0.3">
      <c r="G50" s="1">
        <f>0.14*Table11217[[#This Row],[النولون]]</f>
        <v>0</v>
      </c>
      <c r="I50" s="1">
        <f>Table11217[[#This Row],[النولون]]+Table11217[[#This Row],[الايصالات]]+Table11217[[#This Row],[قيمة مضافة]]</f>
        <v>0</v>
      </c>
      <c r="K50" s="1">
        <f>K49+Table11217[[#This Row],[اجمالي الفاتوره]]-Table11217[[#This Row],[الدفعات]]</f>
        <v>0.87999999988824129</v>
      </c>
      <c r="M50" s="95"/>
    </row>
    <row r="51" spans="7:13" ht="24" customHeight="1" x14ac:dyDescent="0.3">
      <c r="G51" s="1">
        <f>0.14*Table11217[[#This Row],[النولون]]</f>
        <v>0</v>
      </c>
      <c r="I51" s="1">
        <f>Table11217[[#This Row],[النولون]]+Table11217[[#This Row],[الايصالات]]+Table11217[[#This Row],[قيمة مضافة]]</f>
        <v>0</v>
      </c>
      <c r="K51" s="1">
        <f>K50+Table11217[[#This Row],[اجمالي الفاتوره]]-Table11217[[#This Row],[الدفعات]]</f>
        <v>0.87999999988824129</v>
      </c>
      <c r="M51" s="95"/>
    </row>
    <row r="52" spans="7:13" ht="24" customHeight="1" x14ac:dyDescent="0.3">
      <c r="G52" s="1">
        <f>0.14*Table11217[[#This Row],[النولون]]</f>
        <v>0</v>
      </c>
      <c r="I52" s="1">
        <f>Table11217[[#This Row],[النولون]]+Table11217[[#This Row],[الايصالات]]+Table11217[[#This Row],[قيمة مضافة]]</f>
        <v>0</v>
      </c>
      <c r="K52" s="1">
        <f>K51+Table11217[[#This Row],[اجمالي الفاتوره]]-Table11217[[#This Row],[الدفعات]]</f>
        <v>0.87999999988824129</v>
      </c>
      <c r="M52" s="95"/>
    </row>
    <row r="53" spans="7:13" ht="24" customHeight="1" x14ac:dyDescent="0.3">
      <c r="G53" s="1">
        <f>0.14*Table11217[[#This Row],[النولون]]</f>
        <v>0</v>
      </c>
      <c r="I53" s="1">
        <f>Table11217[[#This Row],[النولون]]+Table11217[[#This Row],[الايصالات]]+Table11217[[#This Row],[قيمة مضافة]]</f>
        <v>0</v>
      </c>
      <c r="K53" s="1">
        <f>K52+Table11217[[#This Row],[اجمالي الفاتوره]]-Table11217[[#This Row],[الدفعات]]</f>
        <v>0.87999999988824129</v>
      </c>
      <c r="M53" s="95"/>
    </row>
    <row r="54" spans="7:13" ht="24" customHeight="1" x14ac:dyDescent="0.3">
      <c r="G54" s="1">
        <f>0.14*Table11217[[#This Row],[النولون]]</f>
        <v>0</v>
      </c>
      <c r="I54" s="1">
        <f>Table11217[[#This Row],[النولون]]+Table11217[[#This Row],[الايصالات]]+Table11217[[#This Row],[قيمة مضافة]]</f>
        <v>0</v>
      </c>
      <c r="K54" s="1">
        <f>K53+Table11217[[#This Row],[اجمالي الفاتوره]]-Table11217[[#This Row],[الدفعات]]</f>
        <v>0.87999999988824129</v>
      </c>
      <c r="M54" s="95"/>
    </row>
    <row r="55" spans="7:13" ht="24" customHeight="1" x14ac:dyDescent="0.3">
      <c r="G55" s="1">
        <f>0.14*Table11217[[#This Row],[النولون]]</f>
        <v>0</v>
      </c>
      <c r="I55" s="1">
        <f>Table11217[[#This Row],[النولون]]+Table11217[[#This Row],[الايصالات]]+Table11217[[#This Row],[قيمة مضافة]]</f>
        <v>0</v>
      </c>
      <c r="K55" s="1">
        <f>K54+Table11217[[#This Row],[اجمالي الفاتوره]]-Table11217[[#This Row],[الدفعات]]</f>
        <v>0.87999999988824129</v>
      </c>
      <c r="M55" s="95"/>
    </row>
    <row r="56" spans="7:13" ht="24" customHeight="1" x14ac:dyDescent="0.3">
      <c r="G56" s="1">
        <f>0.14*Table11217[[#This Row],[النولون]]</f>
        <v>0</v>
      </c>
      <c r="I56" s="1">
        <f>Table11217[[#This Row],[النولون]]+Table11217[[#This Row],[الايصالات]]+Table11217[[#This Row],[قيمة مضافة]]</f>
        <v>0</v>
      </c>
      <c r="K56" s="1">
        <f>K55+Table11217[[#This Row],[اجمالي الفاتوره]]-Table11217[[#This Row],[الدفعات]]</f>
        <v>0.87999999988824129</v>
      </c>
      <c r="M56" s="95"/>
    </row>
    <row r="57" spans="7:13" ht="24" customHeight="1" x14ac:dyDescent="0.3">
      <c r="G57" s="1">
        <f>0.14*Table11217[[#This Row],[النولون]]</f>
        <v>0</v>
      </c>
      <c r="I57" s="1">
        <f>Table11217[[#This Row],[النولون]]+Table11217[[#This Row],[الايصالات]]+Table11217[[#This Row],[قيمة مضافة]]</f>
        <v>0</v>
      </c>
      <c r="K57" s="1">
        <f>K56+Table11217[[#This Row],[اجمالي الفاتوره]]-Table11217[[#This Row],[الدفعات]]</f>
        <v>0.87999999988824129</v>
      </c>
      <c r="M57" s="95"/>
    </row>
    <row r="58" spans="7:13" ht="24" customHeight="1" x14ac:dyDescent="0.3">
      <c r="G58" s="1">
        <f>0.14*Table11217[[#This Row],[النولون]]</f>
        <v>0</v>
      </c>
      <c r="I58" s="1">
        <f>Table11217[[#This Row],[النولون]]+Table11217[[#This Row],[الايصالات]]+Table11217[[#This Row],[قيمة مضافة]]</f>
        <v>0</v>
      </c>
      <c r="K58" s="1">
        <f>K57+Table11217[[#This Row],[اجمالي الفاتوره]]-Table11217[[#This Row],[الدفعات]]</f>
        <v>0.87999999988824129</v>
      </c>
      <c r="M58" s="95"/>
    </row>
    <row r="59" spans="7:13" ht="24" customHeight="1" x14ac:dyDescent="0.3">
      <c r="G59" s="1">
        <f>0.14*Table11217[[#This Row],[النولون]]</f>
        <v>0</v>
      </c>
      <c r="I59" s="1">
        <f>Table11217[[#This Row],[النولون]]+Table11217[[#This Row],[الايصالات]]+Table11217[[#This Row],[قيمة مضافة]]</f>
        <v>0</v>
      </c>
      <c r="K59" s="1">
        <f>K58+Table11217[[#This Row],[اجمالي الفاتوره]]-Table11217[[#This Row],[الدفعات]]</f>
        <v>0.87999999988824129</v>
      </c>
      <c r="M59" s="95"/>
    </row>
    <row r="60" spans="7:13" ht="24" customHeight="1" x14ac:dyDescent="0.3">
      <c r="G60" s="1">
        <f>0.14*Table11217[[#This Row],[النولون]]</f>
        <v>0</v>
      </c>
      <c r="I60" s="1">
        <f>Table11217[[#This Row],[النولون]]+Table11217[[#This Row],[الايصالات]]+Table11217[[#This Row],[قيمة مضافة]]</f>
        <v>0</v>
      </c>
      <c r="K60" s="1">
        <f>K59+Table11217[[#This Row],[اجمالي الفاتوره]]-Table11217[[#This Row],[الدفعات]]</f>
        <v>0.87999999988824129</v>
      </c>
      <c r="M60" s="95"/>
    </row>
    <row r="61" spans="7:13" ht="24" customHeight="1" x14ac:dyDescent="0.3">
      <c r="G61" s="1">
        <f>0.14*Table11217[[#This Row],[النولون]]</f>
        <v>0</v>
      </c>
      <c r="I61" s="1">
        <f>Table11217[[#This Row],[النولون]]+Table11217[[#This Row],[الايصالات]]+Table11217[[#This Row],[قيمة مضافة]]</f>
        <v>0</v>
      </c>
      <c r="K61" s="1">
        <f>K60+Table11217[[#This Row],[اجمالي الفاتوره]]-Table11217[[#This Row],[الدفعات]]</f>
        <v>0.87999999988824129</v>
      </c>
      <c r="M61" s="95"/>
    </row>
    <row r="62" spans="7:13" ht="24" customHeight="1" x14ac:dyDescent="0.3">
      <c r="G62" s="1">
        <f>0.14*Table11217[[#This Row],[النولون]]</f>
        <v>0</v>
      </c>
      <c r="I62" s="1">
        <f>Table11217[[#This Row],[النولون]]+Table11217[[#This Row],[الايصالات]]+Table11217[[#This Row],[قيمة مضافة]]</f>
        <v>0</v>
      </c>
      <c r="K62" s="1">
        <f>K61+Table11217[[#This Row],[اجمالي الفاتوره]]-Table11217[[#This Row],[الدفعات]]</f>
        <v>0.87999999988824129</v>
      </c>
      <c r="M62" s="95"/>
    </row>
    <row r="63" spans="7:13" ht="24" customHeight="1" x14ac:dyDescent="0.3">
      <c r="G63" s="1">
        <f>0.14*Table11217[[#This Row],[النولون]]</f>
        <v>0</v>
      </c>
      <c r="I63" s="1">
        <f>Table11217[[#This Row],[النولون]]+Table11217[[#This Row],[الايصالات]]+Table11217[[#This Row],[قيمة مضافة]]</f>
        <v>0</v>
      </c>
      <c r="K63" s="1">
        <f>K62+Table11217[[#This Row],[اجمالي الفاتوره]]-Table11217[[#This Row],[الدفعات]]</f>
        <v>0.87999999988824129</v>
      </c>
      <c r="M63" s="95"/>
    </row>
    <row r="64" spans="7:13" ht="24" customHeight="1" x14ac:dyDescent="0.3">
      <c r="G64" s="1">
        <f>0.14*Table11217[[#This Row],[النولون]]</f>
        <v>0</v>
      </c>
      <c r="I64" s="1">
        <f>Table11217[[#This Row],[النولون]]+Table11217[[#This Row],[الايصالات]]+Table11217[[#This Row],[قيمة مضافة]]</f>
        <v>0</v>
      </c>
      <c r="K64" s="1">
        <f>K63+Table11217[[#This Row],[اجمالي الفاتوره]]-Table11217[[#This Row],[الدفعات]]</f>
        <v>0.87999999988824129</v>
      </c>
      <c r="M64" s="95"/>
    </row>
    <row r="65" spans="7:13" ht="24" customHeight="1" x14ac:dyDescent="0.3">
      <c r="G65" s="1">
        <f>0.14*Table11217[[#This Row],[النولون]]</f>
        <v>0</v>
      </c>
      <c r="I65" s="1">
        <f>Table11217[[#This Row],[النولون]]+Table11217[[#This Row],[الايصالات]]+Table11217[[#This Row],[قيمة مضافة]]</f>
        <v>0</v>
      </c>
      <c r="K65" s="1">
        <f>K64+Table11217[[#This Row],[اجمالي الفاتوره]]-Table11217[[#This Row],[الدفعات]]</f>
        <v>0.87999999988824129</v>
      </c>
      <c r="M65" s="95"/>
    </row>
    <row r="66" spans="7:13" ht="24" customHeight="1" x14ac:dyDescent="0.3">
      <c r="G66" s="1">
        <f>0.14*Table11217[[#This Row],[النولون]]</f>
        <v>0</v>
      </c>
      <c r="I66" s="1">
        <f>Table11217[[#This Row],[النولون]]+Table11217[[#This Row],[الايصالات]]+Table11217[[#This Row],[قيمة مضافة]]</f>
        <v>0</v>
      </c>
      <c r="K66" s="1">
        <f>K65+Table11217[[#This Row],[اجمالي الفاتوره]]-Table11217[[#This Row],[الدفعات]]</f>
        <v>0.87999999988824129</v>
      </c>
      <c r="M66" s="95"/>
    </row>
    <row r="67" spans="7:13" ht="24" customHeight="1" x14ac:dyDescent="0.3">
      <c r="G67" s="1">
        <f>0.14*Table11217[[#This Row],[النولون]]</f>
        <v>0</v>
      </c>
      <c r="I67" s="1">
        <f>Table11217[[#This Row],[النولون]]+Table11217[[#This Row],[الايصالات]]+Table11217[[#This Row],[قيمة مضافة]]</f>
        <v>0</v>
      </c>
      <c r="K67" s="1">
        <f>K66+Table11217[[#This Row],[اجمالي الفاتوره]]-Table11217[[#This Row],[الدفعات]]</f>
        <v>0.87999999988824129</v>
      </c>
      <c r="M67" s="95"/>
    </row>
    <row r="68" spans="7:13" ht="24" customHeight="1" x14ac:dyDescent="0.3">
      <c r="G68" s="1">
        <f>0.14*Table11217[[#This Row],[النولون]]</f>
        <v>0</v>
      </c>
      <c r="I68" s="1">
        <f>Table11217[[#This Row],[النولون]]+Table11217[[#This Row],[الايصالات]]+Table11217[[#This Row],[قيمة مضافة]]</f>
        <v>0</v>
      </c>
      <c r="K68" s="1">
        <f>K67+Table11217[[#This Row],[اجمالي الفاتوره]]-Table11217[[#This Row],[الدفعات]]</f>
        <v>0.87999999988824129</v>
      </c>
      <c r="M68" s="95"/>
    </row>
    <row r="69" spans="7:13" ht="24" customHeight="1" x14ac:dyDescent="0.3">
      <c r="G69" s="1">
        <f>0.14*Table11217[[#This Row],[النولون]]</f>
        <v>0</v>
      </c>
      <c r="I69" s="1">
        <f>Table11217[[#This Row],[النولون]]+Table11217[[#This Row],[الايصالات]]+Table11217[[#This Row],[قيمة مضافة]]</f>
        <v>0</v>
      </c>
      <c r="K69" s="1">
        <f>K68+Table11217[[#This Row],[اجمالي الفاتوره]]-Table11217[[#This Row],[الدفعات]]</f>
        <v>0.87999999988824129</v>
      </c>
      <c r="M69" s="95"/>
    </row>
    <row r="70" spans="7:13" ht="24" customHeight="1" x14ac:dyDescent="0.3">
      <c r="G70" s="1">
        <f>0.14*Table11217[[#This Row],[النولون]]</f>
        <v>0</v>
      </c>
      <c r="I70" s="1">
        <f>Table11217[[#This Row],[النولون]]+Table11217[[#This Row],[الايصالات]]+Table11217[[#This Row],[قيمة مضافة]]</f>
        <v>0</v>
      </c>
      <c r="K70" s="1">
        <f>K69+Table11217[[#This Row],[اجمالي الفاتوره]]-Table11217[[#This Row],[الدفعات]]</f>
        <v>0.87999999988824129</v>
      </c>
      <c r="M70" s="95"/>
    </row>
    <row r="71" spans="7:13" ht="24" customHeight="1" x14ac:dyDescent="0.3">
      <c r="G71" s="1">
        <f>0.14*Table11217[[#This Row],[النولون]]</f>
        <v>0</v>
      </c>
      <c r="I71" s="1">
        <f>Table11217[[#This Row],[النولون]]+Table11217[[#This Row],[الايصالات]]+Table11217[[#This Row],[قيمة مضافة]]</f>
        <v>0</v>
      </c>
      <c r="K71" s="1">
        <f>K70+Table11217[[#This Row],[اجمالي الفاتوره]]-Table11217[[#This Row],[الدفعات]]</f>
        <v>0.87999999988824129</v>
      </c>
      <c r="M71" s="95"/>
    </row>
    <row r="72" spans="7:13" ht="24" customHeight="1" x14ac:dyDescent="0.3">
      <c r="G72" s="1">
        <f>0.14*Table11217[[#This Row],[النولون]]</f>
        <v>0</v>
      </c>
      <c r="I72" s="1">
        <f>Table11217[[#This Row],[النولون]]+Table11217[[#This Row],[الايصالات]]+Table11217[[#This Row],[قيمة مضافة]]</f>
        <v>0</v>
      </c>
      <c r="K72" s="1">
        <f>K71+Table11217[[#This Row],[اجمالي الفاتوره]]-Table11217[[#This Row],[الدفعات]]</f>
        <v>0.87999999988824129</v>
      </c>
      <c r="M72" s="95"/>
    </row>
    <row r="73" spans="7:13" ht="24" customHeight="1" x14ac:dyDescent="0.3">
      <c r="G73" s="1">
        <f>0.14*Table11217[[#This Row],[النولون]]</f>
        <v>0</v>
      </c>
      <c r="I73" s="1">
        <f>Table11217[[#This Row],[النولون]]+Table11217[[#This Row],[الايصالات]]+Table11217[[#This Row],[قيمة مضافة]]</f>
        <v>0</v>
      </c>
      <c r="K73" s="1">
        <f>K72+Table11217[[#This Row],[اجمالي الفاتوره]]-Table11217[[#This Row],[الدفعات]]</f>
        <v>0.87999999988824129</v>
      </c>
      <c r="M73" s="95"/>
    </row>
    <row r="74" spans="7:13" ht="24" customHeight="1" x14ac:dyDescent="0.3">
      <c r="G74" s="1">
        <f>0.14*Table11217[[#This Row],[النولون]]</f>
        <v>0</v>
      </c>
      <c r="I74" s="1">
        <f>Table11217[[#This Row],[النولون]]+Table11217[[#This Row],[الايصالات]]+Table11217[[#This Row],[قيمة مضافة]]</f>
        <v>0</v>
      </c>
      <c r="K74" s="1">
        <f>K73+Table11217[[#This Row],[اجمالي الفاتوره]]-Table11217[[#This Row],[الدفعات]]</f>
        <v>0.87999999988824129</v>
      </c>
      <c r="M74" s="95"/>
    </row>
    <row r="75" spans="7:13" ht="24" customHeight="1" x14ac:dyDescent="0.3">
      <c r="G75" s="1">
        <f>0.14*Table11217[[#This Row],[النولون]]</f>
        <v>0</v>
      </c>
      <c r="I75" s="1">
        <f>Table11217[[#This Row],[النولون]]+Table11217[[#This Row],[الايصالات]]+Table11217[[#This Row],[قيمة مضافة]]</f>
        <v>0</v>
      </c>
      <c r="K75" s="1">
        <f>K74+Table11217[[#This Row],[اجمالي الفاتوره]]-Table11217[[#This Row],[الدفعات]]</f>
        <v>0.87999999988824129</v>
      </c>
      <c r="M75" s="95"/>
    </row>
    <row r="76" spans="7:13" ht="24" customHeight="1" x14ac:dyDescent="0.3">
      <c r="G76" s="1">
        <f>0.14*Table11217[[#This Row],[النولون]]</f>
        <v>0</v>
      </c>
      <c r="I76" s="1">
        <f>Table11217[[#This Row],[النولون]]+Table11217[[#This Row],[الايصالات]]+Table11217[[#This Row],[قيمة مضافة]]</f>
        <v>0</v>
      </c>
      <c r="K76" s="1">
        <f>K75+Table11217[[#This Row],[اجمالي الفاتوره]]-Table11217[[#This Row],[الدفعات]]</f>
        <v>0.87999999988824129</v>
      </c>
      <c r="M76" s="95"/>
    </row>
    <row r="77" spans="7:13" ht="24" customHeight="1" x14ac:dyDescent="0.3">
      <c r="G77" s="1">
        <f>0.14*Table11217[[#This Row],[النولون]]</f>
        <v>0</v>
      </c>
      <c r="I77" s="1">
        <f>Table11217[[#This Row],[النولون]]+Table11217[[#This Row],[الايصالات]]+Table11217[[#This Row],[قيمة مضافة]]</f>
        <v>0</v>
      </c>
      <c r="K77" s="1">
        <f>K76+Table11217[[#This Row],[اجمالي الفاتوره]]-Table11217[[#This Row],[الدفعات]]</f>
        <v>0.87999999988824129</v>
      </c>
      <c r="M77" s="95"/>
    </row>
    <row r="78" spans="7:13" ht="24" customHeight="1" x14ac:dyDescent="0.3">
      <c r="G78" s="1">
        <f>0.14*Table11217[[#This Row],[النولون]]</f>
        <v>0</v>
      </c>
      <c r="I78" s="1">
        <f>Table11217[[#This Row],[النولون]]+Table11217[[#This Row],[الايصالات]]+Table11217[[#This Row],[قيمة مضافة]]</f>
        <v>0</v>
      </c>
      <c r="K78" s="1">
        <f>K77+Table11217[[#This Row],[اجمالي الفاتوره]]-Table11217[[#This Row],[الدفعات]]</f>
        <v>0.87999999988824129</v>
      </c>
      <c r="M78" s="95"/>
    </row>
    <row r="79" spans="7:13" ht="24" customHeight="1" x14ac:dyDescent="0.3">
      <c r="G79" s="1">
        <f>0.14*Table11217[[#This Row],[النولون]]</f>
        <v>0</v>
      </c>
      <c r="I79" s="1">
        <f>Table11217[[#This Row],[النولون]]+Table11217[[#This Row],[الايصالات]]+Table11217[[#This Row],[قيمة مضافة]]</f>
        <v>0</v>
      </c>
      <c r="K79" s="1">
        <f>K78+Table11217[[#This Row],[اجمالي الفاتوره]]-Table11217[[#This Row],[الدفعات]]</f>
        <v>0.87999999988824129</v>
      </c>
      <c r="M79" s="95"/>
    </row>
    <row r="80" spans="7:13" ht="24" customHeight="1" x14ac:dyDescent="0.3">
      <c r="G80" s="1">
        <f>0.14*Table11217[[#This Row],[النولون]]</f>
        <v>0</v>
      </c>
      <c r="I80" s="1">
        <f>Table11217[[#This Row],[النولون]]+Table11217[[#This Row],[الايصالات]]+Table11217[[#This Row],[قيمة مضافة]]</f>
        <v>0</v>
      </c>
      <c r="K80" s="1">
        <f>K79+Table11217[[#This Row],[اجمالي الفاتوره]]-Table11217[[#This Row],[الدفعات]]</f>
        <v>0.87999999988824129</v>
      </c>
      <c r="M80" s="95"/>
    </row>
    <row r="81" spans="7:13" ht="24" customHeight="1" x14ac:dyDescent="0.3">
      <c r="G81" s="1">
        <f>0.14*Table11217[[#This Row],[النولون]]</f>
        <v>0</v>
      </c>
      <c r="I81" s="1">
        <f>Table11217[[#This Row],[النولون]]+Table11217[[#This Row],[الايصالات]]+Table11217[[#This Row],[قيمة مضافة]]</f>
        <v>0</v>
      </c>
      <c r="K81" s="1">
        <f>K80+Table11217[[#This Row],[اجمالي الفاتوره]]-Table11217[[#This Row],[الدفعات]]</f>
        <v>0.87999999988824129</v>
      </c>
      <c r="M81" s="95"/>
    </row>
    <row r="82" spans="7:13" ht="24" customHeight="1" x14ac:dyDescent="0.3">
      <c r="G82" s="1">
        <f>0.14*Table11217[[#This Row],[النولون]]</f>
        <v>0</v>
      </c>
      <c r="I82" s="1">
        <f>Table11217[[#This Row],[النولون]]+Table11217[[#This Row],[الايصالات]]+Table11217[[#This Row],[قيمة مضافة]]</f>
        <v>0</v>
      </c>
      <c r="K82" s="1">
        <f>K81+Table11217[[#This Row],[اجمالي الفاتوره]]-Table11217[[#This Row],[الدفعات]]</f>
        <v>0.87999999988824129</v>
      </c>
      <c r="M82" s="95"/>
    </row>
    <row r="83" spans="7:13" ht="24" customHeight="1" x14ac:dyDescent="0.3">
      <c r="G83" s="1">
        <f>0.14*Table11217[[#This Row],[النولون]]</f>
        <v>0</v>
      </c>
      <c r="I83" s="1">
        <f>Table11217[[#This Row],[النولون]]+Table11217[[#This Row],[الايصالات]]+Table11217[[#This Row],[قيمة مضافة]]</f>
        <v>0</v>
      </c>
      <c r="K83" s="1">
        <f>K82+Table11217[[#This Row],[اجمالي الفاتوره]]-Table11217[[#This Row],[الدفعات]]</f>
        <v>0.87999999988824129</v>
      </c>
      <c r="M83" s="95"/>
    </row>
    <row r="84" spans="7:13" ht="24" customHeight="1" x14ac:dyDescent="0.3">
      <c r="G84" s="1">
        <f>0.14*Table11217[[#This Row],[النولون]]</f>
        <v>0</v>
      </c>
      <c r="I84" s="1">
        <f>Table11217[[#This Row],[النولون]]+Table11217[[#This Row],[الايصالات]]+Table11217[[#This Row],[قيمة مضافة]]</f>
        <v>0</v>
      </c>
      <c r="K84" s="1">
        <f>K83+Table11217[[#This Row],[اجمالي الفاتوره]]-Table11217[[#This Row],[الدفعات]]</f>
        <v>0.87999999988824129</v>
      </c>
      <c r="M84" s="95"/>
    </row>
    <row r="85" spans="7:13" ht="24" customHeight="1" x14ac:dyDescent="0.3">
      <c r="G85" s="1">
        <f>0.14*Table11217[[#This Row],[النولون]]</f>
        <v>0</v>
      </c>
      <c r="I85" s="1">
        <f>Table11217[[#This Row],[النولون]]+Table11217[[#This Row],[الايصالات]]+Table11217[[#This Row],[قيمة مضافة]]</f>
        <v>0</v>
      </c>
      <c r="K85" s="1">
        <f>K84+Table11217[[#This Row],[اجمالي الفاتوره]]-Table11217[[#This Row],[الدفعات]]</f>
        <v>0.87999999988824129</v>
      </c>
      <c r="M85" s="95"/>
    </row>
    <row r="86" spans="7:13" ht="24" customHeight="1" x14ac:dyDescent="0.3">
      <c r="G86" s="1">
        <f>0.14*Table11217[[#This Row],[النولون]]</f>
        <v>0</v>
      </c>
      <c r="I86" s="1">
        <f>Table11217[[#This Row],[النولون]]+Table11217[[#This Row],[الايصالات]]+Table11217[[#This Row],[قيمة مضافة]]</f>
        <v>0</v>
      </c>
      <c r="K86" s="1">
        <f>K85+Table11217[[#This Row],[اجمالي الفاتوره]]-Table11217[[#This Row],[الدفعات]]</f>
        <v>0.87999999988824129</v>
      </c>
      <c r="M86" s="95"/>
    </row>
    <row r="87" spans="7:13" ht="24" customHeight="1" x14ac:dyDescent="0.3">
      <c r="G87" s="1">
        <f>0.14*Table11217[[#This Row],[النولون]]</f>
        <v>0</v>
      </c>
      <c r="I87" s="1">
        <f>Table11217[[#This Row],[النولون]]+Table11217[[#This Row],[الايصالات]]+Table11217[[#This Row],[قيمة مضافة]]</f>
        <v>0</v>
      </c>
      <c r="K87" s="1">
        <f>K86+Table11217[[#This Row],[اجمالي الفاتوره]]-Table11217[[#This Row],[الدفعات]]</f>
        <v>0.87999999988824129</v>
      </c>
      <c r="M87" s="95"/>
    </row>
    <row r="88" spans="7:13" ht="24" customHeight="1" x14ac:dyDescent="0.3">
      <c r="G88" s="1">
        <f>0.14*Table11217[[#This Row],[النولون]]</f>
        <v>0</v>
      </c>
      <c r="I88" s="1">
        <f>Table11217[[#This Row],[النولون]]+Table11217[[#This Row],[الايصالات]]+Table11217[[#This Row],[قيمة مضافة]]</f>
        <v>0</v>
      </c>
      <c r="K88" s="1">
        <f>K87+Table11217[[#This Row],[اجمالي الفاتوره]]-Table11217[[#This Row],[الدفعات]]</f>
        <v>0.87999999988824129</v>
      </c>
      <c r="M88" s="95"/>
    </row>
    <row r="89" spans="7:13" ht="24" customHeight="1" x14ac:dyDescent="0.3">
      <c r="G89" s="1">
        <f>0.14*Table11217[[#This Row],[النولون]]</f>
        <v>0</v>
      </c>
      <c r="I89" s="1">
        <f>Table11217[[#This Row],[النولون]]+Table11217[[#This Row],[الايصالات]]+Table11217[[#This Row],[قيمة مضافة]]</f>
        <v>0</v>
      </c>
      <c r="K89" s="1">
        <f>K88+Table11217[[#This Row],[اجمالي الفاتوره]]-Table11217[[#This Row],[الدفعات]]</f>
        <v>0.87999999988824129</v>
      </c>
      <c r="M89" s="95"/>
    </row>
    <row r="90" spans="7:13" ht="24" customHeight="1" x14ac:dyDescent="0.3">
      <c r="G90" s="1">
        <f>0.14*Table11217[[#This Row],[النولون]]</f>
        <v>0</v>
      </c>
      <c r="I90" s="1">
        <f>Table11217[[#This Row],[النولون]]+Table11217[[#This Row],[الايصالات]]+Table11217[[#This Row],[قيمة مضافة]]</f>
        <v>0</v>
      </c>
      <c r="K90" s="1">
        <f>K89+Table11217[[#This Row],[اجمالي الفاتوره]]-Table11217[[#This Row],[الدفعات]]</f>
        <v>0.87999999988824129</v>
      </c>
      <c r="M90" s="95"/>
    </row>
    <row r="91" spans="7:13" ht="24" customHeight="1" x14ac:dyDescent="0.3">
      <c r="G91" s="1">
        <f>0.14*Table11217[[#This Row],[النولون]]</f>
        <v>0</v>
      </c>
      <c r="I91" s="1">
        <f>Table11217[[#This Row],[النولون]]+Table11217[[#This Row],[الايصالات]]+Table11217[[#This Row],[قيمة مضافة]]</f>
        <v>0</v>
      </c>
      <c r="K91" s="1">
        <f>K90+Table11217[[#This Row],[اجمالي الفاتوره]]-Table11217[[#This Row],[الدفعات]]</f>
        <v>0.87999999988824129</v>
      </c>
      <c r="M91" s="95"/>
    </row>
    <row r="92" spans="7:13" ht="24" customHeight="1" x14ac:dyDescent="0.3">
      <c r="G92" s="1">
        <f>0.14*Table11217[[#This Row],[النولون]]</f>
        <v>0</v>
      </c>
      <c r="I92" s="1">
        <f>Table11217[[#This Row],[النولون]]+Table11217[[#This Row],[الايصالات]]+Table11217[[#This Row],[قيمة مضافة]]</f>
        <v>0</v>
      </c>
      <c r="K92" s="1">
        <f>K91+Table11217[[#This Row],[اجمالي الفاتوره]]-Table11217[[#This Row],[الدفعات]]</f>
        <v>0.87999999988824129</v>
      </c>
      <c r="M92" s="95"/>
    </row>
    <row r="93" spans="7:13" ht="24" customHeight="1" x14ac:dyDescent="0.3">
      <c r="G93" s="1">
        <f>0.14*Table11217[[#This Row],[النولون]]</f>
        <v>0</v>
      </c>
      <c r="I93" s="1">
        <f>Table11217[[#This Row],[النولون]]+Table11217[[#This Row],[الايصالات]]+Table11217[[#This Row],[قيمة مضافة]]</f>
        <v>0</v>
      </c>
      <c r="K93" s="1">
        <f>K92+Table11217[[#This Row],[اجمالي الفاتوره]]-Table11217[[#This Row],[الدفعات]]</f>
        <v>0.87999999988824129</v>
      </c>
      <c r="M93" s="95"/>
    </row>
    <row r="94" spans="7:13" ht="24" customHeight="1" x14ac:dyDescent="0.3">
      <c r="G94" s="1">
        <f>0.14*Table11217[[#This Row],[النولون]]</f>
        <v>0</v>
      </c>
      <c r="I94" s="1">
        <f>Table11217[[#This Row],[النولون]]+Table11217[[#This Row],[الايصالات]]+Table11217[[#This Row],[قيمة مضافة]]</f>
        <v>0</v>
      </c>
      <c r="K94" s="1">
        <f>K93+Table11217[[#This Row],[اجمالي الفاتوره]]-Table11217[[#This Row],[الدفعات]]</f>
        <v>0.87999999988824129</v>
      </c>
      <c r="M94" s="95"/>
    </row>
    <row r="95" spans="7:13" ht="24" customHeight="1" x14ac:dyDescent="0.3">
      <c r="G95" s="1">
        <f>0.14*Table11217[[#This Row],[النولون]]</f>
        <v>0</v>
      </c>
      <c r="I95" s="1">
        <f>Table11217[[#This Row],[النولون]]+Table11217[[#This Row],[الايصالات]]+Table11217[[#This Row],[قيمة مضافة]]</f>
        <v>0</v>
      </c>
      <c r="K95" s="1">
        <f>K94+Table11217[[#This Row],[اجمالي الفاتوره]]-Table11217[[#This Row],[الدفعات]]</f>
        <v>0.87999999988824129</v>
      </c>
      <c r="M95" s="95"/>
    </row>
    <row r="96" spans="7:13" ht="24" customHeight="1" x14ac:dyDescent="0.3">
      <c r="G96" s="1">
        <f>0.14*Table11217[[#This Row],[النولون]]</f>
        <v>0</v>
      </c>
      <c r="I96" s="1">
        <f>Table11217[[#This Row],[النولون]]+Table11217[[#This Row],[الايصالات]]+Table11217[[#This Row],[قيمة مضافة]]</f>
        <v>0</v>
      </c>
      <c r="K96" s="1">
        <f>K95+Table11217[[#This Row],[اجمالي الفاتوره]]-Table11217[[#This Row],[الدفعات]]</f>
        <v>0.87999999988824129</v>
      </c>
      <c r="M96" s="95"/>
    </row>
    <row r="97" spans="7:13" ht="24" customHeight="1" x14ac:dyDescent="0.3">
      <c r="G97" s="1">
        <f>0.14*Table11217[[#This Row],[النولون]]</f>
        <v>0</v>
      </c>
      <c r="I97" s="1">
        <f>Table11217[[#This Row],[النولون]]+Table11217[[#This Row],[الايصالات]]+Table11217[[#This Row],[قيمة مضافة]]</f>
        <v>0</v>
      </c>
      <c r="K97" s="1">
        <f>K96+Table11217[[#This Row],[اجمالي الفاتوره]]-Table11217[[#This Row],[الدفعات]]</f>
        <v>0.87999999988824129</v>
      </c>
      <c r="M97" s="95"/>
    </row>
    <row r="98" spans="7:13" ht="24" customHeight="1" x14ac:dyDescent="0.3">
      <c r="G98" s="1">
        <f>0.14*Table11217[[#This Row],[النولون]]</f>
        <v>0</v>
      </c>
      <c r="I98" s="1">
        <f>Table11217[[#This Row],[النولون]]+Table11217[[#This Row],[الايصالات]]+Table11217[[#This Row],[قيمة مضافة]]</f>
        <v>0</v>
      </c>
      <c r="K98" s="1">
        <f>K97+Table11217[[#This Row],[اجمالي الفاتوره]]-Table11217[[#This Row],[الدفعات]]</f>
        <v>0.87999999988824129</v>
      </c>
      <c r="M98" s="95"/>
    </row>
    <row r="99" spans="7:13" ht="24" customHeight="1" x14ac:dyDescent="0.3">
      <c r="G99" s="1">
        <f>0.14*Table11217[[#This Row],[النولون]]</f>
        <v>0</v>
      </c>
      <c r="I99" s="1">
        <f>Table11217[[#This Row],[النولون]]+Table11217[[#This Row],[الايصالات]]+Table11217[[#This Row],[قيمة مضافة]]</f>
        <v>0</v>
      </c>
      <c r="K99" s="1">
        <f>K98+Table11217[[#This Row],[اجمالي الفاتوره]]-Table11217[[#This Row],[الدفعات]]</f>
        <v>0.87999999988824129</v>
      </c>
      <c r="M99" s="95"/>
    </row>
    <row r="100" spans="7:13" ht="24" customHeight="1" x14ac:dyDescent="0.3">
      <c r="G100" s="1">
        <f>0.14*Table11217[[#This Row],[النولون]]</f>
        <v>0</v>
      </c>
      <c r="I100" s="1">
        <f>Table11217[[#This Row],[النولون]]+Table11217[[#This Row],[الايصالات]]+Table11217[[#This Row],[قيمة مضافة]]</f>
        <v>0</v>
      </c>
      <c r="K100" s="1">
        <f>K99+Table11217[[#This Row],[اجمالي الفاتوره]]-Table11217[[#This Row],[الدفعات]]</f>
        <v>0.87999999988824129</v>
      </c>
      <c r="M100" s="95"/>
    </row>
    <row r="101" spans="7:13" ht="24" customHeight="1" x14ac:dyDescent="0.3">
      <c r="G101" s="1">
        <f>0.14*Table11217[[#This Row],[النولون]]</f>
        <v>0</v>
      </c>
      <c r="I101" s="1">
        <f>Table11217[[#This Row],[النولون]]+Table11217[[#This Row],[الايصالات]]+Table11217[[#This Row],[قيمة مضافة]]</f>
        <v>0</v>
      </c>
      <c r="K101" s="1">
        <f>K100+Table11217[[#This Row],[اجمالي الفاتوره]]-Table11217[[#This Row],[الدفعات]]</f>
        <v>0.87999999988824129</v>
      </c>
      <c r="M101" s="95"/>
    </row>
    <row r="102" spans="7:13" ht="24" customHeight="1" x14ac:dyDescent="0.3">
      <c r="G102" s="1">
        <f>0.14*Table11217[[#This Row],[النولون]]</f>
        <v>0</v>
      </c>
      <c r="I102" s="1">
        <f>Table11217[[#This Row],[النولون]]+Table11217[[#This Row],[الايصالات]]+Table11217[[#This Row],[قيمة مضافة]]</f>
        <v>0</v>
      </c>
      <c r="K102" s="1">
        <f>K101+Table11217[[#This Row],[اجمالي الفاتوره]]-Table11217[[#This Row],[الدفعات]]</f>
        <v>0.87999999988824129</v>
      </c>
      <c r="M102" s="95"/>
    </row>
    <row r="103" spans="7:13" ht="24" customHeight="1" x14ac:dyDescent="0.3">
      <c r="G103" s="1">
        <f>0.14*Table11217[[#This Row],[النولون]]</f>
        <v>0</v>
      </c>
      <c r="I103" s="1">
        <f>Table11217[[#This Row],[النولون]]+Table11217[[#This Row],[الايصالات]]+Table11217[[#This Row],[قيمة مضافة]]</f>
        <v>0</v>
      </c>
      <c r="K103" s="1">
        <f>K102+Table11217[[#This Row],[اجمالي الفاتوره]]-Table11217[[#This Row],[الدفعات]]</f>
        <v>0.87999999988824129</v>
      </c>
      <c r="M103" s="95"/>
    </row>
    <row r="104" spans="7:13" ht="24" customHeight="1" x14ac:dyDescent="0.3">
      <c r="G104" s="1">
        <f>0.14*Table11217[[#This Row],[النولون]]</f>
        <v>0</v>
      </c>
      <c r="I104" s="1">
        <f>Table11217[[#This Row],[النولون]]+Table11217[[#This Row],[الايصالات]]+Table11217[[#This Row],[قيمة مضافة]]</f>
        <v>0</v>
      </c>
      <c r="K104" s="1">
        <f>K103+Table11217[[#This Row],[اجمالي الفاتوره]]-Table11217[[#This Row],[الدفعات]]</f>
        <v>0.87999999988824129</v>
      </c>
      <c r="M104" s="95"/>
    </row>
    <row r="105" spans="7:13" ht="24" customHeight="1" x14ac:dyDescent="0.3">
      <c r="G105" s="1">
        <f>0.14*Table11217[[#This Row],[النولون]]</f>
        <v>0</v>
      </c>
      <c r="I105" s="1">
        <f>Table11217[[#This Row],[النولون]]+Table11217[[#This Row],[الايصالات]]+Table11217[[#This Row],[قيمة مضافة]]</f>
        <v>0</v>
      </c>
      <c r="K105" s="1">
        <f>K104+Table11217[[#This Row],[اجمالي الفاتوره]]-Table11217[[#This Row],[الدفعات]]</f>
        <v>0.87999999988824129</v>
      </c>
      <c r="M105" s="95"/>
    </row>
    <row r="106" spans="7:13" ht="24" customHeight="1" x14ac:dyDescent="0.3">
      <c r="G106" s="1">
        <f>0.14*Table11217[[#This Row],[النولون]]</f>
        <v>0</v>
      </c>
      <c r="I106" s="1">
        <f>Table11217[[#This Row],[النولون]]+Table11217[[#This Row],[الايصالات]]+Table11217[[#This Row],[قيمة مضافة]]</f>
        <v>0</v>
      </c>
      <c r="K106" s="1">
        <f>K105+Table11217[[#This Row],[اجمالي الفاتوره]]-Table11217[[#This Row],[الدفعات]]</f>
        <v>0.87999999988824129</v>
      </c>
      <c r="M106" s="95"/>
    </row>
    <row r="107" spans="7:13" ht="24" customHeight="1" x14ac:dyDescent="0.3">
      <c r="G107" s="1">
        <f>0.14*Table11217[[#This Row],[النولون]]</f>
        <v>0</v>
      </c>
      <c r="I107" s="1">
        <f>Table11217[[#This Row],[النولون]]+Table11217[[#This Row],[الايصالات]]+Table11217[[#This Row],[قيمة مضافة]]</f>
        <v>0</v>
      </c>
      <c r="K107" s="1">
        <f>K106+Table11217[[#This Row],[اجمالي الفاتوره]]-Table11217[[#This Row],[الدفعات]]</f>
        <v>0.87999999988824129</v>
      </c>
      <c r="M107" s="95"/>
    </row>
    <row r="108" spans="7:13" ht="24" customHeight="1" x14ac:dyDescent="0.3">
      <c r="G108" s="1">
        <f>0.14*Table11217[[#This Row],[النولون]]</f>
        <v>0</v>
      </c>
      <c r="I108" s="1">
        <f>Table11217[[#This Row],[النولون]]+Table11217[[#This Row],[الايصالات]]+Table11217[[#This Row],[قيمة مضافة]]</f>
        <v>0</v>
      </c>
      <c r="K108" s="1">
        <f>K107+Table11217[[#This Row],[اجمالي الفاتوره]]-Table11217[[#This Row],[الدفعات]]</f>
        <v>0.87999999988824129</v>
      </c>
      <c r="M108" s="95"/>
    </row>
    <row r="109" spans="7:13" ht="24" customHeight="1" x14ac:dyDescent="0.3">
      <c r="G109" s="1">
        <f>0.14*Table11217[[#This Row],[النولون]]</f>
        <v>0</v>
      </c>
      <c r="I109" s="1">
        <f>Table11217[[#This Row],[النولون]]+Table11217[[#This Row],[الايصالات]]+Table11217[[#This Row],[قيمة مضافة]]</f>
        <v>0</v>
      </c>
      <c r="K109" s="1">
        <f>K108+Table11217[[#This Row],[اجمالي الفاتوره]]-Table11217[[#This Row],[الدفعات]]</f>
        <v>0.87999999988824129</v>
      </c>
      <c r="M109" s="95"/>
    </row>
    <row r="110" spans="7:13" ht="24" customHeight="1" x14ac:dyDescent="0.3">
      <c r="G110" s="1">
        <f>0.14*Table11217[[#This Row],[النولون]]</f>
        <v>0</v>
      </c>
      <c r="I110" s="1">
        <f>Table11217[[#This Row],[النولون]]+Table11217[[#This Row],[الايصالات]]+Table11217[[#This Row],[قيمة مضافة]]</f>
        <v>0</v>
      </c>
      <c r="K110" s="1">
        <f>K109+Table11217[[#This Row],[اجمالي الفاتوره]]-Table11217[[#This Row],[الدفعات]]</f>
        <v>0.87999999988824129</v>
      </c>
      <c r="M110" s="95"/>
    </row>
    <row r="111" spans="7:13" ht="24" customHeight="1" x14ac:dyDescent="0.3">
      <c r="G111" s="1">
        <f>0.14*Table11217[[#This Row],[النولون]]</f>
        <v>0</v>
      </c>
      <c r="I111" s="1">
        <f>Table11217[[#This Row],[النولون]]+Table11217[[#This Row],[الايصالات]]+Table11217[[#This Row],[قيمة مضافة]]</f>
        <v>0</v>
      </c>
      <c r="K111" s="1">
        <f>K110+Table11217[[#This Row],[اجمالي الفاتوره]]-Table11217[[#This Row],[الدفعات]]</f>
        <v>0.87999999988824129</v>
      </c>
      <c r="M111" s="95"/>
    </row>
    <row r="112" spans="7:13" ht="24" customHeight="1" x14ac:dyDescent="0.3">
      <c r="G112" s="1">
        <f>0.14*Table11217[[#This Row],[النولون]]</f>
        <v>0</v>
      </c>
      <c r="I112" s="1">
        <f>Table11217[[#This Row],[النولون]]+Table11217[[#This Row],[الايصالات]]+Table11217[[#This Row],[قيمة مضافة]]</f>
        <v>0</v>
      </c>
      <c r="K112" s="1">
        <f>K111+Table11217[[#This Row],[اجمالي الفاتوره]]-Table11217[[#This Row],[الدفعات]]</f>
        <v>0.87999999988824129</v>
      </c>
      <c r="M112" s="95"/>
    </row>
    <row r="113" spans="7:13" ht="24" customHeight="1" x14ac:dyDescent="0.3">
      <c r="G113" s="1">
        <f>0.14*Table11217[[#This Row],[النولون]]</f>
        <v>0</v>
      </c>
      <c r="I113" s="1">
        <f>Table11217[[#This Row],[النولون]]+Table11217[[#This Row],[الايصالات]]+Table11217[[#This Row],[قيمة مضافة]]</f>
        <v>0</v>
      </c>
      <c r="K113" s="1">
        <f>K112+Table11217[[#This Row],[اجمالي الفاتوره]]-Table11217[[#This Row],[الدفعات]]</f>
        <v>0.87999999988824129</v>
      </c>
      <c r="M113" s="95"/>
    </row>
    <row r="114" spans="7:13" ht="24" customHeight="1" x14ac:dyDescent="0.3">
      <c r="G114" s="1">
        <f>0.14*Table11217[[#This Row],[النولون]]</f>
        <v>0</v>
      </c>
      <c r="I114" s="1">
        <f>Table11217[[#This Row],[النولون]]+Table11217[[#This Row],[الايصالات]]+Table11217[[#This Row],[قيمة مضافة]]</f>
        <v>0</v>
      </c>
      <c r="K114" s="1">
        <f>K113+Table11217[[#This Row],[اجمالي الفاتوره]]-Table11217[[#This Row],[الدفعات]]</f>
        <v>0.87999999988824129</v>
      </c>
      <c r="M114" s="95"/>
    </row>
    <row r="115" spans="7:13" ht="24" customHeight="1" x14ac:dyDescent="0.3">
      <c r="G115" s="1">
        <f>0.14*Table11217[[#This Row],[النولون]]</f>
        <v>0</v>
      </c>
      <c r="I115" s="1">
        <f>Table11217[[#This Row],[النولون]]+Table11217[[#This Row],[الايصالات]]+Table11217[[#This Row],[قيمة مضافة]]</f>
        <v>0</v>
      </c>
      <c r="K115" s="1">
        <f>K114+Table11217[[#This Row],[اجمالي الفاتوره]]-Table11217[[#This Row],[الدفعات]]</f>
        <v>0.87999999988824129</v>
      </c>
      <c r="M115" s="95"/>
    </row>
    <row r="116" spans="7:13" ht="24" customHeight="1" x14ac:dyDescent="0.3">
      <c r="G116" s="1">
        <f>0.14*Table11217[[#This Row],[النولون]]</f>
        <v>0</v>
      </c>
      <c r="I116" s="1">
        <f>Table11217[[#This Row],[النولون]]+Table11217[[#This Row],[الايصالات]]+Table11217[[#This Row],[قيمة مضافة]]</f>
        <v>0</v>
      </c>
      <c r="K116" s="1">
        <f>K115+Table11217[[#This Row],[اجمالي الفاتوره]]-Table11217[[#This Row],[الدفعات]]</f>
        <v>0.87999999988824129</v>
      </c>
      <c r="M116" s="95"/>
    </row>
    <row r="117" spans="7:13" ht="24" customHeight="1" x14ac:dyDescent="0.3">
      <c r="G117" s="1">
        <f>0.14*Table11217[[#This Row],[النولون]]</f>
        <v>0</v>
      </c>
      <c r="I117" s="1">
        <f>Table11217[[#This Row],[النولون]]+Table11217[[#This Row],[الايصالات]]+Table11217[[#This Row],[قيمة مضافة]]</f>
        <v>0</v>
      </c>
      <c r="K117" s="1">
        <f>K116+Table11217[[#This Row],[اجمالي الفاتوره]]-Table11217[[#This Row],[الدفعات]]</f>
        <v>0.87999999988824129</v>
      </c>
      <c r="M117" s="95"/>
    </row>
    <row r="118" spans="7:13" ht="24" customHeight="1" x14ac:dyDescent="0.3">
      <c r="G118" s="1">
        <f>0.14*Table11217[[#This Row],[النولون]]</f>
        <v>0</v>
      </c>
      <c r="I118" s="1">
        <f>Table11217[[#This Row],[النولون]]+Table11217[[#This Row],[الايصالات]]+Table11217[[#This Row],[قيمة مضافة]]</f>
        <v>0</v>
      </c>
      <c r="K118" s="1">
        <f>K117+Table11217[[#This Row],[اجمالي الفاتوره]]-Table11217[[#This Row],[الدفعات]]</f>
        <v>0.87999999988824129</v>
      </c>
      <c r="M118" s="95"/>
    </row>
    <row r="119" spans="7:13" ht="24" customHeight="1" x14ac:dyDescent="0.3">
      <c r="G119" s="1">
        <f>0.14*Table11217[[#This Row],[النولون]]</f>
        <v>0</v>
      </c>
      <c r="I119" s="1">
        <f>Table11217[[#This Row],[النولون]]+Table11217[[#This Row],[الايصالات]]+Table11217[[#This Row],[قيمة مضافة]]</f>
        <v>0</v>
      </c>
      <c r="K119" s="1">
        <f>K118+Table11217[[#This Row],[اجمالي الفاتوره]]-Table11217[[#This Row],[الدفعات]]</f>
        <v>0.87999999988824129</v>
      </c>
      <c r="M119" s="95"/>
    </row>
    <row r="120" spans="7:13" ht="24" customHeight="1" x14ac:dyDescent="0.3">
      <c r="G120" s="1">
        <f>0.14*Table11217[[#This Row],[النولون]]</f>
        <v>0</v>
      </c>
      <c r="I120" s="1">
        <f>Table11217[[#This Row],[النولون]]+Table11217[[#This Row],[الايصالات]]+Table11217[[#This Row],[قيمة مضافة]]</f>
        <v>0</v>
      </c>
      <c r="K120" s="1">
        <f>K119+Table11217[[#This Row],[اجمالي الفاتوره]]-Table11217[[#This Row],[الدفعات]]</f>
        <v>0.87999999988824129</v>
      </c>
      <c r="M120" s="95"/>
    </row>
    <row r="121" spans="7:13" ht="24" customHeight="1" x14ac:dyDescent="0.3">
      <c r="G121" s="1">
        <f>0.14*Table11217[[#This Row],[النولون]]</f>
        <v>0</v>
      </c>
      <c r="I121" s="1">
        <f>Table11217[[#This Row],[النولون]]+Table11217[[#This Row],[الايصالات]]+Table11217[[#This Row],[قيمة مضافة]]</f>
        <v>0</v>
      </c>
      <c r="K121" s="1">
        <f>K120+Table11217[[#This Row],[اجمالي الفاتوره]]-Table11217[[#This Row],[الدفعات]]</f>
        <v>0.87999999988824129</v>
      </c>
      <c r="M121" s="95"/>
    </row>
    <row r="122" spans="7:13" ht="24" customHeight="1" x14ac:dyDescent="0.3">
      <c r="G122" s="1">
        <f>0.14*Table11217[[#This Row],[النولون]]</f>
        <v>0</v>
      </c>
      <c r="I122" s="1">
        <f>Table11217[[#This Row],[النولون]]+Table11217[[#This Row],[الايصالات]]+Table11217[[#This Row],[قيمة مضافة]]</f>
        <v>0</v>
      </c>
      <c r="K122" s="1">
        <f>K121+Table11217[[#This Row],[اجمالي الفاتوره]]-Table11217[[#This Row],[الدفعات]]</f>
        <v>0.87999999988824129</v>
      </c>
      <c r="M122" s="95"/>
    </row>
    <row r="123" spans="7:13" ht="24" customHeight="1" x14ac:dyDescent="0.3">
      <c r="G123" s="1">
        <f>0.14*Table11217[[#This Row],[النولون]]</f>
        <v>0</v>
      </c>
      <c r="I123" s="1">
        <f>Table11217[[#This Row],[النولون]]+Table11217[[#This Row],[الايصالات]]+Table11217[[#This Row],[قيمة مضافة]]</f>
        <v>0</v>
      </c>
      <c r="K123" s="1">
        <f>K122+Table11217[[#This Row],[اجمالي الفاتوره]]-Table11217[[#This Row],[الدفعات]]</f>
        <v>0.87999999988824129</v>
      </c>
      <c r="M123" s="95"/>
    </row>
    <row r="124" spans="7:13" ht="24" customHeight="1" x14ac:dyDescent="0.3">
      <c r="G124" s="1">
        <f>0.14*Table11217[[#This Row],[النولون]]</f>
        <v>0</v>
      </c>
      <c r="I124" s="1">
        <f>Table11217[[#This Row],[النولون]]+Table11217[[#This Row],[الايصالات]]+Table11217[[#This Row],[قيمة مضافة]]</f>
        <v>0</v>
      </c>
      <c r="K124" s="1">
        <f>K123+Table11217[[#This Row],[اجمالي الفاتوره]]-Table11217[[#This Row],[الدفعات]]</f>
        <v>0.87999999988824129</v>
      </c>
      <c r="M124" s="95"/>
    </row>
    <row r="125" spans="7:13" ht="24" customHeight="1" x14ac:dyDescent="0.3">
      <c r="G125" s="1">
        <f>0.14*Table11217[[#This Row],[النولون]]</f>
        <v>0</v>
      </c>
      <c r="I125" s="1">
        <f>Table11217[[#This Row],[النولون]]+Table11217[[#This Row],[الايصالات]]+Table11217[[#This Row],[قيمة مضافة]]</f>
        <v>0</v>
      </c>
      <c r="K125" s="1">
        <f>K124+Table11217[[#This Row],[اجمالي الفاتوره]]-Table11217[[#This Row],[الدفعات]]</f>
        <v>0.87999999988824129</v>
      </c>
      <c r="M125" s="95"/>
    </row>
    <row r="126" spans="7:13" ht="24" customHeight="1" x14ac:dyDescent="0.3">
      <c r="G126" s="1">
        <f>0.14*Table11217[[#This Row],[النولون]]</f>
        <v>0</v>
      </c>
      <c r="I126" s="1">
        <f>Table11217[[#This Row],[النولون]]+Table11217[[#This Row],[الايصالات]]+Table11217[[#This Row],[قيمة مضافة]]</f>
        <v>0</v>
      </c>
      <c r="K126" s="1">
        <f>K125+Table11217[[#This Row],[اجمالي الفاتوره]]-Table11217[[#This Row],[الدفعات]]</f>
        <v>0.87999999988824129</v>
      </c>
      <c r="M126" s="95"/>
    </row>
    <row r="127" spans="7:13" ht="24" customHeight="1" x14ac:dyDescent="0.3">
      <c r="G127" s="1">
        <f>0.14*Table11217[[#This Row],[النولون]]</f>
        <v>0</v>
      </c>
      <c r="I127" s="1">
        <f>Table11217[[#This Row],[النولون]]+Table11217[[#This Row],[الايصالات]]+Table11217[[#This Row],[قيمة مضافة]]</f>
        <v>0</v>
      </c>
      <c r="K127" s="1">
        <f>K126+Table11217[[#This Row],[اجمالي الفاتوره]]-Table11217[[#This Row],[الدفعات]]</f>
        <v>0.87999999988824129</v>
      </c>
      <c r="M127" s="95"/>
    </row>
    <row r="128" spans="7:13" ht="24" customHeight="1" x14ac:dyDescent="0.3">
      <c r="G128" s="1">
        <f>0.14*Table11217[[#This Row],[النولون]]</f>
        <v>0</v>
      </c>
      <c r="I128" s="1">
        <f>Table11217[[#This Row],[النولون]]+Table11217[[#This Row],[الايصالات]]+Table11217[[#This Row],[قيمة مضافة]]</f>
        <v>0</v>
      </c>
      <c r="K128" s="1">
        <f>K127+Table11217[[#This Row],[اجمالي الفاتوره]]-Table11217[[#This Row],[الدفعات]]</f>
        <v>0.87999999988824129</v>
      </c>
      <c r="M128" s="95"/>
    </row>
    <row r="129" spans="7:13" ht="24" customHeight="1" x14ac:dyDescent="0.3">
      <c r="G129" s="1">
        <f>0.14*Table11217[[#This Row],[النولون]]</f>
        <v>0</v>
      </c>
      <c r="I129" s="1">
        <f>Table11217[[#This Row],[النولون]]+Table11217[[#This Row],[الايصالات]]+Table11217[[#This Row],[قيمة مضافة]]</f>
        <v>0</v>
      </c>
      <c r="K129" s="1">
        <f>K128+Table11217[[#This Row],[اجمالي الفاتوره]]-Table11217[[#This Row],[الدفعات]]</f>
        <v>0.87999999988824129</v>
      </c>
      <c r="M129" s="95"/>
    </row>
    <row r="130" spans="7:13" ht="24" customHeight="1" x14ac:dyDescent="0.3">
      <c r="G130" s="1">
        <f>0.14*Table11217[[#This Row],[النولون]]</f>
        <v>0</v>
      </c>
      <c r="I130" s="1">
        <f>Table11217[[#This Row],[النولون]]+Table11217[[#This Row],[الايصالات]]+Table11217[[#This Row],[قيمة مضافة]]</f>
        <v>0</v>
      </c>
      <c r="K130" s="1">
        <f>K129+Table11217[[#This Row],[اجمالي الفاتوره]]-Table11217[[#This Row],[الدفعات]]</f>
        <v>0.87999999988824129</v>
      </c>
      <c r="M130" s="95"/>
    </row>
    <row r="131" spans="7:13" ht="24" customHeight="1" x14ac:dyDescent="0.3">
      <c r="G131" s="1">
        <f>0.14*Table11217[[#This Row],[النولون]]</f>
        <v>0</v>
      </c>
      <c r="I131" s="1">
        <f>Table11217[[#This Row],[النولون]]+Table11217[[#This Row],[الايصالات]]+Table11217[[#This Row],[قيمة مضافة]]</f>
        <v>0</v>
      </c>
      <c r="K131" s="1">
        <f>K130+Table11217[[#This Row],[اجمالي الفاتوره]]-Table11217[[#This Row],[الدفعات]]</f>
        <v>0.87999999988824129</v>
      </c>
      <c r="M131" s="95"/>
    </row>
    <row r="132" spans="7:13" ht="24" customHeight="1" x14ac:dyDescent="0.3">
      <c r="G132" s="1">
        <f>0.14*Table11217[[#This Row],[النولون]]</f>
        <v>0</v>
      </c>
      <c r="I132" s="1">
        <f>Table11217[[#This Row],[النولون]]+Table11217[[#This Row],[الايصالات]]+Table11217[[#This Row],[قيمة مضافة]]</f>
        <v>0</v>
      </c>
      <c r="K132" s="1">
        <f>K131+Table11217[[#This Row],[اجمالي الفاتوره]]-Table11217[[#This Row],[الدفعات]]</f>
        <v>0.87999999988824129</v>
      </c>
      <c r="M132" s="95"/>
    </row>
    <row r="133" spans="7:13" ht="24" customHeight="1" x14ac:dyDescent="0.3">
      <c r="G133" s="1">
        <f>0.14*Table11217[[#This Row],[النولون]]</f>
        <v>0</v>
      </c>
      <c r="I133" s="1">
        <f>Table11217[[#This Row],[النولون]]+Table11217[[#This Row],[الايصالات]]+Table11217[[#This Row],[قيمة مضافة]]</f>
        <v>0</v>
      </c>
      <c r="K133" s="1">
        <f>K132+Table11217[[#This Row],[اجمالي الفاتوره]]-Table11217[[#This Row],[الدفعات]]</f>
        <v>0.87999999988824129</v>
      </c>
      <c r="M133" s="95"/>
    </row>
    <row r="134" spans="7:13" ht="24" customHeight="1" x14ac:dyDescent="0.3">
      <c r="G134" s="1">
        <f>0.14*Table11217[[#This Row],[النولون]]</f>
        <v>0</v>
      </c>
      <c r="I134" s="1">
        <f>Table11217[[#This Row],[النولون]]+Table11217[[#This Row],[الايصالات]]+Table11217[[#This Row],[قيمة مضافة]]</f>
        <v>0</v>
      </c>
      <c r="K134" s="1">
        <f>K133+Table11217[[#This Row],[اجمالي الفاتوره]]-Table11217[[#This Row],[الدفعات]]</f>
        <v>0.87999999988824129</v>
      </c>
      <c r="M134" s="95"/>
    </row>
    <row r="135" spans="7:13" ht="24" customHeight="1" x14ac:dyDescent="0.3">
      <c r="G135" s="1">
        <f>0.14*Table11217[[#This Row],[النولون]]</f>
        <v>0</v>
      </c>
      <c r="I135" s="1">
        <f>Table11217[[#This Row],[النولون]]+Table11217[[#This Row],[الايصالات]]+Table11217[[#This Row],[قيمة مضافة]]</f>
        <v>0</v>
      </c>
      <c r="K135" s="1">
        <f>K134+Table11217[[#This Row],[اجمالي الفاتوره]]-Table11217[[#This Row],[الدفعات]]</f>
        <v>0.87999999988824129</v>
      </c>
      <c r="M135" s="95"/>
    </row>
    <row r="136" spans="7:13" ht="24" customHeight="1" x14ac:dyDescent="0.3">
      <c r="G136" s="1">
        <f>0.14*Table11217[[#This Row],[النولون]]</f>
        <v>0</v>
      </c>
      <c r="I136" s="1">
        <f>Table11217[[#This Row],[النولون]]+Table11217[[#This Row],[الايصالات]]+Table11217[[#This Row],[قيمة مضافة]]</f>
        <v>0</v>
      </c>
      <c r="K136" s="1">
        <f>K135+Table11217[[#This Row],[اجمالي الفاتوره]]-Table11217[[#This Row],[الدفعات]]</f>
        <v>0.87999999988824129</v>
      </c>
      <c r="M136" s="95"/>
    </row>
    <row r="137" spans="7:13" ht="24" customHeight="1" x14ac:dyDescent="0.3">
      <c r="G137" s="1">
        <f>0.14*Table11217[[#This Row],[النولون]]</f>
        <v>0</v>
      </c>
      <c r="I137" s="1">
        <f>Table11217[[#This Row],[النولون]]+Table11217[[#This Row],[الايصالات]]+Table11217[[#This Row],[قيمة مضافة]]</f>
        <v>0</v>
      </c>
      <c r="K137" s="1">
        <f>K136+Table11217[[#This Row],[اجمالي الفاتوره]]-Table11217[[#This Row],[الدفعات]]</f>
        <v>0.87999999988824129</v>
      </c>
      <c r="M137" s="95"/>
    </row>
    <row r="138" spans="7:13" ht="24" customHeight="1" x14ac:dyDescent="0.3">
      <c r="G138" s="1">
        <f>0.14*Table11217[[#This Row],[النولون]]</f>
        <v>0</v>
      </c>
      <c r="I138" s="1">
        <f>Table11217[[#This Row],[النولون]]+Table11217[[#This Row],[الايصالات]]+Table11217[[#This Row],[قيمة مضافة]]</f>
        <v>0</v>
      </c>
      <c r="K138" s="1">
        <f>K137+Table11217[[#This Row],[اجمالي الفاتوره]]-Table11217[[#This Row],[الدفعات]]</f>
        <v>0.87999999988824129</v>
      </c>
      <c r="M138" s="95"/>
    </row>
    <row r="139" spans="7:13" ht="24" customHeight="1" x14ac:dyDescent="0.3">
      <c r="G139" s="1">
        <f>0.14*Table11217[[#This Row],[النولون]]</f>
        <v>0</v>
      </c>
      <c r="I139" s="1">
        <f>Table11217[[#This Row],[النولون]]+Table11217[[#This Row],[الايصالات]]+Table11217[[#This Row],[قيمة مضافة]]</f>
        <v>0</v>
      </c>
      <c r="K139" s="1">
        <f>K138+Table11217[[#This Row],[اجمالي الفاتوره]]-Table11217[[#This Row],[الدفعات]]</f>
        <v>0.87999999988824129</v>
      </c>
      <c r="M139" s="95"/>
    </row>
    <row r="140" spans="7:13" ht="24" customHeight="1" x14ac:dyDescent="0.3">
      <c r="G140" s="1">
        <f>0.14*Table11217[[#This Row],[النولون]]</f>
        <v>0</v>
      </c>
      <c r="I140" s="1">
        <f>Table11217[[#This Row],[النولون]]+Table11217[[#This Row],[الايصالات]]+Table11217[[#This Row],[قيمة مضافة]]</f>
        <v>0</v>
      </c>
      <c r="K140" s="1">
        <f>K139+Table11217[[#This Row],[اجمالي الفاتوره]]-Table11217[[#This Row],[الدفعات]]</f>
        <v>0.87999999988824129</v>
      </c>
      <c r="M140" s="95"/>
    </row>
    <row r="141" spans="7:13" ht="24" customHeight="1" x14ac:dyDescent="0.3">
      <c r="G141" s="1">
        <f>0.14*Table11217[[#This Row],[النولون]]</f>
        <v>0</v>
      </c>
      <c r="I141" s="1">
        <f>Table11217[[#This Row],[النولون]]+Table11217[[#This Row],[الايصالات]]+Table11217[[#This Row],[قيمة مضافة]]</f>
        <v>0</v>
      </c>
      <c r="K141" s="1">
        <f>K140+Table11217[[#This Row],[اجمالي الفاتوره]]-Table11217[[#This Row],[الدفعات]]</f>
        <v>0.87999999988824129</v>
      </c>
      <c r="M141" s="95"/>
    </row>
    <row r="142" spans="7:13" ht="24" customHeight="1" x14ac:dyDescent="0.3">
      <c r="G142" s="1">
        <f>0.14*Table11217[[#This Row],[النولون]]</f>
        <v>0</v>
      </c>
      <c r="I142" s="1">
        <f>Table11217[[#This Row],[النولون]]+Table11217[[#This Row],[الايصالات]]+Table11217[[#This Row],[قيمة مضافة]]</f>
        <v>0</v>
      </c>
      <c r="K142" s="1">
        <f>K141+Table11217[[#This Row],[اجمالي الفاتوره]]-Table11217[[#This Row],[الدفعات]]</f>
        <v>0.87999999988824129</v>
      </c>
      <c r="M142" s="95"/>
    </row>
    <row r="143" spans="7:13" ht="24" customHeight="1" x14ac:dyDescent="0.3">
      <c r="G143" s="1">
        <f>0.14*Table11217[[#This Row],[النولون]]</f>
        <v>0</v>
      </c>
      <c r="I143" s="1">
        <f>Table11217[[#This Row],[النولون]]+Table11217[[#This Row],[الايصالات]]+Table11217[[#This Row],[قيمة مضافة]]</f>
        <v>0</v>
      </c>
      <c r="K143" s="1">
        <f>K142+Table11217[[#This Row],[اجمالي الفاتوره]]-Table11217[[#This Row],[الدفعات]]</f>
        <v>0.87999999988824129</v>
      </c>
      <c r="M143" s="95"/>
    </row>
    <row r="144" spans="7:13" ht="24" customHeight="1" x14ac:dyDescent="0.3">
      <c r="G144" s="1">
        <f>0.14*Table11217[[#This Row],[النولون]]</f>
        <v>0</v>
      </c>
      <c r="I144" s="1">
        <f>Table11217[[#This Row],[النولون]]+Table11217[[#This Row],[الايصالات]]+Table11217[[#This Row],[قيمة مضافة]]</f>
        <v>0</v>
      </c>
      <c r="K144" s="1">
        <f>K143+Table11217[[#This Row],[اجمالي الفاتوره]]-Table11217[[#This Row],[الدفعات]]</f>
        <v>0.87999999988824129</v>
      </c>
      <c r="M144" s="95"/>
    </row>
    <row r="145" spans="7:13" ht="24" customHeight="1" x14ac:dyDescent="0.3">
      <c r="G145" s="1">
        <f>0.14*Table11217[[#This Row],[النولون]]</f>
        <v>0</v>
      </c>
      <c r="I145" s="1">
        <f>Table11217[[#This Row],[النولون]]+Table11217[[#This Row],[الايصالات]]+Table11217[[#This Row],[قيمة مضافة]]</f>
        <v>0</v>
      </c>
      <c r="K145" s="1">
        <f>K144+Table11217[[#This Row],[اجمالي الفاتوره]]-Table11217[[#This Row],[الدفعات]]</f>
        <v>0.87999999988824129</v>
      </c>
      <c r="M145" s="95"/>
    </row>
    <row r="146" spans="7:13" ht="24" customHeight="1" x14ac:dyDescent="0.3">
      <c r="G146" s="1">
        <f>0.14*Table11217[[#This Row],[النولون]]</f>
        <v>0</v>
      </c>
      <c r="I146" s="1">
        <f>Table11217[[#This Row],[النولون]]+Table11217[[#This Row],[الايصالات]]+Table11217[[#This Row],[قيمة مضافة]]</f>
        <v>0</v>
      </c>
      <c r="K146" s="1">
        <f>K145+Table11217[[#This Row],[اجمالي الفاتوره]]-Table11217[[#This Row],[الدفعات]]</f>
        <v>0.87999999988824129</v>
      </c>
      <c r="M146" s="95"/>
    </row>
    <row r="147" spans="7:13" ht="24" customHeight="1" x14ac:dyDescent="0.3">
      <c r="G147" s="1">
        <f>0.14*Table11217[[#This Row],[النولون]]</f>
        <v>0</v>
      </c>
      <c r="I147" s="1">
        <f>Table11217[[#This Row],[النولون]]+Table11217[[#This Row],[الايصالات]]+Table11217[[#This Row],[قيمة مضافة]]</f>
        <v>0</v>
      </c>
      <c r="K147" s="1">
        <f>K146+Table11217[[#This Row],[اجمالي الفاتوره]]-Table11217[[#This Row],[الدفعات]]</f>
        <v>0.87999999988824129</v>
      </c>
      <c r="M147" s="95"/>
    </row>
    <row r="148" spans="7:13" ht="24" customHeight="1" x14ac:dyDescent="0.3">
      <c r="G148" s="1">
        <f>0.14*Table11217[[#This Row],[النولون]]</f>
        <v>0</v>
      </c>
      <c r="I148" s="1">
        <f>Table11217[[#This Row],[النولون]]+Table11217[[#This Row],[الايصالات]]+Table11217[[#This Row],[قيمة مضافة]]</f>
        <v>0</v>
      </c>
      <c r="K148" s="1">
        <f>K147+Table11217[[#This Row],[اجمالي الفاتوره]]-Table11217[[#This Row],[الدفعات]]</f>
        <v>0.87999999988824129</v>
      </c>
      <c r="M148" s="95"/>
    </row>
    <row r="149" spans="7:13" ht="24" customHeight="1" x14ac:dyDescent="0.3">
      <c r="G149" s="1">
        <f>0.14*Table11217[[#This Row],[النولون]]</f>
        <v>0</v>
      </c>
      <c r="I149" s="1">
        <f>Table11217[[#This Row],[النولون]]+Table11217[[#This Row],[الايصالات]]+Table11217[[#This Row],[قيمة مضافة]]</f>
        <v>0</v>
      </c>
      <c r="K149" s="1">
        <f>K148+Table11217[[#This Row],[اجمالي الفاتوره]]-Table11217[[#This Row],[الدفعات]]</f>
        <v>0.87999999988824129</v>
      </c>
      <c r="M149" s="95"/>
    </row>
    <row r="150" spans="7:13" ht="24" customHeight="1" x14ac:dyDescent="0.3">
      <c r="G150" s="1">
        <f>0.14*Table11217[[#This Row],[النولون]]</f>
        <v>0</v>
      </c>
      <c r="I150" s="1">
        <f>Table11217[[#This Row],[النولون]]+Table11217[[#This Row],[الايصالات]]+Table11217[[#This Row],[قيمة مضافة]]</f>
        <v>0</v>
      </c>
      <c r="K150" s="1">
        <f>K149+Table11217[[#This Row],[اجمالي الفاتوره]]-Table11217[[#This Row],[الدفعات]]</f>
        <v>0.87999999988824129</v>
      </c>
      <c r="M150" s="95"/>
    </row>
    <row r="151" spans="7:13" ht="24" customHeight="1" x14ac:dyDescent="0.3">
      <c r="G151" s="1">
        <f>0.14*Table11217[[#This Row],[النولون]]</f>
        <v>0</v>
      </c>
      <c r="I151" s="1">
        <f>Table11217[[#This Row],[النولون]]+Table11217[[#This Row],[الايصالات]]+Table11217[[#This Row],[قيمة مضافة]]</f>
        <v>0</v>
      </c>
      <c r="K151" s="1">
        <f>K150+Table11217[[#This Row],[اجمالي الفاتوره]]-Table11217[[#This Row],[الدفعات]]</f>
        <v>0.87999999988824129</v>
      </c>
      <c r="M151" s="95"/>
    </row>
    <row r="152" spans="7:13" ht="24" customHeight="1" x14ac:dyDescent="0.3">
      <c r="G152" s="1">
        <f>0.14*Table11217[[#This Row],[النولون]]</f>
        <v>0</v>
      </c>
      <c r="I152" s="1">
        <f>Table11217[[#This Row],[النولون]]+Table11217[[#This Row],[الايصالات]]+Table11217[[#This Row],[قيمة مضافة]]</f>
        <v>0</v>
      </c>
      <c r="K152" s="1">
        <f>K151+Table11217[[#This Row],[اجمالي الفاتوره]]-Table11217[[#This Row],[الدفعات]]</f>
        <v>0.87999999988824129</v>
      </c>
      <c r="M152" s="95"/>
    </row>
    <row r="153" spans="7:13" ht="24" customHeight="1" x14ac:dyDescent="0.3">
      <c r="G153" s="1">
        <f>0.14*Table11217[[#This Row],[النولون]]</f>
        <v>0</v>
      </c>
      <c r="I153" s="1">
        <f>Table11217[[#This Row],[النولون]]+Table11217[[#This Row],[الايصالات]]+Table11217[[#This Row],[قيمة مضافة]]</f>
        <v>0</v>
      </c>
      <c r="K153" s="1">
        <f>K152+Table11217[[#This Row],[اجمالي الفاتوره]]-Table11217[[#This Row],[الدفعات]]</f>
        <v>0.87999999988824129</v>
      </c>
      <c r="M153" s="95"/>
    </row>
    <row r="154" spans="7:13" ht="24" customHeight="1" x14ac:dyDescent="0.3">
      <c r="G154" s="1">
        <f>0.14*Table11217[[#This Row],[النولون]]</f>
        <v>0</v>
      </c>
      <c r="I154" s="1">
        <f>Table11217[[#This Row],[النولون]]+Table11217[[#This Row],[الايصالات]]+Table11217[[#This Row],[قيمة مضافة]]</f>
        <v>0</v>
      </c>
      <c r="K154" s="1">
        <f>K153+Table11217[[#This Row],[اجمالي الفاتوره]]-Table11217[[#This Row],[الدفعات]]</f>
        <v>0.87999999988824129</v>
      </c>
      <c r="M154" s="95"/>
    </row>
    <row r="155" spans="7:13" ht="24" customHeight="1" x14ac:dyDescent="0.3">
      <c r="G155" s="1">
        <f>0.14*Table11217[[#This Row],[النولون]]</f>
        <v>0</v>
      </c>
      <c r="I155" s="1">
        <f>Table11217[[#This Row],[النولون]]+Table11217[[#This Row],[الايصالات]]+Table11217[[#This Row],[قيمة مضافة]]</f>
        <v>0</v>
      </c>
      <c r="K155" s="1">
        <f>K154+Table11217[[#This Row],[اجمالي الفاتوره]]-Table11217[[#This Row],[الدفعات]]</f>
        <v>0.87999999988824129</v>
      </c>
      <c r="M155" s="95"/>
    </row>
    <row r="156" spans="7:13" ht="24" customHeight="1" x14ac:dyDescent="0.3">
      <c r="G156" s="1">
        <f>0.14*Table11217[[#This Row],[النولون]]</f>
        <v>0</v>
      </c>
      <c r="I156" s="1">
        <f>Table11217[[#This Row],[النولون]]+Table11217[[#This Row],[الايصالات]]+Table11217[[#This Row],[قيمة مضافة]]</f>
        <v>0</v>
      </c>
      <c r="K156" s="1">
        <f>K155+Table11217[[#This Row],[اجمالي الفاتوره]]-Table11217[[#This Row],[الدفعات]]</f>
        <v>0.87999999988824129</v>
      </c>
      <c r="M156" s="95"/>
    </row>
    <row r="157" spans="7:13" ht="24" customHeight="1" x14ac:dyDescent="0.3">
      <c r="G157" s="1">
        <f>0.14*Table11217[[#This Row],[النولون]]</f>
        <v>0</v>
      </c>
      <c r="I157" s="1">
        <f>Table11217[[#This Row],[النولون]]+Table11217[[#This Row],[الايصالات]]+Table11217[[#This Row],[قيمة مضافة]]</f>
        <v>0</v>
      </c>
      <c r="K157" s="1">
        <f>K156+Table11217[[#This Row],[اجمالي الفاتوره]]-Table11217[[#This Row],[الدفعات]]</f>
        <v>0.87999999988824129</v>
      </c>
      <c r="M157" s="95"/>
    </row>
    <row r="158" spans="7:13" ht="24" customHeight="1" x14ac:dyDescent="0.3">
      <c r="G158" s="1">
        <f>0.14*Table11217[[#This Row],[النولون]]</f>
        <v>0</v>
      </c>
      <c r="I158" s="1">
        <f>Table11217[[#This Row],[النولون]]+Table11217[[#This Row],[الايصالات]]+Table11217[[#This Row],[قيمة مضافة]]</f>
        <v>0</v>
      </c>
      <c r="K158" s="1">
        <f>K157+Table11217[[#This Row],[اجمالي الفاتوره]]-Table11217[[#This Row],[الدفعات]]</f>
        <v>0.87999999988824129</v>
      </c>
      <c r="M158" s="95"/>
    </row>
    <row r="159" spans="7:13" ht="24" customHeight="1" x14ac:dyDescent="0.3">
      <c r="G159" s="1">
        <f>0.14*Table11217[[#This Row],[النولون]]</f>
        <v>0</v>
      </c>
      <c r="I159" s="1">
        <f>Table11217[[#This Row],[النولون]]+Table11217[[#This Row],[الايصالات]]+Table11217[[#This Row],[قيمة مضافة]]</f>
        <v>0</v>
      </c>
      <c r="K159" s="1">
        <f>K158+Table11217[[#This Row],[اجمالي الفاتوره]]-Table11217[[#This Row],[الدفعات]]</f>
        <v>0.87999999988824129</v>
      </c>
      <c r="M159" s="95"/>
    </row>
    <row r="160" spans="7:13" ht="24" customHeight="1" x14ac:dyDescent="0.3">
      <c r="G160" s="1">
        <f>0.14*Table11217[[#This Row],[النولون]]</f>
        <v>0</v>
      </c>
      <c r="I160" s="1">
        <f>Table11217[[#This Row],[النولون]]+Table11217[[#This Row],[الايصالات]]+Table11217[[#This Row],[قيمة مضافة]]</f>
        <v>0</v>
      </c>
      <c r="K160" s="1">
        <f>K159+Table11217[[#This Row],[اجمالي الفاتوره]]-Table11217[[#This Row],[الدفعات]]</f>
        <v>0.87999999988824129</v>
      </c>
      <c r="M160" s="95"/>
    </row>
    <row r="161" spans="7:13" ht="24" customHeight="1" x14ac:dyDescent="0.3">
      <c r="G161" s="1">
        <f>0.14*Table11217[[#This Row],[النولون]]</f>
        <v>0</v>
      </c>
      <c r="I161" s="1">
        <f>Table11217[[#This Row],[النولون]]+Table11217[[#This Row],[الايصالات]]+Table11217[[#This Row],[قيمة مضافة]]</f>
        <v>0</v>
      </c>
      <c r="K161" s="1">
        <f>K160+Table11217[[#This Row],[اجمالي الفاتوره]]-Table11217[[#This Row],[الدفعات]]</f>
        <v>0.87999999988824129</v>
      </c>
      <c r="M161" s="95"/>
    </row>
    <row r="162" spans="7:13" ht="24" customHeight="1" x14ac:dyDescent="0.3">
      <c r="G162" s="1">
        <f>0.14*Table11217[[#This Row],[النولون]]</f>
        <v>0</v>
      </c>
      <c r="I162" s="1">
        <f>Table11217[[#This Row],[النولون]]+Table11217[[#This Row],[الايصالات]]+Table11217[[#This Row],[قيمة مضافة]]</f>
        <v>0</v>
      </c>
      <c r="K162" s="1">
        <f>K161+Table11217[[#This Row],[اجمالي الفاتوره]]-Table11217[[#This Row],[الدفعات]]</f>
        <v>0.87999999988824129</v>
      </c>
      <c r="M162" s="95"/>
    </row>
    <row r="163" spans="7:13" ht="24" customHeight="1" x14ac:dyDescent="0.3">
      <c r="G163" s="1">
        <f>0.14*Table11217[[#This Row],[النولون]]</f>
        <v>0</v>
      </c>
      <c r="I163" s="1">
        <f>Table11217[[#This Row],[النولون]]+Table11217[[#This Row],[الايصالات]]+Table11217[[#This Row],[قيمة مضافة]]</f>
        <v>0</v>
      </c>
      <c r="K163" s="1">
        <f>K162+Table11217[[#This Row],[اجمالي الفاتوره]]-Table11217[[#This Row],[الدفعات]]</f>
        <v>0.87999999988824129</v>
      </c>
      <c r="M163" s="95"/>
    </row>
    <row r="164" spans="7:13" ht="24" customHeight="1" x14ac:dyDescent="0.3">
      <c r="G164" s="1">
        <f>0.14*Table11217[[#This Row],[النولون]]</f>
        <v>0</v>
      </c>
      <c r="I164" s="1">
        <f>Table11217[[#This Row],[النولون]]+Table11217[[#This Row],[الايصالات]]+Table11217[[#This Row],[قيمة مضافة]]</f>
        <v>0</v>
      </c>
      <c r="K164" s="1">
        <f>K163+Table11217[[#This Row],[اجمالي الفاتوره]]-Table11217[[#This Row],[الدفعات]]</f>
        <v>0.87999999988824129</v>
      </c>
      <c r="M164" s="95"/>
    </row>
    <row r="165" spans="7:13" ht="24" customHeight="1" x14ac:dyDescent="0.3">
      <c r="G165" s="1">
        <f>0.14*Table11217[[#This Row],[النولون]]</f>
        <v>0</v>
      </c>
      <c r="I165" s="1">
        <f>Table11217[[#This Row],[النولون]]+Table11217[[#This Row],[الايصالات]]+Table11217[[#This Row],[قيمة مضافة]]</f>
        <v>0</v>
      </c>
      <c r="K165" s="1">
        <f>K164+Table11217[[#This Row],[اجمالي الفاتوره]]-Table11217[[#This Row],[الدفعات]]</f>
        <v>0.87999999988824129</v>
      </c>
      <c r="M165" s="95"/>
    </row>
    <row r="166" spans="7:13" ht="24" customHeight="1" x14ac:dyDescent="0.3">
      <c r="G166" s="1">
        <f>0.14*Table11217[[#This Row],[النولون]]</f>
        <v>0</v>
      </c>
      <c r="I166" s="1">
        <f>Table11217[[#This Row],[النولون]]+Table11217[[#This Row],[الايصالات]]+Table11217[[#This Row],[قيمة مضافة]]</f>
        <v>0</v>
      </c>
      <c r="K166" s="1">
        <f>K165+Table11217[[#This Row],[اجمالي الفاتوره]]-Table11217[[#This Row],[الدفعات]]</f>
        <v>0.87999999988824129</v>
      </c>
      <c r="M166" s="95"/>
    </row>
    <row r="167" spans="7:13" ht="24" customHeight="1" x14ac:dyDescent="0.3">
      <c r="G167" s="1">
        <f>0.14*Table11217[[#This Row],[النولون]]</f>
        <v>0</v>
      </c>
      <c r="I167" s="1">
        <f>Table11217[[#This Row],[النولون]]+Table11217[[#This Row],[الايصالات]]+Table11217[[#This Row],[قيمة مضافة]]</f>
        <v>0</v>
      </c>
      <c r="K167" s="1">
        <f>K166+Table11217[[#This Row],[اجمالي الفاتوره]]-Table11217[[#This Row],[الدفعات]]</f>
        <v>0.87999999988824129</v>
      </c>
      <c r="M167" s="95"/>
    </row>
    <row r="168" spans="7:13" ht="24" customHeight="1" x14ac:dyDescent="0.3">
      <c r="G168" s="1">
        <f>0.14*Table11217[[#This Row],[النولون]]</f>
        <v>0</v>
      </c>
      <c r="I168" s="1">
        <f>Table11217[[#This Row],[النولون]]+Table11217[[#This Row],[الايصالات]]+Table11217[[#This Row],[قيمة مضافة]]</f>
        <v>0</v>
      </c>
      <c r="K168" s="1">
        <f>K167+Table11217[[#This Row],[اجمالي الفاتوره]]-Table11217[[#This Row],[الدفعات]]</f>
        <v>0.87999999988824129</v>
      </c>
      <c r="M168" s="95"/>
    </row>
    <row r="169" spans="7:13" ht="24" customHeight="1" x14ac:dyDescent="0.3">
      <c r="G169" s="1">
        <f>0.14*Table11217[[#This Row],[النولون]]</f>
        <v>0</v>
      </c>
      <c r="I169" s="1">
        <f>Table11217[[#This Row],[النولون]]+Table11217[[#This Row],[الايصالات]]+Table11217[[#This Row],[قيمة مضافة]]</f>
        <v>0</v>
      </c>
      <c r="K169" s="1">
        <f>K168+Table11217[[#This Row],[اجمالي الفاتوره]]-Table11217[[#This Row],[الدفعات]]</f>
        <v>0.87999999988824129</v>
      </c>
      <c r="M169" s="95"/>
    </row>
    <row r="170" spans="7:13" ht="24" customHeight="1" x14ac:dyDescent="0.3">
      <c r="G170" s="1">
        <f>0.14*Table11217[[#This Row],[النولون]]</f>
        <v>0</v>
      </c>
      <c r="I170" s="1">
        <f>Table11217[[#This Row],[النولون]]+Table11217[[#This Row],[الايصالات]]+Table11217[[#This Row],[قيمة مضافة]]</f>
        <v>0</v>
      </c>
      <c r="K170" s="1">
        <f>K169+Table11217[[#This Row],[اجمالي الفاتوره]]-Table11217[[#This Row],[الدفعات]]</f>
        <v>0.87999999988824129</v>
      </c>
      <c r="M170" s="95"/>
    </row>
    <row r="171" spans="7:13" ht="24" customHeight="1" x14ac:dyDescent="0.3">
      <c r="G171" s="1">
        <f>0.14*Table11217[[#This Row],[النولون]]</f>
        <v>0</v>
      </c>
      <c r="I171" s="1">
        <f>Table11217[[#This Row],[النولون]]+Table11217[[#This Row],[الايصالات]]+Table11217[[#This Row],[قيمة مضافة]]</f>
        <v>0</v>
      </c>
      <c r="K171" s="1">
        <f>K170+Table11217[[#This Row],[اجمالي الفاتوره]]-Table11217[[#This Row],[الدفعات]]</f>
        <v>0.87999999988824129</v>
      </c>
      <c r="M171" s="95"/>
    </row>
    <row r="172" spans="7:13" ht="24" customHeight="1" x14ac:dyDescent="0.3">
      <c r="G172" s="1">
        <f>0.14*Table11217[[#This Row],[النولون]]</f>
        <v>0</v>
      </c>
      <c r="I172" s="1">
        <f>Table11217[[#This Row],[النولون]]+Table11217[[#This Row],[الايصالات]]+Table11217[[#This Row],[قيمة مضافة]]</f>
        <v>0</v>
      </c>
      <c r="K172" s="1">
        <f>K171+Table11217[[#This Row],[اجمالي الفاتوره]]-Table11217[[#This Row],[الدفعات]]</f>
        <v>0.87999999988824129</v>
      </c>
      <c r="M172" s="95"/>
    </row>
    <row r="173" spans="7:13" ht="24" customHeight="1" x14ac:dyDescent="0.3">
      <c r="G173" s="1">
        <f>0.14*Table11217[[#This Row],[النولون]]</f>
        <v>0</v>
      </c>
      <c r="I173" s="1">
        <f>Table11217[[#This Row],[النولون]]+Table11217[[#This Row],[الايصالات]]+Table11217[[#This Row],[قيمة مضافة]]</f>
        <v>0</v>
      </c>
      <c r="K173" s="1">
        <f>K172+Table11217[[#This Row],[اجمالي الفاتوره]]-Table11217[[#This Row],[الدفعات]]</f>
        <v>0.87999999988824129</v>
      </c>
      <c r="M173" s="95"/>
    </row>
    <row r="174" spans="7:13" ht="24" customHeight="1" x14ac:dyDescent="0.3">
      <c r="G174" s="1">
        <f>0.14*Table11217[[#This Row],[النولون]]</f>
        <v>0</v>
      </c>
      <c r="I174" s="1">
        <f>Table11217[[#This Row],[النولون]]+Table11217[[#This Row],[الايصالات]]+Table11217[[#This Row],[قيمة مضافة]]</f>
        <v>0</v>
      </c>
      <c r="K174" s="1">
        <f>K173+Table11217[[#This Row],[اجمالي الفاتوره]]-Table11217[[#This Row],[الدفعات]]</f>
        <v>0.87999999988824129</v>
      </c>
      <c r="M174" s="95"/>
    </row>
    <row r="175" spans="7:13" ht="24" customHeight="1" x14ac:dyDescent="0.3">
      <c r="G175" s="1">
        <f>0.14*Table11217[[#This Row],[النولون]]</f>
        <v>0</v>
      </c>
      <c r="I175" s="1">
        <f>Table11217[[#This Row],[النولون]]+Table11217[[#This Row],[الايصالات]]+Table11217[[#This Row],[قيمة مضافة]]</f>
        <v>0</v>
      </c>
      <c r="K175" s="1">
        <f>K174+Table11217[[#This Row],[اجمالي الفاتوره]]-Table11217[[#This Row],[الدفعات]]</f>
        <v>0.87999999988824129</v>
      </c>
      <c r="M175" s="95"/>
    </row>
    <row r="176" spans="7:13" ht="24" customHeight="1" x14ac:dyDescent="0.3">
      <c r="G176" s="1">
        <f>0.14*Table11217[[#This Row],[النولون]]</f>
        <v>0</v>
      </c>
      <c r="I176" s="1">
        <f>Table11217[[#This Row],[النولون]]+Table11217[[#This Row],[الايصالات]]+Table11217[[#This Row],[قيمة مضافة]]</f>
        <v>0</v>
      </c>
      <c r="K176" s="1">
        <f>K175+Table11217[[#This Row],[اجمالي الفاتوره]]-Table11217[[#This Row],[الدفعات]]</f>
        <v>0.87999999988824129</v>
      </c>
      <c r="M176" s="95"/>
    </row>
    <row r="177" spans="7:13" ht="24" customHeight="1" x14ac:dyDescent="0.3">
      <c r="G177" s="1">
        <f>0.14*Table11217[[#This Row],[النولون]]</f>
        <v>0</v>
      </c>
      <c r="I177" s="1">
        <f>Table11217[[#This Row],[النولون]]+Table11217[[#This Row],[الايصالات]]+Table11217[[#This Row],[قيمة مضافة]]</f>
        <v>0</v>
      </c>
      <c r="K177" s="1">
        <f>K176+Table11217[[#This Row],[اجمالي الفاتوره]]-Table11217[[#This Row],[الدفعات]]</f>
        <v>0.87999999988824129</v>
      </c>
      <c r="M177" s="95"/>
    </row>
    <row r="178" spans="7:13" ht="24" customHeight="1" x14ac:dyDescent="0.3">
      <c r="G178" s="1">
        <f>0.14*Table11217[[#This Row],[النولون]]</f>
        <v>0</v>
      </c>
      <c r="I178" s="1">
        <f>Table11217[[#This Row],[النولون]]+Table11217[[#This Row],[الايصالات]]+Table11217[[#This Row],[قيمة مضافة]]</f>
        <v>0</v>
      </c>
      <c r="K178" s="1">
        <f>K177+Table11217[[#This Row],[اجمالي الفاتوره]]-Table11217[[#This Row],[الدفعات]]</f>
        <v>0.87999999988824129</v>
      </c>
      <c r="M178" s="95"/>
    </row>
    <row r="179" spans="7:13" ht="24" customHeight="1" x14ac:dyDescent="0.3">
      <c r="G179" s="1">
        <f>0.14*Table11217[[#This Row],[النولون]]</f>
        <v>0</v>
      </c>
      <c r="I179" s="1">
        <f>Table11217[[#This Row],[النولون]]+Table11217[[#This Row],[الايصالات]]+Table11217[[#This Row],[قيمة مضافة]]</f>
        <v>0</v>
      </c>
      <c r="K179" s="1">
        <f>K178+Table11217[[#This Row],[اجمالي الفاتوره]]-Table11217[[#This Row],[الدفعات]]</f>
        <v>0.87999999988824129</v>
      </c>
      <c r="M179" s="95"/>
    </row>
    <row r="180" spans="7:13" ht="24" customHeight="1" x14ac:dyDescent="0.3">
      <c r="G180" s="1">
        <f>0.14*Table11217[[#This Row],[النولون]]</f>
        <v>0</v>
      </c>
      <c r="I180" s="1">
        <f>Table11217[[#This Row],[النولون]]+Table11217[[#This Row],[الايصالات]]+Table11217[[#This Row],[قيمة مضافة]]</f>
        <v>0</v>
      </c>
      <c r="K180" s="1">
        <f>K179+Table11217[[#This Row],[اجمالي الفاتوره]]-Table11217[[#This Row],[الدفعات]]</f>
        <v>0.87999999988824129</v>
      </c>
      <c r="M180" s="95"/>
    </row>
    <row r="181" spans="7:13" ht="24" customHeight="1" x14ac:dyDescent="0.3">
      <c r="G181" s="1">
        <f>0.14*Table11217[[#This Row],[النولون]]</f>
        <v>0</v>
      </c>
      <c r="I181" s="1">
        <f>Table11217[[#This Row],[النولون]]+Table11217[[#This Row],[الايصالات]]+Table11217[[#This Row],[قيمة مضافة]]</f>
        <v>0</v>
      </c>
      <c r="K181" s="1">
        <f>K180+Table11217[[#This Row],[اجمالي الفاتوره]]-Table11217[[#This Row],[الدفعات]]</f>
        <v>0.87999999988824129</v>
      </c>
      <c r="M181" s="95"/>
    </row>
    <row r="182" spans="7:13" ht="24" customHeight="1" x14ac:dyDescent="0.3">
      <c r="G182" s="1">
        <f>0.14*Table11217[[#This Row],[النولون]]</f>
        <v>0</v>
      </c>
      <c r="I182" s="1">
        <f>Table11217[[#This Row],[النولون]]+Table11217[[#This Row],[الايصالات]]+Table11217[[#This Row],[قيمة مضافة]]</f>
        <v>0</v>
      </c>
      <c r="K182" s="1">
        <f>K181+Table11217[[#This Row],[اجمالي الفاتوره]]-Table11217[[#This Row],[الدفعات]]</f>
        <v>0.87999999988824129</v>
      </c>
      <c r="M182" s="95"/>
    </row>
    <row r="183" spans="7:13" ht="24" customHeight="1" x14ac:dyDescent="0.3">
      <c r="G183" s="1">
        <f>0.14*Table11217[[#This Row],[النولون]]</f>
        <v>0</v>
      </c>
      <c r="I183" s="1">
        <f>Table11217[[#This Row],[النولون]]+Table11217[[#This Row],[الايصالات]]+Table11217[[#This Row],[قيمة مضافة]]</f>
        <v>0</v>
      </c>
      <c r="K183" s="1">
        <f>K182+Table11217[[#This Row],[اجمالي الفاتوره]]-Table11217[[#This Row],[الدفعات]]</f>
        <v>0.87999999988824129</v>
      </c>
      <c r="M183" s="95"/>
    </row>
    <row r="184" spans="7:13" ht="24" customHeight="1" x14ac:dyDescent="0.3">
      <c r="G184" s="1">
        <f>0.14*Table11217[[#This Row],[النولون]]</f>
        <v>0</v>
      </c>
      <c r="I184" s="1">
        <f>Table11217[[#This Row],[النولون]]+Table11217[[#This Row],[الايصالات]]+Table11217[[#This Row],[قيمة مضافة]]</f>
        <v>0</v>
      </c>
      <c r="K184" s="1">
        <f>K183+Table11217[[#This Row],[اجمالي الفاتوره]]-Table11217[[#This Row],[الدفعات]]</f>
        <v>0.87999999988824129</v>
      </c>
      <c r="M184" s="95"/>
    </row>
    <row r="185" spans="7:13" ht="24" customHeight="1" x14ac:dyDescent="0.3">
      <c r="G185" s="1">
        <f>0.14*Table11217[[#This Row],[النولون]]</f>
        <v>0</v>
      </c>
      <c r="I185" s="1">
        <f>Table11217[[#This Row],[النولون]]+Table11217[[#This Row],[الايصالات]]+Table11217[[#This Row],[قيمة مضافة]]</f>
        <v>0</v>
      </c>
      <c r="K185" s="1">
        <f>K184+Table11217[[#This Row],[اجمالي الفاتوره]]-Table11217[[#This Row],[الدفعات]]</f>
        <v>0.87999999988824129</v>
      </c>
      <c r="M185" s="95"/>
    </row>
    <row r="186" spans="7:13" ht="24" customHeight="1" x14ac:dyDescent="0.3">
      <c r="G186" s="1">
        <f>0.14*Table11217[[#This Row],[النولون]]</f>
        <v>0</v>
      </c>
      <c r="I186" s="1">
        <f>Table11217[[#This Row],[النولون]]+Table11217[[#This Row],[الايصالات]]+Table11217[[#This Row],[قيمة مضافة]]</f>
        <v>0</v>
      </c>
      <c r="K186" s="1">
        <f>K185+Table11217[[#This Row],[اجمالي الفاتوره]]-Table11217[[#This Row],[الدفعات]]</f>
        <v>0.87999999988824129</v>
      </c>
      <c r="M186" s="95"/>
    </row>
    <row r="187" spans="7:13" ht="24" customHeight="1" x14ac:dyDescent="0.3">
      <c r="G187" s="1">
        <f>0.14*Table11217[[#This Row],[النولون]]</f>
        <v>0</v>
      </c>
      <c r="I187" s="1">
        <f>Table11217[[#This Row],[النولون]]+Table11217[[#This Row],[الايصالات]]+Table11217[[#This Row],[قيمة مضافة]]</f>
        <v>0</v>
      </c>
      <c r="K187" s="1">
        <f>K186+Table11217[[#This Row],[اجمالي الفاتوره]]-Table11217[[#This Row],[الدفعات]]</f>
        <v>0.87999999988824129</v>
      </c>
      <c r="M187" s="95"/>
    </row>
    <row r="188" spans="7:13" ht="24" customHeight="1" x14ac:dyDescent="0.3">
      <c r="G188" s="1">
        <f>0.14*Table11217[[#This Row],[النولون]]</f>
        <v>0</v>
      </c>
      <c r="I188" s="1">
        <f>Table11217[[#This Row],[النولون]]+Table11217[[#This Row],[الايصالات]]+Table11217[[#This Row],[قيمة مضافة]]</f>
        <v>0</v>
      </c>
      <c r="K188" s="1">
        <f>K187+Table11217[[#This Row],[اجمالي الفاتوره]]-Table11217[[#This Row],[الدفعات]]</f>
        <v>0.87999999988824129</v>
      </c>
      <c r="M188" s="95"/>
    </row>
    <row r="189" spans="7:13" ht="24" customHeight="1" x14ac:dyDescent="0.3">
      <c r="G189" s="1">
        <f>0.14*Table11217[[#This Row],[النولون]]</f>
        <v>0</v>
      </c>
      <c r="I189" s="1">
        <f>Table11217[[#This Row],[النولون]]+Table11217[[#This Row],[الايصالات]]+Table11217[[#This Row],[قيمة مضافة]]</f>
        <v>0</v>
      </c>
      <c r="K189" s="1">
        <f>K188+Table11217[[#This Row],[اجمالي الفاتوره]]-Table11217[[#This Row],[الدفعات]]</f>
        <v>0.87999999988824129</v>
      </c>
      <c r="M189" s="95"/>
    </row>
    <row r="190" spans="7:13" ht="24" customHeight="1" x14ac:dyDescent="0.3">
      <c r="G190" s="1">
        <f>0.14*Table11217[[#This Row],[النولون]]</f>
        <v>0</v>
      </c>
      <c r="I190" s="1">
        <f>Table11217[[#This Row],[النولون]]+Table11217[[#This Row],[الايصالات]]+Table11217[[#This Row],[قيمة مضافة]]</f>
        <v>0</v>
      </c>
      <c r="K190" s="1">
        <f>K189+Table11217[[#This Row],[اجمالي الفاتوره]]-Table11217[[#This Row],[الدفعات]]</f>
        <v>0.87999999988824129</v>
      </c>
      <c r="M190" s="95"/>
    </row>
    <row r="191" spans="7:13" ht="24" customHeight="1" x14ac:dyDescent="0.3">
      <c r="G191" s="1">
        <f>0.14*Table11217[[#This Row],[النولون]]</f>
        <v>0</v>
      </c>
      <c r="I191" s="1">
        <f>Table11217[[#This Row],[النولون]]+Table11217[[#This Row],[الايصالات]]+Table11217[[#This Row],[قيمة مضافة]]</f>
        <v>0</v>
      </c>
      <c r="K191" s="1">
        <f>K190+Table11217[[#This Row],[اجمالي الفاتوره]]-Table11217[[#This Row],[الدفعات]]</f>
        <v>0.87999999988824129</v>
      </c>
      <c r="M191" s="95"/>
    </row>
    <row r="192" spans="7:13" ht="24" customHeight="1" x14ac:dyDescent="0.3">
      <c r="G192" s="1">
        <f>0.14*Table11217[[#This Row],[النولون]]</f>
        <v>0</v>
      </c>
      <c r="I192" s="1">
        <f>Table11217[[#This Row],[النولون]]+Table11217[[#This Row],[الايصالات]]+Table11217[[#This Row],[قيمة مضافة]]</f>
        <v>0</v>
      </c>
      <c r="K192" s="1">
        <f>K191+Table11217[[#This Row],[اجمالي الفاتوره]]-Table11217[[#This Row],[الدفعات]]</f>
        <v>0.87999999988824129</v>
      </c>
      <c r="M192" s="95"/>
    </row>
    <row r="193" spans="7:13" ht="24" customHeight="1" x14ac:dyDescent="0.3">
      <c r="G193" s="1">
        <f>0.14*Table11217[[#This Row],[النولون]]</f>
        <v>0</v>
      </c>
      <c r="I193" s="1">
        <f>Table11217[[#This Row],[النولون]]+Table11217[[#This Row],[الايصالات]]+Table11217[[#This Row],[قيمة مضافة]]</f>
        <v>0</v>
      </c>
      <c r="K193" s="1">
        <f>K192+Table11217[[#This Row],[اجمالي الفاتوره]]-Table11217[[#This Row],[الدفعات]]</f>
        <v>0.87999999988824129</v>
      </c>
      <c r="M193" s="95"/>
    </row>
    <row r="194" spans="7:13" ht="24" customHeight="1" x14ac:dyDescent="0.3">
      <c r="G194" s="1">
        <f>0.14*Table11217[[#This Row],[النولون]]</f>
        <v>0</v>
      </c>
      <c r="I194" s="1">
        <f>Table11217[[#This Row],[النولون]]+Table11217[[#This Row],[الايصالات]]+Table11217[[#This Row],[قيمة مضافة]]</f>
        <v>0</v>
      </c>
      <c r="K194" s="1">
        <f>K193+Table11217[[#This Row],[اجمالي الفاتوره]]-Table11217[[#This Row],[الدفعات]]</f>
        <v>0.87999999988824129</v>
      </c>
      <c r="M194" s="95"/>
    </row>
    <row r="195" spans="7:13" ht="24" customHeight="1" x14ac:dyDescent="0.3">
      <c r="G195" s="1">
        <f>0.14*Table11217[[#This Row],[النولون]]</f>
        <v>0</v>
      </c>
      <c r="I195" s="1">
        <f>Table11217[[#This Row],[النولون]]+Table11217[[#This Row],[الايصالات]]+Table11217[[#This Row],[قيمة مضافة]]</f>
        <v>0</v>
      </c>
      <c r="K195" s="1">
        <f>K194+Table11217[[#This Row],[اجمالي الفاتوره]]-Table11217[[#This Row],[الدفعات]]</f>
        <v>0.87999999988824129</v>
      </c>
      <c r="M195" s="95"/>
    </row>
    <row r="196" spans="7:13" ht="24" customHeight="1" x14ac:dyDescent="0.3">
      <c r="G196" s="1">
        <f>0.14*Table11217[[#This Row],[النولون]]</f>
        <v>0</v>
      </c>
      <c r="I196" s="1">
        <f>Table11217[[#This Row],[النولون]]+Table11217[[#This Row],[الايصالات]]+Table11217[[#This Row],[قيمة مضافة]]</f>
        <v>0</v>
      </c>
      <c r="K196" s="1">
        <f>K195+Table11217[[#This Row],[اجمالي الفاتوره]]-Table11217[[#This Row],[الدفعات]]</f>
        <v>0.87999999988824129</v>
      </c>
      <c r="M196" s="95"/>
    </row>
    <row r="197" spans="7:13" ht="24" customHeight="1" x14ac:dyDescent="0.3">
      <c r="G197" s="1">
        <f>0.14*Table11217[[#This Row],[النولون]]</f>
        <v>0</v>
      </c>
      <c r="I197" s="1">
        <f>Table11217[[#This Row],[النولون]]+Table11217[[#This Row],[الايصالات]]+Table11217[[#This Row],[قيمة مضافة]]</f>
        <v>0</v>
      </c>
      <c r="K197" s="1">
        <f>K196+Table11217[[#This Row],[اجمالي الفاتوره]]-Table11217[[#This Row],[الدفعات]]</f>
        <v>0.87999999988824129</v>
      </c>
      <c r="M197" s="95"/>
    </row>
    <row r="198" spans="7:13" ht="24" customHeight="1" x14ac:dyDescent="0.3">
      <c r="G198" s="1">
        <f>0.14*Table11217[[#This Row],[النولون]]</f>
        <v>0</v>
      </c>
      <c r="I198" s="1">
        <f>Table11217[[#This Row],[النولون]]+Table11217[[#This Row],[الايصالات]]+Table11217[[#This Row],[قيمة مضافة]]</f>
        <v>0</v>
      </c>
      <c r="K198" s="1">
        <f>K197+Table11217[[#This Row],[اجمالي الفاتوره]]-Table11217[[#This Row],[الدفعات]]</f>
        <v>0.87999999988824129</v>
      </c>
      <c r="M198" s="95"/>
    </row>
    <row r="199" spans="7:13" ht="24" customHeight="1" x14ac:dyDescent="0.3">
      <c r="G199" s="1">
        <f>0.14*Table11217[[#This Row],[النولون]]</f>
        <v>0</v>
      </c>
      <c r="I199" s="1">
        <f>Table11217[[#This Row],[النولون]]+Table11217[[#This Row],[الايصالات]]+Table11217[[#This Row],[قيمة مضافة]]</f>
        <v>0</v>
      </c>
      <c r="K199" s="1">
        <f>K198+Table11217[[#This Row],[اجمالي الفاتوره]]-Table11217[[#This Row],[الدفعات]]</f>
        <v>0.87999999988824129</v>
      </c>
      <c r="M199" s="95"/>
    </row>
    <row r="200" spans="7:13" ht="24" customHeight="1" x14ac:dyDescent="0.3">
      <c r="G200" s="1">
        <f>0.14*Table11217[[#This Row],[النولون]]</f>
        <v>0</v>
      </c>
      <c r="I200" s="1">
        <f>Table11217[[#This Row],[النولون]]+Table11217[[#This Row],[الايصالات]]+Table11217[[#This Row],[قيمة مضافة]]</f>
        <v>0</v>
      </c>
      <c r="K200" s="1">
        <f>K199+Table11217[[#This Row],[اجمالي الفاتوره]]-Table11217[[#This Row],[الدفعات]]</f>
        <v>0.87999999988824129</v>
      </c>
      <c r="M200" s="95"/>
    </row>
    <row r="201" spans="7:13" ht="24" customHeight="1" x14ac:dyDescent="0.3">
      <c r="G201" s="1">
        <f>0.14*Table11217[[#This Row],[النولون]]</f>
        <v>0</v>
      </c>
      <c r="I201" s="1">
        <f>Table11217[[#This Row],[النولون]]+Table11217[[#This Row],[الايصالات]]+Table11217[[#This Row],[قيمة مضافة]]</f>
        <v>0</v>
      </c>
      <c r="K201" s="1">
        <f>K200+Table11217[[#This Row],[اجمالي الفاتوره]]-Table11217[[#This Row],[الدفعات]]</f>
        <v>0.87999999988824129</v>
      </c>
      <c r="M201" s="95"/>
    </row>
    <row r="202" spans="7:13" ht="24" customHeight="1" x14ac:dyDescent="0.3">
      <c r="G202" s="1">
        <f>0.14*Table11217[[#This Row],[النولون]]</f>
        <v>0</v>
      </c>
      <c r="I202" s="1">
        <f>Table11217[[#This Row],[النولون]]+Table11217[[#This Row],[الايصالات]]+Table11217[[#This Row],[قيمة مضافة]]</f>
        <v>0</v>
      </c>
      <c r="K202" s="1">
        <f>K201+Table11217[[#This Row],[اجمالي الفاتوره]]-Table11217[[#This Row],[الدفعات]]</f>
        <v>0.87999999988824129</v>
      </c>
      <c r="M202" s="95"/>
    </row>
    <row r="203" spans="7:13" ht="24" customHeight="1" x14ac:dyDescent="0.3">
      <c r="G203" s="1">
        <f>0.14*Table11217[[#This Row],[النولون]]</f>
        <v>0</v>
      </c>
      <c r="I203" s="1">
        <f>Table11217[[#This Row],[النولون]]+Table11217[[#This Row],[الايصالات]]+Table11217[[#This Row],[قيمة مضافة]]</f>
        <v>0</v>
      </c>
      <c r="K203" s="1">
        <f>K202+Table11217[[#This Row],[اجمالي الفاتوره]]-Table11217[[#This Row],[الدفعات]]</f>
        <v>0.87999999988824129</v>
      </c>
      <c r="M203" s="95"/>
    </row>
    <row r="204" spans="7:13" ht="24" customHeight="1" x14ac:dyDescent="0.3">
      <c r="G204" s="1">
        <f>0.14*Table11217[[#This Row],[النولون]]</f>
        <v>0</v>
      </c>
      <c r="I204" s="1">
        <f>Table11217[[#This Row],[النولون]]+Table11217[[#This Row],[الايصالات]]+Table11217[[#This Row],[قيمة مضافة]]</f>
        <v>0</v>
      </c>
      <c r="K204" s="1">
        <f>K203+Table11217[[#This Row],[اجمالي الفاتوره]]-Table11217[[#This Row],[الدفعات]]</f>
        <v>0.87999999988824129</v>
      </c>
      <c r="M204" s="95"/>
    </row>
    <row r="205" spans="7:13" ht="24" customHeight="1" x14ac:dyDescent="0.3">
      <c r="G205" s="1">
        <f>0.14*Table11217[[#This Row],[النولون]]</f>
        <v>0</v>
      </c>
      <c r="I205" s="1">
        <f>Table11217[[#This Row],[النولون]]+Table11217[[#This Row],[الايصالات]]+Table11217[[#This Row],[قيمة مضافة]]</f>
        <v>0</v>
      </c>
      <c r="K205" s="1">
        <f>K204+Table11217[[#This Row],[اجمالي الفاتوره]]-Table11217[[#This Row],[الدفعات]]</f>
        <v>0.87999999988824129</v>
      </c>
      <c r="M205" s="95"/>
    </row>
    <row r="206" spans="7:13" ht="24" customHeight="1" x14ac:dyDescent="0.3">
      <c r="G206" s="1">
        <f>0.14*Table11217[[#This Row],[النولون]]</f>
        <v>0</v>
      </c>
      <c r="I206" s="1">
        <f>Table11217[[#This Row],[النولون]]+Table11217[[#This Row],[الايصالات]]+Table11217[[#This Row],[قيمة مضافة]]</f>
        <v>0</v>
      </c>
      <c r="K206" s="1">
        <f>K205+Table11217[[#This Row],[اجمالي الفاتوره]]-Table11217[[#This Row],[الدفعات]]</f>
        <v>0.87999999988824129</v>
      </c>
      <c r="M206" s="95"/>
    </row>
    <row r="207" spans="7:13" ht="24" customHeight="1" x14ac:dyDescent="0.3">
      <c r="G207" s="1">
        <f>0.14*Table11217[[#This Row],[النولون]]</f>
        <v>0</v>
      </c>
      <c r="I207" s="1">
        <f>Table11217[[#This Row],[النولون]]+Table11217[[#This Row],[الايصالات]]+Table11217[[#This Row],[قيمة مضافة]]</f>
        <v>0</v>
      </c>
      <c r="K207" s="1">
        <f>K206+Table11217[[#This Row],[اجمالي الفاتوره]]-Table11217[[#This Row],[الدفعات]]</f>
        <v>0.87999999988824129</v>
      </c>
      <c r="M207" s="95"/>
    </row>
    <row r="208" spans="7:13" ht="24" customHeight="1" x14ac:dyDescent="0.3">
      <c r="G208" s="1">
        <f>0.14*Table11217[[#This Row],[النولون]]</f>
        <v>0</v>
      </c>
      <c r="I208" s="1">
        <f>Table11217[[#This Row],[النولون]]+Table11217[[#This Row],[الايصالات]]+Table11217[[#This Row],[قيمة مضافة]]</f>
        <v>0</v>
      </c>
      <c r="K208" s="1">
        <f>K207+Table11217[[#This Row],[اجمالي الفاتوره]]-Table11217[[#This Row],[الدفعات]]</f>
        <v>0.87999999988824129</v>
      </c>
      <c r="M208" s="95"/>
    </row>
    <row r="209" spans="7:13" ht="24" customHeight="1" x14ac:dyDescent="0.3">
      <c r="G209" s="1">
        <f>0.14*Table11217[[#This Row],[النولون]]</f>
        <v>0</v>
      </c>
      <c r="I209" s="1">
        <f>Table11217[[#This Row],[النولون]]+Table11217[[#This Row],[الايصالات]]+Table11217[[#This Row],[قيمة مضافة]]</f>
        <v>0</v>
      </c>
      <c r="K209" s="1">
        <f>K208+Table11217[[#This Row],[اجمالي الفاتوره]]-Table11217[[#This Row],[الدفعات]]</f>
        <v>0.87999999988824129</v>
      </c>
      <c r="M209" s="95"/>
    </row>
    <row r="210" spans="7:13" ht="24" customHeight="1" x14ac:dyDescent="0.3">
      <c r="G210" s="1">
        <f>0.14*Table11217[[#This Row],[النولون]]</f>
        <v>0</v>
      </c>
      <c r="I210" s="1">
        <f>Table11217[[#This Row],[النولون]]+Table11217[[#This Row],[الايصالات]]+Table11217[[#This Row],[قيمة مضافة]]</f>
        <v>0</v>
      </c>
      <c r="K210" s="1">
        <f>K209+Table11217[[#This Row],[اجمالي الفاتوره]]-Table11217[[#This Row],[الدفعات]]</f>
        <v>0.87999999988824129</v>
      </c>
      <c r="M210" s="95"/>
    </row>
    <row r="211" spans="7:13" ht="24" customHeight="1" x14ac:dyDescent="0.3">
      <c r="G211" s="1">
        <f>0.14*Table11217[[#This Row],[النولون]]</f>
        <v>0</v>
      </c>
      <c r="I211" s="1">
        <f>Table11217[[#This Row],[النولون]]+Table11217[[#This Row],[الايصالات]]+Table11217[[#This Row],[قيمة مضافة]]</f>
        <v>0</v>
      </c>
      <c r="K211" s="1">
        <f>K210+Table11217[[#This Row],[اجمالي الفاتوره]]-Table11217[[#This Row],[الدفعات]]</f>
        <v>0.87999999988824129</v>
      </c>
      <c r="M211" s="95"/>
    </row>
    <row r="212" spans="7:13" ht="24" customHeight="1" x14ac:dyDescent="0.3">
      <c r="G212" s="1">
        <f>0.14*Table11217[[#This Row],[النولون]]</f>
        <v>0</v>
      </c>
      <c r="I212" s="1">
        <f>Table11217[[#This Row],[النولون]]+Table11217[[#This Row],[الايصالات]]+Table11217[[#This Row],[قيمة مضافة]]</f>
        <v>0</v>
      </c>
      <c r="K212" s="1">
        <f>K211+Table11217[[#This Row],[اجمالي الفاتوره]]-Table11217[[#This Row],[الدفعات]]</f>
        <v>0.87999999988824129</v>
      </c>
      <c r="M212" s="95"/>
    </row>
    <row r="213" spans="7:13" ht="24" customHeight="1" x14ac:dyDescent="0.3">
      <c r="G213" s="1">
        <f>0.14*Table11217[[#This Row],[النولون]]</f>
        <v>0</v>
      </c>
      <c r="I213" s="1">
        <f>Table11217[[#This Row],[النولون]]+Table11217[[#This Row],[الايصالات]]+Table11217[[#This Row],[قيمة مضافة]]</f>
        <v>0</v>
      </c>
      <c r="K213" s="1">
        <f>K212+Table11217[[#This Row],[اجمالي الفاتوره]]-Table11217[[#This Row],[الدفعات]]</f>
        <v>0.87999999988824129</v>
      </c>
      <c r="M213" s="95"/>
    </row>
    <row r="214" spans="7:13" ht="24" customHeight="1" x14ac:dyDescent="0.3">
      <c r="G214" s="1">
        <f>0.14*Table11217[[#This Row],[النولون]]</f>
        <v>0</v>
      </c>
      <c r="I214" s="1">
        <f>Table11217[[#This Row],[النولون]]+Table11217[[#This Row],[الايصالات]]+Table11217[[#This Row],[قيمة مضافة]]</f>
        <v>0</v>
      </c>
      <c r="K214" s="1">
        <f>K213+Table11217[[#This Row],[اجمالي الفاتوره]]-Table11217[[#This Row],[الدفعات]]</f>
        <v>0.87999999988824129</v>
      </c>
      <c r="M214" s="95"/>
    </row>
    <row r="215" spans="7:13" ht="24" customHeight="1" x14ac:dyDescent="0.3">
      <c r="G215" s="1">
        <f>0.14*Table11217[[#This Row],[النولون]]</f>
        <v>0</v>
      </c>
      <c r="I215" s="1">
        <f>Table11217[[#This Row],[النولون]]+Table11217[[#This Row],[الايصالات]]+Table11217[[#This Row],[قيمة مضافة]]</f>
        <v>0</v>
      </c>
      <c r="K215" s="1">
        <f>K214+Table11217[[#This Row],[اجمالي الفاتوره]]-Table11217[[#This Row],[الدفعات]]</f>
        <v>0.87999999988824129</v>
      </c>
      <c r="M215" s="95"/>
    </row>
    <row r="216" spans="7:13" ht="24" customHeight="1" x14ac:dyDescent="0.3">
      <c r="G216" s="1">
        <f>0.14*Table11217[[#This Row],[النولون]]</f>
        <v>0</v>
      </c>
      <c r="I216" s="1">
        <f>Table11217[[#This Row],[النولون]]+Table11217[[#This Row],[الايصالات]]+Table11217[[#This Row],[قيمة مضافة]]</f>
        <v>0</v>
      </c>
      <c r="K216" s="1">
        <f>K215+Table11217[[#This Row],[اجمالي الفاتوره]]-Table11217[[#This Row],[الدفعات]]</f>
        <v>0.87999999988824129</v>
      </c>
      <c r="M216" s="95"/>
    </row>
    <row r="217" spans="7:13" ht="24" customHeight="1" x14ac:dyDescent="0.3">
      <c r="G217" s="1">
        <f>0.14*Table11217[[#This Row],[النولون]]</f>
        <v>0</v>
      </c>
      <c r="I217" s="1">
        <f>Table11217[[#This Row],[النولون]]+Table11217[[#This Row],[الايصالات]]+Table11217[[#This Row],[قيمة مضافة]]</f>
        <v>0</v>
      </c>
      <c r="K217" s="1">
        <f>K216+Table11217[[#This Row],[اجمالي الفاتوره]]-Table11217[[#This Row],[الدفعات]]</f>
        <v>0.87999999988824129</v>
      </c>
      <c r="M217" s="95"/>
    </row>
    <row r="218" spans="7:13" ht="24" customHeight="1" x14ac:dyDescent="0.3">
      <c r="G218" s="1">
        <f>0.14*Table11217[[#This Row],[النولون]]</f>
        <v>0</v>
      </c>
      <c r="I218" s="1">
        <f>Table11217[[#This Row],[النولون]]+Table11217[[#This Row],[الايصالات]]+Table11217[[#This Row],[قيمة مضافة]]</f>
        <v>0</v>
      </c>
      <c r="K218" s="1">
        <f>K217+Table11217[[#This Row],[اجمالي الفاتوره]]-Table11217[[#This Row],[الدفعات]]</f>
        <v>0.87999999988824129</v>
      </c>
      <c r="M218" s="95"/>
    </row>
    <row r="219" spans="7:13" ht="24" customHeight="1" x14ac:dyDescent="0.3">
      <c r="G219" s="1">
        <f>0.14*Table11217[[#This Row],[النولون]]</f>
        <v>0</v>
      </c>
      <c r="I219" s="1">
        <f>Table11217[[#This Row],[النولون]]+Table11217[[#This Row],[الايصالات]]+Table11217[[#This Row],[قيمة مضافة]]</f>
        <v>0</v>
      </c>
      <c r="K219" s="1">
        <f>K218+Table11217[[#This Row],[اجمالي الفاتوره]]-Table11217[[#This Row],[الدفعات]]</f>
        <v>0.87999999988824129</v>
      </c>
      <c r="M219" s="95"/>
    </row>
    <row r="220" spans="7:13" ht="24" customHeight="1" x14ac:dyDescent="0.3">
      <c r="G220" s="1">
        <f>0.14*Table11217[[#This Row],[النولون]]</f>
        <v>0</v>
      </c>
      <c r="I220" s="1">
        <f>Table11217[[#This Row],[النولون]]+Table11217[[#This Row],[الايصالات]]+Table11217[[#This Row],[قيمة مضافة]]</f>
        <v>0</v>
      </c>
      <c r="K220" s="1">
        <f>K219+Table11217[[#This Row],[اجمالي الفاتوره]]-Table11217[[#This Row],[الدفعات]]</f>
        <v>0.87999999988824129</v>
      </c>
      <c r="M220" s="95"/>
    </row>
    <row r="221" spans="7:13" ht="24" customHeight="1" x14ac:dyDescent="0.3">
      <c r="G221" s="1">
        <f>0.14*Table11217[[#This Row],[النولون]]</f>
        <v>0</v>
      </c>
      <c r="I221" s="1">
        <f>Table11217[[#This Row],[النولون]]+Table11217[[#This Row],[الايصالات]]+Table11217[[#This Row],[قيمة مضافة]]</f>
        <v>0</v>
      </c>
      <c r="K221" s="1">
        <f>K220+Table11217[[#This Row],[اجمالي الفاتوره]]-Table11217[[#This Row],[الدفعات]]</f>
        <v>0.87999999988824129</v>
      </c>
      <c r="M221" s="95"/>
    </row>
    <row r="222" spans="7:13" ht="24" customHeight="1" x14ac:dyDescent="0.3">
      <c r="G222" s="1">
        <f>0.14*Table11217[[#This Row],[النولون]]</f>
        <v>0</v>
      </c>
      <c r="I222" s="1">
        <f>Table11217[[#This Row],[النولون]]+Table11217[[#This Row],[الايصالات]]+Table11217[[#This Row],[قيمة مضافة]]</f>
        <v>0</v>
      </c>
      <c r="K222" s="1">
        <f>K221+Table11217[[#This Row],[اجمالي الفاتوره]]-Table11217[[#This Row],[الدفعات]]</f>
        <v>0.87999999988824129</v>
      </c>
      <c r="M222" s="95"/>
    </row>
    <row r="223" spans="7:13" ht="24" customHeight="1" x14ac:dyDescent="0.3">
      <c r="G223" s="1">
        <f>0.14*Table11217[[#This Row],[النولون]]</f>
        <v>0</v>
      </c>
      <c r="I223" s="1">
        <f>Table11217[[#This Row],[النولون]]+Table11217[[#This Row],[الايصالات]]+Table11217[[#This Row],[قيمة مضافة]]</f>
        <v>0</v>
      </c>
      <c r="K223" s="1">
        <f>K222+Table11217[[#This Row],[اجمالي الفاتوره]]-Table11217[[#This Row],[الدفعات]]</f>
        <v>0.87999999988824129</v>
      </c>
      <c r="M223" s="95"/>
    </row>
    <row r="224" spans="7:13" ht="24" customHeight="1" x14ac:dyDescent="0.3">
      <c r="G224" s="1">
        <f>0.14*Table11217[[#This Row],[النولون]]</f>
        <v>0</v>
      </c>
      <c r="I224" s="1">
        <f>Table11217[[#This Row],[النولون]]+Table11217[[#This Row],[الايصالات]]+Table11217[[#This Row],[قيمة مضافة]]</f>
        <v>0</v>
      </c>
      <c r="K224" s="1">
        <f>K223+Table11217[[#This Row],[اجمالي الفاتوره]]-Table11217[[#This Row],[الدفعات]]</f>
        <v>0.87999999988824129</v>
      </c>
      <c r="M224" s="95"/>
    </row>
    <row r="225" spans="7:13" ht="24" customHeight="1" x14ac:dyDescent="0.3">
      <c r="G225" s="1">
        <f>0.14*Table11217[[#This Row],[النولون]]</f>
        <v>0</v>
      </c>
      <c r="I225" s="1">
        <f>Table11217[[#This Row],[النولون]]+Table11217[[#This Row],[الايصالات]]+Table11217[[#This Row],[قيمة مضافة]]</f>
        <v>0</v>
      </c>
      <c r="K225" s="1">
        <f>K224+Table11217[[#This Row],[اجمالي الفاتوره]]-Table11217[[#This Row],[الدفعات]]</f>
        <v>0.87999999988824129</v>
      </c>
      <c r="M225" s="95"/>
    </row>
    <row r="226" spans="7:13" ht="24" customHeight="1" x14ac:dyDescent="0.3">
      <c r="G226" s="1">
        <f>0.14*Table11217[[#This Row],[النولون]]</f>
        <v>0</v>
      </c>
      <c r="I226" s="1">
        <f>Table11217[[#This Row],[النولون]]+Table11217[[#This Row],[الايصالات]]+Table11217[[#This Row],[قيمة مضافة]]</f>
        <v>0</v>
      </c>
      <c r="K226" s="1">
        <f>K225+Table11217[[#This Row],[اجمالي الفاتوره]]-Table11217[[#This Row],[الدفعات]]</f>
        <v>0.87999999988824129</v>
      </c>
      <c r="M226" s="95"/>
    </row>
    <row r="227" spans="7:13" ht="24" customHeight="1" x14ac:dyDescent="0.3">
      <c r="G227" s="1">
        <f>0.14*Table11217[[#This Row],[النولون]]</f>
        <v>0</v>
      </c>
      <c r="I227" s="1">
        <f>Table11217[[#This Row],[النولون]]+Table11217[[#This Row],[الايصالات]]+Table11217[[#This Row],[قيمة مضافة]]</f>
        <v>0</v>
      </c>
      <c r="K227" s="1">
        <f>K226+Table11217[[#This Row],[اجمالي الفاتوره]]-Table11217[[#This Row],[الدفعات]]</f>
        <v>0.87999999988824129</v>
      </c>
      <c r="M227" s="95"/>
    </row>
    <row r="228" spans="7:13" ht="24" customHeight="1" x14ac:dyDescent="0.3">
      <c r="G228" s="1">
        <f>0.14*Table11217[[#This Row],[النولون]]</f>
        <v>0</v>
      </c>
      <c r="I228" s="1">
        <f>Table11217[[#This Row],[النولون]]+Table11217[[#This Row],[الايصالات]]+Table11217[[#This Row],[قيمة مضافة]]</f>
        <v>0</v>
      </c>
      <c r="K228" s="1">
        <f>K227+Table11217[[#This Row],[اجمالي الفاتوره]]-Table11217[[#This Row],[الدفعات]]</f>
        <v>0.87999999988824129</v>
      </c>
      <c r="M228" s="95"/>
    </row>
    <row r="229" spans="7:13" ht="24" customHeight="1" x14ac:dyDescent="0.3">
      <c r="G229" s="1">
        <f>0.14*Table11217[[#This Row],[النولون]]</f>
        <v>0</v>
      </c>
      <c r="I229" s="1">
        <f>Table11217[[#This Row],[النولون]]+Table11217[[#This Row],[الايصالات]]+Table11217[[#This Row],[قيمة مضافة]]</f>
        <v>0</v>
      </c>
      <c r="K229" s="1">
        <f>K228+Table11217[[#This Row],[اجمالي الفاتوره]]-Table11217[[#This Row],[الدفعات]]</f>
        <v>0.87999999988824129</v>
      </c>
      <c r="M229" s="95"/>
    </row>
    <row r="230" spans="7:13" ht="24" customHeight="1" x14ac:dyDescent="0.3">
      <c r="G230" s="1">
        <f>0.14*Table11217[[#This Row],[النولون]]</f>
        <v>0</v>
      </c>
      <c r="I230" s="1">
        <f>Table11217[[#This Row],[النولون]]+Table11217[[#This Row],[الايصالات]]+Table11217[[#This Row],[قيمة مضافة]]</f>
        <v>0</v>
      </c>
      <c r="K230" s="1">
        <f>K229+Table11217[[#This Row],[اجمالي الفاتوره]]-Table11217[[#This Row],[الدفعات]]</f>
        <v>0.87999999988824129</v>
      </c>
      <c r="M230" s="95"/>
    </row>
    <row r="231" spans="7:13" ht="24" customHeight="1" x14ac:dyDescent="0.3">
      <c r="G231" s="1">
        <f>0.14*Table11217[[#This Row],[النولون]]</f>
        <v>0</v>
      </c>
      <c r="I231" s="1">
        <f>Table11217[[#This Row],[النولون]]+Table11217[[#This Row],[الايصالات]]+Table11217[[#This Row],[قيمة مضافة]]</f>
        <v>0</v>
      </c>
      <c r="K231" s="1">
        <f>K230+Table11217[[#This Row],[اجمالي الفاتوره]]-Table11217[[#This Row],[الدفعات]]</f>
        <v>0.87999999988824129</v>
      </c>
      <c r="M231" s="95"/>
    </row>
    <row r="232" spans="7:13" ht="24" customHeight="1" x14ac:dyDescent="0.3">
      <c r="G232" s="1">
        <f>0.14*Table11217[[#This Row],[النولون]]</f>
        <v>0</v>
      </c>
      <c r="I232" s="1">
        <f>Table11217[[#This Row],[النولون]]+Table11217[[#This Row],[الايصالات]]+Table11217[[#This Row],[قيمة مضافة]]</f>
        <v>0</v>
      </c>
      <c r="K232" s="1">
        <f>K231+Table11217[[#This Row],[اجمالي الفاتوره]]-Table11217[[#This Row],[الدفعات]]</f>
        <v>0.87999999988824129</v>
      </c>
      <c r="M232" s="95"/>
    </row>
    <row r="233" spans="7:13" ht="24" customHeight="1" x14ac:dyDescent="0.3">
      <c r="G233" s="1">
        <f>0.14*Table11217[[#This Row],[النولون]]</f>
        <v>0</v>
      </c>
      <c r="I233" s="1">
        <f>Table11217[[#This Row],[النولون]]+Table11217[[#This Row],[الايصالات]]+Table11217[[#This Row],[قيمة مضافة]]</f>
        <v>0</v>
      </c>
      <c r="K233" s="1">
        <f>K232+Table11217[[#This Row],[اجمالي الفاتوره]]-Table11217[[#This Row],[الدفعات]]</f>
        <v>0.87999999988824129</v>
      </c>
      <c r="M233" s="95"/>
    </row>
    <row r="234" spans="7:13" ht="24" customHeight="1" x14ac:dyDescent="0.3">
      <c r="G234" s="1">
        <f>0.14*Table11217[[#This Row],[النولون]]</f>
        <v>0</v>
      </c>
      <c r="I234" s="1">
        <f>Table11217[[#This Row],[النولون]]+Table11217[[#This Row],[الايصالات]]+Table11217[[#This Row],[قيمة مضافة]]</f>
        <v>0</v>
      </c>
      <c r="K234" s="1">
        <f>K233+Table11217[[#This Row],[اجمالي الفاتوره]]-Table11217[[#This Row],[الدفعات]]</f>
        <v>0.87999999988824129</v>
      </c>
      <c r="M234" s="95"/>
    </row>
    <row r="235" spans="7:13" ht="24" customHeight="1" x14ac:dyDescent="0.3">
      <c r="G235" s="1">
        <f>0.14*Table11217[[#This Row],[النولون]]</f>
        <v>0</v>
      </c>
      <c r="I235" s="1">
        <f>Table11217[[#This Row],[النولون]]+Table11217[[#This Row],[الايصالات]]+Table11217[[#This Row],[قيمة مضافة]]</f>
        <v>0</v>
      </c>
      <c r="K235" s="1">
        <f>K234+Table11217[[#This Row],[اجمالي الفاتوره]]-Table11217[[#This Row],[الدفعات]]</f>
        <v>0.87999999988824129</v>
      </c>
      <c r="M235" s="95"/>
    </row>
    <row r="236" spans="7:13" ht="24" customHeight="1" x14ac:dyDescent="0.3">
      <c r="G236" s="1">
        <f>0.14*Table11217[[#This Row],[النولون]]</f>
        <v>0</v>
      </c>
      <c r="I236" s="1">
        <f>Table11217[[#This Row],[النولون]]+Table11217[[#This Row],[الايصالات]]+Table11217[[#This Row],[قيمة مضافة]]</f>
        <v>0</v>
      </c>
      <c r="K236" s="1">
        <f>K235+Table11217[[#This Row],[اجمالي الفاتوره]]-Table11217[[#This Row],[الدفعات]]</f>
        <v>0.87999999988824129</v>
      </c>
      <c r="M236" s="95"/>
    </row>
    <row r="237" spans="7:13" ht="24" customHeight="1" x14ac:dyDescent="0.3">
      <c r="G237" s="1">
        <f>0.14*Table11217[[#This Row],[النولون]]</f>
        <v>0</v>
      </c>
      <c r="I237" s="1">
        <f>Table11217[[#This Row],[النولون]]+Table11217[[#This Row],[الايصالات]]+Table11217[[#This Row],[قيمة مضافة]]</f>
        <v>0</v>
      </c>
      <c r="K237" s="1">
        <f>K236+Table11217[[#This Row],[اجمالي الفاتوره]]-Table11217[[#This Row],[الدفعات]]</f>
        <v>0.87999999988824129</v>
      </c>
      <c r="M237" s="95"/>
    </row>
    <row r="238" spans="7:13" ht="24" customHeight="1" x14ac:dyDescent="0.3">
      <c r="G238" s="1">
        <f>0.14*Table11217[[#This Row],[النولون]]</f>
        <v>0</v>
      </c>
      <c r="I238" s="1">
        <f>Table11217[[#This Row],[النولون]]+Table11217[[#This Row],[الايصالات]]+Table11217[[#This Row],[قيمة مضافة]]</f>
        <v>0</v>
      </c>
      <c r="K238" s="1">
        <f>K237+Table11217[[#This Row],[اجمالي الفاتوره]]-Table11217[[#This Row],[الدفعات]]</f>
        <v>0.87999999988824129</v>
      </c>
      <c r="M238" s="95"/>
    </row>
    <row r="239" spans="7:13" ht="24" customHeight="1" x14ac:dyDescent="0.3">
      <c r="G239" s="1">
        <f>0.14*Table11217[[#This Row],[النولون]]</f>
        <v>0</v>
      </c>
      <c r="I239" s="1">
        <f>Table11217[[#This Row],[النولون]]+Table11217[[#This Row],[الايصالات]]+Table11217[[#This Row],[قيمة مضافة]]</f>
        <v>0</v>
      </c>
      <c r="K239" s="1">
        <f>K238+Table11217[[#This Row],[اجمالي الفاتوره]]-Table11217[[#This Row],[الدفعات]]</f>
        <v>0.87999999988824129</v>
      </c>
      <c r="M239" s="95"/>
    </row>
    <row r="240" spans="7:13" ht="24" customHeight="1" x14ac:dyDescent="0.3">
      <c r="G240" s="1">
        <f>0.14*Table11217[[#This Row],[النولون]]</f>
        <v>0</v>
      </c>
      <c r="I240" s="1">
        <f>Table11217[[#This Row],[النولون]]+Table11217[[#This Row],[الايصالات]]+Table11217[[#This Row],[قيمة مضافة]]</f>
        <v>0</v>
      </c>
      <c r="K240" s="1">
        <f>K239+Table11217[[#This Row],[اجمالي الفاتوره]]-Table11217[[#This Row],[الدفعات]]</f>
        <v>0.87999999988824129</v>
      </c>
      <c r="M240" s="95"/>
    </row>
    <row r="241" spans="7:13" ht="24" customHeight="1" x14ac:dyDescent="0.3">
      <c r="G241" s="1">
        <f>0.14*Table11217[[#This Row],[النولون]]</f>
        <v>0</v>
      </c>
      <c r="I241" s="1">
        <f>Table11217[[#This Row],[النولون]]+Table11217[[#This Row],[الايصالات]]+Table11217[[#This Row],[قيمة مضافة]]</f>
        <v>0</v>
      </c>
      <c r="K241" s="1">
        <f>K240+Table11217[[#This Row],[اجمالي الفاتوره]]-Table11217[[#This Row],[الدفعات]]</f>
        <v>0.87999999988824129</v>
      </c>
      <c r="M241" s="95"/>
    </row>
    <row r="242" spans="7:13" ht="24" customHeight="1" x14ac:dyDescent="0.3">
      <c r="G242" s="1">
        <f>0.14*Table11217[[#This Row],[النولون]]</f>
        <v>0</v>
      </c>
      <c r="I242" s="1">
        <f>Table11217[[#This Row],[النولون]]+Table11217[[#This Row],[الايصالات]]+Table11217[[#This Row],[قيمة مضافة]]</f>
        <v>0</v>
      </c>
      <c r="K242" s="1">
        <f>K241+Table11217[[#This Row],[اجمالي الفاتوره]]-Table11217[[#This Row],[الدفعات]]</f>
        <v>0.87999999988824129</v>
      </c>
      <c r="M242" s="95"/>
    </row>
    <row r="243" spans="7:13" ht="24" customHeight="1" x14ac:dyDescent="0.3">
      <c r="G243" s="1">
        <f>0.14*Table11217[[#This Row],[النولون]]</f>
        <v>0</v>
      </c>
      <c r="I243" s="1">
        <f>Table11217[[#This Row],[النولون]]+Table11217[[#This Row],[الايصالات]]+Table11217[[#This Row],[قيمة مضافة]]</f>
        <v>0</v>
      </c>
      <c r="K243" s="1">
        <f>K242+Table11217[[#This Row],[اجمالي الفاتوره]]-Table11217[[#This Row],[الدفعات]]</f>
        <v>0.87999999988824129</v>
      </c>
      <c r="M243" s="95"/>
    </row>
    <row r="244" spans="7:13" ht="24" customHeight="1" x14ac:dyDescent="0.3">
      <c r="G244" s="1">
        <f>0.14*Table11217[[#This Row],[النولون]]</f>
        <v>0</v>
      </c>
      <c r="I244" s="1">
        <f>Table11217[[#This Row],[النولون]]+Table11217[[#This Row],[الايصالات]]+Table11217[[#This Row],[قيمة مضافة]]</f>
        <v>0</v>
      </c>
      <c r="K244" s="1">
        <f>K243+Table11217[[#This Row],[اجمالي الفاتوره]]-Table11217[[#This Row],[الدفعات]]</f>
        <v>0.87999999988824129</v>
      </c>
      <c r="M244" s="95"/>
    </row>
    <row r="245" spans="7:13" ht="24" customHeight="1" x14ac:dyDescent="0.3">
      <c r="G245" s="1">
        <f>0.14*Table11217[[#This Row],[النولون]]</f>
        <v>0</v>
      </c>
      <c r="I245" s="1">
        <f>Table11217[[#This Row],[النولون]]+Table11217[[#This Row],[الايصالات]]+Table11217[[#This Row],[قيمة مضافة]]</f>
        <v>0</v>
      </c>
      <c r="K245" s="1">
        <f>K244+Table11217[[#This Row],[اجمالي الفاتوره]]-Table11217[[#This Row],[الدفعات]]</f>
        <v>0.87999999988824129</v>
      </c>
      <c r="M245" s="95"/>
    </row>
    <row r="246" spans="7:13" ht="24" customHeight="1" x14ac:dyDescent="0.3">
      <c r="G246" s="1">
        <f>0.14*Table11217[[#This Row],[النولون]]</f>
        <v>0</v>
      </c>
      <c r="I246" s="1">
        <f>Table11217[[#This Row],[النولون]]+Table11217[[#This Row],[الايصالات]]+Table11217[[#This Row],[قيمة مضافة]]</f>
        <v>0</v>
      </c>
      <c r="K246" s="1">
        <f>K245+Table11217[[#This Row],[اجمالي الفاتوره]]-Table11217[[#This Row],[الدفعات]]</f>
        <v>0.87999999988824129</v>
      </c>
      <c r="M246" s="95"/>
    </row>
    <row r="247" spans="7:13" ht="24" customHeight="1" x14ac:dyDescent="0.3">
      <c r="G247" s="1">
        <f>0.14*Table11217[[#This Row],[النولون]]</f>
        <v>0</v>
      </c>
      <c r="I247" s="1">
        <f>Table11217[[#This Row],[النولون]]+Table11217[[#This Row],[الايصالات]]+Table11217[[#This Row],[قيمة مضافة]]</f>
        <v>0</v>
      </c>
      <c r="K247" s="1">
        <f>K246+Table11217[[#This Row],[اجمالي الفاتوره]]-Table11217[[#This Row],[الدفعات]]</f>
        <v>0.87999999988824129</v>
      </c>
      <c r="M247" s="95"/>
    </row>
    <row r="248" spans="7:13" ht="24" customHeight="1" x14ac:dyDescent="0.3">
      <c r="G248" s="1">
        <f>0.14*Table11217[[#This Row],[النولون]]</f>
        <v>0</v>
      </c>
      <c r="I248" s="1">
        <f>Table11217[[#This Row],[النولون]]+Table11217[[#This Row],[الايصالات]]+Table11217[[#This Row],[قيمة مضافة]]</f>
        <v>0</v>
      </c>
      <c r="K248" s="1">
        <f>K247+Table11217[[#This Row],[اجمالي الفاتوره]]-Table11217[[#This Row],[الدفعات]]</f>
        <v>0.87999999988824129</v>
      </c>
      <c r="M248" s="95"/>
    </row>
    <row r="249" spans="7:13" ht="24" customHeight="1" x14ac:dyDescent="0.3">
      <c r="G249" s="1">
        <f>0.14*Table11217[[#This Row],[النولون]]</f>
        <v>0</v>
      </c>
      <c r="I249" s="1">
        <f>Table11217[[#This Row],[النولون]]+Table11217[[#This Row],[الايصالات]]+Table11217[[#This Row],[قيمة مضافة]]</f>
        <v>0</v>
      </c>
      <c r="K249" s="1">
        <f>K248+Table11217[[#This Row],[اجمالي الفاتوره]]-Table11217[[#This Row],[الدفعات]]</f>
        <v>0.87999999988824129</v>
      </c>
      <c r="M249" s="95"/>
    </row>
    <row r="250" spans="7:13" ht="24" customHeight="1" x14ac:dyDescent="0.3">
      <c r="G250" s="1">
        <f>0.14*Table11217[[#This Row],[النولون]]</f>
        <v>0</v>
      </c>
      <c r="I250" s="1">
        <f>Table11217[[#This Row],[النولون]]+Table11217[[#This Row],[الايصالات]]+Table11217[[#This Row],[قيمة مضافة]]</f>
        <v>0</v>
      </c>
      <c r="K250" s="1">
        <f>K249+Table11217[[#This Row],[اجمالي الفاتوره]]-Table11217[[#This Row],[الدفعات]]</f>
        <v>0.87999999988824129</v>
      </c>
      <c r="M250" s="95"/>
    </row>
    <row r="251" spans="7:13" ht="24" customHeight="1" x14ac:dyDescent="0.3">
      <c r="G251" s="1">
        <f>0.14*Table11217[[#This Row],[النولون]]</f>
        <v>0</v>
      </c>
      <c r="I251" s="1">
        <f>Table11217[[#This Row],[النولون]]+Table11217[[#This Row],[الايصالات]]+Table11217[[#This Row],[قيمة مضافة]]</f>
        <v>0</v>
      </c>
      <c r="K251" s="1">
        <f>K250+Table11217[[#This Row],[اجمالي الفاتوره]]-Table11217[[#This Row],[الدفعات]]</f>
        <v>0.87999999988824129</v>
      </c>
      <c r="M251" s="95"/>
    </row>
    <row r="252" spans="7:13" ht="24" customHeight="1" x14ac:dyDescent="0.3">
      <c r="G252" s="1">
        <f>0.14*Table11217[[#This Row],[النولون]]</f>
        <v>0</v>
      </c>
      <c r="I252" s="1">
        <f>Table11217[[#This Row],[النولون]]+Table11217[[#This Row],[الايصالات]]+Table11217[[#This Row],[قيمة مضافة]]</f>
        <v>0</v>
      </c>
      <c r="K252" s="1">
        <f>K251+Table11217[[#This Row],[اجمالي الفاتوره]]-Table11217[[#This Row],[الدفعات]]</f>
        <v>0.87999999988824129</v>
      </c>
      <c r="M252" s="95"/>
    </row>
    <row r="253" spans="7:13" ht="24" customHeight="1" x14ac:dyDescent="0.3">
      <c r="G253" s="1">
        <f>0.14*Table11217[[#This Row],[النولون]]</f>
        <v>0</v>
      </c>
      <c r="I253" s="1">
        <f>Table11217[[#This Row],[النولون]]+Table11217[[#This Row],[الايصالات]]+Table11217[[#This Row],[قيمة مضافة]]</f>
        <v>0</v>
      </c>
      <c r="K253" s="1">
        <f>K252+Table11217[[#This Row],[اجمالي الفاتوره]]-Table11217[[#This Row],[الدفعات]]</f>
        <v>0.87999999988824129</v>
      </c>
      <c r="M253" s="95"/>
    </row>
    <row r="254" spans="7:13" ht="24" customHeight="1" x14ac:dyDescent="0.3">
      <c r="G254" s="1">
        <f>0.14*Table11217[[#This Row],[النولون]]</f>
        <v>0</v>
      </c>
      <c r="I254" s="1">
        <f>Table11217[[#This Row],[النولون]]+Table11217[[#This Row],[الايصالات]]+Table11217[[#This Row],[قيمة مضافة]]</f>
        <v>0</v>
      </c>
      <c r="K254" s="1">
        <f>K253+Table11217[[#This Row],[اجمالي الفاتوره]]-Table11217[[#This Row],[الدفعات]]</f>
        <v>0.87999999988824129</v>
      </c>
      <c r="M254" s="95"/>
    </row>
    <row r="255" spans="7:13" ht="24" customHeight="1" x14ac:dyDescent="0.3">
      <c r="G255" s="1">
        <f>0.14*Table11217[[#This Row],[النولون]]</f>
        <v>0</v>
      </c>
      <c r="I255" s="1">
        <f>Table11217[[#This Row],[النولون]]+Table11217[[#This Row],[الايصالات]]+Table11217[[#This Row],[قيمة مضافة]]</f>
        <v>0</v>
      </c>
      <c r="K255" s="1">
        <f>K254+Table11217[[#This Row],[اجمالي الفاتوره]]-Table11217[[#This Row],[الدفعات]]</f>
        <v>0.87999999988824129</v>
      </c>
      <c r="M255" s="95"/>
    </row>
    <row r="256" spans="7:13" ht="24" customHeight="1" x14ac:dyDescent="0.3">
      <c r="G256" s="1">
        <f>0.14*Table11217[[#This Row],[النولون]]</f>
        <v>0</v>
      </c>
      <c r="I256" s="1">
        <f>Table11217[[#This Row],[النولون]]+Table11217[[#This Row],[الايصالات]]+Table11217[[#This Row],[قيمة مضافة]]</f>
        <v>0</v>
      </c>
      <c r="K256" s="1">
        <f>K255+Table11217[[#This Row],[اجمالي الفاتوره]]-Table11217[[#This Row],[الدفعات]]</f>
        <v>0.87999999988824129</v>
      </c>
      <c r="M256" s="95"/>
    </row>
    <row r="257" spans="7:13" ht="24" customHeight="1" x14ac:dyDescent="0.3">
      <c r="G257" s="1">
        <f>0.14*Table11217[[#This Row],[النولون]]</f>
        <v>0</v>
      </c>
      <c r="I257" s="1">
        <f>Table11217[[#This Row],[النولون]]+Table11217[[#This Row],[الايصالات]]+Table11217[[#This Row],[قيمة مضافة]]</f>
        <v>0</v>
      </c>
      <c r="K257" s="1">
        <f>K256+Table11217[[#This Row],[اجمالي الفاتوره]]-Table11217[[#This Row],[الدفعات]]</f>
        <v>0.87999999988824129</v>
      </c>
      <c r="M257" s="95"/>
    </row>
    <row r="258" spans="7:13" ht="24" customHeight="1" x14ac:dyDescent="0.3">
      <c r="G258" s="1">
        <f>0.14*Table11217[[#This Row],[النولون]]</f>
        <v>0</v>
      </c>
      <c r="I258" s="1">
        <f>Table11217[[#This Row],[النولون]]+Table11217[[#This Row],[الايصالات]]+Table11217[[#This Row],[قيمة مضافة]]</f>
        <v>0</v>
      </c>
      <c r="K258" s="1">
        <f>K257+Table11217[[#This Row],[اجمالي الفاتوره]]-Table11217[[#This Row],[الدفعات]]</f>
        <v>0.87999999988824129</v>
      </c>
      <c r="M258" s="95"/>
    </row>
    <row r="259" spans="7:13" ht="24" customHeight="1" x14ac:dyDescent="0.3">
      <c r="G259" s="1">
        <f>0.14*Table11217[[#This Row],[النولون]]</f>
        <v>0</v>
      </c>
      <c r="I259" s="1">
        <f>Table11217[[#This Row],[النولون]]+Table11217[[#This Row],[الايصالات]]+Table11217[[#This Row],[قيمة مضافة]]</f>
        <v>0</v>
      </c>
      <c r="K259" s="1">
        <f>K258+Table11217[[#This Row],[اجمالي الفاتوره]]-Table11217[[#This Row],[الدفعات]]</f>
        <v>0.87999999988824129</v>
      </c>
      <c r="M259" s="95"/>
    </row>
    <row r="260" spans="7:13" ht="24" customHeight="1" x14ac:dyDescent="0.3">
      <c r="G260" s="1">
        <f>0.14*Table11217[[#This Row],[النولون]]</f>
        <v>0</v>
      </c>
      <c r="I260" s="1">
        <f>Table11217[[#This Row],[النولون]]+Table11217[[#This Row],[الايصالات]]+Table11217[[#This Row],[قيمة مضافة]]</f>
        <v>0</v>
      </c>
      <c r="K260" s="1">
        <f>K259+Table11217[[#This Row],[اجمالي الفاتوره]]-Table11217[[#This Row],[الدفعات]]</f>
        <v>0.87999999988824129</v>
      </c>
      <c r="M260" s="95"/>
    </row>
    <row r="261" spans="7:13" ht="24" customHeight="1" x14ac:dyDescent="0.3">
      <c r="G261" s="1">
        <f>0.14*Table11217[[#This Row],[النولون]]</f>
        <v>0</v>
      </c>
      <c r="I261" s="1">
        <f>Table11217[[#This Row],[النولون]]+Table11217[[#This Row],[الايصالات]]+Table11217[[#This Row],[قيمة مضافة]]</f>
        <v>0</v>
      </c>
      <c r="K261" s="1">
        <f>K260+Table11217[[#This Row],[اجمالي الفاتوره]]-Table11217[[#This Row],[الدفعات]]</f>
        <v>0.87999999988824129</v>
      </c>
      <c r="M261" s="95"/>
    </row>
    <row r="262" spans="7:13" ht="24" customHeight="1" x14ac:dyDescent="0.3">
      <c r="G262" s="1">
        <f>0.14*Table11217[[#This Row],[النولون]]</f>
        <v>0</v>
      </c>
      <c r="I262" s="1">
        <f>Table11217[[#This Row],[النولون]]+Table11217[[#This Row],[الايصالات]]+Table11217[[#This Row],[قيمة مضافة]]</f>
        <v>0</v>
      </c>
      <c r="K262" s="1">
        <f>K261+Table11217[[#This Row],[اجمالي الفاتوره]]-Table11217[[#This Row],[الدفعات]]</f>
        <v>0.87999999988824129</v>
      </c>
      <c r="M262" s="95"/>
    </row>
    <row r="263" spans="7:13" ht="24" customHeight="1" x14ac:dyDescent="0.3">
      <c r="G263" s="1">
        <f>0.14*Table11217[[#This Row],[النولون]]</f>
        <v>0</v>
      </c>
      <c r="I263" s="1">
        <f>Table11217[[#This Row],[النولون]]+Table11217[[#This Row],[الايصالات]]+Table11217[[#This Row],[قيمة مضافة]]</f>
        <v>0</v>
      </c>
      <c r="K263" s="1">
        <f>K262+Table11217[[#This Row],[اجمالي الفاتوره]]-Table11217[[#This Row],[الدفعات]]</f>
        <v>0.87999999988824129</v>
      </c>
      <c r="M263" s="95"/>
    </row>
    <row r="264" spans="7:13" ht="24" customHeight="1" x14ac:dyDescent="0.3">
      <c r="G264" s="1">
        <f>0.14*Table11217[[#This Row],[النولون]]</f>
        <v>0</v>
      </c>
      <c r="I264" s="1">
        <f>Table11217[[#This Row],[النولون]]+Table11217[[#This Row],[الايصالات]]+Table11217[[#This Row],[قيمة مضافة]]</f>
        <v>0</v>
      </c>
      <c r="K264" s="1">
        <f>K263+Table11217[[#This Row],[اجمالي الفاتوره]]-Table11217[[#This Row],[الدفعات]]</f>
        <v>0.87999999988824129</v>
      </c>
      <c r="M264" s="95"/>
    </row>
    <row r="265" spans="7:13" ht="24" customHeight="1" x14ac:dyDescent="0.3">
      <c r="G265" s="1">
        <f>0.14*Table11217[[#This Row],[النولون]]</f>
        <v>0</v>
      </c>
      <c r="I265" s="1">
        <f>Table11217[[#This Row],[النولون]]+Table11217[[#This Row],[الايصالات]]+Table11217[[#This Row],[قيمة مضافة]]</f>
        <v>0</v>
      </c>
      <c r="K265" s="1">
        <f>K264+Table11217[[#This Row],[اجمالي الفاتوره]]-Table11217[[#This Row],[الدفعات]]</f>
        <v>0.87999999988824129</v>
      </c>
      <c r="M265" s="95"/>
    </row>
    <row r="266" spans="7:13" ht="24" customHeight="1" x14ac:dyDescent="0.3">
      <c r="G266" s="1">
        <f>0.14*Table11217[[#This Row],[النولون]]</f>
        <v>0</v>
      </c>
      <c r="I266" s="1">
        <f>Table11217[[#This Row],[النولون]]+Table11217[[#This Row],[الايصالات]]+Table11217[[#This Row],[قيمة مضافة]]</f>
        <v>0</v>
      </c>
      <c r="K266" s="1">
        <f>K265+Table11217[[#This Row],[اجمالي الفاتوره]]-Table11217[[#This Row],[الدفعات]]</f>
        <v>0.87999999988824129</v>
      </c>
      <c r="M266" s="95"/>
    </row>
    <row r="267" spans="7:13" ht="24" customHeight="1" x14ac:dyDescent="0.3">
      <c r="G267" s="1">
        <f>0.14*Table11217[[#This Row],[النولون]]</f>
        <v>0</v>
      </c>
      <c r="I267" s="1">
        <f>Table11217[[#This Row],[النولون]]+Table11217[[#This Row],[الايصالات]]+Table11217[[#This Row],[قيمة مضافة]]</f>
        <v>0</v>
      </c>
      <c r="K267" s="1">
        <f>K266+Table11217[[#This Row],[اجمالي الفاتوره]]-Table11217[[#This Row],[الدفعات]]</f>
        <v>0.87999999988824129</v>
      </c>
      <c r="M267" s="95"/>
    </row>
    <row r="268" spans="7:13" ht="24" customHeight="1" x14ac:dyDescent="0.3">
      <c r="G268" s="1">
        <f>0.14*Table11217[[#This Row],[النولون]]</f>
        <v>0</v>
      </c>
      <c r="I268" s="1">
        <f>Table11217[[#This Row],[النولون]]+Table11217[[#This Row],[الايصالات]]+Table11217[[#This Row],[قيمة مضافة]]</f>
        <v>0</v>
      </c>
      <c r="K268" s="1">
        <f>K267+Table11217[[#This Row],[اجمالي الفاتوره]]-Table11217[[#This Row],[الدفعات]]</f>
        <v>0.87999999988824129</v>
      </c>
      <c r="M268" s="95"/>
    </row>
    <row r="269" spans="7:13" ht="24" customHeight="1" x14ac:dyDescent="0.3">
      <c r="G269" s="1">
        <f>0.14*Table11217[[#This Row],[النولون]]</f>
        <v>0</v>
      </c>
      <c r="I269" s="1">
        <f>Table11217[[#This Row],[النولون]]+Table11217[[#This Row],[الايصالات]]+Table11217[[#This Row],[قيمة مضافة]]</f>
        <v>0</v>
      </c>
      <c r="K269" s="1">
        <f>K268+Table11217[[#This Row],[اجمالي الفاتوره]]-Table11217[[#This Row],[الدفعات]]</f>
        <v>0.87999999988824129</v>
      </c>
      <c r="M269" s="95"/>
    </row>
    <row r="270" spans="7:13" ht="24" customHeight="1" x14ac:dyDescent="0.3">
      <c r="G270" s="1">
        <f>0.14*Table11217[[#This Row],[النولون]]</f>
        <v>0</v>
      </c>
      <c r="I270" s="1">
        <f>Table11217[[#This Row],[النولون]]+Table11217[[#This Row],[الايصالات]]+Table11217[[#This Row],[قيمة مضافة]]</f>
        <v>0</v>
      </c>
      <c r="K270" s="1">
        <f>K269+Table11217[[#This Row],[اجمالي الفاتوره]]-Table11217[[#This Row],[الدفعات]]</f>
        <v>0.87999999988824129</v>
      </c>
      <c r="M270" s="95"/>
    </row>
    <row r="271" spans="7:13" ht="24" customHeight="1" x14ac:dyDescent="0.3">
      <c r="G271" s="1">
        <f>0.14*Table11217[[#This Row],[النولون]]</f>
        <v>0</v>
      </c>
      <c r="I271" s="1">
        <f>Table11217[[#This Row],[النولون]]+Table11217[[#This Row],[الايصالات]]+Table11217[[#This Row],[قيمة مضافة]]</f>
        <v>0</v>
      </c>
      <c r="K271" s="1">
        <f>K270+Table11217[[#This Row],[اجمالي الفاتوره]]-Table11217[[#This Row],[الدفعات]]</f>
        <v>0.87999999988824129</v>
      </c>
      <c r="M271" s="95"/>
    </row>
    <row r="272" spans="7:13" ht="24" customHeight="1" x14ac:dyDescent="0.3">
      <c r="G272" s="1">
        <f>0.14*Table11217[[#This Row],[النولون]]</f>
        <v>0</v>
      </c>
      <c r="I272" s="1">
        <f>Table11217[[#This Row],[النولون]]+Table11217[[#This Row],[الايصالات]]+Table11217[[#This Row],[قيمة مضافة]]</f>
        <v>0</v>
      </c>
      <c r="K272" s="1">
        <f>K271+Table11217[[#This Row],[اجمالي الفاتوره]]-Table11217[[#This Row],[الدفعات]]</f>
        <v>0.87999999988824129</v>
      </c>
      <c r="M272" s="95"/>
    </row>
    <row r="273" spans="7:13" ht="24" customHeight="1" x14ac:dyDescent="0.3">
      <c r="G273" s="1">
        <f>0.14*Table11217[[#This Row],[النولون]]</f>
        <v>0</v>
      </c>
      <c r="I273" s="1">
        <f>Table11217[[#This Row],[النولون]]+Table11217[[#This Row],[الايصالات]]+Table11217[[#This Row],[قيمة مضافة]]</f>
        <v>0</v>
      </c>
      <c r="K273" s="1">
        <f>K272+Table11217[[#This Row],[اجمالي الفاتوره]]-Table11217[[#This Row],[الدفعات]]</f>
        <v>0.87999999988824129</v>
      </c>
      <c r="M273" s="95"/>
    </row>
    <row r="274" spans="7:13" ht="24" customHeight="1" x14ac:dyDescent="0.3">
      <c r="G274" s="1">
        <f>0.14*Table11217[[#This Row],[النولون]]</f>
        <v>0</v>
      </c>
      <c r="I274" s="1">
        <f>Table11217[[#This Row],[النولون]]+Table11217[[#This Row],[الايصالات]]+Table11217[[#This Row],[قيمة مضافة]]</f>
        <v>0</v>
      </c>
      <c r="K274" s="1">
        <f>K273+Table11217[[#This Row],[اجمالي الفاتوره]]-Table11217[[#This Row],[الدفعات]]</f>
        <v>0.87999999988824129</v>
      </c>
      <c r="M274" s="95"/>
    </row>
    <row r="275" spans="7:13" ht="24" customHeight="1" x14ac:dyDescent="0.3">
      <c r="G275" s="1">
        <f>0.14*Table11217[[#This Row],[النولون]]</f>
        <v>0</v>
      </c>
      <c r="I275" s="1">
        <f>Table11217[[#This Row],[النولون]]+Table11217[[#This Row],[الايصالات]]+Table11217[[#This Row],[قيمة مضافة]]</f>
        <v>0</v>
      </c>
      <c r="K275" s="1">
        <f>K274+Table11217[[#This Row],[اجمالي الفاتوره]]-Table11217[[#This Row],[الدفعات]]</f>
        <v>0.87999999988824129</v>
      </c>
      <c r="M275" s="95"/>
    </row>
    <row r="276" spans="7:13" ht="24" customHeight="1" x14ac:dyDescent="0.3">
      <c r="G276" s="1">
        <f>0.14*Table11217[[#This Row],[النولون]]</f>
        <v>0</v>
      </c>
      <c r="I276" s="1">
        <f>Table11217[[#This Row],[النولون]]+Table11217[[#This Row],[الايصالات]]+Table11217[[#This Row],[قيمة مضافة]]</f>
        <v>0</v>
      </c>
      <c r="K276" s="1">
        <f>K275+Table11217[[#This Row],[اجمالي الفاتوره]]-Table11217[[#This Row],[الدفعات]]</f>
        <v>0.87999999988824129</v>
      </c>
      <c r="M276" s="95"/>
    </row>
    <row r="277" spans="7:13" ht="24" customHeight="1" x14ac:dyDescent="0.3">
      <c r="G277" s="1">
        <f>0.14*Table11217[[#This Row],[النولون]]</f>
        <v>0</v>
      </c>
      <c r="I277" s="1">
        <f>Table11217[[#This Row],[النولون]]+Table11217[[#This Row],[الايصالات]]+Table11217[[#This Row],[قيمة مضافة]]</f>
        <v>0</v>
      </c>
      <c r="K277" s="1">
        <f>K276+Table11217[[#This Row],[اجمالي الفاتوره]]-Table11217[[#This Row],[الدفعات]]</f>
        <v>0.87999999988824129</v>
      </c>
      <c r="M277" s="95"/>
    </row>
    <row r="278" spans="7:13" ht="24" customHeight="1" x14ac:dyDescent="0.3">
      <c r="G278" s="1">
        <f>0.14*Table11217[[#This Row],[النولون]]</f>
        <v>0</v>
      </c>
      <c r="I278" s="1">
        <f>Table11217[[#This Row],[النولون]]+Table11217[[#This Row],[الايصالات]]+Table11217[[#This Row],[قيمة مضافة]]</f>
        <v>0</v>
      </c>
      <c r="K278" s="1">
        <f>K277+Table11217[[#This Row],[اجمالي الفاتوره]]-Table11217[[#This Row],[الدفعات]]</f>
        <v>0.87999999988824129</v>
      </c>
      <c r="M278" s="95"/>
    </row>
    <row r="279" spans="7:13" ht="24" customHeight="1" x14ac:dyDescent="0.3">
      <c r="G279" s="1">
        <f>0.14*Table11217[[#This Row],[النولون]]</f>
        <v>0</v>
      </c>
      <c r="I279" s="1">
        <f>Table11217[[#This Row],[النولون]]+Table11217[[#This Row],[الايصالات]]+Table11217[[#This Row],[قيمة مضافة]]</f>
        <v>0</v>
      </c>
      <c r="K279" s="1">
        <f>K278+Table11217[[#This Row],[اجمالي الفاتوره]]-Table11217[[#This Row],[الدفعات]]</f>
        <v>0.87999999988824129</v>
      </c>
      <c r="M279" s="95"/>
    </row>
    <row r="280" spans="7:13" ht="24" customHeight="1" x14ac:dyDescent="0.3">
      <c r="G280" s="1">
        <f>0.14*Table11217[[#This Row],[النولون]]</f>
        <v>0</v>
      </c>
      <c r="I280" s="1">
        <f>Table11217[[#This Row],[النولون]]+Table11217[[#This Row],[الايصالات]]+Table11217[[#This Row],[قيمة مضافة]]</f>
        <v>0</v>
      </c>
      <c r="K280" s="1">
        <f>K279+Table11217[[#This Row],[اجمالي الفاتوره]]-Table11217[[#This Row],[الدفعات]]</f>
        <v>0.87999999988824129</v>
      </c>
      <c r="M280" s="95"/>
    </row>
    <row r="281" spans="7:13" ht="24" customHeight="1" x14ac:dyDescent="0.3">
      <c r="G281" s="1">
        <f>0.14*Table11217[[#This Row],[النولون]]</f>
        <v>0</v>
      </c>
      <c r="I281" s="1">
        <f>Table11217[[#This Row],[النولون]]+Table11217[[#This Row],[الايصالات]]+Table11217[[#This Row],[قيمة مضافة]]</f>
        <v>0</v>
      </c>
      <c r="K281" s="1">
        <f>K280+Table11217[[#This Row],[اجمالي الفاتوره]]-Table11217[[#This Row],[الدفعات]]</f>
        <v>0.87999999988824129</v>
      </c>
      <c r="M281" s="95"/>
    </row>
    <row r="282" spans="7:13" ht="24" customHeight="1" x14ac:dyDescent="0.3">
      <c r="G282" s="1">
        <f>0.14*Table11217[[#This Row],[النولون]]</f>
        <v>0</v>
      </c>
      <c r="I282" s="1">
        <f>Table11217[[#This Row],[النولون]]+Table11217[[#This Row],[الايصالات]]+Table11217[[#This Row],[قيمة مضافة]]</f>
        <v>0</v>
      </c>
      <c r="K282" s="1">
        <f>K281+Table11217[[#This Row],[اجمالي الفاتوره]]-Table11217[[#This Row],[الدفعات]]</f>
        <v>0.87999999988824129</v>
      </c>
      <c r="M282" s="95"/>
    </row>
    <row r="283" spans="7:13" ht="24" customHeight="1" x14ac:dyDescent="0.3">
      <c r="G283" s="1">
        <f>0.14*Table11217[[#This Row],[النولون]]</f>
        <v>0</v>
      </c>
      <c r="I283" s="1">
        <f>Table11217[[#This Row],[النولون]]+Table11217[[#This Row],[الايصالات]]+Table11217[[#This Row],[قيمة مضافة]]</f>
        <v>0</v>
      </c>
      <c r="K283" s="1">
        <f>K282+Table11217[[#This Row],[اجمالي الفاتوره]]-Table11217[[#This Row],[الدفعات]]</f>
        <v>0.87999999988824129</v>
      </c>
      <c r="M283" s="95"/>
    </row>
    <row r="284" spans="7:13" ht="24" customHeight="1" x14ac:dyDescent="0.3">
      <c r="G284" s="1">
        <f>0.14*Table11217[[#This Row],[النولون]]</f>
        <v>0</v>
      </c>
      <c r="I284" s="1">
        <f>Table11217[[#This Row],[النولون]]+Table11217[[#This Row],[الايصالات]]+Table11217[[#This Row],[قيمة مضافة]]</f>
        <v>0</v>
      </c>
      <c r="K284" s="1">
        <f>K283+Table11217[[#This Row],[اجمالي الفاتوره]]-Table11217[[#This Row],[الدفعات]]</f>
        <v>0.87999999988824129</v>
      </c>
      <c r="M284" s="95"/>
    </row>
    <row r="285" spans="7:13" ht="24" customHeight="1" x14ac:dyDescent="0.3">
      <c r="G285" s="1">
        <f>0.14*Table11217[[#This Row],[النولون]]</f>
        <v>0</v>
      </c>
      <c r="I285" s="1">
        <f>Table11217[[#This Row],[النولون]]+Table11217[[#This Row],[الايصالات]]+Table11217[[#This Row],[قيمة مضافة]]</f>
        <v>0</v>
      </c>
      <c r="K285" s="1">
        <f>K284+Table11217[[#This Row],[اجمالي الفاتوره]]-Table11217[[#This Row],[الدفعات]]</f>
        <v>0.87999999988824129</v>
      </c>
      <c r="M285" s="95"/>
    </row>
    <row r="286" spans="7:13" ht="24" customHeight="1" x14ac:dyDescent="0.3">
      <c r="G286" s="1">
        <f>0.14*Table11217[[#This Row],[النولون]]</f>
        <v>0</v>
      </c>
      <c r="I286" s="1">
        <f>Table11217[[#This Row],[النولون]]+Table11217[[#This Row],[الايصالات]]+Table11217[[#This Row],[قيمة مضافة]]</f>
        <v>0</v>
      </c>
      <c r="K286" s="1">
        <f>K285+Table11217[[#This Row],[اجمالي الفاتوره]]-Table11217[[#This Row],[الدفعات]]</f>
        <v>0.87999999988824129</v>
      </c>
      <c r="M286" s="95"/>
    </row>
    <row r="287" spans="7:13" ht="24" customHeight="1" x14ac:dyDescent="0.3">
      <c r="G287" s="1">
        <f>0.14*Table11217[[#This Row],[النولون]]</f>
        <v>0</v>
      </c>
      <c r="I287" s="1">
        <f>Table11217[[#This Row],[النولون]]+Table11217[[#This Row],[الايصالات]]+Table11217[[#This Row],[قيمة مضافة]]</f>
        <v>0</v>
      </c>
      <c r="K287" s="1">
        <f>K286+Table11217[[#This Row],[اجمالي الفاتوره]]-Table11217[[#This Row],[الدفعات]]</f>
        <v>0.87999999988824129</v>
      </c>
      <c r="M287" s="95"/>
    </row>
    <row r="288" spans="7:13" ht="24" customHeight="1" x14ac:dyDescent="0.3">
      <c r="G288" s="1">
        <f>0.14*Table11217[[#This Row],[النولون]]</f>
        <v>0</v>
      </c>
      <c r="I288" s="1">
        <f>Table11217[[#This Row],[النولون]]+Table11217[[#This Row],[الايصالات]]+Table11217[[#This Row],[قيمة مضافة]]</f>
        <v>0</v>
      </c>
      <c r="K288" s="1">
        <f>K287+Table11217[[#This Row],[اجمالي الفاتوره]]-Table11217[[#This Row],[الدفعات]]</f>
        <v>0.87999999988824129</v>
      </c>
      <c r="M288" s="95"/>
    </row>
    <row r="289" spans="7:13" ht="24" customHeight="1" x14ac:dyDescent="0.3">
      <c r="G289" s="1">
        <f>0.14*Table11217[[#This Row],[النولون]]</f>
        <v>0</v>
      </c>
      <c r="I289" s="1">
        <f>Table11217[[#This Row],[النولون]]+Table11217[[#This Row],[الايصالات]]+Table11217[[#This Row],[قيمة مضافة]]</f>
        <v>0</v>
      </c>
      <c r="K289" s="1">
        <f>K288+Table11217[[#This Row],[اجمالي الفاتوره]]-Table11217[[#This Row],[الدفعات]]</f>
        <v>0.87999999988824129</v>
      </c>
      <c r="M289" s="95"/>
    </row>
    <row r="290" spans="7:13" ht="24" customHeight="1" x14ac:dyDescent="0.3">
      <c r="G290" s="1">
        <f>0.14*Table11217[[#This Row],[النولون]]</f>
        <v>0</v>
      </c>
      <c r="I290" s="1">
        <f>Table11217[[#This Row],[النولون]]+Table11217[[#This Row],[الايصالات]]+Table11217[[#This Row],[قيمة مضافة]]</f>
        <v>0</v>
      </c>
      <c r="K290" s="1">
        <f>K289+Table11217[[#This Row],[اجمالي الفاتوره]]-Table11217[[#This Row],[الدفعات]]</f>
        <v>0.87999999988824129</v>
      </c>
      <c r="M290" s="95"/>
    </row>
    <row r="291" spans="7:13" ht="24" customHeight="1" x14ac:dyDescent="0.3">
      <c r="G291" s="1">
        <f>0.14*Table11217[[#This Row],[النولون]]</f>
        <v>0</v>
      </c>
      <c r="I291" s="1">
        <f>Table11217[[#This Row],[النولون]]+Table11217[[#This Row],[الايصالات]]+Table11217[[#This Row],[قيمة مضافة]]</f>
        <v>0</v>
      </c>
      <c r="K291" s="1">
        <f>K290+Table11217[[#This Row],[اجمالي الفاتوره]]-Table11217[[#This Row],[الدفعات]]</f>
        <v>0.87999999988824129</v>
      </c>
      <c r="M291" s="95"/>
    </row>
    <row r="292" spans="7:13" ht="24" customHeight="1" x14ac:dyDescent="0.3">
      <c r="G292" s="1">
        <f>0.14*Table11217[[#This Row],[النولون]]</f>
        <v>0</v>
      </c>
      <c r="I292" s="1">
        <f>Table11217[[#This Row],[النولون]]+Table11217[[#This Row],[الايصالات]]+Table11217[[#This Row],[قيمة مضافة]]</f>
        <v>0</v>
      </c>
      <c r="K292" s="1">
        <f>K291+Table11217[[#This Row],[اجمالي الفاتوره]]-Table11217[[#This Row],[الدفعات]]</f>
        <v>0.87999999988824129</v>
      </c>
      <c r="M292" s="95"/>
    </row>
    <row r="293" spans="7:13" ht="24" customHeight="1" x14ac:dyDescent="0.3">
      <c r="G293" s="1">
        <f>0.14*Table11217[[#This Row],[النولون]]</f>
        <v>0</v>
      </c>
      <c r="I293" s="1">
        <f>Table11217[[#This Row],[النولون]]+Table11217[[#This Row],[الايصالات]]+Table11217[[#This Row],[قيمة مضافة]]</f>
        <v>0</v>
      </c>
      <c r="K293" s="1">
        <f>K292+Table11217[[#This Row],[اجمالي الفاتوره]]-Table11217[[#This Row],[الدفعات]]</f>
        <v>0.87999999988824129</v>
      </c>
      <c r="M293" s="95"/>
    </row>
    <row r="294" spans="7:13" ht="24" customHeight="1" x14ac:dyDescent="0.3">
      <c r="G294" s="1">
        <f>0.14*Table11217[[#This Row],[النولون]]</f>
        <v>0</v>
      </c>
      <c r="I294" s="1">
        <f>Table11217[[#This Row],[النولون]]+Table11217[[#This Row],[الايصالات]]+Table11217[[#This Row],[قيمة مضافة]]</f>
        <v>0</v>
      </c>
      <c r="K294" s="1">
        <f>K293+Table11217[[#This Row],[اجمالي الفاتوره]]-Table11217[[#This Row],[الدفعات]]</f>
        <v>0.87999999988824129</v>
      </c>
      <c r="M294" s="95"/>
    </row>
    <row r="295" spans="7:13" ht="24" customHeight="1" x14ac:dyDescent="0.3">
      <c r="G295" s="1">
        <f>0.14*Table11217[[#This Row],[النولون]]</f>
        <v>0</v>
      </c>
      <c r="I295" s="1">
        <f>Table11217[[#This Row],[النولون]]+Table11217[[#This Row],[الايصالات]]+Table11217[[#This Row],[قيمة مضافة]]</f>
        <v>0</v>
      </c>
      <c r="K295" s="1">
        <f>K294+Table11217[[#This Row],[اجمالي الفاتوره]]-Table11217[[#This Row],[الدفعات]]</f>
        <v>0.87999999988824129</v>
      </c>
      <c r="M295" s="95"/>
    </row>
    <row r="296" spans="7:13" ht="24" customHeight="1" x14ac:dyDescent="0.3">
      <c r="G296" s="1">
        <f>0.14*Table11217[[#This Row],[النولون]]</f>
        <v>0</v>
      </c>
      <c r="I296" s="1">
        <f>Table11217[[#This Row],[النولون]]+Table11217[[#This Row],[الايصالات]]+Table11217[[#This Row],[قيمة مضافة]]</f>
        <v>0</v>
      </c>
      <c r="K296" s="1">
        <f>K295+Table11217[[#This Row],[اجمالي الفاتوره]]-Table11217[[#This Row],[الدفعات]]</f>
        <v>0.87999999988824129</v>
      </c>
      <c r="M296" s="95"/>
    </row>
    <row r="297" spans="7:13" ht="24" customHeight="1" x14ac:dyDescent="0.3">
      <c r="G297" s="1">
        <f>0.14*Table11217[[#This Row],[النولون]]</f>
        <v>0</v>
      </c>
      <c r="I297" s="1">
        <f>Table11217[[#This Row],[النولون]]+Table11217[[#This Row],[الايصالات]]+Table11217[[#This Row],[قيمة مضافة]]</f>
        <v>0</v>
      </c>
      <c r="K297" s="1">
        <f>K296+Table11217[[#This Row],[اجمالي الفاتوره]]-Table11217[[#This Row],[الدفعات]]</f>
        <v>0.87999999988824129</v>
      </c>
      <c r="M297" s="95"/>
    </row>
    <row r="298" spans="7:13" ht="24" customHeight="1" x14ac:dyDescent="0.3">
      <c r="G298" s="1">
        <f>0.14*Table11217[[#This Row],[النولون]]</f>
        <v>0</v>
      </c>
      <c r="I298" s="1">
        <f>Table11217[[#This Row],[النولون]]+Table11217[[#This Row],[الايصالات]]+Table11217[[#This Row],[قيمة مضافة]]</f>
        <v>0</v>
      </c>
      <c r="K298" s="1">
        <f>K297+Table11217[[#This Row],[اجمالي الفاتوره]]-Table11217[[#This Row],[الدفعات]]</f>
        <v>0.87999999988824129</v>
      </c>
      <c r="M298" s="95"/>
    </row>
    <row r="299" spans="7:13" ht="24" customHeight="1" x14ac:dyDescent="0.3">
      <c r="G299" s="1">
        <f>0.14*Table11217[[#This Row],[النولون]]</f>
        <v>0</v>
      </c>
      <c r="I299" s="1">
        <f>Table11217[[#This Row],[النولون]]+Table11217[[#This Row],[الايصالات]]+Table11217[[#This Row],[قيمة مضافة]]</f>
        <v>0</v>
      </c>
      <c r="K299" s="1">
        <f>K298+Table11217[[#This Row],[اجمالي الفاتوره]]-Table11217[[#This Row],[الدفعات]]</f>
        <v>0.87999999988824129</v>
      </c>
      <c r="M299" s="95"/>
    </row>
    <row r="300" spans="7:13" ht="24" customHeight="1" x14ac:dyDescent="0.3">
      <c r="G300" s="1">
        <f>0.14*Table11217[[#This Row],[النولون]]</f>
        <v>0</v>
      </c>
      <c r="I300" s="1">
        <f>Table11217[[#This Row],[النولون]]+Table11217[[#This Row],[الايصالات]]+Table11217[[#This Row],[قيمة مضافة]]</f>
        <v>0</v>
      </c>
      <c r="K300" s="1">
        <f>K299+Table11217[[#This Row],[اجمالي الفاتوره]]-Table11217[[#This Row],[الدفعات]]</f>
        <v>0.87999999988824129</v>
      </c>
      <c r="M300" s="95"/>
    </row>
    <row r="301" spans="7:13" ht="24" customHeight="1" x14ac:dyDescent="0.3">
      <c r="G301" s="1">
        <f>0.14*Table11217[[#This Row],[النولون]]</f>
        <v>0</v>
      </c>
      <c r="I301" s="1">
        <f>Table11217[[#This Row],[النولون]]+Table11217[[#This Row],[الايصالات]]+Table11217[[#This Row],[قيمة مضافة]]</f>
        <v>0</v>
      </c>
      <c r="K301" s="1">
        <f>K300+Table11217[[#This Row],[اجمالي الفاتوره]]-Table11217[[#This Row],[الدفعات]]</f>
        <v>0.87999999988824129</v>
      </c>
      <c r="M301" s="95"/>
    </row>
    <row r="302" spans="7:13" ht="24" customHeight="1" x14ac:dyDescent="0.3">
      <c r="G302" s="1">
        <f>0.14*Table11217[[#This Row],[النولون]]</f>
        <v>0</v>
      </c>
      <c r="I302" s="1">
        <f>Table11217[[#This Row],[النولون]]+Table11217[[#This Row],[الايصالات]]+Table11217[[#This Row],[قيمة مضافة]]</f>
        <v>0</v>
      </c>
      <c r="K302" s="1">
        <f>K301+Table11217[[#This Row],[اجمالي الفاتوره]]-Table11217[[#This Row],[الدفعات]]</f>
        <v>0.87999999988824129</v>
      </c>
      <c r="M302" s="95"/>
    </row>
    <row r="303" spans="7:13" ht="24" customHeight="1" x14ac:dyDescent="0.3">
      <c r="G303" s="1">
        <f>0.14*Table11217[[#This Row],[النولون]]</f>
        <v>0</v>
      </c>
      <c r="I303" s="1">
        <f>Table11217[[#This Row],[النولون]]+Table11217[[#This Row],[الايصالات]]+Table11217[[#This Row],[قيمة مضافة]]</f>
        <v>0</v>
      </c>
      <c r="K303" s="1">
        <f>K302+Table11217[[#This Row],[اجمالي الفاتوره]]-Table11217[[#This Row],[الدفعات]]</f>
        <v>0.87999999988824129</v>
      </c>
      <c r="M303" s="95"/>
    </row>
    <row r="304" spans="7:13" ht="24" customHeight="1" x14ac:dyDescent="0.3">
      <c r="G304" s="1">
        <f>0.14*Table11217[[#This Row],[النولون]]</f>
        <v>0</v>
      </c>
      <c r="I304" s="1">
        <f>Table11217[[#This Row],[النولون]]+Table11217[[#This Row],[الايصالات]]+Table11217[[#This Row],[قيمة مضافة]]</f>
        <v>0</v>
      </c>
      <c r="K304" s="1">
        <f>K303+Table11217[[#This Row],[اجمالي الفاتوره]]-Table11217[[#This Row],[الدفعات]]</f>
        <v>0.87999999988824129</v>
      </c>
      <c r="M304" s="95"/>
    </row>
    <row r="305" spans="7:13" ht="24" customHeight="1" x14ac:dyDescent="0.3">
      <c r="G305" s="1">
        <f>0.14*Table11217[[#This Row],[النولون]]</f>
        <v>0</v>
      </c>
      <c r="I305" s="1">
        <f>Table11217[[#This Row],[النولون]]+Table11217[[#This Row],[الايصالات]]+Table11217[[#This Row],[قيمة مضافة]]</f>
        <v>0</v>
      </c>
      <c r="K305" s="1">
        <f>K304+Table11217[[#This Row],[اجمالي الفاتوره]]-Table11217[[#This Row],[الدفعات]]</f>
        <v>0.87999999988824129</v>
      </c>
      <c r="M305" s="95"/>
    </row>
    <row r="306" spans="7:13" ht="24" customHeight="1" x14ac:dyDescent="0.3">
      <c r="G306" s="1">
        <f>0.14*Table11217[[#This Row],[النولون]]</f>
        <v>0</v>
      </c>
      <c r="I306" s="1">
        <f>Table11217[[#This Row],[النولون]]+Table11217[[#This Row],[الايصالات]]+Table11217[[#This Row],[قيمة مضافة]]</f>
        <v>0</v>
      </c>
      <c r="K306" s="1">
        <f>K305+Table11217[[#This Row],[اجمالي الفاتوره]]-Table11217[[#This Row],[الدفعات]]</f>
        <v>0.87999999988824129</v>
      </c>
      <c r="M306" s="95"/>
    </row>
    <row r="307" spans="7:13" ht="24" customHeight="1" x14ac:dyDescent="0.3">
      <c r="G307" s="1">
        <f>0.14*Table11217[[#This Row],[النولون]]</f>
        <v>0</v>
      </c>
      <c r="I307" s="1">
        <f>Table11217[[#This Row],[النولون]]+Table11217[[#This Row],[الايصالات]]+Table11217[[#This Row],[قيمة مضافة]]</f>
        <v>0</v>
      </c>
      <c r="K307" s="1">
        <f>K306+Table11217[[#This Row],[اجمالي الفاتوره]]-Table11217[[#This Row],[الدفعات]]</f>
        <v>0.87999999988824129</v>
      </c>
      <c r="M307" s="95"/>
    </row>
    <row r="308" spans="7:13" ht="24" customHeight="1" x14ac:dyDescent="0.3">
      <c r="G308" s="1">
        <f>0.14*Table11217[[#This Row],[النولون]]</f>
        <v>0</v>
      </c>
      <c r="I308" s="1">
        <f>Table11217[[#This Row],[النولون]]+Table11217[[#This Row],[الايصالات]]+Table11217[[#This Row],[قيمة مضافة]]</f>
        <v>0</v>
      </c>
      <c r="K308" s="1">
        <f>K307+Table11217[[#This Row],[اجمالي الفاتوره]]-Table11217[[#This Row],[الدفعات]]</f>
        <v>0.87999999988824129</v>
      </c>
      <c r="M308" s="95"/>
    </row>
    <row r="309" spans="7:13" ht="24" customHeight="1" x14ac:dyDescent="0.3">
      <c r="G309" s="1">
        <f>0.14*Table11217[[#This Row],[النولون]]</f>
        <v>0</v>
      </c>
      <c r="I309" s="1">
        <f>Table11217[[#This Row],[النولون]]+Table11217[[#This Row],[الايصالات]]+Table11217[[#This Row],[قيمة مضافة]]</f>
        <v>0</v>
      </c>
      <c r="K309" s="1">
        <f>K308+Table11217[[#This Row],[اجمالي الفاتوره]]-Table11217[[#This Row],[الدفعات]]</f>
        <v>0.87999999988824129</v>
      </c>
      <c r="M309" s="95"/>
    </row>
    <row r="310" spans="7:13" ht="24" customHeight="1" x14ac:dyDescent="0.3">
      <c r="G310" s="1">
        <f>0.14*Table11217[[#This Row],[النولون]]</f>
        <v>0</v>
      </c>
      <c r="I310" s="1">
        <f>Table11217[[#This Row],[النولون]]+Table11217[[#This Row],[الايصالات]]+Table11217[[#This Row],[قيمة مضافة]]</f>
        <v>0</v>
      </c>
      <c r="K310" s="1">
        <f>K309+Table11217[[#This Row],[اجمالي الفاتوره]]-Table11217[[#This Row],[الدفعات]]</f>
        <v>0.87999999988824129</v>
      </c>
      <c r="M310" s="95"/>
    </row>
    <row r="311" spans="7:13" ht="24" customHeight="1" x14ac:dyDescent="0.3">
      <c r="G311" s="1">
        <f>0.14*Table11217[[#This Row],[النولون]]</f>
        <v>0</v>
      </c>
      <c r="I311" s="1">
        <f>Table11217[[#This Row],[النولون]]+Table11217[[#This Row],[الايصالات]]+Table11217[[#This Row],[قيمة مضافة]]</f>
        <v>0</v>
      </c>
      <c r="K311" s="1">
        <f>K310+Table11217[[#This Row],[اجمالي الفاتوره]]-Table11217[[#This Row],[الدفعات]]</f>
        <v>0.87999999988824129</v>
      </c>
      <c r="M311" s="95"/>
    </row>
    <row r="312" spans="7:13" ht="24" customHeight="1" x14ac:dyDescent="0.3">
      <c r="G312" s="1">
        <f>0.14*Table11217[[#This Row],[النولون]]</f>
        <v>0</v>
      </c>
      <c r="I312" s="1">
        <f>Table11217[[#This Row],[النولون]]+Table11217[[#This Row],[الايصالات]]+Table11217[[#This Row],[قيمة مضافة]]</f>
        <v>0</v>
      </c>
      <c r="K312" s="1">
        <f>K311+Table11217[[#This Row],[اجمالي الفاتوره]]-Table11217[[#This Row],[الدفعات]]</f>
        <v>0.87999999988824129</v>
      </c>
      <c r="M312" s="95"/>
    </row>
    <row r="313" spans="7:13" ht="24" customHeight="1" x14ac:dyDescent="0.3">
      <c r="G313" s="1">
        <f>0.14*Table11217[[#This Row],[النولون]]</f>
        <v>0</v>
      </c>
      <c r="I313" s="1">
        <f>Table11217[[#This Row],[النولون]]+Table11217[[#This Row],[الايصالات]]+Table11217[[#This Row],[قيمة مضافة]]</f>
        <v>0</v>
      </c>
      <c r="K313" s="1">
        <f>K312+Table11217[[#This Row],[اجمالي الفاتوره]]-Table11217[[#This Row],[الدفعات]]</f>
        <v>0.87999999988824129</v>
      </c>
      <c r="M313" s="95"/>
    </row>
    <row r="314" spans="7:13" ht="24" customHeight="1" x14ac:dyDescent="0.3">
      <c r="G314" s="1">
        <f>0.14*Table11217[[#This Row],[النولون]]</f>
        <v>0</v>
      </c>
      <c r="I314" s="1">
        <f>Table11217[[#This Row],[النولون]]+Table11217[[#This Row],[الايصالات]]+Table11217[[#This Row],[قيمة مضافة]]</f>
        <v>0</v>
      </c>
      <c r="K314" s="1">
        <f>K313+Table11217[[#This Row],[اجمالي الفاتوره]]-Table11217[[#This Row],[الدفعات]]</f>
        <v>0.87999999988824129</v>
      </c>
      <c r="M314" s="95"/>
    </row>
    <row r="315" spans="7:13" ht="24" customHeight="1" x14ac:dyDescent="0.3">
      <c r="G315" s="1">
        <f>0.14*Table11217[[#This Row],[النولون]]</f>
        <v>0</v>
      </c>
      <c r="I315" s="1">
        <f>Table11217[[#This Row],[النولون]]+Table11217[[#This Row],[الايصالات]]+Table11217[[#This Row],[قيمة مضافة]]</f>
        <v>0</v>
      </c>
      <c r="K315" s="1">
        <f>K314+Table11217[[#This Row],[اجمالي الفاتوره]]-Table11217[[#This Row],[الدفعات]]</f>
        <v>0.87999999988824129</v>
      </c>
      <c r="M315" s="95"/>
    </row>
    <row r="316" spans="7:13" ht="24" customHeight="1" x14ac:dyDescent="0.3">
      <c r="G316" s="1">
        <f>0.14*Table11217[[#This Row],[النولون]]</f>
        <v>0</v>
      </c>
      <c r="I316" s="1">
        <f>Table11217[[#This Row],[النولون]]+Table11217[[#This Row],[الايصالات]]+Table11217[[#This Row],[قيمة مضافة]]</f>
        <v>0</v>
      </c>
      <c r="K316" s="1">
        <f>K315+Table11217[[#This Row],[اجمالي الفاتوره]]-Table11217[[#This Row],[الدفعات]]</f>
        <v>0.87999999988824129</v>
      </c>
      <c r="M316" s="95"/>
    </row>
    <row r="317" spans="7:13" ht="24" customHeight="1" x14ac:dyDescent="0.3">
      <c r="G317" s="1">
        <f>0.14*Table11217[[#This Row],[النولون]]</f>
        <v>0</v>
      </c>
      <c r="I317" s="1">
        <f>Table11217[[#This Row],[النولون]]+Table11217[[#This Row],[الايصالات]]+Table11217[[#This Row],[قيمة مضافة]]</f>
        <v>0</v>
      </c>
      <c r="K317" s="1">
        <f>K316+Table11217[[#This Row],[اجمالي الفاتوره]]-Table11217[[#This Row],[الدفعات]]</f>
        <v>0.87999999988824129</v>
      </c>
      <c r="M317" s="95"/>
    </row>
    <row r="318" spans="7:13" ht="24" customHeight="1" x14ac:dyDescent="0.3">
      <c r="G318" s="1">
        <f>0.14*Table11217[[#This Row],[النولون]]</f>
        <v>0</v>
      </c>
      <c r="I318" s="1">
        <f>Table11217[[#This Row],[النولون]]+Table11217[[#This Row],[الايصالات]]+Table11217[[#This Row],[قيمة مضافة]]</f>
        <v>0</v>
      </c>
      <c r="K318" s="1">
        <f>K317+Table11217[[#This Row],[اجمالي الفاتوره]]-Table11217[[#This Row],[الدفعات]]</f>
        <v>0.87999999988824129</v>
      </c>
      <c r="M318" s="95"/>
    </row>
    <row r="319" spans="7:13" ht="24" customHeight="1" x14ac:dyDescent="0.3">
      <c r="G319" s="1">
        <f>0.14*Table11217[[#This Row],[النولون]]</f>
        <v>0</v>
      </c>
      <c r="I319" s="1">
        <f>Table11217[[#This Row],[النولون]]+Table11217[[#This Row],[الايصالات]]+Table11217[[#This Row],[قيمة مضافة]]</f>
        <v>0</v>
      </c>
      <c r="K319" s="1">
        <f>K318+Table11217[[#This Row],[اجمالي الفاتوره]]-Table11217[[#This Row],[الدفعات]]</f>
        <v>0.87999999988824129</v>
      </c>
      <c r="M319" s="95"/>
    </row>
    <row r="320" spans="7:13" ht="24" customHeight="1" x14ac:dyDescent="0.3">
      <c r="G320" s="1">
        <f>0.14*Table11217[[#This Row],[النولون]]</f>
        <v>0</v>
      </c>
      <c r="I320" s="1">
        <f>Table11217[[#This Row],[النولون]]+Table11217[[#This Row],[الايصالات]]+Table11217[[#This Row],[قيمة مضافة]]</f>
        <v>0</v>
      </c>
      <c r="K320" s="1">
        <f>K319+Table11217[[#This Row],[اجمالي الفاتوره]]-Table11217[[#This Row],[الدفعات]]</f>
        <v>0.87999999988824129</v>
      </c>
      <c r="M320" s="95"/>
    </row>
    <row r="321" spans="7:13" ht="24" customHeight="1" x14ac:dyDescent="0.3">
      <c r="G321" s="1">
        <f>0.14*Table11217[[#This Row],[النولون]]</f>
        <v>0</v>
      </c>
      <c r="I321" s="1">
        <f>Table11217[[#This Row],[النولون]]+Table11217[[#This Row],[الايصالات]]+Table11217[[#This Row],[قيمة مضافة]]</f>
        <v>0</v>
      </c>
      <c r="K321" s="1">
        <f>K320+Table11217[[#This Row],[اجمالي الفاتوره]]-Table11217[[#This Row],[الدفعات]]</f>
        <v>0.87999999988824129</v>
      </c>
      <c r="M321" s="95"/>
    </row>
    <row r="322" spans="7:13" ht="24" customHeight="1" x14ac:dyDescent="0.3">
      <c r="G322" s="1">
        <f>0.14*Table11217[[#This Row],[النولون]]</f>
        <v>0</v>
      </c>
      <c r="I322" s="1">
        <f>Table11217[[#This Row],[النولون]]+Table11217[[#This Row],[الايصالات]]+Table11217[[#This Row],[قيمة مضافة]]</f>
        <v>0</v>
      </c>
      <c r="K322" s="1">
        <f>K321+Table11217[[#This Row],[اجمالي الفاتوره]]-Table11217[[#This Row],[الدفعات]]</f>
        <v>0.87999999988824129</v>
      </c>
      <c r="M322" s="95"/>
    </row>
    <row r="323" spans="7:13" ht="24" customHeight="1" x14ac:dyDescent="0.3">
      <c r="G323" s="1">
        <f>0.14*Table11217[[#This Row],[النولون]]</f>
        <v>0</v>
      </c>
      <c r="I323" s="1">
        <f>Table11217[[#This Row],[النولون]]+Table11217[[#This Row],[الايصالات]]+Table11217[[#This Row],[قيمة مضافة]]</f>
        <v>0</v>
      </c>
      <c r="K323" s="1">
        <f>K322+Table11217[[#This Row],[اجمالي الفاتوره]]-Table11217[[#This Row],[الدفعات]]</f>
        <v>0.87999999988824129</v>
      </c>
      <c r="M323" s="95"/>
    </row>
    <row r="324" spans="7:13" ht="24" customHeight="1" x14ac:dyDescent="0.3">
      <c r="G324" s="1">
        <f>0.14*Table11217[[#This Row],[النولون]]</f>
        <v>0</v>
      </c>
      <c r="I324" s="1">
        <f>Table11217[[#This Row],[النولون]]+Table11217[[#This Row],[الايصالات]]+Table11217[[#This Row],[قيمة مضافة]]</f>
        <v>0</v>
      </c>
      <c r="K324" s="1">
        <f>K323+Table11217[[#This Row],[اجمالي الفاتوره]]-Table11217[[#This Row],[الدفعات]]</f>
        <v>0.87999999988824129</v>
      </c>
      <c r="M324" s="95"/>
    </row>
    <row r="325" spans="7:13" ht="24" customHeight="1" x14ac:dyDescent="0.3">
      <c r="G325" s="1">
        <f>0.14*Table11217[[#This Row],[النولون]]</f>
        <v>0</v>
      </c>
      <c r="I325" s="1">
        <f>Table11217[[#This Row],[النولون]]+Table11217[[#This Row],[الايصالات]]+Table11217[[#This Row],[قيمة مضافة]]</f>
        <v>0</v>
      </c>
      <c r="K325" s="1">
        <f>K324+Table11217[[#This Row],[اجمالي الفاتوره]]-Table11217[[#This Row],[الدفعات]]</f>
        <v>0.87999999988824129</v>
      </c>
      <c r="M325" s="95"/>
    </row>
    <row r="326" spans="7:13" ht="24" customHeight="1" x14ac:dyDescent="0.3">
      <c r="G326" s="1">
        <f>0.14*Table11217[[#This Row],[النولون]]</f>
        <v>0</v>
      </c>
      <c r="I326" s="1">
        <f>Table11217[[#This Row],[النولون]]+Table11217[[#This Row],[الايصالات]]+Table11217[[#This Row],[قيمة مضافة]]</f>
        <v>0</v>
      </c>
      <c r="K326" s="1">
        <f>K325+Table11217[[#This Row],[اجمالي الفاتوره]]-Table11217[[#This Row],[الدفعات]]</f>
        <v>0.87999999988824129</v>
      </c>
      <c r="M326" s="95"/>
    </row>
    <row r="327" spans="7:13" ht="24" customHeight="1" x14ac:dyDescent="0.3">
      <c r="G327" s="1">
        <f>0.14*Table11217[[#This Row],[النولون]]</f>
        <v>0</v>
      </c>
      <c r="I327" s="1">
        <f>Table11217[[#This Row],[النولون]]+Table11217[[#This Row],[الايصالات]]+Table11217[[#This Row],[قيمة مضافة]]</f>
        <v>0</v>
      </c>
      <c r="K327" s="1">
        <f>K326+Table11217[[#This Row],[اجمالي الفاتوره]]-Table11217[[#This Row],[الدفعات]]</f>
        <v>0.87999999988824129</v>
      </c>
      <c r="M327" s="95"/>
    </row>
    <row r="328" spans="7:13" ht="24" customHeight="1" x14ac:dyDescent="0.3">
      <c r="G328" s="1">
        <f>0.14*Table11217[[#This Row],[النولون]]</f>
        <v>0</v>
      </c>
      <c r="I328" s="1">
        <f>Table11217[[#This Row],[النولون]]+Table11217[[#This Row],[الايصالات]]+Table11217[[#This Row],[قيمة مضافة]]</f>
        <v>0</v>
      </c>
      <c r="K328" s="1">
        <f>K327+Table11217[[#This Row],[اجمالي الفاتوره]]-Table11217[[#This Row],[الدفعات]]</f>
        <v>0.87999999988824129</v>
      </c>
      <c r="M328" s="95"/>
    </row>
    <row r="329" spans="7:13" ht="24" customHeight="1" x14ac:dyDescent="0.3">
      <c r="G329" s="1">
        <f>0.14*Table11217[[#This Row],[النولون]]</f>
        <v>0</v>
      </c>
      <c r="I329" s="1">
        <f>Table11217[[#This Row],[النولون]]+Table11217[[#This Row],[الايصالات]]+Table11217[[#This Row],[قيمة مضافة]]</f>
        <v>0</v>
      </c>
      <c r="K329" s="1">
        <f>K328+Table11217[[#This Row],[اجمالي الفاتوره]]-Table11217[[#This Row],[الدفعات]]</f>
        <v>0.87999999988824129</v>
      </c>
      <c r="M329" s="95"/>
    </row>
    <row r="330" spans="7:13" ht="24" customHeight="1" x14ac:dyDescent="0.3">
      <c r="G330" s="1">
        <f>0.14*Table11217[[#This Row],[النولون]]</f>
        <v>0</v>
      </c>
      <c r="I330" s="1">
        <f>Table11217[[#This Row],[النولون]]+Table11217[[#This Row],[الايصالات]]+Table11217[[#This Row],[قيمة مضافة]]</f>
        <v>0</v>
      </c>
      <c r="K330" s="1">
        <f>K329+Table11217[[#This Row],[اجمالي الفاتوره]]-Table11217[[#This Row],[الدفعات]]</f>
        <v>0.87999999988824129</v>
      </c>
      <c r="M330" s="95"/>
    </row>
    <row r="331" spans="7:13" ht="24" customHeight="1" x14ac:dyDescent="0.3">
      <c r="G331" s="1">
        <f>0.14*Table11217[[#This Row],[النولون]]</f>
        <v>0</v>
      </c>
      <c r="I331" s="1">
        <f>Table11217[[#This Row],[النولون]]+Table11217[[#This Row],[الايصالات]]+Table11217[[#This Row],[قيمة مضافة]]</f>
        <v>0</v>
      </c>
      <c r="K331" s="1">
        <f>K330+Table11217[[#This Row],[اجمالي الفاتوره]]-Table11217[[#This Row],[الدفعات]]</f>
        <v>0.87999999988824129</v>
      </c>
      <c r="M331" s="95"/>
    </row>
    <row r="332" spans="7:13" ht="24" customHeight="1" x14ac:dyDescent="0.3">
      <c r="G332" s="1">
        <f>0.14*Table11217[[#This Row],[النولون]]</f>
        <v>0</v>
      </c>
      <c r="I332" s="1">
        <f>Table11217[[#This Row],[النولون]]+Table11217[[#This Row],[الايصالات]]+Table11217[[#This Row],[قيمة مضافة]]</f>
        <v>0</v>
      </c>
      <c r="K332" s="1">
        <f>K331+Table11217[[#This Row],[اجمالي الفاتوره]]-Table11217[[#This Row],[الدفعات]]</f>
        <v>0.87999999988824129</v>
      </c>
      <c r="M332" s="95"/>
    </row>
    <row r="333" spans="7:13" ht="24" customHeight="1" x14ac:dyDescent="0.3">
      <c r="G333" s="1">
        <f>0.14*Table11217[[#This Row],[النولون]]</f>
        <v>0</v>
      </c>
      <c r="I333" s="1">
        <f>Table11217[[#This Row],[النولون]]+Table11217[[#This Row],[الايصالات]]+Table11217[[#This Row],[قيمة مضافة]]</f>
        <v>0</v>
      </c>
      <c r="K333" s="1">
        <f>K332+Table11217[[#This Row],[اجمالي الفاتوره]]-Table11217[[#This Row],[الدفعات]]</f>
        <v>0.87999999988824129</v>
      </c>
      <c r="M333" s="95"/>
    </row>
  </sheetData>
  <phoneticPr fontId="2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339"/>
  <sheetViews>
    <sheetView rightToLeft="1" zoomScale="90" zoomScaleNormal="90" workbookViewId="0">
      <selection activeCell="A6" sqref="A6"/>
    </sheetView>
  </sheetViews>
  <sheetFormatPr defaultColWidth="9.109375" defaultRowHeight="23.25" customHeight="1" x14ac:dyDescent="0.3"/>
  <cols>
    <col min="1" max="1" width="9.109375" style="6"/>
    <col min="2" max="2" width="5.44140625" style="1" customWidth="1"/>
    <col min="3" max="3" width="11" style="1" customWidth="1"/>
    <col min="4" max="4" width="15.109375" style="1" customWidth="1"/>
    <col min="5" max="5" width="11.21875" style="1" customWidth="1"/>
    <col min="6" max="6" width="13.33203125" style="1" customWidth="1"/>
    <col min="7" max="7" width="11.88671875" style="1" customWidth="1"/>
    <col min="8" max="8" width="11.6640625" style="1" customWidth="1"/>
    <col min="9" max="9" width="8.33203125" style="1" customWidth="1"/>
    <col min="10" max="10" width="10.77734375" style="1" customWidth="1"/>
    <col min="11" max="11" width="12" style="1" customWidth="1"/>
    <col min="12" max="12" width="12.77734375" style="1" customWidth="1"/>
    <col min="13" max="13" width="15.21875" style="1" customWidth="1"/>
    <col min="14" max="16384" width="9.109375" style="1"/>
  </cols>
  <sheetData>
    <row r="1" spans="1:15" ht="23.25" customHeight="1" x14ac:dyDescent="0.3">
      <c r="A1" s="6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95" t="s">
        <v>20</v>
      </c>
    </row>
    <row r="2" spans="1:15" ht="23.25" customHeight="1" x14ac:dyDescent="0.3">
      <c r="A2" s="6">
        <v>1422</v>
      </c>
      <c r="B2" s="1">
        <v>1</v>
      </c>
      <c r="C2" s="2">
        <v>46140</v>
      </c>
      <c r="D2" s="1" t="s">
        <v>498</v>
      </c>
      <c r="E2" s="1" t="s">
        <v>330</v>
      </c>
      <c r="F2" s="1">
        <v>18952</v>
      </c>
      <c r="G2" s="1" t="s">
        <v>121</v>
      </c>
      <c r="H2" s="1">
        <v>17000</v>
      </c>
      <c r="I2" s="1">
        <v>2660</v>
      </c>
      <c r="J2" s="1">
        <f>810+210+1100+551.63+70+150+1311+250</f>
        <v>4452.63</v>
      </c>
      <c r="K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24112.63</v>
      </c>
      <c r="M2" s="1">
        <f>Table1181920231030313235383940414811151820283134[[#This Row],[اجمالي الفاتوره]]-Table1181920231030313235383940414811151820283134[[#This Row],[الدفعات]]</f>
        <v>24112.63</v>
      </c>
      <c r="O2" s="95"/>
    </row>
    <row r="3" spans="1:15" ht="23.25" customHeight="1" x14ac:dyDescent="0.3">
      <c r="A3" s="6">
        <v>1423</v>
      </c>
      <c r="B3" s="1">
        <v>2</v>
      </c>
      <c r="C3" s="2">
        <v>46140</v>
      </c>
      <c r="D3" s="1" t="s">
        <v>498</v>
      </c>
      <c r="E3" s="1" t="s">
        <v>330</v>
      </c>
      <c r="F3" s="1">
        <v>18930</v>
      </c>
      <c r="G3" s="1" t="s">
        <v>295</v>
      </c>
      <c r="H3" s="1">
        <f>3*17000</f>
        <v>51000</v>
      </c>
      <c r="I3" s="1">
        <v>7980</v>
      </c>
      <c r="J3" s="1">
        <f>810+10*4+40+310+550*3+728.1+698.19+800.77+250+263+2907+263+450</f>
        <v>9210.06</v>
      </c>
      <c r="K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68190.06</v>
      </c>
      <c r="M3" s="1">
        <f>M2+Table1181920231030313235383940414811151820283134[[#This Row],[اجمالي الفاتوره]]-Table1181920231030313235383940414811151820283134[[#This Row],[الدفعات]]</f>
        <v>92302.69</v>
      </c>
      <c r="O3" s="95"/>
    </row>
    <row r="4" spans="1:15" ht="23.25" customHeight="1" x14ac:dyDescent="0.3">
      <c r="A4" s="89"/>
      <c r="B4" s="72"/>
      <c r="C4" s="73">
        <v>46181</v>
      </c>
      <c r="D4" s="72"/>
      <c r="E4" s="72"/>
      <c r="F4" s="72"/>
      <c r="G4" s="72"/>
      <c r="H4" s="72"/>
      <c r="I4" s="72">
        <f>0.14*Table1181920231030313235383940414811151820283134[[#This Row],[النولون]]</f>
        <v>0</v>
      </c>
      <c r="J4" s="72"/>
      <c r="K4" s="72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L4" s="72">
        <v>50000</v>
      </c>
      <c r="M4" s="72">
        <f>M3+Table1181920231030313235383940414811151820283134[[#This Row],[اجمالي الفاتوره]]-Table1181920231030313235383940414811151820283134[[#This Row],[الدفعات]]</f>
        <v>42302.69</v>
      </c>
      <c r="O4" s="95"/>
    </row>
    <row r="5" spans="1:15" ht="23.25" customHeight="1" x14ac:dyDescent="0.3">
      <c r="A5" s="74"/>
      <c r="B5" s="72"/>
      <c r="C5" s="73">
        <v>46195</v>
      </c>
      <c r="D5" s="72"/>
      <c r="E5" s="72"/>
      <c r="F5" s="72"/>
      <c r="G5" s="72"/>
      <c r="H5" s="72"/>
      <c r="I5" s="72">
        <f>0.14*Table1181920231030313235383940414811151820283134[[#This Row],[النولون]]</f>
        <v>0</v>
      </c>
      <c r="J5" s="72"/>
      <c r="K5" s="72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L5" s="72">
        <v>28000</v>
      </c>
      <c r="M5" s="72">
        <f>M4+Table1181920231030313235383940414811151820283134[[#This Row],[اجمالي الفاتوره]]-Table1181920231030313235383940414811151820283134[[#This Row],[الدفعات]]</f>
        <v>14302.690000000002</v>
      </c>
      <c r="O5" s="95"/>
    </row>
    <row r="6" spans="1:15" ht="23.25" customHeight="1" x14ac:dyDescent="0.3">
      <c r="C6" s="2"/>
      <c r="I6" s="1">
        <f>0.14*Table1181920231030313235383940414811151820283134[[#This Row],[النولون]]</f>
        <v>0</v>
      </c>
      <c r="K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6" s="1">
        <f>M5+Table1181920231030313235383940414811151820283134[[#This Row],[اجمالي الفاتوره]]-Table1181920231030313235383940414811151820283134[[#This Row],[الدفعات]]</f>
        <v>14302.690000000002</v>
      </c>
      <c r="O6" s="95"/>
    </row>
    <row r="7" spans="1:15" ht="23.25" customHeight="1" x14ac:dyDescent="0.3">
      <c r="B7" s="41"/>
      <c r="C7" s="45"/>
      <c r="D7" s="41"/>
      <c r="E7" s="41"/>
      <c r="F7" s="41"/>
      <c r="G7" s="41"/>
      <c r="H7" s="41"/>
      <c r="I7" s="1">
        <f>0.14*Table1181920231030313235383940414811151820283134[[#This Row],[النولون]]</f>
        <v>0</v>
      </c>
      <c r="J7" s="41"/>
      <c r="K7" s="4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L7" s="41"/>
      <c r="M7" s="1">
        <f>M6+Table1181920231030313235383940414811151820283134[[#This Row],[اجمالي الفاتوره]]-Table1181920231030313235383940414811151820283134[[#This Row],[الدفعات]]</f>
        <v>14302.690000000002</v>
      </c>
      <c r="N7" s="41"/>
      <c r="O7" s="95"/>
    </row>
    <row r="8" spans="1:15" ht="23.25" customHeight="1" x14ac:dyDescent="0.3">
      <c r="C8" s="2"/>
      <c r="I8" s="1">
        <f>0.14*Table1181920231030313235383940414811151820283134[[#This Row],[النولون]]</f>
        <v>0</v>
      </c>
      <c r="K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8" s="1">
        <f>M7+Table1181920231030313235383940414811151820283134[[#This Row],[اجمالي الفاتوره]]-Table1181920231030313235383940414811151820283134[[#This Row],[الدفعات]]</f>
        <v>14302.690000000002</v>
      </c>
      <c r="O8" s="95"/>
    </row>
    <row r="9" spans="1:15" ht="23.25" customHeight="1" x14ac:dyDescent="0.3">
      <c r="C9" s="2"/>
      <c r="I9" s="1">
        <f>0.14*Table1181920231030313235383940414811151820283134[[#This Row],[النولون]]</f>
        <v>0</v>
      </c>
      <c r="K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9" s="1">
        <f>M8+Table1181920231030313235383940414811151820283134[[#This Row],[اجمالي الفاتوره]]-Table1181920231030313235383940414811151820283134[[#This Row],[الدفعات]]</f>
        <v>14302.690000000002</v>
      </c>
      <c r="O9" s="95"/>
    </row>
    <row r="10" spans="1:15" ht="23.25" customHeight="1" x14ac:dyDescent="0.3">
      <c r="C10" s="2"/>
      <c r="F10" s="20"/>
      <c r="I10" s="1">
        <f>0.14*Table1181920231030313235383940414811151820283134[[#This Row],[النولون]]</f>
        <v>0</v>
      </c>
      <c r="K1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0" s="1">
        <f>M9+Table1181920231030313235383940414811151820283134[[#This Row],[اجمالي الفاتوره]]-Table1181920231030313235383940414811151820283134[[#This Row],[الدفعات]]</f>
        <v>14302.690000000002</v>
      </c>
      <c r="O10" s="95"/>
    </row>
    <row r="11" spans="1:15" ht="23.25" customHeight="1" x14ac:dyDescent="0.3">
      <c r="C11" s="2"/>
      <c r="F11" s="20"/>
      <c r="I11" s="1">
        <f>0.14*Table1181920231030313235383940414811151820283134[[#This Row],[النولون]]</f>
        <v>0</v>
      </c>
      <c r="K1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1" s="1">
        <f>M10+Table1181920231030313235383940414811151820283134[[#This Row],[اجمالي الفاتوره]]-Table1181920231030313235383940414811151820283134[[#This Row],[الدفعات]]</f>
        <v>14302.690000000002</v>
      </c>
      <c r="O11" s="95"/>
    </row>
    <row r="12" spans="1:15" ht="23.25" customHeight="1" x14ac:dyDescent="0.3">
      <c r="C12" s="2"/>
      <c r="F12" s="20"/>
      <c r="I12" s="1">
        <f>0.14*Table1181920231030313235383940414811151820283134[[#This Row],[النولون]]</f>
        <v>0</v>
      </c>
      <c r="K1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2" s="1">
        <f>M11+Table1181920231030313235383940414811151820283134[[#This Row],[اجمالي الفاتوره]]-Table1181920231030313235383940414811151820283134[[#This Row],[الدفعات]]</f>
        <v>14302.690000000002</v>
      </c>
      <c r="O12" s="95"/>
    </row>
    <row r="13" spans="1:15" ht="23.25" customHeight="1" x14ac:dyDescent="0.3">
      <c r="C13" s="2"/>
      <c r="I13" s="1">
        <f>0.14*Table1181920231030313235383940414811151820283134[[#This Row],[النولون]]</f>
        <v>0</v>
      </c>
      <c r="K1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3" s="1">
        <f>M12+Table1181920231030313235383940414811151820283134[[#This Row],[اجمالي الفاتوره]]-Table1181920231030313235383940414811151820283134[[#This Row],[الدفعات]]</f>
        <v>14302.690000000002</v>
      </c>
      <c r="N13" s="1">
        <f>SUM(K:K)-SUM(L:L)</f>
        <v>14302.690000000002</v>
      </c>
      <c r="O13" s="95">
        <f>SUM(I:I)</f>
        <v>10640</v>
      </c>
    </row>
    <row r="14" spans="1:15" ht="23.25" customHeight="1" x14ac:dyDescent="0.3">
      <c r="C14" s="2"/>
      <c r="I14" s="1">
        <f>0.14*Table1181920231030313235383940414811151820283134[[#This Row],[النولون]]</f>
        <v>0</v>
      </c>
      <c r="K1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4" s="1">
        <f>M13+Table1181920231030313235383940414811151820283134[[#This Row],[اجمالي الفاتوره]]-Table1181920231030313235383940414811151820283134[[#This Row],[الدفعات]]</f>
        <v>14302.690000000002</v>
      </c>
      <c r="O14" s="95"/>
    </row>
    <row r="15" spans="1:15" ht="23.25" customHeight="1" x14ac:dyDescent="0.3">
      <c r="C15" s="2"/>
      <c r="I15" s="1">
        <f>0.14*Table1181920231030313235383940414811151820283134[[#This Row],[النولون]]</f>
        <v>0</v>
      </c>
      <c r="K1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5" s="1">
        <f>M14+Table1181920231030313235383940414811151820283134[[#This Row],[اجمالي الفاتوره]]-Table1181920231030313235383940414811151820283134[[#This Row],[الدفعات]]</f>
        <v>14302.690000000002</v>
      </c>
      <c r="O15" s="95"/>
    </row>
    <row r="16" spans="1:15" ht="23.25" customHeight="1" x14ac:dyDescent="0.3">
      <c r="C16" s="2"/>
      <c r="I16" s="1">
        <f>0.14*Table1181920231030313235383940414811151820283134[[#This Row],[النولون]]</f>
        <v>0</v>
      </c>
      <c r="K1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6" s="1">
        <f>M15+Table1181920231030313235383940414811151820283134[[#This Row],[اجمالي الفاتوره]]-Table1181920231030313235383940414811151820283134[[#This Row],[الدفعات]]</f>
        <v>14302.690000000002</v>
      </c>
      <c r="O16" s="95"/>
    </row>
    <row r="17" spans="1:15" ht="23.25" customHeight="1" x14ac:dyDescent="0.3">
      <c r="C17" s="2"/>
      <c r="I17" s="1">
        <f>0.14*Table1181920231030313235383940414811151820283134[[#This Row],[النولون]]</f>
        <v>0</v>
      </c>
      <c r="K1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7" s="1">
        <f>M16+Table1181920231030313235383940414811151820283134[[#This Row],[اجمالي الفاتوره]]-Table1181920231030313235383940414811151820283134[[#This Row],[الدفعات]]</f>
        <v>14302.690000000002</v>
      </c>
      <c r="O17" s="95"/>
    </row>
    <row r="18" spans="1:15" ht="23.25" customHeight="1" x14ac:dyDescent="0.3">
      <c r="C18" s="2"/>
      <c r="I18" s="1">
        <f>0.14*Table1181920231030313235383940414811151820283134[[#This Row],[النولون]]</f>
        <v>0</v>
      </c>
      <c r="K1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8" s="1">
        <f>M17+Table1181920231030313235383940414811151820283134[[#This Row],[اجمالي الفاتوره]]-Table1181920231030313235383940414811151820283134[[#This Row],[الدفعات]]</f>
        <v>14302.690000000002</v>
      </c>
      <c r="O18" s="95"/>
    </row>
    <row r="19" spans="1:15" ht="23.25" customHeight="1" x14ac:dyDescent="0.3">
      <c r="C19" s="2"/>
      <c r="I19" s="1">
        <f>0.14*Table1181920231030313235383940414811151820283134[[#This Row],[النولون]]</f>
        <v>0</v>
      </c>
      <c r="K1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9" s="1">
        <f>M18+Table1181920231030313235383940414811151820283134[[#This Row],[اجمالي الفاتوره]]-Table1181920231030313235383940414811151820283134[[#This Row],[الدفعات]]</f>
        <v>14302.690000000002</v>
      </c>
      <c r="O19" s="95"/>
    </row>
    <row r="20" spans="1:15" ht="23.25" customHeight="1" x14ac:dyDescent="0.3">
      <c r="C20" s="2"/>
      <c r="I20" s="1">
        <f>0.14*Table1181920231030313235383940414811151820283134[[#This Row],[النولون]]</f>
        <v>0</v>
      </c>
      <c r="K2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0" s="1">
        <f>M19+Table1181920231030313235383940414811151820283134[[#This Row],[اجمالي الفاتوره]]-Table1181920231030313235383940414811151820283134[[#This Row],[الدفعات]]</f>
        <v>14302.690000000002</v>
      </c>
      <c r="O20" s="95"/>
    </row>
    <row r="21" spans="1:15" ht="23.25" customHeight="1" x14ac:dyDescent="0.3">
      <c r="C21" s="2"/>
      <c r="I21" s="1">
        <f>0.14*Table1181920231030313235383940414811151820283134[[#This Row],[النولون]]</f>
        <v>0</v>
      </c>
      <c r="K2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1" s="1">
        <f>M20+Table1181920231030313235383940414811151820283134[[#This Row],[اجمالي الفاتوره]]-Table1181920231030313235383940414811151820283134[[#This Row],[الدفعات]]</f>
        <v>14302.690000000002</v>
      </c>
      <c r="O21" s="95"/>
    </row>
    <row r="22" spans="1:15" ht="23.25" customHeight="1" x14ac:dyDescent="0.3">
      <c r="C22" s="2"/>
      <c r="I22" s="1">
        <f>0.14*Table1181920231030313235383940414811151820283134[[#This Row],[النولون]]</f>
        <v>0</v>
      </c>
      <c r="K2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2" s="1">
        <f>M21+Table1181920231030313235383940414811151820283134[[#This Row],[اجمالي الفاتوره]]-Table1181920231030313235383940414811151820283134[[#This Row],[الدفعات]]</f>
        <v>14302.690000000002</v>
      </c>
      <c r="O22" s="95"/>
    </row>
    <row r="23" spans="1:15" ht="23.25" customHeight="1" x14ac:dyDescent="0.3">
      <c r="C23" s="2"/>
      <c r="I23" s="1">
        <f>0.14*Table1181920231030313235383940414811151820283134[[#This Row],[النولون]]</f>
        <v>0</v>
      </c>
      <c r="K2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3" s="1">
        <f>M22+Table1181920231030313235383940414811151820283134[[#This Row],[اجمالي الفاتوره]]-Table1181920231030313235383940414811151820283134[[#This Row],[الدفعات]]</f>
        <v>14302.690000000002</v>
      </c>
      <c r="O23" s="95"/>
    </row>
    <row r="24" spans="1:15" ht="23.25" customHeight="1" x14ac:dyDescent="0.3">
      <c r="C24" s="2"/>
      <c r="I24" s="1">
        <f>0.14*Table1181920231030313235383940414811151820283134[[#This Row],[النولون]]</f>
        <v>0</v>
      </c>
      <c r="K2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4" s="1">
        <f>M23+Table1181920231030313235383940414811151820283134[[#This Row],[اجمالي الفاتوره]]-Table1181920231030313235383940414811151820283134[[#This Row],[الدفعات]]</f>
        <v>14302.690000000002</v>
      </c>
      <c r="O24" s="95"/>
    </row>
    <row r="25" spans="1:15" ht="23.25" customHeight="1" x14ac:dyDescent="0.3">
      <c r="I25" s="1">
        <f>0.14*Table1181920231030313235383940414811151820283134[[#This Row],[النولون]]</f>
        <v>0</v>
      </c>
      <c r="K2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5" s="1">
        <f>M24+Table1181920231030313235383940414811151820283134[[#This Row],[اجمالي الفاتوره]]-Table1181920231030313235383940414811151820283134[[#This Row],[الدفعات]]</f>
        <v>14302.690000000002</v>
      </c>
      <c r="O25" s="95"/>
    </row>
    <row r="26" spans="1:15" ht="23.25" customHeight="1" x14ac:dyDescent="0.3">
      <c r="I26" s="1">
        <f>0.14*Table1181920231030313235383940414811151820283134[[#This Row],[النولون]]</f>
        <v>0</v>
      </c>
      <c r="K2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6" s="1">
        <f>M25+Table1181920231030313235383940414811151820283134[[#This Row],[اجمالي الفاتوره]]-Table1181920231030313235383940414811151820283134[[#This Row],[الدفعات]]</f>
        <v>14302.690000000002</v>
      </c>
      <c r="O26" s="95"/>
    </row>
    <row r="27" spans="1:15" ht="23.25" customHeight="1" x14ac:dyDescent="0.3">
      <c r="C27" s="2"/>
      <c r="I27" s="1">
        <f>0.14*Table1181920231030313235383940414811151820283134[[#This Row],[النولون]]</f>
        <v>0</v>
      </c>
      <c r="K2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7" s="1">
        <f>M26+Table1181920231030313235383940414811151820283134[[#This Row],[اجمالي الفاتوره]]-Table1181920231030313235383940414811151820283134[[#This Row],[الدفعات]]</f>
        <v>14302.690000000002</v>
      </c>
      <c r="O27" s="95"/>
    </row>
    <row r="28" spans="1:15" ht="23.25" customHeight="1" x14ac:dyDescent="0.3">
      <c r="C28" s="2"/>
      <c r="I28" s="1">
        <f>0.14*Table1181920231030313235383940414811151820283134[[#This Row],[النولون]]</f>
        <v>0</v>
      </c>
      <c r="K2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8" s="1">
        <f>M27+Table1181920231030313235383940414811151820283134[[#This Row],[اجمالي الفاتوره]]-Table1181920231030313235383940414811151820283134[[#This Row],[الدفعات]]</f>
        <v>14302.690000000002</v>
      </c>
      <c r="O28" s="95"/>
    </row>
    <row r="29" spans="1:15" ht="23.25" customHeight="1" x14ac:dyDescent="0.3">
      <c r="A29" s="1"/>
      <c r="C29" s="2"/>
      <c r="I29" s="1">
        <f>0.14*Table1181920231030313235383940414811151820283134[[#This Row],[النولون]]</f>
        <v>0</v>
      </c>
      <c r="K2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9" s="1">
        <f>M28+Table1181920231030313235383940414811151820283134[[#This Row],[اجمالي الفاتوره]]-Table1181920231030313235383940414811151820283134[[#This Row],[الدفعات]]</f>
        <v>14302.690000000002</v>
      </c>
      <c r="O29" s="95"/>
    </row>
    <row r="30" spans="1:15" ht="23.25" customHeight="1" x14ac:dyDescent="0.3">
      <c r="A30" s="1"/>
      <c r="C30" s="2"/>
      <c r="I30" s="1">
        <f>0.14*Table1181920231030313235383940414811151820283134[[#This Row],[النولون]]</f>
        <v>0</v>
      </c>
      <c r="K3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0" s="1">
        <f>M29+Table1181920231030313235383940414811151820283134[[#This Row],[اجمالي الفاتوره]]-Table1181920231030313235383940414811151820283134[[#This Row],[الدفعات]]</f>
        <v>14302.690000000002</v>
      </c>
      <c r="O30" s="95"/>
    </row>
    <row r="31" spans="1:15" ht="23.25" customHeight="1" x14ac:dyDescent="0.3">
      <c r="A31" s="1"/>
      <c r="I31" s="1">
        <f>0.14*Table1181920231030313235383940414811151820283134[[#This Row],[النولون]]</f>
        <v>0</v>
      </c>
      <c r="K3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1" s="1">
        <f>M30+Table1181920231030313235383940414811151820283134[[#This Row],[اجمالي الفاتوره]]-Table1181920231030313235383940414811151820283134[[#This Row],[الدفعات]]</f>
        <v>14302.690000000002</v>
      </c>
      <c r="O31" s="95"/>
    </row>
    <row r="32" spans="1:15" ht="23.25" customHeight="1" x14ac:dyDescent="0.3">
      <c r="A32" s="1"/>
      <c r="C32" s="2"/>
      <c r="I32" s="1">
        <f>0.14*Table1181920231030313235383940414811151820283134[[#This Row],[النولون]]</f>
        <v>0</v>
      </c>
      <c r="K3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2" s="1">
        <f>M31+Table1181920231030313235383940414811151820283134[[#This Row],[اجمالي الفاتوره]]-Table1181920231030313235383940414811151820283134[[#This Row],[الدفعات]]</f>
        <v>14302.690000000002</v>
      </c>
      <c r="O32" s="95"/>
    </row>
    <row r="33" spans="1:15" ht="23.25" customHeight="1" x14ac:dyDescent="0.3">
      <c r="A33" s="1"/>
      <c r="I33" s="1">
        <f>0.14*Table1181920231030313235383940414811151820283134[[#This Row],[النولون]]</f>
        <v>0</v>
      </c>
      <c r="K3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3" s="1">
        <f>M32+Table1181920231030313235383940414811151820283134[[#This Row],[اجمالي الفاتوره]]-Table1181920231030313235383940414811151820283134[[#This Row],[الدفعات]]</f>
        <v>14302.690000000002</v>
      </c>
      <c r="O33" s="95"/>
    </row>
    <row r="34" spans="1:15" ht="23.25" customHeight="1" x14ac:dyDescent="0.3">
      <c r="A34" s="1"/>
      <c r="I34" s="1">
        <f>0.14*Table1181920231030313235383940414811151820283134[[#This Row],[النولون]]</f>
        <v>0</v>
      </c>
      <c r="K3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4" s="1">
        <f>M33+Table1181920231030313235383940414811151820283134[[#This Row],[اجمالي الفاتوره]]-Table1181920231030313235383940414811151820283134[[#This Row],[الدفعات]]</f>
        <v>14302.690000000002</v>
      </c>
      <c r="O34" s="95"/>
    </row>
    <row r="35" spans="1:15" ht="23.25" customHeight="1" x14ac:dyDescent="0.3">
      <c r="A35" s="1"/>
      <c r="I35" s="1">
        <f>0.14*Table1181920231030313235383940414811151820283134[[#This Row],[النولون]]</f>
        <v>0</v>
      </c>
      <c r="K3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5" s="1">
        <f>M34+Table1181920231030313235383940414811151820283134[[#This Row],[اجمالي الفاتوره]]-Table1181920231030313235383940414811151820283134[[#This Row],[الدفعات]]</f>
        <v>14302.690000000002</v>
      </c>
      <c r="O35" s="95"/>
    </row>
    <row r="36" spans="1:15" ht="23.25" customHeight="1" x14ac:dyDescent="0.3">
      <c r="A36" s="1"/>
      <c r="C36" s="2"/>
      <c r="D36" s="2"/>
      <c r="I36" s="1">
        <f>0.14*Table1181920231030313235383940414811151820283134[[#This Row],[النولون]]</f>
        <v>0</v>
      </c>
      <c r="K3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6" s="1">
        <f>M35+Table1181920231030313235383940414811151820283134[[#This Row],[اجمالي الفاتوره]]-Table1181920231030313235383940414811151820283134[[#This Row],[الدفعات]]</f>
        <v>14302.690000000002</v>
      </c>
      <c r="O36" s="95"/>
    </row>
    <row r="37" spans="1:15" ht="23.25" customHeight="1" x14ac:dyDescent="0.3">
      <c r="A37" s="1"/>
      <c r="I37" s="1">
        <f>0.14*Table1181920231030313235383940414811151820283134[[#This Row],[النولون]]</f>
        <v>0</v>
      </c>
      <c r="K3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7" s="1">
        <f>M36+Table1181920231030313235383940414811151820283134[[#This Row],[اجمالي الفاتوره]]-Table1181920231030313235383940414811151820283134[[#This Row],[الدفعات]]</f>
        <v>14302.690000000002</v>
      </c>
      <c r="O37" s="95"/>
    </row>
    <row r="38" spans="1:15" ht="23.25" customHeight="1" x14ac:dyDescent="0.3">
      <c r="A38" s="1"/>
      <c r="I38" s="1">
        <f>0.14*Table1181920231030313235383940414811151820283134[[#This Row],[النولون]]</f>
        <v>0</v>
      </c>
      <c r="K3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8" s="1">
        <f>M37+Table1181920231030313235383940414811151820283134[[#This Row],[اجمالي الفاتوره]]-Table1181920231030313235383940414811151820283134[[#This Row],[الدفعات]]</f>
        <v>14302.690000000002</v>
      </c>
      <c r="O38" s="95"/>
    </row>
    <row r="39" spans="1:15" ht="23.25" customHeight="1" x14ac:dyDescent="0.3">
      <c r="A39" s="1"/>
      <c r="I39" s="1">
        <f>0.14*Table1181920231030313235383940414811151820283134[[#This Row],[النولون]]</f>
        <v>0</v>
      </c>
      <c r="K3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9" s="1">
        <f>M38+Table1181920231030313235383940414811151820283134[[#This Row],[اجمالي الفاتوره]]-Table1181920231030313235383940414811151820283134[[#This Row],[الدفعات]]</f>
        <v>14302.690000000002</v>
      </c>
      <c r="O39" s="95"/>
    </row>
    <row r="40" spans="1:15" ht="23.25" customHeight="1" x14ac:dyDescent="0.3">
      <c r="A40" s="1"/>
      <c r="I40" s="1">
        <f>0.14*Table1181920231030313235383940414811151820283134[[#This Row],[النولون]]</f>
        <v>0</v>
      </c>
      <c r="K4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40" s="1">
        <f>M39+Table1181920231030313235383940414811151820283134[[#This Row],[اجمالي الفاتوره]]-Table1181920231030313235383940414811151820283134[[#This Row],[الدفعات]]</f>
        <v>14302.690000000002</v>
      </c>
      <c r="O40" s="95"/>
    </row>
    <row r="41" spans="1:15" ht="23.25" customHeight="1" x14ac:dyDescent="0.3">
      <c r="A41" s="1"/>
      <c r="I41" s="1">
        <f>0.14*Table1181920231030313235383940414811151820283134[[#This Row],[النولون]]</f>
        <v>0</v>
      </c>
      <c r="K4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41" s="1">
        <f>M40+Table1181920231030313235383940414811151820283134[[#This Row],[اجمالي الفاتوره]]-Table1181920231030313235383940414811151820283134[[#This Row],[الدفعات]]</f>
        <v>14302.690000000002</v>
      </c>
      <c r="O41" s="95"/>
    </row>
    <row r="42" spans="1:15" ht="23.25" customHeight="1" x14ac:dyDescent="0.3">
      <c r="A42" s="1"/>
      <c r="I42" s="1">
        <f>0.14*Table1181920231030313235383940414811151820283134[[#This Row],[النولون]]</f>
        <v>0</v>
      </c>
      <c r="K4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42" s="1">
        <f>M41+Table1181920231030313235383940414811151820283134[[#This Row],[اجمالي الفاتوره]]-Table1181920231030313235383940414811151820283134[[#This Row],[الدفعات]]</f>
        <v>14302.690000000002</v>
      </c>
      <c r="O42" s="95"/>
    </row>
    <row r="43" spans="1:15" ht="23.25" customHeight="1" x14ac:dyDescent="0.3">
      <c r="A43" s="1"/>
      <c r="I43" s="1">
        <f>0.14*Table1181920231030313235383940414811151820283134[[#This Row],[النولون]]</f>
        <v>0</v>
      </c>
      <c r="K4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43" s="1">
        <f>M42+Table1181920231030313235383940414811151820283134[[#This Row],[اجمالي الفاتوره]]-Table1181920231030313235383940414811151820283134[[#This Row],[الدفعات]]</f>
        <v>14302.690000000002</v>
      </c>
      <c r="O43" s="95"/>
    </row>
    <row r="44" spans="1:15" ht="23.25" customHeight="1" x14ac:dyDescent="0.3">
      <c r="A44" s="1"/>
      <c r="I44" s="1">
        <f>0.14*Table1181920231030313235383940414811151820283134[[#This Row],[النولون]]</f>
        <v>0</v>
      </c>
      <c r="K4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44" s="1">
        <f>M43+Table1181920231030313235383940414811151820283134[[#This Row],[اجمالي الفاتوره]]-Table1181920231030313235383940414811151820283134[[#This Row],[الدفعات]]</f>
        <v>14302.690000000002</v>
      </c>
      <c r="O44" s="95"/>
    </row>
    <row r="45" spans="1:15" ht="23.25" customHeight="1" x14ac:dyDescent="0.3">
      <c r="A45" s="1"/>
      <c r="I45" s="1">
        <f>0.14*Table1181920231030313235383940414811151820283134[[#This Row],[النولون]]</f>
        <v>0</v>
      </c>
      <c r="K4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45" s="1">
        <f>M44+Table1181920231030313235383940414811151820283134[[#This Row],[اجمالي الفاتوره]]-Table1181920231030313235383940414811151820283134[[#This Row],[الدفعات]]</f>
        <v>14302.690000000002</v>
      </c>
      <c r="O45" s="95"/>
    </row>
    <row r="46" spans="1:15" ht="23.25" customHeight="1" x14ac:dyDescent="0.3">
      <c r="A46" s="1"/>
      <c r="I46" s="1">
        <f>0.14*Table1181920231030313235383940414811151820283134[[#This Row],[النولون]]</f>
        <v>0</v>
      </c>
      <c r="K4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46" s="1">
        <f>M45+Table1181920231030313235383940414811151820283134[[#This Row],[اجمالي الفاتوره]]-Table1181920231030313235383940414811151820283134[[#This Row],[الدفعات]]</f>
        <v>14302.690000000002</v>
      </c>
      <c r="O46" s="95"/>
    </row>
    <row r="47" spans="1:15" ht="23.25" customHeight="1" x14ac:dyDescent="0.3">
      <c r="A47" s="1"/>
      <c r="I47" s="1">
        <f>0.14*Table1181920231030313235383940414811151820283134[[#This Row],[النولون]]</f>
        <v>0</v>
      </c>
      <c r="K4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47" s="1">
        <f>M46+Table1181920231030313235383940414811151820283134[[#This Row],[اجمالي الفاتوره]]-Table1181920231030313235383940414811151820283134[[#This Row],[الدفعات]]</f>
        <v>14302.690000000002</v>
      </c>
      <c r="O47" s="95"/>
    </row>
    <row r="48" spans="1:15" ht="23.25" customHeight="1" x14ac:dyDescent="0.3">
      <c r="A48" s="1"/>
      <c r="I48" s="1">
        <f>0.14*Table1181920231030313235383940414811151820283134[[#This Row],[النولون]]</f>
        <v>0</v>
      </c>
      <c r="K4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48" s="1">
        <f>M47+Table1181920231030313235383940414811151820283134[[#This Row],[اجمالي الفاتوره]]-Table1181920231030313235383940414811151820283134[[#This Row],[الدفعات]]</f>
        <v>14302.690000000002</v>
      </c>
      <c r="O48" s="95"/>
    </row>
    <row r="49" spans="1:15" ht="23.25" customHeight="1" x14ac:dyDescent="0.3">
      <c r="A49" s="1"/>
      <c r="I49" s="1">
        <f>0.14*Table1181920231030313235383940414811151820283134[[#This Row],[النولون]]</f>
        <v>0</v>
      </c>
      <c r="K4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49" s="1">
        <f>M48+Table1181920231030313235383940414811151820283134[[#This Row],[اجمالي الفاتوره]]-Table1181920231030313235383940414811151820283134[[#This Row],[الدفعات]]</f>
        <v>14302.690000000002</v>
      </c>
      <c r="O49" s="95"/>
    </row>
    <row r="50" spans="1:15" ht="23.25" customHeight="1" x14ac:dyDescent="0.3">
      <c r="A50" s="1"/>
      <c r="I50" s="1">
        <f>0.14*Table1181920231030313235383940414811151820283134[[#This Row],[النولون]]</f>
        <v>0</v>
      </c>
      <c r="K5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50" s="1">
        <f>M49+Table1181920231030313235383940414811151820283134[[#This Row],[اجمالي الفاتوره]]-Table1181920231030313235383940414811151820283134[[#This Row],[الدفعات]]</f>
        <v>14302.690000000002</v>
      </c>
      <c r="O50" s="95"/>
    </row>
    <row r="51" spans="1:15" ht="23.25" customHeight="1" x14ac:dyDescent="0.3">
      <c r="A51" s="1"/>
      <c r="I51" s="1">
        <f>0.14*Table1181920231030313235383940414811151820283134[[#This Row],[النولون]]</f>
        <v>0</v>
      </c>
      <c r="K5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51" s="1">
        <f>M50+Table1181920231030313235383940414811151820283134[[#This Row],[اجمالي الفاتوره]]-Table1181920231030313235383940414811151820283134[[#This Row],[الدفعات]]</f>
        <v>14302.690000000002</v>
      </c>
      <c r="O51" s="95"/>
    </row>
    <row r="52" spans="1:15" ht="23.25" customHeight="1" x14ac:dyDescent="0.3">
      <c r="A52" s="1"/>
      <c r="I52" s="1">
        <f>0.14*Table1181920231030313235383940414811151820283134[[#This Row],[النولون]]</f>
        <v>0</v>
      </c>
      <c r="K5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52" s="1">
        <f>M51+Table1181920231030313235383940414811151820283134[[#This Row],[اجمالي الفاتوره]]-Table1181920231030313235383940414811151820283134[[#This Row],[الدفعات]]</f>
        <v>14302.690000000002</v>
      </c>
      <c r="O52" s="95"/>
    </row>
    <row r="53" spans="1:15" ht="23.25" customHeight="1" x14ac:dyDescent="0.3">
      <c r="A53" s="1"/>
      <c r="I53" s="1">
        <f>0.14*Table1181920231030313235383940414811151820283134[[#This Row],[النولون]]</f>
        <v>0</v>
      </c>
      <c r="K5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53" s="1">
        <f>M52+Table1181920231030313235383940414811151820283134[[#This Row],[اجمالي الفاتوره]]-Table1181920231030313235383940414811151820283134[[#This Row],[الدفعات]]</f>
        <v>14302.690000000002</v>
      </c>
      <c r="O53" s="95"/>
    </row>
    <row r="54" spans="1:15" ht="23.25" customHeight="1" x14ac:dyDescent="0.3">
      <c r="A54" s="1"/>
      <c r="I54" s="1">
        <f>0.14*Table1181920231030313235383940414811151820283134[[#This Row],[النولون]]</f>
        <v>0</v>
      </c>
      <c r="K5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54" s="1">
        <f>M53+Table1181920231030313235383940414811151820283134[[#This Row],[اجمالي الفاتوره]]-Table1181920231030313235383940414811151820283134[[#This Row],[الدفعات]]</f>
        <v>14302.690000000002</v>
      </c>
      <c r="O54" s="95"/>
    </row>
    <row r="55" spans="1:15" ht="23.25" customHeight="1" x14ac:dyDescent="0.3">
      <c r="A55" s="1"/>
      <c r="I55" s="1">
        <f>0.14*Table1181920231030313235383940414811151820283134[[#This Row],[النولون]]</f>
        <v>0</v>
      </c>
      <c r="K5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55" s="1">
        <f>M54+Table1181920231030313235383940414811151820283134[[#This Row],[اجمالي الفاتوره]]-Table1181920231030313235383940414811151820283134[[#This Row],[الدفعات]]</f>
        <v>14302.690000000002</v>
      </c>
      <c r="O55" s="95"/>
    </row>
    <row r="56" spans="1:15" ht="23.25" customHeight="1" x14ac:dyDescent="0.3">
      <c r="A56" s="1"/>
      <c r="I56" s="1">
        <f>0.14*Table1181920231030313235383940414811151820283134[[#This Row],[النولون]]</f>
        <v>0</v>
      </c>
      <c r="K5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56" s="1">
        <f>M55+Table1181920231030313235383940414811151820283134[[#This Row],[اجمالي الفاتوره]]-Table1181920231030313235383940414811151820283134[[#This Row],[الدفعات]]</f>
        <v>14302.690000000002</v>
      </c>
      <c r="O56" s="95"/>
    </row>
    <row r="57" spans="1:15" ht="23.25" customHeight="1" x14ac:dyDescent="0.3">
      <c r="A57" s="1"/>
      <c r="I57" s="1">
        <f>0.14*Table1181920231030313235383940414811151820283134[[#This Row],[النولون]]</f>
        <v>0</v>
      </c>
      <c r="K5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57" s="1">
        <f>M56+Table1181920231030313235383940414811151820283134[[#This Row],[اجمالي الفاتوره]]-Table1181920231030313235383940414811151820283134[[#This Row],[الدفعات]]</f>
        <v>14302.690000000002</v>
      </c>
      <c r="O57" s="95"/>
    </row>
    <row r="58" spans="1:15" ht="23.25" customHeight="1" x14ac:dyDescent="0.3">
      <c r="A58" s="1"/>
      <c r="I58" s="1">
        <f>0.14*Table1181920231030313235383940414811151820283134[[#This Row],[النولون]]</f>
        <v>0</v>
      </c>
      <c r="K5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58" s="1">
        <f>M57+Table1181920231030313235383940414811151820283134[[#This Row],[اجمالي الفاتوره]]-Table1181920231030313235383940414811151820283134[[#This Row],[الدفعات]]</f>
        <v>14302.690000000002</v>
      </c>
      <c r="O58" s="95"/>
    </row>
    <row r="59" spans="1:15" ht="23.25" customHeight="1" x14ac:dyDescent="0.3">
      <c r="A59" s="1"/>
      <c r="I59" s="1">
        <f>0.14*Table1181920231030313235383940414811151820283134[[#This Row],[النولون]]</f>
        <v>0</v>
      </c>
      <c r="K5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59" s="1">
        <f>M58+Table1181920231030313235383940414811151820283134[[#This Row],[اجمالي الفاتوره]]-Table1181920231030313235383940414811151820283134[[#This Row],[الدفعات]]</f>
        <v>14302.690000000002</v>
      </c>
      <c r="O59" s="95"/>
    </row>
    <row r="60" spans="1:15" ht="23.25" customHeight="1" x14ac:dyDescent="0.3">
      <c r="A60" s="1"/>
      <c r="I60" s="1">
        <f>0.14*Table1181920231030313235383940414811151820283134[[#This Row],[النولون]]</f>
        <v>0</v>
      </c>
      <c r="K6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60" s="1">
        <f>M59+Table1181920231030313235383940414811151820283134[[#This Row],[اجمالي الفاتوره]]-Table1181920231030313235383940414811151820283134[[#This Row],[الدفعات]]</f>
        <v>14302.690000000002</v>
      </c>
      <c r="O60" s="95"/>
    </row>
    <row r="61" spans="1:15" ht="23.25" customHeight="1" x14ac:dyDescent="0.3">
      <c r="A61" s="1"/>
      <c r="I61" s="1">
        <f>0.14*Table1181920231030313235383940414811151820283134[[#This Row],[النولون]]</f>
        <v>0</v>
      </c>
      <c r="K6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61" s="1">
        <f>M60+Table1181920231030313235383940414811151820283134[[#This Row],[اجمالي الفاتوره]]-Table1181920231030313235383940414811151820283134[[#This Row],[الدفعات]]</f>
        <v>14302.690000000002</v>
      </c>
      <c r="O61" s="95"/>
    </row>
    <row r="62" spans="1:15" ht="23.25" customHeight="1" x14ac:dyDescent="0.3">
      <c r="A62" s="1"/>
      <c r="I62" s="1">
        <f>0.14*Table1181920231030313235383940414811151820283134[[#This Row],[النولون]]</f>
        <v>0</v>
      </c>
      <c r="K6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62" s="1">
        <f>M61+Table1181920231030313235383940414811151820283134[[#This Row],[اجمالي الفاتوره]]-Table1181920231030313235383940414811151820283134[[#This Row],[الدفعات]]</f>
        <v>14302.690000000002</v>
      </c>
      <c r="O62" s="95"/>
    </row>
    <row r="63" spans="1:15" ht="23.25" customHeight="1" x14ac:dyDescent="0.3">
      <c r="A63" s="1"/>
      <c r="I63" s="1">
        <f>0.14*Table1181920231030313235383940414811151820283134[[#This Row],[النولون]]</f>
        <v>0</v>
      </c>
      <c r="K6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63" s="1">
        <f>M62+Table1181920231030313235383940414811151820283134[[#This Row],[اجمالي الفاتوره]]-Table1181920231030313235383940414811151820283134[[#This Row],[الدفعات]]</f>
        <v>14302.690000000002</v>
      </c>
      <c r="O63" s="95"/>
    </row>
    <row r="64" spans="1:15" ht="23.25" customHeight="1" x14ac:dyDescent="0.3">
      <c r="A64" s="1"/>
      <c r="I64" s="1">
        <f>0.14*Table1181920231030313235383940414811151820283134[[#This Row],[النولون]]</f>
        <v>0</v>
      </c>
      <c r="K6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64" s="1">
        <f>M63+Table1181920231030313235383940414811151820283134[[#This Row],[اجمالي الفاتوره]]-Table1181920231030313235383940414811151820283134[[#This Row],[الدفعات]]</f>
        <v>14302.690000000002</v>
      </c>
      <c r="O64" s="95"/>
    </row>
    <row r="65" spans="1:15" ht="23.25" customHeight="1" x14ac:dyDescent="0.3">
      <c r="A65" s="1"/>
      <c r="I65" s="1">
        <f>0.14*Table1181920231030313235383940414811151820283134[[#This Row],[النولون]]</f>
        <v>0</v>
      </c>
      <c r="K6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65" s="1">
        <f>M64+Table1181920231030313235383940414811151820283134[[#This Row],[اجمالي الفاتوره]]-Table1181920231030313235383940414811151820283134[[#This Row],[الدفعات]]</f>
        <v>14302.690000000002</v>
      </c>
      <c r="O65" s="95"/>
    </row>
    <row r="66" spans="1:15" ht="23.25" customHeight="1" x14ac:dyDescent="0.3">
      <c r="A66" s="1"/>
      <c r="I66" s="1">
        <f>0.14*Table1181920231030313235383940414811151820283134[[#This Row],[النولون]]</f>
        <v>0</v>
      </c>
      <c r="K6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66" s="1">
        <f>M65+Table1181920231030313235383940414811151820283134[[#This Row],[اجمالي الفاتوره]]-Table1181920231030313235383940414811151820283134[[#This Row],[الدفعات]]</f>
        <v>14302.690000000002</v>
      </c>
      <c r="O66" s="95"/>
    </row>
    <row r="67" spans="1:15" ht="23.25" customHeight="1" x14ac:dyDescent="0.3">
      <c r="A67" s="1"/>
      <c r="I67" s="1">
        <f>0.14*Table1181920231030313235383940414811151820283134[[#This Row],[النولون]]</f>
        <v>0</v>
      </c>
      <c r="K6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67" s="1">
        <f>M66+Table1181920231030313235383940414811151820283134[[#This Row],[اجمالي الفاتوره]]-Table1181920231030313235383940414811151820283134[[#This Row],[الدفعات]]</f>
        <v>14302.690000000002</v>
      </c>
      <c r="O67" s="95"/>
    </row>
    <row r="68" spans="1:15" ht="23.25" customHeight="1" x14ac:dyDescent="0.3">
      <c r="A68" s="1"/>
      <c r="I68" s="1">
        <f>0.14*Table1181920231030313235383940414811151820283134[[#This Row],[النولون]]</f>
        <v>0</v>
      </c>
      <c r="K6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68" s="1">
        <f>M67+Table1181920231030313235383940414811151820283134[[#This Row],[اجمالي الفاتوره]]-Table1181920231030313235383940414811151820283134[[#This Row],[الدفعات]]</f>
        <v>14302.690000000002</v>
      </c>
      <c r="O68" s="95"/>
    </row>
    <row r="69" spans="1:15" ht="23.25" customHeight="1" x14ac:dyDescent="0.3">
      <c r="A69" s="1"/>
      <c r="I69" s="1">
        <f>0.14*Table1181920231030313235383940414811151820283134[[#This Row],[النولون]]</f>
        <v>0</v>
      </c>
      <c r="K6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69" s="1">
        <f>M68+Table1181920231030313235383940414811151820283134[[#This Row],[اجمالي الفاتوره]]-Table1181920231030313235383940414811151820283134[[#This Row],[الدفعات]]</f>
        <v>14302.690000000002</v>
      </c>
      <c r="O69" s="95"/>
    </row>
    <row r="70" spans="1:15" ht="23.25" customHeight="1" x14ac:dyDescent="0.3">
      <c r="A70" s="1"/>
      <c r="I70" s="1">
        <f>0.14*Table1181920231030313235383940414811151820283134[[#This Row],[النولون]]</f>
        <v>0</v>
      </c>
      <c r="K7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70" s="1">
        <f>M69+Table1181920231030313235383940414811151820283134[[#This Row],[اجمالي الفاتوره]]-Table1181920231030313235383940414811151820283134[[#This Row],[الدفعات]]</f>
        <v>14302.690000000002</v>
      </c>
      <c r="O70" s="95"/>
    </row>
    <row r="71" spans="1:15" ht="23.25" customHeight="1" x14ac:dyDescent="0.3">
      <c r="A71" s="1"/>
      <c r="I71" s="1">
        <f>0.14*Table1181920231030313235383940414811151820283134[[#This Row],[النولون]]</f>
        <v>0</v>
      </c>
      <c r="K7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71" s="1">
        <f>M70+Table1181920231030313235383940414811151820283134[[#This Row],[اجمالي الفاتوره]]-Table1181920231030313235383940414811151820283134[[#This Row],[الدفعات]]</f>
        <v>14302.690000000002</v>
      </c>
      <c r="O71" s="95"/>
    </row>
    <row r="72" spans="1:15" ht="23.25" customHeight="1" x14ac:dyDescent="0.3">
      <c r="A72" s="1"/>
      <c r="I72" s="1">
        <f>0.14*Table1181920231030313235383940414811151820283134[[#This Row],[النولون]]</f>
        <v>0</v>
      </c>
      <c r="K7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72" s="1">
        <f>M71+Table1181920231030313235383940414811151820283134[[#This Row],[اجمالي الفاتوره]]-Table1181920231030313235383940414811151820283134[[#This Row],[الدفعات]]</f>
        <v>14302.690000000002</v>
      </c>
      <c r="O72" s="95"/>
    </row>
    <row r="73" spans="1:15" ht="23.25" customHeight="1" x14ac:dyDescent="0.3">
      <c r="A73" s="1"/>
      <c r="I73" s="1">
        <f>0.14*Table1181920231030313235383940414811151820283134[[#This Row],[النولون]]</f>
        <v>0</v>
      </c>
      <c r="K7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73" s="1">
        <f>M72+Table1181920231030313235383940414811151820283134[[#This Row],[اجمالي الفاتوره]]-Table1181920231030313235383940414811151820283134[[#This Row],[الدفعات]]</f>
        <v>14302.690000000002</v>
      </c>
      <c r="O73" s="95"/>
    </row>
    <row r="74" spans="1:15" ht="23.25" customHeight="1" x14ac:dyDescent="0.3">
      <c r="A74" s="1"/>
      <c r="I74" s="1">
        <f>0.14*Table1181920231030313235383940414811151820283134[[#This Row],[النولون]]</f>
        <v>0</v>
      </c>
      <c r="K7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74" s="1">
        <f>M73+Table1181920231030313235383940414811151820283134[[#This Row],[اجمالي الفاتوره]]-Table1181920231030313235383940414811151820283134[[#This Row],[الدفعات]]</f>
        <v>14302.690000000002</v>
      </c>
      <c r="O74" s="95"/>
    </row>
    <row r="75" spans="1:15" ht="23.25" customHeight="1" x14ac:dyDescent="0.3">
      <c r="A75" s="1"/>
      <c r="I75" s="1">
        <f>0.14*Table1181920231030313235383940414811151820283134[[#This Row],[النولون]]</f>
        <v>0</v>
      </c>
      <c r="K7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75" s="1">
        <f>M74+Table1181920231030313235383940414811151820283134[[#This Row],[اجمالي الفاتوره]]-Table1181920231030313235383940414811151820283134[[#This Row],[الدفعات]]</f>
        <v>14302.690000000002</v>
      </c>
      <c r="O75" s="95"/>
    </row>
    <row r="76" spans="1:15" ht="23.25" customHeight="1" x14ac:dyDescent="0.3">
      <c r="A76" s="1"/>
      <c r="I76" s="1">
        <f>0.14*Table1181920231030313235383940414811151820283134[[#This Row],[النولون]]</f>
        <v>0</v>
      </c>
      <c r="K7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76" s="1">
        <f>M75+Table1181920231030313235383940414811151820283134[[#This Row],[اجمالي الفاتوره]]-Table1181920231030313235383940414811151820283134[[#This Row],[الدفعات]]</f>
        <v>14302.690000000002</v>
      </c>
      <c r="O76" s="95"/>
    </row>
    <row r="77" spans="1:15" ht="23.25" customHeight="1" x14ac:dyDescent="0.3">
      <c r="A77" s="1"/>
      <c r="I77" s="1">
        <f>0.14*Table1181920231030313235383940414811151820283134[[#This Row],[النولون]]</f>
        <v>0</v>
      </c>
      <c r="K7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77" s="1">
        <f>M76+Table1181920231030313235383940414811151820283134[[#This Row],[اجمالي الفاتوره]]-Table1181920231030313235383940414811151820283134[[#This Row],[الدفعات]]</f>
        <v>14302.690000000002</v>
      </c>
      <c r="O77" s="95"/>
    </row>
    <row r="78" spans="1:15" ht="23.25" customHeight="1" x14ac:dyDescent="0.3">
      <c r="A78" s="1"/>
      <c r="I78" s="1">
        <f>0.14*Table1181920231030313235383940414811151820283134[[#This Row],[النولون]]</f>
        <v>0</v>
      </c>
      <c r="K7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78" s="1">
        <f>M77+Table1181920231030313235383940414811151820283134[[#This Row],[اجمالي الفاتوره]]-Table1181920231030313235383940414811151820283134[[#This Row],[الدفعات]]</f>
        <v>14302.690000000002</v>
      </c>
      <c r="O78" s="95"/>
    </row>
    <row r="79" spans="1:15" ht="23.25" customHeight="1" x14ac:dyDescent="0.3">
      <c r="A79" s="1"/>
      <c r="I79" s="1">
        <f>0.14*Table1181920231030313235383940414811151820283134[[#This Row],[النولون]]</f>
        <v>0</v>
      </c>
      <c r="K7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79" s="1">
        <f>M78+Table1181920231030313235383940414811151820283134[[#This Row],[اجمالي الفاتوره]]-Table1181920231030313235383940414811151820283134[[#This Row],[الدفعات]]</f>
        <v>14302.690000000002</v>
      </c>
      <c r="O79" s="95"/>
    </row>
    <row r="80" spans="1:15" ht="23.25" customHeight="1" x14ac:dyDescent="0.3">
      <c r="A80" s="1"/>
      <c r="I80" s="1">
        <f>0.14*Table1181920231030313235383940414811151820283134[[#This Row],[النولون]]</f>
        <v>0</v>
      </c>
      <c r="K8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80" s="1">
        <f>M79+Table1181920231030313235383940414811151820283134[[#This Row],[اجمالي الفاتوره]]-Table1181920231030313235383940414811151820283134[[#This Row],[الدفعات]]</f>
        <v>14302.690000000002</v>
      </c>
      <c r="O80" s="95"/>
    </row>
    <row r="81" spans="1:15" ht="23.25" customHeight="1" x14ac:dyDescent="0.3">
      <c r="A81" s="1"/>
      <c r="I81" s="1">
        <f>0.14*Table1181920231030313235383940414811151820283134[[#This Row],[النولون]]</f>
        <v>0</v>
      </c>
      <c r="K8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81" s="1">
        <f>M80+Table1181920231030313235383940414811151820283134[[#This Row],[اجمالي الفاتوره]]-Table1181920231030313235383940414811151820283134[[#This Row],[الدفعات]]</f>
        <v>14302.690000000002</v>
      </c>
      <c r="O81" s="95"/>
    </row>
    <row r="82" spans="1:15" ht="23.25" customHeight="1" x14ac:dyDescent="0.3">
      <c r="A82" s="1"/>
      <c r="I82" s="1">
        <f>0.14*Table1181920231030313235383940414811151820283134[[#This Row],[النولون]]</f>
        <v>0</v>
      </c>
      <c r="K8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82" s="1">
        <f>M81+Table1181920231030313235383940414811151820283134[[#This Row],[اجمالي الفاتوره]]-Table1181920231030313235383940414811151820283134[[#This Row],[الدفعات]]</f>
        <v>14302.690000000002</v>
      </c>
      <c r="O82" s="95"/>
    </row>
    <row r="83" spans="1:15" ht="23.25" customHeight="1" x14ac:dyDescent="0.3">
      <c r="A83" s="1"/>
      <c r="I83" s="1">
        <f>0.14*Table1181920231030313235383940414811151820283134[[#This Row],[النولون]]</f>
        <v>0</v>
      </c>
      <c r="K8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83" s="1">
        <f>M82+Table1181920231030313235383940414811151820283134[[#This Row],[اجمالي الفاتوره]]-Table1181920231030313235383940414811151820283134[[#This Row],[الدفعات]]</f>
        <v>14302.690000000002</v>
      </c>
      <c r="O83" s="95"/>
    </row>
    <row r="84" spans="1:15" ht="23.25" customHeight="1" x14ac:dyDescent="0.3">
      <c r="A84" s="1"/>
      <c r="I84" s="1">
        <f>0.14*Table1181920231030313235383940414811151820283134[[#This Row],[النولون]]</f>
        <v>0</v>
      </c>
      <c r="K8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84" s="1">
        <f>M83+Table1181920231030313235383940414811151820283134[[#This Row],[اجمالي الفاتوره]]-Table1181920231030313235383940414811151820283134[[#This Row],[الدفعات]]</f>
        <v>14302.690000000002</v>
      </c>
      <c r="O84" s="95"/>
    </row>
    <row r="85" spans="1:15" ht="23.25" customHeight="1" x14ac:dyDescent="0.3">
      <c r="A85" s="1"/>
      <c r="I85" s="1">
        <f>0.14*Table1181920231030313235383940414811151820283134[[#This Row],[النولون]]</f>
        <v>0</v>
      </c>
      <c r="K8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85" s="1">
        <f>M84+Table1181920231030313235383940414811151820283134[[#This Row],[اجمالي الفاتوره]]-Table1181920231030313235383940414811151820283134[[#This Row],[الدفعات]]</f>
        <v>14302.690000000002</v>
      </c>
      <c r="O85" s="95"/>
    </row>
    <row r="86" spans="1:15" ht="23.25" customHeight="1" x14ac:dyDescent="0.3">
      <c r="A86" s="1"/>
      <c r="I86" s="1">
        <f>0.14*Table1181920231030313235383940414811151820283134[[#This Row],[النولون]]</f>
        <v>0</v>
      </c>
      <c r="K8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86" s="1">
        <f>M85+Table1181920231030313235383940414811151820283134[[#This Row],[اجمالي الفاتوره]]-Table1181920231030313235383940414811151820283134[[#This Row],[الدفعات]]</f>
        <v>14302.690000000002</v>
      </c>
      <c r="O86" s="95"/>
    </row>
    <row r="87" spans="1:15" ht="23.25" customHeight="1" x14ac:dyDescent="0.3">
      <c r="A87" s="1"/>
      <c r="I87" s="1">
        <f>0.14*Table1181920231030313235383940414811151820283134[[#This Row],[النولون]]</f>
        <v>0</v>
      </c>
      <c r="K8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87" s="1">
        <f>M86+Table1181920231030313235383940414811151820283134[[#This Row],[اجمالي الفاتوره]]-Table1181920231030313235383940414811151820283134[[#This Row],[الدفعات]]</f>
        <v>14302.690000000002</v>
      </c>
      <c r="O87" s="95"/>
    </row>
    <row r="88" spans="1:15" ht="23.25" customHeight="1" x14ac:dyDescent="0.3">
      <c r="A88" s="1"/>
      <c r="I88" s="1">
        <f>0.14*Table1181920231030313235383940414811151820283134[[#This Row],[النولون]]</f>
        <v>0</v>
      </c>
      <c r="K8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88" s="1">
        <f>M87+Table1181920231030313235383940414811151820283134[[#This Row],[اجمالي الفاتوره]]-Table1181920231030313235383940414811151820283134[[#This Row],[الدفعات]]</f>
        <v>14302.690000000002</v>
      </c>
      <c r="O88" s="95"/>
    </row>
    <row r="89" spans="1:15" ht="23.25" customHeight="1" x14ac:dyDescent="0.3">
      <c r="A89" s="1"/>
      <c r="I89" s="1">
        <f>0.14*Table1181920231030313235383940414811151820283134[[#This Row],[النولون]]</f>
        <v>0</v>
      </c>
      <c r="K8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89" s="1">
        <f>M88+Table1181920231030313235383940414811151820283134[[#This Row],[اجمالي الفاتوره]]-Table1181920231030313235383940414811151820283134[[#This Row],[الدفعات]]</f>
        <v>14302.690000000002</v>
      </c>
      <c r="O89" s="95"/>
    </row>
    <row r="90" spans="1:15" ht="23.25" customHeight="1" x14ac:dyDescent="0.3">
      <c r="A90" s="1"/>
      <c r="I90" s="1">
        <f>0.14*Table1181920231030313235383940414811151820283134[[#This Row],[النولون]]</f>
        <v>0</v>
      </c>
      <c r="K9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90" s="1">
        <f>M89+Table1181920231030313235383940414811151820283134[[#This Row],[اجمالي الفاتوره]]-Table1181920231030313235383940414811151820283134[[#This Row],[الدفعات]]</f>
        <v>14302.690000000002</v>
      </c>
      <c r="O90" s="95"/>
    </row>
    <row r="91" spans="1:15" ht="23.25" customHeight="1" x14ac:dyDescent="0.3">
      <c r="A91" s="1"/>
      <c r="I91" s="1">
        <f>0.14*Table1181920231030313235383940414811151820283134[[#This Row],[النولون]]</f>
        <v>0</v>
      </c>
      <c r="K9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91" s="1">
        <f>M90+Table1181920231030313235383940414811151820283134[[#This Row],[اجمالي الفاتوره]]-Table1181920231030313235383940414811151820283134[[#This Row],[الدفعات]]</f>
        <v>14302.690000000002</v>
      </c>
      <c r="O91" s="95"/>
    </row>
    <row r="92" spans="1:15" ht="23.25" customHeight="1" x14ac:dyDescent="0.3">
      <c r="A92" s="1"/>
      <c r="I92" s="1">
        <f>0.14*Table1181920231030313235383940414811151820283134[[#This Row],[النولون]]</f>
        <v>0</v>
      </c>
      <c r="K9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92" s="1">
        <f>M91+Table1181920231030313235383940414811151820283134[[#This Row],[اجمالي الفاتوره]]-Table1181920231030313235383940414811151820283134[[#This Row],[الدفعات]]</f>
        <v>14302.690000000002</v>
      </c>
      <c r="O92" s="95"/>
    </row>
    <row r="93" spans="1:15" ht="23.25" customHeight="1" x14ac:dyDescent="0.3">
      <c r="A93" s="1"/>
      <c r="I93" s="1">
        <f>0.14*Table1181920231030313235383940414811151820283134[[#This Row],[النولون]]</f>
        <v>0</v>
      </c>
      <c r="K9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93" s="1">
        <f>M92+Table1181920231030313235383940414811151820283134[[#This Row],[اجمالي الفاتوره]]-Table1181920231030313235383940414811151820283134[[#This Row],[الدفعات]]</f>
        <v>14302.690000000002</v>
      </c>
      <c r="O93" s="95"/>
    </row>
    <row r="94" spans="1:15" ht="23.25" customHeight="1" x14ac:dyDescent="0.3">
      <c r="A94" s="1"/>
      <c r="I94" s="1">
        <f>0.14*Table1181920231030313235383940414811151820283134[[#This Row],[النولون]]</f>
        <v>0</v>
      </c>
      <c r="K9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94" s="1">
        <f>M93+Table1181920231030313235383940414811151820283134[[#This Row],[اجمالي الفاتوره]]-Table1181920231030313235383940414811151820283134[[#This Row],[الدفعات]]</f>
        <v>14302.690000000002</v>
      </c>
      <c r="O94" s="95"/>
    </row>
    <row r="95" spans="1:15" ht="23.25" customHeight="1" x14ac:dyDescent="0.3">
      <c r="A95" s="1"/>
      <c r="I95" s="1">
        <f>0.14*Table1181920231030313235383940414811151820283134[[#This Row],[النولون]]</f>
        <v>0</v>
      </c>
      <c r="K9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95" s="1">
        <f>M94+Table1181920231030313235383940414811151820283134[[#This Row],[اجمالي الفاتوره]]-Table1181920231030313235383940414811151820283134[[#This Row],[الدفعات]]</f>
        <v>14302.690000000002</v>
      </c>
      <c r="O95" s="95"/>
    </row>
    <row r="96" spans="1:15" ht="23.25" customHeight="1" x14ac:dyDescent="0.3">
      <c r="A96" s="1"/>
      <c r="I96" s="1">
        <f>0.14*Table1181920231030313235383940414811151820283134[[#This Row],[النولون]]</f>
        <v>0</v>
      </c>
      <c r="K9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96" s="1">
        <f>M95+Table1181920231030313235383940414811151820283134[[#This Row],[اجمالي الفاتوره]]-Table1181920231030313235383940414811151820283134[[#This Row],[الدفعات]]</f>
        <v>14302.690000000002</v>
      </c>
      <c r="O96" s="95"/>
    </row>
    <row r="97" spans="1:15" ht="23.25" customHeight="1" x14ac:dyDescent="0.3">
      <c r="A97" s="1"/>
      <c r="I97" s="1">
        <f>0.14*Table1181920231030313235383940414811151820283134[[#This Row],[النولون]]</f>
        <v>0</v>
      </c>
      <c r="K9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97" s="1">
        <f>M96+Table1181920231030313235383940414811151820283134[[#This Row],[اجمالي الفاتوره]]-Table1181920231030313235383940414811151820283134[[#This Row],[الدفعات]]</f>
        <v>14302.690000000002</v>
      </c>
      <c r="O97" s="95"/>
    </row>
    <row r="98" spans="1:15" ht="23.25" customHeight="1" x14ac:dyDescent="0.3">
      <c r="A98" s="1"/>
      <c r="I98" s="1">
        <f>0.14*Table1181920231030313235383940414811151820283134[[#This Row],[النولون]]</f>
        <v>0</v>
      </c>
      <c r="K9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98" s="1">
        <f>M97+Table1181920231030313235383940414811151820283134[[#This Row],[اجمالي الفاتوره]]-Table1181920231030313235383940414811151820283134[[#This Row],[الدفعات]]</f>
        <v>14302.690000000002</v>
      </c>
      <c r="O98" s="95"/>
    </row>
    <row r="99" spans="1:15" ht="23.25" customHeight="1" x14ac:dyDescent="0.3">
      <c r="A99" s="1"/>
      <c r="I99" s="1">
        <f>0.14*Table1181920231030313235383940414811151820283134[[#This Row],[النولون]]</f>
        <v>0</v>
      </c>
      <c r="K9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99" s="1">
        <f>M98+Table1181920231030313235383940414811151820283134[[#This Row],[اجمالي الفاتوره]]-Table1181920231030313235383940414811151820283134[[#This Row],[الدفعات]]</f>
        <v>14302.690000000002</v>
      </c>
      <c r="O99" s="95"/>
    </row>
    <row r="100" spans="1:15" ht="23.25" customHeight="1" x14ac:dyDescent="0.3">
      <c r="A100" s="1"/>
      <c r="I100" s="1">
        <f>0.14*Table1181920231030313235383940414811151820283134[[#This Row],[النولون]]</f>
        <v>0</v>
      </c>
      <c r="K10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00" s="1">
        <f>M99+Table1181920231030313235383940414811151820283134[[#This Row],[اجمالي الفاتوره]]-Table1181920231030313235383940414811151820283134[[#This Row],[الدفعات]]</f>
        <v>14302.690000000002</v>
      </c>
      <c r="O100" s="95"/>
    </row>
    <row r="101" spans="1:15" ht="23.25" customHeight="1" x14ac:dyDescent="0.3">
      <c r="A101" s="1"/>
      <c r="I101" s="1">
        <f>0.14*Table1181920231030313235383940414811151820283134[[#This Row],[النولون]]</f>
        <v>0</v>
      </c>
      <c r="K10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01" s="1">
        <f>M100+Table1181920231030313235383940414811151820283134[[#This Row],[اجمالي الفاتوره]]-Table1181920231030313235383940414811151820283134[[#This Row],[الدفعات]]</f>
        <v>14302.690000000002</v>
      </c>
      <c r="O101" s="95"/>
    </row>
    <row r="102" spans="1:15" ht="23.25" customHeight="1" x14ac:dyDescent="0.3">
      <c r="A102" s="1"/>
      <c r="I102" s="1">
        <f>0.14*Table1181920231030313235383940414811151820283134[[#This Row],[النولون]]</f>
        <v>0</v>
      </c>
      <c r="K10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02" s="1">
        <f>M101+Table1181920231030313235383940414811151820283134[[#This Row],[اجمالي الفاتوره]]-Table1181920231030313235383940414811151820283134[[#This Row],[الدفعات]]</f>
        <v>14302.690000000002</v>
      </c>
      <c r="O102" s="95"/>
    </row>
    <row r="103" spans="1:15" ht="23.25" customHeight="1" x14ac:dyDescent="0.3">
      <c r="A103" s="1"/>
      <c r="I103" s="1">
        <f>0.14*Table1181920231030313235383940414811151820283134[[#This Row],[النولون]]</f>
        <v>0</v>
      </c>
      <c r="K10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03" s="1">
        <f>M102+Table1181920231030313235383940414811151820283134[[#This Row],[اجمالي الفاتوره]]-Table1181920231030313235383940414811151820283134[[#This Row],[الدفعات]]</f>
        <v>14302.690000000002</v>
      </c>
      <c r="O103" s="95"/>
    </row>
    <row r="104" spans="1:15" ht="23.25" customHeight="1" x14ac:dyDescent="0.3">
      <c r="A104" s="1"/>
      <c r="I104" s="1">
        <f>0.14*Table1181920231030313235383940414811151820283134[[#This Row],[النولون]]</f>
        <v>0</v>
      </c>
      <c r="K10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04" s="1">
        <f>M103+Table1181920231030313235383940414811151820283134[[#This Row],[اجمالي الفاتوره]]-Table1181920231030313235383940414811151820283134[[#This Row],[الدفعات]]</f>
        <v>14302.690000000002</v>
      </c>
      <c r="O104" s="95"/>
    </row>
    <row r="105" spans="1:15" ht="23.25" customHeight="1" x14ac:dyDescent="0.3">
      <c r="A105" s="1"/>
      <c r="I105" s="1">
        <f>0.14*Table1181920231030313235383940414811151820283134[[#This Row],[النولون]]</f>
        <v>0</v>
      </c>
      <c r="K10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05" s="1">
        <f>M104+Table1181920231030313235383940414811151820283134[[#This Row],[اجمالي الفاتوره]]-Table1181920231030313235383940414811151820283134[[#This Row],[الدفعات]]</f>
        <v>14302.690000000002</v>
      </c>
      <c r="O105" s="95"/>
    </row>
    <row r="106" spans="1:15" ht="23.25" customHeight="1" x14ac:dyDescent="0.3">
      <c r="A106" s="1"/>
      <c r="I106" s="1">
        <f>0.14*Table1181920231030313235383940414811151820283134[[#This Row],[النولون]]</f>
        <v>0</v>
      </c>
      <c r="K10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06" s="1">
        <f>M105+Table1181920231030313235383940414811151820283134[[#This Row],[اجمالي الفاتوره]]-Table1181920231030313235383940414811151820283134[[#This Row],[الدفعات]]</f>
        <v>14302.690000000002</v>
      </c>
      <c r="O106" s="95"/>
    </row>
    <row r="107" spans="1:15" ht="23.25" customHeight="1" x14ac:dyDescent="0.3">
      <c r="A107" s="1"/>
      <c r="I107" s="1">
        <f>0.14*Table1181920231030313235383940414811151820283134[[#This Row],[النولون]]</f>
        <v>0</v>
      </c>
      <c r="K10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07" s="1">
        <f>M106+Table1181920231030313235383940414811151820283134[[#This Row],[اجمالي الفاتوره]]-Table1181920231030313235383940414811151820283134[[#This Row],[الدفعات]]</f>
        <v>14302.690000000002</v>
      </c>
      <c r="O107" s="95"/>
    </row>
    <row r="108" spans="1:15" ht="23.25" customHeight="1" x14ac:dyDescent="0.3">
      <c r="A108" s="1"/>
      <c r="I108" s="1">
        <f>0.14*Table1181920231030313235383940414811151820283134[[#This Row],[النولون]]</f>
        <v>0</v>
      </c>
      <c r="K10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08" s="1">
        <f>M107+Table1181920231030313235383940414811151820283134[[#This Row],[اجمالي الفاتوره]]-Table1181920231030313235383940414811151820283134[[#This Row],[الدفعات]]</f>
        <v>14302.690000000002</v>
      </c>
      <c r="O108" s="95"/>
    </row>
    <row r="109" spans="1:15" ht="23.25" customHeight="1" x14ac:dyDescent="0.3">
      <c r="A109" s="1"/>
      <c r="I109" s="1">
        <f>0.14*Table1181920231030313235383940414811151820283134[[#This Row],[النولون]]</f>
        <v>0</v>
      </c>
      <c r="K10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09" s="1">
        <f>M108+Table1181920231030313235383940414811151820283134[[#This Row],[اجمالي الفاتوره]]-Table1181920231030313235383940414811151820283134[[#This Row],[الدفعات]]</f>
        <v>14302.690000000002</v>
      </c>
      <c r="O109" s="95"/>
    </row>
    <row r="110" spans="1:15" ht="23.25" customHeight="1" x14ac:dyDescent="0.3">
      <c r="A110" s="1"/>
      <c r="I110" s="1">
        <f>0.14*Table1181920231030313235383940414811151820283134[[#This Row],[النولون]]</f>
        <v>0</v>
      </c>
      <c r="K11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10" s="1">
        <f>M109+Table1181920231030313235383940414811151820283134[[#This Row],[اجمالي الفاتوره]]-Table1181920231030313235383940414811151820283134[[#This Row],[الدفعات]]</f>
        <v>14302.690000000002</v>
      </c>
      <c r="O110" s="95"/>
    </row>
    <row r="111" spans="1:15" ht="23.25" customHeight="1" x14ac:dyDescent="0.3">
      <c r="A111" s="1"/>
      <c r="I111" s="1">
        <f>0.14*Table1181920231030313235383940414811151820283134[[#This Row],[النولون]]</f>
        <v>0</v>
      </c>
      <c r="K11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11" s="1">
        <f>M110+Table1181920231030313235383940414811151820283134[[#This Row],[اجمالي الفاتوره]]-Table1181920231030313235383940414811151820283134[[#This Row],[الدفعات]]</f>
        <v>14302.690000000002</v>
      </c>
      <c r="O111" s="95"/>
    </row>
    <row r="112" spans="1:15" ht="23.25" customHeight="1" x14ac:dyDescent="0.3">
      <c r="A112" s="1"/>
      <c r="I112" s="1">
        <f>0.14*Table1181920231030313235383940414811151820283134[[#This Row],[النولون]]</f>
        <v>0</v>
      </c>
      <c r="K11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12" s="1">
        <f>M111+Table1181920231030313235383940414811151820283134[[#This Row],[اجمالي الفاتوره]]-Table1181920231030313235383940414811151820283134[[#This Row],[الدفعات]]</f>
        <v>14302.690000000002</v>
      </c>
      <c r="O112" s="95"/>
    </row>
    <row r="113" spans="1:15" ht="23.25" customHeight="1" x14ac:dyDescent="0.3">
      <c r="A113" s="1"/>
      <c r="I113" s="1">
        <f>0.14*Table1181920231030313235383940414811151820283134[[#This Row],[النولون]]</f>
        <v>0</v>
      </c>
      <c r="K11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13" s="1">
        <f>M112+Table1181920231030313235383940414811151820283134[[#This Row],[اجمالي الفاتوره]]-Table1181920231030313235383940414811151820283134[[#This Row],[الدفعات]]</f>
        <v>14302.690000000002</v>
      </c>
      <c r="O113" s="95"/>
    </row>
    <row r="114" spans="1:15" ht="23.25" customHeight="1" x14ac:dyDescent="0.3">
      <c r="A114" s="1"/>
      <c r="I114" s="1">
        <f>0.14*Table1181920231030313235383940414811151820283134[[#This Row],[النولون]]</f>
        <v>0</v>
      </c>
      <c r="K11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14" s="1">
        <f>M113+Table1181920231030313235383940414811151820283134[[#This Row],[اجمالي الفاتوره]]-Table1181920231030313235383940414811151820283134[[#This Row],[الدفعات]]</f>
        <v>14302.690000000002</v>
      </c>
      <c r="O114" s="95"/>
    </row>
    <row r="115" spans="1:15" ht="23.25" customHeight="1" x14ac:dyDescent="0.3">
      <c r="A115" s="1"/>
      <c r="I115" s="1">
        <f>0.14*Table1181920231030313235383940414811151820283134[[#This Row],[النولون]]</f>
        <v>0</v>
      </c>
      <c r="K11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15" s="1">
        <f>M114+Table1181920231030313235383940414811151820283134[[#This Row],[اجمالي الفاتوره]]-Table1181920231030313235383940414811151820283134[[#This Row],[الدفعات]]</f>
        <v>14302.690000000002</v>
      </c>
      <c r="O115" s="95"/>
    </row>
    <row r="116" spans="1:15" ht="23.25" customHeight="1" x14ac:dyDescent="0.3">
      <c r="A116" s="1"/>
      <c r="I116" s="1">
        <f>0.14*Table1181920231030313235383940414811151820283134[[#This Row],[النولون]]</f>
        <v>0</v>
      </c>
      <c r="K11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16" s="1">
        <f>M115+Table1181920231030313235383940414811151820283134[[#This Row],[اجمالي الفاتوره]]-Table1181920231030313235383940414811151820283134[[#This Row],[الدفعات]]</f>
        <v>14302.690000000002</v>
      </c>
      <c r="O116" s="95"/>
    </row>
    <row r="117" spans="1:15" ht="23.25" customHeight="1" x14ac:dyDescent="0.3">
      <c r="A117" s="1"/>
      <c r="I117" s="1">
        <f>0.14*Table1181920231030313235383940414811151820283134[[#This Row],[النولون]]</f>
        <v>0</v>
      </c>
      <c r="K11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17" s="1">
        <f>M116+Table1181920231030313235383940414811151820283134[[#This Row],[اجمالي الفاتوره]]-Table1181920231030313235383940414811151820283134[[#This Row],[الدفعات]]</f>
        <v>14302.690000000002</v>
      </c>
      <c r="O117" s="95"/>
    </row>
    <row r="118" spans="1:15" ht="23.25" customHeight="1" x14ac:dyDescent="0.3">
      <c r="A118" s="1"/>
      <c r="I118" s="1">
        <f>0.14*Table1181920231030313235383940414811151820283134[[#This Row],[النولون]]</f>
        <v>0</v>
      </c>
      <c r="K11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18" s="1">
        <f>M117+Table1181920231030313235383940414811151820283134[[#This Row],[اجمالي الفاتوره]]-Table1181920231030313235383940414811151820283134[[#This Row],[الدفعات]]</f>
        <v>14302.690000000002</v>
      </c>
      <c r="O118" s="95"/>
    </row>
    <row r="119" spans="1:15" ht="23.25" customHeight="1" x14ac:dyDescent="0.3">
      <c r="A119" s="1"/>
      <c r="I119" s="1">
        <f>0.14*Table1181920231030313235383940414811151820283134[[#This Row],[النولون]]</f>
        <v>0</v>
      </c>
      <c r="K11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19" s="1">
        <f>M118+Table1181920231030313235383940414811151820283134[[#This Row],[اجمالي الفاتوره]]-Table1181920231030313235383940414811151820283134[[#This Row],[الدفعات]]</f>
        <v>14302.690000000002</v>
      </c>
      <c r="O119" s="95"/>
    </row>
    <row r="120" spans="1:15" ht="23.25" customHeight="1" x14ac:dyDescent="0.3">
      <c r="A120" s="1"/>
      <c r="I120" s="1">
        <f>0.14*Table1181920231030313235383940414811151820283134[[#This Row],[النولون]]</f>
        <v>0</v>
      </c>
      <c r="K12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20" s="1">
        <f>M119+Table1181920231030313235383940414811151820283134[[#This Row],[اجمالي الفاتوره]]-Table1181920231030313235383940414811151820283134[[#This Row],[الدفعات]]</f>
        <v>14302.690000000002</v>
      </c>
      <c r="O120" s="95"/>
    </row>
    <row r="121" spans="1:15" ht="23.25" customHeight="1" x14ac:dyDescent="0.3">
      <c r="A121" s="1"/>
      <c r="I121" s="1">
        <f>0.14*Table1181920231030313235383940414811151820283134[[#This Row],[النولون]]</f>
        <v>0</v>
      </c>
      <c r="K12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21" s="1">
        <f>M120+Table1181920231030313235383940414811151820283134[[#This Row],[اجمالي الفاتوره]]-Table1181920231030313235383940414811151820283134[[#This Row],[الدفعات]]</f>
        <v>14302.690000000002</v>
      </c>
      <c r="O121" s="95"/>
    </row>
    <row r="122" spans="1:15" ht="23.25" customHeight="1" x14ac:dyDescent="0.3">
      <c r="A122" s="1"/>
      <c r="I122" s="1">
        <f>0.14*Table1181920231030313235383940414811151820283134[[#This Row],[النولون]]</f>
        <v>0</v>
      </c>
      <c r="K12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22" s="1">
        <f>M121+Table1181920231030313235383940414811151820283134[[#This Row],[اجمالي الفاتوره]]-Table1181920231030313235383940414811151820283134[[#This Row],[الدفعات]]</f>
        <v>14302.690000000002</v>
      </c>
      <c r="O122" s="95"/>
    </row>
    <row r="123" spans="1:15" ht="23.25" customHeight="1" x14ac:dyDescent="0.3">
      <c r="A123" s="1"/>
      <c r="I123" s="1">
        <f>0.14*Table1181920231030313235383940414811151820283134[[#This Row],[النولون]]</f>
        <v>0</v>
      </c>
      <c r="K12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23" s="1">
        <f>M122+Table1181920231030313235383940414811151820283134[[#This Row],[اجمالي الفاتوره]]-Table1181920231030313235383940414811151820283134[[#This Row],[الدفعات]]</f>
        <v>14302.690000000002</v>
      </c>
      <c r="O123" s="95"/>
    </row>
    <row r="124" spans="1:15" ht="23.25" customHeight="1" x14ac:dyDescent="0.3">
      <c r="A124" s="1"/>
      <c r="I124" s="1">
        <f>0.14*Table1181920231030313235383940414811151820283134[[#This Row],[النولون]]</f>
        <v>0</v>
      </c>
      <c r="K12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24" s="1">
        <f>M123+Table1181920231030313235383940414811151820283134[[#This Row],[اجمالي الفاتوره]]-Table1181920231030313235383940414811151820283134[[#This Row],[الدفعات]]</f>
        <v>14302.690000000002</v>
      </c>
      <c r="O124" s="95"/>
    </row>
    <row r="125" spans="1:15" ht="23.25" customHeight="1" x14ac:dyDescent="0.3">
      <c r="A125" s="1"/>
      <c r="I125" s="1">
        <f>0.14*Table1181920231030313235383940414811151820283134[[#This Row],[النولون]]</f>
        <v>0</v>
      </c>
      <c r="K12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25" s="1">
        <f>M124+Table1181920231030313235383940414811151820283134[[#This Row],[اجمالي الفاتوره]]-Table1181920231030313235383940414811151820283134[[#This Row],[الدفعات]]</f>
        <v>14302.690000000002</v>
      </c>
      <c r="O125" s="95"/>
    </row>
    <row r="126" spans="1:15" ht="23.25" customHeight="1" x14ac:dyDescent="0.3">
      <c r="A126" s="1"/>
      <c r="I126" s="1">
        <f>0.14*Table1181920231030313235383940414811151820283134[[#This Row],[النولون]]</f>
        <v>0</v>
      </c>
      <c r="K12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26" s="1">
        <f>M125+Table1181920231030313235383940414811151820283134[[#This Row],[اجمالي الفاتوره]]-Table1181920231030313235383940414811151820283134[[#This Row],[الدفعات]]</f>
        <v>14302.690000000002</v>
      </c>
      <c r="O126" s="95"/>
    </row>
    <row r="127" spans="1:15" ht="23.25" customHeight="1" x14ac:dyDescent="0.3">
      <c r="A127" s="1"/>
      <c r="I127" s="1">
        <f>0.14*Table1181920231030313235383940414811151820283134[[#This Row],[النولون]]</f>
        <v>0</v>
      </c>
      <c r="K12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27" s="1">
        <f>M126+Table1181920231030313235383940414811151820283134[[#This Row],[اجمالي الفاتوره]]-Table1181920231030313235383940414811151820283134[[#This Row],[الدفعات]]</f>
        <v>14302.690000000002</v>
      </c>
      <c r="O127" s="95"/>
    </row>
    <row r="128" spans="1:15" ht="23.25" customHeight="1" x14ac:dyDescent="0.3">
      <c r="A128" s="1"/>
      <c r="I128" s="1">
        <f>0.14*Table1181920231030313235383940414811151820283134[[#This Row],[النولون]]</f>
        <v>0</v>
      </c>
      <c r="K12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28" s="1">
        <f>M127+Table1181920231030313235383940414811151820283134[[#This Row],[اجمالي الفاتوره]]-Table1181920231030313235383940414811151820283134[[#This Row],[الدفعات]]</f>
        <v>14302.690000000002</v>
      </c>
      <c r="O128" s="95"/>
    </row>
    <row r="129" spans="1:15" ht="23.25" customHeight="1" x14ac:dyDescent="0.3">
      <c r="A129" s="1"/>
      <c r="I129" s="1">
        <f>0.14*Table1181920231030313235383940414811151820283134[[#This Row],[النولون]]</f>
        <v>0</v>
      </c>
      <c r="K12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29" s="1">
        <f>M128+Table1181920231030313235383940414811151820283134[[#This Row],[اجمالي الفاتوره]]-Table1181920231030313235383940414811151820283134[[#This Row],[الدفعات]]</f>
        <v>14302.690000000002</v>
      </c>
      <c r="O129" s="95"/>
    </row>
    <row r="130" spans="1:15" ht="23.25" customHeight="1" x14ac:dyDescent="0.3">
      <c r="A130" s="1"/>
      <c r="I130" s="1">
        <f>0.14*Table1181920231030313235383940414811151820283134[[#This Row],[النولون]]</f>
        <v>0</v>
      </c>
      <c r="K13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30" s="1">
        <f>M129+Table1181920231030313235383940414811151820283134[[#This Row],[اجمالي الفاتوره]]-Table1181920231030313235383940414811151820283134[[#This Row],[الدفعات]]</f>
        <v>14302.690000000002</v>
      </c>
      <c r="O130" s="95"/>
    </row>
    <row r="131" spans="1:15" ht="23.25" customHeight="1" x14ac:dyDescent="0.3">
      <c r="A131" s="1"/>
      <c r="I131" s="1">
        <f>0.14*Table1181920231030313235383940414811151820283134[[#This Row],[النولون]]</f>
        <v>0</v>
      </c>
      <c r="K13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31" s="1">
        <f>M130+Table1181920231030313235383940414811151820283134[[#This Row],[اجمالي الفاتوره]]-Table1181920231030313235383940414811151820283134[[#This Row],[الدفعات]]</f>
        <v>14302.690000000002</v>
      </c>
      <c r="O131" s="95"/>
    </row>
    <row r="132" spans="1:15" ht="23.25" customHeight="1" x14ac:dyDescent="0.3">
      <c r="A132" s="1"/>
      <c r="I132" s="1">
        <f>0.14*Table1181920231030313235383940414811151820283134[[#This Row],[النولون]]</f>
        <v>0</v>
      </c>
      <c r="K13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32" s="1">
        <f>M131+Table1181920231030313235383940414811151820283134[[#This Row],[اجمالي الفاتوره]]-Table1181920231030313235383940414811151820283134[[#This Row],[الدفعات]]</f>
        <v>14302.690000000002</v>
      </c>
      <c r="O132" s="95"/>
    </row>
    <row r="133" spans="1:15" ht="23.25" customHeight="1" x14ac:dyDescent="0.3">
      <c r="A133" s="1"/>
      <c r="I133" s="1">
        <f>0.14*Table1181920231030313235383940414811151820283134[[#This Row],[النولون]]</f>
        <v>0</v>
      </c>
      <c r="K13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33" s="1">
        <f>M132+Table1181920231030313235383940414811151820283134[[#This Row],[اجمالي الفاتوره]]-Table1181920231030313235383940414811151820283134[[#This Row],[الدفعات]]</f>
        <v>14302.690000000002</v>
      </c>
      <c r="O133" s="95"/>
    </row>
    <row r="134" spans="1:15" ht="23.25" customHeight="1" x14ac:dyDescent="0.3">
      <c r="A134" s="1"/>
      <c r="I134" s="1">
        <f>0.14*Table1181920231030313235383940414811151820283134[[#This Row],[النولون]]</f>
        <v>0</v>
      </c>
      <c r="K13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34" s="1">
        <f>M133+Table1181920231030313235383940414811151820283134[[#This Row],[اجمالي الفاتوره]]-Table1181920231030313235383940414811151820283134[[#This Row],[الدفعات]]</f>
        <v>14302.690000000002</v>
      </c>
      <c r="O134" s="95"/>
    </row>
    <row r="135" spans="1:15" ht="23.25" customHeight="1" x14ac:dyDescent="0.3">
      <c r="A135" s="1"/>
      <c r="I135" s="1">
        <f>0.14*Table1181920231030313235383940414811151820283134[[#This Row],[النولون]]</f>
        <v>0</v>
      </c>
      <c r="K13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35" s="1">
        <f>M134+Table1181920231030313235383940414811151820283134[[#This Row],[اجمالي الفاتوره]]-Table1181920231030313235383940414811151820283134[[#This Row],[الدفعات]]</f>
        <v>14302.690000000002</v>
      </c>
      <c r="O135" s="95"/>
    </row>
    <row r="136" spans="1:15" ht="23.25" customHeight="1" x14ac:dyDescent="0.3">
      <c r="A136" s="1"/>
      <c r="I136" s="1">
        <f>0.14*Table1181920231030313235383940414811151820283134[[#This Row],[النولون]]</f>
        <v>0</v>
      </c>
      <c r="K13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36" s="1">
        <f>M135+Table1181920231030313235383940414811151820283134[[#This Row],[اجمالي الفاتوره]]-Table1181920231030313235383940414811151820283134[[#This Row],[الدفعات]]</f>
        <v>14302.690000000002</v>
      </c>
      <c r="O136" s="95"/>
    </row>
    <row r="137" spans="1:15" ht="23.25" customHeight="1" x14ac:dyDescent="0.3">
      <c r="A137" s="1"/>
      <c r="I137" s="1">
        <f>0.14*Table1181920231030313235383940414811151820283134[[#This Row],[النولون]]</f>
        <v>0</v>
      </c>
      <c r="K13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37" s="1">
        <f>M136+Table1181920231030313235383940414811151820283134[[#This Row],[اجمالي الفاتوره]]-Table1181920231030313235383940414811151820283134[[#This Row],[الدفعات]]</f>
        <v>14302.690000000002</v>
      </c>
      <c r="O137" s="95"/>
    </row>
    <row r="138" spans="1:15" ht="23.25" customHeight="1" x14ac:dyDescent="0.3">
      <c r="A138" s="1"/>
      <c r="I138" s="1">
        <f>0.14*Table1181920231030313235383940414811151820283134[[#This Row],[النولون]]</f>
        <v>0</v>
      </c>
      <c r="K13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38" s="1">
        <f>M137+Table1181920231030313235383940414811151820283134[[#This Row],[اجمالي الفاتوره]]-Table1181920231030313235383940414811151820283134[[#This Row],[الدفعات]]</f>
        <v>14302.690000000002</v>
      </c>
      <c r="O138" s="95"/>
    </row>
    <row r="139" spans="1:15" ht="23.25" customHeight="1" x14ac:dyDescent="0.3">
      <c r="A139" s="1"/>
      <c r="I139" s="1">
        <f>0.14*Table1181920231030313235383940414811151820283134[[#This Row],[النولون]]</f>
        <v>0</v>
      </c>
      <c r="K13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39" s="1">
        <f>M138+Table1181920231030313235383940414811151820283134[[#This Row],[اجمالي الفاتوره]]-Table1181920231030313235383940414811151820283134[[#This Row],[الدفعات]]</f>
        <v>14302.690000000002</v>
      </c>
      <c r="O139" s="95"/>
    </row>
    <row r="140" spans="1:15" ht="23.25" customHeight="1" x14ac:dyDescent="0.3">
      <c r="A140" s="1"/>
      <c r="I140" s="1">
        <f>0.14*Table1181920231030313235383940414811151820283134[[#This Row],[النولون]]</f>
        <v>0</v>
      </c>
      <c r="K14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40" s="1">
        <f>M139+Table1181920231030313235383940414811151820283134[[#This Row],[اجمالي الفاتوره]]-Table1181920231030313235383940414811151820283134[[#This Row],[الدفعات]]</f>
        <v>14302.690000000002</v>
      </c>
      <c r="O140" s="95"/>
    </row>
    <row r="141" spans="1:15" ht="23.25" customHeight="1" x14ac:dyDescent="0.3">
      <c r="A141" s="1"/>
      <c r="I141" s="1">
        <f>0.14*Table1181920231030313235383940414811151820283134[[#This Row],[النولون]]</f>
        <v>0</v>
      </c>
      <c r="K14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41" s="1">
        <f>M140+Table1181920231030313235383940414811151820283134[[#This Row],[اجمالي الفاتوره]]-Table1181920231030313235383940414811151820283134[[#This Row],[الدفعات]]</f>
        <v>14302.690000000002</v>
      </c>
      <c r="O141" s="95"/>
    </row>
    <row r="142" spans="1:15" ht="23.25" customHeight="1" x14ac:dyDescent="0.3">
      <c r="A142" s="1"/>
      <c r="I142" s="1">
        <f>0.14*Table1181920231030313235383940414811151820283134[[#This Row],[النولون]]</f>
        <v>0</v>
      </c>
      <c r="K14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42" s="1">
        <f>M141+Table1181920231030313235383940414811151820283134[[#This Row],[اجمالي الفاتوره]]-Table1181920231030313235383940414811151820283134[[#This Row],[الدفعات]]</f>
        <v>14302.690000000002</v>
      </c>
      <c r="O142" s="95"/>
    </row>
    <row r="143" spans="1:15" ht="23.25" customHeight="1" x14ac:dyDescent="0.3">
      <c r="A143" s="1"/>
      <c r="I143" s="1">
        <f>0.14*Table1181920231030313235383940414811151820283134[[#This Row],[النولون]]</f>
        <v>0</v>
      </c>
      <c r="K14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43" s="1">
        <f>M142+Table1181920231030313235383940414811151820283134[[#This Row],[اجمالي الفاتوره]]-Table1181920231030313235383940414811151820283134[[#This Row],[الدفعات]]</f>
        <v>14302.690000000002</v>
      </c>
      <c r="O143" s="95"/>
    </row>
    <row r="144" spans="1:15" ht="23.25" customHeight="1" x14ac:dyDescent="0.3">
      <c r="A144" s="1"/>
      <c r="I144" s="1">
        <f>0.14*Table1181920231030313235383940414811151820283134[[#This Row],[النولون]]</f>
        <v>0</v>
      </c>
      <c r="K14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44" s="1">
        <f>M143+Table1181920231030313235383940414811151820283134[[#This Row],[اجمالي الفاتوره]]-Table1181920231030313235383940414811151820283134[[#This Row],[الدفعات]]</f>
        <v>14302.690000000002</v>
      </c>
      <c r="O144" s="95"/>
    </row>
    <row r="145" spans="1:15" ht="23.25" customHeight="1" x14ac:dyDescent="0.3">
      <c r="A145" s="1"/>
      <c r="I145" s="1">
        <f>0.14*Table1181920231030313235383940414811151820283134[[#This Row],[النولون]]</f>
        <v>0</v>
      </c>
      <c r="K14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45" s="1">
        <f>M144+Table1181920231030313235383940414811151820283134[[#This Row],[اجمالي الفاتوره]]-Table1181920231030313235383940414811151820283134[[#This Row],[الدفعات]]</f>
        <v>14302.690000000002</v>
      </c>
      <c r="O145" s="95"/>
    </row>
    <row r="146" spans="1:15" ht="23.25" customHeight="1" x14ac:dyDescent="0.3">
      <c r="A146" s="1"/>
      <c r="I146" s="1">
        <f>0.14*Table1181920231030313235383940414811151820283134[[#This Row],[النولون]]</f>
        <v>0</v>
      </c>
      <c r="K14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46" s="1">
        <f>M145+Table1181920231030313235383940414811151820283134[[#This Row],[اجمالي الفاتوره]]-Table1181920231030313235383940414811151820283134[[#This Row],[الدفعات]]</f>
        <v>14302.690000000002</v>
      </c>
      <c r="O146" s="95"/>
    </row>
    <row r="147" spans="1:15" ht="23.25" customHeight="1" x14ac:dyDescent="0.3">
      <c r="A147" s="1"/>
      <c r="I147" s="1">
        <f>0.14*Table1181920231030313235383940414811151820283134[[#This Row],[النولون]]</f>
        <v>0</v>
      </c>
      <c r="K14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47" s="1">
        <f>M146+Table1181920231030313235383940414811151820283134[[#This Row],[اجمالي الفاتوره]]-Table1181920231030313235383940414811151820283134[[#This Row],[الدفعات]]</f>
        <v>14302.690000000002</v>
      </c>
      <c r="O147" s="95"/>
    </row>
    <row r="148" spans="1:15" ht="23.25" customHeight="1" x14ac:dyDescent="0.3">
      <c r="A148" s="1"/>
      <c r="I148" s="1">
        <f>0.14*Table1181920231030313235383940414811151820283134[[#This Row],[النولون]]</f>
        <v>0</v>
      </c>
      <c r="K14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48" s="1">
        <f>M147+Table1181920231030313235383940414811151820283134[[#This Row],[اجمالي الفاتوره]]-Table1181920231030313235383940414811151820283134[[#This Row],[الدفعات]]</f>
        <v>14302.690000000002</v>
      </c>
      <c r="O148" s="95"/>
    </row>
    <row r="149" spans="1:15" ht="23.25" customHeight="1" x14ac:dyDescent="0.3">
      <c r="A149" s="1"/>
      <c r="I149" s="1">
        <f>0.14*Table1181920231030313235383940414811151820283134[[#This Row],[النولون]]</f>
        <v>0</v>
      </c>
      <c r="K14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49" s="1">
        <f>M148+Table1181920231030313235383940414811151820283134[[#This Row],[اجمالي الفاتوره]]-Table1181920231030313235383940414811151820283134[[#This Row],[الدفعات]]</f>
        <v>14302.690000000002</v>
      </c>
      <c r="O149" s="95"/>
    </row>
    <row r="150" spans="1:15" ht="23.25" customHeight="1" x14ac:dyDescent="0.3">
      <c r="A150" s="1"/>
      <c r="I150" s="1">
        <f>0.14*Table1181920231030313235383940414811151820283134[[#This Row],[النولون]]</f>
        <v>0</v>
      </c>
      <c r="K15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50" s="1">
        <f>M149+Table1181920231030313235383940414811151820283134[[#This Row],[اجمالي الفاتوره]]-Table1181920231030313235383940414811151820283134[[#This Row],[الدفعات]]</f>
        <v>14302.690000000002</v>
      </c>
      <c r="O150" s="95"/>
    </row>
    <row r="151" spans="1:15" ht="23.25" customHeight="1" x14ac:dyDescent="0.3">
      <c r="A151" s="1"/>
      <c r="I151" s="1">
        <f>0.14*Table1181920231030313235383940414811151820283134[[#This Row],[النولون]]</f>
        <v>0</v>
      </c>
      <c r="K15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51" s="1">
        <f>M150+Table1181920231030313235383940414811151820283134[[#This Row],[اجمالي الفاتوره]]-Table1181920231030313235383940414811151820283134[[#This Row],[الدفعات]]</f>
        <v>14302.690000000002</v>
      </c>
      <c r="O151" s="95"/>
    </row>
    <row r="152" spans="1:15" ht="23.25" customHeight="1" x14ac:dyDescent="0.3">
      <c r="A152" s="1"/>
      <c r="I152" s="1">
        <f>0.14*Table1181920231030313235383940414811151820283134[[#This Row],[النولون]]</f>
        <v>0</v>
      </c>
      <c r="K15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52" s="1">
        <f>M151+Table1181920231030313235383940414811151820283134[[#This Row],[اجمالي الفاتوره]]-Table1181920231030313235383940414811151820283134[[#This Row],[الدفعات]]</f>
        <v>14302.690000000002</v>
      </c>
      <c r="O152" s="95"/>
    </row>
    <row r="153" spans="1:15" ht="23.25" customHeight="1" x14ac:dyDescent="0.3">
      <c r="A153" s="1"/>
      <c r="I153" s="1">
        <f>0.14*Table1181920231030313235383940414811151820283134[[#This Row],[النولون]]</f>
        <v>0</v>
      </c>
      <c r="K15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53" s="1">
        <f>M152+Table1181920231030313235383940414811151820283134[[#This Row],[اجمالي الفاتوره]]-Table1181920231030313235383940414811151820283134[[#This Row],[الدفعات]]</f>
        <v>14302.690000000002</v>
      </c>
      <c r="O153" s="95"/>
    </row>
    <row r="154" spans="1:15" ht="23.25" customHeight="1" x14ac:dyDescent="0.3">
      <c r="A154" s="1"/>
      <c r="I154" s="1">
        <f>0.14*Table1181920231030313235383940414811151820283134[[#This Row],[النولون]]</f>
        <v>0</v>
      </c>
      <c r="K15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54" s="1">
        <f>M153+Table1181920231030313235383940414811151820283134[[#This Row],[اجمالي الفاتوره]]-Table1181920231030313235383940414811151820283134[[#This Row],[الدفعات]]</f>
        <v>14302.690000000002</v>
      </c>
      <c r="O154" s="95"/>
    </row>
    <row r="155" spans="1:15" ht="23.25" customHeight="1" x14ac:dyDescent="0.3">
      <c r="A155" s="1"/>
      <c r="I155" s="1">
        <f>0.14*Table1181920231030313235383940414811151820283134[[#This Row],[النولون]]</f>
        <v>0</v>
      </c>
      <c r="K15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55" s="1">
        <f>M154+Table1181920231030313235383940414811151820283134[[#This Row],[اجمالي الفاتوره]]-Table1181920231030313235383940414811151820283134[[#This Row],[الدفعات]]</f>
        <v>14302.690000000002</v>
      </c>
      <c r="O155" s="95"/>
    </row>
    <row r="156" spans="1:15" ht="23.25" customHeight="1" x14ac:dyDescent="0.3">
      <c r="A156" s="1"/>
      <c r="I156" s="1">
        <f>0.14*Table1181920231030313235383940414811151820283134[[#This Row],[النولون]]</f>
        <v>0</v>
      </c>
      <c r="K15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56" s="1">
        <f>M155+Table1181920231030313235383940414811151820283134[[#This Row],[اجمالي الفاتوره]]-Table1181920231030313235383940414811151820283134[[#This Row],[الدفعات]]</f>
        <v>14302.690000000002</v>
      </c>
      <c r="O156" s="95"/>
    </row>
    <row r="157" spans="1:15" ht="23.25" customHeight="1" x14ac:dyDescent="0.3">
      <c r="A157" s="1"/>
      <c r="I157" s="1">
        <f>0.14*Table1181920231030313235383940414811151820283134[[#This Row],[النولون]]</f>
        <v>0</v>
      </c>
      <c r="K15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57" s="1">
        <f>M156+Table1181920231030313235383940414811151820283134[[#This Row],[اجمالي الفاتوره]]-Table1181920231030313235383940414811151820283134[[#This Row],[الدفعات]]</f>
        <v>14302.690000000002</v>
      </c>
      <c r="O157" s="95"/>
    </row>
    <row r="158" spans="1:15" ht="23.25" customHeight="1" x14ac:dyDescent="0.3">
      <c r="A158" s="1"/>
      <c r="I158" s="1">
        <f>0.14*Table1181920231030313235383940414811151820283134[[#This Row],[النولون]]</f>
        <v>0</v>
      </c>
      <c r="K15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58" s="1">
        <f>M157+Table1181920231030313235383940414811151820283134[[#This Row],[اجمالي الفاتوره]]-Table1181920231030313235383940414811151820283134[[#This Row],[الدفعات]]</f>
        <v>14302.690000000002</v>
      </c>
      <c r="O158" s="95"/>
    </row>
    <row r="159" spans="1:15" ht="23.25" customHeight="1" x14ac:dyDescent="0.3">
      <c r="A159" s="1"/>
      <c r="I159" s="1">
        <f>0.14*Table1181920231030313235383940414811151820283134[[#This Row],[النولون]]</f>
        <v>0</v>
      </c>
      <c r="K15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59" s="1">
        <f>M158+Table1181920231030313235383940414811151820283134[[#This Row],[اجمالي الفاتوره]]-Table1181920231030313235383940414811151820283134[[#This Row],[الدفعات]]</f>
        <v>14302.690000000002</v>
      </c>
      <c r="O159" s="95"/>
    </row>
    <row r="160" spans="1:15" ht="23.25" customHeight="1" x14ac:dyDescent="0.3">
      <c r="A160" s="1"/>
      <c r="I160" s="1">
        <f>0.14*Table1181920231030313235383940414811151820283134[[#This Row],[النولون]]</f>
        <v>0</v>
      </c>
      <c r="K16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60" s="1">
        <f>M159+Table1181920231030313235383940414811151820283134[[#This Row],[اجمالي الفاتوره]]-Table1181920231030313235383940414811151820283134[[#This Row],[الدفعات]]</f>
        <v>14302.690000000002</v>
      </c>
      <c r="O160" s="95"/>
    </row>
    <row r="161" spans="1:15" ht="23.25" customHeight="1" x14ac:dyDescent="0.3">
      <c r="A161" s="1"/>
      <c r="I161" s="1">
        <f>0.14*Table1181920231030313235383940414811151820283134[[#This Row],[النولون]]</f>
        <v>0</v>
      </c>
      <c r="K16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61" s="1">
        <f>M160+Table1181920231030313235383940414811151820283134[[#This Row],[اجمالي الفاتوره]]-Table1181920231030313235383940414811151820283134[[#This Row],[الدفعات]]</f>
        <v>14302.690000000002</v>
      </c>
      <c r="O161" s="95"/>
    </row>
    <row r="162" spans="1:15" ht="23.25" customHeight="1" x14ac:dyDescent="0.3">
      <c r="A162" s="1"/>
      <c r="I162" s="1">
        <f>0.14*Table1181920231030313235383940414811151820283134[[#This Row],[النولون]]</f>
        <v>0</v>
      </c>
      <c r="K16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62" s="1">
        <f>M161+Table1181920231030313235383940414811151820283134[[#This Row],[اجمالي الفاتوره]]-Table1181920231030313235383940414811151820283134[[#This Row],[الدفعات]]</f>
        <v>14302.690000000002</v>
      </c>
      <c r="O162" s="95"/>
    </row>
    <row r="163" spans="1:15" ht="23.25" customHeight="1" x14ac:dyDescent="0.3">
      <c r="A163" s="1"/>
      <c r="I163" s="1">
        <f>0.14*Table1181920231030313235383940414811151820283134[[#This Row],[النولون]]</f>
        <v>0</v>
      </c>
      <c r="K16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63" s="1">
        <f>M162+Table1181920231030313235383940414811151820283134[[#This Row],[اجمالي الفاتوره]]-Table1181920231030313235383940414811151820283134[[#This Row],[الدفعات]]</f>
        <v>14302.690000000002</v>
      </c>
      <c r="O163" s="95"/>
    </row>
    <row r="164" spans="1:15" ht="23.25" customHeight="1" x14ac:dyDescent="0.3">
      <c r="A164" s="1"/>
      <c r="I164" s="1">
        <f>0.14*Table1181920231030313235383940414811151820283134[[#This Row],[النولون]]</f>
        <v>0</v>
      </c>
      <c r="K16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64" s="1">
        <f>M163+Table1181920231030313235383940414811151820283134[[#This Row],[اجمالي الفاتوره]]-Table1181920231030313235383940414811151820283134[[#This Row],[الدفعات]]</f>
        <v>14302.690000000002</v>
      </c>
      <c r="O164" s="95"/>
    </row>
    <row r="165" spans="1:15" ht="23.25" customHeight="1" x14ac:dyDescent="0.3">
      <c r="A165" s="1"/>
      <c r="I165" s="1">
        <f>0.14*Table1181920231030313235383940414811151820283134[[#This Row],[النولون]]</f>
        <v>0</v>
      </c>
      <c r="K16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65" s="1">
        <f>M164+Table1181920231030313235383940414811151820283134[[#This Row],[اجمالي الفاتوره]]-Table1181920231030313235383940414811151820283134[[#This Row],[الدفعات]]</f>
        <v>14302.690000000002</v>
      </c>
      <c r="O165" s="95"/>
    </row>
    <row r="166" spans="1:15" ht="23.25" customHeight="1" x14ac:dyDescent="0.3">
      <c r="A166" s="1"/>
      <c r="I166" s="1">
        <f>0.14*Table1181920231030313235383940414811151820283134[[#This Row],[النولون]]</f>
        <v>0</v>
      </c>
      <c r="K16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66" s="1">
        <f>M165+Table1181920231030313235383940414811151820283134[[#This Row],[اجمالي الفاتوره]]-Table1181920231030313235383940414811151820283134[[#This Row],[الدفعات]]</f>
        <v>14302.690000000002</v>
      </c>
      <c r="O166" s="95"/>
    </row>
    <row r="167" spans="1:15" ht="23.25" customHeight="1" x14ac:dyDescent="0.3">
      <c r="A167" s="1"/>
      <c r="I167" s="1">
        <f>0.14*Table1181920231030313235383940414811151820283134[[#This Row],[النولون]]</f>
        <v>0</v>
      </c>
      <c r="K16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67" s="1">
        <f>M166+Table1181920231030313235383940414811151820283134[[#This Row],[اجمالي الفاتوره]]-Table1181920231030313235383940414811151820283134[[#This Row],[الدفعات]]</f>
        <v>14302.690000000002</v>
      </c>
      <c r="O167" s="95"/>
    </row>
    <row r="168" spans="1:15" ht="23.25" customHeight="1" x14ac:dyDescent="0.3">
      <c r="A168" s="1"/>
      <c r="I168" s="1">
        <f>0.14*Table1181920231030313235383940414811151820283134[[#This Row],[النولون]]</f>
        <v>0</v>
      </c>
      <c r="K16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68" s="1">
        <f>M167+Table1181920231030313235383940414811151820283134[[#This Row],[اجمالي الفاتوره]]-Table1181920231030313235383940414811151820283134[[#This Row],[الدفعات]]</f>
        <v>14302.690000000002</v>
      </c>
      <c r="O168" s="95"/>
    </row>
    <row r="169" spans="1:15" ht="23.25" customHeight="1" x14ac:dyDescent="0.3">
      <c r="A169" s="1"/>
      <c r="I169" s="1">
        <f>0.14*Table1181920231030313235383940414811151820283134[[#This Row],[النولون]]</f>
        <v>0</v>
      </c>
      <c r="K16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69" s="1">
        <f>M168+Table1181920231030313235383940414811151820283134[[#This Row],[اجمالي الفاتوره]]-Table1181920231030313235383940414811151820283134[[#This Row],[الدفعات]]</f>
        <v>14302.690000000002</v>
      </c>
      <c r="O169" s="95"/>
    </row>
    <row r="170" spans="1:15" ht="23.25" customHeight="1" x14ac:dyDescent="0.3">
      <c r="A170" s="1"/>
      <c r="I170" s="1">
        <f>0.14*Table1181920231030313235383940414811151820283134[[#This Row],[النولون]]</f>
        <v>0</v>
      </c>
      <c r="K17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70" s="1">
        <f>M169+Table1181920231030313235383940414811151820283134[[#This Row],[اجمالي الفاتوره]]-Table1181920231030313235383940414811151820283134[[#This Row],[الدفعات]]</f>
        <v>14302.690000000002</v>
      </c>
      <c r="O170" s="95"/>
    </row>
    <row r="171" spans="1:15" ht="23.25" customHeight="1" x14ac:dyDescent="0.3">
      <c r="A171" s="1"/>
      <c r="I171" s="1">
        <f>0.14*Table1181920231030313235383940414811151820283134[[#This Row],[النولون]]</f>
        <v>0</v>
      </c>
      <c r="K17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71" s="1">
        <f>M170+Table1181920231030313235383940414811151820283134[[#This Row],[اجمالي الفاتوره]]-Table1181920231030313235383940414811151820283134[[#This Row],[الدفعات]]</f>
        <v>14302.690000000002</v>
      </c>
      <c r="O171" s="95"/>
    </row>
    <row r="172" spans="1:15" ht="23.25" customHeight="1" x14ac:dyDescent="0.3">
      <c r="A172" s="1"/>
      <c r="I172" s="1">
        <f>0.14*Table1181920231030313235383940414811151820283134[[#This Row],[النولون]]</f>
        <v>0</v>
      </c>
      <c r="K17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72" s="1">
        <f>M171+Table1181920231030313235383940414811151820283134[[#This Row],[اجمالي الفاتوره]]-Table1181920231030313235383940414811151820283134[[#This Row],[الدفعات]]</f>
        <v>14302.690000000002</v>
      </c>
      <c r="O172" s="95"/>
    </row>
    <row r="173" spans="1:15" ht="23.25" customHeight="1" x14ac:dyDescent="0.3">
      <c r="A173" s="1"/>
      <c r="I173" s="1">
        <f>0.14*Table1181920231030313235383940414811151820283134[[#This Row],[النولون]]</f>
        <v>0</v>
      </c>
      <c r="K17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73" s="1">
        <f>M172+Table1181920231030313235383940414811151820283134[[#This Row],[اجمالي الفاتوره]]-Table1181920231030313235383940414811151820283134[[#This Row],[الدفعات]]</f>
        <v>14302.690000000002</v>
      </c>
      <c r="O173" s="95"/>
    </row>
    <row r="174" spans="1:15" ht="23.25" customHeight="1" x14ac:dyDescent="0.3">
      <c r="A174" s="1"/>
      <c r="I174" s="1">
        <f>0.14*Table1181920231030313235383940414811151820283134[[#This Row],[النولون]]</f>
        <v>0</v>
      </c>
      <c r="K17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74" s="1">
        <f>M173+Table1181920231030313235383940414811151820283134[[#This Row],[اجمالي الفاتوره]]-Table1181920231030313235383940414811151820283134[[#This Row],[الدفعات]]</f>
        <v>14302.690000000002</v>
      </c>
      <c r="O174" s="95"/>
    </row>
    <row r="175" spans="1:15" ht="23.25" customHeight="1" x14ac:dyDescent="0.3">
      <c r="A175" s="1"/>
      <c r="I175" s="1">
        <f>0.14*Table1181920231030313235383940414811151820283134[[#This Row],[النولون]]</f>
        <v>0</v>
      </c>
      <c r="K17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75" s="1">
        <f>M174+Table1181920231030313235383940414811151820283134[[#This Row],[اجمالي الفاتوره]]-Table1181920231030313235383940414811151820283134[[#This Row],[الدفعات]]</f>
        <v>14302.690000000002</v>
      </c>
      <c r="O175" s="95"/>
    </row>
    <row r="176" spans="1:15" ht="23.25" customHeight="1" x14ac:dyDescent="0.3">
      <c r="A176" s="1"/>
      <c r="I176" s="1">
        <f>0.14*Table1181920231030313235383940414811151820283134[[#This Row],[النولون]]</f>
        <v>0</v>
      </c>
      <c r="K17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76" s="1">
        <f>M175+Table1181920231030313235383940414811151820283134[[#This Row],[اجمالي الفاتوره]]-Table1181920231030313235383940414811151820283134[[#This Row],[الدفعات]]</f>
        <v>14302.690000000002</v>
      </c>
      <c r="O176" s="95"/>
    </row>
    <row r="177" spans="1:15" ht="23.25" customHeight="1" x14ac:dyDescent="0.3">
      <c r="A177" s="1"/>
      <c r="I177" s="1">
        <f>0.14*Table1181920231030313235383940414811151820283134[[#This Row],[النولون]]</f>
        <v>0</v>
      </c>
      <c r="K17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77" s="1">
        <f>M176+Table1181920231030313235383940414811151820283134[[#This Row],[اجمالي الفاتوره]]-Table1181920231030313235383940414811151820283134[[#This Row],[الدفعات]]</f>
        <v>14302.690000000002</v>
      </c>
      <c r="O177" s="95"/>
    </row>
    <row r="178" spans="1:15" ht="23.25" customHeight="1" x14ac:dyDescent="0.3">
      <c r="A178" s="1"/>
      <c r="I178" s="1">
        <f>0.14*Table1181920231030313235383940414811151820283134[[#This Row],[النولون]]</f>
        <v>0</v>
      </c>
      <c r="K17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78" s="1">
        <f>M177+Table1181920231030313235383940414811151820283134[[#This Row],[اجمالي الفاتوره]]-Table1181920231030313235383940414811151820283134[[#This Row],[الدفعات]]</f>
        <v>14302.690000000002</v>
      </c>
      <c r="O178" s="95"/>
    </row>
    <row r="179" spans="1:15" ht="23.25" customHeight="1" x14ac:dyDescent="0.3">
      <c r="A179" s="1"/>
      <c r="I179" s="1">
        <f>0.14*Table1181920231030313235383940414811151820283134[[#This Row],[النولون]]</f>
        <v>0</v>
      </c>
      <c r="K17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79" s="1">
        <f>M178+Table1181920231030313235383940414811151820283134[[#This Row],[اجمالي الفاتوره]]-Table1181920231030313235383940414811151820283134[[#This Row],[الدفعات]]</f>
        <v>14302.690000000002</v>
      </c>
      <c r="O179" s="95"/>
    </row>
    <row r="180" spans="1:15" ht="23.25" customHeight="1" x14ac:dyDescent="0.3">
      <c r="A180" s="1"/>
      <c r="I180" s="1">
        <f>0.14*Table1181920231030313235383940414811151820283134[[#This Row],[النولون]]</f>
        <v>0</v>
      </c>
      <c r="K18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80" s="1">
        <f>M179+Table1181920231030313235383940414811151820283134[[#This Row],[اجمالي الفاتوره]]-Table1181920231030313235383940414811151820283134[[#This Row],[الدفعات]]</f>
        <v>14302.690000000002</v>
      </c>
      <c r="O180" s="95"/>
    </row>
    <row r="181" spans="1:15" ht="23.25" customHeight="1" x14ac:dyDescent="0.3">
      <c r="A181" s="1"/>
      <c r="I181" s="1">
        <f>0.14*Table1181920231030313235383940414811151820283134[[#This Row],[النولون]]</f>
        <v>0</v>
      </c>
      <c r="K18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81" s="1">
        <f>M180+Table1181920231030313235383940414811151820283134[[#This Row],[اجمالي الفاتوره]]-Table1181920231030313235383940414811151820283134[[#This Row],[الدفعات]]</f>
        <v>14302.690000000002</v>
      </c>
      <c r="O181" s="95"/>
    </row>
    <row r="182" spans="1:15" ht="23.25" customHeight="1" x14ac:dyDescent="0.3">
      <c r="A182" s="1"/>
      <c r="I182" s="1">
        <f>0.14*Table1181920231030313235383940414811151820283134[[#This Row],[النولون]]</f>
        <v>0</v>
      </c>
      <c r="K18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82" s="1">
        <f>M181+Table1181920231030313235383940414811151820283134[[#This Row],[اجمالي الفاتوره]]-Table1181920231030313235383940414811151820283134[[#This Row],[الدفعات]]</f>
        <v>14302.690000000002</v>
      </c>
      <c r="O182" s="95"/>
    </row>
    <row r="183" spans="1:15" ht="23.25" customHeight="1" x14ac:dyDescent="0.3">
      <c r="A183" s="1"/>
      <c r="I183" s="1">
        <f>0.14*Table1181920231030313235383940414811151820283134[[#This Row],[النولون]]</f>
        <v>0</v>
      </c>
      <c r="K18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83" s="1">
        <f>M182+Table1181920231030313235383940414811151820283134[[#This Row],[اجمالي الفاتوره]]-Table1181920231030313235383940414811151820283134[[#This Row],[الدفعات]]</f>
        <v>14302.690000000002</v>
      </c>
      <c r="O183" s="95"/>
    </row>
    <row r="184" spans="1:15" ht="23.25" customHeight="1" x14ac:dyDescent="0.3">
      <c r="A184" s="1"/>
      <c r="I184" s="1">
        <f>0.14*Table1181920231030313235383940414811151820283134[[#This Row],[النولون]]</f>
        <v>0</v>
      </c>
      <c r="K18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84" s="1">
        <f>M183+Table1181920231030313235383940414811151820283134[[#This Row],[اجمالي الفاتوره]]-Table1181920231030313235383940414811151820283134[[#This Row],[الدفعات]]</f>
        <v>14302.690000000002</v>
      </c>
      <c r="O184" s="95"/>
    </row>
    <row r="185" spans="1:15" ht="23.25" customHeight="1" x14ac:dyDescent="0.3">
      <c r="A185" s="1"/>
      <c r="I185" s="1">
        <f>0.14*Table1181920231030313235383940414811151820283134[[#This Row],[النولون]]</f>
        <v>0</v>
      </c>
      <c r="K18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85" s="1">
        <f>M184+Table1181920231030313235383940414811151820283134[[#This Row],[اجمالي الفاتوره]]-Table1181920231030313235383940414811151820283134[[#This Row],[الدفعات]]</f>
        <v>14302.690000000002</v>
      </c>
      <c r="O185" s="95"/>
    </row>
    <row r="186" spans="1:15" ht="23.25" customHeight="1" x14ac:dyDescent="0.3">
      <c r="A186" s="1"/>
      <c r="I186" s="1">
        <f>0.14*Table1181920231030313235383940414811151820283134[[#This Row],[النولون]]</f>
        <v>0</v>
      </c>
      <c r="K18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86" s="1">
        <f>M185+Table1181920231030313235383940414811151820283134[[#This Row],[اجمالي الفاتوره]]-Table1181920231030313235383940414811151820283134[[#This Row],[الدفعات]]</f>
        <v>14302.690000000002</v>
      </c>
      <c r="O186" s="95"/>
    </row>
    <row r="187" spans="1:15" ht="23.25" customHeight="1" x14ac:dyDescent="0.3">
      <c r="A187" s="1"/>
      <c r="I187" s="1">
        <f>0.14*Table1181920231030313235383940414811151820283134[[#This Row],[النولون]]</f>
        <v>0</v>
      </c>
      <c r="K18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87" s="1">
        <f>M186+Table1181920231030313235383940414811151820283134[[#This Row],[اجمالي الفاتوره]]-Table1181920231030313235383940414811151820283134[[#This Row],[الدفعات]]</f>
        <v>14302.690000000002</v>
      </c>
      <c r="O187" s="95"/>
    </row>
    <row r="188" spans="1:15" ht="23.25" customHeight="1" x14ac:dyDescent="0.3">
      <c r="A188" s="1"/>
      <c r="I188" s="1">
        <f>0.14*Table1181920231030313235383940414811151820283134[[#This Row],[النولون]]</f>
        <v>0</v>
      </c>
      <c r="K18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88" s="1">
        <f>M187+Table1181920231030313235383940414811151820283134[[#This Row],[اجمالي الفاتوره]]-Table1181920231030313235383940414811151820283134[[#This Row],[الدفعات]]</f>
        <v>14302.690000000002</v>
      </c>
      <c r="O188" s="95"/>
    </row>
    <row r="189" spans="1:15" ht="23.25" customHeight="1" x14ac:dyDescent="0.3">
      <c r="A189" s="1"/>
      <c r="I189" s="1">
        <f>0.14*Table1181920231030313235383940414811151820283134[[#This Row],[النولون]]</f>
        <v>0</v>
      </c>
      <c r="K18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89" s="1">
        <f>M188+Table1181920231030313235383940414811151820283134[[#This Row],[اجمالي الفاتوره]]-Table1181920231030313235383940414811151820283134[[#This Row],[الدفعات]]</f>
        <v>14302.690000000002</v>
      </c>
      <c r="O189" s="95"/>
    </row>
    <row r="190" spans="1:15" ht="23.25" customHeight="1" x14ac:dyDescent="0.3">
      <c r="A190" s="1"/>
      <c r="I190" s="1">
        <f>0.14*Table1181920231030313235383940414811151820283134[[#This Row],[النولون]]</f>
        <v>0</v>
      </c>
      <c r="K19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90" s="1">
        <f>M189+Table1181920231030313235383940414811151820283134[[#This Row],[اجمالي الفاتوره]]-Table1181920231030313235383940414811151820283134[[#This Row],[الدفعات]]</f>
        <v>14302.690000000002</v>
      </c>
      <c r="O190" s="95"/>
    </row>
    <row r="191" spans="1:15" ht="23.25" customHeight="1" x14ac:dyDescent="0.3">
      <c r="A191" s="1"/>
      <c r="I191" s="1">
        <f>0.14*Table1181920231030313235383940414811151820283134[[#This Row],[النولون]]</f>
        <v>0</v>
      </c>
      <c r="K19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91" s="1">
        <f>M190+Table1181920231030313235383940414811151820283134[[#This Row],[اجمالي الفاتوره]]-Table1181920231030313235383940414811151820283134[[#This Row],[الدفعات]]</f>
        <v>14302.690000000002</v>
      </c>
      <c r="O191" s="95"/>
    </row>
    <row r="192" spans="1:15" ht="23.25" customHeight="1" x14ac:dyDescent="0.3">
      <c r="A192" s="1"/>
      <c r="I192" s="1">
        <f>0.14*Table1181920231030313235383940414811151820283134[[#This Row],[النولون]]</f>
        <v>0</v>
      </c>
      <c r="K19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92" s="1">
        <f>M191+Table1181920231030313235383940414811151820283134[[#This Row],[اجمالي الفاتوره]]-Table1181920231030313235383940414811151820283134[[#This Row],[الدفعات]]</f>
        <v>14302.690000000002</v>
      </c>
      <c r="O192" s="95"/>
    </row>
    <row r="193" spans="1:15" ht="23.25" customHeight="1" x14ac:dyDescent="0.3">
      <c r="A193" s="1"/>
      <c r="I193" s="1">
        <f>0.14*Table1181920231030313235383940414811151820283134[[#This Row],[النولون]]</f>
        <v>0</v>
      </c>
      <c r="K19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93" s="1">
        <f>M192+Table1181920231030313235383940414811151820283134[[#This Row],[اجمالي الفاتوره]]-Table1181920231030313235383940414811151820283134[[#This Row],[الدفعات]]</f>
        <v>14302.690000000002</v>
      </c>
      <c r="O193" s="95"/>
    </row>
    <row r="194" spans="1:15" ht="23.25" customHeight="1" x14ac:dyDescent="0.3">
      <c r="A194" s="1"/>
      <c r="I194" s="1">
        <f>0.14*Table1181920231030313235383940414811151820283134[[#This Row],[النولون]]</f>
        <v>0</v>
      </c>
      <c r="K19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94" s="1">
        <f>M193+Table1181920231030313235383940414811151820283134[[#This Row],[اجمالي الفاتوره]]-Table1181920231030313235383940414811151820283134[[#This Row],[الدفعات]]</f>
        <v>14302.690000000002</v>
      </c>
      <c r="O194" s="95"/>
    </row>
    <row r="195" spans="1:15" ht="23.25" customHeight="1" x14ac:dyDescent="0.3">
      <c r="A195" s="1"/>
      <c r="I195" s="1">
        <f>0.14*Table1181920231030313235383940414811151820283134[[#This Row],[النولون]]</f>
        <v>0</v>
      </c>
      <c r="K19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95" s="1">
        <f>M194+Table1181920231030313235383940414811151820283134[[#This Row],[اجمالي الفاتوره]]-Table1181920231030313235383940414811151820283134[[#This Row],[الدفعات]]</f>
        <v>14302.690000000002</v>
      </c>
      <c r="O195" s="95"/>
    </row>
    <row r="196" spans="1:15" ht="23.25" customHeight="1" x14ac:dyDescent="0.3">
      <c r="A196" s="1"/>
      <c r="I196" s="1">
        <f>0.14*Table1181920231030313235383940414811151820283134[[#This Row],[النولون]]</f>
        <v>0</v>
      </c>
      <c r="K19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96" s="1">
        <f>M195+Table1181920231030313235383940414811151820283134[[#This Row],[اجمالي الفاتوره]]-Table1181920231030313235383940414811151820283134[[#This Row],[الدفعات]]</f>
        <v>14302.690000000002</v>
      </c>
      <c r="O196" s="95"/>
    </row>
    <row r="197" spans="1:15" ht="23.25" customHeight="1" x14ac:dyDescent="0.3">
      <c r="A197" s="1"/>
      <c r="I197" s="1">
        <f>0.14*Table1181920231030313235383940414811151820283134[[#This Row],[النولون]]</f>
        <v>0</v>
      </c>
      <c r="K19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97" s="1">
        <f>M196+Table1181920231030313235383940414811151820283134[[#This Row],[اجمالي الفاتوره]]-Table1181920231030313235383940414811151820283134[[#This Row],[الدفعات]]</f>
        <v>14302.690000000002</v>
      </c>
      <c r="O197" s="95"/>
    </row>
    <row r="198" spans="1:15" ht="23.25" customHeight="1" x14ac:dyDescent="0.3">
      <c r="A198" s="1"/>
      <c r="I198" s="1">
        <f>0.14*Table1181920231030313235383940414811151820283134[[#This Row],[النولون]]</f>
        <v>0</v>
      </c>
      <c r="K19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98" s="1">
        <f>M197+Table1181920231030313235383940414811151820283134[[#This Row],[اجمالي الفاتوره]]-Table1181920231030313235383940414811151820283134[[#This Row],[الدفعات]]</f>
        <v>14302.690000000002</v>
      </c>
      <c r="O198" s="95"/>
    </row>
    <row r="199" spans="1:15" ht="23.25" customHeight="1" x14ac:dyDescent="0.3">
      <c r="A199" s="1"/>
      <c r="I199" s="1">
        <f>0.14*Table1181920231030313235383940414811151820283134[[#This Row],[النولون]]</f>
        <v>0</v>
      </c>
      <c r="K19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199" s="1">
        <f>M198+Table1181920231030313235383940414811151820283134[[#This Row],[اجمالي الفاتوره]]-Table1181920231030313235383940414811151820283134[[#This Row],[الدفعات]]</f>
        <v>14302.690000000002</v>
      </c>
      <c r="O199" s="95"/>
    </row>
    <row r="200" spans="1:15" ht="23.25" customHeight="1" x14ac:dyDescent="0.3">
      <c r="A200" s="1"/>
      <c r="I200" s="1">
        <f>0.14*Table1181920231030313235383940414811151820283134[[#This Row],[النولون]]</f>
        <v>0</v>
      </c>
      <c r="K20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00" s="1">
        <f>M199+Table1181920231030313235383940414811151820283134[[#This Row],[اجمالي الفاتوره]]-Table1181920231030313235383940414811151820283134[[#This Row],[الدفعات]]</f>
        <v>14302.690000000002</v>
      </c>
      <c r="O200" s="95"/>
    </row>
    <row r="201" spans="1:15" ht="23.25" customHeight="1" x14ac:dyDescent="0.3">
      <c r="A201" s="1"/>
      <c r="I201" s="1">
        <f>0.14*Table1181920231030313235383940414811151820283134[[#This Row],[النولون]]</f>
        <v>0</v>
      </c>
      <c r="K20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01" s="1">
        <f>M200+Table1181920231030313235383940414811151820283134[[#This Row],[اجمالي الفاتوره]]-Table1181920231030313235383940414811151820283134[[#This Row],[الدفعات]]</f>
        <v>14302.690000000002</v>
      </c>
      <c r="O201" s="95"/>
    </row>
    <row r="202" spans="1:15" ht="23.25" customHeight="1" x14ac:dyDescent="0.3">
      <c r="A202" s="1"/>
      <c r="I202" s="1">
        <f>0.14*Table1181920231030313235383940414811151820283134[[#This Row],[النولون]]</f>
        <v>0</v>
      </c>
      <c r="K20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02" s="1">
        <f>M201+Table1181920231030313235383940414811151820283134[[#This Row],[اجمالي الفاتوره]]-Table1181920231030313235383940414811151820283134[[#This Row],[الدفعات]]</f>
        <v>14302.690000000002</v>
      </c>
      <c r="O202" s="95"/>
    </row>
    <row r="203" spans="1:15" ht="23.25" customHeight="1" x14ac:dyDescent="0.3">
      <c r="A203" s="1"/>
      <c r="I203" s="1">
        <f>0.14*Table1181920231030313235383940414811151820283134[[#This Row],[النولون]]</f>
        <v>0</v>
      </c>
      <c r="K20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03" s="1">
        <f>M202+Table1181920231030313235383940414811151820283134[[#This Row],[اجمالي الفاتوره]]-Table1181920231030313235383940414811151820283134[[#This Row],[الدفعات]]</f>
        <v>14302.690000000002</v>
      </c>
      <c r="O203" s="95"/>
    </row>
    <row r="204" spans="1:15" ht="23.25" customHeight="1" x14ac:dyDescent="0.3">
      <c r="A204" s="1"/>
      <c r="I204" s="1">
        <f>0.14*Table1181920231030313235383940414811151820283134[[#This Row],[النولون]]</f>
        <v>0</v>
      </c>
      <c r="K20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04" s="1">
        <f>M203+Table1181920231030313235383940414811151820283134[[#This Row],[اجمالي الفاتوره]]-Table1181920231030313235383940414811151820283134[[#This Row],[الدفعات]]</f>
        <v>14302.690000000002</v>
      </c>
      <c r="O204" s="95"/>
    </row>
    <row r="205" spans="1:15" ht="23.25" customHeight="1" x14ac:dyDescent="0.3">
      <c r="A205" s="1"/>
      <c r="I205" s="1">
        <f>0.14*Table1181920231030313235383940414811151820283134[[#This Row],[النولون]]</f>
        <v>0</v>
      </c>
      <c r="K20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05" s="1">
        <f>M204+Table1181920231030313235383940414811151820283134[[#This Row],[اجمالي الفاتوره]]-Table1181920231030313235383940414811151820283134[[#This Row],[الدفعات]]</f>
        <v>14302.690000000002</v>
      </c>
      <c r="O205" s="95"/>
    </row>
    <row r="206" spans="1:15" ht="23.25" customHeight="1" x14ac:dyDescent="0.3">
      <c r="A206" s="1"/>
      <c r="I206" s="1">
        <f>0.14*Table1181920231030313235383940414811151820283134[[#This Row],[النولون]]</f>
        <v>0</v>
      </c>
      <c r="K20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06" s="1">
        <f>M205+Table1181920231030313235383940414811151820283134[[#This Row],[اجمالي الفاتوره]]-Table1181920231030313235383940414811151820283134[[#This Row],[الدفعات]]</f>
        <v>14302.690000000002</v>
      </c>
      <c r="O206" s="95"/>
    </row>
    <row r="207" spans="1:15" ht="23.25" customHeight="1" x14ac:dyDescent="0.3">
      <c r="A207" s="1"/>
      <c r="I207" s="1">
        <f>0.14*Table1181920231030313235383940414811151820283134[[#This Row],[النولون]]</f>
        <v>0</v>
      </c>
      <c r="K20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07" s="1">
        <f>M206+Table1181920231030313235383940414811151820283134[[#This Row],[اجمالي الفاتوره]]-Table1181920231030313235383940414811151820283134[[#This Row],[الدفعات]]</f>
        <v>14302.690000000002</v>
      </c>
      <c r="O207" s="95"/>
    </row>
    <row r="208" spans="1:15" ht="23.25" customHeight="1" x14ac:dyDescent="0.3">
      <c r="A208" s="1"/>
      <c r="I208" s="1">
        <f>0.14*Table1181920231030313235383940414811151820283134[[#This Row],[النولون]]</f>
        <v>0</v>
      </c>
      <c r="K20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08" s="1">
        <f>M207+Table1181920231030313235383940414811151820283134[[#This Row],[اجمالي الفاتوره]]-Table1181920231030313235383940414811151820283134[[#This Row],[الدفعات]]</f>
        <v>14302.690000000002</v>
      </c>
      <c r="O208" s="95"/>
    </row>
    <row r="209" spans="1:15" ht="23.25" customHeight="1" x14ac:dyDescent="0.3">
      <c r="A209" s="1"/>
      <c r="I209" s="1">
        <f>0.14*Table1181920231030313235383940414811151820283134[[#This Row],[النولون]]</f>
        <v>0</v>
      </c>
      <c r="K20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09" s="1">
        <f>M208+Table1181920231030313235383940414811151820283134[[#This Row],[اجمالي الفاتوره]]-Table1181920231030313235383940414811151820283134[[#This Row],[الدفعات]]</f>
        <v>14302.690000000002</v>
      </c>
      <c r="O209" s="95"/>
    </row>
    <row r="210" spans="1:15" ht="23.25" customHeight="1" x14ac:dyDescent="0.3">
      <c r="A210" s="1"/>
      <c r="I210" s="1">
        <f>0.14*Table1181920231030313235383940414811151820283134[[#This Row],[النولون]]</f>
        <v>0</v>
      </c>
      <c r="K21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10" s="1">
        <f>M209+Table1181920231030313235383940414811151820283134[[#This Row],[اجمالي الفاتوره]]-Table1181920231030313235383940414811151820283134[[#This Row],[الدفعات]]</f>
        <v>14302.690000000002</v>
      </c>
      <c r="O210" s="95"/>
    </row>
    <row r="211" spans="1:15" ht="23.25" customHeight="1" x14ac:dyDescent="0.3">
      <c r="A211" s="1"/>
      <c r="I211" s="1">
        <f>0.14*Table1181920231030313235383940414811151820283134[[#This Row],[النولون]]</f>
        <v>0</v>
      </c>
      <c r="K21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11" s="1">
        <f>M210+Table1181920231030313235383940414811151820283134[[#This Row],[اجمالي الفاتوره]]-Table1181920231030313235383940414811151820283134[[#This Row],[الدفعات]]</f>
        <v>14302.690000000002</v>
      </c>
      <c r="O211" s="95"/>
    </row>
    <row r="212" spans="1:15" ht="23.25" customHeight="1" x14ac:dyDescent="0.3">
      <c r="A212" s="1"/>
      <c r="I212" s="1">
        <f>0.14*Table1181920231030313235383940414811151820283134[[#This Row],[النولون]]</f>
        <v>0</v>
      </c>
      <c r="K21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12" s="1">
        <f>M211+Table1181920231030313235383940414811151820283134[[#This Row],[اجمالي الفاتوره]]-Table1181920231030313235383940414811151820283134[[#This Row],[الدفعات]]</f>
        <v>14302.690000000002</v>
      </c>
      <c r="O212" s="95"/>
    </row>
    <row r="213" spans="1:15" ht="23.25" customHeight="1" x14ac:dyDescent="0.3">
      <c r="A213" s="1"/>
      <c r="I213" s="1">
        <f>0.14*Table1181920231030313235383940414811151820283134[[#This Row],[النولون]]</f>
        <v>0</v>
      </c>
      <c r="K21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13" s="1">
        <f>M212+Table1181920231030313235383940414811151820283134[[#This Row],[اجمالي الفاتوره]]-Table1181920231030313235383940414811151820283134[[#This Row],[الدفعات]]</f>
        <v>14302.690000000002</v>
      </c>
      <c r="O213" s="95"/>
    </row>
    <row r="214" spans="1:15" ht="23.25" customHeight="1" x14ac:dyDescent="0.3">
      <c r="A214" s="1"/>
      <c r="I214" s="1">
        <f>0.14*Table1181920231030313235383940414811151820283134[[#This Row],[النولون]]</f>
        <v>0</v>
      </c>
      <c r="K21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14" s="1">
        <f>M213+Table1181920231030313235383940414811151820283134[[#This Row],[اجمالي الفاتوره]]-Table1181920231030313235383940414811151820283134[[#This Row],[الدفعات]]</f>
        <v>14302.690000000002</v>
      </c>
      <c r="O214" s="95"/>
    </row>
    <row r="215" spans="1:15" ht="23.25" customHeight="1" x14ac:dyDescent="0.3">
      <c r="A215" s="1"/>
      <c r="I215" s="1">
        <f>0.14*Table1181920231030313235383940414811151820283134[[#This Row],[النولون]]</f>
        <v>0</v>
      </c>
      <c r="K21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15" s="1">
        <f>M214+Table1181920231030313235383940414811151820283134[[#This Row],[اجمالي الفاتوره]]-Table1181920231030313235383940414811151820283134[[#This Row],[الدفعات]]</f>
        <v>14302.690000000002</v>
      </c>
      <c r="O215" s="95"/>
    </row>
    <row r="216" spans="1:15" ht="23.25" customHeight="1" x14ac:dyDescent="0.3">
      <c r="A216" s="1"/>
      <c r="I216" s="1">
        <f>0.14*Table1181920231030313235383940414811151820283134[[#This Row],[النولون]]</f>
        <v>0</v>
      </c>
      <c r="K21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16" s="1">
        <f>M215+Table1181920231030313235383940414811151820283134[[#This Row],[اجمالي الفاتوره]]-Table1181920231030313235383940414811151820283134[[#This Row],[الدفعات]]</f>
        <v>14302.690000000002</v>
      </c>
      <c r="O216" s="95"/>
    </row>
    <row r="217" spans="1:15" ht="23.25" customHeight="1" x14ac:dyDescent="0.3">
      <c r="A217" s="1"/>
      <c r="I217" s="1">
        <f>0.14*Table1181920231030313235383940414811151820283134[[#This Row],[النولون]]</f>
        <v>0</v>
      </c>
      <c r="K21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17" s="1">
        <f>M216+Table1181920231030313235383940414811151820283134[[#This Row],[اجمالي الفاتوره]]-Table1181920231030313235383940414811151820283134[[#This Row],[الدفعات]]</f>
        <v>14302.690000000002</v>
      </c>
      <c r="O217" s="95"/>
    </row>
    <row r="218" spans="1:15" ht="23.25" customHeight="1" x14ac:dyDescent="0.3">
      <c r="A218" s="1"/>
      <c r="I218" s="1">
        <f>0.14*Table1181920231030313235383940414811151820283134[[#This Row],[النولون]]</f>
        <v>0</v>
      </c>
      <c r="K21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18" s="1">
        <f>M217+Table1181920231030313235383940414811151820283134[[#This Row],[اجمالي الفاتوره]]-Table1181920231030313235383940414811151820283134[[#This Row],[الدفعات]]</f>
        <v>14302.690000000002</v>
      </c>
      <c r="O218" s="95"/>
    </row>
    <row r="219" spans="1:15" ht="23.25" customHeight="1" x14ac:dyDescent="0.3">
      <c r="A219" s="1"/>
      <c r="I219" s="1">
        <f>0.14*Table1181920231030313235383940414811151820283134[[#This Row],[النولون]]</f>
        <v>0</v>
      </c>
      <c r="K21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19" s="1">
        <f>M218+Table1181920231030313235383940414811151820283134[[#This Row],[اجمالي الفاتوره]]-Table1181920231030313235383940414811151820283134[[#This Row],[الدفعات]]</f>
        <v>14302.690000000002</v>
      </c>
      <c r="O219" s="95"/>
    </row>
    <row r="220" spans="1:15" ht="23.25" customHeight="1" x14ac:dyDescent="0.3">
      <c r="A220" s="1"/>
      <c r="I220" s="1">
        <f>0.14*Table1181920231030313235383940414811151820283134[[#This Row],[النولون]]</f>
        <v>0</v>
      </c>
      <c r="K22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20" s="1">
        <f>M219+Table1181920231030313235383940414811151820283134[[#This Row],[اجمالي الفاتوره]]-Table1181920231030313235383940414811151820283134[[#This Row],[الدفعات]]</f>
        <v>14302.690000000002</v>
      </c>
      <c r="O220" s="95"/>
    </row>
    <row r="221" spans="1:15" ht="23.25" customHeight="1" x14ac:dyDescent="0.3">
      <c r="A221" s="1"/>
      <c r="I221" s="1">
        <f>0.14*Table1181920231030313235383940414811151820283134[[#This Row],[النولون]]</f>
        <v>0</v>
      </c>
      <c r="K22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21" s="1">
        <f>M220+Table1181920231030313235383940414811151820283134[[#This Row],[اجمالي الفاتوره]]-Table1181920231030313235383940414811151820283134[[#This Row],[الدفعات]]</f>
        <v>14302.690000000002</v>
      </c>
      <c r="O221" s="95"/>
    </row>
    <row r="222" spans="1:15" ht="23.25" customHeight="1" x14ac:dyDescent="0.3">
      <c r="A222" s="1"/>
      <c r="I222" s="1">
        <f>0.14*Table1181920231030313235383940414811151820283134[[#This Row],[النولون]]</f>
        <v>0</v>
      </c>
      <c r="K22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22" s="1">
        <f>M221+Table1181920231030313235383940414811151820283134[[#This Row],[اجمالي الفاتوره]]-Table1181920231030313235383940414811151820283134[[#This Row],[الدفعات]]</f>
        <v>14302.690000000002</v>
      </c>
      <c r="O222" s="95"/>
    </row>
    <row r="223" spans="1:15" ht="23.25" customHeight="1" x14ac:dyDescent="0.3">
      <c r="A223" s="1"/>
      <c r="I223" s="1">
        <f>0.14*Table1181920231030313235383940414811151820283134[[#This Row],[النولون]]</f>
        <v>0</v>
      </c>
      <c r="K22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23" s="1">
        <f>M222+Table1181920231030313235383940414811151820283134[[#This Row],[اجمالي الفاتوره]]-Table1181920231030313235383940414811151820283134[[#This Row],[الدفعات]]</f>
        <v>14302.690000000002</v>
      </c>
      <c r="O223" s="95"/>
    </row>
    <row r="224" spans="1:15" ht="23.25" customHeight="1" x14ac:dyDescent="0.3">
      <c r="A224" s="1"/>
      <c r="I224" s="1">
        <f>0.14*Table1181920231030313235383940414811151820283134[[#This Row],[النولون]]</f>
        <v>0</v>
      </c>
      <c r="K22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24" s="1">
        <f>M223+Table1181920231030313235383940414811151820283134[[#This Row],[اجمالي الفاتوره]]-Table1181920231030313235383940414811151820283134[[#This Row],[الدفعات]]</f>
        <v>14302.690000000002</v>
      </c>
      <c r="O224" s="95"/>
    </row>
    <row r="225" spans="1:15" ht="23.25" customHeight="1" x14ac:dyDescent="0.3">
      <c r="A225" s="1"/>
      <c r="I225" s="1">
        <f>0.14*Table1181920231030313235383940414811151820283134[[#This Row],[النولون]]</f>
        <v>0</v>
      </c>
      <c r="K22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25" s="1">
        <f>M224+Table1181920231030313235383940414811151820283134[[#This Row],[اجمالي الفاتوره]]-Table1181920231030313235383940414811151820283134[[#This Row],[الدفعات]]</f>
        <v>14302.690000000002</v>
      </c>
      <c r="O225" s="95"/>
    </row>
    <row r="226" spans="1:15" ht="23.25" customHeight="1" x14ac:dyDescent="0.3">
      <c r="A226" s="1"/>
      <c r="I226" s="1">
        <f>0.14*Table1181920231030313235383940414811151820283134[[#This Row],[النولون]]</f>
        <v>0</v>
      </c>
      <c r="K22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26" s="1">
        <f>M225+Table1181920231030313235383940414811151820283134[[#This Row],[اجمالي الفاتوره]]-Table1181920231030313235383940414811151820283134[[#This Row],[الدفعات]]</f>
        <v>14302.690000000002</v>
      </c>
      <c r="O226" s="95"/>
    </row>
    <row r="227" spans="1:15" ht="23.25" customHeight="1" x14ac:dyDescent="0.3">
      <c r="A227" s="1"/>
      <c r="I227" s="1">
        <f>0.14*Table1181920231030313235383940414811151820283134[[#This Row],[النولون]]</f>
        <v>0</v>
      </c>
      <c r="K22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27" s="1">
        <f>M226+Table1181920231030313235383940414811151820283134[[#This Row],[اجمالي الفاتوره]]-Table1181920231030313235383940414811151820283134[[#This Row],[الدفعات]]</f>
        <v>14302.690000000002</v>
      </c>
      <c r="O227" s="95"/>
    </row>
    <row r="228" spans="1:15" ht="23.25" customHeight="1" x14ac:dyDescent="0.3">
      <c r="A228" s="1"/>
      <c r="I228" s="1">
        <f>0.14*Table1181920231030313235383940414811151820283134[[#This Row],[النولون]]</f>
        <v>0</v>
      </c>
      <c r="K22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28" s="1">
        <f>M227+Table1181920231030313235383940414811151820283134[[#This Row],[اجمالي الفاتوره]]-Table1181920231030313235383940414811151820283134[[#This Row],[الدفعات]]</f>
        <v>14302.690000000002</v>
      </c>
      <c r="O228" s="95"/>
    </row>
    <row r="229" spans="1:15" ht="23.25" customHeight="1" x14ac:dyDescent="0.3">
      <c r="A229" s="1"/>
      <c r="I229" s="1">
        <f>0.14*Table1181920231030313235383940414811151820283134[[#This Row],[النولون]]</f>
        <v>0</v>
      </c>
      <c r="K22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29" s="1">
        <f>M228+Table1181920231030313235383940414811151820283134[[#This Row],[اجمالي الفاتوره]]-Table1181920231030313235383940414811151820283134[[#This Row],[الدفعات]]</f>
        <v>14302.690000000002</v>
      </c>
      <c r="O229" s="95"/>
    </row>
    <row r="230" spans="1:15" ht="23.25" customHeight="1" x14ac:dyDescent="0.3">
      <c r="A230" s="1"/>
      <c r="I230" s="1">
        <f>0.14*Table1181920231030313235383940414811151820283134[[#This Row],[النولون]]</f>
        <v>0</v>
      </c>
      <c r="K23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30" s="1">
        <f>M229+Table1181920231030313235383940414811151820283134[[#This Row],[اجمالي الفاتوره]]-Table1181920231030313235383940414811151820283134[[#This Row],[الدفعات]]</f>
        <v>14302.690000000002</v>
      </c>
      <c r="O230" s="95"/>
    </row>
    <row r="231" spans="1:15" ht="23.25" customHeight="1" x14ac:dyDescent="0.3">
      <c r="A231" s="1"/>
      <c r="I231" s="1">
        <f>0.14*Table1181920231030313235383940414811151820283134[[#This Row],[النولون]]</f>
        <v>0</v>
      </c>
      <c r="K23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31" s="1">
        <f>M230+Table1181920231030313235383940414811151820283134[[#This Row],[اجمالي الفاتوره]]-Table1181920231030313235383940414811151820283134[[#This Row],[الدفعات]]</f>
        <v>14302.690000000002</v>
      </c>
      <c r="O231" s="95"/>
    </row>
    <row r="232" spans="1:15" ht="23.25" customHeight="1" x14ac:dyDescent="0.3">
      <c r="A232" s="1"/>
      <c r="I232" s="1">
        <f>0.14*Table1181920231030313235383940414811151820283134[[#This Row],[النولون]]</f>
        <v>0</v>
      </c>
      <c r="K23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32" s="1">
        <f>M231+Table1181920231030313235383940414811151820283134[[#This Row],[اجمالي الفاتوره]]-Table1181920231030313235383940414811151820283134[[#This Row],[الدفعات]]</f>
        <v>14302.690000000002</v>
      </c>
      <c r="O232" s="95"/>
    </row>
    <row r="233" spans="1:15" ht="23.25" customHeight="1" x14ac:dyDescent="0.3">
      <c r="A233" s="1"/>
      <c r="I233" s="1">
        <f>0.14*Table1181920231030313235383940414811151820283134[[#This Row],[النولون]]</f>
        <v>0</v>
      </c>
      <c r="K23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33" s="1">
        <f>M232+Table1181920231030313235383940414811151820283134[[#This Row],[اجمالي الفاتوره]]-Table1181920231030313235383940414811151820283134[[#This Row],[الدفعات]]</f>
        <v>14302.690000000002</v>
      </c>
      <c r="O233" s="95"/>
    </row>
    <row r="234" spans="1:15" ht="23.25" customHeight="1" x14ac:dyDescent="0.3">
      <c r="A234" s="1"/>
      <c r="I234" s="1">
        <f>0.14*Table1181920231030313235383940414811151820283134[[#This Row],[النولون]]</f>
        <v>0</v>
      </c>
      <c r="K23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34" s="1">
        <f>M233+Table1181920231030313235383940414811151820283134[[#This Row],[اجمالي الفاتوره]]-Table1181920231030313235383940414811151820283134[[#This Row],[الدفعات]]</f>
        <v>14302.690000000002</v>
      </c>
      <c r="O234" s="95"/>
    </row>
    <row r="235" spans="1:15" ht="23.25" customHeight="1" x14ac:dyDescent="0.3">
      <c r="A235" s="1"/>
      <c r="I235" s="1">
        <f>0.14*Table1181920231030313235383940414811151820283134[[#This Row],[النولون]]</f>
        <v>0</v>
      </c>
      <c r="K23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35" s="1">
        <f>M234+Table1181920231030313235383940414811151820283134[[#This Row],[اجمالي الفاتوره]]-Table1181920231030313235383940414811151820283134[[#This Row],[الدفعات]]</f>
        <v>14302.690000000002</v>
      </c>
      <c r="O235" s="95"/>
    </row>
    <row r="236" spans="1:15" ht="23.25" customHeight="1" x14ac:dyDescent="0.3">
      <c r="A236" s="1"/>
      <c r="I236" s="1">
        <f>0.14*Table1181920231030313235383940414811151820283134[[#This Row],[النولون]]</f>
        <v>0</v>
      </c>
      <c r="K23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36" s="1">
        <f>M235+Table1181920231030313235383940414811151820283134[[#This Row],[اجمالي الفاتوره]]-Table1181920231030313235383940414811151820283134[[#This Row],[الدفعات]]</f>
        <v>14302.690000000002</v>
      </c>
      <c r="O236" s="95"/>
    </row>
    <row r="237" spans="1:15" ht="23.25" customHeight="1" x14ac:dyDescent="0.3">
      <c r="A237" s="1"/>
      <c r="I237" s="1">
        <f>0.14*Table1181920231030313235383940414811151820283134[[#This Row],[النولون]]</f>
        <v>0</v>
      </c>
      <c r="K23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37" s="1">
        <f>M236+Table1181920231030313235383940414811151820283134[[#This Row],[اجمالي الفاتوره]]-Table1181920231030313235383940414811151820283134[[#This Row],[الدفعات]]</f>
        <v>14302.690000000002</v>
      </c>
      <c r="O237" s="95"/>
    </row>
    <row r="238" spans="1:15" ht="23.25" customHeight="1" x14ac:dyDescent="0.3">
      <c r="A238" s="1"/>
      <c r="I238" s="1">
        <f>0.14*Table1181920231030313235383940414811151820283134[[#This Row],[النولون]]</f>
        <v>0</v>
      </c>
      <c r="K23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38" s="1">
        <f>M237+Table1181920231030313235383940414811151820283134[[#This Row],[اجمالي الفاتوره]]-Table1181920231030313235383940414811151820283134[[#This Row],[الدفعات]]</f>
        <v>14302.690000000002</v>
      </c>
      <c r="O238" s="95"/>
    </row>
    <row r="239" spans="1:15" ht="23.25" customHeight="1" x14ac:dyDescent="0.3">
      <c r="A239" s="1"/>
      <c r="I239" s="1">
        <f>0.14*Table1181920231030313235383940414811151820283134[[#This Row],[النولون]]</f>
        <v>0</v>
      </c>
      <c r="K23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39" s="1">
        <f>M238+Table1181920231030313235383940414811151820283134[[#This Row],[اجمالي الفاتوره]]-Table1181920231030313235383940414811151820283134[[#This Row],[الدفعات]]</f>
        <v>14302.690000000002</v>
      </c>
      <c r="O239" s="95"/>
    </row>
    <row r="240" spans="1:15" ht="23.25" customHeight="1" x14ac:dyDescent="0.3">
      <c r="A240" s="1"/>
      <c r="I240" s="1">
        <f>0.14*Table1181920231030313235383940414811151820283134[[#This Row],[النولون]]</f>
        <v>0</v>
      </c>
      <c r="K24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40" s="1">
        <f>M239+Table1181920231030313235383940414811151820283134[[#This Row],[اجمالي الفاتوره]]-Table1181920231030313235383940414811151820283134[[#This Row],[الدفعات]]</f>
        <v>14302.690000000002</v>
      </c>
      <c r="O240" s="95"/>
    </row>
    <row r="241" spans="1:15" ht="23.25" customHeight="1" x14ac:dyDescent="0.3">
      <c r="A241" s="1"/>
      <c r="I241" s="1">
        <f>0.14*Table1181920231030313235383940414811151820283134[[#This Row],[النولون]]</f>
        <v>0</v>
      </c>
      <c r="K24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41" s="1">
        <f>M240+Table1181920231030313235383940414811151820283134[[#This Row],[اجمالي الفاتوره]]-Table1181920231030313235383940414811151820283134[[#This Row],[الدفعات]]</f>
        <v>14302.690000000002</v>
      </c>
      <c r="O241" s="95"/>
    </row>
    <row r="242" spans="1:15" ht="23.25" customHeight="1" x14ac:dyDescent="0.3">
      <c r="A242" s="1"/>
      <c r="I242" s="1">
        <f>0.14*Table1181920231030313235383940414811151820283134[[#This Row],[النولون]]</f>
        <v>0</v>
      </c>
      <c r="K24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42" s="1">
        <f>M241+Table1181920231030313235383940414811151820283134[[#This Row],[اجمالي الفاتوره]]-Table1181920231030313235383940414811151820283134[[#This Row],[الدفعات]]</f>
        <v>14302.690000000002</v>
      </c>
      <c r="O242" s="95"/>
    </row>
    <row r="243" spans="1:15" ht="23.25" customHeight="1" x14ac:dyDescent="0.3">
      <c r="A243" s="1"/>
      <c r="I243" s="1">
        <f>0.14*Table1181920231030313235383940414811151820283134[[#This Row],[النولون]]</f>
        <v>0</v>
      </c>
      <c r="K24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43" s="1">
        <f>M242+Table1181920231030313235383940414811151820283134[[#This Row],[اجمالي الفاتوره]]-Table1181920231030313235383940414811151820283134[[#This Row],[الدفعات]]</f>
        <v>14302.690000000002</v>
      </c>
      <c r="O243" s="95"/>
    </row>
    <row r="244" spans="1:15" ht="23.25" customHeight="1" x14ac:dyDescent="0.3">
      <c r="A244" s="1"/>
      <c r="I244" s="1">
        <f>0.14*Table1181920231030313235383940414811151820283134[[#This Row],[النولون]]</f>
        <v>0</v>
      </c>
      <c r="K24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44" s="1">
        <f>M243+Table1181920231030313235383940414811151820283134[[#This Row],[اجمالي الفاتوره]]-Table1181920231030313235383940414811151820283134[[#This Row],[الدفعات]]</f>
        <v>14302.690000000002</v>
      </c>
      <c r="O244" s="95"/>
    </row>
    <row r="245" spans="1:15" ht="23.25" customHeight="1" x14ac:dyDescent="0.3">
      <c r="A245" s="1"/>
      <c r="I245" s="1">
        <f>0.14*Table1181920231030313235383940414811151820283134[[#This Row],[النولون]]</f>
        <v>0</v>
      </c>
      <c r="K24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45" s="1">
        <f>M244+Table1181920231030313235383940414811151820283134[[#This Row],[اجمالي الفاتوره]]-Table1181920231030313235383940414811151820283134[[#This Row],[الدفعات]]</f>
        <v>14302.690000000002</v>
      </c>
      <c r="O245" s="95"/>
    </row>
    <row r="246" spans="1:15" ht="23.25" customHeight="1" x14ac:dyDescent="0.3">
      <c r="A246" s="1"/>
      <c r="I246" s="1">
        <f>0.14*Table1181920231030313235383940414811151820283134[[#This Row],[النولون]]</f>
        <v>0</v>
      </c>
      <c r="K24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46" s="1">
        <f>M245+Table1181920231030313235383940414811151820283134[[#This Row],[اجمالي الفاتوره]]-Table1181920231030313235383940414811151820283134[[#This Row],[الدفعات]]</f>
        <v>14302.690000000002</v>
      </c>
      <c r="O246" s="95"/>
    </row>
    <row r="247" spans="1:15" ht="23.25" customHeight="1" x14ac:dyDescent="0.3">
      <c r="A247" s="1"/>
      <c r="I247" s="1">
        <f>0.14*Table1181920231030313235383940414811151820283134[[#This Row],[النولون]]</f>
        <v>0</v>
      </c>
      <c r="K24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47" s="1">
        <f>M246+Table1181920231030313235383940414811151820283134[[#This Row],[اجمالي الفاتوره]]-Table1181920231030313235383940414811151820283134[[#This Row],[الدفعات]]</f>
        <v>14302.690000000002</v>
      </c>
      <c r="O247" s="95"/>
    </row>
    <row r="248" spans="1:15" ht="23.25" customHeight="1" x14ac:dyDescent="0.3">
      <c r="A248" s="1"/>
      <c r="I248" s="1">
        <f>0.14*Table1181920231030313235383940414811151820283134[[#This Row],[النولون]]</f>
        <v>0</v>
      </c>
      <c r="K24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48" s="1">
        <f>M247+Table1181920231030313235383940414811151820283134[[#This Row],[اجمالي الفاتوره]]-Table1181920231030313235383940414811151820283134[[#This Row],[الدفعات]]</f>
        <v>14302.690000000002</v>
      </c>
      <c r="O248" s="95"/>
    </row>
    <row r="249" spans="1:15" ht="23.25" customHeight="1" x14ac:dyDescent="0.3">
      <c r="A249" s="1"/>
      <c r="I249" s="1">
        <f>0.14*Table1181920231030313235383940414811151820283134[[#This Row],[النولون]]</f>
        <v>0</v>
      </c>
      <c r="K24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49" s="1">
        <f>M248+Table1181920231030313235383940414811151820283134[[#This Row],[اجمالي الفاتوره]]-Table1181920231030313235383940414811151820283134[[#This Row],[الدفعات]]</f>
        <v>14302.690000000002</v>
      </c>
      <c r="O249" s="95"/>
    </row>
    <row r="250" spans="1:15" ht="23.25" customHeight="1" x14ac:dyDescent="0.3">
      <c r="A250" s="1"/>
      <c r="I250" s="1">
        <f>0.14*Table1181920231030313235383940414811151820283134[[#This Row],[النولون]]</f>
        <v>0</v>
      </c>
      <c r="K25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50" s="1">
        <f>M249+Table1181920231030313235383940414811151820283134[[#This Row],[اجمالي الفاتوره]]-Table1181920231030313235383940414811151820283134[[#This Row],[الدفعات]]</f>
        <v>14302.690000000002</v>
      </c>
      <c r="O250" s="95"/>
    </row>
    <row r="251" spans="1:15" ht="23.25" customHeight="1" x14ac:dyDescent="0.3">
      <c r="A251" s="1"/>
      <c r="I251" s="1">
        <f>0.14*Table1181920231030313235383940414811151820283134[[#This Row],[النولون]]</f>
        <v>0</v>
      </c>
      <c r="K25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51" s="1">
        <f>M250+Table1181920231030313235383940414811151820283134[[#This Row],[اجمالي الفاتوره]]-Table1181920231030313235383940414811151820283134[[#This Row],[الدفعات]]</f>
        <v>14302.690000000002</v>
      </c>
      <c r="O251" s="95"/>
    </row>
    <row r="252" spans="1:15" ht="23.25" customHeight="1" x14ac:dyDescent="0.3">
      <c r="A252" s="1"/>
      <c r="I252" s="1">
        <f>0.14*Table1181920231030313235383940414811151820283134[[#This Row],[النولون]]</f>
        <v>0</v>
      </c>
      <c r="K25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52" s="1">
        <f>M251+Table1181920231030313235383940414811151820283134[[#This Row],[اجمالي الفاتوره]]-Table1181920231030313235383940414811151820283134[[#This Row],[الدفعات]]</f>
        <v>14302.690000000002</v>
      </c>
      <c r="O252" s="95"/>
    </row>
    <row r="253" spans="1:15" ht="23.25" customHeight="1" x14ac:dyDescent="0.3">
      <c r="A253" s="1"/>
      <c r="I253" s="1">
        <f>0.14*Table1181920231030313235383940414811151820283134[[#This Row],[النولون]]</f>
        <v>0</v>
      </c>
      <c r="K25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53" s="1">
        <f>M252+Table1181920231030313235383940414811151820283134[[#This Row],[اجمالي الفاتوره]]-Table1181920231030313235383940414811151820283134[[#This Row],[الدفعات]]</f>
        <v>14302.690000000002</v>
      </c>
      <c r="O253" s="95"/>
    </row>
    <row r="254" spans="1:15" ht="23.25" customHeight="1" x14ac:dyDescent="0.3">
      <c r="A254" s="1"/>
      <c r="I254" s="1">
        <f>0.14*Table1181920231030313235383940414811151820283134[[#This Row],[النولون]]</f>
        <v>0</v>
      </c>
      <c r="K25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54" s="1">
        <f>M253+Table1181920231030313235383940414811151820283134[[#This Row],[اجمالي الفاتوره]]-Table1181920231030313235383940414811151820283134[[#This Row],[الدفعات]]</f>
        <v>14302.690000000002</v>
      </c>
      <c r="O254" s="95"/>
    </row>
    <row r="255" spans="1:15" ht="23.25" customHeight="1" x14ac:dyDescent="0.3">
      <c r="A255" s="1"/>
      <c r="I255" s="1">
        <f>0.14*Table1181920231030313235383940414811151820283134[[#This Row],[النولون]]</f>
        <v>0</v>
      </c>
      <c r="K25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55" s="1">
        <f>M254+Table1181920231030313235383940414811151820283134[[#This Row],[اجمالي الفاتوره]]-Table1181920231030313235383940414811151820283134[[#This Row],[الدفعات]]</f>
        <v>14302.690000000002</v>
      </c>
      <c r="O255" s="95"/>
    </row>
    <row r="256" spans="1:15" ht="23.25" customHeight="1" x14ac:dyDescent="0.3">
      <c r="A256" s="1"/>
      <c r="I256" s="1">
        <f>0.14*Table1181920231030313235383940414811151820283134[[#This Row],[النولون]]</f>
        <v>0</v>
      </c>
      <c r="K25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56" s="1">
        <f>M255+Table1181920231030313235383940414811151820283134[[#This Row],[اجمالي الفاتوره]]-Table1181920231030313235383940414811151820283134[[#This Row],[الدفعات]]</f>
        <v>14302.690000000002</v>
      </c>
      <c r="O256" s="95"/>
    </row>
    <row r="257" spans="1:15" ht="23.25" customHeight="1" x14ac:dyDescent="0.3">
      <c r="A257" s="1"/>
      <c r="I257" s="1">
        <f>0.14*Table1181920231030313235383940414811151820283134[[#This Row],[النولون]]</f>
        <v>0</v>
      </c>
      <c r="K25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57" s="1">
        <f>M256+Table1181920231030313235383940414811151820283134[[#This Row],[اجمالي الفاتوره]]-Table1181920231030313235383940414811151820283134[[#This Row],[الدفعات]]</f>
        <v>14302.690000000002</v>
      </c>
      <c r="O257" s="95"/>
    </row>
    <row r="258" spans="1:15" ht="23.25" customHeight="1" x14ac:dyDescent="0.3">
      <c r="A258" s="1"/>
      <c r="I258" s="1">
        <f>0.14*Table1181920231030313235383940414811151820283134[[#This Row],[النولون]]</f>
        <v>0</v>
      </c>
      <c r="K25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58" s="1">
        <f>M257+Table1181920231030313235383940414811151820283134[[#This Row],[اجمالي الفاتوره]]-Table1181920231030313235383940414811151820283134[[#This Row],[الدفعات]]</f>
        <v>14302.690000000002</v>
      </c>
      <c r="O258" s="95"/>
    </row>
    <row r="259" spans="1:15" ht="23.25" customHeight="1" x14ac:dyDescent="0.3">
      <c r="A259" s="1"/>
      <c r="I259" s="1">
        <f>0.14*Table1181920231030313235383940414811151820283134[[#This Row],[النولون]]</f>
        <v>0</v>
      </c>
      <c r="K25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59" s="1">
        <f>M258+Table1181920231030313235383940414811151820283134[[#This Row],[اجمالي الفاتوره]]-Table1181920231030313235383940414811151820283134[[#This Row],[الدفعات]]</f>
        <v>14302.690000000002</v>
      </c>
      <c r="O259" s="95"/>
    </row>
    <row r="260" spans="1:15" ht="23.25" customHeight="1" x14ac:dyDescent="0.3">
      <c r="A260" s="1"/>
      <c r="I260" s="1">
        <f>0.14*Table1181920231030313235383940414811151820283134[[#This Row],[النولون]]</f>
        <v>0</v>
      </c>
      <c r="K26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60" s="1">
        <f>M259+Table1181920231030313235383940414811151820283134[[#This Row],[اجمالي الفاتوره]]-Table1181920231030313235383940414811151820283134[[#This Row],[الدفعات]]</f>
        <v>14302.690000000002</v>
      </c>
      <c r="O260" s="95"/>
    </row>
    <row r="261" spans="1:15" ht="23.25" customHeight="1" x14ac:dyDescent="0.3">
      <c r="A261" s="1"/>
      <c r="I261" s="1">
        <f>0.14*Table1181920231030313235383940414811151820283134[[#This Row],[النولون]]</f>
        <v>0</v>
      </c>
      <c r="K26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61" s="1">
        <f>M260+Table1181920231030313235383940414811151820283134[[#This Row],[اجمالي الفاتوره]]-Table1181920231030313235383940414811151820283134[[#This Row],[الدفعات]]</f>
        <v>14302.690000000002</v>
      </c>
      <c r="O261" s="95"/>
    </row>
    <row r="262" spans="1:15" ht="23.25" customHeight="1" x14ac:dyDescent="0.3">
      <c r="A262" s="1"/>
      <c r="I262" s="1">
        <f>0.14*Table1181920231030313235383940414811151820283134[[#This Row],[النولون]]</f>
        <v>0</v>
      </c>
      <c r="K26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62" s="1">
        <f>M261+Table1181920231030313235383940414811151820283134[[#This Row],[اجمالي الفاتوره]]-Table1181920231030313235383940414811151820283134[[#This Row],[الدفعات]]</f>
        <v>14302.690000000002</v>
      </c>
      <c r="O262" s="95"/>
    </row>
    <row r="263" spans="1:15" ht="23.25" customHeight="1" x14ac:dyDescent="0.3">
      <c r="A263" s="1"/>
      <c r="I263" s="1">
        <f>0.14*Table1181920231030313235383940414811151820283134[[#This Row],[النولون]]</f>
        <v>0</v>
      </c>
      <c r="K26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63" s="1">
        <f>M262+Table1181920231030313235383940414811151820283134[[#This Row],[اجمالي الفاتوره]]-Table1181920231030313235383940414811151820283134[[#This Row],[الدفعات]]</f>
        <v>14302.690000000002</v>
      </c>
      <c r="O263" s="95"/>
    </row>
    <row r="264" spans="1:15" ht="23.25" customHeight="1" x14ac:dyDescent="0.3">
      <c r="A264" s="1"/>
      <c r="I264" s="1">
        <f>0.14*Table1181920231030313235383940414811151820283134[[#This Row],[النولون]]</f>
        <v>0</v>
      </c>
      <c r="K26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64" s="1">
        <f>M263+Table1181920231030313235383940414811151820283134[[#This Row],[اجمالي الفاتوره]]-Table1181920231030313235383940414811151820283134[[#This Row],[الدفعات]]</f>
        <v>14302.690000000002</v>
      </c>
      <c r="O264" s="95"/>
    </row>
    <row r="265" spans="1:15" ht="23.25" customHeight="1" x14ac:dyDescent="0.3">
      <c r="A265" s="1"/>
      <c r="I265" s="1">
        <f>0.14*Table1181920231030313235383940414811151820283134[[#This Row],[النولون]]</f>
        <v>0</v>
      </c>
      <c r="K26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65" s="1">
        <f>M264+Table1181920231030313235383940414811151820283134[[#This Row],[اجمالي الفاتوره]]-Table1181920231030313235383940414811151820283134[[#This Row],[الدفعات]]</f>
        <v>14302.690000000002</v>
      </c>
      <c r="O265" s="95"/>
    </row>
    <row r="266" spans="1:15" ht="23.25" customHeight="1" x14ac:dyDescent="0.3">
      <c r="A266" s="1"/>
      <c r="I266" s="1">
        <f>0.14*Table1181920231030313235383940414811151820283134[[#This Row],[النولون]]</f>
        <v>0</v>
      </c>
      <c r="K26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66" s="1">
        <f>M265+Table1181920231030313235383940414811151820283134[[#This Row],[اجمالي الفاتوره]]-Table1181920231030313235383940414811151820283134[[#This Row],[الدفعات]]</f>
        <v>14302.690000000002</v>
      </c>
      <c r="O266" s="95"/>
    </row>
    <row r="267" spans="1:15" ht="23.25" customHeight="1" x14ac:dyDescent="0.3">
      <c r="A267" s="1"/>
      <c r="I267" s="1">
        <f>0.14*Table1181920231030313235383940414811151820283134[[#This Row],[النولون]]</f>
        <v>0</v>
      </c>
      <c r="K26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67" s="1">
        <f>M266+Table1181920231030313235383940414811151820283134[[#This Row],[اجمالي الفاتوره]]-Table1181920231030313235383940414811151820283134[[#This Row],[الدفعات]]</f>
        <v>14302.690000000002</v>
      </c>
      <c r="O267" s="95"/>
    </row>
    <row r="268" spans="1:15" ht="23.25" customHeight="1" x14ac:dyDescent="0.3">
      <c r="A268" s="1"/>
      <c r="I268" s="1">
        <f>0.14*Table1181920231030313235383940414811151820283134[[#This Row],[النولون]]</f>
        <v>0</v>
      </c>
      <c r="K26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68" s="1">
        <f>M267+Table1181920231030313235383940414811151820283134[[#This Row],[اجمالي الفاتوره]]-Table1181920231030313235383940414811151820283134[[#This Row],[الدفعات]]</f>
        <v>14302.690000000002</v>
      </c>
      <c r="O268" s="95"/>
    </row>
    <row r="269" spans="1:15" ht="23.25" customHeight="1" x14ac:dyDescent="0.3">
      <c r="A269" s="1"/>
      <c r="I269" s="1">
        <f>0.14*Table1181920231030313235383940414811151820283134[[#This Row],[النولون]]</f>
        <v>0</v>
      </c>
      <c r="K26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69" s="1">
        <f>M268+Table1181920231030313235383940414811151820283134[[#This Row],[اجمالي الفاتوره]]-Table1181920231030313235383940414811151820283134[[#This Row],[الدفعات]]</f>
        <v>14302.690000000002</v>
      </c>
      <c r="O269" s="95"/>
    </row>
    <row r="270" spans="1:15" ht="23.25" customHeight="1" x14ac:dyDescent="0.3">
      <c r="A270" s="1"/>
      <c r="I270" s="1">
        <f>0.14*Table1181920231030313235383940414811151820283134[[#This Row],[النولون]]</f>
        <v>0</v>
      </c>
      <c r="K27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70" s="1">
        <f>M269+Table1181920231030313235383940414811151820283134[[#This Row],[اجمالي الفاتوره]]-Table1181920231030313235383940414811151820283134[[#This Row],[الدفعات]]</f>
        <v>14302.690000000002</v>
      </c>
      <c r="O270" s="95"/>
    </row>
    <row r="271" spans="1:15" ht="23.25" customHeight="1" x14ac:dyDescent="0.3">
      <c r="A271" s="1"/>
      <c r="I271" s="1">
        <f>0.14*Table1181920231030313235383940414811151820283134[[#This Row],[النولون]]</f>
        <v>0</v>
      </c>
      <c r="K27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71" s="1">
        <f>M270+Table1181920231030313235383940414811151820283134[[#This Row],[اجمالي الفاتوره]]-Table1181920231030313235383940414811151820283134[[#This Row],[الدفعات]]</f>
        <v>14302.690000000002</v>
      </c>
      <c r="O271" s="95"/>
    </row>
    <row r="272" spans="1:15" ht="23.25" customHeight="1" x14ac:dyDescent="0.3">
      <c r="A272" s="1"/>
      <c r="I272" s="1">
        <f>0.14*Table1181920231030313235383940414811151820283134[[#This Row],[النولون]]</f>
        <v>0</v>
      </c>
      <c r="K27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72" s="1">
        <f>M271+Table1181920231030313235383940414811151820283134[[#This Row],[اجمالي الفاتوره]]-Table1181920231030313235383940414811151820283134[[#This Row],[الدفعات]]</f>
        <v>14302.690000000002</v>
      </c>
      <c r="O272" s="95"/>
    </row>
    <row r="273" spans="1:15" ht="23.25" customHeight="1" x14ac:dyDescent="0.3">
      <c r="A273" s="1"/>
      <c r="I273" s="1">
        <f>0.14*Table1181920231030313235383940414811151820283134[[#This Row],[النولون]]</f>
        <v>0</v>
      </c>
      <c r="K27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73" s="1">
        <f>M272+Table1181920231030313235383940414811151820283134[[#This Row],[اجمالي الفاتوره]]-Table1181920231030313235383940414811151820283134[[#This Row],[الدفعات]]</f>
        <v>14302.690000000002</v>
      </c>
      <c r="O273" s="95"/>
    </row>
    <row r="274" spans="1:15" ht="23.25" customHeight="1" x14ac:dyDescent="0.3">
      <c r="A274" s="1"/>
      <c r="I274" s="1">
        <f>0.14*Table1181920231030313235383940414811151820283134[[#This Row],[النولون]]</f>
        <v>0</v>
      </c>
      <c r="K27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74" s="1">
        <f>M273+Table1181920231030313235383940414811151820283134[[#This Row],[اجمالي الفاتوره]]-Table1181920231030313235383940414811151820283134[[#This Row],[الدفعات]]</f>
        <v>14302.690000000002</v>
      </c>
      <c r="O274" s="95"/>
    </row>
    <row r="275" spans="1:15" ht="23.25" customHeight="1" x14ac:dyDescent="0.3">
      <c r="A275" s="1"/>
      <c r="I275" s="1">
        <f>0.14*Table1181920231030313235383940414811151820283134[[#This Row],[النولون]]</f>
        <v>0</v>
      </c>
      <c r="K27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75" s="1">
        <f>M274+Table1181920231030313235383940414811151820283134[[#This Row],[اجمالي الفاتوره]]-Table1181920231030313235383940414811151820283134[[#This Row],[الدفعات]]</f>
        <v>14302.690000000002</v>
      </c>
      <c r="O275" s="95"/>
    </row>
    <row r="276" spans="1:15" ht="23.25" customHeight="1" x14ac:dyDescent="0.3">
      <c r="A276" s="1"/>
      <c r="I276" s="1">
        <f>0.14*Table1181920231030313235383940414811151820283134[[#This Row],[النولون]]</f>
        <v>0</v>
      </c>
      <c r="K27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76" s="1">
        <f>M275+Table1181920231030313235383940414811151820283134[[#This Row],[اجمالي الفاتوره]]-Table1181920231030313235383940414811151820283134[[#This Row],[الدفعات]]</f>
        <v>14302.690000000002</v>
      </c>
      <c r="O276" s="95"/>
    </row>
    <row r="277" spans="1:15" ht="23.25" customHeight="1" x14ac:dyDescent="0.3">
      <c r="A277" s="1"/>
      <c r="I277" s="1">
        <f>0.14*Table1181920231030313235383940414811151820283134[[#This Row],[النولون]]</f>
        <v>0</v>
      </c>
      <c r="K27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77" s="1">
        <f>M276+Table1181920231030313235383940414811151820283134[[#This Row],[اجمالي الفاتوره]]-Table1181920231030313235383940414811151820283134[[#This Row],[الدفعات]]</f>
        <v>14302.690000000002</v>
      </c>
      <c r="O277" s="95"/>
    </row>
    <row r="278" spans="1:15" ht="23.25" customHeight="1" x14ac:dyDescent="0.3">
      <c r="A278" s="1"/>
      <c r="I278" s="1">
        <f>0.14*Table1181920231030313235383940414811151820283134[[#This Row],[النولون]]</f>
        <v>0</v>
      </c>
      <c r="K27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78" s="1">
        <f>M277+Table1181920231030313235383940414811151820283134[[#This Row],[اجمالي الفاتوره]]-Table1181920231030313235383940414811151820283134[[#This Row],[الدفعات]]</f>
        <v>14302.690000000002</v>
      </c>
      <c r="O278" s="95"/>
    </row>
    <row r="279" spans="1:15" ht="23.25" customHeight="1" x14ac:dyDescent="0.3">
      <c r="A279" s="1"/>
      <c r="I279" s="1">
        <f>0.14*Table1181920231030313235383940414811151820283134[[#This Row],[النولون]]</f>
        <v>0</v>
      </c>
      <c r="K27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79" s="1">
        <f>M278+Table1181920231030313235383940414811151820283134[[#This Row],[اجمالي الفاتوره]]-Table1181920231030313235383940414811151820283134[[#This Row],[الدفعات]]</f>
        <v>14302.690000000002</v>
      </c>
      <c r="O279" s="95"/>
    </row>
    <row r="280" spans="1:15" ht="23.25" customHeight="1" x14ac:dyDescent="0.3">
      <c r="A280" s="1"/>
      <c r="I280" s="1">
        <f>0.14*Table1181920231030313235383940414811151820283134[[#This Row],[النولون]]</f>
        <v>0</v>
      </c>
      <c r="K28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80" s="1">
        <f>M279+Table1181920231030313235383940414811151820283134[[#This Row],[اجمالي الفاتوره]]-Table1181920231030313235383940414811151820283134[[#This Row],[الدفعات]]</f>
        <v>14302.690000000002</v>
      </c>
      <c r="O280" s="95"/>
    </row>
    <row r="281" spans="1:15" ht="23.25" customHeight="1" x14ac:dyDescent="0.3">
      <c r="A281" s="1"/>
      <c r="I281" s="1">
        <f>0.14*Table1181920231030313235383940414811151820283134[[#This Row],[النولون]]</f>
        <v>0</v>
      </c>
      <c r="K28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81" s="1">
        <f>M280+Table1181920231030313235383940414811151820283134[[#This Row],[اجمالي الفاتوره]]-Table1181920231030313235383940414811151820283134[[#This Row],[الدفعات]]</f>
        <v>14302.690000000002</v>
      </c>
      <c r="O281" s="95"/>
    </row>
    <row r="282" spans="1:15" ht="23.25" customHeight="1" x14ac:dyDescent="0.3">
      <c r="A282" s="1"/>
      <c r="I282" s="1">
        <f>0.14*Table1181920231030313235383940414811151820283134[[#This Row],[النولون]]</f>
        <v>0</v>
      </c>
      <c r="K28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82" s="1">
        <f>M281+Table1181920231030313235383940414811151820283134[[#This Row],[اجمالي الفاتوره]]-Table1181920231030313235383940414811151820283134[[#This Row],[الدفعات]]</f>
        <v>14302.690000000002</v>
      </c>
      <c r="O282" s="95"/>
    </row>
    <row r="283" spans="1:15" ht="23.25" customHeight="1" x14ac:dyDescent="0.3">
      <c r="A283" s="1"/>
      <c r="I283" s="1">
        <f>0.14*Table1181920231030313235383940414811151820283134[[#This Row],[النولون]]</f>
        <v>0</v>
      </c>
      <c r="K28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83" s="1">
        <f>M282+Table1181920231030313235383940414811151820283134[[#This Row],[اجمالي الفاتوره]]-Table1181920231030313235383940414811151820283134[[#This Row],[الدفعات]]</f>
        <v>14302.690000000002</v>
      </c>
      <c r="O283" s="95"/>
    </row>
    <row r="284" spans="1:15" ht="23.25" customHeight="1" x14ac:dyDescent="0.3">
      <c r="A284" s="1"/>
      <c r="I284" s="1">
        <f>0.14*Table1181920231030313235383940414811151820283134[[#This Row],[النولون]]</f>
        <v>0</v>
      </c>
      <c r="K28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84" s="1">
        <f>M283+Table1181920231030313235383940414811151820283134[[#This Row],[اجمالي الفاتوره]]-Table1181920231030313235383940414811151820283134[[#This Row],[الدفعات]]</f>
        <v>14302.690000000002</v>
      </c>
      <c r="O284" s="95"/>
    </row>
    <row r="285" spans="1:15" ht="23.25" customHeight="1" x14ac:dyDescent="0.3">
      <c r="A285" s="1"/>
      <c r="I285" s="1">
        <f>0.14*Table1181920231030313235383940414811151820283134[[#This Row],[النولون]]</f>
        <v>0</v>
      </c>
      <c r="K28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85" s="1">
        <f>M284+Table1181920231030313235383940414811151820283134[[#This Row],[اجمالي الفاتوره]]-Table1181920231030313235383940414811151820283134[[#This Row],[الدفعات]]</f>
        <v>14302.690000000002</v>
      </c>
      <c r="O285" s="95"/>
    </row>
    <row r="286" spans="1:15" ht="23.25" customHeight="1" x14ac:dyDescent="0.3">
      <c r="A286" s="1"/>
      <c r="I286" s="1">
        <f>0.14*Table1181920231030313235383940414811151820283134[[#This Row],[النولون]]</f>
        <v>0</v>
      </c>
      <c r="K28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86" s="1">
        <f>M285+Table1181920231030313235383940414811151820283134[[#This Row],[اجمالي الفاتوره]]-Table1181920231030313235383940414811151820283134[[#This Row],[الدفعات]]</f>
        <v>14302.690000000002</v>
      </c>
      <c r="O286" s="95"/>
    </row>
    <row r="287" spans="1:15" ht="23.25" customHeight="1" x14ac:dyDescent="0.3">
      <c r="A287" s="1"/>
      <c r="I287" s="1">
        <f>0.14*Table1181920231030313235383940414811151820283134[[#This Row],[النولون]]</f>
        <v>0</v>
      </c>
      <c r="K28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87" s="1">
        <f>M286+Table1181920231030313235383940414811151820283134[[#This Row],[اجمالي الفاتوره]]-Table1181920231030313235383940414811151820283134[[#This Row],[الدفعات]]</f>
        <v>14302.690000000002</v>
      </c>
      <c r="O287" s="95"/>
    </row>
    <row r="288" spans="1:15" ht="23.25" customHeight="1" x14ac:dyDescent="0.3">
      <c r="A288" s="1"/>
      <c r="I288" s="1">
        <f>0.14*Table1181920231030313235383940414811151820283134[[#This Row],[النولون]]</f>
        <v>0</v>
      </c>
      <c r="K28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88" s="1">
        <f>M287+Table1181920231030313235383940414811151820283134[[#This Row],[اجمالي الفاتوره]]-Table1181920231030313235383940414811151820283134[[#This Row],[الدفعات]]</f>
        <v>14302.690000000002</v>
      </c>
      <c r="O288" s="95"/>
    </row>
    <row r="289" spans="1:15" ht="23.25" customHeight="1" x14ac:dyDescent="0.3">
      <c r="A289" s="1"/>
      <c r="I289" s="1">
        <f>0.14*Table1181920231030313235383940414811151820283134[[#This Row],[النولون]]</f>
        <v>0</v>
      </c>
      <c r="K28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89" s="1">
        <f>M288+Table1181920231030313235383940414811151820283134[[#This Row],[اجمالي الفاتوره]]-Table1181920231030313235383940414811151820283134[[#This Row],[الدفعات]]</f>
        <v>14302.690000000002</v>
      </c>
      <c r="O289" s="95"/>
    </row>
    <row r="290" spans="1:15" ht="23.25" customHeight="1" x14ac:dyDescent="0.3">
      <c r="A290" s="1"/>
      <c r="I290" s="1">
        <f>0.14*Table1181920231030313235383940414811151820283134[[#This Row],[النولون]]</f>
        <v>0</v>
      </c>
      <c r="K29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90" s="1">
        <f>M289+Table1181920231030313235383940414811151820283134[[#This Row],[اجمالي الفاتوره]]-Table1181920231030313235383940414811151820283134[[#This Row],[الدفعات]]</f>
        <v>14302.690000000002</v>
      </c>
      <c r="O290" s="95"/>
    </row>
    <row r="291" spans="1:15" ht="23.25" customHeight="1" x14ac:dyDescent="0.3">
      <c r="A291" s="1"/>
      <c r="I291" s="1">
        <f>0.14*Table1181920231030313235383940414811151820283134[[#This Row],[النولون]]</f>
        <v>0</v>
      </c>
      <c r="K29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91" s="1">
        <f>M290+Table1181920231030313235383940414811151820283134[[#This Row],[اجمالي الفاتوره]]-Table1181920231030313235383940414811151820283134[[#This Row],[الدفعات]]</f>
        <v>14302.690000000002</v>
      </c>
      <c r="O291" s="95"/>
    </row>
    <row r="292" spans="1:15" ht="23.25" customHeight="1" x14ac:dyDescent="0.3">
      <c r="A292" s="1"/>
      <c r="I292" s="1">
        <f>0.14*Table1181920231030313235383940414811151820283134[[#This Row],[النولون]]</f>
        <v>0</v>
      </c>
      <c r="K29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92" s="1">
        <f>M291+Table1181920231030313235383940414811151820283134[[#This Row],[اجمالي الفاتوره]]-Table1181920231030313235383940414811151820283134[[#This Row],[الدفعات]]</f>
        <v>14302.690000000002</v>
      </c>
      <c r="O292" s="95"/>
    </row>
    <row r="293" spans="1:15" ht="23.25" customHeight="1" x14ac:dyDescent="0.3">
      <c r="A293" s="1"/>
      <c r="I293" s="1">
        <f>0.14*Table1181920231030313235383940414811151820283134[[#This Row],[النولون]]</f>
        <v>0</v>
      </c>
      <c r="K29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93" s="1">
        <f>M292+Table1181920231030313235383940414811151820283134[[#This Row],[اجمالي الفاتوره]]-Table1181920231030313235383940414811151820283134[[#This Row],[الدفعات]]</f>
        <v>14302.690000000002</v>
      </c>
      <c r="O293" s="95"/>
    </row>
    <row r="294" spans="1:15" ht="23.25" customHeight="1" x14ac:dyDescent="0.3">
      <c r="A294" s="1"/>
      <c r="I294" s="1">
        <f>0.14*Table1181920231030313235383940414811151820283134[[#This Row],[النولون]]</f>
        <v>0</v>
      </c>
      <c r="K29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94" s="1">
        <f>M293+Table1181920231030313235383940414811151820283134[[#This Row],[اجمالي الفاتوره]]-Table1181920231030313235383940414811151820283134[[#This Row],[الدفعات]]</f>
        <v>14302.690000000002</v>
      </c>
      <c r="O294" s="95"/>
    </row>
    <row r="295" spans="1:15" ht="23.25" customHeight="1" x14ac:dyDescent="0.3">
      <c r="A295" s="1"/>
      <c r="I295" s="1">
        <f>0.14*Table1181920231030313235383940414811151820283134[[#This Row],[النولون]]</f>
        <v>0</v>
      </c>
      <c r="K29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95" s="1">
        <f>M294+Table1181920231030313235383940414811151820283134[[#This Row],[اجمالي الفاتوره]]-Table1181920231030313235383940414811151820283134[[#This Row],[الدفعات]]</f>
        <v>14302.690000000002</v>
      </c>
      <c r="O295" s="95"/>
    </row>
    <row r="296" spans="1:15" ht="23.25" customHeight="1" x14ac:dyDescent="0.3">
      <c r="A296" s="1"/>
      <c r="I296" s="1">
        <f>0.14*Table1181920231030313235383940414811151820283134[[#This Row],[النولون]]</f>
        <v>0</v>
      </c>
      <c r="K29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96" s="1">
        <f>M295+Table1181920231030313235383940414811151820283134[[#This Row],[اجمالي الفاتوره]]-Table1181920231030313235383940414811151820283134[[#This Row],[الدفعات]]</f>
        <v>14302.690000000002</v>
      </c>
      <c r="O296" s="95"/>
    </row>
    <row r="297" spans="1:15" ht="23.25" customHeight="1" x14ac:dyDescent="0.3">
      <c r="A297" s="1"/>
      <c r="I297" s="1">
        <f>0.14*Table1181920231030313235383940414811151820283134[[#This Row],[النولون]]</f>
        <v>0</v>
      </c>
      <c r="K29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97" s="1">
        <f>M296+Table1181920231030313235383940414811151820283134[[#This Row],[اجمالي الفاتوره]]-Table1181920231030313235383940414811151820283134[[#This Row],[الدفعات]]</f>
        <v>14302.690000000002</v>
      </c>
      <c r="O297" s="95"/>
    </row>
    <row r="298" spans="1:15" ht="23.25" customHeight="1" x14ac:dyDescent="0.3">
      <c r="A298" s="1"/>
      <c r="I298" s="1">
        <f>0.14*Table1181920231030313235383940414811151820283134[[#This Row],[النولون]]</f>
        <v>0</v>
      </c>
      <c r="K29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98" s="1">
        <f>M297+Table1181920231030313235383940414811151820283134[[#This Row],[اجمالي الفاتوره]]-Table1181920231030313235383940414811151820283134[[#This Row],[الدفعات]]</f>
        <v>14302.690000000002</v>
      </c>
      <c r="O298" s="95"/>
    </row>
    <row r="299" spans="1:15" ht="23.25" customHeight="1" x14ac:dyDescent="0.3">
      <c r="A299" s="1"/>
      <c r="I299" s="1">
        <f>0.14*Table1181920231030313235383940414811151820283134[[#This Row],[النولون]]</f>
        <v>0</v>
      </c>
      <c r="K29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299" s="1">
        <f>M298+Table1181920231030313235383940414811151820283134[[#This Row],[اجمالي الفاتوره]]-Table1181920231030313235383940414811151820283134[[#This Row],[الدفعات]]</f>
        <v>14302.690000000002</v>
      </c>
      <c r="O299" s="95"/>
    </row>
    <row r="300" spans="1:15" ht="23.25" customHeight="1" x14ac:dyDescent="0.3">
      <c r="A300" s="1"/>
      <c r="I300" s="1">
        <f>0.14*Table1181920231030313235383940414811151820283134[[#This Row],[النولون]]</f>
        <v>0</v>
      </c>
      <c r="K30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00" s="1">
        <f>M299+Table1181920231030313235383940414811151820283134[[#This Row],[اجمالي الفاتوره]]-Table1181920231030313235383940414811151820283134[[#This Row],[الدفعات]]</f>
        <v>14302.690000000002</v>
      </c>
      <c r="O300" s="95"/>
    </row>
    <row r="301" spans="1:15" ht="23.25" customHeight="1" x14ac:dyDescent="0.3">
      <c r="A301" s="1"/>
      <c r="I301" s="1">
        <f>0.14*Table1181920231030313235383940414811151820283134[[#This Row],[النولون]]</f>
        <v>0</v>
      </c>
      <c r="K30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01" s="1">
        <f>M300+Table1181920231030313235383940414811151820283134[[#This Row],[اجمالي الفاتوره]]-Table1181920231030313235383940414811151820283134[[#This Row],[الدفعات]]</f>
        <v>14302.690000000002</v>
      </c>
      <c r="O301" s="95"/>
    </row>
    <row r="302" spans="1:15" ht="23.25" customHeight="1" x14ac:dyDescent="0.3">
      <c r="A302" s="1"/>
      <c r="I302" s="1">
        <f>0.14*Table1181920231030313235383940414811151820283134[[#This Row],[النولون]]</f>
        <v>0</v>
      </c>
      <c r="K30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02" s="1">
        <f>M301+Table1181920231030313235383940414811151820283134[[#This Row],[اجمالي الفاتوره]]-Table1181920231030313235383940414811151820283134[[#This Row],[الدفعات]]</f>
        <v>14302.690000000002</v>
      </c>
      <c r="O302" s="95"/>
    </row>
    <row r="303" spans="1:15" ht="23.25" customHeight="1" x14ac:dyDescent="0.3">
      <c r="A303" s="1"/>
      <c r="I303" s="1">
        <f>0.14*Table1181920231030313235383940414811151820283134[[#This Row],[النولون]]</f>
        <v>0</v>
      </c>
      <c r="K30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03" s="1">
        <f>M302+Table1181920231030313235383940414811151820283134[[#This Row],[اجمالي الفاتوره]]-Table1181920231030313235383940414811151820283134[[#This Row],[الدفعات]]</f>
        <v>14302.690000000002</v>
      </c>
      <c r="O303" s="95"/>
    </row>
    <row r="304" spans="1:15" ht="23.25" customHeight="1" x14ac:dyDescent="0.3">
      <c r="A304" s="1"/>
      <c r="I304" s="1">
        <f>0.14*Table1181920231030313235383940414811151820283134[[#This Row],[النولون]]</f>
        <v>0</v>
      </c>
      <c r="K30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04" s="1">
        <f>M303+Table1181920231030313235383940414811151820283134[[#This Row],[اجمالي الفاتوره]]-Table1181920231030313235383940414811151820283134[[#This Row],[الدفعات]]</f>
        <v>14302.690000000002</v>
      </c>
      <c r="O304" s="95"/>
    </row>
    <row r="305" spans="1:15" ht="23.25" customHeight="1" x14ac:dyDescent="0.3">
      <c r="A305" s="1"/>
      <c r="I305" s="1">
        <f>0.14*Table1181920231030313235383940414811151820283134[[#This Row],[النولون]]</f>
        <v>0</v>
      </c>
      <c r="K30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05" s="1">
        <f>M304+Table1181920231030313235383940414811151820283134[[#This Row],[اجمالي الفاتوره]]-Table1181920231030313235383940414811151820283134[[#This Row],[الدفعات]]</f>
        <v>14302.690000000002</v>
      </c>
      <c r="O305" s="95"/>
    </row>
    <row r="306" spans="1:15" ht="23.25" customHeight="1" x14ac:dyDescent="0.3">
      <c r="A306" s="1"/>
      <c r="I306" s="1">
        <f>0.14*Table1181920231030313235383940414811151820283134[[#This Row],[النولون]]</f>
        <v>0</v>
      </c>
      <c r="K30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06" s="1">
        <f>M305+Table1181920231030313235383940414811151820283134[[#This Row],[اجمالي الفاتوره]]-Table1181920231030313235383940414811151820283134[[#This Row],[الدفعات]]</f>
        <v>14302.690000000002</v>
      </c>
      <c r="O306" s="95"/>
    </row>
    <row r="307" spans="1:15" ht="23.25" customHeight="1" x14ac:dyDescent="0.3">
      <c r="A307" s="1"/>
      <c r="I307" s="1">
        <f>0.14*Table1181920231030313235383940414811151820283134[[#This Row],[النولون]]</f>
        <v>0</v>
      </c>
      <c r="K30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07" s="1">
        <f>M306+Table1181920231030313235383940414811151820283134[[#This Row],[اجمالي الفاتوره]]-Table1181920231030313235383940414811151820283134[[#This Row],[الدفعات]]</f>
        <v>14302.690000000002</v>
      </c>
      <c r="O307" s="95"/>
    </row>
    <row r="308" spans="1:15" ht="23.25" customHeight="1" x14ac:dyDescent="0.3">
      <c r="A308" s="1"/>
      <c r="I308" s="1">
        <f>0.14*Table1181920231030313235383940414811151820283134[[#This Row],[النولون]]</f>
        <v>0</v>
      </c>
      <c r="K30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08" s="1">
        <f>M307+Table1181920231030313235383940414811151820283134[[#This Row],[اجمالي الفاتوره]]-Table1181920231030313235383940414811151820283134[[#This Row],[الدفعات]]</f>
        <v>14302.690000000002</v>
      </c>
      <c r="O308" s="95"/>
    </row>
    <row r="309" spans="1:15" ht="23.25" customHeight="1" x14ac:dyDescent="0.3">
      <c r="A309" s="1"/>
      <c r="I309" s="1">
        <f>0.14*Table1181920231030313235383940414811151820283134[[#This Row],[النولون]]</f>
        <v>0</v>
      </c>
      <c r="K30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09" s="1">
        <f>M308+Table1181920231030313235383940414811151820283134[[#This Row],[اجمالي الفاتوره]]-Table1181920231030313235383940414811151820283134[[#This Row],[الدفعات]]</f>
        <v>14302.690000000002</v>
      </c>
      <c r="O309" s="95"/>
    </row>
    <row r="310" spans="1:15" ht="23.25" customHeight="1" x14ac:dyDescent="0.3">
      <c r="A310" s="1"/>
      <c r="I310" s="1">
        <f>0.14*Table1181920231030313235383940414811151820283134[[#This Row],[النولون]]</f>
        <v>0</v>
      </c>
      <c r="K31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10" s="1">
        <f>M309+Table1181920231030313235383940414811151820283134[[#This Row],[اجمالي الفاتوره]]-Table1181920231030313235383940414811151820283134[[#This Row],[الدفعات]]</f>
        <v>14302.690000000002</v>
      </c>
      <c r="O310" s="95"/>
    </row>
    <row r="311" spans="1:15" ht="23.25" customHeight="1" x14ac:dyDescent="0.3">
      <c r="A311" s="1"/>
      <c r="I311" s="1">
        <f>0.14*Table1181920231030313235383940414811151820283134[[#This Row],[النولون]]</f>
        <v>0</v>
      </c>
      <c r="K31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11" s="1">
        <f>M310+Table1181920231030313235383940414811151820283134[[#This Row],[اجمالي الفاتوره]]-Table1181920231030313235383940414811151820283134[[#This Row],[الدفعات]]</f>
        <v>14302.690000000002</v>
      </c>
      <c r="O311" s="95"/>
    </row>
    <row r="312" spans="1:15" ht="23.25" customHeight="1" x14ac:dyDescent="0.3">
      <c r="A312" s="1"/>
      <c r="I312" s="1">
        <f>0.14*Table1181920231030313235383940414811151820283134[[#This Row],[النولون]]</f>
        <v>0</v>
      </c>
      <c r="K31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12" s="1">
        <f>M311+Table1181920231030313235383940414811151820283134[[#This Row],[اجمالي الفاتوره]]-Table1181920231030313235383940414811151820283134[[#This Row],[الدفعات]]</f>
        <v>14302.690000000002</v>
      </c>
      <c r="O312" s="95"/>
    </row>
    <row r="313" spans="1:15" ht="23.25" customHeight="1" x14ac:dyDescent="0.3">
      <c r="A313" s="1"/>
      <c r="I313" s="1">
        <f>0.14*Table1181920231030313235383940414811151820283134[[#This Row],[النولون]]</f>
        <v>0</v>
      </c>
      <c r="K31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13" s="1">
        <f>M312+Table1181920231030313235383940414811151820283134[[#This Row],[اجمالي الفاتوره]]-Table1181920231030313235383940414811151820283134[[#This Row],[الدفعات]]</f>
        <v>14302.690000000002</v>
      </c>
      <c r="O313" s="95"/>
    </row>
    <row r="314" spans="1:15" ht="23.25" customHeight="1" x14ac:dyDescent="0.3">
      <c r="A314" s="1"/>
      <c r="I314" s="1">
        <f>0.14*Table1181920231030313235383940414811151820283134[[#This Row],[النولون]]</f>
        <v>0</v>
      </c>
      <c r="K31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14" s="1">
        <f>M313+Table1181920231030313235383940414811151820283134[[#This Row],[اجمالي الفاتوره]]-Table1181920231030313235383940414811151820283134[[#This Row],[الدفعات]]</f>
        <v>14302.690000000002</v>
      </c>
      <c r="O314" s="95"/>
    </row>
    <row r="315" spans="1:15" ht="23.25" customHeight="1" x14ac:dyDescent="0.3">
      <c r="A315" s="1"/>
      <c r="I315" s="1">
        <f>0.14*Table1181920231030313235383940414811151820283134[[#This Row],[النولون]]</f>
        <v>0</v>
      </c>
      <c r="K31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15" s="1">
        <f>M314+Table1181920231030313235383940414811151820283134[[#This Row],[اجمالي الفاتوره]]-Table1181920231030313235383940414811151820283134[[#This Row],[الدفعات]]</f>
        <v>14302.690000000002</v>
      </c>
      <c r="O315" s="95"/>
    </row>
    <row r="316" spans="1:15" ht="23.25" customHeight="1" x14ac:dyDescent="0.3">
      <c r="A316" s="1"/>
      <c r="I316" s="1">
        <f>0.14*Table1181920231030313235383940414811151820283134[[#This Row],[النولون]]</f>
        <v>0</v>
      </c>
      <c r="K31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16" s="1">
        <f>M315+Table1181920231030313235383940414811151820283134[[#This Row],[اجمالي الفاتوره]]-Table1181920231030313235383940414811151820283134[[#This Row],[الدفعات]]</f>
        <v>14302.690000000002</v>
      </c>
      <c r="O316" s="95"/>
    </row>
    <row r="317" spans="1:15" ht="23.25" customHeight="1" x14ac:dyDescent="0.3">
      <c r="A317" s="1"/>
      <c r="I317" s="1">
        <f>0.14*Table1181920231030313235383940414811151820283134[[#This Row],[النولون]]</f>
        <v>0</v>
      </c>
      <c r="K31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17" s="1">
        <f>M316+Table1181920231030313235383940414811151820283134[[#This Row],[اجمالي الفاتوره]]-Table1181920231030313235383940414811151820283134[[#This Row],[الدفعات]]</f>
        <v>14302.690000000002</v>
      </c>
      <c r="O317" s="95"/>
    </row>
    <row r="318" spans="1:15" ht="23.25" customHeight="1" x14ac:dyDescent="0.3">
      <c r="A318" s="1"/>
      <c r="I318" s="1">
        <f>0.14*Table1181920231030313235383940414811151820283134[[#This Row],[النولون]]</f>
        <v>0</v>
      </c>
      <c r="K31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18" s="1">
        <f>M317+Table1181920231030313235383940414811151820283134[[#This Row],[اجمالي الفاتوره]]-Table1181920231030313235383940414811151820283134[[#This Row],[الدفعات]]</f>
        <v>14302.690000000002</v>
      </c>
      <c r="O318" s="95"/>
    </row>
    <row r="319" spans="1:15" ht="23.25" customHeight="1" x14ac:dyDescent="0.3">
      <c r="A319" s="1"/>
      <c r="I319" s="1">
        <f>0.14*Table1181920231030313235383940414811151820283134[[#This Row],[النولون]]</f>
        <v>0</v>
      </c>
      <c r="K31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19" s="1">
        <f>M318+Table1181920231030313235383940414811151820283134[[#This Row],[اجمالي الفاتوره]]-Table1181920231030313235383940414811151820283134[[#This Row],[الدفعات]]</f>
        <v>14302.690000000002</v>
      </c>
      <c r="O319" s="95"/>
    </row>
    <row r="320" spans="1:15" ht="23.25" customHeight="1" x14ac:dyDescent="0.3">
      <c r="A320" s="1"/>
      <c r="I320" s="1">
        <f>0.14*Table1181920231030313235383940414811151820283134[[#This Row],[النولون]]</f>
        <v>0</v>
      </c>
      <c r="K32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20" s="1">
        <f>M319+Table1181920231030313235383940414811151820283134[[#This Row],[اجمالي الفاتوره]]-Table1181920231030313235383940414811151820283134[[#This Row],[الدفعات]]</f>
        <v>14302.690000000002</v>
      </c>
      <c r="O320" s="95"/>
    </row>
    <row r="321" spans="1:15" ht="23.25" customHeight="1" x14ac:dyDescent="0.3">
      <c r="A321" s="1"/>
      <c r="I321" s="1">
        <f>0.14*Table1181920231030313235383940414811151820283134[[#This Row],[النولون]]</f>
        <v>0</v>
      </c>
      <c r="K32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21" s="1">
        <f>M320+Table1181920231030313235383940414811151820283134[[#This Row],[اجمالي الفاتوره]]-Table1181920231030313235383940414811151820283134[[#This Row],[الدفعات]]</f>
        <v>14302.690000000002</v>
      </c>
      <c r="O321" s="95"/>
    </row>
    <row r="322" spans="1:15" ht="23.25" customHeight="1" x14ac:dyDescent="0.3">
      <c r="A322" s="1"/>
      <c r="I322" s="1">
        <f>0.14*Table1181920231030313235383940414811151820283134[[#This Row],[النولون]]</f>
        <v>0</v>
      </c>
      <c r="K32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22" s="1">
        <f>M321+Table1181920231030313235383940414811151820283134[[#This Row],[اجمالي الفاتوره]]-Table1181920231030313235383940414811151820283134[[#This Row],[الدفعات]]</f>
        <v>14302.690000000002</v>
      </c>
      <c r="O322" s="95"/>
    </row>
    <row r="323" spans="1:15" ht="23.25" customHeight="1" x14ac:dyDescent="0.3">
      <c r="A323" s="1"/>
      <c r="I323" s="1">
        <f>0.14*Table1181920231030313235383940414811151820283134[[#This Row],[النولون]]</f>
        <v>0</v>
      </c>
      <c r="K32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23" s="1">
        <f>M322+Table1181920231030313235383940414811151820283134[[#This Row],[اجمالي الفاتوره]]-Table1181920231030313235383940414811151820283134[[#This Row],[الدفعات]]</f>
        <v>14302.690000000002</v>
      </c>
      <c r="O323" s="95"/>
    </row>
    <row r="324" spans="1:15" ht="23.25" customHeight="1" x14ac:dyDescent="0.3">
      <c r="A324" s="1"/>
      <c r="I324" s="1">
        <f>0.14*Table1181920231030313235383940414811151820283134[[#This Row],[النولون]]</f>
        <v>0</v>
      </c>
      <c r="K32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24" s="1">
        <f>M323+Table1181920231030313235383940414811151820283134[[#This Row],[اجمالي الفاتوره]]-Table1181920231030313235383940414811151820283134[[#This Row],[الدفعات]]</f>
        <v>14302.690000000002</v>
      </c>
      <c r="O324" s="95"/>
    </row>
    <row r="325" spans="1:15" ht="23.25" customHeight="1" x14ac:dyDescent="0.3">
      <c r="A325" s="1"/>
      <c r="I325" s="1">
        <f>0.14*Table1181920231030313235383940414811151820283134[[#This Row],[النولون]]</f>
        <v>0</v>
      </c>
      <c r="K32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25" s="1">
        <f>M324+Table1181920231030313235383940414811151820283134[[#This Row],[اجمالي الفاتوره]]-Table1181920231030313235383940414811151820283134[[#This Row],[الدفعات]]</f>
        <v>14302.690000000002</v>
      </c>
      <c r="O325" s="95"/>
    </row>
    <row r="326" spans="1:15" ht="23.25" customHeight="1" x14ac:dyDescent="0.3">
      <c r="A326" s="1"/>
      <c r="I326" s="1">
        <f>0.14*Table1181920231030313235383940414811151820283134[[#This Row],[النولون]]</f>
        <v>0</v>
      </c>
      <c r="K32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26" s="1">
        <f>M325+Table1181920231030313235383940414811151820283134[[#This Row],[اجمالي الفاتوره]]-Table1181920231030313235383940414811151820283134[[#This Row],[الدفعات]]</f>
        <v>14302.690000000002</v>
      </c>
      <c r="O326" s="95"/>
    </row>
    <row r="327" spans="1:15" ht="23.25" customHeight="1" x14ac:dyDescent="0.3">
      <c r="A327" s="1"/>
      <c r="I327" s="1">
        <f>0.14*Table1181920231030313235383940414811151820283134[[#This Row],[النولون]]</f>
        <v>0</v>
      </c>
      <c r="K32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27" s="1">
        <f>M326+Table1181920231030313235383940414811151820283134[[#This Row],[اجمالي الفاتوره]]-Table1181920231030313235383940414811151820283134[[#This Row],[الدفعات]]</f>
        <v>14302.690000000002</v>
      </c>
      <c r="O327" s="95"/>
    </row>
    <row r="328" spans="1:15" ht="23.25" customHeight="1" x14ac:dyDescent="0.3">
      <c r="A328" s="1"/>
      <c r="I328" s="1">
        <f>0.14*Table1181920231030313235383940414811151820283134[[#This Row],[النولون]]</f>
        <v>0</v>
      </c>
      <c r="K32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28" s="1">
        <f>M327+Table1181920231030313235383940414811151820283134[[#This Row],[اجمالي الفاتوره]]-Table1181920231030313235383940414811151820283134[[#This Row],[الدفعات]]</f>
        <v>14302.690000000002</v>
      </c>
      <c r="O328" s="95"/>
    </row>
    <row r="329" spans="1:15" ht="23.25" customHeight="1" x14ac:dyDescent="0.3">
      <c r="A329" s="1"/>
      <c r="I329" s="1">
        <f>0.14*Table1181920231030313235383940414811151820283134[[#This Row],[النولون]]</f>
        <v>0</v>
      </c>
      <c r="K32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29" s="1">
        <f>M328+Table1181920231030313235383940414811151820283134[[#This Row],[اجمالي الفاتوره]]-Table1181920231030313235383940414811151820283134[[#This Row],[الدفعات]]</f>
        <v>14302.690000000002</v>
      </c>
      <c r="O329" s="95"/>
    </row>
    <row r="330" spans="1:15" ht="23.25" customHeight="1" x14ac:dyDescent="0.3">
      <c r="A330" s="1"/>
      <c r="I330" s="1">
        <f>0.14*Table1181920231030313235383940414811151820283134[[#This Row],[النولون]]</f>
        <v>0</v>
      </c>
      <c r="K330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30" s="1">
        <f>M329+Table1181920231030313235383940414811151820283134[[#This Row],[اجمالي الفاتوره]]-Table1181920231030313235383940414811151820283134[[#This Row],[الدفعات]]</f>
        <v>14302.690000000002</v>
      </c>
      <c r="O330" s="95"/>
    </row>
    <row r="331" spans="1:15" ht="23.25" customHeight="1" x14ac:dyDescent="0.3">
      <c r="A331" s="1"/>
      <c r="I331" s="1">
        <f>0.14*Table1181920231030313235383940414811151820283134[[#This Row],[النولون]]</f>
        <v>0</v>
      </c>
      <c r="K331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31" s="1">
        <f>M330+Table1181920231030313235383940414811151820283134[[#This Row],[اجمالي الفاتوره]]-Table1181920231030313235383940414811151820283134[[#This Row],[الدفعات]]</f>
        <v>14302.690000000002</v>
      </c>
      <c r="O331" s="95"/>
    </row>
    <row r="332" spans="1:15" ht="23.25" customHeight="1" x14ac:dyDescent="0.3">
      <c r="A332" s="1"/>
      <c r="I332" s="1">
        <f>0.14*Table1181920231030313235383940414811151820283134[[#This Row],[النولون]]</f>
        <v>0</v>
      </c>
      <c r="K332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32" s="1">
        <f>M331+Table1181920231030313235383940414811151820283134[[#This Row],[اجمالي الفاتوره]]-Table1181920231030313235383940414811151820283134[[#This Row],[الدفعات]]</f>
        <v>14302.690000000002</v>
      </c>
      <c r="O332" s="95"/>
    </row>
    <row r="333" spans="1:15" ht="23.25" customHeight="1" x14ac:dyDescent="0.3">
      <c r="A333" s="1"/>
      <c r="I333" s="1">
        <f>0.14*Table1181920231030313235383940414811151820283134[[#This Row],[النولون]]</f>
        <v>0</v>
      </c>
      <c r="K333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33" s="1">
        <f>M332+Table1181920231030313235383940414811151820283134[[#This Row],[اجمالي الفاتوره]]-Table1181920231030313235383940414811151820283134[[#This Row],[الدفعات]]</f>
        <v>14302.690000000002</v>
      </c>
      <c r="O333" s="95"/>
    </row>
    <row r="334" spans="1:15" ht="23.25" customHeight="1" x14ac:dyDescent="0.3">
      <c r="A334" s="1"/>
      <c r="I334" s="1">
        <f>0.14*Table1181920231030313235383940414811151820283134[[#This Row],[النولون]]</f>
        <v>0</v>
      </c>
      <c r="K334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34" s="1">
        <f>M333+Table1181920231030313235383940414811151820283134[[#This Row],[اجمالي الفاتوره]]-Table1181920231030313235383940414811151820283134[[#This Row],[الدفعات]]</f>
        <v>14302.690000000002</v>
      </c>
      <c r="O334" s="95"/>
    </row>
    <row r="335" spans="1:15" ht="23.25" customHeight="1" x14ac:dyDescent="0.3">
      <c r="A335" s="1"/>
      <c r="I335" s="1">
        <f>0.14*Table1181920231030313235383940414811151820283134[[#This Row],[النولون]]</f>
        <v>0</v>
      </c>
      <c r="K335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35" s="1">
        <f>M334+Table1181920231030313235383940414811151820283134[[#This Row],[اجمالي الفاتوره]]-Table1181920231030313235383940414811151820283134[[#This Row],[الدفعات]]</f>
        <v>14302.690000000002</v>
      </c>
      <c r="O335" s="95"/>
    </row>
    <row r="336" spans="1:15" ht="23.25" customHeight="1" x14ac:dyDescent="0.3">
      <c r="A336" s="1"/>
      <c r="I336" s="1">
        <f>0.14*Table1181920231030313235383940414811151820283134[[#This Row],[النولون]]</f>
        <v>0</v>
      </c>
      <c r="K336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36" s="1">
        <f>M335+Table1181920231030313235383940414811151820283134[[#This Row],[اجمالي الفاتوره]]-Table1181920231030313235383940414811151820283134[[#This Row],[الدفعات]]</f>
        <v>14302.690000000002</v>
      </c>
      <c r="O336" s="95"/>
    </row>
    <row r="337" spans="1:15" ht="23.25" customHeight="1" x14ac:dyDescent="0.3">
      <c r="A337" s="1"/>
      <c r="I337" s="1">
        <f>0.14*Table1181920231030313235383940414811151820283134[[#This Row],[النولون]]</f>
        <v>0</v>
      </c>
      <c r="K337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37" s="1">
        <f>M336+Table1181920231030313235383940414811151820283134[[#This Row],[اجمالي الفاتوره]]-Table1181920231030313235383940414811151820283134[[#This Row],[الدفعات]]</f>
        <v>14302.690000000002</v>
      </c>
      <c r="O337" s="95"/>
    </row>
    <row r="338" spans="1:15" ht="23.25" customHeight="1" x14ac:dyDescent="0.3">
      <c r="A338" s="1"/>
      <c r="I338" s="1">
        <f>0.14*Table1181920231030313235383940414811151820283134[[#This Row],[النولون]]</f>
        <v>0</v>
      </c>
      <c r="K338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38" s="1">
        <f>M337+Table1181920231030313235383940414811151820283134[[#This Row],[اجمالي الفاتوره]]-Table1181920231030313235383940414811151820283134[[#This Row],[الدفعات]]</f>
        <v>14302.690000000002</v>
      </c>
      <c r="O338" s="95"/>
    </row>
    <row r="339" spans="1:15" ht="23.25" customHeight="1" x14ac:dyDescent="0.3">
      <c r="A339" s="1"/>
      <c r="I339" s="1">
        <f>0.14*Table1181920231030313235383940414811151820283134[[#This Row],[النولون]]</f>
        <v>0</v>
      </c>
      <c r="K339" s="1">
        <f>Table1181920231030313235383940414811151820283134[[#This Row],[النولون]]+Table1181920231030313235383940414811151820283134[[#This Row],[الايصالات]]+Table1181920231030313235383940414811151820283134[[#This Row],[قيمة مضافة]]</f>
        <v>0</v>
      </c>
      <c r="M339" s="1">
        <f>M338+Table1181920231030313235383940414811151820283134[[#This Row],[اجمالي الفاتوره]]-Table1181920231030313235383940414811151820283134[[#This Row],[الدفعات]]</f>
        <v>14302.690000000002</v>
      </c>
      <c r="O339" s="95"/>
    </row>
  </sheetData>
  <phoneticPr fontId="2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53"/>
  <sheetViews>
    <sheetView rightToLeft="1" workbookViewId="0">
      <selection activeCell="C3" sqref="C3:C14"/>
    </sheetView>
  </sheetViews>
  <sheetFormatPr defaultColWidth="12.44140625" defaultRowHeight="26.25" customHeight="1" x14ac:dyDescent="0.3"/>
  <cols>
    <col min="1" max="1" width="6.88671875" style="1" customWidth="1"/>
    <col min="2" max="2" width="14" style="1" customWidth="1"/>
    <col min="3" max="7" width="12.44140625" style="1"/>
    <col min="8" max="8" width="8.109375" style="1" customWidth="1"/>
    <col min="9" max="16384" width="12.44140625" style="1"/>
  </cols>
  <sheetData>
    <row r="1" spans="1:14" ht="26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6.25" customHeight="1" x14ac:dyDescent="0.3">
      <c r="B2" s="2"/>
      <c r="K2" s="1">
        <f>Table16[[#This Row],[النولون]]+Table16[[#This Row],[الايصالات]]-Table16[[#This Row],[خصم أ ت ص]]+Table16[[#This Row],[قيمة مضافة]]</f>
        <v>0</v>
      </c>
      <c r="M2" s="1">
        <v>0</v>
      </c>
    </row>
    <row r="3" spans="1:14" ht="26.25" customHeight="1" x14ac:dyDescent="0.3">
      <c r="A3" s="1">
        <v>1</v>
      </c>
      <c r="B3" s="2" t="s">
        <v>150</v>
      </c>
      <c r="C3" s="1" t="s">
        <v>164</v>
      </c>
      <c r="D3" s="1" t="s">
        <v>165</v>
      </c>
      <c r="E3" s="1">
        <v>85</v>
      </c>
      <c r="F3" s="1" t="s">
        <v>159</v>
      </c>
      <c r="G3" s="1">
        <v>13500</v>
      </c>
      <c r="J3" s="1">
        <f>550+280.55+200*2+1000+50*2</f>
        <v>2330.5500000000002</v>
      </c>
      <c r="K3" s="1">
        <f>Table16[[#This Row],[النولون]]+Table16[[#This Row],[الايصالات]]-Table16[[#This Row],[خصم أ ت ص]]+Table16[[#This Row],[قيمة مضافة]]</f>
        <v>15830.55</v>
      </c>
      <c r="M3" s="1">
        <f>M2+Table16[[#This Row],[اجمالي الفاتوره]]-Table16[[#This Row],[الدفعات]]</f>
        <v>15830.55</v>
      </c>
    </row>
    <row r="4" spans="1:14" ht="26.25" customHeight="1" x14ac:dyDescent="0.3">
      <c r="A4" s="1">
        <v>2</v>
      </c>
      <c r="B4" s="2" t="s">
        <v>187</v>
      </c>
      <c r="C4" s="1" t="s">
        <v>189</v>
      </c>
      <c r="D4" s="1" t="s">
        <v>190</v>
      </c>
      <c r="E4" s="1">
        <v>265017483</v>
      </c>
      <c r="F4" s="1" t="s">
        <v>92</v>
      </c>
      <c r="G4" s="1">
        <f>19000+13000</f>
        <v>32000</v>
      </c>
      <c r="J4" s="1">
        <f>3*3500+810+210+1100+120+79+829.66+105.79+45.15+112*50+650+1812.6+50.2+997+8517+150+400</f>
        <v>31976.399999999998</v>
      </c>
      <c r="K4" s="1">
        <f>Table16[[#This Row],[النولون]]+Table16[[#This Row],[الايصالات]]-Table16[[#This Row],[خصم أ ت ص]]+Table16[[#This Row],[قيمة مضافة]]</f>
        <v>63976.399999999994</v>
      </c>
      <c r="M4" s="1">
        <f>M3+Table16[[#This Row],[اجمالي الفاتوره]]-Table16[[#This Row],[الدفعات]]</f>
        <v>79806.95</v>
      </c>
    </row>
    <row r="5" spans="1:14" ht="26.25" customHeight="1" x14ac:dyDescent="0.3">
      <c r="A5" s="72"/>
      <c r="B5" s="73" t="s">
        <v>313</v>
      </c>
      <c r="C5" s="72"/>
      <c r="D5" s="72"/>
      <c r="E5" s="72"/>
      <c r="F5" s="72"/>
      <c r="G5" s="72"/>
      <c r="H5" s="72"/>
      <c r="I5" s="72"/>
      <c r="J5" s="72"/>
      <c r="K5" s="72">
        <f>Table16[[#This Row],[النولون]]+Table16[[#This Row],[الايصالات]]-Table16[[#This Row],[خصم أ ت ص]]+Table16[[#This Row],[قيمة مضافة]]</f>
        <v>0</v>
      </c>
      <c r="L5" s="72">
        <v>79800</v>
      </c>
      <c r="M5" s="72">
        <f>M4+Table16[[#This Row],[اجمالي الفاتوره]]-Table16[[#This Row],[الدفعات]]</f>
        <v>6.9499999999970896</v>
      </c>
    </row>
    <row r="6" spans="1:14" ht="26.25" customHeight="1" x14ac:dyDescent="0.3">
      <c r="A6" s="1">
        <v>3</v>
      </c>
      <c r="B6" s="2" t="s">
        <v>315</v>
      </c>
      <c r="C6" s="1" t="s">
        <v>319</v>
      </c>
      <c r="D6" s="1" t="s">
        <v>94</v>
      </c>
      <c r="E6" s="1">
        <v>260087947</v>
      </c>
      <c r="F6" s="1" t="s">
        <v>121</v>
      </c>
      <c r="G6" s="1">
        <v>15700</v>
      </c>
      <c r="J6" s="1">
        <f>210+1100+444.05+2850+1412.1+250+100+360</f>
        <v>6726.15</v>
      </c>
      <c r="K6" s="1">
        <f>Table16[[#This Row],[النولون]]+Table16[[#This Row],[الايصالات]]-Table16[[#This Row],[خصم أ ت ص]]+Table16[[#This Row],[قيمة مضافة]]</f>
        <v>22426.15</v>
      </c>
      <c r="M6" s="1">
        <f>M5+Table16[[#This Row],[اجمالي الفاتوره]]-Table16[[#This Row],[الدفعات]]</f>
        <v>22433.1</v>
      </c>
    </row>
    <row r="7" spans="1:14" ht="26.25" customHeight="1" x14ac:dyDescent="0.3">
      <c r="A7" s="1">
        <v>4</v>
      </c>
      <c r="B7" s="2" t="s">
        <v>342</v>
      </c>
      <c r="C7" s="1" t="s">
        <v>548</v>
      </c>
      <c r="D7" s="1" t="s">
        <v>330</v>
      </c>
      <c r="E7" s="1">
        <v>1922800</v>
      </c>
      <c r="F7" s="1" t="s">
        <v>331</v>
      </c>
      <c r="G7" s="1">
        <v>18700</v>
      </c>
      <c r="J7" s="1">
        <f>3500+310+310.26+729+955.5+1000</f>
        <v>6804.76</v>
      </c>
      <c r="K7" s="1">
        <f>Table16[[#This Row],[النولون]]+Table16[[#This Row],[الايصالات]]-Table16[[#This Row],[خصم أ ت ص]]+Table16[[#This Row],[قيمة مضافة]]</f>
        <v>25504.760000000002</v>
      </c>
      <c r="M7" s="1">
        <f>M6+Table16[[#This Row],[اجمالي الفاتوره]]-Table16[[#This Row],[الدفعات]]</f>
        <v>47937.86</v>
      </c>
    </row>
    <row r="8" spans="1:14" ht="26.25" customHeight="1" x14ac:dyDescent="0.3">
      <c r="A8" s="72"/>
      <c r="B8" s="73" t="s">
        <v>418</v>
      </c>
      <c r="C8" s="72"/>
      <c r="D8" s="72"/>
      <c r="E8" s="72"/>
      <c r="F8" s="72"/>
      <c r="G8" s="72"/>
      <c r="H8" s="72"/>
      <c r="I8" s="72"/>
      <c r="J8" s="72"/>
      <c r="K8" s="72">
        <f>Table16[[#This Row],[النولون]]+Table16[[#This Row],[الايصالات]]-Table16[[#This Row],[خصم أ ت ص]]+Table16[[#This Row],[قيمة مضافة]]</f>
        <v>0</v>
      </c>
      <c r="L8" s="72">
        <v>57738</v>
      </c>
      <c r="M8" s="72">
        <f>M7+Table16[[#This Row],[اجمالي الفاتوره]]-Table16[[#This Row],[الدفعات]]</f>
        <v>-9800.14</v>
      </c>
    </row>
    <row r="9" spans="1:14" ht="26.25" customHeight="1" x14ac:dyDescent="0.3">
      <c r="A9" s="20">
        <v>5</v>
      </c>
      <c r="B9" s="23">
        <v>46145</v>
      </c>
      <c r="C9" s="1" t="s">
        <v>513</v>
      </c>
      <c r="D9" s="1" t="s">
        <v>514</v>
      </c>
      <c r="E9" s="20">
        <v>1603</v>
      </c>
      <c r="F9" s="1" t="s">
        <v>92</v>
      </c>
      <c r="G9" s="20">
        <f>15000+17000</f>
        <v>32000</v>
      </c>
      <c r="H9" s="20"/>
      <c r="I9" s="20"/>
      <c r="J9" s="20">
        <f>410+50+50+1100+1135+398.82+415.78+2510+653+200+600+2000</f>
        <v>9522.6</v>
      </c>
      <c r="K9" s="20">
        <f>Table16[[#This Row],[النولون]]+Table16[[#This Row],[الايصالات]]-Table16[[#This Row],[خصم أ ت ص]]+Table16[[#This Row],[قيمة مضافة]]</f>
        <v>41522.6</v>
      </c>
      <c r="L9" s="20"/>
      <c r="M9" s="1">
        <f>M8+Table16[[#This Row],[اجمالي الفاتوره]]-Table16[[#This Row],[الدفعات]]</f>
        <v>31722.46</v>
      </c>
      <c r="N9" s="20"/>
    </row>
    <row r="10" spans="1:14" ht="26.25" customHeight="1" x14ac:dyDescent="0.3">
      <c r="A10" s="96"/>
      <c r="B10" s="98">
        <v>46175</v>
      </c>
      <c r="C10" s="96"/>
      <c r="D10" s="96"/>
      <c r="E10" s="96"/>
      <c r="F10" s="96"/>
      <c r="G10" s="96"/>
      <c r="H10" s="96"/>
      <c r="I10" s="96"/>
      <c r="J10" s="96"/>
      <c r="K10" s="96">
        <f>Table16[[#This Row],[النولون]]+Table16[[#This Row],[الايصالات]]-Table16[[#This Row],[خصم أ ت ص]]+Table16[[#This Row],[قيمة مضافة]]</f>
        <v>0</v>
      </c>
      <c r="L10" s="96">
        <v>31723</v>
      </c>
      <c r="M10" s="72">
        <f>M9+Table16[[#This Row],[اجمالي الفاتوره]]-Table16[[#This Row],[الدفعات]]</f>
        <v>-0.54000000000087311</v>
      </c>
      <c r="N10" s="95"/>
    </row>
    <row r="11" spans="1:14" ht="26.25" customHeight="1" x14ac:dyDescent="0.3">
      <c r="A11" s="20">
        <v>6</v>
      </c>
      <c r="B11" s="2">
        <v>46158</v>
      </c>
      <c r="C11" s="1" t="s">
        <v>164</v>
      </c>
      <c r="D11" s="1" t="s">
        <v>165</v>
      </c>
      <c r="E11" s="1" t="s">
        <v>547</v>
      </c>
      <c r="F11" s="1" t="s">
        <v>159</v>
      </c>
      <c r="G11" s="1">
        <v>14000</v>
      </c>
      <c r="J11" s="1">
        <f>810+550+248.84+200+280+1250+50+3000+3000+7000+3500</f>
        <v>19888.84</v>
      </c>
      <c r="K11" s="1">
        <f>Table16[[#This Row],[النولون]]+Table16[[#This Row],[الايصالات]]-Table16[[#This Row],[خصم أ ت ص]]+Table16[[#This Row],[قيمة مضافة]]</f>
        <v>33888.839999999997</v>
      </c>
      <c r="M11" s="1">
        <f>M10+Table16[[#This Row],[اجمالي الفاتوره]]-Table16[[#This Row],[الدفعات]]</f>
        <v>33888.299999999996</v>
      </c>
    </row>
    <row r="12" spans="1:14" ht="26.25" customHeight="1" x14ac:dyDescent="0.3">
      <c r="A12" s="96"/>
      <c r="B12" s="98">
        <v>46189</v>
      </c>
      <c r="C12" s="96"/>
      <c r="D12" s="96"/>
      <c r="E12" s="96"/>
      <c r="F12" s="96"/>
      <c r="G12" s="96"/>
      <c r="H12" s="96"/>
      <c r="I12" s="96"/>
      <c r="J12" s="96"/>
      <c r="K12" s="96">
        <f>Table16[[#This Row],[النولون]]+Table16[[#This Row],[الايصالات]]-Table16[[#This Row],[خصم أ ت ص]]+Table16[[#This Row],[قيمة مضافة]]</f>
        <v>0</v>
      </c>
      <c r="L12" s="96">
        <v>33890</v>
      </c>
      <c r="M12" s="72">
        <f>M11+Table16[[#This Row],[اجمالي الفاتوره]]-Table16[[#This Row],[الدفعات]]</f>
        <v>-1.7000000000043656</v>
      </c>
      <c r="N12" s="95"/>
    </row>
    <row r="13" spans="1:14" ht="26.25" customHeight="1" x14ac:dyDescent="0.3">
      <c r="A13" s="1">
        <v>7</v>
      </c>
      <c r="B13" s="2">
        <v>46172</v>
      </c>
      <c r="C13" s="1" t="s">
        <v>580</v>
      </c>
      <c r="D13" s="1" t="s">
        <v>581</v>
      </c>
      <c r="E13" s="1">
        <v>41461</v>
      </c>
      <c r="F13" s="1" t="s">
        <v>121</v>
      </c>
      <c r="G13" s="1">
        <v>17000</v>
      </c>
      <c r="J13" s="1">
        <f>5000+350+1100+105.79+410.12+75+100+200+1212.28+250</f>
        <v>8803.19</v>
      </c>
      <c r="K13" s="1">
        <f>Table16[[#This Row],[النولون]]+Table16[[#This Row],[الايصالات]]-Table16[[#This Row],[خصم أ ت ص]]+Table16[[#This Row],[قيمة مضافة]]</f>
        <v>25803.190000000002</v>
      </c>
      <c r="M13" s="1">
        <f>M12+Table16[[#This Row],[اجمالي الفاتوره]]-Table16[[#This Row],[الدفعات]]</f>
        <v>25801.489999999998</v>
      </c>
    </row>
    <row r="14" spans="1:14" ht="26.25" customHeight="1" x14ac:dyDescent="0.3">
      <c r="A14" s="72"/>
      <c r="B14" s="73">
        <v>46209</v>
      </c>
      <c r="C14" s="72"/>
      <c r="D14" s="72"/>
      <c r="E14" s="72"/>
      <c r="F14" s="72"/>
      <c r="G14" s="72"/>
      <c r="H14" s="72"/>
      <c r="I14" s="72"/>
      <c r="J14" s="72"/>
      <c r="K14" s="72">
        <f>Table16[[#This Row],[النولون]]+Table16[[#This Row],[الايصالات]]-Table16[[#This Row],[خصم أ ت ص]]+Table16[[#This Row],[قيمة مضافة]]</f>
        <v>0</v>
      </c>
      <c r="L14" s="72">
        <v>25800</v>
      </c>
      <c r="M14" s="72">
        <f>M13+Table16[[#This Row],[اجمالي الفاتوره]]-Table16[[#This Row],[الدفعات]]</f>
        <v>1.4899999999979627</v>
      </c>
    </row>
    <row r="15" spans="1:14" ht="26.25" customHeight="1" x14ac:dyDescent="0.3">
      <c r="A15" s="9"/>
      <c r="B15" s="51"/>
      <c r="C15" s="9"/>
      <c r="D15" s="9"/>
      <c r="E15" s="9"/>
      <c r="F15" s="9"/>
      <c r="G15" s="9"/>
      <c r="J15" s="9"/>
      <c r="K15" s="9">
        <f>Table16[[#This Row],[النولون]]+Table16[[#This Row],[الايصالات]]-Table16[[#This Row],[خصم أ ت ص]]+Table16[[#This Row],[قيمة مضافة]]</f>
        <v>0</v>
      </c>
      <c r="L15" s="9"/>
      <c r="M15" s="1">
        <f>M14+Table16[[#This Row],[اجمالي الفاتوره]]-Table16[[#This Row],[الدفعات]]</f>
        <v>1.4899999999979627</v>
      </c>
      <c r="N15" s="9"/>
    </row>
    <row r="16" spans="1:14" ht="26.25" customHeight="1" x14ac:dyDescent="0.3">
      <c r="B16" s="2"/>
      <c r="K16" s="1">
        <f>Table16[[#This Row],[النولون]]+Table16[[#This Row],[الايصالات]]-Table16[[#This Row],[خصم أ ت ص]]+Table16[[#This Row],[قيمة مضافة]]</f>
        <v>0</v>
      </c>
      <c r="M16" s="1">
        <f>M15+Table16[[#This Row],[اجمالي الفاتوره]]-Table16[[#This Row],[الدفعات]]</f>
        <v>1.4899999999979627</v>
      </c>
    </row>
    <row r="17" spans="1:14" ht="26.25" customHeight="1" x14ac:dyDescent="0.3">
      <c r="B17" s="2"/>
      <c r="K17" s="1">
        <f>Table16[[#This Row],[النولون]]+Table16[[#This Row],[الايصالات]]-Table16[[#This Row],[خصم أ ت ص]]+Table16[[#This Row],[قيمة مضافة]]</f>
        <v>0</v>
      </c>
      <c r="M17" s="1">
        <f>M16+Table16[[#This Row],[اجمالي الفاتوره]]-Table16[[#This Row],[الدفعات]]</f>
        <v>1.4899999999979627</v>
      </c>
      <c r="N17" s="1">
        <f>SUM(K:K)-SUM(L:L)+M2</f>
        <v>1.4900000000197906</v>
      </c>
    </row>
    <row r="18" spans="1:14" ht="26.25" customHeight="1" x14ac:dyDescent="0.3">
      <c r="A18" s="20"/>
      <c r="B18" s="23"/>
      <c r="C18" s="20"/>
      <c r="D18" s="20"/>
      <c r="E18" s="20"/>
      <c r="F18" s="20"/>
      <c r="G18" s="20"/>
      <c r="H18" s="20"/>
      <c r="I18" s="20"/>
      <c r="J18" s="20"/>
      <c r="K18" s="20">
        <f>Table16[[#This Row],[النولون]]+Table16[[#This Row],[الايصالات]]-Table16[[#This Row],[خصم أ ت ص]]+Table16[[#This Row],[قيمة مضافة]]</f>
        <v>0</v>
      </c>
      <c r="L18" s="20"/>
      <c r="M18" s="1">
        <f>M17+Table16[[#This Row],[اجمالي الفاتوره]]-Table16[[#This Row],[الدفعات]]</f>
        <v>1.4899999999979627</v>
      </c>
      <c r="N18" s="20"/>
    </row>
    <row r="19" spans="1:14" ht="26.25" customHeight="1" x14ac:dyDescent="0.3">
      <c r="B19" s="2"/>
      <c r="K19" s="1">
        <f>Table16[[#This Row],[النولون]]+Table16[[#This Row],[الايصالات]]-Table16[[#This Row],[خصم أ ت ص]]+Table16[[#This Row],[قيمة مضافة]]</f>
        <v>0</v>
      </c>
      <c r="M19" s="1">
        <f>M18+Table16[[#This Row],[اجمالي الفاتوره]]-Table16[[#This Row],[الدفعات]]</f>
        <v>1.4899999999979627</v>
      </c>
    </row>
    <row r="20" spans="1:14" ht="26.25" customHeight="1" x14ac:dyDescent="0.3">
      <c r="B20" s="2"/>
      <c r="K20" s="1">
        <f>Table16[[#This Row],[النولون]]+Table16[[#This Row],[الايصالات]]-Table16[[#This Row],[خصم أ ت ص]]+Table16[[#This Row],[قيمة مضافة]]</f>
        <v>0</v>
      </c>
      <c r="M20" s="1">
        <f>M19+Table16[[#This Row],[اجمالي الفاتوره]]-Table16[[#This Row],[الدفعات]]</f>
        <v>1.4899999999979627</v>
      </c>
    </row>
    <row r="21" spans="1:14" ht="26.25" customHeight="1" x14ac:dyDescent="0.3">
      <c r="A21" s="9"/>
      <c r="B21" s="51"/>
      <c r="C21" s="9"/>
      <c r="D21" s="9"/>
      <c r="E21" s="9"/>
      <c r="F21" s="9"/>
      <c r="G21" s="9"/>
      <c r="H21" s="9"/>
      <c r="I21" s="9"/>
      <c r="J21" s="9"/>
      <c r="K21" s="9">
        <f>Table16[[#This Row],[النولون]]+Table16[[#This Row],[الايصالات]]-Table16[[#This Row],[خصم أ ت ص]]+Table16[[#This Row],[قيمة مضافة]]</f>
        <v>0</v>
      </c>
      <c r="L21" s="9"/>
      <c r="M21" s="1">
        <f>M20+Table16[[#This Row],[اجمالي الفاتوره]]-Table16[[#This Row],[الدفعات]]</f>
        <v>1.4899999999979627</v>
      </c>
      <c r="N21" s="9"/>
    </row>
    <row r="22" spans="1:14" ht="26.25" customHeight="1" x14ac:dyDescent="0.3">
      <c r="B22" s="2"/>
      <c r="K22" s="1">
        <f>Table16[[#This Row],[النولون]]+Table16[[#This Row],[الايصالات]]-Table16[[#This Row],[خصم أ ت ص]]+Table16[[#This Row],[قيمة مضافة]]</f>
        <v>0</v>
      </c>
      <c r="M22" s="1">
        <f>M21+Table16[[#This Row],[اجمالي الفاتوره]]-Table16[[#This Row],[الدفعات]]</f>
        <v>1.4899999999979627</v>
      </c>
    </row>
    <row r="23" spans="1:14" ht="26.25" customHeight="1" x14ac:dyDescent="0.3">
      <c r="A23" s="41"/>
      <c r="B23" s="45"/>
      <c r="C23" s="41"/>
      <c r="D23" s="41"/>
      <c r="E23" s="41"/>
      <c r="F23" s="41"/>
      <c r="G23" s="41"/>
      <c r="H23" s="41"/>
      <c r="I23" s="41"/>
      <c r="J23" s="41"/>
      <c r="K23" s="41">
        <f>Table16[[#This Row],[النولون]]+Table16[[#This Row],[الايصالات]]-Table16[[#This Row],[خصم أ ت ص]]+Table16[[#This Row],[قيمة مضافة]]</f>
        <v>0</v>
      </c>
      <c r="L23" s="41"/>
      <c r="M23" s="1">
        <f>M22+Table16[[#This Row],[اجمالي الفاتوره]]-Table16[[#This Row],[الدفعات]]</f>
        <v>1.4899999999979627</v>
      </c>
      <c r="N23" s="41"/>
    </row>
    <row r="24" spans="1:14" ht="26.25" customHeight="1" x14ac:dyDescent="0.3">
      <c r="B24" s="2"/>
      <c r="K24" s="1">
        <f>Table16[[#This Row],[النولون]]+Table16[[#This Row],[الايصالات]]-Table16[[#This Row],[خصم أ ت ص]]+Table16[[#This Row],[قيمة مضافة]]</f>
        <v>0</v>
      </c>
      <c r="M24" s="1">
        <f>M23+Table16[[#This Row],[اجمالي الفاتوره]]-Table16[[#This Row],[الدفعات]]</f>
        <v>1.4899999999979627</v>
      </c>
    </row>
    <row r="25" spans="1:14" ht="26.25" customHeight="1" x14ac:dyDescent="0.3">
      <c r="B25" s="2"/>
      <c r="K25" s="1">
        <f>Table16[[#This Row],[النولون]]+Table16[[#This Row],[الايصالات]]-Table16[[#This Row],[خصم أ ت ص]]+Table16[[#This Row],[قيمة مضافة]]</f>
        <v>0</v>
      </c>
      <c r="M25" s="1">
        <f>M24+Table16[[#This Row],[اجمالي الفاتوره]]-Table16[[#This Row],[الدفعات]]</f>
        <v>1.4899999999979627</v>
      </c>
    </row>
    <row r="26" spans="1:14" ht="26.25" customHeight="1" x14ac:dyDescent="0.3">
      <c r="A26" s="11"/>
      <c r="B26" s="29"/>
      <c r="E26" s="11"/>
      <c r="G26" s="11"/>
      <c r="H26" s="11"/>
      <c r="I26" s="11"/>
      <c r="J26" s="11"/>
      <c r="K26" s="11">
        <f>Table16[[#This Row],[النولون]]+Table16[[#This Row],[الايصالات]]-Table16[[#This Row],[خصم أ ت ص]]+Table16[[#This Row],[قيمة مضافة]]</f>
        <v>0</v>
      </c>
      <c r="L26" s="11"/>
      <c r="M26" s="1">
        <f>M25+Table16[[#This Row],[اجمالي الفاتوره]]-Table16[[#This Row],[الدفعات]]</f>
        <v>1.4899999999979627</v>
      </c>
      <c r="N26" s="11"/>
    </row>
    <row r="27" spans="1:14" ht="26.25" customHeight="1" x14ac:dyDescent="0.3">
      <c r="B27" s="2"/>
      <c r="K27" s="1">
        <f>Table16[[#This Row],[النولون]]+Table16[[#This Row],[الايصالات]]-Table16[[#This Row],[خصم أ ت ص]]+Table16[[#This Row],[قيمة مضافة]]</f>
        <v>0</v>
      </c>
      <c r="M27" s="1">
        <f>M26+Table16[[#This Row],[اجمالي الفاتوره]]-Table16[[#This Row],[الدفعات]]</f>
        <v>1.4899999999979627</v>
      </c>
    </row>
    <row r="28" spans="1:14" ht="26.25" customHeight="1" x14ac:dyDescent="0.3">
      <c r="A28" s="41"/>
      <c r="B28" s="45"/>
      <c r="C28" s="41"/>
      <c r="D28" s="41"/>
      <c r="E28" s="41"/>
      <c r="F28" s="41"/>
      <c r="G28" s="41"/>
      <c r="H28" s="41"/>
      <c r="I28" s="41"/>
      <c r="J28" s="41"/>
      <c r="K28" s="41">
        <f>Table16[[#This Row],[النولون]]+Table16[[#This Row],[الايصالات]]-Table16[[#This Row],[خصم أ ت ص]]+Table16[[#This Row],[قيمة مضافة]]</f>
        <v>0</v>
      </c>
      <c r="L28" s="41"/>
      <c r="M28" s="1">
        <f>M27+Table16[[#This Row],[اجمالي الفاتوره]]-Table16[[#This Row],[الدفعات]]</f>
        <v>1.4899999999979627</v>
      </c>
      <c r="N28" s="41"/>
    </row>
    <row r="29" spans="1:14" ht="26.25" customHeight="1" x14ac:dyDescent="0.3">
      <c r="B29" s="2"/>
      <c r="K29" s="1">
        <f>Table16[[#This Row],[النولون]]+Table16[[#This Row],[الايصالات]]-Table16[[#This Row],[خصم أ ت ص]]+Table16[[#This Row],[قيمة مضافة]]</f>
        <v>0</v>
      </c>
      <c r="M29" s="1">
        <f>M28+Table16[[#This Row],[اجمالي الفاتوره]]-Table16[[#This Row],[الدفعات]]</f>
        <v>1.4899999999979627</v>
      </c>
    </row>
    <row r="30" spans="1:14" ht="26.25" customHeight="1" x14ac:dyDescent="0.3">
      <c r="A30" s="41"/>
      <c r="B30" s="45"/>
      <c r="C30" s="41"/>
      <c r="D30" s="41"/>
      <c r="E30" s="41"/>
      <c r="F30" s="41"/>
      <c r="G30" s="41"/>
      <c r="H30" s="41"/>
      <c r="I30" s="41"/>
      <c r="J30" s="41"/>
      <c r="K30" s="41">
        <f>Table16[[#This Row],[النولون]]+Table16[[#This Row],[الايصالات]]-Table16[[#This Row],[خصم أ ت ص]]+Table16[[#This Row],[قيمة مضافة]]</f>
        <v>0</v>
      </c>
      <c r="L30" s="41"/>
      <c r="M30" s="1">
        <f>M29+Table16[[#This Row],[اجمالي الفاتوره]]-Table16[[#This Row],[الدفعات]]</f>
        <v>1.4899999999979627</v>
      </c>
      <c r="N30" s="41"/>
    </row>
    <row r="31" spans="1:14" ht="26.25" customHeight="1" x14ac:dyDescent="0.3">
      <c r="A31" s="41"/>
      <c r="B31" s="45"/>
      <c r="C31" s="41"/>
      <c r="D31" s="41"/>
      <c r="E31" s="41"/>
      <c r="F31" s="41"/>
      <c r="G31" s="41"/>
      <c r="H31" s="41"/>
      <c r="I31" s="41"/>
      <c r="J31" s="41"/>
      <c r="K31" s="41">
        <f>Table16[[#This Row],[النولون]]+Table16[[#This Row],[الايصالات]]-Table16[[#This Row],[خصم أ ت ص]]+Table16[[#This Row],[قيمة مضافة]]</f>
        <v>0</v>
      </c>
      <c r="L31" s="41"/>
      <c r="M31" s="1">
        <f>M30+Table16[[#This Row],[اجمالي الفاتوره]]-Table16[[#This Row],[الدفعات]]</f>
        <v>1.4899999999979627</v>
      </c>
      <c r="N31" s="41"/>
    </row>
    <row r="32" spans="1:14" ht="26.25" customHeight="1" x14ac:dyDescent="0.3">
      <c r="B32" s="2"/>
      <c r="K32" s="1">
        <f>Table16[[#This Row],[النولون]]+Table16[[#This Row],[الايصالات]]-Table16[[#This Row],[خصم أ ت ص]]+Table16[[#This Row],[قيمة مضافة]]</f>
        <v>0</v>
      </c>
      <c r="M32" s="1">
        <f>M31+Table16[[#This Row],[اجمالي الفاتوره]]-Table16[[#This Row],[الدفعات]]</f>
        <v>1.4899999999979627</v>
      </c>
    </row>
    <row r="33" spans="1:14" ht="26.25" customHeight="1" x14ac:dyDescent="0.3">
      <c r="A33" s="41"/>
      <c r="B33" s="45"/>
      <c r="C33" s="41"/>
      <c r="D33" s="41"/>
      <c r="E33" s="41"/>
      <c r="F33" s="41"/>
      <c r="G33" s="41"/>
      <c r="H33" s="41"/>
      <c r="I33" s="41"/>
      <c r="J33" s="41"/>
      <c r="K33" s="41">
        <f>Table16[[#This Row],[النولون]]+Table16[[#This Row],[الايصالات]]-Table16[[#This Row],[خصم أ ت ص]]+Table16[[#This Row],[قيمة مضافة]]</f>
        <v>0</v>
      </c>
      <c r="L33" s="41"/>
      <c r="M33" s="1">
        <f>M32+Table16[[#This Row],[اجمالي الفاتوره]]-Table16[[#This Row],[الدفعات]]</f>
        <v>1.4899999999979627</v>
      </c>
      <c r="N33" s="41"/>
    </row>
    <row r="34" spans="1:14" ht="26.25" customHeight="1" x14ac:dyDescent="0.3">
      <c r="B34" s="2"/>
      <c r="K34" s="1">
        <f>Table16[[#This Row],[النولون]]+Table16[[#This Row],[الايصالات]]-Table16[[#This Row],[خصم أ ت ص]]+Table16[[#This Row],[قيمة مضافة]]</f>
        <v>0</v>
      </c>
      <c r="M34" s="1">
        <f>M33+Table16[[#This Row],[اجمالي الفاتوره]]-Table16[[#This Row],[الدفعات]]</f>
        <v>1.4899999999979627</v>
      </c>
    </row>
    <row r="35" spans="1:14" ht="26.25" customHeight="1" x14ac:dyDescent="0.3">
      <c r="A35" s="41"/>
      <c r="B35" s="45"/>
      <c r="C35" s="41"/>
      <c r="D35" s="41"/>
      <c r="E35" s="41"/>
      <c r="F35" s="41"/>
      <c r="G35" s="41"/>
      <c r="H35" s="41"/>
      <c r="I35" s="41"/>
      <c r="J35" s="41"/>
      <c r="K35" s="41">
        <f>Table16[[#This Row],[النولون]]+Table16[[#This Row],[الايصالات]]-Table16[[#This Row],[خصم أ ت ص]]+Table16[[#This Row],[قيمة مضافة]]</f>
        <v>0</v>
      </c>
      <c r="L35" s="41"/>
      <c r="M35" s="1">
        <f>M34+Table16[[#This Row],[اجمالي الفاتوره]]-Table16[[#This Row],[الدفعات]]</f>
        <v>1.4899999999979627</v>
      </c>
      <c r="N35" s="41"/>
    </row>
    <row r="36" spans="1:14" ht="26.25" customHeight="1" x14ac:dyDescent="0.3">
      <c r="B36" s="2"/>
      <c r="K36" s="1">
        <f>Table16[[#This Row],[النولون]]+Table16[[#This Row],[الايصالات]]-Table16[[#This Row],[خصم أ ت ص]]+Table16[[#This Row],[قيمة مضافة]]</f>
        <v>0</v>
      </c>
      <c r="M36" s="1">
        <f>M35+Table16[[#This Row],[اجمالي الفاتوره]]-Table16[[#This Row],[الدفعات]]</f>
        <v>1.4899999999979627</v>
      </c>
    </row>
    <row r="37" spans="1:14" ht="26.25" customHeight="1" x14ac:dyDescent="0.3">
      <c r="B37" s="2"/>
      <c r="K37" s="1">
        <f>Table16[[#This Row],[النولون]]+Table16[[#This Row],[الايصالات]]-Table16[[#This Row],[خصم أ ت ص]]+Table16[[#This Row],[قيمة مضافة]]</f>
        <v>0</v>
      </c>
      <c r="M37" s="1">
        <f>M36+Table16[[#This Row],[اجمالي الفاتوره]]-Table16[[#This Row],[الدفعات]]</f>
        <v>1.4899999999979627</v>
      </c>
    </row>
    <row r="38" spans="1:14" ht="26.25" customHeight="1" x14ac:dyDescent="0.3">
      <c r="B38" s="2"/>
      <c r="K38" s="1">
        <f>Table16[[#This Row],[النولون]]+Table16[[#This Row],[الايصالات]]-Table16[[#This Row],[خصم أ ت ص]]+Table16[[#This Row],[قيمة مضافة]]</f>
        <v>0</v>
      </c>
      <c r="M38" s="1">
        <f>M37+Table16[[#This Row],[اجمالي الفاتوره]]-Table16[[#This Row],[الدفعات]]</f>
        <v>1.4899999999979627</v>
      </c>
    </row>
    <row r="39" spans="1:14" ht="26.25" customHeight="1" x14ac:dyDescent="0.3">
      <c r="B39" s="2"/>
      <c r="K39" s="1">
        <f>Table16[[#This Row],[النولون]]+Table16[[#This Row],[الايصالات]]-Table16[[#This Row],[خصم أ ت ص]]+Table16[[#This Row],[قيمة مضافة]]</f>
        <v>0</v>
      </c>
      <c r="M39" s="1">
        <f>M38+Table16[[#This Row],[اجمالي الفاتوره]]-Table16[[#This Row],[الدفعات]]</f>
        <v>1.4899999999979627</v>
      </c>
    </row>
    <row r="40" spans="1:14" ht="26.25" customHeight="1" x14ac:dyDescent="0.3">
      <c r="B40" s="2"/>
      <c r="K40" s="1">
        <f>Table16[[#This Row],[النولون]]+Table16[[#This Row],[الايصالات]]-Table16[[#This Row],[خصم أ ت ص]]+Table16[[#This Row],[قيمة مضافة]]</f>
        <v>0</v>
      </c>
      <c r="M40" s="1">
        <f>M39+Table16[[#This Row],[اجمالي الفاتوره]]-Table16[[#This Row],[الدفعات]]</f>
        <v>1.4899999999979627</v>
      </c>
    </row>
    <row r="41" spans="1:14" ht="26.25" customHeight="1" x14ac:dyDescent="0.3">
      <c r="B41" s="2"/>
      <c r="K41" s="1">
        <f>Table16[[#This Row],[النولون]]+Table16[[#This Row],[الايصالات]]-Table16[[#This Row],[خصم أ ت ص]]+Table16[[#This Row],[قيمة مضافة]]</f>
        <v>0</v>
      </c>
      <c r="M41" s="1">
        <f>M40+Table16[[#This Row],[اجمالي الفاتوره]]-Table16[[#This Row],[الدفعات]]</f>
        <v>1.4899999999979627</v>
      </c>
    </row>
    <row r="42" spans="1:14" ht="26.25" customHeight="1" x14ac:dyDescent="0.3">
      <c r="B42" s="2"/>
      <c r="K42" s="1">
        <f>Table16[[#This Row],[النولون]]+Table16[[#This Row],[الايصالات]]-Table16[[#This Row],[خصم أ ت ص]]+Table16[[#This Row],[قيمة مضافة]]</f>
        <v>0</v>
      </c>
      <c r="M42" s="1">
        <f>M41+Table16[[#This Row],[اجمالي الفاتوره]]-Table16[[#This Row],[الدفعات]]</f>
        <v>1.4899999999979627</v>
      </c>
    </row>
    <row r="43" spans="1:14" ht="26.25" customHeight="1" x14ac:dyDescent="0.3">
      <c r="B43" s="2"/>
      <c r="K43" s="1">
        <f>Table16[[#This Row],[النولون]]+Table16[[#This Row],[الايصالات]]-Table16[[#This Row],[خصم أ ت ص]]+Table16[[#This Row],[قيمة مضافة]]</f>
        <v>0</v>
      </c>
      <c r="M43" s="1">
        <f>M42+Table16[[#This Row],[اجمالي الفاتوره]]-Table16[[#This Row],[الدفعات]]</f>
        <v>1.4899999999979627</v>
      </c>
    </row>
    <row r="44" spans="1:14" ht="26.25" customHeight="1" x14ac:dyDescent="0.3">
      <c r="B44" s="2"/>
      <c r="K44" s="1">
        <f>Table16[[#This Row],[النولون]]+Table16[[#This Row],[الايصالات]]-Table16[[#This Row],[خصم أ ت ص]]+Table16[[#This Row],[قيمة مضافة]]</f>
        <v>0</v>
      </c>
      <c r="M44" s="1">
        <f>M43+Table16[[#This Row],[اجمالي الفاتوره]]-Table16[[#This Row],[الدفعات]]</f>
        <v>1.4899999999979627</v>
      </c>
    </row>
    <row r="45" spans="1:14" ht="26.25" customHeight="1" x14ac:dyDescent="0.3">
      <c r="A45" s="20"/>
      <c r="B45" s="23"/>
      <c r="C45" s="20"/>
      <c r="D45" s="20"/>
      <c r="E45" s="20"/>
      <c r="F45" s="20"/>
      <c r="G45" s="20"/>
      <c r="H45" s="20"/>
      <c r="I45" s="20"/>
      <c r="J45" s="20"/>
      <c r="K45" s="20">
        <f>Table16[[#This Row],[النولون]]+Table16[[#This Row],[الايصالات]]-Table16[[#This Row],[خصم أ ت ص]]+Table16[[#This Row],[قيمة مضافة]]</f>
        <v>0</v>
      </c>
      <c r="L45" s="20"/>
      <c r="M45" s="1">
        <f>M44+Table16[[#This Row],[اجمالي الفاتوره]]-Table16[[#This Row],[الدفعات]]</f>
        <v>1.4899999999979627</v>
      </c>
      <c r="N45" s="20"/>
    </row>
    <row r="46" spans="1:14" ht="26.25" customHeight="1" x14ac:dyDescent="0.3">
      <c r="B46" s="2"/>
      <c r="K46" s="1">
        <f>Table16[[#This Row],[النولون]]+Table16[[#This Row],[الايصالات]]-Table16[[#This Row],[خصم أ ت ص]]+Table16[[#This Row],[قيمة مضافة]]</f>
        <v>0</v>
      </c>
      <c r="M46" s="1">
        <f>M45+Table16[[#This Row],[اجمالي الفاتوره]]-Table16[[#This Row],[الدفعات]]</f>
        <v>1.4899999999979627</v>
      </c>
    </row>
    <row r="47" spans="1:14" ht="26.25" customHeight="1" x14ac:dyDescent="0.3">
      <c r="A47" s="20"/>
      <c r="B47" s="23"/>
      <c r="C47" s="20"/>
      <c r="D47" s="20"/>
      <c r="E47" s="20"/>
      <c r="F47" s="20"/>
      <c r="G47" s="20"/>
      <c r="H47" s="20"/>
      <c r="I47" s="20"/>
      <c r="J47" s="20"/>
      <c r="K47" s="20">
        <f>Table16[[#This Row],[النولون]]+Table16[[#This Row],[الايصالات]]-Table16[[#This Row],[خصم أ ت ص]]+Table16[[#This Row],[قيمة مضافة]]</f>
        <v>0</v>
      </c>
      <c r="L47" s="20"/>
      <c r="M47" s="1">
        <f>M46+Table16[[#This Row],[اجمالي الفاتوره]]-Table16[[#This Row],[الدفعات]]</f>
        <v>1.4899999999979627</v>
      </c>
      <c r="N47" s="20"/>
    </row>
    <row r="48" spans="1:14" ht="26.25" customHeight="1" x14ac:dyDescent="0.3">
      <c r="B48" s="2"/>
      <c r="K48" s="1">
        <f>Table16[[#This Row],[النولون]]+Table16[[#This Row],[الايصالات]]-Table16[[#This Row],[خصم أ ت ص]]+Table16[[#This Row],[قيمة مضافة]]</f>
        <v>0</v>
      </c>
      <c r="M48" s="1">
        <f>M47+Table16[[#This Row],[اجمالي الفاتوره]]-Table16[[#This Row],[الدفعات]]</f>
        <v>1.4899999999979627</v>
      </c>
    </row>
    <row r="49" spans="1:14" ht="26.25" customHeight="1" x14ac:dyDescent="0.3">
      <c r="A49" s="20"/>
      <c r="B49" s="23"/>
      <c r="C49" s="20"/>
      <c r="D49" s="20"/>
      <c r="E49" s="20"/>
      <c r="F49" s="20"/>
      <c r="G49" s="20"/>
      <c r="H49" s="20"/>
      <c r="I49" s="20"/>
      <c r="J49" s="20"/>
      <c r="K49" s="20">
        <f>Table16[[#This Row],[النولون]]+Table16[[#This Row],[الايصالات]]-Table16[[#This Row],[خصم أ ت ص]]+Table16[[#This Row],[قيمة مضافة]]</f>
        <v>0</v>
      </c>
      <c r="L49" s="20"/>
      <c r="M49" s="1">
        <f>M48+Table16[[#This Row],[اجمالي الفاتوره]]-Table16[[#This Row],[الدفعات]]</f>
        <v>1.4899999999979627</v>
      </c>
      <c r="N49" s="20"/>
    </row>
    <row r="50" spans="1:14" ht="26.25" customHeight="1" x14ac:dyDescent="0.3">
      <c r="B50" s="2"/>
      <c r="K50" s="1">
        <f>Table16[[#This Row],[النولون]]+Table16[[#This Row],[الايصالات]]-Table16[[#This Row],[خصم أ ت ص]]+Table16[[#This Row],[قيمة مضافة]]</f>
        <v>0</v>
      </c>
      <c r="M50" s="1">
        <f>M49+Table16[[#This Row],[اجمالي الفاتوره]]-Table16[[#This Row],[الدفعات]]</f>
        <v>1.4899999999979627</v>
      </c>
    </row>
    <row r="51" spans="1:14" ht="26.25" customHeight="1" x14ac:dyDescent="0.3">
      <c r="B51" s="2"/>
      <c r="K51" s="1">
        <f>Table16[[#This Row],[النولون]]+Table16[[#This Row],[الايصالات]]-Table16[[#This Row],[خصم أ ت ص]]+Table16[[#This Row],[قيمة مضافة]]</f>
        <v>0</v>
      </c>
      <c r="M51" s="1">
        <f>M50+Table16[[#This Row],[اجمالي الفاتوره]]-Table16[[#This Row],[الدفعات]]</f>
        <v>1.4899999999979627</v>
      </c>
    </row>
    <row r="52" spans="1:14" ht="26.25" customHeight="1" x14ac:dyDescent="0.3">
      <c r="B52" s="2"/>
      <c r="K52" s="1">
        <f>Table16[[#This Row],[النولون]]+Table16[[#This Row],[الايصالات]]-Table16[[#This Row],[خصم أ ت ص]]+Table16[[#This Row],[قيمة مضافة]]</f>
        <v>0</v>
      </c>
      <c r="M52" s="1">
        <f>M51+Table16[[#This Row],[اجمالي الفاتوره]]-Table16[[#This Row],[الدفعات]]</f>
        <v>1.4899999999979627</v>
      </c>
    </row>
    <row r="53" spans="1:14" ht="26.25" customHeight="1" x14ac:dyDescent="0.3">
      <c r="B53" s="2"/>
      <c r="K53" s="1">
        <f>Table16[[#This Row],[النولون]]+Table16[[#This Row],[الايصالات]]-Table16[[#This Row],[خصم أ ت ص]]+Table16[[#This Row],[قيمة مضافة]]</f>
        <v>0</v>
      </c>
      <c r="M53" s="1">
        <f>M52+Table16[[#This Row],[اجمالي الفاتوره]]-Table16[[#This Row],[الدفعات]]</f>
        <v>1.4899999999979627</v>
      </c>
    </row>
    <row r="54" spans="1:14" ht="26.25" customHeight="1" x14ac:dyDescent="0.3">
      <c r="B54" s="2"/>
      <c r="K54" s="1">
        <f>Table16[[#This Row],[النولون]]+Table16[[#This Row],[الايصالات]]-Table16[[#This Row],[خصم أ ت ص]]+Table16[[#This Row],[قيمة مضافة]]</f>
        <v>0</v>
      </c>
      <c r="M54" s="1">
        <f>M53+Table16[[#This Row],[اجمالي الفاتوره]]-Table16[[#This Row],[الدفعات]]</f>
        <v>1.4899999999979627</v>
      </c>
    </row>
    <row r="55" spans="1:14" ht="26.25" customHeight="1" x14ac:dyDescent="0.3">
      <c r="B55" s="2"/>
      <c r="K55" s="1">
        <f>Table16[[#This Row],[النولون]]+Table16[[#This Row],[الايصالات]]-Table16[[#This Row],[خصم أ ت ص]]+Table16[[#This Row],[قيمة مضافة]]</f>
        <v>0</v>
      </c>
      <c r="M55" s="1">
        <f>M54+Table16[[#This Row],[اجمالي الفاتوره]]-Table16[[#This Row],[الدفعات]]</f>
        <v>1.4899999999979627</v>
      </c>
    </row>
    <row r="56" spans="1:14" ht="26.25" customHeight="1" x14ac:dyDescent="0.3">
      <c r="A56" s="20"/>
      <c r="B56" s="23"/>
      <c r="C56" s="20"/>
      <c r="D56" s="20"/>
      <c r="E56" s="20"/>
      <c r="F56" s="20"/>
      <c r="G56" s="20"/>
      <c r="H56" s="20"/>
      <c r="I56" s="20"/>
      <c r="J56" s="20"/>
      <c r="K56" s="20">
        <f>Table16[[#This Row],[النولون]]+Table16[[#This Row],[الايصالات]]-Table16[[#This Row],[خصم أ ت ص]]+Table16[[#This Row],[قيمة مضافة]]</f>
        <v>0</v>
      </c>
      <c r="L56" s="20"/>
      <c r="M56" s="1">
        <f>M55+Table16[[#This Row],[اجمالي الفاتوره]]-Table16[[#This Row],[الدفعات]]</f>
        <v>1.4899999999979627</v>
      </c>
      <c r="N56" s="20"/>
    </row>
    <row r="57" spans="1:14" ht="26.25" customHeight="1" x14ac:dyDescent="0.3">
      <c r="B57" s="2"/>
      <c r="K57" s="1">
        <f>Table16[[#This Row],[النولون]]+Table16[[#This Row],[الايصالات]]-Table16[[#This Row],[خصم أ ت ص]]+Table16[[#This Row],[قيمة مضافة]]</f>
        <v>0</v>
      </c>
      <c r="M57" s="1">
        <f>M56+Table16[[#This Row],[اجمالي الفاتوره]]-Table16[[#This Row],[الدفعات]]</f>
        <v>1.4899999999979627</v>
      </c>
    </row>
    <row r="58" spans="1:14" ht="26.25" customHeight="1" x14ac:dyDescent="0.3">
      <c r="A58" s="20"/>
      <c r="B58" s="23"/>
      <c r="C58" s="20"/>
      <c r="D58" s="20"/>
      <c r="E58" s="20"/>
      <c r="F58" s="20"/>
      <c r="G58" s="20"/>
      <c r="H58" s="20"/>
      <c r="I58" s="20"/>
      <c r="J58" s="20"/>
      <c r="K58" s="20">
        <f>Table16[[#This Row],[النولون]]+Table16[[#This Row],[الايصالات]]-Table16[[#This Row],[خصم أ ت ص]]+Table16[[#This Row],[قيمة مضافة]]</f>
        <v>0</v>
      </c>
      <c r="L58" s="20"/>
      <c r="M58" s="1">
        <f>M57+Table16[[#This Row],[اجمالي الفاتوره]]-Table16[[#This Row],[الدفعات]]</f>
        <v>1.4899999999979627</v>
      </c>
      <c r="N58" s="20"/>
    </row>
    <row r="59" spans="1:14" ht="26.25" customHeight="1" x14ac:dyDescent="0.3">
      <c r="B59" s="2"/>
      <c r="K59" s="1">
        <f>Table16[[#This Row],[النولون]]+Table16[[#This Row],[الايصالات]]-Table16[[#This Row],[خصم أ ت ص]]+Table16[[#This Row],[قيمة مضافة]]</f>
        <v>0</v>
      </c>
      <c r="M59" s="1">
        <f>M58+Table16[[#This Row],[اجمالي الفاتوره]]-Table16[[#This Row],[الدفعات]]</f>
        <v>1.4899999999979627</v>
      </c>
    </row>
    <row r="60" spans="1:14" ht="26.25" customHeight="1" x14ac:dyDescent="0.3">
      <c r="B60" s="2"/>
      <c r="K60" s="1">
        <f>Table16[[#This Row],[النولون]]+Table16[[#This Row],[الايصالات]]-Table16[[#This Row],[خصم أ ت ص]]+Table16[[#This Row],[قيمة مضافة]]</f>
        <v>0</v>
      </c>
      <c r="M60" s="1">
        <f>M59+Table16[[#This Row],[اجمالي الفاتوره]]-Table16[[#This Row],[الدفعات]]</f>
        <v>1.4899999999979627</v>
      </c>
    </row>
    <row r="61" spans="1:14" ht="26.25" customHeight="1" x14ac:dyDescent="0.3">
      <c r="B61" s="2"/>
      <c r="K61" s="1">
        <f>Table16[[#This Row],[النولون]]+Table16[[#This Row],[الايصالات]]-Table16[[#This Row],[خصم أ ت ص]]+Table16[[#This Row],[قيمة مضافة]]</f>
        <v>0</v>
      </c>
      <c r="M61" s="1">
        <f>M60+Table16[[#This Row],[اجمالي الفاتوره]]-Table16[[#This Row],[الدفعات]]</f>
        <v>1.4899999999979627</v>
      </c>
    </row>
    <row r="62" spans="1:14" ht="26.25" customHeight="1" x14ac:dyDescent="0.3">
      <c r="K62" s="1">
        <f>Table16[[#This Row],[النولون]]+Table16[[#This Row],[الايصالات]]-Table16[[#This Row],[خصم أ ت ص]]+Table16[[#This Row],[قيمة مضافة]]</f>
        <v>0</v>
      </c>
      <c r="M62" s="1">
        <f>M61+Table16[[#This Row],[اجمالي الفاتوره]]-Table16[[#This Row],[الدفعات]]</f>
        <v>1.4899999999979627</v>
      </c>
    </row>
    <row r="63" spans="1:14" ht="26.25" customHeight="1" x14ac:dyDescent="0.3">
      <c r="K63" s="1">
        <f>Table16[[#This Row],[النولون]]+Table16[[#This Row],[الايصالات]]-Table16[[#This Row],[خصم أ ت ص]]+Table16[[#This Row],[قيمة مضافة]]</f>
        <v>0</v>
      </c>
      <c r="M63" s="1">
        <f>M62+Table16[[#This Row],[اجمالي الفاتوره]]-Table16[[#This Row],[الدفعات]]</f>
        <v>1.4899999999979627</v>
      </c>
    </row>
    <row r="64" spans="1:14" ht="26.25" customHeight="1" x14ac:dyDescent="0.3">
      <c r="K64" s="1">
        <f>Table16[[#This Row],[النولون]]+Table16[[#This Row],[الايصالات]]-Table16[[#This Row],[خصم أ ت ص]]+Table16[[#This Row],[قيمة مضافة]]</f>
        <v>0</v>
      </c>
      <c r="M64" s="1">
        <f>M63+Table16[[#This Row],[اجمالي الفاتوره]]-Table16[[#This Row],[الدفعات]]</f>
        <v>1.4899999999979627</v>
      </c>
    </row>
    <row r="65" spans="11:13" ht="26.25" customHeight="1" x14ac:dyDescent="0.3">
      <c r="K65" s="1">
        <f>Table16[[#This Row],[النولون]]+Table16[[#This Row],[الايصالات]]-Table16[[#This Row],[خصم أ ت ص]]+Table16[[#This Row],[قيمة مضافة]]</f>
        <v>0</v>
      </c>
      <c r="M65" s="1">
        <f>M64+Table16[[#This Row],[اجمالي الفاتوره]]-Table16[[#This Row],[الدفعات]]</f>
        <v>1.4899999999979627</v>
      </c>
    </row>
    <row r="66" spans="11:13" ht="26.25" customHeight="1" x14ac:dyDescent="0.3">
      <c r="K66" s="1">
        <f>Table16[[#This Row],[النولون]]+Table16[[#This Row],[الايصالات]]-Table16[[#This Row],[خصم أ ت ص]]+Table16[[#This Row],[قيمة مضافة]]</f>
        <v>0</v>
      </c>
      <c r="M66" s="1">
        <f>M65+Table16[[#This Row],[اجمالي الفاتوره]]-Table16[[#This Row],[الدفعات]]</f>
        <v>1.4899999999979627</v>
      </c>
    </row>
    <row r="67" spans="11:13" ht="26.25" customHeight="1" x14ac:dyDescent="0.3">
      <c r="K67" s="1">
        <f>Table16[[#This Row],[النولون]]+Table16[[#This Row],[الايصالات]]-Table16[[#This Row],[خصم أ ت ص]]+Table16[[#This Row],[قيمة مضافة]]</f>
        <v>0</v>
      </c>
      <c r="M67" s="1">
        <f>M66+Table16[[#This Row],[اجمالي الفاتوره]]-Table16[[#This Row],[الدفعات]]</f>
        <v>1.4899999999979627</v>
      </c>
    </row>
    <row r="68" spans="11:13" ht="26.25" customHeight="1" x14ac:dyDescent="0.3">
      <c r="K68" s="1">
        <f>Table16[[#This Row],[النولون]]+Table16[[#This Row],[الايصالات]]-Table16[[#This Row],[خصم أ ت ص]]+Table16[[#This Row],[قيمة مضافة]]</f>
        <v>0</v>
      </c>
      <c r="M68" s="1">
        <f>M67+Table16[[#This Row],[اجمالي الفاتوره]]-Table16[[#This Row],[الدفعات]]</f>
        <v>1.4899999999979627</v>
      </c>
    </row>
    <row r="69" spans="11:13" ht="26.25" customHeight="1" x14ac:dyDescent="0.3">
      <c r="K69" s="1">
        <f>Table16[[#This Row],[النولون]]+Table16[[#This Row],[الايصالات]]-Table16[[#This Row],[خصم أ ت ص]]+Table16[[#This Row],[قيمة مضافة]]</f>
        <v>0</v>
      </c>
      <c r="M69" s="1">
        <f>M68+Table16[[#This Row],[اجمالي الفاتوره]]-Table16[[#This Row],[الدفعات]]</f>
        <v>1.4899999999979627</v>
      </c>
    </row>
    <row r="70" spans="11:13" ht="26.25" customHeight="1" x14ac:dyDescent="0.3">
      <c r="K70" s="1">
        <f>Table16[[#This Row],[النولون]]+Table16[[#This Row],[الايصالات]]-Table16[[#This Row],[خصم أ ت ص]]+Table16[[#This Row],[قيمة مضافة]]</f>
        <v>0</v>
      </c>
      <c r="M70" s="1">
        <f>M69+Table16[[#This Row],[اجمالي الفاتوره]]-Table16[[#This Row],[الدفعات]]</f>
        <v>1.4899999999979627</v>
      </c>
    </row>
    <row r="71" spans="11:13" ht="26.25" customHeight="1" x14ac:dyDescent="0.3">
      <c r="K71" s="1">
        <f>Table16[[#This Row],[النولون]]+Table16[[#This Row],[الايصالات]]-Table16[[#This Row],[خصم أ ت ص]]+Table16[[#This Row],[قيمة مضافة]]</f>
        <v>0</v>
      </c>
      <c r="M71" s="1">
        <f>M70+Table16[[#This Row],[اجمالي الفاتوره]]-Table16[[#This Row],[الدفعات]]</f>
        <v>1.4899999999979627</v>
      </c>
    </row>
    <row r="72" spans="11:13" ht="26.25" customHeight="1" x14ac:dyDescent="0.3">
      <c r="K72" s="1">
        <f>Table16[[#This Row],[النولون]]+Table16[[#This Row],[الايصالات]]-Table16[[#This Row],[خصم أ ت ص]]+Table16[[#This Row],[قيمة مضافة]]</f>
        <v>0</v>
      </c>
      <c r="M72" s="1">
        <f>M71+Table16[[#This Row],[اجمالي الفاتوره]]-Table16[[#This Row],[الدفعات]]</f>
        <v>1.4899999999979627</v>
      </c>
    </row>
    <row r="73" spans="11:13" ht="26.25" customHeight="1" x14ac:dyDescent="0.3">
      <c r="K73" s="1">
        <f>Table16[[#This Row],[النولون]]+Table16[[#This Row],[الايصالات]]-Table16[[#This Row],[خصم أ ت ص]]+Table16[[#This Row],[قيمة مضافة]]</f>
        <v>0</v>
      </c>
      <c r="M73" s="1">
        <f>M72+Table16[[#This Row],[اجمالي الفاتوره]]-Table16[[#This Row],[الدفعات]]</f>
        <v>1.4899999999979627</v>
      </c>
    </row>
    <row r="74" spans="11:13" ht="26.25" customHeight="1" x14ac:dyDescent="0.3">
      <c r="K74" s="1">
        <f>Table16[[#This Row],[النولون]]+Table16[[#This Row],[الايصالات]]-Table16[[#This Row],[خصم أ ت ص]]+Table16[[#This Row],[قيمة مضافة]]</f>
        <v>0</v>
      </c>
      <c r="M74" s="1">
        <f>M73+Table16[[#This Row],[اجمالي الفاتوره]]-Table16[[#This Row],[الدفعات]]</f>
        <v>1.4899999999979627</v>
      </c>
    </row>
    <row r="75" spans="11:13" ht="26.25" customHeight="1" x14ac:dyDescent="0.3">
      <c r="K75" s="1">
        <f>Table16[[#This Row],[النولون]]+Table16[[#This Row],[الايصالات]]-Table16[[#This Row],[خصم أ ت ص]]+Table16[[#This Row],[قيمة مضافة]]</f>
        <v>0</v>
      </c>
      <c r="M75" s="1">
        <f>M74+Table16[[#This Row],[اجمالي الفاتوره]]-Table16[[#This Row],[الدفعات]]</f>
        <v>1.4899999999979627</v>
      </c>
    </row>
    <row r="76" spans="11:13" ht="26.25" customHeight="1" x14ac:dyDescent="0.3">
      <c r="K76" s="1">
        <f>Table16[[#This Row],[النولون]]+Table16[[#This Row],[الايصالات]]-Table16[[#This Row],[خصم أ ت ص]]+Table16[[#This Row],[قيمة مضافة]]</f>
        <v>0</v>
      </c>
      <c r="M76" s="1">
        <f>M75+Table16[[#This Row],[اجمالي الفاتوره]]-Table16[[#This Row],[الدفعات]]</f>
        <v>1.4899999999979627</v>
      </c>
    </row>
    <row r="77" spans="11:13" ht="26.25" customHeight="1" x14ac:dyDescent="0.3">
      <c r="K77" s="1">
        <f>Table16[[#This Row],[النولون]]+Table16[[#This Row],[الايصالات]]-Table16[[#This Row],[خصم أ ت ص]]+Table16[[#This Row],[قيمة مضافة]]</f>
        <v>0</v>
      </c>
      <c r="M77" s="1">
        <f>M76+Table16[[#This Row],[اجمالي الفاتوره]]-Table16[[#This Row],[الدفعات]]</f>
        <v>1.4899999999979627</v>
      </c>
    </row>
    <row r="78" spans="11:13" ht="26.25" customHeight="1" x14ac:dyDescent="0.3">
      <c r="K78" s="1">
        <f>Table16[[#This Row],[النولون]]+Table16[[#This Row],[الايصالات]]-Table16[[#This Row],[خصم أ ت ص]]+Table16[[#This Row],[قيمة مضافة]]</f>
        <v>0</v>
      </c>
      <c r="M78" s="1">
        <f>M77+Table16[[#This Row],[اجمالي الفاتوره]]-Table16[[#This Row],[الدفعات]]</f>
        <v>1.4899999999979627</v>
      </c>
    </row>
    <row r="79" spans="11:13" ht="26.25" customHeight="1" x14ac:dyDescent="0.3">
      <c r="K79" s="1">
        <f>Table16[[#This Row],[النولون]]+Table16[[#This Row],[الايصالات]]-Table16[[#This Row],[خصم أ ت ص]]+Table16[[#This Row],[قيمة مضافة]]</f>
        <v>0</v>
      </c>
      <c r="M79" s="1">
        <f>M78+Table16[[#This Row],[اجمالي الفاتوره]]-Table16[[#This Row],[الدفعات]]</f>
        <v>1.4899999999979627</v>
      </c>
    </row>
    <row r="80" spans="11:13" ht="26.25" customHeight="1" x14ac:dyDescent="0.3">
      <c r="K80" s="1">
        <f>Table16[[#This Row],[النولون]]+Table16[[#This Row],[الايصالات]]-Table16[[#This Row],[خصم أ ت ص]]+Table16[[#This Row],[قيمة مضافة]]</f>
        <v>0</v>
      </c>
      <c r="M80" s="1">
        <f>M79+Table16[[#This Row],[اجمالي الفاتوره]]-Table16[[#This Row],[الدفعات]]</f>
        <v>1.4899999999979627</v>
      </c>
    </row>
    <row r="81" spans="11:13" ht="26.25" customHeight="1" x14ac:dyDescent="0.3">
      <c r="K81" s="1">
        <f>Table16[[#This Row],[النولون]]+Table16[[#This Row],[الايصالات]]-Table16[[#This Row],[خصم أ ت ص]]+Table16[[#This Row],[قيمة مضافة]]</f>
        <v>0</v>
      </c>
      <c r="M81" s="1">
        <f>M80+Table16[[#This Row],[اجمالي الفاتوره]]-Table16[[#This Row],[الدفعات]]</f>
        <v>1.4899999999979627</v>
      </c>
    </row>
    <row r="82" spans="11:13" ht="26.25" customHeight="1" x14ac:dyDescent="0.3">
      <c r="K82" s="1">
        <f>Table16[[#This Row],[النولون]]+Table16[[#This Row],[الايصالات]]-Table16[[#This Row],[خصم أ ت ص]]+Table16[[#This Row],[قيمة مضافة]]</f>
        <v>0</v>
      </c>
      <c r="M82" s="1">
        <f>M81+Table16[[#This Row],[اجمالي الفاتوره]]-Table16[[#This Row],[الدفعات]]</f>
        <v>1.4899999999979627</v>
      </c>
    </row>
    <row r="83" spans="11:13" ht="26.25" customHeight="1" x14ac:dyDescent="0.3">
      <c r="K83" s="1">
        <f>Table16[[#This Row],[النولون]]+Table16[[#This Row],[الايصالات]]-Table16[[#This Row],[خصم أ ت ص]]+Table16[[#This Row],[قيمة مضافة]]</f>
        <v>0</v>
      </c>
      <c r="M83" s="1">
        <f>M82+Table16[[#This Row],[اجمالي الفاتوره]]-Table16[[#This Row],[الدفعات]]</f>
        <v>1.4899999999979627</v>
      </c>
    </row>
    <row r="84" spans="11:13" ht="26.25" customHeight="1" x14ac:dyDescent="0.3">
      <c r="K84" s="1">
        <f>Table16[[#This Row],[النولون]]+Table16[[#This Row],[الايصالات]]-Table16[[#This Row],[خصم أ ت ص]]+Table16[[#This Row],[قيمة مضافة]]</f>
        <v>0</v>
      </c>
      <c r="M84" s="1">
        <f>M83+Table16[[#This Row],[اجمالي الفاتوره]]-Table16[[#This Row],[الدفعات]]</f>
        <v>1.4899999999979627</v>
      </c>
    </row>
    <row r="85" spans="11:13" ht="26.25" customHeight="1" x14ac:dyDescent="0.3">
      <c r="K85" s="1">
        <f>Table16[[#This Row],[النولون]]+Table16[[#This Row],[الايصالات]]-Table16[[#This Row],[خصم أ ت ص]]+Table16[[#This Row],[قيمة مضافة]]</f>
        <v>0</v>
      </c>
      <c r="M85" s="1">
        <f>M84+Table16[[#This Row],[اجمالي الفاتوره]]-Table16[[#This Row],[الدفعات]]</f>
        <v>1.4899999999979627</v>
      </c>
    </row>
    <row r="86" spans="11:13" ht="26.25" customHeight="1" x14ac:dyDescent="0.3">
      <c r="K86" s="1">
        <f>Table16[[#This Row],[النولون]]+Table16[[#This Row],[الايصالات]]-Table16[[#This Row],[خصم أ ت ص]]+Table16[[#This Row],[قيمة مضافة]]</f>
        <v>0</v>
      </c>
      <c r="M86" s="1">
        <f>M85+Table16[[#This Row],[اجمالي الفاتوره]]-Table16[[#This Row],[الدفعات]]</f>
        <v>1.4899999999979627</v>
      </c>
    </row>
    <row r="87" spans="11:13" ht="26.25" customHeight="1" x14ac:dyDescent="0.3">
      <c r="K87" s="1">
        <f>Table16[[#This Row],[النولون]]+Table16[[#This Row],[الايصالات]]-Table16[[#This Row],[خصم أ ت ص]]+Table16[[#This Row],[قيمة مضافة]]</f>
        <v>0</v>
      </c>
      <c r="M87" s="1">
        <f>M86+Table16[[#This Row],[اجمالي الفاتوره]]-Table16[[#This Row],[الدفعات]]</f>
        <v>1.4899999999979627</v>
      </c>
    </row>
    <row r="88" spans="11:13" ht="26.25" customHeight="1" x14ac:dyDescent="0.3">
      <c r="K88" s="1">
        <f>Table16[[#This Row],[النولون]]+Table16[[#This Row],[الايصالات]]-Table16[[#This Row],[خصم أ ت ص]]+Table16[[#This Row],[قيمة مضافة]]</f>
        <v>0</v>
      </c>
      <c r="M88" s="1">
        <f>M87+Table16[[#This Row],[اجمالي الفاتوره]]-Table16[[#This Row],[الدفعات]]</f>
        <v>1.4899999999979627</v>
      </c>
    </row>
    <row r="89" spans="11:13" ht="26.25" customHeight="1" x14ac:dyDescent="0.3">
      <c r="K89" s="1">
        <f>Table16[[#This Row],[النولون]]+Table16[[#This Row],[الايصالات]]-Table16[[#This Row],[خصم أ ت ص]]+Table16[[#This Row],[قيمة مضافة]]</f>
        <v>0</v>
      </c>
      <c r="M89" s="1">
        <f>M88+Table16[[#This Row],[اجمالي الفاتوره]]-Table16[[#This Row],[الدفعات]]</f>
        <v>1.4899999999979627</v>
      </c>
    </row>
    <row r="90" spans="11:13" ht="26.25" customHeight="1" x14ac:dyDescent="0.3">
      <c r="K90" s="1">
        <f>Table16[[#This Row],[النولون]]+Table16[[#This Row],[الايصالات]]-Table16[[#This Row],[خصم أ ت ص]]+Table16[[#This Row],[قيمة مضافة]]</f>
        <v>0</v>
      </c>
      <c r="M90" s="1">
        <f>M89+Table16[[#This Row],[اجمالي الفاتوره]]-Table16[[#This Row],[الدفعات]]</f>
        <v>1.4899999999979627</v>
      </c>
    </row>
    <row r="91" spans="11:13" ht="26.25" customHeight="1" x14ac:dyDescent="0.3">
      <c r="K91" s="1">
        <f>Table16[[#This Row],[النولون]]+Table16[[#This Row],[الايصالات]]-Table16[[#This Row],[خصم أ ت ص]]+Table16[[#This Row],[قيمة مضافة]]</f>
        <v>0</v>
      </c>
      <c r="M91" s="1">
        <f>M90+Table16[[#This Row],[اجمالي الفاتوره]]-Table16[[#This Row],[الدفعات]]</f>
        <v>1.4899999999979627</v>
      </c>
    </row>
    <row r="92" spans="11:13" ht="26.25" customHeight="1" x14ac:dyDescent="0.3">
      <c r="K92" s="1">
        <f>Table16[[#This Row],[النولون]]+Table16[[#This Row],[الايصالات]]-Table16[[#This Row],[خصم أ ت ص]]+Table16[[#This Row],[قيمة مضافة]]</f>
        <v>0</v>
      </c>
      <c r="M92" s="1">
        <f>M91+Table16[[#This Row],[اجمالي الفاتوره]]-Table16[[#This Row],[الدفعات]]</f>
        <v>1.4899999999979627</v>
      </c>
    </row>
    <row r="93" spans="11:13" ht="26.25" customHeight="1" x14ac:dyDescent="0.3">
      <c r="K93" s="1">
        <f>Table16[[#This Row],[النولون]]+Table16[[#This Row],[الايصالات]]-Table16[[#This Row],[خصم أ ت ص]]+Table16[[#This Row],[قيمة مضافة]]</f>
        <v>0</v>
      </c>
      <c r="M93" s="1">
        <f>M92+Table16[[#This Row],[اجمالي الفاتوره]]-Table16[[#This Row],[الدفعات]]</f>
        <v>1.4899999999979627</v>
      </c>
    </row>
    <row r="94" spans="11:13" ht="26.25" customHeight="1" x14ac:dyDescent="0.3">
      <c r="K94" s="1">
        <f>Table16[[#This Row],[النولون]]+Table16[[#This Row],[الايصالات]]-Table16[[#This Row],[خصم أ ت ص]]+Table16[[#This Row],[قيمة مضافة]]</f>
        <v>0</v>
      </c>
      <c r="M94" s="1">
        <f>M93+Table16[[#This Row],[اجمالي الفاتوره]]-Table16[[#This Row],[الدفعات]]</f>
        <v>1.4899999999979627</v>
      </c>
    </row>
    <row r="95" spans="11:13" ht="26.25" customHeight="1" x14ac:dyDescent="0.3">
      <c r="K95" s="1">
        <f>Table16[[#This Row],[النولون]]+Table16[[#This Row],[الايصالات]]-Table16[[#This Row],[خصم أ ت ص]]+Table16[[#This Row],[قيمة مضافة]]</f>
        <v>0</v>
      </c>
      <c r="M95" s="1">
        <f>M94+Table16[[#This Row],[اجمالي الفاتوره]]-Table16[[#This Row],[الدفعات]]</f>
        <v>1.4899999999979627</v>
      </c>
    </row>
    <row r="96" spans="11:13" ht="26.25" customHeight="1" x14ac:dyDescent="0.3">
      <c r="K96" s="1">
        <f>Table16[[#This Row],[النولون]]+Table16[[#This Row],[الايصالات]]-Table16[[#This Row],[خصم أ ت ص]]+Table16[[#This Row],[قيمة مضافة]]</f>
        <v>0</v>
      </c>
      <c r="M96" s="1">
        <f>M95+Table16[[#This Row],[اجمالي الفاتوره]]-Table16[[#This Row],[الدفعات]]</f>
        <v>1.4899999999979627</v>
      </c>
    </row>
    <row r="97" spans="11:13" ht="26.25" customHeight="1" x14ac:dyDescent="0.3">
      <c r="K97" s="1">
        <f>Table16[[#This Row],[النولون]]+Table16[[#This Row],[الايصالات]]-Table16[[#This Row],[خصم أ ت ص]]+Table16[[#This Row],[قيمة مضافة]]</f>
        <v>0</v>
      </c>
      <c r="M97" s="1">
        <f>M96+Table16[[#This Row],[اجمالي الفاتوره]]-Table16[[#This Row],[الدفعات]]</f>
        <v>1.4899999999979627</v>
      </c>
    </row>
    <row r="98" spans="11:13" ht="26.25" customHeight="1" x14ac:dyDescent="0.3">
      <c r="K98" s="1">
        <f>Table16[[#This Row],[النولون]]+Table16[[#This Row],[الايصالات]]-Table16[[#This Row],[خصم أ ت ص]]+Table16[[#This Row],[قيمة مضافة]]</f>
        <v>0</v>
      </c>
      <c r="M98" s="1">
        <f>M97+Table16[[#This Row],[اجمالي الفاتوره]]-Table16[[#This Row],[الدفعات]]</f>
        <v>1.4899999999979627</v>
      </c>
    </row>
    <row r="99" spans="11:13" ht="26.25" customHeight="1" x14ac:dyDescent="0.3">
      <c r="K99" s="1">
        <f>Table16[[#This Row],[النولون]]+Table16[[#This Row],[الايصالات]]-Table16[[#This Row],[خصم أ ت ص]]+Table16[[#This Row],[قيمة مضافة]]</f>
        <v>0</v>
      </c>
      <c r="M99" s="1">
        <f>M98+Table16[[#This Row],[اجمالي الفاتوره]]-Table16[[#This Row],[الدفعات]]</f>
        <v>1.4899999999979627</v>
      </c>
    </row>
    <row r="100" spans="11:13" ht="26.25" customHeight="1" x14ac:dyDescent="0.3">
      <c r="K100" s="1">
        <f>Table16[[#This Row],[النولون]]+Table16[[#This Row],[الايصالات]]-Table16[[#This Row],[خصم أ ت ص]]+Table16[[#This Row],[قيمة مضافة]]</f>
        <v>0</v>
      </c>
      <c r="M100" s="1">
        <f>M99+Table16[[#This Row],[اجمالي الفاتوره]]-Table16[[#This Row],[الدفعات]]</f>
        <v>1.4899999999979627</v>
      </c>
    </row>
    <row r="101" spans="11:13" ht="26.25" customHeight="1" x14ac:dyDescent="0.3">
      <c r="K101" s="1">
        <f>Table16[[#This Row],[النولون]]+Table16[[#This Row],[الايصالات]]-Table16[[#This Row],[خصم أ ت ص]]+Table16[[#This Row],[قيمة مضافة]]</f>
        <v>0</v>
      </c>
      <c r="M101" s="1">
        <f>M100+Table16[[#This Row],[اجمالي الفاتوره]]-Table16[[#This Row],[الدفعات]]</f>
        <v>1.4899999999979627</v>
      </c>
    </row>
    <row r="102" spans="11:13" ht="26.25" customHeight="1" x14ac:dyDescent="0.3">
      <c r="K102" s="1">
        <f>Table16[[#This Row],[النولون]]+Table16[[#This Row],[الايصالات]]-Table16[[#This Row],[خصم أ ت ص]]+Table16[[#This Row],[قيمة مضافة]]</f>
        <v>0</v>
      </c>
      <c r="M102" s="1">
        <f>M101+Table16[[#This Row],[اجمالي الفاتوره]]-Table16[[#This Row],[الدفعات]]</f>
        <v>1.4899999999979627</v>
      </c>
    </row>
    <row r="103" spans="11:13" ht="26.25" customHeight="1" x14ac:dyDescent="0.3">
      <c r="K103" s="1">
        <f>Table16[[#This Row],[النولون]]+Table16[[#This Row],[الايصالات]]-Table16[[#This Row],[خصم أ ت ص]]+Table16[[#This Row],[قيمة مضافة]]</f>
        <v>0</v>
      </c>
      <c r="M103" s="1">
        <f>M102+Table16[[#This Row],[اجمالي الفاتوره]]-Table16[[#This Row],[الدفعات]]</f>
        <v>1.4899999999979627</v>
      </c>
    </row>
    <row r="104" spans="11:13" ht="26.25" customHeight="1" x14ac:dyDescent="0.3">
      <c r="K104" s="1">
        <f>Table16[[#This Row],[النولون]]+Table16[[#This Row],[الايصالات]]-Table16[[#This Row],[خصم أ ت ص]]+Table16[[#This Row],[قيمة مضافة]]</f>
        <v>0</v>
      </c>
      <c r="M104" s="1">
        <f>M103+Table16[[#This Row],[اجمالي الفاتوره]]-Table16[[#This Row],[الدفعات]]</f>
        <v>1.4899999999979627</v>
      </c>
    </row>
    <row r="105" spans="11:13" ht="26.25" customHeight="1" x14ac:dyDescent="0.3">
      <c r="K105" s="1">
        <f>Table16[[#This Row],[النولون]]+Table16[[#This Row],[الايصالات]]-Table16[[#This Row],[خصم أ ت ص]]+Table16[[#This Row],[قيمة مضافة]]</f>
        <v>0</v>
      </c>
      <c r="M105" s="1">
        <f>M104+Table16[[#This Row],[اجمالي الفاتوره]]-Table16[[#This Row],[الدفعات]]</f>
        <v>1.4899999999979627</v>
      </c>
    </row>
    <row r="106" spans="11:13" ht="26.25" customHeight="1" x14ac:dyDescent="0.3">
      <c r="K106" s="1">
        <f>Table16[[#This Row],[النولون]]+Table16[[#This Row],[الايصالات]]-Table16[[#This Row],[خصم أ ت ص]]+Table16[[#This Row],[قيمة مضافة]]</f>
        <v>0</v>
      </c>
      <c r="M106" s="1">
        <f>M105+Table16[[#This Row],[اجمالي الفاتوره]]-Table16[[#This Row],[الدفعات]]</f>
        <v>1.4899999999979627</v>
      </c>
    </row>
    <row r="107" spans="11:13" ht="26.25" customHeight="1" x14ac:dyDescent="0.3">
      <c r="K107" s="1">
        <f>Table16[[#This Row],[النولون]]+Table16[[#This Row],[الايصالات]]-Table16[[#This Row],[خصم أ ت ص]]+Table16[[#This Row],[قيمة مضافة]]</f>
        <v>0</v>
      </c>
      <c r="M107" s="1">
        <f>M106+Table16[[#This Row],[اجمالي الفاتوره]]-Table16[[#This Row],[الدفعات]]</f>
        <v>1.4899999999979627</v>
      </c>
    </row>
    <row r="108" spans="11:13" ht="26.25" customHeight="1" x14ac:dyDescent="0.3">
      <c r="K108" s="1">
        <f>Table16[[#This Row],[النولون]]+Table16[[#This Row],[الايصالات]]-Table16[[#This Row],[خصم أ ت ص]]+Table16[[#This Row],[قيمة مضافة]]</f>
        <v>0</v>
      </c>
      <c r="M108" s="1">
        <f>M107+Table16[[#This Row],[اجمالي الفاتوره]]-Table16[[#This Row],[الدفعات]]</f>
        <v>1.4899999999979627</v>
      </c>
    </row>
    <row r="109" spans="11:13" ht="26.25" customHeight="1" x14ac:dyDescent="0.3">
      <c r="K109" s="1">
        <f>Table16[[#This Row],[النولون]]+Table16[[#This Row],[الايصالات]]-Table16[[#This Row],[خصم أ ت ص]]+Table16[[#This Row],[قيمة مضافة]]</f>
        <v>0</v>
      </c>
      <c r="M109" s="1">
        <f>M108+Table16[[#This Row],[اجمالي الفاتوره]]-Table16[[#This Row],[الدفعات]]</f>
        <v>1.4899999999979627</v>
      </c>
    </row>
    <row r="110" spans="11:13" ht="26.25" customHeight="1" x14ac:dyDescent="0.3">
      <c r="K110" s="1">
        <f>Table16[[#This Row],[النولون]]+Table16[[#This Row],[الايصالات]]-Table16[[#This Row],[خصم أ ت ص]]+Table16[[#This Row],[قيمة مضافة]]</f>
        <v>0</v>
      </c>
      <c r="M110" s="1">
        <f>M109+Table16[[#This Row],[اجمالي الفاتوره]]-Table16[[#This Row],[الدفعات]]</f>
        <v>1.4899999999979627</v>
      </c>
    </row>
    <row r="111" spans="11:13" ht="26.25" customHeight="1" x14ac:dyDescent="0.3">
      <c r="K111" s="1">
        <f>Table16[[#This Row],[النولون]]+Table16[[#This Row],[الايصالات]]-Table16[[#This Row],[خصم أ ت ص]]+Table16[[#This Row],[قيمة مضافة]]</f>
        <v>0</v>
      </c>
      <c r="M111" s="1">
        <f>M110+Table16[[#This Row],[اجمالي الفاتوره]]-Table16[[#This Row],[الدفعات]]</f>
        <v>1.4899999999979627</v>
      </c>
    </row>
    <row r="112" spans="11:13" ht="26.25" customHeight="1" x14ac:dyDescent="0.3">
      <c r="K112" s="1">
        <f>Table16[[#This Row],[النولون]]+Table16[[#This Row],[الايصالات]]-Table16[[#This Row],[خصم أ ت ص]]+Table16[[#This Row],[قيمة مضافة]]</f>
        <v>0</v>
      </c>
      <c r="M112" s="1">
        <f>M111+Table16[[#This Row],[اجمالي الفاتوره]]-Table16[[#This Row],[الدفعات]]</f>
        <v>1.4899999999979627</v>
      </c>
    </row>
    <row r="113" spans="11:13" ht="26.25" customHeight="1" x14ac:dyDescent="0.3">
      <c r="K113" s="1">
        <f>Table16[[#This Row],[النولون]]+Table16[[#This Row],[الايصالات]]-Table16[[#This Row],[خصم أ ت ص]]+Table16[[#This Row],[قيمة مضافة]]</f>
        <v>0</v>
      </c>
      <c r="M113" s="1">
        <f>M112+Table16[[#This Row],[اجمالي الفاتوره]]-Table16[[#This Row],[الدفعات]]</f>
        <v>1.4899999999979627</v>
      </c>
    </row>
    <row r="114" spans="11:13" ht="26.25" customHeight="1" x14ac:dyDescent="0.3">
      <c r="K114" s="1">
        <f>Table16[[#This Row],[النولون]]+Table16[[#This Row],[الايصالات]]-Table16[[#This Row],[خصم أ ت ص]]+Table16[[#This Row],[قيمة مضافة]]</f>
        <v>0</v>
      </c>
      <c r="M114" s="1">
        <f>M113+Table16[[#This Row],[اجمالي الفاتوره]]-Table16[[#This Row],[الدفعات]]</f>
        <v>1.4899999999979627</v>
      </c>
    </row>
    <row r="115" spans="11:13" ht="26.25" customHeight="1" x14ac:dyDescent="0.3">
      <c r="K115" s="1">
        <f>Table16[[#This Row],[النولون]]+Table16[[#This Row],[الايصالات]]-Table16[[#This Row],[خصم أ ت ص]]+Table16[[#This Row],[قيمة مضافة]]</f>
        <v>0</v>
      </c>
      <c r="M115" s="1">
        <f>M114+Table16[[#This Row],[اجمالي الفاتوره]]-Table16[[#This Row],[الدفعات]]</f>
        <v>1.4899999999979627</v>
      </c>
    </row>
    <row r="116" spans="11:13" ht="26.25" customHeight="1" x14ac:dyDescent="0.3">
      <c r="K116" s="1">
        <f>Table16[[#This Row],[النولون]]+Table16[[#This Row],[الايصالات]]-Table16[[#This Row],[خصم أ ت ص]]+Table16[[#This Row],[قيمة مضافة]]</f>
        <v>0</v>
      </c>
      <c r="M116" s="1">
        <f>M115+Table16[[#This Row],[اجمالي الفاتوره]]-Table16[[#This Row],[الدفعات]]</f>
        <v>1.4899999999979627</v>
      </c>
    </row>
    <row r="117" spans="11:13" ht="26.25" customHeight="1" x14ac:dyDescent="0.3">
      <c r="K117" s="1">
        <f>Table16[[#This Row],[النولون]]+Table16[[#This Row],[الايصالات]]-Table16[[#This Row],[خصم أ ت ص]]+Table16[[#This Row],[قيمة مضافة]]</f>
        <v>0</v>
      </c>
      <c r="M117" s="1">
        <f>M116+Table16[[#This Row],[اجمالي الفاتوره]]-Table16[[#This Row],[الدفعات]]</f>
        <v>1.4899999999979627</v>
      </c>
    </row>
    <row r="118" spans="11:13" ht="26.25" customHeight="1" x14ac:dyDescent="0.3">
      <c r="K118" s="1">
        <f>Table16[[#This Row],[النولون]]+Table16[[#This Row],[الايصالات]]-Table16[[#This Row],[خصم أ ت ص]]+Table16[[#This Row],[قيمة مضافة]]</f>
        <v>0</v>
      </c>
      <c r="M118" s="1">
        <f>M117+Table16[[#This Row],[اجمالي الفاتوره]]-Table16[[#This Row],[الدفعات]]</f>
        <v>1.4899999999979627</v>
      </c>
    </row>
    <row r="119" spans="11:13" ht="26.25" customHeight="1" x14ac:dyDescent="0.3">
      <c r="K119" s="1">
        <f>Table16[[#This Row],[النولون]]+Table16[[#This Row],[الايصالات]]-Table16[[#This Row],[خصم أ ت ص]]+Table16[[#This Row],[قيمة مضافة]]</f>
        <v>0</v>
      </c>
      <c r="M119" s="1">
        <f>M118+Table16[[#This Row],[اجمالي الفاتوره]]-Table16[[#This Row],[الدفعات]]</f>
        <v>1.4899999999979627</v>
      </c>
    </row>
    <row r="120" spans="11:13" ht="26.25" customHeight="1" x14ac:dyDescent="0.3">
      <c r="K120" s="1">
        <f>Table16[[#This Row],[النولون]]+Table16[[#This Row],[الايصالات]]-Table16[[#This Row],[خصم أ ت ص]]+Table16[[#This Row],[قيمة مضافة]]</f>
        <v>0</v>
      </c>
      <c r="M120" s="1">
        <f>M119+Table16[[#This Row],[اجمالي الفاتوره]]-Table16[[#This Row],[الدفعات]]</f>
        <v>1.4899999999979627</v>
      </c>
    </row>
    <row r="121" spans="11:13" ht="26.25" customHeight="1" x14ac:dyDescent="0.3">
      <c r="K121" s="1">
        <f>Table16[[#This Row],[النولون]]+Table16[[#This Row],[الايصالات]]-Table16[[#This Row],[خصم أ ت ص]]+Table16[[#This Row],[قيمة مضافة]]</f>
        <v>0</v>
      </c>
      <c r="M121" s="1">
        <f>M120+Table16[[#This Row],[اجمالي الفاتوره]]-Table16[[#This Row],[الدفعات]]</f>
        <v>1.4899999999979627</v>
      </c>
    </row>
    <row r="122" spans="11:13" ht="26.25" customHeight="1" x14ac:dyDescent="0.3">
      <c r="K122" s="1">
        <f>Table16[[#This Row],[النولون]]+Table16[[#This Row],[الايصالات]]-Table16[[#This Row],[خصم أ ت ص]]+Table16[[#This Row],[قيمة مضافة]]</f>
        <v>0</v>
      </c>
      <c r="M122" s="1">
        <f>M121+Table16[[#This Row],[اجمالي الفاتوره]]-Table16[[#This Row],[الدفعات]]</f>
        <v>1.4899999999979627</v>
      </c>
    </row>
    <row r="123" spans="11:13" ht="26.25" customHeight="1" x14ac:dyDescent="0.3">
      <c r="K123" s="1">
        <f>Table16[[#This Row],[النولون]]+Table16[[#This Row],[الايصالات]]-Table16[[#This Row],[خصم أ ت ص]]+Table16[[#This Row],[قيمة مضافة]]</f>
        <v>0</v>
      </c>
      <c r="M123" s="1">
        <f>M122+Table16[[#This Row],[اجمالي الفاتوره]]-Table16[[#This Row],[الدفعات]]</f>
        <v>1.4899999999979627</v>
      </c>
    </row>
    <row r="124" spans="11:13" ht="26.25" customHeight="1" x14ac:dyDescent="0.3">
      <c r="K124" s="1">
        <f>Table16[[#This Row],[النولون]]+Table16[[#This Row],[الايصالات]]-Table16[[#This Row],[خصم أ ت ص]]+Table16[[#This Row],[قيمة مضافة]]</f>
        <v>0</v>
      </c>
      <c r="M124" s="1">
        <f>M123+Table16[[#This Row],[اجمالي الفاتوره]]-Table16[[#This Row],[الدفعات]]</f>
        <v>1.4899999999979627</v>
      </c>
    </row>
    <row r="125" spans="11:13" ht="26.25" customHeight="1" x14ac:dyDescent="0.3">
      <c r="K125" s="1">
        <f>Table16[[#This Row],[النولون]]+Table16[[#This Row],[الايصالات]]-Table16[[#This Row],[خصم أ ت ص]]+Table16[[#This Row],[قيمة مضافة]]</f>
        <v>0</v>
      </c>
      <c r="M125" s="1">
        <f>M124+Table16[[#This Row],[اجمالي الفاتوره]]-Table16[[#This Row],[الدفعات]]</f>
        <v>1.4899999999979627</v>
      </c>
    </row>
    <row r="126" spans="11:13" ht="26.25" customHeight="1" x14ac:dyDescent="0.3">
      <c r="K126" s="1">
        <f>Table16[[#This Row],[النولون]]+Table16[[#This Row],[الايصالات]]-Table16[[#This Row],[خصم أ ت ص]]+Table16[[#This Row],[قيمة مضافة]]</f>
        <v>0</v>
      </c>
      <c r="M126" s="1">
        <f>M125+Table16[[#This Row],[اجمالي الفاتوره]]-Table16[[#This Row],[الدفعات]]</f>
        <v>1.4899999999979627</v>
      </c>
    </row>
    <row r="127" spans="11:13" ht="26.25" customHeight="1" x14ac:dyDescent="0.3">
      <c r="K127" s="1">
        <f>Table16[[#This Row],[النولون]]+Table16[[#This Row],[الايصالات]]-Table16[[#This Row],[خصم أ ت ص]]+Table16[[#This Row],[قيمة مضافة]]</f>
        <v>0</v>
      </c>
      <c r="M127" s="1">
        <f>M126+Table16[[#This Row],[اجمالي الفاتوره]]-Table16[[#This Row],[الدفعات]]</f>
        <v>1.4899999999979627</v>
      </c>
    </row>
    <row r="128" spans="11:13" ht="26.25" customHeight="1" x14ac:dyDescent="0.3">
      <c r="K128" s="1">
        <f>Table16[[#This Row],[النولون]]+Table16[[#This Row],[الايصالات]]-Table16[[#This Row],[خصم أ ت ص]]+Table16[[#This Row],[قيمة مضافة]]</f>
        <v>0</v>
      </c>
      <c r="M128" s="1">
        <f>M127+Table16[[#This Row],[اجمالي الفاتوره]]-Table16[[#This Row],[الدفعات]]</f>
        <v>1.4899999999979627</v>
      </c>
    </row>
    <row r="129" spans="11:13" ht="26.25" customHeight="1" x14ac:dyDescent="0.3">
      <c r="K129" s="1">
        <f>Table16[[#This Row],[النولون]]+Table16[[#This Row],[الايصالات]]-Table16[[#This Row],[خصم أ ت ص]]+Table16[[#This Row],[قيمة مضافة]]</f>
        <v>0</v>
      </c>
      <c r="M129" s="1">
        <f>M128+Table16[[#This Row],[اجمالي الفاتوره]]-Table16[[#This Row],[الدفعات]]</f>
        <v>1.4899999999979627</v>
      </c>
    </row>
    <row r="130" spans="11:13" ht="26.25" customHeight="1" x14ac:dyDescent="0.3">
      <c r="K130" s="1">
        <f>Table16[[#This Row],[النولون]]+Table16[[#This Row],[الايصالات]]-Table16[[#This Row],[خصم أ ت ص]]+Table16[[#This Row],[قيمة مضافة]]</f>
        <v>0</v>
      </c>
      <c r="M130" s="1">
        <f>M129+Table16[[#This Row],[اجمالي الفاتوره]]-Table16[[#This Row],[الدفعات]]</f>
        <v>1.4899999999979627</v>
      </c>
    </row>
    <row r="131" spans="11:13" ht="26.25" customHeight="1" x14ac:dyDescent="0.3">
      <c r="K131" s="1">
        <f>Table16[[#This Row],[النولون]]+Table16[[#This Row],[الايصالات]]-Table16[[#This Row],[خصم أ ت ص]]+Table16[[#This Row],[قيمة مضافة]]</f>
        <v>0</v>
      </c>
      <c r="M131" s="1">
        <f>M130+Table16[[#This Row],[اجمالي الفاتوره]]-Table16[[#This Row],[الدفعات]]</f>
        <v>1.4899999999979627</v>
      </c>
    </row>
    <row r="132" spans="11:13" ht="26.25" customHeight="1" x14ac:dyDescent="0.3">
      <c r="K132" s="1">
        <f>Table16[[#This Row],[النولون]]+Table16[[#This Row],[الايصالات]]-Table16[[#This Row],[خصم أ ت ص]]+Table16[[#This Row],[قيمة مضافة]]</f>
        <v>0</v>
      </c>
      <c r="M132" s="1">
        <f>M131+Table16[[#This Row],[اجمالي الفاتوره]]-Table16[[#This Row],[الدفعات]]</f>
        <v>1.4899999999979627</v>
      </c>
    </row>
    <row r="133" spans="11:13" ht="26.25" customHeight="1" x14ac:dyDescent="0.3">
      <c r="K133" s="1">
        <f>Table16[[#This Row],[النولون]]+Table16[[#This Row],[الايصالات]]-Table16[[#This Row],[خصم أ ت ص]]+Table16[[#This Row],[قيمة مضافة]]</f>
        <v>0</v>
      </c>
      <c r="M133" s="1">
        <f>M132+Table16[[#This Row],[اجمالي الفاتوره]]-Table16[[#This Row],[الدفعات]]</f>
        <v>1.4899999999979627</v>
      </c>
    </row>
    <row r="134" spans="11:13" ht="26.25" customHeight="1" x14ac:dyDescent="0.3">
      <c r="K134" s="1">
        <f>Table16[[#This Row],[النولون]]+Table16[[#This Row],[الايصالات]]-Table16[[#This Row],[خصم أ ت ص]]+Table16[[#This Row],[قيمة مضافة]]</f>
        <v>0</v>
      </c>
      <c r="M134" s="1">
        <f>M133+Table16[[#This Row],[اجمالي الفاتوره]]-Table16[[#This Row],[الدفعات]]</f>
        <v>1.4899999999979627</v>
      </c>
    </row>
    <row r="135" spans="11:13" ht="26.25" customHeight="1" x14ac:dyDescent="0.3">
      <c r="K135" s="1">
        <f>Table16[[#This Row],[النولون]]+Table16[[#This Row],[الايصالات]]-Table16[[#This Row],[خصم أ ت ص]]+Table16[[#This Row],[قيمة مضافة]]</f>
        <v>0</v>
      </c>
      <c r="M135" s="1">
        <f>M134+Table16[[#This Row],[اجمالي الفاتوره]]-Table16[[#This Row],[الدفعات]]</f>
        <v>1.4899999999979627</v>
      </c>
    </row>
    <row r="136" spans="11:13" ht="26.25" customHeight="1" x14ac:dyDescent="0.3">
      <c r="K136" s="1">
        <f>Table16[[#This Row],[النولون]]+Table16[[#This Row],[الايصالات]]-Table16[[#This Row],[خصم أ ت ص]]+Table16[[#This Row],[قيمة مضافة]]</f>
        <v>0</v>
      </c>
      <c r="M136" s="1">
        <f>M135+Table16[[#This Row],[اجمالي الفاتوره]]-Table16[[#This Row],[الدفعات]]</f>
        <v>1.4899999999979627</v>
      </c>
    </row>
    <row r="137" spans="11:13" ht="26.25" customHeight="1" x14ac:dyDescent="0.3">
      <c r="K137" s="1">
        <f>Table16[[#This Row],[النولون]]+Table16[[#This Row],[الايصالات]]-Table16[[#This Row],[خصم أ ت ص]]+Table16[[#This Row],[قيمة مضافة]]</f>
        <v>0</v>
      </c>
      <c r="M137" s="1">
        <f>M136+Table16[[#This Row],[اجمالي الفاتوره]]-Table16[[#This Row],[الدفعات]]</f>
        <v>1.4899999999979627</v>
      </c>
    </row>
    <row r="138" spans="11:13" ht="26.25" customHeight="1" x14ac:dyDescent="0.3">
      <c r="K138" s="1">
        <f>Table16[[#This Row],[النولون]]+Table16[[#This Row],[الايصالات]]-Table16[[#This Row],[خصم أ ت ص]]+Table16[[#This Row],[قيمة مضافة]]</f>
        <v>0</v>
      </c>
      <c r="M138" s="1">
        <f>M137+Table16[[#This Row],[اجمالي الفاتوره]]-Table16[[#This Row],[الدفعات]]</f>
        <v>1.4899999999979627</v>
      </c>
    </row>
    <row r="139" spans="11:13" ht="26.25" customHeight="1" x14ac:dyDescent="0.3">
      <c r="K139" s="1">
        <f>Table16[[#This Row],[النولون]]+Table16[[#This Row],[الايصالات]]-Table16[[#This Row],[خصم أ ت ص]]+Table16[[#This Row],[قيمة مضافة]]</f>
        <v>0</v>
      </c>
      <c r="M139" s="1">
        <f>M138+Table16[[#This Row],[اجمالي الفاتوره]]-Table16[[#This Row],[الدفعات]]</f>
        <v>1.4899999999979627</v>
      </c>
    </row>
    <row r="140" spans="11:13" ht="26.25" customHeight="1" x14ac:dyDescent="0.3">
      <c r="K140" s="1">
        <f>Table16[[#This Row],[النولون]]+Table16[[#This Row],[الايصالات]]-Table16[[#This Row],[خصم أ ت ص]]+Table16[[#This Row],[قيمة مضافة]]</f>
        <v>0</v>
      </c>
      <c r="M140" s="1">
        <f>M139+Table16[[#This Row],[اجمالي الفاتوره]]-Table16[[#This Row],[الدفعات]]</f>
        <v>1.4899999999979627</v>
      </c>
    </row>
    <row r="141" spans="11:13" ht="26.25" customHeight="1" x14ac:dyDescent="0.3">
      <c r="K141" s="1">
        <f>Table16[[#This Row],[النولون]]+Table16[[#This Row],[الايصالات]]-Table16[[#This Row],[خصم أ ت ص]]+Table16[[#This Row],[قيمة مضافة]]</f>
        <v>0</v>
      </c>
      <c r="M141" s="1">
        <f>M140+Table16[[#This Row],[اجمالي الفاتوره]]-Table16[[#This Row],[الدفعات]]</f>
        <v>1.4899999999979627</v>
      </c>
    </row>
    <row r="142" spans="11:13" ht="26.25" customHeight="1" x14ac:dyDescent="0.3">
      <c r="K142" s="1">
        <f>Table16[[#This Row],[النولون]]+Table16[[#This Row],[الايصالات]]-Table16[[#This Row],[خصم أ ت ص]]+Table16[[#This Row],[قيمة مضافة]]</f>
        <v>0</v>
      </c>
      <c r="M142" s="1">
        <f>M141+Table16[[#This Row],[اجمالي الفاتوره]]-Table16[[#This Row],[الدفعات]]</f>
        <v>1.4899999999979627</v>
      </c>
    </row>
    <row r="143" spans="11:13" ht="26.25" customHeight="1" x14ac:dyDescent="0.3">
      <c r="K143" s="1">
        <f>Table16[[#This Row],[النولون]]+Table16[[#This Row],[الايصالات]]-Table16[[#This Row],[خصم أ ت ص]]+Table16[[#This Row],[قيمة مضافة]]</f>
        <v>0</v>
      </c>
      <c r="M143" s="1">
        <f>M142+Table16[[#This Row],[اجمالي الفاتوره]]-Table16[[#This Row],[الدفعات]]</f>
        <v>1.4899999999979627</v>
      </c>
    </row>
    <row r="144" spans="11:13" ht="26.25" customHeight="1" x14ac:dyDescent="0.3">
      <c r="K144" s="1">
        <f>Table16[[#This Row],[النولون]]+Table16[[#This Row],[الايصالات]]-Table16[[#This Row],[خصم أ ت ص]]+Table16[[#This Row],[قيمة مضافة]]</f>
        <v>0</v>
      </c>
      <c r="M144" s="1">
        <f>M143+Table16[[#This Row],[اجمالي الفاتوره]]-Table16[[#This Row],[الدفعات]]</f>
        <v>1.4899999999979627</v>
      </c>
    </row>
    <row r="145" spans="11:13" ht="26.25" customHeight="1" x14ac:dyDescent="0.3">
      <c r="K145" s="1">
        <f>Table16[[#This Row],[النولون]]+Table16[[#This Row],[الايصالات]]-Table16[[#This Row],[خصم أ ت ص]]+Table16[[#This Row],[قيمة مضافة]]</f>
        <v>0</v>
      </c>
      <c r="M145" s="1">
        <f>M144+Table16[[#This Row],[اجمالي الفاتوره]]-Table16[[#This Row],[الدفعات]]</f>
        <v>1.4899999999979627</v>
      </c>
    </row>
    <row r="146" spans="11:13" ht="26.25" customHeight="1" x14ac:dyDescent="0.3">
      <c r="K146" s="1">
        <f>Table16[[#This Row],[النولون]]+Table16[[#This Row],[الايصالات]]-Table16[[#This Row],[خصم أ ت ص]]+Table16[[#This Row],[قيمة مضافة]]</f>
        <v>0</v>
      </c>
      <c r="M146" s="1">
        <f>M145+Table16[[#This Row],[اجمالي الفاتوره]]-Table16[[#This Row],[الدفعات]]</f>
        <v>1.4899999999979627</v>
      </c>
    </row>
    <row r="147" spans="11:13" ht="26.25" customHeight="1" x14ac:dyDescent="0.3">
      <c r="K147" s="1">
        <f>Table16[[#This Row],[النولون]]+Table16[[#This Row],[الايصالات]]-Table16[[#This Row],[خصم أ ت ص]]+Table16[[#This Row],[قيمة مضافة]]</f>
        <v>0</v>
      </c>
      <c r="M147" s="1">
        <f>M146+Table16[[#This Row],[اجمالي الفاتوره]]-Table16[[#This Row],[الدفعات]]</f>
        <v>1.4899999999979627</v>
      </c>
    </row>
    <row r="148" spans="11:13" ht="26.25" customHeight="1" x14ac:dyDescent="0.3">
      <c r="K148" s="1">
        <f>Table16[[#This Row],[النولون]]+Table16[[#This Row],[الايصالات]]-Table16[[#This Row],[خصم أ ت ص]]+Table16[[#This Row],[قيمة مضافة]]</f>
        <v>0</v>
      </c>
      <c r="M148" s="1">
        <f>M147+Table16[[#This Row],[اجمالي الفاتوره]]-Table16[[#This Row],[الدفعات]]</f>
        <v>1.4899999999979627</v>
      </c>
    </row>
    <row r="149" spans="11:13" ht="26.25" customHeight="1" x14ac:dyDescent="0.3">
      <c r="K149" s="1">
        <f>Table16[[#This Row],[النولون]]+Table16[[#This Row],[الايصالات]]-Table16[[#This Row],[خصم أ ت ص]]+Table16[[#This Row],[قيمة مضافة]]</f>
        <v>0</v>
      </c>
      <c r="M149" s="1">
        <f>M148+Table16[[#This Row],[اجمالي الفاتوره]]-Table16[[#This Row],[الدفعات]]</f>
        <v>1.4899999999979627</v>
      </c>
    </row>
    <row r="150" spans="11:13" ht="26.25" customHeight="1" x14ac:dyDescent="0.3">
      <c r="K150" s="1">
        <f>Table16[[#This Row],[النولون]]+Table16[[#This Row],[الايصالات]]-Table16[[#This Row],[خصم أ ت ص]]+Table16[[#This Row],[قيمة مضافة]]</f>
        <v>0</v>
      </c>
      <c r="M150" s="1">
        <f>M149+Table16[[#This Row],[اجمالي الفاتوره]]-Table16[[#This Row],[الدفعات]]</f>
        <v>1.4899999999979627</v>
      </c>
    </row>
    <row r="151" spans="11:13" ht="26.25" customHeight="1" x14ac:dyDescent="0.3">
      <c r="K151" s="1">
        <f>Table16[[#This Row],[النولون]]+Table16[[#This Row],[الايصالات]]-Table16[[#This Row],[خصم أ ت ص]]+Table16[[#This Row],[قيمة مضافة]]</f>
        <v>0</v>
      </c>
      <c r="M151" s="1">
        <f>M150+Table16[[#This Row],[اجمالي الفاتوره]]-Table16[[#This Row],[الدفعات]]</f>
        <v>1.4899999999979627</v>
      </c>
    </row>
    <row r="152" spans="11:13" ht="26.25" customHeight="1" x14ac:dyDescent="0.3">
      <c r="K152" s="1">
        <f>Table16[[#This Row],[النولون]]+Table16[[#This Row],[الايصالات]]-Table16[[#This Row],[خصم أ ت ص]]+Table16[[#This Row],[قيمة مضافة]]</f>
        <v>0</v>
      </c>
      <c r="M152" s="1">
        <f>M151+Table16[[#This Row],[اجمالي الفاتوره]]-Table16[[#This Row],[الدفعات]]</f>
        <v>1.4899999999979627</v>
      </c>
    </row>
    <row r="153" spans="11:13" ht="26.25" customHeight="1" x14ac:dyDescent="0.3">
      <c r="K153" s="1">
        <f>Table16[[#This Row],[النولون]]+Table16[[#This Row],[الايصالات]]-Table16[[#This Row],[خصم أ ت ص]]+Table16[[#This Row],[قيمة مضافة]]</f>
        <v>0</v>
      </c>
      <c r="M153" s="1">
        <f>M152+Table16[[#This Row],[اجمالي الفاتوره]]-Table16[[#This Row],[الدفعات]]</f>
        <v>1.4899999999979627</v>
      </c>
    </row>
    <row r="154" spans="11:13" ht="26.25" customHeight="1" x14ac:dyDescent="0.3">
      <c r="K154" s="1">
        <f>Table16[[#This Row],[النولون]]+Table16[[#This Row],[الايصالات]]-Table16[[#This Row],[خصم أ ت ص]]+Table16[[#This Row],[قيمة مضافة]]</f>
        <v>0</v>
      </c>
      <c r="M154" s="1">
        <f>M153+Table16[[#This Row],[اجمالي الفاتوره]]-Table16[[#This Row],[الدفعات]]</f>
        <v>1.4899999999979627</v>
      </c>
    </row>
    <row r="155" spans="11:13" ht="26.25" customHeight="1" x14ac:dyDescent="0.3">
      <c r="K155" s="1">
        <f>Table16[[#This Row],[النولون]]+Table16[[#This Row],[الايصالات]]-Table16[[#This Row],[خصم أ ت ص]]+Table16[[#This Row],[قيمة مضافة]]</f>
        <v>0</v>
      </c>
      <c r="M155" s="1">
        <f>M154+Table16[[#This Row],[اجمالي الفاتوره]]-Table16[[#This Row],[الدفعات]]</f>
        <v>1.4899999999979627</v>
      </c>
    </row>
    <row r="156" spans="11:13" ht="26.25" customHeight="1" x14ac:dyDescent="0.3">
      <c r="K156" s="1">
        <f>Table16[[#This Row],[النولون]]+Table16[[#This Row],[الايصالات]]-Table16[[#This Row],[خصم أ ت ص]]+Table16[[#This Row],[قيمة مضافة]]</f>
        <v>0</v>
      </c>
      <c r="M156" s="1">
        <f>M155+Table16[[#This Row],[اجمالي الفاتوره]]-Table16[[#This Row],[الدفعات]]</f>
        <v>1.4899999999979627</v>
      </c>
    </row>
    <row r="157" spans="11:13" ht="26.25" customHeight="1" x14ac:dyDescent="0.3">
      <c r="K157" s="1">
        <f>Table16[[#This Row],[النولون]]+Table16[[#This Row],[الايصالات]]-Table16[[#This Row],[خصم أ ت ص]]+Table16[[#This Row],[قيمة مضافة]]</f>
        <v>0</v>
      </c>
      <c r="M157" s="1">
        <f>M156+Table16[[#This Row],[اجمالي الفاتوره]]-Table16[[#This Row],[الدفعات]]</f>
        <v>1.4899999999979627</v>
      </c>
    </row>
    <row r="158" spans="11:13" ht="26.25" customHeight="1" x14ac:dyDescent="0.3">
      <c r="K158" s="1">
        <f>Table16[[#This Row],[النولون]]+Table16[[#This Row],[الايصالات]]-Table16[[#This Row],[خصم أ ت ص]]+Table16[[#This Row],[قيمة مضافة]]</f>
        <v>0</v>
      </c>
      <c r="M158" s="1">
        <f>M157+Table16[[#This Row],[اجمالي الفاتوره]]-Table16[[#This Row],[الدفعات]]</f>
        <v>1.4899999999979627</v>
      </c>
    </row>
    <row r="159" spans="11:13" ht="26.25" customHeight="1" x14ac:dyDescent="0.3">
      <c r="K159" s="1">
        <f>Table16[[#This Row],[النولون]]+Table16[[#This Row],[الايصالات]]-Table16[[#This Row],[خصم أ ت ص]]+Table16[[#This Row],[قيمة مضافة]]</f>
        <v>0</v>
      </c>
      <c r="M159" s="1">
        <f>M158+Table16[[#This Row],[اجمالي الفاتوره]]-Table16[[#This Row],[الدفعات]]</f>
        <v>1.4899999999979627</v>
      </c>
    </row>
    <row r="160" spans="11:13" ht="26.25" customHeight="1" x14ac:dyDescent="0.3">
      <c r="K160" s="1">
        <f>Table16[[#This Row],[النولون]]+Table16[[#This Row],[الايصالات]]-Table16[[#This Row],[خصم أ ت ص]]+Table16[[#This Row],[قيمة مضافة]]</f>
        <v>0</v>
      </c>
      <c r="M160" s="1">
        <f>M159+Table16[[#This Row],[اجمالي الفاتوره]]-Table16[[#This Row],[الدفعات]]</f>
        <v>1.4899999999979627</v>
      </c>
    </row>
    <row r="161" spans="11:13" ht="26.25" customHeight="1" x14ac:dyDescent="0.3">
      <c r="K161" s="1">
        <f>Table16[[#This Row],[النولون]]+Table16[[#This Row],[الايصالات]]-Table16[[#This Row],[خصم أ ت ص]]+Table16[[#This Row],[قيمة مضافة]]</f>
        <v>0</v>
      </c>
      <c r="M161" s="1">
        <f>M160+Table16[[#This Row],[اجمالي الفاتوره]]-Table16[[#This Row],[الدفعات]]</f>
        <v>1.4899999999979627</v>
      </c>
    </row>
    <row r="162" spans="11:13" ht="26.25" customHeight="1" x14ac:dyDescent="0.3">
      <c r="K162" s="1">
        <f>Table16[[#This Row],[النولون]]+Table16[[#This Row],[الايصالات]]-Table16[[#This Row],[خصم أ ت ص]]+Table16[[#This Row],[قيمة مضافة]]</f>
        <v>0</v>
      </c>
      <c r="M162" s="1">
        <f>M161+Table16[[#This Row],[اجمالي الفاتوره]]-Table16[[#This Row],[الدفعات]]</f>
        <v>1.4899999999979627</v>
      </c>
    </row>
    <row r="163" spans="11:13" ht="26.25" customHeight="1" x14ac:dyDescent="0.3">
      <c r="K163" s="1">
        <f>Table16[[#This Row],[النولون]]+Table16[[#This Row],[الايصالات]]-Table16[[#This Row],[خصم أ ت ص]]+Table16[[#This Row],[قيمة مضافة]]</f>
        <v>0</v>
      </c>
      <c r="M163" s="1">
        <f>M162+Table16[[#This Row],[اجمالي الفاتوره]]-Table16[[#This Row],[الدفعات]]</f>
        <v>1.4899999999979627</v>
      </c>
    </row>
    <row r="164" spans="11:13" ht="26.25" customHeight="1" x14ac:dyDescent="0.3">
      <c r="K164" s="1">
        <f>Table16[[#This Row],[النولون]]+Table16[[#This Row],[الايصالات]]-Table16[[#This Row],[خصم أ ت ص]]+Table16[[#This Row],[قيمة مضافة]]</f>
        <v>0</v>
      </c>
      <c r="M164" s="1">
        <f>M163+Table16[[#This Row],[اجمالي الفاتوره]]-Table16[[#This Row],[الدفعات]]</f>
        <v>1.4899999999979627</v>
      </c>
    </row>
    <row r="165" spans="11:13" ht="26.25" customHeight="1" x14ac:dyDescent="0.3">
      <c r="K165" s="1">
        <f>Table16[[#This Row],[النولون]]+Table16[[#This Row],[الايصالات]]-Table16[[#This Row],[خصم أ ت ص]]+Table16[[#This Row],[قيمة مضافة]]</f>
        <v>0</v>
      </c>
      <c r="M165" s="1">
        <f>M164+Table16[[#This Row],[اجمالي الفاتوره]]-Table16[[#This Row],[الدفعات]]</f>
        <v>1.4899999999979627</v>
      </c>
    </row>
    <row r="166" spans="11:13" ht="26.25" customHeight="1" x14ac:dyDescent="0.3">
      <c r="K166" s="1">
        <f>Table16[[#This Row],[النولون]]+Table16[[#This Row],[الايصالات]]-Table16[[#This Row],[خصم أ ت ص]]+Table16[[#This Row],[قيمة مضافة]]</f>
        <v>0</v>
      </c>
      <c r="M166" s="1">
        <f>M165+Table16[[#This Row],[اجمالي الفاتوره]]-Table16[[#This Row],[الدفعات]]</f>
        <v>1.4899999999979627</v>
      </c>
    </row>
    <row r="167" spans="11:13" ht="26.25" customHeight="1" x14ac:dyDescent="0.3">
      <c r="K167" s="1">
        <f>Table16[[#This Row],[النولون]]+Table16[[#This Row],[الايصالات]]-Table16[[#This Row],[خصم أ ت ص]]+Table16[[#This Row],[قيمة مضافة]]</f>
        <v>0</v>
      </c>
      <c r="M167" s="1">
        <f>M166+Table16[[#This Row],[اجمالي الفاتوره]]-Table16[[#This Row],[الدفعات]]</f>
        <v>1.4899999999979627</v>
      </c>
    </row>
    <row r="168" spans="11:13" ht="26.25" customHeight="1" x14ac:dyDescent="0.3">
      <c r="K168" s="1">
        <f>Table16[[#This Row],[النولون]]+Table16[[#This Row],[الايصالات]]-Table16[[#This Row],[خصم أ ت ص]]+Table16[[#This Row],[قيمة مضافة]]</f>
        <v>0</v>
      </c>
      <c r="M168" s="1">
        <f>M167+Table16[[#This Row],[اجمالي الفاتوره]]-Table16[[#This Row],[الدفعات]]</f>
        <v>1.4899999999979627</v>
      </c>
    </row>
    <row r="169" spans="11:13" ht="26.25" customHeight="1" x14ac:dyDescent="0.3">
      <c r="K169" s="1">
        <f>Table16[[#This Row],[النولون]]+Table16[[#This Row],[الايصالات]]-Table16[[#This Row],[خصم أ ت ص]]+Table16[[#This Row],[قيمة مضافة]]</f>
        <v>0</v>
      </c>
      <c r="M169" s="1">
        <f>M168+Table16[[#This Row],[اجمالي الفاتوره]]-Table16[[#This Row],[الدفعات]]</f>
        <v>1.4899999999979627</v>
      </c>
    </row>
    <row r="170" spans="11:13" ht="26.25" customHeight="1" x14ac:dyDescent="0.3">
      <c r="K170" s="1">
        <f>Table16[[#This Row],[النولون]]+Table16[[#This Row],[الايصالات]]-Table16[[#This Row],[خصم أ ت ص]]+Table16[[#This Row],[قيمة مضافة]]</f>
        <v>0</v>
      </c>
      <c r="M170" s="1">
        <f>M169+Table16[[#This Row],[اجمالي الفاتوره]]-Table16[[#This Row],[الدفعات]]</f>
        <v>1.4899999999979627</v>
      </c>
    </row>
    <row r="171" spans="11:13" ht="26.25" customHeight="1" x14ac:dyDescent="0.3">
      <c r="K171" s="1">
        <f>Table16[[#This Row],[النولون]]+Table16[[#This Row],[الايصالات]]-Table16[[#This Row],[خصم أ ت ص]]+Table16[[#This Row],[قيمة مضافة]]</f>
        <v>0</v>
      </c>
      <c r="M171" s="1">
        <f>M170+Table16[[#This Row],[اجمالي الفاتوره]]-Table16[[#This Row],[الدفعات]]</f>
        <v>1.4899999999979627</v>
      </c>
    </row>
    <row r="172" spans="11:13" ht="26.25" customHeight="1" x14ac:dyDescent="0.3">
      <c r="K172" s="1">
        <f>Table16[[#This Row],[النولون]]+Table16[[#This Row],[الايصالات]]-Table16[[#This Row],[خصم أ ت ص]]+Table16[[#This Row],[قيمة مضافة]]</f>
        <v>0</v>
      </c>
      <c r="M172" s="1">
        <f>M171+Table16[[#This Row],[اجمالي الفاتوره]]-Table16[[#This Row],[الدفعات]]</f>
        <v>1.4899999999979627</v>
      </c>
    </row>
    <row r="173" spans="11:13" ht="26.25" customHeight="1" x14ac:dyDescent="0.3">
      <c r="K173" s="1">
        <f>Table16[[#This Row],[النولون]]+Table16[[#This Row],[الايصالات]]-Table16[[#This Row],[خصم أ ت ص]]+Table16[[#This Row],[قيمة مضافة]]</f>
        <v>0</v>
      </c>
      <c r="M173" s="1">
        <f>M172+Table16[[#This Row],[اجمالي الفاتوره]]-Table16[[#This Row],[الدفعات]]</f>
        <v>1.4899999999979627</v>
      </c>
    </row>
    <row r="174" spans="11:13" ht="26.25" customHeight="1" x14ac:dyDescent="0.3">
      <c r="K174" s="1">
        <f>Table16[[#This Row],[النولون]]+Table16[[#This Row],[الايصالات]]-Table16[[#This Row],[خصم أ ت ص]]+Table16[[#This Row],[قيمة مضافة]]</f>
        <v>0</v>
      </c>
      <c r="M174" s="1">
        <f>M173+Table16[[#This Row],[اجمالي الفاتوره]]-Table16[[#This Row],[الدفعات]]</f>
        <v>1.4899999999979627</v>
      </c>
    </row>
    <row r="175" spans="11:13" ht="26.25" customHeight="1" x14ac:dyDescent="0.3">
      <c r="K175" s="1">
        <f>Table16[[#This Row],[النولون]]+Table16[[#This Row],[الايصالات]]-Table16[[#This Row],[خصم أ ت ص]]+Table16[[#This Row],[قيمة مضافة]]</f>
        <v>0</v>
      </c>
      <c r="M175" s="1">
        <f>M174+Table16[[#This Row],[اجمالي الفاتوره]]-Table16[[#This Row],[الدفعات]]</f>
        <v>1.4899999999979627</v>
      </c>
    </row>
    <row r="176" spans="11:13" ht="26.25" customHeight="1" x14ac:dyDescent="0.3">
      <c r="K176" s="1">
        <f>Table16[[#This Row],[النولون]]+Table16[[#This Row],[الايصالات]]-Table16[[#This Row],[خصم أ ت ص]]+Table16[[#This Row],[قيمة مضافة]]</f>
        <v>0</v>
      </c>
      <c r="M176" s="1">
        <f>M175+Table16[[#This Row],[اجمالي الفاتوره]]-Table16[[#This Row],[الدفعات]]</f>
        <v>1.4899999999979627</v>
      </c>
    </row>
    <row r="177" spans="11:13" ht="26.25" customHeight="1" x14ac:dyDescent="0.3">
      <c r="K177" s="1">
        <f>Table16[[#This Row],[النولون]]+Table16[[#This Row],[الايصالات]]-Table16[[#This Row],[خصم أ ت ص]]+Table16[[#This Row],[قيمة مضافة]]</f>
        <v>0</v>
      </c>
      <c r="M177" s="1">
        <f>M176+Table16[[#This Row],[اجمالي الفاتوره]]-Table16[[#This Row],[الدفعات]]</f>
        <v>1.4899999999979627</v>
      </c>
    </row>
    <row r="178" spans="11:13" ht="26.25" customHeight="1" x14ac:dyDescent="0.3">
      <c r="K178" s="1">
        <f>Table16[[#This Row],[النولون]]+Table16[[#This Row],[الايصالات]]-Table16[[#This Row],[خصم أ ت ص]]+Table16[[#This Row],[قيمة مضافة]]</f>
        <v>0</v>
      </c>
      <c r="M178" s="1">
        <f>M177+Table16[[#This Row],[اجمالي الفاتوره]]-Table16[[#This Row],[الدفعات]]</f>
        <v>1.4899999999979627</v>
      </c>
    </row>
    <row r="179" spans="11:13" ht="26.25" customHeight="1" x14ac:dyDescent="0.3">
      <c r="K179" s="1">
        <f>Table16[[#This Row],[النولون]]+Table16[[#This Row],[الايصالات]]-Table16[[#This Row],[خصم أ ت ص]]+Table16[[#This Row],[قيمة مضافة]]</f>
        <v>0</v>
      </c>
      <c r="M179" s="1">
        <f>M178+Table16[[#This Row],[اجمالي الفاتوره]]-Table16[[#This Row],[الدفعات]]</f>
        <v>1.4899999999979627</v>
      </c>
    </row>
    <row r="180" spans="11:13" ht="26.25" customHeight="1" x14ac:dyDescent="0.3">
      <c r="K180" s="1">
        <f>Table16[[#This Row],[النولون]]+Table16[[#This Row],[الايصالات]]-Table16[[#This Row],[خصم أ ت ص]]+Table16[[#This Row],[قيمة مضافة]]</f>
        <v>0</v>
      </c>
      <c r="M180" s="1">
        <f>M179+Table16[[#This Row],[اجمالي الفاتوره]]-Table16[[#This Row],[الدفعات]]</f>
        <v>1.4899999999979627</v>
      </c>
    </row>
    <row r="181" spans="11:13" ht="26.25" customHeight="1" x14ac:dyDescent="0.3">
      <c r="K181" s="1">
        <f>Table16[[#This Row],[النولون]]+Table16[[#This Row],[الايصالات]]-Table16[[#This Row],[خصم أ ت ص]]+Table16[[#This Row],[قيمة مضافة]]</f>
        <v>0</v>
      </c>
      <c r="M181" s="1">
        <f>M180+Table16[[#This Row],[اجمالي الفاتوره]]-Table16[[#This Row],[الدفعات]]</f>
        <v>1.4899999999979627</v>
      </c>
    </row>
    <row r="182" spans="11:13" ht="26.25" customHeight="1" x14ac:dyDescent="0.3">
      <c r="K182" s="1">
        <f>Table16[[#This Row],[النولون]]+Table16[[#This Row],[الايصالات]]-Table16[[#This Row],[خصم أ ت ص]]+Table16[[#This Row],[قيمة مضافة]]</f>
        <v>0</v>
      </c>
      <c r="M182" s="1">
        <f>M181+Table16[[#This Row],[اجمالي الفاتوره]]-Table16[[#This Row],[الدفعات]]</f>
        <v>1.4899999999979627</v>
      </c>
    </row>
    <row r="183" spans="11:13" ht="26.25" customHeight="1" x14ac:dyDescent="0.3">
      <c r="K183" s="1">
        <f>Table16[[#This Row],[النولون]]+Table16[[#This Row],[الايصالات]]-Table16[[#This Row],[خصم أ ت ص]]+Table16[[#This Row],[قيمة مضافة]]</f>
        <v>0</v>
      </c>
      <c r="M183" s="1">
        <f>M182+Table16[[#This Row],[اجمالي الفاتوره]]-Table16[[#This Row],[الدفعات]]</f>
        <v>1.4899999999979627</v>
      </c>
    </row>
    <row r="184" spans="11:13" ht="26.25" customHeight="1" x14ac:dyDescent="0.3">
      <c r="K184" s="1">
        <f>Table16[[#This Row],[النولون]]+Table16[[#This Row],[الايصالات]]-Table16[[#This Row],[خصم أ ت ص]]+Table16[[#This Row],[قيمة مضافة]]</f>
        <v>0</v>
      </c>
      <c r="M184" s="1">
        <f>M183+Table16[[#This Row],[اجمالي الفاتوره]]-Table16[[#This Row],[الدفعات]]</f>
        <v>1.4899999999979627</v>
      </c>
    </row>
    <row r="185" spans="11:13" ht="26.25" customHeight="1" x14ac:dyDescent="0.3">
      <c r="K185" s="1">
        <f>Table16[[#This Row],[النولون]]+Table16[[#This Row],[الايصالات]]-Table16[[#This Row],[خصم أ ت ص]]+Table16[[#This Row],[قيمة مضافة]]</f>
        <v>0</v>
      </c>
      <c r="M185" s="1">
        <f>M184+Table16[[#This Row],[اجمالي الفاتوره]]-Table16[[#This Row],[الدفعات]]</f>
        <v>1.4899999999979627</v>
      </c>
    </row>
    <row r="186" spans="11:13" ht="26.25" customHeight="1" x14ac:dyDescent="0.3">
      <c r="K186" s="1">
        <f>Table16[[#This Row],[النولون]]+Table16[[#This Row],[الايصالات]]-Table16[[#This Row],[خصم أ ت ص]]+Table16[[#This Row],[قيمة مضافة]]</f>
        <v>0</v>
      </c>
      <c r="M186" s="1">
        <f>M185+Table16[[#This Row],[اجمالي الفاتوره]]-Table16[[#This Row],[الدفعات]]</f>
        <v>1.4899999999979627</v>
      </c>
    </row>
    <row r="187" spans="11:13" ht="26.25" customHeight="1" x14ac:dyDescent="0.3">
      <c r="K187" s="1">
        <f>Table16[[#This Row],[النولون]]+Table16[[#This Row],[الايصالات]]-Table16[[#This Row],[خصم أ ت ص]]+Table16[[#This Row],[قيمة مضافة]]</f>
        <v>0</v>
      </c>
      <c r="M187" s="1">
        <f>M186+Table16[[#This Row],[اجمالي الفاتوره]]-Table16[[#This Row],[الدفعات]]</f>
        <v>1.4899999999979627</v>
      </c>
    </row>
    <row r="188" spans="11:13" ht="26.25" customHeight="1" x14ac:dyDescent="0.3">
      <c r="K188" s="1">
        <f>Table16[[#This Row],[النولون]]+Table16[[#This Row],[الايصالات]]-Table16[[#This Row],[خصم أ ت ص]]+Table16[[#This Row],[قيمة مضافة]]</f>
        <v>0</v>
      </c>
      <c r="M188" s="1">
        <f>M187+Table16[[#This Row],[اجمالي الفاتوره]]-Table16[[#This Row],[الدفعات]]</f>
        <v>1.4899999999979627</v>
      </c>
    </row>
    <row r="189" spans="11:13" ht="26.25" customHeight="1" x14ac:dyDescent="0.3">
      <c r="K189" s="1">
        <f>Table16[[#This Row],[النولون]]+Table16[[#This Row],[الايصالات]]-Table16[[#This Row],[خصم أ ت ص]]+Table16[[#This Row],[قيمة مضافة]]</f>
        <v>0</v>
      </c>
      <c r="M189" s="1">
        <f>M188+Table16[[#This Row],[اجمالي الفاتوره]]-Table16[[#This Row],[الدفعات]]</f>
        <v>1.4899999999979627</v>
      </c>
    </row>
    <row r="190" spans="11:13" ht="26.25" customHeight="1" x14ac:dyDescent="0.3">
      <c r="K190" s="1">
        <f>Table16[[#This Row],[النولون]]+Table16[[#This Row],[الايصالات]]-Table16[[#This Row],[خصم أ ت ص]]+Table16[[#This Row],[قيمة مضافة]]</f>
        <v>0</v>
      </c>
      <c r="M190" s="1">
        <f>M189+Table16[[#This Row],[اجمالي الفاتوره]]-Table16[[#This Row],[الدفعات]]</f>
        <v>1.4899999999979627</v>
      </c>
    </row>
    <row r="191" spans="11:13" ht="26.25" customHeight="1" x14ac:dyDescent="0.3">
      <c r="K191" s="1">
        <f>Table16[[#This Row],[النولون]]+Table16[[#This Row],[الايصالات]]-Table16[[#This Row],[خصم أ ت ص]]+Table16[[#This Row],[قيمة مضافة]]</f>
        <v>0</v>
      </c>
      <c r="M191" s="1">
        <f>M190+Table16[[#This Row],[اجمالي الفاتوره]]-Table16[[#This Row],[الدفعات]]</f>
        <v>1.4899999999979627</v>
      </c>
    </row>
    <row r="192" spans="11:13" ht="26.25" customHeight="1" x14ac:dyDescent="0.3">
      <c r="K192" s="1">
        <f>Table16[[#This Row],[النولون]]+Table16[[#This Row],[الايصالات]]-Table16[[#This Row],[خصم أ ت ص]]+Table16[[#This Row],[قيمة مضافة]]</f>
        <v>0</v>
      </c>
      <c r="M192" s="1">
        <f>M191+Table16[[#This Row],[اجمالي الفاتوره]]-Table16[[#This Row],[الدفعات]]</f>
        <v>1.4899999999979627</v>
      </c>
    </row>
    <row r="193" spans="11:13" ht="26.25" customHeight="1" x14ac:dyDescent="0.3">
      <c r="K193" s="1">
        <f>Table16[[#This Row],[النولون]]+Table16[[#This Row],[الايصالات]]-Table16[[#This Row],[خصم أ ت ص]]+Table16[[#This Row],[قيمة مضافة]]</f>
        <v>0</v>
      </c>
      <c r="M193" s="1">
        <f>M192+Table16[[#This Row],[اجمالي الفاتوره]]-Table16[[#This Row],[الدفعات]]</f>
        <v>1.4899999999979627</v>
      </c>
    </row>
    <row r="194" spans="11:13" ht="26.25" customHeight="1" x14ac:dyDescent="0.3">
      <c r="K194" s="1">
        <f>Table16[[#This Row],[النولون]]+Table16[[#This Row],[الايصالات]]-Table16[[#This Row],[خصم أ ت ص]]+Table16[[#This Row],[قيمة مضافة]]</f>
        <v>0</v>
      </c>
      <c r="M194" s="1">
        <f>M193+Table16[[#This Row],[اجمالي الفاتوره]]-Table16[[#This Row],[الدفعات]]</f>
        <v>1.4899999999979627</v>
      </c>
    </row>
    <row r="195" spans="11:13" ht="26.25" customHeight="1" x14ac:dyDescent="0.3">
      <c r="K195" s="1">
        <f>Table16[[#This Row],[النولون]]+Table16[[#This Row],[الايصالات]]-Table16[[#This Row],[خصم أ ت ص]]+Table16[[#This Row],[قيمة مضافة]]</f>
        <v>0</v>
      </c>
      <c r="M195" s="1">
        <f>M194+Table16[[#This Row],[اجمالي الفاتوره]]-Table16[[#This Row],[الدفعات]]</f>
        <v>1.4899999999979627</v>
      </c>
    </row>
    <row r="196" spans="11:13" ht="26.25" customHeight="1" x14ac:dyDescent="0.3">
      <c r="K196" s="1">
        <f>Table16[[#This Row],[النولون]]+Table16[[#This Row],[الايصالات]]-Table16[[#This Row],[خصم أ ت ص]]+Table16[[#This Row],[قيمة مضافة]]</f>
        <v>0</v>
      </c>
      <c r="M196" s="1">
        <f>M195+Table16[[#This Row],[اجمالي الفاتوره]]-Table16[[#This Row],[الدفعات]]</f>
        <v>1.4899999999979627</v>
      </c>
    </row>
    <row r="197" spans="11:13" ht="26.25" customHeight="1" x14ac:dyDescent="0.3">
      <c r="K197" s="1">
        <f>Table16[[#This Row],[النولون]]+Table16[[#This Row],[الايصالات]]-Table16[[#This Row],[خصم أ ت ص]]+Table16[[#This Row],[قيمة مضافة]]</f>
        <v>0</v>
      </c>
      <c r="M197" s="1">
        <f>M196+Table16[[#This Row],[اجمالي الفاتوره]]-Table16[[#This Row],[الدفعات]]</f>
        <v>1.4899999999979627</v>
      </c>
    </row>
    <row r="198" spans="11:13" ht="26.25" customHeight="1" x14ac:dyDescent="0.3">
      <c r="K198" s="1">
        <f>Table16[[#This Row],[النولون]]+Table16[[#This Row],[الايصالات]]-Table16[[#This Row],[خصم أ ت ص]]+Table16[[#This Row],[قيمة مضافة]]</f>
        <v>0</v>
      </c>
      <c r="M198" s="1">
        <f>M197+Table16[[#This Row],[اجمالي الفاتوره]]-Table16[[#This Row],[الدفعات]]</f>
        <v>1.4899999999979627</v>
      </c>
    </row>
    <row r="199" spans="11:13" ht="26.25" customHeight="1" x14ac:dyDescent="0.3">
      <c r="K199" s="1">
        <f>Table16[[#This Row],[النولون]]+Table16[[#This Row],[الايصالات]]-Table16[[#This Row],[خصم أ ت ص]]+Table16[[#This Row],[قيمة مضافة]]</f>
        <v>0</v>
      </c>
      <c r="M199" s="1">
        <f>M198+Table16[[#This Row],[اجمالي الفاتوره]]-Table16[[#This Row],[الدفعات]]</f>
        <v>1.4899999999979627</v>
      </c>
    </row>
    <row r="200" spans="11:13" ht="26.25" customHeight="1" x14ac:dyDescent="0.3">
      <c r="K200" s="1">
        <f>Table16[[#This Row],[النولون]]+Table16[[#This Row],[الايصالات]]-Table16[[#This Row],[خصم أ ت ص]]+Table16[[#This Row],[قيمة مضافة]]</f>
        <v>0</v>
      </c>
      <c r="M200" s="1">
        <f>M199+Table16[[#This Row],[اجمالي الفاتوره]]-Table16[[#This Row],[الدفعات]]</f>
        <v>1.4899999999979627</v>
      </c>
    </row>
    <row r="201" spans="11:13" ht="26.25" customHeight="1" x14ac:dyDescent="0.3">
      <c r="K201" s="1">
        <f>Table16[[#This Row],[النولون]]+Table16[[#This Row],[الايصالات]]-Table16[[#This Row],[خصم أ ت ص]]+Table16[[#This Row],[قيمة مضافة]]</f>
        <v>0</v>
      </c>
      <c r="M201" s="1">
        <f>M200+Table16[[#This Row],[اجمالي الفاتوره]]-Table16[[#This Row],[الدفعات]]</f>
        <v>1.4899999999979627</v>
      </c>
    </row>
    <row r="202" spans="11:13" ht="26.25" customHeight="1" x14ac:dyDescent="0.3">
      <c r="K202" s="1">
        <f>Table16[[#This Row],[النولون]]+Table16[[#This Row],[الايصالات]]-Table16[[#This Row],[خصم أ ت ص]]+Table16[[#This Row],[قيمة مضافة]]</f>
        <v>0</v>
      </c>
      <c r="M202" s="1">
        <f>M201+Table16[[#This Row],[اجمالي الفاتوره]]-Table16[[#This Row],[الدفعات]]</f>
        <v>1.4899999999979627</v>
      </c>
    </row>
    <row r="203" spans="11:13" ht="26.25" customHeight="1" x14ac:dyDescent="0.3">
      <c r="K203" s="1">
        <f>Table16[[#This Row],[النولون]]+Table16[[#This Row],[الايصالات]]-Table16[[#This Row],[خصم أ ت ص]]+Table16[[#This Row],[قيمة مضافة]]</f>
        <v>0</v>
      </c>
      <c r="M203" s="1">
        <f>M202+Table16[[#This Row],[اجمالي الفاتوره]]-Table16[[#This Row],[الدفعات]]</f>
        <v>1.4899999999979627</v>
      </c>
    </row>
    <row r="204" spans="11:13" ht="26.25" customHeight="1" x14ac:dyDescent="0.3">
      <c r="K204" s="1">
        <f>Table16[[#This Row],[النولون]]+Table16[[#This Row],[الايصالات]]-Table16[[#This Row],[خصم أ ت ص]]+Table16[[#This Row],[قيمة مضافة]]</f>
        <v>0</v>
      </c>
      <c r="M204" s="1">
        <f>M203+Table16[[#This Row],[اجمالي الفاتوره]]-Table16[[#This Row],[الدفعات]]</f>
        <v>1.4899999999979627</v>
      </c>
    </row>
    <row r="205" spans="11:13" ht="26.25" customHeight="1" x14ac:dyDescent="0.3">
      <c r="K205" s="1">
        <f>Table16[[#This Row],[النولون]]+Table16[[#This Row],[الايصالات]]-Table16[[#This Row],[خصم أ ت ص]]+Table16[[#This Row],[قيمة مضافة]]</f>
        <v>0</v>
      </c>
      <c r="M205" s="1">
        <f>M204+Table16[[#This Row],[اجمالي الفاتوره]]-Table16[[#This Row],[الدفعات]]</f>
        <v>1.4899999999979627</v>
      </c>
    </row>
    <row r="206" spans="11:13" ht="26.25" customHeight="1" x14ac:dyDescent="0.3">
      <c r="K206" s="1">
        <f>Table16[[#This Row],[النولون]]+Table16[[#This Row],[الايصالات]]-Table16[[#This Row],[خصم أ ت ص]]+Table16[[#This Row],[قيمة مضافة]]</f>
        <v>0</v>
      </c>
      <c r="M206" s="1">
        <f>M205+Table16[[#This Row],[اجمالي الفاتوره]]-Table16[[#This Row],[الدفعات]]</f>
        <v>1.4899999999979627</v>
      </c>
    </row>
    <row r="207" spans="11:13" ht="26.25" customHeight="1" x14ac:dyDescent="0.3">
      <c r="K207" s="1">
        <f>Table16[[#This Row],[النولون]]+Table16[[#This Row],[الايصالات]]-Table16[[#This Row],[خصم أ ت ص]]+Table16[[#This Row],[قيمة مضافة]]</f>
        <v>0</v>
      </c>
      <c r="M207" s="1">
        <f>M206+Table16[[#This Row],[اجمالي الفاتوره]]-Table16[[#This Row],[الدفعات]]</f>
        <v>1.4899999999979627</v>
      </c>
    </row>
    <row r="208" spans="11:13" ht="26.25" customHeight="1" x14ac:dyDescent="0.3">
      <c r="K208" s="1">
        <f>Table16[[#This Row],[النولون]]+Table16[[#This Row],[الايصالات]]-Table16[[#This Row],[خصم أ ت ص]]+Table16[[#This Row],[قيمة مضافة]]</f>
        <v>0</v>
      </c>
      <c r="M208" s="1">
        <f>M207+Table16[[#This Row],[اجمالي الفاتوره]]-Table16[[#This Row],[الدفعات]]</f>
        <v>1.4899999999979627</v>
      </c>
    </row>
    <row r="209" spans="11:13" ht="26.25" customHeight="1" x14ac:dyDescent="0.3">
      <c r="K209" s="1">
        <f>Table16[[#This Row],[النولون]]+Table16[[#This Row],[الايصالات]]-Table16[[#This Row],[خصم أ ت ص]]+Table16[[#This Row],[قيمة مضافة]]</f>
        <v>0</v>
      </c>
      <c r="M209" s="1">
        <f>M208+Table16[[#This Row],[اجمالي الفاتوره]]-Table16[[#This Row],[الدفعات]]</f>
        <v>1.4899999999979627</v>
      </c>
    </row>
    <row r="210" spans="11:13" ht="26.25" customHeight="1" x14ac:dyDescent="0.3">
      <c r="K210" s="1">
        <f>Table16[[#This Row],[النولون]]+Table16[[#This Row],[الايصالات]]-Table16[[#This Row],[خصم أ ت ص]]+Table16[[#This Row],[قيمة مضافة]]</f>
        <v>0</v>
      </c>
      <c r="M210" s="1">
        <f>M209+Table16[[#This Row],[اجمالي الفاتوره]]-Table16[[#This Row],[الدفعات]]</f>
        <v>1.4899999999979627</v>
      </c>
    </row>
    <row r="211" spans="11:13" ht="26.25" customHeight="1" x14ac:dyDescent="0.3">
      <c r="K211" s="1">
        <f>Table16[[#This Row],[النولون]]+Table16[[#This Row],[الايصالات]]-Table16[[#This Row],[خصم أ ت ص]]+Table16[[#This Row],[قيمة مضافة]]</f>
        <v>0</v>
      </c>
      <c r="M211" s="1">
        <f>M210+Table16[[#This Row],[اجمالي الفاتوره]]-Table16[[#This Row],[الدفعات]]</f>
        <v>1.4899999999979627</v>
      </c>
    </row>
    <row r="212" spans="11:13" ht="26.25" customHeight="1" x14ac:dyDescent="0.3">
      <c r="K212" s="1">
        <f>Table16[[#This Row],[النولون]]+Table16[[#This Row],[الايصالات]]-Table16[[#This Row],[خصم أ ت ص]]+Table16[[#This Row],[قيمة مضافة]]</f>
        <v>0</v>
      </c>
      <c r="M212" s="1">
        <f>M211+Table16[[#This Row],[اجمالي الفاتوره]]-Table16[[#This Row],[الدفعات]]</f>
        <v>1.4899999999979627</v>
      </c>
    </row>
    <row r="213" spans="11:13" ht="26.25" customHeight="1" x14ac:dyDescent="0.3">
      <c r="K213" s="1">
        <f>Table16[[#This Row],[النولون]]+Table16[[#This Row],[الايصالات]]-Table16[[#This Row],[خصم أ ت ص]]+Table16[[#This Row],[قيمة مضافة]]</f>
        <v>0</v>
      </c>
      <c r="M213" s="1">
        <f>M212+Table16[[#This Row],[اجمالي الفاتوره]]-Table16[[#This Row],[الدفعات]]</f>
        <v>1.4899999999979627</v>
      </c>
    </row>
    <row r="214" spans="11:13" ht="26.25" customHeight="1" x14ac:dyDescent="0.3">
      <c r="K214" s="1">
        <f>Table16[[#This Row],[النولون]]+Table16[[#This Row],[الايصالات]]-Table16[[#This Row],[خصم أ ت ص]]+Table16[[#This Row],[قيمة مضافة]]</f>
        <v>0</v>
      </c>
      <c r="M214" s="1">
        <f>M213+Table16[[#This Row],[اجمالي الفاتوره]]-Table16[[#This Row],[الدفعات]]</f>
        <v>1.4899999999979627</v>
      </c>
    </row>
    <row r="215" spans="11:13" ht="26.25" customHeight="1" x14ac:dyDescent="0.3">
      <c r="K215" s="1">
        <f>Table16[[#This Row],[النولون]]+Table16[[#This Row],[الايصالات]]-Table16[[#This Row],[خصم أ ت ص]]+Table16[[#This Row],[قيمة مضافة]]</f>
        <v>0</v>
      </c>
      <c r="M215" s="1">
        <f>M214+Table16[[#This Row],[اجمالي الفاتوره]]-Table16[[#This Row],[الدفعات]]</f>
        <v>1.4899999999979627</v>
      </c>
    </row>
    <row r="216" spans="11:13" ht="26.25" customHeight="1" x14ac:dyDescent="0.3">
      <c r="K216" s="1">
        <f>Table16[[#This Row],[النولون]]+Table16[[#This Row],[الايصالات]]-Table16[[#This Row],[خصم أ ت ص]]+Table16[[#This Row],[قيمة مضافة]]</f>
        <v>0</v>
      </c>
      <c r="M216" s="1">
        <f>M215+Table16[[#This Row],[اجمالي الفاتوره]]-Table16[[#This Row],[الدفعات]]</f>
        <v>1.4899999999979627</v>
      </c>
    </row>
    <row r="217" spans="11:13" ht="26.25" customHeight="1" x14ac:dyDescent="0.3">
      <c r="K217" s="1">
        <f>Table16[[#This Row],[النولون]]+Table16[[#This Row],[الايصالات]]-Table16[[#This Row],[خصم أ ت ص]]+Table16[[#This Row],[قيمة مضافة]]</f>
        <v>0</v>
      </c>
      <c r="M217" s="1">
        <f>M216+Table16[[#This Row],[اجمالي الفاتوره]]-Table16[[#This Row],[الدفعات]]</f>
        <v>1.4899999999979627</v>
      </c>
    </row>
    <row r="218" spans="11:13" ht="26.25" customHeight="1" x14ac:dyDescent="0.3">
      <c r="K218" s="1">
        <f>Table16[[#This Row],[النولون]]+Table16[[#This Row],[الايصالات]]-Table16[[#This Row],[خصم أ ت ص]]+Table16[[#This Row],[قيمة مضافة]]</f>
        <v>0</v>
      </c>
      <c r="M218" s="1">
        <f>M217+Table16[[#This Row],[اجمالي الفاتوره]]-Table16[[#This Row],[الدفعات]]</f>
        <v>1.4899999999979627</v>
      </c>
    </row>
    <row r="219" spans="11:13" ht="26.25" customHeight="1" x14ac:dyDescent="0.3">
      <c r="K219" s="1">
        <f>Table16[[#This Row],[النولون]]+Table16[[#This Row],[الايصالات]]-Table16[[#This Row],[خصم أ ت ص]]+Table16[[#This Row],[قيمة مضافة]]</f>
        <v>0</v>
      </c>
      <c r="M219" s="1">
        <f>M218+Table16[[#This Row],[اجمالي الفاتوره]]-Table16[[#This Row],[الدفعات]]</f>
        <v>1.4899999999979627</v>
      </c>
    </row>
    <row r="220" spans="11:13" ht="26.25" customHeight="1" x14ac:dyDescent="0.3">
      <c r="K220" s="1">
        <f>Table16[[#This Row],[النولون]]+Table16[[#This Row],[الايصالات]]-Table16[[#This Row],[خصم أ ت ص]]+Table16[[#This Row],[قيمة مضافة]]</f>
        <v>0</v>
      </c>
      <c r="M220" s="1">
        <f>M219+Table16[[#This Row],[اجمالي الفاتوره]]-Table16[[#This Row],[الدفعات]]</f>
        <v>1.4899999999979627</v>
      </c>
    </row>
    <row r="221" spans="11:13" ht="26.25" customHeight="1" x14ac:dyDescent="0.3">
      <c r="K221" s="1">
        <f>Table16[[#This Row],[النولون]]+Table16[[#This Row],[الايصالات]]-Table16[[#This Row],[خصم أ ت ص]]+Table16[[#This Row],[قيمة مضافة]]</f>
        <v>0</v>
      </c>
      <c r="M221" s="1">
        <f>M220+Table16[[#This Row],[اجمالي الفاتوره]]-Table16[[#This Row],[الدفعات]]</f>
        <v>1.4899999999979627</v>
      </c>
    </row>
    <row r="222" spans="11:13" ht="26.25" customHeight="1" x14ac:dyDescent="0.3">
      <c r="K222" s="1">
        <f>Table16[[#This Row],[النولون]]+Table16[[#This Row],[الايصالات]]-Table16[[#This Row],[خصم أ ت ص]]+Table16[[#This Row],[قيمة مضافة]]</f>
        <v>0</v>
      </c>
      <c r="M222" s="1">
        <f>M221+Table16[[#This Row],[اجمالي الفاتوره]]-Table16[[#This Row],[الدفعات]]</f>
        <v>1.4899999999979627</v>
      </c>
    </row>
    <row r="223" spans="11:13" ht="26.25" customHeight="1" x14ac:dyDescent="0.3">
      <c r="K223" s="1">
        <f>Table16[[#This Row],[النولون]]+Table16[[#This Row],[الايصالات]]-Table16[[#This Row],[خصم أ ت ص]]+Table16[[#This Row],[قيمة مضافة]]</f>
        <v>0</v>
      </c>
      <c r="M223" s="1">
        <f>M222+Table16[[#This Row],[اجمالي الفاتوره]]-Table16[[#This Row],[الدفعات]]</f>
        <v>1.4899999999979627</v>
      </c>
    </row>
    <row r="224" spans="11:13" ht="26.25" customHeight="1" x14ac:dyDescent="0.3">
      <c r="K224" s="1">
        <f>Table16[[#This Row],[النولون]]+Table16[[#This Row],[الايصالات]]-Table16[[#This Row],[خصم أ ت ص]]+Table16[[#This Row],[قيمة مضافة]]</f>
        <v>0</v>
      </c>
      <c r="M224" s="1">
        <f>M223+Table16[[#This Row],[اجمالي الفاتوره]]-Table16[[#This Row],[الدفعات]]</f>
        <v>1.4899999999979627</v>
      </c>
    </row>
    <row r="225" spans="11:13" ht="26.25" customHeight="1" x14ac:dyDescent="0.3">
      <c r="K225" s="1">
        <f>Table16[[#This Row],[النولون]]+Table16[[#This Row],[الايصالات]]-Table16[[#This Row],[خصم أ ت ص]]+Table16[[#This Row],[قيمة مضافة]]</f>
        <v>0</v>
      </c>
      <c r="M225" s="1">
        <f>M224+Table16[[#This Row],[اجمالي الفاتوره]]-Table16[[#This Row],[الدفعات]]</f>
        <v>1.4899999999979627</v>
      </c>
    </row>
    <row r="226" spans="11:13" ht="26.25" customHeight="1" x14ac:dyDescent="0.3">
      <c r="K226" s="1">
        <f>Table16[[#This Row],[النولون]]+Table16[[#This Row],[الايصالات]]-Table16[[#This Row],[خصم أ ت ص]]+Table16[[#This Row],[قيمة مضافة]]</f>
        <v>0</v>
      </c>
      <c r="M226" s="1">
        <f>M225+Table16[[#This Row],[اجمالي الفاتوره]]-Table16[[#This Row],[الدفعات]]</f>
        <v>1.4899999999979627</v>
      </c>
    </row>
    <row r="227" spans="11:13" ht="26.25" customHeight="1" x14ac:dyDescent="0.3">
      <c r="K227" s="1">
        <f>Table16[[#This Row],[النولون]]+Table16[[#This Row],[الايصالات]]-Table16[[#This Row],[خصم أ ت ص]]+Table16[[#This Row],[قيمة مضافة]]</f>
        <v>0</v>
      </c>
      <c r="M227" s="1">
        <f>M226+Table16[[#This Row],[اجمالي الفاتوره]]-Table16[[#This Row],[الدفعات]]</f>
        <v>1.4899999999979627</v>
      </c>
    </row>
    <row r="228" spans="11:13" ht="26.25" customHeight="1" x14ac:dyDescent="0.3">
      <c r="K228" s="1">
        <f>Table16[[#This Row],[النولون]]+Table16[[#This Row],[الايصالات]]-Table16[[#This Row],[خصم أ ت ص]]+Table16[[#This Row],[قيمة مضافة]]</f>
        <v>0</v>
      </c>
      <c r="M228" s="1">
        <f>M227+Table16[[#This Row],[اجمالي الفاتوره]]-Table16[[#This Row],[الدفعات]]</f>
        <v>1.4899999999979627</v>
      </c>
    </row>
    <row r="229" spans="11:13" ht="26.25" customHeight="1" x14ac:dyDescent="0.3">
      <c r="K229" s="1">
        <f>Table16[[#This Row],[النولون]]+Table16[[#This Row],[الايصالات]]-Table16[[#This Row],[خصم أ ت ص]]+Table16[[#This Row],[قيمة مضافة]]</f>
        <v>0</v>
      </c>
      <c r="M229" s="1">
        <f>M228+Table16[[#This Row],[اجمالي الفاتوره]]-Table16[[#This Row],[الدفعات]]</f>
        <v>1.4899999999979627</v>
      </c>
    </row>
    <row r="230" spans="11:13" ht="26.25" customHeight="1" x14ac:dyDescent="0.3">
      <c r="K230" s="1">
        <f>Table16[[#This Row],[النولون]]+Table16[[#This Row],[الايصالات]]-Table16[[#This Row],[خصم أ ت ص]]+Table16[[#This Row],[قيمة مضافة]]</f>
        <v>0</v>
      </c>
      <c r="M230" s="1">
        <f>M229+Table16[[#This Row],[اجمالي الفاتوره]]-Table16[[#This Row],[الدفعات]]</f>
        <v>1.4899999999979627</v>
      </c>
    </row>
    <row r="231" spans="11:13" ht="26.25" customHeight="1" x14ac:dyDescent="0.3">
      <c r="K231" s="1">
        <f>Table16[[#This Row],[النولون]]+Table16[[#This Row],[الايصالات]]-Table16[[#This Row],[خصم أ ت ص]]+Table16[[#This Row],[قيمة مضافة]]</f>
        <v>0</v>
      </c>
      <c r="M231" s="1">
        <f>M230+Table16[[#This Row],[اجمالي الفاتوره]]-Table16[[#This Row],[الدفعات]]</f>
        <v>1.4899999999979627</v>
      </c>
    </row>
    <row r="232" spans="11:13" ht="26.25" customHeight="1" x14ac:dyDescent="0.3">
      <c r="K232" s="1">
        <f>Table16[[#This Row],[النولون]]+Table16[[#This Row],[الايصالات]]-Table16[[#This Row],[خصم أ ت ص]]+Table16[[#This Row],[قيمة مضافة]]</f>
        <v>0</v>
      </c>
      <c r="M232" s="1">
        <f>M231+Table16[[#This Row],[اجمالي الفاتوره]]-Table16[[#This Row],[الدفعات]]</f>
        <v>1.4899999999979627</v>
      </c>
    </row>
    <row r="233" spans="11:13" ht="26.25" customHeight="1" x14ac:dyDescent="0.3">
      <c r="K233" s="1">
        <f>Table16[[#This Row],[النولون]]+Table16[[#This Row],[الايصالات]]-Table16[[#This Row],[خصم أ ت ص]]+Table16[[#This Row],[قيمة مضافة]]</f>
        <v>0</v>
      </c>
      <c r="M233" s="1">
        <f>M232+Table16[[#This Row],[اجمالي الفاتوره]]-Table16[[#This Row],[الدفعات]]</f>
        <v>1.4899999999979627</v>
      </c>
    </row>
    <row r="234" spans="11:13" ht="26.25" customHeight="1" x14ac:dyDescent="0.3">
      <c r="K234" s="1">
        <f>Table16[[#This Row],[النولون]]+Table16[[#This Row],[الايصالات]]-Table16[[#This Row],[خصم أ ت ص]]+Table16[[#This Row],[قيمة مضافة]]</f>
        <v>0</v>
      </c>
      <c r="M234" s="1">
        <f>M233+Table16[[#This Row],[اجمالي الفاتوره]]-Table16[[#This Row],[الدفعات]]</f>
        <v>1.4899999999979627</v>
      </c>
    </row>
    <row r="235" spans="11:13" ht="26.25" customHeight="1" x14ac:dyDescent="0.3">
      <c r="K235" s="1">
        <f>Table16[[#This Row],[النولون]]+Table16[[#This Row],[الايصالات]]-Table16[[#This Row],[خصم أ ت ص]]+Table16[[#This Row],[قيمة مضافة]]</f>
        <v>0</v>
      </c>
      <c r="M235" s="1">
        <f>M234+Table16[[#This Row],[اجمالي الفاتوره]]-Table16[[#This Row],[الدفعات]]</f>
        <v>1.4899999999979627</v>
      </c>
    </row>
    <row r="236" spans="11:13" ht="26.25" customHeight="1" x14ac:dyDescent="0.3">
      <c r="K236" s="1">
        <f>Table16[[#This Row],[النولون]]+Table16[[#This Row],[الايصالات]]-Table16[[#This Row],[خصم أ ت ص]]+Table16[[#This Row],[قيمة مضافة]]</f>
        <v>0</v>
      </c>
      <c r="M236" s="1">
        <f>M235+Table16[[#This Row],[اجمالي الفاتوره]]-Table16[[#This Row],[الدفعات]]</f>
        <v>1.4899999999979627</v>
      </c>
    </row>
    <row r="237" spans="11:13" ht="26.25" customHeight="1" x14ac:dyDescent="0.3">
      <c r="K237" s="1">
        <f>Table16[[#This Row],[النولون]]+Table16[[#This Row],[الايصالات]]-Table16[[#This Row],[خصم أ ت ص]]+Table16[[#This Row],[قيمة مضافة]]</f>
        <v>0</v>
      </c>
      <c r="M237" s="1">
        <f>M236+Table16[[#This Row],[اجمالي الفاتوره]]-Table16[[#This Row],[الدفعات]]</f>
        <v>1.4899999999979627</v>
      </c>
    </row>
    <row r="238" spans="11:13" ht="26.25" customHeight="1" x14ac:dyDescent="0.3">
      <c r="K238" s="1">
        <f>Table16[[#This Row],[النولون]]+Table16[[#This Row],[الايصالات]]-Table16[[#This Row],[خصم أ ت ص]]+Table16[[#This Row],[قيمة مضافة]]</f>
        <v>0</v>
      </c>
      <c r="M238" s="1">
        <f>M237+Table16[[#This Row],[اجمالي الفاتوره]]-Table16[[#This Row],[الدفعات]]</f>
        <v>1.4899999999979627</v>
      </c>
    </row>
    <row r="239" spans="11:13" ht="26.25" customHeight="1" x14ac:dyDescent="0.3">
      <c r="K239" s="1">
        <f>Table16[[#This Row],[النولون]]+Table16[[#This Row],[الايصالات]]-Table16[[#This Row],[خصم أ ت ص]]+Table16[[#This Row],[قيمة مضافة]]</f>
        <v>0</v>
      </c>
      <c r="M239" s="1">
        <f>M238+Table16[[#This Row],[اجمالي الفاتوره]]-Table16[[#This Row],[الدفعات]]</f>
        <v>1.4899999999979627</v>
      </c>
    </row>
    <row r="240" spans="11:13" ht="26.25" customHeight="1" x14ac:dyDescent="0.3">
      <c r="K240" s="1">
        <f>Table16[[#This Row],[النولون]]+Table16[[#This Row],[الايصالات]]-Table16[[#This Row],[خصم أ ت ص]]+Table16[[#This Row],[قيمة مضافة]]</f>
        <v>0</v>
      </c>
      <c r="M240" s="1">
        <f>M239+Table16[[#This Row],[اجمالي الفاتوره]]-Table16[[#This Row],[الدفعات]]</f>
        <v>1.4899999999979627</v>
      </c>
    </row>
    <row r="241" spans="11:13" ht="26.25" customHeight="1" x14ac:dyDescent="0.3">
      <c r="K241" s="1">
        <f>Table16[[#This Row],[النولون]]+Table16[[#This Row],[الايصالات]]-Table16[[#This Row],[خصم أ ت ص]]+Table16[[#This Row],[قيمة مضافة]]</f>
        <v>0</v>
      </c>
      <c r="M241" s="1">
        <f>M240+Table16[[#This Row],[اجمالي الفاتوره]]-Table16[[#This Row],[الدفعات]]</f>
        <v>1.4899999999979627</v>
      </c>
    </row>
    <row r="242" spans="11:13" ht="26.25" customHeight="1" x14ac:dyDescent="0.3">
      <c r="K242" s="1">
        <f>Table16[[#This Row],[النولون]]+Table16[[#This Row],[الايصالات]]-Table16[[#This Row],[خصم أ ت ص]]+Table16[[#This Row],[قيمة مضافة]]</f>
        <v>0</v>
      </c>
      <c r="M242" s="1">
        <f>M241+Table16[[#This Row],[اجمالي الفاتوره]]-Table16[[#This Row],[الدفعات]]</f>
        <v>1.4899999999979627</v>
      </c>
    </row>
    <row r="243" spans="11:13" ht="26.25" customHeight="1" x14ac:dyDescent="0.3">
      <c r="K243" s="1">
        <f>Table16[[#This Row],[النولون]]+Table16[[#This Row],[الايصالات]]-Table16[[#This Row],[خصم أ ت ص]]+Table16[[#This Row],[قيمة مضافة]]</f>
        <v>0</v>
      </c>
      <c r="M243" s="1">
        <f>M242+Table16[[#This Row],[اجمالي الفاتوره]]-Table16[[#This Row],[الدفعات]]</f>
        <v>1.4899999999979627</v>
      </c>
    </row>
    <row r="244" spans="11:13" ht="26.25" customHeight="1" x14ac:dyDescent="0.3">
      <c r="K244" s="1">
        <f>Table16[[#This Row],[النولون]]+Table16[[#This Row],[الايصالات]]-Table16[[#This Row],[خصم أ ت ص]]+Table16[[#This Row],[قيمة مضافة]]</f>
        <v>0</v>
      </c>
      <c r="M244" s="1">
        <f>M243+Table16[[#This Row],[اجمالي الفاتوره]]-Table16[[#This Row],[الدفعات]]</f>
        <v>1.4899999999979627</v>
      </c>
    </row>
    <row r="245" spans="11:13" ht="26.25" customHeight="1" x14ac:dyDescent="0.3">
      <c r="K245" s="1">
        <f>Table16[[#This Row],[النولون]]+Table16[[#This Row],[الايصالات]]-Table16[[#This Row],[خصم أ ت ص]]+Table16[[#This Row],[قيمة مضافة]]</f>
        <v>0</v>
      </c>
      <c r="M245" s="1">
        <f>M244+Table16[[#This Row],[اجمالي الفاتوره]]-Table16[[#This Row],[الدفعات]]</f>
        <v>1.4899999999979627</v>
      </c>
    </row>
    <row r="246" spans="11:13" ht="26.25" customHeight="1" x14ac:dyDescent="0.3">
      <c r="K246" s="1">
        <f>Table16[[#This Row],[النولون]]+Table16[[#This Row],[الايصالات]]-Table16[[#This Row],[خصم أ ت ص]]+Table16[[#This Row],[قيمة مضافة]]</f>
        <v>0</v>
      </c>
      <c r="M246" s="1">
        <f>M245+Table16[[#This Row],[اجمالي الفاتوره]]-Table16[[#This Row],[الدفعات]]</f>
        <v>1.4899999999979627</v>
      </c>
    </row>
    <row r="247" spans="11:13" ht="26.25" customHeight="1" x14ac:dyDescent="0.3">
      <c r="K247" s="1">
        <f>Table16[[#This Row],[النولون]]+Table16[[#This Row],[الايصالات]]-Table16[[#This Row],[خصم أ ت ص]]+Table16[[#This Row],[قيمة مضافة]]</f>
        <v>0</v>
      </c>
      <c r="M247" s="1">
        <f>M246+Table16[[#This Row],[اجمالي الفاتوره]]-Table16[[#This Row],[الدفعات]]</f>
        <v>1.4899999999979627</v>
      </c>
    </row>
    <row r="248" spans="11:13" ht="26.25" customHeight="1" x14ac:dyDescent="0.3">
      <c r="K248" s="1">
        <f>Table16[[#This Row],[النولون]]+Table16[[#This Row],[الايصالات]]-Table16[[#This Row],[خصم أ ت ص]]+Table16[[#This Row],[قيمة مضافة]]</f>
        <v>0</v>
      </c>
      <c r="M248" s="1">
        <f>M247+Table16[[#This Row],[اجمالي الفاتوره]]-Table16[[#This Row],[الدفعات]]</f>
        <v>1.4899999999979627</v>
      </c>
    </row>
    <row r="249" spans="11:13" ht="26.25" customHeight="1" x14ac:dyDescent="0.3">
      <c r="K249" s="1">
        <f>Table16[[#This Row],[النولون]]+Table16[[#This Row],[الايصالات]]-Table16[[#This Row],[خصم أ ت ص]]+Table16[[#This Row],[قيمة مضافة]]</f>
        <v>0</v>
      </c>
      <c r="M249" s="1">
        <f>M248+Table16[[#This Row],[اجمالي الفاتوره]]-Table16[[#This Row],[الدفعات]]</f>
        <v>1.4899999999979627</v>
      </c>
    </row>
    <row r="250" spans="11:13" ht="26.25" customHeight="1" x14ac:dyDescent="0.3">
      <c r="K250" s="1">
        <f>Table16[[#This Row],[النولون]]+Table16[[#This Row],[الايصالات]]-Table16[[#This Row],[خصم أ ت ص]]+Table16[[#This Row],[قيمة مضافة]]</f>
        <v>0</v>
      </c>
      <c r="M250" s="1">
        <f>M249+Table16[[#This Row],[اجمالي الفاتوره]]-Table16[[#This Row],[الدفعات]]</f>
        <v>1.4899999999979627</v>
      </c>
    </row>
    <row r="251" spans="11:13" ht="26.25" customHeight="1" x14ac:dyDescent="0.3">
      <c r="K251" s="1">
        <f>Table16[[#This Row],[النولون]]+Table16[[#This Row],[الايصالات]]-Table16[[#This Row],[خصم أ ت ص]]+Table16[[#This Row],[قيمة مضافة]]</f>
        <v>0</v>
      </c>
      <c r="M251" s="1">
        <f>M250+Table16[[#This Row],[اجمالي الفاتوره]]-Table16[[#This Row],[الدفعات]]</f>
        <v>1.4899999999979627</v>
      </c>
    </row>
    <row r="252" spans="11:13" ht="26.25" customHeight="1" x14ac:dyDescent="0.3">
      <c r="K252" s="1">
        <f>Table16[[#This Row],[النولون]]+Table16[[#This Row],[الايصالات]]-Table16[[#This Row],[خصم أ ت ص]]+Table16[[#This Row],[قيمة مضافة]]</f>
        <v>0</v>
      </c>
      <c r="M252" s="1">
        <f>M251+Table16[[#This Row],[اجمالي الفاتوره]]-Table16[[#This Row],[الدفعات]]</f>
        <v>1.4899999999979627</v>
      </c>
    </row>
    <row r="253" spans="11:13" ht="26.25" customHeight="1" x14ac:dyDescent="0.3">
      <c r="K253" s="1">
        <f>Table16[[#This Row],[النولون]]+Table16[[#This Row],[الايصالات]]-Table16[[#This Row],[خصم أ ت ص]]+Table16[[#This Row],[قيمة مضافة]]</f>
        <v>0</v>
      </c>
      <c r="M253" s="1">
        <f>M252+Table16[[#This Row],[اجمالي الفاتوره]]-Table16[[#This Row],[الدفعات]]</f>
        <v>1.4899999999979627</v>
      </c>
    </row>
    <row r="254" spans="11:13" ht="26.25" customHeight="1" x14ac:dyDescent="0.3">
      <c r="K254" s="1">
        <f>Table16[[#This Row],[النولون]]+Table16[[#This Row],[الايصالات]]-Table16[[#This Row],[خصم أ ت ص]]+Table16[[#This Row],[قيمة مضافة]]</f>
        <v>0</v>
      </c>
      <c r="M254" s="1">
        <f>M253+Table16[[#This Row],[اجمالي الفاتوره]]-Table16[[#This Row],[الدفعات]]</f>
        <v>1.4899999999979627</v>
      </c>
    </row>
    <row r="255" spans="11:13" ht="26.25" customHeight="1" x14ac:dyDescent="0.3">
      <c r="K255" s="1">
        <f>Table16[[#This Row],[النولون]]+Table16[[#This Row],[الايصالات]]-Table16[[#This Row],[خصم أ ت ص]]+Table16[[#This Row],[قيمة مضافة]]</f>
        <v>0</v>
      </c>
      <c r="M255" s="1">
        <f>M254+Table16[[#This Row],[اجمالي الفاتوره]]-Table16[[#This Row],[الدفعات]]</f>
        <v>1.4899999999979627</v>
      </c>
    </row>
    <row r="256" spans="11:13" ht="26.25" customHeight="1" x14ac:dyDescent="0.3">
      <c r="K256" s="1">
        <f>Table16[[#This Row],[النولون]]+Table16[[#This Row],[الايصالات]]-Table16[[#This Row],[خصم أ ت ص]]+Table16[[#This Row],[قيمة مضافة]]</f>
        <v>0</v>
      </c>
      <c r="M256" s="1">
        <f>M255+Table16[[#This Row],[اجمالي الفاتوره]]-Table16[[#This Row],[الدفعات]]</f>
        <v>1.4899999999979627</v>
      </c>
    </row>
    <row r="257" spans="11:13" ht="26.25" customHeight="1" x14ac:dyDescent="0.3">
      <c r="K257" s="1">
        <f>Table16[[#This Row],[النولون]]+Table16[[#This Row],[الايصالات]]-Table16[[#This Row],[خصم أ ت ص]]+Table16[[#This Row],[قيمة مضافة]]</f>
        <v>0</v>
      </c>
      <c r="M257" s="1">
        <f>M256+Table16[[#This Row],[اجمالي الفاتوره]]-Table16[[#This Row],[الدفعات]]</f>
        <v>1.4899999999979627</v>
      </c>
    </row>
    <row r="258" spans="11:13" ht="26.25" customHeight="1" x14ac:dyDescent="0.3">
      <c r="K258" s="1">
        <f>Table16[[#This Row],[النولون]]+Table16[[#This Row],[الايصالات]]-Table16[[#This Row],[خصم أ ت ص]]+Table16[[#This Row],[قيمة مضافة]]</f>
        <v>0</v>
      </c>
      <c r="M258" s="1">
        <f>M257+Table16[[#This Row],[اجمالي الفاتوره]]-Table16[[#This Row],[الدفعات]]</f>
        <v>1.4899999999979627</v>
      </c>
    </row>
    <row r="259" spans="11:13" ht="26.25" customHeight="1" x14ac:dyDescent="0.3">
      <c r="K259" s="1">
        <f>Table16[[#This Row],[النولون]]+Table16[[#This Row],[الايصالات]]-Table16[[#This Row],[خصم أ ت ص]]+Table16[[#This Row],[قيمة مضافة]]</f>
        <v>0</v>
      </c>
      <c r="M259" s="1">
        <f>M258+Table16[[#This Row],[اجمالي الفاتوره]]-Table16[[#This Row],[الدفعات]]</f>
        <v>1.4899999999979627</v>
      </c>
    </row>
    <row r="260" spans="11:13" ht="26.25" customHeight="1" x14ac:dyDescent="0.3">
      <c r="K260" s="1">
        <f>Table16[[#This Row],[النولون]]+Table16[[#This Row],[الايصالات]]-Table16[[#This Row],[خصم أ ت ص]]+Table16[[#This Row],[قيمة مضافة]]</f>
        <v>0</v>
      </c>
      <c r="M260" s="1">
        <f>M259+Table16[[#This Row],[اجمالي الفاتوره]]-Table16[[#This Row],[الدفعات]]</f>
        <v>1.4899999999979627</v>
      </c>
    </row>
    <row r="261" spans="11:13" ht="26.25" customHeight="1" x14ac:dyDescent="0.3">
      <c r="K261" s="1">
        <f>Table16[[#This Row],[النولون]]+Table16[[#This Row],[الايصالات]]-Table16[[#This Row],[خصم أ ت ص]]+Table16[[#This Row],[قيمة مضافة]]</f>
        <v>0</v>
      </c>
      <c r="M261" s="1">
        <f>M260+Table16[[#This Row],[اجمالي الفاتوره]]-Table16[[#This Row],[الدفعات]]</f>
        <v>1.4899999999979627</v>
      </c>
    </row>
    <row r="262" spans="11:13" ht="26.25" customHeight="1" x14ac:dyDescent="0.3">
      <c r="K262" s="1">
        <f>Table16[[#This Row],[النولون]]+Table16[[#This Row],[الايصالات]]-Table16[[#This Row],[خصم أ ت ص]]+Table16[[#This Row],[قيمة مضافة]]</f>
        <v>0</v>
      </c>
      <c r="M262" s="1">
        <f>M261+Table16[[#This Row],[اجمالي الفاتوره]]-Table16[[#This Row],[الدفعات]]</f>
        <v>1.4899999999979627</v>
      </c>
    </row>
    <row r="263" spans="11:13" ht="26.25" customHeight="1" x14ac:dyDescent="0.3">
      <c r="K263" s="1">
        <f>Table16[[#This Row],[النولون]]+Table16[[#This Row],[الايصالات]]-Table16[[#This Row],[خصم أ ت ص]]+Table16[[#This Row],[قيمة مضافة]]</f>
        <v>0</v>
      </c>
      <c r="M263" s="1">
        <f>M262+Table16[[#This Row],[اجمالي الفاتوره]]-Table16[[#This Row],[الدفعات]]</f>
        <v>1.4899999999979627</v>
      </c>
    </row>
    <row r="264" spans="11:13" ht="26.25" customHeight="1" x14ac:dyDescent="0.3">
      <c r="K264" s="1">
        <f>Table16[[#This Row],[النولون]]+Table16[[#This Row],[الايصالات]]-Table16[[#This Row],[خصم أ ت ص]]+Table16[[#This Row],[قيمة مضافة]]</f>
        <v>0</v>
      </c>
      <c r="M264" s="1">
        <f>M263+Table16[[#This Row],[اجمالي الفاتوره]]-Table16[[#This Row],[الدفعات]]</f>
        <v>1.4899999999979627</v>
      </c>
    </row>
    <row r="265" spans="11:13" ht="26.25" customHeight="1" x14ac:dyDescent="0.3">
      <c r="K265" s="1">
        <f>Table16[[#This Row],[النولون]]+Table16[[#This Row],[الايصالات]]-Table16[[#This Row],[خصم أ ت ص]]+Table16[[#This Row],[قيمة مضافة]]</f>
        <v>0</v>
      </c>
      <c r="M265" s="1">
        <f>M264+Table16[[#This Row],[اجمالي الفاتوره]]-Table16[[#This Row],[الدفعات]]</f>
        <v>1.4899999999979627</v>
      </c>
    </row>
    <row r="266" spans="11:13" ht="26.25" customHeight="1" x14ac:dyDescent="0.3">
      <c r="K266" s="1">
        <f>Table16[[#This Row],[النولون]]+Table16[[#This Row],[الايصالات]]-Table16[[#This Row],[خصم أ ت ص]]+Table16[[#This Row],[قيمة مضافة]]</f>
        <v>0</v>
      </c>
      <c r="M266" s="1">
        <f>M265+Table16[[#This Row],[اجمالي الفاتوره]]-Table16[[#This Row],[الدفعات]]</f>
        <v>1.4899999999979627</v>
      </c>
    </row>
    <row r="267" spans="11:13" ht="26.25" customHeight="1" x14ac:dyDescent="0.3">
      <c r="K267" s="1">
        <f>Table16[[#This Row],[النولون]]+Table16[[#This Row],[الايصالات]]-Table16[[#This Row],[خصم أ ت ص]]+Table16[[#This Row],[قيمة مضافة]]</f>
        <v>0</v>
      </c>
      <c r="M267" s="1">
        <f>M266+Table16[[#This Row],[اجمالي الفاتوره]]-Table16[[#This Row],[الدفعات]]</f>
        <v>1.4899999999979627</v>
      </c>
    </row>
    <row r="268" spans="11:13" ht="26.25" customHeight="1" x14ac:dyDescent="0.3">
      <c r="K268" s="1">
        <f>Table16[[#This Row],[النولون]]+Table16[[#This Row],[الايصالات]]-Table16[[#This Row],[خصم أ ت ص]]+Table16[[#This Row],[قيمة مضافة]]</f>
        <v>0</v>
      </c>
      <c r="M268" s="1">
        <f>M267+Table16[[#This Row],[اجمالي الفاتوره]]-Table16[[#This Row],[الدفعات]]</f>
        <v>1.4899999999979627</v>
      </c>
    </row>
    <row r="269" spans="11:13" ht="26.25" customHeight="1" x14ac:dyDescent="0.3">
      <c r="K269" s="1">
        <f>Table16[[#This Row],[النولون]]+Table16[[#This Row],[الايصالات]]-Table16[[#This Row],[خصم أ ت ص]]+Table16[[#This Row],[قيمة مضافة]]</f>
        <v>0</v>
      </c>
      <c r="M269" s="1">
        <f>M268+Table16[[#This Row],[اجمالي الفاتوره]]-Table16[[#This Row],[الدفعات]]</f>
        <v>1.4899999999979627</v>
      </c>
    </row>
    <row r="270" spans="11:13" ht="26.25" customHeight="1" x14ac:dyDescent="0.3">
      <c r="K270" s="1">
        <f>Table16[[#This Row],[النولون]]+Table16[[#This Row],[الايصالات]]-Table16[[#This Row],[خصم أ ت ص]]+Table16[[#This Row],[قيمة مضافة]]</f>
        <v>0</v>
      </c>
      <c r="M270" s="1">
        <f>M269+Table16[[#This Row],[اجمالي الفاتوره]]-Table16[[#This Row],[الدفعات]]</f>
        <v>1.4899999999979627</v>
      </c>
    </row>
    <row r="271" spans="11:13" ht="26.25" customHeight="1" x14ac:dyDescent="0.3">
      <c r="K271" s="1">
        <f>Table16[[#This Row],[النولون]]+Table16[[#This Row],[الايصالات]]-Table16[[#This Row],[خصم أ ت ص]]+Table16[[#This Row],[قيمة مضافة]]</f>
        <v>0</v>
      </c>
      <c r="M271" s="1">
        <f>M270+Table16[[#This Row],[اجمالي الفاتوره]]-Table16[[#This Row],[الدفعات]]</f>
        <v>1.4899999999979627</v>
      </c>
    </row>
    <row r="272" spans="11:13" ht="26.25" customHeight="1" x14ac:dyDescent="0.3">
      <c r="K272" s="1">
        <f>Table16[[#This Row],[النولون]]+Table16[[#This Row],[الايصالات]]-Table16[[#This Row],[خصم أ ت ص]]+Table16[[#This Row],[قيمة مضافة]]</f>
        <v>0</v>
      </c>
      <c r="M272" s="1">
        <f>M271+Table16[[#This Row],[اجمالي الفاتوره]]-Table16[[#This Row],[الدفعات]]</f>
        <v>1.4899999999979627</v>
      </c>
    </row>
    <row r="273" spans="11:13" ht="26.25" customHeight="1" x14ac:dyDescent="0.3">
      <c r="K273" s="1">
        <f>Table16[[#This Row],[النولون]]+Table16[[#This Row],[الايصالات]]-Table16[[#This Row],[خصم أ ت ص]]+Table16[[#This Row],[قيمة مضافة]]</f>
        <v>0</v>
      </c>
      <c r="M273" s="1">
        <f>M272+Table16[[#This Row],[اجمالي الفاتوره]]-Table16[[#This Row],[الدفعات]]</f>
        <v>1.4899999999979627</v>
      </c>
    </row>
    <row r="274" spans="11:13" ht="26.25" customHeight="1" x14ac:dyDescent="0.3">
      <c r="K274" s="1">
        <f>Table16[[#This Row],[النولون]]+Table16[[#This Row],[الايصالات]]-Table16[[#This Row],[خصم أ ت ص]]+Table16[[#This Row],[قيمة مضافة]]</f>
        <v>0</v>
      </c>
      <c r="M274" s="1">
        <f>M273+Table16[[#This Row],[اجمالي الفاتوره]]-Table16[[#This Row],[الدفعات]]</f>
        <v>1.4899999999979627</v>
      </c>
    </row>
    <row r="275" spans="11:13" ht="26.25" customHeight="1" x14ac:dyDescent="0.3">
      <c r="K275" s="1">
        <f>Table16[[#This Row],[النولون]]+Table16[[#This Row],[الايصالات]]-Table16[[#This Row],[خصم أ ت ص]]+Table16[[#This Row],[قيمة مضافة]]</f>
        <v>0</v>
      </c>
      <c r="M275" s="1">
        <f>M274+Table16[[#This Row],[اجمالي الفاتوره]]-Table16[[#This Row],[الدفعات]]</f>
        <v>1.4899999999979627</v>
      </c>
    </row>
    <row r="276" spans="11:13" ht="26.25" customHeight="1" x14ac:dyDescent="0.3">
      <c r="K276" s="1">
        <f>Table16[[#This Row],[النولون]]+Table16[[#This Row],[الايصالات]]-Table16[[#This Row],[خصم أ ت ص]]+Table16[[#This Row],[قيمة مضافة]]</f>
        <v>0</v>
      </c>
      <c r="M276" s="1">
        <f>M275+Table16[[#This Row],[اجمالي الفاتوره]]-Table16[[#This Row],[الدفعات]]</f>
        <v>1.4899999999979627</v>
      </c>
    </row>
    <row r="277" spans="11:13" ht="26.25" customHeight="1" x14ac:dyDescent="0.3">
      <c r="K277" s="1">
        <f>Table16[[#This Row],[النولون]]+Table16[[#This Row],[الايصالات]]-Table16[[#This Row],[خصم أ ت ص]]+Table16[[#This Row],[قيمة مضافة]]</f>
        <v>0</v>
      </c>
      <c r="M277" s="1">
        <f>M276+Table16[[#This Row],[اجمالي الفاتوره]]-Table16[[#This Row],[الدفعات]]</f>
        <v>1.4899999999979627</v>
      </c>
    </row>
    <row r="278" spans="11:13" ht="26.25" customHeight="1" x14ac:dyDescent="0.3">
      <c r="K278" s="1">
        <f>Table16[[#This Row],[النولون]]+Table16[[#This Row],[الايصالات]]-Table16[[#This Row],[خصم أ ت ص]]+Table16[[#This Row],[قيمة مضافة]]</f>
        <v>0</v>
      </c>
      <c r="M278" s="1">
        <f>M277+Table16[[#This Row],[اجمالي الفاتوره]]-Table16[[#This Row],[الدفعات]]</f>
        <v>1.4899999999979627</v>
      </c>
    </row>
    <row r="279" spans="11:13" ht="26.25" customHeight="1" x14ac:dyDescent="0.3">
      <c r="K279" s="1">
        <f>Table16[[#This Row],[النولون]]+Table16[[#This Row],[الايصالات]]-Table16[[#This Row],[خصم أ ت ص]]+Table16[[#This Row],[قيمة مضافة]]</f>
        <v>0</v>
      </c>
      <c r="M279" s="1">
        <f>M278+Table16[[#This Row],[اجمالي الفاتوره]]-Table16[[#This Row],[الدفعات]]</f>
        <v>1.4899999999979627</v>
      </c>
    </row>
    <row r="280" spans="11:13" ht="26.25" customHeight="1" x14ac:dyDescent="0.3">
      <c r="K280" s="1">
        <f>Table16[[#This Row],[النولون]]+Table16[[#This Row],[الايصالات]]-Table16[[#This Row],[خصم أ ت ص]]+Table16[[#This Row],[قيمة مضافة]]</f>
        <v>0</v>
      </c>
      <c r="M280" s="1">
        <f>M279+Table16[[#This Row],[اجمالي الفاتوره]]-Table16[[#This Row],[الدفعات]]</f>
        <v>1.4899999999979627</v>
      </c>
    </row>
    <row r="281" spans="11:13" ht="26.25" customHeight="1" x14ac:dyDescent="0.3">
      <c r="K281" s="1">
        <f>Table16[[#This Row],[النولون]]+Table16[[#This Row],[الايصالات]]-Table16[[#This Row],[خصم أ ت ص]]+Table16[[#This Row],[قيمة مضافة]]</f>
        <v>0</v>
      </c>
      <c r="M281" s="1">
        <f>M280+Table16[[#This Row],[اجمالي الفاتوره]]-Table16[[#This Row],[الدفعات]]</f>
        <v>1.4899999999979627</v>
      </c>
    </row>
    <row r="282" spans="11:13" ht="26.25" customHeight="1" x14ac:dyDescent="0.3">
      <c r="K282" s="1">
        <f>Table16[[#This Row],[النولون]]+Table16[[#This Row],[الايصالات]]-Table16[[#This Row],[خصم أ ت ص]]+Table16[[#This Row],[قيمة مضافة]]</f>
        <v>0</v>
      </c>
      <c r="M282" s="1">
        <f>M281+Table16[[#This Row],[اجمالي الفاتوره]]-Table16[[#This Row],[الدفعات]]</f>
        <v>1.4899999999979627</v>
      </c>
    </row>
    <row r="283" spans="11:13" ht="26.25" customHeight="1" x14ac:dyDescent="0.3">
      <c r="K283" s="1">
        <f>Table16[[#This Row],[النولون]]+Table16[[#This Row],[الايصالات]]-Table16[[#This Row],[خصم أ ت ص]]+Table16[[#This Row],[قيمة مضافة]]</f>
        <v>0</v>
      </c>
      <c r="M283" s="1">
        <f>M282+Table16[[#This Row],[اجمالي الفاتوره]]-Table16[[#This Row],[الدفعات]]</f>
        <v>1.4899999999979627</v>
      </c>
    </row>
    <row r="284" spans="11:13" ht="26.25" customHeight="1" x14ac:dyDescent="0.3">
      <c r="K284" s="1">
        <f>Table16[[#This Row],[النولون]]+Table16[[#This Row],[الايصالات]]-Table16[[#This Row],[خصم أ ت ص]]+Table16[[#This Row],[قيمة مضافة]]</f>
        <v>0</v>
      </c>
      <c r="M284" s="1">
        <f>M283+Table16[[#This Row],[اجمالي الفاتوره]]-Table16[[#This Row],[الدفعات]]</f>
        <v>1.4899999999979627</v>
      </c>
    </row>
    <row r="285" spans="11:13" ht="26.25" customHeight="1" x14ac:dyDescent="0.3">
      <c r="K285" s="1">
        <f>Table16[[#This Row],[النولون]]+Table16[[#This Row],[الايصالات]]-Table16[[#This Row],[خصم أ ت ص]]+Table16[[#This Row],[قيمة مضافة]]</f>
        <v>0</v>
      </c>
      <c r="M285" s="1">
        <f>M284+Table16[[#This Row],[اجمالي الفاتوره]]-Table16[[#This Row],[الدفعات]]</f>
        <v>1.4899999999979627</v>
      </c>
    </row>
    <row r="286" spans="11:13" ht="26.25" customHeight="1" x14ac:dyDescent="0.3">
      <c r="K286" s="1">
        <f>Table16[[#This Row],[النولون]]+Table16[[#This Row],[الايصالات]]-Table16[[#This Row],[خصم أ ت ص]]+Table16[[#This Row],[قيمة مضافة]]</f>
        <v>0</v>
      </c>
      <c r="M286" s="1">
        <f>M285+Table16[[#This Row],[اجمالي الفاتوره]]-Table16[[#This Row],[الدفعات]]</f>
        <v>1.4899999999979627</v>
      </c>
    </row>
    <row r="287" spans="11:13" ht="26.25" customHeight="1" x14ac:dyDescent="0.3">
      <c r="K287" s="1">
        <f>Table16[[#This Row],[النولون]]+Table16[[#This Row],[الايصالات]]-Table16[[#This Row],[خصم أ ت ص]]+Table16[[#This Row],[قيمة مضافة]]</f>
        <v>0</v>
      </c>
      <c r="M287" s="1">
        <f>M286+Table16[[#This Row],[اجمالي الفاتوره]]-Table16[[#This Row],[الدفعات]]</f>
        <v>1.4899999999979627</v>
      </c>
    </row>
    <row r="288" spans="11:13" ht="26.25" customHeight="1" x14ac:dyDescent="0.3">
      <c r="K288" s="1">
        <f>Table16[[#This Row],[النولون]]+Table16[[#This Row],[الايصالات]]-Table16[[#This Row],[خصم أ ت ص]]+Table16[[#This Row],[قيمة مضافة]]</f>
        <v>0</v>
      </c>
      <c r="M288" s="1">
        <f>M287+Table16[[#This Row],[اجمالي الفاتوره]]-Table16[[#This Row],[الدفعات]]</f>
        <v>1.4899999999979627</v>
      </c>
    </row>
    <row r="289" spans="11:13" ht="26.25" customHeight="1" x14ac:dyDescent="0.3">
      <c r="K289" s="1">
        <f>Table16[[#This Row],[النولون]]+Table16[[#This Row],[الايصالات]]-Table16[[#This Row],[خصم أ ت ص]]+Table16[[#This Row],[قيمة مضافة]]</f>
        <v>0</v>
      </c>
      <c r="M289" s="1">
        <f>M288+Table16[[#This Row],[اجمالي الفاتوره]]-Table16[[#This Row],[الدفعات]]</f>
        <v>1.4899999999979627</v>
      </c>
    </row>
    <row r="290" spans="11:13" ht="26.25" customHeight="1" x14ac:dyDescent="0.3">
      <c r="K290" s="1">
        <f>Table16[[#This Row],[النولون]]+Table16[[#This Row],[الايصالات]]-Table16[[#This Row],[خصم أ ت ص]]+Table16[[#This Row],[قيمة مضافة]]</f>
        <v>0</v>
      </c>
      <c r="M290" s="1">
        <f>M289+Table16[[#This Row],[اجمالي الفاتوره]]-Table16[[#This Row],[الدفعات]]</f>
        <v>1.4899999999979627</v>
      </c>
    </row>
    <row r="291" spans="11:13" ht="26.25" customHeight="1" x14ac:dyDescent="0.3">
      <c r="K291" s="1">
        <f>Table16[[#This Row],[النولون]]+Table16[[#This Row],[الايصالات]]-Table16[[#This Row],[خصم أ ت ص]]+Table16[[#This Row],[قيمة مضافة]]</f>
        <v>0</v>
      </c>
      <c r="M291" s="1">
        <f>M290+Table16[[#This Row],[اجمالي الفاتوره]]-Table16[[#This Row],[الدفعات]]</f>
        <v>1.4899999999979627</v>
      </c>
    </row>
    <row r="292" spans="11:13" ht="26.25" customHeight="1" x14ac:dyDescent="0.3">
      <c r="K292" s="1">
        <f>Table16[[#This Row],[النولون]]+Table16[[#This Row],[الايصالات]]-Table16[[#This Row],[خصم أ ت ص]]+Table16[[#This Row],[قيمة مضافة]]</f>
        <v>0</v>
      </c>
      <c r="M292" s="1">
        <f>M291+Table16[[#This Row],[اجمالي الفاتوره]]-Table16[[#This Row],[الدفعات]]</f>
        <v>1.4899999999979627</v>
      </c>
    </row>
    <row r="293" spans="11:13" ht="26.25" customHeight="1" x14ac:dyDescent="0.3">
      <c r="K293" s="1">
        <f>Table16[[#This Row],[النولون]]+Table16[[#This Row],[الايصالات]]-Table16[[#This Row],[خصم أ ت ص]]+Table16[[#This Row],[قيمة مضافة]]</f>
        <v>0</v>
      </c>
      <c r="M293" s="1">
        <f>M292+Table16[[#This Row],[اجمالي الفاتوره]]-Table16[[#This Row],[الدفعات]]</f>
        <v>1.4899999999979627</v>
      </c>
    </row>
    <row r="294" spans="11:13" ht="26.25" customHeight="1" x14ac:dyDescent="0.3">
      <c r="K294" s="1">
        <f>Table16[[#This Row],[النولون]]+Table16[[#This Row],[الايصالات]]-Table16[[#This Row],[خصم أ ت ص]]+Table16[[#This Row],[قيمة مضافة]]</f>
        <v>0</v>
      </c>
      <c r="M294" s="1">
        <f>M293+Table16[[#This Row],[اجمالي الفاتوره]]-Table16[[#This Row],[الدفعات]]</f>
        <v>1.4899999999979627</v>
      </c>
    </row>
    <row r="295" spans="11:13" ht="26.25" customHeight="1" x14ac:dyDescent="0.3">
      <c r="K295" s="1">
        <f>Table16[[#This Row],[النولون]]+Table16[[#This Row],[الايصالات]]-Table16[[#This Row],[خصم أ ت ص]]+Table16[[#This Row],[قيمة مضافة]]</f>
        <v>0</v>
      </c>
      <c r="M295" s="1">
        <f>M294+Table16[[#This Row],[اجمالي الفاتوره]]-Table16[[#This Row],[الدفعات]]</f>
        <v>1.4899999999979627</v>
      </c>
    </row>
    <row r="296" spans="11:13" ht="26.25" customHeight="1" x14ac:dyDescent="0.3">
      <c r="K296" s="1">
        <f>Table16[[#This Row],[النولون]]+Table16[[#This Row],[الايصالات]]-Table16[[#This Row],[خصم أ ت ص]]+Table16[[#This Row],[قيمة مضافة]]</f>
        <v>0</v>
      </c>
      <c r="M296" s="1">
        <f>M295+Table16[[#This Row],[اجمالي الفاتوره]]-Table16[[#This Row],[الدفعات]]</f>
        <v>1.4899999999979627</v>
      </c>
    </row>
    <row r="297" spans="11:13" ht="26.25" customHeight="1" x14ac:dyDescent="0.3">
      <c r="K297" s="1">
        <f>Table16[[#This Row],[النولون]]+Table16[[#This Row],[الايصالات]]-Table16[[#This Row],[خصم أ ت ص]]+Table16[[#This Row],[قيمة مضافة]]</f>
        <v>0</v>
      </c>
      <c r="M297" s="1">
        <f>M296+Table16[[#This Row],[اجمالي الفاتوره]]-Table16[[#This Row],[الدفعات]]</f>
        <v>1.4899999999979627</v>
      </c>
    </row>
    <row r="298" spans="11:13" ht="26.25" customHeight="1" x14ac:dyDescent="0.3">
      <c r="K298" s="1">
        <f>Table16[[#This Row],[النولون]]+Table16[[#This Row],[الايصالات]]-Table16[[#This Row],[خصم أ ت ص]]+Table16[[#This Row],[قيمة مضافة]]</f>
        <v>0</v>
      </c>
      <c r="M298" s="1">
        <f>M297+Table16[[#This Row],[اجمالي الفاتوره]]-Table16[[#This Row],[الدفعات]]</f>
        <v>1.4899999999979627</v>
      </c>
    </row>
    <row r="299" spans="11:13" ht="26.25" customHeight="1" x14ac:dyDescent="0.3">
      <c r="K299" s="1">
        <f>Table16[[#This Row],[النولون]]+Table16[[#This Row],[الايصالات]]-Table16[[#This Row],[خصم أ ت ص]]+Table16[[#This Row],[قيمة مضافة]]</f>
        <v>0</v>
      </c>
      <c r="M299" s="1">
        <f>M298+Table16[[#This Row],[اجمالي الفاتوره]]-Table16[[#This Row],[الدفعات]]</f>
        <v>1.4899999999979627</v>
      </c>
    </row>
    <row r="300" spans="11:13" ht="26.25" customHeight="1" x14ac:dyDescent="0.3">
      <c r="K300" s="1">
        <f>Table16[[#This Row],[النولون]]+Table16[[#This Row],[الايصالات]]-Table16[[#This Row],[خصم أ ت ص]]+Table16[[#This Row],[قيمة مضافة]]</f>
        <v>0</v>
      </c>
      <c r="M300" s="1">
        <f>M299+Table16[[#This Row],[اجمالي الفاتوره]]-Table16[[#This Row],[الدفعات]]</f>
        <v>1.4899999999979627</v>
      </c>
    </row>
    <row r="301" spans="11:13" ht="26.25" customHeight="1" x14ac:dyDescent="0.3">
      <c r="K301" s="1">
        <f>Table16[[#This Row],[النولون]]+Table16[[#This Row],[الايصالات]]-Table16[[#This Row],[خصم أ ت ص]]+Table16[[#This Row],[قيمة مضافة]]</f>
        <v>0</v>
      </c>
      <c r="M301" s="1">
        <f>M300+Table16[[#This Row],[اجمالي الفاتوره]]-Table16[[#This Row],[الدفعات]]</f>
        <v>1.4899999999979627</v>
      </c>
    </row>
    <row r="302" spans="11:13" ht="26.25" customHeight="1" x14ac:dyDescent="0.3">
      <c r="K302" s="1">
        <f>Table16[[#This Row],[النولون]]+Table16[[#This Row],[الايصالات]]-Table16[[#This Row],[خصم أ ت ص]]+Table16[[#This Row],[قيمة مضافة]]</f>
        <v>0</v>
      </c>
      <c r="M302" s="1">
        <f>M301+Table16[[#This Row],[اجمالي الفاتوره]]-Table16[[#This Row],[الدفعات]]</f>
        <v>1.4899999999979627</v>
      </c>
    </row>
    <row r="303" spans="11:13" ht="26.25" customHeight="1" x14ac:dyDescent="0.3">
      <c r="K303" s="1">
        <f>Table16[[#This Row],[النولون]]+Table16[[#This Row],[الايصالات]]-Table16[[#This Row],[خصم أ ت ص]]+Table16[[#This Row],[قيمة مضافة]]</f>
        <v>0</v>
      </c>
      <c r="M303" s="1">
        <f>M302+Table16[[#This Row],[اجمالي الفاتوره]]-Table16[[#This Row],[الدفعات]]</f>
        <v>1.4899999999979627</v>
      </c>
    </row>
    <row r="304" spans="11:13" ht="26.25" customHeight="1" x14ac:dyDescent="0.3">
      <c r="K304" s="1">
        <f>Table16[[#This Row],[النولون]]+Table16[[#This Row],[الايصالات]]-Table16[[#This Row],[خصم أ ت ص]]+Table16[[#This Row],[قيمة مضافة]]</f>
        <v>0</v>
      </c>
      <c r="M304" s="1">
        <f>M303+Table16[[#This Row],[اجمالي الفاتوره]]-Table16[[#This Row],[الدفعات]]</f>
        <v>1.4899999999979627</v>
      </c>
    </row>
    <row r="305" spans="11:13" ht="26.25" customHeight="1" x14ac:dyDescent="0.3">
      <c r="K305" s="1">
        <f>Table16[[#This Row],[النولون]]+Table16[[#This Row],[الايصالات]]-Table16[[#This Row],[خصم أ ت ص]]+Table16[[#This Row],[قيمة مضافة]]</f>
        <v>0</v>
      </c>
      <c r="M305" s="1">
        <f>M304+Table16[[#This Row],[اجمالي الفاتوره]]-Table16[[#This Row],[الدفعات]]</f>
        <v>1.4899999999979627</v>
      </c>
    </row>
    <row r="306" spans="11:13" ht="26.25" customHeight="1" x14ac:dyDescent="0.3">
      <c r="K306" s="1">
        <f>Table16[[#This Row],[النولون]]+Table16[[#This Row],[الايصالات]]-Table16[[#This Row],[خصم أ ت ص]]+Table16[[#This Row],[قيمة مضافة]]</f>
        <v>0</v>
      </c>
      <c r="M306" s="1">
        <f>M305+Table16[[#This Row],[اجمالي الفاتوره]]-Table16[[#This Row],[الدفعات]]</f>
        <v>1.4899999999979627</v>
      </c>
    </row>
    <row r="307" spans="11:13" ht="26.25" customHeight="1" x14ac:dyDescent="0.3">
      <c r="K307" s="1">
        <f>Table16[[#This Row],[النولون]]+Table16[[#This Row],[الايصالات]]-Table16[[#This Row],[خصم أ ت ص]]+Table16[[#This Row],[قيمة مضافة]]</f>
        <v>0</v>
      </c>
      <c r="M307" s="1">
        <f>M306+Table16[[#This Row],[اجمالي الفاتوره]]-Table16[[#This Row],[الدفعات]]</f>
        <v>1.4899999999979627</v>
      </c>
    </row>
    <row r="308" spans="11:13" ht="26.25" customHeight="1" x14ac:dyDescent="0.3">
      <c r="K308" s="1">
        <f>Table16[[#This Row],[النولون]]+Table16[[#This Row],[الايصالات]]-Table16[[#This Row],[خصم أ ت ص]]+Table16[[#This Row],[قيمة مضافة]]</f>
        <v>0</v>
      </c>
      <c r="M308" s="1">
        <f>M307+Table16[[#This Row],[اجمالي الفاتوره]]-Table16[[#This Row],[الدفعات]]</f>
        <v>1.4899999999979627</v>
      </c>
    </row>
    <row r="309" spans="11:13" ht="26.25" customHeight="1" x14ac:dyDescent="0.3">
      <c r="K309" s="1">
        <f>Table16[[#This Row],[النولون]]+Table16[[#This Row],[الايصالات]]-Table16[[#This Row],[خصم أ ت ص]]+Table16[[#This Row],[قيمة مضافة]]</f>
        <v>0</v>
      </c>
      <c r="M309" s="1">
        <f>M308+Table16[[#This Row],[اجمالي الفاتوره]]-Table16[[#This Row],[الدفعات]]</f>
        <v>1.4899999999979627</v>
      </c>
    </row>
    <row r="310" spans="11:13" ht="26.25" customHeight="1" x14ac:dyDescent="0.3">
      <c r="K310" s="1">
        <f>Table16[[#This Row],[النولون]]+Table16[[#This Row],[الايصالات]]-Table16[[#This Row],[خصم أ ت ص]]+Table16[[#This Row],[قيمة مضافة]]</f>
        <v>0</v>
      </c>
      <c r="M310" s="1">
        <f>M309+Table16[[#This Row],[اجمالي الفاتوره]]-Table16[[#This Row],[الدفعات]]</f>
        <v>1.4899999999979627</v>
      </c>
    </row>
    <row r="311" spans="11:13" ht="26.25" customHeight="1" x14ac:dyDescent="0.3">
      <c r="K311" s="1">
        <f>Table16[[#This Row],[النولون]]+Table16[[#This Row],[الايصالات]]-Table16[[#This Row],[خصم أ ت ص]]+Table16[[#This Row],[قيمة مضافة]]</f>
        <v>0</v>
      </c>
      <c r="M311" s="1">
        <f>M310+Table16[[#This Row],[اجمالي الفاتوره]]-Table16[[#This Row],[الدفعات]]</f>
        <v>1.4899999999979627</v>
      </c>
    </row>
    <row r="312" spans="11:13" ht="26.25" customHeight="1" x14ac:dyDescent="0.3">
      <c r="K312" s="1">
        <f>Table16[[#This Row],[النولون]]+Table16[[#This Row],[الايصالات]]-Table16[[#This Row],[خصم أ ت ص]]+Table16[[#This Row],[قيمة مضافة]]</f>
        <v>0</v>
      </c>
      <c r="M312" s="1">
        <f>M311+Table16[[#This Row],[اجمالي الفاتوره]]-Table16[[#This Row],[الدفعات]]</f>
        <v>1.4899999999979627</v>
      </c>
    </row>
    <row r="313" spans="11:13" ht="26.25" customHeight="1" x14ac:dyDescent="0.3">
      <c r="K313" s="1">
        <f>Table16[[#This Row],[النولون]]+Table16[[#This Row],[الايصالات]]-Table16[[#This Row],[خصم أ ت ص]]+Table16[[#This Row],[قيمة مضافة]]</f>
        <v>0</v>
      </c>
      <c r="M313" s="1">
        <f>M312+Table16[[#This Row],[اجمالي الفاتوره]]-Table16[[#This Row],[الدفعات]]</f>
        <v>1.4899999999979627</v>
      </c>
    </row>
    <row r="314" spans="11:13" ht="26.25" customHeight="1" x14ac:dyDescent="0.3">
      <c r="K314" s="1">
        <f>Table16[[#This Row],[النولون]]+Table16[[#This Row],[الايصالات]]-Table16[[#This Row],[خصم أ ت ص]]+Table16[[#This Row],[قيمة مضافة]]</f>
        <v>0</v>
      </c>
      <c r="M314" s="1">
        <f>M313+Table16[[#This Row],[اجمالي الفاتوره]]-Table16[[#This Row],[الدفعات]]</f>
        <v>1.4899999999979627</v>
      </c>
    </row>
    <row r="315" spans="11:13" ht="26.25" customHeight="1" x14ac:dyDescent="0.3">
      <c r="K315" s="1">
        <f>Table16[[#This Row],[النولون]]+Table16[[#This Row],[الايصالات]]-Table16[[#This Row],[خصم أ ت ص]]+Table16[[#This Row],[قيمة مضافة]]</f>
        <v>0</v>
      </c>
      <c r="M315" s="1">
        <f>M314+Table16[[#This Row],[اجمالي الفاتوره]]-Table16[[#This Row],[الدفعات]]</f>
        <v>1.4899999999979627</v>
      </c>
    </row>
    <row r="316" spans="11:13" ht="26.25" customHeight="1" x14ac:dyDescent="0.3">
      <c r="K316" s="1">
        <f>Table16[[#This Row],[النولون]]+Table16[[#This Row],[الايصالات]]-Table16[[#This Row],[خصم أ ت ص]]+Table16[[#This Row],[قيمة مضافة]]</f>
        <v>0</v>
      </c>
      <c r="M316" s="1">
        <f>M315+Table16[[#This Row],[اجمالي الفاتوره]]-Table16[[#This Row],[الدفعات]]</f>
        <v>1.4899999999979627</v>
      </c>
    </row>
    <row r="317" spans="11:13" ht="26.25" customHeight="1" x14ac:dyDescent="0.3">
      <c r="K317" s="1">
        <f>Table16[[#This Row],[النولون]]+Table16[[#This Row],[الايصالات]]-Table16[[#This Row],[خصم أ ت ص]]+Table16[[#This Row],[قيمة مضافة]]</f>
        <v>0</v>
      </c>
      <c r="M317" s="1">
        <f>M316+Table16[[#This Row],[اجمالي الفاتوره]]-Table16[[#This Row],[الدفعات]]</f>
        <v>1.4899999999979627</v>
      </c>
    </row>
    <row r="318" spans="11:13" ht="26.25" customHeight="1" x14ac:dyDescent="0.3">
      <c r="K318" s="1">
        <f>Table16[[#This Row],[النولون]]+Table16[[#This Row],[الايصالات]]-Table16[[#This Row],[خصم أ ت ص]]+Table16[[#This Row],[قيمة مضافة]]</f>
        <v>0</v>
      </c>
      <c r="M318" s="1">
        <f>M317+Table16[[#This Row],[اجمالي الفاتوره]]-Table16[[#This Row],[الدفعات]]</f>
        <v>1.4899999999979627</v>
      </c>
    </row>
    <row r="319" spans="11:13" ht="26.25" customHeight="1" x14ac:dyDescent="0.3">
      <c r="K319" s="1">
        <f>Table16[[#This Row],[النولون]]+Table16[[#This Row],[الايصالات]]-Table16[[#This Row],[خصم أ ت ص]]+Table16[[#This Row],[قيمة مضافة]]</f>
        <v>0</v>
      </c>
      <c r="M319" s="1">
        <f>M318+Table16[[#This Row],[اجمالي الفاتوره]]-Table16[[#This Row],[الدفعات]]</f>
        <v>1.4899999999979627</v>
      </c>
    </row>
    <row r="320" spans="11:13" ht="26.25" customHeight="1" x14ac:dyDescent="0.3">
      <c r="K320" s="1">
        <f>Table16[[#This Row],[النولون]]+Table16[[#This Row],[الايصالات]]-Table16[[#This Row],[خصم أ ت ص]]+Table16[[#This Row],[قيمة مضافة]]</f>
        <v>0</v>
      </c>
      <c r="M320" s="1">
        <f>M319+Table16[[#This Row],[اجمالي الفاتوره]]-Table16[[#This Row],[الدفعات]]</f>
        <v>1.4899999999979627</v>
      </c>
    </row>
    <row r="321" spans="11:13" ht="26.25" customHeight="1" x14ac:dyDescent="0.3">
      <c r="K321" s="1">
        <f>Table16[[#This Row],[النولون]]+Table16[[#This Row],[الايصالات]]-Table16[[#This Row],[خصم أ ت ص]]+Table16[[#This Row],[قيمة مضافة]]</f>
        <v>0</v>
      </c>
      <c r="M321" s="1">
        <f>M320+Table16[[#This Row],[اجمالي الفاتوره]]-Table16[[#This Row],[الدفعات]]</f>
        <v>1.4899999999979627</v>
      </c>
    </row>
    <row r="322" spans="11:13" ht="26.25" customHeight="1" x14ac:dyDescent="0.3">
      <c r="K322" s="1">
        <f>Table16[[#This Row],[النولون]]+Table16[[#This Row],[الايصالات]]-Table16[[#This Row],[خصم أ ت ص]]+Table16[[#This Row],[قيمة مضافة]]</f>
        <v>0</v>
      </c>
      <c r="M322" s="1">
        <f>M321+Table16[[#This Row],[اجمالي الفاتوره]]-Table16[[#This Row],[الدفعات]]</f>
        <v>1.4899999999979627</v>
      </c>
    </row>
    <row r="323" spans="11:13" ht="26.25" customHeight="1" x14ac:dyDescent="0.3">
      <c r="K323" s="1">
        <f>Table16[[#This Row],[النولون]]+Table16[[#This Row],[الايصالات]]-Table16[[#This Row],[خصم أ ت ص]]+Table16[[#This Row],[قيمة مضافة]]</f>
        <v>0</v>
      </c>
      <c r="M323" s="1">
        <f>M322+Table16[[#This Row],[اجمالي الفاتوره]]-Table16[[#This Row],[الدفعات]]</f>
        <v>1.4899999999979627</v>
      </c>
    </row>
    <row r="324" spans="11:13" ht="26.25" customHeight="1" x14ac:dyDescent="0.3">
      <c r="K324" s="1">
        <f>Table16[[#This Row],[النولون]]+Table16[[#This Row],[الايصالات]]-Table16[[#This Row],[خصم أ ت ص]]+Table16[[#This Row],[قيمة مضافة]]</f>
        <v>0</v>
      </c>
      <c r="M324" s="1">
        <f>M323+Table16[[#This Row],[اجمالي الفاتوره]]-Table16[[#This Row],[الدفعات]]</f>
        <v>1.4899999999979627</v>
      </c>
    </row>
    <row r="325" spans="11:13" ht="26.25" customHeight="1" x14ac:dyDescent="0.3">
      <c r="K325" s="1">
        <f>Table16[[#This Row],[النولون]]+Table16[[#This Row],[الايصالات]]-Table16[[#This Row],[خصم أ ت ص]]+Table16[[#This Row],[قيمة مضافة]]</f>
        <v>0</v>
      </c>
      <c r="M325" s="1">
        <f>M324+Table16[[#This Row],[اجمالي الفاتوره]]-Table16[[#This Row],[الدفعات]]</f>
        <v>1.4899999999979627</v>
      </c>
    </row>
    <row r="326" spans="11:13" ht="26.25" customHeight="1" x14ac:dyDescent="0.3">
      <c r="K326" s="1">
        <f>Table16[[#This Row],[النولون]]+Table16[[#This Row],[الايصالات]]-Table16[[#This Row],[خصم أ ت ص]]+Table16[[#This Row],[قيمة مضافة]]</f>
        <v>0</v>
      </c>
      <c r="M326" s="1">
        <f>M325+Table16[[#This Row],[اجمالي الفاتوره]]-Table16[[#This Row],[الدفعات]]</f>
        <v>1.4899999999979627</v>
      </c>
    </row>
    <row r="327" spans="11:13" ht="26.25" customHeight="1" x14ac:dyDescent="0.3">
      <c r="K327" s="1">
        <f>Table16[[#This Row],[النولون]]+Table16[[#This Row],[الايصالات]]-Table16[[#This Row],[خصم أ ت ص]]+Table16[[#This Row],[قيمة مضافة]]</f>
        <v>0</v>
      </c>
      <c r="M327" s="1">
        <f>M326+Table16[[#This Row],[اجمالي الفاتوره]]-Table16[[#This Row],[الدفعات]]</f>
        <v>1.4899999999979627</v>
      </c>
    </row>
    <row r="328" spans="11:13" ht="26.25" customHeight="1" x14ac:dyDescent="0.3">
      <c r="K328" s="1">
        <f>Table16[[#This Row],[النولون]]+Table16[[#This Row],[الايصالات]]-Table16[[#This Row],[خصم أ ت ص]]+Table16[[#This Row],[قيمة مضافة]]</f>
        <v>0</v>
      </c>
      <c r="M328" s="1">
        <f>M327+Table16[[#This Row],[اجمالي الفاتوره]]-Table16[[#This Row],[الدفعات]]</f>
        <v>1.4899999999979627</v>
      </c>
    </row>
    <row r="329" spans="11:13" ht="26.25" customHeight="1" x14ac:dyDescent="0.3">
      <c r="K329" s="1">
        <f>Table16[[#This Row],[النولون]]+Table16[[#This Row],[الايصالات]]-Table16[[#This Row],[خصم أ ت ص]]+Table16[[#This Row],[قيمة مضافة]]</f>
        <v>0</v>
      </c>
      <c r="M329" s="1">
        <f>M328+Table16[[#This Row],[اجمالي الفاتوره]]-Table16[[#This Row],[الدفعات]]</f>
        <v>1.4899999999979627</v>
      </c>
    </row>
    <row r="330" spans="11:13" ht="26.25" customHeight="1" x14ac:dyDescent="0.3">
      <c r="K330" s="1">
        <f>Table16[[#This Row],[النولون]]+Table16[[#This Row],[الايصالات]]-Table16[[#This Row],[خصم أ ت ص]]+Table16[[#This Row],[قيمة مضافة]]</f>
        <v>0</v>
      </c>
      <c r="M330" s="1">
        <f>M329+Table16[[#This Row],[اجمالي الفاتوره]]-Table16[[#This Row],[الدفعات]]</f>
        <v>1.4899999999979627</v>
      </c>
    </row>
    <row r="331" spans="11:13" ht="26.25" customHeight="1" x14ac:dyDescent="0.3">
      <c r="K331" s="1">
        <f>Table16[[#This Row],[النولون]]+Table16[[#This Row],[الايصالات]]-Table16[[#This Row],[خصم أ ت ص]]+Table16[[#This Row],[قيمة مضافة]]</f>
        <v>0</v>
      </c>
      <c r="M331" s="1">
        <f>M330+Table16[[#This Row],[اجمالي الفاتوره]]-Table16[[#This Row],[الدفعات]]</f>
        <v>1.4899999999979627</v>
      </c>
    </row>
    <row r="332" spans="11:13" ht="26.25" customHeight="1" x14ac:dyDescent="0.3">
      <c r="K332" s="1">
        <f>Table16[[#This Row],[النولون]]+Table16[[#This Row],[الايصالات]]-Table16[[#This Row],[خصم أ ت ص]]+Table16[[#This Row],[قيمة مضافة]]</f>
        <v>0</v>
      </c>
      <c r="M332" s="1">
        <f>M331+Table16[[#This Row],[اجمالي الفاتوره]]-Table16[[#This Row],[الدفعات]]</f>
        <v>1.4899999999979627</v>
      </c>
    </row>
    <row r="333" spans="11:13" ht="26.25" customHeight="1" x14ac:dyDescent="0.3">
      <c r="K333" s="1">
        <f>Table16[[#This Row],[النولون]]+Table16[[#This Row],[الايصالات]]-Table16[[#This Row],[خصم أ ت ص]]+Table16[[#This Row],[قيمة مضافة]]</f>
        <v>0</v>
      </c>
      <c r="M333" s="1">
        <f>M332+Table16[[#This Row],[اجمالي الفاتوره]]-Table16[[#This Row],[الدفعات]]</f>
        <v>1.4899999999979627</v>
      </c>
    </row>
    <row r="334" spans="11:13" ht="26.25" customHeight="1" x14ac:dyDescent="0.3">
      <c r="K334" s="1">
        <f>Table16[[#This Row],[النولون]]+Table16[[#This Row],[الايصالات]]-Table16[[#This Row],[خصم أ ت ص]]+Table16[[#This Row],[قيمة مضافة]]</f>
        <v>0</v>
      </c>
      <c r="M334" s="1">
        <f>M333+Table16[[#This Row],[اجمالي الفاتوره]]-Table16[[#This Row],[الدفعات]]</f>
        <v>1.4899999999979627</v>
      </c>
    </row>
    <row r="335" spans="11:13" ht="26.25" customHeight="1" x14ac:dyDescent="0.3">
      <c r="K335" s="1">
        <f>Table16[[#This Row],[النولون]]+Table16[[#This Row],[الايصالات]]-Table16[[#This Row],[خصم أ ت ص]]+Table16[[#This Row],[قيمة مضافة]]</f>
        <v>0</v>
      </c>
      <c r="M335" s="1">
        <f>M334+Table16[[#This Row],[اجمالي الفاتوره]]-Table16[[#This Row],[الدفعات]]</f>
        <v>1.4899999999979627</v>
      </c>
    </row>
    <row r="336" spans="11:13" ht="26.25" customHeight="1" x14ac:dyDescent="0.3">
      <c r="K336" s="1">
        <f>Table16[[#This Row],[النولون]]+Table16[[#This Row],[الايصالات]]-Table16[[#This Row],[خصم أ ت ص]]+Table16[[#This Row],[قيمة مضافة]]</f>
        <v>0</v>
      </c>
      <c r="M336" s="1">
        <f>M335+Table16[[#This Row],[اجمالي الفاتوره]]-Table16[[#This Row],[الدفعات]]</f>
        <v>1.4899999999979627</v>
      </c>
    </row>
    <row r="337" spans="11:13" ht="26.25" customHeight="1" x14ac:dyDescent="0.3">
      <c r="K337" s="1">
        <f>Table16[[#This Row],[النولون]]+Table16[[#This Row],[الايصالات]]-Table16[[#This Row],[خصم أ ت ص]]+Table16[[#This Row],[قيمة مضافة]]</f>
        <v>0</v>
      </c>
      <c r="M337" s="1">
        <f>M336+Table16[[#This Row],[اجمالي الفاتوره]]-Table16[[#This Row],[الدفعات]]</f>
        <v>1.4899999999979627</v>
      </c>
    </row>
    <row r="338" spans="11:13" ht="26.25" customHeight="1" x14ac:dyDescent="0.3">
      <c r="K338" s="1">
        <f>Table16[[#This Row],[النولون]]+Table16[[#This Row],[الايصالات]]-Table16[[#This Row],[خصم أ ت ص]]+Table16[[#This Row],[قيمة مضافة]]</f>
        <v>0</v>
      </c>
      <c r="M338" s="1">
        <f>M337+Table16[[#This Row],[اجمالي الفاتوره]]-Table16[[#This Row],[الدفعات]]</f>
        <v>1.4899999999979627</v>
      </c>
    </row>
    <row r="339" spans="11:13" ht="26.25" customHeight="1" x14ac:dyDescent="0.3">
      <c r="K339" s="1">
        <f>Table16[[#This Row],[النولون]]+Table16[[#This Row],[الايصالات]]-Table16[[#This Row],[خصم أ ت ص]]+Table16[[#This Row],[قيمة مضافة]]</f>
        <v>0</v>
      </c>
      <c r="M339" s="1">
        <f>M338+Table16[[#This Row],[اجمالي الفاتوره]]-Table16[[#This Row],[الدفعات]]</f>
        <v>1.4899999999979627</v>
      </c>
    </row>
    <row r="340" spans="11:13" ht="26.25" customHeight="1" x14ac:dyDescent="0.3">
      <c r="K340" s="1">
        <f>Table16[[#This Row],[النولون]]+Table16[[#This Row],[الايصالات]]-Table16[[#This Row],[خصم أ ت ص]]+Table16[[#This Row],[قيمة مضافة]]</f>
        <v>0</v>
      </c>
      <c r="M340" s="1">
        <f>M339+Table16[[#This Row],[اجمالي الفاتوره]]-Table16[[#This Row],[الدفعات]]</f>
        <v>1.4899999999979627</v>
      </c>
    </row>
    <row r="341" spans="11:13" ht="26.25" customHeight="1" x14ac:dyDescent="0.3">
      <c r="K341" s="1">
        <f>Table16[[#This Row],[النولون]]+Table16[[#This Row],[الايصالات]]-Table16[[#This Row],[خصم أ ت ص]]+Table16[[#This Row],[قيمة مضافة]]</f>
        <v>0</v>
      </c>
      <c r="M341" s="1">
        <f>M340+Table16[[#This Row],[اجمالي الفاتوره]]-Table16[[#This Row],[الدفعات]]</f>
        <v>1.4899999999979627</v>
      </c>
    </row>
    <row r="342" spans="11:13" ht="26.25" customHeight="1" x14ac:dyDescent="0.3">
      <c r="K342" s="1">
        <f>Table16[[#This Row],[النولون]]+Table16[[#This Row],[الايصالات]]-Table16[[#This Row],[خصم أ ت ص]]+Table16[[#This Row],[قيمة مضافة]]</f>
        <v>0</v>
      </c>
      <c r="M342" s="1">
        <f>M341+Table16[[#This Row],[اجمالي الفاتوره]]-Table16[[#This Row],[الدفعات]]</f>
        <v>1.4899999999979627</v>
      </c>
    </row>
    <row r="343" spans="11:13" ht="26.25" customHeight="1" x14ac:dyDescent="0.3">
      <c r="K343" s="1">
        <f>Table16[[#This Row],[النولون]]+Table16[[#This Row],[الايصالات]]-Table16[[#This Row],[خصم أ ت ص]]+Table16[[#This Row],[قيمة مضافة]]</f>
        <v>0</v>
      </c>
      <c r="M343" s="1">
        <f>M342+Table16[[#This Row],[اجمالي الفاتوره]]-Table16[[#This Row],[الدفعات]]</f>
        <v>1.4899999999979627</v>
      </c>
    </row>
    <row r="344" spans="11:13" ht="26.25" customHeight="1" x14ac:dyDescent="0.3">
      <c r="K344" s="1">
        <f>Table16[[#This Row],[النولون]]+Table16[[#This Row],[الايصالات]]-Table16[[#This Row],[خصم أ ت ص]]+Table16[[#This Row],[قيمة مضافة]]</f>
        <v>0</v>
      </c>
      <c r="M344" s="1">
        <f>M343+Table16[[#This Row],[اجمالي الفاتوره]]-Table16[[#This Row],[الدفعات]]</f>
        <v>1.4899999999979627</v>
      </c>
    </row>
    <row r="345" spans="11:13" ht="26.25" customHeight="1" x14ac:dyDescent="0.3">
      <c r="K345" s="1">
        <f>Table16[[#This Row],[النولون]]+Table16[[#This Row],[الايصالات]]-Table16[[#This Row],[خصم أ ت ص]]+Table16[[#This Row],[قيمة مضافة]]</f>
        <v>0</v>
      </c>
      <c r="M345" s="1">
        <f>M344+Table16[[#This Row],[اجمالي الفاتوره]]-Table16[[#This Row],[الدفعات]]</f>
        <v>1.4899999999979627</v>
      </c>
    </row>
    <row r="346" spans="11:13" ht="26.25" customHeight="1" x14ac:dyDescent="0.3">
      <c r="K346" s="1">
        <f>Table16[[#This Row],[النولون]]+Table16[[#This Row],[الايصالات]]-Table16[[#This Row],[خصم أ ت ص]]+Table16[[#This Row],[قيمة مضافة]]</f>
        <v>0</v>
      </c>
      <c r="M346" s="1">
        <f>M345+Table16[[#This Row],[اجمالي الفاتوره]]-Table16[[#This Row],[الدفعات]]</f>
        <v>1.4899999999979627</v>
      </c>
    </row>
    <row r="347" spans="11:13" ht="26.25" customHeight="1" x14ac:dyDescent="0.3">
      <c r="K347" s="1">
        <f>Table16[[#This Row],[النولون]]+Table16[[#This Row],[الايصالات]]-Table16[[#This Row],[خصم أ ت ص]]+Table16[[#This Row],[قيمة مضافة]]</f>
        <v>0</v>
      </c>
      <c r="M347" s="1">
        <f>M346+Table16[[#This Row],[اجمالي الفاتوره]]-Table16[[#This Row],[الدفعات]]</f>
        <v>1.4899999999979627</v>
      </c>
    </row>
    <row r="348" spans="11:13" ht="26.25" customHeight="1" x14ac:dyDescent="0.3">
      <c r="K348" s="1">
        <f>Table16[[#This Row],[النولون]]+Table16[[#This Row],[الايصالات]]-Table16[[#This Row],[خصم أ ت ص]]+Table16[[#This Row],[قيمة مضافة]]</f>
        <v>0</v>
      </c>
      <c r="M348" s="1">
        <f>M347+Table16[[#This Row],[اجمالي الفاتوره]]-Table16[[#This Row],[الدفعات]]</f>
        <v>1.4899999999979627</v>
      </c>
    </row>
    <row r="349" spans="11:13" ht="26.25" customHeight="1" x14ac:dyDescent="0.3">
      <c r="K349" s="1">
        <f>Table16[[#This Row],[النولون]]+Table16[[#This Row],[الايصالات]]-Table16[[#This Row],[خصم أ ت ص]]+Table16[[#This Row],[قيمة مضافة]]</f>
        <v>0</v>
      </c>
      <c r="M349" s="1">
        <f>M348+Table16[[#This Row],[اجمالي الفاتوره]]-Table16[[#This Row],[الدفعات]]</f>
        <v>1.4899999999979627</v>
      </c>
    </row>
    <row r="350" spans="11:13" ht="26.25" customHeight="1" x14ac:dyDescent="0.3">
      <c r="K350" s="1">
        <f>Table16[[#This Row],[النولون]]+Table16[[#This Row],[الايصالات]]-Table16[[#This Row],[خصم أ ت ص]]+Table16[[#This Row],[قيمة مضافة]]</f>
        <v>0</v>
      </c>
      <c r="M350" s="1">
        <f>M349+Table16[[#This Row],[اجمالي الفاتوره]]-Table16[[#This Row],[الدفعات]]</f>
        <v>1.4899999999979627</v>
      </c>
    </row>
    <row r="351" spans="11:13" ht="26.25" customHeight="1" x14ac:dyDescent="0.3">
      <c r="K351" s="1">
        <f>Table16[[#This Row],[النولون]]+Table16[[#This Row],[الايصالات]]-Table16[[#This Row],[خصم أ ت ص]]+Table16[[#This Row],[قيمة مضافة]]</f>
        <v>0</v>
      </c>
      <c r="M351" s="1">
        <f>M350+Table16[[#This Row],[اجمالي الفاتوره]]-Table16[[#This Row],[الدفعات]]</f>
        <v>1.4899999999979627</v>
      </c>
    </row>
    <row r="352" spans="11:13" ht="26.25" customHeight="1" x14ac:dyDescent="0.3">
      <c r="K352" s="1">
        <f>Table16[[#This Row],[النولون]]+Table16[[#This Row],[الايصالات]]-Table16[[#This Row],[خصم أ ت ص]]+Table16[[#This Row],[قيمة مضافة]]</f>
        <v>0</v>
      </c>
      <c r="M352" s="1">
        <f>M351+Table16[[#This Row],[اجمالي الفاتوره]]-Table16[[#This Row],[الدفعات]]</f>
        <v>1.4899999999979627</v>
      </c>
    </row>
    <row r="353" spans="11:13" ht="26.25" customHeight="1" x14ac:dyDescent="0.3">
      <c r="K353" s="1">
        <f>Table16[[#This Row],[النولون]]+Table16[[#This Row],[الايصالات]]-Table16[[#This Row],[خصم أ ت ص]]+Table16[[#This Row],[قيمة مضافة]]</f>
        <v>0</v>
      </c>
      <c r="M353" s="1">
        <f>M352+Table16[[#This Row],[اجمالي الفاتوره]]-Table16[[#This Row],[الدفعات]]</f>
        <v>1.4899999999979627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339"/>
  <sheetViews>
    <sheetView rightToLeft="1" topLeftCell="A3" workbookViewId="0">
      <selection activeCell="D16" sqref="D16"/>
    </sheetView>
  </sheetViews>
  <sheetFormatPr defaultColWidth="9.109375" defaultRowHeight="24.75" customHeight="1" x14ac:dyDescent="0.3"/>
  <cols>
    <col min="1" max="1" width="4.6640625" style="6" customWidth="1"/>
    <col min="2" max="2" width="5.44140625" style="1" customWidth="1"/>
    <col min="3" max="3" width="11" style="1" customWidth="1"/>
    <col min="4" max="4" width="14.77734375" style="1" customWidth="1"/>
    <col min="5" max="5" width="11.21875" style="1" customWidth="1"/>
    <col min="6" max="6" width="13.33203125" style="1" customWidth="1"/>
    <col min="7" max="7" width="12.33203125" style="1" customWidth="1"/>
    <col min="8" max="8" width="11.6640625" style="1" customWidth="1"/>
    <col min="9" max="10" width="8.21875" style="1" customWidth="1"/>
    <col min="11" max="11" width="10.77734375" style="1" customWidth="1"/>
    <col min="12" max="12" width="12.109375" style="1" customWidth="1"/>
    <col min="13" max="13" width="9.88671875" style="1" customWidth="1"/>
    <col min="14" max="14" width="15.21875" style="1" customWidth="1"/>
    <col min="15" max="15" width="13.6640625" style="1" customWidth="1"/>
    <col min="16" max="16384" width="9.109375" style="1"/>
  </cols>
  <sheetData>
    <row r="1" spans="1:15" ht="24.75" customHeight="1" x14ac:dyDescent="0.3">
      <c r="A1" s="6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24.75" customHeight="1" x14ac:dyDescent="0.3">
      <c r="B2" s="1">
        <v>1</v>
      </c>
      <c r="C2" s="2" t="s">
        <v>297</v>
      </c>
      <c r="D2" s="1" t="s">
        <v>383</v>
      </c>
      <c r="E2" s="1" t="s">
        <v>126</v>
      </c>
      <c r="F2" s="1">
        <v>497</v>
      </c>
      <c r="G2" s="1" t="s">
        <v>159</v>
      </c>
      <c r="H2" s="1">
        <v>14000</v>
      </c>
      <c r="K2" s="1">
        <f>550+243.19+29+1030+275+400+200</f>
        <v>2727.19</v>
      </c>
      <c r="L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16727.189999999999</v>
      </c>
      <c r="N2" s="1">
        <f>Table1181920231030313235383940424344[[#This Row],[اجمالي الفاتوره]]</f>
        <v>16727.189999999999</v>
      </c>
    </row>
    <row r="3" spans="1:15" ht="24.75" customHeight="1" x14ac:dyDescent="0.3">
      <c r="B3" s="1">
        <v>2</v>
      </c>
      <c r="C3" s="2" t="s">
        <v>382</v>
      </c>
      <c r="D3" s="1" t="s">
        <v>383</v>
      </c>
      <c r="E3" s="1" t="s">
        <v>126</v>
      </c>
      <c r="F3" s="1">
        <v>15906765</v>
      </c>
      <c r="G3" s="1" t="s">
        <v>121</v>
      </c>
      <c r="H3" s="1">
        <v>19000</v>
      </c>
      <c r="K3" s="1">
        <f>210+810+1100+415.78+2000+4259+400</f>
        <v>9194.7799999999988</v>
      </c>
      <c r="L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28194.78</v>
      </c>
      <c r="N3" s="1">
        <f>N2+Table1181920231030313235383940424344[[#This Row],[اجمالي الفاتوره]]-Table1181920231030313235383940424344[[#This Row],[الدفعات]]</f>
        <v>44921.97</v>
      </c>
    </row>
    <row r="4" spans="1:15" ht="24.75" customHeight="1" x14ac:dyDescent="0.3">
      <c r="A4" s="74"/>
      <c r="B4" s="72"/>
      <c r="C4" s="73" t="s">
        <v>388</v>
      </c>
      <c r="D4" s="72"/>
      <c r="E4" s="72"/>
      <c r="F4" s="72"/>
      <c r="G4" s="72"/>
      <c r="H4" s="72"/>
      <c r="I4" s="72"/>
      <c r="J4" s="72"/>
      <c r="K4" s="72"/>
      <c r="L4" s="72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M4" s="72">
        <v>40000</v>
      </c>
      <c r="N4" s="72">
        <f>N3+Table1181920231030313235383940424344[[#This Row],[اجمالي الفاتوره]]-Table1181920231030313235383940424344[[#This Row],[الدفعات]]</f>
        <v>4921.9700000000012</v>
      </c>
    </row>
    <row r="5" spans="1:15" ht="24.75" customHeight="1" x14ac:dyDescent="0.3">
      <c r="B5" s="1">
        <v>3</v>
      </c>
      <c r="C5" s="2" t="s">
        <v>392</v>
      </c>
      <c r="D5" s="1" t="s">
        <v>383</v>
      </c>
      <c r="E5" s="1" t="s">
        <v>126</v>
      </c>
      <c r="F5" s="1">
        <v>891040</v>
      </c>
      <c r="G5" s="1" t="s">
        <v>396</v>
      </c>
      <c r="H5" s="1">
        <f>41800+15400</f>
        <v>57200</v>
      </c>
      <c r="K5" s="1">
        <f>3000+810+810+600+1100*2+446.76+458.07+256.48+537+150+3249+350+741+500</f>
        <v>14108.31</v>
      </c>
      <c r="L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71308.31</v>
      </c>
      <c r="N5" s="1">
        <f>N4+Table1181920231030313235383940424344[[#This Row],[اجمالي الفاتوره]]-Table1181920231030313235383940424344[[#This Row],[الدفعات]]</f>
        <v>76230.28</v>
      </c>
    </row>
    <row r="6" spans="1:15" ht="24.75" customHeight="1" x14ac:dyDescent="0.3">
      <c r="B6" s="1">
        <v>4</v>
      </c>
      <c r="C6" s="2" t="s">
        <v>392</v>
      </c>
      <c r="D6" s="1" t="s">
        <v>397</v>
      </c>
      <c r="E6" s="1" t="s">
        <v>283</v>
      </c>
      <c r="K6" s="1">
        <f>400+210</f>
        <v>610</v>
      </c>
      <c r="L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610</v>
      </c>
      <c r="N6" s="1">
        <f>N5+Table1181920231030313235383940424344[[#This Row],[اجمالي الفاتوره]]-Table1181920231030313235383940424344[[#This Row],[الدفعات]]</f>
        <v>76840.28</v>
      </c>
    </row>
    <row r="7" spans="1:15" ht="24.75" customHeight="1" x14ac:dyDescent="0.3">
      <c r="A7" s="74"/>
      <c r="B7" s="72"/>
      <c r="C7" s="73">
        <v>46124</v>
      </c>
      <c r="D7" s="72"/>
      <c r="E7" s="72"/>
      <c r="F7" s="72"/>
      <c r="G7" s="72"/>
      <c r="H7" s="72"/>
      <c r="I7" s="72"/>
      <c r="J7" s="72"/>
      <c r="K7" s="72"/>
      <c r="L7" s="72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M7" s="72">
        <v>30000</v>
      </c>
      <c r="N7" s="72">
        <f>N6+Table1181920231030313235383940424344[[#This Row],[اجمالي الفاتوره]]-Table1181920231030313235383940424344[[#This Row],[الدفعات]]</f>
        <v>46840.28</v>
      </c>
    </row>
    <row r="8" spans="1:15" ht="24.75" customHeight="1" x14ac:dyDescent="0.3">
      <c r="A8" s="74"/>
      <c r="B8" s="72"/>
      <c r="C8" s="73" t="s">
        <v>475</v>
      </c>
      <c r="D8" s="72"/>
      <c r="E8" s="72"/>
      <c r="F8" s="72"/>
      <c r="G8" s="72"/>
      <c r="H8" s="72"/>
      <c r="I8" s="72"/>
      <c r="J8" s="72"/>
      <c r="K8" s="72"/>
      <c r="L8" s="72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M8" s="72">
        <v>25000</v>
      </c>
      <c r="N8" s="72">
        <f>N7+Table1181920231030313235383940424344[[#This Row],[اجمالي الفاتوره]]-Table1181920231030313235383940424344[[#This Row],[الدفعات]]</f>
        <v>21840.28</v>
      </c>
    </row>
    <row r="9" spans="1:15" ht="24.75" customHeight="1" x14ac:dyDescent="0.3">
      <c r="A9" s="74"/>
      <c r="B9" s="72"/>
      <c r="C9" s="73">
        <v>46153</v>
      </c>
      <c r="D9" s="72"/>
      <c r="E9" s="72"/>
      <c r="F9" s="72"/>
      <c r="G9" s="72"/>
      <c r="H9" s="72"/>
      <c r="I9" s="72"/>
      <c r="J9" s="72"/>
      <c r="K9" s="72"/>
      <c r="L9" s="72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M9" s="72">
        <v>21840</v>
      </c>
      <c r="N9" s="72">
        <f>N8+Table1181920231030313235383940424344[[#This Row],[اجمالي الفاتوره]]-Table1181920231030313235383940424344[[#This Row],[الدفعات]]</f>
        <v>0.27999999999883585</v>
      </c>
      <c r="O9" s="1">
        <f>SUM(L:L)-SUM(M:M)</f>
        <v>122178.35000000006</v>
      </c>
    </row>
    <row r="10" spans="1:15" ht="24.75" customHeight="1" x14ac:dyDescent="0.3">
      <c r="B10" s="1">
        <v>5</v>
      </c>
      <c r="C10" s="2">
        <v>46172</v>
      </c>
      <c r="D10" s="1" t="s">
        <v>383</v>
      </c>
      <c r="E10" s="1" t="s">
        <v>126</v>
      </c>
      <c r="F10" s="1">
        <v>909100</v>
      </c>
      <c r="G10" s="1" t="s">
        <v>92</v>
      </c>
      <c r="H10" s="1">
        <f>20900*2</f>
        <v>41800</v>
      </c>
      <c r="K10" s="1">
        <f>210+410+850+1100*2+412.95+444.91+79+228+2280+400+570+100+400+400+2000*2</f>
        <v>12984.86</v>
      </c>
      <c r="L1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54784.86</v>
      </c>
      <c r="N10" s="1">
        <f>N9+Table1181920231030313235383940424344[[#This Row],[اجمالي الفاتوره]]-Table1181920231030313235383940424344[[#This Row],[الدفعات]]</f>
        <v>54785.14</v>
      </c>
    </row>
    <row r="11" spans="1:15" ht="24.75" customHeight="1" x14ac:dyDescent="0.3">
      <c r="A11" s="74"/>
      <c r="B11" s="72"/>
      <c r="C11" s="73" t="s">
        <v>572</v>
      </c>
      <c r="D11" s="72"/>
      <c r="E11" s="72"/>
      <c r="F11" s="72"/>
      <c r="G11" s="72"/>
      <c r="H11" s="72"/>
      <c r="I11" s="72"/>
      <c r="J11" s="72"/>
      <c r="K11" s="72"/>
      <c r="L11" s="72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M11" s="72">
        <v>30000</v>
      </c>
      <c r="N11" s="72">
        <f>N10+Table1181920231030313235383940424344[[#This Row],[اجمالي الفاتوره]]-Table1181920231030313235383940424344[[#This Row],[الدفعات]]</f>
        <v>24785.14</v>
      </c>
    </row>
    <row r="12" spans="1:15" ht="24.75" customHeight="1" x14ac:dyDescent="0.3">
      <c r="B12" s="1">
        <v>6</v>
      </c>
      <c r="C12" s="2">
        <v>46180</v>
      </c>
      <c r="D12" s="2" t="s">
        <v>383</v>
      </c>
      <c r="E12" s="1" t="s">
        <v>126</v>
      </c>
      <c r="F12" s="1" t="s">
        <v>594</v>
      </c>
      <c r="G12" s="1" t="s">
        <v>121</v>
      </c>
      <c r="H12" s="1">
        <v>20900</v>
      </c>
      <c r="K12" s="1">
        <f>210+1100+412.95+2500+200+285+400</f>
        <v>5107.95</v>
      </c>
      <c r="L1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26007.95</v>
      </c>
      <c r="N12" s="1">
        <f>N11+Table1181920231030313235383940424344[[#This Row],[اجمالي الفاتوره]]-Table1181920231030313235383940424344[[#This Row],[الدفعات]]</f>
        <v>50793.09</v>
      </c>
    </row>
    <row r="13" spans="1:15" ht="24.75" customHeight="1" x14ac:dyDescent="0.3">
      <c r="B13" s="1">
        <v>7</v>
      </c>
      <c r="C13" s="2">
        <v>46194</v>
      </c>
      <c r="D13" s="1" t="s">
        <v>383</v>
      </c>
      <c r="E13" s="1" t="s">
        <v>126</v>
      </c>
      <c r="F13" s="1">
        <v>913874</v>
      </c>
      <c r="G13" s="1" t="s">
        <v>92</v>
      </c>
      <c r="H13" s="1">
        <f>20900*2</f>
        <v>41800</v>
      </c>
      <c r="K13" s="1">
        <f>410+1100+1100+438.64+423.28+5000+400+570+500</f>
        <v>9941.92</v>
      </c>
      <c r="L1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51741.919999999998</v>
      </c>
      <c r="N13" s="1">
        <f>N12+Table1181920231030313235383940424344[[#This Row],[اجمالي الفاتوره]]-Table1181920231030313235383940424344[[#This Row],[الدفعات]]</f>
        <v>102535.01</v>
      </c>
    </row>
    <row r="14" spans="1:15" ht="24.75" customHeight="1" x14ac:dyDescent="0.3">
      <c r="B14" s="20">
        <v>8</v>
      </c>
      <c r="C14" s="23">
        <v>46194</v>
      </c>
      <c r="D14" s="1" t="s">
        <v>383</v>
      </c>
      <c r="E14" s="1" t="s">
        <v>126</v>
      </c>
      <c r="F14" s="20">
        <v>914831</v>
      </c>
      <c r="G14" s="1" t="s">
        <v>159</v>
      </c>
      <c r="H14" s="20">
        <v>15400</v>
      </c>
      <c r="I14" s="20"/>
      <c r="J14" s="20"/>
      <c r="K14" s="20">
        <f>210+550+262.34+2500+150+171+400</f>
        <v>4243.34</v>
      </c>
      <c r="L14" s="20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19643.34</v>
      </c>
      <c r="M14" s="20"/>
      <c r="N14" s="1">
        <f>N13+Table1181920231030313235383940424344[[#This Row],[اجمالي الفاتوره]]-Table1181920231030313235383940424344[[#This Row],[الدفعات]]</f>
        <v>122178.34999999999</v>
      </c>
      <c r="O14" s="20"/>
    </row>
    <row r="15" spans="1:15" ht="24.75" customHeight="1" x14ac:dyDescent="0.3">
      <c r="B15" s="1">
        <v>9</v>
      </c>
      <c r="C15" s="2">
        <v>46200</v>
      </c>
      <c r="D15" s="1" t="s">
        <v>446</v>
      </c>
      <c r="E15" s="1" t="s">
        <v>94</v>
      </c>
      <c r="F15" s="1">
        <v>57978</v>
      </c>
      <c r="G15" s="1" t="s">
        <v>158</v>
      </c>
      <c r="H15" s="1">
        <f>17500*3</f>
        <v>52500</v>
      </c>
      <c r="K15" s="1">
        <f>2000*3+114+610+79+1100*3+427.09+429.91+313.09+500+3440</f>
        <v>15213.09</v>
      </c>
      <c r="L1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67713.09</v>
      </c>
      <c r="N15" s="1">
        <f>N14+Table1181920231030313235383940424344[[#This Row],[اجمالي الفاتوره]]-Table1181920231030313235383940424344[[#This Row],[الدفعات]]</f>
        <v>189891.44</v>
      </c>
    </row>
    <row r="16" spans="1:15" ht="24.75" customHeight="1" x14ac:dyDescent="0.3">
      <c r="A16" s="74"/>
      <c r="B16" s="72"/>
      <c r="C16" s="73">
        <v>46202</v>
      </c>
      <c r="D16" s="72"/>
      <c r="E16" s="72"/>
      <c r="F16" s="72"/>
      <c r="G16" s="72"/>
      <c r="H16" s="72"/>
      <c r="I16" s="72"/>
      <c r="J16" s="72"/>
      <c r="K16" s="72"/>
      <c r="L16" s="72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M16" s="72">
        <v>67713.09</v>
      </c>
      <c r="N16" s="72">
        <f>N15+Table1181920231030313235383940424344[[#This Row],[اجمالي الفاتوره]]-Table1181920231030313235383940424344[[#This Row],[الدفعات]]</f>
        <v>122178.35</v>
      </c>
    </row>
    <row r="17" spans="1:14" ht="24.75" customHeight="1" x14ac:dyDescent="0.3">
      <c r="C17" s="2"/>
      <c r="L1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7" s="1">
        <f>N16+Table1181920231030313235383940424344[[#This Row],[اجمالي الفاتوره]]-Table1181920231030313235383940424344[[#This Row],[الدفعات]]</f>
        <v>122178.35</v>
      </c>
    </row>
    <row r="18" spans="1:14" ht="24.75" customHeight="1" x14ac:dyDescent="0.3">
      <c r="A18" s="1"/>
      <c r="C18" s="2"/>
      <c r="L1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8" s="1">
        <f>N17+Table1181920231030313235383940424344[[#This Row],[اجمالي الفاتوره]]-Table1181920231030313235383940424344[[#This Row],[الدفعات]]</f>
        <v>122178.35</v>
      </c>
    </row>
    <row r="19" spans="1:14" ht="24.75" customHeight="1" x14ac:dyDescent="0.3">
      <c r="A19" s="1"/>
      <c r="C19" s="2"/>
      <c r="L1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9" s="1">
        <f>N18+Table1181920231030313235383940424344[[#This Row],[اجمالي الفاتوره]]-Table1181920231030313235383940424344[[#This Row],[الدفعات]]</f>
        <v>122178.35</v>
      </c>
    </row>
    <row r="20" spans="1:14" ht="24.75" customHeight="1" x14ac:dyDescent="0.3">
      <c r="A20" s="1"/>
      <c r="C20" s="2"/>
      <c r="L2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0" s="1">
        <f>N19+Table1181920231030313235383940424344[[#This Row],[اجمالي الفاتوره]]-Table1181920231030313235383940424344[[#This Row],[الدفعات]]</f>
        <v>122178.35</v>
      </c>
    </row>
    <row r="21" spans="1:14" ht="24.75" customHeight="1" x14ac:dyDescent="0.3">
      <c r="A21" s="1"/>
      <c r="C21" s="2"/>
      <c r="L2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1" s="1">
        <f>N20+Table1181920231030313235383940424344[[#This Row],[اجمالي الفاتوره]]-Table1181920231030313235383940424344[[#This Row],[الدفعات]]</f>
        <v>122178.35</v>
      </c>
    </row>
    <row r="22" spans="1:14" ht="24.75" customHeight="1" x14ac:dyDescent="0.3">
      <c r="A22" s="1"/>
      <c r="C22" s="2"/>
      <c r="L2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2" s="1">
        <f>N21+Table1181920231030313235383940424344[[#This Row],[اجمالي الفاتوره]]-Table1181920231030313235383940424344[[#This Row],[الدفعات]]</f>
        <v>122178.35</v>
      </c>
    </row>
    <row r="23" spans="1:14" ht="24.75" customHeight="1" x14ac:dyDescent="0.3">
      <c r="A23" s="1"/>
      <c r="C23" s="2"/>
      <c r="L2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3" s="1">
        <f>N22+Table1181920231030313235383940424344[[#This Row],[اجمالي الفاتوره]]-Table1181920231030313235383940424344[[#This Row],[الدفعات]]</f>
        <v>122178.35</v>
      </c>
    </row>
    <row r="24" spans="1:14" ht="24.75" customHeight="1" x14ac:dyDescent="0.3">
      <c r="A24" s="1"/>
      <c r="C24" s="2"/>
      <c r="N24" s="1">
        <f>N23+Table1181920231030313235383940424344[[#This Row],[اجمالي الفاتوره]]-Table1181920231030313235383940424344[[#This Row],[الدفعات]]</f>
        <v>122178.35</v>
      </c>
    </row>
    <row r="25" spans="1:14" ht="24.75" customHeight="1" x14ac:dyDescent="0.3">
      <c r="A25" s="1"/>
      <c r="C25" s="2"/>
      <c r="L2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5" s="1">
        <f>N24+Table1181920231030313235383940424344[[#This Row],[اجمالي الفاتوره]]-Table1181920231030313235383940424344[[#This Row],[الدفعات]]</f>
        <v>122178.35</v>
      </c>
    </row>
    <row r="26" spans="1:14" ht="24.75" customHeight="1" x14ac:dyDescent="0.3">
      <c r="A26" s="1"/>
      <c r="L2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6" s="1">
        <f>N25+Table1181920231030313235383940424344[[#This Row],[اجمالي الفاتوره]]-Table1181920231030313235383940424344[[#This Row],[الدفعات]]</f>
        <v>122178.35</v>
      </c>
    </row>
    <row r="27" spans="1:14" ht="24.75" customHeight="1" x14ac:dyDescent="0.3">
      <c r="A27" s="1"/>
      <c r="C27" s="2"/>
      <c r="L2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7" s="1">
        <f>N26+Table1181920231030313235383940424344[[#This Row],[اجمالي الفاتوره]]-Table1181920231030313235383940424344[[#This Row],[الدفعات]]</f>
        <v>122178.35</v>
      </c>
    </row>
    <row r="28" spans="1:14" ht="24.75" customHeight="1" x14ac:dyDescent="0.3">
      <c r="A28" s="1"/>
      <c r="C28" s="2"/>
      <c r="L2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8" s="1">
        <f>N27+Table1181920231030313235383940424344[[#This Row],[اجمالي الفاتوره]]-Table1181920231030313235383940424344[[#This Row],[الدفعات]]</f>
        <v>122178.35</v>
      </c>
    </row>
    <row r="29" spans="1:14" ht="24.75" customHeight="1" x14ac:dyDescent="0.3">
      <c r="A29" s="1"/>
      <c r="C29" s="2"/>
      <c r="L2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9" s="1">
        <f>N28+Table1181920231030313235383940424344[[#This Row],[اجمالي الفاتوره]]-Table1181920231030313235383940424344[[#This Row],[الدفعات]]</f>
        <v>122178.35</v>
      </c>
    </row>
    <row r="30" spans="1:14" ht="24.75" customHeight="1" x14ac:dyDescent="0.3">
      <c r="A30" s="1"/>
      <c r="C30" s="2"/>
      <c r="L3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0" s="1">
        <f>N29+Table1181920231030313235383940424344[[#This Row],[اجمالي الفاتوره]]-Table1181920231030313235383940424344[[#This Row],[الدفعات]]</f>
        <v>122178.35</v>
      </c>
    </row>
    <row r="31" spans="1:14" ht="24.75" customHeight="1" x14ac:dyDescent="0.3">
      <c r="A31" s="1"/>
      <c r="L3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1" s="1">
        <f>N30+Table1181920231030313235383940424344[[#This Row],[اجمالي الفاتوره]]-Table1181920231030313235383940424344[[#This Row],[الدفعات]]</f>
        <v>122178.35</v>
      </c>
    </row>
    <row r="32" spans="1:14" ht="24.75" customHeight="1" x14ac:dyDescent="0.3">
      <c r="A32" s="1"/>
      <c r="C32" s="2"/>
      <c r="L3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2" s="1">
        <f>N31+Table1181920231030313235383940424344[[#This Row],[اجمالي الفاتوره]]-Table1181920231030313235383940424344[[#This Row],[الدفعات]]</f>
        <v>122178.35</v>
      </c>
    </row>
    <row r="33" spans="1:14" ht="24.75" customHeight="1" x14ac:dyDescent="0.3">
      <c r="A33" s="1"/>
      <c r="L3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3" s="1">
        <f>N32+Table1181920231030313235383940424344[[#This Row],[اجمالي الفاتوره]]-Table1181920231030313235383940424344[[#This Row],[الدفعات]]</f>
        <v>122178.35</v>
      </c>
    </row>
    <row r="34" spans="1:14" ht="24.75" customHeight="1" x14ac:dyDescent="0.3">
      <c r="A34" s="1"/>
      <c r="L3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4" s="1">
        <f>N33+Table1181920231030313235383940424344[[#This Row],[اجمالي الفاتوره]]-Table1181920231030313235383940424344[[#This Row],[الدفعات]]</f>
        <v>122178.35</v>
      </c>
    </row>
    <row r="35" spans="1:14" ht="24.75" customHeight="1" x14ac:dyDescent="0.3">
      <c r="A35" s="1"/>
      <c r="L3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5" s="1">
        <f>N34+Table1181920231030313235383940424344[[#This Row],[اجمالي الفاتوره]]-Table1181920231030313235383940424344[[#This Row],[الدفعات]]</f>
        <v>122178.35</v>
      </c>
    </row>
    <row r="36" spans="1:14" ht="24.75" customHeight="1" x14ac:dyDescent="0.3">
      <c r="A36" s="1"/>
      <c r="C36" s="2"/>
      <c r="D36" s="2"/>
      <c r="L3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6" s="1">
        <f>N35+Table1181920231030313235383940424344[[#This Row],[اجمالي الفاتوره]]-Table1181920231030313235383940424344[[#This Row],[الدفعات]]</f>
        <v>122178.35</v>
      </c>
    </row>
    <row r="37" spans="1:14" ht="24.75" customHeight="1" x14ac:dyDescent="0.3">
      <c r="A37" s="1"/>
      <c r="L3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7" s="1">
        <f>N36+Table1181920231030313235383940424344[[#This Row],[اجمالي الفاتوره]]-Table1181920231030313235383940424344[[#This Row],[الدفعات]]</f>
        <v>122178.35</v>
      </c>
    </row>
    <row r="38" spans="1:14" ht="24.75" customHeight="1" x14ac:dyDescent="0.3">
      <c r="A38" s="1"/>
      <c r="L3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8" s="1">
        <f>N37+Table1181920231030313235383940424344[[#This Row],[اجمالي الفاتوره]]-Table1181920231030313235383940424344[[#This Row],[الدفعات]]</f>
        <v>122178.35</v>
      </c>
    </row>
    <row r="39" spans="1:14" ht="24.75" customHeight="1" x14ac:dyDescent="0.3">
      <c r="A39" s="1"/>
      <c r="L3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9" s="1">
        <f>N38+Table1181920231030313235383940424344[[#This Row],[اجمالي الفاتوره]]-Table1181920231030313235383940424344[[#This Row],[الدفعات]]</f>
        <v>122178.35</v>
      </c>
    </row>
    <row r="40" spans="1:14" ht="24.75" customHeight="1" x14ac:dyDescent="0.3">
      <c r="A40" s="1"/>
      <c r="L4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40" s="1">
        <f>N39+Table1181920231030313235383940424344[[#This Row],[اجمالي الفاتوره]]-Table1181920231030313235383940424344[[#This Row],[الدفعات]]</f>
        <v>122178.35</v>
      </c>
    </row>
    <row r="41" spans="1:14" ht="24.75" customHeight="1" x14ac:dyDescent="0.3">
      <c r="A41" s="1"/>
      <c r="L4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41" s="1">
        <f>N40+Table1181920231030313235383940424344[[#This Row],[اجمالي الفاتوره]]-Table1181920231030313235383940424344[[#This Row],[الدفعات]]</f>
        <v>122178.35</v>
      </c>
    </row>
    <row r="42" spans="1:14" ht="24.75" customHeight="1" x14ac:dyDescent="0.3">
      <c r="A42" s="1"/>
      <c r="L4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42" s="1">
        <f>N41+Table1181920231030313235383940424344[[#This Row],[اجمالي الفاتوره]]-Table1181920231030313235383940424344[[#This Row],[الدفعات]]</f>
        <v>122178.35</v>
      </c>
    </row>
    <row r="43" spans="1:14" ht="24.75" customHeight="1" x14ac:dyDescent="0.3">
      <c r="A43" s="1"/>
      <c r="L4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43" s="1">
        <f>N42+Table1181920231030313235383940424344[[#This Row],[اجمالي الفاتوره]]-Table1181920231030313235383940424344[[#This Row],[الدفعات]]</f>
        <v>122178.35</v>
      </c>
    </row>
    <row r="44" spans="1:14" ht="24.75" customHeight="1" x14ac:dyDescent="0.3">
      <c r="A44" s="1"/>
      <c r="L4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44" s="1">
        <f>N43+Table1181920231030313235383940424344[[#This Row],[اجمالي الفاتوره]]-Table1181920231030313235383940424344[[#This Row],[الدفعات]]</f>
        <v>122178.35</v>
      </c>
    </row>
    <row r="45" spans="1:14" ht="24.75" customHeight="1" x14ac:dyDescent="0.3">
      <c r="A45" s="1"/>
      <c r="L4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45" s="1">
        <f>N44+Table1181920231030313235383940424344[[#This Row],[اجمالي الفاتوره]]-Table1181920231030313235383940424344[[#This Row],[الدفعات]]</f>
        <v>122178.35</v>
      </c>
    </row>
    <row r="46" spans="1:14" ht="24.75" customHeight="1" x14ac:dyDescent="0.3">
      <c r="A46" s="1"/>
      <c r="L4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46" s="1">
        <f>N45+Table1181920231030313235383940424344[[#This Row],[اجمالي الفاتوره]]-Table1181920231030313235383940424344[[#This Row],[الدفعات]]</f>
        <v>122178.35</v>
      </c>
    </row>
    <row r="47" spans="1:14" ht="24.75" customHeight="1" x14ac:dyDescent="0.3">
      <c r="A47" s="1"/>
      <c r="L4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47" s="1">
        <f>N46+Table1181920231030313235383940424344[[#This Row],[اجمالي الفاتوره]]-Table1181920231030313235383940424344[[#This Row],[الدفعات]]</f>
        <v>122178.35</v>
      </c>
    </row>
    <row r="48" spans="1:14" ht="24.75" customHeight="1" x14ac:dyDescent="0.3">
      <c r="A48" s="1"/>
      <c r="L4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48" s="1">
        <f>N47+Table1181920231030313235383940424344[[#This Row],[اجمالي الفاتوره]]-Table1181920231030313235383940424344[[#This Row],[الدفعات]]</f>
        <v>122178.35</v>
      </c>
    </row>
    <row r="49" spans="1:14" ht="24.75" customHeight="1" x14ac:dyDescent="0.3">
      <c r="A49" s="1"/>
      <c r="L4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49" s="1">
        <f>N48+Table1181920231030313235383940424344[[#This Row],[اجمالي الفاتوره]]-Table1181920231030313235383940424344[[#This Row],[الدفعات]]</f>
        <v>122178.35</v>
      </c>
    </row>
    <row r="50" spans="1:14" ht="24.75" customHeight="1" x14ac:dyDescent="0.3">
      <c r="A50" s="1"/>
      <c r="L5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50" s="1">
        <f>N49+Table1181920231030313235383940424344[[#This Row],[اجمالي الفاتوره]]-Table1181920231030313235383940424344[[#This Row],[الدفعات]]</f>
        <v>122178.35</v>
      </c>
    </row>
    <row r="51" spans="1:14" ht="24.75" customHeight="1" x14ac:dyDescent="0.3">
      <c r="A51" s="1"/>
      <c r="L5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51" s="1">
        <f>N50+Table1181920231030313235383940424344[[#This Row],[اجمالي الفاتوره]]-Table1181920231030313235383940424344[[#This Row],[الدفعات]]</f>
        <v>122178.35</v>
      </c>
    </row>
    <row r="52" spans="1:14" ht="24.75" customHeight="1" x14ac:dyDescent="0.3">
      <c r="A52" s="1"/>
      <c r="L5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52" s="1">
        <f>N51+Table1181920231030313235383940424344[[#This Row],[اجمالي الفاتوره]]-Table1181920231030313235383940424344[[#This Row],[الدفعات]]</f>
        <v>122178.35</v>
      </c>
    </row>
    <row r="53" spans="1:14" ht="24.75" customHeight="1" x14ac:dyDescent="0.3">
      <c r="A53" s="1"/>
      <c r="L5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53" s="1">
        <f>N52+Table1181920231030313235383940424344[[#This Row],[اجمالي الفاتوره]]-Table1181920231030313235383940424344[[#This Row],[الدفعات]]</f>
        <v>122178.35</v>
      </c>
    </row>
    <row r="54" spans="1:14" ht="24.75" customHeight="1" x14ac:dyDescent="0.3">
      <c r="A54" s="1"/>
      <c r="L5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54" s="1">
        <f>N53+Table1181920231030313235383940424344[[#This Row],[اجمالي الفاتوره]]-Table1181920231030313235383940424344[[#This Row],[الدفعات]]</f>
        <v>122178.35</v>
      </c>
    </row>
    <row r="55" spans="1:14" ht="24.75" customHeight="1" x14ac:dyDescent="0.3">
      <c r="A55" s="1"/>
      <c r="L5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55" s="1">
        <f>N54+Table1181920231030313235383940424344[[#This Row],[اجمالي الفاتوره]]-Table1181920231030313235383940424344[[#This Row],[الدفعات]]</f>
        <v>122178.35</v>
      </c>
    </row>
    <row r="56" spans="1:14" ht="24.75" customHeight="1" x14ac:dyDescent="0.3">
      <c r="A56" s="1"/>
      <c r="L5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56" s="1">
        <f>N55+Table1181920231030313235383940424344[[#This Row],[اجمالي الفاتوره]]-Table1181920231030313235383940424344[[#This Row],[الدفعات]]</f>
        <v>122178.35</v>
      </c>
    </row>
    <row r="57" spans="1:14" ht="24.75" customHeight="1" x14ac:dyDescent="0.3">
      <c r="A57" s="1"/>
      <c r="L5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57" s="1">
        <f>N56+Table1181920231030313235383940424344[[#This Row],[اجمالي الفاتوره]]-Table1181920231030313235383940424344[[#This Row],[الدفعات]]</f>
        <v>122178.35</v>
      </c>
    </row>
    <row r="58" spans="1:14" ht="24.75" customHeight="1" x14ac:dyDescent="0.3">
      <c r="A58" s="1"/>
      <c r="L5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58" s="1">
        <f>N57+Table1181920231030313235383940424344[[#This Row],[اجمالي الفاتوره]]-Table1181920231030313235383940424344[[#This Row],[الدفعات]]</f>
        <v>122178.35</v>
      </c>
    </row>
    <row r="59" spans="1:14" ht="24.75" customHeight="1" x14ac:dyDescent="0.3">
      <c r="A59" s="1"/>
      <c r="L5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59" s="1">
        <f>N58+Table1181920231030313235383940424344[[#This Row],[اجمالي الفاتوره]]-Table1181920231030313235383940424344[[#This Row],[الدفعات]]</f>
        <v>122178.35</v>
      </c>
    </row>
    <row r="60" spans="1:14" ht="24.75" customHeight="1" x14ac:dyDescent="0.3">
      <c r="A60" s="1"/>
      <c r="L6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60" s="1">
        <f>N59+Table1181920231030313235383940424344[[#This Row],[اجمالي الفاتوره]]-Table1181920231030313235383940424344[[#This Row],[الدفعات]]</f>
        <v>122178.35</v>
      </c>
    </row>
    <row r="61" spans="1:14" ht="24.75" customHeight="1" x14ac:dyDescent="0.3">
      <c r="A61" s="1"/>
      <c r="L6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61" s="1">
        <f>N60+Table1181920231030313235383940424344[[#This Row],[اجمالي الفاتوره]]-Table1181920231030313235383940424344[[#This Row],[الدفعات]]</f>
        <v>122178.35</v>
      </c>
    </row>
    <row r="62" spans="1:14" ht="24.75" customHeight="1" x14ac:dyDescent="0.3">
      <c r="A62" s="1"/>
      <c r="L6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62" s="1">
        <f>N61+Table1181920231030313235383940424344[[#This Row],[اجمالي الفاتوره]]-Table1181920231030313235383940424344[[#This Row],[الدفعات]]</f>
        <v>122178.35</v>
      </c>
    </row>
    <row r="63" spans="1:14" ht="24.75" customHeight="1" x14ac:dyDescent="0.3">
      <c r="A63" s="1"/>
      <c r="L6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63" s="1">
        <f>N62+Table1181920231030313235383940424344[[#This Row],[اجمالي الفاتوره]]-Table1181920231030313235383940424344[[#This Row],[الدفعات]]</f>
        <v>122178.35</v>
      </c>
    </row>
    <row r="64" spans="1:14" ht="24.75" customHeight="1" x14ac:dyDescent="0.3">
      <c r="A64" s="1"/>
      <c r="L6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64" s="1">
        <f>N63+Table1181920231030313235383940424344[[#This Row],[اجمالي الفاتوره]]-Table1181920231030313235383940424344[[#This Row],[الدفعات]]</f>
        <v>122178.35</v>
      </c>
    </row>
    <row r="65" spans="12:14" s="1" customFormat="1" ht="24.75" customHeight="1" x14ac:dyDescent="0.3">
      <c r="L6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65" s="1">
        <f>N64+Table1181920231030313235383940424344[[#This Row],[اجمالي الفاتوره]]-Table1181920231030313235383940424344[[#This Row],[الدفعات]]</f>
        <v>122178.35</v>
      </c>
    </row>
    <row r="66" spans="12:14" s="1" customFormat="1" ht="24.75" customHeight="1" x14ac:dyDescent="0.3">
      <c r="L6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66" s="1">
        <f>N65+Table1181920231030313235383940424344[[#This Row],[اجمالي الفاتوره]]-Table1181920231030313235383940424344[[#This Row],[الدفعات]]</f>
        <v>122178.35</v>
      </c>
    </row>
    <row r="67" spans="12:14" s="1" customFormat="1" ht="24.75" customHeight="1" x14ac:dyDescent="0.3">
      <c r="L6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67" s="1">
        <f>N66+Table1181920231030313235383940424344[[#This Row],[اجمالي الفاتوره]]-Table1181920231030313235383940424344[[#This Row],[الدفعات]]</f>
        <v>122178.35</v>
      </c>
    </row>
    <row r="68" spans="12:14" s="1" customFormat="1" ht="24.75" customHeight="1" x14ac:dyDescent="0.3">
      <c r="L6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68" s="1">
        <f>N67+Table1181920231030313235383940424344[[#This Row],[اجمالي الفاتوره]]-Table1181920231030313235383940424344[[#This Row],[الدفعات]]</f>
        <v>122178.35</v>
      </c>
    </row>
    <row r="69" spans="12:14" s="1" customFormat="1" ht="24.75" customHeight="1" x14ac:dyDescent="0.3">
      <c r="L6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69" s="1">
        <f>N68+Table1181920231030313235383940424344[[#This Row],[اجمالي الفاتوره]]-Table1181920231030313235383940424344[[#This Row],[الدفعات]]</f>
        <v>122178.35</v>
      </c>
    </row>
    <row r="70" spans="12:14" s="1" customFormat="1" ht="24.75" customHeight="1" x14ac:dyDescent="0.3">
      <c r="L7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70" s="1">
        <f>N69+Table1181920231030313235383940424344[[#This Row],[اجمالي الفاتوره]]-Table1181920231030313235383940424344[[#This Row],[الدفعات]]</f>
        <v>122178.35</v>
      </c>
    </row>
    <row r="71" spans="12:14" s="1" customFormat="1" ht="24.75" customHeight="1" x14ac:dyDescent="0.3">
      <c r="L7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71" s="1">
        <f>N70+Table1181920231030313235383940424344[[#This Row],[اجمالي الفاتوره]]-Table1181920231030313235383940424344[[#This Row],[الدفعات]]</f>
        <v>122178.35</v>
      </c>
    </row>
    <row r="72" spans="12:14" s="1" customFormat="1" ht="24.75" customHeight="1" x14ac:dyDescent="0.3">
      <c r="L7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72" s="1">
        <f>N71+Table1181920231030313235383940424344[[#This Row],[اجمالي الفاتوره]]-Table1181920231030313235383940424344[[#This Row],[الدفعات]]</f>
        <v>122178.35</v>
      </c>
    </row>
    <row r="73" spans="12:14" s="1" customFormat="1" ht="24.75" customHeight="1" x14ac:dyDescent="0.3">
      <c r="L7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73" s="1">
        <f>N72+Table1181920231030313235383940424344[[#This Row],[اجمالي الفاتوره]]-Table1181920231030313235383940424344[[#This Row],[الدفعات]]</f>
        <v>122178.35</v>
      </c>
    </row>
    <row r="74" spans="12:14" s="1" customFormat="1" ht="24.75" customHeight="1" x14ac:dyDescent="0.3">
      <c r="L7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74" s="1">
        <f>N73+Table1181920231030313235383940424344[[#This Row],[اجمالي الفاتوره]]-Table1181920231030313235383940424344[[#This Row],[الدفعات]]</f>
        <v>122178.35</v>
      </c>
    </row>
    <row r="75" spans="12:14" s="1" customFormat="1" ht="24.75" customHeight="1" x14ac:dyDescent="0.3">
      <c r="L7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75" s="1">
        <f>N74+Table1181920231030313235383940424344[[#This Row],[اجمالي الفاتوره]]-Table1181920231030313235383940424344[[#This Row],[الدفعات]]</f>
        <v>122178.35</v>
      </c>
    </row>
    <row r="76" spans="12:14" s="1" customFormat="1" ht="24.75" customHeight="1" x14ac:dyDescent="0.3">
      <c r="L7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76" s="1">
        <f>N75+Table1181920231030313235383940424344[[#This Row],[اجمالي الفاتوره]]-Table1181920231030313235383940424344[[#This Row],[الدفعات]]</f>
        <v>122178.35</v>
      </c>
    </row>
    <row r="77" spans="12:14" s="1" customFormat="1" ht="24.75" customHeight="1" x14ac:dyDescent="0.3">
      <c r="L7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77" s="1">
        <f>N76+Table1181920231030313235383940424344[[#This Row],[اجمالي الفاتوره]]-Table1181920231030313235383940424344[[#This Row],[الدفعات]]</f>
        <v>122178.35</v>
      </c>
    </row>
    <row r="78" spans="12:14" s="1" customFormat="1" ht="24.75" customHeight="1" x14ac:dyDescent="0.3">
      <c r="L7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78" s="1">
        <f>N77+Table1181920231030313235383940424344[[#This Row],[اجمالي الفاتوره]]-Table1181920231030313235383940424344[[#This Row],[الدفعات]]</f>
        <v>122178.35</v>
      </c>
    </row>
    <row r="79" spans="12:14" s="1" customFormat="1" ht="24.75" customHeight="1" x14ac:dyDescent="0.3">
      <c r="L7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79" s="1">
        <f>N78+Table1181920231030313235383940424344[[#This Row],[اجمالي الفاتوره]]-Table1181920231030313235383940424344[[#This Row],[الدفعات]]</f>
        <v>122178.35</v>
      </c>
    </row>
    <row r="80" spans="12:14" s="1" customFormat="1" ht="24.75" customHeight="1" x14ac:dyDescent="0.3">
      <c r="L8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80" s="1">
        <f>N79+Table1181920231030313235383940424344[[#This Row],[اجمالي الفاتوره]]-Table1181920231030313235383940424344[[#This Row],[الدفعات]]</f>
        <v>122178.35</v>
      </c>
    </row>
    <row r="81" spans="12:14" s="1" customFormat="1" ht="24.75" customHeight="1" x14ac:dyDescent="0.3">
      <c r="L8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81" s="1">
        <f>N80+Table1181920231030313235383940424344[[#This Row],[اجمالي الفاتوره]]-Table1181920231030313235383940424344[[#This Row],[الدفعات]]</f>
        <v>122178.35</v>
      </c>
    </row>
    <row r="82" spans="12:14" s="1" customFormat="1" ht="24.75" customHeight="1" x14ac:dyDescent="0.3">
      <c r="L8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82" s="1">
        <f>N81+Table1181920231030313235383940424344[[#This Row],[اجمالي الفاتوره]]-Table1181920231030313235383940424344[[#This Row],[الدفعات]]</f>
        <v>122178.35</v>
      </c>
    </row>
    <row r="83" spans="12:14" s="1" customFormat="1" ht="24.75" customHeight="1" x14ac:dyDescent="0.3">
      <c r="L8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83" s="1">
        <f>N82+Table1181920231030313235383940424344[[#This Row],[اجمالي الفاتوره]]-Table1181920231030313235383940424344[[#This Row],[الدفعات]]</f>
        <v>122178.35</v>
      </c>
    </row>
    <row r="84" spans="12:14" s="1" customFormat="1" ht="24.75" customHeight="1" x14ac:dyDescent="0.3">
      <c r="L8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84" s="1">
        <f>N83+Table1181920231030313235383940424344[[#This Row],[اجمالي الفاتوره]]-Table1181920231030313235383940424344[[#This Row],[الدفعات]]</f>
        <v>122178.35</v>
      </c>
    </row>
    <row r="85" spans="12:14" s="1" customFormat="1" ht="24.75" customHeight="1" x14ac:dyDescent="0.3">
      <c r="L8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85" s="1">
        <f>N84+Table1181920231030313235383940424344[[#This Row],[اجمالي الفاتوره]]-Table1181920231030313235383940424344[[#This Row],[الدفعات]]</f>
        <v>122178.35</v>
      </c>
    </row>
    <row r="86" spans="12:14" s="1" customFormat="1" ht="24.75" customHeight="1" x14ac:dyDescent="0.3">
      <c r="L8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86" s="1">
        <f>N85+Table1181920231030313235383940424344[[#This Row],[اجمالي الفاتوره]]-Table1181920231030313235383940424344[[#This Row],[الدفعات]]</f>
        <v>122178.35</v>
      </c>
    </row>
    <row r="87" spans="12:14" s="1" customFormat="1" ht="24.75" customHeight="1" x14ac:dyDescent="0.3">
      <c r="L8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87" s="1">
        <f>N86+Table1181920231030313235383940424344[[#This Row],[اجمالي الفاتوره]]-Table1181920231030313235383940424344[[#This Row],[الدفعات]]</f>
        <v>122178.35</v>
      </c>
    </row>
    <row r="88" spans="12:14" s="1" customFormat="1" ht="24.75" customHeight="1" x14ac:dyDescent="0.3">
      <c r="L8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88" s="1">
        <f>N87+Table1181920231030313235383940424344[[#This Row],[اجمالي الفاتوره]]-Table1181920231030313235383940424344[[#This Row],[الدفعات]]</f>
        <v>122178.35</v>
      </c>
    </row>
    <row r="89" spans="12:14" s="1" customFormat="1" ht="24.75" customHeight="1" x14ac:dyDescent="0.3">
      <c r="L8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89" s="1">
        <f>N88+Table1181920231030313235383940424344[[#This Row],[اجمالي الفاتوره]]-Table1181920231030313235383940424344[[#This Row],[الدفعات]]</f>
        <v>122178.35</v>
      </c>
    </row>
    <row r="90" spans="12:14" s="1" customFormat="1" ht="24.75" customHeight="1" x14ac:dyDescent="0.3">
      <c r="L9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90" s="1">
        <f>N89+Table1181920231030313235383940424344[[#This Row],[اجمالي الفاتوره]]-Table1181920231030313235383940424344[[#This Row],[الدفعات]]</f>
        <v>122178.35</v>
      </c>
    </row>
    <row r="91" spans="12:14" s="1" customFormat="1" ht="24.75" customHeight="1" x14ac:dyDescent="0.3">
      <c r="L9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91" s="1">
        <f>N90+Table1181920231030313235383940424344[[#This Row],[اجمالي الفاتوره]]-Table1181920231030313235383940424344[[#This Row],[الدفعات]]</f>
        <v>122178.35</v>
      </c>
    </row>
    <row r="92" spans="12:14" s="1" customFormat="1" ht="24.75" customHeight="1" x14ac:dyDescent="0.3">
      <c r="L9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92" s="1">
        <f>N91+Table1181920231030313235383940424344[[#This Row],[اجمالي الفاتوره]]-Table1181920231030313235383940424344[[#This Row],[الدفعات]]</f>
        <v>122178.35</v>
      </c>
    </row>
    <row r="93" spans="12:14" s="1" customFormat="1" ht="24.75" customHeight="1" x14ac:dyDescent="0.3">
      <c r="L9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93" s="1">
        <f>N92+Table1181920231030313235383940424344[[#This Row],[اجمالي الفاتوره]]-Table1181920231030313235383940424344[[#This Row],[الدفعات]]</f>
        <v>122178.35</v>
      </c>
    </row>
    <row r="94" spans="12:14" s="1" customFormat="1" ht="24.75" customHeight="1" x14ac:dyDescent="0.3">
      <c r="L9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94" s="1">
        <f>N93+Table1181920231030313235383940424344[[#This Row],[اجمالي الفاتوره]]-Table1181920231030313235383940424344[[#This Row],[الدفعات]]</f>
        <v>122178.35</v>
      </c>
    </row>
    <row r="95" spans="12:14" s="1" customFormat="1" ht="24.75" customHeight="1" x14ac:dyDescent="0.3">
      <c r="L9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95" s="1">
        <f>N94+Table1181920231030313235383940424344[[#This Row],[اجمالي الفاتوره]]-Table1181920231030313235383940424344[[#This Row],[الدفعات]]</f>
        <v>122178.35</v>
      </c>
    </row>
    <row r="96" spans="12:14" s="1" customFormat="1" ht="24.75" customHeight="1" x14ac:dyDescent="0.3">
      <c r="L9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96" s="1">
        <f>N95+Table1181920231030313235383940424344[[#This Row],[اجمالي الفاتوره]]-Table1181920231030313235383940424344[[#This Row],[الدفعات]]</f>
        <v>122178.35</v>
      </c>
    </row>
    <row r="97" spans="12:14" s="1" customFormat="1" ht="24.75" customHeight="1" x14ac:dyDescent="0.3">
      <c r="L9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97" s="1">
        <f>N96+Table1181920231030313235383940424344[[#This Row],[اجمالي الفاتوره]]-Table1181920231030313235383940424344[[#This Row],[الدفعات]]</f>
        <v>122178.35</v>
      </c>
    </row>
    <row r="98" spans="12:14" s="1" customFormat="1" ht="24.75" customHeight="1" x14ac:dyDescent="0.3">
      <c r="L9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98" s="1">
        <f>N97+Table1181920231030313235383940424344[[#This Row],[اجمالي الفاتوره]]-Table1181920231030313235383940424344[[#This Row],[الدفعات]]</f>
        <v>122178.35</v>
      </c>
    </row>
    <row r="99" spans="12:14" s="1" customFormat="1" ht="24.75" customHeight="1" x14ac:dyDescent="0.3">
      <c r="L9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99" s="1">
        <f>N98+Table1181920231030313235383940424344[[#This Row],[اجمالي الفاتوره]]-Table1181920231030313235383940424344[[#This Row],[الدفعات]]</f>
        <v>122178.35</v>
      </c>
    </row>
    <row r="100" spans="12:14" s="1" customFormat="1" ht="24.75" customHeight="1" x14ac:dyDescent="0.3">
      <c r="L10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00" s="1">
        <f>N99+Table1181920231030313235383940424344[[#This Row],[اجمالي الفاتوره]]-Table1181920231030313235383940424344[[#This Row],[الدفعات]]</f>
        <v>122178.35</v>
      </c>
    </row>
    <row r="101" spans="12:14" s="1" customFormat="1" ht="24.75" customHeight="1" x14ac:dyDescent="0.3">
      <c r="L10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01" s="1">
        <f>N100+Table1181920231030313235383940424344[[#This Row],[اجمالي الفاتوره]]-Table1181920231030313235383940424344[[#This Row],[الدفعات]]</f>
        <v>122178.35</v>
      </c>
    </row>
    <row r="102" spans="12:14" s="1" customFormat="1" ht="24.75" customHeight="1" x14ac:dyDescent="0.3">
      <c r="L10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02" s="1">
        <f>N101+Table1181920231030313235383940424344[[#This Row],[اجمالي الفاتوره]]-Table1181920231030313235383940424344[[#This Row],[الدفعات]]</f>
        <v>122178.35</v>
      </c>
    </row>
    <row r="103" spans="12:14" s="1" customFormat="1" ht="24.75" customHeight="1" x14ac:dyDescent="0.3">
      <c r="L10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03" s="1">
        <f>N102+Table1181920231030313235383940424344[[#This Row],[اجمالي الفاتوره]]-Table1181920231030313235383940424344[[#This Row],[الدفعات]]</f>
        <v>122178.35</v>
      </c>
    </row>
    <row r="104" spans="12:14" s="1" customFormat="1" ht="24.75" customHeight="1" x14ac:dyDescent="0.3">
      <c r="L10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04" s="1">
        <f>N103+Table1181920231030313235383940424344[[#This Row],[اجمالي الفاتوره]]-Table1181920231030313235383940424344[[#This Row],[الدفعات]]</f>
        <v>122178.35</v>
      </c>
    </row>
    <row r="105" spans="12:14" s="1" customFormat="1" ht="24.75" customHeight="1" x14ac:dyDescent="0.3">
      <c r="L10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05" s="1">
        <f>N104+Table1181920231030313235383940424344[[#This Row],[اجمالي الفاتوره]]-Table1181920231030313235383940424344[[#This Row],[الدفعات]]</f>
        <v>122178.35</v>
      </c>
    </row>
    <row r="106" spans="12:14" s="1" customFormat="1" ht="24.75" customHeight="1" x14ac:dyDescent="0.3">
      <c r="L10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06" s="1">
        <f>N105+Table1181920231030313235383940424344[[#This Row],[اجمالي الفاتوره]]-Table1181920231030313235383940424344[[#This Row],[الدفعات]]</f>
        <v>122178.35</v>
      </c>
    </row>
    <row r="107" spans="12:14" s="1" customFormat="1" ht="24.75" customHeight="1" x14ac:dyDescent="0.3">
      <c r="L10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07" s="1">
        <f>N106+Table1181920231030313235383940424344[[#This Row],[اجمالي الفاتوره]]-Table1181920231030313235383940424344[[#This Row],[الدفعات]]</f>
        <v>122178.35</v>
      </c>
    </row>
    <row r="108" spans="12:14" s="1" customFormat="1" ht="24.75" customHeight="1" x14ac:dyDescent="0.3">
      <c r="L10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08" s="1">
        <f>N107+Table1181920231030313235383940424344[[#This Row],[اجمالي الفاتوره]]-Table1181920231030313235383940424344[[#This Row],[الدفعات]]</f>
        <v>122178.35</v>
      </c>
    </row>
    <row r="109" spans="12:14" s="1" customFormat="1" ht="24.75" customHeight="1" x14ac:dyDescent="0.3">
      <c r="L10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09" s="1">
        <f>N108+Table1181920231030313235383940424344[[#This Row],[اجمالي الفاتوره]]-Table1181920231030313235383940424344[[#This Row],[الدفعات]]</f>
        <v>122178.35</v>
      </c>
    </row>
    <row r="110" spans="12:14" s="1" customFormat="1" ht="24.75" customHeight="1" x14ac:dyDescent="0.3">
      <c r="L11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10" s="1">
        <f>N109+Table1181920231030313235383940424344[[#This Row],[اجمالي الفاتوره]]-Table1181920231030313235383940424344[[#This Row],[الدفعات]]</f>
        <v>122178.35</v>
      </c>
    </row>
    <row r="111" spans="12:14" s="1" customFormat="1" ht="24.75" customHeight="1" x14ac:dyDescent="0.3">
      <c r="L11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11" s="1">
        <f>N110+Table1181920231030313235383940424344[[#This Row],[اجمالي الفاتوره]]-Table1181920231030313235383940424344[[#This Row],[الدفعات]]</f>
        <v>122178.35</v>
      </c>
    </row>
    <row r="112" spans="12:14" s="1" customFormat="1" ht="24.75" customHeight="1" x14ac:dyDescent="0.3">
      <c r="L11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12" s="1">
        <f>N111+Table1181920231030313235383940424344[[#This Row],[اجمالي الفاتوره]]-Table1181920231030313235383940424344[[#This Row],[الدفعات]]</f>
        <v>122178.35</v>
      </c>
    </row>
    <row r="113" spans="12:14" s="1" customFormat="1" ht="24.75" customHeight="1" x14ac:dyDescent="0.3">
      <c r="L11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13" s="1">
        <f>N112+Table1181920231030313235383940424344[[#This Row],[اجمالي الفاتوره]]-Table1181920231030313235383940424344[[#This Row],[الدفعات]]</f>
        <v>122178.35</v>
      </c>
    </row>
    <row r="114" spans="12:14" s="1" customFormat="1" ht="24.75" customHeight="1" x14ac:dyDescent="0.3">
      <c r="L11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14" s="1">
        <f>N113+Table1181920231030313235383940424344[[#This Row],[اجمالي الفاتوره]]-Table1181920231030313235383940424344[[#This Row],[الدفعات]]</f>
        <v>122178.35</v>
      </c>
    </row>
    <row r="115" spans="12:14" s="1" customFormat="1" ht="24.75" customHeight="1" x14ac:dyDescent="0.3">
      <c r="L11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15" s="1">
        <f>N114+Table1181920231030313235383940424344[[#This Row],[اجمالي الفاتوره]]-Table1181920231030313235383940424344[[#This Row],[الدفعات]]</f>
        <v>122178.35</v>
      </c>
    </row>
    <row r="116" spans="12:14" s="1" customFormat="1" ht="24.75" customHeight="1" x14ac:dyDescent="0.3">
      <c r="L11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16" s="1">
        <f>N115+Table1181920231030313235383940424344[[#This Row],[اجمالي الفاتوره]]-Table1181920231030313235383940424344[[#This Row],[الدفعات]]</f>
        <v>122178.35</v>
      </c>
    </row>
    <row r="117" spans="12:14" s="1" customFormat="1" ht="24.75" customHeight="1" x14ac:dyDescent="0.3">
      <c r="L11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17" s="1">
        <f>N116+Table1181920231030313235383940424344[[#This Row],[اجمالي الفاتوره]]-Table1181920231030313235383940424344[[#This Row],[الدفعات]]</f>
        <v>122178.35</v>
      </c>
    </row>
    <row r="118" spans="12:14" s="1" customFormat="1" ht="24.75" customHeight="1" x14ac:dyDescent="0.3">
      <c r="L11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18" s="1">
        <f>N117+Table1181920231030313235383940424344[[#This Row],[اجمالي الفاتوره]]-Table1181920231030313235383940424344[[#This Row],[الدفعات]]</f>
        <v>122178.35</v>
      </c>
    </row>
    <row r="119" spans="12:14" s="1" customFormat="1" ht="24.75" customHeight="1" x14ac:dyDescent="0.3">
      <c r="L11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19" s="1">
        <f>N118+Table1181920231030313235383940424344[[#This Row],[اجمالي الفاتوره]]-Table1181920231030313235383940424344[[#This Row],[الدفعات]]</f>
        <v>122178.35</v>
      </c>
    </row>
    <row r="120" spans="12:14" s="1" customFormat="1" ht="24.75" customHeight="1" x14ac:dyDescent="0.3">
      <c r="L12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20" s="1">
        <f>N119+Table1181920231030313235383940424344[[#This Row],[اجمالي الفاتوره]]-Table1181920231030313235383940424344[[#This Row],[الدفعات]]</f>
        <v>122178.35</v>
      </c>
    </row>
    <row r="121" spans="12:14" s="1" customFormat="1" ht="24.75" customHeight="1" x14ac:dyDescent="0.3">
      <c r="L12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21" s="1">
        <f>N120+Table1181920231030313235383940424344[[#This Row],[اجمالي الفاتوره]]-Table1181920231030313235383940424344[[#This Row],[الدفعات]]</f>
        <v>122178.35</v>
      </c>
    </row>
    <row r="122" spans="12:14" s="1" customFormat="1" ht="24.75" customHeight="1" x14ac:dyDescent="0.3">
      <c r="L12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22" s="1">
        <f>N121+Table1181920231030313235383940424344[[#This Row],[اجمالي الفاتوره]]-Table1181920231030313235383940424344[[#This Row],[الدفعات]]</f>
        <v>122178.35</v>
      </c>
    </row>
    <row r="123" spans="12:14" s="1" customFormat="1" ht="24.75" customHeight="1" x14ac:dyDescent="0.3">
      <c r="L12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23" s="1">
        <f>N122+Table1181920231030313235383940424344[[#This Row],[اجمالي الفاتوره]]-Table1181920231030313235383940424344[[#This Row],[الدفعات]]</f>
        <v>122178.35</v>
      </c>
    </row>
    <row r="124" spans="12:14" s="1" customFormat="1" ht="24.75" customHeight="1" x14ac:dyDescent="0.3">
      <c r="L12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24" s="1">
        <f>N123+Table1181920231030313235383940424344[[#This Row],[اجمالي الفاتوره]]-Table1181920231030313235383940424344[[#This Row],[الدفعات]]</f>
        <v>122178.35</v>
      </c>
    </row>
    <row r="125" spans="12:14" s="1" customFormat="1" ht="24.75" customHeight="1" x14ac:dyDescent="0.3">
      <c r="L12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25" s="1">
        <f>N124+Table1181920231030313235383940424344[[#This Row],[اجمالي الفاتوره]]-Table1181920231030313235383940424344[[#This Row],[الدفعات]]</f>
        <v>122178.35</v>
      </c>
    </row>
    <row r="126" spans="12:14" s="1" customFormat="1" ht="24.75" customHeight="1" x14ac:dyDescent="0.3">
      <c r="L12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26" s="1">
        <f>N125+Table1181920231030313235383940424344[[#This Row],[اجمالي الفاتوره]]-Table1181920231030313235383940424344[[#This Row],[الدفعات]]</f>
        <v>122178.35</v>
      </c>
    </row>
    <row r="127" spans="12:14" s="1" customFormat="1" ht="24.75" customHeight="1" x14ac:dyDescent="0.3">
      <c r="L12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27" s="1">
        <f>N126+Table1181920231030313235383940424344[[#This Row],[اجمالي الفاتوره]]-Table1181920231030313235383940424344[[#This Row],[الدفعات]]</f>
        <v>122178.35</v>
      </c>
    </row>
    <row r="128" spans="12:14" s="1" customFormat="1" ht="24.75" customHeight="1" x14ac:dyDescent="0.3">
      <c r="L12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28" s="1">
        <f>N127+Table1181920231030313235383940424344[[#This Row],[اجمالي الفاتوره]]-Table1181920231030313235383940424344[[#This Row],[الدفعات]]</f>
        <v>122178.35</v>
      </c>
    </row>
    <row r="129" spans="12:14" s="1" customFormat="1" ht="24.75" customHeight="1" x14ac:dyDescent="0.3">
      <c r="L12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29" s="1">
        <f>N128+Table1181920231030313235383940424344[[#This Row],[اجمالي الفاتوره]]-Table1181920231030313235383940424344[[#This Row],[الدفعات]]</f>
        <v>122178.35</v>
      </c>
    </row>
    <row r="130" spans="12:14" s="1" customFormat="1" ht="24.75" customHeight="1" x14ac:dyDescent="0.3">
      <c r="L13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30" s="1">
        <f>N129+Table1181920231030313235383940424344[[#This Row],[اجمالي الفاتوره]]-Table1181920231030313235383940424344[[#This Row],[الدفعات]]</f>
        <v>122178.35</v>
      </c>
    </row>
    <row r="131" spans="12:14" s="1" customFormat="1" ht="24.75" customHeight="1" x14ac:dyDescent="0.3">
      <c r="L13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31" s="1">
        <f>N130+Table1181920231030313235383940424344[[#This Row],[اجمالي الفاتوره]]-Table1181920231030313235383940424344[[#This Row],[الدفعات]]</f>
        <v>122178.35</v>
      </c>
    </row>
    <row r="132" spans="12:14" s="1" customFormat="1" ht="24.75" customHeight="1" x14ac:dyDescent="0.3">
      <c r="L13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32" s="1">
        <f>N131+Table1181920231030313235383940424344[[#This Row],[اجمالي الفاتوره]]-Table1181920231030313235383940424344[[#This Row],[الدفعات]]</f>
        <v>122178.35</v>
      </c>
    </row>
    <row r="133" spans="12:14" s="1" customFormat="1" ht="24.75" customHeight="1" x14ac:dyDescent="0.3">
      <c r="L13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33" s="1">
        <f>N132+Table1181920231030313235383940424344[[#This Row],[اجمالي الفاتوره]]-Table1181920231030313235383940424344[[#This Row],[الدفعات]]</f>
        <v>122178.35</v>
      </c>
    </row>
    <row r="134" spans="12:14" s="1" customFormat="1" ht="24.75" customHeight="1" x14ac:dyDescent="0.3">
      <c r="L13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34" s="1">
        <f>N133+Table1181920231030313235383940424344[[#This Row],[اجمالي الفاتوره]]-Table1181920231030313235383940424344[[#This Row],[الدفعات]]</f>
        <v>122178.35</v>
      </c>
    </row>
    <row r="135" spans="12:14" s="1" customFormat="1" ht="24.75" customHeight="1" x14ac:dyDescent="0.3">
      <c r="L13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35" s="1">
        <f>N134+Table1181920231030313235383940424344[[#This Row],[اجمالي الفاتوره]]-Table1181920231030313235383940424344[[#This Row],[الدفعات]]</f>
        <v>122178.35</v>
      </c>
    </row>
    <row r="136" spans="12:14" s="1" customFormat="1" ht="24.75" customHeight="1" x14ac:dyDescent="0.3">
      <c r="L13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36" s="1">
        <f>N135+Table1181920231030313235383940424344[[#This Row],[اجمالي الفاتوره]]-Table1181920231030313235383940424344[[#This Row],[الدفعات]]</f>
        <v>122178.35</v>
      </c>
    </row>
    <row r="137" spans="12:14" s="1" customFormat="1" ht="24.75" customHeight="1" x14ac:dyDescent="0.3">
      <c r="L13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37" s="1">
        <f>N136+Table1181920231030313235383940424344[[#This Row],[اجمالي الفاتوره]]-Table1181920231030313235383940424344[[#This Row],[الدفعات]]</f>
        <v>122178.35</v>
      </c>
    </row>
    <row r="138" spans="12:14" s="1" customFormat="1" ht="24.75" customHeight="1" x14ac:dyDescent="0.3">
      <c r="L13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38" s="1">
        <f>N137+Table1181920231030313235383940424344[[#This Row],[اجمالي الفاتوره]]-Table1181920231030313235383940424344[[#This Row],[الدفعات]]</f>
        <v>122178.35</v>
      </c>
    </row>
    <row r="139" spans="12:14" s="1" customFormat="1" ht="24.75" customHeight="1" x14ac:dyDescent="0.3">
      <c r="L13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39" s="1">
        <f>N138+Table1181920231030313235383940424344[[#This Row],[اجمالي الفاتوره]]-Table1181920231030313235383940424344[[#This Row],[الدفعات]]</f>
        <v>122178.35</v>
      </c>
    </row>
    <row r="140" spans="12:14" s="1" customFormat="1" ht="24.75" customHeight="1" x14ac:dyDescent="0.3">
      <c r="L14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40" s="1">
        <f>N139+Table1181920231030313235383940424344[[#This Row],[اجمالي الفاتوره]]-Table1181920231030313235383940424344[[#This Row],[الدفعات]]</f>
        <v>122178.35</v>
      </c>
    </row>
    <row r="141" spans="12:14" s="1" customFormat="1" ht="24.75" customHeight="1" x14ac:dyDescent="0.3">
      <c r="L14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41" s="1">
        <f>N140+Table1181920231030313235383940424344[[#This Row],[اجمالي الفاتوره]]-Table1181920231030313235383940424344[[#This Row],[الدفعات]]</f>
        <v>122178.35</v>
      </c>
    </row>
    <row r="142" spans="12:14" s="1" customFormat="1" ht="24.75" customHeight="1" x14ac:dyDescent="0.3">
      <c r="L14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42" s="1">
        <f>N141+Table1181920231030313235383940424344[[#This Row],[اجمالي الفاتوره]]-Table1181920231030313235383940424344[[#This Row],[الدفعات]]</f>
        <v>122178.35</v>
      </c>
    </row>
    <row r="143" spans="12:14" s="1" customFormat="1" ht="24.75" customHeight="1" x14ac:dyDescent="0.3">
      <c r="L14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43" s="1">
        <f>N142+Table1181920231030313235383940424344[[#This Row],[اجمالي الفاتوره]]-Table1181920231030313235383940424344[[#This Row],[الدفعات]]</f>
        <v>122178.35</v>
      </c>
    </row>
    <row r="144" spans="12:14" s="1" customFormat="1" ht="24.75" customHeight="1" x14ac:dyDescent="0.3">
      <c r="L14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44" s="1">
        <f>N143+Table1181920231030313235383940424344[[#This Row],[اجمالي الفاتوره]]-Table1181920231030313235383940424344[[#This Row],[الدفعات]]</f>
        <v>122178.35</v>
      </c>
    </row>
    <row r="145" spans="12:14" s="1" customFormat="1" ht="24.75" customHeight="1" x14ac:dyDescent="0.3">
      <c r="L14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45" s="1">
        <f>N144+Table1181920231030313235383940424344[[#This Row],[اجمالي الفاتوره]]-Table1181920231030313235383940424344[[#This Row],[الدفعات]]</f>
        <v>122178.35</v>
      </c>
    </row>
    <row r="146" spans="12:14" s="1" customFormat="1" ht="24.75" customHeight="1" x14ac:dyDescent="0.3">
      <c r="L14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46" s="1">
        <f>N145+Table1181920231030313235383940424344[[#This Row],[اجمالي الفاتوره]]-Table1181920231030313235383940424344[[#This Row],[الدفعات]]</f>
        <v>122178.35</v>
      </c>
    </row>
    <row r="147" spans="12:14" s="1" customFormat="1" ht="24.75" customHeight="1" x14ac:dyDescent="0.3">
      <c r="L14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47" s="1">
        <f>N146+Table1181920231030313235383940424344[[#This Row],[اجمالي الفاتوره]]-Table1181920231030313235383940424344[[#This Row],[الدفعات]]</f>
        <v>122178.35</v>
      </c>
    </row>
    <row r="148" spans="12:14" s="1" customFormat="1" ht="24.75" customHeight="1" x14ac:dyDescent="0.3">
      <c r="L14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48" s="1">
        <f>N147+Table1181920231030313235383940424344[[#This Row],[اجمالي الفاتوره]]-Table1181920231030313235383940424344[[#This Row],[الدفعات]]</f>
        <v>122178.35</v>
      </c>
    </row>
    <row r="149" spans="12:14" s="1" customFormat="1" ht="24.75" customHeight="1" x14ac:dyDescent="0.3">
      <c r="L14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49" s="1">
        <f>N148+Table1181920231030313235383940424344[[#This Row],[اجمالي الفاتوره]]-Table1181920231030313235383940424344[[#This Row],[الدفعات]]</f>
        <v>122178.35</v>
      </c>
    </row>
    <row r="150" spans="12:14" s="1" customFormat="1" ht="24.75" customHeight="1" x14ac:dyDescent="0.3">
      <c r="L15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50" s="1">
        <f>N149+Table1181920231030313235383940424344[[#This Row],[اجمالي الفاتوره]]-Table1181920231030313235383940424344[[#This Row],[الدفعات]]</f>
        <v>122178.35</v>
      </c>
    </row>
    <row r="151" spans="12:14" s="1" customFormat="1" ht="24.75" customHeight="1" x14ac:dyDescent="0.3">
      <c r="L15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51" s="1">
        <f>N150+Table1181920231030313235383940424344[[#This Row],[اجمالي الفاتوره]]-Table1181920231030313235383940424344[[#This Row],[الدفعات]]</f>
        <v>122178.35</v>
      </c>
    </row>
    <row r="152" spans="12:14" s="1" customFormat="1" ht="24.75" customHeight="1" x14ac:dyDescent="0.3">
      <c r="L15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52" s="1">
        <f>N151+Table1181920231030313235383940424344[[#This Row],[اجمالي الفاتوره]]-Table1181920231030313235383940424344[[#This Row],[الدفعات]]</f>
        <v>122178.35</v>
      </c>
    </row>
    <row r="153" spans="12:14" s="1" customFormat="1" ht="24.75" customHeight="1" x14ac:dyDescent="0.3">
      <c r="L15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53" s="1">
        <f>N152+Table1181920231030313235383940424344[[#This Row],[اجمالي الفاتوره]]-Table1181920231030313235383940424344[[#This Row],[الدفعات]]</f>
        <v>122178.35</v>
      </c>
    </row>
    <row r="154" spans="12:14" s="1" customFormat="1" ht="24.75" customHeight="1" x14ac:dyDescent="0.3">
      <c r="L15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54" s="1">
        <f>N153+Table1181920231030313235383940424344[[#This Row],[اجمالي الفاتوره]]-Table1181920231030313235383940424344[[#This Row],[الدفعات]]</f>
        <v>122178.35</v>
      </c>
    </row>
    <row r="155" spans="12:14" s="1" customFormat="1" ht="24.75" customHeight="1" x14ac:dyDescent="0.3">
      <c r="L15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55" s="1">
        <f>N154+Table1181920231030313235383940424344[[#This Row],[اجمالي الفاتوره]]-Table1181920231030313235383940424344[[#This Row],[الدفعات]]</f>
        <v>122178.35</v>
      </c>
    </row>
    <row r="156" spans="12:14" s="1" customFormat="1" ht="24.75" customHeight="1" x14ac:dyDescent="0.3">
      <c r="L15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56" s="1">
        <f>N155+Table1181920231030313235383940424344[[#This Row],[اجمالي الفاتوره]]-Table1181920231030313235383940424344[[#This Row],[الدفعات]]</f>
        <v>122178.35</v>
      </c>
    </row>
    <row r="157" spans="12:14" s="1" customFormat="1" ht="24.75" customHeight="1" x14ac:dyDescent="0.3">
      <c r="L15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57" s="1">
        <f>N156+Table1181920231030313235383940424344[[#This Row],[اجمالي الفاتوره]]-Table1181920231030313235383940424344[[#This Row],[الدفعات]]</f>
        <v>122178.35</v>
      </c>
    </row>
    <row r="158" spans="12:14" s="1" customFormat="1" ht="24.75" customHeight="1" x14ac:dyDescent="0.3">
      <c r="L15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58" s="1">
        <f>N157+Table1181920231030313235383940424344[[#This Row],[اجمالي الفاتوره]]-Table1181920231030313235383940424344[[#This Row],[الدفعات]]</f>
        <v>122178.35</v>
      </c>
    </row>
    <row r="159" spans="12:14" s="1" customFormat="1" ht="24.75" customHeight="1" x14ac:dyDescent="0.3">
      <c r="L15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59" s="1">
        <f>N158+Table1181920231030313235383940424344[[#This Row],[اجمالي الفاتوره]]-Table1181920231030313235383940424344[[#This Row],[الدفعات]]</f>
        <v>122178.35</v>
      </c>
    </row>
    <row r="160" spans="12:14" s="1" customFormat="1" ht="24.75" customHeight="1" x14ac:dyDescent="0.3">
      <c r="L16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60" s="1">
        <f>N159+Table1181920231030313235383940424344[[#This Row],[اجمالي الفاتوره]]-Table1181920231030313235383940424344[[#This Row],[الدفعات]]</f>
        <v>122178.35</v>
      </c>
    </row>
    <row r="161" spans="12:14" s="1" customFormat="1" ht="24.75" customHeight="1" x14ac:dyDescent="0.3">
      <c r="L16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61" s="1">
        <f>N160+Table1181920231030313235383940424344[[#This Row],[اجمالي الفاتوره]]-Table1181920231030313235383940424344[[#This Row],[الدفعات]]</f>
        <v>122178.35</v>
      </c>
    </row>
    <row r="162" spans="12:14" s="1" customFormat="1" ht="24.75" customHeight="1" x14ac:dyDescent="0.3">
      <c r="L16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62" s="1">
        <f>N161+Table1181920231030313235383940424344[[#This Row],[اجمالي الفاتوره]]-Table1181920231030313235383940424344[[#This Row],[الدفعات]]</f>
        <v>122178.35</v>
      </c>
    </row>
    <row r="163" spans="12:14" s="1" customFormat="1" ht="24.75" customHeight="1" x14ac:dyDescent="0.3">
      <c r="L16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63" s="1">
        <f>N162+Table1181920231030313235383940424344[[#This Row],[اجمالي الفاتوره]]-Table1181920231030313235383940424344[[#This Row],[الدفعات]]</f>
        <v>122178.35</v>
      </c>
    </row>
    <row r="164" spans="12:14" s="1" customFormat="1" ht="24.75" customHeight="1" x14ac:dyDescent="0.3">
      <c r="L16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64" s="1">
        <f>N163+Table1181920231030313235383940424344[[#This Row],[اجمالي الفاتوره]]-Table1181920231030313235383940424344[[#This Row],[الدفعات]]</f>
        <v>122178.35</v>
      </c>
    </row>
    <row r="165" spans="12:14" s="1" customFormat="1" ht="24.75" customHeight="1" x14ac:dyDescent="0.3">
      <c r="L16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65" s="1">
        <f>N164+Table1181920231030313235383940424344[[#This Row],[اجمالي الفاتوره]]-Table1181920231030313235383940424344[[#This Row],[الدفعات]]</f>
        <v>122178.35</v>
      </c>
    </row>
    <row r="166" spans="12:14" s="1" customFormat="1" ht="24.75" customHeight="1" x14ac:dyDescent="0.3">
      <c r="L16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66" s="1">
        <f>N165+Table1181920231030313235383940424344[[#This Row],[اجمالي الفاتوره]]-Table1181920231030313235383940424344[[#This Row],[الدفعات]]</f>
        <v>122178.35</v>
      </c>
    </row>
    <row r="167" spans="12:14" s="1" customFormat="1" ht="24.75" customHeight="1" x14ac:dyDescent="0.3">
      <c r="L16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67" s="1">
        <f>N166+Table1181920231030313235383940424344[[#This Row],[اجمالي الفاتوره]]-Table1181920231030313235383940424344[[#This Row],[الدفعات]]</f>
        <v>122178.35</v>
      </c>
    </row>
    <row r="168" spans="12:14" s="1" customFormat="1" ht="24.75" customHeight="1" x14ac:dyDescent="0.3">
      <c r="L16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68" s="1">
        <f>N167+Table1181920231030313235383940424344[[#This Row],[اجمالي الفاتوره]]-Table1181920231030313235383940424344[[#This Row],[الدفعات]]</f>
        <v>122178.35</v>
      </c>
    </row>
    <row r="169" spans="12:14" s="1" customFormat="1" ht="24.75" customHeight="1" x14ac:dyDescent="0.3">
      <c r="L16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69" s="1">
        <f>N168+Table1181920231030313235383940424344[[#This Row],[اجمالي الفاتوره]]-Table1181920231030313235383940424344[[#This Row],[الدفعات]]</f>
        <v>122178.35</v>
      </c>
    </row>
    <row r="170" spans="12:14" s="1" customFormat="1" ht="24.75" customHeight="1" x14ac:dyDescent="0.3">
      <c r="L17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70" s="1">
        <f>N169+Table1181920231030313235383940424344[[#This Row],[اجمالي الفاتوره]]-Table1181920231030313235383940424344[[#This Row],[الدفعات]]</f>
        <v>122178.35</v>
      </c>
    </row>
    <row r="171" spans="12:14" s="1" customFormat="1" ht="24.75" customHeight="1" x14ac:dyDescent="0.3">
      <c r="L17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71" s="1">
        <f>N170+Table1181920231030313235383940424344[[#This Row],[اجمالي الفاتوره]]-Table1181920231030313235383940424344[[#This Row],[الدفعات]]</f>
        <v>122178.35</v>
      </c>
    </row>
    <row r="172" spans="12:14" s="1" customFormat="1" ht="24.75" customHeight="1" x14ac:dyDescent="0.3">
      <c r="L17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72" s="1">
        <f>N171+Table1181920231030313235383940424344[[#This Row],[اجمالي الفاتوره]]-Table1181920231030313235383940424344[[#This Row],[الدفعات]]</f>
        <v>122178.35</v>
      </c>
    </row>
    <row r="173" spans="12:14" s="1" customFormat="1" ht="24.75" customHeight="1" x14ac:dyDescent="0.3">
      <c r="L17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73" s="1">
        <f>N172+Table1181920231030313235383940424344[[#This Row],[اجمالي الفاتوره]]-Table1181920231030313235383940424344[[#This Row],[الدفعات]]</f>
        <v>122178.35</v>
      </c>
    </row>
    <row r="174" spans="12:14" s="1" customFormat="1" ht="24.75" customHeight="1" x14ac:dyDescent="0.3">
      <c r="L17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74" s="1">
        <f>N173+Table1181920231030313235383940424344[[#This Row],[اجمالي الفاتوره]]-Table1181920231030313235383940424344[[#This Row],[الدفعات]]</f>
        <v>122178.35</v>
      </c>
    </row>
    <row r="175" spans="12:14" s="1" customFormat="1" ht="24.75" customHeight="1" x14ac:dyDescent="0.3">
      <c r="L17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75" s="1">
        <f>N174+Table1181920231030313235383940424344[[#This Row],[اجمالي الفاتوره]]-Table1181920231030313235383940424344[[#This Row],[الدفعات]]</f>
        <v>122178.35</v>
      </c>
    </row>
    <row r="176" spans="12:14" s="1" customFormat="1" ht="24.75" customHeight="1" x14ac:dyDescent="0.3">
      <c r="L17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76" s="1">
        <f>N175+Table1181920231030313235383940424344[[#This Row],[اجمالي الفاتوره]]-Table1181920231030313235383940424344[[#This Row],[الدفعات]]</f>
        <v>122178.35</v>
      </c>
    </row>
    <row r="177" spans="12:14" s="1" customFormat="1" ht="24.75" customHeight="1" x14ac:dyDescent="0.3">
      <c r="L17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77" s="1">
        <f>N176+Table1181920231030313235383940424344[[#This Row],[اجمالي الفاتوره]]-Table1181920231030313235383940424344[[#This Row],[الدفعات]]</f>
        <v>122178.35</v>
      </c>
    </row>
    <row r="178" spans="12:14" s="1" customFormat="1" ht="24.75" customHeight="1" x14ac:dyDescent="0.3">
      <c r="L17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78" s="1">
        <f>N177+Table1181920231030313235383940424344[[#This Row],[اجمالي الفاتوره]]-Table1181920231030313235383940424344[[#This Row],[الدفعات]]</f>
        <v>122178.35</v>
      </c>
    </row>
    <row r="179" spans="12:14" s="1" customFormat="1" ht="24.75" customHeight="1" x14ac:dyDescent="0.3">
      <c r="L17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79" s="1">
        <f>N178+Table1181920231030313235383940424344[[#This Row],[اجمالي الفاتوره]]-Table1181920231030313235383940424344[[#This Row],[الدفعات]]</f>
        <v>122178.35</v>
      </c>
    </row>
    <row r="180" spans="12:14" s="1" customFormat="1" ht="24.75" customHeight="1" x14ac:dyDescent="0.3">
      <c r="L18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80" s="1">
        <f>N179+Table1181920231030313235383940424344[[#This Row],[اجمالي الفاتوره]]-Table1181920231030313235383940424344[[#This Row],[الدفعات]]</f>
        <v>122178.35</v>
      </c>
    </row>
    <row r="181" spans="12:14" s="1" customFormat="1" ht="24.75" customHeight="1" x14ac:dyDescent="0.3">
      <c r="L18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81" s="1">
        <f>N180+Table1181920231030313235383940424344[[#This Row],[اجمالي الفاتوره]]-Table1181920231030313235383940424344[[#This Row],[الدفعات]]</f>
        <v>122178.35</v>
      </c>
    </row>
    <row r="182" spans="12:14" s="1" customFormat="1" ht="24.75" customHeight="1" x14ac:dyDescent="0.3">
      <c r="L18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82" s="1">
        <f>N181+Table1181920231030313235383940424344[[#This Row],[اجمالي الفاتوره]]-Table1181920231030313235383940424344[[#This Row],[الدفعات]]</f>
        <v>122178.35</v>
      </c>
    </row>
    <row r="183" spans="12:14" s="1" customFormat="1" ht="24.75" customHeight="1" x14ac:dyDescent="0.3">
      <c r="L18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83" s="1">
        <f>N182+Table1181920231030313235383940424344[[#This Row],[اجمالي الفاتوره]]-Table1181920231030313235383940424344[[#This Row],[الدفعات]]</f>
        <v>122178.35</v>
      </c>
    </row>
    <row r="184" spans="12:14" s="1" customFormat="1" ht="24.75" customHeight="1" x14ac:dyDescent="0.3">
      <c r="L18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84" s="1">
        <f>N183+Table1181920231030313235383940424344[[#This Row],[اجمالي الفاتوره]]-Table1181920231030313235383940424344[[#This Row],[الدفعات]]</f>
        <v>122178.35</v>
      </c>
    </row>
    <row r="185" spans="12:14" s="1" customFormat="1" ht="24.75" customHeight="1" x14ac:dyDescent="0.3">
      <c r="L18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85" s="1">
        <f>N184+Table1181920231030313235383940424344[[#This Row],[اجمالي الفاتوره]]-Table1181920231030313235383940424344[[#This Row],[الدفعات]]</f>
        <v>122178.35</v>
      </c>
    </row>
    <row r="186" spans="12:14" s="1" customFormat="1" ht="24.75" customHeight="1" x14ac:dyDescent="0.3">
      <c r="L18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86" s="1">
        <f>N185+Table1181920231030313235383940424344[[#This Row],[اجمالي الفاتوره]]-Table1181920231030313235383940424344[[#This Row],[الدفعات]]</f>
        <v>122178.35</v>
      </c>
    </row>
    <row r="187" spans="12:14" s="1" customFormat="1" ht="24.75" customHeight="1" x14ac:dyDescent="0.3">
      <c r="L18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87" s="1">
        <f>N186+Table1181920231030313235383940424344[[#This Row],[اجمالي الفاتوره]]-Table1181920231030313235383940424344[[#This Row],[الدفعات]]</f>
        <v>122178.35</v>
      </c>
    </row>
    <row r="188" spans="12:14" s="1" customFormat="1" ht="24.75" customHeight="1" x14ac:dyDescent="0.3">
      <c r="L18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88" s="1">
        <f>N187+Table1181920231030313235383940424344[[#This Row],[اجمالي الفاتوره]]-Table1181920231030313235383940424344[[#This Row],[الدفعات]]</f>
        <v>122178.35</v>
      </c>
    </row>
    <row r="189" spans="12:14" s="1" customFormat="1" ht="24.75" customHeight="1" x14ac:dyDescent="0.3">
      <c r="L18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89" s="1">
        <f>N188+Table1181920231030313235383940424344[[#This Row],[اجمالي الفاتوره]]-Table1181920231030313235383940424344[[#This Row],[الدفعات]]</f>
        <v>122178.35</v>
      </c>
    </row>
    <row r="190" spans="12:14" s="1" customFormat="1" ht="24.75" customHeight="1" x14ac:dyDescent="0.3">
      <c r="L19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90" s="1">
        <f>N189+Table1181920231030313235383940424344[[#This Row],[اجمالي الفاتوره]]-Table1181920231030313235383940424344[[#This Row],[الدفعات]]</f>
        <v>122178.35</v>
      </c>
    </row>
    <row r="191" spans="12:14" s="1" customFormat="1" ht="24.75" customHeight="1" x14ac:dyDescent="0.3">
      <c r="L19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91" s="1">
        <f>N190+Table1181920231030313235383940424344[[#This Row],[اجمالي الفاتوره]]-Table1181920231030313235383940424344[[#This Row],[الدفعات]]</f>
        <v>122178.35</v>
      </c>
    </row>
    <row r="192" spans="12:14" s="1" customFormat="1" ht="24.75" customHeight="1" x14ac:dyDescent="0.3">
      <c r="L19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92" s="1">
        <f>N191+Table1181920231030313235383940424344[[#This Row],[اجمالي الفاتوره]]-Table1181920231030313235383940424344[[#This Row],[الدفعات]]</f>
        <v>122178.35</v>
      </c>
    </row>
    <row r="193" spans="12:14" s="1" customFormat="1" ht="24.75" customHeight="1" x14ac:dyDescent="0.3">
      <c r="L19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93" s="1">
        <f>N192+Table1181920231030313235383940424344[[#This Row],[اجمالي الفاتوره]]-Table1181920231030313235383940424344[[#This Row],[الدفعات]]</f>
        <v>122178.35</v>
      </c>
    </row>
    <row r="194" spans="12:14" s="1" customFormat="1" ht="24.75" customHeight="1" x14ac:dyDescent="0.3">
      <c r="L19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94" s="1">
        <f>N193+Table1181920231030313235383940424344[[#This Row],[اجمالي الفاتوره]]-Table1181920231030313235383940424344[[#This Row],[الدفعات]]</f>
        <v>122178.35</v>
      </c>
    </row>
    <row r="195" spans="12:14" s="1" customFormat="1" ht="24.75" customHeight="1" x14ac:dyDescent="0.3">
      <c r="L19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95" s="1">
        <f>N194+Table1181920231030313235383940424344[[#This Row],[اجمالي الفاتوره]]-Table1181920231030313235383940424344[[#This Row],[الدفعات]]</f>
        <v>122178.35</v>
      </c>
    </row>
    <row r="196" spans="12:14" s="1" customFormat="1" ht="24.75" customHeight="1" x14ac:dyDescent="0.3">
      <c r="L19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96" s="1">
        <f>N195+Table1181920231030313235383940424344[[#This Row],[اجمالي الفاتوره]]-Table1181920231030313235383940424344[[#This Row],[الدفعات]]</f>
        <v>122178.35</v>
      </c>
    </row>
    <row r="197" spans="12:14" s="1" customFormat="1" ht="24.75" customHeight="1" x14ac:dyDescent="0.3">
      <c r="L19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97" s="1">
        <f>N196+Table1181920231030313235383940424344[[#This Row],[اجمالي الفاتوره]]-Table1181920231030313235383940424344[[#This Row],[الدفعات]]</f>
        <v>122178.35</v>
      </c>
    </row>
    <row r="198" spans="12:14" s="1" customFormat="1" ht="24.75" customHeight="1" x14ac:dyDescent="0.3">
      <c r="L19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98" s="1">
        <f>N197+Table1181920231030313235383940424344[[#This Row],[اجمالي الفاتوره]]-Table1181920231030313235383940424344[[#This Row],[الدفعات]]</f>
        <v>122178.35</v>
      </c>
    </row>
    <row r="199" spans="12:14" s="1" customFormat="1" ht="24.75" customHeight="1" x14ac:dyDescent="0.3">
      <c r="L19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199" s="1">
        <f>N198+Table1181920231030313235383940424344[[#This Row],[اجمالي الفاتوره]]-Table1181920231030313235383940424344[[#This Row],[الدفعات]]</f>
        <v>122178.35</v>
      </c>
    </row>
    <row r="200" spans="12:14" s="1" customFormat="1" ht="24.75" customHeight="1" x14ac:dyDescent="0.3">
      <c r="L20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00" s="1">
        <f>N199+Table1181920231030313235383940424344[[#This Row],[اجمالي الفاتوره]]-Table1181920231030313235383940424344[[#This Row],[الدفعات]]</f>
        <v>122178.35</v>
      </c>
    </row>
    <row r="201" spans="12:14" s="1" customFormat="1" ht="24.75" customHeight="1" x14ac:dyDescent="0.3">
      <c r="L20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01" s="1">
        <f>N200+Table1181920231030313235383940424344[[#This Row],[اجمالي الفاتوره]]-Table1181920231030313235383940424344[[#This Row],[الدفعات]]</f>
        <v>122178.35</v>
      </c>
    </row>
    <row r="202" spans="12:14" s="1" customFormat="1" ht="24.75" customHeight="1" x14ac:dyDescent="0.3">
      <c r="L20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02" s="1">
        <f>N201+Table1181920231030313235383940424344[[#This Row],[اجمالي الفاتوره]]-Table1181920231030313235383940424344[[#This Row],[الدفعات]]</f>
        <v>122178.35</v>
      </c>
    </row>
    <row r="203" spans="12:14" s="1" customFormat="1" ht="24.75" customHeight="1" x14ac:dyDescent="0.3">
      <c r="L20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03" s="1">
        <f>N202+Table1181920231030313235383940424344[[#This Row],[اجمالي الفاتوره]]-Table1181920231030313235383940424344[[#This Row],[الدفعات]]</f>
        <v>122178.35</v>
      </c>
    </row>
    <row r="204" spans="12:14" s="1" customFormat="1" ht="24.75" customHeight="1" x14ac:dyDescent="0.3">
      <c r="L20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04" s="1">
        <f>N203+Table1181920231030313235383940424344[[#This Row],[اجمالي الفاتوره]]-Table1181920231030313235383940424344[[#This Row],[الدفعات]]</f>
        <v>122178.35</v>
      </c>
    </row>
    <row r="205" spans="12:14" s="1" customFormat="1" ht="24.75" customHeight="1" x14ac:dyDescent="0.3">
      <c r="L20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05" s="1">
        <f>N204+Table1181920231030313235383940424344[[#This Row],[اجمالي الفاتوره]]-Table1181920231030313235383940424344[[#This Row],[الدفعات]]</f>
        <v>122178.35</v>
      </c>
    </row>
    <row r="206" spans="12:14" s="1" customFormat="1" ht="24.75" customHeight="1" x14ac:dyDescent="0.3">
      <c r="L20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06" s="1">
        <f>N205+Table1181920231030313235383940424344[[#This Row],[اجمالي الفاتوره]]-Table1181920231030313235383940424344[[#This Row],[الدفعات]]</f>
        <v>122178.35</v>
      </c>
    </row>
    <row r="207" spans="12:14" s="1" customFormat="1" ht="24.75" customHeight="1" x14ac:dyDescent="0.3">
      <c r="L20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07" s="1">
        <f>N206+Table1181920231030313235383940424344[[#This Row],[اجمالي الفاتوره]]-Table1181920231030313235383940424344[[#This Row],[الدفعات]]</f>
        <v>122178.35</v>
      </c>
    </row>
    <row r="208" spans="12:14" s="1" customFormat="1" ht="24.75" customHeight="1" x14ac:dyDescent="0.3">
      <c r="L20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08" s="1">
        <f>N207+Table1181920231030313235383940424344[[#This Row],[اجمالي الفاتوره]]-Table1181920231030313235383940424344[[#This Row],[الدفعات]]</f>
        <v>122178.35</v>
      </c>
    </row>
    <row r="209" spans="12:14" s="1" customFormat="1" ht="24.75" customHeight="1" x14ac:dyDescent="0.3">
      <c r="L20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09" s="1">
        <f>N208+Table1181920231030313235383940424344[[#This Row],[اجمالي الفاتوره]]-Table1181920231030313235383940424344[[#This Row],[الدفعات]]</f>
        <v>122178.35</v>
      </c>
    </row>
    <row r="210" spans="12:14" s="1" customFormat="1" ht="24.75" customHeight="1" x14ac:dyDescent="0.3">
      <c r="L21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10" s="1">
        <f>N209+Table1181920231030313235383940424344[[#This Row],[اجمالي الفاتوره]]-Table1181920231030313235383940424344[[#This Row],[الدفعات]]</f>
        <v>122178.35</v>
      </c>
    </row>
    <row r="211" spans="12:14" s="1" customFormat="1" ht="24.75" customHeight="1" x14ac:dyDescent="0.3">
      <c r="L21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11" s="1">
        <f>N210+Table1181920231030313235383940424344[[#This Row],[اجمالي الفاتوره]]-Table1181920231030313235383940424344[[#This Row],[الدفعات]]</f>
        <v>122178.35</v>
      </c>
    </row>
    <row r="212" spans="12:14" s="1" customFormat="1" ht="24.75" customHeight="1" x14ac:dyDescent="0.3">
      <c r="L21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12" s="1">
        <f>N211+Table1181920231030313235383940424344[[#This Row],[اجمالي الفاتوره]]-Table1181920231030313235383940424344[[#This Row],[الدفعات]]</f>
        <v>122178.35</v>
      </c>
    </row>
    <row r="213" spans="12:14" s="1" customFormat="1" ht="24.75" customHeight="1" x14ac:dyDescent="0.3">
      <c r="L21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13" s="1">
        <f>N212+Table1181920231030313235383940424344[[#This Row],[اجمالي الفاتوره]]-Table1181920231030313235383940424344[[#This Row],[الدفعات]]</f>
        <v>122178.35</v>
      </c>
    </row>
    <row r="214" spans="12:14" s="1" customFormat="1" ht="24.75" customHeight="1" x14ac:dyDescent="0.3">
      <c r="L21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14" s="1">
        <f>N213+Table1181920231030313235383940424344[[#This Row],[اجمالي الفاتوره]]-Table1181920231030313235383940424344[[#This Row],[الدفعات]]</f>
        <v>122178.35</v>
      </c>
    </row>
    <row r="215" spans="12:14" s="1" customFormat="1" ht="24.75" customHeight="1" x14ac:dyDescent="0.3">
      <c r="L21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15" s="1">
        <f>N214+Table1181920231030313235383940424344[[#This Row],[اجمالي الفاتوره]]-Table1181920231030313235383940424344[[#This Row],[الدفعات]]</f>
        <v>122178.35</v>
      </c>
    </row>
    <row r="216" spans="12:14" s="1" customFormat="1" ht="24.75" customHeight="1" x14ac:dyDescent="0.3">
      <c r="L21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16" s="1">
        <f>N215+Table1181920231030313235383940424344[[#This Row],[اجمالي الفاتوره]]-Table1181920231030313235383940424344[[#This Row],[الدفعات]]</f>
        <v>122178.35</v>
      </c>
    </row>
    <row r="217" spans="12:14" s="1" customFormat="1" ht="24.75" customHeight="1" x14ac:dyDescent="0.3">
      <c r="L21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17" s="1">
        <f>N216+Table1181920231030313235383940424344[[#This Row],[اجمالي الفاتوره]]-Table1181920231030313235383940424344[[#This Row],[الدفعات]]</f>
        <v>122178.35</v>
      </c>
    </row>
    <row r="218" spans="12:14" s="1" customFormat="1" ht="24.75" customHeight="1" x14ac:dyDescent="0.3">
      <c r="L21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18" s="1">
        <f>N217+Table1181920231030313235383940424344[[#This Row],[اجمالي الفاتوره]]-Table1181920231030313235383940424344[[#This Row],[الدفعات]]</f>
        <v>122178.35</v>
      </c>
    </row>
    <row r="219" spans="12:14" s="1" customFormat="1" ht="24.75" customHeight="1" x14ac:dyDescent="0.3">
      <c r="L21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19" s="1">
        <f>N218+Table1181920231030313235383940424344[[#This Row],[اجمالي الفاتوره]]-Table1181920231030313235383940424344[[#This Row],[الدفعات]]</f>
        <v>122178.35</v>
      </c>
    </row>
    <row r="220" spans="12:14" s="1" customFormat="1" ht="24.75" customHeight="1" x14ac:dyDescent="0.3">
      <c r="L22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20" s="1">
        <f>N219+Table1181920231030313235383940424344[[#This Row],[اجمالي الفاتوره]]-Table1181920231030313235383940424344[[#This Row],[الدفعات]]</f>
        <v>122178.35</v>
      </c>
    </row>
    <row r="221" spans="12:14" s="1" customFormat="1" ht="24.75" customHeight="1" x14ac:dyDescent="0.3">
      <c r="L22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21" s="1">
        <f>N220+Table1181920231030313235383940424344[[#This Row],[اجمالي الفاتوره]]-Table1181920231030313235383940424344[[#This Row],[الدفعات]]</f>
        <v>122178.35</v>
      </c>
    </row>
    <row r="222" spans="12:14" s="1" customFormat="1" ht="24.75" customHeight="1" x14ac:dyDescent="0.3">
      <c r="L22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22" s="1">
        <f>N221+Table1181920231030313235383940424344[[#This Row],[اجمالي الفاتوره]]-Table1181920231030313235383940424344[[#This Row],[الدفعات]]</f>
        <v>122178.35</v>
      </c>
    </row>
    <row r="223" spans="12:14" s="1" customFormat="1" ht="24.75" customHeight="1" x14ac:dyDescent="0.3">
      <c r="L22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23" s="1">
        <f>N222+Table1181920231030313235383940424344[[#This Row],[اجمالي الفاتوره]]-Table1181920231030313235383940424344[[#This Row],[الدفعات]]</f>
        <v>122178.35</v>
      </c>
    </row>
    <row r="224" spans="12:14" s="1" customFormat="1" ht="24.75" customHeight="1" x14ac:dyDescent="0.3">
      <c r="L22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24" s="1">
        <f>N223+Table1181920231030313235383940424344[[#This Row],[اجمالي الفاتوره]]-Table1181920231030313235383940424344[[#This Row],[الدفعات]]</f>
        <v>122178.35</v>
      </c>
    </row>
    <row r="225" spans="12:14" s="1" customFormat="1" ht="24.75" customHeight="1" x14ac:dyDescent="0.3">
      <c r="L22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25" s="1">
        <f>N224+Table1181920231030313235383940424344[[#This Row],[اجمالي الفاتوره]]-Table1181920231030313235383940424344[[#This Row],[الدفعات]]</f>
        <v>122178.35</v>
      </c>
    </row>
    <row r="226" spans="12:14" s="1" customFormat="1" ht="24.75" customHeight="1" x14ac:dyDescent="0.3">
      <c r="L22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26" s="1">
        <f>N225+Table1181920231030313235383940424344[[#This Row],[اجمالي الفاتوره]]-Table1181920231030313235383940424344[[#This Row],[الدفعات]]</f>
        <v>122178.35</v>
      </c>
    </row>
    <row r="227" spans="12:14" s="1" customFormat="1" ht="24.75" customHeight="1" x14ac:dyDescent="0.3">
      <c r="L22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27" s="1">
        <f>N226+Table1181920231030313235383940424344[[#This Row],[اجمالي الفاتوره]]-Table1181920231030313235383940424344[[#This Row],[الدفعات]]</f>
        <v>122178.35</v>
      </c>
    </row>
    <row r="228" spans="12:14" s="1" customFormat="1" ht="24.75" customHeight="1" x14ac:dyDescent="0.3">
      <c r="L22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28" s="1">
        <f>N227+Table1181920231030313235383940424344[[#This Row],[اجمالي الفاتوره]]-Table1181920231030313235383940424344[[#This Row],[الدفعات]]</f>
        <v>122178.35</v>
      </c>
    </row>
    <row r="229" spans="12:14" s="1" customFormat="1" ht="24.75" customHeight="1" x14ac:dyDescent="0.3">
      <c r="L22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29" s="1">
        <f>N228+Table1181920231030313235383940424344[[#This Row],[اجمالي الفاتوره]]-Table1181920231030313235383940424344[[#This Row],[الدفعات]]</f>
        <v>122178.35</v>
      </c>
    </row>
    <row r="230" spans="12:14" s="1" customFormat="1" ht="24.75" customHeight="1" x14ac:dyDescent="0.3">
      <c r="L23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30" s="1">
        <f>N229+Table1181920231030313235383940424344[[#This Row],[اجمالي الفاتوره]]-Table1181920231030313235383940424344[[#This Row],[الدفعات]]</f>
        <v>122178.35</v>
      </c>
    </row>
    <row r="231" spans="12:14" s="1" customFormat="1" ht="24.75" customHeight="1" x14ac:dyDescent="0.3">
      <c r="L23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31" s="1">
        <f>N230+Table1181920231030313235383940424344[[#This Row],[اجمالي الفاتوره]]-Table1181920231030313235383940424344[[#This Row],[الدفعات]]</f>
        <v>122178.35</v>
      </c>
    </row>
    <row r="232" spans="12:14" s="1" customFormat="1" ht="24.75" customHeight="1" x14ac:dyDescent="0.3">
      <c r="L23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32" s="1">
        <f>N231+Table1181920231030313235383940424344[[#This Row],[اجمالي الفاتوره]]-Table1181920231030313235383940424344[[#This Row],[الدفعات]]</f>
        <v>122178.35</v>
      </c>
    </row>
    <row r="233" spans="12:14" s="1" customFormat="1" ht="24.75" customHeight="1" x14ac:dyDescent="0.3">
      <c r="L23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33" s="1">
        <f>N232+Table1181920231030313235383940424344[[#This Row],[اجمالي الفاتوره]]-Table1181920231030313235383940424344[[#This Row],[الدفعات]]</f>
        <v>122178.35</v>
      </c>
    </row>
    <row r="234" spans="12:14" s="1" customFormat="1" ht="24.75" customHeight="1" x14ac:dyDescent="0.3">
      <c r="L23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34" s="1">
        <f>N233+Table1181920231030313235383940424344[[#This Row],[اجمالي الفاتوره]]-Table1181920231030313235383940424344[[#This Row],[الدفعات]]</f>
        <v>122178.35</v>
      </c>
    </row>
    <row r="235" spans="12:14" s="1" customFormat="1" ht="24.75" customHeight="1" x14ac:dyDescent="0.3">
      <c r="L23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35" s="1">
        <f>N234+Table1181920231030313235383940424344[[#This Row],[اجمالي الفاتوره]]-Table1181920231030313235383940424344[[#This Row],[الدفعات]]</f>
        <v>122178.35</v>
      </c>
    </row>
    <row r="236" spans="12:14" s="1" customFormat="1" ht="24.75" customHeight="1" x14ac:dyDescent="0.3">
      <c r="L23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36" s="1">
        <f>N235+Table1181920231030313235383940424344[[#This Row],[اجمالي الفاتوره]]-Table1181920231030313235383940424344[[#This Row],[الدفعات]]</f>
        <v>122178.35</v>
      </c>
    </row>
    <row r="237" spans="12:14" s="1" customFormat="1" ht="24.75" customHeight="1" x14ac:dyDescent="0.3">
      <c r="L23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37" s="1">
        <f>N236+Table1181920231030313235383940424344[[#This Row],[اجمالي الفاتوره]]-Table1181920231030313235383940424344[[#This Row],[الدفعات]]</f>
        <v>122178.35</v>
      </c>
    </row>
    <row r="238" spans="12:14" s="1" customFormat="1" ht="24.75" customHeight="1" x14ac:dyDescent="0.3">
      <c r="L23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38" s="1">
        <f>N237+Table1181920231030313235383940424344[[#This Row],[اجمالي الفاتوره]]-Table1181920231030313235383940424344[[#This Row],[الدفعات]]</f>
        <v>122178.35</v>
      </c>
    </row>
    <row r="239" spans="12:14" s="1" customFormat="1" ht="24.75" customHeight="1" x14ac:dyDescent="0.3">
      <c r="L23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39" s="1">
        <f>N238+Table1181920231030313235383940424344[[#This Row],[اجمالي الفاتوره]]-Table1181920231030313235383940424344[[#This Row],[الدفعات]]</f>
        <v>122178.35</v>
      </c>
    </row>
    <row r="240" spans="12:14" s="1" customFormat="1" ht="24.75" customHeight="1" x14ac:dyDescent="0.3">
      <c r="L24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40" s="1">
        <f>N239+Table1181920231030313235383940424344[[#This Row],[اجمالي الفاتوره]]-Table1181920231030313235383940424344[[#This Row],[الدفعات]]</f>
        <v>122178.35</v>
      </c>
    </row>
    <row r="241" spans="12:14" s="1" customFormat="1" ht="24.75" customHeight="1" x14ac:dyDescent="0.3">
      <c r="L24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41" s="1">
        <f>N240+Table1181920231030313235383940424344[[#This Row],[اجمالي الفاتوره]]-Table1181920231030313235383940424344[[#This Row],[الدفعات]]</f>
        <v>122178.35</v>
      </c>
    </row>
    <row r="242" spans="12:14" s="1" customFormat="1" ht="24.75" customHeight="1" x14ac:dyDescent="0.3">
      <c r="L24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42" s="1">
        <f>N241+Table1181920231030313235383940424344[[#This Row],[اجمالي الفاتوره]]-Table1181920231030313235383940424344[[#This Row],[الدفعات]]</f>
        <v>122178.35</v>
      </c>
    </row>
    <row r="243" spans="12:14" s="1" customFormat="1" ht="24.75" customHeight="1" x14ac:dyDescent="0.3">
      <c r="L24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43" s="1">
        <f>N242+Table1181920231030313235383940424344[[#This Row],[اجمالي الفاتوره]]-Table1181920231030313235383940424344[[#This Row],[الدفعات]]</f>
        <v>122178.35</v>
      </c>
    </row>
    <row r="244" spans="12:14" s="1" customFormat="1" ht="24.75" customHeight="1" x14ac:dyDescent="0.3">
      <c r="L24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44" s="1">
        <f>N243+Table1181920231030313235383940424344[[#This Row],[اجمالي الفاتوره]]-Table1181920231030313235383940424344[[#This Row],[الدفعات]]</f>
        <v>122178.35</v>
      </c>
    </row>
    <row r="245" spans="12:14" s="1" customFormat="1" ht="24.75" customHeight="1" x14ac:dyDescent="0.3">
      <c r="L24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45" s="1">
        <f>N244+Table1181920231030313235383940424344[[#This Row],[اجمالي الفاتوره]]-Table1181920231030313235383940424344[[#This Row],[الدفعات]]</f>
        <v>122178.35</v>
      </c>
    </row>
    <row r="246" spans="12:14" s="1" customFormat="1" ht="24.75" customHeight="1" x14ac:dyDescent="0.3">
      <c r="L24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46" s="1">
        <f>N245+Table1181920231030313235383940424344[[#This Row],[اجمالي الفاتوره]]-Table1181920231030313235383940424344[[#This Row],[الدفعات]]</f>
        <v>122178.35</v>
      </c>
    </row>
    <row r="247" spans="12:14" s="1" customFormat="1" ht="24.75" customHeight="1" x14ac:dyDescent="0.3">
      <c r="L24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47" s="1">
        <f>N246+Table1181920231030313235383940424344[[#This Row],[اجمالي الفاتوره]]-Table1181920231030313235383940424344[[#This Row],[الدفعات]]</f>
        <v>122178.35</v>
      </c>
    </row>
    <row r="248" spans="12:14" s="1" customFormat="1" ht="24.75" customHeight="1" x14ac:dyDescent="0.3">
      <c r="L24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48" s="1">
        <f>N247+Table1181920231030313235383940424344[[#This Row],[اجمالي الفاتوره]]-Table1181920231030313235383940424344[[#This Row],[الدفعات]]</f>
        <v>122178.35</v>
      </c>
    </row>
    <row r="249" spans="12:14" s="1" customFormat="1" ht="24.75" customHeight="1" x14ac:dyDescent="0.3">
      <c r="L24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49" s="1">
        <f>N248+Table1181920231030313235383940424344[[#This Row],[اجمالي الفاتوره]]-Table1181920231030313235383940424344[[#This Row],[الدفعات]]</f>
        <v>122178.35</v>
      </c>
    </row>
    <row r="250" spans="12:14" s="1" customFormat="1" ht="24.75" customHeight="1" x14ac:dyDescent="0.3">
      <c r="L25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50" s="1">
        <f>N249+Table1181920231030313235383940424344[[#This Row],[اجمالي الفاتوره]]-Table1181920231030313235383940424344[[#This Row],[الدفعات]]</f>
        <v>122178.35</v>
      </c>
    </row>
    <row r="251" spans="12:14" s="1" customFormat="1" ht="24.75" customHeight="1" x14ac:dyDescent="0.3">
      <c r="L25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51" s="1">
        <f>N250+Table1181920231030313235383940424344[[#This Row],[اجمالي الفاتوره]]-Table1181920231030313235383940424344[[#This Row],[الدفعات]]</f>
        <v>122178.35</v>
      </c>
    </row>
    <row r="252" spans="12:14" s="1" customFormat="1" ht="24.75" customHeight="1" x14ac:dyDescent="0.3">
      <c r="L25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52" s="1">
        <f>N251+Table1181920231030313235383940424344[[#This Row],[اجمالي الفاتوره]]-Table1181920231030313235383940424344[[#This Row],[الدفعات]]</f>
        <v>122178.35</v>
      </c>
    </row>
    <row r="253" spans="12:14" s="1" customFormat="1" ht="24.75" customHeight="1" x14ac:dyDescent="0.3">
      <c r="L25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53" s="1">
        <f>N252+Table1181920231030313235383940424344[[#This Row],[اجمالي الفاتوره]]-Table1181920231030313235383940424344[[#This Row],[الدفعات]]</f>
        <v>122178.35</v>
      </c>
    </row>
    <row r="254" spans="12:14" s="1" customFormat="1" ht="24.75" customHeight="1" x14ac:dyDescent="0.3">
      <c r="L25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54" s="1">
        <f>N253+Table1181920231030313235383940424344[[#This Row],[اجمالي الفاتوره]]-Table1181920231030313235383940424344[[#This Row],[الدفعات]]</f>
        <v>122178.35</v>
      </c>
    </row>
    <row r="255" spans="12:14" s="1" customFormat="1" ht="24.75" customHeight="1" x14ac:dyDescent="0.3">
      <c r="L25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55" s="1">
        <f>N254+Table1181920231030313235383940424344[[#This Row],[اجمالي الفاتوره]]-Table1181920231030313235383940424344[[#This Row],[الدفعات]]</f>
        <v>122178.35</v>
      </c>
    </row>
    <row r="256" spans="12:14" s="1" customFormat="1" ht="24.75" customHeight="1" x14ac:dyDescent="0.3">
      <c r="L25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56" s="1">
        <f>N255+Table1181920231030313235383940424344[[#This Row],[اجمالي الفاتوره]]-Table1181920231030313235383940424344[[#This Row],[الدفعات]]</f>
        <v>122178.35</v>
      </c>
    </row>
    <row r="257" spans="12:14" s="1" customFormat="1" ht="24.75" customHeight="1" x14ac:dyDescent="0.3">
      <c r="L25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57" s="1">
        <f>N256+Table1181920231030313235383940424344[[#This Row],[اجمالي الفاتوره]]-Table1181920231030313235383940424344[[#This Row],[الدفعات]]</f>
        <v>122178.35</v>
      </c>
    </row>
    <row r="258" spans="12:14" s="1" customFormat="1" ht="24.75" customHeight="1" x14ac:dyDescent="0.3">
      <c r="L25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58" s="1">
        <f>N257+Table1181920231030313235383940424344[[#This Row],[اجمالي الفاتوره]]-Table1181920231030313235383940424344[[#This Row],[الدفعات]]</f>
        <v>122178.35</v>
      </c>
    </row>
    <row r="259" spans="12:14" s="1" customFormat="1" ht="24.75" customHeight="1" x14ac:dyDescent="0.3">
      <c r="L25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59" s="1">
        <f>N258+Table1181920231030313235383940424344[[#This Row],[اجمالي الفاتوره]]-Table1181920231030313235383940424344[[#This Row],[الدفعات]]</f>
        <v>122178.35</v>
      </c>
    </row>
    <row r="260" spans="12:14" s="1" customFormat="1" ht="24.75" customHeight="1" x14ac:dyDescent="0.3">
      <c r="L26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60" s="1">
        <f>N259+Table1181920231030313235383940424344[[#This Row],[اجمالي الفاتوره]]-Table1181920231030313235383940424344[[#This Row],[الدفعات]]</f>
        <v>122178.35</v>
      </c>
    </row>
    <row r="261" spans="12:14" s="1" customFormat="1" ht="24.75" customHeight="1" x14ac:dyDescent="0.3">
      <c r="L26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61" s="1">
        <f>N260+Table1181920231030313235383940424344[[#This Row],[اجمالي الفاتوره]]-Table1181920231030313235383940424344[[#This Row],[الدفعات]]</f>
        <v>122178.35</v>
      </c>
    </row>
    <row r="262" spans="12:14" s="1" customFormat="1" ht="24.75" customHeight="1" x14ac:dyDescent="0.3">
      <c r="L26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62" s="1">
        <f>N261+Table1181920231030313235383940424344[[#This Row],[اجمالي الفاتوره]]-Table1181920231030313235383940424344[[#This Row],[الدفعات]]</f>
        <v>122178.35</v>
      </c>
    </row>
    <row r="263" spans="12:14" s="1" customFormat="1" ht="24.75" customHeight="1" x14ac:dyDescent="0.3">
      <c r="L26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63" s="1">
        <f>N262+Table1181920231030313235383940424344[[#This Row],[اجمالي الفاتوره]]-Table1181920231030313235383940424344[[#This Row],[الدفعات]]</f>
        <v>122178.35</v>
      </c>
    </row>
    <row r="264" spans="12:14" s="1" customFormat="1" ht="24.75" customHeight="1" x14ac:dyDescent="0.3">
      <c r="L26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64" s="1">
        <f>N263+Table1181920231030313235383940424344[[#This Row],[اجمالي الفاتوره]]-Table1181920231030313235383940424344[[#This Row],[الدفعات]]</f>
        <v>122178.35</v>
      </c>
    </row>
    <row r="265" spans="12:14" s="1" customFormat="1" ht="24.75" customHeight="1" x14ac:dyDescent="0.3">
      <c r="L26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65" s="1">
        <f>N264+Table1181920231030313235383940424344[[#This Row],[اجمالي الفاتوره]]-Table1181920231030313235383940424344[[#This Row],[الدفعات]]</f>
        <v>122178.35</v>
      </c>
    </row>
    <row r="266" spans="12:14" s="1" customFormat="1" ht="24.75" customHeight="1" x14ac:dyDescent="0.3">
      <c r="L26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66" s="1">
        <f>N265+Table1181920231030313235383940424344[[#This Row],[اجمالي الفاتوره]]-Table1181920231030313235383940424344[[#This Row],[الدفعات]]</f>
        <v>122178.35</v>
      </c>
    </row>
    <row r="267" spans="12:14" s="1" customFormat="1" ht="24.75" customHeight="1" x14ac:dyDescent="0.3">
      <c r="L26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67" s="1">
        <f>N266+Table1181920231030313235383940424344[[#This Row],[اجمالي الفاتوره]]-Table1181920231030313235383940424344[[#This Row],[الدفعات]]</f>
        <v>122178.35</v>
      </c>
    </row>
    <row r="268" spans="12:14" s="1" customFormat="1" ht="24.75" customHeight="1" x14ac:dyDescent="0.3">
      <c r="L26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68" s="1">
        <f>N267+Table1181920231030313235383940424344[[#This Row],[اجمالي الفاتوره]]-Table1181920231030313235383940424344[[#This Row],[الدفعات]]</f>
        <v>122178.35</v>
      </c>
    </row>
    <row r="269" spans="12:14" s="1" customFormat="1" ht="24.75" customHeight="1" x14ac:dyDescent="0.3">
      <c r="L26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69" s="1">
        <f>N268+Table1181920231030313235383940424344[[#This Row],[اجمالي الفاتوره]]-Table1181920231030313235383940424344[[#This Row],[الدفعات]]</f>
        <v>122178.35</v>
      </c>
    </row>
    <row r="270" spans="12:14" s="1" customFormat="1" ht="24.75" customHeight="1" x14ac:dyDescent="0.3">
      <c r="L27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70" s="1">
        <f>N269+Table1181920231030313235383940424344[[#This Row],[اجمالي الفاتوره]]-Table1181920231030313235383940424344[[#This Row],[الدفعات]]</f>
        <v>122178.35</v>
      </c>
    </row>
    <row r="271" spans="12:14" s="1" customFormat="1" ht="24.75" customHeight="1" x14ac:dyDescent="0.3">
      <c r="L27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71" s="1">
        <f>N270+Table1181920231030313235383940424344[[#This Row],[اجمالي الفاتوره]]-Table1181920231030313235383940424344[[#This Row],[الدفعات]]</f>
        <v>122178.35</v>
      </c>
    </row>
    <row r="272" spans="12:14" s="1" customFormat="1" ht="24.75" customHeight="1" x14ac:dyDescent="0.3">
      <c r="L27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72" s="1">
        <f>N271+Table1181920231030313235383940424344[[#This Row],[اجمالي الفاتوره]]-Table1181920231030313235383940424344[[#This Row],[الدفعات]]</f>
        <v>122178.35</v>
      </c>
    </row>
    <row r="273" spans="12:14" s="1" customFormat="1" ht="24.75" customHeight="1" x14ac:dyDescent="0.3">
      <c r="L27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73" s="1">
        <f>N272+Table1181920231030313235383940424344[[#This Row],[اجمالي الفاتوره]]-Table1181920231030313235383940424344[[#This Row],[الدفعات]]</f>
        <v>122178.35</v>
      </c>
    </row>
    <row r="274" spans="12:14" s="1" customFormat="1" ht="24.75" customHeight="1" x14ac:dyDescent="0.3">
      <c r="L27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74" s="1">
        <f>N273+Table1181920231030313235383940424344[[#This Row],[اجمالي الفاتوره]]-Table1181920231030313235383940424344[[#This Row],[الدفعات]]</f>
        <v>122178.35</v>
      </c>
    </row>
    <row r="275" spans="12:14" s="1" customFormat="1" ht="24.75" customHeight="1" x14ac:dyDescent="0.3">
      <c r="L27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75" s="1">
        <f>N274+Table1181920231030313235383940424344[[#This Row],[اجمالي الفاتوره]]-Table1181920231030313235383940424344[[#This Row],[الدفعات]]</f>
        <v>122178.35</v>
      </c>
    </row>
    <row r="276" spans="12:14" s="1" customFormat="1" ht="24.75" customHeight="1" x14ac:dyDescent="0.3">
      <c r="L27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76" s="1">
        <f>N275+Table1181920231030313235383940424344[[#This Row],[اجمالي الفاتوره]]-Table1181920231030313235383940424344[[#This Row],[الدفعات]]</f>
        <v>122178.35</v>
      </c>
    </row>
    <row r="277" spans="12:14" s="1" customFormat="1" ht="24.75" customHeight="1" x14ac:dyDescent="0.3">
      <c r="L27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77" s="1">
        <f>N276+Table1181920231030313235383940424344[[#This Row],[اجمالي الفاتوره]]-Table1181920231030313235383940424344[[#This Row],[الدفعات]]</f>
        <v>122178.35</v>
      </c>
    </row>
    <row r="278" spans="12:14" s="1" customFormat="1" ht="24.75" customHeight="1" x14ac:dyDescent="0.3">
      <c r="L27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78" s="1">
        <f>N277+Table1181920231030313235383940424344[[#This Row],[اجمالي الفاتوره]]-Table1181920231030313235383940424344[[#This Row],[الدفعات]]</f>
        <v>122178.35</v>
      </c>
    </row>
    <row r="279" spans="12:14" s="1" customFormat="1" ht="24.75" customHeight="1" x14ac:dyDescent="0.3">
      <c r="L27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79" s="1">
        <f>N278+Table1181920231030313235383940424344[[#This Row],[اجمالي الفاتوره]]-Table1181920231030313235383940424344[[#This Row],[الدفعات]]</f>
        <v>122178.35</v>
      </c>
    </row>
    <row r="280" spans="12:14" s="1" customFormat="1" ht="24.75" customHeight="1" x14ac:dyDescent="0.3">
      <c r="L28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80" s="1">
        <f>N279+Table1181920231030313235383940424344[[#This Row],[اجمالي الفاتوره]]-Table1181920231030313235383940424344[[#This Row],[الدفعات]]</f>
        <v>122178.35</v>
      </c>
    </row>
    <row r="281" spans="12:14" s="1" customFormat="1" ht="24.75" customHeight="1" x14ac:dyDescent="0.3">
      <c r="L28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81" s="1">
        <f>N280+Table1181920231030313235383940424344[[#This Row],[اجمالي الفاتوره]]-Table1181920231030313235383940424344[[#This Row],[الدفعات]]</f>
        <v>122178.35</v>
      </c>
    </row>
    <row r="282" spans="12:14" s="1" customFormat="1" ht="24.75" customHeight="1" x14ac:dyDescent="0.3">
      <c r="L28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82" s="1">
        <f>N281+Table1181920231030313235383940424344[[#This Row],[اجمالي الفاتوره]]-Table1181920231030313235383940424344[[#This Row],[الدفعات]]</f>
        <v>122178.35</v>
      </c>
    </row>
    <row r="283" spans="12:14" s="1" customFormat="1" ht="24.75" customHeight="1" x14ac:dyDescent="0.3">
      <c r="L28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83" s="1">
        <f>N282+Table1181920231030313235383940424344[[#This Row],[اجمالي الفاتوره]]-Table1181920231030313235383940424344[[#This Row],[الدفعات]]</f>
        <v>122178.35</v>
      </c>
    </row>
    <row r="284" spans="12:14" s="1" customFormat="1" ht="24.75" customHeight="1" x14ac:dyDescent="0.3">
      <c r="L28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84" s="1">
        <f>N283+Table1181920231030313235383940424344[[#This Row],[اجمالي الفاتوره]]-Table1181920231030313235383940424344[[#This Row],[الدفعات]]</f>
        <v>122178.35</v>
      </c>
    </row>
    <row r="285" spans="12:14" s="1" customFormat="1" ht="24.75" customHeight="1" x14ac:dyDescent="0.3">
      <c r="L28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85" s="1">
        <f>N284+Table1181920231030313235383940424344[[#This Row],[اجمالي الفاتوره]]-Table1181920231030313235383940424344[[#This Row],[الدفعات]]</f>
        <v>122178.35</v>
      </c>
    </row>
    <row r="286" spans="12:14" s="1" customFormat="1" ht="24.75" customHeight="1" x14ac:dyDescent="0.3">
      <c r="L28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86" s="1">
        <f>N285+Table1181920231030313235383940424344[[#This Row],[اجمالي الفاتوره]]-Table1181920231030313235383940424344[[#This Row],[الدفعات]]</f>
        <v>122178.35</v>
      </c>
    </row>
    <row r="287" spans="12:14" s="1" customFormat="1" ht="24.75" customHeight="1" x14ac:dyDescent="0.3">
      <c r="L28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87" s="1">
        <f>N286+Table1181920231030313235383940424344[[#This Row],[اجمالي الفاتوره]]-Table1181920231030313235383940424344[[#This Row],[الدفعات]]</f>
        <v>122178.35</v>
      </c>
    </row>
    <row r="288" spans="12:14" s="1" customFormat="1" ht="24.75" customHeight="1" x14ac:dyDescent="0.3">
      <c r="L28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88" s="1">
        <f>N287+Table1181920231030313235383940424344[[#This Row],[اجمالي الفاتوره]]-Table1181920231030313235383940424344[[#This Row],[الدفعات]]</f>
        <v>122178.35</v>
      </c>
    </row>
    <row r="289" spans="12:14" s="1" customFormat="1" ht="24.75" customHeight="1" x14ac:dyDescent="0.3">
      <c r="L28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89" s="1">
        <f>N288+Table1181920231030313235383940424344[[#This Row],[اجمالي الفاتوره]]-Table1181920231030313235383940424344[[#This Row],[الدفعات]]</f>
        <v>122178.35</v>
      </c>
    </row>
    <row r="290" spans="12:14" s="1" customFormat="1" ht="24.75" customHeight="1" x14ac:dyDescent="0.3">
      <c r="L29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90" s="1">
        <f>N289+Table1181920231030313235383940424344[[#This Row],[اجمالي الفاتوره]]-Table1181920231030313235383940424344[[#This Row],[الدفعات]]</f>
        <v>122178.35</v>
      </c>
    </row>
    <row r="291" spans="12:14" s="1" customFormat="1" ht="24.75" customHeight="1" x14ac:dyDescent="0.3">
      <c r="L29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91" s="1">
        <f>N290+Table1181920231030313235383940424344[[#This Row],[اجمالي الفاتوره]]-Table1181920231030313235383940424344[[#This Row],[الدفعات]]</f>
        <v>122178.35</v>
      </c>
    </row>
    <row r="292" spans="12:14" s="1" customFormat="1" ht="24.75" customHeight="1" x14ac:dyDescent="0.3">
      <c r="L29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92" s="1">
        <f>N291+Table1181920231030313235383940424344[[#This Row],[اجمالي الفاتوره]]-Table1181920231030313235383940424344[[#This Row],[الدفعات]]</f>
        <v>122178.35</v>
      </c>
    </row>
    <row r="293" spans="12:14" s="1" customFormat="1" ht="24.75" customHeight="1" x14ac:dyDescent="0.3">
      <c r="L29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93" s="1">
        <f>N292+Table1181920231030313235383940424344[[#This Row],[اجمالي الفاتوره]]-Table1181920231030313235383940424344[[#This Row],[الدفعات]]</f>
        <v>122178.35</v>
      </c>
    </row>
    <row r="294" spans="12:14" s="1" customFormat="1" ht="24.75" customHeight="1" x14ac:dyDescent="0.3">
      <c r="L29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94" s="1">
        <f>N293+Table1181920231030313235383940424344[[#This Row],[اجمالي الفاتوره]]-Table1181920231030313235383940424344[[#This Row],[الدفعات]]</f>
        <v>122178.35</v>
      </c>
    </row>
    <row r="295" spans="12:14" s="1" customFormat="1" ht="24.75" customHeight="1" x14ac:dyDescent="0.3">
      <c r="L29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95" s="1">
        <f>N294+Table1181920231030313235383940424344[[#This Row],[اجمالي الفاتوره]]-Table1181920231030313235383940424344[[#This Row],[الدفعات]]</f>
        <v>122178.35</v>
      </c>
    </row>
    <row r="296" spans="12:14" s="1" customFormat="1" ht="24.75" customHeight="1" x14ac:dyDescent="0.3">
      <c r="L29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96" s="1">
        <f>N295+Table1181920231030313235383940424344[[#This Row],[اجمالي الفاتوره]]-Table1181920231030313235383940424344[[#This Row],[الدفعات]]</f>
        <v>122178.35</v>
      </c>
    </row>
    <row r="297" spans="12:14" s="1" customFormat="1" ht="24.75" customHeight="1" x14ac:dyDescent="0.3">
      <c r="L29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97" s="1">
        <f>N296+Table1181920231030313235383940424344[[#This Row],[اجمالي الفاتوره]]-Table1181920231030313235383940424344[[#This Row],[الدفعات]]</f>
        <v>122178.35</v>
      </c>
    </row>
    <row r="298" spans="12:14" s="1" customFormat="1" ht="24.75" customHeight="1" x14ac:dyDescent="0.3">
      <c r="L29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98" s="1">
        <f>N297+Table1181920231030313235383940424344[[#This Row],[اجمالي الفاتوره]]-Table1181920231030313235383940424344[[#This Row],[الدفعات]]</f>
        <v>122178.35</v>
      </c>
    </row>
    <row r="299" spans="12:14" s="1" customFormat="1" ht="24.75" customHeight="1" x14ac:dyDescent="0.3">
      <c r="L29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299" s="1">
        <f>N298+Table1181920231030313235383940424344[[#This Row],[اجمالي الفاتوره]]-Table1181920231030313235383940424344[[#This Row],[الدفعات]]</f>
        <v>122178.35</v>
      </c>
    </row>
    <row r="300" spans="12:14" s="1" customFormat="1" ht="24.75" customHeight="1" x14ac:dyDescent="0.3">
      <c r="L30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00" s="1">
        <f>N299+Table1181920231030313235383940424344[[#This Row],[اجمالي الفاتوره]]-Table1181920231030313235383940424344[[#This Row],[الدفعات]]</f>
        <v>122178.35</v>
      </c>
    </row>
    <row r="301" spans="12:14" s="1" customFormat="1" ht="24.75" customHeight="1" x14ac:dyDescent="0.3">
      <c r="L30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01" s="1">
        <f>N300+Table1181920231030313235383940424344[[#This Row],[اجمالي الفاتوره]]-Table1181920231030313235383940424344[[#This Row],[الدفعات]]</f>
        <v>122178.35</v>
      </c>
    </row>
    <row r="302" spans="12:14" s="1" customFormat="1" ht="24.75" customHeight="1" x14ac:dyDescent="0.3">
      <c r="L30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02" s="1">
        <f>N301+Table1181920231030313235383940424344[[#This Row],[اجمالي الفاتوره]]-Table1181920231030313235383940424344[[#This Row],[الدفعات]]</f>
        <v>122178.35</v>
      </c>
    </row>
    <row r="303" spans="12:14" s="1" customFormat="1" ht="24.75" customHeight="1" x14ac:dyDescent="0.3">
      <c r="L30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03" s="1">
        <f>N302+Table1181920231030313235383940424344[[#This Row],[اجمالي الفاتوره]]-Table1181920231030313235383940424344[[#This Row],[الدفعات]]</f>
        <v>122178.35</v>
      </c>
    </row>
    <row r="304" spans="12:14" s="1" customFormat="1" ht="24.75" customHeight="1" x14ac:dyDescent="0.3">
      <c r="L30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04" s="1">
        <f>N303+Table1181920231030313235383940424344[[#This Row],[اجمالي الفاتوره]]-Table1181920231030313235383940424344[[#This Row],[الدفعات]]</f>
        <v>122178.35</v>
      </c>
    </row>
    <row r="305" spans="12:14" s="1" customFormat="1" ht="24.75" customHeight="1" x14ac:dyDescent="0.3">
      <c r="L30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05" s="1">
        <f>N304+Table1181920231030313235383940424344[[#This Row],[اجمالي الفاتوره]]-Table1181920231030313235383940424344[[#This Row],[الدفعات]]</f>
        <v>122178.35</v>
      </c>
    </row>
    <row r="306" spans="12:14" s="1" customFormat="1" ht="24.75" customHeight="1" x14ac:dyDescent="0.3">
      <c r="L30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06" s="1">
        <f>N305+Table1181920231030313235383940424344[[#This Row],[اجمالي الفاتوره]]-Table1181920231030313235383940424344[[#This Row],[الدفعات]]</f>
        <v>122178.35</v>
      </c>
    </row>
    <row r="307" spans="12:14" s="1" customFormat="1" ht="24.75" customHeight="1" x14ac:dyDescent="0.3">
      <c r="L30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07" s="1">
        <f>N306+Table1181920231030313235383940424344[[#This Row],[اجمالي الفاتوره]]-Table1181920231030313235383940424344[[#This Row],[الدفعات]]</f>
        <v>122178.35</v>
      </c>
    </row>
    <row r="308" spans="12:14" s="1" customFormat="1" ht="24.75" customHeight="1" x14ac:dyDescent="0.3">
      <c r="L30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08" s="1">
        <f>N307+Table1181920231030313235383940424344[[#This Row],[اجمالي الفاتوره]]-Table1181920231030313235383940424344[[#This Row],[الدفعات]]</f>
        <v>122178.35</v>
      </c>
    </row>
    <row r="309" spans="12:14" s="1" customFormat="1" ht="24.75" customHeight="1" x14ac:dyDescent="0.3">
      <c r="L30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09" s="1">
        <f>N308+Table1181920231030313235383940424344[[#This Row],[اجمالي الفاتوره]]-Table1181920231030313235383940424344[[#This Row],[الدفعات]]</f>
        <v>122178.35</v>
      </c>
    </row>
    <row r="310" spans="12:14" s="1" customFormat="1" ht="24.75" customHeight="1" x14ac:dyDescent="0.3">
      <c r="L31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10" s="1">
        <f>N309+Table1181920231030313235383940424344[[#This Row],[اجمالي الفاتوره]]-Table1181920231030313235383940424344[[#This Row],[الدفعات]]</f>
        <v>122178.35</v>
      </c>
    </row>
    <row r="311" spans="12:14" s="1" customFormat="1" ht="24.75" customHeight="1" x14ac:dyDescent="0.3">
      <c r="L31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11" s="1">
        <f>N310+Table1181920231030313235383940424344[[#This Row],[اجمالي الفاتوره]]-Table1181920231030313235383940424344[[#This Row],[الدفعات]]</f>
        <v>122178.35</v>
      </c>
    </row>
    <row r="312" spans="12:14" s="1" customFormat="1" ht="24.75" customHeight="1" x14ac:dyDescent="0.3">
      <c r="L31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12" s="1">
        <f>N311+Table1181920231030313235383940424344[[#This Row],[اجمالي الفاتوره]]-Table1181920231030313235383940424344[[#This Row],[الدفعات]]</f>
        <v>122178.35</v>
      </c>
    </row>
    <row r="313" spans="12:14" s="1" customFormat="1" ht="24.75" customHeight="1" x14ac:dyDescent="0.3">
      <c r="L31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13" s="1">
        <f>N312+Table1181920231030313235383940424344[[#This Row],[اجمالي الفاتوره]]-Table1181920231030313235383940424344[[#This Row],[الدفعات]]</f>
        <v>122178.35</v>
      </c>
    </row>
    <row r="314" spans="12:14" s="1" customFormat="1" ht="24.75" customHeight="1" x14ac:dyDescent="0.3">
      <c r="L31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14" s="1">
        <f>N313+Table1181920231030313235383940424344[[#This Row],[اجمالي الفاتوره]]-Table1181920231030313235383940424344[[#This Row],[الدفعات]]</f>
        <v>122178.35</v>
      </c>
    </row>
    <row r="315" spans="12:14" s="1" customFormat="1" ht="24.75" customHeight="1" x14ac:dyDescent="0.3">
      <c r="L31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15" s="1">
        <f>N314+Table1181920231030313235383940424344[[#This Row],[اجمالي الفاتوره]]-Table1181920231030313235383940424344[[#This Row],[الدفعات]]</f>
        <v>122178.35</v>
      </c>
    </row>
    <row r="316" spans="12:14" s="1" customFormat="1" ht="24.75" customHeight="1" x14ac:dyDescent="0.3">
      <c r="L31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16" s="1">
        <f>N315+Table1181920231030313235383940424344[[#This Row],[اجمالي الفاتوره]]-Table1181920231030313235383940424344[[#This Row],[الدفعات]]</f>
        <v>122178.35</v>
      </c>
    </row>
    <row r="317" spans="12:14" s="1" customFormat="1" ht="24.75" customHeight="1" x14ac:dyDescent="0.3">
      <c r="L31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17" s="1">
        <f>N316+Table1181920231030313235383940424344[[#This Row],[اجمالي الفاتوره]]-Table1181920231030313235383940424344[[#This Row],[الدفعات]]</f>
        <v>122178.35</v>
      </c>
    </row>
    <row r="318" spans="12:14" s="1" customFormat="1" ht="24.75" customHeight="1" x14ac:dyDescent="0.3">
      <c r="L31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18" s="1">
        <f>N317+Table1181920231030313235383940424344[[#This Row],[اجمالي الفاتوره]]-Table1181920231030313235383940424344[[#This Row],[الدفعات]]</f>
        <v>122178.35</v>
      </c>
    </row>
    <row r="319" spans="12:14" s="1" customFormat="1" ht="24.75" customHeight="1" x14ac:dyDescent="0.3">
      <c r="L31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19" s="1">
        <f>N318+Table1181920231030313235383940424344[[#This Row],[اجمالي الفاتوره]]-Table1181920231030313235383940424344[[#This Row],[الدفعات]]</f>
        <v>122178.35</v>
      </c>
    </row>
    <row r="320" spans="12:14" s="1" customFormat="1" ht="24.75" customHeight="1" x14ac:dyDescent="0.3">
      <c r="L32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20" s="1">
        <f>N319+Table1181920231030313235383940424344[[#This Row],[اجمالي الفاتوره]]-Table1181920231030313235383940424344[[#This Row],[الدفعات]]</f>
        <v>122178.35</v>
      </c>
    </row>
    <row r="321" spans="12:14" s="1" customFormat="1" ht="24.75" customHeight="1" x14ac:dyDescent="0.3">
      <c r="L32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21" s="1">
        <f>N320+Table1181920231030313235383940424344[[#This Row],[اجمالي الفاتوره]]-Table1181920231030313235383940424344[[#This Row],[الدفعات]]</f>
        <v>122178.35</v>
      </c>
    </row>
    <row r="322" spans="12:14" s="1" customFormat="1" ht="24.75" customHeight="1" x14ac:dyDescent="0.3">
      <c r="L32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22" s="1">
        <f>N321+Table1181920231030313235383940424344[[#This Row],[اجمالي الفاتوره]]-Table1181920231030313235383940424344[[#This Row],[الدفعات]]</f>
        <v>122178.35</v>
      </c>
    </row>
    <row r="323" spans="12:14" s="1" customFormat="1" ht="24.75" customHeight="1" x14ac:dyDescent="0.3">
      <c r="L32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23" s="1">
        <f>N322+Table1181920231030313235383940424344[[#This Row],[اجمالي الفاتوره]]-Table1181920231030313235383940424344[[#This Row],[الدفعات]]</f>
        <v>122178.35</v>
      </c>
    </row>
    <row r="324" spans="12:14" s="1" customFormat="1" ht="24.75" customHeight="1" x14ac:dyDescent="0.3">
      <c r="L32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24" s="1">
        <f>N323+Table1181920231030313235383940424344[[#This Row],[اجمالي الفاتوره]]-Table1181920231030313235383940424344[[#This Row],[الدفعات]]</f>
        <v>122178.35</v>
      </c>
    </row>
    <row r="325" spans="12:14" s="1" customFormat="1" ht="24.75" customHeight="1" x14ac:dyDescent="0.3">
      <c r="L32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25" s="1">
        <f>N324+Table1181920231030313235383940424344[[#This Row],[اجمالي الفاتوره]]-Table1181920231030313235383940424344[[#This Row],[الدفعات]]</f>
        <v>122178.35</v>
      </c>
    </row>
    <row r="326" spans="12:14" s="1" customFormat="1" ht="24.75" customHeight="1" x14ac:dyDescent="0.3">
      <c r="L32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26" s="1">
        <f>N325+Table1181920231030313235383940424344[[#This Row],[اجمالي الفاتوره]]-Table1181920231030313235383940424344[[#This Row],[الدفعات]]</f>
        <v>122178.35</v>
      </c>
    </row>
    <row r="327" spans="12:14" s="1" customFormat="1" ht="24.75" customHeight="1" x14ac:dyDescent="0.3">
      <c r="L32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27" s="1">
        <f>N326+Table1181920231030313235383940424344[[#This Row],[اجمالي الفاتوره]]-Table1181920231030313235383940424344[[#This Row],[الدفعات]]</f>
        <v>122178.35</v>
      </c>
    </row>
    <row r="328" spans="12:14" s="1" customFormat="1" ht="24.75" customHeight="1" x14ac:dyDescent="0.3">
      <c r="L32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28" s="1">
        <f>N327+Table1181920231030313235383940424344[[#This Row],[اجمالي الفاتوره]]-Table1181920231030313235383940424344[[#This Row],[الدفعات]]</f>
        <v>122178.35</v>
      </c>
    </row>
    <row r="329" spans="12:14" s="1" customFormat="1" ht="24.75" customHeight="1" x14ac:dyDescent="0.3">
      <c r="L32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29" s="1">
        <f>N328+Table1181920231030313235383940424344[[#This Row],[اجمالي الفاتوره]]-Table1181920231030313235383940424344[[#This Row],[الدفعات]]</f>
        <v>122178.35</v>
      </c>
    </row>
    <row r="330" spans="12:14" s="1" customFormat="1" ht="24.75" customHeight="1" x14ac:dyDescent="0.3">
      <c r="L330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30" s="1">
        <f>N329+Table1181920231030313235383940424344[[#This Row],[اجمالي الفاتوره]]-Table1181920231030313235383940424344[[#This Row],[الدفعات]]</f>
        <v>122178.35</v>
      </c>
    </row>
    <row r="331" spans="12:14" s="1" customFormat="1" ht="24.75" customHeight="1" x14ac:dyDescent="0.3">
      <c r="L331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31" s="1">
        <f>N330+Table1181920231030313235383940424344[[#This Row],[اجمالي الفاتوره]]-Table1181920231030313235383940424344[[#This Row],[الدفعات]]</f>
        <v>122178.35</v>
      </c>
    </row>
    <row r="332" spans="12:14" s="1" customFormat="1" ht="24.75" customHeight="1" x14ac:dyDescent="0.3">
      <c r="L332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32" s="1">
        <f>N331+Table1181920231030313235383940424344[[#This Row],[اجمالي الفاتوره]]-Table1181920231030313235383940424344[[#This Row],[الدفعات]]</f>
        <v>122178.35</v>
      </c>
    </row>
    <row r="333" spans="12:14" s="1" customFormat="1" ht="24.75" customHeight="1" x14ac:dyDescent="0.3">
      <c r="L333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33" s="1">
        <f>N332+Table1181920231030313235383940424344[[#This Row],[اجمالي الفاتوره]]-Table1181920231030313235383940424344[[#This Row],[الدفعات]]</f>
        <v>122178.35</v>
      </c>
    </row>
    <row r="334" spans="12:14" s="1" customFormat="1" ht="24.75" customHeight="1" x14ac:dyDescent="0.3">
      <c r="L334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34" s="1">
        <f>N333+Table1181920231030313235383940424344[[#This Row],[اجمالي الفاتوره]]-Table1181920231030313235383940424344[[#This Row],[الدفعات]]</f>
        <v>122178.35</v>
      </c>
    </row>
    <row r="335" spans="12:14" s="1" customFormat="1" ht="24.75" customHeight="1" x14ac:dyDescent="0.3">
      <c r="L335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35" s="1">
        <f>N334+Table1181920231030313235383940424344[[#This Row],[اجمالي الفاتوره]]-Table1181920231030313235383940424344[[#This Row],[الدفعات]]</f>
        <v>122178.35</v>
      </c>
    </row>
    <row r="336" spans="12:14" s="1" customFormat="1" ht="24.75" customHeight="1" x14ac:dyDescent="0.3">
      <c r="L336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36" s="1">
        <f>N335+Table1181920231030313235383940424344[[#This Row],[اجمالي الفاتوره]]-Table1181920231030313235383940424344[[#This Row],[الدفعات]]</f>
        <v>122178.35</v>
      </c>
    </row>
    <row r="337" spans="9:14" s="1" customFormat="1" ht="24.75" customHeight="1" x14ac:dyDescent="0.3">
      <c r="I337" s="1">
        <f>0.14*Table1181920231030313235383940424344[[#This Row],[النولون]]</f>
        <v>0</v>
      </c>
      <c r="J337" s="1">
        <f>0.03*Table1181920231030313235383940424344[[#This Row],[النولون]]</f>
        <v>0</v>
      </c>
      <c r="L337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37" s="1">
        <f>N336+Table1181920231030313235383940424344[[#This Row],[اجمالي الفاتوره]]-Table1181920231030313235383940424344[[#This Row],[الدفعات]]</f>
        <v>122178.35</v>
      </c>
    </row>
    <row r="338" spans="9:14" s="1" customFormat="1" ht="24.75" customHeight="1" x14ac:dyDescent="0.3">
      <c r="I338" s="1">
        <f>0.14*Table1181920231030313235383940424344[[#This Row],[النولون]]</f>
        <v>0</v>
      </c>
      <c r="J338" s="1">
        <f>0.03*Table1181920231030313235383940424344[[#This Row],[النولون]]</f>
        <v>0</v>
      </c>
      <c r="L338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38" s="1">
        <f>N337+Table1181920231030313235383940424344[[#This Row],[اجمالي الفاتوره]]-Table1181920231030313235383940424344[[#This Row],[الدفعات]]</f>
        <v>122178.35</v>
      </c>
    </row>
    <row r="339" spans="9:14" s="1" customFormat="1" ht="24.75" customHeight="1" x14ac:dyDescent="0.3">
      <c r="I339" s="1">
        <f>0.14*Table1181920231030313235383940424344[[#This Row],[النولون]]</f>
        <v>0</v>
      </c>
      <c r="J339" s="1">
        <f>0.03*Table1181920231030313235383940424344[[#This Row],[النولون]]</f>
        <v>0</v>
      </c>
      <c r="L339" s="1">
        <f>Table1181920231030313235383940424344[[#This Row],[النولون]]+Table1181920231030313235383940424344[[#This Row],[الايصالات]]-Table1181920231030313235383940424344[[#This Row],[خصم أ ت ص]]+Table1181920231030313235383940424344[[#This Row],[قيمة مضافة]]</f>
        <v>0</v>
      </c>
      <c r="N339" s="1">
        <f>N338+Table1181920231030313235383940424344[[#This Row],[اجمالي الفاتوره]]-Table1181920231030313235383940424344[[#This Row],[الدفعات]]</f>
        <v>122178.35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339"/>
  <sheetViews>
    <sheetView rightToLeft="1" workbookViewId="0">
      <selection activeCell="J11" sqref="J11"/>
    </sheetView>
  </sheetViews>
  <sheetFormatPr defaultColWidth="9.109375" defaultRowHeight="15.6" x14ac:dyDescent="0.3"/>
  <cols>
    <col min="1" max="1" width="5.44140625" style="1" customWidth="1"/>
    <col min="2" max="2" width="11" style="1" customWidth="1"/>
    <col min="3" max="3" width="15.109375" style="1" customWidth="1"/>
    <col min="4" max="4" width="11.21875" style="1" customWidth="1"/>
    <col min="5" max="5" width="13.33203125" style="1" customWidth="1"/>
    <col min="6" max="6" width="13" style="1" customWidth="1"/>
    <col min="7" max="7" width="11.6640625" style="1" customWidth="1"/>
    <col min="8" max="8" width="11.77734375" style="1" customWidth="1"/>
    <col min="9" max="9" width="8.21875" style="1" customWidth="1"/>
    <col min="10" max="10" width="10.77734375" style="1" customWidth="1"/>
    <col min="11" max="11" width="12" style="1" customWidth="1"/>
    <col min="12" max="12" width="12.77734375" style="1" customWidth="1"/>
    <col min="13" max="13" width="15.21875" style="1" customWidth="1"/>
    <col min="14" max="16384" width="9.109375" style="1"/>
  </cols>
  <sheetData>
    <row r="1" spans="1:14" ht="26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6.25" customHeight="1" x14ac:dyDescent="0.3">
      <c r="A2" s="1">
        <v>1</v>
      </c>
      <c r="B2" s="2">
        <v>46145</v>
      </c>
      <c r="C2" s="1" t="s">
        <v>523</v>
      </c>
      <c r="D2" s="1" t="s">
        <v>96</v>
      </c>
      <c r="E2" s="1">
        <v>16681054</v>
      </c>
      <c r="F2" s="1" t="s">
        <v>129</v>
      </c>
      <c r="G2" s="1">
        <v>15300</v>
      </c>
      <c r="J2" s="1">
        <f>580+936.49+500</f>
        <v>2016.49</v>
      </c>
      <c r="K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17316.490000000002</v>
      </c>
      <c r="M2" s="1">
        <f>Table118192023103031323538394041[[#This Row],[اجمالي الفاتوره]]-Table118192023103031323538394041[[#This Row],[الدفعات]]</f>
        <v>17316.490000000002</v>
      </c>
    </row>
    <row r="3" spans="1:14" ht="26.25" customHeight="1" x14ac:dyDescent="0.3">
      <c r="A3" s="1">
        <v>2</v>
      </c>
      <c r="B3" s="2">
        <v>46145</v>
      </c>
      <c r="C3" s="1" t="s">
        <v>523</v>
      </c>
      <c r="D3" s="1" t="s">
        <v>96</v>
      </c>
      <c r="E3" s="1">
        <v>16681048</v>
      </c>
      <c r="F3" s="1" t="s">
        <v>90</v>
      </c>
      <c r="G3" s="1">
        <f>20500*5</f>
        <v>102500</v>
      </c>
      <c r="J3" s="1">
        <f>200+365.21*5+5000+1100*2+1130*3</f>
        <v>12616.05</v>
      </c>
      <c r="K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115116.05</v>
      </c>
      <c r="M3" s="1">
        <f>M2+Table118192023103031323538394041[[#This Row],[اجمالي الفاتوره]]-Table118192023103031323538394041[[#This Row],[الدفعات]]</f>
        <v>132432.54</v>
      </c>
    </row>
    <row r="4" spans="1:14" ht="26.25" customHeight="1" x14ac:dyDescent="0.3">
      <c r="A4" s="72"/>
      <c r="B4" s="73">
        <v>46163</v>
      </c>
      <c r="C4" s="72"/>
      <c r="D4" s="72"/>
      <c r="E4" s="72"/>
      <c r="F4" s="72"/>
      <c r="G4" s="72"/>
      <c r="H4" s="72"/>
      <c r="I4" s="72"/>
      <c r="J4" s="72"/>
      <c r="K4" s="72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L4" s="72">
        <v>132433</v>
      </c>
      <c r="M4" s="72">
        <f>M3+Table118192023103031323538394041[[#This Row],[اجمالي الفاتوره]]-Table118192023103031323538394041[[#This Row],[الدفعات]]</f>
        <v>-0.45999999999185093</v>
      </c>
    </row>
    <row r="5" spans="1:14" ht="26.25" customHeight="1" x14ac:dyDescent="0.3">
      <c r="A5" s="1">
        <v>3</v>
      </c>
      <c r="B5" s="2">
        <v>46181</v>
      </c>
      <c r="C5" s="1" t="s">
        <v>523</v>
      </c>
      <c r="D5" s="1" t="s">
        <v>96</v>
      </c>
      <c r="E5" s="1">
        <v>16961289</v>
      </c>
      <c r="F5" s="1" t="s">
        <v>597</v>
      </c>
      <c r="G5" s="1">
        <f>20500*10</f>
        <v>205000</v>
      </c>
      <c r="J5" s="1">
        <f>368.65+1333+365.21*8+4000+3000+3000+5*1130+1100*4+798+10*300+4*3500</f>
        <v>42471.33</v>
      </c>
      <c r="K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247471.33000000002</v>
      </c>
      <c r="M5" s="1">
        <f>M4+Table118192023103031323538394041[[#This Row],[اجمالي الفاتوره]]-Table118192023103031323538394041[[#This Row],[الدفعات]]</f>
        <v>247470.87000000002</v>
      </c>
    </row>
    <row r="6" spans="1:14" ht="26.25" customHeight="1" x14ac:dyDescent="0.3">
      <c r="A6" s="96"/>
      <c r="B6" s="98">
        <v>46208</v>
      </c>
      <c r="C6" s="96"/>
      <c r="D6" s="96"/>
      <c r="E6" s="96"/>
      <c r="F6" s="96"/>
      <c r="G6" s="96"/>
      <c r="H6" s="96"/>
      <c r="I6" s="96"/>
      <c r="J6" s="96"/>
      <c r="K6" s="96"/>
      <c r="L6" s="96">
        <v>247470</v>
      </c>
      <c r="M6" s="72">
        <f>M5+Table118192023103031323538394041[[#This Row],[اجمالي الفاتوره]]-Table118192023103031323538394041[[#This Row],[الدفعات]]</f>
        <v>0.87000000002444722</v>
      </c>
      <c r="N6" s="95"/>
    </row>
    <row r="7" spans="1:14" ht="26.25" customHeight="1" x14ac:dyDescent="0.3">
      <c r="A7" s="1">
        <v>4</v>
      </c>
      <c r="B7" s="2">
        <v>46187</v>
      </c>
      <c r="C7" s="1" t="s">
        <v>615</v>
      </c>
      <c r="D7" s="1" t="s">
        <v>96</v>
      </c>
      <c r="E7" s="1">
        <v>2435</v>
      </c>
      <c r="F7" s="1" t="s">
        <v>121</v>
      </c>
      <c r="G7" s="1">
        <v>15300</v>
      </c>
      <c r="J7" s="1">
        <f>3500+1100+105.79+301.78+210+150+200+39.9</f>
        <v>5607.4699999999993</v>
      </c>
      <c r="K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20907.47</v>
      </c>
      <c r="M7" s="1">
        <f>M6+Table118192023103031323538394041[[#This Row],[اجمالي الفاتوره]]-Table118192023103031323538394041[[#This Row],[الدفعات]]</f>
        <v>20908.340000000026</v>
      </c>
    </row>
    <row r="8" spans="1:14" ht="26.25" customHeight="1" x14ac:dyDescent="0.3">
      <c r="A8" s="1">
        <v>5</v>
      </c>
      <c r="B8" s="2">
        <v>46194</v>
      </c>
      <c r="C8" s="1" t="s">
        <v>523</v>
      </c>
      <c r="D8" s="1" t="s">
        <v>96</v>
      </c>
      <c r="E8" s="1">
        <v>17285945</v>
      </c>
      <c r="F8" s="1" t="s">
        <v>90</v>
      </c>
      <c r="G8" s="1">
        <f>5*20500</f>
        <v>102500</v>
      </c>
      <c r="J8" s="1">
        <f>365.21*5+3*1130+1100*2+2000+3000+33166</f>
        <v>45582.05</v>
      </c>
      <c r="K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148082.04999999999</v>
      </c>
      <c r="M8" s="1">
        <f>M7+Table118192023103031323538394041[[#This Row],[اجمالي الفاتوره]]-Table118192023103031323538394041[[#This Row],[الدفعات]]</f>
        <v>168990.39</v>
      </c>
    </row>
    <row r="9" spans="1:14" ht="26.25" customHeight="1" x14ac:dyDescent="0.3">
      <c r="A9" s="1">
        <v>6</v>
      </c>
      <c r="B9" s="2">
        <v>46194</v>
      </c>
      <c r="C9" s="1" t="s">
        <v>523</v>
      </c>
      <c r="D9" s="1" t="s">
        <v>96</v>
      </c>
      <c r="E9" s="1">
        <v>17266291</v>
      </c>
      <c r="F9" s="1" t="s">
        <v>90</v>
      </c>
      <c r="G9" s="1">
        <f>5*20500</f>
        <v>102500</v>
      </c>
      <c r="J9" s="1">
        <f>365.21*5+5000+4*1130+1100+33166+3500*3</f>
        <v>56112.05</v>
      </c>
      <c r="K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158612.04999999999</v>
      </c>
      <c r="M9" s="1">
        <f>M8+Table118192023103031323538394041[[#This Row],[اجمالي الفاتوره]]-Table118192023103031323538394041[[#This Row],[الدفعات]]</f>
        <v>327602.44</v>
      </c>
    </row>
    <row r="10" spans="1:14" ht="26.25" customHeight="1" x14ac:dyDescent="0.3">
      <c r="A10" s="1">
        <v>7</v>
      </c>
      <c r="B10" s="2">
        <v>46208</v>
      </c>
      <c r="C10" s="1" t="s">
        <v>646</v>
      </c>
      <c r="D10" s="1" t="s">
        <v>96</v>
      </c>
      <c r="E10" s="1">
        <v>933877</v>
      </c>
      <c r="F10" s="1" t="s">
        <v>159</v>
      </c>
      <c r="G10" s="1">
        <v>12300</v>
      </c>
      <c r="J10" s="1">
        <f>850+110+580+231.88+1140+150+2500+171+150</f>
        <v>5882.88</v>
      </c>
      <c r="K1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18182.88</v>
      </c>
      <c r="M10" s="1">
        <f>M9+Table118192023103031323538394041[[#This Row],[اجمالي الفاتوره]]-Table118192023103031323538394041[[#This Row],[الدفعات]]</f>
        <v>345785.32</v>
      </c>
    </row>
    <row r="11" spans="1:14" ht="26.25" customHeight="1" x14ac:dyDescent="0.3">
      <c r="B11" s="2"/>
      <c r="K1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1" s="1">
        <f>M10+Table118192023103031323538394041[[#This Row],[اجمالي الفاتوره]]-Table118192023103031323538394041[[#This Row],[الدفعات]]</f>
        <v>345785.32</v>
      </c>
    </row>
    <row r="12" spans="1:14" ht="26.25" customHeight="1" x14ac:dyDescent="0.3">
      <c r="B12" s="2"/>
      <c r="K1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2" s="1">
        <f>M11+Table118192023103031323538394041[[#This Row],[اجمالي الفاتوره]]-Table118192023103031323538394041[[#This Row],[الدفعات]]</f>
        <v>345785.32</v>
      </c>
    </row>
    <row r="13" spans="1:14" ht="26.25" customHeight="1" x14ac:dyDescent="0.3">
      <c r="B13" s="2"/>
      <c r="K1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L13" s="41"/>
      <c r="M13" s="1">
        <f>M12+Table118192023103031323538394041[[#This Row],[اجمالي الفاتوره]]-Table118192023103031323538394041[[#This Row],[الدفعات]]</f>
        <v>345785.32</v>
      </c>
      <c r="N13" s="1">
        <f>SUM(K:K)-SUM(L:L)</f>
        <v>345785.31999999995</v>
      </c>
    </row>
    <row r="14" spans="1:14" ht="26.25" customHeight="1" x14ac:dyDescent="0.3">
      <c r="B14" s="2"/>
      <c r="K1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4" s="1">
        <f>M13+Table118192023103031323538394041[[#This Row],[اجمالي الفاتوره]]-Table118192023103031323538394041[[#This Row],[الدفعات]]</f>
        <v>345785.32</v>
      </c>
    </row>
    <row r="15" spans="1:14" ht="26.25" customHeight="1" x14ac:dyDescent="0.3">
      <c r="B15" s="2"/>
      <c r="K1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5" s="1">
        <f>M14+Table118192023103031323538394041[[#This Row],[اجمالي الفاتوره]]-Table118192023103031323538394041[[#This Row],[الدفعات]]</f>
        <v>345785.32</v>
      </c>
    </row>
    <row r="16" spans="1:14" ht="26.25" customHeight="1" x14ac:dyDescent="0.3">
      <c r="B16" s="2"/>
      <c r="K1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6" s="1">
        <f>M15+Table118192023103031323538394041[[#This Row],[اجمالي الفاتوره]]-Table118192023103031323538394041[[#This Row],[الدفعات]]</f>
        <v>345785.32</v>
      </c>
    </row>
    <row r="17" spans="2:13" ht="26.25" customHeight="1" x14ac:dyDescent="0.3">
      <c r="B17" s="2"/>
      <c r="K1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7" s="1">
        <f>M16+Table118192023103031323538394041[[#This Row],[اجمالي الفاتوره]]-Table118192023103031323538394041[[#This Row],[الدفعات]]</f>
        <v>345785.32</v>
      </c>
    </row>
    <row r="18" spans="2:13" ht="26.25" customHeight="1" x14ac:dyDescent="0.3">
      <c r="B18" s="2"/>
      <c r="K1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8" s="1">
        <f>M17+Table118192023103031323538394041[[#This Row],[اجمالي الفاتوره]]-Table118192023103031323538394041[[#This Row],[الدفعات]]</f>
        <v>345785.32</v>
      </c>
    </row>
    <row r="19" spans="2:13" ht="26.25" customHeight="1" x14ac:dyDescent="0.3">
      <c r="B19" s="2"/>
      <c r="K1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9" s="1">
        <f>M18+Table118192023103031323538394041[[#This Row],[اجمالي الفاتوره]]-Table118192023103031323538394041[[#This Row],[الدفعات]]</f>
        <v>345785.32</v>
      </c>
    </row>
    <row r="20" spans="2:13" ht="26.25" customHeight="1" x14ac:dyDescent="0.3">
      <c r="B20" s="2"/>
      <c r="K2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0" s="1">
        <f>M19+Table118192023103031323538394041[[#This Row],[اجمالي الفاتوره]]-Table118192023103031323538394041[[#This Row],[الدفعات]]</f>
        <v>345785.32</v>
      </c>
    </row>
    <row r="21" spans="2:13" ht="26.25" customHeight="1" x14ac:dyDescent="0.3">
      <c r="B21" s="2"/>
      <c r="K2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1" s="1">
        <f>M20+Table118192023103031323538394041[[#This Row],[اجمالي الفاتوره]]-Table118192023103031323538394041[[#This Row],[الدفعات]]</f>
        <v>345785.32</v>
      </c>
    </row>
    <row r="22" spans="2:13" ht="26.25" customHeight="1" x14ac:dyDescent="0.3">
      <c r="B22" s="2"/>
      <c r="K2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2" s="1">
        <f>M21+Table118192023103031323538394041[[#This Row],[اجمالي الفاتوره]]-Table118192023103031323538394041[[#This Row],[الدفعات]]</f>
        <v>345785.32</v>
      </c>
    </row>
    <row r="23" spans="2:13" ht="26.25" customHeight="1" x14ac:dyDescent="0.3">
      <c r="B23" s="2"/>
      <c r="K2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3" s="1">
        <f>M22+Table118192023103031323538394041[[#This Row],[اجمالي الفاتوره]]-Table118192023103031323538394041[[#This Row],[الدفعات]]</f>
        <v>345785.32</v>
      </c>
    </row>
    <row r="24" spans="2:13" ht="26.25" customHeight="1" x14ac:dyDescent="0.3">
      <c r="B24" s="2"/>
      <c r="K2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4" s="1">
        <f>M23+Table118192023103031323538394041[[#This Row],[اجمالي الفاتوره]]-Table118192023103031323538394041[[#This Row],[الدفعات]]</f>
        <v>345785.32</v>
      </c>
    </row>
    <row r="25" spans="2:13" ht="26.25" customHeight="1" x14ac:dyDescent="0.3">
      <c r="K2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5" s="1">
        <f>M24+Table118192023103031323538394041[[#This Row],[اجمالي الفاتوره]]-Table118192023103031323538394041[[#This Row],[الدفعات]]</f>
        <v>345785.32</v>
      </c>
    </row>
    <row r="26" spans="2:13" ht="26.25" customHeight="1" x14ac:dyDescent="0.3">
      <c r="K2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6" s="1">
        <f>M25+Table118192023103031323538394041[[#This Row],[اجمالي الفاتوره]]-Table118192023103031323538394041[[#This Row],[الدفعات]]</f>
        <v>345785.32</v>
      </c>
    </row>
    <row r="27" spans="2:13" ht="26.25" customHeight="1" x14ac:dyDescent="0.3">
      <c r="B27" s="2"/>
      <c r="K2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7" s="1">
        <f>M26+Table118192023103031323538394041[[#This Row],[اجمالي الفاتوره]]-Table118192023103031323538394041[[#This Row],[الدفعات]]</f>
        <v>345785.32</v>
      </c>
    </row>
    <row r="28" spans="2:13" ht="26.25" customHeight="1" x14ac:dyDescent="0.3">
      <c r="B28" s="2"/>
      <c r="K2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8" s="1">
        <f>M27+Table118192023103031323538394041[[#This Row],[اجمالي الفاتوره]]-Table118192023103031323538394041[[#This Row],[الدفعات]]</f>
        <v>345785.32</v>
      </c>
    </row>
    <row r="29" spans="2:13" ht="26.25" customHeight="1" x14ac:dyDescent="0.3">
      <c r="B29" s="2"/>
      <c r="K2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9" s="1">
        <f>M28+Table118192023103031323538394041[[#This Row],[اجمالي الفاتوره]]-Table118192023103031323538394041[[#This Row],[الدفعات]]</f>
        <v>345785.32</v>
      </c>
    </row>
    <row r="30" spans="2:13" ht="26.25" customHeight="1" x14ac:dyDescent="0.3">
      <c r="B30" s="2"/>
      <c r="K3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0" s="1">
        <f>M29+Table118192023103031323538394041[[#This Row],[اجمالي الفاتوره]]-Table118192023103031323538394041[[#This Row],[الدفعات]]</f>
        <v>345785.32</v>
      </c>
    </row>
    <row r="31" spans="2:13" ht="26.25" customHeight="1" x14ac:dyDescent="0.3">
      <c r="K3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1" s="1">
        <f>M30+Table118192023103031323538394041[[#This Row],[اجمالي الفاتوره]]-Table118192023103031323538394041[[#This Row],[الدفعات]]</f>
        <v>345785.32</v>
      </c>
    </row>
    <row r="32" spans="2:13" ht="26.25" customHeight="1" x14ac:dyDescent="0.3">
      <c r="B32" s="2"/>
      <c r="K3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2" s="1">
        <f>M31+Table118192023103031323538394041[[#This Row],[اجمالي الفاتوره]]-Table118192023103031323538394041[[#This Row],[الدفعات]]</f>
        <v>345785.32</v>
      </c>
    </row>
    <row r="33" spans="2:13" ht="26.25" customHeight="1" x14ac:dyDescent="0.3">
      <c r="K3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3" s="1">
        <f>M32+Table118192023103031323538394041[[#This Row],[اجمالي الفاتوره]]-Table118192023103031323538394041[[#This Row],[الدفعات]]</f>
        <v>345785.32</v>
      </c>
    </row>
    <row r="34" spans="2:13" ht="26.25" customHeight="1" x14ac:dyDescent="0.3">
      <c r="K3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4" s="1">
        <f>M33+Table118192023103031323538394041[[#This Row],[اجمالي الفاتوره]]-Table118192023103031323538394041[[#This Row],[الدفعات]]</f>
        <v>345785.32</v>
      </c>
    </row>
    <row r="35" spans="2:13" ht="26.25" customHeight="1" x14ac:dyDescent="0.3">
      <c r="K3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5" s="1">
        <f>M34+Table118192023103031323538394041[[#This Row],[اجمالي الفاتوره]]-Table118192023103031323538394041[[#This Row],[الدفعات]]</f>
        <v>345785.32</v>
      </c>
    </row>
    <row r="36" spans="2:13" ht="26.25" customHeight="1" x14ac:dyDescent="0.3">
      <c r="B36" s="2"/>
      <c r="C36" s="2"/>
      <c r="K3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6" s="1">
        <f>M35+Table118192023103031323538394041[[#This Row],[اجمالي الفاتوره]]-Table118192023103031323538394041[[#This Row],[الدفعات]]</f>
        <v>345785.32</v>
      </c>
    </row>
    <row r="37" spans="2:13" ht="26.25" customHeight="1" x14ac:dyDescent="0.3">
      <c r="K3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7" s="1">
        <f>M36+Table118192023103031323538394041[[#This Row],[اجمالي الفاتوره]]-Table118192023103031323538394041[[#This Row],[الدفعات]]</f>
        <v>345785.32</v>
      </c>
    </row>
    <row r="38" spans="2:13" ht="26.25" customHeight="1" x14ac:dyDescent="0.3">
      <c r="K3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8" s="1">
        <f>M37+Table118192023103031323538394041[[#This Row],[اجمالي الفاتوره]]-Table118192023103031323538394041[[#This Row],[الدفعات]]</f>
        <v>345785.32</v>
      </c>
    </row>
    <row r="39" spans="2:13" ht="26.25" customHeight="1" x14ac:dyDescent="0.3">
      <c r="K3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9" s="1">
        <f>M38+Table118192023103031323538394041[[#This Row],[اجمالي الفاتوره]]-Table118192023103031323538394041[[#This Row],[الدفعات]]</f>
        <v>345785.32</v>
      </c>
    </row>
    <row r="40" spans="2:13" ht="26.25" customHeight="1" x14ac:dyDescent="0.3">
      <c r="K4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40" s="1">
        <f>M39+Table118192023103031323538394041[[#This Row],[اجمالي الفاتوره]]-Table118192023103031323538394041[[#This Row],[الدفعات]]</f>
        <v>345785.32</v>
      </c>
    </row>
    <row r="41" spans="2:13" ht="26.25" customHeight="1" x14ac:dyDescent="0.3">
      <c r="K4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41" s="1">
        <f>M40+Table118192023103031323538394041[[#This Row],[اجمالي الفاتوره]]-Table118192023103031323538394041[[#This Row],[الدفعات]]</f>
        <v>345785.32</v>
      </c>
    </row>
    <row r="42" spans="2:13" ht="26.25" customHeight="1" x14ac:dyDescent="0.3">
      <c r="K4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42" s="1">
        <f>M41+Table118192023103031323538394041[[#This Row],[اجمالي الفاتوره]]-Table118192023103031323538394041[[#This Row],[الدفعات]]</f>
        <v>345785.32</v>
      </c>
    </row>
    <row r="43" spans="2:13" ht="26.25" customHeight="1" x14ac:dyDescent="0.3">
      <c r="K4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43" s="1">
        <f>M42+Table118192023103031323538394041[[#This Row],[اجمالي الفاتوره]]-Table118192023103031323538394041[[#This Row],[الدفعات]]</f>
        <v>345785.32</v>
      </c>
    </row>
    <row r="44" spans="2:13" ht="26.25" customHeight="1" x14ac:dyDescent="0.3">
      <c r="K4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44" s="1">
        <f>M43+Table118192023103031323538394041[[#This Row],[اجمالي الفاتوره]]-Table118192023103031323538394041[[#This Row],[الدفعات]]</f>
        <v>345785.32</v>
      </c>
    </row>
    <row r="45" spans="2:13" ht="26.25" customHeight="1" x14ac:dyDescent="0.3">
      <c r="K4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45" s="1">
        <f>M44+Table118192023103031323538394041[[#This Row],[اجمالي الفاتوره]]-Table118192023103031323538394041[[#This Row],[الدفعات]]</f>
        <v>345785.32</v>
      </c>
    </row>
    <row r="46" spans="2:13" ht="26.25" customHeight="1" x14ac:dyDescent="0.3">
      <c r="K4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46" s="1">
        <f>M45+Table118192023103031323538394041[[#This Row],[اجمالي الفاتوره]]-Table118192023103031323538394041[[#This Row],[الدفعات]]</f>
        <v>345785.32</v>
      </c>
    </row>
    <row r="47" spans="2:13" ht="26.25" customHeight="1" x14ac:dyDescent="0.3">
      <c r="K4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47" s="1">
        <f>M46+Table118192023103031323538394041[[#This Row],[اجمالي الفاتوره]]-Table118192023103031323538394041[[#This Row],[الدفعات]]</f>
        <v>345785.32</v>
      </c>
    </row>
    <row r="48" spans="2:13" ht="26.25" customHeight="1" x14ac:dyDescent="0.3">
      <c r="K4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48" s="1">
        <f>M47+Table118192023103031323538394041[[#This Row],[اجمالي الفاتوره]]-Table118192023103031323538394041[[#This Row],[الدفعات]]</f>
        <v>345785.32</v>
      </c>
    </row>
    <row r="49" spans="11:13" ht="26.25" customHeight="1" x14ac:dyDescent="0.3">
      <c r="K4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49" s="1">
        <f>M48+Table118192023103031323538394041[[#This Row],[اجمالي الفاتوره]]-Table118192023103031323538394041[[#This Row],[الدفعات]]</f>
        <v>345785.32</v>
      </c>
    </row>
    <row r="50" spans="11:13" ht="26.25" customHeight="1" x14ac:dyDescent="0.3">
      <c r="K5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50" s="1">
        <f>M49+Table118192023103031323538394041[[#This Row],[اجمالي الفاتوره]]-Table118192023103031323538394041[[#This Row],[الدفعات]]</f>
        <v>345785.32</v>
      </c>
    </row>
    <row r="51" spans="11:13" ht="26.25" customHeight="1" x14ac:dyDescent="0.3">
      <c r="K5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51" s="1">
        <f>M50+Table118192023103031323538394041[[#This Row],[اجمالي الفاتوره]]-Table118192023103031323538394041[[#This Row],[الدفعات]]</f>
        <v>345785.32</v>
      </c>
    </row>
    <row r="52" spans="11:13" ht="26.25" customHeight="1" x14ac:dyDescent="0.3">
      <c r="K5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52" s="1">
        <f>M51+Table118192023103031323538394041[[#This Row],[اجمالي الفاتوره]]-Table118192023103031323538394041[[#This Row],[الدفعات]]</f>
        <v>345785.32</v>
      </c>
    </row>
    <row r="53" spans="11:13" ht="26.25" customHeight="1" x14ac:dyDescent="0.3">
      <c r="K5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53" s="1">
        <f>M52+Table118192023103031323538394041[[#This Row],[اجمالي الفاتوره]]-Table118192023103031323538394041[[#This Row],[الدفعات]]</f>
        <v>345785.32</v>
      </c>
    </row>
    <row r="54" spans="11:13" ht="26.25" customHeight="1" x14ac:dyDescent="0.3">
      <c r="K5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54" s="1">
        <f>M53+Table118192023103031323538394041[[#This Row],[اجمالي الفاتوره]]-Table118192023103031323538394041[[#This Row],[الدفعات]]</f>
        <v>345785.32</v>
      </c>
    </row>
    <row r="55" spans="11:13" ht="26.25" customHeight="1" x14ac:dyDescent="0.3">
      <c r="K5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55" s="1">
        <f>M54+Table118192023103031323538394041[[#This Row],[اجمالي الفاتوره]]-Table118192023103031323538394041[[#This Row],[الدفعات]]</f>
        <v>345785.32</v>
      </c>
    </row>
    <row r="56" spans="11:13" ht="26.25" customHeight="1" x14ac:dyDescent="0.3">
      <c r="K5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56" s="1">
        <f>M55+Table118192023103031323538394041[[#This Row],[اجمالي الفاتوره]]-Table118192023103031323538394041[[#This Row],[الدفعات]]</f>
        <v>345785.32</v>
      </c>
    </row>
    <row r="57" spans="11:13" ht="26.25" customHeight="1" x14ac:dyDescent="0.3">
      <c r="K5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57" s="1">
        <f>M56+Table118192023103031323538394041[[#This Row],[اجمالي الفاتوره]]-Table118192023103031323538394041[[#This Row],[الدفعات]]</f>
        <v>345785.32</v>
      </c>
    </row>
    <row r="58" spans="11:13" ht="26.25" customHeight="1" x14ac:dyDescent="0.3">
      <c r="K5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58" s="1">
        <f>M57+Table118192023103031323538394041[[#This Row],[اجمالي الفاتوره]]-Table118192023103031323538394041[[#This Row],[الدفعات]]</f>
        <v>345785.32</v>
      </c>
    </row>
    <row r="59" spans="11:13" ht="26.25" customHeight="1" x14ac:dyDescent="0.3">
      <c r="K5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59" s="1">
        <f>M58+Table118192023103031323538394041[[#This Row],[اجمالي الفاتوره]]-Table118192023103031323538394041[[#This Row],[الدفعات]]</f>
        <v>345785.32</v>
      </c>
    </row>
    <row r="60" spans="11:13" ht="26.25" customHeight="1" x14ac:dyDescent="0.3">
      <c r="K6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60" s="1">
        <f>M59+Table118192023103031323538394041[[#This Row],[اجمالي الفاتوره]]-Table118192023103031323538394041[[#This Row],[الدفعات]]</f>
        <v>345785.32</v>
      </c>
    </row>
    <row r="61" spans="11:13" ht="26.25" customHeight="1" x14ac:dyDescent="0.3">
      <c r="K6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61" s="1">
        <f>M60+Table118192023103031323538394041[[#This Row],[اجمالي الفاتوره]]-Table118192023103031323538394041[[#This Row],[الدفعات]]</f>
        <v>345785.32</v>
      </c>
    </row>
    <row r="62" spans="11:13" ht="26.25" customHeight="1" x14ac:dyDescent="0.3">
      <c r="K6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62" s="1">
        <f>M61+Table118192023103031323538394041[[#This Row],[اجمالي الفاتوره]]-Table118192023103031323538394041[[#This Row],[الدفعات]]</f>
        <v>345785.32</v>
      </c>
    </row>
    <row r="63" spans="11:13" ht="26.25" customHeight="1" x14ac:dyDescent="0.3">
      <c r="K6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63" s="1">
        <f>M62+Table118192023103031323538394041[[#This Row],[اجمالي الفاتوره]]-Table118192023103031323538394041[[#This Row],[الدفعات]]</f>
        <v>345785.32</v>
      </c>
    </row>
    <row r="64" spans="11:13" ht="26.25" customHeight="1" x14ac:dyDescent="0.3">
      <c r="K6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64" s="1">
        <f>M63+Table118192023103031323538394041[[#This Row],[اجمالي الفاتوره]]-Table118192023103031323538394041[[#This Row],[الدفعات]]</f>
        <v>345785.32</v>
      </c>
    </row>
    <row r="65" spans="11:13" ht="26.25" customHeight="1" x14ac:dyDescent="0.3">
      <c r="K6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65" s="1">
        <f>M64+Table118192023103031323538394041[[#This Row],[اجمالي الفاتوره]]-Table118192023103031323538394041[[#This Row],[الدفعات]]</f>
        <v>345785.32</v>
      </c>
    </row>
    <row r="66" spans="11:13" ht="26.25" customHeight="1" x14ac:dyDescent="0.3">
      <c r="K6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66" s="1">
        <f>M65+Table118192023103031323538394041[[#This Row],[اجمالي الفاتوره]]-Table118192023103031323538394041[[#This Row],[الدفعات]]</f>
        <v>345785.32</v>
      </c>
    </row>
    <row r="67" spans="11:13" ht="26.25" customHeight="1" x14ac:dyDescent="0.3">
      <c r="K6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67" s="1">
        <f>M66+Table118192023103031323538394041[[#This Row],[اجمالي الفاتوره]]-Table118192023103031323538394041[[#This Row],[الدفعات]]</f>
        <v>345785.32</v>
      </c>
    </row>
    <row r="68" spans="11:13" ht="26.25" customHeight="1" x14ac:dyDescent="0.3">
      <c r="K6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68" s="1">
        <f>M67+Table118192023103031323538394041[[#This Row],[اجمالي الفاتوره]]-Table118192023103031323538394041[[#This Row],[الدفعات]]</f>
        <v>345785.32</v>
      </c>
    </row>
    <row r="69" spans="11:13" ht="26.25" customHeight="1" x14ac:dyDescent="0.3">
      <c r="K6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69" s="1">
        <f>M68+Table118192023103031323538394041[[#This Row],[اجمالي الفاتوره]]-Table118192023103031323538394041[[#This Row],[الدفعات]]</f>
        <v>345785.32</v>
      </c>
    </row>
    <row r="70" spans="11:13" ht="26.25" customHeight="1" x14ac:dyDescent="0.3">
      <c r="K7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70" s="1">
        <f>M69+Table118192023103031323538394041[[#This Row],[اجمالي الفاتوره]]-Table118192023103031323538394041[[#This Row],[الدفعات]]</f>
        <v>345785.32</v>
      </c>
    </row>
    <row r="71" spans="11:13" ht="26.25" customHeight="1" x14ac:dyDescent="0.3">
      <c r="K7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71" s="1">
        <f>M70+Table118192023103031323538394041[[#This Row],[اجمالي الفاتوره]]-Table118192023103031323538394041[[#This Row],[الدفعات]]</f>
        <v>345785.32</v>
      </c>
    </row>
    <row r="72" spans="11:13" ht="26.25" customHeight="1" x14ac:dyDescent="0.3">
      <c r="K7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72" s="1">
        <f>M71+Table118192023103031323538394041[[#This Row],[اجمالي الفاتوره]]-Table118192023103031323538394041[[#This Row],[الدفعات]]</f>
        <v>345785.32</v>
      </c>
    </row>
    <row r="73" spans="11:13" ht="26.25" customHeight="1" x14ac:dyDescent="0.3">
      <c r="K7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73" s="1">
        <f>M72+Table118192023103031323538394041[[#This Row],[اجمالي الفاتوره]]-Table118192023103031323538394041[[#This Row],[الدفعات]]</f>
        <v>345785.32</v>
      </c>
    </row>
    <row r="74" spans="11:13" ht="26.25" customHeight="1" x14ac:dyDescent="0.3">
      <c r="K7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74" s="1">
        <f>M73+Table118192023103031323538394041[[#This Row],[اجمالي الفاتوره]]-Table118192023103031323538394041[[#This Row],[الدفعات]]</f>
        <v>345785.32</v>
      </c>
    </row>
    <row r="75" spans="11:13" ht="26.25" customHeight="1" x14ac:dyDescent="0.3">
      <c r="K7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75" s="1">
        <f>M74+Table118192023103031323538394041[[#This Row],[اجمالي الفاتوره]]-Table118192023103031323538394041[[#This Row],[الدفعات]]</f>
        <v>345785.32</v>
      </c>
    </row>
    <row r="76" spans="11:13" ht="26.25" customHeight="1" x14ac:dyDescent="0.3">
      <c r="K7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76" s="1">
        <f>M75+Table118192023103031323538394041[[#This Row],[اجمالي الفاتوره]]-Table118192023103031323538394041[[#This Row],[الدفعات]]</f>
        <v>345785.32</v>
      </c>
    </row>
    <row r="77" spans="11:13" ht="26.25" customHeight="1" x14ac:dyDescent="0.3">
      <c r="K7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77" s="1">
        <f>M76+Table118192023103031323538394041[[#This Row],[اجمالي الفاتوره]]-Table118192023103031323538394041[[#This Row],[الدفعات]]</f>
        <v>345785.32</v>
      </c>
    </row>
    <row r="78" spans="11:13" ht="26.25" customHeight="1" x14ac:dyDescent="0.3">
      <c r="K7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78" s="1">
        <f>M77+Table118192023103031323538394041[[#This Row],[اجمالي الفاتوره]]-Table118192023103031323538394041[[#This Row],[الدفعات]]</f>
        <v>345785.32</v>
      </c>
    </row>
    <row r="79" spans="11:13" ht="26.25" customHeight="1" x14ac:dyDescent="0.3">
      <c r="K7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79" s="1">
        <f>M78+Table118192023103031323538394041[[#This Row],[اجمالي الفاتوره]]-Table118192023103031323538394041[[#This Row],[الدفعات]]</f>
        <v>345785.32</v>
      </c>
    </row>
    <row r="80" spans="11:13" ht="26.25" customHeight="1" x14ac:dyDescent="0.3">
      <c r="K8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80" s="1">
        <f>M79+Table118192023103031323538394041[[#This Row],[اجمالي الفاتوره]]-Table118192023103031323538394041[[#This Row],[الدفعات]]</f>
        <v>345785.32</v>
      </c>
    </row>
    <row r="81" spans="11:13" ht="26.25" customHeight="1" x14ac:dyDescent="0.3">
      <c r="K8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81" s="1">
        <f>M80+Table118192023103031323538394041[[#This Row],[اجمالي الفاتوره]]-Table118192023103031323538394041[[#This Row],[الدفعات]]</f>
        <v>345785.32</v>
      </c>
    </row>
    <row r="82" spans="11:13" ht="26.25" customHeight="1" x14ac:dyDescent="0.3">
      <c r="K8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82" s="1">
        <f>M81+Table118192023103031323538394041[[#This Row],[اجمالي الفاتوره]]-Table118192023103031323538394041[[#This Row],[الدفعات]]</f>
        <v>345785.32</v>
      </c>
    </row>
    <row r="83" spans="11:13" ht="26.25" customHeight="1" x14ac:dyDescent="0.3">
      <c r="K8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83" s="1">
        <f>M82+Table118192023103031323538394041[[#This Row],[اجمالي الفاتوره]]-Table118192023103031323538394041[[#This Row],[الدفعات]]</f>
        <v>345785.32</v>
      </c>
    </row>
    <row r="84" spans="11:13" ht="26.25" customHeight="1" x14ac:dyDescent="0.3">
      <c r="K8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84" s="1">
        <f>M83+Table118192023103031323538394041[[#This Row],[اجمالي الفاتوره]]-Table118192023103031323538394041[[#This Row],[الدفعات]]</f>
        <v>345785.32</v>
      </c>
    </row>
    <row r="85" spans="11:13" ht="26.25" customHeight="1" x14ac:dyDescent="0.3">
      <c r="K8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85" s="1">
        <f>M84+Table118192023103031323538394041[[#This Row],[اجمالي الفاتوره]]-Table118192023103031323538394041[[#This Row],[الدفعات]]</f>
        <v>345785.32</v>
      </c>
    </row>
    <row r="86" spans="11:13" ht="26.25" customHeight="1" x14ac:dyDescent="0.3">
      <c r="K8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86" s="1">
        <f>M85+Table118192023103031323538394041[[#This Row],[اجمالي الفاتوره]]-Table118192023103031323538394041[[#This Row],[الدفعات]]</f>
        <v>345785.32</v>
      </c>
    </row>
    <row r="87" spans="11:13" ht="26.25" customHeight="1" x14ac:dyDescent="0.3">
      <c r="K8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87" s="1">
        <f>M86+Table118192023103031323538394041[[#This Row],[اجمالي الفاتوره]]-Table118192023103031323538394041[[#This Row],[الدفعات]]</f>
        <v>345785.32</v>
      </c>
    </row>
    <row r="88" spans="11:13" ht="26.25" customHeight="1" x14ac:dyDescent="0.3">
      <c r="K8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88" s="1">
        <f>M87+Table118192023103031323538394041[[#This Row],[اجمالي الفاتوره]]-Table118192023103031323538394041[[#This Row],[الدفعات]]</f>
        <v>345785.32</v>
      </c>
    </row>
    <row r="89" spans="11:13" ht="26.25" customHeight="1" x14ac:dyDescent="0.3">
      <c r="K8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89" s="1">
        <f>M88+Table118192023103031323538394041[[#This Row],[اجمالي الفاتوره]]-Table118192023103031323538394041[[#This Row],[الدفعات]]</f>
        <v>345785.32</v>
      </c>
    </row>
    <row r="90" spans="11:13" ht="26.25" customHeight="1" x14ac:dyDescent="0.3">
      <c r="K9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90" s="1">
        <f>M89+Table118192023103031323538394041[[#This Row],[اجمالي الفاتوره]]-Table118192023103031323538394041[[#This Row],[الدفعات]]</f>
        <v>345785.32</v>
      </c>
    </row>
    <row r="91" spans="11:13" ht="26.25" customHeight="1" x14ac:dyDescent="0.3">
      <c r="K9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91" s="1">
        <f>M90+Table118192023103031323538394041[[#This Row],[اجمالي الفاتوره]]-Table118192023103031323538394041[[#This Row],[الدفعات]]</f>
        <v>345785.32</v>
      </c>
    </row>
    <row r="92" spans="11:13" ht="26.25" customHeight="1" x14ac:dyDescent="0.3">
      <c r="K9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92" s="1">
        <f>M91+Table118192023103031323538394041[[#This Row],[اجمالي الفاتوره]]-Table118192023103031323538394041[[#This Row],[الدفعات]]</f>
        <v>345785.32</v>
      </c>
    </row>
    <row r="93" spans="11:13" ht="26.25" customHeight="1" x14ac:dyDescent="0.3">
      <c r="K9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93" s="1">
        <f>M92+Table118192023103031323538394041[[#This Row],[اجمالي الفاتوره]]-Table118192023103031323538394041[[#This Row],[الدفعات]]</f>
        <v>345785.32</v>
      </c>
    </row>
    <row r="94" spans="11:13" ht="26.25" customHeight="1" x14ac:dyDescent="0.3">
      <c r="K9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94" s="1">
        <f>M93+Table118192023103031323538394041[[#This Row],[اجمالي الفاتوره]]-Table118192023103031323538394041[[#This Row],[الدفعات]]</f>
        <v>345785.32</v>
      </c>
    </row>
    <row r="95" spans="11:13" ht="26.25" customHeight="1" x14ac:dyDescent="0.3">
      <c r="K9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95" s="1">
        <f>M94+Table118192023103031323538394041[[#This Row],[اجمالي الفاتوره]]-Table118192023103031323538394041[[#This Row],[الدفعات]]</f>
        <v>345785.32</v>
      </c>
    </row>
    <row r="96" spans="11:13" ht="26.25" customHeight="1" x14ac:dyDescent="0.3">
      <c r="K9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96" s="1">
        <f>M95+Table118192023103031323538394041[[#This Row],[اجمالي الفاتوره]]-Table118192023103031323538394041[[#This Row],[الدفعات]]</f>
        <v>345785.32</v>
      </c>
    </row>
    <row r="97" spans="11:13" ht="26.25" customHeight="1" x14ac:dyDescent="0.3">
      <c r="K9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97" s="1">
        <f>M96+Table118192023103031323538394041[[#This Row],[اجمالي الفاتوره]]-Table118192023103031323538394041[[#This Row],[الدفعات]]</f>
        <v>345785.32</v>
      </c>
    </row>
    <row r="98" spans="11:13" ht="26.25" customHeight="1" x14ac:dyDescent="0.3">
      <c r="K9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98" s="1">
        <f>M97+Table118192023103031323538394041[[#This Row],[اجمالي الفاتوره]]-Table118192023103031323538394041[[#This Row],[الدفعات]]</f>
        <v>345785.32</v>
      </c>
    </row>
    <row r="99" spans="11:13" ht="26.25" customHeight="1" x14ac:dyDescent="0.3">
      <c r="K9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99" s="1">
        <f>M98+Table118192023103031323538394041[[#This Row],[اجمالي الفاتوره]]-Table118192023103031323538394041[[#This Row],[الدفعات]]</f>
        <v>345785.32</v>
      </c>
    </row>
    <row r="100" spans="11:13" ht="26.25" customHeight="1" x14ac:dyDescent="0.3">
      <c r="K10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00" s="1">
        <f>M99+Table118192023103031323538394041[[#This Row],[اجمالي الفاتوره]]-Table118192023103031323538394041[[#This Row],[الدفعات]]</f>
        <v>345785.32</v>
      </c>
    </row>
    <row r="101" spans="11:13" ht="26.25" customHeight="1" x14ac:dyDescent="0.3">
      <c r="K10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01" s="1">
        <f>M100+Table118192023103031323538394041[[#This Row],[اجمالي الفاتوره]]-Table118192023103031323538394041[[#This Row],[الدفعات]]</f>
        <v>345785.32</v>
      </c>
    </row>
    <row r="102" spans="11:13" ht="26.25" customHeight="1" x14ac:dyDescent="0.3">
      <c r="K10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02" s="1">
        <f>M101+Table118192023103031323538394041[[#This Row],[اجمالي الفاتوره]]-Table118192023103031323538394041[[#This Row],[الدفعات]]</f>
        <v>345785.32</v>
      </c>
    </row>
    <row r="103" spans="11:13" ht="26.25" customHeight="1" x14ac:dyDescent="0.3">
      <c r="K10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03" s="1">
        <f>M102+Table118192023103031323538394041[[#This Row],[اجمالي الفاتوره]]-Table118192023103031323538394041[[#This Row],[الدفعات]]</f>
        <v>345785.32</v>
      </c>
    </row>
    <row r="104" spans="11:13" ht="26.25" customHeight="1" x14ac:dyDescent="0.3">
      <c r="K10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04" s="1">
        <f>M103+Table118192023103031323538394041[[#This Row],[اجمالي الفاتوره]]-Table118192023103031323538394041[[#This Row],[الدفعات]]</f>
        <v>345785.32</v>
      </c>
    </row>
    <row r="105" spans="11:13" ht="26.25" customHeight="1" x14ac:dyDescent="0.3">
      <c r="K10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05" s="1">
        <f>M104+Table118192023103031323538394041[[#This Row],[اجمالي الفاتوره]]-Table118192023103031323538394041[[#This Row],[الدفعات]]</f>
        <v>345785.32</v>
      </c>
    </row>
    <row r="106" spans="11:13" ht="26.25" customHeight="1" x14ac:dyDescent="0.3">
      <c r="K10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06" s="1">
        <f>M105+Table118192023103031323538394041[[#This Row],[اجمالي الفاتوره]]-Table118192023103031323538394041[[#This Row],[الدفعات]]</f>
        <v>345785.32</v>
      </c>
    </row>
    <row r="107" spans="11:13" ht="26.25" customHeight="1" x14ac:dyDescent="0.3">
      <c r="K10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07" s="1">
        <f>M106+Table118192023103031323538394041[[#This Row],[اجمالي الفاتوره]]-Table118192023103031323538394041[[#This Row],[الدفعات]]</f>
        <v>345785.32</v>
      </c>
    </row>
    <row r="108" spans="11:13" ht="26.25" customHeight="1" x14ac:dyDescent="0.3">
      <c r="K10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08" s="1">
        <f>M107+Table118192023103031323538394041[[#This Row],[اجمالي الفاتوره]]-Table118192023103031323538394041[[#This Row],[الدفعات]]</f>
        <v>345785.32</v>
      </c>
    </row>
    <row r="109" spans="11:13" ht="26.25" customHeight="1" x14ac:dyDescent="0.3">
      <c r="K10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09" s="1">
        <f>M108+Table118192023103031323538394041[[#This Row],[اجمالي الفاتوره]]-Table118192023103031323538394041[[#This Row],[الدفعات]]</f>
        <v>345785.32</v>
      </c>
    </row>
    <row r="110" spans="11:13" ht="26.25" customHeight="1" x14ac:dyDescent="0.3">
      <c r="K11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10" s="1">
        <f>M109+Table118192023103031323538394041[[#This Row],[اجمالي الفاتوره]]-Table118192023103031323538394041[[#This Row],[الدفعات]]</f>
        <v>345785.32</v>
      </c>
    </row>
    <row r="111" spans="11:13" ht="26.25" customHeight="1" x14ac:dyDescent="0.3">
      <c r="K11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11" s="1">
        <f>M110+Table118192023103031323538394041[[#This Row],[اجمالي الفاتوره]]-Table118192023103031323538394041[[#This Row],[الدفعات]]</f>
        <v>345785.32</v>
      </c>
    </row>
    <row r="112" spans="11:13" ht="26.25" customHeight="1" x14ac:dyDescent="0.3">
      <c r="K11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12" s="1">
        <f>M111+Table118192023103031323538394041[[#This Row],[اجمالي الفاتوره]]-Table118192023103031323538394041[[#This Row],[الدفعات]]</f>
        <v>345785.32</v>
      </c>
    </row>
    <row r="113" spans="11:13" ht="26.25" customHeight="1" x14ac:dyDescent="0.3">
      <c r="K11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13" s="1">
        <f>M112+Table118192023103031323538394041[[#This Row],[اجمالي الفاتوره]]-Table118192023103031323538394041[[#This Row],[الدفعات]]</f>
        <v>345785.32</v>
      </c>
    </row>
    <row r="114" spans="11:13" ht="26.25" customHeight="1" x14ac:dyDescent="0.3">
      <c r="K11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14" s="1">
        <f>M113+Table118192023103031323538394041[[#This Row],[اجمالي الفاتوره]]-Table118192023103031323538394041[[#This Row],[الدفعات]]</f>
        <v>345785.32</v>
      </c>
    </row>
    <row r="115" spans="11:13" ht="26.25" customHeight="1" x14ac:dyDescent="0.3">
      <c r="K11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15" s="1">
        <f>M114+Table118192023103031323538394041[[#This Row],[اجمالي الفاتوره]]-Table118192023103031323538394041[[#This Row],[الدفعات]]</f>
        <v>345785.32</v>
      </c>
    </row>
    <row r="116" spans="11:13" ht="26.25" customHeight="1" x14ac:dyDescent="0.3">
      <c r="K11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16" s="1">
        <f>M115+Table118192023103031323538394041[[#This Row],[اجمالي الفاتوره]]-Table118192023103031323538394041[[#This Row],[الدفعات]]</f>
        <v>345785.32</v>
      </c>
    </row>
    <row r="117" spans="11:13" ht="26.25" customHeight="1" x14ac:dyDescent="0.3">
      <c r="K11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17" s="1">
        <f>M116+Table118192023103031323538394041[[#This Row],[اجمالي الفاتوره]]-Table118192023103031323538394041[[#This Row],[الدفعات]]</f>
        <v>345785.32</v>
      </c>
    </row>
    <row r="118" spans="11:13" ht="26.25" customHeight="1" x14ac:dyDescent="0.3">
      <c r="K11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18" s="1">
        <f>M117+Table118192023103031323538394041[[#This Row],[اجمالي الفاتوره]]-Table118192023103031323538394041[[#This Row],[الدفعات]]</f>
        <v>345785.32</v>
      </c>
    </row>
    <row r="119" spans="11:13" ht="26.25" customHeight="1" x14ac:dyDescent="0.3">
      <c r="K11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19" s="1">
        <f>M118+Table118192023103031323538394041[[#This Row],[اجمالي الفاتوره]]-Table118192023103031323538394041[[#This Row],[الدفعات]]</f>
        <v>345785.32</v>
      </c>
    </row>
    <row r="120" spans="11:13" ht="26.25" customHeight="1" x14ac:dyDescent="0.3">
      <c r="K12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20" s="1">
        <f>M119+Table118192023103031323538394041[[#This Row],[اجمالي الفاتوره]]-Table118192023103031323538394041[[#This Row],[الدفعات]]</f>
        <v>345785.32</v>
      </c>
    </row>
    <row r="121" spans="11:13" ht="26.25" customHeight="1" x14ac:dyDescent="0.3">
      <c r="K12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21" s="1">
        <f>M120+Table118192023103031323538394041[[#This Row],[اجمالي الفاتوره]]-Table118192023103031323538394041[[#This Row],[الدفعات]]</f>
        <v>345785.32</v>
      </c>
    </row>
    <row r="122" spans="11:13" ht="26.25" customHeight="1" x14ac:dyDescent="0.3">
      <c r="K12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22" s="1">
        <f>M121+Table118192023103031323538394041[[#This Row],[اجمالي الفاتوره]]-Table118192023103031323538394041[[#This Row],[الدفعات]]</f>
        <v>345785.32</v>
      </c>
    </row>
    <row r="123" spans="11:13" ht="26.25" customHeight="1" x14ac:dyDescent="0.3">
      <c r="K12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23" s="1">
        <f>M122+Table118192023103031323538394041[[#This Row],[اجمالي الفاتوره]]-Table118192023103031323538394041[[#This Row],[الدفعات]]</f>
        <v>345785.32</v>
      </c>
    </row>
    <row r="124" spans="11:13" ht="26.25" customHeight="1" x14ac:dyDescent="0.3">
      <c r="K12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24" s="1">
        <f>M123+Table118192023103031323538394041[[#This Row],[اجمالي الفاتوره]]-Table118192023103031323538394041[[#This Row],[الدفعات]]</f>
        <v>345785.32</v>
      </c>
    </row>
    <row r="125" spans="11:13" ht="26.25" customHeight="1" x14ac:dyDescent="0.3">
      <c r="K12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25" s="1">
        <f>M124+Table118192023103031323538394041[[#This Row],[اجمالي الفاتوره]]-Table118192023103031323538394041[[#This Row],[الدفعات]]</f>
        <v>345785.32</v>
      </c>
    </row>
    <row r="126" spans="11:13" ht="26.25" customHeight="1" x14ac:dyDescent="0.3">
      <c r="K12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26" s="1">
        <f>M125+Table118192023103031323538394041[[#This Row],[اجمالي الفاتوره]]-Table118192023103031323538394041[[#This Row],[الدفعات]]</f>
        <v>345785.32</v>
      </c>
    </row>
    <row r="127" spans="11:13" ht="26.25" customHeight="1" x14ac:dyDescent="0.3">
      <c r="K12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27" s="1">
        <f>M126+Table118192023103031323538394041[[#This Row],[اجمالي الفاتوره]]-Table118192023103031323538394041[[#This Row],[الدفعات]]</f>
        <v>345785.32</v>
      </c>
    </row>
    <row r="128" spans="11:13" ht="26.25" customHeight="1" x14ac:dyDescent="0.3">
      <c r="K12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28" s="1">
        <f>M127+Table118192023103031323538394041[[#This Row],[اجمالي الفاتوره]]-Table118192023103031323538394041[[#This Row],[الدفعات]]</f>
        <v>345785.32</v>
      </c>
    </row>
    <row r="129" spans="11:13" ht="26.25" customHeight="1" x14ac:dyDescent="0.3">
      <c r="K12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29" s="1">
        <f>M128+Table118192023103031323538394041[[#This Row],[اجمالي الفاتوره]]-Table118192023103031323538394041[[#This Row],[الدفعات]]</f>
        <v>345785.32</v>
      </c>
    </row>
    <row r="130" spans="11:13" ht="26.25" customHeight="1" x14ac:dyDescent="0.3">
      <c r="K13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30" s="1">
        <f>M129+Table118192023103031323538394041[[#This Row],[اجمالي الفاتوره]]-Table118192023103031323538394041[[#This Row],[الدفعات]]</f>
        <v>345785.32</v>
      </c>
    </row>
    <row r="131" spans="11:13" ht="26.25" customHeight="1" x14ac:dyDescent="0.3">
      <c r="K13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31" s="1">
        <f>M130+Table118192023103031323538394041[[#This Row],[اجمالي الفاتوره]]-Table118192023103031323538394041[[#This Row],[الدفعات]]</f>
        <v>345785.32</v>
      </c>
    </row>
    <row r="132" spans="11:13" ht="26.25" customHeight="1" x14ac:dyDescent="0.3">
      <c r="K13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32" s="1">
        <f>M131+Table118192023103031323538394041[[#This Row],[اجمالي الفاتوره]]-Table118192023103031323538394041[[#This Row],[الدفعات]]</f>
        <v>345785.32</v>
      </c>
    </row>
    <row r="133" spans="11:13" ht="26.25" customHeight="1" x14ac:dyDescent="0.3">
      <c r="K13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33" s="1">
        <f>M132+Table118192023103031323538394041[[#This Row],[اجمالي الفاتوره]]-Table118192023103031323538394041[[#This Row],[الدفعات]]</f>
        <v>345785.32</v>
      </c>
    </row>
    <row r="134" spans="11:13" ht="26.25" customHeight="1" x14ac:dyDescent="0.3">
      <c r="K13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34" s="1">
        <f>M133+Table118192023103031323538394041[[#This Row],[اجمالي الفاتوره]]-Table118192023103031323538394041[[#This Row],[الدفعات]]</f>
        <v>345785.32</v>
      </c>
    </row>
    <row r="135" spans="11:13" ht="26.25" customHeight="1" x14ac:dyDescent="0.3">
      <c r="K13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35" s="1">
        <f>M134+Table118192023103031323538394041[[#This Row],[اجمالي الفاتوره]]-Table118192023103031323538394041[[#This Row],[الدفعات]]</f>
        <v>345785.32</v>
      </c>
    </row>
    <row r="136" spans="11:13" ht="26.25" customHeight="1" x14ac:dyDescent="0.3">
      <c r="K13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36" s="1">
        <f>M135+Table118192023103031323538394041[[#This Row],[اجمالي الفاتوره]]-Table118192023103031323538394041[[#This Row],[الدفعات]]</f>
        <v>345785.32</v>
      </c>
    </row>
    <row r="137" spans="11:13" ht="26.25" customHeight="1" x14ac:dyDescent="0.3">
      <c r="K13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37" s="1">
        <f>M136+Table118192023103031323538394041[[#This Row],[اجمالي الفاتوره]]-Table118192023103031323538394041[[#This Row],[الدفعات]]</f>
        <v>345785.32</v>
      </c>
    </row>
    <row r="138" spans="11:13" ht="26.25" customHeight="1" x14ac:dyDescent="0.3">
      <c r="K13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38" s="1">
        <f>M137+Table118192023103031323538394041[[#This Row],[اجمالي الفاتوره]]-Table118192023103031323538394041[[#This Row],[الدفعات]]</f>
        <v>345785.32</v>
      </c>
    </row>
    <row r="139" spans="11:13" ht="26.25" customHeight="1" x14ac:dyDescent="0.3">
      <c r="K13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39" s="1">
        <f>M138+Table118192023103031323538394041[[#This Row],[اجمالي الفاتوره]]-Table118192023103031323538394041[[#This Row],[الدفعات]]</f>
        <v>345785.32</v>
      </c>
    </row>
    <row r="140" spans="11:13" ht="26.25" customHeight="1" x14ac:dyDescent="0.3">
      <c r="K14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40" s="1">
        <f>M139+Table118192023103031323538394041[[#This Row],[اجمالي الفاتوره]]-Table118192023103031323538394041[[#This Row],[الدفعات]]</f>
        <v>345785.32</v>
      </c>
    </row>
    <row r="141" spans="11:13" ht="26.25" customHeight="1" x14ac:dyDescent="0.3">
      <c r="K14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41" s="1">
        <f>M140+Table118192023103031323538394041[[#This Row],[اجمالي الفاتوره]]-Table118192023103031323538394041[[#This Row],[الدفعات]]</f>
        <v>345785.32</v>
      </c>
    </row>
    <row r="142" spans="11:13" ht="26.25" customHeight="1" x14ac:dyDescent="0.3">
      <c r="K14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42" s="1">
        <f>M141+Table118192023103031323538394041[[#This Row],[اجمالي الفاتوره]]-Table118192023103031323538394041[[#This Row],[الدفعات]]</f>
        <v>345785.32</v>
      </c>
    </row>
    <row r="143" spans="11:13" ht="26.25" customHeight="1" x14ac:dyDescent="0.3">
      <c r="K14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43" s="1">
        <f>M142+Table118192023103031323538394041[[#This Row],[اجمالي الفاتوره]]-Table118192023103031323538394041[[#This Row],[الدفعات]]</f>
        <v>345785.32</v>
      </c>
    </row>
    <row r="144" spans="11:13" ht="26.25" customHeight="1" x14ac:dyDescent="0.3">
      <c r="K14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44" s="1">
        <f>M143+Table118192023103031323538394041[[#This Row],[اجمالي الفاتوره]]-Table118192023103031323538394041[[#This Row],[الدفعات]]</f>
        <v>345785.32</v>
      </c>
    </row>
    <row r="145" spans="11:13" ht="26.25" customHeight="1" x14ac:dyDescent="0.3">
      <c r="K14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45" s="1">
        <f>M144+Table118192023103031323538394041[[#This Row],[اجمالي الفاتوره]]-Table118192023103031323538394041[[#This Row],[الدفعات]]</f>
        <v>345785.32</v>
      </c>
    </row>
    <row r="146" spans="11:13" ht="26.25" customHeight="1" x14ac:dyDescent="0.3">
      <c r="K14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46" s="1">
        <f>M145+Table118192023103031323538394041[[#This Row],[اجمالي الفاتوره]]-Table118192023103031323538394041[[#This Row],[الدفعات]]</f>
        <v>345785.32</v>
      </c>
    </row>
    <row r="147" spans="11:13" ht="26.25" customHeight="1" x14ac:dyDescent="0.3">
      <c r="K14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47" s="1">
        <f>M146+Table118192023103031323538394041[[#This Row],[اجمالي الفاتوره]]-Table118192023103031323538394041[[#This Row],[الدفعات]]</f>
        <v>345785.32</v>
      </c>
    </row>
    <row r="148" spans="11:13" ht="26.25" customHeight="1" x14ac:dyDescent="0.3">
      <c r="K14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48" s="1">
        <f>M147+Table118192023103031323538394041[[#This Row],[اجمالي الفاتوره]]-Table118192023103031323538394041[[#This Row],[الدفعات]]</f>
        <v>345785.32</v>
      </c>
    </row>
    <row r="149" spans="11:13" ht="26.25" customHeight="1" x14ac:dyDescent="0.3">
      <c r="K14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49" s="1">
        <f>M148+Table118192023103031323538394041[[#This Row],[اجمالي الفاتوره]]-Table118192023103031323538394041[[#This Row],[الدفعات]]</f>
        <v>345785.32</v>
      </c>
    </row>
    <row r="150" spans="11:13" ht="26.25" customHeight="1" x14ac:dyDescent="0.3">
      <c r="K15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50" s="1">
        <f>M149+Table118192023103031323538394041[[#This Row],[اجمالي الفاتوره]]-Table118192023103031323538394041[[#This Row],[الدفعات]]</f>
        <v>345785.32</v>
      </c>
    </row>
    <row r="151" spans="11:13" ht="26.25" customHeight="1" x14ac:dyDescent="0.3">
      <c r="K15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51" s="1">
        <f>M150+Table118192023103031323538394041[[#This Row],[اجمالي الفاتوره]]-Table118192023103031323538394041[[#This Row],[الدفعات]]</f>
        <v>345785.32</v>
      </c>
    </row>
    <row r="152" spans="11:13" ht="26.25" customHeight="1" x14ac:dyDescent="0.3">
      <c r="K15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52" s="1">
        <f>M151+Table118192023103031323538394041[[#This Row],[اجمالي الفاتوره]]-Table118192023103031323538394041[[#This Row],[الدفعات]]</f>
        <v>345785.32</v>
      </c>
    </row>
    <row r="153" spans="11:13" ht="26.25" customHeight="1" x14ac:dyDescent="0.3">
      <c r="K15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53" s="1">
        <f>M152+Table118192023103031323538394041[[#This Row],[اجمالي الفاتوره]]-Table118192023103031323538394041[[#This Row],[الدفعات]]</f>
        <v>345785.32</v>
      </c>
    </row>
    <row r="154" spans="11:13" ht="26.25" customHeight="1" x14ac:dyDescent="0.3">
      <c r="K15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54" s="1">
        <f>M153+Table118192023103031323538394041[[#This Row],[اجمالي الفاتوره]]-Table118192023103031323538394041[[#This Row],[الدفعات]]</f>
        <v>345785.32</v>
      </c>
    </row>
    <row r="155" spans="11:13" ht="26.25" customHeight="1" x14ac:dyDescent="0.3">
      <c r="K15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55" s="1">
        <f>M154+Table118192023103031323538394041[[#This Row],[اجمالي الفاتوره]]-Table118192023103031323538394041[[#This Row],[الدفعات]]</f>
        <v>345785.32</v>
      </c>
    </row>
    <row r="156" spans="11:13" ht="26.25" customHeight="1" x14ac:dyDescent="0.3">
      <c r="K15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56" s="1">
        <f>M155+Table118192023103031323538394041[[#This Row],[اجمالي الفاتوره]]-Table118192023103031323538394041[[#This Row],[الدفعات]]</f>
        <v>345785.32</v>
      </c>
    </row>
    <row r="157" spans="11:13" ht="26.25" customHeight="1" x14ac:dyDescent="0.3">
      <c r="K15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57" s="1">
        <f>M156+Table118192023103031323538394041[[#This Row],[اجمالي الفاتوره]]-Table118192023103031323538394041[[#This Row],[الدفعات]]</f>
        <v>345785.32</v>
      </c>
    </row>
    <row r="158" spans="11:13" ht="26.25" customHeight="1" x14ac:dyDescent="0.3">
      <c r="K15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58" s="1">
        <f>M157+Table118192023103031323538394041[[#This Row],[اجمالي الفاتوره]]-Table118192023103031323538394041[[#This Row],[الدفعات]]</f>
        <v>345785.32</v>
      </c>
    </row>
    <row r="159" spans="11:13" ht="26.25" customHeight="1" x14ac:dyDescent="0.3">
      <c r="K15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59" s="1">
        <f>M158+Table118192023103031323538394041[[#This Row],[اجمالي الفاتوره]]-Table118192023103031323538394041[[#This Row],[الدفعات]]</f>
        <v>345785.32</v>
      </c>
    </row>
    <row r="160" spans="11:13" ht="26.25" customHeight="1" x14ac:dyDescent="0.3">
      <c r="K16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60" s="1">
        <f>M159+Table118192023103031323538394041[[#This Row],[اجمالي الفاتوره]]-Table118192023103031323538394041[[#This Row],[الدفعات]]</f>
        <v>345785.32</v>
      </c>
    </row>
    <row r="161" spans="11:13" ht="26.25" customHeight="1" x14ac:dyDescent="0.3">
      <c r="K16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61" s="1">
        <f>M160+Table118192023103031323538394041[[#This Row],[اجمالي الفاتوره]]-Table118192023103031323538394041[[#This Row],[الدفعات]]</f>
        <v>345785.32</v>
      </c>
    </row>
    <row r="162" spans="11:13" ht="26.25" customHeight="1" x14ac:dyDescent="0.3">
      <c r="K16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62" s="1">
        <f>M161+Table118192023103031323538394041[[#This Row],[اجمالي الفاتوره]]-Table118192023103031323538394041[[#This Row],[الدفعات]]</f>
        <v>345785.32</v>
      </c>
    </row>
    <row r="163" spans="11:13" ht="26.25" customHeight="1" x14ac:dyDescent="0.3">
      <c r="K16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63" s="1">
        <f>M162+Table118192023103031323538394041[[#This Row],[اجمالي الفاتوره]]-Table118192023103031323538394041[[#This Row],[الدفعات]]</f>
        <v>345785.32</v>
      </c>
    </row>
    <row r="164" spans="11:13" ht="26.25" customHeight="1" x14ac:dyDescent="0.3">
      <c r="K16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64" s="1">
        <f>M163+Table118192023103031323538394041[[#This Row],[اجمالي الفاتوره]]-Table118192023103031323538394041[[#This Row],[الدفعات]]</f>
        <v>345785.32</v>
      </c>
    </row>
    <row r="165" spans="11:13" ht="26.25" customHeight="1" x14ac:dyDescent="0.3">
      <c r="K16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65" s="1">
        <f>M164+Table118192023103031323538394041[[#This Row],[اجمالي الفاتوره]]-Table118192023103031323538394041[[#This Row],[الدفعات]]</f>
        <v>345785.32</v>
      </c>
    </row>
    <row r="166" spans="11:13" ht="26.25" customHeight="1" x14ac:dyDescent="0.3">
      <c r="K16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66" s="1">
        <f>M165+Table118192023103031323538394041[[#This Row],[اجمالي الفاتوره]]-Table118192023103031323538394041[[#This Row],[الدفعات]]</f>
        <v>345785.32</v>
      </c>
    </row>
    <row r="167" spans="11:13" ht="26.25" customHeight="1" x14ac:dyDescent="0.3">
      <c r="K16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67" s="1">
        <f>M166+Table118192023103031323538394041[[#This Row],[اجمالي الفاتوره]]-Table118192023103031323538394041[[#This Row],[الدفعات]]</f>
        <v>345785.32</v>
      </c>
    </row>
    <row r="168" spans="11:13" ht="26.25" customHeight="1" x14ac:dyDescent="0.3">
      <c r="K16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68" s="1">
        <f>M167+Table118192023103031323538394041[[#This Row],[اجمالي الفاتوره]]-Table118192023103031323538394041[[#This Row],[الدفعات]]</f>
        <v>345785.32</v>
      </c>
    </row>
    <row r="169" spans="11:13" ht="26.25" customHeight="1" x14ac:dyDescent="0.3">
      <c r="K16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69" s="1">
        <f>M168+Table118192023103031323538394041[[#This Row],[اجمالي الفاتوره]]-Table118192023103031323538394041[[#This Row],[الدفعات]]</f>
        <v>345785.32</v>
      </c>
    </row>
    <row r="170" spans="11:13" ht="26.25" customHeight="1" x14ac:dyDescent="0.3">
      <c r="K17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70" s="1">
        <f>M169+Table118192023103031323538394041[[#This Row],[اجمالي الفاتوره]]-Table118192023103031323538394041[[#This Row],[الدفعات]]</f>
        <v>345785.32</v>
      </c>
    </row>
    <row r="171" spans="11:13" ht="26.25" customHeight="1" x14ac:dyDescent="0.3">
      <c r="K17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71" s="1">
        <f>M170+Table118192023103031323538394041[[#This Row],[اجمالي الفاتوره]]-Table118192023103031323538394041[[#This Row],[الدفعات]]</f>
        <v>345785.32</v>
      </c>
    </row>
    <row r="172" spans="11:13" ht="26.25" customHeight="1" x14ac:dyDescent="0.3">
      <c r="K17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72" s="1">
        <f>M171+Table118192023103031323538394041[[#This Row],[اجمالي الفاتوره]]-Table118192023103031323538394041[[#This Row],[الدفعات]]</f>
        <v>345785.32</v>
      </c>
    </row>
    <row r="173" spans="11:13" ht="26.25" customHeight="1" x14ac:dyDescent="0.3">
      <c r="K17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73" s="1">
        <f>M172+Table118192023103031323538394041[[#This Row],[اجمالي الفاتوره]]-Table118192023103031323538394041[[#This Row],[الدفعات]]</f>
        <v>345785.32</v>
      </c>
    </row>
    <row r="174" spans="11:13" ht="26.25" customHeight="1" x14ac:dyDescent="0.3">
      <c r="K17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74" s="1">
        <f>M173+Table118192023103031323538394041[[#This Row],[اجمالي الفاتوره]]-Table118192023103031323538394041[[#This Row],[الدفعات]]</f>
        <v>345785.32</v>
      </c>
    </row>
    <row r="175" spans="11:13" ht="26.25" customHeight="1" x14ac:dyDescent="0.3">
      <c r="K17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75" s="1">
        <f>M174+Table118192023103031323538394041[[#This Row],[اجمالي الفاتوره]]-Table118192023103031323538394041[[#This Row],[الدفعات]]</f>
        <v>345785.32</v>
      </c>
    </row>
    <row r="176" spans="11:13" ht="26.25" customHeight="1" x14ac:dyDescent="0.3">
      <c r="K17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76" s="1">
        <f>M175+Table118192023103031323538394041[[#This Row],[اجمالي الفاتوره]]-Table118192023103031323538394041[[#This Row],[الدفعات]]</f>
        <v>345785.32</v>
      </c>
    </row>
    <row r="177" spans="11:13" ht="26.25" customHeight="1" x14ac:dyDescent="0.3">
      <c r="K17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77" s="1">
        <f>M176+Table118192023103031323538394041[[#This Row],[اجمالي الفاتوره]]-Table118192023103031323538394041[[#This Row],[الدفعات]]</f>
        <v>345785.32</v>
      </c>
    </row>
    <row r="178" spans="11:13" ht="26.25" customHeight="1" x14ac:dyDescent="0.3">
      <c r="K17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78" s="1">
        <f>M177+Table118192023103031323538394041[[#This Row],[اجمالي الفاتوره]]-Table118192023103031323538394041[[#This Row],[الدفعات]]</f>
        <v>345785.32</v>
      </c>
    </row>
    <row r="179" spans="11:13" ht="26.25" customHeight="1" x14ac:dyDescent="0.3">
      <c r="K17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79" s="1">
        <f>M178+Table118192023103031323538394041[[#This Row],[اجمالي الفاتوره]]-Table118192023103031323538394041[[#This Row],[الدفعات]]</f>
        <v>345785.32</v>
      </c>
    </row>
    <row r="180" spans="11:13" ht="26.25" customHeight="1" x14ac:dyDescent="0.3">
      <c r="K18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80" s="1">
        <f>M179+Table118192023103031323538394041[[#This Row],[اجمالي الفاتوره]]-Table118192023103031323538394041[[#This Row],[الدفعات]]</f>
        <v>345785.32</v>
      </c>
    </row>
    <row r="181" spans="11:13" ht="26.25" customHeight="1" x14ac:dyDescent="0.3">
      <c r="K18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81" s="1">
        <f>M180+Table118192023103031323538394041[[#This Row],[اجمالي الفاتوره]]-Table118192023103031323538394041[[#This Row],[الدفعات]]</f>
        <v>345785.32</v>
      </c>
    </row>
    <row r="182" spans="11:13" ht="26.25" customHeight="1" x14ac:dyDescent="0.3">
      <c r="K18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82" s="1">
        <f>M181+Table118192023103031323538394041[[#This Row],[اجمالي الفاتوره]]-Table118192023103031323538394041[[#This Row],[الدفعات]]</f>
        <v>345785.32</v>
      </c>
    </row>
    <row r="183" spans="11:13" ht="26.25" customHeight="1" x14ac:dyDescent="0.3">
      <c r="K18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83" s="1">
        <f>M182+Table118192023103031323538394041[[#This Row],[اجمالي الفاتوره]]-Table118192023103031323538394041[[#This Row],[الدفعات]]</f>
        <v>345785.32</v>
      </c>
    </row>
    <row r="184" spans="11:13" ht="26.25" customHeight="1" x14ac:dyDescent="0.3">
      <c r="K18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84" s="1">
        <f>M183+Table118192023103031323538394041[[#This Row],[اجمالي الفاتوره]]-Table118192023103031323538394041[[#This Row],[الدفعات]]</f>
        <v>345785.32</v>
      </c>
    </row>
    <row r="185" spans="11:13" ht="26.25" customHeight="1" x14ac:dyDescent="0.3">
      <c r="K18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85" s="1">
        <f>M184+Table118192023103031323538394041[[#This Row],[اجمالي الفاتوره]]-Table118192023103031323538394041[[#This Row],[الدفعات]]</f>
        <v>345785.32</v>
      </c>
    </row>
    <row r="186" spans="11:13" ht="26.25" customHeight="1" x14ac:dyDescent="0.3">
      <c r="K18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86" s="1">
        <f>M185+Table118192023103031323538394041[[#This Row],[اجمالي الفاتوره]]-Table118192023103031323538394041[[#This Row],[الدفعات]]</f>
        <v>345785.32</v>
      </c>
    </row>
    <row r="187" spans="11:13" ht="26.25" customHeight="1" x14ac:dyDescent="0.3">
      <c r="K18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87" s="1">
        <f>M186+Table118192023103031323538394041[[#This Row],[اجمالي الفاتوره]]-Table118192023103031323538394041[[#This Row],[الدفعات]]</f>
        <v>345785.32</v>
      </c>
    </row>
    <row r="188" spans="11:13" ht="26.25" customHeight="1" x14ac:dyDescent="0.3">
      <c r="K18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88" s="1">
        <f>M187+Table118192023103031323538394041[[#This Row],[اجمالي الفاتوره]]-Table118192023103031323538394041[[#This Row],[الدفعات]]</f>
        <v>345785.32</v>
      </c>
    </row>
    <row r="189" spans="11:13" ht="26.25" customHeight="1" x14ac:dyDescent="0.3">
      <c r="K18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89" s="1">
        <f>M188+Table118192023103031323538394041[[#This Row],[اجمالي الفاتوره]]-Table118192023103031323538394041[[#This Row],[الدفعات]]</f>
        <v>345785.32</v>
      </c>
    </row>
    <row r="190" spans="11:13" ht="26.25" customHeight="1" x14ac:dyDescent="0.3">
      <c r="K19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90" s="1">
        <f>M189+Table118192023103031323538394041[[#This Row],[اجمالي الفاتوره]]-Table118192023103031323538394041[[#This Row],[الدفعات]]</f>
        <v>345785.32</v>
      </c>
    </row>
    <row r="191" spans="11:13" ht="26.25" customHeight="1" x14ac:dyDescent="0.3">
      <c r="K19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91" s="1">
        <f>M190+Table118192023103031323538394041[[#This Row],[اجمالي الفاتوره]]-Table118192023103031323538394041[[#This Row],[الدفعات]]</f>
        <v>345785.32</v>
      </c>
    </row>
    <row r="192" spans="11:13" ht="26.25" customHeight="1" x14ac:dyDescent="0.3">
      <c r="K19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92" s="1">
        <f>M191+Table118192023103031323538394041[[#This Row],[اجمالي الفاتوره]]-Table118192023103031323538394041[[#This Row],[الدفعات]]</f>
        <v>345785.32</v>
      </c>
    </row>
    <row r="193" spans="11:13" ht="26.25" customHeight="1" x14ac:dyDescent="0.3">
      <c r="K19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93" s="1">
        <f>M192+Table118192023103031323538394041[[#This Row],[اجمالي الفاتوره]]-Table118192023103031323538394041[[#This Row],[الدفعات]]</f>
        <v>345785.32</v>
      </c>
    </row>
    <row r="194" spans="11:13" ht="26.25" customHeight="1" x14ac:dyDescent="0.3">
      <c r="K19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94" s="1">
        <f>M193+Table118192023103031323538394041[[#This Row],[اجمالي الفاتوره]]-Table118192023103031323538394041[[#This Row],[الدفعات]]</f>
        <v>345785.32</v>
      </c>
    </row>
    <row r="195" spans="11:13" ht="26.25" customHeight="1" x14ac:dyDescent="0.3">
      <c r="K19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95" s="1">
        <f>M194+Table118192023103031323538394041[[#This Row],[اجمالي الفاتوره]]-Table118192023103031323538394041[[#This Row],[الدفعات]]</f>
        <v>345785.32</v>
      </c>
    </row>
    <row r="196" spans="11:13" ht="26.25" customHeight="1" x14ac:dyDescent="0.3">
      <c r="K19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96" s="1">
        <f>M195+Table118192023103031323538394041[[#This Row],[اجمالي الفاتوره]]-Table118192023103031323538394041[[#This Row],[الدفعات]]</f>
        <v>345785.32</v>
      </c>
    </row>
    <row r="197" spans="11:13" ht="26.25" customHeight="1" x14ac:dyDescent="0.3">
      <c r="K19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97" s="1">
        <f>M196+Table118192023103031323538394041[[#This Row],[اجمالي الفاتوره]]-Table118192023103031323538394041[[#This Row],[الدفعات]]</f>
        <v>345785.32</v>
      </c>
    </row>
    <row r="198" spans="11:13" ht="26.25" customHeight="1" x14ac:dyDescent="0.3">
      <c r="K19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98" s="1">
        <f>M197+Table118192023103031323538394041[[#This Row],[اجمالي الفاتوره]]-Table118192023103031323538394041[[#This Row],[الدفعات]]</f>
        <v>345785.32</v>
      </c>
    </row>
    <row r="199" spans="11:13" ht="26.25" customHeight="1" x14ac:dyDescent="0.3">
      <c r="K19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199" s="1">
        <f>M198+Table118192023103031323538394041[[#This Row],[اجمالي الفاتوره]]-Table118192023103031323538394041[[#This Row],[الدفعات]]</f>
        <v>345785.32</v>
      </c>
    </row>
    <row r="200" spans="11:13" ht="26.25" customHeight="1" x14ac:dyDescent="0.3">
      <c r="K20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00" s="1">
        <f>M199+Table118192023103031323538394041[[#This Row],[اجمالي الفاتوره]]-Table118192023103031323538394041[[#This Row],[الدفعات]]</f>
        <v>345785.32</v>
      </c>
    </row>
    <row r="201" spans="11:13" ht="26.25" customHeight="1" x14ac:dyDescent="0.3">
      <c r="K20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01" s="1">
        <f>M200+Table118192023103031323538394041[[#This Row],[اجمالي الفاتوره]]-Table118192023103031323538394041[[#This Row],[الدفعات]]</f>
        <v>345785.32</v>
      </c>
    </row>
    <row r="202" spans="11:13" ht="26.25" customHeight="1" x14ac:dyDescent="0.3">
      <c r="K20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02" s="1">
        <f>M201+Table118192023103031323538394041[[#This Row],[اجمالي الفاتوره]]-Table118192023103031323538394041[[#This Row],[الدفعات]]</f>
        <v>345785.32</v>
      </c>
    </row>
    <row r="203" spans="11:13" ht="26.25" customHeight="1" x14ac:dyDescent="0.3">
      <c r="K20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03" s="1">
        <f>M202+Table118192023103031323538394041[[#This Row],[اجمالي الفاتوره]]-Table118192023103031323538394041[[#This Row],[الدفعات]]</f>
        <v>345785.32</v>
      </c>
    </row>
    <row r="204" spans="11:13" ht="26.25" customHeight="1" x14ac:dyDescent="0.3">
      <c r="K20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04" s="1">
        <f>M203+Table118192023103031323538394041[[#This Row],[اجمالي الفاتوره]]-Table118192023103031323538394041[[#This Row],[الدفعات]]</f>
        <v>345785.32</v>
      </c>
    </row>
    <row r="205" spans="11:13" ht="26.25" customHeight="1" x14ac:dyDescent="0.3">
      <c r="K20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05" s="1">
        <f>M204+Table118192023103031323538394041[[#This Row],[اجمالي الفاتوره]]-Table118192023103031323538394041[[#This Row],[الدفعات]]</f>
        <v>345785.32</v>
      </c>
    </row>
    <row r="206" spans="11:13" ht="26.25" customHeight="1" x14ac:dyDescent="0.3">
      <c r="K20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06" s="1">
        <f>M205+Table118192023103031323538394041[[#This Row],[اجمالي الفاتوره]]-Table118192023103031323538394041[[#This Row],[الدفعات]]</f>
        <v>345785.32</v>
      </c>
    </row>
    <row r="207" spans="11:13" ht="26.25" customHeight="1" x14ac:dyDescent="0.3">
      <c r="K20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07" s="1">
        <f>M206+Table118192023103031323538394041[[#This Row],[اجمالي الفاتوره]]-Table118192023103031323538394041[[#This Row],[الدفعات]]</f>
        <v>345785.32</v>
      </c>
    </row>
    <row r="208" spans="11:13" ht="26.25" customHeight="1" x14ac:dyDescent="0.3">
      <c r="K20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08" s="1">
        <f>M207+Table118192023103031323538394041[[#This Row],[اجمالي الفاتوره]]-Table118192023103031323538394041[[#This Row],[الدفعات]]</f>
        <v>345785.32</v>
      </c>
    </row>
    <row r="209" spans="11:13" ht="26.25" customHeight="1" x14ac:dyDescent="0.3">
      <c r="K20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09" s="1">
        <f>M208+Table118192023103031323538394041[[#This Row],[اجمالي الفاتوره]]-Table118192023103031323538394041[[#This Row],[الدفعات]]</f>
        <v>345785.32</v>
      </c>
    </row>
    <row r="210" spans="11:13" ht="26.25" customHeight="1" x14ac:dyDescent="0.3">
      <c r="K21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10" s="1">
        <f>M209+Table118192023103031323538394041[[#This Row],[اجمالي الفاتوره]]-Table118192023103031323538394041[[#This Row],[الدفعات]]</f>
        <v>345785.32</v>
      </c>
    </row>
    <row r="211" spans="11:13" ht="26.25" customHeight="1" x14ac:dyDescent="0.3">
      <c r="K21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11" s="1">
        <f>M210+Table118192023103031323538394041[[#This Row],[اجمالي الفاتوره]]-Table118192023103031323538394041[[#This Row],[الدفعات]]</f>
        <v>345785.32</v>
      </c>
    </row>
    <row r="212" spans="11:13" ht="26.25" customHeight="1" x14ac:dyDescent="0.3">
      <c r="K21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12" s="1">
        <f>M211+Table118192023103031323538394041[[#This Row],[اجمالي الفاتوره]]-Table118192023103031323538394041[[#This Row],[الدفعات]]</f>
        <v>345785.32</v>
      </c>
    </row>
    <row r="213" spans="11:13" ht="26.25" customHeight="1" x14ac:dyDescent="0.3">
      <c r="K21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13" s="1">
        <f>M212+Table118192023103031323538394041[[#This Row],[اجمالي الفاتوره]]-Table118192023103031323538394041[[#This Row],[الدفعات]]</f>
        <v>345785.32</v>
      </c>
    </row>
    <row r="214" spans="11:13" ht="26.25" customHeight="1" x14ac:dyDescent="0.3">
      <c r="K21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14" s="1">
        <f>M213+Table118192023103031323538394041[[#This Row],[اجمالي الفاتوره]]-Table118192023103031323538394041[[#This Row],[الدفعات]]</f>
        <v>345785.32</v>
      </c>
    </row>
    <row r="215" spans="11:13" ht="26.25" customHeight="1" x14ac:dyDescent="0.3">
      <c r="K21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15" s="1">
        <f>M214+Table118192023103031323538394041[[#This Row],[اجمالي الفاتوره]]-Table118192023103031323538394041[[#This Row],[الدفعات]]</f>
        <v>345785.32</v>
      </c>
    </row>
    <row r="216" spans="11:13" ht="26.25" customHeight="1" x14ac:dyDescent="0.3">
      <c r="K21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16" s="1">
        <f>M215+Table118192023103031323538394041[[#This Row],[اجمالي الفاتوره]]-Table118192023103031323538394041[[#This Row],[الدفعات]]</f>
        <v>345785.32</v>
      </c>
    </row>
    <row r="217" spans="11:13" ht="26.25" customHeight="1" x14ac:dyDescent="0.3">
      <c r="K21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17" s="1">
        <f>M216+Table118192023103031323538394041[[#This Row],[اجمالي الفاتوره]]-Table118192023103031323538394041[[#This Row],[الدفعات]]</f>
        <v>345785.32</v>
      </c>
    </row>
    <row r="218" spans="11:13" ht="26.25" customHeight="1" x14ac:dyDescent="0.3">
      <c r="K21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18" s="1">
        <f>M217+Table118192023103031323538394041[[#This Row],[اجمالي الفاتوره]]-Table118192023103031323538394041[[#This Row],[الدفعات]]</f>
        <v>345785.32</v>
      </c>
    </row>
    <row r="219" spans="11:13" ht="26.25" customHeight="1" x14ac:dyDescent="0.3">
      <c r="K21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19" s="1">
        <f>M218+Table118192023103031323538394041[[#This Row],[اجمالي الفاتوره]]-Table118192023103031323538394041[[#This Row],[الدفعات]]</f>
        <v>345785.32</v>
      </c>
    </row>
    <row r="220" spans="11:13" ht="26.25" customHeight="1" x14ac:dyDescent="0.3">
      <c r="K22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20" s="1">
        <f>M219+Table118192023103031323538394041[[#This Row],[اجمالي الفاتوره]]-Table118192023103031323538394041[[#This Row],[الدفعات]]</f>
        <v>345785.32</v>
      </c>
    </row>
    <row r="221" spans="11:13" ht="26.25" customHeight="1" x14ac:dyDescent="0.3">
      <c r="K22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21" s="1">
        <f>M220+Table118192023103031323538394041[[#This Row],[اجمالي الفاتوره]]-Table118192023103031323538394041[[#This Row],[الدفعات]]</f>
        <v>345785.32</v>
      </c>
    </row>
    <row r="222" spans="11:13" ht="26.25" customHeight="1" x14ac:dyDescent="0.3">
      <c r="K22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22" s="1">
        <f>M221+Table118192023103031323538394041[[#This Row],[اجمالي الفاتوره]]-Table118192023103031323538394041[[#This Row],[الدفعات]]</f>
        <v>345785.32</v>
      </c>
    </row>
    <row r="223" spans="11:13" ht="26.25" customHeight="1" x14ac:dyDescent="0.3">
      <c r="K22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23" s="1">
        <f>M222+Table118192023103031323538394041[[#This Row],[اجمالي الفاتوره]]-Table118192023103031323538394041[[#This Row],[الدفعات]]</f>
        <v>345785.32</v>
      </c>
    </row>
    <row r="224" spans="11:13" ht="26.25" customHeight="1" x14ac:dyDescent="0.3">
      <c r="K22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24" s="1">
        <f>M223+Table118192023103031323538394041[[#This Row],[اجمالي الفاتوره]]-Table118192023103031323538394041[[#This Row],[الدفعات]]</f>
        <v>345785.32</v>
      </c>
    </row>
    <row r="225" spans="9:13" ht="26.25" customHeight="1" x14ac:dyDescent="0.3">
      <c r="K22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25" s="1">
        <f>M224+Table118192023103031323538394041[[#This Row],[اجمالي الفاتوره]]-Table118192023103031323538394041[[#This Row],[الدفعات]]</f>
        <v>345785.32</v>
      </c>
    </row>
    <row r="226" spans="9:13" ht="26.25" customHeight="1" x14ac:dyDescent="0.3">
      <c r="K22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26" s="1">
        <f>M225+Table118192023103031323538394041[[#This Row],[اجمالي الفاتوره]]-Table118192023103031323538394041[[#This Row],[الدفعات]]</f>
        <v>345785.32</v>
      </c>
    </row>
    <row r="227" spans="9:13" ht="26.25" customHeight="1" x14ac:dyDescent="0.3">
      <c r="K22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27" s="1">
        <f>M226+Table118192023103031323538394041[[#This Row],[اجمالي الفاتوره]]-Table118192023103031323538394041[[#This Row],[الدفعات]]</f>
        <v>345785.32</v>
      </c>
    </row>
    <row r="228" spans="9:13" ht="26.25" customHeight="1" x14ac:dyDescent="0.3">
      <c r="K22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28" s="1">
        <f>M227+Table118192023103031323538394041[[#This Row],[اجمالي الفاتوره]]-Table118192023103031323538394041[[#This Row],[الدفعات]]</f>
        <v>345785.32</v>
      </c>
    </row>
    <row r="229" spans="9:13" ht="26.25" customHeight="1" x14ac:dyDescent="0.3">
      <c r="K22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29" s="1">
        <f>M228+Table118192023103031323538394041[[#This Row],[اجمالي الفاتوره]]-Table118192023103031323538394041[[#This Row],[الدفعات]]</f>
        <v>345785.32</v>
      </c>
    </row>
    <row r="230" spans="9:13" ht="26.25" customHeight="1" x14ac:dyDescent="0.3">
      <c r="K23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30" s="1">
        <f>M229+Table118192023103031323538394041[[#This Row],[اجمالي الفاتوره]]-Table118192023103031323538394041[[#This Row],[الدفعات]]</f>
        <v>345785.32</v>
      </c>
    </row>
    <row r="231" spans="9:13" ht="26.25" customHeight="1" x14ac:dyDescent="0.3">
      <c r="K23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31" s="1">
        <f>M230+Table118192023103031323538394041[[#This Row],[اجمالي الفاتوره]]-Table118192023103031323538394041[[#This Row],[الدفعات]]</f>
        <v>345785.32</v>
      </c>
    </row>
    <row r="232" spans="9:13" ht="26.25" customHeight="1" x14ac:dyDescent="0.3">
      <c r="K23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32" s="1">
        <f>M231+Table118192023103031323538394041[[#This Row],[اجمالي الفاتوره]]-Table118192023103031323538394041[[#This Row],[الدفعات]]</f>
        <v>345785.32</v>
      </c>
    </row>
    <row r="233" spans="9:13" ht="26.25" customHeight="1" x14ac:dyDescent="0.3">
      <c r="K23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33" s="1">
        <f>M232+Table118192023103031323538394041[[#This Row],[اجمالي الفاتوره]]-Table118192023103031323538394041[[#This Row],[الدفعات]]</f>
        <v>345785.32</v>
      </c>
    </row>
    <row r="234" spans="9:13" ht="26.25" customHeight="1" x14ac:dyDescent="0.3">
      <c r="K23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34" s="1">
        <f>M233+Table118192023103031323538394041[[#This Row],[اجمالي الفاتوره]]-Table118192023103031323538394041[[#This Row],[الدفعات]]</f>
        <v>345785.32</v>
      </c>
    </row>
    <row r="235" spans="9:13" ht="26.25" customHeight="1" x14ac:dyDescent="0.3">
      <c r="K23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35" s="1">
        <f>M234+Table118192023103031323538394041[[#This Row],[اجمالي الفاتوره]]-Table118192023103031323538394041[[#This Row],[الدفعات]]</f>
        <v>345785.32</v>
      </c>
    </row>
    <row r="236" spans="9:13" ht="26.25" customHeight="1" x14ac:dyDescent="0.3">
      <c r="K23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36" s="1">
        <f>M235+Table118192023103031323538394041[[#This Row],[اجمالي الفاتوره]]-Table118192023103031323538394041[[#This Row],[الدفعات]]</f>
        <v>345785.32</v>
      </c>
    </row>
    <row r="237" spans="9:13" ht="26.25" customHeight="1" x14ac:dyDescent="0.3">
      <c r="K23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37" s="1">
        <f>M236+Table118192023103031323538394041[[#This Row],[اجمالي الفاتوره]]-Table118192023103031323538394041[[#This Row],[الدفعات]]</f>
        <v>345785.32</v>
      </c>
    </row>
    <row r="238" spans="9:13" ht="26.25" customHeight="1" x14ac:dyDescent="0.3">
      <c r="K23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38" s="1">
        <f>M237+Table118192023103031323538394041[[#This Row],[اجمالي الفاتوره]]-Table118192023103031323538394041[[#This Row],[الدفعات]]</f>
        <v>345785.32</v>
      </c>
    </row>
    <row r="239" spans="9:13" ht="26.25" customHeight="1" x14ac:dyDescent="0.3">
      <c r="I239" s="1">
        <f>0.03*Table118192023103031323538394041[[#This Row],[النولون]]</f>
        <v>0</v>
      </c>
      <c r="K23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39" s="1">
        <f>M238+Table118192023103031323538394041[[#This Row],[اجمالي الفاتوره]]-Table118192023103031323538394041[[#This Row],[الدفعات]]</f>
        <v>345785.32</v>
      </c>
    </row>
    <row r="240" spans="9:13" ht="26.25" customHeight="1" x14ac:dyDescent="0.3">
      <c r="I240" s="1">
        <f>0.03*Table118192023103031323538394041[[#This Row],[النولون]]</f>
        <v>0</v>
      </c>
      <c r="K24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40" s="1">
        <f>M239+Table118192023103031323538394041[[#This Row],[اجمالي الفاتوره]]-Table118192023103031323538394041[[#This Row],[الدفعات]]</f>
        <v>345785.32</v>
      </c>
    </row>
    <row r="241" spans="9:13" ht="26.25" customHeight="1" x14ac:dyDescent="0.3">
      <c r="I241" s="1">
        <f>0.03*Table118192023103031323538394041[[#This Row],[النولون]]</f>
        <v>0</v>
      </c>
      <c r="K24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41" s="1">
        <f>M240+Table118192023103031323538394041[[#This Row],[اجمالي الفاتوره]]-Table118192023103031323538394041[[#This Row],[الدفعات]]</f>
        <v>345785.32</v>
      </c>
    </row>
    <row r="242" spans="9:13" ht="26.25" customHeight="1" x14ac:dyDescent="0.3">
      <c r="I242" s="1">
        <f>0.03*Table118192023103031323538394041[[#This Row],[النولون]]</f>
        <v>0</v>
      </c>
      <c r="K24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42" s="1">
        <f>M241+Table118192023103031323538394041[[#This Row],[اجمالي الفاتوره]]-Table118192023103031323538394041[[#This Row],[الدفعات]]</f>
        <v>345785.32</v>
      </c>
    </row>
    <row r="243" spans="9:13" ht="26.25" customHeight="1" x14ac:dyDescent="0.3">
      <c r="I243" s="1">
        <f>0.03*Table118192023103031323538394041[[#This Row],[النولون]]</f>
        <v>0</v>
      </c>
      <c r="K24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43" s="1">
        <f>M242+Table118192023103031323538394041[[#This Row],[اجمالي الفاتوره]]-Table118192023103031323538394041[[#This Row],[الدفعات]]</f>
        <v>345785.32</v>
      </c>
    </row>
    <row r="244" spans="9:13" ht="26.25" customHeight="1" x14ac:dyDescent="0.3">
      <c r="I244" s="1">
        <f>0.03*Table118192023103031323538394041[[#This Row],[النولون]]</f>
        <v>0</v>
      </c>
      <c r="K24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44" s="1">
        <f>M243+Table118192023103031323538394041[[#This Row],[اجمالي الفاتوره]]-Table118192023103031323538394041[[#This Row],[الدفعات]]</f>
        <v>345785.32</v>
      </c>
    </row>
    <row r="245" spans="9:13" ht="26.25" customHeight="1" x14ac:dyDescent="0.3">
      <c r="I245" s="1">
        <f>0.03*Table118192023103031323538394041[[#This Row],[النولون]]</f>
        <v>0</v>
      </c>
      <c r="K24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45" s="1">
        <f>M244+Table118192023103031323538394041[[#This Row],[اجمالي الفاتوره]]-Table118192023103031323538394041[[#This Row],[الدفعات]]</f>
        <v>345785.32</v>
      </c>
    </row>
    <row r="246" spans="9:13" ht="26.25" customHeight="1" x14ac:dyDescent="0.3">
      <c r="I246" s="1">
        <f>0.03*Table118192023103031323538394041[[#This Row],[النولون]]</f>
        <v>0</v>
      </c>
      <c r="K24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46" s="1">
        <f>M245+Table118192023103031323538394041[[#This Row],[اجمالي الفاتوره]]-Table118192023103031323538394041[[#This Row],[الدفعات]]</f>
        <v>345785.32</v>
      </c>
    </row>
    <row r="247" spans="9:13" ht="26.25" customHeight="1" x14ac:dyDescent="0.3">
      <c r="I247" s="1">
        <f>0.03*Table118192023103031323538394041[[#This Row],[النولون]]</f>
        <v>0</v>
      </c>
      <c r="K24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47" s="1">
        <f>M246+Table118192023103031323538394041[[#This Row],[اجمالي الفاتوره]]-Table118192023103031323538394041[[#This Row],[الدفعات]]</f>
        <v>345785.32</v>
      </c>
    </row>
    <row r="248" spans="9:13" ht="26.25" customHeight="1" x14ac:dyDescent="0.3">
      <c r="I248" s="1">
        <f>0.03*Table118192023103031323538394041[[#This Row],[النولون]]</f>
        <v>0</v>
      </c>
      <c r="K24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48" s="1">
        <f>M247+Table118192023103031323538394041[[#This Row],[اجمالي الفاتوره]]-Table118192023103031323538394041[[#This Row],[الدفعات]]</f>
        <v>345785.32</v>
      </c>
    </row>
    <row r="249" spans="9:13" ht="26.25" customHeight="1" x14ac:dyDescent="0.3">
      <c r="I249" s="1">
        <f>0.03*Table118192023103031323538394041[[#This Row],[النولون]]</f>
        <v>0</v>
      </c>
      <c r="K24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49" s="1">
        <f>M248+Table118192023103031323538394041[[#This Row],[اجمالي الفاتوره]]-Table118192023103031323538394041[[#This Row],[الدفعات]]</f>
        <v>345785.32</v>
      </c>
    </row>
    <row r="250" spans="9:13" ht="26.25" customHeight="1" x14ac:dyDescent="0.3">
      <c r="I250" s="1">
        <f>0.03*Table118192023103031323538394041[[#This Row],[النولون]]</f>
        <v>0</v>
      </c>
      <c r="K25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50" s="1">
        <f>M249+Table118192023103031323538394041[[#This Row],[اجمالي الفاتوره]]-Table118192023103031323538394041[[#This Row],[الدفعات]]</f>
        <v>345785.32</v>
      </c>
    </row>
    <row r="251" spans="9:13" ht="26.25" customHeight="1" x14ac:dyDescent="0.3">
      <c r="I251" s="1">
        <f>0.03*Table118192023103031323538394041[[#This Row],[النولون]]</f>
        <v>0</v>
      </c>
      <c r="K25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51" s="1">
        <f>M250+Table118192023103031323538394041[[#This Row],[اجمالي الفاتوره]]-Table118192023103031323538394041[[#This Row],[الدفعات]]</f>
        <v>345785.32</v>
      </c>
    </row>
    <row r="252" spans="9:13" ht="26.25" customHeight="1" x14ac:dyDescent="0.3">
      <c r="I252" s="1">
        <f>0.03*Table118192023103031323538394041[[#This Row],[النولون]]</f>
        <v>0</v>
      </c>
      <c r="K25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52" s="1">
        <f>M251+Table118192023103031323538394041[[#This Row],[اجمالي الفاتوره]]-Table118192023103031323538394041[[#This Row],[الدفعات]]</f>
        <v>345785.32</v>
      </c>
    </row>
    <row r="253" spans="9:13" ht="26.25" customHeight="1" x14ac:dyDescent="0.3">
      <c r="I253" s="1">
        <f>0.03*Table118192023103031323538394041[[#This Row],[النولون]]</f>
        <v>0</v>
      </c>
      <c r="K25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53" s="1">
        <f>M252+Table118192023103031323538394041[[#This Row],[اجمالي الفاتوره]]-Table118192023103031323538394041[[#This Row],[الدفعات]]</f>
        <v>345785.32</v>
      </c>
    </row>
    <row r="254" spans="9:13" ht="26.25" customHeight="1" x14ac:dyDescent="0.3">
      <c r="I254" s="1">
        <f>0.03*Table118192023103031323538394041[[#This Row],[النولون]]</f>
        <v>0</v>
      </c>
      <c r="K25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54" s="1">
        <f>M253+Table118192023103031323538394041[[#This Row],[اجمالي الفاتوره]]-Table118192023103031323538394041[[#This Row],[الدفعات]]</f>
        <v>345785.32</v>
      </c>
    </row>
    <row r="255" spans="9:13" ht="26.25" customHeight="1" x14ac:dyDescent="0.3">
      <c r="I255" s="1">
        <f>0.03*Table118192023103031323538394041[[#This Row],[النولون]]</f>
        <v>0</v>
      </c>
      <c r="K25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55" s="1">
        <f>M254+Table118192023103031323538394041[[#This Row],[اجمالي الفاتوره]]-Table118192023103031323538394041[[#This Row],[الدفعات]]</f>
        <v>345785.32</v>
      </c>
    </row>
    <row r="256" spans="9:13" ht="26.25" customHeight="1" x14ac:dyDescent="0.3">
      <c r="I256" s="1">
        <f>0.03*Table118192023103031323538394041[[#This Row],[النولون]]</f>
        <v>0</v>
      </c>
      <c r="K25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56" s="1">
        <f>M255+Table118192023103031323538394041[[#This Row],[اجمالي الفاتوره]]-Table118192023103031323538394041[[#This Row],[الدفعات]]</f>
        <v>345785.32</v>
      </c>
    </row>
    <row r="257" spans="9:13" ht="26.25" customHeight="1" x14ac:dyDescent="0.3">
      <c r="I257" s="1">
        <f>0.03*Table118192023103031323538394041[[#This Row],[النولون]]</f>
        <v>0</v>
      </c>
      <c r="K25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57" s="1">
        <f>M256+Table118192023103031323538394041[[#This Row],[اجمالي الفاتوره]]-Table118192023103031323538394041[[#This Row],[الدفعات]]</f>
        <v>345785.32</v>
      </c>
    </row>
    <row r="258" spans="9:13" ht="26.25" customHeight="1" x14ac:dyDescent="0.3">
      <c r="I258" s="1">
        <f>0.03*Table118192023103031323538394041[[#This Row],[النولون]]</f>
        <v>0</v>
      </c>
      <c r="K25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58" s="1">
        <f>M257+Table118192023103031323538394041[[#This Row],[اجمالي الفاتوره]]-Table118192023103031323538394041[[#This Row],[الدفعات]]</f>
        <v>345785.32</v>
      </c>
    </row>
    <row r="259" spans="9:13" ht="26.25" customHeight="1" x14ac:dyDescent="0.3">
      <c r="I259" s="1">
        <f>0.03*Table118192023103031323538394041[[#This Row],[النولون]]</f>
        <v>0</v>
      </c>
      <c r="K25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59" s="1">
        <f>M258+Table118192023103031323538394041[[#This Row],[اجمالي الفاتوره]]-Table118192023103031323538394041[[#This Row],[الدفعات]]</f>
        <v>345785.32</v>
      </c>
    </row>
    <row r="260" spans="9:13" ht="26.25" customHeight="1" x14ac:dyDescent="0.3">
      <c r="I260" s="1">
        <f>0.03*Table118192023103031323538394041[[#This Row],[النولون]]</f>
        <v>0</v>
      </c>
      <c r="K26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60" s="1">
        <f>M259+Table118192023103031323538394041[[#This Row],[اجمالي الفاتوره]]-Table118192023103031323538394041[[#This Row],[الدفعات]]</f>
        <v>345785.32</v>
      </c>
    </row>
    <row r="261" spans="9:13" ht="26.25" customHeight="1" x14ac:dyDescent="0.3">
      <c r="I261" s="1">
        <f>0.03*Table118192023103031323538394041[[#This Row],[النولون]]</f>
        <v>0</v>
      </c>
      <c r="K26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61" s="1">
        <f>M260+Table118192023103031323538394041[[#This Row],[اجمالي الفاتوره]]-Table118192023103031323538394041[[#This Row],[الدفعات]]</f>
        <v>345785.32</v>
      </c>
    </row>
    <row r="262" spans="9:13" ht="26.25" customHeight="1" x14ac:dyDescent="0.3">
      <c r="I262" s="1">
        <f>0.03*Table118192023103031323538394041[[#This Row],[النولون]]</f>
        <v>0</v>
      </c>
      <c r="K26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62" s="1">
        <f>M261+Table118192023103031323538394041[[#This Row],[اجمالي الفاتوره]]-Table118192023103031323538394041[[#This Row],[الدفعات]]</f>
        <v>345785.32</v>
      </c>
    </row>
    <row r="263" spans="9:13" ht="26.25" customHeight="1" x14ac:dyDescent="0.3">
      <c r="I263" s="1">
        <f>0.03*Table118192023103031323538394041[[#This Row],[النولون]]</f>
        <v>0</v>
      </c>
      <c r="K26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63" s="1">
        <f>M262+Table118192023103031323538394041[[#This Row],[اجمالي الفاتوره]]-Table118192023103031323538394041[[#This Row],[الدفعات]]</f>
        <v>345785.32</v>
      </c>
    </row>
    <row r="264" spans="9:13" ht="26.25" customHeight="1" x14ac:dyDescent="0.3">
      <c r="I264" s="1">
        <f>0.03*Table118192023103031323538394041[[#This Row],[النولون]]</f>
        <v>0</v>
      </c>
      <c r="K26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64" s="1">
        <f>M263+Table118192023103031323538394041[[#This Row],[اجمالي الفاتوره]]-Table118192023103031323538394041[[#This Row],[الدفعات]]</f>
        <v>345785.32</v>
      </c>
    </row>
    <row r="265" spans="9:13" ht="26.25" customHeight="1" x14ac:dyDescent="0.3">
      <c r="I265" s="1">
        <f>0.03*Table118192023103031323538394041[[#This Row],[النولون]]</f>
        <v>0</v>
      </c>
      <c r="K26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65" s="1">
        <f>M264+Table118192023103031323538394041[[#This Row],[اجمالي الفاتوره]]-Table118192023103031323538394041[[#This Row],[الدفعات]]</f>
        <v>345785.32</v>
      </c>
    </row>
    <row r="266" spans="9:13" ht="26.25" customHeight="1" x14ac:dyDescent="0.3">
      <c r="I266" s="1">
        <f>0.03*Table118192023103031323538394041[[#This Row],[النولون]]</f>
        <v>0</v>
      </c>
      <c r="K26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66" s="1">
        <f>M265+Table118192023103031323538394041[[#This Row],[اجمالي الفاتوره]]-Table118192023103031323538394041[[#This Row],[الدفعات]]</f>
        <v>345785.32</v>
      </c>
    </row>
    <row r="267" spans="9:13" ht="26.25" customHeight="1" x14ac:dyDescent="0.3">
      <c r="I267" s="1">
        <f>0.03*Table118192023103031323538394041[[#This Row],[النولون]]</f>
        <v>0</v>
      </c>
      <c r="K26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67" s="1">
        <f>M266+Table118192023103031323538394041[[#This Row],[اجمالي الفاتوره]]-Table118192023103031323538394041[[#This Row],[الدفعات]]</f>
        <v>345785.32</v>
      </c>
    </row>
    <row r="268" spans="9:13" ht="26.25" customHeight="1" x14ac:dyDescent="0.3">
      <c r="I268" s="1">
        <f>0.03*Table118192023103031323538394041[[#This Row],[النولون]]</f>
        <v>0</v>
      </c>
      <c r="K26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68" s="1">
        <f>M267+Table118192023103031323538394041[[#This Row],[اجمالي الفاتوره]]-Table118192023103031323538394041[[#This Row],[الدفعات]]</f>
        <v>345785.32</v>
      </c>
    </row>
    <row r="269" spans="9:13" ht="26.25" customHeight="1" x14ac:dyDescent="0.3">
      <c r="I269" s="1">
        <f>0.03*Table118192023103031323538394041[[#This Row],[النولون]]</f>
        <v>0</v>
      </c>
      <c r="K26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69" s="1">
        <f>M268+Table118192023103031323538394041[[#This Row],[اجمالي الفاتوره]]-Table118192023103031323538394041[[#This Row],[الدفعات]]</f>
        <v>345785.32</v>
      </c>
    </row>
    <row r="270" spans="9:13" ht="26.25" customHeight="1" x14ac:dyDescent="0.3">
      <c r="I270" s="1">
        <f>0.03*Table118192023103031323538394041[[#This Row],[النولون]]</f>
        <v>0</v>
      </c>
      <c r="K27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70" s="1">
        <f>M269+Table118192023103031323538394041[[#This Row],[اجمالي الفاتوره]]-Table118192023103031323538394041[[#This Row],[الدفعات]]</f>
        <v>345785.32</v>
      </c>
    </row>
    <row r="271" spans="9:13" ht="26.25" customHeight="1" x14ac:dyDescent="0.3">
      <c r="I271" s="1">
        <f>0.03*Table118192023103031323538394041[[#This Row],[النولون]]</f>
        <v>0</v>
      </c>
      <c r="K27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71" s="1">
        <f>M270+Table118192023103031323538394041[[#This Row],[اجمالي الفاتوره]]-Table118192023103031323538394041[[#This Row],[الدفعات]]</f>
        <v>345785.32</v>
      </c>
    </row>
    <row r="272" spans="9:13" ht="26.25" customHeight="1" x14ac:dyDescent="0.3">
      <c r="I272" s="1">
        <f>0.03*Table118192023103031323538394041[[#This Row],[النولون]]</f>
        <v>0</v>
      </c>
      <c r="K27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72" s="1">
        <f>M271+Table118192023103031323538394041[[#This Row],[اجمالي الفاتوره]]-Table118192023103031323538394041[[#This Row],[الدفعات]]</f>
        <v>345785.32</v>
      </c>
    </row>
    <row r="273" spans="9:13" ht="26.25" customHeight="1" x14ac:dyDescent="0.3">
      <c r="I273" s="1">
        <f>0.03*Table118192023103031323538394041[[#This Row],[النولون]]</f>
        <v>0</v>
      </c>
      <c r="K27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73" s="1">
        <f>M272+Table118192023103031323538394041[[#This Row],[اجمالي الفاتوره]]-Table118192023103031323538394041[[#This Row],[الدفعات]]</f>
        <v>345785.32</v>
      </c>
    </row>
    <row r="274" spans="9:13" ht="26.25" customHeight="1" x14ac:dyDescent="0.3">
      <c r="I274" s="1">
        <f>0.03*Table118192023103031323538394041[[#This Row],[النولون]]</f>
        <v>0</v>
      </c>
      <c r="K27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74" s="1">
        <f>M273+Table118192023103031323538394041[[#This Row],[اجمالي الفاتوره]]-Table118192023103031323538394041[[#This Row],[الدفعات]]</f>
        <v>345785.32</v>
      </c>
    </row>
    <row r="275" spans="9:13" ht="26.25" customHeight="1" x14ac:dyDescent="0.3">
      <c r="I275" s="1">
        <f>0.03*Table118192023103031323538394041[[#This Row],[النولون]]</f>
        <v>0</v>
      </c>
      <c r="K27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75" s="1">
        <f>M274+Table118192023103031323538394041[[#This Row],[اجمالي الفاتوره]]-Table118192023103031323538394041[[#This Row],[الدفعات]]</f>
        <v>345785.32</v>
      </c>
    </row>
    <row r="276" spans="9:13" ht="26.25" customHeight="1" x14ac:dyDescent="0.3">
      <c r="I276" s="1">
        <f>0.03*Table118192023103031323538394041[[#This Row],[النولون]]</f>
        <v>0</v>
      </c>
      <c r="K27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76" s="1">
        <f>M275+Table118192023103031323538394041[[#This Row],[اجمالي الفاتوره]]-Table118192023103031323538394041[[#This Row],[الدفعات]]</f>
        <v>345785.32</v>
      </c>
    </row>
    <row r="277" spans="9:13" ht="26.25" customHeight="1" x14ac:dyDescent="0.3">
      <c r="I277" s="1">
        <f>0.03*Table118192023103031323538394041[[#This Row],[النولون]]</f>
        <v>0</v>
      </c>
      <c r="K27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77" s="1">
        <f>M276+Table118192023103031323538394041[[#This Row],[اجمالي الفاتوره]]-Table118192023103031323538394041[[#This Row],[الدفعات]]</f>
        <v>345785.32</v>
      </c>
    </row>
    <row r="278" spans="9:13" ht="26.25" customHeight="1" x14ac:dyDescent="0.3">
      <c r="I278" s="1">
        <f>0.03*Table118192023103031323538394041[[#This Row],[النولون]]</f>
        <v>0</v>
      </c>
      <c r="K27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78" s="1">
        <f>M277+Table118192023103031323538394041[[#This Row],[اجمالي الفاتوره]]-Table118192023103031323538394041[[#This Row],[الدفعات]]</f>
        <v>345785.32</v>
      </c>
    </row>
    <row r="279" spans="9:13" ht="26.25" customHeight="1" x14ac:dyDescent="0.3">
      <c r="I279" s="1">
        <f>0.03*Table118192023103031323538394041[[#This Row],[النولون]]</f>
        <v>0</v>
      </c>
      <c r="K27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79" s="1">
        <f>M278+Table118192023103031323538394041[[#This Row],[اجمالي الفاتوره]]-Table118192023103031323538394041[[#This Row],[الدفعات]]</f>
        <v>345785.32</v>
      </c>
    </row>
    <row r="280" spans="9:13" ht="26.25" customHeight="1" x14ac:dyDescent="0.3">
      <c r="I280" s="1">
        <f>0.03*Table118192023103031323538394041[[#This Row],[النولون]]</f>
        <v>0</v>
      </c>
      <c r="K28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80" s="1">
        <f>M279+Table118192023103031323538394041[[#This Row],[اجمالي الفاتوره]]-Table118192023103031323538394041[[#This Row],[الدفعات]]</f>
        <v>345785.32</v>
      </c>
    </row>
    <row r="281" spans="9:13" ht="26.25" customHeight="1" x14ac:dyDescent="0.3">
      <c r="I281" s="1">
        <f>0.03*Table118192023103031323538394041[[#This Row],[النولون]]</f>
        <v>0</v>
      </c>
      <c r="K28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81" s="1">
        <f>M280+Table118192023103031323538394041[[#This Row],[اجمالي الفاتوره]]-Table118192023103031323538394041[[#This Row],[الدفعات]]</f>
        <v>345785.32</v>
      </c>
    </row>
    <row r="282" spans="9:13" ht="26.25" customHeight="1" x14ac:dyDescent="0.3">
      <c r="I282" s="1">
        <f>0.03*Table118192023103031323538394041[[#This Row],[النولون]]</f>
        <v>0</v>
      </c>
      <c r="K28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82" s="1">
        <f>M281+Table118192023103031323538394041[[#This Row],[اجمالي الفاتوره]]-Table118192023103031323538394041[[#This Row],[الدفعات]]</f>
        <v>345785.32</v>
      </c>
    </row>
    <row r="283" spans="9:13" ht="26.25" customHeight="1" x14ac:dyDescent="0.3">
      <c r="I283" s="1">
        <f>0.03*Table118192023103031323538394041[[#This Row],[النولون]]</f>
        <v>0</v>
      </c>
      <c r="K28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83" s="1">
        <f>M282+Table118192023103031323538394041[[#This Row],[اجمالي الفاتوره]]-Table118192023103031323538394041[[#This Row],[الدفعات]]</f>
        <v>345785.32</v>
      </c>
    </row>
    <row r="284" spans="9:13" ht="26.25" customHeight="1" x14ac:dyDescent="0.3">
      <c r="I284" s="1">
        <f>0.03*Table118192023103031323538394041[[#This Row],[النولون]]</f>
        <v>0</v>
      </c>
      <c r="K28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84" s="1">
        <f>M283+Table118192023103031323538394041[[#This Row],[اجمالي الفاتوره]]-Table118192023103031323538394041[[#This Row],[الدفعات]]</f>
        <v>345785.32</v>
      </c>
    </row>
    <row r="285" spans="9:13" ht="26.25" customHeight="1" x14ac:dyDescent="0.3">
      <c r="I285" s="1">
        <f>0.03*Table118192023103031323538394041[[#This Row],[النولون]]</f>
        <v>0</v>
      </c>
      <c r="K28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85" s="1">
        <f>M284+Table118192023103031323538394041[[#This Row],[اجمالي الفاتوره]]-Table118192023103031323538394041[[#This Row],[الدفعات]]</f>
        <v>345785.32</v>
      </c>
    </row>
    <row r="286" spans="9:13" ht="26.25" customHeight="1" x14ac:dyDescent="0.3">
      <c r="I286" s="1">
        <f>0.03*Table118192023103031323538394041[[#This Row],[النولون]]</f>
        <v>0</v>
      </c>
      <c r="K28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86" s="1">
        <f>M285+Table118192023103031323538394041[[#This Row],[اجمالي الفاتوره]]-Table118192023103031323538394041[[#This Row],[الدفعات]]</f>
        <v>345785.32</v>
      </c>
    </row>
    <row r="287" spans="9:13" ht="26.25" customHeight="1" x14ac:dyDescent="0.3">
      <c r="I287" s="1">
        <f>0.03*Table118192023103031323538394041[[#This Row],[النولون]]</f>
        <v>0</v>
      </c>
      <c r="K28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87" s="1">
        <f>M286+Table118192023103031323538394041[[#This Row],[اجمالي الفاتوره]]-Table118192023103031323538394041[[#This Row],[الدفعات]]</f>
        <v>345785.32</v>
      </c>
    </row>
    <row r="288" spans="9:13" ht="26.25" customHeight="1" x14ac:dyDescent="0.3">
      <c r="I288" s="1">
        <f>0.03*Table118192023103031323538394041[[#This Row],[النولون]]</f>
        <v>0</v>
      </c>
      <c r="K28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88" s="1">
        <f>M287+Table118192023103031323538394041[[#This Row],[اجمالي الفاتوره]]-Table118192023103031323538394041[[#This Row],[الدفعات]]</f>
        <v>345785.32</v>
      </c>
    </row>
    <row r="289" spans="9:13" ht="26.25" customHeight="1" x14ac:dyDescent="0.3">
      <c r="I289" s="1">
        <f>0.03*Table118192023103031323538394041[[#This Row],[النولون]]</f>
        <v>0</v>
      </c>
      <c r="K28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89" s="1">
        <f>M288+Table118192023103031323538394041[[#This Row],[اجمالي الفاتوره]]-Table118192023103031323538394041[[#This Row],[الدفعات]]</f>
        <v>345785.32</v>
      </c>
    </row>
    <row r="290" spans="9:13" ht="26.25" customHeight="1" x14ac:dyDescent="0.3">
      <c r="I290" s="1">
        <f>0.03*Table118192023103031323538394041[[#This Row],[النولون]]</f>
        <v>0</v>
      </c>
      <c r="K29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90" s="1">
        <f>M289+Table118192023103031323538394041[[#This Row],[اجمالي الفاتوره]]-Table118192023103031323538394041[[#This Row],[الدفعات]]</f>
        <v>345785.32</v>
      </c>
    </row>
    <row r="291" spans="9:13" ht="26.25" customHeight="1" x14ac:dyDescent="0.3">
      <c r="I291" s="1">
        <f>0.03*Table118192023103031323538394041[[#This Row],[النولون]]</f>
        <v>0</v>
      </c>
      <c r="K29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91" s="1">
        <f>M290+Table118192023103031323538394041[[#This Row],[اجمالي الفاتوره]]-Table118192023103031323538394041[[#This Row],[الدفعات]]</f>
        <v>345785.32</v>
      </c>
    </row>
    <row r="292" spans="9:13" ht="26.25" customHeight="1" x14ac:dyDescent="0.3">
      <c r="I292" s="1">
        <f>0.03*Table118192023103031323538394041[[#This Row],[النولون]]</f>
        <v>0</v>
      </c>
      <c r="K29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92" s="1">
        <f>M291+Table118192023103031323538394041[[#This Row],[اجمالي الفاتوره]]-Table118192023103031323538394041[[#This Row],[الدفعات]]</f>
        <v>345785.32</v>
      </c>
    </row>
    <row r="293" spans="9:13" ht="26.25" customHeight="1" x14ac:dyDescent="0.3">
      <c r="I293" s="1">
        <f>0.03*Table118192023103031323538394041[[#This Row],[النولون]]</f>
        <v>0</v>
      </c>
      <c r="K29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93" s="1">
        <f>M292+Table118192023103031323538394041[[#This Row],[اجمالي الفاتوره]]-Table118192023103031323538394041[[#This Row],[الدفعات]]</f>
        <v>345785.32</v>
      </c>
    </row>
    <row r="294" spans="9:13" ht="26.25" customHeight="1" x14ac:dyDescent="0.3">
      <c r="I294" s="1">
        <f>0.03*Table118192023103031323538394041[[#This Row],[النولون]]</f>
        <v>0</v>
      </c>
      <c r="K29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94" s="1">
        <f>M293+Table118192023103031323538394041[[#This Row],[اجمالي الفاتوره]]-Table118192023103031323538394041[[#This Row],[الدفعات]]</f>
        <v>345785.32</v>
      </c>
    </row>
    <row r="295" spans="9:13" ht="26.25" customHeight="1" x14ac:dyDescent="0.3">
      <c r="I295" s="1">
        <f>0.03*Table118192023103031323538394041[[#This Row],[النولون]]</f>
        <v>0</v>
      </c>
      <c r="K29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95" s="1">
        <f>M294+Table118192023103031323538394041[[#This Row],[اجمالي الفاتوره]]-Table118192023103031323538394041[[#This Row],[الدفعات]]</f>
        <v>345785.32</v>
      </c>
    </row>
    <row r="296" spans="9:13" ht="26.25" customHeight="1" x14ac:dyDescent="0.3">
      <c r="I296" s="1">
        <f>0.03*Table118192023103031323538394041[[#This Row],[النولون]]</f>
        <v>0</v>
      </c>
      <c r="K29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96" s="1">
        <f>M295+Table118192023103031323538394041[[#This Row],[اجمالي الفاتوره]]-Table118192023103031323538394041[[#This Row],[الدفعات]]</f>
        <v>345785.32</v>
      </c>
    </row>
    <row r="297" spans="9:13" ht="26.25" customHeight="1" x14ac:dyDescent="0.3">
      <c r="I297" s="1">
        <f>0.03*Table118192023103031323538394041[[#This Row],[النولون]]</f>
        <v>0</v>
      </c>
      <c r="K29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97" s="1">
        <f>M296+Table118192023103031323538394041[[#This Row],[اجمالي الفاتوره]]-Table118192023103031323538394041[[#This Row],[الدفعات]]</f>
        <v>345785.32</v>
      </c>
    </row>
    <row r="298" spans="9:13" ht="26.25" customHeight="1" x14ac:dyDescent="0.3">
      <c r="I298" s="1">
        <f>0.03*Table118192023103031323538394041[[#This Row],[النولون]]</f>
        <v>0</v>
      </c>
      <c r="K29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98" s="1">
        <f>M297+Table118192023103031323538394041[[#This Row],[اجمالي الفاتوره]]-Table118192023103031323538394041[[#This Row],[الدفعات]]</f>
        <v>345785.32</v>
      </c>
    </row>
    <row r="299" spans="9:13" ht="26.25" customHeight="1" x14ac:dyDescent="0.3">
      <c r="I299" s="1">
        <f>0.03*Table118192023103031323538394041[[#This Row],[النولون]]</f>
        <v>0</v>
      </c>
      <c r="K29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299" s="1">
        <f>M298+Table118192023103031323538394041[[#This Row],[اجمالي الفاتوره]]-Table118192023103031323538394041[[#This Row],[الدفعات]]</f>
        <v>345785.32</v>
      </c>
    </row>
    <row r="300" spans="9:13" ht="26.25" customHeight="1" x14ac:dyDescent="0.3">
      <c r="I300" s="1">
        <f>0.03*Table118192023103031323538394041[[#This Row],[النولون]]</f>
        <v>0</v>
      </c>
      <c r="K30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00" s="1">
        <f>M299+Table118192023103031323538394041[[#This Row],[اجمالي الفاتوره]]-Table118192023103031323538394041[[#This Row],[الدفعات]]</f>
        <v>345785.32</v>
      </c>
    </row>
    <row r="301" spans="9:13" ht="26.25" customHeight="1" x14ac:dyDescent="0.3">
      <c r="I301" s="1">
        <f>0.03*Table118192023103031323538394041[[#This Row],[النولون]]</f>
        <v>0</v>
      </c>
      <c r="K30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01" s="1">
        <f>M300+Table118192023103031323538394041[[#This Row],[اجمالي الفاتوره]]-Table118192023103031323538394041[[#This Row],[الدفعات]]</f>
        <v>345785.32</v>
      </c>
    </row>
    <row r="302" spans="9:13" ht="26.25" customHeight="1" x14ac:dyDescent="0.3">
      <c r="I302" s="1">
        <f>0.03*Table118192023103031323538394041[[#This Row],[النولون]]</f>
        <v>0</v>
      </c>
      <c r="K30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02" s="1">
        <f>M301+Table118192023103031323538394041[[#This Row],[اجمالي الفاتوره]]-Table118192023103031323538394041[[#This Row],[الدفعات]]</f>
        <v>345785.32</v>
      </c>
    </row>
    <row r="303" spans="9:13" ht="26.25" customHeight="1" x14ac:dyDescent="0.3">
      <c r="I303" s="1">
        <f>0.03*Table118192023103031323538394041[[#This Row],[النولون]]</f>
        <v>0</v>
      </c>
      <c r="K30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03" s="1">
        <f>M302+Table118192023103031323538394041[[#This Row],[اجمالي الفاتوره]]-Table118192023103031323538394041[[#This Row],[الدفعات]]</f>
        <v>345785.32</v>
      </c>
    </row>
    <row r="304" spans="9:13" ht="26.25" customHeight="1" x14ac:dyDescent="0.3">
      <c r="I304" s="1">
        <f>0.03*Table118192023103031323538394041[[#This Row],[النولون]]</f>
        <v>0</v>
      </c>
      <c r="K30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04" s="1">
        <f>M303+Table118192023103031323538394041[[#This Row],[اجمالي الفاتوره]]-Table118192023103031323538394041[[#This Row],[الدفعات]]</f>
        <v>345785.32</v>
      </c>
    </row>
    <row r="305" spans="9:13" ht="26.25" customHeight="1" x14ac:dyDescent="0.3">
      <c r="I305" s="1">
        <f>0.03*Table118192023103031323538394041[[#This Row],[النولون]]</f>
        <v>0</v>
      </c>
      <c r="K30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05" s="1">
        <f>M304+Table118192023103031323538394041[[#This Row],[اجمالي الفاتوره]]-Table118192023103031323538394041[[#This Row],[الدفعات]]</f>
        <v>345785.32</v>
      </c>
    </row>
    <row r="306" spans="9:13" ht="26.25" customHeight="1" x14ac:dyDescent="0.3">
      <c r="I306" s="1">
        <f>0.03*Table118192023103031323538394041[[#This Row],[النولون]]</f>
        <v>0</v>
      </c>
      <c r="K30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06" s="1">
        <f>M305+Table118192023103031323538394041[[#This Row],[اجمالي الفاتوره]]-Table118192023103031323538394041[[#This Row],[الدفعات]]</f>
        <v>345785.32</v>
      </c>
    </row>
    <row r="307" spans="9:13" ht="26.25" customHeight="1" x14ac:dyDescent="0.3">
      <c r="I307" s="1">
        <f>0.03*Table118192023103031323538394041[[#This Row],[النولون]]</f>
        <v>0</v>
      </c>
      <c r="K30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07" s="1">
        <f>M306+Table118192023103031323538394041[[#This Row],[اجمالي الفاتوره]]-Table118192023103031323538394041[[#This Row],[الدفعات]]</f>
        <v>345785.32</v>
      </c>
    </row>
    <row r="308" spans="9:13" ht="26.25" customHeight="1" x14ac:dyDescent="0.3">
      <c r="I308" s="1">
        <f>0.03*Table118192023103031323538394041[[#This Row],[النولون]]</f>
        <v>0</v>
      </c>
      <c r="K30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08" s="1">
        <f>M307+Table118192023103031323538394041[[#This Row],[اجمالي الفاتوره]]-Table118192023103031323538394041[[#This Row],[الدفعات]]</f>
        <v>345785.32</v>
      </c>
    </row>
    <row r="309" spans="9:13" ht="26.25" customHeight="1" x14ac:dyDescent="0.3">
      <c r="I309" s="1">
        <f>0.03*Table118192023103031323538394041[[#This Row],[النولون]]</f>
        <v>0</v>
      </c>
      <c r="K30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09" s="1">
        <f>M308+Table118192023103031323538394041[[#This Row],[اجمالي الفاتوره]]-Table118192023103031323538394041[[#This Row],[الدفعات]]</f>
        <v>345785.32</v>
      </c>
    </row>
    <row r="310" spans="9:13" ht="26.25" customHeight="1" x14ac:dyDescent="0.3">
      <c r="I310" s="1">
        <f>0.03*Table118192023103031323538394041[[#This Row],[النولون]]</f>
        <v>0</v>
      </c>
      <c r="K31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10" s="1">
        <f>M309+Table118192023103031323538394041[[#This Row],[اجمالي الفاتوره]]-Table118192023103031323538394041[[#This Row],[الدفعات]]</f>
        <v>345785.32</v>
      </c>
    </row>
    <row r="311" spans="9:13" ht="26.25" customHeight="1" x14ac:dyDescent="0.3">
      <c r="I311" s="1">
        <f>0.03*Table118192023103031323538394041[[#This Row],[النولون]]</f>
        <v>0</v>
      </c>
      <c r="K31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11" s="1">
        <f>M310+Table118192023103031323538394041[[#This Row],[اجمالي الفاتوره]]-Table118192023103031323538394041[[#This Row],[الدفعات]]</f>
        <v>345785.32</v>
      </c>
    </row>
    <row r="312" spans="9:13" ht="26.25" customHeight="1" x14ac:dyDescent="0.3">
      <c r="I312" s="1">
        <f>0.03*Table118192023103031323538394041[[#This Row],[النولون]]</f>
        <v>0</v>
      </c>
      <c r="K31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12" s="1">
        <f>M311+Table118192023103031323538394041[[#This Row],[اجمالي الفاتوره]]-Table118192023103031323538394041[[#This Row],[الدفعات]]</f>
        <v>345785.32</v>
      </c>
    </row>
    <row r="313" spans="9:13" ht="26.25" customHeight="1" x14ac:dyDescent="0.3">
      <c r="I313" s="1">
        <f>0.03*Table118192023103031323538394041[[#This Row],[النولون]]</f>
        <v>0</v>
      </c>
      <c r="K31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13" s="1">
        <f>M312+Table118192023103031323538394041[[#This Row],[اجمالي الفاتوره]]-Table118192023103031323538394041[[#This Row],[الدفعات]]</f>
        <v>345785.32</v>
      </c>
    </row>
    <row r="314" spans="9:13" ht="26.25" customHeight="1" x14ac:dyDescent="0.3">
      <c r="I314" s="1">
        <f>0.03*Table118192023103031323538394041[[#This Row],[النولون]]</f>
        <v>0</v>
      </c>
      <c r="K31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14" s="1">
        <f>M313+Table118192023103031323538394041[[#This Row],[اجمالي الفاتوره]]-Table118192023103031323538394041[[#This Row],[الدفعات]]</f>
        <v>345785.32</v>
      </c>
    </row>
    <row r="315" spans="9:13" ht="26.25" customHeight="1" x14ac:dyDescent="0.3">
      <c r="I315" s="1">
        <f>0.03*Table118192023103031323538394041[[#This Row],[النولون]]</f>
        <v>0</v>
      </c>
      <c r="K31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15" s="1">
        <f>M314+Table118192023103031323538394041[[#This Row],[اجمالي الفاتوره]]-Table118192023103031323538394041[[#This Row],[الدفعات]]</f>
        <v>345785.32</v>
      </c>
    </row>
    <row r="316" spans="9:13" ht="26.25" customHeight="1" x14ac:dyDescent="0.3">
      <c r="I316" s="1">
        <f>0.03*Table118192023103031323538394041[[#This Row],[النولون]]</f>
        <v>0</v>
      </c>
      <c r="K31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16" s="1">
        <f>M315+Table118192023103031323538394041[[#This Row],[اجمالي الفاتوره]]-Table118192023103031323538394041[[#This Row],[الدفعات]]</f>
        <v>345785.32</v>
      </c>
    </row>
    <row r="317" spans="9:13" ht="26.25" customHeight="1" x14ac:dyDescent="0.3">
      <c r="I317" s="1">
        <f>0.03*Table118192023103031323538394041[[#This Row],[النولون]]</f>
        <v>0</v>
      </c>
      <c r="K31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17" s="1">
        <f>M316+Table118192023103031323538394041[[#This Row],[اجمالي الفاتوره]]-Table118192023103031323538394041[[#This Row],[الدفعات]]</f>
        <v>345785.32</v>
      </c>
    </row>
    <row r="318" spans="9:13" ht="26.25" customHeight="1" x14ac:dyDescent="0.3">
      <c r="I318" s="1">
        <f>0.03*Table118192023103031323538394041[[#This Row],[النولون]]</f>
        <v>0</v>
      </c>
      <c r="K31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18" s="1">
        <f>M317+Table118192023103031323538394041[[#This Row],[اجمالي الفاتوره]]-Table118192023103031323538394041[[#This Row],[الدفعات]]</f>
        <v>345785.32</v>
      </c>
    </row>
    <row r="319" spans="9:13" ht="26.25" customHeight="1" x14ac:dyDescent="0.3">
      <c r="I319" s="1">
        <f>0.03*Table118192023103031323538394041[[#This Row],[النولون]]</f>
        <v>0</v>
      </c>
      <c r="K31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19" s="1">
        <f>M318+Table118192023103031323538394041[[#This Row],[اجمالي الفاتوره]]-Table118192023103031323538394041[[#This Row],[الدفعات]]</f>
        <v>345785.32</v>
      </c>
    </row>
    <row r="320" spans="9:13" ht="26.25" customHeight="1" x14ac:dyDescent="0.3">
      <c r="I320" s="1">
        <f>0.03*Table118192023103031323538394041[[#This Row],[النولون]]</f>
        <v>0</v>
      </c>
      <c r="K32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20" s="1">
        <f>M319+Table118192023103031323538394041[[#This Row],[اجمالي الفاتوره]]-Table118192023103031323538394041[[#This Row],[الدفعات]]</f>
        <v>345785.32</v>
      </c>
    </row>
    <row r="321" spans="9:13" ht="26.25" customHeight="1" x14ac:dyDescent="0.3">
      <c r="I321" s="1">
        <f>0.03*Table118192023103031323538394041[[#This Row],[النولون]]</f>
        <v>0</v>
      </c>
      <c r="K32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21" s="1">
        <f>M320+Table118192023103031323538394041[[#This Row],[اجمالي الفاتوره]]-Table118192023103031323538394041[[#This Row],[الدفعات]]</f>
        <v>345785.32</v>
      </c>
    </row>
    <row r="322" spans="9:13" ht="26.25" customHeight="1" x14ac:dyDescent="0.3">
      <c r="I322" s="1">
        <f>0.03*Table118192023103031323538394041[[#This Row],[النولون]]</f>
        <v>0</v>
      </c>
      <c r="K32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22" s="1">
        <f>M321+Table118192023103031323538394041[[#This Row],[اجمالي الفاتوره]]-Table118192023103031323538394041[[#This Row],[الدفعات]]</f>
        <v>345785.32</v>
      </c>
    </row>
    <row r="323" spans="9:13" ht="26.25" customHeight="1" x14ac:dyDescent="0.3">
      <c r="I323" s="1">
        <f>0.03*Table118192023103031323538394041[[#This Row],[النولون]]</f>
        <v>0</v>
      </c>
      <c r="K32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23" s="1">
        <f>M322+Table118192023103031323538394041[[#This Row],[اجمالي الفاتوره]]-Table118192023103031323538394041[[#This Row],[الدفعات]]</f>
        <v>345785.32</v>
      </c>
    </row>
    <row r="324" spans="9:13" ht="26.25" customHeight="1" x14ac:dyDescent="0.3">
      <c r="I324" s="1">
        <f>0.03*Table118192023103031323538394041[[#This Row],[النولون]]</f>
        <v>0</v>
      </c>
      <c r="K32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24" s="1">
        <f>M323+Table118192023103031323538394041[[#This Row],[اجمالي الفاتوره]]-Table118192023103031323538394041[[#This Row],[الدفعات]]</f>
        <v>345785.32</v>
      </c>
    </row>
    <row r="325" spans="9:13" ht="26.25" customHeight="1" x14ac:dyDescent="0.3">
      <c r="I325" s="1">
        <f>0.03*Table118192023103031323538394041[[#This Row],[النولون]]</f>
        <v>0</v>
      </c>
      <c r="K32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25" s="1">
        <f>M324+Table118192023103031323538394041[[#This Row],[اجمالي الفاتوره]]-Table118192023103031323538394041[[#This Row],[الدفعات]]</f>
        <v>345785.32</v>
      </c>
    </row>
    <row r="326" spans="9:13" ht="26.25" customHeight="1" x14ac:dyDescent="0.3">
      <c r="I326" s="1">
        <f>0.03*Table118192023103031323538394041[[#This Row],[النولون]]</f>
        <v>0</v>
      </c>
      <c r="K32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26" s="1">
        <f>M325+Table118192023103031323538394041[[#This Row],[اجمالي الفاتوره]]-Table118192023103031323538394041[[#This Row],[الدفعات]]</f>
        <v>345785.32</v>
      </c>
    </row>
    <row r="327" spans="9:13" ht="26.25" customHeight="1" x14ac:dyDescent="0.3">
      <c r="I327" s="1">
        <f>0.03*Table118192023103031323538394041[[#This Row],[النولون]]</f>
        <v>0</v>
      </c>
      <c r="K32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27" s="1">
        <f>M326+Table118192023103031323538394041[[#This Row],[اجمالي الفاتوره]]-Table118192023103031323538394041[[#This Row],[الدفعات]]</f>
        <v>345785.32</v>
      </c>
    </row>
    <row r="328" spans="9:13" ht="26.25" customHeight="1" x14ac:dyDescent="0.3">
      <c r="I328" s="1">
        <f>0.03*Table118192023103031323538394041[[#This Row],[النولون]]</f>
        <v>0</v>
      </c>
      <c r="K32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28" s="1">
        <f>M327+Table118192023103031323538394041[[#This Row],[اجمالي الفاتوره]]-Table118192023103031323538394041[[#This Row],[الدفعات]]</f>
        <v>345785.32</v>
      </c>
    </row>
    <row r="329" spans="9:13" ht="26.25" customHeight="1" x14ac:dyDescent="0.3">
      <c r="I329" s="1">
        <f>0.03*Table118192023103031323538394041[[#This Row],[النولون]]</f>
        <v>0</v>
      </c>
      <c r="K32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29" s="1">
        <f>M328+Table118192023103031323538394041[[#This Row],[اجمالي الفاتوره]]-Table118192023103031323538394041[[#This Row],[الدفعات]]</f>
        <v>345785.32</v>
      </c>
    </row>
    <row r="330" spans="9:13" ht="26.25" customHeight="1" x14ac:dyDescent="0.3">
      <c r="I330" s="1">
        <f>0.03*Table118192023103031323538394041[[#This Row],[النولون]]</f>
        <v>0</v>
      </c>
      <c r="K330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30" s="1">
        <f>M329+Table118192023103031323538394041[[#This Row],[اجمالي الفاتوره]]-Table118192023103031323538394041[[#This Row],[الدفعات]]</f>
        <v>345785.32</v>
      </c>
    </row>
    <row r="331" spans="9:13" ht="26.25" customHeight="1" x14ac:dyDescent="0.3">
      <c r="I331" s="1">
        <f>0.03*Table118192023103031323538394041[[#This Row],[النولون]]</f>
        <v>0</v>
      </c>
      <c r="K331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31" s="1">
        <f>M330+Table118192023103031323538394041[[#This Row],[اجمالي الفاتوره]]-Table118192023103031323538394041[[#This Row],[الدفعات]]</f>
        <v>345785.32</v>
      </c>
    </row>
    <row r="332" spans="9:13" ht="26.25" customHeight="1" x14ac:dyDescent="0.3">
      <c r="I332" s="1">
        <f>0.03*Table118192023103031323538394041[[#This Row],[النولون]]</f>
        <v>0</v>
      </c>
      <c r="K332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32" s="1">
        <f>M331+Table118192023103031323538394041[[#This Row],[اجمالي الفاتوره]]-Table118192023103031323538394041[[#This Row],[الدفعات]]</f>
        <v>345785.32</v>
      </c>
    </row>
    <row r="333" spans="9:13" ht="26.25" customHeight="1" x14ac:dyDescent="0.3">
      <c r="I333" s="1">
        <f>0.03*Table118192023103031323538394041[[#This Row],[النولون]]</f>
        <v>0</v>
      </c>
      <c r="K333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33" s="1">
        <f>M332+Table118192023103031323538394041[[#This Row],[اجمالي الفاتوره]]-Table118192023103031323538394041[[#This Row],[الدفعات]]</f>
        <v>345785.32</v>
      </c>
    </row>
    <row r="334" spans="9:13" ht="26.25" customHeight="1" x14ac:dyDescent="0.3">
      <c r="I334" s="1">
        <f>0.03*Table118192023103031323538394041[[#This Row],[النولون]]</f>
        <v>0</v>
      </c>
      <c r="K334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34" s="1">
        <f>M333+Table118192023103031323538394041[[#This Row],[اجمالي الفاتوره]]-Table118192023103031323538394041[[#This Row],[الدفعات]]</f>
        <v>345785.32</v>
      </c>
    </row>
    <row r="335" spans="9:13" ht="26.25" customHeight="1" x14ac:dyDescent="0.3">
      <c r="I335" s="1">
        <f>0.03*Table118192023103031323538394041[[#This Row],[النولون]]</f>
        <v>0</v>
      </c>
      <c r="K335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35" s="1">
        <f>M334+Table118192023103031323538394041[[#This Row],[اجمالي الفاتوره]]-Table118192023103031323538394041[[#This Row],[الدفعات]]</f>
        <v>345785.32</v>
      </c>
    </row>
    <row r="336" spans="9:13" ht="26.25" customHeight="1" x14ac:dyDescent="0.3">
      <c r="I336" s="1">
        <f>0.03*Table118192023103031323538394041[[#This Row],[النولون]]</f>
        <v>0</v>
      </c>
      <c r="K336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36" s="1">
        <f>M335+Table118192023103031323538394041[[#This Row],[اجمالي الفاتوره]]-Table118192023103031323538394041[[#This Row],[الدفعات]]</f>
        <v>345785.32</v>
      </c>
    </row>
    <row r="337" spans="9:13" ht="26.25" customHeight="1" x14ac:dyDescent="0.3">
      <c r="I337" s="1">
        <f>0.03*Table118192023103031323538394041[[#This Row],[النولون]]</f>
        <v>0</v>
      </c>
      <c r="K337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37" s="1">
        <f>M336+Table118192023103031323538394041[[#This Row],[اجمالي الفاتوره]]-Table118192023103031323538394041[[#This Row],[الدفعات]]</f>
        <v>345785.32</v>
      </c>
    </row>
    <row r="338" spans="9:13" ht="26.25" customHeight="1" x14ac:dyDescent="0.3">
      <c r="I338" s="1">
        <f>0.03*Table118192023103031323538394041[[#This Row],[النولون]]</f>
        <v>0</v>
      </c>
      <c r="K338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38" s="1">
        <f>M337+Table118192023103031323538394041[[#This Row],[اجمالي الفاتوره]]-Table118192023103031323538394041[[#This Row],[الدفعات]]</f>
        <v>345785.32</v>
      </c>
    </row>
    <row r="339" spans="9:13" ht="26.25" customHeight="1" x14ac:dyDescent="0.3">
      <c r="I339" s="1">
        <f>0.03*Table118192023103031323538394041[[#This Row],[النولون]]</f>
        <v>0</v>
      </c>
      <c r="K339" s="1">
        <f>Table118192023103031323538394041[[#This Row],[النولون]]+Table118192023103031323538394041[[#This Row],[الايصالات]]-Table118192023103031323538394041[[#This Row],[خصم أ ت ص]]+Table118192023103031323538394041[[#This Row],[قيمة مضافة]]</f>
        <v>0</v>
      </c>
      <c r="M339" s="1">
        <f>M338+Table118192023103031323538394041[[#This Row],[اجمالي الفاتوره]]-Table118192023103031323538394041[[#This Row],[الدفعات]]</f>
        <v>345785.32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38"/>
  <sheetViews>
    <sheetView rightToLeft="1" zoomScale="90" zoomScaleNormal="90" workbookViewId="0">
      <selection activeCell="J6" sqref="J6"/>
    </sheetView>
  </sheetViews>
  <sheetFormatPr defaultColWidth="9.109375" defaultRowHeight="15.6" x14ac:dyDescent="0.3"/>
  <cols>
    <col min="1" max="1" width="8.77734375" style="1" customWidth="1"/>
    <col min="2" max="2" width="11" style="1" customWidth="1"/>
    <col min="3" max="3" width="15.109375" style="1" customWidth="1"/>
    <col min="4" max="4" width="11.21875" style="1" customWidth="1"/>
    <col min="5" max="5" width="24.109375" style="1" customWidth="1"/>
    <col min="6" max="6" width="13" style="1" customWidth="1"/>
    <col min="7" max="7" width="11.6640625" style="1" customWidth="1"/>
    <col min="8" max="8" width="11.77734375" style="1" customWidth="1"/>
    <col min="9" max="9" width="7" style="1" customWidth="1"/>
    <col min="10" max="10" width="10.77734375" style="1" customWidth="1"/>
    <col min="11" max="11" width="12" style="1" customWidth="1"/>
    <col min="12" max="12" width="17.21875" style="1" bestFit="1" customWidth="1"/>
    <col min="13" max="13" width="15.21875" style="1" customWidth="1"/>
    <col min="14" max="14" width="12.109375" style="1" customWidth="1"/>
    <col min="15" max="16384" width="9.109375" style="1"/>
  </cols>
  <sheetData>
    <row r="1" spans="1:15" ht="26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8" t="s">
        <v>20</v>
      </c>
    </row>
    <row r="2" spans="1:15" ht="26.25" customHeight="1" x14ac:dyDescent="0.3">
      <c r="A2" s="1">
        <v>1</v>
      </c>
      <c r="B2" s="2" t="s">
        <v>442</v>
      </c>
      <c r="C2" s="1" t="s">
        <v>519</v>
      </c>
      <c r="D2" s="1" t="s">
        <v>520</v>
      </c>
      <c r="E2" s="1">
        <v>170691</v>
      </c>
      <c r="F2" s="1" t="s">
        <v>120</v>
      </c>
      <c r="G2" s="1">
        <v>10500</v>
      </c>
      <c r="J2" s="1">
        <f>850+362.27+1232</f>
        <v>2444.27</v>
      </c>
      <c r="K2" s="1">
        <f>Table118192023272829[[#This Row],[النولون]]+Table118192023272829[[#This Row],[الايصالات]]-Table118192023272829[[#This Row],[خصم أ ت ص]]+Table118192023272829[[#This Row],[قيمة مضافة]]</f>
        <v>12944.27</v>
      </c>
      <c r="M2" s="1">
        <f>Table118192023272829[[#This Row],[اجمالي الفاتوره]]</f>
        <v>12944.27</v>
      </c>
      <c r="O2" s="48"/>
    </row>
    <row r="3" spans="1:15" ht="26.25" customHeight="1" x14ac:dyDescent="0.3">
      <c r="A3" s="96"/>
      <c r="B3" s="72" t="s">
        <v>442</v>
      </c>
      <c r="C3" s="96"/>
      <c r="D3" s="96"/>
      <c r="E3" s="96"/>
      <c r="F3" s="96"/>
      <c r="G3" s="72"/>
      <c r="H3" s="72"/>
      <c r="I3" s="72"/>
      <c r="J3" s="96"/>
      <c r="K3" s="72">
        <f>Table118192023272829[[#This Row],[النولون]]+Table118192023272829[[#This Row],[الايصالات]]-Table118192023272829[[#This Row],[خصم أ ت ص]]+Table118192023272829[[#This Row],[قيمة مضافة]]</f>
        <v>0</v>
      </c>
      <c r="L3" s="72">
        <v>12944.27</v>
      </c>
      <c r="M3" s="72">
        <f>M2+Table118192023272829[[#This Row],[اجمالي الفاتوره]]-Table118192023272829[[#This Row],[الدفعات]]</f>
        <v>0</v>
      </c>
      <c r="O3" s="48"/>
    </row>
    <row r="4" spans="1:15" ht="26.25" customHeight="1" x14ac:dyDescent="0.3">
      <c r="A4" s="1">
        <v>2</v>
      </c>
      <c r="B4" s="2">
        <v>46145</v>
      </c>
      <c r="C4" s="1" t="s">
        <v>519</v>
      </c>
      <c r="D4" s="1" t="s">
        <v>520</v>
      </c>
      <c r="E4" s="1">
        <v>207049</v>
      </c>
      <c r="F4" s="1" t="s">
        <v>133</v>
      </c>
      <c r="G4" s="1">
        <v>14500</v>
      </c>
      <c r="J4" s="1">
        <f>1639.38+2740</f>
        <v>4379.38</v>
      </c>
      <c r="K4" s="1">
        <f>Table118192023272829[[#This Row],[النولون]]+Table118192023272829[[#This Row],[الايصالات]]-Table118192023272829[[#This Row],[خصم أ ت ص]]+Table118192023272829[[#This Row],[قيمة مضافة]]</f>
        <v>18879.38</v>
      </c>
      <c r="M4" s="1">
        <f>M3+Table118192023272829[[#This Row],[اجمالي الفاتوره]]-Table118192023272829[[#This Row],[الدفعات]]</f>
        <v>18879.38</v>
      </c>
      <c r="O4" s="48"/>
    </row>
    <row r="5" spans="1:15" ht="26.25" customHeight="1" x14ac:dyDescent="0.3">
      <c r="A5" s="72"/>
      <c r="B5" s="73">
        <v>46147</v>
      </c>
      <c r="C5" s="72"/>
      <c r="D5" s="72"/>
      <c r="E5" s="72"/>
      <c r="F5" s="72"/>
      <c r="G5" s="72"/>
      <c r="H5" s="72"/>
      <c r="I5" s="72"/>
      <c r="J5" s="72"/>
      <c r="K5" s="72">
        <f>Table118192023272829[[#This Row],[النولون]]+Table118192023272829[[#This Row],[الايصالات]]-Table118192023272829[[#This Row],[خصم أ ت ص]]+Table118192023272829[[#This Row],[قيمة مضافة]]</f>
        <v>0</v>
      </c>
      <c r="L5" s="72">
        <v>15000</v>
      </c>
      <c r="M5" s="72">
        <f>M4+Table118192023272829[[#This Row],[اجمالي الفاتوره]]-Table118192023272829[[#This Row],[الدفعات]]</f>
        <v>3879.380000000001</v>
      </c>
      <c r="O5" s="48"/>
    </row>
    <row r="6" spans="1:15" ht="26.25" customHeight="1" x14ac:dyDescent="0.3">
      <c r="A6" s="72"/>
      <c r="B6" s="73">
        <v>46147</v>
      </c>
      <c r="C6" s="72"/>
      <c r="D6" s="72"/>
      <c r="E6" s="72" t="s">
        <v>525</v>
      </c>
      <c r="F6" s="72"/>
      <c r="G6" s="72"/>
      <c r="H6" s="72"/>
      <c r="I6" s="72"/>
      <c r="J6" s="72"/>
      <c r="K6" s="72">
        <f>Table118192023272829[[#This Row],[النولون]]+Table118192023272829[[#This Row],[الايصالات]]-Table118192023272829[[#This Row],[خصم أ ت ص]]+Table118192023272829[[#This Row],[قيمة مضافة]]</f>
        <v>0</v>
      </c>
      <c r="L6" s="72">
        <v>3879.38</v>
      </c>
      <c r="M6" s="72">
        <f>M5+Table118192023272829[[#This Row],[اجمالي الفاتوره]]-Table118192023272829[[#This Row],[الدفعات]]</f>
        <v>0</v>
      </c>
      <c r="O6" s="48"/>
    </row>
    <row r="7" spans="1:15" ht="26.25" customHeight="1" x14ac:dyDescent="0.3">
      <c r="B7" s="2"/>
      <c r="K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7" s="1">
        <f>M6+Table118192023272829[[#This Row],[اجمالي الفاتوره]]-Table118192023272829[[#This Row],[الدفعات]]</f>
        <v>0</v>
      </c>
      <c r="O7" s="48"/>
    </row>
    <row r="8" spans="1:15" ht="26.25" customHeight="1" x14ac:dyDescent="0.3">
      <c r="B8" s="2"/>
      <c r="K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8" s="1">
        <f>M7+Table118192023272829[[#This Row],[اجمالي الفاتوره]]-Table118192023272829[[#This Row],[الدفعات]]</f>
        <v>0</v>
      </c>
      <c r="O8" s="48"/>
    </row>
    <row r="9" spans="1:15" ht="26.25" customHeight="1" x14ac:dyDescent="0.3">
      <c r="B9" s="2"/>
      <c r="K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9" s="1">
        <f>M8+Table118192023272829[[#This Row],[اجمالي الفاتوره]]-Table118192023272829[[#This Row],[الدفعات]]</f>
        <v>0</v>
      </c>
      <c r="O9" s="48"/>
    </row>
    <row r="10" spans="1:15" ht="26.25" customHeight="1" x14ac:dyDescent="0.3">
      <c r="B10" s="2"/>
      <c r="K1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0" s="1">
        <f>M9+Table118192023272829[[#This Row],[اجمالي الفاتوره]]-Table118192023272829[[#This Row],[الدفعات]]</f>
        <v>0</v>
      </c>
      <c r="O10" s="48"/>
    </row>
    <row r="11" spans="1:15" ht="26.25" customHeight="1" x14ac:dyDescent="0.3">
      <c r="B11" s="2"/>
      <c r="K1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1" s="1">
        <f>M10+Table118192023272829[[#This Row],[اجمالي الفاتوره]]-Table118192023272829[[#This Row],[الدفعات]]</f>
        <v>0</v>
      </c>
      <c r="O11" s="48"/>
    </row>
    <row r="12" spans="1:15" ht="26.25" customHeight="1" x14ac:dyDescent="0.3">
      <c r="B12" s="2"/>
      <c r="K1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2" s="1">
        <f>M11+Table118192023272829[[#This Row],[اجمالي الفاتوره]]-Table118192023272829[[#This Row],[الدفعات]]</f>
        <v>0</v>
      </c>
      <c r="O12" s="48"/>
    </row>
    <row r="13" spans="1:15" ht="26.25" customHeight="1" x14ac:dyDescent="0.3">
      <c r="B13" s="2"/>
      <c r="K1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3" s="1">
        <f>M12+Table118192023272829[[#This Row],[اجمالي الفاتوره]]-Table118192023272829[[#This Row],[الدفعات]]</f>
        <v>0</v>
      </c>
      <c r="O13" s="48"/>
    </row>
    <row r="14" spans="1:15" ht="26.25" customHeight="1" x14ac:dyDescent="0.3">
      <c r="B14" s="2"/>
      <c r="K1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4" s="1">
        <f>M13+Table118192023272829[[#This Row],[اجمالي الفاتوره]]-Table118192023272829[[#This Row],[الدفعات]]</f>
        <v>0</v>
      </c>
      <c r="O14" s="48"/>
    </row>
    <row r="15" spans="1:15" ht="26.25" customHeight="1" x14ac:dyDescent="0.3">
      <c r="B15" s="2"/>
      <c r="K1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5" s="1">
        <f>M14+Table118192023272829[[#This Row],[اجمالي الفاتوره]]-Table118192023272829[[#This Row],[الدفعات]]</f>
        <v>0</v>
      </c>
      <c r="O15" s="48"/>
    </row>
    <row r="16" spans="1:15" ht="26.25" customHeight="1" x14ac:dyDescent="0.3">
      <c r="B16" s="2"/>
      <c r="K1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6" s="1">
        <f>M15+Table118192023272829[[#This Row],[اجمالي الفاتوره]]-Table118192023272829[[#This Row],[الدفعات]]</f>
        <v>0</v>
      </c>
      <c r="N16" s="1">
        <f>SUM(K:K)-SUM(L:L)</f>
        <v>0</v>
      </c>
      <c r="O16" s="48">
        <f>SUM(H:H)</f>
        <v>0</v>
      </c>
    </row>
    <row r="17" spans="2:15" ht="26.25" customHeight="1" x14ac:dyDescent="0.3">
      <c r="B17" s="2"/>
      <c r="K1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7" s="1">
        <f>M16+Table118192023272829[[#This Row],[اجمالي الفاتوره]]-Table118192023272829[[#This Row],[الدفعات]]</f>
        <v>0</v>
      </c>
      <c r="O17" s="48"/>
    </row>
    <row r="18" spans="2:15" ht="26.25" customHeight="1" x14ac:dyDescent="0.3">
      <c r="B18" s="2"/>
      <c r="K1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8" s="1">
        <f>M17+Table118192023272829[[#This Row],[اجمالي الفاتوره]]-Table118192023272829[[#This Row],[الدفعات]]</f>
        <v>0</v>
      </c>
      <c r="O18" s="48"/>
    </row>
    <row r="19" spans="2:15" ht="26.25" customHeight="1" x14ac:dyDescent="0.3">
      <c r="B19" s="2"/>
      <c r="K1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9" s="1">
        <f>M18+Table118192023272829[[#This Row],[اجمالي الفاتوره]]-Table118192023272829[[#This Row],[الدفعات]]</f>
        <v>0</v>
      </c>
      <c r="O19" s="48"/>
    </row>
    <row r="20" spans="2:15" ht="26.25" customHeight="1" x14ac:dyDescent="0.3">
      <c r="B20" s="2"/>
      <c r="K2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0" s="1">
        <f>M19+Table118192023272829[[#This Row],[اجمالي الفاتوره]]-Table118192023272829[[#This Row],[الدفعات]]</f>
        <v>0</v>
      </c>
      <c r="O20" s="48"/>
    </row>
    <row r="21" spans="2:15" ht="26.25" customHeight="1" x14ac:dyDescent="0.3">
      <c r="B21" s="2"/>
      <c r="K2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1" s="1">
        <f>M20+Table118192023272829[[#This Row],[اجمالي الفاتوره]]-Table118192023272829[[#This Row],[الدفعات]]</f>
        <v>0</v>
      </c>
      <c r="O21" s="48"/>
    </row>
    <row r="22" spans="2:15" ht="26.25" customHeight="1" x14ac:dyDescent="0.3">
      <c r="B22" s="2"/>
      <c r="K2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2" s="1">
        <f>M21+Table118192023272829[[#This Row],[اجمالي الفاتوره]]-Table118192023272829[[#This Row],[الدفعات]]</f>
        <v>0</v>
      </c>
      <c r="O22" s="48"/>
    </row>
    <row r="23" spans="2:15" ht="26.25" customHeight="1" x14ac:dyDescent="0.3">
      <c r="B23" s="2"/>
      <c r="K2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3" s="1">
        <f>M22+Table118192023272829[[#This Row],[اجمالي الفاتوره]]-Table118192023272829[[#This Row],[الدفعات]]</f>
        <v>0</v>
      </c>
      <c r="O23" s="48"/>
    </row>
    <row r="24" spans="2:15" ht="26.25" customHeight="1" x14ac:dyDescent="0.3">
      <c r="K2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4" s="1">
        <f>M23+Table118192023272829[[#This Row],[اجمالي الفاتوره]]-Table118192023272829[[#This Row],[الدفعات]]</f>
        <v>0</v>
      </c>
      <c r="O24" s="48"/>
    </row>
    <row r="25" spans="2:15" ht="26.25" customHeight="1" x14ac:dyDescent="0.3">
      <c r="K2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5" s="1">
        <f>M24+Table118192023272829[[#This Row],[اجمالي الفاتوره]]-Table118192023272829[[#This Row],[الدفعات]]</f>
        <v>0</v>
      </c>
      <c r="O25" s="48"/>
    </row>
    <row r="26" spans="2:15" ht="26.25" customHeight="1" x14ac:dyDescent="0.3">
      <c r="B26" s="2"/>
      <c r="K2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6" s="1">
        <f>M25+Table118192023272829[[#This Row],[اجمالي الفاتوره]]-Table118192023272829[[#This Row],[الدفعات]]</f>
        <v>0</v>
      </c>
      <c r="O26" s="48"/>
    </row>
    <row r="27" spans="2:15" ht="26.25" customHeight="1" x14ac:dyDescent="0.3">
      <c r="B27" s="2"/>
      <c r="K2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7" s="1">
        <f>M26+Table118192023272829[[#This Row],[اجمالي الفاتوره]]-Table118192023272829[[#This Row],[الدفعات]]</f>
        <v>0</v>
      </c>
      <c r="O27" s="48"/>
    </row>
    <row r="28" spans="2:15" ht="26.25" customHeight="1" x14ac:dyDescent="0.3">
      <c r="B28" s="2"/>
      <c r="K2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8" s="1">
        <f>M27+Table118192023272829[[#This Row],[اجمالي الفاتوره]]-Table118192023272829[[#This Row],[الدفعات]]</f>
        <v>0</v>
      </c>
      <c r="O28" s="48"/>
    </row>
    <row r="29" spans="2:15" ht="26.25" customHeight="1" x14ac:dyDescent="0.3">
      <c r="B29" s="2"/>
      <c r="K2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9" s="1">
        <f>M28+Table118192023272829[[#This Row],[اجمالي الفاتوره]]-Table118192023272829[[#This Row],[الدفعات]]</f>
        <v>0</v>
      </c>
      <c r="O29" s="48"/>
    </row>
    <row r="30" spans="2:15" ht="26.25" customHeight="1" x14ac:dyDescent="0.3">
      <c r="K3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0" s="1">
        <f>M29+Table118192023272829[[#This Row],[اجمالي الفاتوره]]-Table118192023272829[[#This Row],[الدفعات]]</f>
        <v>0</v>
      </c>
      <c r="O30" s="48"/>
    </row>
    <row r="31" spans="2:15" ht="26.25" customHeight="1" x14ac:dyDescent="0.3">
      <c r="B31" s="2"/>
      <c r="K3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1" s="1">
        <f>M30+Table118192023272829[[#This Row],[اجمالي الفاتوره]]-Table118192023272829[[#This Row],[الدفعات]]</f>
        <v>0</v>
      </c>
      <c r="O31" s="48"/>
    </row>
    <row r="32" spans="2:15" ht="26.25" customHeight="1" x14ac:dyDescent="0.3">
      <c r="K3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2" s="1">
        <f>M31+Table118192023272829[[#This Row],[اجمالي الفاتوره]]-Table118192023272829[[#This Row],[الدفعات]]</f>
        <v>0</v>
      </c>
      <c r="O32" s="48"/>
    </row>
    <row r="33" spans="2:15" ht="26.25" customHeight="1" x14ac:dyDescent="0.3">
      <c r="K3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3" s="1">
        <f>M32+Table118192023272829[[#This Row],[اجمالي الفاتوره]]-Table118192023272829[[#This Row],[الدفعات]]</f>
        <v>0</v>
      </c>
      <c r="O33" s="48"/>
    </row>
    <row r="34" spans="2:15" ht="26.25" customHeight="1" x14ac:dyDescent="0.3">
      <c r="K3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4" s="1">
        <f>M33+Table118192023272829[[#This Row],[اجمالي الفاتوره]]-Table118192023272829[[#This Row],[الدفعات]]</f>
        <v>0</v>
      </c>
      <c r="O34" s="48"/>
    </row>
    <row r="35" spans="2:15" ht="26.25" customHeight="1" x14ac:dyDescent="0.3">
      <c r="B35" s="2"/>
      <c r="C35" s="2"/>
      <c r="K3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5" s="1">
        <f>M34+Table118192023272829[[#This Row],[اجمالي الفاتوره]]-Table118192023272829[[#This Row],[الدفعات]]</f>
        <v>0</v>
      </c>
      <c r="O35" s="48"/>
    </row>
    <row r="36" spans="2:15" ht="26.25" customHeight="1" x14ac:dyDescent="0.3">
      <c r="K3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6" s="1">
        <f>M35+Table118192023272829[[#This Row],[اجمالي الفاتوره]]-Table118192023272829[[#This Row],[الدفعات]]</f>
        <v>0</v>
      </c>
      <c r="O36" s="48"/>
    </row>
    <row r="37" spans="2:15" ht="26.25" customHeight="1" x14ac:dyDescent="0.3">
      <c r="K3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7" s="1">
        <f>M36+Table118192023272829[[#This Row],[اجمالي الفاتوره]]-Table118192023272829[[#This Row],[الدفعات]]</f>
        <v>0</v>
      </c>
      <c r="O37" s="48"/>
    </row>
    <row r="38" spans="2:15" ht="26.25" customHeight="1" x14ac:dyDescent="0.3">
      <c r="K3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8" s="1">
        <f>M37+Table118192023272829[[#This Row],[اجمالي الفاتوره]]-Table118192023272829[[#This Row],[الدفعات]]</f>
        <v>0</v>
      </c>
      <c r="O38" s="48"/>
    </row>
    <row r="39" spans="2:15" ht="26.25" customHeight="1" x14ac:dyDescent="0.3">
      <c r="K3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9" s="1">
        <f>M38+Table118192023272829[[#This Row],[اجمالي الفاتوره]]-Table118192023272829[[#This Row],[الدفعات]]</f>
        <v>0</v>
      </c>
      <c r="O39" s="48"/>
    </row>
    <row r="40" spans="2:15" ht="26.25" customHeight="1" x14ac:dyDescent="0.3">
      <c r="K4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40" s="1">
        <f>M39+Table118192023272829[[#This Row],[اجمالي الفاتوره]]-Table118192023272829[[#This Row],[الدفعات]]</f>
        <v>0</v>
      </c>
      <c r="O40" s="48"/>
    </row>
    <row r="41" spans="2:15" ht="26.25" customHeight="1" x14ac:dyDescent="0.3">
      <c r="K4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41" s="1">
        <f>M40+Table118192023272829[[#This Row],[اجمالي الفاتوره]]-Table118192023272829[[#This Row],[الدفعات]]</f>
        <v>0</v>
      </c>
      <c r="O41" s="48"/>
    </row>
    <row r="42" spans="2:15" ht="26.25" customHeight="1" x14ac:dyDescent="0.3">
      <c r="K4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42" s="1">
        <f>M41+Table118192023272829[[#This Row],[اجمالي الفاتوره]]-Table118192023272829[[#This Row],[الدفعات]]</f>
        <v>0</v>
      </c>
      <c r="O42" s="48"/>
    </row>
    <row r="43" spans="2:15" ht="26.25" customHeight="1" x14ac:dyDescent="0.3">
      <c r="K4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43" s="1">
        <f>M42+Table118192023272829[[#This Row],[اجمالي الفاتوره]]-Table118192023272829[[#This Row],[الدفعات]]</f>
        <v>0</v>
      </c>
      <c r="O43" s="48"/>
    </row>
    <row r="44" spans="2:15" ht="26.25" customHeight="1" x14ac:dyDescent="0.3">
      <c r="K4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44" s="1">
        <f>M43+Table118192023272829[[#This Row],[اجمالي الفاتوره]]-Table118192023272829[[#This Row],[الدفعات]]</f>
        <v>0</v>
      </c>
      <c r="O44" s="48"/>
    </row>
    <row r="45" spans="2:15" ht="26.25" customHeight="1" x14ac:dyDescent="0.3">
      <c r="K4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45" s="1">
        <f>M44+Table118192023272829[[#This Row],[اجمالي الفاتوره]]-Table118192023272829[[#This Row],[الدفعات]]</f>
        <v>0</v>
      </c>
      <c r="O45" s="48"/>
    </row>
    <row r="46" spans="2:15" ht="26.25" customHeight="1" x14ac:dyDescent="0.3">
      <c r="K4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46" s="1">
        <f>M45+Table118192023272829[[#This Row],[اجمالي الفاتوره]]-Table118192023272829[[#This Row],[الدفعات]]</f>
        <v>0</v>
      </c>
      <c r="O46" s="48"/>
    </row>
    <row r="47" spans="2:15" ht="26.25" customHeight="1" x14ac:dyDescent="0.3">
      <c r="K4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47" s="1">
        <f>M46+Table118192023272829[[#This Row],[اجمالي الفاتوره]]-Table118192023272829[[#This Row],[الدفعات]]</f>
        <v>0</v>
      </c>
      <c r="O47" s="48"/>
    </row>
    <row r="48" spans="2:15" ht="26.25" customHeight="1" x14ac:dyDescent="0.3">
      <c r="K4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48" s="1">
        <f>M47+Table118192023272829[[#This Row],[اجمالي الفاتوره]]-Table118192023272829[[#This Row],[الدفعات]]</f>
        <v>0</v>
      </c>
      <c r="O48" s="48"/>
    </row>
    <row r="49" spans="11:15" ht="26.25" customHeight="1" x14ac:dyDescent="0.3">
      <c r="K4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49" s="1">
        <f>M48+Table118192023272829[[#This Row],[اجمالي الفاتوره]]-Table118192023272829[[#This Row],[الدفعات]]</f>
        <v>0</v>
      </c>
      <c r="O49" s="48"/>
    </row>
    <row r="50" spans="11:15" ht="26.25" customHeight="1" x14ac:dyDescent="0.3">
      <c r="K5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50" s="1">
        <f>M49+Table118192023272829[[#This Row],[اجمالي الفاتوره]]-Table118192023272829[[#This Row],[الدفعات]]</f>
        <v>0</v>
      </c>
      <c r="O50" s="48"/>
    </row>
    <row r="51" spans="11:15" ht="26.25" customHeight="1" x14ac:dyDescent="0.3">
      <c r="K5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51" s="1">
        <f>M50+Table118192023272829[[#This Row],[اجمالي الفاتوره]]-Table118192023272829[[#This Row],[الدفعات]]</f>
        <v>0</v>
      </c>
      <c r="O51" s="48"/>
    </row>
    <row r="52" spans="11:15" ht="26.25" customHeight="1" x14ac:dyDescent="0.3">
      <c r="K5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52" s="1">
        <f>M51+Table118192023272829[[#This Row],[اجمالي الفاتوره]]-Table118192023272829[[#This Row],[الدفعات]]</f>
        <v>0</v>
      </c>
      <c r="O52" s="48"/>
    </row>
    <row r="53" spans="11:15" ht="26.25" customHeight="1" x14ac:dyDescent="0.3">
      <c r="K5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53" s="1">
        <f>M52+Table118192023272829[[#This Row],[اجمالي الفاتوره]]-Table118192023272829[[#This Row],[الدفعات]]</f>
        <v>0</v>
      </c>
      <c r="O53" s="48"/>
    </row>
    <row r="54" spans="11:15" ht="26.25" customHeight="1" x14ac:dyDescent="0.3">
      <c r="K5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54" s="1">
        <f>M53+Table118192023272829[[#This Row],[اجمالي الفاتوره]]-Table118192023272829[[#This Row],[الدفعات]]</f>
        <v>0</v>
      </c>
      <c r="O54" s="48"/>
    </row>
    <row r="55" spans="11:15" ht="26.25" customHeight="1" x14ac:dyDescent="0.3">
      <c r="K5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55" s="1">
        <f>M54+Table118192023272829[[#This Row],[اجمالي الفاتوره]]-Table118192023272829[[#This Row],[الدفعات]]</f>
        <v>0</v>
      </c>
      <c r="O55" s="48"/>
    </row>
    <row r="56" spans="11:15" ht="26.25" customHeight="1" x14ac:dyDescent="0.3">
      <c r="K5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56" s="1">
        <f>M55+Table118192023272829[[#This Row],[اجمالي الفاتوره]]-Table118192023272829[[#This Row],[الدفعات]]</f>
        <v>0</v>
      </c>
      <c r="O56" s="48"/>
    </row>
    <row r="57" spans="11:15" ht="26.25" customHeight="1" x14ac:dyDescent="0.3">
      <c r="K5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57" s="1">
        <f>M56+Table118192023272829[[#This Row],[اجمالي الفاتوره]]-Table118192023272829[[#This Row],[الدفعات]]</f>
        <v>0</v>
      </c>
      <c r="O57" s="48"/>
    </row>
    <row r="58" spans="11:15" ht="26.25" customHeight="1" x14ac:dyDescent="0.3">
      <c r="K5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58" s="1">
        <f>M57+Table118192023272829[[#This Row],[اجمالي الفاتوره]]-Table118192023272829[[#This Row],[الدفعات]]</f>
        <v>0</v>
      </c>
      <c r="O58" s="48"/>
    </row>
    <row r="59" spans="11:15" ht="26.25" customHeight="1" x14ac:dyDescent="0.3">
      <c r="K5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59" s="1">
        <f>M58+Table118192023272829[[#This Row],[اجمالي الفاتوره]]-Table118192023272829[[#This Row],[الدفعات]]</f>
        <v>0</v>
      </c>
      <c r="O59" s="48"/>
    </row>
    <row r="60" spans="11:15" ht="26.25" customHeight="1" x14ac:dyDescent="0.3">
      <c r="K6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60" s="1">
        <f>M59+Table118192023272829[[#This Row],[اجمالي الفاتوره]]-Table118192023272829[[#This Row],[الدفعات]]</f>
        <v>0</v>
      </c>
      <c r="O60" s="48"/>
    </row>
    <row r="61" spans="11:15" ht="26.25" customHeight="1" x14ac:dyDescent="0.3">
      <c r="K6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61" s="1">
        <f>M60+Table118192023272829[[#This Row],[اجمالي الفاتوره]]-Table118192023272829[[#This Row],[الدفعات]]</f>
        <v>0</v>
      </c>
      <c r="O61" s="48"/>
    </row>
    <row r="62" spans="11:15" ht="26.25" customHeight="1" x14ac:dyDescent="0.3">
      <c r="K6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62" s="1">
        <f>M61+Table118192023272829[[#This Row],[اجمالي الفاتوره]]-Table118192023272829[[#This Row],[الدفعات]]</f>
        <v>0</v>
      </c>
      <c r="O62" s="48"/>
    </row>
    <row r="63" spans="11:15" ht="26.25" customHeight="1" x14ac:dyDescent="0.3">
      <c r="K6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63" s="1">
        <f>M62+Table118192023272829[[#This Row],[اجمالي الفاتوره]]-Table118192023272829[[#This Row],[الدفعات]]</f>
        <v>0</v>
      </c>
      <c r="O63" s="48"/>
    </row>
    <row r="64" spans="11:15" ht="26.25" customHeight="1" x14ac:dyDescent="0.3">
      <c r="K6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64" s="1">
        <f>M63+Table118192023272829[[#This Row],[اجمالي الفاتوره]]-Table118192023272829[[#This Row],[الدفعات]]</f>
        <v>0</v>
      </c>
      <c r="O64" s="48"/>
    </row>
    <row r="65" spans="11:15" ht="26.25" customHeight="1" x14ac:dyDescent="0.3">
      <c r="K6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65" s="1">
        <f>M64+Table118192023272829[[#This Row],[اجمالي الفاتوره]]-Table118192023272829[[#This Row],[الدفعات]]</f>
        <v>0</v>
      </c>
      <c r="O65" s="48"/>
    </row>
    <row r="66" spans="11:15" ht="26.25" customHeight="1" x14ac:dyDescent="0.3">
      <c r="K6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66" s="1">
        <f>M65+Table118192023272829[[#This Row],[اجمالي الفاتوره]]-Table118192023272829[[#This Row],[الدفعات]]</f>
        <v>0</v>
      </c>
      <c r="O66" s="48"/>
    </row>
    <row r="67" spans="11:15" ht="26.25" customHeight="1" x14ac:dyDescent="0.3">
      <c r="K6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67" s="1">
        <f>M66+Table118192023272829[[#This Row],[اجمالي الفاتوره]]-Table118192023272829[[#This Row],[الدفعات]]</f>
        <v>0</v>
      </c>
      <c r="O67" s="48"/>
    </row>
    <row r="68" spans="11:15" ht="26.25" customHeight="1" x14ac:dyDescent="0.3">
      <c r="K6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68" s="1">
        <f>M67+Table118192023272829[[#This Row],[اجمالي الفاتوره]]-Table118192023272829[[#This Row],[الدفعات]]</f>
        <v>0</v>
      </c>
      <c r="O68" s="48"/>
    </row>
    <row r="69" spans="11:15" ht="26.25" customHeight="1" x14ac:dyDescent="0.3">
      <c r="K6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69" s="1">
        <f>M68+Table118192023272829[[#This Row],[اجمالي الفاتوره]]-Table118192023272829[[#This Row],[الدفعات]]</f>
        <v>0</v>
      </c>
      <c r="O69" s="48"/>
    </row>
    <row r="70" spans="11:15" ht="26.25" customHeight="1" x14ac:dyDescent="0.3">
      <c r="K7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70" s="1">
        <f>M69+Table118192023272829[[#This Row],[اجمالي الفاتوره]]-Table118192023272829[[#This Row],[الدفعات]]</f>
        <v>0</v>
      </c>
      <c r="O70" s="48"/>
    </row>
    <row r="71" spans="11:15" ht="26.25" customHeight="1" x14ac:dyDescent="0.3">
      <c r="K7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71" s="1">
        <f>M70+Table118192023272829[[#This Row],[اجمالي الفاتوره]]-Table118192023272829[[#This Row],[الدفعات]]</f>
        <v>0</v>
      </c>
      <c r="O71" s="48"/>
    </row>
    <row r="72" spans="11:15" ht="26.25" customHeight="1" x14ac:dyDescent="0.3">
      <c r="K7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72" s="1">
        <f>M71+Table118192023272829[[#This Row],[اجمالي الفاتوره]]-Table118192023272829[[#This Row],[الدفعات]]</f>
        <v>0</v>
      </c>
      <c r="O72" s="48"/>
    </row>
    <row r="73" spans="11:15" ht="26.25" customHeight="1" x14ac:dyDescent="0.3">
      <c r="K7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73" s="1">
        <f>M72+Table118192023272829[[#This Row],[اجمالي الفاتوره]]-Table118192023272829[[#This Row],[الدفعات]]</f>
        <v>0</v>
      </c>
      <c r="O73" s="48"/>
    </row>
    <row r="74" spans="11:15" ht="26.25" customHeight="1" x14ac:dyDescent="0.3">
      <c r="K7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74" s="1">
        <f>M73+Table118192023272829[[#This Row],[اجمالي الفاتوره]]-Table118192023272829[[#This Row],[الدفعات]]</f>
        <v>0</v>
      </c>
      <c r="O74" s="48"/>
    </row>
    <row r="75" spans="11:15" ht="26.25" customHeight="1" x14ac:dyDescent="0.3">
      <c r="K7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75" s="1">
        <f>M74+Table118192023272829[[#This Row],[اجمالي الفاتوره]]-Table118192023272829[[#This Row],[الدفعات]]</f>
        <v>0</v>
      </c>
      <c r="O75" s="48"/>
    </row>
    <row r="76" spans="11:15" ht="26.25" customHeight="1" x14ac:dyDescent="0.3">
      <c r="K7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76" s="1">
        <f>M75+Table118192023272829[[#This Row],[اجمالي الفاتوره]]-Table118192023272829[[#This Row],[الدفعات]]</f>
        <v>0</v>
      </c>
      <c r="O76" s="48"/>
    </row>
    <row r="77" spans="11:15" ht="26.25" customHeight="1" x14ac:dyDescent="0.3">
      <c r="K7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77" s="1">
        <f>M76+Table118192023272829[[#This Row],[اجمالي الفاتوره]]-Table118192023272829[[#This Row],[الدفعات]]</f>
        <v>0</v>
      </c>
      <c r="O77" s="48"/>
    </row>
    <row r="78" spans="11:15" ht="26.25" customHeight="1" x14ac:dyDescent="0.3">
      <c r="K7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78" s="1">
        <f>M77+Table118192023272829[[#This Row],[اجمالي الفاتوره]]-Table118192023272829[[#This Row],[الدفعات]]</f>
        <v>0</v>
      </c>
      <c r="O78" s="48"/>
    </row>
    <row r="79" spans="11:15" ht="26.25" customHeight="1" x14ac:dyDescent="0.3">
      <c r="K7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79" s="1">
        <f>M78+Table118192023272829[[#This Row],[اجمالي الفاتوره]]-Table118192023272829[[#This Row],[الدفعات]]</f>
        <v>0</v>
      </c>
      <c r="O79" s="48"/>
    </row>
    <row r="80" spans="11:15" ht="26.25" customHeight="1" x14ac:dyDescent="0.3">
      <c r="K8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80" s="1">
        <f>M79+Table118192023272829[[#This Row],[اجمالي الفاتوره]]-Table118192023272829[[#This Row],[الدفعات]]</f>
        <v>0</v>
      </c>
      <c r="O80" s="48"/>
    </row>
    <row r="81" spans="11:15" ht="26.25" customHeight="1" x14ac:dyDescent="0.3">
      <c r="K8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81" s="1">
        <f>M80+Table118192023272829[[#This Row],[اجمالي الفاتوره]]-Table118192023272829[[#This Row],[الدفعات]]</f>
        <v>0</v>
      </c>
      <c r="O81" s="48"/>
    </row>
    <row r="82" spans="11:15" ht="26.25" customHeight="1" x14ac:dyDescent="0.3">
      <c r="K8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82" s="1">
        <f>M81+Table118192023272829[[#This Row],[اجمالي الفاتوره]]-Table118192023272829[[#This Row],[الدفعات]]</f>
        <v>0</v>
      </c>
      <c r="O82" s="48"/>
    </row>
    <row r="83" spans="11:15" ht="26.25" customHeight="1" x14ac:dyDescent="0.3">
      <c r="K8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83" s="1">
        <f>M82+Table118192023272829[[#This Row],[اجمالي الفاتوره]]-Table118192023272829[[#This Row],[الدفعات]]</f>
        <v>0</v>
      </c>
      <c r="O83" s="48"/>
    </row>
    <row r="84" spans="11:15" ht="26.25" customHeight="1" x14ac:dyDescent="0.3">
      <c r="K8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84" s="1">
        <f>M83+Table118192023272829[[#This Row],[اجمالي الفاتوره]]-Table118192023272829[[#This Row],[الدفعات]]</f>
        <v>0</v>
      </c>
      <c r="O84" s="48"/>
    </row>
    <row r="85" spans="11:15" ht="26.25" customHeight="1" x14ac:dyDescent="0.3">
      <c r="K8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85" s="1">
        <f>M84+Table118192023272829[[#This Row],[اجمالي الفاتوره]]-Table118192023272829[[#This Row],[الدفعات]]</f>
        <v>0</v>
      </c>
      <c r="O85" s="48"/>
    </row>
    <row r="86" spans="11:15" ht="26.25" customHeight="1" x14ac:dyDescent="0.3">
      <c r="K8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86" s="1">
        <f>M85+Table118192023272829[[#This Row],[اجمالي الفاتوره]]-Table118192023272829[[#This Row],[الدفعات]]</f>
        <v>0</v>
      </c>
      <c r="O86" s="48"/>
    </row>
    <row r="87" spans="11:15" ht="26.25" customHeight="1" x14ac:dyDescent="0.3">
      <c r="K8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87" s="1">
        <f>M86+Table118192023272829[[#This Row],[اجمالي الفاتوره]]-Table118192023272829[[#This Row],[الدفعات]]</f>
        <v>0</v>
      </c>
      <c r="O87" s="48"/>
    </row>
    <row r="88" spans="11:15" ht="26.25" customHeight="1" x14ac:dyDescent="0.3">
      <c r="K8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88" s="1">
        <f>M87+Table118192023272829[[#This Row],[اجمالي الفاتوره]]-Table118192023272829[[#This Row],[الدفعات]]</f>
        <v>0</v>
      </c>
      <c r="O88" s="48"/>
    </row>
    <row r="89" spans="11:15" ht="26.25" customHeight="1" x14ac:dyDescent="0.3">
      <c r="K8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89" s="1">
        <f>M88+Table118192023272829[[#This Row],[اجمالي الفاتوره]]-Table118192023272829[[#This Row],[الدفعات]]</f>
        <v>0</v>
      </c>
      <c r="O89" s="48"/>
    </row>
    <row r="90" spans="11:15" ht="26.25" customHeight="1" x14ac:dyDescent="0.3">
      <c r="K9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90" s="1">
        <f>M89+Table118192023272829[[#This Row],[اجمالي الفاتوره]]-Table118192023272829[[#This Row],[الدفعات]]</f>
        <v>0</v>
      </c>
      <c r="O90" s="48"/>
    </row>
    <row r="91" spans="11:15" ht="26.25" customHeight="1" x14ac:dyDescent="0.3">
      <c r="K9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91" s="1">
        <f>M90+Table118192023272829[[#This Row],[اجمالي الفاتوره]]-Table118192023272829[[#This Row],[الدفعات]]</f>
        <v>0</v>
      </c>
      <c r="O91" s="48"/>
    </row>
    <row r="92" spans="11:15" ht="26.25" customHeight="1" x14ac:dyDescent="0.3">
      <c r="K9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92" s="1">
        <f>M91+Table118192023272829[[#This Row],[اجمالي الفاتوره]]-Table118192023272829[[#This Row],[الدفعات]]</f>
        <v>0</v>
      </c>
      <c r="O92" s="48"/>
    </row>
    <row r="93" spans="11:15" ht="26.25" customHeight="1" x14ac:dyDescent="0.3">
      <c r="K9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93" s="1">
        <f>M92+Table118192023272829[[#This Row],[اجمالي الفاتوره]]-Table118192023272829[[#This Row],[الدفعات]]</f>
        <v>0</v>
      </c>
      <c r="O93" s="48"/>
    </row>
    <row r="94" spans="11:15" ht="26.25" customHeight="1" x14ac:dyDescent="0.3">
      <c r="K9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94" s="1">
        <f>M93+Table118192023272829[[#This Row],[اجمالي الفاتوره]]-Table118192023272829[[#This Row],[الدفعات]]</f>
        <v>0</v>
      </c>
      <c r="O94" s="48"/>
    </row>
    <row r="95" spans="11:15" ht="26.25" customHeight="1" x14ac:dyDescent="0.3">
      <c r="K9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95" s="1">
        <f>M94+Table118192023272829[[#This Row],[اجمالي الفاتوره]]-Table118192023272829[[#This Row],[الدفعات]]</f>
        <v>0</v>
      </c>
      <c r="O95" s="48"/>
    </row>
    <row r="96" spans="11:15" ht="26.25" customHeight="1" x14ac:dyDescent="0.3">
      <c r="K9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96" s="1">
        <f>M95+Table118192023272829[[#This Row],[اجمالي الفاتوره]]-Table118192023272829[[#This Row],[الدفعات]]</f>
        <v>0</v>
      </c>
      <c r="O96" s="48"/>
    </row>
    <row r="97" spans="11:15" ht="26.25" customHeight="1" x14ac:dyDescent="0.3">
      <c r="K9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97" s="1">
        <f>M96+Table118192023272829[[#This Row],[اجمالي الفاتوره]]-Table118192023272829[[#This Row],[الدفعات]]</f>
        <v>0</v>
      </c>
      <c r="O97" s="48"/>
    </row>
    <row r="98" spans="11:15" ht="26.25" customHeight="1" x14ac:dyDescent="0.3">
      <c r="K9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98" s="1">
        <f>M97+Table118192023272829[[#This Row],[اجمالي الفاتوره]]-Table118192023272829[[#This Row],[الدفعات]]</f>
        <v>0</v>
      </c>
      <c r="O98" s="48"/>
    </row>
    <row r="99" spans="11:15" ht="26.25" customHeight="1" x14ac:dyDescent="0.3">
      <c r="K9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99" s="1">
        <f>M98+Table118192023272829[[#This Row],[اجمالي الفاتوره]]-Table118192023272829[[#This Row],[الدفعات]]</f>
        <v>0</v>
      </c>
      <c r="O99" s="48"/>
    </row>
    <row r="100" spans="11:15" ht="26.25" customHeight="1" x14ac:dyDescent="0.3">
      <c r="K10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00" s="1">
        <f>M99+Table118192023272829[[#This Row],[اجمالي الفاتوره]]-Table118192023272829[[#This Row],[الدفعات]]</f>
        <v>0</v>
      </c>
      <c r="O100" s="48"/>
    </row>
    <row r="101" spans="11:15" ht="26.25" customHeight="1" x14ac:dyDescent="0.3">
      <c r="K10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01" s="1">
        <f>M100+Table118192023272829[[#This Row],[اجمالي الفاتوره]]-Table118192023272829[[#This Row],[الدفعات]]</f>
        <v>0</v>
      </c>
      <c r="O101" s="48"/>
    </row>
    <row r="102" spans="11:15" ht="26.25" customHeight="1" x14ac:dyDescent="0.3">
      <c r="K10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02" s="1">
        <f>M101+Table118192023272829[[#This Row],[اجمالي الفاتوره]]-Table118192023272829[[#This Row],[الدفعات]]</f>
        <v>0</v>
      </c>
      <c r="O102" s="48"/>
    </row>
    <row r="103" spans="11:15" ht="26.25" customHeight="1" x14ac:dyDescent="0.3">
      <c r="K10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03" s="1">
        <f>M102+Table118192023272829[[#This Row],[اجمالي الفاتوره]]-Table118192023272829[[#This Row],[الدفعات]]</f>
        <v>0</v>
      </c>
      <c r="O103" s="48"/>
    </row>
    <row r="104" spans="11:15" ht="26.25" customHeight="1" x14ac:dyDescent="0.3">
      <c r="K10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04" s="1">
        <f>M103+Table118192023272829[[#This Row],[اجمالي الفاتوره]]-Table118192023272829[[#This Row],[الدفعات]]</f>
        <v>0</v>
      </c>
      <c r="O104" s="48"/>
    </row>
    <row r="105" spans="11:15" ht="26.25" customHeight="1" x14ac:dyDescent="0.3">
      <c r="K10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05" s="1">
        <f>M104+Table118192023272829[[#This Row],[اجمالي الفاتوره]]-Table118192023272829[[#This Row],[الدفعات]]</f>
        <v>0</v>
      </c>
      <c r="O105" s="48"/>
    </row>
    <row r="106" spans="11:15" ht="26.25" customHeight="1" x14ac:dyDescent="0.3">
      <c r="K10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06" s="1">
        <f>M105+Table118192023272829[[#This Row],[اجمالي الفاتوره]]-Table118192023272829[[#This Row],[الدفعات]]</f>
        <v>0</v>
      </c>
      <c r="O106" s="48"/>
    </row>
    <row r="107" spans="11:15" ht="26.25" customHeight="1" x14ac:dyDescent="0.3">
      <c r="K10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07" s="1">
        <f>M106+Table118192023272829[[#This Row],[اجمالي الفاتوره]]-Table118192023272829[[#This Row],[الدفعات]]</f>
        <v>0</v>
      </c>
      <c r="O107" s="48"/>
    </row>
    <row r="108" spans="11:15" ht="26.25" customHeight="1" x14ac:dyDescent="0.3">
      <c r="K10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08" s="1">
        <f>M107+Table118192023272829[[#This Row],[اجمالي الفاتوره]]-Table118192023272829[[#This Row],[الدفعات]]</f>
        <v>0</v>
      </c>
      <c r="O108" s="48"/>
    </row>
    <row r="109" spans="11:15" ht="26.25" customHeight="1" x14ac:dyDescent="0.3">
      <c r="K10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09" s="1">
        <f>M108+Table118192023272829[[#This Row],[اجمالي الفاتوره]]-Table118192023272829[[#This Row],[الدفعات]]</f>
        <v>0</v>
      </c>
      <c r="O109" s="48"/>
    </row>
    <row r="110" spans="11:15" ht="26.25" customHeight="1" x14ac:dyDescent="0.3">
      <c r="K11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10" s="1">
        <f>M109+Table118192023272829[[#This Row],[اجمالي الفاتوره]]-Table118192023272829[[#This Row],[الدفعات]]</f>
        <v>0</v>
      </c>
      <c r="O110" s="48"/>
    </row>
    <row r="111" spans="11:15" ht="26.25" customHeight="1" x14ac:dyDescent="0.3">
      <c r="K11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11" s="1">
        <f>M110+Table118192023272829[[#This Row],[اجمالي الفاتوره]]-Table118192023272829[[#This Row],[الدفعات]]</f>
        <v>0</v>
      </c>
      <c r="O111" s="48"/>
    </row>
    <row r="112" spans="11:15" ht="26.25" customHeight="1" x14ac:dyDescent="0.3">
      <c r="K11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12" s="1">
        <f>M111+Table118192023272829[[#This Row],[اجمالي الفاتوره]]-Table118192023272829[[#This Row],[الدفعات]]</f>
        <v>0</v>
      </c>
      <c r="O112" s="48"/>
    </row>
    <row r="113" spans="11:15" ht="26.25" customHeight="1" x14ac:dyDescent="0.3">
      <c r="K11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13" s="1">
        <f>M112+Table118192023272829[[#This Row],[اجمالي الفاتوره]]-Table118192023272829[[#This Row],[الدفعات]]</f>
        <v>0</v>
      </c>
      <c r="O113" s="48"/>
    </row>
    <row r="114" spans="11:15" ht="26.25" customHeight="1" x14ac:dyDescent="0.3">
      <c r="K11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14" s="1">
        <f>M113+Table118192023272829[[#This Row],[اجمالي الفاتوره]]-Table118192023272829[[#This Row],[الدفعات]]</f>
        <v>0</v>
      </c>
      <c r="O114" s="48"/>
    </row>
    <row r="115" spans="11:15" ht="26.25" customHeight="1" x14ac:dyDescent="0.3">
      <c r="K11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15" s="1">
        <f>M114+Table118192023272829[[#This Row],[اجمالي الفاتوره]]-Table118192023272829[[#This Row],[الدفعات]]</f>
        <v>0</v>
      </c>
      <c r="O115" s="48"/>
    </row>
    <row r="116" spans="11:15" ht="26.25" customHeight="1" x14ac:dyDescent="0.3">
      <c r="K11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16" s="1">
        <f>M115+Table118192023272829[[#This Row],[اجمالي الفاتوره]]-Table118192023272829[[#This Row],[الدفعات]]</f>
        <v>0</v>
      </c>
      <c r="O116" s="48"/>
    </row>
    <row r="117" spans="11:15" ht="26.25" customHeight="1" x14ac:dyDescent="0.3">
      <c r="K11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17" s="1">
        <f>M116+Table118192023272829[[#This Row],[اجمالي الفاتوره]]-Table118192023272829[[#This Row],[الدفعات]]</f>
        <v>0</v>
      </c>
      <c r="O117" s="48"/>
    </row>
    <row r="118" spans="11:15" ht="26.25" customHeight="1" x14ac:dyDescent="0.3">
      <c r="K11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18" s="1">
        <f>M117+Table118192023272829[[#This Row],[اجمالي الفاتوره]]-Table118192023272829[[#This Row],[الدفعات]]</f>
        <v>0</v>
      </c>
      <c r="O118" s="48"/>
    </row>
    <row r="119" spans="11:15" ht="26.25" customHeight="1" x14ac:dyDescent="0.3">
      <c r="K11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19" s="1">
        <f>M118+Table118192023272829[[#This Row],[اجمالي الفاتوره]]-Table118192023272829[[#This Row],[الدفعات]]</f>
        <v>0</v>
      </c>
      <c r="O119" s="48"/>
    </row>
    <row r="120" spans="11:15" ht="26.25" customHeight="1" x14ac:dyDescent="0.3">
      <c r="K12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20" s="1">
        <f>M119+Table118192023272829[[#This Row],[اجمالي الفاتوره]]-Table118192023272829[[#This Row],[الدفعات]]</f>
        <v>0</v>
      </c>
      <c r="O120" s="48"/>
    </row>
    <row r="121" spans="11:15" ht="26.25" customHeight="1" x14ac:dyDescent="0.3">
      <c r="K12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21" s="1">
        <f>M120+Table118192023272829[[#This Row],[اجمالي الفاتوره]]-Table118192023272829[[#This Row],[الدفعات]]</f>
        <v>0</v>
      </c>
      <c r="O121" s="48"/>
    </row>
    <row r="122" spans="11:15" ht="26.25" customHeight="1" x14ac:dyDescent="0.3">
      <c r="K12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22" s="1">
        <f>M121+Table118192023272829[[#This Row],[اجمالي الفاتوره]]-Table118192023272829[[#This Row],[الدفعات]]</f>
        <v>0</v>
      </c>
      <c r="O122" s="48"/>
    </row>
    <row r="123" spans="11:15" ht="26.25" customHeight="1" x14ac:dyDescent="0.3">
      <c r="K12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23" s="1">
        <f>M122+Table118192023272829[[#This Row],[اجمالي الفاتوره]]-Table118192023272829[[#This Row],[الدفعات]]</f>
        <v>0</v>
      </c>
      <c r="O123" s="48"/>
    </row>
    <row r="124" spans="11:15" ht="26.25" customHeight="1" x14ac:dyDescent="0.3">
      <c r="K12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24" s="1">
        <f>M123+Table118192023272829[[#This Row],[اجمالي الفاتوره]]-Table118192023272829[[#This Row],[الدفعات]]</f>
        <v>0</v>
      </c>
      <c r="O124" s="48"/>
    </row>
    <row r="125" spans="11:15" ht="26.25" customHeight="1" x14ac:dyDescent="0.3">
      <c r="K12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25" s="1">
        <f>M124+Table118192023272829[[#This Row],[اجمالي الفاتوره]]-Table118192023272829[[#This Row],[الدفعات]]</f>
        <v>0</v>
      </c>
      <c r="O125" s="48"/>
    </row>
    <row r="126" spans="11:15" ht="26.25" customHeight="1" x14ac:dyDescent="0.3">
      <c r="K12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26" s="1">
        <f>M125+Table118192023272829[[#This Row],[اجمالي الفاتوره]]-Table118192023272829[[#This Row],[الدفعات]]</f>
        <v>0</v>
      </c>
      <c r="O126" s="48"/>
    </row>
    <row r="127" spans="11:15" ht="26.25" customHeight="1" x14ac:dyDescent="0.3">
      <c r="K12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27" s="1">
        <f>M126+Table118192023272829[[#This Row],[اجمالي الفاتوره]]-Table118192023272829[[#This Row],[الدفعات]]</f>
        <v>0</v>
      </c>
      <c r="O127" s="48"/>
    </row>
    <row r="128" spans="11:15" ht="26.25" customHeight="1" x14ac:dyDescent="0.3">
      <c r="K12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28" s="1">
        <f>M127+Table118192023272829[[#This Row],[اجمالي الفاتوره]]-Table118192023272829[[#This Row],[الدفعات]]</f>
        <v>0</v>
      </c>
      <c r="O128" s="48"/>
    </row>
    <row r="129" spans="11:15" ht="26.25" customHeight="1" x14ac:dyDescent="0.3">
      <c r="K12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29" s="1">
        <f>M128+Table118192023272829[[#This Row],[اجمالي الفاتوره]]-Table118192023272829[[#This Row],[الدفعات]]</f>
        <v>0</v>
      </c>
      <c r="O129" s="48"/>
    </row>
    <row r="130" spans="11:15" ht="26.25" customHeight="1" x14ac:dyDescent="0.3">
      <c r="K13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30" s="1">
        <f>M129+Table118192023272829[[#This Row],[اجمالي الفاتوره]]-Table118192023272829[[#This Row],[الدفعات]]</f>
        <v>0</v>
      </c>
      <c r="O130" s="48"/>
    </row>
    <row r="131" spans="11:15" ht="26.25" customHeight="1" x14ac:dyDescent="0.3">
      <c r="K13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31" s="1">
        <f>M130+Table118192023272829[[#This Row],[اجمالي الفاتوره]]-Table118192023272829[[#This Row],[الدفعات]]</f>
        <v>0</v>
      </c>
      <c r="O131" s="48"/>
    </row>
    <row r="132" spans="11:15" ht="26.25" customHeight="1" x14ac:dyDescent="0.3">
      <c r="K13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32" s="1">
        <f>M131+Table118192023272829[[#This Row],[اجمالي الفاتوره]]-Table118192023272829[[#This Row],[الدفعات]]</f>
        <v>0</v>
      </c>
      <c r="O132" s="48"/>
    </row>
    <row r="133" spans="11:15" ht="26.25" customHeight="1" x14ac:dyDescent="0.3">
      <c r="K13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33" s="1">
        <f>M132+Table118192023272829[[#This Row],[اجمالي الفاتوره]]-Table118192023272829[[#This Row],[الدفعات]]</f>
        <v>0</v>
      </c>
      <c r="O133" s="48"/>
    </row>
    <row r="134" spans="11:15" ht="26.25" customHeight="1" x14ac:dyDescent="0.3">
      <c r="K13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34" s="1">
        <f>M133+Table118192023272829[[#This Row],[اجمالي الفاتوره]]-Table118192023272829[[#This Row],[الدفعات]]</f>
        <v>0</v>
      </c>
      <c r="O134" s="48"/>
    </row>
    <row r="135" spans="11:15" ht="26.25" customHeight="1" x14ac:dyDescent="0.3">
      <c r="K13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35" s="1">
        <f>M134+Table118192023272829[[#This Row],[اجمالي الفاتوره]]-Table118192023272829[[#This Row],[الدفعات]]</f>
        <v>0</v>
      </c>
      <c r="O135" s="48"/>
    </row>
    <row r="136" spans="11:15" ht="26.25" customHeight="1" x14ac:dyDescent="0.3">
      <c r="K13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36" s="1">
        <f>M135+Table118192023272829[[#This Row],[اجمالي الفاتوره]]-Table118192023272829[[#This Row],[الدفعات]]</f>
        <v>0</v>
      </c>
      <c r="O136" s="48"/>
    </row>
    <row r="137" spans="11:15" ht="26.25" customHeight="1" x14ac:dyDescent="0.3">
      <c r="K13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37" s="1">
        <f>M136+Table118192023272829[[#This Row],[اجمالي الفاتوره]]-Table118192023272829[[#This Row],[الدفعات]]</f>
        <v>0</v>
      </c>
      <c r="O137" s="48"/>
    </row>
    <row r="138" spans="11:15" ht="26.25" customHeight="1" x14ac:dyDescent="0.3">
      <c r="K13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38" s="1">
        <f>M137+Table118192023272829[[#This Row],[اجمالي الفاتوره]]-Table118192023272829[[#This Row],[الدفعات]]</f>
        <v>0</v>
      </c>
      <c r="O138" s="48"/>
    </row>
    <row r="139" spans="11:15" ht="26.25" customHeight="1" x14ac:dyDescent="0.3">
      <c r="K13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39" s="1">
        <f>M138+Table118192023272829[[#This Row],[اجمالي الفاتوره]]-Table118192023272829[[#This Row],[الدفعات]]</f>
        <v>0</v>
      </c>
      <c r="O139" s="48"/>
    </row>
    <row r="140" spans="11:15" ht="26.25" customHeight="1" x14ac:dyDescent="0.3">
      <c r="K14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40" s="1">
        <f>M139+Table118192023272829[[#This Row],[اجمالي الفاتوره]]-Table118192023272829[[#This Row],[الدفعات]]</f>
        <v>0</v>
      </c>
      <c r="O140" s="48"/>
    </row>
    <row r="141" spans="11:15" ht="26.25" customHeight="1" x14ac:dyDescent="0.3">
      <c r="K14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41" s="1">
        <f>M140+Table118192023272829[[#This Row],[اجمالي الفاتوره]]-Table118192023272829[[#This Row],[الدفعات]]</f>
        <v>0</v>
      </c>
      <c r="O141" s="48"/>
    </row>
    <row r="142" spans="11:15" ht="26.25" customHeight="1" x14ac:dyDescent="0.3">
      <c r="K14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42" s="1">
        <f>M141+Table118192023272829[[#This Row],[اجمالي الفاتوره]]-Table118192023272829[[#This Row],[الدفعات]]</f>
        <v>0</v>
      </c>
      <c r="O142" s="48"/>
    </row>
    <row r="143" spans="11:15" ht="26.25" customHeight="1" x14ac:dyDescent="0.3">
      <c r="K14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43" s="1">
        <f>M142+Table118192023272829[[#This Row],[اجمالي الفاتوره]]-Table118192023272829[[#This Row],[الدفعات]]</f>
        <v>0</v>
      </c>
      <c r="O143" s="48"/>
    </row>
    <row r="144" spans="11:15" ht="26.25" customHeight="1" x14ac:dyDescent="0.3">
      <c r="K14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44" s="1">
        <f>M143+Table118192023272829[[#This Row],[اجمالي الفاتوره]]-Table118192023272829[[#This Row],[الدفعات]]</f>
        <v>0</v>
      </c>
      <c r="O144" s="48"/>
    </row>
    <row r="145" spans="11:15" ht="26.25" customHeight="1" x14ac:dyDescent="0.3">
      <c r="K14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45" s="1">
        <f>M144+Table118192023272829[[#This Row],[اجمالي الفاتوره]]-Table118192023272829[[#This Row],[الدفعات]]</f>
        <v>0</v>
      </c>
      <c r="O145" s="48"/>
    </row>
    <row r="146" spans="11:15" ht="26.25" customHeight="1" x14ac:dyDescent="0.3">
      <c r="K14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46" s="1">
        <f>M145+Table118192023272829[[#This Row],[اجمالي الفاتوره]]-Table118192023272829[[#This Row],[الدفعات]]</f>
        <v>0</v>
      </c>
      <c r="O146" s="48"/>
    </row>
    <row r="147" spans="11:15" ht="26.25" customHeight="1" x14ac:dyDescent="0.3">
      <c r="K14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47" s="1">
        <f>M146+Table118192023272829[[#This Row],[اجمالي الفاتوره]]-Table118192023272829[[#This Row],[الدفعات]]</f>
        <v>0</v>
      </c>
      <c r="O147" s="48"/>
    </row>
    <row r="148" spans="11:15" ht="26.25" customHeight="1" x14ac:dyDescent="0.3">
      <c r="K14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48" s="1">
        <f>M147+Table118192023272829[[#This Row],[اجمالي الفاتوره]]-Table118192023272829[[#This Row],[الدفعات]]</f>
        <v>0</v>
      </c>
      <c r="O148" s="48"/>
    </row>
    <row r="149" spans="11:15" ht="26.25" customHeight="1" x14ac:dyDescent="0.3">
      <c r="K14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49" s="1">
        <f>M148+Table118192023272829[[#This Row],[اجمالي الفاتوره]]-Table118192023272829[[#This Row],[الدفعات]]</f>
        <v>0</v>
      </c>
      <c r="O149" s="48"/>
    </row>
    <row r="150" spans="11:15" ht="26.25" customHeight="1" x14ac:dyDescent="0.3">
      <c r="K15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50" s="1">
        <f>M149+Table118192023272829[[#This Row],[اجمالي الفاتوره]]-Table118192023272829[[#This Row],[الدفعات]]</f>
        <v>0</v>
      </c>
      <c r="O150" s="48"/>
    </row>
    <row r="151" spans="11:15" ht="26.25" customHeight="1" x14ac:dyDescent="0.3">
      <c r="K15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51" s="1">
        <f>M150+Table118192023272829[[#This Row],[اجمالي الفاتوره]]-Table118192023272829[[#This Row],[الدفعات]]</f>
        <v>0</v>
      </c>
      <c r="O151" s="48"/>
    </row>
    <row r="152" spans="11:15" ht="26.25" customHeight="1" x14ac:dyDescent="0.3">
      <c r="K15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52" s="1">
        <f>M151+Table118192023272829[[#This Row],[اجمالي الفاتوره]]-Table118192023272829[[#This Row],[الدفعات]]</f>
        <v>0</v>
      </c>
      <c r="O152" s="48"/>
    </row>
    <row r="153" spans="11:15" ht="26.25" customHeight="1" x14ac:dyDescent="0.3">
      <c r="K15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53" s="1">
        <f>M152+Table118192023272829[[#This Row],[اجمالي الفاتوره]]-Table118192023272829[[#This Row],[الدفعات]]</f>
        <v>0</v>
      </c>
      <c r="O153" s="48"/>
    </row>
    <row r="154" spans="11:15" ht="26.25" customHeight="1" x14ac:dyDescent="0.3">
      <c r="K15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54" s="1">
        <f>M153+Table118192023272829[[#This Row],[اجمالي الفاتوره]]-Table118192023272829[[#This Row],[الدفعات]]</f>
        <v>0</v>
      </c>
      <c r="O154" s="48"/>
    </row>
    <row r="155" spans="11:15" ht="26.25" customHeight="1" x14ac:dyDescent="0.3">
      <c r="K15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55" s="1">
        <f>M154+Table118192023272829[[#This Row],[اجمالي الفاتوره]]-Table118192023272829[[#This Row],[الدفعات]]</f>
        <v>0</v>
      </c>
      <c r="O155" s="48"/>
    </row>
    <row r="156" spans="11:15" ht="26.25" customHeight="1" x14ac:dyDescent="0.3">
      <c r="K15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56" s="1">
        <f>M155+Table118192023272829[[#This Row],[اجمالي الفاتوره]]-Table118192023272829[[#This Row],[الدفعات]]</f>
        <v>0</v>
      </c>
      <c r="O156" s="48"/>
    </row>
    <row r="157" spans="11:15" ht="26.25" customHeight="1" x14ac:dyDescent="0.3">
      <c r="K15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57" s="1">
        <f>M156+Table118192023272829[[#This Row],[اجمالي الفاتوره]]-Table118192023272829[[#This Row],[الدفعات]]</f>
        <v>0</v>
      </c>
      <c r="O157" s="48"/>
    </row>
    <row r="158" spans="11:15" ht="26.25" customHeight="1" x14ac:dyDescent="0.3">
      <c r="K15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58" s="1">
        <f>M157+Table118192023272829[[#This Row],[اجمالي الفاتوره]]-Table118192023272829[[#This Row],[الدفعات]]</f>
        <v>0</v>
      </c>
      <c r="O158" s="48"/>
    </row>
    <row r="159" spans="11:15" ht="26.25" customHeight="1" x14ac:dyDescent="0.3">
      <c r="K15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59" s="1">
        <f>M158+Table118192023272829[[#This Row],[اجمالي الفاتوره]]-Table118192023272829[[#This Row],[الدفعات]]</f>
        <v>0</v>
      </c>
      <c r="O159" s="48"/>
    </row>
    <row r="160" spans="11:15" ht="26.25" customHeight="1" x14ac:dyDescent="0.3">
      <c r="K16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60" s="1">
        <f>M159+Table118192023272829[[#This Row],[اجمالي الفاتوره]]-Table118192023272829[[#This Row],[الدفعات]]</f>
        <v>0</v>
      </c>
      <c r="O160" s="48"/>
    </row>
    <row r="161" spans="11:15" ht="26.25" customHeight="1" x14ac:dyDescent="0.3">
      <c r="K16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61" s="1">
        <f>M160+Table118192023272829[[#This Row],[اجمالي الفاتوره]]-Table118192023272829[[#This Row],[الدفعات]]</f>
        <v>0</v>
      </c>
      <c r="O161" s="48"/>
    </row>
    <row r="162" spans="11:15" ht="26.25" customHeight="1" x14ac:dyDescent="0.3">
      <c r="K16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62" s="1">
        <f>M161+Table118192023272829[[#This Row],[اجمالي الفاتوره]]-Table118192023272829[[#This Row],[الدفعات]]</f>
        <v>0</v>
      </c>
      <c r="O162" s="48"/>
    </row>
    <row r="163" spans="11:15" ht="26.25" customHeight="1" x14ac:dyDescent="0.3">
      <c r="K16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63" s="1">
        <f>M162+Table118192023272829[[#This Row],[اجمالي الفاتوره]]-Table118192023272829[[#This Row],[الدفعات]]</f>
        <v>0</v>
      </c>
      <c r="O163" s="48"/>
    </row>
    <row r="164" spans="11:15" ht="26.25" customHeight="1" x14ac:dyDescent="0.3">
      <c r="K16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64" s="1">
        <f>M163+Table118192023272829[[#This Row],[اجمالي الفاتوره]]-Table118192023272829[[#This Row],[الدفعات]]</f>
        <v>0</v>
      </c>
      <c r="O164" s="48"/>
    </row>
    <row r="165" spans="11:15" ht="26.25" customHeight="1" x14ac:dyDescent="0.3">
      <c r="K16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65" s="1">
        <f>M164+Table118192023272829[[#This Row],[اجمالي الفاتوره]]-Table118192023272829[[#This Row],[الدفعات]]</f>
        <v>0</v>
      </c>
      <c r="O165" s="48"/>
    </row>
    <row r="166" spans="11:15" ht="26.25" customHeight="1" x14ac:dyDescent="0.3">
      <c r="K16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66" s="1">
        <f>M165+Table118192023272829[[#This Row],[اجمالي الفاتوره]]-Table118192023272829[[#This Row],[الدفعات]]</f>
        <v>0</v>
      </c>
      <c r="O166" s="48"/>
    </row>
    <row r="167" spans="11:15" ht="26.25" customHeight="1" x14ac:dyDescent="0.3">
      <c r="K16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67" s="1">
        <f>M166+Table118192023272829[[#This Row],[اجمالي الفاتوره]]-Table118192023272829[[#This Row],[الدفعات]]</f>
        <v>0</v>
      </c>
      <c r="O167" s="48"/>
    </row>
    <row r="168" spans="11:15" ht="26.25" customHeight="1" x14ac:dyDescent="0.3">
      <c r="K16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68" s="1">
        <f>M167+Table118192023272829[[#This Row],[اجمالي الفاتوره]]-Table118192023272829[[#This Row],[الدفعات]]</f>
        <v>0</v>
      </c>
      <c r="O168" s="48"/>
    </row>
    <row r="169" spans="11:15" ht="26.25" customHeight="1" x14ac:dyDescent="0.3">
      <c r="K16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69" s="1">
        <f>M168+Table118192023272829[[#This Row],[اجمالي الفاتوره]]-Table118192023272829[[#This Row],[الدفعات]]</f>
        <v>0</v>
      </c>
      <c r="O169" s="48"/>
    </row>
    <row r="170" spans="11:15" ht="26.25" customHeight="1" x14ac:dyDescent="0.3">
      <c r="K17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70" s="1">
        <f>M169+Table118192023272829[[#This Row],[اجمالي الفاتوره]]-Table118192023272829[[#This Row],[الدفعات]]</f>
        <v>0</v>
      </c>
      <c r="O170" s="48"/>
    </row>
    <row r="171" spans="11:15" ht="26.25" customHeight="1" x14ac:dyDescent="0.3">
      <c r="K17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71" s="1">
        <f>M170+Table118192023272829[[#This Row],[اجمالي الفاتوره]]-Table118192023272829[[#This Row],[الدفعات]]</f>
        <v>0</v>
      </c>
      <c r="O171" s="48"/>
    </row>
    <row r="172" spans="11:15" ht="26.25" customHeight="1" x14ac:dyDescent="0.3">
      <c r="K17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72" s="1">
        <f>M171+Table118192023272829[[#This Row],[اجمالي الفاتوره]]-Table118192023272829[[#This Row],[الدفعات]]</f>
        <v>0</v>
      </c>
      <c r="O172" s="48"/>
    </row>
    <row r="173" spans="11:15" ht="26.25" customHeight="1" x14ac:dyDescent="0.3">
      <c r="K17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73" s="1">
        <f>M172+Table118192023272829[[#This Row],[اجمالي الفاتوره]]-Table118192023272829[[#This Row],[الدفعات]]</f>
        <v>0</v>
      </c>
      <c r="O173" s="48"/>
    </row>
    <row r="174" spans="11:15" ht="26.25" customHeight="1" x14ac:dyDescent="0.3">
      <c r="K17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74" s="1">
        <f>M173+Table118192023272829[[#This Row],[اجمالي الفاتوره]]-Table118192023272829[[#This Row],[الدفعات]]</f>
        <v>0</v>
      </c>
      <c r="O174" s="48"/>
    </row>
    <row r="175" spans="11:15" ht="26.25" customHeight="1" x14ac:dyDescent="0.3">
      <c r="K17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75" s="1">
        <f>M174+Table118192023272829[[#This Row],[اجمالي الفاتوره]]-Table118192023272829[[#This Row],[الدفعات]]</f>
        <v>0</v>
      </c>
      <c r="O175" s="48"/>
    </row>
    <row r="176" spans="11:15" ht="26.25" customHeight="1" x14ac:dyDescent="0.3">
      <c r="K17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76" s="1">
        <f>M175+Table118192023272829[[#This Row],[اجمالي الفاتوره]]-Table118192023272829[[#This Row],[الدفعات]]</f>
        <v>0</v>
      </c>
      <c r="O176" s="48"/>
    </row>
    <row r="177" spans="11:15" ht="26.25" customHeight="1" x14ac:dyDescent="0.3">
      <c r="K17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77" s="1">
        <f>M176+Table118192023272829[[#This Row],[اجمالي الفاتوره]]-Table118192023272829[[#This Row],[الدفعات]]</f>
        <v>0</v>
      </c>
      <c r="O177" s="48"/>
    </row>
    <row r="178" spans="11:15" ht="26.25" customHeight="1" x14ac:dyDescent="0.3">
      <c r="K17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78" s="1">
        <f>M177+Table118192023272829[[#This Row],[اجمالي الفاتوره]]-Table118192023272829[[#This Row],[الدفعات]]</f>
        <v>0</v>
      </c>
      <c r="O178" s="48"/>
    </row>
    <row r="179" spans="11:15" ht="26.25" customHeight="1" x14ac:dyDescent="0.3">
      <c r="K17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79" s="1">
        <f>M178+Table118192023272829[[#This Row],[اجمالي الفاتوره]]-Table118192023272829[[#This Row],[الدفعات]]</f>
        <v>0</v>
      </c>
      <c r="O179" s="48"/>
    </row>
    <row r="180" spans="11:15" ht="26.25" customHeight="1" x14ac:dyDescent="0.3">
      <c r="K18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80" s="1">
        <f>M179+Table118192023272829[[#This Row],[اجمالي الفاتوره]]-Table118192023272829[[#This Row],[الدفعات]]</f>
        <v>0</v>
      </c>
      <c r="O180" s="48"/>
    </row>
    <row r="181" spans="11:15" ht="26.25" customHeight="1" x14ac:dyDescent="0.3">
      <c r="K18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81" s="1">
        <f>M180+Table118192023272829[[#This Row],[اجمالي الفاتوره]]-Table118192023272829[[#This Row],[الدفعات]]</f>
        <v>0</v>
      </c>
      <c r="O181" s="48"/>
    </row>
    <row r="182" spans="11:15" ht="26.25" customHeight="1" x14ac:dyDescent="0.3">
      <c r="K18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82" s="1">
        <f>M181+Table118192023272829[[#This Row],[اجمالي الفاتوره]]-Table118192023272829[[#This Row],[الدفعات]]</f>
        <v>0</v>
      </c>
      <c r="O182" s="48"/>
    </row>
    <row r="183" spans="11:15" ht="26.25" customHeight="1" x14ac:dyDescent="0.3">
      <c r="K18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83" s="1">
        <f>M182+Table118192023272829[[#This Row],[اجمالي الفاتوره]]-Table118192023272829[[#This Row],[الدفعات]]</f>
        <v>0</v>
      </c>
      <c r="O183" s="48"/>
    </row>
    <row r="184" spans="11:15" ht="26.25" customHeight="1" x14ac:dyDescent="0.3">
      <c r="K18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84" s="1">
        <f>M183+Table118192023272829[[#This Row],[اجمالي الفاتوره]]-Table118192023272829[[#This Row],[الدفعات]]</f>
        <v>0</v>
      </c>
      <c r="O184" s="48"/>
    </row>
    <row r="185" spans="11:15" ht="26.25" customHeight="1" x14ac:dyDescent="0.3">
      <c r="K18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85" s="1">
        <f>M184+Table118192023272829[[#This Row],[اجمالي الفاتوره]]-Table118192023272829[[#This Row],[الدفعات]]</f>
        <v>0</v>
      </c>
      <c r="O185" s="48"/>
    </row>
    <row r="186" spans="11:15" ht="26.25" customHeight="1" x14ac:dyDescent="0.3">
      <c r="K18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86" s="1">
        <f>M185+Table118192023272829[[#This Row],[اجمالي الفاتوره]]-Table118192023272829[[#This Row],[الدفعات]]</f>
        <v>0</v>
      </c>
      <c r="O186" s="48"/>
    </row>
    <row r="187" spans="11:15" ht="26.25" customHeight="1" x14ac:dyDescent="0.3">
      <c r="K18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87" s="1">
        <f>M186+Table118192023272829[[#This Row],[اجمالي الفاتوره]]-Table118192023272829[[#This Row],[الدفعات]]</f>
        <v>0</v>
      </c>
      <c r="O187" s="48"/>
    </row>
    <row r="188" spans="11:15" ht="26.25" customHeight="1" x14ac:dyDescent="0.3">
      <c r="K18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88" s="1">
        <f>M187+Table118192023272829[[#This Row],[اجمالي الفاتوره]]-Table118192023272829[[#This Row],[الدفعات]]</f>
        <v>0</v>
      </c>
      <c r="O188" s="48"/>
    </row>
    <row r="189" spans="11:15" ht="26.25" customHeight="1" x14ac:dyDescent="0.3">
      <c r="K18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89" s="1">
        <f>M188+Table118192023272829[[#This Row],[اجمالي الفاتوره]]-Table118192023272829[[#This Row],[الدفعات]]</f>
        <v>0</v>
      </c>
      <c r="O189" s="48"/>
    </row>
    <row r="190" spans="11:15" ht="26.25" customHeight="1" x14ac:dyDescent="0.3">
      <c r="K19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90" s="1">
        <f>M189+Table118192023272829[[#This Row],[اجمالي الفاتوره]]-Table118192023272829[[#This Row],[الدفعات]]</f>
        <v>0</v>
      </c>
      <c r="O190" s="48"/>
    </row>
    <row r="191" spans="11:15" ht="26.25" customHeight="1" x14ac:dyDescent="0.3">
      <c r="K19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91" s="1">
        <f>M190+Table118192023272829[[#This Row],[اجمالي الفاتوره]]-Table118192023272829[[#This Row],[الدفعات]]</f>
        <v>0</v>
      </c>
      <c r="O191" s="48"/>
    </row>
    <row r="192" spans="11:15" ht="26.25" customHeight="1" x14ac:dyDescent="0.3">
      <c r="K19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92" s="1">
        <f>M191+Table118192023272829[[#This Row],[اجمالي الفاتوره]]-Table118192023272829[[#This Row],[الدفعات]]</f>
        <v>0</v>
      </c>
      <c r="O192" s="48"/>
    </row>
    <row r="193" spans="11:15" ht="26.25" customHeight="1" x14ac:dyDescent="0.3">
      <c r="K19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93" s="1">
        <f>M192+Table118192023272829[[#This Row],[اجمالي الفاتوره]]-Table118192023272829[[#This Row],[الدفعات]]</f>
        <v>0</v>
      </c>
      <c r="O193" s="48"/>
    </row>
    <row r="194" spans="11:15" ht="26.25" customHeight="1" x14ac:dyDescent="0.3">
      <c r="K19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94" s="1">
        <f>M193+Table118192023272829[[#This Row],[اجمالي الفاتوره]]-Table118192023272829[[#This Row],[الدفعات]]</f>
        <v>0</v>
      </c>
      <c r="O194" s="48"/>
    </row>
    <row r="195" spans="11:15" ht="26.25" customHeight="1" x14ac:dyDescent="0.3">
      <c r="K19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95" s="1">
        <f>M194+Table118192023272829[[#This Row],[اجمالي الفاتوره]]-Table118192023272829[[#This Row],[الدفعات]]</f>
        <v>0</v>
      </c>
      <c r="O195" s="48"/>
    </row>
    <row r="196" spans="11:15" ht="26.25" customHeight="1" x14ac:dyDescent="0.3">
      <c r="K19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96" s="1">
        <f>M195+Table118192023272829[[#This Row],[اجمالي الفاتوره]]-Table118192023272829[[#This Row],[الدفعات]]</f>
        <v>0</v>
      </c>
      <c r="O196" s="48"/>
    </row>
    <row r="197" spans="11:15" ht="26.25" customHeight="1" x14ac:dyDescent="0.3">
      <c r="K19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97" s="1">
        <f>M196+Table118192023272829[[#This Row],[اجمالي الفاتوره]]-Table118192023272829[[#This Row],[الدفعات]]</f>
        <v>0</v>
      </c>
      <c r="O197" s="48"/>
    </row>
    <row r="198" spans="11:15" ht="26.25" customHeight="1" x14ac:dyDescent="0.3">
      <c r="K19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98" s="1">
        <f>M197+Table118192023272829[[#This Row],[اجمالي الفاتوره]]-Table118192023272829[[#This Row],[الدفعات]]</f>
        <v>0</v>
      </c>
      <c r="O198" s="48"/>
    </row>
    <row r="199" spans="11:15" ht="26.25" customHeight="1" x14ac:dyDescent="0.3">
      <c r="K19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199" s="1">
        <f>M198+Table118192023272829[[#This Row],[اجمالي الفاتوره]]-Table118192023272829[[#This Row],[الدفعات]]</f>
        <v>0</v>
      </c>
      <c r="O199" s="48"/>
    </row>
    <row r="200" spans="11:15" ht="26.25" customHeight="1" x14ac:dyDescent="0.3">
      <c r="K20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00" s="1">
        <f>M199+Table118192023272829[[#This Row],[اجمالي الفاتوره]]-Table118192023272829[[#This Row],[الدفعات]]</f>
        <v>0</v>
      </c>
      <c r="O200" s="48"/>
    </row>
    <row r="201" spans="11:15" ht="26.25" customHeight="1" x14ac:dyDescent="0.3">
      <c r="K20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01" s="1">
        <f>M200+Table118192023272829[[#This Row],[اجمالي الفاتوره]]-Table118192023272829[[#This Row],[الدفعات]]</f>
        <v>0</v>
      </c>
      <c r="O201" s="48"/>
    </row>
    <row r="202" spans="11:15" ht="26.25" customHeight="1" x14ac:dyDescent="0.3">
      <c r="K20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02" s="1">
        <f>M201+Table118192023272829[[#This Row],[اجمالي الفاتوره]]-Table118192023272829[[#This Row],[الدفعات]]</f>
        <v>0</v>
      </c>
      <c r="O202" s="48"/>
    </row>
    <row r="203" spans="11:15" ht="26.25" customHeight="1" x14ac:dyDescent="0.3">
      <c r="K20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03" s="1">
        <f>M202+Table118192023272829[[#This Row],[اجمالي الفاتوره]]-Table118192023272829[[#This Row],[الدفعات]]</f>
        <v>0</v>
      </c>
      <c r="O203" s="48"/>
    </row>
    <row r="204" spans="11:15" ht="26.25" customHeight="1" x14ac:dyDescent="0.3">
      <c r="K20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04" s="1">
        <f>M203+Table118192023272829[[#This Row],[اجمالي الفاتوره]]-Table118192023272829[[#This Row],[الدفعات]]</f>
        <v>0</v>
      </c>
      <c r="O204" s="48"/>
    </row>
    <row r="205" spans="11:15" ht="26.25" customHeight="1" x14ac:dyDescent="0.3">
      <c r="K20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05" s="1">
        <f>M204+Table118192023272829[[#This Row],[اجمالي الفاتوره]]-Table118192023272829[[#This Row],[الدفعات]]</f>
        <v>0</v>
      </c>
      <c r="O205" s="48"/>
    </row>
    <row r="206" spans="11:15" ht="26.25" customHeight="1" x14ac:dyDescent="0.3">
      <c r="K20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06" s="1">
        <f>M205+Table118192023272829[[#This Row],[اجمالي الفاتوره]]-Table118192023272829[[#This Row],[الدفعات]]</f>
        <v>0</v>
      </c>
      <c r="O206" s="48"/>
    </row>
    <row r="207" spans="11:15" ht="26.25" customHeight="1" x14ac:dyDescent="0.3">
      <c r="K20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07" s="1">
        <f>M206+Table118192023272829[[#This Row],[اجمالي الفاتوره]]-Table118192023272829[[#This Row],[الدفعات]]</f>
        <v>0</v>
      </c>
      <c r="O207" s="48"/>
    </row>
    <row r="208" spans="11:15" ht="26.25" customHeight="1" x14ac:dyDescent="0.3">
      <c r="K20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08" s="1">
        <f>M207+Table118192023272829[[#This Row],[اجمالي الفاتوره]]-Table118192023272829[[#This Row],[الدفعات]]</f>
        <v>0</v>
      </c>
      <c r="O208" s="48"/>
    </row>
    <row r="209" spans="11:15" ht="26.25" customHeight="1" x14ac:dyDescent="0.3">
      <c r="K20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09" s="1">
        <f>M208+Table118192023272829[[#This Row],[اجمالي الفاتوره]]-Table118192023272829[[#This Row],[الدفعات]]</f>
        <v>0</v>
      </c>
      <c r="O209" s="48"/>
    </row>
    <row r="210" spans="11:15" ht="26.25" customHeight="1" x14ac:dyDescent="0.3">
      <c r="K21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10" s="1">
        <f>M209+Table118192023272829[[#This Row],[اجمالي الفاتوره]]-Table118192023272829[[#This Row],[الدفعات]]</f>
        <v>0</v>
      </c>
      <c r="O210" s="48"/>
    </row>
    <row r="211" spans="11:15" ht="26.25" customHeight="1" x14ac:dyDescent="0.3">
      <c r="K21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11" s="1">
        <f>M210+Table118192023272829[[#This Row],[اجمالي الفاتوره]]-Table118192023272829[[#This Row],[الدفعات]]</f>
        <v>0</v>
      </c>
      <c r="O211" s="48"/>
    </row>
    <row r="212" spans="11:15" ht="26.25" customHeight="1" x14ac:dyDescent="0.3">
      <c r="K21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12" s="1">
        <f>M211+Table118192023272829[[#This Row],[اجمالي الفاتوره]]-Table118192023272829[[#This Row],[الدفعات]]</f>
        <v>0</v>
      </c>
      <c r="O212" s="48"/>
    </row>
    <row r="213" spans="11:15" ht="26.25" customHeight="1" x14ac:dyDescent="0.3">
      <c r="K21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13" s="1">
        <f>M212+Table118192023272829[[#This Row],[اجمالي الفاتوره]]-Table118192023272829[[#This Row],[الدفعات]]</f>
        <v>0</v>
      </c>
      <c r="O213" s="48"/>
    </row>
    <row r="214" spans="11:15" ht="26.25" customHeight="1" x14ac:dyDescent="0.3">
      <c r="K21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14" s="1">
        <f>M213+Table118192023272829[[#This Row],[اجمالي الفاتوره]]-Table118192023272829[[#This Row],[الدفعات]]</f>
        <v>0</v>
      </c>
      <c r="O214" s="48"/>
    </row>
    <row r="215" spans="11:15" ht="26.25" customHeight="1" x14ac:dyDescent="0.3">
      <c r="K21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15" s="1">
        <f>M214+Table118192023272829[[#This Row],[اجمالي الفاتوره]]-Table118192023272829[[#This Row],[الدفعات]]</f>
        <v>0</v>
      </c>
      <c r="O215" s="48"/>
    </row>
    <row r="216" spans="11:15" ht="26.25" customHeight="1" x14ac:dyDescent="0.3">
      <c r="K21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16" s="1">
        <f>M215+Table118192023272829[[#This Row],[اجمالي الفاتوره]]-Table118192023272829[[#This Row],[الدفعات]]</f>
        <v>0</v>
      </c>
      <c r="O216" s="48"/>
    </row>
    <row r="217" spans="11:15" ht="26.25" customHeight="1" x14ac:dyDescent="0.3">
      <c r="K21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17" s="1">
        <f>M216+Table118192023272829[[#This Row],[اجمالي الفاتوره]]-Table118192023272829[[#This Row],[الدفعات]]</f>
        <v>0</v>
      </c>
      <c r="O217" s="48"/>
    </row>
    <row r="218" spans="11:15" ht="26.25" customHeight="1" x14ac:dyDescent="0.3">
      <c r="K21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18" s="1">
        <f>M217+Table118192023272829[[#This Row],[اجمالي الفاتوره]]-Table118192023272829[[#This Row],[الدفعات]]</f>
        <v>0</v>
      </c>
      <c r="O218" s="48"/>
    </row>
    <row r="219" spans="11:15" ht="26.25" customHeight="1" x14ac:dyDescent="0.3">
      <c r="K21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19" s="1">
        <f>M218+Table118192023272829[[#This Row],[اجمالي الفاتوره]]-Table118192023272829[[#This Row],[الدفعات]]</f>
        <v>0</v>
      </c>
      <c r="O219" s="48"/>
    </row>
    <row r="220" spans="11:15" ht="26.25" customHeight="1" x14ac:dyDescent="0.3">
      <c r="K22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20" s="1">
        <f>M219+Table118192023272829[[#This Row],[اجمالي الفاتوره]]-Table118192023272829[[#This Row],[الدفعات]]</f>
        <v>0</v>
      </c>
      <c r="O220" s="48"/>
    </row>
    <row r="221" spans="11:15" ht="26.25" customHeight="1" x14ac:dyDescent="0.3">
      <c r="K22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21" s="1">
        <f>M220+Table118192023272829[[#This Row],[اجمالي الفاتوره]]-Table118192023272829[[#This Row],[الدفعات]]</f>
        <v>0</v>
      </c>
      <c r="O221" s="48"/>
    </row>
    <row r="222" spans="11:15" ht="26.25" customHeight="1" x14ac:dyDescent="0.3">
      <c r="K22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22" s="1">
        <f>M221+Table118192023272829[[#This Row],[اجمالي الفاتوره]]-Table118192023272829[[#This Row],[الدفعات]]</f>
        <v>0</v>
      </c>
      <c r="O222" s="48"/>
    </row>
    <row r="223" spans="11:15" ht="26.25" customHeight="1" x14ac:dyDescent="0.3">
      <c r="K22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23" s="1">
        <f>M222+Table118192023272829[[#This Row],[اجمالي الفاتوره]]-Table118192023272829[[#This Row],[الدفعات]]</f>
        <v>0</v>
      </c>
      <c r="O223" s="48"/>
    </row>
    <row r="224" spans="11:15" ht="26.25" customHeight="1" x14ac:dyDescent="0.3">
      <c r="K22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24" s="1">
        <f>M223+Table118192023272829[[#This Row],[اجمالي الفاتوره]]-Table118192023272829[[#This Row],[الدفعات]]</f>
        <v>0</v>
      </c>
      <c r="O224" s="48"/>
    </row>
    <row r="225" spans="11:15" ht="26.25" customHeight="1" x14ac:dyDescent="0.3">
      <c r="K22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25" s="1">
        <f>M224+Table118192023272829[[#This Row],[اجمالي الفاتوره]]-Table118192023272829[[#This Row],[الدفعات]]</f>
        <v>0</v>
      </c>
      <c r="O225" s="48"/>
    </row>
    <row r="226" spans="11:15" ht="26.25" customHeight="1" x14ac:dyDescent="0.3">
      <c r="K22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26" s="1">
        <f>M225+Table118192023272829[[#This Row],[اجمالي الفاتوره]]-Table118192023272829[[#This Row],[الدفعات]]</f>
        <v>0</v>
      </c>
      <c r="O226" s="48"/>
    </row>
    <row r="227" spans="11:15" ht="26.25" customHeight="1" x14ac:dyDescent="0.3">
      <c r="K22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27" s="1">
        <f>M226+Table118192023272829[[#This Row],[اجمالي الفاتوره]]-Table118192023272829[[#This Row],[الدفعات]]</f>
        <v>0</v>
      </c>
      <c r="O227" s="48"/>
    </row>
    <row r="228" spans="11:15" ht="26.25" customHeight="1" x14ac:dyDescent="0.3">
      <c r="K22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28" s="1">
        <f>M227+Table118192023272829[[#This Row],[اجمالي الفاتوره]]-Table118192023272829[[#This Row],[الدفعات]]</f>
        <v>0</v>
      </c>
      <c r="O228" s="48"/>
    </row>
    <row r="229" spans="11:15" ht="26.25" customHeight="1" x14ac:dyDescent="0.3">
      <c r="K22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29" s="1">
        <f>M228+Table118192023272829[[#This Row],[اجمالي الفاتوره]]-Table118192023272829[[#This Row],[الدفعات]]</f>
        <v>0</v>
      </c>
      <c r="O229" s="48"/>
    </row>
    <row r="230" spans="11:15" ht="26.25" customHeight="1" x14ac:dyDescent="0.3">
      <c r="K23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30" s="1">
        <f>M229+Table118192023272829[[#This Row],[اجمالي الفاتوره]]-Table118192023272829[[#This Row],[الدفعات]]</f>
        <v>0</v>
      </c>
      <c r="O230" s="48"/>
    </row>
    <row r="231" spans="11:15" ht="26.25" customHeight="1" x14ac:dyDescent="0.3">
      <c r="K23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31" s="1">
        <f>M230+Table118192023272829[[#This Row],[اجمالي الفاتوره]]-Table118192023272829[[#This Row],[الدفعات]]</f>
        <v>0</v>
      </c>
      <c r="O231" s="48"/>
    </row>
    <row r="232" spans="11:15" ht="26.25" customHeight="1" x14ac:dyDescent="0.3">
      <c r="K23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32" s="1">
        <f>M231+Table118192023272829[[#This Row],[اجمالي الفاتوره]]-Table118192023272829[[#This Row],[الدفعات]]</f>
        <v>0</v>
      </c>
      <c r="O232" s="48"/>
    </row>
    <row r="233" spans="11:15" ht="26.25" customHeight="1" x14ac:dyDescent="0.3">
      <c r="K23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33" s="1">
        <f>M232+Table118192023272829[[#This Row],[اجمالي الفاتوره]]-Table118192023272829[[#This Row],[الدفعات]]</f>
        <v>0</v>
      </c>
      <c r="O233" s="48"/>
    </row>
    <row r="234" spans="11:15" ht="26.25" customHeight="1" x14ac:dyDescent="0.3">
      <c r="K23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34" s="1">
        <f>M233+Table118192023272829[[#This Row],[اجمالي الفاتوره]]-Table118192023272829[[#This Row],[الدفعات]]</f>
        <v>0</v>
      </c>
      <c r="O234" s="48"/>
    </row>
    <row r="235" spans="11:15" ht="26.25" customHeight="1" x14ac:dyDescent="0.3">
      <c r="K23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35" s="1">
        <f>M234+Table118192023272829[[#This Row],[اجمالي الفاتوره]]-Table118192023272829[[#This Row],[الدفعات]]</f>
        <v>0</v>
      </c>
      <c r="O235" s="48"/>
    </row>
    <row r="236" spans="11:15" ht="26.25" customHeight="1" x14ac:dyDescent="0.3">
      <c r="K23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36" s="1">
        <f>M235+Table118192023272829[[#This Row],[اجمالي الفاتوره]]-Table118192023272829[[#This Row],[الدفعات]]</f>
        <v>0</v>
      </c>
      <c r="O236" s="48"/>
    </row>
    <row r="237" spans="11:15" ht="26.25" customHeight="1" x14ac:dyDescent="0.3">
      <c r="K23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37" s="1">
        <f>M236+Table118192023272829[[#This Row],[اجمالي الفاتوره]]-Table118192023272829[[#This Row],[الدفعات]]</f>
        <v>0</v>
      </c>
      <c r="O237" s="48"/>
    </row>
    <row r="238" spans="11:15" ht="26.25" customHeight="1" x14ac:dyDescent="0.3">
      <c r="K23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38" s="1">
        <f>M237+Table118192023272829[[#This Row],[اجمالي الفاتوره]]-Table118192023272829[[#This Row],[الدفعات]]</f>
        <v>0</v>
      </c>
      <c r="O238" s="48"/>
    </row>
    <row r="239" spans="11:15" ht="26.25" customHeight="1" x14ac:dyDescent="0.3">
      <c r="K23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39" s="1">
        <f>M238+Table118192023272829[[#This Row],[اجمالي الفاتوره]]-Table118192023272829[[#This Row],[الدفعات]]</f>
        <v>0</v>
      </c>
      <c r="O239" s="48"/>
    </row>
    <row r="240" spans="11:15" ht="26.25" customHeight="1" x14ac:dyDescent="0.3">
      <c r="K24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40" s="1">
        <f>M239+Table118192023272829[[#This Row],[اجمالي الفاتوره]]-Table118192023272829[[#This Row],[الدفعات]]</f>
        <v>0</v>
      </c>
      <c r="O240" s="48"/>
    </row>
    <row r="241" spans="11:15" ht="26.25" customHeight="1" x14ac:dyDescent="0.3">
      <c r="K24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41" s="1">
        <f>M240+Table118192023272829[[#This Row],[اجمالي الفاتوره]]-Table118192023272829[[#This Row],[الدفعات]]</f>
        <v>0</v>
      </c>
      <c r="O241" s="48"/>
    </row>
    <row r="242" spans="11:15" ht="26.25" customHeight="1" x14ac:dyDescent="0.3">
      <c r="K24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42" s="1">
        <f>M241+Table118192023272829[[#This Row],[اجمالي الفاتوره]]-Table118192023272829[[#This Row],[الدفعات]]</f>
        <v>0</v>
      </c>
      <c r="O242" s="48"/>
    </row>
    <row r="243" spans="11:15" ht="26.25" customHeight="1" x14ac:dyDescent="0.3">
      <c r="K24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43" s="1">
        <f>M242+Table118192023272829[[#This Row],[اجمالي الفاتوره]]-Table118192023272829[[#This Row],[الدفعات]]</f>
        <v>0</v>
      </c>
      <c r="O243" s="48"/>
    </row>
    <row r="244" spans="11:15" ht="26.25" customHeight="1" x14ac:dyDescent="0.3">
      <c r="K24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44" s="1">
        <f>M243+Table118192023272829[[#This Row],[اجمالي الفاتوره]]-Table118192023272829[[#This Row],[الدفعات]]</f>
        <v>0</v>
      </c>
      <c r="O244" s="48"/>
    </row>
    <row r="245" spans="11:15" ht="26.25" customHeight="1" x14ac:dyDescent="0.3">
      <c r="K24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45" s="1">
        <f>M244+Table118192023272829[[#This Row],[اجمالي الفاتوره]]-Table118192023272829[[#This Row],[الدفعات]]</f>
        <v>0</v>
      </c>
      <c r="O245" s="48"/>
    </row>
    <row r="246" spans="11:15" ht="26.25" customHeight="1" x14ac:dyDescent="0.3">
      <c r="K24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46" s="1">
        <f>M245+Table118192023272829[[#This Row],[اجمالي الفاتوره]]-Table118192023272829[[#This Row],[الدفعات]]</f>
        <v>0</v>
      </c>
      <c r="O246" s="48"/>
    </row>
    <row r="247" spans="11:15" ht="26.25" customHeight="1" x14ac:dyDescent="0.3">
      <c r="K24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47" s="1">
        <f>M246+Table118192023272829[[#This Row],[اجمالي الفاتوره]]-Table118192023272829[[#This Row],[الدفعات]]</f>
        <v>0</v>
      </c>
      <c r="O247" s="48"/>
    </row>
    <row r="248" spans="11:15" ht="26.25" customHeight="1" x14ac:dyDescent="0.3">
      <c r="K24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48" s="1">
        <f>M247+Table118192023272829[[#This Row],[اجمالي الفاتوره]]-Table118192023272829[[#This Row],[الدفعات]]</f>
        <v>0</v>
      </c>
      <c r="O248" s="48"/>
    </row>
    <row r="249" spans="11:15" ht="26.25" customHeight="1" x14ac:dyDescent="0.3">
      <c r="K24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49" s="1">
        <f>M248+Table118192023272829[[#This Row],[اجمالي الفاتوره]]-Table118192023272829[[#This Row],[الدفعات]]</f>
        <v>0</v>
      </c>
      <c r="O249" s="48"/>
    </row>
    <row r="250" spans="11:15" ht="26.25" customHeight="1" x14ac:dyDescent="0.3">
      <c r="K25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50" s="1">
        <f>M249+Table118192023272829[[#This Row],[اجمالي الفاتوره]]-Table118192023272829[[#This Row],[الدفعات]]</f>
        <v>0</v>
      </c>
      <c r="O250" s="48"/>
    </row>
    <row r="251" spans="11:15" ht="26.25" customHeight="1" x14ac:dyDescent="0.3">
      <c r="K25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51" s="1">
        <f>M250+Table118192023272829[[#This Row],[اجمالي الفاتوره]]-Table118192023272829[[#This Row],[الدفعات]]</f>
        <v>0</v>
      </c>
      <c r="O251" s="48"/>
    </row>
    <row r="252" spans="11:15" ht="26.25" customHeight="1" x14ac:dyDescent="0.3">
      <c r="K25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52" s="1">
        <f>M251+Table118192023272829[[#This Row],[اجمالي الفاتوره]]-Table118192023272829[[#This Row],[الدفعات]]</f>
        <v>0</v>
      </c>
      <c r="O252" s="48"/>
    </row>
    <row r="253" spans="11:15" ht="26.25" customHeight="1" x14ac:dyDescent="0.3">
      <c r="K25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53" s="1">
        <f>M252+Table118192023272829[[#This Row],[اجمالي الفاتوره]]-Table118192023272829[[#This Row],[الدفعات]]</f>
        <v>0</v>
      </c>
      <c r="O253" s="48"/>
    </row>
    <row r="254" spans="11:15" ht="26.25" customHeight="1" x14ac:dyDescent="0.3">
      <c r="K25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54" s="1">
        <f>M253+Table118192023272829[[#This Row],[اجمالي الفاتوره]]-Table118192023272829[[#This Row],[الدفعات]]</f>
        <v>0</v>
      </c>
      <c r="O254" s="48"/>
    </row>
    <row r="255" spans="11:15" ht="26.25" customHeight="1" x14ac:dyDescent="0.3">
      <c r="K25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55" s="1">
        <f>M254+Table118192023272829[[#This Row],[اجمالي الفاتوره]]-Table118192023272829[[#This Row],[الدفعات]]</f>
        <v>0</v>
      </c>
      <c r="O255" s="48"/>
    </row>
    <row r="256" spans="11:15" ht="26.25" customHeight="1" x14ac:dyDescent="0.3">
      <c r="K25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56" s="1">
        <f>M255+Table118192023272829[[#This Row],[اجمالي الفاتوره]]-Table118192023272829[[#This Row],[الدفعات]]</f>
        <v>0</v>
      </c>
      <c r="O256" s="48"/>
    </row>
    <row r="257" spans="11:15" ht="26.25" customHeight="1" x14ac:dyDescent="0.3">
      <c r="K25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57" s="1">
        <f>M256+Table118192023272829[[#This Row],[اجمالي الفاتوره]]-Table118192023272829[[#This Row],[الدفعات]]</f>
        <v>0</v>
      </c>
      <c r="O257" s="48"/>
    </row>
    <row r="258" spans="11:15" ht="26.25" customHeight="1" x14ac:dyDescent="0.3">
      <c r="K25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58" s="1">
        <f>M257+Table118192023272829[[#This Row],[اجمالي الفاتوره]]-Table118192023272829[[#This Row],[الدفعات]]</f>
        <v>0</v>
      </c>
      <c r="O258" s="48"/>
    </row>
    <row r="259" spans="11:15" ht="26.25" customHeight="1" x14ac:dyDescent="0.3">
      <c r="K25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59" s="1">
        <f>M258+Table118192023272829[[#This Row],[اجمالي الفاتوره]]-Table118192023272829[[#This Row],[الدفعات]]</f>
        <v>0</v>
      </c>
      <c r="O259" s="48"/>
    </row>
    <row r="260" spans="11:15" ht="26.25" customHeight="1" x14ac:dyDescent="0.3">
      <c r="K26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60" s="1">
        <f>M259+Table118192023272829[[#This Row],[اجمالي الفاتوره]]-Table118192023272829[[#This Row],[الدفعات]]</f>
        <v>0</v>
      </c>
      <c r="O260" s="48"/>
    </row>
    <row r="261" spans="11:15" ht="26.25" customHeight="1" x14ac:dyDescent="0.3">
      <c r="K26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61" s="1">
        <f>M260+Table118192023272829[[#This Row],[اجمالي الفاتوره]]-Table118192023272829[[#This Row],[الدفعات]]</f>
        <v>0</v>
      </c>
      <c r="O261" s="48"/>
    </row>
    <row r="262" spans="11:15" ht="26.25" customHeight="1" x14ac:dyDescent="0.3">
      <c r="K26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62" s="1">
        <f>M261+Table118192023272829[[#This Row],[اجمالي الفاتوره]]-Table118192023272829[[#This Row],[الدفعات]]</f>
        <v>0</v>
      </c>
      <c r="O262" s="48"/>
    </row>
    <row r="263" spans="11:15" ht="26.25" customHeight="1" x14ac:dyDescent="0.3">
      <c r="K26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63" s="1">
        <f>M262+Table118192023272829[[#This Row],[اجمالي الفاتوره]]-Table118192023272829[[#This Row],[الدفعات]]</f>
        <v>0</v>
      </c>
      <c r="O263" s="48"/>
    </row>
    <row r="264" spans="11:15" ht="26.25" customHeight="1" x14ac:dyDescent="0.3">
      <c r="K26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64" s="1">
        <f>M263+Table118192023272829[[#This Row],[اجمالي الفاتوره]]-Table118192023272829[[#This Row],[الدفعات]]</f>
        <v>0</v>
      </c>
      <c r="O264" s="48"/>
    </row>
    <row r="265" spans="11:15" ht="26.25" customHeight="1" x14ac:dyDescent="0.3">
      <c r="K26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65" s="1">
        <f>M264+Table118192023272829[[#This Row],[اجمالي الفاتوره]]-Table118192023272829[[#This Row],[الدفعات]]</f>
        <v>0</v>
      </c>
      <c r="O265" s="48"/>
    </row>
    <row r="266" spans="11:15" ht="26.25" customHeight="1" x14ac:dyDescent="0.3">
      <c r="K26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66" s="1">
        <f>M265+Table118192023272829[[#This Row],[اجمالي الفاتوره]]-Table118192023272829[[#This Row],[الدفعات]]</f>
        <v>0</v>
      </c>
      <c r="O266" s="48"/>
    </row>
    <row r="267" spans="11:15" ht="26.25" customHeight="1" x14ac:dyDescent="0.3">
      <c r="K26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67" s="1">
        <f>M266+Table118192023272829[[#This Row],[اجمالي الفاتوره]]-Table118192023272829[[#This Row],[الدفعات]]</f>
        <v>0</v>
      </c>
      <c r="O267" s="48"/>
    </row>
    <row r="268" spans="11:15" ht="26.25" customHeight="1" x14ac:dyDescent="0.3">
      <c r="K26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68" s="1">
        <f>M267+Table118192023272829[[#This Row],[اجمالي الفاتوره]]-Table118192023272829[[#This Row],[الدفعات]]</f>
        <v>0</v>
      </c>
      <c r="O268" s="48"/>
    </row>
    <row r="269" spans="11:15" ht="26.25" customHeight="1" x14ac:dyDescent="0.3">
      <c r="K26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69" s="1">
        <f>M268+Table118192023272829[[#This Row],[اجمالي الفاتوره]]-Table118192023272829[[#This Row],[الدفعات]]</f>
        <v>0</v>
      </c>
      <c r="O269" s="48"/>
    </row>
    <row r="270" spans="11:15" ht="26.25" customHeight="1" x14ac:dyDescent="0.3">
      <c r="K27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70" s="1">
        <f>M269+Table118192023272829[[#This Row],[اجمالي الفاتوره]]-Table118192023272829[[#This Row],[الدفعات]]</f>
        <v>0</v>
      </c>
      <c r="O270" s="48"/>
    </row>
    <row r="271" spans="11:15" ht="26.25" customHeight="1" x14ac:dyDescent="0.3">
      <c r="K27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71" s="1">
        <f>M270+Table118192023272829[[#This Row],[اجمالي الفاتوره]]-Table118192023272829[[#This Row],[الدفعات]]</f>
        <v>0</v>
      </c>
      <c r="O271" s="48"/>
    </row>
    <row r="272" spans="11:15" ht="26.25" customHeight="1" x14ac:dyDescent="0.3">
      <c r="K27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72" s="1">
        <f>M271+Table118192023272829[[#This Row],[اجمالي الفاتوره]]-Table118192023272829[[#This Row],[الدفعات]]</f>
        <v>0</v>
      </c>
      <c r="O272" s="48"/>
    </row>
    <row r="273" spans="11:15" ht="26.25" customHeight="1" x14ac:dyDescent="0.3">
      <c r="K27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73" s="1">
        <f>M272+Table118192023272829[[#This Row],[اجمالي الفاتوره]]-Table118192023272829[[#This Row],[الدفعات]]</f>
        <v>0</v>
      </c>
      <c r="O273" s="48"/>
    </row>
    <row r="274" spans="11:15" ht="26.25" customHeight="1" x14ac:dyDescent="0.3">
      <c r="K27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74" s="1">
        <f>M273+Table118192023272829[[#This Row],[اجمالي الفاتوره]]-Table118192023272829[[#This Row],[الدفعات]]</f>
        <v>0</v>
      </c>
      <c r="O274" s="48"/>
    </row>
    <row r="275" spans="11:15" ht="26.25" customHeight="1" x14ac:dyDescent="0.3">
      <c r="K27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75" s="1">
        <f>M274+Table118192023272829[[#This Row],[اجمالي الفاتوره]]-Table118192023272829[[#This Row],[الدفعات]]</f>
        <v>0</v>
      </c>
      <c r="O275" s="48"/>
    </row>
    <row r="276" spans="11:15" ht="26.25" customHeight="1" x14ac:dyDescent="0.3">
      <c r="K27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76" s="1">
        <f>M275+Table118192023272829[[#This Row],[اجمالي الفاتوره]]-Table118192023272829[[#This Row],[الدفعات]]</f>
        <v>0</v>
      </c>
      <c r="O276" s="48"/>
    </row>
    <row r="277" spans="11:15" ht="26.25" customHeight="1" x14ac:dyDescent="0.3">
      <c r="K27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77" s="1">
        <f>M276+Table118192023272829[[#This Row],[اجمالي الفاتوره]]-Table118192023272829[[#This Row],[الدفعات]]</f>
        <v>0</v>
      </c>
      <c r="O277" s="48"/>
    </row>
    <row r="278" spans="11:15" ht="26.25" customHeight="1" x14ac:dyDescent="0.3">
      <c r="K27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78" s="1">
        <f>M277+Table118192023272829[[#This Row],[اجمالي الفاتوره]]-Table118192023272829[[#This Row],[الدفعات]]</f>
        <v>0</v>
      </c>
      <c r="O278" s="48"/>
    </row>
    <row r="279" spans="11:15" ht="26.25" customHeight="1" x14ac:dyDescent="0.3">
      <c r="K27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79" s="1">
        <f>M278+Table118192023272829[[#This Row],[اجمالي الفاتوره]]-Table118192023272829[[#This Row],[الدفعات]]</f>
        <v>0</v>
      </c>
      <c r="O279" s="48"/>
    </row>
    <row r="280" spans="11:15" ht="26.25" customHeight="1" x14ac:dyDescent="0.3">
      <c r="K28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80" s="1">
        <f>M279+Table118192023272829[[#This Row],[اجمالي الفاتوره]]-Table118192023272829[[#This Row],[الدفعات]]</f>
        <v>0</v>
      </c>
      <c r="O280" s="48"/>
    </row>
    <row r="281" spans="11:15" ht="26.25" customHeight="1" x14ac:dyDescent="0.3">
      <c r="K28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81" s="1">
        <f>M280+Table118192023272829[[#This Row],[اجمالي الفاتوره]]-Table118192023272829[[#This Row],[الدفعات]]</f>
        <v>0</v>
      </c>
      <c r="O281" s="48"/>
    </row>
    <row r="282" spans="11:15" ht="26.25" customHeight="1" x14ac:dyDescent="0.3">
      <c r="K28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82" s="1">
        <f>M281+Table118192023272829[[#This Row],[اجمالي الفاتوره]]-Table118192023272829[[#This Row],[الدفعات]]</f>
        <v>0</v>
      </c>
      <c r="O282" s="48"/>
    </row>
    <row r="283" spans="11:15" ht="26.25" customHeight="1" x14ac:dyDescent="0.3">
      <c r="K28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83" s="1">
        <f>M282+Table118192023272829[[#This Row],[اجمالي الفاتوره]]-Table118192023272829[[#This Row],[الدفعات]]</f>
        <v>0</v>
      </c>
      <c r="O283" s="48"/>
    </row>
    <row r="284" spans="11:15" ht="26.25" customHeight="1" x14ac:dyDescent="0.3">
      <c r="K28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84" s="1">
        <f>M283+Table118192023272829[[#This Row],[اجمالي الفاتوره]]-Table118192023272829[[#This Row],[الدفعات]]</f>
        <v>0</v>
      </c>
      <c r="O284" s="48"/>
    </row>
    <row r="285" spans="11:15" ht="26.25" customHeight="1" x14ac:dyDescent="0.3">
      <c r="K28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85" s="1">
        <f>M284+Table118192023272829[[#This Row],[اجمالي الفاتوره]]-Table118192023272829[[#This Row],[الدفعات]]</f>
        <v>0</v>
      </c>
      <c r="O285" s="48"/>
    </row>
    <row r="286" spans="11:15" ht="26.25" customHeight="1" x14ac:dyDescent="0.3">
      <c r="K28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86" s="1">
        <f>M285+Table118192023272829[[#This Row],[اجمالي الفاتوره]]-Table118192023272829[[#This Row],[الدفعات]]</f>
        <v>0</v>
      </c>
      <c r="O286" s="48"/>
    </row>
    <row r="287" spans="11:15" ht="26.25" customHeight="1" x14ac:dyDescent="0.3">
      <c r="K28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87" s="1">
        <f>M286+Table118192023272829[[#This Row],[اجمالي الفاتوره]]-Table118192023272829[[#This Row],[الدفعات]]</f>
        <v>0</v>
      </c>
      <c r="O287" s="48"/>
    </row>
    <row r="288" spans="11:15" ht="26.25" customHeight="1" x14ac:dyDescent="0.3">
      <c r="K28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88" s="1">
        <f>M287+Table118192023272829[[#This Row],[اجمالي الفاتوره]]-Table118192023272829[[#This Row],[الدفعات]]</f>
        <v>0</v>
      </c>
      <c r="O288" s="48"/>
    </row>
    <row r="289" spans="11:15" ht="26.25" customHeight="1" x14ac:dyDescent="0.3">
      <c r="K28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89" s="1">
        <f>M288+Table118192023272829[[#This Row],[اجمالي الفاتوره]]-Table118192023272829[[#This Row],[الدفعات]]</f>
        <v>0</v>
      </c>
      <c r="O289" s="48"/>
    </row>
    <row r="290" spans="11:15" ht="26.25" customHeight="1" x14ac:dyDescent="0.3">
      <c r="K29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90" s="1">
        <f>M289+Table118192023272829[[#This Row],[اجمالي الفاتوره]]-Table118192023272829[[#This Row],[الدفعات]]</f>
        <v>0</v>
      </c>
      <c r="O290" s="48"/>
    </row>
    <row r="291" spans="11:15" ht="26.25" customHeight="1" x14ac:dyDescent="0.3">
      <c r="K29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91" s="1">
        <f>M290+Table118192023272829[[#This Row],[اجمالي الفاتوره]]-Table118192023272829[[#This Row],[الدفعات]]</f>
        <v>0</v>
      </c>
      <c r="O291" s="48"/>
    </row>
    <row r="292" spans="11:15" ht="26.25" customHeight="1" x14ac:dyDescent="0.3">
      <c r="K29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92" s="1">
        <f>M291+Table118192023272829[[#This Row],[اجمالي الفاتوره]]-Table118192023272829[[#This Row],[الدفعات]]</f>
        <v>0</v>
      </c>
      <c r="O292" s="48"/>
    </row>
    <row r="293" spans="11:15" ht="26.25" customHeight="1" x14ac:dyDescent="0.3">
      <c r="K29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93" s="1">
        <f>M292+Table118192023272829[[#This Row],[اجمالي الفاتوره]]-Table118192023272829[[#This Row],[الدفعات]]</f>
        <v>0</v>
      </c>
      <c r="O293" s="48"/>
    </row>
    <row r="294" spans="11:15" ht="26.25" customHeight="1" x14ac:dyDescent="0.3">
      <c r="K29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94" s="1">
        <f>M293+Table118192023272829[[#This Row],[اجمالي الفاتوره]]-Table118192023272829[[#This Row],[الدفعات]]</f>
        <v>0</v>
      </c>
      <c r="O294" s="48"/>
    </row>
    <row r="295" spans="11:15" ht="26.25" customHeight="1" x14ac:dyDescent="0.3">
      <c r="K29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95" s="1">
        <f>M294+Table118192023272829[[#This Row],[اجمالي الفاتوره]]-Table118192023272829[[#This Row],[الدفعات]]</f>
        <v>0</v>
      </c>
      <c r="O295" s="48"/>
    </row>
    <row r="296" spans="11:15" ht="26.25" customHeight="1" x14ac:dyDescent="0.3">
      <c r="K29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96" s="1">
        <f>M295+Table118192023272829[[#This Row],[اجمالي الفاتوره]]-Table118192023272829[[#This Row],[الدفعات]]</f>
        <v>0</v>
      </c>
      <c r="O296" s="48"/>
    </row>
    <row r="297" spans="11:15" ht="26.25" customHeight="1" x14ac:dyDescent="0.3">
      <c r="K29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97" s="1">
        <f>M296+Table118192023272829[[#This Row],[اجمالي الفاتوره]]-Table118192023272829[[#This Row],[الدفعات]]</f>
        <v>0</v>
      </c>
      <c r="O297" s="48"/>
    </row>
    <row r="298" spans="11:15" ht="26.25" customHeight="1" x14ac:dyDescent="0.3">
      <c r="K29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98" s="1">
        <f>M297+Table118192023272829[[#This Row],[اجمالي الفاتوره]]-Table118192023272829[[#This Row],[الدفعات]]</f>
        <v>0</v>
      </c>
      <c r="O298" s="48"/>
    </row>
    <row r="299" spans="11:15" ht="26.25" customHeight="1" x14ac:dyDescent="0.3">
      <c r="K29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299" s="1">
        <f>M298+Table118192023272829[[#This Row],[اجمالي الفاتوره]]-Table118192023272829[[#This Row],[الدفعات]]</f>
        <v>0</v>
      </c>
      <c r="O299" s="48"/>
    </row>
    <row r="300" spans="11:15" ht="26.25" customHeight="1" x14ac:dyDescent="0.3">
      <c r="K30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00" s="1">
        <f>M299+Table118192023272829[[#This Row],[اجمالي الفاتوره]]-Table118192023272829[[#This Row],[الدفعات]]</f>
        <v>0</v>
      </c>
      <c r="O300" s="48"/>
    </row>
    <row r="301" spans="11:15" ht="26.25" customHeight="1" x14ac:dyDescent="0.3">
      <c r="K30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01" s="1">
        <f>M300+Table118192023272829[[#This Row],[اجمالي الفاتوره]]-Table118192023272829[[#This Row],[الدفعات]]</f>
        <v>0</v>
      </c>
      <c r="O301" s="48"/>
    </row>
    <row r="302" spans="11:15" ht="26.25" customHeight="1" x14ac:dyDescent="0.3">
      <c r="K30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02" s="1">
        <f>M301+Table118192023272829[[#This Row],[اجمالي الفاتوره]]-Table118192023272829[[#This Row],[الدفعات]]</f>
        <v>0</v>
      </c>
      <c r="O302" s="48"/>
    </row>
    <row r="303" spans="11:15" ht="26.25" customHeight="1" x14ac:dyDescent="0.3">
      <c r="K30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03" s="1">
        <f>M302+Table118192023272829[[#This Row],[اجمالي الفاتوره]]-Table118192023272829[[#This Row],[الدفعات]]</f>
        <v>0</v>
      </c>
      <c r="O303" s="48"/>
    </row>
    <row r="304" spans="11:15" ht="26.25" customHeight="1" x14ac:dyDescent="0.3">
      <c r="K30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04" s="1">
        <f>M303+Table118192023272829[[#This Row],[اجمالي الفاتوره]]-Table118192023272829[[#This Row],[الدفعات]]</f>
        <v>0</v>
      </c>
      <c r="O304" s="48"/>
    </row>
    <row r="305" spans="11:15" ht="26.25" customHeight="1" x14ac:dyDescent="0.3">
      <c r="K30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05" s="1">
        <f>M304+Table118192023272829[[#This Row],[اجمالي الفاتوره]]-Table118192023272829[[#This Row],[الدفعات]]</f>
        <v>0</v>
      </c>
      <c r="O305" s="48"/>
    </row>
    <row r="306" spans="11:15" ht="26.25" customHeight="1" x14ac:dyDescent="0.3">
      <c r="K30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06" s="1">
        <f>M305+Table118192023272829[[#This Row],[اجمالي الفاتوره]]-Table118192023272829[[#This Row],[الدفعات]]</f>
        <v>0</v>
      </c>
      <c r="O306" s="48"/>
    </row>
    <row r="307" spans="11:15" ht="26.25" customHeight="1" x14ac:dyDescent="0.3">
      <c r="K30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07" s="1">
        <f>M306+Table118192023272829[[#This Row],[اجمالي الفاتوره]]-Table118192023272829[[#This Row],[الدفعات]]</f>
        <v>0</v>
      </c>
      <c r="O307" s="48"/>
    </row>
    <row r="308" spans="11:15" ht="26.25" customHeight="1" x14ac:dyDescent="0.3">
      <c r="K30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08" s="1">
        <f>M307+Table118192023272829[[#This Row],[اجمالي الفاتوره]]-Table118192023272829[[#This Row],[الدفعات]]</f>
        <v>0</v>
      </c>
      <c r="O308" s="48"/>
    </row>
    <row r="309" spans="11:15" ht="26.25" customHeight="1" x14ac:dyDescent="0.3">
      <c r="K30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09" s="1">
        <f>M308+Table118192023272829[[#This Row],[اجمالي الفاتوره]]-Table118192023272829[[#This Row],[الدفعات]]</f>
        <v>0</v>
      </c>
      <c r="O309" s="48"/>
    </row>
    <row r="310" spans="11:15" ht="26.25" customHeight="1" x14ac:dyDescent="0.3">
      <c r="K31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10" s="1">
        <f>M309+Table118192023272829[[#This Row],[اجمالي الفاتوره]]-Table118192023272829[[#This Row],[الدفعات]]</f>
        <v>0</v>
      </c>
      <c r="O310" s="48"/>
    </row>
    <row r="311" spans="11:15" ht="26.25" customHeight="1" x14ac:dyDescent="0.3">
      <c r="K31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11" s="1">
        <f>M310+Table118192023272829[[#This Row],[اجمالي الفاتوره]]-Table118192023272829[[#This Row],[الدفعات]]</f>
        <v>0</v>
      </c>
      <c r="O311" s="48"/>
    </row>
    <row r="312" spans="11:15" ht="26.25" customHeight="1" x14ac:dyDescent="0.3">
      <c r="K31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12" s="1">
        <f>M311+Table118192023272829[[#This Row],[اجمالي الفاتوره]]-Table118192023272829[[#This Row],[الدفعات]]</f>
        <v>0</v>
      </c>
      <c r="O312" s="48"/>
    </row>
    <row r="313" spans="11:15" ht="26.25" customHeight="1" x14ac:dyDescent="0.3">
      <c r="K31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13" s="1">
        <f>M312+Table118192023272829[[#This Row],[اجمالي الفاتوره]]-Table118192023272829[[#This Row],[الدفعات]]</f>
        <v>0</v>
      </c>
      <c r="O313" s="48"/>
    </row>
    <row r="314" spans="11:15" ht="26.25" customHeight="1" x14ac:dyDescent="0.3">
      <c r="K31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14" s="1">
        <f>M313+Table118192023272829[[#This Row],[اجمالي الفاتوره]]-Table118192023272829[[#This Row],[الدفعات]]</f>
        <v>0</v>
      </c>
      <c r="O314" s="48"/>
    </row>
    <row r="315" spans="11:15" ht="26.25" customHeight="1" x14ac:dyDescent="0.3">
      <c r="K31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15" s="1">
        <f>M314+Table118192023272829[[#This Row],[اجمالي الفاتوره]]-Table118192023272829[[#This Row],[الدفعات]]</f>
        <v>0</v>
      </c>
      <c r="O315" s="48"/>
    </row>
    <row r="316" spans="11:15" ht="26.25" customHeight="1" x14ac:dyDescent="0.3">
      <c r="K31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16" s="1">
        <f>M315+Table118192023272829[[#This Row],[اجمالي الفاتوره]]-Table118192023272829[[#This Row],[الدفعات]]</f>
        <v>0</v>
      </c>
      <c r="O316" s="48"/>
    </row>
    <row r="317" spans="11:15" ht="26.25" customHeight="1" x14ac:dyDescent="0.3">
      <c r="K31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17" s="1">
        <f>M316+Table118192023272829[[#This Row],[اجمالي الفاتوره]]-Table118192023272829[[#This Row],[الدفعات]]</f>
        <v>0</v>
      </c>
      <c r="O317" s="48"/>
    </row>
    <row r="318" spans="11:15" ht="26.25" customHeight="1" x14ac:dyDescent="0.3">
      <c r="K31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18" s="1">
        <f>M317+Table118192023272829[[#This Row],[اجمالي الفاتوره]]-Table118192023272829[[#This Row],[الدفعات]]</f>
        <v>0</v>
      </c>
      <c r="O318" s="48"/>
    </row>
    <row r="319" spans="11:15" ht="26.25" customHeight="1" x14ac:dyDescent="0.3">
      <c r="K31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19" s="1">
        <f>M318+Table118192023272829[[#This Row],[اجمالي الفاتوره]]-Table118192023272829[[#This Row],[الدفعات]]</f>
        <v>0</v>
      </c>
      <c r="O319" s="48"/>
    </row>
    <row r="320" spans="11:15" ht="26.25" customHeight="1" x14ac:dyDescent="0.3">
      <c r="K32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20" s="1">
        <f>M319+Table118192023272829[[#This Row],[اجمالي الفاتوره]]-Table118192023272829[[#This Row],[الدفعات]]</f>
        <v>0</v>
      </c>
      <c r="O320" s="48"/>
    </row>
    <row r="321" spans="11:15" ht="26.25" customHeight="1" x14ac:dyDescent="0.3">
      <c r="K32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21" s="1">
        <f>M320+Table118192023272829[[#This Row],[اجمالي الفاتوره]]-Table118192023272829[[#This Row],[الدفعات]]</f>
        <v>0</v>
      </c>
      <c r="O321" s="48"/>
    </row>
    <row r="322" spans="11:15" ht="26.25" customHeight="1" x14ac:dyDescent="0.3">
      <c r="K32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22" s="1">
        <f>M321+Table118192023272829[[#This Row],[اجمالي الفاتوره]]-Table118192023272829[[#This Row],[الدفعات]]</f>
        <v>0</v>
      </c>
      <c r="O322" s="48"/>
    </row>
    <row r="323" spans="11:15" ht="26.25" customHeight="1" x14ac:dyDescent="0.3">
      <c r="K32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23" s="1">
        <f>M322+Table118192023272829[[#This Row],[اجمالي الفاتوره]]-Table118192023272829[[#This Row],[الدفعات]]</f>
        <v>0</v>
      </c>
      <c r="O323" s="48"/>
    </row>
    <row r="324" spans="11:15" ht="26.25" customHeight="1" x14ac:dyDescent="0.3">
      <c r="K32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24" s="1">
        <f>M323+Table118192023272829[[#This Row],[اجمالي الفاتوره]]-Table118192023272829[[#This Row],[الدفعات]]</f>
        <v>0</v>
      </c>
      <c r="O324" s="48"/>
    </row>
    <row r="325" spans="11:15" ht="26.25" customHeight="1" x14ac:dyDescent="0.3">
      <c r="K32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25" s="1">
        <f>M324+Table118192023272829[[#This Row],[اجمالي الفاتوره]]-Table118192023272829[[#This Row],[الدفعات]]</f>
        <v>0</v>
      </c>
      <c r="O325" s="48"/>
    </row>
    <row r="326" spans="11:15" ht="26.25" customHeight="1" x14ac:dyDescent="0.3">
      <c r="K32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26" s="1">
        <f>M325+Table118192023272829[[#This Row],[اجمالي الفاتوره]]-Table118192023272829[[#This Row],[الدفعات]]</f>
        <v>0</v>
      </c>
      <c r="O326" s="48"/>
    </row>
    <row r="327" spans="11:15" ht="26.25" customHeight="1" x14ac:dyDescent="0.3">
      <c r="K32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27" s="1">
        <f>M326+Table118192023272829[[#This Row],[اجمالي الفاتوره]]-Table118192023272829[[#This Row],[الدفعات]]</f>
        <v>0</v>
      </c>
      <c r="O327" s="48"/>
    </row>
    <row r="328" spans="11:15" ht="26.25" customHeight="1" x14ac:dyDescent="0.3">
      <c r="K32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28" s="1">
        <f>M327+Table118192023272829[[#This Row],[اجمالي الفاتوره]]-Table118192023272829[[#This Row],[الدفعات]]</f>
        <v>0</v>
      </c>
      <c r="O328" s="48"/>
    </row>
    <row r="329" spans="11:15" ht="26.25" customHeight="1" x14ac:dyDescent="0.3">
      <c r="K329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29" s="1">
        <f>M328+Table118192023272829[[#This Row],[اجمالي الفاتوره]]-Table118192023272829[[#This Row],[الدفعات]]</f>
        <v>0</v>
      </c>
      <c r="O329" s="48"/>
    </row>
    <row r="330" spans="11:15" ht="26.25" customHeight="1" x14ac:dyDescent="0.3">
      <c r="K330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30" s="1">
        <f>M329+Table118192023272829[[#This Row],[اجمالي الفاتوره]]-Table118192023272829[[#This Row],[الدفعات]]</f>
        <v>0</v>
      </c>
      <c r="O330" s="48"/>
    </row>
    <row r="331" spans="11:15" ht="26.25" customHeight="1" x14ac:dyDescent="0.3">
      <c r="K331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31" s="1">
        <f>M330+Table118192023272829[[#This Row],[اجمالي الفاتوره]]-Table118192023272829[[#This Row],[الدفعات]]</f>
        <v>0</v>
      </c>
      <c r="O331" s="48"/>
    </row>
    <row r="332" spans="11:15" ht="26.25" customHeight="1" x14ac:dyDescent="0.3">
      <c r="K332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32" s="1">
        <f>M331+Table118192023272829[[#This Row],[اجمالي الفاتوره]]-Table118192023272829[[#This Row],[الدفعات]]</f>
        <v>0</v>
      </c>
      <c r="O332" s="48"/>
    </row>
    <row r="333" spans="11:15" ht="26.25" customHeight="1" x14ac:dyDescent="0.3">
      <c r="K333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33" s="1">
        <f>M332+Table118192023272829[[#This Row],[اجمالي الفاتوره]]-Table118192023272829[[#This Row],[الدفعات]]</f>
        <v>0</v>
      </c>
      <c r="O333" s="48"/>
    </row>
    <row r="334" spans="11:15" ht="26.25" customHeight="1" x14ac:dyDescent="0.3">
      <c r="K334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34" s="1">
        <f>M333+Table118192023272829[[#This Row],[اجمالي الفاتوره]]-Table118192023272829[[#This Row],[الدفعات]]</f>
        <v>0</v>
      </c>
      <c r="O334" s="48"/>
    </row>
    <row r="335" spans="11:15" ht="26.25" customHeight="1" x14ac:dyDescent="0.3">
      <c r="K335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35" s="1">
        <f>M334+Table118192023272829[[#This Row],[اجمالي الفاتوره]]-Table118192023272829[[#This Row],[الدفعات]]</f>
        <v>0</v>
      </c>
      <c r="O335" s="48"/>
    </row>
    <row r="336" spans="11:15" ht="26.25" customHeight="1" x14ac:dyDescent="0.3">
      <c r="K336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36" s="1">
        <f>M335+Table118192023272829[[#This Row],[اجمالي الفاتوره]]-Table118192023272829[[#This Row],[الدفعات]]</f>
        <v>0</v>
      </c>
      <c r="O336" s="48"/>
    </row>
    <row r="337" spans="11:15" ht="26.25" customHeight="1" x14ac:dyDescent="0.3">
      <c r="K337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37" s="1">
        <f>M336+Table118192023272829[[#This Row],[اجمالي الفاتوره]]-Table118192023272829[[#This Row],[الدفعات]]</f>
        <v>0</v>
      </c>
      <c r="O337" s="48"/>
    </row>
    <row r="338" spans="11:15" ht="26.25" customHeight="1" x14ac:dyDescent="0.3">
      <c r="K338" s="1">
        <f>Table118192023272829[[#This Row],[النولون]]+Table118192023272829[[#This Row],[الايصالات]]-Table118192023272829[[#This Row],[خصم أ ت ص]]+Table118192023272829[[#This Row],[قيمة مضافة]]</f>
        <v>0</v>
      </c>
      <c r="M338" s="1">
        <f>M337+Table118192023272829[[#This Row],[اجمالي الفاتوره]]-Table118192023272829[[#This Row],[الدفعات]]</f>
        <v>0</v>
      </c>
      <c r="O338" s="48"/>
    </row>
  </sheetData>
  <phoneticPr fontId="2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39"/>
  <sheetViews>
    <sheetView rightToLeft="1" zoomScale="110" zoomScaleNormal="110" workbookViewId="0">
      <selection activeCell="J5" sqref="J5"/>
    </sheetView>
  </sheetViews>
  <sheetFormatPr defaultColWidth="9.33203125" defaultRowHeight="24" customHeight="1" x14ac:dyDescent="0.3"/>
  <cols>
    <col min="1" max="1" width="6.6640625" style="1" customWidth="1"/>
    <col min="2" max="2" width="11.109375" style="1" customWidth="1"/>
    <col min="3" max="3" width="11.44140625" style="1" customWidth="1"/>
    <col min="4" max="4" width="11.21875" style="1" customWidth="1"/>
    <col min="5" max="5" width="12.44140625" style="1" customWidth="1"/>
    <col min="6" max="6" width="11.109375" style="1" customWidth="1"/>
    <col min="7" max="7" width="10.88671875" style="1" customWidth="1"/>
    <col min="8" max="8" width="9.44140625" style="1" customWidth="1"/>
    <col min="9" max="9" width="10.44140625" style="1" customWidth="1"/>
    <col min="10" max="10" width="12" style="1" customWidth="1"/>
    <col min="11" max="11" width="10.6640625" style="1" customWidth="1"/>
    <col min="12" max="12" width="10.77734375" style="1" customWidth="1"/>
    <col min="13" max="13" width="12.44140625" style="1" customWidth="1"/>
    <col min="14" max="14" width="10.109375" style="1" customWidth="1"/>
    <col min="15" max="16384" width="9.33203125" style="1"/>
  </cols>
  <sheetData>
    <row r="1" spans="1:15" ht="24" customHeight="1" x14ac:dyDescent="0.3">
      <c r="A1" s="88" t="s">
        <v>0</v>
      </c>
      <c r="B1" s="88" t="s">
        <v>1</v>
      </c>
      <c r="C1" s="88" t="s">
        <v>2</v>
      </c>
      <c r="D1" s="88" t="s">
        <v>3</v>
      </c>
      <c r="E1" s="88" t="s">
        <v>4</v>
      </c>
      <c r="F1" s="88" t="s">
        <v>5</v>
      </c>
      <c r="G1" s="88" t="s">
        <v>6</v>
      </c>
      <c r="H1" s="88" t="s">
        <v>7</v>
      </c>
      <c r="I1" s="88" t="s">
        <v>8</v>
      </c>
      <c r="J1" s="88" t="s">
        <v>9</v>
      </c>
      <c r="K1" s="88" t="s">
        <v>10</v>
      </c>
      <c r="L1" s="88" t="s">
        <v>11</v>
      </c>
      <c r="M1" s="88" t="s">
        <v>12</v>
      </c>
      <c r="N1" s="88" t="s">
        <v>13</v>
      </c>
      <c r="O1" s="105" t="s">
        <v>20</v>
      </c>
    </row>
    <row r="2" spans="1:15" ht="24" customHeight="1" x14ac:dyDescent="0.3">
      <c r="A2" s="1">
        <v>1374</v>
      </c>
      <c r="B2" s="2">
        <v>46126</v>
      </c>
      <c r="C2" s="1" t="s">
        <v>443</v>
      </c>
      <c r="D2" s="1" t="s">
        <v>178</v>
      </c>
      <c r="E2" s="1">
        <v>894592</v>
      </c>
      <c r="F2" s="1" t="s">
        <v>121</v>
      </c>
      <c r="G2" s="1">
        <v>21500</v>
      </c>
      <c r="H2" s="1">
        <f>0.14*Table19[[#This Row],[النولون]]</f>
        <v>3010.0000000000005</v>
      </c>
      <c r="J2" s="1">
        <f>2500+250+250+500+7000+210+575+35+500+1100+442.45+200+810+200+285+2500+711</f>
        <v>18068.45</v>
      </c>
      <c r="K2" s="1">
        <f>Table19[[#This Row],[النولون]]+Table19[[#This Row],[الايصالات]]-Table19[[#This Row],[خصم أ ت ص]]+Table19[[#This Row],[قيمة مضافة]]</f>
        <v>42578.45</v>
      </c>
      <c r="M2" s="1">
        <f>Table19[[#This Row],[اجمالي الفاتوره]]</f>
        <v>42578.45</v>
      </c>
      <c r="O2" s="95"/>
    </row>
    <row r="3" spans="1:15" ht="24" customHeight="1" x14ac:dyDescent="0.3">
      <c r="A3" s="1">
        <v>1386</v>
      </c>
      <c r="B3" s="2">
        <v>46130</v>
      </c>
      <c r="C3" s="2" t="s">
        <v>459</v>
      </c>
      <c r="D3" s="1" t="s">
        <v>94</v>
      </c>
      <c r="E3" s="1">
        <v>268537161</v>
      </c>
      <c r="F3" s="1" t="s">
        <v>158</v>
      </c>
      <c r="G3" s="1">
        <f>3*17500</f>
        <v>52500</v>
      </c>
      <c r="H3" s="1">
        <f>0.14*Table19[[#This Row],[النولون]]</f>
        <v>7350.0000000000009</v>
      </c>
      <c r="J3" s="1">
        <f>75+100+1100*3+407.3+404.47+410.12+250+6443.28+1493+13844</f>
        <v>26727.17</v>
      </c>
      <c r="K3" s="1">
        <f>Table19[[#This Row],[النولون]]+Table19[[#This Row],[الايصالات]]-Table19[[#This Row],[خصم أ ت ص]]+Table19[[#This Row],[قيمة مضافة]]</f>
        <v>86577.17</v>
      </c>
      <c r="M3" s="1">
        <f>M2+Table19[[#This Row],[اجمالي الفاتوره]]-Table19[[#This Row],[الدفعات]]</f>
        <v>129155.62</v>
      </c>
      <c r="O3" s="95"/>
    </row>
    <row r="4" spans="1:15" ht="24" customHeight="1" x14ac:dyDescent="0.3">
      <c r="A4" s="1">
        <v>1453</v>
      </c>
      <c r="B4" s="2">
        <v>46151</v>
      </c>
      <c r="C4" s="1" t="s">
        <v>459</v>
      </c>
      <c r="D4" s="1" t="s">
        <v>94</v>
      </c>
      <c r="E4" s="1">
        <v>270423420</v>
      </c>
      <c r="F4" s="1" t="s">
        <v>159</v>
      </c>
      <c r="G4" s="1">
        <v>13800</v>
      </c>
      <c r="H4" s="1">
        <f>0.14*Table19[[#This Row],[النولون]]</f>
        <v>1932.0000000000002</v>
      </c>
      <c r="J4" s="1">
        <f>110+550+234.71+150+2107+250+3288</f>
        <v>6689.71</v>
      </c>
      <c r="K4" s="1">
        <f>Table19[[#This Row],[النولون]]+Table19[[#This Row],[الايصالات]]-Table19[[#This Row],[خصم أ ت ص]]+Table19[[#This Row],[قيمة مضافة]]</f>
        <v>22421.71</v>
      </c>
      <c r="M4" s="1">
        <f>M3+Table19[[#This Row],[اجمالي الفاتوره]]-Table19[[#This Row],[الدفعات]]</f>
        <v>151577.32999999999</v>
      </c>
      <c r="O4" s="95"/>
    </row>
    <row r="5" spans="1:15" ht="24" customHeight="1" x14ac:dyDescent="0.3">
      <c r="A5" s="1">
        <v>1</v>
      </c>
      <c r="B5" s="2">
        <v>46152</v>
      </c>
      <c r="C5" s="1" t="s">
        <v>539</v>
      </c>
      <c r="D5" s="1" t="s">
        <v>206</v>
      </c>
      <c r="E5" s="1">
        <v>5546</v>
      </c>
      <c r="F5" s="1" t="s">
        <v>121</v>
      </c>
      <c r="G5" s="1">
        <v>17000</v>
      </c>
      <c r="H5" s="1">
        <v>0</v>
      </c>
      <c r="J5" s="1">
        <f>3500+5000+1000+1130+210+810+120+1362.3+1713.6+107.5</f>
        <v>14953.4</v>
      </c>
      <c r="K5" s="1">
        <f>Table19[[#This Row],[النولون]]+Table19[[#This Row],[الايصالات]]-Table19[[#This Row],[خصم أ ت ص]]+Table19[[#This Row],[قيمة مضافة]]</f>
        <v>31953.4</v>
      </c>
      <c r="M5" s="1">
        <f>M4+Table19[[#This Row],[اجمالي الفاتوره]]-Table19[[#This Row],[الدفعات]]</f>
        <v>183530.72999999998</v>
      </c>
      <c r="O5" s="95"/>
    </row>
    <row r="6" spans="1:15" ht="24" customHeight="1" x14ac:dyDescent="0.3">
      <c r="A6" s="72"/>
      <c r="B6" s="73">
        <v>46180</v>
      </c>
      <c r="C6" s="72"/>
      <c r="D6" s="72"/>
      <c r="E6" s="72"/>
      <c r="F6" s="72"/>
      <c r="G6" s="72"/>
      <c r="H6" s="72">
        <f>0.14*Table19[[#This Row],[النولون]]</f>
        <v>0</v>
      </c>
      <c r="I6" s="72"/>
      <c r="J6" s="72"/>
      <c r="K6" s="72">
        <f>Table19[[#This Row],[النولون]]+Table19[[#This Row],[الايصالات]]-Table19[[#This Row],[خصم أ ت ص]]+Table19[[#This Row],[قيمة مضافة]]</f>
        <v>0</v>
      </c>
      <c r="L6" s="72">
        <v>50000</v>
      </c>
      <c r="M6" s="72">
        <f>M5+Table19[[#This Row],[اجمالي الفاتوره]]-Table19[[#This Row],[الدفعات]]</f>
        <v>133530.72999999998</v>
      </c>
      <c r="O6" s="95"/>
    </row>
    <row r="7" spans="1:15" ht="24" customHeight="1" x14ac:dyDescent="0.3">
      <c r="A7" s="72"/>
      <c r="B7" s="73">
        <v>46180</v>
      </c>
      <c r="C7" s="72"/>
      <c r="D7" s="72"/>
      <c r="E7" s="72"/>
      <c r="F7" s="72"/>
      <c r="G7" s="72"/>
      <c r="H7" s="72">
        <f>0.14*Table19[[#This Row],[النولون]]</f>
        <v>0</v>
      </c>
      <c r="I7" s="72"/>
      <c r="J7" s="72"/>
      <c r="K7" s="72">
        <f>Table19[[#This Row],[النولون]]+Table19[[#This Row],[الايصالات]]-Table19[[#This Row],[خصم أ ت ص]]+Table19[[#This Row],[قيمة مضافة]]</f>
        <v>0</v>
      </c>
      <c r="L7" s="72">
        <v>30000</v>
      </c>
      <c r="M7" s="72">
        <f>M6+Table19[[#This Row],[اجمالي الفاتوره]]-Table19[[#This Row],[الدفعات]]</f>
        <v>103530.72999999998</v>
      </c>
      <c r="O7" s="95"/>
    </row>
    <row r="8" spans="1:15" ht="24" customHeight="1" x14ac:dyDescent="0.3">
      <c r="A8" s="72"/>
      <c r="B8" s="73">
        <v>46201</v>
      </c>
      <c r="C8" s="72"/>
      <c r="D8" s="72"/>
      <c r="E8" s="72"/>
      <c r="F8" s="72"/>
      <c r="G8" s="72"/>
      <c r="H8" s="72">
        <f>0.14*Table19[[#This Row],[النولون]]</f>
        <v>0</v>
      </c>
      <c r="I8" s="72"/>
      <c r="J8" s="72"/>
      <c r="K8" s="72">
        <f>Table19[[#This Row],[النولون]]+Table19[[#This Row],[الايصالات]]-Table19[[#This Row],[خصم أ ت ص]]+Table19[[#This Row],[قيمة مضافة]]</f>
        <v>0</v>
      </c>
      <c r="L8" s="72">
        <v>50000</v>
      </c>
      <c r="M8" s="72">
        <f>M7+Table19[[#This Row],[اجمالي الفاتوره]]-Table19[[#This Row],[الدفعات]]</f>
        <v>53530.729999999981</v>
      </c>
      <c r="O8" s="95"/>
    </row>
    <row r="9" spans="1:15" ht="24" customHeight="1" x14ac:dyDescent="0.3">
      <c r="B9" s="2"/>
      <c r="H9" s="1">
        <f>0.14*Table19[[#This Row],[النولون]]</f>
        <v>0</v>
      </c>
      <c r="K9" s="1">
        <f>Table19[[#This Row],[النولون]]+Table19[[#This Row],[الايصالات]]-Table19[[#This Row],[خصم أ ت ص]]+Table19[[#This Row],[قيمة مضافة]]</f>
        <v>0</v>
      </c>
      <c r="M9" s="1">
        <f>M8+Table19[[#This Row],[اجمالي الفاتوره]]-Table19[[#This Row],[الدفعات]]</f>
        <v>53530.729999999981</v>
      </c>
      <c r="O9" s="95"/>
    </row>
    <row r="10" spans="1:15" ht="24" customHeight="1" x14ac:dyDescent="0.3">
      <c r="B10" s="2"/>
      <c r="D10" s="2"/>
      <c r="H10" s="1">
        <f>0.14*Table19[[#This Row],[النولون]]</f>
        <v>0</v>
      </c>
      <c r="K10" s="1">
        <f>Table19[[#This Row],[النولون]]+Table19[[#This Row],[الايصالات]]-Table19[[#This Row],[خصم أ ت ص]]+Table19[[#This Row],[قيمة مضافة]]</f>
        <v>0</v>
      </c>
      <c r="M10" s="1">
        <f>M9+Table19[[#This Row],[اجمالي الفاتوره]]-Table19[[#This Row],[الدفعات]]</f>
        <v>53530.729999999981</v>
      </c>
      <c r="O10" s="95"/>
    </row>
    <row r="11" spans="1:15" ht="24" customHeight="1" x14ac:dyDescent="0.3">
      <c r="B11" s="2"/>
      <c r="H11" s="1">
        <f>0.14*Table19[[#This Row],[النولون]]</f>
        <v>0</v>
      </c>
      <c r="K11" s="1">
        <f>Table19[[#This Row],[النولون]]+Table19[[#This Row],[الايصالات]]-Table19[[#This Row],[خصم أ ت ص]]+Table19[[#This Row],[قيمة مضافة]]</f>
        <v>0</v>
      </c>
      <c r="M11" s="1">
        <f>M10+Table19[[#This Row],[اجمالي الفاتوره]]-Table19[[#This Row],[الدفعات]]</f>
        <v>53530.729999999981</v>
      </c>
      <c r="O11" s="95"/>
    </row>
    <row r="12" spans="1:15" ht="24" customHeight="1" x14ac:dyDescent="0.3">
      <c r="B12" s="2"/>
      <c r="H12" s="1">
        <f>0.14*Table19[[#This Row],[النولون]]</f>
        <v>0</v>
      </c>
      <c r="K12" s="1">
        <f>Table19[[#This Row],[النولون]]+Table19[[#This Row],[الايصالات]]-Table19[[#This Row],[خصم أ ت ص]]+Table19[[#This Row],[قيمة مضافة]]</f>
        <v>0</v>
      </c>
      <c r="M12" s="1">
        <f>M11+Table19[[#This Row],[اجمالي الفاتوره]]-Table19[[#This Row],[الدفعات]]</f>
        <v>53530.729999999981</v>
      </c>
      <c r="O12" s="95"/>
    </row>
    <row r="13" spans="1:15" ht="24" customHeight="1" x14ac:dyDescent="0.3">
      <c r="B13" s="2"/>
      <c r="H13" s="1">
        <f>0.14*Table19[[#This Row],[النولون]]</f>
        <v>0</v>
      </c>
      <c r="K13" s="1">
        <f>Table19[[#This Row],[النولون]]+Table19[[#This Row],[الايصالات]]-Table19[[#This Row],[خصم أ ت ص]]+Table19[[#This Row],[قيمة مضافة]]</f>
        <v>0</v>
      </c>
      <c r="M13" s="1">
        <f>M12+Table19[[#This Row],[اجمالي الفاتوره]]-Table19[[#This Row],[الدفعات]]</f>
        <v>53530.729999999981</v>
      </c>
      <c r="N13" s="1">
        <f>SUM(K:K)-SUM(L:L)</f>
        <v>53530.729999999981</v>
      </c>
      <c r="O13" s="95">
        <f>SUM(Table19[قيمة مضافة])</f>
        <v>12292.000000000002</v>
      </c>
    </row>
    <row r="14" spans="1:15" ht="24" customHeight="1" x14ac:dyDescent="0.3">
      <c r="B14" s="2"/>
      <c r="H14" s="1">
        <f>0.14*Table19[[#This Row],[النولون]]</f>
        <v>0</v>
      </c>
      <c r="K14" s="1">
        <f>Table19[[#This Row],[النولون]]+Table19[[#This Row],[الايصالات]]-Table19[[#This Row],[خصم أ ت ص]]+Table19[[#This Row],[قيمة مضافة]]</f>
        <v>0</v>
      </c>
      <c r="M14" s="1">
        <f>M13+Table19[[#This Row],[اجمالي الفاتوره]]-Table19[[#This Row],[الدفعات]]</f>
        <v>53530.729999999981</v>
      </c>
      <c r="O14" s="95"/>
    </row>
    <row r="15" spans="1:15" ht="24" customHeight="1" x14ac:dyDescent="0.3">
      <c r="B15" s="2"/>
      <c r="H15" s="1">
        <f>0.14*Table19[[#This Row],[النولون]]</f>
        <v>0</v>
      </c>
      <c r="K15" s="1">
        <f>Table19[[#This Row],[النولون]]+Table19[[#This Row],[الايصالات]]-Table19[[#This Row],[خصم أ ت ص]]+Table19[[#This Row],[قيمة مضافة]]</f>
        <v>0</v>
      </c>
      <c r="M15" s="1">
        <f>M14+Table19[[#This Row],[اجمالي الفاتوره]]-Table19[[#This Row],[الدفعات]]</f>
        <v>53530.729999999981</v>
      </c>
      <c r="O15" s="95"/>
    </row>
    <row r="16" spans="1:15" ht="24" customHeight="1" x14ac:dyDescent="0.3">
      <c r="B16" s="2"/>
      <c r="H16" s="1">
        <f>0.14*Table19[[#This Row],[النولون]]</f>
        <v>0</v>
      </c>
      <c r="K16" s="1">
        <f>Table19[[#This Row],[النولون]]+Table19[[#This Row],[الايصالات]]-Table19[[#This Row],[خصم أ ت ص]]+Table19[[#This Row],[قيمة مضافة]]</f>
        <v>0</v>
      </c>
      <c r="M16" s="1">
        <f>M15+Table19[[#This Row],[اجمالي الفاتوره]]-Table19[[#This Row],[الدفعات]]</f>
        <v>53530.729999999981</v>
      </c>
      <c r="O16" s="95"/>
    </row>
    <row r="17" spans="1:15" ht="24" customHeight="1" x14ac:dyDescent="0.3">
      <c r="B17" s="2"/>
      <c r="H17" s="1">
        <f>0.14*Table19[[#This Row],[النولون]]</f>
        <v>0</v>
      </c>
      <c r="K17" s="1">
        <f>Table19[[#This Row],[النولون]]+Table19[[#This Row],[الايصالات]]-Table19[[#This Row],[خصم أ ت ص]]+Table19[[#This Row],[قيمة مضافة]]</f>
        <v>0</v>
      </c>
      <c r="M17" s="1">
        <f>M16+Table19[[#This Row],[اجمالي الفاتوره]]-Table19[[#This Row],[الدفعات]]</f>
        <v>53530.729999999981</v>
      </c>
      <c r="O17" s="95"/>
    </row>
    <row r="18" spans="1:15" ht="24" customHeight="1" x14ac:dyDescent="0.3">
      <c r="B18" s="2"/>
      <c r="H18" s="1">
        <f>0.14*Table19[[#This Row],[النولون]]</f>
        <v>0</v>
      </c>
      <c r="K18" s="1">
        <f>Table19[[#This Row],[النولون]]+Table19[[#This Row],[الايصالات]]-Table19[[#This Row],[خصم أ ت ص]]+Table19[[#This Row],[قيمة مضافة]]</f>
        <v>0</v>
      </c>
      <c r="M18" s="1">
        <f>M17+Table19[[#This Row],[اجمالي الفاتوره]]-Table19[[#This Row],[الدفعات]]</f>
        <v>53530.729999999981</v>
      </c>
      <c r="O18" s="95"/>
    </row>
    <row r="19" spans="1:15" ht="24" customHeight="1" x14ac:dyDescent="0.3">
      <c r="B19" s="2"/>
      <c r="H19" s="1">
        <f>0.14*Table19[[#This Row],[النولون]]</f>
        <v>0</v>
      </c>
      <c r="K19" s="1">
        <f>Table19[[#This Row],[النولون]]+Table19[[#This Row],[الايصالات]]-Table19[[#This Row],[خصم أ ت ص]]+Table19[[#This Row],[قيمة مضافة]]</f>
        <v>0</v>
      </c>
      <c r="M19" s="1">
        <f>M18+Table19[[#This Row],[اجمالي الفاتوره]]-Table19[[#This Row],[الدفعات]]</f>
        <v>53530.729999999981</v>
      </c>
      <c r="O19" s="95"/>
    </row>
    <row r="20" spans="1:15" ht="24" customHeight="1" x14ac:dyDescent="0.3">
      <c r="B20" s="2"/>
      <c r="H20" s="1">
        <f>0.14*Table19[[#This Row],[النولون]]</f>
        <v>0</v>
      </c>
      <c r="K20" s="1">
        <f>Table19[[#This Row],[النولون]]+Table19[[#This Row],[الايصالات]]-Table19[[#This Row],[خصم أ ت ص]]+Table19[[#This Row],[قيمة مضافة]]</f>
        <v>0</v>
      </c>
      <c r="M20" s="1">
        <f>M19+Table19[[#This Row],[اجمالي الفاتوره]]-Table19[[#This Row],[الدفعات]]</f>
        <v>53530.729999999981</v>
      </c>
      <c r="O20" s="95"/>
    </row>
    <row r="21" spans="1:15" ht="24" customHeight="1" x14ac:dyDescent="0.3">
      <c r="B21" s="2"/>
      <c r="H21" s="1">
        <f>0.14*Table19[[#This Row],[النولون]]</f>
        <v>0</v>
      </c>
      <c r="K21" s="1">
        <f>Table19[[#This Row],[النولون]]+Table19[[#This Row],[الايصالات]]-Table19[[#This Row],[خصم أ ت ص]]+Table19[[#This Row],[قيمة مضافة]]</f>
        <v>0</v>
      </c>
      <c r="M21" s="1">
        <f>M20+Table19[[#This Row],[اجمالي الفاتوره]]-Table19[[#This Row],[الدفعات]]</f>
        <v>53530.729999999981</v>
      </c>
      <c r="O21" s="95"/>
    </row>
    <row r="22" spans="1:15" ht="24" customHeight="1" x14ac:dyDescent="0.3">
      <c r="B22" s="2"/>
      <c r="H22" s="1">
        <f>0.14*Table19[[#This Row],[النولون]]</f>
        <v>0</v>
      </c>
      <c r="K22" s="1">
        <f>Table19[[#This Row],[النولون]]+Table19[[#This Row],[الايصالات]]-Table19[[#This Row],[خصم أ ت ص]]+Table19[[#This Row],[قيمة مضافة]]</f>
        <v>0</v>
      </c>
      <c r="M22" s="1">
        <f>M21+Table19[[#This Row],[اجمالي الفاتوره]]-Table19[[#This Row],[الدفعات]]</f>
        <v>53530.729999999981</v>
      </c>
      <c r="O22" s="95"/>
    </row>
    <row r="23" spans="1:15" ht="24" customHeight="1" x14ac:dyDescent="0.3">
      <c r="B23" s="2"/>
      <c r="H23" s="1">
        <f>0.14*Table19[[#This Row],[النولون]]</f>
        <v>0</v>
      </c>
      <c r="K23" s="1">
        <f>Table19[[#This Row],[النولون]]+Table19[[#This Row],[الايصالات]]-Table19[[#This Row],[خصم أ ت ص]]+Table19[[#This Row],[قيمة مضافة]]</f>
        <v>0</v>
      </c>
      <c r="M23" s="1">
        <f>M22+Table19[[#This Row],[اجمالي الفاتوره]]-Table19[[#This Row],[الدفعات]]</f>
        <v>53530.729999999981</v>
      </c>
      <c r="O23" s="95"/>
    </row>
    <row r="24" spans="1:15" ht="24" customHeight="1" x14ac:dyDescent="0.3">
      <c r="B24" s="2"/>
      <c r="H24" s="1">
        <f>0.14*Table19[[#This Row],[النولون]]</f>
        <v>0</v>
      </c>
      <c r="K24" s="1">
        <f>Table19[[#This Row],[النولون]]+Table19[[#This Row],[الايصالات]]-Table19[[#This Row],[خصم أ ت ص]]+Table19[[#This Row],[قيمة مضافة]]</f>
        <v>0</v>
      </c>
      <c r="M24" s="1">
        <f>M23+Table19[[#This Row],[اجمالي الفاتوره]]-Table19[[#This Row],[الدفعات]]</f>
        <v>53530.729999999981</v>
      </c>
      <c r="O24" s="95"/>
    </row>
    <row r="25" spans="1:15" ht="24" customHeight="1" x14ac:dyDescent="0.3">
      <c r="B25" s="2"/>
      <c r="H25" s="1">
        <f>0.14*Table19[[#This Row],[النولون]]</f>
        <v>0</v>
      </c>
      <c r="K25" s="1">
        <f>Table19[[#This Row],[النولون]]+Table19[[#This Row],[الايصالات]]-Table19[[#This Row],[خصم أ ت ص]]+Table19[[#This Row],[قيمة مضافة]]</f>
        <v>0</v>
      </c>
      <c r="M25" s="1">
        <f>M24+Table19[[#This Row],[اجمالي الفاتوره]]-Table19[[#This Row],[الدفعات]]</f>
        <v>53530.729999999981</v>
      </c>
      <c r="O25" s="95"/>
    </row>
    <row r="26" spans="1:15" ht="24" customHeight="1" x14ac:dyDescent="0.3">
      <c r="B26" s="2"/>
      <c r="H26" s="1">
        <f>0.14*Table19[[#This Row],[النولون]]</f>
        <v>0</v>
      </c>
      <c r="K26" s="1">
        <f>Table19[[#This Row],[النولون]]+Table19[[#This Row],[الايصالات]]-Table19[[#This Row],[خصم أ ت ص]]+Table19[[#This Row],[قيمة مضافة]]</f>
        <v>0</v>
      </c>
      <c r="M26" s="1">
        <f>M25+Table19[[#This Row],[اجمالي الفاتوره]]-Table19[[#This Row],[الدفعات]]</f>
        <v>53530.729999999981</v>
      </c>
      <c r="O26" s="95"/>
    </row>
    <row r="27" spans="1:15" ht="24" customHeight="1" x14ac:dyDescent="0.3">
      <c r="B27" s="2"/>
      <c r="H27" s="1">
        <f>0.14*Table19[[#This Row],[النولون]]</f>
        <v>0</v>
      </c>
      <c r="K27" s="1">
        <f>Table19[[#This Row],[النولون]]+Table19[[#This Row],[الايصالات]]-Table19[[#This Row],[خصم أ ت ص]]+Table19[[#This Row],[قيمة مضافة]]</f>
        <v>0</v>
      </c>
      <c r="M27" s="1">
        <f>M26+Table19[[#This Row],[اجمالي الفاتوره]]-Table19[[#This Row],[الدفعات]]</f>
        <v>53530.729999999981</v>
      </c>
      <c r="O27" s="95"/>
    </row>
    <row r="28" spans="1:15" ht="24" customHeight="1" x14ac:dyDescent="0.3">
      <c r="B28" s="2"/>
      <c r="H28" s="1">
        <f>0.14*Table19[[#This Row],[النولون]]</f>
        <v>0</v>
      </c>
      <c r="K28" s="1">
        <f>Table19[[#This Row],[النولون]]+Table19[[#This Row],[الايصالات]]-Table19[[#This Row],[خصم أ ت ص]]+Table19[[#This Row],[قيمة مضافة]]</f>
        <v>0</v>
      </c>
      <c r="M28" s="1">
        <f>M27+Table19[[#This Row],[اجمالي الفاتوره]]-Table19[[#This Row],[الدفعات]]</f>
        <v>53530.729999999981</v>
      </c>
      <c r="O28" s="95"/>
    </row>
    <row r="29" spans="1:15" ht="24" customHeight="1" x14ac:dyDescent="0.3">
      <c r="B29" s="2"/>
      <c r="H29" s="1">
        <f>0.14*Table19[[#This Row],[النولون]]</f>
        <v>0</v>
      </c>
      <c r="K29" s="1">
        <f>Table19[[#This Row],[النولون]]+Table19[[#This Row],[الايصالات]]-Table19[[#This Row],[خصم أ ت ص]]+Table19[[#This Row],[قيمة مضافة]]</f>
        <v>0</v>
      </c>
      <c r="M29" s="1">
        <f>M28+Table19[[#This Row],[اجمالي الفاتوره]]-Table19[[#This Row],[الدفعات]]</f>
        <v>53530.729999999981</v>
      </c>
      <c r="O29" s="95"/>
    </row>
    <row r="30" spans="1:15" ht="24" customHeight="1" x14ac:dyDescent="0.3">
      <c r="B30" s="2"/>
      <c r="H30" s="1">
        <f>0.14*Table19[[#This Row],[النولون]]</f>
        <v>0</v>
      </c>
      <c r="K30" s="1">
        <f>Table19[[#This Row],[النولون]]+Table19[[#This Row],[الايصالات]]-Table19[[#This Row],[خصم أ ت ص]]+Table19[[#This Row],[قيمة مضافة]]</f>
        <v>0</v>
      </c>
      <c r="M30" s="1">
        <f>M29+Table19[[#This Row],[اجمالي الفاتوره]]-Table19[[#This Row],[الدفعات]]</f>
        <v>53530.729999999981</v>
      </c>
      <c r="O30" s="95"/>
    </row>
    <row r="31" spans="1:15" ht="24" customHeight="1" x14ac:dyDescent="0.3">
      <c r="B31" s="2"/>
      <c r="H31" s="1">
        <f>0.14*Table19[[#This Row],[النولون]]</f>
        <v>0</v>
      </c>
      <c r="K31" s="1">
        <f>Table19[[#This Row],[النولون]]+Table19[[#This Row],[الايصالات]]-Table19[[#This Row],[خصم أ ت ص]]+Table19[[#This Row],[قيمة مضافة]]</f>
        <v>0</v>
      </c>
      <c r="M31" s="1">
        <f>M30+Table19[[#This Row],[اجمالي الفاتوره]]-Table19[[#This Row],[الدفعات]]</f>
        <v>53530.729999999981</v>
      </c>
      <c r="O31" s="95"/>
    </row>
    <row r="32" spans="1:15" ht="24" customHeight="1" x14ac:dyDescent="0.3">
      <c r="A32" s="20"/>
      <c r="B32" s="23"/>
      <c r="C32" s="20"/>
      <c r="D32" s="20"/>
      <c r="E32" s="20"/>
      <c r="F32" s="20"/>
      <c r="G32" s="20"/>
      <c r="H32" s="20">
        <f>0.14*Table19[[#This Row],[النولون]]</f>
        <v>0</v>
      </c>
      <c r="I32" s="20"/>
      <c r="J32" s="20"/>
      <c r="K32" s="20">
        <f>Table19[[#This Row],[النولون]]+Table19[[#This Row],[الايصالات]]-Table19[[#This Row],[خصم أ ت ص]]+Table19[[#This Row],[قيمة مضافة]]</f>
        <v>0</v>
      </c>
      <c r="L32" s="20"/>
      <c r="M32" s="1">
        <f>M31+Table19[[#This Row],[اجمالي الفاتوره]]-Table19[[#This Row],[الدفعات]]</f>
        <v>53530.729999999981</v>
      </c>
      <c r="N32" s="20"/>
      <c r="O32" s="95"/>
    </row>
    <row r="33" spans="1:15" ht="24" customHeight="1" x14ac:dyDescent="0.3">
      <c r="B33" s="2"/>
      <c r="H33" s="1">
        <f>0.14*Table19[[#This Row],[النولون]]</f>
        <v>0</v>
      </c>
      <c r="K33" s="1">
        <f>Table19[[#This Row],[النولون]]+Table19[[#This Row],[الايصالات]]-Table19[[#This Row],[خصم أ ت ص]]+Table19[[#This Row],[قيمة مضافة]]</f>
        <v>0</v>
      </c>
      <c r="M33" s="1">
        <f>M32+Table19[[#This Row],[اجمالي الفاتوره]]-Table19[[#This Row],[الدفعات]]</f>
        <v>53530.729999999981</v>
      </c>
      <c r="O33" s="95"/>
    </row>
    <row r="34" spans="1:15" ht="24" customHeight="1" x14ac:dyDescent="0.3">
      <c r="B34" s="2"/>
      <c r="H34" s="1">
        <f>0.14*Table19[[#This Row],[النولون]]</f>
        <v>0</v>
      </c>
      <c r="K34" s="1">
        <f>Table19[[#This Row],[النولون]]+Table19[[#This Row],[الايصالات]]-Table19[[#This Row],[خصم أ ت ص]]+Table19[[#This Row],[قيمة مضافة]]</f>
        <v>0</v>
      </c>
      <c r="M34" s="1">
        <f>M33+Table19[[#This Row],[اجمالي الفاتوره]]-Table19[[#This Row],[الدفعات]]</f>
        <v>53530.729999999981</v>
      </c>
      <c r="O34" s="95"/>
    </row>
    <row r="35" spans="1:15" ht="24" customHeight="1" x14ac:dyDescent="0.3">
      <c r="A35" s="20"/>
      <c r="B35" s="23"/>
      <c r="C35" s="20"/>
      <c r="D35" s="20"/>
      <c r="E35" s="20"/>
      <c r="F35" s="20"/>
      <c r="G35" s="20"/>
      <c r="H35" s="20">
        <f>0.14*Table19[[#This Row],[النولون]]</f>
        <v>0</v>
      </c>
      <c r="I35" s="20"/>
      <c r="J35" s="20"/>
      <c r="K35" s="20">
        <f>Table19[[#This Row],[النولون]]+Table19[[#This Row],[الايصالات]]-Table19[[#This Row],[خصم أ ت ص]]+Table19[[#This Row],[قيمة مضافة]]</f>
        <v>0</v>
      </c>
      <c r="L35" s="20"/>
      <c r="M35" s="1">
        <f>M34+Table19[[#This Row],[اجمالي الفاتوره]]-Table19[[#This Row],[الدفعات]]</f>
        <v>53530.729999999981</v>
      </c>
      <c r="N35" s="20"/>
      <c r="O35" s="95"/>
    </row>
    <row r="36" spans="1:15" ht="24" customHeight="1" x14ac:dyDescent="0.3">
      <c r="A36" s="20"/>
      <c r="B36" s="23"/>
      <c r="C36" s="20"/>
      <c r="D36" s="20"/>
      <c r="E36" s="20"/>
      <c r="F36" s="20"/>
      <c r="G36" s="20"/>
      <c r="H36" s="20">
        <f>0.14*Table19[[#This Row],[النولون]]</f>
        <v>0</v>
      </c>
      <c r="I36" s="20"/>
      <c r="J36" s="20"/>
      <c r="K36" s="20">
        <f>Table19[[#This Row],[النولون]]+Table19[[#This Row],[الايصالات]]-Table19[[#This Row],[خصم أ ت ص]]+Table19[[#This Row],[قيمة مضافة]]</f>
        <v>0</v>
      </c>
      <c r="L36" s="20"/>
      <c r="M36" s="1">
        <f>M35+Table19[[#This Row],[اجمالي الفاتوره]]-Table19[[#This Row],[الدفعات]]</f>
        <v>53530.729999999981</v>
      </c>
      <c r="N36" s="20"/>
      <c r="O36" s="95"/>
    </row>
    <row r="37" spans="1:15" ht="24" customHeight="1" x14ac:dyDescent="0.3">
      <c r="B37" s="2"/>
      <c r="H37" s="1">
        <f>0.14*Table19[[#This Row],[النولون]]</f>
        <v>0</v>
      </c>
      <c r="K37" s="1">
        <f>Table19[[#This Row],[النولون]]+Table19[[#This Row],[الايصالات]]-Table19[[#This Row],[خصم أ ت ص]]+Table19[[#This Row],[قيمة مضافة]]</f>
        <v>0</v>
      </c>
      <c r="M37" s="1">
        <f>M36+Table19[[#This Row],[اجمالي الفاتوره]]-Table19[[#This Row],[الدفعات]]</f>
        <v>53530.729999999981</v>
      </c>
      <c r="O37" s="95"/>
    </row>
    <row r="38" spans="1:15" ht="24" customHeight="1" x14ac:dyDescent="0.3">
      <c r="B38" s="2"/>
      <c r="H38" s="1">
        <f>0.14*Table19[[#This Row],[النولون]]</f>
        <v>0</v>
      </c>
      <c r="K38" s="1">
        <f>Table19[[#This Row],[النولون]]+Table19[[#This Row],[الايصالات]]-Table19[[#This Row],[خصم أ ت ص]]+Table19[[#This Row],[قيمة مضافة]]</f>
        <v>0</v>
      </c>
      <c r="M38" s="1">
        <f>M37+Table19[[#This Row],[اجمالي الفاتوره]]-Table19[[#This Row],[الدفعات]]</f>
        <v>53530.729999999981</v>
      </c>
      <c r="O38" s="95"/>
    </row>
    <row r="39" spans="1:15" ht="24" customHeight="1" x14ac:dyDescent="0.3">
      <c r="B39" s="2"/>
      <c r="H39" s="1">
        <f>0.14*Table19[[#This Row],[النولون]]</f>
        <v>0</v>
      </c>
      <c r="K39" s="1">
        <f>Table19[[#This Row],[النولون]]+Table19[[#This Row],[الايصالات]]-Table19[[#This Row],[خصم أ ت ص]]+Table19[[#This Row],[قيمة مضافة]]</f>
        <v>0</v>
      </c>
      <c r="M39" s="1">
        <f>M38+Table19[[#This Row],[اجمالي الفاتوره]]-Table19[[#This Row],[الدفعات]]</f>
        <v>53530.729999999981</v>
      </c>
      <c r="O39" s="95"/>
    </row>
    <row r="40" spans="1:15" ht="24" customHeight="1" x14ac:dyDescent="0.3">
      <c r="B40" s="2"/>
      <c r="H40" s="1">
        <f>0.14*Table19[[#This Row],[النولون]]</f>
        <v>0</v>
      </c>
      <c r="K40" s="1">
        <f>Table19[[#This Row],[النولون]]+Table19[[#This Row],[الايصالات]]-Table19[[#This Row],[خصم أ ت ص]]+Table19[[#This Row],[قيمة مضافة]]</f>
        <v>0</v>
      </c>
      <c r="M40" s="1">
        <f>M39+Table19[[#This Row],[اجمالي الفاتوره]]-Table19[[#This Row],[الدفعات]]</f>
        <v>53530.729999999981</v>
      </c>
      <c r="O40" s="95"/>
    </row>
    <row r="41" spans="1:15" ht="24" customHeight="1" x14ac:dyDescent="0.3">
      <c r="B41" s="2"/>
      <c r="H41" s="1">
        <f>0.14*Table19[[#This Row],[النولون]]</f>
        <v>0</v>
      </c>
      <c r="K41" s="1">
        <f>Table19[[#This Row],[النولون]]+Table19[[#This Row],[الايصالات]]-Table19[[#This Row],[خصم أ ت ص]]+Table19[[#This Row],[قيمة مضافة]]</f>
        <v>0</v>
      </c>
      <c r="M41" s="1">
        <f>M40+Table19[[#This Row],[اجمالي الفاتوره]]-Table19[[#This Row],[الدفعات]]</f>
        <v>53530.729999999981</v>
      </c>
      <c r="O41" s="95"/>
    </row>
    <row r="42" spans="1:15" ht="24" customHeight="1" x14ac:dyDescent="0.3">
      <c r="A42" s="20"/>
      <c r="B42" s="23"/>
      <c r="C42" s="20"/>
      <c r="D42" s="20"/>
      <c r="E42" s="20"/>
      <c r="F42" s="20"/>
      <c r="G42" s="20"/>
      <c r="H42" s="20">
        <f>0.14*Table19[[#This Row],[النولون]]</f>
        <v>0</v>
      </c>
      <c r="I42" s="20"/>
      <c r="J42" s="20"/>
      <c r="K42" s="20"/>
      <c r="L42" s="20"/>
      <c r="M42" s="1">
        <f>M41+Table19[[#This Row],[اجمالي الفاتوره]]-Table19[[#This Row],[الدفعات]]</f>
        <v>53530.729999999981</v>
      </c>
      <c r="N42" s="20"/>
      <c r="O42" s="95"/>
    </row>
    <row r="43" spans="1:15" ht="24" customHeight="1" x14ac:dyDescent="0.3">
      <c r="B43" s="2"/>
      <c r="H43" s="1">
        <f>0.14*Table19[[#This Row],[النولون]]</f>
        <v>0</v>
      </c>
      <c r="K43" s="1">
        <f>Table19[[#This Row],[النولون]]+Table19[[#This Row],[الايصالات]]-Table19[[#This Row],[خصم أ ت ص]]+Table19[[#This Row],[قيمة مضافة]]</f>
        <v>0</v>
      </c>
      <c r="M43" s="1">
        <f>M42+Table19[[#This Row],[اجمالي الفاتوره]]-Table19[[#This Row],[الدفعات]]</f>
        <v>53530.729999999981</v>
      </c>
      <c r="O43" s="95"/>
    </row>
    <row r="44" spans="1:15" ht="24" customHeight="1" x14ac:dyDescent="0.3">
      <c r="H44" s="1">
        <f>0.14*Table19[[#This Row],[النولون]]</f>
        <v>0</v>
      </c>
      <c r="K44" s="1">
        <f>Table19[[#This Row],[النولون]]+Table19[[#This Row],[الايصالات]]-Table19[[#This Row],[خصم أ ت ص]]+Table19[[#This Row],[قيمة مضافة]]</f>
        <v>0</v>
      </c>
      <c r="M44" s="1">
        <f>M43+Table19[[#This Row],[اجمالي الفاتوره]]-Table19[[#This Row],[الدفعات]]</f>
        <v>53530.729999999981</v>
      </c>
      <c r="O44" s="95"/>
    </row>
    <row r="45" spans="1:15" ht="24" customHeight="1" x14ac:dyDescent="0.3">
      <c r="B45" s="2"/>
      <c r="H45" s="1">
        <f>0.14*Table19[[#This Row],[النولون]]</f>
        <v>0</v>
      </c>
      <c r="K45" s="1">
        <f>Table19[[#This Row],[النولون]]+Table19[[#This Row],[الايصالات]]-Table19[[#This Row],[خصم أ ت ص]]+Table19[[#This Row],[قيمة مضافة]]</f>
        <v>0</v>
      </c>
      <c r="M45" s="1">
        <f>M44+Table19[[#This Row],[اجمالي الفاتوره]]-Table19[[#This Row],[الدفعات]]</f>
        <v>53530.729999999981</v>
      </c>
      <c r="O45" s="95"/>
    </row>
    <row r="46" spans="1:15" ht="24" customHeight="1" x14ac:dyDescent="0.3">
      <c r="B46" s="2"/>
      <c r="H46" s="1">
        <f>0.14*Table19[[#This Row],[النولون]]</f>
        <v>0</v>
      </c>
      <c r="K46" s="1">
        <f>Table19[[#This Row],[النولون]]+Table19[[#This Row],[الايصالات]]-Table19[[#This Row],[خصم أ ت ص]]+Table19[[#This Row],[قيمة مضافة]]</f>
        <v>0</v>
      </c>
      <c r="M46" s="1">
        <f>M45+Table19[[#This Row],[اجمالي الفاتوره]]-Table19[[#This Row],[الدفعات]]</f>
        <v>53530.729999999981</v>
      </c>
      <c r="O46" s="95"/>
    </row>
    <row r="47" spans="1:15" ht="24" customHeight="1" x14ac:dyDescent="0.3">
      <c r="B47" s="2"/>
      <c r="H47" s="1">
        <f>0.14*Table19[[#This Row],[النولون]]</f>
        <v>0</v>
      </c>
      <c r="K47" s="1">
        <f>Table19[[#This Row],[النولون]]+Table19[[#This Row],[الايصالات]]-Table19[[#This Row],[خصم أ ت ص]]+Table19[[#This Row],[قيمة مضافة]]</f>
        <v>0</v>
      </c>
      <c r="M47" s="1">
        <f>M46+Table19[[#This Row],[اجمالي الفاتوره]]-Table19[[#This Row],[الدفعات]]</f>
        <v>53530.729999999981</v>
      </c>
      <c r="O47" s="95"/>
    </row>
    <row r="48" spans="1:15" ht="24" customHeight="1" x14ac:dyDescent="0.3">
      <c r="A48" s="20"/>
      <c r="B48" s="23"/>
      <c r="C48" s="20"/>
      <c r="D48" s="20"/>
      <c r="E48" s="20"/>
      <c r="F48" s="20"/>
      <c r="G48" s="20"/>
      <c r="H48" s="20">
        <f>0.14*Table19[[#This Row],[النولون]]</f>
        <v>0</v>
      </c>
      <c r="I48" s="20"/>
      <c r="J48" s="20"/>
      <c r="K48" s="1">
        <f>Table19[[#This Row],[النولون]]+Table19[[#This Row],[الايصالات]]-Table19[[#This Row],[خصم أ ت ص]]+Table19[[#This Row],[قيمة مضافة]]</f>
        <v>0</v>
      </c>
      <c r="L48" s="20"/>
      <c r="M48" s="1">
        <f>M47+Table19[[#This Row],[اجمالي الفاتوره]]-Table19[[#This Row],[الدفعات]]</f>
        <v>53530.729999999981</v>
      </c>
      <c r="N48" s="20"/>
      <c r="O48" s="95"/>
    </row>
    <row r="49" spans="1:15" ht="24" customHeight="1" x14ac:dyDescent="0.3">
      <c r="B49" s="2"/>
      <c r="H49" s="1">
        <f>0.14*Table19[[#This Row],[النولون]]</f>
        <v>0</v>
      </c>
      <c r="K49" s="1">
        <f>Table19[[#This Row],[النولون]]+Table19[[#This Row],[الايصالات]]-Table19[[#This Row],[خصم أ ت ص]]+Table19[[#This Row],[قيمة مضافة]]</f>
        <v>0</v>
      </c>
      <c r="M49" s="1">
        <f>M48+Table19[[#This Row],[اجمالي الفاتوره]]-Table19[[#This Row],[الدفعات]]</f>
        <v>53530.729999999981</v>
      </c>
      <c r="O49" s="95"/>
    </row>
    <row r="50" spans="1:15" ht="24" customHeight="1" x14ac:dyDescent="0.3">
      <c r="A50" s="20"/>
      <c r="B50" s="23"/>
      <c r="C50" s="20"/>
      <c r="D50" s="20"/>
      <c r="E50" s="20"/>
      <c r="F50" s="20"/>
      <c r="G50" s="20"/>
      <c r="H50" s="20">
        <f>0.14*Table19[[#This Row],[النولون]]</f>
        <v>0</v>
      </c>
      <c r="I50" s="20"/>
      <c r="J50" s="20"/>
      <c r="K50" s="1">
        <f>Table19[[#This Row],[النولون]]+Table19[[#This Row],[الايصالات]]-Table19[[#This Row],[خصم أ ت ص]]+Table19[[#This Row],[قيمة مضافة]]</f>
        <v>0</v>
      </c>
      <c r="L50" s="20"/>
      <c r="M50" s="1">
        <f>M49+Table19[[#This Row],[اجمالي الفاتوره]]-Table19[[#This Row],[الدفعات]]</f>
        <v>53530.729999999981</v>
      </c>
      <c r="N50" s="20"/>
      <c r="O50" s="95"/>
    </row>
    <row r="51" spans="1:15" ht="24" customHeight="1" x14ac:dyDescent="0.3">
      <c r="B51" s="2"/>
      <c r="H51" s="1">
        <f>0.14*Table19[[#This Row],[النولون]]</f>
        <v>0</v>
      </c>
      <c r="K51" s="1">
        <f>Table19[[#This Row],[النولون]]+Table19[[#This Row],[الايصالات]]-Table19[[#This Row],[خصم أ ت ص]]+Table19[[#This Row],[قيمة مضافة]]</f>
        <v>0</v>
      </c>
      <c r="M51" s="1">
        <f>M50+Table19[[#This Row],[اجمالي الفاتوره]]-Table19[[#This Row],[الدفعات]]</f>
        <v>53530.729999999981</v>
      </c>
      <c r="O51" s="95"/>
    </row>
    <row r="52" spans="1:15" ht="24" customHeight="1" x14ac:dyDescent="0.3">
      <c r="B52" s="2"/>
      <c r="H52" s="1">
        <f>0.14*Table19[[#This Row],[النولون]]</f>
        <v>0</v>
      </c>
      <c r="K52" s="1">
        <f>Table19[[#This Row],[النولون]]+Table19[[#This Row],[الايصالات]]-Table19[[#This Row],[خصم أ ت ص]]+Table19[[#This Row],[قيمة مضافة]]</f>
        <v>0</v>
      </c>
      <c r="M52" s="1">
        <f>M51+Table19[[#This Row],[اجمالي الفاتوره]]-Table19[[#This Row],[الدفعات]]</f>
        <v>53530.729999999981</v>
      </c>
      <c r="O52" s="95"/>
    </row>
    <row r="53" spans="1:15" ht="24" customHeight="1" x14ac:dyDescent="0.3">
      <c r="B53" s="2"/>
      <c r="H53" s="1">
        <f>0.14*Table19[[#This Row],[النولون]]</f>
        <v>0</v>
      </c>
      <c r="K53" s="1">
        <f>Table19[[#This Row],[النولون]]+Table19[[#This Row],[الايصالات]]-Table19[[#This Row],[خصم أ ت ص]]+Table19[[#This Row],[قيمة مضافة]]</f>
        <v>0</v>
      </c>
      <c r="M53" s="1">
        <f>M52+Table19[[#This Row],[اجمالي الفاتوره]]-Table19[[#This Row],[الدفعات]]</f>
        <v>53530.729999999981</v>
      </c>
      <c r="O53" s="95"/>
    </row>
    <row r="54" spans="1:15" ht="24" customHeight="1" x14ac:dyDescent="0.3">
      <c r="B54" s="2"/>
      <c r="H54" s="1">
        <f>0.14*Table19[[#This Row],[النولون]]</f>
        <v>0</v>
      </c>
      <c r="K54" s="1">
        <f>Table19[[#This Row],[النولون]]+Table19[[#This Row],[الايصالات]]-Table19[[#This Row],[خصم أ ت ص]]+Table19[[#This Row],[قيمة مضافة]]</f>
        <v>0</v>
      </c>
      <c r="M54" s="1">
        <f>M53+Table19[[#This Row],[اجمالي الفاتوره]]-Table19[[#This Row],[الدفعات]]</f>
        <v>53530.729999999981</v>
      </c>
      <c r="O54" s="95"/>
    </row>
    <row r="55" spans="1:15" ht="24" customHeight="1" x14ac:dyDescent="0.3">
      <c r="B55" s="2"/>
      <c r="H55" s="1">
        <f>0.14*Table19[[#This Row],[النولون]]</f>
        <v>0</v>
      </c>
      <c r="K55" s="1">
        <f>Table19[[#This Row],[النولون]]+Table19[[#This Row],[الايصالات]]-Table19[[#This Row],[خصم أ ت ص]]+Table19[[#This Row],[قيمة مضافة]]</f>
        <v>0</v>
      </c>
      <c r="M55" s="1">
        <f>M54+Table19[[#This Row],[اجمالي الفاتوره]]-Table19[[#This Row],[الدفعات]]</f>
        <v>53530.729999999981</v>
      </c>
      <c r="O55" s="95"/>
    </row>
    <row r="56" spans="1:15" ht="24" customHeight="1" x14ac:dyDescent="0.3">
      <c r="B56" s="2"/>
      <c r="H56" s="1">
        <f>0.14*Table19[[#This Row],[النولون]]</f>
        <v>0</v>
      </c>
      <c r="K56" s="1">
        <f>Table19[[#This Row],[النولون]]+Table19[[#This Row],[الايصالات]]-Table19[[#This Row],[خصم أ ت ص]]+Table19[[#This Row],[قيمة مضافة]]</f>
        <v>0</v>
      </c>
      <c r="M56" s="1">
        <f>M55+Table19[[#This Row],[اجمالي الفاتوره]]-Table19[[#This Row],[الدفعات]]</f>
        <v>53530.729999999981</v>
      </c>
      <c r="O56" s="95"/>
    </row>
    <row r="57" spans="1:15" ht="24" customHeight="1" x14ac:dyDescent="0.3">
      <c r="B57" s="2"/>
      <c r="H57" s="1">
        <f>0.14*Table19[[#This Row],[النولون]]</f>
        <v>0</v>
      </c>
      <c r="K57" s="1">
        <f>Table19[[#This Row],[النولون]]+Table19[[#This Row],[الايصالات]]-Table19[[#This Row],[خصم أ ت ص]]+Table19[[#This Row],[قيمة مضافة]]</f>
        <v>0</v>
      </c>
      <c r="M57" s="1">
        <f>M56+Table19[[#This Row],[اجمالي الفاتوره]]-Table19[[#This Row],[الدفعات]]</f>
        <v>53530.729999999981</v>
      </c>
      <c r="O57" s="95"/>
    </row>
    <row r="58" spans="1:15" ht="24" customHeight="1" x14ac:dyDescent="0.3">
      <c r="B58" s="2"/>
      <c r="H58" s="1">
        <f>0.14*Table19[[#This Row],[النولون]]</f>
        <v>0</v>
      </c>
      <c r="K58" s="1">
        <f>Table19[[#This Row],[النولون]]+Table19[[#This Row],[الايصالات]]-Table19[[#This Row],[خصم أ ت ص]]+Table19[[#This Row],[قيمة مضافة]]</f>
        <v>0</v>
      </c>
      <c r="M58" s="1">
        <f>M57+Table19[[#This Row],[اجمالي الفاتوره]]-Table19[[#This Row],[الدفعات]]</f>
        <v>53530.729999999981</v>
      </c>
      <c r="O58" s="95"/>
    </row>
    <row r="59" spans="1:15" ht="24" customHeight="1" x14ac:dyDescent="0.3">
      <c r="B59" s="2"/>
      <c r="H59" s="1">
        <f>0.14*Table19[[#This Row],[النولون]]</f>
        <v>0</v>
      </c>
      <c r="K59" s="1">
        <f>Table19[[#This Row],[النولون]]+Table19[[#This Row],[الايصالات]]-Table19[[#This Row],[خصم أ ت ص]]+Table19[[#This Row],[قيمة مضافة]]</f>
        <v>0</v>
      </c>
      <c r="M59" s="1">
        <f>M58+Table19[[#This Row],[اجمالي الفاتوره]]-Table19[[#This Row],[الدفعات]]</f>
        <v>53530.729999999981</v>
      </c>
      <c r="O59" s="95"/>
    </row>
    <row r="60" spans="1:15" ht="24" customHeight="1" x14ac:dyDescent="0.3">
      <c r="B60" s="2"/>
      <c r="H60" s="1">
        <f>0.14*Table19[[#This Row],[النولون]]</f>
        <v>0</v>
      </c>
      <c r="K60" s="1">
        <f>Table19[[#This Row],[النولون]]+Table19[[#This Row],[الايصالات]]-Table19[[#This Row],[خصم أ ت ص]]+Table19[[#This Row],[قيمة مضافة]]</f>
        <v>0</v>
      </c>
      <c r="M60" s="1">
        <f>M59+Table19[[#This Row],[اجمالي الفاتوره]]-Table19[[#This Row],[الدفعات]]</f>
        <v>53530.729999999981</v>
      </c>
      <c r="O60" s="95"/>
    </row>
    <row r="61" spans="1:15" ht="24" customHeight="1" x14ac:dyDescent="0.3">
      <c r="B61" s="2"/>
      <c r="H61" s="1">
        <f>0.14*Table19[[#This Row],[النولون]]</f>
        <v>0</v>
      </c>
      <c r="K61" s="1">
        <f>Table19[[#This Row],[النولون]]+Table19[[#This Row],[الايصالات]]-Table19[[#This Row],[خصم أ ت ص]]+Table19[[#This Row],[قيمة مضافة]]</f>
        <v>0</v>
      </c>
      <c r="M61" s="1">
        <f>M60+Table19[[#This Row],[اجمالي الفاتوره]]-Table19[[#This Row],[الدفعات]]</f>
        <v>53530.729999999981</v>
      </c>
      <c r="O61" s="95"/>
    </row>
    <row r="62" spans="1:15" ht="24" customHeight="1" x14ac:dyDescent="0.3">
      <c r="B62" s="2"/>
      <c r="H62" s="1">
        <f>0.14*Table19[[#This Row],[النولون]]</f>
        <v>0</v>
      </c>
      <c r="K62" s="1">
        <f>Table19[[#This Row],[النولون]]+Table19[[#This Row],[الايصالات]]-Table19[[#This Row],[خصم أ ت ص]]+Table19[[#This Row],[قيمة مضافة]]</f>
        <v>0</v>
      </c>
      <c r="M62" s="1">
        <f>M61+Table19[[#This Row],[اجمالي الفاتوره]]-Table19[[#This Row],[الدفعات]]</f>
        <v>53530.729999999981</v>
      </c>
      <c r="O62" s="95"/>
    </row>
    <row r="63" spans="1:15" ht="24" customHeight="1" x14ac:dyDescent="0.3">
      <c r="A63" s="24"/>
      <c r="B63" s="2"/>
      <c r="H63" s="1">
        <f>0.14*Table19[[#This Row],[النولون]]</f>
        <v>0</v>
      </c>
      <c r="K63" s="1">
        <f>Table19[[#This Row],[النولون]]+Table19[[#This Row],[الايصالات]]-Table19[[#This Row],[خصم أ ت ص]]+Table19[[#This Row],[قيمة مضافة]]</f>
        <v>0</v>
      </c>
      <c r="M63" s="1">
        <f>M62+Table19[[#This Row],[اجمالي الفاتوره]]-Table19[[#This Row],[الدفعات]]</f>
        <v>53530.729999999981</v>
      </c>
      <c r="O63" s="95"/>
    </row>
    <row r="64" spans="1:15" ht="24" customHeight="1" x14ac:dyDescent="0.3">
      <c r="H64" s="1">
        <f>0.14*Table19[[#This Row],[النولون]]</f>
        <v>0</v>
      </c>
      <c r="K64" s="1">
        <f>Table19[[#This Row],[النولون]]+Table19[[#This Row],[الايصالات]]-Table19[[#This Row],[خصم أ ت ص]]+Table19[[#This Row],[قيمة مضافة]]</f>
        <v>0</v>
      </c>
      <c r="M64" s="1">
        <f>M63+Table19[[#This Row],[اجمالي الفاتوره]]-Table19[[#This Row],[الدفعات]]</f>
        <v>53530.729999999981</v>
      </c>
      <c r="O64" s="95"/>
    </row>
    <row r="65" spans="8:15" ht="24" customHeight="1" x14ac:dyDescent="0.3">
      <c r="H65" s="1">
        <f>0.14*Table19[[#This Row],[النولون]]</f>
        <v>0</v>
      </c>
      <c r="K65" s="1">
        <f>Table19[[#This Row],[النولون]]+Table19[[#This Row],[الايصالات]]-Table19[[#This Row],[خصم أ ت ص]]+Table19[[#This Row],[قيمة مضافة]]</f>
        <v>0</v>
      </c>
      <c r="M65" s="1">
        <f>M64+Table19[[#This Row],[اجمالي الفاتوره]]-Table19[[#This Row],[الدفعات]]</f>
        <v>53530.729999999981</v>
      </c>
      <c r="O65" s="95"/>
    </row>
    <row r="66" spans="8:15" ht="24" customHeight="1" x14ac:dyDescent="0.3">
      <c r="H66" s="1">
        <f>0.14*Table19[[#This Row],[النولون]]</f>
        <v>0</v>
      </c>
      <c r="K66" s="1">
        <f>Table19[[#This Row],[النولون]]+Table19[[#This Row],[الايصالات]]-Table19[[#This Row],[خصم أ ت ص]]+Table19[[#This Row],[قيمة مضافة]]</f>
        <v>0</v>
      </c>
      <c r="M66" s="1">
        <f>M65+Table19[[#This Row],[اجمالي الفاتوره]]-Table19[[#This Row],[الدفعات]]</f>
        <v>53530.729999999981</v>
      </c>
      <c r="O66" s="95"/>
    </row>
    <row r="67" spans="8:15" ht="24" customHeight="1" x14ac:dyDescent="0.3">
      <c r="H67" s="1">
        <f>0.14*Table19[[#This Row],[النولون]]</f>
        <v>0</v>
      </c>
      <c r="K67" s="1">
        <f>Table19[[#This Row],[النولون]]+Table19[[#This Row],[الايصالات]]-Table19[[#This Row],[خصم أ ت ص]]+Table19[[#This Row],[قيمة مضافة]]</f>
        <v>0</v>
      </c>
      <c r="M67" s="1">
        <f>M66+Table19[[#This Row],[اجمالي الفاتوره]]-Table19[[#This Row],[الدفعات]]</f>
        <v>53530.729999999981</v>
      </c>
      <c r="O67" s="95"/>
    </row>
    <row r="68" spans="8:15" ht="24" customHeight="1" x14ac:dyDescent="0.3">
      <c r="H68" s="1">
        <f>0.14*Table19[[#This Row],[النولون]]</f>
        <v>0</v>
      </c>
      <c r="K68" s="1">
        <f>Table19[[#This Row],[النولون]]+Table19[[#This Row],[الايصالات]]-Table19[[#This Row],[خصم أ ت ص]]+Table19[[#This Row],[قيمة مضافة]]</f>
        <v>0</v>
      </c>
      <c r="M68" s="1">
        <f>M67+Table19[[#This Row],[اجمالي الفاتوره]]-Table19[[#This Row],[الدفعات]]</f>
        <v>53530.729999999981</v>
      </c>
      <c r="O68" s="95"/>
    </row>
    <row r="69" spans="8:15" ht="24" customHeight="1" x14ac:dyDescent="0.3">
      <c r="H69" s="1">
        <f>0.14*Table19[[#This Row],[النولون]]</f>
        <v>0</v>
      </c>
      <c r="K69" s="1">
        <f>Table19[[#This Row],[النولون]]+Table19[[#This Row],[الايصالات]]-Table19[[#This Row],[خصم أ ت ص]]+Table19[[#This Row],[قيمة مضافة]]</f>
        <v>0</v>
      </c>
      <c r="M69" s="1">
        <f>M68+Table19[[#This Row],[اجمالي الفاتوره]]-Table19[[#This Row],[الدفعات]]</f>
        <v>53530.729999999981</v>
      </c>
      <c r="O69" s="95"/>
    </row>
    <row r="70" spans="8:15" ht="24" customHeight="1" x14ac:dyDescent="0.3">
      <c r="H70" s="1">
        <f>0.14*Table19[[#This Row],[النولون]]</f>
        <v>0</v>
      </c>
      <c r="K70" s="1">
        <f>Table19[[#This Row],[النولون]]+Table19[[#This Row],[الايصالات]]-Table19[[#This Row],[خصم أ ت ص]]+Table19[[#This Row],[قيمة مضافة]]</f>
        <v>0</v>
      </c>
      <c r="M70" s="1">
        <f>M69+Table19[[#This Row],[اجمالي الفاتوره]]-Table19[[#This Row],[الدفعات]]</f>
        <v>53530.729999999981</v>
      </c>
      <c r="O70" s="95"/>
    </row>
    <row r="71" spans="8:15" ht="24" customHeight="1" x14ac:dyDescent="0.3">
      <c r="H71" s="1">
        <f>0.14*Table19[[#This Row],[النولون]]</f>
        <v>0</v>
      </c>
      <c r="K71" s="1">
        <f>Table19[[#This Row],[النولون]]+Table19[[#This Row],[الايصالات]]-Table19[[#This Row],[خصم أ ت ص]]+Table19[[#This Row],[قيمة مضافة]]</f>
        <v>0</v>
      </c>
      <c r="M71" s="1">
        <f>M70+Table19[[#This Row],[اجمالي الفاتوره]]-Table19[[#This Row],[الدفعات]]</f>
        <v>53530.729999999981</v>
      </c>
      <c r="O71" s="95"/>
    </row>
    <row r="72" spans="8:15" ht="24" customHeight="1" x14ac:dyDescent="0.3">
      <c r="H72" s="1">
        <f>0.14*Table19[[#This Row],[النولون]]</f>
        <v>0</v>
      </c>
      <c r="K72" s="1">
        <f>Table19[[#This Row],[النولون]]+Table19[[#This Row],[الايصالات]]-Table19[[#This Row],[خصم أ ت ص]]+Table19[[#This Row],[قيمة مضافة]]</f>
        <v>0</v>
      </c>
      <c r="M72" s="1">
        <f>M71+Table19[[#This Row],[اجمالي الفاتوره]]-Table19[[#This Row],[الدفعات]]</f>
        <v>53530.729999999981</v>
      </c>
      <c r="O72" s="95"/>
    </row>
    <row r="73" spans="8:15" ht="24" customHeight="1" x14ac:dyDescent="0.3">
      <c r="H73" s="1">
        <f>0.14*Table19[[#This Row],[النولون]]</f>
        <v>0</v>
      </c>
      <c r="K73" s="1">
        <f>Table19[[#This Row],[النولون]]+Table19[[#This Row],[الايصالات]]-Table19[[#This Row],[خصم أ ت ص]]+Table19[[#This Row],[قيمة مضافة]]</f>
        <v>0</v>
      </c>
      <c r="M73" s="1">
        <f>M72+Table19[[#This Row],[اجمالي الفاتوره]]-Table19[[#This Row],[الدفعات]]</f>
        <v>53530.729999999981</v>
      </c>
      <c r="O73" s="95"/>
    </row>
    <row r="74" spans="8:15" ht="24" customHeight="1" x14ac:dyDescent="0.3">
      <c r="H74" s="1">
        <f>0.14*Table19[[#This Row],[النولون]]</f>
        <v>0</v>
      </c>
      <c r="K74" s="1">
        <f>Table19[[#This Row],[النولون]]+Table19[[#This Row],[الايصالات]]-Table19[[#This Row],[خصم أ ت ص]]+Table19[[#This Row],[قيمة مضافة]]</f>
        <v>0</v>
      </c>
      <c r="M74" s="1">
        <f>M73+Table19[[#This Row],[اجمالي الفاتوره]]-Table19[[#This Row],[الدفعات]]</f>
        <v>53530.729999999981</v>
      </c>
      <c r="O74" s="95"/>
    </row>
    <row r="75" spans="8:15" ht="24" customHeight="1" x14ac:dyDescent="0.3">
      <c r="H75" s="1">
        <f>0.14*Table19[[#This Row],[النولون]]</f>
        <v>0</v>
      </c>
      <c r="K75" s="1">
        <f>Table19[[#This Row],[النولون]]+Table19[[#This Row],[الايصالات]]-Table19[[#This Row],[خصم أ ت ص]]+Table19[[#This Row],[قيمة مضافة]]</f>
        <v>0</v>
      </c>
      <c r="M75" s="1">
        <f>M74+Table19[[#This Row],[اجمالي الفاتوره]]-Table19[[#This Row],[الدفعات]]</f>
        <v>53530.729999999981</v>
      </c>
      <c r="O75" s="95"/>
    </row>
    <row r="76" spans="8:15" ht="24" customHeight="1" x14ac:dyDescent="0.3">
      <c r="H76" s="1">
        <f>0.14*Table19[[#This Row],[النولون]]</f>
        <v>0</v>
      </c>
      <c r="K76" s="1">
        <f>Table19[[#This Row],[النولون]]+Table19[[#This Row],[الايصالات]]-Table19[[#This Row],[خصم أ ت ص]]+Table19[[#This Row],[قيمة مضافة]]</f>
        <v>0</v>
      </c>
      <c r="M76" s="1">
        <f>M75+Table19[[#This Row],[اجمالي الفاتوره]]-Table19[[#This Row],[الدفعات]]</f>
        <v>53530.729999999981</v>
      </c>
      <c r="O76" s="95"/>
    </row>
    <row r="77" spans="8:15" ht="24" customHeight="1" x14ac:dyDescent="0.3">
      <c r="H77" s="1">
        <f>0.14*Table19[[#This Row],[النولون]]</f>
        <v>0</v>
      </c>
      <c r="K77" s="1">
        <f>Table19[[#This Row],[النولون]]+Table19[[#This Row],[الايصالات]]-Table19[[#This Row],[خصم أ ت ص]]+Table19[[#This Row],[قيمة مضافة]]</f>
        <v>0</v>
      </c>
      <c r="M77" s="1">
        <f>M76+Table19[[#This Row],[اجمالي الفاتوره]]-Table19[[#This Row],[الدفعات]]</f>
        <v>53530.729999999981</v>
      </c>
      <c r="O77" s="95"/>
    </row>
    <row r="78" spans="8:15" ht="24" customHeight="1" x14ac:dyDescent="0.3">
      <c r="H78" s="1">
        <f>0.14*Table19[[#This Row],[النولون]]</f>
        <v>0</v>
      </c>
      <c r="K78" s="1">
        <f>Table19[[#This Row],[النولون]]+Table19[[#This Row],[الايصالات]]-Table19[[#This Row],[خصم أ ت ص]]+Table19[[#This Row],[قيمة مضافة]]</f>
        <v>0</v>
      </c>
      <c r="M78" s="1">
        <f>M77+Table19[[#This Row],[اجمالي الفاتوره]]-Table19[[#This Row],[الدفعات]]</f>
        <v>53530.729999999981</v>
      </c>
      <c r="O78" s="95"/>
    </row>
    <row r="79" spans="8:15" ht="24" customHeight="1" x14ac:dyDescent="0.3">
      <c r="H79" s="1">
        <f>0.14*Table19[[#This Row],[النولون]]</f>
        <v>0</v>
      </c>
      <c r="K79" s="1">
        <f>Table19[[#This Row],[النولون]]+Table19[[#This Row],[الايصالات]]-Table19[[#This Row],[خصم أ ت ص]]+Table19[[#This Row],[قيمة مضافة]]</f>
        <v>0</v>
      </c>
      <c r="M79" s="1">
        <f>M78+Table19[[#This Row],[اجمالي الفاتوره]]-Table19[[#This Row],[الدفعات]]</f>
        <v>53530.729999999981</v>
      </c>
      <c r="O79" s="95"/>
    </row>
    <row r="80" spans="8:15" ht="24" customHeight="1" x14ac:dyDescent="0.3">
      <c r="H80" s="1">
        <f>0.14*Table19[[#This Row],[النولون]]</f>
        <v>0</v>
      </c>
      <c r="K80" s="1">
        <f>Table19[[#This Row],[النولون]]+Table19[[#This Row],[الايصالات]]-Table19[[#This Row],[خصم أ ت ص]]+Table19[[#This Row],[قيمة مضافة]]</f>
        <v>0</v>
      </c>
      <c r="M80" s="1">
        <f>M79+Table19[[#This Row],[اجمالي الفاتوره]]-Table19[[#This Row],[الدفعات]]</f>
        <v>53530.729999999981</v>
      </c>
      <c r="O80" s="95"/>
    </row>
    <row r="81" spans="8:15" ht="24" customHeight="1" x14ac:dyDescent="0.3">
      <c r="H81" s="1">
        <f>0.14*Table19[[#This Row],[النولون]]</f>
        <v>0</v>
      </c>
      <c r="K81" s="1">
        <f>Table19[[#This Row],[النولون]]+Table19[[#This Row],[الايصالات]]-Table19[[#This Row],[خصم أ ت ص]]+Table19[[#This Row],[قيمة مضافة]]</f>
        <v>0</v>
      </c>
      <c r="M81" s="1">
        <f>M80+Table19[[#This Row],[اجمالي الفاتوره]]-Table19[[#This Row],[الدفعات]]</f>
        <v>53530.729999999981</v>
      </c>
      <c r="O81" s="95"/>
    </row>
    <row r="82" spans="8:15" ht="24" customHeight="1" x14ac:dyDescent="0.3">
      <c r="H82" s="1">
        <f>0.14*Table19[[#This Row],[النولون]]</f>
        <v>0</v>
      </c>
      <c r="K82" s="1">
        <f>Table19[[#This Row],[النولون]]+Table19[[#This Row],[الايصالات]]-Table19[[#This Row],[خصم أ ت ص]]+Table19[[#This Row],[قيمة مضافة]]</f>
        <v>0</v>
      </c>
      <c r="M82" s="1">
        <f>M81+Table19[[#This Row],[اجمالي الفاتوره]]-Table19[[#This Row],[الدفعات]]</f>
        <v>53530.729999999981</v>
      </c>
      <c r="O82" s="95"/>
    </row>
    <row r="83" spans="8:15" ht="24" customHeight="1" x14ac:dyDescent="0.3">
      <c r="H83" s="1">
        <f>0.14*Table19[[#This Row],[النولون]]</f>
        <v>0</v>
      </c>
      <c r="K83" s="1">
        <f>Table19[[#This Row],[النولون]]+Table19[[#This Row],[الايصالات]]-Table19[[#This Row],[خصم أ ت ص]]+Table19[[#This Row],[قيمة مضافة]]</f>
        <v>0</v>
      </c>
      <c r="M83" s="1">
        <f>M82+Table19[[#This Row],[اجمالي الفاتوره]]-Table19[[#This Row],[الدفعات]]</f>
        <v>53530.729999999981</v>
      </c>
      <c r="O83" s="95"/>
    </row>
    <row r="84" spans="8:15" ht="24" customHeight="1" x14ac:dyDescent="0.3">
      <c r="H84" s="1">
        <f>0.14*Table19[[#This Row],[النولون]]</f>
        <v>0</v>
      </c>
      <c r="K84" s="1">
        <f>Table19[[#This Row],[النولون]]+Table19[[#This Row],[الايصالات]]-Table19[[#This Row],[خصم أ ت ص]]+Table19[[#This Row],[قيمة مضافة]]</f>
        <v>0</v>
      </c>
      <c r="M84" s="1">
        <f>M83+Table19[[#This Row],[اجمالي الفاتوره]]-Table19[[#This Row],[الدفعات]]</f>
        <v>53530.729999999981</v>
      </c>
      <c r="O84" s="95"/>
    </row>
    <row r="85" spans="8:15" ht="24" customHeight="1" x14ac:dyDescent="0.3">
      <c r="H85" s="1">
        <f>0.14*Table19[[#This Row],[النولون]]</f>
        <v>0</v>
      </c>
      <c r="K85" s="1">
        <f>Table19[[#This Row],[النولون]]+Table19[[#This Row],[الايصالات]]-Table19[[#This Row],[خصم أ ت ص]]+Table19[[#This Row],[قيمة مضافة]]</f>
        <v>0</v>
      </c>
      <c r="M85" s="1">
        <f>M84+Table19[[#This Row],[اجمالي الفاتوره]]-Table19[[#This Row],[الدفعات]]</f>
        <v>53530.729999999981</v>
      </c>
      <c r="O85" s="95"/>
    </row>
    <row r="86" spans="8:15" ht="24" customHeight="1" x14ac:dyDescent="0.3">
      <c r="H86" s="1">
        <f>0.14*Table19[[#This Row],[النولون]]</f>
        <v>0</v>
      </c>
      <c r="K86" s="1">
        <f>Table19[[#This Row],[النولون]]+Table19[[#This Row],[الايصالات]]-Table19[[#This Row],[خصم أ ت ص]]+Table19[[#This Row],[قيمة مضافة]]</f>
        <v>0</v>
      </c>
      <c r="M86" s="1">
        <f>M85+Table19[[#This Row],[اجمالي الفاتوره]]-Table19[[#This Row],[الدفعات]]</f>
        <v>53530.729999999981</v>
      </c>
      <c r="O86" s="95"/>
    </row>
    <row r="87" spans="8:15" ht="24" customHeight="1" x14ac:dyDescent="0.3">
      <c r="H87" s="1">
        <f>0.14*Table19[[#This Row],[النولون]]</f>
        <v>0</v>
      </c>
      <c r="K87" s="1">
        <f>Table19[[#This Row],[النولون]]+Table19[[#This Row],[الايصالات]]-Table19[[#This Row],[خصم أ ت ص]]+Table19[[#This Row],[قيمة مضافة]]</f>
        <v>0</v>
      </c>
      <c r="M87" s="1">
        <f>M86+Table19[[#This Row],[اجمالي الفاتوره]]-Table19[[#This Row],[الدفعات]]</f>
        <v>53530.729999999981</v>
      </c>
      <c r="O87" s="95"/>
    </row>
    <row r="88" spans="8:15" ht="24" customHeight="1" x14ac:dyDescent="0.3">
      <c r="H88" s="1">
        <f>0.14*Table19[[#This Row],[النولون]]</f>
        <v>0</v>
      </c>
      <c r="K88" s="1">
        <f>Table19[[#This Row],[النولون]]+Table19[[#This Row],[الايصالات]]-Table19[[#This Row],[خصم أ ت ص]]+Table19[[#This Row],[قيمة مضافة]]</f>
        <v>0</v>
      </c>
      <c r="M88" s="1">
        <f>M87+Table19[[#This Row],[اجمالي الفاتوره]]-Table19[[#This Row],[الدفعات]]</f>
        <v>53530.729999999981</v>
      </c>
      <c r="O88" s="95"/>
    </row>
    <row r="89" spans="8:15" ht="24" customHeight="1" x14ac:dyDescent="0.3">
      <c r="H89" s="1">
        <f>0.14*Table19[[#This Row],[النولون]]</f>
        <v>0</v>
      </c>
      <c r="K89" s="1">
        <f>Table19[[#This Row],[النولون]]+Table19[[#This Row],[الايصالات]]-Table19[[#This Row],[خصم أ ت ص]]+Table19[[#This Row],[قيمة مضافة]]</f>
        <v>0</v>
      </c>
      <c r="M89" s="1">
        <f>M88+Table19[[#This Row],[اجمالي الفاتوره]]-Table19[[#This Row],[الدفعات]]</f>
        <v>53530.729999999981</v>
      </c>
      <c r="O89" s="95"/>
    </row>
    <row r="90" spans="8:15" ht="24" customHeight="1" x14ac:dyDescent="0.3">
      <c r="H90" s="1">
        <f>0.14*Table19[[#This Row],[النولون]]</f>
        <v>0</v>
      </c>
      <c r="K90" s="1">
        <f>Table19[[#This Row],[النولون]]+Table19[[#This Row],[الايصالات]]-Table19[[#This Row],[خصم أ ت ص]]+Table19[[#This Row],[قيمة مضافة]]</f>
        <v>0</v>
      </c>
      <c r="M90" s="1">
        <f>M89+Table19[[#This Row],[اجمالي الفاتوره]]-Table19[[#This Row],[الدفعات]]</f>
        <v>53530.729999999981</v>
      </c>
      <c r="O90" s="95"/>
    </row>
    <row r="91" spans="8:15" ht="24" customHeight="1" x14ac:dyDescent="0.3">
      <c r="H91" s="1">
        <f>0.14*Table19[[#This Row],[النولون]]</f>
        <v>0</v>
      </c>
      <c r="K91" s="1">
        <f>Table19[[#This Row],[النولون]]+Table19[[#This Row],[الايصالات]]-Table19[[#This Row],[خصم أ ت ص]]+Table19[[#This Row],[قيمة مضافة]]</f>
        <v>0</v>
      </c>
      <c r="M91" s="1">
        <f>M90+Table19[[#This Row],[اجمالي الفاتوره]]-Table19[[#This Row],[الدفعات]]</f>
        <v>53530.729999999981</v>
      </c>
      <c r="O91" s="95"/>
    </row>
    <row r="92" spans="8:15" ht="24" customHeight="1" x14ac:dyDescent="0.3">
      <c r="H92" s="1">
        <f>0.14*Table19[[#This Row],[النولون]]</f>
        <v>0</v>
      </c>
      <c r="K92" s="1">
        <f>Table19[[#This Row],[النولون]]+Table19[[#This Row],[الايصالات]]-Table19[[#This Row],[خصم أ ت ص]]+Table19[[#This Row],[قيمة مضافة]]</f>
        <v>0</v>
      </c>
      <c r="M92" s="1">
        <f>M91+Table19[[#This Row],[اجمالي الفاتوره]]-Table19[[#This Row],[الدفعات]]</f>
        <v>53530.729999999981</v>
      </c>
      <c r="O92" s="95"/>
    </row>
    <row r="93" spans="8:15" ht="24" customHeight="1" x14ac:dyDescent="0.3">
      <c r="H93" s="1">
        <f>0.14*Table19[[#This Row],[النولون]]</f>
        <v>0</v>
      </c>
      <c r="K93" s="1">
        <f>Table19[[#This Row],[النولون]]+Table19[[#This Row],[الايصالات]]-Table19[[#This Row],[خصم أ ت ص]]+Table19[[#This Row],[قيمة مضافة]]</f>
        <v>0</v>
      </c>
      <c r="M93" s="1">
        <f>M92+Table19[[#This Row],[اجمالي الفاتوره]]-Table19[[#This Row],[الدفعات]]</f>
        <v>53530.729999999981</v>
      </c>
      <c r="O93" s="95"/>
    </row>
    <row r="94" spans="8:15" ht="24" customHeight="1" x14ac:dyDescent="0.3">
      <c r="H94" s="1">
        <f>0.14*Table19[[#This Row],[النولون]]</f>
        <v>0</v>
      </c>
      <c r="K94" s="1">
        <f>Table19[[#This Row],[النولون]]+Table19[[#This Row],[الايصالات]]-Table19[[#This Row],[خصم أ ت ص]]+Table19[[#This Row],[قيمة مضافة]]</f>
        <v>0</v>
      </c>
      <c r="M94" s="1">
        <f>M93+Table19[[#This Row],[اجمالي الفاتوره]]-Table19[[#This Row],[الدفعات]]</f>
        <v>53530.729999999981</v>
      </c>
      <c r="O94" s="95"/>
    </row>
    <row r="95" spans="8:15" ht="24" customHeight="1" x14ac:dyDescent="0.3">
      <c r="H95" s="1">
        <f>0.14*Table19[[#This Row],[النولون]]</f>
        <v>0</v>
      </c>
      <c r="K95" s="1">
        <f>Table19[[#This Row],[النولون]]+Table19[[#This Row],[الايصالات]]-Table19[[#This Row],[خصم أ ت ص]]+Table19[[#This Row],[قيمة مضافة]]</f>
        <v>0</v>
      </c>
      <c r="M95" s="1">
        <f>M94+Table19[[#This Row],[اجمالي الفاتوره]]-Table19[[#This Row],[الدفعات]]</f>
        <v>53530.729999999981</v>
      </c>
      <c r="O95" s="95"/>
    </row>
    <row r="96" spans="8:15" ht="24" customHeight="1" x14ac:dyDescent="0.3">
      <c r="H96" s="1">
        <f>0.14*Table19[[#This Row],[النولون]]</f>
        <v>0</v>
      </c>
      <c r="K96" s="1">
        <f>Table19[[#This Row],[النولون]]+Table19[[#This Row],[الايصالات]]-Table19[[#This Row],[خصم أ ت ص]]+Table19[[#This Row],[قيمة مضافة]]</f>
        <v>0</v>
      </c>
      <c r="M96" s="1">
        <f>M95+Table19[[#This Row],[اجمالي الفاتوره]]-Table19[[#This Row],[الدفعات]]</f>
        <v>53530.729999999981</v>
      </c>
      <c r="O96" s="95"/>
    </row>
    <row r="97" spans="8:15" ht="24" customHeight="1" x14ac:dyDescent="0.3">
      <c r="H97" s="1">
        <f>0.14*Table19[[#This Row],[النولون]]</f>
        <v>0</v>
      </c>
      <c r="K97" s="1">
        <f>Table19[[#This Row],[النولون]]+Table19[[#This Row],[الايصالات]]-Table19[[#This Row],[خصم أ ت ص]]+Table19[[#This Row],[قيمة مضافة]]</f>
        <v>0</v>
      </c>
      <c r="M97" s="1">
        <f>M96+Table19[[#This Row],[اجمالي الفاتوره]]-Table19[[#This Row],[الدفعات]]</f>
        <v>53530.729999999981</v>
      </c>
      <c r="O97" s="95"/>
    </row>
    <row r="98" spans="8:15" ht="24" customHeight="1" x14ac:dyDescent="0.3">
      <c r="H98" s="1">
        <f>0.14*Table19[[#This Row],[النولون]]</f>
        <v>0</v>
      </c>
      <c r="K98" s="1">
        <f>Table19[[#This Row],[النولون]]+Table19[[#This Row],[الايصالات]]-Table19[[#This Row],[خصم أ ت ص]]+Table19[[#This Row],[قيمة مضافة]]</f>
        <v>0</v>
      </c>
      <c r="M98" s="1">
        <f>M97+Table19[[#This Row],[اجمالي الفاتوره]]-Table19[[#This Row],[الدفعات]]</f>
        <v>53530.729999999981</v>
      </c>
      <c r="O98" s="95"/>
    </row>
    <row r="99" spans="8:15" ht="24" customHeight="1" x14ac:dyDescent="0.3">
      <c r="H99" s="1">
        <f>0.14*Table19[[#This Row],[النولون]]</f>
        <v>0</v>
      </c>
      <c r="K99" s="1">
        <f>Table19[[#This Row],[النولون]]+Table19[[#This Row],[الايصالات]]-Table19[[#This Row],[خصم أ ت ص]]+Table19[[#This Row],[قيمة مضافة]]</f>
        <v>0</v>
      </c>
      <c r="M99" s="1">
        <f>M98+Table19[[#This Row],[اجمالي الفاتوره]]-Table19[[#This Row],[الدفعات]]</f>
        <v>53530.729999999981</v>
      </c>
      <c r="O99" s="95"/>
    </row>
    <row r="100" spans="8:15" ht="24" customHeight="1" x14ac:dyDescent="0.3">
      <c r="H100" s="1">
        <f>0.14*Table19[[#This Row],[النولون]]</f>
        <v>0</v>
      </c>
      <c r="K100" s="1">
        <f>Table19[[#This Row],[النولون]]+Table19[[#This Row],[الايصالات]]-Table19[[#This Row],[خصم أ ت ص]]+Table19[[#This Row],[قيمة مضافة]]</f>
        <v>0</v>
      </c>
      <c r="M100" s="1">
        <f>M99+Table19[[#This Row],[اجمالي الفاتوره]]-Table19[[#This Row],[الدفعات]]</f>
        <v>53530.729999999981</v>
      </c>
      <c r="O100" s="95"/>
    </row>
    <row r="101" spans="8:15" ht="24" customHeight="1" x14ac:dyDescent="0.3">
      <c r="H101" s="1">
        <f>0.14*Table19[[#This Row],[النولون]]</f>
        <v>0</v>
      </c>
      <c r="K101" s="1">
        <f>Table19[[#This Row],[النولون]]+Table19[[#This Row],[الايصالات]]-Table19[[#This Row],[خصم أ ت ص]]+Table19[[#This Row],[قيمة مضافة]]</f>
        <v>0</v>
      </c>
      <c r="M101" s="1">
        <f>M100+Table19[[#This Row],[اجمالي الفاتوره]]-Table19[[#This Row],[الدفعات]]</f>
        <v>53530.729999999981</v>
      </c>
      <c r="O101" s="95"/>
    </row>
    <row r="102" spans="8:15" ht="24" customHeight="1" x14ac:dyDescent="0.3">
      <c r="H102" s="1">
        <f>0.14*Table19[[#This Row],[النولون]]</f>
        <v>0</v>
      </c>
      <c r="K102" s="1">
        <f>Table19[[#This Row],[النولون]]+Table19[[#This Row],[الايصالات]]-Table19[[#This Row],[خصم أ ت ص]]+Table19[[#This Row],[قيمة مضافة]]</f>
        <v>0</v>
      </c>
      <c r="M102" s="1">
        <f>M101+Table19[[#This Row],[اجمالي الفاتوره]]-Table19[[#This Row],[الدفعات]]</f>
        <v>53530.729999999981</v>
      </c>
      <c r="O102" s="95"/>
    </row>
    <row r="103" spans="8:15" ht="24" customHeight="1" x14ac:dyDescent="0.3">
      <c r="H103" s="1">
        <f>0.14*Table19[[#This Row],[النولون]]</f>
        <v>0</v>
      </c>
      <c r="K103" s="1">
        <f>Table19[[#This Row],[النولون]]+Table19[[#This Row],[الايصالات]]-Table19[[#This Row],[خصم أ ت ص]]+Table19[[#This Row],[قيمة مضافة]]</f>
        <v>0</v>
      </c>
      <c r="M103" s="1">
        <f>M102+Table19[[#This Row],[اجمالي الفاتوره]]-Table19[[#This Row],[الدفعات]]</f>
        <v>53530.729999999981</v>
      </c>
      <c r="O103" s="95"/>
    </row>
    <row r="104" spans="8:15" ht="24" customHeight="1" x14ac:dyDescent="0.3">
      <c r="H104" s="1">
        <f>0.14*Table19[[#This Row],[النولون]]</f>
        <v>0</v>
      </c>
      <c r="K104" s="1">
        <f>Table19[[#This Row],[النولون]]+Table19[[#This Row],[الايصالات]]-Table19[[#This Row],[خصم أ ت ص]]+Table19[[#This Row],[قيمة مضافة]]</f>
        <v>0</v>
      </c>
      <c r="M104" s="1">
        <f>M103+Table19[[#This Row],[اجمالي الفاتوره]]-Table19[[#This Row],[الدفعات]]</f>
        <v>53530.729999999981</v>
      </c>
      <c r="O104" s="95"/>
    </row>
    <row r="105" spans="8:15" ht="24" customHeight="1" x14ac:dyDescent="0.3">
      <c r="H105" s="1">
        <f>0.14*Table19[[#This Row],[النولون]]</f>
        <v>0</v>
      </c>
      <c r="K105" s="1">
        <f>Table19[[#This Row],[النولون]]+Table19[[#This Row],[الايصالات]]-Table19[[#This Row],[خصم أ ت ص]]+Table19[[#This Row],[قيمة مضافة]]</f>
        <v>0</v>
      </c>
      <c r="M105" s="1">
        <f>M104+Table19[[#This Row],[اجمالي الفاتوره]]-Table19[[#This Row],[الدفعات]]</f>
        <v>53530.729999999981</v>
      </c>
      <c r="O105" s="95"/>
    </row>
    <row r="106" spans="8:15" ht="24" customHeight="1" x14ac:dyDescent="0.3">
      <c r="H106" s="1">
        <f>0.14*Table19[[#This Row],[النولون]]</f>
        <v>0</v>
      </c>
      <c r="K106" s="1">
        <f>Table19[[#This Row],[النولون]]+Table19[[#This Row],[الايصالات]]-Table19[[#This Row],[خصم أ ت ص]]+Table19[[#This Row],[قيمة مضافة]]</f>
        <v>0</v>
      </c>
      <c r="M106" s="1">
        <f>M105+Table19[[#This Row],[اجمالي الفاتوره]]-Table19[[#This Row],[الدفعات]]</f>
        <v>53530.729999999981</v>
      </c>
      <c r="O106" s="95"/>
    </row>
    <row r="107" spans="8:15" ht="24" customHeight="1" x14ac:dyDescent="0.3">
      <c r="H107" s="1">
        <f>0.14*Table19[[#This Row],[النولون]]</f>
        <v>0</v>
      </c>
      <c r="K107" s="1">
        <f>Table19[[#This Row],[النولون]]+Table19[[#This Row],[الايصالات]]-Table19[[#This Row],[خصم أ ت ص]]+Table19[[#This Row],[قيمة مضافة]]</f>
        <v>0</v>
      </c>
      <c r="M107" s="1">
        <f>M106+Table19[[#This Row],[اجمالي الفاتوره]]-Table19[[#This Row],[الدفعات]]</f>
        <v>53530.729999999981</v>
      </c>
      <c r="O107" s="95"/>
    </row>
    <row r="108" spans="8:15" ht="24" customHeight="1" x14ac:dyDescent="0.3">
      <c r="H108" s="1">
        <f>0.14*Table19[[#This Row],[النولون]]</f>
        <v>0</v>
      </c>
      <c r="K108" s="1">
        <f>Table19[[#This Row],[النولون]]+Table19[[#This Row],[الايصالات]]-Table19[[#This Row],[خصم أ ت ص]]+Table19[[#This Row],[قيمة مضافة]]</f>
        <v>0</v>
      </c>
      <c r="M108" s="1">
        <f>M107+Table19[[#This Row],[اجمالي الفاتوره]]-Table19[[#This Row],[الدفعات]]</f>
        <v>53530.729999999981</v>
      </c>
      <c r="O108" s="95"/>
    </row>
    <row r="109" spans="8:15" ht="24" customHeight="1" x14ac:dyDescent="0.3">
      <c r="H109" s="1">
        <f>0.14*Table19[[#This Row],[النولون]]</f>
        <v>0</v>
      </c>
      <c r="K109" s="1">
        <f>Table19[[#This Row],[النولون]]+Table19[[#This Row],[الايصالات]]-Table19[[#This Row],[خصم أ ت ص]]+Table19[[#This Row],[قيمة مضافة]]</f>
        <v>0</v>
      </c>
      <c r="M109" s="1">
        <f>M108+Table19[[#This Row],[اجمالي الفاتوره]]-Table19[[#This Row],[الدفعات]]</f>
        <v>53530.729999999981</v>
      </c>
      <c r="O109" s="95"/>
    </row>
    <row r="110" spans="8:15" ht="24" customHeight="1" x14ac:dyDescent="0.3">
      <c r="H110" s="1">
        <f>0.14*Table19[[#This Row],[النولون]]</f>
        <v>0</v>
      </c>
      <c r="K110" s="1">
        <f>Table19[[#This Row],[النولون]]+Table19[[#This Row],[الايصالات]]-Table19[[#This Row],[خصم أ ت ص]]+Table19[[#This Row],[قيمة مضافة]]</f>
        <v>0</v>
      </c>
      <c r="M110" s="1">
        <f>M109+Table19[[#This Row],[اجمالي الفاتوره]]-Table19[[#This Row],[الدفعات]]</f>
        <v>53530.729999999981</v>
      </c>
      <c r="O110" s="95"/>
    </row>
    <row r="111" spans="8:15" ht="24" customHeight="1" x14ac:dyDescent="0.3">
      <c r="H111" s="1">
        <f>0.14*Table19[[#This Row],[النولون]]</f>
        <v>0</v>
      </c>
      <c r="K111" s="1">
        <f>Table19[[#This Row],[النولون]]+Table19[[#This Row],[الايصالات]]-Table19[[#This Row],[خصم أ ت ص]]+Table19[[#This Row],[قيمة مضافة]]</f>
        <v>0</v>
      </c>
      <c r="M111" s="1">
        <f>M110+Table19[[#This Row],[اجمالي الفاتوره]]-Table19[[#This Row],[الدفعات]]</f>
        <v>53530.729999999981</v>
      </c>
      <c r="O111" s="95"/>
    </row>
    <row r="112" spans="8:15" ht="24" customHeight="1" x14ac:dyDescent="0.3">
      <c r="H112" s="1">
        <f>0.14*Table19[[#This Row],[النولون]]</f>
        <v>0</v>
      </c>
      <c r="K112" s="1">
        <f>Table19[[#This Row],[النولون]]+Table19[[#This Row],[الايصالات]]-Table19[[#This Row],[خصم أ ت ص]]+Table19[[#This Row],[قيمة مضافة]]</f>
        <v>0</v>
      </c>
      <c r="M112" s="1">
        <f>M111+Table19[[#This Row],[اجمالي الفاتوره]]-Table19[[#This Row],[الدفعات]]</f>
        <v>53530.729999999981</v>
      </c>
      <c r="O112" s="95"/>
    </row>
    <row r="113" spans="8:15" ht="24" customHeight="1" x14ac:dyDescent="0.3">
      <c r="H113" s="1">
        <f>0.14*Table19[[#This Row],[النولون]]</f>
        <v>0</v>
      </c>
      <c r="K113" s="1">
        <f>Table19[[#This Row],[النولون]]+Table19[[#This Row],[الايصالات]]-Table19[[#This Row],[خصم أ ت ص]]+Table19[[#This Row],[قيمة مضافة]]</f>
        <v>0</v>
      </c>
      <c r="M113" s="1">
        <f>M112+Table19[[#This Row],[اجمالي الفاتوره]]-Table19[[#This Row],[الدفعات]]</f>
        <v>53530.729999999981</v>
      </c>
      <c r="O113" s="95"/>
    </row>
    <row r="114" spans="8:15" ht="24" customHeight="1" x14ac:dyDescent="0.3">
      <c r="H114" s="1">
        <f>0.14*Table19[[#This Row],[النولون]]</f>
        <v>0</v>
      </c>
      <c r="K114" s="1">
        <f>Table19[[#This Row],[النولون]]+Table19[[#This Row],[الايصالات]]-Table19[[#This Row],[خصم أ ت ص]]+Table19[[#This Row],[قيمة مضافة]]</f>
        <v>0</v>
      </c>
      <c r="M114" s="1">
        <f>M113+Table19[[#This Row],[اجمالي الفاتوره]]-Table19[[#This Row],[الدفعات]]</f>
        <v>53530.729999999981</v>
      </c>
      <c r="O114" s="95"/>
    </row>
    <row r="115" spans="8:15" ht="24" customHeight="1" x14ac:dyDescent="0.3">
      <c r="H115" s="1">
        <f>0.14*Table19[[#This Row],[النولون]]</f>
        <v>0</v>
      </c>
      <c r="K115" s="1">
        <f>Table19[[#This Row],[النولون]]+Table19[[#This Row],[الايصالات]]-Table19[[#This Row],[خصم أ ت ص]]+Table19[[#This Row],[قيمة مضافة]]</f>
        <v>0</v>
      </c>
      <c r="M115" s="1">
        <f>M114+Table19[[#This Row],[اجمالي الفاتوره]]-Table19[[#This Row],[الدفعات]]</f>
        <v>53530.729999999981</v>
      </c>
      <c r="O115" s="95"/>
    </row>
    <row r="116" spans="8:15" ht="24" customHeight="1" x14ac:dyDescent="0.3">
      <c r="H116" s="1">
        <f>0.14*Table19[[#This Row],[النولون]]</f>
        <v>0</v>
      </c>
      <c r="K116" s="1">
        <f>Table19[[#This Row],[النولون]]+Table19[[#This Row],[الايصالات]]-Table19[[#This Row],[خصم أ ت ص]]+Table19[[#This Row],[قيمة مضافة]]</f>
        <v>0</v>
      </c>
      <c r="M116" s="1">
        <f>M115+Table19[[#This Row],[اجمالي الفاتوره]]-Table19[[#This Row],[الدفعات]]</f>
        <v>53530.729999999981</v>
      </c>
      <c r="O116" s="95"/>
    </row>
    <row r="117" spans="8:15" ht="24" customHeight="1" x14ac:dyDescent="0.3">
      <c r="H117" s="1">
        <f>0.14*Table19[[#This Row],[النولون]]</f>
        <v>0</v>
      </c>
      <c r="K117" s="1">
        <f>Table19[[#This Row],[النولون]]+Table19[[#This Row],[الايصالات]]-Table19[[#This Row],[خصم أ ت ص]]+Table19[[#This Row],[قيمة مضافة]]</f>
        <v>0</v>
      </c>
      <c r="M117" s="1">
        <f>M116+Table19[[#This Row],[اجمالي الفاتوره]]-Table19[[#This Row],[الدفعات]]</f>
        <v>53530.729999999981</v>
      </c>
      <c r="O117" s="95"/>
    </row>
    <row r="118" spans="8:15" ht="24" customHeight="1" x14ac:dyDescent="0.3">
      <c r="H118" s="1">
        <f>0.14*Table19[[#This Row],[النولون]]</f>
        <v>0</v>
      </c>
      <c r="K118" s="1">
        <f>Table19[[#This Row],[النولون]]+Table19[[#This Row],[الايصالات]]-Table19[[#This Row],[خصم أ ت ص]]+Table19[[#This Row],[قيمة مضافة]]</f>
        <v>0</v>
      </c>
      <c r="M118" s="1">
        <f>M117+Table19[[#This Row],[اجمالي الفاتوره]]-Table19[[#This Row],[الدفعات]]</f>
        <v>53530.729999999981</v>
      </c>
      <c r="O118" s="95"/>
    </row>
    <row r="119" spans="8:15" ht="24" customHeight="1" x14ac:dyDescent="0.3">
      <c r="H119" s="1">
        <f>0.14*Table19[[#This Row],[النولون]]</f>
        <v>0</v>
      </c>
      <c r="K119" s="1">
        <f>Table19[[#This Row],[النولون]]+Table19[[#This Row],[الايصالات]]-Table19[[#This Row],[خصم أ ت ص]]+Table19[[#This Row],[قيمة مضافة]]</f>
        <v>0</v>
      </c>
      <c r="M119" s="1">
        <f>M118+Table19[[#This Row],[اجمالي الفاتوره]]-Table19[[#This Row],[الدفعات]]</f>
        <v>53530.729999999981</v>
      </c>
      <c r="O119" s="95"/>
    </row>
    <row r="120" spans="8:15" ht="24" customHeight="1" x14ac:dyDescent="0.3">
      <c r="H120" s="1">
        <f>0.14*Table19[[#This Row],[النولون]]</f>
        <v>0</v>
      </c>
      <c r="K120" s="1">
        <f>Table19[[#This Row],[النولون]]+Table19[[#This Row],[الايصالات]]-Table19[[#This Row],[خصم أ ت ص]]+Table19[[#This Row],[قيمة مضافة]]</f>
        <v>0</v>
      </c>
      <c r="M120" s="1">
        <f>M119+Table19[[#This Row],[اجمالي الفاتوره]]-Table19[[#This Row],[الدفعات]]</f>
        <v>53530.729999999981</v>
      </c>
      <c r="O120" s="95"/>
    </row>
    <row r="121" spans="8:15" ht="24" customHeight="1" x14ac:dyDescent="0.3">
      <c r="H121" s="1">
        <f>0.14*Table19[[#This Row],[النولون]]</f>
        <v>0</v>
      </c>
      <c r="K121" s="1">
        <f>Table19[[#This Row],[النولون]]+Table19[[#This Row],[الايصالات]]-Table19[[#This Row],[خصم أ ت ص]]+Table19[[#This Row],[قيمة مضافة]]</f>
        <v>0</v>
      </c>
      <c r="M121" s="1">
        <f>M120+Table19[[#This Row],[اجمالي الفاتوره]]-Table19[[#This Row],[الدفعات]]</f>
        <v>53530.729999999981</v>
      </c>
      <c r="O121" s="95"/>
    </row>
    <row r="122" spans="8:15" ht="24" customHeight="1" x14ac:dyDescent="0.3">
      <c r="H122" s="1">
        <f>0.14*Table19[[#This Row],[النولون]]</f>
        <v>0</v>
      </c>
      <c r="K122" s="1">
        <f>Table19[[#This Row],[النولون]]+Table19[[#This Row],[الايصالات]]-Table19[[#This Row],[خصم أ ت ص]]+Table19[[#This Row],[قيمة مضافة]]</f>
        <v>0</v>
      </c>
      <c r="M122" s="1">
        <f>M121+Table19[[#This Row],[اجمالي الفاتوره]]-Table19[[#This Row],[الدفعات]]</f>
        <v>53530.729999999981</v>
      </c>
      <c r="O122" s="95"/>
    </row>
    <row r="123" spans="8:15" ht="24" customHeight="1" x14ac:dyDescent="0.3">
      <c r="H123" s="1">
        <f>0.14*Table19[[#This Row],[النولون]]</f>
        <v>0</v>
      </c>
      <c r="K123" s="1">
        <f>Table19[[#This Row],[النولون]]+Table19[[#This Row],[الايصالات]]-Table19[[#This Row],[خصم أ ت ص]]+Table19[[#This Row],[قيمة مضافة]]</f>
        <v>0</v>
      </c>
      <c r="M123" s="1">
        <f>M122+Table19[[#This Row],[اجمالي الفاتوره]]-Table19[[#This Row],[الدفعات]]</f>
        <v>53530.729999999981</v>
      </c>
      <c r="O123" s="95"/>
    </row>
    <row r="124" spans="8:15" ht="24" customHeight="1" x14ac:dyDescent="0.3">
      <c r="H124" s="1">
        <f>0.14*Table19[[#This Row],[النولون]]</f>
        <v>0</v>
      </c>
      <c r="K124" s="1">
        <f>Table19[[#This Row],[النولون]]+Table19[[#This Row],[الايصالات]]-Table19[[#This Row],[خصم أ ت ص]]+Table19[[#This Row],[قيمة مضافة]]</f>
        <v>0</v>
      </c>
      <c r="M124" s="1">
        <f>M123+Table19[[#This Row],[اجمالي الفاتوره]]-Table19[[#This Row],[الدفعات]]</f>
        <v>53530.729999999981</v>
      </c>
      <c r="O124" s="95"/>
    </row>
    <row r="125" spans="8:15" ht="24" customHeight="1" x14ac:dyDescent="0.3">
      <c r="H125" s="1">
        <f>0.14*Table19[[#This Row],[النولون]]</f>
        <v>0</v>
      </c>
      <c r="K125" s="1">
        <f>Table19[[#This Row],[النولون]]+Table19[[#This Row],[الايصالات]]-Table19[[#This Row],[خصم أ ت ص]]+Table19[[#This Row],[قيمة مضافة]]</f>
        <v>0</v>
      </c>
      <c r="M125" s="1">
        <f>M124+Table19[[#This Row],[اجمالي الفاتوره]]-Table19[[#This Row],[الدفعات]]</f>
        <v>53530.729999999981</v>
      </c>
      <c r="O125" s="95"/>
    </row>
    <row r="126" spans="8:15" ht="24" customHeight="1" x14ac:dyDescent="0.3">
      <c r="H126" s="1">
        <f>0.14*Table19[[#This Row],[النولون]]</f>
        <v>0</v>
      </c>
      <c r="K126" s="1">
        <f>Table19[[#This Row],[النولون]]+Table19[[#This Row],[الايصالات]]-Table19[[#This Row],[خصم أ ت ص]]+Table19[[#This Row],[قيمة مضافة]]</f>
        <v>0</v>
      </c>
      <c r="M126" s="1">
        <f>M125+Table19[[#This Row],[اجمالي الفاتوره]]-Table19[[#This Row],[الدفعات]]</f>
        <v>53530.729999999981</v>
      </c>
      <c r="O126" s="95"/>
    </row>
    <row r="127" spans="8:15" ht="24" customHeight="1" x14ac:dyDescent="0.3">
      <c r="H127" s="1">
        <f>0.14*Table19[[#This Row],[النولون]]</f>
        <v>0</v>
      </c>
      <c r="K127" s="1">
        <f>Table19[[#This Row],[النولون]]+Table19[[#This Row],[الايصالات]]-Table19[[#This Row],[خصم أ ت ص]]+Table19[[#This Row],[قيمة مضافة]]</f>
        <v>0</v>
      </c>
      <c r="M127" s="1">
        <f>M126+Table19[[#This Row],[اجمالي الفاتوره]]-Table19[[#This Row],[الدفعات]]</f>
        <v>53530.729999999981</v>
      </c>
      <c r="O127" s="95"/>
    </row>
    <row r="128" spans="8:15" ht="24" customHeight="1" x14ac:dyDescent="0.3">
      <c r="H128" s="1">
        <f>0.14*Table19[[#This Row],[النولون]]</f>
        <v>0</v>
      </c>
      <c r="K128" s="1">
        <f>Table19[[#This Row],[النولون]]+Table19[[#This Row],[الايصالات]]-Table19[[#This Row],[خصم أ ت ص]]+Table19[[#This Row],[قيمة مضافة]]</f>
        <v>0</v>
      </c>
      <c r="M128" s="1">
        <f>M127+Table19[[#This Row],[اجمالي الفاتوره]]-Table19[[#This Row],[الدفعات]]</f>
        <v>53530.729999999981</v>
      </c>
      <c r="O128" s="95"/>
    </row>
    <row r="129" spans="8:15" ht="24" customHeight="1" x14ac:dyDescent="0.3">
      <c r="H129" s="1">
        <f>0.14*Table19[[#This Row],[النولون]]</f>
        <v>0</v>
      </c>
      <c r="K129" s="1">
        <f>Table19[[#This Row],[النولون]]+Table19[[#This Row],[الايصالات]]-Table19[[#This Row],[خصم أ ت ص]]+Table19[[#This Row],[قيمة مضافة]]</f>
        <v>0</v>
      </c>
      <c r="M129" s="1">
        <f>M128+Table19[[#This Row],[اجمالي الفاتوره]]-Table19[[#This Row],[الدفعات]]</f>
        <v>53530.729999999981</v>
      </c>
      <c r="O129" s="95"/>
    </row>
    <row r="130" spans="8:15" ht="24" customHeight="1" x14ac:dyDescent="0.3">
      <c r="H130" s="1">
        <f>0.14*Table19[[#This Row],[النولون]]</f>
        <v>0</v>
      </c>
      <c r="K130" s="1">
        <f>Table19[[#This Row],[النولون]]+Table19[[#This Row],[الايصالات]]-Table19[[#This Row],[خصم أ ت ص]]+Table19[[#This Row],[قيمة مضافة]]</f>
        <v>0</v>
      </c>
      <c r="M130" s="1">
        <f>M129+Table19[[#This Row],[اجمالي الفاتوره]]-Table19[[#This Row],[الدفعات]]</f>
        <v>53530.729999999981</v>
      </c>
      <c r="O130" s="95"/>
    </row>
    <row r="131" spans="8:15" ht="24" customHeight="1" x14ac:dyDescent="0.3">
      <c r="H131" s="1">
        <f>0.14*Table19[[#This Row],[النولون]]</f>
        <v>0</v>
      </c>
      <c r="K131" s="1">
        <f>Table19[[#This Row],[النولون]]+Table19[[#This Row],[الايصالات]]-Table19[[#This Row],[خصم أ ت ص]]+Table19[[#This Row],[قيمة مضافة]]</f>
        <v>0</v>
      </c>
      <c r="M131" s="1">
        <f>M130+Table19[[#This Row],[اجمالي الفاتوره]]-Table19[[#This Row],[الدفعات]]</f>
        <v>53530.729999999981</v>
      </c>
      <c r="O131" s="95"/>
    </row>
    <row r="132" spans="8:15" ht="24" customHeight="1" x14ac:dyDescent="0.3">
      <c r="H132" s="1">
        <f>0.14*Table19[[#This Row],[النولون]]</f>
        <v>0</v>
      </c>
      <c r="K132" s="1">
        <f>Table19[[#This Row],[النولون]]+Table19[[#This Row],[الايصالات]]-Table19[[#This Row],[خصم أ ت ص]]+Table19[[#This Row],[قيمة مضافة]]</f>
        <v>0</v>
      </c>
      <c r="M132" s="1">
        <f>M131+Table19[[#This Row],[اجمالي الفاتوره]]-Table19[[#This Row],[الدفعات]]</f>
        <v>53530.729999999981</v>
      </c>
      <c r="O132" s="95"/>
    </row>
    <row r="133" spans="8:15" ht="24" customHeight="1" x14ac:dyDescent="0.3">
      <c r="H133" s="1">
        <f>0.14*Table19[[#This Row],[النولون]]</f>
        <v>0</v>
      </c>
      <c r="K133" s="1">
        <f>Table19[[#This Row],[النولون]]+Table19[[#This Row],[الايصالات]]-Table19[[#This Row],[خصم أ ت ص]]+Table19[[#This Row],[قيمة مضافة]]</f>
        <v>0</v>
      </c>
      <c r="M133" s="1">
        <f>M132+Table19[[#This Row],[اجمالي الفاتوره]]-Table19[[#This Row],[الدفعات]]</f>
        <v>53530.729999999981</v>
      </c>
      <c r="O133" s="95"/>
    </row>
    <row r="134" spans="8:15" ht="24" customHeight="1" x14ac:dyDescent="0.3">
      <c r="H134" s="1">
        <f>0.14*Table19[[#This Row],[النولون]]</f>
        <v>0</v>
      </c>
      <c r="K134" s="1">
        <f>Table19[[#This Row],[النولون]]+Table19[[#This Row],[الايصالات]]-Table19[[#This Row],[خصم أ ت ص]]+Table19[[#This Row],[قيمة مضافة]]</f>
        <v>0</v>
      </c>
      <c r="M134" s="1">
        <f>M133+Table19[[#This Row],[اجمالي الفاتوره]]-Table19[[#This Row],[الدفعات]]</f>
        <v>53530.729999999981</v>
      </c>
      <c r="O134" s="95"/>
    </row>
    <row r="135" spans="8:15" ht="24" customHeight="1" x14ac:dyDescent="0.3">
      <c r="H135" s="1">
        <f>0.14*Table19[[#This Row],[النولون]]</f>
        <v>0</v>
      </c>
      <c r="K135" s="1">
        <f>Table19[[#This Row],[النولون]]+Table19[[#This Row],[الايصالات]]-Table19[[#This Row],[خصم أ ت ص]]+Table19[[#This Row],[قيمة مضافة]]</f>
        <v>0</v>
      </c>
      <c r="M135" s="1">
        <f>M134+Table19[[#This Row],[اجمالي الفاتوره]]-Table19[[#This Row],[الدفعات]]</f>
        <v>53530.729999999981</v>
      </c>
      <c r="O135" s="95"/>
    </row>
    <row r="136" spans="8:15" ht="24" customHeight="1" x14ac:dyDescent="0.3">
      <c r="H136" s="1">
        <f>0.14*Table19[[#This Row],[النولون]]</f>
        <v>0</v>
      </c>
      <c r="K136" s="1">
        <f>Table19[[#This Row],[النولون]]+Table19[[#This Row],[الايصالات]]-Table19[[#This Row],[خصم أ ت ص]]+Table19[[#This Row],[قيمة مضافة]]</f>
        <v>0</v>
      </c>
      <c r="M136" s="1">
        <f>M135+Table19[[#This Row],[اجمالي الفاتوره]]-Table19[[#This Row],[الدفعات]]</f>
        <v>53530.729999999981</v>
      </c>
      <c r="O136" s="95"/>
    </row>
    <row r="137" spans="8:15" ht="24" customHeight="1" x14ac:dyDescent="0.3">
      <c r="H137" s="1">
        <f>0.14*Table19[[#This Row],[النولون]]</f>
        <v>0</v>
      </c>
      <c r="K137" s="1">
        <f>Table19[[#This Row],[النولون]]+Table19[[#This Row],[الايصالات]]-Table19[[#This Row],[خصم أ ت ص]]+Table19[[#This Row],[قيمة مضافة]]</f>
        <v>0</v>
      </c>
      <c r="M137" s="1">
        <f>M136+Table19[[#This Row],[اجمالي الفاتوره]]-Table19[[#This Row],[الدفعات]]</f>
        <v>53530.729999999981</v>
      </c>
      <c r="O137" s="95"/>
    </row>
    <row r="138" spans="8:15" ht="24" customHeight="1" x14ac:dyDescent="0.3">
      <c r="H138" s="1">
        <f>0.14*Table19[[#This Row],[النولون]]</f>
        <v>0</v>
      </c>
      <c r="K138" s="1">
        <f>Table19[[#This Row],[النولون]]+Table19[[#This Row],[الايصالات]]-Table19[[#This Row],[خصم أ ت ص]]+Table19[[#This Row],[قيمة مضافة]]</f>
        <v>0</v>
      </c>
      <c r="M138" s="1">
        <f>M137+Table19[[#This Row],[اجمالي الفاتوره]]-Table19[[#This Row],[الدفعات]]</f>
        <v>53530.729999999981</v>
      </c>
      <c r="O138" s="95"/>
    </row>
    <row r="139" spans="8:15" ht="24" customHeight="1" x14ac:dyDescent="0.3">
      <c r="H139" s="1">
        <f>0.14*Table19[[#This Row],[النولون]]</f>
        <v>0</v>
      </c>
      <c r="K139" s="1">
        <f>Table19[[#This Row],[النولون]]+Table19[[#This Row],[الايصالات]]-Table19[[#This Row],[خصم أ ت ص]]+Table19[[#This Row],[قيمة مضافة]]</f>
        <v>0</v>
      </c>
      <c r="M139" s="1">
        <f>M138+Table19[[#This Row],[اجمالي الفاتوره]]-Table19[[#This Row],[الدفعات]]</f>
        <v>53530.729999999981</v>
      </c>
      <c r="O139" s="95"/>
    </row>
    <row r="140" spans="8:15" ht="24" customHeight="1" x14ac:dyDescent="0.3">
      <c r="H140" s="1">
        <f>0.14*Table19[[#This Row],[النولون]]</f>
        <v>0</v>
      </c>
      <c r="K140" s="1">
        <f>Table19[[#This Row],[النولون]]+Table19[[#This Row],[الايصالات]]-Table19[[#This Row],[خصم أ ت ص]]+Table19[[#This Row],[قيمة مضافة]]</f>
        <v>0</v>
      </c>
      <c r="M140" s="1">
        <f>M139+Table19[[#This Row],[اجمالي الفاتوره]]-Table19[[#This Row],[الدفعات]]</f>
        <v>53530.729999999981</v>
      </c>
      <c r="O140" s="95"/>
    </row>
    <row r="141" spans="8:15" ht="24" customHeight="1" x14ac:dyDescent="0.3">
      <c r="H141" s="1">
        <f>0.14*Table19[[#This Row],[النولون]]</f>
        <v>0</v>
      </c>
      <c r="K141" s="1">
        <f>Table19[[#This Row],[النولون]]+Table19[[#This Row],[الايصالات]]-Table19[[#This Row],[خصم أ ت ص]]+Table19[[#This Row],[قيمة مضافة]]</f>
        <v>0</v>
      </c>
      <c r="M141" s="1">
        <f>M140+Table19[[#This Row],[اجمالي الفاتوره]]-Table19[[#This Row],[الدفعات]]</f>
        <v>53530.729999999981</v>
      </c>
      <c r="O141" s="95"/>
    </row>
    <row r="142" spans="8:15" ht="24" customHeight="1" x14ac:dyDescent="0.3">
      <c r="H142" s="1">
        <f>0.14*Table19[[#This Row],[النولون]]</f>
        <v>0</v>
      </c>
      <c r="K142" s="1">
        <f>Table19[[#This Row],[النولون]]+Table19[[#This Row],[الايصالات]]-Table19[[#This Row],[خصم أ ت ص]]+Table19[[#This Row],[قيمة مضافة]]</f>
        <v>0</v>
      </c>
      <c r="M142" s="1">
        <f>M141+Table19[[#This Row],[اجمالي الفاتوره]]-Table19[[#This Row],[الدفعات]]</f>
        <v>53530.729999999981</v>
      </c>
      <c r="O142" s="95"/>
    </row>
    <row r="143" spans="8:15" ht="24" customHeight="1" x14ac:dyDescent="0.3">
      <c r="H143" s="1">
        <f>0.14*Table19[[#This Row],[النولون]]</f>
        <v>0</v>
      </c>
      <c r="K143" s="1">
        <f>Table19[[#This Row],[النولون]]+Table19[[#This Row],[الايصالات]]-Table19[[#This Row],[خصم أ ت ص]]+Table19[[#This Row],[قيمة مضافة]]</f>
        <v>0</v>
      </c>
      <c r="M143" s="1">
        <f>M142+Table19[[#This Row],[اجمالي الفاتوره]]-Table19[[#This Row],[الدفعات]]</f>
        <v>53530.729999999981</v>
      </c>
      <c r="O143" s="95"/>
    </row>
    <row r="144" spans="8:15" ht="24" customHeight="1" x14ac:dyDescent="0.3">
      <c r="H144" s="1">
        <f>0.14*Table19[[#This Row],[النولون]]</f>
        <v>0</v>
      </c>
      <c r="K144" s="1">
        <f>Table19[[#This Row],[النولون]]+Table19[[#This Row],[الايصالات]]-Table19[[#This Row],[خصم أ ت ص]]+Table19[[#This Row],[قيمة مضافة]]</f>
        <v>0</v>
      </c>
      <c r="M144" s="1">
        <f>M143+Table19[[#This Row],[اجمالي الفاتوره]]-Table19[[#This Row],[الدفعات]]</f>
        <v>53530.729999999981</v>
      </c>
      <c r="O144" s="95"/>
    </row>
    <row r="145" spans="8:15" ht="24" customHeight="1" x14ac:dyDescent="0.3">
      <c r="H145" s="1">
        <f>0.14*Table19[[#This Row],[النولون]]</f>
        <v>0</v>
      </c>
      <c r="K145" s="1">
        <f>Table19[[#This Row],[النولون]]+Table19[[#This Row],[الايصالات]]-Table19[[#This Row],[خصم أ ت ص]]+Table19[[#This Row],[قيمة مضافة]]</f>
        <v>0</v>
      </c>
      <c r="M145" s="1">
        <f>M144+Table19[[#This Row],[اجمالي الفاتوره]]-Table19[[#This Row],[الدفعات]]</f>
        <v>53530.729999999981</v>
      </c>
      <c r="O145" s="95"/>
    </row>
    <row r="146" spans="8:15" ht="24" customHeight="1" x14ac:dyDescent="0.3">
      <c r="H146" s="1">
        <f>0.14*Table19[[#This Row],[النولون]]</f>
        <v>0</v>
      </c>
      <c r="K146" s="1">
        <f>Table19[[#This Row],[النولون]]+Table19[[#This Row],[الايصالات]]-Table19[[#This Row],[خصم أ ت ص]]+Table19[[#This Row],[قيمة مضافة]]</f>
        <v>0</v>
      </c>
      <c r="M146" s="1">
        <f>M145+Table19[[#This Row],[اجمالي الفاتوره]]-Table19[[#This Row],[الدفعات]]</f>
        <v>53530.729999999981</v>
      </c>
      <c r="O146" s="95"/>
    </row>
    <row r="147" spans="8:15" ht="24" customHeight="1" x14ac:dyDescent="0.3">
      <c r="H147" s="1">
        <f>0.14*Table19[[#This Row],[النولون]]</f>
        <v>0</v>
      </c>
      <c r="K147" s="1">
        <f>Table19[[#This Row],[النولون]]+Table19[[#This Row],[الايصالات]]-Table19[[#This Row],[خصم أ ت ص]]+Table19[[#This Row],[قيمة مضافة]]</f>
        <v>0</v>
      </c>
      <c r="M147" s="1">
        <f>M146+Table19[[#This Row],[اجمالي الفاتوره]]-Table19[[#This Row],[الدفعات]]</f>
        <v>53530.729999999981</v>
      </c>
      <c r="O147" s="95"/>
    </row>
    <row r="148" spans="8:15" ht="24" customHeight="1" x14ac:dyDescent="0.3">
      <c r="H148" s="1">
        <f>0.14*Table19[[#This Row],[النولون]]</f>
        <v>0</v>
      </c>
      <c r="K148" s="1">
        <f>Table19[[#This Row],[النولون]]+Table19[[#This Row],[الايصالات]]-Table19[[#This Row],[خصم أ ت ص]]+Table19[[#This Row],[قيمة مضافة]]</f>
        <v>0</v>
      </c>
      <c r="M148" s="1">
        <f>M147+Table19[[#This Row],[اجمالي الفاتوره]]-Table19[[#This Row],[الدفعات]]</f>
        <v>53530.729999999981</v>
      </c>
      <c r="O148" s="95"/>
    </row>
    <row r="149" spans="8:15" ht="24" customHeight="1" x14ac:dyDescent="0.3">
      <c r="H149" s="1">
        <f>0.14*Table19[[#This Row],[النولون]]</f>
        <v>0</v>
      </c>
      <c r="K149" s="1">
        <f>Table19[[#This Row],[النولون]]+Table19[[#This Row],[الايصالات]]-Table19[[#This Row],[خصم أ ت ص]]+Table19[[#This Row],[قيمة مضافة]]</f>
        <v>0</v>
      </c>
      <c r="M149" s="1">
        <f>M148+Table19[[#This Row],[اجمالي الفاتوره]]-Table19[[#This Row],[الدفعات]]</f>
        <v>53530.729999999981</v>
      </c>
      <c r="O149" s="95"/>
    </row>
    <row r="150" spans="8:15" ht="24" customHeight="1" x14ac:dyDescent="0.3">
      <c r="H150" s="1">
        <f>0.14*Table19[[#This Row],[النولون]]</f>
        <v>0</v>
      </c>
      <c r="K150" s="1">
        <f>Table19[[#This Row],[النولون]]+Table19[[#This Row],[الايصالات]]-Table19[[#This Row],[خصم أ ت ص]]+Table19[[#This Row],[قيمة مضافة]]</f>
        <v>0</v>
      </c>
      <c r="M150" s="1">
        <f>M149+Table19[[#This Row],[اجمالي الفاتوره]]-Table19[[#This Row],[الدفعات]]</f>
        <v>53530.729999999981</v>
      </c>
      <c r="O150" s="95"/>
    </row>
    <row r="151" spans="8:15" ht="24" customHeight="1" x14ac:dyDescent="0.3">
      <c r="H151" s="1">
        <f>0.14*Table19[[#This Row],[النولون]]</f>
        <v>0</v>
      </c>
      <c r="K151" s="1">
        <f>Table19[[#This Row],[النولون]]+Table19[[#This Row],[الايصالات]]-Table19[[#This Row],[خصم أ ت ص]]+Table19[[#This Row],[قيمة مضافة]]</f>
        <v>0</v>
      </c>
      <c r="M151" s="1">
        <f>M150+Table19[[#This Row],[اجمالي الفاتوره]]-Table19[[#This Row],[الدفعات]]</f>
        <v>53530.729999999981</v>
      </c>
      <c r="O151" s="95"/>
    </row>
    <row r="152" spans="8:15" ht="24" customHeight="1" x14ac:dyDescent="0.3">
      <c r="H152" s="1">
        <f>0.14*Table19[[#This Row],[النولون]]</f>
        <v>0</v>
      </c>
      <c r="K152" s="1">
        <f>Table19[[#This Row],[النولون]]+Table19[[#This Row],[الايصالات]]-Table19[[#This Row],[خصم أ ت ص]]+Table19[[#This Row],[قيمة مضافة]]</f>
        <v>0</v>
      </c>
      <c r="M152" s="1">
        <f>M151+Table19[[#This Row],[اجمالي الفاتوره]]-Table19[[#This Row],[الدفعات]]</f>
        <v>53530.729999999981</v>
      </c>
      <c r="O152" s="95"/>
    </row>
    <row r="153" spans="8:15" ht="24" customHeight="1" x14ac:dyDescent="0.3">
      <c r="H153" s="1">
        <f>0.14*Table19[[#This Row],[النولون]]</f>
        <v>0</v>
      </c>
      <c r="K153" s="1">
        <f>Table19[[#This Row],[النولون]]+Table19[[#This Row],[الايصالات]]-Table19[[#This Row],[خصم أ ت ص]]+Table19[[#This Row],[قيمة مضافة]]</f>
        <v>0</v>
      </c>
      <c r="M153" s="1">
        <f>M152+Table19[[#This Row],[اجمالي الفاتوره]]-Table19[[#This Row],[الدفعات]]</f>
        <v>53530.729999999981</v>
      </c>
      <c r="O153" s="95"/>
    </row>
    <row r="154" spans="8:15" ht="24" customHeight="1" x14ac:dyDescent="0.3">
      <c r="H154" s="1">
        <f>0.14*Table19[[#This Row],[النولون]]</f>
        <v>0</v>
      </c>
      <c r="K154" s="1">
        <f>Table19[[#This Row],[النولون]]+Table19[[#This Row],[الايصالات]]-Table19[[#This Row],[خصم أ ت ص]]+Table19[[#This Row],[قيمة مضافة]]</f>
        <v>0</v>
      </c>
      <c r="M154" s="1">
        <f>M153+Table19[[#This Row],[اجمالي الفاتوره]]-Table19[[#This Row],[الدفعات]]</f>
        <v>53530.729999999981</v>
      </c>
      <c r="O154" s="95"/>
    </row>
    <row r="155" spans="8:15" ht="24" customHeight="1" x14ac:dyDescent="0.3">
      <c r="H155" s="1">
        <f>0.14*Table19[[#This Row],[النولون]]</f>
        <v>0</v>
      </c>
      <c r="K155" s="1">
        <f>Table19[[#This Row],[النولون]]+Table19[[#This Row],[الايصالات]]-Table19[[#This Row],[خصم أ ت ص]]+Table19[[#This Row],[قيمة مضافة]]</f>
        <v>0</v>
      </c>
      <c r="M155" s="1">
        <f>M154+Table19[[#This Row],[اجمالي الفاتوره]]-Table19[[#This Row],[الدفعات]]</f>
        <v>53530.729999999981</v>
      </c>
      <c r="O155" s="95"/>
    </row>
    <row r="156" spans="8:15" ht="24" customHeight="1" x14ac:dyDescent="0.3">
      <c r="H156" s="1">
        <f>0.14*Table19[[#This Row],[النولون]]</f>
        <v>0</v>
      </c>
      <c r="K156" s="1">
        <f>Table19[[#This Row],[النولون]]+Table19[[#This Row],[الايصالات]]-Table19[[#This Row],[خصم أ ت ص]]+Table19[[#This Row],[قيمة مضافة]]</f>
        <v>0</v>
      </c>
      <c r="M156" s="1">
        <f>M155+Table19[[#This Row],[اجمالي الفاتوره]]-Table19[[#This Row],[الدفعات]]</f>
        <v>53530.729999999981</v>
      </c>
      <c r="O156" s="95"/>
    </row>
    <row r="157" spans="8:15" ht="24" customHeight="1" x14ac:dyDescent="0.3">
      <c r="H157" s="1">
        <f>0.14*Table19[[#This Row],[النولون]]</f>
        <v>0</v>
      </c>
      <c r="K157" s="1">
        <f>Table19[[#This Row],[النولون]]+Table19[[#This Row],[الايصالات]]-Table19[[#This Row],[خصم أ ت ص]]+Table19[[#This Row],[قيمة مضافة]]</f>
        <v>0</v>
      </c>
      <c r="M157" s="1">
        <f>M156+Table19[[#This Row],[اجمالي الفاتوره]]-Table19[[#This Row],[الدفعات]]</f>
        <v>53530.729999999981</v>
      </c>
      <c r="O157" s="95"/>
    </row>
    <row r="158" spans="8:15" ht="24" customHeight="1" x14ac:dyDescent="0.3">
      <c r="H158" s="1">
        <f>0.14*Table19[[#This Row],[النولون]]</f>
        <v>0</v>
      </c>
      <c r="K158" s="1">
        <f>Table19[[#This Row],[النولون]]+Table19[[#This Row],[الايصالات]]-Table19[[#This Row],[خصم أ ت ص]]+Table19[[#This Row],[قيمة مضافة]]</f>
        <v>0</v>
      </c>
      <c r="M158" s="1">
        <f>M157+Table19[[#This Row],[اجمالي الفاتوره]]-Table19[[#This Row],[الدفعات]]</f>
        <v>53530.729999999981</v>
      </c>
      <c r="O158" s="95"/>
    </row>
    <row r="159" spans="8:15" ht="24" customHeight="1" x14ac:dyDescent="0.3">
      <c r="H159" s="1">
        <f>0.14*Table19[[#This Row],[النولون]]</f>
        <v>0</v>
      </c>
      <c r="K159" s="1">
        <f>Table19[[#This Row],[النولون]]+Table19[[#This Row],[الايصالات]]-Table19[[#This Row],[خصم أ ت ص]]+Table19[[#This Row],[قيمة مضافة]]</f>
        <v>0</v>
      </c>
      <c r="M159" s="1">
        <f>M158+Table19[[#This Row],[اجمالي الفاتوره]]-Table19[[#This Row],[الدفعات]]</f>
        <v>53530.729999999981</v>
      </c>
      <c r="O159" s="95"/>
    </row>
    <row r="160" spans="8:15" ht="24" customHeight="1" x14ac:dyDescent="0.3">
      <c r="H160" s="1">
        <f>0.14*Table19[[#This Row],[النولون]]</f>
        <v>0</v>
      </c>
      <c r="K160" s="1">
        <f>Table19[[#This Row],[النولون]]+Table19[[#This Row],[الايصالات]]-Table19[[#This Row],[خصم أ ت ص]]+Table19[[#This Row],[قيمة مضافة]]</f>
        <v>0</v>
      </c>
      <c r="M160" s="1">
        <f>M159+Table19[[#This Row],[اجمالي الفاتوره]]-Table19[[#This Row],[الدفعات]]</f>
        <v>53530.729999999981</v>
      </c>
      <c r="O160" s="95"/>
    </row>
    <row r="161" spans="8:15" ht="24" customHeight="1" x14ac:dyDescent="0.3">
      <c r="H161" s="1">
        <f>0.14*Table19[[#This Row],[النولون]]</f>
        <v>0</v>
      </c>
      <c r="K161" s="1">
        <f>Table19[[#This Row],[النولون]]+Table19[[#This Row],[الايصالات]]-Table19[[#This Row],[خصم أ ت ص]]+Table19[[#This Row],[قيمة مضافة]]</f>
        <v>0</v>
      </c>
      <c r="M161" s="1">
        <f>M160+Table19[[#This Row],[اجمالي الفاتوره]]-Table19[[#This Row],[الدفعات]]</f>
        <v>53530.729999999981</v>
      </c>
      <c r="O161" s="95"/>
    </row>
    <row r="162" spans="8:15" ht="24" customHeight="1" x14ac:dyDescent="0.3">
      <c r="H162" s="1">
        <f>0.14*Table19[[#This Row],[النولون]]</f>
        <v>0</v>
      </c>
      <c r="K162" s="1">
        <f>Table19[[#This Row],[النولون]]+Table19[[#This Row],[الايصالات]]-Table19[[#This Row],[خصم أ ت ص]]+Table19[[#This Row],[قيمة مضافة]]</f>
        <v>0</v>
      </c>
      <c r="M162" s="1">
        <f>M161+Table19[[#This Row],[اجمالي الفاتوره]]-Table19[[#This Row],[الدفعات]]</f>
        <v>53530.729999999981</v>
      </c>
      <c r="O162" s="95"/>
    </row>
    <row r="163" spans="8:15" ht="24" customHeight="1" x14ac:dyDescent="0.3">
      <c r="H163" s="1">
        <f>0.14*Table19[[#This Row],[النولون]]</f>
        <v>0</v>
      </c>
      <c r="K163" s="1">
        <f>Table19[[#This Row],[النولون]]+Table19[[#This Row],[الايصالات]]-Table19[[#This Row],[خصم أ ت ص]]+Table19[[#This Row],[قيمة مضافة]]</f>
        <v>0</v>
      </c>
      <c r="M163" s="1">
        <f>M162+Table19[[#This Row],[اجمالي الفاتوره]]-Table19[[#This Row],[الدفعات]]</f>
        <v>53530.729999999981</v>
      </c>
      <c r="O163" s="95"/>
    </row>
    <row r="164" spans="8:15" ht="24" customHeight="1" x14ac:dyDescent="0.3">
      <c r="H164" s="1">
        <f>0.14*Table19[[#This Row],[النولون]]</f>
        <v>0</v>
      </c>
      <c r="K164" s="1">
        <f>Table19[[#This Row],[النولون]]+Table19[[#This Row],[الايصالات]]-Table19[[#This Row],[خصم أ ت ص]]+Table19[[#This Row],[قيمة مضافة]]</f>
        <v>0</v>
      </c>
      <c r="M164" s="1">
        <f>M163+Table19[[#This Row],[اجمالي الفاتوره]]-Table19[[#This Row],[الدفعات]]</f>
        <v>53530.729999999981</v>
      </c>
      <c r="O164" s="95"/>
    </row>
    <row r="165" spans="8:15" ht="24" customHeight="1" x14ac:dyDescent="0.3">
      <c r="H165" s="1">
        <f>0.14*Table19[[#This Row],[النولون]]</f>
        <v>0</v>
      </c>
      <c r="K165" s="1">
        <f>Table19[[#This Row],[النولون]]+Table19[[#This Row],[الايصالات]]-Table19[[#This Row],[خصم أ ت ص]]+Table19[[#This Row],[قيمة مضافة]]</f>
        <v>0</v>
      </c>
      <c r="M165" s="1">
        <f>M164+Table19[[#This Row],[اجمالي الفاتوره]]-Table19[[#This Row],[الدفعات]]</f>
        <v>53530.729999999981</v>
      </c>
      <c r="O165" s="95"/>
    </row>
    <row r="166" spans="8:15" ht="24" customHeight="1" x14ac:dyDescent="0.3">
      <c r="H166" s="1">
        <f>0.14*Table19[[#This Row],[النولون]]</f>
        <v>0</v>
      </c>
      <c r="K166" s="1">
        <f>Table19[[#This Row],[النولون]]+Table19[[#This Row],[الايصالات]]-Table19[[#This Row],[خصم أ ت ص]]+Table19[[#This Row],[قيمة مضافة]]</f>
        <v>0</v>
      </c>
      <c r="M166" s="1">
        <f>M165+Table19[[#This Row],[اجمالي الفاتوره]]-Table19[[#This Row],[الدفعات]]</f>
        <v>53530.729999999981</v>
      </c>
      <c r="O166" s="95"/>
    </row>
    <row r="167" spans="8:15" ht="24" customHeight="1" x14ac:dyDescent="0.3">
      <c r="H167" s="1">
        <f>0.14*Table19[[#This Row],[النولون]]</f>
        <v>0</v>
      </c>
      <c r="K167" s="1">
        <f>Table19[[#This Row],[النولون]]+Table19[[#This Row],[الايصالات]]-Table19[[#This Row],[خصم أ ت ص]]+Table19[[#This Row],[قيمة مضافة]]</f>
        <v>0</v>
      </c>
      <c r="M167" s="1">
        <f>M166+Table19[[#This Row],[اجمالي الفاتوره]]-Table19[[#This Row],[الدفعات]]</f>
        <v>53530.729999999981</v>
      </c>
      <c r="O167" s="95"/>
    </row>
    <row r="168" spans="8:15" ht="24" customHeight="1" x14ac:dyDescent="0.3">
      <c r="H168" s="1">
        <f>0.14*Table19[[#This Row],[النولون]]</f>
        <v>0</v>
      </c>
      <c r="K168" s="1">
        <f>Table19[[#This Row],[النولون]]+Table19[[#This Row],[الايصالات]]-Table19[[#This Row],[خصم أ ت ص]]+Table19[[#This Row],[قيمة مضافة]]</f>
        <v>0</v>
      </c>
      <c r="M168" s="1">
        <f>M167+Table19[[#This Row],[اجمالي الفاتوره]]-Table19[[#This Row],[الدفعات]]</f>
        <v>53530.729999999981</v>
      </c>
      <c r="O168" s="95"/>
    </row>
    <row r="169" spans="8:15" ht="24" customHeight="1" x14ac:dyDescent="0.3">
      <c r="H169" s="1">
        <f>0.14*Table19[[#This Row],[النولون]]</f>
        <v>0</v>
      </c>
      <c r="K169" s="1">
        <f>Table19[[#This Row],[النولون]]+Table19[[#This Row],[الايصالات]]-Table19[[#This Row],[خصم أ ت ص]]+Table19[[#This Row],[قيمة مضافة]]</f>
        <v>0</v>
      </c>
      <c r="M169" s="1">
        <f>M168+Table19[[#This Row],[اجمالي الفاتوره]]-Table19[[#This Row],[الدفعات]]</f>
        <v>53530.729999999981</v>
      </c>
      <c r="O169" s="95"/>
    </row>
    <row r="170" spans="8:15" ht="24" customHeight="1" x14ac:dyDescent="0.3">
      <c r="H170" s="1">
        <f>0.14*Table19[[#This Row],[النولون]]</f>
        <v>0</v>
      </c>
      <c r="K170" s="1">
        <f>Table19[[#This Row],[النولون]]+Table19[[#This Row],[الايصالات]]-Table19[[#This Row],[خصم أ ت ص]]+Table19[[#This Row],[قيمة مضافة]]</f>
        <v>0</v>
      </c>
      <c r="M170" s="1">
        <f>M169+Table19[[#This Row],[اجمالي الفاتوره]]-Table19[[#This Row],[الدفعات]]</f>
        <v>53530.729999999981</v>
      </c>
      <c r="O170" s="95"/>
    </row>
    <row r="171" spans="8:15" ht="24" customHeight="1" x14ac:dyDescent="0.3">
      <c r="H171" s="1">
        <f>0.14*Table19[[#This Row],[النولون]]</f>
        <v>0</v>
      </c>
      <c r="K171" s="1">
        <f>Table19[[#This Row],[النولون]]+Table19[[#This Row],[الايصالات]]-Table19[[#This Row],[خصم أ ت ص]]+Table19[[#This Row],[قيمة مضافة]]</f>
        <v>0</v>
      </c>
      <c r="M171" s="1">
        <f>M170+Table19[[#This Row],[اجمالي الفاتوره]]-Table19[[#This Row],[الدفعات]]</f>
        <v>53530.729999999981</v>
      </c>
      <c r="O171" s="95"/>
    </row>
    <row r="172" spans="8:15" ht="24" customHeight="1" x14ac:dyDescent="0.3">
      <c r="H172" s="1">
        <f>0.14*Table19[[#This Row],[النولون]]</f>
        <v>0</v>
      </c>
      <c r="K172" s="1">
        <f>Table19[[#This Row],[النولون]]+Table19[[#This Row],[الايصالات]]-Table19[[#This Row],[خصم أ ت ص]]+Table19[[#This Row],[قيمة مضافة]]</f>
        <v>0</v>
      </c>
      <c r="M172" s="1">
        <f>M171+Table19[[#This Row],[اجمالي الفاتوره]]-Table19[[#This Row],[الدفعات]]</f>
        <v>53530.729999999981</v>
      </c>
      <c r="O172" s="95"/>
    </row>
    <row r="173" spans="8:15" ht="24" customHeight="1" x14ac:dyDescent="0.3">
      <c r="H173" s="1">
        <f>0.14*Table19[[#This Row],[النولون]]</f>
        <v>0</v>
      </c>
      <c r="K173" s="1">
        <f>Table19[[#This Row],[النولون]]+Table19[[#This Row],[الايصالات]]-Table19[[#This Row],[خصم أ ت ص]]+Table19[[#This Row],[قيمة مضافة]]</f>
        <v>0</v>
      </c>
      <c r="M173" s="1">
        <f>M172+Table19[[#This Row],[اجمالي الفاتوره]]-Table19[[#This Row],[الدفعات]]</f>
        <v>53530.729999999981</v>
      </c>
      <c r="O173" s="95"/>
    </row>
    <row r="174" spans="8:15" ht="24" customHeight="1" x14ac:dyDescent="0.3">
      <c r="H174" s="1">
        <f>0.14*Table19[[#This Row],[النولون]]</f>
        <v>0</v>
      </c>
      <c r="K174" s="1">
        <f>Table19[[#This Row],[النولون]]+Table19[[#This Row],[الايصالات]]-Table19[[#This Row],[خصم أ ت ص]]+Table19[[#This Row],[قيمة مضافة]]</f>
        <v>0</v>
      </c>
      <c r="M174" s="1">
        <f>M173+Table19[[#This Row],[اجمالي الفاتوره]]-Table19[[#This Row],[الدفعات]]</f>
        <v>53530.729999999981</v>
      </c>
      <c r="O174" s="95"/>
    </row>
    <row r="175" spans="8:15" ht="24" customHeight="1" x14ac:dyDescent="0.3">
      <c r="H175" s="1">
        <f>0.14*Table19[[#This Row],[النولون]]</f>
        <v>0</v>
      </c>
      <c r="K175" s="1">
        <f>Table19[[#This Row],[النولون]]+Table19[[#This Row],[الايصالات]]-Table19[[#This Row],[خصم أ ت ص]]+Table19[[#This Row],[قيمة مضافة]]</f>
        <v>0</v>
      </c>
      <c r="M175" s="1">
        <f>M174+Table19[[#This Row],[اجمالي الفاتوره]]-Table19[[#This Row],[الدفعات]]</f>
        <v>53530.729999999981</v>
      </c>
      <c r="O175" s="95"/>
    </row>
    <row r="176" spans="8:15" ht="24" customHeight="1" x14ac:dyDescent="0.3">
      <c r="H176" s="1">
        <f>0.14*Table19[[#This Row],[النولون]]</f>
        <v>0</v>
      </c>
      <c r="K176" s="1">
        <f>Table19[[#This Row],[النولون]]+Table19[[#This Row],[الايصالات]]-Table19[[#This Row],[خصم أ ت ص]]+Table19[[#This Row],[قيمة مضافة]]</f>
        <v>0</v>
      </c>
      <c r="M176" s="1">
        <f>M175+Table19[[#This Row],[اجمالي الفاتوره]]-Table19[[#This Row],[الدفعات]]</f>
        <v>53530.729999999981</v>
      </c>
      <c r="O176" s="95"/>
    </row>
    <row r="177" spans="8:15" ht="24" customHeight="1" x14ac:dyDescent="0.3">
      <c r="H177" s="1">
        <f>0.14*Table19[[#This Row],[النولون]]</f>
        <v>0</v>
      </c>
      <c r="K177" s="1">
        <f>Table19[[#This Row],[النولون]]+Table19[[#This Row],[الايصالات]]-Table19[[#This Row],[خصم أ ت ص]]+Table19[[#This Row],[قيمة مضافة]]</f>
        <v>0</v>
      </c>
      <c r="M177" s="1">
        <f>M176+Table19[[#This Row],[اجمالي الفاتوره]]-Table19[[#This Row],[الدفعات]]</f>
        <v>53530.729999999981</v>
      </c>
      <c r="O177" s="95"/>
    </row>
    <row r="178" spans="8:15" ht="24" customHeight="1" x14ac:dyDescent="0.3">
      <c r="H178" s="1">
        <f>0.14*Table19[[#This Row],[النولون]]</f>
        <v>0</v>
      </c>
      <c r="K178" s="1">
        <f>Table19[[#This Row],[النولون]]+Table19[[#This Row],[الايصالات]]-Table19[[#This Row],[خصم أ ت ص]]+Table19[[#This Row],[قيمة مضافة]]</f>
        <v>0</v>
      </c>
      <c r="M178" s="1">
        <f>M177+Table19[[#This Row],[اجمالي الفاتوره]]-Table19[[#This Row],[الدفعات]]</f>
        <v>53530.729999999981</v>
      </c>
      <c r="O178" s="95"/>
    </row>
    <row r="179" spans="8:15" ht="24" customHeight="1" x14ac:dyDescent="0.3">
      <c r="H179" s="1">
        <f>0.14*Table19[[#This Row],[النولون]]</f>
        <v>0</v>
      </c>
      <c r="K179" s="1">
        <f>Table19[[#This Row],[النولون]]+Table19[[#This Row],[الايصالات]]-Table19[[#This Row],[خصم أ ت ص]]+Table19[[#This Row],[قيمة مضافة]]</f>
        <v>0</v>
      </c>
      <c r="M179" s="1">
        <f>M178+Table19[[#This Row],[اجمالي الفاتوره]]-Table19[[#This Row],[الدفعات]]</f>
        <v>53530.729999999981</v>
      </c>
      <c r="O179" s="95"/>
    </row>
    <row r="180" spans="8:15" ht="24" customHeight="1" x14ac:dyDescent="0.3">
      <c r="H180" s="1">
        <f>0.14*Table19[[#This Row],[النولون]]</f>
        <v>0</v>
      </c>
      <c r="K180" s="1">
        <f>Table19[[#This Row],[النولون]]+Table19[[#This Row],[الايصالات]]-Table19[[#This Row],[خصم أ ت ص]]+Table19[[#This Row],[قيمة مضافة]]</f>
        <v>0</v>
      </c>
      <c r="M180" s="1">
        <f>M179+Table19[[#This Row],[اجمالي الفاتوره]]-Table19[[#This Row],[الدفعات]]</f>
        <v>53530.729999999981</v>
      </c>
      <c r="O180" s="95"/>
    </row>
    <row r="181" spans="8:15" ht="24" customHeight="1" x14ac:dyDescent="0.3">
      <c r="H181" s="1">
        <f>0.14*Table19[[#This Row],[النولون]]</f>
        <v>0</v>
      </c>
      <c r="K181" s="1">
        <f>Table19[[#This Row],[النولون]]+Table19[[#This Row],[الايصالات]]-Table19[[#This Row],[خصم أ ت ص]]+Table19[[#This Row],[قيمة مضافة]]</f>
        <v>0</v>
      </c>
      <c r="M181" s="1">
        <f>M180+Table19[[#This Row],[اجمالي الفاتوره]]-Table19[[#This Row],[الدفعات]]</f>
        <v>53530.729999999981</v>
      </c>
      <c r="O181" s="95"/>
    </row>
    <row r="182" spans="8:15" ht="24" customHeight="1" x14ac:dyDescent="0.3">
      <c r="H182" s="1">
        <f>0.14*Table19[[#This Row],[النولون]]</f>
        <v>0</v>
      </c>
      <c r="K182" s="1">
        <f>Table19[[#This Row],[النولون]]+Table19[[#This Row],[الايصالات]]-Table19[[#This Row],[خصم أ ت ص]]+Table19[[#This Row],[قيمة مضافة]]</f>
        <v>0</v>
      </c>
      <c r="M182" s="1">
        <f>M181+Table19[[#This Row],[اجمالي الفاتوره]]-Table19[[#This Row],[الدفعات]]</f>
        <v>53530.729999999981</v>
      </c>
      <c r="O182" s="95"/>
    </row>
    <row r="183" spans="8:15" ht="24" customHeight="1" x14ac:dyDescent="0.3">
      <c r="H183" s="1">
        <f>0.14*Table19[[#This Row],[النولون]]</f>
        <v>0</v>
      </c>
      <c r="K183" s="1">
        <f>Table19[[#This Row],[النولون]]+Table19[[#This Row],[الايصالات]]-Table19[[#This Row],[خصم أ ت ص]]+Table19[[#This Row],[قيمة مضافة]]</f>
        <v>0</v>
      </c>
      <c r="M183" s="1">
        <f>M182+Table19[[#This Row],[اجمالي الفاتوره]]-Table19[[#This Row],[الدفعات]]</f>
        <v>53530.729999999981</v>
      </c>
      <c r="O183" s="95"/>
    </row>
    <row r="184" spans="8:15" ht="24" customHeight="1" x14ac:dyDescent="0.3">
      <c r="H184" s="1">
        <f>0.14*Table19[[#This Row],[النولون]]</f>
        <v>0</v>
      </c>
      <c r="K184" s="1">
        <f>Table19[[#This Row],[النولون]]+Table19[[#This Row],[الايصالات]]-Table19[[#This Row],[خصم أ ت ص]]+Table19[[#This Row],[قيمة مضافة]]</f>
        <v>0</v>
      </c>
      <c r="M184" s="1">
        <f>M183+Table19[[#This Row],[اجمالي الفاتوره]]-Table19[[#This Row],[الدفعات]]</f>
        <v>53530.729999999981</v>
      </c>
      <c r="O184" s="95"/>
    </row>
    <row r="185" spans="8:15" ht="24" customHeight="1" x14ac:dyDescent="0.3">
      <c r="H185" s="1">
        <f>0.14*Table19[[#This Row],[النولون]]</f>
        <v>0</v>
      </c>
      <c r="K185" s="1">
        <f>Table19[[#This Row],[النولون]]+Table19[[#This Row],[الايصالات]]-Table19[[#This Row],[خصم أ ت ص]]+Table19[[#This Row],[قيمة مضافة]]</f>
        <v>0</v>
      </c>
      <c r="M185" s="1">
        <f>M184+Table19[[#This Row],[اجمالي الفاتوره]]-Table19[[#This Row],[الدفعات]]</f>
        <v>53530.729999999981</v>
      </c>
      <c r="O185" s="95"/>
    </row>
    <row r="186" spans="8:15" ht="24" customHeight="1" x14ac:dyDescent="0.3">
      <c r="H186" s="1">
        <f>0.14*Table19[[#This Row],[النولون]]</f>
        <v>0</v>
      </c>
      <c r="K186" s="1">
        <f>Table19[[#This Row],[النولون]]+Table19[[#This Row],[الايصالات]]-Table19[[#This Row],[خصم أ ت ص]]+Table19[[#This Row],[قيمة مضافة]]</f>
        <v>0</v>
      </c>
      <c r="M186" s="1">
        <f>M185+Table19[[#This Row],[اجمالي الفاتوره]]-Table19[[#This Row],[الدفعات]]</f>
        <v>53530.729999999981</v>
      </c>
      <c r="O186" s="95"/>
    </row>
    <row r="187" spans="8:15" ht="24" customHeight="1" x14ac:dyDescent="0.3">
      <c r="H187" s="1">
        <f>0.14*Table19[[#This Row],[النولون]]</f>
        <v>0</v>
      </c>
      <c r="K187" s="1">
        <f>Table19[[#This Row],[النولون]]+Table19[[#This Row],[الايصالات]]-Table19[[#This Row],[خصم أ ت ص]]+Table19[[#This Row],[قيمة مضافة]]</f>
        <v>0</v>
      </c>
      <c r="M187" s="1">
        <f>M186+Table19[[#This Row],[اجمالي الفاتوره]]-Table19[[#This Row],[الدفعات]]</f>
        <v>53530.729999999981</v>
      </c>
      <c r="O187" s="95"/>
    </row>
    <row r="188" spans="8:15" ht="24" customHeight="1" x14ac:dyDescent="0.3">
      <c r="H188" s="1">
        <f>0.14*Table19[[#This Row],[النولون]]</f>
        <v>0</v>
      </c>
      <c r="K188" s="1">
        <f>Table19[[#This Row],[النولون]]+Table19[[#This Row],[الايصالات]]-Table19[[#This Row],[خصم أ ت ص]]+Table19[[#This Row],[قيمة مضافة]]</f>
        <v>0</v>
      </c>
      <c r="M188" s="1">
        <f>M187+Table19[[#This Row],[اجمالي الفاتوره]]-Table19[[#This Row],[الدفعات]]</f>
        <v>53530.729999999981</v>
      </c>
      <c r="O188" s="95"/>
    </row>
    <row r="189" spans="8:15" ht="24" customHeight="1" x14ac:dyDescent="0.3">
      <c r="H189" s="1">
        <f>0.14*Table19[[#This Row],[النولون]]</f>
        <v>0</v>
      </c>
      <c r="K189" s="1">
        <f>Table19[[#This Row],[النولون]]+Table19[[#This Row],[الايصالات]]-Table19[[#This Row],[خصم أ ت ص]]+Table19[[#This Row],[قيمة مضافة]]</f>
        <v>0</v>
      </c>
      <c r="M189" s="1">
        <f>M188+Table19[[#This Row],[اجمالي الفاتوره]]-Table19[[#This Row],[الدفعات]]</f>
        <v>53530.729999999981</v>
      </c>
      <c r="O189" s="95"/>
    </row>
    <row r="190" spans="8:15" ht="24" customHeight="1" x14ac:dyDescent="0.3">
      <c r="H190" s="1">
        <f>0.14*Table19[[#This Row],[النولون]]</f>
        <v>0</v>
      </c>
      <c r="K190" s="1">
        <f>Table19[[#This Row],[النولون]]+Table19[[#This Row],[الايصالات]]-Table19[[#This Row],[خصم أ ت ص]]+Table19[[#This Row],[قيمة مضافة]]</f>
        <v>0</v>
      </c>
      <c r="M190" s="1">
        <f>M189+Table19[[#This Row],[اجمالي الفاتوره]]-Table19[[#This Row],[الدفعات]]</f>
        <v>53530.729999999981</v>
      </c>
      <c r="O190" s="95"/>
    </row>
    <row r="191" spans="8:15" ht="24" customHeight="1" x14ac:dyDescent="0.3">
      <c r="H191" s="1">
        <f>0.14*Table19[[#This Row],[النولون]]</f>
        <v>0</v>
      </c>
      <c r="K191" s="1">
        <f>Table19[[#This Row],[النولون]]+Table19[[#This Row],[الايصالات]]-Table19[[#This Row],[خصم أ ت ص]]+Table19[[#This Row],[قيمة مضافة]]</f>
        <v>0</v>
      </c>
      <c r="M191" s="1">
        <f>M190+Table19[[#This Row],[اجمالي الفاتوره]]-Table19[[#This Row],[الدفعات]]</f>
        <v>53530.729999999981</v>
      </c>
      <c r="O191" s="95"/>
    </row>
    <row r="192" spans="8:15" ht="24" customHeight="1" x14ac:dyDescent="0.3">
      <c r="H192" s="1">
        <f>0.14*Table19[[#This Row],[النولون]]</f>
        <v>0</v>
      </c>
      <c r="K192" s="1">
        <f>Table19[[#This Row],[النولون]]+Table19[[#This Row],[الايصالات]]-Table19[[#This Row],[خصم أ ت ص]]+Table19[[#This Row],[قيمة مضافة]]</f>
        <v>0</v>
      </c>
      <c r="M192" s="1">
        <f>M191+Table19[[#This Row],[اجمالي الفاتوره]]-Table19[[#This Row],[الدفعات]]</f>
        <v>53530.729999999981</v>
      </c>
      <c r="O192" s="95"/>
    </row>
    <row r="193" spans="8:15" ht="24" customHeight="1" x14ac:dyDescent="0.3">
      <c r="H193" s="1">
        <f>0.14*Table19[[#This Row],[النولون]]</f>
        <v>0</v>
      </c>
      <c r="K193" s="1">
        <f>Table19[[#This Row],[النولون]]+Table19[[#This Row],[الايصالات]]-Table19[[#This Row],[خصم أ ت ص]]+Table19[[#This Row],[قيمة مضافة]]</f>
        <v>0</v>
      </c>
      <c r="M193" s="1">
        <f>M192+Table19[[#This Row],[اجمالي الفاتوره]]-Table19[[#This Row],[الدفعات]]</f>
        <v>53530.729999999981</v>
      </c>
      <c r="O193" s="95"/>
    </row>
    <row r="194" spans="8:15" ht="24" customHeight="1" x14ac:dyDescent="0.3">
      <c r="H194" s="1">
        <f>0.14*Table19[[#This Row],[النولون]]</f>
        <v>0</v>
      </c>
      <c r="K194" s="1">
        <f>Table19[[#This Row],[النولون]]+Table19[[#This Row],[الايصالات]]-Table19[[#This Row],[خصم أ ت ص]]+Table19[[#This Row],[قيمة مضافة]]</f>
        <v>0</v>
      </c>
      <c r="M194" s="1">
        <f>M193+Table19[[#This Row],[اجمالي الفاتوره]]-Table19[[#This Row],[الدفعات]]</f>
        <v>53530.729999999981</v>
      </c>
      <c r="O194" s="95"/>
    </row>
    <row r="195" spans="8:15" ht="24" customHeight="1" x14ac:dyDescent="0.3">
      <c r="H195" s="1">
        <f>0.14*Table19[[#This Row],[النولون]]</f>
        <v>0</v>
      </c>
      <c r="K195" s="1">
        <f>Table19[[#This Row],[النولون]]+Table19[[#This Row],[الايصالات]]-Table19[[#This Row],[خصم أ ت ص]]+Table19[[#This Row],[قيمة مضافة]]</f>
        <v>0</v>
      </c>
      <c r="M195" s="1">
        <f>M194+Table19[[#This Row],[اجمالي الفاتوره]]-Table19[[#This Row],[الدفعات]]</f>
        <v>53530.729999999981</v>
      </c>
      <c r="O195" s="95"/>
    </row>
    <row r="196" spans="8:15" ht="24" customHeight="1" x14ac:dyDescent="0.3">
      <c r="H196" s="1">
        <f>0.14*Table19[[#This Row],[النولون]]</f>
        <v>0</v>
      </c>
      <c r="K196" s="1">
        <f>Table19[[#This Row],[النولون]]+Table19[[#This Row],[الايصالات]]-Table19[[#This Row],[خصم أ ت ص]]+Table19[[#This Row],[قيمة مضافة]]</f>
        <v>0</v>
      </c>
      <c r="M196" s="1">
        <f>M195+Table19[[#This Row],[اجمالي الفاتوره]]-Table19[[#This Row],[الدفعات]]</f>
        <v>53530.729999999981</v>
      </c>
      <c r="O196" s="95"/>
    </row>
    <row r="197" spans="8:15" ht="24" customHeight="1" x14ac:dyDescent="0.3">
      <c r="H197" s="1">
        <f>0.14*Table19[[#This Row],[النولون]]</f>
        <v>0</v>
      </c>
      <c r="K197" s="1">
        <f>Table19[[#This Row],[النولون]]+Table19[[#This Row],[الايصالات]]-Table19[[#This Row],[خصم أ ت ص]]+Table19[[#This Row],[قيمة مضافة]]</f>
        <v>0</v>
      </c>
      <c r="M197" s="1">
        <f>M196+Table19[[#This Row],[اجمالي الفاتوره]]-Table19[[#This Row],[الدفعات]]</f>
        <v>53530.729999999981</v>
      </c>
      <c r="O197" s="95"/>
    </row>
    <row r="198" spans="8:15" ht="24" customHeight="1" x14ac:dyDescent="0.3">
      <c r="H198" s="1">
        <f>0.14*Table19[[#This Row],[النولون]]</f>
        <v>0</v>
      </c>
      <c r="K198" s="1">
        <f>Table19[[#This Row],[النولون]]+Table19[[#This Row],[الايصالات]]-Table19[[#This Row],[خصم أ ت ص]]+Table19[[#This Row],[قيمة مضافة]]</f>
        <v>0</v>
      </c>
      <c r="M198" s="1">
        <f>M197+Table19[[#This Row],[اجمالي الفاتوره]]-Table19[[#This Row],[الدفعات]]</f>
        <v>53530.729999999981</v>
      </c>
      <c r="O198" s="95"/>
    </row>
    <row r="199" spans="8:15" ht="24" customHeight="1" x14ac:dyDescent="0.3">
      <c r="H199" s="1">
        <f>0.14*Table19[[#This Row],[النولون]]</f>
        <v>0</v>
      </c>
      <c r="K199" s="1">
        <f>Table19[[#This Row],[النولون]]+Table19[[#This Row],[الايصالات]]-Table19[[#This Row],[خصم أ ت ص]]+Table19[[#This Row],[قيمة مضافة]]</f>
        <v>0</v>
      </c>
      <c r="M199" s="1">
        <f>M198+Table19[[#This Row],[اجمالي الفاتوره]]-Table19[[#This Row],[الدفعات]]</f>
        <v>53530.729999999981</v>
      </c>
      <c r="O199" s="95"/>
    </row>
    <row r="200" spans="8:15" ht="24" customHeight="1" x14ac:dyDescent="0.3">
      <c r="H200" s="1">
        <f>0.14*Table19[[#This Row],[النولون]]</f>
        <v>0</v>
      </c>
      <c r="K200" s="1">
        <f>Table19[[#This Row],[النولون]]+Table19[[#This Row],[الايصالات]]-Table19[[#This Row],[خصم أ ت ص]]+Table19[[#This Row],[قيمة مضافة]]</f>
        <v>0</v>
      </c>
      <c r="M200" s="1">
        <f>M199+Table19[[#This Row],[اجمالي الفاتوره]]-Table19[[#This Row],[الدفعات]]</f>
        <v>53530.729999999981</v>
      </c>
      <c r="O200" s="95"/>
    </row>
    <row r="201" spans="8:15" ht="24" customHeight="1" x14ac:dyDescent="0.3">
      <c r="H201" s="1">
        <f>0.14*Table19[[#This Row],[النولون]]</f>
        <v>0</v>
      </c>
      <c r="K201" s="1">
        <f>Table19[[#This Row],[النولون]]+Table19[[#This Row],[الايصالات]]-Table19[[#This Row],[خصم أ ت ص]]+Table19[[#This Row],[قيمة مضافة]]</f>
        <v>0</v>
      </c>
      <c r="M201" s="1">
        <f>M200+Table19[[#This Row],[اجمالي الفاتوره]]-Table19[[#This Row],[الدفعات]]</f>
        <v>53530.729999999981</v>
      </c>
      <c r="O201" s="95"/>
    </row>
    <row r="202" spans="8:15" ht="24" customHeight="1" x14ac:dyDescent="0.3">
      <c r="H202" s="1">
        <f>0.14*Table19[[#This Row],[النولون]]</f>
        <v>0</v>
      </c>
      <c r="K202" s="1">
        <f>Table19[[#This Row],[النولون]]+Table19[[#This Row],[الايصالات]]-Table19[[#This Row],[خصم أ ت ص]]+Table19[[#This Row],[قيمة مضافة]]</f>
        <v>0</v>
      </c>
      <c r="M202" s="1">
        <f>M201+Table19[[#This Row],[اجمالي الفاتوره]]-Table19[[#This Row],[الدفعات]]</f>
        <v>53530.729999999981</v>
      </c>
      <c r="O202" s="95"/>
    </row>
    <row r="203" spans="8:15" ht="24" customHeight="1" x14ac:dyDescent="0.3">
      <c r="H203" s="1">
        <f>0.14*Table19[[#This Row],[النولون]]</f>
        <v>0</v>
      </c>
      <c r="K203" s="1">
        <f>Table19[[#This Row],[النولون]]+Table19[[#This Row],[الايصالات]]-Table19[[#This Row],[خصم أ ت ص]]+Table19[[#This Row],[قيمة مضافة]]</f>
        <v>0</v>
      </c>
      <c r="M203" s="1">
        <f>M202+Table19[[#This Row],[اجمالي الفاتوره]]-Table19[[#This Row],[الدفعات]]</f>
        <v>53530.729999999981</v>
      </c>
      <c r="O203" s="95"/>
    </row>
    <row r="204" spans="8:15" ht="24" customHeight="1" x14ac:dyDescent="0.3">
      <c r="H204" s="1">
        <f>0.14*Table19[[#This Row],[النولون]]</f>
        <v>0</v>
      </c>
      <c r="K204" s="1">
        <f>Table19[[#This Row],[النولون]]+Table19[[#This Row],[الايصالات]]-Table19[[#This Row],[خصم أ ت ص]]+Table19[[#This Row],[قيمة مضافة]]</f>
        <v>0</v>
      </c>
      <c r="M204" s="1">
        <f>M203+Table19[[#This Row],[اجمالي الفاتوره]]-Table19[[#This Row],[الدفعات]]</f>
        <v>53530.729999999981</v>
      </c>
      <c r="O204" s="95"/>
    </row>
    <row r="205" spans="8:15" ht="24" customHeight="1" x14ac:dyDescent="0.3">
      <c r="H205" s="1">
        <f>0.14*Table19[[#This Row],[النولون]]</f>
        <v>0</v>
      </c>
      <c r="K205" s="1">
        <f>Table19[[#This Row],[النولون]]+Table19[[#This Row],[الايصالات]]-Table19[[#This Row],[خصم أ ت ص]]+Table19[[#This Row],[قيمة مضافة]]</f>
        <v>0</v>
      </c>
      <c r="M205" s="1">
        <f>M204+Table19[[#This Row],[اجمالي الفاتوره]]-Table19[[#This Row],[الدفعات]]</f>
        <v>53530.729999999981</v>
      </c>
      <c r="O205" s="95"/>
    </row>
    <row r="206" spans="8:15" ht="24" customHeight="1" x14ac:dyDescent="0.3">
      <c r="H206" s="1">
        <f>0.14*Table19[[#This Row],[النولون]]</f>
        <v>0</v>
      </c>
      <c r="K206" s="1">
        <f>Table19[[#This Row],[النولون]]+Table19[[#This Row],[الايصالات]]-Table19[[#This Row],[خصم أ ت ص]]+Table19[[#This Row],[قيمة مضافة]]</f>
        <v>0</v>
      </c>
      <c r="M206" s="1">
        <f>M205+Table19[[#This Row],[اجمالي الفاتوره]]-Table19[[#This Row],[الدفعات]]</f>
        <v>53530.729999999981</v>
      </c>
      <c r="O206" s="95"/>
    </row>
    <row r="207" spans="8:15" ht="24" customHeight="1" x14ac:dyDescent="0.3">
      <c r="H207" s="1">
        <f>0.14*Table19[[#This Row],[النولون]]</f>
        <v>0</v>
      </c>
      <c r="K207" s="1">
        <f>Table19[[#This Row],[النولون]]+Table19[[#This Row],[الايصالات]]-Table19[[#This Row],[خصم أ ت ص]]+Table19[[#This Row],[قيمة مضافة]]</f>
        <v>0</v>
      </c>
      <c r="M207" s="1">
        <f>M206+Table19[[#This Row],[اجمالي الفاتوره]]-Table19[[#This Row],[الدفعات]]</f>
        <v>53530.729999999981</v>
      </c>
      <c r="O207" s="95"/>
    </row>
    <row r="208" spans="8:15" ht="24" customHeight="1" x14ac:dyDescent="0.3">
      <c r="H208" s="1">
        <f>0.14*Table19[[#This Row],[النولون]]</f>
        <v>0</v>
      </c>
      <c r="K208" s="1">
        <f>Table19[[#This Row],[النولون]]+Table19[[#This Row],[الايصالات]]-Table19[[#This Row],[خصم أ ت ص]]+Table19[[#This Row],[قيمة مضافة]]</f>
        <v>0</v>
      </c>
      <c r="M208" s="1">
        <f>M207+Table19[[#This Row],[اجمالي الفاتوره]]-Table19[[#This Row],[الدفعات]]</f>
        <v>53530.729999999981</v>
      </c>
      <c r="O208" s="95"/>
    </row>
    <row r="209" spans="8:15" ht="24" customHeight="1" x14ac:dyDescent="0.3">
      <c r="H209" s="1">
        <f>0.14*Table19[[#This Row],[النولون]]</f>
        <v>0</v>
      </c>
      <c r="K209" s="1">
        <f>Table19[[#This Row],[النولون]]+Table19[[#This Row],[الايصالات]]-Table19[[#This Row],[خصم أ ت ص]]+Table19[[#This Row],[قيمة مضافة]]</f>
        <v>0</v>
      </c>
      <c r="M209" s="1">
        <f>M208+Table19[[#This Row],[اجمالي الفاتوره]]-Table19[[#This Row],[الدفعات]]</f>
        <v>53530.729999999981</v>
      </c>
      <c r="O209" s="95"/>
    </row>
    <row r="210" spans="8:15" ht="24" customHeight="1" x14ac:dyDescent="0.3">
      <c r="H210" s="1">
        <f>0.14*Table19[[#This Row],[النولون]]</f>
        <v>0</v>
      </c>
      <c r="K210" s="1">
        <f>Table19[[#This Row],[النولون]]+Table19[[#This Row],[الايصالات]]-Table19[[#This Row],[خصم أ ت ص]]+Table19[[#This Row],[قيمة مضافة]]</f>
        <v>0</v>
      </c>
      <c r="M210" s="1">
        <f>M209+Table19[[#This Row],[اجمالي الفاتوره]]-Table19[[#This Row],[الدفعات]]</f>
        <v>53530.729999999981</v>
      </c>
      <c r="O210" s="95"/>
    </row>
    <row r="211" spans="8:15" ht="24" customHeight="1" x14ac:dyDescent="0.3">
      <c r="H211" s="1">
        <f>0.14*Table19[[#This Row],[النولون]]</f>
        <v>0</v>
      </c>
      <c r="K211" s="1">
        <f>Table19[[#This Row],[النولون]]+Table19[[#This Row],[الايصالات]]-Table19[[#This Row],[خصم أ ت ص]]+Table19[[#This Row],[قيمة مضافة]]</f>
        <v>0</v>
      </c>
      <c r="M211" s="1">
        <f>M210+Table19[[#This Row],[اجمالي الفاتوره]]-Table19[[#This Row],[الدفعات]]</f>
        <v>53530.729999999981</v>
      </c>
      <c r="O211" s="95"/>
    </row>
    <row r="212" spans="8:15" ht="24" customHeight="1" x14ac:dyDescent="0.3">
      <c r="H212" s="1">
        <f>0.14*Table19[[#This Row],[النولون]]</f>
        <v>0</v>
      </c>
      <c r="K212" s="1">
        <f>Table19[[#This Row],[النولون]]+Table19[[#This Row],[الايصالات]]-Table19[[#This Row],[خصم أ ت ص]]+Table19[[#This Row],[قيمة مضافة]]</f>
        <v>0</v>
      </c>
      <c r="M212" s="1">
        <f>M211+Table19[[#This Row],[اجمالي الفاتوره]]-Table19[[#This Row],[الدفعات]]</f>
        <v>53530.729999999981</v>
      </c>
      <c r="O212" s="95"/>
    </row>
    <row r="213" spans="8:15" ht="24" customHeight="1" x14ac:dyDescent="0.3">
      <c r="H213" s="1">
        <f>0.14*Table19[[#This Row],[النولون]]</f>
        <v>0</v>
      </c>
      <c r="K213" s="1">
        <f>Table19[[#This Row],[النولون]]+Table19[[#This Row],[الايصالات]]-Table19[[#This Row],[خصم أ ت ص]]+Table19[[#This Row],[قيمة مضافة]]</f>
        <v>0</v>
      </c>
      <c r="M213" s="1">
        <f>M212+Table19[[#This Row],[اجمالي الفاتوره]]-Table19[[#This Row],[الدفعات]]</f>
        <v>53530.729999999981</v>
      </c>
      <c r="O213" s="95"/>
    </row>
    <row r="214" spans="8:15" ht="24" customHeight="1" x14ac:dyDescent="0.3">
      <c r="H214" s="1">
        <f>0.14*Table19[[#This Row],[النولون]]</f>
        <v>0</v>
      </c>
      <c r="K214" s="1">
        <f>Table19[[#This Row],[النولون]]+Table19[[#This Row],[الايصالات]]-Table19[[#This Row],[خصم أ ت ص]]+Table19[[#This Row],[قيمة مضافة]]</f>
        <v>0</v>
      </c>
      <c r="M214" s="1">
        <f>M213+Table19[[#This Row],[اجمالي الفاتوره]]-Table19[[#This Row],[الدفعات]]</f>
        <v>53530.729999999981</v>
      </c>
      <c r="O214" s="95"/>
    </row>
    <row r="215" spans="8:15" ht="24" customHeight="1" x14ac:dyDescent="0.3">
      <c r="H215" s="1">
        <f>0.14*Table19[[#This Row],[النولون]]</f>
        <v>0</v>
      </c>
      <c r="K215" s="1">
        <f>Table19[[#This Row],[النولون]]+Table19[[#This Row],[الايصالات]]-Table19[[#This Row],[خصم أ ت ص]]+Table19[[#This Row],[قيمة مضافة]]</f>
        <v>0</v>
      </c>
      <c r="M215" s="1">
        <f>M214+Table19[[#This Row],[اجمالي الفاتوره]]-Table19[[#This Row],[الدفعات]]</f>
        <v>53530.729999999981</v>
      </c>
      <c r="O215" s="95"/>
    </row>
    <row r="216" spans="8:15" ht="24" customHeight="1" x14ac:dyDescent="0.3">
      <c r="H216" s="1">
        <f>0.14*Table19[[#This Row],[النولون]]</f>
        <v>0</v>
      </c>
      <c r="K216" s="1">
        <f>Table19[[#This Row],[النولون]]+Table19[[#This Row],[الايصالات]]-Table19[[#This Row],[خصم أ ت ص]]+Table19[[#This Row],[قيمة مضافة]]</f>
        <v>0</v>
      </c>
      <c r="M216" s="1">
        <f>M215+Table19[[#This Row],[اجمالي الفاتوره]]-Table19[[#This Row],[الدفعات]]</f>
        <v>53530.729999999981</v>
      </c>
      <c r="O216" s="95"/>
    </row>
    <row r="217" spans="8:15" ht="24" customHeight="1" x14ac:dyDescent="0.3">
      <c r="H217" s="1">
        <f>0.14*Table19[[#This Row],[النولون]]</f>
        <v>0</v>
      </c>
      <c r="K217" s="1">
        <f>Table19[[#This Row],[النولون]]+Table19[[#This Row],[الايصالات]]-Table19[[#This Row],[خصم أ ت ص]]+Table19[[#This Row],[قيمة مضافة]]</f>
        <v>0</v>
      </c>
      <c r="M217" s="1">
        <f>M216+Table19[[#This Row],[اجمالي الفاتوره]]-Table19[[#This Row],[الدفعات]]</f>
        <v>53530.729999999981</v>
      </c>
      <c r="O217" s="95"/>
    </row>
    <row r="218" spans="8:15" ht="24" customHeight="1" x14ac:dyDescent="0.3">
      <c r="H218" s="1">
        <f>0.14*Table19[[#This Row],[النولون]]</f>
        <v>0</v>
      </c>
      <c r="K218" s="1">
        <f>Table19[[#This Row],[النولون]]+Table19[[#This Row],[الايصالات]]-Table19[[#This Row],[خصم أ ت ص]]+Table19[[#This Row],[قيمة مضافة]]</f>
        <v>0</v>
      </c>
      <c r="M218" s="1">
        <f>M217+Table19[[#This Row],[اجمالي الفاتوره]]-Table19[[#This Row],[الدفعات]]</f>
        <v>53530.729999999981</v>
      </c>
      <c r="O218" s="95"/>
    </row>
    <row r="219" spans="8:15" ht="24" customHeight="1" x14ac:dyDescent="0.3">
      <c r="H219" s="1">
        <f>0.14*Table19[[#This Row],[النولون]]</f>
        <v>0</v>
      </c>
      <c r="K219" s="1">
        <f>Table19[[#This Row],[النولون]]+Table19[[#This Row],[الايصالات]]-Table19[[#This Row],[خصم أ ت ص]]+Table19[[#This Row],[قيمة مضافة]]</f>
        <v>0</v>
      </c>
      <c r="M219" s="1">
        <f>M218+Table19[[#This Row],[اجمالي الفاتوره]]-Table19[[#This Row],[الدفعات]]</f>
        <v>53530.729999999981</v>
      </c>
      <c r="O219" s="95"/>
    </row>
    <row r="220" spans="8:15" ht="24" customHeight="1" x14ac:dyDescent="0.3">
      <c r="H220" s="1">
        <f>0.14*Table19[[#This Row],[النولون]]</f>
        <v>0</v>
      </c>
      <c r="K220" s="1">
        <f>Table19[[#This Row],[النولون]]+Table19[[#This Row],[الايصالات]]-Table19[[#This Row],[خصم أ ت ص]]+Table19[[#This Row],[قيمة مضافة]]</f>
        <v>0</v>
      </c>
      <c r="M220" s="1">
        <f>M219+Table19[[#This Row],[اجمالي الفاتوره]]-Table19[[#This Row],[الدفعات]]</f>
        <v>53530.729999999981</v>
      </c>
      <c r="O220" s="95"/>
    </row>
    <row r="221" spans="8:15" ht="24" customHeight="1" x14ac:dyDescent="0.3">
      <c r="H221" s="1">
        <f>0.14*Table19[[#This Row],[النولون]]</f>
        <v>0</v>
      </c>
      <c r="K221" s="1">
        <f>Table19[[#This Row],[النولون]]+Table19[[#This Row],[الايصالات]]-Table19[[#This Row],[خصم أ ت ص]]+Table19[[#This Row],[قيمة مضافة]]</f>
        <v>0</v>
      </c>
      <c r="M221" s="1">
        <f>M220+Table19[[#This Row],[اجمالي الفاتوره]]-Table19[[#This Row],[الدفعات]]</f>
        <v>53530.729999999981</v>
      </c>
      <c r="O221" s="95"/>
    </row>
    <row r="222" spans="8:15" ht="24" customHeight="1" x14ac:dyDescent="0.3">
      <c r="H222" s="1">
        <f>0.14*Table19[[#This Row],[النولون]]</f>
        <v>0</v>
      </c>
      <c r="K222" s="1">
        <f>Table19[[#This Row],[النولون]]+Table19[[#This Row],[الايصالات]]-Table19[[#This Row],[خصم أ ت ص]]+Table19[[#This Row],[قيمة مضافة]]</f>
        <v>0</v>
      </c>
      <c r="M222" s="1">
        <f>M221+Table19[[#This Row],[اجمالي الفاتوره]]-Table19[[#This Row],[الدفعات]]</f>
        <v>53530.729999999981</v>
      </c>
      <c r="O222" s="95"/>
    </row>
    <row r="223" spans="8:15" ht="24" customHeight="1" x14ac:dyDescent="0.3">
      <c r="H223" s="1">
        <f>0.14*Table19[[#This Row],[النولون]]</f>
        <v>0</v>
      </c>
      <c r="K223" s="1">
        <f>Table19[[#This Row],[النولون]]+Table19[[#This Row],[الايصالات]]-Table19[[#This Row],[خصم أ ت ص]]+Table19[[#This Row],[قيمة مضافة]]</f>
        <v>0</v>
      </c>
      <c r="M223" s="1">
        <f>M222+Table19[[#This Row],[اجمالي الفاتوره]]-Table19[[#This Row],[الدفعات]]</f>
        <v>53530.729999999981</v>
      </c>
      <c r="O223" s="95"/>
    </row>
    <row r="224" spans="8:15" ht="24" customHeight="1" x14ac:dyDescent="0.3">
      <c r="H224" s="1">
        <f>0.14*Table19[[#This Row],[النولون]]</f>
        <v>0</v>
      </c>
      <c r="K224" s="1">
        <f>Table19[[#This Row],[النولون]]+Table19[[#This Row],[الايصالات]]-Table19[[#This Row],[خصم أ ت ص]]+Table19[[#This Row],[قيمة مضافة]]</f>
        <v>0</v>
      </c>
      <c r="M224" s="1">
        <f>M223+Table19[[#This Row],[اجمالي الفاتوره]]-Table19[[#This Row],[الدفعات]]</f>
        <v>53530.729999999981</v>
      </c>
      <c r="O224" s="95"/>
    </row>
    <row r="225" spans="8:15" ht="24" customHeight="1" x14ac:dyDescent="0.3">
      <c r="H225" s="1">
        <f>0.14*Table19[[#This Row],[النولون]]</f>
        <v>0</v>
      </c>
      <c r="K225" s="1">
        <f>Table19[[#This Row],[النولون]]+Table19[[#This Row],[الايصالات]]-Table19[[#This Row],[خصم أ ت ص]]+Table19[[#This Row],[قيمة مضافة]]</f>
        <v>0</v>
      </c>
      <c r="M225" s="1">
        <f>M224+Table19[[#This Row],[اجمالي الفاتوره]]-Table19[[#This Row],[الدفعات]]</f>
        <v>53530.729999999981</v>
      </c>
      <c r="O225" s="95"/>
    </row>
    <row r="226" spans="8:15" ht="24" customHeight="1" x14ac:dyDescent="0.3">
      <c r="H226" s="1">
        <f>0.14*Table19[[#This Row],[النولون]]</f>
        <v>0</v>
      </c>
      <c r="K226" s="1">
        <f>Table19[[#This Row],[النولون]]+Table19[[#This Row],[الايصالات]]-Table19[[#This Row],[خصم أ ت ص]]+Table19[[#This Row],[قيمة مضافة]]</f>
        <v>0</v>
      </c>
      <c r="M226" s="1">
        <f>M225+Table19[[#This Row],[اجمالي الفاتوره]]-Table19[[#This Row],[الدفعات]]</f>
        <v>53530.729999999981</v>
      </c>
      <c r="O226" s="95"/>
    </row>
    <row r="227" spans="8:15" ht="24" customHeight="1" x14ac:dyDescent="0.3">
      <c r="H227" s="1">
        <f>0.14*Table19[[#This Row],[النولون]]</f>
        <v>0</v>
      </c>
      <c r="K227" s="1">
        <f>Table19[[#This Row],[النولون]]+Table19[[#This Row],[الايصالات]]-Table19[[#This Row],[خصم أ ت ص]]+Table19[[#This Row],[قيمة مضافة]]</f>
        <v>0</v>
      </c>
      <c r="M227" s="1">
        <f>M226+Table19[[#This Row],[اجمالي الفاتوره]]-Table19[[#This Row],[الدفعات]]</f>
        <v>53530.729999999981</v>
      </c>
      <c r="O227" s="95"/>
    </row>
    <row r="228" spans="8:15" ht="24" customHeight="1" x14ac:dyDescent="0.3">
      <c r="H228" s="1">
        <f>0.14*Table19[[#This Row],[النولون]]</f>
        <v>0</v>
      </c>
      <c r="K228" s="1">
        <f>Table19[[#This Row],[النولون]]+Table19[[#This Row],[الايصالات]]-Table19[[#This Row],[خصم أ ت ص]]+Table19[[#This Row],[قيمة مضافة]]</f>
        <v>0</v>
      </c>
      <c r="M228" s="1">
        <f>M227+Table19[[#This Row],[اجمالي الفاتوره]]-Table19[[#This Row],[الدفعات]]</f>
        <v>53530.729999999981</v>
      </c>
      <c r="O228" s="95"/>
    </row>
    <row r="229" spans="8:15" ht="24" customHeight="1" x14ac:dyDescent="0.3">
      <c r="H229" s="1">
        <f>0.14*Table19[[#This Row],[النولون]]</f>
        <v>0</v>
      </c>
      <c r="K229" s="1">
        <f>Table19[[#This Row],[النولون]]+Table19[[#This Row],[الايصالات]]-Table19[[#This Row],[خصم أ ت ص]]+Table19[[#This Row],[قيمة مضافة]]</f>
        <v>0</v>
      </c>
      <c r="M229" s="1">
        <f>M228+Table19[[#This Row],[اجمالي الفاتوره]]-Table19[[#This Row],[الدفعات]]</f>
        <v>53530.729999999981</v>
      </c>
      <c r="O229" s="95"/>
    </row>
    <row r="230" spans="8:15" ht="24" customHeight="1" x14ac:dyDescent="0.3">
      <c r="H230" s="1">
        <f>0.14*Table19[[#This Row],[النولون]]</f>
        <v>0</v>
      </c>
      <c r="K230" s="1">
        <f>Table19[[#This Row],[النولون]]+Table19[[#This Row],[الايصالات]]-Table19[[#This Row],[خصم أ ت ص]]+Table19[[#This Row],[قيمة مضافة]]</f>
        <v>0</v>
      </c>
      <c r="M230" s="1">
        <f>M229+Table19[[#This Row],[اجمالي الفاتوره]]-Table19[[#This Row],[الدفعات]]</f>
        <v>53530.729999999981</v>
      </c>
      <c r="O230" s="95"/>
    </row>
    <row r="231" spans="8:15" ht="24" customHeight="1" x14ac:dyDescent="0.3">
      <c r="H231" s="1">
        <f>0.14*Table19[[#This Row],[النولون]]</f>
        <v>0</v>
      </c>
      <c r="K231" s="1">
        <f>Table19[[#This Row],[النولون]]+Table19[[#This Row],[الايصالات]]-Table19[[#This Row],[خصم أ ت ص]]+Table19[[#This Row],[قيمة مضافة]]</f>
        <v>0</v>
      </c>
      <c r="M231" s="1">
        <f>M230+Table19[[#This Row],[اجمالي الفاتوره]]-Table19[[#This Row],[الدفعات]]</f>
        <v>53530.729999999981</v>
      </c>
      <c r="O231" s="95"/>
    </row>
    <row r="232" spans="8:15" ht="24" customHeight="1" x14ac:dyDescent="0.3">
      <c r="H232" s="1">
        <f>0.14*Table19[[#This Row],[النولون]]</f>
        <v>0</v>
      </c>
      <c r="K232" s="1">
        <f>Table19[[#This Row],[النولون]]+Table19[[#This Row],[الايصالات]]-Table19[[#This Row],[خصم أ ت ص]]+Table19[[#This Row],[قيمة مضافة]]</f>
        <v>0</v>
      </c>
      <c r="M232" s="1">
        <f>M231+Table19[[#This Row],[اجمالي الفاتوره]]-Table19[[#This Row],[الدفعات]]</f>
        <v>53530.729999999981</v>
      </c>
      <c r="O232" s="95"/>
    </row>
    <row r="233" spans="8:15" ht="24" customHeight="1" x14ac:dyDescent="0.3">
      <c r="H233" s="1">
        <f>0.14*Table19[[#This Row],[النولون]]</f>
        <v>0</v>
      </c>
      <c r="K233" s="1">
        <f>Table19[[#This Row],[النولون]]+Table19[[#This Row],[الايصالات]]-Table19[[#This Row],[خصم أ ت ص]]+Table19[[#This Row],[قيمة مضافة]]</f>
        <v>0</v>
      </c>
      <c r="M233" s="1">
        <f>M232+Table19[[#This Row],[اجمالي الفاتوره]]-Table19[[#This Row],[الدفعات]]</f>
        <v>53530.729999999981</v>
      </c>
      <c r="O233" s="95"/>
    </row>
    <row r="234" spans="8:15" ht="24" customHeight="1" x14ac:dyDescent="0.3">
      <c r="H234" s="1">
        <f>0.14*Table19[[#This Row],[النولون]]</f>
        <v>0</v>
      </c>
      <c r="K234" s="1">
        <f>Table19[[#This Row],[النولون]]+Table19[[#This Row],[الايصالات]]-Table19[[#This Row],[خصم أ ت ص]]+Table19[[#This Row],[قيمة مضافة]]</f>
        <v>0</v>
      </c>
      <c r="M234" s="1">
        <f>M233+Table19[[#This Row],[اجمالي الفاتوره]]-Table19[[#This Row],[الدفعات]]</f>
        <v>53530.729999999981</v>
      </c>
      <c r="O234" s="95"/>
    </row>
    <row r="235" spans="8:15" ht="24" customHeight="1" x14ac:dyDescent="0.3">
      <c r="H235" s="1">
        <f>0.14*Table19[[#This Row],[النولون]]</f>
        <v>0</v>
      </c>
      <c r="K235" s="1">
        <f>Table19[[#This Row],[النولون]]+Table19[[#This Row],[الايصالات]]-Table19[[#This Row],[خصم أ ت ص]]+Table19[[#This Row],[قيمة مضافة]]</f>
        <v>0</v>
      </c>
      <c r="M235" s="1">
        <f>M234+Table19[[#This Row],[اجمالي الفاتوره]]-Table19[[#This Row],[الدفعات]]</f>
        <v>53530.729999999981</v>
      </c>
      <c r="O235" s="95"/>
    </row>
    <row r="236" spans="8:15" ht="24" customHeight="1" x14ac:dyDescent="0.3">
      <c r="H236" s="1">
        <f>0.14*Table19[[#This Row],[النولون]]</f>
        <v>0</v>
      </c>
      <c r="K236" s="1">
        <f>Table19[[#This Row],[النولون]]+Table19[[#This Row],[الايصالات]]-Table19[[#This Row],[خصم أ ت ص]]+Table19[[#This Row],[قيمة مضافة]]</f>
        <v>0</v>
      </c>
      <c r="M236" s="1">
        <f>M235+Table19[[#This Row],[اجمالي الفاتوره]]-Table19[[#This Row],[الدفعات]]</f>
        <v>53530.729999999981</v>
      </c>
      <c r="O236" s="95"/>
    </row>
    <row r="237" spans="8:15" ht="24" customHeight="1" x14ac:dyDescent="0.3">
      <c r="H237" s="1">
        <f>0.14*Table19[[#This Row],[النولون]]</f>
        <v>0</v>
      </c>
      <c r="K237" s="1">
        <f>Table19[[#This Row],[النولون]]+Table19[[#This Row],[الايصالات]]-Table19[[#This Row],[خصم أ ت ص]]+Table19[[#This Row],[قيمة مضافة]]</f>
        <v>0</v>
      </c>
      <c r="M237" s="1">
        <f>M236+Table19[[#This Row],[اجمالي الفاتوره]]-Table19[[#This Row],[الدفعات]]</f>
        <v>53530.729999999981</v>
      </c>
      <c r="O237" s="95"/>
    </row>
    <row r="238" spans="8:15" ht="24" customHeight="1" x14ac:dyDescent="0.3">
      <c r="H238" s="1">
        <f>0.14*Table19[[#This Row],[النولون]]</f>
        <v>0</v>
      </c>
      <c r="K238" s="1">
        <f>Table19[[#This Row],[النولون]]+Table19[[#This Row],[الايصالات]]-Table19[[#This Row],[خصم أ ت ص]]+Table19[[#This Row],[قيمة مضافة]]</f>
        <v>0</v>
      </c>
      <c r="M238" s="1">
        <f>M237+Table19[[#This Row],[اجمالي الفاتوره]]-Table19[[#This Row],[الدفعات]]</f>
        <v>53530.729999999981</v>
      </c>
      <c r="O238" s="95"/>
    </row>
    <row r="239" spans="8:15" ht="24" customHeight="1" x14ac:dyDescent="0.3">
      <c r="H239" s="1">
        <f>0.14*Table19[[#This Row],[النولون]]</f>
        <v>0</v>
      </c>
      <c r="K239" s="1">
        <f>Table19[[#This Row],[النولون]]+Table19[[#This Row],[الايصالات]]-Table19[[#This Row],[خصم أ ت ص]]+Table19[[#This Row],[قيمة مضافة]]</f>
        <v>0</v>
      </c>
      <c r="M239" s="1">
        <f>M238+Table19[[#This Row],[اجمالي الفاتوره]]-Table19[[#This Row],[الدفعات]]</f>
        <v>53530.729999999981</v>
      </c>
      <c r="O239" s="95"/>
    </row>
    <row r="240" spans="8:15" ht="24" customHeight="1" x14ac:dyDescent="0.3">
      <c r="H240" s="1">
        <f>0.14*Table19[[#This Row],[النولون]]</f>
        <v>0</v>
      </c>
      <c r="K240" s="1">
        <f>Table19[[#This Row],[النولون]]+Table19[[#This Row],[الايصالات]]-Table19[[#This Row],[خصم أ ت ص]]+Table19[[#This Row],[قيمة مضافة]]</f>
        <v>0</v>
      </c>
      <c r="M240" s="1">
        <f>M239+Table19[[#This Row],[اجمالي الفاتوره]]-Table19[[#This Row],[الدفعات]]</f>
        <v>53530.729999999981</v>
      </c>
      <c r="O240" s="95"/>
    </row>
    <row r="241" spans="8:15" ht="24" customHeight="1" x14ac:dyDescent="0.3">
      <c r="H241" s="1">
        <f>0.14*Table19[[#This Row],[النولون]]</f>
        <v>0</v>
      </c>
      <c r="K241" s="1">
        <f>Table19[[#This Row],[النولون]]+Table19[[#This Row],[الايصالات]]-Table19[[#This Row],[خصم أ ت ص]]+Table19[[#This Row],[قيمة مضافة]]</f>
        <v>0</v>
      </c>
      <c r="M241" s="1">
        <f>M240+Table19[[#This Row],[اجمالي الفاتوره]]-Table19[[#This Row],[الدفعات]]</f>
        <v>53530.729999999981</v>
      </c>
      <c r="O241" s="95"/>
    </row>
    <row r="242" spans="8:15" ht="24" customHeight="1" x14ac:dyDescent="0.3">
      <c r="H242" s="1">
        <f>0.14*Table19[[#This Row],[النولون]]</f>
        <v>0</v>
      </c>
      <c r="K242" s="1">
        <f>Table19[[#This Row],[النولون]]+Table19[[#This Row],[الايصالات]]-Table19[[#This Row],[خصم أ ت ص]]+Table19[[#This Row],[قيمة مضافة]]</f>
        <v>0</v>
      </c>
      <c r="M242" s="1">
        <f>M241+Table19[[#This Row],[اجمالي الفاتوره]]-Table19[[#This Row],[الدفعات]]</f>
        <v>53530.729999999981</v>
      </c>
      <c r="O242" s="95"/>
    </row>
    <row r="243" spans="8:15" ht="24" customHeight="1" x14ac:dyDescent="0.3">
      <c r="H243" s="1">
        <f>0.14*Table19[[#This Row],[النولون]]</f>
        <v>0</v>
      </c>
      <c r="K243" s="1">
        <f>Table19[[#This Row],[النولون]]+Table19[[#This Row],[الايصالات]]-Table19[[#This Row],[خصم أ ت ص]]+Table19[[#This Row],[قيمة مضافة]]</f>
        <v>0</v>
      </c>
      <c r="M243" s="1">
        <f>M242+Table19[[#This Row],[اجمالي الفاتوره]]-Table19[[#This Row],[الدفعات]]</f>
        <v>53530.729999999981</v>
      </c>
      <c r="O243" s="95"/>
    </row>
    <row r="244" spans="8:15" ht="24" customHeight="1" x14ac:dyDescent="0.3">
      <c r="H244" s="1">
        <f>0.14*Table19[[#This Row],[النولون]]</f>
        <v>0</v>
      </c>
      <c r="K244" s="1">
        <f>Table19[[#This Row],[النولون]]+Table19[[#This Row],[الايصالات]]-Table19[[#This Row],[خصم أ ت ص]]+Table19[[#This Row],[قيمة مضافة]]</f>
        <v>0</v>
      </c>
      <c r="M244" s="1">
        <f>M243+Table19[[#This Row],[اجمالي الفاتوره]]-Table19[[#This Row],[الدفعات]]</f>
        <v>53530.729999999981</v>
      </c>
      <c r="O244" s="95"/>
    </row>
    <row r="245" spans="8:15" ht="24" customHeight="1" x14ac:dyDescent="0.3">
      <c r="H245" s="1">
        <f>0.14*Table19[[#This Row],[النولون]]</f>
        <v>0</v>
      </c>
      <c r="K245" s="1">
        <f>Table19[[#This Row],[النولون]]+Table19[[#This Row],[الايصالات]]-Table19[[#This Row],[خصم أ ت ص]]+Table19[[#This Row],[قيمة مضافة]]</f>
        <v>0</v>
      </c>
      <c r="M245" s="1">
        <f>M244+Table19[[#This Row],[اجمالي الفاتوره]]-Table19[[#This Row],[الدفعات]]</f>
        <v>53530.729999999981</v>
      </c>
      <c r="O245" s="95"/>
    </row>
    <row r="246" spans="8:15" ht="24" customHeight="1" x14ac:dyDescent="0.3">
      <c r="H246" s="1">
        <f>0.14*Table19[[#This Row],[النولون]]</f>
        <v>0</v>
      </c>
      <c r="K246" s="1">
        <f>Table19[[#This Row],[النولون]]+Table19[[#This Row],[الايصالات]]-Table19[[#This Row],[خصم أ ت ص]]+Table19[[#This Row],[قيمة مضافة]]</f>
        <v>0</v>
      </c>
      <c r="M246" s="1">
        <f>M245+Table19[[#This Row],[اجمالي الفاتوره]]-Table19[[#This Row],[الدفعات]]</f>
        <v>53530.729999999981</v>
      </c>
      <c r="O246" s="95"/>
    </row>
    <row r="247" spans="8:15" ht="24" customHeight="1" x14ac:dyDescent="0.3">
      <c r="H247" s="1">
        <f>0.14*Table19[[#This Row],[النولون]]</f>
        <v>0</v>
      </c>
      <c r="K247" s="1">
        <f>Table19[[#This Row],[النولون]]+Table19[[#This Row],[الايصالات]]-Table19[[#This Row],[خصم أ ت ص]]+Table19[[#This Row],[قيمة مضافة]]</f>
        <v>0</v>
      </c>
      <c r="M247" s="1">
        <f>M246+Table19[[#This Row],[اجمالي الفاتوره]]-Table19[[#This Row],[الدفعات]]</f>
        <v>53530.729999999981</v>
      </c>
      <c r="O247" s="95"/>
    </row>
    <row r="248" spans="8:15" ht="24" customHeight="1" x14ac:dyDescent="0.3">
      <c r="H248" s="1">
        <f>0.14*Table19[[#This Row],[النولون]]</f>
        <v>0</v>
      </c>
      <c r="K248" s="1">
        <f>Table19[[#This Row],[النولون]]+Table19[[#This Row],[الايصالات]]-Table19[[#This Row],[خصم أ ت ص]]+Table19[[#This Row],[قيمة مضافة]]</f>
        <v>0</v>
      </c>
      <c r="M248" s="1">
        <f>M247+Table19[[#This Row],[اجمالي الفاتوره]]-Table19[[#This Row],[الدفعات]]</f>
        <v>53530.729999999981</v>
      </c>
      <c r="O248" s="95"/>
    </row>
    <row r="249" spans="8:15" ht="24" customHeight="1" x14ac:dyDescent="0.3">
      <c r="H249" s="1">
        <f>0.14*Table19[[#This Row],[النولون]]</f>
        <v>0</v>
      </c>
      <c r="K249" s="1">
        <f>Table19[[#This Row],[النولون]]+Table19[[#This Row],[الايصالات]]-Table19[[#This Row],[خصم أ ت ص]]+Table19[[#This Row],[قيمة مضافة]]</f>
        <v>0</v>
      </c>
      <c r="M249" s="1">
        <f>M248+Table19[[#This Row],[اجمالي الفاتوره]]-Table19[[#This Row],[الدفعات]]</f>
        <v>53530.729999999981</v>
      </c>
      <c r="O249" s="95"/>
    </row>
    <row r="250" spans="8:15" ht="24" customHeight="1" x14ac:dyDescent="0.3">
      <c r="H250" s="1">
        <f>0.14*Table19[[#This Row],[النولون]]</f>
        <v>0</v>
      </c>
      <c r="K250" s="1">
        <f>Table19[[#This Row],[النولون]]+Table19[[#This Row],[الايصالات]]-Table19[[#This Row],[خصم أ ت ص]]+Table19[[#This Row],[قيمة مضافة]]</f>
        <v>0</v>
      </c>
      <c r="M250" s="1">
        <f>M249+Table19[[#This Row],[اجمالي الفاتوره]]-Table19[[#This Row],[الدفعات]]</f>
        <v>53530.729999999981</v>
      </c>
      <c r="O250" s="95"/>
    </row>
    <row r="251" spans="8:15" ht="24" customHeight="1" x14ac:dyDescent="0.3">
      <c r="H251" s="1">
        <f>0.14*Table19[[#This Row],[النولون]]</f>
        <v>0</v>
      </c>
      <c r="K251" s="1">
        <f>Table19[[#This Row],[النولون]]+Table19[[#This Row],[الايصالات]]-Table19[[#This Row],[خصم أ ت ص]]+Table19[[#This Row],[قيمة مضافة]]</f>
        <v>0</v>
      </c>
      <c r="M251" s="1">
        <f>M250+Table19[[#This Row],[اجمالي الفاتوره]]-Table19[[#This Row],[الدفعات]]</f>
        <v>53530.729999999981</v>
      </c>
      <c r="O251" s="95"/>
    </row>
    <row r="252" spans="8:15" ht="24" customHeight="1" x14ac:dyDescent="0.3">
      <c r="H252" s="1">
        <f>0.14*Table19[[#This Row],[النولون]]</f>
        <v>0</v>
      </c>
      <c r="K252" s="1">
        <f>Table19[[#This Row],[النولون]]+Table19[[#This Row],[الايصالات]]-Table19[[#This Row],[خصم أ ت ص]]+Table19[[#This Row],[قيمة مضافة]]</f>
        <v>0</v>
      </c>
      <c r="M252" s="1">
        <f>M251+Table19[[#This Row],[اجمالي الفاتوره]]-Table19[[#This Row],[الدفعات]]</f>
        <v>53530.729999999981</v>
      </c>
      <c r="O252" s="95"/>
    </row>
    <row r="253" spans="8:15" ht="24" customHeight="1" x14ac:dyDescent="0.3">
      <c r="H253" s="1">
        <f>0.14*Table19[[#This Row],[النولون]]</f>
        <v>0</v>
      </c>
      <c r="K253" s="1">
        <f>Table19[[#This Row],[النولون]]+Table19[[#This Row],[الايصالات]]-Table19[[#This Row],[خصم أ ت ص]]+Table19[[#This Row],[قيمة مضافة]]</f>
        <v>0</v>
      </c>
      <c r="M253" s="1">
        <f>M252+Table19[[#This Row],[اجمالي الفاتوره]]-Table19[[#This Row],[الدفعات]]</f>
        <v>53530.729999999981</v>
      </c>
      <c r="O253" s="95"/>
    </row>
    <row r="254" spans="8:15" ht="24" customHeight="1" x14ac:dyDescent="0.3">
      <c r="H254" s="1">
        <f>0.14*Table19[[#This Row],[النولون]]</f>
        <v>0</v>
      </c>
      <c r="K254" s="1">
        <f>Table19[[#This Row],[النولون]]+Table19[[#This Row],[الايصالات]]-Table19[[#This Row],[خصم أ ت ص]]+Table19[[#This Row],[قيمة مضافة]]</f>
        <v>0</v>
      </c>
      <c r="M254" s="1">
        <f>M253+Table19[[#This Row],[اجمالي الفاتوره]]-Table19[[#This Row],[الدفعات]]</f>
        <v>53530.729999999981</v>
      </c>
      <c r="O254" s="95"/>
    </row>
    <row r="255" spans="8:15" ht="24" customHeight="1" x14ac:dyDescent="0.3">
      <c r="H255" s="1">
        <f>0.14*Table19[[#This Row],[النولون]]</f>
        <v>0</v>
      </c>
      <c r="K255" s="1">
        <f>Table19[[#This Row],[النولون]]+Table19[[#This Row],[الايصالات]]-Table19[[#This Row],[خصم أ ت ص]]+Table19[[#This Row],[قيمة مضافة]]</f>
        <v>0</v>
      </c>
      <c r="M255" s="1">
        <f>M254+Table19[[#This Row],[اجمالي الفاتوره]]-Table19[[#This Row],[الدفعات]]</f>
        <v>53530.729999999981</v>
      </c>
      <c r="O255" s="95"/>
    </row>
    <row r="256" spans="8:15" ht="24" customHeight="1" x14ac:dyDescent="0.3">
      <c r="H256" s="1">
        <f>0.14*Table19[[#This Row],[النولون]]</f>
        <v>0</v>
      </c>
      <c r="K256" s="1">
        <f>Table19[[#This Row],[النولون]]+Table19[[#This Row],[الايصالات]]-Table19[[#This Row],[خصم أ ت ص]]+Table19[[#This Row],[قيمة مضافة]]</f>
        <v>0</v>
      </c>
      <c r="M256" s="1">
        <f>M255+Table19[[#This Row],[اجمالي الفاتوره]]-Table19[[#This Row],[الدفعات]]</f>
        <v>53530.729999999981</v>
      </c>
      <c r="O256" s="95"/>
    </row>
    <row r="257" spans="8:15" ht="24" customHeight="1" x14ac:dyDescent="0.3">
      <c r="H257" s="1">
        <f>0.14*Table19[[#This Row],[النولون]]</f>
        <v>0</v>
      </c>
      <c r="K257" s="1">
        <f>Table19[[#This Row],[النولون]]+Table19[[#This Row],[الايصالات]]-Table19[[#This Row],[خصم أ ت ص]]+Table19[[#This Row],[قيمة مضافة]]</f>
        <v>0</v>
      </c>
      <c r="M257" s="1">
        <f>M256+Table19[[#This Row],[اجمالي الفاتوره]]-Table19[[#This Row],[الدفعات]]</f>
        <v>53530.729999999981</v>
      </c>
      <c r="O257" s="95"/>
    </row>
    <row r="258" spans="8:15" ht="24" customHeight="1" x14ac:dyDescent="0.3">
      <c r="H258" s="1">
        <f>0.14*Table19[[#This Row],[النولون]]</f>
        <v>0</v>
      </c>
      <c r="K258" s="1">
        <f>Table19[[#This Row],[النولون]]+Table19[[#This Row],[الايصالات]]-Table19[[#This Row],[خصم أ ت ص]]+Table19[[#This Row],[قيمة مضافة]]</f>
        <v>0</v>
      </c>
      <c r="M258" s="1">
        <f>M257+Table19[[#This Row],[اجمالي الفاتوره]]-Table19[[#This Row],[الدفعات]]</f>
        <v>53530.729999999981</v>
      </c>
      <c r="O258" s="95"/>
    </row>
    <row r="259" spans="8:15" ht="24" customHeight="1" x14ac:dyDescent="0.3">
      <c r="H259" s="1">
        <f>0.14*Table19[[#This Row],[النولون]]</f>
        <v>0</v>
      </c>
      <c r="K259" s="1">
        <f>Table19[[#This Row],[النولون]]+Table19[[#This Row],[الايصالات]]-Table19[[#This Row],[خصم أ ت ص]]+Table19[[#This Row],[قيمة مضافة]]</f>
        <v>0</v>
      </c>
      <c r="M259" s="1">
        <f>M258+Table19[[#This Row],[اجمالي الفاتوره]]-Table19[[#This Row],[الدفعات]]</f>
        <v>53530.729999999981</v>
      </c>
      <c r="O259" s="95"/>
    </row>
    <row r="260" spans="8:15" ht="24" customHeight="1" x14ac:dyDescent="0.3">
      <c r="H260" s="1">
        <f>0.14*Table19[[#This Row],[النولون]]</f>
        <v>0</v>
      </c>
      <c r="K260" s="1">
        <f>Table19[[#This Row],[النولون]]+Table19[[#This Row],[الايصالات]]-Table19[[#This Row],[خصم أ ت ص]]+Table19[[#This Row],[قيمة مضافة]]</f>
        <v>0</v>
      </c>
      <c r="M260" s="1">
        <f>M259+Table19[[#This Row],[اجمالي الفاتوره]]-Table19[[#This Row],[الدفعات]]</f>
        <v>53530.729999999981</v>
      </c>
      <c r="O260" s="95"/>
    </row>
    <row r="261" spans="8:15" ht="24" customHeight="1" x14ac:dyDescent="0.3">
      <c r="H261" s="1">
        <f>0.14*Table19[[#This Row],[النولون]]</f>
        <v>0</v>
      </c>
      <c r="K261" s="1">
        <f>Table19[[#This Row],[النولون]]+Table19[[#This Row],[الايصالات]]-Table19[[#This Row],[خصم أ ت ص]]+Table19[[#This Row],[قيمة مضافة]]</f>
        <v>0</v>
      </c>
      <c r="M261" s="1">
        <f>M260+Table19[[#This Row],[اجمالي الفاتوره]]-Table19[[#This Row],[الدفعات]]</f>
        <v>53530.729999999981</v>
      </c>
      <c r="O261" s="95"/>
    </row>
    <row r="262" spans="8:15" ht="24" customHeight="1" x14ac:dyDescent="0.3">
      <c r="H262" s="1">
        <f>0.14*Table19[[#This Row],[النولون]]</f>
        <v>0</v>
      </c>
      <c r="K262" s="1">
        <f>Table19[[#This Row],[النولون]]+Table19[[#This Row],[الايصالات]]-Table19[[#This Row],[خصم أ ت ص]]+Table19[[#This Row],[قيمة مضافة]]</f>
        <v>0</v>
      </c>
      <c r="M262" s="1">
        <f>M261+Table19[[#This Row],[اجمالي الفاتوره]]-Table19[[#This Row],[الدفعات]]</f>
        <v>53530.729999999981</v>
      </c>
      <c r="O262" s="95"/>
    </row>
    <row r="263" spans="8:15" ht="24" customHeight="1" x14ac:dyDescent="0.3">
      <c r="H263" s="1">
        <f>0.14*Table19[[#This Row],[النولون]]</f>
        <v>0</v>
      </c>
      <c r="K263" s="1">
        <f>Table19[[#This Row],[النولون]]+Table19[[#This Row],[الايصالات]]-Table19[[#This Row],[خصم أ ت ص]]+Table19[[#This Row],[قيمة مضافة]]</f>
        <v>0</v>
      </c>
      <c r="M263" s="1">
        <f>M262+Table19[[#This Row],[اجمالي الفاتوره]]-Table19[[#This Row],[الدفعات]]</f>
        <v>53530.729999999981</v>
      </c>
      <c r="O263" s="95"/>
    </row>
    <row r="264" spans="8:15" ht="24" customHeight="1" x14ac:dyDescent="0.3">
      <c r="H264" s="1">
        <f>0.14*Table19[[#This Row],[النولون]]</f>
        <v>0</v>
      </c>
      <c r="K264" s="1">
        <f>Table19[[#This Row],[النولون]]+Table19[[#This Row],[الايصالات]]-Table19[[#This Row],[خصم أ ت ص]]+Table19[[#This Row],[قيمة مضافة]]</f>
        <v>0</v>
      </c>
      <c r="M264" s="1">
        <f>M263+Table19[[#This Row],[اجمالي الفاتوره]]-Table19[[#This Row],[الدفعات]]</f>
        <v>53530.729999999981</v>
      </c>
      <c r="O264" s="95"/>
    </row>
    <row r="265" spans="8:15" ht="24" customHeight="1" x14ac:dyDescent="0.3">
      <c r="H265" s="1">
        <f>0.14*Table19[[#This Row],[النولون]]</f>
        <v>0</v>
      </c>
      <c r="K265" s="1">
        <f>Table19[[#This Row],[النولون]]+Table19[[#This Row],[الايصالات]]-Table19[[#This Row],[خصم أ ت ص]]+Table19[[#This Row],[قيمة مضافة]]</f>
        <v>0</v>
      </c>
      <c r="M265" s="1">
        <f>M264+Table19[[#This Row],[اجمالي الفاتوره]]-Table19[[#This Row],[الدفعات]]</f>
        <v>53530.729999999981</v>
      </c>
      <c r="O265" s="95"/>
    </row>
    <row r="266" spans="8:15" ht="24" customHeight="1" x14ac:dyDescent="0.3">
      <c r="H266" s="1">
        <f>0.14*Table19[[#This Row],[النولون]]</f>
        <v>0</v>
      </c>
      <c r="K266" s="1">
        <f>Table19[[#This Row],[النولون]]+Table19[[#This Row],[الايصالات]]-Table19[[#This Row],[خصم أ ت ص]]+Table19[[#This Row],[قيمة مضافة]]</f>
        <v>0</v>
      </c>
      <c r="M266" s="1">
        <f>M265+Table19[[#This Row],[اجمالي الفاتوره]]-Table19[[#This Row],[الدفعات]]</f>
        <v>53530.729999999981</v>
      </c>
      <c r="O266" s="95"/>
    </row>
    <row r="267" spans="8:15" ht="24" customHeight="1" x14ac:dyDescent="0.3">
      <c r="H267" s="1">
        <f>0.14*Table19[[#This Row],[النولون]]</f>
        <v>0</v>
      </c>
      <c r="K267" s="1">
        <f>Table19[[#This Row],[النولون]]+Table19[[#This Row],[الايصالات]]-Table19[[#This Row],[خصم أ ت ص]]+Table19[[#This Row],[قيمة مضافة]]</f>
        <v>0</v>
      </c>
      <c r="M267" s="1">
        <f>M266+Table19[[#This Row],[اجمالي الفاتوره]]-Table19[[#This Row],[الدفعات]]</f>
        <v>53530.729999999981</v>
      </c>
      <c r="O267" s="95"/>
    </row>
    <row r="268" spans="8:15" ht="24" customHeight="1" x14ac:dyDescent="0.3">
      <c r="H268" s="1">
        <f>0.14*Table19[[#This Row],[النولون]]</f>
        <v>0</v>
      </c>
      <c r="K268" s="1">
        <f>Table19[[#This Row],[النولون]]+Table19[[#This Row],[الايصالات]]-Table19[[#This Row],[خصم أ ت ص]]+Table19[[#This Row],[قيمة مضافة]]</f>
        <v>0</v>
      </c>
      <c r="M268" s="1">
        <f>M267+Table19[[#This Row],[اجمالي الفاتوره]]-Table19[[#This Row],[الدفعات]]</f>
        <v>53530.729999999981</v>
      </c>
      <c r="O268" s="95"/>
    </row>
    <row r="269" spans="8:15" ht="24" customHeight="1" x14ac:dyDescent="0.3">
      <c r="H269" s="1">
        <f>0.14*Table19[[#This Row],[النولون]]</f>
        <v>0</v>
      </c>
      <c r="K269" s="1">
        <f>Table19[[#This Row],[النولون]]+Table19[[#This Row],[الايصالات]]-Table19[[#This Row],[خصم أ ت ص]]+Table19[[#This Row],[قيمة مضافة]]</f>
        <v>0</v>
      </c>
      <c r="M269" s="1">
        <f>M268+Table19[[#This Row],[اجمالي الفاتوره]]-Table19[[#This Row],[الدفعات]]</f>
        <v>53530.729999999981</v>
      </c>
      <c r="O269" s="95"/>
    </row>
    <row r="270" spans="8:15" ht="24" customHeight="1" x14ac:dyDescent="0.3">
      <c r="H270" s="1">
        <f>0.14*Table19[[#This Row],[النولون]]</f>
        <v>0</v>
      </c>
      <c r="K270" s="1">
        <f>Table19[[#This Row],[النولون]]+Table19[[#This Row],[الايصالات]]-Table19[[#This Row],[خصم أ ت ص]]+Table19[[#This Row],[قيمة مضافة]]</f>
        <v>0</v>
      </c>
      <c r="M270" s="1">
        <f>M269+Table19[[#This Row],[اجمالي الفاتوره]]-Table19[[#This Row],[الدفعات]]</f>
        <v>53530.729999999981</v>
      </c>
      <c r="O270" s="95"/>
    </row>
    <row r="271" spans="8:15" ht="24" customHeight="1" x14ac:dyDescent="0.3">
      <c r="H271" s="1">
        <f>0.14*Table19[[#This Row],[النولون]]</f>
        <v>0</v>
      </c>
      <c r="K271" s="1">
        <f>Table19[[#This Row],[النولون]]+Table19[[#This Row],[الايصالات]]-Table19[[#This Row],[خصم أ ت ص]]+Table19[[#This Row],[قيمة مضافة]]</f>
        <v>0</v>
      </c>
      <c r="M271" s="1">
        <f>M270+Table19[[#This Row],[اجمالي الفاتوره]]-Table19[[#This Row],[الدفعات]]</f>
        <v>53530.729999999981</v>
      </c>
      <c r="O271" s="95"/>
    </row>
    <row r="272" spans="8:15" ht="24" customHeight="1" x14ac:dyDescent="0.3">
      <c r="H272" s="1">
        <f>0.14*Table19[[#This Row],[النولون]]</f>
        <v>0</v>
      </c>
      <c r="K272" s="1">
        <f>Table19[[#This Row],[النولون]]+Table19[[#This Row],[الايصالات]]-Table19[[#This Row],[خصم أ ت ص]]+Table19[[#This Row],[قيمة مضافة]]</f>
        <v>0</v>
      </c>
      <c r="M272" s="1">
        <f>M271+Table19[[#This Row],[اجمالي الفاتوره]]-Table19[[#This Row],[الدفعات]]</f>
        <v>53530.729999999981</v>
      </c>
      <c r="O272" s="95"/>
    </row>
    <row r="273" spans="8:15" ht="24" customHeight="1" x14ac:dyDescent="0.3">
      <c r="H273" s="1">
        <f>0.14*Table19[[#This Row],[النولون]]</f>
        <v>0</v>
      </c>
      <c r="K273" s="1">
        <f>Table19[[#This Row],[النولون]]+Table19[[#This Row],[الايصالات]]-Table19[[#This Row],[خصم أ ت ص]]+Table19[[#This Row],[قيمة مضافة]]</f>
        <v>0</v>
      </c>
      <c r="M273" s="1">
        <f>M272+Table19[[#This Row],[اجمالي الفاتوره]]-Table19[[#This Row],[الدفعات]]</f>
        <v>53530.729999999981</v>
      </c>
      <c r="O273" s="95"/>
    </row>
    <row r="274" spans="8:15" ht="24" customHeight="1" x14ac:dyDescent="0.3">
      <c r="H274" s="1">
        <f>0.14*Table19[[#This Row],[النولون]]</f>
        <v>0</v>
      </c>
      <c r="K274" s="1">
        <f>Table19[[#This Row],[النولون]]+Table19[[#This Row],[الايصالات]]-Table19[[#This Row],[خصم أ ت ص]]+Table19[[#This Row],[قيمة مضافة]]</f>
        <v>0</v>
      </c>
      <c r="M274" s="1">
        <f>M273+Table19[[#This Row],[اجمالي الفاتوره]]-Table19[[#This Row],[الدفعات]]</f>
        <v>53530.729999999981</v>
      </c>
      <c r="O274" s="95"/>
    </row>
    <row r="275" spans="8:15" ht="24" customHeight="1" x14ac:dyDescent="0.3">
      <c r="H275" s="1">
        <f>0.14*Table19[[#This Row],[النولون]]</f>
        <v>0</v>
      </c>
      <c r="K275" s="1">
        <f>Table19[[#This Row],[النولون]]+Table19[[#This Row],[الايصالات]]-Table19[[#This Row],[خصم أ ت ص]]+Table19[[#This Row],[قيمة مضافة]]</f>
        <v>0</v>
      </c>
      <c r="M275" s="1">
        <f>M274+Table19[[#This Row],[اجمالي الفاتوره]]-Table19[[#This Row],[الدفعات]]</f>
        <v>53530.729999999981</v>
      </c>
      <c r="O275" s="95"/>
    </row>
    <row r="276" spans="8:15" ht="24" customHeight="1" x14ac:dyDescent="0.3">
      <c r="H276" s="1">
        <f>0.14*Table19[[#This Row],[النولون]]</f>
        <v>0</v>
      </c>
      <c r="K276" s="1">
        <f>Table19[[#This Row],[النولون]]+Table19[[#This Row],[الايصالات]]-Table19[[#This Row],[خصم أ ت ص]]+Table19[[#This Row],[قيمة مضافة]]</f>
        <v>0</v>
      </c>
      <c r="M276" s="1">
        <f>M275+Table19[[#This Row],[اجمالي الفاتوره]]-Table19[[#This Row],[الدفعات]]</f>
        <v>53530.729999999981</v>
      </c>
      <c r="O276" s="95"/>
    </row>
    <row r="277" spans="8:15" ht="24" customHeight="1" x14ac:dyDescent="0.3">
      <c r="H277" s="1">
        <f>0.14*Table19[[#This Row],[النولون]]</f>
        <v>0</v>
      </c>
      <c r="K277" s="1">
        <f>Table19[[#This Row],[النولون]]+Table19[[#This Row],[الايصالات]]-Table19[[#This Row],[خصم أ ت ص]]+Table19[[#This Row],[قيمة مضافة]]</f>
        <v>0</v>
      </c>
      <c r="M277" s="1">
        <f>M276+Table19[[#This Row],[اجمالي الفاتوره]]-Table19[[#This Row],[الدفعات]]</f>
        <v>53530.729999999981</v>
      </c>
      <c r="O277" s="95"/>
    </row>
    <row r="278" spans="8:15" ht="24" customHeight="1" x14ac:dyDescent="0.3">
      <c r="H278" s="1">
        <f>0.14*Table19[[#This Row],[النولون]]</f>
        <v>0</v>
      </c>
      <c r="K278" s="1">
        <f>Table19[[#This Row],[النولون]]+Table19[[#This Row],[الايصالات]]-Table19[[#This Row],[خصم أ ت ص]]+Table19[[#This Row],[قيمة مضافة]]</f>
        <v>0</v>
      </c>
      <c r="M278" s="1">
        <f>M277+Table19[[#This Row],[اجمالي الفاتوره]]-Table19[[#This Row],[الدفعات]]</f>
        <v>53530.729999999981</v>
      </c>
      <c r="O278" s="95"/>
    </row>
    <row r="279" spans="8:15" ht="24" customHeight="1" x14ac:dyDescent="0.3">
      <c r="H279" s="1">
        <f>0.14*Table19[[#This Row],[النولون]]</f>
        <v>0</v>
      </c>
      <c r="K279" s="1">
        <f>Table19[[#This Row],[النولون]]+Table19[[#This Row],[الايصالات]]-Table19[[#This Row],[خصم أ ت ص]]+Table19[[#This Row],[قيمة مضافة]]</f>
        <v>0</v>
      </c>
      <c r="M279" s="1">
        <f>M278+Table19[[#This Row],[اجمالي الفاتوره]]-Table19[[#This Row],[الدفعات]]</f>
        <v>53530.729999999981</v>
      </c>
      <c r="O279" s="95"/>
    </row>
    <row r="280" spans="8:15" ht="24" customHeight="1" x14ac:dyDescent="0.3">
      <c r="H280" s="1">
        <f>0.14*Table19[[#This Row],[النولون]]</f>
        <v>0</v>
      </c>
      <c r="K280" s="1">
        <f>Table19[[#This Row],[النولون]]+Table19[[#This Row],[الايصالات]]-Table19[[#This Row],[خصم أ ت ص]]+Table19[[#This Row],[قيمة مضافة]]</f>
        <v>0</v>
      </c>
      <c r="M280" s="1">
        <f>M279+Table19[[#This Row],[اجمالي الفاتوره]]-Table19[[#This Row],[الدفعات]]</f>
        <v>53530.729999999981</v>
      </c>
      <c r="O280" s="95"/>
    </row>
    <row r="281" spans="8:15" ht="24" customHeight="1" x14ac:dyDescent="0.3">
      <c r="H281" s="1">
        <f>0.14*Table19[[#This Row],[النولون]]</f>
        <v>0</v>
      </c>
      <c r="K281" s="1">
        <f>Table19[[#This Row],[النولون]]+Table19[[#This Row],[الايصالات]]-Table19[[#This Row],[خصم أ ت ص]]+Table19[[#This Row],[قيمة مضافة]]</f>
        <v>0</v>
      </c>
      <c r="M281" s="1">
        <f>M280+Table19[[#This Row],[اجمالي الفاتوره]]-Table19[[#This Row],[الدفعات]]</f>
        <v>53530.729999999981</v>
      </c>
      <c r="O281" s="95"/>
    </row>
    <row r="282" spans="8:15" ht="24" customHeight="1" x14ac:dyDescent="0.3">
      <c r="H282" s="1">
        <f>0.14*Table19[[#This Row],[النولون]]</f>
        <v>0</v>
      </c>
      <c r="K282" s="1">
        <f>Table19[[#This Row],[النولون]]+Table19[[#This Row],[الايصالات]]-Table19[[#This Row],[خصم أ ت ص]]+Table19[[#This Row],[قيمة مضافة]]</f>
        <v>0</v>
      </c>
      <c r="M282" s="1">
        <f>M281+Table19[[#This Row],[اجمالي الفاتوره]]-Table19[[#This Row],[الدفعات]]</f>
        <v>53530.729999999981</v>
      </c>
      <c r="O282" s="95"/>
    </row>
    <row r="283" spans="8:15" ht="24" customHeight="1" x14ac:dyDescent="0.3">
      <c r="H283" s="1">
        <f>0.14*Table19[[#This Row],[النولون]]</f>
        <v>0</v>
      </c>
      <c r="K283" s="1">
        <f>Table19[[#This Row],[النولون]]+Table19[[#This Row],[الايصالات]]-Table19[[#This Row],[خصم أ ت ص]]+Table19[[#This Row],[قيمة مضافة]]</f>
        <v>0</v>
      </c>
      <c r="M283" s="1">
        <f>M282+Table19[[#This Row],[اجمالي الفاتوره]]-Table19[[#This Row],[الدفعات]]</f>
        <v>53530.729999999981</v>
      </c>
      <c r="O283" s="95"/>
    </row>
    <row r="284" spans="8:15" ht="24" customHeight="1" x14ac:dyDescent="0.3">
      <c r="H284" s="1">
        <f>0.14*Table19[[#This Row],[النولون]]</f>
        <v>0</v>
      </c>
      <c r="K284" s="1">
        <f>Table19[[#This Row],[النولون]]+Table19[[#This Row],[الايصالات]]-Table19[[#This Row],[خصم أ ت ص]]+Table19[[#This Row],[قيمة مضافة]]</f>
        <v>0</v>
      </c>
      <c r="M284" s="1">
        <f>M283+Table19[[#This Row],[اجمالي الفاتوره]]-Table19[[#This Row],[الدفعات]]</f>
        <v>53530.729999999981</v>
      </c>
      <c r="O284" s="95"/>
    </row>
    <row r="285" spans="8:15" ht="24" customHeight="1" x14ac:dyDescent="0.3">
      <c r="H285" s="1">
        <f>0.14*Table19[[#This Row],[النولون]]</f>
        <v>0</v>
      </c>
      <c r="K285" s="1">
        <f>Table19[[#This Row],[النولون]]+Table19[[#This Row],[الايصالات]]-Table19[[#This Row],[خصم أ ت ص]]+Table19[[#This Row],[قيمة مضافة]]</f>
        <v>0</v>
      </c>
      <c r="M285" s="1">
        <f>M284+Table19[[#This Row],[اجمالي الفاتوره]]-Table19[[#This Row],[الدفعات]]</f>
        <v>53530.729999999981</v>
      </c>
      <c r="O285" s="95"/>
    </row>
    <row r="286" spans="8:15" ht="24" customHeight="1" x14ac:dyDescent="0.3">
      <c r="H286" s="1">
        <f>0.14*Table19[[#This Row],[النولون]]</f>
        <v>0</v>
      </c>
      <c r="K286" s="1">
        <f>Table19[[#This Row],[النولون]]+Table19[[#This Row],[الايصالات]]-Table19[[#This Row],[خصم أ ت ص]]+Table19[[#This Row],[قيمة مضافة]]</f>
        <v>0</v>
      </c>
      <c r="M286" s="1">
        <f>M285+Table19[[#This Row],[اجمالي الفاتوره]]-Table19[[#This Row],[الدفعات]]</f>
        <v>53530.729999999981</v>
      </c>
      <c r="O286" s="95"/>
    </row>
    <row r="287" spans="8:15" ht="24" customHeight="1" x14ac:dyDescent="0.3">
      <c r="H287" s="1">
        <f>0.14*Table19[[#This Row],[النولون]]</f>
        <v>0</v>
      </c>
      <c r="K287" s="1">
        <f>Table19[[#This Row],[النولون]]+Table19[[#This Row],[الايصالات]]-Table19[[#This Row],[خصم أ ت ص]]+Table19[[#This Row],[قيمة مضافة]]</f>
        <v>0</v>
      </c>
      <c r="M287" s="1">
        <f>M286+Table19[[#This Row],[اجمالي الفاتوره]]-Table19[[#This Row],[الدفعات]]</f>
        <v>53530.729999999981</v>
      </c>
      <c r="O287" s="95"/>
    </row>
    <row r="288" spans="8:15" ht="24" customHeight="1" x14ac:dyDescent="0.3">
      <c r="H288" s="1">
        <f>0.14*Table19[[#This Row],[النولون]]</f>
        <v>0</v>
      </c>
      <c r="K288" s="1">
        <f>Table19[[#This Row],[النولون]]+Table19[[#This Row],[الايصالات]]-Table19[[#This Row],[خصم أ ت ص]]+Table19[[#This Row],[قيمة مضافة]]</f>
        <v>0</v>
      </c>
      <c r="M288" s="1">
        <f>M287+Table19[[#This Row],[اجمالي الفاتوره]]-Table19[[#This Row],[الدفعات]]</f>
        <v>53530.729999999981</v>
      </c>
      <c r="O288" s="95"/>
    </row>
    <row r="289" spans="8:15" ht="24" customHeight="1" x14ac:dyDescent="0.3">
      <c r="H289" s="1">
        <f>0.14*Table19[[#This Row],[النولون]]</f>
        <v>0</v>
      </c>
      <c r="K289" s="1">
        <f>Table19[[#This Row],[النولون]]+Table19[[#This Row],[الايصالات]]-Table19[[#This Row],[خصم أ ت ص]]+Table19[[#This Row],[قيمة مضافة]]</f>
        <v>0</v>
      </c>
      <c r="M289" s="1">
        <f>M288+Table19[[#This Row],[اجمالي الفاتوره]]-Table19[[#This Row],[الدفعات]]</f>
        <v>53530.729999999981</v>
      </c>
      <c r="O289" s="95"/>
    </row>
    <row r="290" spans="8:15" ht="24" customHeight="1" x14ac:dyDescent="0.3">
      <c r="H290" s="1">
        <f>0.14*Table19[[#This Row],[النولون]]</f>
        <v>0</v>
      </c>
      <c r="K290" s="1">
        <f>Table19[[#This Row],[النولون]]+Table19[[#This Row],[الايصالات]]-Table19[[#This Row],[خصم أ ت ص]]+Table19[[#This Row],[قيمة مضافة]]</f>
        <v>0</v>
      </c>
      <c r="M290" s="1">
        <f>M289+Table19[[#This Row],[اجمالي الفاتوره]]-Table19[[#This Row],[الدفعات]]</f>
        <v>53530.729999999981</v>
      </c>
      <c r="O290" s="95"/>
    </row>
    <row r="291" spans="8:15" ht="24" customHeight="1" x14ac:dyDescent="0.3">
      <c r="H291" s="1">
        <f>0.14*Table19[[#This Row],[النولون]]</f>
        <v>0</v>
      </c>
      <c r="K291" s="1">
        <f>Table19[[#This Row],[النولون]]+Table19[[#This Row],[الايصالات]]-Table19[[#This Row],[خصم أ ت ص]]+Table19[[#This Row],[قيمة مضافة]]</f>
        <v>0</v>
      </c>
      <c r="M291" s="1">
        <f>M290+Table19[[#This Row],[اجمالي الفاتوره]]-Table19[[#This Row],[الدفعات]]</f>
        <v>53530.729999999981</v>
      </c>
      <c r="O291" s="95"/>
    </row>
    <row r="292" spans="8:15" ht="24" customHeight="1" x14ac:dyDescent="0.3">
      <c r="H292" s="1">
        <f>0.14*Table19[[#This Row],[النولون]]</f>
        <v>0</v>
      </c>
      <c r="K292" s="1">
        <f>Table19[[#This Row],[النولون]]+Table19[[#This Row],[الايصالات]]-Table19[[#This Row],[خصم أ ت ص]]+Table19[[#This Row],[قيمة مضافة]]</f>
        <v>0</v>
      </c>
      <c r="M292" s="1">
        <f>M291+Table19[[#This Row],[اجمالي الفاتوره]]-Table19[[#This Row],[الدفعات]]</f>
        <v>53530.729999999981</v>
      </c>
      <c r="O292" s="95"/>
    </row>
    <row r="293" spans="8:15" ht="24" customHeight="1" x14ac:dyDescent="0.3">
      <c r="H293" s="1">
        <f>0.14*Table19[[#This Row],[النولون]]</f>
        <v>0</v>
      </c>
      <c r="K293" s="1">
        <f>Table19[[#This Row],[النولون]]+Table19[[#This Row],[الايصالات]]-Table19[[#This Row],[خصم أ ت ص]]+Table19[[#This Row],[قيمة مضافة]]</f>
        <v>0</v>
      </c>
      <c r="M293" s="1">
        <f>M292+Table19[[#This Row],[اجمالي الفاتوره]]-Table19[[#This Row],[الدفعات]]</f>
        <v>53530.729999999981</v>
      </c>
      <c r="O293" s="95"/>
    </row>
    <row r="294" spans="8:15" ht="24" customHeight="1" x14ac:dyDescent="0.3">
      <c r="H294" s="1">
        <f>0.14*Table19[[#This Row],[النولون]]</f>
        <v>0</v>
      </c>
      <c r="K294" s="1">
        <f>Table19[[#This Row],[النولون]]+Table19[[#This Row],[الايصالات]]-Table19[[#This Row],[خصم أ ت ص]]+Table19[[#This Row],[قيمة مضافة]]</f>
        <v>0</v>
      </c>
      <c r="M294" s="1">
        <f>M293+Table19[[#This Row],[اجمالي الفاتوره]]-Table19[[#This Row],[الدفعات]]</f>
        <v>53530.729999999981</v>
      </c>
      <c r="O294" s="95"/>
    </row>
    <row r="295" spans="8:15" ht="24" customHeight="1" x14ac:dyDescent="0.3">
      <c r="H295" s="1">
        <f>0.14*Table19[[#This Row],[النولون]]</f>
        <v>0</v>
      </c>
      <c r="K295" s="1">
        <f>Table19[[#This Row],[النولون]]+Table19[[#This Row],[الايصالات]]-Table19[[#This Row],[خصم أ ت ص]]+Table19[[#This Row],[قيمة مضافة]]</f>
        <v>0</v>
      </c>
      <c r="M295" s="1">
        <f>M294+Table19[[#This Row],[اجمالي الفاتوره]]-Table19[[#This Row],[الدفعات]]</f>
        <v>53530.729999999981</v>
      </c>
      <c r="O295" s="95"/>
    </row>
    <row r="296" spans="8:15" ht="24" customHeight="1" x14ac:dyDescent="0.3">
      <c r="H296" s="1">
        <f>0.14*Table19[[#This Row],[النولون]]</f>
        <v>0</v>
      </c>
      <c r="K296" s="1">
        <f>Table19[[#This Row],[النولون]]+Table19[[#This Row],[الايصالات]]-Table19[[#This Row],[خصم أ ت ص]]+Table19[[#This Row],[قيمة مضافة]]</f>
        <v>0</v>
      </c>
      <c r="M296" s="1">
        <f>M295+Table19[[#This Row],[اجمالي الفاتوره]]-Table19[[#This Row],[الدفعات]]</f>
        <v>53530.729999999981</v>
      </c>
      <c r="O296" s="95"/>
    </row>
    <row r="297" spans="8:15" ht="24" customHeight="1" x14ac:dyDescent="0.3">
      <c r="H297" s="1">
        <f>0.14*Table19[[#This Row],[النولون]]</f>
        <v>0</v>
      </c>
      <c r="K297" s="1">
        <f>Table19[[#This Row],[النولون]]+Table19[[#This Row],[الايصالات]]-Table19[[#This Row],[خصم أ ت ص]]+Table19[[#This Row],[قيمة مضافة]]</f>
        <v>0</v>
      </c>
      <c r="M297" s="1">
        <f>M296+Table19[[#This Row],[اجمالي الفاتوره]]-Table19[[#This Row],[الدفعات]]</f>
        <v>53530.729999999981</v>
      </c>
      <c r="O297" s="95"/>
    </row>
    <row r="298" spans="8:15" ht="24" customHeight="1" x14ac:dyDescent="0.3">
      <c r="H298" s="1">
        <f>0.14*Table19[[#This Row],[النولون]]</f>
        <v>0</v>
      </c>
      <c r="K298" s="1">
        <f>Table19[[#This Row],[النولون]]+Table19[[#This Row],[الايصالات]]-Table19[[#This Row],[خصم أ ت ص]]+Table19[[#This Row],[قيمة مضافة]]</f>
        <v>0</v>
      </c>
      <c r="M298" s="1">
        <f>M297+Table19[[#This Row],[اجمالي الفاتوره]]-Table19[[#This Row],[الدفعات]]</f>
        <v>53530.729999999981</v>
      </c>
      <c r="O298" s="95"/>
    </row>
    <row r="299" spans="8:15" ht="24" customHeight="1" x14ac:dyDescent="0.3">
      <c r="H299" s="1">
        <f>0.14*Table19[[#This Row],[النولون]]</f>
        <v>0</v>
      </c>
      <c r="K299" s="1">
        <f>Table19[[#This Row],[النولون]]+Table19[[#This Row],[الايصالات]]-Table19[[#This Row],[خصم أ ت ص]]+Table19[[#This Row],[قيمة مضافة]]</f>
        <v>0</v>
      </c>
      <c r="M299" s="1">
        <f>M298+Table19[[#This Row],[اجمالي الفاتوره]]-Table19[[#This Row],[الدفعات]]</f>
        <v>53530.729999999981</v>
      </c>
      <c r="O299" s="95"/>
    </row>
    <row r="300" spans="8:15" ht="24" customHeight="1" x14ac:dyDescent="0.3">
      <c r="H300" s="1">
        <f>0.14*Table19[[#This Row],[النولون]]</f>
        <v>0</v>
      </c>
      <c r="K300" s="1">
        <f>Table19[[#This Row],[النولون]]+Table19[[#This Row],[الايصالات]]-Table19[[#This Row],[خصم أ ت ص]]+Table19[[#This Row],[قيمة مضافة]]</f>
        <v>0</v>
      </c>
      <c r="M300" s="1">
        <f>M299+Table19[[#This Row],[اجمالي الفاتوره]]-Table19[[#This Row],[الدفعات]]</f>
        <v>53530.729999999981</v>
      </c>
      <c r="O300" s="95"/>
    </row>
    <row r="301" spans="8:15" ht="24" customHeight="1" x14ac:dyDescent="0.3">
      <c r="H301" s="1">
        <f>0.14*Table19[[#This Row],[النولون]]</f>
        <v>0</v>
      </c>
      <c r="K301" s="1">
        <f>Table19[[#This Row],[النولون]]+Table19[[#This Row],[الايصالات]]-Table19[[#This Row],[خصم أ ت ص]]+Table19[[#This Row],[قيمة مضافة]]</f>
        <v>0</v>
      </c>
      <c r="M301" s="1">
        <f>M300+Table19[[#This Row],[اجمالي الفاتوره]]-Table19[[#This Row],[الدفعات]]</f>
        <v>53530.729999999981</v>
      </c>
      <c r="O301" s="95"/>
    </row>
    <row r="302" spans="8:15" ht="24" customHeight="1" x14ac:dyDescent="0.3">
      <c r="H302" s="1">
        <f>0.14*Table19[[#This Row],[النولون]]</f>
        <v>0</v>
      </c>
      <c r="K302" s="1">
        <f>Table19[[#This Row],[النولون]]+Table19[[#This Row],[الايصالات]]-Table19[[#This Row],[خصم أ ت ص]]+Table19[[#This Row],[قيمة مضافة]]</f>
        <v>0</v>
      </c>
      <c r="M302" s="1">
        <f>M301+Table19[[#This Row],[اجمالي الفاتوره]]-Table19[[#This Row],[الدفعات]]</f>
        <v>53530.729999999981</v>
      </c>
      <c r="O302" s="95"/>
    </row>
    <row r="303" spans="8:15" ht="24" customHeight="1" x14ac:dyDescent="0.3">
      <c r="H303" s="1">
        <f>0.14*Table19[[#This Row],[النولون]]</f>
        <v>0</v>
      </c>
      <c r="K303" s="1">
        <f>Table19[[#This Row],[النولون]]+Table19[[#This Row],[الايصالات]]-Table19[[#This Row],[خصم أ ت ص]]+Table19[[#This Row],[قيمة مضافة]]</f>
        <v>0</v>
      </c>
      <c r="M303" s="1">
        <f>M302+Table19[[#This Row],[اجمالي الفاتوره]]-Table19[[#This Row],[الدفعات]]</f>
        <v>53530.729999999981</v>
      </c>
      <c r="O303" s="95"/>
    </row>
    <row r="304" spans="8:15" ht="24" customHeight="1" x14ac:dyDescent="0.3">
      <c r="H304" s="1">
        <f>0.14*Table19[[#This Row],[النولون]]</f>
        <v>0</v>
      </c>
      <c r="K304" s="1">
        <f>Table19[[#This Row],[النولون]]+Table19[[#This Row],[الايصالات]]-Table19[[#This Row],[خصم أ ت ص]]+Table19[[#This Row],[قيمة مضافة]]</f>
        <v>0</v>
      </c>
      <c r="M304" s="1">
        <f>M303+Table19[[#This Row],[اجمالي الفاتوره]]-Table19[[#This Row],[الدفعات]]</f>
        <v>53530.729999999981</v>
      </c>
      <c r="O304" s="95"/>
    </row>
    <row r="305" spans="8:15" ht="24" customHeight="1" x14ac:dyDescent="0.3">
      <c r="H305" s="1">
        <f>0.14*Table19[[#This Row],[النولون]]</f>
        <v>0</v>
      </c>
      <c r="K305" s="1">
        <f>Table19[[#This Row],[النولون]]+Table19[[#This Row],[الايصالات]]-Table19[[#This Row],[خصم أ ت ص]]+Table19[[#This Row],[قيمة مضافة]]</f>
        <v>0</v>
      </c>
      <c r="M305" s="1">
        <f>M304+Table19[[#This Row],[اجمالي الفاتوره]]-Table19[[#This Row],[الدفعات]]</f>
        <v>53530.729999999981</v>
      </c>
      <c r="O305" s="95"/>
    </row>
    <row r="306" spans="8:15" ht="24" customHeight="1" x14ac:dyDescent="0.3">
      <c r="H306" s="1">
        <f>0.14*Table19[[#This Row],[النولون]]</f>
        <v>0</v>
      </c>
      <c r="K306" s="1">
        <f>Table19[[#This Row],[النولون]]+Table19[[#This Row],[الايصالات]]-Table19[[#This Row],[خصم أ ت ص]]+Table19[[#This Row],[قيمة مضافة]]</f>
        <v>0</v>
      </c>
      <c r="M306" s="1">
        <f>M305+Table19[[#This Row],[اجمالي الفاتوره]]-Table19[[#This Row],[الدفعات]]</f>
        <v>53530.729999999981</v>
      </c>
      <c r="O306" s="95"/>
    </row>
    <row r="307" spans="8:15" ht="24" customHeight="1" x14ac:dyDescent="0.3">
      <c r="H307" s="1">
        <f>0.14*Table19[[#This Row],[النولون]]</f>
        <v>0</v>
      </c>
      <c r="K307" s="1">
        <f>Table19[[#This Row],[النولون]]+Table19[[#This Row],[الايصالات]]-Table19[[#This Row],[خصم أ ت ص]]+Table19[[#This Row],[قيمة مضافة]]</f>
        <v>0</v>
      </c>
      <c r="M307" s="1">
        <f>M306+Table19[[#This Row],[اجمالي الفاتوره]]-Table19[[#This Row],[الدفعات]]</f>
        <v>53530.729999999981</v>
      </c>
      <c r="O307" s="95"/>
    </row>
    <row r="308" spans="8:15" ht="24" customHeight="1" x14ac:dyDescent="0.3">
      <c r="H308" s="1">
        <f>0.14*Table19[[#This Row],[النولون]]</f>
        <v>0</v>
      </c>
      <c r="K308" s="1">
        <f>Table19[[#This Row],[النولون]]+Table19[[#This Row],[الايصالات]]-Table19[[#This Row],[خصم أ ت ص]]+Table19[[#This Row],[قيمة مضافة]]</f>
        <v>0</v>
      </c>
      <c r="M308" s="1">
        <f>M307+Table19[[#This Row],[اجمالي الفاتوره]]-Table19[[#This Row],[الدفعات]]</f>
        <v>53530.729999999981</v>
      </c>
      <c r="O308" s="95"/>
    </row>
    <row r="309" spans="8:15" ht="24" customHeight="1" x14ac:dyDescent="0.3">
      <c r="H309" s="1">
        <f>0.14*Table19[[#This Row],[النولون]]</f>
        <v>0</v>
      </c>
      <c r="K309" s="1">
        <f>Table19[[#This Row],[النولون]]+Table19[[#This Row],[الايصالات]]-Table19[[#This Row],[خصم أ ت ص]]+Table19[[#This Row],[قيمة مضافة]]</f>
        <v>0</v>
      </c>
      <c r="M309" s="1">
        <f>M308+Table19[[#This Row],[اجمالي الفاتوره]]-Table19[[#This Row],[الدفعات]]</f>
        <v>53530.729999999981</v>
      </c>
      <c r="O309" s="95"/>
    </row>
    <row r="310" spans="8:15" ht="24" customHeight="1" x14ac:dyDescent="0.3">
      <c r="H310" s="1">
        <f>0.14*Table19[[#This Row],[النولون]]</f>
        <v>0</v>
      </c>
      <c r="K310" s="1">
        <f>Table19[[#This Row],[النولون]]+Table19[[#This Row],[الايصالات]]-Table19[[#This Row],[خصم أ ت ص]]+Table19[[#This Row],[قيمة مضافة]]</f>
        <v>0</v>
      </c>
      <c r="M310" s="1">
        <f>M309+Table19[[#This Row],[اجمالي الفاتوره]]-Table19[[#This Row],[الدفعات]]</f>
        <v>53530.729999999981</v>
      </c>
      <c r="O310" s="95"/>
    </row>
    <row r="311" spans="8:15" ht="24" customHeight="1" x14ac:dyDescent="0.3">
      <c r="H311" s="1">
        <f>0.14*Table19[[#This Row],[النولون]]</f>
        <v>0</v>
      </c>
      <c r="K311" s="1">
        <f>Table19[[#This Row],[النولون]]+Table19[[#This Row],[الايصالات]]-Table19[[#This Row],[خصم أ ت ص]]+Table19[[#This Row],[قيمة مضافة]]</f>
        <v>0</v>
      </c>
      <c r="M311" s="1">
        <f>M310+Table19[[#This Row],[اجمالي الفاتوره]]-Table19[[#This Row],[الدفعات]]</f>
        <v>53530.729999999981</v>
      </c>
      <c r="O311" s="95"/>
    </row>
    <row r="312" spans="8:15" ht="24" customHeight="1" x14ac:dyDescent="0.3">
      <c r="H312" s="1">
        <f>0.14*Table19[[#This Row],[النولون]]</f>
        <v>0</v>
      </c>
      <c r="K312" s="1">
        <f>Table19[[#This Row],[النولون]]+Table19[[#This Row],[الايصالات]]-Table19[[#This Row],[خصم أ ت ص]]+Table19[[#This Row],[قيمة مضافة]]</f>
        <v>0</v>
      </c>
      <c r="M312" s="1">
        <f>M311+Table19[[#This Row],[اجمالي الفاتوره]]-Table19[[#This Row],[الدفعات]]</f>
        <v>53530.729999999981</v>
      </c>
      <c r="O312" s="95"/>
    </row>
    <row r="313" spans="8:15" ht="24" customHeight="1" x14ac:dyDescent="0.3">
      <c r="H313" s="1">
        <f>0.14*Table19[[#This Row],[النولون]]</f>
        <v>0</v>
      </c>
      <c r="K313" s="1">
        <f>Table19[[#This Row],[النولون]]+Table19[[#This Row],[الايصالات]]-Table19[[#This Row],[خصم أ ت ص]]+Table19[[#This Row],[قيمة مضافة]]</f>
        <v>0</v>
      </c>
      <c r="M313" s="1">
        <f>M312+Table19[[#This Row],[اجمالي الفاتوره]]-Table19[[#This Row],[الدفعات]]</f>
        <v>53530.729999999981</v>
      </c>
      <c r="O313" s="95"/>
    </row>
    <row r="314" spans="8:15" ht="24" customHeight="1" x14ac:dyDescent="0.3">
      <c r="H314" s="1">
        <f>0.14*Table19[[#This Row],[النولون]]</f>
        <v>0</v>
      </c>
      <c r="K314" s="1">
        <f>Table19[[#This Row],[النولون]]+Table19[[#This Row],[الايصالات]]-Table19[[#This Row],[خصم أ ت ص]]+Table19[[#This Row],[قيمة مضافة]]</f>
        <v>0</v>
      </c>
      <c r="M314" s="1">
        <f>M313+Table19[[#This Row],[اجمالي الفاتوره]]-Table19[[#This Row],[الدفعات]]</f>
        <v>53530.729999999981</v>
      </c>
      <c r="O314" s="95"/>
    </row>
    <row r="315" spans="8:15" ht="24" customHeight="1" x14ac:dyDescent="0.3">
      <c r="H315" s="1">
        <f>0.14*Table19[[#This Row],[النولون]]</f>
        <v>0</v>
      </c>
      <c r="K315" s="1">
        <f>Table19[[#This Row],[النولون]]+Table19[[#This Row],[الايصالات]]-Table19[[#This Row],[خصم أ ت ص]]+Table19[[#This Row],[قيمة مضافة]]</f>
        <v>0</v>
      </c>
      <c r="M315" s="1">
        <f>M314+Table19[[#This Row],[اجمالي الفاتوره]]-Table19[[#This Row],[الدفعات]]</f>
        <v>53530.729999999981</v>
      </c>
      <c r="O315" s="95"/>
    </row>
    <row r="316" spans="8:15" ht="24" customHeight="1" x14ac:dyDescent="0.3">
      <c r="H316" s="1">
        <f>0.14*Table19[[#This Row],[النولون]]</f>
        <v>0</v>
      </c>
      <c r="K316" s="1">
        <f>Table19[[#This Row],[النولون]]+Table19[[#This Row],[الايصالات]]-Table19[[#This Row],[خصم أ ت ص]]+Table19[[#This Row],[قيمة مضافة]]</f>
        <v>0</v>
      </c>
      <c r="M316" s="1">
        <f>M315+Table19[[#This Row],[اجمالي الفاتوره]]-Table19[[#This Row],[الدفعات]]</f>
        <v>53530.729999999981</v>
      </c>
      <c r="O316" s="95"/>
    </row>
    <row r="317" spans="8:15" ht="24" customHeight="1" x14ac:dyDescent="0.3">
      <c r="H317" s="1">
        <f>0.14*Table19[[#This Row],[النولون]]</f>
        <v>0</v>
      </c>
      <c r="K317" s="1">
        <f>Table19[[#This Row],[النولون]]+Table19[[#This Row],[الايصالات]]-Table19[[#This Row],[خصم أ ت ص]]+Table19[[#This Row],[قيمة مضافة]]</f>
        <v>0</v>
      </c>
      <c r="M317" s="1">
        <f>M316+Table19[[#This Row],[اجمالي الفاتوره]]-Table19[[#This Row],[الدفعات]]</f>
        <v>53530.729999999981</v>
      </c>
      <c r="O317" s="95"/>
    </row>
    <row r="318" spans="8:15" ht="24" customHeight="1" x14ac:dyDescent="0.3">
      <c r="H318" s="1">
        <f>0.14*Table19[[#This Row],[النولون]]</f>
        <v>0</v>
      </c>
      <c r="K318" s="1">
        <f>Table19[[#This Row],[النولون]]+Table19[[#This Row],[الايصالات]]-Table19[[#This Row],[خصم أ ت ص]]+Table19[[#This Row],[قيمة مضافة]]</f>
        <v>0</v>
      </c>
      <c r="M318" s="1">
        <f>M317+Table19[[#This Row],[اجمالي الفاتوره]]-Table19[[#This Row],[الدفعات]]</f>
        <v>53530.729999999981</v>
      </c>
      <c r="O318" s="95"/>
    </row>
    <row r="319" spans="8:15" ht="24" customHeight="1" x14ac:dyDescent="0.3">
      <c r="H319" s="1">
        <f>0.14*Table19[[#This Row],[النولون]]</f>
        <v>0</v>
      </c>
      <c r="K319" s="1">
        <f>Table19[[#This Row],[النولون]]+Table19[[#This Row],[الايصالات]]-Table19[[#This Row],[خصم أ ت ص]]+Table19[[#This Row],[قيمة مضافة]]</f>
        <v>0</v>
      </c>
      <c r="M319" s="1">
        <f>M318+Table19[[#This Row],[اجمالي الفاتوره]]-Table19[[#This Row],[الدفعات]]</f>
        <v>53530.729999999981</v>
      </c>
      <c r="O319" s="95"/>
    </row>
    <row r="320" spans="8:15" ht="24" customHeight="1" x14ac:dyDescent="0.3">
      <c r="H320" s="1">
        <f>0.14*Table19[[#This Row],[النولون]]</f>
        <v>0</v>
      </c>
      <c r="K320" s="1">
        <f>Table19[[#This Row],[النولون]]+Table19[[#This Row],[الايصالات]]-Table19[[#This Row],[خصم أ ت ص]]+Table19[[#This Row],[قيمة مضافة]]</f>
        <v>0</v>
      </c>
      <c r="M320" s="1">
        <f>M319+Table19[[#This Row],[اجمالي الفاتوره]]-Table19[[#This Row],[الدفعات]]</f>
        <v>53530.729999999981</v>
      </c>
      <c r="O320" s="95"/>
    </row>
    <row r="321" spans="8:15" ht="24" customHeight="1" x14ac:dyDescent="0.3">
      <c r="H321" s="1">
        <f>0.14*Table19[[#This Row],[النولون]]</f>
        <v>0</v>
      </c>
      <c r="K321" s="1">
        <f>Table19[[#This Row],[النولون]]+Table19[[#This Row],[الايصالات]]-Table19[[#This Row],[خصم أ ت ص]]+Table19[[#This Row],[قيمة مضافة]]</f>
        <v>0</v>
      </c>
      <c r="M321" s="1">
        <f>M320+Table19[[#This Row],[اجمالي الفاتوره]]-Table19[[#This Row],[الدفعات]]</f>
        <v>53530.729999999981</v>
      </c>
      <c r="O321" s="95"/>
    </row>
    <row r="322" spans="8:15" ht="24" customHeight="1" x14ac:dyDescent="0.3">
      <c r="H322" s="1">
        <f>0.14*Table19[[#This Row],[النولون]]</f>
        <v>0</v>
      </c>
      <c r="K322" s="1">
        <f>Table19[[#This Row],[النولون]]+Table19[[#This Row],[الايصالات]]-Table19[[#This Row],[خصم أ ت ص]]+Table19[[#This Row],[قيمة مضافة]]</f>
        <v>0</v>
      </c>
      <c r="M322" s="1">
        <f>M321+Table19[[#This Row],[اجمالي الفاتوره]]-Table19[[#This Row],[الدفعات]]</f>
        <v>53530.729999999981</v>
      </c>
      <c r="O322" s="95"/>
    </row>
    <row r="323" spans="8:15" ht="24" customHeight="1" x14ac:dyDescent="0.3">
      <c r="H323" s="1">
        <f>0.14*Table19[[#This Row],[النولون]]</f>
        <v>0</v>
      </c>
      <c r="K323" s="1">
        <f>Table19[[#This Row],[النولون]]+Table19[[#This Row],[الايصالات]]-Table19[[#This Row],[خصم أ ت ص]]+Table19[[#This Row],[قيمة مضافة]]</f>
        <v>0</v>
      </c>
      <c r="M323" s="1">
        <f>M322+Table19[[#This Row],[اجمالي الفاتوره]]-Table19[[#This Row],[الدفعات]]</f>
        <v>53530.729999999981</v>
      </c>
      <c r="O323" s="95"/>
    </row>
    <row r="324" spans="8:15" ht="24" customHeight="1" x14ac:dyDescent="0.3">
      <c r="H324" s="1">
        <f>0.14*Table19[[#This Row],[النولون]]</f>
        <v>0</v>
      </c>
      <c r="K324" s="1">
        <f>Table19[[#This Row],[النولون]]+Table19[[#This Row],[الايصالات]]-Table19[[#This Row],[خصم أ ت ص]]+Table19[[#This Row],[قيمة مضافة]]</f>
        <v>0</v>
      </c>
      <c r="M324" s="1">
        <f>M323+Table19[[#This Row],[اجمالي الفاتوره]]-Table19[[#This Row],[الدفعات]]</f>
        <v>53530.729999999981</v>
      </c>
      <c r="O324" s="95"/>
    </row>
    <row r="325" spans="8:15" ht="24" customHeight="1" x14ac:dyDescent="0.3">
      <c r="H325" s="1">
        <f>0.14*Table19[[#This Row],[النولون]]</f>
        <v>0</v>
      </c>
      <c r="K325" s="1">
        <f>Table19[[#This Row],[النولون]]+Table19[[#This Row],[الايصالات]]-Table19[[#This Row],[خصم أ ت ص]]+Table19[[#This Row],[قيمة مضافة]]</f>
        <v>0</v>
      </c>
      <c r="M325" s="1">
        <f>M324+Table19[[#This Row],[اجمالي الفاتوره]]-Table19[[#This Row],[الدفعات]]</f>
        <v>53530.729999999981</v>
      </c>
      <c r="O325" s="95"/>
    </row>
    <row r="326" spans="8:15" ht="24" customHeight="1" x14ac:dyDescent="0.3">
      <c r="H326" s="1">
        <f>0.14*Table19[[#This Row],[النولون]]</f>
        <v>0</v>
      </c>
      <c r="K326" s="1">
        <f>Table19[[#This Row],[النولون]]+Table19[[#This Row],[الايصالات]]-Table19[[#This Row],[خصم أ ت ص]]+Table19[[#This Row],[قيمة مضافة]]</f>
        <v>0</v>
      </c>
      <c r="M326" s="1">
        <f>M325+Table19[[#This Row],[اجمالي الفاتوره]]-Table19[[#This Row],[الدفعات]]</f>
        <v>53530.729999999981</v>
      </c>
      <c r="O326" s="95"/>
    </row>
    <row r="327" spans="8:15" ht="24" customHeight="1" x14ac:dyDescent="0.3">
      <c r="H327" s="1">
        <f>0.14*Table19[[#This Row],[النولون]]</f>
        <v>0</v>
      </c>
      <c r="K327" s="1">
        <f>Table19[[#This Row],[النولون]]+Table19[[#This Row],[الايصالات]]-Table19[[#This Row],[خصم أ ت ص]]+Table19[[#This Row],[قيمة مضافة]]</f>
        <v>0</v>
      </c>
      <c r="M327" s="1">
        <f>M326+Table19[[#This Row],[اجمالي الفاتوره]]-Table19[[#This Row],[الدفعات]]</f>
        <v>53530.729999999981</v>
      </c>
      <c r="O327" s="95"/>
    </row>
    <row r="328" spans="8:15" ht="24" customHeight="1" x14ac:dyDescent="0.3">
      <c r="H328" s="1">
        <f>0.14*Table19[[#This Row],[النولون]]</f>
        <v>0</v>
      </c>
      <c r="K328" s="1">
        <f>Table19[[#This Row],[النولون]]+Table19[[#This Row],[الايصالات]]-Table19[[#This Row],[خصم أ ت ص]]+Table19[[#This Row],[قيمة مضافة]]</f>
        <v>0</v>
      </c>
      <c r="M328" s="1">
        <f>M327+Table19[[#This Row],[اجمالي الفاتوره]]-Table19[[#This Row],[الدفعات]]</f>
        <v>53530.729999999981</v>
      </c>
      <c r="O328" s="95"/>
    </row>
    <row r="329" spans="8:15" ht="24" customHeight="1" x14ac:dyDescent="0.3">
      <c r="H329" s="1">
        <f>0.14*Table19[[#This Row],[النولون]]</f>
        <v>0</v>
      </c>
      <c r="K329" s="1">
        <f>Table19[[#This Row],[النولون]]+Table19[[#This Row],[الايصالات]]-Table19[[#This Row],[خصم أ ت ص]]+Table19[[#This Row],[قيمة مضافة]]</f>
        <v>0</v>
      </c>
      <c r="M329" s="1">
        <f>M328+Table19[[#This Row],[اجمالي الفاتوره]]-Table19[[#This Row],[الدفعات]]</f>
        <v>53530.729999999981</v>
      </c>
      <c r="O329" s="95"/>
    </row>
    <row r="330" spans="8:15" ht="24" customHeight="1" x14ac:dyDescent="0.3">
      <c r="H330" s="1">
        <f>0.14*Table19[[#This Row],[النولون]]</f>
        <v>0</v>
      </c>
      <c r="K330" s="1">
        <f>Table19[[#This Row],[النولون]]+Table19[[#This Row],[الايصالات]]-Table19[[#This Row],[خصم أ ت ص]]+Table19[[#This Row],[قيمة مضافة]]</f>
        <v>0</v>
      </c>
      <c r="M330" s="1">
        <f>M329+Table19[[#This Row],[اجمالي الفاتوره]]-Table19[[#This Row],[الدفعات]]</f>
        <v>53530.729999999981</v>
      </c>
      <c r="O330" s="95"/>
    </row>
    <row r="331" spans="8:15" ht="24" customHeight="1" x14ac:dyDescent="0.3">
      <c r="H331" s="1">
        <f>0.14*Table19[[#This Row],[النولون]]</f>
        <v>0</v>
      </c>
      <c r="K331" s="1">
        <f>Table19[[#This Row],[النولون]]+Table19[[#This Row],[الايصالات]]-Table19[[#This Row],[خصم أ ت ص]]+Table19[[#This Row],[قيمة مضافة]]</f>
        <v>0</v>
      </c>
      <c r="M331" s="1">
        <f>M330+Table19[[#This Row],[اجمالي الفاتوره]]-Table19[[#This Row],[الدفعات]]</f>
        <v>53530.729999999981</v>
      </c>
      <c r="O331" s="95"/>
    </row>
    <row r="332" spans="8:15" ht="24" customHeight="1" x14ac:dyDescent="0.3">
      <c r="H332" s="1">
        <f>0.14*Table19[[#This Row],[النولون]]</f>
        <v>0</v>
      </c>
      <c r="K332" s="1">
        <f>Table19[[#This Row],[النولون]]+Table19[[#This Row],[الايصالات]]-Table19[[#This Row],[خصم أ ت ص]]+Table19[[#This Row],[قيمة مضافة]]</f>
        <v>0</v>
      </c>
      <c r="M332" s="1">
        <f>M331+Table19[[#This Row],[اجمالي الفاتوره]]-Table19[[#This Row],[الدفعات]]</f>
        <v>53530.729999999981</v>
      </c>
      <c r="O332" s="95"/>
    </row>
    <row r="333" spans="8:15" ht="24" customHeight="1" x14ac:dyDescent="0.3">
      <c r="H333" s="1">
        <f>0.14*Table19[[#This Row],[النولون]]</f>
        <v>0</v>
      </c>
      <c r="K333" s="1">
        <f>Table19[[#This Row],[النولون]]+Table19[[#This Row],[الايصالات]]-Table19[[#This Row],[خصم أ ت ص]]+Table19[[#This Row],[قيمة مضافة]]</f>
        <v>0</v>
      </c>
      <c r="M333" s="1">
        <f>M332+Table19[[#This Row],[اجمالي الفاتوره]]-Table19[[#This Row],[الدفعات]]</f>
        <v>53530.729999999981</v>
      </c>
      <c r="O333" s="95"/>
    </row>
    <row r="334" spans="8:15" ht="24" customHeight="1" x14ac:dyDescent="0.3">
      <c r="H334" s="1">
        <f>0.14*Table19[[#This Row],[النولون]]</f>
        <v>0</v>
      </c>
      <c r="K334" s="1">
        <f>Table19[[#This Row],[النولون]]+Table19[[#This Row],[الايصالات]]-Table19[[#This Row],[خصم أ ت ص]]+Table19[[#This Row],[قيمة مضافة]]</f>
        <v>0</v>
      </c>
      <c r="M334" s="1">
        <f>M333+Table19[[#This Row],[اجمالي الفاتوره]]-Table19[[#This Row],[الدفعات]]</f>
        <v>53530.729999999981</v>
      </c>
      <c r="O334" s="95"/>
    </row>
    <row r="335" spans="8:15" ht="24" customHeight="1" x14ac:dyDescent="0.3">
      <c r="H335" s="1">
        <f>0.14*Table19[[#This Row],[النولون]]</f>
        <v>0</v>
      </c>
      <c r="K335" s="1">
        <f>Table19[[#This Row],[النولون]]+Table19[[#This Row],[الايصالات]]-Table19[[#This Row],[خصم أ ت ص]]+Table19[[#This Row],[قيمة مضافة]]</f>
        <v>0</v>
      </c>
      <c r="M335" s="1">
        <f>M334+Table19[[#This Row],[اجمالي الفاتوره]]-Table19[[#This Row],[الدفعات]]</f>
        <v>53530.729999999981</v>
      </c>
      <c r="O335" s="95"/>
    </row>
    <row r="336" spans="8:15" ht="24" customHeight="1" x14ac:dyDescent="0.3">
      <c r="H336" s="1">
        <f>0.14*Table19[[#This Row],[النولون]]</f>
        <v>0</v>
      </c>
      <c r="K336" s="1">
        <f>Table19[[#This Row],[النولون]]+Table19[[#This Row],[الايصالات]]-Table19[[#This Row],[خصم أ ت ص]]+Table19[[#This Row],[قيمة مضافة]]</f>
        <v>0</v>
      </c>
      <c r="M336" s="1">
        <f>M335+Table19[[#This Row],[اجمالي الفاتوره]]-Table19[[#This Row],[الدفعات]]</f>
        <v>53530.729999999981</v>
      </c>
      <c r="O336" s="95"/>
    </row>
    <row r="337" spans="8:15" ht="24" customHeight="1" x14ac:dyDescent="0.3">
      <c r="H337" s="1">
        <f>0.14*Table19[[#This Row],[النولون]]</f>
        <v>0</v>
      </c>
      <c r="K337" s="1">
        <f>Table19[[#This Row],[النولون]]+Table19[[#This Row],[الايصالات]]-Table19[[#This Row],[خصم أ ت ص]]+Table19[[#This Row],[قيمة مضافة]]</f>
        <v>0</v>
      </c>
      <c r="M337" s="1">
        <f>M336+Table19[[#This Row],[اجمالي الفاتوره]]-Table19[[#This Row],[الدفعات]]</f>
        <v>53530.729999999981</v>
      </c>
      <c r="O337" s="95"/>
    </row>
    <row r="338" spans="8:15" ht="24" customHeight="1" x14ac:dyDescent="0.3">
      <c r="H338" s="1">
        <f>0.14*Table19[[#This Row],[النولون]]</f>
        <v>0</v>
      </c>
      <c r="K338" s="1">
        <f>Table19[[#This Row],[النولون]]+Table19[[#This Row],[الايصالات]]-Table19[[#This Row],[خصم أ ت ص]]+Table19[[#This Row],[قيمة مضافة]]</f>
        <v>0</v>
      </c>
      <c r="M338" s="1">
        <f>M337+Table19[[#This Row],[اجمالي الفاتوره]]-Table19[[#This Row],[الدفعات]]</f>
        <v>53530.729999999981</v>
      </c>
      <c r="O338" s="95"/>
    </row>
    <row r="339" spans="8:15" ht="24" customHeight="1" x14ac:dyDescent="0.3">
      <c r="H339" s="1">
        <f>0.14*Table19[[#This Row],[النولون]]</f>
        <v>0</v>
      </c>
      <c r="K339" s="1">
        <f>Table19[[#This Row],[النولون]]+Table19[[#This Row],[الايصالات]]-Table19[[#This Row],[خصم أ ت ص]]+Table19[[#This Row],[قيمة مضافة]]</f>
        <v>0</v>
      </c>
      <c r="M339" s="1">
        <f>M338+Table19[[#This Row],[اجمالي الفاتوره]]-Table19[[#This Row],[الدفعات]]</f>
        <v>53530.729999999981</v>
      </c>
      <c r="O339" s="95"/>
    </row>
  </sheetData>
  <phoneticPr fontId="2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47"/>
  <sheetViews>
    <sheetView rightToLeft="1" topLeftCell="A28" workbookViewId="0">
      <selection activeCell="L38" sqref="L38"/>
    </sheetView>
  </sheetViews>
  <sheetFormatPr defaultColWidth="9.109375" defaultRowHeight="15.6" x14ac:dyDescent="0.3"/>
  <cols>
    <col min="1" max="1" width="9.109375" style="6"/>
    <col min="2" max="2" width="5.44140625" style="1" customWidth="1"/>
    <col min="3" max="3" width="11" style="1" customWidth="1"/>
    <col min="4" max="4" width="15.109375" style="1" customWidth="1"/>
    <col min="5" max="5" width="11.21875" style="1" customWidth="1"/>
    <col min="6" max="6" width="13.33203125" style="1" customWidth="1"/>
    <col min="7" max="7" width="13" style="1" customWidth="1"/>
    <col min="8" max="8" width="11.6640625" style="1" customWidth="1"/>
    <col min="9" max="9" width="11.77734375" style="1" customWidth="1"/>
    <col min="10" max="10" width="10.77734375" style="1" customWidth="1"/>
    <col min="11" max="11" width="12" style="1" customWidth="1"/>
    <col min="12" max="12" width="17.21875" style="1" bestFit="1" customWidth="1"/>
    <col min="13" max="13" width="15.21875" style="1" customWidth="1"/>
    <col min="14" max="16384" width="9.109375" style="1"/>
  </cols>
  <sheetData>
    <row r="1" spans="1:14" ht="26.25" customHeight="1" x14ac:dyDescent="0.3">
      <c r="A1" s="6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6.25" customHeight="1" x14ac:dyDescent="0.3">
      <c r="A2" s="6">
        <v>1224</v>
      </c>
      <c r="B2" s="1">
        <v>1</v>
      </c>
      <c r="C2" s="2" t="s">
        <v>135</v>
      </c>
      <c r="D2" s="1" t="s">
        <v>141</v>
      </c>
      <c r="E2" s="1" t="s">
        <v>142</v>
      </c>
      <c r="F2" s="1">
        <v>260005478</v>
      </c>
      <c r="G2" s="1" t="s">
        <v>143</v>
      </c>
      <c r="H2" s="1">
        <v>19600</v>
      </c>
      <c r="J2" s="1">
        <f>810+1100+434.61+1420.5+1767+460+120</f>
        <v>6112.1100000000006</v>
      </c>
      <c r="K2" s="1">
        <f>Table1181920231030313233[[#This Row],[النولون]]+Table1181920231030313233[[#This Row],[الايصالات]]+Table1181920231030313233[[#This Row],[قيمة مضافة]]</f>
        <v>25712.11</v>
      </c>
      <c r="M2" s="1">
        <f>Table1181920231030313233[[#This Row],[اجمالي الفاتوره]]</f>
        <v>25712.11</v>
      </c>
    </row>
    <row r="3" spans="1:14" ht="26.25" customHeight="1" x14ac:dyDescent="0.3">
      <c r="A3" s="6">
        <v>1231</v>
      </c>
      <c r="B3" s="1">
        <v>2</v>
      </c>
      <c r="C3" s="2" t="s">
        <v>150</v>
      </c>
      <c r="D3" s="2" t="s">
        <v>141</v>
      </c>
      <c r="E3" s="1" t="s">
        <v>142</v>
      </c>
      <c r="F3" s="1">
        <v>260020304</v>
      </c>
      <c r="G3" s="1" t="s">
        <v>143</v>
      </c>
      <c r="H3" s="1">
        <v>19600</v>
      </c>
      <c r="J3" s="1">
        <f>100+1100+472.32+50*3+1539+1420.2+120+460</f>
        <v>5361.5199999999995</v>
      </c>
      <c r="K3" s="1">
        <f>Table1181920231030313233[[#This Row],[النولون]]+Table1181920231030313233[[#This Row],[الايصالات]]+Table1181920231030313233[[#This Row],[قيمة مضافة]]</f>
        <v>24961.52</v>
      </c>
      <c r="M3" s="1">
        <f>M2+Table1181920231030313233[[#This Row],[اجمالي الفاتوره]]-Table1181920231030313233[[#This Row],[الدفعات]]</f>
        <v>50673.630000000005</v>
      </c>
    </row>
    <row r="4" spans="1:14" ht="26.25" customHeight="1" x14ac:dyDescent="0.3">
      <c r="A4" s="74"/>
      <c r="B4" s="76"/>
      <c r="C4" s="73" t="s">
        <v>337</v>
      </c>
      <c r="D4" s="80"/>
      <c r="E4" s="76"/>
      <c r="F4" s="76"/>
      <c r="G4" s="76"/>
      <c r="H4" s="76"/>
      <c r="I4" s="76"/>
      <c r="J4" s="76"/>
      <c r="K4" s="76">
        <f>Table1181920231030313233[[#This Row],[النولون]]+Table1181920231030313233[[#This Row],[الايصالات]]+Table1181920231030313233[[#This Row],[قيمة مضافة]]</f>
        <v>0</v>
      </c>
      <c r="L4" s="76">
        <v>50673.63</v>
      </c>
      <c r="M4" s="72">
        <f>M3+Table1181920231030313233[[#This Row],[اجمالي الفاتوره]]-Table1181920231030313233[[#This Row],[الدفعات]]</f>
        <v>0</v>
      </c>
      <c r="N4" s="48"/>
    </row>
    <row r="5" spans="1:14" ht="26.25" customHeight="1" x14ac:dyDescent="0.3">
      <c r="A5" s="6">
        <v>1250</v>
      </c>
      <c r="B5" s="1">
        <v>3</v>
      </c>
      <c r="C5" s="2" t="s">
        <v>199</v>
      </c>
      <c r="D5" s="1" t="s">
        <v>209</v>
      </c>
      <c r="E5" s="1" t="s">
        <v>94</v>
      </c>
      <c r="F5" s="1">
        <v>265379778</v>
      </c>
      <c r="G5" s="1" t="s">
        <v>121</v>
      </c>
      <c r="H5" s="1">
        <v>17500</v>
      </c>
      <c r="J5" s="1">
        <f>210+1100+463.84+45.15+120+79+25.1+500+4259</f>
        <v>6802.09</v>
      </c>
      <c r="K5" s="1">
        <f>Table1181920231030313233[[#This Row],[النولون]]+Table1181920231030313233[[#This Row],[الايصالات]]+Table1181920231030313233[[#This Row],[قيمة مضافة]]</f>
        <v>24302.09</v>
      </c>
      <c r="M5" s="1">
        <f>M4+Table1181920231030313233[[#This Row],[اجمالي الفاتوره]]-Table1181920231030313233[[#This Row],[الدفعات]]</f>
        <v>24302.09</v>
      </c>
    </row>
    <row r="6" spans="1:14" ht="26.25" customHeight="1" x14ac:dyDescent="0.3">
      <c r="A6" s="6">
        <v>1279</v>
      </c>
      <c r="B6" s="1">
        <v>4</v>
      </c>
      <c r="C6" s="2" t="s">
        <v>275</v>
      </c>
      <c r="D6" s="1" t="s">
        <v>286</v>
      </c>
      <c r="E6" s="1" t="s">
        <v>118</v>
      </c>
      <c r="F6" s="1">
        <v>15719846</v>
      </c>
      <c r="G6" s="1" t="s">
        <v>143</v>
      </c>
      <c r="H6" s="1">
        <f>17900+400</f>
        <v>18300</v>
      </c>
      <c r="J6" s="1">
        <f>100+1130+710.5+105.79+1200+50.2+2145.94+10318</f>
        <v>15760.43</v>
      </c>
      <c r="K6" s="1">
        <f>Table1181920231030313233[[#This Row],[النولون]]+Table1181920231030313233[[#This Row],[الايصالات]]+Table1181920231030313233[[#This Row],[قيمة مضافة]]</f>
        <v>34060.43</v>
      </c>
      <c r="M6" s="1">
        <f>M5+Table1181920231030313233[[#This Row],[اجمالي الفاتوره]]-Table1181920231030313233[[#This Row],[الدفعات]]</f>
        <v>58362.520000000004</v>
      </c>
    </row>
    <row r="7" spans="1:14" ht="26.25" customHeight="1" x14ac:dyDescent="0.3">
      <c r="A7" s="74"/>
      <c r="B7" s="76"/>
      <c r="C7" s="73" t="s">
        <v>371</v>
      </c>
      <c r="D7" s="76"/>
      <c r="E7" s="76"/>
      <c r="F7" s="76"/>
      <c r="G7" s="76"/>
      <c r="H7" s="76"/>
      <c r="I7" s="76"/>
      <c r="J7" s="76"/>
      <c r="K7" s="76">
        <f>Table1181920231030313233[[#This Row],[النولون]]+Table1181920231030313233[[#This Row],[الايصالات]]+Table1181920231030313233[[#This Row],[قيمة مضافة]]</f>
        <v>0</v>
      </c>
      <c r="L7" s="76">
        <v>58362.52</v>
      </c>
      <c r="M7" s="72">
        <f>M6+Table1181920231030313233[[#This Row],[اجمالي الفاتوره]]-Table1181920231030313233[[#This Row],[الدفعات]]</f>
        <v>0</v>
      </c>
      <c r="N7" s="48"/>
    </row>
    <row r="8" spans="1:14" ht="26.25" customHeight="1" x14ac:dyDescent="0.3">
      <c r="A8" s="6">
        <v>1280</v>
      </c>
      <c r="B8" s="1">
        <v>5</v>
      </c>
      <c r="C8" s="2" t="s">
        <v>275</v>
      </c>
      <c r="D8" s="1" t="s">
        <v>287</v>
      </c>
      <c r="E8" s="1" t="s">
        <v>180</v>
      </c>
      <c r="F8" s="1">
        <v>15679207</v>
      </c>
      <c r="G8" s="1" t="s">
        <v>272</v>
      </c>
      <c r="H8" s="1">
        <f>18000*2</f>
        <v>36000</v>
      </c>
      <c r="J8" s="1">
        <f>200+1130*2+472.32+858.57+123+45.15+1200+684+25.1+10318</f>
        <v>16186.140000000001</v>
      </c>
      <c r="K8" s="1">
        <f>Table1181920231030313233[[#This Row],[النولون]]+Table1181920231030313233[[#This Row],[الايصالات]]+Table1181920231030313233[[#This Row],[قيمة مضافة]]</f>
        <v>52186.14</v>
      </c>
      <c r="M8" s="1">
        <f>M7+Table1181920231030313233[[#This Row],[اجمالي الفاتوره]]-Table1181920231030313233[[#This Row],[الدفعات]]</f>
        <v>52186.14</v>
      </c>
    </row>
    <row r="9" spans="1:14" ht="26.25" customHeight="1" x14ac:dyDescent="0.3">
      <c r="A9" s="6">
        <v>1289</v>
      </c>
      <c r="B9" s="1">
        <v>6</v>
      </c>
      <c r="C9" s="2" t="s">
        <v>299</v>
      </c>
      <c r="D9" s="1" t="s">
        <v>209</v>
      </c>
      <c r="E9" s="1" t="s">
        <v>94</v>
      </c>
      <c r="F9" s="1">
        <v>881918</v>
      </c>
      <c r="G9" s="1" t="s">
        <v>121</v>
      </c>
      <c r="H9" s="1">
        <f>17500+3000</f>
        <v>20500</v>
      </c>
      <c r="J9" s="1">
        <f>210+1100+462.24+100+79+912+200+285</f>
        <v>3348.24</v>
      </c>
      <c r="K9" s="1">
        <f>Table1181920231030313233[[#This Row],[النولون]]+Table1181920231030313233[[#This Row],[الايصالات]]+Table1181920231030313233[[#This Row],[قيمة مضافة]]</f>
        <v>23848.239999999998</v>
      </c>
      <c r="M9" s="1">
        <f>M8+Table1181920231030313233[[#This Row],[اجمالي الفاتوره]]-Table1181920231030313233[[#This Row],[الدفعات]]</f>
        <v>76034.38</v>
      </c>
    </row>
    <row r="10" spans="1:14" ht="26.25" customHeight="1" x14ac:dyDescent="0.3">
      <c r="A10" s="6">
        <v>1290</v>
      </c>
      <c r="B10" s="1">
        <v>7</v>
      </c>
      <c r="C10" s="2" t="s">
        <v>299</v>
      </c>
      <c r="D10" s="1" t="s">
        <v>209</v>
      </c>
      <c r="E10" s="1" t="s">
        <v>94</v>
      </c>
      <c r="F10" s="1">
        <v>882126</v>
      </c>
      <c r="G10" s="1" t="s">
        <v>121</v>
      </c>
      <c r="H10" s="1">
        <f>17500+3000</f>
        <v>20500</v>
      </c>
      <c r="J10" s="1">
        <f>210+1100+486.71+912+200+285</f>
        <v>3193.71</v>
      </c>
      <c r="K10" s="1">
        <f>Table1181920231030313233[[#This Row],[النولون]]+Table1181920231030313233[[#This Row],[الايصالات]]+Table1181920231030313233[[#This Row],[قيمة مضافة]]</f>
        <v>23693.71</v>
      </c>
      <c r="M10" s="1">
        <f>M9+Table1181920231030313233[[#This Row],[اجمالي الفاتوره]]-Table1181920231030313233[[#This Row],[الدفعات]]</f>
        <v>99728.09</v>
      </c>
    </row>
    <row r="11" spans="1:14" ht="26.25" customHeight="1" x14ac:dyDescent="0.3">
      <c r="A11" s="74"/>
      <c r="B11" s="76"/>
      <c r="C11" s="73" t="s">
        <v>390</v>
      </c>
      <c r="D11" s="76"/>
      <c r="E11" s="76"/>
      <c r="F11" s="76"/>
      <c r="G11" s="76"/>
      <c r="H11" s="76"/>
      <c r="I11" s="76"/>
      <c r="J11" s="76"/>
      <c r="K11" s="76">
        <f>Table1181920231030313233[[#This Row],[النولون]]+Table1181920231030313233[[#This Row],[الايصالات]]+Table1181920231030313233[[#This Row],[قيمة مضافة]]</f>
        <v>0</v>
      </c>
      <c r="L11" s="76">
        <v>99728.09</v>
      </c>
      <c r="M11" s="72">
        <f>M10+Table1181920231030313233[[#This Row],[اجمالي الفاتوره]]-Table1181920231030313233[[#This Row],[الدفعات]]</f>
        <v>0</v>
      </c>
      <c r="N11" s="48"/>
    </row>
    <row r="12" spans="1:14" ht="26.25" customHeight="1" x14ac:dyDescent="0.3">
      <c r="A12" s="6">
        <v>1291</v>
      </c>
      <c r="B12" s="1">
        <v>8</v>
      </c>
      <c r="C12" s="2" t="s">
        <v>299</v>
      </c>
      <c r="D12" s="1" t="s">
        <v>301</v>
      </c>
      <c r="E12" s="1" t="s">
        <v>298</v>
      </c>
      <c r="F12" s="1">
        <v>880283</v>
      </c>
      <c r="G12" s="1" t="s">
        <v>143</v>
      </c>
      <c r="H12" s="1">
        <v>10800</v>
      </c>
      <c r="J12" s="1">
        <f>150+850+45.15+551.63+25.1+350+399</f>
        <v>2370.88</v>
      </c>
      <c r="K12" s="1">
        <f>Table1181920231030313233[[#This Row],[النولون]]+Table1181920231030313233[[#This Row],[الايصالات]]+Table1181920231030313233[[#This Row],[قيمة مضافة]]</f>
        <v>13170.880000000001</v>
      </c>
      <c r="M12" s="1">
        <f>M11+Table1181920231030313233[[#This Row],[اجمالي الفاتوره]]-Table1181920231030313233[[#This Row],[الدفعات]]</f>
        <v>13170.880000000001</v>
      </c>
      <c r="N12" s="1">
        <f>SUM(K:K)-SUM(L:L)</f>
        <v>330996.88000000012</v>
      </c>
    </row>
    <row r="13" spans="1:14" ht="26.25" customHeight="1" x14ac:dyDescent="0.3">
      <c r="A13" s="6">
        <v>1306</v>
      </c>
      <c r="B13" s="1">
        <v>9</v>
      </c>
      <c r="C13" s="2" t="s">
        <v>323</v>
      </c>
      <c r="D13" s="1" t="s">
        <v>209</v>
      </c>
      <c r="E13" s="1" t="s">
        <v>94</v>
      </c>
      <c r="F13" s="1">
        <v>883074</v>
      </c>
      <c r="G13" s="1" t="s">
        <v>92</v>
      </c>
      <c r="H13" s="1">
        <f>17500*2</f>
        <v>35000</v>
      </c>
      <c r="J13" s="1">
        <f>410+120*2+1100*2+461.01+450.32+1824+400+570</f>
        <v>6555.33</v>
      </c>
      <c r="K13" s="1">
        <f>Table1181920231030313233[[#This Row],[النولون]]+Table1181920231030313233[[#This Row],[الايصالات]]+Table1181920231030313233[[#This Row],[قيمة مضافة]]</f>
        <v>41555.33</v>
      </c>
      <c r="M13" s="1">
        <f>M12+Table1181920231030313233[[#This Row],[اجمالي الفاتوره]]-Table1181920231030313233[[#This Row],[الدفعات]]</f>
        <v>54726.210000000006</v>
      </c>
    </row>
    <row r="14" spans="1:14" ht="26.25" customHeight="1" x14ac:dyDescent="0.3">
      <c r="A14" s="6">
        <v>1310</v>
      </c>
      <c r="B14" s="1">
        <v>10</v>
      </c>
      <c r="C14" s="2" t="s">
        <v>323</v>
      </c>
      <c r="D14" s="1" t="s">
        <v>332</v>
      </c>
      <c r="E14" s="1" t="s">
        <v>333</v>
      </c>
      <c r="F14" s="1">
        <v>15876033</v>
      </c>
      <c r="G14" s="1" t="s">
        <v>143</v>
      </c>
      <c r="H14" s="1">
        <v>20500</v>
      </c>
      <c r="J14" s="1">
        <f>591.35+105.79+25.1</f>
        <v>722.24</v>
      </c>
      <c r="K14" s="1">
        <f>Table1181920231030313233[[#This Row],[النولون]]+Table1181920231030313233[[#This Row],[الايصالات]]+Table1181920231030313233[[#This Row],[قيمة مضافة]]</f>
        <v>21222.240000000002</v>
      </c>
      <c r="M14" s="1">
        <f>M13+Table1181920231030313233[[#This Row],[اجمالي الفاتوره]]-Table1181920231030313233[[#This Row],[الدفعات]]</f>
        <v>75948.450000000012</v>
      </c>
    </row>
    <row r="15" spans="1:14" ht="26.25" customHeight="1" x14ac:dyDescent="0.3">
      <c r="A15" s="6">
        <v>1311</v>
      </c>
      <c r="B15" s="1">
        <v>11</v>
      </c>
      <c r="C15" s="2" t="s">
        <v>323</v>
      </c>
      <c r="D15" s="1" t="s">
        <v>334</v>
      </c>
      <c r="E15" s="1" t="s">
        <v>118</v>
      </c>
      <c r="F15" s="1">
        <v>260592</v>
      </c>
      <c r="G15" s="1" t="s">
        <v>143</v>
      </c>
      <c r="H15" s="1">
        <v>17900</v>
      </c>
      <c r="J15" s="1">
        <f>850+1130+591.35+1311+350+5296</f>
        <v>9528.35</v>
      </c>
      <c r="K15" s="1">
        <f>Table1181920231030313233[[#This Row],[النولون]]+Table1181920231030313233[[#This Row],[الايصالات]]+Table1181920231030313233[[#This Row],[قيمة مضافة]]</f>
        <v>27428.35</v>
      </c>
      <c r="M15" s="1">
        <f>M14+Table1181920231030313233[[#This Row],[اجمالي الفاتوره]]-Table1181920231030313233[[#This Row],[الدفعات]]</f>
        <v>103376.80000000002</v>
      </c>
    </row>
    <row r="16" spans="1:14" ht="26.25" customHeight="1" x14ac:dyDescent="0.3">
      <c r="A16" s="6">
        <v>1312</v>
      </c>
      <c r="B16" s="1">
        <v>12</v>
      </c>
      <c r="C16" s="2" t="s">
        <v>323</v>
      </c>
      <c r="D16" s="1" t="s">
        <v>334</v>
      </c>
      <c r="E16" s="1" t="s">
        <v>118</v>
      </c>
      <c r="F16" s="1">
        <v>260591</v>
      </c>
      <c r="G16" s="1" t="s">
        <v>143</v>
      </c>
      <c r="H16" s="1">
        <v>17900</v>
      </c>
      <c r="J16" s="1">
        <f>1130+452.53+1311+350+5296</f>
        <v>8539.5299999999988</v>
      </c>
      <c r="K16" s="1">
        <f>Table1181920231030313233[[#This Row],[النولون]]+Table1181920231030313233[[#This Row],[الايصالات]]+Table1181920231030313233[[#This Row],[قيمة مضافة]]</f>
        <v>26439.53</v>
      </c>
      <c r="M16" s="1">
        <f>M15+Table1181920231030313233[[#This Row],[اجمالي الفاتوره]]-Table1181920231030313233[[#This Row],[الدفعات]]</f>
        <v>129816.33000000002</v>
      </c>
    </row>
    <row r="17" spans="1:14" ht="26.25" customHeight="1" x14ac:dyDescent="0.3">
      <c r="A17" s="6">
        <v>1317</v>
      </c>
      <c r="B17" s="1">
        <v>13</v>
      </c>
      <c r="C17" s="2" t="s">
        <v>351</v>
      </c>
      <c r="D17" s="1" t="s">
        <v>334</v>
      </c>
      <c r="E17" s="1" t="s">
        <v>118</v>
      </c>
      <c r="F17" s="1">
        <v>15921534</v>
      </c>
      <c r="G17" s="1" t="s">
        <v>290</v>
      </c>
      <c r="H17" s="1">
        <f>17900*5</f>
        <v>89500</v>
      </c>
      <c r="J17" s="1">
        <f>200+100+1135+1100+1130+1130+1130+116.12+105.79+105.79+109.23+105.79+477.98+638.84+676.79+829.78+475.15+3000+5430.96+125.4+850</f>
        <v>18972.62</v>
      </c>
      <c r="K17" s="1">
        <f>Table1181920231030313233[[#This Row],[النولون]]+Table1181920231030313233[[#This Row],[الايصالات]]+Table1181920231030313233[[#This Row],[قيمة مضافة]]</f>
        <v>108472.62</v>
      </c>
      <c r="M17" s="1">
        <f>M16+Table1181920231030313233[[#This Row],[اجمالي الفاتوره]]-Table1181920231030313233[[#This Row],[الدفعات]]</f>
        <v>238288.95</v>
      </c>
    </row>
    <row r="18" spans="1:14" ht="26.25" customHeight="1" x14ac:dyDescent="0.3">
      <c r="A18" s="6">
        <v>1318</v>
      </c>
      <c r="B18" s="1">
        <v>14</v>
      </c>
      <c r="C18" s="2" t="s">
        <v>351</v>
      </c>
      <c r="D18" s="1" t="s">
        <v>352</v>
      </c>
      <c r="E18" s="1" t="s">
        <v>353</v>
      </c>
      <c r="F18" s="1">
        <v>266664805</v>
      </c>
      <c r="G18" s="1" t="s">
        <v>143</v>
      </c>
      <c r="H18" s="1">
        <v>18000</v>
      </c>
      <c r="J18" s="1">
        <f>810+1100+475.15+100+950+1881+5296</f>
        <v>10612.15</v>
      </c>
      <c r="K18" s="1">
        <f>Table1181920231030313233[[#This Row],[النولون]]+Table1181920231030313233[[#This Row],[الايصالات]]+Table1181920231030313233[[#This Row],[قيمة مضافة]]</f>
        <v>28612.15</v>
      </c>
      <c r="M18" s="1">
        <f>M17+Table1181920231030313233[[#This Row],[اجمالي الفاتوره]]-Table1181920231030313233[[#This Row],[الدفعات]]</f>
        <v>266901.10000000003</v>
      </c>
    </row>
    <row r="19" spans="1:14" ht="26.25" customHeight="1" x14ac:dyDescent="0.3">
      <c r="A19" s="6">
        <v>1328</v>
      </c>
      <c r="B19" s="1">
        <v>15</v>
      </c>
      <c r="C19" s="2" t="s">
        <v>379</v>
      </c>
      <c r="D19" s="1" t="s">
        <v>334</v>
      </c>
      <c r="E19" s="1" t="s">
        <v>330</v>
      </c>
      <c r="F19" s="1">
        <v>1670</v>
      </c>
      <c r="G19" s="1" t="s">
        <v>272</v>
      </c>
      <c r="H19" s="1">
        <f>19600*2</f>
        <v>39200</v>
      </c>
      <c r="J19" s="1">
        <f>100*2+10*2+1100*2+105.79*2+555.45+527.18+850+2300+2288.66+50.2</f>
        <v>9203.07</v>
      </c>
      <c r="K19" s="1">
        <f>Table1181920231030313233[[#This Row],[النولون]]+Table1181920231030313233[[#This Row],[الايصالات]]+Table1181920231030313233[[#This Row],[قيمة مضافة]]</f>
        <v>48403.07</v>
      </c>
      <c r="M19" s="1">
        <f>M18+Table1181920231030313233[[#This Row],[اجمالي الفاتوره]]-Table1181920231030313233[[#This Row],[الدفعات]]</f>
        <v>315304.17000000004</v>
      </c>
    </row>
    <row r="20" spans="1:14" ht="26.25" customHeight="1" x14ac:dyDescent="0.3">
      <c r="A20" s="74"/>
      <c r="B20" s="96"/>
      <c r="C20" s="73" t="s">
        <v>432</v>
      </c>
      <c r="D20" s="96"/>
      <c r="E20" s="96"/>
      <c r="F20" s="96"/>
      <c r="G20" s="96"/>
      <c r="H20" s="96"/>
      <c r="I20" s="96"/>
      <c r="J20" s="96"/>
      <c r="K20" s="96"/>
      <c r="L20" s="96">
        <v>100000</v>
      </c>
      <c r="M20" s="72">
        <f>M19+Table1181920231030313233[[#This Row],[اجمالي الفاتوره]]-Table1181920231030313233[[#This Row],[الدفعات]]</f>
        <v>215304.17000000004</v>
      </c>
      <c r="N20" s="95"/>
    </row>
    <row r="21" spans="1:14" ht="26.25" customHeight="1" x14ac:dyDescent="0.3">
      <c r="A21" s="74"/>
      <c r="B21" s="96"/>
      <c r="C21" s="73" t="s">
        <v>470</v>
      </c>
      <c r="D21" s="96"/>
      <c r="E21" s="96"/>
      <c r="F21" s="96"/>
      <c r="G21" s="96"/>
      <c r="H21" s="96"/>
      <c r="I21" s="96"/>
      <c r="J21" s="96"/>
      <c r="K21" s="96"/>
      <c r="L21" s="96">
        <v>116601.1</v>
      </c>
      <c r="M21" s="72">
        <f>M20+Table1181920231030313233[[#This Row],[اجمالي الفاتوره]]-Table1181920231030313233[[#This Row],[الدفعات]]</f>
        <v>98703.070000000036</v>
      </c>
      <c r="N21" s="95"/>
    </row>
    <row r="22" spans="1:14" ht="26.25" customHeight="1" x14ac:dyDescent="0.3">
      <c r="A22" s="6">
        <v>1332</v>
      </c>
      <c r="B22" s="1">
        <v>16</v>
      </c>
      <c r="C22" s="2" t="s">
        <v>398</v>
      </c>
      <c r="D22" s="1" t="s">
        <v>399</v>
      </c>
      <c r="E22" s="1" t="s">
        <v>400</v>
      </c>
      <c r="F22" s="1">
        <v>2322914160</v>
      </c>
      <c r="G22" s="1" t="s">
        <v>143</v>
      </c>
      <c r="H22" s="1">
        <f>23550+3000</f>
        <v>26550</v>
      </c>
      <c r="J22" s="1">
        <f>1130+105.79+494.57+850+200+50.2</f>
        <v>2830.5599999999995</v>
      </c>
      <c r="K22" s="1">
        <f>Table1181920231030313233[[#This Row],[النولون]]+Table1181920231030313233[[#This Row],[الايصالات]]+Table1181920231030313233[[#This Row],[قيمة مضافة]]</f>
        <v>29380.559999999998</v>
      </c>
      <c r="M22" s="1">
        <f>M21+Table1181920231030313233[[#This Row],[اجمالي الفاتوره]]-Table1181920231030313233[[#This Row],[الدفعات]]</f>
        <v>128083.63000000003</v>
      </c>
    </row>
    <row r="23" spans="1:14" ht="26.25" customHeight="1" x14ac:dyDescent="0.3">
      <c r="A23" s="6">
        <v>1347</v>
      </c>
      <c r="B23" s="1">
        <v>17</v>
      </c>
      <c r="C23" s="2" t="s">
        <v>407</v>
      </c>
      <c r="D23" s="1" t="s">
        <v>332</v>
      </c>
      <c r="E23" s="1" t="s">
        <v>408</v>
      </c>
      <c r="F23" s="1">
        <v>895315</v>
      </c>
      <c r="G23" s="1" t="s">
        <v>272</v>
      </c>
      <c r="H23" s="1">
        <f>2*19700+2*3000</f>
        <v>45400</v>
      </c>
      <c r="J23" s="1">
        <f>850+1135*2+829.66+789.94+100+2166+1767+700+798</f>
        <v>10270.6</v>
      </c>
      <c r="K23" s="1">
        <f>Table1181920231030313233[[#This Row],[النولون]]+Table1181920231030313233[[#This Row],[الايصالات]]+Table1181920231030313233[[#This Row],[قيمة مضافة]]</f>
        <v>55670.6</v>
      </c>
      <c r="M23" s="1">
        <f>M22+Table1181920231030313233[[#This Row],[اجمالي الفاتوره]]-Table1181920231030313233[[#This Row],[الدفعات]]</f>
        <v>183754.23000000004</v>
      </c>
    </row>
    <row r="24" spans="1:14" ht="26.25" customHeight="1" x14ac:dyDescent="0.3">
      <c r="A24" s="74"/>
      <c r="B24" s="96"/>
      <c r="C24" s="98">
        <v>46144</v>
      </c>
      <c r="D24" s="96"/>
      <c r="E24" s="96"/>
      <c r="F24" s="96"/>
      <c r="G24" s="96"/>
      <c r="H24" s="96"/>
      <c r="I24" s="96"/>
      <c r="J24" s="96"/>
      <c r="K24" s="96">
        <f>Table1181920231030313233[[#This Row],[النولون]]+Table1181920231030313233[[#This Row],[الايصالات]]+Table1181920231030313233[[#This Row],[قيمة مضافة]]</f>
        <v>0</v>
      </c>
      <c r="L24" s="96">
        <v>74780.56</v>
      </c>
      <c r="M24" s="72">
        <f>M23+Table1181920231030313233[[#This Row],[اجمالي الفاتوره]]-Table1181920231030313233[[#This Row],[الدفعات]]</f>
        <v>108973.67000000004</v>
      </c>
      <c r="N24" s="95"/>
    </row>
    <row r="25" spans="1:14" ht="26.25" customHeight="1" x14ac:dyDescent="0.3">
      <c r="A25" s="6">
        <v>1348</v>
      </c>
      <c r="B25" s="1">
        <v>18</v>
      </c>
      <c r="C25" s="2" t="s">
        <v>407</v>
      </c>
      <c r="D25" s="1" t="s">
        <v>399</v>
      </c>
      <c r="E25" s="1" t="s">
        <v>408</v>
      </c>
      <c r="F25" s="1">
        <v>267635797</v>
      </c>
      <c r="G25" s="1" t="s">
        <v>272</v>
      </c>
      <c r="H25" s="1">
        <f>2*19700</f>
        <v>39400</v>
      </c>
      <c r="J25" s="1">
        <f>250+850+1150+1130+847.73+480.8+3*100+3793.92+1897+10755</f>
        <v>21454.45</v>
      </c>
      <c r="K25" s="1">
        <f>Table1181920231030313233[[#This Row],[النولون]]+Table1181920231030313233[[#This Row],[الايصالات]]+Table1181920231030313233[[#This Row],[قيمة مضافة]]</f>
        <v>60854.45</v>
      </c>
      <c r="M25" s="1">
        <f>M24+Table1181920231030313233[[#This Row],[اجمالي الفاتوره]]-Table1181920231030313233[[#This Row],[الدفعات]]</f>
        <v>169828.12000000005</v>
      </c>
    </row>
    <row r="26" spans="1:14" ht="26.25" customHeight="1" x14ac:dyDescent="0.3">
      <c r="A26" s="6">
        <v>1366</v>
      </c>
      <c r="B26" s="1">
        <v>19</v>
      </c>
      <c r="C26" s="2">
        <v>46123</v>
      </c>
      <c r="D26" s="1" t="s">
        <v>399</v>
      </c>
      <c r="E26" s="1" t="s">
        <v>96</v>
      </c>
      <c r="F26" s="1">
        <v>904177</v>
      </c>
      <c r="G26" s="1" t="s">
        <v>143</v>
      </c>
      <c r="H26" s="1">
        <v>21400</v>
      </c>
      <c r="J26" s="1">
        <f>250+1130+710.5+45.15+350+399</f>
        <v>2884.65</v>
      </c>
      <c r="K26" s="1">
        <f>Table1181920231030313233[[#This Row],[النولون]]+Table1181920231030313233[[#This Row],[الايصالات]]+Table1181920231030313233[[#This Row],[قيمة مضافة]]</f>
        <v>24284.65</v>
      </c>
      <c r="M26" s="1">
        <f>M25+Table1181920231030313233[[#This Row],[اجمالي الفاتوره]]-Table1181920231030313233[[#This Row],[الدفعات]]</f>
        <v>194112.77000000005</v>
      </c>
    </row>
    <row r="27" spans="1:14" ht="26.25" customHeight="1" x14ac:dyDescent="0.3">
      <c r="A27" s="74"/>
      <c r="B27" s="96"/>
      <c r="C27" s="98">
        <v>46163</v>
      </c>
      <c r="D27" s="96"/>
      <c r="E27" s="96"/>
      <c r="F27" s="96"/>
      <c r="G27" s="96"/>
      <c r="H27" s="96"/>
      <c r="I27" s="96"/>
      <c r="J27" s="96"/>
      <c r="K27" s="96">
        <f>Table1181920231030313233[[#This Row],[النولون]]+Table1181920231030313233[[#This Row],[الايصالات]]+Table1181920231030313233[[#This Row],[قيمة مضافة]]</f>
        <v>0</v>
      </c>
      <c r="L27" s="96">
        <v>101587.72</v>
      </c>
      <c r="M27" s="72">
        <f>M26+Table1181920231030313233[[#This Row],[اجمالي الفاتوره]]-Table1181920231030313233[[#This Row],[الدفعات]]</f>
        <v>92525.050000000047</v>
      </c>
      <c r="N27" s="95"/>
    </row>
    <row r="28" spans="1:14" ht="26.25" customHeight="1" x14ac:dyDescent="0.3">
      <c r="A28" s="74"/>
      <c r="B28" s="96"/>
      <c r="C28" s="98">
        <v>46186</v>
      </c>
      <c r="D28" s="96"/>
      <c r="E28" s="96"/>
      <c r="F28" s="96"/>
      <c r="G28" s="96"/>
      <c r="H28" s="96"/>
      <c r="I28" s="96"/>
      <c r="J28" s="96"/>
      <c r="K28" s="96">
        <f>Table1181920231030313233[[#This Row],[النولون]]+Table1181920231030313233[[#This Row],[الايصالات]]+Table1181920231030313233[[#This Row],[قيمة مضافة]]</f>
        <v>0</v>
      </c>
      <c r="L28" s="96">
        <v>71125.05</v>
      </c>
      <c r="M28" s="72">
        <f>M27+Table1181920231030313233[[#This Row],[اجمالي الفاتوره]]-Table1181920231030313233[[#This Row],[الدفعات]]</f>
        <v>21400.000000000044</v>
      </c>
      <c r="N28" s="95"/>
    </row>
    <row r="29" spans="1:14" ht="26.25" customHeight="1" x14ac:dyDescent="0.3">
      <c r="A29" s="6">
        <v>1367</v>
      </c>
      <c r="B29" s="1">
        <v>20</v>
      </c>
      <c r="C29" s="2">
        <v>46123</v>
      </c>
      <c r="D29" s="1" t="s">
        <v>399</v>
      </c>
      <c r="E29" s="1" t="s">
        <v>96</v>
      </c>
      <c r="F29" s="1">
        <v>904179</v>
      </c>
      <c r="G29" s="1" t="s">
        <v>143</v>
      </c>
      <c r="H29" s="1">
        <v>21400</v>
      </c>
      <c r="J29" s="1">
        <f>70+1100+477.98+45.15+350+399+119.7</f>
        <v>2561.83</v>
      </c>
      <c r="K29" s="1">
        <f>Table1181920231030313233[[#This Row],[النولون]]+Table1181920231030313233[[#This Row],[الايصالات]]+Table1181920231030313233[[#This Row],[قيمة مضافة]]</f>
        <v>23961.83</v>
      </c>
      <c r="M29" s="1">
        <f>M28+Table1181920231030313233[[#This Row],[اجمالي الفاتوره]]-Table1181920231030313233[[#This Row],[الدفعات]]</f>
        <v>45361.830000000045</v>
      </c>
    </row>
    <row r="30" spans="1:14" ht="26.25" customHeight="1" x14ac:dyDescent="0.3">
      <c r="A30" s="6">
        <v>1368</v>
      </c>
      <c r="B30" s="1">
        <v>21</v>
      </c>
      <c r="C30" s="2">
        <v>46123</v>
      </c>
      <c r="D30" s="1" t="s">
        <v>399</v>
      </c>
      <c r="E30" s="1" t="s">
        <v>96</v>
      </c>
      <c r="F30" s="1">
        <v>904168</v>
      </c>
      <c r="G30" s="1" t="s">
        <v>143</v>
      </c>
      <c r="H30" s="88">
        <f>21400</f>
        <v>21400</v>
      </c>
      <c r="J30" s="1">
        <f>850+150+1100+475.15+45.15+350+399</f>
        <v>3369.3</v>
      </c>
      <c r="K30" s="1">
        <f>Table1181920231030313233[[#This Row],[النولون]]+Table1181920231030313233[[#This Row],[الايصالات]]+Table1181920231030313233[[#This Row],[قيمة مضافة]]</f>
        <v>24769.3</v>
      </c>
      <c r="M30" s="1">
        <f>M29+Table1181920231030313233[[#This Row],[اجمالي الفاتوره]]-Table1181920231030313233[[#This Row],[الدفعات]]</f>
        <v>70131.130000000048</v>
      </c>
    </row>
    <row r="31" spans="1:14" ht="26.25" customHeight="1" x14ac:dyDescent="0.3">
      <c r="A31" s="74"/>
      <c r="B31" s="96"/>
      <c r="C31" s="98">
        <v>46201</v>
      </c>
      <c r="D31" s="96"/>
      <c r="E31" s="96"/>
      <c r="F31" s="96"/>
      <c r="G31" s="96"/>
      <c r="H31" s="96"/>
      <c r="I31" s="96"/>
      <c r="J31" s="96"/>
      <c r="K31" s="96">
        <f>Table1181920231030313233[[#This Row],[النولون]]+Table1181920231030313233[[#This Row],[الايصالات]]+Table1181920231030313233[[#This Row],[قيمة مضافة]]</f>
        <v>0</v>
      </c>
      <c r="L31" s="96">
        <v>48731.13</v>
      </c>
      <c r="M31" s="72">
        <f>M30+Table1181920231030313233[[#This Row],[اجمالي الفاتوره]]-Table1181920231030313233[[#This Row],[الدفعات]]</f>
        <v>21400.000000000051</v>
      </c>
      <c r="N31" s="95"/>
    </row>
    <row r="32" spans="1:14" ht="26.25" customHeight="1" x14ac:dyDescent="0.3">
      <c r="A32" s="6">
        <v>1369</v>
      </c>
      <c r="B32" s="1">
        <v>22</v>
      </c>
      <c r="C32" s="2">
        <v>46123</v>
      </c>
      <c r="D32" s="1" t="s">
        <v>334</v>
      </c>
      <c r="E32" s="1" t="s">
        <v>330</v>
      </c>
      <c r="F32" s="1">
        <v>902005</v>
      </c>
      <c r="G32" s="1" t="s">
        <v>143</v>
      </c>
      <c r="H32" s="1">
        <v>21500</v>
      </c>
      <c r="J32" s="1">
        <f>100+850+1100+620.27+215.96+350+399+39.9</f>
        <v>3675.13</v>
      </c>
      <c r="K32" s="1">
        <f>Table1181920231030313233[[#This Row],[النولون]]+Table1181920231030313233[[#This Row],[الايصالات]]+Table1181920231030313233[[#This Row],[قيمة مضافة]]</f>
        <v>25175.13</v>
      </c>
      <c r="M32" s="1">
        <f>M31+Table1181920231030313233[[#This Row],[اجمالي الفاتوره]]-Table1181920231030313233[[#This Row],[الدفعات]]</f>
        <v>46575.130000000048</v>
      </c>
    </row>
    <row r="33" spans="1:13" ht="26.25" customHeight="1" x14ac:dyDescent="0.3">
      <c r="A33" s="6">
        <v>1370</v>
      </c>
      <c r="B33" s="1">
        <v>23</v>
      </c>
      <c r="C33" s="2">
        <v>46123</v>
      </c>
      <c r="D33" s="1" t="s">
        <v>440</v>
      </c>
      <c r="E33" s="1" t="s">
        <v>118</v>
      </c>
      <c r="F33" s="1">
        <v>16458258</v>
      </c>
      <c r="G33" s="1" t="s">
        <v>143</v>
      </c>
      <c r="H33" s="1">
        <v>19700</v>
      </c>
      <c r="J33" s="1">
        <f>1150+750.23+88.73+100+1200</f>
        <v>3288.96</v>
      </c>
      <c r="K33" s="1">
        <f>Table1181920231030313233[[#This Row],[النولون]]+Table1181920231030313233[[#This Row],[الايصالات]]+Table1181920231030313233[[#This Row],[قيمة مضافة]]</f>
        <v>22988.959999999999</v>
      </c>
      <c r="M33" s="1">
        <f>M32+Table1181920231030313233[[#This Row],[اجمالي الفاتوره]]-Table1181920231030313233[[#This Row],[الدفعات]]</f>
        <v>69564.090000000055</v>
      </c>
    </row>
    <row r="34" spans="1:13" ht="26.25" customHeight="1" x14ac:dyDescent="0.3">
      <c r="A34" s="6">
        <v>1371</v>
      </c>
      <c r="B34" s="1">
        <v>24</v>
      </c>
      <c r="C34" s="2">
        <v>46123</v>
      </c>
      <c r="D34" s="1" t="s">
        <v>440</v>
      </c>
      <c r="E34" s="1" t="s">
        <v>118</v>
      </c>
      <c r="F34" s="1">
        <v>16458348</v>
      </c>
      <c r="G34" s="1" t="s">
        <v>143</v>
      </c>
      <c r="H34" s="1">
        <v>19700</v>
      </c>
      <c r="J34" s="1">
        <f>850+100+1130+45.15+789.94+79.8</f>
        <v>2994.8900000000003</v>
      </c>
      <c r="K34" s="1">
        <f>Table1181920231030313233[[#This Row],[النولون]]+Table1181920231030313233[[#This Row],[الايصالات]]+Table1181920231030313233[[#This Row],[قيمة مضافة]]</f>
        <v>22694.89</v>
      </c>
      <c r="M34" s="1">
        <f>M33+Table1181920231030313233[[#This Row],[اجمالي الفاتوره]]-Table1181920231030313233[[#This Row],[الدفعات]]</f>
        <v>92258.980000000054</v>
      </c>
    </row>
    <row r="35" spans="1:13" ht="26.25" customHeight="1" x14ac:dyDescent="0.3">
      <c r="A35" s="6">
        <v>1429</v>
      </c>
      <c r="B35" s="1">
        <v>25</v>
      </c>
      <c r="C35" s="2">
        <v>46144</v>
      </c>
      <c r="D35" s="1" t="s">
        <v>334</v>
      </c>
      <c r="E35" s="1" t="s">
        <v>118</v>
      </c>
      <c r="F35" s="1">
        <v>268861558</v>
      </c>
      <c r="G35" s="1" t="s">
        <v>143</v>
      </c>
      <c r="H35" s="1">
        <v>19700</v>
      </c>
      <c r="J35" s="1">
        <f>1130+480.8+950+2370+5538</f>
        <v>10468.799999999999</v>
      </c>
      <c r="K35" s="1">
        <f>Table1181920231030313233[[#This Row],[النولون]]+Table1181920231030313233[[#This Row],[الايصالات]]+Table1181920231030313233[[#This Row],[قيمة مضافة]]</f>
        <v>30168.799999999999</v>
      </c>
      <c r="M35" s="1">
        <f>M34+Table1181920231030313233[[#This Row],[اجمالي الفاتوره]]-Table1181920231030313233[[#This Row],[الدفعات]]</f>
        <v>122427.78000000006</v>
      </c>
    </row>
    <row r="36" spans="1:13" ht="26.25" customHeight="1" x14ac:dyDescent="0.3">
      <c r="A36" s="6">
        <v>1430</v>
      </c>
      <c r="B36" s="1">
        <v>26</v>
      </c>
      <c r="C36" s="2">
        <v>46144</v>
      </c>
      <c r="D36" s="1" t="s">
        <v>506</v>
      </c>
      <c r="E36" s="1" t="s">
        <v>507</v>
      </c>
      <c r="F36" s="1">
        <v>260238740</v>
      </c>
      <c r="G36" s="1" t="s">
        <v>143</v>
      </c>
      <c r="H36" s="1">
        <v>19800</v>
      </c>
      <c r="J36" s="1">
        <f>810+1130+480.8+45.15+1553.7+1182.64+120+39.9+460</f>
        <v>5822.1900000000005</v>
      </c>
      <c r="K36" s="1">
        <f>Table1181920231030313233[[#This Row],[النولون]]+Table1181920231030313233[[#This Row],[الايصالات]]+Table1181920231030313233[[#This Row],[قيمة مضافة]]</f>
        <v>25622.190000000002</v>
      </c>
      <c r="M36" s="1">
        <f>M35+Table1181920231030313233[[#This Row],[اجمالي الفاتوره]]-Table1181920231030313233[[#This Row],[الدفعات]]</f>
        <v>148049.97000000006</v>
      </c>
    </row>
    <row r="37" spans="1:13" ht="26.25" customHeight="1" x14ac:dyDescent="0.3">
      <c r="A37" s="6">
        <v>1431</v>
      </c>
      <c r="B37" s="1">
        <v>27</v>
      </c>
      <c r="C37" s="2">
        <v>46144</v>
      </c>
      <c r="D37" s="1" t="s">
        <v>399</v>
      </c>
      <c r="E37" s="1" t="s">
        <v>96</v>
      </c>
      <c r="F37" s="1">
        <v>908002</v>
      </c>
      <c r="G37" s="1" t="s">
        <v>143</v>
      </c>
      <c r="H37" s="1">
        <f>21400+3000</f>
        <v>24400</v>
      </c>
      <c r="J37" s="1">
        <f>100+810+1100+750.23+50+1995+350+399</f>
        <v>5554.23</v>
      </c>
      <c r="K37" s="1">
        <f>Table1181920231030313233[[#This Row],[النولون]]+Table1181920231030313233[[#This Row],[الايصالات]]+Table1181920231030313233[[#This Row],[قيمة مضافة]]</f>
        <v>29954.23</v>
      </c>
      <c r="M37" s="1">
        <f>M36+Table1181920231030313233[[#This Row],[اجمالي الفاتوره]]-Table1181920231030313233[[#This Row],[الدفعات]]</f>
        <v>178004.20000000007</v>
      </c>
    </row>
    <row r="38" spans="1:13" ht="26.25" customHeight="1" x14ac:dyDescent="0.3">
      <c r="A38" s="6">
        <v>1432</v>
      </c>
      <c r="B38" s="1">
        <v>28</v>
      </c>
      <c r="C38" s="2">
        <v>46144</v>
      </c>
      <c r="D38" s="1" t="s">
        <v>287</v>
      </c>
      <c r="E38" s="1" t="s">
        <v>180</v>
      </c>
      <c r="F38" s="1">
        <v>910387</v>
      </c>
      <c r="G38" s="1" t="s">
        <v>143</v>
      </c>
      <c r="H38" s="1">
        <v>19800</v>
      </c>
      <c r="J38" s="1">
        <f>1130+477.98+50+1140+350+399</f>
        <v>3546.98</v>
      </c>
      <c r="K38" s="1">
        <f>Table1181920231030313233[[#This Row],[النولون]]+Table1181920231030313233[[#This Row],[الايصالات]]+Table1181920231030313233[[#This Row],[قيمة مضافة]]</f>
        <v>23346.98</v>
      </c>
      <c r="M38" s="1">
        <f>M37+Table1181920231030313233[[#This Row],[اجمالي الفاتوره]]-Table1181920231030313233[[#This Row],[الدفعات]]</f>
        <v>201351.18000000008</v>
      </c>
    </row>
    <row r="39" spans="1:13" ht="26.25" customHeight="1" x14ac:dyDescent="0.3">
      <c r="A39" s="6">
        <v>1433</v>
      </c>
      <c r="B39" s="1">
        <v>29</v>
      </c>
      <c r="C39" s="2">
        <v>46144</v>
      </c>
      <c r="D39" s="1" t="s">
        <v>287</v>
      </c>
      <c r="E39" s="1" t="s">
        <v>180</v>
      </c>
      <c r="F39" s="1">
        <v>910412</v>
      </c>
      <c r="G39" s="1" t="s">
        <v>143</v>
      </c>
      <c r="H39" s="1">
        <v>19800</v>
      </c>
      <c r="J39" s="1">
        <f>1130+793.55+50+1140+350+399</f>
        <v>3862.55</v>
      </c>
      <c r="K39" s="1">
        <f>Table1181920231030313233[[#This Row],[النولون]]+Table1181920231030313233[[#This Row],[الايصالات]]+Table1181920231030313233[[#This Row],[قيمة مضافة]]</f>
        <v>23662.55</v>
      </c>
      <c r="M39" s="1">
        <f>M38+Table1181920231030313233[[#This Row],[اجمالي الفاتوره]]-Table1181920231030313233[[#This Row],[الدفعات]]</f>
        <v>225013.73000000007</v>
      </c>
    </row>
    <row r="40" spans="1:13" ht="26.25" customHeight="1" x14ac:dyDescent="0.3">
      <c r="A40" s="6">
        <v>1448</v>
      </c>
      <c r="B40" s="1">
        <v>30</v>
      </c>
      <c r="C40" s="2">
        <v>46151</v>
      </c>
      <c r="D40" s="1" t="s">
        <v>535</v>
      </c>
      <c r="E40" s="1" t="s">
        <v>94</v>
      </c>
      <c r="F40" s="1">
        <v>912425</v>
      </c>
      <c r="G40" s="1" t="s">
        <v>272</v>
      </c>
      <c r="H40" s="1">
        <f>21500*2</f>
        <v>43000</v>
      </c>
      <c r="J40" s="1">
        <f>210*2+850+120+200+1065+560+45.15+45.15+488.92+664.41+700+798+79.8</f>
        <v>6036.43</v>
      </c>
      <c r="K40" s="1">
        <f>Table1181920231030313233[[#This Row],[النولون]]+Table1181920231030313233[[#This Row],[الايصالات]]+Table1181920231030313233[[#This Row],[قيمة مضافة]]</f>
        <v>49036.43</v>
      </c>
      <c r="M40" s="1">
        <f>M39+Table1181920231030313233[[#This Row],[اجمالي الفاتوره]]-Table1181920231030313233[[#This Row],[الدفعات]]</f>
        <v>274050.16000000009</v>
      </c>
    </row>
    <row r="41" spans="1:13" ht="26.25" customHeight="1" x14ac:dyDescent="0.3">
      <c r="A41" s="6">
        <v>1526</v>
      </c>
      <c r="B41" s="1">
        <v>31</v>
      </c>
      <c r="C41" s="24">
        <v>46183</v>
      </c>
      <c r="D41" s="1" t="s">
        <v>604</v>
      </c>
      <c r="E41" s="1" t="s">
        <v>605</v>
      </c>
      <c r="F41" s="1">
        <v>917018</v>
      </c>
      <c r="G41" s="1" t="s">
        <v>143</v>
      </c>
      <c r="H41" s="1">
        <f>19700+3000*2</f>
        <v>25700</v>
      </c>
      <c r="J41" s="1">
        <f>210+850+250+1105+466.67+45.15+39.9+700+798</f>
        <v>4464.72</v>
      </c>
      <c r="K41" s="1">
        <f>Table1181920231030313233[[#This Row],[النولون]]+Table1181920231030313233[[#This Row],[الايصالات]]+Table1181920231030313233[[#This Row],[قيمة مضافة]]</f>
        <v>30164.720000000001</v>
      </c>
      <c r="M41" s="1">
        <f>M40+Table1181920231030313233[[#This Row],[اجمالي الفاتوره]]-Table1181920231030313233[[#This Row],[الدفعات]]</f>
        <v>304214.88000000012</v>
      </c>
    </row>
    <row r="42" spans="1:13" ht="26.25" customHeight="1" x14ac:dyDescent="0.3">
      <c r="A42" s="6">
        <v>1542</v>
      </c>
      <c r="B42" s="1">
        <v>32</v>
      </c>
      <c r="C42" s="24">
        <v>46187</v>
      </c>
      <c r="D42" s="1" t="s">
        <v>334</v>
      </c>
      <c r="E42" s="1" t="s">
        <v>118</v>
      </c>
      <c r="F42" s="1">
        <v>925606</v>
      </c>
      <c r="G42" s="1" t="s">
        <v>143</v>
      </c>
      <c r="H42" s="1">
        <f>19700+3000</f>
        <v>22700</v>
      </c>
      <c r="J42" s="1">
        <f>850+1100+488.31+105.79+700+798+39.9</f>
        <v>4082</v>
      </c>
      <c r="K42" s="1">
        <f>Table1181920231030313233[[#This Row],[النولون]]+Table1181920231030313233[[#This Row],[الايصالات]]+Table1181920231030313233[[#This Row],[قيمة مضافة]]</f>
        <v>26782</v>
      </c>
      <c r="M42" s="1">
        <f>M41+Table1181920231030313233[[#This Row],[اجمالي الفاتوره]]-Table1181920231030313233[[#This Row],[الدفعات]]</f>
        <v>330996.88000000012</v>
      </c>
    </row>
    <row r="43" spans="1:13" ht="26.25" customHeight="1" x14ac:dyDescent="0.3">
      <c r="K43" s="1">
        <f>Table1181920231030313233[[#This Row],[النولون]]+Table1181920231030313233[[#This Row],[الايصالات]]+Table1181920231030313233[[#This Row],[قيمة مضافة]]</f>
        <v>0</v>
      </c>
      <c r="M43" s="1">
        <f>M42+Table1181920231030313233[[#This Row],[اجمالي الفاتوره]]-Table1181920231030313233[[#This Row],[الدفعات]]</f>
        <v>330996.88000000012</v>
      </c>
    </row>
    <row r="44" spans="1:13" ht="26.25" customHeight="1" x14ac:dyDescent="0.3">
      <c r="C44" s="2"/>
      <c r="D44" s="2"/>
      <c r="K44" s="1">
        <f>Table1181920231030313233[[#This Row],[النولون]]+Table1181920231030313233[[#This Row],[الايصالات]]+Table1181920231030313233[[#This Row],[قيمة مضافة]]</f>
        <v>0</v>
      </c>
      <c r="M44" s="1">
        <f>M43+Table1181920231030313233[[#This Row],[اجمالي الفاتوره]]-Table1181920231030313233[[#This Row],[الدفعات]]</f>
        <v>330996.88000000012</v>
      </c>
    </row>
    <row r="45" spans="1:13" ht="26.25" customHeight="1" x14ac:dyDescent="0.3">
      <c r="K45" s="1">
        <f>Table1181920231030313233[[#This Row],[النولون]]+Table1181920231030313233[[#This Row],[الايصالات]]+Table1181920231030313233[[#This Row],[قيمة مضافة]]</f>
        <v>0</v>
      </c>
      <c r="M45" s="1">
        <f>M44+Table1181920231030313233[[#This Row],[اجمالي الفاتوره]]-Table1181920231030313233[[#This Row],[الدفعات]]</f>
        <v>330996.88000000012</v>
      </c>
    </row>
    <row r="46" spans="1:13" ht="26.25" customHeight="1" x14ac:dyDescent="0.3">
      <c r="K46" s="1">
        <f>Table1181920231030313233[[#This Row],[النولون]]+Table1181920231030313233[[#This Row],[الايصالات]]+Table1181920231030313233[[#This Row],[قيمة مضافة]]</f>
        <v>0</v>
      </c>
      <c r="M46" s="1">
        <f>M45+Table1181920231030313233[[#This Row],[اجمالي الفاتوره]]-Table1181920231030313233[[#This Row],[الدفعات]]</f>
        <v>330996.88000000012</v>
      </c>
    </row>
    <row r="47" spans="1:13" ht="26.25" customHeight="1" x14ac:dyDescent="0.3">
      <c r="K47" s="1">
        <f>Table1181920231030313233[[#This Row],[النولون]]+Table1181920231030313233[[#This Row],[الايصالات]]+Table1181920231030313233[[#This Row],[قيمة مضافة]]</f>
        <v>0</v>
      </c>
      <c r="M47" s="1">
        <f>M46+Table1181920231030313233[[#This Row],[اجمالي الفاتوره]]-Table1181920231030313233[[#This Row],[الدفعات]]</f>
        <v>330996.88000000012</v>
      </c>
    </row>
    <row r="48" spans="1:13" ht="26.25" customHeight="1" x14ac:dyDescent="0.3">
      <c r="K48" s="1">
        <f>Table1181920231030313233[[#This Row],[النولون]]+Table1181920231030313233[[#This Row],[الايصالات]]+Table1181920231030313233[[#This Row],[قيمة مضافة]]</f>
        <v>0</v>
      </c>
      <c r="M48" s="1">
        <f>M47+Table1181920231030313233[[#This Row],[اجمالي الفاتوره]]-Table1181920231030313233[[#This Row],[الدفعات]]</f>
        <v>330996.88000000012</v>
      </c>
    </row>
    <row r="49" spans="11:13" ht="26.25" customHeight="1" x14ac:dyDescent="0.3">
      <c r="K49" s="1">
        <f>Table1181920231030313233[[#This Row],[النولون]]+Table1181920231030313233[[#This Row],[الايصالات]]+Table1181920231030313233[[#This Row],[قيمة مضافة]]</f>
        <v>0</v>
      </c>
      <c r="M49" s="1">
        <f>M48+Table1181920231030313233[[#This Row],[اجمالي الفاتوره]]-Table1181920231030313233[[#This Row],[الدفعات]]</f>
        <v>330996.88000000012</v>
      </c>
    </row>
    <row r="50" spans="11:13" ht="26.25" customHeight="1" x14ac:dyDescent="0.3">
      <c r="K50" s="1">
        <f>Table1181920231030313233[[#This Row],[النولون]]+Table1181920231030313233[[#This Row],[الايصالات]]+Table1181920231030313233[[#This Row],[قيمة مضافة]]</f>
        <v>0</v>
      </c>
      <c r="M50" s="1">
        <f>M49+Table1181920231030313233[[#This Row],[اجمالي الفاتوره]]-Table1181920231030313233[[#This Row],[الدفعات]]</f>
        <v>330996.88000000012</v>
      </c>
    </row>
    <row r="51" spans="11:13" ht="26.25" customHeight="1" x14ac:dyDescent="0.3">
      <c r="K51" s="1">
        <f>Table1181920231030313233[[#This Row],[النولون]]+Table1181920231030313233[[#This Row],[الايصالات]]+Table1181920231030313233[[#This Row],[قيمة مضافة]]</f>
        <v>0</v>
      </c>
      <c r="M51" s="1">
        <f>M50+Table1181920231030313233[[#This Row],[اجمالي الفاتوره]]-Table1181920231030313233[[#This Row],[الدفعات]]</f>
        <v>330996.88000000012</v>
      </c>
    </row>
    <row r="52" spans="11:13" ht="26.25" customHeight="1" x14ac:dyDescent="0.3">
      <c r="K52" s="1">
        <f>Table1181920231030313233[[#This Row],[النولون]]+Table1181920231030313233[[#This Row],[الايصالات]]+Table1181920231030313233[[#This Row],[قيمة مضافة]]</f>
        <v>0</v>
      </c>
      <c r="M52" s="1">
        <f>M51+Table1181920231030313233[[#This Row],[اجمالي الفاتوره]]-Table1181920231030313233[[#This Row],[الدفعات]]</f>
        <v>330996.88000000012</v>
      </c>
    </row>
    <row r="53" spans="11:13" ht="26.25" customHeight="1" x14ac:dyDescent="0.3">
      <c r="K53" s="1">
        <f>Table1181920231030313233[[#This Row],[النولون]]+Table1181920231030313233[[#This Row],[الايصالات]]+Table1181920231030313233[[#This Row],[قيمة مضافة]]</f>
        <v>0</v>
      </c>
      <c r="M53" s="1">
        <f>M52+Table1181920231030313233[[#This Row],[اجمالي الفاتوره]]-Table1181920231030313233[[#This Row],[الدفعات]]</f>
        <v>330996.88000000012</v>
      </c>
    </row>
    <row r="54" spans="11:13" ht="26.25" customHeight="1" x14ac:dyDescent="0.3">
      <c r="K54" s="1">
        <f>Table1181920231030313233[[#This Row],[النولون]]+Table1181920231030313233[[#This Row],[الايصالات]]+Table1181920231030313233[[#This Row],[قيمة مضافة]]</f>
        <v>0</v>
      </c>
      <c r="M54" s="1">
        <f>M53+Table1181920231030313233[[#This Row],[اجمالي الفاتوره]]-Table1181920231030313233[[#This Row],[الدفعات]]</f>
        <v>330996.88000000012</v>
      </c>
    </row>
    <row r="55" spans="11:13" ht="26.25" customHeight="1" x14ac:dyDescent="0.3">
      <c r="K55" s="1">
        <f>Table1181920231030313233[[#This Row],[النولون]]+Table1181920231030313233[[#This Row],[الايصالات]]+Table1181920231030313233[[#This Row],[قيمة مضافة]]</f>
        <v>0</v>
      </c>
      <c r="M55" s="1">
        <f>M54+Table1181920231030313233[[#This Row],[اجمالي الفاتوره]]-Table1181920231030313233[[#This Row],[الدفعات]]</f>
        <v>330996.88000000012</v>
      </c>
    </row>
    <row r="56" spans="11:13" ht="26.25" customHeight="1" x14ac:dyDescent="0.3">
      <c r="K56" s="1">
        <f>Table1181920231030313233[[#This Row],[النولون]]+Table1181920231030313233[[#This Row],[الايصالات]]+Table1181920231030313233[[#This Row],[قيمة مضافة]]</f>
        <v>0</v>
      </c>
      <c r="M56" s="1">
        <f>M55+Table1181920231030313233[[#This Row],[اجمالي الفاتوره]]-Table1181920231030313233[[#This Row],[الدفعات]]</f>
        <v>330996.88000000012</v>
      </c>
    </row>
    <row r="57" spans="11:13" ht="26.25" customHeight="1" x14ac:dyDescent="0.3">
      <c r="K57" s="1">
        <f>Table1181920231030313233[[#This Row],[النولون]]+Table1181920231030313233[[#This Row],[الايصالات]]+Table1181920231030313233[[#This Row],[قيمة مضافة]]</f>
        <v>0</v>
      </c>
      <c r="M57" s="1">
        <f>M56+Table1181920231030313233[[#This Row],[اجمالي الفاتوره]]-Table1181920231030313233[[#This Row],[الدفعات]]</f>
        <v>330996.88000000012</v>
      </c>
    </row>
    <row r="58" spans="11:13" ht="26.25" customHeight="1" x14ac:dyDescent="0.3">
      <c r="K58" s="1">
        <f>Table1181920231030313233[[#This Row],[النولون]]+Table1181920231030313233[[#This Row],[الايصالات]]+Table1181920231030313233[[#This Row],[قيمة مضافة]]</f>
        <v>0</v>
      </c>
      <c r="M58" s="1">
        <f>M57+Table1181920231030313233[[#This Row],[اجمالي الفاتوره]]-Table1181920231030313233[[#This Row],[الدفعات]]</f>
        <v>330996.88000000012</v>
      </c>
    </row>
    <row r="59" spans="11:13" ht="26.25" customHeight="1" x14ac:dyDescent="0.3">
      <c r="K59" s="1">
        <f>Table1181920231030313233[[#This Row],[النولون]]+Table1181920231030313233[[#This Row],[الايصالات]]+Table1181920231030313233[[#This Row],[قيمة مضافة]]</f>
        <v>0</v>
      </c>
      <c r="M59" s="1">
        <f>M58+Table1181920231030313233[[#This Row],[اجمالي الفاتوره]]-Table1181920231030313233[[#This Row],[الدفعات]]</f>
        <v>330996.88000000012</v>
      </c>
    </row>
    <row r="60" spans="11:13" ht="26.25" customHeight="1" x14ac:dyDescent="0.3">
      <c r="K60" s="1">
        <f>Table1181920231030313233[[#This Row],[النولون]]+Table1181920231030313233[[#This Row],[الايصالات]]+Table1181920231030313233[[#This Row],[قيمة مضافة]]</f>
        <v>0</v>
      </c>
      <c r="M60" s="1">
        <f>M59+Table1181920231030313233[[#This Row],[اجمالي الفاتوره]]-Table1181920231030313233[[#This Row],[الدفعات]]</f>
        <v>330996.88000000012</v>
      </c>
    </row>
    <row r="61" spans="11:13" ht="26.25" customHeight="1" x14ac:dyDescent="0.3">
      <c r="K61" s="1">
        <f>Table1181920231030313233[[#This Row],[النولون]]+Table1181920231030313233[[#This Row],[الايصالات]]+Table1181920231030313233[[#This Row],[قيمة مضافة]]</f>
        <v>0</v>
      </c>
      <c r="M61" s="1">
        <f>M60+Table1181920231030313233[[#This Row],[اجمالي الفاتوره]]-Table1181920231030313233[[#This Row],[الدفعات]]</f>
        <v>330996.88000000012</v>
      </c>
    </row>
    <row r="62" spans="11:13" ht="26.25" customHeight="1" x14ac:dyDescent="0.3">
      <c r="K62" s="1">
        <f>Table1181920231030313233[[#This Row],[النولون]]+Table1181920231030313233[[#This Row],[الايصالات]]+Table1181920231030313233[[#This Row],[قيمة مضافة]]</f>
        <v>0</v>
      </c>
      <c r="M62" s="1">
        <f>M61+Table1181920231030313233[[#This Row],[اجمالي الفاتوره]]-Table1181920231030313233[[#This Row],[الدفعات]]</f>
        <v>330996.88000000012</v>
      </c>
    </row>
    <row r="63" spans="11:13" ht="26.25" customHeight="1" x14ac:dyDescent="0.3">
      <c r="K63" s="1">
        <f>Table1181920231030313233[[#This Row],[النولون]]+Table1181920231030313233[[#This Row],[الايصالات]]+Table1181920231030313233[[#This Row],[قيمة مضافة]]</f>
        <v>0</v>
      </c>
      <c r="M63" s="1">
        <f>M62+Table1181920231030313233[[#This Row],[اجمالي الفاتوره]]-Table1181920231030313233[[#This Row],[الدفعات]]</f>
        <v>330996.88000000012</v>
      </c>
    </row>
    <row r="64" spans="11:13" ht="26.25" customHeight="1" x14ac:dyDescent="0.3">
      <c r="K64" s="1">
        <f>Table1181920231030313233[[#This Row],[النولون]]+Table1181920231030313233[[#This Row],[الايصالات]]+Table1181920231030313233[[#This Row],[قيمة مضافة]]</f>
        <v>0</v>
      </c>
      <c r="M64" s="1">
        <f>M63+Table1181920231030313233[[#This Row],[اجمالي الفاتوره]]-Table1181920231030313233[[#This Row],[الدفعات]]</f>
        <v>330996.88000000012</v>
      </c>
    </row>
    <row r="65" spans="11:13" ht="26.25" customHeight="1" x14ac:dyDescent="0.3">
      <c r="K65" s="1">
        <f>Table1181920231030313233[[#This Row],[النولون]]+Table1181920231030313233[[#This Row],[الايصالات]]+Table1181920231030313233[[#This Row],[قيمة مضافة]]</f>
        <v>0</v>
      </c>
      <c r="M65" s="1">
        <f>M64+Table1181920231030313233[[#This Row],[اجمالي الفاتوره]]-Table1181920231030313233[[#This Row],[الدفعات]]</f>
        <v>330996.88000000012</v>
      </c>
    </row>
    <row r="66" spans="11:13" ht="26.25" customHeight="1" x14ac:dyDescent="0.3">
      <c r="K66" s="1">
        <f>Table1181920231030313233[[#This Row],[النولون]]+Table1181920231030313233[[#This Row],[الايصالات]]+Table1181920231030313233[[#This Row],[قيمة مضافة]]</f>
        <v>0</v>
      </c>
      <c r="M66" s="1">
        <f>M65+Table1181920231030313233[[#This Row],[اجمالي الفاتوره]]-Table1181920231030313233[[#This Row],[الدفعات]]</f>
        <v>330996.88000000012</v>
      </c>
    </row>
    <row r="67" spans="11:13" ht="26.25" customHeight="1" x14ac:dyDescent="0.3">
      <c r="K67" s="1">
        <f>Table1181920231030313233[[#This Row],[النولون]]+Table1181920231030313233[[#This Row],[الايصالات]]+Table1181920231030313233[[#This Row],[قيمة مضافة]]</f>
        <v>0</v>
      </c>
      <c r="M67" s="1">
        <f>M66+Table1181920231030313233[[#This Row],[اجمالي الفاتوره]]-Table1181920231030313233[[#This Row],[الدفعات]]</f>
        <v>330996.88000000012</v>
      </c>
    </row>
    <row r="68" spans="11:13" ht="26.25" customHeight="1" x14ac:dyDescent="0.3">
      <c r="K68" s="1">
        <f>Table1181920231030313233[[#This Row],[النولون]]+Table1181920231030313233[[#This Row],[الايصالات]]+Table1181920231030313233[[#This Row],[قيمة مضافة]]</f>
        <v>0</v>
      </c>
      <c r="M68" s="1">
        <f>M67+Table1181920231030313233[[#This Row],[اجمالي الفاتوره]]-Table1181920231030313233[[#This Row],[الدفعات]]</f>
        <v>330996.88000000012</v>
      </c>
    </row>
    <row r="69" spans="11:13" ht="26.25" customHeight="1" x14ac:dyDescent="0.3">
      <c r="K69" s="1">
        <f>Table1181920231030313233[[#This Row],[النولون]]+Table1181920231030313233[[#This Row],[الايصالات]]+Table1181920231030313233[[#This Row],[قيمة مضافة]]</f>
        <v>0</v>
      </c>
      <c r="M69" s="1">
        <f>M68+Table1181920231030313233[[#This Row],[اجمالي الفاتوره]]-Table1181920231030313233[[#This Row],[الدفعات]]</f>
        <v>330996.88000000012</v>
      </c>
    </row>
    <row r="70" spans="11:13" ht="26.25" customHeight="1" x14ac:dyDescent="0.3">
      <c r="K70" s="1">
        <f>Table1181920231030313233[[#This Row],[النولون]]+Table1181920231030313233[[#This Row],[الايصالات]]+Table1181920231030313233[[#This Row],[قيمة مضافة]]</f>
        <v>0</v>
      </c>
      <c r="M70" s="1">
        <f>M69+Table1181920231030313233[[#This Row],[اجمالي الفاتوره]]-Table1181920231030313233[[#This Row],[الدفعات]]</f>
        <v>330996.88000000012</v>
      </c>
    </row>
    <row r="71" spans="11:13" ht="26.25" customHeight="1" x14ac:dyDescent="0.3">
      <c r="K71" s="1">
        <f>Table1181920231030313233[[#This Row],[النولون]]+Table1181920231030313233[[#This Row],[الايصالات]]+Table1181920231030313233[[#This Row],[قيمة مضافة]]</f>
        <v>0</v>
      </c>
      <c r="M71" s="1">
        <f>M70+Table1181920231030313233[[#This Row],[اجمالي الفاتوره]]-Table1181920231030313233[[#This Row],[الدفعات]]</f>
        <v>330996.88000000012</v>
      </c>
    </row>
    <row r="72" spans="11:13" ht="26.25" customHeight="1" x14ac:dyDescent="0.3">
      <c r="K72" s="1">
        <f>Table1181920231030313233[[#This Row],[النولون]]+Table1181920231030313233[[#This Row],[الايصالات]]+Table1181920231030313233[[#This Row],[قيمة مضافة]]</f>
        <v>0</v>
      </c>
      <c r="M72" s="1">
        <f>M71+Table1181920231030313233[[#This Row],[اجمالي الفاتوره]]-Table1181920231030313233[[#This Row],[الدفعات]]</f>
        <v>330996.88000000012</v>
      </c>
    </row>
    <row r="73" spans="11:13" ht="26.25" customHeight="1" x14ac:dyDescent="0.3">
      <c r="K73" s="1">
        <f>Table1181920231030313233[[#This Row],[النولون]]+Table1181920231030313233[[#This Row],[الايصالات]]+Table1181920231030313233[[#This Row],[قيمة مضافة]]</f>
        <v>0</v>
      </c>
      <c r="M73" s="1">
        <f>M72+Table1181920231030313233[[#This Row],[اجمالي الفاتوره]]-Table1181920231030313233[[#This Row],[الدفعات]]</f>
        <v>330996.88000000012</v>
      </c>
    </row>
    <row r="74" spans="11:13" ht="26.25" customHeight="1" x14ac:dyDescent="0.3">
      <c r="K74" s="1">
        <f>Table1181920231030313233[[#This Row],[النولون]]+Table1181920231030313233[[#This Row],[الايصالات]]+Table1181920231030313233[[#This Row],[قيمة مضافة]]</f>
        <v>0</v>
      </c>
      <c r="M74" s="1">
        <f>M73+Table1181920231030313233[[#This Row],[اجمالي الفاتوره]]-Table1181920231030313233[[#This Row],[الدفعات]]</f>
        <v>330996.88000000012</v>
      </c>
    </row>
    <row r="75" spans="11:13" ht="26.25" customHeight="1" x14ac:dyDescent="0.3">
      <c r="K75" s="1">
        <f>Table1181920231030313233[[#This Row],[النولون]]+Table1181920231030313233[[#This Row],[الايصالات]]+Table1181920231030313233[[#This Row],[قيمة مضافة]]</f>
        <v>0</v>
      </c>
      <c r="M75" s="1">
        <f>M74+Table1181920231030313233[[#This Row],[اجمالي الفاتوره]]-Table1181920231030313233[[#This Row],[الدفعات]]</f>
        <v>330996.88000000012</v>
      </c>
    </row>
    <row r="76" spans="11:13" ht="26.25" customHeight="1" x14ac:dyDescent="0.3">
      <c r="K76" s="1">
        <f>Table1181920231030313233[[#This Row],[النولون]]+Table1181920231030313233[[#This Row],[الايصالات]]+Table1181920231030313233[[#This Row],[قيمة مضافة]]</f>
        <v>0</v>
      </c>
      <c r="M76" s="1">
        <f>M75+Table1181920231030313233[[#This Row],[اجمالي الفاتوره]]-Table1181920231030313233[[#This Row],[الدفعات]]</f>
        <v>330996.88000000012</v>
      </c>
    </row>
    <row r="77" spans="11:13" ht="26.25" customHeight="1" x14ac:dyDescent="0.3">
      <c r="K77" s="1">
        <f>Table1181920231030313233[[#This Row],[النولون]]+Table1181920231030313233[[#This Row],[الايصالات]]+Table1181920231030313233[[#This Row],[قيمة مضافة]]</f>
        <v>0</v>
      </c>
      <c r="M77" s="1">
        <f>M76+Table1181920231030313233[[#This Row],[اجمالي الفاتوره]]-Table1181920231030313233[[#This Row],[الدفعات]]</f>
        <v>330996.88000000012</v>
      </c>
    </row>
    <row r="78" spans="11:13" ht="26.25" customHeight="1" x14ac:dyDescent="0.3">
      <c r="K78" s="1">
        <f>Table1181920231030313233[[#This Row],[النولون]]+Table1181920231030313233[[#This Row],[الايصالات]]+Table1181920231030313233[[#This Row],[قيمة مضافة]]</f>
        <v>0</v>
      </c>
      <c r="M78" s="1">
        <f>M77+Table1181920231030313233[[#This Row],[اجمالي الفاتوره]]-Table1181920231030313233[[#This Row],[الدفعات]]</f>
        <v>330996.88000000012</v>
      </c>
    </row>
    <row r="79" spans="11:13" ht="26.25" customHeight="1" x14ac:dyDescent="0.3">
      <c r="K79" s="1">
        <f>Table1181920231030313233[[#This Row],[النولون]]+Table1181920231030313233[[#This Row],[الايصالات]]+Table1181920231030313233[[#This Row],[قيمة مضافة]]</f>
        <v>0</v>
      </c>
      <c r="M79" s="1">
        <f>M78+Table1181920231030313233[[#This Row],[اجمالي الفاتوره]]-Table1181920231030313233[[#This Row],[الدفعات]]</f>
        <v>330996.88000000012</v>
      </c>
    </row>
    <row r="80" spans="11:13" ht="26.25" customHeight="1" x14ac:dyDescent="0.3">
      <c r="K80" s="1">
        <f>Table1181920231030313233[[#This Row],[النولون]]+Table1181920231030313233[[#This Row],[الايصالات]]+Table1181920231030313233[[#This Row],[قيمة مضافة]]</f>
        <v>0</v>
      </c>
      <c r="M80" s="1">
        <f>M79+Table1181920231030313233[[#This Row],[اجمالي الفاتوره]]-Table1181920231030313233[[#This Row],[الدفعات]]</f>
        <v>330996.88000000012</v>
      </c>
    </row>
    <row r="81" spans="11:13" ht="26.25" customHeight="1" x14ac:dyDescent="0.3">
      <c r="K81" s="1">
        <f>Table1181920231030313233[[#This Row],[النولون]]+Table1181920231030313233[[#This Row],[الايصالات]]+Table1181920231030313233[[#This Row],[قيمة مضافة]]</f>
        <v>0</v>
      </c>
      <c r="M81" s="1">
        <f>M80+Table1181920231030313233[[#This Row],[اجمالي الفاتوره]]-Table1181920231030313233[[#This Row],[الدفعات]]</f>
        <v>330996.88000000012</v>
      </c>
    </row>
    <row r="82" spans="11:13" ht="26.25" customHeight="1" x14ac:dyDescent="0.3">
      <c r="K82" s="1">
        <f>Table1181920231030313233[[#This Row],[النولون]]+Table1181920231030313233[[#This Row],[الايصالات]]+Table1181920231030313233[[#This Row],[قيمة مضافة]]</f>
        <v>0</v>
      </c>
      <c r="M82" s="1">
        <f>M81+Table1181920231030313233[[#This Row],[اجمالي الفاتوره]]-Table1181920231030313233[[#This Row],[الدفعات]]</f>
        <v>330996.88000000012</v>
      </c>
    </row>
    <row r="83" spans="11:13" ht="26.25" customHeight="1" x14ac:dyDescent="0.3">
      <c r="K83" s="1">
        <f>Table1181920231030313233[[#This Row],[النولون]]+Table1181920231030313233[[#This Row],[الايصالات]]+Table1181920231030313233[[#This Row],[قيمة مضافة]]</f>
        <v>0</v>
      </c>
      <c r="M83" s="1">
        <f>M82+Table1181920231030313233[[#This Row],[اجمالي الفاتوره]]-Table1181920231030313233[[#This Row],[الدفعات]]</f>
        <v>330996.88000000012</v>
      </c>
    </row>
    <row r="84" spans="11:13" ht="26.25" customHeight="1" x14ac:dyDescent="0.3">
      <c r="K84" s="1">
        <f>Table1181920231030313233[[#This Row],[النولون]]+Table1181920231030313233[[#This Row],[الايصالات]]+Table1181920231030313233[[#This Row],[قيمة مضافة]]</f>
        <v>0</v>
      </c>
      <c r="M84" s="1">
        <f>M83+Table1181920231030313233[[#This Row],[اجمالي الفاتوره]]-Table1181920231030313233[[#This Row],[الدفعات]]</f>
        <v>330996.88000000012</v>
      </c>
    </row>
    <row r="85" spans="11:13" ht="26.25" customHeight="1" x14ac:dyDescent="0.3">
      <c r="K85" s="1">
        <f>Table1181920231030313233[[#This Row],[النولون]]+Table1181920231030313233[[#This Row],[الايصالات]]+Table1181920231030313233[[#This Row],[قيمة مضافة]]</f>
        <v>0</v>
      </c>
      <c r="M85" s="1">
        <f>M84+Table1181920231030313233[[#This Row],[اجمالي الفاتوره]]-Table1181920231030313233[[#This Row],[الدفعات]]</f>
        <v>330996.88000000012</v>
      </c>
    </row>
    <row r="86" spans="11:13" ht="26.25" customHeight="1" x14ac:dyDescent="0.3">
      <c r="K86" s="1">
        <f>Table1181920231030313233[[#This Row],[النولون]]+Table1181920231030313233[[#This Row],[الايصالات]]+Table1181920231030313233[[#This Row],[قيمة مضافة]]</f>
        <v>0</v>
      </c>
      <c r="M86" s="1">
        <f>M85+Table1181920231030313233[[#This Row],[اجمالي الفاتوره]]-Table1181920231030313233[[#This Row],[الدفعات]]</f>
        <v>330996.88000000012</v>
      </c>
    </row>
    <row r="87" spans="11:13" ht="26.25" customHeight="1" x14ac:dyDescent="0.3">
      <c r="K87" s="1">
        <f>Table1181920231030313233[[#This Row],[النولون]]+Table1181920231030313233[[#This Row],[الايصالات]]+Table1181920231030313233[[#This Row],[قيمة مضافة]]</f>
        <v>0</v>
      </c>
      <c r="M87" s="1">
        <f>M86+Table1181920231030313233[[#This Row],[اجمالي الفاتوره]]-Table1181920231030313233[[#This Row],[الدفعات]]</f>
        <v>330996.88000000012</v>
      </c>
    </row>
    <row r="88" spans="11:13" ht="26.25" customHeight="1" x14ac:dyDescent="0.3">
      <c r="K88" s="1">
        <f>Table1181920231030313233[[#This Row],[النولون]]+Table1181920231030313233[[#This Row],[الايصالات]]+Table1181920231030313233[[#This Row],[قيمة مضافة]]</f>
        <v>0</v>
      </c>
      <c r="M88" s="1">
        <f>M87+Table1181920231030313233[[#This Row],[اجمالي الفاتوره]]-Table1181920231030313233[[#This Row],[الدفعات]]</f>
        <v>330996.88000000012</v>
      </c>
    </row>
    <row r="89" spans="11:13" ht="26.25" customHeight="1" x14ac:dyDescent="0.3">
      <c r="K89" s="1">
        <f>Table1181920231030313233[[#This Row],[النولون]]+Table1181920231030313233[[#This Row],[الايصالات]]+Table1181920231030313233[[#This Row],[قيمة مضافة]]</f>
        <v>0</v>
      </c>
      <c r="M89" s="1">
        <f>M88+Table1181920231030313233[[#This Row],[اجمالي الفاتوره]]-Table1181920231030313233[[#This Row],[الدفعات]]</f>
        <v>330996.88000000012</v>
      </c>
    </row>
    <row r="90" spans="11:13" ht="26.25" customHeight="1" x14ac:dyDescent="0.3">
      <c r="K90" s="1">
        <f>Table1181920231030313233[[#This Row],[النولون]]+Table1181920231030313233[[#This Row],[الايصالات]]+Table1181920231030313233[[#This Row],[قيمة مضافة]]</f>
        <v>0</v>
      </c>
      <c r="M90" s="1">
        <f>M89+Table1181920231030313233[[#This Row],[اجمالي الفاتوره]]-Table1181920231030313233[[#This Row],[الدفعات]]</f>
        <v>330996.88000000012</v>
      </c>
    </row>
    <row r="91" spans="11:13" ht="26.25" customHeight="1" x14ac:dyDescent="0.3">
      <c r="K91" s="1">
        <f>Table1181920231030313233[[#This Row],[النولون]]+Table1181920231030313233[[#This Row],[الايصالات]]+Table1181920231030313233[[#This Row],[قيمة مضافة]]</f>
        <v>0</v>
      </c>
      <c r="M91" s="1">
        <f>M90+Table1181920231030313233[[#This Row],[اجمالي الفاتوره]]-Table1181920231030313233[[#This Row],[الدفعات]]</f>
        <v>330996.88000000012</v>
      </c>
    </row>
    <row r="92" spans="11:13" ht="26.25" customHeight="1" x14ac:dyDescent="0.3">
      <c r="K92" s="1">
        <f>Table1181920231030313233[[#This Row],[النولون]]+Table1181920231030313233[[#This Row],[الايصالات]]+Table1181920231030313233[[#This Row],[قيمة مضافة]]</f>
        <v>0</v>
      </c>
      <c r="M92" s="1">
        <f>M91+Table1181920231030313233[[#This Row],[اجمالي الفاتوره]]-Table1181920231030313233[[#This Row],[الدفعات]]</f>
        <v>330996.88000000012</v>
      </c>
    </row>
    <row r="93" spans="11:13" ht="26.25" customHeight="1" x14ac:dyDescent="0.3">
      <c r="K93" s="1">
        <f>Table1181920231030313233[[#This Row],[النولون]]+Table1181920231030313233[[#This Row],[الايصالات]]+Table1181920231030313233[[#This Row],[قيمة مضافة]]</f>
        <v>0</v>
      </c>
      <c r="M93" s="1">
        <f>M92+Table1181920231030313233[[#This Row],[اجمالي الفاتوره]]-Table1181920231030313233[[#This Row],[الدفعات]]</f>
        <v>330996.88000000012</v>
      </c>
    </row>
    <row r="94" spans="11:13" ht="26.25" customHeight="1" x14ac:dyDescent="0.3">
      <c r="K94" s="1">
        <f>Table1181920231030313233[[#This Row],[النولون]]+Table1181920231030313233[[#This Row],[الايصالات]]+Table1181920231030313233[[#This Row],[قيمة مضافة]]</f>
        <v>0</v>
      </c>
      <c r="M94" s="1">
        <f>M93+Table1181920231030313233[[#This Row],[اجمالي الفاتوره]]-Table1181920231030313233[[#This Row],[الدفعات]]</f>
        <v>330996.88000000012</v>
      </c>
    </row>
    <row r="95" spans="11:13" ht="26.25" customHeight="1" x14ac:dyDescent="0.3">
      <c r="K95" s="1">
        <f>Table1181920231030313233[[#This Row],[النولون]]+Table1181920231030313233[[#This Row],[الايصالات]]+Table1181920231030313233[[#This Row],[قيمة مضافة]]</f>
        <v>0</v>
      </c>
      <c r="M95" s="1">
        <f>M94+Table1181920231030313233[[#This Row],[اجمالي الفاتوره]]-Table1181920231030313233[[#This Row],[الدفعات]]</f>
        <v>330996.88000000012</v>
      </c>
    </row>
    <row r="96" spans="11:13" ht="26.25" customHeight="1" x14ac:dyDescent="0.3">
      <c r="K96" s="1">
        <f>Table1181920231030313233[[#This Row],[النولون]]+Table1181920231030313233[[#This Row],[الايصالات]]+Table1181920231030313233[[#This Row],[قيمة مضافة]]</f>
        <v>0</v>
      </c>
      <c r="M96" s="1">
        <f>M95+Table1181920231030313233[[#This Row],[اجمالي الفاتوره]]-Table1181920231030313233[[#This Row],[الدفعات]]</f>
        <v>330996.88000000012</v>
      </c>
    </row>
    <row r="97" spans="11:13" ht="26.25" customHeight="1" x14ac:dyDescent="0.3">
      <c r="K97" s="1">
        <f>Table1181920231030313233[[#This Row],[النولون]]+Table1181920231030313233[[#This Row],[الايصالات]]+Table1181920231030313233[[#This Row],[قيمة مضافة]]</f>
        <v>0</v>
      </c>
      <c r="M97" s="1">
        <f>M96+Table1181920231030313233[[#This Row],[اجمالي الفاتوره]]-Table1181920231030313233[[#This Row],[الدفعات]]</f>
        <v>330996.88000000012</v>
      </c>
    </row>
    <row r="98" spans="11:13" ht="26.25" customHeight="1" x14ac:dyDescent="0.3">
      <c r="K98" s="1">
        <f>Table1181920231030313233[[#This Row],[النولون]]+Table1181920231030313233[[#This Row],[الايصالات]]+Table1181920231030313233[[#This Row],[قيمة مضافة]]</f>
        <v>0</v>
      </c>
      <c r="M98" s="1">
        <f>M97+Table1181920231030313233[[#This Row],[اجمالي الفاتوره]]-Table1181920231030313233[[#This Row],[الدفعات]]</f>
        <v>330996.88000000012</v>
      </c>
    </row>
    <row r="99" spans="11:13" ht="26.25" customHeight="1" x14ac:dyDescent="0.3">
      <c r="K99" s="1">
        <f>Table1181920231030313233[[#This Row],[النولون]]+Table1181920231030313233[[#This Row],[الايصالات]]+Table1181920231030313233[[#This Row],[قيمة مضافة]]</f>
        <v>0</v>
      </c>
      <c r="M99" s="1">
        <f>M98+Table1181920231030313233[[#This Row],[اجمالي الفاتوره]]-Table1181920231030313233[[#This Row],[الدفعات]]</f>
        <v>330996.88000000012</v>
      </c>
    </row>
    <row r="100" spans="11:13" ht="26.25" customHeight="1" x14ac:dyDescent="0.3">
      <c r="K100" s="1">
        <f>Table1181920231030313233[[#This Row],[النولون]]+Table1181920231030313233[[#This Row],[الايصالات]]+Table1181920231030313233[[#This Row],[قيمة مضافة]]</f>
        <v>0</v>
      </c>
      <c r="M100" s="1">
        <f>M99+Table1181920231030313233[[#This Row],[اجمالي الفاتوره]]-Table1181920231030313233[[#This Row],[الدفعات]]</f>
        <v>330996.88000000012</v>
      </c>
    </row>
    <row r="101" spans="11:13" ht="26.25" customHeight="1" x14ac:dyDescent="0.3">
      <c r="K101" s="1">
        <f>Table1181920231030313233[[#This Row],[النولون]]+Table1181920231030313233[[#This Row],[الايصالات]]+Table1181920231030313233[[#This Row],[قيمة مضافة]]</f>
        <v>0</v>
      </c>
      <c r="M101" s="1">
        <f>M100+Table1181920231030313233[[#This Row],[اجمالي الفاتوره]]-Table1181920231030313233[[#This Row],[الدفعات]]</f>
        <v>330996.88000000012</v>
      </c>
    </row>
    <row r="102" spans="11:13" ht="26.25" customHeight="1" x14ac:dyDescent="0.3">
      <c r="K102" s="1">
        <f>Table1181920231030313233[[#This Row],[النولون]]+Table1181920231030313233[[#This Row],[الايصالات]]+Table1181920231030313233[[#This Row],[قيمة مضافة]]</f>
        <v>0</v>
      </c>
      <c r="M102" s="1">
        <f>M101+Table1181920231030313233[[#This Row],[اجمالي الفاتوره]]-Table1181920231030313233[[#This Row],[الدفعات]]</f>
        <v>330996.88000000012</v>
      </c>
    </row>
    <row r="103" spans="11:13" ht="26.25" customHeight="1" x14ac:dyDescent="0.3">
      <c r="K103" s="1">
        <f>Table1181920231030313233[[#This Row],[النولون]]+Table1181920231030313233[[#This Row],[الايصالات]]+Table1181920231030313233[[#This Row],[قيمة مضافة]]</f>
        <v>0</v>
      </c>
      <c r="M103" s="1">
        <f>M102+Table1181920231030313233[[#This Row],[اجمالي الفاتوره]]-Table1181920231030313233[[#This Row],[الدفعات]]</f>
        <v>330996.88000000012</v>
      </c>
    </row>
    <row r="104" spans="11:13" ht="26.25" customHeight="1" x14ac:dyDescent="0.3">
      <c r="K104" s="1">
        <f>Table1181920231030313233[[#This Row],[النولون]]+Table1181920231030313233[[#This Row],[الايصالات]]+Table1181920231030313233[[#This Row],[قيمة مضافة]]</f>
        <v>0</v>
      </c>
      <c r="M104" s="1">
        <f>M103+Table1181920231030313233[[#This Row],[اجمالي الفاتوره]]-Table1181920231030313233[[#This Row],[الدفعات]]</f>
        <v>330996.88000000012</v>
      </c>
    </row>
    <row r="105" spans="11:13" ht="26.25" customHeight="1" x14ac:dyDescent="0.3">
      <c r="K105" s="1">
        <f>Table1181920231030313233[[#This Row],[النولون]]+Table1181920231030313233[[#This Row],[الايصالات]]+Table1181920231030313233[[#This Row],[قيمة مضافة]]</f>
        <v>0</v>
      </c>
      <c r="M105" s="1">
        <f>M104+Table1181920231030313233[[#This Row],[اجمالي الفاتوره]]-Table1181920231030313233[[#This Row],[الدفعات]]</f>
        <v>330996.88000000012</v>
      </c>
    </row>
    <row r="106" spans="11:13" ht="26.25" customHeight="1" x14ac:dyDescent="0.3">
      <c r="K106" s="1">
        <f>Table1181920231030313233[[#This Row],[النولون]]+Table1181920231030313233[[#This Row],[الايصالات]]+Table1181920231030313233[[#This Row],[قيمة مضافة]]</f>
        <v>0</v>
      </c>
      <c r="M106" s="1">
        <f>M105+Table1181920231030313233[[#This Row],[اجمالي الفاتوره]]-Table1181920231030313233[[#This Row],[الدفعات]]</f>
        <v>330996.88000000012</v>
      </c>
    </row>
    <row r="107" spans="11:13" ht="26.25" customHeight="1" x14ac:dyDescent="0.3">
      <c r="K107" s="1">
        <f>Table1181920231030313233[[#This Row],[النولون]]+Table1181920231030313233[[#This Row],[الايصالات]]+Table1181920231030313233[[#This Row],[قيمة مضافة]]</f>
        <v>0</v>
      </c>
      <c r="M107" s="1">
        <f>M106+Table1181920231030313233[[#This Row],[اجمالي الفاتوره]]-Table1181920231030313233[[#This Row],[الدفعات]]</f>
        <v>330996.88000000012</v>
      </c>
    </row>
    <row r="108" spans="11:13" ht="26.25" customHeight="1" x14ac:dyDescent="0.3">
      <c r="K108" s="1">
        <f>Table1181920231030313233[[#This Row],[النولون]]+Table1181920231030313233[[#This Row],[الايصالات]]+Table1181920231030313233[[#This Row],[قيمة مضافة]]</f>
        <v>0</v>
      </c>
      <c r="M108" s="1">
        <f>M107+Table1181920231030313233[[#This Row],[اجمالي الفاتوره]]-Table1181920231030313233[[#This Row],[الدفعات]]</f>
        <v>330996.88000000012</v>
      </c>
    </row>
    <row r="109" spans="11:13" ht="26.25" customHeight="1" x14ac:dyDescent="0.3">
      <c r="K109" s="1">
        <f>Table1181920231030313233[[#This Row],[النولون]]+Table1181920231030313233[[#This Row],[الايصالات]]+Table1181920231030313233[[#This Row],[قيمة مضافة]]</f>
        <v>0</v>
      </c>
      <c r="M109" s="1">
        <f>M108+Table1181920231030313233[[#This Row],[اجمالي الفاتوره]]-Table1181920231030313233[[#This Row],[الدفعات]]</f>
        <v>330996.88000000012</v>
      </c>
    </row>
    <row r="110" spans="11:13" ht="26.25" customHeight="1" x14ac:dyDescent="0.3">
      <c r="K110" s="1">
        <f>Table1181920231030313233[[#This Row],[النولون]]+Table1181920231030313233[[#This Row],[الايصالات]]+Table1181920231030313233[[#This Row],[قيمة مضافة]]</f>
        <v>0</v>
      </c>
      <c r="M110" s="1">
        <f>M109+Table1181920231030313233[[#This Row],[اجمالي الفاتوره]]-Table1181920231030313233[[#This Row],[الدفعات]]</f>
        <v>330996.88000000012</v>
      </c>
    </row>
    <row r="111" spans="11:13" ht="26.25" customHeight="1" x14ac:dyDescent="0.3">
      <c r="K111" s="1">
        <f>Table1181920231030313233[[#This Row],[النولون]]+Table1181920231030313233[[#This Row],[الايصالات]]+Table1181920231030313233[[#This Row],[قيمة مضافة]]</f>
        <v>0</v>
      </c>
      <c r="M111" s="1">
        <f>M110+Table1181920231030313233[[#This Row],[اجمالي الفاتوره]]-Table1181920231030313233[[#This Row],[الدفعات]]</f>
        <v>330996.88000000012</v>
      </c>
    </row>
    <row r="112" spans="11:13" ht="26.25" customHeight="1" x14ac:dyDescent="0.3">
      <c r="K112" s="1">
        <f>Table1181920231030313233[[#This Row],[النولون]]+Table1181920231030313233[[#This Row],[الايصالات]]+Table1181920231030313233[[#This Row],[قيمة مضافة]]</f>
        <v>0</v>
      </c>
      <c r="M112" s="1">
        <f>M111+Table1181920231030313233[[#This Row],[اجمالي الفاتوره]]-Table1181920231030313233[[#This Row],[الدفعات]]</f>
        <v>330996.88000000012</v>
      </c>
    </row>
    <row r="113" spans="11:13" ht="26.25" customHeight="1" x14ac:dyDescent="0.3">
      <c r="K113" s="1">
        <f>Table1181920231030313233[[#This Row],[النولون]]+Table1181920231030313233[[#This Row],[الايصالات]]+Table1181920231030313233[[#This Row],[قيمة مضافة]]</f>
        <v>0</v>
      </c>
      <c r="M113" s="1">
        <f>M112+Table1181920231030313233[[#This Row],[اجمالي الفاتوره]]-Table1181920231030313233[[#This Row],[الدفعات]]</f>
        <v>330996.88000000012</v>
      </c>
    </row>
    <row r="114" spans="11:13" ht="26.25" customHeight="1" x14ac:dyDescent="0.3">
      <c r="K114" s="1">
        <f>Table1181920231030313233[[#This Row],[النولون]]+Table1181920231030313233[[#This Row],[الايصالات]]+Table1181920231030313233[[#This Row],[قيمة مضافة]]</f>
        <v>0</v>
      </c>
      <c r="M114" s="1">
        <f>M113+Table1181920231030313233[[#This Row],[اجمالي الفاتوره]]-Table1181920231030313233[[#This Row],[الدفعات]]</f>
        <v>330996.88000000012</v>
      </c>
    </row>
    <row r="115" spans="11:13" ht="26.25" customHeight="1" x14ac:dyDescent="0.3">
      <c r="K115" s="1">
        <f>Table1181920231030313233[[#This Row],[النولون]]+Table1181920231030313233[[#This Row],[الايصالات]]+Table1181920231030313233[[#This Row],[قيمة مضافة]]</f>
        <v>0</v>
      </c>
      <c r="M115" s="1">
        <f>M114+Table1181920231030313233[[#This Row],[اجمالي الفاتوره]]-Table1181920231030313233[[#This Row],[الدفعات]]</f>
        <v>330996.88000000012</v>
      </c>
    </row>
    <row r="116" spans="11:13" ht="26.25" customHeight="1" x14ac:dyDescent="0.3">
      <c r="K116" s="1">
        <f>Table1181920231030313233[[#This Row],[النولون]]+Table1181920231030313233[[#This Row],[الايصالات]]+Table1181920231030313233[[#This Row],[قيمة مضافة]]</f>
        <v>0</v>
      </c>
      <c r="M116" s="1">
        <f>M115+Table1181920231030313233[[#This Row],[اجمالي الفاتوره]]-Table1181920231030313233[[#This Row],[الدفعات]]</f>
        <v>330996.88000000012</v>
      </c>
    </row>
    <row r="117" spans="11:13" ht="26.25" customHeight="1" x14ac:dyDescent="0.3">
      <c r="K117" s="1">
        <f>Table1181920231030313233[[#This Row],[النولون]]+Table1181920231030313233[[#This Row],[الايصالات]]+Table1181920231030313233[[#This Row],[قيمة مضافة]]</f>
        <v>0</v>
      </c>
      <c r="M117" s="1">
        <f>M116+Table1181920231030313233[[#This Row],[اجمالي الفاتوره]]-Table1181920231030313233[[#This Row],[الدفعات]]</f>
        <v>330996.88000000012</v>
      </c>
    </row>
    <row r="118" spans="11:13" ht="26.25" customHeight="1" x14ac:dyDescent="0.3">
      <c r="K118" s="1">
        <f>Table1181920231030313233[[#This Row],[النولون]]+Table1181920231030313233[[#This Row],[الايصالات]]+Table1181920231030313233[[#This Row],[قيمة مضافة]]</f>
        <v>0</v>
      </c>
      <c r="M118" s="1">
        <f>M117+Table1181920231030313233[[#This Row],[اجمالي الفاتوره]]-Table1181920231030313233[[#This Row],[الدفعات]]</f>
        <v>330996.88000000012</v>
      </c>
    </row>
    <row r="119" spans="11:13" ht="26.25" customHeight="1" x14ac:dyDescent="0.3">
      <c r="K119" s="1">
        <f>Table1181920231030313233[[#This Row],[النولون]]+Table1181920231030313233[[#This Row],[الايصالات]]+Table1181920231030313233[[#This Row],[قيمة مضافة]]</f>
        <v>0</v>
      </c>
      <c r="M119" s="1">
        <f>M118+Table1181920231030313233[[#This Row],[اجمالي الفاتوره]]-Table1181920231030313233[[#This Row],[الدفعات]]</f>
        <v>330996.88000000012</v>
      </c>
    </row>
    <row r="120" spans="11:13" ht="26.25" customHeight="1" x14ac:dyDescent="0.3">
      <c r="K120" s="1">
        <f>Table1181920231030313233[[#This Row],[النولون]]+Table1181920231030313233[[#This Row],[الايصالات]]+Table1181920231030313233[[#This Row],[قيمة مضافة]]</f>
        <v>0</v>
      </c>
      <c r="M120" s="1">
        <f>M119+Table1181920231030313233[[#This Row],[اجمالي الفاتوره]]-Table1181920231030313233[[#This Row],[الدفعات]]</f>
        <v>330996.88000000012</v>
      </c>
    </row>
    <row r="121" spans="11:13" ht="26.25" customHeight="1" x14ac:dyDescent="0.3">
      <c r="K121" s="1">
        <f>Table1181920231030313233[[#This Row],[النولون]]+Table1181920231030313233[[#This Row],[الايصالات]]+Table1181920231030313233[[#This Row],[قيمة مضافة]]</f>
        <v>0</v>
      </c>
      <c r="M121" s="1">
        <f>M120+Table1181920231030313233[[#This Row],[اجمالي الفاتوره]]-Table1181920231030313233[[#This Row],[الدفعات]]</f>
        <v>330996.88000000012</v>
      </c>
    </row>
    <row r="122" spans="11:13" ht="26.25" customHeight="1" x14ac:dyDescent="0.3">
      <c r="K122" s="1">
        <f>Table1181920231030313233[[#This Row],[النولون]]+Table1181920231030313233[[#This Row],[الايصالات]]+Table1181920231030313233[[#This Row],[قيمة مضافة]]</f>
        <v>0</v>
      </c>
      <c r="M122" s="1">
        <f>M121+Table1181920231030313233[[#This Row],[اجمالي الفاتوره]]-Table1181920231030313233[[#This Row],[الدفعات]]</f>
        <v>330996.88000000012</v>
      </c>
    </row>
    <row r="123" spans="11:13" ht="26.25" customHeight="1" x14ac:dyDescent="0.3">
      <c r="K123" s="1">
        <f>Table1181920231030313233[[#This Row],[النولون]]+Table1181920231030313233[[#This Row],[الايصالات]]+Table1181920231030313233[[#This Row],[قيمة مضافة]]</f>
        <v>0</v>
      </c>
      <c r="M123" s="1">
        <f>M122+Table1181920231030313233[[#This Row],[اجمالي الفاتوره]]-Table1181920231030313233[[#This Row],[الدفعات]]</f>
        <v>330996.88000000012</v>
      </c>
    </row>
    <row r="124" spans="11:13" ht="26.25" customHeight="1" x14ac:dyDescent="0.3">
      <c r="K124" s="1">
        <f>Table1181920231030313233[[#This Row],[النولون]]+Table1181920231030313233[[#This Row],[الايصالات]]+Table1181920231030313233[[#This Row],[قيمة مضافة]]</f>
        <v>0</v>
      </c>
      <c r="M124" s="1">
        <f>M123+Table1181920231030313233[[#This Row],[اجمالي الفاتوره]]-Table1181920231030313233[[#This Row],[الدفعات]]</f>
        <v>330996.88000000012</v>
      </c>
    </row>
    <row r="125" spans="11:13" ht="26.25" customHeight="1" x14ac:dyDescent="0.3">
      <c r="K125" s="1">
        <f>Table1181920231030313233[[#This Row],[النولون]]+Table1181920231030313233[[#This Row],[الايصالات]]+Table1181920231030313233[[#This Row],[قيمة مضافة]]</f>
        <v>0</v>
      </c>
      <c r="M125" s="1">
        <f>M124+Table1181920231030313233[[#This Row],[اجمالي الفاتوره]]-Table1181920231030313233[[#This Row],[الدفعات]]</f>
        <v>330996.88000000012</v>
      </c>
    </row>
    <row r="126" spans="11:13" ht="26.25" customHeight="1" x14ac:dyDescent="0.3">
      <c r="K126" s="1">
        <f>Table1181920231030313233[[#This Row],[النولون]]+Table1181920231030313233[[#This Row],[الايصالات]]+Table1181920231030313233[[#This Row],[قيمة مضافة]]</f>
        <v>0</v>
      </c>
      <c r="M126" s="1">
        <f>M125+Table1181920231030313233[[#This Row],[اجمالي الفاتوره]]-Table1181920231030313233[[#This Row],[الدفعات]]</f>
        <v>330996.88000000012</v>
      </c>
    </row>
    <row r="127" spans="11:13" ht="26.25" customHeight="1" x14ac:dyDescent="0.3">
      <c r="K127" s="1">
        <f>Table1181920231030313233[[#This Row],[النولون]]+Table1181920231030313233[[#This Row],[الايصالات]]+Table1181920231030313233[[#This Row],[قيمة مضافة]]</f>
        <v>0</v>
      </c>
      <c r="M127" s="1">
        <f>M126+Table1181920231030313233[[#This Row],[اجمالي الفاتوره]]-Table1181920231030313233[[#This Row],[الدفعات]]</f>
        <v>330996.88000000012</v>
      </c>
    </row>
    <row r="128" spans="11:13" ht="26.25" customHeight="1" x14ac:dyDescent="0.3">
      <c r="K128" s="1">
        <f>Table1181920231030313233[[#This Row],[النولون]]+Table1181920231030313233[[#This Row],[الايصالات]]+Table1181920231030313233[[#This Row],[قيمة مضافة]]</f>
        <v>0</v>
      </c>
      <c r="M128" s="1">
        <f>M127+Table1181920231030313233[[#This Row],[اجمالي الفاتوره]]-Table1181920231030313233[[#This Row],[الدفعات]]</f>
        <v>330996.88000000012</v>
      </c>
    </row>
    <row r="129" spans="11:13" ht="26.25" customHeight="1" x14ac:dyDescent="0.3">
      <c r="K129" s="1">
        <f>Table1181920231030313233[[#This Row],[النولون]]+Table1181920231030313233[[#This Row],[الايصالات]]+Table1181920231030313233[[#This Row],[قيمة مضافة]]</f>
        <v>0</v>
      </c>
      <c r="M129" s="1">
        <f>M128+Table1181920231030313233[[#This Row],[اجمالي الفاتوره]]-Table1181920231030313233[[#This Row],[الدفعات]]</f>
        <v>330996.88000000012</v>
      </c>
    </row>
    <row r="130" spans="11:13" ht="26.25" customHeight="1" x14ac:dyDescent="0.3">
      <c r="K130" s="1">
        <f>Table1181920231030313233[[#This Row],[النولون]]+Table1181920231030313233[[#This Row],[الايصالات]]+Table1181920231030313233[[#This Row],[قيمة مضافة]]</f>
        <v>0</v>
      </c>
      <c r="M130" s="1">
        <f>M129+Table1181920231030313233[[#This Row],[اجمالي الفاتوره]]-Table1181920231030313233[[#This Row],[الدفعات]]</f>
        <v>330996.88000000012</v>
      </c>
    </row>
    <row r="131" spans="11:13" ht="26.25" customHeight="1" x14ac:dyDescent="0.3">
      <c r="K131" s="1">
        <f>Table1181920231030313233[[#This Row],[النولون]]+Table1181920231030313233[[#This Row],[الايصالات]]+Table1181920231030313233[[#This Row],[قيمة مضافة]]</f>
        <v>0</v>
      </c>
      <c r="M131" s="1">
        <f>M130+Table1181920231030313233[[#This Row],[اجمالي الفاتوره]]-Table1181920231030313233[[#This Row],[الدفعات]]</f>
        <v>330996.88000000012</v>
      </c>
    </row>
    <row r="132" spans="11:13" ht="26.25" customHeight="1" x14ac:dyDescent="0.3">
      <c r="K132" s="1">
        <f>Table1181920231030313233[[#This Row],[النولون]]+Table1181920231030313233[[#This Row],[الايصالات]]+Table1181920231030313233[[#This Row],[قيمة مضافة]]</f>
        <v>0</v>
      </c>
      <c r="M132" s="1">
        <f>M131+Table1181920231030313233[[#This Row],[اجمالي الفاتوره]]-Table1181920231030313233[[#This Row],[الدفعات]]</f>
        <v>330996.88000000012</v>
      </c>
    </row>
    <row r="133" spans="11:13" ht="26.25" customHeight="1" x14ac:dyDescent="0.3">
      <c r="K133" s="1">
        <f>Table1181920231030313233[[#This Row],[النولون]]+Table1181920231030313233[[#This Row],[الايصالات]]+Table1181920231030313233[[#This Row],[قيمة مضافة]]</f>
        <v>0</v>
      </c>
      <c r="M133" s="1">
        <f>M132+Table1181920231030313233[[#This Row],[اجمالي الفاتوره]]-Table1181920231030313233[[#This Row],[الدفعات]]</f>
        <v>330996.88000000012</v>
      </c>
    </row>
    <row r="134" spans="11:13" ht="26.25" customHeight="1" x14ac:dyDescent="0.3">
      <c r="K134" s="1">
        <f>Table1181920231030313233[[#This Row],[النولون]]+Table1181920231030313233[[#This Row],[الايصالات]]+Table1181920231030313233[[#This Row],[قيمة مضافة]]</f>
        <v>0</v>
      </c>
      <c r="M134" s="1">
        <f>M133+Table1181920231030313233[[#This Row],[اجمالي الفاتوره]]-Table1181920231030313233[[#This Row],[الدفعات]]</f>
        <v>330996.88000000012</v>
      </c>
    </row>
    <row r="135" spans="11:13" ht="26.25" customHeight="1" x14ac:dyDescent="0.3">
      <c r="K135" s="1">
        <f>Table1181920231030313233[[#This Row],[النولون]]+Table1181920231030313233[[#This Row],[الايصالات]]+Table1181920231030313233[[#This Row],[قيمة مضافة]]</f>
        <v>0</v>
      </c>
      <c r="M135" s="1">
        <f>M134+Table1181920231030313233[[#This Row],[اجمالي الفاتوره]]-Table1181920231030313233[[#This Row],[الدفعات]]</f>
        <v>330996.88000000012</v>
      </c>
    </row>
    <row r="136" spans="11:13" ht="26.25" customHeight="1" x14ac:dyDescent="0.3">
      <c r="K136" s="1">
        <f>Table1181920231030313233[[#This Row],[النولون]]+Table1181920231030313233[[#This Row],[الايصالات]]+Table1181920231030313233[[#This Row],[قيمة مضافة]]</f>
        <v>0</v>
      </c>
      <c r="M136" s="1">
        <f>M135+Table1181920231030313233[[#This Row],[اجمالي الفاتوره]]-Table1181920231030313233[[#This Row],[الدفعات]]</f>
        <v>330996.88000000012</v>
      </c>
    </row>
    <row r="137" spans="11:13" ht="26.25" customHeight="1" x14ac:dyDescent="0.3">
      <c r="K137" s="1">
        <f>Table1181920231030313233[[#This Row],[النولون]]+Table1181920231030313233[[#This Row],[الايصالات]]+Table1181920231030313233[[#This Row],[قيمة مضافة]]</f>
        <v>0</v>
      </c>
      <c r="M137" s="1">
        <f>M136+Table1181920231030313233[[#This Row],[اجمالي الفاتوره]]-Table1181920231030313233[[#This Row],[الدفعات]]</f>
        <v>330996.88000000012</v>
      </c>
    </row>
    <row r="138" spans="11:13" ht="26.25" customHeight="1" x14ac:dyDescent="0.3">
      <c r="K138" s="1">
        <f>Table1181920231030313233[[#This Row],[النولون]]+Table1181920231030313233[[#This Row],[الايصالات]]+Table1181920231030313233[[#This Row],[قيمة مضافة]]</f>
        <v>0</v>
      </c>
      <c r="M138" s="1">
        <f>M137+Table1181920231030313233[[#This Row],[اجمالي الفاتوره]]-Table1181920231030313233[[#This Row],[الدفعات]]</f>
        <v>330996.88000000012</v>
      </c>
    </row>
    <row r="139" spans="11:13" ht="26.25" customHeight="1" x14ac:dyDescent="0.3">
      <c r="K139" s="1">
        <f>Table1181920231030313233[[#This Row],[النولون]]+Table1181920231030313233[[#This Row],[الايصالات]]+Table1181920231030313233[[#This Row],[قيمة مضافة]]</f>
        <v>0</v>
      </c>
      <c r="M139" s="1">
        <f>M138+Table1181920231030313233[[#This Row],[اجمالي الفاتوره]]-Table1181920231030313233[[#This Row],[الدفعات]]</f>
        <v>330996.88000000012</v>
      </c>
    </row>
    <row r="140" spans="11:13" ht="26.25" customHeight="1" x14ac:dyDescent="0.3">
      <c r="K140" s="1">
        <f>Table1181920231030313233[[#This Row],[النولون]]+Table1181920231030313233[[#This Row],[الايصالات]]+Table1181920231030313233[[#This Row],[قيمة مضافة]]</f>
        <v>0</v>
      </c>
      <c r="M140" s="1">
        <f>M139+Table1181920231030313233[[#This Row],[اجمالي الفاتوره]]-Table1181920231030313233[[#This Row],[الدفعات]]</f>
        <v>330996.88000000012</v>
      </c>
    </row>
    <row r="141" spans="11:13" ht="26.25" customHeight="1" x14ac:dyDescent="0.3">
      <c r="K141" s="1">
        <f>Table1181920231030313233[[#This Row],[النولون]]+Table1181920231030313233[[#This Row],[الايصالات]]+Table1181920231030313233[[#This Row],[قيمة مضافة]]</f>
        <v>0</v>
      </c>
      <c r="M141" s="1">
        <f>M140+Table1181920231030313233[[#This Row],[اجمالي الفاتوره]]-Table1181920231030313233[[#This Row],[الدفعات]]</f>
        <v>330996.88000000012</v>
      </c>
    </row>
    <row r="142" spans="11:13" ht="26.25" customHeight="1" x14ac:dyDescent="0.3">
      <c r="K142" s="1">
        <f>Table1181920231030313233[[#This Row],[النولون]]+Table1181920231030313233[[#This Row],[الايصالات]]+Table1181920231030313233[[#This Row],[قيمة مضافة]]</f>
        <v>0</v>
      </c>
      <c r="M142" s="1">
        <f>M141+Table1181920231030313233[[#This Row],[اجمالي الفاتوره]]-Table1181920231030313233[[#This Row],[الدفعات]]</f>
        <v>330996.88000000012</v>
      </c>
    </row>
    <row r="143" spans="11:13" ht="26.25" customHeight="1" x14ac:dyDescent="0.3">
      <c r="K143" s="1">
        <f>Table1181920231030313233[[#This Row],[النولون]]+Table1181920231030313233[[#This Row],[الايصالات]]+Table1181920231030313233[[#This Row],[قيمة مضافة]]</f>
        <v>0</v>
      </c>
      <c r="M143" s="1">
        <f>M142+Table1181920231030313233[[#This Row],[اجمالي الفاتوره]]-Table1181920231030313233[[#This Row],[الدفعات]]</f>
        <v>330996.88000000012</v>
      </c>
    </row>
    <row r="144" spans="11:13" ht="26.25" customHeight="1" x14ac:dyDescent="0.3">
      <c r="K144" s="1">
        <f>Table1181920231030313233[[#This Row],[النولون]]+Table1181920231030313233[[#This Row],[الايصالات]]+Table1181920231030313233[[#This Row],[قيمة مضافة]]</f>
        <v>0</v>
      </c>
      <c r="M144" s="1">
        <f>M143+Table1181920231030313233[[#This Row],[اجمالي الفاتوره]]-Table1181920231030313233[[#This Row],[الدفعات]]</f>
        <v>330996.88000000012</v>
      </c>
    </row>
    <row r="145" spans="11:13" ht="26.25" customHeight="1" x14ac:dyDescent="0.3">
      <c r="K145" s="1">
        <f>Table1181920231030313233[[#This Row],[النولون]]+Table1181920231030313233[[#This Row],[الايصالات]]+Table1181920231030313233[[#This Row],[قيمة مضافة]]</f>
        <v>0</v>
      </c>
      <c r="M145" s="1">
        <f>M144+Table1181920231030313233[[#This Row],[اجمالي الفاتوره]]-Table1181920231030313233[[#This Row],[الدفعات]]</f>
        <v>330996.88000000012</v>
      </c>
    </row>
    <row r="146" spans="11:13" ht="26.25" customHeight="1" x14ac:dyDescent="0.3">
      <c r="K146" s="1">
        <f>Table1181920231030313233[[#This Row],[النولون]]+Table1181920231030313233[[#This Row],[الايصالات]]+Table1181920231030313233[[#This Row],[قيمة مضافة]]</f>
        <v>0</v>
      </c>
      <c r="M146" s="1">
        <f>M145+Table1181920231030313233[[#This Row],[اجمالي الفاتوره]]-Table1181920231030313233[[#This Row],[الدفعات]]</f>
        <v>330996.88000000012</v>
      </c>
    </row>
    <row r="147" spans="11:13" ht="26.25" customHeight="1" x14ac:dyDescent="0.3">
      <c r="K147" s="1">
        <f>Table1181920231030313233[[#This Row],[النولون]]+Table1181920231030313233[[#This Row],[الايصالات]]+Table1181920231030313233[[#This Row],[قيمة مضافة]]</f>
        <v>0</v>
      </c>
      <c r="M147" s="1">
        <f>M146+Table1181920231030313233[[#This Row],[اجمالي الفاتوره]]-Table1181920231030313233[[#This Row],[الدفعات]]</f>
        <v>330996.88000000012</v>
      </c>
    </row>
    <row r="148" spans="11:13" ht="26.25" customHeight="1" x14ac:dyDescent="0.3">
      <c r="K148" s="1">
        <f>Table1181920231030313233[[#This Row],[النولون]]+Table1181920231030313233[[#This Row],[الايصالات]]+Table1181920231030313233[[#This Row],[قيمة مضافة]]</f>
        <v>0</v>
      </c>
      <c r="M148" s="1">
        <f>M147+Table1181920231030313233[[#This Row],[اجمالي الفاتوره]]-Table1181920231030313233[[#This Row],[الدفعات]]</f>
        <v>330996.88000000012</v>
      </c>
    </row>
    <row r="149" spans="11:13" ht="26.25" customHeight="1" x14ac:dyDescent="0.3">
      <c r="K149" s="1">
        <f>Table1181920231030313233[[#This Row],[النولون]]+Table1181920231030313233[[#This Row],[الايصالات]]+Table1181920231030313233[[#This Row],[قيمة مضافة]]</f>
        <v>0</v>
      </c>
      <c r="M149" s="1">
        <f>M148+Table1181920231030313233[[#This Row],[اجمالي الفاتوره]]-Table1181920231030313233[[#This Row],[الدفعات]]</f>
        <v>330996.88000000012</v>
      </c>
    </row>
    <row r="150" spans="11:13" ht="26.25" customHeight="1" x14ac:dyDescent="0.3">
      <c r="K150" s="1">
        <f>Table1181920231030313233[[#This Row],[النولون]]+Table1181920231030313233[[#This Row],[الايصالات]]+Table1181920231030313233[[#This Row],[قيمة مضافة]]</f>
        <v>0</v>
      </c>
      <c r="M150" s="1">
        <f>M149+Table1181920231030313233[[#This Row],[اجمالي الفاتوره]]-Table1181920231030313233[[#This Row],[الدفعات]]</f>
        <v>330996.88000000012</v>
      </c>
    </row>
    <row r="151" spans="11:13" ht="26.25" customHeight="1" x14ac:dyDescent="0.3">
      <c r="K151" s="1">
        <f>Table1181920231030313233[[#This Row],[النولون]]+Table1181920231030313233[[#This Row],[الايصالات]]+Table1181920231030313233[[#This Row],[قيمة مضافة]]</f>
        <v>0</v>
      </c>
      <c r="M151" s="1">
        <f>M150+Table1181920231030313233[[#This Row],[اجمالي الفاتوره]]-Table1181920231030313233[[#This Row],[الدفعات]]</f>
        <v>330996.88000000012</v>
      </c>
    </row>
    <row r="152" spans="11:13" ht="26.25" customHeight="1" x14ac:dyDescent="0.3">
      <c r="K152" s="1">
        <f>Table1181920231030313233[[#This Row],[النولون]]+Table1181920231030313233[[#This Row],[الايصالات]]+Table1181920231030313233[[#This Row],[قيمة مضافة]]</f>
        <v>0</v>
      </c>
      <c r="M152" s="1">
        <f>M151+Table1181920231030313233[[#This Row],[اجمالي الفاتوره]]-Table1181920231030313233[[#This Row],[الدفعات]]</f>
        <v>330996.88000000012</v>
      </c>
    </row>
    <row r="153" spans="11:13" ht="26.25" customHeight="1" x14ac:dyDescent="0.3">
      <c r="K153" s="1">
        <f>Table1181920231030313233[[#This Row],[النولون]]+Table1181920231030313233[[#This Row],[الايصالات]]+Table1181920231030313233[[#This Row],[قيمة مضافة]]</f>
        <v>0</v>
      </c>
      <c r="M153" s="1">
        <f>M152+Table1181920231030313233[[#This Row],[اجمالي الفاتوره]]-Table1181920231030313233[[#This Row],[الدفعات]]</f>
        <v>330996.88000000012</v>
      </c>
    </row>
    <row r="154" spans="11:13" ht="26.25" customHeight="1" x14ac:dyDescent="0.3">
      <c r="K154" s="1">
        <f>Table1181920231030313233[[#This Row],[النولون]]+Table1181920231030313233[[#This Row],[الايصالات]]+Table1181920231030313233[[#This Row],[قيمة مضافة]]</f>
        <v>0</v>
      </c>
      <c r="M154" s="1">
        <f>M153+Table1181920231030313233[[#This Row],[اجمالي الفاتوره]]-Table1181920231030313233[[#This Row],[الدفعات]]</f>
        <v>330996.88000000012</v>
      </c>
    </row>
    <row r="155" spans="11:13" ht="26.25" customHeight="1" x14ac:dyDescent="0.3">
      <c r="K155" s="1">
        <f>Table1181920231030313233[[#This Row],[النولون]]+Table1181920231030313233[[#This Row],[الايصالات]]+Table1181920231030313233[[#This Row],[قيمة مضافة]]</f>
        <v>0</v>
      </c>
      <c r="M155" s="1">
        <f>M154+Table1181920231030313233[[#This Row],[اجمالي الفاتوره]]-Table1181920231030313233[[#This Row],[الدفعات]]</f>
        <v>330996.88000000012</v>
      </c>
    </row>
    <row r="156" spans="11:13" ht="26.25" customHeight="1" x14ac:dyDescent="0.3">
      <c r="K156" s="1">
        <f>Table1181920231030313233[[#This Row],[النولون]]+Table1181920231030313233[[#This Row],[الايصالات]]+Table1181920231030313233[[#This Row],[قيمة مضافة]]</f>
        <v>0</v>
      </c>
      <c r="M156" s="1">
        <f>M155+Table1181920231030313233[[#This Row],[اجمالي الفاتوره]]-Table1181920231030313233[[#This Row],[الدفعات]]</f>
        <v>330996.88000000012</v>
      </c>
    </row>
    <row r="157" spans="11:13" ht="26.25" customHeight="1" x14ac:dyDescent="0.3">
      <c r="K157" s="1">
        <f>Table1181920231030313233[[#This Row],[النولون]]+Table1181920231030313233[[#This Row],[الايصالات]]+Table1181920231030313233[[#This Row],[قيمة مضافة]]</f>
        <v>0</v>
      </c>
      <c r="M157" s="1">
        <f>M156+Table1181920231030313233[[#This Row],[اجمالي الفاتوره]]-Table1181920231030313233[[#This Row],[الدفعات]]</f>
        <v>330996.88000000012</v>
      </c>
    </row>
    <row r="158" spans="11:13" ht="26.25" customHeight="1" x14ac:dyDescent="0.3">
      <c r="K158" s="1">
        <f>Table1181920231030313233[[#This Row],[النولون]]+Table1181920231030313233[[#This Row],[الايصالات]]+Table1181920231030313233[[#This Row],[قيمة مضافة]]</f>
        <v>0</v>
      </c>
      <c r="M158" s="1">
        <f>M157+Table1181920231030313233[[#This Row],[اجمالي الفاتوره]]-Table1181920231030313233[[#This Row],[الدفعات]]</f>
        <v>330996.88000000012</v>
      </c>
    </row>
    <row r="159" spans="11:13" ht="26.25" customHeight="1" x14ac:dyDescent="0.3">
      <c r="K159" s="1">
        <f>Table1181920231030313233[[#This Row],[النولون]]+Table1181920231030313233[[#This Row],[الايصالات]]+Table1181920231030313233[[#This Row],[قيمة مضافة]]</f>
        <v>0</v>
      </c>
      <c r="M159" s="1">
        <f>M158+Table1181920231030313233[[#This Row],[اجمالي الفاتوره]]-Table1181920231030313233[[#This Row],[الدفعات]]</f>
        <v>330996.88000000012</v>
      </c>
    </row>
    <row r="160" spans="11:13" ht="26.25" customHeight="1" x14ac:dyDescent="0.3">
      <c r="K160" s="1">
        <f>Table1181920231030313233[[#This Row],[النولون]]+Table1181920231030313233[[#This Row],[الايصالات]]+Table1181920231030313233[[#This Row],[قيمة مضافة]]</f>
        <v>0</v>
      </c>
      <c r="M160" s="1">
        <f>M159+Table1181920231030313233[[#This Row],[اجمالي الفاتوره]]-Table1181920231030313233[[#This Row],[الدفعات]]</f>
        <v>330996.88000000012</v>
      </c>
    </row>
    <row r="161" spans="11:13" ht="26.25" customHeight="1" x14ac:dyDescent="0.3">
      <c r="K161" s="1">
        <f>Table1181920231030313233[[#This Row],[النولون]]+Table1181920231030313233[[#This Row],[الايصالات]]+Table1181920231030313233[[#This Row],[قيمة مضافة]]</f>
        <v>0</v>
      </c>
      <c r="M161" s="1">
        <f>M160+Table1181920231030313233[[#This Row],[اجمالي الفاتوره]]-Table1181920231030313233[[#This Row],[الدفعات]]</f>
        <v>330996.88000000012</v>
      </c>
    </row>
    <row r="162" spans="11:13" ht="26.25" customHeight="1" x14ac:dyDescent="0.3">
      <c r="K162" s="1">
        <f>Table1181920231030313233[[#This Row],[النولون]]+Table1181920231030313233[[#This Row],[الايصالات]]+Table1181920231030313233[[#This Row],[قيمة مضافة]]</f>
        <v>0</v>
      </c>
      <c r="M162" s="1">
        <f>M161+Table1181920231030313233[[#This Row],[اجمالي الفاتوره]]-Table1181920231030313233[[#This Row],[الدفعات]]</f>
        <v>330996.88000000012</v>
      </c>
    </row>
    <row r="163" spans="11:13" ht="26.25" customHeight="1" x14ac:dyDescent="0.3">
      <c r="K163" s="1">
        <f>Table1181920231030313233[[#This Row],[النولون]]+Table1181920231030313233[[#This Row],[الايصالات]]+Table1181920231030313233[[#This Row],[قيمة مضافة]]</f>
        <v>0</v>
      </c>
      <c r="M163" s="1">
        <f>M162+Table1181920231030313233[[#This Row],[اجمالي الفاتوره]]-Table1181920231030313233[[#This Row],[الدفعات]]</f>
        <v>330996.88000000012</v>
      </c>
    </row>
    <row r="164" spans="11:13" ht="26.25" customHeight="1" x14ac:dyDescent="0.3">
      <c r="K164" s="1">
        <f>Table1181920231030313233[[#This Row],[النولون]]+Table1181920231030313233[[#This Row],[الايصالات]]+Table1181920231030313233[[#This Row],[قيمة مضافة]]</f>
        <v>0</v>
      </c>
      <c r="M164" s="1">
        <f>M163+Table1181920231030313233[[#This Row],[اجمالي الفاتوره]]-Table1181920231030313233[[#This Row],[الدفعات]]</f>
        <v>330996.88000000012</v>
      </c>
    </row>
    <row r="165" spans="11:13" ht="26.25" customHeight="1" x14ac:dyDescent="0.3">
      <c r="K165" s="1">
        <f>Table1181920231030313233[[#This Row],[النولون]]+Table1181920231030313233[[#This Row],[الايصالات]]+Table1181920231030313233[[#This Row],[قيمة مضافة]]</f>
        <v>0</v>
      </c>
      <c r="M165" s="1">
        <f>M164+Table1181920231030313233[[#This Row],[اجمالي الفاتوره]]-Table1181920231030313233[[#This Row],[الدفعات]]</f>
        <v>330996.88000000012</v>
      </c>
    </row>
    <row r="166" spans="11:13" ht="26.25" customHeight="1" x14ac:dyDescent="0.3">
      <c r="K166" s="1">
        <f>Table1181920231030313233[[#This Row],[النولون]]+Table1181920231030313233[[#This Row],[الايصالات]]+Table1181920231030313233[[#This Row],[قيمة مضافة]]</f>
        <v>0</v>
      </c>
      <c r="M166" s="1">
        <f>M165+Table1181920231030313233[[#This Row],[اجمالي الفاتوره]]-Table1181920231030313233[[#This Row],[الدفعات]]</f>
        <v>330996.88000000012</v>
      </c>
    </row>
    <row r="167" spans="11:13" ht="26.25" customHeight="1" x14ac:dyDescent="0.3">
      <c r="K167" s="1">
        <f>Table1181920231030313233[[#This Row],[النولون]]+Table1181920231030313233[[#This Row],[الايصالات]]+Table1181920231030313233[[#This Row],[قيمة مضافة]]</f>
        <v>0</v>
      </c>
      <c r="M167" s="1">
        <f>M166+Table1181920231030313233[[#This Row],[اجمالي الفاتوره]]-Table1181920231030313233[[#This Row],[الدفعات]]</f>
        <v>330996.88000000012</v>
      </c>
    </row>
    <row r="168" spans="11:13" ht="26.25" customHeight="1" x14ac:dyDescent="0.3">
      <c r="K168" s="1">
        <f>Table1181920231030313233[[#This Row],[النولون]]+Table1181920231030313233[[#This Row],[الايصالات]]+Table1181920231030313233[[#This Row],[قيمة مضافة]]</f>
        <v>0</v>
      </c>
      <c r="M168" s="1">
        <f>M167+Table1181920231030313233[[#This Row],[اجمالي الفاتوره]]-Table1181920231030313233[[#This Row],[الدفعات]]</f>
        <v>330996.88000000012</v>
      </c>
    </row>
    <row r="169" spans="11:13" ht="26.25" customHeight="1" x14ac:dyDescent="0.3">
      <c r="K169" s="1">
        <f>Table1181920231030313233[[#This Row],[النولون]]+Table1181920231030313233[[#This Row],[الايصالات]]+Table1181920231030313233[[#This Row],[قيمة مضافة]]</f>
        <v>0</v>
      </c>
      <c r="M169" s="1">
        <f>M168+Table1181920231030313233[[#This Row],[اجمالي الفاتوره]]-Table1181920231030313233[[#This Row],[الدفعات]]</f>
        <v>330996.88000000012</v>
      </c>
    </row>
    <row r="170" spans="11:13" ht="26.25" customHeight="1" x14ac:dyDescent="0.3">
      <c r="K170" s="1">
        <f>Table1181920231030313233[[#This Row],[النولون]]+Table1181920231030313233[[#This Row],[الايصالات]]+Table1181920231030313233[[#This Row],[قيمة مضافة]]</f>
        <v>0</v>
      </c>
      <c r="M170" s="1">
        <f>M169+Table1181920231030313233[[#This Row],[اجمالي الفاتوره]]-Table1181920231030313233[[#This Row],[الدفعات]]</f>
        <v>330996.88000000012</v>
      </c>
    </row>
    <row r="171" spans="11:13" ht="26.25" customHeight="1" x14ac:dyDescent="0.3">
      <c r="K171" s="1">
        <f>Table1181920231030313233[[#This Row],[النولون]]+Table1181920231030313233[[#This Row],[الايصالات]]+Table1181920231030313233[[#This Row],[قيمة مضافة]]</f>
        <v>0</v>
      </c>
      <c r="M171" s="1">
        <f>M170+Table1181920231030313233[[#This Row],[اجمالي الفاتوره]]-Table1181920231030313233[[#This Row],[الدفعات]]</f>
        <v>330996.88000000012</v>
      </c>
    </row>
    <row r="172" spans="11:13" ht="26.25" customHeight="1" x14ac:dyDescent="0.3">
      <c r="K172" s="1">
        <f>Table1181920231030313233[[#This Row],[النولون]]+Table1181920231030313233[[#This Row],[الايصالات]]+Table1181920231030313233[[#This Row],[قيمة مضافة]]</f>
        <v>0</v>
      </c>
      <c r="M172" s="1">
        <f>M171+Table1181920231030313233[[#This Row],[اجمالي الفاتوره]]-Table1181920231030313233[[#This Row],[الدفعات]]</f>
        <v>330996.88000000012</v>
      </c>
    </row>
    <row r="173" spans="11:13" ht="26.25" customHeight="1" x14ac:dyDescent="0.3">
      <c r="K173" s="1">
        <f>Table1181920231030313233[[#This Row],[النولون]]+Table1181920231030313233[[#This Row],[الايصالات]]+Table1181920231030313233[[#This Row],[قيمة مضافة]]</f>
        <v>0</v>
      </c>
      <c r="M173" s="1">
        <f>M172+Table1181920231030313233[[#This Row],[اجمالي الفاتوره]]-Table1181920231030313233[[#This Row],[الدفعات]]</f>
        <v>330996.88000000012</v>
      </c>
    </row>
    <row r="174" spans="11:13" ht="26.25" customHeight="1" x14ac:dyDescent="0.3">
      <c r="K174" s="1">
        <f>Table1181920231030313233[[#This Row],[النولون]]+Table1181920231030313233[[#This Row],[الايصالات]]+Table1181920231030313233[[#This Row],[قيمة مضافة]]</f>
        <v>0</v>
      </c>
      <c r="M174" s="1">
        <f>M173+Table1181920231030313233[[#This Row],[اجمالي الفاتوره]]-Table1181920231030313233[[#This Row],[الدفعات]]</f>
        <v>330996.88000000012</v>
      </c>
    </row>
    <row r="175" spans="11:13" ht="26.25" customHeight="1" x14ac:dyDescent="0.3">
      <c r="K175" s="1">
        <f>Table1181920231030313233[[#This Row],[النولون]]+Table1181920231030313233[[#This Row],[الايصالات]]+Table1181920231030313233[[#This Row],[قيمة مضافة]]</f>
        <v>0</v>
      </c>
      <c r="M175" s="1">
        <f>M174+Table1181920231030313233[[#This Row],[اجمالي الفاتوره]]-Table1181920231030313233[[#This Row],[الدفعات]]</f>
        <v>330996.88000000012</v>
      </c>
    </row>
    <row r="176" spans="11:13" ht="26.25" customHeight="1" x14ac:dyDescent="0.3">
      <c r="K176" s="1">
        <f>Table1181920231030313233[[#This Row],[النولون]]+Table1181920231030313233[[#This Row],[الايصالات]]+Table1181920231030313233[[#This Row],[قيمة مضافة]]</f>
        <v>0</v>
      </c>
      <c r="M176" s="1">
        <f>M175+Table1181920231030313233[[#This Row],[اجمالي الفاتوره]]-Table1181920231030313233[[#This Row],[الدفعات]]</f>
        <v>330996.88000000012</v>
      </c>
    </row>
    <row r="177" spans="11:13" ht="26.25" customHeight="1" x14ac:dyDescent="0.3">
      <c r="K177" s="1">
        <f>Table1181920231030313233[[#This Row],[النولون]]+Table1181920231030313233[[#This Row],[الايصالات]]+Table1181920231030313233[[#This Row],[قيمة مضافة]]</f>
        <v>0</v>
      </c>
      <c r="M177" s="1">
        <f>M176+Table1181920231030313233[[#This Row],[اجمالي الفاتوره]]-Table1181920231030313233[[#This Row],[الدفعات]]</f>
        <v>330996.88000000012</v>
      </c>
    </row>
    <row r="178" spans="11:13" ht="26.25" customHeight="1" x14ac:dyDescent="0.3">
      <c r="K178" s="1">
        <f>Table1181920231030313233[[#This Row],[النولون]]+Table1181920231030313233[[#This Row],[الايصالات]]+Table1181920231030313233[[#This Row],[قيمة مضافة]]</f>
        <v>0</v>
      </c>
      <c r="M178" s="1">
        <f>M177+Table1181920231030313233[[#This Row],[اجمالي الفاتوره]]-Table1181920231030313233[[#This Row],[الدفعات]]</f>
        <v>330996.88000000012</v>
      </c>
    </row>
    <row r="179" spans="11:13" ht="26.25" customHeight="1" x14ac:dyDescent="0.3">
      <c r="K179" s="1">
        <f>Table1181920231030313233[[#This Row],[النولون]]+Table1181920231030313233[[#This Row],[الايصالات]]+Table1181920231030313233[[#This Row],[قيمة مضافة]]</f>
        <v>0</v>
      </c>
      <c r="M179" s="1">
        <f>M178+Table1181920231030313233[[#This Row],[اجمالي الفاتوره]]-Table1181920231030313233[[#This Row],[الدفعات]]</f>
        <v>330996.88000000012</v>
      </c>
    </row>
    <row r="180" spans="11:13" ht="26.25" customHeight="1" x14ac:dyDescent="0.3">
      <c r="K180" s="1">
        <f>Table1181920231030313233[[#This Row],[النولون]]+Table1181920231030313233[[#This Row],[الايصالات]]+Table1181920231030313233[[#This Row],[قيمة مضافة]]</f>
        <v>0</v>
      </c>
      <c r="M180" s="1">
        <f>M179+Table1181920231030313233[[#This Row],[اجمالي الفاتوره]]-Table1181920231030313233[[#This Row],[الدفعات]]</f>
        <v>330996.88000000012</v>
      </c>
    </row>
    <row r="181" spans="11:13" ht="26.25" customHeight="1" x14ac:dyDescent="0.3">
      <c r="K181" s="1">
        <f>Table1181920231030313233[[#This Row],[النولون]]+Table1181920231030313233[[#This Row],[الايصالات]]+Table1181920231030313233[[#This Row],[قيمة مضافة]]</f>
        <v>0</v>
      </c>
      <c r="M181" s="1">
        <f>M180+Table1181920231030313233[[#This Row],[اجمالي الفاتوره]]-Table1181920231030313233[[#This Row],[الدفعات]]</f>
        <v>330996.88000000012</v>
      </c>
    </row>
    <row r="182" spans="11:13" ht="26.25" customHeight="1" x14ac:dyDescent="0.3">
      <c r="K182" s="1">
        <f>Table1181920231030313233[[#This Row],[النولون]]+Table1181920231030313233[[#This Row],[الايصالات]]+Table1181920231030313233[[#This Row],[قيمة مضافة]]</f>
        <v>0</v>
      </c>
      <c r="M182" s="1">
        <f>M181+Table1181920231030313233[[#This Row],[اجمالي الفاتوره]]-Table1181920231030313233[[#This Row],[الدفعات]]</f>
        <v>330996.88000000012</v>
      </c>
    </row>
    <row r="183" spans="11:13" ht="26.25" customHeight="1" x14ac:dyDescent="0.3">
      <c r="K183" s="1">
        <f>Table1181920231030313233[[#This Row],[النولون]]+Table1181920231030313233[[#This Row],[الايصالات]]+Table1181920231030313233[[#This Row],[قيمة مضافة]]</f>
        <v>0</v>
      </c>
      <c r="M183" s="1">
        <f>M182+Table1181920231030313233[[#This Row],[اجمالي الفاتوره]]-Table1181920231030313233[[#This Row],[الدفعات]]</f>
        <v>330996.88000000012</v>
      </c>
    </row>
    <row r="184" spans="11:13" ht="26.25" customHeight="1" x14ac:dyDescent="0.3">
      <c r="K184" s="1">
        <f>Table1181920231030313233[[#This Row],[النولون]]+Table1181920231030313233[[#This Row],[الايصالات]]+Table1181920231030313233[[#This Row],[قيمة مضافة]]</f>
        <v>0</v>
      </c>
      <c r="M184" s="1">
        <f>M183+Table1181920231030313233[[#This Row],[اجمالي الفاتوره]]-Table1181920231030313233[[#This Row],[الدفعات]]</f>
        <v>330996.88000000012</v>
      </c>
    </row>
    <row r="185" spans="11:13" ht="26.25" customHeight="1" x14ac:dyDescent="0.3">
      <c r="K185" s="1">
        <f>Table1181920231030313233[[#This Row],[النولون]]+Table1181920231030313233[[#This Row],[الايصالات]]+Table1181920231030313233[[#This Row],[قيمة مضافة]]</f>
        <v>0</v>
      </c>
      <c r="M185" s="1">
        <f>M184+Table1181920231030313233[[#This Row],[اجمالي الفاتوره]]-Table1181920231030313233[[#This Row],[الدفعات]]</f>
        <v>330996.88000000012</v>
      </c>
    </row>
    <row r="186" spans="11:13" ht="26.25" customHeight="1" x14ac:dyDescent="0.3">
      <c r="K186" s="1">
        <f>Table1181920231030313233[[#This Row],[النولون]]+Table1181920231030313233[[#This Row],[الايصالات]]+Table1181920231030313233[[#This Row],[قيمة مضافة]]</f>
        <v>0</v>
      </c>
      <c r="M186" s="1">
        <f>M185+Table1181920231030313233[[#This Row],[اجمالي الفاتوره]]-Table1181920231030313233[[#This Row],[الدفعات]]</f>
        <v>330996.88000000012</v>
      </c>
    </row>
    <row r="187" spans="11:13" ht="26.25" customHeight="1" x14ac:dyDescent="0.3">
      <c r="K187" s="1">
        <f>Table1181920231030313233[[#This Row],[النولون]]+Table1181920231030313233[[#This Row],[الايصالات]]+Table1181920231030313233[[#This Row],[قيمة مضافة]]</f>
        <v>0</v>
      </c>
      <c r="M187" s="1">
        <f>M186+Table1181920231030313233[[#This Row],[اجمالي الفاتوره]]-Table1181920231030313233[[#This Row],[الدفعات]]</f>
        <v>330996.88000000012</v>
      </c>
    </row>
    <row r="188" spans="11:13" ht="26.25" customHeight="1" x14ac:dyDescent="0.3">
      <c r="K188" s="1">
        <f>Table1181920231030313233[[#This Row],[النولون]]+Table1181920231030313233[[#This Row],[الايصالات]]+Table1181920231030313233[[#This Row],[قيمة مضافة]]</f>
        <v>0</v>
      </c>
      <c r="M188" s="1">
        <f>M187+Table1181920231030313233[[#This Row],[اجمالي الفاتوره]]-Table1181920231030313233[[#This Row],[الدفعات]]</f>
        <v>330996.88000000012</v>
      </c>
    </row>
    <row r="189" spans="11:13" ht="26.25" customHeight="1" x14ac:dyDescent="0.3">
      <c r="K189" s="1">
        <f>Table1181920231030313233[[#This Row],[النولون]]+Table1181920231030313233[[#This Row],[الايصالات]]+Table1181920231030313233[[#This Row],[قيمة مضافة]]</f>
        <v>0</v>
      </c>
      <c r="M189" s="1">
        <f>M188+Table1181920231030313233[[#This Row],[اجمالي الفاتوره]]-Table1181920231030313233[[#This Row],[الدفعات]]</f>
        <v>330996.88000000012</v>
      </c>
    </row>
    <row r="190" spans="11:13" ht="26.25" customHeight="1" x14ac:dyDescent="0.3">
      <c r="K190" s="1">
        <f>Table1181920231030313233[[#This Row],[النولون]]+Table1181920231030313233[[#This Row],[الايصالات]]+Table1181920231030313233[[#This Row],[قيمة مضافة]]</f>
        <v>0</v>
      </c>
      <c r="M190" s="1">
        <f>M189+Table1181920231030313233[[#This Row],[اجمالي الفاتوره]]-Table1181920231030313233[[#This Row],[الدفعات]]</f>
        <v>330996.88000000012</v>
      </c>
    </row>
    <row r="191" spans="11:13" ht="26.25" customHeight="1" x14ac:dyDescent="0.3">
      <c r="K191" s="1">
        <f>Table1181920231030313233[[#This Row],[النولون]]+Table1181920231030313233[[#This Row],[الايصالات]]+Table1181920231030313233[[#This Row],[قيمة مضافة]]</f>
        <v>0</v>
      </c>
      <c r="M191" s="1">
        <f>M190+Table1181920231030313233[[#This Row],[اجمالي الفاتوره]]-Table1181920231030313233[[#This Row],[الدفعات]]</f>
        <v>330996.88000000012</v>
      </c>
    </row>
    <row r="192" spans="11:13" ht="26.25" customHeight="1" x14ac:dyDescent="0.3">
      <c r="K192" s="1">
        <f>Table1181920231030313233[[#This Row],[النولون]]+Table1181920231030313233[[#This Row],[الايصالات]]+Table1181920231030313233[[#This Row],[قيمة مضافة]]</f>
        <v>0</v>
      </c>
      <c r="M192" s="1">
        <f>M191+Table1181920231030313233[[#This Row],[اجمالي الفاتوره]]-Table1181920231030313233[[#This Row],[الدفعات]]</f>
        <v>330996.88000000012</v>
      </c>
    </row>
    <row r="193" spans="11:13" ht="26.25" customHeight="1" x14ac:dyDescent="0.3">
      <c r="K193" s="1">
        <f>Table1181920231030313233[[#This Row],[النولون]]+Table1181920231030313233[[#This Row],[الايصالات]]+Table1181920231030313233[[#This Row],[قيمة مضافة]]</f>
        <v>0</v>
      </c>
      <c r="M193" s="1">
        <f>M192+Table1181920231030313233[[#This Row],[اجمالي الفاتوره]]-Table1181920231030313233[[#This Row],[الدفعات]]</f>
        <v>330996.88000000012</v>
      </c>
    </row>
    <row r="194" spans="11:13" ht="26.25" customHeight="1" x14ac:dyDescent="0.3">
      <c r="K194" s="1">
        <f>Table1181920231030313233[[#This Row],[النولون]]+Table1181920231030313233[[#This Row],[الايصالات]]+Table1181920231030313233[[#This Row],[قيمة مضافة]]</f>
        <v>0</v>
      </c>
      <c r="M194" s="1">
        <f>M193+Table1181920231030313233[[#This Row],[اجمالي الفاتوره]]-Table1181920231030313233[[#This Row],[الدفعات]]</f>
        <v>330996.88000000012</v>
      </c>
    </row>
    <row r="195" spans="11:13" ht="26.25" customHeight="1" x14ac:dyDescent="0.3">
      <c r="K195" s="1">
        <f>Table1181920231030313233[[#This Row],[النولون]]+Table1181920231030313233[[#This Row],[الايصالات]]+Table1181920231030313233[[#This Row],[قيمة مضافة]]</f>
        <v>0</v>
      </c>
      <c r="M195" s="1">
        <f>M194+Table1181920231030313233[[#This Row],[اجمالي الفاتوره]]-Table1181920231030313233[[#This Row],[الدفعات]]</f>
        <v>330996.88000000012</v>
      </c>
    </row>
    <row r="196" spans="11:13" ht="26.25" customHeight="1" x14ac:dyDescent="0.3">
      <c r="K196" s="1">
        <f>Table1181920231030313233[[#This Row],[النولون]]+Table1181920231030313233[[#This Row],[الايصالات]]+Table1181920231030313233[[#This Row],[قيمة مضافة]]</f>
        <v>0</v>
      </c>
      <c r="M196" s="1">
        <f>M195+Table1181920231030313233[[#This Row],[اجمالي الفاتوره]]-Table1181920231030313233[[#This Row],[الدفعات]]</f>
        <v>330996.88000000012</v>
      </c>
    </row>
    <row r="197" spans="11:13" ht="26.25" customHeight="1" x14ac:dyDescent="0.3">
      <c r="K197" s="1">
        <f>Table1181920231030313233[[#This Row],[النولون]]+Table1181920231030313233[[#This Row],[الايصالات]]+Table1181920231030313233[[#This Row],[قيمة مضافة]]</f>
        <v>0</v>
      </c>
      <c r="M197" s="1">
        <f>M196+Table1181920231030313233[[#This Row],[اجمالي الفاتوره]]-Table1181920231030313233[[#This Row],[الدفعات]]</f>
        <v>330996.88000000012</v>
      </c>
    </row>
    <row r="198" spans="11:13" ht="26.25" customHeight="1" x14ac:dyDescent="0.3">
      <c r="K198" s="1">
        <f>Table1181920231030313233[[#This Row],[النولون]]+Table1181920231030313233[[#This Row],[الايصالات]]+Table1181920231030313233[[#This Row],[قيمة مضافة]]</f>
        <v>0</v>
      </c>
      <c r="M198" s="1">
        <f>M197+Table1181920231030313233[[#This Row],[اجمالي الفاتوره]]-Table1181920231030313233[[#This Row],[الدفعات]]</f>
        <v>330996.88000000012</v>
      </c>
    </row>
    <row r="199" spans="11:13" ht="26.25" customHeight="1" x14ac:dyDescent="0.3">
      <c r="K199" s="1">
        <f>Table1181920231030313233[[#This Row],[النولون]]+Table1181920231030313233[[#This Row],[الايصالات]]+Table1181920231030313233[[#This Row],[قيمة مضافة]]</f>
        <v>0</v>
      </c>
      <c r="M199" s="1">
        <f>M198+Table1181920231030313233[[#This Row],[اجمالي الفاتوره]]-Table1181920231030313233[[#This Row],[الدفعات]]</f>
        <v>330996.88000000012</v>
      </c>
    </row>
    <row r="200" spans="11:13" ht="26.25" customHeight="1" x14ac:dyDescent="0.3">
      <c r="K200" s="1">
        <f>Table1181920231030313233[[#This Row],[النولون]]+Table1181920231030313233[[#This Row],[الايصالات]]+Table1181920231030313233[[#This Row],[قيمة مضافة]]</f>
        <v>0</v>
      </c>
      <c r="M200" s="1">
        <f>M199+Table1181920231030313233[[#This Row],[اجمالي الفاتوره]]-Table1181920231030313233[[#This Row],[الدفعات]]</f>
        <v>330996.88000000012</v>
      </c>
    </row>
    <row r="201" spans="11:13" ht="26.25" customHeight="1" x14ac:dyDescent="0.3">
      <c r="K201" s="1">
        <f>Table1181920231030313233[[#This Row],[النولون]]+Table1181920231030313233[[#This Row],[الايصالات]]+Table1181920231030313233[[#This Row],[قيمة مضافة]]</f>
        <v>0</v>
      </c>
      <c r="M201" s="1">
        <f>M200+Table1181920231030313233[[#This Row],[اجمالي الفاتوره]]-Table1181920231030313233[[#This Row],[الدفعات]]</f>
        <v>330996.88000000012</v>
      </c>
    </row>
    <row r="202" spans="11:13" ht="26.25" customHeight="1" x14ac:dyDescent="0.3">
      <c r="K202" s="1">
        <f>Table1181920231030313233[[#This Row],[النولون]]+Table1181920231030313233[[#This Row],[الايصالات]]+Table1181920231030313233[[#This Row],[قيمة مضافة]]</f>
        <v>0</v>
      </c>
      <c r="M202" s="1">
        <f>M201+Table1181920231030313233[[#This Row],[اجمالي الفاتوره]]-Table1181920231030313233[[#This Row],[الدفعات]]</f>
        <v>330996.88000000012</v>
      </c>
    </row>
    <row r="203" spans="11:13" ht="26.25" customHeight="1" x14ac:dyDescent="0.3">
      <c r="K203" s="1">
        <f>Table1181920231030313233[[#This Row],[النولون]]+Table1181920231030313233[[#This Row],[الايصالات]]+Table1181920231030313233[[#This Row],[قيمة مضافة]]</f>
        <v>0</v>
      </c>
      <c r="M203" s="1">
        <f>M202+Table1181920231030313233[[#This Row],[اجمالي الفاتوره]]-Table1181920231030313233[[#This Row],[الدفعات]]</f>
        <v>330996.88000000012</v>
      </c>
    </row>
    <row r="204" spans="11:13" ht="26.25" customHeight="1" x14ac:dyDescent="0.3">
      <c r="K204" s="1">
        <f>Table1181920231030313233[[#This Row],[النولون]]+Table1181920231030313233[[#This Row],[الايصالات]]+Table1181920231030313233[[#This Row],[قيمة مضافة]]</f>
        <v>0</v>
      </c>
      <c r="M204" s="1">
        <f>M203+Table1181920231030313233[[#This Row],[اجمالي الفاتوره]]-Table1181920231030313233[[#This Row],[الدفعات]]</f>
        <v>330996.88000000012</v>
      </c>
    </row>
    <row r="205" spans="11:13" ht="26.25" customHeight="1" x14ac:dyDescent="0.3">
      <c r="K205" s="1">
        <f>Table1181920231030313233[[#This Row],[النولون]]+Table1181920231030313233[[#This Row],[الايصالات]]+Table1181920231030313233[[#This Row],[قيمة مضافة]]</f>
        <v>0</v>
      </c>
      <c r="M205" s="1">
        <f>M204+Table1181920231030313233[[#This Row],[اجمالي الفاتوره]]-Table1181920231030313233[[#This Row],[الدفعات]]</f>
        <v>330996.88000000012</v>
      </c>
    </row>
    <row r="206" spans="11:13" ht="26.25" customHeight="1" x14ac:dyDescent="0.3">
      <c r="K206" s="1">
        <f>Table1181920231030313233[[#This Row],[النولون]]+Table1181920231030313233[[#This Row],[الايصالات]]+Table1181920231030313233[[#This Row],[قيمة مضافة]]</f>
        <v>0</v>
      </c>
      <c r="M206" s="1">
        <f>M205+Table1181920231030313233[[#This Row],[اجمالي الفاتوره]]-Table1181920231030313233[[#This Row],[الدفعات]]</f>
        <v>330996.88000000012</v>
      </c>
    </row>
    <row r="207" spans="11:13" ht="26.25" customHeight="1" x14ac:dyDescent="0.3">
      <c r="K207" s="1">
        <f>Table1181920231030313233[[#This Row],[النولون]]+Table1181920231030313233[[#This Row],[الايصالات]]+Table1181920231030313233[[#This Row],[قيمة مضافة]]</f>
        <v>0</v>
      </c>
      <c r="M207" s="1">
        <f>M206+Table1181920231030313233[[#This Row],[اجمالي الفاتوره]]-Table1181920231030313233[[#This Row],[الدفعات]]</f>
        <v>330996.88000000012</v>
      </c>
    </row>
    <row r="208" spans="11:13" ht="26.25" customHeight="1" x14ac:dyDescent="0.3">
      <c r="K208" s="1">
        <f>Table1181920231030313233[[#This Row],[النولون]]+Table1181920231030313233[[#This Row],[الايصالات]]+Table1181920231030313233[[#This Row],[قيمة مضافة]]</f>
        <v>0</v>
      </c>
      <c r="M208" s="1">
        <f>M207+Table1181920231030313233[[#This Row],[اجمالي الفاتوره]]-Table1181920231030313233[[#This Row],[الدفعات]]</f>
        <v>330996.88000000012</v>
      </c>
    </row>
    <row r="209" spans="11:13" ht="26.25" customHeight="1" x14ac:dyDescent="0.3">
      <c r="K209" s="1">
        <f>Table1181920231030313233[[#This Row],[النولون]]+Table1181920231030313233[[#This Row],[الايصالات]]+Table1181920231030313233[[#This Row],[قيمة مضافة]]</f>
        <v>0</v>
      </c>
      <c r="M209" s="1">
        <f>M208+Table1181920231030313233[[#This Row],[اجمالي الفاتوره]]-Table1181920231030313233[[#This Row],[الدفعات]]</f>
        <v>330996.88000000012</v>
      </c>
    </row>
    <row r="210" spans="11:13" ht="26.25" customHeight="1" x14ac:dyDescent="0.3">
      <c r="K210" s="1">
        <f>Table1181920231030313233[[#This Row],[النولون]]+Table1181920231030313233[[#This Row],[الايصالات]]+Table1181920231030313233[[#This Row],[قيمة مضافة]]</f>
        <v>0</v>
      </c>
      <c r="M210" s="1">
        <f>M209+Table1181920231030313233[[#This Row],[اجمالي الفاتوره]]-Table1181920231030313233[[#This Row],[الدفعات]]</f>
        <v>330996.88000000012</v>
      </c>
    </row>
    <row r="211" spans="11:13" ht="26.25" customHeight="1" x14ac:dyDescent="0.3">
      <c r="K211" s="1">
        <f>Table1181920231030313233[[#This Row],[النولون]]+Table1181920231030313233[[#This Row],[الايصالات]]+Table1181920231030313233[[#This Row],[قيمة مضافة]]</f>
        <v>0</v>
      </c>
      <c r="M211" s="1">
        <f>M210+Table1181920231030313233[[#This Row],[اجمالي الفاتوره]]-Table1181920231030313233[[#This Row],[الدفعات]]</f>
        <v>330996.88000000012</v>
      </c>
    </row>
    <row r="212" spans="11:13" ht="26.25" customHeight="1" x14ac:dyDescent="0.3">
      <c r="K212" s="1">
        <f>Table1181920231030313233[[#This Row],[النولون]]+Table1181920231030313233[[#This Row],[الايصالات]]+Table1181920231030313233[[#This Row],[قيمة مضافة]]</f>
        <v>0</v>
      </c>
      <c r="M212" s="1">
        <f>M211+Table1181920231030313233[[#This Row],[اجمالي الفاتوره]]-Table1181920231030313233[[#This Row],[الدفعات]]</f>
        <v>330996.88000000012</v>
      </c>
    </row>
    <row r="213" spans="11:13" ht="26.25" customHeight="1" x14ac:dyDescent="0.3">
      <c r="K213" s="1">
        <f>Table1181920231030313233[[#This Row],[النولون]]+Table1181920231030313233[[#This Row],[الايصالات]]+Table1181920231030313233[[#This Row],[قيمة مضافة]]</f>
        <v>0</v>
      </c>
      <c r="M213" s="1">
        <f>M212+Table1181920231030313233[[#This Row],[اجمالي الفاتوره]]-Table1181920231030313233[[#This Row],[الدفعات]]</f>
        <v>330996.88000000012</v>
      </c>
    </row>
    <row r="214" spans="11:13" ht="26.25" customHeight="1" x14ac:dyDescent="0.3">
      <c r="K214" s="1">
        <f>Table1181920231030313233[[#This Row],[النولون]]+Table1181920231030313233[[#This Row],[الايصالات]]+Table1181920231030313233[[#This Row],[قيمة مضافة]]</f>
        <v>0</v>
      </c>
      <c r="M214" s="1">
        <f>M213+Table1181920231030313233[[#This Row],[اجمالي الفاتوره]]-Table1181920231030313233[[#This Row],[الدفعات]]</f>
        <v>330996.88000000012</v>
      </c>
    </row>
    <row r="215" spans="11:13" ht="26.25" customHeight="1" x14ac:dyDescent="0.3">
      <c r="K215" s="1">
        <f>Table1181920231030313233[[#This Row],[النولون]]+Table1181920231030313233[[#This Row],[الايصالات]]+Table1181920231030313233[[#This Row],[قيمة مضافة]]</f>
        <v>0</v>
      </c>
      <c r="M215" s="1">
        <f>M214+Table1181920231030313233[[#This Row],[اجمالي الفاتوره]]-Table1181920231030313233[[#This Row],[الدفعات]]</f>
        <v>330996.88000000012</v>
      </c>
    </row>
    <row r="216" spans="11:13" ht="26.25" customHeight="1" x14ac:dyDescent="0.3">
      <c r="K216" s="1">
        <f>Table1181920231030313233[[#This Row],[النولون]]+Table1181920231030313233[[#This Row],[الايصالات]]+Table1181920231030313233[[#This Row],[قيمة مضافة]]</f>
        <v>0</v>
      </c>
      <c r="M216" s="1">
        <f>M215+Table1181920231030313233[[#This Row],[اجمالي الفاتوره]]-Table1181920231030313233[[#This Row],[الدفعات]]</f>
        <v>330996.88000000012</v>
      </c>
    </row>
    <row r="217" spans="11:13" ht="26.25" customHeight="1" x14ac:dyDescent="0.3">
      <c r="K217" s="1">
        <f>Table1181920231030313233[[#This Row],[النولون]]+Table1181920231030313233[[#This Row],[الايصالات]]+Table1181920231030313233[[#This Row],[قيمة مضافة]]</f>
        <v>0</v>
      </c>
      <c r="M217" s="1">
        <f>M216+Table1181920231030313233[[#This Row],[اجمالي الفاتوره]]-Table1181920231030313233[[#This Row],[الدفعات]]</f>
        <v>330996.88000000012</v>
      </c>
    </row>
    <row r="218" spans="11:13" ht="26.25" customHeight="1" x14ac:dyDescent="0.3">
      <c r="K218" s="1">
        <f>Table1181920231030313233[[#This Row],[النولون]]+Table1181920231030313233[[#This Row],[الايصالات]]+Table1181920231030313233[[#This Row],[قيمة مضافة]]</f>
        <v>0</v>
      </c>
      <c r="M218" s="1">
        <f>M217+Table1181920231030313233[[#This Row],[اجمالي الفاتوره]]-Table1181920231030313233[[#This Row],[الدفعات]]</f>
        <v>330996.88000000012</v>
      </c>
    </row>
    <row r="219" spans="11:13" ht="26.25" customHeight="1" x14ac:dyDescent="0.3">
      <c r="K219" s="1">
        <f>Table1181920231030313233[[#This Row],[النولون]]+Table1181920231030313233[[#This Row],[الايصالات]]+Table1181920231030313233[[#This Row],[قيمة مضافة]]</f>
        <v>0</v>
      </c>
      <c r="M219" s="1">
        <f>M218+Table1181920231030313233[[#This Row],[اجمالي الفاتوره]]-Table1181920231030313233[[#This Row],[الدفعات]]</f>
        <v>330996.88000000012</v>
      </c>
    </row>
    <row r="220" spans="11:13" ht="26.25" customHeight="1" x14ac:dyDescent="0.3">
      <c r="K220" s="1">
        <f>Table1181920231030313233[[#This Row],[النولون]]+Table1181920231030313233[[#This Row],[الايصالات]]+Table1181920231030313233[[#This Row],[قيمة مضافة]]</f>
        <v>0</v>
      </c>
      <c r="M220" s="1">
        <f>M219+Table1181920231030313233[[#This Row],[اجمالي الفاتوره]]-Table1181920231030313233[[#This Row],[الدفعات]]</f>
        <v>330996.88000000012</v>
      </c>
    </row>
    <row r="221" spans="11:13" ht="26.25" customHeight="1" x14ac:dyDescent="0.3">
      <c r="K221" s="1">
        <f>Table1181920231030313233[[#This Row],[النولون]]+Table1181920231030313233[[#This Row],[الايصالات]]+Table1181920231030313233[[#This Row],[قيمة مضافة]]</f>
        <v>0</v>
      </c>
      <c r="M221" s="1">
        <f>M220+Table1181920231030313233[[#This Row],[اجمالي الفاتوره]]-Table1181920231030313233[[#This Row],[الدفعات]]</f>
        <v>330996.88000000012</v>
      </c>
    </row>
    <row r="222" spans="11:13" ht="26.25" customHeight="1" x14ac:dyDescent="0.3">
      <c r="K222" s="1">
        <f>Table1181920231030313233[[#This Row],[النولون]]+Table1181920231030313233[[#This Row],[الايصالات]]+Table1181920231030313233[[#This Row],[قيمة مضافة]]</f>
        <v>0</v>
      </c>
      <c r="M222" s="1">
        <f>M221+Table1181920231030313233[[#This Row],[اجمالي الفاتوره]]-Table1181920231030313233[[#This Row],[الدفعات]]</f>
        <v>330996.88000000012</v>
      </c>
    </row>
    <row r="223" spans="11:13" ht="26.25" customHeight="1" x14ac:dyDescent="0.3">
      <c r="K223" s="1">
        <f>Table1181920231030313233[[#This Row],[النولون]]+Table1181920231030313233[[#This Row],[الايصالات]]+Table1181920231030313233[[#This Row],[قيمة مضافة]]</f>
        <v>0</v>
      </c>
      <c r="M223" s="1">
        <f>M222+Table1181920231030313233[[#This Row],[اجمالي الفاتوره]]-Table1181920231030313233[[#This Row],[الدفعات]]</f>
        <v>330996.88000000012</v>
      </c>
    </row>
    <row r="224" spans="11:13" ht="26.25" customHeight="1" x14ac:dyDescent="0.3">
      <c r="K224" s="1">
        <f>Table1181920231030313233[[#This Row],[النولون]]+Table1181920231030313233[[#This Row],[الايصالات]]+Table1181920231030313233[[#This Row],[قيمة مضافة]]</f>
        <v>0</v>
      </c>
      <c r="M224" s="1">
        <f>M223+Table1181920231030313233[[#This Row],[اجمالي الفاتوره]]-Table1181920231030313233[[#This Row],[الدفعات]]</f>
        <v>330996.88000000012</v>
      </c>
    </row>
    <row r="225" spans="11:13" ht="26.25" customHeight="1" x14ac:dyDescent="0.3">
      <c r="K225" s="1">
        <f>Table1181920231030313233[[#This Row],[النولون]]+Table1181920231030313233[[#This Row],[الايصالات]]+Table1181920231030313233[[#This Row],[قيمة مضافة]]</f>
        <v>0</v>
      </c>
      <c r="M225" s="1">
        <f>M224+Table1181920231030313233[[#This Row],[اجمالي الفاتوره]]-Table1181920231030313233[[#This Row],[الدفعات]]</f>
        <v>330996.88000000012</v>
      </c>
    </row>
    <row r="226" spans="11:13" ht="26.25" customHeight="1" x14ac:dyDescent="0.3">
      <c r="K226" s="1">
        <f>Table1181920231030313233[[#This Row],[النولون]]+Table1181920231030313233[[#This Row],[الايصالات]]+Table1181920231030313233[[#This Row],[قيمة مضافة]]</f>
        <v>0</v>
      </c>
      <c r="M226" s="1">
        <f>M225+Table1181920231030313233[[#This Row],[اجمالي الفاتوره]]-Table1181920231030313233[[#This Row],[الدفعات]]</f>
        <v>330996.88000000012</v>
      </c>
    </row>
    <row r="227" spans="11:13" ht="26.25" customHeight="1" x14ac:dyDescent="0.3">
      <c r="K227" s="1">
        <f>Table1181920231030313233[[#This Row],[النولون]]+Table1181920231030313233[[#This Row],[الايصالات]]+Table1181920231030313233[[#This Row],[قيمة مضافة]]</f>
        <v>0</v>
      </c>
      <c r="M227" s="1">
        <f>M226+Table1181920231030313233[[#This Row],[اجمالي الفاتوره]]-Table1181920231030313233[[#This Row],[الدفعات]]</f>
        <v>330996.88000000012</v>
      </c>
    </row>
    <row r="228" spans="11:13" ht="26.25" customHeight="1" x14ac:dyDescent="0.3">
      <c r="K228" s="1">
        <f>Table1181920231030313233[[#This Row],[النولون]]+Table1181920231030313233[[#This Row],[الايصالات]]+Table1181920231030313233[[#This Row],[قيمة مضافة]]</f>
        <v>0</v>
      </c>
      <c r="M228" s="1">
        <f>M227+Table1181920231030313233[[#This Row],[اجمالي الفاتوره]]-Table1181920231030313233[[#This Row],[الدفعات]]</f>
        <v>330996.88000000012</v>
      </c>
    </row>
    <row r="229" spans="11:13" ht="26.25" customHeight="1" x14ac:dyDescent="0.3">
      <c r="K229" s="1">
        <f>Table1181920231030313233[[#This Row],[النولون]]+Table1181920231030313233[[#This Row],[الايصالات]]+Table1181920231030313233[[#This Row],[قيمة مضافة]]</f>
        <v>0</v>
      </c>
      <c r="M229" s="1">
        <f>M228+Table1181920231030313233[[#This Row],[اجمالي الفاتوره]]-Table1181920231030313233[[#This Row],[الدفعات]]</f>
        <v>330996.88000000012</v>
      </c>
    </row>
    <row r="230" spans="11:13" ht="26.25" customHeight="1" x14ac:dyDescent="0.3">
      <c r="K230" s="1">
        <f>Table1181920231030313233[[#This Row],[النولون]]+Table1181920231030313233[[#This Row],[الايصالات]]+Table1181920231030313233[[#This Row],[قيمة مضافة]]</f>
        <v>0</v>
      </c>
      <c r="M230" s="1">
        <f>M229+Table1181920231030313233[[#This Row],[اجمالي الفاتوره]]-Table1181920231030313233[[#This Row],[الدفعات]]</f>
        <v>330996.88000000012</v>
      </c>
    </row>
    <row r="231" spans="11:13" ht="26.25" customHeight="1" x14ac:dyDescent="0.3">
      <c r="K231" s="1">
        <f>Table1181920231030313233[[#This Row],[النولون]]+Table1181920231030313233[[#This Row],[الايصالات]]+Table1181920231030313233[[#This Row],[قيمة مضافة]]</f>
        <v>0</v>
      </c>
      <c r="M231" s="1">
        <f>M230+Table1181920231030313233[[#This Row],[اجمالي الفاتوره]]-Table1181920231030313233[[#This Row],[الدفعات]]</f>
        <v>330996.88000000012</v>
      </c>
    </row>
    <row r="232" spans="11:13" ht="26.25" customHeight="1" x14ac:dyDescent="0.3">
      <c r="K232" s="1">
        <f>Table1181920231030313233[[#This Row],[النولون]]+Table1181920231030313233[[#This Row],[الايصالات]]+Table1181920231030313233[[#This Row],[قيمة مضافة]]</f>
        <v>0</v>
      </c>
      <c r="M232" s="1">
        <f>M231+Table1181920231030313233[[#This Row],[اجمالي الفاتوره]]-Table1181920231030313233[[#This Row],[الدفعات]]</f>
        <v>330996.88000000012</v>
      </c>
    </row>
    <row r="233" spans="11:13" ht="26.25" customHeight="1" x14ac:dyDescent="0.3">
      <c r="K233" s="1">
        <f>Table1181920231030313233[[#This Row],[النولون]]+Table1181920231030313233[[#This Row],[الايصالات]]+Table1181920231030313233[[#This Row],[قيمة مضافة]]</f>
        <v>0</v>
      </c>
      <c r="M233" s="1">
        <f>M232+Table1181920231030313233[[#This Row],[اجمالي الفاتوره]]-Table1181920231030313233[[#This Row],[الدفعات]]</f>
        <v>330996.88000000012</v>
      </c>
    </row>
    <row r="234" spans="11:13" ht="26.25" customHeight="1" x14ac:dyDescent="0.3">
      <c r="K234" s="1">
        <f>Table1181920231030313233[[#This Row],[النولون]]+Table1181920231030313233[[#This Row],[الايصالات]]+Table1181920231030313233[[#This Row],[قيمة مضافة]]</f>
        <v>0</v>
      </c>
      <c r="M234" s="1">
        <f>M233+Table1181920231030313233[[#This Row],[اجمالي الفاتوره]]-Table1181920231030313233[[#This Row],[الدفعات]]</f>
        <v>330996.88000000012</v>
      </c>
    </row>
    <row r="235" spans="11:13" ht="26.25" customHeight="1" x14ac:dyDescent="0.3">
      <c r="K235" s="1">
        <f>Table1181920231030313233[[#This Row],[النولون]]+Table1181920231030313233[[#This Row],[الايصالات]]+Table1181920231030313233[[#This Row],[قيمة مضافة]]</f>
        <v>0</v>
      </c>
      <c r="M235" s="1">
        <f>M234+Table1181920231030313233[[#This Row],[اجمالي الفاتوره]]-Table1181920231030313233[[#This Row],[الدفعات]]</f>
        <v>330996.88000000012</v>
      </c>
    </row>
    <row r="236" spans="11:13" ht="26.25" customHeight="1" x14ac:dyDescent="0.3">
      <c r="K236" s="1">
        <f>Table1181920231030313233[[#This Row],[النولون]]+Table1181920231030313233[[#This Row],[الايصالات]]+Table1181920231030313233[[#This Row],[قيمة مضافة]]</f>
        <v>0</v>
      </c>
      <c r="M236" s="1">
        <f>M235+Table1181920231030313233[[#This Row],[اجمالي الفاتوره]]-Table1181920231030313233[[#This Row],[الدفعات]]</f>
        <v>330996.88000000012</v>
      </c>
    </row>
    <row r="237" spans="11:13" ht="26.25" customHeight="1" x14ac:dyDescent="0.3">
      <c r="K237" s="1">
        <f>Table1181920231030313233[[#This Row],[النولون]]+Table1181920231030313233[[#This Row],[الايصالات]]+Table1181920231030313233[[#This Row],[قيمة مضافة]]</f>
        <v>0</v>
      </c>
      <c r="M237" s="1">
        <f>M236+Table1181920231030313233[[#This Row],[اجمالي الفاتوره]]-Table1181920231030313233[[#This Row],[الدفعات]]</f>
        <v>330996.88000000012</v>
      </c>
    </row>
    <row r="238" spans="11:13" ht="26.25" customHeight="1" x14ac:dyDescent="0.3">
      <c r="K238" s="1">
        <f>Table1181920231030313233[[#This Row],[النولون]]+Table1181920231030313233[[#This Row],[الايصالات]]+Table1181920231030313233[[#This Row],[قيمة مضافة]]</f>
        <v>0</v>
      </c>
      <c r="M238" s="1">
        <f>M237+Table1181920231030313233[[#This Row],[اجمالي الفاتوره]]-Table1181920231030313233[[#This Row],[الدفعات]]</f>
        <v>330996.88000000012</v>
      </c>
    </row>
    <row r="239" spans="11:13" ht="26.25" customHeight="1" x14ac:dyDescent="0.3">
      <c r="K239" s="1">
        <f>Table1181920231030313233[[#This Row],[النولون]]+Table1181920231030313233[[#This Row],[الايصالات]]+Table1181920231030313233[[#This Row],[قيمة مضافة]]</f>
        <v>0</v>
      </c>
      <c r="M239" s="1">
        <f>M238+Table1181920231030313233[[#This Row],[اجمالي الفاتوره]]-Table1181920231030313233[[#This Row],[الدفعات]]</f>
        <v>330996.88000000012</v>
      </c>
    </row>
    <row r="240" spans="11:13" ht="26.25" customHeight="1" x14ac:dyDescent="0.3">
      <c r="K240" s="1">
        <f>Table1181920231030313233[[#This Row],[النولون]]+Table1181920231030313233[[#This Row],[الايصالات]]+Table1181920231030313233[[#This Row],[قيمة مضافة]]</f>
        <v>0</v>
      </c>
      <c r="M240" s="1">
        <f>M239+Table1181920231030313233[[#This Row],[اجمالي الفاتوره]]-Table1181920231030313233[[#This Row],[الدفعات]]</f>
        <v>330996.88000000012</v>
      </c>
    </row>
    <row r="241" spans="11:13" ht="26.25" customHeight="1" x14ac:dyDescent="0.3">
      <c r="K241" s="1">
        <f>Table1181920231030313233[[#This Row],[النولون]]+Table1181920231030313233[[#This Row],[الايصالات]]+Table1181920231030313233[[#This Row],[قيمة مضافة]]</f>
        <v>0</v>
      </c>
      <c r="M241" s="1">
        <f>M240+Table1181920231030313233[[#This Row],[اجمالي الفاتوره]]-Table1181920231030313233[[#This Row],[الدفعات]]</f>
        <v>330996.88000000012</v>
      </c>
    </row>
    <row r="242" spans="11:13" ht="26.25" customHeight="1" x14ac:dyDescent="0.3">
      <c r="K242" s="1">
        <f>Table1181920231030313233[[#This Row],[النولون]]+Table1181920231030313233[[#This Row],[الايصالات]]+Table1181920231030313233[[#This Row],[قيمة مضافة]]</f>
        <v>0</v>
      </c>
      <c r="M242" s="1">
        <f>M241+Table1181920231030313233[[#This Row],[اجمالي الفاتوره]]-Table1181920231030313233[[#This Row],[الدفعات]]</f>
        <v>330996.88000000012</v>
      </c>
    </row>
    <row r="243" spans="11:13" ht="26.25" customHeight="1" x14ac:dyDescent="0.3">
      <c r="K243" s="1">
        <f>Table1181920231030313233[[#This Row],[النولون]]+Table1181920231030313233[[#This Row],[الايصالات]]+Table1181920231030313233[[#This Row],[قيمة مضافة]]</f>
        <v>0</v>
      </c>
      <c r="M243" s="1">
        <f>M242+Table1181920231030313233[[#This Row],[اجمالي الفاتوره]]-Table1181920231030313233[[#This Row],[الدفعات]]</f>
        <v>330996.88000000012</v>
      </c>
    </row>
    <row r="244" spans="11:13" ht="26.25" customHeight="1" x14ac:dyDescent="0.3">
      <c r="K244" s="1">
        <f>Table1181920231030313233[[#This Row],[النولون]]+Table1181920231030313233[[#This Row],[الايصالات]]+Table1181920231030313233[[#This Row],[قيمة مضافة]]</f>
        <v>0</v>
      </c>
      <c r="M244" s="1">
        <f>M243+Table1181920231030313233[[#This Row],[اجمالي الفاتوره]]-Table1181920231030313233[[#This Row],[الدفعات]]</f>
        <v>330996.88000000012</v>
      </c>
    </row>
    <row r="245" spans="11:13" ht="26.25" customHeight="1" x14ac:dyDescent="0.3">
      <c r="K245" s="1">
        <f>Table1181920231030313233[[#This Row],[النولون]]+Table1181920231030313233[[#This Row],[الايصالات]]+Table1181920231030313233[[#This Row],[قيمة مضافة]]</f>
        <v>0</v>
      </c>
      <c r="M245" s="1">
        <f>M244+Table1181920231030313233[[#This Row],[اجمالي الفاتوره]]-Table1181920231030313233[[#This Row],[الدفعات]]</f>
        <v>330996.88000000012</v>
      </c>
    </row>
    <row r="246" spans="11:13" ht="26.25" customHeight="1" x14ac:dyDescent="0.3">
      <c r="K246" s="1">
        <f>Table1181920231030313233[[#This Row],[النولون]]+Table1181920231030313233[[#This Row],[الايصالات]]+Table1181920231030313233[[#This Row],[قيمة مضافة]]</f>
        <v>0</v>
      </c>
      <c r="M246" s="1">
        <f>M245+Table1181920231030313233[[#This Row],[اجمالي الفاتوره]]-Table1181920231030313233[[#This Row],[الدفعات]]</f>
        <v>330996.88000000012</v>
      </c>
    </row>
    <row r="247" spans="11:13" ht="26.25" customHeight="1" x14ac:dyDescent="0.3">
      <c r="K247" s="1">
        <f>Table1181920231030313233[[#This Row],[النولون]]+Table1181920231030313233[[#This Row],[الايصالات]]+Table1181920231030313233[[#This Row],[قيمة مضافة]]</f>
        <v>0</v>
      </c>
      <c r="M247" s="1">
        <f>M246+Table1181920231030313233[[#This Row],[اجمالي الفاتوره]]-Table1181920231030313233[[#This Row],[الدفعات]]</f>
        <v>330996.88000000012</v>
      </c>
    </row>
    <row r="248" spans="11:13" ht="26.25" customHeight="1" x14ac:dyDescent="0.3">
      <c r="K248" s="1">
        <f>Table1181920231030313233[[#This Row],[النولون]]+Table1181920231030313233[[#This Row],[الايصالات]]+Table1181920231030313233[[#This Row],[قيمة مضافة]]</f>
        <v>0</v>
      </c>
      <c r="M248" s="1">
        <f>M247+Table1181920231030313233[[#This Row],[اجمالي الفاتوره]]-Table1181920231030313233[[#This Row],[الدفعات]]</f>
        <v>330996.88000000012</v>
      </c>
    </row>
    <row r="249" spans="11:13" ht="26.25" customHeight="1" x14ac:dyDescent="0.3">
      <c r="K249" s="1">
        <f>Table1181920231030313233[[#This Row],[النولون]]+Table1181920231030313233[[#This Row],[الايصالات]]+Table1181920231030313233[[#This Row],[قيمة مضافة]]</f>
        <v>0</v>
      </c>
      <c r="M249" s="1">
        <f>M248+Table1181920231030313233[[#This Row],[اجمالي الفاتوره]]-Table1181920231030313233[[#This Row],[الدفعات]]</f>
        <v>330996.88000000012</v>
      </c>
    </row>
    <row r="250" spans="11:13" ht="26.25" customHeight="1" x14ac:dyDescent="0.3">
      <c r="K250" s="1">
        <f>Table1181920231030313233[[#This Row],[النولون]]+Table1181920231030313233[[#This Row],[الايصالات]]+Table1181920231030313233[[#This Row],[قيمة مضافة]]</f>
        <v>0</v>
      </c>
      <c r="M250" s="1">
        <f>M249+Table1181920231030313233[[#This Row],[اجمالي الفاتوره]]-Table1181920231030313233[[#This Row],[الدفعات]]</f>
        <v>330996.88000000012</v>
      </c>
    </row>
    <row r="251" spans="11:13" ht="26.25" customHeight="1" x14ac:dyDescent="0.3">
      <c r="K251" s="1">
        <f>Table1181920231030313233[[#This Row],[النولون]]+Table1181920231030313233[[#This Row],[الايصالات]]+Table1181920231030313233[[#This Row],[قيمة مضافة]]</f>
        <v>0</v>
      </c>
      <c r="M251" s="1">
        <f>M250+Table1181920231030313233[[#This Row],[اجمالي الفاتوره]]-Table1181920231030313233[[#This Row],[الدفعات]]</f>
        <v>330996.88000000012</v>
      </c>
    </row>
    <row r="252" spans="11:13" ht="26.25" customHeight="1" x14ac:dyDescent="0.3">
      <c r="K252" s="1">
        <f>Table1181920231030313233[[#This Row],[النولون]]+Table1181920231030313233[[#This Row],[الايصالات]]+Table1181920231030313233[[#This Row],[قيمة مضافة]]</f>
        <v>0</v>
      </c>
      <c r="M252" s="1">
        <f>M251+Table1181920231030313233[[#This Row],[اجمالي الفاتوره]]-Table1181920231030313233[[#This Row],[الدفعات]]</f>
        <v>330996.88000000012</v>
      </c>
    </row>
    <row r="253" spans="11:13" ht="26.25" customHeight="1" x14ac:dyDescent="0.3">
      <c r="K253" s="1">
        <f>Table1181920231030313233[[#This Row],[النولون]]+Table1181920231030313233[[#This Row],[الايصالات]]+Table1181920231030313233[[#This Row],[قيمة مضافة]]</f>
        <v>0</v>
      </c>
      <c r="M253" s="1">
        <f>M252+Table1181920231030313233[[#This Row],[اجمالي الفاتوره]]-Table1181920231030313233[[#This Row],[الدفعات]]</f>
        <v>330996.88000000012</v>
      </c>
    </row>
    <row r="254" spans="11:13" ht="26.25" customHeight="1" x14ac:dyDescent="0.3">
      <c r="K254" s="1">
        <f>Table1181920231030313233[[#This Row],[النولون]]+Table1181920231030313233[[#This Row],[الايصالات]]+Table1181920231030313233[[#This Row],[قيمة مضافة]]</f>
        <v>0</v>
      </c>
      <c r="M254" s="1">
        <f>M253+Table1181920231030313233[[#This Row],[اجمالي الفاتوره]]-Table1181920231030313233[[#This Row],[الدفعات]]</f>
        <v>330996.88000000012</v>
      </c>
    </row>
    <row r="255" spans="11:13" ht="26.25" customHeight="1" x14ac:dyDescent="0.3">
      <c r="K255" s="1">
        <f>Table1181920231030313233[[#This Row],[النولون]]+Table1181920231030313233[[#This Row],[الايصالات]]+Table1181920231030313233[[#This Row],[قيمة مضافة]]</f>
        <v>0</v>
      </c>
      <c r="M255" s="1">
        <f>M254+Table1181920231030313233[[#This Row],[اجمالي الفاتوره]]-Table1181920231030313233[[#This Row],[الدفعات]]</f>
        <v>330996.88000000012</v>
      </c>
    </row>
    <row r="256" spans="11:13" ht="26.25" customHeight="1" x14ac:dyDescent="0.3">
      <c r="K256" s="1">
        <f>Table1181920231030313233[[#This Row],[النولون]]+Table1181920231030313233[[#This Row],[الايصالات]]+Table1181920231030313233[[#This Row],[قيمة مضافة]]</f>
        <v>0</v>
      </c>
      <c r="M256" s="1">
        <f>M255+Table1181920231030313233[[#This Row],[اجمالي الفاتوره]]-Table1181920231030313233[[#This Row],[الدفعات]]</f>
        <v>330996.88000000012</v>
      </c>
    </row>
    <row r="257" spans="11:13" ht="26.25" customHeight="1" x14ac:dyDescent="0.3">
      <c r="K257" s="1">
        <f>Table1181920231030313233[[#This Row],[النولون]]+Table1181920231030313233[[#This Row],[الايصالات]]+Table1181920231030313233[[#This Row],[قيمة مضافة]]</f>
        <v>0</v>
      </c>
      <c r="M257" s="1">
        <f>M256+Table1181920231030313233[[#This Row],[اجمالي الفاتوره]]-Table1181920231030313233[[#This Row],[الدفعات]]</f>
        <v>330996.88000000012</v>
      </c>
    </row>
    <row r="258" spans="11:13" ht="26.25" customHeight="1" x14ac:dyDescent="0.3">
      <c r="K258" s="1">
        <f>Table1181920231030313233[[#This Row],[النولون]]+Table1181920231030313233[[#This Row],[الايصالات]]+Table1181920231030313233[[#This Row],[قيمة مضافة]]</f>
        <v>0</v>
      </c>
      <c r="M258" s="1">
        <f>M257+Table1181920231030313233[[#This Row],[اجمالي الفاتوره]]-Table1181920231030313233[[#This Row],[الدفعات]]</f>
        <v>330996.88000000012</v>
      </c>
    </row>
    <row r="259" spans="11:13" ht="26.25" customHeight="1" x14ac:dyDescent="0.3">
      <c r="K259" s="1">
        <f>Table1181920231030313233[[#This Row],[النولون]]+Table1181920231030313233[[#This Row],[الايصالات]]+Table1181920231030313233[[#This Row],[قيمة مضافة]]</f>
        <v>0</v>
      </c>
      <c r="M259" s="1">
        <f>M258+Table1181920231030313233[[#This Row],[اجمالي الفاتوره]]-Table1181920231030313233[[#This Row],[الدفعات]]</f>
        <v>330996.88000000012</v>
      </c>
    </row>
    <row r="260" spans="11:13" ht="26.25" customHeight="1" x14ac:dyDescent="0.3">
      <c r="K260" s="1">
        <f>Table1181920231030313233[[#This Row],[النولون]]+Table1181920231030313233[[#This Row],[الايصالات]]+Table1181920231030313233[[#This Row],[قيمة مضافة]]</f>
        <v>0</v>
      </c>
      <c r="M260" s="1">
        <f>M259+Table1181920231030313233[[#This Row],[اجمالي الفاتوره]]-Table1181920231030313233[[#This Row],[الدفعات]]</f>
        <v>330996.88000000012</v>
      </c>
    </row>
    <row r="261" spans="11:13" ht="26.25" customHeight="1" x14ac:dyDescent="0.3">
      <c r="K261" s="1">
        <f>Table1181920231030313233[[#This Row],[النولون]]+Table1181920231030313233[[#This Row],[الايصالات]]+Table1181920231030313233[[#This Row],[قيمة مضافة]]</f>
        <v>0</v>
      </c>
      <c r="M261" s="1">
        <f>M260+Table1181920231030313233[[#This Row],[اجمالي الفاتوره]]-Table1181920231030313233[[#This Row],[الدفعات]]</f>
        <v>330996.88000000012</v>
      </c>
    </row>
    <row r="262" spans="11:13" ht="26.25" customHeight="1" x14ac:dyDescent="0.3">
      <c r="K262" s="1">
        <f>Table1181920231030313233[[#This Row],[النولون]]+Table1181920231030313233[[#This Row],[الايصالات]]+Table1181920231030313233[[#This Row],[قيمة مضافة]]</f>
        <v>0</v>
      </c>
      <c r="M262" s="1">
        <f>M261+Table1181920231030313233[[#This Row],[اجمالي الفاتوره]]-Table1181920231030313233[[#This Row],[الدفعات]]</f>
        <v>330996.88000000012</v>
      </c>
    </row>
    <row r="263" spans="11:13" ht="26.25" customHeight="1" x14ac:dyDescent="0.3">
      <c r="K263" s="1">
        <f>Table1181920231030313233[[#This Row],[النولون]]+Table1181920231030313233[[#This Row],[الايصالات]]+Table1181920231030313233[[#This Row],[قيمة مضافة]]</f>
        <v>0</v>
      </c>
      <c r="M263" s="1">
        <f>M262+Table1181920231030313233[[#This Row],[اجمالي الفاتوره]]-Table1181920231030313233[[#This Row],[الدفعات]]</f>
        <v>330996.88000000012</v>
      </c>
    </row>
    <row r="264" spans="11:13" ht="26.25" customHeight="1" x14ac:dyDescent="0.3">
      <c r="K264" s="1">
        <f>Table1181920231030313233[[#This Row],[النولون]]+Table1181920231030313233[[#This Row],[الايصالات]]+Table1181920231030313233[[#This Row],[قيمة مضافة]]</f>
        <v>0</v>
      </c>
      <c r="M264" s="1">
        <f>M263+Table1181920231030313233[[#This Row],[اجمالي الفاتوره]]-Table1181920231030313233[[#This Row],[الدفعات]]</f>
        <v>330996.88000000012</v>
      </c>
    </row>
    <row r="265" spans="11:13" ht="26.25" customHeight="1" x14ac:dyDescent="0.3">
      <c r="K265" s="1">
        <f>Table1181920231030313233[[#This Row],[النولون]]+Table1181920231030313233[[#This Row],[الايصالات]]+Table1181920231030313233[[#This Row],[قيمة مضافة]]</f>
        <v>0</v>
      </c>
      <c r="M265" s="1">
        <f>M264+Table1181920231030313233[[#This Row],[اجمالي الفاتوره]]-Table1181920231030313233[[#This Row],[الدفعات]]</f>
        <v>330996.88000000012</v>
      </c>
    </row>
    <row r="266" spans="11:13" ht="26.25" customHeight="1" x14ac:dyDescent="0.3">
      <c r="K266" s="1">
        <f>Table1181920231030313233[[#This Row],[النولون]]+Table1181920231030313233[[#This Row],[الايصالات]]+Table1181920231030313233[[#This Row],[قيمة مضافة]]</f>
        <v>0</v>
      </c>
      <c r="M266" s="1">
        <f>M265+Table1181920231030313233[[#This Row],[اجمالي الفاتوره]]-Table1181920231030313233[[#This Row],[الدفعات]]</f>
        <v>330996.88000000012</v>
      </c>
    </row>
    <row r="267" spans="11:13" ht="26.25" customHeight="1" x14ac:dyDescent="0.3">
      <c r="K267" s="1">
        <f>Table1181920231030313233[[#This Row],[النولون]]+Table1181920231030313233[[#This Row],[الايصالات]]+Table1181920231030313233[[#This Row],[قيمة مضافة]]</f>
        <v>0</v>
      </c>
      <c r="M267" s="1">
        <f>M266+Table1181920231030313233[[#This Row],[اجمالي الفاتوره]]-Table1181920231030313233[[#This Row],[الدفعات]]</f>
        <v>330996.88000000012</v>
      </c>
    </row>
    <row r="268" spans="11:13" ht="26.25" customHeight="1" x14ac:dyDescent="0.3">
      <c r="K268" s="1">
        <f>Table1181920231030313233[[#This Row],[النولون]]+Table1181920231030313233[[#This Row],[الايصالات]]+Table1181920231030313233[[#This Row],[قيمة مضافة]]</f>
        <v>0</v>
      </c>
      <c r="M268" s="1">
        <f>M267+Table1181920231030313233[[#This Row],[اجمالي الفاتوره]]-Table1181920231030313233[[#This Row],[الدفعات]]</f>
        <v>330996.88000000012</v>
      </c>
    </row>
    <row r="269" spans="11:13" ht="26.25" customHeight="1" x14ac:dyDescent="0.3">
      <c r="K269" s="1">
        <f>Table1181920231030313233[[#This Row],[النولون]]+Table1181920231030313233[[#This Row],[الايصالات]]+Table1181920231030313233[[#This Row],[قيمة مضافة]]</f>
        <v>0</v>
      </c>
      <c r="M269" s="1">
        <f>M268+Table1181920231030313233[[#This Row],[اجمالي الفاتوره]]-Table1181920231030313233[[#This Row],[الدفعات]]</f>
        <v>330996.88000000012</v>
      </c>
    </row>
    <row r="270" spans="11:13" ht="26.25" customHeight="1" x14ac:dyDescent="0.3">
      <c r="K270" s="1">
        <f>Table1181920231030313233[[#This Row],[النولون]]+Table1181920231030313233[[#This Row],[الايصالات]]+Table1181920231030313233[[#This Row],[قيمة مضافة]]</f>
        <v>0</v>
      </c>
      <c r="M270" s="1">
        <f>M269+Table1181920231030313233[[#This Row],[اجمالي الفاتوره]]-Table1181920231030313233[[#This Row],[الدفعات]]</f>
        <v>330996.88000000012</v>
      </c>
    </row>
    <row r="271" spans="11:13" ht="26.25" customHeight="1" x14ac:dyDescent="0.3">
      <c r="K271" s="1">
        <f>Table1181920231030313233[[#This Row],[النولون]]+Table1181920231030313233[[#This Row],[الايصالات]]+Table1181920231030313233[[#This Row],[قيمة مضافة]]</f>
        <v>0</v>
      </c>
      <c r="M271" s="1">
        <f>M270+Table1181920231030313233[[#This Row],[اجمالي الفاتوره]]-Table1181920231030313233[[#This Row],[الدفعات]]</f>
        <v>330996.88000000012</v>
      </c>
    </row>
    <row r="272" spans="11:13" ht="26.25" customHeight="1" x14ac:dyDescent="0.3">
      <c r="K272" s="1">
        <f>Table1181920231030313233[[#This Row],[النولون]]+Table1181920231030313233[[#This Row],[الايصالات]]+Table1181920231030313233[[#This Row],[قيمة مضافة]]</f>
        <v>0</v>
      </c>
      <c r="M272" s="1">
        <f>M271+Table1181920231030313233[[#This Row],[اجمالي الفاتوره]]-Table1181920231030313233[[#This Row],[الدفعات]]</f>
        <v>330996.88000000012</v>
      </c>
    </row>
    <row r="273" spans="11:13" ht="26.25" customHeight="1" x14ac:dyDescent="0.3">
      <c r="K273" s="1">
        <f>Table1181920231030313233[[#This Row],[النولون]]+Table1181920231030313233[[#This Row],[الايصالات]]+Table1181920231030313233[[#This Row],[قيمة مضافة]]</f>
        <v>0</v>
      </c>
      <c r="M273" s="1">
        <f>M272+Table1181920231030313233[[#This Row],[اجمالي الفاتوره]]-Table1181920231030313233[[#This Row],[الدفعات]]</f>
        <v>330996.88000000012</v>
      </c>
    </row>
    <row r="274" spans="11:13" ht="26.25" customHeight="1" x14ac:dyDescent="0.3">
      <c r="K274" s="1">
        <f>Table1181920231030313233[[#This Row],[النولون]]+Table1181920231030313233[[#This Row],[الايصالات]]+Table1181920231030313233[[#This Row],[قيمة مضافة]]</f>
        <v>0</v>
      </c>
      <c r="M274" s="1">
        <f>M273+Table1181920231030313233[[#This Row],[اجمالي الفاتوره]]-Table1181920231030313233[[#This Row],[الدفعات]]</f>
        <v>330996.88000000012</v>
      </c>
    </row>
    <row r="275" spans="11:13" ht="26.25" customHeight="1" x14ac:dyDescent="0.3">
      <c r="K275" s="1">
        <f>Table1181920231030313233[[#This Row],[النولون]]+Table1181920231030313233[[#This Row],[الايصالات]]+Table1181920231030313233[[#This Row],[قيمة مضافة]]</f>
        <v>0</v>
      </c>
      <c r="M275" s="1">
        <f>M274+Table1181920231030313233[[#This Row],[اجمالي الفاتوره]]-Table1181920231030313233[[#This Row],[الدفعات]]</f>
        <v>330996.88000000012</v>
      </c>
    </row>
    <row r="276" spans="11:13" ht="26.25" customHeight="1" x14ac:dyDescent="0.3">
      <c r="K276" s="1">
        <f>Table1181920231030313233[[#This Row],[النولون]]+Table1181920231030313233[[#This Row],[الايصالات]]+Table1181920231030313233[[#This Row],[قيمة مضافة]]</f>
        <v>0</v>
      </c>
      <c r="M276" s="1">
        <f>M275+Table1181920231030313233[[#This Row],[اجمالي الفاتوره]]-Table1181920231030313233[[#This Row],[الدفعات]]</f>
        <v>330996.88000000012</v>
      </c>
    </row>
    <row r="277" spans="11:13" ht="26.25" customHeight="1" x14ac:dyDescent="0.3">
      <c r="K277" s="1">
        <f>Table1181920231030313233[[#This Row],[النولون]]+Table1181920231030313233[[#This Row],[الايصالات]]+Table1181920231030313233[[#This Row],[قيمة مضافة]]</f>
        <v>0</v>
      </c>
      <c r="M277" s="1">
        <f>M276+Table1181920231030313233[[#This Row],[اجمالي الفاتوره]]-Table1181920231030313233[[#This Row],[الدفعات]]</f>
        <v>330996.88000000012</v>
      </c>
    </row>
    <row r="278" spans="11:13" ht="26.25" customHeight="1" x14ac:dyDescent="0.3">
      <c r="K278" s="1">
        <f>Table1181920231030313233[[#This Row],[النولون]]+Table1181920231030313233[[#This Row],[الايصالات]]+Table1181920231030313233[[#This Row],[قيمة مضافة]]</f>
        <v>0</v>
      </c>
      <c r="M278" s="1">
        <f>M277+Table1181920231030313233[[#This Row],[اجمالي الفاتوره]]-Table1181920231030313233[[#This Row],[الدفعات]]</f>
        <v>330996.88000000012</v>
      </c>
    </row>
    <row r="279" spans="11:13" ht="26.25" customHeight="1" x14ac:dyDescent="0.3">
      <c r="K279" s="1">
        <f>Table1181920231030313233[[#This Row],[النولون]]+Table1181920231030313233[[#This Row],[الايصالات]]+Table1181920231030313233[[#This Row],[قيمة مضافة]]</f>
        <v>0</v>
      </c>
      <c r="M279" s="1">
        <f>M278+Table1181920231030313233[[#This Row],[اجمالي الفاتوره]]-Table1181920231030313233[[#This Row],[الدفعات]]</f>
        <v>330996.88000000012</v>
      </c>
    </row>
    <row r="280" spans="11:13" ht="26.25" customHeight="1" x14ac:dyDescent="0.3">
      <c r="K280" s="1">
        <f>Table1181920231030313233[[#This Row],[النولون]]+Table1181920231030313233[[#This Row],[الايصالات]]+Table1181920231030313233[[#This Row],[قيمة مضافة]]</f>
        <v>0</v>
      </c>
      <c r="M280" s="1">
        <f>M279+Table1181920231030313233[[#This Row],[اجمالي الفاتوره]]-Table1181920231030313233[[#This Row],[الدفعات]]</f>
        <v>330996.88000000012</v>
      </c>
    </row>
    <row r="281" spans="11:13" ht="26.25" customHeight="1" x14ac:dyDescent="0.3">
      <c r="K281" s="1">
        <f>Table1181920231030313233[[#This Row],[النولون]]+Table1181920231030313233[[#This Row],[الايصالات]]+Table1181920231030313233[[#This Row],[قيمة مضافة]]</f>
        <v>0</v>
      </c>
      <c r="M281" s="1">
        <f>M280+Table1181920231030313233[[#This Row],[اجمالي الفاتوره]]-Table1181920231030313233[[#This Row],[الدفعات]]</f>
        <v>330996.88000000012</v>
      </c>
    </row>
    <row r="282" spans="11:13" ht="26.25" customHeight="1" x14ac:dyDescent="0.3">
      <c r="K282" s="1">
        <f>Table1181920231030313233[[#This Row],[النولون]]+Table1181920231030313233[[#This Row],[الايصالات]]+Table1181920231030313233[[#This Row],[قيمة مضافة]]</f>
        <v>0</v>
      </c>
      <c r="M282" s="1">
        <f>M281+Table1181920231030313233[[#This Row],[اجمالي الفاتوره]]-Table1181920231030313233[[#This Row],[الدفعات]]</f>
        <v>330996.88000000012</v>
      </c>
    </row>
    <row r="283" spans="11:13" ht="26.25" customHeight="1" x14ac:dyDescent="0.3">
      <c r="K283" s="1">
        <f>Table1181920231030313233[[#This Row],[النولون]]+Table1181920231030313233[[#This Row],[الايصالات]]+Table1181920231030313233[[#This Row],[قيمة مضافة]]</f>
        <v>0</v>
      </c>
      <c r="M283" s="1">
        <f>M282+Table1181920231030313233[[#This Row],[اجمالي الفاتوره]]-Table1181920231030313233[[#This Row],[الدفعات]]</f>
        <v>330996.88000000012</v>
      </c>
    </row>
    <row r="284" spans="11:13" ht="26.25" customHeight="1" x14ac:dyDescent="0.3">
      <c r="K284" s="1">
        <f>Table1181920231030313233[[#This Row],[النولون]]+Table1181920231030313233[[#This Row],[الايصالات]]+Table1181920231030313233[[#This Row],[قيمة مضافة]]</f>
        <v>0</v>
      </c>
      <c r="M284" s="1">
        <f>M283+Table1181920231030313233[[#This Row],[اجمالي الفاتوره]]-Table1181920231030313233[[#This Row],[الدفعات]]</f>
        <v>330996.88000000012</v>
      </c>
    </row>
    <row r="285" spans="11:13" ht="26.25" customHeight="1" x14ac:dyDescent="0.3">
      <c r="K285" s="1">
        <f>Table1181920231030313233[[#This Row],[النولون]]+Table1181920231030313233[[#This Row],[الايصالات]]+Table1181920231030313233[[#This Row],[قيمة مضافة]]</f>
        <v>0</v>
      </c>
      <c r="M285" s="1">
        <f>M284+Table1181920231030313233[[#This Row],[اجمالي الفاتوره]]-Table1181920231030313233[[#This Row],[الدفعات]]</f>
        <v>330996.88000000012</v>
      </c>
    </row>
    <row r="286" spans="11:13" ht="26.25" customHeight="1" x14ac:dyDescent="0.3">
      <c r="K286" s="1">
        <f>Table1181920231030313233[[#This Row],[النولون]]+Table1181920231030313233[[#This Row],[الايصالات]]+Table1181920231030313233[[#This Row],[قيمة مضافة]]</f>
        <v>0</v>
      </c>
      <c r="M286" s="1">
        <f>M285+Table1181920231030313233[[#This Row],[اجمالي الفاتوره]]-Table1181920231030313233[[#This Row],[الدفعات]]</f>
        <v>330996.88000000012</v>
      </c>
    </row>
    <row r="287" spans="11:13" ht="26.25" customHeight="1" x14ac:dyDescent="0.3">
      <c r="K287" s="1">
        <f>Table1181920231030313233[[#This Row],[النولون]]+Table1181920231030313233[[#This Row],[الايصالات]]+Table1181920231030313233[[#This Row],[قيمة مضافة]]</f>
        <v>0</v>
      </c>
      <c r="M287" s="1">
        <f>M286+Table1181920231030313233[[#This Row],[اجمالي الفاتوره]]-Table1181920231030313233[[#This Row],[الدفعات]]</f>
        <v>330996.88000000012</v>
      </c>
    </row>
    <row r="288" spans="11:13" ht="26.25" customHeight="1" x14ac:dyDescent="0.3">
      <c r="K288" s="1">
        <f>Table1181920231030313233[[#This Row],[النولون]]+Table1181920231030313233[[#This Row],[الايصالات]]+Table1181920231030313233[[#This Row],[قيمة مضافة]]</f>
        <v>0</v>
      </c>
      <c r="M288" s="1">
        <f>M287+Table1181920231030313233[[#This Row],[اجمالي الفاتوره]]-Table1181920231030313233[[#This Row],[الدفعات]]</f>
        <v>330996.88000000012</v>
      </c>
    </row>
    <row r="289" spans="11:13" ht="26.25" customHeight="1" x14ac:dyDescent="0.3">
      <c r="K289" s="1">
        <f>Table1181920231030313233[[#This Row],[النولون]]+Table1181920231030313233[[#This Row],[الايصالات]]+Table1181920231030313233[[#This Row],[قيمة مضافة]]</f>
        <v>0</v>
      </c>
      <c r="M289" s="1">
        <f>M288+Table1181920231030313233[[#This Row],[اجمالي الفاتوره]]-Table1181920231030313233[[#This Row],[الدفعات]]</f>
        <v>330996.88000000012</v>
      </c>
    </row>
    <row r="290" spans="11:13" ht="26.25" customHeight="1" x14ac:dyDescent="0.3">
      <c r="K290" s="1">
        <f>Table1181920231030313233[[#This Row],[النولون]]+Table1181920231030313233[[#This Row],[الايصالات]]+Table1181920231030313233[[#This Row],[قيمة مضافة]]</f>
        <v>0</v>
      </c>
      <c r="M290" s="1">
        <f>M289+Table1181920231030313233[[#This Row],[اجمالي الفاتوره]]-Table1181920231030313233[[#This Row],[الدفعات]]</f>
        <v>330996.88000000012</v>
      </c>
    </row>
    <row r="291" spans="11:13" ht="26.25" customHeight="1" x14ac:dyDescent="0.3">
      <c r="K291" s="1">
        <f>Table1181920231030313233[[#This Row],[النولون]]+Table1181920231030313233[[#This Row],[الايصالات]]+Table1181920231030313233[[#This Row],[قيمة مضافة]]</f>
        <v>0</v>
      </c>
      <c r="M291" s="1">
        <f>M290+Table1181920231030313233[[#This Row],[اجمالي الفاتوره]]-Table1181920231030313233[[#This Row],[الدفعات]]</f>
        <v>330996.88000000012</v>
      </c>
    </row>
    <row r="292" spans="11:13" ht="26.25" customHeight="1" x14ac:dyDescent="0.3">
      <c r="K292" s="1">
        <f>Table1181920231030313233[[#This Row],[النولون]]+Table1181920231030313233[[#This Row],[الايصالات]]+Table1181920231030313233[[#This Row],[قيمة مضافة]]</f>
        <v>0</v>
      </c>
      <c r="M292" s="1">
        <f>M291+Table1181920231030313233[[#This Row],[اجمالي الفاتوره]]-Table1181920231030313233[[#This Row],[الدفعات]]</f>
        <v>330996.88000000012</v>
      </c>
    </row>
    <row r="293" spans="11:13" ht="26.25" customHeight="1" x14ac:dyDescent="0.3">
      <c r="K293" s="1">
        <f>Table1181920231030313233[[#This Row],[النولون]]+Table1181920231030313233[[#This Row],[الايصالات]]+Table1181920231030313233[[#This Row],[قيمة مضافة]]</f>
        <v>0</v>
      </c>
      <c r="M293" s="1">
        <f>M292+Table1181920231030313233[[#This Row],[اجمالي الفاتوره]]-Table1181920231030313233[[#This Row],[الدفعات]]</f>
        <v>330996.88000000012</v>
      </c>
    </row>
    <row r="294" spans="11:13" ht="26.25" customHeight="1" x14ac:dyDescent="0.3">
      <c r="K294" s="1">
        <f>Table1181920231030313233[[#This Row],[النولون]]+Table1181920231030313233[[#This Row],[الايصالات]]+Table1181920231030313233[[#This Row],[قيمة مضافة]]</f>
        <v>0</v>
      </c>
      <c r="M294" s="1">
        <f>M293+Table1181920231030313233[[#This Row],[اجمالي الفاتوره]]-Table1181920231030313233[[#This Row],[الدفعات]]</f>
        <v>330996.88000000012</v>
      </c>
    </row>
    <row r="295" spans="11:13" ht="26.25" customHeight="1" x14ac:dyDescent="0.3">
      <c r="K295" s="1">
        <f>Table1181920231030313233[[#This Row],[النولون]]+Table1181920231030313233[[#This Row],[الايصالات]]+Table1181920231030313233[[#This Row],[قيمة مضافة]]</f>
        <v>0</v>
      </c>
      <c r="M295" s="1">
        <f>M294+Table1181920231030313233[[#This Row],[اجمالي الفاتوره]]-Table1181920231030313233[[#This Row],[الدفعات]]</f>
        <v>330996.88000000012</v>
      </c>
    </row>
    <row r="296" spans="11:13" ht="26.25" customHeight="1" x14ac:dyDescent="0.3">
      <c r="K296" s="1">
        <f>Table1181920231030313233[[#This Row],[النولون]]+Table1181920231030313233[[#This Row],[الايصالات]]+Table1181920231030313233[[#This Row],[قيمة مضافة]]</f>
        <v>0</v>
      </c>
      <c r="M296" s="1">
        <f>M295+Table1181920231030313233[[#This Row],[اجمالي الفاتوره]]-Table1181920231030313233[[#This Row],[الدفعات]]</f>
        <v>330996.88000000012</v>
      </c>
    </row>
    <row r="297" spans="11:13" ht="26.25" customHeight="1" x14ac:dyDescent="0.3">
      <c r="K297" s="1">
        <f>Table1181920231030313233[[#This Row],[النولون]]+Table1181920231030313233[[#This Row],[الايصالات]]+Table1181920231030313233[[#This Row],[قيمة مضافة]]</f>
        <v>0</v>
      </c>
      <c r="M297" s="1">
        <f>M296+Table1181920231030313233[[#This Row],[اجمالي الفاتوره]]-Table1181920231030313233[[#This Row],[الدفعات]]</f>
        <v>330996.88000000012</v>
      </c>
    </row>
    <row r="298" spans="11:13" ht="26.25" customHeight="1" x14ac:dyDescent="0.3">
      <c r="K298" s="1">
        <f>Table1181920231030313233[[#This Row],[النولون]]+Table1181920231030313233[[#This Row],[الايصالات]]+Table1181920231030313233[[#This Row],[قيمة مضافة]]</f>
        <v>0</v>
      </c>
      <c r="M298" s="1">
        <f>M297+Table1181920231030313233[[#This Row],[اجمالي الفاتوره]]-Table1181920231030313233[[#This Row],[الدفعات]]</f>
        <v>330996.88000000012</v>
      </c>
    </row>
    <row r="299" spans="11:13" ht="26.25" customHeight="1" x14ac:dyDescent="0.3">
      <c r="K299" s="1">
        <f>Table1181920231030313233[[#This Row],[النولون]]+Table1181920231030313233[[#This Row],[الايصالات]]+Table1181920231030313233[[#This Row],[قيمة مضافة]]</f>
        <v>0</v>
      </c>
      <c r="M299" s="1">
        <f>M298+Table1181920231030313233[[#This Row],[اجمالي الفاتوره]]-Table1181920231030313233[[#This Row],[الدفعات]]</f>
        <v>330996.88000000012</v>
      </c>
    </row>
    <row r="300" spans="11:13" ht="26.25" customHeight="1" x14ac:dyDescent="0.3">
      <c r="K300" s="1">
        <f>Table1181920231030313233[[#This Row],[النولون]]+Table1181920231030313233[[#This Row],[الايصالات]]+Table1181920231030313233[[#This Row],[قيمة مضافة]]</f>
        <v>0</v>
      </c>
      <c r="M300" s="1">
        <f>M299+Table1181920231030313233[[#This Row],[اجمالي الفاتوره]]-Table1181920231030313233[[#This Row],[الدفعات]]</f>
        <v>330996.88000000012</v>
      </c>
    </row>
    <row r="301" spans="11:13" ht="26.25" customHeight="1" x14ac:dyDescent="0.3">
      <c r="K301" s="1">
        <f>Table1181920231030313233[[#This Row],[النولون]]+Table1181920231030313233[[#This Row],[الايصالات]]+Table1181920231030313233[[#This Row],[قيمة مضافة]]</f>
        <v>0</v>
      </c>
      <c r="M301" s="1">
        <f>M300+Table1181920231030313233[[#This Row],[اجمالي الفاتوره]]-Table1181920231030313233[[#This Row],[الدفعات]]</f>
        <v>330996.88000000012</v>
      </c>
    </row>
    <row r="302" spans="11:13" ht="26.25" customHeight="1" x14ac:dyDescent="0.3">
      <c r="K302" s="1">
        <f>Table1181920231030313233[[#This Row],[النولون]]+Table1181920231030313233[[#This Row],[الايصالات]]+Table1181920231030313233[[#This Row],[قيمة مضافة]]</f>
        <v>0</v>
      </c>
      <c r="M302" s="1">
        <f>M301+Table1181920231030313233[[#This Row],[اجمالي الفاتوره]]-Table1181920231030313233[[#This Row],[الدفعات]]</f>
        <v>330996.88000000012</v>
      </c>
    </row>
    <row r="303" spans="11:13" ht="26.25" customHeight="1" x14ac:dyDescent="0.3">
      <c r="K303" s="1">
        <f>Table1181920231030313233[[#This Row],[النولون]]+Table1181920231030313233[[#This Row],[الايصالات]]+Table1181920231030313233[[#This Row],[قيمة مضافة]]</f>
        <v>0</v>
      </c>
      <c r="M303" s="1">
        <f>M302+Table1181920231030313233[[#This Row],[اجمالي الفاتوره]]-Table1181920231030313233[[#This Row],[الدفعات]]</f>
        <v>330996.88000000012</v>
      </c>
    </row>
    <row r="304" spans="11:13" ht="26.25" customHeight="1" x14ac:dyDescent="0.3">
      <c r="K304" s="1">
        <f>Table1181920231030313233[[#This Row],[النولون]]+Table1181920231030313233[[#This Row],[الايصالات]]+Table1181920231030313233[[#This Row],[قيمة مضافة]]</f>
        <v>0</v>
      </c>
      <c r="M304" s="1">
        <f>M303+Table1181920231030313233[[#This Row],[اجمالي الفاتوره]]-Table1181920231030313233[[#This Row],[الدفعات]]</f>
        <v>330996.88000000012</v>
      </c>
    </row>
    <row r="305" spans="11:13" ht="26.25" customHeight="1" x14ac:dyDescent="0.3">
      <c r="K305" s="1">
        <f>Table1181920231030313233[[#This Row],[النولون]]+Table1181920231030313233[[#This Row],[الايصالات]]+Table1181920231030313233[[#This Row],[قيمة مضافة]]</f>
        <v>0</v>
      </c>
      <c r="M305" s="1">
        <f>M304+Table1181920231030313233[[#This Row],[اجمالي الفاتوره]]-Table1181920231030313233[[#This Row],[الدفعات]]</f>
        <v>330996.88000000012</v>
      </c>
    </row>
    <row r="306" spans="11:13" ht="26.25" customHeight="1" x14ac:dyDescent="0.3">
      <c r="K306" s="1">
        <f>Table1181920231030313233[[#This Row],[النولون]]+Table1181920231030313233[[#This Row],[الايصالات]]+Table1181920231030313233[[#This Row],[قيمة مضافة]]</f>
        <v>0</v>
      </c>
      <c r="M306" s="1">
        <f>M305+Table1181920231030313233[[#This Row],[اجمالي الفاتوره]]-Table1181920231030313233[[#This Row],[الدفعات]]</f>
        <v>330996.88000000012</v>
      </c>
    </row>
    <row r="307" spans="11:13" ht="26.25" customHeight="1" x14ac:dyDescent="0.3">
      <c r="K307" s="1">
        <f>Table1181920231030313233[[#This Row],[النولون]]+Table1181920231030313233[[#This Row],[الايصالات]]+Table1181920231030313233[[#This Row],[قيمة مضافة]]</f>
        <v>0</v>
      </c>
      <c r="M307" s="1">
        <f>M306+Table1181920231030313233[[#This Row],[اجمالي الفاتوره]]-Table1181920231030313233[[#This Row],[الدفعات]]</f>
        <v>330996.88000000012</v>
      </c>
    </row>
    <row r="308" spans="11:13" ht="26.25" customHeight="1" x14ac:dyDescent="0.3">
      <c r="K308" s="1">
        <f>Table1181920231030313233[[#This Row],[النولون]]+Table1181920231030313233[[#This Row],[الايصالات]]+Table1181920231030313233[[#This Row],[قيمة مضافة]]</f>
        <v>0</v>
      </c>
      <c r="M308" s="1">
        <f>M307+Table1181920231030313233[[#This Row],[اجمالي الفاتوره]]-Table1181920231030313233[[#This Row],[الدفعات]]</f>
        <v>330996.88000000012</v>
      </c>
    </row>
    <row r="309" spans="11:13" ht="26.25" customHeight="1" x14ac:dyDescent="0.3">
      <c r="K309" s="1">
        <f>Table1181920231030313233[[#This Row],[النولون]]+Table1181920231030313233[[#This Row],[الايصالات]]+Table1181920231030313233[[#This Row],[قيمة مضافة]]</f>
        <v>0</v>
      </c>
      <c r="M309" s="1">
        <f>M308+Table1181920231030313233[[#This Row],[اجمالي الفاتوره]]-Table1181920231030313233[[#This Row],[الدفعات]]</f>
        <v>330996.88000000012</v>
      </c>
    </row>
    <row r="310" spans="11:13" ht="26.25" customHeight="1" x14ac:dyDescent="0.3">
      <c r="K310" s="1">
        <f>Table1181920231030313233[[#This Row],[النولون]]+Table1181920231030313233[[#This Row],[الايصالات]]+Table1181920231030313233[[#This Row],[قيمة مضافة]]</f>
        <v>0</v>
      </c>
      <c r="M310" s="1">
        <f>M309+Table1181920231030313233[[#This Row],[اجمالي الفاتوره]]-Table1181920231030313233[[#This Row],[الدفعات]]</f>
        <v>330996.88000000012</v>
      </c>
    </row>
    <row r="311" spans="11:13" ht="26.25" customHeight="1" x14ac:dyDescent="0.3">
      <c r="K311" s="1">
        <f>Table1181920231030313233[[#This Row],[النولون]]+Table1181920231030313233[[#This Row],[الايصالات]]+Table1181920231030313233[[#This Row],[قيمة مضافة]]</f>
        <v>0</v>
      </c>
      <c r="M311" s="1">
        <f>M310+Table1181920231030313233[[#This Row],[اجمالي الفاتوره]]-Table1181920231030313233[[#This Row],[الدفعات]]</f>
        <v>330996.88000000012</v>
      </c>
    </row>
    <row r="312" spans="11:13" ht="26.25" customHeight="1" x14ac:dyDescent="0.3">
      <c r="K312" s="1">
        <f>Table1181920231030313233[[#This Row],[النولون]]+Table1181920231030313233[[#This Row],[الايصالات]]+Table1181920231030313233[[#This Row],[قيمة مضافة]]</f>
        <v>0</v>
      </c>
      <c r="M312" s="1">
        <f>M311+Table1181920231030313233[[#This Row],[اجمالي الفاتوره]]-Table1181920231030313233[[#This Row],[الدفعات]]</f>
        <v>330996.88000000012</v>
      </c>
    </row>
    <row r="313" spans="11:13" ht="26.25" customHeight="1" x14ac:dyDescent="0.3">
      <c r="K313" s="1">
        <f>Table1181920231030313233[[#This Row],[النولون]]+Table1181920231030313233[[#This Row],[الايصالات]]+Table1181920231030313233[[#This Row],[قيمة مضافة]]</f>
        <v>0</v>
      </c>
      <c r="M313" s="1">
        <f>M312+Table1181920231030313233[[#This Row],[اجمالي الفاتوره]]-Table1181920231030313233[[#This Row],[الدفعات]]</f>
        <v>330996.88000000012</v>
      </c>
    </row>
    <row r="314" spans="11:13" ht="26.25" customHeight="1" x14ac:dyDescent="0.3">
      <c r="K314" s="1">
        <f>Table1181920231030313233[[#This Row],[النولون]]+Table1181920231030313233[[#This Row],[الايصالات]]+Table1181920231030313233[[#This Row],[قيمة مضافة]]</f>
        <v>0</v>
      </c>
      <c r="M314" s="1">
        <f>M313+Table1181920231030313233[[#This Row],[اجمالي الفاتوره]]-Table1181920231030313233[[#This Row],[الدفعات]]</f>
        <v>330996.88000000012</v>
      </c>
    </row>
    <row r="315" spans="11:13" ht="26.25" customHeight="1" x14ac:dyDescent="0.3">
      <c r="K315" s="1">
        <f>Table1181920231030313233[[#This Row],[النولون]]+Table1181920231030313233[[#This Row],[الايصالات]]+Table1181920231030313233[[#This Row],[قيمة مضافة]]</f>
        <v>0</v>
      </c>
      <c r="M315" s="1">
        <f>M314+Table1181920231030313233[[#This Row],[اجمالي الفاتوره]]-Table1181920231030313233[[#This Row],[الدفعات]]</f>
        <v>330996.88000000012</v>
      </c>
    </row>
    <row r="316" spans="11:13" ht="26.25" customHeight="1" x14ac:dyDescent="0.3">
      <c r="K316" s="1">
        <f>Table1181920231030313233[[#This Row],[النولون]]+Table1181920231030313233[[#This Row],[الايصالات]]+Table1181920231030313233[[#This Row],[قيمة مضافة]]</f>
        <v>0</v>
      </c>
      <c r="M316" s="1">
        <f>M315+Table1181920231030313233[[#This Row],[اجمالي الفاتوره]]-Table1181920231030313233[[#This Row],[الدفعات]]</f>
        <v>330996.88000000012</v>
      </c>
    </row>
    <row r="317" spans="11:13" ht="26.25" customHeight="1" x14ac:dyDescent="0.3">
      <c r="K317" s="1">
        <f>Table1181920231030313233[[#This Row],[النولون]]+Table1181920231030313233[[#This Row],[الايصالات]]+Table1181920231030313233[[#This Row],[قيمة مضافة]]</f>
        <v>0</v>
      </c>
      <c r="M317" s="1">
        <f>M316+Table1181920231030313233[[#This Row],[اجمالي الفاتوره]]-Table1181920231030313233[[#This Row],[الدفعات]]</f>
        <v>330996.88000000012</v>
      </c>
    </row>
    <row r="318" spans="11:13" ht="26.25" customHeight="1" x14ac:dyDescent="0.3">
      <c r="K318" s="1">
        <f>Table1181920231030313233[[#This Row],[النولون]]+Table1181920231030313233[[#This Row],[الايصالات]]+Table1181920231030313233[[#This Row],[قيمة مضافة]]</f>
        <v>0</v>
      </c>
      <c r="M318" s="1">
        <f>M317+Table1181920231030313233[[#This Row],[اجمالي الفاتوره]]-Table1181920231030313233[[#This Row],[الدفعات]]</f>
        <v>330996.88000000012</v>
      </c>
    </row>
    <row r="319" spans="11:13" ht="26.25" customHeight="1" x14ac:dyDescent="0.3">
      <c r="K319" s="1">
        <f>Table1181920231030313233[[#This Row],[النولون]]+Table1181920231030313233[[#This Row],[الايصالات]]+Table1181920231030313233[[#This Row],[قيمة مضافة]]</f>
        <v>0</v>
      </c>
      <c r="M319" s="1">
        <f>M318+Table1181920231030313233[[#This Row],[اجمالي الفاتوره]]-Table1181920231030313233[[#This Row],[الدفعات]]</f>
        <v>330996.88000000012</v>
      </c>
    </row>
    <row r="320" spans="11:13" ht="26.25" customHeight="1" x14ac:dyDescent="0.3">
      <c r="K320" s="1">
        <f>Table1181920231030313233[[#This Row],[النولون]]+Table1181920231030313233[[#This Row],[الايصالات]]+Table1181920231030313233[[#This Row],[قيمة مضافة]]</f>
        <v>0</v>
      </c>
      <c r="M320" s="1">
        <f>M319+Table1181920231030313233[[#This Row],[اجمالي الفاتوره]]-Table1181920231030313233[[#This Row],[الدفعات]]</f>
        <v>330996.88000000012</v>
      </c>
    </row>
    <row r="321" spans="11:13" ht="26.25" customHeight="1" x14ac:dyDescent="0.3">
      <c r="K321" s="1">
        <f>Table1181920231030313233[[#This Row],[النولون]]+Table1181920231030313233[[#This Row],[الايصالات]]+Table1181920231030313233[[#This Row],[قيمة مضافة]]</f>
        <v>0</v>
      </c>
      <c r="M321" s="1">
        <f>M320+Table1181920231030313233[[#This Row],[اجمالي الفاتوره]]-Table1181920231030313233[[#This Row],[الدفعات]]</f>
        <v>330996.88000000012</v>
      </c>
    </row>
    <row r="322" spans="11:13" ht="26.25" customHeight="1" x14ac:dyDescent="0.3">
      <c r="K322" s="1">
        <f>Table1181920231030313233[[#This Row],[النولون]]+Table1181920231030313233[[#This Row],[الايصالات]]+Table1181920231030313233[[#This Row],[قيمة مضافة]]</f>
        <v>0</v>
      </c>
      <c r="M322" s="1">
        <f>M321+Table1181920231030313233[[#This Row],[اجمالي الفاتوره]]-Table1181920231030313233[[#This Row],[الدفعات]]</f>
        <v>330996.88000000012</v>
      </c>
    </row>
    <row r="323" spans="11:13" ht="26.25" customHeight="1" x14ac:dyDescent="0.3">
      <c r="K323" s="1">
        <f>Table1181920231030313233[[#This Row],[النولون]]+Table1181920231030313233[[#This Row],[الايصالات]]+Table1181920231030313233[[#This Row],[قيمة مضافة]]</f>
        <v>0</v>
      </c>
      <c r="M323" s="1">
        <f>M322+Table1181920231030313233[[#This Row],[اجمالي الفاتوره]]-Table1181920231030313233[[#This Row],[الدفعات]]</f>
        <v>330996.88000000012</v>
      </c>
    </row>
    <row r="324" spans="11:13" ht="26.25" customHeight="1" x14ac:dyDescent="0.3">
      <c r="K324" s="1">
        <f>Table1181920231030313233[[#This Row],[النولون]]+Table1181920231030313233[[#This Row],[الايصالات]]+Table1181920231030313233[[#This Row],[قيمة مضافة]]</f>
        <v>0</v>
      </c>
      <c r="M324" s="1">
        <f>M323+Table1181920231030313233[[#This Row],[اجمالي الفاتوره]]-Table1181920231030313233[[#This Row],[الدفعات]]</f>
        <v>330996.88000000012</v>
      </c>
    </row>
    <row r="325" spans="11:13" ht="26.25" customHeight="1" x14ac:dyDescent="0.3">
      <c r="K325" s="1">
        <f>Table1181920231030313233[[#This Row],[النولون]]+Table1181920231030313233[[#This Row],[الايصالات]]+Table1181920231030313233[[#This Row],[قيمة مضافة]]</f>
        <v>0</v>
      </c>
      <c r="M325" s="1">
        <f>M324+Table1181920231030313233[[#This Row],[اجمالي الفاتوره]]-Table1181920231030313233[[#This Row],[الدفعات]]</f>
        <v>330996.88000000012</v>
      </c>
    </row>
    <row r="326" spans="11:13" ht="26.25" customHeight="1" x14ac:dyDescent="0.3">
      <c r="K326" s="1">
        <f>Table1181920231030313233[[#This Row],[النولون]]+Table1181920231030313233[[#This Row],[الايصالات]]+Table1181920231030313233[[#This Row],[قيمة مضافة]]</f>
        <v>0</v>
      </c>
      <c r="M326" s="1">
        <f>M325+Table1181920231030313233[[#This Row],[اجمالي الفاتوره]]-Table1181920231030313233[[#This Row],[الدفعات]]</f>
        <v>330996.88000000012</v>
      </c>
    </row>
    <row r="327" spans="11:13" ht="26.25" customHeight="1" x14ac:dyDescent="0.3">
      <c r="K327" s="1">
        <f>Table1181920231030313233[[#This Row],[النولون]]+Table1181920231030313233[[#This Row],[الايصالات]]+Table1181920231030313233[[#This Row],[قيمة مضافة]]</f>
        <v>0</v>
      </c>
      <c r="M327" s="1">
        <f>M326+Table1181920231030313233[[#This Row],[اجمالي الفاتوره]]-Table1181920231030313233[[#This Row],[الدفعات]]</f>
        <v>330996.88000000012</v>
      </c>
    </row>
    <row r="328" spans="11:13" ht="26.25" customHeight="1" x14ac:dyDescent="0.3">
      <c r="K328" s="1">
        <f>Table1181920231030313233[[#This Row],[النولون]]+Table1181920231030313233[[#This Row],[الايصالات]]+Table1181920231030313233[[#This Row],[قيمة مضافة]]</f>
        <v>0</v>
      </c>
      <c r="M328" s="1">
        <f>M327+Table1181920231030313233[[#This Row],[اجمالي الفاتوره]]-Table1181920231030313233[[#This Row],[الدفعات]]</f>
        <v>330996.88000000012</v>
      </c>
    </row>
    <row r="329" spans="11:13" ht="26.25" customHeight="1" x14ac:dyDescent="0.3">
      <c r="K329" s="1">
        <f>Table1181920231030313233[[#This Row],[النولون]]+Table1181920231030313233[[#This Row],[الايصالات]]+Table1181920231030313233[[#This Row],[قيمة مضافة]]</f>
        <v>0</v>
      </c>
      <c r="M329" s="1">
        <f>M328+Table1181920231030313233[[#This Row],[اجمالي الفاتوره]]-Table1181920231030313233[[#This Row],[الدفعات]]</f>
        <v>330996.88000000012</v>
      </c>
    </row>
    <row r="330" spans="11:13" ht="26.25" customHeight="1" x14ac:dyDescent="0.3">
      <c r="K330" s="1">
        <f>Table1181920231030313233[[#This Row],[النولون]]+Table1181920231030313233[[#This Row],[الايصالات]]+Table1181920231030313233[[#This Row],[قيمة مضافة]]</f>
        <v>0</v>
      </c>
      <c r="M330" s="1">
        <f>M329+Table1181920231030313233[[#This Row],[اجمالي الفاتوره]]-Table1181920231030313233[[#This Row],[الدفعات]]</f>
        <v>330996.88000000012</v>
      </c>
    </row>
    <row r="331" spans="11:13" ht="26.25" customHeight="1" x14ac:dyDescent="0.3">
      <c r="K331" s="1">
        <f>Table1181920231030313233[[#This Row],[النولون]]+Table1181920231030313233[[#This Row],[الايصالات]]+Table1181920231030313233[[#This Row],[قيمة مضافة]]</f>
        <v>0</v>
      </c>
      <c r="M331" s="1">
        <f>M330+Table1181920231030313233[[#This Row],[اجمالي الفاتوره]]-Table1181920231030313233[[#This Row],[الدفعات]]</f>
        <v>330996.88000000012</v>
      </c>
    </row>
    <row r="332" spans="11:13" ht="26.25" customHeight="1" x14ac:dyDescent="0.3">
      <c r="K332" s="1">
        <f>Table1181920231030313233[[#This Row],[النولون]]+Table1181920231030313233[[#This Row],[الايصالات]]+Table1181920231030313233[[#This Row],[قيمة مضافة]]</f>
        <v>0</v>
      </c>
      <c r="M332" s="1">
        <f>M331+Table1181920231030313233[[#This Row],[اجمالي الفاتوره]]-Table1181920231030313233[[#This Row],[الدفعات]]</f>
        <v>330996.88000000012</v>
      </c>
    </row>
    <row r="333" spans="11:13" ht="26.25" customHeight="1" x14ac:dyDescent="0.3">
      <c r="K333" s="1">
        <f>Table1181920231030313233[[#This Row],[النولون]]+Table1181920231030313233[[#This Row],[الايصالات]]+Table1181920231030313233[[#This Row],[قيمة مضافة]]</f>
        <v>0</v>
      </c>
      <c r="M333" s="1">
        <f>M332+Table1181920231030313233[[#This Row],[اجمالي الفاتوره]]-Table1181920231030313233[[#This Row],[الدفعات]]</f>
        <v>330996.88000000012</v>
      </c>
    </row>
    <row r="334" spans="11:13" ht="26.25" customHeight="1" x14ac:dyDescent="0.3">
      <c r="K334" s="1">
        <f>Table1181920231030313233[[#This Row],[النولون]]+Table1181920231030313233[[#This Row],[الايصالات]]+Table1181920231030313233[[#This Row],[قيمة مضافة]]</f>
        <v>0</v>
      </c>
      <c r="M334" s="1">
        <f>M333+Table1181920231030313233[[#This Row],[اجمالي الفاتوره]]-Table1181920231030313233[[#This Row],[الدفعات]]</f>
        <v>330996.88000000012</v>
      </c>
    </row>
    <row r="335" spans="11:13" ht="26.25" customHeight="1" x14ac:dyDescent="0.3">
      <c r="K335" s="1">
        <f>Table1181920231030313233[[#This Row],[النولون]]+Table1181920231030313233[[#This Row],[الايصالات]]+Table1181920231030313233[[#This Row],[قيمة مضافة]]</f>
        <v>0</v>
      </c>
      <c r="M335" s="1">
        <f>M334+Table1181920231030313233[[#This Row],[اجمالي الفاتوره]]-Table1181920231030313233[[#This Row],[الدفعات]]</f>
        <v>330996.88000000012</v>
      </c>
    </row>
    <row r="336" spans="11:13" ht="26.25" customHeight="1" x14ac:dyDescent="0.3">
      <c r="K336" s="1">
        <f>Table1181920231030313233[[#This Row],[النولون]]+Table1181920231030313233[[#This Row],[الايصالات]]+Table1181920231030313233[[#This Row],[قيمة مضافة]]</f>
        <v>0</v>
      </c>
      <c r="M336" s="1">
        <f>M335+Table1181920231030313233[[#This Row],[اجمالي الفاتوره]]-Table1181920231030313233[[#This Row],[الدفعات]]</f>
        <v>330996.88000000012</v>
      </c>
    </row>
    <row r="337" spans="11:13" ht="26.25" customHeight="1" x14ac:dyDescent="0.3">
      <c r="K337" s="1">
        <f>Table1181920231030313233[[#This Row],[النولون]]+Table1181920231030313233[[#This Row],[الايصالات]]+Table1181920231030313233[[#This Row],[قيمة مضافة]]</f>
        <v>0</v>
      </c>
      <c r="M337" s="1">
        <f>M336+Table1181920231030313233[[#This Row],[اجمالي الفاتوره]]-Table1181920231030313233[[#This Row],[الدفعات]]</f>
        <v>330996.88000000012</v>
      </c>
    </row>
    <row r="338" spans="11:13" ht="26.25" customHeight="1" x14ac:dyDescent="0.3">
      <c r="K338" s="1">
        <f>Table1181920231030313233[[#This Row],[النولون]]+Table1181920231030313233[[#This Row],[الايصالات]]+Table1181920231030313233[[#This Row],[قيمة مضافة]]</f>
        <v>0</v>
      </c>
      <c r="M338" s="1">
        <f>M337+Table1181920231030313233[[#This Row],[اجمالي الفاتوره]]-Table1181920231030313233[[#This Row],[الدفعات]]</f>
        <v>330996.88000000012</v>
      </c>
    </row>
    <row r="339" spans="11:13" ht="26.25" customHeight="1" x14ac:dyDescent="0.3">
      <c r="K339" s="1">
        <f>Table1181920231030313233[[#This Row],[النولون]]+Table1181920231030313233[[#This Row],[الايصالات]]+Table1181920231030313233[[#This Row],[قيمة مضافة]]</f>
        <v>0</v>
      </c>
      <c r="M339" s="1">
        <f>M338+Table1181920231030313233[[#This Row],[اجمالي الفاتوره]]-Table1181920231030313233[[#This Row],[الدفعات]]</f>
        <v>330996.88000000012</v>
      </c>
    </row>
    <row r="340" spans="11:13" ht="26.25" customHeight="1" x14ac:dyDescent="0.3">
      <c r="K340" s="1">
        <f>Table1181920231030313233[[#This Row],[النولون]]+Table1181920231030313233[[#This Row],[الايصالات]]+Table1181920231030313233[[#This Row],[قيمة مضافة]]</f>
        <v>0</v>
      </c>
      <c r="M340" s="1">
        <f>M339+Table1181920231030313233[[#This Row],[اجمالي الفاتوره]]-Table1181920231030313233[[#This Row],[الدفعات]]</f>
        <v>330996.88000000012</v>
      </c>
    </row>
    <row r="341" spans="11:13" ht="26.25" customHeight="1" x14ac:dyDescent="0.3">
      <c r="K341" s="1">
        <f>Table1181920231030313233[[#This Row],[النولون]]+Table1181920231030313233[[#This Row],[الايصالات]]+Table1181920231030313233[[#This Row],[قيمة مضافة]]</f>
        <v>0</v>
      </c>
      <c r="M341" s="1">
        <f>M340+Table1181920231030313233[[#This Row],[اجمالي الفاتوره]]-Table1181920231030313233[[#This Row],[الدفعات]]</f>
        <v>330996.88000000012</v>
      </c>
    </row>
    <row r="342" spans="11:13" ht="26.25" customHeight="1" x14ac:dyDescent="0.3">
      <c r="K342" s="1">
        <f>Table1181920231030313233[[#This Row],[النولون]]+Table1181920231030313233[[#This Row],[الايصالات]]+Table1181920231030313233[[#This Row],[قيمة مضافة]]</f>
        <v>0</v>
      </c>
      <c r="M342" s="1">
        <f>M341+Table1181920231030313233[[#This Row],[اجمالي الفاتوره]]-Table1181920231030313233[[#This Row],[الدفعات]]</f>
        <v>330996.88000000012</v>
      </c>
    </row>
    <row r="343" spans="11:13" ht="26.25" customHeight="1" x14ac:dyDescent="0.3">
      <c r="K343" s="1">
        <f>Table1181920231030313233[[#This Row],[النولون]]+Table1181920231030313233[[#This Row],[الايصالات]]+Table1181920231030313233[[#This Row],[قيمة مضافة]]</f>
        <v>0</v>
      </c>
      <c r="M343" s="1">
        <f>M342+Table1181920231030313233[[#This Row],[اجمالي الفاتوره]]-Table1181920231030313233[[#This Row],[الدفعات]]</f>
        <v>330996.88000000012</v>
      </c>
    </row>
    <row r="344" spans="11:13" ht="26.25" customHeight="1" x14ac:dyDescent="0.3">
      <c r="K344" s="1">
        <f>Table1181920231030313233[[#This Row],[النولون]]+Table1181920231030313233[[#This Row],[الايصالات]]+Table1181920231030313233[[#This Row],[قيمة مضافة]]</f>
        <v>0</v>
      </c>
      <c r="M344" s="1">
        <f>M343+Table1181920231030313233[[#This Row],[اجمالي الفاتوره]]-Table1181920231030313233[[#This Row],[الدفعات]]</f>
        <v>330996.88000000012</v>
      </c>
    </row>
    <row r="345" spans="11:13" ht="26.25" customHeight="1" x14ac:dyDescent="0.3">
      <c r="K345" s="1">
        <f>Table1181920231030313233[[#This Row],[النولون]]+Table1181920231030313233[[#This Row],[الايصالات]]+Table1181920231030313233[[#This Row],[قيمة مضافة]]</f>
        <v>0</v>
      </c>
      <c r="M345" s="1">
        <f>M344+Table1181920231030313233[[#This Row],[اجمالي الفاتوره]]-Table1181920231030313233[[#This Row],[الدفعات]]</f>
        <v>330996.88000000012</v>
      </c>
    </row>
    <row r="346" spans="11:13" ht="26.25" customHeight="1" x14ac:dyDescent="0.3">
      <c r="K346" s="1">
        <f>Table1181920231030313233[[#This Row],[النولون]]+Table1181920231030313233[[#This Row],[الايصالات]]+Table1181920231030313233[[#This Row],[قيمة مضافة]]</f>
        <v>0</v>
      </c>
      <c r="M346" s="1">
        <f>M345+Table1181920231030313233[[#This Row],[اجمالي الفاتوره]]-Table1181920231030313233[[#This Row],[الدفعات]]</f>
        <v>330996.88000000012</v>
      </c>
    </row>
    <row r="347" spans="11:13" ht="26.25" customHeight="1" x14ac:dyDescent="0.3">
      <c r="K347" s="1">
        <f>Table1181920231030313233[[#This Row],[النولون]]+Table1181920231030313233[[#This Row],[الايصالات]]+Table1181920231030313233[[#This Row],[قيمة مضافة]]</f>
        <v>0</v>
      </c>
      <c r="M347" s="1">
        <f>M346+Table1181920231030313233[[#This Row],[اجمالي الفاتوره]]-Table1181920231030313233[[#This Row],[الدفعات]]</f>
        <v>330996.88000000012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341"/>
  <sheetViews>
    <sheetView rightToLeft="1" topLeftCell="A7" workbookViewId="0">
      <selection activeCell="B14" sqref="B14"/>
    </sheetView>
  </sheetViews>
  <sheetFormatPr defaultColWidth="9.109375" defaultRowHeight="15.6" x14ac:dyDescent="0.3"/>
  <cols>
    <col min="1" max="1" width="5.44140625" style="1" customWidth="1"/>
    <col min="2" max="2" width="11" style="1" customWidth="1"/>
    <col min="3" max="3" width="15.109375" style="1" customWidth="1"/>
    <col min="4" max="4" width="11.21875" style="1" customWidth="1"/>
    <col min="5" max="5" width="13.33203125" style="1" customWidth="1"/>
    <col min="6" max="6" width="13" style="1" customWidth="1"/>
    <col min="7" max="7" width="11.6640625" style="1" customWidth="1"/>
    <col min="8" max="8" width="8.88671875" style="1" customWidth="1"/>
    <col min="9" max="9" width="11.21875" style="1" customWidth="1"/>
    <col min="10" max="10" width="10.77734375" style="1" customWidth="1"/>
    <col min="11" max="11" width="12" style="1" customWidth="1"/>
    <col min="12" max="12" width="13.6640625" style="1" customWidth="1"/>
    <col min="13" max="13" width="13.21875" style="1" customWidth="1"/>
    <col min="14" max="16384" width="9.109375" style="1"/>
  </cols>
  <sheetData>
    <row r="1" spans="1:14" ht="26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6.25" customHeight="1" x14ac:dyDescent="0.3">
      <c r="A2" s="1">
        <v>1</v>
      </c>
      <c r="B2" s="2" t="s">
        <v>275</v>
      </c>
      <c r="C2" s="1" t="s">
        <v>280</v>
      </c>
      <c r="D2" s="1" t="s">
        <v>281</v>
      </c>
      <c r="E2" s="1">
        <v>50668</v>
      </c>
      <c r="F2" s="1" t="s">
        <v>121</v>
      </c>
      <c r="G2" s="1">
        <v>15600</v>
      </c>
      <c r="J2" s="1">
        <f>1135+234.76+275+400+1596+100+500</f>
        <v>4240.76</v>
      </c>
      <c r="K2" s="1">
        <f>Table11819202310303132[[#This Row],[النولون]]+Table11819202310303132[[#This Row],[الايصالات]]-Table11819202310303132[[#This Row],[خصم أ ت ص]]+Table11819202310303132[[#This Row],[قيمة مضافة]]</f>
        <v>19840.760000000002</v>
      </c>
      <c r="M2" s="1">
        <f>Table11819202310303132[[#This Row],[اجمالي الفاتوره]]</f>
        <v>19840.760000000002</v>
      </c>
    </row>
    <row r="3" spans="1:14" ht="26.25" customHeight="1" x14ac:dyDescent="0.3">
      <c r="A3" s="1">
        <v>2</v>
      </c>
      <c r="B3" s="2" t="s">
        <v>297</v>
      </c>
      <c r="C3" s="1" t="s">
        <v>280</v>
      </c>
      <c r="D3" s="1" t="s">
        <v>298</v>
      </c>
      <c r="E3" s="1">
        <v>54845</v>
      </c>
      <c r="F3" s="1" t="s">
        <v>121</v>
      </c>
      <c r="G3" s="1">
        <v>7300</v>
      </c>
      <c r="J3" s="1">
        <f>1130+313.22+5010+1797.78+500+100</f>
        <v>8851</v>
      </c>
      <c r="K3" s="1">
        <f>Table11819202310303132[[#This Row],[النولون]]+Table11819202310303132[[#This Row],[الايصالات]]-Table11819202310303132[[#This Row],[خصم أ ت ص]]+Table11819202310303132[[#This Row],[قيمة مضافة]]</f>
        <v>16151</v>
      </c>
      <c r="M3" s="1">
        <f>M2+Table11819202310303132[[#This Row],[اجمالي الفاتوره]]-Table11819202310303132[[#This Row],[الدفعات]]</f>
        <v>35991.760000000002</v>
      </c>
    </row>
    <row r="4" spans="1:14" ht="26.25" customHeight="1" x14ac:dyDescent="0.3">
      <c r="A4" s="72"/>
      <c r="B4" s="73" t="s">
        <v>308</v>
      </c>
      <c r="C4" s="72"/>
      <c r="D4" s="72"/>
      <c r="E4" s="72"/>
      <c r="F4" s="72"/>
      <c r="G4" s="72"/>
      <c r="H4" s="72"/>
      <c r="I4" s="72"/>
      <c r="J4" s="72"/>
      <c r="K4" s="72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L4" s="72">
        <v>20000</v>
      </c>
      <c r="M4" s="72">
        <f>M3+Table11819202310303132[[#This Row],[اجمالي الفاتوره]]-Table11819202310303132[[#This Row],[الدفعات]]</f>
        <v>15991.760000000002</v>
      </c>
    </row>
    <row r="5" spans="1:14" ht="26.25" customHeight="1" x14ac:dyDescent="0.3">
      <c r="A5" s="20">
        <v>3</v>
      </c>
      <c r="B5" s="2" t="s">
        <v>342</v>
      </c>
      <c r="C5" s="1" t="s">
        <v>280</v>
      </c>
      <c r="D5" s="1" t="s">
        <v>343</v>
      </c>
      <c r="E5" s="20"/>
      <c r="F5" s="1" t="s">
        <v>344</v>
      </c>
      <c r="G5" s="20">
        <f>5*3500</f>
        <v>17500</v>
      </c>
      <c r="H5" s="20"/>
      <c r="I5" s="20"/>
      <c r="J5" s="20">
        <f>274.55+236.72+410.84+129.97*2+997+747+500</f>
        <v>3426.05</v>
      </c>
      <c r="K5" s="20">
        <f>Table11819202310303132[[#This Row],[النولون]]+Table11819202310303132[[#This Row],[الايصالات]]-Table11819202310303132[[#This Row],[خصم أ ت ص]]+Table11819202310303132[[#This Row],[قيمة مضافة]]</f>
        <v>20926.05</v>
      </c>
      <c r="L5" s="20"/>
      <c r="M5" s="1">
        <f>M4+Table11819202310303132[[#This Row],[اجمالي الفاتوره]]-Table11819202310303132[[#This Row],[الدفعات]]</f>
        <v>36917.81</v>
      </c>
      <c r="N5" s="20"/>
    </row>
    <row r="6" spans="1:14" ht="26.25" customHeight="1" x14ac:dyDescent="0.3">
      <c r="A6" s="1">
        <v>4</v>
      </c>
      <c r="B6" s="2" t="s">
        <v>372</v>
      </c>
      <c r="C6" s="1" t="s">
        <v>375</v>
      </c>
      <c r="D6" s="1" t="s">
        <v>298</v>
      </c>
      <c r="E6" s="1">
        <v>87410</v>
      </c>
      <c r="F6" s="1" t="s">
        <v>92</v>
      </c>
      <c r="G6" s="1">
        <f>7300*2</f>
        <v>14600</v>
      </c>
      <c r="J6" s="1">
        <f>850*2+252.78+470.19+3192+997+799.14+457.14+7125+300+500</f>
        <v>15793.25</v>
      </c>
      <c r="K6" s="1">
        <f>Table11819202310303132[[#This Row],[النولون]]+Table11819202310303132[[#This Row],[الايصالات]]-Table11819202310303132[[#This Row],[خصم أ ت ص]]+Table11819202310303132[[#This Row],[قيمة مضافة]]</f>
        <v>30393.25</v>
      </c>
      <c r="M6" s="1">
        <f>M5+Table11819202310303132[[#This Row],[اجمالي الفاتوره]]-Table11819202310303132[[#This Row],[الدفعات]]</f>
        <v>67311.06</v>
      </c>
    </row>
    <row r="7" spans="1:14" ht="26.25" customHeight="1" x14ac:dyDescent="0.3">
      <c r="A7" s="20">
        <v>5</v>
      </c>
      <c r="B7" s="2" t="s">
        <v>372</v>
      </c>
      <c r="C7" s="1" t="s">
        <v>375</v>
      </c>
      <c r="D7" s="1" t="s">
        <v>298</v>
      </c>
      <c r="E7" s="20">
        <v>87420</v>
      </c>
      <c r="F7" s="1" t="s">
        <v>260</v>
      </c>
      <c r="G7" s="20">
        <f>7300*2</f>
        <v>14600</v>
      </c>
      <c r="H7" s="20"/>
      <c r="I7" s="20"/>
      <c r="J7" s="20">
        <f>850+442.37+358.06+3192+456+571.14+747+300</f>
        <v>6916.5700000000006</v>
      </c>
      <c r="K7" s="20">
        <f>Table11819202310303132[[#This Row],[النولون]]+Table11819202310303132[[#This Row],[الايصالات]]-Table11819202310303132[[#This Row],[خصم أ ت ص]]+Table11819202310303132[[#This Row],[قيمة مضافة]]</f>
        <v>21516.57</v>
      </c>
      <c r="L7" s="20"/>
      <c r="M7" s="1">
        <f>M6+Table11819202310303132[[#This Row],[اجمالي الفاتوره]]-Table11819202310303132[[#This Row],[الدفعات]]</f>
        <v>88827.63</v>
      </c>
      <c r="N7" s="20"/>
    </row>
    <row r="8" spans="1:14" ht="26.25" customHeight="1" x14ac:dyDescent="0.3">
      <c r="A8" s="20">
        <v>6</v>
      </c>
      <c r="B8" s="2" t="s">
        <v>372</v>
      </c>
      <c r="C8" s="1" t="s">
        <v>375</v>
      </c>
      <c r="D8" s="1" t="s">
        <v>376</v>
      </c>
      <c r="E8" s="20">
        <v>104833</v>
      </c>
      <c r="F8" s="1" t="s">
        <v>121</v>
      </c>
      <c r="G8" s="20">
        <v>10700</v>
      </c>
      <c r="H8" s="20"/>
      <c r="I8" s="20"/>
      <c r="J8" s="20">
        <f>810+19601+200+1135+378.93+1255+7200</f>
        <v>30579.93</v>
      </c>
      <c r="K8" s="20">
        <f>Table11819202310303132[[#This Row],[النولون]]+Table11819202310303132[[#This Row],[الايصالات]]-Table11819202310303132[[#This Row],[خصم أ ت ص]]+Table11819202310303132[[#This Row],[قيمة مضافة]]</f>
        <v>41279.93</v>
      </c>
      <c r="L8" s="20"/>
      <c r="M8" s="1">
        <f>M7+Table11819202310303132[[#This Row],[اجمالي الفاتوره]]-Table11819202310303132[[#This Row],[الدفعات]]</f>
        <v>130107.56</v>
      </c>
      <c r="N8" s="20"/>
    </row>
    <row r="9" spans="1:14" ht="26.25" customHeight="1" x14ac:dyDescent="0.3">
      <c r="A9" s="72"/>
      <c r="B9" s="73" t="s">
        <v>377</v>
      </c>
      <c r="C9" s="72"/>
      <c r="D9" s="72"/>
      <c r="E9" s="72"/>
      <c r="F9" s="72"/>
      <c r="G9" s="72"/>
      <c r="H9" s="72"/>
      <c r="I9" s="72"/>
      <c r="J9" s="72"/>
      <c r="K9" s="72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L9" s="72">
        <v>50000</v>
      </c>
      <c r="M9" s="72">
        <f>M8+Table11819202310303132[[#This Row],[اجمالي الفاتوره]]-Table11819202310303132[[#This Row],[الدفعات]]</f>
        <v>80107.56</v>
      </c>
    </row>
    <row r="10" spans="1:14" ht="26.25" customHeight="1" x14ac:dyDescent="0.3">
      <c r="A10" s="1">
        <v>7</v>
      </c>
      <c r="B10" s="2" t="s">
        <v>391</v>
      </c>
      <c r="C10" s="1" t="s">
        <v>375</v>
      </c>
      <c r="D10" s="1" t="s">
        <v>298</v>
      </c>
      <c r="E10" s="1">
        <v>87051</v>
      </c>
      <c r="F10" s="1" t="s">
        <v>121</v>
      </c>
      <c r="G10" s="1">
        <v>8400</v>
      </c>
      <c r="J10" s="1">
        <f>850+457.37+1596+500+799.14</f>
        <v>4202.51</v>
      </c>
      <c r="K10" s="1">
        <f>Table11819202310303132[[#This Row],[النولون]]+Table11819202310303132[[#This Row],[الايصالات]]-Table11819202310303132[[#This Row],[خصم أ ت ص]]+Table11819202310303132[[#This Row],[قيمة مضافة]]</f>
        <v>12602.51</v>
      </c>
      <c r="M10" s="1">
        <f>M9+Table11819202310303132[[#This Row],[اجمالي الفاتوره]]-Table11819202310303132[[#This Row],[الدفعات]]</f>
        <v>92710.069999999992</v>
      </c>
    </row>
    <row r="11" spans="1:14" ht="26.25" customHeight="1" x14ac:dyDescent="0.3">
      <c r="A11" s="72"/>
      <c r="B11" s="73" t="s">
        <v>423</v>
      </c>
      <c r="C11" s="72"/>
      <c r="D11" s="72"/>
      <c r="E11" s="72"/>
      <c r="F11" s="72"/>
      <c r="G11" s="72"/>
      <c r="H11" s="72"/>
      <c r="I11" s="72"/>
      <c r="J11" s="72"/>
      <c r="K11" s="72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L11" s="72">
        <v>50000</v>
      </c>
      <c r="M11" s="72">
        <f>M10+Table11819202310303132[[#This Row],[اجمالي الفاتوره]]-Table11819202310303132[[#This Row],[الدفعات]]</f>
        <v>42710.069999999992</v>
      </c>
    </row>
    <row r="12" spans="1:14" ht="26.25" customHeight="1" x14ac:dyDescent="0.3">
      <c r="A12" s="72"/>
      <c r="B12" s="73">
        <v>46142</v>
      </c>
      <c r="C12" s="72"/>
      <c r="D12" s="72"/>
      <c r="E12" s="72"/>
      <c r="F12" s="72"/>
      <c r="G12" s="72"/>
      <c r="H12" s="72"/>
      <c r="I12" s="72"/>
      <c r="J12" s="72"/>
      <c r="K12" s="72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L12" s="72">
        <v>20000</v>
      </c>
      <c r="M12" s="72">
        <f>M11+Table11819202310303132[[#This Row],[اجمالي الفاتوره]]-Table11819202310303132[[#This Row],[الدفعات]]</f>
        <v>22710.069999999992</v>
      </c>
      <c r="N12" s="1">
        <f>SUM(K:K)-SUM(L:L)</f>
        <v>0</v>
      </c>
    </row>
    <row r="13" spans="1:14" ht="26.25" customHeight="1" x14ac:dyDescent="0.3">
      <c r="A13" s="1">
        <v>8</v>
      </c>
      <c r="B13" s="2">
        <v>46152</v>
      </c>
      <c r="C13" s="1" t="s">
        <v>136</v>
      </c>
      <c r="D13" s="1" t="s">
        <v>540</v>
      </c>
      <c r="E13" s="1">
        <v>965584</v>
      </c>
      <c r="F13" s="1" t="s">
        <v>121</v>
      </c>
      <c r="G13" s="1">
        <v>6500</v>
      </c>
      <c r="J13" s="1">
        <f>478.8+500</f>
        <v>978.8</v>
      </c>
      <c r="K13" s="1">
        <f>Table11819202310303132[[#This Row],[النولون]]+Table11819202310303132[[#This Row],[الايصالات]]-Table11819202310303132[[#This Row],[خصم أ ت ص]]+Table11819202310303132[[#This Row],[قيمة مضافة]]</f>
        <v>7478.8</v>
      </c>
      <c r="M13" s="1">
        <f>M12+Table11819202310303132[[#This Row],[اجمالي الفاتوره]]-Table11819202310303132[[#This Row],[الدفعات]]</f>
        <v>30188.869999999992</v>
      </c>
    </row>
    <row r="14" spans="1:14" ht="26.25" customHeight="1" x14ac:dyDescent="0.3">
      <c r="A14" s="72"/>
      <c r="B14" s="73">
        <v>46161</v>
      </c>
      <c r="C14" s="72"/>
      <c r="D14" s="72"/>
      <c r="E14" s="72"/>
      <c r="F14" s="72"/>
      <c r="G14" s="72"/>
      <c r="H14" s="72"/>
      <c r="I14" s="72"/>
      <c r="J14" s="72"/>
      <c r="K14" s="72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L14" s="72">
        <v>30188.87</v>
      </c>
      <c r="M14" s="72">
        <f>M13+Table11819202310303132[[#This Row],[اجمالي الفاتوره]]-Table11819202310303132[[#This Row],[الدفعات]]</f>
        <v>0</v>
      </c>
    </row>
    <row r="15" spans="1:14" ht="26.25" customHeight="1" x14ac:dyDescent="0.3">
      <c r="B15" s="2"/>
      <c r="K1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5" s="1">
        <f>M14+Table11819202310303132[[#This Row],[اجمالي الفاتوره]]-Table11819202310303132[[#This Row],[الدفعات]]</f>
        <v>0</v>
      </c>
    </row>
    <row r="16" spans="1:14" ht="26.25" customHeight="1" x14ac:dyDescent="0.3">
      <c r="B16" s="2"/>
      <c r="K1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6" s="1">
        <f>M15+Table11819202310303132[[#This Row],[اجمالي الفاتوره]]-Table11819202310303132[[#This Row],[الدفعات]]</f>
        <v>0</v>
      </c>
    </row>
    <row r="17" spans="2:13" ht="26.25" customHeight="1" x14ac:dyDescent="0.3">
      <c r="B17" s="2"/>
      <c r="K1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7" s="1">
        <f>M16+Table11819202310303132[[#This Row],[اجمالي الفاتوره]]-Table11819202310303132[[#This Row],[الدفعات]]</f>
        <v>0</v>
      </c>
    </row>
    <row r="18" spans="2:13" ht="26.25" customHeight="1" x14ac:dyDescent="0.3">
      <c r="B18" s="2"/>
      <c r="K1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8" s="1">
        <f>M17+Table11819202310303132[[#This Row],[اجمالي الفاتوره]]-Table11819202310303132[[#This Row],[الدفعات]]</f>
        <v>0</v>
      </c>
    </row>
    <row r="19" spans="2:13" ht="26.25" customHeight="1" x14ac:dyDescent="0.3">
      <c r="B19" s="2"/>
      <c r="K1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9" s="1">
        <f>M18+Table11819202310303132[[#This Row],[اجمالي الفاتوره]]-Table11819202310303132[[#This Row],[الدفعات]]</f>
        <v>0</v>
      </c>
    </row>
    <row r="20" spans="2:13" ht="26.25" customHeight="1" x14ac:dyDescent="0.3">
      <c r="B20" s="2"/>
      <c r="K2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0" s="1">
        <f>M19+Table11819202310303132[[#This Row],[اجمالي الفاتوره]]-Table11819202310303132[[#This Row],[الدفعات]]</f>
        <v>0</v>
      </c>
    </row>
    <row r="21" spans="2:13" ht="26.25" customHeight="1" x14ac:dyDescent="0.3">
      <c r="B21" s="2"/>
      <c r="K2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1" s="1">
        <f>M20+Table11819202310303132[[#This Row],[اجمالي الفاتوره]]-Table11819202310303132[[#This Row],[الدفعات]]</f>
        <v>0</v>
      </c>
    </row>
    <row r="22" spans="2:13" ht="26.25" customHeight="1" x14ac:dyDescent="0.3">
      <c r="B22" s="2"/>
      <c r="K2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2" s="1">
        <f>M21+Table11819202310303132[[#This Row],[اجمالي الفاتوره]]-Table11819202310303132[[#This Row],[الدفعات]]</f>
        <v>0</v>
      </c>
    </row>
    <row r="23" spans="2:13" ht="26.25" customHeight="1" x14ac:dyDescent="0.3">
      <c r="B23" s="2"/>
      <c r="K2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3" s="1">
        <f>M22+Table11819202310303132[[#This Row],[اجمالي الفاتوره]]-Table11819202310303132[[#This Row],[الدفعات]]</f>
        <v>0</v>
      </c>
    </row>
    <row r="24" spans="2:13" ht="26.25" customHeight="1" x14ac:dyDescent="0.3">
      <c r="B24" s="2"/>
      <c r="K2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4" s="1">
        <f>M23+Table11819202310303132[[#This Row],[اجمالي الفاتوره]]-Table11819202310303132[[#This Row],[الدفعات]]</f>
        <v>0</v>
      </c>
    </row>
    <row r="25" spans="2:13" ht="26.25" customHeight="1" x14ac:dyDescent="0.3">
      <c r="B25" s="2"/>
      <c r="K2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5" s="1">
        <f>M24+Table11819202310303132[[#This Row],[اجمالي الفاتوره]]-Table11819202310303132[[#This Row],[الدفعات]]</f>
        <v>0</v>
      </c>
    </row>
    <row r="26" spans="2:13" ht="26.25" customHeight="1" x14ac:dyDescent="0.3">
      <c r="B26" s="2"/>
      <c r="K2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6" s="1">
        <f>M25+Table11819202310303132[[#This Row],[اجمالي الفاتوره]]-Table11819202310303132[[#This Row],[الدفعات]]</f>
        <v>0</v>
      </c>
    </row>
    <row r="27" spans="2:13" ht="26.25" customHeight="1" x14ac:dyDescent="0.3">
      <c r="K2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7" s="1">
        <f>M26+Table11819202310303132[[#This Row],[اجمالي الفاتوره]]-Table11819202310303132[[#This Row],[الدفعات]]</f>
        <v>0</v>
      </c>
    </row>
    <row r="28" spans="2:13" ht="26.25" customHeight="1" x14ac:dyDescent="0.3">
      <c r="K2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8" s="1">
        <f>M27+Table11819202310303132[[#This Row],[اجمالي الفاتوره]]-Table11819202310303132[[#This Row],[الدفعات]]</f>
        <v>0</v>
      </c>
    </row>
    <row r="29" spans="2:13" ht="26.25" customHeight="1" x14ac:dyDescent="0.3">
      <c r="B29" s="2"/>
      <c r="K2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9" s="1">
        <f>M28+Table11819202310303132[[#This Row],[اجمالي الفاتوره]]-Table11819202310303132[[#This Row],[الدفعات]]</f>
        <v>0</v>
      </c>
    </row>
    <row r="30" spans="2:13" ht="26.25" customHeight="1" x14ac:dyDescent="0.3">
      <c r="B30" s="2"/>
      <c r="K3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0" s="1">
        <f>M29+Table11819202310303132[[#This Row],[اجمالي الفاتوره]]-Table11819202310303132[[#This Row],[الدفعات]]</f>
        <v>0</v>
      </c>
    </row>
    <row r="31" spans="2:13" ht="26.25" customHeight="1" x14ac:dyDescent="0.3">
      <c r="B31" s="2"/>
      <c r="K3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1" s="1">
        <f>M30+Table11819202310303132[[#This Row],[اجمالي الفاتوره]]-Table11819202310303132[[#This Row],[الدفعات]]</f>
        <v>0</v>
      </c>
    </row>
    <row r="32" spans="2:13" ht="26.25" customHeight="1" x14ac:dyDescent="0.3">
      <c r="B32" s="2"/>
      <c r="K3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2" s="1">
        <f>M31+Table11819202310303132[[#This Row],[اجمالي الفاتوره]]-Table11819202310303132[[#This Row],[الدفعات]]</f>
        <v>0</v>
      </c>
    </row>
    <row r="33" spans="2:13" ht="26.25" customHeight="1" x14ac:dyDescent="0.3">
      <c r="K3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3" s="1">
        <f>M32+Table11819202310303132[[#This Row],[اجمالي الفاتوره]]-Table11819202310303132[[#This Row],[الدفعات]]</f>
        <v>0</v>
      </c>
    </row>
    <row r="34" spans="2:13" ht="26.25" customHeight="1" x14ac:dyDescent="0.3">
      <c r="B34" s="2"/>
      <c r="K3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4" s="1">
        <f>M33+Table11819202310303132[[#This Row],[اجمالي الفاتوره]]-Table11819202310303132[[#This Row],[الدفعات]]</f>
        <v>0</v>
      </c>
    </row>
    <row r="35" spans="2:13" ht="26.25" customHeight="1" x14ac:dyDescent="0.3">
      <c r="K3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5" s="1">
        <f>M34+Table11819202310303132[[#This Row],[اجمالي الفاتوره]]-Table11819202310303132[[#This Row],[الدفعات]]</f>
        <v>0</v>
      </c>
    </row>
    <row r="36" spans="2:13" ht="26.25" customHeight="1" x14ac:dyDescent="0.3">
      <c r="K3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6" s="1">
        <f>M35+Table11819202310303132[[#This Row],[اجمالي الفاتوره]]-Table11819202310303132[[#This Row],[الدفعات]]</f>
        <v>0</v>
      </c>
    </row>
    <row r="37" spans="2:13" ht="26.25" customHeight="1" x14ac:dyDescent="0.3">
      <c r="K3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7" s="1">
        <f>M36+Table11819202310303132[[#This Row],[اجمالي الفاتوره]]-Table11819202310303132[[#This Row],[الدفعات]]</f>
        <v>0</v>
      </c>
    </row>
    <row r="38" spans="2:13" ht="26.25" customHeight="1" x14ac:dyDescent="0.3">
      <c r="B38" s="2"/>
      <c r="C38" s="2"/>
      <c r="K3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8" s="1">
        <f>M37+Table11819202310303132[[#This Row],[اجمالي الفاتوره]]-Table11819202310303132[[#This Row],[الدفعات]]</f>
        <v>0</v>
      </c>
    </row>
    <row r="39" spans="2:13" ht="26.25" customHeight="1" x14ac:dyDescent="0.3">
      <c r="K3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9" s="1">
        <f>M38+Table11819202310303132[[#This Row],[اجمالي الفاتوره]]-Table11819202310303132[[#This Row],[الدفعات]]</f>
        <v>0</v>
      </c>
    </row>
    <row r="40" spans="2:13" ht="26.25" customHeight="1" x14ac:dyDescent="0.3">
      <c r="K4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40" s="1">
        <f>M39+Table11819202310303132[[#This Row],[اجمالي الفاتوره]]-Table11819202310303132[[#This Row],[الدفعات]]</f>
        <v>0</v>
      </c>
    </row>
    <row r="41" spans="2:13" ht="26.25" customHeight="1" x14ac:dyDescent="0.3">
      <c r="K4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41" s="1">
        <f>M40+Table11819202310303132[[#This Row],[اجمالي الفاتوره]]-Table11819202310303132[[#This Row],[الدفعات]]</f>
        <v>0</v>
      </c>
    </row>
    <row r="42" spans="2:13" ht="26.25" customHeight="1" x14ac:dyDescent="0.3">
      <c r="K4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42" s="1">
        <f>M41+Table11819202310303132[[#This Row],[اجمالي الفاتوره]]-Table11819202310303132[[#This Row],[الدفعات]]</f>
        <v>0</v>
      </c>
    </row>
    <row r="43" spans="2:13" ht="26.25" customHeight="1" x14ac:dyDescent="0.3">
      <c r="K4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43" s="1">
        <f>M42+Table11819202310303132[[#This Row],[اجمالي الفاتوره]]-Table11819202310303132[[#This Row],[الدفعات]]</f>
        <v>0</v>
      </c>
    </row>
    <row r="44" spans="2:13" ht="26.25" customHeight="1" x14ac:dyDescent="0.3">
      <c r="K4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44" s="1">
        <f>M43+Table11819202310303132[[#This Row],[اجمالي الفاتوره]]-Table11819202310303132[[#This Row],[الدفعات]]</f>
        <v>0</v>
      </c>
    </row>
    <row r="45" spans="2:13" ht="26.25" customHeight="1" x14ac:dyDescent="0.3">
      <c r="K4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45" s="1">
        <f>M44+Table11819202310303132[[#This Row],[اجمالي الفاتوره]]-Table11819202310303132[[#This Row],[الدفعات]]</f>
        <v>0</v>
      </c>
    </row>
    <row r="46" spans="2:13" ht="26.25" customHeight="1" x14ac:dyDescent="0.3">
      <c r="K4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46" s="1">
        <f>M45+Table11819202310303132[[#This Row],[اجمالي الفاتوره]]-Table11819202310303132[[#This Row],[الدفعات]]</f>
        <v>0</v>
      </c>
    </row>
    <row r="47" spans="2:13" ht="26.25" customHeight="1" x14ac:dyDescent="0.3">
      <c r="K4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47" s="1">
        <f>M46+Table11819202310303132[[#This Row],[اجمالي الفاتوره]]-Table11819202310303132[[#This Row],[الدفعات]]</f>
        <v>0</v>
      </c>
    </row>
    <row r="48" spans="2:13" ht="26.25" customHeight="1" x14ac:dyDescent="0.3">
      <c r="K4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48" s="1">
        <f>M47+Table11819202310303132[[#This Row],[اجمالي الفاتوره]]-Table11819202310303132[[#This Row],[الدفعات]]</f>
        <v>0</v>
      </c>
    </row>
    <row r="49" spans="11:13" ht="26.25" customHeight="1" x14ac:dyDescent="0.3">
      <c r="K4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49" s="1">
        <f>M48+Table11819202310303132[[#This Row],[اجمالي الفاتوره]]-Table11819202310303132[[#This Row],[الدفعات]]</f>
        <v>0</v>
      </c>
    </row>
    <row r="50" spans="11:13" ht="26.25" customHeight="1" x14ac:dyDescent="0.3">
      <c r="K5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50" s="1">
        <f>M49+Table11819202310303132[[#This Row],[اجمالي الفاتوره]]-Table11819202310303132[[#This Row],[الدفعات]]</f>
        <v>0</v>
      </c>
    </row>
    <row r="51" spans="11:13" ht="26.25" customHeight="1" x14ac:dyDescent="0.3">
      <c r="K5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51" s="1">
        <f>M50+Table11819202310303132[[#This Row],[اجمالي الفاتوره]]-Table11819202310303132[[#This Row],[الدفعات]]</f>
        <v>0</v>
      </c>
    </row>
    <row r="52" spans="11:13" ht="26.25" customHeight="1" x14ac:dyDescent="0.3">
      <c r="K5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52" s="1">
        <f>M51+Table11819202310303132[[#This Row],[اجمالي الفاتوره]]-Table11819202310303132[[#This Row],[الدفعات]]</f>
        <v>0</v>
      </c>
    </row>
    <row r="53" spans="11:13" ht="26.25" customHeight="1" x14ac:dyDescent="0.3">
      <c r="K5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53" s="1">
        <f>M52+Table11819202310303132[[#This Row],[اجمالي الفاتوره]]-Table11819202310303132[[#This Row],[الدفعات]]</f>
        <v>0</v>
      </c>
    </row>
    <row r="54" spans="11:13" ht="26.25" customHeight="1" x14ac:dyDescent="0.3">
      <c r="K5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54" s="1">
        <f>M53+Table11819202310303132[[#This Row],[اجمالي الفاتوره]]-Table11819202310303132[[#This Row],[الدفعات]]</f>
        <v>0</v>
      </c>
    </row>
    <row r="55" spans="11:13" ht="26.25" customHeight="1" x14ac:dyDescent="0.3">
      <c r="K5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55" s="1">
        <f>M54+Table11819202310303132[[#This Row],[اجمالي الفاتوره]]-Table11819202310303132[[#This Row],[الدفعات]]</f>
        <v>0</v>
      </c>
    </row>
    <row r="56" spans="11:13" ht="26.25" customHeight="1" x14ac:dyDescent="0.3">
      <c r="K5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56" s="1">
        <f>M55+Table11819202310303132[[#This Row],[اجمالي الفاتوره]]-Table11819202310303132[[#This Row],[الدفعات]]</f>
        <v>0</v>
      </c>
    </row>
    <row r="57" spans="11:13" ht="26.25" customHeight="1" x14ac:dyDescent="0.3">
      <c r="K5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57" s="1">
        <f>M56+Table11819202310303132[[#This Row],[اجمالي الفاتوره]]-Table11819202310303132[[#This Row],[الدفعات]]</f>
        <v>0</v>
      </c>
    </row>
    <row r="58" spans="11:13" ht="26.25" customHeight="1" x14ac:dyDescent="0.3">
      <c r="K5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58" s="1">
        <f>M57+Table11819202310303132[[#This Row],[اجمالي الفاتوره]]-Table11819202310303132[[#This Row],[الدفعات]]</f>
        <v>0</v>
      </c>
    </row>
    <row r="59" spans="11:13" ht="26.25" customHeight="1" x14ac:dyDescent="0.3">
      <c r="K5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59" s="1">
        <f>M58+Table11819202310303132[[#This Row],[اجمالي الفاتوره]]-Table11819202310303132[[#This Row],[الدفعات]]</f>
        <v>0</v>
      </c>
    </row>
    <row r="60" spans="11:13" ht="26.25" customHeight="1" x14ac:dyDescent="0.3">
      <c r="K6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60" s="1">
        <f>M59+Table11819202310303132[[#This Row],[اجمالي الفاتوره]]-Table11819202310303132[[#This Row],[الدفعات]]</f>
        <v>0</v>
      </c>
    </row>
    <row r="61" spans="11:13" ht="26.25" customHeight="1" x14ac:dyDescent="0.3">
      <c r="K6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61" s="1">
        <f>M60+Table11819202310303132[[#This Row],[اجمالي الفاتوره]]-Table11819202310303132[[#This Row],[الدفعات]]</f>
        <v>0</v>
      </c>
    </row>
    <row r="62" spans="11:13" ht="26.25" customHeight="1" x14ac:dyDescent="0.3">
      <c r="K6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62" s="1">
        <f>M61+Table11819202310303132[[#This Row],[اجمالي الفاتوره]]-Table11819202310303132[[#This Row],[الدفعات]]</f>
        <v>0</v>
      </c>
    </row>
    <row r="63" spans="11:13" ht="26.25" customHeight="1" x14ac:dyDescent="0.3">
      <c r="K6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63" s="1">
        <f>M62+Table11819202310303132[[#This Row],[اجمالي الفاتوره]]-Table11819202310303132[[#This Row],[الدفعات]]</f>
        <v>0</v>
      </c>
    </row>
    <row r="64" spans="11:13" ht="26.25" customHeight="1" x14ac:dyDescent="0.3">
      <c r="K6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64" s="1">
        <f>M63+Table11819202310303132[[#This Row],[اجمالي الفاتوره]]-Table11819202310303132[[#This Row],[الدفعات]]</f>
        <v>0</v>
      </c>
    </row>
    <row r="65" spans="11:13" ht="26.25" customHeight="1" x14ac:dyDescent="0.3">
      <c r="K6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65" s="1">
        <f>M64+Table11819202310303132[[#This Row],[اجمالي الفاتوره]]-Table11819202310303132[[#This Row],[الدفعات]]</f>
        <v>0</v>
      </c>
    </row>
    <row r="66" spans="11:13" ht="26.25" customHeight="1" x14ac:dyDescent="0.3">
      <c r="K6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66" s="1">
        <f>M65+Table11819202310303132[[#This Row],[اجمالي الفاتوره]]-Table11819202310303132[[#This Row],[الدفعات]]</f>
        <v>0</v>
      </c>
    </row>
    <row r="67" spans="11:13" ht="26.25" customHeight="1" x14ac:dyDescent="0.3">
      <c r="K6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67" s="1">
        <f>M66+Table11819202310303132[[#This Row],[اجمالي الفاتوره]]-Table11819202310303132[[#This Row],[الدفعات]]</f>
        <v>0</v>
      </c>
    </row>
    <row r="68" spans="11:13" ht="26.25" customHeight="1" x14ac:dyDescent="0.3">
      <c r="K6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68" s="1">
        <f>M67+Table11819202310303132[[#This Row],[اجمالي الفاتوره]]-Table11819202310303132[[#This Row],[الدفعات]]</f>
        <v>0</v>
      </c>
    </row>
    <row r="69" spans="11:13" ht="26.25" customHeight="1" x14ac:dyDescent="0.3">
      <c r="K6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69" s="1">
        <f>M68+Table11819202310303132[[#This Row],[اجمالي الفاتوره]]-Table11819202310303132[[#This Row],[الدفعات]]</f>
        <v>0</v>
      </c>
    </row>
    <row r="70" spans="11:13" ht="26.25" customHeight="1" x14ac:dyDescent="0.3">
      <c r="K7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70" s="1">
        <f>M69+Table11819202310303132[[#This Row],[اجمالي الفاتوره]]-Table11819202310303132[[#This Row],[الدفعات]]</f>
        <v>0</v>
      </c>
    </row>
    <row r="71" spans="11:13" ht="26.25" customHeight="1" x14ac:dyDescent="0.3">
      <c r="K7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71" s="1">
        <f>M70+Table11819202310303132[[#This Row],[اجمالي الفاتوره]]-Table11819202310303132[[#This Row],[الدفعات]]</f>
        <v>0</v>
      </c>
    </row>
    <row r="72" spans="11:13" ht="26.25" customHeight="1" x14ac:dyDescent="0.3">
      <c r="K7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72" s="1">
        <f>M71+Table11819202310303132[[#This Row],[اجمالي الفاتوره]]-Table11819202310303132[[#This Row],[الدفعات]]</f>
        <v>0</v>
      </c>
    </row>
    <row r="73" spans="11:13" ht="26.25" customHeight="1" x14ac:dyDescent="0.3">
      <c r="K7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73" s="1">
        <f>M72+Table11819202310303132[[#This Row],[اجمالي الفاتوره]]-Table11819202310303132[[#This Row],[الدفعات]]</f>
        <v>0</v>
      </c>
    </row>
    <row r="74" spans="11:13" ht="26.25" customHeight="1" x14ac:dyDescent="0.3">
      <c r="K7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74" s="1">
        <f>M73+Table11819202310303132[[#This Row],[اجمالي الفاتوره]]-Table11819202310303132[[#This Row],[الدفعات]]</f>
        <v>0</v>
      </c>
    </row>
    <row r="75" spans="11:13" ht="26.25" customHeight="1" x14ac:dyDescent="0.3">
      <c r="K7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75" s="1">
        <f>M74+Table11819202310303132[[#This Row],[اجمالي الفاتوره]]-Table11819202310303132[[#This Row],[الدفعات]]</f>
        <v>0</v>
      </c>
    </row>
    <row r="76" spans="11:13" ht="26.25" customHeight="1" x14ac:dyDescent="0.3">
      <c r="K7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76" s="1">
        <f>M75+Table11819202310303132[[#This Row],[اجمالي الفاتوره]]-Table11819202310303132[[#This Row],[الدفعات]]</f>
        <v>0</v>
      </c>
    </row>
    <row r="77" spans="11:13" ht="26.25" customHeight="1" x14ac:dyDescent="0.3">
      <c r="K7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77" s="1">
        <f>M76+Table11819202310303132[[#This Row],[اجمالي الفاتوره]]-Table11819202310303132[[#This Row],[الدفعات]]</f>
        <v>0</v>
      </c>
    </row>
    <row r="78" spans="11:13" ht="26.25" customHeight="1" x14ac:dyDescent="0.3">
      <c r="K7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78" s="1">
        <f>M77+Table11819202310303132[[#This Row],[اجمالي الفاتوره]]-Table11819202310303132[[#This Row],[الدفعات]]</f>
        <v>0</v>
      </c>
    </row>
    <row r="79" spans="11:13" ht="26.25" customHeight="1" x14ac:dyDescent="0.3">
      <c r="K7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79" s="1">
        <f>M78+Table11819202310303132[[#This Row],[اجمالي الفاتوره]]-Table11819202310303132[[#This Row],[الدفعات]]</f>
        <v>0</v>
      </c>
    </row>
    <row r="80" spans="11:13" ht="26.25" customHeight="1" x14ac:dyDescent="0.3">
      <c r="K8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80" s="1">
        <f>M79+Table11819202310303132[[#This Row],[اجمالي الفاتوره]]-Table11819202310303132[[#This Row],[الدفعات]]</f>
        <v>0</v>
      </c>
    </row>
    <row r="81" spans="11:13" ht="26.25" customHeight="1" x14ac:dyDescent="0.3">
      <c r="K8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81" s="1">
        <f>M80+Table11819202310303132[[#This Row],[اجمالي الفاتوره]]-Table11819202310303132[[#This Row],[الدفعات]]</f>
        <v>0</v>
      </c>
    </row>
    <row r="82" spans="11:13" ht="26.25" customHeight="1" x14ac:dyDescent="0.3">
      <c r="K8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82" s="1">
        <f>M81+Table11819202310303132[[#This Row],[اجمالي الفاتوره]]-Table11819202310303132[[#This Row],[الدفعات]]</f>
        <v>0</v>
      </c>
    </row>
    <row r="83" spans="11:13" ht="26.25" customHeight="1" x14ac:dyDescent="0.3">
      <c r="K8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83" s="1">
        <f>M82+Table11819202310303132[[#This Row],[اجمالي الفاتوره]]-Table11819202310303132[[#This Row],[الدفعات]]</f>
        <v>0</v>
      </c>
    </row>
    <row r="84" spans="11:13" ht="26.25" customHeight="1" x14ac:dyDescent="0.3">
      <c r="K8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84" s="1">
        <f>M83+Table11819202310303132[[#This Row],[اجمالي الفاتوره]]-Table11819202310303132[[#This Row],[الدفعات]]</f>
        <v>0</v>
      </c>
    </row>
    <row r="85" spans="11:13" ht="26.25" customHeight="1" x14ac:dyDescent="0.3">
      <c r="K8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85" s="1">
        <f>M84+Table11819202310303132[[#This Row],[اجمالي الفاتوره]]-Table11819202310303132[[#This Row],[الدفعات]]</f>
        <v>0</v>
      </c>
    </row>
    <row r="86" spans="11:13" ht="26.25" customHeight="1" x14ac:dyDescent="0.3">
      <c r="K8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86" s="1">
        <f>M85+Table11819202310303132[[#This Row],[اجمالي الفاتوره]]-Table11819202310303132[[#This Row],[الدفعات]]</f>
        <v>0</v>
      </c>
    </row>
    <row r="87" spans="11:13" ht="26.25" customHeight="1" x14ac:dyDescent="0.3">
      <c r="K8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87" s="1">
        <f>M86+Table11819202310303132[[#This Row],[اجمالي الفاتوره]]-Table11819202310303132[[#This Row],[الدفعات]]</f>
        <v>0</v>
      </c>
    </row>
    <row r="88" spans="11:13" ht="26.25" customHeight="1" x14ac:dyDescent="0.3">
      <c r="K8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88" s="1">
        <f>M87+Table11819202310303132[[#This Row],[اجمالي الفاتوره]]-Table11819202310303132[[#This Row],[الدفعات]]</f>
        <v>0</v>
      </c>
    </row>
    <row r="89" spans="11:13" ht="26.25" customHeight="1" x14ac:dyDescent="0.3">
      <c r="K8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89" s="1">
        <f>M88+Table11819202310303132[[#This Row],[اجمالي الفاتوره]]-Table11819202310303132[[#This Row],[الدفعات]]</f>
        <v>0</v>
      </c>
    </row>
    <row r="90" spans="11:13" ht="26.25" customHeight="1" x14ac:dyDescent="0.3">
      <c r="K9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90" s="1">
        <f>M89+Table11819202310303132[[#This Row],[اجمالي الفاتوره]]-Table11819202310303132[[#This Row],[الدفعات]]</f>
        <v>0</v>
      </c>
    </row>
    <row r="91" spans="11:13" ht="26.25" customHeight="1" x14ac:dyDescent="0.3">
      <c r="K9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91" s="1">
        <f>M90+Table11819202310303132[[#This Row],[اجمالي الفاتوره]]-Table11819202310303132[[#This Row],[الدفعات]]</f>
        <v>0</v>
      </c>
    </row>
    <row r="92" spans="11:13" ht="26.25" customHeight="1" x14ac:dyDescent="0.3">
      <c r="K9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92" s="1">
        <f>M91+Table11819202310303132[[#This Row],[اجمالي الفاتوره]]-Table11819202310303132[[#This Row],[الدفعات]]</f>
        <v>0</v>
      </c>
    </row>
    <row r="93" spans="11:13" ht="26.25" customHeight="1" x14ac:dyDescent="0.3">
      <c r="K9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93" s="1">
        <f>M92+Table11819202310303132[[#This Row],[اجمالي الفاتوره]]-Table11819202310303132[[#This Row],[الدفعات]]</f>
        <v>0</v>
      </c>
    </row>
    <row r="94" spans="11:13" ht="26.25" customHeight="1" x14ac:dyDescent="0.3">
      <c r="K9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94" s="1">
        <f>M93+Table11819202310303132[[#This Row],[اجمالي الفاتوره]]-Table11819202310303132[[#This Row],[الدفعات]]</f>
        <v>0</v>
      </c>
    </row>
    <row r="95" spans="11:13" ht="26.25" customHeight="1" x14ac:dyDescent="0.3">
      <c r="K9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95" s="1">
        <f>M94+Table11819202310303132[[#This Row],[اجمالي الفاتوره]]-Table11819202310303132[[#This Row],[الدفعات]]</f>
        <v>0</v>
      </c>
    </row>
    <row r="96" spans="11:13" ht="26.25" customHeight="1" x14ac:dyDescent="0.3">
      <c r="K9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96" s="1">
        <f>M95+Table11819202310303132[[#This Row],[اجمالي الفاتوره]]-Table11819202310303132[[#This Row],[الدفعات]]</f>
        <v>0</v>
      </c>
    </row>
    <row r="97" spans="11:13" ht="26.25" customHeight="1" x14ac:dyDescent="0.3">
      <c r="K9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97" s="1">
        <f>M96+Table11819202310303132[[#This Row],[اجمالي الفاتوره]]-Table11819202310303132[[#This Row],[الدفعات]]</f>
        <v>0</v>
      </c>
    </row>
    <row r="98" spans="11:13" ht="26.25" customHeight="1" x14ac:dyDescent="0.3">
      <c r="K9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98" s="1">
        <f>M97+Table11819202310303132[[#This Row],[اجمالي الفاتوره]]-Table11819202310303132[[#This Row],[الدفعات]]</f>
        <v>0</v>
      </c>
    </row>
    <row r="99" spans="11:13" ht="26.25" customHeight="1" x14ac:dyDescent="0.3">
      <c r="K9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99" s="1">
        <f>M98+Table11819202310303132[[#This Row],[اجمالي الفاتوره]]-Table11819202310303132[[#This Row],[الدفعات]]</f>
        <v>0</v>
      </c>
    </row>
    <row r="100" spans="11:13" ht="26.25" customHeight="1" x14ac:dyDescent="0.3">
      <c r="K10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00" s="1">
        <f>M99+Table11819202310303132[[#This Row],[اجمالي الفاتوره]]-Table11819202310303132[[#This Row],[الدفعات]]</f>
        <v>0</v>
      </c>
    </row>
    <row r="101" spans="11:13" ht="26.25" customHeight="1" x14ac:dyDescent="0.3">
      <c r="K10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01" s="1">
        <f>M100+Table11819202310303132[[#This Row],[اجمالي الفاتوره]]-Table11819202310303132[[#This Row],[الدفعات]]</f>
        <v>0</v>
      </c>
    </row>
    <row r="102" spans="11:13" ht="26.25" customHeight="1" x14ac:dyDescent="0.3">
      <c r="K10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02" s="1">
        <f>M101+Table11819202310303132[[#This Row],[اجمالي الفاتوره]]-Table11819202310303132[[#This Row],[الدفعات]]</f>
        <v>0</v>
      </c>
    </row>
    <row r="103" spans="11:13" ht="26.25" customHeight="1" x14ac:dyDescent="0.3">
      <c r="K10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03" s="1">
        <f>M102+Table11819202310303132[[#This Row],[اجمالي الفاتوره]]-Table11819202310303132[[#This Row],[الدفعات]]</f>
        <v>0</v>
      </c>
    </row>
    <row r="104" spans="11:13" ht="26.25" customHeight="1" x14ac:dyDescent="0.3">
      <c r="K10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04" s="1">
        <f>M103+Table11819202310303132[[#This Row],[اجمالي الفاتوره]]-Table11819202310303132[[#This Row],[الدفعات]]</f>
        <v>0</v>
      </c>
    </row>
    <row r="105" spans="11:13" ht="26.25" customHeight="1" x14ac:dyDescent="0.3">
      <c r="K10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05" s="1">
        <f>M104+Table11819202310303132[[#This Row],[اجمالي الفاتوره]]-Table11819202310303132[[#This Row],[الدفعات]]</f>
        <v>0</v>
      </c>
    </row>
    <row r="106" spans="11:13" ht="26.25" customHeight="1" x14ac:dyDescent="0.3">
      <c r="K10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06" s="1">
        <f>M105+Table11819202310303132[[#This Row],[اجمالي الفاتوره]]-Table11819202310303132[[#This Row],[الدفعات]]</f>
        <v>0</v>
      </c>
    </row>
    <row r="107" spans="11:13" ht="26.25" customHeight="1" x14ac:dyDescent="0.3">
      <c r="K10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07" s="1">
        <f>M106+Table11819202310303132[[#This Row],[اجمالي الفاتوره]]-Table11819202310303132[[#This Row],[الدفعات]]</f>
        <v>0</v>
      </c>
    </row>
    <row r="108" spans="11:13" ht="26.25" customHeight="1" x14ac:dyDescent="0.3">
      <c r="K10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08" s="1">
        <f>M107+Table11819202310303132[[#This Row],[اجمالي الفاتوره]]-Table11819202310303132[[#This Row],[الدفعات]]</f>
        <v>0</v>
      </c>
    </row>
    <row r="109" spans="11:13" ht="26.25" customHeight="1" x14ac:dyDescent="0.3">
      <c r="K10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09" s="1">
        <f>M108+Table11819202310303132[[#This Row],[اجمالي الفاتوره]]-Table11819202310303132[[#This Row],[الدفعات]]</f>
        <v>0</v>
      </c>
    </row>
    <row r="110" spans="11:13" ht="26.25" customHeight="1" x14ac:dyDescent="0.3">
      <c r="K11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10" s="1">
        <f>M109+Table11819202310303132[[#This Row],[اجمالي الفاتوره]]-Table11819202310303132[[#This Row],[الدفعات]]</f>
        <v>0</v>
      </c>
    </row>
    <row r="111" spans="11:13" ht="26.25" customHeight="1" x14ac:dyDescent="0.3">
      <c r="K11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11" s="1">
        <f>M110+Table11819202310303132[[#This Row],[اجمالي الفاتوره]]-Table11819202310303132[[#This Row],[الدفعات]]</f>
        <v>0</v>
      </c>
    </row>
    <row r="112" spans="11:13" ht="26.25" customHeight="1" x14ac:dyDescent="0.3">
      <c r="K11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12" s="1">
        <f>M111+Table11819202310303132[[#This Row],[اجمالي الفاتوره]]-Table11819202310303132[[#This Row],[الدفعات]]</f>
        <v>0</v>
      </c>
    </row>
    <row r="113" spans="11:13" ht="26.25" customHeight="1" x14ac:dyDescent="0.3">
      <c r="K11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13" s="1">
        <f>M112+Table11819202310303132[[#This Row],[اجمالي الفاتوره]]-Table11819202310303132[[#This Row],[الدفعات]]</f>
        <v>0</v>
      </c>
    </row>
    <row r="114" spans="11:13" ht="26.25" customHeight="1" x14ac:dyDescent="0.3">
      <c r="K11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14" s="1">
        <f>M113+Table11819202310303132[[#This Row],[اجمالي الفاتوره]]-Table11819202310303132[[#This Row],[الدفعات]]</f>
        <v>0</v>
      </c>
    </row>
    <row r="115" spans="11:13" ht="26.25" customHeight="1" x14ac:dyDescent="0.3">
      <c r="K11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15" s="1">
        <f>M114+Table11819202310303132[[#This Row],[اجمالي الفاتوره]]-Table11819202310303132[[#This Row],[الدفعات]]</f>
        <v>0</v>
      </c>
    </row>
    <row r="116" spans="11:13" ht="26.25" customHeight="1" x14ac:dyDescent="0.3">
      <c r="K11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16" s="1">
        <f>M115+Table11819202310303132[[#This Row],[اجمالي الفاتوره]]-Table11819202310303132[[#This Row],[الدفعات]]</f>
        <v>0</v>
      </c>
    </row>
    <row r="117" spans="11:13" ht="26.25" customHeight="1" x14ac:dyDescent="0.3">
      <c r="K11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17" s="1">
        <f>M116+Table11819202310303132[[#This Row],[اجمالي الفاتوره]]-Table11819202310303132[[#This Row],[الدفعات]]</f>
        <v>0</v>
      </c>
    </row>
    <row r="118" spans="11:13" ht="26.25" customHeight="1" x14ac:dyDescent="0.3">
      <c r="K11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18" s="1">
        <f>M117+Table11819202310303132[[#This Row],[اجمالي الفاتوره]]-Table11819202310303132[[#This Row],[الدفعات]]</f>
        <v>0</v>
      </c>
    </row>
    <row r="119" spans="11:13" ht="26.25" customHeight="1" x14ac:dyDescent="0.3">
      <c r="K11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19" s="1">
        <f>M118+Table11819202310303132[[#This Row],[اجمالي الفاتوره]]-Table11819202310303132[[#This Row],[الدفعات]]</f>
        <v>0</v>
      </c>
    </row>
    <row r="120" spans="11:13" ht="26.25" customHeight="1" x14ac:dyDescent="0.3">
      <c r="K12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20" s="1">
        <f>M119+Table11819202310303132[[#This Row],[اجمالي الفاتوره]]-Table11819202310303132[[#This Row],[الدفعات]]</f>
        <v>0</v>
      </c>
    </row>
    <row r="121" spans="11:13" ht="26.25" customHeight="1" x14ac:dyDescent="0.3">
      <c r="K12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21" s="1">
        <f>M120+Table11819202310303132[[#This Row],[اجمالي الفاتوره]]-Table11819202310303132[[#This Row],[الدفعات]]</f>
        <v>0</v>
      </c>
    </row>
    <row r="122" spans="11:13" ht="26.25" customHeight="1" x14ac:dyDescent="0.3">
      <c r="K12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22" s="1">
        <f>M121+Table11819202310303132[[#This Row],[اجمالي الفاتوره]]-Table11819202310303132[[#This Row],[الدفعات]]</f>
        <v>0</v>
      </c>
    </row>
    <row r="123" spans="11:13" ht="26.25" customHeight="1" x14ac:dyDescent="0.3">
      <c r="K12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23" s="1">
        <f>M122+Table11819202310303132[[#This Row],[اجمالي الفاتوره]]-Table11819202310303132[[#This Row],[الدفعات]]</f>
        <v>0</v>
      </c>
    </row>
    <row r="124" spans="11:13" ht="26.25" customHeight="1" x14ac:dyDescent="0.3">
      <c r="K12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24" s="1">
        <f>M123+Table11819202310303132[[#This Row],[اجمالي الفاتوره]]-Table11819202310303132[[#This Row],[الدفعات]]</f>
        <v>0</v>
      </c>
    </row>
    <row r="125" spans="11:13" ht="26.25" customHeight="1" x14ac:dyDescent="0.3">
      <c r="K12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25" s="1">
        <f>M124+Table11819202310303132[[#This Row],[اجمالي الفاتوره]]-Table11819202310303132[[#This Row],[الدفعات]]</f>
        <v>0</v>
      </c>
    </row>
    <row r="126" spans="11:13" ht="26.25" customHeight="1" x14ac:dyDescent="0.3">
      <c r="K12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26" s="1">
        <f>M125+Table11819202310303132[[#This Row],[اجمالي الفاتوره]]-Table11819202310303132[[#This Row],[الدفعات]]</f>
        <v>0</v>
      </c>
    </row>
    <row r="127" spans="11:13" ht="26.25" customHeight="1" x14ac:dyDescent="0.3">
      <c r="K12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27" s="1">
        <f>M126+Table11819202310303132[[#This Row],[اجمالي الفاتوره]]-Table11819202310303132[[#This Row],[الدفعات]]</f>
        <v>0</v>
      </c>
    </row>
    <row r="128" spans="11:13" ht="26.25" customHeight="1" x14ac:dyDescent="0.3">
      <c r="K12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28" s="1">
        <f>M127+Table11819202310303132[[#This Row],[اجمالي الفاتوره]]-Table11819202310303132[[#This Row],[الدفعات]]</f>
        <v>0</v>
      </c>
    </row>
    <row r="129" spans="11:13" ht="26.25" customHeight="1" x14ac:dyDescent="0.3">
      <c r="K12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29" s="1">
        <f>M128+Table11819202310303132[[#This Row],[اجمالي الفاتوره]]-Table11819202310303132[[#This Row],[الدفعات]]</f>
        <v>0</v>
      </c>
    </row>
    <row r="130" spans="11:13" ht="26.25" customHeight="1" x14ac:dyDescent="0.3">
      <c r="K13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30" s="1">
        <f>M129+Table11819202310303132[[#This Row],[اجمالي الفاتوره]]-Table11819202310303132[[#This Row],[الدفعات]]</f>
        <v>0</v>
      </c>
    </row>
    <row r="131" spans="11:13" ht="26.25" customHeight="1" x14ac:dyDescent="0.3">
      <c r="K13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31" s="1">
        <f>M130+Table11819202310303132[[#This Row],[اجمالي الفاتوره]]-Table11819202310303132[[#This Row],[الدفعات]]</f>
        <v>0</v>
      </c>
    </row>
    <row r="132" spans="11:13" ht="26.25" customHeight="1" x14ac:dyDescent="0.3">
      <c r="K13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32" s="1">
        <f>M131+Table11819202310303132[[#This Row],[اجمالي الفاتوره]]-Table11819202310303132[[#This Row],[الدفعات]]</f>
        <v>0</v>
      </c>
    </row>
    <row r="133" spans="11:13" ht="26.25" customHeight="1" x14ac:dyDescent="0.3">
      <c r="K13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33" s="1">
        <f>M132+Table11819202310303132[[#This Row],[اجمالي الفاتوره]]-Table11819202310303132[[#This Row],[الدفعات]]</f>
        <v>0</v>
      </c>
    </row>
    <row r="134" spans="11:13" ht="26.25" customHeight="1" x14ac:dyDescent="0.3">
      <c r="K13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34" s="1">
        <f>M133+Table11819202310303132[[#This Row],[اجمالي الفاتوره]]-Table11819202310303132[[#This Row],[الدفعات]]</f>
        <v>0</v>
      </c>
    </row>
    <row r="135" spans="11:13" ht="26.25" customHeight="1" x14ac:dyDescent="0.3">
      <c r="K13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35" s="1">
        <f>M134+Table11819202310303132[[#This Row],[اجمالي الفاتوره]]-Table11819202310303132[[#This Row],[الدفعات]]</f>
        <v>0</v>
      </c>
    </row>
    <row r="136" spans="11:13" ht="26.25" customHeight="1" x14ac:dyDescent="0.3">
      <c r="K13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36" s="1">
        <f>M135+Table11819202310303132[[#This Row],[اجمالي الفاتوره]]-Table11819202310303132[[#This Row],[الدفعات]]</f>
        <v>0</v>
      </c>
    </row>
    <row r="137" spans="11:13" ht="26.25" customHeight="1" x14ac:dyDescent="0.3">
      <c r="K13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37" s="1">
        <f>M136+Table11819202310303132[[#This Row],[اجمالي الفاتوره]]-Table11819202310303132[[#This Row],[الدفعات]]</f>
        <v>0</v>
      </c>
    </row>
    <row r="138" spans="11:13" ht="26.25" customHeight="1" x14ac:dyDescent="0.3">
      <c r="K13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38" s="1">
        <f>M137+Table11819202310303132[[#This Row],[اجمالي الفاتوره]]-Table11819202310303132[[#This Row],[الدفعات]]</f>
        <v>0</v>
      </c>
    </row>
    <row r="139" spans="11:13" ht="26.25" customHeight="1" x14ac:dyDescent="0.3">
      <c r="K13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39" s="1">
        <f>M138+Table11819202310303132[[#This Row],[اجمالي الفاتوره]]-Table11819202310303132[[#This Row],[الدفعات]]</f>
        <v>0</v>
      </c>
    </row>
    <row r="140" spans="11:13" ht="26.25" customHeight="1" x14ac:dyDescent="0.3">
      <c r="K14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40" s="1">
        <f>M139+Table11819202310303132[[#This Row],[اجمالي الفاتوره]]-Table11819202310303132[[#This Row],[الدفعات]]</f>
        <v>0</v>
      </c>
    </row>
    <row r="141" spans="11:13" ht="26.25" customHeight="1" x14ac:dyDescent="0.3">
      <c r="K14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41" s="1">
        <f>M140+Table11819202310303132[[#This Row],[اجمالي الفاتوره]]-Table11819202310303132[[#This Row],[الدفعات]]</f>
        <v>0</v>
      </c>
    </row>
    <row r="142" spans="11:13" ht="26.25" customHeight="1" x14ac:dyDescent="0.3">
      <c r="K14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42" s="1">
        <f>M141+Table11819202310303132[[#This Row],[اجمالي الفاتوره]]-Table11819202310303132[[#This Row],[الدفعات]]</f>
        <v>0</v>
      </c>
    </row>
    <row r="143" spans="11:13" ht="26.25" customHeight="1" x14ac:dyDescent="0.3">
      <c r="K14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43" s="1">
        <f>M142+Table11819202310303132[[#This Row],[اجمالي الفاتوره]]-Table11819202310303132[[#This Row],[الدفعات]]</f>
        <v>0</v>
      </c>
    </row>
    <row r="144" spans="11:13" ht="26.25" customHeight="1" x14ac:dyDescent="0.3">
      <c r="K14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44" s="1">
        <f>M143+Table11819202310303132[[#This Row],[اجمالي الفاتوره]]-Table11819202310303132[[#This Row],[الدفعات]]</f>
        <v>0</v>
      </c>
    </row>
    <row r="145" spans="11:13" ht="26.25" customHeight="1" x14ac:dyDescent="0.3">
      <c r="K14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45" s="1">
        <f>M144+Table11819202310303132[[#This Row],[اجمالي الفاتوره]]-Table11819202310303132[[#This Row],[الدفعات]]</f>
        <v>0</v>
      </c>
    </row>
    <row r="146" spans="11:13" ht="26.25" customHeight="1" x14ac:dyDescent="0.3">
      <c r="K14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46" s="1">
        <f>M145+Table11819202310303132[[#This Row],[اجمالي الفاتوره]]-Table11819202310303132[[#This Row],[الدفعات]]</f>
        <v>0</v>
      </c>
    </row>
    <row r="147" spans="11:13" ht="26.25" customHeight="1" x14ac:dyDescent="0.3">
      <c r="K14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47" s="1">
        <f>M146+Table11819202310303132[[#This Row],[اجمالي الفاتوره]]-Table11819202310303132[[#This Row],[الدفعات]]</f>
        <v>0</v>
      </c>
    </row>
    <row r="148" spans="11:13" ht="26.25" customHeight="1" x14ac:dyDescent="0.3">
      <c r="K14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48" s="1">
        <f>M147+Table11819202310303132[[#This Row],[اجمالي الفاتوره]]-Table11819202310303132[[#This Row],[الدفعات]]</f>
        <v>0</v>
      </c>
    </row>
    <row r="149" spans="11:13" ht="26.25" customHeight="1" x14ac:dyDescent="0.3">
      <c r="K14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49" s="1">
        <f>M148+Table11819202310303132[[#This Row],[اجمالي الفاتوره]]-Table11819202310303132[[#This Row],[الدفعات]]</f>
        <v>0</v>
      </c>
    </row>
    <row r="150" spans="11:13" ht="26.25" customHeight="1" x14ac:dyDescent="0.3">
      <c r="K15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50" s="1">
        <f>M149+Table11819202310303132[[#This Row],[اجمالي الفاتوره]]-Table11819202310303132[[#This Row],[الدفعات]]</f>
        <v>0</v>
      </c>
    </row>
    <row r="151" spans="11:13" ht="26.25" customHeight="1" x14ac:dyDescent="0.3">
      <c r="K15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51" s="1">
        <f>M150+Table11819202310303132[[#This Row],[اجمالي الفاتوره]]-Table11819202310303132[[#This Row],[الدفعات]]</f>
        <v>0</v>
      </c>
    </row>
    <row r="152" spans="11:13" ht="26.25" customHeight="1" x14ac:dyDescent="0.3">
      <c r="K15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52" s="1">
        <f>M151+Table11819202310303132[[#This Row],[اجمالي الفاتوره]]-Table11819202310303132[[#This Row],[الدفعات]]</f>
        <v>0</v>
      </c>
    </row>
    <row r="153" spans="11:13" ht="26.25" customHeight="1" x14ac:dyDescent="0.3">
      <c r="K15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53" s="1">
        <f>M152+Table11819202310303132[[#This Row],[اجمالي الفاتوره]]-Table11819202310303132[[#This Row],[الدفعات]]</f>
        <v>0</v>
      </c>
    </row>
    <row r="154" spans="11:13" ht="26.25" customHeight="1" x14ac:dyDescent="0.3">
      <c r="K15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54" s="1">
        <f>M153+Table11819202310303132[[#This Row],[اجمالي الفاتوره]]-Table11819202310303132[[#This Row],[الدفعات]]</f>
        <v>0</v>
      </c>
    </row>
    <row r="155" spans="11:13" ht="26.25" customHeight="1" x14ac:dyDescent="0.3">
      <c r="K15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55" s="1">
        <f>M154+Table11819202310303132[[#This Row],[اجمالي الفاتوره]]-Table11819202310303132[[#This Row],[الدفعات]]</f>
        <v>0</v>
      </c>
    </row>
    <row r="156" spans="11:13" ht="26.25" customHeight="1" x14ac:dyDescent="0.3">
      <c r="K15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56" s="1">
        <f>M155+Table11819202310303132[[#This Row],[اجمالي الفاتوره]]-Table11819202310303132[[#This Row],[الدفعات]]</f>
        <v>0</v>
      </c>
    </row>
    <row r="157" spans="11:13" ht="26.25" customHeight="1" x14ac:dyDescent="0.3">
      <c r="K15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57" s="1">
        <f>M156+Table11819202310303132[[#This Row],[اجمالي الفاتوره]]-Table11819202310303132[[#This Row],[الدفعات]]</f>
        <v>0</v>
      </c>
    </row>
    <row r="158" spans="11:13" ht="26.25" customHeight="1" x14ac:dyDescent="0.3">
      <c r="K15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58" s="1">
        <f>M157+Table11819202310303132[[#This Row],[اجمالي الفاتوره]]-Table11819202310303132[[#This Row],[الدفعات]]</f>
        <v>0</v>
      </c>
    </row>
    <row r="159" spans="11:13" ht="26.25" customHeight="1" x14ac:dyDescent="0.3">
      <c r="K15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59" s="1">
        <f>M158+Table11819202310303132[[#This Row],[اجمالي الفاتوره]]-Table11819202310303132[[#This Row],[الدفعات]]</f>
        <v>0</v>
      </c>
    </row>
    <row r="160" spans="11:13" ht="26.25" customHeight="1" x14ac:dyDescent="0.3">
      <c r="K16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60" s="1">
        <f>M159+Table11819202310303132[[#This Row],[اجمالي الفاتوره]]-Table11819202310303132[[#This Row],[الدفعات]]</f>
        <v>0</v>
      </c>
    </row>
    <row r="161" spans="11:13" ht="26.25" customHeight="1" x14ac:dyDescent="0.3">
      <c r="K16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61" s="1">
        <f>M160+Table11819202310303132[[#This Row],[اجمالي الفاتوره]]-Table11819202310303132[[#This Row],[الدفعات]]</f>
        <v>0</v>
      </c>
    </row>
    <row r="162" spans="11:13" ht="26.25" customHeight="1" x14ac:dyDescent="0.3">
      <c r="K16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62" s="1">
        <f>M161+Table11819202310303132[[#This Row],[اجمالي الفاتوره]]-Table11819202310303132[[#This Row],[الدفعات]]</f>
        <v>0</v>
      </c>
    </row>
    <row r="163" spans="11:13" ht="26.25" customHeight="1" x14ac:dyDescent="0.3">
      <c r="K16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63" s="1">
        <f>M162+Table11819202310303132[[#This Row],[اجمالي الفاتوره]]-Table11819202310303132[[#This Row],[الدفعات]]</f>
        <v>0</v>
      </c>
    </row>
    <row r="164" spans="11:13" ht="26.25" customHeight="1" x14ac:dyDescent="0.3">
      <c r="K16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64" s="1">
        <f>M163+Table11819202310303132[[#This Row],[اجمالي الفاتوره]]-Table11819202310303132[[#This Row],[الدفعات]]</f>
        <v>0</v>
      </c>
    </row>
    <row r="165" spans="11:13" ht="26.25" customHeight="1" x14ac:dyDescent="0.3">
      <c r="K16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65" s="1">
        <f>M164+Table11819202310303132[[#This Row],[اجمالي الفاتوره]]-Table11819202310303132[[#This Row],[الدفعات]]</f>
        <v>0</v>
      </c>
    </row>
    <row r="166" spans="11:13" ht="26.25" customHeight="1" x14ac:dyDescent="0.3">
      <c r="K16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66" s="1">
        <f>M165+Table11819202310303132[[#This Row],[اجمالي الفاتوره]]-Table11819202310303132[[#This Row],[الدفعات]]</f>
        <v>0</v>
      </c>
    </row>
    <row r="167" spans="11:13" ht="26.25" customHeight="1" x14ac:dyDescent="0.3">
      <c r="K16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67" s="1">
        <f>M166+Table11819202310303132[[#This Row],[اجمالي الفاتوره]]-Table11819202310303132[[#This Row],[الدفعات]]</f>
        <v>0</v>
      </c>
    </row>
    <row r="168" spans="11:13" ht="26.25" customHeight="1" x14ac:dyDescent="0.3">
      <c r="K16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68" s="1">
        <f>M167+Table11819202310303132[[#This Row],[اجمالي الفاتوره]]-Table11819202310303132[[#This Row],[الدفعات]]</f>
        <v>0</v>
      </c>
    </row>
    <row r="169" spans="11:13" ht="26.25" customHeight="1" x14ac:dyDescent="0.3">
      <c r="K16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69" s="1">
        <f>M168+Table11819202310303132[[#This Row],[اجمالي الفاتوره]]-Table11819202310303132[[#This Row],[الدفعات]]</f>
        <v>0</v>
      </c>
    </row>
    <row r="170" spans="11:13" ht="26.25" customHeight="1" x14ac:dyDescent="0.3">
      <c r="K17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70" s="1">
        <f>M169+Table11819202310303132[[#This Row],[اجمالي الفاتوره]]-Table11819202310303132[[#This Row],[الدفعات]]</f>
        <v>0</v>
      </c>
    </row>
    <row r="171" spans="11:13" ht="26.25" customHeight="1" x14ac:dyDescent="0.3">
      <c r="K17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71" s="1">
        <f>M170+Table11819202310303132[[#This Row],[اجمالي الفاتوره]]-Table11819202310303132[[#This Row],[الدفعات]]</f>
        <v>0</v>
      </c>
    </row>
    <row r="172" spans="11:13" ht="26.25" customHeight="1" x14ac:dyDescent="0.3">
      <c r="K17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72" s="1">
        <f>M171+Table11819202310303132[[#This Row],[اجمالي الفاتوره]]-Table11819202310303132[[#This Row],[الدفعات]]</f>
        <v>0</v>
      </c>
    </row>
    <row r="173" spans="11:13" ht="26.25" customHeight="1" x14ac:dyDescent="0.3">
      <c r="K17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73" s="1">
        <f>M172+Table11819202310303132[[#This Row],[اجمالي الفاتوره]]-Table11819202310303132[[#This Row],[الدفعات]]</f>
        <v>0</v>
      </c>
    </row>
    <row r="174" spans="11:13" ht="26.25" customHeight="1" x14ac:dyDescent="0.3">
      <c r="K17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74" s="1">
        <f>M173+Table11819202310303132[[#This Row],[اجمالي الفاتوره]]-Table11819202310303132[[#This Row],[الدفعات]]</f>
        <v>0</v>
      </c>
    </row>
    <row r="175" spans="11:13" ht="26.25" customHeight="1" x14ac:dyDescent="0.3">
      <c r="K17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75" s="1">
        <f>M174+Table11819202310303132[[#This Row],[اجمالي الفاتوره]]-Table11819202310303132[[#This Row],[الدفعات]]</f>
        <v>0</v>
      </c>
    </row>
    <row r="176" spans="11:13" ht="26.25" customHeight="1" x14ac:dyDescent="0.3">
      <c r="K17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76" s="1">
        <f>M175+Table11819202310303132[[#This Row],[اجمالي الفاتوره]]-Table11819202310303132[[#This Row],[الدفعات]]</f>
        <v>0</v>
      </c>
    </row>
    <row r="177" spans="11:13" ht="26.25" customHeight="1" x14ac:dyDescent="0.3">
      <c r="K17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77" s="1">
        <f>M176+Table11819202310303132[[#This Row],[اجمالي الفاتوره]]-Table11819202310303132[[#This Row],[الدفعات]]</f>
        <v>0</v>
      </c>
    </row>
    <row r="178" spans="11:13" ht="26.25" customHeight="1" x14ac:dyDescent="0.3">
      <c r="K17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78" s="1">
        <f>M177+Table11819202310303132[[#This Row],[اجمالي الفاتوره]]-Table11819202310303132[[#This Row],[الدفعات]]</f>
        <v>0</v>
      </c>
    </row>
    <row r="179" spans="11:13" ht="26.25" customHeight="1" x14ac:dyDescent="0.3">
      <c r="K17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79" s="1">
        <f>M178+Table11819202310303132[[#This Row],[اجمالي الفاتوره]]-Table11819202310303132[[#This Row],[الدفعات]]</f>
        <v>0</v>
      </c>
    </row>
    <row r="180" spans="11:13" ht="26.25" customHeight="1" x14ac:dyDescent="0.3">
      <c r="K18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80" s="1">
        <f>M179+Table11819202310303132[[#This Row],[اجمالي الفاتوره]]-Table11819202310303132[[#This Row],[الدفعات]]</f>
        <v>0</v>
      </c>
    </row>
    <row r="181" spans="11:13" ht="26.25" customHeight="1" x14ac:dyDescent="0.3">
      <c r="K18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81" s="1">
        <f>M180+Table11819202310303132[[#This Row],[اجمالي الفاتوره]]-Table11819202310303132[[#This Row],[الدفعات]]</f>
        <v>0</v>
      </c>
    </row>
    <row r="182" spans="11:13" ht="26.25" customHeight="1" x14ac:dyDescent="0.3">
      <c r="K18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82" s="1">
        <f>M181+Table11819202310303132[[#This Row],[اجمالي الفاتوره]]-Table11819202310303132[[#This Row],[الدفعات]]</f>
        <v>0</v>
      </c>
    </row>
    <row r="183" spans="11:13" ht="26.25" customHeight="1" x14ac:dyDescent="0.3">
      <c r="K18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83" s="1">
        <f>M182+Table11819202310303132[[#This Row],[اجمالي الفاتوره]]-Table11819202310303132[[#This Row],[الدفعات]]</f>
        <v>0</v>
      </c>
    </row>
    <row r="184" spans="11:13" ht="26.25" customHeight="1" x14ac:dyDescent="0.3">
      <c r="K18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84" s="1">
        <f>M183+Table11819202310303132[[#This Row],[اجمالي الفاتوره]]-Table11819202310303132[[#This Row],[الدفعات]]</f>
        <v>0</v>
      </c>
    </row>
    <row r="185" spans="11:13" ht="26.25" customHeight="1" x14ac:dyDescent="0.3">
      <c r="K18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85" s="1">
        <f>M184+Table11819202310303132[[#This Row],[اجمالي الفاتوره]]-Table11819202310303132[[#This Row],[الدفعات]]</f>
        <v>0</v>
      </c>
    </row>
    <row r="186" spans="11:13" ht="26.25" customHeight="1" x14ac:dyDescent="0.3">
      <c r="K18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86" s="1">
        <f>M185+Table11819202310303132[[#This Row],[اجمالي الفاتوره]]-Table11819202310303132[[#This Row],[الدفعات]]</f>
        <v>0</v>
      </c>
    </row>
    <row r="187" spans="11:13" ht="26.25" customHeight="1" x14ac:dyDescent="0.3">
      <c r="K18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87" s="1">
        <f>M186+Table11819202310303132[[#This Row],[اجمالي الفاتوره]]-Table11819202310303132[[#This Row],[الدفعات]]</f>
        <v>0</v>
      </c>
    </row>
    <row r="188" spans="11:13" ht="26.25" customHeight="1" x14ac:dyDescent="0.3">
      <c r="K18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88" s="1">
        <f>M187+Table11819202310303132[[#This Row],[اجمالي الفاتوره]]-Table11819202310303132[[#This Row],[الدفعات]]</f>
        <v>0</v>
      </c>
    </row>
    <row r="189" spans="11:13" ht="26.25" customHeight="1" x14ac:dyDescent="0.3">
      <c r="K18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89" s="1">
        <f>M188+Table11819202310303132[[#This Row],[اجمالي الفاتوره]]-Table11819202310303132[[#This Row],[الدفعات]]</f>
        <v>0</v>
      </c>
    </row>
    <row r="190" spans="11:13" ht="26.25" customHeight="1" x14ac:dyDescent="0.3">
      <c r="K19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90" s="1">
        <f>M189+Table11819202310303132[[#This Row],[اجمالي الفاتوره]]-Table11819202310303132[[#This Row],[الدفعات]]</f>
        <v>0</v>
      </c>
    </row>
    <row r="191" spans="11:13" ht="26.25" customHeight="1" x14ac:dyDescent="0.3">
      <c r="K19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91" s="1">
        <f>M190+Table11819202310303132[[#This Row],[اجمالي الفاتوره]]-Table11819202310303132[[#This Row],[الدفعات]]</f>
        <v>0</v>
      </c>
    </row>
    <row r="192" spans="11:13" ht="26.25" customHeight="1" x14ac:dyDescent="0.3">
      <c r="K19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92" s="1">
        <f>M191+Table11819202310303132[[#This Row],[اجمالي الفاتوره]]-Table11819202310303132[[#This Row],[الدفعات]]</f>
        <v>0</v>
      </c>
    </row>
    <row r="193" spans="11:13" ht="26.25" customHeight="1" x14ac:dyDescent="0.3">
      <c r="K19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93" s="1">
        <f>M192+Table11819202310303132[[#This Row],[اجمالي الفاتوره]]-Table11819202310303132[[#This Row],[الدفعات]]</f>
        <v>0</v>
      </c>
    </row>
    <row r="194" spans="11:13" ht="26.25" customHeight="1" x14ac:dyDescent="0.3">
      <c r="K19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94" s="1">
        <f>M193+Table11819202310303132[[#This Row],[اجمالي الفاتوره]]-Table11819202310303132[[#This Row],[الدفعات]]</f>
        <v>0</v>
      </c>
    </row>
    <row r="195" spans="11:13" ht="26.25" customHeight="1" x14ac:dyDescent="0.3">
      <c r="K19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95" s="1">
        <f>M194+Table11819202310303132[[#This Row],[اجمالي الفاتوره]]-Table11819202310303132[[#This Row],[الدفعات]]</f>
        <v>0</v>
      </c>
    </row>
    <row r="196" spans="11:13" ht="26.25" customHeight="1" x14ac:dyDescent="0.3">
      <c r="K19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96" s="1">
        <f>M195+Table11819202310303132[[#This Row],[اجمالي الفاتوره]]-Table11819202310303132[[#This Row],[الدفعات]]</f>
        <v>0</v>
      </c>
    </row>
    <row r="197" spans="11:13" ht="26.25" customHeight="1" x14ac:dyDescent="0.3">
      <c r="K19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97" s="1">
        <f>M196+Table11819202310303132[[#This Row],[اجمالي الفاتوره]]-Table11819202310303132[[#This Row],[الدفعات]]</f>
        <v>0</v>
      </c>
    </row>
    <row r="198" spans="11:13" ht="26.25" customHeight="1" x14ac:dyDescent="0.3">
      <c r="K19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98" s="1">
        <f>M197+Table11819202310303132[[#This Row],[اجمالي الفاتوره]]-Table11819202310303132[[#This Row],[الدفعات]]</f>
        <v>0</v>
      </c>
    </row>
    <row r="199" spans="11:13" ht="26.25" customHeight="1" x14ac:dyDescent="0.3">
      <c r="K19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199" s="1">
        <f>M198+Table11819202310303132[[#This Row],[اجمالي الفاتوره]]-Table11819202310303132[[#This Row],[الدفعات]]</f>
        <v>0</v>
      </c>
    </row>
    <row r="200" spans="11:13" ht="26.25" customHeight="1" x14ac:dyDescent="0.3">
      <c r="K20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00" s="1">
        <f>M199+Table11819202310303132[[#This Row],[اجمالي الفاتوره]]-Table11819202310303132[[#This Row],[الدفعات]]</f>
        <v>0</v>
      </c>
    </row>
    <row r="201" spans="11:13" ht="26.25" customHeight="1" x14ac:dyDescent="0.3">
      <c r="K20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01" s="1">
        <f>M200+Table11819202310303132[[#This Row],[اجمالي الفاتوره]]-Table11819202310303132[[#This Row],[الدفعات]]</f>
        <v>0</v>
      </c>
    </row>
    <row r="202" spans="11:13" ht="26.25" customHeight="1" x14ac:dyDescent="0.3">
      <c r="K20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02" s="1">
        <f>M201+Table11819202310303132[[#This Row],[اجمالي الفاتوره]]-Table11819202310303132[[#This Row],[الدفعات]]</f>
        <v>0</v>
      </c>
    </row>
    <row r="203" spans="11:13" ht="26.25" customHeight="1" x14ac:dyDescent="0.3">
      <c r="K20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03" s="1">
        <f>M202+Table11819202310303132[[#This Row],[اجمالي الفاتوره]]-Table11819202310303132[[#This Row],[الدفعات]]</f>
        <v>0</v>
      </c>
    </row>
    <row r="204" spans="11:13" ht="26.25" customHeight="1" x14ac:dyDescent="0.3">
      <c r="K20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04" s="1">
        <f>M203+Table11819202310303132[[#This Row],[اجمالي الفاتوره]]-Table11819202310303132[[#This Row],[الدفعات]]</f>
        <v>0</v>
      </c>
    </row>
    <row r="205" spans="11:13" ht="26.25" customHeight="1" x14ac:dyDescent="0.3">
      <c r="K20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05" s="1">
        <f>M204+Table11819202310303132[[#This Row],[اجمالي الفاتوره]]-Table11819202310303132[[#This Row],[الدفعات]]</f>
        <v>0</v>
      </c>
    </row>
    <row r="206" spans="11:13" ht="26.25" customHeight="1" x14ac:dyDescent="0.3">
      <c r="K20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06" s="1">
        <f>M205+Table11819202310303132[[#This Row],[اجمالي الفاتوره]]-Table11819202310303132[[#This Row],[الدفعات]]</f>
        <v>0</v>
      </c>
    </row>
    <row r="207" spans="11:13" ht="26.25" customHeight="1" x14ac:dyDescent="0.3">
      <c r="K20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07" s="1">
        <f>M206+Table11819202310303132[[#This Row],[اجمالي الفاتوره]]-Table11819202310303132[[#This Row],[الدفعات]]</f>
        <v>0</v>
      </c>
    </row>
    <row r="208" spans="11:13" ht="26.25" customHeight="1" x14ac:dyDescent="0.3">
      <c r="K20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08" s="1">
        <f>M207+Table11819202310303132[[#This Row],[اجمالي الفاتوره]]-Table11819202310303132[[#This Row],[الدفعات]]</f>
        <v>0</v>
      </c>
    </row>
    <row r="209" spans="11:13" ht="26.25" customHeight="1" x14ac:dyDescent="0.3">
      <c r="K20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09" s="1">
        <f>M208+Table11819202310303132[[#This Row],[اجمالي الفاتوره]]-Table11819202310303132[[#This Row],[الدفعات]]</f>
        <v>0</v>
      </c>
    </row>
    <row r="210" spans="11:13" ht="26.25" customHeight="1" x14ac:dyDescent="0.3">
      <c r="K21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10" s="1">
        <f>M209+Table11819202310303132[[#This Row],[اجمالي الفاتوره]]-Table11819202310303132[[#This Row],[الدفعات]]</f>
        <v>0</v>
      </c>
    </row>
    <row r="211" spans="11:13" ht="26.25" customHeight="1" x14ac:dyDescent="0.3">
      <c r="K21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11" s="1">
        <f>M210+Table11819202310303132[[#This Row],[اجمالي الفاتوره]]-Table11819202310303132[[#This Row],[الدفعات]]</f>
        <v>0</v>
      </c>
    </row>
    <row r="212" spans="11:13" ht="26.25" customHeight="1" x14ac:dyDescent="0.3">
      <c r="K21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12" s="1">
        <f>M211+Table11819202310303132[[#This Row],[اجمالي الفاتوره]]-Table11819202310303132[[#This Row],[الدفعات]]</f>
        <v>0</v>
      </c>
    </row>
    <row r="213" spans="11:13" ht="26.25" customHeight="1" x14ac:dyDescent="0.3">
      <c r="K21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13" s="1">
        <f>M212+Table11819202310303132[[#This Row],[اجمالي الفاتوره]]-Table11819202310303132[[#This Row],[الدفعات]]</f>
        <v>0</v>
      </c>
    </row>
    <row r="214" spans="11:13" ht="26.25" customHeight="1" x14ac:dyDescent="0.3">
      <c r="K21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14" s="1">
        <f>M213+Table11819202310303132[[#This Row],[اجمالي الفاتوره]]-Table11819202310303132[[#This Row],[الدفعات]]</f>
        <v>0</v>
      </c>
    </row>
    <row r="215" spans="11:13" ht="26.25" customHeight="1" x14ac:dyDescent="0.3">
      <c r="K21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15" s="1">
        <f>M214+Table11819202310303132[[#This Row],[اجمالي الفاتوره]]-Table11819202310303132[[#This Row],[الدفعات]]</f>
        <v>0</v>
      </c>
    </row>
    <row r="216" spans="11:13" ht="26.25" customHeight="1" x14ac:dyDescent="0.3">
      <c r="K21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16" s="1">
        <f>M215+Table11819202310303132[[#This Row],[اجمالي الفاتوره]]-Table11819202310303132[[#This Row],[الدفعات]]</f>
        <v>0</v>
      </c>
    </row>
    <row r="217" spans="11:13" ht="26.25" customHeight="1" x14ac:dyDescent="0.3">
      <c r="K21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17" s="1">
        <f>M216+Table11819202310303132[[#This Row],[اجمالي الفاتوره]]-Table11819202310303132[[#This Row],[الدفعات]]</f>
        <v>0</v>
      </c>
    </row>
    <row r="218" spans="11:13" ht="26.25" customHeight="1" x14ac:dyDescent="0.3">
      <c r="K21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18" s="1">
        <f>M217+Table11819202310303132[[#This Row],[اجمالي الفاتوره]]-Table11819202310303132[[#This Row],[الدفعات]]</f>
        <v>0</v>
      </c>
    </row>
    <row r="219" spans="11:13" ht="26.25" customHeight="1" x14ac:dyDescent="0.3">
      <c r="K21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19" s="1">
        <f>M218+Table11819202310303132[[#This Row],[اجمالي الفاتوره]]-Table11819202310303132[[#This Row],[الدفعات]]</f>
        <v>0</v>
      </c>
    </row>
    <row r="220" spans="11:13" ht="26.25" customHeight="1" x14ac:dyDescent="0.3">
      <c r="K22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20" s="1">
        <f>M219+Table11819202310303132[[#This Row],[اجمالي الفاتوره]]-Table11819202310303132[[#This Row],[الدفعات]]</f>
        <v>0</v>
      </c>
    </row>
    <row r="221" spans="11:13" ht="26.25" customHeight="1" x14ac:dyDescent="0.3">
      <c r="K22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21" s="1">
        <f>M220+Table11819202310303132[[#This Row],[اجمالي الفاتوره]]-Table11819202310303132[[#This Row],[الدفعات]]</f>
        <v>0</v>
      </c>
    </row>
    <row r="222" spans="11:13" ht="26.25" customHeight="1" x14ac:dyDescent="0.3">
      <c r="K22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22" s="1">
        <f>M221+Table11819202310303132[[#This Row],[اجمالي الفاتوره]]-Table11819202310303132[[#This Row],[الدفعات]]</f>
        <v>0</v>
      </c>
    </row>
    <row r="223" spans="11:13" ht="26.25" customHeight="1" x14ac:dyDescent="0.3">
      <c r="K22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23" s="1">
        <f>M222+Table11819202310303132[[#This Row],[اجمالي الفاتوره]]-Table11819202310303132[[#This Row],[الدفعات]]</f>
        <v>0</v>
      </c>
    </row>
    <row r="224" spans="11:13" ht="26.25" customHeight="1" x14ac:dyDescent="0.3">
      <c r="K22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24" s="1">
        <f>M223+Table11819202310303132[[#This Row],[اجمالي الفاتوره]]-Table11819202310303132[[#This Row],[الدفعات]]</f>
        <v>0</v>
      </c>
    </row>
    <row r="225" spans="11:13" ht="26.25" customHeight="1" x14ac:dyDescent="0.3">
      <c r="K22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25" s="1">
        <f>M224+Table11819202310303132[[#This Row],[اجمالي الفاتوره]]-Table11819202310303132[[#This Row],[الدفعات]]</f>
        <v>0</v>
      </c>
    </row>
    <row r="226" spans="11:13" ht="26.25" customHeight="1" x14ac:dyDescent="0.3">
      <c r="K22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26" s="1">
        <f>M225+Table11819202310303132[[#This Row],[اجمالي الفاتوره]]-Table11819202310303132[[#This Row],[الدفعات]]</f>
        <v>0</v>
      </c>
    </row>
    <row r="227" spans="11:13" ht="26.25" customHeight="1" x14ac:dyDescent="0.3">
      <c r="K22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27" s="1">
        <f>M226+Table11819202310303132[[#This Row],[اجمالي الفاتوره]]-Table11819202310303132[[#This Row],[الدفعات]]</f>
        <v>0</v>
      </c>
    </row>
    <row r="228" spans="11:13" ht="26.25" customHeight="1" x14ac:dyDescent="0.3">
      <c r="K22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28" s="1">
        <f>M227+Table11819202310303132[[#This Row],[اجمالي الفاتوره]]-Table11819202310303132[[#This Row],[الدفعات]]</f>
        <v>0</v>
      </c>
    </row>
    <row r="229" spans="11:13" ht="26.25" customHeight="1" x14ac:dyDescent="0.3">
      <c r="K22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29" s="1">
        <f>M228+Table11819202310303132[[#This Row],[اجمالي الفاتوره]]-Table11819202310303132[[#This Row],[الدفعات]]</f>
        <v>0</v>
      </c>
    </row>
    <row r="230" spans="11:13" ht="26.25" customHeight="1" x14ac:dyDescent="0.3">
      <c r="K23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30" s="1">
        <f>M229+Table11819202310303132[[#This Row],[اجمالي الفاتوره]]-Table11819202310303132[[#This Row],[الدفعات]]</f>
        <v>0</v>
      </c>
    </row>
    <row r="231" spans="11:13" ht="26.25" customHeight="1" x14ac:dyDescent="0.3">
      <c r="K23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31" s="1">
        <f>M230+Table11819202310303132[[#This Row],[اجمالي الفاتوره]]-Table11819202310303132[[#This Row],[الدفعات]]</f>
        <v>0</v>
      </c>
    </row>
    <row r="232" spans="11:13" ht="26.25" customHeight="1" x14ac:dyDescent="0.3">
      <c r="K23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32" s="1">
        <f>M231+Table11819202310303132[[#This Row],[اجمالي الفاتوره]]-Table11819202310303132[[#This Row],[الدفعات]]</f>
        <v>0</v>
      </c>
    </row>
    <row r="233" spans="11:13" ht="26.25" customHeight="1" x14ac:dyDescent="0.3">
      <c r="K23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33" s="1">
        <f>M232+Table11819202310303132[[#This Row],[اجمالي الفاتوره]]-Table11819202310303132[[#This Row],[الدفعات]]</f>
        <v>0</v>
      </c>
    </row>
    <row r="234" spans="11:13" ht="26.25" customHeight="1" x14ac:dyDescent="0.3">
      <c r="K23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34" s="1">
        <f>M233+Table11819202310303132[[#This Row],[اجمالي الفاتوره]]-Table11819202310303132[[#This Row],[الدفعات]]</f>
        <v>0</v>
      </c>
    </row>
    <row r="235" spans="11:13" ht="26.25" customHeight="1" x14ac:dyDescent="0.3">
      <c r="K23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35" s="1">
        <f>M234+Table11819202310303132[[#This Row],[اجمالي الفاتوره]]-Table11819202310303132[[#This Row],[الدفعات]]</f>
        <v>0</v>
      </c>
    </row>
    <row r="236" spans="11:13" ht="26.25" customHeight="1" x14ac:dyDescent="0.3">
      <c r="K23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36" s="1">
        <f>M235+Table11819202310303132[[#This Row],[اجمالي الفاتوره]]-Table11819202310303132[[#This Row],[الدفعات]]</f>
        <v>0</v>
      </c>
    </row>
    <row r="237" spans="11:13" ht="26.25" customHeight="1" x14ac:dyDescent="0.3">
      <c r="K23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37" s="1">
        <f>M236+Table11819202310303132[[#This Row],[اجمالي الفاتوره]]-Table11819202310303132[[#This Row],[الدفعات]]</f>
        <v>0</v>
      </c>
    </row>
    <row r="238" spans="11:13" ht="26.25" customHeight="1" x14ac:dyDescent="0.3">
      <c r="K23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38" s="1">
        <f>M237+Table11819202310303132[[#This Row],[اجمالي الفاتوره]]-Table11819202310303132[[#This Row],[الدفعات]]</f>
        <v>0</v>
      </c>
    </row>
    <row r="239" spans="11:13" ht="26.25" customHeight="1" x14ac:dyDescent="0.3">
      <c r="K23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39" s="1">
        <f>M238+Table11819202310303132[[#This Row],[اجمالي الفاتوره]]-Table11819202310303132[[#This Row],[الدفعات]]</f>
        <v>0</v>
      </c>
    </row>
    <row r="240" spans="11:13" ht="26.25" customHeight="1" x14ac:dyDescent="0.3">
      <c r="K24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40" s="1">
        <f>M239+Table11819202310303132[[#This Row],[اجمالي الفاتوره]]-Table11819202310303132[[#This Row],[الدفعات]]</f>
        <v>0</v>
      </c>
    </row>
    <row r="241" spans="9:13" ht="26.25" customHeight="1" x14ac:dyDescent="0.3">
      <c r="K24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41" s="1">
        <f>M240+Table11819202310303132[[#This Row],[اجمالي الفاتوره]]-Table11819202310303132[[#This Row],[الدفعات]]</f>
        <v>0</v>
      </c>
    </row>
    <row r="242" spans="9:13" ht="26.25" customHeight="1" x14ac:dyDescent="0.3">
      <c r="K24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42" s="1">
        <f>M241+Table11819202310303132[[#This Row],[اجمالي الفاتوره]]-Table11819202310303132[[#This Row],[الدفعات]]</f>
        <v>0</v>
      </c>
    </row>
    <row r="243" spans="9:13" ht="26.25" customHeight="1" x14ac:dyDescent="0.3">
      <c r="K24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43" s="1">
        <f>M242+Table11819202310303132[[#This Row],[اجمالي الفاتوره]]-Table11819202310303132[[#This Row],[الدفعات]]</f>
        <v>0</v>
      </c>
    </row>
    <row r="244" spans="9:13" ht="26.25" customHeight="1" x14ac:dyDescent="0.3">
      <c r="K24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44" s="1">
        <f>M243+Table11819202310303132[[#This Row],[اجمالي الفاتوره]]-Table11819202310303132[[#This Row],[الدفعات]]</f>
        <v>0</v>
      </c>
    </row>
    <row r="245" spans="9:13" ht="26.25" customHeight="1" x14ac:dyDescent="0.3">
      <c r="K24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45" s="1">
        <f>M244+Table11819202310303132[[#This Row],[اجمالي الفاتوره]]-Table11819202310303132[[#This Row],[الدفعات]]</f>
        <v>0</v>
      </c>
    </row>
    <row r="246" spans="9:13" ht="26.25" customHeight="1" x14ac:dyDescent="0.3">
      <c r="K24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46" s="1">
        <f>M245+Table11819202310303132[[#This Row],[اجمالي الفاتوره]]-Table11819202310303132[[#This Row],[الدفعات]]</f>
        <v>0</v>
      </c>
    </row>
    <row r="247" spans="9:13" ht="26.25" customHeight="1" x14ac:dyDescent="0.3">
      <c r="K24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47" s="1">
        <f>M246+Table11819202310303132[[#This Row],[اجمالي الفاتوره]]-Table11819202310303132[[#This Row],[الدفعات]]</f>
        <v>0</v>
      </c>
    </row>
    <row r="248" spans="9:13" ht="26.25" customHeight="1" x14ac:dyDescent="0.3">
      <c r="K24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48" s="1">
        <f>M247+Table11819202310303132[[#This Row],[اجمالي الفاتوره]]-Table11819202310303132[[#This Row],[الدفعات]]</f>
        <v>0</v>
      </c>
    </row>
    <row r="249" spans="9:13" ht="26.25" customHeight="1" x14ac:dyDescent="0.3">
      <c r="K24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49" s="1">
        <f>M248+Table11819202310303132[[#This Row],[اجمالي الفاتوره]]-Table11819202310303132[[#This Row],[الدفعات]]</f>
        <v>0</v>
      </c>
    </row>
    <row r="250" spans="9:13" ht="26.25" customHeight="1" x14ac:dyDescent="0.3">
      <c r="K25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50" s="1">
        <f>M249+Table11819202310303132[[#This Row],[اجمالي الفاتوره]]-Table11819202310303132[[#This Row],[الدفعات]]</f>
        <v>0</v>
      </c>
    </row>
    <row r="251" spans="9:13" ht="26.25" customHeight="1" x14ac:dyDescent="0.3">
      <c r="K25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51" s="1">
        <f>M250+Table11819202310303132[[#This Row],[اجمالي الفاتوره]]-Table11819202310303132[[#This Row],[الدفعات]]</f>
        <v>0</v>
      </c>
    </row>
    <row r="252" spans="9:13" ht="26.25" customHeight="1" x14ac:dyDescent="0.3">
      <c r="I252" s="1">
        <f>0.03*Table11819202310303132[[#This Row],[النولون]]</f>
        <v>0</v>
      </c>
      <c r="K25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52" s="1">
        <f>M251+Table11819202310303132[[#This Row],[اجمالي الفاتوره]]-Table11819202310303132[[#This Row],[الدفعات]]</f>
        <v>0</v>
      </c>
    </row>
    <row r="253" spans="9:13" ht="26.25" customHeight="1" x14ac:dyDescent="0.3">
      <c r="I253" s="1">
        <f>0.03*Table11819202310303132[[#This Row],[النولون]]</f>
        <v>0</v>
      </c>
      <c r="K25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53" s="1">
        <f>M252+Table11819202310303132[[#This Row],[اجمالي الفاتوره]]-Table11819202310303132[[#This Row],[الدفعات]]</f>
        <v>0</v>
      </c>
    </row>
    <row r="254" spans="9:13" ht="26.25" customHeight="1" x14ac:dyDescent="0.3">
      <c r="I254" s="1">
        <f>0.03*Table11819202310303132[[#This Row],[النولون]]</f>
        <v>0</v>
      </c>
      <c r="K25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54" s="1">
        <f>M253+Table11819202310303132[[#This Row],[اجمالي الفاتوره]]-Table11819202310303132[[#This Row],[الدفعات]]</f>
        <v>0</v>
      </c>
    </row>
    <row r="255" spans="9:13" ht="26.25" customHeight="1" x14ac:dyDescent="0.3">
      <c r="I255" s="1">
        <f>0.03*Table11819202310303132[[#This Row],[النولون]]</f>
        <v>0</v>
      </c>
      <c r="K25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55" s="1">
        <f>M254+Table11819202310303132[[#This Row],[اجمالي الفاتوره]]-Table11819202310303132[[#This Row],[الدفعات]]</f>
        <v>0</v>
      </c>
    </row>
    <row r="256" spans="9:13" ht="26.25" customHeight="1" x14ac:dyDescent="0.3">
      <c r="I256" s="1">
        <f>0.03*Table11819202310303132[[#This Row],[النولون]]</f>
        <v>0</v>
      </c>
      <c r="K25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56" s="1">
        <f>M255+Table11819202310303132[[#This Row],[اجمالي الفاتوره]]-Table11819202310303132[[#This Row],[الدفعات]]</f>
        <v>0</v>
      </c>
    </row>
    <row r="257" spans="9:13" ht="26.25" customHeight="1" x14ac:dyDescent="0.3">
      <c r="I257" s="1">
        <f>0.03*Table11819202310303132[[#This Row],[النولون]]</f>
        <v>0</v>
      </c>
      <c r="K25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57" s="1">
        <f>M256+Table11819202310303132[[#This Row],[اجمالي الفاتوره]]-Table11819202310303132[[#This Row],[الدفعات]]</f>
        <v>0</v>
      </c>
    </row>
    <row r="258" spans="9:13" ht="26.25" customHeight="1" x14ac:dyDescent="0.3">
      <c r="I258" s="1">
        <f>0.03*Table11819202310303132[[#This Row],[النولون]]</f>
        <v>0</v>
      </c>
      <c r="K25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58" s="1">
        <f>M257+Table11819202310303132[[#This Row],[اجمالي الفاتوره]]-Table11819202310303132[[#This Row],[الدفعات]]</f>
        <v>0</v>
      </c>
    </row>
    <row r="259" spans="9:13" ht="26.25" customHeight="1" x14ac:dyDescent="0.3">
      <c r="I259" s="1">
        <f>0.03*Table11819202310303132[[#This Row],[النولون]]</f>
        <v>0</v>
      </c>
      <c r="K25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59" s="1">
        <f>M258+Table11819202310303132[[#This Row],[اجمالي الفاتوره]]-Table11819202310303132[[#This Row],[الدفعات]]</f>
        <v>0</v>
      </c>
    </row>
    <row r="260" spans="9:13" ht="26.25" customHeight="1" x14ac:dyDescent="0.3">
      <c r="I260" s="1">
        <f>0.03*Table11819202310303132[[#This Row],[النولون]]</f>
        <v>0</v>
      </c>
      <c r="K26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60" s="1">
        <f>M259+Table11819202310303132[[#This Row],[اجمالي الفاتوره]]-Table11819202310303132[[#This Row],[الدفعات]]</f>
        <v>0</v>
      </c>
    </row>
    <row r="261" spans="9:13" ht="26.25" customHeight="1" x14ac:dyDescent="0.3">
      <c r="I261" s="1">
        <f>0.03*Table11819202310303132[[#This Row],[النولون]]</f>
        <v>0</v>
      </c>
      <c r="K26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61" s="1">
        <f>M260+Table11819202310303132[[#This Row],[اجمالي الفاتوره]]-Table11819202310303132[[#This Row],[الدفعات]]</f>
        <v>0</v>
      </c>
    </row>
    <row r="262" spans="9:13" ht="26.25" customHeight="1" x14ac:dyDescent="0.3">
      <c r="I262" s="1">
        <f>0.03*Table11819202310303132[[#This Row],[النولون]]</f>
        <v>0</v>
      </c>
      <c r="K26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62" s="1">
        <f>M261+Table11819202310303132[[#This Row],[اجمالي الفاتوره]]-Table11819202310303132[[#This Row],[الدفعات]]</f>
        <v>0</v>
      </c>
    </row>
    <row r="263" spans="9:13" ht="26.25" customHeight="1" x14ac:dyDescent="0.3">
      <c r="I263" s="1">
        <f>0.03*Table11819202310303132[[#This Row],[النولون]]</f>
        <v>0</v>
      </c>
      <c r="K26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63" s="1">
        <f>M262+Table11819202310303132[[#This Row],[اجمالي الفاتوره]]-Table11819202310303132[[#This Row],[الدفعات]]</f>
        <v>0</v>
      </c>
    </row>
    <row r="264" spans="9:13" ht="26.25" customHeight="1" x14ac:dyDescent="0.3">
      <c r="I264" s="1">
        <f>0.03*Table11819202310303132[[#This Row],[النولون]]</f>
        <v>0</v>
      </c>
      <c r="K26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64" s="1">
        <f>M263+Table11819202310303132[[#This Row],[اجمالي الفاتوره]]-Table11819202310303132[[#This Row],[الدفعات]]</f>
        <v>0</v>
      </c>
    </row>
    <row r="265" spans="9:13" ht="26.25" customHeight="1" x14ac:dyDescent="0.3">
      <c r="I265" s="1">
        <f>0.03*Table11819202310303132[[#This Row],[النولون]]</f>
        <v>0</v>
      </c>
      <c r="K26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65" s="1">
        <f>M264+Table11819202310303132[[#This Row],[اجمالي الفاتوره]]-Table11819202310303132[[#This Row],[الدفعات]]</f>
        <v>0</v>
      </c>
    </row>
    <row r="266" spans="9:13" ht="26.25" customHeight="1" x14ac:dyDescent="0.3">
      <c r="I266" s="1">
        <f>0.03*Table11819202310303132[[#This Row],[النولون]]</f>
        <v>0</v>
      </c>
      <c r="K26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66" s="1">
        <f>M265+Table11819202310303132[[#This Row],[اجمالي الفاتوره]]-Table11819202310303132[[#This Row],[الدفعات]]</f>
        <v>0</v>
      </c>
    </row>
    <row r="267" spans="9:13" ht="26.25" customHeight="1" x14ac:dyDescent="0.3">
      <c r="I267" s="1">
        <f>0.03*Table11819202310303132[[#This Row],[النولون]]</f>
        <v>0</v>
      </c>
      <c r="K26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67" s="1">
        <f>M266+Table11819202310303132[[#This Row],[اجمالي الفاتوره]]-Table11819202310303132[[#This Row],[الدفعات]]</f>
        <v>0</v>
      </c>
    </row>
    <row r="268" spans="9:13" ht="26.25" customHeight="1" x14ac:dyDescent="0.3">
      <c r="I268" s="1">
        <f>0.03*Table11819202310303132[[#This Row],[النولون]]</f>
        <v>0</v>
      </c>
      <c r="K26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68" s="1">
        <f>M267+Table11819202310303132[[#This Row],[اجمالي الفاتوره]]-Table11819202310303132[[#This Row],[الدفعات]]</f>
        <v>0</v>
      </c>
    </row>
    <row r="269" spans="9:13" ht="26.25" customHeight="1" x14ac:dyDescent="0.3">
      <c r="I269" s="1">
        <f>0.03*Table11819202310303132[[#This Row],[النولون]]</f>
        <v>0</v>
      </c>
      <c r="K26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69" s="1">
        <f>M268+Table11819202310303132[[#This Row],[اجمالي الفاتوره]]-Table11819202310303132[[#This Row],[الدفعات]]</f>
        <v>0</v>
      </c>
    </row>
    <row r="270" spans="9:13" ht="26.25" customHeight="1" x14ac:dyDescent="0.3">
      <c r="I270" s="1">
        <f>0.03*Table11819202310303132[[#This Row],[النولون]]</f>
        <v>0</v>
      </c>
      <c r="K27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70" s="1">
        <f>M269+Table11819202310303132[[#This Row],[اجمالي الفاتوره]]-Table11819202310303132[[#This Row],[الدفعات]]</f>
        <v>0</v>
      </c>
    </row>
    <row r="271" spans="9:13" ht="26.25" customHeight="1" x14ac:dyDescent="0.3">
      <c r="I271" s="1">
        <f>0.03*Table11819202310303132[[#This Row],[النولون]]</f>
        <v>0</v>
      </c>
      <c r="K27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71" s="1">
        <f>M270+Table11819202310303132[[#This Row],[اجمالي الفاتوره]]-Table11819202310303132[[#This Row],[الدفعات]]</f>
        <v>0</v>
      </c>
    </row>
    <row r="272" spans="9:13" ht="26.25" customHeight="1" x14ac:dyDescent="0.3">
      <c r="I272" s="1">
        <f>0.03*Table11819202310303132[[#This Row],[النولون]]</f>
        <v>0</v>
      </c>
      <c r="K27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72" s="1">
        <f>M271+Table11819202310303132[[#This Row],[اجمالي الفاتوره]]-Table11819202310303132[[#This Row],[الدفعات]]</f>
        <v>0</v>
      </c>
    </row>
    <row r="273" spans="9:13" ht="26.25" customHeight="1" x14ac:dyDescent="0.3">
      <c r="I273" s="1">
        <f>0.03*Table11819202310303132[[#This Row],[النولون]]</f>
        <v>0</v>
      </c>
      <c r="K27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73" s="1">
        <f>M272+Table11819202310303132[[#This Row],[اجمالي الفاتوره]]-Table11819202310303132[[#This Row],[الدفعات]]</f>
        <v>0</v>
      </c>
    </row>
    <row r="274" spans="9:13" ht="26.25" customHeight="1" x14ac:dyDescent="0.3">
      <c r="I274" s="1">
        <f>0.03*Table11819202310303132[[#This Row],[النولون]]</f>
        <v>0</v>
      </c>
      <c r="K27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74" s="1">
        <f>M273+Table11819202310303132[[#This Row],[اجمالي الفاتوره]]-Table11819202310303132[[#This Row],[الدفعات]]</f>
        <v>0</v>
      </c>
    </row>
    <row r="275" spans="9:13" ht="26.25" customHeight="1" x14ac:dyDescent="0.3">
      <c r="I275" s="1">
        <f>0.03*Table11819202310303132[[#This Row],[النولون]]</f>
        <v>0</v>
      </c>
      <c r="K27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75" s="1">
        <f>M274+Table11819202310303132[[#This Row],[اجمالي الفاتوره]]-Table11819202310303132[[#This Row],[الدفعات]]</f>
        <v>0</v>
      </c>
    </row>
    <row r="276" spans="9:13" ht="26.25" customHeight="1" x14ac:dyDescent="0.3">
      <c r="I276" s="1">
        <f>0.03*Table11819202310303132[[#This Row],[النولون]]</f>
        <v>0</v>
      </c>
      <c r="K27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76" s="1">
        <f>M275+Table11819202310303132[[#This Row],[اجمالي الفاتوره]]-Table11819202310303132[[#This Row],[الدفعات]]</f>
        <v>0</v>
      </c>
    </row>
    <row r="277" spans="9:13" ht="26.25" customHeight="1" x14ac:dyDescent="0.3">
      <c r="I277" s="1">
        <f>0.03*Table11819202310303132[[#This Row],[النولون]]</f>
        <v>0</v>
      </c>
      <c r="K27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77" s="1">
        <f>M276+Table11819202310303132[[#This Row],[اجمالي الفاتوره]]-Table11819202310303132[[#This Row],[الدفعات]]</f>
        <v>0</v>
      </c>
    </row>
    <row r="278" spans="9:13" ht="26.25" customHeight="1" x14ac:dyDescent="0.3">
      <c r="I278" s="1">
        <f>0.03*Table11819202310303132[[#This Row],[النولون]]</f>
        <v>0</v>
      </c>
      <c r="K27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78" s="1">
        <f>M277+Table11819202310303132[[#This Row],[اجمالي الفاتوره]]-Table11819202310303132[[#This Row],[الدفعات]]</f>
        <v>0</v>
      </c>
    </row>
    <row r="279" spans="9:13" ht="26.25" customHeight="1" x14ac:dyDescent="0.3">
      <c r="I279" s="1">
        <f>0.03*Table11819202310303132[[#This Row],[النولون]]</f>
        <v>0</v>
      </c>
      <c r="K27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79" s="1">
        <f>M278+Table11819202310303132[[#This Row],[اجمالي الفاتوره]]-Table11819202310303132[[#This Row],[الدفعات]]</f>
        <v>0</v>
      </c>
    </row>
    <row r="280" spans="9:13" ht="26.25" customHeight="1" x14ac:dyDescent="0.3">
      <c r="I280" s="1">
        <f>0.03*Table11819202310303132[[#This Row],[النولون]]</f>
        <v>0</v>
      </c>
      <c r="K28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80" s="1">
        <f>M279+Table11819202310303132[[#This Row],[اجمالي الفاتوره]]-Table11819202310303132[[#This Row],[الدفعات]]</f>
        <v>0</v>
      </c>
    </row>
    <row r="281" spans="9:13" ht="26.25" customHeight="1" x14ac:dyDescent="0.3">
      <c r="I281" s="1">
        <f>0.03*Table11819202310303132[[#This Row],[النولون]]</f>
        <v>0</v>
      </c>
      <c r="K28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81" s="1">
        <f>M280+Table11819202310303132[[#This Row],[اجمالي الفاتوره]]-Table11819202310303132[[#This Row],[الدفعات]]</f>
        <v>0</v>
      </c>
    </row>
    <row r="282" spans="9:13" ht="26.25" customHeight="1" x14ac:dyDescent="0.3">
      <c r="I282" s="1">
        <f>0.03*Table11819202310303132[[#This Row],[النولون]]</f>
        <v>0</v>
      </c>
      <c r="K28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82" s="1">
        <f>M281+Table11819202310303132[[#This Row],[اجمالي الفاتوره]]-Table11819202310303132[[#This Row],[الدفعات]]</f>
        <v>0</v>
      </c>
    </row>
    <row r="283" spans="9:13" ht="26.25" customHeight="1" x14ac:dyDescent="0.3">
      <c r="I283" s="1">
        <f>0.03*Table11819202310303132[[#This Row],[النولون]]</f>
        <v>0</v>
      </c>
      <c r="K28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83" s="1">
        <f>M282+Table11819202310303132[[#This Row],[اجمالي الفاتوره]]-Table11819202310303132[[#This Row],[الدفعات]]</f>
        <v>0</v>
      </c>
    </row>
    <row r="284" spans="9:13" ht="26.25" customHeight="1" x14ac:dyDescent="0.3">
      <c r="I284" s="1">
        <f>0.03*Table11819202310303132[[#This Row],[النولون]]</f>
        <v>0</v>
      </c>
      <c r="K28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84" s="1">
        <f>M283+Table11819202310303132[[#This Row],[اجمالي الفاتوره]]-Table11819202310303132[[#This Row],[الدفعات]]</f>
        <v>0</v>
      </c>
    </row>
    <row r="285" spans="9:13" ht="26.25" customHeight="1" x14ac:dyDescent="0.3">
      <c r="I285" s="1">
        <f>0.03*Table11819202310303132[[#This Row],[النولون]]</f>
        <v>0</v>
      </c>
      <c r="K28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85" s="1">
        <f>M284+Table11819202310303132[[#This Row],[اجمالي الفاتوره]]-Table11819202310303132[[#This Row],[الدفعات]]</f>
        <v>0</v>
      </c>
    </row>
    <row r="286" spans="9:13" ht="26.25" customHeight="1" x14ac:dyDescent="0.3">
      <c r="I286" s="1">
        <f>0.03*Table11819202310303132[[#This Row],[النولون]]</f>
        <v>0</v>
      </c>
      <c r="K28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86" s="1">
        <f>M285+Table11819202310303132[[#This Row],[اجمالي الفاتوره]]-Table11819202310303132[[#This Row],[الدفعات]]</f>
        <v>0</v>
      </c>
    </row>
    <row r="287" spans="9:13" ht="26.25" customHeight="1" x14ac:dyDescent="0.3">
      <c r="I287" s="1">
        <f>0.03*Table11819202310303132[[#This Row],[النولون]]</f>
        <v>0</v>
      </c>
      <c r="K28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87" s="1">
        <f>M286+Table11819202310303132[[#This Row],[اجمالي الفاتوره]]-Table11819202310303132[[#This Row],[الدفعات]]</f>
        <v>0</v>
      </c>
    </row>
    <row r="288" spans="9:13" ht="26.25" customHeight="1" x14ac:dyDescent="0.3">
      <c r="I288" s="1">
        <f>0.03*Table11819202310303132[[#This Row],[النولون]]</f>
        <v>0</v>
      </c>
      <c r="K28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88" s="1">
        <f>M287+Table11819202310303132[[#This Row],[اجمالي الفاتوره]]-Table11819202310303132[[#This Row],[الدفعات]]</f>
        <v>0</v>
      </c>
    </row>
    <row r="289" spans="9:13" ht="26.25" customHeight="1" x14ac:dyDescent="0.3">
      <c r="I289" s="1">
        <f>0.03*Table11819202310303132[[#This Row],[النولون]]</f>
        <v>0</v>
      </c>
      <c r="K28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89" s="1">
        <f>M288+Table11819202310303132[[#This Row],[اجمالي الفاتوره]]-Table11819202310303132[[#This Row],[الدفعات]]</f>
        <v>0</v>
      </c>
    </row>
    <row r="290" spans="9:13" ht="26.25" customHeight="1" x14ac:dyDescent="0.3">
      <c r="I290" s="1">
        <f>0.03*Table11819202310303132[[#This Row],[النولون]]</f>
        <v>0</v>
      </c>
      <c r="K29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90" s="1">
        <f>M289+Table11819202310303132[[#This Row],[اجمالي الفاتوره]]-Table11819202310303132[[#This Row],[الدفعات]]</f>
        <v>0</v>
      </c>
    </row>
    <row r="291" spans="9:13" ht="26.25" customHeight="1" x14ac:dyDescent="0.3">
      <c r="I291" s="1">
        <f>0.03*Table11819202310303132[[#This Row],[النولون]]</f>
        <v>0</v>
      </c>
      <c r="K29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91" s="1">
        <f>M290+Table11819202310303132[[#This Row],[اجمالي الفاتوره]]-Table11819202310303132[[#This Row],[الدفعات]]</f>
        <v>0</v>
      </c>
    </row>
    <row r="292" spans="9:13" ht="26.25" customHeight="1" x14ac:dyDescent="0.3">
      <c r="I292" s="1">
        <f>0.03*Table11819202310303132[[#This Row],[النولون]]</f>
        <v>0</v>
      </c>
      <c r="K29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92" s="1">
        <f>M291+Table11819202310303132[[#This Row],[اجمالي الفاتوره]]-Table11819202310303132[[#This Row],[الدفعات]]</f>
        <v>0</v>
      </c>
    </row>
    <row r="293" spans="9:13" ht="26.25" customHeight="1" x14ac:dyDescent="0.3">
      <c r="I293" s="1">
        <f>0.03*Table11819202310303132[[#This Row],[النولون]]</f>
        <v>0</v>
      </c>
      <c r="K29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93" s="1">
        <f>M292+Table11819202310303132[[#This Row],[اجمالي الفاتوره]]-Table11819202310303132[[#This Row],[الدفعات]]</f>
        <v>0</v>
      </c>
    </row>
    <row r="294" spans="9:13" ht="26.25" customHeight="1" x14ac:dyDescent="0.3">
      <c r="I294" s="1">
        <f>0.03*Table11819202310303132[[#This Row],[النولون]]</f>
        <v>0</v>
      </c>
      <c r="K29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94" s="1">
        <f>M293+Table11819202310303132[[#This Row],[اجمالي الفاتوره]]-Table11819202310303132[[#This Row],[الدفعات]]</f>
        <v>0</v>
      </c>
    </row>
    <row r="295" spans="9:13" ht="26.25" customHeight="1" x14ac:dyDescent="0.3">
      <c r="I295" s="1">
        <f>0.03*Table11819202310303132[[#This Row],[النولون]]</f>
        <v>0</v>
      </c>
      <c r="K29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95" s="1">
        <f>M294+Table11819202310303132[[#This Row],[اجمالي الفاتوره]]-Table11819202310303132[[#This Row],[الدفعات]]</f>
        <v>0</v>
      </c>
    </row>
    <row r="296" spans="9:13" ht="26.25" customHeight="1" x14ac:dyDescent="0.3">
      <c r="I296" s="1">
        <f>0.03*Table11819202310303132[[#This Row],[النولون]]</f>
        <v>0</v>
      </c>
      <c r="K29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96" s="1">
        <f>M295+Table11819202310303132[[#This Row],[اجمالي الفاتوره]]-Table11819202310303132[[#This Row],[الدفعات]]</f>
        <v>0</v>
      </c>
    </row>
    <row r="297" spans="9:13" ht="26.25" customHeight="1" x14ac:dyDescent="0.3">
      <c r="I297" s="1">
        <f>0.03*Table11819202310303132[[#This Row],[النولون]]</f>
        <v>0</v>
      </c>
      <c r="K29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97" s="1">
        <f>M296+Table11819202310303132[[#This Row],[اجمالي الفاتوره]]-Table11819202310303132[[#This Row],[الدفعات]]</f>
        <v>0</v>
      </c>
    </row>
    <row r="298" spans="9:13" ht="26.25" customHeight="1" x14ac:dyDescent="0.3">
      <c r="I298" s="1">
        <f>0.03*Table11819202310303132[[#This Row],[النولون]]</f>
        <v>0</v>
      </c>
      <c r="K29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98" s="1">
        <f>M297+Table11819202310303132[[#This Row],[اجمالي الفاتوره]]-Table11819202310303132[[#This Row],[الدفعات]]</f>
        <v>0</v>
      </c>
    </row>
    <row r="299" spans="9:13" ht="26.25" customHeight="1" x14ac:dyDescent="0.3">
      <c r="I299" s="1">
        <f>0.03*Table11819202310303132[[#This Row],[النولون]]</f>
        <v>0</v>
      </c>
      <c r="K29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299" s="1">
        <f>M298+Table11819202310303132[[#This Row],[اجمالي الفاتوره]]-Table11819202310303132[[#This Row],[الدفعات]]</f>
        <v>0</v>
      </c>
    </row>
    <row r="300" spans="9:13" ht="26.25" customHeight="1" x14ac:dyDescent="0.3">
      <c r="I300" s="1">
        <f>0.03*Table11819202310303132[[#This Row],[النولون]]</f>
        <v>0</v>
      </c>
      <c r="K30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00" s="1">
        <f>M299+Table11819202310303132[[#This Row],[اجمالي الفاتوره]]-Table11819202310303132[[#This Row],[الدفعات]]</f>
        <v>0</v>
      </c>
    </row>
    <row r="301" spans="9:13" ht="26.25" customHeight="1" x14ac:dyDescent="0.3">
      <c r="I301" s="1">
        <f>0.03*Table11819202310303132[[#This Row],[النولون]]</f>
        <v>0</v>
      </c>
      <c r="K30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01" s="1">
        <f>M300+Table11819202310303132[[#This Row],[اجمالي الفاتوره]]-Table11819202310303132[[#This Row],[الدفعات]]</f>
        <v>0</v>
      </c>
    </row>
    <row r="302" spans="9:13" ht="26.25" customHeight="1" x14ac:dyDescent="0.3">
      <c r="I302" s="1">
        <f>0.03*Table11819202310303132[[#This Row],[النولون]]</f>
        <v>0</v>
      </c>
      <c r="K30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02" s="1">
        <f>M301+Table11819202310303132[[#This Row],[اجمالي الفاتوره]]-Table11819202310303132[[#This Row],[الدفعات]]</f>
        <v>0</v>
      </c>
    </row>
    <row r="303" spans="9:13" ht="26.25" customHeight="1" x14ac:dyDescent="0.3">
      <c r="I303" s="1">
        <f>0.03*Table11819202310303132[[#This Row],[النولون]]</f>
        <v>0</v>
      </c>
      <c r="K30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03" s="1">
        <f>M302+Table11819202310303132[[#This Row],[اجمالي الفاتوره]]-Table11819202310303132[[#This Row],[الدفعات]]</f>
        <v>0</v>
      </c>
    </row>
    <row r="304" spans="9:13" ht="26.25" customHeight="1" x14ac:dyDescent="0.3">
      <c r="I304" s="1">
        <f>0.03*Table11819202310303132[[#This Row],[النولون]]</f>
        <v>0</v>
      </c>
      <c r="K30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04" s="1">
        <f>M303+Table11819202310303132[[#This Row],[اجمالي الفاتوره]]-Table11819202310303132[[#This Row],[الدفعات]]</f>
        <v>0</v>
      </c>
    </row>
    <row r="305" spans="9:13" ht="26.25" customHeight="1" x14ac:dyDescent="0.3">
      <c r="I305" s="1">
        <f>0.03*Table11819202310303132[[#This Row],[النولون]]</f>
        <v>0</v>
      </c>
      <c r="K30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05" s="1">
        <f>M304+Table11819202310303132[[#This Row],[اجمالي الفاتوره]]-Table11819202310303132[[#This Row],[الدفعات]]</f>
        <v>0</v>
      </c>
    </row>
    <row r="306" spans="9:13" ht="26.25" customHeight="1" x14ac:dyDescent="0.3">
      <c r="I306" s="1">
        <f>0.03*Table11819202310303132[[#This Row],[النولون]]</f>
        <v>0</v>
      </c>
      <c r="K30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06" s="1">
        <f>M305+Table11819202310303132[[#This Row],[اجمالي الفاتوره]]-Table11819202310303132[[#This Row],[الدفعات]]</f>
        <v>0</v>
      </c>
    </row>
    <row r="307" spans="9:13" ht="26.25" customHeight="1" x14ac:dyDescent="0.3">
      <c r="I307" s="1">
        <f>0.03*Table11819202310303132[[#This Row],[النولون]]</f>
        <v>0</v>
      </c>
      <c r="K30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07" s="1">
        <f>M306+Table11819202310303132[[#This Row],[اجمالي الفاتوره]]-Table11819202310303132[[#This Row],[الدفعات]]</f>
        <v>0</v>
      </c>
    </row>
    <row r="308" spans="9:13" ht="26.25" customHeight="1" x14ac:dyDescent="0.3">
      <c r="I308" s="1">
        <f>0.03*Table11819202310303132[[#This Row],[النولون]]</f>
        <v>0</v>
      </c>
      <c r="K30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08" s="1">
        <f>M307+Table11819202310303132[[#This Row],[اجمالي الفاتوره]]-Table11819202310303132[[#This Row],[الدفعات]]</f>
        <v>0</v>
      </c>
    </row>
    <row r="309" spans="9:13" ht="26.25" customHeight="1" x14ac:dyDescent="0.3">
      <c r="I309" s="1">
        <f>0.03*Table11819202310303132[[#This Row],[النولون]]</f>
        <v>0</v>
      </c>
      <c r="K30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09" s="1">
        <f>M308+Table11819202310303132[[#This Row],[اجمالي الفاتوره]]-Table11819202310303132[[#This Row],[الدفعات]]</f>
        <v>0</v>
      </c>
    </row>
    <row r="310" spans="9:13" ht="26.25" customHeight="1" x14ac:dyDescent="0.3">
      <c r="I310" s="1">
        <f>0.03*Table11819202310303132[[#This Row],[النولون]]</f>
        <v>0</v>
      </c>
      <c r="K31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10" s="1">
        <f>M309+Table11819202310303132[[#This Row],[اجمالي الفاتوره]]-Table11819202310303132[[#This Row],[الدفعات]]</f>
        <v>0</v>
      </c>
    </row>
    <row r="311" spans="9:13" ht="26.25" customHeight="1" x14ac:dyDescent="0.3">
      <c r="I311" s="1">
        <f>0.03*Table11819202310303132[[#This Row],[النولون]]</f>
        <v>0</v>
      </c>
      <c r="K31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11" s="1">
        <f>M310+Table11819202310303132[[#This Row],[اجمالي الفاتوره]]-Table11819202310303132[[#This Row],[الدفعات]]</f>
        <v>0</v>
      </c>
    </row>
    <row r="312" spans="9:13" ht="26.25" customHeight="1" x14ac:dyDescent="0.3">
      <c r="I312" s="1">
        <f>0.03*Table11819202310303132[[#This Row],[النولون]]</f>
        <v>0</v>
      </c>
      <c r="K31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12" s="1">
        <f>M311+Table11819202310303132[[#This Row],[اجمالي الفاتوره]]-Table11819202310303132[[#This Row],[الدفعات]]</f>
        <v>0</v>
      </c>
    </row>
    <row r="313" spans="9:13" ht="26.25" customHeight="1" x14ac:dyDescent="0.3">
      <c r="I313" s="1">
        <f>0.03*Table11819202310303132[[#This Row],[النولون]]</f>
        <v>0</v>
      </c>
      <c r="K31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13" s="1">
        <f>M312+Table11819202310303132[[#This Row],[اجمالي الفاتوره]]-Table11819202310303132[[#This Row],[الدفعات]]</f>
        <v>0</v>
      </c>
    </row>
    <row r="314" spans="9:13" ht="26.25" customHeight="1" x14ac:dyDescent="0.3">
      <c r="I314" s="1">
        <f>0.03*Table11819202310303132[[#This Row],[النولون]]</f>
        <v>0</v>
      </c>
      <c r="K31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14" s="1">
        <f>M313+Table11819202310303132[[#This Row],[اجمالي الفاتوره]]-Table11819202310303132[[#This Row],[الدفعات]]</f>
        <v>0</v>
      </c>
    </row>
    <row r="315" spans="9:13" ht="26.25" customHeight="1" x14ac:dyDescent="0.3">
      <c r="I315" s="1">
        <f>0.03*Table11819202310303132[[#This Row],[النولون]]</f>
        <v>0</v>
      </c>
      <c r="K31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15" s="1">
        <f>M314+Table11819202310303132[[#This Row],[اجمالي الفاتوره]]-Table11819202310303132[[#This Row],[الدفعات]]</f>
        <v>0</v>
      </c>
    </row>
    <row r="316" spans="9:13" ht="26.25" customHeight="1" x14ac:dyDescent="0.3">
      <c r="I316" s="1">
        <f>0.03*Table11819202310303132[[#This Row],[النولون]]</f>
        <v>0</v>
      </c>
      <c r="K31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16" s="1">
        <f>M315+Table11819202310303132[[#This Row],[اجمالي الفاتوره]]-Table11819202310303132[[#This Row],[الدفعات]]</f>
        <v>0</v>
      </c>
    </row>
    <row r="317" spans="9:13" ht="26.25" customHeight="1" x14ac:dyDescent="0.3">
      <c r="I317" s="1">
        <f>0.03*Table11819202310303132[[#This Row],[النولون]]</f>
        <v>0</v>
      </c>
      <c r="K31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17" s="1">
        <f>M316+Table11819202310303132[[#This Row],[اجمالي الفاتوره]]-Table11819202310303132[[#This Row],[الدفعات]]</f>
        <v>0</v>
      </c>
    </row>
    <row r="318" spans="9:13" ht="26.25" customHeight="1" x14ac:dyDescent="0.3">
      <c r="I318" s="1">
        <f>0.03*Table11819202310303132[[#This Row],[النولون]]</f>
        <v>0</v>
      </c>
      <c r="K31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18" s="1">
        <f>M317+Table11819202310303132[[#This Row],[اجمالي الفاتوره]]-Table11819202310303132[[#This Row],[الدفعات]]</f>
        <v>0</v>
      </c>
    </row>
    <row r="319" spans="9:13" ht="26.25" customHeight="1" x14ac:dyDescent="0.3">
      <c r="I319" s="1">
        <f>0.03*Table11819202310303132[[#This Row],[النولون]]</f>
        <v>0</v>
      </c>
      <c r="K31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19" s="1">
        <f>M318+Table11819202310303132[[#This Row],[اجمالي الفاتوره]]-Table11819202310303132[[#This Row],[الدفعات]]</f>
        <v>0</v>
      </c>
    </row>
    <row r="320" spans="9:13" ht="26.25" customHeight="1" x14ac:dyDescent="0.3">
      <c r="I320" s="1">
        <f>0.03*Table11819202310303132[[#This Row],[النولون]]</f>
        <v>0</v>
      </c>
      <c r="K32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20" s="1">
        <f>M319+Table11819202310303132[[#This Row],[اجمالي الفاتوره]]-Table11819202310303132[[#This Row],[الدفعات]]</f>
        <v>0</v>
      </c>
    </row>
    <row r="321" spans="9:13" ht="26.25" customHeight="1" x14ac:dyDescent="0.3">
      <c r="I321" s="1">
        <f>0.03*Table11819202310303132[[#This Row],[النولون]]</f>
        <v>0</v>
      </c>
      <c r="K32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21" s="1">
        <f>M320+Table11819202310303132[[#This Row],[اجمالي الفاتوره]]-Table11819202310303132[[#This Row],[الدفعات]]</f>
        <v>0</v>
      </c>
    </row>
    <row r="322" spans="9:13" ht="26.25" customHeight="1" x14ac:dyDescent="0.3">
      <c r="I322" s="1">
        <f>0.03*Table11819202310303132[[#This Row],[النولون]]</f>
        <v>0</v>
      </c>
      <c r="K32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22" s="1">
        <f>M321+Table11819202310303132[[#This Row],[اجمالي الفاتوره]]-Table11819202310303132[[#This Row],[الدفعات]]</f>
        <v>0</v>
      </c>
    </row>
    <row r="323" spans="9:13" ht="26.25" customHeight="1" x14ac:dyDescent="0.3">
      <c r="I323" s="1">
        <f>0.03*Table11819202310303132[[#This Row],[النولون]]</f>
        <v>0</v>
      </c>
      <c r="K32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23" s="1">
        <f>M322+Table11819202310303132[[#This Row],[اجمالي الفاتوره]]-Table11819202310303132[[#This Row],[الدفعات]]</f>
        <v>0</v>
      </c>
    </row>
    <row r="324" spans="9:13" ht="26.25" customHeight="1" x14ac:dyDescent="0.3">
      <c r="I324" s="1">
        <f>0.03*Table11819202310303132[[#This Row],[النولون]]</f>
        <v>0</v>
      </c>
      <c r="K32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24" s="1">
        <f>M323+Table11819202310303132[[#This Row],[اجمالي الفاتوره]]-Table11819202310303132[[#This Row],[الدفعات]]</f>
        <v>0</v>
      </c>
    </row>
    <row r="325" spans="9:13" ht="26.25" customHeight="1" x14ac:dyDescent="0.3">
      <c r="I325" s="1">
        <f>0.03*Table11819202310303132[[#This Row],[النولون]]</f>
        <v>0</v>
      </c>
      <c r="K32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25" s="1">
        <f>M324+Table11819202310303132[[#This Row],[اجمالي الفاتوره]]-Table11819202310303132[[#This Row],[الدفعات]]</f>
        <v>0</v>
      </c>
    </row>
    <row r="326" spans="9:13" ht="26.25" customHeight="1" x14ac:dyDescent="0.3">
      <c r="I326" s="1">
        <f>0.03*Table11819202310303132[[#This Row],[النولون]]</f>
        <v>0</v>
      </c>
      <c r="K32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26" s="1">
        <f>M325+Table11819202310303132[[#This Row],[اجمالي الفاتوره]]-Table11819202310303132[[#This Row],[الدفعات]]</f>
        <v>0</v>
      </c>
    </row>
    <row r="327" spans="9:13" ht="26.25" customHeight="1" x14ac:dyDescent="0.3">
      <c r="I327" s="1">
        <f>0.03*Table11819202310303132[[#This Row],[النولون]]</f>
        <v>0</v>
      </c>
      <c r="K32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27" s="1">
        <f>M326+Table11819202310303132[[#This Row],[اجمالي الفاتوره]]-Table11819202310303132[[#This Row],[الدفعات]]</f>
        <v>0</v>
      </c>
    </row>
    <row r="328" spans="9:13" ht="26.25" customHeight="1" x14ac:dyDescent="0.3">
      <c r="I328" s="1">
        <f>0.03*Table11819202310303132[[#This Row],[النولون]]</f>
        <v>0</v>
      </c>
      <c r="K32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28" s="1">
        <f>M327+Table11819202310303132[[#This Row],[اجمالي الفاتوره]]-Table11819202310303132[[#This Row],[الدفعات]]</f>
        <v>0</v>
      </c>
    </row>
    <row r="329" spans="9:13" ht="26.25" customHeight="1" x14ac:dyDescent="0.3">
      <c r="I329" s="1">
        <f>0.03*Table11819202310303132[[#This Row],[النولون]]</f>
        <v>0</v>
      </c>
      <c r="K32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29" s="1">
        <f>M328+Table11819202310303132[[#This Row],[اجمالي الفاتوره]]-Table11819202310303132[[#This Row],[الدفعات]]</f>
        <v>0</v>
      </c>
    </row>
    <row r="330" spans="9:13" ht="26.25" customHeight="1" x14ac:dyDescent="0.3">
      <c r="I330" s="1">
        <f>0.03*Table11819202310303132[[#This Row],[النولون]]</f>
        <v>0</v>
      </c>
      <c r="K33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30" s="1">
        <f>M329+Table11819202310303132[[#This Row],[اجمالي الفاتوره]]-Table11819202310303132[[#This Row],[الدفعات]]</f>
        <v>0</v>
      </c>
    </row>
    <row r="331" spans="9:13" ht="26.25" customHeight="1" x14ac:dyDescent="0.3">
      <c r="I331" s="1">
        <f>0.03*Table11819202310303132[[#This Row],[النولون]]</f>
        <v>0</v>
      </c>
      <c r="K33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31" s="1">
        <f>M330+Table11819202310303132[[#This Row],[اجمالي الفاتوره]]-Table11819202310303132[[#This Row],[الدفعات]]</f>
        <v>0</v>
      </c>
    </row>
    <row r="332" spans="9:13" ht="26.25" customHeight="1" x14ac:dyDescent="0.3">
      <c r="I332" s="1">
        <f>0.03*Table11819202310303132[[#This Row],[النولون]]</f>
        <v>0</v>
      </c>
      <c r="K332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32" s="1">
        <f>M331+Table11819202310303132[[#This Row],[اجمالي الفاتوره]]-Table11819202310303132[[#This Row],[الدفعات]]</f>
        <v>0</v>
      </c>
    </row>
    <row r="333" spans="9:13" ht="26.25" customHeight="1" x14ac:dyDescent="0.3">
      <c r="I333" s="1">
        <f>0.03*Table11819202310303132[[#This Row],[النولون]]</f>
        <v>0</v>
      </c>
      <c r="K333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33" s="1">
        <f>M332+Table11819202310303132[[#This Row],[اجمالي الفاتوره]]-Table11819202310303132[[#This Row],[الدفعات]]</f>
        <v>0</v>
      </c>
    </row>
    <row r="334" spans="9:13" ht="26.25" customHeight="1" x14ac:dyDescent="0.3">
      <c r="I334" s="1">
        <f>0.03*Table11819202310303132[[#This Row],[النولون]]</f>
        <v>0</v>
      </c>
      <c r="K334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34" s="1">
        <f>M333+Table11819202310303132[[#This Row],[اجمالي الفاتوره]]-Table11819202310303132[[#This Row],[الدفعات]]</f>
        <v>0</v>
      </c>
    </row>
    <row r="335" spans="9:13" ht="26.25" customHeight="1" x14ac:dyDescent="0.3">
      <c r="I335" s="1">
        <f>0.03*Table11819202310303132[[#This Row],[النولون]]</f>
        <v>0</v>
      </c>
      <c r="K335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35" s="1">
        <f>M334+Table11819202310303132[[#This Row],[اجمالي الفاتوره]]-Table11819202310303132[[#This Row],[الدفعات]]</f>
        <v>0</v>
      </c>
    </row>
    <row r="336" spans="9:13" ht="26.25" customHeight="1" x14ac:dyDescent="0.3">
      <c r="I336" s="1">
        <f>0.03*Table11819202310303132[[#This Row],[النولون]]</f>
        <v>0</v>
      </c>
      <c r="K336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36" s="1">
        <f>M335+Table11819202310303132[[#This Row],[اجمالي الفاتوره]]-Table11819202310303132[[#This Row],[الدفعات]]</f>
        <v>0</v>
      </c>
    </row>
    <row r="337" spans="9:13" ht="26.25" customHeight="1" x14ac:dyDescent="0.3">
      <c r="I337" s="1">
        <f>0.03*Table11819202310303132[[#This Row],[النولون]]</f>
        <v>0</v>
      </c>
      <c r="K337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37" s="1">
        <f>M336+Table11819202310303132[[#This Row],[اجمالي الفاتوره]]-Table11819202310303132[[#This Row],[الدفعات]]</f>
        <v>0</v>
      </c>
    </row>
    <row r="338" spans="9:13" ht="26.25" customHeight="1" x14ac:dyDescent="0.3">
      <c r="I338" s="1">
        <f>0.03*Table11819202310303132[[#This Row],[النولون]]</f>
        <v>0</v>
      </c>
      <c r="K338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38" s="1">
        <f>M337+Table11819202310303132[[#This Row],[اجمالي الفاتوره]]-Table11819202310303132[[#This Row],[الدفعات]]</f>
        <v>0</v>
      </c>
    </row>
    <row r="339" spans="9:13" ht="26.25" customHeight="1" x14ac:dyDescent="0.3">
      <c r="I339" s="1">
        <f>0.03*Table11819202310303132[[#This Row],[النولون]]</f>
        <v>0</v>
      </c>
      <c r="K339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39" s="1">
        <f>M338+Table11819202310303132[[#This Row],[اجمالي الفاتوره]]-Table11819202310303132[[#This Row],[الدفعات]]</f>
        <v>0</v>
      </c>
    </row>
    <row r="340" spans="9:13" ht="26.25" customHeight="1" x14ac:dyDescent="0.3">
      <c r="I340" s="1">
        <f>0.03*Table11819202310303132[[#This Row],[النولون]]</f>
        <v>0</v>
      </c>
      <c r="K340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40" s="1">
        <f>M339+Table11819202310303132[[#This Row],[اجمالي الفاتوره]]-Table11819202310303132[[#This Row],[الدفعات]]</f>
        <v>0</v>
      </c>
    </row>
    <row r="341" spans="9:13" ht="26.25" customHeight="1" x14ac:dyDescent="0.3">
      <c r="I341" s="1">
        <f>0.03*Table11819202310303132[[#This Row],[النولون]]</f>
        <v>0</v>
      </c>
      <c r="K341" s="1">
        <f>Table11819202310303132[[#This Row],[النولون]]+Table11819202310303132[[#This Row],[الايصالات]]-Table11819202310303132[[#This Row],[خصم أ ت ص]]+Table11819202310303132[[#This Row],[قيمة مضافة]]</f>
        <v>0</v>
      </c>
      <c r="M341" s="1">
        <f>M340+Table11819202310303132[[#This Row],[اجمالي الفاتوره]]-Table11819202310303132[[#This Row],[الدفعات]]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342"/>
  <sheetViews>
    <sheetView rightToLeft="1" zoomScaleNormal="100" workbookViewId="0">
      <selection activeCell="I9" sqref="I9"/>
    </sheetView>
  </sheetViews>
  <sheetFormatPr defaultColWidth="9.109375" defaultRowHeight="27" customHeight="1" x14ac:dyDescent="0.3"/>
  <cols>
    <col min="1" max="1" width="5.44140625" style="1" customWidth="1"/>
    <col min="2" max="2" width="11" style="1" customWidth="1"/>
    <col min="3" max="3" width="15.109375" style="1" customWidth="1"/>
    <col min="4" max="4" width="11.21875" style="1" customWidth="1"/>
    <col min="5" max="5" width="13.33203125" style="1" customWidth="1"/>
    <col min="6" max="6" width="13" style="1" customWidth="1"/>
    <col min="7" max="7" width="11.6640625" style="1" customWidth="1"/>
    <col min="8" max="8" width="8.88671875" style="1" customWidth="1"/>
    <col min="9" max="9" width="10.77734375" style="1" customWidth="1"/>
    <col min="10" max="10" width="12" style="1" customWidth="1"/>
    <col min="11" max="11" width="13.6640625" style="1" customWidth="1"/>
    <col min="12" max="12" width="13.21875" style="1" customWidth="1"/>
    <col min="13" max="13" width="11.109375" style="1" customWidth="1"/>
    <col min="14" max="16384" width="9.109375" style="1"/>
  </cols>
  <sheetData>
    <row r="1" spans="1:14" ht="2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8" t="s">
        <v>20</v>
      </c>
    </row>
    <row r="2" spans="1:14" ht="27" customHeight="1" x14ac:dyDescent="0.3">
      <c r="A2" s="1">
        <v>1281</v>
      </c>
      <c r="B2" s="2" t="s">
        <v>288</v>
      </c>
      <c r="C2" s="1" t="s">
        <v>289</v>
      </c>
      <c r="D2" s="1" t="s">
        <v>224</v>
      </c>
      <c r="E2" s="1">
        <v>265553046</v>
      </c>
      <c r="F2" s="1" t="s">
        <v>143</v>
      </c>
      <c r="G2" s="1">
        <v>14000</v>
      </c>
      <c r="H2" s="1">
        <f>0.14*Table118192023103031323[[#This Row],[النولون]]</f>
        <v>1960.0000000000002</v>
      </c>
      <c r="I2" s="1">
        <f>850+1130+363.98+3114.48+5296</f>
        <v>10754.46</v>
      </c>
      <c r="J2" s="1">
        <f>Table118192023103031323[[#This Row],[النولون]]+Table118192023103031323[[#This Row],[الايصالات]]+Table118192023103031323[[#This Row],[قيمة مضافة]]</f>
        <v>26714.46</v>
      </c>
      <c r="L2" s="1">
        <f>Table118192023103031323[[#This Row],[اجمالي الفاتوره]]</f>
        <v>26714.46</v>
      </c>
      <c r="N2" s="48"/>
    </row>
    <row r="3" spans="1:14" ht="27" customHeight="1" x14ac:dyDescent="0.3">
      <c r="A3" s="1">
        <v>1282</v>
      </c>
      <c r="B3" s="2" t="s">
        <v>288</v>
      </c>
      <c r="C3" s="1" t="s">
        <v>289</v>
      </c>
      <c r="D3" s="1" t="s">
        <v>224</v>
      </c>
      <c r="E3" s="1">
        <v>266091056</v>
      </c>
      <c r="F3" s="1" t="s">
        <v>290</v>
      </c>
      <c r="G3" s="1">
        <f>14000*5</f>
        <v>70000</v>
      </c>
      <c r="H3" s="1">
        <f>0.14*Table118192023103031323[[#This Row],[النولون]]</f>
        <v>9800.0000000000018</v>
      </c>
      <c r="I3" s="1">
        <f>850*2+1135*2+1130*3+631.06+469.5+469.5+466.67+473.55+399+10305.6+25385</f>
        <v>45959.88</v>
      </c>
      <c r="J3" s="1">
        <f>Table118192023103031323[[#This Row],[النولون]]+Table118192023103031323[[#This Row],[الايصالات]]+Table118192023103031323[[#This Row],[قيمة مضافة]]</f>
        <v>125759.88</v>
      </c>
      <c r="L3" s="1">
        <f>L2+Table118192023103031323[[#This Row],[اجمالي الفاتوره]]-Table118192023103031323[[#This Row],[الدفعات]]</f>
        <v>152474.34</v>
      </c>
      <c r="N3" s="48"/>
    </row>
    <row r="4" spans="1:14" ht="27" customHeight="1" x14ac:dyDescent="0.3">
      <c r="A4" s="72"/>
      <c r="B4" s="73" t="s">
        <v>387</v>
      </c>
      <c r="C4" s="72"/>
      <c r="D4" s="72"/>
      <c r="E4" s="72"/>
      <c r="F4" s="72"/>
      <c r="G4" s="72"/>
      <c r="H4" s="72">
        <f>0.14*Table118192023103031323[[#This Row],[النولون]]</f>
        <v>0</v>
      </c>
      <c r="I4" s="72"/>
      <c r="J4" s="72">
        <f>Table118192023103031323[[#This Row],[النولون]]+Table118192023103031323[[#This Row],[الايصالات]]+Table118192023103031323[[#This Row],[قيمة مضافة]]</f>
        <v>0</v>
      </c>
      <c r="K4" s="72">
        <v>152474.34</v>
      </c>
      <c r="L4" s="72">
        <f>L3+Table118192023103031323[[#This Row],[اجمالي الفاتوره]]-Table118192023103031323[[#This Row],[الدفعات]]</f>
        <v>0</v>
      </c>
      <c r="N4" s="48"/>
    </row>
    <row r="5" spans="1:14" ht="27" customHeight="1" x14ac:dyDescent="0.3">
      <c r="A5" s="20"/>
      <c r="B5" s="23"/>
      <c r="C5" s="20"/>
      <c r="D5" s="20"/>
      <c r="E5" s="20"/>
      <c r="F5" s="20"/>
      <c r="G5" s="20"/>
      <c r="H5" s="20">
        <f>0.14*Table118192023103031323[[#This Row],[النولون]]</f>
        <v>0</v>
      </c>
      <c r="I5" s="20"/>
      <c r="J5" s="20">
        <f>Table118192023103031323[[#This Row],[النولون]]+Table118192023103031323[[#This Row],[الايصالات]]+Table118192023103031323[[#This Row],[قيمة مضافة]]</f>
        <v>0</v>
      </c>
      <c r="K5" s="20"/>
      <c r="L5" s="1">
        <f>L4+Table118192023103031323[[#This Row],[اجمالي الفاتوره]]-Table118192023103031323[[#This Row],[الدفعات]]</f>
        <v>0</v>
      </c>
      <c r="M5" s="20"/>
      <c r="N5" s="48"/>
    </row>
    <row r="6" spans="1:14" ht="27" customHeight="1" x14ac:dyDescent="0.3">
      <c r="B6" s="2"/>
      <c r="H6" s="1">
        <f>0.14*Table118192023103031323[[#This Row],[النولون]]</f>
        <v>0</v>
      </c>
      <c r="J6" s="1">
        <f>Table118192023103031323[[#This Row],[النولون]]+Table118192023103031323[[#This Row],[الايصالات]]+Table118192023103031323[[#This Row],[قيمة مضافة]]</f>
        <v>0</v>
      </c>
      <c r="L6" s="1">
        <f>L5+Table118192023103031323[[#This Row],[اجمالي الفاتوره]]-Table118192023103031323[[#This Row],[الدفعات]]</f>
        <v>0</v>
      </c>
      <c r="N6" s="48"/>
    </row>
    <row r="7" spans="1:14" ht="27" customHeight="1" x14ac:dyDescent="0.3">
      <c r="A7" s="20"/>
      <c r="B7" s="23"/>
      <c r="C7" s="20"/>
      <c r="D7" s="20"/>
      <c r="E7" s="20"/>
      <c r="F7" s="20"/>
      <c r="G7" s="20"/>
      <c r="H7" s="20">
        <f>0.14*Table118192023103031323[[#This Row],[النولون]]</f>
        <v>0</v>
      </c>
      <c r="I7" s="20"/>
      <c r="J7" s="20">
        <f>Table118192023103031323[[#This Row],[النولون]]+Table118192023103031323[[#This Row],[الايصالات]]+Table118192023103031323[[#This Row],[قيمة مضافة]]</f>
        <v>0</v>
      </c>
      <c r="K7" s="20"/>
      <c r="L7" s="1">
        <f>L6+Table118192023103031323[[#This Row],[اجمالي الفاتوره]]-Table118192023103031323[[#This Row],[الدفعات]]</f>
        <v>0</v>
      </c>
      <c r="M7" s="20"/>
      <c r="N7" s="48"/>
    </row>
    <row r="8" spans="1:14" ht="27" customHeight="1" x14ac:dyDescent="0.3">
      <c r="A8" s="20"/>
      <c r="B8" s="23"/>
      <c r="C8" s="20"/>
      <c r="D8" s="20"/>
      <c r="E8" s="20"/>
      <c r="F8" s="20"/>
      <c r="G8" s="20"/>
      <c r="H8" s="20">
        <f>0.14*Table118192023103031323[[#This Row],[النولون]]</f>
        <v>0</v>
      </c>
      <c r="I8" s="20"/>
      <c r="J8" s="20">
        <f>Table118192023103031323[[#This Row],[النولون]]+Table118192023103031323[[#This Row],[الايصالات]]+Table118192023103031323[[#This Row],[قيمة مضافة]]</f>
        <v>0</v>
      </c>
      <c r="K8" s="20"/>
      <c r="L8" s="1">
        <f>L7+Table118192023103031323[[#This Row],[اجمالي الفاتوره]]-Table118192023103031323[[#This Row],[الدفعات]]</f>
        <v>0</v>
      </c>
      <c r="M8" s="20"/>
      <c r="N8" s="48"/>
    </row>
    <row r="9" spans="1:14" ht="27" customHeight="1" x14ac:dyDescent="0.3">
      <c r="A9" s="20"/>
      <c r="B9" s="23"/>
      <c r="C9" s="20"/>
      <c r="D9" s="20"/>
      <c r="E9" s="20"/>
      <c r="F9" s="20"/>
      <c r="G9" s="20"/>
      <c r="H9" s="20">
        <f>0.14*Table118192023103031323[[#This Row],[النولون]]</f>
        <v>0</v>
      </c>
      <c r="I9" s="20"/>
      <c r="J9" s="20">
        <f>Table118192023103031323[[#This Row],[النولون]]+Table118192023103031323[[#This Row],[الايصالات]]+Table118192023103031323[[#This Row],[قيمة مضافة]]</f>
        <v>0</v>
      </c>
      <c r="K9" s="20"/>
      <c r="L9" s="1">
        <f>L8+Table118192023103031323[[#This Row],[اجمالي الفاتوره]]-Table118192023103031323[[#This Row],[الدفعات]]</f>
        <v>0</v>
      </c>
      <c r="M9" s="20"/>
      <c r="N9" s="48"/>
    </row>
    <row r="10" spans="1:14" ht="27" customHeight="1" x14ac:dyDescent="0.3">
      <c r="B10" s="2"/>
      <c r="H10" s="1">
        <f>0.14*Table118192023103031323[[#This Row],[النولون]]</f>
        <v>0</v>
      </c>
      <c r="J10" s="1">
        <f>Table118192023103031323[[#This Row],[النولون]]+Table118192023103031323[[#This Row],[الايصالات]]+Table118192023103031323[[#This Row],[قيمة مضافة]]</f>
        <v>0</v>
      </c>
      <c r="L10" s="1">
        <f>L9+Table118192023103031323[[#This Row],[اجمالي الفاتوره]]-Table118192023103031323[[#This Row],[الدفعات]]</f>
        <v>0</v>
      </c>
      <c r="N10" s="48"/>
    </row>
    <row r="11" spans="1:14" ht="27" customHeight="1" x14ac:dyDescent="0.3">
      <c r="B11" s="2"/>
      <c r="H11" s="1">
        <f>0.14*Table118192023103031323[[#This Row],[النولون]]</f>
        <v>0</v>
      </c>
      <c r="J11" s="1">
        <f>Table118192023103031323[[#This Row],[النولون]]+Table118192023103031323[[#This Row],[الايصالات]]+Table118192023103031323[[#This Row],[قيمة مضافة]]</f>
        <v>0</v>
      </c>
      <c r="L11" s="1">
        <f>L10+Table118192023103031323[[#This Row],[اجمالي الفاتوره]]-Table118192023103031323[[#This Row],[الدفعات]]</f>
        <v>0</v>
      </c>
      <c r="N11" s="48"/>
    </row>
    <row r="12" spans="1:14" ht="27" customHeight="1" x14ac:dyDescent="0.3">
      <c r="B12" s="2"/>
      <c r="H12" s="1">
        <f>0.14*Table118192023103031323[[#This Row],[النولون]]</f>
        <v>0</v>
      </c>
      <c r="J12" s="1">
        <f>Table118192023103031323[[#This Row],[النولون]]+Table118192023103031323[[#This Row],[الايصالات]]+Table118192023103031323[[#This Row],[قيمة مضافة]]</f>
        <v>0</v>
      </c>
      <c r="L12" s="1">
        <f>L11+Table118192023103031323[[#This Row],[اجمالي الفاتوره]]-Table118192023103031323[[#This Row],[الدفعات]]</f>
        <v>0</v>
      </c>
      <c r="N12" s="48"/>
    </row>
    <row r="13" spans="1:14" ht="27" customHeight="1" x14ac:dyDescent="0.3">
      <c r="B13" s="2"/>
      <c r="H13" s="1">
        <f>0.14*Table118192023103031323[[#This Row],[النولون]]</f>
        <v>0</v>
      </c>
      <c r="J13" s="1">
        <f>Table118192023103031323[[#This Row],[النولون]]+Table118192023103031323[[#This Row],[الايصالات]]+Table118192023103031323[[#This Row],[قيمة مضافة]]</f>
        <v>0</v>
      </c>
      <c r="L13" s="1">
        <f>L12+Table118192023103031323[[#This Row],[اجمالي الفاتوره]]-Table118192023103031323[[#This Row],[الدفعات]]</f>
        <v>0</v>
      </c>
      <c r="M13" s="1">
        <f>SUM(J:J)-SUM(K:K)</f>
        <v>0</v>
      </c>
      <c r="N13" s="48">
        <f>SUM(H:H)</f>
        <v>11760.000000000002</v>
      </c>
    </row>
    <row r="14" spans="1:14" ht="27" customHeight="1" x14ac:dyDescent="0.3">
      <c r="B14" s="2"/>
      <c r="H14" s="1">
        <f>0.14*Table118192023103031323[[#This Row],[النولون]]</f>
        <v>0</v>
      </c>
      <c r="J14" s="1">
        <f>Table118192023103031323[[#This Row],[النولون]]+Table118192023103031323[[#This Row],[الايصالات]]+Table118192023103031323[[#This Row],[قيمة مضافة]]</f>
        <v>0</v>
      </c>
      <c r="L14" s="1">
        <f>L13+Table118192023103031323[[#This Row],[اجمالي الفاتوره]]-Table118192023103031323[[#This Row],[الدفعات]]</f>
        <v>0</v>
      </c>
      <c r="N14" s="48"/>
    </row>
    <row r="15" spans="1:14" ht="27" customHeight="1" x14ac:dyDescent="0.3">
      <c r="B15" s="2"/>
      <c r="H15" s="1">
        <f>0.14*Table118192023103031323[[#This Row],[النولون]]</f>
        <v>0</v>
      </c>
      <c r="J15" s="1">
        <f>Table118192023103031323[[#This Row],[النولون]]+Table118192023103031323[[#This Row],[الايصالات]]+Table118192023103031323[[#This Row],[قيمة مضافة]]</f>
        <v>0</v>
      </c>
      <c r="L15" s="1">
        <f>L14+Table118192023103031323[[#This Row],[اجمالي الفاتوره]]-Table118192023103031323[[#This Row],[الدفعات]]</f>
        <v>0</v>
      </c>
      <c r="N15" s="48"/>
    </row>
    <row r="16" spans="1:14" ht="27" customHeight="1" x14ac:dyDescent="0.3">
      <c r="B16" s="2"/>
      <c r="H16" s="1">
        <f>0.14*Table118192023103031323[[#This Row],[النولون]]</f>
        <v>0</v>
      </c>
      <c r="J16" s="1">
        <f>Table118192023103031323[[#This Row],[النولون]]+Table118192023103031323[[#This Row],[الايصالات]]+Table118192023103031323[[#This Row],[قيمة مضافة]]</f>
        <v>0</v>
      </c>
      <c r="L16" s="1">
        <f>L15+Table118192023103031323[[#This Row],[اجمالي الفاتوره]]-Table118192023103031323[[#This Row],[الدفعات]]</f>
        <v>0</v>
      </c>
      <c r="N16" s="48"/>
    </row>
    <row r="17" spans="2:14" ht="27" customHeight="1" x14ac:dyDescent="0.3">
      <c r="B17" s="2"/>
      <c r="H17" s="1">
        <f>0.14*Table118192023103031323[[#This Row],[النولون]]</f>
        <v>0</v>
      </c>
      <c r="J17" s="1">
        <f>Table118192023103031323[[#This Row],[النولون]]+Table118192023103031323[[#This Row],[الايصالات]]+Table118192023103031323[[#This Row],[قيمة مضافة]]</f>
        <v>0</v>
      </c>
      <c r="L17" s="1">
        <f>L16+Table118192023103031323[[#This Row],[اجمالي الفاتوره]]-Table118192023103031323[[#This Row],[الدفعات]]</f>
        <v>0</v>
      </c>
      <c r="N17" s="48"/>
    </row>
    <row r="18" spans="2:14" ht="27" customHeight="1" x14ac:dyDescent="0.3">
      <c r="B18" s="2"/>
      <c r="H18" s="1">
        <f>0.14*Table118192023103031323[[#This Row],[النولون]]</f>
        <v>0</v>
      </c>
      <c r="J18" s="1">
        <f>Table118192023103031323[[#This Row],[النولون]]+Table118192023103031323[[#This Row],[الايصالات]]+Table118192023103031323[[#This Row],[قيمة مضافة]]</f>
        <v>0</v>
      </c>
      <c r="L18" s="1">
        <f>L17+Table118192023103031323[[#This Row],[اجمالي الفاتوره]]-Table118192023103031323[[#This Row],[الدفعات]]</f>
        <v>0</v>
      </c>
      <c r="N18" s="48"/>
    </row>
    <row r="19" spans="2:14" ht="27" customHeight="1" x14ac:dyDescent="0.3">
      <c r="B19" s="2"/>
      <c r="H19" s="1">
        <f>0.14*Table118192023103031323[[#This Row],[النولون]]</f>
        <v>0</v>
      </c>
      <c r="J19" s="1">
        <f>Table118192023103031323[[#This Row],[النولون]]+Table118192023103031323[[#This Row],[الايصالات]]+Table118192023103031323[[#This Row],[قيمة مضافة]]</f>
        <v>0</v>
      </c>
      <c r="L19" s="1">
        <f>L18+Table118192023103031323[[#This Row],[اجمالي الفاتوره]]-Table118192023103031323[[#This Row],[الدفعات]]</f>
        <v>0</v>
      </c>
      <c r="N19" s="48"/>
    </row>
    <row r="20" spans="2:14" ht="27" customHeight="1" x14ac:dyDescent="0.3">
      <c r="B20" s="2"/>
      <c r="H20" s="1">
        <f>0.14*Table118192023103031323[[#This Row],[النولون]]</f>
        <v>0</v>
      </c>
      <c r="J20" s="1">
        <f>Table118192023103031323[[#This Row],[النولون]]+Table118192023103031323[[#This Row],[الايصالات]]+Table118192023103031323[[#This Row],[قيمة مضافة]]</f>
        <v>0</v>
      </c>
      <c r="L20" s="1">
        <f>L19+Table118192023103031323[[#This Row],[اجمالي الفاتوره]]-Table118192023103031323[[#This Row],[الدفعات]]</f>
        <v>0</v>
      </c>
      <c r="N20" s="48"/>
    </row>
    <row r="21" spans="2:14" ht="27" customHeight="1" x14ac:dyDescent="0.3">
      <c r="B21" s="2"/>
      <c r="H21" s="1">
        <f>0.14*Table118192023103031323[[#This Row],[النولون]]</f>
        <v>0</v>
      </c>
      <c r="J21" s="1">
        <f>Table118192023103031323[[#This Row],[النولون]]+Table118192023103031323[[#This Row],[الايصالات]]+Table118192023103031323[[#This Row],[قيمة مضافة]]</f>
        <v>0</v>
      </c>
      <c r="L21" s="1">
        <f>L20+Table118192023103031323[[#This Row],[اجمالي الفاتوره]]-Table118192023103031323[[#This Row],[الدفعات]]</f>
        <v>0</v>
      </c>
      <c r="N21" s="48"/>
    </row>
    <row r="22" spans="2:14" ht="27" customHeight="1" x14ac:dyDescent="0.3">
      <c r="B22" s="2"/>
      <c r="H22" s="1">
        <f>0.14*Table118192023103031323[[#This Row],[النولون]]</f>
        <v>0</v>
      </c>
      <c r="J22" s="1">
        <f>Table118192023103031323[[#This Row],[النولون]]+Table118192023103031323[[#This Row],[الايصالات]]+Table118192023103031323[[#This Row],[قيمة مضافة]]</f>
        <v>0</v>
      </c>
      <c r="L22" s="1">
        <f>L21+Table118192023103031323[[#This Row],[اجمالي الفاتوره]]-Table118192023103031323[[#This Row],[الدفعات]]</f>
        <v>0</v>
      </c>
      <c r="N22" s="48"/>
    </row>
    <row r="23" spans="2:14" ht="27" customHeight="1" x14ac:dyDescent="0.3">
      <c r="B23" s="2"/>
      <c r="H23" s="1">
        <f>0.14*Table118192023103031323[[#This Row],[النولون]]</f>
        <v>0</v>
      </c>
      <c r="J23" s="1">
        <f>Table118192023103031323[[#This Row],[النولون]]+Table118192023103031323[[#This Row],[الايصالات]]+Table118192023103031323[[#This Row],[قيمة مضافة]]</f>
        <v>0</v>
      </c>
      <c r="L23" s="1">
        <f>L22+Table118192023103031323[[#This Row],[اجمالي الفاتوره]]-Table118192023103031323[[#This Row],[الدفعات]]</f>
        <v>0</v>
      </c>
      <c r="N23" s="48"/>
    </row>
    <row r="24" spans="2:14" ht="27" customHeight="1" x14ac:dyDescent="0.3">
      <c r="B24" s="2"/>
      <c r="H24" s="1">
        <f>0.14*Table118192023103031323[[#This Row],[النولون]]</f>
        <v>0</v>
      </c>
      <c r="J24" s="1">
        <f>Table118192023103031323[[#This Row],[النولون]]+Table118192023103031323[[#This Row],[الايصالات]]+Table118192023103031323[[#This Row],[قيمة مضافة]]</f>
        <v>0</v>
      </c>
      <c r="L24" s="1">
        <f>L23+Table118192023103031323[[#This Row],[اجمالي الفاتوره]]-Table118192023103031323[[#This Row],[الدفعات]]</f>
        <v>0</v>
      </c>
      <c r="N24" s="48"/>
    </row>
    <row r="25" spans="2:14" ht="27" customHeight="1" x14ac:dyDescent="0.3">
      <c r="B25" s="2"/>
      <c r="H25" s="1">
        <f>0.14*Table118192023103031323[[#This Row],[النولون]]</f>
        <v>0</v>
      </c>
      <c r="J25" s="1">
        <f>Table118192023103031323[[#This Row],[النولون]]+Table118192023103031323[[#This Row],[الايصالات]]+Table118192023103031323[[#This Row],[قيمة مضافة]]</f>
        <v>0</v>
      </c>
      <c r="L25" s="1">
        <f>L24+Table118192023103031323[[#This Row],[اجمالي الفاتوره]]-Table118192023103031323[[#This Row],[الدفعات]]</f>
        <v>0</v>
      </c>
      <c r="N25" s="48"/>
    </row>
    <row r="26" spans="2:14" ht="27" customHeight="1" x14ac:dyDescent="0.3">
      <c r="B26" s="2"/>
      <c r="H26" s="1">
        <f>0.14*Table118192023103031323[[#This Row],[النولون]]</f>
        <v>0</v>
      </c>
      <c r="J26" s="1">
        <f>Table118192023103031323[[#This Row],[النولون]]+Table118192023103031323[[#This Row],[الايصالات]]+Table118192023103031323[[#This Row],[قيمة مضافة]]</f>
        <v>0</v>
      </c>
      <c r="L26" s="1">
        <f>L25+Table118192023103031323[[#This Row],[اجمالي الفاتوره]]-Table118192023103031323[[#This Row],[الدفعات]]</f>
        <v>0</v>
      </c>
      <c r="N26" s="48"/>
    </row>
    <row r="27" spans="2:14" ht="27" customHeight="1" x14ac:dyDescent="0.3">
      <c r="B27" s="2"/>
      <c r="H27" s="1">
        <f>0.14*Table118192023103031323[[#This Row],[النولون]]</f>
        <v>0</v>
      </c>
      <c r="J27" s="1">
        <f>Table118192023103031323[[#This Row],[النولون]]+Table118192023103031323[[#This Row],[الايصالات]]+Table118192023103031323[[#This Row],[قيمة مضافة]]</f>
        <v>0</v>
      </c>
      <c r="L27" s="1">
        <f>L26+Table118192023103031323[[#This Row],[اجمالي الفاتوره]]-Table118192023103031323[[#This Row],[الدفعات]]</f>
        <v>0</v>
      </c>
      <c r="N27" s="48"/>
    </row>
    <row r="28" spans="2:14" ht="27" customHeight="1" x14ac:dyDescent="0.3">
      <c r="H28" s="1">
        <f>0.14*Table118192023103031323[[#This Row],[النولون]]</f>
        <v>0</v>
      </c>
      <c r="J28" s="1">
        <f>Table118192023103031323[[#This Row],[النولون]]+Table118192023103031323[[#This Row],[الايصالات]]+Table118192023103031323[[#This Row],[قيمة مضافة]]</f>
        <v>0</v>
      </c>
      <c r="L28" s="1">
        <f>L27+Table118192023103031323[[#This Row],[اجمالي الفاتوره]]-Table118192023103031323[[#This Row],[الدفعات]]</f>
        <v>0</v>
      </c>
      <c r="N28" s="48"/>
    </row>
    <row r="29" spans="2:14" ht="27" customHeight="1" x14ac:dyDescent="0.3">
      <c r="H29" s="1">
        <f>0.14*Table118192023103031323[[#This Row],[النولون]]</f>
        <v>0</v>
      </c>
      <c r="J29" s="1">
        <f>Table118192023103031323[[#This Row],[النولون]]+Table118192023103031323[[#This Row],[الايصالات]]+Table118192023103031323[[#This Row],[قيمة مضافة]]</f>
        <v>0</v>
      </c>
      <c r="L29" s="1">
        <f>L28+Table118192023103031323[[#This Row],[اجمالي الفاتوره]]-Table118192023103031323[[#This Row],[الدفعات]]</f>
        <v>0</v>
      </c>
      <c r="N29" s="48"/>
    </row>
    <row r="30" spans="2:14" ht="27" customHeight="1" x14ac:dyDescent="0.3">
      <c r="B30" s="2"/>
      <c r="H30" s="1">
        <f>0.14*Table118192023103031323[[#This Row],[النولون]]</f>
        <v>0</v>
      </c>
      <c r="J30" s="1">
        <f>Table118192023103031323[[#This Row],[النولون]]+Table118192023103031323[[#This Row],[الايصالات]]+Table118192023103031323[[#This Row],[قيمة مضافة]]</f>
        <v>0</v>
      </c>
      <c r="L30" s="1">
        <f>L29+Table118192023103031323[[#This Row],[اجمالي الفاتوره]]-Table118192023103031323[[#This Row],[الدفعات]]</f>
        <v>0</v>
      </c>
      <c r="N30" s="48"/>
    </row>
    <row r="31" spans="2:14" ht="27" customHeight="1" x14ac:dyDescent="0.3">
      <c r="B31" s="2"/>
      <c r="H31" s="1">
        <f>0.14*Table118192023103031323[[#This Row],[النولون]]</f>
        <v>0</v>
      </c>
      <c r="J31" s="1">
        <f>Table118192023103031323[[#This Row],[النولون]]+Table118192023103031323[[#This Row],[الايصالات]]+Table118192023103031323[[#This Row],[قيمة مضافة]]</f>
        <v>0</v>
      </c>
      <c r="L31" s="1">
        <f>L30+Table118192023103031323[[#This Row],[اجمالي الفاتوره]]-Table118192023103031323[[#This Row],[الدفعات]]</f>
        <v>0</v>
      </c>
      <c r="N31" s="48"/>
    </row>
    <row r="32" spans="2:14" ht="27" customHeight="1" x14ac:dyDescent="0.3">
      <c r="B32" s="2"/>
      <c r="H32" s="1">
        <f>0.14*Table118192023103031323[[#This Row],[النولون]]</f>
        <v>0</v>
      </c>
      <c r="J32" s="1">
        <f>Table118192023103031323[[#This Row],[النولون]]+Table118192023103031323[[#This Row],[الايصالات]]+Table118192023103031323[[#This Row],[قيمة مضافة]]</f>
        <v>0</v>
      </c>
      <c r="L32" s="1">
        <f>L31+Table118192023103031323[[#This Row],[اجمالي الفاتوره]]-Table118192023103031323[[#This Row],[الدفعات]]</f>
        <v>0</v>
      </c>
      <c r="N32" s="48"/>
    </row>
    <row r="33" spans="2:14" ht="27" customHeight="1" x14ac:dyDescent="0.3">
      <c r="B33" s="2"/>
      <c r="H33" s="1">
        <f>0.14*Table118192023103031323[[#This Row],[النولون]]</f>
        <v>0</v>
      </c>
      <c r="J33" s="1">
        <f>Table118192023103031323[[#This Row],[النولون]]+Table118192023103031323[[#This Row],[الايصالات]]+Table118192023103031323[[#This Row],[قيمة مضافة]]</f>
        <v>0</v>
      </c>
      <c r="L33" s="1">
        <f>L32+Table118192023103031323[[#This Row],[اجمالي الفاتوره]]-Table118192023103031323[[#This Row],[الدفعات]]</f>
        <v>0</v>
      </c>
      <c r="N33" s="48"/>
    </row>
    <row r="34" spans="2:14" ht="27" customHeight="1" x14ac:dyDescent="0.3">
      <c r="H34" s="1">
        <f>0.14*Table118192023103031323[[#This Row],[النولون]]</f>
        <v>0</v>
      </c>
      <c r="J34" s="1">
        <f>Table118192023103031323[[#This Row],[النولون]]+Table118192023103031323[[#This Row],[الايصالات]]+Table118192023103031323[[#This Row],[قيمة مضافة]]</f>
        <v>0</v>
      </c>
      <c r="L34" s="1">
        <f>L33+Table118192023103031323[[#This Row],[اجمالي الفاتوره]]-Table118192023103031323[[#This Row],[الدفعات]]</f>
        <v>0</v>
      </c>
      <c r="N34" s="48"/>
    </row>
    <row r="35" spans="2:14" ht="27" customHeight="1" x14ac:dyDescent="0.3">
      <c r="B35" s="2"/>
      <c r="H35" s="1">
        <f>0.14*Table118192023103031323[[#This Row],[النولون]]</f>
        <v>0</v>
      </c>
      <c r="J35" s="1">
        <f>Table118192023103031323[[#This Row],[النولون]]+Table118192023103031323[[#This Row],[الايصالات]]+Table118192023103031323[[#This Row],[قيمة مضافة]]</f>
        <v>0</v>
      </c>
      <c r="L35" s="1">
        <f>L34+Table118192023103031323[[#This Row],[اجمالي الفاتوره]]-Table118192023103031323[[#This Row],[الدفعات]]</f>
        <v>0</v>
      </c>
      <c r="N35" s="48"/>
    </row>
    <row r="36" spans="2:14" ht="27" customHeight="1" x14ac:dyDescent="0.3">
      <c r="H36" s="1">
        <f>0.14*Table118192023103031323[[#This Row],[النولون]]</f>
        <v>0</v>
      </c>
      <c r="J36" s="1">
        <f>Table118192023103031323[[#This Row],[النولون]]+Table118192023103031323[[#This Row],[الايصالات]]+Table118192023103031323[[#This Row],[قيمة مضافة]]</f>
        <v>0</v>
      </c>
      <c r="L36" s="1">
        <f>L35+Table118192023103031323[[#This Row],[اجمالي الفاتوره]]-Table118192023103031323[[#This Row],[الدفعات]]</f>
        <v>0</v>
      </c>
      <c r="N36" s="48"/>
    </row>
    <row r="37" spans="2:14" ht="27" customHeight="1" x14ac:dyDescent="0.3">
      <c r="H37" s="1">
        <f>0.14*Table118192023103031323[[#This Row],[النولون]]</f>
        <v>0</v>
      </c>
      <c r="J37" s="1">
        <f>Table118192023103031323[[#This Row],[النولون]]+Table118192023103031323[[#This Row],[الايصالات]]+Table118192023103031323[[#This Row],[قيمة مضافة]]</f>
        <v>0</v>
      </c>
      <c r="L37" s="1">
        <f>L36+Table118192023103031323[[#This Row],[اجمالي الفاتوره]]-Table118192023103031323[[#This Row],[الدفعات]]</f>
        <v>0</v>
      </c>
      <c r="N37" s="48"/>
    </row>
    <row r="38" spans="2:14" ht="27" customHeight="1" x14ac:dyDescent="0.3">
      <c r="H38" s="1">
        <f>0.14*Table118192023103031323[[#This Row],[النولون]]</f>
        <v>0</v>
      </c>
      <c r="J38" s="1">
        <f>Table118192023103031323[[#This Row],[النولون]]+Table118192023103031323[[#This Row],[الايصالات]]+Table118192023103031323[[#This Row],[قيمة مضافة]]</f>
        <v>0</v>
      </c>
      <c r="L38" s="1">
        <f>L37+Table118192023103031323[[#This Row],[اجمالي الفاتوره]]-Table118192023103031323[[#This Row],[الدفعات]]</f>
        <v>0</v>
      </c>
      <c r="N38" s="48"/>
    </row>
    <row r="39" spans="2:14" ht="27" customHeight="1" x14ac:dyDescent="0.3">
      <c r="B39" s="2"/>
      <c r="C39" s="2"/>
      <c r="H39" s="1">
        <f>0.14*Table118192023103031323[[#This Row],[النولون]]</f>
        <v>0</v>
      </c>
      <c r="J39" s="1">
        <f>Table118192023103031323[[#This Row],[النولون]]+Table118192023103031323[[#This Row],[الايصالات]]+Table118192023103031323[[#This Row],[قيمة مضافة]]</f>
        <v>0</v>
      </c>
      <c r="L39" s="1">
        <f>L38+Table118192023103031323[[#This Row],[اجمالي الفاتوره]]-Table118192023103031323[[#This Row],[الدفعات]]</f>
        <v>0</v>
      </c>
      <c r="N39" s="48"/>
    </row>
    <row r="40" spans="2:14" ht="27" customHeight="1" x14ac:dyDescent="0.3">
      <c r="H40" s="1">
        <f>0.14*Table118192023103031323[[#This Row],[النولون]]</f>
        <v>0</v>
      </c>
      <c r="J40" s="1">
        <f>Table118192023103031323[[#This Row],[النولون]]+Table118192023103031323[[#This Row],[الايصالات]]+Table118192023103031323[[#This Row],[قيمة مضافة]]</f>
        <v>0</v>
      </c>
      <c r="L40" s="1">
        <f>L39+Table118192023103031323[[#This Row],[اجمالي الفاتوره]]-Table118192023103031323[[#This Row],[الدفعات]]</f>
        <v>0</v>
      </c>
      <c r="N40" s="48"/>
    </row>
    <row r="41" spans="2:14" ht="27" customHeight="1" x14ac:dyDescent="0.3">
      <c r="H41" s="1">
        <f>0.14*Table118192023103031323[[#This Row],[النولون]]</f>
        <v>0</v>
      </c>
      <c r="J41" s="1">
        <f>Table118192023103031323[[#This Row],[النولون]]+Table118192023103031323[[#This Row],[الايصالات]]+Table118192023103031323[[#This Row],[قيمة مضافة]]</f>
        <v>0</v>
      </c>
      <c r="L41" s="1">
        <f>L40+Table118192023103031323[[#This Row],[اجمالي الفاتوره]]-Table118192023103031323[[#This Row],[الدفعات]]</f>
        <v>0</v>
      </c>
      <c r="N41" s="48"/>
    </row>
    <row r="42" spans="2:14" ht="27" customHeight="1" x14ac:dyDescent="0.3">
      <c r="H42" s="1">
        <f>0.14*Table118192023103031323[[#This Row],[النولون]]</f>
        <v>0</v>
      </c>
      <c r="J42" s="1">
        <f>Table118192023103031323[[#This Row],[النولون]]+Table118192023103031323[[#This Row],[الايصالات]]+Table118192023103031323[[#This Row],[قيمة مضافة]]</f>
        <v>0</v>
      </c>
      <c r="L42" s="1">
        <f>L41+Table118192023103031323[[#This Row],[اجمالي الفاتوره]]-Table118192023103031323[[#This Row],[الدفعات]]</f>
        <v>0</v>
      </c>
      <c r="N42" s="48"/>
    </row>
    <row r="43" spans="2:14" ht="27" customHeight="1" x14ac:dyDescent="0.3">
      <c r="H43" s="1">
        <f>0.14*Table118192023103031323[[#This Row],[النولون]]</f>
        <v>0</v>
      </c>
      <c r="J43" s="1">
        <f>Table118192023103031323[[#This Row],[النولون]]+Table118192023103031323[[#This Row],[الايصالات]]+Table118192023103031323[[#This Row],[قيمة مضافة]]</f>
        <v>0</v>
      </c>
      <c r="L43" s="1">
        <f>L42+Table118192023103031323[[#This Row],[اجمالي الفاتوره]]-Table118192023103031323[[#This Row],[الدفعات]]</f>
        <v>0</v>
      </c>
      <c r="N43" s="48"/>
    </row>
    <row r="44" spans="2:14" ht="27" customHeight="1" x14ac:dyDescent="0.3">
      <c r="H44" s="1">
        <f>0.14*Table118192023103031323[[#This Row],[النولون]]</f>
        <v>0</v>
      </c>
      <c r="J44" s="1">
        <f>Table118192023103031323[[#This Row],[النولون]]+Table118192023103031323[[#This Row],[الايصالات]]+Table118192023103031323[[#This Row],[قيمة مضافة]]</f>
        <v>0</v>
      </c>
      <c r="L44" s="1">
        <f>L43+Table118192023103031323[[#This Row],[اجمالي الفاتوره]]-Table118192023103031323[[#This Row],[الدفعات]]</f>
        <v>0</v>
      </c>
      <c r="N44" s="48"/>
    </row>
    <row r="45" spans="2:14" ht="27" customHeight="1" x14ac:dyDescent="0.3">
      <c r="H45" s="1">
        <f>0.14*Table118192023103031323[[#This Row],[النولون]]</f>
        <v>0</v>
      </c>
      <c r="J45" s="1">
        <f>Table118192023103031323[[#This Row],[النولون]]+Table118192023103031323[[#This Row],[الايصالات]]+Table118192023103031323[[#This Row],[قيمة مضافة]]</f>
        <v>0</v>
      </c>
      <c r="L45" s="1">
        <f>L44+Table118192023103031323[[#This Row],[اجمالي الفاتوره]]-Table118192023103031323[[#This Row],[الدفعات]]</f>
        <v>0</v>
      </c>
      <c r="N45" s="48"/>
    </row>
    <row r="46" spans="2:14" ht="27" customHeight="1" x14ac:dyDescent="0.3">
      <c r="H46" s="1">
        <f>0.14*Table118192023103031323[[#This Row],[النولون]]</f>
        <v>0</v>
      </c>
      <c r="J46" s="1">
        <f>Table118192023103031323[[#This Row],[النولون]]+Table118192023103031323[[#This Row],[الايصالات]]+Table118192023103031323[[#This Row],[قيمة مضافة]]</f>
        <v>0</v>
      </c>
      <c r="L46" s="1">
        <f>L45+Table118192023103031323[[#This Row],[اجمالي الفاتوره]]-Table118192023103031323[[#This Row],[الدفعات]]</f>
        <v>0</v>
      </c>
      <c r="N46" s="48"/>
    </row>
    <row r="47" spans="2:14" ht="27" customHeight="1" x14ac:dyDescent="0.3">
      <c r="H47" s="1">
        <f>0.14*Table118192023103031323[[#This Row],[النولون]]</f>
        <v>0</v>
      </c>
      <c r="J47" s="1">
        <f>Table118192023103031323[[#This Row],[النولون]]+Table118192023103031323[[#This Row],[الايصالات]]+Table118192023103031323[[#This Row],[قيمة مضافة]]</f>
        <v>0</v>
      </c>
      <c r="L47" s="1">
        <f>L46+Table118192023103031323[[#This Row],[اجمالي الفاتوره]]-Table118192023103031323[[#This Row],[الدفعات]]</f>
        <v>0</v>
      </c>
      <c r="N47" s="48"/>
    </row>
    <row r="48" spans="2:14" ht="27" customHeight="1" x14ac:dyDescent="0.3">
      <c r="H48" s="1">
        <f>0.14*Table118192023103031323[[#This Row],[النولون]]</f>
        <v>0</v>
      </c>
      <c r="J48" s="1">
        <f>Table118192023103031323[[#This Row],[النولون]]+Table118192023103031323[[#This Row],[الايصالات]]+Table118192023103031323[[#This Row],[قيمة مضافة]]</f>
        <v>0</v>
      </c>
      <c r="L48" s="1">
        <f>L47+Table118192023103031323[[#This Row],[اجمالي الفاتوره]]-Table118192023103031323[[#This Row],[الدفعات]]</f>
        <v>0</v>
      </c>
      <c r="N48" s="48"/>
    </row>
    <row r="49" spans="8:14" ht="27" customHeight="1" x14ac:dyDescent="0.3">
      <c r="H49" s="1">
        <f>0.14*Table118192023103031323[[#This Row],[النولون]]</f>
        <v>0</v>
      </c>
      <c r="J49" s="1">
        <f>Table118192023103031323[[#This Row],[النولون]]+Table118192023103031323[[#This Row],[الايصالات]]+Table118192023103031323[[#This Row],[قيمة مضافة]]</f>
        <v>0</v>
      </c>
      <c r="L49" s="1">
        <f>L48+Table118192023103031323[[#This Row],[اجمالي الفاتوره]]-Table118192023103031323[[#This Row],[الدفعات]]</f>
        <v>0</v>
      </c>
      <c r="N49" s="48"/>
    </row>
    <row r="50" spans="8:14" ht="27" customHeight="1" x14ac:dyDescent="0.3">
      <c r="H50" s="1">
        <f>0.14*Table118192023103031323[[#This Row],[النولون]]</f>
        <v>0</v>
      </c>
      <c r="J50" s="1">
        <f>Table118192023103031323[[#This Row],[النولون]]+Table118192023103031323[[#This Row],[الايصالات]]+Table118192023103031323[[#This Row],[قيمة مضافة]]</f>
        <v>0</v>
      </c>
      <c r="L50" s="1">
        <f>L49+Table118192023103031323[[#This Row],[اجمالي الفاتوره]]-Table118192023103031323[[#This Row],[الدفعات]]</f>
        <v>0</v>
      </c>
      <c r="N50" s="48"/>
    </row>
    <row r="51" spans="8:14" ht="27" customHeight="1" x14ac:dyDescent="0.3">
      <c r="H51" s="1">
        <f>0.14*Table118192023103031323[[#This Row],[النولون]]</f>
        <v>0</v>
      </c>
      <c r="J51" s="1">
        <f>Table118192023103031323[[#This Row],[النولون]]+Table118192023103031323[[#This Row],[الايصالات]]+Table118192023103031323[[#This Row],[قيمة مضافة]]</f>
        <v>0</v>
      </c>
      <c r="L51" s="1">
        <f>L50+Table118192023103031323[[#This Row],[اجمالي الفاتوره]]-Table118192023103031323[[#This Row],[الدفعات]]</f>
        <v>0</v>
      </c>
      <c r="N51" s="48"/>
    </row>
    <row r="52" spans="8:14" ht="27" customHeight="1" x14ac:dyDescent="0.3">
      <c r="H52" s="1">
        <f>0.14*Table118192023103031323[[#This Row],[النولون]]</f>
        <v>0</v>
      </c>
      <c r="J52" s="1">
        <f>Table118192023103031323[[#This Row],[النولون]]+Table118192023103031323[[#This Row],[الايصالات]]+Table118192023103031323[[#This Row],[قيمة مضافة]]</f>
        <v>0</v>
      </c>
      <c r="L52" s="1">
        <f>L51+Table118192023103031323[[#This Row],[اجمالي الفاتوره]]-Table118192023103031323[[#This Row],[الدفعات]]</f>
        <v>0</v>
      </c>
      <c r="N52" s="48"/>
    </row>
    <row r="53" spans="8:14" ht="27" customHeight="1" x14ac:dyDescent="0.3">
      <c r="H53" s="1">
        <f>0.14*Table118192023103031323[[#This Row],[النولون]]</f>
        <v>0</v>
      </c>
      <c r="J53" s="1">
        <f>Table118192023103031323[[#This Row],[النولون]]+Table118192023103031323[[#This Row],[الايصالات]]+Table118192023103031323[[#This Row],[قيمة مضافة]]</f>
        <v>0</v>
      </c>
      <c r="L53" s="1">
        <f>L52+Table118192023103031323[[#This Row],[اجمالي الفاتوره]]-Table118192023103031323[[#This Row],[الدفعات]]</f>
        <v>0</v>
      </c>
      <c r="N53" s="48"/>
    </row>
    <row r="54" spans="8:14" ht="27" customHeight="1" x14ac:dyDescent="0.3">
      <c r="H54" s="1">
        <f>0.14*Table118192023103031323[[#This Row],[النولون]]</f>
        <v>0</v>
      </c>
      <c r="J54" s="1">
        <f>Table118192023103031323[[#This Row],[النولون]]+Table118192023103031323[[#This Row],[الايصالات]]+Table118192023103031323[[#This Row],[قيمة مضافة]]</f>
        <v>0</v>
      </c>
      <c r="L54" s="1">
        <f>L53+Table118192023103031323[[#This Row],[اجمالي الفاتوره]]-Table118192023103031323[[#This Row],[الدفعات]]</f>
        <v>0</v>
      </c>
      <c r="N54" s="48"/>
    </row>
    <row r="55" spans="8:14" ht="27" customHeight="1" x14ac:dyDescent="0.3">
      <c r="H55" s="1">
        <f>0.14*Table118192023103031323[[#This Row],[النولون]]</f>
        <v>0</v>
      </c>
      <c r="J55" s="1">
        <f>Table118192023103031323[[#This Row],[النولون]]+Table118192023103031323[[#This Row],[الايصالات]]+Table118192023103031323[[#This Row],[قيمة مضافة]]</f>
        <v>0</v>
      </c>
      <c r="L55" s="1">
        <f>L54+Table118192023103031323[[#This Row],[اجمالي الفاتوره]]-Table118192023103031323[[#This Row],[الدفعات]]</f>
        <v>0</v>
      </c>
      <c r="N55" s="48"/>
    </row>
    <row r="56" spans="8:14" ht="27" customHeight="1" x14ac:dyDescent="0.3">
      <c r="H56" s="1">
        <f>0.14*Table118192023103031323[[#This Row],[النولون]]</f>
        <v>0</v>
      </c>
      <c r="J56" s="1">
        <f>Table118192023103031323[[#This Row],[النولون]]+Table118192023103031323[[#This Row],[الايصالات]]+Table118192023103031323[[#This Row],[قيمة مضافة]]</f>
        <v>0</v>
      </c>
      <c r="L56" s="1">
        <f>L55+Table118192023103031323[[#This Row],[اجمالي الفاتوره]]-Table118192023103031323[[#This Row],[الدفعات]]</f>
        <v>0</v>
      </c>
      <c r="N56" s="48"/>
    </row>
    <row r="57" spans="8:14" ht="27" customHeight="1" x14ac:dyDescent="0.3">
      <c r="H57" s="1">
        <f>0.14*Table118192023103031323[[#This Row],[النولون]]</f>
        <v>0</v>
      </c>
      <c r="J57" s="1">
        <f>Table118192023103031323[[#This Row],[النولون]]+Table118192023103031323[[#This Row],[الايصالات]]+Table118192023103031323[[#This Row],[قيمة مضافة]]</f>
        <v>0</v>
      </c>
      <c r="L57" s="1">
        <f>L56+Table118192023103031323[[#This Row],[اجمالي الفاتوره]]-Table118192023103031323[[#This Row],[الدفعات]]</f>
        <v>0</v>
      </c>
      <c r="N57" s="48"/>
    </row>
    <row r="58" spans="8:14" ht="27" customHeight="1" x14ac:dyDescent="0.3">
      <c r="H58" s="1">
        <f>0.14*Table118192023103031323[[#This Row],[النولون]]</f>
        <v>0</v>
      </c>
      <c r="J58" s="1">
        <f>Table118192023103031323[[#This Row],[النولون]]+Table118192023103031323[[#This Row],[الايصالات]]+Table118192023103031323[[#This Row],[قيمة مضافة]]</f>
        <v>0</v>
      </c>
      <c r="L58" s="1">
        <f>L57+Table118192023103031323[[#This Row],[اجمالي الفاتوره]]-Table118192023103031323[[#This Row],[الدفعات]]</f>
        <v>0</v>
      </c>
      <c r="N58" s="48"/>
    </row>
    <row r="59" spans="8:14" ht="27" customHeight="1" x14ac:dyDescent="0.3">
      <c r="H59" s="1">
        <f>0.14*Table118192023103031323[[#This Row],[النولون]]</f>
        <v>0</v>
      </c>
      <c r="J59" s="1">
        <f>Table118192023103031323[[#This Row],[النولون]]+Table118192023103031323[[#This Row],[الايصالات]]+Table118192023103031323[[#This Row],[قيمة مضافة]]</f>
        <v>0</v>
      </c>
      <c r="L59" s="1">
        <f>L58+Table118192023103031323[[#This Row],[اجمالي الفاتوره]]-Table118192023103031323[[#This Row],[الدفعات]]</f>
        <v>0</v>
      </c>
      <c r="N59" s="48"/>
    </row>
    <row r="60" spans="8:14" ht="27" customHeight="1" x14ac:dyDescent="0.3">
      <c r="H60" s="1">
        <f>0.14*Table118192023103031323[[#This Row],[النولون]]</f>
        <v>0</v>
      </c>
      <c r="J60" s="1">
        <f>Table118192023103031323[[#This Row],[النولون]]+Table118192023103031323[[#This Row],[الايصالات]]+Table118192023103031323[[#This Row],[قيمة مضافة]]</f>
        <v>0</v>
      </c>
      <c r="L60" s="1">
        <f>L59+Table118192023103031323[[#This Row],[اجمالي الفاتوره]]-Table118192023103031323[[#This Row],[الدفعات]]</f>
        <v>0</v>
      </c>
      <c r="N60" s="48"/>
    </row>
    <row r="61" spans="8:14" ht="27" customHeight="1" x14ac:dyDescent="0.3">
      <c r="H61" s="1">
        <f>0.14*Table118192023103031323[[#This Row],[النولون]]</f>
        <v>0</v>
      </c>
      <c r="J61" s="1">
        <f>Table118192023103031323[[#This Row],[النولون]]+Table118192023103031323[[#This Row],[الايصالات]]+Table118192023103031323[[#This Row],[قيمة مضافة]]</f>
        <v>0</v>
      </c>
      <c r="L61" s="1">
        <f>L60+Table118192023103031323[[#This Row],[اجمالي الفاتوره]]-Table118192023103031323[[#This Row],[الدفعات]]</f>
        <v>0</v>
      </c>
      <c r="N61" s="48"/>
    </row>
    <row r="62" spans="8:14" ht="27" customHeight="1" x14ac:dyDescent="0.3">
      <c r="H62" s="1">
        <f>0.14*Table118192023103031323[[#This Row],[النولون]]</f>
        <v>0</v>
      </c>
      <c r="J62" s="1">
        <f>Table118192023103031323[[#This Row],[النولون]]+Table118192023103031323[[#This Row],[الايصالات]]+Table118192023103031323[[#This Row],[قيمة مضافة]]</f>
        <v>0</v>
      </c>
      <c r="L62" s="1">
        <f>L61+Table118192023103031323[[#This Row],[اجمالي الفاتوره]]-Table118192023103031323[[#This Row],[الدفعات]]</f>
        <v>0</v>
      </c>
      <c r="N62" s="48"/>
    </row>
    <row r="63" spans="8:14" ht="27" customHeight="1" x14ac:dyDescent="0.3">
      <c r="H63" s="1">
        <f>0.14*Table118192023103031323[[#This Row],[النولون]]</f>
        <v>0</v>
      </c>
      <c r="J63" s="1">
        <f>Table118192023103031323[[#This Row],[النولون]]+Table118192023103031323[[#This Row],[الايصالات]]+Table118192023103031323[[#This Row],[قيمة مضافة]]</f>
        <v>0</v>
      </c>
      <c r="L63" s="1">
        <f>L62+Table118192023103031323[[#This Row],[اجمالي الفاتوره]]-Table118192023103031323[[#This Row],[الدفعات]]</f>
        <v>0</v>
      </c>
      <c r="N63" s="48"/>
    </row>
    <row r="64" spans="8:14" ht="27" customHeight="1" x14ac:dyDescent="0.3">
      <c r="H64" s="1">
        <f>0.14*Table118192023103031323[[#This Row],[النولون]]</f>
        <v>0</v>
      </c>
      <c r="J64" s="1">
        <f>Table118192023103031323[[#This Row],[النولون]]+Table118192023103031323[[#This Row],[الايصالات]]+Table118192023103031323[[#This Row],[قيمة مضافة]]</f>
        <v>0</v>
      </c>
      <c r="L64" s="1">
        <f>L63+Table118192023103031323[[#This Row],[اجمالي الفاتوره]]-Table118192023103031323[[#This Row],[الدفعات]]</f>
        <v>0</v>
      </c>
      <c r="N64" s="48"/>
    </row>
    <row r="65" spans="8:14" ht="27" customHeight="1" x14ac:dyDescent="0.3">
      <c r="H65" s="1">
        <f>0.14*Table118192023103031323[[#This Row],[النولون]]</f>
        <v>0</v>
      </c>
      <c r="J65" s="1">
        <f>Table118192023103031323[[#This Row],[النولون]]+Table118192023103031323[[#This Row],[الايصالات]]+Table118192023103031323[[#This Row],[قيمة مضافة]]</f>
        <v>0</v>
      </c>
      <c r="L65" s="1">
        <f>L64+Table118192023103031323[[#This Row],[اجمالي الفاتوره]]-Table118192023103031323[[#This Row],[الدفعات]]</f>
        <v>0</v>
      </c>
      <c r="N65" s="48"/>
    </row>
    <row r="66" spans="8:14" ht="27" customHeight="1" x14ac:dyDescent="0.3">
      <c r="H66" s="1">
        <f>0.14*Table118192023103031323[[#This Row],[النولون]]</f>
        <v>0</v>
      </c>
      <c r="J66" s="1">
        <f>Table118192023103031323[[#This Row],[النولون]]+Table118192023103031323[[#This Row],[الايصالات]]+Table118192023103031323[[#This Row],[قيمة مضافة]]</f>
        <v>0</v>
      </c>
      <c r="L66" s="1">
        <f>L65+Table118192023103031323[[#This Row],[اجمالي الفاتوره]]-Table118192023103031323[[#This Row],[الدفعات]]</f>
        <v>0</v>
      </c>
      <c r="N66" s="48"/>
    </row>
    <row r="67" spans="8:14" ht="27" customHeight="1" x14ac:dyDescent="0.3">
      <c r="H67" s="1">
        <f>0.14*Table118192023103031323[[#This Row],[النولون]]</f>
        <v>0</v>
      </c>
      <c r="J67" s="1">
        <f>Table118192023103031323[[#This Row],[النولون]]+Table118192023103031323[[#This Row],[الايصالات]]+Table118192023103031323[[#This Row],[قيمة مضافة]]</f>
        <v>0</v>
      </c>
      <c r="L67" s="1">
        <f>L66+Table118192023103031323[[#This Row],[اجمالي الفاتوره]]-Table118192023103031323[[#This Row],[الدفعات]]</f>
        <v>0</v>
      </c>
      <c r="N67" s="48"/>
    </row>
    <row r="68" spans="8:14" ht="27" customHeight="1" x14ac:dyDescent="0.3">
      <c r="H68" s="1">
        <f>0.14*Table118192023103031323[[#This Row],[النولون]]</f>
        <v>0</v>
      </c>
      <c r="J68" s="1">
        <f>Table118192023103031323[[#This Row],[النولون]]+Table118192023103031323[[#This Row],[الايصالات]]+Table118192023103031323[[#This Row],[قيمة مضافة]]</f>
        <v>0</v>
      </c>
      <c r="L68" s="1">
        <f>L67+Table118192023103031323[[#This Row],[اجمالي الفاتوره]]-Table118192023103031323[[#This Row],[الدفعات]]</f>
        <v>0</v>
      </c>
      <c r="N68" s="48"/>
    </row>
    <row r="69" spans="8:14" ht="27" customHeight="1" x14ac:dyDescent="0.3">
      <c r="H69" s="1">
        <f>0.14*Table118192023103031323[[#This Row],[النولون]]</f>
        <v>0</v>
      </c>
      <c r="J69" s="1">
        <f>Table118192023103031323[[#This Row],[النولون]]+Table118192023103031323[[#This Row],[الايصالات]]+Table118192023103031323[[#This Row],[قيمة مضافة]]</f>
        <v>0</v>
      </c>
      <c r="L69" s="1">
        <f>L68+Table118192023103031323[[#This Row],[اجمالي الفاتوره]]-Table118192023103031323[[#This Row],[الدفعات]]</f>
        <v>0</v>
      </c>
      <c r="N69" s="48"/>
    </row>
    <row r="70" spans="8:14" ht="27" customHeight="1" x14ac:dyDescent="0.3">
      <c r="H70" s="1">
        <f>0.14*Table118192023103031323[[#This Row],[النولون]]</f>
        <v>0</v>
      </c>
      <c r="J70" s="1">
        <f>Table118192023103031323[[#This Row],[النولون]]+Table118192023103031323[[#This Row],[الايصالات]]+Table118192023103031323[[#This Row],[قيمة مضافة]]</f>
        <v>0</v>
      </c>
      <c r="L70" s="1">
        <f>L69+Table118192023103031323[[#This Row],[اجمالي الفاتوره]]-Table118192023103031323[[#This Row],[الدفعات]]</f>
        <v>0</v>
      </c>
      <c r="N70" s="48"/>
    </row>
    <row r="71" spans="8:14" ht="27" customHeight="1" x14ac:dyDescent="0.3">
      <c r="H71" s="1">
        <f>0.14*Table118192023103031323[[#This Row],[النولون]]</f>
        <v>0</v>
      </c>
      <c r="J71" s="1">
        <f>Table118192023103031323[[#This Row],[النولون]]+Table118192023103031323[[#This Row],[الايصالات]]+Table118192023103031323[[#This Row],[قيمة مضافة]]</f>
        <v>0</v>
      </c>
      <c r="L71" s="1">
        <f>L70+Table118192023103031323[[#This Row],[اجمالي الفاتوره]]-Table118192023103031323[[#This Row],[الدفعات]]</f>
        <v>0</v>
      </c>
      <c r="N71" s="48"/>
    </row>
    <row r="72" spans="8:14" ht="27" customHeight="1" x14ac:dyDescent="0.3">
      <c r="H72" s="1">
        <f>0.14*Table118192023103031323[[#This Row],[النولون]]</f>
        <v>0</v>
      </c>
      <c r="J72" s="1">
        <f>Table118192023103031323[[#This Row],[النولون]]+Table118192023103031323[[#This Row],[الايصالات]]+Table118192023103031323[[#This Row],[قيمة مضافة]]</f>
        <v>0</v>
      </c>
      <c r="L72" s="1">
        <f>L71+Table118192023103031323[[#This Row],[اجمالي الفاتوره]]-Table118192023103031323[[#This Row],[الدفعات]]</f>
        <v>0</v>
      </c>
      <c r="N72" s="48"/>
    </row>
    <row r="73" spans="8:14" ht="27" customHeight="1" x14ac:dyDescent="0.3">
      <c r="H73" s="1">
        <f>0.14*Table118192023103031323[[#This Row],[النولون]]</f>
        <v>0</v>
      </c>
      <c r="J73" s="1">
        <f>Table118192023103031323[[#This Row],[النولون]]+Table118192023103031323[[#This Row],[الايصالات]]+Table118192023103031323[[#This Row],[قيمة مضافة]]</f>
        <v>0</v>
      </c>
      <c r="L73" s="1">
        <f>L72+Table118192023103031323[[#This Row],[اجمالي الفاتوره]]-Table118192023103031323[[#This Row],[الدفعات]]</f>
        <v>0</v>
      </c>
      <c r="N73" s="48"/>
    </row>
    <row r="74" spans="8:14" ht="27" customHeight="1" x14ac:dyDescent="0.3">
      <c r="H74" s="1">
        <f>0.14*Table118192023103031323[[#This Row],[النولون]]</f>
        <v>0</v>
      </c>
      <c r="J74" s="1">
        <f>Table118192023103031323[[#This Row],[النولون]]+Table118192023103031323[[#This Row],[الايصالات]]+Table118192023103031323[[#This Row],[قيمة مضافة]]</f>
        <v>0</v>
      </c>
      <c r="L74" s="1">
        <f>L73+Table118192023103031323[[#This Row],[اجمالي الفاتوره]]-Table118192023103031323[[#This Row],[الدفعات]]</f>
        <v>0</v>
      </c>
      <c r="N74" s="48"/>
    </row>
    <row r="75" spans="8:14" ht="27" customHeight="1" x14ac:dyDescent="0.3">
      <c r="H75" s="1">
        <f>0.14*Table118192023103031323[[#This Row],[النولون]]</f>
        <v>0</v>
      </c>
      <c r="J75" s="1">
        <f>Table118192023103031323[[#This Row],[النولون]]+Table118192023103031323[[#This Row],[الايصالات]]+Table118192023103031323[[#This Row],[قيمة مضافة]]</f>
        <v>0</v>
      </c>
      <c r="L75" s="1">
        <f>L74+Table118192023103031323[[#This Row],[اجمالي الفاتوره]]-Table118192023103031323[[#This Row],[الدفعات]]</f>
        <v>0</v>
      </c>
      <c r="N75" s="48"/>
    </row>
    <row r="76" spans="8:14" ht="27" customHeight="1" x14ac:dyDescent="0.3">
      <c r="H76" s="1">
        <f>0.14*Table118192023103031323[[#This Row],[النولون]]</f>
        <v>0</v>
      </c>
      <c r="J76" s="1">
        <f>Table118192023103031323[[#This Row],[النولون]]+Table118192023103031323[[#This Row],[الايصالات]]+Table118192023103031323[[#This Row],[قيمة مضافة]]</f>
        <v>0</v>
      </c>
      <c r="L76" s="1">
        <f>L75+Table118192023103031323[[#This Row],[اجمالي الفاتوره]]-Table118192023103031323[[#This Row],[الدفعات]]</f>
        <v>0</v>
      </c>
      <c r="N76" s="48"/>
    </row>
    <row r="77" spans="8:14" ht="27" customHeight="1" x14ac:dyDescent="0.3">
      <c r="H77" s="1">
        <f>0.14*Table118192023103031323[[#This Row],[النولون]]</f>
        <v>0</v>
      </c>
      <c r="J77" s="1">
        <f>Table118192023103031323[[#This Row],[النولون]]+Table118192023103031323[[#This Row],[الايصالات]]+Table118192023103031323[[#This Row],[قيمة مضافة]]</f>
        <v>0</v>
      </c>
      <c r="L77" s="1">
        <f>L76+Table118192023103031323[[#This Row],[اجمالي الفاتوره]]-Table118192023103031323[[#This Row],[الدفعات]]</f>
        <v>0</v>
      </c>
      <c r="N77" s="48"/>
    </row>
    <row r="78" spans="8:14" ht="27" customHeight="1" x14ac:dyDescent="0.3">
      <c r="H78" s="1">
        <f>0.14*Table118192023103031323[[#This Row],[النولون]]</f>
        <v>0</v>
      </c>
      <c r="J78" s="1">
        <f>Table118192023103031323[[#This Row],[النولون]]+Table118192023103031323[[#This Row],[الايصالات]]+Table118192023103031323[[#This Row],[قيمة مضافة]]</f>
        <v>0</v>
      </c>
      <c r="L78" s="1">
        <f>L77+Table118192023103031323[[#This Row],[اجمالي الفاتوره]]-Table118192023103031323[[#This Row],[الدفعات]]</f>
        <v>0</v>
      </c>
      <c r="N78" s="48"/>
    </row>
    <row r="79" spans="8:14" ht="27" customHeight="1" x14ac:dyDescent="0.3">
      <c r="H79" s="1">
        <f>0.14*Table118192023103031323[[#This Row],[النولون]]</f>
        <v>0</v>
      </c>
      <c r="J79" s="1">
        <f>Table118192023103031323[[#This Row],[النولون]]+Table118192023103031323[[#This Row],[الايصالات]]+Table118192023103031323[[#This Row],[قيمة مضافة]]</f>
        <v>0</v>
      </c>
      <c r="L79" s="1">
        <f>L78+Table118192023103031323[[#This Row],[اجمالي الفاتوره]]-Table118192023103031323[[#This Row],[الدفعات]]</f>
        <v>0</v>
      </c>
      <c r="N79" s="48"/>
    </row>
    <row r="80" spans="8:14" ht="27" customHeight="1" x14ac:dyDescent="0.3">
      <c r="H80" s="1">
        <f>0.14*Table118192023103031323[[#This Row],[النولون]]</f>
        <v>0</v>
      </c>
      <c r="J80" s="1">
        <f>Table118192023103031323[[#This Row],[النولون]]+Table118192023103031323[[#This Row],[الايصالات]]+Table118192023103031323[[#This Row],[قيمة مضافة]]</f>
        <v>0</v>
      </c>
      <c r="L80" s="1">
        <f>L79+Table118192023103031323[[#This Row],[اجمالي الفاتوره]]-Table118192023103031323[[#This Row],[الدفعات]]</f>
        <v>0</v>
      </c>
      <c r="N80" s="48"/>
    </row>
    <row r="81" spans="8:14" ht="27" customHeight="1" x14ac:dyDescent="0.3">
      <c r="H81" s="1">
        <f>0.14*Table118192023103031323[[#This Row],[النولون]]</f>
        <v>0</v>
      </c>
      <c r="J81" s="1">
        <f>Table118192023103031323[[#This Row],[النولون]]+Table118192023103031323[[#This Row],[الايصالات]]+Table118192023103031323[[#This Row],[قيمة مضافة]]</f>
        <v>0</v>
      </c>
      <c r="L81" s="1">
        <f>L80+Table118192023103031323[[#This Row],[اجمالي الفاتوره]]-Table118192023103031323[[#This Row],[الدفعات]]</f>
        <v>0</v>
      </c>
      <c r="N81" s="48"/>
    </row>
    <row r="82" spans="8:14" ht="27" customHeight="1" x14ac:dyDescent="0.3">
      <c r="H82" s="1">
        <f>0.14*Table118192023103031323[[#This Row],[النولون]]</f>
        <v>0</v>
      </c>
      <c r="J82" s="1">
        <f>Table118192023103031323[[#This Row],[النولون]]+Table118192023103031323[[#This Row],[الايصالات]]+Table118192023103031323[[#This Row],[قيمة مضافة]]</f>
        <v>0</v>
      </c>
      <c r="L82" s="1">
        <f>L81+Table118192023103031323[[#This Row],[اجمالي الفاتوره]]-Table118192023103031323[[#This Row],[الدفعات]]</f>
        <v>0</v>
      </c>
      <c r="N82" s="48"/>
    </row>
    <row r="83" spans="8:14" ht="27" customHeight="1" x14ac:dyDescent="0.3">
      <c r="H83" s="1">
        <f>0.14*Table118192023103031323[[#This Row],[النولون]]</f>
        <v>0</v>
      </c>
      <c r="J83" s="1">
        <f>Table118192023103031323[[#This Row],[النولون]]+Table118192023103031323[[#This Row],[الايصالات]]+Table118192023103031323[[#This Row],[قيمة مضافة]]</f>
        <v>0</v>
      </c>
      <c r="L83" s="1">
        <f>L82+Table118192023103031323[[#This Row],[اجمالي الفاتوره]]-Table118192023103031323[[#This Row],[الدفعات]]</f>
        <v>0</v>
      </c>
      <c r="N83" s="48"/>
    </row>
    <row r="84" spans="8:14" ht="27" customHeight="1" x14ac:dyDescent="0.3">
      <c r="H84" s="1">
        <f>0.14*Table118192023103031323[[#This Row],[النولون]]</f>
        <v>0</v>
      </c>
      <c r="J84" s="1">
        <f>Table118192023103031323[[#This Row],[النولون]]+Table118192023103031323[[#This Row],[الايصالات]]+Table118192023103031323[[#This Row],[قيمة مضافة]]</f>
        <v>0</v>
      </c>
      <c r="L84" s="1">
        <f>L83+Table118192023103031323[[#This Row],[اجمالي الفاتوره]]-Table118192023103031323[[#This Row],[الدفعات]]</f>
        <v>0</v>
      </c>
      <c r="N84" s="48"/>
    </row>
    <row r="85" spans="8:14" ht="27" customHeight="1" x14ac:dyDescent="0.3">
      <c r="H85" s="1">
        <f>0.14*Table118192023103031323[[#This Row],[النولون]]</f>
        <v>0</v>
      </c>
      <c r="J85" s="1">
        <f>Table118192023103031323[[#This Row],[النولون]]+Table118192023103031323[[#This Row],[الايصالات]]+Table118192023103031323[[#This Row],[قيمة مضافة]]</f>
        <v>0</v>
      </c>
      <c r="L85" s="1">
        <f>L84+Table118192023103031323[[#This Row],[اجمالي الفاتوره]]-Table118192023103031323[[#This Row],[الدفعات]]</f>
        <v>0</v>
      </c>
      <c r="N85" s="48"/>
    </row>
    <row r="86" spans="8:14" ht="27" customHeight="1" x14ac:dyDescent="0.3">
      <c r="H86" s="1">
        <f>0.14*Table118192023103031323[[#This Row],[النولون]]</f>
        <v>0</v>
      </c>
      <c r="J86" s="1">
        <f>Table118192023103031323[[#This Row],[النولون]]+Table118192023103031323[[#This Row],[الايصالات]]+Table118192023103031323[[#This Row],[قيمة مضافة]]</f>
        <v>0</v>
      </c>
      <c r="L86" s="1">
        <f>L85+Table118192023103031323[[#This Row],[اجمالي الفاتوره]]-Table118192023103031323[[#This Row],[الدفعات]]</f>
        <v>0</v>
      </c>
      <c r="N86" s="48"/>
    </row>
    <row r="87" spans="8:14" ht="27" customHeight="1" x14ac:dyDescent="0.3">
      <c r="H87" s="1">
        <f>0.14*Table118192023103031323[[#This Row],[النولون]]</f>
        <v>0</v>
      </c>
      <c r="J87" s="1">
        <f>Table118192023103031323[[#This Row],[النولون]]+Table118192023103031323[[#This Row],[الايصالات]]+Table118192023103031323[[#This Row],[قيمة مضافة]]</f>
        <v>0</v>
      </c>
      <c r="L87" s="1">
        <f>L86+Table118192023103031323[[#This Row],[اجمالي الفاتوره]]-Table118192023103031323[[#This Row],[الدفعات]]</f>
        <v>0</v>
      </c>
      <c r="N87" s="48"/>
    </row>
    <row r="88" spans="8:14" ht="27" customHeight="1" x14ac:dyDescent="0.3">
      <c r="H88" s="1">
        <f>0.14*Table118192023103031323[[#This Row],[النولون]]</f>
        <v>0</v>
      </c>
      <c r="J88" s="1">
        <f>Table118192023103031323[[#This Row],[النولون]]+Table118192023103031323[[#This Row],[الايصالات]]+Table118192023103031323[[#This Row],[قيمة مضافة]]</f>
        <v>0</v>
      </c>
      <c r="L88" s="1">
        <f>L87+Table118192023103031323[[#This Row],[اجمالي الفاتوره]]-Table118192023103031323[[#This Row],[الدفعات]]</f>
        <v>0</v>
      </c>
      <c r="N88" s="48"/>
    </row>
    <row r="89" spans="8:14" ht="27" customHeight="1" x14ac:dyDescent="0.3">
      <c r="H89" s="1">
        <f>0.14*Table118192023103031323[[#This Row],[النولون]]</f>
        <v>0</v>
      </c>
      <c r="J89" s="1">
        <f>Table118192023103031323[[#This Row],[النولون]]+Table118192023103031323[[#This Row],[الايصالات]]+Table118192023103031323[[#This Row],[قيمة مضافة]]</f>
        <v>0</v>
      </c>
      <c r="L89" s="1">
        <f>L88+Table118192023103031323[[#This Row],[اجمالي الفاتوره]]-Table118192023103031323[[#This Row],[الدفعات]]</f>
        <v>0</v>
      </c>
      <c r="N89" s="48"/>
    </row>
    <row r="90" spans="8:14" ht="27" customHeight="1" x14ac:dyDescent="0.3">
      <c r="H90" s="1">
        <f>0.14*Table118192023103031323[[#This Row],[النولون]]</f>
        <v>0</v>
      </c>
      <c r="J90" s="1">
        <f>Table118192023103031323[[#This Row],[النولون]]+Table118192023103031323[[#This Row],[الايصالات]]+Table118192023103031323[[#This Row],[قيمة مضافة]]</f>
        <v>0</v>
      </c>
      <c r="L90" s="1">
        <f>L89+Table118192023103031323[[#This Row],[اجمالي الفاتوره]]-Table118192023103031323[[#This Row],[الدفعات]]</f>
        <v>0</v>
      </c>
      <c r="N90" s="48"/>
    </row>
    <row r="91" spans="8:14" ht="27" customHeight="1" x14ac:dyDescent="0.3">
      <c r="H91" s="1">
        <f>0.14*Table118192023103031323[[#This Row],[النولون]]</f>
        <v>0</v>
      </c>
      <c r="J91" s="1">
        <f>Table118192023103031323[[#This Row],[النولون]]+Table118192023103031323[[#This Row],[الايصالات]]+Table118192023103031323[[#This Row],[قيمة مضافة]]</f>
        <v>0</v>
      </c>
      <c r="L91" s="1">
        <f>L90+Table118192023103031323[[#This Row],[اجمالي الفاتوره]]-Table118192023103031323[[#This Row],[الدفعات]]</f>
        <v>0</v>
      </c>
      <c r="N91" s="48"/>
    </row>
    <row r="92" spans="8:14" ht="27" customHeight="1" x14ac:dyDescent="0.3">
      <c r="H92" s="1">
        <f>0.14*Table118192023103031323[[#This Row],[النولون]]</f>
        <v>0</v>
      </c>
      <c r="J92" s="1">
        <f>Table118192023103031323[[#This Row],[النولون]]+Table118192023103031323[[#This Row],[الايصالات]]+Table118192023103031323[[#This Row],[قيمة مضافة]]</f>
        <v>0</v>
      </c>
      <c r="L92" s="1">
        <f>L91+Table118192023103031323[[#This Row],[اجمالي الفاتوره]]-Table118192023103031323[[#This Row],[الدفعات]]</f>
        <v>0</v>
      </c>
      <c r="N92" s="48"/>
    </row>
    <row r="93" spans="8:14" ht="27" customHeight="1" x14ac:dyDescent="0.3">
      <c r="H93" s="1">
        <f>0.14*Table118192023103031323[[#This Row],[النولون]]</f>
        <v>0</v>
      </c>
      <c r="J93" s="1">
        <f>Table118192023103031323[[#This Row],[النولون]]+Table118192023103031323[[#This Row],[الايصالات]]+Table118192023103031323[[#This Row],[قيمة مضافة]]</f>
        <v>0</v>
      </c>
      <c r="L93" s="1">
        <f>L92+Table118192023103031323[[#This Row],[اجمالي الفاتوره]]-Table118192023103031323[[#This Row],[الدفعات]]</f>
        <v>0</v>
      </c>
      <c r="N93" s="48"/>
    </row>
    <row r="94" spans="8:14" ht="27" customHeight="1" x14ac:dyDescent="0.3">
      <c r="H94" s="1">
        <f>0.14*Table118192023103031323[[#This Row],[النولون]]</f>
        <v>0</v>
      </c>
      <c r="J94" s="1">
        <f>Table118192023103031323[[#This Row],[النولون]]+Table118192023103031323[[#This Row],[الايصالات]]+Table118192023103031323[[#This Row],[قيمة مضافة]]</f>
        <v>0</v>
      </c>
      <c r="L94" s="1">
        <f>L93+Table118192023103031323[[#This Row],[اجمالي الفاتوره]]-Table118192023103031323[[#This Row],[الدفعات]]</f>
        <v>0</v>
      </c>
      <c r="N94" s="48"/>
    </row>
    <row r="95" spans="8:14" ht="27" customHeight="1" x14ac:dyDescent="0.3">
      <c r="H95" s="1">
        <f>0.14*Table118192023103031323[[#This Row],[النولون]]</f>
        <v>0</v>
      </c>
      <c r="J95" s="1">
        <f>Table118192023103031323[[#This Row],[النولون]]+Table118192023103031323[[#This Row],[الايصالات]]+Table118192023103031323[[#This Row],[قيمة مضافة]]</f>
        <v>0</v>
      </c>
      <c r="L95" s="1">
        <f>L94+Table118192023103031323[[#This Row],[اجمالي الفاتوره]]-Table118192023103031323[[#This Row],[الدفعات]]</f>
        <v>0</v>
      </c>
      <c r="N95" s="48"/>
    </row>
    <row r="96" spans="8:14" ht="27" customHeight="1" x14ac:dyDescent="0.3">
      <c r="H96" s="1">
        <f>0.14*Table118192023103031323[[#This Row],[النولون]]</f>
        <v>0</v>
      </c>
      <c r="J96" s="1">
        <f>Table118192023103031323[[#This Row],[النولون]]+Table118192023103031323[[#This Row],[الايصالات]]+Table118192023103031323[[#This Row],[قيمة مضافة]]</f>
        <v>0</v>
      </c>
      <c r="L96" s="1">
        <f>L95+Table118192023103031323[[#This Row],[اجمالي الفاتوره]]-Table118192023103031323[[#This Row],[الدفعات]]</f>
        <v>0</v>
      </c>
      <c r="N96" s="48"/>
    </row>
    <row r="97" spans="8:14" ht="27" customHeight="1" x14ac:dyDescent="0.3">
      <c r="H97" s="1">
        <f>0.14*Table118192023103031323[[#This Row],[النولون]]</f>
        <v>0</v>
      </c>
      <c r="J97" s="1">
        <f>Table118192023103031323[[#This Row],[النولون]]+Table118192023103031323[[#This Row],[الايصالات]]+Table118192023103031323[[#This Row],[قيمة مضافة]]</f>
        <v>0</v>
      </c>
      <c r="L97" s="1">
        <f>L96+Table118192023103031323[[#This Row],[اجمالي الفاتوره]]-Table118192023103031323[[#This Row],[الدفعات]]</f>
        <v>0</v>
      </c>
      <c r="N97" s="48"/>
    </row>
    <row r="98" spans="8:14" ht="27" customHeight="1" x14ac:dyDescent="0.3">
      <c r="H98" s="1">
        <f>0.14*Table118192023103031323[[#This Row],[النولون]]</f>
        <v>0</v>
      </c>
      <c r="J98" s="1">
        <f>Table118192023103031323[[#This Row],[النولون]]+Table118192023103031323[[#This Row],[الايصالات]]+Table118192023103031323[[#This Row],[قيمة مضافة]]</f>
        <v>0</v>
      </c>
      <c r="L98" s="1">
        <f>L97+Table118192023103031323[[#This Row],[اجمالي الفاتوره]]-Table118192023103031323[[#This Row],[الدفعات]]</f>
        <v>0</v>
      </c>
      <c r="N98" s="48"/>
    </row>
    <row r="99" spans="8:14" ht="27" customHeight="1" x14ac:dyDescent="0.3">
      <c r="H99" s="1">
        <f>0.14*Table118192023103031323[[#This Row],[النولون]]</f>
        <v>0</v>
      </c>
      <c r="J99" s="1">
        <f>Table118192023103031323[[#This Row],[النولون]]+Table118192023103031323[[#This Row],[الايصالات]]+Table118192023103031323[[#This Row],[قيمة مضافة]]</f>
        <v>0</v>
      </c>
      <c r="L99" s="1">
        <f>L98+Table118192023103031323[[#This Row],[اجمالي الفاتوره]]-Table118192023103031323[[#This Row],[الدفعات]]</f>
        <v>0</v>
      </c>
      <c r="N99" s="48"/>
    </row>
    <row r="100" spans="8:14" ht="27" customHeight="1" x14ac:dyDescent="0.3">
      <c r="H100" s="1">
        <f>0.14*Table118192023103031323[[#This Row],[النولون]]</f>
        <v>0</v>
      </c>
      <c r="J100" s="1">
        <f>Table118192023103031323[[#This Row],[النولون]]+Table118192023103031323[[#This Row],[الايصالات]]+Table118192023103031323[[#This Row],[قيمة مضافة]]</f>
        <v>0</v>
      </c>
      <c r="L100" s="1">
        <f>L99+Table118192023103031323[[#This Row],[اجمالي الفاتوره]]-Table118192023103031323[[#This Row],[الدفعات]]</f>
        <v>0</v>
      </c>
      <c r="N100" s="48"/>
    </row>
    <row r="101" spans="8:14" ht="27" customHeight="1" x14ac:dyDescent="0.3">
      <c r="H101" s="1">
        <f>0.14*Table118192023103031323[[#This Row],[النولون]]</f>
        <v>0</v>
      </c>
      <c r="J101" s="1">
        <f>Table118192023103031323[[#This Row],[النولون]]+Table118192023103031323[[#This Row],[الايصالات]]+Table118192023103031323[[#This Row],[قيمة مضافة]]</f>
        <v>0</v>
      </c>
      <c r="L101" s="1">
        <f>L100+Table118192023103031323[[#This Row],[اجمالي الفاتوره]]-Table118192023103031323[[#This Row],[الدفعات]]</f>
        <v>0</v>
      </c>
      <c r="N101" s="48"/>
    </row>
    <row r="102" spans="8:14" ht="27" customHeight="1" x14ac:dyDescent="0.3">
      <c r="H102" s="1">
        <f>0.14*Table118192023103031323[[#This Row],[النولون]]</f>
        <v>0</v>
      </c>
      <c r="J102" s="1">
        <f>Table118192023103031323[[#This Row],[النولون]]+Table118192023103031323[[#This Row],[الايصالات]]+Table118192023103031323[[#This Row],[قيمة مضافة]]</f>
        <v>0</v>
      </c>
      <c r="L102" s="1">
        <f>L101+Table118192023103031323[[#This Row],[اجمالي الفاتوره]]-Table118192023103031323[[#This Row],[الدفعات]]</f>
        <v>0</v>
      </c>
      <c r="N102" s="48"/>
    </row>
    <row r="103" spans="8:14" ht="27" customHeight="1" x14ac:dyDescent="0.3">
      <c r="H103" s="1">
        <f>0.14*Table118192023103031323[[#This Row],[النولون]]</f>
        <v>0</v>
      </c>
      <c r="J103" s="1">
        <f>Table118192023103031323[[#This Row],[النولون]]+Table118192023103031323[[#This Row],[الايصالات]]+Table118192023103031323[[#This Row],[قيمة مضافة]]</f>
        <v>0</v>
      </c>
      <c r="L103" s="1">
        <f>L102+Table118192023103031323[[#This Row],[اجمالي الفاتوره]]-Table118192023103031323[[#This Row],[الدفعات]]</f>
        <v>0</v>
      </c>
      <c r="N103" s="48"/>
    </row>
    <row r="104" spans="8:14" ht="27" customHeight="1" x14ac:dyDescent="0.3">
      <c r="H104" s="1">
        <f>0.14*Table118192023103031323[[#This Row],[النولون]]</f>
        <v>0</v>
      </c>
      <c r="J104" s="1">
        <f>Table118192023103031323[[#This Row],[النولون]]+Table118192023103031323[[#This Row],[الايصالات]]+Table118192023103031323[[#This Row],[قيمة مضافة]]</f>
        <v>0</v>
      </c>
      <c r="L104" s="1">
        <f>L103+Table118192023103031323[[#This Row],[اجمالي الفاتوره]]-Table118192023103031323[[#This Row],[الدفعات]]</f>
        <v>0</v>
      </c>
      <c r="N104" s="48"/>
    </row>
    <row r="105" spans="8:14" ht="27" customHeight="1" x14ac:dyDescent="0.3">
      <c r="H105" s="1">
        <f>0.14*Table118192023103031323[[#This Row],[النولون]]</f>
        <v>0</v>
      </c>
      <c r="J105" s="1">
        <f>Table118192023103031323[[#This Row],[النولون]]+Table118192023103031323[[#This Row],[الايصالات]]+Table118192023103031323[[#This Row],[قيمة مضافة]]</f>
        <v>0</v>
      </c>
      <c r="L105" s="1">
        <f>L104+Table118192023103031323[[#This Row],[اجمالي الفاتوره]]-Table118192023103031323[[#This Row],[الدفعات]]</f>
        <v>0</v>
      </c>
      <c r="N105" s="48"/>
    </row>
    <row r="106" spans="8:14" ht="27" customHeight="1" x14ac:dyDescent="0.3">
      <c r="H106" s="1">
        <f>0.14*Table118192023103031323[[#This Row],[النولون]]</f>
        <v>0</v>
      </c>
      <c r="J106" s="1">
        <f>Table118192023103031323[[#This Row],[النولون]]+Table118192023103031323[[#This Row],[الايصالات]]+Table118192023103031323[[#This Row],[قيمة مضافة]]</f>
        <v>0</v>
      </c>
      <c r="L106" s="1">
        <f>L105+Table118192023103031323[[#This Row],[اجمالي الفاتوره]]-Table118192023103031323[[#This Row],[الدفعات]]</f>
        <v>0</v>
      </c>
      <c r="N106" s="48"/>
    </row>
    <row r="107" spans="8:14" ht="27" customHeight="1" x14ac:dyDescent="0.3">
      <c r="H107" s="1">
        <f>0.14*Table118192023103031323[[#This Row],[النولون]]</f>
        <v>0</v>
      </c>
      <c r="J107" s="1">
        <f>Table118192023103031323[[#This Row],[النولون]]+Table118192023103031323[[#This Row],[الايصالات]]+Table118192023103031323[[#This Row],[قيمة مضافة]]</f>
        <v>0</v>
      </c>
      <c r="L107" s="1">
        <f>L106+Table118192023103031323[[#This Row],[اجمالي الفاتوره]]-Table118192023103031323[[#This Row],[الدفعات]]</f>
        <v>0</v>
      </c>
      <c r="N107" s="48"/>
    </row>
    <row r="108" spans="8:14" ht="27" customHeight="1" x14ac:dyDescent="0.3">
      <c r="H108" s="1">
        <f>0.14*Table118192023103031323[[#This Row],[النولون]]</f>
        <v>0</v>
      </c>
      <c r="J108" s="1">
        <f>Table118192023103031323[[#This Row],[النولون]]+Table118192023103031323[[#This Row],[الايصالات]]+Table118192023103031323[[#This Row],[قيمة مضافة]]</f>
        <v>0</v>
      </c>
      <c r="L108" s="1">
        <f>L107+Table118192023103031323[[#This Row],[اجمالي الفاتوره]]-Table118192023103031323[[#This Row],[الدفعات]]</f>
        <v>0</v>
      </c>
      <c r="N108" s="48"/>
    </row>
    <row r="109" spans="8:14" ht="27" customHeight="1" x14ac:dyDescent="0.3">
      <c r="H109" s="1">
        <f>0.14*Table118192023103031323[[#This Row],[النولون]]</f>
        <v>0</v>
      </c>
      <c r="J109" s="1">
        <f>Table118192023103031323[[#This Row],[النولون]]+Table118192023103031323[[#This Row],[الايصالات]]+Table118192023103031323[[#This Row],[قيمة مضافة]]</f>
        <v>0</v>
      </c>
      <c r="L109" s="1">
        <f>L108+Table118192023103031323[[#This Row],[اجمالي الفاتوره]]-Table118192023103031323[[#This Row],[الدفعات]]</f>
        <v>0</v>
      </c>
      <c r="N109" s="48"/>
    </row>
    <row r="110" spans="8:14" ht="27" customHeight="1" x14ac:dyDescent="0.3">
      <c r="H110" s="1">
        <f>0.14*Table118192023103031323[[#This Row],[النولون]]</f>
        <v>0</v>
      </c>
      <c r="J110" s="1">
        <f>Table118192023103031323[[#This Row],[النولون]]+Table118192023103031323[[#This Row],[الايصالات]]+Table118192023103031323[[#This Row],[قيمة مضافة]]</f>
        <v>0</v>
      </c>
      <c r="L110" s="1">
        <f>L109+Table118192023103031323[[#This Row],[اجمالي الفاتوره]]-Table118192023103031323[[#This Row],[الدفعات]]</f>
        <v>0</v>
      </c>
      <c r="N110" s="48"/>
    </row>
    <row r="111" spans="8:14" ht="27" customHeight="1" x14ac:dyDescent="0.3">
      <c r="H111" s="1">
        <f>0.14*Table118192023103031323[[#This Row],[النولون]]</f>
        <v>0</v>
      </c>
      <c r="J111" s="1">
        <f>Table118192023103031323[[#This Row],[النولون]]+Table118192023103031323[[#This Row],[الايصالات]]+Table118192023103031323[[#This Row],[قيمة مضافة]]</f>
        <v>0</v>
      </c>
      <c r="L111" s="1">
        <f>L110+Table118192023103031323[[#This Row],[اجمالي الفاتوره]]-Table118192023103031323[[#This Row],[الدفعات]]</f>
        <v>0</v>
      </c>
      <c r="N111" s="48"/>
    </row>
    <row r="112" spans="8:14" ht="27" customHeight="1" x14ac:dyDescent="0.3">
      <c r="H112" s="1">
        <f>0.14*Table118192023103031323[[#This Row],[النولون]]</f>
        <v>0</v>
      </c>
      <c r="J112" s="1">
        <f>Table118192023103031323[[#This Row],[النولون]]+Table118192023103031323[[#This Row],[الايصالات]]+Table118192023103031323[[#This Row],[قيمة مضافة]]</f>
        <v>0</v>
      </c>
      <c r="L112" s="1">
        <f>L111+Table118192023103031323[[#This Row],[اجمالي الفاتوره]]-Table118192023103031323[[#This Row],[الدفعات]]</f>
        <v>0</v>
      </c>
      <c r="N112" s="48"/>
    </row>
    <row r="113" spans="8:14" ht="27" customHeight="1" x14ac:dyDescent="0.3">
      <c r="H113" s="1">
        <f>0.14*Table118192023103031323[[#This Row],[النولون]]</f>
        <v>0</v>
      </c>
      <c r="J113" s="1">
        <f>Table118192023103031323[[#This Row],[النولون]]+Table118192023103031323[[#This Row],[الايصالات]]+Table118192023103031323[[#This Row],[قيمة مضافة]]</f>
        <v>0</v>
      </c>
      <c r="L113" s="1">
        <f>L112+Table118192023103031323[[#This Row],[اجمالي الفاتوره]]-Table118192023103031323[[#This Row],[الدفعات]]</f>
        <v>0</v>
      </c>
      <c r="N113" s="48"/>
    </row>
    <row r="114" spans="8:14" ht="27" customHeight="1" x14ac:dyDescent="0.3">
      <c r="H114" s="1">
        <f>0.14*Table118192023103031323[[#This Row],[النولون]]</f>
        <v>0</v>
      </c>
      <c r="J114" s="1">
        <f>Table118192023103031323[[#This Row],[النولون]]+Table118192023103031323[[#This Row],[الايصالات]]+Table118192023103031323[[#This Row],[قيمة مضافة]]</f>
        <v>0</v>
      </c>
      <c r="L114" s="1">
        <f>L113+Table118192023103031323[[#This Row],[اجمالي الفاتوره]]-Table118192023103031323[[#This Row],[الدفعات]]</f>
        <v>0</v>
      </c>
      <c r="N114" s="48"/>
    </row>
    <row r="115" spans="8:14" ht="27" customHeight="1" x14ac:dyDescent="0.3">
      <c r="H115" s="1">
        <f>0.14*Table118192023103031323[[#This Row],[النولون]]</f>
        <v>0</v>
      </c>
      <c r="J115" s="1">
        <f>Table118192023103031323[[#This Row],[النولون]]+Table118192023103031323[[#This Row],[الايصالات]]+Table118192023103031323[[#This Row],[قيمة مضافة]]</f>
        <v>0</v>
      </c>
      <c r="L115" s="1">
        <f>L114+Table118192023103031323[[#This Row],[اجمالي الفاتوره]]-Table118192023103031323[[#This Row],[الدفعات]]</f>
        <v>0</v>
      </c>
      <c r="N115" s="48"/>
    </row>
    <row r="116" spans="8:14" ht="27" customHeight="1" x14ac:dyDescent="0.3">
      <c r="H116" s="1">
        <f>0.14*Table118192023103031323[[#This Row],[النولون]]</f>
        <v>0</v>
      </c>
      <c r="J116" s="1">
        <f>Table118192023103031323[[#This Row],[النولون]]+Table118192023103031323[[#This Row],[الايصالات]]+Table118192023103031323[[#This Row],[قيمة مضافة]]</f>
        <v>0</v>
      </c>
      <c r="L116" s="1">
        <f>L115+Table118192023103031323[[#This Row],[اجمالي الفاتوره]]-Table118192023103031323[[#This Row],[الدفعات]]</f>
        <v>0</v>
      </c>
      <c r="N116" s="48"/>
    </row>
    <row r="117" spans="8:14" ht="27" customHeight="1" x14ac:dyDescent="0.3">
      <c r="H117" s="1">
        <f>0.14*Table118192023103031323[[#This Row],[النولون]]</f>
        <v>0</v>
      </c>
      <c r="J117" s="1">
        <f>Table118192023103031323[[#This Row],[النولون]]+Table118192023103031323[[#This Row],[الايصالات]]+Table118192023103031323[[#This Row],[قيمة مضافة]]</f>
        <v>0</v>
      </c>
      <c r="L117" s="1">
        <f>L116+Table118192023103031323[[#This Row],[اجمالي الفاتوره]]-Table118192023103031323[[#This Row],[الدفعات]]</f>
        <v>0</v>
      </c>
      <c r="N117" s="48"/>
    </row>
    <row r="118" spans="8:14" ht="27" customHeight="1" x14ac:dyDescent="0.3">
      <c r="H118" s="1">
        <f>0.14*Table118192023103031323[[#This Row],[النولون]]</f>
        <v>0</v>
      </c>
      <c r="J118" s="1">
        <f>Table118192023103031323[[#This Row],[النولون]]+Table118192023103031323[[#This Row],[الايصالات]]+Table118192023103031323[[#This Row],[قيمة مضافة]]</f>
        <v>0</v>
      </c>
      <c r="L118" s="1">
        <f>L117+Table118192023103031323[[#This Row],[اجمالي الفاتوره]]-Table118192023103031323[[#This Row],[الدفعات]]</f>
        <v>0</v>
      </c>
      <c r="N118" s="48"/>
    </row>
    <row r="119" spans="8:14" ht="27" customHeight="1" x14ac:dyDescent="0.3">
      <c r="H119" s="1">
        <f>0.14*Table118192023103031323[[#This Row],[النولون]]</f>
        <v>0</v>
      </c>
      <c r="J119" s="1">
        <f>Table118192023103031323[[#This Row],[النولون]]+Table118192023103031323[[#This Row],[الايصالات]]+Table118192023103031323[[#This Row],[قيمة مضافة]]</f>
        <v>0</v>
      </c>
      <c r="L119" s="1">
        <f>L118+Table118192023103031323[[#This Row],[اجمالي الفاتوره]]-Table118192023103031323[[#This Row],[الدفعات]]</f>
        <v>0</v>
      </c>
      <c r="N119" s="48"/>
    </row>
    <row r="120" spans="8:14" ht="27" customHeight="1" x14ac:dyDescent="0.3">
      <c r="H120" s="1">
        <f>0.14*Table118192023103031323[[#This Row],[النولون]]</f>
        <v>0</v>
      </c>
      <c r="J120" s="1">
        <f>Table118192023103031323[[#This Row],[النولون]]+Table118192023103031323[[#This Row],[الايصالات]]+Table118192023103031323[[#This Row],[قيمة مضافة]]</f>
        <v>0</v>
      </c>
      <c r="L120" s="1">
        <f>L119+Table118192023103031323[[#This Row],[اجمالي الفاتوره]]-Table118192023103031323[[#This Row],[الدفعات]]</f>
        <v>0</v>
      </c>
      <c r="N120" s="48"/>
    </row>
    <row r="121" spans="8:14" ht="27" customHeight="1" x14ac:dyDescent="0.3">
      <c r="H121" s="1">
        <f>0.14*Table118192023103031323[[#This Row],[النولون]]</f>
        <v>0</v>
      </c>
      <c r="J121" s="1">
        <f>Table118192023103031323[[#This Row],[النولون]]+Table118192023103031323[[#This Row],[الايصالات]]+Table118192023103031323[[#This Row],[قيمة مضافة]]</f>
        <v>0</v>
      </c>
      <c r="L121" s="1">
        <f>L120+Table118192023103031323[[#This Row],[اجمالي الفاتوره]]-Table118192023103031323[[#This Row],[الدفعات]]</f>
        <v>0</v>
      </c>
      <c r="N121" s="48"/>
    </row>
    <row r="122" spans="8:14" ht="27" customHeight="1" x14ac:dyDescent="0.3">
      <c r="H122" s="1">
        <f>0.14*Table118192023103031323[[#This Row],[النولون]]</f>
        <v>0</v>
      </c>
      <c r="J122" s="1">
        <f>Table118192023103031323[[#This Row],[النولون]]+Table118192023103031323[[#This Row],[الايصالات]]+Table118192023103031323[[#This Row],[قيمة مضافة]]</f>
        <v>0</v>
      </c>
      <c r="L122" s="1">
        <f>L121+Table118192023103031323[[#This Row],[اجمالي الفاتوره]]-Table118192023103031323[[#This Row],[الدفعات]]</f>
        <v>0</v>
      </c>
      <c r="N122" s="48"/>
    </row>
    <row r="123" spans="8:14" ht="27" customHeight="1" x14ac:dyDescent="0.3">
      <c r="H123" s="1">
        <f>0.14*Table118192023103031323[[#This Row],[النولون]]</f>
        <v>0</v>
      </c>
      <c r="J123" s="1">
        <f>Table118192023103031323[[#This Row],[النولون]]+Table118192023103031323[[#This Row],[الايصالات]]+Table118192023103031323[[#This Row],[قيمة مضافة]]</f>
        <v>0</v>
      </c>
      <c r="L123" s="1">
        <f>L122+Table118192023103031323[[#This Row],[اجمالي الفاتوره]]-Table118192023103031323[[#This Row],[الدفعات]]</f>
        <v>0</v>
      </c>
      <c r="N123" s="48"/>
    </row>
    <row r="124" spans="8:14" ht="27" customHeight="1" x14ac:dyDescent="0.3">
      <c r="H124" s="1">
        <f>0.14*Table118192023103031323[[#This Row],[النولون]]</f>
        <v>0</v>
      </c>
      <c r="J124" s="1">
        <f>Table118192023103031323[[#This Row],[النولون]]+Table118192023103031323[[#This Row],[الايصالات]]+Table118192023103031323[[#This Row],[قيمة مضافة]]</f>
        <v>0</v>
      </c>
      <c r="L124" s="1">
        <f>L123+Table118192023103031323[[#This Row],[اجمالي الفاتوره]]-Table118192023103031323[[#This Row],[الدفعات]]</f>
        <v>0</v>
      </c>
      <c r="N124" s="48"/>
    </row>
    <row r="125" spans="8:14" ht="27" customHeight="1" x14ac:dyDescent="0.3">
      <c r="H125" s="1">
        <f>0.14*Table118192023103031323[[#This Row],[النولون]]</f>
        <v>0</v>
      </c>
      <c r="J125" s="1">
        <f>Table118192023103031323[[#This Row],[النولون]]+Table118192023103031323[[#This Row],[الايصالات]]+Table118192023103031323[[#This Row],[قيمة مضافة]]</f>
        <v>0</v>
      </c>
      <c r="L125" s="1">
        <f>L124+Table118192023103031323[[#This Row],[اجمالي الفاتوره]]-Table118192023103031323[[#This Row],[الدفعات]]</f>
        <v>0</v>
      </c>
      <c r="N125" s="48"/>
    </row>
    <row r="126" spans="8:14" ht="27" customHeight="1" x14ac:dyDescent="0.3">
      <c r="H126" s="1">
        <f>0.14*Table118192023103031323[[#This Row],[النولون]]</f>
        <v>0</v>
      </c>
      <c r="J126" s="1">
        <f>Table118192023103031323[[#This Row],[النولون]]+Table118192023103031323[[#This Row],[الايصالات]]+Table118192023103031323[[#This Row],[قيمة مضافة]]</f>
        <v>0</v>
      </c>
      <c r="L126" s="1">
        <f>L125+Table118192023103031323[[#This Row],[اجمالي الفاتوره]]-Table118192023103031323[[#This Row],[الدفعات]]</f>
        <v>0</v>
      </c>
      <c r="N126" s="48"/>
    </row>
    <row r="127" spans="8:14" ht="27" customHeight="1" x14ac:dyDescent="0.3">
      <c r="H127" s="1">
        <f>0.14*Table118192023103031323[[#This Row],[النولون]]</f>
        <v>0</v>
      </c>
      <c r="J127" s="1">
        <f>Table118192023103031323[[#This Row],[النولون]]+Table118192023103031323[[#This Row],[الايصالات]]+Table118192023103031323[[#This Row],[قيمة مضافة]]</f>
        <v>0</v>
      </c>
      <c r="L127" s="1">
        <f>L126+Table118192023103031323[[#This Row],[اجمالي الفاتوره]]-Table118192023103031323[[#This Row],[الدفعات]]</f>
        <v>0</v>
      </c>
      <c r="N127" s="48"/>
    </row>
    <row r="128" spans="8:14" ht="27" customHeight="1" x14ac:dyDescent="0.3">
      <c r="H128" s="1">
        <f>0.14*Table118192023103031323[[#This Row],[النولون]]</f>
        <v>0</v>
      </c>
      <c r="J128" s="1">
        <f>Table118192023103031323[[#This Row],[النولون]]+Table118192023103031323[[#This Row],[الايصالات]]+Table118192023103031323[[#This Row],[قيمة مضافة]]</f>
        <v>0</v>
      </c>
      <c r="L128" s="1">
        <f>L127+Table118192023103031323[[#This Row],[اجمالي الفاتوره]]-Table118192023103031323[[#This Row],[الدفعات]]</f>
        <v>0</v>
      </c>
      <c r="N128" s="48"/>
    </row>
    <row r="129" spans="8:14" ht="27" customHeight="1" x14ac:dyDescent="0.3">
      <c r="H129" s="1">
        <f>0.14*Table118192023103031323[[#This Row],[النولون]]</f>
        <v>0</v>
      </c>
      <c r="J129" s="1">
        <f>Table118192023103031323[[#This Row],[النولون]]+Table118192023103031323[[#This Row],[الايصالات]]+Table118192023103031323[[#This Row],[قيمة مضافة]]</f>
        <v>0</v>
      </c>
      <c r="L129" s="1">
        <f>L128+Table118192023103031323[[#This Row],[اجمالي الفاتوره]]-Table118192023103031323[[#This Row],[الدفعات]]</f>
        <v>0</v>
      </c>
      <c r="N129" s="48"/>
    </row>
    <row r="130" spans="8:14" ht="27" customHeight="1" x14ac:dyDescent="0.3">
      <c r="H130" s="1">
        <f>0.14*Table118192023103031323[[#This Row],[النولون]]</f>
        <v>0</v>
      </c>
      <c r="J130" s="1">
        <f>Table118192023103031323[[#This Row],[النولون]]+Table118192023103031323[[#This Row],[الايصالات]]+Table118192023103031323[[#This Row],[قيمة مضافة]]</f>
        <v>0</v>
      </c>
      <c r="L130" s="1">
        <f>L129+Table118192023103031323[[#This Row],[اجمالي الفاتوره]]-Table118192023103031323[[#This Row],[الدفعات]]</f>
        <v>0</v>
      </c>
      <c r="N130" s="48"/>
    </row>
    <row r="131" spans="8:14" ht="27" customHeight="1" x14ac:dyDescent="0.3">
      <c r="H131" s="1">
        <f>0.14*Table118192023103031323[[#This Row],[النولون]]</f>
        <v>0</v>
      </c>
      <c r="J131" s="1">
        <f>Table118192023103031323[[#This Row],[النولون]]+Table118192023103031323[[#This Row],[الايصالات]]+Table118192023103031323[[#This Row],[قيمة مضافة]]</f>
        <v>0</v>
      </c>
      <c r="L131" s="1">
        <f>L130+Table118192023103031323[[#This Row],[اجمالي الفاتوره]]-Table118192023103031323[[#This Row],[الدفعات]]</f>
        <v>0</v>
      </c>
      <c r="N131" s="48"/>
    </row>
    <row r="132" spans="8:14" ht="27" customHeight="1" x14ac:dyDescent="0.3">
      <c r="H132" s="1">
        <f>0.14*Table118192023103031323[[#This Row],[النولون]]</f>
        <v>0</v>
      </c>
      <c r="J132" s="1">
        <f>Table118192023103031323[[#This Row],[النولون]]+Table118192023103031323[[#This Row],[الايصالات]]+Table118192023103031323[[#This Row],[قيمة مضافة]]</f>
        <v>0</v>
      </c>
      <c r="L132" s="1">
        <f>L131+Table118192023103031323[[#This Row],[اجمالي الفاتوره]]-Table118192023103031323[[#This Row],[الدفعات]]</f>
        <v>0</v>
      </c>
      <c r="N132" s="48"/>
    </row>
    <row r="133" spans="8:14" ht="27" customHeight="1" x14ac:dyDescent="0.3">
      <c r="H133" s="1">
        <f>0.14*Table118192023103031323[[#This Row],[النولون]]</f>
        <v>0</v>
      </c>
      <c r="J133" s="1">
        <f>Table118192023103031323[[#This Row],[النولون]]+Table118192023103031323[[#This Row],[الايصالات]]+Table118192023103031323[[#This Row],[قيمة مضافة]]</f>
        <v>0</v>
      </c>
      <c r="L133" s="1">
        <f>L132+Table118192023103031323[[#This Row],[اجمالي الفاتوره]]-Table118192023103031323[[#This Row],[الدفعات]]</f>
        <v>0</v>
      </c>
      <c r="N133" s="48"/>
    </row>
    <row r="134" spans="8:14" ht="27" customHeight="1" x14ac:dyDescent="0.3">
      <c r="H134" s="1">
        <f>0.14*Table118192023103031323[[#This Row],[النولون]]</f>
        <v>0</v>
      </c>
      <c r="J134" s="1">
        <f>Table118192023103031323[[#This Row],[النولون]]+Table118192023103031323[[#This Row],[الايصالات]]+Table118192023103031323[[#This Row],[قيمة مضافة]]</f>
        <v>0</v>
      </c>
      <c r="L134" s="1">
        <f>L133+Table118192023103031323[[#This Row],[اجمالي الفاتوره]]-Table118192023103031323[[#This Row],[الدفعات]]</f>
        <v>0</v>
      </c>
      <c r="N134" s="48"/>
    </row>
    <row r="135" spans="8:14" ht="27" customHeight="1" x14ac:dyDescent="0.3">
      <c r="H135" s="1">
        <f>0.14*Table118192023103031323[[#This Row],[النولون]]</f>
        <v>0</v>
      </c>
      <c r="J135" s="1">
        <f>Table118192023103031323[[#This Row],[النولون]]+Table118192023103031323[[#This Row],[الايصالات]]+Table118192023103031323[[#This Row],[قيمة مضافة]]</f>
        <v>0</v>
      </c>
      <c r="L135" s="1">
        <f>L134+Table118192023103031323[[#This Row],[اجمالي الفاتوره]]-Table118192023103031323[[#This Row],[الدفعات]]</f>
        <v>0</v>
      </c>
      <c r="N135" s="48"/>
    </row>
    <row r="136" spans="8:14" ht="27" customHeight="1" x14ac:dyDescent="0.3">
      <c r="H136" s="1">
        <f>0.14*Table118192023103031323[[#This Row],[النولون]]</f>
        <v>0</v>
      </c>
      <c r="J136" s="1">
        <f>Table118192023103031323[[#This Row],[النولون]]+Table118192023103031323[[#This Row],[الايصالات]]+Table118192023103031323[[#This Row],[قيمة مضافة]]</f>
        <v>0</v>
      </c>
      <c r="L136" s="1">
        <f>L135+Table118192023103031323[[#This Row],[اجمالي الفاتوره]]-Table118192023103031323[[#This Row],[الدفعات]]</f>
        <v>0</v>
      </c>
      <c r="N136" s="48"/>
    </row>
    <row r="137" spans="8:14" ht="27" customHeight="1" x14ac:dyDescent="0.3">
      <c r="H137" s="1">
        <f>0.14*Table118192023103031323[[#This Row],[النولون]]</f>
        <v>0</v>
      </c>
      <c r="J137" s="1">
        <f>Table118192023103031323[[#This Row],[النولون]]+Table118192023103031323[[#This Row],[الايصالات]]+Table118192023103031323[[#This Row],[قيمة مضافة]]</f>
        <v>0</v>
      </c>
      <c r="L137" s="1">
        <f>L136+Table118192023103031323[[#This Row],[اجمالي الفاتوره]]-Table118192023103031323[[#This Row],[الدفعات]]</f>
        <v>0</v>
      </c>
      <c r="N137" s="48"/>
    </row>
    <row r="138" spans="8:14" ht="27" customHeight="1" x14ac:dyDescent="0.3">
      <c r="H138" s="1">
        <f>0.14*Table118192023103031323[[#This Row],[النولون]]</f>
        <v>0</v>
      </c>
      <c r="J138" s="1">
        <f>Table118192023103031323[[#This Row],[النولون]]+Table118192023103031323[[#This Row],[الايصالات]]+Table118192023103031323[[#This Row],[قيمة مضافة]]</f>
        <v>0</v>
      </c>
      <c r="L138" s="1">
        <f>L137+Table118192023103031323[[#This Row],[اجمالي الفاتوره]]-Table118192023103031323[[#This Row],[الدفعات]]</f>
        <v>0</v>
      </c>
      <c r="N138" s="48"/>
    </row>
    <row r="139" spans="8:14" ht="27" customHeight="1" x14ac:dyDescent="0.3">
      <c r="H139" s="1">
        <f>0.14*Table118192023103031323[[#This Row],[النولون]]</f>
        <v>0</v>
      </c>
      <c r="J139" s="1">
        <f>Table118192023103031323[[#This Row],[النولون]]+Table118192023103031323[[#This Row],[الايصالات]]+Table118192023103031323[[#This Row],[قيمة مضافة]]</f>
        <v>0</v>
      </c>
      <c r="L139" s="1">
        <f>L138+Table118192023103031323[[#This Row],[اجمالي الفاتوره]]-Table118192023103031323[[#This Row],[الدفعات]]</f>
        <v>0</v>
      </c>
      <c r="N139" s="48"/>
    </row>
    <row r="140" spans="8:14" ht="27" customHeight="1" x14ac:dyDescent="0.3">
      <c r="H140" s="1">
        <f>0.14*Table118192023103031323[[#This Row],[النولون]]</f>
        <v>0</v>
      </c>
      <c r="J140" s="1">
        <f>Table118192023103031323[[#This Row],[النولون]]+Table118192023103031323[[#This Row],[الايصالات]]+Table118192023103031323[[#This Row],[قيمة مضافة]]</f>
        <v>0</v>
      </c>
      <c r="L140" s="1">
        <f>L139+Table118192023103031323[[#This Row],[اجمالي الفاتوره]]-Table118192023103031323[[#This Row],[الدفعات]]</f>
        <v>0</v>
      </c>
      <c r="N140" s="48"/>
    </row>
    <row r="141" spans="8:14" ht="27" customHeight="1" x14ac:dyDescent="0.3">
      <c r="H141" s="1">
        <f>0.14*Table118192023103031323[[#This Row],[النولون]]</f>
        <v>0</v>
      </c>
      <c r="J141" s="1">
        <f>Table118192023103031323[[#This Row],[النولون]]+Table118192023103031323[[#This Row],[الايصالات]]+Table118192023103031323[[#This Row],[قيمة مضافة]]</f>
        <v>0</v>
      </c>
      <c r="L141" s="1">
        <f>L140+Table118192023103031323[[#This Row],[اجمالي الفاتوره]]-Table118192023103031323[[#This Row],[الدفعات]]</f>
        <v>0</v>
      </c>
      <c r="N141" s="48"/>
    </row>
    <row r="142" spans="8:14" ht="27" customHeight="1" x14ac:dyDescent="0.3">
      <c r="H142" s="1">
        <f>0.14*Table118192023103031323[[#This Row],[النولون]]</f>
        <v>0</v>
      </c>
      <c r="J142" s="1">
        <f>Table118192023103031323[[#This Row],[النولون]]+Table118192023103031323[[#This Row],[الايصالات]]+Table118192023103031323[[#This Row],[قيمة مضافة]]</f>
        <v>0</v>
      </c>
      <c r="L142" s="1">
        <f>L141+Table118192023103031323[[#This Row],[اجمالي الفاتوره]]-Table118192023103031323[[#This Row],[الدفعات]]</f>
        <v>0</v>
      </c>
      <c r="N142" s="48"/>
    </row>
    <row r="143" spans="8:14" ht="27" customHeight="1" x14ac:dyDescent="0.3">
      <c r="H143" s="1">
        <f>0.14*Table118192023103031323[[#This Row],[النولون]]</f>
        <v>0</v>
      </c>
      <c r="J143" s="1">
        <f>Table118192023103031323[[#This Row],[النولون]]+Table118192023103031323[[#This Row],[الايصالات]]+Table118192023103031323[[#This Row],[قيمة مضافة]]</f>
        <v>0</v>
      </c>
      <c r="L143" s="1">
        <f>L142+Table118192023103031323[[#This Row],[اجمالي الفاتوره]]-Table118192023103031323[[#This Row],[الدفعات]]</f>
        <v>0</v>
      </c>
      <c r="N143" s="48"/>
    </row>
    <row r="144" spans="8:14" ht="27" customHeight="1" x14ac:dyDescent="0.3">
      <c r="H144" s="1">
        <f>0.14*Table118192023103031323[[#This Row],[النولون]]</f>
        <v>0</v>
      </c>
      <c r="J144" s="1">
        <f>Table118192023103031323[[#This Row],[النولون]]+Table118192023103031323[[#This Row],[الايصالات]]+Table118192023103031323[[#This Row],[قيمة مضافة]]</f>
        <v>0</v>
      </c>
      <c r="L144" s="1">
        <f>L143+Table118192023103031323[[#This Row],[اجمالي الفاتوره]]-Table118192023103031323[[#This Row],[الدفعات]]</f>
        <v>0</v>
      </c>
      <c r="N144" s="48"/>
    </row>
    <row r="145" spans="8:14" ht="27" customHeight="1" x14ac:dyDescent="0.3">
      <c r="H145" s="1">
        <f>0.14*Table118192023103031323[[#This Row],[النولون]]</f>
        <v>0</v>
      </c>
      <c r="J145" s="1">
        <f>Table118192023103031323[[#This Row],[النولون]]+Table118192023103031323[[#This Row],[الايصالات]]+Table118192023103031323[[#This Row],[قيمة مضافة]]</f>
        <v>0</v>
      </c>
      <c r="L145" s="1">
        <f>L144+Table118192023103031323[[#This Row],[اجمالي الفاتوره]]-Table118192023103031323[[#This Row],[الدفعات]]</f>
        <v>0</v>
      </c>
      <c r="N145" s="48"/>
    </row>
    <row r="146" spans="8:14" ht="27" customHeight="1" x14ac:dyDescent="0.3">
      <c r="H146" s="1">
        <f>0.14*Table118192023103031323[[#This Row],[النولون]]</f>
        <v>0</v>
      </c>
      <c r="J146" s="1">
        <f>Table118192023103031323[[#This Row],[النولون]]+Table118192023103031323[[#This Row],[الايصالات]]+Table118192023103031323[[#This Row],[قيمة مضافة]]</f>
        <v>0</v>
      </c>
      <c r="L146" s="1">
        <f>L145+Table118192023103031323[[#This Row],[اجمالي الفاتوره]]-Table118192023103031323[[#This Row],[الدفعات]]</f>
        <v>0</v>
      </c>
      <c r="N146" s="48"/>
    </row>
    <row r="147" spans="8:14" ht="27" customHeight="1" x14ac:dyDescent="0.3">
      <c r="H147" s="1">
        <f>0.14*Table118192023103031323[[#This Row],[النولون]]</f>
        <v>0</v>
      </c>
      <c r="J147" s="1">
        <f>Table118192023103031323[[#This Row],[النولون]]+Table118192023103031323[[#This Row],[الايصالات]]+Table118192023103031323[[#This Row],[قيمة مضافة]]</f>
        <v>0</v>
      </c>
      <c r="L147" s="1">
        <f>L146+Table118192023103031323[[#This Row],[اجمالي الفاتوره]]-Table118192023103031323[[#This Row],[الدفعات]]</f>
        <v>0</v>
      </c>
      <c r="N147" s="48"/>
    </row>
    <row r="148" spans="8:14" ht="27" customHeight="1" x14ac:dyDescent="0.3">
      <c r="H148" s="1">
        <f>0.14*Table118192023103031323[[#This Row],[النولون]]</f>
        <v>0</v>
      </c>
      <c r="J148" s="1">
        <f>Table118192023103031323[[#This Row],[النولون]]+Table118192023103031323[[#This Row],[الايصالات]]+Table118192023103031323[[#This Row],[قيمة مضافة]]</f>
        <v>0</v>
      </c>
      <c r="L148" s="1">
        <f>L147+Table118192023103031323[[#This Row],[اجمالي الفاتوره]]-Table118192023103031323[[#This Row],[الدفعات]]</f>
        <v>0</v>
      </c>
      <c r="N148" s="48"/>
    </row>
    <row r="149" spans="8:14" ht="27" customHeight="1" x14ac:dyDescent="0.3">
      <c r="H149" s="1">
        <f>0.14*Table118192023103031323[[#This Row],[النولون]]</f>
        <v>0</v>
      </c>
      <c r="J149" s="1">
        <f>Table118192023103031323[[#This Row],[النولون]]+Table118192023103031323[[#This Row],[الايصالات]]+Table118192023103031323[[#This Row],[قيمة مضافة]]</f>
        <v>0</v>
      </c>
      <c r="L149" s="1">
        <f>L148+Table118192023103031323[[#This Row],[اجمالي الفاتوره]]-Table118192023103031323[[#This Row],[الدفعات]]</f>
        <v>0</v>
      </c>
      <c r="N149" s="48"/>
    </row>
    <row r="150" spans="8:14" ht="27" customHeight="1" x14ac:dyDescent="0.3">
      <c r="H150" s="1">
        <f>0.14*Table118192023103031323[[#This Row],[النولون]]</f>
        <v>0</v>
      </c>
      <c r="J150" s="1">
        <f>Table118192023103031323[[#This Row],[النولون]]+Table118192023103031323[[#This Row],[الايصالات]]+Table118192023103031323[[#This Row],[قيمة مضافة]]</f>
        <v>0</v>
      </c>
      <c r="L150" s="1">
        <f>L149+Table118192023103031323[[#This Row],[اجمالي الفاتوره]]-Table118192023103031323[[#This Row],[الدفعات]]</f>
        <v>0</v>
      </c>
      <c r="N150" s="48"/>
    </row>
    <row r="151" spans="8:14" ht="27" customHeight="1" x14ac:dyDescent="0.3">
      <c r="H151" s="1">
        <f>0.14*Table118192023103031323[[#This Row],[النولون]]</f>
        <v>0</v>
      </c>
      <c r="J151" s="1">
        <f>Table118192023103031323[[#This Row],[النولون]]+Table118192023103031323[[#This Row],[الايصالات]]+Table118192023103031323[[#This Row],[قيمة مضافة]]</f>
        <v>0</v>
      </c>
      <c r="L151" s="1">
        <f>L150+Table118192023103031323[[#This Row],[اجمالي الفاتوره]]-Table118192023103031323[[#This Row],[الدفعات]]</f>
        <v>0</v>
      </c>
      <c r="N151" s="48"/>
    </row>
    <row r="152" spans="8:14" ht="27" customHeight="1" x14ac:dyDescent="0.3">
      <c r="H152" s="1">
        <f>0.14*Table118192023103031323[[#This Row],[النولون]]</f>
        <v>0</v>
      </c>
      <c r="J152" s="1">
        <f>Table118192023103031323[[#This Row],[النولون]]+Table118192023103031323[[#This Row],[الايصالات]]+Table118192023103031323[[#This Row],[قيمة مضافة]]</f>
        <v>0</v>
      </c>
      <c r="L152" s="1">
        <f>L151+Table118192023103031323[[#This Row],[اجمالي الفاتوره]]-Table118192023103031323[[#This Row],[الدفعات]]</f>
        <v>0</v>
      </c>
      <c r="N152" s="48"/>
    </row>
    <row r="153" spans="8:14" ht="27" customHeight="1" x14ac:dyDescent="0.3">
      <c r="H153" s="1">
        <f>0.14*Table118192023103031323[[#This Row],[النولون]]</f>
        <v>0</v>
      </c>
      <c r="J153" s="1">
        <f>Table118192023103031323[[#This Row],[النولون]]+Table118192023103031323[[#This Row],[الايصالات]]+Table118192023103031323[[#This Row],[قيمة مضافة]]</f>
        <v>0</v>
      </c>
      <c r="L153" s="1">
        <f>L152+Table118192023103031323[[#This Row],[اجمالي الفاتوره]]-Table118192023103031323[[#This Row],[الدفعات]]</f>
        <v>0</v>
      </c>
      <c r="N153" s="48"/>
    </row>
    <row r="154" spans="8:14" ht="27" customHeight="1" x14ac:dyDescent="0.3">
      <c r="H154" s="1">
        <f>0.14*Table118192023103031323[[#This Row],[النولون]]</f>
        <v>0</v>
      </c>
      <c r="J154" s="1">
        <f>Table118192023103031323[[#This Row],[النولون]]+Table118192023103031323[[#This Row],[الايصالات]]+Table118192023103031323[[#This Row],[قيمة مضافة]]</f>
        <v>0</v>
      </c>
      <c r="L154" s="1">
        <f>L153+Table118192023103031323[[#This Row],[اجمالي الفاتوره]]-Table118192023103031323[[#This Row],[الدفعات]]</f>
        <v>0</v>
      </c>
      <c r="N154" s="48"/>
    </row>
    <row r="155" spans="8:14" ht="27" customHeight="1" x14ac:dyDescent="0.3">
      <c r="H155" s="1">
        <f>0.14*Table118192023103031323[[#This Row],[النولون]]</f>
        <v>0</v>
      </c>
      <c r="J155" s="1">
        <f>Table118192023103031323[[#This Row],[النولون]]+Table118192023103031323[[#This Row],[الايصالات]]+Table118192023103031323[[#This Row],[قيمة مضافة]]</f>
        <v>0</v>
      </c>
      <c r="L155" s="1">
        <f>L154+Table118192023103031323[[#This Row],[اجمالي الفاتوره]]-Table118192023103031323[[#This Row],[الدفعات]]</f>
        <v>0</v>
      </c>
      <c r="N155" s="48"/>
    </row>
    <row r="156" spans="8:14" ht="27" customHeight="1" x14ac:dyDescent="0.3">
      <c r="H156" s="1">
        <f>0.14*Table118192023103031323[[#This Row],[النولون]]</f>
        <v>0</v>
      </c>
      <c r="J156" s="1">
        <f>Table118192023103031323[[#This Row],[النولون]]+Table118192023103031323[[#This Row],[الايصالات]]+Table118192023103031323[[#This Row],[قيمة مضافة]]</f>
        <v>0</v>
      </c>
      <c r="L156" s="1">
        <f>L155+Table118192023103031323[[#This Row],[اجمالي الفاتوره]]-Table118192023103031323[[#This Row],[الدفعات]]</f>
        <v>0</v>
      </c>
      <c r="N156" s="48"/>
    </row>
    <row r="157" spans="8:14" ht="27" customHeight="1" x14ac:dyDescent="0.3">
      <c r="H157" s="1">
        <f>0.14*Table118192023103031323[[#This Row],[النولون]]</f>
        <v>0</v>
      </c>
      <c r="J157" s="1">
        <f>Table118192023103031323[[#This Row],[النولون]]+Table118192023103031323[[#This Row],[الايصالات]]+Table118192023103031323[[#This Row],[قيمة مضافة]]</f>
        <v>0</v>
      </c>
      <c r="L157" s="1">
        <f>L156+Table118192023103031323[[#This Row],[اجمالي الفاتوره]]-Table118192023103031323[[#This Row],[الدفعات]]</f>
        <v>0</v>
      </c>
      <c r="N157" s="48"/>
    </row>
    <row r="158" spans="8:14" ht="27" customHeight="1" x14ac:dyDescent="0.3">
      <c r="H158" s="1">
        <f>0.14*Table118192023103031323[[#This Row],[النولون]]</f>
        <v>0</v>
      </c>
      <c r="J158" s="1">
        <f>Table118192023103031323[[#This Row],[النولون]]+Table118192023103031323[[#This Row],[الايصالات]]+Table118192023103031323[[#This Row],[قيمة مضافة]]</f>
        <v>0</v>
      </c>
      <c r="L158" s="1">
        <f>L157+Table118192023103031323[[#This Row],[اجمالي الفاتوره]]-Table118192023103031323[[#This Row],[الدفعات]]</f>
        <v>0</v>
      </c>
      <c r="N158" s="48"/>
    </row>
    <row r="159" spans="8:14" ht="27" customHeight="1" x14ac:dyDescent="0.3">
      <c r="H159" s="1">
        <f>0.14*Table118192023103031323[[#This Row],[النولون]]</f>
        <v>0</v>
      </c>
      <c r="J159" s="1">
        <f>Table118192023103031323[[#This Row],[النولون]]+Table118192023103031323[[#This Row],[الايصالات]]+Table118192023103031323[[#This Row],[قيمة مضافة]]</f>
        <v>0</v>
      </c>
      <c r="L159" s="1">
        <f>L158+Table118192023103031323[[#This Row],[اجمالي الفاتوره]]-Table118192023103031323[[#This Row],[الدفعات]]</f>
        <v>0</v>
      </c>
      <c r="N159" s="48"/>
    </row>
    <row r="160" spans="8:14" ht="27" customHeight="1" x14ac:dyDescent="0.3">
      <c r="H160" s="1">
        <f>0.14*Table118192023103031323[[#This Row],[النولون]]</f>
        <v>0</v>
      </c>
      <c r="J160" s="1">
        <f>Table118192023103031323[[#This Row],[النولون]]+Table118192023103031323[[#This Row],[الايصالات]]+Table118192023103031323[[#This Row],[قيمة مضافة]]</f>
        <v>0</v>
      </c>
      <c r="L160" s="1">
        <f>L159+Table118192023103031323[[#This Row],[اجمالي الفاتوره]]-Table118192023103031323[[#This Row],[الدفعات]]</f>
        <v>0</v>
      </c>
      <c r="N160" s="48"/>
    </row>
    <row r="161" spans="8:14" ht="27" customHeight="1" x14ac:dyDescent="0.3">
      <c r="H161" s="1">
        <f>0.14*Table118192023103031323[[#This Row],[النولون]]</f>
        <v>0</v>
      </c>
      <c r="J161" s="1">
        <f>Table118192023103031323[[#This Row],[النولون]]+Table118192023103031323[[#This Row],[الايصالات]]+Table118192023103031323[[#This Row],[قيمة مضافة]]</f>
        <v>0</v>
      </c>
      <c r="L161" s="1">
        <f>L160+Table118192023103031323[[#This Row],[اجمالي الفاتوره]]-Table118192023103031323[[#This Row],[الدفعات]]</f>
        <v>0</v>
      </c>
      <c r="N161" s="48"/>
    </row>
    <row r="162" spans="8:14" ht="27" customHeight="1" x14ac:dyDescent="0.3">
      <c r="H162" s="1">
        <f>0.14*Table118192023103031323[[#This Row],[النولون]]</f>
        <v>0</v>
      </c>
      <c r="J162" s="1">
        <f>Table118192023103031323[[#This Row],[النولون]]+Table118192023103031323[[#This Row],[الايصالات]]+Table118192023103031323[[#This Row],[قيمة مضافة]]</f>
        <v>0</v>
      </c>
      <c r="L162" s="1">
        <f>L161+Table118192023103031323[[#This Row],[اجمالي الفاتوره]]-Table118192023103031323[[#This Row],[الدفعات]]</f>
        <v>0</v>
      </c>
      <c r="N162" s="48"/>
    </row>
    <row r="163" spans="8:14" ht="27" customHeight="1" x14ac:dyDescent="0.3">
      <c r="H163" s="1">
        <f>0.14*Table118192023103031323[[#This Row],[النولون]]</f>
        <v>0</v>
      </c>
      <c r="J163" s="1">
        <f>Table118192023103031323[[#This Row],[النولون]]+Table118192023103031323[[#This Row],[الايصالات]]+Table118192023103031323[[#This Row],[قيمة مضافة]]</f>
        <v>0</v>
      </c>
      <c r="L163" s="1">
        <f>L162+Table118192023103031323[[#This Row],[اجمالي الفاتوره]]-Table118192023103031323[[#This Row],[الدفعات]]</f>
        <v>0</v>
      </c>
      <c r="N163" s="48"/>
    </row>
    <row r="164" spans="8:14" ht="27" customHeight="1" x14ac:dyDescent="0.3">
      <c r="H164" s="1">
        <f>0.14*Table118192023103031323[[#This Row],[النولون]]</f>
        <v>0</v>
      </c>
      <c r="J164" s="1">
        <f>Table118192023103031323[[#This Row],[النولون]]+Table118192023103031323[[#This Row],[الايصالات]]+Table118192023103031323[[#This Row],[قيمة مضافة]]</f>
        <v>0</v>
      </c>
      <c r="L164" s="1">
        <f>L163+Table118192023103031323[[#This Row],[اجمالي الفاتوره]]-Table118192023103031323[[#This Row],[الدفعات]]</f>
        <v>0</v>
      </c>
      <c r="N164" s="48"/>
    </row>
    <row r="165" spans="8:14" ht="27" customHeight="1" x14ac:dyDescent="0.3">
      <c r="H165" s="1">
        <f>0.14*Table118192023103031323[[#This Row],[النولون]]</f>
        <v>0</v>
      </c>
      <c r="J165" s="1">
        <f>Table118192023103031323[[#This Row],[النولون]]+Table118192023103031323[[#This Row],[الايصالات]]+Table118192023103031323[[#This Row],[قيمة مضافة]]</f>
        <v>0</v>
      </c>
      <c r="L165" s="1">
        <f>L164+Table118192023103031323[[#This Row],[اجمالي الفاتوره]]-Table118192023103031323[[#This Row],[الدفعات]]</f>
        <v>0</v>
      </c>
      <c r="N165" s="48"/>
    </row>
    <row r="166" spans="8:14" ht="27" customHeight="1" x14ac:dyDescent="0.3">
      <c r="H166" s="1">
        <f>0.14*Table118192023103031323[[#This Row],[النولون]]</f>
        <v>0</v>
      </c>
      <c r="J166" s="1">
        <f>Table118192023103031323[[#This Row],[النولون]]+Table118192023103031323[[#This Row],[الايصالات]]+Table118192023103031323[[#This Row],[قيمة مضافة]]</f>
        <v>0</v>
      </c>
      <c r="L166" s="1">
        <f>L165+Table118192023103031323[[#This Row],[اجمالي الفاتوره]]-Table118192023103031323[[#This Row],[الدفعات]]</f>
        <v>0</v>
      </c>
      <c r="N166" s="48"/>
    </row>
    <row r="167" spans="8:14" ht="27" customHeight="1" x14ac:dyDescent="0.3">
      <c r="H167" s="1">
        <f>0.14*Table118192023103031323[[#This Row],[النولون]]</f>
        <v>0</v>
      </c>
      <c r="J167" s="1">
        <f>Table118192023103031323[[#This Row],[النولون]]+Table118192023103031323[[#This Row],[الايصالات]]+Table118192023103031323[[#This Row],[قيمة مضافة]]</f>
        <v>0</v>
      </c>
      <c r="L167" s="1">
        <f>L166+Table118192023103031323[[#This Row],[اجمالي الفاتوره]]-Table118192023103031323[[#This Row],[الدفعات]]</f>
        <v>0</v>
      </c>
      <c r="N167" s="48"/>
    </row>
    <row r="168" spans="8:14" ht="27" customHeight="1" x14ac:dyDescent="0.3">
      <c r="H168" s="1">
        <f>0.14*Table118192023103031323[[#This Row],[النولون]]</f>
        <v>0</v>
      </c>
      <c r="J168" s="1">
        <f>Table118192023103031323[[#This Row],[النولون]]+Table118192023103031323[[#This Row],[الايصالات]]+Table118192023103031323[[#This Row],[قيمة مضافة]]</f>
        <v>0</v>
      </c>
      <c r="L168" s="1">
        <f>L167+Table118192023103031323[[#This Row],[اجمالي الفاتوره]]-Table118192023103031323[[#This Row],[الدفعات]]</f>
        <v>0</v>
      </c>
      <c r="N168" s="48"/>
    </row>
    <row r="169" spans="8:14" ht="27" customHeight="1" x14ac:dyDescent="0.3">
      <c r="H169" s="1">
        <f>0.14*Table118192023103031323[[#This Row],[النولون]]</f>
        <v>0</v>
      </c>
      <c r="J169" s="1">
        <f>Table118192023103031323[[#This Row],[النولون]]+Table118192023103031323[[#This Row],[الايصالات]]+Table118192023103031323[[#This Row],[قيمة مضافة]]</f>
        <v>0</v>
      </c>
      <c r="L169" s="1">
        <f>L168+Table118192023103031323[[#This Row],[اجمالي الفاتوره]]-Table118192023103031323[[#This Row],[الدفعات]]</f>
        <v>0</v>
      </c>
      <c r="N169" s="48"/>
    </row>
    <row r="170" spans="8:14" ht="27" customHeight="1" x14ac:dyDescent="0.3">
      <c r="H170" s="1">
        <f>0.14*Table118192023103031323[[#This Row],[النولون]]</f>
        <v>0</v>
      </c>
      <c r="J170" s="1">
        <f>Table118192023103031323[[#This Row],[النولون]]+Table118192023103031323[[#This Row],[الايصالات]]+Table118192023103031323[[#This Row],[قيمة مضافة]]</f>
        <v>0</v>
      </c>
      <c r="L170" s="1">
        <f>L169+Table118192023103031323[[#This Row],[اجمالي الفاتوره]]-Table118192023103031323[[#This Row],[الدفعات]]</f>
        <v>0</v>
      </c>
      <c r="N170" s="48"/>
    </row>
    <row r="171" spans="8:14" ht="27" customHeight="1" x14ac:dyDescent="0.3">
      <c r="H171" s="1">
        <f>0.14*Table118192023103031323[[#This Row],[النولون]]</f>
        <v>0</v>
      </c>
      <c r="J171" s="1">
        <f>Table118192023103031323[[#This Row],[النولون]]+Table118192023103031323[[#This Row],[الايصالات]]+Table118192023103031323[[#This Row],[قيمة مضافة]]</f>
        <v>0</v>
      </c>
      <c r="L171" s="1">
        <f>L170+Table118192023103031323[[#This Row],[اجمالي الفاتوره]]-Table118192023103031323[[#This Row],[الدفعات]]</f>
        <v>0</v>
      </c>
      <c r="N171" s="48"/>
    </row>
    <row r="172" spans="8:14" ht="27" customHeight="1" x14ac:dyDescent="0.3">
      <c r="H172" s="1">
        <f>0.14*Table118192023103031323[[#This Row],[النولون]]</f>
        <v>0</v>
      </c>
      <c r="J172" s="1">
        <f>Table118192023103031323[[#This Row],[النولون]]+Table118192023103031323[[#This Row],[الايصالات]]+Table118192023103031323[[#This Row],[قيمة مضافة]]</f>
        <v>0</v>
      </c>
      <c r="L172" s="1">
        <f>L171+Table118192023103031323[[#This Row],[اجمالي الفاتوره]]-Table118192023103031323[[#This Row],[الدفعات]]</f>
        <v>0</v>
      </c>
      <c r="N172" s="48"/>
    </row>
    <row r="173" spans="8:14" ht="27" customHeight="1" x14ac:dyDescent="0.3">
      <c r="H173" s="1">
        <f>0.14*Table118192023103031323[[#This Row],[النولون]]</f>
        <v>0</v>
      </c>
      <c r="J173" s="1">
        <f>Table118192023103031323[[#This Row],[النولون]]+Table118192023103031323[[#This Row],[الايصالات]]+Table118192023103031323[[#This Row],[قيمة مضافة]]</f>
        <v>0</v>
      </c>
      <c r="L173" s="1">
        <f>L172+Table118192023103031323[[#This Row],[اجمالي الفاتوره]]-Table118192023103031323[[#This Row],[الدفعات]]</f>
        <v>0</v>
      </c>
      <c r="N173" s="48"/>
    </row>
    <row r="174" spans="8:14" ht="27" customHeight="1" x14ac:dyDescent="0.3">
      <c r="H174" s="1">
        <f>0.14*Table118192023103031323[[#This Row],[النولون]]</f>
        <v>0</v>
      </c>
      <c r="J174" s="1">
        <f>Table118192023103031323[[#This Row],[النولون]]+Table118192023103031323[[#This Row],[الايصالات]]+Table118192023103031323[[#This Row],[قيمة مضافة]]</f>
        <v>0</v>
      </c>
      <c r="L174" s="1">
        <f>L173+Table118192023103031323[[#This Row],[اجمالي الفاتوره]]-Table118192023103031323[[#This Row],[الدفعات]]</f>
        <v>0</v>
      </c>
      <c r="N174" s="48"/>
    </row>
    <row r="175" spans="8:14" ht="27" customHeight="1" x14ac:dyDescent="0.3">
      <c r="H175" s="1">
        <f>0.14*Table118192023103031323[[#This Row],[النولون]]</f>
        <v>0</v>
      </c>
      <c r="J175" s="1">
        <f>Table118192023103031323[[#This Row],[النولون]]+Table118192023103031323[[#This Row],[الايصالات]]+Table118192023103031323[[#This Row],[قيمة مضافة]]</f>
        <v>0</v>
      </c>
      <c r="L175" s="1">
        <f>L174+Table118192023103031323[[#This Row],[اجمالي الفاتوره]]-Table118192023103031323[[#This Row],[الدفعات]]</f>
        <v>0</v>
      </c>
      <c r="N175" s="48"/>
    </row>
    <row r="176" spans="8:14" ht="27" customHeight="1" x14ac:dyDescent="0.3">
      <c r="H176" s="1">
        <f>0.14*Table118192023103031323[[#This Row],[النولون]]</f>
        <v>0</v>
      </c>
      <c r="J176" s="1">
        <f>Table118192023103031323[[#This Row],[النولون]]+Table118192023103031323[[#This Row],[الايصالات]]+Table118192023103031323[[#This Row],[قيمة مضافة]]</f>
        <v>0</v>
      </c>
      <c r="L176" s="1">
        <f>L175+Table118192023103031323[[#This Row],[اجمالي الفاتوره]]-Table118192023103031323[[#This Row],[الدفعات]]</f>
        <v>0</v>
      </c>
      <c r="N176" s="48"/>
    </row>
    <row r="177" spans="8:14" ht="27" customHeight="1" x14ac:dyDescent="0.3">
      <c r="H177" s="1">
        <f>0.14*Table118192023103031323[[#This Row],[النولون]]</f>
        <v>0</v>
      </c>
      <c r="J177" s="1">
        <f>Table118192023103031323[[#This Row],[النولون]]+Table118192023103031323[[#This Row],[الايصالات]]+Table118192023103031323[[#This Row],[قيمة مضافة]]</f>
        <v>0</v>
      </c>
      <c r="L177" s="1">
        <f>L176+Table118192023103031323[[#This Row],[اجمالي الفاتوره]]-Table118192023103031323[[#This Row],[الدفعات]]</f>
        <v>0</v>
      </c>
      <c r="N177" s="48"/>
    </row>
    <row r="178" spans="8:14" ht="27" customHeight="1" x14ac:dyDescent="0.3">
      <c r="H178" s="1">
        <f>0.14*Table118192023103031323[[#This Row],[النولون]]</f>
        <v>0</v>
      </c>
      <c r="J178" s="1">
        <f>Table118192023103031323[[#This Row],[النولون]]+Table118192023103031323[[#This Row],[الايصالات]]+Table118192023103031323[[#This Row],[قيمة مضافة]]</f>
        <v>0</v>
      </c>
      <c r="L178" s="1">
        <f>L177+Table118192023103031323[[#This Row],[اجمالي الفاتوره]]-Table118192023103031323[[#This Row],[الدفعات]]</f>
        <v>0</v>
      </c>
      <c r="N178" s="48"/>
    </row>
    <row r="179" spans="8:14" ht="27" customHeight="1" x14ac:dyDescent="0.3">
      <c r="H179" s="1">
        <f>0.14*Table118192023103031323[[#This Row],[النولون]]</f>
        <v>0</v>
      </c>
      <c r="J179" s="1">
        <f>Table118192023103031323[[#This Row],[النولون]]+Table118192023103031323[[#This Row],[الايصالات]]+Table118192023103031323[[#This Row],[قيمة مضافة]]</f>
        <v>0</v>
      </c>
      <c r="L179" s="1">
        <f>L178+Table118192023103031323[[#This Row],[اجمالي الفاتوره]]-Table118192023103031323[[#This Row],[الدفعات]]</f>
        <v>0</v>
      </c>
      <c r="N179" s="48"/>
    </row>
    <row r="180" spans="8:14" ht="27" customHeight="1" x14ac:dyDescent="0.3">
      <c r="H180" s="1">
        <f>0.14*Table118192023103031323[[#This Row],[النولون]]</f>
        <v>0</v>
      </c>
      <c r="J180" s="1">
        <f>Table118192023103031323[[#This Row],[النولون]]+Table118192023103031323[[#This Row],[الايصالات]]+Table118192023103031323[[#This Row],[قيمة مضافة]]</f>
        <v>0</v>
      </c>
      <c r="L180" s="1">
        <f>L179+Table118192023103031323[[#This Row],[اجمالي الفاتوره]]-Table118192023103031323[[#This Row],[الدفعات]]</f>
        <v>0</v>
      </c>
      <c r="N180" s="48"/>
    </row>
    <row r="181" spans="8:14" ht="27" customHeight="1" x14ac:dyDescent="0.3">
      <c r="H181" s="1">
        <f>0.14*Table118192023103031323[[#This Row],[النولون]]</f>
        <v>0</v>
      </c>
      <c r="J181" s="1">
        <f>Table118192023103031323[[#This Row],[النولون]]+Table118192023103031323[[#This Row],[الايصالات]]+Table118192023103031323[[#This Row],[قيمة مضافة]]</f>
        <v>0</v>
      </c>
      <c r="L181" s="1">
        <f>L180+Table118192023103031323[[#This Row],[اجمالي الفاتوره]]-Table118192023103031323[[#This Row],[الدفعات]]</f>
        <v>0</v>
      </c>
      <c r="N181" s="48"/>
    </row>
    <row r="182" spans="8:14" ht="27" customHeight="1" x14ac:dyDescent="0.3">
      <c r="H182" s="1">
        <f>0.14*Table118192023103031323[[#This Row],[النولون]]</f>
        <v>0</v>
      </c>
      <c r="J182" s="1">
        <f>Table118192023103031323[[#This Row],[النولون]]+Table118192023103031323[[#This Row],[الايصالات]]+Table118192023103031323[[#This Row],[قيمة مضافة]]</f>
        <v>0</v>
      </c>
      <c r="L182" s="1">
        <f>L181+Table118192023103031323[[#This Row],[اجمالي الفاتوره]]-Table118192023103031323[[#This Row],[الدفعات]]</f>
        <v>0</v>
      </c>
      <c r="N182" s="48"/>
    </row>
    <row r="183" spans="8:14" ht="27" customHeight="1" x14ac:dyDescent="0.3">
      <c r="H183" s="1">
        <f>0.14*Table118192023103031323[[#This Row],[النولون]]</f>
        <v>0</v>
      </c>
      <c r="J183" s="1">
        <f>Table118192023103031323[[#This Row],[النولون]]+Table118192023103031323[[#This Row],[الايصالات]]+Table118192023103031323[[#This Row],[قيمة مضافة]]</f>
        <v>0</v>
      </c>
      <c r="L183" s="1">
        <f>L182+Table118192023103031323[[#This Row],[اجمالي الفاتوره]]-Table118192023103031323[[#This Row],[الدفعات]]</f>
        <v>0</v>
      </c>
      <c r="N183" s="48"/>
    </row>
    <row r="184" spans="8:14" ht="27" customHeight="1" x14ac:dyDescent="0.3">
      <c r="H184" s="1">
        <f>0.14*Table118192023103031323[[#This Row],[النولون]]</f>
        <v>0</v>
      </c>
      <c r="J184" s="1">
        <f>Table118192023103031323[[#This Row],[النولون]]+Table118192023103031323[[#This Row],[الايصالات]]+Table118192023103031323[[#This Row],[قيمة مضافة]]</f>
        <v>0</v>
      </c>
      <c r="L184" s="1">
        <f>L183+Table118192023103031323[[#This Row],[اجمالي الفاتوره]]-Table118192023103031323[[#This Row],[الدفعات]]</f>
        <v>0</v>
      </c>
      <c r="N184" s="48"/>
    </row>
    <row r="185" spans="8:14" ht="27" customHeight="1" x14ac:dyDescent="0.3">
      <c r="H185" s="1">
        <f>0.14*Table118192023103031323[[#This Row],[النولون]]</f>
        <v>0</v>
      </c>
      <c r="J185" s="1">
        <f>Table118192023103031323[[#This Row],[النولون]]+Table118192023103031323[[#This Row],[الايصالات]]+Table118192023103031323[[#This Row],[قيمة مضافة]]</f>
        <v>0</v>
      </c>
      <c r="L185" s="1">
        <f>L184+Table118192023103031323[[#This Row],[اجمالي الفاتوره]]-Table118192023103031323[[#This Row],[الدفعات]]</f>
        <v>0</v>
      </c>
      <c r="N185" s="48"/>
    </row>
    <row r="186" spans="8:14" ht="27" customHeight="1" x14ac:dyDescent="0.3">
      <c r="H186" s="1">
        <f>0.14*Table118192023103031323[[#This Row],[النولون]]</f>
        <v>0</v>
      </c>
      <c r="J186" s="1">
        <f>Table118192023103031323[[#This Row],[النولون]]+Table118192023103031323[[#This Row],[الايصالات]]+Table118192023103031323[[#This Row],[قيمة مضافة]]</f>
        <v>0</v>
      </c>
      <c r="L186" s="1">
        <f>L185+Table118192023103031323[[#This Row],[اجمالي الفاتوره]]-Table118192023103031323[[#This Row],[الدفعات]]</f>
        <v>0</v>
      </c>
      <c r="N186" s="48"/>
    </row>
    <row r="187" spans="8:14" ht="27" customHeight="1" x14ac:dyDescent="0.3">
      <c r="H187" s="1">
        <f>0.14*Table118192023103031323[[#This Row],[النولون]]</f>
        <v>0</v>
      </c>
      <c r="J187" s="1">
        <f>Table118192023103031323[[#This Row],[النولون]]+Table118192023103031323[[#This Row],[الايصالات]]+Table118192023103031323[[#This Row],[قيمة مضافة]]</f>
        <v>0</v>
      </c>
      <c r="L187" s="1">
        <f>L186+Table118192023103031323[[#This Row],[اجمالي الفاتوره]]-Table118192023103031323[[#This Row],[الدفعات]]</f>
        <v>0</v>
      </c>
      <c r="N187" s="48"/>
    </row>
    <row r="188" spans="8:14" ht="27" customHeight="1" x14ac:dyDescent="0.3">
      <c r="H188" s="1">
        <f>0.14*Table118192023103031323[[#This Row],[النولون]]</f>
        <v>0</v>
      </c>
      <c r="J188" s="1">
        <f>Table118192023103031323[[#This Row],[النولون]]+Table118192023103031323[[#This Row],[الايصالات]]+Table118192023103031323[[#This Row],[قيمة مضافة]]</f>
        <v>0</v>
      </c>
      <c r="L188" s="1">
        <f>L187+Table118192023103031323[[#This Row],[اجمالي الفاتوره]]-Table118192023103031323[[#This Row],[الدفعات]]</f>
        <v>0</v>
      </c>
      <c r="N188" s="48"/>
    </row>
    <row r="189" spans="8:14" ht="27" customHeight="1" x14ac:dyDescent="0.3">
      <c r="H189" s="1">
        <f>0.14*Table118192023103031323[[#This Row],[النولون]]</f>
        <v>0</v>
      </c>
      <c r="J189" s="1">
        <f>Table118192023103031323[[#This Row],[النولون]]+Table118192023103031323[[#This Row],[الايصالات]]+Table118192023103031323[[#This Row],[قيمة مضافة]]</f>
        <v>0</v>
      </c>
      <c r="L189" s="1">
        <f>L188+Table118192023103031323[[#This Row],[اجمالي الفاتوره]]-Table118192023103031323[[#This Row],[الدفعات]]</f>
        <v>0</v>
      </c>
      <c r="N189" s="48"/>
    </row>
    <row r="190" spans="8:14" ht="27" customHeight="1" x14ac:dyDescent="0.3">
      <c r="H190" s="1">
        <f>0.14*Table118192023103031323[[#This Row],[النولون]]</f>
        <v>0</v>
      </c>
      <c r="J190" s="1">
        <f>Table118192023103031323[[#This Row],[النولون]]+Table118192023103031323[[#This Row],[الايصالات]]+Table118192023103031323[[#This Row],[قيمة مضافة]]</f>
        <v>0</v>
      </c>
      <c r="L190" s="1">
        <f>L189+Table118192023103031323[[#This Row],[اجمالي الفاتوره]]-Table118192023103031323[[#This Row],[الدفعات]]</f>
        <v>0</v>
      </c>
      <c r="N190" s="48"/>
    </row>
    <row r="191" spans="8:14" ht="27" customHeight="1" x14ac:dyDescent="0.3">
      <c r="H191" s="1">
        <f>0.14*Table118192023103031323[[#This Row],[النولون]]</f>
        <v>0</v>
      </c>
      <c r="J191" s="1">
        <f>Table118192023103031323[[#This Row],[النولون]]+Table118192023103031323[[#This Row],[الايصالات]]+Table118192023103031323[[#This Row],[قيمة مضافة]]</f>
        <v>0</v>
      </c>
      <c r="L191" s="1">
        <f>L190+Table118192023103031323[[#This Row],[اجمالي الفاتوره]]-Table118192023103031323[[#This Row],[الدفعات]]</f>
        <v>0</v>
      </c>
      <c r="N191" s="48"/>
    </row>
    <row r="192" spans="8:14" ht="27" customHeight="1" x14ac:dyDescent="0.3">
      <c r="H192" s="1">
        <f>0.14*Table118192023103031323[[#This Row],[النولون]]</f>
        <v>0</v>
      </c>
      <c r="J192" s="1">
        <f>Table118192023103031323[[#This Row],[النولون]]+Table118192023103031323[[#This Row],[الايصالات]]+Table118192023103031323[[#This Row],[قيمة مضافة]]</f>
        <v>0</v>
      </c>
      <c r="L192" s="1">
        <f>L191+Table118192023103031323[[#This Row],[اجمالي الفاتوره]]-Table118192023103031323[[#This Row],[الدفعات]]</f>
        <v>0</v>
      </c>
      <c r="N192" s="48"/>
    </row>
    <row r="193" spans="8:14" ht="27" customHeight="1" x14ac:dyDescent="0.3">
      <c r="H193" s="1">
        <f>0.14*Table118192023103031323[[#This Row],[النولون]]</f>
        <v>0</v>
      </c>
      <c r="J193" s="1">
        <f>Table118192023103031323[[#This Row],[النولون]]+Table118192023103031323[[#This Row],[الايصالات]]+Table118192023103031323[[#This Row],[قيمة مضافة]]</f>
        <v>0</v>
      </c>
      <c r="L193" s="1">
        <f>L192+Table118192023103031323[[#This Row],[اجمالي الفاتوره]]-Table118192023103031323[[#This Row],[الدفعات]]</f>
        <v>0</v>
      </c>
      <c r="N193" s="48"/>
    </row>
    <row r="194" spans="8:14" ht="27" customHeight="1" x14ac:dyDescent="0.3">
      <c r="H194" s="1">
        <f>0.14*Table118192023103031323[[#This Row],[النولون]]</f>
        <v>0</v>
      </c>
      <c r="J194" s="1">
        <f>Table118192023103031323[[#This Row],[النولون]]+Table118192023103031323[[#This Row],[الايصالات]]+Table118192023103031323[[#This Row],[قيمة مضافة]]</f>
        <v>0</v>
      </c>
      <c r="L194" s="1">
        <f>L193+Table118192023103031323[[#This Row],[اجمالي الفاتوره]]-Table118192023103031323[[#This Row],[الدفعات]]</f>
        <v>0</v>
      </c>
      <c r="N194" s="48"/>
    </row>
    <row r="195" spans="8:14" ht="27" customHeight="1" x14ac:dyDescent="0.3">
      <c r="H195" s="1">
        <f>0.14*Table118192023103031323[[#This Row],[النولون]]</f>
        <v>0</v>
      </c>
      <c r="J195" s="1">
        <f>Table118192023103031323[[#This Row],[النولون]]+Table118192023103031323[[#This Row],[الايصالات]]+Table118192023103031323[[#This Row],[قيمة مضافة]]</f>
        <v>0</v>
      </c>
      <c r="L195" s="1">
        <f>L194+Table118192023103031323[[#This Row],[اجمالي الفاتوره]]-Table118192023103031323[[#This Row],[الدفعات]]</f>
        <v>0</v>
      </c>
      <c r="N195" s="48"/>
    </row>
    <row r="196" spans="8:14" ht="27" customHeight="1" x14ac:dyDescent="0.3">
      <c r="H196" s="1">
        <f>0.14*Table118192023103031323[[#This Row],[النولون]]</f>
        <v>0</v>
      </c>
      <c r="J196" s="1">
        <f>Table118192023103031323[[#This Row],[النولون]]+Table118192023103031323[[#This Row],[الايصالات]]+Table118192023103031323[[#This Row],[قيمة مضافة]]</f>
        <v>0</v>
      </c>
      <c r="L196" s="1">
        <f>L195+Table118192023103031323[[#This Row],[اجمالي الفاتوره]]-Table118192023103031323[[#This Row],[الدفعات]]</f>
        <v>0</v>
      </c>
      <c r="N196" s="48"/>
    </row>
    <row r="197" spans="8:14" ht="27" customHeight="1" x14ac:dyDescent="0.3">
      <c r="H197" s="1">
        <f>0.14*Table118192023103031323[[#This Row],[النولون]]</f>
        <v>0</v>
      </c>
      <c r="J197" s="1">
        <f>Table118192023103031323[[#This Row],[النولون]]+Table118192023103031323[[#This Row],[الايصالات]]+Table118192023103031323[[#This Row],[قيمة مضافة]]</f>
        <v>0</v>
      </c>
      <c r="L197" s="1">
        <f>L196+Table118192023103031323[[#This Row],[اجمالي الفاتوره]]-Table118192023103031323[[#This Row],[الدفعات]]</f>
        <v>0</v>
      </c>
      <c r="N197" s="48"/>
    </row>
    <row r="198" spans="8:14" ht="27" customHeight="1" x14ac:dyDescent="0.3">
      <c r="H198" s="1">
        <f>0.14*Table118192023103031323[[#This Row],[النولون]]</f>
        <v>0</v>
      </c>
      <c r="J198" s="1">
        <f>Table118192023103031323[[#This Row],[النولون]]+Table118192023103031323[[#This Row],[الايصالات]]+Table118192023103031323[[#This Row],[قيمة مضافة]]</f>
        <v>0</v>
      </c>
      <c r="L198" s="1">
        <f>L197+Table118192023103031323[[#This Row],[اجمالي الفاتوره]]-Table118192023103031323[[#This Row],[الدفعات]]</f>
        <v>0</v>
      </c>
      <c r="N198" s="48"/>
    </row>
    <row r="199" spans="8:14" ht="27" customHeight="1" x14ac:dyDescent="0.3">
      <c r="H199" s="1">
        <f>0.14*Table118192023103031323[[#This Row],[النولون]]</f>
        <v>0</v>
      </c>
      <c r="J199" s="1">
        <f>Table118192023103031323[[#This Row],[النولون]]+Table118192023103031323[[#This Row],[الايصالات]]+Table118192023103031323[[#This Row],[قيمة مضافة]]</f>
        <v>0</v>
      </c>
      <c r="L199" s="1">
        <f>L198+Table118192023103031323[[#This Row],[اجمالي الفاتوره]]-Table118192023103031323[[#This Row],[الدفعات]]</f>
        <v>0</v>
      </c>
      <c r="N199" s="48"/>
    </row>
    <row r="200" spans="8:14" ht="27" customHeight="1" x14ac:dyDescent="0.3">
      <c r="H200" s="1">
        <f>0.14*Table118192023103031323[[#This Row],[النولون]]</f>
        <v>0</v>
      </c>
      <c r="J200" s="1">
        <f>Table118192023103031323[[#This Row],[النولون]]+Table118192023103031323[[#This Row],[الايصالات]]+Table118192023103031323[[#This Row],[قيمة مضافة]]</f>
        <v>0</v>
      </c>
      <c r="L200" s="1">
        <f>L199+Table118192023103031323[[#This Row],[اجمالي الفاتوره]]-Table118192023103031323[[#This Row],[الدفعات]]</f>
        <v>0</v>
      </c>
      <c r="N200" s="48"/>
    </row>
    <row r="201" spans="8:14" ht="27" customHeight="1" x14ac:dyDescent="0.3">
      <c r="H201" s="1">
        <f>0.14*Table118192023103031323[[#This Row],[النولون]]</f>
        <v>0</v>
      </c>
      <c r="J201" s="1">
        <f>Table118192023103031323[[#This Row],[النولون]]+Table118192023103031323[[#This Row],[الايصالات]]+Table118192023103031323[[#This Row],[قيمة مضافة]]</f>
        <v>0</v>
      </c>
      <c r="L201" s="1">
        <f>L200+Table118192023103031323[[#This Row],[اجمالي الفاتوره]]-Table118192023103031323[[#This Row],[الدفعات]]</f>
        <v>0</v>
      </c>
      <c r="N201" s="48"/>
    </row>
    <row r="202" spans="8:14" ht="27" customHeight="1" x14ac:dyDescent="0.3">
      <c r="H202" s="1">
        <f>0.14*Table118192023103031323[[#This Row],[النولون]]</f>
        <v>0</v>
      </c>
      <c r="J202" s="1">
        <f>Table118192023103031323[[#This Row],[النولون]]+Table118192023103031323[[#This Row],[الايصالات]]+Table118192023103031323[[#This Row],[قيمة مضافة]]</f>
        <v>0</v>
      </c>
      <c r="L202" s="1">
        <f>L201+Table118192023103031323[[#This Row],[اجمالي الفاتوره]]-Table118192023103031323[[#This Row],[الدفعات]]</f>
        <v>0</v>
      </c>
      <c r="N202" s="48"/>
    </row>
    <row r="203" spans="8:14" ht="27" customHeight="1" x14ac:dyDescent="0.3">
      <c r="H203" s="1">
        <f>0.14*Table118192023103031323[[#This Row],[النولون]]</f>
        <v>0</v>
      </c>
      <c r="J203" s="1">
        <f>Table118192023103031323[[#This Row],[النولون]]+Table118192023103031323[[#This Row],[الايصالات]]+Table118192023103031323[[#This Row],[قيمة مضافة]]</f>
        <v>0</v>
      </c>
      <c r="L203" s="1">
        <f>L202+Table118192023103031323[[#This Row],[اجمالي الفاتوره]]-Table118192023103031323[[#This Row],[الدفعات]]</f>
        <v>0</v>
      </c>
      <c r="N203" s="48"/>
    </row>
    <row r="204" spans="8:14" ht="27" customHeight="1" x14ac:dyDescent="0.3">
      <c r="H204" s="1">
        <f>0.14*Table118192023103031323[[#This Row],[النولون]]</f>
        <v>0</v>
      </c>
      <c r="J204" s="1">
        <f>Table118192023103031323[[#This Row],[النولون]]+Table118192023103031323[[#This Row],[الايصالات]]+Table118192023103031323[[#This Row],[قيمة مضافة]]</f>
        <v>0</v>
      </c>
      <c r="L204" s="1">
        <f>L203+Table118192023103031323[[#This Row],[اجمالي الفاتوره]]-Table118192023103031323[[#This Row],[الدفعات]]</f>
        <v>0</v>
      </c>
      <c r="N204" s="48"/>
    </row>
    <row r="205" spans="8:14" ht="27" customHeight="1" x14ac:dyDescent="0.3">
      <c r="H205" s="1">
        <f>0.14*Table118192023103031323[[#This Row],[النولون]]</f>
        <v>0</v>
      </c>
      <c r="J205" s="1">
        <f>Table118192023103031323[[#This Row],[النولون]]+Table118192023103031323[[#This Row],[الايصالات]]+Table118192023103031323[[#This Row],[قيمة مضافة]]</f>
        <v>0</v>
      </c>
      <c r="L205" s="1">
        <f>L204+Table118192023103031323[[#This Row],[اجمالي الفاتوره]]-Table118192023103031323[[#This Row],[الدفعات]]</f>
        <v>0</v>
      </c>
      <c r="N205" s="48"/>
    </row>
    <row r="206" spans="8:14" ht="27" customHeight="1" x14ac:dyDescent="0.3">
      <c r="H206" s="1">
        <f>0.14*Table118192023103031323[[#This Row],[النولون]]</f>
        <v>0</v>
      </c>
      <c r="J206" s="1">
        <f>Table118192023103031323[[#This Row],[النولون]]+Table118192023103031323[[#This Row],[الايصالات]]+Table118192023103031323[[#This Row],[قيمة مضافة]]</f>
        <v>0</v>
      </c>
      <c r="L206" s="1">
        <f>L205+Table118192023103031323[[#This Row],[اجمالي الفاتوره]]-Table118192023103031323[[#This Row],[الدفعات]]</f>
        <v>0</v>
      </c>
      <c r="N206" s="48"/>
    </row>
    <row r="207" spans="8:14" ht="27" customHeight="1" x14ac:dyDescent="0.3">
      <c r="H207" s="1">
        <f>0.14*Table118192023103031323[[#This Row],[النولون]]</f>
        <v>0</v>
      </c>
      <c r="J207" s="1">
        <f>Table118192023103031323[[#This Row],[النولون]]+Table118192023103031323[[#This Row],[الايصالات]]+Table118192023103031323[[#This Row],[قيمة مضافة]]</f>
        <v>0</v>
      </c>
      <c r="L207" s="1">
        <f>L206+Table118192023103031323[[#This Row],[اجمالي الفاتوره]]-Table118192023103031323[[#This Row],[الدفعات]]</f>
        <v>0</v>
      </c>
      <c r="N207" s="48"/>
    </row>
    <row r="208" spans="8:14" ht="27" customHeight="1" x14ac:dyDescent="0.3">
      <c r="H208" s="1">
        <f>0.14*Table118192023103031323[[#This Row],[النولون]]</f>
        <v>0</v>
      </c>
      <c r="J208" s="1">
        <f>Table118192023103031323[[#This Row],[النولون]]+Table118192023103031323[[#This Row],[الايصالات]]+Table118192023103031323[[#This Row],[قيمة مضافة]]</f>
        <v>0</v>
      </c>
      <c r="L208" s="1">
        <f>L207+Table118192023103031323[[#This Row],[اجمالي الفاتوره]]-Table118192023103031323[[#This Row],[الدفعات]]</f>
        <v>0</v>
      </c>
      <c r="N208" s="48"/>
    </row>
    <row r="209" spans="8:14" ht="27" customHeight="1" x14ac:dyDescent="0.3">
      <c r="H209" s="1">
        <f>0.14*Table118192023103031323[[#This Row],[النولون]]</f>
        <v>0</v>
      </c>
      <c r="J209" s="1">
        <f>Table118192023103031323[[#This Row],[النولون]]+Table118192023103031323[[#This Row],[الايصالات]]+Table118192023103031323[[#This Row],[قيمة مضافة]]</f>
        <v>0</v>
      </c>
      <c r="L209" s="1">
        <f>L208+Table118192023103031323[[#This Row],[اجمالي الفاتوره]]-Table118192023103031323[[#This Row],[الدفعات]]</f>
        <v>0</v>
      </c>
      <c r="N209" s="48"/>
    </row>
    <row r="210" spans="8:14" ht="27" customHeight="1" x14ac:dyDescent="0.3">
      <c r="H210" s="1">
        <f>0.14*Table118192023103031323[[#This Row],[النولون]]</f>
        <v>0</v>
      </c>
      <c r="J210" s="1">
        <f>Table118192023103031323[[#This Row],[النولون]]+Table118192023103031323[[#This Row],[الايصالات]]+Table118192023103031323[[#This Row],[قيمة مضافة]]</f>
        <v>0</v>
      </c>
      <c r="L210" s="1">
        <f>L209+Table118192023103031323[[#This Row],[اجمالي الفاتوره]]-Table118192023103031323[[#This Row],[الدفعات]]</f>
        <v>0</v>
      </c>
      <c r="N210" s="48"/>
    </row>
    <row r="211" spans="8:14" ht="27" customHeight="1" x14ac:dyDescent="0.3">
      <c r="H211" s="1">
        <f>0.14*Table118192023103031323[[#This Row],[النولون]]</f>
        <v>0</v>
      </c>
      <c r="J211" s="1">
        <f>Table118192023103031323[[#This Row],[النولون]]+Table118192023103031323[[#This Row],[الايصالات]]+Table118192023103031323[[#This Row],[قيمة مضافة]]</f>
        <v>0</v>
      </c>
      <c r="L211" s="1">
        <f>L210+Table118192023103031323[[#This Row],[اجمالي الفاتوره]]-Table118192023103031323[[#This Row],[الدفعات]]</f>
        <v>0</v>
      </c>
      <c r="N211" s="48"/>
    </row>
    <row r="212" spans="8:14" ht="27" customHeight="1" x14ac:dyDescent="0.3">
      <c r="H212" s="1">
        <f>0.14*Table118192023103031323[[#This Row],[النولون]]</f>
        <v>0</v>
      </c>
      <c r="J212" s="1">
        <f>Table118192023103031323[[#This Row],[النولون]]+Table118192023103031323[[#This Row],[الايصالات]]+Table118192023103031323[[#This Row],[قيمة مضافة]]</f>
        <v>0</v>
      </c>
      <c r="L212" s="1">
        <f>L211+Table118192023103031323[[#This Row],[اجمالي الفاتوره]]-Table118192023103031323[[#This Row],[الدفعات]]</f>
        <v>0</v>
      </c>
      <c r="N212" s="48"/>
    </row>
    <row r="213" spans="8:14" ht="27" customHeight="1" x14ac:dyDescent="0.3">
      <c r="H213" s="1">
        <f>0.14*Table118192023103031323[[#This Row],[النولون]]</f>
        <v>0</v>
      </c>
      <c r="J213" s="1">
        <f>Table118192023103031323[[#This Row],[النولون]]+Table118192023103031323[[#This Row],[الايصالات]]+Table118192023103031323[[#This Row],[قيمة مضافة]]</f>
        <v>0</v>
      </c>
      <c r="L213" s="1">
        <f>L212+Table118192023103031323[[#This Row],[اجمالي الفاتوره]]-Table118192023103031323[[#This Row],[الدفعات]]</f>
        <v>0</v>
      </c>
      <c r="N213" s="48"/>
    </row>
    <row r="214" spans="8:14" ht="27" customHeight="1" x14ac:dyDescent="0.3">
      <c r="H214" s="1">
        <f>0.14*Table118192023103031323[[#This Row],[النولون]]</f>
        <v>0</v>
      </c>
      <c r="J214" s="1">
        <f>Table118192023103031323[[#This Row],[النولون]]+Table118192023103031323[[#This Row],[الايصالات]]+Table118192023103031323[[#This Row],[قيمة مضافة]]</f>
        <v>0</v>
      </c>
      <c r="L214" s="1">
        <f>L213+Table118192023103031323[[#This Row],[اجمالي الفاتوره]]-Table118192023103031323[[#This Row],[الدفعات]]</f>
        <v>0</v>
      </c>
      <c r="N214" s="48"/>
    </row>
    <row r="215" spans="8:14" ht="27" customHeight="1" x14ac:dyDescent="0.3">
      <c r="H215" s="1">
        <f>0.14*Table118192023103031323[[#This Row],[النولون]]</f>
        <v>0</v>
      </c>
      <c r="J215" s="1">
        <f>Table118192023103031323[[#This Row],[النولون]]+Table118192023103031323[[#This Row],[الايصالات]]+Table118192023103031323[[#This Row],[قيمة مضافة]]</f>
        <v>0</v>
      </c>
      <c r="L215" s="1">
        <f>L214+Table118192023103031323[[#This Row],[اجمالي الفاتوره]]-Table118192023103031323[[#This Row],[الدفعات]]</f>
        <v>0</v>
      </c>
      <c r="N215" s="48"/>
    </row>
    <row r="216" spans="8:14" ht="27" customHeight="1" x14ac:dyDescent="0.3">
      <c r="H216" s="1">
        <f>0.14*Table118192023103031323[[#This Row],[النولون]]</f>
        <v>0</v>
      </c>
      <c r="J216" s="1">
        <f>Table118192023103031323[[#This Row],[النولون]]+Table118192023103031323[[#This Row],[الايصالات]]+Table118192023103031323[[#This Row],[قيمة مضافة]]</f>
        <v>0</v>
      </c>
      <c r="L216" s="1">
        <f>L215+Table118192023103031323[[#This Row],[اجمالي الفاتوره]]-Table118192023103031323[[#This Row],[الدفعات]]</f>
        <v>0</v>
      </c>
      <c r="N216" s="48"/>
    </row>
    <row r="217" spans="8:14" ht="27" customHeight="1" x14ac:dyDescent="0.3">
      <c r="H217" s="1">
        <f>0.14*Table118192023103031323[[#This Row],[النولون]]</f>
        <v>0</v>
      </c>
      <c r="J217" s="1">
        <f>Table118192023103031323[[#This Row],[النولون]]+Table118192023103031323[[#This Row],[الايصالات]]+Table118192023103031323[[#This Row],[قيمة مضافة]]</f>
        <v>0</v>
      </c>
      <c r="L217" s="1">
        <f>L216+Table118192023103031323[[#This Row],[اجمالي الفاتوره]]-Table118192023103031323[[#This Row],[الدفعات]]</f>
        <v>0</v>
      </c>
      <c r="N217" s="48"/>
    </row>
    <row r="218" spans="8:14" ht="27" customHeight="1" x14ac:dyDescent="0.3">
      <c r="H218" s="1">
        <f>0.14*Table118192023103031323[[#This Row],[النولون]]</f>
        <v>0</v>
      </c>
      <c r="J218" s="1">
        <f>Table118192023103031323[[#This Row],[النولون]]+Table118192023103031323[[#This Row],[الايصالات]]+Table118192023103031323[[#This Row],[قيمة مضافة]]</f>
        <v>0</v>
      </c>
      <c r="L218" s="1">
        <f>L217+Table118192023103031323[[#This Row],[اجمالي الفاتوره]]-Table118192023103031323[[#This Row],[الدفعات]]</f>
        <v>0</v>
      </c>
      <c r="N218" s="48"/>
    </row>
    <row r="219" spans="8:14" ht="27" customHeight="1" x14ac:dyDescent="0.3">
      <c r="H219" s="1">
        <f>0.14*Table118192023103031323[[#This Row],[النولون]]</f>
        <v>0</v>
      </c>
      <c r="J219" s="1">
        <f>Table118192023103031323[[#This Row],[النولون]]+Table118192023103031323[[#This Row],[الايصالات]]+Table118192023103031323[[#This Row],[قيمة مضافة]]</f>
        <v>0</v>
      </c>
      <c r="L219" s="1">
        <f>L218+Table118192023103031323[[#This Row],[اجمالي الفاتوره]]-Table118192023103031323[[#This Row],[الدفعات]]</f>
        <v>0</v>
      </c>
      <c r="N219" s="48"/>
    </row>
    <row r="220" spans="8:14" ht="27" customHeight="1" x14ac:dyDescent="0.3">
      <c r="H220" s="1">
        <f>0.14*Table118192023103031323[[#This Row],[النولون]]</f>
        <v>0</v>
      </c>
      <c r="J220" s="1">
        <f>Table118192023103031323[[#This Row],[النولون]]+Table118192023103031323[[#This Row],[الايصالات]]+Table118192023103031323[[#This Row],[قيمة مضافة]]</f>
        <v>0</v>
      </c>
      <c r="L220" s="1">
        <f>L219+Table118192023103031323[[#This Row],[اجمالي الفاتوره]]-Table118192023103031323[[#This Row],[الدفعات]]</f>
        <v>0</v>
      </c>
      <c r="N220" s="48"/>
    </row>
    <row r="221" spans="8:14" ht="27" customHeight="1" x14ac:dyDescent="0.3">
      <c r="H221" s="1">
        <f>0.14*Table118192023103031323[[#This Row],[النولون]]</f>
        <v>0</v>
      </c>
      <c r="J221" s="1">
        <f>Table118192023103031323[[#This Row],[النولون]]+Table118192023103031323[[#This Row],[الايصالات]]+Table118192023103031323[[#This Row],[قيمة مضافة]]</f>
        <v>0</v>
      </c>
      <c r="L221" s="1">
        <f>L220+Table118192023103031323[[#This Row],[اجمالي الفاتوره]]-Table118192023103031323[[#This Row],[الدفعات]]</f>
        <v>0</v>
      </c>
      <c r="N221" s="48"/>
    </row>
    <row r="222" spans="8:14" ht="27" customHeight="1" x14ac:dyDescent="0.3">
      <c r="H222" s="1">
        <f>0.14*Table118192023103031323[[#This Row],[النولون]]</f>
        <v>0</v>
      </c>
      <c r="J222" s="1">
        <f>Table118192023103031323[[#This Row],[النولون]]+Table118192023103031323[[#This Row],[الايصالات]]+Table118192023103031323[[#This Row],[قيمة مضافة]]</f>
        <v>0</v>
      </c>
      <c r="L222" s="1">
        <f>L221+Table118192023103031323[[#This Row],[اجمالي الفاتوره]]-Table118192023103031323[[#This Row],[الدفعات]]</f>
        <v>0</v>
      </c>
      <c r="N222" s="48"/>
    </row>
    <row r="223" spans="8:14" ht="27" customHeight="1" x14ac:dyDescent="0.3">
      <c r="H223" s="1">
        <f>0.14*Table118192023103031323[[#This Row],[النولون]]</f>
        <v>0</v>
      </c>
      <c r="J223" s="1">
        <f>Table118192023103031323[[#This Row],[النولون]]+Table118192023103031323[[#This Row],[الايصالات]]+Table118192023103031323[[#This Row],[قيمة مضافة]]</f>
        <v>0</v>
      </c>
      <c r="L223" s="1">
        <f>L222+Table118192023103031323[[#This Row],[اجمالي الفاتوره]]-Table118192023103031323[[#This Row],[الدفعات]]</f>
        <v>0</v>
      </c>
      <c r="N223" s="48"/>
    </row>
    <row r="224" spans="8:14" ht="27" customHeight="1" x14ac:dyDescent="0.3">
      <c r="H224" s="1">
        <f>0.14*Table118192023103031323[[#This Row],[النولون]]</f>
        <v>0</v>
      </c>
      <c r="J224" s="1">
        <f>Table118192023103031323[[#This Row],[النولون]]+Table118192023103031323[[#This Row],[الايصالات]]+Table118192023103031323[[#This Row],[قيمة مضافة]]</f>
        <v>0</v>
      </c>
      <c r="L224" s="1">
        <f>L223+Table118192023103031323[[#This Row],[اجمالي الفاتوره]]-Table118192023103031323[[#This Row],[الدفعات]]</f>
        <v>0</v>
      </c>
      <c r="N224" s="48"/>
    </row>
    <row r="225" spans="8:14" ht="27" customHeight="1" x14ac:dyDescent="0.3">
      <c r="H225" s="1">
        <f>0.14*Table118192023103031323[[#This Row],[النولون]]</f>
        <v>0</v>
      </c>
      <c r="J225" s="1">
        <f>Table118192023103031323[[#This Row],[النولون]]+Table118192023103031323[[#This Row],[الايصالات]]+Table118192023103031323[[#This Row],[قيمة مضافة]]</f>
        <v>0</v>
      </c>
      <c r="L225" s="1">
        <f>L224+Table118192023103031323[[#This Row],[اجمالي الفاتوره]]-Table118192023103031323[[#This Row],[الدفعات]]</f>
        <v>0</v>
      </c>
      <c r="N225" s="48"/>
    </row>
    <row r="226" spans="8:14" ht="27" customHeight="1" x14ac:dyDescent="0.3">
      <c r="H226" s="1">
        <f>0.14*Table118192023103031323[[#This Row],[النولون]]</f>
        <v>0</v>
      </c>
      <c r="J226" s="1">
        <f>Table118192023103031323[[#This Row],[النولون]]+Table118192023103031323[[#This Row],[الايصالات]]+Table118192023103031323[[#This Row],[قيمة مضافة]]</f>
        <v>0</v>
      </c>
      <c r="L226" s="1">
        <f>L225+Table118192023103031323[[#This Row],[اجمالي الفاتوره]]-Table118192023103031323[[#This Row],[الدفعات]]</f>
        <v>0</v>
      </c>
      <c r="N226" s="48"/>
    </row>
    <row r="227" spans="8:14" ht="27" customHeight="1" x14ac:dyDescent="0.3">
      <c r="H227" s="1">
        <f>0.14*Table118192023103031323[[#This Row],[النولون]]</f>
        <v>0</v>
      </c>
      <c r="J227" s="1">
        <f>Table118192023103031323[[#This Row],[النولون]]+Table118192023103031323[[#This Row],[الايصالات]]+Table118192023103031323[[#This Row],[قيمة مضافة]]</f>
        <v>0</v>
      </c>
      <c r="L227" s="1">
        <f>L226+Table118192023103031323[[#This Row],[اجمالي الفاتوره]]-Table118192023103031323[[#This Row],[الدفعات]]</f>
        <v>0</v>
      </c>
      <c r="N227" s="48"/>
    </row>
    <row r="228" spans="8:14" ht="27" customHeight="1" x14ac:dyDescent="0.3">
      <c r="H228" s="1">
        <f>0.14*Table118192023103031323[[#This Row],[النولون]]</f>
        <v>0</v>
      </c>
      <c r="J228" s="1">
        <f>Table118192023103031323[[#This Row],[النولون]]+Table118192023103031323[[#This Row],[الايصالات]]+Table118192023103031323[[#This Row],[قيمة مضافة]]</f>
        <v>0</v>
      </c>
      <c r="L228" s="1">
        <f>L227+Table118192023103031323[[#This Row],[اجمالي الفاتوره]]-Table118192023103031323[[#This Row],[الدفعات]]</f>
        <v>0</v>
      </c>
      <c r="N228" s="48"/>
    </row>
    <row r="229" spans="8:14" ht="27" customHeight="1" x14ac:dyDescent="0.3">
      <c r="H229" s="1">
        <f>0.14*Table118192023103031323[[#This Row],[النولون]]</f>
        <v>0</v>
      </c>
      <c r="J229" s="1">
        <f>Table118192023103031323[[#This Row],[النولون]]+Table118192023103031323[[#This Row],[الايصالات]]+Table118192023103031323[[#This Row],[قيمة مضافة]]</f>
        <v>0</v>
      </c>
      <c r="L229" s="1">
        <f>L228+Table118192023103031323[[#This Row],[اجمالي الفاتوره]]-Table118192023103031323[[#This Row],[الدفعات]]</f>
        <v>0</v>
      </c>
      <c r="N229" s="48"/>
    </row>
    <row r="230" spans="8:14" ht="27" customHeight="1" x14ac:dyDescent="0.3">
      <c r="H230" s="1">
        <f>0.14*Table118192023103031323[[#This Row],[النولون]]</f>
        <v>0</v>
      </c>
      <c r="J230" s="1">
        <f>Table118192023103031323[[#This Row],[النولون]]+Table118192023103031323[[#This Row],[الايصالات]]+Table118192023103031323[[#This Row],[قيمة مضافة]]</f>
        <v>0</v>
      </c>
      <c r="L230" s="1">
        <f>L229+Table118192023103031323[[#This Row],[اجمالي الفاتوره]]-Table118192023103031323[[#This Row],[الدفعات]]</f>
        <v>0</v>
      </c>
      <c r="N230" s="48"/>
    </row>
    <row r="231" spans="8:14" ht="27" customHeight="1" x14ac:dyDescent="0.3">
      <c r="H231" s="1">
        <f>0.14*Table118192023103031323[[#This Row],[النولون]]</f>
        <v>0</v>
      </c>
      <c r="J231" s="1">
        <f>Table118192023103031323[[#This Row],[النولون]]+Table118192023103031323[[#This Row],[الايصالات]]+Table118192023103031323[[#This Row],[قيمة مضافة]]</f>
        <v>0</v>
      </c>
      <c r="L231" s="1">
        <f>L230+Table118192023103031323[[#This Row],[اجمالي الفاتوره]]-Table118192023103031323[[#This Row],[الدفعات]]</f>
        <v>0</v>
      </c>
      <c r="N231" s="48"/>
    </row>
    <row r="232" spans="8:14" ht="27" customHeight="1" x14ac:dyDescent="0.3">
      <c r="H232" s="1">
        <f>0.14*Table118192023103031323[[#This Row],[النولون]]</f>
        <v>0</v>
      </c>
      <c r="J232" s="1">
        <f>Table118192023103031323[[#This Row],[النولون]]+Table118192023103031323[[#This Row],[الايصالات]]+Table118192023103031323[[#This Row],[قيمة مضافة]]</f>
        <v>0</v>
      </c>
      <c r="L232" s="1">
        <f>L231+Table118192023103031323[[#This Row],[اجمالي الفاتوره]]-Table118192023103031323[[#This Row],[الدفعات]]</f>
        <v>0</v>
      </c>
      <c r="N232" s="48"/>
    </row>
    <row r="233" spans="8:14" ht="27" customHeight="1" x14ac:dyDescent="0.3">
      <c r="H233" s="1">
        <f>0.14*Table118192023103031323[[#This Row],[النولون]]</f>
        <v>0</v>
      </c>
      <c r="J233" s="1">
        <f>Table118192023103031323[[#This Row],[النولون]]+Table118192023103031323[[#This Row],[الايصالات]]+Table118192023103031323[[#This Row],[قيمة مضافة]]</f>
        <v>0</v>
      </c>
      <c r="L233" s="1">
        <f>L232+Table118192023103031323[[#This Row],[اجمالي الفاتوره]]-Table118192023103031323[[#This Row],[الدفعات]]</f>
        <v>0</v>
      </c>
      <c r="N233" s="48"/>
    </row>
    <row r="234" spans="8:14" ht="27" customHeight="1" x14ac:dyDescent="0.3">
      <c r="H234" s="1">
        <f>0.14*Table118192023103031323[[#This Row],[النولون]]</f>
        <v>0</v>
      </c>
      <c r="J234" s="1">
        <f>Table118192023103031323[[#This Row],[النولون]]+Table118192023103031323[[#This Row],[الايصالات]]+Table118192023103031323[[#This Row],[قيمة مضافة]]</f>
        <v>0</v>
      </c>
      <c r="L234" s="1">
        <f>L233+Table118192023103031323[[#This Row],[اجمالي الفاتوره]]-Table118192023103031323[[#This Row],[الدفعات]]</f>
        <v>0</v>
      </c>
      <c r="N234" s="48"/>
    </row>
    <row r="235" spans="8:14" ht="27" customHeight="1" x14ac:dyDescent="0.3">
      <c r="H235" s="1">
        <f>0.14*Table118192023103031323[[#This Row],[النولون]]</f>
        <v>0</v>
      </c>
      <c r="J235" s="1">
        <f>Table118192023103031323[[#This Row],[النولون]]+Table118192023103031323[[#This Row],[الايصالات]]+Table118192023103031323[[#This Row],[قيمة مضافة]]</f>
        <v>0</v>
      </c>
      <c r="L235" s="1">
        <f>L234+Table118192023103031323[[#This Row],[اجمالي الفاتوره]]-Table118192023103031323[[#This Row],[الدفعات]]</f>
        <v>0</v>
      </c>
      <c r="N235" s="48"/>
    </row>
    <row r="236" spans="8:14" ht="27" customHeight="1" x14ac:dyDescent="0.3">
      <c r="H236" s="1">
        <f>0.14*Table118192023103031323[[#This Row],[النولون]]</f>
        <v>0</v>
      </c>
      <c r="J236" s="1">
        <f>Table118192023103031323[[#This Row],[النولون]]+Table118192023103031323[[#This Row],[الايصالات]]+Table118192023103031323[[#This Row],[قيمة مضافة]]</f>
        <v>0</v>
      </c>
      <c r="L236" s="1">
        <f>L235+Table118192023103031323[[#This Row],[اجمالي الفاتوره]]-Table118192023103031323[[#This Row],[الدفعات]]</f>
        <v>0</v>
      </c>
      <c r="N236" s="48"/>
    </row>
    <row r="237" spans="8:14" ht="27" customHeight="1" x14ac:dyDescent="0.3">
      <c r="H237" s="1">
        <f>0.14*Table118192023103031323[[#This Row],[النولون]]</f>
        <v>0</v>
      </c>
      <c r="J237" s="1">
        <f>Table118192023103031323[[#This Row],[النولون]]+Table118192023103031323[[#This Row],[الايصالات]]+Table118192023103031323[[#This Row],[قيمة مضافة]]</f>
        <v>0</v>
      </c>
      <c r="L237" s="1">
        <f>L236+Table118192023103031323[[#This Row],[اجمالي الفاتوره]]-Table118192023103031323[[#This Row],[الدفعات]]</f>
        <v>0</v>
      </c>
      <c r="N237" s="48"/>
    </row>
    <row r="238" spans="8:14" ht="27" customHeight="1" x14ac:dyDescent="0.3">
      <c r="H238" s="1">
        <f>0.14*Table118192023103031323[[#This Row],[النولون]]</f>
        <v>0</v>
      </c>
      <c r="J238" s="1">
        <f>Table118192023103031323[[#This Row],[النولون]]+Table118192023103031323[[#This Row],[الايصالات]]+Table118192023103031323[[#This Row],[قيمة مضافة]]</f>
        <v>0</v>
      </c>
      <c r="L238" s="1">
        <f>L237+Table118192023103031323[[#This Row],[اجمالي الفاتوره]]-Table118192023103031323[[#This Row],[الدفعات]]</f>
        <v>0</v>
      </c>
      <c r="N238" s="48"/>
    </row>
    <row r="239" spans="8:14" ht="27" customHeight="1" x14ac:dyDescent="0.3">
      <c r="H239" s="1">
        <f>0.14*Table118192023103031323[[#This Row],[النولون]]</f>
        <v>0</v>
      </c>
      <c r="J239" s="1">
        <f>Table118192023103031323[[#This Row],[النولون]]+Table118192023103031323[[#This Row],[الايصالات]]+Table118192023103031323[[#This Row],[قيمة مضافة]]</f>
        <v>0</v>
      </c>
      <c r="L239" s="1">
        <f>L238+Table118192023103031323[[#This Row],[اجمالي الفاتوره]]-Table118192023103031323[[#This Row],[الدفعات]]</f>
        <v>0</v>
      </c>
      <c r="N239" s="48"/>
    </row>
    <row r="240" spans="8:14" ht="27" customHeight="1" x14ac:dyDescent="0.3">
      <c r="H240" s="1">
        <f>0.14*Table118192023103031323[[#This Row],[النولون]]</f>
        <v>0</v>
      </c>
      <c r="J240" s="1">
        <f>Table118192023103031323[[#This Row],[النولون]]+Table118192023103031323[[#This Row],[الايصالات]]+Table118192023103031323[[#This Row],[قيمة مضافة]]</f>
        <v>0</v>
      </c>
      <c r="L240" s="1">
        <f>L239+Table118192023103031323[[#This Row],[اجمالي الفاتوره]]-Table118192023103031323[[#This Row],[الدفعات]]</f>
        <v>0</v>
      </c>
      <c r="N240" s="48"/>
    </row>
    <row r="241" spans="8:14" ht="27" customHeight="1" x14ac:dyDescent="0.3">
      <c r="H241" s="1">
        <f>0.14*Table118192023103031323[[#This Row],[النولون]]</f>
        <v>0</v>
      </c>
      <c r="J241" s="1">
        <f>Table118192023103031323[[#This Row],[النولون]]+Table118192023103031323[[#This Row],[الايصالات]]+Table118192023103031323[[#This Row],[قيمة مضافة]]</f>
        <v>0</v>
      </c>
      <c r="L241" s="1">
        <f>L240+Table118192023103031323[[#This Row],[اجمالي الفاتوره]]-Table118192023103031323[[#This Row],[الدفعات]]</f>
        <v>0</v>
      </c>
      <c r="N241" s="48"/>
    </row>
    <row r="242" spans="8:14" ht="27" customHeight="1" x14ac:dyDescent="0.3">
      <c r="H242" s="1">
        <f>0.14*Table118192023103031323[[#This Row],[النولون]]</f>
        <v>0</v>
      </c>
      <c r="J242" s="1">
        <f>Table118192023103031323[[#This Row],[النولون]]+Table118192023103031323[[#This Row],[الايصالات]]+Table118192023103031323[[#This Row],[قيمة مضافة]]</f>
        <v>0</v>
      </c>
      <c r="L242" s="1">
        <f>L241+Table118192023103031323[[#This Row],[اجمالي الفاتوره]]-Table118192023103031323[[#This Row],[الدفعات]]</f>
        <v>0</v>
      </c>
      <c r="N242" s="48"/>
    </row>
    <row r="243" spans="8:14" ht="27" customHeight="1" x14ac:dyDescent="0.3">
      <c r="H243" s="1">
        <f>0.14*Table118192023103031323[[#This Row],[النولون]]</f>
        <v>0</v>
      </c>
      <c r="J243" s="1">
        <f>Table118192023103031323[[#This Row],[النولون]]+Table118192023103031323[[#This Row],[الايصالات]]+Table118192023103031323[[#This Row],[قيمة مضافة]]</f>
        <v>0</v>
      </c>
      <c r="L243" s="1">
        <f>L242+Table118192023103031323[[#This Row],[اجمالي الفاتوره]]-Table118192023103031323[[#This Row],[الدفعات]]</f>
        <v>0</v>
      </c>
      <c r="N243" s="48"/>
    </row>
    <row r="244" spans="8:14" ht="27" customHeight="1" x14ac:dyDescent="0.3">
      <c r="H244" s="1">
        <f>0.14*Table118192023103031323[[#This Row],[النولون]]</f>
        <v>0</v>
      </c>
      <c r="J244" s="1">
        <f>Table118192023103031323[[#This Row],[النولون]]+Table118192023103031323[[#This Row],[الايصالات]]+Table118192023103031323[[#This Row],[قيمة مضافة]]</f>
        <v>0</v>
      </c>
      <c r="L244" s="1">
        <f>L243+Table118192023103031323[[#This Row],[اجمالي الفاتوره]]-Table118192023103031323[[#This Row],[الدفعات]]</f>
        <v>0</v>
      </c>
      <c r="N244" s="48"/>
    </row>
    <row r="245" spans="8:14" ht="27" customHeight="1" x14ac:dyDescent="0.3">
      <c r="H245" s="1">
        <f>0.14*Table118192023103031323[[#This Row],[النولون]]</f>
        <v>0</v>
      </c>
      <c r="J245" s="1">
        <f>Table118192023103031323[[#This Row],[النولون]]+Table118192023103031323[[#This Row],[الايصالات]]+Table118192023103031323[[#This Row],[قيمة مضافة]]</f>
        <v>0</v>
      </c>
      <c r="L245" s="1">
        <f>L244+Table118192023103031323[[#This Row],[اجمالي الفاتوره]]-Table118192023103031323[[#This Row],[الدفعات]]</f>
        <v>0</v>
      </c>
      <c r="N245" s="48"/>
    </row>
    <row r="246" spans="8:14" ht="27" customHeight="1" x14ac:dyDescent="0.3">
      <c r="H246" s="1">
        <f>0.14*Table118192023103031323[[#This Row],[النولون]]</f>
        <v>0</v>
      </c>
      <c r="J246" s="1">
        <f>Table118192023103031323[[#This Row],[النولون]]+Table118192023103031323[[#This Row],[الايصالات]]+Table118192023103031323[[#This Row],[قيمة مضافة]]</f>
        <v>0</v>
      </c>
      <c r="L246" s="1">
        <f>L245+Table118192023103031323[[#This Row],[اجمالي الفاتوره]]-Table118192023103031323[[#This Row],[الدفعات]]</f>
        <v>0</v>
      </c>
      <c r="N246" s="48"/>
    </row>
    <row r="247" spans="8:14" ht="27" customHeight="1" x14ac:dyDescent="0.3">
      <c r="H247" s="1">
        <f>0.14*Table118192023103031323[[#This Row],[النولون]]</f>
        <v>0</v>
      </c>
      <c r="J247" s="1">
        <f>Table118192023103031323[[#This Row],[النولون]]+Table118192023103031323[[#This Row],[الايصالات]]+Table118192023103031323[[#This Row],[قيمة مضافة]]</f>
        <v>0</v>
      </c>
      <c r="L247" s="1">
        <f>L246+Table118192023103031323[[#This Row],[اجمالي الفاتوره]]-Table118192023103031323[[#This Row],[الدفعات]]</f>
        <v>0</v>
      </c>
      <c r="N247" s="48"/>
    </row>
    <row r="248" spans="8:14" ht="27" customHeight="1" x14ac:dyDescent="0.3">
      <c r="H248" s="1">
        <f>0.14*Table118192023103031323[[#This Row],[النولون]]</f>
        <v>0</v>
      </c>
      <c r="J248" s="1">
        <f>Table118192023103031323[[#This Row],[النولون]]+Table118192023103031323[[#This Row],[الايصالات]]+Table118192023103031323[[#This Row],[قيمة مضافة]]</f>
        <v>0</v>
      </c>
      <c r="L248" s="1">
        <f>L247+Table118192023103031323[[#This Row],[اجمالي الفاتوره]]-Table118192023103031323[[#This Row],[الدفعات]]</f>
        <v>0</v>
      </c>
      <c r="N248" s="48"/>
    </row>
    <row r="249" spans="8:14" ht="27" customHeight="1" x14ac:dyDescent="0.3">
      <c r="H249" s="1">
        <f>0.14*Table118192023103031323[[#This Row],[النولون]]</f>
        <v>0</v>
      </c>
      <c r="J249" s="1">
        <f>Table118192023103031323[[#This Row],[النولون]]+Table118192023103031323[[#This Row],[الايصالات]]+Table118192023103031323[[#This Row],[قيمة مضافة]]</f>
        <v>0</v>
      </c>
      <c r="L249" s="1">
        <f>L248+Table118192023103031323[[#This Row],[اجمالي الفاتوره]]-Table118192023103031323[[#This Row],[الدفعات]]</f>
        <v>0</v>
      </c>
      <c r="N249" s="48"/>
    </row>
    <row r="250" spans="8:14" ht="27" customHeight="1" x14ac:dyDescent="0.3">
      <c r="H250" s="1">
        <f>0.14*Table118192023103031323[[#This Row],[النولون]]</f>
        <v>0</v>
      </c>
      <c r="J250" s="1">
        <f>Table118192023103031323[[#This Row],[النولون]]+Table118192023103031323[[#This Row],[الايصالات]]+Table118192023103031323[[#This Row],[قيمة مضافة]]</f>
        <v>0</v>
      </c>
      <c r="L250" s="1">
        <f>L249+Table118192023103031323[[#This Row],[اجمالي الفاتوره]]-Table118192023103031323[[#This Row],[الدفعات]]</f>
        <v>0</v>
      </c>
      <c r="N250" s="48"/>
    </row>
    <row r="251" spans="8:14" ht="27" customHeight="1" x14ac:dyDescent="0.3">
      <c r="H251" s="1">
        <f>0.14*Table118192023103031323[[#This Row],[النولون]]</f>
        <v>0</v>
      </c>
      <c r="J251" s="1">
        <f>Table118192023103031323[[#This Row],[النولون]]+Table118192023103031323[[#This Row],[الايصالات]]+Table118192023103031323[[#This Row],[قيمة مضافة]]</f>
        <v>0</v>
      </c>
      <c r="L251" s="1">
        <f>L250+Table118192023103031323[[#This Row],[اجمالي الفاتوره]]-Table118192023103031323[[#This Row],[الدفعات]]</f>
        <v>0</v>
      </c>
      <c r="N251" s="48"/>
    </row>
    <row r="252" spans="8:14" ht="27" customHeight="1" x14ac:dyDescent="0.3">
      <c r="H252" s="1">
        <f>0.14*Table118192023103031323[[#This Row],[النولون]]</f>
        <v>0</v>
      </c>
      <c r="J252" s="1">
        <f>Table118192023103031323[[#This Row],[النولون]]+Table118192023103031323[[#This Row],[الايصالات]]+Table118192023103031323[[#This Row],[قيمة مضافة]]</f>
        <v>0</v>
      </c>
      <c r="L252" s="1">
        <f>L251+Table118192023103031323[[#This Row],[اجمالي الفاتوره]]-Table118192023103031323[[#This Row],[الدفعات]]</f>
        <v>0</v>
      </c>
      <c r="N252" s="48"/>
    </row>
    <row r="253" spans="8:14" ht="27" customHeight="1" x14ac:dyDescent="0.3">
      <c r="H253" s="1">
        <f>0.14*Table118192023103031323[[#This Row],[النولون]]</f>
        <v>0</v>
      </c>
      <c r="J253" s="1">
        <f>Table118192023103031323[[#This Row],[النولون]]+Table118192023103031323[[#This Row],[الايصالات]]+Table118192023103031323[[#This Row],[قيمة مضافة]]</f>
        <v>0</v>
      </c>
      <c r="L253" s="1">
        <f>L252+Table118192023103031323[[#This Row],[اجمالي الفاتوره]]-Table118192023103031323[[#This Row],[الدفعات]]</f>
        <v>0</v>
      </c>
      <c r="N253" s="48"/>
    </row>
    <row r="254" spans="8:14" ht="27" customHeight="1" x14ac:dyDescent="0.3">
      <c r="H254" s="1">
        <f>0.14*Table118192023103031323[[#This Row],[النولون]]</f>
        <v>0</v>
      </c>
      <c r="J254" s="1">
        <f>Table118192023103031323[[#This Row],[النولون]]+Table118192023103031323[[#This Row],[الايصالات]]+Table118192023103031323[[#This Row],[قيمة مضافة]]</f>
        <v>0</v>
      </c>
      <c r="L254" s="1">
        <f>L253+Table118192023103031323[[#This Row],[اجمالي الفاتوره]]-Table118192023103031323[[#This Row],[الدفعات]]</f>
        <v>0</v>
      </c>
      <c r="N254" s="48"/>
    </row>
    <row r="255" spans="8:14" ht="27" customHeight="1" x14ac:dyDescent="0.3">
      <c r="H255" s="1">
        <f>0.14*Table118192023103031323[[#This Row],[النولون]]</f>
        <v>0</v>
      </c>
      <c r="J255" s="1">
        <f>Table118192023103031323[[#This Row],[النولون]]+Table118192023103031323[[#This Row],[الايصالات]]+Table118192023103031323[[#This Row],[قيمة مضافة]]</f>
        <v>0</v>
      </c>
      <c r="L255" s="1">
        <f>L254+Table118192023103031323[[#This Row],[اجمالي الفاتوره]]-Table118192023103031323[[#This Row],[الدفعات]]</f>
        <v>0</v>
      </c>
      <c r="N255" s="48"/>
    </row>
    <row r="256" spans="8:14" ht="27" customHeight="1" x14ac:dyDescent="0.3">
      <c r="H256" s="1">
        <f>0.14*Table118192023103031323[[#This Row],[النولون]]</f>
        <v>0</v>
      </c>
      <c r="J256" s="1">
        <f>Table118192023103031323[[#This Row],[النولون]]+Table118192023103031323[[#This Row],[الايصالات]]+Table118192023103031323[[#This Row],[قيمة مضافة]]</f>
        <v>0</v>
      </c>
      <c r="L256" s="1">
        <f>L255+Table118192023103031323[[#This Row],[اجمالي الفاتوره]]-Table118192023103031323[[#This Row],[الدفعات]]</f>
        <v>0</v>
      </c>
      <c r="N256" s="48"/>
    </row>
    <row r="257" spans="8:14" ht="27" customHeight="1" x14ac:dyDescent="0.3">
      <c r="H257" s="1">
        <f>0.14*Table118192023103031323[[#This Row],[النولون]]</f>
        <v>0</v>
      </c>
      <c r="J257" s="1">
        <f>Table118192023103031323[[#This Row],[النولون]]+Table118192023103031323[[#This Row],[الايصالات]]+Table118192023103031323[[#This Row],[قيمة مضافة]]</f>
        <v>0</v>
      </c>
      <c r="L257" s="1">
        <f>L256+Table118192023103031323[[#This Row],[اجمالي الفاتوره]]-Table118192023103031323[[#This Row],[الدفعات]]</f>
        <v>0</v>
      </c>
      <c r="N257" s="48"/>
    </row>
    <row r="258" spans="8:14" ht="27" customHeight="1" x14ac:dyDescent="0.3">
      <c r="H258" s="1">
        <f>0.14*Table118192023103031323[[#This Row],[النولون]]</f>
        <v>0</v>
      </c>
      <c r="J258" s="1">
        <f>Table118192023103031323[[#This Row],[النولون]]+Table118192023103031323[[#This Row],[الايصالات]]+Table118192023103031323[[#This Row],[قيمة مضافة]]</f>
        <v>0</v>
      </c>
      <c r="L258" s="1">
        <f>L257+Table118192023103031323[[#This Row],[اجمالي الفاتوره]]-Table118192023103031323[[#This Row],[الدفعات]]</f>
        <v>0</v>
      </c>
      <c r="N258" s="48"/>
    </row>
    <row r="259" spans="8:14" ht="27" customHeight="1" x14ac:dyDescent="0.3">
      <c r="H259" s="1">
        <f>0.14*Table118192023103031323[[#This Row],[النولون]]</f>
        <v>0</v>
      </c>
      <c r="J259" s="1">
        <f>Table118192023103031323[[#This Row],[النولون]]+Table118192023103031323[[#This Row],[الايصالات]]+Table118192023103031323[[#This Row],[قيمة مضافة]]</f>
        <v>0</v>
      </c>
      <c r="L259" s="1">
        <f>L258+Table118192023103031323[[#This Row],[اجمالي الفاتوره]]-Table118192023103031323[[#This Row],[الدفعات]]</f>
        <v>0</v>
      </c>
      <c r="N259" s="48"/>
    </row>
    <row r="260" spans="8:14" ht="27" customHeight="1" x14ac:dyDescent="0.3">
      <c r="H260" s="1">
        <f>0.14*Table118192023103031323[[#This Row],[النولون]]</f>
        <v>0</v>
      </c>
      <c r="J260" s="1">
        <f>Table118192023103031323[[#This Row],[النولون]]+Table118192023103031323[[#This Row],[الايصالات]]+Table118192023103031323[[#This Row],[قيمة مضافة]]</f>
        <v>0</v>
      </c>
      <c r="L260" s="1">
        <f>L259+Table118192023103031323[[#This Row],[اجمالي الفاتوره]]-Table118192023103031323[[#This Row],[الدفعات]]</f>
        <v>0</v>
      </c>
      <c r="N260" s="48"/>
    </row>
    <row r="261" spans="8:14" ht="27" customHeight="1" x14ac:dyDescent="0.3">
      <c r="H261" s="1">
        <f>0.14*Table118192023103031323[[#This Row],[النولون]]</f>
        <v>0</v>
      </c>
      <c r="J261" s="1">
        <f>Table118192023103031323[[#This Row],[النولون]]+Table118192023103031323[[#This Row],[الايصالات]]+Table118192023103031323[[#This Row],[قيمة مضافة]]</f>
        <v>0</v>
      </c>
      <c r="L261" s="1">
        <f>L260+Table118192023103031323[[#This Row],[اجمالي الفاتوره]]-Table118192023103031323[[#This Row],[الدفعات]]</f>
        <v>0</v>
      </c>
      <c r="N261" s="48"/>
    </row>
    <row r="262" spans="8:14" ht="27" customHeight="1" x14ac:dyDescent="0.3">
      <c r="H262" s="1">
        <f>0.14*Table118192023103031323[[#This Row],[النولون]]</f>
        <v>0</v>
      </c>
      <c r="J262" s="1">
        <f>Table118192023103031323[[#This Row],[النولون]]+Table118192023103031323[[#This Row],[الايصالات]]+Table118192023103031323[[#This Row],[قيمة مضافة]]</f>
        <v>0</v>
      </c>
      <c r="L262" s="1">
        <f>L261+Table118192023103031323[[#This Row],[اجمالي الفاتوره]]-Table118192023103031323[[#This Row],[الدفعات]]</f>
        <v>0</v>
      </c>
      <c r="N262" s="48"/>
    </row>
    <row r="263" spans="8:14" ht="27" customHeight="1" x14ac:dyDescent="0.3">
      <c r="H263" s="1">
        <f>0.14*Table118192023103031323[[#This Row],[النولون]]</f>
        <v>0</v>
      </c>
      <c r="J263" s="1">
        <f>Table118192023103031323[[#This Row],[النولون]]+Table118192023103031323[[#This Row],[الايصالات]]+Table118192023103031323[[#This Row],[قيمة مضافة]]</f>
        <v>0</v>
      </c>
      <c r="L263" s="1">
        <f>L262+Table118192023103031323[[#This Row],[اجمالي الفاتوره]]-Table118192023103031323[[#This Row],[الدفعات]]</f>
        <v>0</v>
      </c>
      <c r="N263" s="48"/>
    </row>
    <row r="264" spans="8:14" ht="27" customHeight="1" x14ac:dyDescent="0.3">
      <c r="H264" s="1">
        <f>0.14*Table118192023103031323[[#This Row],[النولون]]</f>
        <v>0</v>
      </c>
      <c r="J264" s="1">
        <f>Table118192023103031323[[#This Row],[النولون]]+Table118192023103031323[[#This Row],[الايصالات]]+Table118192023103031323[[#This Row],[قيمة مضافة]]</f>
        <v>0</v>
      </c>
      <c r="L264" s="1">
        <f>L263+Table118192023103031323[[#This Row],[اجمالي الفاتوره]]-Table118192023103031323[[#This Row],[الدفعات]]</f>
        <v>0</v>
      </c>
      <c r="N264" s="48"/>
    </row>
    <row r="265" spans="8:14" ht="27" customHeight="1" x14ac:dyDescent="0.3">
      <c r="H265" s="1">
        <f>0.14*Table118192023103031323[[#This Row],[النولون]]</f>
        <v>0</v>
      </c>
      <c r="J265" s="1">
        <f>Table118192023103031323[[#This Row],[النولون]]+Table118192023103031323[[#This Row],[الايصالات]]+Table118192023103031323[[#This Row],[قيمة مضافة]]</f>
        <v>0</v>
      </c>
      <c r="L265" s="1">
        <f>L264+Table118192023103031323[[#This Row],[اجمالي الفاتوره]]-Table118192023103031323[[#This Row],[الدفعات]]</f>
        <v>0</v>
      </c>
      <c r="N265" s="48"/>
    </row>
    <row r="266" spans="8:14" ht="27" customHeight="1" x14ac:dyDescent="0.3">
      <c r="H266" s="1">
        <f>0.14*Table118192023103031323[[#This Row],[النولون]]</f>
        <v>0</v>
      </c>
      <c r="J266" s="1">
        <f>Table118192023103031323[[#This Row],[النولون]]+Table118192023103031323[[#This Row],[الايصالات]]+Table118192023103031323[[#This Row],[قيمة مضافة]]</f>
        <v>0</v>
      </c>
      <c r="L266" s="1">
        <f>L265+Table118192023103031323[[#This Row],[اجمالي الفاتوره]]-Table118192023103031323[[#This Row],[الدفعات]]</f>
        <v>0</v>
      </c>
      <c r="N266" s="48"/>
    </row>
    <row r="267" spans="8:14" ht="27" customHeight="1" x14ac:dyDescent="0.3">
      <c r="H267" s="1">
        <f>0.14*Table118192023103031323[[#This Row],[النولون]]</f>
        <v>0</v>
      </c>
      <c r="J267" s="1">
        <f>Table118192023103031323[[#This Row],[النولون]]+Table118192023103031323[[#This Row],[الايصالات]]+Table118192023103031323[[#This Row],[قيمة مضافة]]</f>
        <v>0</v>
      </c>
      <c r="L267" s="1">
        <f>L266+Table118192023103031323[[#This Row],[اجمالي الفاتوره]]-Table118192023103031323[[#This Row],[الدفعات]]</f>
        <v>0</v>
      </c>
      <c r="N267" s="48"/>
    </row>
    <row r="268" spans="8:14" ht="27" customHeight="1" x14ac:dyDescent="0.3">
      <c r="H268" s="1">
        <f>0.14*Table118192023103031323[[#This Row],[النولون]]</f>
        <v>0</v>
      </c>
      <c r="J268" s="1">
        <f>Table118192023103031323[[#This Row],[النولون]]+Table118192023103031323[[#This Row],[الايصالات]]+Table118192023103031323[[#This Row],[قيمة مضافة]]</f>
        <v>0</v>
      </c>
      <c r="L268" s="1">
        <f>L267+Table118192023103031323[[#This Row],[اجمالي الفاتوره]]-Table118192023103031323[[#This Row],[الدفعات]]</f>
        <v>0</v>
      </c>
      <c r="N268" s="48"/>
    </row>
    <row r="269" spans="8:14" ht="27" customHeight="1" x14ac:dyDescent="0.3">
      <c r="H269" s="1">
        <f>0.14*Table118192023103031323[[#This Row],[النولون]]</f>
        <v>0</v>
      </c>
      <c r="J269" s="1">
        <f>Table118192023103031323[[#This Row],[النولون]]+Table118192023103031323[[#This Row],[الايصالات]]+Table118192023103031323[[#This Row],[قيمة مضافة]]</f>
        <v>0</v>
      </c>
      <c r="L269" s="1">
        <f>L268+Table118192023103031323[[#This Row],[اجمالي الفاتوره]]-Table118192023103031323[[#This Row],[الدفعات]]</f>
        <v>0</v>
      </c>
      <c r="N269" s="48"/>
    </row>
    <row r="270" spans="8:14" ht="27" customHeight="1" x14ac:dyDescent="0.3">
      <c r="H270" s="1">
        <f>0.14*Table118192023103031323[[#This Row],[النولون]]</f>
        <v>0</v>
      </c>
      <c r="J270" s="1">
        <f>Table118192023103031323[[#This Row],[النولون]]+Table118192023103031323[[#This Row],[الايصالات]]+Table118192023103031323[[#This Row],[قيمة مضافة]]</f>
        <v>0</v>
      </c>
      <c r="L270" s="1">
        <f>L269+Table118192023103031323[[#This Row],[اجمالي الفاتوره]]-Table118192023103031323[[#This Row],[الدفعات]]</f>
        <v>0</v>
      </c>
      <c r="N270" s="48"/>
    </row>
    <row r="271" spans="8:14" ht="27" customHeight="1" x14ac:dyDescent="0.3">
      <c r="H271" s="1">
        <f>0.14*Table118192023103031323[[#This Row],[النولون]]</f>
        <v>0</v>
      </c>
      <c r="J271" s="1">
        <f>Table118192023103031323[[#This Row],[النولون]]+Table118192023103031323[[#This Row],[الايصالات]]+Table118192023103031323[[#This Row],[قيمة مضافة]]</f>
        <v>0</v>
      </c>
      <c r="L271" s="1">
        <f>L270+Table118192023103031323[[#This Row],[اجمالي الفاتوره]]-Table118192023103031323[[#This Row],[الدفعات]]</f>
        <v>0</v>
      </c>
      <c r="N271" s="48"/>
    </row>
    <row r="272" spans="8:14" ht="27" customHeight="1" x14ac:dyDescent="0.3">
      <c r="H272" s="1">
        <f>0.14*Table118192023103031323[[#This Row],[النولون]]</f>
        <v>0</v>
      </c>
      <c r="J272" s="1">
        <f>Table118192023103031323[[#This Row],[النولون]]+Table118192023103031323[[#This Row],[الايصالات]]+Table118192023103031323[[#This Row],[قيمة مضافة]]</f>
        <v>0</v>
      </c>
      <c r="L272" s="1">
        <f>L271+Table118192023103031323[[#This Row],[اجمالي الفاتوره]]-Table118192023103031323[[#This Row],[الدفعات]]</f>
        <v>0</v>
      </c>
      <c r="N272" s="48"/>
    </row>
    <row r="273" spans="8:14" ht="27" customHeight="1" x14ac:dyDescent="0.3">
      <c r="H273" s="1">
        <f>0.14*Table118192023103031323[[#This Row],[النولون]]</f>
        <v>0</v>
      </c>
      <c r="J273" s="1">
        <f>Table118192023103031323[[#This Row],[النولون]]+Table118192023103031323[[#This Row],[الايصالات]]+Table118192023103031323[[#This Row],[قيمة مضافة]]</f>
        <v>0</v>
      </c>
      <c r="L273" s="1">
        <f>L272+Table118192023103031323[[#This Row],[اجمالي الفاتوره]]-Table118192023103031323[[#This Row],[الدفعات]]</f>
        <v>0</v>
      </c>
      <c r="N273" s="48"/>
    </row>
    <row r="274" spans="8:14" ht="27" customHeight="1" x14ac:dyDescent="0.3">
      <c r="H274" s="1">
        <f>0.14*Table118192023103031323[[#This Row],[النولون]]</f>
        <v>0</v>
      </c>
      <c r="J274" s="1">
        <f>Table118192023103031323[[#This Row],[النولون]]+Table118192023103031323[[#This Row],[الايصالات]]+Table118192023103031323[[#This Row],[قيمة مضافة]]</f>
        <v>0</v>
      </c>
      <c r="L274" s="1">
        <f>L273+Table118192023103031323[[#This Row],[اجمالي الفاتوره]]-Table118192023103031323[[#This Row],[الدفعات]]</f>
        <v>0</v>
      </c>
      <c r="N274" s="48"/>
    </row>
    <row r="275" spans="8:14" ht="27" customHeight="1" x14ac:dyDescent="0.3">
      <c r="H275" s="1">
        <f>0.14*Table118192023103031323[[#This Row],[النولون]]</f>
        <v>0</v>
      </c>
      <c r="J275" s="1">
        <f>Table118192023103031323[[#This Row],[النولون]]+Table118192023103031323[[#This Row],[الايصالات]]+Table118192023103031323[[#This Row],[قيمة مضافة]]</f>
        <v>0</v>
      </c>
      <c r="L275" s="1">
        <f>L274+Table118192023103031323[[#This Row],[اجمالي الفاتوره]]-Table118192023103031323[[#This Row],[الدفعات]]</f>
        <v>0</v>
      </c>
      <c r="N275" s="48"/>
    </row>
    <row r="276" spans="8:14" ht="27" customHeight="1" x14ac:dyDescent="0.3">
      <c r="H276" s="1">
        <f>0.14*Table118192023103031323[[#This Row],[النولون]]</f>
        <v>0</v>
      </c>
      <c r="J276" s="1">
        <f>Table118192023103031323[[#This Row],[النولون]]+Table118192023103031323[[#This Row],[الايصالات]]+Table118192023103031323[[#This Row],[قيمة مضافة]]</f>
        <v>0</v>
      </c>
      <c r="L276" s="1">
        <f>L275+Table118192023103031323[[#This Row],[اجمالي الفاتوره]]-Table118192023103031323[[#This Row],[الدفعات]]</f>
        <v>0</v>
      </c>
      <c r="N276" s="48"/>
    </row>
    <row r="277" spans="8:14" ht="27" customHeight="1" x14ac:dyDescent="0.3">
      <c r="H277" s="1">
        <f>0.14*Table118192023103031323[[#This Row],[النولون]]</f>
        <v>0</v>
      </c>
      <c r="J277" s="1">
        <f>Table118192023103031323[[#This Row],[النولون]]+Table118192023103031323[[#This Row],[الايصالات]]+Table118192023103031323[[#This Row],[قيمة مضافة]]</f>
        <v>0</v>
      </c>
      <c r="L277" s="1">
        <f>L276+Table118192023103031323[[#This Row],[اجمالي الفاتوره]]-Table118192023103031323[[#This Row],[الدفعات]]</f>
        <v>0</v>
      </c>
      <c r="N277" s="48"/>
    </row>
    <row r="278" spans="8:14" ht="27" customHeight="1" x14ac:dyDescent="0.3">
      <c r="H278" s="1">
        <f>0.14*Table118192023103031323[[#This Row],[النولون]]</f>
        <v>0</v>
      </c>
      <c r="J278" s="1">
        <f>Table118192023103031323[[#This Row],[النولون]]+Table118192023103031323[[#This Row],[الايصالات]]+Table118192023103031323[[#This Row],[قيمة مضافة]]</f>
        <v>0</v>
      </c>
      <c r="L278" s="1">
        <f>L277+Table118192023103031323[[#This Row],[اجمالي الفاتوره]]-Table118192023103031323[[#This Row],[الدفعات]]</f>
        <v>0</v>
      </c>
      <c r="N278" s="48"/>
    </row>
    <row r="279" spans="8:14" ht="27" customHeight="1" x14ac:dyDescent="0.3">
      <c r="H279" s="1">
        <f>0.14*Table118192023103031323[[#This Row],[النولون]]</f>
        <v>0</v>
      </c>
      <c r="J279" s="1">
        <f>Table118192023103031323[[#This Row],[النولون]]+Table118192023103031323[[#This Row],[الايصالات]]+Table118192023103031323[[#This Row],[قيمة مضافة]]</f>
        <v>0</v>
      </c>
      <c r="L279" s="1">
        <f>L278+Table118192023103031323[[#This Row],[اجمالي الفاتوره]]-Table118192023103031323[[#This Row],[الدفعات]]</f>
        <v>0</v>
      </c>
      <c r="N279" s="48"/>
    </row>
    <row r="280" spans="8:14" ht="27" customHeight="1" x14ac:dyDescent="0.3">
      <c r="H280" s="1">
        <f>0.14*Table118192023103031323[[#This Row],[النولون]]</f>
        <v>0</v>
      </c>
      <c r="J280" s="1">
        <f>Table118192023103031323[[#This Row],[النولون]]+Table118192023103031323[[#This Row],[الايصالات]]+Table118192023103031323[[#This Row],[قيمة مضافة]]</f>
        <v>0</v>
      </c>
      <c r="L280" s="1">
        <f>L279+Table118192023103031323[[#This Row],[اجمالي الفاتوره]]-Table118192023103031323[[#This Row],[الدفعات]]</f>
        <v>0</v>
      </c>
      <c r="N280" s="48"/>
    </row>
    <row r="281" spans="8:14" ht="27" customHeight="1" x14ac:dyDescent="0.3">
      <c r="H281" s="1">
        <f>0.14*Table118192023103031323[[#This Row],[النولون]]</f>
        <v>0</v>
      </c>
      <c r="J281" s="1">
        <f>Table118192023103031323[[#This Row],[النولون]]+Table118192023103031323[[#This Row],[الايصالات]]+Table118192023103031323[[#This Row],[قيمة مضافة]]</f>
        <v>0</v>
      </c>
      <c r="L281" s="1">
        <f>L280+Table118192023103031323[[#This Row],[اجمالي الفاتوره]]-Table118192023103031323[[#This Row],[الدفعات]]</f>
        <v>0</v>
      </c>
      <c r="N281" s="48"/>
    </row>
    <row r="282" spans="8:14" ht="27" customHeight="1" x14ac:dyDescent="0.3">
      <c r="H282" s="1">
        <f>0.14*Table118192023103031323[[#This Row],[النولون]]</f>
        <v>0</v>
      </c>
      <c r="J282" s="1">
        <f>Table118192023103031323[[#This Row],[النولون]]+Table118192023103031323[[#This Row],[الايصالات]]+Table118192023103031323[[#This Row],[قيمة مضافة]]</f>
        <v>0</v>
      </c>
      <c r="L282" s="1">
        <f>L281+Table118192023103031323[[#This Row],[اجمالي الفاتوره]]-Table118192023103031323[[#This Row],[الدفعات]]</f>
        <v>0</v>
      </c>
      <c r="N282" s="48"/>
    </row>
    <row r="283" spans="8:14" ht="27" customHeight="1" x14ac:dyDescent="0.3">
      <c r="H283" s="1">
        <f>0.14*Table118192023103031323[[#This Row],[النولون]]</f>
        <v>0</v>
      </c>
      <c r="J283" s="1">
        <f>Table118192023103031323[[#This Row],[النولون]]+Table118192023103031323[[#This Row],[الايصالات]]+Table118192023103031323[[#This Row],[قيمة مضافة]]</f>
        <v>0</v>
      </c>
      <c r="L283" s="1">
        <f>L282+Table118192023103031323[[#This Row],[اجمالي الفاتوره]]-Table118192023103031323[[#This Row],[الدفعات]]</f>
        <v>0</v>
      </c>
      <c r="N283" s="48"/>
    </row>
    <row r="284" spans="8:14" ht="27" customHeight="1" x14ac:dyDescent="0.3">
      <c r="H284" s="1">
        <f>0.14*Table118192023103031323[[#This Row],[النولون]]</f>
        <v>0</v>
      </c>
      <c r="J284" s="1">
        <f>Table118192023103031323[[#This Row],[النولون]]+Table118192023103031323[[#This Row],[الايصالات]]+Table118192023103031323[[#This Row],[قيمة مضافة]]</f>
        <v>0</v>
      </c>
      <c r="L284" s="1">
        <f>L283+Table118192023103031323[[#This Row],[اجمالي الفاتوره]]-Table118192023103031323[[#This Row],[الدفعات]]</f>
        <v>0</v>
      </c>
      <c r="N284" s="48"/>
    </row>
    <row r="285" spans="8:14" ht="27" customHeight="1" x14ac:dyDescent="0.3">
      <c r="H285" s="1">
        <f>0.14*Table118192023103031323[[#This Row],[النولون]]</f>
        <v>0</v>
      </c>
      <c r="J285" s="1">
        <f>Table118192023103031323[[#This Row],[النولون]]+Table118192023103031323[[#This Row],[الايصالات]]+Table118192023103031323[[#This Row],[قيمة مضافة]]</f>
        <v>0</v>
      </c>
      <c r="L285" s="1">
        <f>L284+Table118192023103031323[[#This Row],[اجمالي الفاتوره]]-Table118192023103031323[[#This Row],[الدفعات]]</f>
        <v>0</v>
      </c>
      <c r="N285" s="48"/>
    </row>
    <row r="286" spans="8:14" ht="27" customHeight="1" x14ac:dyDescent="0.3">
      <c r="H286" s="1">
        <f>0.14*Table118192023103031323[[#This Row],[النولون]]</f>
        <v>0</v>
      </c>
      <c r="J286" s="1">
        <f>Table118192023103031323[[#This Row],[النولون]]+Table118192023103031323[[#This Row],[الايصالات]]+Table118192023103031323[[#This Row],[قيمة مضافة]]</f>
        <v>0</v>
      </c>
      <c r="L286" s="1">
        <f>L285+Table118192023103031323[[#This Row],[اجمالي الفاتوره]]-Table118192023103031323[[#This Row],[الدفعات]]</f>
        <v>0</v>
      </c>
      <c r="N286" s="48"/>
    </row>
    <row r="287" spans="8:14" ht="27" customHeight="1" x14ac:dyDescent="0.3">
      <c r="H287" s="1">
        <f>0.14*Table118192023103031323[[#This Row],[النولون]]</f>
        <v>0</v>
      </c>
      <c r="J287" s="1">
        <f>Table118192023103031323[[#This Row],[النولون]]+Table118192023103031323[[#This Row],[الايصالات]]+Table118192023103031323[[#This Row],[قيمة مضافة]]</f>
        <v>0</v>
      </c>
      <c r="L287" s="1">
        <f>L286+Table118192023103031323[[#This Row],[اجمالي الفاتوره]]-Table118192023103031323[[#This Row],[الدفعات]]</f>
        <v>0</v>
      </c>
      <c r="N287" s="48"/>
    </row>
    <row r="288" spans="8:14" ht="27" customHeight="1" x14ac:dyDescent="0.3">
      <c r="H288" s="1">
        <f>0.14*Table118192023103031323[[#This Row],[النولون]]</f>
        <v>0</v>
      </c>
      <c r="J288" s="1">
        <f>Table118192023103031323[[#This Row],[النولون]]+Table118192023103031323[[#This Row],[الايصالات]]+Table118192023103031323[[#This Row],[قيمة مضافة]]</f>
        <v>0</v>
      </c>
      <c r="L288" s="1">
        <f>L287+Table118192023103031323[[#This Row],[اجمالي الفاتوره]]-Table118192023103031323[[#This Row],[الدفعات]]</f>
        <v>0</v>
      </c>
      <c r="N288" s="48"/>
    </row>
    <row r="289" spans="8:14" ht="27" customHeight="1" x14ac:dyDescent="0.3">
      <c r="H289" s="1">
        <f>0.14*Table118192023103031323[[#This Row],[النولون]]</f>
        <v>0</v>
      </c>
      <c r="J289" s="1">
        <f>Table118192023103031323[[#This Row],[النولون]]+Table118192023103031323[[#This Row],[الايصالات]]+Table118192023103031323[[#This Row],[قيمة مضافة]]</f>
        <v>0</v>
      </c>
      <c r="L289" s="1">
        <f>L288+Table118192023103031323[[#This Row],[اجمالي الفاتوره]]-Table118192023103031323[[#This Row],[الدفعات]]</f>
        <v>0</v>
      </c>
      <c r="N289" s="48"/>
    </row>
    <row r="290" spans="8:14" ht="27" customHeight="1" x14ac:dyDescent="0.3">
      <c r="H290" s="1">
        <f>0.14*Table118192023103031323[[#This Row],[النولون]]</f>
        <v>0</v>
      </c>
      <c r="J290" s="1">
        <f>Table118192023103031323[[#This Row],[النولون]]+Table118192023103031323[[#This Row],[الايصالات]]+Table118192023103031323[[#This Row],[قيمة مضافة]]</f>
        <v>0</v>
      </c>
      <c r="L290" s="1">
        <f>L289+Table118192023103031323[[#This Row],[اجمالي الفاتوره]]-Table118192023103031323[[#This Row],[الدفعات]]</f>
        <v>0</v>
      </c>
      <c r="N290" s="48"/>
    </row>
    <row r="291" spans="8:14" ht="27" customHeight="1" x14ac:dyDescent="0.3">
      <c r="H291" s="1">
        <f>0.14*Table118192023103031323[[#This Row],[النولون]]</f>
        <v>0</v>
      </c>
      <c r="J291" s="1">
        <f>Table118192023103031323[[#This Row],[النولون]]+Table118192023103031323[[#This Row],[الايصالات]]+Table118192023103031323[[#This Row],[قيمة مضافة]]</f>
        <v>0</v>
      </c>
      <c r="L291" s="1">
        <f>L290+Table118192023103031323[[#This Row],[اجمالي الفاتوره]]-Table118192023103031323[[#This Row],[الدفعات]]</f>
        <v>0</v>
      </c>
      <c r="N291" s="48"/>
    </row>
    <row r="292" spans="8:14" ht="27" customHeight="1" x14ac:dyDescent="0.3">
      <c r="H292" s="1">
        <f>0.14*Table118192023103031323[[#This Row],[النولون]]</f>
        <v>0</v>
      </c>
      <c r="J292" s="1">
        <f>Table118192023103031323[[#This Row],[النولون]]+Table118192023103031323[[#This Row],[الايصالات]]+Table118192023103031323[[#This Row],[قيمة مضافة]]</f>
        <v>0</v>
      </c>
      <c r="L292" s="1">
        <f>L291+Table118192023103031323[[#This Row],[اجمالي الفاتوره]]-Table118192023103031323[[#This Row],[الدفعات]]</f>
        <v>0</v>
      </c>
      <c r="N292" s="48"/>
    </row>
    <row r="293" spans="8:14" ht="27" customHeight="1" x14ac:dyDescent="0.3">
      <c r="H293" s="1">
        <f>0.14*Table118192023103031323[[#This Row],[النولون]]</f>
        <v>0</v>
      </c>
      <c r="J293" s="1">
        <f>Table118192023103031323[[#This Row],[النولون]]+Table118192023103031323[[#This Row],[الايصالات]]+Table118192023103031323[[#This Row],[قيمة مضافة]]</f>
        <v>0</v>
      </c>
      <c r="L293" s="1">
        <f>L292+Table118192023103031323[[#This Row],[اجمالي الفاتوره]]-Table118192023103031323[[#This Row],[الدفعات]]</f>
        <v>0</v>
      </c>
      <c r="N293" s="48"/>
    </row>
    <row r="294" spans="8:14" ht="27" customHeight="1" x14ac:dyDescent="0.3">
      <c r="H294" s="1">
        <f>0.14*Table118192023103031323[[#This Row],[النولون]]</f>
        <v>0</v>
      </c>
      <c r="J294" s="1">
        <f>Table118192023103031323[[#This Row],[النولون]]+Table118192023103031323[[#This Row],[الايصالات]]+Table118192023103031323[[#This Row],[قيمة مضافة]]</f>
        <v>0</v>
      </c>
      <c r="L294" s="1">
        <f>L293+Table118192023103031323[[#This Row],[اجمالي الفاتوره]]-Table118192023103031323[[#This Row],[الدفعات]]</f>
        <v>0</v>
      </c>
      <c r="N294" s="48"/>
    </row>
    <row r="295" spans="8:14" ht="27" customHeight="1" x14ac:dyDescent="0.3">
      <c r="H295" s="1">
        <f>0.14*Table118192023103031323[[#This Row],[النولون]]</f>
        <v>0</v>
      </c>
      <c r="J295" s="1">
        <f>Table118192023103031323[[#This Row],[النولون]]+Table118192023103031323[[#This Row],[الايصالات]]+Table118192023103031323[[#This Row],[قيمة مضافة]]</f>
        <v>0</v>
      </c>
      <c r="L295" s="1">
        <f>L294+Table118192023103031323[[#This Row],[اجمالي الفاتوره]]-Table118192023103031323[[#This Row],[الدفعات]]</f>
        <v>0</v>
      </c>
      <c r="N295" s="48"/>
    </row>
    <row r="296" spans="8:14" ht="27" customHeight="1" x14ac:dyDescent="0.3">
      <c r="H296" s="1">
        <f>0.14*Table118192023103031323[[#This Row],[النولون]]</f>
        <v>0</v>
      </c>
      <c r="J296" s="1">
        <f>Table118192023103031323[[#This Row],[النولون]]+Table118192023103031323[[#This Row],[الايصالات]]+Table118192023103031323[[#This Row],[قيمة مضافة]]</f>
        <v>0</v>
      </c>
      <c r="L296" s="1">
        <f>L295+Table118192023103031323[[#This Row],[اجمالي الفاتوره]]-Table118192023103031323[[#This Row],[الدفعات]]</f>
        <v>0</v>
      </c>
      <c r="N296" s="48"/>
    </row>
    <row r="297" spans="8:14" ht="27" customHeight="1" x14ac:dyDescent="0.3">
      <c r="H297" s="1">
        <f>0.14*Table118192023103031323[[#This Row],[النولون]]</f>
        <v>0</v>
      </c>
      <c r="J297" s="1">
        <f>Table118192023103031323[[#This Row],[النولون]]+Table118192023103031323[[#This Row],[الايصالات]]+Table118192023103031323[[#This Row],[قيمة مضافة]]</f>
        <v>0</v>
      </c>
      <c r="L297" s="1">
        <f>L296+Table118192023103031323[[#This Row],[اجمالي الفاتوره]]-Table118192023103031323[[#This Row],[الدفعات]]</f>
        <v>0</v>
      </c>
      <c r="N297" s="48"/>
    </row>
    <row r="298" spans="8:14" ht="27" customHeight="1" x14ac:dyDescent="0.3">
      <c r="H298" s="1">
        <f>0.14*Table118192023103031323[[#This Row],[النولون]]</f>
        <v>0</v>
      </c>
      <c r="J298" s="1">
        <f>Table118192023103031323[[#This Row],[النولون]]+Table118192023103031323[[#This Row],[الايصالات]]+Table118192023103031323[[#This Row],[قيمة مضافة]]</f>
        <v>0</v>
      </c>
      <c r="L298" s="1">
        <f>L297+Table118192023103031323[[#This Row],[اجمالي الفاتوره]]-Table118192023103031323[[#This Row],[الدفعات]]</f>
        <v>0</v>
      </c>
      <c r="N298" s="48"/>
    </row>
    <row r="299" spans="8:14" ht="27" customHeight="1" x14ac:dyDescent="0.3">
      <c r="H299" s="1">
        <f>0.14*Table118192023103031323[[#This Row],[النولون]]</f>
        <v>0</v>
      </c>
      <c r="J299" s="1">
        <f>Table118192023103031323[[#This Row],[النولون]]+Table118192023103031323[[#This Row],[الايصالات]]+Table118192023103031323[[#This Row],[قيمة مضافة]]</f>
        <v>0</v>
      </c>
      <c r="L299" s="1">
        <f>L298+Table118192023103031323[[#This Row],[اجمالي الفاتوره]]-Table118192023103031323[[#This Row],[الدفعات]]</f>
        <v>0</v>
      </c>
      <c r="N299" s="48"/>
    </row>
    <row r="300" spans="8:14" ht="27" customHeight="1" x14ac:dyDescent="0.3">
      <c r="H300" s="1">
        <f>0.14*Table118192023103031323[[#This Row],[النولون]]</f>
        <v>0</v>
      </c>
      <c r="J300" s="1">
        <f>Table118192023103031323[[#This Row],[النولون]]+Table118192023103031323[[#This Row],[الايصالات]]+Table118192023103031323[[#This Row],[قيمة مضافة]]</f>
        <v>0</v>
      </c>
      <c r="L300" s="1">
        <f>L299+Table118192023103031323[[#This Row],[اجمالي الفاتوره]]-Table118192023103031323[[#This Row],[الدفعات]]</f>
        <v>0</v>
      </c>
      <c r="N300" s="48"/>
    </row>
    <row r="301" spans="8:14" ht="27" customHeight="1" x14ac:dyDescent="0.3">
      <c r="H301" s="1">
        <f>0.14*Table118192023103031323[[#This Row],[النولون]]</f>
        <v>0</v>
      </c>
      <c r="J301" s="1">
        <f>Table118192023103031323[[#This Row],[النولون]]+Table118192023103031323[[#This Row],[الايصالات]]+Table118192023103031323[[#This Row],[قيمة مضافة]]</f>
        <v>0</v>
      </c>
      <c r="L301" s="1">
        <f>L300+Table118192023103031323[[#This Row],[اجمالي الفاتوره]]-Table118192023103031323[[#This Row],[الدفعات]]</f>
        <v>0</v>
      </c>
      <c r="N301" s="48"/>
    </row>
    <row r="302" spans="8:14" ht="27" customHeight="1" x14ac:dyDescent="0.3">
      <c r="H302" s="1">
        <f>0.14*Table118192023103031323[[#This Row],[النولون]]</f>
        <v>0</v>
      </c>
      <c r="J302" s="1">
        <f>Table118192023103031323[[#This Row],[النولون]]+Table118192023103031323[[#This Row],[الايصالات]]+Table118192023103031323[[#This Row],[قيمة مضافة]]</f>
        <v>0</v>
      </c>
      <c r="L302" s="1">
        <f>L301+Table118192023103031323[[#This Row],[اجمالي الفاتوره]]-Table118192023103031323[[#This Row],[الدفعات]]</f>
        <v>0</v>
      </c>
      <c r="N302" s="48"/>
    </row>
    <row r="303" spans="8:14" ht="27" customHeight="1" x14ac:dyDescent="0.3">
      <c r="H303" s="1">
        <f>0.14*Table118192023103031323[[#This Row],[النولون]]</f>
        <v>0</v>
      </c>
      <c r="J303" s="1">
        <f>Table118192023103031323[[#This Row],[النولون]]+Table118192023103031323[[#This Row],[الايصالات]]+Table118192023103031323[[#This Row],[قيمة مضافة]]</f>
        <v>0</v>
      </c>
      <c r="L303" s="1">
        <f>L302+Table118192023103031323[[#This Row],[اجمالي الفاتوره]]-Table118192023103031323[[#This Row],[الدفعات]]</f>
        <v>0</v>
      </c>
      <c r="N303" s="48"/>
    </row>
    <row r="304" spans="8:14" ht="27" customHeight="1" x14ac:dyDescent="0.3">
      <c r="H304" s="1">
        <f>0.14*Table118192023103031323[[#This Row],[النولون]]</f>
        <v>0</v>
      </c>
      <c r="J304" s="1">
        <f>Table118192023103031323[[#This Row],[النولون]]+Table118192023103031323[[#This Row],[الايصالات]]+Table118192023103031323[[#This Row],[قيمة مضافة]]</f>
        <v>0</v>
      </c>
      <c r="L304" s="1">
        <f>L303+Table118192023103031323[[#This Row],[اجمالي الفاتوره]]-Table118192023103031323[[#This Row],[الدفعات]]</f>
        <v>0</v>
      </c>
      <c r="N304" s="48"/>
    </row>
    <row r="305" spans="8:14" ht="27" customHeight="1" x14ac:dyDescent="0.3">
      <c r="H305" s="1">
        <f>0.14*Table118192023103031323[[#This Row],[النولون]]</f>
        <v>0</v>
      </c>
      <c r="J305" s="1">
        <f>Table118192023103031323[[#This Row],[النولون]]+Table118192023103031323[[#This Row],[الايصالات]]+Table118192023103031323[[#This Row],[قيمة مضافة]]</f>
        <v>0</v>
      </c>
      <c r="L305" s="1">
        <f>L304+Table118192023103031323[[#This Row],[اجمالي الفاتوره]]-Table118192023103031323[[#This Row],[الدفعات]]</f>
        <v>0</v>
      </c>
      <c r="N305" s="48"/>
    </row>
    <row r="306" spans="8:14" ht="27" customHeight="1" x14ac:dyDescent="0.3">
      <c r="H306" s="1">
        <f>0.14*Table118192023103031323[[#This Row],[النولون]]</f>
        <v>0</v>
      </c>
      <c r="J306" s="1">
        <f>Table118192023103031323[[#This Row],[النولون]]+Table118192023103031323[[#This Row],[الايصالات]]+Table118192023103031323[[#This Row],[قيمة مضافة]]</f>
        <v>0</v>
      </c>
      <c r="L306" s="1">
        <f>L305+Table118192023103031323[[#This Row],[اجمالي الفاتوره]]-Table118192023103031323[[#This Row],[الدفعات]]</f>
        <v>0</v>
      </c>
      <c r="N306" s="48"/>
    </row>
    <row r="307" spans="8:14" ht="27" customHeight="1" x14ac:dyDescent="0.3">
      <c r="H307" s="1">
        <f>0.14*Table118192023103031323[[#This Row],[النولون]]</f>
        <v>0</v>
      </c>
      <c r="J307" s="1">
        <f>Table118192023103031323[[#This Row],[النولون]]+Table118192023103031323[[#This Row],[الايصالات]]+Table118192023103031323[[#This Row],[قيمة مضافة]]</f>
        <v>0</v>
      </c>
      <c r="L307" s="1">
        <f>L306+Table118192023103031323[[#This Row],[اجمالي الفاتوره]]-Table118192023103031323[[#This Row],[الدفعات]]</f>
        <v>0</v>
      </c>
      <c r="N307" s="48"/>
    </row>
    <row r="308" spans="8:14" ht="27" customHeight="1" x14ac:dyDescent="0.3">
      <c r="H308" s="1">
        <f>0.14*Table118192023103031323[[#This Row],[النولون]]</f>
        <v>0</v>
      </c>
      <c r="J308" s="1">
        <f>Table118192023103031323[[#This Row],[النولون]]+Table118192023103031323[[#This Row],[الايصالات]]+Table118192023103031323[[#This Row],[قيمة مضافة]]</f>
        <v>0</v>
      </c>
      <c r="L308" s="1">
        <f>L307+Table118192023103031323[[#This Row],[اجمالي الفاتوره]]-Table118192023103031323[[#This Row],[الدفعات]]</f>
        <v>0</v>
      </c>
      <c r="N308" s="48"/>
    </row>
    <row r="309" spans="8:14" ht="27" customHeight="1" x14ac:dyDescent="0.3">
      <c r="H309" s="1">
        <f>0.14*Table118192023103031323[[#This Row],[النولون]]</f>
        <v>0</v>
      </c>
      <c r="J309" s="1">
        <f>Table118192023103031323[[#This Row],[النولون]]+Table118192023103031323[[#This Row],[الايصالات]]+Table118192023103031323[[#This Row],[قيمة مضافة]]</f>
        <v>0</v>
      </c>
      <c r="L309" s="1">
        <f>L308+Table118192023103031323[[#This Row],[اجمالي الفاتوره]]-Table118192023103031323[[#This Row],[الدفعات]]</f>
        <v>0</v>
      </c>
      <c r="N309" s="48"/>
    </row>
    <row r="310" spans="8:14" ht="27" customHeight="1" x14ac:dyDescent="0.3">
      <c r="H310" s="1">
        <f>0.14*Table118192023103031323[[#This Row],[النولون]]</f>
        <v>0</v>
      </c>
      <c r="J310" s="1">
        <f>Table118192023103031323[[#This Row],[النولون]]+Table118192023103031323[[#This Row],[الايصالات]]+Table118192023103031323[[#This Row],[قيمة مضافة]]</f>
        <v>0</v>
      </c>
      <c r="L310" s="1">
        <f>L309+Table118192023103031323[[#This Row],[اجمالي الفاتوره]]-Table118192023103031323[[#This Row],[الدفعات]]</f>
        <v>0</v>
      </c>
      <c r="N310" s="48"/>
    </row>
    <row r="311" spans="8:14" ht="27" customHeight="1" x14ac:dyDescent="0.3">
      <c r="H311" s="1">
        <f>0.14*Table118192023103031323[[#This Row],[النولون]]</f>
        <v>0</v>
      </c>
      <c r="J311" s="1">
        <f>Table118192023103031323[[#This Row],[النولون]]+Table118192023103031323[[#This Row],[الايصالات]]+Table118192023103031323[[#This Row],[قيمة مضافة]]</f>
        <v>0</v>
      </c>
      <c r="L311" s="1">
        <f>L310+Table118192023103031323[[#This Row],[اجمالي الفاتوره]]-Table118192023103031323[[#This Row],[الدفعات]]</f>
        <v>0</v>
      </c>
      <c r="N311" s="48"/>
    </row>
    <row r="312" spans="8:14" ht="27" customHeight="1" x14ac:dyDescent="0.3">
      <c r="H312" s="1">
        <f>0.14*Table118192023103031323[[#This Row],[النولون]]</f>
        <v>0</v>
      </c>
      <c r="J312" s="1">
        <f>Table118192023103031323[[#This Row],[النولون]]+Table118192023103031323[[#This Row],[الايصالات]]+Table118192023103031323[[#This Row],[قيمة مضافة]]</f>
        <v>0</v>
      </c>
      <c r="L312" s="1">
        <f>L311+Table118192023103031323[[#This Row],[اجمالي الفاتوره]]-Table118192023103031323[[#This Row],[الدفعات]]</f>
        <v>0</v>
      </c>
      <c r="N312" s="48"/>
    </row>
    <row r="313" spans="8:14" ht="27" customHeight="1" x14ac:dyDescent="0.3">
      <c r="H313" s="1">
        <f>0.14*Table118192023103031323[[#This Row],[النولون]]</f>
        <v>0</v>
      </c>
      <c r="J313" s="1">
        <f>Table118192023103031323[[#This Row],[النولون]]+Table118192023103031323[[#This Row],[الايصالات]]+Table118192023103031323[[#This Row],[قيمة مضافة]]</f>
        <v>0</v>
      </c>
      <c r="L313" s="1">
        <f>L312+Table118192023103031323[[#This Row],[اجمالي الفاتوره]]-Table118192023103031323[[#This Row],[الدفعات]]</f>
        <v>0</v>
      </c>
      <c r="N313" s="48"/>
    </row>
    <row r="314" spans="8:14" ht="27" customHeight="1" x14ac:dyDescent="0.3">
      <c r="H314" s="1">
        <f>0.14*Table118192023103031323[[#This Row],[النولون]]</f>
        <v>0</v>
      </c>
      <c r="J314" s="1">
        <f>Table118192023103031323[[#This Row],[النولون]]+Table118192023103031323[[#This Row],[الايصالات]]+Table118192023103031323[[#This Row],[قيمة مضافة]]</f>
        <v>0</v>
      </c>
      <c r="L314" s="1">
        <f>L313+Table118192023103031323[[#This Row],[اجمالي الفاتوره]]-Table118192023103031323[[#This Row],[الدفعات]]</f>
        <v>0</v>
      </c>
      <c r="N314" s="48"/>
    </row>
    <row r="315" spans="8:14" ht="27" customHeight="1" x14ac:dyDescent="0.3">
      <c r="H315" s="1">
        <f>0.14*Table118192023103031323[[#This Row],[النولون]]</f>
        <v>0</v>
      </c>
      <c r="J315" s="1">
        <f>Table118192023103031323[[#This Row],[النولون]]+Table118192023103031323[[#This Row],[الايصالات]]+Table118192023103031323[[#This Row],[قيمة مضافة]]</f>
        <v>0</v>
      </c>
      <c r="L315" s="1">
        <f>L314+Table118192023103031323[[#This Row],[اجمالي الفاتوره]]-Table118192023103031323[[#This Row],[الدفعات]]</f>
        <v>0</v>
      </c>
      <c r="N315" s="48"/>
    </row>
    <row r="316" spans="8:14" ht="27" customHeight="1" x14ac:dyDescent="0.3">
      <c r="H316" s="1">
        <f>0.14*Table118192023103031323[[#This Row],[النولون]]</f>
        <v>0</v>
      </c>
      <c r="J316" s="1">
        <f>Table118192023103031323[[#This Row],[النولون]]+Table118192023103031323[[#This Row],[الايصالات]]+Table118192023103031323[[#This Row],[قيمة مضافة]]</f>
        <v>0</v>
      </c>
      <c r="L316" s="1">
        <f>L315+Table118192023103031323[[#This Row],[اجمالي الفاتوره]]-Table118192023103031323[[#This Row],[الدفعات]]</f>
        <v>0</v>
      </c>
      <c r="N316" s="48"/>
    </row>
    <row r="317" spans="8:14" ht="27" customHeight="1" x14ac:dyDescent="0.3">
      <c r="H317" s="1">
        <f>0.14*Table118192023103031323[[#This Row],[النولون]]</f>
        <v>0</v>
      </c>
      <c r="J317" s="1">
        <f>Table118192023103031323[[#This Row],[النولون]]+Table118192023103031323[[#This Row],[الايصالات]]+Table118192023103031323[[#This Row],[قيمة مضافة]]</f>
        <v>0</v>
      </c>
      <c r="L317" s="1">
        <f>L316+Table118192023103031323[[#This Row],[اجمالي الفاتوره]]-Table118192023103031323[[#This Row],[الدفعات]]</f>
        <v>0</v>
      </c>
      <c r="N317" s="48"/>
    </row>
    <row r="318" spans="8:14" ht="27" customHeight="1" x14ac:dyDescent="0.3">
      <c r="H318" s="1">
        <f>0.14*Table118192023103031323[[#This Row],[النولون]]</f>
        <v>0</v>
      </c>
      <c r="J318" s="1">
        <f>Table118192023103031323[[#This Row],[النولون]]+Table118192023103031323[[#This Row],[الايصالات]]+Table118192023103031323[[#This Row],[قيمة مضافة]]</f>
        <v>0</v>
      </c>
      <c r="L318" s="1">
        <f>L317+Table118192023103031323[[#This Row],[اجمالي الفاتوره]]-Table118192023103031323[[#This Row],[الدفعات]]</f>
        <v>0</v>
      </c>
      <c r="N318" s="48"/>
    </row>
    <row r="319" spans="8:14" ht="27" customHeight="1" x14ac:dyDescent="0.3">
      <c r="H319" s="1">
        <f>0.14*Table118192023103031323[[#This Row],[النولون]]</f>
        <v>0</v>
      </c>
      <c r="J319" s="1">
        <f>Table118192023103031323[[#This Row],[النولون]]+Table118192023103031323[[#This Row],[الايصالات]]+Table118192023103031323[[#This Row],[قيمة مضافة]]</f>
        <v>0</v>
      </c>
      <c r="L319" s="1">
        <f>L318+Table118192023103031323[[#This Row],[اجمالي الفاتوره]]-Table118192023103031323[[#This Row],[الدفعات]]</f>
        <v>0</v>
      </c>
      <c r="N319" s="48"/>
    </row>
    <row r="320" spans="8:14" ht="27" customHeight="1" x14ac:dyDescent="0.3">
      <c r="H320" s="1">
        <f>0.14*Table118192023103031323[[#This Row],[النولون]]</f>
        <v>0</v>
      </c>
      <c r="J320" s="1">
        <f>Table118192023103031323[[#This Row],[النولون]]+Table118192023103031323[[#This Row],[الايصالات]]+Table118192023103031323[[#This Row],[قيمة مضافة]]</f>
        <v>0</v>
      </c>
      <c r="L320" s="1">
        <f>L319+Table118192023103031323[[#This Row],[اجمالي الفاتوره]]-Table118192023103031323[[#This Row],[الدفعات]]</f>
        <v>0</v>
      </c>
      <c r="N320" s="48"/>
    </row>
    <row r="321" spans="8:14" ht="27" customHeight="1" x14ac:dyDescent="0.3">
      <c r="H321" s="1">
        <f>0.14*Table118192023103031323[[#This Row],[النولون]]</f>
        <v>0</v>
      </c>
      <c r="J321" s="1">
        <f>Table118192023103031323[[#This Row],[النولون]]+Table118192023103031323[[#This Row],[الايصالات]]+Table118192023103031323[[#This Row],[قيمة مضافة]]</f>
        <v>0</v>
      </c>
      <c r="L321" s="1">
        <f>L320+Table118192023103031323[[#This Row],[اجمالي الفاتوره]]-Table118192023103031323[[#This Row],[الدفعات]]</f>
        <v>0</v>
      </c>
      <c r="N321" s="48"/>
    </row>
    <row r="322" spans="8:14" ht="27" customHeight="1" x14ac:dyDescent="0.3">
      <c r="H322" s="1">
        <f>0.14*Table118192023103031323[[#This Row],[النولون]]</f>
        <v>0</v>
      </c>
      <c r="J322" s="1">
        <f>Table118192023103031323[[#This Row],[النولون]]+Table118192023103031323[[#This Row],[الايصالات]]+Table118192023103031323[[#This Row],[قيمة مضافة]]</f>
        <v>0</v>
      </c>
      <c r="L322" s="1">
        <f>L321+Table118192023103031323[[#This Row],[اجمالي الفاتوره]]-Table118192023103031323[[#This Row],[الدفعات]]</f>
        <v>0</v>
      </c>
      <c r="N322" s="48"/>
    </row>
    <row r="323" spans="8:14" ht="27" customHeight="1" x14ac:dyDescent="0.3">
      <c r="H323" s="1">
        <f>0.14*Table118192023103031323[[#This Row],[النولون]]</f>
        <v>0</v>
      </c>
      <c r="J323" s="1">
        <f>Table118192023103031323[[#This Row],[النولون]]+Table118192023103031323[[#This Row],[الايصالات]]+Table118192023103031323[[#This Row],[قيمة مضافة]]</f>
        <v>0</v>
      </c>
      <c r="L323" s="1">
        <f>L322+Table118192023103031323[[#This Row],[اجمالي الفاتوره]]-Table118192023103031323[[#This Row],[الدفعات]]</f>
        <v>0</v>
      </c>
      <c r="N323" s="48"/>
    </row>
    <row r="324" spans="8:14" ht="27" customHeight="1" x14ac:dyDescent="0.3">
      <c r="H324" s="1">
        <f>0.14*Table118192023103031323[[#This Row],[النولون]]</f>
        <v>0</v>
      </c>
      <c r="J324" s="1">
        <f>Table118192023103031323[[#This Row],[النولون]]+Table118192023103031323[[#This Row],[الايصالات]]+Table118192023103031323[[#This Row],[قيمة مضافة]]</f>
        <v>0</v>
      </c>
      <c r="L324" s="1">
        <f>L323+Table118192023103031323[[#This Row],[اجمالي الفاتوره]]-Table118192023103031323[[#This Row],[الدفعات]]</f>
        <v>0</v>
      </c>
      <c r="N324" s="48"/>
    </row>
    <row r="325" spans="8:14" ht="27" customHeight="1" x14ac:dyDescent="0.3">
      <c r="H325" s="1">
        <f>0.14*Table118192023103031323[[#This Row],[النولون]]</f>
        <v>0</v>
      </c>
      <c r="J325" s="1">
        <f>Table118192023103031323[[#This Row],[النولون]]+Table118192023103031323[[#This Row],[الايصالات]]+Table118192023103031323[[#This Row],[قيمة مضافة]]</f>
        <v>0</v>
      </c>
      <c r="L325" s="1">
        <f>L324+Table118192023103031323[[#This Row],[اجمالي الفاتوره]]-Table118192023103031323[[#This Row],[الدفعات]]</f>
        <v>0</v>
      </c>
      <c r="N325" s="48"/>
    </row>
    <row r="326" spans="8:14" ht="27" customHeight="1" x14ac:dyDescent="0.3">
      <c r="H326" s="1">
        <f>0.14*Table118192023103031323[[#This Row],[النولون]]</f>
        <v>0</v>
      </c>
      <c r="J326" s="1">
        <f>Table118192023103031323[[#This Row],[النولون]]+Table118192023103031323[[#This Row],[الايصالات]]+Table118192023103031323[[#This Row],[قيمة مضافة]]</f>
        <v>0</v>
      </c>
      <c r="L326" s="1">
        <f>L325+Table118192023103031323[[#This Row],[اجمالي الفاتوره]]-Table118192023103031323[[#This Row],[الدفعات]]</f>
        <v>0</v>
      </c>
      <c r="N326" s="48"/>
    </row>
    <row r="327" spans="8:14" ht="27" customHeight="1" x14ac:dyDescent="0.3">
      <c r="H327" s="1">
        <f>0.14*Table118192023103031323[[#This Row],[النولون]]</f>
        <v>0</v>
      </c>
      <c r="J327" s="1">
        <f>Table118192023103031323[[#This Row],[النولون]]+Table118192023103031323[[#This Row],[الايصالات]]+Table118192023103031323[[#This Row],[قيمة مضافة]]</f>
        <v>0</v>
      </c>
      <c r="L327" s="1">
        <f>L326+Table118192023103031323[[#This Row],[اجمالي الفاتوره]]-Table118192023103031323[[#This Row],[الدفعات]]</f>
        <v>0</v>
      </c>
      <c r="N327" s="48"/>
    </row>
    <row r="328" spans="8:14" ht="27" customHeight="1" x14ac:dyDescent="0.3">
      <c r="H328" s="1">
        <f>0.14*Table118192023103031323[[#This Row],[النولون]]</f>
        <v>0</v>
      </c>
      <c r="J328" s="1">
        <f>Table118192023103031323[[#This Row],[النولون]]+Table118192023103031323[[#This Row],[الايصالات]]+Table118192023103031323[[#This Row],[قيمة مضافة]]</f>
        <v>0</v>
      </c>
      <c r="L328" s="1">
        <f>L327+Table118192023103031323[[#This Row],[اجمالي الفاتوره]]-Table118192023103031323[[#This Row],[الدفعات]]</f>
        <v>0</v>
      </c>
      <c r="N328" s="48"/>
    </row>
    <row r="329" spans="8:14" ht="27" customHeight="1" x14ac:dyDescent="0.3">
      <c r="H329" s="1">
        <f>0.14*Table118192023103031323[[#This Row],[النولون]]</f>
        <v>0</v>
      </c>
      <c r="J329" s="1">
        <f>Table118192023103031323[[#This Row],[النولون]]+Table118192023103031323[[#This Row],[الايصالات]]+Table118192023103031323[[#This Row],[قيمة مضافة]]</f>
        <v>0</v>
      </c>
      <c r="L329" s="1">
        <f>L328+Table118192023103031323[[#This Row],[اجمالي الفاتوره]]-Table118192023103031323[[#This Row],[الدفعات]]</f>
        <v>0</v>
      </c>
      <c r="N329" s="48"/>
    </row>
    <row r="330" spans="8:14" ht="27" customHeight="1" x14ac:dyDescent="0.3">
      <c r="H330" s="1">
        <f>0.14*Table118192023103031323[[#This Row],[النولون]]</f>
        <v>0</v>
      </c>
      <c r="J330" s="1">
        <f>Table118192023103031323[[#This Row],[النولون]]+Table118192023103031323[[#This Row],[الايصالات]]+Table118192023103031323[[#This Row],[قيمة مضافة]]</f>
        <v>0</v>
      </c>
      <c r="L330" s="1">
        <f>L329+Table118192023103031323[[#This Row],[اجمالي الفاتوره]]-Table118192023103031323[[#This Row],[الدفعات]]</f>
        <v>0</v>
      </c>
      <c r="N330" s="48"/>
    </row>
    <row r="331" spans="8:14" ht="27" customHeight="1" x14ac:dyDescent="0.3">
      <c r="H331" s="1">
        <f>0.14*Table118192023103031323[[#This Row],[النولون]]</f>
        <v>0</v>
      </c>
      <c r="J331" s="1">
        <f>Table118192023103031323[[#This Row],[النولون]]+Table118192023103031323[[#This Row],[الايصالات]]+Table118192023103031323[[#This Row],[قيمة مضافة]]</f>
        <v>0</v>
      </c>
      <c r="L331" s="1">
        <f>L330+Table118192023103031323[[#This Row],[اجمالي الفاتوره]]-Table118192023103031323[[#This Row],[الدفعات]]</f>
        <v>0</v>
      </c>
      <c r="N331" s="48"/>
    </row>
    <row r="332" spans="8:14" ht="27" customHeight="1" x14ac:dyDescent="0.3">
      <c r="H332" s="1">
        <f>0.14*Table118192023103031323[[#This Row],[النولون]]</f>
        <v>0</v>
      </c>
      <c r="J332" s="1">
        <f>Table118192023103031323[[#This Row],[النولون]]+Table118192023103031323[[#This Row],[الايصالات]]+Table118192023103031323[[#This Row],[قيمة مضافة]]</f>
        <v>0</v>
      </c>
      <c r="L332" s="1">
        <f>L331+Table118192023103031323[[#This Row],[اجمالي الفاتوره]]-Table118192023103031323[[#This Row],[الدفعات]]</f>
        <v>0</v>
      </c>
      <c r="N332" s="48"/>
    </row>
    <row r="333" spans="8:14" ht="27" customHeight="1" x14ac:dyDescent="0.3">
      <c r="H333" s="1">
        <f>0.14*Table118192023103031323[[#This Row],[النولون]]</f>
        <v>0</v>
      </c>
      <c r="J333" s="1">
        <f>Table118192023103031323[[#This Row],[النولون]]+Table118192023103031323[[#This Row],[الايصالات]]+Table118192023103031323[[#This Row],[قيمة مضافة]]</f>
        <v>0</v>
      </c>
      <c r="L333" s="1">
        <f>L332+Table118192023103031323[[#This Row],[اجمالي الفاتوره]]-Table118192023103031323[[#This Row],[الدفعات]]</f>
        <v>0</v>
      </c>
      <c r="N333" s="48"/>
    </row>
    <row r="334" spans="8:14" ht="27" customHeight="1" x14ac:dyDescent="0.3">
      <c r="H334" s="1">
        <f>0.14*Table118192023103031323[[#This Row],[النولون]]</f>
        <v>0</v>
      </c>
      <c r="J334" s="1">
        <f>Table118192023103031323[[#This Row],[النولون]]+Table118192023103031323[[#This Row],[الايصالات]]+Table118192023103031323[[#This Row],[قيمة مضافة]]</f>
        <v>0</v>
      </c>
      <c r="L334" s="1">
        <f>L333+Table118192023103031323[[#This Row],[اجمالي الفاتوره]]-Table118192023103031323[[#This Row],[الدفعات]]</f>
        <v>0</v>
      </c>
      <c r="N334" s="48"/>
    </row>
    <row r="335" spans="8:14" ht="27" customHeight="1" x14ac:dyDescent="0.3">
      <c r="H335" s="1">
        <f>0.14*Table118192023103031323[[#This Row],[النولون]]</f>
        <v>0</v>
      </c>
      <c r="J335" s="1">
        <f>Table118192023103031323[[#This Row],[النولون]]+Table118192023103031323[[#This Row],[الايصالات]]+Table118192023103031323[[#This Row],[قيمة مضافة]]</f>
        <v>0</v>
      </c>
      <c r="L335" s="1">
        <f>L334+Table118192023103031323[[#This Row],[اجمالي الفاتوره]]-Table118192023103031323[[#This Row],[الدفعات]]</f>
        <v>0</v>
      </c>
      <c r="N335" s="48"/>
    </row>
    <row r="336" spans="8:14" ht="27" customHeight="1" x14ac:dyDescent="0.3">
      <c r="H336" s="1">
        <f>0.14*Table118192023103031323[[#This Row],[النولون]]</f>
        <v>0</v>
      </c>
      <c r="J336" s="1">
        <f>Table118192023103031323[[#This Row],[النولون]]+Table118192023103031323[[#This Row],[الايصالات]]+Table118192023103031323[[#This Row],[قيمة مضافة]]</f>
        <v>0</v>
      </c>
      <c r="L336" s="1">
        <f>L335+Table118192023103031323[[#This Row],[اجمالي الفاتوره]]-Table118192023103031323[[#This Row],[الدفعات]]</f>
        <v>0</v>
      </c>
      <c r="N336" s="48"/>
    </row>
    <row r="337" spans="8:14" ht="27" customHeight="1" x14ac:dyDescent="0.3">
      <c r="H337" s="1">
        <f>0.14*Table118192023103031323[[#This Row],[النولون]]</f>
        <v>0</v>
      </c>
      <c r="J337" s="1">
        <f>Table118192023103031323[[#This Row],[النولون]]+Table118192023103031323[[#This Row],[الايصالات]]+Table118192023103031323[[#This Row],[قيمة مضافة]]</f>
        <v>0</v>
      </c>
      <c r="L337" s="1">
        <f>L336+Table118192023103031323[[#This Row],[اجمالي الفاتوره]]-Table118192023103031323[[#This Row],[الدفعات]]</f>
        <v>0</v>
      </c>
      <c r="N337" s="48"/>
    </row>
    <row r="338" spans="8:14" ht="27" customHeight="1" x14ac:dyDescent="0.3">
      <c r="H338" s="1">
        <f>0.14*Table118192023103031323[[#This Row],[النولون]]</f>
        <v>0</v>
      </c>
      <c r="J338" s="1">
        <f>Table118192023103031323[[#This Row],[النولون]]+Table118192023103031323[[#This Row],[الايصالات]]+Table118192023103031323[[#This Row],[قيمة مضافة]]</f>
        <v>0</v>
      </c>
      <c r="L338" s="1">
        <f>L337+Table118192023103031323[[#This Row],[اجمالي الفاتوره]]-Table118192023103031323[[#This Row],[الدفعات]]</f>
        <v>0</v>
      </c>
      <c r="N338" s="48"/>
    </row>
    <row r="339" spans="8:14" ht="27" customHeight="1" x14ac:dyDescent="0.3">
      <c r="H339" s="1">
        <f>0.14*Table118192023103031323[[#This Row],[النولون]]</f>
        <v>0</v>
      </c>
      <c r="J339" s="1">
        <f>Table118192023103031323[[#This Row],[النولون]]+Table118192023103031323[[#This Row],[الايصالات]]+Table118192023103031323[[#This Row],[قيمة مضافة]]</f>
        <v>0</v>
      </c>
      <c r="L339" s="1">
        <f>L338+Table118192023103031323[[#This Row],[اجمالي الفاتوره]]-Table118192023103031323[[#This Row],[الدفعات]]</f>
        <v>0</v>
      </c>
      <c r="N339" s="48"/>
    </row>
    <row r="340" spans="8:14" ht="27" customHeight="1" x14ac:dyDescent="0.3">
      <c r="H340" s="1">
        <f>0.14*Table118192023103031323[[#This Row],[النولون]]</f>
        <v>0</v>
      </c>
      <c r="J340" s="1">
        <f>Table118192023103031323[[#This Row],[النولون]]+Table118192023103031323[[#This Row],[الايصالات]]+Table118192023103031323[[#This Row],[قيمة مضافة]]</f>
        <v>0</v>
      </c>
      <c r="L340" s="1">
        <f>L339+Table118192023103031323[[#This Row],[اجمالي الفاتوره]]-Table118192023103031323[[#This Row],[الدفعات]]</f>
        <v>0</v>
      </c>
      <c r="N340" s="48"/>
    </row>
    <row r="341" spans="8:14" ht="27" customHeight="1" x14ac:dyDescent="0.3">
      <c r="H341" s="1">
        <f>0.14*Table118192023103031323[[#This Row],[النولون]]</f>
        <v>0</v>
      </c>
      <c r="J341" s="1">
        <f>Table118192023103031323[[#This Row],[النولون]]+Table118192023103031323[[#This Row],[الايصالات]]+Table118192023103031323[[#This Row],[قيمة مضافة]]</f>
        <v>0</v>
      </c>
      <c r="L341" s="1">
        <f>L340+Table118192023103031323[[#This Row],[اجمالي الفاتوره]]-Table118192023103031323[[#This Row],[الدفعات]]</f>
        <v>0</v>
      </c>
      <c r="N341" s="48"/>
    </row>
    <row r="342" spans="8:14" ht="27" customHeight="1" x14ac:dyDescent="0.3">
      <c r="H342" s="1">
        <f>0.14*Table118192023103031323[[#This Row],[النولون]]</f>
        <v>0</v>
      </c>
      <c r="J342" s="1">
        <f>Table118192023103031323[[#This Row],[النولون]]+Table118192023103031323[[#This Row],[الايصالات]]+Table118192023103031323[[#This Row],[قيمة مضافة]]</f>
        <v>0</v>
      </c>
      <c r="L342" s="1">
        <f>L341+Table118192023103031323[[#This Row],[اجمالي الفاتوره]]-Table118192023103031323[[#This Row],[الدفعات]]</f>
        <v>0</v>
      </c>
      <c r="N342" s="48"/>
    </row>
  </sheetData>
  <phoneticPr fontId="2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338"/>
  <sheetViews>
    <sheetView rightToLeft="1" workbookViewId="0">
      <selection activeCell="G8" sqref="G8"/>
    </sheetView>
  </sheetViews>
  <sheetFormatPr defaultColWidth="9.109375" defaultRowHeight="22.5" customHeight="1" x14ac:dyDescent="0.3"/>
  <cols>
    <col min="1" max="1" width="5.44140625" style="1" customWidth="1"/>
    <col min="2" max="2" width="11" style="1" customWidth="1"/>
    <col min="3" max="3" width="15.109375" style="1" customWidth="1"/>
    <col min="4" max="4" width="11.21875" style="1" customWidth="1"/>
    <col min="5" max="5" width="13.33203125" style="1" customWidth="1"/>
    <col min="6" max="6" width="19.44140625" style="1" bestFit="1" customWidth="1"/>
    <col min="7" max="7" width="11.6640625" style="1" customWidth="1"/>
    <col min="8" max="8" width="11.77734375" style="1" customWidth="1"/>
    <col min="9" max="9" width="8.21875" style="1" customWidth="1"/>
    <col min="10" max="10" width="10.77734375" style="1" customWidth="1"/>
    <col min="11" max="11" width="12" style="1" customWidth="1"/>
    <col min="12" max="12" width="17.21875" style="1" bestFit="1" customWidth="1"/>
    <col min="13" max="13" width="15.21875" style="1" customWidth="1"/>
    <col min="14" max="14" width="9" style="1" customWidth="1"/>
    <col min="15" max="15" width="9.109375" style="6"/>
    <col min="16" max="16384" width="9.109375" style="1"/>
  </cols>
  <sheetData>
    <row r="1" spans="1:15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8" t="s">
        <v>20</v>
      </c>
    </row>
    <row r="2" spans="1:15" ht="22.5" customHeight="1" x14ac:dyDescent="0.3">
      <c r="A2" s="1">
        <v>1308</v>
      </c>
      <c r="B2" s="2" t="s">
        <v>323</v>
      </c>
      <c r="C2" s="1" t="s">
        <v>329</v>
      </c>
      <c r="D2" s="1" t="s">
        <v>330</v>
      </c>
      <c r="E2" s="1">
        <v>516110</v>
      </c>
      <c r="F2" s="1" t="s">
        <v>331</v>
      </c>
      <c r="G2" s="1">
        <v>15800</v>
      </c>
      <c r="H2" s="1">
        <f>0.14*Table11819202310303132362[[#This Row],[النولون]]</f>
        <v>2212</v>
      </c>
      <c r="J2" s="1">
        <f>580+75.47+810+908.33+285+150</f>
        <v>2808.8</v>
      </c>
      <c r="K2" s="1">
        <f>Table11819202310303132362[[#This Row],[النولون]]+Table11819202310303132362[[#This Row],[الايصالات]]-Table11819202310303132362[[#This Row],[خصم أ ت ص]]+Table11819202310303132362[[#This Row],[قيمة مضافة]]</f>
        <v>20820.8</v>
      </c>
      <c r="M2" s="1">
        <f>Table11819202310303132362[[#This Row],[اجمالي الفاتوره]]</f>
        <v>20820.8</v>
      </c>
      <c r="O2" s="48"/>
    </row>
    <row r="3" spans="1:15" ht="22.5" customHeight="1" x14ac:dyDescent="0.3">
      <c r="A3" s="72"/>
      <c r="B3" s="73" t="s">
        <v>387</v>
      </c>
      <c r="C3" s="72"/>
      <c r="D3" s="72"/>
      <c r="E3" s="72"/>
      <c r="F3" s="72"/>
      <c r="G3" s="72"/>
      <c r="H3" s="72">
        <f>0.14*Table11819202310303132362[[#This Row],[النولون]]</f>
        <v>0</v>
      </c>
      <c r="I3" s="72"/>
      <c r="J3" s="72"/>
      <c r="K3" s="72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L3" s="72">
        <v>20820.8</v>
      </c>
      <c r="M3" s="72">
        <f>M2+Table11819202310303132362[[#This Row],[اجمالي الفاتوره]]-Table11819202310303132362[[#This Row],[الدفعات]]</f>
        <v>0</v>
      </c>
      <c r="O3" s="48"/>
    </row>
    <row r="4" spans="1:15" ht="22.5" customHeight="1" x14ac:dyDescent="0.3">
      <c r="A4" s="1">
        <v>1375</v>
      </c>
      <c r="B4" s="2">
        <v>46124</v>
      </c>
      <c r="C4" s="1" t="s">
        <v>329</v>
      </c>
      <c r="D4" s="1" t="s">
        <v>330</v>
      </c>
      <c r="E4" s="1">
        <v>268748775</v>
      </c>
      <c r="F4" s="1" t="s">
        <v>441</v>
      </c>
      <c r="G4" s="1">
        <v>18400</v>
      </c>
      <c r="H4" s="1">
        <f>0.14*Table11819202310303132362[[#This Row],[النولون]]</f>
        <v>2576.0000000000005</v>
      </c>
      <c r="J4" s="1">
        <f>1100+105.79+481.66+200+550+4615+39.9+2000</f>
        <v>9092.3499999999985</v>
      </c>
      <c r="K4" s="1">
        <f>Table11819202310303132362[[#This Row],[النولون]]+Table11819202310303132362[[#This Row],[الايصالات]]-Table11819202310303132362[[#This Row],[خصم أ ت ص]]+Table11819202310303132362[[#This Row],[قيمة مضافة]]</f>
        <v>30068.35</v>
      </c>
      <c r="M4" s="1">
        <f>M3+Table11819202310303132362[[#This Row],[اجمالي الفاتوره]]-Table11819202310303132362[[#This Row],[الدفعات]]</f>
        <v>30068.35</v>
      </c>
      <c r="O4" s="48"/>
    </row>
    <row r="5" spans="1:15" ht="22.5" customHeight="1" x14ac:dyDescent="0.3">
      <c r="A5" s="72"/>
      <c r="B5" s="73">
        <v>46132</v>
      </c>
      <c r="C5" s="72"/>
      <c r="D5" s="72"/>
      <c r="E5" s="72"/>
      <c r="F5" s="72"/>
      <c r="G5" s="72"/>
      <c r="H5" s="72">
        <f>0.14*Table11819202310303132362[[#This Row],[النولون]]</f>
        <v>0</v>
      </c>
      <c r="I5" s="72"/>
      <c r="J5" s="72"/>
      <c r="K5" s="72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L5" s="72">
        <v>30068.35</v>
      </c>
      <c r="M5" s="72">
        <f>M4+Table11819202310303132362[[#This Row],[اجمالي الفاتوره]]-Table11819202310303132362[[#This Row],[الدفعات]]</f>
        <v>0</v>
      </c>
      <c r="O5" s="48"/>
    </row>
    <row r="6" spans="1:15" ht="22.5" customHeight="1" x14ac:dyDescent="0.3">
      <c r="A6" s="1">
        <v>1410</v>
      </c>
      <c r="B6" s="2">
        <v>46138</v>
      </c>
      <c r="C6" s="1" t="s">
        <v>329</v>
      </c>
      <c r="D6" s="1" t="s">
        <v>330</v>
      </c>
      <c r="E6" s="1">
        <v>175444</v>
      </c>
      <c r="F6" s="1" t="s">
        <v>121</v>
      </c>
      <c r="G6" s="1">
        <v>16700</v>
      </c>
      <c r="H6" s="1">
        <f>0.14*Table11819202310303132362[[#This Row],[النولون]]</f>
        <v>2338</v>
      </c>
      <c r="J6" s="1">
        <f>1100+277.33+1311+15</f>
        <v>2703.33</v>
      </c>
      <c r="K6" s="1">
        <f>Table11819202310303132362[[#This Row],[النولون]]+Table11819202310303132362[[#This Row],[الايصالات]]-Table11819202310303132362[[#This Row],[خصم أ ت ص]]+Table11819202310303132362[[#This Row],[قيمة مضافة]]</f>
        <v>21741.33</v>
      </c>
      <c r="M6" s="1">
        <f>M5+Table11819202310303132362[[#This Row],[اجمالي الفاتوره]]-Table11819202310303132362[[#This Row],[الدفعات]]</f>
        <v>21741.33</v>
      </c>
      <c r="O6" s="48"/>
    </row>
    <row r="7" spans="1:15" ht="22.5" customHeight="1" x14ac:dyDescent="0.3">
      <c r="A7" s="1">
        <v>1411</v>
      </c>
      <c r="B7" s="2">
        <v>46138</v>
      </c>
      <c r="C7" s="1" t="s">
        <v>329</v>
      </c>
      <c r="D7" s="1" t="s">
        <v>330</v>
      </c>
      <c r="E7" s="1">
        <v>164670</v>
      </c>
      <c r="F7" s="1" t="s">
        <v>486</v>
      </c>
      <c r="G7" s="1">
        <f>5*16700+2*17200</f>
        <v>117900</v>
      </c>
      <c r="H7" s="1">
        <f>0.14*Table11819202310303132362[[#This Row],[النولون]]</f>
        <v>16506</v>
      </c>
      <c r="J7" s="1">
        <f>1135*7+105.79+427.36+287.57+265.51+248.43+229.95+342.36+240.61+4380+1993.86*4+1467.18</f>
        <v>23915.200000000001</v>
      </c>
      <c r="K7" s="1">
        <f>Table11819202310303132362[[#This Row],[النولون]]+Table11819202310303132362[[#This Row],[الايصالات]]-Table11819202310303132362[[#This Row],[خصم أ ت ص]]+Table11819202310303132362[[#This Row],[قيمة مضافة]]</f>
        <v>158321.20000000001</v>
      </c>
      <c r="M7" s="1">
        <f>M6+Table11819202310303132362[[#This Row],[اجمالي الفاتوره]]-Table11819202310303132362[[#This Row],[الدفعات]]</f>
        <v>180062.53000000003</v>
      </c>
      <c r="O7" s="48"/>
    </row>
    <row r="8" spans="1:15" ht="22.5" customHeight="1" x14ac:dyDescent="0.3">
      <c r="A8" s="1">
        <v>1412</v>
      </c>
      <c r="B8" s="2">
        <v>46138</v>
      </c>
      <c r="C8" s="1" t="s">
        <v>329</v>
      </c>
      <c r="D8" s="1" t="s">
        <v>330</v>
      </c>
      <c r="E8" s="1">
        <v>160637</v>
      </c>
      <c r="F8" s="1" t="s">
        <v>487</v>
      </c>
      <c r="G8" s="1">
        <f>4*16700+17200</f>
        <v>84000</v>
      </c>
      <c r="H8" s="1">
        <f>0.14*Table11819202310303132362[[#This Row],[النولون]]</f>
        <v>11760.000000000002</v>
      </c>
      <c r="J8" s="1">
        <f>810+1100+1135+580+550+340.19+75.47+295.4+414.7+292.24+245.41+774.96+54+1768.14+1993.86*2+1805.76</f>
        <v>14228.989999999998</v>
      </c>
      <c r="K8" s="1">
        <f>Table11819202310303132362[[#This Row],[النولون]]+Table11819202310303132362[[#This Row],[الايصالات]]-Table11819202310303132362[[#This Row],[خصم أ ت ص]]+Table11819202310303132362[[#This Row],[قيمة مضافة]]</f>
        <v>109988.98999999999</v>
      </c>
      <c r="M8" s="1">
        <f>M7+Table11819202310303132362[[#This Row],[اجمالي الفاتوره]]-Table11819202310303132362[[#This Row],[الدفعات]]</f>
        <v>290051.52</v>
      </c>
      <c r="O8" s="48"/>
    </row>
    <row r="9" spans="1:15" ht="22.5" customHeight="1" x14ac:dyDescent="0.3">
      <c r="A9" s="72"/>
      <c r="B9" s="73">
        <v>46159</v>
      </c>
      <c r="C9" s="72"/>
      <c r="D9" s="72"/>
      <c r="E9" s="72"/>
      <c r="F9" s="72"/>
      <c r="G9" s="72"/>
      <c r="H9" s="72">
        <f>0.14*Table11819202310303132362[[#This Row],[النولون]]</f>
        <v>0</v>
      </c>
      <c r="I9" s="72"/>
      <c r="J9" s="72"/>
      <c r="K9" s="72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L9" s="72">
        <v>288500</v>
      </c>
      <c r="M9" s="72">
        <f>M8+Table11819202310303132362[[#This Row],[اجمالي الفاتوره]]-Table11819202310303132362[[#This Row],[الدفعات]]</f>
        <v>1551.5200000000186</v>
      </c>
      <c r="N9" s="1">
        <f>SUM(K:K)-SUM(L:L)</f>
        <v>0.99999999994179234</v>
      </c>
      <c r="O9" s="48">
        <f>SUM(H:H)</f>
        <v>35392</v>
      </c>
    </row>
    <row r="10" spans="1:15" ht="22.5" customHeight="1" x14ac:dyDescent="0.3">
      <c r="A10" s="72"/>
      <c r="B10" s="73">
        <v>46159</v>
      </c>
      <c r="C10" s="72"/>
      <c r="D10" s="72"/>
      <c r="E10" s="72" t="s">
        <v>551</v>
      </c>
      <c r="F10" s="72"/>
      <c r="G10" s="72"/>
      <c r="H10" s="72">
        <f>0.14*Table11819202310303132362[[#This Row],[النولون]]</f>
        <v>0</v>
      </c>
      <c r="I10" s="72"/>
      <c r="J10" s="72"/>
      <c r="K10" s="72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L10" s="72">
        <v>1550.52</v>
      </c>
      <c r="M10" s="72">
        <f>M9+Table11819202310303132362[[#This Row],[اجمالي الفاتوره]]-Table11819202310303132362[[#This Row],[الدفعات]]</f>
        <v>1.0000000000186446</v>
      </c>
      <c r="O10" s="48"/>
    </row>
    <row r="11" spans="1:15" ht="22.5" customHeight="1" x14ac:dyDescent="0.3">
      <c r="B11" s="2"/>
      <c r="H11" s="1">
        <f>0.14*Table11819202310303132362[[#This Row],[النولون]]</f>
        <v>0</v>
      </c>
      <c r="K1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1" s="1">
        <f>M10+Table11819202310303132362[[#This Row],[اجمالي الفاتوره]]-Table11819202310303132362[[#This Row],[الدفعات]]</f>
        <v>1.0000000000186446</v>
      </c>
      <c r="O11" s="48"/>
    </row>
    <row r="12" spans="1:15" ht="22.5" customHeight="1" x14ac:dyDescent="0.3">
      <c r="B12" s="2"/>
      <c r="H12" s="1">
        <f>0.14*Table11819202310303132362[[#This Row],[النولون]]</f>
        <v>0</v>
      </c>
      <c r="K1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2" s="1">
        <f>M11+Table11819202310303132362[[#This Row],[اجمالي الفاتوره]]-Table11819202310303132362[[#This Row],[الدفعات]]</f>
        <v>1.0000000000186446</v>
      </c>
      <c r="O12" s="48"/>
    </row>
    <row r="13" spans="1:15" ht="22.5" customHeight="1" x14ac:dyDescent="0.3">
      <c r="B13" s="2"/>
      <c r="H13" s="1">
        <f>0.14*Table11819202310303132362[[#This Row],[النولون]]</f>
        <v>0</v>
      </c>
      <c r="K1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3" s="1">
        <f>M12+Table11819202310303132362[[#This Row],[اجمالي الفاتوره]]-Table11819202310303132362[[#This Row],[الدفعات]]</f>
        <v>1.0000000000186446</v>
      </c>
      <c r="O13" s="48"/>
    </row>
    <row r="14" spans="1:15" ht="22.5" customHeight="1" x14ac:dyDescent="0.3">
      <c r="B14" s="2"/>
      <c r="H14" s="1">
        <f>0.14*Table11819202310303132362[[#This Row],[النولون]]</f>
        <v>0</v>
      </c>
      <c r="K1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4" s="1">
        <f>M13+Table11819202310303132362[[#This Row],[اجمالي الفاتوره]]-Table11819202310303132362[[#This Row],[الدفعات]]</f>
        <v>1.0000000000186446</v>
      </c>
      <c r="O14" s="48"/>
    </row>
    <row r="15" spans="1:15" ht="22.5" customHeight="1" x14ac:dyDescent="0.3">
      <c r="B15" s="2"/>
      <c r="H15" s="1">
        <f>0.14*Table11819202310303132362[[#This Row],[النولون]]</f>
        <v>0</v>
      </c>
      <c r="K1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5" s="1">
        <f>M14+Table11819202310303132362[[#This Row],[اجمالي الفاتوره]]-Table11819202310303132362[[#This Row],[الدفعات]]</f>
        <v>1.0000000000186446</v>
      </c>
      <c r="O15" s="48"/>
    </row>
    <row r="16" spans="1:15" ht="22.5" customHeight="1" x14ac:dyDescent="0.3">
      <c r="B16" s="2"/>
      <c r="H16" s="1">
        <f>0.14*Table11819202310303132362[[#This Row],[النولون]]</f>
        <v>0</v>
      </c>
      <c r="K1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6" s="1">
        <f>M15+Table11819202310303132362[[#This Row],[اجمالي الفاتوره]]-Table11819202310303132362[[#This Row],[الدفعات]]</f>
        <v>1.0000000000186446</v>
      </c>
      <c r="O16" s="48"/>
    </row>
    <row r="17" spans="2:15" ht="22.5" customHeight="1" x14ac:dyDescent="0.3">
      <c r="B17" s="2"/>
      <c r="H17" s="1">
        <f>0.14*Table11819202310303132362[[#This Row],[النولون]]</f>
        <v>0</v>
      </c>
      <c r="K1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7" s="1">
        <f>M16+Table11819202310303132362[[#This Row],[اجمالي الفاتوره]]-Table11819202310303132362[[#This Row],[الدفعات]]</f>
        <v>1.0000000000186446</v>
      </c>
      <c r="O17" s="48"/>
    </row>
    <row r="18" spans="2:15" ht="22.5" customHeight="1" x14ac:dyDescent="0.3">
      <c r="B18" s="2"/>
      <c r="H18" s="1">
        <f>0.14*Table11819202310303132362[[#This Row],[النولون]]</f>
        <v>0</v>
      </c>
      <c r="K1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8" s="1">
        <f>M17+Table11819202310303132362[[#This Row],[اجمالي الفاتوره]]-Table11819202310303132362[[#This Row],[الدفعات]]</f>
        <v>1.0000000000186446</v>
      </c>
      <c r="O18" s="48"/>
    </row>
    <row r="19" spans="2:15" ht="22.5" customHeight="1" x14ac:dyDescent="0.3">
      <c r="B19" s="2"/>
      <c r="H19" s="1">
        <f>0.14*Table11819202310303132362[[#This Row],[النولون]]</f>
        <v>0</v>
      </c>
      <c r="K1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9" s="1">
        <f>M18+Table11819202310303132362[[#This Row],[اجمالي الفاتوره]]-Table11819202310303132362[[#This Row],[الدفعات]]</f>
        <v>1.0000000000186446</v>
      </c>
      <c r="O19" s="48"/>
    </row>
    <row r="20" spans="2:15" ht="22.5" customHeight="1" x14ac:dyDescent="0.3">
      <c r="B20" s="2"/>
      <c r="H20" s="1">
        <f>0.14*Table11819202310303132362[[#This Row],[النولون]]</f>
        <v>0</v>
      </c>
      <c r="K2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0" s="1">
        <f>M19+Table11819202310303132362[[#This Row],[اجمالي الفاتوره]]-Table11819202310303132362[[#This Row],[الدفعات]]</f>
        <v>1.0000000000186446</v>
      </c>
      <c r="O20" s="48"/>
    </row>
    <row r="21" spans="2:15" ht="22.5" customHeight="1" x14ac:dyDescent="0.3">
      <c r="B21" s="2"/>
      <c r="H21" s="1">
        <f>0.14*Table11819202310303132362[[#This Row],[النولون]]</f>
        <v>0</v>
      </c>
      <c r="K2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1" s="1">
        <f>M20+Table11819202310303132362[[#This Row],[اجمالي الفاتوره]]-Table11819202310303132362[[#This Row],[الدفعات]]</f>
        <v>1.0000000000186446</v>
      </c>
      <c r="O21" s="48"/>
    </row>
    <row r="22" spans="2:15" ht="22.5" customHeight="1" x14ac:dyDescent="0.3">
      <c r="B22" s="2"/>
      <c r="H22" s="1">
        <f>0.14*Table11819202310303132362[[#This Row],[النولون]]</f>
        <v>0</v>
      </c>
      <c r="K2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2" s="1">
        <f>M21+Table11819202310303132362[[#This Row],[اجمالي الفاتوره]]-Table11819202310303132362[[#This Row],[الدفعات]]</f>
        <v>1.0000000000186446</v>
      </c>
      <c r="O22" s="48"/>
    </row>
    <row r="23" spans="2:15" ht="22.5" customHeight="1" x14ac:dyDescent="0.3">
      <c r="B23" s="2"/>
      <c r="H23" s="1">
        <f>0.14*Table11819202310303132362[[#This Row],[النولون]]</f>
        <v>0</v>
      </c>
      <c r="K2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3" s="1">
        <f>M22+Table11819202310303132362[[#This Row],[اجمالي الفاتوره]]-Table11819202310303132362[[#This Row],[الدفعات]]</f>
        <v>1.0000000000186446</v>
      </c>
      <c r="O23" s="48"/>
    </row>
    <row r="24" spans="2:15" ht="22.5" customHeight="1" x14ac:dyDescent="0.3">
      <c r="H24" s="1">
        <f>0.14*Table11819202310303132362[[#This Row],[النولون]]</f>
        <v>0</v>
      </c>
      <c r="K2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4" s="1">
        <f>M23+Table11819202310303132362[[#This Row],[اجمالي الفاتوره]]-Table11819202310303132362[[#This Row],[الدفعات]]</f>
        <v>1.0000000000186446</v>
      </c>
      <c r="O24" s="48"/>
    </row>
    <row r="25" spans="2:15" ht="22.5" customHeight="1" x14ac:dyDescent="0.3">
      <c r="H25" s="1">
        <f>0.14*Table11819202310303132362[[#This Row],[النولون]]</f>
        <v>0</v>
      </c>
      <c r="K2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5" s="1">
        <f>M24+Table11819202310303132362[[#This Row],[اجمالي الفاتوره]]-Table11819202310303132362[[#This Row],[الدفعات]]</f>
        <v>1.0000000000186446</v>
      </c>
      <c r="O25" s="48"/>
    </row>
    <row r="26" spans="2:15" ht="22.5" customHeight="1" x14ac:dyDescent="0.3">
      <c r="B26" s="2"/>
      <c r="H26" s="1">
        <f>0.14*Table11819202310303132362[[#This Row],[النولون]]</f>
        <v>0</v>
      </c>
      <c r="K2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6" s="1">
        <f>M25+Table11819202310303132362[[#This Row],[اجمالي الفاتوره]]-Table11819202310303132362[[#This Row],[الدفعات]]</f>
        <v>1.0000000000186446</v>
      </c>
      <c r="O26" s="48"/>
    </row>
    <row r="27" spans="2:15" ht="22.5" customHeight="1" x14ac:dyDescent="0.3">
      <c r="B27" s="2"/>
      <c r="H27" s="1">
        <f>0.14*Table11819202310303132362[[#This Row],[النولون]]</f>
        <v>0</v>
      </c>
      <c r="K2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7" s="1">
        <f>M26+Table11819202310303132362[[#This Row],[اجمالي الفاتوره]]-Table11819202310303132362[[#This Row],[الدفعات]]</f>
        <v>1.0000000000186446</v>
      </c>
      <c r="O27" s="48"/>
    </row>
    <row r="28" spans="2:15" ht="22.5" customHeight="1" x14ac:dyDescent="0.3">
      <c r="B28" s="2"/>
      <c r="H28" s="1">
        <f>0.14*Table11819202310303132362[[#This Row],[النولون]]</f>
        <v>0</v>
      </c>
      <c r="K2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8" s="1">
        <f>M27+Table11819202310303132362[[#This Row],[اجمالي الفاتوره]]-Table11819202310303132362[[#This Row],[الدفعات]]</f>
        <v>1.0000000000186446</v>
      </c>
      <c r="O28" s="48"/>
    </row>
    <row r="29" spans="2:15" ht="22.5" customHeight="1" x14ac:dyDescent="0.3">
      <c r="B29" s="2"/>
      <c r="H29" s="1">
        <f>0.14*Table11819202310303132362[[#This Row],[النولون]]</f>
        <v>0</v>
      </c>
      <c r="K2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9" s="1">
        <f>M28+Table11819202310303132362[[#This Row],[اجمالي الفاتوره]]-Table11819202310303132362[[#This Row],[الدفعات]]</f>
        <v>1.0000000000186446</v>
      </c>
      <c r="O29" s="48"/>
    </row>
    <row r="30" spans="2:15" ht="22.5" customHeight="1" x14ac:dyDescent="0.3">
      <c r="H30" s="1">
        <f>0.14*Table11819202310303132362[[#This Row],[النولون]]</f>
        <v>0</v>
      </c>
      <c r="K3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0" s="1">
        <f>M29+Table11819202310303132362[[#This Row],[اجمالي الفاتوره]]-Table11819202310303132362[[#This Row],[الدفعات]]</f>
        <v>1.0000000000186446</v>
      </c>
      <c r="O30" s="48"/>
    </row>
    <row r="31" spans="2:15" ht="22.5" customHeight="1" x14ac:dyDescent="0.3">
      <c r="B31" s="2"/>
      <c r="H31" s="1">
        <f>0.14*Table11819202310303132362[[#This Row],[النولون]]</f>
        <v>0</v>
      </c>
      <c r="K3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1" s="1">
        <f>M30+Table11819202310303132362[[#This Row],[اجمالي الفاتوره]]-Table11819202310303132362[[#This Row],[الدفعات]]</f>
        <v>1.0000000000186446</v>
      </c>
      <c r="O31" s="48"/>
    </row>
    <row r="32" spans="2:15" ht="22.5" customHeight="1" x14ac:dyDescent="0.3">
      <c r="H32" s="1">
        <f>0.14*Table11819202310303132362[[#This Row],[النولون]]</f>
        <v>0</v>
      </c>
      <c r="K3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2" s="1">
        <f>M31+Table11819202310303132362[[#This Row],[اجمالي الفاتوره]]-Table11819202310303132362[[#This Row],[الدفعات]]</f>
        <v>1.0000000000186446</v>
      </c>
      <c r="O32" s="48"/>
    </row>
    <row r="33" spans="2:15" ht="22.5" customHeight="1" x14ac:dyDescent="0.3">
      <c r="H33" s="1">
        <f>0.14*Table11819202310303132362[[#This Row],[النولون]]</f>
        <v>0</v>
      </c>
      <c r="K3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3" s="1">
        <f>M32+Table11819202310303132362[[#This Row],[اجمالي الفاتوره]]-Table11819202310303132362[[#This Row],[الدفعات]]</f>
        <v>1.0000000000186446</v>
      </c>
      <c r="O33" s="48"/>
    </row>
    <row r="34" spans="2:15" ht="22.5" customHeight="1" x14ac:dyDescent="0.3">
      <c r="H34" s="1">
        <f>0.14*Table11819202310303132362[[#This Row],[النولون]]</f>
        <v>0</v>
      </c>
      <c r="K3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4" s="1">
        <f>M33+Table11819202310303132362[[#This Row],[اجمالي الفاتوره]]-Table11819202310303132362[[#This Row],[الدفعات]]</f>
        <v>1.0000000000186446</v>
      </c>
      <c r="O34" s="48"/>
    </row>
    <row r="35" spans="2:15" ht="22.5" customHeight="1" x14ac:dyDescent="0.3">
      <c r="B35" s="2"/>
      <c r="C35" s="2"/>
      <c r="H35" s="1">
        <f>0.14*Table11819202310303132362[[#This Row],[النولون]]</f>
        <v>0</v>
      </c>
      <c r="K3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5" s="1">
        <f>M34+Table11819202310303132362[[#This Row],[اجمالي الفاتوره]]-Table11819202310303132362[[#This Row],[الدفعات]]</f>
        <v>1.0000000000186446</v>
      </c>
      <c r="O35" s="48"/>
    </row>
    <row r="36" spans="2:15" ht="22.5" customHeight="1" x14ac:dyDescent="0.3">
      <c r="H36" s="1">
        <f>0.14*Table11819202310303132362[[#This Row],[النولون]]</f>
        <v>0</v>
      </c>
      <c r="K3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6" s="1">
        <f>M35+Table11819202310303132362[[#This Row],[اجمالي الفاتوره]]-Table11819202310303132362[[#This Row],[الدفعات]]</f>
        <v>1.0000000000186446</v>
      </c>
      <c r="O36" s="48"/>
    </row>
    <row r="37" spans="2:15" ht="22.5" customHeight="1" x14ac:dyDescent="0.3">
      <c r="H37" s="1">
        <f>0.14*Table11819202310303132362[[#This Row],[النولون]]</f>
        <v>0</v>
      </c>
      <c r="K3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7" s="1">
        <f>M36+Table11819202310303132362[[#This Row],[اجمالي الفاتوره]]-Table11819202310303132362[[#This Row],[الدفعات]]</f>
        <v>1.0000000000186446</v>
      </c>
      <c r="O37" s="48"/>
    </row>
    <row r="38" spans="2:15" ht="22.5" customHeight="1" x14ac:dyDescent="0.3">
      <c r="H38" s="1">
        <f>0.14*Table11819202310303132362[[#This Row],[النولون]]</f>
        <v>0</v>
      </c>
      <c r="K3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8" s="1">
        <f>M37+Table11819202310303132362[[#This Row],[اجمالي الفاتوره]]-Table11819202310303132362[[#This Row],[الدفعات]]</f>
        <v>1.0000000000186446</v>
      </c>
      <c r="O38" s="48"/>
    </row>
    <row r="39" spans="2:15" ht="22.5" customHeight="1" x14ac:dyDescent="0.3">
      <c r="H39" s="1">
        <f>0.14*Table11819202310303132362[[#This Row],[النولون]]</f>
        <v>0</v>
      </c>
      <c r="K3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9" s="1">
        <f>M38+Table11819202310303132362[[#This Row],[اجمالي الفاتوره]]-Table11819202310303132362[[#This Row],[الدفعات]]</f>
        <v>1.0000000000186446</v>
      </c>
      <c r="O39" s="48"/>
    </row>
    <row r="40" spans="2:15" ht="22.5" customHeight="1" x14ac:dyDescent="0.3">
      <c r="H40" s="1">
        <f>0.14*Table11819202310303132362[[#This Row],[النولون]]</f>
        <v>0</v>
      </c>
      <c r="K4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40" s="1">
        <f>M39+Table11819202310303132362[[#This Row],[اجمالي الفاتوره]]-Table11819202310303132362[[#This Row],[الدفعات]]</f>
        <v>1.0000000000186446</v>
      </c>
      <c r="O40" s="48"/>
    </row>
    <row r="41" spans="2:15" ht="22.5" customHeight="1" x14ac:dyDescent="0.3">
      <c r="H41" s="1">
        <f>0.14*Table11819202310303132362[[#This Row],[النولون]]</f>
        <v>0</v>
      </c>
      <c r="K4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41" s="1">
        <f>M40+Table11819202310303132362[[#This Row],[اجمالي الفاتوره]]-Table11819202310303132362[[#This Row],[الدفعات]]</f>
        <v>1.0000000000186446</v>
      </c>
      <c r="O41" s="48"/>
    </row>
    <row r="42" spans="2:15" ht="22.5" customHeight="1" x14ac:dyDescent="0.3">
      <c r="H42" s="1">
        <f>0.14*Table11819202310303132362[[#This Row],[النولون]]</f>
        <v>0</v>
      </c>
      <c r="K4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42" s="1">
        <f>M41+Table11819202310303132362[[#This Row],[اجمالي الفاتوره]]-Table11819202310303132362[[#This Row],[الدفعات]]</f>
        <v>1.0000000000186446</v>
      </c>
      <c r="O42" s="48"/>
    </row>
    <row r="43" spans="2:15" ht="22.5" customHeight="1" x14ac:dyDescent="0.3">
      <c r="H43" s="1">
        <f>0.14*Table11819202310303132362[[#This Row],[النولون]]</f>
        <v>0</v>
      </c>
      <c r="K4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43" s="1">
        <f>M42+Table11819202310303132362[[#This Row],[اجمالي الفاتوره]]-Table11819202310303132362[[#This Row],[الدفعات]]</f>
        <v>1.0000000000186446</v>
      </c>
      <c r="O43" s="48"/>
    </row>
    <row r="44" spans="2:15" ht="22.5" customHeight="1" x14ac:dyDescent="0.3">
      <c r="H44" s="1">
        <f>0.14*Table11819202310303132362[[#This Row],[النولون]]</f>
        <v>0</v>
      </c>
      <c r="K4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44" s="1">
        <f>M43+Table11819202310303132362[[#This Row],[اجمالي الفاتوره]]-Table11819202310303132362[[#This Row],[الدفعات]]</f>
        <v>1.0000000000186446</v>
      </c>
      <c r="O44" s="48"/>
    </row>
    <row r="45" spans="2:15" ht="22.5" customHeight="1" x14ac:dyDescent="0.3">
      <c r="H45" s="1">
        <f>0.14*Table11819202310303132362[[#This Row],[النولون]]</f>
        <v>0</v>
      </c>
      <c r="K4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45" s="1">
        <f>M44+Table11819202310303132362[[#This Row],[اجمالي الفاتوره]]-Table11819202310303132362[[#This Row],[الدفعات]]</f>
        <v>1.0000000000186446</v>
      </c>
      <c r="O45" s="48"/>
    </row>
    <row r="46" spans="2:15" ht="22.5" customHeight="1" x14ac:dyDescent="0.3">
      <c r="H46" s="1">
        <f>0.14*Table11819202310303132362[[#This Row],[النولون]]</f>
        <v>0</v>
      </c>
      <c r="K4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46" s="1">
        <f>M45+Table11819202310303132362[[#This Row],[اجمالي الفاتوره]]-Table11819202310303132362[[#This Row],[الدفعات]]</f>
        <v>1.0000000000186446</v>
      </c>
      <c r="O46" s="48"/>
    </row>
    <row r="47" spans="2:15" ht="22.5" customHeight="1" x14ac:dyDescent="0.3">
      <c r="H47" s="1">
        <f>0.14*Table11819202310303132362[[#This Row],[النولون]]</f>
        <v>0</v>
      </c>
      <c r="K4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47" s="1">
        <f>M46+Table11819202310303132362[[#This Row],[اجمالي الفاتوره]]-Table11819202310303132362[[#This Row],[الدفعات]]</f>
        <v>1.0000000000186446</v>
      </c>
      <c r="O47" s="48"/>
    </row>
    <row r="48" spans="2:15" ht="22.5" customHeight="1" x14ac:dyDescent="0.3">
      <c r="H48" s="1">
        <f>0.14*Table11819202310303132362[[#This Row],[النولون]]</f>
        <v>0</v>
      </c>
      <c r="K4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48" s="1">
        <f>M47+Table11819202310303132362[[#This Row],[اجمالي الفاتوره]]-Table11819202310303132362[[#This Row],[الدفعات]]</f>
        <v>1.0000000000186446</v>
      </c>
      <c r="O48" s="48"/>
    </row>
    <row r="49" spans="8:15" ht="22.5" customHeight="1" x14ac:dyDescent="0.3">
      <c r="H49" s="1">
        <f>0.14*Table11819202310303132362[[#This Row],[النولون]]</f>
        <v>0</v>
      </c>
      <c r="K4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49" s="1">
        <f>M48+Table11819202310303132362[[#This Row],[اجمالي الفاتوره]]-Table11819202310303132362[[#This Row],[الدفعات]]</f>
        <v>1.0000000000186446</v>
      </c>
      <c r="O49" s="48"/>
    </row>
    <row r="50" spans="8:15" ht="22.5" customHeight="1" x14ac:dyDescent="0.3">
      <c r="H50" s="1">
        <f>0.14*Table11819202310303132362[[#This Row],[النولون]]</f>
        <v>0</v>
      </c>
      <c r="K5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50" s="1">
        <f>M49+Table11819202310303132362[[#This Row],[اجمالي الفاتوره]]-Table11819202310303132362[[#This Row],[الدفعات]]</f>
        <v>1.0000000000186446</v>
      </c>
      <c r="O50" s="48"/>
    </row>
    <row r="51" spans="8:15" ht="22.5" customHeight="1" x14ac:dyDescent="0.3">
      <c r="H51" s="1">
        <f>0.14*Table11819202310303132362[[#This Row],[النولون]]</f>
        <v>0</v>
      </c>
      <c r="K5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51" s="1">
        <f>M50+Table11819202310303132362[[#This Row],[اجمالي الفاتوره]]-Table11819202310303132362[[#This Row],[الدفعات]]</f>
        <v>1.0000000000186446</v>
      </c>
      <c r="O51" s="48"/>
    </row>
    <row r="52" spans="8:15" ht="22.5" customHeight="1" x14ac:dyDescent="0.3">
      <c r="H52" s="1">
        <f>0.14*Table11819202310303132362[[#This Row],[النولون]]</f>
        <v>0</v>
      </c>
      <c r="K5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52" s="1">
        <f>M51+Table11819202310303132362[[#This Row],[اجمالي الفاتوره]]-Table11819202310303132362[[#This Row],[الدفعات]]</f>
        <v>1.0000000000186446</v>
      </c>
      <c r="O52" s="48"/>
    </row>
    <row r="53" spans="8:15" ht="22.5" customHeight="1" x14ac:dyDescent="0.3">
      <c r="H53" s="1">
        <f>0.14*Table11819202310303132362[[#This Row],[النولون]]</f>
        <v>0</v>
      </c>
      <c r="K5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53" s="1">
        <f>M52+Table11819202310303132362[[#This Row],[اجمالي الفاتوره]]-Table11819202310303132362[[#This Row],[الدفعات]]</f>
        <v>1.0000000000186446</v>
      </c>
      <c r="O53" s="48"/>
    </row>
    <row r="54" spans="8:15" ht="22.5" customHeight="1" x14ac:dyDescent="0.3">
      <c r="H54" s="1">
        <f>0.14*Table11819202310303132362[[#This Row],[النولون]]</f>
        <v>0</v>
      </c>
      <c r="K5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54" s="1">
        <f>M53+Table11819202310303132362[[#This Row],[اجمالي الفاتوره]]-Table11819202310303132362[[#This Row],[الدفعات]]</f>
        <v>1.0000000000186446</v>
      </c>
      <c r="O54" s="48"/>
    </row>
    <row r="55" spans="8:15" ht="22.5" customHeight="1" x14ac:dyDescent="0.3">
      <c r="H55" s="1">
        <f>0.14*Table11819202310303132362[[#This Row],[النولون]]</f>
        <v>0</v>
      </c>
      <c r="K5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55" s="1">
        <f>M54+Table11819202310303132362[[#This Row],[اجمالي الفاتوره]]-Table11819202310303132362[[#This Row],[الدفعات]]</f>
        <v>1.0000000000186446</v>
      </c>
      <c r="O55" s="48"/>
    </row>
    <row r="56" spans="8:15" ht="22.5" customHeight="1" x14ac:dyDescent="0.3">
      <c r="H56" s="1">
        <f>0.14*Table11819202310303132362[[#This Row],[النولون]]</f>
        <v>0</v>
      </c>
      <c r="K5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56" s="1">
        <f>M55+Table11819202310303132362[[#This Row],[اجمالي الفاتوره]]-Table11819202310303132362[[#This Row],[الدفعات]]</f>
        <v>1.0000000000186446</v>
      </c>
      <c r="O56" s="48"/>
    </row>
    <row r="57" spans="8:15" ht="22.5" customHeight="1" x14ac:dyDescent="0.3">
      <c r="H57" s="1">
        <f>0.14*Table11819202310303132362[[#This Row],[النولون]]</f>
        <v>0</v>
      </c>
      <c r="K5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57" s="1">
        <f>M56+Table11819202310303132362[[#This Row],[اجمالي الفاتوره]]-Table11819202310303132362[[#This Row],[الدفعات]]</f>
        <v>1.0000000000186446</v>
      </c>
      <c r="O57" s="48"/>
    </row>
    <row r="58" spans="8:15" ht="22.5" customHeight="1" x14ac:dyDescent="0.3">
      <c r="H58" s="1">
        <f>0.14*Table11819202310303132362[[#This Row],[النولون]]</f>
        <v>0</v>
      </c>
      <c r="K5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58" s="1">
        <f>M57+Table11819202310303132362[[#This Row],[اجمالي الفاتوره]]-Table11819202310303132362[[#This Row],[الدفعات]]</f>
        <v>1.0000000000186446</v>
      </c>
      <c r="O58" s="48"/>
    </row>
    <row r="59" spans="8:15" ht="22.5" customHeight="1" x14ac:dyDescent="0.3">
      <c r="H59" s="1">
        <f>0.14*Table11819202310303132362[[#This Row],[النولون]]</f>
        <v>0</v>
      </c>
      <c r="K5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59" s="1">
        <f>M58+Table11819202310303132362[[#This Row],[اجمالي الفاتوره]]-Table11819202310303132362[[#This Row],[الدفعات]]</f>
        <v>1.0000000000186446</v>
      </c>
      <c r="O59" s="48"/>
    </row>
    <row r="60" spans="8:15" ht="22.5" customHeight="1" x14ac:dyDescent="0.3">
      <c r="H60" s="1">
        <f>0.14*Table11819202310303132362[[#This Row],[النولون]]</f>
        <v>0</v>
      </c>
      <c r="K6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60" s="1">
        <f>M59+Table11819202310303132362[[#This Row],[اجمالي الفاتوره]]-Table11819202310303132362[[#This Row],[الدفعات]]</f>
        <v>1.0000000000186446</v>
      </c>
      <c r="O60" s="48"/>
    </row>
    <row r="61" spans="8:15" ht="22.5" customHeight="1" x14ac:dyDescent="0.3">
      <c r="H61" s="1">
        <f>0.14*Table11819202310303132362[[#This Row],[النولون]]</f>
        <v>0</v>
      </c>
      <c r="K6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61" s="1">
        <f>M60+Table11819202310303132362[[#This Row],[اجمالي الفاتوره]]-Table11819202310303132362[[#This Row],[الدفعات]]</f>
        <v>1.0000000000186446</v>
      </c>
      <c r="O61" s="48"/>
    </row>
    <row r="62" spans="8:15" ht="22.5" customHeight="1" x14ac:dyDescent="0.3">
      <c r="H62" s="1">
        <f>0.14*Table11819202310303132362[[#This Row],[النولون]]</f>
        <v>0</v>
      </c>
      <c r="K6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62" s="1">
        <f>M61+Table11819202310303132362[[#This Row],[اجمالي الفاتوره]]-Table11819202310303132362[[#This Row],[الدفعات]]</f>
        <v>1.0000000000186446</v>
      </c>
      <c r="O62" s="48"/>
    </row>
    <row r="63" spans="8:15" ht="22.5" customHeight="1" x14ac:dyDescent="0.3">
      <c r="H63" s="1">
        <f>0.14*Table11819202310303132362[[#This Row],[النولون]]</f>
        <v>0</v>
      </c>
      <c r="K6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63" s="1">
        <f>M62+Table11819202310303132362[[#This Row],[اجمالي الفاتوره]]-Table11819202310303132362[[#This Row],[الدفعات]]</f>
        <v>1.0000000000186446</v>
      </c>
      <c r="O63" s="48"/>
    </row>
    <row r="64" spans="8:15" ht="22.5" customHeight="1" x14ac:dyDescent="0.3">
      <c r="H64" s="1">
        <f>0.14*Table11819202310303132362[[#This Row],[النولون]]</f>
        <v>0</v>
      </c>
      <c r="K6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64" s="1">
        <f>M63+Table11819202310303132362[[#This Row],[اجمالي الفاتوره]]-Table11819202310303132362[[#This Row],[الدفعات]]</f>
        <v>1.0000000000186446</v>
      </c>
      <c r="O64" s="48"/>
    </row>
    <row r="65" spans="8:15" ht="22.5" customHeight="1" x14ac:dyDescent="0.3">
      <c r="H65" s="1">
        <f>0.14*Table11819202310303132362[[#This Row],[النولون]]</f>
        <v>0</v>
      </c>
      <c r="K6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65" s="1">
        <f>M64+Table11819202310303132362[[#This Row],[اجمالي الفاتوره]]-Table11819202310303132362[[#This Row],[الدفعات]]</f>
        <v>1.0000000000186446</v>
      </c>
      <c r="O65" s="48"/>
    </row>
    <row r="66" spans="8:15" ht="22.5" customHeight="1" x14ac:dyDescent="0.3">
      <c r="H66" s="1">
        <f>0.14*Table11819202310303132362[[#This Row],[النولون]]</f>
        <v>0</v>
      </c>
      <c r="K6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66" s="1">
        <f>M65+Table11819202310303132362[[#This Row],[اجمالي الفاتوره]]-Table11819202310303132362[[#This Row],[الدفعات]]</f>
        <v>1.0000000000186446</v>
      </c>
      <c r="O66" s="48"/>
    </row>
    <row r="67" spans="8:15" ht="22.5" customHeight="1" x14ac:dyDescent="0.3">
      <c r="H67" s="1">
        <f>0.14*Table11819202310303132362[[#This Row],[النولون]]</f>
        <v>0</v>
      </c>
      <c r="K6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67" s="1">
        <f>M66+Table11819202310303132362[[#This Row],[اجمالي الفاتوره]]-Table11819202310303132362[[#This Row],[الدفعات]]</f>
        <v>1.0000000000186446</v>
      </c>
      <c r="O67" s="48"/>
    </row>
    <row r="68" spans="8:15" ht="22.5" customHeight="1" x14ac:dyDescent="0.3">
      <c r="H68" s="1">
        <f>0.14*Table11819202310303132362[[#This Row],[النولون]]</f>
        <v>0</v>
      </c>
      <c r="K6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68" s="1">
        <f>M67+Table11819202310303132362[[#This Row],[اجمالي الفاتوره]]-Table11819202310303132362[[#This Row],[الدفعات]]</f>
        <v>1.0000000000186446</v>
      </c>
      <c r="O68" s="48"/>
    </row>
    <row r="69" spans="8:15" ht="22.5" customHeight="1" x14ac:dyDescent="0.3">
      <c r="H69" s="1">
        <f>0.14*Table11819202310303132362[[#This Row],[النولون]]</f>
        <v>0</v>
      </c>
      <c r="K6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69" s="1">
        <f>M68+Table11819202310303132362[[#This Row],[اجمالي الفاتوره]]-Table11819202310303132362[[#This Row],[الدفعات]]</f>
        <v>1.0000000000186446</v>
      </c>
      <c r="O69" s="48"/>
    </row>
    <row r="70" spans="8:15" ht="22.5" customHeight="1" x14ac:dyDescent="0.3">
      <c r="H70" s="1">
        <f>0.14*Table11819202310303132362[[#This Row],[النولون]]</f>
        <v>0</v>
      </c>
      <c r="K7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70" s="1">
        <f>M69+Table11819202310303132362[[#This Row],[اجمالي الفاتوره]]-Table11819202310303132362[[#This Row],[الدفعات]]</f>
        <v>1.0000000000186446</v>
      </c>
      <c r="O70" s="48"/>
    </row>
    <row r="71" spans="8:15" ht="22.5" customHeight="1" x14ac:dyDescent="0.3">
      <c r="H71" s="1">
        <f>0.14*Table11819202310303132362[[#This Row],[النولون]]</f>
        <v>0</v>
      </c>
      <c r="K7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71" s="1">
        <f>M70+Table11819202310303132362[[#This Row],[اجمالي الفاتوره]]-Table11819202310303132362[[#This Row],[الدفعات]]</f>
        <v>1.0000000000186446</v>
      </c>
      <c r="O71" s="48"/>
    </row>
    <row r="72" spans="8:15" ht="22.5" customHeight="1" x14ac:dyDescent="0.3">
      <c r="H72" s="1">
        <f>0.14*Table11819202310303132362[[#This Row],[النولون]]</f>
        <v>0</v>
      </c>
      <c r="K7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72" s="1">
        <f>M71+Table11819202310303132362[[#This Row],[اجمالي الفاتوره]]-Table11819202310303132362[[#This Row],[الدفعات]]</f>
        <v>1.0000000000186446</v>
      </c>
      <c r="O72" s="48"/>
    </row>
    <row r="73" spans="8:15" ht="22.5" customHeight="1" x14ac:dyDescent="0.3">
      <c r="H73" s="1">
        <f>0.14*Table11819202310303132362[[#This Row],[النولون]]</f>
        <v>0</v>
      </c>
      <c r="K7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73" s="1">
        <f>M72+Table11819202310303132362[[#This Row],[اجمالي الفاتوره]]-Table11819202310303132362[[#This Row],[الدفعات]]</f>
        <v>1.0000000000186446</v>
      </c>
      <c r="O73" s="48"/>
    </row>
    <row r="74" spans="8:15" ht="22.5" customHeight="1" x14ac:dyDescent="0.3">
      <c r="H74" s="1">
        <f>0.14*Table11819202310303132362[[#This Row],[النولون]]</f>
        <v>0</v>
      </c>
      <c r="K7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74" s="1">
        <f>M73+Table11819202310303132362[[#This Row],[اجمالي الفاتوره]]-Table11819202310303132362[[#This Row],[الدفعات]]</f>
        <v>1.0000000000186446</v>
      </c>
      <c r="O74" s="48"/>
    </row>
    <row r="75" spans="8:15" ht="22.5" customHeight="1" x14ac:dyDescent="0.3">
      <c r="H75" s="1">
        <f>0.14*Table11819202310303132362[[#This Row],[النولون]]</f>
        <v>0</v>
      </c>
      <c r="K7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75" s="1">
        <f>M74+Table11819202310303132362[[#This Row],[اجمالي الفاتوره]]-Table11819202310303132362[[#This Row],[الدفعات]]</f>
        <v>1.0000000000186446</v>
      </c>
      <c r="O75" s="48"/>
    </row>
    <row r="76" spans="8:15" ht="22.5" customHeight="1" x14ac:dyDescent="0.3">
      <c r="H76" s="1">
        <f>0.14*Table11819202310303132362[[#This Row],[النولون]]</f>
        <v>0</v>
      </c>
      <c r="K7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76" s="1">
        <f>M75+Table11819202310303132362[[#This Row],[اجمالي الفاتوره]]-Table11819202310303132362[[#This Row],[الدفعات]]</f>
        <v>1.0000000000186446</v>
      </c>
      <c r="O76" s="48"/>
    </row>
    <row r="77" spans="8:15" ht="22.5" customHeight="1" x14ac:dyDescent="0.3">
      <c r="H77" s="1">
        <f>0.14*Table11819202310303132362[[#This Row],[النولون]]</f>
        <v>0</v>
      </c>
      <c r="K7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77" s="1">
        <f>M76+Table11819202310303132362[[#This Row],[اجمالي الفاتوره]]-Table11819202310303132362[[#This Row],[الدفعات]]</f>
        <v>1.0000000000186446</v>
      </c>
      <c r="O77" s="48"/>
    </row>
    <row r="78" spans="8:15" ht="22.5" customHeight="1" x14ac:dyDescent="0.3">
      <c r="H78" s="1">
        <f>0.14*Table11819202310303132362[[#This Row],[النولون]]</f>
        <v>0</v>
      </c>
      <c r="K7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78" s="1">
        <f>M77+Table11819202310303132362[[#This Row],[اجمالي الفاتوره]]-Table11819202310303132362[[#This Row],[الدفعات]]</f>
        <v>1.0000000000186446</v>
      </c>
      <c r="O78" s="48"/>
    </row>
    <row r="79" spans="8:15" ht="22.5" customHeight="1" x14ac:dyDescent="0.3">
      <c r="H79" s="1">
        <f>0.14*Table11819202310303132362[[#This Row],[النولون]]</f>
        <v>0</v>
      </c>
      <c r="K7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79" s="1">
        <f>M78+Table11819202310303132362[[#This Row],[اجمالي الفاتوره]]-Table11819202310303132362[[#This Row],[الدفعات]]</f>
        <v>1.0000000000186446</v>
      </c>
      <c r="O79" s="48"/>
    </row>
    <row r="80" spans="8:15" ht="22.5" customHeight="1" x14ac:dyDescent="0.3">
      <c r="H80" s="1">
        <f>0.14*Table11819202310303132362[[#This Row],[النولون]]</f>
        <v>0</v>
      </c>
      <c r="K8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80" s="1">
        <f>M79+Table11819202310303132362[[#This Row],[اجمالي الفاتوره]]-Table11819202310303132362[[#This Row],[الدفعات]]</f>
        <v>1.0000000000186446</v>
      </c>
      <c r="O80" s="48"/>
    </row>
    <row r="81" spans="8:15" ht="22.5" customHeight="1" x14ac:dyDescent="0.3">
      <c r="H81" s="1">
        <f>0.14*Table11819202310303132362[[#This Row],[النولون]]</f>
        <v>0</v>
      </c>
      <c r="K8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81" s="1">
        <f>M80+Table11819202310303132362[[#This Row],[اجمالي الفاتوره]]-Table11819202310303132362[[#This Row],[الدفعات]]</f>
        <v>1.0000000000186446</v>
      </c>
      <c r="O81" s="48"/>
    </row>
    <row r="82" spans="8:15" ht="22.5" customHeight="1" x14ac:dyDescent="0.3">
      <c r="H82" s="1">
        <f>0.14*Table11819202310303132362[[#This Row],[النولون]]</f>
        <v>0</v>
      </c>
      <c r="K8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82" s="1">
        <f>M81+Table11819202310303132362[[#This Row],[اجمالي الفاتوره]]-Table11819202310303132362[[#This Row],[الدفعات]]</f>
        <v>1.0000000000186446</v>
      </c>
      <c r="O82" s="48"/>
    </row>
    <row r="83" spans="8:15" ht="22.5" customHeight="1" x14ac:dyDescent="0.3">
      <c r="H83" s="1">
        <f>0.14*Table11819202310303132362[[#This Row],[النولون]]</f>
        <v>0</v>
      </c>
      <c r="K8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83" s="1">
        <f>M82+Table11819202310303132362[[#This Row],[اجمالي الفاتوره]]-Table11819202310303132362[[#This Row],[الدفعات]]</f>
        <v>1.0000000000186446</v>
      </c>
      <c r="O83" s="48"/>
    </row>
    <row r="84" spans="8:15" ht="22.5" customHeight="1" x14ac:dyDescent="0.3">
      <c r="H84" s="1">
        <f>0.14*Table11819202310303132362[[#This Row],[النولون]]</f>
        <v>0</v>
      </c>
      <c r="K8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84" s="1">
        <f>M83+Table11819202310303132362[[#This Row],[اجمالي الفاتوره]]-Table11819202310303132362[[#This Row],[الدفعات]]</f>
        <v>1.0000000000186446</v>
      </c>
      <c r="O84" s="48"/>
    </row>
    <row r="85" spans="8:15" ht="22.5" customHeight="1" x14ac:dyDescent="0.3">
      <c r="H85" s="1">
        <f>0.14*Table11819202310303132362[[#This Row],[النولون]]</f>
        <v>0</v>
      </c>
      <c r="K8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85" s="1">
        <f>M84+Table11819202310303132362[[#This Row],[اجمالي الفاتوره]]-Table11819202310303132362[[#This Row],[الدفعات]]</f>
        <v>1.0000000000186446</v>
      </c>
      <c r="O85" s="48"/>
    </row>
    <row r="86" spans="8:15" ht="22.5" customHeight="1" x14ac:dyDescent="0.3">
      <c r="H86" s="1">
        <f>0.14*Table11819202310303132362[[#This Row],[النولون]]</f>
        <v>0</v>
      </c>
      <c r="K8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86" s="1">
        <f>M85+Table11819202310303132362[[#This Row],[اجمالي الفاتوره]]-Table11819202310303132362[[#This Row],[الدفعات]]</f>
        <v>1.0000000000186446</v>
      </c>
      <c r="O86" s="48"/>
    </row>
    <row r="87" spans="8:15" ht="22.5" customHeight="1" x14ac:dyDescent="0.3">
      <c r="H87" s="1">
        <f>0.14*Table11819202310303132362[[#This Row],[النولون]]</f>
        <v>0</v>
      </c>
      <c r="K8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87" s="1">
        <f>M86+Table11819202310303132362[[#This Row],[اجمالي الفاتوره]]-Table11819202310303132362[[#This Row],[الدفعات]]</f>
        <v>1.0000000000186446</v>
      </c>
      <c r="O87" s="48"/>
    </row>
    <row r="88" spans="8:15" ht="22.5" customHeight="1" x14ac:dyDescent="0.3">
      <c r="H88" s="1">
        <f>0.14*Table11819202310303132362[[#This Row],[النولون]]</f>
        <v>0</v>
      </c>
      <c r="K8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88" s="1">
        <f>M87+Table11819202310303132362[[#This Row],[اجمالي الفاتوره]]-Table11819202310303132362[[#This Row],[الدفعات]]</f>
        <v>1.0000000000186446</v>
      </c>
      <c r="O88" s="48"/>
    </row>
    <row r="89" spans="8:15" ht="22.5" customHeight="1" x14ac:dyDescent="0.3">
      <c r="H89" s="1">
        <f>0.14*Table11819202310303132362[[#This Row],[النولون]]</f>
        <v>0</v>
      </c>
      <c r="K8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89" s="1">
        <f>M88+Table11819202310303132362[[#This Row],[اجمالي الفاتوره]]-Table11819202310303132362[[#This Row],[الدفعات]]</f>
        <v>1.0000000000186446</v>
      </c>
      <c r="O89" s="48"/>
    </row>
    <row r="90" spans="8:15" ht="22.5" customHeight="1" x14ac:dyDescent="0.3">
      <c r="H90" s="1">
        <f>0.14*Table11819202310303132362[[#This Row],[النولون]]</f>
        <v>0</v>
      </c>
      <c r="K9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90" s="1">
        <f>M89+Table11819202310303132362[[#This Row],[اجمالي الفاتوره]]-Table11819202310303132362[[#This Row],[الدفعات]]</f>
        <v>1.0000000000186446</v>
      </c>
      <c r="O90" s="48"/>
    </row>
    <row r="91" spans="8:15" ht="22.5" customHeight="1" x14ac:dyDescent="0.3">
      <c r="H91" s="1">
        <f>0.14*Table11819202310303132362[[#This Row],[النولون]]</f>
        <v>0</v>
      </c>
      <c r="K9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91" s="1">
        <f>M90+Table11819202310303132362[[#This Row],[اجمالي الفاتوره]]-Table11819202310303132362[[#This Row],[الدفعات]]</f>
        <v>1.0000000000186446</v>
      </c>
      <c r="O91" s="48"/>
    </row>
    <row r="92" spans="8:15" ht="22.5" customHeight="1" x14ac:dyDescent="0.3">
      <c r="H92" s="1">
        <f>0.14*Table11819202310303132362[[#This Row],[النولون]]</f>
        <v>0</v>
      </c>
      <c r="K9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92" s="1">
        <f>M91+Table11819202310303132362[[#This Row],[اجمالي الفاتوره]]-Table11819202310303132362[[#This Row],[الدفعات]]</f>
        <v>1.0000000000186446</v>
      </c>
      <c r="O92" s="48"/>
    </row>
    <row r="93" spans="8:15" ht="22.5" customHeight="1" x14ac:dyDescent="0.3">
      <c r="H93" s="1">
        <f>0.14*Table11819202310303132362[[#This Row],[النولون]]</f>
        <v>0</v>
      </c>
      <c r="K9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93" s="1">
        <f>M92+Table11819202310303132362[[#This Row],[اجمالي الفاتوره]]-Table11819202310303132362[[#This Row],[الدفعات]]</f>
        <v>1.0000000000186446</v>
      </c>
      <c r="O93" s="48"/>
    </row>
    <row r="94" spans="8:15" ht="22.5" customHeight="1" x14ac:dyDescent="0.3">
      <c r="H94" s="1">
        <f>0.14*Table11819202310303132362[[#This Row],[النولون]]</f>
        <v>0</v>
      </c>
      <c r="K9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94" s="1">
        <f>M93+Table11819202310303132362[[#This Row],[اجمالي الفاتوره]]-Table11819202310303132362[[#This Row],[الدفعات]]</f>
        <v>1.0000000000186446</v>
      </c>
      <c r="O94" s="48"/>
    </row>
    <row r="95" spans="8:15" ht="22.5" customHeight="1" x14ac:dyDescent="0.3">
      <c r="H95" s="1">
        <f>0.14*Table11819202310303132362[[#This Row],[النولون]]</f>
        <v>0</v>
      </c>
      <c r="K9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95" s="1">
        <f>M94+Table11819202310303132362[[#This Row],[اجمالي الفاتوره]]-Table11819202310303132362[[#This Row],[الدفعات]]</f>
        <v>1.0000000000186446</v>
      </c>
      <c r="O95" s="48"/>
    </row>
    <row r="96" spans="8:15" ht="22.5" customHeight="1" x14ac:dyDescent="0.3">
      <c r="H96" s="1">
        <f>0.14*Table11819202310303132362[[#This Row],[النولون]]</f>
        <v>0</v>
      </c>
      <c r="K9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96" s="1">
        <f>M95+Table11819202310303132362[[#This Row],[اجمالي الفاتوره]]-Table11819202310303132362[[#This Row],[الدفعات]]</f>
        <v>1.0000000000186446</v>
      </c>
      <c r="O96" s="48"/>
    </row>
    <row r="97" spans="8:15" ht="22.5" customHeight="1" x14ac:dyDescent="0.3">
      <c r="H97" s="1">
        <f>0.14*Table11819202310303132362[[#This Row],[النولون]]</f>
        <v>0</v>
      </c>
      <c r="K9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97" s="1">
        <f>M96+Table11819202310303132362[[#This Row],[اجمالي الفاتوره]]-Table11819202310303132362[[#This Row],[الدفعات]]</f>
        <v>1.0000000000186446</v>
      </c>
      <c r="O97" s="48"/>
    </row>
    <row r="98" spans="8:15" ht="22.5" customHeight="1" x14ac:dyDescent="0.3">
      <c r="H98" s="1">
        <f>0.14*Table11819202310303132362[[#This Row],[النولون]]</f>
        <v>0</v>
      </c>
      <c r="K9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98" s="1">
        <f>M97+Table11819202310303132362[[#This Row],[اجمالي الفاتوره]]-Table11819202310303132362[[#This Row],[الدفعات]]</f>
        <v>1.0000000000186446</v>
      </c>
      <c r="O98" s="48"/>
    </row>
    <row r="99" spans="8:15" ht="22.5" customHeight="1" x14ac:dyDescent="0.3">
      <c r="H99" s="1">
        <f>0.14*Table11819202310303132362[[#This Row],[النولون]]</f>
        <v>0</v>
      </c>
      <c r="K9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99" s="1">
        <f>M98+Table11819202310303132362[[#This Row],[اجمالي الفاتوره]]-Table11819202310303132362[[#This Row],[الدفعات]]</f>
        <v>1.0000000000186446</v>
      </c>
      <c r="O99" s="48"/>
    </row>
    <row r="100" spans="8:15" ht="22.5" customHeight="1" x14ac:dyDescent="0.3">
      <c r="H100" s="1">
        <f>0.14*Table11819202310303132362[[#This Row],[النولون]]</f>
        <v>0</v>
      </c>
      <c r="K10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00" s="1">
        <f>M99+Table11819202310303132362[[#This Row],[اجمالي الفاتوره]]-Table11819202310303132362[[#This Row],[الدفعات]]</f>
        <v>1.0000000000186446</v>
      </c>
      <c r="O100" s="48"/>
    </row>
    <row r="101" spans="8:15" ht="22.5" customHeight="1" x14ac:dyDescent="0.3">
      <c r="H101" s="1">
        <f>0.14*Table11819202310303132362[[#This Row],[النولون]]</f>
        <v>0</v>
      </c>
      <c r="K10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01" s="1">
        <f>M100+Table11819202310303132362[[#This Row],[اجمالي الفاتوره]]-Table11819202310303132362[[#This Row],[الدفعات]]</f>
        <v>1.0000000000186446</v>
      </c>
      <c r="O101" s="48"/>
    </row>
    <row r="102" spans="8:15" ht="22.5" customHeight="1" x14ac:dyDescent="0.3">
      <c r="H102" s="1">
        <f>0.14*Table11819202310303132362[[#This Row],[النولون]]</f>
        <v>0</v>
      </c>
      <c r="K10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02" s="1">
        <f>M101+Table11819202310303132362[[#This Row],[اجمالي الفاتوره]]-Table11819202310303132362[[#This Row],[الدفعات]]</f>
        <v>1.0000000000186446</v>
      </c>
      <c r="O102" s="48"/>
    </row>
    <row r="103" spans="8:15" ht="22.5" customHeight="1" x14ac:dyDescent="0.3">
      <c r="H103" s="1">
        <f>0.14*Table11819202310303132362[[#This Row],[النولون]]</f>
        <v>0</v>
      </c>
      <c r="K10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03" s="1">
        <f>M102+Table11819202310303132362[[#This Row],[اجمالي الفاتوره]]-Table11819202310303132362[[#This Row],[الدفعات]]</f>
        <v>1.0000000000186446</v>
      </c>
      <c r="O103" s="48"/>
    </row>
    <row r="104" spans="8:15" ht="22.5" customHeight="1" x14ac:dyDescent="0.3">
      <c r="H104" s="1">
        <f>0.14*Table11819202310303132362[[#This Row],[النولون]]</f>
        <v>0</v>
      </c>
      <c r="K10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04" s="1">
        <f>M103+Table11819202310303132362[[#This Row],[اجمالي الفاتوره]]-Table11819202310303132362[[#This Row],[الدفعات]]</f>
        <v>1.0000000000186446</v>
      </c>
      <c r="O104" s="48"/>
    </row>
    <row r="105" spans="8:15" ht="22.5" customHeight="1" x14ac:dyDescent="0.3">
      <c r="H105" s="1">
        <f>0.14*Table11819202310303132362[[#This Row],[النولون]]</f>
        <v>0</v>
      </c>
      <c r="K10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05" s="1">
        <f>M104+Table11819202310303132362[[#This Row],[اجمالي الفاتوره]]-Table11819202310303132362[[#This Row],[الدفعات]]</f>
        <v>1.0000000000186446</v>
      </c>
      <c r="O105" s="48"/>
    </row>
    <row r="106" spans="8:15" ht="22.5" customHeight="1" x14ac:dyDescent="0.3">
      <c r="H106" s="1">
        <f>0.14*Table11819202310303132362[[#This Row],[النولون]]</f>
        <v>0</v>
      </c>
      <c r="K10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06" s="1">
        <f>M105+Table11819202310303132362[[#This Row],[اجمالي الفاتوره]]-Table11819202310303132362[[#This Row],[الدفعات]]</f>
        <v>1.0000000000186446</v>
      </c>
      <c r="O106" s="48"/>
    </row>
    <row r="107" spans="8:15" ht="22.5" customHeight="1" x14ac:dyDescent="0.3">
      <c r="H107" s="1">
        <f>0.14*Table11819202310303132362[[#This Row],[النولون]]</f>
        <v>0</v>
      </c>
      <c r="K10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07" s="1">
        <f>M106+Table11819202310303132362[[#This Row],[اجمالي الفاتوره]]-Table11819202310303132362[[#This Row],[الدفعات]]</f>
        <v>1.0000000000186446</v>
      </c>
      <c r="O107" s="48"/>
    </row>
    <row r="108" spans="8:15" ht="22.5" customHeight="1" x14ac:dyDescent="0.3">
      <c r="H108" s="1">
        <f>0.14*Table11819202310303132362[[#This Row],[النولون]]</f>
        <v>0</v>
      </c>
      <c r="K10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08" s="1">
        <f>M107+Table11819202310303132362[[#This Row],[اجمالي الفاتوره]]-Table11819202310303132362[[#This Row],[الدفعات]]</f>
        <v>1.0000000000186446</v>
      </c>
      <c r="O108" s="48"/>
    </row>
    <row r="109" spans="8:15" ht="22.5" customHeight="1" x14ac:dyDescent="0.3">
      <c r="H109" s="1">
        <f>0.14*Table11819202310303132362[[#This Row],[النولون]]</f>
        <v>0</v>
      </c>
      <c r="K10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09" s="1">
        <f>M108+Table11819202310303132362[[#This Row],[اجمالي الفاتوره]]-Table11819202310303132362[[#This Row],[الدفعات]]</f>
        <v>1.0000000000186446</v>
      </c>
      <c r="O109" s="48"/>
    </row>
    <row r="110" spans="8:15" ht="22.5" customHeight="1" x14ac:dyDescent="0.3">
      <c r="H110" s="1">
        <f>0.14*Table11819202310303132362[[#This Row],[النولون]]</f>
        <v>0</v>
      </c>
      <c r="K11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10" s="1">
        <f>M109+Table11819202310303132362[[#This Row],[اجمالي الفاتوره]]-Table11819202310303132362[[#This Row],[الدفعات]]</f>
        <v>1.0000000000186446</v>
      </c>
      <c r="O110" s="48"/>
    </row>
    <row r="111" spans="8:15" ht="22.5" customHeight="1" x14ac:dyDescent="0.3">
      <c r="H111" s="1">
        <f>0.14*Table11819202310303132362[[#This Row],[النولون]]</f>
        <v>0</v>
      </c>
      <c r="K11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11" s="1">
        <f>M110+Table11819202310303132362[[#This Row],[اجمالي الفاتوره]]-Table11819202310303132362[[#This Row],[الدفعات]]</f>
        <v>1.0000000000186446</v>
      </c>
      <c r="O111" s="48"/>
    </row>
    <row r="112" spans="8:15" ht="22.5" customHeight="1" x14ac:dyDescent="0.3">
      <c r="H112" s="1">
        <f>0.14*Table11819202310303132362[[#This Row],[النولون]]</f>
        <v>0</v>
      </c>
      <c r="K11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12" s="1">
        <f>M111+Table11819202310303132362[[#This Row],[اجمالي الفاتوره]]-Table11819202310303132362[[#This Row],[الدفعات]]</f>
        <v>1.0000000000186446</v>
      </c>
      <c r="O112" s="48"/>
    </row>
    <row r="113" spans="8:15" ht="22.5" customHeight="1" x14ac:dyDescent="0.3">
      <c r="H113" s="1">
        <f>0.14*Table11819202310303132362[[#This Row],[النولون]]</f>
        <v>0</v>
      </c>
      <c r="K11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13" s="1">
        <f>M112+Table11819202310303132362[[#This Row],[اجمالي الفاتوره]]-Table11819202310303132362[[#This Row],[الدفعات]]</f>
        <v>1.0000000000186446</v>
      </c>
      <c r="O113" s="48"/>
    </row>
    <row r="114" spans="8:15" ht="22.5" customHeight="1" x14ac:dyDescent="0.3">
      <c r="H114" s="1">
        <f>0.14*Table11819202310303132362[[#This Row],[النولون]]</f>
        <v>0</v>
      </c>
      <c r="K11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14" s="1">
        <f>M113+Table11819202310303132362[[#This Row],[اجمالي الفاتوره]]-Table11819202310303132362[[#This Row],[الدفعات]]</f>
        <v>1.0000000000186446</v>
      </c>
      <c r="O114" s="48"/>
    </row>
    <row r="115" spans="8:15" ht="22.5" customHeight="1" x14ac:dyDescent="0.3">
      <c r="H115" s="1">
        <f>0.14*Table11819202310303132362[[#This Row],[النولون]]</f>
        <v>0</v>
      </c>
      <c r="K11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15" s="1">
        <f>M114+Table11819202310303132362[[#This Row],[اجمالي الفاتوره]]-Table11819202310303132362[[#This Row],[الدفعات]]</f>
        <v>1.0000000000186446</v>
      </c>
      <c r="O115" s="48"/>
    </row>
    <row r="116" spans="8:15" ht="22.5" customHeight="1" x14ac:dyDescent="0.3">
      <c r="H116" s="1">
        <f>0.14*Table11819202310303132362[[#This Row],[النولون]]</f>
        <v>0</v>
      </c>
      <c r="K11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16" s="1">
        <f>M115+Table11819202310303132362[[#This Row],[اجمالي الفاتوره]]-Table11819202310303132362[[#This Row],[الدفعات]]</f>
        <v>1.0000000000186446</v>
      </c>
      <c r="O116" s="48"/>
    </row>
    <row r="117" spans="8:15" ht="22.5" customHeight="1" x14ac:dyDescent="0.3">
      <c r="H117" s="1">
        <f>0.14*Table11819202310303132362[[#This Row],[النولون]]</f>
        <v>0</v>
      </c>
      <c r="K11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17" s="1">
        <f>M116+Table11819202310303132362[[#This Row],[اجمالي الفاتوره]]-Table11819202310303132362[[#This Row],[الدفعات]]</f>
        <v>1.0000000000186446</v>
      </c>
      <c r="O117" s="48"/>
    </row>
    <row r="118" spans="8:15" ht="22.5" customHeight="1" x14ac:dyDescent="0.3">
      <c r="H118" s="1">
        <f>0.14*Table11819202310303132362[[#This Row],[النولون]]</f>
        <v>0</v>
      </c>
      <c r="K11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18" s="1">
        <f>M117+Table11819202310303132362[[#This Row],[اجمالي الفاتوره]]-Table11819202310303132362[[#This Row],[الدفعات]]</f>
        <v>1.0000000000186446</v>
      </c>
      <c r="O118" s="48"/>
    </row>
    <row r="119" spans="8:15" ht="22.5" customHeight="1" x14ac:dyDescent="0.3">
      <c r="H119" s="1">
        <f>0.14*Table11819202310303132362[[#This Row],[النولون]]</f>
        <v>0</v>
      </c>
      <c r="K11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19" s="1">
        <f>M118+Table11819202310303132362[[#This Row],[اجمالي الفاتوره]]-Table11819202310303132362[[#This Row],[الدفعات]]</f>
        <v>1.0000000000186446</v>
      </c>
      <c r="O119" s="48"/>
    </row>
    <row r="120" spans="8:15" ht="22.5" customHeight="1" x14ac:dyDescent="0.3">
      <c r="H120" s="1">
        <f>0.14*Table11819202310303132362[[#This Row],[النولون]]</f>
        <v>0</v>
      </c>
      <c r="K12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20" s="1">
        <f>M119+Table11819202310303132362[[#This Row],[اجمالي الفاتوره]]-Table11819202310303132362[[#This Row],[الدفعات]]</f>
        <v>1.0000000000186446</v>
      </c>
      <c r="O120" s="48"/>
    </row>
    <row r="121" spans="8:15" ht="22.5" customHeight="1" x14ac:dyDescent="0.3">
      <c r="H121" s="1">
        <f>0.14*Table11819202310303132362[[#This Row],[النولون]]</f>
        <v>0</v>
      </c>
      <c r="K12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21" s="1">
        <f>M120+Table11819202310303132362[[#This Row],[اجمالي الفاتوره]]-Table11819202310303132362[[#This Row],[الدفعات]]</f>
        <v>1.0000000000186446</v>
      </c>
      <c r="O121" s="48"/>
    </row>
    <row r="122" spans="8:15" ht="22.5" customHeight="1" x14ac:dyDescent="0.3">
      <c r="H122" s="1">
        <f>0.14*Table11819202310303132362[[#This Row],[النولون]]</f>
        <v>0</v>
      </c>
      <c r="K12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22" s="1">
        <f>M121+Table11819202310303132362[[#This Row],[اجمالي الفاتوره]]-Table11819202310303132362[[#This Row],[الدفعات]]</f>
        <v>1.0000000000186446</v>
      </c>
      <c r="O122" s="48"/>
    </row>
    <row r="123" spans="8:15" ht="22.5" customHeight="1" x14ac:dyDescent="0.3">
      <c r="H123" s="1">
        <f>0.14*Table11819202310303132362[[#This Row],[النولون]]</f>
        <v>0</v>
      </c>
      <c r="K12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23" s="1">
        <f>M122+Table11819202310303132362[[#This Row],[اجمالي الفاتوره]]-Table11819202310303132362[[#This Row],[الدفعات]]</f>
        <v>1.0000000000186446</v>
      </c>
      <c r="O123" s="48"/>
    </row>
    <row r="124" spans="8:15" ht="22.5" customHeight="1" x14ac:dyDescent="0.3">
      <c r="H124" s="1">
        <f>0.14*Table11819202310303132362[[#This Row],[النولون]]</f>
        <v>0</v>
      </c>
      <c r="K12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24" s="1">
        <f>M123+Table11819202310303132362[[#This Row],[اجمالي الفاتوره]]-Table11819202310303132362[[#This Row],[الدفعات]]</f>
        <v>1.0000000000186446</v>
      </c>
      <c r="O124" s="48"/>
    </row>
    <row r="125" spans="8:15" ht="22.5" customHeight="1" x14ac:dyDescent="0.3">
      <c r="H125" s="1">
        <f>0.14*Table11819202310303132362[[#This Row],[النولون]]</f>
        <v>0</v>
      </c>
      <c r="K12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25" s="1">
        <f>M124+Table11819202310303132362[[#This Row],[اجمالي الفاتوره]]-Table11819202310303132362[[#This Row],[الدفعات]]</f>
        <v>1.0000000000186446</v>
      </c>
      <c r="O125" s="48"/>
    </row>
    <row r="126" spans="8:15" ht="22.5" customHeight="1" x14ac:dyDescent="0.3">
      <c r="H126" s="1">
        <f>0.14*Table11819202310303132362[[#This Row],[النولون]]</f>
        <v>0</v>
      </c>
      <c r="K12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26" s="1">
        <f>M125+Table11819202310303132362[[#This Row],[اجمالي الفاتوره]]-Table11819202310303132362[[#This Row],[الدفعات]]</f>
        <v>1.0000000000186446</v>
      </c>
      <c r="O126" s="48"/>
    </row>
    <row r="127" spans="8:15" ht="22.5" customHeight="1" x14ac:dyDescent="0.3">
      <c r="H127" s="1">
        <f>0.14*Table11819202310303132362[[#This Row],[النولون]]</f>
        <v>0</v>
      </c>
      <c r="K12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27" s="1">
        <f>M126+Table11819202310303132362[[#This Row],[اجمالي الفاتوره]]-Table11819202310303132362[[#This Row],[الدفعات]]</f>
        <v>1.0000000000186446</v>
      </c>
      <c r="O127" s="48"/>
    </row>
    <row r="128" spans="8:15" ht="22.5" customHeight="1" x14ac:dyDescent="0.3">
      <c r="H128" s="1">
        <f>0.14*Table11819202310303132362[[#This Row],[النولون]]</f>
        <v>0</v>
      </c>
      <c r="K12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28" s="1">
        <f>M127+Table11819202310303132362[[#This Row],[اجمالي الفاتوره]]-Table11819202310303132362[[#This Row],[الدفعات]]</f>
        <v>1.0000000000186446</v>
      </c>
      <c r="O128" s="48"/>
    </row>
    <row r="129" spans="8:15" ht="22.5" customHeight="1" x14ac:dyDescent="0.3">
      <c r="H129" s="1">
        <f>0.14*Table11819202310303132362[[#This Row],[النولون]]</f>
        <v>0</v>
      </c>
      <c r="K12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29" s="1">
        <f>M128+Table11819202310303132362[[#This Row],[اجمالي الفاتوره]]-Table11819202310303132362[[#This Row],[الدفعات]]</f>
        <v>1.0000000000186446</v>
      </c>
      <c r="O129" s="48"/>
    </row>
    <row r="130" spans="8:15" ht="22.5" customHeight="1" x14ac:dyDescent="0.3">
      <c r="H130" s="1">
        <f>0.14*Table11819202310303132362[[#This Row],[النولون]]</f>
        <v>0</v>
      </c>
      <c r="K13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30" s="1">
        <f>M129+Table11819202310303132362[[#This Row],[اجمالي الفاتوره]]-Table11819202310303132362[[#This Row],[الدفعات]]</f>
        <v>1.0000000000186446</v>
      </c>
      <c r="O130" s="48"/>
    </row>
    <row r="131" spans="8:15" ht="22.5" customHeight="1" x14ac:dyDescent="0.3">
      <c r="H131" s="1">
        <f>0.14*Table11819202310303132362[[#This Row],[النولون]]</f>
        <v>0</v>
      </c>
      <c r="K13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31" s="1">
        <f>M130+Table11819202310303132362[[#This Row],[اجمالي الفاتوره]]-Table11819202310303132362[[#This Row],[الدفعات]]</f>
        <v>1.0000000000186446</v>
      </c>
      <c r="O131" s="48"/>
    </row>
    <row r="132" spans="8:15" ht="22.5" customHeight="1" x14ac:dyDescent="0.3">
      <c r="H132" s="1">
        <f>0.14*Table11819202310303132362[[#This Row],[النولون]]</f>
        <v>0</v>
      </c>
      <c r="K13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32" s="1">
        <f>M131+Table11819202310303132362[[#This Row],[اجمالي الفاتوره]]-Table11819202310303132362[[#This Row],[الدفعات]]</f>
        <v>1.0000000000186446</v>
      </c>
      <c r="O132" s="48"/>
    </row>
    <row r="133" spans="8:15" ht="22.5" customHeight="1" x14ac:dyDescent="0.3">
      <c r="H133" s="1">
        <f>0.14*Table11819202310303132362[[#This Row],[النولون]]</f>
        <v>0</v>
      </c>
      <c r="K13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33" s="1">
        <f>M132+Table11819202310303132362[[#This Row],[اجمالي الفاتوره]]-Table11819202310303132362[[#This Row],[الدفعات]]</f>
        <v>1.0000000000186446</v>
      </c>
      <c r="O133" s="48"/>
    </row>
    <row r="134" spans="8:15" ht="22.5" customHeight="1" x14ac:dyDescent="0.3">
      <c r="H134" s="1">
        <f>0.14*Table11819202310303132362[[#This Row],[النولون]]</f>
        <v>0</v>
      </c>
      <c r="K13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34" s="1">
        <f>M133+Table11819202310303132362[[#This Row],[اجمالي الفاتوره]]-Table11819202310303132362[[#This Row],[الدفعات]]</f>
        <v>1.0000000000186446</v>
      </c>
      <c r="O134" s="48"/>
    </row>
    <row r="135" spans="8:15" ht="22.5" customHeight="1" x14ac:dyDescent="0.3">
      <c r="H135" s="1">
        <f>0.14*Table11819202310303132362[[#This Row],[النولون]]</f>
        <v>0</v>
      </c>
      <c r="K13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35" s="1">
        <f>M134+Table11819202310303132362[[#This Row],[اجمالي الفاتوره]]-Table11819202310303132362[[#This Row],[الدفعات]]</f>
        <v>1.0000000000186446</v>
      </c>
      <c r="O135" s="48"/>
    </row>
    <row r="136" spans="8:15" ht="22.5" customHeight="1" x14ac:dyDescent="0.3">
      <c r="H136" s="1">
        <f>0.14*Table11819202310303132362[[#This Row],[النولون]]</f>
        <v>0</v>
      </c>
      <c r="K13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36" s="1">
        <f>M135+Table11819202310303132362[[#This Row],[اجمالي الفاتوره]]-Table11819202310303132362[[#This Row],[الدفعات]]</f>
        <v>1.0000000000186446</v>
      </c>
      <c r="O136" s="48"/>
    </row>
    <row r="137" spans="8:15" ht="22.5" customHeight="1" x14ac:dyDescent="0.3">
      <c r="H137" s="1">
        <f>0.14*Table11819202310303132362[[#This Row],[النولون]]</f>
        <v>0</v>
      </c>
      <c r="K13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37" s="1">
        <f>M136+Table11819202310303132362[[#This Row],[اجمالي الفاتوره]]-Table11819202310303132362[[#This Row],[الدفعات]]</f>
        <v>1.0000000000186446</v>
      </c>
      <c r="O137" s="48"/>
    </row>
    <row r="138" spans="8:15" ht="22.5" customHeight="1" x14ac:dyDescent="0.3">
      <c r="H138" s="1">
        <f>0.14*Table11819202310303132362[[#This Row],[النولون]]</f>
        <v>0</v>
      </c>
      <c r="K13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38" s="1">
        <f>M137+Table11819202310303132362[[#This Row],[اجمالي الفاتوره]]-Table11819202310303132362[[#This Row],[الدفعات]]</f>
        <v>1.0000000000186446</v>
      </c>
      <c r="O138" s="48"/>
    </row>
    <row r="139" spans="8:15" ht="22.5" customHeight="1" x14ac:dyDescent="0.3">
      <c r="H139" s="1">
        <f>0.14*Table11819202310303132362[[#This Row],[النولون]]</f>
        <v>0</v>
      </c>
      <c r="K13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39" s="1">
        <f>M138+Table11819202310303132362[[#This Row],[اجمالي الفاتوره]]-Table11819202310303132362[[#This Row],[الدفعات]]</f>
        <v>1.0000000000186446</v>
      </c>
      <c r="O139" s="48"/>
    </row>
    <row r="140" spans="8:15" ht="22.5" customHeight="1" x14ac:dyDescent="0.3">
      <c r="H140" s="1">
        <f>0.14*Table11819202310303132362[[#This Row],[النولون]]</f>
        <v>0</v>
      </c>
      <c r="K14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40" s="1">
        <f>M139+Table11819202310303132362[[#This Row],[اجمالي الفاتوره]]-Table11819202310303132362[[#This Row],[الدفعات]]</f>
        <v>1.0000000000186446</v>
      </c>
      <c r="O140" s="48"/>
    </row>
    <row r="141" spans="8:15" ht="22.5" customHeight="1" x14ac:dyDescent="0.3">
      <c r="H141" s="1">
        <f>0.14*Table11819202310303132362[[#This Row],[النولون]]</f>
        <v>0</v>
      </c>
      <c r="K14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41" s="1">
        <f>M140+Table11819202310303132362[[#This Row],[اجمالي الفاتوره]]-Table11819202310303132362[[#This Row],[الدفعات]]</f>
        <v>1.0000000000186446</v>
      </c>
      <c r="O141" s="48"/>
    </row>
    <row r="142" spans="8:15" ht="22.5" customHeight="1" x14ac:dyDescent="0.3">
      <c r="H142" s="1">
        <f>0.14*Table11819202310303132362[[#This Row],[النولون]]</f>
        <v>0</v>
      </c>
      <c r="K14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42" s="1">
        <f>M141+Table11819202310303132362[[#This Row],[اجمالي الفاتوره]]-Table11819202310303132362[[#This Row],[الدفعات]]</f>
        <v>1.0000000000186446</v>
      </c>
      <c r="O142" s="48"/>
    </row>
    <row r="143" spans="8:15" ht="22.5" customHeight="1" x14ac:dyDescent="0.3">
      <c r="H143" s="1">
        <f>0.14*Table11819202310303132362[[#This Row],[النولون]]</f>
        <v>0</v>
      </c>
      <c r="K14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43" s="1">
        <f>M142+Table11819202310303132362[[#This Row],[اجمالي الفاتوره]]-Table11819202310303132362[[#This Row],[الدفعات]]</f>
        <v>1.0000000000186446</v>
      </c>
      <c r="O143" s="48"/>
    </row>
    <row r="144" spans="8:15" ht="22.5" customHeight="1" x14ac:dyDescent="0.3">
      <c r="H144" s="1">
        <f>0.14*Table11819202310303132362[[#This Row],[النولون]]</f>
        <v>0</v>
      </c>
      <c r="K14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44" s="1">
        <f>M143+Table11819202310303132362[[#This Row],[اجمالي الفاتوره]]-Table11819202310303132362[[#This Row],[الدفعات]]</f>
        <v>1.0000000000186446</v>
      </c>
      <c r="O144" s="48"/>
    </row>
    <row r="145" spans="8:15" ht="22.5" customHeight="1" x14ac:dyDescent="0.3">
      <c r="H145" s="1">
        <f>0.14*Table11819202310303132362[[#This Row],[النولون]]</f>
        <v>0</v>
      </c>
      <c r="K14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45" s="1">
        <f>M144+Table11819202310303132362[[#This Row],[اجمالي الفاتوره]]-Table11819202310303132362[[#This Row],[الدفعات]]</f>
        <v>1.0000000000186446</v>
      </c>
      <c r="O145" s="48"/>
    </row>
    <row r="146" spans="8:15" ht="22.5" customHeight="1" x14ac:dyDescent="0.3">
      <c r="H146" s="1">
        <f>0.14*Table11819202310303132362[[#This Row],[النولون]]</f>
        <v>0</v>
      </c>
      <c r="K14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46" s="1">
        <f>M145+Table11819202310303132362[[#This Row],[اجمالي الفاتوره]]-Table11819202310303132362[[#This Row],[الدفعات]]</f>
        <v>1.0000000000186446</v>
      </c>
      <c r="O146" s="48"/>
    </row>
    <row r="147" spans="8:15" ht="22.5" customHeight="1" x14ac:dyDescent="0.3">
      <c r="H147" s="1">
        <f>0.14*Table11819202310303132362[[#This Row],[النولون]]</f>
        <v>0</v>
      </c>
      <c r="K14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47" s="1">
        <f>M146+Table11819202310303132362[[#This Row],[اجمالي الفاتوره]]-Table11819202310303132362[[#This Row],[الدفعات]]</f>
        <v>1.0000000000186446</v>
      </c>
      <c r="O147" s="48"/>
    </row>
    <row r="148" spans="8:15" ht="22.5" customHeight="1" x14ac:dyDescent="0.3">
      <c r="H148" s="1">
        <f>0.14*Table11819202310303132362[[#This Row],[النولون]]</f>
        <v>0</v>
      </c>
      <c r="K14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48" s="1">
        <f>M147+Table11819202310303132362[[#This Row],[اجمالي الفاتوره]]-Table11819202310303132362[[#This Row],[الدفعات]]</f>
        <v>1.0000000000186446</v>
      </c>
      <c r="O148" s="48"/>
    </row>
    <row r="149" spans="8:15" ht="22.5" customHeight="1" x14ac:dyDescent="0.3">
      <c r="H149" s="1">
        <f>0.14*Table11819202310303132362[[#This Row],[النولون]]</f>
        <v>0</v>
      </c>
      <c r="K14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49" s="1">
        <f>M148+Table11819202310303132362[[#This Row],[اجمالي الفاتوره]]-Table11819202310303132362[[#This Row],[الدفعات]]</f>
        <v>1.0000000000186446</v>
      </c>
      <c r="O149" s="48"/>
    </row>
    <row r="150" spans="8:15" ht="22.5" customHeight="1" x14ac:dyDescent="0.3">
      <c r="H150" s="1">
        <f>0.14*Table11819202310303132362[[#This Row],[النولون]]</f>
        <v>0</v>
      </c>
      <c r="K15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50" s="1">
        <f>M149+Table11819202310303132362[[#This Row],[اجمالي الفاتوره]]-Table11819202310303132362[[#This Row],[الدفعات]]</f>
        <v>1.0000000000186446</v>
      </c>
      <c r="O150" s="48"/>
    </row>
    <row r="151" spans="8:15" ht="22.5" customHeight="1" x14ac:dyDescent="0.3">
      <c r="H151" s="1">
        <f>0.14*Table11819202310303132362[[#This Row],[النولون]]</f>
        <v>0</v>
      </c>
      <c r="K15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51" s="1">
        <f>M150+Table11819202310303132362[[#This Row],[اجمالي الفاتوره]]-Table11819202310303132362[[#This Row],[الدفعات]]</f>
        <v>1.0000000000186446</v>
      </c>
      <c r="O151" s="48"/>
    </row>
    <row r="152" spans="8:15" ht="22.5" customHeight="1" x14ac:dyDescent="0.3">
      <c r="H152" s="1">
        <f>0.14*Table11819202310303132362[[#This Row],[النولون]]</f>
        <v>0</v>
      </c>
      <c r="K15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52" s="1">
        <f>M151+Table11819202310303132362[[#This Row],[اجمالي الفاتوره]]-Table11819202310303132362[[#This Row],[الدفعات]]</f>
        <v>1.0000000000186446</v>
      </c>
      <c r="O152" s="48"/>
    </row>
    <row r="153" spans="8:15" ht="22.5" customHeight="1" x14ac:dyDescent="0.3">
      <c r="H153" s="1">
        <f>0.14*Table11819202310303132362[[#This Row],[النولون]]</f>
        <v>0</v>
      </c>
      <c r="K15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53" s="1">
        <f>M152+Table11819202310303132362[[#This Row],[اجمالي الفاتوره]]-Table11819202310303132362[[#This Row],[الدفعات]]</f>
        <v>1.0000000000186446</v>
      </c>
      <c r="O153" s="48"/>
    </row>
    <row r="154" spans="8:15" ht="22.5" customHeight="1" x14ac:dyDescent="0.3">
      <c r="H154" s="1">
        <f>0.14*Table11819202310303132362[[#This Row],[النولون]]</f>
        <v>0</v>
      </c>
      <c r="K15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54" s="1">
        <f>M153+Table11819202310303132362[[#This Row],[اجمالي الفاتوره]]-Table11819202310303132362[[#This Row],[الدفعات]]</f>
        <v>1.0000000000186446</v>
      </c>
      <c r="O154" s="48"/>
    </row>
    <row r="155" spans="8:15" ht="22.5" customHeight="1" x14ac:dyDescent="0.3">
      <c r="H155" s="1">
        <f>0.14*Table11819202310303132362[[#This Row],[النولون]]</f>
        <v>0</v>
      </c>
      <c r="K15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55" s="1">
        <f>M154+Table11819202310303132362[[#This Row],[اجمالي الفاتوره]]-Table11819202310303132362[[#This Row],[الدفعات]]</f>
        <v>1.0000000000186446</v>
      </c>
      <c r="O155" s="48"/>
    </row>
    <row r="156" spans="8:15" ht="22.5" customHeight="1" x14ac:dyDescent="0.3">
      <c r="H156" s="1">
        <f>0.14*Table11819202310303132362[[#This Row],[النولون]]</f>
        <v>0</v>
      </c>
      <c r="K15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56" s="1">
        <f>M155+Table11819202310303132362[[#This Row],[اجمالي الفاتوره]]-Table11819202310303132362[[#This Row],[الدفعات]]</f>
        <v>1.0000000000186446</v>
      </c>
      <c r="O156" s="48"/>
    </row>
    <row r="157" spans="8:15" ht="22.5" customHeight="1" x14ac:dyDescent="0.3">
      <c r="H157" s="1">
        <f>0.14*Table11819202310303132362[[#This Row],[النولون]]</f>
        <v>0</v>
      </c>
      <c r="K15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57" s="1">
        <f>M156+Table11819202310303132362[[#This Row],[اجمالي الفاتوره]]-Table11819202310303132362[[#This Row],[الدفعات]]</f>
        <v>1.0000000000186446</v>
      </c>
      <c r="O157" s="48"/>
    </row>
    <row r="158" spans="8:15" ht="22.5" customHeight="1" x14ac:dyDescent="0.3">
      <c r="H158" s="1">
        <f>0.14*Table11819202310303132362[[#This Row],[النولون]]</f>
        <v>0</v>
      </c>
      <c r="K15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58" s="1">
        <f>M157+Table11819202310303132362[[#This Row],[اجمالي الفاتوره]]-Table11819202310303132362[[#This Row],[الدفعات]]</f>
        <v>1.0000000000186446</v>
      </c>
      <c r="O158" s="48"/>
    </row>
    <row r="159" spans="8:15" ht="22.5" customHeight="1" x14ac:dyDescent="0.3">
      <c r="H159" s="1">
        <f>0.14*Table11819202310303132362[[#This Row],[النولون]]</f>
        <v>0</v>
      </c>
      <c r="K15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59" s="1">
        <f>M158+Table11819202310303132362[[#This Row],[اجمالي الفاتوره]]-Table11819202310303132362[[#This Row],[الدفعات]]</f>
        <v>1.0000000000186446</v>
      </c>
      <c r="O159" s="48"/>
    </row>
    <row r="160" spans="8:15" ht="22.5" customHeight="1" x14ac:dyDescent="0.3">
      <c r="H160" s="1">
        <f>0.14*Table11819202310303132362[[#This Row],[النولون]]</f>
        <v>0</v>
      </c>
      <c r="K16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60" s="1">
        <f>M159+Table11819202310303132362[[#This Row],[اجمالي الفاتوره]]-Table11819202310303132362[[#This Row],[الدفعات]]</f>
        <v>1.0000000000186446</v>
      </c>
      <c r="O160" s="48"/>
    </row>
    <row r="161" spans="8:15" ht="22.5" customHeight="1" x14ac:dyDescent="0.3">
      <c r="H161" s="1">
        <f>0.14*Table11819202310303132362[[#This Row],[النولون]]</f>
        <v>0</v>
      </c>
      <c r="K16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61" s="1">
        <f>M160+Table11819202310303132362[[#This Row],[اجمالي الفاتوره]]-Table11819202310303132362[[#This Row],[الدفعات]]</f>
        <v>1.0000000000186446</v>
      </c>
      <c r="O161" s="48"/>
    </row>
    <row r="162" spans="8:15" ht="22.5" customHeight="1" x14ac:dyDescent="0.3">
      <c r="H162" s="1">
        <f>0.14*Table11819202310303132362[[#This Row],[النولون]]</f>
        <v>0</v>
      </c>
      <c r="K16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62" s="1">
        <f>M161+Table11819202310303132362[[#This Row],[اجمالي الفاتوره]]-Table11819202310303132362[[#This Row],[الدفعات]]</f>
        <v>1.0000000000186446</v>
      </c>
      <c r="O162" s="48"/>
    </row>
    <row r="163" spans="8:15" ht="22.5" customHeight="1" x14ac:dyDescent="0.3">
      <c r="H163" s="1">
        <f>0.14*Table11819202310303132362[[#This Row],[النولون]]</f>
        <v>0</v>
      </c>
      <c r="K16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63" s="1">
        <f>M162+Table11819202310303132362[[#This Row],[اجمالي الفاتوره]]-Table11819202310303132362[[#This Row],[الدفعات]]</f>
        <v>1.0000000000186446</v>
      </c>
      <c r="O163" s="48"/>
    </row>
    <row r="164" spans="8:15" ht="22.5" customHeight="1" x14ac:dyDescent="0.3">
      <c r="H164" s="1">
        <f>0.14*Table11819202310303132362[[#This Row],[النولون]]</f>
        <v>0</v>
      </c>
      <c r="K16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64" s="1">
        <f>M163+Table11819202310303132362[[#This Row],[اجمالي الفاتوره]]-Table11819202310303132362[[#This Row],[الدفعات]]</f>
        <v>1.0000000000186446</v>
      </c>
      <c r="O164" s="48"/>
    </row>
    <row r="165" spans="8:15" ht="22.5" customHeight="1" x14ac:dyDescent="0.3">
      <c r="H165" s="1">
        <f>0.14*Table11819202310303132362[[#This Row],[النولون]]</f>
        <v>0</v>
      </c>
      <c r="K16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65" s="1">
        <f>M164+Table11819202310303132362[[#This Row],[اجمالي الفاتوره]]-Table11819202310303132362[[#This Row],[الدفعات]]</f>
        <v>1.0000000000186446</v>
      </c>
      <c r="O165" s="48"/>
    </row>
    <row r="166" spans="8:15" ht="22.5" customHeight="1" x14ac:dyDescent="0.3">
      <c r="H166" s="1">
        <f>0.14*Table11819202310303132362[[#This Row],[النولون]]</f>
        <v>0</v>
      </c>
      <c r="K16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66" s="1">
        <f>M165+Table11819202310303132362[[#This Row],[اجمالي الفاتوره]]-Table11819202310303132362[[#This Row],[الدفعات]]</f>
        <v>1.0000000000186446</v>
      </c>
      <c r="O166" s="48"/>
    </row>
    <row r="167" spans="8:15" ht="22.5" customHeight="1" x14ac:dyDescent="0.3">
      <c r="H167" s="1">
        <f>0.14*Table11819202310303132362[[#This Row],[النولون]]</f>
        <v>0</v>
      </c>
      <c r="K16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67" s="1">
        <f>M166+Table11819202310303132362[[#This Row],[اجمالي الفاتوره]]-Table11819202310303132362[[#This Row],[الدفعات]]</f>
        <v>1.0000000000186446</v>
      </c>
      <c r="O167" s="48"/>
    </row>
    <row r="168" spans="8:15" ht="22.5" customHeight="1" x14ac:dyDescent="0.3">
      <c r="H168" s="1">
        <f>0.14*Table11819202310303132362[[#This Row],[النولون]]</f>
        <v>0</v>
      </c>
      <c r="K16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68" s="1">
        <f>M167+Table11819202310303132362[[#This Row],[اجمالي الفاتوره]]-Table11819202310303132362[[#This Row],[الدفعات]]</f>
        <v>1.0000000000186446</v>
      </c>
      <c r="O168" s="48"/>
    </row>
    <row r="169" spans="8:15" ht="22.5" customHeight="1" x14ac:dyDescent="0.3">
      <c r="H169" s="1">
        <f>0.14*Table11819202310303132362[[#This Row],[النولون]]</f>
        <v>0</v>
      </c>
      <c r="K16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69" s="1">
        <f>M168+Table11819202310303132362[[#This Row],[اجمالي الفاتوره]]-Table11819202310303132362[[#This Row],[الدفعات]]</f>
        <v>1.0000000000186446</v>
      </c>
      <c r="O169" s="48"/>
    </row>
    <row r="170" spans="8:15" ht="22.5" customHeight="1" x14ac:dyDescent="0.3">
      <c r="H170" s="1">
        <f>0.14*Table11819202310303132362[[#This Row],[النولون]]</f>
        <v>0</v>
      </c>
      <c r="K17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70" s="1">
        <f>M169+Table11819202310303132362[[#This Row],[اجمالي الفاتوره]]-Table11819202310303132362[[#This Row],[الدفعات]]</f>
        <v>1.0000000000186446</v>
      </c>
      <c r="O170" s="48"/>
    </row>
    <row r="171" spans="8:15" ht="22.5" customHeight="1" x14ac:dyDescent="0.3">
      <c r="H171" s="1">
        <f>0.14*Table11819202310303132362[[#This Row],[النولون]]</f>
        <v>0</v>
      </c>
      <c r="K17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71" s="1">
        <f>M170+Table11819202310303132362[[#This Row],[اجمالي الفاتوره]]-Table11819202310303132362[[#This Row],[الدفعات]]</f>
        <v>1.0000000000186446</v>
      </c>
      <c r="O171" s="48"/>
    </row>
    <row r="172" spans="8:15" ht="22.5" customHeight="1" x14ac:dyDescent="0.3">
      <c r="H172" s="1">
        <f>0.14*Table11819202310303132362[[#This Row],[النولون]]</f>
        <v>0</v>
      </c>
      <c r="K17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72" s="1">
        <f>M171+Table11819202310303132362[[#This Row],[اجمالي الفاتوره]]-Table11819202310303132362[[#This Row],[الدفعات]]</f>
        <v>1.0000000000186446</v>
      </c>
      <c r="O172" s="48"/>
    </row>
    <row r="173" spans="8:15" ht="22.5" customHeight="1" x14ac:dyDescent="0.3">
      <c r="H173" s="1">
        <f>0.14*Table11819202310303132362[[#This Row],[النولون]]</f>
        <v>0</v>
      </c>
      <c r="K17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73" s="1">
        <f>M172+Table11819202310303132362[[#This Row],[اجمالي الفاتوره]]-Table11819202310303132362[[#This Row],[الدفعات]]</f>
        <v>1.0000000000186446</v>
      </c>
      <c r="O173" s="48"/>
    </row>
    <row r="174" spans="8:15" ht="22.5" customHeight="1" x14ac:dyDescent="0.3">
      <c r="H174" s="1">
        <f>0.14*Table11819202310303132362[[#This Row],[النولون]]</f>
        <v>0</v>
      </c>
      <c r="K17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74" s="1">
        <f>M173+Table11819202310303132362[[#This Row],[اجمالي الفاتوره]]-Table11819202310303132362[[#This Row],[الدفعات]]</f>
        <v>1.0000000000186446</v>
      </c>
      <c r="O174" s="48"/>
    </row>
    <row r="175" spans="8:15" ht="22.5" customHeight="1" x14ac:dyDescent="0.3">
      <c r="H175" s="1">
        <f>0.14*Table11819202310303132362[[#This Row],[النولون]]</f>
        <v>0</v>
      </c>
      <c r="K17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75" s="1">
        <f>M174+Table11819202310303132362[[#This Row],[اجمالي الفاتوره]]-Table11819202310303132362[[#This Row],[الدفعات]]</f>
        <v>1.0000000000186446</v>
      </c>
      <c r="O175" s="48"/>
    </row>
    <row r="176" spans="8:15" ht="22.5" customHeight="1" x14ac:dyDescent="0.3">
      <c r="H176" s="1">
        <f>0.14*Table11819202310303132362[[#This Row],[النولون]]</f>
        <v>0</v>
      </c>
      <c r="K17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76" s="1">
        <f>M175+Table11819202310303132362[[#This Row],[اجمالي الفاتوره]]-Table11819202310303132362[[#This Row],[الدفعات]]</f>
        <v>1.0000000000186446</v>
      </c>
      <c r="O176" s="48"/>
    </row>
    <row r="177" spans="8:15" ht="22.5" customHeight="1" x14ac:dyDescent="0.3">
      <c r="H177" s="1">
        <f>0.14*Table11819202310303132362[[#This Row],[النولون]]</f>
        <v>0</v>
      </c>
      <c r="K17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77" s="1">
        <f>M176+Table11819202310303132362[[#This Row],[اجمالي الفاتوره]]-Table11819202310303132362[[#This Row],[الدفعات]]</f>
        <v>1.0000000000186446</v>
      </c>
      <c r="O177" s="48"/>
    </row>
    <row r="178" spans="8:15" ht="22.5" customHeight="1" x14ac:dyDescent="0.3">
      <c r="H178" s="1">
        <f>0.14*Table11819202310303132362[[#This Row],[النولون]]</f>
        <v>0</v>
      </c>
      <c r="K17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78" s="1">
        <f>M177+Table11819202310303132362[[#This Row],[اجمالي الفاتوره]]-Table11819202310303132362[[#This Row],[الدفعات]]</f>
        <v>1.0000000000186446</v>
      </c>
      <c r="O178" s="48"/>
    </row>
    <row r="179" spans="8:15" ht="22.5" customHeight="1" x14ac:dyDescent="0.3">
      <c r="H179" s="1">
        <f>0.14*Table11819202310303132362[[#This Row],[النولون]]</f>
        <v>0</v>
      </c>
      <c r="K17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79" s="1">
        <f>M178+Table11819202310303132362[[#This Row],[اجمالي الفاتوره]]-Table11819202310303132362[[#This Row],[الدفعات]]</f>
        <v>1.0000000000186446</v>
      </c>
      <c r="O179" s="48"/>
    </row>
    <row r="180" spans="8:15" ht="22.5" customHeight="1" x14ac:dyDescent="0.3">
      <c r="H180" s="1">
        <f>0.14*Table11819202310303132362[[#This Row],[النولون]]</f>
        <v>0</v>
      </c>
      <c r="K18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80" s="1">
        <f>M179+Table11819202310303132362[[#This Row],[اجمالي الفاتوره]]-Table11819202310303132362[[#This Row],[الدفعات]]</f>
        <v>1.0000000000186446</v>
      </c>
      <c r="O180" s="48"/>
    </row>
    <row r="181" spans="8:15" ht="22.5" customHeight="1" x14ac:dyDescent="0.3">
      <c r="H181" s="1">
        <f>0.14*Table11819202310303132362[[#This Row],[النولون]]</f>
        <v>0</v>
      </c>
      <c r="K18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81" s="1">
        <f>M180+Table11819202310303132362[[#This Row],[اجمالي الفاتوره]]-Table11819202310303132362[[#This Row],[الدفعات]]</f>
        <v>1.0000000000186446</v>
      </c>
      <c r="O181" s="48"/>
    </row>
    <row r="182" spans="8:15" ht="22.5" customHeight="1" x14ac:dyDescent="0.3">
      <c r="H182" s="1">
        <f>0.14*Table11819202310303132362[[#This Row],[النولون]]</f>
        <v>0</v>
      </c>
      <c r="K18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82" s="1">
        <f>M181+Table11819202310303132362[[#This Row],[اجمالي الفاتوره]]-Table11819202310303132362[[#This Row],[الدفعات]]</f>
        <v>1.0000000000186446</v>
      </c>
      <c r="O182" s="48"/>
    </row>
    <row r="183" spans="8:15" ht="22.5" customHeight="1" x14ac:dyDescent="0.3">
      <c r="H183" s="1">
        <f>0.14*Table11819202310303132362[[#This Row],[النولون]]</f>
        <v>0</v>
      </c>
      <c r="K18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83" s="1">
        <f>M182+Table11819202310303132362[[#This Row],[اجمالي الفاتوره]]-Table11819202310303132362[[#This Row],[الدفعات]]</f>
        <v>1.0000000000186446</v>
      </c>
      <c r="O183" s="48"/>
    </row>
    <row r="184" spans="8:15" ht="22.5" customHeight="1" x14ac:dyDescent="0.3">
      <c r="H184" s="1">
        <f>0.14*Table11819202310303132362[[#This Row],[النولون]]</f>
        <v>0</v>
      </c>
      <c r="K18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84" s="1">
        <f>M183+Table11819202310303132362[[#This Row],[اجمالي الفاتوره]]-Table11819202310303132362[[#This Row],[الدفعات]]</f>
        <v>1.0000000000186446</v>
      </c>
      <c r="O184" s="48"/>
    </row>
    <row r="185" spans="8:15" ht="22.5" customHeight="1" x14ac:dyDescent="0.3">
      <c r="H185" s="1">
        <f>0.14*Table11819202310303132362[[#This Row],[النولون]]</f>
        <v>0</v>
      </c>
      <c r="K18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85" s="1">
        <f>M184+Table11819202310303132362[[#This Row],[اجمالي الفاتوره]]-Table11819202310303132362[[#This Row],[الدفعات]]</f>
        <v>1.0000000000186446</v>
      </c>
      <c r="O185" s="48"/>
    </row>
    <row r="186" spans="8:15" ht="22.5" customHeight="1" x14ac:dyDescent="0.3">
      <c r="H186" s="1">
        <f>0.14*Table11819202310303132362[[#This Row],[النولون]]</f>
        <v>0</v>
      </c>
      <c r="K18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86" s="1">
        <f>M185+Table11819202310303132362[[#This Row],[اجمالي الفاتوره]]-Table11819202310303132362[[#This Row],[الدفعات]]</f>
        <v>1.0000000000186446</v>
      </c>
      <c r="O186" s="48"/>
    </row>
    <row r="187" spans="8:15" ht="22.5" customHeight="1" x14ac:dyDescent="0.3">
      <c r="H187" s="1">
        <f>0.14*Table11819202310303132362[[#This Row],[النولون]]</f>
        <v>0</v>
      </c>
      <c r="K18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87" s="1">
        <f>M186+Table11819202310303132362[[#This Row],[اجمالي الفاتوره]]-Table11819202310303132362[[#This Row],[الدفعات]]</f>
        <v>1.0000000000186446</v>
      </c>
      <c r="O187" s="48"/>
    </row>
    <row r="188" spans="8:15" ht="22.5" customHeight="1" x14ac:dyDescent="0.3">
      <c r="H188" s="1">
        <f>0.14*Table11819202310303132362[[#This Row],[النولون]]</f>
        <v>0</v>
      </c>
      <c r="K18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88" s="1">
        <f>M187+Table11819202310303132362[[#This Row],[اجمالي الفاتوره]]-Table11819202310303132362[[#This Row],[الدفعات]]</f>
        <v>1.0000000000186446</v>
      </c>
      <c r="O188" s="48"/>
    </row>
    <row r="189" spans="8:15" ht="22.5" customHeight="1" x14ac:dyDescent="0.3">
      <c r="H189" s="1">
        <f>0.14*Table11819202310303132362[[#This Row],[النولون]]</f>
        <v>0</v>
      </c>
      <c r="K18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89" s="1">
        <f>M188+Table11819202310303132362[[#This Row],[اجمالي الفاتوره]]-Table11819202310303132362[[#This Row],[الدفعات]]</f>
        <v>1.0000000000186446</v>
      </c>
      <c r="O189" s="48"/>
    </row>
    <row r="190" spans="8:15" ht="22.5" customHeight="1" x14ac:dyDescent="0.3">
      <c r="H190" s="1">
        <f>0.14*Table11819202310303132362[[#This Row],[النولون]]</f>
        <v>0</v>
      </c>
      <c r="K19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90" s="1">
        <f>M189+Table11819202310303132362[[#This Row],[اجمالي الفاتوره]]-Table11819202310303132362[[#This Row],[الدفعات]]</f>
        <v>1.0000000000186446</v>
      </c>
      <c r="O190" s="48"/>
    </row>
    <row r="191" spans="8:15" ht="22.5" customHeight="1" x14ac:dyDescent="0.3">
      <c r="H191" s="1">
        <f>0.14*Table11819202310303132362[[#This Row],[النولون]]</f>
        <v>0</v>
      </c>
      <c r="K19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91" s="1">
        <f>M190+Table11819202310303132362[[#This Row],[اجمالي الفاتوره]]-Table11819202310303132362[[#This Row],[الدفعات]]</f>
        <v>1.0000000000186446</v>
      </c>
      <c r="O191" s="48"/>
    </row>
    <row r="192" spans="8:15" ht="22.5" customHeight="1" x14ac:dyDescent="0.3">
      <c r="H192" s="1">
        <f>0.14*Table11819202310303132362[[#This Row],[النولون]]</f>
        <v>0</v>
      </c>
      <c r="K19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92" s="1">
        <f>M191+Table11819202310303132362[[#This Row],[اجمالي الفاتوره]]-Table11819202310303132362[[#This Row],[الدفعات]]</f>
        <v>1.0000000000186446</v>
      </c>
      <c r="O192" s="48"/>
    </row>
    <row r="193" spans="8:15" ht="22.5" customHeight="1" x14ac:dyDescent="0.3">
      <c r="H193" s="1">
        <f>0.14*Table11819202310303132362[[#This Row],[النولون]]</f>
        <v>0</v>
      </c>
      <c r="K19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93" s="1">
        <f>M192+Table11819202310303132362[[#This Row],[اجمالي الفاتوره]]-Table11819202310303132362[[#This Row],[الدفعات]]</f>
        <v>1.0000000000186446</v>
      </c>
      <c r="O193" s="48"/>
    </row>
    <row r="194" spans="8:15" ht="22.5" customHeight="1" x14ac:dyDescent="0.3">
      <c r="H194" s="1">
        <f>0.14*Table11819202310303132362[[#This Row],[النولون]]</f>
        <v>0</v>
      </c>
      <c r="K19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94" s="1">
        <f>M193+Table11819202310303132362[[#This Row],[اجمالي الفاتوره]]-Table11819202310303132362[[#This Row],[الدفعات]]</f>
        <v>1.0000000000186446</v>
      </c>
      <c r="O194" s="48"/>
    </row>
    <row r="195" spans="8:15" ht="22.5" customHeight="1" x14ac:dyDescent="0.3">
      <c r="H195" s="1">
        <f>0.14*Table11819202310303132362[[#This Row],[النولون]]</f>
        <v>0</v>
      </c>
      <c r="K19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95" s="1">
        <f>M194+Table11819202310303132362[[#This Row],[اجمالي الفاتوره]]-Table11819202310303132362[[#This Row],[الدفعات]]</f>
        <v>1.0000000000186446</v>
      </c>
      <c r="O195" s="48"/>
    </row>
    <row r="196" spans="8:15" ht="22.5" customHeight="1" x14ac:dyDescent="0.3">
      <c r="H196" s="1">
        <f>0.14*Table11819202310303132362[[#This Row],[النولون]]</f>
        <v>0</v>
      </c>
      <c r="K19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96" s="1">
        <f>M195+Table11819202310303132362[[#This Row],[اجمالي الفاتوره]]-Table11819202310303132362[[#This Row],[الدفعات]]</f>
        <v>1.0000000000186446</v>
      </c>
      <c r="O196" s="48"/>
    </row>
    <row r="197" spans="8:15" ht="22.5" customHeight="1" x14ac:dyDescent="0.3">
      <c r="H197" s="1">
        <f>0.14*Table11819202310303132362[[#This Row],[النولون]]</f>
        <v>0</v>
      </c>
      <c r="K19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97" s="1">
        <f>M196+Table11819202310303132362[[#This Row],[اجمالي الفاتوره]]-Table11819202310303132362[[#This Row],[الدفعات]]</f>
        <v>1.0000000000186446</v>
      </c>
      <c r="O197" s="48"/>
    </row>
    <row r="198" spans="8:15" ht="22.5" customHeight="1" x14ac:dyDescent="0.3">
      <c r="H198" s="1">
        <f>0.14*Table11819202310303132362[[#This Row],[النولون]]</f>
        <v>0</v>
      </c>
      <c r="K19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98" s="1">
        <f>M197+Table11819202310303132362[[#This Row],[اجمالي الفاتوره]]-Table11819202310303132362[[#This Row],[الدفعات]]</f>
        <v>1.0000000000186446</v>
      </c>
      <c r="O198" s="48"/>
    </row>
    <row r="199" spans="8:15" ht="22.5" customHeight="1" x14ac:dyDescent="0.3">
      <c r="H199" s="1">
        <f>0.14*Table11819202310303132362[[#This Row],[النولون]]</f>
        <v>0</v>
      </c>
      <c r="K19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199" s="1">
        <f>M198+Table11819202310303132362[[#This Row],[اجمالي الفاتوره]]-Table11819202310303132362[[#This Row],[الدفعات]]</f>
        <v>1.0000000000186446</v>
      </c>
      <c r="O199" s="48"/>
    </row>
    <row r="200" spans="8:15" ht="22.5" customHeight="1" x14ac:dyDescent="0.3">
      <c r="H200" s="1">
        <f>0.14*Table11819202310303132362[[#This Row],[النولون]]</f>
        <v>0</v>
      </c>
      <c r="K20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00" s="1">
        <f>M199+Table11819202310303132362[[#This Row],[اجمالي الفاتوره]]-Table11819202310303132362[[#This Row],[الدفعات]]</f>
        <v>1.0000000000186446</v>
      </c>
      <c r="O200" s="48"/>
    </row>
    <row r="201" spans="8:15" ht="22.5" customHeight="1" x14ac:dyDescent="0.3">
      <c r="H201" s="1">
        <f>0.14*Table11819202310303132362[[#This Row],[النولون]]</f>
        <v>0</v>
      </c>
      <c r="K20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01" s="1">
        <f>M200+Table11819202310303132362[[#This Row],[اجمالي الفاتوره]]-Table11819202310303132362[[#This Row],[الدفعات]]</f>
        <v>1.0000000000186446</v>
      </c>
      <c r="O201" s="48"/>
    </row>
    <row r="202" spans="8:15" ht="22.5" customHeight="1" x14ac:dyDescent="0.3">
      <c r="H202" s="1">
        <f>0.14*Table11819202310303132362[[#This Row],[النولون]]</f>
        <v>0</v>
      </c>
      <c r="K20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02" s="1">
        <f>M201+Table11819202310303132362[[#This Row],[اجمالي الفاتوره]]-Table11819202310303132362[[#This Row],[الدفعات]]</f>
        <v>1.0000000000186446</v>
      </c>
      <c r="O202" s="48"/>
    </row>
    <row r="203" spans="8:15" ht="22.5" customHeight="1" x14ac:dyDescent="0.3">
      <c r="H203" s="1">
        <f>0.14*Table11819202310303132362[[#This Row],[النولون]]</f>
        <v>0</v>
      </c>
      <c r="K20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03" s="1">
        <f>M202+Table11819202310303132362[[#This Row],[اجمالي الفاتوره]]-Table11819202310303132362[[#This Row],[الدفعات]]</f>
        <v>1.0000000000186446</v>
      </c>
      <c r="O203" s="48"/>
    </row>
    <row r="204" spans="8:15" ht="22.5" customHeight="1" x14ac:dyDescent="0.3">
      <c r="H204" s="1">
        <f>0.14*Table11819202310303132362[[#This Row],[النولون]]</f>
        <v>0</v>
      </c>
      <c r="K20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04" s="1">
        <f>M203+Table11819202310303132362[[#This Row],[اجمالي الفاتوره]]-Table11819202310303132362[[#This Row],[الدفعات]]</f>
        <v>1.0000000000186446</v>
      </c>
      <c r="O204" s="48"/>
    </row>
    <row r="205" spans="8:15" ht="22.5" customHeight="1" x14ac:dyDescent="0.3">
      <c r="H205" s="1">
        <f>0.14*Table11819202310303132362[[#This Row],[النولون]]</f>
        <v>0</v>
      </c>
      <c r="K20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05" s="1">
        <f>M204+Table11819202310303132362[[#This Row],[اجمالي الفاتوره]]-Table11819202310303132362[[#This Row],[الدفعات]]</f>
        <v>1.0000000000186446</v>
      </c>
      <c r="O205" s="48"/>
    </row>
    <row r="206" spans="8:15" ht="22.5" customHeight="1" x14ac:dyDescent="0.3">
      <c r="H206" s="1">
        <f>0.14*Table11819202310303132362[[#This Row],[النولون]]</f>
        <v>0</v>
      </c>
      <c r="K20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06" s="1">
        <f>M205+Table11819202310303132362[[#This Row],[اجمالي الفاتوره]]-Table11819202310303132362[[#This Row],[الدفعات]]</f>
        <v>1.0000000000186446</v>
      </c>
      <c r="O206" s="48"/>
    </row>
    <row r="207" spans="8:15" ht="22.5" customHeight="1" x14ac:dyDescent="0.3">
      <c r="H207" s="1">
        <f>0.14*Table11819202310303132362[[#This Row],[النولون]]</f>
        <v>0</v>
      </c>
      <c r="K20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07" s="1">
        <f>M206+Table11819202310303132362[[#This Row],[اجمالي الفاتوره]]-Table11819202310303132362[[#This Row],[الدفعات]]</f>
        <v>1.0000000000186446</v>
      </c>
      <c r="O207" s="48"/>
    </row>
    <row r="208" spans="8:15" ht="22.5" customHeight="1" x14ac:dyDescent="0.3">
      <c r="H208" s="1">
        <f>0.14*Table11819202310303132362[[#This Row],[النولون]]</f>
        <v>0</v>
      </c>
      <c r="K20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08" s="1">
        <f>M207+Table11819202310303132362[[#This Row],[اجمالي الفاتوره]]-Table11819202310303132362[[#This Row],[الدفعات]]</f>
        <v>1.0000000000186446</v>
      </c>
      <c r="O208" s="48"/>
    </row>
    <row r="209" spans="8:15" ht="22.5" customHeight="1" x14ac:dyDescent="0.3">
      <c r="H209" s="1">
        <f>0.14*Table11819202310303132362[[#This Row],[النولون]]</f>
        <v>0</v>
      </c>
      <c r="K20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09" s="1">
        <f>M208+Table11819202310303132362[[#This Row],[اجمالي الفاتوره]]-Table11819202310303132362[[#This Row],[الدفعات]]</f>
        <v>1.0000000000186446</v>
      </c>
      <c r="O209" s="48"/>
    </row>
    <row r="210" spans="8:15" ht="22.5" customHeight="1" x14ac:dyDescent="0.3">
      <c r="H210" s="1">
        <f>0.14*Table11819202310303132362[[#This Row],[النولون]]</f>
        <v>0</v>
      </c>
      <c r="K21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10" s="1">
        <f>M209+Table11819202310303132362[[#This Row],[اجمالي الفاتوره]]-Table11819202310303132362[[#This Row],[الدفعات]]</f>
        <v>1.0000000000186446</v>
      </c>
      <c r="O210" s="48"/>
    </row>
    <row r="211" spans="8:15" ht="22.5" customHeight="1" x14ac:dyDescent="0.3">
      <c r="H211" s="1">
        <f>0.14*Table11819202310303132362[[#This Row],[النولون]]</f>
        <v>0</v>
      </c>
      <c r="K21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11" s="1">
        <f>M210+Table11819202310303132362[[#This Row],[اجمالي الفاتوره]]-Table11819202310303132362[[#This Row],[الدفعات]]</f>
        <v>1.0000000000186446</v>
      </c>
      <c r="O211" s="48"/>
    </row>
    <row r="212" spans="8:15" ht="22.5" customHeight="1" x14ac:dyDescent="0.3">
      <c r="H212" s="1">
        <f>0.14*Table11819202310303132362[[#This Row],[النولون]]</f>
        <v>0</v>
      </c>
      <c r="K21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12" s="1">
        <f>M211+Table11819202310303132362[[#This Row],[اجمالي الفاتوره]]-Table11819202310303132362[[#This Row],[الدفعات]]</f>
        <v>1.0000000000186446</v>
      </c>
      <c r="O212" s="48"/>
    </row>
    <row r="213" spans="8:15" ht="22.5" customHeight="1" x14ac:dyDescent="0.3">
      <c r="H213" s="1">
        <f>0.14*Table11819202310303132362[[#This Row],[النولون]]</f>
        <v>0</v>
      </c>
      <c r="K21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13" s="1">
        <f>M212+Table11819202310303132362[[#This Row],[اجمالي الفاتوره]]-Table11819202310303132362[[#This Row],[الدفعات]]</f>
        <v>1.0000000000186446</v>
      </c>
      <c r="O213" s="48"/>
    </row>
    <row r="214" spans="8:15" ht="22.5" customHeight="1" x14ac:dyDescent="0.3">
      <c r="H214" s="1">
        <f>0.14*Table11819202310303132362[[#This Row],[النولون]]</f>
        <v>0</v>
      </c>
      <c r="K21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14" s="1">
        <f>M213+Table11819202310303132362[[#This Row],[اجمالي الفاتوره]]-Table11819202310303132362[[#This Row],[الدفعات]]</f>
        <v>1.0000000000186446</v>
      </c>
      <c r="O214" s="48"/>
    </row>
    <row r="215" spans="8:15" ht="22.5" customHeight="1" x14ac:dyDescent="0.3">
      <c r="H215" s="1">
        <f>0.14*Table11819202310303132362[[#This Row],[النولون]]</f>
        <v>0</v>
      </c>
      <c r="K21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15" s="1">
        <f>M214+Table11819202310303132362[[#This Row],[اجمالي الفاتوره]]-Table11819202310303132362[[#This Row],[الدفعات]]</f>
        <v>1.0000000000186446</v>
      </c>
      <c r="O215" s="48"/>
    </row>
    <row r="216" spans="8:15" ht="22.5" customHeight="1" x14ac:dyDescent="0.3">
      <c r="H216" s="1">
        <f>0.14*Table11819202310303132362[[#This Row],[النولون]]</f>
        <v>0</v>
      </c>
      <c r="K21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16" s="1">
        <f>M215+Table11819202310303132362[[#This Row],[اجمالي الفاتوره]]-Table11819202310303132362[[#This Row],[الدفعات]]</f>
        <v>1.0000000000186446</v>
      </c>
      <c r="O216" s="48"/>
    </row>
    <row r="217" spans="8:15" ht="22.5" customHeight="1" x14ac:dyDescent="0.3">
      <c r="H217" s="1">
        <f>0.14*Table11819202310303132362[[#This Row],[النولون]]</f>
        <v>0</v>
      </c>
      <c r="K21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17" s="1">
        <f>M216+Table11819202310303132362[[#This Row],[اجمالي الفاتوره]]-Table11819202310303132362[[#This Row],[الدفعات]]</f>
        <v>1.0000000000186446</v>
      </c>
      <c r="O217" s="48"/>
    </row>
    <row r="218" spans="8:15" ht="22.5" customHeight="1" x14ac:dyDescent="0.3">
      <c r="H218" s="1">
        <f>0.14*Table11819202310303132362[[#This Row],[النولون]]</f>
        <v>0</v>
      </c>
      <c r="K21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18" s="1">
        <f>M217+Table11819202310303132362[[#This Row],[اجمالي الفاتوره]]-Table11819202310303132362[[#This Row],[الدفعات]]</f>
        <v>1.0000000000186446</v>
      </c>
      <c r="O218" s="48"/>
    </row>
    <row r="219" spans="8:15" ht="22.5" customHeight="1" x14ac:dyDescent="0.3">
      <c r="H219" s="1">
        <f>0.14*Table11819202310303132362[[#This Row],[النولون]]</f>
        <v>0</v>
      </c>
      <c r="K21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19" s="1">
        <f>M218+Table11819202310303132362[[#This Row],[اجمالي الفاتوره]]-Table11819202310303132362[[#This Row],[الدفعات]]</f>
        <v>1.0000000000186446</v>
      </c>
      <c r="O219" s="48"/>
    </row>
    <row r="220" spans="8:15" ht="22.5" customHeight="1" x14ac:dyDescent="0.3">
      <c r="H220" s="1">
        <f>0.14*Table11819202310303132362[[#This Row],[النولون]]</f>
        <v>0</v>
      </c>
      <c r="K22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20" s="1">
        <f>M219+Table11819202310303132362[[#This Row],[اجمالي الفاتوره]]-Table11819202310303132362[[#This Row],[الدفعات]]</f>
        <v>1.0000000000186446</v>
      </c>
      <c r="O220" s="48"/>
    </row>
    <row r="221" spans="8:15" ht="22.5" customHeight="1" x14ac:dyDescent="0.3">
      <c r="H221" s="1">
        <f>0.14*Table11819202310303132362[[#This Row],[النولون]]</f>
        <v>0</v>
      </c>
      <c r="K22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21" s="1">
        <f>M220+Table11819202310303132362[[#This Row],[اجمالي الفاتوره]]-Table11819202310303132362[[#This Row],[الدفعات]]</f>
        <v>1.0000000000186446</v>
      </c>
      <c r="O221" s="48"/>
    </row>
    <row r="222" spans="8:15" ht="22.5" customHeight="1" x14ac:dyDescent="0.3">
      <c r="H222" s="1">
        <f>0.14*Table11819202310303132362[[#This Row],[النولون]]</f>
        <v>0</v>
      </c>
      <c r="K22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22" s="1">
        <f>M221+Table11819202310303132362[[#This Row],[اجمالي الفاتوره]]-Table11819202310303132362[[#This Row],[الدفعات]]</f>
        <v>1.0000000000186446</v>
      </c>
      <c r="O222" s="48"/>
    </row>
    <row r="223" spans="8:15" ht="22.5" customHeight="1" x14ac:dyDescent="0.3">
      <c r="H223" s="1">
        <f>0.14*Table11819202310303132362[[#This Row],[النولون]]</f>
        <v>0</v>
      </c>
      <c r="K22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23" s="1">
        <f>M222+Table11819202310303132362[[#This Row],[اجمالي الفاتوره]]-Table11819202310303132362[[#This Row],[الدفعات]]</f>
        <v>1.0000000000186446</v>
      </c>
      <c r="O223" s="48"/>
    </row>
    <row r="224" spans="8:15" ht="22.5" customHeight="1" x14ac:dyDescent="0.3">
      <c r="H224" s="1">
        <f>0.14*Table11819202310303132362[[#This Row],[النولون]]</f>
        <v>0</v>
      </c>
      <c r="K22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24" s="1">
        <f>M223+Table11819202310303132362[[#This Row],[اجمالي الفاتوره]]-Table11819202310303132362[[#This Row],[الدفعات]]</f>
        <v>1.0000000000186446</v>
      </c>
      <c r="O224" s="48"/>
    </row>
    <row r="225" spans="8:15" ht="22.5" customHeight="1" x14ac:dyDescent="0.3">
      <c r="H225" s="1">
        <f>0.14*Table11819202310303132362[[#This Row],[النولون]]</f>
        <v>0</v>
      </c>
      <c r="K22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25" s="1">
        <f>M224+Table11819202310303132362[[#This Row],[اجمالي الفاتوره]]-Table11819202310303132362[[#This Row],[الدفعات]]</f>
        <v>1.0000000000186446</v>
      </c>
      <c r="O225" s="48"/>
    </row>
    <row r="226" spans="8:15" ht="22.5" customHeight="1" x14ac:dyDescent="0.3">
      <c r="H226" s="1">
        <f>0.14*Table11819202310303132362[[#This Row],[النولون]]</f>
        <v>0</v>
      </c>
      <c r="K22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26" s="1">
        <f>M225+Table11819202310303132362[[#This Row],[اجمالي الفاتوره]]-Table11819202310303132362[[#This Row],[الدفعات]]</f>
        <v>1.0000000000186446</v>
      </c>
      <c r="O226" s="48"/>
    </row>
    <row r="227" spans="8:15" ht="22.5" customHeight="1" x14ac:dyDescent="0.3">
      <c r="H227" s="1">
        <f>0.14*Table11819202310303132362[[#This Row],[النولون]]</f>
        <v>0</v>
      </c>
      <c r="K22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27" s="1">
        <f>M226+Table11819202310303132362[[#This Row],[اجمالي الفاتوره]]-Table11819202310303132362[[#This Row],[الدفعات]]</f>
        <v>1.0000000000186446</v>
      </c>
      <c r="O227" s="48"/>
    </row>
    <row r="228" spans="8:15" ht="22.5" customHeight="1" x14ac:dyDescent="0.3">
      <c r="H228" s="1">
        <f>0.14*Table11819202310303132362[[#This Row],[النولون]]</f>
        <v>0</v>
      </c>
      <c r="K22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28" s="1">
        <f>M227+Table11819202310303132362[[#This Row],[اجمالي الفاتوره]]-Table11819202310303132362[[#This Row],[الدفعات]]</f>
        <v>1.0000000000186446</v>
      </c>
      <c r="O228" s="48"/>
    </row>
    <row r="229" spans="8:15" ht="22.5" customHeight="1" x14ac:dyDescent="0.3">
      <c r="H229" s="1">
        <f>0.14*Table11819202310303132362[[#This Row],[النولون]]</f>
        <v>0</v>
      </c>
      <c r="K22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29" s="1">
        <f>M228+Table11819202310303132362[[#This Row],[اجمالي الفاتوره]]-Table11819202310303132362[[#This Row],[الدفعات]]</f>
        <v>1.0000000000186446</v>
      </c>
      <c r="O229" s="48"/>
    </row>
    <row r="230" spans="8:15" ht="22.5" customHeight="1" x14ac:dyDescent="0.3">
      <c r="H230" s="1">
        <f>0.14*Table11819202310303132362[[#This Row],[النولون]]</f>
        <v>0</v>
      </c>
      <c r="K23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30" s="1">
        <f>M229+Table11819202310303132362[[#This Row],[اجمالي الفاتوره]]-Table11819202310303132362[[#This Row],[الدفعات]]</f>
        <v>1.0000000000186446</v>
      </c>
      <c r="O230" s="48"/>
    </row>
    <row r="231" spans="8:15" ht="22.5" customHeight="1" x14ac:dyDescent="0.3">
      <c r="H231" s="1">
        <f>0.14*Table11819202310303132362[[#This Row],[النولون]]</f>
        <v>0</v>
      </c>
      <c r="K23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31" s="1">
        <f>M230+Table11819202310303132362[[#This Row],[اجمالي الفاتوره]]-Table11819202310303132362[[#This Row],[الدفعات]]</f>
        <v>1.0000000000186446</v>
      </c>
      <c r="O231" s="48"/>
    </row>
    <row r="232" spans="8:15" ht="22.5" customHeight="1" x14ac:dyDescent="0.3">
      <c r="H232" s="1">
        <f>0.14*Table11819202310303132362[[#This Row],[النولون]]</f>
        <v>0</v>
      </c>
      <c r="K23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32" s="1">
        <f>M231+Table11819202310303132362[[#This Row],[اجمالي الفاتوره]]-Table11819202310303132362[[#This Row],[الدفعات]]</f>
        <v>1.0000000000186446</v>
      </c>
      <c r="O232" s="48"/>
    </row>
    <row r="233" spans="8:15" ht="22.5" customHeight="1" x14ac:dyDescent="0.3">
      <c r="H233" s="1">
        <f>0.14*Table11819202310303132362[[#This Row],[النولون]]</f>
        <v>0</v>
      </c>
      <c r="K23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33" s="1">
        <f>M232+Table11819202310303132362[[#This Row],[اجمالي الفاتوره]]-Table11819202310303132362[[#This Row],[الدفعات]]</f>
        <v>1.0000000000186446</v>
      </c>
      <c r="O233" s="48"/>
    </row>
    <row r="234" spans="8:15" ht="22.5" customHeight="1" x14ac:dyDescent="0.3">
      <c r="H234" s="1">
        <f>0.14*Table11819202310303132362[[#This Row],[النولون]]</f>
        <v>0</v>
      </c>
      <c r="K23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34" s="1">
        <f>M233+Table11819202310303132362[[#This Row],[اجمالي الفاتوره]]-Table11819202310303132362[[#This Row],[الدفعات]]</f>
        <v>1.0000000000186446</v>
      </c>
      <c r="O234" s="48"/>
    </row>
    <row r="235" spans="8:15" ht="22.5" customHeight="1" x14ac:dyDescent="0.3">
      <c r="H235" s="1">
        <f>0.14*Table11819202310303132362[[#This Row],[النولون]]</f>
        <v>0</v>
      </c>
      <c r="K23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35" s="1">
        <f>M234+Table11819202310303132362[[#This Row],[اجمالي الفاتوره]]-Table11819202310303132362[[#This Row],[الدفعات]]</f>
        <v>1.0000000000186446</v>
      </c>
      <c r="O235" s="48"/>
    </row>
    <row r="236" spans="8:15" ht="22.5" customHeight="1" x14ac:dyDescent="0.3">
      <c r="H236" s="1">
        <f>0.14*Table11819202310303132362[[#This Row],[النولون]]</f>
        <v>0</v>
      </c>
      <c r="K23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36" s="1">
        <f>M235+Table11819202310303132362[[#This Row],[اجمالي الفاتوره]]-Table11819202310303132362[[#This Row],[الدفعات]]</f>
        <v>1.0000000000186446</v>
      </c>
      <c r="O236" s="48"/>
    </row>
    <row r="237" spans="8:15" ht="22.5" customHeight="1" x14ac:dyDescent="0.3">
      <c r="H237" s="1">
        <f>0.14*Table11819202310303132362[[#This Row],[النولون]]</f>
        <v>0</v>
      </c>
      <c r="K23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37" s="1">
        <f>M236+Table11819202310303132362[[#This Row],[اجمالي الفاتوره]]-Table11819202310303132362[[#This Row],[الدفعات]]</f>
        <v>1.0000000000186446</v>
      </c>
      <c r="O237" s="48"/>
    </row>
    <row r="238" spans="8:15" ht="22.5" customHeight="1" x14ac:dyDescent="0.3">
      <c r="H238" s="1">
        <f>0.14*Table11819202310303132362[[#This Row],[النولون]]</f>
        <v>0</v>
      </c>
      <c r="K23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38" s="1">
        <f>M237+Table11819202310303132362[[#This Row],[اجمالي الفاتوره]]-Table11819202310303132362[[#This Row],[الدفعات]]</f>
        <v>1.0000000000186446</v>
      </c>
      <c r="O238" s="48"/>
    </row>
    <row r="239" spans="8:15" ht="22.5" customHeight="1" x14ac:dyDescent="0.3">
      <c r="H239" s="1">
        <f>0.14*Table11819202310303132362[[#This Row],[النولون]]</f>
        <v>0</v>
      </c>
      <c r="K23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39" s="1">
        <f>M238+Table11819202310303132362[[#This Row],[اجمالي الفاتوره]]-Table11819202310303132362[[#This Row],[الدفعات]]</f>
        <v>1.0000000000186446</v>
      </c>
      <c r="O239" s="48"/>
    </row>
    <row r="240" spans="8:15" ht="22.5" customHeight="1" x14ac:dyDescent="0.3">
      <c r="H240" s="1">
        <f>0.14*Table11819202310303132362[[#This Row],[النولون]]</f>
        <v>0</v>
      </c>
      <c r="K24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40" s="1">
        <f>M239+Table11819202310303132362[[#This Row],[اجمالي الفاتوره]]-Table11819202310303132362[[#This Row],[الدفعات]]</f>
        <v>1.0000000000186446</v>
      </c>
      <c r="O240" s="48"/>
    </row>
    <row r="241" spans="8:15" ht="22.5" customHeight="1" x14ac:dyDescent="0.3">
      <c r="H241" s="1">
        <f>0.14*Table11819202310303132362[[#This Row],[النولون]]</f>
        <v>0</v>
      </c>
      <c r="K24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41" s="1">
        <f>M240+Table11819202310303132362[[#This Row],[اجمالي الفاتوره]]-Table11819202310303132362[[#This Row],[الدفعات]]</f>
        <v>1.0000000000186446</v>
      </c>
      <c r="O241" s="48"/>
    </row>
    <row r="242" spans="8:15" ht="22.5" customHeight="1" x14ac:dyDescent="0.3">
      <c r="H242" s="1">
        <f>0.14*Table11819202310303132362[[#This Row],[النولون]]</f>
        <v>0</v>
      </c>
      <c r="K24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42" s="1">
        <f>M241+Table11819202310303132362[[#This Row],[اجمالي الفاتوره]]-Table11819202310303132362[[#This Row],[الدفعات]]</f>
        <v>1.0000000000186446</v>
      </c>
      <c r="O242" s="48"/>
    </row>
    <row r="243" spans="8:15" ht="22.5" customHeight="1" x14ac:dyDescent="0.3">
      <c r="H243" s="1">
        <f>0.14*Table11819202310303132362[[#This Row],[النولون]]</f>
        <v>0</v>
      </c>
      <c r="K24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43" s="1">
        <f>M242+Table11819202310303132362[[#This Row],[اجمالي الفاتوره]]-Table11819202310303132362[[#This Row],[الدفعات]]</f>
        <v>1.0000000000186446</v>
      </c>
      <c r="O243" s="48"/>
    </row>
    <row r="244" spans="8:15" ht="22.5" customHeight="1" x14ac:dyDescent="0.3">
      <c r="H244" s="1">
        <f>0.14*Table11819202310303132362[[#This Row],[النولون]]</f>
        <v>0</v>
      </c>
      <c r="K24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44" s="1">
        <f>M243+Table11819202310303132362[[#This Row],[اجمالي الفاتوره]]-Table11819202310303132362[[#This Row],[الدفعات]]</f>
        <v>1.0000000000186446</v>
      </c>
      <c r="O244" s="48"/>
    </row>
    <row r="245" spans="8:15" ht="22.5" customHeight="1" x14ac:dyDescent="0.3">
      <c r="H245" s="1">
        <f>0.14*Table11819202310303132362[[#This Row],[النولون]]</f>
        <v>0</v>
      </c>
      <c r="K24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45" s="1">
        <f>M244+Table11819202310303132362[[#This Row],[اجمالي الفاتوره]]-Table11819202310303132362[[#This Row],[الدفعات]]</f>
        <v>1.0000000000186446</v>
      </c>
      <c r="O245" s="48"/>
    </row>
    <row r="246" spans="8:15" ht="22.5" customHeight="1" x14ac:dyDescent="0.3">
      <c r="H246" s="1">
        <f>0.14*Table11819202310303132362[[#This Row],[النولون]]</f>
        <v>0</v>
      </c>
      <c r="K24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46" s="1">
        <f>M245+Table11819202310303132362[[#This Row],[اجمالي الفاتوره]]-Table11819202310303132362[[#This Row],[الدفعات]]</f>
        <v>1.0000000000186446</v>
      </c>
      <c r="O246" s="48"/>
    </row>
    <row r="247" spans="8:15" ht="22.5" customHeight="1" x14ac:dyDescent="0.3">
      <c r="H247" s="1">
        <f>0.14*Table11819202310303132362[[#This Row],[النولون]]</f>
        <v>0</v>
      </c>
      <c r="K24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47" s="1">
        <f>M246+Table11819202310303132362[[#This Row],[اجمالي الفاتوره]]-Table11819202310303132362[[#This Row],[الدفعات]]</f>
        <v>1.0000000000186446</v>
      </c>
      <c r="O247" s="48"/>
    </row>
    <row r="248" spans="8:15" ht="22.5" customHeight="1" x14ac:dyDescent="0.3">
      <c r="H248" s="1">
        <f>0.14*Table11819202310303132362[[#This Row],[النولون]]</f>
        <v>0</v>
      </c>
      <c r="K24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48" s="1">
        <f>M247+Table11819202310303132362[[#This Row],[اجمالي الفاتوره]]-Table11819202310303132362[[#This Row],[الدفعات]]</f>
        <v>1.0000000000186446</v>
      </c>
      <c r="O248" s="48"/>
    </row>
    <row r="249" spans="8:15" ht="22.5" customHeight="1" x14ac:dyDescent="0.3">
      <c r="H249" s="1">
        <f>0.14*Table11819202310303132362[[#This Row],[النولون]]</f>
        <v>0</v>
      </c>
      <c r="K24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49" s="1">
        <f>M248+Table11819202310303132362[[#This Row],[اجمالي الفاتوره]]-Table11819202310303132362[[#This Row],[الدفعات]]</f>
        <v>1.0000000000186446</v>
      </c>
      <c r="O249" s="48"/>
    </row>
    <row r="250" spans="8:15" ht="22.5" customHeight="1" x14ac:dyDescent="0.3">
      <c r="H250" s="1">
        <f>0.14*Table11819202310303132362[[#This Row],[النولون]]</f>
        <v>0</v>
      </c>
      <c r="K25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50" s="1">
        <f>M249+Table11819202310303132362[[#This Row],[اجمالي الفاتوره]]-Table11819202310303132362[[#This Row],[الدفعات]]</f>
        <v>1.0000000000186446</v>
      </c>
      <c r="O250" s="48"/>
    </row>
    <row r="251" spans="8:15" ht="22.5" customHeight="1" x14ac:dyDescent="0.3">
      <c r="H251" s="1">
        <f>0.14*Table11819202310303132362[[#This Row],[النولون]]</f>
        <v>0</v>
      </c>
      <c r="K25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51" s="1">
        <f>M250+Table11819202310303132362[[#This Row],[اجمالي الفاتوره]]-Table11819202310303132362[[#This Row],[الدفعات]]</f>
        <v>1.0000000000186446</v>
      </c>
      <c r="O251" s="48"/>
    </row>
    <row r="252" spans="8:15" ht="22.5" customHeight="1" x14ac:dyDescent="0.3">
      <c r="H252" s="1">
        <f>0.14*Table11819202310303132362[[#This Row],[النولون]]</f>
        <v>0</v>
      </c>
      <c r="K25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52" s="1">
        <f>M251+Table11819202310303132362[[#This Row],[اجمالي الفاتوره]]-Table11819202310303132362[[#This Row],[الدفعات]]</f>
        <v>1.0000000000186446</v>
      </c>
      <c r="O252" s="48"/>
    </row>
    <row r="253" spans="8:15" ht="22.5" customHeight="1" x14ac:dyDescent="0.3">
      <c r="H253" s="1">
        <f>0.14*Table11819202310303132362[[#This Row],[النولون]]</f>
        <v>0</v>
      </c>
      <c r="K25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53" s="1">
        <f>M252+Table11819202310303132362[[#This Row],[اجمالي الفاتوره]]-Table11819202310303132362[[#This Row],[الدفعات]]</f>
        <v>1.0000000000186446</v>
      </c>
      <c r="O253" s="48"/>
    </row>
    <row r="254" spans="8:15" ht="22.5" customHeight="1" x14ac:dyDescent="0.3">
      <c r="H254" s="1">
        <f>0.14*Table11819202310303132362[[#This Row],[النولون]]</f>
        <v>0</v>
      </c>
      <c r="K25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54" s="1">
        <f>M253+Table11819202310303132362[[#This Row],[اجمالي الفاتوره]]-Table11819202310303132362[[#This Row],[الدفعات]]</f>
        <v>1.0000000000186446</v>
      </c>
      <c r="O254" s="48"/>
    </row>
    <row r="255" spans="8:15" ht="22.5" customHeight="1" x14ac:dyDescent="0.3">
      <c r="H255" s="1">
        <f>0.14*Table11819202310303132362[[#This Row],[النولون]]</f>
        <v>0</v>
      </c>
      <c r="K25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55" s="1">
        <f>M254+Table11819202310303132362[[#This Row],[اجمالي الفاتوره]]-Table11819202310303132362[[#This Row],[الدفعات]]</f>
        <v>1.0000000000186446</v>
      </c>
      <c r="O255" s="48"/>
    </row>
    <row r="256" spans="8:15" ht="22.5" customHeight="1" x14ac:dyDescent="0.3">
      <c r="H256" s="1">
        <f>0.14*Table11819202310303132362[[#This Row],[النولون]]</f>
        <v>0</v>
      </c>
      <c r="K25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56" s="1">
        <f>M255+Table11819202310303132362[[#This Row],[اجمالي الفاتوره]]-Table11819202310303132362[[#This Row],[الدفعات]]</f>
        <v>1.0000000000186446</v>
      </c>
      <c r="O256" s="48"/>
    </row>
    <row r="257" spans="8:15" ht="22.5" customHeight="1" x14ac:dyDescent="0.3">
      <c r="H257" s="1">
        <f>0.14*Table11819202310303132362[[#This Row],[النولون]]</f>
        <v>0</v>
      </c>
      <c r="K25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57" s="1">
        <f>M256+Table11819202310303132362[[#This Row],[اجمالي الفاتوره]]-Table11819202310303132362[[#This Row],[الدفعات]]</f>
        <v>1.0000000000186446</v>
      </c>
      <c r="O257" s="48"/>
    </row>
    <row r="258" spans="8:15" ht="22.5" customHeight="1" x14ac:dyDescent="0.3">
      <c r="H258" s="1">
        <f>0.14*Table11819202310303132362[[#This Row],[النولون]]</f>
        <v>0</v>
      </c>
      <c r="K25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58" s="1">
        <f>M257+Table11819202310303132362[[#This Row],[اجمالي الفاتوره]]-Table11819202310303132362[[#This Row],[الدفعات]]</f>
        <v>1.0000000000186446</v>
      </c>
      <c r="O258" s="48"/>
    </row>
    <row r="259" spans="8:15" ht="22.5" customHeight="1" x14ac:dyDescent="0.3">
      <c r="H259" s="1">
        <f>0.14*Table11819202310303132362[[#This Row],[النولون]]</f>
        <v>0</v>
      </c>
      <c r="K25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59" s="1">
        <f>M258+Table11819202310303132362[[#This Row],[اجمالي الفاتوره]]-Table11819202310303132362[[#This Row],[الدفعات]]</f>
        <v>1.0000000000186446</v>
      </c>
      <c r="O259" s="48"/>
    </row>
    <row r="260" spans="8:15" ht="22.5" customHeight="1" x14ac:dyDescent="0.3">
      <c r="H260" s="1">
        <f>0.14*Table11819202310303132362[[#This Row],[النولون]]</f>
        <v>0</v>
      </c>
      <c r="K26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60" s="1">
        <f>M259+Table11819202310303132362[[#This Row],[اجمالي الفاتوره]]-Table11819202310303132362[[#This Row],[الدفعات]]</f>
        <v>1.0000000000186446</v>
      </c>
      <c r="O260" s="48"/>
    </row>
    <row r="261" spans="8:15" ht="22.5" customHeight="1" x14ac:dyDescent="0.3">
      <c r="H261" s="1">
        <f>0.14*Table11819202310303132362[[#This Row],[النولون]]</f>
        <v>0</v>
      </c>
      <c r="K26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61" s="1">
        <f>M260+Table11819202310303132362[[#This Row],[اجمالي الفاتوره]]-Table11819202310303132362[[#This Row],[الدفعات]]</f>
        <v>1.0000000000186446</v>
      </c>
      <c r="O261" s="48"/>
    </row>
    <row r="262" spans="8:15" ht="22.5" customHeight="1" x14ac:dyDescent="0.3">
      <c r="H262" s="1">
        <f>0.14*Table11819202310303132362[[#This Row],[النولون]]</f>
        <v>0</v>
      </c>
      <c r="K26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62" s="1">
        <f>M261+Table11819202310303132362[[#This Row],[اجمالي الفاتوره]]-Table11819202310303132362[[#This Row],[الدفعات]]</f>
        <v>1.0000000000186446</v>
      </c>
      <c r="O262" s="48"/>
    </row>
    <row r="263" spans="8:15" ht="22.5" customHeight="1" x14ac:dyDescent="0.3">
      <c r="H263" s="1">
        <f>0.14*Table11819202310303132362[[#This Row],[النولون]]</f>
        <v>0</v>
      </c>
      <c r="K26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63" s="1">
        <f>M262+Table11819202310303132362[[#This Row],[اجمالي الفاتوره]]-Table11819202310303132362[[#This Row],[الدفعات]]</f>
        <v>1.0000000000186446</v>
      </c>
      <c r="O263" s="48"/>
    </row>
    <row r="264" spans="8:15" ht="22.5" customHeight="1" x14ac:dyDescent="0.3">
      <c r="H264" s="1">
        <f>0.14*Table11819202310303132362[[#This Row],[النولون]]</f>
        <v>0</v>
      </c>
      <c r="K26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64" s="1">
        <f>M263+Table11819202310303132362[[#This Row],[اجمالي الفاتوره]]-Table11819202310303132362[[#This Row],[الدفعات]]</f>
        <v>1.0000000000186446</v>
      </c>
      <c r="O264" s="48"/>
    </row>
    <row r="265" spans="8:15" ht="22.5" customHeight="1" x14ac:dyDescent="0.3">
      <c r="H265" s="1">
        <f>0.14*Table11819202310303132362[[#This Row],[النولون]]</f>
        <v>0</v>
      </c>
      <c r="K26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65" s="1">
        <f>M264+Table11819202310303132362[[#This Row],[اجمالي الفاتوره]]-Table11819202310303132362[[#This Row],[الدفعات]]</f>
        <v>1.0000000000186446</v>
      </c>
      <c r="O265" s="48"/>
    </row>
    <row r="266" spans="8:15" ht="22.5" customHeight="1" x14ac:dyDescent="0.3">
      <c r="H266" s="1">
        <f>0.14*Table11819202310303132362[[#This Row],[النولون]]</f>
        <v>0</v>
      </c>
      <c r="K26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66" s="1">
        <f>M265+Table11819202310303132362[[#This Row],[اجمالي الفاتوره]]-Table11819202310303132362[[#This Row],[الدفعات]]</f>
        <v>1.0000000000186446</v>
      </c>
      <c r="O266" s="48"/>
    </row>
    <row r="267" spans="8:15" ht="22.5" customHeight="1" x14ac:dyDescent="0.3">
      <c r="H267" s="1">
        <f>0.14*Table11819202310303132362[[#This Row],[النولون]]</f>
        <v>0</v>
      </c>
      <c r="K26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67" s="1">
        <f>M266+Table11819202310303132362[[#This Row],[اجمالي الفاتوره]]-Table11819202310303132362[[#This Row],[الدفعات]]</f>
        <v>1.0000000000186446</v>
      </c>
      <c r="O267" s="48"/>
    </row>
    <row r="268" spans="8:15" ht="22.5" customHeight="1" x14ac:dyDescent="0.3">
      <c r="H268" s="1">
        <f>0.14*Table11819202310303132362[[#This Row],[النولون]]</f>
        <v>0</v>
      </c>
      <c r="K26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68" s="1">
        <f>M267+Table11819202310303132362[[#This Row],[اجمالي الفاتوره]]-Table11819202310303132362[[#This Row],[الدفعات]]</f>
        <v>1.0000000000186446</v>
      </c>
      <c r="O268" s="48"/>
    </row>
    <row r="269" spans="8:15" ht="22.5" customHeight="1" x14ac:dyDescent="0.3">
      <c r="H269" s="1">
        <f>0.14*Table11819202310303132362[[#This Row],[النولون]]</f>
        <v>0</v>
      </c>
      <c r="K26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69" s="1">
        <f>M268+Table11819202310303132362[[#This Row],[اجمالي الفاتوره]]-Table11819202310303132362[[#This Row],[الدفعات]]</f>
        <v>1.0000000000186446</v>
      </c>
      <c r="O269" s="48"/>
    </row>
    <row r="270" spans="8:15" ht="22.5" customHeight="1" x14ac:dyDescent="0.3">
      <c r="H270" s="1">
        <f>0.14*Table11819202310303132362[[#This Row],[النولون]]</f>
        <v>0</v>
      </c>
      <c r="K27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70" s="1">
        <f>M269+Table11819202310303132362[[#This Row],[اجمالي الفاتوره]]-Table11819202310303132362[[#This Row],[الدفعات]]</f>
        <v>1.0000000000186446</v>
      </c>
      <c r="O270" s="48"/>
    </row>
    <row r="271" spans="8:15" ht="22.5" customHeight="1" x14ac:dyDescent="0.3">
      <c r="H271" s="1">
        <f>0.14*Table11819202310303132362[[#This Row],[النولون]]</f>
        <v>0</v>
      </c>
      <c r="K27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71" s="1">
        <f>M270+Table11819202310303132362[[#This Row],[اجمالي الفاتوره]]-Table11819202310303132362[[#This Row],[الدفعات]]</f>
        <v>1.0000000000186446</v>
      </c>
      <c r="O271" s="48"/>
    </row>
    <row r="272" spans="8:15" ht="22.5" customHeight="1" x14ac:dyDescent="0.3">
      <c r="H272" s="1">
        <f>0.14*Table11819202310303132362[[#This Row],[النولون]]</f>
        <v>0</v>
      </c>
      <c r="K27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72" s="1">
        <f>M271+Table11819202310303132362[[#This Row],[اجمالي الفاتوره]]-Table11819202310303132362[[#This Row],[الدفعات]]</f>
        <v>1.0000000000186446</v>
      </c>
      <c r="O272" s="48"/>
    </row>
    <row r="273" spans="8:15" ht="22.5" customHeight="1" x14ac:dyDescent="0.3">
      <c r="H273" s="1">
        <f>0.14*Table11819202310303132362[[#This Row],[النولون]]</f>
        <v>0</v>
      </c>
      <c r="K27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73" s="1">
        <f>M272+Table11819202310303132362[[#This Row],[اجمالي الفاتوره]]-Table11819202310303132362[[#This Row],[الدفعات]]</f>
        <v>1.0000000000186446</v>
      </c>
      <c r="O273" s="48"/>
    </row>
    <row r="274" spans="8:15" ht="22.5" customHeight="1" x14ac:dyDescent="0.3">
      <c r="H274" s="1">
        <f>0.14*Table11819202310303132362[[#This Row],[النولون]]</f>
        <v>0</v>
      </c>
      <c r="K27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74" s="1">
        <f>M273+Table11819202310303132362[[#This Row],[اجمالي الفاتوره]]-Table11819202310303132362[[#This Row],[الدفعات]]</f>
        <v>1.0000000000186446</v>
      </c>
      <c r="O274" s="48"/>
    </row>
    <row r="275" spans="8:15" ht="22.5" customHeight="1" x14ac:dyDescent="0.3">
      <c r="H275" s="1">
        <f>0.14*Table11819202310303132362[[#This Row],[النولون]]</f>
        <v>0</v>
      </c>
      <c r="K27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75" s="1">
        <f>M274+Table11819202310303132362[[#This Row],[اجمالي الفاتوره]]-Table11819202310303132362[[#This Row],[الدفعات]]</f>
        <v>1.0000000000186446</v>
      </c>
      <c r="O275" s="48"/>
    </row>
    <row r="276" spans="8:15" ht="22.5" customHeight="1" x14ac:dyDescent="0.3">
      <c r="H276" s="1">
        <f>0.14*Table11819202310303132362[[#This Row],[النولون]]</f>
        <v>0</v>
      </c>
      <c r="K27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76" s="1">
        <f>M275+Table11819202310303132362[[#This Row],[اجمالي الفاتوره]]-Table11819202310303132362[[#This Row],[الدفعات]]</f>
        <v>1.0000000000186446</v>
      </c>
      <c r="O276" s="48"/>
    </row>
    <row r="277" spans="8:15" ht="22.5" customHeight="1" x14ac:dyDescent="0.3">
      <c r="H277" s="1">
        <f>0.14*Table11819202310303132362[[#This Row],[النولون]]</f>
        <v>0</v>
      </c>
      <c r="K27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77" s="1">
        <f>M276+Table11819202310303132362[[#This Row],[اجمالي الفاتوره]]-Table11819202310303132362[[#This Row],[الدفعات]]</f>
        <v>1.0000000000186446</v>
      </c>
      <c r="O277" s="48"/>
    </row>
    <row r="278" spans="8:15" ht="22.5" customHeight="1" x14ac:dyDescent="0.3">
      <c r="H278" s="1">
        <f>0.14*Table11819202310303132362[[#This Row],[النولون]]</f>
        <v>0</v>
      </c>
      <c r="K27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78" s="1">
        <f>M277+Table11819202310303132362[[#This Row],[اجمالي الفاتوره]]-Table11819202310303132362[[#This Row],[الدفعات]]</f>
        <v>1.0000000000186446</v>
      </c>
      <c r="O278" s="48"/>
    </row>
    <row r="279" spans="8:15" ht="22.5" customHeight="1" x14ac:dyDescent="0.3">
      <c r="H279" s="1">
        <f>0.14*Table11819202310303132362[[#This Row],[النولون]]</f>
        <v>0</v>
      </c>
      <c r="K27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79" s="1">
        <f>M278+Table11819202310303132362[[#This Row],[اجمالي الفاتوره]]-Table11819202310303132362[[#This Row],[الدفعات]]</f>
        <v>1.0000000000186446</v>
      </c>
      <c r="O279" s="48"/>
    </row>
    <row r="280" spans="8:15" ht="22.5" customHeight="1" x14ac:dyDescent="0.3">
      <c r="H280" s="1">
        <f>0.14*Table11819202310303132362[[#This Row],[النولون]]</f>
        <v>0</v>
      </c>
      <c r="K28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80" s="1">
        <f>M279+Table11819202310303132362[[#This Row],[اجمالي الفاتوره]]-Table11819202310303132362[[#This Row],[الدفعات]]</f>
        <v>1.0000000000186446</v>
      </c>
      <c r="O280" s="48"/>
    </row>
    <row r="281" spans="8:15" ht="22.5" customHeight="1" x14ac:dyDescent="0.3">
      <c r="H281" s="1">
        <f>0.14*Table11819202310303132362[[#This Row],[النولون]]</f>
        <v>0</v>
      </c>
      <c r="K28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81" s="1">
        <f>M280+Table11819202310303132362[[#This Row],[اجمالي الفاتوره]]-Table11819202310303132362[[#This Row],[الدفعات]]</f>
        <v>1.0000000000186446</v>
      </c>
      <c r="O281" s="48"/>
    </row>
    <row r="282" spans="8:15" ht="22.5" customHeight="1" x14ac:dyDescent="0.3">
      <c r="H282" s="1">
        <f>0.14*Table11819202310303132362[[#This Row],[النولون]]</f>
        <v>0</v>
      </c>
      <c r="K28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82" s="1">
        <f>M281+Table11819202310303132362[[#This Row],[اجمالي الفاتوره]]-Table11819202310303132362[[#This Row],[الدفعات]]</f>
        <v>1.0000000000186446</v>
      </c>
      <c r="O282" s="48"/>
    </row>
    <row r="283" spans="8:15" ht="22.5" customHeight="1" x14ac:dyDescent="0.3">
      <c r="H283" s="1">
        <f>0.14*Table11819202310303132362[[#This Row],[النولون]]</f>
        <v>0</v>
      </c>
      <c r="K28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83" s="1">
        <f>M282+Table11819202310303132362[[#This Row],[اجمالي الفاتوره]]-Table11819202310303132362[[#This Row],[الدفعات]]</f>
        <v>1.0000000000186446</v>
      </c>
      <c r="O283" s="48"/>
    </row>
    <row r="284" spans="8:15" ht="22.5" customHeight="1" x14ac:dyDescent="0.3">
      <c r="H284" s="1">
        <f>0.14*Table11819202310303132362[[#This Row],[النولون]]</f>
        <v>0</v>
      </c>
      <c r="K28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84" s="1">
        <f>M283+Table11819202310303132362[[#This Row],[اجمالي الفاتوره]]-Table11819202310303132362[[#This Row],[الدفعات]]</f>
        <v>1.0000000000186446</v>
      </c>
      <c r="O284" s="48"/>
    </row>
    <row r="285" spans="8:15" ht="22.5" customHeight="1" x14ac:dyDescent="0.3">
      <c r="H285" s="1">
        <f>0.14*Table11819202310303132362[[#This Row],[النولون]]</f>
        <v>0</v>
      </c>
      <c r="K28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85" s="1">
        <f>M284+Table11819202310303132362[[#This Row],[اجمالي الفاتوره]]-Table11819202310303132362[[#This Row],[الدفعات]]</f>
        <v>1.0000000000186446</v>
      </c>
      <c r="O285" s="48"/>
    </row>
    <row r="286" spans="8:15" ht="22.5" customHeight="1" x14ac:dyDescent="0.3">
      <c r="H286" s="1">
        <f>0.14*Table11819202310303132362[[#This Row],[النولون]]</f>
        <v>0</v>
      </c>
      <c r="K28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86" s="1">
        <f>M285+Table11819202310303132362[[#This Row],[اجمالي الفاتوره]]-Table11819202310303132362[[#This Row],[الدفعات]]</f>
        <v>1.0000000000186446</v>
      </c>
      <c r="O286" s="48"/>
    </row>
    <row r="287" spans="8:15" ht="22.5" customHeight="1" x14ac:dyDescent="0.3">
      <c r="H287" s="1">
        <f>0.14*Table11819202310303132362[[#This Row],[النولون]]</f>
        <v>0</v>
      </c>
      <c r="K28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87" s="1">
        <f>M286+Table11819202310303132362[[#This Row],[اجمالي الفاتوره]]-Table11819202310303132362[[#This Row],[الدفعات]]</f>
        <v>1.0000000000186446</v>
      </c>
      <c r="O287" s="48"/>
    </row>
    <row r="288" spans="8:15" ht="22.5" customHeight="1" x14ac:dyDescent="0.3">
      <c r="H288" s="1">
        <f>0.14*Table11819202310303132362[[#This Row],[النولون]]</f>
        <v>0</v>
      </c>
      <c r="K28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88" s="1">
        <f>M287+Table11819202310303132362[[#This Row],[اجمالي الفاتوره]]-Table11819202310303132362[[#This Row],[الدفعات]]</f>
        <v>1.0000000000186446</v>
      </c>
      <c r="O288" s="48"/>
    </row>
    <row r="289" spans="8:15" ht="22.5" customHeight="1" x14ac:dyDescent="0.3">
      <c r="H289" s="1">
        <f>0.14*Table11819202310303132362[[#This Row],[النولون]]</f>
        <v>0</v>
      </c>
      <c r="K28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89" s="1">
        <f>M288+Table11819202310303132362[[#This Row],[اجمالي الفاتوره]]-Table11819202310303132362[[#This Row],[الدفعات]]</f>
        <v>1.0000000000186446</v>
      </c>
      <c r="O289" s="48"/>
    </row>
    <row r="290" spans="8:15" ht="22.5" customHeight="1" x14ac:dyDescent="0.3">
      <c r="H290" s="1">
        <f>0.14*Table11819202310303132362[[#This Row],[النولون]]</f>
        <v>0</v>
      </c>
      <c r="K29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90" s="1">
        <f>M289+Table11819202310303132362[[#This Row],[اجمالي الفاتوره]]-Table11819202310303132362[[#This Row],[الدفعات]]</f>
        <v>1.0000000000186446</v>
      </c>
      <c r="O290" s="48"/>
    </row>
    <row r="291" spans="8:15" ht="22.5" customHeight="1" x14ac:dyDescent="0.3">
      <c r="H291" s="1">
        <f>0.14*Table11819202310303132362[[#This Row],[النولون]]</f>
        <v>0</v>
      </c>
      <c r="K29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91" s="1">
        <f>M290+Table11819202310303132362[[#This Row],[اجمالي الفاتوره]]-Table11819202310303132362[[#This Row],[الدفعات]]</f>
        <v>1.0000000000186446</v>
      </c>
      <c r="O291" s="48"/>
    </row>
    <row r="292" spans="8:15" ht="22.5" customHeight="1" x14ac:dyDescent="0.3">
      <c r="H292" s="1">
        <f>0.14*Table11819202310303132362[[#This Row],[النولون]]</f>
        <v>0</v>
      </c>
      <c r="K29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92" s="1">
        <f>M291+Table11819202310303132362[[#This Row],[اجمالي الفاتوره]]-Table11819202310303132362[[#This Row],[الدفعات]]</f>
        <v>1.0000000000186446</v>
      </c>
      <c r="O292" s="48"/>
    </row>
    <row r="293" spans="8:15" ht="22.5" customHeight="1" x14ac:dyDescent="0.3">
      <c r="H293" s="1">
        <f>0.14*Table11819202310303132362[[#This Row],[النولون]]</f>
        <v>0</v>
      </c>
      <c r="K29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93" s="1">
        <f>M292+Table11819202310303132362[[#This Row],[اجمالي الفاتوره]]-Table11819202310303132362[[#This Row],[الدفعات]]</f>
        <v>1.0000000000186446</v>
      </c>
      <c r="O293" s="48"/>
    </row>
    <row r="294" spans="8:15" ht="22.5" customHeight="1" x14ac:dyDescent="0.3">
      <c r="H294" s="1">
        <f>0.14*Table11819202310303132362[[#This Row],[النولون]]</f>
        <v>0</v>
      </c>
      <c r="K29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94" s="1">
        <f>M293+Table11819202310303132362[[#This Row],[اجمالي الفاتوره]]-Table11819202310303132362[[#This Row],[الدفعات]]</f>
        <v>1.0000000000186446</v>
      </c>
      <c r="O294" s="48"/>
    </row>
    <row r="295" spans="8:15" ht="22.5" customHeight="1" x14ac:dyDescent="0.3">
      <c r="H295" s="1">
        <f>0.14*Table11819202310303132362[[#This Row],[النولون]]</f>
        <v>0</v>
      </c>
      <c r="K29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95" s="1">
        <f>M294+Table11819202310303132362[[#This Row],[اجمالي الفاتوره]]-Table11819202310303132362[[#This Row],[الدفعات]]</f>
        <v>1.0000000000186446</v>
      </c>
      <c r="O295" s="48"/>
    </row>
    <row r="296" spans="8:15" ht="22.5" customHeight="1" x14ac:dyDescent="0.3">
      <c r="H296" s="1">
        <f>0.14*Table11819202310303132362[[#This Row],[النولون]]</f>
        <v>0</v>
      </c>
      <c r="K29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96" s="1">
        <f>M295+Table11819202310303132362[[#This Row],[اجمالي الفاتوره]]-Table11819202310303132362[[#This Row],[الدفعات]]</f>
        <v>1.0000000000186446</v>
      </c>
      <c r="O296" s="48"/>
    </row>
    <row r="297" spans="8:15" ht="22.5" customHeight="1" x14ac:dyDescent="0.3">
      <c r="H297" s="1">
        <f>0.14*Table11819202310303132362[[#This Row],[النولون]]</f>
        <v>0</v>
      </c>
      <c r="K29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97" s="1">
        <f>M296+Table11819202310303132362[[#This Row],[اجمالي الفاتوره]]-Table11819202310303132362[[#This Row],[الدفعات]]</f>
        <v>1.0000000000186446</v>
      </c>
      <c r="O297" s="48"/>
    </row>
    <row r="298" spans="8:15" ht="22.5" customHeight="1" x14ac:dyDescent="0.3">
      <c r="H298" s="1">
        <f>0.14*Table11819202310303132362[[#This Row],[النولون]]</f>
        <v>0</v>
      </c>
      <c r="K29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98" s="1">
        <f>M297+Table11819202310303132362[[#This Row],[اجمالي الفاتوره]]-Table11819202310303132362[[#This Row],[الدفعات]]</f>
        <v>1.0000000000186446</v>
      </c>
      <c r="O298" s="48"/>
    </row>
    <row r="299" spans="8:15" ht="22.5" customHeight="1" x14ac:dyDescent="0.3">
      <c r="H299" s="1">
        <f>0.14*Table11819202310303132362[[#This Row],[النولون]]</f>
        <v>0</v>
      </c>
      <c r="K29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299" s="1">
        <f>M298+Table11819202310303132362[[#This Row],[اجمالي الفاتوره]]-Table11819202310303132362[[#This Row],[الدفعات]]</f>
        <v>1.0000000000186446</v>
      </c>
      <c r="O299" s="48"/>
    </row>
    <row r="300" spans="8:15" ht="22.5" customHeight="1" x14ac:dyDescent="0.3">
      <c r="H300" s="1">
        <f>0.14*Table11819202310303132362[[#This Row],[النولون]]</f>
        <v>0</v>
      </c>
      <c r="K30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00" s="1">
        <f>M299+Table11819202310303132362[[#This Row],[اجمالي الفاتوره]]-Table11819202310303132362[[#This Row],[الدفعات]]</f>
        <v>1.0000000000186446</v>
      </c>
      <c r="O300" s="48"/>
    </row>
    <row r="301" spans="8:15" ht="22.5" customHeight="1" x14ac:dyDescent="0.3">
      <c r="H301" s="1">
        <f>0.14*Table11819202310303132362[[#This Row],[النولون]]</f>
        <v>0</v>
      </c>
      <c r="K30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01" s="1">
        <f>M300+Table11819202310303132362[[#This Row],[اجمالي الفاتوره]]-Table11819202310303132362[[#This Row],[الدفعات]]</f>
        <v>1.0000000000186446</v>
      </c>
      <c r="O301" s="48"/>
    </row>
    <row r="302" spans="8:15" ht="22.5" customHeight="1" x14ac:dyDescent="0.3">
      <c r="H302" s="1">
        <f>0.14*Table11819202310303132362[[#This Row],[النولون]]</f>
        <v>0</v>
      </c>
      <c r="K30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02" s="1">
        <f>M301+Table11819202310303132362[[#This Row],[اجمالي الفاتوره]]-Table11819202310303132362[[#This Row],[الدفعات]]</f>
        <v>1.0000000000186446</v>
      </c>
      <c r="O302" s="48"/>
    </row>
    <row r="303" spans="8:15" ht="22.5" customHeight="1" x14ac:dyDescent="0.3">
      <c r="H303" s="1">
        <f>0.14*Table11819202310303132362[[#This Row],[النولون]]</f>
        <v>0</v>
      </c>
      <c r="K30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03" s="1">
        <f>M302+Table11819202310303132362[[#This Row],[اجمالي الفاتوره]]-Table11819202310303132362[[#This Row],[الدفعات]]</f>
        <v>1.0000000000186446</v>
      </c>
      <c r="O303" s="48"/>
    </row>
    <row r="304" spans="8:15" ht="22.5" customHeight="1" x14ac:dyDescent="0.3">
      <c r="H304" s="1">
        <f>0.14*Table11819202310303132362[[#This Row],[النولون]]</f>
        <v>0</v>
      </c>
      <c r="K30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04" s="1">
        <f>M303+Table11819202310303132362[[#This Row],[اجمالي الفاتوره]]-Table11819202310303132362[[#This Row],[الدفعات]]</f>
        <v>1.0000000000186446</v>
      </c>
      <c r="O304" s="48"/>
    </row>
    <row r="305" spans="8:15" ht="22.5" customHeight="1" x14ac:dyDescent="0.3">
      <c r="H305" s="1">
        <f>0.14*Table11819202310303132362[[#This Row],[النولون]]</f>
        <v>0</v>
      </c>
      <c r="K30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05" s="1">
        <f>M304+Table11819202310303132362[[#This Row],[اجمالي الفاتوره]]-Table11819202310303132362[[#This Row],[الدفعات]]</f>
        <v>1.0000000000186446</v>
      </c>
      <c r="O305" s="48"/>
    </row>
    <row r="306" spans="8:15" ht="22.5" customHeight="1" x14ac:dyDescent="0.3">
      <c r="H306" s="1">
        <f>0.14*Table11819202310303132362[[#This Row],[النولون]]</f>
        <v>0</v>
      </c>
      <c r="K30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06" s="1">
        <f>M305+Table11819202310303132362[[#This Row],[اجمالي الفاتوره]]-Table11819202310303132362[[#This Row],[الدفعات]]</f>
        <v>1.0000000000186446</v>
      </c>
      <c r="O306" s="48"/>
    </row>
    <row r="307" spans="8:15" ht="22.5" customHeight="1" x14ac:dyDescent="0.3">
      <c r="H307" s="1">
        <f>0.14*Table11819202310303132362[[#This Row],[النولون]]</f>
        <v>0</v>
      </c>
      <c r="K30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07" s="1">
        <f>M306+Table11819202310303132362[[#This Row],[اجمالي الفاتوره]]-Table11819202310303132362[[#This Row],[الدفعات]]</f>
        <v>1.0000000000186446</v>
      </c>
      <c r="O307" s="48"/>
    </row>
    <row r="308" spans="8:15" ht="22.5" customHeight="1" x14ac:dyDescent="0.3">
      <c r="H308" s="1">
        <f>0.14*Table11819202310303132362[[#This Row],[النولون]]</f>
        <v>0</v>
      </c>
      <c r="K30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08" s="1">
        <f>M307+Table11819202310303132362[[#This Row],[اجمالي الفاتوره]]-Table11819202310303132362[[#This Row],[الدفعات]]</f>
        <v>1.0000000000186446</v>
      </c>
      <c r="O308" s="48"/>
    </row>
    <row r="309" spans="8:15" ht="22.5" customHeight="1" x14ac:dyDescent="0.3">
      <c r="H309" s="1">
        <f>0.14*Table11819202310303132362[[#This Row],[النولون]]</f>
        <v>0</v>
      </c>
      <c r="K30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09" s="1">
        <f>M308+Table11819202310303132362[[#This Row],[اجمالي الفاتوره]]-Table11819202310303132362[[#This Row],[الدفعات]]</f>
        <v>1.0000000000186446</v>
      </c>
      <c r="O309" s="48"/>
    </row>
    <row r="310" spans="8:15" ht="22.5" customHeight="1" x14ac:dyDescent="0.3">
      <c r="H310" s="1">
        <f>0.14*Table11819202310303132362[[#This Row],[النولون]]</f>
        <v>0</v>
      </c>
      <c r="K31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10" s="1">
        <f>M309+Table11819202310303132362[[#This Row],[اجمالي الفاتوره]]-Table11819202310303132362[[#This Row],[الدفعات]]</f>
        <v>1.0000000000186446</v>
      </c>
      <c r="O310" s="48"/>
    </row>
    <row r="311" spans="8:15" ht="22.5" customHeight="1" x14ac:dyDescent="0.3">
      <c r="H311" s="1">
        <f>0.14*Table11819202310303132362[[#This Row],[النولون]]</f>
        <v>0</v>
      </c>
      <c r="K31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11" s="1">
        <f>M310+Table11819202310303132362[[#This Row],[اجمالي الفاتوره]]-Table11819202310303132362[[#This Row],[الدفعات]]</f>
        <v>1.0000000000186446</v>
      </c>
      <c r="O311" s="48"/>
    </row>
    <row r="312" spans="8:15" ht="22.5" customHeight="1" x14ac:dyDescent="0.3">
      <c r="H312" s="1">
        <f>0.14*Table11819202310303132362[[#This Row],[النولون]]</f>
        <v>0</v>
      </c>
      <c r="K31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12" s="1">
        <f>M311+Table11819202310303132362[[#This Row],[اجمالي الفاتوره]]-Table11819202310303132362[[#This Row],[الدفعات]]</f>
        <v>1.0000000000186446</v>
      </c>
      <c r="O312" s="48"/>
    </row>
    <row r="313" spans="8:15" ht="22.5" customHeight="1" x14ac:dyDescent="0.3">
      <c r="H313" s="1">
        <f>0.14*Table11819202310303132362[[#This Row],[النولون]]</f>
        <v>0</v>
      </c>
      <c r="K31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13" s="1">
        <f>M312+Table11819202310303132362[[#This Row],[اجمالي الفاتوره]]-Table11819202310303132362[[#This Row],[الدفعات]]</f>
        <v>1.0000000000186446</v>
      </c>
      <c r="O313" s="48"/>
    </row>
    <row r="314" spans="8:15" ht="22.5" customHeight="1" x14ac:dyDescent="0.3">
      <c r="H314" s="1">
        <f>0.14*Table11819202310303132362[[#This Row],[النولون]]</f>
        <v>0</v>
      </c>
      <c r="K31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14" s="1">
        <f>M313+Table11819202310303132362[[#This Row],[اجمالي الفاتوره]]-Table11819202310303132362[[#This Row],[الدفعات]]</f>
        <v>1.0000000000186446</v>
      </c>
      <c r="O314" s="48"/>
    </row>
    <row r="315" spans="8:15" ht="22.5" customHeight="1" x14ac:dyDescent="0.3">
      <c r="H315" s="1">
        <f>0.14*Table11819202310303132362[[#This Row],[النولون]]</f>
        <v>0</v>
      </c>
      <c r="K31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15" s="1">
        <f>M314+Table11819202310303132362[[#This Row],[اجمالي الفاتوره]]-Table11819202310303132362[[#This Row],[الدفعات]]</f>
        <v>1.0000000000186446</v>
      </c>
      <c r="O315" s="48"/>
    </row>
    <row r="316" spans="8:15" ht="22.5" customHeight="1" x14ac:dyDescent="0.3">
      <c r="H316" s="1">
        <f>0.14*Table11819202310303132362[[#This Row],[النولون]]</f>
        <v>0</v>
      </c>
      <c r="K31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16" s="1">
        <f>M315+Table11819202310303132362[[#This Row],[اجمالي الفاتوره]]-Table11819202310303132362[[#This Row],[الدفعات]]</f>
        <v>1.0000000000186446</v>
      </c>
      <c r="O316" s="48"/>
    </row>
    <row r="317" spans="8:15" ht="22.5" customHeight="1" x14ac:dyDescent="0.3">
      <c r="H317" s="1">
        <f>0.14*Table11819202310303132362[[#This Row],[النولون]]</f>
        <v>0</v>
      </c>
      <c r="K31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17" s="1">
        <f>M316+Table11819202310303132362[[#This Row],[اجمالي الفاتوره]]-Table11819202310303132362[[#This Row],[الدفعات]]</f>
        <v>1.0000000000186446</v>
      </c>
      <c r="O317" s="48"/>
    </row>
    <row r="318" spans="8:15" ht="22.5" customHeight="1" x14ac:dyDescent="0.3">
      <c r="H318" s="1">
        <f>0.14*Table11819202310303132362[[#This Row],[النولون]]</f>
        <v>0</v>
      </c>
      <c r="K31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18" s="1">
        <f>M317+Table11819202310303132362[[#This Row],[اجمالي الفاتوره]]-Table11819202310303132362[[#This Row],[الدفعات]]</f>
        <v>1.0000000000186446</v>
      </c>
      <c r="O318" s="48"/>
    </row>
    <row r="319" spans="8:15" ht="22.5" customHeight="1" x14ac:dyDescent="0.3">
      <c r="H319" s="1">
        <f>0.14*Table11819202310303132362[[#This Row],[النولون]]</f>
        <v>0</v>
      </c>
      <c r="K31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19" s="1">
        <f>M318+Table11819202310303132362[[#This Row],[اجمالي الفاتوره]]-Table11819202310303132362[[#This Row],[الدفعات]]</f>
        <v>1.0000000000186446</v>
      </c>
      <c r="O319" s="48"/>
    </row>
    <row r="320" spans="8:15" ht="22.5" customHeight="1" x14ac:dyDescent="0.3">
      <c r="H320" s="1">
        <f>0.14*Table11819202310303132362[[#This Row],[النولون]]</f>
        <v>0</v>
      </c>
      <c r="K32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20" s="1">
        <f>M319+Table11819202310303132362[[#This Row],[اجمالي الفاتوره]]-Table11819202310303132362[[#This Row],[الدفعات]]</f>
        <v>1.0000000000186446</v>
      </c>
      <c r="O320" s="48"/>
    </row>
    <row r="321" spans="8:15" ht="22.5" customHeight="1" x14ac:dyDescent="0.3">
      <c r="H321" s="1">
        <f>0.14*Table11819202310303132362[[#This Row],[النولون]]</f>
        <v>0</v>
      </c>
      <c r="K32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21" s="1">
        <f>M320+Table11819202310303132362[[#This Row],[اجمالي الفاتوره]]-Table11819202310303132362[[#This Row],[الدفعات]]</f>
        <v>1.0000000000186446</v>
      </c>
      <c r="O321" s="48"/>
    </row>
    <row r="322" spans="8:15" ht="22.5" customHeight="1" x14ac:dyDescent="0.3">
      <c r="H322" s="1">
        <f>0.14*Table11819202310303132362[[#This Row],[النولون]]</f>
        <v>0</v>
      </c>
      <c r="K32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22" s="1">
        <f>M321+Table11819202310303132362[[#This Row],[اجمالي الفاتوره]]-Table11819202310303132362[[#This Row],[الدفعات]]</f>
        <v>1.0000000000186446</v>
      </c>
      <c r="O322" s="48"/>
    </row>
    <row r="323" spans="8:15" ht="22.5" customHeight="1" x14ac:dyDescent="0.3">
      <c r="H323" s="1">
        <f>0.14*Table11819202310303132362[[#This Row],[النولون]]</f>
        <v>0</v>
      </c>
      <c r="K32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23" s="1">
        <f>M322+Table11819202310303132362[[#This Row],[اجمالي الفاتوره]]-Table11819202310303132362[[#This Row],[الدفعات]]</f>
        <v>1.0000000000186446</v>
      </c>
      <c r="O323" s="48"/>
    </row>
    <row r="324" spans="8:15" ht="22.5" customHeight="1" x14ac:dyDescent="0.3">
      <c r="H324" s="1">
        <f>0.14*Table11819202310303132362[[#This Row],[النولون]]</f>
        <v>0</v>
      </c>
      <c r="K32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24" s="1">
        <f>M323+Table11819202310303132362[[#This Row],[اجمالي الفاتوره]]-Table11819202310303132362[[#This Row],[الدفعات]]</f>
        <v>1.0000000000186446</v>
      </c>
      <c r="O324" s="48"/>
    </row>
    <row r="325" spans="8:15" ht="22.5" customHeight="1" x14ac:dyDescent="0.3">
      <c r="H325" s="1">
        <f>0.14*Table11819202310303132362[[#This Row],[النولون]]</f>
        <v>0</v>
      </c>
      <c r="K32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25" s="1">
        <f>M324+Table11819202310303132362[[#This Row],[اجمالي الفاتوره]]-Table11819202310303132362[[#This Row],[الدفعات]]</f>
        <v>1.0000000000186446</v>
      </c>
      <c r="O325" s="48"/>
    </row>
    <row r="326" spans="8:15" ht="22.5" customHeight="1" x14ac:dyDescent="0.3">
      <c r="H326" s="1">
        <f>0.14*Table11819202310303132362[[#This Row],[النولون]]</f>
        <v>0</v>
      </c>
      <c r="K32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26" s="1">
        <f>M325+Table11819202310303132362[[#This Row],[اجمالي الفاتوره]]-Table11819202310303132362[[#This Row],[الدفعات]]</f>
        <v>1.0000000000186446</v>
      </c>
      <c r="O326" s="48"/>
    </row>
    <row r="327" spans="8:15" ht="22.5" customHeight="1" x14ac:dyDescent="0.3">
      <c r="H327" s="1">
        <f>0.14*Table11819202310303132362[[#This Row],[النولون]]</f>
        <v>0</v>
      </c>
      <c r="K32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27" s="1">
        <f>M326+Table11819202310303132362[[#This Row],[اجمالي الفاتوره]]-Table11819202310303132362[[#This Row],[الدفعات]]</f>
        <v>1.0000000000186446</v>
      </c>
      <c r="O327" s="48"/>
    </row>
    <row r="328" spans="8:15" ht="22.5" customHeight="1" x14ac:dyDescent="0.3">
      <c r="H328" s="1">
        <f>0.14*Table11819202310303132362[[#This Row],[النولون]]</f>
        <v>0</v>
      </c>
      <c r="K32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28" s="1">
        <f>M327+Table11819202310303132362[[#This Row],[اجمالي الفاتوره]]-Table11819202310303132362[[#This Row],[الدفعات]]</f>
        <v>1.0000000000186446</v>
      </c>
      <c r="O328" s="48"/>
    </row>
    <row r="329" spans="8:15" ht="22.5" customHeight="1" x14ac:dyDescent="0.3">
      <c r="H329" s="1">
        <f>0.14*Table11819202310303132362[[#This Row],[النولون]]</f>
        <v>0</v>
      </c>
      <c r="K329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29" s="1">
        <f>M328+Table11819202310303132362[[#This Row],[اجمالي الفاتوره]]-Table11819202310303132362[[#This Row],[الدفعات]]</f>
        <v>1.0000000000186446</v>
      </c>
      <c r="O329" s="48"/>
    </row>
    <row r="330" spans="8:15" ht="22.5" customHeight="1" x14ac:dyDescent="0.3">
      <c r="H330" s="1">
        <f>0.14*Table11819202310303132362[[#This Row],[النولون]]</f>
        <v>0</v>
      </c>
      <c r="K330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30" s="1">
        <f>M329+Table11819202310303132362[[#This Row],[اجمالي الفاتوره]]-Table11819202310303132362[[#This Row],[الدفعات]]</f>
        <v>1.0000000000186446</v>
      </c>
      <c r="O330" s="48"/>
    </row>
    <row r="331" spans="8:15" ht="22.5" customHeight="1" x14ac:dyDescent="0.3">
      <c r="H331" s="1">
        <f>0.14*Table11819202310303132362[[#This Row],[النولون]]</f>
        <v>0</v>
      </c>
      <c r="K331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31" s="1">
        <f>M330+Table11819202310303132362[[#This Row],[اجمالي الفاتوره]]-Table11819202310303132362[[#This Row],[الدفعات]]</f>
        <v>1.0000000000186446</v>
      </c>
      <c r="O331" s="48"/>
    </row>
    <row r="332" spans="8:15" ht="22.5" customHeight="1" x14ac:dyDescent="0.3">
      <c r="H332" s="1">
        <f>0.14*Table11819202310303132362[[#This Row],[النولون]]</f>
        <v>0</v>
      </c>
      <c r="K332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32" s="1">
        <f>M331+Table11819202310303132362[[#This Row],[اجمالي الفاتوره]]-Table11819202310303132362[[#This Row],[الدفعات]]</f>
        <v>1.0000000000186446</v>
      </c>
      <c r="O332" s="48"/>
    </row>
    <row r="333" spans="8:15" ht="22.5" customHeight="1" x14ac:dyDescent="0.3">
      <c r="H333" s="1">
        <f>0.14*Table11819202310303132362[[#This Row],[النولون]]</f>
        <v>0</v>
      </c>
      <c r="K333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33" s="1">
        <f>M332+Table11819202310303132362[[#This Row],[اجمالي الفاتوره]]-Table11819202310303132362[[#This Row],[الدفعات]]</f>
        <v>1.0000000000186446</v>
      </c>
      <c r="O333" s="48"/>
    </row>
    <row r="334" spans="8:15" ht="22.5" customHeight="1" x14ac:dyDescent="0.3">
      <c r="H334" s="1">
        <f>0.14*Table11819202310303132362[[#This Row],[النولون]]</f>
        <v>0</v>
      </c>
      <c r="K334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34" s="1">
        <f>M333+Table11819202310303132362[[#This Row],[اجمالي الفاتوره]]-Table11819202310303132362[[#This Row],[الدفعات]]</f>
        <v>1.0000000000186446</v>
      </c>
      <c r="O334" s="48"/>
    </row>
    <row r="335" spans="8:15" ht="22.5" customHeight="1" x14ac:dyDescent="0.3">
      <c r="H335" s="1">
        <f>0.14*Table11819202310303132362[[#This Row],[النولون]]</f>
        <v>0</v>
      </c>
      <c r="K335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35" s="1">
        <f>M334+Table11819202310303132362[[#This Row],[اجمالي الفاتوره]]-Table11819202310303132362[[#This Row],[الدفعات]]</f>
        <v>1.0000000000186446</v>
      </c>
      <c r="O335" s="48"/>
    </row>
    <row r="336" spans="8:15" ht="22.5" customHeight="1" x14ac:dyDescent="0.3">
      <c r="H336" s="1">
        <f>0.14*Table11819202310303132362[[#This Row],[النولون]]</f>
        <v>0</v>
      </c>
      <c r="K336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36" s="1">
        <f>M335+Table11819202310303132362[[#This Row],[اجمالي الفاتوره]]-Table11819202310303132362[[#This Row],[الدفعات]]</f>
        <v>1.0000000000186446</v>
      </c>
      <c r="O336" s="48"/>
    </row>
    <row r="337" spans="8:15" ht="22.5" customHeight="1" x14ac:dyDescent="0.3">
      <c r="H337" s="1">
        <f>0.14*Table11819202310303132362[[#This Row],[النولون]]</f>
        <v>0</v>
      </c>
      <c r="K337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37" s="1">
        <f>M336+Table11819202310303132362[[#This Row],[اجمالي الفاتوره]]-Table11819202310303132362[[#This Row],[الدفعات]]</f>
        <v>1.0000000000186446</v>
      </c>
      <c r="O337" s="48"/>
    </row>
    <row r="338" spans="8:15" ht="22.5" customHeight="1" x14ac:dyDescent="0.3">
      <c r="H338" s="1">
        <f>0.14*Table11819202310303132362[[#This Row],[النولون]]</f>
        <v>0</v>
      </c>
      <c r="K338" s="1">
        <f>Table11819202310303132362[[#This Row],[النولون]]+Table11819202310303132362[[#This Row],[الايصالات]]-Table11819202310303132362[[#This Row],[خصم أ ت ص]]+Table11819202310303132362[[#This Row],[قيمة مضافة]]</f>
        <v>0</v>
      </c>
      <c r="M338" s="1">
        <f>M337+Table11819202310303132362[[#This Row],[اجمالي الفاتوره]]-Table11819202310303132362[[#This Row],[الدفعات]]</f>
        <v>1.0000000000186446</v>
      </c>
      <c r="O338" s="48"/>
    </row>
  </sheetData>
  <phoneticPr fontId="2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342"/>
  <sheetViews>
    <sheetView rightToLeft="1" workbookViewId="0">
      <selection activeCell="K9" sqref="K9"/>
    </sheetView>
  </sheetViews>
  <sheetFormatPr defaultColWidth="9.109375" defaultRowHeight="22.5" customHeight="1" x14ac:dyDescent="0.3"/>
  <cols>
    <col min="1" max="1" width="5.44140625" style="6" bestFit="1" customWidth="1"/>
    <col min="2" max="2" width="5.44140625" style="1" customWidth="1"/>
    <col min="3" max="3" width="11" style="1" customWidth="1"/>
    <col min="4" max="4" width="15.109375" style="1" customWidth="1"/>
    <col min="5" max="5" width="11.21875" style="1" customWidth="1"/>
    <col min="6" max="6" width="13.33203125" style="1" customWidth="1"/>
    <col min="7" max="7" width="13" style="1" customWidth="1"/>
    <col min="8" max="8" width="11.6640625" style="1" customWidth="1"/>
    <col min="9" max="9" width="11.77734375" style="1" customWidth="1"/>
    <col min="10" max="10" width="8.21875" style="1" customWidth="1"/>
    <col min="11" max="11" width="10.77734375" style="1" customWidth="1"/>
    <col min="12" max="12" width="12" style="1" customWidth="1"/>
    <col min="13" max="13" width="12.77734375" style="1" customWidth="1"/>
    <col min="14" max="14" width="15.21875" style="1" customWidth="1"/>
    <col min="15" max="16384" width="9.109375" style="1"/>
  </cols>
  <sheetData>
    <row r="1" spans="1:16" ht="22.5" customHeight="1" x14ac:dyDescent="0.3">
      <c r="A1" s="6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48" t="s">
        <v>20</v>
      </c>
    </row>
    <row r="2" spans="1:16" ht="22.5" customHeight="1" x14ac:dyDescent="0.3">
      <c r="A2" s="6">
        <v>1363</v>
      </c>
      <c r="B2" s="1">
        <v>1</v>
      </c>
      <c r="C2" s="2">
        <v>46119</v>
      </c>
      <c r="D2" s="1" t="s">
        <v>425</v>
      </c>
      <c r="E2" s="1" t="s">
        <v>157</v>
      </c>
      <c r="F2" s="1">
        <v>1239</v>
      </c>
      <c r="G2" s="1" t="s">
        <v>159</v>
      </c>
      <c r="H2" s="1">
        <v>14800</v>
      </c>
      <c r="K2" s="1">
        <f>550+251.14+1030+200</f>
        <v>2031.1399999999999</v>
      </c>
      <c r="L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16831.14</v>
      </c>
      <c r="N2" s="1">
        <f>Table118192023103031323538394041481115[[#This Row],[اجمالي الفاتوره]]-Table118192023103031323538394041481115[[#This Row],[الدفعات]]</f>
        <v>16831.14</v>
      </c>
      <c r="P2" s="48"/>
    </row>
    <row r="3" spans="1:16" ht="22.5" customHeight="1" x14ac:dyDescent="0.3">
      <c r="A3" s="6">
        <v>1364</v>
      </c>
      <c r="B3" s="1">
        <v>2</v>
      </c>
      <c r="C3" s="2">
        <v>46119</v>
      </c>
      <c r="D3" s="1" t="s">
        <v>426</v>
      </c>
      <c r="E3" s="1" t="s">
        <v>281</v>
      </c>
      <c r="F3" s="1">
        <v>3499900</v>
      </c>
      <c r="G3" s="1" t="s">
        <v>121</v>
      </c>
      <c r="H3" s="1">
        <v>17500</v>
      </c>
      <c r="K3" s="1">
        <f>1130+105.79+412.95+350+1610.1+1245.56+855+39.9</f>
        <v>5749.2999999999993</v>
      </c>
      <c r="L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23249.3</v>
      </c>
      <c r="N3" s="1">
        <f>N2+Table118192023103031323538394041481115[[#This Row],[اجمالي الفاتوره]]-Table118192023103031323538394041481115[[#This Row],[الدفعات]]</f>
        <v>40080.44</v>
      </c>
      <c r="P3" s="48"/>
    </row>
    <row r="4" spans="1:16" ht="22.5" customHeight="1" x14ac:dyDescent="0.3">
      <c r="A4" s="74"/>
      <c r="B4" s="72"/>
      <c r="C4" s="73">
        <v>46147</v>
      </c>
      <c r="D4" s="72"/>
      <c r="E4" s="72"/>
      <c r="F4" s="72"/>
      <c r="G4" s="72"/>
      <c r="H4" s="72"/>
      <c r="I4" s="72"/>
      <c r="J4" s="72"/>
      <c r="K4" s="72"/>
      <c r="L4" s="72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M4" s="72">
        <v>40080.44</v>
      </c>
      <c r="N4" s="72">
        <f>N3+Table118192023103031323538394041481115[[#This Row],[اجمالي الفاتوره]]-Table118192023103031323538394041481115[[#This Row],[الدفعات]]</f>
        <v>0</v>
      </c>
      <c r="P4" s="48"/>
    </row>
    <row r="5" spans="1:16" ht="22.5" customHeight="1" x14ac:dyDescent="0.3">
      <c r="A5" s="6">
        <v>1499</v>
      </c>
      <c r="B5" s="1">
        <v>3</v>
      </c>
      <c r="C5" s="2">
        <v>46174</v>
      </c>
      <c r="D5" s="1" t="s">
        <v>426</v>
      </c>
      <c r="E5" s="1" t="s">
        <v>281</v>
      </c>
      <c r="F5" s="1">
        <v>9020839220</v>
      </c>
      <c r="G5" s="1" t="s">
        <v>121</v>
      </c>
      <c r="H5" s="1">
        <v>17500</v>
      </c>
      <c r="K5" s="1">
        <f>850+1100+421.43+1339.5+342</f>
        <v>4052.93</v>
      </c>
      <c r="L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21552.93</v>
      </c>
      <c r="N5" s="1">
        <f>N4+Table118192023103031323538394041481115[[#This Row],[اجمالي الفاتوره]]-Table118192023103031323538394041481115[[#This Row],[الدفعات]]</f>
        <v>21552.93</v>
      </c>
      <c r="P5" s="48"/>
    </row>
    <row r="6" spans="1:16" ht="22.5" customHeight="1" x14ac:dyDescent="0.3">
      <c r="A6" s="6">
        <v>1500</v>
      </c>
      <c r="B6" s="1">
        <v>4</v>
      </c>
      <c r="C6" s="2">
        <v>46174</v>
      </c>
      <c r="D6" s="1" t="s">
        <v>587</v>
      </c>
      <c r="E6" s="1" t="s">
        <v>118</v>
      </c>
      <c r="F6" s="1">
        <v>265820</v>
      </c>
      <c r="G6" s="1" t="s">
        <v>121</v>
      </c>
      <c r="H6" s="1">
        <f>14000+2*3500</f>
        <v>21000</v>
      </c>
      <c r="K6" s="1">
        <f>850+1100+399.43+45.15+150+250+1219.12</f>
        <v>4013.7</v>
      </c>
      <c r="L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25013.7</v>
      </c>
      <c r="N6" s="1">
        <f>N5+Table118192023103031323538394041481115[[#This Row],[اجمالي الفاتوره]]-Table118192023103031323538394041481115[[#This Row],[الدفعات]]</f>
        <v>46566.630000000005</v>
      </c>
      <c r="P6" s="48"/>
    </row>
    <row r="7" spans="1:16" ht="22.5" customHeight="1" x14ac:dyDescent="0.3">
      <c r="A7" s="6">
        <v>1546</v>
      </c>
      <c r="B7" s="1">
        <v>5</v>
      </c>
      <c r="C7" s="2">
        <v>46187</v>
      </c>
      <c r="D7" s="1" t="s">
        <v>614</v>
      </c>
      <c r="E7" s="1" t="s">
        <v>94</v>
      </c>
      <c r="F7" s="1">
        <v>271140512</v>
      </c>
      <c r="G7" s="1" t="s">
        <v>121</v>
      </c>
      <c r="H7" s="1">
        <v>17500</v>
      </c>
      <c r="K7" s="1">
        <f>850+1100+480.8+170.16+120+210+2295.96+150+500+4903</f>
        <v>10779.92</v>
      </c>
      <c r="L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28279.919999999998</v>
      </c>
      <c r="N7" s="1">
        <f>N6+Table118192023103031323538394041481115[[#This Row],[اجمالي الفاتوره]]-Table118192023103031323538394041481115[[#This Row],[الدفعات]]</f>
        <v>74846.55</v>
      </c>
      <c r="P7" s="48"/>
    </row>
    <row r="8" spans="1:16" ht="22.5" customHeight="1" x14ac:dyDescent="0.3">
      <c r="A8" s="6">
        <v>1582</v>
      </c>
      <c r="B8" s="1">
        <v>6</v>
      </c>
      <c r="C8" s="2">
        <v>46208</v>
      </c>
      <c r="D8" s="1" t="s">
        <v>425</v>
      </c>
      <c r="E8" s="1" t="s">
        <v>157</v>
      </c>
      <c r="F8" s="1">
        <v>934216</v>
      </c>
      <c r="G8" s="1" t="s">
        <v>159</v>
      </c>
      <c r="H8" s="1">
        <v>14800</v>
      </c>
      <c r="K8" s="1">
        <f>560+270.82+2500+150+171</f>
        <v>3651.8199999999997</v>
      </c>
      <c r="L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18451.82</v>
      </c>
      <c r="N8" s="1">
        <f>N7+Table118192023103031323538394041481115[[#This Row],[اجمالي الفاتوره]]-Table118192023103031323538394041481115[[#This Row],[الدفعات]]</f>
        <v>93298.37</v>
      </c>
      <c r="P8" s="48"/>
    </row>
    <row r="9" spans="1:16" ht="22.5" customHeight="1" x14ac:dyDescent="0.3">
      <c r="B9" s="41"/>
      <c r="C9" s="45"/>
      <c r="D9" s="41"/>
      <c r="E9" s="41"/>
      <c r="F9" s="41"/>
      <c r="G9" s="41"/>
      <c r="H9" s="41"/>
      <c r="I9" s="41"/>
      <c r="J9" s="41"/>
      <c r="K9" s="41"/>
      <c r="L9" s="4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M9" s="41"/>
      <c r="N9" s="1">
        <f>N8+Table118192023103031323538394041481115[[#This Row],[اجمالي الفاتوره]]-Table118192023103031323538394041481115[[#This Row],[الدفعات]]</f>
        <v>93298.37</v>
      </c>
      <c r="O9" s="41"/>
      <c r="P9" s="48"/>
    </row>
    <row r="10" spans="1:16" ht="22.5" customHeight="1" x14ac:dyDescent="0.3">
      <c r="C10" s="2"/>
      <c r="F10" s="20"/>
      <c r="L1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0" s="1">
        <f>N9+Table118192023103031323538394041481115[[#This Row],[اجمالي الفاتوره]]-Table118192023103031323538394041481115[[#This Row],[الدفعات]]</f>
        <v>93298.37</v>
      </c>
      <c r="P10" s="48"/>
    </row>
    <row r="11" spans="1:16" ht="22.5" customHeight="1" x14ac:dyDescent="0.3">
      <c r="C11" s="2"/>
      <c r="F11" s="20"/>
      <c r="L1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1" s="1">
        <f>N10+Table118192023103031323538394041481115[[#This Row],[اجمالي الفاتوره]]-Table118192023103031323538394041481115[[#This Row],[الدفعات]]</f>
        <v>93298.37</v>
      </c>
      <c r="P11" s="48"/>
    </row>
    <row r="12" spans="1:16" ht="22.5" customHeight="1" x14ac:dyDescent="0.3">
      <c r="C12" s="2"/>
      <c r="F12" s="20"/>
      <c r="L1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2" s="1">
        <f>N11+Table118192023103031323538394041481115[[#This Row],[اجمالي الفاتوره]]-Table118192023103031323538394041481115[[#This Row],[الدفعات]]</f>
        <v>93298.37</v>
      </c>
      <c r="P12" s="48"/>
    </row>
    <row r="13" spans="1:16" ht="22.5" customHeight="1" x14ac:dyDescent="0.3">
      <c r="C13" s="2"/>
      <c r="L1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3" s="1">
        <f>N12+Table118192023103031323538394041481115[[#This Row],[اجمالي الفاتوره]]-Table118192023103031323538394041481115[[#This Row],[الدفعات]]</f>
        <v>93298.37</v>
      </c>
      <c r="O13" s="1">
        <f>SUM(L:L)-SUM(M:M)</f>
        <v>93298.37</v>
      </c>
      <c r="P13" s="48">
        <f>SUM(I:I)</f>
        <v>0</v>
      </c>
    </row>
    <row r="14" spans="1:16" ht="22.5" customHeight="1" x14ac:dyDescent="0.3">
      <c r="C14" s="2"/>
      <c r="L1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4" s="1">
        <f>N13+Table118192023103031323538394041481115[[#This Row],[اجمالي الفاتوره]]-Table118192023103031323538394041481115[[#This Row],[الدفعات]]</f>
        <v>93298.37</v>
      </c>
      <c r="P14" s="48"/>
    </row>
    <row r="15" spans="1:16" ht="22.5" customHeight="1" x14ac:dyDescent="0.3">
      <c r="C15" s="2"/>
      <c r="L1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5" s="1">
        <f>N14+Table118192023103031323538394041481115[[#This Row],[اجمالي الفاتوره]]-Table118192023103031323538394041481115[[#This Row],[الدفعات]]</f>
        <v>93298.37</v>
      </c>
      <c r="P15" s="48"/>
    </row>
    <row r="16" spans="1:16" ht="22.5" customHeight="1" x14ac:dyDescent="0.3">
      <c r="C16" s="2"/>
      <c r="L1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6" s="1">
        <f>N15+Table118192023103031323538394041481115[[#This Row],[اجمالي الفاتوره]]-Table118192023103031323538394041481115[[#This Row],[الدفعات]]</f>
        <v>93298.37</v>
      </c>
      <c r="P16" s="48"/>
    </row>
    <row r="17" spans="2:16" ht="22.5" customHeight="1" x14ac:dyDescent="0.3">
      <c r="C17" s="2"/>
      <c r="L1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7" s="1">
        <f>N16+Table118192023103031323538394041481115[[#This Row],[اجمالي الفاتوره]]-Table118192023103031323538394041481115[[#This Row],[الدفعات]]</f>
        <v>93298.37</v>
      </c>
      <c r="P17" s="48"/>
    </row>
    <row r="18" spans="2:16" ht="22.5" customHeight="1" x14ac:dyDescent="0.3">
      <c r="B18" s="41"/>
      <c r="C18" s="45"/>
      <c r="D18" s="41"/>
      <c r="E18" s="41"/>
      <c r="F18" s="41"/>
      <c r="G18" s="41"/>
      <c r="H18" s="41"/>
      <c r="I18" s="41"/>
      <c r="J18" s="41"/>
      <c r="K18" s="41"/>
      <c r="L18" s="4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M18" s="41"/>
      <c r="N18" s="1">
        <f>N17+Table118192023103031323538394041481115[[#This Row],[اجمالي الفاتوره]]-Table118192023103031323538394041481115[[#This Row],[الدفعات]]</f>
        <v>93298.37</v>
      </c>
      <c r="O18" s="41"/>
      <c r="P18" s="48"/>
    </row>
    <row r="19" spans="2:16" ht="22.5" customHeight="1" x14ac:dyDescent="0.3">
      <c r="C19" s="2"/>
      <c r="L1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9" s="1">
        <f>N18+Table118192023103031323538394041481115[[#This Row],[اجمالي الفاتوره]]-Table118192023103031323538394041481115[[#This Row],[الدفعات]]</f>
        <v>93298.37</v>
      </c>
      <c r="P19" s="48"/>
    </row>
    <row r="20" spans="2:16" ht="22.5" customHeight="1" x14ac:dyDescent="0.3">
      <c r="B20" s="41"/>
      <c r="C20" s="45"/>
      <c r="D20" s="41"/>
      <c r="E20" s="41"/>
      <c r="F20" s="41"/>
      <c r="G20" s="41"/>
      <c r="H20" s="41"/>
      <c r="I20" s="41"/>
      <c r="J20" s="41"/>
      <c r="K20" s="41"/>
      <c r="L20" s="4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M20" s="41"/>
      <c r="N20" s="1">
        <f>N19+Table118192023103031323538394041481115[[#This Row],[اجمالي الفاتوره]]-Table118192023103031323538394041481115[[#This Row],[الدفعات]]</f>
        <v>93298.37</v>
      </c>
      <c r="O20" s="41"/>
      <c r="P20" s="48"/>
    </row>
    <row r="21" spans="2:16" ht="22.5" customHeight="1" x14ac:dyDescent="0.3">
      <c r="C21" s="2"/>
      <c r="L2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1" s="1">
        <f>N20+Table118192023103031323538394041481115[[#This Row],[اجمالي الفاتوره]]-Table118192023103031323538394041481115[[#This Row],[الدفعات]]</f>
        <v>93298.37</v>
      </c>
      <c r="P21" s="48"/>
    </row>
    <row r="22" spans="2:16" ht="22.5" customHeight="1" x14ac:dyDescent="0.3">
      <c r="B22" s="41"/>
      <c r="C22" s="45"/>
      <c r="D22" s="41"/>
      <c r="E22" s="41"/>
      <c r="F22" s="41"/>
      <c r="G22" s="41"/>
      <c r="H22" s="41"/>
      <c r="I22" s="41"/>
      <c r="J22" s="41"/>
      <c r="K22" s="41"/>
      <c r="L22" s="4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M22" s="41"/>
      <c r="N22" s="1">
        <f>N21+Table118192023103031323538394041481115[[#This Row],[اجمالي الفاتوره]]-Table118192023103031323538394041481115[[#This Row],[الدفعات]]</f>
        <v>93298.37</v>
      </c>
      <c r="O22" s="41"/>
      <c r="P22" s="48"/>
    </row>
    <row r="23" spans="2:16" ht="22.5" customHeight="1" x14ac:dyDescent="0.3">
      <c r="C23" s="2"/>
      <c r="L2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3" s="1">
        <f>N22+Table118192023103031323538394041481115[[#This Row],[اجمالي الفاتوره]]-Table118192023103031323538394041481115[[#This Row],[الدفعات]]</f>
        <v>93298.37</v>
      </c>
      <c r="P23" s="48"/>
    </row>
    <row r="24" spans="2:16" ht="22.5" customHeight="1" x14ac:dyDescent="0.3">
      <c r="C24" s="2"/>
      <c r="L2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4" s="1">
        <f>N23+Table118192023103031323538394041481115[[#This Row],[اجمالي الفاتوره]]-Table118192023103031323538394041481115[[#This Row],[الدفعات]]</f>
        <v>93298.37</v>
      </c>
      <c r="P24" s="48"/>
    </row>
    <row r="25" spans="2:16" ht="22.5" customHeight="1" x14ac:dyDescent="0.3">
      <c r="C25" s="2"/>
      <c r="L2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5" s="1">
        <f>N24+Table118192023103031323538394041481115[[#This Row],[اجمالي الفاتوره]]-Table118192023103031323538394041481115[[#This Row],[الدفعات]]</f>
        <v>93298.37</v>
      </c>
      <c r="P25" s="48"/>
    </row>
    <row r="26" spans="2:16" ht="22.5" customHeight="1" x14ac:dyDescent="0.3">
      <c r="C26" s="2"/>
      <c r="L2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6" s="1">
        <f>N25+Table118192023103031323538394041481115[[#This Row],[اجمالي الفاتوره]]-Table118192023103031323538394041481115[[#This Row],[الدفعات]]</f>
        <v>93298.37</v>
      </c>
      <c r="P26" s="48"/>
    </row>
    <row r="27" spans="2:16" ht="22.5" customHeight="1" x14ac:dyDescent="0.3">
      <c r="C27" s="2"/>
      <c r="L2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7" s="1">
        <f>N26+Table118192023103031323538394041481115[[#This Row],[اجمالي الفاتوره]]-Table118192023103031323538394041481115[[#This Row],[الدفعات]]</f>
        <v>93298.37</v>
      </c>
      <c r="P27" s="48"/>
    </row>
    <row r="28" spans="2:16" ht="22.5" customHeight="1" x14ac:dyDescent="0.3">
      <c r="L2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8" s="1">
        <f>N27+Table118192023103031323538394041481115[[#This Row],[اجمالي الفاتوره]]-Table118192023103031323538394041481115[[#This Row],[الدفعات]]</f>
        <v>93298.37</v>
      </c>
      <c r="P28" s="48"/>
    </row>
    <row r="29" spans="2:16" ht="22.5" customHeight="1" x14ac:dyDescent="0.3">
      <c r="L2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9" s="1">
        <f>N28+Table118192023103031323538394041481115[[#This Row],[اجمالي الفاتوره]]-Table118192023103031323538394041481115[[#This Row],[الدفعات]]</f>
        <v>93298.37</v>
      </c>
      <c r="P29" s="48"/>
    </row>
    <row r="30" spans="2:16" ht="22.5" customHeight="1" x14ac:dyDescent="0.3">
      <c r="C30" s="2"/>
      <c r="L3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0" s="1">
        <f>N29+Table118192023103031323538394041481115[[#This Row],[اجمالي الفاتوره]]-Table118192023103031323538394041481115[[#This Row],[الدفعات]]</f>
        <v>93298.37</v>
      </c>
      <c r="P30" s="48"/>
    </row>
    <row r="31" spans="2:16" ht="22.5" customHeight="1" x14ac:dyDescent="0.3">
      <c r="C31" s="2"/>
      <c r="L3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1" s="1">
        <f>N30+Table118192023103031323538394041481115[[#This Row],[اجمالي الفاتوره]]-Table118192023103031323538394041481115[[#This Row],[الدفعات]]</f>
        <v>93298.37</v>
      </c>
      <c r="P31" s="48"/>
    </row>
    <row r="32" spans="2:16" ht="22.5" customHeight="1" x14ac:dyDescent="0.3">
      <c r="C32" s="2"/>
      <c r="L3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2" s="1">
        <f>N31+Table118192023103031323538394041481115[[#This Row],[اجمالي الفاتوره]]-Table118192023103031323538394041481115[[#This Row],[الدفعات]]</f>
        <v>93298.37</v>
      </c>
      <c r="P32" s="48"/>
    </row>
    <row r="33" spans="3:16" ht="22.5" customHeight="1" x14ac:dyDescent="0.3">
      <c r="C33" s="2"/>
      <c r="L3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3" s="1">
        <f>N32+Table118192023103031323538394041481115[[#This Row],[اجمالي الفاتوره]]-Table118192023103031323538394041481115[[#This Row],[الدفعات]]</f>
        <v>93298.37</v>
      </c>
      <c r="P33" s="48"/>
    </row>
    <row r="34" spans="3:16" ht="22.5" customHeight="1" x14ac:dyDescent="0.3">
      <c r="L3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4" s="1">
        <f>N33+Table118192023103031323538394041481115[[#This Row],[اجمالي الفاتوره]]-Table118192023103031323538394041481115[[#This Row],[الدفعات]]</f>
        <v>93298.37</v>
      </c>
      <c r="P34" s="48"/>
    </row>
    <row r="35" spans="3:16" ht="22.5" customHeight="1" x14ac:dyDescent="0.3">
      <c r="C35" s="2"/>
      <c r="L3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5" s="1">
        <f>N34+Table118192023103031323538394041481115[[#This Row],[اجمالي الفاتوره]]-Table118192023103031323538394041481115[[#This Row],[الدفعات]]</f>
        <v>93298.37</v>
      </c>
      <c r="P35" s="48"/>
    </row>
    <row r="36" spans="3:16" ht="22.5" customHeight="1" x14ac:dyDescent="0.3">
      <c r="L3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6" s="1">
        <f>N35+Table118192023103031323538394041481115[[#This Row],[اجمالي الفاتوره]]-Table118192023103031323538394041481115[[#This Row],[الدفعات]]</f>
        <v>93298.37</v>
      </c>
      <c r="P36" s="48"/>
    </row>
    <row r="37" spans="3:16" ht="22.5" customHeight="1" x14ac:dyDescent="0.3">
      <c r="L3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7" s="1">
        <f>N36+Table118192023103031323538394041481115[[#This Row],[اجمالي الفاتوره]]-Table118192023103031323538394041481115[[#This Row],[الدفعات]]</f>
        <v>93298.37</v>
      </c>
      <c r="P37" s="48"/>
    </row>
    <row r="38" spans="3:16" ht="22.5" customHeight="1" x14ac:dyDescent="0.3">
      <c r="L3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8" s="1">
        <f>N37+Table118192023103031323538394041481115[[#This Row],[اجمالي الفاتوره]]-Table118192023103031323538394041481115[[#This Row],[الدفعات]]</f>
        <v>93298.37</v>
      </c>
      <c r="P38" s="48"/>
    </row>
    <row r="39" spans="3:16" ht="22.5" customHeight="1" x14ac:dyDescent="0.3">
      <c r="C39" s="2"/>
      <c r="D39" s="2"/>
      <c r="L3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9" s="1">
        <f>N38+Table118192023103031323538394041481115[[#This Row],[اجمالي الفاتوره]]-Table118192023103031323538394041481115[[#This Row],[الدفعات]]</f>
        <v>93298.37</v>
      </c>
      <c r="P39" s="48"/>
    </row>
    <row r="40" spans="3:16" ht="22.5" customHeight="1" x14ac:dyDescent="0.3">
      <c r="L4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40" s="1">
        <f>N39+Table118192023103031323538394041481115[[#This Row],[اجمالي الفاتوره]]-Table118192023103031323538394041481115[[#This Row],[الدفعات]]</f>
        <v>93298.37</v>
      </c>
      <c r="P40" s="48"/>
    </row>
    <row r="41" spans="3:16" ht="22.5" customHeight="1" x14ac:dyDescent="0.3">
      <c r="L4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41" s="1">
        <f>N40+Table118192023103031323538394041481115[[#This Row],[اجمالي الفاتوره]]-Table118192023103031323538394041481115[[#This Row],[الدفعات]]</f>
        <v>93298.37</v>
      </c>
      <c r="P41" s="48"/>
    </row>
    <row r="42" spans="3:16" ht="22.5" customHeight="1" x14ac:dyDescent="0.3">
      <c r="L4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42" s="1">
        <f>N41+Table118192023103031323538394041481115[[#This Row],[اجمالي الفاتوره]]-Table118192023103031323538394041481115[[#This Row],[الدفعات]]</f>
        <v>93298.37</v>
      </c>
      <c r="P42" s="48"/>
    </row>
    <row r="43" spans="3:16" ht="22.5" customHeight="1" x14ac:dyDescent="0.3">
      <c r="L4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43" s="1">
        <f>N42+Table118192023103031323538394041481115[[#This Row],[اجمالي الفاتوره]]-Table118192023103031323538394041481115[[#This Row],[الدفعات]]</f>
        <v>93298.37</v>
      </c>
      <c r="P43" s="48"/>
    </row>
    <row r="44" spans="3:16" ht="22.5" customHeight="1" x14ac:dyDescent="0.3">
      <c r="L4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44" s="1">
        <f>N43+Table118192023103031323538394041481115[[#This Row],[اجمالي الفاتوره]]-Table118192023103031323538394041481115[[#This Row],[الدفعات]]</f>
        <v>93298.37</v>
      </c>
      <c r="P44" s="48"/>
    </row>
    <row r="45" spans="3:16" ht="22.5" customHeight="1" x14ac:dyDescent="0.3">
      <c r="L4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45" s="1">
        <f>N44+Table118192023103031323538394041481115[[#This Row],[اجمالي الفاتوره]]-Table118192023103031323538394041481115[[#This Row],[الدفعات]]</f>
        <v>93298.37</v>
      </c>
      <c r="P45" s="48"/>
    </row>
    <row r="46" spans="3:16" ht="22.5" customHeight="1" x14ac:dyDescent="0.3">
      <c r="L4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46" s="1">
        <f>N45+Table118192023103031323538394041481115[[#This Row],[اجمالي الفاتوره]]-Table118192023103031323538394041481115[[#This Row],[الدفعات]]</f>
        <v>93298.37</v>
      </c>
      <c r="P46" s="48"/>
    </row>
    <row r="47" spans="3:16" ht="22.5" customHeight="1" x14ac:dyDescent="0.3">
      <c r="L4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47" s="1">
        <f>N46+Table118192023103031323538394041481115[[#This Row],[اجمالي الفاتوره]]-Table118192023103031323538394041481115[[#This Row],[الدفعات]]</f>
        <v>93298.37</v>
      </c>
      <c r="P47" s="48"/>
    </row>
    <row r="48" spans="3:16" ht="22.5" customHeight="1" x14ac:dyDescent="0.3">
      <c r="L4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48" s="1">
        <f>N47+Table118192023103031323538394041481115[[#This Row],[اجمالي الفاتوره]]-Table118192023103031323538394041481115[[#This Row],[الدفعات]]</f>
        <v>93298.37</v>
      </c>
      <c r="P48" s="48"/>
    </row>
    <row r="49" spans="12:16" ht="22.5" customHeight="1" x14ac:dyDescent="0.3">
      <c r="L4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49" s="1">
        <f>N48+Table118192023103031323538394041481115[[#This Row],[اجمالي الفاتوره]]-Table118192023103031323538394041481115[[#This Row],[الدفعات]]</f>
        <v>93298.37</v>
      </c>
      <c r="P49" s="48"/>
    </row>
    <row r="50" spans="12:16" ht="22.5" customHeight="1" x14ac:dyDescent="0.3">
      <c r="L5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50" s="1">
        <f>N49+Table118192023103031323538394041481115[[#This Row],[اجمالي الفاتوره]]-Table118192023103031323538394041481115[[#This Row],[الدفعات]]</f>
        <v>93298.37</v>
      </c>
      <c r="P50" s="48"/>
    </row>
    <row r="51" spans="12:16" ht="22.5" customHeight="1" x14ac:dyDescent="0.3">
      <c r="L5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51" s="1">
        <f>N50+Table118192023103031323538394041481115[[#This Row],[اجمالي الفاتوره]]-Table118192023103031323538394041481115[[#This Row],[الدفعات]]</f>
        <v>93298.37</v>
      </c>
      <c r="P51" s="48"/>
    </row>
    <row r="52" spans="12:16" ht="22.5" customHeight="1" x14ac:dyDescent="0.3">
      <c r="L5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52" s="1">
        <f>N51+Table118192023103031323538394041481115[[#This Row],[اجمالي الفاتوره]]-Table118192023103031323538394041481115[[#This Row],[الدفعات]]</f>
        <v>93298.37</v>
      </c>
      <c r="P52" s="48"/>
    </row>
    <row r="53" spans="12:16" ht="22.5" customHeight="1" x14ac:dyDescent="0.3">
      <c r="L5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53" s="1">
        <f>N52+Table118192023103031323538394041481115[[#This Row],[اجمالي الفاتوره]]-Table118192023103031323538394041481115[[#This Row],[الدفعات]]</f>
        <v>93298.37</v>
      </c>
      <c r="P53" s="48"/>
    </row>
    <row r="54" spans="12:16" ht="22.5" customHeight="1" x14ac:dyDescent="0.3">
      <c r="L5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54" s="1">
        <f>N53+Table118192023103031323538394041481115[[#This Row],[اجمالي الفاتوره]]-Table118192023103031323538394041481115[[#This Row],[الدفعات]]</f>
        <v>93298.37</v>
      </c>
      <c r="P54" s="48"/>
    </row>
    <row r="55" spans="12:16" ht="22.5" customHeight="1" x14ac:dyDescent="0.3">
      <c r="L5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55" s="1">
        <f>N54+Table118192023103031323538394041481115[[#This Row],[اجمالي الفاتوره]]-Table118192023103031323538394041481115[[#This Row],[الدفعات]]</f>
        <v>93298.37</v>
      </c>
      <c r="P55" s="48"/>
    </row>
    <row r="56" spans="12:16" ht="22.5" customHeight="1" x14ac:dyDescent="0.3">
      <c r="L5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56" s="1">
        <f>N55+Table118192023103031323538394041481115[[#This Row],[اجمالي الفاتوره]]-Table118192023103031323538394041481115[[#This Row],[الدفعات]]</f>
        <v>93298.37</v>
      </c>
      <c r="P56" s="48"/>
    </row>
    <row r="57" spans="12:16" ht="22.5" customHeight="1" x14ac:dyDescent="0.3">
      <c r="L5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57" s="1">
        <f>N56+Table118192023103031323538394041481115[[#This Row],[اجمالي الفاتوره]]-Table118192023103031323538394041481115[[#This Row],[الدفعات]]</f>
        <v>93298.37</v>
      </c>
      <c r="P57" s="48"/>
    </row>
    <row r="58" spans="12:16" ht="22.5" customHeight="1" x14ac:dyDescent="0.3">
      <c r="L5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58" s="1">
        <f>N57+Table118192023103031323538394041481115[[#This Row],[اجمالي الفاتوره]]-Table118192023103031323538394041481115[[#This Row],[الدفعات]]</f>
        <v>93298.37</v>
      </c>
      <c r="P58" s="48"/>
    </row>
    <row r="59" spans="12:16" ht="22.5" customHeight="1" x14ac:dyDescent="0.3">
      <c r="L5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59" s="1">
        <f>N58+Table118192023103031323538394041481115[[#This Row],[اجمالي الفاتوره]]-Table118192023103031323538394041481115[[#This Row],[الدفعات]]</f>
        <v>93298.37</v>
      </c>
      <c r="P59" s="48"/>
    </row>
    <row r="60" spans="12:16" ht="22.5" customHeight="1" x14ac:dyDescent="0.3">
      <c r="L6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60" s="1">
        <f>N59+Table118192023103031323538394041481115[[#This Row],[اجمالي الفاتوره]]-Table118192023103031323538394041481115[[#This Row],[الدفعات]]</f>
        <v>93298.37</v>
      </c>
      <c r="P60" s="48"/>
    </row>
    <row r="61" spans="12:16" ht="22.5" customHeight="1" x14ac:dyDescent="0.3">
      <c r="L6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61" s="1">
        <f>N60+Table118192023103031323538394041481115[[#This Row],[اجمالي الفاتوره]]-Table118192023103031323538394041481115[[#This Row],[الدفعات]]</f>
        <v>93298.37</v>
      </c>
      <c r="P61" s="48"/>
    </row>
    <row r="62" spans="12:16" ht="22.5" customHeight="1" x14ac:dyDescent="0.3">
      <c r="L6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62" s="1">
        <f>N61+Table118192023103031323538394041481115[[#This Row],[اجمالي الفاتوره]]-Table118192023103031323538394041481115[[#This Row],[الدفعات]]</f>
        <v>93298.37</v>
      </c>
      <c r="P62" s="48"/>
    </row>
    <row r="63" spans="12:16" ht="22.5" customHeight="1" x14ac:dyDescent="0.3">
      <c r="L6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63" s="1">
        <f>N62+Table118192023103031323538394041481115[[#This Row],[اجمالي الفاتوره]]-Table118192023103031323538394041481115[[#This Row],[الدفعات]]</f>
        <v>93298.37</v>
      </c>
      <c r="P63" s="48"/>
    </row>
    <row r="64" spans="12:16" ht="22.5" customHeight="1" x14ac:dyDescent="0.3">
      <c r="L6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64" s="1">
        <f>N63+Table118192023103031323538394041481115[[#This Row],[اجمالي الفاتوره]]-Table118192023103031323538394041481115[[#This Row],[الدفعات]]</f>
        <v>93298.37</v>
      </c>
      <c r="P64" s="48"/>
    </row>
    <row r="65" spans="12:16" ht="22.5" customHeight="1" x14ac:dyDescent="0.3">
      <c r="L6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65" s="1">
        <f>N64+Table118192023103031323538394041481115[[#This Row],[اجمالي الفاتوره]]-Table118192023103031323538394041481115[[#This Row],[الدفعات]]</f>
        <v>93298.37</v>
      </c>
      <c r="P65" s="48"/>
    </row>
    <row r="66" spans="12:16" ht="22.5" customHeight="1" x14ac:dyDescent="0.3">
      <c r="L6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66" s="1">
        <f>N65+Table118192023103031323538394041481115[[#This Row],[اجمالي الفاتوره]]-Table118192023103031323538394041481115[[#This Row],[الدفعات]]</f>
        <v>93298.37</v>
      </c>
      <c r="P66" s="48"/>
    </row>
    <row r="67" spans="12:16" ht="22.5" customHeight="1" x14ac:dyDescent="0.3">
      <c r="L6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67" s="1">
        <f>N66+Table118192023103031323538394041481115[[#This Row],[اجمالي الفاتوره]]-Table118192023103031323538394041481115[[#This Row],[الدفعات]]</f>
        <v>93298.37</v>
      </c>
      <c r="P67" s="48"/>
    </row>
    <row r="68" spans="12:16" ht="22.5" customHeight="1" x14ac:dyDescent="0.3">
      <c r="L6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68" s="1">
        <f>N67+Table118192023103031323538394041481115[[#This Row],[اجمالي الفاتوره]]-Table118192023103031323538394041481115[[#This Row],[الدفعات]]</f>
        <v>93298.37</v>
      </c>
      <c r="P68" s="48"/>
    </row>
    <row r="69" spans="12:16" ht="22.5" customHeight="1" x14ac:dyDescent="0.3">
      <c r="L6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69" s="1">
        <f>N68+Table118192023103031323538394041481115[[#This Row],[اجمالي الفاتوره]]-Table118192023103031323538394041481115[[#This Row],[الدفعات]]</f>
        <v>93298.37</v>
      </c>
      <c r="P69" s="48"/>
    </row>
    <row r="70" spans="12:16" ht="22.5" customHeight="1" x14ac:dyDescent="0.3">
      <c r="L7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70" s="1">
        <f>N69+Table118192023103031323538394041481115[[#This Row],[اجمالي الفاتوره]]-Table118192023103031323538394041481115[[#This Row],[الدفعات]]</f>
        <v>93298.37</v>
      </c>
      <c r="P70" s="48"/>
    </row>
    <row r="71" spans="12:16" ht="22.5" customHeight="1" x14ac:dyDescent="0.3">
      <c r="L7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71" s="1">
        <f>N70+Table118192023103031323538394041481115[[#This Row],[اجمالي الفاتوره]]-Table118192023103031323538394041481115[[#This Row],[الدفعات]]</f>
        <v>93298.37</v>
      </c>
      <c r="P71" s="48"/>
    </row>
    <row r="72" spans="12:16" ht="22.5" customHeight="1" x14ac:dyDescent="0.3">
      <c r="L7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72" s="1">
        <f>N71+Table118192023103031323538394041481115[[#This Row],[اجمالي الفاتوره]]-Table118192023103031323538394041481115[[#This Row],[الدفعات]]</f>
        <v>93298.37</v>
      </c>
      <c r="P72" s="48"/>
    </row>
    <row r="73" spans="12:16" ht="22.5" customHeight="1" x14ac:dyDescent="0.3">
      <c r="L7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73" s="1">
        <f>N72+Table118192023103031323538394041481115[[#This Row],[اجمالي الفاتوره]]-Table118192023103031323538394041481115[[#This Row],[الدفعات]]</f>
        <v>93298.37</v>
      </c>
      <c r="P73" s="48"/>
    </row>
    <row r="74" spans="12:16" ht="22.5" customHeight="1" x14ac:dyDescent="0.3">
      <c r="L7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74" s="1">
        <f>N73+Table118192023103031323538394041481115[[#This Row],[اجمالي الفاتوره]]-Table118192023103031323538394041481115[[#This Row],[الدفعات]]</f>
        <v>93298.37</v>
      </c>
      <c r="P74" s="48"/>
    </row>
    <row r="75" spans="12:16" ht="22.5" customHeight="1" x14ac:dyDescent="0.3">
      <c r="L7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75" s="1">
        <f>N74+Table118192023103031323538394041481115[[#This Row],[اجمالي الفاتوره]]-Table118192023103031323538394041481115[[#This Row],[الدفعات]]</f>
        <v>93298.37</v>
      </c>
      <c r="P75" s="48"/>
    </row>
    <row r="76" spans="12:16" ht="22.5" customHeight="1" x14ac:dyDescent="0.3">
      <c r="L7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76" s="1">
        <f>N75+Table118192023103031323538394041481115[[#This Row],[اجمالي الفاتوره]]-Table118192023103031323538394041481115[[#This Row],[الدفعات]]</f>
        <v>93298.37</v>
      </c>
      <c r="P76" s="48"/>
    </row>
    <row r="77" spans="12:16" ht="22.5" customHeight="1" x14ac:dyDescent="0.3">
      <c r="L7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77" s="1">
        <f>N76+Table118192023103031323538394041481115[[#This Row],[اجمالي الفاتوره]]-Table118192023103031323538394041481115[[#This Row],[الدفعات]]</f>
        <v>93298.37</v>
      </c>
      <c r="P77" s="48"/>
    </row>
    <row r="78" spans="12:16" ht="22.5" customHeight="1" x14ac:dyDescent="0.3">
      <c r="L7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78" s="1">
        <f>N77+Table118192023103031323538394041481115[[#This Row],[اجمالي الفاتوره]]-Table118192023103031323538394041481115[[#This Row],[الدفعات]]</f>
        <v>93298.37</v>
      </c>
      <c r="P78" s="48"/>
    </row>
    <row r="79" spans="12:16" ht="22.5" customHeight="1" x14ac:dyDescent="0.3">
      <c r="L7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79" s="1">
        <f>N78+Table118192023103031323538394041481115[[#This Row],[اجمالي الفاتوره]]-Table118192023103031323538394041481115[[#This Row],[الدفعات]]</f>
        <v>93298.37</v>
      </c>
      <c r="P79" s="48"/>
    </row>
    <row r="80" spans="12:16" ht="22.5" customHeight="1" x14ac:dyDescent="0.3">
      <c r="L8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80" s="1">
        <f>N79+Table118192023103031323538394041481115[[#This Row],[اجمالي الفاتوره]]-Table118192023103031323538394041481115[[#This Row],[الدفعات]]</f>
        <v>93298.37</v>
      </c>
      <c r="P80" s="48"/>
    </row>
    <row r="81" spans="12:16" ht="22.5" customHeight="1" x14ac:dyDescent="0.3">
      <c r="L8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81" s="1">
        <f>N80+Table118192023103031323538394041481115[[#This Row],[اجمالي الفاتوره]]-Table118192023103031323538394041481115[[#This Row],[الدفعات]]</f>
        <v>93298.37</v>
      </c>
      <c r="P81" s="48"/>
    </row>
    <row r="82" spans="12:16" ht="22.5" customHeight="1" x14ac:dyDescent="0.3">
      <c r="L8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82" s="1">
        <f>N81+Table118192023103031323538394041481115[[#This Row],[اجمالي الفاتوره]]-Table118192023103031323538394041481115[[#This Row],[الدفعات]]</f>
        <v>93298.37</v>
      </c>
      <c r="P82" s="48"/>
    </row>
    <row r="83" spans="12:16" ht="22.5" customHeight="1" x14ac:dyDescent="0.3">
      <c r="L8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83" s="1">
        <f>N82+Table118192023103031323538394041481115[[#This Row],[اجمالي الفاتوره]]-Table118192023103031323538394041481115[[#This Row],[الدفعات]]</f>
        <v>93298.37</v>
      </c>
      <c r="P83" s="48"/>
    </row>
    <row r="84" spans="12:16" ht="22.5" customHeight="1" x14ac:dyDescent="0.3">
      <c r="L8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84" s="1">
        <f>N83+Table118192023103031323538394041481115[[#This Row],[اجمالي الفاتوره]]-Table118192023103031323538394041481115[[#This Row],[الدفعات]]</f>
        <v>93298.37</v>
      </c>
      <c r="P84" s="48"/>
    </row>
    <row r="85" spans="12:16" ht="22.5" customHeight="1" x14ac:dyDescent="0.3">
      <c r="L8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85" s="1">
        <f>N84+Table118192023103031323538394041481115[[#This Row],[اجمالي الفاتوره]]-Table118192023103031323538394041481115[[#This Row],[الدفعات]]</f>
        <v>93298.37</v>
      </c>
      <c r="P85" s="48"/>
    </row>
    <row r="86" spans="12:16" ht="22.5" customHeight="1" x14ac:dyDescent="0.3">
      <c r="L8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86" s="1">
        <f>N85+Table118192023103031323538394041481115[[#This Row],[اجمالي الفاتوره]]-Table118192023103031323538394041481115[[#This Row],[الدفعات]]</f>
        <v>93298.37</v>
      </c>
      <c r="P86" s="48"/>
    </row>
    <row r="87" spans="12:16" ht="22.5" customHeight="1" x14ac:dyDescent="0.3">
      <c r="L8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87" s="1">
        <f>N86+Table118192023103031323538394041481115[[#This Row],[اجمالي الفاتوره]]-Table118192023103031323538394041481115[[#This Row],[الدفعات]]</f>
        <v>93298.37</v>
      </c>
      <c r="P87" s="48"/>
    </row>
    <row r="88" spans="12:16" ht="22.5" customHeight="1" x14ac:dyDescent="0.3">
      <c r="L8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88" s="1">
        <f>N87+Table118192023103031323538394041481115[[#This Row],[اجمالي الفاتوره]]-Table118192023103031323538394041481115[[#This Row],[الدفعات]]</f>
        <v>93298.37</v>
      </c>
      <c r="P88" s="48"/>
    </row>
    <row r="89" spans="12:16" ht="22.5" customHeight="1" x14ac:dyDescent="0.3">
      <c r="L8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89" s="1">
        <f>N88+Table118192023103031323538394041481115[[#This Row],[اجمالي الفاتوره]]-Table118192023103031323538394041481115[[#This Row],[الدفعات]]</f>
        <v>93298.37</v>
      </c>
      <c r="P89" s="48"/>
    </row>
    <row r="90" spans="12:16" ht="22.5" customHeight="1" x14ac:dyDescent="0.3">
      <c r="L9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90" s="1">
        <f>N89+Table118192023103031323538394041481115[[#This Row],[اجمالي الفاتوره]]-Table118192023103031323538394041481115[[#This Row],[الدفعات]]</f>
        <v>93298.37</v>
      </c>
      <c r="P90" s="48"/>
    </row>
    <row r="91" spans="12:16" ht="22.5" customHeight="1" x14ac:dyDescent="0.3">
      <c r="L9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91" s="1">
        <f>N90+Table118192023103031323538394041481115[[#This Row],[اجمالي الفاتوره]]-Table118192023103031323538394041481115[[#This Row],[الدفعات]]</f>
        <v>93298.37</v>
      </c>
      <c r="P91" s="48"/>
    </row>
    <row r="92" spans="12:16" ht="22.5" customHeight="1" x14ac:dyDescent="0.3">
      <c r="L9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92" s="1">
        <f>N91+Table118192023103031323538394041481115[[#This Row],[اجمالي الفاتوره]]-Table118192023103031323538394041481115[[#This Row],[الدفعات]]</f>
        <v>93298.37</v>
      </c>
      <c r="P92" s="48"/>
    </row>
    <row r="93" spans="12:16" ht="22.5" customHeight="1" x14ac:dyDescent="0.3">
      <c r="L9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93" s="1">
        <f>N92+Table118192023103031323538394041481115[[#This Row],[اجمالي الفاتوره]]-Table118192023103031323538394041481115[[#This Row],[الدفعات]]</f>
        <v>93298.37</v>
      </c>
      <c r="P93" s="48"/>
    </row>
    <row r="94" spans="12:16" ht="22.5" customHeight="1" x14ac:dyDescent="0.3">
      <c r="L9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94" s="1">
        <f>N93+Table118192023103031323538394041481115[[#This Row],[اجمالي الفاتوره]]-Table118192023103031323538394041481115[[#This Row],[الدفعات]]</f>
        <v>93298.37</v>
      </c>
      <c r="P94" s="48"/>
    </row>
    <row r="95" spans="12:16" ht="22.5" customHeight="1" x14ac:dyDescent="0.3">
      <c r="L9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95" s="1">
        <f>N94+Table118192023103031323538394041481115[[#This Row],[اجمالي الفاتوره]]-Table118192023103031323538394041481115[[#This Row],[الدفعات]]</f>
        <v>93298.37</v>
      </c>
      <c r="P95" s="48"/>
    </row>
    <row r="96" spans="12:16" ht="22.5" customHeight="1" x14ac:dyDescent="0.3">
      <c r="L9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96" s="1">
        <f>N95+Table118192023103031323538394041481115[[#This Row],[اجمالي الفاتوره]]-Table118192023103031323538394041481115[[#This Row],[الدفعات]]</f>
        <v>93298.37</v>
      </c>
      <c r="P96" s="48"/>
    </row>
    <row r="97" spans="12:16" s="1" customFormat="1" ht="22.5" customHeight="1" x14ac:dyDescent="0.3">
      <c r="L9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97" s="1">
        <f>N96+Table118192023103031323538394041481115[[#This Row],[اجمالي الفاتوره]]-Table118192023103031323538394041481115[[#This Row],[الدفعات]]</f>
        <v>93298.37</v>
      </c>
      <c r="P97" s="48"/>
    </row>
    <row r="98" spans="12:16" s="1" customFormat="1" ht="22.5" customHeight="1" x14ac:dyDescent="0.3">
      <c r="L9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98" s="1">
        <f>N97+Table118192023103031323538394041481115[[#This Row],[اجمالي الفاتوره]]-Table118192023103031323538394041481115[[#This Row],[الدفعات]]</f>
        <v>93298.37</v>
      </c>
      <c r="P98" s="48"/>
    </row>
    <row r="99" spans="12:16" s="1" customFormat="1" ht="22.5" customHeight="1" x14ac:dyDescent="0.3">
      <c r="L9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99" s="1">
        <f>N98+Table118192023103031323538394041481115[[#This Row],[اجمالي الفاتوره]]-Table118192023103031323538394041481115[[#This Row],[الدفعات]]</f>
        <v>93298.37</v>
      </c>
      <c r="P99" s="48"/>
    </row>
    <row r="100" spans="12:16" s="1" customFormat="1" ht="22.5" customHeight="1" x14ac:dyDescent="0.3">
      <c r="L10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00" s="1">
        <f>N99+Table118192023103031323538394041481115[[#This Row],[اجمالي الفاتوره]]-Table118192023103031323538394041481115[[#This Row],[الدفعات]]</f>
        <v>93298.37</v>
      </c>
      <c r="P100" s="48"/>
    </row>
    <row r="101" spans="12:16" s="1" customFormat="1" ht="22.5" customHeight="1" x14ac:dyDescent="0.3">
      <c r="L10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01" s="1">
        <f>N100+Table118192023103031323538394041481115[[#This Row],[اجمالي الفاتوره]]-Table118192023103031323538394041481115[[#This Row],[الدفعات]]</f>
        <v>93298.37</v>
      </c>
      <c r="P101" s="48"/>
    </row>
    <row r="102" spans="12:16" s="1" customFormat="1" ht="22.5" customHeight="1" x14ac:dyDescent="0.3">
      <c r="L10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02" s="1">
        <f>N101+Table118192023103031323538394041481115[[#This Row],[اجمالي الفاتوره]]-Table118192023103031323538394041481115[[#This Row],[الدفعات]]</f>
        <v>93298.37</v>
      </c>
      <c r="P102" s="48"/>
    </row>
    <row r="103" spans="12:16" s="1" customFormat="1" ht="22.5" customHeight="1" x14ac:dyDescent="0.3">
      <c r="L10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03" s="1">
        <f>N102+Table118192023103031323538394041481115[[#This Row],[اجمالي الفاتوره]]-Table118192023103031323538394041481115[[#This Row],[الدفعات]]</f>
        <v>93298.37</v>
      </c>
      <c r="P103" s="48"/>
    </row>
    <row r="104" spans="12:16" s="1" customFormat="1" ht="22.5" customHeight="1" x14ac:dyDescent="0.3">
      <c r="L10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04" s="1">
        <f>N103+Table118192023103031323538394041481115[[#This Row],[اجمالي الفاتوره]]-Table118192023103031323538394041481115[[#This Row],[الدفعات]]</f>
        <v>93298.37</v>
      </c>
      <c r="P104" s="48"/>
    </row>
    <row r="105" spans="12:16" s="1" customFormat="1" ht="22.5" customHeight="1" x14ac:dyDescent="0.3">
      <c r="L10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05" s="1">
        <f>N104+Table118192023103031323538394041481115[[#This Row],[اجمالي الفاتوره]]-Table118192023103031323538394041481115[[#This Row],[الدفعات]]</f>
        <v>93298.37</v>
      </c>
      <c r="P105" s="48"/>
    </row>
    <row r="106" spans="12:16" s="1" customFormat="1" ht="22.5" customHeight="1" x14ac:dyDescent="0.3">
      <c r="L10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06" s="1">
        <f>N105+Table118192023103031323538394041481115[[#This Row],[اجمالي الفاتوره]]-Table118192023103031323538394041481115[[#This Row],[الدفعات]]</f>
        <v>93298.37</v>
      </c>
      <c r="P106" s="48"/>
    </row>
    <row r="107" spans="12:16" s="1" customFormat="1" ht="22.5" customHeight="1" x14ac:dyDescent="0.3">
      <c r="L10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07" s="1">
        <f>N106+Table118192023103031323538394041481115[[#This Row],[اجمالي الفاتوره]]-Table118192023103031323538394041481115[[#This Row],[الدفعات]]</f>
        <v>93298.37</v>
      </c>
      <c r="P107" s="48"/>
    </row>
    <row r="108" spans="12:16" s="1" customFormat="1" ht="22.5" customHeight="1" x14ac:dyDescent="0.3">
      <c r="L10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08" s="1">
        <f>N107+Table118192023103031323538394041481115[[#This Row],[اجمالي الفاتوره]]-Table118192023103031323538394041481115[[#This Row],[الدفعات]]</f>
        <v>93298.37</v>
      </c>
      <c r="P108" s="48"/>
    </row>
    <row r="109" spans="12:16" s="1" customFormat="1" ht="22.5" customHeight="1" x14ac:dyDescent="0.3">
      <c r="L10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09" s="1">
        <f>N108+Table118192023103031323538394041481115[[#This Row],[اجمالي الفاتوره]]-Table118192023103031323538394041481115[[#This Row],[الدفعات]]</f>
        <v>93298.37</v>
      </c>
      <c r="P109" s="48"/>
    </row>
    <row r="110" spans="12:16" s="1" customFormat="1" ht="22.5" customHeight="1" x14ac:dyDescent="0.3">
      <c r="L11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10" s="1">
        <f>N109+Table118192023103031323538394041481115[[#This Row],[اجمالي الفاتوره]]-Table118192023103031323538394041481115[[#This Row],[الدفعات]]</f>
        <v>93298.37</v>
      </c>
      <c r="P110" s="48"/>
    </row>
    <row r="111" spans="12:16" s="1" customFormat="1" ht="22.5" customHeight="1" x14ac:dyDescent="0.3">
      <c r="L11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11" s="1">
        <f>N110+Table118192023103031323538394041481115[[#This Row],[اجمالي الفاتوره]]-Table118192023103031323538394041481115[[#This Row],[الدفعات]]</f>
        <v>93298.37</v>
      </c>
      <c r="P111" s="48"/>
    </row>
    <row r="112" spans="12:16" s="1" customFormat="1" ht="22.5" customHeight="1" x14ac:dyDescent="0.3">
      <c r="L11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12" s="1">
        <f>N111+Table118192023103031323538394041481115[[#This Row],[اجمالي الفاتوره]]-Table118192023103031323538394041481115[[#This Row],[الدفعات]]</f>
        <v>93298.37</v>
      </c>
      <c r="P112" s="48"/>
    </row>
    <row r="113" spans="12:16" s="1" customFormat="1" ht="22.5" customHeight="1" x14ac:dyDescent="0.3">
      <c r="L11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13" s="1">
        <f>N112+Table118192023103031323538394041481115[[#This Row],[اجمالي الفاتوره]]-Table118192023103031323538394041481115[[#This Row],[الدفعات]]</f>
        <v>93298.37</v>
      </c>
      <c r="P113" s="48"/>
    </row>
    <row r="114" spans="12:16" s="1" customFormat="1" ht="22.5" customHeight="1" x14ac:dyDescent="0.3">
      <c r="L11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14" s="1">
        <f>N113+Table118192023103031323538394041481115[[#This Row],[اجمالي الفاتوره]]-Table118192023103031323538394041481115[[#This Row],[الدفعات]]</f>
        <v>93298.37</v>
      </c>
      <c r="P114" s="48"/>
    </row>
    <row r="115" spans="12:16" s="1" customFormat="1" ht="22.5" customHeight="1" x14ac:dyDescent="0.3">
      <c r="L11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15" s="1">
        <f>N114+Table118192023103031323538394041481115[[#This Row],[اجمالي الفاتوره]]-Table118192023103031323538394041481115[[#This Row],[الدفعات]]</f>
        <v>93298.37</v>
      </c>
      <c r="P115" s="48"/>
    </row>
    <row r="116" spans="12:16" s="1" customFormat="1" ht="22.5" customHeight="1" x14ac:dyDescent="0.3">
      <c r="L11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16" s="1">
        <f>N115+Table118192023103031323538394041481115[[#This Row],[اجمالي الفاتوره]]-Table118192023103031323538394041481115[[#This Row],[الدفعات]]</f>
        <v>93298.37</v>
      </c>
      <c r="P116" s="48"/>
    </row>
    <row r="117" spans="12:16" s="1" customFormat="1" ht="22.5" customHeight="1" x14ac:dyDescent="0.3">
      <c r="L11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17" s="1">
        <f>N116+Table118192023103031323538394041481115[[#This Row],[اجمالي الفاتوره]]-Table118192023103031323538394041481115[[#This Row],[الدفعات]]</f>
        <v>93298.37</v>
      </c>
      <c r="P117" s="48"/>
    </row>
    <row r="118" spans="12:16" s="1" customFormat="1" ht="22.5" customHeight="1" x14ac:dyDescent="0.3">
      <c r="L11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18" s="1">
        <f>N117+Table118192023103031323538394041481115[[#This Row],[اجمالي الفاتوره]]-Table118192023103031323538394041481115[[#This Row],[الدفعات]]</f>
        <v>93298.37</v>
      </c>
      <c r="P118" s="48"/>
    </row>
    <row r="119" spans="12:16" s="1" customFormat="1" ht="22.5" customHeight="1" x14ac:dyDescent="0.3">
      <c r="L11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19" s="1">
        <f>N118+Table118192023103031323538394041481115[[#This Row],[اجمالي الفاتوره]]-Table118192023103031323538394041481115[[#This Row],[الدفعات]]</f>
        <v>93298.37</v>
      </c>
      <c r="P119" s="48"/>
    </row>
    <row r="120" spans="12:16" s="1" customFormat="1" ht="22.5" customHeight="1" x14ac:dyDescent="0.3">
      <c r="L12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20" s="1">
        <f>N119+Table118192023103031323538394041481115[[#This Row],[اجمالي الفاتوره]]-Table118192023103031323538394041481115[[#This Row],[الدفعات]]</f>
        <v>93298.37</v>
      </c>
      <c r="P120" s="48"/>
    </row>
    <row r="121" spans="12:16" s="1" customFormat="1" ht="22.5" customHeight="1" x14ac:dyDescent="0.3">
      <c r="L12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21" s="1">
        <f>N120+Table118192023103031323538394041481115[[#This Row],[اجمالي الفاتوره]]-Table118192023103031323538394041481115[[#This Row],[الدفعات]]</f>
        <v>93298.37</v>
      </c>
      <c r="P121" s="48"/>
    </row>
    <row r="122" spans="12:16" s="1" customFormat="1" ht="22.5" customHeight="1" x14ac:dyDescent="0.3">
      <c r="L12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22" s="1">
        <f>N121+Table118192023103031323538394041481115[[#This Row],[اجمالي الفاتوره]]-Table118192023103031323538394041481115[[#This Row],[الدفعات]]</f>
        <v>93298.37</v>
      </c>
      <c r="P122" s="48"/>
    </row>
    <row r="123" spans="12:16" s="1" customFormat="1" ht="22.5" customHeight="1" x14ac:dyDescent="0.3">
      <c r="L12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23" s="1">
        <f>N122+Table118192023103031323538394041481115[[#This Row],[اجمالي الفاتوره]]-Table118192023103031323538394041481115[[#This Row],[الدفعات]]</f>
        <v>93298.37</v>
      </c>
      <c r="P123" s="48"/>
    </row>
    <row r="124" spans="12:16" s="1" customFormat="1" ht="22.5" customHeight="1" x14ac:dyDescent="0.3">
      <c r="L12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24" s="1">
        <f>N123+Table118192023103031323538394041481115[[#This Row],[اجمالي الفاتوره]]-Table118192023103031323538394041481115[[#This Row],[الدفعات]]</f>
        <v>93298.37</v>
      </c>
      <c r="P124" s="48"/>
    </row>
    <row r="125" spans="12:16" s="1" customFormat="1" ht="22.5" customHeight="1" x14ac:dyDescent="0.3">
      <c r="L12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25" s="1">
        <f>N124+Table118192023103031323538394041481115[[#This Row],[اجمالي الفاتوره]]-Table118192023103031323538394041481115[[#This Row],[الدفعات]]</f>
        <v>93298.37</v>
      </c>
      <c r="P125" s="48"/>
    </row>
    <row r="126" spans="12:16" s="1" customFormat="1" ht="22.5" customHeight="1" x14ac:dyDescent="0.3">
      <c r="L12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26" s="1">
        <f>N125+Table118192023103031323538394041481115[[#This Row],[اجمالي الفاتوره]]-Table118192023103031323538394041481115[[#This Row],[الدفعات]]</f>
        <v>93298.37</v>
      </c>
      <c r="P126" s="48"/>
    </row>
    <row r="127" spans="12:16" s="1" customFormat="1" ht="22.5" customHeight="1" x14ac:dyDescent="0.3">
      <c r="L12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27" s="1">
        <f>N126+Table118192023103031323538394041481115[[#This Row],[اجمالي الفاتوره]]-Table118192023103031323538394041481115[[#This Row],[الدفعات]]</f>
        <v>93298.37</v>
      </c>
      <c r="P127" s="48"/>
    </row>
    <row r="128" spans="12:16" s="1" customFormat="1" ht="22.5" customHeight="1" x14ac:dyDescent="0.3">
      <c r="L12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28" s="1">
        <f>N127+Table118192023103031323538394041481115[[#This Row],[اجمالي الفاتوره]]-Table118192023103031323538394041481115[[#This Row],[الدفعات]]</f>
        <v>93298.37</v>
      </c>
      <c r="P128" s="48"/>
    </row>
    <row r="129" spans="12:16" s="1" customFormat="1" ht="22.5" customHeight="1" x14ac:dyDescent="0.3">
      <c r="L12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29" s="1">
        <f>N128+Table118192023103031323538394041481115[[#This Row],[اجمالي الفاتوره]]-Table118192023103031323538394041481115[[#This Row],[الدفعات]]</f>
        <v>93298.37</v>
      </c>
      <c r="P129" s="48"/>
    </row>
    <row r="130" spans="12:16" s="1" customFormat="1" ht="22.5" customHeight="1" x14ac:dyDescent="0.3">
      <c r="L13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30" s="1">
        <f>N129+Table118192023103031323538394041481115[[#This Row],[اجمالي الفاتوره]]-Table118192023103031323538394041481115[[#This Row],[الدفعات]]</f>
        <v>93298.37</v>
      </c>
      <c r="P130" s="48"/>
    </row>
    <row r="131" spans="12:16" s="1" customFormat="1" ht="22.5" customHeight="1" x14ac:dyDescent="0.3">
      <c r="L13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31" s="1">
        <f>N130+Table118192023103031323538394041481115[[#This Row],[اجمالي الفاتوره]]-Table118192023103031323538394041481115[[#This Row],[الدفعات]]</f>
        <v>93298.37</v>
      </c>
      <c r="P131" s="48"/>
    </row>
    <row r="132" spans="12:16" s="1" customFormat="1" ht="22.5" customHeight="1" x14ac:dyDescent="0.3">
      <c r="L13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32" s="1">
        <f>N131+Table118192023103031323538394041481115[[#This Row],[اجمالي الفاتوره]]-Table118192023103031323538394041481115[[#This Row],[الدفعات]]</f>
        <v>93298.37</v>
      </c>
      <c r="P132" s="48"/>
    </row>
    <row r="133" spans="12:16" s="1" customFormat="1" ht="22.5" customHeight="1" x14ac:dyDescent="0.3">
      <c r="L13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33" s="1">
        <f>N132+Table118192023103031323538394041481115[[#This Row],[اجمالي الفاتوره]]-Table118192023103031323538394041481115[[#This Row],[الدفعات]]</f>
        <v>93298.37</v>
      </c>
      <c r="P133" s="48"/>
    </row>
    <row r="134" spans="12:16" s="1" customFormat="1" ht="22.5" customHeight="1" x14ac:dyDescent="0.3">
      <c r="L13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34" s="1">
        <f>N133+Table118192023103031323538394041481115[[#This Row],[اجمالي الفاتوره]]-Table118192023103031323538394041481115[[#This Row],[الدفعات]]</f>
        <v>93298.37</v>
      </c>
      <c r="P134" s="48"/>
    </row>
    <row r="135" spans="12:16" s="1" customFormat="1" ht="22.5" customHeight="1" x14ac:dyDescent="0.3">
      <c r="L13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35" s="1">
        <f>N134+Table118192023103031323538394041481115[[#This Row],[اجمالي الفاتوره]]-Table118192023103031323538394041481115[[#This Row],[الدفعات]]</f>
        <v>93298.37</v>
      </c>
      <c r="P135" s="48"/>
    </row>
    <row r="136" spans="12:16" s="1" customFormat="1" ht="22.5" customHeight="1" x14ac:dyDescent="0.3">
      <c r="L13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36" s="1">
        <f>N135+Table118192023103031323538394041481115[[#This Row],[اجمالي الفاتوره]]-Table118192023103031323538394041481115[[#This Row],[الدفعات]]</f>
        <v>93298.37</v>
      </c>
      <c r="P136" s="48"/>
    </row>
    <row r="137" spans="12:16" s="1" customFormat="1" ht="22.5" customHeight="1" x14ac:dyDescent="0.3">
      <c r="L13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37" s="1">
        <f>N136+Table118192023103031323538394041481115[[#This Row],[اجمالي الفاتوره]]-Table118192023103031323538394041481115[[#This Row],[الدفعات]]</f>
        <v>93298.37</v>
      </c>
      <c r="P137" s="48"/>
    </row>
    <row r="138" spans="12:16" s="1" customFormat="1" ht="22.5" customHeight="1" x14ac:dyDescent="0.3">
      <c r="L13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38" s="1">
        <f>N137+Table118192023103031323538394041481115[[#This Row],[اجمالي الفاتوره]]-Table118192023103031323538394041481115[[#This Row],[الدفعات]]</f>
        <v>93298.37</v>
      </c>
      <c r="P138" s="48"/>
    </row>
    <row r="139" spans="12:16" s="1" customFormat="1" ht="22.5" customHeight="1" x14ac:dyDescent="0.3">
      <c r="L13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39" s="1">
        <f>N138+Table118192023103031323538394041481115[[#This Row],[اجمالي الفاتوره]]-Table118192023103031323538394041481115[[#This Row],[الدفعات]]</f>
        <v>93298.37</v>
      </c>
      <c r="P139" s="48"/>
    </row>
    <row r="140" spans="12:16" s="1" customFormat="1" ht="22.5" customHeight="1" x14ac:dyDescent="0.3">
      <c r="L14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40" s="1">
        <f>N139+Table118192023103031323538394041481115[[#This Row],[اجمالي الفاتوره]]-Table118192023103031323538394041481115[[#This Row],[الدفعات]]</f>
        <v>93298.37</v>
      </c>
      <c r="P140" s="48"/>
    </row>
    <row r="141" spans="12:16" s="1" customFormat="1" ht="22.5" customHeight="1" x14ac:dyDescent="0.3">
      <c r="L14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41" s="1">
        <f>N140+Table118192023103031323538394041481115[[#This Row],[اجمالي الفاتوره]]-Table118192023103031323538394041481115[[#This Row],[الدفعات]]</f>
        <v>93298.37</v>
      </c>
      <c r="P141" s="48"/>
    </row>
    <row r="142" spans="12:16" s="1" customFormat="1" ht="22.5" customHeight="1" x14ac:dyDescent="0.3">
      <c r="L14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42" s="1">
        <f>N141+Table118192023103031323538394041481115[[#This Row],[اجمالي الفاتوره]]-Table118192023103031323538394041481115[[#This Row],[الدفعات]]</f>
        <v>93298.37</v>
      </c>
      <c r="P142" s="48"/>
    </row>
    <row r="143" spans="12:16" s="1" customFormat="1" ht="22.5" customHeight="1" x14ac:dyDescent="0.3">
      <c r="L14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43" s="1">
        <f>N142+Table118192023103031323538394041481115[[#This Row],[اجمالي الفاتوره]]-Table118192023103031323538394041481115[[#This Row],[الدفعات]]</f>
        <v>93298.37</v>
      </c>
      <c r="P143" s="48"/>
    </row>
    <row r="144" spans="12:16" s="1" customFormat="1" ht="22.5" customHeight="1" x14ac:dyDescent="0.3">
      <c r="L14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44" s="1">
        <f>N143+Table118192023103031323538394041481115[[#This Row],[اجمالي الفاتوره]]-Table118192023103031323538394041481115[[#This Row],[الدفعات]]</f>
        <v>93298.37</v>
      </c>
      <c r="P144" s="48"/>
    </row>
    <row r="145" spans="12:16" s="1" customFormat="1" ht="22.5" customHeight="1" x14ac:dyDescent="0.3">
      <c r="L14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45" s="1">
        <f>N144+Table118192023103031323538394041481115[[#This Row],[اجمالي الفاتوره]]-Table118192023103031323538394041481115[[#This Row],[الدفعات]]</f>
        <v>93298.37</v>
      </c>
      <c r="P145" s="48"/>
    </row>
    <row r="146" spans="12:16" s="1" customFormat="1" ht="22.5" customHeight="1" x14ac:dyDescent="0.3">
      <c r="L14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46" s="1">
        <f>N145+Table118192023103031323538394041481115[[#This Row],[اجمالي الفاتوره]]-Table118192023103031323538394041481115[[#This Row],[الدفعات]]</f>
        <v>93298.37</v>
      </c>
      <c r="P146" s="48"/>
    </row>
    <row r="147" spans="12:16" s="1" customFormat="1" ht="22.5" customHeight="1" x14ac:dyDescent="0.3">
      <c r="L14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47" s="1">
        <f>N146+Table118192023103031323538394041481115[[#This Row],[اجمالي الفاتوره]]-Table118192023103031323538394041481115[[#This Row],[الدفعات]]</f>
        <v>93298.37</v>
      </c>
      <c r="P147" s="48"/>
    </row>
    <row r="148" spans="12:16" s="1" customFormat="1" ht="22.5" customHeight="1" x14ac:dyDescent="0.3">
      <c r="L14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48" s="1">
        <f>N147+Table118192023103031323538394041481115[[#This Row],[اجمالي الفاتوره]]-Table118192023103031323538394041481115[[#This Row],[الدفعات]]</f>
        <v>93298.37</v>
      </c>
      <c r="P148" s="48"/>
    </row>
    <row r="149" spans="12:16" s="1" customFormat="1" ht="22.5" customHeight="1" x14ac:dyDescent="0.3">
      <c r="L14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49" s="1">
        <f>N148+Table118192023103031323538394041481115[[#This Row],[اجمالي الفاتوره]]-Table118192023103031323538394041481115[[#This Row],[الدفعات]]</f>
        <v>93298.37</v>
      </c>
      <c r="P149" s="48"/>
    </row>
    <row r="150" spans="12:16" s="1" customFormat="1" ht="22.5" customHeight="1" x14ac:dyDescent="0.3">
      <c r="L15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50" s="1">
        <f>N149+Table118192023103031323538394041481115[[#This Row],[اجمالي الفاتوره]]-Table118192023103031323538394041481115[[#This Row],[الدفعات]]</f>
        <v>93298.37</v>
      </c>
      <c r="P150" s="48"/>
    </row>
    <row r="151" spans="12:16" s="1" customFormat="1" ht="22.5" customHeight="1" x14ac:dyDescent="0.3">
      <c r="L15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51" s="1">
        <f>N150+Table118192023103031323538394041481115[[#This Row],[اجمالي الفاتوره]]-Table118192023103031323538394041481115[[#This Row],[الدفعات]]</f>
        <v>93298.37</v>
      </c>
      <c r="P151" s="48"/>
    </row>
    <row r="152" spans="12:16" s="1" customFormat="1" ht="22.5" customHeight="1" x14ac:dyDescent="0.3">
      <c r="L15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52" s="1">
        <f>N151+Table118192023103031323538394041481115[[#This Row],[اجمالي الفاتوره]]-Table118192023103031323538394041481115[[#This Row],[الدفعات]]</f>
        <v>93298.37</v>
      </c>
      <c r="P152" s="48"/>
    </row>
    <row r="153" spans="12:16" s="1" customFormat="1" ht="22.5" customHeight="1" x14ac:dyDescent="0.3">
      <c r="L15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53" s="1">
        <f>N152+Table118192023103031323538394041481115[[#This Row],[اجمالي الفاتوره]]-Table118192023103031323538394041481115[[#This Row],[الدفعات]]</f>
        <v>93298.37</v>
      </c>
      <c r="P153" s="48"/>
    </row>
    <row r="154" spans="12:16" s="1" customFormat="1" ht="22.5" customHeight="1" x14ac:dyDescent="0.3">
      <c r="L15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54" s="1">
        <f>N153+Table118192023103031323538394041481115[[#This Row],[اجمالي الفاتوره]]-Table118192023103031323538394041481115[[#This Row],[الدفعات]]</f>
        <v>93298.37</v>
      </c>
      <c r="P154" s="48"/>
    </row>
    <row r="155" spans="12:16" s="1" customFormat="1" ht="22.5" customHeight="1" x14ac:dyDescent="0.3">
      <c r="L15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55" s="1">
        <f>N154+Table118192023103031323538394041481115[[#This Row],[اجمالي الفاتوره]]-Table118192023103031323538394041481115[[#This Row],[الدفعات]]</f>
        <v>93298.37</v>
      </c>
      <c r="P155" s="48"/>
    </row>
    <row r="156" spans="12:16" s="1" customFormat="1" ht="22.5" customHeight="1" x14ac:dyDescent="0.3">
      <c r="L15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56" s="1">
        <f>N155+Table118192023103031323538394041481115[[#This Row],[اجمالي الفاتوره]]-Table118192023103031323538394041481115[[#This Row],[الدفعات]]</f>
        <v>93298.37</v>
      </c>
      <c r="P156" s="48"/>
    </row>
    <row r="157" spans="12:16" s="1" customFormat="1" ht="22.5" customHeight="1" x14ac:dyDescent="0.3">
      <c r="L15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57" s="1">
        <f>N156+Table118192023103031323538394041481115[[#This Row],[اجمالي الفاتوره]]-Table118192023103031323538394041481115[[#This Row],[الدفعات]]</f>
        <v>93298.37</v>
      </c>
      <c r="P157" s="48"/>
    </row>
    <row r="158" spans="12:16" s="1" customFormat="1" ht="22.5" customHeight="1" x14ac:dyDescent="0.3">
      <c r="L15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58" s="1">
        <f>N157+Table118192023103031323538394041481115[[#This Row],[اجمالي الفاتوره]]-Table118192023103031323538394041481115[[#This Row],[الدفعات]]</f>
        <v>93298.37</v>
      </c>
      <c r="P158" s="48"/>
    </row>
    <row r="159" spans="12:16" s="1" customFormat="1" ht="22.5" customHeight="1" x14ac:dyDescent="0.3">
      <c r="L15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59" s="1">
        <f>N158+Table118192023103031323538394041481115[[#This Row],[اجمالي الفاتوره]]-Table118192023103031323538394041481115[[#This Row],[الدفعات]]</f>
        <v>93298.37</v>
      </c>
      <c r="P159" s="48"/>
    </row>
    <row r="160" spans="12:16" s="1" customFormat="1" ht="22.5" customHeight="1" x14ac:dyDescent="0.3">
      <c r="L16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60" s="1">
        <f>N159+Table118192023103031323538394041481115[[#This Row],[اجمالي الفاتوره]]-Table118192023103031323538394041481115[[#This Row],[الدفعات]]</f>
        <v>93298.37</v>
      </c>
      <c r="P160" s="48"/>
    </row>
    <row r="161" spans="12:16" s="1" customFormat="1" ht="22.5" customHeight="1" x14ac:dyDescent="0.3">
      <c r="L16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61" s="1">
        <f>N160+Table118192023103031323538394041481115[[#This Row],[اجمالي الفاتوره]]-Table118192023103031323538394041481115[[#This Row],[الدفعات]]</f>
        <v>93298.37</v>
      </c>
      <c r="P161" s="48"/>
    </row>
    <row r="162" spans="12:16" s="1" customFormat="1" ht="22.5" customHeight="1" x14ac:dyDescent="0.3">
      <c r="L16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62" s="1">
        <f>N161+Table118192023103031323538394041481115[[#This Row],[اجمالي الفاتوره]]-Table118192023103031323538394041481115[[#This Row],[الدفعات]]</f>
        <v>93298.37</v>
      </c>
      <c r="P162" s="48"/>
    </row>
    <row r="163" spans="12:16" s="1" customFormat="1" ht="22.5" customHeight="1" x14ac:dyDescent="0.3">
      <c r="L16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63" s="1">
        <f>N162+Table118192023103031323538394041481115[[#This Row],[اجمالي الفاتوره]]-Table118192023103031323538394041481115[[#This Row],[الدفعات]]</f>
        <v>93298.37</v>
      </c>
      <c r="P163" s="48"/>
    </row>
    <row r="164" spans="12:16" s="1" customFormat="1" ht="22.5" customHeight="1" x14ac:dyDescent="0.3">
      <c r="L16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64" s="1">
        <f>N163+Table118192023103031323538394041481115[[#This Row],[اجمالي الفاتوره]]-Table118192023103031323538394041481115[[#This Row],[الدفعات]]</f>
        <v>93298.37</v>
      </c>
      <c r="P164" s="48"/>
    </row>
    <row r="165" spans="12:16" s="1" customFormat="1" ht="22.5" customHeight="1" x14ac:dyDescent="0.3">
      <c r="L16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65" s="1">
        <f>N164+Table118192023103031323538394041481115[[#This Row],[اجمالي الفاتوره]]-Table118192023103031323538394041481115[[#This Row],[الدفعات]]</f>
        <v>93298.37</v>
      </c>
      <c r="P165" s="48"/>
    </row>
    <row r="166" spans="12:16" s="1" customFormat="1" ht="22.5" customHeight="1" x14ac:dyDescent="0.3">
      <c r="L16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66" s="1">
        <f>N165+Table118192023103031323538394041481115[[#This Row],[اجمالي الفاتوره]]-Table118192023103031323538394041481115[[#This Row],[الدفعات]]</f>
        <v>93298.37</v>
      </c>
      <c r="P166" s="48"/>
    </row>
    <row r="167" spans="12:16" s="1" customFormat="1" ht="22.5" customHeight="1" x14ac:dyDescent="0.3">
      <c r="L16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67" s="1">
        <f>N166+Table118192023103031323538394041481115[[#This Row],[اجمالي الفاتوره]]-Table118192023103031323538394041481115[[#This Row],[الدفعات]]</f>
        <v>93298.37</v>
      </c>
      <c r="P167" s="48"/>
    </row>
    <row r="168" spans="12:16" s="1" customFormat="1" ht="22.5" customHeight="1" x14ac:dyDescent="0.3">
      <c r="L16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68" s="1">
        <f>N167+Table118192023103031323538394041481115[[#This Row],[اجمالي الفاتوره]]-Table118192023103031323538394041481115[[#This Row],[الدفعات]]</f>
        <v>93298.37</v>
      </c>
      <c r="P168" s="48"/>
    </row>
    <row r="169" spans="12:16" s="1" customFormat="1" ht="22.5" customHeight="1" x14ac:dyDescent="0.3">
      <c r="L16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69" s="1">
        <f>N168+Table118192023103031323538394041481115[[#This Row],[اجمالي الفاتوره]]-Table118192023103031323538394041481115[[#This Row],[الدفعات]]</f>
        <v>93298.37</v>
      </c>
      <c r="P169" s="48"/>
    </row>
    <row r="170" spans="12:16" s="1" customFormat="1" ht="22.5" customHeight="1" x14ac:dyDescent="0.3">
      <c r="L17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70" s="1">
        <f>N169+Table118192023103031323538394041481115[[#This Row],[اجمالي الفاتوره]]-Table118192023103031323538394041481115[[#This Row],[الدفعات]]</f>
        <v>93298.37</v>
      </c>
      <c r="P170" s="48"/>
    </row>
    <row r="171" spans="12:16" s="1" customFormat="1" ht="22.5" customHeight="1" x14ac:dyDescent="0.3">
      <c r="L17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71" s="1">
        <f>N170+Table118192023103031323538394041481115[[#This Row],[اجمالي الفاتوره]]-Table118192023103031323538394041481115[[#This Row],[الدفعات]]</f>
        <v>93298.37</v>
      </c>
      <c r="P171" s="48"/>
    </row>
    <row r="172" spans="12:16" s="1" customFormat="1" ht="22.5" customHeight="1" x14ac:dyDescent="0.3">
      <c r="L17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72" s="1">
        <f>N171+Table118192023103031323538394041481115[[#This Row],[اجمالي الفاتوره]]-Table118192023103031323538394041481115[[#This Row],[الدفعات]]</f>
        <v>93298.37</v>
      </c>
      <c r="P172" s="48"/>
    </row>
    <row r="173" spans="12:16" s="1" customFormat="1" ht="22.5" customHeight="1" x14ac:dyDescent="0.3">
      <c r="L17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73" s="1">
        <f>N172+Table118192023103031323538394041481115[[#This Row],[اجمالي الفاتوره]]-Table118192023103031323538394041481115[[#This Row],[الدفعات]]</f>
        <v>93298.37</v>
      </c>
      <c r="P173" s="48"/>
    </row>
    <row r="174" spans="12:16" s="1" customFormat="1" ht="22.5" customHeight="1" x14ac:dyDescent="0.3">
      <c r="L17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74" s="1">
        <f>N173+Table118192023103031323538394041481115[[#This Row],[اجمالي الفاتوره]]-Table118192023103031323538394041481115[[#This Row],[الدفعات]]</f>
        <v>93298.37</v>
      </c>
      <c r="P174" s="48"/>
    </row>
    <row r="175" spans="12:16" s="1" customFormat="1" ht="22.5" customHeight="1" x14ac:dyDescent="0.3">
      <c r="L17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75" s="1">
        <f>N174+Table118192023103031323538394041481115[[#This Row],[اجمالي الفاتوره]]-Table118192023103031323538394041481115[[#This Row],[الدفعات]]</f>
        <v>93298.37</v>
      </c>
      <c r="P175" s="48"/>
    </row>
    <row r="176" spans="12:16" s="1" customFormat="1" ht="22.5" customHeight="1" x14ac:dyDescent="0.3">
      <c r="L17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76" s="1">
        <f>N175+Table118192023103031323538394041481115[[#This Row],[اجمالي الفاتوره]]-Table118192023103031323538394041481115[[#This Row],[الدفعات]]</f>
        <v>93298.37</v>
      </c>
      <c r="P176" s="48"/>
    </row>
    <row r="177" spans="12:16" s="1" customFormat="1" ht="22.5" customHeight="1" x14ac:dyDescent="0.3">
      <c r="L17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77" s="1">
        <f>N176+Table118192023103031323538394041481115[[#This Row],[اجمالي الفاتوره]]-Table118192023103031323538394041481115[[#This Row],[الدفعات]]</f>
        <v>93298.37</v>
      </c>
      <c r="P177" s="48"/>
    </row>
    <row r="178" spans="12:16" s="1" customFormat="1" ht="22.5" customHeight="1" x14ac:dyDescent="0.3">
      <c r="L17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78" s="1">
        <f>N177+Table118192023103031323538394041481115[[#This Row],[اجمالي الفاتوره]]-Table118192023103031323538394041481115[[#This Row],[الدفعات]]</f>
        <v>93298.37</v>
      </c>
      <c r="P178" s="48"/>
    </row>
    <row r="179" spans="12:16" s="1" customFormat="1" ht="22.5" customHeight="1" x14ac:dyDescent="0.3">
      <c r="L17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79" s="1">
        <f>N178+Table118192023103031323538394041481115[[#This Row],[اجمالي الفاتوره]]-Table118192023103031323538394041481115[[#This Row],[الدفعات]]</f>
        <v>93298.37</v>
      </c>
      <c r="P179" s="48"/>
    </row>
    <row r="180" spans="12:16" s="1" customFormat="1" ht="22.5" customHeight="1" x14ac:dyDescent="0.3">
      <c r="L18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80" s="1">
        <f>N179+Table118192023103031323538394041481115[[#This Row],[اجمالي الفاتوره]]-Table118192023103031323538394041481115[[#This Row],[الدفعات]]</f>
        <v>93298.37</v>
      </c>
      <c r="P180" s="48"/>
    </row>
    <row r="181" spans="12:16" s="1" customFormat="1" ht="22.5" customHeight="1" x14ac:dyDescent="0.3">
      <c r="L18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81" s="1">
        <f>N180+Table118192023103031323538394041481115[[#This Row],[اجمالي الفاتوره]]-Table118192023103031323538394041481115[[#This Row],[الدفعات]]</f>
        <v>93298.37</v>
      </c>
      <c r="P181" s="48"/>
    </row>
    <row r="182" spans="12:16" s="1" customFormat="1" ht="22.5" customHeight="1" x14ac:dyDescent="0.3">
      <c r="L18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82" s="1">
        <f>N181+Table118192023103031323538394041481115[[#This Row],[اجمالي الفاتوره]]-Table118192023103031323538394041481115[[#This Row],[الدفعات]]</f>
        <v>93298.37</v>
      </c>
      <c r="P182" s="48"/>
    </row>
    <row r="183" spans="12:16" s="1" customFormat="1" ht="22.5" customHeight="1" x14ac:dyDescent="0.3">
      <c r="L18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83" s="1">
        <f>N182+Table118192023103031323538394041481115[[#This Row],[اجمالي الفاتوره]]-Table118192023103031323538394041481115[[#This Row],[الدفعات]]</f>
        <v>93298.37</v>
      </c>
      <c r="P183" s="48"/>
    </row>
    <row r="184" spans="12:16" s="1" customFormat="1" ht="22.5" customHeight="1" x14ac:dyDescent="0.3">
      <c r="L18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84" s="1">
        <f>N183+Table118192023103031323538394041481115[[#This Row],[اجمالي الفاتوره]]-Table118192023103031323538394041481115[[#This Row],[الدفعات]]</f>
        <v>93298.37</v>
      </c>
      <c r="P184" s="48"/>
    </row>
    <row r="185" spans="12:16" s="1" customFormat="1" ht="22.5" customHeight="1" x14ac:dyDescent="0.3">
      <c r="L18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85" s="1">
        <f>N184+Table118192023103031323538394041481115[[#This Row],[اجمالي الفاتوره]]-Table118192023103031323538394041481115[[#This Row],[الدفعات]]</f>
        <v>93298.37</v>
      </c>
      <c r="P185" s="48"/>
    </row>
    <row r="186" spans="12:16" s="1" customFormat="1" ht="22.5" customHeight="1" x14ac:dyDescent="0.3">
      <c r="L18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86" s="1">
        <f>N185+Table118192023103031323538394041481115[[#This Row],[اجمالي الفاتوره]]-Table118192023103031323538394041481115[[#This Row],[الدفعات]]</f>
        <v>93298.37</v>
      </c>
      <c r="P186" s="48"/>
    </row>
    <row r="187" spans="12:16" s="1" customFormat="1" ht="22.5" customHeight="1" x14ac:dyDescent="0.3">
      <c r="L18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87" s="1">
        <f>N186+Table118192023103031323538394041481115[[#This Row],[اجمالي الفاتوره]]-Table118192023103031323538394041481115[[#This Row],[الدفعات]]</f>
        <v>93298.37</v>
      </c>
      <c r="P187" s="48"/>
    </row>
    <row r="188" spans="12:16" s="1" customFormat="1" ht="22.5" customHeight="1" x14ac:dyDescent="0.3">
      <c r="L18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88" s="1">
        <f>N187+Table118192023103031323538394041481115[[#This Row],[اجمالي الفاتوره]]-Table118192023103031323538394041481115[[#This Row],[الدفعات]]</f>
        <v>93298.37</v>
      </c>
      <c r="P188" s="48"/>
    </row>
    <row r="189" spans="12:16" s="1" customFormat="1" ht="22.5" customHeight="1" x14ac:dyDescent="0.3">
      <c r="L18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89" s="1">
        <f>N188+Table118192023103031323538394041481115[[#This Row],[اجمالي الفاتوره]]-Table118192023103031323538394041481115[[#This Row],[الدفعات]]</f>
        <v>93298.37</v>
      </c>
      <c r="P189" s="48"/>
    </row>
    <row r="190" spans="12:16" s="1" customFormat="1" ht="22.5" customHeight="1" x14ac:dyDescent="0.3">
      <c r="L19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90" s="1">
        <f>N189+Table118192023103031323538394041481115[[#This Row],[اجمالي الفاتوره]]-Table118192023103031323538394041481115[[#This Row],[الدفعات]]</f>
        <v>93298.37</v>
      </c>
      <c r="P190" s="48"/>
    </row>
    <row r="191" spans="12:16" s="1" customFormat="1" ht="22.5" customHeight="1" x14ac:dyDescent="0.3">
      <c r="L19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91" s="1">
        <f>N190+Table118192023103031323538394041481115[[#This Row],[اجمالي الفاتوره]]-Table118192023103031323538394041481115[[#This Row],[الدفعات]]</f>
        <v>93298.37</v>
      </c>
      <c r="P191" s="48"/>
    </row>
    <row r="192" spans="12:16" s="1" customFormat="1" ht="22.5" customHeight="1" x14ac:dyDescent="0.3">
      <c r="L19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92" s="1">
        <f>N191+Table118192023103031323538394041481115[[#This Row],[اجمالي الفاتوره]]-Table118192023103031323538394041481115[[#This Row],[الدفعات]]</f>
        <v>93298.37</v>
      </c>
      <c r="P192" s="48"/>
    </row>
    <row r="193" spans="12:16" s="1" customFormat="1" ht="22.5" customHeight="1" x14ac:dyDescent="0.3">
      <c r="L19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93" s="1">
        <f>N192+Table118192023103031323538394041481115[[#This Row],[اجمالي الفاتوره]]-Table118192023103031323538394041481115[[#This Row],[الدفعات]]</f>
        <v>93298.37</v>
      </c>
      <c r="P193" s="48"/>
    </row>
    <row r="194" spans="12:16" s="1" customFormat="1" ht="22.5" customHeight="1" x14ac:dyDescent="0.3">
      <c r="L19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94" s="1">
        <f>N193+Table118192023103031323538394041481115[[#This Row],[اجمالي الفاتوره]]-Table118192023103031323538394041481115[[#This Row],[الدفعات]]</f>
        <v>93298.37</v>
      </c>
      <c r="P194" s="48"/>
    </row>
    <row r="195" spans="12:16" s="1" customFormat="1" ht="22.5" customHeight="1" x14ac:dyDescent="0.3">
      <c r="L19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95" s="1">
        <f>N194+Table118192023103031323538394041481115[[#This Row],[اجمالي الفاتوره]]-Table118192023103031323538394041481115[[#This Row],[الدفعات]]</f>
        <v>93298.37</v>
      </c>
      <c r="P195" s="48"/>
    </row>
    <row r="196" spans="12:16" s="1" customFormat="1" ht="22.5" customHeight="1" x14ac:dyDescent="0.3">
      <c r="L19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96" s="1">
        <f>N195+Table118192023103031323538394041481115[[#This Row],[اجمالي الفاتوره]]-Table118192023103031323538394041481115[[#This Row],[الدفعات]]</f>
        <v>93298.37</v>
      </c>
      <c r="P196" s="48"/>
    </row>
    <row r="197" spans="12:16" s="1" customFormat="1" ht="22.5" customHeight="1" x14ac:dyDescent="0.3">
      <c r="L19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97" s="1">
        <f>N196+Table118192023103031323538394041481115[[#This Row],[اجمالي الفاتوره]]-Table118192023103031323538394041481115[[#This Row],[الدفعات]]</f>
        <v>93298.37</v>
      </c>
      <c r="P197" s="48"/>
    </row>
    <row r="198" spans="12:16" s="1" customFormat="1" ht="22.5" customHeight="1" x14ac:dyDescent="0.3">
      <c r="L19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98" s="1">
        <f>N197+Table118192023103031323538394041481115[[#This Row],[اجمالي الفاتوره]]-Table118192023103031323538394041481115[[#This Row],[الدفعات]]</f>
        <v>93298.37</v>
      </c>
      <c r="P198" s="48"/>
    </row>
    <row r="199" spans="12:16" s="1" customFormat="1" ht="22.5" customHeight="1" x14ac:dyDescent="0.3">
      <c r="L19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199" s="1">
        <f>N198+Table118192023103031323538394041481115[[#This Row],[اجمالي الفاتوره]]-Table118192023103031323538394041481115[[#This Row],[الدفعات]]</f>
        <v>93298.37</v>
      </c>
      <c r="P199" s="48"/>
    </row>
    <row r="200" spans="12:16" s="1" customFormat="1" ht="22.5" customHeight="1" x14ac:dyDescent="0.3">
      <c r="L20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00" s="1">
        <f>N199+Table118192023103031323538394041481115[[#This Row],[اجمالي الفاتوره]]-Table118192023103031323538394041481115[[#This Row],[الدفعات]]</f>
        <v>93298.37</v>
      </c>
      <c r="P200" s="48"/>
    </row>
    <row r="201" spans="12:16" s="1" customFormat="1" ht="22.5" customHeight="1" x14ac:dyDescent="0.3">
      <c r="L20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01" s="1">
        <f>N200+Table118192023103031323538394041481115[[#This Row],[اجمالي الفاتوره]]-Table118192023103031323538394041481115[[#This Row],[الدفعات]]</f>
        <v>93298.37</v>
      </c>
      <c r="P201" s="48"/>
    </row>
    <row r="202" spans="12:16" s="1" customFormat="1" ht="22.5" customHeight="1" x14ac:dyDescent="0.3">
      <c r="L20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02" s="1">
        <f>N201+Table118192023103031323538394041481115[[#This Row],[اجمالي الفاتوره]]-Table118192023103031323538394041481115[[#This Row],[الدفعات]]</f>
        <v>93298.37</v>
      </c>
      <c r="P202" s="48"/>
    </row>
    <row r="203" spans="12:16" s="1" customFormat="1" ht="22.5" customHeight="1" x14ac:dyDescent="0.3">
      <c r="L20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03" s="1">
        <f>N202+Table118192023103031323538394041481115[[#This Row],[اجمالي الفاتوره]]-Table118192023103031323538394041481115[[#This Row],[الدفعات]]</f>
        <v>93298.37</v>
      </c>
      <c r="P203" s="48"/>
    </row>
    <row r="204" spans="12:16" s="1" customFormat="1" ht="22.5" customHeight="1" x14ac:dyDescent="0.3">
      <c r="L20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04" s="1">
        <f>N203+Table118192023103031323538394041481115[[#This Row],[اجمالي الفاتوره]]-Table118192023103031323538394041481115[[#This Row],[الدفعات]]</f>
        <v>93298.37</v>
      </c>
      <c r="P204" s="48"/>
    </row>
    <row r="205" spans="12:16" s="1" customFormat="1" ht="22.5" customHeight="1" x14ac:dyDescent="0.3">
      <c r="L20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05" s="1">
        <f>N204+Table118192023103031323538394041481115[[#This Row],[اجمالي الفاتوره]]-Table118192023103031323538394041481115[[#This Row],[الدفعات]]</f>
        <v>93298.37</v>
      </c>
      <c r="P205" s="48"/>
    </row>
    <row r="206" spans="12:16" s="1" customFormat="1" ht="22.5" customHeight="1" x14ac:dyDescent="0.3">
      <c r="L20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06" s="1">
        <f>N205+Table118192023103031323538394041481115[[#This Row],[اجمالي الفاتوره]]-Table118192023103031323538394041481115[[#This Row],[الدفعات]]</f>
        <v>93298.37</v>
      </c>
      <c r="P206" s="48"/>
    </row>
    <row r="207" spans="12:16" s="1" customFormat="1" ht="22.5" customHeight="1" x14ac:dyDescent="0.3">
      <c r="L20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07" s="1">
        <f>N206+Table118192023103031323538394041481115[[#This Row],[اجمالي الفاتوره]]-Table118192023103031323538394041481115[[#This Row],[الدفعات]]</f>
        <v>93298.37</v>
      </c>
      <c r="P207" s="48"/>
    </row>
    <row r="208" spans="12:16" s="1" customFormat="1" ht="22.5" customHeight="1" x14ac:dyDescent="0.3">
      <c r="L20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08" s="1">
        <f>N207+Table118192023103031323538394041481115[[#This Row],[اجمالي الفاتوره]]-Table118192023103031323538394041481115[[#This Row],[الدفعات]]</f>
        <v>93298.37</v>
      </c>
      <c r="P208" s="48"/>
    </row>
    <row r="209" spans="12:16" s="1" customFormat="1" ht="22.5" customHeight="1" x14ac:dyDescent="0.3">
      <c r="L20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09" s="1">
        <f>N208+Table118192023103031323538394041481115[[#This Row],[اجمالي الفاتوره]]-Table118192023103031323538394041481115[[#This Row],[الدفعات]]</f>
        <v>93298.37</v>
      </c>
      <c r="P209" s="48"/>
    </row>
    <row r="210" spans="12:16" s="1" customFormat="1" ht="22.5" customHeight="1" x14ac:dyDescent="0.3">
      <c r="L21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10" s="1">
        <f>N209+Table118192023103031323538394041481115[[#This Row],[اجمالي الفاتوره]]-Table118192023103031323538394041481115[[#This Row],[الدفعات]]</f>
        <v>93298.37</v>
      </c>
      <c r="P210" s="48"/>
    </row>
    <row r="211" spans="12:16" s="1" customFormat="1" ht="22.5" customHeight="1" x14ac:dyDescent="0.3">
      <c r="L21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11" s="1">
        <f>N210+Table118192023103031323538394041481115[[#This Row],[اجمالي الفاتوره]]-Table118192023103031323538394041481115[[#This Row],[الدفعات]]</f>
        <v>93298.37</v>
      </c>
      <c r="P211" s="48"/>
    </row>
    <row r="212" spans="12:16" s="1" customFormat="1" ht="22.5" customHeight="1" x14ac:dyDescent="0.3">
      <c r="L21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12" s="1">
        <f>N211+Table118192023103031323538394041481115[[#This Row],[اجمالي الفاتوره]]-Table118192023103031323538394041481115[[#This Row],[الدفعات]]</f>
        <v>93298.37</v>
      </c>
      <c r="P212" s="48"/>
    </row>
    <row r="213" spans="12:16" s="1" customFormat="1" ht="22.5" customHeight="1" x14ac:dyDescent="0.3">
      <c r="L21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13" s="1">
        <f>N212+Table118192023103031323538394041481115[[#This Row],[اجمالي الفاتوره]]-Table118192023103031323538394041481115[[#This Row],[الدفعات]]</f>
        <v>93298.37</v>
      </c>
      <c r="P213" s="48"/>
    </row>
    <row r="214" spans="12:16" s="1" customFormat="1" ht="22.5" customHeight="1" x14ac:dyDescent="0.3">
      <c r="L21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14" s="1">
        <f>N213+Table118192023103031323538394041481115[[#This Row],[اجمالي الفاتوره]]-Table118192023103031323538394041481115[[#This Row],[الدفعات]]</f>
        <v>93298.37</v>
      </c>
      <c r="P214" s="48"/>
    </row>
    <row r="215" spans="12:16" s="1" customFormat="1" ht="22.5" customHeight="1" x14ac:dyDescent="0.3">
      <c r="L21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15" s="1">
        <f>N214+Table118192023103031323538394041481115[[#This Row],[اجمالي الفاتوره]]-Table118192023103031323538394041481115[[#This Row],[الدفعات]]</f>
        <v>93298.37</v>
      </c>
      <c r="P215" s="48"/>
    </row>
    <row r="216" spans="12:16" s="1" customFormat="1" ht="22.5" customHeight="1" x14ac:dyDescent="0.3">
      <c r="L21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16" s="1">
        <f>N215+Table118192023103031323538394041481115[[#This Row],[اجمالي الفاتوره]]-Table118192023103031323538394041481115[[#This Row],[الدفعات]]</f>
        <v>93298.37</v>
      </c>
      <c r="P216" s="48"/>
    </row>
    <row r="217" spans="12:16" s="1" customFormat="1" ht="22.5" customHeight="1" x14ac:dyDescent="0.3">
      <c r="L21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17" s="1">
        <f>N216+Table118192023103031323538394041481115[[#This Row],[اجمالي الفاتوره]]-Table118192023103031323538394041481115[[#This Row],[الدفعات]]</f>
        <v>93298.37</v>
      </c>
      <c r="P217" s="48"/>
    </row>
    <row r="218" spans="12:16" s="1" customFormat="1" ht="22.5" customHeight="1" x14ac:dyDescent="0.3">
      <c r="L21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18" s="1">
        <f>N217+Table118192023103031323538394041481115[[#This Row],[اجمالي الفاتوره]]-Table118192023103031323538394041481115[[#This Row],[الدفعات]]</f>
        <v>93298.37</v>
      </c>
      <c r="P218" s="48"/>
    </row>
    <row r="219" spans="12:16" s="1" customFormat="1" ht="22.5" customHeight="1" x14ac:dyDescent="0.3">
      <c r="L21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19" s="1">
        <f>N218+Table118192023103031323538394041481115[[#This Row],[اجمالي الفاتوره]]-Table118192023103031323538394041481115[[#This Row],[الدفعات]]</f>
        <v>93298.37</v>
      </c>
      <c r="P219" s="48"/>
    </row>
    <row r="220" spans="12:16" s="1" customFormat="1" ht="22.5" customHeight="1" x14ac:dyDescent="0.3">
      <c r="L22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20" s="1">
        <f>N219+Table118192023103031323538394041481115[[#This Row],[اجمالي الفاتوره]]-Table118192023103031323538394041481115[[#This Row],[الدفعات]]</f>
        <v>93298.37</v>
      </c>
      <c r="P220" s="48"/>
    </row>
    <row r="221" spans="12:16" s="1" customFormat="1" ht="22.5" customHeight="1" x14ac:dyDescent="0.3">
      <c r="L22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21" s="1">
        <f>N220+Table118192023103031323538394041481115[[#This Row],[اجمالي الفاتوره]]-Table118192023103031323538394041481115[[#This Row],[الدفعات]]</f>
        <v>93298.37</v>
      </c>
      <c r="P221" s="48"/>
    </row>
    <row r="222" spans="12:16" s="1" customFormat="1" ht="22.5" customHeight="1" x14ac:dyDescent="0.3">
      <c r="L22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22" s="1">
        <f>N221+Table118192023103031323538394041481115[[#This Row],[اجمالي الفاتوره]]-Table118192023103031323538394041481115[[#This Row],[الدفعات]]</f>
        <v>93298.37</v>
      </c>
      <c r="P222" s="48"/>
    </row>
    <row r="223" spans="12:16" s="1" customFormat="1" ht="22.5" customHeight="1" x14ac:dyDescent="0.3">
      <c r="L22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23" s="1">
        <f>N222+Table118192023103031323538394041481115[[#This Row],[اجمالي الفاتوره]]-Table118192023103031323538394041481115[[#This Row],[الدفعات]]</f>
        <v>93298.37</v>
      </c>
      <c r="P223" s="48"/>
    </row>
    <row r="224" spans="12:16" s="1" customFormat="1" ht="22.5" customHeight="1" x14ac:dyDescent="0.3">
      <c r="L22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24" s="1">
        <f>N223+Table118192023103031323538394041481115[[#This Row],[اجمالي الفاتوره]]-Table118192023103031323538394041481115[[#This Row],[الدفعات]]</f>
        <v>93298.37</v>
      </c>
      <c r="P224" s="48"/>
    </row>
    <row r="225" spans="12:16" s="1" customFormat="1" ht="22.5" customHeight="1" x14ac:dyDescent="0.3">
      <c r="L22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25" s="1">
        <f>N224+Table118192023103031323538394041481115[[#This Row],[اجمالي الفاتوره]]-Table118192023103031323538394041481115[[#This Row],[الدفعات]]</f>
        <v>93298.37</v>
      </c>
      <c r="P225" s="48"/>
    </row>
    <row r="226" spans="12:16" s="1" customFormat="1" ht="22.5" customHeight="1" x14ac:dyDescent="0.3">
      <c r="L22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26" s="1">
        <f>N225+Table118192023103031323538394041481115[[#This Row],[اجمالي الفاتوره]]-Table118192023103031323538394041481115[[#This Row],[الدفعات]]</f>
        <v>93298.37</v>
      </c>
      <c r="P226" s="48"/>
    </row>
    <row r="227" spans="12:16" s="1" customFormat="1" ht="22.5" customHeight="1" x14ac:dyDescent="0.3">
      <c r="L22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27" s="1">
        <f>N226+Table118192023103031323538394041481115[[#This Row],[اجمالي الفاتوره]]-Table118192023103031323538394041481115[[#This Row],[الدفعات]]</f>
        <v>93298.37</v>
      </c>
      <c r="P227" s="48"/>
    </row>
    <row r="228" spans="12:16" s="1" customFormat="1" ht="22.5" customHeight="1" x14ac:dyDescent="0.3">
      <c r="L22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28" s="1">
        <f>N227+Table118192023103031323538394041481115[[#This Row],[اجمالي الفاتوره]]-Table118192023103031323538394041481115[[#This Row],[الدفعات]]</f>
        <v>93298.37</v>
      </c>
      <c r="P228" s="48"/>
    </row>
    <row r="229" spans="12:16" s="1" customFormat="1" ht="22.5" customHeight="1" x14ac:dyDescent="0.3">
      <c r="L22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29" s="1">
        <f>N228+Table118192023103031323538394041481115[[#This Row],[اجمالي الفاتوره]]-Table118192023103031323538394041481115[[#This Row],[الدفعات]]</f>
        <v>93298.37</v>
      </c>
      <c r="P229" s="48"/>
    </row>
    <row r="230" spans="12:16" s="1" customFormat="1" ht="22.5" customHeight="1" x14ac:dyDescent="0.3">
      <c r="L23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30" s="1">
        <f>N229+Table118192023103031323538394041481115[[#This Row],[اجمالي الفاتوره]]-Table118192023103031323538394041481115[[#This Row],[الدفعات]]</f>
        <v>93298.37</v>
      </c>
      <c r="P230" s="48"/>
    </row>
    <row r="231" spans="12:16" s="1" customFormat="1" ht="22.5" customHeight="1" x14ac:dyDescent="0.3">
      <c r="L23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31" s="1">
        <f>N230+Table118192023103031323538394041481115[[#This Row],[اجمالي الفاتوره]]-Table118192023103031323538394041481115[[#This Row],[الدفعات]]</f>
        <v>93298.37</v>
      </c>
      <c r="P231" s="48"/>
    </row>
    <row r="232" spans="12:16" s="1" customFormat="1" ht="22.5" customHeight="1" x14ac:dyDescent="0.3">
      <c r="L23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32" s="1">
        <f>N231+Table118192023103031323538394041481115[[#This Row],[اجمالي الفاتوره]]-Table118192023103031323538394041481115[[#This Row],[الدفعات]]</f>
        <v>93298.37</v>
      </c>
      <c r="P232" s="48"/>
    </row>
    <row r="233" spans="12:16" s="1" customFormat="1" ht="22.5" customHeight="1" x14ac:dyDescent="0.3">
      <c r="L23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33" s="1">
        <f>N232+Table118192023103031323538394041481115[[#This Row],[اجمالي الفاتوره]]-Table118192023103031323538394041481115[[#This Row],[الدفعات]]</f>
        <v>93298.37</v>
      </c>
      <c r="P233" s="48"/>
    </row>
    <row r="234" spans="12:16" s="1" customFormat="1" ht="22.5" customHeight="1" x14ac:dyDescent="0.3">
      <c r="L23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34" s="1">
        <f>N233+Table118192023103031323538394041481115[[#This Row],[اجمالي الفاتوره]]-Table118192023103031323538394041481115[[#This Row],[الدفعات]]</f>
        <v>93298.37</v>
      </c>
      <c r="P234" s="48"/>
    </row>
    <row r="235" spans="12:16" s="1" customFormat="1" ht="22.5" customHeight="1" x14ac:dyDescent="0.3">
      <c r="L23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35" s="1">
        <f>N234+Table118192023103031323538394041481115[[#This Row],[اجمالي الفاتوره]]-Table118192023103031323538394041481115[[#This Row],[الدفعات]]</f>
        <v>93298.37</v>
      </c>
      <c r="P235" s="48"/>
    </row>
    <row r="236" spans="12:16" s="1" customFormat="1" ht="22.5" customHeight="1" x14ac:dyDescent="0.3">
      <c r="L23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36" s="1">
        <f>N235+Table118192023103031323538394041481115[[#This Row],[اجمالي الفاتوره]]-Table118192023103031323538394041481115[[#This Row],[الدفعات]]</f>
        <v>93298.37</v>
      </c>
      <c r="P236" s="48"/>
    </row>
    <row r="237" spans="12:16" s="1" customFormat="1" ht="22.5" customHeight="1" x14ac:dyDescent="0.3">
      <c r="L23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37" s="1">
        <f>N236+Table118192023103031323538394041481115[[#This Row],[اجمالي الفاتوره]]-Table118192023103031323538394041481115[[#This Row],[الدفعات]]</f>
        <v>93298.37</v>
      </c>
      <c r="P237" s="48"/>
    </row>
    <row r="238" spans="12:16" s="1" customFormat="1" ht="22.5" customHeight="1" x14ac:dyDescent="0.3">
      <c r="L23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38" s="1">
        <f>N237+Table118192023103031323538394041481115[[#This Row],[اجمالي الفاتوره]]-Table118192023103031323538394041481115[[#This Row],[الدفعات]]</f>
        <v>93298.37</v>
      </c>
      <c r="P238" s="48"/>
    </row>
    <row r="239" spans="12:16" s="1" customFormat="1" ht="22.5" customHeight="1" x14ac:dyDescent="0.3">
      <c r="L23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39" s="1">
        <f>N238+Table118192023103031323538394041481115[[#This Row],[اجمالي الفاتوره]]-Table118192023103031323538394041481115[[#This Row],[الدفعات]]</f>
        <v>93298.37</v>
      </c>
      <c r="P239" s="48"/>
    </row>
    <row r="240" spans="12:16" s="1" customFormat="1" ht="22.5" customHeight="1" x14ac:dyDescent="0.3">
      <c r="L24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40" s="1">
        <f>N239+Table118192023103031323538394041481115[[#This Row],[اجمالي الفاتوره]]-Table118192023103031323538394041481115[[#This Row],[الدفعات]]</f>
        <v>93298.37</v>
      </c>
      <c r="P240" s="48"/>
    </row>
    <row r="241" spans="10:16" s="1" customFormat="1" ht="22.5" customHeight="1" x14ac:dyDescent="0.3">
      <c r="L24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41" s="1">
        <f>N240+Table118192023103031323538394041481115[[#This Row],[اجمالي الفاتوره]]-Table118192023103031323538394041481115[[#This Row],[الدفعات]]</f>
        <v>93298.37</v>
      </c>
      <c r="P241" s="48"/>
    </row>
    <row r="242" spans="10:16" s="1" customFormat="1" ht="22.5" customHeight="1" x14ac:dyDescent="0.3">
      <c r="J242" s="1">
        <f>0.03*Table118192023103031323538394041481115[[#This Row],[النولون]]</f>
        <v>0</v>
      </c>
      <c r="L24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42" s="1">
        <f>N241+Table118192023103031323538394041481115[[#This Row],[اجمالي الفاتوره]]-Table118192023103031323538394041481115[[#This Row],[الدفعات]]</f>
        <v>93298.37</v>
      </c>
      <c r="P242" s="48"/>
    </row>
    <row r="243" spans="10:16" s="1" customFormat="1" ht="22.5" customHeight="1" x14ac:dyDescent="0.3">
      <c r="J243" s="1">
        <f>0.03*Table118192023103031323538394041481115[[#This Row],[النولون]]</f>
        <v>0</v>
      </c>
      <c r="L24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43" s="1">
        <f>N242+Table118192023103031323538394041481115[[#This Row],[اجمالي الفاتوره]]-Table118192023103031323538394041481115[[#This Row],[الدفعات]]</f>
        <v>93298.37</v>
      </c>
      <c r="P243" s="48"/>
    </row>
    <row r="244" spans="10:16" s="1" customFormat="1" ht="22.5" customHeight="1" x14ac:dyDescent="0.3">
      <c r="J244" s="1">
        <f>0.03*Table118192023103031323538394041481115[[#This Row],[النولون]]</f>
        <v>0</v>
      </c>
      <c r="L24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44" s="1">
        <f>N243+Table118192023103031323538394041481115[[#This Row],[اجمالي الفاتوره]]-Table118192023103031323538394041481115[[#This Row],[الدفعات]]</f>
        <v>93298.37</v>
      </c>
      <c r="P244" s="48"/>
    </row>
    <row r="245" spans="10:16" s="1" customFormat="1" ht="22.5" customHeight="1" x14ac:dyDescent="0.3">
      <c r="J245" s="1">
        <f>0.03*Table118192023103031323538394041481115[[#This Row],[النولون]]</f>
        <v>0</v>
      </c>
      <c r="L24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45" s="1">
        <f>N244+Table118192023103031323538394041481115[[#This Row],[اجمالي الفاتوره]]-Table118192023103031323538394041481115[[#This Row],[الدفعات]]</f>
        <v>93298.37</v>
      </c>
      <c r="P245" s="48"/>
    </row>
    <row r="246" spans="10:16" s="1" customFormat="1" ht="22.5" customHeight="1" x14ac:dyDescent="0.3">
      <c r="J246" s="1">
        <f>0.03*Table118192023103031323538394041481115[[#This Row],[النولون]]</f>
        <v>0</v>
      </c>
      <c r="L24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46" s="1">
        <f>N245+Table118192023103031323538394041481115[[#This Row],[اجمالي الفاتوره]]-Table118192023103031323538394041481115[[#This Row],[الدفعات]]</f>
        <v>93298.37</v>
      </c>
      <c r="P246" s="48"/>
    </row>
    <row r="247" spans="10:16" s="1" customFormat="1" ht="22.5" customHeight="1" x14ac:dyDescent="0.3">
      <c r="J247" s="1">
        <f>0.03*Table118192023103031323538394041481115[[#This Row],[النولون]]</f>
        <v>0</v>
      </c>
      <c r="L24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47" s="1">
        <f>N246+Table118192023103031323538394041481115[[#This Row],[اجمالي الفاتوره]]-Table118192023103031323538394041481115[[#This Row],[الدفعات]]</f>
        <v>93298.37</v>
      </c>
      <c r="P247" s="48"/>
    </row>
    <row r="248" spans="10:16" s="1" customFormat="1" ht="22.5" customHeight="1" x14ac:dyDescent="0.3">
      <c r="J248" s="1">
        <f>0.03*Table118192023103031323538394041481115[[#This Row],[النولون]]</f>
        <v>0</v>
      </c>
      <c r="L24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48" s="1">
        <f>N247+Table118192023103031323538394041481115[[#This Row],[اجمالي الفاتوره]]-Table118192023103031323538394041481115[[#This Row],[الدفعات]]</f>
        <v>93298.37</v>
      </c>
      <c r="P248" s="48"/>
    </row>
    <row r="249" spans="10:16" s="1" customFormat="1" ht="22.5" customHeight="1" x14ac:dyDescent="0.3">
      <c r="J249" s="1">
        <f>0.03*Table118192023103031323538394041481115[[#This Row],[النولون]]</f>
        <v>0</v>
      </c>
      <c r="L24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49" s="1">
        <f>N248+Table118192023103031323538394041481115[[#This Row],[اجمالي الفاتوره]]-Table118192023103031323538394041481115[[#This Row],[الدفعات]]</f>
        <v>93298.37</v>
      </c>
      <c r="P249" s="48"/>
    </row>
    <row r="250" spans="10:16" s="1" customFormat="1" ht="22.5" customHeight="1" x14ac:dyDescent="0.3">
      <c r="J250" s="1">
        <f>0.03*Table118192023103031323538394041481115[[#This Row],[النولون]]</f>
        <v>0</v>
      </c>
      <c r="L25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50" s="1">
        <f>N249+Table118192023103031323538394041481115[[#This Row],[اجمالي الفاتوره]]-Table118192023103031323538394041481115[[#This Row],[الدفعات]]</f>
        <v>93298.37</v>
      </c>
      <c r="P250" s="48"/>
    </row>
    <row r="251" spans="10:16" s="1" customFormat="1" ht="22.5" customHeight="1" x14ac:dyDescent="0.3">
      <c r="J251" s="1">
        <f>0.03*Table118192023103031323538394041481115[[#This Row],[النولون]]</f>
        <v>0</v>
      </c>
      <c r="L25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51" s="1">
        <f>N250+Table118192023103031323538394041481115[[#This Row],[اجمالي الفاتوره]]-Table118192023103031323538394041481115[[#This Row],[الدفعات]]</f>
        <v>93298.37</v>
      </c>
      <c r="P251" s="48"/>
    </row>
    <row r="252" spans="10:16" s="1" customFormat="1" ht="22.5" customHeight="1" x14ac:dyDescent="0.3">
      <c r="J252" s="1">
        <f>0.03*Table118192023103031323538394041481115[[#This Row],[النولون]]</f>
        <v>0</v>
      </c>
      <c r="L25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52" s="1">
        <f>N251+Table118192023103031323538394041481115[[#This Row],[اجمالي الفاتوره]]-Table118192023103031323538394041481115[[#This Row],[الدفعات]]</f>
        <v>93298.37</v>
      </c>
      <c r="P252" s="48"/>
    </row>
    <row r="253" spans="10:16" s="1" customFormat="1" ht="22.5" customHeight="1" x14ac:dyDescent="0.3">
      <c r="J253" s="1">
        <f>0.03*Table118192023103031323538394041481115[[#This Row],[النولون]]</f>
        <v>0</v>
      </c>
      <c r="L25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53" s="1">
        <f>N252+Table118192023103031323538394041481115[[#This Row],[اجمالي الفاتوره]]-Table118192023103031323538394041481115[[#This Row],[الدفعات]]</f>
        <v>93298.37</v>
      </c>
      <c r="P253" s="48"/>
    </row>
    <row r="254" spans="10:16" s="1" customFormat="1" ht="22.5" customHeight="1" x14ac:dyDescent="0.3">
      <c r="J254" s="1">
        <f>0.03*Table118192023103031323538394041481115[[#This Row],[النولون]]</f>
        <v>0</v>
      </c>
      <c r="L25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54" s="1">
        <f>N253+Table118192023103031323538394041481115[[#This Row],[اجمالي الفاتوره]]-Table118192023103031323538394041481115[[#This Row],[الدفعات]]</f>
        <v>93298.37</v>
      </c>
      <c r="P254" s="48"/>
    </row>
    <row r="255" spans="10:16" s="1" customFormat="1" ht="22.5" customHeight="1" x14ac:dyDescent="0.3">
      <c r="J255" s="1">
        <f>0.03*Table118192023103031323538394041481115[[#This Row],[النولون]]</f>
        <v>0</v>
      </c>
      <c r="L25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55" s="1">
        <f>N254+Table118192023103031323538394041481115[[#This Row],[اجمالي الفاتوره]]-Table118192023103031323538394041481115[[#This Row],[الدفعات]]</f>
        <v>93298.37</v>
      </c>
      <c r="P255" s="48"/>
    </row>
    <row r="256" spans="10:16" s="1" customFormat="1" ht="22.5" customHeight="1" x14ac:dyDescent="0.3">
      <c r="J256" s="1">
        <f>0.03*Table118192023103031323538394041481115[[#This Row],[النولون]]</f>
        <v>0</v>
      </c>
      <c r="L25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56" s="1">
        <f>N255+Table118192023103031323538394041481115[[#This Row],[اجمالي الفاتوره]]-Table118192023103031323538394041481115[[#This Row],[الدفعات]]</f>
        <v>93298.37</v>
      </c>
      <c r="P256" s="48"/>
    </row>
    <row r="257" spans="10:16" s="1" customFormat="1" ht="22.5" customHeight="1" x14ac:dyDescent="0.3">
      <c r="J257" s="1">
        <f>0.03*Table118192023103031323538394041481115[[#This Row],[النولون]]</f>
        <v>0</v>
      </c>
      <c r="L25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57" s="1">
        <f>N256+Table118192023103031323538394041481115[[#This Row],[اجمالي الفاتوره]]-Table118192023103031323538394041481115[[#This Row],[الدفعات]]</f>
        <v>93298.37</v>
      </c>
      <c r="P257" s="48"/>
    </row>
    <row r="258" spans="10:16" s="1" customFormat="1" ht="22.5" customHeight="1" x14ac:dyDescent="0.3">
      <c r="J258" s="1">
        <f>0.03*Table118192023103031323538394041481115[[#This Row],[النولون]]</f>
        <v>0</v>
      </c>
      <c r="L25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58" s="1">
        <f>N257+Table118192023103031323538394041481115[[#This Row],[اجمالي الفاتوره]]-Table118192023103031323538394041481115[[#This Row],[الدفعات]]</f>
        <v>93298.37</v>
      </c>
      <c r="P258" s="48"/>
    </row>
    <row r="259" spans="10:16" s="1" customFormat="1" ht="22.5" customHeight="1" x14ac:dyDescent="0.3">
      <c r="J259" s="1">
        <f>0.03*Table118192023103031323538394041481115[[#This Row],[النولون]]</f>
        <v>0</v>
      </c>
      <c r="L25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59" s="1">
        <f>N258+Table118192023103031323538394041481115[[#This Row],[اجمالي الفاتوره]]-Table118192023103031323538394041481115[[#This Row],[الدفعات]]</f>
        <v>93298.37</v>
      </c>
      <c r="P259" s="48"/>
    </row>
    <row r="260" spans="10:16" s="1" customFormat="1" ht="22.5" customHeight="1" x14ac:dyDescent="0.3">
      <c r="J260" s="1">
        <f>0.03*Table118192023103031323538394041481115[[#This Row],[النولون]]</f>
        <v>0</v>
      </c>
      <c r="L26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60" s="1">
        <f>N259+Table118192023103031323538394041481115[[#This Row],[اجمالي الفاتوره]]-Table118192023103031323538394041481115[[#This Row],[الدفعات]]</f>
        <v>93298.37</v>
      </c>
      <c r="P260" s="48"/>
    </row>
    <row r="261" spans="10:16" s="1" customFormat="1" ht="22.5" customHeight="1" x14ac:dyDescent="0.3">
      <c r="J261" s="1">
        <f>0.03*Table118192023103031323538394041481115[[#This Row],[النولون]]</f>
        <v>0</v>
      </c>
      <c r="L26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61" s="1">
        <f>N260+Table118192023103031323538394041481115[[#This Row],[اجمالي الفاتوره]]-Table118192023103031323538394041481115[[#This Row],[الدفعات]]</f>
        <v>93298.37</v>
      </c>
      <c r="P261" s="48"/>
    </row>
    <row r="262" spans="10:16" s="1" customFormat="1" ht="22.5" customHeight="1" x14ac:dyDescent="0.3">
      <c r="J262" s="1">
        <f>0.03*Table118192023103031323538394041481115[[#This Row],[النولون]]</f>
        <v>0</v>
      </c>
      <c r="L26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62" s="1">
        <f>N261+Table118192023103031323538394041481115[[#This Row],[اجمالي الفاتوره]]-Table118192023103031323538394041481115[[#This Row],[الدفعات]]</f>
        <v>93298.37</v>
      </c>
      <c r="P262" s="48"/>
    </row>
    <row r="263" spans="10:16" s="1" customFormat="1" ht="22.5" customHeight="1" x14ac:dyDescent="0.3">
      <c r="J263" s="1">
        <f>0.03*Table118192023103031323538394041481115[[#This Row],[النولون]]</f>
        <v>0</v>
      </c>
      <c r="L26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63" s="1">
        <f>N262+Table118192023103031323538394041481115[[#This Row],[اجمالي الفاتوره]]-Table118192023103031323538394041481115[[#This Row],[الدفعات]]</f>
        <v>93298.37</v>
      </c>
      <c r="P263" s="48"/>
    </row>
    <row r="264" spans="10:16" s="1" customFormat="1" ht="22.5" customHeight="1" x14ac:dyDescent="0.3">
      <c r="J264" s="1">
        <f>0.03*Table118192023103031323538394041481115[[#This Row],[النولون]]</f>
        <v>0</v>
      </c>
      <c r="L26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64" s="1">
        <f>N263+Table118192023103031323538394041481115[[#This Row],[اجمالي الفاتوره]]-Table118192023103031323538394041481115[[#This Row],[الدفعات]]</f>
        <v>93298.37</v>
      </c>
      <c r="P264" s="48"/>
    </row>
    <row r="265" spans="10:16" s="1" customFormat="1" ht="22.5" customHeight="1" x14ac:dyDescent="0.3">
      <c r="J265" s="1">
        <f>0.03*Table118192023103031323538394041481115[[#This Row],[النولون]]</f>
        <v>0</v>
      </c>
      <c r="L26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65" s="1">
        <f>N264+Table118192023103031323538394041481115[[#This Row],[اجمالي الفاتوره]]-Table118192023103031323538394041481115[[#This Row],[الدفعات]]</f>
        <v>93298.37</v>
      </c>
      <c r="P265" s="48"/>
    </row>
    <row r="266" spans="10:16" s="1" customFormat="1" ht="22.5" customHeight="1" x14ac:dyDescent="0.3">
      <c r="J266" s="1">
        <f>0.03*Table118192023103031323538394041481115[[#This Row],[النولون]]</f>
        <v>0</v>
      </c>
      <c r="L26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66" s="1">
        <f>N265+Table118192023103031323538394041481115[[#This Row],[اجمالي الفاتوره]]-Table118192023103031323538394041481115[[#This Row],[الدفعات]]</f>
        <v>93298.37</v>
      </c>
      <c r="P266" s="48"/>
    </row>
    <row r="267" spans="10:16" s="1" customFormat="1" ht="22.5" customHeight="1" x14ac:dyDescent="0.3">
      <c r="J267" s="1">
        <f>0.03*Table118192023103031323538394041481115[[#This Row],[النولون]]</f>
        <v>0</v>
      </c>
      <c r="L26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67" s="1">
        <f>N266+Table118192023103031323538394041481115[[#This Row],[اجمالي الفاتوره]]-Table118192023103031323538394041481115[[#This Row],[الدفعات]]</f>
        <v>93298.37</v>
      </c>
      <c r="P267" s="48"/>
    </row>
    <row r="268" spans="10:16" s="1" customFormat="1" ht="22.5" customHeight="1" x14ac:dyDescent="0.3">
      <c r="J268" s="1">
        <f>0.03*Table118192023103031323538394041481115[[#This Row],[النولون]]</f>
        <v>0</v>
      </c>
      <c r="L26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68" s="1">
        <f>N267+Table118192023103031323538394041481115[[#This Row],[اجمالي الفاتوره]]-Table118192023103031323538394041481115[[#This Row],[الدفعات]]</f>
        <v>93298.37</v>
      </c>
      <c r="P268" s="48"/>
    </row>
    <row r="269" spans="10:16" s="1" customFormat="1" ht="22.5" customHeight="1" x14ac:dyDescent="0.3">
      <c r="J269" s="1">
        <f>0.03*Table118192023103031323538394041481115[[#This Row],[النولون]]</f>
        <v>0</v>
      </c>
      <c r="L26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69" s="1">
        <f>N268+Table118192023103031323538394041481115[[#This Row],[اجمالي الفاتوره]]-Table118192023103031323538394041481115[[#This Row],[الدفعات]]</f>
        <v>93298.37</v>
      </c>
      <c r="P269" s="48"/>
    </row>
    <row r="270" spans="10:16" s="1" customFormat="1" ht="22.5" customHeight="1" x14ac:dyDescent="0.3">
      <c r="J270" s="1">
        <f>0.03*Table118192023103031323538394041481115[[#This Row],[النولون]]</f>
        <v>0</v>
      </c>
      <c r="L27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70" s="1">
        <f>N269+Table118192023103031323538394041481115[[#This Row],[اجمالي الفاتوره]]-Table118192023103031323538394041481115[[#This Row],[الدفعات]]</f>
        <v>93298.37</v>
      </c>
      <c r="P270" s="48"/>
    </row>
    <row r="271" spans="10:16" s="1" customFormat="1" ht="22.5" customHeight="1" x14ac:dyDescent="0.3">
      <c r="J271" s="1">
        <f>0.03*Table118192023103031323538394041481115[[#This Row],[النولون]]</f>
        <v>0</v>
      </c>
      <c r="L27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71" s="1">
        <f>N270+Table118192023103031323538394041481115[[#This Row],[اجمالي الفاتوره]]-Table118192023103031323538394041481115[[#This Row],[الدفعات]]</f>
        <v>93298.37</v>
      </c>
      <c r="P271" s="48"/>
    </row>
    <row r="272" spans="10:16" s="1" customFormat="1" ht="22.5" customHeight="1" x14ac:dyDescent="0.3">
      <c r="J272" s="1">
        <f>0.03*Table118192023103031323538394041481115[[#This Row],[النولون]]</f>
        <v>0</v>
      </c>
      <c r="L27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72" s="1">
        <f>N271+Table118192023103031323538394041481115[[#This Row],[اجمالي الفاتوره]]-Table118192023103031323538394041481115[[#This Row],[الدفعات]]</f>
        <v>93298.37</v>
      </c>
      <c r="P272" s="48"/>
    </row>
    <row r="273" spans="10:16" s="1" customFormat="1" ht="22.5" customHeight="1" x14ac:dyDescent="0.3">
      <c r="J273" s="1">
        <f>0.03*Table118192023103031323538394041481115[[#This Row],[النولون]]</f>
        <v>0</v>
      </c>
      <c r="L27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73" s="1">
        <f>N272+Table118192023103031323538394041481115[[#This Row],[اجمالي الفاتوره]]-Table118192023103031323538394041481115[[#This Row],[الدفعات]]</f>
        <v>93298.37</v>
      </c>
      <c r="P273" s="48"/>
    </row>
    <row r="274" spans="10:16" s="1" customFormat="1" ht="22.5" customHeight="1" x14ac:dyDescent="0.3">
      <c r="J274" s="1">
        <f>0.03*Table118192023103031323538394041481115[[#This Row],[النولون]]</f>
        <v>0</v>
      </c>
      <c r="L27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74" s="1">
        <f>N273+Table118192023103031323538394041481115[[#This Row],[اجمالي الفاتوره]]-Table118192023103031323538394041481115[[#This Row],[الدفعات]]</f>
        <v>93298.37</v>
      </c>
      <c r="P274" s="48"/>
    </row>
    <row r="275" spans="10:16" s="1" customFormat="1" ht="22.5" customHeight="1" x14ac:dyDescent="0.3">
      <c r="J275" s="1">
        <f>0.03*Table118192023103031323538394041481115[[#This Row],[النولون]]</f>
        <v>0</v>
      </c>
      <c r="L27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75" s="1">
        <f>N274+Table118192023103031323538394041481115[[#This Row],[اجمالي الفاتوره]]-Table118192023103031323538394041481115[[#This Row],[الدفعات]]</f>
        <v>93298.37</v>
      </c>
      <c r="P275" s="48"/>
    </row>
    <row r="276" spans="10:16" s="1" customFormat="1" ht="22.5" customHeight="1" x14ac:dyDescent="0.3">
      <c r="J276" s="1">
        <f>0.03*Table118192023103031323538394041481115[[#This Row],[النولون]]</f>
        <v>0</v>
      </c>
      <c r="L27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76" s="1">
        <f>N275+Table118192023103031323538394041481115[[#This Row],[اجمالي الفاتوره]]-Table118192023103031323538394041481115[[#This Row],[الدفعات]]</f>
        <v>93298.37</v>
      </c>
      <c r="P276" s="48"/>
    </row>
    <row r="277" spans="10:16" s="1" customFormat="1" ht="22.5" customHeight="1" x14ac:dyDescent="0.3">
      <c r="J277" s="1">
        <f>0.03*Table118192023103031323538394041481115[[#This Row],[النولون]]</f>
        <v>0</v>
      </c>
      <c r="L27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77" s="1">
        <f>N276+Table118192023103031323538394041481115[[#This Row],[اجمالي الفاتوره]]-Table118192023103031323538394041481115[[#This Row],[الدفعات]]</f>
        <v>93298.37</v>
      </c>
      <c r="P277" s="48"/>
    </row>
    <row r="278" spans="10:16" s="1" customFormat="1" ht="22.5" customHeight="1" x14ac:dyDescent="0.3">
      <c r="J278" s="1">
        <f>0.03*Table118192023103031323538394041481115[[#This Row],[النولون]]</f>
        <v>0</v>
      </c>
      <c r="L27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78" s="1">
        <f>N277+Table118192023103031323538394041481115[[#This Row],[اجمالي الفاتوره]]-Table118192023103031323538394041481115[[#This Row],[الدفعات]]</f>
        <v>93298.37</v>
      </c>
      <c r="P278" s="48"/>
    </row>
    <row r="279" spans="10:16" s="1" customFormat="1" ht="22.5" customHeight="1" x14ac:dyDescent="0.3">
      <c r="J279" s="1">
        <f>0.03*Table118192023103031323538394041481115[[#This Row],[النولون]]</f>
        <v>0</v>
      </c>
      <c r="L27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79" s="1">
        <f>N278+Table118192023103031323538394041481115[[#This Row],[اجمالي الفاتوره]]-Table118192023103031323538394041481115[[#This Row],[الدفعات]]</f>
        <v>93298.37</v>
      </c>
      <c r="P279" s="48"/>
    </row>
    <row r="280" spans="10:16" s="1" customFormat="1" ht="22.5" customHeight="1" x14ac:dyDescent="0.3">
      <c r="J280" s="1">
        <f>0.03*Table118192023103031323538394041481115[[#This Row],[النولون]]</f>
        <v>0</v>
      </c>
      <c r="L28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80" s="1">
        <f>N279+Table118192023103031323538394041481115[[#This Row],[اجمالي الفاتوره]]-Table118192023103031323538394041481115[[#This Row],[الدفعات]]</f>
        <v>93298.37</v>
      </c>
      <c r="P280" s="48"/>
    </row>
    <row r="281" spans="10:16" s="1" customFormat="1" ht="22.5" customHeight="1" x14ac:dyDescent="0.3">
      <c r="J281" s="1">
        <f>0.03*Table118192023103031323538394041481115[[#This Row],[النولون]]</f>
        <v>0</v>
      </c>
      <c r="L28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81" s="1">
        <f>N280+Table118192023103031323538394041481115[[#This Row],[اجمالي الفاتوره]]-Table118192023103031323538394041481115[[#This Row],[الدفعات]]</f>
        <v>93298.37</v>
      </c>
      <c r="P281" s="48"/>
    </row>
    <row r="282" spans="10:16" s="1" customFormat="1" ht="22.5" customHeight="1" x14ac:dyDescent="0.3">
      <c r="J282" s="1">
        <f>0.03*Table118192023103031323538394041481115[[#This Row],[النولون]]</f>
        <v>0</v>
      </c>
      <c r="L28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82" s="1">
        <f>N281+Table118192023103031323538394041481115[[#This Row],[اجمالي الفاتوره]]-Table118192023103031323538394041481115[[#This Row],[الدفعات]]</f>
        <v>93298.37</v>
      </c>
      <c r="P282" s="48"/>
    </row>
    <row r="283" spans="10:16" s="1" customFormat="1" ht="22.5" customHeight="1" x14ac:dyDescent="0.3">
      <c r="J283" s="1">
        <f>0.03*Table118192023103031323538394041481115[[#This Row],[النولون]]</f>
        <v>0</v>
      </c>
      <c r="L28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83" s="1">
        <f>N282+Table118192023103031323538394041481115[[#This Row],[اجمالي الفاتوره]]-Table118192023103031323538394041481115[[#This Row],[الدفعات]]</f>
        <v>93298.37</v>
      </c>
      <c r="P283" s="48"/>
    </row>
    <row r="284" spans="10:16" s="1" customFormat="1" ht="22.5" customHeight="1" x14ac:dyDescent="0.3">
      <c r="J284" s="1">
        <f>0.03*Table118192023103031323538394041481115[[#This Row],[النولون]]</f>
        <v>0</v>
      </c>
      <c r="L28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84" s="1">
        <f>N283+Table118192023103031323538394041481115[[#This Row],[اجمالي الفاتوره]]-Table118192023103031323538394041481115[[#This Row],[الدفعات]]</f>
        <v>93298.37</v>
      </c>
      <c r="P284" s="48"/>
    </row>
    <row r="285" spans="10:16" s="1" customFormat="1" ht="22.5" customHeight="1" x14ac:dyDescent="0.3">
      <c r="J285" s="1">
        <f>0.03*Table118192023103031323538394041481115[[#This Row],[النولون]]</f>
        <v>0</v>
      </c>
      <c r="L28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85" s="1">
        <f>N284+Table118192023103031323538394041481115[[#This Row],[اجمالي الفاتوره]]-Table118192023103031323538394041481115[[#This Row],[الدفعات]]</f>
        <v>93298.37</v>
      </c>
      <c r="P285" s="48"/>
    </row>
    <row r="286" spans="10:16" s="1" customFormat="1" ht="22.5" customHeight="1" x14ac:dyDescent="0.3">
      <c r="J286" s="1">
        <f>0.03*Table118192023103031323538394041481115[[#This Row],[النولون]]</f>
        <v>0</v>
      </c>
      <c r="L28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86" s="1">
        <f>N285+Table118192023103031323538394041481115[[#This Row],[اجمالي الفاتوره]]-Table118192023103031323538394041481115[[#This Row],[الدفعات]]</f>
        <v>93298.37</v>
      </c>
      <c r="P286" s="48"/>
    </row>
    <row r="287" spans="10:16" s="1" customFormat="1" ht="22.5" customHeight="1" x14ac:dyDescent="0.3">
      <c r="J287" s="1">
        <f>0.03*Table118192023103031323538394041481115[[#This Row],[النولون]]</f>
        <v>0</v>
      </c>
      <c r="L28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87" s="1">
        <f>N286+Table118192023103031323538394041481115[[#This Row],[اجمالي الفاتوره]]-Table118192023103031323538394041481115[[#This Row],[الدفعات]]</f>
        <v>93298.37</v>
      </c>
      <c r="P287" s="48"/>
    </row>
    <row r="288" spans="10:16" s="1" customFormat="1" ht="22.5" customHeight="1" x14ac:dyDescent="0.3">
      <c r="J288" s="1">
        <f>0.03*Table118192023103031323538394041481115[[#This Row],[النولون]]</f>
        <v>0</v>
      </c>
      <c r="L28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88" s="1">
        <f>N287+Table118192023103031323538394041481115[[#This Row],[اجمالي الفاتوره]]-Table118192023103031323538394041481115[[#This Row],[الدفعات]]</f>
        <v>93298.37</v>
      </c>
      <c r="P288" s="48"/>
    </row>
    <row r="289" spans="10:16" s="1" customFormat="1" ht="22.5" customHeight="1" x14ac:dyDescent="0.3">
      <c r="J289" s="1">
        <f>0.03*Table118192023103031323538394041481115[[#This Row],[النولون]]</f>
        <v>0</v>
      </c>
      <c r="L28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89" s="1">
        <f>N288+Table118192023103031323538394041481115[[#This Row],[اجمالي الفاتوره]]-Table118192023103031323538394041481115[[#This Row],[الدفعات]]</f>
        <v>93298.37</v>
      </c>
      <c r="P289" s="48"/>
    </row>
    <row r="290" spans="10:16" s="1" customFormat="1" ht="22.5" customHeight="1" x14ac:dyDescent="0.3">
      <c r="J290" s="1">
        <f>0.03*Table118192023103031323538394041481115[[#This Row],[النولون]]</f>
        <v>0</v>
      </c>
      <c r="L29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90" s="1">
        <f>N289+Table118192023103031323538394041481115[[#This Row],[اجمالي الفاتوره]]-Table118192023103031323538394041481115[[#This Row],[الدفعات]]</f>
        <v>93298.37</v>
      </c>
      <c r="P290" s="48"/>
    </row>
    <row r="291" spans="10:16" s="1" customFormat="1" ht="22.5" customHeight="1" x14ac:dyDescent="0.3">
      <c r="J291" s="1">
        <f>0.03*Table118192023103031323538394041481115[[#This Row],[النولون]]</f>
        <v>0</v>
      </c>
      <c r="L29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91" s="1">
        <f>N290+Table118192023103031323538394041481115[[#This Row],[اجمالي الفاتوره]]-Table118192023103031323538394041481115[[#This Row],[الدفعات]]</f>
        <v>93298.37</v>
      </c>
      <c r="P291" s="48"/>
    </row>
    <row r="292" spans="10:16" s="1" customFormat="1" ht="22.5" customHeight="1" x14ac:dyDescent="0.3">
      <c r="J292" s="1">
        <f>0.03*Table118192023103031323538394041481115[[#This Row],[النولون]]</f>
        <v>0</v>
      </c>
      <c r="L29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92" s="1">
        <f>N291+Table118192023103031323538394041481115[[#This Row],[اجمالي الفاتوره]]-Table118192023103031323538394041481115[[#This Row],[الدفعات]]</f>
        <v>93298.37</v>
      </c>
      <c r="P292" s="48"/>
    </row>
    <row r="293" spans="10:16" s="1" customFormat="1" ht="22.5" customHeight="1" x14ac:dyDescent="0.3">
      <c r="J293" s="1">
        <f>0.03*Table118192023103031323538394041481115[[#This Row],[النولون]]</f>
        <v>0</v>
      </c>
      <c r="L29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93" s="1">
        <f>N292+Table118192023103031323538394041481115[[#This Row],[اجمالي الفاتوره]]-Table118192023103031323538394041481115[[#This Row],[الدفعات]]</f>
        <v>93298.37</v>
      </c>
      <c r="P293" s="48"/>
    </row>
    <row r="294" spans="10:16" s="1" customFormat="1" ht="22.5" customHeight="1" x14ac:dyDescent="0.3">
      <c r="J294" s="1">
        <f>0.03*Table118192023103031323538394041481115[[#This Row],[النولون]]</f>
        <v>0</v>
      </c>
      <c r="L29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94" s="1">
        <f>N293+Table118192023103031323538394041481115[[#This Row],[اجمالي الفاتوره]]-Table118192023103031323538394041481115[[#This Row],[الدفعات]]</f>
        <v>93298.37</v>
      </c>
      <c r="P294" s="48"/>
    </row>
    <row r="295" spans="10:16" s="1" customFormat="1" ht="22.5" customHeight="1" x14ac:dyDescent="0.3">
      <c r="J295" s="1">
        <f>0.03*Table118192023103031323538394041481115[[#This Row],[النولون]]</f>
        <v>0</v>
      </c>
      <c r="L29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95" s="1">
        <f>N294+Table118192023103031323538394041481115[[#This Row],[اجمالي الفاتوره]]-Table118192023103031323538394041481115[[#This Row],[الدفعات]]</f>
        <v>93298.37</v>
      </c>
      <c r="P295" s="48"/>
    </row>
    <row r="296" spans="10:16" s="1" customFormat="1" ht="22.5" customHeight="1" x14ac:dyDescent="0.3">
      <c r="J296" s="1">
        <f>0.03*Table118192023103031323538394041481115[[#This Row],[النولون]]</f>
        <v>0</v>
      </c>
      <c r="L29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96" s="1">
        <f>N295+Table118192023103031323538394041481115[[#This Row],[اجمالي الفاتوره]]-Table118192023103031323538394041481115[[#This Row],[الدفعات]]</f>
        <v>93298.37</v>
      </c>
      <c r="P296" s="48"/>
    </row>
    <row r="297" spans="10:16" s="1" customFormat="1" ht="22.5" customHeight="1" x14ac:dyDescent="0.3">
      <c r="J297" s="1">
        <f>0.03*Table118192023103031323538394041481115[[#This Row],[النولون]]</f>
        <v>0</v>
      </c>
      <c r="L29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97" s="1">
        <f>N296+Table118192023103031323538394041481115[[#This Row],[اجمالي الفاتوره]]-Table118192023103031323538394041481115[[#This Row],[الدفعات]]</f>
        <v>93298.37</v>
      </c>
      <c r="P297" s="48"/>
    </row>
    <row r="298" spans="10:16" s="1" customFormat="1" ht="22.5" customHeight="1" x14ac:dyDescent="0.3">
      <c r="J298" s="1">
        <f>0.03*Table118192023103031323538394041481115[[#This Row],[النولون]]</f>
        <v>0</v>
      </c>
      <c r="L29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98" s="1">
        <f>N297+Table118192023103031323538394041481115[[#This Row],[اجمالي الفاتوره]]-Table118192023103031323538394041481115[[#This Row],[الدفعات]]</f>
        <v>93298.37</v>
      </c>
      <c r="P298" s="48"/>
    </row>
    <row r="299" spans="10:16" s="1" customFormat="1" ht="22.5" customHeight="1" x14ac:dyDescent="0.3">
      <c r="J299" s="1">
        <f>0.03*Table118192023103031323538394041481115[[#This Row],[النولون]]</f>
        <v>0</v>
      </c>
      <c r="L29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299" s="1">
        <f>N298+Table118192023103031323538394041481115[[#This Row],[اجمالي الفاتوره]]-Table118192023103031323538394041481115[[#This Row],[الدفعات]]</f>
        <v>93298.37</v>
      </c>
      <c r="P299" s="48"/>
    </row>
    <row r="300" spans="10:16" s="1" customFormat="1" ht="22.5" customHeight="1" x14ac:dyDescent="0.3">
      <c r="J300" s="1">
        <f>0.03*Table118192023103031323538394041481115[[#This Row],[النولون]]</f>
        <v>0</v>
      </c>
      <c r="L30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00" s="1">
        <f>N299+Table118192023103031323538394041481115[[#This Row],[اجمالي الفاتوره]]-Table118192023103031323538394041481115[[#This Row],[الدفعات]]</f>
        <v>93298.37</v>
      </c>
      <c r="P300" s="48"/>
    </row>
    <row r="301" spans="10:16" s="1" customFormat="1" ht="22.5" customHeight="1" x14ac:dyDescent="0.3">
      <c r="J301" s="1">
        <f>0.03*Table118192023103031323538394041481115[[#This Row],[النولون]]</f>
        <v>0</v>
      </c>
      <c r="L30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01" s="1">
        <f>N300+Table118192023103031323538394041481115[[#This Row],[اجمالي الفاتوره]]-Table118192023103031323538394041481115[[#This Row],[الدفعات]]</f>
        <v>93298.37</v>
      </c>
      <c r="P301" s="48"/>
    </row>
    <row r="302" spans="10:16" s="1" customFormat="1" ht="22.5" customHeight="1" x14ac:dyDescent="0.3">
      <c r="J302" s="1">
        <f>0.03*Table118192023103031323538394041481115[[#This Row],[النولون]]</f>
        <v>0</v>
      </c>
      <c r="L30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02" s="1">
        <f>N301+Table118192023103031323538394041481115[[#This Row],[اجمالي الفاتوره]]-Table118192023103031323538394041481115[[#This Row],[الدفعات]]</f>
        <v>93298.37</v>
      </c>
      <c r="P302" s="48"/>
    </row>
    <row r="303" spans="10:16" s="1" customFormat="1" ht="22.5" customHeight="1" x14ac:dyDescent="0.3">
      <c r="J303" s="1">
        <f>0.03*Table118192023103031323538394041481115[[#This Row],[النولون]]</f>
        <v>0</v>
      </c>
      <c r="L30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03" s="1">
        <f>N302+Table118192023103031323538394041481115[[#This Row],[اجمالي الفاتوره]]-Table118192023103031323538394041481115[[#This Row],[الدفعات]]</f>
        <v>93298.37</v>
      </c>
      <c r="P303" s="48"/>
    </row>
    <row r="304" spans="10:16" s="1" customFormat="1" ht="22.5" customHeight="1" x14ac:dyDescent="0.3">
      <c r="J304" s="1">
        <f>0.03*Table118192023103031323538394041481115[[#This Row],[النولون]]</f>
        <v>0</v>
      </c>
      <c r="L30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04" s="1">
        <f>N303+Table118192023103031323538394041481115[[#This Row],[اجمالي الفاتوره]]-Table118192023103031323538394041481115[[#This Row],[الدفعات]]</f>
        <v>93298.37</v>
      </c>
      <c r="P304" s="48"/>
    </row>
    <row r="305" spans="10:16" s="1" customFormat="1" ht="22.5" customHeight="1" x14ac:dyDescent="0.3">
      <c r="J305" s="1">
        <f>0.03*Table118192023103031323538394041481115[[#This Row],[النولون]]</f>
        <v>0</v>
      </c>
      <c r="L30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05" s="1">
        <f>N304+Table118192023103031323538394041481115[[#This Row],[اجمالي الفاتوره]]-Table118192023103031323538394041481115[[#This Row],[الدفعات]]</f>
        <v>93298.37</v>
      </c>
      <c r="P305" s="48"/>
    </row>
    <row r="306" spans="10:16" s="1" customFormat="1" ht="22.5" customHeight="1" x14ac:dyDescent="0.3">
      <c r="J306" s="1">
        <f>0.03*Table118192023103031323538394041481115[[#This Row],[النولون]]</f>
        <v>0</v>
      </c>
      <c r="L30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06" s="1">
        <f>N305+Table118192023103031323538394041481115[[#This Row],[اجمالي الفاتوره]]-Table118192023103031323538394041481115[[#This Row],[الدفعات]]</f>
        <v>93298.37</v>
      </c>
      <c r="P306" s="48"/>
    </row>
    <row r="307" spans="10:16" s="1" customFormat="1" ht="22.5" customHeight="1" x14ac:dyDescent="0.3">
      <c r="J307" s="1">
        <f>0.03*Table118192023103031323538394041481115[[#This Row],[النولون]]</f>
        <v>0</v>
      </c>
      <c r="L30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07" s="1">
        <f>N306+Table118192023103031323538394041481115[[#This Row],[اجمالي الفاتوره]]-Table118192023103031323538394041481115[[#This Row],[الدفعات]]</f>
        <v>93298.37</v>
      </c>
      <c r="P307" s="48"/>
    </row>
    <row r="308" spans="10:16" s="1" customFormat="1" ht="22.5" customHeight="1" x14ac:dyDescent="0.3">
      <c r="J308" s="1">
        <f>0.03*Table118192023103031323538394041481115[[#This Row],[النولون]]</f>
        <v>0</v>
      </c>
      <c r="L30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08" s="1">
        <f>N307+Table118192023103031323538394041481115[[#This Row],[اجمالي الفاتوره]]-Table118192023103031323538394041481115[[#This Row],[الدفعات]]</f>
        <v>93298.37</v>
      </c>
      <c r="P308" s="48"/>
    </row>
    <row r="309" spans="10:16" s="1" customFormat="1" ht="22.5" customHeight="1" x14ac:dyDescent="0.3">
      <c r="J309" s="1">
        <f>0.03*Table118192023103031323538394041481115[[#This Row],[النولون]]</f>
        <v>0</v>
      </c>
      <c r="L30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09" s="1">
        <f>N308+Table118192023103031323538394041481115[[#This Row],[اجمالي الفاتوره]]-Table118192023103031323538394041481115[[#This Row],[الدفعات]]</f>
        <v>93298.37</v>
      </c>
      <c r="P309" s="48"/>
    </row>
    <row r="310" spans="10:16" s="1" customFormat="1" ht="22.5" customHeight="1" x14ac:dyDescent="0.3">
      <c r="J310" s="1">
        <f>0.03*Table118192023103031323538394041481115[[#This Row],[النولون]]</f>
        <v>0</v>
      </c>
      <c r="L31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10" s="1">
        <f>N309+Table118192023103031323538394041481115[[#This Row],[اجمالي الفاتوره]]-Table118192023103031323538394041481115[[#This Row],[الدفعات]]</f>
        <v>93298.37</v>
      </c>
      <c r="P310" s="48"/>
    </row>
    <row r="311" spans="10:16" s="1" customFormat="1" ht="22.5" customHeight="1" x14ac:dyDescent="0.3">
      <c r="J311" s="1">
        <f>0.03*Table118192023103031323538394041481115[[#This Row],[النولون]]</f>
        <v>0</v>
      </c>
      <c r="L31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11" s="1">
        <f>N310+Table118192023103031323538394041481115[[#This Row],[اجمالي الفاتوره]]-Table118192023103031323538394041481115[[#This Row],[الدفعات]]</f>
        <v>93298.37</v>
      </c>
      <c r="P311" s="48"/>
    </row>
    <row r="312" spans="10:16" s="1" customFormat="1" ht="22.5" customHeight="1" x14ac:dyDescent="0.3">
      <c r="J312" s="1">
        <f>0.03*Table118192023103031323538394041481115[[#This Row],[النولون]]</f>
        <v>0</v>
      </c>
      <c r="L31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12" s="1">
        <f>N311+Table118192023103031323538394041481115[[#This Row],[اجمالي الفاتوره]]-Table118192023103031323538394041481115[[#This Row],[الدفعات]]</f>
        <v>93298.37</v>
      </c>
      <c r="P312" s="48"/>
    </row>
    <row r="313" spans="10:16" s="1" customFormat="1" ht="22.5" customHeight="1" x14ac:dyDescent="0.3">
      <c r="J313" s="1">
        <f>0.03*Table118192023103031323538394041481115[[#This Row],[النولون]]</f>
        <v>0</v>
      </c>
      <c r="L31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13" s="1">
        <f>N312+Table118192023103031323538394041481115[[#This Row],[اجمالي الفاتوره]]-Table118192023103031323538394041481115[[#This Row],[الدفعات]]</f>
        <v>93298.37</v>
      </c>
      <c r="P313" s="48"/>
    </row>
    <row r="314" spans="10:16" s="1" customFormat="1" ht="22.5" customHeight="1" x14ac:dyDescent="0.3">
      <c r="J314" s="1">
        <f>0.03*Table118192023103031323538394041481115[[#This Row],[النولون]]</f>
        <v>0</v>
      </c>
      <c r="L31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14" s="1">
        <f>N313+Table118192023103031323538394041481115[[#This Row],[اجمالي الفاتوره]]-Table118192023103031323538394041481115[[#This Row],[الدفعات]]</f>
        <v>93298.37</v>
      </c>
      <c r="P314" s="48"/>
    </row>
    <row r="315" spans="10:16" s="1" customFormat="1" ht="22.5" customHeight="1" x14ac:dyDescent="0.3">
      <c r="J315" s="1">
        <f>0.03*Table118192023103031323538394041481115[[#This Row],[النولون]]</f>
        <v>0</v>
      </c>
      <c r="L31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15" s="1">
        <f>N314+Table118192023103031323538394041481115[[#This Row],[اجمالي الفاتوره]]-Table118192023103031323538394041481115[[#This Row],[الدفعات]]</f>
        <v>93298.37</v>
      </c>
      <c r="P315" s="48"/>
    </row>
    <row r="316" spans="10:16" s="1" customFormat="1" ht="22.5" customHeight="1" x14ac:dyDescent="0.3">
      <c r="J316" s="1">
        <f>0.03*Table118192023103031323538394041481115[[#This Row],[النولون]]</f>
        <v>0</v>
      </c>
      <c r="L31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16" s="1">
        <f>N315+Table118192023103031323538394041481115[[#This Row],[اجمالي الفاتوره]]-Table118192023103031323538394041481115[[#This Row],[الدفعات]]</f>
        <v>93298.37</v>
      </c>
      <c r="P316" s="48"/>
    </row>
    <row r="317" spans="10:16" s="1" customFormat="1" ht="22.5" customHeight="1" x14ac:dyDescent="0.3">
      <c r="J317" s="1">
        <f>0.03*Table118192023103031323538394041481115[[#This Row],[النولون]]</f>
        <v>0</v>
      </c>
      <c r="L31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17" s="1">
        <f>N316+Table118192023103031323538394041481115[[#This Row],[اجمالي الفاتوره]]-Table118192023103031323538394041481115[[#This Row],[الدفعات]]</f>
        <v>93298.37</v>
      </c>
      <c r="P317" s="48"/>
    </row>
    <row r="318" spans="10:16" s="1" customFormat="1" ht="22.5" customHeight="1" x14ac:dyDescent="0.3">
      <c r="J318" s="1">
        <f>0.03*Table118192023103031323538394041481115[[#This Row],[النولون]]</f>
        <v>0</v>
      </c>
      <c r="L31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18" s="1">
        <f>N317+Table118192023103031323538394041481115[[#This Row],[اجمالي الفاتوره]]-Table118192023103031323538394041481115[[#This Row],[الدفعات]]</f>
        <v>93298.37</v>
      </c>
      <c r="P318" s="48"/>
    </row>
    <row r="319" spans="10:16" s="1" customFormat="1" ht="22.5" customHeight="1" x14ac:dyDescent="0.3">
      <c r="J319" s="1">
        <f>0.03*Table118192023103031323538394041481115[[#This Row],[النولون]]</f>
        <v>0</v>
      </c>
      <c r="L31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19" s="1">
        <f>N318+Table118192023103031323538394041481115[[#This Row],[اجمالي الفاتوره]]-Table118192023103031323538394041481115[[#This Row],[الدفعات]]</f>
        <v>93298.37</v>
      </c>
      <c r="P319" s="48"/>
    </row>
    <row r="320" spans="10:16" s="1" customFormat="1" ht="22.5" customHeight="1" x14ac:dyDescent="0.3">
      <c r="J320" s="1">
        <f>0.03*Table118192023103031323538394041481115[[#This Row],[النولون]]</f>
        <v>0</v>
      </c>
      <c r="L32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20" s="1">
        <f>N319+Table118192023103031323538394041481115[[#This Row],[اجمالي الفاتوره]]-Table118192023103031323538394041481115[[#This Row],[الدفعات]]</f>
        <v>93298.37</v>
      </c>
      <c r="P320" s="48"/>
    </row>
    <row r="321" spans="10:16" s="1" customFormat="1" ht="22.5" customHeight="1" x14ac:dyDescent="0.3">
      <c r="J321" s="1">
        <f>0.03*Table118192023103031323538394041481115[[#This Row],[النولون]]</f>
        <v>0</v>
      </c>
      <c r="L32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21" s="1">
        <f>N320+Table118192023103031323538394041481115[[#This Row],[اجمالي الفاتوره]]-Table118192023103031323538394041481115[[#This Row],[الدفعات]]</f>
        <v>93298.37</v>
      </c>
      <c r="P321" s="48"/>
    </row>
    <row r="322" spans="10:16" s="1" customFormat="1" ht="22.5" customHeight="1" x14ac:dyDescent="0.3">
      <c r="J322" s="1">
        <f>0.03*Table118192023103031323538394041481115[[#This Row],[النولون]]</f>
        <v>0</v>
      </c>
      <c r="L32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22" s="1">
        <f>N321+Table118192023103031323538394041481115[[#This Row],[اجمالي الفاتوره]]-Table118192023103031323538394041481115[[#This Row],[الدفعات]]</f>
        <v>93298.37</v>
      </c>
      <c r="P322" s="48"/>
    </row>
    <row r="323" spans="10:16" s="1" customFormat="1" ht="22.5" customHeight="1" x14ac:dyDescent="0.3">
      <c r="J323" s="1">
        <f>0.03*Table118192023103031323538394041481115[[#This Row],[النولون]]</f>
        <v>0</v>
      </c>
      <c r="L32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23" s="1">
        <f>N322+Table118192023103031323538394041481115[[#This Row],[اجمالي الفاتوره]]-Table118192023103031323538394041481115[[#This Row],[الدفعات]]</f>
        <v>93298.37</v>
      </c>
      <c r="P323" s="48"/>
    </row>
    <row r="324" spans="10:16" s="1" customFormat="1" ht="22.5" customHeight="1" x14ac:dyDescent="0.3">
      <c r="J324" s="1">
        <f>0.03*Table118192023103031323538394041481115[[#This Row],[النولون]]</f>
        <v>0</v>
      </c>
      <c r="L32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24" s="1">
        <f>N323+Table118192023103031323538394041481115[[#This Row],[اجمالي الفاتوره]]-Table118192023103031323538394041481115[[#This Row],[الدفعات]]</f>
        <v>93298.37</v>
      </c>
      <c r="P324" s="48"/>
    </row>
    <row r="325" spans="10:16" s="1" customFormat="1" ht="22.5" customHeight="1" x14ac:dyDescent="0.3">
      <c r="J325" s="1">
        <f>0.03*Table118192023103031323538394041481115[[#This Row],[النولون]]</f>
        <v>0</v>
      </c>
      <c r="L32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25" s="1">
        <f>N324+Table118192023103031323538394041481115[[#This Row],[اجمالي الفاتوره]]-Table118192023103031323538394041481115[[#This Row],[الدفعات]]</f>
        <v>93298.37</v>
      </c>
      <c r="P325" s="48"/>
    </row>
    <row r="326" spans="10:16" s="1" customFormat="1" ht="22.5" customHeight="1" x14ac:dyDescent="0.3">
      <c r="J326" s="1">
        <f>0.03*Table118192023103031323538394041481115[[#This Row],[النولون]]</f>
        <v>0</v>
      </c>
      <c r="L32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26" s="1">
        <f>N325+Table118192023103031323538394041481115[[#This Row],[اجمالي الفاتوره]]-Table118192023103031323538394041481115[[#This Row],[الدفعات]]</f>
        <v>93298.37</v>
      </c>
      <c r="P326" s="48"/>
    </row>
    <row r="327" spans="10:16" s="1" customFormat="1" ht="22.5" customHeight="1" x14ac:dyDescent="0.3">
      <c r="J327" s="1">
        <f>0.03*Table118192023103031323538394041481115[[#This Row],[النولون]]</f>
        <v>0</v>
      </c>
      <c r="L32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27" s="1">
        <f>N326+Table118192023103031323538394041481115[[#This Row],[اجمالي الفاتوره]]-Table118192023103031323538394041481115[[#This Row],[الدفعات]]</f>
        <v>93298.37</v>
      </c>
      <c r="P327" s="48"/>
    </row>
    <row r="328" spans="10:16" s="1" customFormat="1" ht="22.5" customHeight="1" x14ac:dyDescent="0.3">
      <c r="J328" s="1">
        <f>0.03*Table118192023103031323538394041481115[[#This Row],[النولون]]</f>
        <v>0</v>
      </c>
      <c r="L32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28" s="1">
        <f>N327+Table118192023103031323538394041481115[[#This Row],[اجمالي الفاتوره]]-Table118192023103031323538394041481115[[#This Row],[الدفعات]]</f>
        <v>93298.37</v>
      </c>
      <c r="P328" s="48"/>
    </row>
    <row r="329" spans="10:16" s="1" customFormat="1" ht="22.5" customHeight="1" x14ac:dyDescent="0.3">
      <c r="J329" s="1">
        <f>0.03*Table118192023103031323538394041481115[[#This Row],[النولون]]</f>
        <v>0</v>
      </c>
      <c r="L32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29" s="1">
        <f>N328+Table118192023103031323538394041481115[[#This Row],[اجمالي الفاتوره]]-Table118192023103031323538394041481115[[#This Row],[الدفعات]]</f>
        <v>93298.37</v>
      </c>
      <c r="P329" s="48"/>
    </row>
    <row r="330" spans="10:16" s="1" customFormat="1" ht="22.5" customHeight="1" x14ac:dyDescent="0.3">
      <c r="J330" s="1">
        <f>0.03*Table118192023103031323538394041481115[[#This Row],[النولون]]</f>
        <v>0</v>
      </c>
      <c r="L33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30" s="1">
        <f>N329+Table118192023103031323538394041481115[[#This Row],[اجمالي الفاتوره]]-Table118192023103031323538394041481115[[#This Row],[الدفعات]]</f>
        <v>93298.37</v>
      </c>
      <c r="P330" s="48"/>
    </row>
    <row r="331" spans="10:16" s="1" customFormat="1" ht="22.5" customHeight="1" x14ac:dyDescent="0.3">
      <c r="J331" s="1">
        <f>0.03*Table118192023103031323538394041481115[[#This Row],[النولون]]</f>
        <v>0</v>
      </c>
      <c r="L33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31" s="1">
        <f>N330+Table118192023103031323538394041481115[[#This Row],[اجمالي الفاتوره]]-Table118192023103031323538394041481115[[#This Row],[الدفعات]]</f>
        <v>93298.37</v>
      </c>
      <c r="P331" s="48"/>
    </row>
    <row r="332" spans="10:16" s="1" customFormat="1" ht="22.5" customHeight="1" x14ac:dyDescent="0.3">
      <c r="J332" s="1">
        <f>0.03*Table118192023103031323538394041481115[[#This Row],[النولون]]</f>
        <v>0</v>
      </c>
      <c r="L33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32" s="1">
        <f>N331+Table118192023103031323538394041481115[[#This Row],[اجمالي الفاتوره]]-Table118192023103031323538394041481115[[#This Row],[الدفعات]]</f>
        <v>93298.37</v>
      </c>
      <c r="P332" s="48"/>
    </row>
    <row r="333" spans="10:16" s="1" customFormat="1" ht="22.5" customHeight="1" x14ac:dyDescent="0.3">
      <c r="J333" s="1">
        <f>0.03*Table118192023103031323538394041481115[[#This Row],[النولون]]</f>
        <v>0</v>
      </c>
      <c r="L333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33" s="1">
        <f>N332+Table118192023103031323538394041481115[[#This Row],[اجمالي الفاتوره]]-Table118192023103031323538394041481115[[#This Row],[الدفعات]]</f>
        <v>93298.37</v>
      </c>
      <c r="P333" s="48"/>
    </row>
    <row r="334" spans="10:16" s="1" customFormat="1" ht="22.5" customHeight="1" x14ac:dyDescent="0.3">
      <c r="J334" s="1">
        <f>0.03*Table118192023103031323538394041481115[[#This Row],[النولون]]</f>
        <v>0</v>
      </c>
      <c r="L334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34" s="1">
        <f>N333+Table118192023103031323538394041481115[[#This Row],[اجمالي الفاتوره]]-Table118192023103031323538394041481115[[#This Row],[الدفعات]]</f>
        <v>93298.37</v>
      </c>
      <c r="P334" s="48"/>
    </row>
    <row r="335" spans="10:16" s="1" customFormat="1" ht="22.5" customHeight="1" x14ac:dyDescent="0.3">
      <c r="J335" s="1">
        <f>0.03*Table118192023103031323538394041481115[[#This Row],[النولون]]</f>
        <v>0</v>
      </c>
      <c r="L335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35" s="1">
        <f>N334+Table118192023103031323538394041481115[[#This Row],[اجمالي الفاتوره]]-Table118192023103031323538394041481115[[#This Row],[الدفعات]]</f>
        <v>93298.37</v>
      </c>
      <c r="P335" s="48"/>
    </row>
    <row r="336" spans="10:16" s="1" customFormat="1" ht="22.5" customHeight="1" x14ac:dyDescent="0.3">
      <c r="J336" s="1">
        <f>0.03*Table118192023103031323538394041481115[[#This Row],[النولون]]</f>
        <v>0</v>
      </c>
      <c r="L336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36" s="1">
        <f>N335+Table118192023103031323538394041481115[[#This Row],[اجمالي الفاتوره]]-Table118192023103031323538394041481115[[#This Row],[الدفعات]]</f>
        <v>93298.37</v>
      </c>
      <c r="P336" s="48"/>
    </row>
    <row r="337" spans="10:16" s="1" customFormat="1" ht="22.5" customHeight="1" x14ac:dyDescent="0.3">
      <c r="J337" s="1">
        <f>0.03*Table118192023103031323538394041481115[[#This Row],[النولون]]</f>
        <v>0</v>
      </c>
      <c r="L337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37" s="1">
        <f>N336+Table118192023103031323538394041481115[[#This Row],[اجمالي الفاتوره]]-Table118192023103031323538394041481115[[#This Row],[الدفعات]]</f>
        <v>93298.37</v>
      </c>
      <c r="P337" s="48"/>
    </row>
    <row r="338" spans="10:16" s="1" customFormat="1" ht="22.5" customHeight="1" x14ac:dyDescent="0.3">
      <c r="J338" s="1">
        <f>0.03*Table118192023103031323538394041481115[[#This Row],[النولون]]</f>
        <v>0</v>
      </c>
      <c r="L338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38" s="1">
        <f>N337+Table118192023103031323538394041481115[[#This Row],[اجمالي الفاتوره]]-Table118192023103031323538394041481115[[#This Row],[الدفعات]]</f>
        <v>93298.37</v>
      </c>
      <c r="P338" s="48"/>
    </row>
    <row r="339" spans="10:16" s="1" customFormat="1" ht="22.5" customHeight="1" x14ac:dyDescent="0.3">
      <c r="J339" s="1">
        <f>0.03*Table118192023103031323538394041481115[[#This Row],[النولون]]</f>
        <v>0</v>
      </c>
      <c r="L339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39" s="1">
        <f>N338+Table118192023103031323538394041481115[[#This Row],[اجمالي الفاتوره]]-Table118192023103031323538394041481115[[#This Row],[الدفعات]]</f>
        <v>93298.37</v>
      </c>
      <c r="P339" s="48"/>
    </row>
    <row r="340" spans="10:16" s="1" customFormat="1" ht="22.5" customHeight="1" x14ac:dyDescent="0.3">
      <c r="J340" s="1">
        <f>0.03*Table118192023103031323538394041481115[[#This Row],[النولون]]</f>
        <v>0</v>
      </c>
      <c r="L340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40" s="1">
        <f>N339+Table118192023103031323538394041481115[[#This Row],[اجمالي الفاتوره]]-Table118192023103031323538394041481115[[#This Row],[الدفعات]]</f>
        <v>93298.37</v>
      </c>
      <c r="P340" s="48"/>
    </row>
    <row r="341" spans="10:16" s="1" customFormat="1" ht="22.5" customHeight="1" x14ac:dyDescent="0.3">
      <c r="J341" s="1">
        <f>0.03*Table118192023103031323538394041481115[[#This Row],[النولون]]</f>
        <v>0</v>
      </c>
      <c r="L341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41" s="1">
        <f>N340+Table118192023103031323538394041481115[[#This Row],[اجمالي الفاتوره]]-Table118192023103031323538394041481115[[#This Row],[الدفعات]]</f>
        <v>93298.37</v>
      </c>
      <c r="P341" s="48"/>
    </row>
    <row r="342" spans="10:16" s="1" customFormat="1" ht="22.5" customHeight="1" x14ac:dyDescent="0.3">
      <c r="J342" s="1">
        <f>0.03*Table118192023103031323538394041481115[[#This Row],[النولون]]</f>
        <v>0</v>
      </c>
      <c r="L342" s="1">
        <f>Table118192023103031323538394041481115[[#This Row],[النولون]]+Table118192023103031323538394041481115[[#This Row],[الايصالات]]-Table118192023103031323538394041481115[[#This Row],[خصم أ ت ص]]+Table118192023103031323538394041481115[[#This Row],[قيمة مضافة]]</f>
        <v>0</v>
      </c>
      <c r="N342" s="1">
        <f>N341+Table118192023103031323538394041481115[[#This Row],[اجمالي الفاتوره]]-Table118192023103031323538394041481115[[#This Row],[الدفعات]]</f>
        <v>93298.37</v>
      </c>
      <c r="P342" s="48"/>
    </row>
  </sheetData>
  <phoneticPr fontId="2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340"/>
  <sheetViews>
    <sheetView rightToLeft="1" workbookViewId="0">
      <selection activeCell="I10" sqref="I10"/>
    </sheetView>
  </sheetViews>
  <sheetFormatPr defaultColWidth="9.109375" defaultRowHeight="23.25" customHeight="1" x14ac:dyDescent="0.3"/>
  <cols>
    <col min="1" max="1" width="9.109375" style="6"/>
    <col min="2" max="2" width="5.44140625" style="1" customWidth="1"/>
    <col min="3" max="3" width="11" style="1" customWidth="1"/>
    <col min="4" max="4" width="15.109375" style="1" customWidth="1"/>
    <col min="5" max="5" width="11.21875" style="1" customWidth="1"/>
    <col min="6" max="6" width="13.33203125" style="1" customWidth="1"/>
    <col min="7" max="7" width="11.88671875" style="1" customWidth="1"/>
    <col min="8" max="8" width="11.6640625" style="1" customWidth="1"/>
    <col min="9" max="9" width="8.33203125" style="1" customWidth="1"/>
    <col min="10" max="10" width="10.77734375" style="1" customWidth="1"/>
    <col min="11" max="11" width="12" style="1" customWidth="1"/>
    <col min="12" max="12" width="12.77734375" style="1" customWidth="1"/>
    <col min="13" max="13" width="15.21875" style="1" customWidth="1"/>
    <col min="14" max="16384" width="9.109375" style="1"/>
  </cols>
  <sheetData>
    <row r="1" spans="1:14" ht="23.25" customHeight="1" x14ac:dyDescent="0.3">
      <c r="A1" s="6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3.25" customHeight="1" x14ac:dyDescent="0.3">
      <c r="B2" s="1">
        <v>1</v>
      </c>
      <c r="C2" s="2">
        <v>46130</v>
      </c>
      <c r="D2" s="1" t="s">
        <v>463</v>
      </c>
      <c r="E2" s="1" t="s">
        <v>203</v>
      </c>
      <c r="F2" s="1">
        <v>175074</v>
      </c>
      <c r="G2" s="1" t="s">
        <v>158</v>
      </c>
      <c r="H2" s="1">
        <f>17000*3</f>
        <v>51000</v>
      </c>
      <c r="J2" s="1">
        <f>1135*3+331.05+343.01+307.57+50*3+1639.32*3</f>
        <v>9454.59</v>
      </c>
      <c r="K2" s="1">
        <f>Table11819202310303132353839404148111518[[#This Row],[النولون]]+Table11819202310303132353839404148111518[[#This Row],[الايصالات]]+Table11819202310303132353839404148111518[[#This Row],[قيمة مضافة]]</f>
        <v>60454.59</v>
      </c>
      <c r="M2" s="1">
        <f>Table11819202310303132353839404148111518[[#This Row],[اجمالي الفاتوره]]-Table11819202310303132353839404148111518[[#This Row],[الدفعات]]</f>
        <v>60454.59</v>
      </c>
    </row>
    <row r="3" spans="1:14" ht="23.25" customHeight="1" x14ac:dyDescent="0.3">
      <c r="A3" s="74"/>
      <c r="B3" s="72"/>
      <c r="C3" s="73" t="s">
        <v>473</v>
      </c>
      <c r="D3" s="72"/>
      <c r="E3" s="72"/>
      <c r="F3" s="72"/>
      <c r="G3" s="72"/>
      <c r="H3" s="72"/>
      <c r="I3" s="72"/>
      <c r="J3" s="72"/>
      <c r="K3" s="72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L3" s="72">
        <v>10450</v>
      </c>
      <c r="M3" s="72">
        <f>M2+Table11819202310303132353839404148111518[[#This Row],[اجمالي الفاتوره]]-Table11819202310303132353839404148111518[[#This Row],[الدفعات]]</f>
        <v>50004.59</v>
      </c>
    </row>
    <row r="4" spans="1:14" ht="23.25" customHeight="1" x14ac:dyDescent="0.3">
      <c r="A4" s="74"/>
      <c r="B4" s="72"/>
      <c r="C4" s="73">
        <v>46138</v>
      </c>
      <c r="D4" s="72"/>
      <c r="E4" s="72"/>
      <c r="F4" s="72"/>
      <c r="G4" s="72"/>
      <c r="H4" s="72"/>
      <c r="I4" s="72"/>
      <c r="J4" s="72"/>
      <c r="K4" s="72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L4" s="72">
        <v>50004.59</v>
      </c>
      <c r="M4" s="72">
        <f>M3+Table11819202310303132353839404148111518[[#This Row],[اجمالي الفاتوره]]-Table11819202310303132353839404148111518[[#This Row],[الدفعات]]</f>
        <v>0</v>
      </c>
    </row>
    <row r="5" spans="1:14" ht="23.25" customHeight="1" x14ac:dyDescent="0.3">
      <c r="A5" s="74"/>
      <c r="B5" s="72"/>
      <c r="C5" s="73">
        <v>46177</v>
      </c>
      <c r="D5" s="72"/>
      <c r="E5" s="72"/>
      <c r="F5" s="72"/>
      <c r="G5" s="72"/>
      <c r="H5" s="72"/>
      <c r="I5" s="72"/>
      <c r="J5" s="72"/>
      <c r="K5" s="72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L5" s="72">
        <v>40000</v>
      </c>
      <c r="M5" s="72">
        <f>M4+Table11819202310303132353839404148111518[[#This Row],[اجمالي الفاتوره]]-Table11819202310303132353839404148111518[[#This Row],[الدفعات]]</f>
        <v>-40000</v>
      </c>
    </row>
    <row r="6" spans="1:14" ht="23.25" customHeight="1" x14ac:dyDescent="0.3">
      <c r="B6" s="1">
        <v>2</v>
      </c>
      <c r="C6" s="2">
        <v>46182</v>
      </c>
      <c r="D6" s="1" t="s">
        <v>463</v>
      </c>
      <c r="E6" s="1" t="s">
        <v>603</v>
      </c>
      <c r="F6" s="1">
        <v>264574</v>
      </c>
      <c r="G6" s="1" t="s">
        <v>91</v>
      </c>
      <c r="H6" s="1">
        <f>5*34000</f>
        <v>170000</v>
      </c>
      <c r="J6" s="1">
        <f>10000+3500*2+4*300+13*50+6*300+120+79+850*2+1610+1135+1070+1100+1105+1135+133.33+157.43+153.99+105.79+326.38+250.41+203.45+409.55+284.55</f>
        <v>31728.880000000005</v>
      </c>
      <c r="K6" s="1">
        <f>Table11819202310303132353839404148111518[[#This Row],[النولون]]+Table11819202310303132353839404148111518[[#This Row],[الايصالات]]+Table11819202310303132353839404148111518[[#This Row],[قيمة مضافة]]</f>
        <v>201728.88</v>
      </c>
      <c r="M6" s="1">
        <f>M5+Table11819202310303132353839404148111518[[#This Row],[اجمالي الفاتوره]]-Table11819202310303132353839404148111518[[#This Row],[الدفعات]]</f>
        <v>161728.88</v>
      </c>
    </row>
    <row r="7" spans="1:14" ht="23.25" customHeight="1" x14ac:dyDescent="0.3">
      <c r="A7" s="74"/>
      <c r="B7" s="94"/>
      <c r="C7" s="103">
        <v>46182</v>
      </c>
      <c r="D7" s="94"/>
      <c r="E7" s="94"/>
      <c r="F7" s="94"/>
      <c r="G7" s="94"/>
      <c r="H7" s="94"/>
      <c r="I7" s="94"/>
      <c r="J7" s="94"/>
      <c r="K7" s="94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L7" s="94">
        <v>11728.88</v>
      </c>
      <c r="M7" s="72">
        <f>M6+Table11819202310303132353839404148111518[[#This Row],[اجمالي الفاتوره]]-Table11819202310303132353839404148111518[[#This Row],[الدفعات]]</f>
        <v>150000</v>
      </c>
      <c r="N7" s="41"/>
    </row>
    <row r="8" spans="1:14" ht="23.25" customHeight="1" x14ac:dyDescent="0.3">
      <c r="B8" s="1">
        <v>3</v>
      </c>
      <c r="C8" s="2">
        <v>46187</v>
      </c>
      <c r="D8" s="1" t="s">
        <v>463</v>
      </c>
      <c r="E8" s="1" t="s">
        <v>203</v>
      </c>
      <c r="F8" s="1">
        <v>285399</v>
      </c>
      <c r="G8" s="1" t="s">
        <v>121</v>
      </c>
      <c r="H8" s="1">
        <v>16500</v>
      </c>
      <c r="J8" s="1">
        <f>850*2+1150+365.84+79</f>
        <v>3294.84</v>
      </c>
      <c r="K8" s="1">
        <f>Table11819202310303132353839404148111518[[#This Row],[النولون]]+Table11819202310303132353839404148111518[[#This Row],[الايصالات]]+Table11819202310303132353839404148111518[[#This Row],[قيمة مضافة]]</f>
        <v>19794.84</v>
      </c>
      <c r="M8" s="1">
        <f>M7+Table11819202310303132353839404148111518[[#This Row],[اجمالي الفاتوره]]-Table11819202310303132353839404148111518[[#This Row],[الدفعات]]</f>
        <v>169794.84</v>
      </c>
    </row>
    <row r="9" spans="1:14" ht="23.25" customHeight="1" x14ac:dyDescent="0.3">
      <c r="A9" s="74"/>
      <c r="B9" s="72"/>
      <c r="C9" s="73">
        <v>46187</v>
      </c>
      <c r="D9" s="72"/>
      <c r="E9" s="72"/>
      <c r="F9" s="72"/>
      <c r="G9" s="72"/>
      <c r="H9" s="72"/>
      <c r="I9" s="72"/>
      <c r="J9" s="72"/>
      <c r="K9" s="72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L9" s="72">
        <v>10000</v>
      </c>
      <c r="M9" s="72">
        <f>M8+Table11819202310303132353839404148111518[[#This Row],[اجمالي الفاتوره]]-Table11819202310303132353839404148111518[[#This Row],[الدفعات]]</f>
        <v>159794.84</v>
      </c>
    </row>
    <row r="10" spans="1:14" ht="23.25" customHeight="1" x14ac:dyDescent="0.3">
      <c r="A10" s="74"/>
      <c r="B10" s="72"/>
      <c r="C10" s="73">
        <v>46198</v>
      </c>
      <c r="D10" s="72"/>
      <c r="E10" s="85"/>
      <c r="F10" s="85"/>
      <c r="G10" s="72"/>
      <c r="H10" s="72"/>
      <c r="I10" s="72"/>
      <c r="J10" s="72"/>
      <c r="K10" s="72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L10" s="72">
        <v>59800</v>
      </c>
      <c r="M10" s="72">
        <f>M9+Table11819202310303132353839404148111518[[#This Row],[اجمالي الفاتوره]]-Table11819202310303132353839404148111518[[#This Row],[الدفعات]]</f>
        <v>99994.84</v>
      </c>
    </row>
    <row r="11" spans="1:14" ht="23.25" customHeight="1" x14ac:dyDescent="0.3">
      <c r="C11" s="2"/>
      <c r="F11" s="20"/>
      <c r="K1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1" s="1">
        <f>M10+Table11819202310303132353839404148111518[[#This Row],[اجمالي الفاتوره]]-Table11819202310303132353839404148111518[[#This Row],[الدفعات]]</f>
        <v>99994.84</v>
      </c>
    </row>
    <row r="12" spans="1:14" ht="23.25" customHeight="1" x14ac:dyDescent="0.3">
      <c r="C12" s="2"/>
      <c r="F12" s="20"/>
      <c r="K1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2" s="1">
        <f>M11+Table11819202310303132353839404148111518[[#This Row],[اجمالي الفاتوره]]-Table11819202310303132353839404148111518[[#This Row],[الدفعات]]</f>
        <v>99994.84</v>
      </c>
    </row>
    <row r="13" spans="1:14" ht="23.25" customHeight="1" x14ac:dyDescent="0.3">
      <c r="C13" s="2"/>
      <c r="K1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3" s="1">
        <f>M12+Table11819202310303132353839404148111518[[#This Row],[اجمالي الفاتوره]]-Table11819202310303132353839404148111518[[#This Row],[الدفعات]]</f>
        <v>99994.84</v>
      </c>
      <c r="N13" s="1">
        <f>SUM(K:K)-SUM(L:L)</f>
        <v>99994.84</v>
      </c>
    </row>
    <row r="14" spans="1:14" ht="23.25" customHeight="1" x14ac:dyDescent="0.3">
      <c r="B14" s="41"/>
      <c r="C14" s="45"/>
      <c r="D14" s="41"/>
      <c r="E14" s="41"/>
      <c r="F14" s="41"/>
      <c r="G14" s="41"/>
      <c r="H14" s="41"/>
      <c r="I14" s="41"/>
      <c r="J14" s="41"/>
      <c r="K14" s="4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L14" s="41"/>
      <c r="M14" s="1">
        <f>M13+Table11819202310303132353839404148111518[[#This Row],[اجمالي الفاتوره]]-Table11819202310303132353839404148111518[[#This Row],[الدفعات]]</f>
        <v>99994.84</v>
      </c>
      <c r="N14" s="41"/>
    </row>
    <row r="15" spans="1:14" ht="23.25" customHeight="1" x14ac:dyDescent="0.3">
      <c r="C15" s="2"/>
      <c r="K1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5" s="1">
        <f>M14+Table11819202310303132353839404148111518[[#This Row],[اجمالي الفاتوره]]-Table11819202310303132353839404148111518[[#This Row],[الدفعات]]</f>
        <v>99994.84</v>
      </c>
    </row>
    <row r="16" spans="1:14" ht="23.25" customHeight="1" x14ac:dyDescent="0.3">
      <c r="C16" s="2"/>
      <c r="K1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6" s="1">
        <f>M15+Table11819202310303132353839404148111518[[#This Row],[اجمالي الفاتوره]]-Table11819202310303132353839404148111518[[#This Row],[الدفعات]]</f>
        <v>99994.84</v>
      </c>
    </row>
    <row r="17" spans="1:13" ht="23.25" customHeight="1" x14ac:dyDescent="0.3">
      <c r="C17" s="2"/>
      <c r="K1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7" s="1">
        <f>M16+Table11819202310303132353839404148111518[[#This Row],[اجمالي الفاتوره]]-Table11819202310303132353839404148111518[[#This Row],[الدفعات]]</f>
        <v>99994.84</v>
      </c>
    </row>
    <row r="18" spans="1:13" ht="23.25" customHeight="1" x14ac:dyDescent="0.3">
      <c r="C18" s="2"/>
      <c r="K1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8" s="1">
        <f>M17+Table11819202310303132353839404148111518[[#This Row],[اجمالي الفاتوره]]-Table11819202310303132353839404148111518[[#This Row],[الدفعات]]</f>
        <v>99994.84</v>
      </c>
    </row>
    <row r="19" spans="1:13" ht="23.25" customHeight="1" x14ac:dyDescent="0.3">
      <c r="C19" s="2"/>
      <c r="K1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9" s="1">
        <f>M18+Table11819202310303132353839404148111518[[#This Row],[اجمالي الفاتوره]]-Table11819202310303132353839404148111518[[#This Row],[الدفعات]]</f>
        <v>99994.84</v>
      </c>
    </row>
    <row r="20" spans="1:13" ht="23.25" customHeight="1" x14ac:dyDescent="0.3">
      <c r="C20" s="2"/>
      <c r="K2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0" s="1">
        <f>M19+Table11819202310303132353839404148111518[[#This Row],[اجمالي الفاتوره]]-Table11819202310303132353839404148111518[[#This Row],[الدفعات]]</f>
        <v>99994.84</v>
      </c>
    </row>
    <row r="21" spans="1:13" ht="23.25" customHeight="1" x14ac:dyDescent="0.3">
      <c r="C21" s="2"/>
      <c r="K2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1" s="1">
        <f>M20+Table11819202310303132353839404148111518[[#This Row],[اجمالي الفاتوره]]-Table11819202310303132353839404148111518[[#This Row],[الدفعات]]</f>
        <v>99994.84</v>
      </c>
    </row>
    <row r="22" spans="1:13" ht="23.25" customHeight="1" x14ac:dyDescent="0.3">
      <c r="C22" s="2"/>
      <c r="K2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2" s="1">
        <f>M21+Table11819202310303132353839404148111518[[#This Row],[اجمالي الفاتوره]]-Table11819202310303132353839404148111518[[#This Row],[الدفعات]]</f>
        <v>99994.84</v>
      </c>
    </row>
    <row r="23" spans="1:13" ht="23.25" customHeight="1" x14ac:dyDescent="0.3">
      <c r="C23" s="2"/>
      <c r="K2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3" s="1">
        <f>M22+Table11819202310303132353839404148111518[[#This Row],[اجمالي الفاتوره]]-Table11819202310303132353839404148111518[[#This Row],[الدفعات]]</f>
        <v>99994.84</v>
      </c>
    </row>
    <row r="24" spans="1:13" ht="23.25" customHeight="1" x14ac:dyDescent="0.3">
      <c r="C24" s="2"/>
      <c r="K2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4" s="1">
        <f>M23+Table11819202310303132353839404148111518[[#This Row],[اجمالي الفاتوره]]-Table11819202310303132353839404148111518[[#This Row],[الدفعات]]</f>
        <v>99994.84</v>
      </c>
    </row>
    <row r="25" spans="1:13" ht="23.25" customHeight="1" x14ac:dyDescent="0.3">
      <c r="C25" s="2"/>
      <c r="K2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5" s="1">
        <f>M24+Table11819202310303132353839404148111518[[#This Row],[اجمالي الفاتوره]]-Table11819202310303132353839404148111518[[#This Row],[الدفعات]]</f>
        <v>99994.84</v>
      </c>
    </row>
    <row r="26" spans="1:13" ht="23.25" customHeight="1" x14ac:dyDescent="0.3">
      <c r="K2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6" s="1">
        <f>M25+Table11819202310303132353839404148111518[[#This Row],[اجمالي الفاتوره]]-Table11819202310303132353839404148111518[[#This Row],[الدفعات]]</f>
        <v>99994.84</v>
      </c>
    </row>
    <row r="27" spans="1:13" ht="23.25" customHeight="1" x14ac:dyDescent="0.3">
      <c r="K2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7" s="1">
        <f>M26+Table11819202310303132353839404148111518[[#This Row],[اجمالي الفاتوره]]-Table11819202310303132353839404148111518[[#This Row],[الدفعات]]</f>
        <v>99994.84</v>
      </c>
    </row>
    <row r="28" spans="1:13" ht="23.25" customHeight="1" x14ac:dyDescent="0.3">
      <c r="C28" s="2"/>
      <c r="K2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8" s="1">
        <f>M27+Table11819202310303132353839404148111518[[#This Row],[اجمالي الفاتوره]]-Table11819202310303132353839404148111518[[#This Row],[الدفعات]]</f>
        <v>99994.84</v>
      </c>
    </row>
    <row r="29" spans="1:13" ht="23.25" customHeight="1" x14ac:dyDescent="0.3">
      <c r="A29" s="1"/>
      <c r="C29" s="2"/>
      <c r="K2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9" s="1">
        <f>M28+Table11819202310303132353839404148111518[[#This Row],[اجمالي الفاتوره]]-Table11819202310303132353839404148111518[[#This Row],[الدفعات]]</f>
        <v>99994.84</v>
      </c>
    </row>
    <row r="30" spans="1:13" ht="23.25" customHeight="1" x14ac:dyDescent="0.3">
      <c r="A30" s="1"/>
      <c r="C30" s="2"/>
      <c r="K3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0" s="1">
        <f>M29+Table11819202310303132353839404148111518[[#This Row],[اجمالي الفاتوره]]-Table11819202310303132353839404148111518[[#This Row],[الدفعات]]</f>
        <v>99994.84</v>
      </c>
    </row>
    <row r="31" spans="1:13" ht="23.25" customHeight="1" x14ac:dyDescent="0.3">
      <c r="A31" s="1"/>
      <c r="C31" s="2"/>
      <c r="K3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1" s="1">
        <f>M30+Table11819202310303132353839404148111518[[#This Row],[اجمالي الفاتوره]]-Table11819202310303132353839404148111518[[#This Row],[الدفعات]]</f>
        <v>99994.84</v>
      </c>
    </row>
    <row r="32" spans="1:13" ht="23.25" customHeight="1" x14ac:dyDescent="0.3">
      <c r="A32" s="1"/>
      <c r="K3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2" s="1">
        <f>M31+Table11819202310303132353839404148111518[[#This Row],[اجمالي الفاتوره]]-Table11819202310303132353839404148111518[[#This Row],[الدفعات]]</f>
        <v>99994.84</v>
      </c>
    </row>
    <row r="33" spans="1:13" ht="23.25" customHeight="1" x14ac:dyDescent="0.3">
      <c r="A33" s="1"/>
      <c r="C33" s="2"/>
      <c r="K3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3" s="1">
        <f>M32+Table11819202310303132353839404148111518[[#This Row],[اجمالي الفاتوره]]-Table11819202310303132353839404148111518[[#This Row],[الدفعات]]</f>
        <v>99994.84</v>
      </c>
    </row>
    <row r="34" spans="1:13" ht="23.25" customHeight="1" x14ac:dyDescent="0.3">
      <c r="A34" s="1"/>
      <c r="K3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4" s="1">
        <f>M33+Table11819202310303132353839404148111518[[#This Row],[اجمالي الفاتوره]]-Table11819202310303132353839404148111518[[#This Row],[الدفعات]]</f>
        <v>99994.84</v>
      </c>
    </row>
    <row r="35" spans="1:13" ht="23.25" customHeight="1" x14ac:dyDescent="0.3">
      <c r="A35" s="1"/>
      <c r="K3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5" s="1">
        <f>M34+Table11819202310303132353839404148111518[[#This Row],[اجمالي الفاتوره]]-Table11819202310303132353839404148111518[[#This Row],[الدفعات]]</f>
        <v>99994.84</v>
      </c>
    </row>
    <row r="36" spans="1:13" ht="23.25" customHeight="1" x14ac:dyDescent="0.3">
      <c r="A36" s="1"/>
      <c r="K3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6" s="1">
        <f>M35+Table11819202310303132353839404148111518[[#This Row],[اجمالي الفاتوره]]-Table11819202310303132353839404148111518[[#This Row],[الدفعات]]</f>
        <v>99994.84</v>
      </c>
    </row>
    <row r="37" spans="1:13" ht="23.25" customHeight="1" x14ac:dyDescent="0.3">
      <c r="A37" s="1"/>
      <c r="C37" s="2"/>
      <c r="D37" s="2"/>
      <c r="K3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7" s="1">
        <f>M36+Table11819202310303132353839404148111518[[#This Row],[اجمالي الفاتوره]]-Table11819202310303132353839404148111518[[#This Row],[الدفعات]]</f>
        <v>99994.84</v>
      </c>
    </row>
    <row r="38" spans="1:13" ht="23.25" customHeight="1" x14ac:dyDescent="0.3">
      <c r="A38" s="1"/>
      <c r="K3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8" s="1">
        <f>M37+Table11819202310303132353839404148111518[[#This Row],[اجمالي الفاتوره]]-Table11819202310303132353839404148111518[[#This Row],[الدفعات]]</f>
        <v>99994.84</v>
      </c>
    </row>
    <row r="39" spans="1:13" ht="23.25" customHeight="1" x14ac:dyDescent="0.3">
      <c r="A39" s="1"/>
      <c r="K3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9" s="1">
        <f>M38+Table11819202310303132353839404148111518[[#This Row],[اجمالي الفاتوره]]-Table11819202310303132353839404148111518[[#This Row],[الدفعات]]</f>
        <v>99994.84</v>
      </c>
    </row>
    <row r="40" spans="1:13" ht="23.25" customHeight="1" x14ac:dyDescent="0.3">
      <c r="A40" s="1"/>
      <c r="K4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40" s="1">
        <f>M39+Table11819202310303132353839404148111518[[#This Row],[اجمالي الفاتوره]]-Table11819202310303132353839404148111518[[#This Row],[الدفعات]]</f>
        <v>99994.84</v>
      </c>
    </row>
    <row r="41" spans="1:13" ht="23.25" customHeight="1" x14ac:dyDescent="0.3">
      <c r="A41" s="1"/>
      <c r="K4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41" s="1">
        <f>M40+Table11819202310303132353839404148111518[[#This Row],[اجمالي الفاتوره]]-Table11819202310303132353839404148111518[[#This Row],[الدفعات]]</f>
        <v>99994.84</v>
      </c>
    </row>
    <row r="42" spans="1:13" ht="23.25" customHeight="1" x14ac:dyDescent="0.3">
      <c r="A42" s="1"/>
      <c r="K4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42" s="1">
        <f>M41+Table11819202310303132353839404148111518[[#This Row],[اجمالي الفاتوره]]-Table11819202310303132353839404148111518[[#This Row],[الدفعات]]</f>
        <v>99994.84</v>
      </c>
    </row>
    <row r="43" spans="1:13" ht="23.25" customHeight="1" x14ac:dyDescent="0.3">
      <c r="A43" s="1"/>
      <c r="K4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43" s="1">
        <f>M42+Table11819202310303132353839404148111518[[#This Row],[اجمالي الفاتوره]]-Table11819202310303132353839404148111518[[#This Row],[الدفعات]]</f>
        <v>99994.84</v>
      </c>
    </row>
    <row r="44" spans="1:13" ht="23.25" customHeight="1" x14ac:dyDescent="0.3">
      <c r="A44" s="1"/>
      <c r="K4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44" s="1">
        <f>M43+Table11819202310303132353839404148111518[[#This Row],[اجمالي الفاتوره]]-Table11819202310303132353839404148111518[[#This Row],[الدفعات]]</f>
        <v>99994.84</v>
      </c>
    </row>
    <row r="45" spans="1:13" ht="23.25" customHeight="1" x14ac:dyDescent="0.3">
      <c r="A45" s="1"/>
      <c r="K4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45" s="1">
        <f>M44+Table11819202310303132353839404148111518[[#This Row],[اجمالي الفاتوره]]-Table11819202310303132353839404148111518[[#This Row],[الدفعات]]</f>
        <v>99994.84</v>
      </c>
    </row>
    <row r="46" spans="1:13" ht="23.25" customHeight="1" x14ac:dyDescent="0.3">
      <c r="A46" s="1"/>
      <c r="K4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46" s="1">
        <f>M45+Table11819202310303132353839404148111518[[#This Row],[اجمالي الفاتوره]]-Table11819202310303132353839404148111518[[#This Row],[الدفعات]]</f>
        <v>99994.84</v>
      </c>
    </row>
    <row r="47" spans="1:13" ht="23.25" customHeight="1" x14ac:dyDescent="0.3">
      <c r="A47" s="1"/>
      <c r="K4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47" s="1">
        <f>M46+Table11819202310303132353839404148111518[[#This Row],[اجمالي الفاتوره]]-Table11819202310303132353839404148111518[[#This Row],[الدفعات]]</f>
        <v>99994.84</v>
      </c>
    </row>
    <row r="48" spans="1:13" ht="23.25" customHeight="1" x14ac:dyDescent="0.3">
      <c r="A48" s="1"/>
      <c r="K4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48" s="1">
        <f>M47+Table11819202310303132353839404148111518[[#This Row],[اجمالي الفاتوره]]-Table11819202310303132353839404148111518[[#This Row],[الدفعات]]</f>
        <v>99994.84</v>
      </c>
    </row>
    <row r="49" spans="1:13" ht="23.25" customHeight="1" x14ac:dyDescent="0.3">
      <c r="A49" s="1"/>
      <c r="K4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49" s="1">
        <f>M48+Table11819202310303132353839404148111518[[#This Row],[اجمالي الفاتوره]]-Table11819202310303132353839404148111518[[#This Row],[الدفعات]]</f>
        <v>99994.84</v>
      </c>
    </row>
    <row r="50" spans="1:13" ht="23.25" customHeight="1" x14ac:dyDescent="0.3">
      <c r="A50" s="1"/>
      <c r="K5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50" s="1">
        <f>M49+Table11819202310303132353839404148111518[[#This Row],[اجمالي الفاتوره]]-Table11819202310303132353839404148111518[[#This Row],[الدفعات]]</f>
        <v>99994.84</v>
      </c>
    </row>
    <row r="51" spans="1:13" ht="23.25" customHeight="1" x14ac:dyDescent="0.3">
      <c r="A51" s="1"/>
      <c r="K5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51" s="1">
        <f>M50+Table11819202310303132353839404148111518[[#This Row],[اجمالي الفاتوره]]-Table11819202310303132353839404148111518[[#This Row],[الدفعات]]</f>
        <v>99994.84</v>
      </c>
    </row>
    <row r="52" spans="1:13" ht="23.25" customHeight="1" x14ac:dyDescent="0.3">
      <c r="A52" s="1"/>
      <c r="K5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52" s="1">
        <f>M51+Table11819202310303132353839404148111518[[#This Row],[اجمالي الفاتوره]]-Table11819202310303132353839404148111518[[#This Row],[الدفعات]]</f>
        <v>99994.84</v>
      </c>
    </row>
    <row r="53" spans="1:13" ht="23.25" customHeight="1" x14ac:dyDescent="0.3">
      <c r="A53" s="1"/>
      <c r="K5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53" s="1">
        <f>M52+Table11819202310303132353839404148111518[[#This Row],[اجمالي الفاتوره]]-Table11819202310303132353839404148111518[[#This Row],[الدفعات]]</f>
        <v>99994.84</v>
      </c>
    </row>
    <row r="54" spans="1:13" ht="23.25" customHeight="1" x14ac:dyDescent="0.3">
      <c r="A54" s="1"/>
      <c r="K5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54" s="1">
        <f>M53+Table11819202310303132353839404148111518[[#This Row],[اجمالي الفاتوره]]-Table11819202310303132353839404148111518[[#This Row],[الدفعات]]</f>
        <v>99994.84</v>
      </c>
    </row>
    <row r="55" spans="1:13" ht="23.25" customHeight="1" x14ac:dyDescent="0.3">
      <c r="A55" s="1"/>
      <c r="K5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55" s="1">
        <f>M54+Table11819202310303132353839404148111518[[#This Row],[اجمالي الفاتوره]]-Table11819202310303132353839404148111518[[#This Row],[الدفعات]]</f>
        <v>99994.84</v>
      </c>
    </row>
    <row r="56" spans="1:13" ht="23.25" customHeight="1" x14ac:dyDescent="0.3">
      <c r="A56" s="1"/>
      <c r="K5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56" s="1">
        <f>M55+Table11819202310303132353839404148111518[[#This Row],[اجمالي الفاتوره]]-Table11819202310303132353839404148111518[[#This Row],[الدفعات]]</f>
        <v>99994.84</v>
      </c>
    </row>
    <row r="57" spans="1:13" ht="23.25" customHeight="1" x14ac:dyDescent="0.3">
      <c r="A57" s="1"/>
      <c r="K5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57" s="1">
        <f>M56+Table11819202310303132353839404148111518[[#This Row],[اجمالي الفاتوره]]-Table11819202310303132353839404148111518[[#This Row],[الدفعات]]</f>
        <v>99994.84</v>
      </c>
    </row>
    <row r="58" spans="1:13" ht="23.25" customHeight="1" x14ac:dyDescent="0.3">
      <c r="A58" s="1"/>
      <c r="K5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58" s="1">
        <f>M57+Table11819202310303132353839404148111518[[#This Row],[اجمالي الفاتوره]]-Table11819202310303132353839404148111518[[#This Row],[الدفعات]]</f>
        <v>99994.84</v>
      </c>
    </row>
    <row r="59" spans="1:13" ht="23.25" customHeight="1" x14ac:dyDescent="0.3">
      <c r="A59" s="1"/>
      <c r="K5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59" s="1">
        <f>M58+Table11819202310303132353839404148111518[[#This Row],[اجمالي الفاتوره]]-Table11819202310303132353839404148111518[[#This Row],[الدفعات]]</f>
        <v>99994.84</v>
      </c>
    </row>
    <row r="60" spans="1:13" ht="23.25" customHeight="1" x14ac:dyDescent="0.3">
      <c r="A60" s="1"/>
      <c r="K6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60" s="1">
        <f>M59+Table11819202310303132353839404148111518[[#This Row],[اجمالي الفاتوره]]-Table11819202310303132353839404148111518[[#This Row],[الدفعات]]</f>
        <v>99994.84</v>
      </c>
    </row>
    <row r="61" spans="1:13" ht="23.25" customHeight="1" x14ac:dyDescent="0.3">
      <c r="A61" s="1"/>
      <c r="K6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61" s="1">
        <f>M60+Table11819202310303132353839404148111518[[#This Row],[اجمالي الفاتوره]]-Table11819202310303132353839404148111518[[#This Row],[الدفعات]]</f>
        <v>99994.84</v>
      </c>
    </row>
    <row r="62" spans="1:13" ht="23.25" customHeight="1" x14ac:dyDescent="0.3">
      <c r="A62" s="1"/>
      <c r="K6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62" s="1">
        <f>M61+Table11819202310303132353839404148111518[[#This Row],[اجمالي الفاتوره]]-Table11819202310303132353839404148111518[[#This Row],[الدفعات]]</f>
        <v>99994.84</v>
      </c>
    </row>
    <row r="63" spans="1:13" ht="23.25" customHeight="1" x14ac:dyDescent="0.3">
      <c r="A63" s="1"/>
      <c r="K6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63" s="1">
        <f>M62+Table11819202310303132353839404148111518[[#This Row],[اجمالي الفاتوره]]-Table11819202310303132353839404148111518[[#This Row],[الدفعات]]</f>
        <v>99994.84</v>
      </c>
    </row>
    <row r="64" spans="1:13" ht="23.25" customHeight="1" x14ac:dyDescent="0.3">
      <c r="A64" s="1"/>
      <c r="K6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64" s="1">
        <f>M63+Table11819202310303132353839404148111518[[#This Row],[اجمالي الفاتوره]]-Table11819202310303132353839404148111518[[#This Row],[الدفعات]]</f>
        <v>99994.84</v>
      </c>
    </row>
    <row r="65" spans="11:13" s="1" customFormat="1" ht="23.25" customHeight="1" x14ac:dyDescent="0.3">
      <c r="K6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65" s="1">
        <f>M64+Table11819202310303132353839404148111518[[#This Row],[اجمالي الفاتوره]]-Table11819202310303132353839404148111518[[#This Row],[الدفعات]]</f>
        <v>99994.84</v>
      </c>
    </row>
    <row r="66" spans="11:13" s="1" customFormat="1" ht="23.25" customHeight="1" x14ac:dyDescent="0.3">
      <c r="K6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66" s="1">
        <f>M65+Table11819202310303132353839404148111518[[#This Row],[اجمالي الفاتوره]]-Table11819202310303132353839404148111518[[#This Row],[الدفعات]]</f>
        <v>99994.84</v>
      </c>
    </row>
    <row r="67" spans="11:13" s="1" customFormat="1" ht="23.25" customHeight="1" x14ac:dyDescent="0.3">
      <c r="K6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67" s="1">
        <f>M66+Table11819202310303132353839404148111518[[#This Row],[اجمالي الفاتوره]]-Table11819202310303132353839404148111518[[#This Row],[الدفعات]]</f>
        <v>99994.84</v>
      </c>
    </row>
    <row r="68" spans="11:13" s="1" customFormat="1" ht="23.25" customHeight="1" x14ac:dyDescent="0.3">
      <c r="K6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68" s="1">
        <f>M67+Table11819202310303132353839404148111518[[#This Row],[اجمالي الفاتوره]]-Table11819202310303132353839404148111518[[#This Row],[الدفعات]]</f>
        <v>99994.84</v>
      </c>
    </row>
    <row r="69" spans="11:13" s="1" customFormat="1" ht="23.25" customHeight="1" x14ac:dyDescent="0.3">
      <c r="K6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69" s="1">
        <f>M68+Table11819202310303132353839404148111518[[#This Row],[اجمالي الفاتوره]]-Table11819202310303132353839404148111518[[#This Row],[الدفعات]]</f>
        <v>99994.84</v>
      </c>
    </row>
    <row r="70" spans="11:13" s="1" customFormat="1" ht="23.25" customHeight="1" x14ac:dyDescent="0.3">
      <c r="K7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70" s="1">
        <f>M69+Table11819202310303132353839404148111518[[#This Row],[اجمالي الفاتوره]]-Table11819202310303132353839404148111518[[#This Row],[الدفعات]]</f>
        <v>99994.84</v>
      </c>
    </row>
    <row r="71" spans="11:13" s="1" customFormat="1" ht="23.25" customHeight="1" x14ac:dyDescent="0.3">
      <c r="K7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71" s="1">
        <f>M70+Table11819202310303132353839404148111518[[#This Row],[اجمالي الفاتوره]]-Table11819202310303132353839404148111518[[#This Row],[الدفعات]]</f>
        <v>99994.84</v>
      </c>
    </row>
    <row r="72" spans="11:13" s="1" customFormat="1" ht="23.25" customHeight="1" x14ac:dyDescent="0.3">
      <c r="K7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72" s="1">
        <f>M71+Table11819202310303132353839404148111518[[#This Row],[اجمالي الفاتوره]]-Table11819202310303132353839404148111518[[#This Row],[الدفعات]]</f>
        <v>99994.84</v>
      </c>
    </row>
    <row r="73" spans="11:13" s="1" customFormat="1" ht="23.25" customHeight="1" x14ac:dyDescent="0.3">
      <c r="K7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73" s="1">
        <f>M72+Table11819202310303132353839404148111518[[#This Row],[اجمالي الفاتوره]]-Table11819202310303132353839404148111518[[#This Row],[الدفعات]]</f>
        <v>99994.84</v>
      </c>
    </row>
    <row r="74" spans="11:13" s="1" customFormat="1" ht="23.25" customHeight="1" x14ac:dyDescent="0.3">
      <c r="K7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74" s="1">
        <f>M73+Table11819202310303132353839404148111518[[#This Row],[اجمالي الفاتوره]]-Table11819202310303132353839404148111518[[#This Row],[الدفعات]]</f>
        <v>99994.84</v>
      </c>
    </row>
    <row r="75" spans="11:13" s="1" customFormat="1" ht="23.25" customHeight="1" x14ac:dyDescent="0.3">
      <c r="K7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75" s="1">
        <f>M74+Table11819202310303132353839404148111518[[#This Row],[اجمالي الفاتوره]]-Table11819202310303132353839404148111518[[#This Row],[الدفعات]]</f>
        <v>99994.84</v>
      </c>
    </row>
    <row r="76" spans="11:13" s="1" customFormat="1" ht="23.25" customHeight="1" x14ac:dyDescent="0.3">
      <c r="K7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76" s="1">
        <f>M75+Table11819202310303132353839404148111518[[#This Row],[اجمالي الفاتوره]]-Table11819202310303132353839404148111518[[#This Row],[الدفعات]]</f>
        <v>99994.84</v>
      </c>
    </row>
    <row r="77" spans="11:13" s="1" customFormat="1" ht="23.25" customHeight="1" x14ac:dyDescent="0.3">
      <c r="K7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77" s="1">
        <f>M76+Table11819202310303132353839404148111518[[#This Row],[اجمالي الفاتوره]]-Table11819202310303132353839404148111518[[#This Row],[الدفعات]]</f>
        <v>99994.84</v>
      </c>
    </row>
    <row r="78" spans="11:13" s="1" customFormat="1" ht="23.25" customHeight="1" x14ac:dyDescent="0.3">
      <c r="K7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78" s="1">
        <f>M77+Table11819202310303132353839404148111518[[#This Row],[اجمالي الفاتوره]]-Table11819202310303132353839404148111518[[#This Row],[الدفعات]]</f>
        <v>99994.84</v>
      </c>
    </row>
    <row r="79" spans="11:13" s="1" customFormat="1" ht="23.25" customHeight="1" x14ac:dyDescent="0.3">
      <c r="K7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79" s="1">
        <f>M78+Table11819202310303132353839404148111518[[#This Row],[اجمالي الفاتوره]]-Table11819202310303132353839404148111518[[#This Row],[الدفعات]]</f>
        <v>99994.84</v>
      </c>
    </row>
    <row r="80" spans="11:13" s="1" customFormat="1" ht="23.25" customHeight="1" x14ac:dyDescent="0.3">
      <c r="K8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80" s="1">
        <f>M79+Table11819202310303132353839404148111518[[#This Row],[اجمالي الفاتوره]]-Table11819202310303132353839404148111518[[#This Row],[الدفعات]]</f>
        <v>99994.84</v>
      </c>
    </row>
    <row r="81" spans="11:13" s="1" customFormat="1" ht="23.25" customHeight="1" x14ac:dyDescent="0.3">
      <c r="K8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81" s="1">
        <f>M80+Table11819202310303132353839404148111518[[#This Row],[اجمالي الفاتوره]]-Table11819202310303132353839404148111518[[#This Row],[الدفعات]]</f>
        <v>99994.84</v>
      </c>
    </row>
    <row r="82" spans="11:13" s="1" customFormat="1" ht="23.25" customHeight="1" x14ac:dyDescent="0.3">
      <c r="K8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82" s="1">
        <f>M81+Table11819202310303132353839404148111518[[#This Row],[اجمالي الفاتوره]]-Table11819202310303132353839404148111518[[#This Row],[الدفعات]]</f>
        <v>99994.84</v>
      </c>
    </row>
    <row r="83" spans="11:13" s="1" customFormat="1" ht="23.25" customHeight="1" x14ac:dyDescent="0.3">
      <c r="K8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83" s="1">
        <f>M82+Table11819202310303132353839404148111518[[#This Row],[اجمالي الفاتوره]]-Table11819202310303132353839404148111518[[#This Row],[الدفعات]]</f>
        <v>99994.84</v>
      </c>
    </row>
    <row r="84" spans="11:13" s="1" customFormat="1" ht="23.25" customHeight="1" x14ac:dyDescent="0.3">
      <c r="K8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84" s="1">
        <f>M83+Table11819202310303132353839404148111518[[#This Row],[اجمالي الفاتوره]]-Table11819202310303132353839404148111518[[#This Row],[الدفعات]]</f>
        <v>99994.84</v>
      </c>
    </row>
    <row r="85" spans="11:13" s="1" customFormat="1" ht="23.25" customHeight="1" x14ac:dyDescent="0.3">
      <c r="K8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85" s="1">
        <f>M84+Table11819202310303132353839404148111518[[#This Row],[اجمالي الفاتوره]]-Table11819202310303132353839404148111518[[#This Row],[الدفعات]]</f>
        <v>99994.84</v>
      </c>
    </row>
    <row r="86" spans="11:13" s="1" customFormat="1" ht="23.25" customHeight="1" x14ac:dyDescent="0.3">
      <c r="K8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86" s="1">
        <f>M85+Table11819202310303132353839404148111518[[#This Row],[اجمالي الفاتوره]]-Table11819202310303132353839404148111518[[#This Row],[الدفعات]]</f>
        <v>99994.84</v>
      </c>
    </row>
    <row r="87" spans="11:13" s="1" customFormat="1" ht="23.25" customHeight="1" x14ac:dyDescent="0.3">
      <c r="K8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87" s="1">
        <f>M86+Table11819202310303132353839404148111518[[#This Row],[اجمالي الفاتوره]]-Table11819202310303132353839404148111518[[#This Row],[الدفعات]]</f>
        <v>99994.84</v>
      </c>
    </row>
    <row r="88" spans="11:13" s="1" customFormat="1" ht="23.25" customHeight="1" x14ac:dyDescent="0.3">
      <c r="K8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88" s="1">
        <f>M87+Table11819202310303132353839404148111518[[#This Row],[اجمالي الفاتوره]]-Table11819202310303132353839404148111518[[#This Row],[الدفعات]]</f>
        <v>99994.84</v>
      </c>
    </row>
    <row r="89" spans="11:13" s="1" customFormat="1" ht="23.25" customHeight="1" x14ac:dyDescent="0.3">
      <c r="K8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89" s="1">
        <f>M88+Table11819202310303132353839404148111518[[#This Row],[اجمالي الفاتوره]]-Table11819202310303132353839404148111518[[#This Row],[الدفعات]]</f>
        <v>99994.84</v>
      </c>
    </row>
    <row r="90" spans="11:13" s="1" customFormat="1" ht="23.25" customHeight="1" x14ac:dyDescent="0.3">
      <c r="K9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90" s="1">
        <f>M89+Table11819202310303132353839404148111518[[#This Row],[اجمالي الفاتوره]]-Table11819202310303132353839404148111518[[#This Row],[الدفعات]]</f>
        <v>99994.84</v>
      </c>
    </row>
    <row r="91" spans="11:13" s="1" customFormat="1" ht="23.25" customHeight="1" x14ac:dyDescent="0.3">
      <c r="K9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91" s="1">
        <f>M90+Table11819202310303132353839404148111518[[#This Row],[اجمالي الفاتوره]]-Table11819202310303132353839404148111518[[#This Row],[الدفعات]]</f>
        <v>99994.84</v>
      </c>
    </row>
    <row r="92" spans="11:13" s="1" customFormat="1" ht="23.25" customHeight="1" x14ac:dyDescent="0.3">
      <c r="K9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92" s="1">
        <f>M91+Table11819202310303132353839404148111518[[#This Row],[اجمالي الفاتوره]]-Table11819202310303132353839404148111518[[#This Row],[الدفعات]]</f>
        <v>99994.84</v>
      </c>
    </row>
    <row r="93" spans="11:13" s="1" customFormat="1" ht="23.25" customHeight="1" x14ac:dyDescent="0.3">
      <c r="K9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93" s="1">
        <f>M92+Table11819202310303132353839404148111518[[#This Row],[اجمالي الفاتوره]]-Table11819202310303132353839404148111518[[#This Row],[الدفعات]]</f>
        <v>99994.84</v>
      </c>
    </row>
    <row r="94" spans="11:13" s="1" customFormat="1" ht="23.25" customHeight="1" x14ac:dyDescent="0.3">
      <c r="K9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94" s="1">
        <f>M93+Table11819202310303132353839404148111518[[#This Row],[اجمالي الفاتوره]]-Table11819202310303132353839404148111518[[#This Row],[الدفعات]]</f>
        <v>99994.84</v>
      </c>
    </row>
    <row r="95" spans="11:13" s="1" customFormat="1" ht="23.25" customHeight="1" x14ac:dyDescent="0.3">
      <c r="K9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95" s="1">
        <f>M94+Table11819202310303132353839404148111518[[#This Row],[اجمالي الفاتوره]]-Table11819202310303132353839404148111518[[#This Row],[الدفعات]]</f>
        <v>99994.84</v>
      </c>
    </row>
    <row r="96" spans="11:13" s="1" customFormat="1" ht="23.25" customHeight="1" x14ac:dyDescent="0.3">
      <c r="K9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96" s="1">
        <f>M95+Table11819202310303132353839404148111518[[#This Row],[اجمالي الفاتوره]]-Table11819202310303132353839404148111518[[#This Row],[الدفعات]]</f>
        <v>99994.84</v>
      </c>
    </row>
    <row r="97" spans="11:13" s="1" customFormat="1" ht="23.25" customHeight="1" x14ac:dyDescent="0.3">
      <c r="K9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97" s="1">
        <f>M96+Table11819202310303132353839404148111518[[#This Row],[اجمالي الفاتوره]]-Table11819202310303132353839404148111518[[#This Row],[الدفعات]]</f>
        <v>99994.84</v>
      </c>
    </row>
    <row r="98" spans="11:13" s="1" customFormat="1" ht="23.25" customHeight="1" x14ac:dyDescent="0.3">
      <c r="K9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98" s="1">
        <f>M97+Table11819202310303132353839404148111518[[#This Row],[اجمالي الفاتوره]]-Table11819202310303132353839404148111518[[#This Row],[الدفعات]]</f>
        <v>99994.84</v>
      </c>
    </row>
    <row r="99" spans="11:13" s="1" customFormat="1" ht="23.25" customHeight="1" x14ac:dyDescent="0.3">
      <c r="K9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99" s="1">
        <f>M98+Table11819202310303132353839404148111518[[#This Row],[اجمالي الفاتوره]]-Table11819202310303132353839404148111518[[#This Row],[الدفعات]]</f>
        <v>99994.84</v>
      </c>
    </row>
    <row r="100" spans="11:13" s="1" customFormat="1" ht="23.25" customHeight="1" x14ac:dyDescent="0.3">
      <c r="K10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00" s="1">
        <f>M99+Table11819202310303132353839404148111518[[#This Row],[اجمالي الفاتوره]]-Table11819202310303132353839404148111518[[#This Row],[الدفعات]]</f>
        <v>99994.84</v>
      </c>
    </row>
    <row r="101" spans="11:13" s="1" customFormat="1" ht="23.25" customHeight="1" x14ac:dyDescent="0.3">
      <c r="K10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01" s="1">
        <f>M100+Table11819202310303132353839404148111518[[#This Row],[اجمالي الفاتوره]]-Table11819202310303132353839404148111518[[#This Row],[الدفعات]]</f>
        <v>99994.84</v>
      </c>
    </row>
    <row r="102" spans="11:13" s="1" customFormat="1" ht="23.25" customHeight="1" x14ac:dyDescent="0.3">
      <c r="K10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02" s="1">
        <f>M101+Table11819202310303132353839404148111518[[#This Row],[اجمالي الفاتوره]]-Table11819202310303132353839404148111518[[#This Row],[الدفعات]]</f>
        <v>99994.84</v>
      </c>
    </row>
    <row r="103" spans="11:13" s="1" customFormat="1" ht="23.25" customHeight="1" x14ac:dyDescent="0.3">
      <c r="K10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03" s="1">
        <f>M102+Table11819202310303132353839404148111518[[#This Row],[اجمالي الفاتوره]]-Table11819202310303132353839404148111518[[#This Row],[الدفعات]]</f>
        <v>99994.84</v>
      </c>
    </row>
    <row r="104" spans="11:13" s="1" customFormat="1" ht="23.25" customHeight="1" x14ac:dyDescent="0.3">
      <c r="K10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04" s="1">
        <f>M103+Table11819202310303132353839404148111518[[#This Row],[اجمالي الفاتوره]]-Table11819202310303132353839404148111518[[#This Row],[الدفعات]]</f>
        <v>99994.84</v>
      </c>
    </row>
    <row r="105" spans="11:13" s="1" customFormat="1" ht="23.25" customHeight="1" x14ac:dyDescent="0.3">
      <c r="K10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05" s="1">
        <f>M104+Table11819202310303132353839404148111518[[#This Row],[اجمالي الفاتوره]]-Table11819202310303132353839404148111518[[#This Row],[الدفعات]]</f>
        <v>99994.84</v>
      </c>
    </row>
    <row r="106" spans="11:13" s="1" customFormat="1" ht="23.25" customHeight="1" x14ac:dyDescent="0.3">
      <c r="K10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06" s="1">
        <f>M105+Table11819202310303132353839404148111518[[#This Row],[اجمالي الفاتوره]]-Table11819202310303132353839404148111518[[#This Row],[الدفعات]]</f>
        <v>99994.84</v>
      </c>
    </row>
    <row r="107" spans="11:13" s="1" customFormat="1" ht="23.25" customHeight="1" x14ac:dyDescent="0.3">
      <c r="K10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07" s="1">
        <f>M106+Table11819202310303132353839404148111518[[#This Row],[اجمالي الفاتوره]]-Table11819202310303132353839404148111518[[#This Row],[الدفعات]]</f>
        <v>99994.84</v>
      </c>
    </row>
    <row r="108" spans="11:13" s="1" customFormat="1" ht="23.25" customHeight="1" x14ac:dyDescent="0.3">
      <c r="K10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08" s="1">
        <f>M107+Table11819202310303132353839404148111518[[#This Row],[اجمالي الفاتوره]]-Table11819202310303132353839404148111518[[#This Row],[الدفعات]]</f>
        <v>99994.84</v>
      </c>
    </row>
    <row r="109" spans="11:13" s="1" customFormat="1" ht="23.25" customHeight="1" x14ac:dyDescent="0.3">
      <c r="K10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09" s="1">
        <f>M108+Table11819202310303132353839404148111518[[#This Row],[اجمالي الفاتوره]]-Table11819202310303132353839404148111518[[#This Row],[الدفعات]]</f>
        <v>99994.84</v>
      </c>
    </row>
    <row r="110" spans="11:13" s="1" customFormat="1" ht="23.25" customHeight="1" x14ac:dyDescent="0.3">
      <c r="K11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10" s="1">
        <f>M109+Table11819202310303132353839404148111518[[#This Row],[اجمالي الفاتوره]]-Table11819202310303132353839404148111518[[#This Row],[الدفعات]]</f>
        <v>99994.84</v>
      </c>
    </row>
    <row r="111" spans="11:13" s="1" customFormat="1" ht="23.25" customHeight="1" x14ac:dyDescent="0.3">
      <c r="K11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11" s="1">
        <f>M110+Table11819202310303132353839404148111518[[#This Row],[اجمالي الفاتوره]]-Table11819202310303132353839404148111518[[#This Row],[الدفعات]]</f>
        <v>99994.84</v>
      </c>
    </row>
    <row r="112" spans="11:13" s="1" customFormat="1" ht="23.25" customHeight="1" x14ac:dyDescent="0.3">
      <c r="K11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12" s="1">
        <f>M111+Table11819202310303132353839404148111518[[#This Row],[اجمالي الفاتوره]]-Table11819202310303132353839404148111518[[#This Row],[الدفعات]]</f>
        <v>99994.84</v>
      </c>
    </row>
    <row r="113" spans="11:13" s="1" customFormat="1" ht="23.25" customHeight="1" x14ac:dyDescent="0.3">
      <c r="K11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13" s="1">
        <f>M112+Table11819202310303132353839404148111518[[#This Row],[اجمالي الفاتوره]]-Table11819202310303132353839404148111518[[#This Row],[الدفعات]]</f>
        <v>99994.84</v>
      </c>
    </row>
    <row r="114" spans="11:13" s="1" customFormat="1" ht="23.25" customHeight="1" x14ac:dyDescent="0.3">
      <c r="K11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14" s="1">
        <f>M113+Table11819202310303132353839404148111518[[#This Row],[اجمالي الفاتوره]]-Table11819202310303132353839404148111518[[#This Row],[الدفعات]]</f>
        <v>99994.84</v>
      </c>
    </row>
    <row r="115" spans="11:13" s="1" customFormat="1" ht="23.25" customHeight="1" x14ac:dyDescent="0.3">
      <c r="K11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15" s="1">
        <f>M114+Table11819202310303132353839404148111518[[#This Row],[اجمالي الفاتوره]]-Table11819202310303132353839404148111518[[#This Row],[الدفعات]]</f>
        <v>99994.84</v>
      </c>
    </row>
    <row r="116" spans="11:13" s="1" customFormat="1" ht="23.25" customHeight="1" x14ac:dyDescent="0.3">
      <c r="K11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16" s="1">
        <f>M115+Table11819202310303132353839404148111518[[#This Row],[اجمالي الفاتوره]]-Table11819202310303132353839404148111518[[#This Row],[الدفعات]]</f>
        <v>99994.84</v>
      </c>
    </row>
    <row r="117" spans="11:13" s="1" customFormat="1" ht="23.25" customHeight="1" x14ac:dyDescent="0.3">
      <c r="K11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17" s="1">
        <f>M116+Table11819202310303132353839404148111518[[#This Row],[اجمالي الفاتوره]]-Table11819202310303132353839404148111518[[#This Row],[الدفعات]]</f>
        <v>99994.84</v>
      </c>
    </row>
    <row r="118" spans="11:13" s="1" customFormat="1" ht="23.25" customHeight="1" x14ac:dyDescent="0.3">
      <c r="K11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18" s="1">
        <f>M117+Table11819202310303132353839404148111518[[#This Row],[اجمالي الفاتوره]]-Table11819202310303132353839404148111518[[#This Row],[الدفعات]]</f>
        <v>99994.84</v>
      </c>
    </row>
    <row r="119" spans="11:13" s="1" customFormat="1" ht="23.25" customHeight="1" x14ac:dyDescent="0.3">
      <c r="K11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19" s="1">
        <f>M118+Table11819202310303132353839404148111518[[#This Row],[اجمالي الفاتوره]]-Table11819202310303132353839404148111518[[#This Row],[الدفعات]]</f>
        <v>99994.84</v>
      </c>
    </row>
    <row r="120" spans="11:13" s="1" customFormat="1" ht="23.25" customHeight="1" x14ac:dyDescent="0.3">
      <c r="K12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20" s="1">
        <f>M119+Table11819202310303132353839404148111518[[#This Row],[اجمالي الفاتوره]]-Table11819202310303132353839404148111518[[#This Row],[الدفعات]]</f>
        <v>99994.84</v>
      </c>
    </row>
    <row r="121" spans="11:13" s="1" customFormat="1" ht="23.25" customHeight="1" x14ac:dyDescent="0.3">
      <c r="K12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21" s="1">
        <f>M120+Table11819202310303132353839404148111518[[#This Row],[اجمالي الفاتوره]]-Table11819202310303132353839404148111518[[#This Row],[الدفعات]]</f>
        <v>99994.84</v>
      </c>
    </row>
    <row r="122" spans="11:13" s="1" customFormat="1" ht="23.25" customHeight="1" x14ac:dyDescent="0.3">
      <c r="K12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22" s="1">
        <f>M121+Table11819202310303132353839404148111518[[#This Row],[اجمالي الفاتوره]]-Table11819202310303132353839404148111518[[#This Row],[الدفعات]]</f>
        <v>99994.84</v>
      </c>
    </row>
    <row r="123" spans="11:13" s="1" customFormat="1" ht="23.25" customHeight="1" x14ac:dyDescent="0.3">
      <c r="K12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23" s="1">
        <f>M122+Table11819202310303132353839404148111518[[#This Row],[اجمالي الفاتوره]]-Table11819202310303132353839404148111518[[#This Row],[الدفعات]]</f>
        <v>99994.84</v>
      </c>
    </row>
    <row r="124" spans="11:13" s="1" customFormat="1" ht="23.25" customHeight="1" x14ac:dyDescent="0.3">
      <c r="K12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24" s="1">
        <f>M123+Table11819202310303132353839404148111518[[#This Row],[اجمالي الفاتوره]]-Table11819202310303132353839404148111518[[#This Row],[الدفعات]]</f>
        <v>99994.84</v>
      </c>
    </row>
    <row r="125" spans="11:13" s="1" customFormat="1" ht="23.25" customHeight="1" x14ac:dyDescent="0.3">
      <c r="K12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25" s="1">
        <f>M124+Table11819202310303132353839404148111518[[#This Row],[اجمالي الفاتوره]]-Table11819202310303132353839404148111518[[#This Row],[الدفعات]]</f>
        <v>99994.84</v>
      </c>
    </row>
    <row r="126" spans="11:13" s="1" customFormat="1" ht="23.25" customHeight="1" x14ac:dyDescent="0.3">
      <c r="K12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26" s="1">
        <f>M125+Table11819202310303132353839404148111518[[#This Row],[اجمالي الفاتوره]]-Table11819202310303132353839404148111518[[#This Row],[الدفعات]]</f>
        <v>99994.84</v>
      </c>
    </row>
    <row r="127" spans="11:13" s="1" customFormat="1" ht="23.25" customHeight="1" x14ac:dyDescent="0.3">
      <c r="K12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27" s="1">
        <f>M126+Table11819202310303132353839404148111518[[#This Row],[اجمالي الفاتوره]]-Table11819202310303132353839404148111518[[#This Row],[الدفعات]]</f>
        <v>99994.84</v>
      </c>
    </row>
    <row r="128" spans="11:13" s="1" customFormat="1" ht="23.25" customHeight="1" x14ac:dyDescent="0.3">
      <c r="K12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28" s="1">
        <f>M127+Table11819202310303132353839404148111518[[#This Row],[اجمالي الفاتوره]]-Table11819202310303132353839404148111518[[#This Row],[الدفعات]]</f>
        <v>99994.84</v>
      </c>
    </row>
    <row r="129" spans="11:13" s="1" customFormat="1" ht="23.25" customHeight="1" x14ac:dyDescent="0.3">
      <c r="K12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29" s="1">
        <f>M128+Table11819202310303132353839404148111518[[#This Row],[اجمالي الفاتوره]]-Table11819202310303132353839404148111518[[#This Row],[الدفعات]]</f>
        <v>99994.84</v>
      </c>
    </row>
    <row r="130" spans="11:13" s="1" customFormat="1" ht="23.25" customHeight="1" x14ac:dyDescent="0.3">
      <c r="K13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30" s="1">
        <f>M129+Table11819202310303132353839404148111518[[#This Row],[اجمالي الفاتوره]]-Table11819202310303132353839404148111518[[#This Row],[الدفعات]]</f>
        <v>99994.84</v>
      </c>
    </row>
    <row r="131" spans="11:13" s="1" customFormat="1" ht="23.25" customHeight="1" x14ac:dyDescent="0.3">
      <c r="K13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31" s="1">
        <f>M130+Table11819202310303132353839404148111518[[#This Row],[اجمالي الفاتوره]]-Table11819202310303132353839404148111518[[#This Row],[الدفعات]]</f>
        <v>99994.84</v>
      </c>
    </row>
    <row r="132" spans="11:13" s="1" customFormat="1" ht="23.25" customHeight="1" x14ac:dyDescent="0.3">
      <c r="K13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32" s="1">
        <f>M131+Table11819202310303132353839404148111518[[#This Row],[اجمالي الفاتوره]]-Table11819202310303132353839404148111518[[#This Row],[الدفعات]]</f>
        <v>99994.84</v>
      </c>
    </row>
    <row r="133" spans="11:13" s="1" customFormat="1" ht="23.25" customHeight="1" x14ac:dyDescent="0.3">
      <c r="K13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33" s="1">
        <f>M132+Table11819202310303132353839404148111518[[#This Row],[اجمالي الفاتوره]]-Table11819202310303132353839404148111518[[#This Row],[الدفعات]]</f>
        <v>99994.84</v>
      </c>
    </row>
    <row r="134" spans="11:13" s="1" customFormat="1" ht="23.25" customHeight="1" x14ac:dyDescent="0.3">
      <c r="K13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34" s="1">
        <f>M133+Table11819202310303132353839404148111518[[#This Row],[اجمالي الفاتوره]]-Table11819202310303132353839404148111518[[#This Row],[الدفعات]]</f>
        <v>99994.84</v>
      </c>
    </row>
    <row r="135" spans="11:13" s="1" customFormat="1" ht="23.25" customHeight="1" x14ac:dyDescent="0.3">
      <c r="K13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35" s="1">
        <f>M134+Table11819202310303132353839404148111518[[#This Row],[اجمالي الفاتوره]]-Table11819202310303132353839404148111518[[#This Row],[الدفعات]]</f>
        <v>99994.84</v>
      </c>
    </row>
    <row r="136" spans="11:13" s="1" customFormat="1" ht="23.25" customHeight="1" x14ac:dyDescent="0.3">
      <c r="K13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36" s="1">
        <f>M135+Table11819202310303132353839404148111518[[#This Row],[اجمالي الفاتوره]]-Table11819202310303132353839404148111518[[#This Row],[الدفعات]]</f>
        <v>99994.84</v>
      </c>
    </row>
    <row r="137" spans="11:13" s="1" customFormat="1" ht="23.25" customHeight="1" x14ac:dyDescent="0.3">
      <c r="K13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37" s="1">
        <f>M136+Table11819202310303132353839404148111518[[#This Row],[اجمالي الفاتوره]]-Table11819202310303132353839404148111518[[#This Row],[الدفعات]]</f>
        <v>99994.84</v>
      </c>
    </row>
    <row r="138" spans="11:13" s="1" customFormat="1" ht="23.25" customHeight="1" x14ac:dyDescent="0.3">
      <c r="K13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38" s="1">
        <f>M137+Table11819202310303132353839404148111518[[#This Row],[اجمالي الفاتوره]]-Table11819202310303132353839404148111518[[#This Row],[الدفعات]]</f>
        <v>99994.84</v>
      </c>
    </row>
    <row r="139" spans="11:13" s="1" customFormat="1" ht="23.25" customHeight="1" x14ac:dyDescent="0.3">
      <c r="K13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39" s="1">
        <f>M138+Table11819202310303132353839404148111518[[#This Row],[اجمالي الفاتوره]]-Table11819202310303132353839404148111518[[#This Row],[الدفعات]]</f>
        <v>99994.84</v>
      </c>
    </row>
    <row r="140" spans="11:13" s="1" customFormat="1" ht="23.25" customHeight="1" x14ac:dyDescent="0.3">
      <c r="K14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40" s="1">
        <f>M139+Table11819202310303132353839404148111518[[#This Row],[اجمالي الفاتوره]]-Table11819202310303132353839404148111518[[#This Row],[الدفعات]]</f>
        <v>99994.84</v>
      </c>
    </row>
    <row r="141" spans="11:13" s="1" customFormat="1" ht="23.25" customHeight="1" x14ac:dyDescent="0.3">
      <c r="K14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41" s="1">
        <f>M140+Table11819202310303132353839404148111518[[#This Row],[اجمالي الفاتوره]]-Table11819202310303132353839404148111518[[#This Row],[الدفعات]]</f>
        <v>99994.84</v>
      </c>
    </row>
    <row r="142" spans="11:13" s="1" customFormat="1" ht="23.25" customHeight="1" x14ac:dyDescent="0.3">
      <c r="K14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42" s="1">
        <f>M141+Table11819202310303132353839404148111518[[#This Row],[اجمالي الفاتوره]]-Table11819202310303132353839404148111518[[#This Row],[الدفعات]]</f>
        <v>99994.84</v>
      </c>
    </row>
    <row r="143" spans="11:13" s="1" customFormat="1" ht="23.25" customHeight="1" x14ac:dyDescent="0.3">
      <c r="K14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43" s="1">
        <f>M142+Table11819202310303132353839404148111518[[#This Row],[اجمالي الفاتوره]]-Table11819202310303132353839404148111518[[#This Row],[الدفعات]]</f>
        <v>99994.84</v>
      </c>
    </row>
    <row r="144" spans="11:13" s="1" customFormat="1" ht="23.25" customHeight="1" x14ac:dyDescent="0.3">
      <c r="K14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44" s="1">
        <f>M143+Table11819202310303132353839404148111518[[#This Row],[اجمالي الفاتوره]]-Table11819202310303132353839404148111518[[#This Row],[الدفعات]]</f>
        <v>99994.84</v>
      </c>
    </row>
    <row r="145" spans="11:13" s="1" customFormat="1" ht="23.25" customHeight="1" x14ac:dyDescent="0.3">
      <c r="K14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45" s="1">
        <f>M144+Table11819202310303132353839404148111518[[#This Row],[اجمالي الفاتوره]]-Table11819202310303132353839404148111518[[#This Row],[الدفعات]]</f>
        <v>99994.84</v>
      </c>
    </row>
    <row r="146" spans="11:13" s="1" customFormat="1" ht="23.25" customHeight="1" x14ac:dyDescent="0.3">
      <c r="K14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46" s="1">
        <f>M145+Table11819202310303132353839404148111518[[#This Row],[اجمالي الفاتوره]]-Table11819202310303132353839404148111518[[#This Row],[الدفعات]]</f>
        <v>99994.84</v>
      </c>
    </row>
    <row r="147" spans="11:13" s="1" customFormat="1" ht="23.25" customHeight="1" x14ac:dyDescent="0.3">
      <c r="K14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47" s="1">
        <f>M146+Table11819202310303132353839404148111518[[#This Row],[اجمالي الفاتوره]]-Table11819202310303132353839404148111518[[#This Row],[الدفعات]]</f>
        <v>99994.84</v>
      </c>
    </row>
    <row r="148" spans="11:13" s="1" customFormat="1" ht="23.25" customHeight="1" x14ac:dyDescent="0.3">
      <c r="K14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48" s="1">
        <f>M147+Table11819202310303132353839404148111518[[#This Row],[اجمالي الفاتوره]]-Table11819202310303132353839404148111518[[#This Row],[الدفعات]]</f>
        <v>99994.84</v>
      </c>
    </row>
    <row r="149" spans="11:13" s="1" customFormat="1" ht="23.25" customHeight="1" x14ac:dyDescent="0.3">
      <c r="K14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49" s="1">
        <f>M148+Table11819202310303132353839404148111518[[#This Row],[اجمالي الفاتوره]]-Table11819202310303132353839404148111518[[#This Row],[الدفعات]]</f>
        <v>99994.84</v>
      </c>
    </row>
    <row r="150" spans="11:13" s="1" customFormat="1" ht="23.25" customHeight="1" x14ac:dyDescent="0.3">
      <c r="K15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50" s="1">
        <f>M149+Table11819202310303132353839404148111518[[#This Row],[اجمالي الفاتوره]]-Table11819202310303132353839404148111518[[#This Row],[الدفعات]]</f>
        <v>99994.84</v>
      </c>
    </row>
    <row r="151" spans="11:13" s="1" customFormat="1" ht="23.25" customHeight="1" x14ac:dyDescent="0.3">
      <c r="K15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51" s="1">
        <f>M150+Table11819202310303132353839404148111518[[#This Row],[اجمالي الفاتوره]]-Table11819202310303132353839404148111518[[#This Row],[الدفعات]]</f>
        <v>99994.84</v>
      </c>
    </row>
    <row r="152" spans="11:13" s="1" customFormat="1" ht="23.25" customHeight="1" x14ac:dyDescent="0.3">
      <c r="K15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52" s="1">
        <f>M151+Table11819202310303132353839404148111518[[#This Row],[اجمالي الفاتوره]]-Table11819202310303132353839404148111518[[#This Row],[الدفعات]]</f>
        <v>99994.84</v>
      </c>
    </row>
    <row r="153" spans="11:13" s="1" customFormat="1" ht="23.25" customHeight="1" x14ac:dyDescent="0.3">
      <c r="K15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53" s="1">
        <f>M152+Table11819202310303132353839404148111518[[#This Row],[اجمالي الفاتوره]]-Table11819202310303132353839404148111518[[#This Row],[الدفعات]]</f>
        <v>99994.84</v>
      </c>
    </row>
    <row r="154" spans="11:13" s="1" customFormat="1" ht="23.25" customHeight="1" x14ac:dyDescent="0.3">
      <c r="K15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54" s="1">
        <f>M153+Table11819202310303132353839404148111518[[#This Row],[اجمالي الفاتوره]]-Table11819202310303132353839404148111518[[#This Row],[الدفعات]]</f>
        <v>99994.84</v>
      </c>
    </row>
    <row r="155" spans="11:13" s="1" customFormat="1" ht="23.25" customHeight="1" x14ac:dyDescent="0.3">
      <c r="K15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55" s="1">
        <f>M154+Table11819202310303132353839404148111518[[#This Row],[اجمالي الفاتوره]]-Table11819202310303132353839404148111518[[#This Row],[الدفعات]]</f>
        <v>99994.84</v>
      </c>
    </row>
    <row r="156" spans="11:13" s="1" customFormat="1" ht="23.25" customHeight="1" x14ac:dyDescent="0.3">
      <c r="K15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56" s="1">
        <f>M155+Table11819202310303132353839404148111518[[#This Row],[اجمالي الفاتوره]]-Table11819202310303132353839404148111518[[#This Row],[الدفعات]]</f>
        <v>99994.84</v>
      </c>
    </row>
    <row r="157" spans="11:13" s="1" customFormat="1" ht="23.25" customHeight="1" x14ac:dyDescent="0.3">
      <c r="K15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57" s="1">
        <f>M156+Table11819202310303132353839404148111518[[#This Row],[اجمالي الفاتوره]]-Table11819202310303132353839404148111518[[#This Row],[الدفعات]]</f>
        <v>99994.84</v>
      </c>
    </row>
    <row r="158" spans="11:13" s="1" customFormat="1" ht="23.25" customHeight="1" x14ac:dyDescent="0.3">
      <c r="K15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58" s="1">
        <f>M157+Table11819202310303132353839404148111518[[#This Row],[اجمالي الفاتوره]]-Table11819202310303132353839404148111518[[#This Row],[الدفعات]]</f>
        <v>99994.84</v>
      </c>
    </row>
    <row r="159" spans="11:13" s="1" customFormat="1" ht="23.25" customHeight="1" x14ac:dyDescent="0.3">
      <c r="K15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59" s="1">
        <f>M158+Table11819202310303132353839404148111518[[#This Row],[اجمالي الفاتوره]]-Table11819202310303132353839404148111518[[#This Row],[الدفعات]]</f>
        <v>99994.84</v>
      </c>
    </row>
    <row r="160" spans="11:13" s="1" customFormat="1" ht="23.25" customHeight="1" x14ac:dyDescent="0.3">
      <c r="K16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60" s="1">
        <f>M159+Table11819202310303132353839404148111518[[#This Row],[اجمالي الفاتوره]]-Table11819202310303132353839404148111518[[#This Row],[الدفعات]]</f>
        <v>99994.84</v>
      </c>
    </row>
    <row r="161" spans="11:13" s="1" customFormat="1" ht="23.25" customHeight="1" x14ac:dyDescent="0.3">
      <c r="K16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61" s="1">
        <f>M160+Table11819202310303132353839404148111518[[#This Row],[اجمالي الفاتوره]]-Table11819202310303132353839404148111518[[#This Row],[الدفعات]]</f>
        <v>99994.84</v>
      </c>
    </row>
    <row r="162" spans="11:13" s="1" customFormat="1" ht="23.25" customHeight="1" x14ac:dyDescent="0.3">
      <c r="K16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62" s="1">
        <f>M161+Table11819202310303132353839404148111518[[#This Row],[اجمالي الفاتوره]]-Table11819202310303132353839404148111518[[#This Row],[الدفعات]]</f>
        <v>99994.84</v>
      </c>
    </row>
    <row r="163" spans="11:13" s="1" customFormat="1" ht="23.25" customHeight="1" x14ac:dyDescent="0.3">
      <c r="K16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63" s="1">
        <f>M162+Table11819202310303132353839404148111518[[#This Row],[اجمالي الفاتوره]]-Table11819202310303132353839404148111518[[#This Row],[الدفعات]]</f>
        <v>99994.84</v>
      </c>
    </row>
    <row r="164" spans="11:13" s="1" customFormat="1" ht="23.25" customHeight="1" x14ac:dyDescent="0.3">
      <c r="K16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64" s="1">
        <f>M163+Table11819202310303132353839404148111518[[#This Row],[اجمالي الفاتوره]]-Table11819202310303132353839404148111518[[#This Row],[الدفعات]]</f>
        <v>99994.84</v>
      </c>
    </row>
    <row r="165" spans="11:13" s="1" customFormat="1" ht="23.25" customHeight="1" x14ac:dyDescent="0.3">
      <c r="K16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65" s="1">
        <f>M164+Table11819202310303132353839404148111518[[#This Row],[اجمالي الفاتوره]]-Table11819202310303132353839404148111518[[#This Row],[الدفعات]]</f>
        <v>99994.84</v>
      </c>
    </row>
    <row r="166" spans="11:13" s="1" customFormat="1" ht="23.25" customHeight="1" x14ac:dyDescent="0.3">
      <c r="K16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66" s="1">
        <f>M165+Table11819202310303132353839404148111518[[#This Row],[اجمالي الفاتوره]]-Table11819202310303132353839404148111518[[#This Row],[الدفعات]]</f>
        <v>99994.84</v>
      </c>
    </row>
    <row r="167" spans="11:13" s="1" customFormat="1" ht="23.25" customHeight="1" x14ac:dyDescent="0.3">
      <c r="K16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67" s="1">
        <f>M166+Table11819202310303132353839404148111518[[#This Row],[اجمالي الفاتوره]]-Table11819202310303132353839404148111518[[#This Row],[الدفعات]]</f>
        <v>99994.84</v>
      </c>
    </row>
    <row r="168" spans="11:13" s="1" customFormat="1" ht="23.25" customHeight="1" x14ac:dyDescent="0.3">
      <c r="K16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68" s="1">
        <f>M167+Table11819202310303132353839404148111518[[#This Row],[اجمالي الفاتوره]]-Table11819202310303132353839404148111518[[#This Row],[الدفعات]]</f>
        <v>99994.84</v>
      </c>
    </row>
    <row r="169" spans="11:13" s="1" customFormat="1" ht="23.25" customHeight="1" x14ac:dyDescent="0.3">
      <c r="K16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69" s="1">
        <f>M168+Table11819202310303132353839404148111518[[#This Row],[اجمالي الفاتوره]]-Table11819202310303132353839404148111518[[#This Row],[الدفعات]]</f>
        <v>99994.84</v>
      </c>
    </row>
    <row r="170" spans="11:13" s="1" customFormat="1" ht="23.25" customHeight="1" x14ac:dyDescent="0.3">
      <c r="K17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70" s="1">
        <f>M169+Table11819202310303132353839404148111518[[#This Row],[اجمالي الفاتوره]]-Table11819202310303132353839404148111518[[#This Row],[الدفعات]]</f>
        <v>99994.84</v>
      </c>
    </row>
    <row r="171" spans="11:13" s="1" customFormat="1" ht="23.25" customHeight="1" x14ac:dyDescent="0.3">
      <c r="K17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71" s="1">
        <f>M170+Table11819202310303132353839404148111518[[#This Row],[اجمالي الفاتوره]]-Table11819202310303132353839404148111518[[#This Row],[الدفعات]]</f>
        <v>99994.84</v>
      </c>
    </row>
    <row r="172" spans="11:13" s="1" customFormat="1" ht="23.25" customHeight="1" x14ac:dyDescent="0.3">
      <c r="K17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72" s="1">
        <f>M171+Table11819202310303132353839404148111518[[#This Row],[اجمالي الفاتوره]]-Table11819202310303132353839404148111518[[#This Row],[الدفعات]]</f>
        <v>99994.84</v>
      </c>
    </row>
    <row r="173" spans="11:13" s="1" customFormat="1" ht="23.25" customHeight="1" x14ac:dyDescent="0.3">
      <c r="K17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73" s="1">
        <f>M172+Table11819202310303132353839404148111518[[#This Row],[اجمالي الفاتوره]]-Table11819202310303132353839404148111518[[#This Row],[الدفعات]]</f>
        <v>99994.84</v>
      </c>
    </row>
    <row r="174" spans="11:13" s="1" customFormat="1" ht="23.25" customHeight="1" x14ac:dyDescent="0.3">
      <c r="K17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74" s="1">
        <f>M173+Table11819202310303132353839404148111518[[#This Row],[اجمالي الفاتوره]]-Table11819202310303132353839404148111518[[#This Row],[الدفعات]]</f>
        <v>99994.84</v>
      </c>
    </row>
    <row r="175" spans="11:13" s="1" customFormat="1" ht="23.25" customHeight="1" x14ac:dyDescent="0.3">
      <c r="K17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75" s="1">
        <f>M174+Table11819202310303132353839404148111518[[#This Row],[اجمالي الفاتوره]]-Table11819202310303132353839404148111518[[#This Row],[الدفعات]]</f>
        <v>99994.84</v>
      </c>
    </row>
    <row r="176" spans="11:13" s="1" customFormat="1" ht="23.25" customHeight="1" x14ac:dyDescent="0.3">
      <c r="K17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76" s="1">
        <f>M175+Table11819202310303132353839404148111518[[#This Row],[اجمالي الفاتوره]]-Table11819202310303132353839404148111518[[#This Row],[الدفعات]]</f>
        <v>99994.84</v>
      </c>
    </row>
    <row r="177" spans="11:13" s="1" customFormat="1" ht="23.25" customHeight="1" x14ac:dyDescent="0.3">
      <c r="K17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77" s="1">
        <f>M176+Table11819202310303132353839404148111518[[#This Row],[اجمالي الفاتوره]]-Table11819202310303132353839404148111518[[#This Row],[الدفعات]]</f>
        <v>99994.84</v>
      </c>
    </row>
    <row r="178" spans="11:13" s="1" customFormat="1" ht="23.25" customHeight="1" x14ac:dyDescent="0.3">
      <c r="K17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78" s="1">
        <f>M177+Table11819202310303132353839404148111518[[#This Row],[اجمالي الفاتوره]]-Table11819202310303132353839404148111518[[#This Row],[الدفعات]]</f>
        <v>99994.84</v>
      </c>
    </row>
    <row r="179" spans="11:13" s="1" customFormat="1" ht="23.25" customHeight="1" x14ac:dyDescent="0.3">
      <c r="K17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79" s="1">
        <f>M178+Table11819202310303132353839404148111518[[#This Row],[اجمالي الفاتوره]]-Table11819202310303132353839404148111518[[#This Row],[الدفعات]]</f>
        <v>99994.84</v>
      </c>
    </row>
    <row r="180" spans="11:13" s="1" customFormat="1" ht="23.25" customHeight="1" x14ac:dyDescent="0.3">
      <c r="K18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80" s="1">
        <f>M179+Table11819202310303132353839404148111518[[#This Row],[اجمالي الفاتوره]]-Table11819202310303132353839404148111518[[#This Row],[الدفعات]]</f>
        <v>99994.84</v>
      </c>
    </row>
    <row r="181" spans="11:13" s="1" customFormat="1" ht="23.25" customHeight="1" x14ac:dyDescent="0.3">
      <c r="K18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81" s="1">
        <f>M180+Table11819202310303132353839404148111518[[#This Row],[اجمالي الفاتوره]]-Table11819202310303132353839404148111518[[#This Row],[الدفعات]]</f>
        <v>99994.84</v>
      </c>
    </row>
    <row r="182" spans="11:13" s="1" customFormat="1" ht="23.25" customHeight="1" x14ac:dyDescent="0.3">
      <c r="K18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82" s="1">
        <f>M181+Table11819202310303132353839404148111518[[#This Row],[اجمالي الفاتوره]]-Table11819202310303132353839404148111518[[#This Row],[الدفعات]]</f>
        <v>99994.84</v>
      </c>
    </row>
    <row r="183" spans="11:13" s="1" customFormat="1" ht="23.25" customHeight="1" x14ac:dyDescent="0.3">
      <c r="K18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83" s="1">
        <f>M182+Table11819202310303132353839404148111518[[#This Row],[اجمالي الفاتوره]]-Table11819202310303132353839404148111518[[#This Row],[الدفعات]]</f>
        <v>99994.84</v>
      </c>
    </row>
    <row r="184" spans="11:13" s="1" customFormat="1" ht="23.25" customHeight="1" x14ac:dyDescent="0.3">
      <c r="K18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84" s="1">
        <f>M183+Table11819202310303132353839404148111518[[#This Row],[اجمالي الفاتوره]]-Table11819202310303132353839404148111518[[#This Row],[الدفعات]]</f>
        <v>99994.84</v>
      </c>
    </row>
    <row r="185" spans="11:13" s="1" customFormat="1" ht="23.25" customHeight="1" x14ac:dyDescent="0.3">
      <c r="K18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85" s="1">
        <f>M184+Table11819202310303132353839404148111518[[#This Row],[اجمالي الفاتوره]]-Table11819202310303132353839404148111518[[#This Row],[الدفعات]]</f>
        <v>99994.84</v>
      </c>
    </row>
    <row r="186" spans="11:13" s="1" customFormat="1" ht="23.25" customHeight="1" x14ac:dyDescent="0.3">
      <c r="K18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86" s="1">
        <f>M185+Table11819202310303132353839404148111518[[#This Row],[اجمالي الفاتوره]]-Table11819202310303132353839404148111518[[#This Row],[الدفعات]]</f>
        <v>99994.84</v>
      </c>
    </row>
    <row r="187" spans="11:13" s="1" customFormat="1" ht="23.25" customHeight="1" x14ac:dyDescent="0.3">
      <c r="K18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87" s="1">
        <f>M186+Table11819202310303132353839404148111518[[#This Row],[اجمالي الفاتوره]]-Table11819202310303132353839404148111518[[#This Row],[الدفعات]]</f>
        <v>99994.84</v>
      </c>
    </row>
    <row r="188" spans="11:13" s="1" customFormat="1" ht="23.25" customHeight="1" x14ac:dyDescent="0.3">
      <c r="K18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88" s="1">
        <f>M187+Table11819202310303132353839404148111518[[#This Row],[اجمالي الفاتوره]]-Table11819202310303132353839404148111518[[#This Row],[الدفعات]]</f>
        <v>99994.84</v>
      </c>
    </row>
    <row r="189" spans="11:13" s="1" customFormat="1" ht="23.25" customHeight="1" x14ac:dyDescent="0.3">
      <c r="K18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89" s="1">
        <f>M188+Table11819202310303132353839404148111518[[#This Row],[اجمالي الفاتوره]]-Table11819202310303132353839404148111518[[#This Row],[الدفعات]]</f>
        <v>99994.84</v>
      </c>
    </row>
    <row r="190" spans="11:13" s="1" customFormat="1" ht="23.25" customHeight="1" x14ac:dyDescent="0.3">
      <c r="K19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90" s="1">
        <f>M189+Table11819202310303132353839404148111518[[#This Row],[اجمالي الفاتوره]]-Table11819202310303132353839404148111518[[#This Row],[الدفعات]]</f>
        <v>99994.84</v>
      </c>
    </row>
    <row r="191" spans="11:13" s="1" customFormat="1" ht="23.25" customHeight="1" x14ac:dyDescent="0.3">
      <c r="K19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91" s="1">
        <f>M190+Table11819202310303132353839404148111518[[#This Row],[اجمالي الفاتوره]]-Table11819202310303132353839404148111518[[#This Row],[الدفعات]]</f>
        <v>99994.84</v>
      </c>
    </row>
    <row r="192" spans="11:13" s="1" customFormat="1" ht="23.25" customHeight="1" x14ac:dyDescent="0.3">
      <c r="K19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92" s="1">
        <f>M191+Table11819202310303132353839404148111518[[#This Row],[اجمالي الفاتوره]]-Table11819202310303132353839404148111518[[#This Row],[الدفعات]]</f>
        <v>99994.84</v>
      </c>
    </row>
    <row r="193" spans="11:13" s="1" customFormat="1" ht="23.25" customHeight="1" x14ac:dyDescent="0.3">
      <c r="K19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93" s="1">
        <f>M192+Table11819202310303132353839404148111518[[#This Row],[اجمالي الفاتوره]]-Table11819202310303132353839404148111518[[#This Row],[الدفعات]]</f>
        <v>99994.84</v>
      </c>
    </row>
    <row r="194" spans="11:13" s="1" customFormat="1" ht="23.25" customHeight="1" x14ac:dyDescent="0.3">
      <c r="K19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94" s="1">
        <f>M193+Table11819202310303132353839404148111518[[#This Row],[اجمالي الفاتوره]]-Table11819202310303132353839404148111518[[#This Row],[الدفعات]]</f>
        <v>99994.84</v>
      </c>
    </row>
    <row r="195" spans="11:13" s="1" customFormat="1" ht="23.25" customHeight="1" x14ac:dyDescent="0.3">
      <c r="K19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95" s="1">
        <f>M194+Table11819202310303132353839404148111518[[#This Row],[اجمالي الفاتوره]]-Table11819202310303132353839404148111518[[#This Row],[الدفعات]]</f>
        <v>99994.84</v>
      </c>
    </row>
    <row r="196" spans="11:13" s="1" customFormat="1" ht="23.25" customHeight="1" x14ac:dyDescent="0.3">
      <c r="K19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96" s="1">
        <f>M195+Table11819202310303132353839404148111518[[#This Row],[اجمالي الفاتوره]]-Table11819202310303132353839404148111518[[#This Row],[الدفعات]]</f>
        <v>99994.84</v>
      </c>
    </row>
    <row r="197" spans="11:13" s="1" customFormat="1" ht="23.25" customHeight="1" x14ac:dyDescent="0.3">
      <c r="K19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97" s="1">
        <f>M196+Table11819202310303132353839404148111518[[#This Row],[اجمالي الفاتوره]]-Table11819202310303132353839404148111518[[#This Row],[الدفعات]]</f>
        <v>99994.84</v>
      </c>
    </row>
    <row r="198" spans="11:13" s="1" customFormat="1" ht="23.25" customHeight="1" x14ac:dyDescent="0.3">
      <c r="K19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98" s="1">
        <f>M197+Table11819202310303132353839404148111518[[#This Row],[اجمالي الفاتوره]]-Table11819202310303132353839404148111518[[#This Row],[الدفعات]]</f>
        <v>99994.84</v>
      </c>
    </row>
    <row r="199" spans="11:13" s="1" customFormat="1" ht="23.25" customHeight="1" x14ac:dyDescent="0.3">
      <c r="K19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199" s="1">
        <f>M198+Table11819202310303132353839404148111518[[#This Row],[اجمالي الفاتوره]]-Table11819202310303132353839404148111518[[#This Row],[الدفعات]]</f>
        <v>99994.84</v>
      </c>
    </row>
    <row r="200" spans="11:13" s="1" customFormat="1" ht="23.25" customHeight="1" x14ac:dyDescent="0.3">
      <c r="K20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00" s="1">
        <f>M199+Table11819202310303132353839404148111518[[#This Row],[اجمالي الفاتوره]]-Table11819202310303132353839404148111518[[#This Row],[الدفعات]]</f>
        <v>99994.84</v>
      </c>
    </row>
    <row r="201" spans="11:13" s="1" customFormat="1" ht="23.25" customHeight="1" x14ac:dyDescent="0.3">
      <c r="K20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01" s="1">
        <f>M200+Table11819202310303132353839404148111518[[#This Row],[اجمالي الفاتوره]]-Table11819202310303132353839404148111518[[#This Row],[الدفعات]]</f>
        <v>99994.84</v>
      </c>
    </row>
    <row r="202" spans="11:13" s="1" customFormat="1" ht="23.25" customHeight="1" x14ac:dyDescent="0.3">
      <c r="K20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02" s="1">
        <f>M201+Table11819202310303132353839404148111518[[#This Row],[اجمالي الفاتوره]]-Table11819202310303132353839404148111518[[#This Row],[الدفعات]]</f>
        <v>99994.84</v>
      </c>
    </row>
    <row r="203" spans="11:13" s="1" customFormat="1" ht="23.25" customHeight="1" x14ac:dyDescent="0.3">
      <c r="K20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03" s="1">
        <f>M202+Table11819202310303132353839404148111518[[#This Row],[اجمالي الفاتوره]]-Table11819202310303132353839404148111518[[#This Row],[الدفعات]]</f>
        <v>99994.84</v>
      </c>
    </row>
    <row r="204" spans="11:13" s="1" customFormat="1" ht="23.25" customHeight="1" x14ac:dyDescent="0.3">
      <c r="K20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04" s="1">
        <f>M203+Table11819202310303132353839404148111518[[#This Row],[اجمالي الفاتوره]]-Table11819202310303132353839404148111518[[#This Row],[الدفعات]]</f>
        <v>99994.84</v>
      </c>
    </row>
    <row r="205" spans="11:13" s="1" customFormat="1" ht="23.25" customHeight="1" x14ac:dyDescent="0.3">
      <c r="K20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05" s="1">
        <f>M204+Table11819202310303132353839404148111518[[#This Row],[اجمالي الفاتوره]]-Table11819202310303132353839404148111518[[#This Row],[الدفعات]]</f>
        <v>99994.84</v>
      </c>
    </row>
    <row r="206" spans="11:13" s="1" customFormat="1" ht="23.25" customHeight="1" x14ac:dyDescent="0.3">
      <c r="K20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06" s="1">
        <f>M205+Table11819202310303132353839404148111518[[#This Row],[اجمالي الفاتوره]]-Table11819202310303132353839404148111518[[#This Row],[الدفعات]]</f>
        <v>99994.84</v>
      </c>
    </row>
    <row r="207" spans="11:13" s="1" customFormat="1" ht="23.25" customHeight="1" x14ac:dyDescent="0.3">
      <c r="K20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07" s="1">
        <f>M206+Table11819202310303132353839404148111518[[#This Row],[اجمالي الفاتوره]]-Table11819202310303132353839404148111518[[#This Row],[الدفعات]]</f>
        <v>99994.84</v>
      </c>
    </row>
    <row r="208" spans="11:13" s="1" customFormat="1" ht="23.25" customHeight="1" x14ac:dyDescent="0.3">
      <c r="K20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08" s="1">
        <f>M207+Table11819202310303132353839404148111518[[#This Row],[اجمالي الفاتوره]]-Table11819202310303132353839404148111518[[#This Row],[الدفعات]]</f>
        <v>99994.84</v>
      </c>
    </row>
    <row r="209" spans="11:13" s="1" customFormat="1" ht="23.25" customHeight="1" x14ac:dyDescent="0.3">
      <c r="K20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09" s="1">
        <f>M208+Table11819202310303132353839404148111518[[#This Row],[اجمالي الفاتوره]]-Table11819202310303132353839404148111518[[#This Row],[الدفعات]]</f>
        <v>99994.84</v>
      </c>
    </row>
    <row r="210" spans="11:13" s="1" customFormat="1" ht="23.25" customHeight="1" x14ac:dyDescent="0.3">
      <c r="K21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10" s="1">
        <f>M209+Table11819202310303132353839404148111518[[#This Row],[اجمالي الفاتوره]]-Table11819202310303132353839404148111518[[#This Row],[الدفعات]]</f>
        <v>99994.84</v>
      </c>
    </row>
    <row r="211" spans="11:13" s="1" customFormat="1" ht="23.25" customHeight="1" x14ac:dyDescent="0.3">
      <c r="K21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11" s="1">
        <f>M210+Table11819202310303132353839404148111518[[#This Row],[اجمالي الفاتوره]]-Table11819202310303132353839404148111518[[#This Row],[الدفعات]]</f>
        <v>99994.84</v>
      </c>
    </row>
    <row r="212" spans="11:13" s="1" customFormat="1" ht="23.25" customHeight="1" x14ac:dyDescent="0.3">
      <c r="K21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12" s="1">
        <f>M211+Table11819202310303132353839404148111518[[#This Row],[اجمالي الفاتوره]]-Table11819202310303132353839404148111518[[#This Row],[الدفعات]]</f>
        <v>99994.84</v>
      </c>
    </row>
    <row r="213" spans="11:13" s="1" customFormat="1" ht="23.25" customHeight="1" x14ac:dyDescent="0.3">
      <c r="K21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13" s="1">
        <f>M212+Table11819202310303132353839404148111518[[#This Row],[اجمالي الفاتوره]]-Table11819202310303132353839404148111518[[#This Row],[الدفعات]]</f>
        <v>99994.84</v>
      </c>
    </row>
    <row r="214" spans="11:13" s="1" customFormat="1" ht="23.25" customHeight="1" x14ac:dyDescent="0.3">
      <c r="K21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14" s="1">
        <f>M213+Table11819202310303132353839404148111518[[#This Row],[اجمالي الفاتوره]]-Table11819202310303132353839404148111518[[#This Row],[الدفعات]]</f>
        <v>99994.84</v>
      </c>
    </row>
    <row r="215" spans="11:13" s="1" customFormat="1" ht="23.25" customHeight="1" x14ac:dyDescent="0.3">
      <c r="K21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15" s="1">
        <f>M214+Table11819202310303132353839404148111518[[#This Row],[اجمالي الفاتوره]]-Table11819202310303132353839404148111518[[#This Row],[الدفعات]]</f>
        <v>99994.84</v>
      </c>
    </row>
    <row r="216" spans="11:13" s="1" customFormat="1" ht="23.25" customHeight="1" x14ac:dyDescent="0.3">
      <c r="K21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16" s="1">
        <f>M215+Table11819202310303132353839404148111518[[#This Row],[اجمالي الفاتوره]]-Table11819202310303132353839404148111518[[#This Row],[الدفعات]]</f>
        <v>99994.84</v>
      </c>
    </row>
    <row r="217" spans="11:13" s="1" customFormat="1" ht="23.25" customHeight="1" x14ac:dyDescent="0.3">
      <c r="K21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17" s="1">
        <f>M216+Table11819202310303132353839404148111518[[#This Row],[اجمالي الفاتوره]]-Table11819202310303132353839404148111518[[#This Row],[الدفعات]]</f>
        <v>99994.84</v>
      </c>
    </row>
    <row r="218" spans="11:13" s="1" customFormat="1" ht="23.25" customHeight="1" x14ac:dyDescent="0.3">
      <c r="K21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18" s="1">
        <f>M217+Table11819202310303132353839404148111518[[#This Row],[اجمالي الفاتوره]]-Table11819202310303132353839404148111518[[#This Row],[الدفعات]]</f>
        <v>99994.84</v>
      </c>
    </row>
    <row r="219" spans="11:13" s="1" customFormat="1" ht="23.25" customHeight="1" x14ac:dyDescent="0.3">
      <c r="K21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19" s="1">
        <f>M218+Table11819202310303132353839404148111518[[#This Row],[اجمالي الفاتوره]]-Table11819202310303132353839404148111518[[#This Row],[الدفعات]]</f>
        <v>99994.84</v>
      </c>
    </row>
    <row r="220" spans="11:13" s="1" customFormat="1" ht="23.25" customHeight="1" x14ac:dyDescent="0.3">
      <c r="K22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20" s="1">
        <f>M219+Table11819202310303132353839404148111518[[#This Row],[اجمالي الفاتوره]]-Table11819202310303132353839404148111518[[#This Row],[الدفعات]]</f>
        <v>99994.84</v>
      </c>
    </row>
    <row r="221" spans="11:13" s="1" customFormat="1" ht="23.25" customHeight="1" x14ac:dyDescent="0.3">
      <c r="K22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21" s="1">
        <f>M220+Table11819202310303132353839404148111518[[#This Row],[اجمالي الفاتوره]]-Table11819202310303132353839404148111518[[#This Row],[الدفعات]]</f>
        <v>99994.84</v>
      </c>
    </row>
    <row r="222" spans="11:13" s="1" customFormat="1" ht="23.25" customHeight="1" x14ac:dyDescent="0.3">
      <c r="K22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22" s="1">
        <f>M221+Table11819202310303132353839404148111518[[#This Row],[اجمالي الفاتوره]]-Table11819202310303132353839404148111518[[#This Row],[الدفعات]]</f>
        <v>99994.84</v>
      </c>
    </row>
    <row r="223" spans="11:13" s="1" customFormat="1" ht="23.25" customHeight="1" x14ac:dyDescent="0.3">
      <c r="K22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23" s="1">
        <f>M222+Table11819202310303132353839404148111518[[#This Row],[اجمالي الفاتوره]]-Table11819202310303132353839404148111518[[#This Row],[الدفعات]]</f>
        <v>99994.84</v>
      </c>
    </row>
    <row r="224" spans="11:13" s="1" customFormat="1" ht="23.25" customHeight="1" x14ac:dyDescent="0.3">
      <c r="K22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24" s="1">
        <f>M223+Table11819202310303132353839404148111518[[#This Row],[اجمالي الفاتوره]]-Table11819202310303132353839404148111518[[#This Row],[الدفعات]]</f>
        <v>99994.84</v>
      </c>
    </row>
    <row r="225" spans="11:13" s="1" customFormat="1" ht="23.25" customHeight="1" x14ac:dyDescent="0.3">
      <c r="K22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25" s="1">
        <f>M224+Table11819202310303132353839404148111518[[#This Row],[اجمالي الفاتوره]]-Table11819202310303132353839404148111518[[#This Row],[الدفعات]]</f>
        <v>99994.84</v>
      </c>
    </row>
    <row r="226" spans="11:13" s="1" customFormat="1" ht="23.25" customHeight="1" x14ac:dyDescent="0.3">
      <c r="K22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26" s="1">
        <f>M225+Table11819202310303132353839404148111518[[#This Row],[اجمالي الفاتوره]]-Table11819202310303132353839404148111518[[#This Row],[الدفعات]]</f>
        <v>99994.84</v>
      </c>
    </row>
    <row r="227" spans="11:13" s="1" customFormat="1" ht="23.25" customHeight="1" x14ac:dyDescent="0.3">
      <c r="K22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27" s="1">
        <f>M226+Table11819202310303132353839404148111518[[#This Row],[اجمالي الفاتوره]]-Table11819202310303132353839404148111518[[#This Row],[الدفعات]]</f>
        <v>99994.84</v>
      </c>
    </row>
    <row r="228" spans="11:13" s="1" customFormat="1" ht="23.25" customHeight="1" x14ac:dyDescent="0.3">
      <c r="K22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28" s="1">
        <f>M227+Table11819202310303132353839404148111518[[#This Row],[اجمالي الفاتوره]]-Table11819202310303132353839404148111518[[#This Row],[الدفعات]]</f>
        <v>99994.84</v>
      </c>
    </row>
    <row r="229" spans="11:13" s="1" customFormat="1" ht="23.25" customHeight="1" x14ac:dyDescent="0.3">
      <c r="K22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29" s="1">
        <f>M228+Table11819202310303132353839404148111518[[#This Row],[اجمالي الفاتوره]]-Table11819202310303132353839404148111518[[#This Row],[الدفعات]]</f>
        <v>99994.84</v>
      </c>
    </row>
    <row r="230" spans="11:13" s="1" customFormat="1" ht="23.25" customHeight="1" x14ac:dyDescent="0.3">
      <c r="K23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30" s="1">
        <f>M229+Table11819202310303132353839404148111518[[#This Row],[اجمالي الفاتوره]]-Table11819202310303132353839404148111518[[#This Row],[الدفعات]]</f>
        <v>99994.84</v>
      </c>
    </row>
    <row r="231" spans="11:13" s="1" customFormat="1" ht="23.25" customHeight="1" x14ac:dyDescent="0.3">
      <c r="K23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31" s="1">
        <f>M230+Table11819202310303132353839404148111518[[#This Row],[اجمالي الفاتوره]]-Table11819202310303132353839404148111518[[#This Row],[الدفعات]]</f>
        <v>99994.84</v>
      </c>
    </row>
    <row r="232" spans="11:13" s="1" customFormat="1" ht="23.25" customHeight="1" x14ac:dyDescent="0.3">
      <c r="K23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32" s="1">
        <f>M231+Table11819202310303132353839404148111518[[#This Row],[اجمالي الفاتوره]]-Table11819202310303132353839404148111518[[#This Row],[الدفعات]]</f>
        <v>99994.84</v>
      </c>
    </row>
    <row r="233" spans="11:13" s="1" customFormat="1" ht="23.25" customHeight="1" x14ac:dyDescent="0.3">
      <c r="K23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33" s="1">
        <f>M232+Table11819202310303132353839404148111518[[#This Row],[اجمالي الفاتوره]]-Table11819202310303132353839404148111518[[#This Row],[الدفعات]]</f>
        <v>99994.84</v>
      </c>
    </row>
    <row r="234" spans="11:13" s="1" customFormat="1" ht="23.25" customHeight="1" x14ac:dyDescent="0.3">
      <c r="K23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34" s="1">
        <f>M233+Table11819202310303132353839404148111518[[#This Row],[اجمالي الفاتوره]]-Table11819202310303132353839404148111518[[#This Row],[الدفعات]]</f>
        <v>99994.84</v>
      </c>
    </row>
    <row r="235" spans="11:13" s="1" customFormat="1" ht="23.25" customHeight="1" x14ac:dyDescent="0.3">
      <c r="K23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35" s="1">
        <f>M234+Table11819202310303132353839404148111518[[#This Row],[اجمالي الفاتوره]]-Table11819202310303132353839404148111518[[#This Row],[الدفعات]]</f>
        <v>99994.84</v>
      </c>
    </row>
    <row r="236" spans="11:13" s="1" customFormat="1" ht="23.25" customHeight="1" x14ac:dyDescent="0.3">
      <c r="K23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36" s="1">
        <f>M235+Table11819202310303132353839404148111518[[#This Row],[اجمالي الفاتوره]]-Table11819202310303132353839404148111518[[#This Row],[الدفعات]]</f>
        <v>99994.84</v>
      </c>
    </row>
    <row r="237" spans="11:13" s="1" customFormat="1" ht="23.25" customHeight="1" x14ac:dyDescent="0.3">
      <c r="K23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37" s="1">
        <f>M236+Table11819202310303132353839404148111518[[#This Row],[اجمالي الفاتوره]]-Table11819202310303132353839404148111518[[#This Row],[الدفعات]]</f>
        <v>99994.84</v>
      </c>
    </row>
    <row r="238" spans="11:13" s="1" customFormat="1" ht="23.25" customHeight="1" x14ac:dyDescent="0.3">
      <c r="K23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38" s="1">
        <f>M237+Table11819202310303132353839404148111518[[#This Row],[اجمالي الفاتوره]]-Table11819202310303132353839404148111518[[#This Row],[الدفعات]]</f>
        <v>99994.84</v>
      </c>
    </row>
    <row r="239" spans="11:13" s="1" customFormat="1" ht="23.25" customHeight="1" x14ac:dyDescent="0.3">
      <c r="K23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39" s="1">
        <f>M238+Table11819202310303132353839404148111518[[#This Row],[اجمالي الفاتوره]]-Table11819202310303132353839404148111518[[#This Row],[الدفعات]]</f>
        <v>99994.84</v>
      </c>
    </row>
    <row r="240" spans="11:13" s="1" customFormat="1" ht="23.25" customHeight="1" x14ac:dyDescent="0.3">
      <c r="K24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40" s="1">
        <f>M239+Table11819202310303132353839404148111518[[#This Row],[اجمالي الفاتوره]]-Table11819202310303132353839404148111518[[#This Row],[الدفعات]]</f>
        <v>99994.84</v>
      </c>
    </row>
    <row r="241" spans="11:13" s="1" customFormat="1" ht="23.25" customHeight="1" x14ac:dyDescent="0.3">
      <c r="K24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41" s="1">
        <f>M240+Table11819202310303132353839404148111518[[#This Row],[اجمالي الفاتوره]]-Table11819202310303132353839404148111518[[#This Row],[الدفعات]]</f>
        <v>99994.84</v>
      </c>
    </row>
    <row r="242" spans="11:13" s="1" customFormat="1" ht="23.25" customHeight="1" x14ac:dyDescent="0.3">
      <c r="K24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42" s="1">
        <f>M241+Table11819202310303132353839404148111518[[#This Row],[اجمالي الفاتوره]]-Table11819202310303132353839404148111518[[#This Row],[الدفعات]]</f>
        <v>99994.84</v>
      </c>
    </row>
    <row r="243" spans="11:13" s="1" customFormat="1" ht="23.25" customHeight="1" x14ac:dyDescent="0.3">
      <c r="K24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43" s="1">
        <f>M242+Table11819202310303132353839404148111518[[#This Row],[اجمالي الفاتوره]]-Table11819202310303132353839404148111518[[#This Row],[الدفعات]]</f>
        <v>99994.84</v>
      </c>
    </row>
    <row r="244" spans="11:13" s="1" customFormat="1" ht="23.25" customHeight="1" x14ac:dyDescent="0.3">
      <c r="K24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44" s="1">
        <f>M243+Table11819202310303132353839404148111518[[#This Row],[اجمالي الفاتوره]]-Table11819202310303132353839404148111518[[#This Row],[الدفعات]]</f>
        <v>99994.84</v>
      </c>
    </row>
    <row r="245" spans="11:13" s="1" customFormat="1" ht="23.25" customHeight="1" x14ac:dyDescent="0.3">
      <c r="K24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45" s="1">
        <f>M244+Table11819202310303132353839404148111518[[#This Row],[اجمالي الفاتوره]]-Table11819202310303132353839404148111518[[#This Row],[الدفعات]]</f>
        <v>99994.84</v>
      </c>
    </row>
    <row r="246" spans="11:13" s="1" customFormat="1" ht="23.25" customHeight="1" x14ac:dyDescent="0.3">
      <c r="K24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46" s="1">
        <f>M245+Table11819202310303132353839404148111518[[#This Row],[اجمالي الفاتوره]]-Table11819202310303132353839404148111518[[#This Row],[الدفعات]]</f>
        <v>99994.84</v>
      </c>
    </row>
    <row r="247" spans="11:13" s="1" customFormat="1" ht="23.25" customHeight="1" x14ac:dyDescent="0.3">
      <c r="K24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47" s="1">
        <f>M246+Table11819202310303132353839404148111518[[#This Row],[اجمالي الفاتوره]]-Table11819202310303132353839404148111518[[#This Row],[الدفعات]]</f>
        <v>99994.84</v>
      </c>
    </row>
    <row r="248" spans="11:13" s="1" customFormat="1" ht="23.25" customHeight="1" x14ac:dyDescent="0.3">
      <c r="K24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48" s="1">
        <f>M247+Table11819202310303132353839404148111518[[#This Row],[اجمالي الفاتوره]]-Table11819202310303132353839404148111518[[#This Row],[الدفعات]]</f>
        <v>99994.84</v>
      </c>
    </row>
    <row r="249" spans="11:13" s="1" customFormat="1" ht="23.25" customHeight="1" x14ac:dyDescent="0.3">
      <c r="K24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49" s="1">
        <f>M248+Table11819202310303132353839404148111518[[#This Row],[اجمالي الفاتوره]]-Table11819202310303132353839404148111518[[#This Row],[الدفعات]]</f>
        <v>99994.84</v>
      </c>
    </row>
    <row r="250" spans="11:13" s="1" customFormat="1" ht="23.25" customHeight="1" x14ac:dyDescent="0.3">
      <c r="K25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50" s="1">
        <f>M249+Table11819202310303132353839404148111518[[#This Row],[اجمالي الفاتوره]]-Table11819202310303132353839404148111518[[#This Row],[الدفعات]]</f>
        <v>99994.84</v>
      </c>
    </row>
    <row r="251" spans="11:13" s="1" customFormat="1" ht="23.25" customHeight="1" x14ac:dyDescent="0.3">
      <c r="K25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51" s="1">
        <f>M250+Table11819202310303132353839404148111518[[#This Row],[اجمالي الفاتوره]]-Table11819202310303132353839404148111518[[#This Row],[الدفعات]]</f>
        <v>99994.84</v>
      </c>
    </row>
    <row r="252" spans="11:13" s="1" customFormat="1" ht="23.25" customHeight="1" x14ac:dyDescent="0.3">
      <c r="K25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52" s="1">
        <f>M251+Table11819202310303132353839404148111518[[#This Row],[اجمالي الفاتوره]]-Table11819202310303132353839404148111518[[#This Row],[الدفعات]]</f>
        <v>99994.84</v>
      </c>
    </row>
    <row r="253" spans="11:13" s="1" customFormat="1" ht="23.25" customHeight="1" x14ac:dyDescent="0.3">
      <c r="K25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53" s="1">
        <f>M252+Table11819202310303132353839404148111518[[#This Row],[اجمالي الفاتوره]]-Table11819202310303132353839404148111518[[#This Row],[الدفعات]]</f>
        <v>99994.84</v>
      </c>
    </row>
    <row r="254" spans="11:13" s="1" customFormat="1" ht="23.25" customHeight="1" x14ac:dyDescent="0.3">
      <c r="K25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54" s="1">
        <f>M253+Table11819202310303132353839404148111518[[#This Row],[اجمالي الفاتوره]]-Table11819202310303132353839404148111518[[#This Row],[الدفعات]]</f>
        <v>99994.84</v>
      </c>
    </row>
    <row r="255" spans="11:13" s="1" customFormat="1" ht="23.25" customHeight="1" x14ac:dyDescent="0.3">
      <c r="K25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55" s="1">
        <f>M254+Table11819202310303132353839404148111518[[#This Row],[اجمالي الفاتوره]]-Table11819202310303132353839404148111518[[#This Row],[الدفعات]]</f>
        <v>99994.84</v>
      </c>
    </row>
    <row r="256" spans="11:13" s="1" customFormat="1" ht="23.25" customHeight="1" x14ac:dyDescent="0.3">
      <c r="K25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56" s="1">
        <f>M255+Table11819202310303132353839404148111518[[#This Row],[اجمالي الفاتوره]]-Table11819202310303132353839404148111518[[#This Row],[الدفعات]]</f>
        <v>99994.84</v>
      </c>
    </row>
    <row r="257" spans="11:13" s="1" customFormat="1" ht="23.25" customHeight="1" x14ac:dyDescent="0.3">
      <c r="K25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57" s="1">
        <f>M256+Table11819202310303132353839404148111518[[#This Row],[اجمالي الفاتوره]]-Table11819202310303132353839404148111518[[#This Row],[الدفعات]]</f>
        <v>99994.84</v>
      </c>
    </row>
    <row r="258" spans="11:13" s="1" customFormat="1" ht="23.25" customHeight="1" x14ac:dyDescent="0.3">
      <c r="K25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58" s="1">
        <f>M257+Table11819202310303132353839404148111518[[#This Row],[اجمالي الفاتوره]]-Table11819202310303132353839404148111518[[#This Row],[الدفعات]]</f>
        <v>99994.84</v>
      </c>
    </row>
    <row r="259" spans="11:13" s="1" customFormat="1" ht="23.25" customHeight="1" x14ac:dyDescent="0.3">
      <c r="K25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59" s="1">
        <f>M258+Table11819202310303132353839404148111518[[#This Row],[اجمالي الفاتوره]]-Table11819202310303132353839404148111518[[#This Row],[الدفعات]]</f>
        <v>99994.84</v>
      </c>
    </row>
    <row r="260" spans="11:13" s="1" customFormat="1" ht="23.25" customHeight="1" x14ac:dyDescent="0.3">
      <c r="K26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60" s="1">
        <f>M259+Table11819202310303132353839404148111518[[#This Row],[اجمالي الفاتوره]]-Table11819202310303132353839404148111518[[#This Row],[الدفعات]]</f>
        <v>99994.84</v>
      </c>
    </row>
    <row r="261" spans="11:13" s="1" customFormat="1" ht="23.25" customHeight="1" x14ac:dyDescent="0.3">
      <c r="K26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61" s="1">
        <f>M260+Table11819202310303132353839404148111518[[#This Row],[اجمالي الفاتوره]]-Table11819202310303132353839404148111518[[#This Row],[الدفعات]]</f>
        <v>99994.84</v>
      </c>
    </row>
    <row r="262" spans="11:13" s="1" customFormat="1" ht="23.25" customHeight="1" x14ac:dyDescent="0.3">
      <c r="K26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62" s="1">
        <f>M261+Table11819202310303132353839404148111518[[#This Row],[اجمالي الفاتوره]]-Table11819202310303132353839404148111518[[#This Row],[الدفعات]]</f>
        <v>99994.84</v>
      </c>
    </row>
    <row r="263" spans="11:13" s="1" customFormat="1" ht="23.25" customHeight="1" x14ac:dyDescent="0.3">
      <c r="K26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63" s="1">
        <f>M262+Table11819202310303132353839404148111518[[#This Row],[اجمالي الفاتوره]]-Table11819202310303132353839404148111518[[#This Row],[الدفعات]]</f>
        <v>99994.84</v>
      </c>
    </row>
    <row r="264" spans="11:13" s="1" customFormat="1" ht="23.25" customHeight="1" x14ac:dyDescent="0.3">
      <c r="K26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64" s="1">
        <f>M263+Table11819202310303132353839404148111518[[#This Row],[اجمالي الفاتوره]]-Table11819202310303132353839404148111518[[#This Row],[الدفعات]]</f>
        <v>99994.84</v>
      </c>
    </row>
    <row r="265" spans="11:13" s="1" customFormat="1" ht="23.25" customHeight="1" x14ac:dyDescent="0.3">
      <c r="K26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65" s="1">
        <f>M264+Table11819202310303132353839404148111518[[#This Row],[اجمالي الفاتوره]]-Table11819202310303132353839404148111518[[#This Row],[الدفعات]]</f>
        <v>99994.84</v>
      </c>
    </row>
    <row r="266" spans="11:13" s="1" customFormat="1" ht="23.25" customHeight="1" x14ac:dyDescent="0.3">
      <c r="K26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66" s="1">
        <f>M265+Table11819202310303132353839404148111518[[#This Row],[اجمالي الفاتوره]]-Table11819202310303132353839404148111518[[#This Row],[الدفعات]]</f>
        <v>99994.84</v>
      </c>
    </row>
    <row r="267" spans="11:13" s="1" customFormat="1" ht="23.25" customHeight="1" x14ac:dyDescent="0.3">
      <c r="K26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67" s="1">
        <f>M266+Table11819202310303132353839404148111518[[#This Row],[اجمالي الفاتوره]]-Table11819202310303132353839404148111518[[#This Row],[الدفعات]]</f>
        <v>99994.84</v>
      </c>
    </row>
    <row r="268" spans="11:13" s="1" customFormat="1" ht="23.25" customHeight="1" x14ac:dyDescent="0.3">
      <c r="K26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68" s="1">
        <f>M267+Table11819202310303132353839404148111518[[#This Row],[اجمالي الفاتوره]]-Table11819202310303132353839404148111518[[#This Row],[الدفعات]]</f>
        <v>99994.84</v>
      </c>
    </row>
    <row r="269" spans="11:13" s="1" customFormat="1" ht="23.25" customHeight="1" x14ac:dyDescent="0.3">
      <c r="K26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69" s="1">
        <f>M268+Table11819202310303132353839404148111518[[#This Row],[اجمالي الفاتوره]]-Table11819202310303132353839404148111518[[#This Row],[الدفعات]]</f>
        <v>99994.84</v>
      </c>
    </row>
    <row r="270" spans="11:13" s="1" customFormat="1" ht="23.25" customHeight="1" x14ac:dyDescent="0.3">
      <c r="K27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70" s="1">
        <f>M269+Table11819202310303132353839404148111518[[#This Row],[اجمالي الفاتوره]]-Table11819202310303132353839404148111518[[#This Row],[الدفعات]]</f>
        <v>99994.84</v>
      </c>
    </row>
    <row r="271" spans="11:13" s="1" customFormat="1" ht="23.25" customHeight="1" x14ac:dyDescent="0.3">
      <c r="K27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71" s="1">
        <f>M270+Table11819202310303132353839404148111518[[#This Row],[اجمالي الفاتوره]]-Table11819202310303132353839404148111518[[#This Row],[الدفعات]]</f>
        <v>99994.84</v>
      </c>
    </row>
    <row r="272" spans="11:13" s="1" customFormat="1" ht="23.25" customHeight="1" x14ac:dyDescent="0.3">
      <c r="K27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72" s="1">
        <f>M271+Table11819202310303132353839404148111518[[#This Row],[اجمالي الفاتوره]]-Table11819202310303132353839404148111518[[#This Row],[الدفعات]]</f>
        <v>99994.84</v>
      </c>
    </row>
    <row r="273" spans="11:13" s="1" customFormat="1" ht="23.25" customHeight="1" x14ac:dyDescent="0.3">
      <c r="K27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73" s="1">
        <f>M272+Table11819202310303132353839404148111518[[#This Row],[اجمالي الفاتوره]]-Table11819202310303132353839404148111518[[#This Row],[الدفعات]]</f>
        <v>99994.84</v>
      </c>
    </row>
    <row r="274" spans="11:13" s="1" customFormat="1" ht="23.25" customHeight="1" x14ac:dyDescent="0.3">
      <c r="K27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74" s="1">
        <f>M273+Table11819202310303132353839404148111518[[#This Row],[اجمالي الفاتوره]]-Table11819202310303132353839404148111518[[#This Row],[الدفعات]]</f>
        <v>99994.84</v>
      </c>
    </row>
    <row r="275" spans="11:13" s="1" customFormat="1" ht="23.25" customHeight="1" x14ac:dyDescent="0.3">
      <c r="K27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75" s="1">
        <f>M274+Table11819202310303132353839404148111518[[#This Row],[اجمالي الفاتوره]]-Table11819202310303132353839404148111518[[#This Row],[الدفعات]]</f>
        <v>99994.84</v>
      </c>
    </row>
    <row r="276" spans="11:13" s="1" customFormat="1" ht="23.25" customHeight="1" x14ac:dyDescent="0.3">
      <c r="K27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76" s="1">
        <f>M275+Table11819202310303132353839404148111518[[#This Row],[اجمالي الفاتوره]]-Table11819202310303132353839404148111518[[#This Row],[الدفعات]]</f>
        <v>99994.84</v>
      </c>
    </row>
    <row r="277" spans="11:13" s="1" customFormat="1" ht="23.25" customHeight="1" x14ac:dyDescent="0.3">
      <c r="K27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77" s="1">
        <f>M276+Table11819202310303132353839404148111518[[#This Row],[اجمالي الفاتوره]]-Table11819202310303132353839404148111518[[#This Row],[الدفعات]]</f>
        <v>99994.84</v>
      </c>
    </row>
    <row r="278" spans="11:13" s="1" customFormat="1" ht="23.25" customHeight="1" x14ac:dyDescent="0.3">
      <c r="K27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78" s="1">
        <f>M277+Table11819202310303132353839404148111518[[#This Row],[اجمالي الفاتوره]]-Table11819202310303132353839404148111518[[#This Row],[الدفعات]]</f>
        <v>99994.84</v>
      </c>
    </row>
    <row r="279" spans="11:13" s="1" customFormat="1" ht="23.25" customHeight="1" x14ac:dyDescent="0.3">
      <c r="K27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79" s="1">
        <f>M278+Table11819202310303132353839404148111518[[#This Row],[اجمالي الفاتوره]]-Table11819202310303132353839404148111518[[#This Row],[الدفعات]]</f>
        <v>99994.84</v>
      </c>
    </row>
    <row r="280" spans="11:13" s="1" customFormat="1" ht="23.25" customHeight="1" x14ac:dyDescent="0.3">
      <c r="K28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80" s="1">
        <f>M279+Table11819202310303132353839404148111518[[#This Row],[اجمالي الفاتوره]]-Table11819202310303132353839404148111518[[#This Row],[الدفعات]]</f>
        <v>99994.84</v>
      </c>
    </row>
    <row r="281" spans="11:13" s="1" customFormat="1" ht="23.25" customHeight="1" x14ac:dyDescent="0.3">
      <c r="K28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81" s="1">
        <f>M280+Table11819202310303132353839404148111518[[#This Row],[اجمالي الفاتوره]]-Table11819202310303132353839404148111518[[#This Row],[الدفعات]]</f>
        <v>99994.84</v>
      </c>
    </row>
    <row r="282" spans="11:13" s="1" customFormat="1" ht="23.25" customHeight="1" x14ac:dyDescent="0.3">
      <c r="K28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82" s="1">
        <f>M281+Table11819202310303132353839404148111518[[#This Row],[اجمالي الفاتوره]]-Table11819202310303132353839404148111518[[#This Row],[الدفعات]]</f>
        <v>99994.84</v>
      </c>
    </row>
    <row r="283" spans="11:13" s="1" customFormat="1" ht="23.25" customHeight="1" x14ac:dyDescent="0.3">
      <c r="K28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83" s="1">
        <f>M282+Table11819202310303132353839404148111518[[#This Row],[اجمالي الفاتوره]]-Table11819202310303132353839404148111518[[#This Row],[الدفعات]]</f>
        <v>99994.84</v>
      </c>
    </row>
    <row r="284" spans="11:13" s="1" customFormat="1" ht="23.25" customHeight="1" x14ac:dyDescent="0.3">
      <c r="K28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84" s="1">
        <f>M283+Table11819202310303132353839404148111518[[#This Row],[اجمالي الفاتوره]]-Table11819202310303132353839404148111518[[#This Row],[الدفعات]]</f>
        <v>99994.84</v>
      </c>
    </row>
    <row r="285" spans="11:13" s="1" customFormat="1" ht="23.25" customHeight="1" x14ac:dyDescent="0.3">
      <c r="K28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85" s="1">
        <f>M284+Table11819202310303132353839404148111518[[#This Row],[اجمالي الفاتوره]]-Table11819202310303132353839404148111518[[#This Row],[الدفعات]]</f>
        <v>99994.84</v>
      </c>
    </row>
    <row r="286" spans="11:13" s="1" customFormat="1" ht="23.25" customHeight="1" x14ac:dyDescent="0.3">
      <c r="K28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86" s="1">
        <f>M285+Table11819202310303132353839404148111518[[#This Row],[اجمالي الفاتوره]]-Table11819202310303132353839404148111518[[#This Row],[الدفعات]]</f>
        <v>99994.84</v>
      </c>
    </row>
    <row r="287" spans="11:13" s="1" customFormat="1" ht="23.25" customHeight="1" x14ac:dyDescent="0.3">
      <c r="K28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87" s="1">
        <f>M286+Table11819202310303132353839404148111518[[#This Row],[اجمالي الفاتوره]]-Table11819202310303132353839404148111518[[#This Row],[الدفعات]]</f>
        <v>99994.84</v>
      </c>
    </row>
    <row r="288" spans="11:13" s="1" customFormat="1" ht="23.25" customHeight="1" x14ac:dyDescent="0.3">
      <c r="K28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88" s="1">
        <f>M287+Table11819202310303132353839404148111518[[#This Row],[اجمالي الفاتوره]]-Table11819202310303132353839404148111518[[#This Row],[الدفعات]]</f>
        <v>99994.84</v>
      </c>
    </row>
    <row r="289" spans="11:13" s="1" customFormat="1" ht="23.25" customHeight="1" x14ac:dyDescent="0.3">
      <c r="K28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89" s="1">
        <f>M288+Table11819202310303132353839404148111518[[#This Row],[اجمالي الفاتوره]]-Table11819202310303132353839404148111518[[#This Row],[الدفعات]]</f>
        <v>99994.84</v>
      </c>
    </row>
    <row r="290" spans="11:13" s="1" customFormat="1" ht="23.25" customHeight="1" x14ac:dyDescent="0.3">
      <c r="K29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90" s="1">
        <f>M289+Table11819202310303132353839404148111518[[#This Row],[اجمالي الفاتوره]]-Table11819202310303132353839404148111518[[#This Row],[الدفعات]]</f>
        <v>99994.84</v>
      </c>
    </row>
    <row r="291" spans="11:13" s="1" customFormat="1" ht="23.25" customHeight="1" x14ac:dyDescent="0.3">
      <c r="K29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91" s="1">
        <f>M290+Table11819202310303132353839404148111518[[#This Row],[اجمالي الفاتوره]]-Table11819202310303132353839404148111518[[#This Row],[الدفعات]]</f>
        <v>99994.84</v>
      </c>
    </row>
    <row r="292" spans="11:13" s="1" customFormat="1" ht="23.25" customHeight="1" x14ac:dyDescent="0.3">
      <c r="K29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92" s="1">
        <f>M291+Table11819202310303132353839404148111518[[#This Row],[اجمالي الفاتوره]]-Table11819202310303132353839404148111518[[#This Row],[الدفعات]]</f>
        <v>99994.84</v>
      </c>
    </row>
    <row r="293" spans="11:13" s="1" customFormat="1" ht="23.25" customHeight="1" x14ac:dyDescent="0.3">
      <c r="K29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93" s="1">
        <f>M292+Table11819202310303132353839404148111518[[#This Row],[اجمالي الفاتوره]]-Table11819202310303132353839404148111518[[#This Row],[الدفعات]]</f>
        <v>99994.84</v>
      </c>
    </row>
    <row r="294" spans="11:13" s="1" customFormat="1" ht="23.25" customHeight="1" x14ac:dyDescent="0.3">
      <c r="K29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94" s="1">
        <f>M293+Table11819202310303132353839404148111518[[#This Row],[اجمالي الفاتوره]]-Table11819202310303132353839404148111518[[#This Row],[الدفعات]]</f>
        <v>99994.84</v>
      </c>
    </row>
    <row r="295" spans="11:13" s="1" customFormat="1" ht="23.25" customHeight="1" x14ac:dyDescent="0.3">
      <c r="K29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95" s="1">
        <f>M294+Table11819202310303132353839404148111518[[#This Row],[اجمالي الفاتوره]]-Table11819202310303132353839404148111518[[#This Row],[الدفعات]]</f>
        <v>99994.84</v>
      </c>
    </row>
    <row r="296" spans="11:13" s="1" customFormat="1" ht="23.25" customHeight="1" x14ac:dyDescent="0.3">
      <c r="K29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96" s="1">
        <f>M295+Table11819202310303132353839404148111518[[#This Row],[اجمالي الفاتوره]]-Table11819202310303132353839404148111518[[#This Row],[الدفعات]]</f>
        <v>99994.84</v>
      </c>
    </row>
    <row r="297" spans="11:13" s="1" customFormat="1" ht="23.25" customHeight="1" x14ac:dyDescent="0.3">
      <c r="K29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97" s="1">
        <f>M296+Table11819202310303132353839404148111518[[#This Row],[اجمالي الفاتوره]]-Table11819202310303132353839404148111518[[#This Row],[الدفعات]]</f>
        <v>99994.84</v>
      </c>
    </row>
    <row r="298" spans="11:13" s="1" customFormat="1" ht="23.25" customHeight="1" x14ac:dyDescent="0.3">
      <c r="K29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98" s="1">
        <f>M297+Table11819202310303132353839404148111518[[#This Row],[اجمالي الفاتوره]]-Table11819202310303132353839404148111518[[#This Row],[الدفعات]]</f>
        <v>99994.84</v>
      </c>
    </row>
    <row r="299" spans="11:13" s="1" customFormat="1" ht="23.25" customHeight="1" x14ac:dyDescent="0.3">
      <c r="K29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299" s="1">
        <f>M298+Table11819202310303132353839404148111518[[#This Row],[اجمالي الفاتوره]]-Table11819202310303132353839404148111518[[#This Row],[الدفعات]]</f>
        <v>99994.84</v>
      </c>
    </row>
    <row r="300" spans="11:13" s="1" customFormat="1" ht="23.25" customHeight="1" x14ac:dyDescent="0.3">
      <c r="K30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00" s="1">
        <f>M299+Table11819202310303132353839404148111518[[#This Row],[اجمالي الفاتوره]]-Table11819202310303132353839404148111518[[#This Row],[الدفعات]]</f>
        <v>99994.84</v>
      </c>
    </row>
    <row r="301" spans="11:13" s="1" customFormat="1" ht="23.25" customHeight="1" x14ac:dyDescent="0.3">
      <c r="K30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01" s="1">
        <f>M300+Table11819202310303132353839404148111518[[#This Row],[اجمالي الفاتوره]]-Table11819202310303132353839404148111518[[#This Row],[الدفعات]]</f>
        <v>99994.84</v>
      </c>
    </row>
    <row r="302" spans="11:13" s="1" customFormat="1" ht="23.25" customHeight="1" x14ac:dyDescent="0.3">
      <c r="K30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02" s="1">
        <f>M301+Table11819202310303132353839404148111518[[#This Row],[اجمالي الفاتوره]]-Table11819202310303132353839404148111518[[#This Row],[الدفعات]]</f>
        <v>99994.84</v>
      </c>
    </row>
    <row r="303" spans="11:13" s="1" customFormat="1" ht="23.25" customHeight="1" x14ac:dyDescent="0.3">
      <c r="K30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03" s="1">
        <f>M302+Table11819202310303132353839404148111518[[#This Row],[اجمالي الفاتوره]]-Table11819202310303132353839404148111518[[#This Row],[الدفعات]]</f>
        <v>99994.84</v>
      </c>
    </row>
    <row r="304" spans="11:13" s="1" customFormat="1" ht="23.25" customHeight="1" x14ac:dyDescent="0.3">
      <c r="K30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04" s="1">
        <f>M303+Table11819202310303132353839404148111518[[#This Row],[اجمالي الفاتوره]]-Table11819202310303132353839404148111518[[#This Row],[الدفعات]]</f>
        <v>99994.84</v>
      </c>
    </row>
    <row r="305" spans="11:13" s="1" customFormat="1" ht="23.25" customHeight="1" x14ac:dyDescent="0.3">
      <c r="K30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05" s="1">
        <f>M304+Table11819202310303132353839404148111518[[#This Row],[اجمالي الفاتوره]]-Table11819202310303132353839404148111518[[#This Row],[الدفعات]]</f>
        <v>99994.84</v>
      </c>
    </row>
    <row r="306" spans="11:13" s="1" customFormat="1" ht="23.25" customHeight="1" x14ac:dyDescent="0.3">
      <c r="K30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06" s="1">
        <f>M305+Table11819202310303132353839404148111518[[#This Row],[اجمالي الفاتوره]]-Table11819202310303132353839404148111518[[#This Row],[الدفعات]]</f>
        <v>99994.84</v>
      </c>
    </row>
    <row r="307" spans="11:13" s="1" customFormat="1" ht="23.25" customHeight="1" x14ac:dyDescent="0.3">
      <c r="K30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07" s="1">
        <f>M306+Table11819202310303132353839404148111518[[#This Row],[اجمالي الفاتوره]]-Table11819202310303132353839404148111518[[#This Row],[الدفعات]]</f>
        <v>99994.84</v>
      </c>
    </row>
    <row r="308" spans="11:13" s="1" customFormat="1" ht="23.25" customHeight="1" x14ac:dyDescent="0.3">
      <c r="K30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08" s="1">
        <f>M307+Table11819202310303132353839404148111518[[#This Row],[اجمالي الفاتوره]]-Table11819202310303132353839404148111518[[#This Row],[الدفعات]]</f>
        <v>99994.84</v>
      </c>
    </row>
    <row r="309" spans="11:13" s="1" customFormat="1" ht="23.25" customHeight="1" x14ac:dyDescent="0.3">
      <c r="K30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09" s="1">
        <f>M308+Table11819202310303132353839404148111518[[#This Row],[اجمالي الفاتوره]]-Table11819202310303132353839404148111518[[#This Row],[الدفعات]]</f>
        <v>99994.84</v>
      </c>
    </row>
    <row r="310" spans="11:13" s="1" customFormat="1" ht="23.25" customHeight="1" x14ac:dyDescent="0.3">
      <c r="K31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10" s="1">
        <f>M309+Table11819202310303132353839404148111518[[#This Row],[اجمالي الفاتوره]]-Table11819202310303132353839404148111518[[#This Row],[الدفعات]]</f>
        <v>99994.84</v>
      </c>
    </row>
    <row r="311" spans="11:13" s="1" customFormat="1" ht="23.25" customHeight="1" x14ac:dyDescent="0.3">
      <c r="K31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11" s="1">
        <f>M310+Table11819202310303132353839404148111518[[#This Row],[اجمالي الفاتوره]]-Table11819202310303132353839404148111518[[#This Row],[الدفعات]]</f>
        <v>99994.84</v>
      </c>
    </row>
    <row r="312" spans="11:13" s="1" customFormat="1" ht="23.25" customHeight="1" x14ac:dyDescent="0.3">
      <c r="K31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12" s="1">
        <f>M311+Table11819202310303132353839404148111518[[#This Row],[اجمالي الفاتوره]]-Table11819202310303132353839404148111518[[#This Row],[الدفعات]]</f>
        <v>99994.84</v>
      </c>
    </row>
    <row r="313" spans="11:13" s="1" customFormat="1" ht="23.25" customHeight="1" x14ac:dyDescent="0.3">
      <c r="K31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13" s="1">
        <f>M312+Table11819202310303132353839404148111518[[#This Row],[اجمالي الفاتوره]]-Table11819202310303132353839404148111518[[#This Row],[الدفعات]]</f>
        <v>99994.84</v>
      </c>
    </row>
    <row r="314" spans="11:13" s="1" customFormat="1" ht="23.25" customHeight="1" x14ac:dyDescent="0.3">
      <c r="K31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14" s="1">
        <f>M313+Table11819202310303132353839404148111518[[#This Row],[اجمالي الفاتوره]]-Table11819202310303132353839404148111518[[#This Row],[الدفعات]]</f>
        <v>99994.84</v>
      </c>
    </row>
    <row r="315" spans="11:13" s="1" customFormat="1" ht="23.25" customHeight="1" x14ac:dyDescent="0.3">
      <c r="K31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15" s="1">
        <f>M314+Table11819202310303132353839404148111518[[#This Row],[اجمالي الفاتوره]]-Table11819202310303132353839404148111518[[#This Row],[الدفعات]]</f>
        <v>99994.84</v>
      </c>
    </row>
    <row r="316" spans="11:13" s="1" customFormat="1" ht="23.25" customHeight="1" x14ac:dyDescent="0.3">
      <c r="K31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16" s="1">
        <f>M315+Table11819202310303132353839404148111518[[#This Row],[اجمالي الفاتوره]]-Table11819202310303132353839404148111518[[#This Row],[الدفعات]]</f>
        <v>99994.84</v>
      </c>
    </row>
    <row r="317" spans="11:13" s="1" customFormat="1" ht="23.25" customHeight="1" x14ac:dyDescent="0.3">
      <c r="K31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17" s="1">
        <f>M316+Table11819202310303132353839404148111518[[#This Row],[اجمالي الفاتوره]]-Table11819202310303132353839404148111518[[#This Row],[الدفعات]]</f>
        <v>99994.84</v>
      </c>
    </row>
    <row r="318" spans="11:13" s="1" customFormat="1" ht="23.25" customHeight="1" x14ac:dyDescent="0.3">
      <c r="K31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18" s="1">
        <f>M317+Table11819202310303132353839404148111518[[#This Row],[اجمالي الفاتوره]]-Table11819202310303132353839404148111518[[#This Row],[الدفعات]]</f>
        <v>99994.84</v>
      </c>
    </row>
    <row r="319" spans="11:13" s="1" customFormat="1" ht="23.25" customHeight="1" x14ac:dyDescent="0.3">
      <c r="K31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19" s="1">
        <f>M318+Table11819202310303132353839404148111518[[#This Row],[اجمالي الفاتوره]]-Table11819202310303132353839404148111518[[#This Row],[الدفعات]]</f>
        <v>99994.84</v>
      </c>
    </row>
    <row r="320" spans="11:13" s="1" customFormat="1" ht="23.25" customHeight="1" x14ac:dyDescent="0.3">
      <c r="K32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20" s="1">
        <f>M319+Table11819202310303132353839404148111518[[#This Row],[اجمالي الفاتوره]]-Table11819202310303132353839404148111518[[#This Row],[الدفعات]]</f>
        <v>99994.84</v>
      </c>
    </row>
    <row r="321" spans="11:13" s="1" customFormat="1" ht="23.25" customHeight="1" x14ac:dyDescent="0.3">
      <c r="K32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21" s="1">
        <f>M320+Table11819202310303132353839404148111518[[#This Row],[اجمالي الفاتوره]]-Table11819202310303132353839404148111518[[#This Row],[الدفعات]]</f>
        <v>99994.84</v>
      </c>
    </row>
    <row r="322" spans="11:13" s="1" customFormat="1" ht="23.25" customHeight="1" x14ac:dyDescent="0.3">
      <c r="K32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22" s="1">
        <f>M321+Table11819202310303132353839404148111518[[#This Row],[اجمالي الفاتوره]]-Table11819202310303132353839404148111518[[#This Row],[الدفعات]]</f>
        <v>99994.84</v>
      </c>
    </row>
    <row r="323" spans="11:13" s="1" customFormat="1" ht="23.25" customHeight="1" x14ac:dyDescent="0.3">
      <c r="K32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23" s="1">
        <f>M322+Table11819202310303132353839404148111518[[#This Row],[اجمالي الفاتوره]]-Table11819202310303132353839404148111518[[#This Row],[الدفعات]]</f>
        <v>99994.84</v>
      </c>
    </row>
    <row r="324" spans="11:13" s="1" customFormat="1" ht="23.25" customHeight="1" x14ac:dyDescent="0.3">
      <c r="K32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24" s="1">
        <f>M323+Table11819202310303132353839404148111518[[#This Row],[اجمالي الفاتوره]]-Table11819202310303132353839404148111518[[#This Row],[الدفعات]]</f>
        <v>99994.84</v>
      </c>
    </row>
    <row r="325" spans="11:13" s="1" customFormat="1" ht="23.25" customHeight="1" x14ac:dyDescent="0.3">
      <c r="K32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25" s="1">
        <f>M324+Table11819202310303132353839404148111518[[#This Row],[اجمالي الفاتوره]]-Table11819202310303132353839404148111518[[#This Row],[الدفعات]]</f>
        <v>99994.84</v>
      </c>
    </row>
    <row r="326" spans="11:13" s="1" customFormat="1" ht="23.25" customHeight="1" x14ac:dyDescent="0.3">
      <c r="K32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26" s="1">
        <f>M325+Table11819202310303132353839404148111518[[#This Row],[اجمالي الفاتوره]]-Table11819202310303132353839404148111518[[#This Row],[الدفعات]]</f>
        <v>99994.84</v>
      </c>
    </row>
    <row r="327" spans="11:13" s="1" customFormat="1" ht="23.25" customHeight="1" x14ac:dyDescent="0.3">
      <c r="K32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27" s="1">
        <f>M326+Table11819202310303132353839404148111518[[#This Row],[اجمالي الفاتوره]]-Table11819202310303132353839404148111518[[#This Row],[الدفعات]]</f>
        <v>99994.84</v>
      </c>
    </row>
    <row r="328" spans="11:13" s="1" customFormat="1" ht="23.25" customHeight="1" x14ac:dyDescent="0.3">
      <c r="K32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28" s="1">
        <f>M327+Table11819202310303132353839404148111518[[#This Row],[اجمالي الفاتوره]]-Table11819202310303132353839404148111518[[#This Row],[الدفعات]]</f>
        <v>99994.84</v>
      </c>
    </row>
    <row r="329" spans="11:13" s="1" customFormat="1" ht="23.25" customHeight="1" x14ac:dyDescent="0.3">
      <c r="K32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29" s="1">
        <f>M328+Table11819202310303132353839404148111518[[#This Row],[اجمالي الفاتوره]]-Table11819202310303132353839404148111518[[#This Row],[الدفعات]]</f>
        <v>99994.84</v>
      </c>
    </row>
    <row r="330" spans="11:13" s="1" customFormat="1" ht="23.25" customHeight="1" x14ac:dyDescent="0.3">
      <c r="K33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30" s="1">
        <f>M329+Table11819202310303132353839404148111518[[#This Row],[اجمالي الفاتوره]]-Table11819202310303132353839404148111518[[#This Row],[الدفعات]]</f>
        <v>99994.84</v>
      </c>
    </row>
    <row r="331" spans="11:13" s="1" customFormat="1" ht="23.25" customHeight="1" x14ac:dyDescent="0.3">
      <c r="K331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31" s="1">
        <f>M330+Table11819202310303132353839404148111518[[#This Row],[اجمالي الفاتوره]]-Table11819202310303132353839404148111518[[#This Row],[الدفعات]]</f>
        <v>99994.84</v>
      </c>
    </row>
    <row r="332" spans="11:13" s="1" customFormat="1" ht="23.25" customHeight="1" x14ac:dyDescent="0.3">
      <c r="K332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32" s="1">
        <f>M331+Table11819202310303132353839404148111518[[#This Row],[اجمالي الفاتوره]]-Table11819202310303132353839404148111518[[#This Row],[الدفعات]]</f>
        <v>99994.84</v>
      </c>
    </row>
    <row r="333" spans="11:13" s="1" customFormat="1" ht="23.25" customHeight="1" x14ac:dyDescent="0.3">
      <c r="K333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33" s="1">
        <f>M332+Table11819202310303132353839404148111518[[#This Row],[اجمالي الفاتوره]]-Table11819202310303132353839404148111518[[#This Row],[الدفعات]]</f>
        <v>99994.84</v>
      </c>
    </row>
    <row r="334" spans="11:13" s="1" customFormat="1" ht="23.25" customHeight="1" x14ac:dyDescent="0.3">
      <c r="K334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34" s="1">
        <f>M333+Table11819202310303132353839404148111518[[#This Row],[اجمالي الفاتوره]]-Table11819202310303132353839404148111518[[#This Row],[الدفعات]]</f>
        <v>99994.84</v>
      </c>
    </row>
    <row r="335" spans="11:13" s="1" customFormat="1" ht="23.25" customHeight="1" x14ac:dyDescent="0.3">
      <c r="K335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35" s="1">
        <f>M334+Table11819202310303132353839404148111518[[#This Row],[اجمالي الفاتوره]]-Table11819202310303132353839404148111518[[#This Row],[الدفعات]]</f>
        <v>99994.84</v>
      </c>
    </row>
    <row r="336" spans="11:13" s="1" customFormat="1" ht="23.25" customHeight="1" x14ac:dyDescent="0.3">
      <c r="K336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36" s="1">
        <f>M335+Table11819202310303132353839404148111518[[#This Row],[اجمالي الفاتوره]]-Table11819202310303132353839404148111518[[#This Row],[الدفعات]]</f>
        <v>99994.84</v>
      </c>
    </row>
    <row r="337" spans="11:13" s="1" customFormat="1" ht="23.25" customHeight="1" x14ac:dyDescent="0.3">
      <c r="K337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37" s="1">
        <f>M336+Table11819202310303132353839404148111518[[#This Row],[اجمالي الفاتوره]]-Table11819202310303132353839404148111518[[#This Row],[الدفعات]]</f>
        <v>99994.84</v>
      </c>
    </row>
    <row r="338" spans="11:13" s="1" customFormat="1" ht="23.25" customHeight="1" x14ac:dyDescent="0.3">
      <c r="K338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38" s="1">
        <f>M337+Table11819202310303132353839404148111518[[#This Row],[اجمالي الفاتوره]]-Table11819202310303132353839404148111518[[#This Row],[الدفعات]]</f>
        <v>99994.84</v>
      </c>
    </row>
    <row r="339" spans="11:13" s="1" customFormat="1" ht="23.25" customHeight="1" x14ac:dyDescent="0.3">
      <c r="K339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39" s="1">
        <f>M338+Table11819202310303132353839404148111518[[#This Row],[اجمالي الفاتوره]]-Table11819202310303132353839404148111518[[#This Row],[الدفعات]]</f>
        <v>99994.84</v>
      </c>
    </row>
    <row r="340" spans="11:13" s="1" customFormat="1" ht="23.25" customHeight="1" x14ac:dyDescent="0.3">
      <c r="K340" s="1">
        <f>Table11819202310303132353839404148111518[[#This Row],[النولون]]+Table11819202310303132353839404148111518[[#This Row],[الايصالات]]+Table11819202310303132353839404148111518[[#This Row],[قيمة مضافة]]</f>
        <v>0</v>
      </c>
      <c r="M340" s="1">
        <f>M339+Table11819202310303132353839404148111518[[#This Row],[اجمالي الفاتوره]]-Table11819202310303132353839404148111518[[#This Row],[الدفعات]]</f>
        <v>99994.84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338"/>
  <sheetViews>
    <sheetView rightToLeft="1" workbookViewId="0">
      <selection activeCell="J9" sqref="J9"/>
    </sheetView>
  </sheetViews>
  <sheetFormatPr defaultColWidth="9.109375" defaultRowHeight="24.6" customHeight="1" x14ac:dyDescent="0.3"/>
  <cols>
    <col min="1" max="1" width="9.109375" style="6"/>
    <col min="2" max="2" width="5.44140625" style="1" customWidth="1"/>
    <col min="3" max="3" width="11" style="1" customWidth="1"/>
    <col min="4" max="4" width="15.109375" style="1" customWidth="1"/>
    <col min="5" max="5" width="11.21875" style="1" customWidth="1"/>
    <col min="6" max="6" width="13.33203125" style="1" customWidth="1"/>
    <col min="7" max="7" width="11.88671875" style="1" customWidth="1"/>
    <col min="8" max="8" width="11.6640625" style="1" customWidth="1"/>
    <col min="9" max="9" width="8.33203125" style="1" customWidth="1"/>
    <col min="10" max="10" width="8.21875" style="1" customWidth="1"/>
    <col min="11" max="11" width="10.77734375" style="1" customWidth="1"/>
    <col min="12" max="12" width="12" style="1" customWidth="1"/>
    <col min="13" max="13" width="12.77734375" style="1" customWidth="1"/>
    <col min="14" max="14" width="15.21875" style="1" customWidth="1"/>
    <col min="15" max="16384" width="9.109375" style="1"/>
  </cols>
  <sheetData>
    <row r="1" spans="1:15" ht="24.6" customHeight="1" x14ac:dyDescent="0.3">
      <c r="A1" s="64" t="s">
        <v>15</v>
      </c>
      <c r="B1" s="88" t="s">
        <v>0</v>
      </c>
      <c r="C1" s="88" t="s">
        <v>1</v>
      </c>
      <c r="D1" s="88" t="s">
        <v>2</v>
      </c>
      <c r="E1" s="88" t="s">
        <v>3</v>
      </c>
      <c r="F1" s="88" t="s">
        <v>4</v>
      </c>
      <c r="G1" s="88" t="s">
        <v>5</v>
      </c>
      <c r="H1" s="88" t="s">
        <v>6</v>
      </c>
      <c r="I1" s="88" t="s">
        <v>7</v>
      </c>
      <c r="J1" s="88" t="s">
        <v>8</v>
      </c>
      <c r="K1" s="88" t="s">
        <v>9</v>
      </c>
      <c r="L1" s="88" t="s">
        <v>10</v>
      </c>
      <c r="M1" s="88" t="s">
        <v>11</v>
      </c>
      <c r="N1" s="88" t="s">
        <v>12</v>
      </c>
      <c r="O1" s="88" t="s">
        <v>13</v>
      </c>
    </row>
    <row r="2" spans="1:15" ht="24.6" customHeight="1" x14ac:dyDescent="0.3">
      <c r="B2" s="1">
        <v>1</v>
      </c>
      <c r="C2" s="2">
        <v>46086</v>
      </c>
      <c r="D2" s="1" t="s">
        <v>554</v>
      </c>
      <c r="E2" s="1" t="s">
        <v>94</v>
      </c>
      <c r="F2" s="1">
        <v>190819</v>
      </c>
      <c r="G2" s="1" t="s">
        <v>121</v>
      </c>
      <c r="H2" s="1">
        <v>16700</v>
      </c>
      <c r="K2" s="1">
        <f>1135+810+649.61+5010+150</f>
        <v>7754.6100000000006</v>
      </c>
      <c r="L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24454.61</v>
      </c>
      <c r="N2" s="1">
        <f>Table1181920231030313235383940414811151820[[#This Row],[اجمالي الفاتوره]]-Table1181920231030313235383940414811151820[[#This Row],[الدفعات]]</f>
        <v>24454.61</v>
      </c>
    </row>
    <row r="3" spans="1:15" ht="24.6" customHeight="1" x14ac:dyDescent="0.3">
      <c r="B3" s="1">
        <v>2</v>
      </c>
      <c r="C3" s="2" t="s">
        <v>442</v>
      </c>
      <c r="D3" s="1" t="s">
        <v>168</v>
      </c>
      <c r="E3" s="1" t="s">
        <v>94</v>
      </c>
      <c r="F3" s="1">
        <v>218371</v>
      </c>
      <c r="G3" s="1" t="s">
        <v>121</v>
      </c>
      <c r="H3" s="1">
        <v>16700</v>
      </c>
      <c r="K3" s="1">
        <f>1135+753.01+1282.5</f>
        <v>3170.51</v>
      </c>
      <c r="L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19870.510000000002</v>
      </c>
      <c r="N3" s="1">
        <f>N2+Table1181920231030313235383940414811151820[[#This Row],[اجمالي الفاتوره]]-Table1181920231030313235383940414811151820[[#This Row],[الدفعات]]</f>
        <v>44325.120000000003</v>
      </c>
    </row>
    <row r="4" spans="1:15" ht="24.6" customHeight="1" x14ac:dyDescent="0.3">
      <c r="A4" s="42"/>
      <c r="B4" s="1">
        <v>3</v>
      </c>
      <c r="C4" s="2">
        <v>46165</v>
      </c>
      <c r="D4" s="1" t="s">
        <v>168</v>
      </c>
      <c r="E4" s="1" t="s">
        <v>94</v>
      </c>
      <c r="F4" s="1">
        <v>237029</v>
      </c>
      <c r="G4" s="1" t="s">
        <v>120</v>
      </c>
      <c r="H4" s="1">
        <v>16700</v>
      </c>
      <c r="K4" s="1">
        <f>850+560+643.77+50+1305.3</f>
        <v>3409.0699999999997</v>
      </c>
      <c r="L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20109.07</v>
      </c>
      <c r="N4" s="1">
        <f>N3+Table1181920231030313235383940414811151820[[#This Row],[اجمالي الفاتوره]]-Table1181920231030313235383940414811151820[[#This Row],[الدفعات]]</f>
        <v>64434.19</v>
      </c>
    </row>
    <row r="5" spans="1:15" ht="24.6" customHeight="1" x14ac:dyDescent="0.3">
      <c r="B5" s="1">
        <v>4</v>
      </c>
      <c r="C5" s="2">
        <v>46165</v>
      </c>
      <c r="D5" s="1" t="s">
        <v>168</v>
      </c>
      <c r="E5" s="1" t="s">
        <v>94</v>
      </c>
      <c r="F5" s="1">
        <v>227639</v>
      </c>
      <c r="G5" s="1" t="s">
        <v>121</v>
      </c>
      <c r="H5" s="1">
        <v>16700</v>
      </c>
      <c r="K5" s="1">
        <f>1105+30+105.79+392.15+1544.7</f>
        <v>3177.6400000000003</v>
      </c>
      <c r="L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19877.64</v>
      </c>
      <c r="N5" s="1">
        <f>N4+Table1181920231030313235383940414811151820[[#This Row],[اجمالي الفاتوره]]-Table1181920231030313235383940414811151820[[#This Row],[الدفعات]]</f>
        <v>84311.83</v>
      </c>
    </row>
    <row r="6" spans="1:15" ht="24.6" customHeight="1" x14ac:dyDescent="0.3">
      <c r="A6" s="74"/>
      <c r="B6" s="72"/>
      <c r="C6" s="73">
        <v>46166</v>
      </c>
      <c r="D6" s="72"/>
      <c r="E6" s="72"/>
      <c r="F6" s="72"/>
      <c r="G6" s="72"/>
      <c r="H6" s="72"/>
      <c r="I6" s="72"/>
      <c r="J6" s="72"/>
      <c r="K6" s="72"/>
      <c r="L6" s="72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M6" s="72">
        <v>100000</v>
      </c>
      <c r="N6" s="72">
        <f>N5+Table1181920231030313235383940414811151820[[#This Row],[اجمالي الفاتوره]]-Table1181920231030313235383940414811151820[[#This Row],[الدفعات]]</f>
        <v>-15688.169999999998</v>
      </c>
    </row>
    <row r="7" spans="1:15" ht="24.6" customHeight="1" x14ac:dyDescent="0.3">
      <c r="B7" s="1">
        <v>5</v>
      </c>
      <c r="C7" s="2">
        <v>46174</v>
      </c>
      <c r="D7" s="1" t="s">
        <v>168</v>
      </c>
      <c r="E7" s="1" t="s">
        <v>94</v>
      </c>
      <c r="F7" s="1">
        <v>249700</v>
      </c>
      <c r="G7" s="1" t="s">
        <v>121</v>
      </c>
      <c r="H7" s="1">
        <v>16700</v>
      </c>
      <c r="K7" s="1">
        <f>33615+1100+349.34+1282.5+100</f>
        <v>36446.839999999997</v>
      </c>
      <c r="L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53146.84</v>
      </c>
      <c r="N7" s="1">
        <f>N6+Table1181920231030313235383940414811151820[[#This Row],[اجمالي الفاتوره]]-Table1181920231030313235383940414811151820[[#This Row],[الدفعات]]</f>
        <v>37458.67</v>
      </c>
    </row>
    <row r="8" spans="1:15" ht="24.6" customHeight="1" x14ac:dyDescent="0.3">
      <c r="A8" s="74"/>
      <c r="B8" s="72"/>
      <c r="C8" s="73">
        <v>46183</v>
      </c>
      <c r="D8" s="72"/>
      <c r="E8" s="72"/>
      <c r="F8" s="72"/>
      <c r="G8" s="85"/>
      <c r="H8" s="72"/>
      <c r="I8" s="72"/>
      <c r="J8" s="72"/>
      <c r="K8" s="72"/>
      <c r="L8" s="72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M8" s="72">
        <v>35000</v>
      </c>
      <c r="N8" s="72">
        <f>N7+Table1181920231030313235383940414811151820[[#This Row],[اجمالي الفاتوره]]-Table1181920231030313235383940414811151820[[#This Row],[الدفعات]]</f>
        <v>2458.6699999999983</v>
      </c>
    </row>
    <row r="9" spans="1:15" ht="24.6" customHeight="1" x14ac:dyDescent="0.3">
      <c r="A9" s="74"/>
      <c r="B9" s="72"/>
      <c r="C9" s="73"/>
      <c r="D9" s="72" t="s">
        <v>551</v>
      </c>
      <c r="E9" s="85"/>
      <c r="F9" s="85"/>
      <c r="G9" s="72"/>
      <c r="H9" s="72"/>
      <c r="I9" s="72"/>
      <c r="J9" s="72"/>
      <c r="K9" s="72"/>
      <c r="L9" s="72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M9" s="72">
        <v>2458.67</v>
      </c>
      <c r="N9" s="72">
        <f>N8+Table1181920231030313235383940414811151820[[#This Row],[اجمالي الفاتوره]]-Table1181920231030313235383940414811151820[[#This Row],[الدفعات]]</f>
        <v>0</v>
      </c>
    </row>
    <row r="10" spans="1:15" ht="24.6" customHeight="1" x14ac:dyDescent="0.3">
      <c r="C10" s="2"/>
      <c r="F10" s="20"/>
      <c r="L1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0" s="1">
        <f>N9+Table1181920231030313235383940414811151820[[#This Row],[اجمالي الفاتوره]]-Table1181920231030313235383940414811151820[[#This Row],[الدفعات]]</f>
        <v>0</v>
      </c>
    </row>
    <row r="11" spans="1:15" ht="24.6" customHeight="1" x14ac:dyDescent="0.3">
      <c r="C11" s="2"/>
      <c r="F11" s="20"/>
      <c r="L1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1" s="1">
        <f>N10+Table1181920231030313235383940414811151820[[#This Row],[اجمالي الفاتوره]]-Table1181920231030313235383940414811151820[[#This Row],[الدفعات]]</f>
        <v>0</v>
      </c>
    </row>
    <row r="12" spans="1:15" ht="24.6" customHeight="1" x14ac:dyDescent="0.3">
      <c r="C12" s="2"/>
      <c r="L1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2" s="1">
        <f>N11+Table1181920231030313235383940414811151820[[#This Row],[اجمالي الفاتوره]]-Table1181920231030313235383940414811151820[[#This Row],[الدفعات]]</f>
        <v>0</v>
      </c>
      <c r="O12" s="1">
        <f>SUM(L:L)-SUM(M:M)</f>
        <v>0</v>
      </c>
    </row>
    <row r="13" spans="1:15" ht="24.6" customHeight="1" x14ac:dyDescent="0.3">
      <c r="C13" s="2"/>
      <c r="L1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3" s="1">
        <f>N12+Table1181920231030313235383940414811151820[[#This Row],[اجمالي الفاتوره]]-Table1181920231030313235383940414811151820[[#This Row],[الدفعات]]</f>
        <v>0</v>
      </c>
    </row>
    <row r="14" spans="1:15" ht="24.6" customHeight="1" x14ac:dyDescent="0.3">
      <c r="C14" s="2"/>
      <c r="L1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4" s="1">
        <f>N13+Table1181920231030313235383940414811151820[[#This Row],[اجمالي الفاتوره]]-Table1181920231030313235383940414811151820[[#This Row],[الدفعات]]</f>
        <v>0</v>
      </c>
    </row>
    <row r="15" spans="1:15" ht="24.6" customHeight="1" x14ac:dyDescent="0.3">
      <c r="C15" s="2"/>
      <c r="L1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5" s="1">
        <f>N14+Table1181920231030313235383940414811151820[[#This Row],[اجمالي الفاتوره]]-Table1181920231030313235383940414811151820[[#This Row],[الدفعات]]</f>
        <v>0</v>
      </c>
    </row>
    <row r="16" spans="1:15" ht="24.6" customHeight="1" x14ac:dyDescent="0.3">
      <c r="C16" s="2"/>
      <c r="L1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6" s="1">
        <f>N15+Table1181920231030313235383940414811151820[[#This Row],[اجمالي الفاتوره]]-Table1181920231030313235383940414811151820[[#This Row],[الدفعات]]</f>
        <v>0</v>
      </c>
    </row>
    <row r="17" spans="3:14" s="1" customFormat="1" ht="24.6" customHeight="1" x14ac:dyDescent="0.3">
      <c r="C17" s="2"/>
      <c r="L1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7" s="1">
        <f>N16+Table1181920231030313235383940414811151820[[#This Row],[اجمالي الفاتوره]]-Table1181920231030313235383940414811151820[[#This Row],[الدفعات]]</f>
        <v>0</v>
      </c>
    </row>
    <row r="18" spans="3:14" s="1" customFormat="1" ht="24.6" customHeight="1" x14ac:dyDescent="0.3">
      <c r="C18" s="2"/>
      <c r="L1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8" s="1">
        <f>N17+Table1181920231030313235383940414811151820[[#This Row],[اجمالي الفاتوره]]-Table1181920231030313235383940414811151820[[#This Row],[الدفعات]]</f>
        <v>0</v>
      </c>
    </row>
    <row r="19" spans="3:14" s="1" customFormat="1" ht="24.6" customHeight="1" x14ac:dyDescent="0.3">
      <c r="C19" s="2"/>
      <c r="L1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9" s="1">
        <f>N18+Table1181920231030313235383940414811151820[[#This Row],[اجمالي الفاتوره]]-Table1181920231030313235383940414811151820[[#This Row],[الدفعات]]</f>
        <v>0</v>
      </c>
    </row>
    <row r="20" spans="3:14" s="1" customFormat="1" ht="24.6" customHeight="1" x14ac:dyDescent="0.3">
      <c r="C20" s="2"/>
      <c r="L2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0" s="1">
        <f>N19+Table1181920231030313235383940414811151820[[#This Row],[اجمالي الفاتوره]]-Table1181920231030313235383940414811151820[[#This Row],[الدفعات]]</f>
        <v>0</v>
      </c>
    </row>
    <row r="21" spans="3:14" s="1" customFormat="1" ht="24.6" customHeight="1" x14ac:dyDescent="0.3">
      <c r="C21" s="2"/>
      <c r="L2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1" s="1">
        <f>N20+Table1181920231030313235383940414811151820[[#This Row],[اجمالي الفاتوره]]-Table1181920231030313235383940414811151820[[#This Row],[الدفعات]]</f>
        <v>0</v>
      </c>
    </row>
    <row r="22" spans="3:14" s="1" customFormat="1" ht="24.6" customHeight="1" x14ac:dyDescent="0.3">
      <c r="C22" s="2"/>
      <c r="L2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2" s="1">
        <f>N21+Table1181920231030313235383940414811151820[[#This Row],[اجمالي الفاتوره]]-Table1181920231030313235383940414811151820[[#This Row],[الدفعات]]</f>
        <v>0</v>
      </c>
    </row>
    <row r="23" spans="3:14" s="1" customFormat="1" ht="24.6" customHeight="1" x14ac:dyDescent="0.3">
      <c r="C23" s="2"/>
      <c r="L2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3" s="1">
        <f>N22+Table1181920231030313235383940414811151820[[#This Row],[اجمالي الفاتوره]]-Table1181920231030313235383940414811151820[[#This Row],[الدفعات]]</f>
        <v>0</v>
      </c>
    </row>
    <row r="24" spans="3:14" s="1" customFormat="1" ht="24.6" customHeight="1" x14ac:dyDescent="0.3">
      <c r="L2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4" s="1">
        <f>N23+Table1181920231030313235383940414811151820[[#This Row],[اجمالي الفاتوره]]-Table1181920231030313235383940414811151820[[#This Row],[الدفعات]]</f>
        <v>0</v>
      </c>
    </row>
    <row r="25" spans="3:14" s="1" customFormat="1" ht="24.6" customHeight="1" x14ac:dyDescent="0.3">
      <c r="L2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5" s="1">
        <f>N24+Table1181920231030313235383940414811151820[[#This Row],[اجمالي الفاتوره]]-Table1181920231030313235383940414811151820[[#This Row],[الدفعات]]</f>
        <v>0</v>
      </c>
    </row>
    <row r="26" spans="3:14" s="1" customFormat="1" ht="24.6" customHeight="1" x14ac:dyDescent="0.3">
      <c r="C26" s="2"/>
      <c r="L2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6" s="1">
        <f>N25+Table1181920231030313235383940414811151820[[#This Row],[اجمالي الفاتوره]]-Table1181920231030313235383940414811151820[[#This Row],[الدفعات]]</f>
        <v>0</v>
      </c>
    </row>
    <row r="27" spans="3:14" s="1" customFormat="1" ht="24.6" customHeight="1" x14ac:dyDescent="0.3">
      <c r="C27" s="2"/>
      <c r="L2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7" s="1">
        <f>N26+Table1181920231030313235383940414811151820[[#This Row],[اجمالي الفاتوره]]-Table1181920231030313235383940414811151820[[#This Row],[الدفعات]]</f>
        <v>0</v>
      </c>
    </row>
    <row r="28" spans="3:14" s="1" customFormat="1" ht="24.6" customHeight="1" x14ac:dyDescent="0.3">
      <c r="C28" s="2"/>
      <c r="L2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8" s="1">
        <f>N27+Table1181920231030313235383940414811151820[[#This Row],[اجمالي الفاتوره]]-Table1181920231030313235383940414811151820[[#This Row],[الدفعات]]</f>
        <v>0</v>
      </c>
    </row>
    <row r="29" spans="3:14" s="1" customFormat="1" ht="24.6" customHeight="1" x14ac:dyDescent="0.3">
      <c r="C29" s="2"/>
      <c r="L2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9" s="1">
        <f>N28+Table1181920231030313235383940414811151820[[#This Row],[اجمالي الفاتوره]]-Table1181920231030313235383940414811151820[[#This Row],[الدفعات]]</f>
        <v>0</v>
      </c>
    </row>
    <row r="30" spans="3:14" s="1" customFormat="1" ht="24.6" customHeight="1" x14ac:dyDescent="0.3">
      <c r="L3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0" s="1">
        <f>N29+Table1181920231030313235383940414811151820[[#This Row],[اجمالي الفاتوره]]-Table1181920231030313235383940414811151820[[#This Row],[الدفعات]]</f>
        <v>0</v>
      </c>
    </row>
    <row r="31" spans="3:14" s="1" customFormat="1" ht="24.6" customHeight="1" x14ac:dyDescent="0.3">
      <c r="C31" s="2"/>
      <c r="L3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1" s="1">
        <f>N30+Table1181920231030313235383940414811151820[[#This Row],[اجمالي الفاتوره]]-Table1181920231030313235383940414811151820[[#This Row],[الدفعات]]</f>
        <v>0</v>
      </c>
    </row>
    <row r="32" spans="3:14" s="1" customFormat="1" ht="24.6" customHeight="1" x14ac:dyDescent="0.3">
      <c r="L3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2" s="1">
        <f>N31+Table1181920231030313235383940414811151820[[#This Row],[اجمالي الفاتوره]]-Table1181920231030313235383940414811151820[[#This Row],[الدفعات]]</f>
        <v>0</v>
      </c>
    </row>
    <row r="33" spans="3:14" s="1" customFormat="1" ht="24.6" customHeight="1" x14ac:dyDescent="0.3">
      <c r="L3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3" s="1">
        <f>N32+Table1181920231030313235383940414811151820[[#This Row],[اجمالي الفاتوره]]-Table1181920231030313235383940414811151820[[#This Row],[الدفعات]]</f>
        <v>0</v>
      </c>
    </row>
    <row r="34" spans="3:14" s="1" customFormat="1" ht="24.6" customHeight="1" x14ac:dyDescent="0.3">
      <c r="L3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4" s="1">
        <f>N33+Table1181920231030313235383940414811151820[[#This Row],[اجمالي الفاتوره]]-Table1181920231030313235383940414811151820[[#This Row],[الدفعات]]</f>
        <v>0</v>
      </c>
    </row>
    <row r="35" spans="3:14" s="1" customFormat="1" ht="24.6" customHeight="1" x14ac:dyDescent="0.3">
      <c r="C35" s="2"/>
      <c r="D35" s="2"/>
      <c r="L3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5" s="1">
        <f>N34+Table1181920231030313235383940414811151820[[#This Row],[اجمالي الفاتوره]]-Table1181920231030313235383940414811151820[[#This Row],[الدفعات]]</f>
        <v>0</v>
      </c>
    </row>
    <row r="36" spans="3:14" s="1" customFormat="1" ht="24.6" customHeight="1" x14ac:dyDescent="0.3">
      <c r="L3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6" s="1">
        <f>N35+Table1181920231030313235383940414811151820[[#This Row],[اجمالي الفاتوره]]-Table1181920231030313235383940414811151820[[#This Row],[الدفعات]]</f>
        <v>0</v>
      </c>
    </row>
    <row r="37" spans="3:14" s="1" customFormat="1" ht="24.6" customHeight="1" x14ac:dyDescent="0.3">
      <c r="L3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7" s="1">
        <f>N36+Table1181920231030313235383940414811151820[[#This Row],[اجمالي الفاتوره]]-Table1181920231030313235383940414811151820[[#This Row],[الدفعات]]</f>
        <v>0</v>
      </c>
    </row>
    <row r="38" spans="3:14" s="1" customFormat="1" ht="24.6" customHeight="1" x14ac:dyDescent="0.3">
      <c r="L3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8" s="1">
        <f>N37+Table1181920231030313235383940414811151820[[#This Row],[اجمالي الفاتوره]]-Table1181920231030313235383940414811151820[[#This Row],[الدفعات]]</f>
        <v>0</v>
      </c>
    </row>
    <row r="39" spans="3:14" s="1" customFormat="1" ht="24.6" customHeight="1" x14ac:dyDescent="0.3">
      <c r="L3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9" s="1">
        <f>N38+Table1181920231030313235383940414811151820[[#This Row],[اجمالي الفاتوره]]-Table1181920231030313235383940414811151820[[#This Row],[الدفعات]]</f>
        <v>0</v>
      </c>
    </row>
    <row r="40" spans="3:14" s="1" customFormat="1" ht="24.6" customHeight="1" x14ac:dyDescent="0.3">
      <c r="L4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40" s="1">
        <f>N39+Table1181920231030313235383940414811151820[[#This Row],[اجمالي الفاتوره]]-Table1181920231030313235383940414811151820[[#This Row],[الدفعات]]</f>
        <v>0</v>
      </c>
    </row>
    <row r="41" spans="3:14" s="1" customFormat="1" ht="24.6" customHeight="1" x14ac:dyDescent="0.3">
      <c r="L4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41" s="1">
        <f>N40+Table1181920231030313235383940414811151820[[#This Row],[اجمالي الفاتوره]]-Table1181920231030313235383940414811151820[[#This Row],[الدفعات]]</f>
        <v>0</v>
      </c>
    </row>
    <row r="42" spans="3:14" s="1" customFormat="1" ht="24.6" customHeight="1" x14ac:dyDescent="0.3">
      <c r="L4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42" s="1">
        <f>N41+Table1181920231030313235383940414811151820[[#This Row],[اجمالي الفاتوره]]-Table1181920231030313235383940414811151820[[#This Row],[الدفعات]]</f>
        <v>0</v>
      </c>
    </row>
    <row r="43" spans="3:14" s="1" customFormat="1" ht="24.6" customHeight="1" x14ac:dyDescent="0.3">
      <c r="L4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43" s="1">
        <f>N42+Table1181920231030313235383940414811151820[[#This Row],[اجمالي الفاتوره]]-Table1181920231030313235383940414811151820[[#This Row],[الدفعات]]</f>
        <v>0</v>
      </c>
    </row>
    <row r="44" spans="3:14" s="1" customFormat="1" ht="24.6" customHeight="1" x14ac:dyDescent="0.3">
      <c r="L4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44" s="1">
        <f>N43+Table1181920231030313235383940414811151820[[#This Row],[اجمالي الفاتوره]]-Table1181920231030313235383940414811151820[[#This Row],[الدفعات]]</f>
        <v>0</v>
      </c>
    </row>
    <row r="45" spans="3:14" s="1" customFormat="1" ht="24.6" customHeight="1" x14ac:dyDescent="0.3">
      <c r="L4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45" s="1">
        <f>N44+Table1181920231030313235383940414811151820[[#This Row],[اجمالي الفاتوره]]-Table1181920231030313235383940414811151820[[#This Row],[الدفعات]]</f>
        <v>0</v>
      </c>
    </row>
    <row r="46" spans="3:14" s="1" customFormat="1" ht="24.6" customHeight="1" x14ac:dyDescent="0.3">
      <c r="L4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46" s="1">
        <f>N45+Table1181920231030313235383940414811151820[[#This Row],[اجمالي الفاتوره]]-Table1181920231030313235383940414811151820[[#This Row],[الدفعات]]</f>
        <v>0</v>
      </c>
    </row>
    <row r="47" spans="3:14" s="1" customFormat="1" ht="24.6" customHeight="1" x14ac:dyDescent="0.3">
      <c r="L4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47" s="1">
        <f>N46+Table1181920231030313235383940414811151820[[#This Row],[اجمالي الفاتوره]]-Table1181920231030313235383940414811151820[[#This Row],[الدفعات]]</f>
        <v>0</v>
      </c>
    </row>
    <row r="48" spans="3:14" s="1" customFormat="1" ht="24.6" customHeight="1" x14ac:dyDescent="0.3">
      <c r="L4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48" s="1">
        <f>N47+Table1181920231030313235383940414811151820[[#This Row],[اجمالي الفاتوره]]-Table1181920231030313235383940414811151820[[#This Row],[الدفعات]]</f>
        <v>0</v>
      </c>
    </row>
    <row r="49" spans="12:14" s="1" customFormat="1" ht="24.6" customHeight="1" x14ac:dyDescent="0.3">
      <c r="L4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49" s="1">
        <f>N48+Table1181920231030313235383940414811151820[[#This Row],[اجمالي الفاتوره]]-Table1181920231030313235383940414811151820[[#This Row],[الدفعات]]</f>
        <v>0</v>
      </c>
    </row>
    <row r="50" spans="12:14" s="1" customFormat="1" ht="24.6" customHeight="1" x14ac:dyDescent="0.3">
      <c r="L5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50" s="1">
        <f>N49+Table1181920231030313235383940414811151820[[#This Row],[اجمالي الفاتوره]]-Table1181920231030313235383940414811151820[[#This Row],[الدفعات]]</f>
        <v>0</v>
      </c>
    </row>
    <row r="51" spans="12:14" s="1" customFormat="1" ht="24.6" customHeight="1" x14ac:dyDescent="0.3">
      <c r="L5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51" s="1">
        <f>N50+Table1181920231030313235383940414811151820[[#This Row],[اجمالي الفاتوره]]-Table1181920231030313235383940414811151820[[#This Row],[الدفعات]]</f>
        <v>0</v>
      </c>
    </row>
    <row r="52" spans="12:14" s="1" customFormat="1" ht="24.6" customHeight="1" x14ac:dyDescent="0.3">
      <c r="L5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52" s="1">
        <f>N51+Table1181920231030313235383940414811151820[[#This Row],[اجمالي الفاتوره]]-Table1181920231030313235383940414811151820[[#This Row],[الدفعات]]</f>
        <v>0</v>
      </c>
    </row>
    <row r="53" spans="12:14" s="1" customFormat="1" ht="24.6" customHeight="1" x14ac:dyDescent="0.3">
      <c r="L5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53" s="1">
        <f>N52+Table1181920231030313235383940414811151820[[#This Row],[اجمالي الفاتوره]]-Table1181920231030313235383940414811151820[[#This Row],[الدفعات]]</f>
        <v>0</v>
      </c>
    </row>
    <row r="54" spans="12:14" s="1" customFormat="1" ht="24.6" customHeight="1" x14ac:dyDescent="0.3">
      <c r="L5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54" s="1">
        <f>N53+Table1181920231030313235383940414811151820[[#This Row],[اجمالي الفاتوره]]-Table1181920231030313235383940414811151820[[#This Row],[الدفعات]]</f>
        <v>0</v>
      </c>
    </row>
    <row r="55" spans="12:14" s="1" customFormat="1" ht="24.6" customHeight="1" x14ac:dyDescent="0.3">
      <c r="L5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55" s="1">
        <f>N54+Table1181920231030313235383940414811151820[[#This Row],[اجمالي الفاتوره]]-Table1181920231030313235383940414811151820[[#This Row],[الدفعات]]</f>
        <v>0</v>
      </c>
    </row>
    <row r="56" spans="12:14" s="1" customFormat="1" ht="24.6" customHeight="1" x14ac:dyDescent="0.3">
      <c r="L5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56" s="1">
        <f>N55+Table1181920231030313235383940414811151820[[#This Row],[اجمالي الفاتوره]]-Table1181920231030313235383940414811151820[[#This Row],[الدفعات]]</f>
        <v>0</v>
      </c>
    </row>
    <row r="57" spans="12:14" s="1" customFormat="1" ht="24.6" customHeight="1" x14ac:dyDescent="0.3">
      <c r="L5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57" s="1">
        <f>N56+Table1181920231030313235383940414811151820[[#This Row],[اجمالي الفاتوره]]-Table1181920231030313235383940414811151820[[#This Row],[الدفعات]]</f>
        <v>0</v>
      </c>
    </row>
    <row r="58" spans="12:14" s="1" customFormat="1" ht="24.6" customHeight="1" x14ac:dyDescent="0.3">
      <c r="L5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58" s="1">
        <f>N57+Table1181920231030313235383940414811151820[[#This Row],[اجمالي الفاتوره]]-Table1181920231030313235383940414811151820[[#This Row],[الدفعات]]</f>
        <v>0</v>
      </c>
    </row>
    <row r="59" spans="12:14" s="1" customFormat="1" ht="24.6" customHeight="1" x14ac:dyDescent="0.3">
      <c r="L5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59" s="1">
        <f>N58+Table1181920231030313235383940414811151820[[#This Row],[اجمالي الفاتوره]]-Table1181920231030313235383940414811151820[[#This Row],[الدفعات]]</f>
        <v>0</v>
      </c>
    </row>
    <row r="60" spans="12:14" s="1" customFormat="1" ht="24.6" customHeight="1" x14ac:dyDescent="0.3">
      <c r="L6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60" s="1">
        <f>N59+Table1181920231030313235383940414811151820[[#This Row],[اجمالي الفاتوره]]-Table1181920231030313235383940414811151820[[#This Row],[الدفعات]]</f>
        <v>0</v>
      </c>
    </row>
    <row r="61" spans="12:14" s="1" customFormat="1" ht="24.6" customHeight="1" x14ac:dyDescent="0.3">
      <c r="L6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61" s="1">
        <f>N60+Table1181920231030313235383940414811151820[[#This Row],[اجمالي الفاتوره]]-Table1181920231030313235383940414811151820[[#This Row],[الدفعات]]</f>
        <v>0</v>
      </c>
    </row>
    <row r="62" spans="12:14" s="1" customFormat="1" ht="24.6" customHeight="1" x14ac:dyDescent="0.3">
      <c r="L6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62" s="1">
        <f>N61+Table1181920231030313235383940414811151820[[#This Row],[اجمالي الفاتوره]]-Table1181920231030313235383940414811151820[[#This Row],[الدفعات]]</f>
        <v>0</v>
      </c>
    </row>
    <row r="63" spans="12:14" s="1" customFormat="1" ht="24.6" customHeight="1" x14ac:dyDescent="0.3">
      <c r="L6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63" s="1">
        <f>N62+Table1181920231030313235383940414811151820[[#This Row],[اجمالي الفاتوره]]-Table1181920231030313235383940414811151820[[#This Row],[الدفعات]]</f>
        <v>0</v>
      </c>
    </row>
    <row r="64" spans="12:14" s="1" customFormat="1" ht="24.6" customHeight="1" x14ac:dyDescent="0.3">
      <c r="L6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64" s="1">
        <f>N63+Table1181920231030313235383940414811151820[[#This Row],[اجمالي الفاتوره]]-Table1181920231030313235383940414811151820[[#This Row],[الدفعات]]</f>
        <v>0</v>
      </c>
    </row>
    <row r="65" spans="12:14" s="1" customFormat="1" ht="24.6" customHeight="1" x14ac:dyDescent="0.3">
      <c r="L6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65" s="1">
        <f>N64+Table1181920231030313235383940414811151820[[#This Row],[اجمالي الفاتوره]]-Table1181920231030313235383940414811151820[[#This Row],[الدفعات]]</f>
        <v>0</v>
      </c>
    </row>
    <row r="66" spans="12:14" s="1" customFormat="1" ht="24.6" customHeight="1" x14ac:dyDescent="0.3">
      <c r="L6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66" s="1">
        <f>N65+Table1181920231030313235383940414811151820[[#This Row],[اجمالي الفاتوره]]-Table1181920231030313235383940414811151820[[#This Row],[الدفعات]]</f>
        <v>0</v>
      </c>
    </row>
    <row r="67" spans="12:14" s="1" customFormat="1" ht="24.6" customHeight="1" x14ac:dyDescent="0.3">
      <c r="L6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67" s="1">
        <f>N66+Table1181920231030313235383940414811151820[[#This Row],[اجمالي الفاتوره]]-Table1181920231030313235383940414811151820[[#This Row],[الدفعات]]</f>
        <v>0</v>
      </c>
    </row>
    <row r="68" spans="12:14" s="1" customFormat="1" ht="24.6" customHeight="1" x14ac:dyDescent="0.3">
      <c r="L6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68" s="1">
        <f>N67+Table1181920231030313235383940414811151820[[#This Row],[اجمالي الفاتوره]]-Table1181920231030313235383940414811151820[[#This Row],[الدفعات]]</f>
        <v>0</v>
      </c>
    </row>
    <row r="69" spans="12:14" s="1" customFormat="1" ht="24.6" customHeight="1" x14ac:dyDescent="0.3">
      <c r="L6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69" s="1">
        <f>N68+Table1181920231030313235383940414811151820[[#This Row],[اجمالي الفاتوره]]-Table1181920231030313235383940414811151820[[#This Row],[الدفعات]]</f>
        <v>0</v>
      </c>
    </row>
    <row r="70" spans="12:14" s="1" customFormat="1" ht="24.6" customHeight="1" x14ac:dyDescent="0.3">
      <c r="L7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70" s="1">
        <f>N69+Table1181920231030313235383940414811151820[[#This Row],[اجمالي الفاتوره]]-Table1181920231030313235383940414811151820[[#This Row],[الدفعات]]</f>
        <v>0</v>
      </c>
    </row>
    <row r="71" spans="12:14" s="1" customFormat="1" ht="24.6" customHeight="1" x14ac:dyDescent="0.3">
      <c r="L7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71" s="1">
        <f>N70+Table1181920231030313235383940414811151820[[#This Row],[اجمالي الفاتوره]]-Table1181920231030313235383940414811151820[[#This Row],[الدفعات]]</f>
        <v>0</v>
      </c>
    </row>
    <row r="72" spans="12:14" s="1" customFormat="1" ht="24.6" customHeight="1" x14ac:dyDescent="0.3">
      <c r="L7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72" s="1">
        <f>N71+Table1181920231030313235383940414811151820[[#This Row],[اجمالي الفاتوره]]-Table1181920231030313235383940414811151820[[#This Row],[الدفعات]]</f>
        <v>0</v>
      </c>
    </row>
    <row r="73" spans="12:14" s="1" customFormat="1" ht="24.6" customHeight="1" x14ac:dyDescent="0.3">
      <c r="L7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73" s="1">
        <f>N72+Table1181920231030313235383940414811151820[[#This Row],[اجمالي الفاتوره]]-Table1181920231030313235383940414811151820[[#This Row],[الدفعات]]</f>
        <v>0</v>
      </c>
    </row>
    <row r="74" spans="12:14" s="1" customFormat="1" ht="24.6" customHeight="1" x14ac:dyDescent="0.3">
      <c r="L7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74" s="1">
        <f>N73+Table1181920231030313235383940414811151820[[#This Row],[اجمالي الفاتوره]]-Table1181920231030313235383940414811151820[[#This Row],[الدفعات]]</f>
        <v>0</v>
      </c>
    </row>
    <row r="75" spans="12:14" s="1" customFormat="1" ht="24.6" customHeight="1" x14ac:dyDescent="0.3">
      <c r="L7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75" s="1">
        <f>N74+Table1181920231030313235383940414811151820[[#This Row],[اجمالي الفاتوره]]-Table1181920231030313235383940414811151820[[#This Row],[الدفعات]]</f>
        <v>0</v>
      </c>
    </row>
    <row r="76" spans="12:14" s="1" customFormat="1" ht="24.6" customHeight="1" x14ac:dyDescent="0.3">
      <c r="L7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76" s="1">
        <f>N75+Table1181920231030313235383940414811151820[[#This Row],[اجمالي الفاتوره]]-Table1181920231030313235383940414811151820[[#This Row],[الدفعات]]</f>
        <v>0</v>
      </c>
    </row>
    <row r="77" spans="12:14" s="1" customFormat="1" ht="24.6" customHeight="1" x14ac:dyDescent="0.3">
      <c r="L7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77" s="1">
        <f>N76+Table1181920231030313235383940414811151820[[#This Row],[اجمالي الفاتوره]]-Table1181920231030313235383940414811151820[[#This Row],[الدفعات]]</f>
        <v>0</v>
      </c>
    </row>
    <row r="78" spans="12:14" s="1" customFormat="1" ht="24.6" customHeight="1" x14ac:dyDescent="0.3">
      <c r="L7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78" s="1">
        <f>N77+Table1181920231030313235383940414811151820[[#This Row],[اجمالي الفاتوره]]-Table1181920231030313235383940414811151820[[#This Row],[الدفعات]]</f>
        <v>0</v>
      </c>
    </row>
    <row r="79" spans="12:14" s="1" customFormat="1" ht="24.6" customHeight="1" x14ac:dyDescent="0.3">
      <c r="L7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79" s="1">
        <f>N78+Table1181920231030313235383940414811151820[[#This Row],[اجمالي الفاتوره]]-Table1181920231030313235383940414811151820[[#This Row],[الدفعات]]</f>
        <v>0</v>
      </c>
    </row>
    <row r="80" spans="12:14" s="1" customFormat="1" ht="24.6" customHeight="1" x14ac:dyDescent="0.3">
      <c r="L8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80" s="1">
        <f>N79+Table1181920231030313235383940414811151820[[#This Row],[اجمالي الفاتوره]]-Table1181920231030313235383940414811151820[[#This Row],[الدفعات]]</f>
        <v>0</v>
      </c>
    </row>
    <row r="81" spans="12:14" s="1" customFormat="1" ht="24.6" customHeight="1" x14ac:dyDescent="0.3">
      <c r="L8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81" s="1">
        <f>N80+Table1181920231030313235383940414811151820[[#This Row],[اجمالي الفاتوره]]-Table1181920231030313235383940414811151820[[#This Row],[الدفعات]]</f>
        <v>0</v>
      </c>
    </row>
    <row r="82" spans="12:14" s="1" customFormat="1" ht="24.6" customHeight="1" x14ac:dyDescent="0.3">
      <c r="L8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82" s="1">
        <f>N81+Table1181920231030313235383940414811151820[[#This Row],[اجمالي الفاتوره]]-Table1181920231030313235383940414811151820[[#This Row],[الدفعات]]</f>
        <v>0</v>
      </c>
    </row>
    <row r="83" spans="12:14" s="1" customFormat="1" ht="24.6" customHeight="1" x14ac:dyDescent="0.3">
      <c r="L8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83" s="1">
        <f>N82+Table1181920231030313235383940414811151820[[#This Row],[اجمالي الفاتوره]]-Table1181920231030313235383940414811151820[[#This Row],[الدفعات]]</f>
        <v>0</v>
      </c>
    </row>
    <row r="84" spans="12:14" s="1" customFormat="1" ht="24.6" customHeight="1" x14ac:dyDescent="0.3">
      <c r="L8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84" s="1">
        <f>N83+Table1181920231030313235383940414811151820[[#This Row],[اجمالي الفاتوره]]-Table1181920231030313235383940414811151820[[#This Row],[الدفعات]]</f>
        <v>0</v>
      </c>
    </row>
    <row r="85" spans="12:14" s="1" customFormat="1" ht="24.6" customHeight="1" x14ac:dyDescent="0.3">
      <c r="L8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85" s="1">
        <f>N84+Table1181920231030313235383940414811151820[[#This Row],[اجمالي الفاتوره]]-Table1181920231030313235383940414811151820[[#This Row],[الدفعات]]</f>
        <v>0</v>
      </c>
    </row>
    <row r="86" spans="12:14" s="1" customFormat="1" ht="24.6" customHeight="1" x14ac:dyDescent="0.3">
      <c r="L8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86" s="1">
        <f>N85+Table1181920231030313235383940414811151820[[#This Row],[اجمالي الفاتوره]]-Table1181920231030313235383940414811151820[[#This Row],[الدفعات]]</f>
        <v>0</v>
      </c>
    </row>
    <row r="87" spans="12:14" s="1" customFormat="1" ht="24.6" customHeight="1" x14ac:dyDescent="0.3">
      <c r="L8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87" s="1">
        <f>N86+Table1181920231030313235383940414811151820[[#This Row],[اجمالي الفاتوره]]-Table1181920231030313235383940414811151820[[#This Row],[الدفعات]]</f>
        <v>0</v>
      </c>
    </row>
    <row r="88" spans="12:14" s="1" customFormat="1" ht="24.6" customHeight="1" x14ac:dyDescent="0.3">
      <c r="L8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88" s="1">
        <f>N87+Table1181920231030313235383940414811151820[[#This Row],[اجمالي الفاتوره]]-Table1181920231030313235383940414811151820[[#This Row],[الدفعات]]</f>
        <v>0</v>
      </c>
    </row>
    <row r="89" spans="12:14" s="1" customFormat="1" ht="24.6" customHeight="1" x14ac:dyDescent="0.3">
      <c r="L8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89" s="1">
        <f>N88+Table1181920231030313235383940414811151820[[#This Row],[اجمالي الفاتوره]]-Table1181920231030313235383940414811151820[[#This Row],[الدفعات]]</f>
        <v>0</v>
      </c>
    </row>
    <row r="90" spans="12:14" s="1" customFormat="1" ht="24.6" customHeight="1" x14ac:dyDescent="0.3">
      <c r="L9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90" s="1">
        <f>N89+Table1181920231030313235383940414811151820[[#This Row],[اجمالي الفاتوره]]-Table1181920231030313235383940414811151820[[#This Row],[الدفعات]]</f>
        <v>0</v>
      </c>
    </row>
    <row r="91" spans="12:14" s="1" customFormat="1" ht="24.6" customHeight="1" x14ac:dyDescent="0.3">
      <c r="L9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91" s="1">
        <f>N90+Table1181920231030313235383940414811151820[[#This Row],[اجمالي الفاتوره]]-Table1181920231030313235383940414811151820[[#This Row],[الدفعات]]</f>
        <v>0</v>
      </c>
    </row>
    <row r="92" spans="12:14" s="1" customFormat="1" ht="24.6" customHeight="1" x14ac:dyDescent="0.3">
      <c r="L9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92" s="1">
        <f>N91+Table1181920231030313235383940414811151820[[#This Row],[اجمالي الفاتوره]]-Table1181920231030313235383940414811151820[[#This Row],[الدفعات]]</f>
        <v>0</v>
      </c>
    </row>
    <row r="93" spans="12:14" s="1" customFormat="1" ht="24.6" customHeight="1" x14ac:dyDescent="0.3">
      <c r="L9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93" s="1">
        <f>N92+Table1181920231030313235383940414811151820[[#This Row],[اجمالي الفاتوره]]-Table1181920231030313235383940414811151820[[#This Row],[الدفعات]]</f>
        <v>0</v>
      </c>
    </row>
    <row r="94" spans="12:14" s="1" customFormat="1" ht="24.6" customHeight="1" x14ac:dyDescent="0.3">
      <c r="L9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94" s="1">
        <f>N93+Table1181920231030313235383940414811151820[[#This Row],[اجمالي الفاتوره]]-Table1181920231030313235383940414811151820[[#This Row],[الدفعات]]</f>
        <v>0</v>
      </c>
    </row>
    <row r="95" spans="12:14" s="1" customFormat="1" ht="24.6" customHeight="1" x14ac:dyDescent="0.3">
      <c r="L9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95" s="1">
        <f>N94+Table1181920231030313235383940414811151820[[#This Row],[اجمالي الفاتوره]]-Table1181920231030313235383940414811151820[[#This Row],[الدفعات]]</f>
        <v>0</v>
      </c>
    </row>
    <row r="96" spans="12:14" s="1" customFormat="1" ht="24.6" customHeight="1" x14ac:dyDescent="0.3">
      <c r="L9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96" s="1">
        <f>N95+Table1181920231030313235383940414811151820[[#This Row],[اجمالي الفاتوره]]-Table1181920231030313235383940414811151820[[#This Row],[الدفعات]]</f>
        <v>0</v>
      </c>
    </row>
    <row r="97" spans="12:14" s="1" customFormat="1" ht="24.6" customHeight="1" x14ac:dyDescent="0.3">
      <c r="L9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97" s="1">
        <f>N96+Table1181920231030313235383940414811151820[[#This Row],[اجمالي الفاتوره]]-Table1181920231030313235383940414811151820[[#This Row],[الدفعات]]</f>
        <v>0</v>
      </c>
    </row>
    <row r="98" spans="12:14" s="1" customFormat="1" ht="24.6" customHeight="1" x14ac:dyDescent="0.3">
      <c r="L9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98" s="1">
        <f>N97+Table1181920231030313235383940414811151820[[#This Row],[اجمالي الفاتوره]]-Table1181920231030313235383940414811151820[[#This Row],[الدفعات]]</f>
        <v>0</v>
      </c>
    </row>
    <row r="99" spans="12:14" s="1" customFormat="1" ht="24.6" customHeight="1" x14ac:dyDescent="0.3">
      <c r="L9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99" s="1">
        <f>N98+Table1181920231030313235383940414811151820[[#This Row],[اجمالي الفاتوره]]-Table1181920231030313235383940414811151820[[#This Row],[الدفعات]]</f>
        <v>0</v>
      </c>
    </row>
    <row r="100" spans="12:14" s="1" customFormat="1" ht="24.6" customHeight="1" x14ac:dyDescent="0.3">
      <c r="L10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00" s="1">
        <f>N99+Table1181920231030313235383940414811151820[[#This Row],[اجمالي الفاتوره]]-Table1181920231030313235383940414811151820[[#This Row],[الدفعات]]</f>
        <v>0</v>
      </c>
    </row>
    <row r="101" spans="12:14" s="1" customFormat="1" ht="24.6" customHeight="1" x14ac:dyDescent="0.3">
      <c r="L10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01" s="1">
        <f>N100+Table1181920231030313235383940414811151820[[#This Row],[اجمالي الفاتوره]]-Table1181920231030313235383940414811151820[[#This Row],[الدفعات]]</f>
        <v>0</v>
      </c>
    </row>
    <row r="102" spans="12:14" s="1" customFormat="1" ht="24.6" customHeight="1" x14ac:dyDescent="0.3">
      <c r="L10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02" s="1">
        <f>N101+Table1181920231030313235383940414811151820[[#This Row],[اجمالي الفاتوره]]-Table1181920231030313235383940414811151820[[#This Row],[الدفعات]]</f>
        <v>0</v>
      </c>
    </row>
    <row r="103" spans="12:14" s="1" customFormat="1" ht="24.6" customHeight="1" x14ac:dyDescent="0.3">
      <c r="L10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03" s="1">
        <f>N102+Table1181920231030313235383940414811151820[[#This Row],[اجمالي الفاتوره]]-Table1181920231030313235383940414811151820[[#This Row],[الدفعات]]</f>
        <v>0</v>
      </c>
    </row>
    <row r="104" spans="12:14" s="1" customFormat="1" ht="24.6" customHeight="1" x14ac:dyDescent="0.3">
      <c r="L10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04" s="1">
        <f>N103+Table1181920231030313235383940414811151820[[#This Row],[اجمالي الفاتوره]]-Table1181920231030313235383940414811151820[[#This Row],[الدفعات]]</f>
        <v>0</v>
      </c>
    </row>
    <row r="105" spans="12:14" s="1" customFormat="1" ht="24.6" customHeight="1" x14ac:dyDescent="0.3">
      <c r="L10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05" s="1">
        <f>N104+Table1181920231030313235383940414811151820[[#This Row],[اجمالي الفاتوره]]-Table1181920231030313235383940414811151820[[#This Row],[الدفعات]]</f>
        <v>0</v>
      </c>
    </row>
    <row r="106" spans="12:14" s="1" customFormat="1" ht="24.6" customHeight="1" x14ac:dyDescent="0.3">
      <c r="L10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06" s="1">
        <f>N105+Table1181920231030313235383940414811151820[[#This Row],[اجمالي الفاتوره]]-Table1181920231030313235383940414811151820[[#This Row],[الدفعات]]</f>
        <v>0</v>
      </c>
    </row>
    <row r="107" spans="12:14" s="1" customFormat="1" ht="24.6" customHeight="1" x14ac:dyDescent="0.3">
      <c r="L10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07" s="1">
        <f>N106+Table1181920231030313235383940414811151820[[#This Row],[اجمالي الفاتوره]]-Table1181920231030313235383940414811151820[[#This Row],[الدفعات]]</f>
        <v>0</v>
      </c>
    </row>
    <row r="108" spans="12:14" s="1" customFormat="1" ht="24.6" customHeight="1" x14ac:dyDescent="0.3">
      <c r="L10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08" s="1">
        <f>N107+Table1181920231030313235383940414811151820[[#This Row],[اجمالي الفاتوره]]-Table1181920231030313235383940414811151820[[#This Row],[الدفعات]]</f>
        <v>0</v>
      </c>
    </row>
    <row r="109" spans="12:14" s="1" customFormat="1" ht="24.6" customHeight="1" x14ac:dyDescent="0.3">
      <c r="L10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09" s="1">
        <f>N108+Table1181920231030313235383940414811151820[[#This Row],[اجمالي الفاتوره]]-Table1181920231030313235383940414811151820[[#This Row],[الدفعات]]</f>
        <v>0</v>
      </c>
    </row>
    <row r="110" spans="12:14" s="1" customFormat="1" ht="24.6" customHeight="1" x14ac:dyDescent="0.3">
      <c r="L11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10" s="1">
        <f>N109+Table1181920231030313235383940414811151820[[#This Row],[اجمالي الفاتوره]]-Table1181920231030313235383940414811151820[[#This Row],[الدفعات]]</f>
        <v>0</v>
      </c>
    </row>
    <row r="111" spans="12:14" s="1" customFormat="1" ht="24.6" customHeight="1" x14ac:dyDescent="0.3">
      <c r="L11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11" s="1">
        <f>N110+Table1181920231030313235383940414811151820[[#This Row],[اجمالي الفاتوره]]-Table1181920231030313235383940414811151820[[#This Row],[الدفعات]]</f>
        <v>0</v>
      </c>
    </row>
    <row r="112" spans="12:14" s="1" customFormat="1" ht="24.6" customHeight="1" x14ac:dyDescent="0.3">
      <c r="L11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12" s="1">
        <f>N111+Table1181920231030313235383940414811151820[[#This Row],[اجمالي الفاتوره]]-Table1181920231030313235383940414811151820[[#This Row],[الدفعات]]</f>
        <v>0</v>
      </c>
    </row>
    <row r="113" spans="12:14" s="1" customFormat="1" ht="24.6" customHeight="1" x14ac:dyDescent="0.3">
      <c r="L11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13" s="1">
        <f>N112+Table1181920231030313235383940414811151820[[#This Row],[اجمالي الفاتوره]]-Table1181920231030313235383940414811151820[[#This Row],[الدفعات]]</f>
        <v>0</v>
      </c>
    </row>
    <row r="114" spans="12:14" s="1" customFormat="1" ht="24.6" customHeight="1" x14ac:dyDescent="0.3">
      <c r="L11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14" s="1">
        <f>N113+Table1181920231030313235383940414811151820[[#This Row],[اجمالي الفاتوره]]-Table1181920231030313235383940414811151820[[#This Row],[الدفعات]]</f>
        <v>0</v>
      </c>
    </row>
    <row r="115" spans="12:14" s="1" customFormat="1" ht="24.6" customHeight="1" x14ac:dyDescent="0.3">
      <c r="L11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15" s="1">
        <f>N114+Table1181920231030313235383940414811151820[[#This Row],[اجمالي الفاتوره]]-Table1181920231030313235383940414811151820[[#This Row],[الدفعات]]</f>
        <v>0</v>
      </c>
    </row>
    <row r="116" spans="12:14" s="1" customFormat="1" ht="24.6" customHeight="1" x14ac:dyDescent="0.3">
      <c r="L11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16" s="1">
        <f>N115+Table1181920231030313235383940414811151820[[#This Row],[اجمالي الفاتوره]]-Table1181920231030313235383940414811151820[[#This Row],[الدفعات]]</f>
        <v>0</v>
      </c>
    </row>
    <row r="117" spans="12:14" s="1" customFormat="1" ht="24.6" customHeight="1" x14ac:dyDescent="0.3">
      <c r="L11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17" s="1">
        <f>N116+Table1181920231030313235383940414811151820[[#This Row],[اجمالي الفاتوره]]-Table1181920231030313235383940414811151820[[#This Row],[الدفعات]]</f>
        <v>0</v>
      </c>
    </row>
    <row r="118" spans="12:14" s="1" customFormat="1" ht="24.6" customHeight="1" x14ac:dyDescent="0.3">
      <c r="L11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18" s="1">
        <f>N117+Table1181920231030313235383940414811151820[[#This Row],[اجمالي الفاتوره]]-Table1181920231030313235383940414811151820[[#This Row],[الدفعات]]</f>
        <v>0</v>
      </c>
    </row>
    <row r="119" spans="12:14" s="1" customFormat="1" ht="24.6" customHeight="1" x14ac:dyDescent="0.3">
      <c r="L11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19" s="1">
        <f>N118+Table1181920231030313235383940414811151820[[#This Row],[اجمالي الفاتوره]]-Table1181920231030313235383940414811151820[[#This Row],[الدفعات]]</f>
        <v>0</v>
      </c>
    </row>
    <row r="120" spans="12:14" s="1" customFormat="1" ht="24.6" customHeight="1" x14ac:dyDescent="0.3">
      <c r="L12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20" s="1">
        <f>N119+Table1181920231030313235383940414811151820[[#This Row],[اجمالي الفاتوره]]-Table1181920231030313235383940414811151820[[#This Row],[الدفعات]]</f>
        <v>0</v>
      </c>
    </row>
    <row r="121" spans="12:14" s="1" customFormat="1" ht="24.6" customHeight="1" x14ac:dyDescent="0.3">
      <c r="L12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21" s="1">
        <f>N120+Table1181920231030313235383940414811151820[[#This Row],[اجمالي الفاتوره]]-Table1181920231030313235383940414811151820[[#This Row],[الدفعات]]</f>
        <v>0</v>
      </c>
    </row>
    <row r="122" spans="12:14" s="1" customFormat="1" ht="24.6" customHeight="1" x14ac:dyDescent="0.3">
      <c r="L12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22" s="1">
        <f>N121+Table1181920231030313235383940414811151820[[#This Row],[اجمالي الفاتوره]]-Table1181920231030313235383940414811151820[[#This Row],[الدفعات]]</f>
        <v>0</v>
      </c>
    </row>
    <row r="123" spans="12:14" s="1" customFormat="1" ht="24.6" customHeight="1" x14ac:dyDescent="0.3">
      <c r="L12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23" s="1">
        <f>N122+Table1181920231030313235383940414811151820[[#This Row],[اجمالي الفاتوره]]-Table1181920231030313235383940414811151820[[#This Row],[الدفعات]]</f>
        <v>0</v>
      </c>
    </row>
    <row r="124" spans="12:14" s="1" customFormat="1" ht="24.6" customHeight="1" x14ac:dyDescent="0.3">
      <c r="L12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24" s="1">
        <f>N123+Table1181920231030313235383940414811151820[[#This Row],[اجمالي الفاتوره]]-Table1181920231030313235383940414811151820[[#This Row],[الدفعات]]</f>
        <v>0</v>
      </c>
    </row>
    <row r="125" spans="12:14" s="1" customFormat="1" ht="24.6" customHeight="1" x14ac:dyDescent="0.3">
      <c r="L12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25" s="1">
        <f>N124+Table1181920231030313235383940414811151820[[#This Row],[اجمالي الفاتوره]]-Table1181920231030313235383940414811151820[[#This Row],[الدفعات]]</f>
        <v>0</v>
      </c>
    </row>
    <row r="126" spans="12:14" s="1" customFormat="1" ht="24.6" customHeight="1" x14ac:dyDescent="0.3">
      <c r="L12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26" s="1">
        <f>N125+Table1181920231030313235383940414811151820[[#This Row],[اجمالي الفاتوره]]-Table1181920231030313235383940414811151820[[#This Row],[الدفعات]]</f>
        <v>0</v>
      </c>
    </row>
    <row r="127" spans="12:14" s="1" customFormat="1" ht="24.6" customHeight="1" x14ac:dyDescent="0.3">
      <c r="L12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27" s="1">
        <f>N126+Table1181920231030313235383940414811151820[[#This Row],[اجمالي الفاتوره]]-Table1181920231030313235383940414811151820[[#This Row],[الدفعات]]</f>
        <v>0</v>
      </c>
    </row>
    <row r="128" spans="12:14" s="1" customFormat="1" ht="24.6" customHeight="1" x14ac:dyDescent="0.3">
      <c r="L12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28" s="1">
        <f>N127+Table1181920231030313235383940414811151820[[#This Row],[اجمالي الفاتوره]]-Table1181920231030313235383940414811151820[[#This Row],[الدفعات]]</f>
        <v>0</v>
      </c>
    </row>
    <row r="129" spans="12:14" s="1" customFormat="1" ht="24.6" customHeight="1" x14ac:dyDescent="0.3">
      <c r="L12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29" s="1">
        <f>N128+Table1181920231030313235383940414811151820[[#This Row],[اجمالي الفاتوره]]-Table1181920231030313235383940414811151820[[#This Row],[الدفعات]]</f>
        <v>0</v>
      </c>
    </row>
    <row r="130" spans="12:14" s="1" customFormat="1" ht="24.6" customHeight="1" x14ac:dyDescent="0.3">
      <c r="L13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30" s="1">
        <f>N129+Table1181920231030313235383940414811151820[[#This Row],[اجمالي الفاتوره]]-Table1181920231030313235383940414811151820[[#This Row],[الدفعات]]</f>
        <v>0</v>
      </c>
    </row>
    <row r="131" spans="12:14" s="1" customFormat="1" ht="24.6" customHeight="1" x14ac:dyDescent="0.3">
      <c r="L13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31" s="1">
        <f>N130+Table1181920231030313235383940414811151820[[#This Row],[اجمالي الفاتوره]]-Table1181920231030313235383940414811151820[[#This Row],[الدفعات]]</f>
        <v>0</v>
      </c>
    </row>
    <row r="132" spans="12:14" s="1" customFormat="1" ht="24.6" customHeight="1" x14ac:dyDescent="0.3">
      <c r="L13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32" s="1">
        <f>N131+Table1181920231030313235383940414811151820[[#This Row],[اجمالي الفاتوره]]-Table1181920231030313235383940414811151820[[#This Row],[الدفعات]]</f>
        <v>0</v>
      </c>
    </row>
    <row r="133" spans="12:14" s="1" customFormat="1" ht="24.6" customHeight="1" x14ac:dyDescent="0.3">
      <c r="L13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33" s="1">
        <f>N132+Table1181920231030313235383940414811151820[[#This Row],[اجمالي الفاتوره]]-Table1181920231030313235383940414811151820[[#This Row],[الدفعات]]</f>
        <v>0</v>
      </c>
    </row>
    <row r="134" spans="12:14" s="1" customFormat="1" ht="24.6" customHeight="1" x14ac:dyDescent="0.3">
      <c r="L13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34" s="1">
        <f>N133+Table1181920231030313235383940414811151820[[#This Row],[اجمالي الفاتوره]]-Table1181920231030313235383940414811151820[[#This Row],[الدفعات]]</f>
        <v>0</v>
      </c>
    </row>
    <row r="135" spans="12:14" s="1" customFormat="1" ht="24.6" customHeight="1" x14ac:dyDescent="0.3">
      <c r="L13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35" s="1">
        <f>N134+Table1181920231030313235383940414811151820[[#This Row],[اجمالي الفاتوره]]-Table1181920231030313235383940414811151820[[#This Row],[الدفعات]]</f>
        <v>0</v>
      </c>
    </row>
    <row r="136" spans="12:14" s="1" customFormat="1" ht="24.6" customHeight="1" x14ac:dyDescent="0.3">
      <c r="L13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36" s="1">
        <f>N135+Table1181920231030313235383940414811151820[[#This Row],[اجمالي الفاتوره]]-Table1181920231030313235383940414811151820[[#This Row],[الدفعات]]</f>
        <v>0</v>
      </c>
    </row>
    <row r="137" spans="12:14" s="1" customFormat="1" ht="24.6" customHeight="1" x14ac:dyDescent="0.3">
      <c r="L13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37" s="1">
        <f>N136+Table1181920231030313235383940414811151820[[#This Row],[اجمالي الفاتوره]]-Table1181920231030313235383940414811151820[[#This Row],[الدفعات]]</f>
        <v>0</v>
      </c>
    </row>
    <row r="138" spans="12:14" s="1" customFormat="1" ht="24.6" customHeight="1" x14ac:dyDescent="0.3">
      <c r="L13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38" s="1">
        <f>N137+Table1181920231030313235383940414811151820[[#This Row],[اجمالي الفاتوره]]-Table1181920231030313235383940414811151820[[#This Row],[الدفعات]]</f>
        <v>0</v>
      </c>
    </row>
    <row r="139" spans="12:14" s="1" customFormat="1" ht="24.6" customHeight="1" x14ac:dyDescent="0.3">
      <c r="L13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39" s="1">
        <f>N138+Table1181920231030313235383940414811151820[[#This Row],[اجمالي الفاتوره]]-Table1181920231030313235383940414811151820[[#This Row],[الدفعات]]</f>
        <v>0</v>
      </c>
    </row>
    <row r="140" spans="12:14" s="1" customFormat="1" ht="24.6" customHeight="1" x14ac:dyDescent="0.3">
      <c r="L14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40" s="1">
        <f>N139+Table1181920231030313235383940414811151820[[#This Row],[اجمالي الفاتوره]]-Table1181920231030313235383940414811151820[[#This Row],[الدفعات]]</f>
        <v>0</v>
      </c>
    </row>
    <row r="141" spans="12:14" s="1" customFormat="1" ht="24.6" customHeight="1" x14ac:dyDescent="0.3">
      <c r="L14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41" s="1">
        <f>N140+Table1181920231030313235383940414811151820[[#This Row],[اجمالي الفاتوره]]-Table1181920231030313235383940414811151820[[#This Row],[الدفعات]]</f>
        <v>0</v>
      </c>
    </row>
    <row r="142" spans="12:14" s="1" customFormat="1" ht="24.6" customHeight="1" x14ac:dyDescent="0.3">
      <c r="L14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42" s="1">
        <f>N141+Table1181920231030313235383940414811151820[[#This Row],[اجمالي الفاتوره]]-Table1181920231030313235383940414811151820[[#This Row],[الدفعات]]</f>
        <v>0</v>
      </c>
    </row>
    <row r="143" spans="12:14" s="1" customFormat="1" ht="24.6" customHeight="1" x14ac:dyDescent="0.3">
      <c r="L14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43" s="1">
        <f>N142+Table1181920231030313235383940414811151820[[#This Row],[اجمالي الفاتوره]]-Table1181920231030313235383940414811151820[[#This Row],[الدفعات]]</f>
        <v>0</v>
      </c>
    </row>
    <row r="144" spans="12:14" s="1" customFormat="1" ht="24.6" customHeight="1" x14ac:dyDescent="0.3">
      <c r="L14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44" s="1">
        <f>N143+Table1181920231030313235383940414811151820[[#This Row],[اجمالي الفاتوره]]-Table1181920231030313235383940414811151820[[#This Row],[الدفعات]]</f>
        <v>0</v>
      </c>
    </row>
    <row r="145" spans="12:14" s="1" customFormat="1" ht="24.6" customHeight="1" x14ac:dyDescent="0.3">
      <c r="L14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45" s="1">
        <f>N144+Table1181920231030313235383940414811151820[[#This Row],[اجمالي الفاتوره]]-Table1181920231030313235383940414811151820[[#This Row],[الدفعات]]</f>
        <v>0</v>
      </c>
    </row>
    <row r="146" spans="12:14" s="1" customFormat="1" ht="24.6" customHeight="1" x14ac:dyDescent="0.3">
      <c r="L14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46" s="1">
        <f>N145+Table1181920231030313235383940414811151820[[#This Row],[اجمالي الفاتوره]]-Table1181920231030313235383940414811151820[[#This Row],[الدفعات]]</f>
        <v>0</v>
      </c>
    </row>
    <row r="147" spans="12:14" s="1" customFormat="1" ht="24.6" customHeight="1" x14ac:dyDescent="0.3">
      <c r="L14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47" s="1">
        <f>N146+Table1181920231030313235383940414811151820[[#This Row],[اجمالي الفاتوره]]-Table1181920231030313235383940414811151820[[#This Row],[الدفعات]]</f>
        <v>0</v>
      </c>
    </row>
    <row r="148" spans="12:14" s="1" customFormat="1" ht="24.6" customHeight="1" x14ac:dyDescent="0.3">
      <c r="L14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48" s="1">
        <f>N147+Table1181920231030313235383940414811151820[[#This Row],[اجمالي الفاتوره]]-Table1181920231030313235383940414811151820[[#This Row],[الدفعات]]</f>
        <v>0</v>
      </c>
    </row>
    <row r="149" spans="12:14" s="1" customFormat="1" ht="24.6" customHeight="1" x14ac:dyDescent="0.3">
      <c r="L14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49" s="1">
        <f>N148+Table1181920231030313235383940414811151820[[#This Row],[اجمالي الفاتوره]]-Table1181920231030313235383940414811151820[[#This Row],[الدفعات]]</f>
        <v>0</v>
      </c>
    </row>
    <row r="150" spans="12:14" s="1" customFormat="1" ht="24.6" customHeight="1" x14ac:dyDescent="0.3">
      <c r="L15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50" s="1">
        <f>N149+Table1181920231030313235383940414811151820[[#This Row],[اجمالي الفاتوره]]-Table1181920231030313235383940414811151820[[#This Row],[الدفعات]]</f>
        <v>0</v>
      </c>
    </row>
    <row r="151" spans="12:14" s="1" customFormat="1" ht="24.6" customHeight="1" x14ac:dyDescent="0.3">
      <c r="L15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51" s="1">
        <f>N150+Table1181920231030313235383940414811151820[[#This Row],[اجمالي الفاتوره]]-Table1181920231030313235383940414811151820[[#This Row],[الدفعات]]</f>
        <v>0</v>
      </c>
    </row>
    <row r="152" spans="12:14" s="1" customFormat="1" ht="24.6" customHeight="1" x14ac:dyDescent="0.3">
      <c r="L15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52" s="1">
        <f>N151+Table1181920231030313235383940414811151820[[#This Row],[اجمالي الفاتوره]]-Table1181920231030313235383940414811151820[[#This Row],[الدفعات]]</f>
        <v>0</v>
      </c>
    </row>
    <row r="153" spans="12:14" s="1" customFormat="1" ht="24.6" customHeight="1" x14ac:dyDescent="0.3">
      <c r="L15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53" s="1">
        <f>N152+Table1181920231030313235383940414811151820[[#This Row],[اجمالي الفاتوره]]-Table1181920231030313235383940414811151820[[#This Row],[الدفعات]]</f>
        <v>0</v>
      </c>
    </row>
    <row r="154" spans="12:14" s="1" customFormat="1" ht="24.6" customHeight="1" x14ac:dyDescent="0.3">
      <c r="L15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54" s="1">
        <f>N153+Table1181920231030313235383940414811151820[[#This Row],[اجمالي الفاتوره]]-Table1181920231030313235383940414811151820[[#This Row],[الدفعات]]</f>
        <v>0</v>
      </c>
    </row>
    <row r="155" spans="12:14" s="1" customFormat="1" ht="24.6" customHeight="1" x14ac:dyDescent="0.3">
      <c r="L15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55" s="1">
        <f>N154+Table1181920231030313235383940414811151820[[#This Row],[اجمالي الفاتوره]]-Table1181920231030313235383940414811151820[[#This Row],[الدفعات]]</f>
        <v>0</v>
      </c>
    </row>
    <row r="156" spans="12:14" s="1" customFormat="1" ht="24.6" customHeight="1" x14ac:dyDescent="0.3">
      <c r="L15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56" s="1">
        <f>N155+Table1181920231030313235383940414811151820[[#This Row],[اجمالي الفاتوره]]-Table1181920231030313235383940414811151820[[#This Row],[الدفعات]]</f>
        <v>0</v>
      </c>
    </row>
    <row r="157" spans="12:14" s="1" customFormat="1" ht="24.6" customHeight="1" x14ac:dyDescent="0.3">
      <c r="L15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57" s="1">
        <f>N156+Table1181920231030313235383940414811151820[[#This Row],[اجمالي الفاتوره]]-Table1181920231030313235383940414811151820[[#This Row],[الدفعات]]</f>
        <v>0</v>
      </c>
    </row>
    <row r="158" spans="12:14" s="1" customFormat="1" ht="24.6" customHeight="1" x14ac:dyDescent="0.3">
      <c r="L15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58" s="1">
        <f>N157+Table1181920231030313235383940414811151820[[#This Row],[اجمالي الفاتوره]]-Table1181920231030313235383940414811151820[[#This Row],[الدفعات]]</f>
        <v>0</v>
      </c>
    </row>
    <row r="159" spans="12:14" s="1" customFormat="1" ht="24.6" customHeight="1" x14ac:dyDescent="0.3">
      <c r="L15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59" s="1">
        <f>N158+Table1181920231030313235383940414811151820[[#This Row],[اجمالي الفاتوره]]-Table1181920231030313235383940414811151820[[#This Row],[الدفعات]]</f>
        <v>0</v>
      </c>
    </row>
    <row r="160" spans="12:14" s="1" customFormat="1" ht="24.6" customHeight="1" x14ac:dyDescent="0.3">
      <c r="L16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60" s="1">
        <f>N159+Table1181920231030313235383940414811151820[[#This Row],[اجمالي الفاتوره]]-Table1181920231030313235383940414811151820[[#This Row],[الدفعات]]</f>
        <v>0</v>
      </c>
    </row>
    <row r="161" spans="12:14" s="1" customFormat="1" ht="24.6" customHeight="1" x14ac:dyDescent="0.3">
      <c r="L16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61" s="1">
        <f>N160+Table1181920231030313235383940414811151820[[#This Row],[اجمالي الفاتوره]]-Table1181920231030313235383940414811151820[[#This Row],[الدفعات]]</f>
        <v>0</v>
      </c>
    </row>
    <row r="162" spans="12:14" s="1" customFormat="1" ht="24.6" customHeight="1" x14ac:dyDescent="0.3">
      <c r="L16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62" s="1">
        <f>N161+Table1181920231030313235383940414811151820[[#This Row],[اجمالي الفاتوره]]-Table1181920231030313235383940414811151820[[#This Row],[الدفعات]]</f>
        <v>0</v>
      </c>
    </row>
    <row r="163" spans="12:14" s="1" customFormat="1" ht="24.6" customHeight="1" x14ac:dyDescent="0.3">
      <c r="L16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63" s="1">
        <f>N162+Table1181920231030313235383940414811151820[[#This Row],[اجمالي الفاتوره]]-Table1181920231030313235383940414811151820[[#This Row],[الدفعات]]</f>
        <v>0</v>
      </c>
    </row>
    <row r="164" spans="12:14" s="1" customFormat="1" ht="24.6" customHeight="1" x14ac:dyDescent="0.3">
      <c r="L16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64" s="1">
        <f>N163+Table1181920231030313235383940414811151820[[#This Row],[اجمالي الفاتوره]]-Table1181920231030313235383940414811151820[[#This Row],[الدفعات]]</f>
        <v>0</v>
      </c>
    </row>
    <row r="165" spans="12:14" s="1" customFormat="1" ht="24.6" customHeight="1" x14ac:dyDescent="0.3">
      <c r="L16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65" s="1">
        <f>N164+Table1181920231030313235383940414811151820[[#This Row],[اجمالي الفاتوره]]-Table1181920231030313235383940414811151820[[#This Row],[الدفعات]]</f>
        <v>0</v>
      </c>
    </row>
    <row r="166" spans="12:14" s="1" customFormat="1" ht="24.6" customHeight="1" x14ac:dyDescent="0.3">
      <c r="L16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66" s="1">
        <f>N165+Table1181920231030313235383940414811151820[[#This Row],[اجمالي الفاتوره]]-Table1181920231030313235383940414811151820[[#This Row],[الدفعات]]</f>
        <v>0</v>
      </c>
    </row>
    <row r="167" spans="12:14" s="1" customFormat="1" ht="24.6" customHeight="1" x14ac:dyDescent="0.3">
      <c r="L16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67" s="1">
        <f>N166+Table1181920231030313235383940414811151820[[#This Row],[اجمالي الفاتوره]]-Table1181920231030313235383940414811151820[[#This Row],[الدفعات]]</f>
        <v>0</v>
      </c>
    </row>
    <row r="168" spans="12:14" s="1" customFormat="1" ht="24.6" customHeight="1" x14ac:dyDescent="0.3">
      <c r="L16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68" s="1">
        <f>N167+Table1181920231030313235383940414811151820[[#This Row],[اجمالي الفاتوره]]-Table1181920231030313235383940414811151820[[#This Row],[الدفعات]]</f>
        <v>0</v>
      </c>
    </row>
    <row r="169" spans="12:14" s="1" customFormat="1" ht="24.6" customHeight="1" x14ac:dyDescent="0.3">
      <c r="L16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69" s="1">
        <f>N168+Table1181920231030313235383940414811151820[[#This Row],[اجمالي الفاتوره]]-Table1181920231030313235383940414811151820[[#This Row],[الدفعات]]</f>
        <v>0</v>
      </c>
    </row>
    <row r="170" spans="12:14" s="1" customFormat="1" ht="24.6" customHeight="1" x14ac:dyDescent="0.3">
      <c r="L17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70" s="1">
        <f>N169+Table1181920231030313235383940414811151820[[#This Row],[اجمالي الفاتوره]]-Table1181920231030313235383940414811151820[[#This Row],[الدفعات]]</f>
        <v>0</v>
      </c>
    </row>
    <row r="171" spans="12:14" s="1" customFormat="1" ht="24.6" customHeight="1" x14ac:dyDescent="0.3">
      <c r="L17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71" s="1">
        <f>N170+Table1181920231030313235383940414811151820[[#This Row],[اجمالي الفاتوره]]-Table1181920231030313235383940414811151820[[#This Row],[الدفعات]]</f>
        <v>0</v>
      </c>
    </row>
    <row r="172" spans="12:14" s="1" customFormat="1" ht="24.6" customHeight="1" x14ac:dyDescent="0.3">
      <c r="L17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72" s="1">
        <f>N171+Table1181920231030313235383940414811151820[[#This Row],[اجمالي الفاتوره]]-Table1181920231030313235383940414811151820[[#This Row],[الدفعات]]</f>
        <v>0</v>
      </c>
    </row>
    <row r="173" spans="12:14" s="1" customFormat="1" ht="24.6" customHeight="1" x14ac:dyDescent="0.3">
      <c r="L17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73" s="1">
        <f>N172+Table1181920231030313235383940414811151820[[#This Row],[اجمالي الفاتوره]]-Table1181920231030313235383940414811151820[[#This Row],[الدفعات]]</f>
        <v>0</v>
      </c>
    </row>
    <row r="174" spans="12:14" s="1" customFormat="1" ht="24.6" customHeight="1" x14ac:dyDescent="0.3">
      <c r="L17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74" s="1">
        <f>N173+Table1181920231030313235383940414811151820[[#This Row],[اجمالي الفاتوره]]-Table1181920231030313235383940414811151820[[#This Row],[الدفعات]]</f>
        <v>0</v>
      </c>
    </row>
    <row r="175" spans="12:14" s="1" customFormat="1" ht="24.6" customHeight="1" x14ac:dyDescent="0.3">
      <c r="L17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75" s="1">
        <f>N174+Table1181920231030313235383940414811151820[[#This Row],[اجمالي الفاتوره]]-Table1181920231030313235383940414811151820[[#This Row],[الدفعات]]</f>
        <v>0</v>
      </c>
    </row>
    <row r="176" spans="12:14" s="1" customFormat="1" ht="24.6" customHeight="1" x14ac:dyDescent="0.3">
      <c r="L17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76" s="1">
        <f>N175+Table1181920231030313235383940414811151820[[#This Row],[اجمالي الفاتوره]]-Table1181920231030313235383940414811151820[[#This Row],[الدفعات]]</f>
        <v>0</v>
      </c>
    </row>
    <row r="177" spans="12:14" s="1" customFormat="1" ht="24.6" customHeight="1" x14ac:dyDescent="0.3">
      <c r="L17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77" s="1">
        <f>N176+Table1181920231030313235383940414811151820[[#This Row],[اجمالي الفاتوره]]-Table1181920231030313235383940414811151820[[#This Row],[الدفعات]]</f>
        <v>0</v>
      </c>
    </row>
    <row r="178" spans="12:14" s="1" customFormat="1" ht="24.6" customHeight="1" x14ac:dyDescent="0.3">
      <c r="L17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78" s="1">
        <f>N177+Table1181920231030313235383940414811151820[[#This Row],[اجمالي الفاتوره]]-Table1181920231030313235383940414811151820[[#This Row],[الدفعات]]</f>
        <v>0</v>
      </c>
    </row>
    <row r="179" spans="12:14" s="1" customFormat="1" ht="24.6" customHeight="1" x14ac:dyDescent="0.3">
      <c r="L17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79" s="1">
        <f>N178+Table1181920231030313235383940414811151820[[#This Row],[اجمالي الفاتوره]]-Table1181920231030313235383940414811151820[[#This Row],[الدفعات]]</f>
        <v>0</v>
      </c>
    </row>
    <row r="180" spans="12:14" s="1" customFormat="1" ht="24.6" customHeight="1" x14ac:dyDescent="0.3">
      <c r="L18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80" s="1">
        <f>N179+Table1181920231030313235383940414811151820[[#This Row],[اجمالي الفاتوره]]-Table1181920231030313235383940414811151820[[#This Row],[الدفعات]]</f>
        <v>0</v>
      </c>
    </row>
    <row r="181" spans="12:14" s="1" customFormat="1" ht="24.6" customHeight="1" x14ac:dyDescent="0.3">
      <c r="L18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81" s="1">
        <f>N180+Table1181920231030313235383940414811151820[[#This Row],[اجمالي الفاتوره]]-Table1181920231030313235383940414811151820[[#This Row],[الدفعات]]</f>
        <v>0</v>
      </c>
    </row>
    <row r="182" spans="12:14" s="1" customFormat="1" ht="24.6" customHeight="1" x14ac:dyDescent="0.3">
      <c r="L18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82" s="1">
        <f>N181+Table1181920231030313235383940414811151820[[#This Row],[اجمالي الفاتوره]]-Table1181920231030313235383940414811151820[[#This Row],[الدفعات]]</f>
        <v>0</v>
      </c>
    </row>
    <row r="183" spans="12:14" s="1" customFormat="1" ht="24.6" customHeight="1" x14ac:dyDescent="0.3">
      <c r="L18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83" s="1">
        <f>N182+Table1181920231030313235383940414811151820[[#This Row],[اجمالي الفاتوره]]-Table1181920231030313235383940414811151820[[#This Row],[الدفعات]]</f>
        <v>0</v>
      </c>
    </row>
    <row r="184" spans="12:14" s="1" customFormat="1" ht="24.6" customHeight="1" x14ac:dyDescent="0.3">
      <c r="L18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84" s="1">
        <f>N183+Table1181920231030313235383940414811151820[[#This Row],[اجمالي الفاتوره]]-Table1181920231030313235383940414811151820[[#This Row],[الدفعات]]</f>
        <v>0</v>
      </c>
    </row>
    <row r="185" spans="12:14" s="1" customFormat="1" ht="24.6" customHeight="1" x14ac:dyDescent="0.3">
      <c r="L18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85" s="1">
        <f>N184+Table1181920231030313235383940414811151820[[#This Row],[اجمالي الفاتوره]]-Table1181920231030313235383940414811151820[[#This Row],[الدفعات]]</f>
        <v>0</v>
      </c>
    </row>
    <row r="186" spans="12:14" s="1" customFormat="1" ht="24.6" customHeight="1" x14ac:dyDescent="0.3">
      <c r="L18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86" s="1">
        <f>N185+Table1181920231030313235383940414811151820[[#This Row],[اجمالي الفاتوره]]-Table1181920231030313235383940414811151820[[#This Row],[الدفعات]]</f>
        <v>0</v>
      </c>
    </row>
    <row r="187" spans="12:14" s="1" customFormat="1" ht="24.6" customHeight="1" x14ac:dyDescent="0.3">
      <c r="L18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87" s="1">
        <f>N186+Table1181920231030313235383940414811151820[[#This Row],[اجمالي الفاتوره]]-Table1181920231030313235383940414811151820[[#This Row],[الدفعات]]</f>
        <v>0</v>
      </c>
    </row>
    <row r="188" spans="12:14" s="1" customFormat="1" ht="24.6" customHeight="1" x14ac:dyDescent="0.3">
      <c r="L18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88" s="1">
        <f>N187+Table1181920231030313235383940414811151820[[#This Row],[اجمالي الفاتوره]]-Table1181920231030313235383940414811151820[[#This Row],[الدفعات]]</f>
        <v>0</v>
      </c>
    </row>
    <row r="189" spans="12:14" s="1" customFormat="1" ht="24.6" customHeight="1" x14ac:dyDescent="0.3">
      <c r="L18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89" s="1">
        <f>N188+Table1181920231030313235383940414811151820[[#This Row],[اجمالي الفاتوره]]-Table1181920231030313235383940414811151820[[#This Row],[الدفعات]]</f>
        <v>0</v>
      </c>
    </row>
    <row r="190" spans="12:14" s="1" customFormat="1" ht="24.6" customHeight="1" x14ac:dyDescent="0.3">
      <c r="L19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90" s="1">
        <f>N189+Table1181920231030313235383940414811151820[[#This Row],[اجمالي الفاتوره]]-Table1181920231030313235383940414811151820[[#This Row],[الدفعات]]</f>
        <v>0</v>
      </c>
    </row>
    <row r="191" spans="12:14" s="1" customFormat="1" ht="24.6" customHeight="1" x14ac:dyDescent="0.3">
      <c r="L19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91" s="1">
        <f>N190+Table1181920231030313235383940414811151820[[#This Row],[اجمالي الفاتوره]]-Table1181920231030313235383940414811151820[[#This Row],[الدفعات]]</f>
        <v>0</v>
      </c>
    </row>
    <row r="192" spans="12:14" s="1" customFormat="1" ht="24.6" customHeight="1" x14ac:dyDescent="0.3">
      <c r="L19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92" s="1">
        <f>N191+Table1181920231030313235383940414811151820[[#This Row],[اجمالي الفاتوره]]-Table1181920231030313235383940414811151820[[#This Row],[الدفعات]]</f>
        <v>0</v>
      </c>
    </row>
    <row r="193" spans="12:14" s="1" customFormat="1" ht="24.6" customHeight="1" x14ac:dyDescent="0.3">
      <c r="L19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93" s="1">
        <f>N192+Table1181920231030313235383940414811151820[[#This Row],[اجمالي الفاتوره]]-Table1181920231030313235383940414811151820[[#This Row],[الدفعات]]</f>
        <v>0</v>
      </c>
    </row>
    <row r="194" spans="12:14" s="1" customFormat="1" ht="24.6" customHeight="1" x14ac:dyDescent="0.3">
      <c r="L19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94" s="1">
        <f>N193+Table1181920231030313235383940414811151820[[#This Row],[اجمالي الفاتوره]]-Table1181920231030313235383940414811151820[[#This Row],[الدفعات]]</f>
        <v>0</v>
      </c>
    </row>
    <row r="195" spans="12:14" s="1" customFormat="1" ht="24.6" customHeight="1" x14ac:dyDescent="0.3">
      <c r="L19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95" s="1">
        <f>N194+Table1181920231030313235383940414811151820[[#This Row],[اجمالي الفاتوره]]-Table1181920231030313235383940414811151820[[#This Row],[الدفعات]]</f>
        <v>0</v>
      </c>
    </row>
    <row r="196" spans="12:14" s="1" customFormat="1" ht="24.6" customHeight="1" x14ac:dyDescent="0.3">
      <c r="L19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96" s="1">
        <f>N195+Table1181920231030313235383940414811151820[[#This Row],[اجمالي الفاتوره]]-Table1181920231030313235383940414811151820[[#This Row],[الدفعات]]</f>
        <v>0</v>
      </c>
    </row>
    <row r="197" spans="12:14" s="1" customFormat="1" ht="24.6" customHeight="1" x14ac:dyDescent="0.3">
      <c r="L19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97" s="1">
        <f>N196+Table1181920231030313235383940414811151820[[#This Row],[اجمالي الفاتوره]]-Table1181920231030313235383940414811151820[[#This Row],[الدفعات]]</f>
        <v>0</v>
      </c>
    </row>
    <row r="198" spans="12:14" s="1" customFormat="1" ht="24.6" customHeight="1" x14ac:dyDescent="0.3">
      <c r="L19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98" s="1">
        <f>N197+Table1181920231030313235383940414811151820[[#This Row],[اجمالي الفاتوره]]-Table1181920231030313235383940414811151820[[#This Row],[الدفعات]]</f>
        <v>0</v>
      </c>
    </row>
    <row r="199" spans="12:14" s="1" customFormat="1" ht="24.6" customHeight="1" x14ac:dyDescent="0.3">
      <c r="L19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199" s="1">
        <f>N198+Table1181920231030313235383940414811151820[[#This Row],[اجمالي الفاتوره]]-Table1181920231030313235383940414811151820[[#This Row],[الدفعات]]</f>
        <v>0</v>
      </c>
    </row>
    <row r="200" spans="12:14" s="1" customFormat="1" ht="24.6" customHeight="1" x14ac:dyDescent="0.3">
      <c r="L20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00" s="1">
        <f>N199+Table1181920231030313235383940414811151820[[#This Row],[اجمالي الفاتوره]]-Table1181920231030313235383940414811151820[[#This Row],[الدفعات]]</f>
        <v>0</v>
      </c>
    </row>
    <row r="201" spans="12:14" s="1" customFormat="1" ht="24.6" customHeight="1" x14ac:dyDescent="0.3">
      <c r="L20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01" s="1">
        <f>N200+Table1181920231030313235383940414811151820[[#This Row],[اجمالي الفاتوره]]-Table1181920231030313235383940414811151820[[#This Row],[الدفعات]]</f>
        <v>0</v>
      </c>
    </row>
    <row r="202" spans="12:14" s="1" customFormat="1" ht="24.6" customHeight="1" x14ac:dyDescent="0.3">
      <c r="L20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02" s="1">
        <f>N201+Table1181920231030313235383940414811151820[[#This Row],[اجمالي الفاتوره]]-Table1181920231030313235383940414811151820[[#This Row],[الدفعات]]</f>
        <v>0</v>
      </c>
    </row>
    <row r="203" spans="12:14" s="1" customFormat="1" ht="24.6" customHeight="1" x14ac:dyDescent="0.3">
      <c r="L20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03" s="1">
        <f>N202+Table1181920231030313235383940414811151820[[#This Row],[اجمالي الفاتوره]]-Table1181920231030313235383940414811151820[[#This Row],[الدفعات]]</f>
        <v>0</v>
      </c>
    </row>
    <row r="204" spans="12:14" s="1" customFormat="1" ht="24.6" customHeight="1" x14ac:dyDescent="0.3">
      <c r="L20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04" s="1">
        <f>N203+Table1181920231030313235383940414811151820[[#This Row],[اجمالي الفاتوره]]-Table1181920231030313235383940414811151820[[#This Row],[الدفعات]]</f>
        <v>0</v>
      </c>
    </row>
    <row r="205" spans="12:14" s="1" customFormat="1" ht="24.6" customHeight="1" x14ac:dyDescent="0.3">
      <c r="L20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05" s="1">
        <f>N204+Table1181920231030313235383940414811151820[[#This Row],[اجمالي الفاتوره]]-Table1181920231030313235383940414811151820[[#This Row],[الدفعات]]</f>
        <v>0</v>
      </c>
    </row>
    <row r="206" spans="12:14" s="1" customFormat="1" ht="24.6" customHeight="1" x14ac:dyDescent="0.3">
      <c r="L20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06" s="1">
        <f>N205+Table1181920231030313235383940414811151820[[#This Row],[اجمالي الفاتوره]]-Table1181920231030313235383940414811151820[[#This Row],[الدفعات]]</f>
        <v>0</v>
      </c>
    </row>
    <row r="207" spans="12:14" s="1" customFormat="1" ht="24.6" customHeight="1" x14ac:dyDescent="0.3">
      <c r="L20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07" s="1">
        <f>N206+Table1181920231030313235383940414811151820[[#This Row],[اجمالي الفاتوره]]-Table1181920231030313235383940414811151820[[#This Row],[الدفعات]]</f>
        <v>0</v>
      </c>
    </row>
    <row r="208" spans="12:14" s="1" customFormat="1" ht="24.6" customHeight="1" x14ac:dyDescent="0.3">
      <c r="L20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08" s="1">
        <f>N207+Table1181920231030313235383940414811151820[[#This Row],[اجمالي الفاتوره]]-Table1181920231030313235383940414811151820[[#This Row],[الدفعات]]</f>
        <v>0</v>
      </c>
    </row>
    <row r="209" spans="12:14" s="1" customFormat="1" ht="24.6" customHeight="1" x14ac:dyDescent="0.3">
      <c r="L20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09" s="1">
        <f>N208+Table1181920231030313235383940414811151820[[#This Row],[اجمالي الفاتوره]]-Table1181920231030313235383940414811151820[[#This Row],[الدفعات]]</f>
        <v>0</v>
      </c>
    </row>
    <row r="210" spans="12:14" s="1" customFormat="1" ht="24.6" customHeight="1" x14ac:dyDescent="0.3">
      <c r="L21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10" s="1">
        <f>N209+Table1181920231030313235383940414811151820[[#This Row],[اجمالي الفاتوره]]-Table1181920231030313235383940414811151820[[#This Row],[الدفعات]]</f>
        <v>0</v>
      </c>
    </row>
    <row r="211" spans="12:14" s="1" customFormat="1" ht="24.6" customHeight="1" x14ac:dyDescent="0.3">
      <c r="L21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11" s="1">
        <f>N210+Table1181920231030313235383940414811151820[[#This Row],[اجمالي الفاتوره]]-Table1181920231030313235383940414811151820[[#This Row],[الدفعات]]</f>
        <v>0</v>
      </c>
    </row>
    <row r="212" spans="12:14" s="1" customFormat="1" ht="24.6" customHeight="1" x14ac:dyDescent="0.3">
      <c r="L21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12" s="1">
        <f>N211+Table1181920231030313235383940414811151820[[#This Row],[اجمالي الفاتوره]]-Table1181920231030313235383940414811151820[[#This Row],[الدفعات]]</f>
        <v>0</v>
      </c>
    </row>
    <row r="213" spans="12:14" s="1" customFormat="1" ht="24.6" customHeight="1" x14ac:dyDescent="0.3">
      <c r="L21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13" s="1">
        <f>N212+Table1181920231030313235383940414811151820[[#This Row],[اجمالي الفاتوره]]-Table1181920231030313235383940414811151820[[#This Row],[الدفعات]]</f>
        <v>0</v>
      </c>
    </row>
    <row r="214" spans="12:14" s="1" customFormat="1" ht="24.6" customHeight="1" x14ac:dyDescent="0.3">
      <c r="L21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14" s="1">
        <f>N213+Table1181920231030313235383940414811151820[[#This Row],[اجمالي الفاتوره]]-Table1181920231030313235383940414811151820[[#This Row],[الدفعات]]</f>
        <v>0</v>
      </c>
    </row>
    <row r="215" spans="12:14" s="1" customFormat="1" ht="24.6" customHeight="1" x14ac:dyDescent="0.3">
      <c r="L21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15" s="1">
        <f>N214+Table1181920231030313235383940414811151820[[#This Row],[اجمالي الفاتوره]]-Table1181920231030313235383940414811151820[[#This Row],[الدفعات]]</f>
        <v>0</v>
      </c>
    </row>
    <row r="216" spans="12:14" s="1" customFormat="1" ht="24.6" customHeight="1" x14ac:dyDescent="0.3">
      <c r="L21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16" s="1">
        <f>N215+Table1181920231030313235383940414811151820[[#This Row],[اجمالي الفاتوره]]-Table1181920231030313235383940414811151820[[#This Row],[الدفعات]]</f>
        <v>0</v>
      </c>
    </row>
    <row r="217" spans="12:14" s="1" customFormat="1" ht="24.6" customHeight="1" x14ac:dyDescent="0.3">
      <c r="L21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17" s="1">
        <f>N216+Table1181920231030313235383940414811151820[[#This Row],[اجمالي الفاتوره]]-Table1181920231030313235383940414811151820[[#This Row],[الدفعات]]</f>
        <v>0</v>
      </c>
    </row>
    <row r="218" spans="12:14" s="1" customFormat="1" ht="24.6" customHeight="1" x14ac:dyDescent="0.3">
      <c r="L21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18" s="1">
        <f>N217+Table1181920231030313235383940414811151820[[#This Row],[اجمالي الفاتوره]]-Table1181920231030313235383940414811151820[[#This Row],[الدفعات]]</f>
        <v>0</v>
      </c>
    </row>
    <row r="219" spans="12:14" s="1" customFormat="1" ht="24.6" customHeight="1" x14ac:dyDescent="0.3">
      <c r="L21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19" s="1">
        <f>N218+Table1181920231030313235383940414811151820[[#This Row],[اجمالي الفاتوره]]-Table1181920231030313235383940414811151820[[#This Row],[الدفعات]]</f>
        <v>0</v>
      </c>
    </row>
    <row r="220" spans="12:14" s="1" customFormat="1" ht="24.6" customHeight="1" x14ac:dyDescent="0.3">
      <c r="L22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20" s="1">
        <f>N219+Table1181920231030313235383940414811151820[[#This Row],[اجمالي الفاتوره]]-Table1181920231030313235383940414811151820[[#This Row],[الدفعات]]</f>
        <v>0</v>
      </c>
    </row>
    <row r="221" spans="12:14" s="1" customFormat="1" ht="24.6" customHeight="1" x14ac:dyDescent="0.3">
      <c r="L22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21" s="1">
        <f>N220+Table1181920231030313235383940414811151820[[#This Row],[اجمالي الفاتوره]]-Table1181920231030313235383940414811151820[[#This Row],[الدفعات]]</f>
        <v>0</v>
      </c>
    </row>
    <row r="222" spans="12:14" s="1" customFormat="1" ht="24.6" customHeight="1" x14ac:dyDescent="0.3">
      <c r="L22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22" s="1">
        <f>N221+Table1181920231030313235383940414811151820[[#This Row],[اجمالي الفاتوره]]-Table1181920231030313235383940414811151820[[#This Row],[الدفعات]]</f>
        <v>0</v>
      </c>
    </row>
    <row r="223" spans="12:14" s="1" customFormat="1" ht="24.6" customHeight="1" x14ac:dyDescent="0.3">
      <c r="L22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23" s="1">
        <f>N222+Table1181920231030313235383940414811151820[[#This Row],[اجمالي الفاتوره]]-Table1181920231030313235383940414811151820[[#This Row],[الدفعات]]</f>
        <v>0</v>
      </c>
    </row>
    <row r="224" spans="12:14" s="1" customFormat="1" ht="24.6" customHeight="1" x14ac:dyDescent="0.3">
      <c r="L22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24" s="1">
        <f>N223+Table1181920231030313235383940414811151820[[#This Row],[اجمالي الفاتوره]]-Table1181920231030313235383940414811151820[[#This Row],[الدفعات]]</f>
        <v>0</v>
      </c>
    </row>
    <row r="225" spans="10:14" s="1" customFormat="1" ht="24.6" customHeight="1" x14ac:dyDescent="0.3">
      <c r="L22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25" s="1">
        <f>N224+Table1181920231030313235383940414811151820[[#This Row],[اجمالي الفاتوره]]-Table1181920231030313235383940414811151820[[#This Row],[الدفعات]]</f>
        <v>0</v>
      </c>
    </row>
    <row r="226" spans="10:14" s="1" customFormat="1" ht="24.6" customHeight="1" x14ac:dyDescent="0.3">
      <c r="L22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26" s="1">
        <f>N225+Table1181920231030313235383940414811151820[[#This Row],[اجمالي الفاتوره]]-Table1181920231030313235383940414811151820[[#This Row],[الدفعات]]</f>
        <v>0</v>
      </c>
    </row>
    <row r="227" spans="10:14" s="1" customFormat="1" ht="24.6" customHeight="1" x14ac:dyDescent="0.3">
      <c r="L22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27" s="1">
        <f>N226+Table1181920231030313235383940414811151820[[#This Row],[اجمالي الفاتوره]]-Table1181920231030313235383940414811151820[[#This Row],[الدفعات]]</f>
        <v>0</v>
      </c>
    </row>
    <row r="228" spans="10:14" s="1" customFormat="1" ht="24.6" customHeight="1" x14ac:dyDescent="0.3">
      <c r="L22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28" s="1">
        <f>N227+Table1181920231030313235383940414811151820[[#This Row],[اجمالي الفاتوره]]-Table1181920231030313235383940414811151820[[#This Row],[الدفعات]]</f>
        <v>0</v>
      </c>
    </row>
    <row r="229" spans="10:14" s="1" customFormat="1" ht="24.6" customHeight="1" x14ac:dyDescent="0.3">
      <c r="L22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29" s="1">
        <f>N228+Table1181920231030313235383940414811151820[[#This Row],[اجمالي الفاتوره]]-Table1181920231030313235383940414811151820[[#This Row],[الدفعات]]</f>
        <v>0</v>
      </c>
    </row>
    <row r="230" spans="10:14" s="1" customFormat="1" ht="24.6" customHeight="1" x14ac:dyDescent="0.3">
      <c r="L23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30" s="1">
        <f>N229+Table1181920231030313235383940414811151820[[#This Row],[اجمالي الفاتوره]]-Table1181920231030313235383940414811151820[[#This Row],[الدفعات]]</f>
        <v>0</v>
      </c>
    </row>
    <row r="231" spans="10:14" s="1" customFormat="1" ht="24.6" customHeight="1" x14ac:dyDescent="0.3">
      <c r="L23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31" s="1">
        <f>N230+Table1181920231030313235383940414811151820[[#This Row],[اجمالي الفاتوره]]-Table1181920231030313235383940414811151820[[#This Row],[الدفعات]]</f>
        <v>0</v>
      </c>
    </row>
    <row r="232" spans="10:14" s="1" customFormat="1" ht="24.6" customHeight="1" x14ac:dyDescent="0.3">
      <c r="L23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32" s="1">
        <f>N231+Table1181920231030313235383940414811151820[[#This Row],[اجمالي الفاتوره]]-Table1181920231030313235383940414811151820[[#This Row],[الدفعات]]</f>
        <v>0</v>
      </c>
    </row>
    <row r="233" spans="10:14" s="1" customFormat="1" ht="24.6" customHeight="1" x14ac:dyDescent="0.3">
      <c r="L23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33" s="1">
        <f>N232+Table1181920231030313235383940414811151820[[#This Row],[اجمالي الفاتوره]]-Table1181920231030313235383940414811151820[[#This Row],[الدفعات]]</f>
        <v>0</v>
      </c>
    </row>
    <row r="234" spans="10:14" s="1" customFormat="1" ht="24.6" customHeight="1" x14ac:dyDescent="0.3">
      <c r="L23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34" s="1">
        <f>N233+Table1181920231030313235383940414811151820[[#This Row],[اجمالي الفاتوره]]-Table1181920231030313235383940414811151820[[#This Row],[الدفعات]]</f>
        <v>0</v>
      </c>
    </row>
    <row r="235" spans="10:14" s="1" customFormat="1" ht="24.6" customHeight="1" x14ac:dyDescent="0.3">
      <c r="L23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35" s="1">
        <f>N234+Table1181920231030313235383940414811151820[[#This Row],[اجمالي الفاتوره]]-Table1181920231030313235383940414811151820[[#This Row],[الدفعات]]</f>
        <v>0</v>
      </c>
    </row>
    <row r="236" spans="10:14" s="1" customFormat="1" ht="24.6" customHeight="1" x14ac:dyDescent="0.3">
      <c r="L23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36" s="1">
        <f>N235+Table1181920231030313235383940414811151820[[#This Row],[اجمالي الفاتوره]]-Table1181920231030313235383940414811151820[[#This Row],[الدفعات]]</f>
        <v>0</v>
      </c>
    </row>
    <row r="237" spans="10:14" s="1" customFormat="1" ht="24.6" customHeight="1" x14ac:dyDescent="0.3">
      <c r="L23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37" s="1">
        <f>N236+Table1181920231030313235383940414811151820[[#This Row],[اجمالي الفاتوره]]-Table1181920231030313235383940414811151820[[#This Row],[الدفعات]]</f>
        <v>0</v>
      </c>
    </row>
    <row r="238" spans="10:14" s="1" customFormat="1" ht="24.6" customHeight="1" x14ac:dyDescent="0.3">
      <c r="J238" s="1">
        <f>0.03*Table1181920231030313235383940414811151820[[#This Row],[النولون]]</f>
        <v>0</v>
      </c>
      <c r="L23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38" s="1">
        <f>N237+Table1181920231030313235383940414811151820[[#This Row],[اجمالي الفاتوره]]-Table1181920231030313235383940414811151820[[#This Row],[الدفعات]]</f>
        <v>0</v>
      </c>
    </row>
    <row r="239" spans="10:14" s="1" customFormat="1" ht="24.6" customHeight="1" x14ac:dyDescent="0.3">
      <c r="J239" s="1">
        <f>0.03*Table1181920231030313235383940414811151820[[#This Row],[النولون]]</f>
        <v>0</v>
      </c>
      <c r="L23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39" s="1">
        <f>N238+Table1181920231030313235383940414811151820[[#This Row],[اجمالي الفاتوره]]-Table1181920231030313235383940414811151820[[#This Row],[الدفعات]]</f>
        <v>0</v>
      </c>
    </row>
    <row r="240" spans="10:14" s="1" customFormat="1" ht="24.6" customHeight="1" x14ac:dyDescent="0.3">
      <c r="J240" s="1">
        <f>0.03*Table1181920231030313235383940414811151820[[#This Row],[النولون]]</f>
        <v>0</v>
      </c>
      <c r="L24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40" s="1">
        <f>N239+Table1181920231030313235383940414811151820[[#This Row],[اجمالي الفاتوره]]-Table1181920231030313235383940414811151820[[#This Row],[الدفعات]]</f>
        <v>0</v>
      </c>
    </row>
    <row r="241" spans="10:14" s="1" customFormat="1" ht="24.6" customHeight="1" x14ac:dyDescent="0.3">
      <c r="J241" s="1">
        <f>0.03*Table1181920231030313235383940414811151820[[#This Row],[النولون]]</f>
        <v>0</v>
      </c>
      <c r="L24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41" s="1">
        <f>N240+Table1181920231030313235383940414811151820[[#This Row],[اجمالي الفاتوره]]-Table1181920231030313235383940414811151820[[#This Row],[الدفعات]]</f>
        <v>0</v>
      </c>
    </row>
    <row r="242" spans="10:14" s="1" customFormat="1" ht="24.6" customHeight="1" x14ac:dyDescent="0.3">
      <c r="J242" s="1">
        <f>0.03*Table1181920231030313235383940414811151820[[#This Row],[النولون]]</f>
        <v>0</v>
      </c>
      <c r="L24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42" s="1">
        <f>N241+Table1181920231030313235383940414811151820[[#This Row],[اجمالي الفاتوره]]-Table1181920231030313235383940414811151820[[#This Row],[الدفعات]]</f>
        <v>0</v>
      </c>
    </row>
    <row r="243" spans="10:14" s="1" customFormat="1" ht="24.6" customHeight="1" x14ac:dyDescent="0.3">
      <c r="J243" s="1">
        <f>0.03*Table1181920231030313235383940414811151820[[#This Row],[النولون]]</f>
        <v>0</v>
      </c>
      <c r="L24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43" s="1">
        <f>N242+Table1181920231030313235383940414811151820[[#This Row],[اجمالي الفاتوره]]-Table1181920231030313235383940414811151820[[#This Row],[الدفعات]]</f>
        <v>0</v>
      </c>
    </row>
    <row r="244" spans="10:14" s="1" customFormat="1" ht="24.6" customHeight="1" x14ac:dyDescent="0.3">
      <c r="J244" s="1">
        <f>0.03*Table1181920231030313235383940414811151820[[#This Row],[النولون]]</f>
        <v>0</v>
      </c>
      <c r="L24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44" s="1">
        <f>N243+Table1181920231030313235383940414811151820[[#This Row],[اجمالي الفاتوره]]-Table1181920231030313235383940414811151820[[#This Row],[الدفعات]]</f>
        <v>0</v>
      </c>
    </row>
    <row r="245" spans="10:14" s="1" customFormat="1" ht="24.6" customHeight="1" x14ac:dyDescent="0.3">
      <c r="J245" s="1">
        <f>0.03*Table1181920231030313235383940414811151820[[#This Row],[النولون]]</f>
        <v>0</v>
      </c>
      <c r="L24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45" s="1">
        <f>N244+Table1181920231030313235383940414811151820[[#This Row],[اجمالي الفاتوره]]-Table1181920231030313235383940414811151820[[#This Row],[الدفعات]]</f>
        <v>0</v>
      </c>
    </row>
    <row r="246" spans="10:14" s="1" customFormat="1" ht="24.6" customHeight="1" x14ac:dyDescent="0.3">
      <c r="J246" s="1">
        <f>0.03*Table1181920231030313235383940414811151820[[#This Row],[النولون]]</f>
        <v>0</v>
      </c>
      <c r="L24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46" s="1">
        <f>N245+Table1181920231030313235383940414811151820[[#This Row],[اجمالي الفاتوره]]-Table1181920231030313235383940414811151820[[#This Row],[الدفعات]]</f>
        <v>0</v>
      </c>
    </row>
    <row r="247" spans="10:14" s="1" customFormat="1" ht="24.6" customHeight="1" x14ac:dyDescent="0.3">
      <c r="J247" s="1">
        <f>0.03*Table1181920231030313235383940414811151820[[#This Row],[النولون]]</f>
        <v>0</v>
      </c>
      <c r="L24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47" s="1">
        <f>N246+Table1181920231030313235383940414811151820[[#This Row],[اجمالي الفاتوره]]-Table1181920231030313235383940414811151820[[#This Row],[الدفعات]]</f>
        <v>0</v>
      </c>
    </row>
    <row r="248" spans="10:14" s="1" customFormat="1" ht="24.6" customHeight="1" x14ac:dyDescent="0.3">
      <c r="J248" s="1">
        <f>0.03*Table1181920231030313235383940414811151820[[#This Row],[النولون]]</f>
        <v>0</v>
      </c>
      <c r="L24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48" s="1">
        <f>N247+Table1181920231030313235383940414811151820[[#This Row],[اجمالي الفاتوره]]-Table1181920231030313235383940414811151820[[#This Row],[الدفعات]]</f>
        <v>0</v>
      </c>
    </row>
    <row r="249" spans="10:14" s="1" customFormat="1" ht="24.6" customHeight="1" x14ac:dyDescent="0.3">
      <c r="J249" s="1">
        <f>0.03*Table1181920231030313235383940414811151820[[#This Row],[النولون]]</f>
        <v>0</v>
      </c>
      <c r="L24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49" s="1">
        <f>N248+Table1181920231030313235383940414811151820[[#This Row],[اجمالي الفاتوره]]-Table1181920231030313235383940414811151820[[#This Row],[الدفعات]]</f>
        <v>0</v>
      </c>
    </row>
    <row r="250" spans="10:14" s="1" customFormat="1" ht="24.6" customHeight="1" x14ac:dyDescent="0.3">
      <c r="J250" s="1">
        <f>0.03*Table1181920231030313235383940414811151820[[#This Row],[النولون]]</f>
        <v>0</v>
      </c>
      <c r="L25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50" s="1">
        <f>N249+Table1181920231030313235383940414811151820[[#This Row],[اجمالي الفاتوره]]-Table1181920231030313235383940414811151820[[#This Row],[الدفعات]]</f>
        <v>0</v>
      </c>
    </row>
    <row r="251" spans="10:14" s="1" customFormat="1" ht="24.6" customHeight="1" x14ac:dyDescent="0.3">
      <c r="J251" s="1">
        <f>0.03*Table1181920231030313235383940414811151820[[#This Row],[النولون]]</f>
        <v>0</v>
      </c>
      <c r="L25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51" s="1">
        <f>N250+Table1181920231030313235383940414811151820[[#This Row],[اجمالي الفاتوره]]-Table1181920231030313235383940414811151820[[#This Row],[الدفعات]]</f>
        <v>0</v>
      </c>
    </row>
    <row r="252" spans="10:14" s="1" customFormat="1" ht="24.6" customHeight="1" x14ac:dyDescent="0.3">
      <c r="J252" s="1">
        <f>0.03*Table1181920231030313235383940414811151820[[#This Row],[النولون]]</f>
        <v>0</v>
      </c>
      <c r="L25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52" s="1">
        <f>N251+Table1181920231030313235383940414811151820[[#This Row],[اجمالي الفاتوره]]-Table1181920231030313235383940414811151820[[#This Row],[الدفعات]]</f>
        <v>0</v>
      </c>
    </row>
    <row r="253" spans="10:14" s="1" customFormat="1" ht="24.6" customHeight="1" x14ac:dyDescent="0.3">
      <c r="J253" s="1">
        <f>0.03*Table1181920231030313235383940414811151820[[#This Row],[النولون]]</f>
        <v>0</v>
      </c>
      <c r="L25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53" s="1">
        <f>N252+Table1181920231030313235383940414811151820[[#This Row],[اجمالي الفاتوره]]-Table1181920231030313235383940414811151820[[#This Row],[الدفعات]]</f>
        <v>0</v>
      </c>
    </row>
    <row r="254" spans="10:14" s="1" customFormat="1" ht="24.6" customHeight="1" x14ac:dyDescent="0.3">
      <c r="J254" s="1">
        <f>0.03*Table1181920231030313235383940414811151820[[#This Row],[النولون]]</f>
        <v>0</v>
      </c>
      <c r="L25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54" s="1">
        <f>N253+Table1181920231030313235383940414811151820[[#This Row],[اجمالي الفاتوره]]-Table1181920231030313235383940414811151820[[#This Row],[الدفعات]]</f>
        <v>0</v>
      </c>
    </row>
    <row r="255" spans="10:14" s="1" customFormat="1" ht="24.6" customHeight="1" x14ac:dyDescent="0.3">
      <c r="J255" s="1">
        <f>0.03*Table1181920231030313235383940414811151820[[#This Row],[النولون]]</f>
        <v>0</v>
      </c>
      <c r="L25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55" s="1">
        <f>N254+Table1181920231030313235383940414811151820[[#This Row],[اجمالي الفاتوره]]-Table1181920231030313235383940414811151820[[#This Row],[الدفعات]]</f>
        <v>0</v>
      </c>
    </row>
    <row r="256" spans="10:14" s="1" customFormat="1" ht="24.6" customHeight="1" x14ac:dyDescent="0.3">
      <c r="J256" s="1">
        <f>0.03*Table1181920231030313235383940414811151820[[#This Row],[النولون]]</f>
        <v>0</v>
      </c>
      <c r="L25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56" s="1">
        <f>N255+Table1181920231030313235383940414811151820[[#This Row],[اجمالي الفاتوره]]-Table1181920231030313235383940414811151820[[#This Row],[الدفعات]]</f>
        <v>0</v>
      </c>
    </row>
    <row r="257" spans="10:14" s="1" customFormat="1" ht="24.6" customHeight="1" x14ac:dyDescent="0.3">
      <c r="J257" s="1">
        <f>0.03*Table1181920231030313235383940414811151820[[#This Row],[النولون]]</f>
        <v>0</v>
      </c>
      <c r="L25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57" s="1">
        <f>N256+Table1181920231030313235383940414811151820[[#This Row],[اجمالي الفاتوره]]-Table1181920231030313235383940414811151820[[#This Row],[الدفعات]]</f>
        <v>0</v>
      </c>
    </row>
    <row r="258" spans="10:14" s="1" customFormat="1" ht="24.6" customHeight="1" x14ac:dyDescent="0.3">
      <c r="J258" s="1">
        <f>0.03*Table1181920231030313235383940414811151820[[#This Row],[النولون]]</f>
        <v>0</v>
      </c>
      <c r="L25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58" s="1">
        <f>N257+Table1181920231030313235383940414811151820[[#This Row],[اجمالي الفاتوره]]-Table1181920231030313235383940414811151820[[#This Row],[الدفعات]]</f>
        <v>0</v>
      </c>
    </row>
    <row r="259" spans="10:14" s="1" customFormat="1" ht="24.6" customHeight="1" x14ac:dyDescent="0.3">
      <c r="J259" s="1">
        <f>0.03*Table1181920231030313235383940414811151820[[#This Row],[النولون]]</f>
        <v>0</v>
      </c>
      <c r="L25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59" s="1">
        <f>N258+Table1181920231030313235383940414811151820[[#This Row],[اجمالي الفاتوره]]-Table1181920231030313235383940414811151820[[#This Row],[الدفعات]]</f>
        <v>0</v>
      </c>
    </row>
    <row r="260" spans="10:14" s="1" customFormat="1" ht="24.6" customHeight="1" x14ac:dyDescent="0.3">
      <c r="J260" s="1">
        <f>0.03*Table1181920231030313235383940414811151820[[#This Row],[النولون]]</f>
        <v>0</v>
      </c>
      <c r="L26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60" s="1">
        <f>N259+Table1181920231030313235383940414811151820[[#This Row],[اجمالي الفاتوره]]-Table1181920231030313235383940414811151820[[#This Row],[الدفعات]]</f>
        <v>0</v>
      </c>
    </row>
    <row r="261" spans="10:14" s="1" customFormat="1" ht="24.6" customHeight="1" x14ac:dyDescent="0.3">
      <c r="J261" s="1">
        <f>0.03*Table1181920231030313235383940414811151820[[#This Row],[النولون]]</f>
        <v>0</v>
      </c>
      <c r="L26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61" s="1">
        <f>N260+Table1181920231030313235383940414811151820[[#This Row],[اجمالي الفاتوره]]-Table1181920231030313235383940414811151820[[#This Row],[الدفعات]]</f>
        <v>0</v>
      </c>
    </row>
    <row r="262" spans="10:14" s="1" customFormat="1" ht="24.6" customHeight="1" x14ac:dyDescent="0.3">
      <c r="J262" s="1">
        <f>0.03*Table1181920231030313235383940414811151820[[#This Row],[النولون]]</f>
        <v>0</v>
      </c>
      <c r="L26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62" s="1">
        <f>N261+Table1181920231030313235383940414811151820[[#This Row],[اجمالي الفاتوره]]-Table1181920231030313235383940414811151820[[#This Row],[الدفعات]]</f>
        <v>0</v>
      </c>
    </row>
    <row r="263" spans="10:14" s="1" customFormat="1" ht="24.6" customHeight="1" x14ac:dyDescent="0.3">
      <c r="J263" s="1">
        <f>0.03*Table1181920231030313235383940414811151820[[#This Row],[النولون]]</f>
        <v>0</v>
      </c>
      <c r="L26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63" s="1">
        <f>N262+Table1181920231030313235383940414811151820[[#This Row],[اجمالي الفاتوره]]-Table1181920231030313235383940414811151820[[#This Row],[الدفعات]]</f>
        <v>0</v>
      </c>
    </row>
    <row r="264" spans="10:14" s="1" customFormat="1" ht="24.6" customHeight="1" x14ac:dyDescent="0.3">
      <c r="J264" s="1">
        <f>0.03*Table1181920231030313235383940414811151820[[#This Row],[النولون]]</f>
        <v>0</v>
      </c>
      <c r="L26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64" s="1">
        <f>N263+Table1181920231030313235383940414811151820[[#This Row],[اجمالي الفاتوره]]-Table1181920231030313235383940414811151820[[#This Row],[الدفعات]]</f>
        <v>0</v>
      </c>
    </row>
    <row r="265" spans="10:14" s="1" customFormat="1" ht="24.6" customHeight="1" x14ac:dyDescent="0.3">
      <c r="J265" s="1">
        <f>0.03*Table1181920231030313235383940414811151820[[#This Row],[النولون]]</f>
        <v>0</v>
      </c>
      <c r="L26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65" s="1">
        <f>N264+Table1181920231030313235383940414811151820[[#This Row],[اجمالي الفاتوره]]-Table1181920231030313235383940414811151820[[#This Row],[الدفعات]]</f>
        <v>0</v>
      </c>
    </row>
    <row r="266" spans="10:14" s="1" customFormat="1" ht="24.6" customHeight="1" x14ac:dyDescent="0.3">
      <c r="J266" s="1">
        <f>0.03*Table1181920231030313235383940414811151820[[#This Row],[النولون]]</f>
        <v>0</v>
      </c>
      <c r="L26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66" s="1">
        <f>N265+Table1181920231030313235383940414811151820[[#This Row],[اجمالي الفاتوره]]-Table1181920231030313235383940414811151820[[#This Row],[الدفعات]]</f>
        <v>0</v>
      </c>
    </row>
    <row r="267" spans="10:14" s="1" customFormat="1" ht="24.6" customHeight="1" x14ac:dyDescent="0.3">
      <c r="J267" s="1">
        <f>0.03*Table1181920231030313235383940414811151820[[#This Row],[النولون]]</f>
        <v>0</v>
      </c>
      <c r="L26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67" s="1">
        <f>N266+Table1181920231030313235383940414811151820[[#This Row],[اجمالي الفاتوره]]-Table1181920231030313235383940414811151820[[#This Row],[الدفعات]]</f>
        <v>0</v>
      </c>
    </row>
    <row r="268" spans="10:14" s="1" customFormat="1" ht="24.6" customHeight="1" x14ac:dyDescent="0.3">
      <c r="J268" s="1">
        <f>0.03*Table1181920231030313235383940414811151820[[#This Row],[النولون]]</f>
        <v>0</v>
      </c>
      <c r="L26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68" s="1">
        <f>N267+Table1181920231030313235383940414811151820[[#This Row],[اجمالي الفاتوره]]-Table1181920231030313235383940414811151820[[#This Row],[الدفعات]]</f>
        <v>0</v>
      </c>
    </row>
    <row r="269" spans="10:14" s="1" customFormat="1" ht="24.6" customHeight="1" x14ac:dyDescent="0.3">
      <c r="J269" s="1">
        <f>0.03*Table1181920231030313235383940414811151820[[#This Row],[النولون]]</f>
        <v>0</v>
      </c>
      <c r="L26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69" s="1">
        <f>N268+Table1181920231030313235383940414811151820[[#This Row],[اجمالي الفاتوره]]-Table1181920231030313235383940414811151820[[#This Row],[الدفعات]]</f>
        <v>0</v>
      </c>
    </row>
    <row r="270" spans="10:14" s="1" customFormat="1" ht="24.6" customHeight="1" x14ac:dyDescent="0.3">
      <c r="J270" s="1">
        <f>0.03*Table1181920231030313235383940414811151820[[#This Row],[النولون]]</f>
        <v>0</v>
      </c>
      <c r="L27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70" s="1">
        <f>N269+Table1181920231030313235383940414811151820[[#This Row],[اجمالي الفاتوره]]-Table1181920231030313235383940414811151820[[#This Row],[الدفعات]]</f>
        <v>0</v>
      </c>
    </row>
    <row r="271" spans="10:14" s="1" customFormat="1" ht="24.6" customHeight="1" x14ac:dyDescent="0.3">
      <c r="J271" s="1">
        <f>0.03*Table1181920231030313235383940414811151820[[#This Row],[النولون]]</f>
        <v>0</v>
      </c>
      <c r="L27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71" s="1">
        <f>N270+Table1181920231030313235383940414811151820[[#This Row],[اجمالي الفاتوره]]-Table1181920231030313235383940414811151820[[#This Row],[الدفعات]]</f>
        <v>0</v>
      </c>
    </row>
    <row r="272" spans="10:14" s="1" customFormat="1" ht="24.6" customHeight="1" x14ac:dyDescent="0.3">
      <c r="J272" s="1">
        <f>0.03*Table1181920231030313235383940414811151820[[#This Row],[النولون]]</f>
        <v>0</v>
      </c>
      <c r="L27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72" s="1">
        <f>N271+Table1181920231030313235383940414811151820[[#This Row],[اجمالي الفاتوره]]-Table1181920231030313235383940414811151820[[#This Row],[الدفعات]]</f>
        <v>0</v>
      </c>
    </row>
    <row r="273" spans="10:14" s="1" customFormat="1" ht="24.6" customHeight="1" x14ac:dyDescent="0.3">
      <c r="J273" s="1">
        <f>0.03*Table1181920231030313235383940414811151820[[#This Row],[النولون]]</f>
        <v>0</v>
      </c>
      <c r="L27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73" s="1">
        <f>N272+Table1181920231030313235383940414811151820[[#This Row],[اجمالي الفاتوره]]-Table1181920231030313235383940414811151820[[#This Row],[الدفعات]]</f>
        <v>0</v>
      </c>
    </row>
    <row r="274" spans="10:14" s="1" customFormat="1" ht="24.6" customHeight="1" x14ac:dyDescent="0.3">
      <c r="J274" s="1">
        <f>0.03*Table1181920231030313235383940414811151820[[#This Row],[النولون]]</f>
        <v>0</v>
      </c>
      <c r="L27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74" s="1">
        <f>N273+Table1181920231030313235383940414811151820[[#This Row],[اجمالي الفاتوره]]-Table1181920231030313235383940414811151820[[#This Row],[الدفعات]]</f>
        <v>0</v>
      </c>
    </row>
    <row r="275" spans="10:14" s="1" customFormat="1" ht="24.6" customHeight="1" x14ac:dyDescent="0.3">
      <c r="J275" s="1">
        <f>0.03*Table1181920231030313235383940414811151820[[#This Row],[النولون]]</f>
        <v>0</v>
      </c>
      <c r="L27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75" s="1">
        <f>N274+Table1181920231030313235383940414811151820[[#This Row],[اجمالي الفاتوره]]-Table1181920231030313235383940414811151820[[#This Row],[الدفعات]]</f>
        <v>0</v>
      </c>
    </row>
    <row r="276" spans="10:14" s="1" customFormat="1" ht="24.6" customHeight="1" x14ac:dyDescent="0.3">
      <c r="J276" s="1">
        <f>0.03*Table1181920231030313235383940414811151820[[#This Row],[النولون]]</f>
        <v>0</v>
      </c>
      <c r="L27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76" s="1">
        <f>N275+Table1181920231030313235383940414811151820[[#This Row],[اجمالي الفاتوره]]-Table1181920231030313235383940414811151820[[#This Row],[الدفعات]]</f>
        <v>0</v>
      </c>
    </row>
    <row r="277" spans="10:14" s="1" customFormat="1" ht="24.6" customHeight="1" x14ac:dyDescent="0.3">
      <c r="J277" s="1">
        <f>0.03*Table1181920231030313235383940414811151820[[#This Row],[النولون]]</f>
        <v>0</v>
      </c>
      <c r="L27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77" s="1">
        <f>N276+Table1181920231030313235383940414811151820[[#This Row],[اجمالي الفاتوره]]-Table1181920231030313235383940414811151820[[#This Row],[الدفعات]]</f>
        <v>0</v>
      </c>
    </row>
    <row r="278" spans="10:14" s="1" customFormat="1" ht="24.6" customHeight="1" x14ac:dyDescent="0.3">
      <c r="J278" s="1">
        <f>0.03*Table1181920231030313235383940414811151820[[#This Row],[النولون]]</f>
        <v>0</v>
      </c>
      <c r="L27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78" s="1">
        <f>N277+Table1181920231030313235383940414811151820[[#This Row],[اجمالي الفاتوره]]-Table1181920231030313235383940414811151820[[#This Row],[الدفعات]]</f>
        <v>0</v>
      </c>
    </row>
    <row r="279" spans="10:14" s="1" customFormat="1" ht="24.6" customHeight="1" x14ac:dyDescent="0.3">
      <c r="J279" s="1">
        <f>0.03*Table1181920231030313235383940414811151820[[#This Row],[النولون]]</f>
        <v>0</v>
      </c>
      <c r="L27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79" s="1">
        <f>N278+Table1181920231030313235383940414811151820[[#This Row],[اجمالي الفاتوره]]-Table1181920231030313235383940414811151820[[#This Row],[الدفعات]]</f>
        <v>0</v>
      </c>
    </row>
    <row r="280" spans="10:14" s="1" customFormat="1" ht="24.6" customHeight="1" x14ac:dyDescent="0.3">
      <c r="J280" s="1">
        <f>0.03*Table1181920231030313235383940414811151820[[#This Row],[النولون]]</f>
        <v>0</v>
      </c>
      <c r="L28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80" s="1">
        <f>N279+Table1181920231030313235383940414811151820[[#This Row],[اجمالي الفاتوره]]-Table1181920231030313235383940414811151820[[#This Row],[الدفعات]]</f>
        <v>0</v>
      </c>
    </row>
    <row r="281" spans="10:14" s="1" customFormat="1" ht="24.6" customHeight="1" x14ac:dyDescent="0.3">
      <c r="J281" s="1">
        <f>0.03*Table1181920231030313235383940414811151820[[#This Row],[النولون]]</f>
        <v>0</v>
      </c>
      <c r="L28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81" s="1">
        <f>N280+Table1181920231030313235383940414811151820[[#This Row],[اجمالي الفاتوره]]-Table1181920231030313235383940414811151820[[#This Row],[الدفعات]]</f>
        <v>0</v>
      </c>
    </row>
    <row r="282" spans="10:14" s="1" customFormat="1" ht="24.6" customHeight="1" x14ac:dyDescent="0.3">
      <c r="J282" s="1">
        <f>0.03*Table1181920231030313235383940414811151820[[#This Row],[النولون]]</f>
        <v>0</v>
      </c>
      <c r="L28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82" s="1">
        <f>N281+Table1181920231030313235383940414811151820[[#This Row],[اجمالي الفاتوره]]-Table1181920231030313235383940414811151820[[#This Row],[الدفعات]]</f>
        <v>0</v>
      </c>
    </row>
    <row r="283" spans="10:14" s="1" customFormat="1" ht="24.6" customHeight="1" x14ac:dyDescent="0.3">
      <c r="J283" s="1">
        <f>0.03*Table1181920231030313235383940414811151820[[#This Row],[النولون]]</f>
        <v>0</v>
      </c>
      <c r="L28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83" s="1">
        <f>N282+Table1181920231030313235383940414811151820[[#This Row],[اجمالي الفاتوره]]-Table1181920231030313235383940414811151820[[#This Row],[الدفعات]]</f>
        <v>0</v>
      </c>
    </row>
    <row r="284" spans="10:14" s="1" customFormat="1" ht="24.6" customHeight="1" x14ac:dyDescent="0.3">
      <c r="J284" s="1">
        <f>0.03*Table1181920231030313235383940414811151820[[#This Row],[النولون]]</f>
        <v>0</v>
      </c>
      <c r="L28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84" s="1">
        <f>N283+Table1181920231030313235383940414811151820[[#This Row],[اجمالي الفاتوره]]-Table1181920231030313235383940414811151820[[#This Row],[الدفعات]]</f>
        <v>0</v>
      </c>
    </row>
    <row r="285" spans="10:14" s="1" customFormat="1" ht="24.6" customHeight="1" x14ac:dyDescent="0.3">
      <c r="J285" s="1">
        <f>0.03*Table1181920231030313235383940414811151820[[#This Row],[النولون]]</f>
        <v>0</v>
      </c>
      <c r="L28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85" s="1">
        <f>N284+Table1181920231030313235383940414811151820[[#This Row],[اجمالي الفاتوره]]-Table1181920231030313235383940414811151820[[#This Row],[الدفعات]]</f>
        <v>0</v>
      </c>
    </row>
    <row r="286" spans="10:14" s="1" customFormat="1" ht="24.6" customHeight="1" x14ac:dyDescent="0.3">
      <c r="J286" s="1">
        <f>0.03*Table1181920231030313235383940414811151820[[#This Row],[النولون]]</f>
        <v>0</v>
      </c>
      <c r="L28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86" s="1">
        <f>N285+Table1181920231030313235383940414811151820[[#This Row],[اجمالي الفاتوره]]-Table1181920231030313235383940414811151820[[#This Row],[الدفعات]]</f>
        <v>0</v>
      </c>
    </row>
    <row r="287" spans="10:14" s="1" customFormat="1" ht="24.6" customHeight="1" x14ac:dyDescent="0.3">
      <c r="J287" s="1">
        <f>0.03*Table1181920231030313235383940414811151820[[#This Row],[النولون]]</f>
        <v>0</v>
      </c>
      <c r="L28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87" s="1">
        <f>N286+Table1181920231030313235383940414811151820[[#This Row],[اجمالي الفاتوره]]-Table1181920231030313235383940414811151820[[#This Row],[الدفعات]]</f>
        <v>0</v>
      </c>
    </row>
    <row r="288" spans="10:14" s="1" customFormat="1" ht="24.6" customHeight="1" x14ac:dyDescent="0.3">
      <c r="J288" s="1">
        <f>0.03*Table1181920231030313235383940414811151820[[#This Row],[النولون]]</f>
        <v>0</v>
      </c>
      <c r="L28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88" s="1">
        <f>N287+Table1181920231030313235383940414811151820[[#This Row],[اجمالي الفاتوره]]-Table1181920231030313235383940414811151820[[#This Row],[الدفعات]]</f>
        <v>0</v>
      </c>
    </row>
    <row r="289" spans="10:14" s="1" customFormat="1" ht="24.6" customHeight="1" x14ac:dyDescent="0.3">
      <c r="J289" s="1">
        <f>0.03*Table1181920231030313235383940414811151820[[#This Row],[النولون]]</f>
        <v>0</v>
      </c>
      <c r="L28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89" s="1">
        <f>N288+Table1181920231030313235383940414811151820[[#This Row],[اجمالي الفاتوره]]-Table1181920231030313235383940414811151820[[#This Row],[الدفعات]]</f>
        <v>0</v>
      </c>
    </row>
    <row r="290" spans="10:14" s="1" customFormat="1" ht="24.6" customHeight="1" x14ac:dyDescent="0.3">
      <c r="J290" s="1">
        <f>0.03*Table1181920231030313235383940414811151820[[#This Row],[النولون]]</f>
        <v>0</v>
      </c>
      <c r="L29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90" s="1">
        <f>N289+Table1181920231030313235383940414811151820[[#This Row],[اجمالي الفاتوره]]-Table1181920231030313235383940414811151820[[#This Row],[الدفعات]]</f>
        <v>0</v>
      </c>
    </row>
    <row r="291" spans="10:14" s="1" customFormat="1" ht="24.6" customHeight="1" x14ac:dyDescent="0.3">
      <c r="J291" s="1">
        <f>0.03*Table1181920231030313235383940414811151820[[#This Row],[النولون]]</f>
        <v>0</v>
      </c>
      <c r="L29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91" s="1">
        <f>N290+Table1181920231030313235383940414811151820[[#This Row],[اجمالي الفاتوره]]-Table1181920231030313235383940414811151820[[#This Row],[الدفعات]]</f>
        <v>0</v>
      </c>
    </row>
    <row r="292" spans="10:14" s="1" customFormat="1" ht="24.6" customHeight="1" x14ac:dyDescent="0.3">
      <c r="J292" s="1">
        <f>0.03*Table1181920231030313235383940414811151820[[#This Row],[النولون]]</f>
        <v>0</v>
      </c>
      <c r="L29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92" s="1">
        <f>N291+Table1181920231030313235383940414811151820[[#This Row],[اجمالي الفاتوره]]-Table1181920231030313235383940414811151820[[#This Row],[الدفعات]]</f>
        <v>0</v>
      </c>
    </row>
    <row r="293" spans="10:14" s="1" customFormat="1" ht="24.6" customHeight="1" x14ac:dyDescent="0.3">
      <c r="J293" s="1">
        <f>0.03*Table1181920231030313235383940414811151820[[#This Row],[النولون]]</f>
        <v>0</v>
      </c>
      <c r="L29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93" s="1">
        <f>N292+Table1181920231030313235383940414811151820[[#This Row],[اجمالي الفاتوره]]-Table1181920231030313235383940414811151820[[#This Row],[الدفعات]]</f>
        <v>0</v>
      </c>
    </row>
    <row r="294" spans="10:14" s="1" customFormat="1" ht="24.6" customHeight="1" x14ac:dyDescent="0.3">
      <c r="J294" s="1">
        <f>0.03*Table1181920231030313235383940414811151820[[#This Row],[النولون]]</f>
        <v>0</v>
      </c>
      <c r="L29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94" s="1">
        <f>N293+Table1181920231030313235383940414811151820[[#This Row],[اجمالي الفاتوره]]-Table1181920231030313235383940414811151820[[#This Row],[الدفعات]]</f>
        <v>0</v>
      </c>
    </row>
    <row r="295" spans="10:14" s="1" customFormat="1" ht="24.6" customHeight="1" x14ac:dyDescent="0.3">
      <c r="J295" s="1">
        <f>0.03*Table1181920231030313235383940414811151820[[#This Row],[النولون]]</f>
        <v>0</v>
      </c>
      <c r="L29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95" s="1">
        <f>N294+Table1181920231030313235383940414811151820[[#This Row],[اجمالي الفاتوره]]-Table1181920231030313235383940414811151820[[#This Row],[الدفعات]]</f>
        <v>0</v>
      </c>
    </row>
    <row r="296" spans="10:14" s="1" customFormat="1" ht="24.6" customHeight="1" x14ac:dyDescent="0.3">
      <c r="J296" s="1">
        <f>0.03*Table1181920231030313235383940414811151820[[#This Row],[النولون]]</f>
        <v>0</v>
      </c>
      <c r="L29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96" s="1">
        <f>N295+Table1181920231030313235383940414811151820[[#This Row],[اجمالي الفاتوره]]-Table1181920231030313235383940414811151820[[#This Row],[الدفعات]]</f>
        <v>0</v>
      </c>
    </row>
    <row r="297" spans="10:14" s="1" customFormat="1" ht="24.6" customHeight="1" x14ac:dyDescent="0.3">
      <c r="J297" s="1">
        <f>0.03*Table1181920231030313235383940414811151820[[#This Row],[النولون]]</f>
        <v>0</v>
      </c>
      <c r="L29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97" s="1">
        <f>N296+Table1181920231030313235383940414811151820[[#This Row],[اجمالي الفاتوره]]-Table1181920231030313235383940414811151820[[#This Row],[الدفعات]]</f>
        <v>0</v>
      </c>
    </row>
    <row r="298" spans="10:14" s="1" customFormat="1" ht="24.6" customHeight="1" x14ac:dyDescent="0.3">
      <c r="J298" s="1">
        <f>0.03*Table1181920231030313235383940414811151820[[#This Row],[النولون]]</f>
        <v>0</v>
      </c>
      <c r="L29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98" s="1">
        <f>N297+Table1181920231030313235383940414811151820[[#This Row],[اجمالي الفاتوره]]-Table1181920231030313235383940414811151820[[#This Row],[الدفعات]]</f>
        <v>0</v>
      </c>
    </row>
    <row r="299" spans="10:14" s="1" customFormat="1" ht="24.6" customHeight="1" x14ac:dyDescent="0.3">
      <c r="J299" s="1">
        <f>0.03*Table1181920231030313235383940414811151820[[#This Row],[النولون]]</f>
        <v>0</v>
      </c>
      <c r="L29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299" s="1">
        <f>N298+Table1181920231030313235383940414811151820[[#This Row],[اجمالي الفاتوره]]-Table1181920231030313235383940414811151820[[#This Row],[الدفعات]]</f>
        <v>0</v>
      </c>
    </row>
    <row r="300" spans="10:14" s="1" customFormat="1" ht="24.6" customHeight="1" x14ac:dyDescent="0.3">
      <c r="J300" s="1">
        <f>0.03*Table1181920231030313235383940414811151820[[#This Row],[النولون]]</f>
        <v>0</v>
      </c>
      <c r="L30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00" s="1">
        <f>N299+Table1181920231030313235383940414811151820[[#This Row],[اجمالي الفاتوره]]-Table1181920231030313235383940414811151820[[#This Row],[الدفعات]]</f>
        <v>0</v>
      </c>
    </row>
    <row r="301" spans="10:14" s="1" customFormat="1" ht="24.6" customHeight="1" x14ac:dyDescent="0.3">
      <c r="J301" s="1">
        <f>0.03*Table1181920231030313235383940414811151820[[#This Row],[النولون]]</f>
        <v>0</v>
      </c>
      <c r="L30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01" s="1">
        <f>N300+Table1181920231030313235383940414811151820[[#This Row],[اجمالي الفاتوره]]-Table1181920231030313235383940414811151820[[#This Row],[الدفعات]]</f>
        <v>0</v>
      </c>
    </row>
    <row r="302" spans="10:14" s="1" customFormat="1" ht="24.6" customHeight="1" x14ac:dyDescent="0.3">
      <c r="J302" s="1">
        <f>0.03*Table1181920231030313235383940414811151820[[#This Row],[النولون]]</f>
        <v>0</v>
      </c>
      <c r="L30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02" s="1">
        <f>N301+Table1181920231030313235383940414811151820[[#This Row],[اجمالي الفاتوره]]-Table1181920231030313235383940414811151820[[#This Row],[الدفعات]]</f>
        <v>0</v>
      </c>
    </row>
    <row r="303" spans="10:14" s="1" customFormat="1" ht="24.6" customHeight="1" x14ac:dyDescent="0.3">
      <c r="J303" s="1">
        <f>0.03*Table1181920231030313235383940414811151820[[#This Row],[النولون]]</f>
        <v>0</v>
      </c>
      <c r="L30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03" s="1">
        <f>N302+Table1181920231030313235383940414811151820[[#This Row],[اجمالي الفاتوره]]-Table1181920231030313235383940414811151820[[#This Row],[الدفعات]]</f>
        <v>0</v>
      </c>
    </row>
    <row r="304" spans="10:14" s="1" customFormat="1" ht="24.6" customHeight="1" x14ac:dyDescent="0.3">
      <c r="J304" s="1">
        <f>0.03*Table1181920231030313235383940414811151820[[#This Row],[النولون]]</f>
        <v>0</v>
      </c>
      <c r="L30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04" s="1">
        <f>N303+Table1181920231030313235383940414811151820[[#This Row],[اجمالي الفاتوره]]-Table1181920231030313235383940414811151820[[#This Row],[الدفعات]]</f>
        <v>0</v>
      </c>
    </row>
    <row r="305" spans="10:14" s="1" customFormat="1" ht="24.6" customHeight="1" x14ac:dyDescent="0.3">
      <c r="J305" s="1">
        <f>0.03*Table1181920231030313235383940414811151820[[#This Row],[النولون]]</f>
        <v>0</v>
      </c>
      <c r="L30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05" s="1">
        <f>N304+Table1181920231030313235383940414811151820[[#This Row],[اجمالي الفاتوره]]-Table1181920231030313235383940414811151820[[#This Row],[الدفعات]]</f>
        <v>0</v>
      </c>
    </row>
    <row r="306" spans="10:14" s="1" customFormat="1" ht="24.6" customHeight="1" x14ac:dyDescent="0.3">
      <c r="J306" s="1">
        <f>0.03*Table1181920231030313235383940414811151820[[#This Row],[النولون]]</f>
        <v>0</v>
      </c>
      <c r="L30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06" s="1">
        <f>N305+Table1181920231030313235383940414811151820[[#This Row],[اجمالي الفاتوره]]-Table1181920231030313235383940414811151820[[#This Row],[الدفعات]]</f>
        <v>0</v>
      </c>
    </row>
    <row r="307" spans="10:14" s="1" customFormat="1" ht="24.6" customHeight="1" x14ac:dyDescent="0.3">
      <c r="J307" s="1">
        <f>0.03*Table1181920231030313235383940414811151820[[#This Row],[النولون]]</f>
        <v>0</v>
      </c>
      <c r="L30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07" s="1">
        <f>N306+Table1181920231030313235383940414811151820[[#This Row],[اجمالي الفاتوره]]-Table1181920231030313235383940414811151820[[#This Row],[الدفعات]]</f>
        <v>0</v>
      </c>
    </row>
    <row r="308" spans="10:14" s="1" customFormat="1" ht="24.6" customHeight="1" x14ac:dyDescent="0.3">
      <c r="J308" s="1">
        <f>0.03*Table1181920231030313235383940414811151820[[#This Row],[النولون]]</f>
        <v>0</v>
      </c>
      <c r="L30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08" s="1">
        <f>N307+Table1181920231030313235383940414811151820[[#This Row],[اجمالي الفاتوره]]-Table1181920231030313235383940414811151820[[#This Row],[الدفعات]]</f>
        <v>0</v>
      </c>
    </row>
    <row r="309" spans="10:14" s="1" customFormat="1" ht="24.6" customHeight="1" x14ac:dyDescent="0.3">
      <c r="J309" s="1">
        <f>0.03*Table1181920231030313235383940414811151820[[#This Row],[النولون]]</f>
        <v>0</v>
      </c>
      <c r="L30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09" s="1">
        <f>N308+Table1181920231030313235383940414811151820[[#This Row],[اجمالي الفاتوره]]-Table1181920231030313235383940414811151820[[#This Row],[الدفعات]]</f>
        <v>0</v>
      </c>
    </row>
    <row r="310" spans="10:14" s="1" customFormat="1" ht="24.6" customHeight="1" x14ac:dyDescent="0.3">
      <c r="J310" s="1">
        <f>0.03*Table1181920231030313235383940414811151820[[#This Row],[النولون]]</f>
        <v>0</v>
      </c>
      <c r="L31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10" s="1">
        <f>N309+Table1181920231030313235383940414811151820[[#This Row],[اجمالي الفاتوره]]-Table1181920231030313235383940414811151820[[#This Row],[الدفعات]]</f>
        <v>0</v>
      </c>
    </row>
    <row r="311" spans="10:14" s="1" customFormat="1" ht="24.6" customHeight="1" x14ac:dyDescent="0.3">
      <c r="J311" s="1">
        <f>0.03*Table1181920231030313235383940414811151820[[#This Row],[النولون]]</f>
        <v>0</v>
      </c>
      <c r="L31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11" s="1">
        <f>N310+Table1181920231030313235383940414811151820[[#This Row],[اجمالي الفاتوره]]-Table1181920231030313235383940414811151820[[#This Row],[الدفعات]]</f>
        <v>0</v>
      </c>
    </row>
    <row r="312" spans="10:14" s="1" customFormat="1" ht="24.6" customHeight="1" x14ac:dyDescent="0.3">
      <c r="J312" s="1">
        <f>0.03*Table1181920231030313235383940414811151820[[#This Row],[النولون]]</f>
        <v>0</v>
      </c>
      <c r="L31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12" s="1">
        <f>N311+Table1181920231030313235383940414811151820[[#This Row],[اجمالي الفاتوره]]-Table1181920231030313235383940414811151820[[#This Row],[الدفعات]]</f>
        <v>0</v>
      </c>
    </row>
    <row r="313" spans="10:14" s="1" customFormat="1" ht="24.6" customHeight="1" x14ac:dyDescent="0.3">
      <c r="J313" s="1">
        <f>0.03*Table1181920231030313235383940414811151820[[#This Row],[النولون]]</f>
        <v>0</v>
      </c>
      <c r="L31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13" s="1">
        <f>N312+Table1181920231030313235383940414811151820[[#This Row],[اجمالي الفاتوره]]-Table1181920231030313235383940414811151820[[#This Row],[الدفعات]]</f>
        <v>0</v>
      </c>
    </row>
    <row r="314" spans="10:14" s="1" customFormat="1" ht="24.6" customHeight="1" x14ac:dyDescent="0.3">
      <c r="J314" s="1">
        <f>0.03*Table1181920231030313235383940414811151820[[#This Row],[النولون]]</f>
        <v>0</v>
      </c>
      <c r="L31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14" s="1">
        <f>N313+Table1181920231030313235383940414811151820[[#This Row],[اجمالي الفاتوره]]-Table1181920231030313235383940414811151820[[#This Row],[الدفعات]]</f>
        <v>0</v>
      </c>
    </row>
    <row r="315" spans="10:14" s="1" customFormat="1" ht="24.6" customHeight="1" x14ac:dyDescent="0.3">
      <c r="J315" s="1">
        <f>0.03*Table1181920231030313235383940414811151820[[#This Row],[النولون]]</f>
        <v>0</v>
      </c>
      <c r="L31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15" s="1">
        <f>N314+Table1181920231030313235383940414811151820[[#This Row],[اجمالي الفاتوره]]-Table1181920231030313235383940414811151820[[#This Row],[الدفعات]]</f>
        <v>0</v>
      </c>
    </row>
    <row r="316" spans="10:14" s="1" customFormat="1" ht="24.6" customHeight="1" x14ac:dyDescent="0.3">
      <c r="J316" s="1">
        <f>0.03*Table1181920231030313235383940414811151820[[#This Row],[النولون]]</f>
        <v>0</v>
      </c>
      <c r="L31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16" s="1">
        <f>N315+Table1181920231030313235383940414811151820[[#This Row],[اجمالي الفاتوره]]-Table1181920231030313235383940414811151820[[#This Row],[الدفعات]]</f>
        <v>0</v>
      </c>
    </row>
    <row r="317" spans="10:14" s="1" customFormat="1" ht="24.6" customHeight="1" x14ac:dyDescent="0.3">
      <c r="J317" s="1">
        <f>0.03*Table1181920231030313235383940414811151820[[#This Row],[النولون]]</f>
        <v>0</v>
      </c>
      <c r="L31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17" s="1">
        <f>N316+Table1181920231030313235383940414811151820[[#This Row],[اجمالي الفاتوره]]-Table1181920231030313235383940414811151820[[#This Row],[الدفعات]]</f>
        <v>0</v>
      </c>
    </row>
    <row r="318" spans="10:14" s="1" customFormat="1" ht="24.6" customHeight="1" x14ac:dyDescent="0.3">
      <c r="J318" s="1">
        <f>0.03*Table1181920231030313235383940414811151820[[#This Row],[النولون]]</f>
        <v>0</v>
      </c>
      <c r="L31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18" s="1">
        <f>N317+Table1181920231030313235383940414811151820[[#This Row],[اجمالي الفاتوره]]-Table1181920231030313235383940414811151820[[#This Row],[الدفعات]]</f>
        <v>0</v>
      </c>
    </row>
    <row r="319" spans="10:14" s="1" customFormat="1" ht="24.6" customHeight="1" x14ac:dyDescent="0.3">
      <c r="J319" s="1">
        <f>0.03*Table1181920231030313235383940414811151820[[#This Row],[النولون]]</f>
        <v>0</v>
      </c>
      <c r="L31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19" s="1">
        <f>N318+Table1181920231030313235383940414811151820[[#This Row],[اجمالي الفاتوره]]-Table1181920231030313235383940414811151820[[#This Row],[الدفعات]]</f>
        <v>0</v>
      </c>
    </row>
    <row r="320" spans="10:14" s="1" customFormat="1" ht="24.6" customHeight="1" x14ac:dyDescent="0.3">
      <c r="J320" s="1">
        <f>0.03*Table1181920231030313235383940414811151820[[#This Row],[النولون]]</f>
        <v>0</v>
      </c>
      <c r="L32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20" s="1">
        <f>N319+Table1181920231030313235383940414811151820[[#This Row],[اجمالي الفاتوره]]-Table1181920231030313235383940414811151820[[#This Row],[الدفعات]]</f>
        <v>0</v>
      </c>
    </row>
    <row r="321" spans="10:14" s="1" customFormat="1" ht="24.6" customHeight="1" x14ac:dyDescent="0.3">
      <c r="J321" s="1">
        <f>0.03*Table1181920231030313235383940414811151820[[#This Row],[النولون]]</f>
        <v>0</v>
      </c>
      <c r="L32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21" s="1">
        <f>N320+Table1181920231030313235383940414811151820[[#This Row],[اجمالي الفاتوره]]-Table1181920231030313235383940414811151820[[#This Row],[الدفعات]]</f>
        <v>0</v>
      </c>
    </row>
    <row r="322" spans="10:14" s="1" customFormat="1" ht="24.6" customHeight="1" x14ac:dyDescent="0.3">
      <c r="J322" s="1">
        <f>0.03*Table1181920231030313235383940414811151820[[#This Row],[النولون]]</f>
        <v>0</v>
      </c>
      <c r="L32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22" s="1">
        <f>N321+Table1181920231030313235383940414811151820[[#This Row],[اجمالي الفاتوره]]-Table1181920231030313235383940414811151820[[#This Row],[الدفعات]]</f>
        <v>0</v>
      </c>
    </row>
    <row r="323" spans="10:14" s="1" customFormat="1" ht="24.6" customHeight="1" x14ac:dyDescent="0.3">
      <c r="J323" s="1">
        <f>0.03*Table1181920231030313235383940414811151820[[#This Row],[النولون]]</f>
        <v>0</v>
      </c>
      <c r="L32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23" s="1">
        <f>N322+Table1181920231030313235383940414811151820[[#This Row],[اجمالي الفاتوره]]-Table1181920231030313235383940414811151820[[#This Row],[الدفعات]]</f>
        <v>0</v>
      </c>
    </row>
    <row r="324" spans="10:14" s="1" customFormat="1" ht="24.6" customHeight="1" x14ac:dyDescent="0.3">
      <c r="J324" s="1">
        <f>0.03*Table1181920231030313235383940414811151820[[#This Row],[النولون]]</f>
        <v>0</v>
      </c>
      <c r="L32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24" s="1">
        <f>N323+Table1181920231030313235383940414811151820[[#This Row],[اجمالي الفاتوره]]-Table1181920231030313235383940414811151820[[#This Row],[الدفعات]]</f>
        <v>0</v>
      </c>
    </row>
    <row r="325" spans="10:14" s="1" customFormat="1" ht="24.6" customHeight="1" x14ac:dyDescent="0.3">
      <c r="J325" s="1">
        <f>0.03*Table1181920231030313235383940414811151820[[#This Row],[النولون]]</f>
        <v>0</v>
      </c>
      <c r="L32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25" s="1">
        <f>N324+Table1181920231030313235383940414811151820[[#This Row],[اجمالي الفاتوره]]-Table1181920231030313235383940414811151820[[#This Row],[الدفعات]]</f>
        <v>0</v>
      </c>
    </row>
    <row r="326" spans="10:14" s="1" customFormat="1" ht="24.6" customHeight="1" x14ac:dyDescent="0.3">
      <c r="J326" s="1">
        <f>0.03*Table1181920231030313235383940414811151820[[#This Row],[النولون]]</f>
        <v>0</v>
      </c>
      <c r="L32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26" s="1">
        <f>N325+Table1181920231030313235383940414811151820[[#This Row],[اجمالي الفاتوره]]-Table1181920231030313235383940414811151820[[#This Row],[الدفعات]]</f>
        <v>0</v>
      </c>
    </row>
    <row r="327" spans="10:14" s="1" customFormat="1" ht="24.6" customHeight="1" x14ac:dyDescent="0.3">
      <c r="J327" s="1">
        <f>0.03*Table1181920231030313235383940414811151820[[#This Row],[النولون]]</f>
        <v>0</v>
      </c>
      <c r="L32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27" s="1">
        <f>N326+Table1181920231030313235383940414811151820[[#This Row],[اجمالي الفاتوره]]-Table1181920231030313235383940414811151820[[#This Row],[الدفعات]]</f>
        <v>0</v>
      </c>
    </row>
    <row r="328" spans="10:14" s="1" customFormat="1" ht="24.6" customHeight="1" x14ac:dyDescent="0.3">
      <c r="J328" s="1">
        <f>0.03*Table1181920231030313235383940414811151820[[#This Row],[النولون]]</f>
        <v>0</v>
      </c>
      <c r="L32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28" s="1">
        <f>N327+Table1181920231030313235383940414811151820[[#This Row],[اجمالي الفاتوره]]-Table1181920231030313235383940414811151820[[#This Row],[الدفعات]]</f>
        <v>0</v>
      </c>
    </row>
    <row r="329" spans="10:14" s="1" customFormat="1" ht="24.6" customHeight="1" x14ac:dyDescent="0.3">
      <c r="J329" s="1">
        <f>0.03*Table1181920231030313235383940414811151820[[#This Row],[النولون]]</f>
        <v>0</v>
      </c>
      <c r="L329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29" s="1">
        <f>N328+Table1181920231030313235383940414811151820[[#This Row],[اجمالي الفاتوره]]-Table1181920231030313235383940414811151820[[#This Row],[الدفعات]]</f>
        <v>0</v>
      </c>
    </row>
    <row r="330" spans="10:14" s="1" customFormat="1" ht="24.6" customHeight="1" x14ac:dyDescent="0.3">
      <c r="J330" s="1">
        <f>0.03*Table1181920231030313235383940414811151820[[#This Row],[النولون]]</f>
        <v>0</v>
      </c>
      <c r="L330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30" s="1">
        <f>N329+Table1181920231030313235383940414811151820[[#This Row],[اجمالي الفاتوره]]-Table1181920231030313235383940414811151820[[#This Row],[الدفعات]]</f>
        <v>0</v>
      </c>
    </row>
    <row r="331" spans="10:14" s="1" customFormat="1" ht="24.6" customHeight="1" x14ac:dyDescent="0.3">
      <c r="J331" s="1">
        <f>0.03*Table1181920231030313235383940414811151820[[#This Row],[النولون]]</f>
        <v>0</v>
      </c>
      <c r="L331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31" s="1">
        <f>N330+Table1181920231030313235383940414811151820[[#This Row],[اجمالي الفاتوره]]-Table1181920231030313235383940414811151820[[#This Row],[الدفعات]]</f>
        <v>0</v>
      </c>
    </row>
    <row r="332" spans="10:14" s="1" customFormat="1" ht="24.6" customHeight="1" x14ac:dyDescent="0.3">
      <c r="J332" s="1">
        <f>0.03*Table1181920231030313235383940414811151820[[#This Row],[النولون]]</f>
        <v>0</v>
      </c>
      <c r="L332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32" s="1">
        <f>N331+Table1181920231030313235383940414811151820[[#This Row],[اجمالي الفاتوره]]-Table1181920231030313235383940414811151820[[#This Row],[الدفعات]]</f>
        <v>0</v>
      </c>
    </row>
    <row r="333" spans="10:14" s="1" customFormat="1" ht="24.6" customHeight="1" x14ac:dyDescent="0.3">
      <c r="J333" s="1">
        <f>0.03*Table1181920231030313235383940414811151820[[#This Row],[النولون]]</f>
        <v>0</v>
      </c>
      <c r="L333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33" s="1">
        <f>N332+Table1181920231030313235383940414811151820[[#This Row],[اجمالي الفاتوره]]-Table1181920231030313235383940414811151820[[#This Row],[الدفعات]]</f>
        <v>0</v>
      </c>
    </row>
    <row r="334" spans="10:14" s="1" customFormat="1" ht="24.6" customHeight="1" x14ac:dyDescent="0.3">
      <c r="J334" s="1">
        <f>0.03*Table1181920231030313235383940414811151820[[#This Row],[النولون]]</f>
        <v>0</v>
      </c>
      <c r="L334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34" s="1">
        <f>N333+Table1181920231030313235383940414811151820[[#This Row],[اجمالي الفاتوره]]-Table1181920231030313235383940414811151820[[#This Row],[الدفعات]]</f>
        <v>0</v>
      </c>
    </row>
    <row r="335" spans="10:14" s="1" customFormat="1" ht="24.6" customHeight="1" x14ac:dyDescent="0.3">
      <c r="J335" s="1">
        <f>0.03*Table1181920231030313235383940414811151820[[#This Row],[النولون]]</f>
        <v>0</v>
      </c>
      <c r="L335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35" s="1">
        <f>N334+Table1181920231030313235383940414811151820[[#This Row],[اجمالي الفاتوره]]-Table1181920231030313235383940414811151820[[#This Row],[الدفعات]]</f>
        <v>0</v>
      </c>
    </row>
    <row r="336" spans="10:14" s="1" customFormat="1" ht="24.6" customHeight="1" x14ac:dyDescent="0.3">
      <c r="J336" s="1">
        <f>0.03*Table1181920231030313235383940414811151820[[#This Row],[النولون]]</f>
        <v>0</v>
      </c>
      <c r="L336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36" s="1">
        <f>N335+Table1181920231030313235383940414811151820[[#This Row],[اجمالي الفاتوره]]-Table1181920231030313235383940414811151820[[#This Row],[الدفعات]]</f>
        <v>0</v>
      </c>
    </row>
    <row r="337" spans="10:14" s="1" customFormat="1" ht="24.6" customHeight="1" x14ac:dyDescent="0.3">
      <c r="J337" s="1">
        <f>0.03*Table1181920231030313235383940414811151820[[#This Row],[النولون]]</f>
        <v>0</v>
      </c>
      <c r="L337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37" s="1">
        <f>N336+Table1181920231030313235383940414811151820[[#This Row],[اجمالي الفاتوره]]-Table1181920231030313235383940414811151820[[#This Row],[الدفعات]]</f>
        <v>0</v>
      </c>
    </row>
    <row r="338" spans="10:14" s="1" customFormat="1" ht="24.6" customHeight="1" x14ac:dyDescent="0.3">
      <c r="J338" s="1">
        <f>0.03*Table1181920231030313235383940414811151820[[#This Row],[النولون]]</f>
        <v>0</v>
      </c>
      <c r="L338" s="1">
        <f>Table1181920231030313235383940414811151820[[#This Row],[النولون]]+Table1181920231030313235383940414811151820[[#This Row],[الايصالات]]-Table1181920231030313235383940414811151820[[#This Row],[خصم أ ت ص]]+Table1181920231030313235383940414811151820[[#This Row],[قيمة مضافة]]</f>
        <v>0</v>
      </c>
      <c r="N338" s="1">
        <f>N337+Table1181920231030313235383940414811151820[[#This Row],[اجمالي الفاتوره]]-Table1181920231030313235383940414811151820[[#This Row],[الدفعات]]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339"/>
  <sheetViews>
    <sheetView rightToLeft="1" workbookViewId="0">
      <selection activeCell="M5" sqref="M5"/>
    </sheetView>
  </sheetViews>
  <sheetFormatPr defaultColWidth="9.109375" defaultRowHeight="25.2" customHeight="1" x14ac:dyDescent="0.3"/>
  <cols>
    <col min="1" max="1" width="5.44140625" style="6" customWidth="1"/>
    <col min="2" max="2" width="5.44140625" style="1" customWidth="1"/>
    <col min="3" max="3" width="11" style="1" customWidth="1"/>
    <col min="4" max="4" width="15.109375" style="1" customWidth="1"/>
    <col min="5" max="5" width="11.21875" style="1" customWidth="1"/>
    <col min="6" max="6" width="13.33203125" style="1" customWidth="1"/>
    <col min="7" max="7" width="11.88671875" style="1" customWidth="1"/>
    <col min="8" max="8" width="11.6640625" style="1" customWidth="1"/>
    <col min="9" max="9" width="8.33203125" style="1" customWidth="1"/>
    <col min="10" max="10" width="8.21875" style="1" customWidth="1"/>
    <col min="11" max="11" width="10.77734375" style="1" customWidth="1"/>
    <col min="12" max="12" width="12" style="1" customWidth="1"/>
    <col min="13" max="13" width="12.77734375" style="1" customWidth="1"/>
    <col min="14" max="14" width="15.21875" style="1" customWidth="1"/>
    <col min="15" max="16384" width="9.109375" style="1"/>
  </cols>
  <sheetData>
    <row r="1" spans="1:16" ht="25.2" customHeight="1" x14ac:dyDescent="0.3">
      <c r="A1" s="6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95" t="s">
        <v>20</v>
      </c>
    </row>
    <row r="2" spans="1:16" ht="25.2" customHeight="1" x14ac:dyDescent="0.3">
      <c r="A2" s="6">
        <v>1539</v>
      </c>
      <c r="B2" s="1">
        <v>1</v>
      </c>
      <c r="C2" s="2">
        <v>46187</v>
      </c>
      <c r="D2" s="1" t="s">
        <v>611</v>
      </c>
      <c r="E2" s="1" t="s">
        <v>381</v>
      </c>
      <c r="F2" s="1">
        <v>266701</v>
      </c>
      <c r="G2" s="1" t="s">
        <v>121</v>
      </c>
      <c r="H2" s="1">
        <v>15800</v>
      </c>
      <c r="I2" s="1">
        <f>0.14*Table11819202310303132353839404148111518202831[[#This Row],[النولون]]</f>
        <v>2212</v>
      </c>
      <c r="K2" s="1">
        <f>120+1135+271.59+1254</f>
        <v>2780.59</v>
      </c>
      <c r="L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20792.59</v>
      </c>
      <c r="N2" s="1">
        <f>Table11819202310303132353839404148111518202831[[#This Row],[اجمالي الفاتوره]]-Table11819202310303132353839404148111518202831[[#This Row],[الدفعات]]</f>
        <v>20792.59</v>
      </c>
      <c r="P2" s="95"/>
    </row>
    <row r="3" spans="1:16" ht="25.2" customHeight="1" x14ac:dyDescent="0.3">
      <c r="A3" s="6">
        <v>1540</v>
      </c>
      <c r="B3" s="1">
        <v>2</v>
      </c>
      <c r="C3" s="2">
        <v>46187</v>
      </c>
      <c r="D3" s="1" t="s">
        <v>612</v>
      </c>
      <c r="E3" s="1" t="s">
        <v>178</v>
      </c>
      <c r="F3" s="1">
        <v>288790</v>
      </c>
      <c r="G3" s="1" t="s">
        <v>121</v>
      </c>
      <c r="H3" s="1">
        <v>21500</v>
      </c>
      <c r="I3" s="1">
        <f>0.14*Table11819202310303132353839404148111518202831[[#This Row],[النولون]]</f>
        <v>3010.0000000000005</v>
      </c>
      <c r="K3" s="1">
        <f>810+1105+357.36+100+100+400</f>
        <v>2872.36</v>
      </c>
      <c r="L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27382.36</v>
      </c>
      <c r="N3" s="1">
        <f>N2+Table11819202310303132353839404148111518202831[[#This Row],[اجمالي الفاتوره]]-Table11819202310303132353839404148111518202831[[#This Row],[الدفعات]]</f>
        <v>48174.95</v>
      </c>
      <c r="P3" s="95"/>
    </row>
    <row r="4" spans="1:16" ht="25.2" customHeight="1" x14ac:dyDescent="0.3">
      <c r="A4" s="42">
        <v>1541</v>
      </c>
      <c r="B4" s="1">
        <v>3</v>
      </c>
      <c r="C4" s="2">
        <v>46187</v>
      </c>
      <c r="D4" s="1" t="s">
        <v>612</v>
      </c>
      <c r="E4" s="1" t="s">
        <v>178</v>
      </c>
      <c r="F4" s="1">
        <v>277610</v>
      </c>
      <c r="G4" s="1" t="s">
        <v>120</v>
      </c>
      <c r="H4" s="1">
        <v>21500</v>
      </c>
      <c r="I4" s="1">
        <f>0.14*Table11819202310303132353839404148111518202831[[#This Row],[النولون]]</f>
        <v>3010.0000000000005</v>
      </c>
      <c r="K4" s="1">
        <f>810+550+289.46+1254</f>
        <v>2903.46</v>
      </c>
      <c r="L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27413.46</v>
      </c>
      <c r="N4" s="1">
        <f>N3+Table11819202310303132353839404148111518202831[[#This Row],[اجمالي الفاتوره]]-Table11819202310303132353839404148111518202831[[#This Row],[الدفعات]]</f>
        <v>75588.41</v>
      </c>
      <c r="P4" s="95"/>
    </row>
    <row r="5" spans="1:16" ht="25.2" customHeight="1" x14ac:dyDescent="0.3">
      <c r="A5" s="42"/>
      <c r="B5" s="108"/>
      <c r="C5" s="104"/>
      <c r="D5" s="95"/>
      <c r="E5" s="95"/>
      <c r="F5" s="95"/>
      <c r="G5" s="95"/>
      <c r="H5" s="108"/>
      <c r="I5" s="108">
        <f>0.14*Table11819202310303132353839404148111518202831[[#This Row],[النولون]]</f>
        <v>0</v>
      </c>
      <c r="J5" s="108">
        <f>0.03*Table11819202310303132353839404148111518202831[[#This Row],[النولون]]</f>
        <v>0</v>
      </c>
      <c r="K5" s="108"/>
      <c r="L5" s="108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M5" s="95"/>
      <c r="N5" s="1">
        <f>N4+Table11819202310303132353839404148111518202831[[#This Row],[اجمالي الفاتوره]]-Table11819202310303132353839404148111518202831[[#This Row],[الدفعات]]</f>
        <v>75588.41</v>
      </c>
      <c r="O5" s="108"/>
      <c r="P5" s="108"/>
    </row>
    <row r="6" spans="1:16" ht="25.2" customHeight="1" x14ac:dyDescent="0.3">
      <c r="A6" s="6">
        <v>1588</v>
      </c>
      <c r="B6" s="1">
        <v>4</v>
      </c>
      <c r="C6" s="2">
        <v>46208</v>
      </c>
      <c r="D6" s="1" t="s">
        <v>612</v>
      </c>
      <c r="E6" s="1" t="s">
        <v>96</v>
      </c>
      <c r="F6" s="1">
        <v>316934</v>
      </c>
      <c r="G6" s="1" t="s">
        <v>158</v>
      </c>
      <c r="H6" s="1">
        <f>14800*3</f>
        <v>44400</v>
      </c>
      <c r="I6" s="1">
        <f>0.14*Table11819202310303132353839404148111518202831[[#This Row],[النولون]]</f>
        <v>6216.0000000000009</v>
      </c>
      <c r="K6" s="1">
        <f>1135*2+1100+262.69+303.22+308.88+172.99+50*3+1425*3+493.17+1436.4</f>
        <v>10772.349999999999</v>
      </c>
      <c r="L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61388.35</v>
      </c>
      <c r="N6" s="1">
        <f>N5+Table11819202310303132353839404148111518202831[[#This Row],[اجمالي الفاتوره]]-Table11819202310303132353839404148111518202831[[#This Row],[الدفعات]]</f>
        <v>136976.76</v>
      </c>
      <c r="P6" s="95"/>
    </row>
    <row r="7" spans="1:16" ht="25.2" customHeight="1" x14ac:dyDescent="0.3">
      <c r="C7" s="2"/>
      <c r="I7" s="1">
        <f>0.14*Table11819202310303132353839404148111518202831[[#This Row],[النولون]]</f>
        <v>0</v>
      </c>
      <c r="L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7" s="1">
        <f>N6+Table11819202310303132353839404148111518202831[[#This Row],[اجمالي الفاتوره]]-Table11819202310303132353839404148111518202831[[#This Row],[الدفعات]]</f>
        <v>136976.76</v>
      </c>
      <c r="P7" s="95"/>
    </row>
    <row r="8" spans="1:16" ht="25.2" customHeight="1" x14ac:dyDescent="0.3">
      <c r="C8" s="2"/>
      <c r="I8" s="1">
        <f>0.14*Table11819202310303132353839404148111518202831[[#This Row],[النولون]]</f>
        <v>0</v>
      </c>
      <c r="L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8" s="1">
        <f>N7+Table11819202310303132353839404148111518202831[[#This Row],[اجمالي الفاتوره]]-Table11819202310303132353839404148111518202831[[#This Row],[الدفعات]]</f>
        <v>136976.76</v>
      </c>
      <c r="P8" s="95"/>
    </row>
    <row r="9" spans="1:16" ht="25.2" customHeight="1" x14ac:dyDescent="0.3">
      <c r="C9" s="2"/>
      <c r="G9" s="20"/>
      <c r="I9" s="1">
        <f>0.14*Table11819202310303132353839404148111518202831[[#This Row],[النولون]]</f>
        <v>0</v>
      </c>
      <c r="L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9" s="1">
        <f>N8+Table11819202310303132353839404148111518202831[[#This Row],[اجمالي الفاتوره]]-Table11819202310303132353839404148111518202831[[#This Row],[الدفعات]]</f>
        <v>136976.76</v>
      </c>
      <c r="P9" s="95"/>
    </row>
    <row r="10" spans="1:16" ht="25.2" customHeight="1" x14ac:dyDescent="0.3">
      <c r="C10" s="2"/>
      <c r="E10" s="20"/>
      <c r="F10" s="20"/>
      <c r="I10" s="1">
        <f>0.14*Table11819202310303132353839404148111518202831[[#This Row],[النولون]]</f>
        <v>0</v>
      </c>
      <c r="L1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0" s="1">
        <f>N9+Table11819202310303132353839404148111518202831[[#This Row],[اجمالي الفاتوره]]-Table11819202310303132353839404148111518202831[[#This Row],[الدفعات]]</f>
        <v>136976.76</v>
      </c>
      <c r="P10" s="95"/>
    </row>
    <row r="11" spans="1:16" ht="25.2" customHeight="1" x14ac:dyDescent="0.3">
      <c r="C11" s="2"/>
      <c r="F11" s="20"/>
      <c r="I11" s="1">
        <f>0.14*Table11819202310303132353839404148111518202831[[#This Row],[النولون]]</f>
        <v>0</v>
      </c>
      <c r="L1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1" s="1">
        <f>N10+Table11819202310303132353839404148111518202831[[#This Row],[اجمالي الفاتوره]]-Table11819202310303132353839404148111518202831[[#This Row],[الدفعات]]</f>
        <v>136976.76</v>
      </c>
      <c r="P11" s="95"/>
    </row>
    <row r="12" spans="1:16" ht="25.2" customHeight="1" x14ac:dyDescent="0.3">
      <c r="C12" s="2"/>
      <c r="F12" s="20"/>
      <c r="I12" s="1">
        <f>0.14*Table11819202310303132353839404148111518202831[[#This Row],[النولون]]</f>
        <v>0</v>
      </c>
      <c r="L1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2" s="1">
        <f>N11+Table11819202310303132353839404148111518202831[[#This Row],[اجمالي الفاتوره]]-Table11819202310303132353839404148111518202831[[#This Row],[الدفعات]]</f>
        <v>136976.76</v>
      </c>
      <c r="P12" s="95"/>
    </row>
    <row r="13" spans="1:16" ht="25.2" customHeight="1" x14ac:dyDescent="0.3">
      <c r="C13" s="2"/>
      <c r="I13" s="1">
        <f>0.14*Table11819202310303132353839404148111518202831[[#This Row],[النولون]]</f>
        <v>0</v>
      </c>
      <c r="L1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3" s="1">
        <f>N12+Table11819202310303132353839404148111518202831[[#This Row],[اجمالي الفاتوره]]-Table11819202310303132353839404148111518202831[[#This Row],[الدفعات]]</f>
        <v>136976.76</v>
      </c>
      <c r="O13" s="1">
        <f>SUM(L:L)-SUM(M:M)</f>
        <v>136976.76</v>
      </c>
      <c r="P13" s="95">
        <f>SUM(I:I)</f>
        <v>14448</v>
      </c>
    </row>
    <row r="14" spans="1:16" ht="25.2" customHeight="1" x14ac:dyDescent="0.3">
      <c r="C14" s="2"/>
      <c r="I14" s="1">
        <f>0.14*Table11819202310303132353839404148111518202831[[#This Row],[النولون]]</f>
        <v>0</v>
      </c>
      <c r="L1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4" s="1">
        <f>N13+Table11819202310303132353839404148111518202831[[#This Row],[اجمالي الفاتوره]]-Table11819202310303132353839404148111518202831[[#This Row],[الدفعات]]</f>
        <v>136976.76</v>
      </c>
      <c r="P14" s="95"/>
    </row>
    <row r="15" spans="1:16" ht="25.2" customHeight="1" x14ac:dyDescent="0.3">
      <c r="C15" s="2"/>
      <c r="I15" s="1">
        <f>0.14*Table11819202310303132353839404148111518202831[[#This Row],[النولون]]</f>
        <v>0</v>
      </c>
      <c r="L1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5" s="1">
        <f>N14+Table11819202310303132353839404148111518202831[[#This Row],[اجمالي الفاتوره]]-Table11819202310303132353839404148111518202831[[#This Row],[الدفعات]]</f>
        <v>136976.76</v>
      </c>
      <c r="P15" s="95"/>
    </row>
    <row r="16" spans="1:16" ht="25.2" customHeight="1" x14ac:dyDescent="0.3">
      <c r="C16" s="2"/>
      <c r="I16" s="1">
        <f>0.14*Table11819202310303132353839404148111518202831[[#This Row],[النولون]]</f>
        <v>0</v>
      </c>
      <c r="L1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6" s="1">
        <f>N15+Table11819202310303132353839404148111518202831[[#This Row],[اجمالي الفاتوره]]-Table11819202310303132353839404148111518202831[[#This Row],[الدفعات]]</f>
        <v>136976.76</v>
      </c>
      <c r="P16" s="95"/>
    </row>
    <row r="17" spans="1:16" ht="25.2" customHeight="1" x14ac:dyDescent="0.3">
      <c r="C17" s="2"/>
      <c r="I17" s="1">
        <f>0.14*Table11819202310303132353839404148111518202831[[#This Row],[النولون]]</f>
        <v>0</v>
      </c>
      <c r="L1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7" s="1">
        <f>N16+Table11819202310303132353839404148111518202831[[#This Row],[اجمالي الفاتوره]]-Table11819202310303132353839404148111518202831[[#This Row],[الدفعات]]</f>
        <v>136976.76</v>
      </c>
      <c r="P17" s="95"/>
    </row>
    <row r="18" spans="1:16" ht="25.2" customHeight="1" x14ac:dyDescent="0.3">
      <c r="A18" s="1"/>
      <c r="C18" s="2"/>
      <c r="I18" s="1">
        <f>0.14*Table11819202310303132353839404148111518202831[[#This Row],[النولون]]</f>
        <v>0</v>
      </c>
      <c r="L1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8" s="1">
        <f>N17+Table11819202310303132353839404148111518202831[[#This Row],[اجمالي الفاتوره]]-Table11819202310303132353839404148111518202831[[#This Row],[الدفعات]]</f>
        <v>136976.76</v>
      </c>
      <c r="P18" s="95"/>
    </row>
    <row r="19" spans="1:16" ht="25.2" customHeight="1" x14ac:dyDescent="0.3">
      <c r="A19" s="1"/>
      <c r="C19" s="2"/>
      <c r="I19" s="1">
        <f>0.14*Table11819202310303132353839404148111518202831[[#This Row],[النولون]]</f>
        <v>0</v>
      </c>
      <c r="L1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9" s="1">
        <f>N18+Table11819202310303132353839404148111518202831[[#This Row],[اجمالي الفاتوره]]-Table11819202310303132353839404148111518202831[[#This Row],[الدفعات]]</f>
        <v>136976.76</v>
      </c>
      <c r="P19" s="95"/>
    </row>
    <row r="20" spans="1:16" ht="25.2" customHeight="1" x14ac:dyDescent="0.3">
      <c r="A20" s="1"/>
      <c r="C20" s="2"/>
      <c r="I20" s="1">
        <f>0.14*Table11819202310303132353839404148111518202831[[#This Row],[النولون]]</f>
        <v>0</v>
      </c>
      <c r="L2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0" s="1">
        <f>N19+Table11819202310303132353839404148111518202831[[#This Row],[اجمالي الفاتوره]]-Table11819202310303132353839404148111518202831[[#This Row],[الدفعات]]</f>
        <v>136976.76</v>
      </c>
      <c r="P20" s="95"/>
    </row>
    <row r="21" spans="1:16" ht="25.2" customHeight="1" x14ac:dyDescent="0.3">
      <c r="A21" s="1"/>
      <c r="C21" s="2"/>
      <c r="I21" s="1">
        <f>0.14*Table11819202310303132353839404148111518202831[[#This Row],[النولون]]</f>
        <v>0</v>
      </c>
      <c r="L2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1" s="1">
        <f>N20+Table11819202310303132353839404148111518202831[[#This Row],[اجمالي الفاتوره]]-Table11819202310303132353839404148111518202831[[#This Row],[الدفعات]]</f>
        <v>136976.76</v>
      </c>
      <c r="P21" s="95"/>
    </row>
    <row r="22" spans="1:16" ht="25.2" customHeight="1" x14ac:dyDescent="0.3">
      <c r="A22" s="1"/>
      <c r="C22" s="2"/>
      <c r="I22" s="1">
        <f>0.14*Table11819202310303132353839404148111518202831[[#This Row],[النولون]]</f>
        <v>0</v>
      </c>
      <c r="L2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2" s="1">
        <f>N21+Table11819202310303132353839404148111518202831[[#This Row],[اجمالي الفاتوره]]-Table11819202310303132353839404148111518202831[[#This Row],[الدفعات]]</f>
        <v>136976.76</v>
      </c>
      <c r="P22" s="95"/>
    </row>
    <row r="23" spans="1:16" ht="25.2" customHeight="1" x14ac:dyDescent="0.3">
      <c r="A23" s="1"/>
      <c r="C23" s="2"/>
      <c r="I23" s="1">
        <f>0.14*Table11819202310303132353839404148111518202831[[#This Row],[النولون]]</f>
        <v>0</v>
      </c>
      <c r="L2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3" s="1">
        <f>N22+Table11819202310303132353839404148111518202831[[#This Row],[اجمالي الفاتوره]]-Table11819202310303132353839404148111518202831[[#This Row],[الدفعات]]</f>
        <v>136976.76</v>
      </c>
      <c r="P23" s="95"/>
    </row>
    <row r="24" spans="1:16" ht="25.2" customHeight="1" x14ac:dyDescent="0.3">
      <c r="A24" s="1"/>
      <c r="C24" s="2"/>
      <c r="I24" s="1">
        <f>0.14*Table11819202310303132353839404148111518202831[[#This Row],[النولون]]</f>
        <v>0</v>
      </c>
      <c r="L2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4" s="1">
        <f>N23+Table11819202310303132353839404148111518202831[[#This Row],[اجمالي الفاتوره]]-Table11819202310303132353839404148111518202831[[#This Row],[الدفعات]]</f>
        <v>136976.76</v>
      </c>
      <c r="P24" s="95"/>
    </row>
    <row r="25" spans="1:16" ht="25.2" customHeight="1" x14ac:dyDescent="0.3">
      <c r="A25" s="1"/>
      <c r="I25" s="1">
        <f>0.14*Table11819202310303132353839404148111518202831[[#This Row],[النولون]]</f>
        <v>0</v>
      </c>
      <c r="L2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5" s="1">
        <f>N24+Table11819202310303132353839404148111518202831[[#This Row],[اجمالي الفاتوره]]-Table11819202310303132353839404148111518202831[[#This Row],[الدفعات]]</f>
        <v>136976.76</v>
      </c>
      <c r="P25" s="95"/>
    </row>
    <row r="26" spans="1:16" ht="25.2" customHeight="1" x14ac:dyDescent="0.3">
      <c r="A26" s="1"/>
      <c r="I26" s="1">
        <f>0.14*Table11819202310303132353839404148111518202831[[#This Row],[النولون]]</f>
        <v>0</v>
      </c>
      <c r="L2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6" s="1">
        <f>N25+Table11819202310303132353839404148111518202831[[#This Row],[اجمالي الفاتوره]]-Table11819202310303132353839404148111518202831[[#This Row],[الدفعات]]</f>
        <v>136976.76</v>
      </c>
      <c r="P26" s="95"/>
    </row>
    <row r="27" spans="1:16" ht="25.2" customHeight="1" x14ac:dyDescent="0.3">
      <c r="A27" s="1"/>
      <c r="C27" s="2"/>
      <c r="I27" s="1">
        <f>0.14*Table11819202310303132353839404148111518202831[[#This Row],[النولون]]</f>
        <v>0</v>
      </c>
      <c r="L2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7" s="1">
        <f>N26+Table11819202310303132353839404148111518202831[[#This Row],[اجمالي الفاتوره]]-Table11819202310303132353839404148111518202831[[#This Row],[الدفعات]]</f>
        <v>136976.76</v>
      </c>
      <c r="P27" s="95"/>
    </row>
    <row r="28" spans="1:16" ht="25.2" customHeight="1" x14ac:dyDescent="0.3">
      <c r="A28" s="1"/>
      <c r="C28" s="2"/>
      <c r="I28" s="1">
        <f>0.14*Table11819202310303132353839404148111518202831[[#This Row],[النولون]]</f>
        <v>0</v>
      </c>
      <c r="L2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8" s="1">
        <f>N27+Table11819202310303132353839404148111518202831[[#This Row],[اجمالي الفاتوره]]-Table11819202310303132353839404148111518202831[[#This Row],[الدفعات]]</f>
        <v>136976.76</v>
      </c>
      <c r="P28" s="95"/>
    </row>
    <row r="29" spans="1:16" ht="25.2" customHeight="1" x14ac:dyDescent="0.3">
      <c r="A29" s="1"/>
      <c r="C29" s="2"/>
      <c r="I29" s="1">
        <f>0.14*Table11819202310303132353839404148111518202831[[#This Row],[النولون]]</f>
        <v>0</v>
      </c>
      <c r="L2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9" s="1">
        <f>N28+Table11819202310303132353839404148111518202831[[#This Row],[اجمالي الفاتوره]]-Table11819202310303132353839404148111518202831[[#This Row],[الدفعات]]</f>
        <v>136976.76</v>
      </c>
      <c r="P29" s="95"/>
    </row>
    <row r="30" spans="1:16" ht="25.2" customHeight="1" x14ac:dyDescent="0.3">
      <c r="A30" s="1"/>
      <c r="C30" s="2"/>
      <c r="I30" s="1">
        <f>0.14*Table11819202310303132353839404148111518202831[[#This Row],[النولون]]</f>
        <v>0</v>
      </c>
      <c r="L3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0" s="1">
        <f>N29+Table11819202310303132353839404148111518202831[[#This Row],[اجمالي الفاتوره]]-Table11819202310303132353839404148111518202831[[#This Row],[الدفعات]]</f>
        <v>136976.76</v>
      </c>
      <c r="P30" s="95"/>
    </row>
    <row r="31" spans="1:16" ht="25.2" customHeight="1" x14ac:dyDescent="0.3">
      <c r="A31" s="1"/>
      <c r="I31" s="1">
        <f>0.14*Table11819202310303132353839404148111518202831[[#This Row],[النولون]]</f>
        <v>0</v>
      </c>
      <c r="L3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1" s="1">
        <f>N30+Table11819202310303132353839404148111518202831[[#This Row],[اجمالي الفاتوره]]-Table11819202310303132353839404148111518202831[[#This Row],[الدفعات]]</f>
        <v>136976.76</v>
      </c>
      <c r="P31" s="95"/>
    </row>
    <row r="32" spans="1:16" ht="25.2" customHeight="1" x14ac:dyDescent="0.3">
      <c r="A32" s="1"/>
      <c r="C32" s="2"/>
      <c r="I32" s="1">
        <f>0.14*Table11819202310303132353839404148111518202831[[#This Row],[النولون]]</f>
        <v>0</v>
      </c>
      <c r="L3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2" s="1">
        <f>N31+Table11819202310303132353839404148111518202831[[#This Row],[اجمالي الفاتوره]]-Table11819202310303132353839404148111518202831[[#This Row],[الدفعات]]</f>
        <v>136976.76</v>
      </c>
      <c r="P32" s="95"/>
    </row>
    <row r="33" spans="1:16" ht="25.2" customHeight="1" x14ac:dyDescent="0.3">
      <c r="A33" s="1"/>
      <c r="I33" s="1">
        <f>0.14*Table11819202310303132353839404148111518202831[[#This Row],[النولون]]</f>
        <v>0</v>
      </c>
      <c r="L3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3" s="1">
        <f>N32+Table11819202310303132353839404148111518202831[[#This Row],[اجمالي الفاتوره]]-Table11819202310303132353839404148111518202831[[#This Row],[الدفعات]]</f>
        <v>136976.76</v>
      </c>
      <c r="P33" s="95"/>
    </row>
    <row r="34" spans="1:16" ht="25.2" customHeight="1" x14ac:dyDescent="0.3">
      <c r="A34" s="1"/>
      <c r="I34" s="1">
        <f>0.14*Table11819202310303132353839404148111518202831[[#This Row],[النولون]]</f>
        <v>0</v>
      </c>
      <c r="L3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4" s="1">
        <f>N33+Table11819202310303132353839404148111518202831[[#This Row],[اجمالي الفاتوره]]-Table11819202310303132353839404148111518202831[[#This Row],[الدفعات]]</f>
        <v>136976.76</v>
      </c>
      <c r="P34" s="95"/>
    </row>
    <row r="35" spans="1:16" ht="25.2" customHeight="1" x14ac:dyDescent="0.3">
      <c r="A35" s="1"/>
      <c r="I35" s="1">
        <f>0.14*Table11819202310303132353839404148111518202831[[#This Row],[النولون]]</f>
        <v>0</v>
      </c>
      <c r="L3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5" s="1">
        <f>N34+Table11819202310303132353839404148111518202831[[#This Row],[اجمالي الفاتوره]]-Table11819202310303132353839404148111518202831[[#This Row],[الدفعات]]</f>
        <v>136976.76</v>
      </c>
      <c r="P35" s="95"/>
    </row>
    <row r="36" spans="1:16" ht="25.2" customHeight="1" x14ac:dyDescent="0.3">
      <c r="A36" s="1"/>
      <c r="C36" s="2"/>
      <c r="D36" s="2"/>
      <c r="I36" s="1">
        <f>0.14*Table11819202310303132353839404148111518202831[[#This Row],[النولون]]</f>
        <v>0</v>
      </c>
      <c r="L3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6" s="1">
        <f>N35+Table11819202310303132353839404148111518202831[[#This Row],[اجمالي الفاتوره]]-Table11819202310303132353839404148111518202831[[#This Row],[الدفعات]]</f>
        <v>136976.76</v>
      </c>
      <c r="P36" s="95"/>
    </row>
    <row r="37" spans="1:16" ht="25.2" customHeight="1" x14ac:dyDescent="0.3">
      <c r="A37" s="1"/>
      <c r="I37" s="1">
        <f>0.14*Table11819202310303132353839404148111518202831[[#This Row],[النولون]]</f>
        <v>0</v>
      </c>
      <c r="L3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7" s="1">
        <f>N36+Table11819202310303132353839404148111518202831[[#This Row],[اجمالي الفاتوره]]-Table11819202310303132353839404148111518202831[[#This Row],[الدفعات]]</f>
        <v>136976.76</v>
      </c>
      <c r="P37" s="95"/>
    </row>
    <row r="38" spans="1:16" ht="25.2" customHeight="1" x14ac:dyDescent="0.3">
      <c r="A38" s="1"/>
      <c r="I38" s="1">
        <f>0.14*Table11819202310303132353839404148111518202831[[#This Row],[النولون]]</f>
        <v>0</v>
      </c>
      <c r="L3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8" s="1">
        <f>N37+Table11819202310303132353839404148111518202831[[#This Row],[اجمالي الفاتوره]]-Table11819202310303132353839404148111518202831[[#This Row],[الدفعات]]</f>
        <v>136976.76</v>
      </c>
      <c r="P38" s="95"/>
    </row>
    <row r="39" spans="1:16" ht="25.2" customHeight="1" x14ac:dyDescent="0.3">
      <c r="A39" s="1"/>
      <c r="I39" s="1">
        <f>0.14*Table11819202310303132353839404148111518202831[[#This Row],[النولون]]</f>
        <v>0</v>
      </c>
      <c r="L3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9" s="1">
        <f>N38+Table11819202310303132353839404148111518202831[[#This Row],[اجمالي الفاتوره]]-Table11819202310303132353839404148111518202831[[#This Row],[الدفعات]]</f>
        <v>136976.76</v>
      </c>
      <c r="P39" s="95"/>
    </row>
    <row r="40" spans="1:16" ht="25.2" customHeight="1" x14ac:dyDescent="0.3">
      <c r="A40" s="1"/>
      <c r="I40" s="1">
        <f>0.14*Table11819202310303132353839404148111518202831[[#This Row],[النولون]]</f>
        <v>0</v>
      </c>
      <c r="L4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40" s="1">
        <f>N39+Table11819202310303132353839404148111518202831[[#This Row],[اجمالي الفاتوره]]-Table11819202310303132353839404148111518202831[[#This Row],[الدفعات]]</f>
        <v>136976.76</v>
      </c>
      <c r="P40" s="95"/>
    </row>
    <row r="41" spans="1:16" ht="25.2" customHeight="1" x14ac:dyDescent="0.3">
      <c r="A41" s="1"/>
      <c r="I41" s="1">
        <f>0.14*Table11819202310303132353839404148111518202831[[#This Row],[النولون]]</f>
        <v>0</v>
      </c>
      <c r="L4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41" s="1">
        <f>N40+Table11819202310303132353839404148111518202831[[#This Row],[اجمالي الفاتوره]]-Table11819202310303132353839404148111518202831[[#This Row],[الدفعات]]</f>
        <v>136976.76</v>
      </c>
      <c r="P41" s="95"/>
    </row>
    <row r="42" spans="1:16" ht="25.2" customHeight="1" x14ac:dyDescent="0.3">
      <c r="A42" s="1"/>
      <c r="I42" s="1">
        <f>0.14*Table11819202310303132353839404148111518202831[[#This Row],[النولون]]</f>
        <v>0</v>
      </c>
      <c r="L4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42" s="1">
        <f>N41+Table11819202310303132353839404148111518202831[[#This Row],[اجمالي الفاتوره]]-Table11819202310303132353839404148111518202831[[#This Row],[الدفعات]]</f>
        <v>136976.76</v>
      </c>
      <c r="P42" s="95"/>
    </row>
    <row r="43" spans="1:16" ht="25.2" customHeight="1" x14ac:dyDescent="0.3">
      <c r="A43" s="1"/>
      <c r="I43" s="1">
        <f>0.14*Table11819202310303132353839404148111518202831[[#This Row],[النولون]]</f>
        <v>0</v>
      </c>
      <c r="L4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43" s="1">
        <f>N42+Table11819202310303132353839404148111518202831[[#This Row],[اجمالي الفاتوره]]-Table11819202310303132353839404148111518202831[[#This Row],[الدفعات]]</f>
        <v>136976.76</v>
      </c>
      <c r="P43" s="95"/>
    </row>
    <row r="44" spans="1:16" ht="25.2" customHeight="1" x14ac:dyDescent="0.3">
      <c r="A44" s="1"/>
      <c r="I44" s="1">
        <f>0.14*Table11819202310303132353839404148111518202831[[#This Row],[النولون]]</f>
        <v>0</v>
      </c>
      <c r="L4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44" s="1">
        <f>N43+Table11819202310303132353839404148111518202831[[#This Row],[اجمالي الفاتوره]]-Table11819202310303132353839404148111518202831[[#This Row],[الدفعات]]</f>
        <v>136976.76</v>
      </c>
      <c r="P44" s="95"/>
    </row>
    <row r="45" spans="1:16" ht="25.2" customHeight="1" x14ac:dyDescent="0.3">
      <c r="A45" s="1"/>
      <c r="I45" s="1">
        <f>0.14*Table11819202310303132353839404148111518202831[[#This Row],[النولون]]</f>
        <v>0</v>
      </c>
      <c r="L4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45" s="1">
        <f>N44+Table11819202310303132353839404148111518202831[[#This Row],[اجمالي الفاتوره]]-Table11819202310303132353839404148111518202831[[#This Row],[الدفعات]]</f>
        <v>136976.76</v>
      </c>
      <c r="P45" s="95"/>
    </row>
    <row r="46" spans="1:16" ht="25.2" customHeight="1" x14ac:dyDescent="0.3">
      <c r="A46" s="1"/>
      <c r="I46" s="1">
        <f>0.14*Table11819202310303132353839404148111518202831[[#This Row],[النولون]]</f>
        <v>0</v>
      </c>
      <c r="L4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46" s="1">
        <f>N45+Table11819202310303132353839404148111518202831[[#This Row],[اجمالي الفاتوره]]-Table11819202310303132353839404148111518202831[[#This Row],[الدفعات]]</f>
        <v>136976.76</v>
      </c>
      <c r="P46" s="95"/>
    </row>
    <row r="47" spans="1:16" ht="25.2" customHeight="1" x14ac:dyDescent="0.3">
      <c r="A47" s="1"/>
      <c r="I47" s="1">
        <f>0.14*Table11819202310303132353839404148111518202831[[#This Row],[النولون]]</f>
        <v>0</v>
      </c>
      <c r="L4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47" s="1">
        <f>N46+Table11819202310303132353839404148111518202831[[#This Row],[اجمالي الفاتوره]]-Table11819202310303132353839404148111518202831[[#This Row],[الدفعات]]</f>
        <v>136976.76</v>
      </c>
      <c r="P47" s="95"/>
    </row>
    <row r="48" spans="1:16" ht="25.2" customHeight="1" x14ac:dyDescent="0.3">
      <c r="A48" s="1"/>
      <c r="I48" s="1">
        <f>0.14*Table11819202310303132353839404148111518202831[[#This Row],[النولون]]</f>
        <v>0</v>
      </c>
      <c r="L4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48" s="1">
        <f>N47+Table11819202310303132353839404148111518202831[[#This Row],[اجمالي الفاتوره]]-Table11819202310303132353839404148111518202831[[#This Row],[الدفعات]]</f>
        <v>136976.76</v>
      </c>
      <c r="P48" s="95"/>
    </row>
    <row r="49" spans="1:16" ht="25.2" customHeight="1" x14ac:dyDescent="0.3">
      <c r="A49" s="1"/>
      <c r="I49" s="1">
        <f>0.14*Table11819202310303132353839404148111518202831[[#This Row],[النولون]]</f>
        <v>0</v>
      </c>
      <c r="L4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49" s="1">
        <f>N48+Table11819202310303132353839404148111518202831[[#This Row],[اجمالي الفاتوره]]-Table11819202310303132353839404148111518202831[[#This Row],[الدفعات]]</f>
        <v>136976.76</v>
      </c>
      <c r="P49" s="95"/>
    </row>
    <row r="50" spans="1:16" ht="25.2" customHeight="1" x14ac:dyDescent="0.3">
      <c r="A50" s="1"/>
      <c r="I50" s="1">
        <f>0.14*Table11819202310303132353839404148111518202831[[#This Row],[النولون]]</f>
        <v>0</v>
      </c>
      <c r="L5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50" s="1">
        <f>N49+Table11819202310303132353839404148111518202831[[#This Row],[اجمالي الفاتوره]]-Table11819202310303132353839404148111518202831[[#This Row],[الدفعات]]</f>
        <v>136976.76</v>
      </c>
      <c r="P50" s="95"/>
    </row>
    <row r="51" spans="1:16" ht="25.2" customHeight="1" x14ac:dyDescent="0.3">
      <c r="A51" s="1"/>
      <c r="I51" s="1">
        <f>0.14*Table11819202310303132353839404148111518202831[[#This Row],[النولون]]</f>
        <v>0</v>
      </c>
      <c r="L5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51" s="1">
        <f>N50+Table11819202310303132353839404148111518202831[[#This Row],[اجمالي الفاتوره]]-Table11819202310303132353839404148111518202831[[#This Row],[الدفعات]]</f>
        <v>136976.76</v>
      </c>
      <c r="P51" s="95"/>
    </row>
    <row r="52" spans="1:16" ht="25.2" customHeight="1" x14ac:dyDescent="0.3">
      <c r="A52" s="1"/>
      <c r="I52" s="1">
        <f>0.14*Table11819202310303132353839404148111518202831[[#This Row],[النولون]]</f>
        <v>0</v>
      </c>
      <c r="L5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52" s="1">
        <f>N51+Table11819202310303132353839404148111518202831[[#This Row],[اجمالي الفاتوره]]-Table11819202310303132353839404148111518202831[[#This Row],[الدفعات]]</f>
        <v>136976.76</v>
      </c>
      <c r="P52" s="95"/>
    </row>
    <row r="53" spans="1:16" ht="25.2" customHeight="1" x14ac:dyDescent="0.3">
      <c r="A53" s="1"/>
      <c r="I53" s="1">
        <f>0.14*Table11819202310303132353839404148111518202831[[#This Row],[النولون]]</f>
        <v>0</v>
      </c>
      <c r="L5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53" s="1">
        <f>N52+Table11819202310303132353839404148111518202831[[#This Row],[اجمالي الفاتوره]]-Table11819202310303132353839404148111518202831[[#This Row],[الدفعات]]</f>
        <v>136976.76</v>
      </c>
      <c r="P53" s="95"/>
    </row>
    <row r="54" spans="1:16" ht="25.2" customHeight="1" x14ac:dyDescent="0.3">
      <c r="A54" s="1"/>
      <c r="I54" s="1">
        <f>0.14*Table11819202310303132353839404148111518202831[[#This Row],[النولون]]</f>
        <v>0</v>
      </c>
      <c r="L5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54" s="1">
        <f>N53+Table11819202310303132353839404148111518202831[[#This Row],[اجمالي الفاتوره]]-Table11819202310303132353839404148111518202831[[#This Row],[الدفعات]]</f>
        <v>136976.76</v>
      </c>
      <c r="P54" s="95"/>
    </row>
    <row r="55" spans="1:16" ht="25.2" customHeight="1" x14ac:dyDescent="0.3">
      <c r="A55" s="1"/>
      <c r="I55" s="1">
        <f>0.14*Table11819202310303132353839404148111518202831[[#This Row],[النولون]]</f>
        <v>0</v>
      </c>
      <c r="L5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55" s="1">
        <f>N54+Table11819202310303132353839404148111518202831[[#This Row],[اجمالي الفاتوره]]-Table11819202310303132353839404148111518202831[[#This Row],[الدفعات]]</f>
        <v>136976.76</v>
      </c>
      <c r="P55" s="95"/>
    </row>
    <row r="56" spans="1:16" ht="25.2" customHeight="1" x14ac:dyDescent="0.3">
      <c r="A56" s="1"/>
      <c r="I56" s="1">
        <f>0.14*Table11819202310303132353839404148111518202831[[#This Row],[النولون]]</f>
        <v>0</v>
      </c>
      <c r="L5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56" s="1">
        <f>N55+Table11819202310303132353839404148111518202831[[#This Row],[اجمالي الفاتوره]]-Table11819202310303132353839404148111518202831[[#This Row],[الدفعات]]</f>
        <v>136976.76</v>
      </c>
      <c r="P56" s="95"/>
    </row>
    <row r="57" spans="1:16" ht="25.2" customHeight="1" x14ac:dyDescent="0.3">
      <c r="A57" s="1"/>
      <c r="I57" s="1">
        <f>0.14*Table11819202310303132353839404148111518202831[[#This Row],[النولون]]</f>
        <v>0</v>
      </c>
      <c r="L5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57" s="1">
        <f>N56+Table11819202310303132353839404148111518202831[[#This Row],[اجمالي الفاتوره]]-Table11819202310303132353839404148111518202831[[#This Row],[الدفعات]]</f>
        <v>136976.76</v>
      </c>
      <c r="P57" s="95"/>
    </row>
    <row r="58" spans="1:16" ht="25.2" customHeight="1" x14ac:dyDescent="0.3">
      <c r="A58" s="1"/>
      <c r="I58" s="1">
        <f>0.14*Table11819202310303132353839404148111518202831[[#This Row],[النولون]]</f>
        <v>0</v>
      </c>
      <c r="L5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58" s="1">
        <f>N57+Table11819202310303132353839404148111518202831[[#This Row],[اجمالي الفاتوره]]-Table11819202310303132353839404148111518202831[[#This Row],[الدفعات]]</f>
        <v>136976.76</v>
      </c>
      <c r="P58" s="95"/>
    </row>
    <row r="59" spans="1:16" ht="25.2" customHeight="1" x14ac:dyDescent="0.3">
      <c r="A59" s="1"/>
      <c r="I59" s="1">
        <f>0.14*Table11819202310303132353839404148111518202831[[#This Row],[النولون]]</f>
        <v>0</v>
      </c>
      <c r="L5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59" s="1">
        <f>N58+Table11819202310303132353839404148111518202831[[#This Row],[اجمالي الفاتوره]]-Table11819202310303132353839404148111518202831[[#This Row],[الدفعات]]</f>
        <v>136976.76</v>
      </c>
      <c r="P59" s="95"/>
    </row>
    <row r="60" spans="1:16" ht="25.2" customHeight="1" x14ac:dyDescent="0.3">
      <c r="A60" s="1"/>
      <c r="I60" s="1">
        <f>0.14*Table11819202310303132353839404148111518202831[[#This Row],[النولون]]</f>
        <v>0</v>
      </c>
      <c r="L6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60" s="1">
        <f>N59+Table11819202310303132353839404148111518202831[[#This Row],[اجمالي الفاتوره]]-Table11819202310303132353839404148111518202831[[#This Row],[الدفعات]]</f>
        <v>136976.76</v>
      </c>
      <c r="P60" s="95"/>
    </row>
    <row r="61" spans="1:16" ht="25.2" customHeight="1" x14ac:dyDescent="0.3">
      <c r="A61" s="1"/>
      <c r="I61" s="1">
        <f>0.14*Table11819202310303132353839404148111518202831[[#This Row],[النولون]]</f>
        <v>0</v>
      </c>
      <c r="L6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61" s="1">
        <f>N60+Table11819202310303132353839404148111518202831[[#This Row],[اجمالي الفاتوره]]-Table11819202310303132353839404148111518202831[[#This Row],[الدفعات]]</f>
        <v>136976.76</v>
      </c>
      <c r="P61" s="95"/>
    </row>
    <row r="62" spans="1:16" ht="25.2" customHeight="1" x14ac:dyDescent="0.3">
      <c r="A62" s="1"/>
      <c r="I62" s="1">
        <f>0.14*Table11819202310303132353839404148111518202831[[#This Row],[النولون]]</f>
        <v>0</v>
      </c>
      <c r="L6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62" s="1">
        <f>N61+Table11819202310303132353839404148111518202831[[#This Row],[اجمالي الفاتوره]]-Table11819202310303132353839404148111518202831[[#This Row],[الدفعات]]</f>
        <v>136976.76</v>
      </c>
      <c r="P62" s="95"/>
    </row>
    <row r="63" spans="1:16" ht="25.2" customHeight="1" x14ac:dyDescent="0.3">
      <c r="A63" s="1"/>
      <c r="I63" s="1">
        <f>0.14*Table11819202310303132353839404148111518202831[[#This Row],[النولون]]</f>
        <v>0</v>
      </c>
      <c r="L6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63" s="1">
        <f>N62+Table11819202310303132353839404148111518202831[[#This Row],[اجمالي الفاتوره]]-Table11819202310303132353839404148111518202831[[#This Row],[الدفعات]]</f>
        <v>136976.76</v>
      </c>
      <c r="P63" s="95"/>
    </row>
    <row r="64" spans="1:16" ht="25.2" customHeight="1" x14ac:dyDescent="0.3">
      <c r="A64" s="1"/>
      <c r="I64" s="1">
        <f>0.14*Table11819202310303132353839404148111518202831[[#This Row],[النولون]]</f>
        <v>0</v>
      </c>
      <c r="L6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64" s="1">
        <f>N63+Table11819202310303132353839404148111518202831[[#This Row],[اجمالي الفاتوره]]-Table11819202310303132353839404148111518202831[[#This Row],[الدفعات]]</f>
        <v>136976.76</v>
      </c>
      <c r="P64" s="95"/>
    </row>
    <row r="65" spans="1:16" ht="25.2" customHeight="1" x14ac:dyDescent="0.3">
      <c r="A65" s="1"/>
      <c r="I65" s="1">
        <f>0.14*Table11819202310303132353839404148111518202831[[#This Row],[النولون]]</f>
        <v>0</v>
      </c>
      <c r="L6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65" s="1">
        <f>N64+Table11819202310303132353839404148111518202831[[#This Row],[اجمالي الفاتوره]]-Table11819202310303132353839404148111518202831[[#This Row],[الدفعات]]</f>
        <v>136976.76</v>
      </c>
      <c r="P65" s="95"/>
    </row>
    <row r="66" spans="1:16" ht="25.2" customHeight="1" x14ac:dyDescent="0.3">
      <c r="A66" s="1"/>
      <c r="I66" s="1">
        <f>0.14*Table11819202310303132353839404148111518202831[[#This Row],[النولون]]</f>
        <v>0</v>
      </c>
      <c r="L6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66" s="1">
        <f>N65+Table11819202310303132353839404148111518202831[[#This Row],[اجمالي الفاتوره]]-Table11819202310303132353839404148111518202831[[#This Row],[الدفعات]]</f>
        <v>136976.76</v>
      </c>
      <c r="P66" s="95"/>
    </row>
    <row r="67" spans="1:16" ht="25.2" customHeight="1" x14ac:dyDescent="0.3">
      <c r="A67" s="1"/>
      <c r="I67" s="1">
        <f>0.14*Table11819202310303132353839404148111518202831[[#This Row],[النولون]]</f>
        <v>0</v>
      </c>
      <c r="L6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67" s="1">
        <f>N66+Table11819202310303132353839404148111518202831[[#This Row],[اجمالي الفاتوره]]-Table11819202310303132353839404148111518202831[[#This Row],[الدفعات]]</f>
        <v>136976.76</v>
      </c>
      <c r="P67" s="95"/>
    </row>
    <row r="68" spans="1:16" ht="25.2" customHeight="1" x14ac:dyDescent="0.3">
      <c r="A68" s="1"/>
      <c r="I68" s="1">
        <f>0.14*Table11819202310303132353839404148111518202831[[#This Row],[النولون]]</f>
        <v>0</v>
      </c>
      <c r="L6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68" s="1">
        <f>N67+Table11819202310303132353839404148111518202831[[#This Row],[اجمالي الفاتوره]]-Table11819202310303132353839404148111518202831[[#This Row],[الدفعات]]</f>
        <v>136976.76</v>
      </c>
      <c r="P68" s="95"/>
    </row>
    <row r="69" spans="1:16" ht="25.2" customHeight="1" x14ac:dyDescent="0.3">
      <c r="A69" s="1"/>
      <c r="I69" s="1">
        <f>0.14*Table11819202310303132353839404148111518202831[[#This Row],[النولون]]</f>
        <v>0</v>
      </c>
      <c r="L6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69" s="1">
        <f>N68+Table11819202310303132353839404148111518202831[[#This Row],[اجمالي الفاتوره]]-Table11819202310303132353839404148111518202831[[#This Row],[الدفعات]]</f>
        <v>136976.76</v>
      </c>
      <c r="P69" s="95"/>
    </row>
    <row r="70" spans="1:16" ht="25.2" customHeight="1" x14ac:dyDescent="0.3">
      <c r="A70" s="1"/>
      <c r="I70" s="1">
        <f>0.14*Table11819202310303132353839404148111518202831[[#This Row],[النولون]]</f>
        <v>0</v>
      </c>
      <c r="L7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70" s="1">
        <f>N69+Table11819202310303132353839404148111518202831[[#This Row],[اجمالي الفاتوره]]-Table11819202310303132353839404148111518202831[[#This Row],[الدفعات]]</f>
        <v>136976.76</v>
      </c>
      <c r="P70" s="95"/>
    </row>
    <row r="71" spans="1:16" ht="25.2" customHeight="1" x14ac:dyDescent="0.3">
      <c r="A71" s="1"/>
      <c r="I71" s="1">
        <f>0.14*Table11819202310303132353839404148111518202831[[#This Row],[النولون]]</f>
        <v>0</v>
      </c>
      <c r="L7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71" s="1">
        <f>N70+Table11819202310303132353839404148111518202831[[#This Row],[اجمالي الفاتوره]]-Table11819202310303132353839404148111518202831[[#This Row],[الدفعات]]</f>
        <v>136976.76</v>
      </c>
      <c r="P71" s="95"/>
    </row>
    <row r="72" spans="1:16" ht="25.2" customHeight="1" x14ac:dyDescent="0.3">
      <c r="A72" s="1"/>
      <c r="I72" s="1">
        <f>0.14*Table11819202310303132353839404148111518202831[[#This Row],[النولون]]</f>
        <v>0</v>
      </c>
      <c r="L7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72" s="1">
        <f>N71+Table11819202310303132353839404148111518202831[[#This Row],[اجمالي الفاتوره]]-Table11819202310303132353839404148111518202831[[#This Row],[الدفعات]]</f>
        <v>136976.76</v>
      </c>
      <c r="P72" s="95"/>
    </row>
    <row r="73" spans="1:16" ht="25.2" customHeight="1" x14ac:dyDescent="0.3">
      <c r="A73" s="1"/>
      <c r="I73" s="1">
        <f>0.14*Table11819202310303132353839404148111518202831[[#This Row],[النولون]]</f>
        <v>0</v>
      </c>
      <c r="L7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73" s="1">
        <f>N72+Table11819202310303132353839404148111518202831[[#This Row],[اجمالي الفاتوره]]-Table11819202310303132353839404148111518202831[[#This Row],[الدفعات]]</f>
        <v>136976.76</v>
      </c>
      <c r="P73" s="95"/>
    </row>
    <row r="74" spans="1:16" ht="25.2" customHeight="1" x14ac:dyDescent="0.3">
      <c r="A74" s="1"/>
      <c r="I74" s="1">
        <f>0.14*Table11819202310303132353839404148111518202831[[#This Row],[النولون]]</f>
        <v>0</v>
      </c>
      <c r="L7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74" s="1">
        <f>N73+Table11819202310303132353839404148111518202831[[#This Row],[اجمالي الفاتوره]]-Table11819202310303132353839404148111518202831[[#This Row],[الدفعات]]</f>
        <v>136976.76</v>
      </c>
      <c r="P74" s="95"/>
    </row>
    <row r="75" spans="1:16" ht="25.2" customHeight="1" x14ac:dyDescent="0.3">
      <c r="A75" s="1"/>
      <c r="I75" s="1">
        <f>0.14*Table11819202310303132353839404148111518202831[[#This Row],[النولون]]</f>
        <v>0</v>
      </c>
      <c r="L7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75" s="1">
        <f>N74+Table11819202310303132353839404148111518202831[[#This Row],[اجمالي الفاتوره]]-Table11819202310303132353839404148111518202831[[#This Row],[الدفعات]]</f>
        <v>136976.76</v>
      </c>
      <c r="P75" s="95"/>
    </row>
    <row r="76" spans="1:16" ht="25.2" customHeight="1" x14ac:dyDescent="0.3">
      <c r="A76" s="1"/>
      <c r="I76" s="1">
        <f>0.14*Table11819202310303132353839404148111518202831[[#This Row],[النولون]]</f>
        <v>0</v>
      </c>
      <c r="L7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76" s="1">
        <f>N75+Table11819202310303132353839404148111518202831[[#This Row],[اجمالي الفاتوره]]-Table11819202310303132353839404148111518202831[[#This Row],[الدفعات]]</f>
        <v>136976.76</v>
      </c>
      <c r="P76" s="95"/>
    </row>
    <row r="77" spans="1:16" ht="25.2" customHeight="1" x14ac:dyDescent="0.3">
      <c r="A77" s="1"/>
      <c r="I77" s="1">
        <f>0.14*Table11819202310303132353839404148111518202831[[#This Row],[النولون]]</f>
        <v>0</v>
      </c>
      <c r="L7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77" s="1">
        <f>N76+Table11819202310303132353839404148111518202831[[#This Row],[اجمالي الفاتوره]]-Table11819202310303132353839404148111518202831[[#This Row],[الدفعات]]</f>
        <v>136976.76</v>
      </c>
      <c r="P77" s="95"/>
    </row>
    <row r="78" spans="1:16" ht="25.2" customHeight="1" x14ac:dyDescent="0.3">
      <c r="A78" s="1"/>
      <c r="I78" s="1">
        <f>0.14*Table11819202310303132353839404148111518202831[[#This Row],[النولون]]</f>
        <v>0</v>
      </c>
      <c r="L7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78" s="1">
        <f>N77+Table11819202310303132353839404148111518202831[[#This Row],[اجمالي الفاتوره]]-Table11819202310303132353839404148111518202831[[#This Row],[الدفعات]]</f>
        <v>136976.76</v>
      </c>
      <c r="P78" s="95"/>
    </row>
    <row r="79" spans="1:16" ht="25.2" customHeight="1" x14ac:dyDescent="0.3">
      <c r="A79" s="1"/>
      <c r="I79" s="1">
        <f>0.14*Table11819202310303132353839404148111518202831[[#This Row],[النولون]]</f>
        <v>0</v>
      </c>
      <c r="L7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79" s="1">
        <f>N78+Table11819202310303132353839404148111518202831[[#This Row],[اجمالي الفاتوره]]-Table11819202310303132353839404148111518202831[[#This Row],[الدفعات]]</f>
        <v>136976.76</v>
      </c>
      <c r="P79" s="95"/>
    </row>
    <row r="80" spans="1:16" ht="25.2" customHeight="1" x14ac:dyDescent="0.3">
      <c r="A80" s="1"/>
      <c r="I80" s="1">
        <f>0.14*Table11819202310303132353839404148111518202831[[#This Row],[النولون]]</f>
        <v>0</v>
      </c>
      <c r="L8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80" s="1">
        <f>N79+Table11819202310303132353839404148111518202831[[#This Row],[اجمالي الفاتوره]]-Table11819202310303132353839404148111518202831[[#This Row],[الدفعات]]</f>
        <v>136976.76</v>
      </c>
      <c r="P80" s="95"/>
    </row>
    <row r="81" spans="1:16" ht="25.2" customHeight="1" x14ac:dyDescent="0.3">
      <c r="A81" s="1"/>
      <c r="I81" s="1">
        <f>0.14*Table11819202310303132353839404148111518202831[[#This Row],[النولون]]</f>
        <v>0</v>
      </c>
      <c r="L8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81" s="1">
        <f>N80+Table11819202310303132353839404148111518202831[[#This Row],[اجمالي الفاتوره]]-Table11819202310303132353839404148111518202831[[#This Row],[الدفعات]]</f>
        <v>136976.76</v>
      </c>
      <c r="P81" s="95"/>
    </row>
    <row r="82" spans="1:16" ht="25.2" customHeight="1" x14ac:dyDescent="0.3">
      <c r="A82" s="1"/>
      <c r="I82" s="1">
        <f>0.14*Table11819202310303132353839404148111518202831[[#This Row],[النولون]]</f>
        <v>0</v>
      </c>
      <c r="L8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82" s="1">
        <f>N81+Table11819202310303132353839404148111518202831[[#This Row],[اجمالي الفاتوره]]-Table11819202310303132353839404148111518202831[[#This Row],[الدفعات]]</f>
        <v>136976.76</v>
      </c>
      <c r="P82" s="95"/>
    </row>
    <row r="83" spans="1:16" ht="25.2" customHeight="1" x14ac:dyDescent="0.3">
      <c r="A83" s="1"/>
      <c r="I83" s="1">
        <f>0.14*Table11819202310303132353839404148111518202831[[#This Row],[النولون]]</f>
        <v>0</v>
      </c>
      <c r="L8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83" s="1">
        <f>N82+Table11819202310303132353839404148111518202831[[#This Row],[اجمالي الفاتوره]]-Table11819202310303132353839404148111518202831[[#This Row],[الدفعات]]</f>
        <v>136976.76</v>
      </c>
      <c r="P83" s="95"/>
    </row>
    <row r="84" spans="1:16" ht="25.2" customHeight="1" x14ac:dyDescent="0.3">
      <c r="A84" s="1"/>
      <c r="I84" s="1">
        <f>0.14*Table11819202310303132353839404148111518202831[[#This Row],[النولون]]</f>
        <v>0</v>
      </c>
      <c r="L8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84" s="1">
        <f>N83+Table11819202310303132353839404148111518202831[[#This Row],[اجمالي الفاتوره]]-Table11819202310303132353839404148111518202831[[#This Row],[الدفعات]]</f>
        <v>136976.76</v>
      </c>
      <c r="P84" s="95"/>
    </row>
    <row r="85" spans="1:16" ht="25.2" customHeight="1" x14ac:dyDescent="0.3">
      <c r="A85" s="1"/>
      <c r="I85" s="1">
        <f>0.14*Table11819202310303132353839404148111518202831[[#This Row],[النولون]]</f>
        <v>0</v>
      </c>
      <c r="L8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85" s="1">
        <f>N84+Table11819202310303132353839404148111518202831[[#This Row],[اجمالي الفاتوره]]-Table11819202310303132353839404148111518202831[[#This Row],[الدفعات]]</f>
        <v>136976.76</v>
      </c>
      <c r="P85" s="95"/>
    </row>
    <row r="86" spans="1:16" ht="25.2" customHeight="1" x14ac:dyDescent="0.3">
      <c r="A86" s="1"/>
      <c r="I86" s="1">
        <f>0.14*Table11819202310303132353839404148111518202831[[#This Row],[النولون]]</f>
        <v>0</v>
      </c>
      <c r="L8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86" s="1">
        <f>N85+Table11819202310303132353839404148111518202831[[#This Row],[اجمالي الفاتوره]]-Table11819202310303132353839404148111518202831[[#This Row],[الدفعات]]</f>
        <v>136976.76</v>
      </c>
      <c r="P86" s="95"/>
    </row>
    <row r="87" spans="1:16" ht="25.2" customHeight="1" x14ac:dyDescent="0.3">
      <c r="A87" s="1"/>
      <c r="I87" s="1">
        <f>0.14*Table11819202310303132353839404148111518202831[[#This Row],[النولون]]</f>
        <v>0</v>
      </c>
      <c r="L8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87" s="1">
        <f>N86+Table11819202310303132353839404148111518202831[[#This Row],[اجمالي الفاتوره]]-Table11819202310303132353839404148111518202831[[#This Row],[الدفعات]]</f>
        <v>136976.76</v>
      </c>
      <c r="P87" s="95"/>
    </row>
    <row r="88" spans="1:16" ht="25.2" customHeight="1" x14ac:dyDescent="0.3">
      <c r="A88" s="1"/>
      <c r="I88" s="1">
        <f>0.14*Table11819202310303132353839404148111518202831[[#This Row],[النولون]]</f>
        <v>0</v>
      </c>
      <c r="L8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88" s="1">
        <f>N87+Table11819202310303132353839404148111518202831[[#This Row],[اجمالي الفاتوره]]-Table11819202310303132353839404148111518202831[[#This Row],[الدفعات]]</f>
        <v>136976.76</v>
      </c>
      <c r="P88" s="95"/>
    </row>
    <row r="89" spans="1:16" ht="25.2" customHeight="1" x14ac:dyDescent="0.3">
      <c r="A89" s="1"/>
      <c r="I89" s="1">
        <f>0.14*Table11819202310303132353839404148111518202831[[#This Row],[النولون]]</f>
        <v>0</v>
      </c>
      <c r="L8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89" s="1">
        <f>N88+Table11819202310303132353839404148111518202831[[#This Row],[اجمالي الفاتوره]]-Table11819202310303132353839404148111518202831[[#This Row],[الدفعات]]</f>
        <v>136976.76</v>
      </c>
      <c r="P89" s="95"/>
    </row>
    <row r="90" spans="1:16" ht="25.2" customHeight="1" x14ac:dyDescent="0.3">
      <c r="A90" s="1"/>
      <c r="I90" s="1">
        <f>0.14*Table11819202310303132353839404148111518202831[[#This Row],[النولون]]</f>
        <v>0</v>
      </c>
      <c r="L9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90" s="1">
        <f>N89+Table11819202310303132353839404148111518202831[[#This Row],[اجمالي الفاتوره]]-Table11819202310303132353839404148111518202831[[#This Row],[الدفعات]]</f>
        <v>136976.76</v>
      </c>
      <c r="P90" s="95"/>
    </row>
    <row r="91" spans="1:16" ht="25.2" customHeight="1" x14ac:dyDescent="0.3">
      <c r="A91" s="1"/>
      <c r="I91" s="1">
        <f>0.14*Table11819202310303132353839404148111518202831[[#This Row],[النولون]]</f>
        <v>0</v>
      </c>
      <c r="L9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91" s="1">
        <f>N90+Table11819202310303132353839404148111518202831[[#This Row],[اجمالي الفاتوره]]-Table11819202310303132353839404148111518202831[[#This Row],[الدفعات]]</f>
        <v>136976.76</v>
      </c>
      <c r="P91" s="95"/>
    </row>
    <row r="92" spans="1:16" ht="25.2" customHeight="1" x14ac:dyDescent="0.3">
      <c r="A92" s="1"/>
      <c r="I92" s="1">
        <f>0.14*Table11819202310303132353839404148111518202831[[#This Row],[النولون]]</f>
        <v>0</v>
      </c>
      <c r="L9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92" s="1">
        <f>N91+Table11819202310303132353839404148111518202831[[#This Row],[اجمالي الفاتوره]]-Table11819202310303132353839404148111518202831[[#This Row],[الدفعات]]</f>
        <v>136976.76</v>
      </c>
      <c r="P92" s="95"/>
    </row>
    <row r="93" spans="1:16" ht="25.2" customHeight="1" x14ac:dyDescent="0.3">
      <c r="A93" s="1"/>
      <c r="I93" s="1">
        <f>0.14*Table11819202310303132353839404148111518202831[[#This Row],[النولون]]</f>
        <v>0</v>
      </c>
      <c r="L9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93" s="1">
        <f>N92+Table11819202310303132353839404148111518202831[[#This Row],[اجمالي الفاتوره]]-Table11819202310303132353839404148111518202831[[#This Row],[الدفعات]]</f>
        <v>136976.76</v>
      </c>
      <c r="P93" s="95"/>
    </row>
    <row r="94" spans="1:16" ht="25.2" customHeight="1" x14ac:dyDescent="0.3">
      <c r="A94" s="1"/>
      <c r="I94" s="1">
        <f>0.14*Table11819202310303132353839404148111518202831[[#This Row],[النولون]]</f>
        <v>0</v>
      </c>
      <c r="L9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94" s="1">
        <f>N93+Table11819202310303132353839404148111518202831[[#This Row],[اجمالي الفاتوره]]-Table11819202310303132353839404148111518202831[[#This Row],[الدفعات]]</f>
        <v>136976.76</v>
      </c>
      <c r="P94" s="95"/>
    </row>
    <row r="95" spans="1:16" ht="25.2" customHeight="1" x14ac:dyDescent="0.3">
      <c r="A95" s="1"/>
      <c r="I95" s="1">
        <f>0.14*Table11819202310303132353839404148111518202831[[#This Row],[النولون]]</f>
        <v>0</v>
      </c>
      <c r="L9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95" s="1">
        <f>N94+Table11819202310303132353839404148111518202831[[#This Row],[اجمالي الفاتوره]]-Table11819202310303132353839404148111518202831[[#This Row],[الدفعات]]</f>
        <v>136976.76</v>
      </c>
      <c r="P95" s="95"/>
    </row>
    <row r="96" spans="1:16" ht="25.2" customHeight="1" x14ac:dyDescent="0.3">
      <c r="A96" s="1"/>
      <c r="I96" s="1">
        <f>0.14*Table11819202310303132353839404148111518202831[[#This Row],[النولون]]</f>
        <v>0</v>
      </c>
      <c r="L9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96" s="1">
        <f>N95+Table11819202310303132353839404148111518202831[[#This Row],[اجمالي الفاتوره]]-Table11819202310303132353839404148111518202831[[#This Row],[الدفعات]]</f>
        <v>136976.76</v>
      </c>
      <c r="P96" s="95"/>
    </row>
    <row r="97" spans="1:16" ht="25.2" customHeight="1" x14ac:dyDescent="0.3">
      <c r="A97" s="1"/>
      <c r="I97" s="1">
        <f>0.14*Table11819202310303132353839404148111518202831[[#This Row],[النولون]]</f>
        <v>0</v>
      </c>
      <c r="L9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97" s="1">
        <f>N96+Table11819202310303132353839404148111518202831[[#This Row],[اجمالي الفاتوره]]-Table11819202310303132353839404148111518202831[[#This Row],[الدفعات]]</f>
        <v>136976.76</v>
      </c>
      <c r="P97" s="95"/>
    </row>
    <row r="98" spans="1:16" ht="25.2" customHeight="1" x14ac:dyDescent="0.3">
      <c r="A98" s="1"/>
      <c r="I98" s="1">
        <f>0.14*Table11819202310303132353839404148111518202831[[#This Row],[النولون]]</f>
        <v>0</v>
      </c>
      <c r="L9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98" s="1">
        <f>N97+Table11819202310303132353839404148111518202831[[#This Row],[اجمالي الفاتوره]]-Table11819202310303132353839404148111518202831[[#This Row],[الدفعات]]</f>
        <v>136976.76</v>
      </c>
      <c r="P98" s="95"/>
    </row>
    <row r="99" spans="1:16" ht="25.2" customHeight="1" x14ac:dyDescent="0.3">
      <c r="A99" s="1"/>
      <c r="I99" s="1">
        <f>0.14*Table11819202310303132353839404148111518202831[[#This Row],[النولون]]</f>
        <v>0</v>
      </c>
      <c r="L9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99" s="1">
        <f>N98+Table11819202310303132353839404148111518202831[[#This Row],[اجمالي الفاتوره]]-Table11819202310303132353839404148111518202831[[#This Row],[الدفعات]]</f>
        <v>136976.76</v>
      </c>
      <c r="P99" s="95"/>
    </row>
    <row r="100" spans="1:16" ht="25.2" customHeight="1" x14ac:dyDescent="0.3">
      <c r="A100" s="1"/>
      <c r="I100" s="1">
        <f>0.14*Table11819202310303132353839404148111518202831[[#This Row],[النولون]]</f>
        <v>0</v>
      </c>
      <c r="L10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00" s="1">
        <f>N99+Table11819202310303132353839404148111518202831[[#This Row],[اجمالي الفاتوره]]-Table11819202310303132353839404148111518202831[[#This Row],[الدفعات]]</f>
        <v>136976.76</v>
      </c>
      <c r="P100" s="95"/>
    </row>
    <row r="101" spans="1:16" ht="25.2" customHeight="1" x14ac:dyDescent="0.3">
      <c r="A101" s="1"/>
      <c r="I101" s="1">
        <f>0.14*Table11819202310303132353839404148111518202831[[#This Row],[النولون]]</f>
        <v>0</v>
      </c>
      <c r="L10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01" s="1">
        <f>N100+Table11819202310303132353839404148111518202831[[#This Row],[اجمالي الفاتوره]]-Table11819202310303132353839404148111518202831[[#This Row],[الدفعات]]</f>
        <v>136976.76</v>
      </c>
      <c r="P101" s="95"/>
    </row>
    <row r="102" spans="1:16" ht="25.2" customHeight="1" x14ac:dyDescent="0.3">
      <c r="A102" s="1"/>
      <c r="I102" s="1">
        <f>0.14*Table11819202310303132353839404148111518202831[[#This Row],[النولون]]</f>
        <v>0</v>
      </c>
      <c r="L10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02" s="1">
        <f>N101+Table11819202310303132353839404148111518202831[[#This Row],[اجمالي الفاتوره]]-Table11819202310303132353839404148111518202831[[#This Row],[الدفعات]]</f>
        <v>136976.76</v>
      </c>
      <c r="P102" s="95"/>
    </row>
    <row r="103" spans="1:16" ht="25.2" customHeight="1" x14ac:dyDescent="0.3">
      <c r="A103" s="1"/>
      <c r="I103" s="1">
        <f>0.14*Table11819202310303132353839404148111518202831[[#This Row],[النولون]]</f>
        <v>0</v>
      </c>
      <c r="L10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03" s="1">
        <f>N102+Table11819202310303132353839404148111518202831[[#This Row],[اجمالي الفاتوره]]-Table11819202310303132353839404148111518202831[[#This Row],[الدفعات]]</f>
        <v>136976.76</v>
      </c>
      <c r="P103" s="95"/>
    </row>
    <row r="104" spans="1:16" ht="25.2" customHeight="1" x14ac:dyDescent="0.3">
      <c r="A104" s="1"/>
      <c r="I104" s="1">
        <f>0.14*Table11819202310303132353839404148111518202831[[#This Row],[النولون]]</f>
        <v>0</v>
      </c>
      <c r="L10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04" s="1">
        <f>N103+Table11819202310303132353839404148111518202831[[#This Row],[اجمالي الفاتوره]]-Table11819202310303132353839404148111518202831[[#This Row],[الدفعات]]</f>
        <v>136976.76</v>
      </c>
      <c r="P104" s="95"/>
    </row>
    <row r="105" spans="1:16" ht="25.2" customHeight="1" x14ac:dyDescent="0.3">
      <c r="A105" s="1"/>
      <c r="I105" s="1">
        <f>0.14*Table11819202310303132353839404148111518202831[[#This Row],[النولون]]</f>
        <v>0</v>
      </c>
      <c r="L10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05" s="1">
        <f>N104+Table11819202310303132353839404148111518202831[[#This Row],[اجمالي الفاتوره]]-Table11819202310303132353839404148111518202831[[#This Row],[الدفعات]]</f>
        <v>136976.76</v>
      </c>
      <c r="P105" s="95"/>
    </row>
    <row r="106" spans="1:16" ht="25.2" customHeight="1" x14ac:dyDescent="0.3">
      <c r="A106" s="1"/>
      <c r="I106" s="1">
        <f>0.14*Table11819202310303132353839404148111518202831[[#This Row],[النولون]]</f>
        <v>0</v>
      </c>
      <c r="L10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06" s="1">
        <f>N105+Table11819202310303132353839404148111518202831[[#This Row],[اجمالي الفاتوره]]-Table11819202310303132353839404148111518202831[[#This Row],[الدفعات]]</f>
        <v>136976.76</v>
      </c>
      <c r="P106" s="95"/>
    </row>
    <row r="107" spans="1:16" ht="25.2" customHeight="1" x14ac:dyDescent="0.3">
      <c r="A107" s="1"/>
      <c r="I107" s="1">
        <f>0.14*Table11819202310303132353839404148111518202831[[#This Row],[النولون]]</f>
        <v>0</v>
      </c>
      <c r="L10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07" s="1">
        <f>N106+Table11819202310303132353839404148111518202831[[#This Row],[اجمالي الفاتوره]]-Table11819202310303132353839404148111518202831[[#This Row],[الدفعات]]</f>
        <v>136976.76</v>
      </c>
      <c r="P107" s="95"/>
    </row>
    <row r="108" spans="1:16" ht="25.2" customHeight="1" x14ac:dyDescent="0.3">
      <c r="A108" s="1"/>
      <c r="I108" s="1">
        <f>0.14*Table11819202310303132353839404148111518202831[[#This Row],[النولون]]</f>
        <v>0</v>
      </c>
      <c r="L10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08" s="1">
        <f>N107+Table11819202310303132353839404148111518202831[[#This Row],[اجمالي الفاتوره]]-Table11819202310303132353839404148111518202831[[#This Row],[الدفعات]]</f>
        <v>136976.76</v>
      </c>
      <c r="P108" s="95"/>
    </row>
    <row r="109" spans="1:16" ht="25.2" customHeight="1" x14ac:dyDescent="0.3">
      <c r="A109" s="1"/>
      <c r="I109" s="1">
        <f>0.14*Table11819202310303132353839404148111518202831[[#This Row],[النولون]]</f>
        <v>0</v>
      </c>
      <c r="L10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09" s="1">
        <f>N108+Table11819202310303132353839404148111518202831[[#This Row],[اجمالي الفاتوره]]-Table11819202310303132353839404148111518202831[[#This Row],[الدفعات]]</f>
        <v>136976.76</v>
      </c>
      <c r="P109" s="95"/>
    </row>
    <row r="110" spans="1:16" ht="25.2" customHeight="1" x14ac:dyDescent="0.3">
      <c r="A110" s="1"/>
      <c r="I110" s="1">
        <f>0.14*Table11819202310303132353839404148111518202831[[#This Row],[النولون]]</f>
        <v>0</v>
      </c>
      <c r="L11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10" s="1">
        <f>N109+Table11819202310303132353839404148111518202831[[#This Row],[اجمالي الفاتوره]]-Table11819202310303132353839404148111518202831[[#This Row],[الدفعات]]</f>
        <v>136976.76</v>
      </c>
      <c r="P110" s="95"/>
    </row>
    <row r="111" spans="1:16" ht="25.2" customHeight="1" x14ac:dyDescent="0.3">
      <c r="A111" s="1"/>
      <c r="I111" s="1">
        <f>0.14*Table11819202310303132353839404148111518202831[[#This Row],[النولون]]</f>
        <v>0</v>
      </c>
      <c r="L11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11" s="1">
        <f>N110+Table11819202310303132353839404148111518202831[[#This Row],[اجمالي الفاتوره]]-Table11819202310303132353839404148111518202831[[#This Row],[الدفعات]]</f>
        <v>136976.76</v>
      </c>
      <c r="P111" s="95"/>
    </row>
    <row r="112" spans="1:16" ht="25.2" customHeight="1" x14ac:dyDescent="0.3">
      <c r="A112" s="1"/>
      <c r="I112" s="1">
        <f>0.14*Table11819202310303132353839404148111518202831[[#This Row],[النولون]]</f>
        <v>0</v>
      </c>
      <c r="L11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12" s="1">
        <f>N111+Table11819202310303132353839404148111518202831[[#This Row],[اجمالي الفاتوره]]-Table11819202310303132353839404148111518202831[[#This Row],[الدفعات]]</f>
        <v>136976.76</v>
      </c>
      <c r="P112" s="95"/>
    </row>
    <row r="113" spans="1:16" ht="25.2" customHeight="1" x14ac:dyDescent="0.3">
      <c r="A113" s="1"/>
      <c r="I113" s="1">
        <f>0.14*Table11819202310303132353839404148111518202831[[#This Row],[النولون]]</f>
        <v>0</v>
      </c>
      <c r="L11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13" s="1">
        <f>N112+Table11819202310303132353839404148111518202831[[#This Row],[اجمالي الفاتوره]]-Table11819202310303132353839404148111518202831[[#This Row],[الدفعات]]</f>
        <v>136976.76</v>
      </c>
      <c r="P113" s="95"/>
    </row>
    <row r="114" spans="1:16" ht="25.2" customHeight="1" x14ac:dyDescent="0.3">
      <c r="A114" s="1"/>
      <c r="I114" s="1">
        <f>0.14*Table11819202310303132353839404148111518202831[[#This Row],[النولون]]</f>
        <v>0</v>
      </c>
      <c r="L11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14" s="1">
        <f>N113+Table11819202310303132353839404148111518202831[[#This Row],[اجمالي الفاتوره]]-Table11819202310303132353839404148111518202831[[#This Row],[الدفعات]]</f>
        <v>136976.76</v>
      </c>
      <c r="P114" s="95"/>
    </row>
    <row r="115" spans="1:16" ht="25.2" customHeight="1" x14ac:dyDescent="0.3">
      <c r="A115" s="1"/>
      <c r="I115" s="1">
        <f>0.14*Table11819202310303132353839404148111518202831[[#This Row],[النولون]]</f>
        <v>0</v>
      </c>
      <c r="L11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15" s="1">
        <f>N114+Table11819202310303132353839404148111518202831[[#This Row],[اجمالي الفاتوره]]-Table11819202310303132353839404148111518202831[[#This Row],[الدفعات]]</f>
        <v>136976.76</v>
      </c>
      <c r="P115" s="95"/>
    </row>
    <row r="116" spans="1:16" ht="25.2" customHeight="1" x14ac:dyDescent="0.3">
      <c r="A116" s="1"/>
      <c r="I116" s="1">
        <f>0.14*Table11819202310303132353839404148111518202831[[#This Row],[النولون]]</f>
        <v>0</v>
      </c>
      <c r="L11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16" s="1">
        <f>N115+Table11819202310303132353839404148111518202831[[#This Row],[اجمالي الفاتوره]]-Table11819202310303132353839404148111518202831[[#This Row],[الدفعات]]</f>
        <v>136976.76</v>
      </c>
      <c r="P116" s="95"/>
    </row>
    <row r="117" spans="1:16" ht="25.2" customHeight="1" x14ac:dyDescent="0.3">
      <c r="A117" s="1"/>
      <c r="I117" s="1">
        <f>0.14*Table11819202310303132353839404148111518202831[[#This Row],[النولون]]</f>
        <v>0</v>
      </c>
      <c r="L11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17" s="1">
        <f>N116+Table11819202310303132353839404148111518202831[[#This Row],[اجمالي الفاتوره]]-Table11819202310303132353839404148111518202831[[#This Row],[الدفعات]]</f>
        <v>136976.76</v>
      </c>
      <c r="P117" s="95"/>
    </row>
    <row r="118" spans="1:16" ht="25.2" customHeight="1" x14ac:dyDescent="0.3">
      <c r="A118" s="1"/>
      <c r="I118" s="1">
        <f>0.14*Table11819202310303132353839404148111518202831[[#This Row],[النولون]]</f>
        <v>0</v>
      </c>
      <c r="L11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18" s="1">
        <f>N117+Table11819202310303132353839404148111518202831[[#This Row],[اجمالي الفاتوره]]-Table11819202310303132353839404148111518202831[[#This Row],[الدفعات]]</f>
        <v>136976.76</v>
      </c>
      <c r="P118" s="95"/>
    </row>
    <row r="119" spans="1:16" ht="25.2" customHeight="1" x14ac:dyDescent="0.3">
      <c r="A119" s="1"/>
      <c r="I119" s="1">
        <f>0.14*Table11819202310303132353839404148111518202831[[#This Row],[النولون]]</f>
        <v>0</v>
      </c>
      <c r="L11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19" s="1">
        <f>N118+Table11819202310303132353839404148111518202831[[#This Row],[اجمالي الفاتوره]]-Table11819202310303132353839404148111518202831[[#This Row],[الدفعات]]</f>
        <v>136976.76</v>
      </c>
      <c r="P119" s="95"/>
    </row>
    <row r="120" spans="1:16" ht="25.2" customHeight="1" x14ac:dyDescent="0.3">
      <c r="A120" s="1"/>
      <c r="I120" s="1">
        <f>0.14*Table11819202310303132353839404148111518202831[[#This Row],[النولون]]</f>
        <v>0</v>
      </c>
      <c r="L12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20" s="1">
        <f>N119+Table11819202310303132353839404148111518202831[[#This Row],[اجمالي الفاتوره]]-Table11819202310303132353839404148111518202831[[#This Row],[الدفعات]]</f>
        <v>136976.76</v>
      </c>
      <c r="P120" s="95"/>
    </row>
    <row r="121" spans="1:16" ht="25.2" customHeight="1" x14ac:dyDescent="0.3">
      <c r="A121" s="1"/>
      <c r="I121" s="1">
        <f>0.14*Table11819202310303132353839404148111518202831[[#This Row],[النولون]]</f>
        <v>0</v>
      </c>
      <c r="L12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21" s="1">
        <f>N120+Table11819202310303132353839404148111518202831[[#This Row],[اجمالي الفاتوره]]-Table11819202310303132353839404148111518202831[[#This Row],[الدفعات]]</f>
        <v>136976.76</v>
      </c>
      <c r="P121" s="95"/>
    </row>
    <row r="122" spans="1:16" ht="25.2" customHeight="1" x14ac:dyDescent="0.3">
      <c r="A122" s="1"/>
      <c r="I122" s="1">
        <f>0.14*Table11819202310303132353839404148111518202831[[#This Row],[النولون]]</f>
        <v>0</v>
      </c>
      <c r="L12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22" s="1">
        <f>N121+Table11819202310303132353839404148111518202831[[#This Row],[اجمالي الفاتوره]]-Table11819202310303132353839404148111518202831[[#This Row],[الدفعات]]</f>
        <v>136976.76</v>
      </c>
      <c r="P122" s="95"/>
    </row>
    <row r="123" spans="1:16" ht="25.2" customHeight="1" x14ac:dyDescent="0.3">
      <c r="A123" s="1"/>
      <c r="I123" s="1">
        <f>0.14*Table11819202310303132353839404148111518202831[[#This Row],[النولون]]</f>
        <v>0</v>
      </c>
      <c r="L12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23" s="1">
        <f>N122+Table11819202310303132353839404148111518202831[[#This Row],[اجمالي الفاتوره]]-Table11819202310303132353839404148111518202831[[#This Row],[الدفعات]]</f>
        <v>136976.76</v>
      </c>
      <c r="P123" s="95"/>
    </row>
    <row r="124" spans="1:16" ht="25.2" customHeight="1" x14ac:dyDescent="0.3">
      <c r="A124" s="1"/>
      <c r="I124" s="1">
        <f>0.14*Table11819202310303132353839404148111518202831[[#This Row],[النولون]]</f>
        <v>0</v>
      </c>
      <c r="L12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24" s="1">
        <f>N123+Table11819202310303132353839404148111518202831[[#This Row],[اجمالي الفاتوره]]-Table11819202310303132353839404148111518202831[[#This Row],[الدفعات]]</f>
        <v>136976.76</v>
      </c>
      <c r="P124" s="95"/>
    </row>
    <row r="125" spans="1:16" ht="25.2" customHeight="1" x14ac:dyDescent="0.3">
      <c r="A125" s="1"/>
      <c r="I125" s="1">
        <f>0.14*Table11819202310303132353839404148111518202831[[#This Row],[النولون]]</f>
        <v>0</v>
      </c>
      <c r="L12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25" s="1">
        <f>N124+Table11819202310303132353839404148111518202831[[#This Row],[اجمالي الفاتوره]]-Table11819202310303132353839404148111518202831[[#This Row],[الدفعات]]</f>
        <v>136976.76</v>
      </c>
      <c r="P125" s="95"/>
    </row>
    <row r="126" spans="1:16" ht="25.2" customHeight="1" x14ac:dyDescent="0.3">
      <c r="A126" s="1"/>
      <c r="I126" s="1">
        <f>0.14*Table11819202310303132353839404148111518202831[[#This Row],[النولون]]</f>
        <v>0</v>
      </c>
      <c r="L12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26" s="1">
        <f>N125+Table11819202310303132353839404148111518202831[[#This Row],[اجمالي الفاتوره]]-Table11819202310303132353839404148111518202831[[#This Row],[الدفعات]]</f>
        <v>136976.76</v>
      </c>
      <c r="P126" s="95"/>
    </row>
    <row r="127" spans="1:16" ht="25.2" customHeight="1" x14ac:dyDescent="0.3">
      <c r="A127" s="1"/>
      <c r="I127" s="1">
        <f>0.14*Table11819202310303132353839404148111518202831[[#This Row],[النولون]]</f>
        <v>0</v>
      </c>
      <c r="L12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27" s="1">
        <f>N126+Table11819202310303132353839404148111518202831[[#This Row],[اجمالي الفاتوره]]-Table11819202310303132353839404148111518202831[[#This Row],[الدفعات]]</f>
        <v>136976.76</v>
      </c>
      <c r="P127" s="95"/>
    </row>
    <row r="128" spans="1:16" ht="25.2" customHeight="1" x14ac:dyDescent="0.3">
      <c r="A128" s="1"/>
      <c r="I128" s="1">
        <f>0.14*Table11819202310303132353839404148111518202831[[#This Row],[النولون]]</f>
        <v>0</v>
      </c>
      <c r="L12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28" s="1">
        <f>N127+Table11819202310303132353839404148111518202831[[#This Row],[اجمالي الفاتوره]]-Table11819202310303132353839404148111518202831[[#This Row],[الدفعات]]</f>
        <v>136976.76</v>
      </c>
      <c r="P128" s="95"/>
    </row>
    <row r="129" spans="1:16" ht="25.2" customHeight="1" x14ac:dyDescent="0.3">
      <c r="A129" s="1"/>
      <c r="I129" s="1">
        <f>0.14*Table11819202310303132353839404148111518202831[[#This Row],[النولون]]</f>
        <v>0</v>
      </c>
      <c r="L12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29" s="1">
        <f>N128+Table11819202310303132353839404148111518202831[[#This Row],[اجمالي الفاتوره]]-Table11819202310303132353839404148111518202831[[#This Row],[الدفعات]]</f>
        <v>136976.76</v>
      </c>
      <c r="P129" s="95"/>
    </row>
    <row r="130" spans="1:16" ht="25.2" customHeight="1" x14ac:dyDescent="0.3">
      <c r="A130" s="1"/>
      <c r="I130" s="1">
        <f>0.14*Table11819202310303132353839404148111518202831[[#This Row],[النولون]]</f>
        <v>0</v>
      </c>
      <c r="L13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30" s="1">
        <f>N129+Table11819202310303132353839404148111518202831[[#This Row],[اجمالي الفاتوره]]-Table11819202310303132353839404148111518202831[[#This Row],[الدفعات]]</f>
        <v>136976.76</v>
      </c>
      <c r="P130" s="95"/>
    </row>
    <row r="131" spans="1:16" ht="25.2" customHeight="1" x14ac:dyDescent="0.3">
      <c r="A131" s="1"/>
      <c r="I131" s="1">
        <f>0.14*Table11819202310303132353839404148111518202831[[#This Row],[النولون]]</f>
        <v>0</v>
      </c>
      <c r="L13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31" s="1">
        <f>N130+Table11819202310303132353839404148111518202831[[#This Row],[اجمالي الفاتوره]]-Table11819202310303132353839404148111518202831[[#This Row],[الدفعات]]</f>
        <v>136976.76</v>
      </c>
      <c r="P131" s="95"/>
    </row>
    <row r="132" spans="1:16" ht="25.2" customHeight="1" x14ac:dyDescent="0.3">
      <c r="A132" s="1"/>
      <c r="I132" s="1">
        <f>0.14*Table11819202310303132353839404148111518202831[[#This Row],[النولون]]</f>
        <v>0</v>
      </c>
      <c r="L13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32" s="1">
        <f>N131+Table11819202310303132353839404148111518202831[[#This Row],[اجمالي الفاتوره]]-Table11819202310303132353839404148111518202831[[#This Row],[الدفعات]]</f>
        <v>136976.76</v>
      </c>
      <c r="P132" s="95"/>
    </row>
    <row r="133" spans="1:16" ht="25.2" customHeight="1" x14ac:dyDescent="0.3">
      <c r="A133" s="1"/>
      <c r="I133" s="1">
        <f>0.14*Table11819202310303132353839404148111518202831[[#This Row],[النولون]]</f>
        <v>0</v>
      </c>
      <c r="L13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33" s="1">
        <f>N132+Table11819202310303132353839404148111518202831[[#This Row],[اجمالي الفاتوره]]-Table11819202310303132353839404148111518202831[[#This Row],[الدفعات]]</f>
        <v>136976.76</v>
      </c>
      <c r="P133" s="95"/>
    </row>
    <row r="134" spans="1:16" ht="25.2" customHeight="1" x14ac:dyDescent="0.3">
      <c r="A134" s="1"/>
      <c r="I134" s="1">
        <f>0.14*Table11819202310303132353839404148111518202831[[#This Row],[النولون]]</f>
        <v>0</v>
      </c>
      <c r="L13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34" s="1">
        <f>N133+Table11819202310303132353839404148111518202831[[#This Row],[اجمالي الفاتوره]]-Table11819202310303132353839404148111518202831[[#This Row],[الدفعات]]</f>
        <v>136976.76</v>
      </c>
      <c r="P134" s="95"/>
    </row>
    <row r="135" spans="1:16" ht="25.2" customHeight="1" x14ac:dyDescent="0.3">
      <c r="A135" s="1"/>
      <c r="I135" s="1">
        <f>0.14*Table11819202310303132353839404148111518202831[[#This Row],[النولون]]</f>
        <v>0</v>
      </c>
      <c r="L13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35" s="1">
        <f>N134+Table11819202310303132353839404148111518202831[[#This Row],[اجمالي الفاتوره]]-Table11819202310303132353839404148111518202831[[#This Row],[الدفعات]]</f>
        <v>136976.76</v>
      </c>
      <c r="P135" s="95"/>
    </row>
    <row r="136" spans="1:16" ht="25.2" customHeight="1" x14ac:dyDescent="0.3">
      <c r="A136" s="1"/>
      <c r="I136" s="1">
        <f>0.14*Table11819202310303132353839404148111518202831[[#This Row],[النولون]]</f>
        <v>0</v>
      </c>
      <c r="L13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36" s="1">
        <f>N135+Table11819202310303132353839404148111518202831[[#This Row],[اجمالي الفاتوره]]-Table11819202310303132353839404148111518202831[[#This Row],[الدفعات]]</f>
        <v>136976.76</v>
      </c>
      <c r="P136" s="95"/>
    </row>
    <row r="137" spans="1:16" ht="25.2" customHeight="1" x14ac:dyDescent="0.3">
      <c r="A137" s="1"/>
      <c r="I137" s="1">
        <f>0.14*Table11819202310303132353839404148111518202831[[#This Row],[النولون]]</f>
        <v>0</v>
      </c>
      <c r="L13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37" s="1">
        <f>N136+Table11819202310303132353839404148111518202831[[#This Row],[اجمالي الفاتوره]]-Table11819202310303132353839404148111518202831[[#This Row],[الدفعات]]</f>
        <v>136976.76</v>
      </c>
      <c r="P137" s="95"/>
    </row>
    <row r="138" spans="1:16" ht="25.2" customHeight="1" x14ac:dyDescent="0.3">
      <c r="A138" s="1"/>
      <c r="I138" s="1">
        <f>0.14*Table11819202310303132353839404148111518202831[[#This Row],[النولون]]</f>
        <v>0</v>
      </c>
      <c r="L13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38" s="1">
        <f>N137+Table11819202310303132353839404148111518202831[[#This Row],[اجمالي الفاتوره]]-Table11819202310303132353839404148111518202831[[#This Row],[الدفعات]]</f>
        <v>136976.76</v>
      </c>
      <c r="P138" s="95"/>
    </row>
    <row r="139" spans="1:16" ht="25.2" customHeight="1" x14ac:dyDescent="0.3">
      <c r="A139" s="1"/>
      <c r="I139" s="1">
        <f>0.14*Table11819202310303132353839404148111518202831[[#This Row],[النولون]]</f>
        <v>0</v>
      </c>
      <c r="L13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39" s="1">
        <f>N138+Table11819202310303132353839404148111518202831[[#This Row],[اجمالي الفاتوره]]-Table11819202310303132353839404148111518202831[[#This Row],[الدفعات]]</f>
        <v>136976.76</v>
      </c>
      <c r="P139" s="95"/>
    </row>
    <row r="140" spans="1:16" ht="25.2" customHeight="1" x14ac:dyDescent="0.3">
      <c r="A140" s="1"/>
      <c r="I140" s="1">
        <f>0.14*Table11819202310303132353839404148111518202831[[#This Row],[النولون]]</f>
        <v>0</v>
      </c>
      <c r="L14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40" s="1">
        <f>N139+Table11819202310303132353839404148111518202831[[#This Row],[اجمالي الفاتوره]]-Table11819202310303132353839404148111518202831[[#This Row],[الدفعات]]</f>
        <v>136976.76</v>
      </c>
      <c r="P140" s="95"/>
    </row>
    <row r="141" spans="1:16" ht="25.2" customHeight="1" x14ac:dyDescent="0.3">
      <c r="A141" s="1"/>
      <c r="I141" s="1">
        <f>0.14*Table11819202310303132353839404148111518202831[[#This Row],[النولون]]</f>
        <v>0</v>
      </c>
      <c r="L14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41" s="1">
        <f>N140+Table11819202310303132353839404148111518202831[[#This Row],[اجمالي الفاتوره]]-Table11819202310303132353839404148111518202831[[#This Row],[الدفعات]]</f>
        <v>136976.76</v>
      </c>
      <c r="P141" s="95"/>
    </row>
    <row r="142" spans="1:16" ht="25.2" customHeight="1" x14ac:dyDescent="0.3">
      <c r="A142" s="1"/>
      <c r="I142" s="1">
        <f>0.14*Table11819202310303132353839404148111518202831[[#This Row],[النولون]]</f>
        <v>0</v>
      </c>
      <c r="L14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42" s="1">
        <f>N141+Table11819202310303132353839404148111518202831[[#This Row],[اجمالي الفاتوره]]-Table11819202310303132353839404148111518202831[[#This Row],[الدفعات]]</f>
        <v>136976.76</v>
      </c>
      <c r="P142" s="95"/>
    </row>
    <row r="143" spans="1:16" ht="25.2" customHeight="1" x14ac:dyDescent="0.3">
      <c r="A143" s="1"/>
      <c r="I143" s="1">
        <f>0.14*Table11819202310303132353839404148111518202831[[#This Row],[النولون]]</f>
        <v>0</v>
      </c>
      <c r="L14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43" s="1">
        <f>N142+Table11819202310303132353839404148111518202831[[#This Row],[اجمالي الفاتوره]]-Table11819202310303132353839404148111518202831[[#This Row],[الدفعات]]</f>
        <v>136976.76</v>
      </c>
      <c r="P143" s="95"/>
    </row>
    <row r="144" spans="1:16" ht="25.2" customHeight="1" x14ac:dyDescent="0.3">
      <c r="A144" s="1"/>
      <c r="I144" s="1">
        <f>0.14*Table11819202310303132353839404148111518202831[[#This Row],[النولون]]</f>
        <v>0</v>
      </c>
      <c r="L14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44" s="1">
        <f>N143+Table11819202310303132353839404148111518202831[[#This Row],[اجمالي الفاتوره]]-Table11819202310303132353839404148111518202831[[#This Row],[الدفعات]]</f>
        <v>136976.76</v>
      </c>
      <c r="P144" s="95"/>
    </row>
    <row r="145" spans="1:16" ht="25.2" customHeight="1" x14ac:dyDescent="0.3">
      <c r="A145" s="1"/>
      <c r="I145" s="1">
        <f>0.14*Table11819202310303132353839404148111518202831[[#This Row],[النولون]]</f>
        <v>0</v>
      </c>
      <c r="L14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45" s="1">
        <f>N144+Table11819202310303132353839404148111518202831[[#This Row],[اجمالي الفاتوره]]-Table11819202310303132353839404148111518202831[[#This Row],[الدفعات]]</f>
        <v>136976.76</v>
      </c>
      <c r="P145" s="95"/>
    </row>
    <row r="146" spans="1:16" ht="25.2" customHeight="1" x14ac:dyDescent="0.3">
      <c r="A146" s="1"/>
      <c r="I146" s="1">
        <f>0.14*Table11819202310303132353839404148111518202831[[#This Row],[النولون]]</f>
        <v>0</v>
      </c>
      <c r="L14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46" s="1">
        <f>N145+Table11819202310303132353839404148111518202831[[#This Row],[اجمالي الفاتوره]]-Table11819202310303132353839404148111518202831[[#This Row],[الدفعات]]</f>
        <v>136976.76</v>
      </c>
      <c r="P146" s="95"/>
    </row>
    <row r="147" spans="1:16" ht="25.2" customHeight="1" x14ac:dyDescent="0.3">
      <c r="A147" s="1"/>
      <c r="I147" s="1">
        <f>0.14*Table11819202310303132353839404148111518202831[[#This Row],[النولون]]</f>
        <v>0</v>
      </c>
      <c r="L14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47" s="1">
        <f>N146+Table11819202310303132353839404148111518202831[[#This Row],[اجمالي الفاتوره]]-Table11819202310303132353839404148111518202831[[#This Row],[الدفعات]]</f>
        <v>136976.76</v>
      </c>
      <c r="P147" s="95"/>
    </row>
    <row r="148" spans="1:16" ht="25.2" customHeight="1" x14ac:dyDescent="0.3">
      <c r="A148" s="1"/>
      <c r="I148" s="1">
        <f>0.14*Table11819202310303132353839404148111518202831[[#This Row],[النولون]]</f>
        <v>0</v>
      </c>
      <c r="L14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48" s="1">
        <f>N147+Table11819202310303132353839404148111518202831[[#This Row],[اجمالي الفاتوره]]-Table11819202310303132353839404148111518202831[[#This Row],[الدفعات]]</f>
        <v>136976.76</v>
      </c>
      <c r="P148" s="95"/>
    </row>
    <row r="149" spans="1:16" ht="25.2" customHeight="1" x14ac:dyDescent="0.3">
      <c r="A149" s="1"/>
      <c r="I149" s="1">
        <f>0.14*Table11819202310303132353839404148111518202831[[#This Row],[النولون]]</f>
        <v>0</v>
      </c>
      <c r="L14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49" s="1">
        <f>N148+Table11819202310303132353839404148111518202831[[#This Row],[اجمالي الفاتوره]]-Table11819202310303132353839404148111518202831[[#This Row],[الدفعات]]</f>
        <v>136976.76</v>
      </c>
      <c r="P149" s="95"/>
    </row>
    <row r="150" spans="1:16" ht="25.2" customHeight="1" x14ac:dyDescent="0.3">
      <c r="A150" s="1"/>
      <c r="I150" s="1">
        <f>0.14*Table11819202310303132353839404148111518202831[[#This Row],[النولون]]</f>
        <v>0</v>
      </c>
      <c r="L15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50" s="1">
        <f>N149+Table11819202310303132353839404148111518202831[[#This Row],[اجمالي الفاتوره]]-Table11819202310303132353839404148111518202831[[#This Row],[الدفعات]]</f>
        <v>136976.76</v>
      </c>
      <c r="P150" s="95"/>
    </row>
    <row r="151" spans="1:16" ht="25.2" customHeight="1" x14ac:dyDescent="0.3">
      <c r="A151" s="1"/>
      <c r="I151" s="1">
        <f>0.14*Table11819202310303132353839404148111518202831[[#This Row],[النولون]]</f>
        <v>0</v>
      </c>
      <c r="L15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51" s="1">
        <f>N150+Table11819202310303132353839404148111518202831[[#This Row],[اجمالي الفاتوره]]-Table11819202310303132353839404148111518202831[[#This Row],[الدفعات]]</f>
        <v>136976.76</v>
      </c>
      <c r="P151" s="95"/>
    </row>
    <row r="152" spans="1:16" ht="25.2" customHeight="1" x14ac:dyDescent="0.3">
      <c r="A152" s="1"/>
      <c r="I152" s="1">
        <f>0.14*Table11819202310303132353839404148111518202831[[#This Row],[النولون]]</f>
        <v>0</v>
      </c>
      <c r="L15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52" s="1">
        <f>N151+Table11819202310303132353839404148111518202831[[#This Row],[اجمالي الفاتوره]]-Table11819202310303132353839404148111518202831[[#This Row],[الدفعات]]</f>
        <v>136976.76</v>
      </c>
      <c r="P152" s="95"/>
    </row>
    <row r="153" spans="1:16" ht="25.2" customHeight="1" x14ac:dyDescent="0.3">
      <c r="A153" s="1"/>
      <c r="I153" s="1">
        <f>0.14*Table11819202310303132353839404148111518202831[[#This Row],[النولون]]</f>
        <v>0</v>
      </c>
      <c r="L15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53" s="1">
        <f>N152+Table11819202310303132353839404148111518202831[[#This Row],[اجمالي الفاتوره]]-Table11819202310303132353839404148111518202831[[#This Row],[الدفعات]]</f>
        <v>136976.76</v>
      </c>
      <c r="P153" s="95"/>
    </row>
    <row r="154" spans="1:16" ht="25.2" customHeight="1" x14ac:dyDescent="0.3">
      <c r="A154" s="1"/>
      <c r="I154" s="1">
        <f>0.14*Table11819202310303132353839404148111518202831[[#This Row],[النولون]]</f>
        <v>0</v>
      </c>
      <c r="L15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54" s="1">
        <f>N153+Table11819202310303132353839404148111518202831[[#This Row],[اجمالي الفاتوره]]-Table11819202310303132353839404148111518202831[[#This Row],[الدفعات]]</f>
        <v>136976.76</v>
      </c>
      <c r="P154" s="95"/>
    </row>
    <row r="155" spans="1:16" ht="25.2" customHeight="1" x14ac:dyDescent="0.3">
      <c r="A155" s="1"/>
      <c r="I155" s="1">
        <f>0.14*Table11819202310303132353839404148111518202831[[#This Row],[النولون]]</f>
        <v>0</v>
      </c>
      <c r="L15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55" s="1">
        <f>N154+Table11819202310303132353839404148111518202831[[#This Row],[اجمالي الفاتوره]]-Table11819202310303132353839404148111518202831[[#This Row],[الدفعات]]</f>
        <v>136976.76</v>
      </c>
      <c r="P155" s="95"/>
    </row>
    <row r="156" spans="1:16" ht="25.2" customHeight="1" x14ac:dyDescent="0.3">
      <c r="A156" s="1"/>
      <c r="I156" s="1">
        <f>0.14*Table11819202310303132353839404148111518202831[[#This Row],[النولون]]</f>
        <v>0</v>
      </c>
      <c r="L15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56" s="1">
        <f>N155+Table11819202310303132353839404148111518202831[[#This Row],[اجمالي الفاتوره]]-Table11819202310303132353839404148111518202831[[#This Row],[الدفعات]]</f>
        <v>136976.76</v>
      </c>
      <c r="P156" s="95"/>
    </row>
    <row r="157" spans="1:16" ht="25.2" customHeight="1" x14ac:dyDescent="0.3">
      <c r="A157" s="1"/>
      <c r="I157" s="1">
        <f>0.14*Table11819202310303132353839404148111518202831[[#This Row],[النولون]]</f>
        <v>0</v>
      </c>
      <c r="L15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57" s="1">
        <f>N156+Table11819202310303132353839404148111518202831[[#This Row],[اجمالي الفاتوره]]-Table11819202310303132353839404148111518202831[[#This Row],[الدفعات]]</f>
        <v>136976.76</v>
      </c>
      <c r="P157" s="95"/>
    </row>
    <row r="158" spans="1:16" ht="25.2" customHeight="1" x14ac:dyDescent="0.3">
      <c r="A158" s="1"/>
      <c r="I158" s="1">
        <f>0.14*Table11819202310303132353839404148111518202831[[#This Row],[النولون]]</f>
        <v>0</v>
      </c>
      <c r="L15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58" s="1">
        <f>N157+Table11819202310303132353839404148111518202831[[#This Row],[اجمالي الفاتوره]]-Table11819202310303132353839404148111518202831[[#This Row],[الدفعات]]</f>
        <v>136976.76</v>
      </c>
      <c r="P158" s="95"/>
    </row>
    <row r="159" spans="1:16" ht="25.2" customHeight="1" x14ac:dyDescent="0.3">
      <c r="A159" s="1"/>
      <c r="I159" s="1">
        <f>0.14*Table11819202310303132353839404148111518202831[[#This Row],[النولون]]</f>
        <v>0</v>
      </c>
      <c r="L15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59" s="1">
        <f>N158+Table11819202310303132353839404148111518202831[[#This Row],[اجمالي الفاتوره]]-Table11819202310303132353839404148111518202831[[#This Row],[الدفعات]]</f>
        <v>136976.76</v>
      </c>
      <c r="P159" s="95"/>
    </row>
    <row r="160" spans="1:16" ht="25.2" customHeight="1" x14ac:dyDescent="0.3">
      <c r="A160" s="1"/>
      <c r="I160" s="1">
        <f>0.14*Table11819202310303132353839404148111518202831[[#This Row],[النولون]]</f>
        <v>0</v>
      </c>
      <c r="L16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60" s="1">
        <f>N159+Table11819202310303132353839404148111518202831[[#This Row],[اجمالي الفاتوره]]-Table11819202310303132353839404148111518202831[[#This Row],[الدفعات]]</f>
        <v>136976.76</v>
      </c>
      <c r="P160" s="95"/>
    </row>
    <row r="161" spans="1:16" ht="25.2" customHeight="1" x14ac:dyDescent="0.3">
      <c r="A161" s="1"/>
      <c r="I161" s="1">
        <f>0.14*Table11819202310303132353839404148111518202831[[#This Row],[النولون]]</f>
        <v>0</v>
      </c>
      <c r="L16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61" s="1">
        <f>N160+Table11819202310303132353839404148111518202831[[#This Row],[اجمالي الفاتوره]]-Table11819202310303132353839404148111518202831[[#This Row],[الدفعات]]</f>
        <v>136976.76</v>
      </c>
      <c r="P161" s="95"/>
    </row>
    <row r="162" spans="1:16" ht="25.2" customHeight="1" x14ac:dyDescent="0.3">
      <c r="A162" s="1"/>
      <c r="I162" s="1">
        <f>0.14*Table11819202310303132353839404148111518202831[[#This Row],[النولون]]</f>
        <v>0</v>
      </c>
      <c r="L16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62" s="1">
        <f>N161+Table11819202310303132353839404148111518202831[[#This Row],[اجمالي الفاتوره]]-Table11819202310303132353839404148111518202831[[#This Row],[الدفعات]]</f>
        <v>136976.76</v>
      </c>
      <c r="P162" s="95"/>
    </row>
    <row r="163" spans="1:16" ht="25.2" customHeight="1" x14ac:dyDescent="0.3">
      <c r="A163" s="1"/>
      <c r="I163" s="1">
        <f>0.14*Table11819202310303132353839404148111518202831[[#This Row],[النولون]]</f>
        <v>0</v>
      </c>
      <c r="L16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63" s="1">
        <f>N162+Table11819202310303132353839404148111518202831[[#This Row],[اجمالي الفاتوره]]-Table11819202310303132353839404148111518202831[[#This Row],[الدفعات]]</f>
        <v>136976.76</v>
      </c>
      <c r="P163" s="95"/>
    </row>
    <row r="164" spans="1:16" ht="25.2" customHeight="1" x14ac:dyDescent="0.3">
      <c r="A164" s="1"/>
      <c r="I164" s="1">
        <f>0.14*Table11819202310303132353839404148111518202831[[#This Row],[النولون]]</f>
        <v>0</v>
      </c>
      <c r="L16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64" s="1">
        <f>N163+Table11819202310303132353839404148111518202831[[#This Row],[اجمالي الفاتوره]]-Table11819202310303132353839404148111518202831[[#This Row],[الدفعات]]</f>
        <v>136976.76</v>
      </c>
      <c r="P164" s="95"/>
    </row>
    <row r="165" spans="1:16" ht="25.2" customHeight="1" x14ac:dyDescent="0.3">
      <c r="A165" s="1"/>
      <c r="I165" s="1">
        <f>0.14*Table11819202310303132353839404148111518202831[[#This Row],[النولون]]</f>
        <v>0</v>
      </c>
      <c r="L16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65" s="1">
        <f>N164+Table11819202310303132353839404148111518202831[[#This Row],[اجمالي الفاتوره]]-Table11819202310303132353839404148111518202831[[#This Row],[الدفعات]]</f>
        <v>136976.76</v>
      </c>
      <c r="P165" s="95"/>
    </row>
    <row r="166" spans="1:16" ht="25.2" customHeight="1" x14ac:dyDescent="0.3">
      <c r="A166" s="1"/>
      <c r="I166" s="1">
        <f>0.14*Table11819202310303132353839404148111518202831[[#This Row],[النولون]]</f>
        <v>0</v>
      </c>
      <c r="L16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66" s="1">
        <f>N165+Table11819202310303132353839404148111518202831[[#This Row],[اجمالي الفاتوره]]-Table11819202310303132353839404148111518202831[[#This Row],[الدفعات]]</f>
        <v>136976.76</v>
      </c>
      <c r="P166" s="95"/>
    </row>
    <row r="167" spans="1:16" ht="25.2" customHeight="1" x14ac:dyDescent="0.3">
      <c r="A167" s="1"/>
      <c r="I167" s="1">
        <f>0.14*Table11819202310303132353839404148111518202831[[#This Row],[النولون]]</f>
        <v>0</v>
      </c>
      <c r="L16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67" s="1">
        <f>N166+Table11819202310303132353839404148111518202831[[#This Row],[اجمالي الفاتوره]]-Table11819202310303132353839404148111518202831[[#This Row],[الدفعات]]</f>
        <v>136976.76</v>
      </c>
      <c r="P167" s="95"/>
    </row>
    <row r="168" spans="1:16" ht="25.2" customHeight="1" x14ac:dyDescent="0.3">
      <c r="A168" s="1"/>
      <c r="I168" s="1">
        <f>0.14*Table11819202310303132353839404148111518202831[[#This Row],[النولون]]</f>
        <v>0</v>
      </c>
      <c r="L16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68" s="1">
        <f>N167+Table11819202310303132353839404148111518202831[[#This Row],[اجمالي الفاتوره]]-Table11819202310303132353839404148111518202831[[#This Row],[الدفعات]]</f>
        <v>136976.76</v>
      </c>
      <c r="P168" s="95"/>
    </row>
    <row r="169" spans="1:16" ht="25.2" customHeight="1" x14ac:dyDescent="0.3">
      <c r="A169" s="1"/>
      <c r="I169" s="1">
        <f>0.14*Table11819202310303132353839404148111518202831[[#This Row],[النولون]]</f>
        <v>0</v>
      </c>
      <c r="L16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69" s="1">
        <f>N168+Table11819202310303132353839404148111518202831[[#This Row],[اجمالي الفاتوره]]-Table11819202310303132353839404148111518202831[[#This Row],[الدفعات]]</f>
        <v>136976.76</v>
      </c>
      <c r="P169" s="95"/>
    </row>
    <row r="170" spans="1:16" ht="25.2" customHeight="1" x14ac:dyDescent="0.3">
      <c r="A170" s="1"/>
      <c r="I170" s="1">
        <f>0.14*Table11819202310303132353839404148111518202831[[#This Row],[النولون]]</f>
        <v>0</v>
      </c>
      <c r="L17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70" s="1">
        <f>N169+Table11819202310303132353839404148111518202831[[#This Row],[اجمالي الفاتوره]]-Table11819202310303132353839404148111518202831[[#This Row],[الدفعات]]</f>
        <v>136976.76</v>
      </c>
      <c r="P170" s="95"/>
    </row>
    <row r="171" spans="1:16" ht="25.2" customHeight="1" x14ac:dyDescent="0.3">
      <c r="A171" s="1"/>
      <c r="I171" s="1">
        <f>0.14*Table11819202310303132353839404148111518202831[[#This Row],[النولون]]</f>
        <v>0</v>
      </c>
      <c r="L17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71" s="1">
        <f>N170+Table11819202310303132353839404148111518202831[[#This Row],[اجمالي الفاتوره]]-Table11819202310303132353839404148111518202831[[#This Row],[الدفعات]]</f>
        <v>136976.76</v>
      </c>
      <c r="P171" s="95"/>
    </row>
    <row r="172" spans="1:16" ht="25.2" customHeight="1" x14ac:dyDescent="0.3">
      <c r="A172" s="1"/>
      <c r="I172" s="1">
        <f>0.14*Table11819202310303132353839404148111518202831[[#This Row],[النولون]]</f>
        <v>0</v>
      </c>
      <c r="L17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72" s="1">
        <f>N171+Table11819202310303132353839404148111518202831[[#This Row],[اجمالي الفاتوره]]-Table11819202310303132353839404148111518202831[[#This Row],[الدفعات]]</f>
        <v>136976.76</v>
      </c>
      <c r="P172" s="95"/>
    </row>
    <row r="173" spans="1:16" ht="25.2" customHeight="1" x14ac:dyDescent="0.3">
      <c r="A173" s="1"/>
      <c r="I173" s="1">
        <f>0.14*Table11819202310303132353839404148111518202831[[#This Row],[النولون]]</f>
        <v>0</v>
      </c>
      <c r="L17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73" s="1">
        <f>N172+Table11819202310303132353839404148111518202831[[#This Row],[اجمالي الفاتوره]]-Table11819202310303132353839404148111518202831[[#This Row],[الدفعات]]</f>
        <v>136976.76</v>
      </c>
      <c r="P173" s="95"/>
    </row>
    <row r="174" spans="1:16" ht="25.2" customHeight="1" x14ac:dyDescent="0.3">
      <c r="A174" s="1"/>
      <c r="I174" s="1">
        <f>0.14*Table11819202310303132353839404148111518202831[[#This Row],[النولون]]</f>
        <v>0</v>
      </c>
      <c r="L17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74" s="1">
        <f>N173+Table11819202310303132353839404148111518202831[[#This Row],[اجمالي الفاتوره]]-Table11819202310303132353839404148111518202831[[#This Row],[الدفعات]]</f>
        <v>136976.76</v>
      </c>
      <c r="P174" s="95"/>
    </row>
    <row r="175" spans="1:16" ht="25.2" customHeight="1" x14ac:dyDescent="0.3">
      <c r="A175" s="1"/>
      <c r="I175" s="1">
        <f>0.14*Table11819202310303132353839404148111518202831[[#This Row],[النولون]]</f>
        <v>0</v>
      </c>
      <c r="L17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75" s="1">
        <f>N174+Table11819202310303132353839404148111518202831[[#This Row],[اجمالي الفاتوره]]-Table11819202310303132353839404148111518202831[[#This Row],[الدفعات]]</f>
        <v>136976.76</v>
      </c>
      <c r="P175" s="95"/>
    </row>
    <row r="176" spans="1:16" ht="25.2" customHeight="1" x14ac:dyDescent="0.3">
      <c r="A176" s="1"/>
      <c r="I176" s="1">
        <f>0.14*Table11819202310303132353839404148111518202831[[#This Row],[النولون]]</f>
        <v>0</v>
      </c>
      <c r="L17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76" s="1">
        <f>N175+Table11819202310303132353839404148111518202831[[#This Row],[اجمالي الفاتوره]]-Table11819202310303132353839404148111518202831[[#This Row],[الدفعات]]</f>
        <v>136976.76</v>
      </c>
      <c r="P176" s="95"/>
    </row>
    <row r="177" spans="1:16" ht="25.2" customHeight="1" x14ac:dyDescent="0.3">
      <c r="A177" s="1"/>
      <c r="I177" s="1">
        <f>0.14*Table11819202310303132353839404148111518202831[[#This Row],[النولون]]</f>
        <v>0</v>
      </c>
      <c r="L17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77" s="1">
        <f>N176+Table11819202310303132353839404148111518202831[[#This Row],[اجمالي الفاتوره]]-Table11819202310303132353839404148111518202831[[#This Row],[الدفعات]]</f>
        <v>136976.76</v>
      </c>
      <c r="P177" s="95"/>
    </row>
    <row r="178" spans="1:16" ht="25.2" customHeight="1" x14ac:dyDescent="0.3">
      <c r="A178" s="1"/>
      <c r="I178" s="1">
        <f>0.14*Table11819202310303132353839404148111518202831[[#This Row],[النولون]]</f>
        <v>0</v>
      </c>
      <c r="L17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78" s="1">
        <f>N177+Table11819202310303132353839404148111518202831[[#This Row],[اجمالي الفاتوره]]-Table11819202310303132353839404148111518202831[[#This Row],[الدفعات]]</f>
        <v>136976.76</v>
      </c>
      <c r="P178" s="95"/>
    </row>
    <row r="179" spans="1:16" ht="25.2" customHeight="1" x14ac:dyDescent="0.3">
      <c r="A179" s="1"/>
      <c r="I179" s="1">
        <f>0.14*Table11819202310303132353839404148111518202831[[#This Row],[النولون]]</f>
        <v>0</v>
      </c>
      <c r="L17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79" s="1">
        <f>N178+Table11819202310303132353839404148111518202831[[#This Row],[اجمالي الفاتوره]]-Table11819202310303132353839404148111518202831[[#This Row],[الدفعات]]</f>
        <v>136976.76</v>
      </c>
      <c r="P179" s="95"/>
    </row>
    <row r="180" spans="1:16" ht="25.2" customHeight="1" x14ac:dyDescent="0.3">
      <c r="A180" s="1"/>
      <c r="I180" s="1">
        <f>0.14*Table11819202310303132353839404148111518202831[[#This Row],[النولون]]</f>
        <v>0</v>
      </c>
      <c r="L18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80" s="1">
        <f>N179+Table11819202310303132353839404148111518202831[[#This Row],[اجمالي الفاتوره]]-Table11819202310303132353839404148111518202831[[#This Row],[الدفعات]]</f>
        <v>136976.76</v>
      </c>
      <c r="P180" s="95"/>
    </row>
    <row r="181" spans="1:16" ht="25.2" customHeight="1" x14ac:dyDescent="0.3">
      <c r="A181" s="1"/>
      <c r="I181" s="1">
        <f>0.14*Table11819202310303132353839404148111518202831[[#This Row],[النولون]]</f>
        <v>0</v>
      </c>
      <c r="L18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81" s="1">
        <f>N180+Table11819202310303132353839404148111518202831[[#This Row],[اجمالي الفاتوره]]-Table11819202310303132353839404148111518202831[[#This Row],[الدفعات]]</f>
        <v>136976.76</v>
      </c>
      <c r="P181" s="95"/>
    </row>
    <row r="182" spans="1:16" ht="25.2" customHeight="1" x14ac:dyDescent="0.3">
      <c r="A182" s="1"/>
      <c r="I182" s="1">
        <f>0.14*Table11819202310303132353839404148111518202831[[#This Row],[النولون]]</f>
        <v>0</v>
      </c>
      <c r="L18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82" s="1">
        <f>N181+Table11819202310303132353839404148111518202831[[#This Row],[اجمالي الفاتوره]]-Table11819202310303132353839404148111518202831[[#This Row],[الدفعات]]</f>
        <v>136976.76</v>
      </c>
      <c r="P182" s="95"/>
    </row>
    <row r="183" spans="1:16" ht="25.2" customHeight="1" x14ac:dyDescent="0.3">
      <c r="A183" s="1"/>
      <c r="I183" s="1">
        <f>0.14*Table11819202310303132353839404148111518202831[[#This Row],[النولون]]</f>
        <v>0</v>
      </c>
      <c r="L18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83" s="1">
        <f>N182+Table11819202310303132353839404148111518202831[[#This Row],[اجمالي الفاتوره]]-Table11819202310303132353839404148111518202831[[#This Row],[الدفعات]]</f>
        <v>136976.76</v>
      </c>
      <c r="P183" s="95"/>
    </row>
    <row r="184" spans="1:16" ht="25.2" customHeight="1" x14ac:dyDescent="0.3">
      <c r="A184" s="1"/>
      <c r="I184" s="1">
        <f>0.14*Table11819202310303132353839404148111518202831[[#This Row],[النولون]]</f>
        <v>0</v>
      </c>
      <c r="L18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84" s="1">
        <f>N183+Table11819202310303132353839404148111518202831[[#This Row],[اجمالي الفاتوره]]-Table11819202310303132353839404148111518202831[[#This Row],[الدفعات]]</f>
        <v>136976.76</v>
      </c>
      <c r="P184" s="95"/>
    </row>
    <row r="185" spans="1:16" ht="25.2" customHeight="1" x14ac:dyDescent="0.3">
      <c r="A185" s="1"/>
      <c r="I185" s="1">
        <f>0.14*Table11819202310303132353839404148111518202831[[#This Row],[النولون]]</f>
        <v>0</v>
      </c>
      <c r="L18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85" s="1">
        <f>N184+Table11819202310303132353839404148111518202831[[#This Row],[اجمالي الفاتوره]]-Table11819202310303132353839404148111518202831[[#This Row],[الدفعات]]</f>
        <v>136976.76</v>
      </c>
      <c r="P185" s="95"/>
    </row>
    <row r="186" spans="1:16" ht="25.2" customHeight="1" x14ac:dyDescent="0.3">
      <c r="A186" s="1"/>
      <c r="I186" s="1">
        <f>0.14*Table11819202310303132353839404148111518202831[[#This Row],[النولون]]</f>
        <v>0</v>
      </c>
      <c r="L18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86" s="1">
        <f>N185+Table11819202310303132353839404148111518202831[[#This Row],[اجمالي الفاتوره]]-Table11819202310303132353839404148111518202831[[#This Row],[الدفعات]]</f>
        <v>136976.76</v>
      </c>
      <c r="P186" s="95"/>
    </row>
    <row r="187" spans="1:16" ht="25.2" customHeight="1" x14ac:dyDescent="0.3">
      <c r="A187" s="1"/>
      <c r="I187" s="1">
        <f>0.14*Table11819202310303132353839404148111518202831[[#This Row],[النولون]]</f>
        <v>0</v>
      </c>
      <c r="L18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87" s="1">
        <f>N186+Table11819202310303132353839404148111518202831[[#This Row],[اجمالي الفاتوره]]-Table11819202310303132353839404148111518202831[[#This Row],[الدفعات]]</f>
        <v>136976.76</v>
      </c>
      <c r="P187" s="95"/>
    </row>
    <row r="188" spans="1:16" ht="25.2" customHeight="1" x14ac:dyDescent="0.3">
      <c r="A188" s="1"/>
      <c r="I188" s="1">
        <f>0.14*Table11819202310303132353839404148111518202831[[#This Row],[النولون]]</f>
        <v>0</v>
      </c>
      <c r="L18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88" s="1">
        <f>N187+Table11819202310303132353839404148111518202831[[#This Row],[اجمالي الفاتوره]]-Table11819202310303132353839404148111518202831[[#This Row],[الدفعات]]</f>
        <v>136976.76</v>
      </c>
      <c r="P188" s="95"/>
    </row>
    <row r="189" spans="1:16" ht="25.2" customHeight="1" x14ac:dyDescent="0.3">
      <c r="A189" s="1"/>
      <c r="I189" s="1">
        <f>0.14*Table11819202310303132353839404148111518202831[[#This Row],[النولون]]</f>
        <v>0</v>
      </c>
      <c r="L18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89" s="1">
        <f>N188+Table11819202310303132353839404148111518202831[[#This Row],[اجمالي الفاتوره]]-Table11819202310303132353839404148111518202831[[#This Row],[الدفعات]]</f>
        <v>136976.76</v>
      </c>
      <c r="P189" s="95"/>
    </row>
    <row r="190" spans="1:16" ht="25.2" customHeight="1" x14ac:dyDescent="0.3">
      <c r="A190" s="1"/>
      <c r="I190" s="1">
        <f>0.14*Table11819202310303132353839404148111518202831[[#This Row],[النولون]]</f>
        <v>0</v>
      </c>
      <c r="L19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90" s="1">
        <f>N189+Table11819202310303132353839404148111518202831[[#This Row],[اجمالي الفاتوره]]-Table11819202310303132353839404148111518202831[[#This Row],[الدفعات]]</f>
        <v>136976.76</v>
      </c>
      <c r="P190" s="95"/>
    </row>
    <row r="191" spans="1:16" ht="25.2" customHeight="1" x14ac:dyDescent="0.3">
      <c r="A191" s="1"/>
      <c r="I191" s="1">
        <f>0.14*Table11819202310303132353839404148111518202831[[#This Row],[النولون]]</f>
        <v>0</v>
      </c>
      <c r="L19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91" s="1">
        <f>N190+Table11819202310303132353839404148111518202831[[#This Row],[اجمالي الفاتوره]]-Table11819202310303132353839404148111518202831[[#This Row],[الدفعات]]</f>
        <v>136976.76</v>
      </c>
      <c r="P191" s="95"/>
    </row>
    <row r="192" spans="1:16" ht="25.2" customHeight="1" x14ac:dyDescent="0.3">
      <c r="A192" s="1"/>
      <c r="I192" s="1">
        <f>0.14*Table11819202310303132353839404148111518202831[[#This Row],[النولون]]</f>
        <v>0</v>
      </c>
      <c r="L19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92" s="1">
        <f>N191+Table11819202310303132353839404148111518202831[[#This Row],[اجمالي الفاتوره]]-Table11819202310303132353839404148111518202831[[#This Row],[الدفعات]]</f>
        <v>136976.76</v>
      </c>
      <c r="P192" s="95"/>
    </row>
    <row r="193" spans="1:16" ht="25.2" customHeight="1" x14ac:dyDescent="0.3">
      <c r="A193" s="1"/>
      <c r="I193" s="1">
        <f>0.14*Table11819202310303132353839404148111518202831[[#This Row],[النولون]]</f>
        <v>0</v>
      </c>
      <c r="L19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93" s="1">
        <f>N192+Table11819202310303132353839404148111518202831[[#This Row],[اجمالي الفاتوره]]-Table11819202310303132353839404148111518202831[[#This Row],[الدفعات]]</f>
        <v>136976.76</v>
      </c>
      <c r="P193" s="95"/>
    </row>
    <row r="194" spans="1:16" ht="25.2" customHeight="1" x14ac:dyDescent="0.3">
      <c r="A194" s="1"/>
      <c r="I194" s="1">
        <f>0.14*Table11819202310303132353839404148111518202831[[#This Row],[النولون]]</f>
        <v>0</v>
      </c>
      <c r="L19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94" s="1">
        <f>N193+Table11819202310303132353839404148111518202831[[#This Row],[اجمالي الفاتوره]]-Table11819202310303132353839404148111518202831[[#This Row],[الدفعات]]</f>
        <v>136976.76</v>
      </c>
      <c r="P194" s="95"/>
    </row>
    <row r="195" spans="1:16" ht="25.2" customHeight="1" x14ac:dyDescent="0.3">
      <c r="A195" s="1"/>
      <c r="I195" s="1">
        <f>0.14*Table11819202310303132353839404148111518202831[[#This Row],[النولون]]</f>
        <v>0</v>
      </c>
      <c r="L19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95" s="1">
        <f>N194+Table11819202310303132353839404148111518202831[[#This Row],[اجمالي الفاتوره]]-Table11819202310303132353839404148111518202831[[#This Row],[الدفعات]]</f>
        <v>136976.76</v>
      </c>
      <c r="P195" s="95"/>
    </row>
    <row r="196" spans="1:16" ht="25.2" customHeight="1" x14ac:dyDescent="0.3">
      <c r="A196" s="1"/>
      <c r="I196" s="1">
        <f>0.14*Table11819202310303132353839404148111518202831[[#This Row],[النولون]]</f>
        <v>0</v>
      </c>
      <c r="L19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96" s="1">
        <f>N195+Table11819202310303132353839404148111518202831[[#This Row],[اجمالي الفاتوره]]-Table11819202310303132353839404148111518202831[[#This Row],[الدفعات]]</f>
        <v>136976.76</v>
      </c>
      <c r="P196" s="95"/>
    </row>
    <row r="197" spans="1:16" ht="25.2" customHeight="1" x14ac:dyDescent="0.3">
      <c r="A197" s="1"/>
      <c r="I197" s="1">
        <f>0.14*Table11819202310303132353839404148111518202831[[#This Row],[النولون]]</f>
        <v>0</v>
      </c>
      <c r="L19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97" s="1">
        <f>N196+Table11819202310303132353839404148111518202831[[#This Row],[اجمالي الفاتوره]]-Table11819202310303132353839404148111518202831[[#This Row],[الدفعات]]</f>
        <v>136976.76</v>
      </c>
      <c r="P197" s="95"/>
    </row>
    <row r="198" spans="1:16" ht="25.2" customHeight="1" x14ac:dyDescent="0.3">
      <c r="A198" s="1"/>
      <c r="I198" s="1">
        <f>0.14*Table11819202310303132353839404148111518202831[[#This Row],[النولون]]</f>
        <v>0</v>
      </c>
      <c r="L19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98" s="1">
        <f>N197+Table11819202310303132353839404148111518202831[[#This Row],[اجمالي الفاتوره]]-Table11819202310303132353839404148111518202831[[#This Row],[الدفعات]]</f>
        <v>136976.76</v>
      </c>
      <c r="P198" s="95"/>
    </row>
    <row r="199" spans="1:16" ht="25.2" customHeight="1" x14ac:dyDescent="0.3">
      <c r="A199" s="1"/>
      <c r="I199" s="1">
        <f>0.14*Table11819202310303132353839404148111518202831[[#This Row],[النولون]]</f>
        <v>0</v>
      </c>
      <c r="L19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199" s="1">
        <f>N198+Table11819202310303132353839404148111518202831[[#This Row],[اجمالي الفاتوره]]-Table11819202310303132353839404148111518202831[[#This Row],[الدفعات]]</f>
        <v>136976.76</v>
      </c>
      <c r="P199" s="95"/>
    </row>
    <row r="200" spans="1:16" ht="25.2" customHeight="1" x14ac:dyDescent="0.3">
      <c r="A200" s="1"/>
      <c r="I200" s="1">
        <f>0.14*Table11819202310303132353839404148111518202831[[#This Row],[النولون]]</f>
        <v>0</v>
      </c>
      <c r="L20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00" s="1">
        <f>N199+Table11819202310303132353839404148111518202831[[#This Row],[اجمالي الفاتوره]]-Table11819202310303132353839404148111518202831[[#This Row],[الدفعات]]</f>
        <v>136976.76</v>
      </c>
      <c r="P200" s="95"/>
    </row>
    <row r="201" spans="1:16" ht="25.2" customHeight="1" x14ac:dyDescent="0.3">
      <c r="A201" s="1"/>
      <c r="I201" s="1">
        <f>0.14*Table11819202310303132353839404148111518202831[[#This Row],[النولون]]</f>
        <v>0</v>
      </c>
      <c r="L20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01" s="1">
        <f>N200+Table11819202310303132353839404148111518202831[[#This Row],[اجمالي الفاتوره]]-Table11819202310303132353839404148111518202831[[#This Row],[الدفعات]]</f>
        <v>136976.76</v>
      </c>
      <c r="P201" s="95"/>
    </row>
    <row r="202" spans="1:16" ht="25.2" customHeight="1" x14ac:dyDescent="0.3">
      <c r="A202" s="1"/>
      <c r="I202" s="1">
        <f>0.14*Table11819202310303132353839404148111518202831[[#This Row],[النولون]]</f>
        <v>0</v>
      </c>
      <c r="L20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02" s="1">
        <f>N201+Table11819202310303132353839404148111518202831[[#This Row],[اجمالي الفاتوره]]-Table11819202310303132353839404148111518202831[[#This Row],[الدفعات]]</f>
        <v>136976.76</v>
      </c>
      <c r="P202" s="95"/>
    </row>
    <row r="203" spans="1:16" ht="25.2" customHeight="1" x14ac:dyDescent="0.3">
      <c r="A203" s="1"/>
      <c r="I203" s="1">
        <f>0.14*Table11819202310303132353839404148111518202831[[#This Row],[النولون]]</f>
        <v>0</v>
      </c>
      <c r="L20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03" s="1">
        <f>N202+Table11819202310303132353839404148111518202831[[#This Row],[اجمالي الفاتوره]]-Table11819202310303132353839404148111518202831[[#This Row],[الدفعات]]</f>
        <v>136976.76</v>
      </c>
      <c r="P203" s="95"/>
    </row>
    <row r="204" spans="1:16" ht="25.2" customHeight="1" x14ac:dyDescent="0.3">
      <c r="A204" s="1"/>
      <c r="I204" s="1">
        <f>0.14*Table11819202310303132353839404148111518202831[[#This Row],[النولون]]</f>
        <v>0</v>
      </c>
      <c r="L20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04" s="1">
        <f>N203+Table11819202310303132353839404148111518202831[[#This Row],[اجمالي الفاتوره]]-Table11819202310303132353839404148111518202831[[#This Row],[الدفعات]]</f>
        <v>136976.76</v>
      </c>
      <c r="P204" s="95"/>
    </row>
    <row r="205" spans="1:16" ht="25.2" customHeight="1" x14ac:dyDescent="0.3">
      <c r="A205" s="1"/>
      <c r="I205" s="1">
        <f>0.14*Table11819202310303132353839404148111518202831[[#This Row],[النولون]]</f>
        <v>0</v>
      </c>
      <c r="L20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05" s="1">
        <f>N204+Table11819202310303132353839404148111518202831[[#This Row],[اجمالي الفاتوره]]-Table11819202310303132353839404148111518202831[[#This Row],[الدفعات]]</f>
        <v>136976.76</v>
      </c>
      <c r="P205" s="95"/>
    </row>
    <row r="206" spans="1:16" ht="25.2" customHeight="1" x14ac:dyDescent="0.3">
      <c r="A206" s="1"/>
      <c r="I206" s="1">
        <f>0.14*Table11819202310303132353839404148111518202831[[#This Row],[النولون]]</f>
        <v>0</v>
      </c>
      <c r="L20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06" s="1">
        <f>N205+Table11819202310303132353839404148111518202831[[#This Row],[اجمالي الفاتوره]]-Table11819202310303132353839404148111518202831[[#This Row],[الدفعات]]</f>
        <v>136976.76</v>
      </c>
      <c r="P206" s="95"/>
    </row>
    <row r="207" spans="1:16" ht="25.2" customHeight="1" x14ac:dyDescent="0.3">
      <c r="A207" s="1"/>
      <c r="I207" s="1">
        <f>0.14*Table11819202310303132353839404148111518202831[[#This Row],[النولون]]</f>
        <v>0</v>
      </c>
      <c r="L20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07" s="1">
        <f>N206+Table11819202310303132353839404148111518202831[[#This Row],[اجمالي الفاتوره]]-Table11819202310303132353839404148111518202831[[#This Row],[الدفعات]]</f>
        <v>136976.76</v>
      </c>
      <c r="P207" s="95"/>
    </row>
    <row r="208" spans="1:16" ht="25.2" customHeight="1" x14ac:dyDescent="0.3">
      <c r="A208" s="1"/>
      <c r="I208" s="1">
        <f>0.14*Table11819202310303132353839404148111518202831[[#This Row],[النولون]]</f>
        <v>0</v>
      </c>
      <c r="L20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08" s="1">
        <f>N207+Table11819202310303132353839404148111518202831[[#This Row],[اجمالي الفاتوره]]-Table11819202310303132353839404148111518202831[[#This Row],[الدفعات]]</f>
        <v>136976.76</v>
      </c>
      <c r="P208" s="95"/>
    </row>
    <row r="209" spans="1:16" ht="25.2" customHeight="1" x14ac:dyDescent="0.3">
      <c r="A209" s="1"/>
      <c r="I209" s="1">
        <f>0.14*Table11819202310303132353839404148111518202831[[#This Row],[النولون]]</f>
        <v>0</v>
      </c>
      <c r="L20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09" s="1">
        <f>N208+Table11819202310303132353839404148111518202831[[#This Row],[اجمالي الفاتوره]]-Table11819202310303132353839404148111518202831[[#This Row],[الدفعات]]</f>
        <v>136976.76</v>
      </c>
      <c r="P209" s="95"/>
    </row>
    <row r="210" spans="1:16" ht="25.2" customHeight="1" x14ac:dyDescent="0.3">
      <c r="A210" s="1"/>
      <c r="I210" s="1">
        <f>0.14*Table11819202310303132353839404148111518202831[[#This Row],[النولون]]</f>
        <v>0</v>
      </c>
      <c r="L21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10" s="1">
        <f>N209+Table11819202310303132353839404148111518202831[[#This Row],[اجمالي الفاتوره]]-Table11819202310303132353839404148111518202831[[#This Row],[الدفعات]]</f>
        <v>136976.76</v>
      </c>
      <c r="P210" s="95"/>
    </row>
    <row r="211" spans="1:16" ht="25.2" customHeight="1" x14ac:dyDescent="0.3">
      <c r="A211" s="1"/>
      <c r="I211" s="1">
        <f>0.14*Table11819202310303132353839404148111518202831[[#This Row],[النولون]]</f>
        <v>0</v>
      </c>
      <c r="L21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11" s="1">
        <f>N210+Table11819202310303132353839404148111518202831[[#This Row],[اجمالي الفاتوره]]-Table11819202310303132353839404148111518202831[[#This Row],[الدفعات]]</f>
        <v>136976.76</v>
      </c>
      <c r="P211" s="95"/>
    </row>
    <row r="212" spans="1:16" ht="25.2" customHeight="1" x14ac:dyDescent="0.3">
      <c r="A212" s="1"/>
      <c r="I212" s="1">
        <f>0.14*Table11819202310303132353839404148111518202831[[#This Row],[النولون]]</f>
        <v>0</v>
      </c>
      <c r="L21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12" s="1">
        <f>N211+Table11819202310303132353839404148111518202831[[#This Row],[اجمالي الفاتوره]]-Table11819202310303132353839404148111518202831[[#This Row],[الدفعات]]</f>
        <v>136976.76</v>
      </c>
      <c r="P212" s="95"/>
    </row>
    <row r="213" spans="1:16" ht="25.2" customHeight="1" x14ac:dyDescent="0.3">
      <c r="A213" s="1"/>
      <c r="I213" s="1">
        <f>0.14*Table11819202310303132353839404148111518202831[[#This Row],[النولون]]</f>
        <v>0</v>
      </c>
      <c r="L21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13" s="1">
        <f>N212+Table11819202310303132353839404148111518202831[[#This Row],[اجمالي الفاتوره]]-Table11819202310303132353839404148111518202831[[#This Row],[الدفعات]]</f>
        <v>136976.76</v>
      </c>
      <c r="P213" s="95"/>
    </row>
    <row r="214" spans="1:16" ht="25.2" customHeight="1" x14ac:dyDescent="0.3">
      <c r="A214" s="1"/>
      <c r="I214" s="1">
        <f>0.14*Table11819202310303132353839404148111518202831[[#This Row],[النولون]]</f>
        <v>0</v>
      </c>
      <c r="L21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14" s="1">
        <f>N213+Table11819202310303132353839404148111518202831[[#This Row],[اجمالي الفاتوره]]-Table11819202310303132353839404148111518202831[[#This Row],[الدفعات]]</f>
        <v>136976.76</v>
      </c>
      <c r="P214" s="95"/>
    </row>
    <row r="215" spans="1:16" ht="25.2" customHeight="1" x14ac:dyDescent="0.3">
      <c r="A215" s="1"/>
      <c r="I215" s="1">
        <f>0.14*Table11819202310303132353839404148111518202831[[#This Row],[النولون]]</f>
        <v>0</v>
      </c>
      <c r="L21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15" s="1">
        <f>N214+Table11819202310303132353839404148111518202831[[#This Row],[اجمالي الفاتوره]]-Table11819202310303132353839404148111518202831[[#This Row],[الدفعات]]</f>
        <v>136976.76</v>
      </c>
      <c r="P215" s="95"/>
    </row>
    <row r="216" spans="1:16" ht="25.2" customHeight="1" x14ac:dyDescent="0.3">
      <c r="A216" s="1"/>
      <c r="I216" s="1">
        <f>0.14*Table11819202310303132353839404148111518202831[[#This Row],[النولون]]</f>
        <v>0</v>
      </c>
      <c r="L21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16" s="1">
        <f>N215+Table11819202310303132353839404148111518202831[[#This Row],[اجمالي الفاتوره]]-Table11819202310303132353839404148111518202831[[#This Row],[الدفعات]]</f>
        <v>136976.76</v>
      </c>
      <c r="P216" s="95"/>
    </row>
    <row r="217" spans="1:16" ht="25.2" customHeight="1" x14ac:dyDescent="0.3">
      <c r="A217" s="1"/>
      <c r="I217" s="1">
        <f>0.14*Table11819202310303132353839404148111518202831[[#This Row],[النولون]]</f>
        <v>0</v>
      </c>
      <c r="L21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17" s="1">
        <f>N216+Table11819202310303132353839404148111518202831[[#This Row],[اجمالي الفاتوره]]-Table11819202310303132353839404148111518202831[[#This Row],[الدفعات]]</f>
        <v>136976.76</v>
      </c>
      <c r="P217" s="95"/>
    </row>
    <row r="218" spans="1:16" ht="25.2" customHeight="1" x14ac:dyDescent="0.3">
      <c r="A218" s="1"/>
      <c r="I218" s="1">
        <f>0.14*Table11819202310303132353839404148111518202831[[#This Row],[النولون]]</f>
        <v>0</v>
      </c>
      <c r="L21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18" s="1">
        <f>N217+Table11819202310303132353839404148111518202831[[#This Row],[اجمالي الفاتوره]]-Table11819202310303132353839404148111518202831[[#This Row],[الدفعات]]</f>
        <v>136976.76</v>
      </c>
      <c r="P218" s="95"/>
    </row>
    <row r="219" spans="1:16" ht="25.2" customHeight="1" x14ac:dyDescent="0.3">
      <c r="A219" s="1"/>
      <c r="I219" s="1">
        <f>0.14*Table11819202310303132353839404148111518202831[[#This Row],[النولون]]</f>
        <v>0</v>
      </c>
      <c r="L21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19" s="1">
        <f>N218+Table11819202310303132353839404148111518202831[[#This Row],[اجمالي الفاتوره]]-Table11819202310303132353839404148111518202831[[#This Row],[الدفعات]]</f>
        <v>136976.76</v>
      </c>
      <c r="P219" s="95"/>
    </row>
    <row r="220" spans="1:16" ht="25.2" customHeight="1" x14ac:dyDescent="0.3">
      <c r="A220" s="1"/>
      <c r="I220" s="1">
        <f>0.14*Table11819202310303132353839404148111518202831[[#This Row],[النولون]]</f>
        <v>0</v>
      </c>
      <c r="L22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20" s="1">
        <f>N219+Table11819202310303132353839404148111518202831[[#This Row],[اجمالي الفاتوره]]-Table11819202310303132353839404148111518202831[[#This Row],[الدفعات]]</f>
        <v>136976.76</v>
      </c>
      <c r="P220" s="95"/>
    </row>
    <row r="221" spans="1:16" ht="25.2" customHeight="1" x14ac:dyDescent="0.3">
      <c r="A221" s="1"/>
      <c r="I221" s="1">
        <f>0.14*Table11819202310303132353839404148111518202831[[#This Row],[النولون]]</f>
        <v>0</v>
      </c>
      <c r="L22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21" s="1">
        <f>N220+Table11819202310303132353839404148111518202831[[#This Row],[اجمالي الفاتوره]]-Table11819202310303132353839404148111518202831[[#This Row],[الدفعات]]</f>
        <v>136976.76</v>
      </c>
      <c r="P221" s="95"/>
    </row>
    <row r="222" spans="1:16" ht="25.2" customHeight="1" x14ac:dyDescent="0.3">
      <c r="A222" s="1"/>
      <c r="I222" s="1">
        <f>0.14*Table11819202310303132353839404148111518202831[[#This Row],[النولون]]</f>
        <v>0</v>
      </c>
      <c r="L22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22" s="1">
        <f>N221+Table11819202310303132353839404148111518202831[[#This Row],[اجمالي الفاتوره]]-Table11819202310303132353839404148111518202831[[#This Row],[الدفعات]]</f>
        <v>136976.76</v>
      </c>
      <c r="P222" s="95"/>
    </row>
    <row r="223" spans="1:16" ht="25.2" customHeight="1" x14ac:dyDescent="0.3">
      <c r="A223" s="1"/>
      <c r="I223" s="1">
        <f>0.14*Table11819202310303132353839404148111518202831[[#This Row],[النولون]]</f>
        <v>0</v>
      </c>
      <c r="L22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23" s="1">
        <f>N222+Table11819202310303132353839404148111518202831[[#This Row],[اجمالي الفاتوره]]-Table11819202310303132353839404148111518202831[[#This Row],[الدفعات]]</f>
        <v>136976.76</v>
      </c>
      <c r="P223" s="95"/>
    </row>
    <row r="224" spans="1:16" ht="25.2" customHeight="1" x14ac:dyDescent="0.3">
      <c r="A224" s="1"/>
      <c r="I224" s="1">
        <f>0.14*Table11819202310303132353839404148111518202831[[#This Row],[النولون]]</f>
        <v>0</v>
      </c>
      <c r="L22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24" s="1">
        <f>N223+Table11819202310303132353839404148111518202831[[#This Row],[اجمالي الفاتوره]]-Table11819202310303132353839404148111518202831[[#This Row],[الدفعات]]</f>
        <v>136976.76</v>
      </c>
      <c r="P224" s="95"/>
    </row>
    <row r="225" spans="1:16" ht="25.2" customHeight="1" x14ac:dyDescent="0.3">
      <c r="A225" s="1"/>
      <c r="I225" s="1">
        <f>0.14*Table11819202310303132353839404148111518202831[[#This Row],[النولون]]</f>
        <v>0</v>
      </c>
      <c r="L22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25" s="1">
        <f>N224+Table11819202310303132353839404148111518202831[[#This Row],[اجمالي الفاتوره]]-Table11819202310303132353839404148111518202831[[#This Row],[الدفعات]]</f>
        <v>136976.76</v>
      </c>
      <c r="P225" s="95"/>
    </row>
    <row r="226" spans="1:16" ht="25.2" customHeight="1" x14ac:dyDescent="0.3">
      <c r="A226" s="1"/>
      <c r="I226" s="1">
        <f>0.14*Table11819202310303132353839404148111518202831[[#This Row],[النولون]]</f>
        <v>0</v>
      </c>
      <c r="L22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26" s="1">
        <f>N225+Table11819202310303132353839404148111518202831[[#This Row],[اجمالي الفاتوره]]-Table11819202310303132353839404148111518202831[[#This Row],[الدفعات]]</f>
        <v>136976.76</v>
      </c>
      <c r="P226" s="95"/>
    </row>
    <row r="227" spans="1:16" ht="25.2" customHeight="1" x14ac:dyDescent="0.3">
      <c r="A227" s="1"/>
      <c r="I227" s="1">
        <f>0.14*Table11819202310303132353839404148111518202831[[#This Row],[النولون]]</f>
        <v>0</v>
      </c>
      <c r="L22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27" s="1">
        <f>N226+Table11819202310303132353839404148111518202831[[#This Row],[اجمالي الفاتوره]]-Table11819202310303132353839404148111518202831[[#This Row],[الدفعات]]</f>
        <v>136976.76</v>
      </c>
      <c r="P227" s="95"/>
    </row>
    <row r="228" spans="1:16" ht="25.2" customHeight="1" x14ac:dyDescent="0.3">
      <c r="A228" s="1"/>
      <c r="I228" s="1">
        <f>0.14*Table11819202310303132353839404148111518202831[[#This Row],[النولون]]</f>
        <v>0</v>
      </c>
      <c r="L22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28" s="1">
        <f>N227+Table11819202310303132353839404148111518202831[[#This Row],[اجمالي الفاتوره]]-Table11819202310303132353839404148111518202831[[#This Row],[الدفعات]]</f>
        <v>136976.76</v>
      </c>
      <c r="P228" s="95"/>
    </row>
    <row r="229" spans="1:16" ht="25.2" customHeight="1" x14ac:dyDescent="0.3">
      <c r="A229" s="1"/>
      <c r="I229" s="1">
        <f>0.14*Table11819202310303132353839404148111518202831[[#This Row],[النولون]]</f>
        <v>0</v>
      </c>
      <c r="L22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29" s="1">
        <f>N228+Table11819202310303132353839404148111518202831[[#This Row],[اجمالي الفاتوره]]-Table11819202310303132353839404148111518202831[[#This Row],[الدفعات]]</f>
        <v>136976.76</v>
      </c>
      <c r="P229" s="95"/>
    </row>
    <row r="230" spans="1:16" ht="25.2" customHeight="1" x14ac:dyDescent="0.3">
      <c r="A230" s="1"/>
      <c r="I230" s="1">
        <f>0.14*Table11819202310303132353839404148111518202831[[#This Row],[النولون]]</f>
        <v>0</v>
      </c>
      <c r="L23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30" s="1">
        <f>N229+Table11819202310303132353839404148111518202831[[#This Row],[اجمالي الفاتوره]]-Table11819202310303132353839404148111518202831[[#This Row],[الدفعات]]</f>
        <v>136976.76</v>
      </c>
      <c r="P230" s="95"/>
    </row>
    <row r="231" spans="1:16" ht="25.2" customHeight="1" x14ac:dyDescent="0.3">
      <c r="A231" s="1"/>
      <c r="I231" s="1">
        <f>0.14*Table11819202310303132353839404148111518202831[[#This Row],[النولون]]</f>
        <v>0</v>
      </c>
      <c r="L23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31" s="1">
        <f>N230+Table11819202310303132353839404148111518202831[[#This Row],[اجمالي الفاتوره]]-Table11819202310303132353839404148111518202831[[#This Row],[الدفعات]]</f>
        <v>136976.76</v>
      </c>
      <c r="P231" s="95"/>
    </row>
    <row r="232" spans="1:16" ht="25.2" customHeight="1" x14ac:dyDescent="0.3">
      <c r="A232" s="1"/>
      <c r="I232" s="1">
        <f>0.14*Table11819202310303132353839404148111518202831[[#This Row],[النولون]]</f>
        <v>0</v>
      </c>
      <c r="L23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32" s="1">
        <f>N231+Table11819202310303132353839404148111518202831[[#This Row],[اجمالي الفاتوره]]-Table11819202310303132353839404148111518202831[[#This Row],[الدفعات]]</f>
        <v>136976.76</v>
      </c>
      <c r="P232" s="95"/>
    </row>
    <row r="233" spans="1:16" ht="25.2" customHeight="1" x14ac:dyDescent="0.3">
      <c r="A233" s="1"/>
      <c r="I233" s="1">
        <f>0.14*Table11819202310303132353839404148111518202831[[#This Row],[النولون]]</f>
        <v>0</v>
      </c>
      <c r="L23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33" s="1">
        <f>N232+Table11819202310303132353839404148111518202831[[#This Row],[اجمالي الفاتوره]]-Table11819202310303132353839404148111518202831[[#This Row],[الدفعات]]</f>
        <v>136976.76</v>
      </c>
      <c r="P233" s="95"/>
    </row>
    <row r="234" spans="1:16" ht="25.2" customHeight="1" x14ac:dyDescent="0.3">
      <c r="A234" s="1"/>
      <c r="I234" s="1">
        <f>0.14*Table11819202310303132353839404148111518202831[[#This Row],[النولون]]</f>
        <v>0</v>
      </c>
      <c r="L23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34" s="1">
        <f>N233+Table11819202310303132353839404148111518202831[[#This Row],[اجمالي الفاتوره]]-Table11819202310303132353839404148111518202831[[#This Row],[الدفعات]]</f>
        <v>136976.76</v>
      </c>
      <c r="P234" s="95"/>
    </row>
    <row r="235" spans="1:16" ht="25.2" customHeight="1" x14ac:dyDescent="0.3">
      <c r="A235" s="1"/>
      <c r="I235" s="1">
        <f>0.14*Table11819202310303132353839404148111518202831[[#This Row],[النولون]]</f>
        <v>0</v>
      </c>
      <c r="L23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35" s="1">
        <f>N234+Table11819202310303132353839404148111518202831[[#This Row],[اجمالي الفاتوره]]-Table11819202310303132353839404148111518202831[[#This Row],[الدفعات]]</f>
        <v>136976.76</v>
      </c>
      <c r="P235" s="95"/>
    </row>
    <row r="236" spans="1:16" ht="25.2" customHeight="1" x14ac:dyDescent="0.3">
      <c r="A236" s="1"/>
      <c r="I236" s="1">
        <f>0.14*Table11819202310303132353839404148111518202831[[#This Row],[النولون]]</f>
        <v>0</v>
      </c>
      <c r="L23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36" s="1">
        <f>N235+Table11819202310303132353839404148111518202831[[#This Row],[اجمالي الفاتوره]]-Table11819202310303132353839404148111518202831[[#This Row],[الدفعات]]</f>
        <v>136976.76</v>
      </c>
      <c r="P236" s="95"/>
    </row>
    <row r="237" spans="1:16" ht="25.2" customHeight="1" x14ac:dyDescent="0.3">
      <c r="A237" s="1"/>
      <c r="I237" s="1">
        <f>0.14*Table11819202310303132353839404148111518202831[[#This Row],[النولون]]</f>
        <v>0</v>
      </c>
      <c r="L23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37" s="1">
        <f>N236+Table11819202310303132353839404148111518202831[[#This Row],[اجمالي الفاتوره]]-Table11819202310303132353839404148111518202831[[#This Row],[الدفعات]]</f>
        <v>136976.76</v>
      </c>
      <c r="P237" s="95"/>
    </row>
    <row r="238" spans="1:16" ht="25.2" customHeight="1" x14ac:dyDescent="0.3">
      <c r="A238" s="1"/>
      <c r="I238" s="1">
        <f>0.14*Table11819202310303132353839404148111518202831[[#This Row],[النولون]]</f>
        <v>0</v>
      </c>
      <c r="L23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38" s="1">
        <f>N237+Table11819202310303132353839404148111518202831[[#This Row],[اجمالي الفاتوره]]-Table11819202310303132353839404148111518202831[[#This Row],[الدفعات]]</f>
        <v>136976.76</v>
      </c>
      <c r="P238" s="95"/>
    </row>
    <row r="239" spans="1:16" ht="25.2" customHeight="1" x14ac:dyDescent="0.3">
      <c r="A239" s="1"/>
      <c r="I239" s="1">
        <f>0.14*Table11819202310303132353839404148111518202831[[#This Row],[النولون]]</f>
        <v>0</v>
      </c>
      <c r="J239" s="1">
        <f>0.03*Table11819202310303132353839404148111518202831[[#This Row],[النولون]]</f>
        <v>0</v>
      </c>
      <c r="L23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39" s="1">
        <f>N238+Table11819202310303132353839404148111518202831[[#This Row],[اجمالي الفاتوره]]-Table11819202310303132353839404148111518202831[[#This Row],[الدفعات]]</f>
        <v>136976.76</v>
      </c>
      <c r="P239" s="95"/>
    </row>
    <row r="240" spans="1:16" ht="25.2" customHeight="1" x14ac:dyDescent="0.3">
      <c r="A240" s="1"/>
      <c r="I240" s="1">
        <f>0.14*Table11819202310303132353839404148111518202831[[#This Row],[النولون]]</f>
        <v>0</v>
      </c>
      <c r="J240" s="1">
        <f>0.03*Table11819202310303132353839404148111518202831[[#This Row],[النولون]]</f>
        <v>0</v>
      </c>
      <c r="L24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40" s="1">
        <f>N239+Table11819202310303132353839404148111518202831[[#This Row],[اجمالي الفاتوره]]-Table11819202310303132353839404148111518202831[[#This Row],[الدفعات]]</f>
        <v>136976.76</v>
      </c>
      <c r="P240" s="95"/>
    </row>
    <row r="241" spans="1:16" ht="25.2" customHeight="1" x14ac:dyDescent="0.3">
      <c r="A241" s="1"/>
      <c r="I241" s="1">
        <f>0.14*Table11819202310303132353839404148111518202831[[#This Row],[النولون]]</f>
        <v>0</v>
      </c>
      <c r="J241" s="1">
        <f>0.03*Table11819202310303132353839404148111518202831[[#This Row],[النولون]]</f>
        <v>0</v>
      </c>
      <c r="L24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41" s="1">
        <f>N240+Table11819202310303132353839404148111518202831[[#This Row],[اجمالي الفاتوره]]-Table11819202310303132353839404148111518202831[[#This Row],[الدفعات]]</f>
        <v>136976.76</v>
      </c>
      <c r="P241" s="95"/>
    </row>
    <row r="242" spans="1:16" ht="25.2" customHeight="1" x14ac:dyDescent="0.3">
      <c r="A242" s="1"/>
      <c r="I242" s="1">
        <f>0.14*Table11819202310303132353839404148111518202831[[#This Row],[النولون]]</f>
        <v>0</v>
      </c>
      <c r="J242" s="1">
        <f>0.03*Table11819202310303132353839404148111518202831[[#This Row],[النولون]]</f>
        <v>0</v>
      </c>
      <c r="L24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42" s="1">
        <f>N241+Table11819202310303132353839404148111518202831[[#This Row],[اجمالي الفاتوره]]-Table11819202310303132353839404148111518202831[[#This Row],[الدفعات]]</f>
        <v>136976.76</v>
      </c>
      <c r="P242" s="95"/>
    </row>
    <row r="243" spans="1:16" ht="25.2" customHeight="1" x14ac:dyDescent="0.3">
      <c r="A243" s="1"/>
      <c r="I243" s="1">
        <f>0.14*Table11819202310303132353839404148111518202831[[#This Row],[النولون]]</f>
        <v>0</v>
      </c>
      <c r="J243" s="1">
        <f>0.03*Table11819202310303132353839404148111518202831[[#This Row],[النولون]]</f>
        <v>0</v>
      </c>
      <c r="L24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43" s="1">
        <f>N242+Table11819202310303132353839404148111518202831[[#This Row],[اجمالي الفاتوره]]-Table11819202310303132353839404148111518202831[[#This Row],[الدفعات]]</f>
        <v>136976.76</v>
      </c>
      <c r="P243" s="95"/>
    </row>
    <row r="244" spans="1:16" ht="25.2" customHeight="1" x14ac:dyDescent="0.3">
      <c r="A244" s="1"/>
      <c r="I244" s="1">
        <f>0.14*Table11819202310303132353839404148111518202831[[#This Row],[النولون]]</f>
        <v>0</v>
      </c>
      <c r="J244" s="1">
        <f>0.03*Table11819202310303132353839404148111518202831[[#This Row],[النولون]]</f>
        <v>0</v>
      </c>
      <c r="L24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44" s="1">
        <f>N243+Table11819202310303132353839404148111518202831[[#This Row],[اجمالي الفاتوره]]-Table11819202310303132353839404148111518202831[[#This Row],[الدفعات]]</f>
        <v>136976.76</v>
      </c>
      <c r="P244" s="95"/>
    </row>
    <row r="245" spans="1:16" ht="25.2" customHeight="1" x14ac:dyDescent="0.3">
      <c r="A245" s="1"/>
      <c r="I245" s="1">
        <f>0.14*Table11819202310303132353839404148111518202831[[#This Row],[النولون]]</f>
        <v>0</v>
      </c>
      <c r="J245" s="1">
        <f>0.03*Table11819202310303132353839404148111518202831[[#This Row],[النولون]]</f>
        <v>0</v>
      </c>
      <c r="L24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45" s="1">
        <f>N244+Table11819202310303132353839404148111518202831[[#This Row],[اجمالي الفاتوره]]-Table11819202310303132353839404148111518202831[[#This Row],[الدفعات]]</f>
        <v>136976.76</v>
      </c>
      <c r="P245" s="95"/>
    </row>
    <row r="246" spans="1:16" ht="25.2" customHeight="1" x14ac:dyDescent="0.3">
      <c r="A246" s="1"/>
      <c r="I246" s="1">
        <f>0.14*Table11819202310303132353839404148111518202831[[#This Row],[النولون]]</f>
        <v>0</v>
      </c>
      <c r="J246" s="1">
        <f>0.03*Table11819202310303132353839404148111518202831[[#This Row],[النولون]]</f>
        <v>0</v>
      </c>
      <c r="L24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46" s="1">
        <f>N245+Table11819202310303132353839404148111518202831[[#This Row],[اجمالي الفاتوره]]-Table11819202310303132353839404148111518202831[[#This Row],[الدفعات]]</f>
        <v>136976.76</v>
      </c>
      <c r="P246" s="95"/>
    </row>
    <row r="247" spans="1:16" ht="25.2" customHeight="1" x14ac:dyDescent="0.3">
      <c r="A247" s="1"/>
      <c r="I247" s="1">
        <f>0.14*Table11819202310303132353839404148111518202831[[#This Row],[النولون]]</f>
        <v>0</v>
      </c>
      <c r="J247" s="1">
        <f>0.03*Table11819202310303132353839404148111518202831[[#This Row],[النولون]]</f>
        <v>0</v>
      </c>
      <c r="L24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47" s="1">
        <f>N246+Table11819202310303132353839404148111518202831[[#This Row],[اجمالي الفاتوره]]-Table11819202310303132353839404148111518202831[[#This Row],[الدفعات]]</f>
        <v>136976.76</v>
      </c>
      <c r="P247" s="95"/>
    </row>
    <row r="248" spans="1:16" ht="25.2" customHeight="1" x14ac:dyDescent="0.3">
      <c r="A248" s="1"/>
      <c r="I248" s="1">
        <f>0.14*Table11819202310303132353839404148111518202831[[#This Row],[النولون]]</f>
        <v>0</v>
      </c>
      <c r="J248" s="1">
        <f>0.03*Table11819202310303132353839404148111518202831[[#This Row],[النولون]]</f>
        <v>0</v>
      </c>
      <c r="L24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48" s="1">
        <f>N247+Table11819202310303132353839404148111518202831[[#This Row],[اجمالي الفاتوره]]-Table11819202310303132353839404148111518202831[[#This Row],[الدفعات]]</f>
        <v>136976.76</v>
      </c>
      <c r="P248" s="95"/>
    </row>
    <row r="249" spans="1:16" ht="25.2" customHeight="1" x14ac:dyDescent="0.3">
      <c r="A249" s="1"/>
      <c r="I249" s="1">
        <f>0.14*Table11819202310303132353839404148111518202831[[#This Row],[النولون]]</f>
        <v>0</v>
      </c>
      <c r="J249" s="1">
        <f>0.03*Table11819202310303132353839404148111518202831[[#This Row],[النولون]]</f>
        <v>0</v>
      </c>
      <c r="L24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49" s="1">
        <f>N248+Table11819202310303132353839404148111518202831[[#This Row],[اجمالي الفاتوره]]-Table11819202310303132353839404148111518202831[[#This Row],[الدفعات]]</f>
        <v>136976.76</v>
      </c>
      <c r="P249" s="95"/>
    </row>
    <row r="250" spans="1:16" ht="25.2" customHeight="1" x14ac:dyDescent="0.3">
      <c r="A250" s="1"/>
      <c r="I250" s="1">
        <f>0.14*Table11819202310303132353839404148111518202831[[#This Row],[النولون]]</f>
        <v>0</v>
      </c>
      <c r="J250" s="1">
        <f>0.03*Table11819202310303132353839404148111518202831[[#This Row],[النولون]]</f>
        <v>0</v>
      </c>
      <c r="L25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50" s="1">
        <f>N249+Table11819202310303132353839404148111518202831[[#This Row],[اجمالي الفاتوره]]-Table11819202310303132353839404148111518202831[[#This Row],[الدفعات]]</f>
        <v>136976.76</v>
      </c>
      <c r="P250" s="95"/>
    </row>
    <row r="251" spans="1:16" ht="25.2" customHeight="1" x14ac:dyDescent="0.3">
      <c r="A251" s="1"/>
      <c r="I251" s="1">
        <f>0.14*Table11819202310303132353839404148111518202831[[#This Row],[النولون]]</f>
        <v>0</v>
      </c>
      <c r="J251" s="1">
        <f>0.03*Table11819202310303132353839404148111518202831[[#This Row],[النولون]]</f>
        <v>0</v>
      </c>
      <c r="L25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51" s="1">
        <f>N250+Table11819202310303132353839404148111518202831[[#This Row],[اجمالي الفاتوره]]-Table11819202310303132353839404148111518202831[[#This Row],[الدفعات]]</f>
        <v>136976.76</v>
      </c>
      <c r="P251" s="95"/>
    </row>
    <row r="252" spans="1:16" ht="25.2" customHeight="1" x14ac:dyDescent="0.3">
      <c r="A252" s="1"/>
      <c r="I252" s="1">
        <f>0.14*Table11819202310303132353839404148111518202831[[#This Row],[النولون]]</f>
        <v>0</v>
      </c>
      <c r="J252" s="1">
        <f>0.03*Table11819202310303132353839404148111518202831[[#This Row],[النولون]]</f>
        <v>0</v>
      </c>
      <c r="L25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52" s="1">
        <f>N251+Table11819202310303132353839404148111518202831[[#This Row],[اجمالي الفاتوره]]-Table11819202310303132353839404148111518202831[[#This Row],[الدفعات]]</f>
        <v>136976.76</v>
      </c>
      <c r="P252" s="95"/>
    </row>
    <row r="253" spans="1:16" ht="25.2" customHeight="1" x14ac:dyDescent="0.3">
      <c r="A253" s="1"/>
      <c r="I253" s="1">
        <f>0.14*Table11819202310303132353839404148111518202831[[#This Row],[النولون]]</f>
        <v>0</v>
      </c>
      <c r="J253" s="1">
        <f>0.03*Table11819202310303132353839404148111518202831[[#This Row],[النولون]]</f>
        <v>0</v>
      </c>
      <c r="L25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53" s="1">
        <f>N252+Table11819202310303132353839404148111518202831[[#This Row],[اجمالي الفاتوره]]-Table11819202310303132353839404148111518202831[[#This Row],[الدفعات]]</f>
        <v>136976.76</v>
      </c>
      <c r="P253" s="95"/>
    </row>
    <row r="254" spans="1:16" ht="25.2" customHeight="1" x14ac:dyDescent="0.3">
      <c r="A254" s="1"/>
      <c r="I254" s="1">
        <f>0.14*Table11819202310303132353839404148111518202831[[#This Row],[النولون]]</f>
        <v>0</v>
      </c>
      <c r="J254" s="1">
        <f>0.03*Table11819202310303132353839404148111518202831[[#This Row],[النولون]]</f>
        <v>0</v>
      </c>
      <c r="L25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54" s="1">
        <f>N253+Table11819202310303132353839404148111518202831[[#This Row],[اجمالي الفاتوره]]-Table11819202310303132353839404148111518202831[[#This Row],[الدفعات]]</f>
        <v>136976.76</v>
      </c>
      <c r="P254" s="95"/>
    </row>
    <row r="255" spans="1:16" ht="25.2" customHeight="1" x14ac:dyDescent="0.3">
      <c r="A255" s="1"/>
      <c r="I255" s="1">
        <f>0.14*Table11819202310303132353839404148111518202831[[#This Row],[النولون]]</f>
        <v>0</v>
      </c>
      <c r="J255" s="1">
        <f>0.03*Table11819202310303132353839404148111518202831[[#This Row],[النولون]]</f>
        <v>0</v>
      </c>
      <c r="L25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55" s="1">
        <f>N254+Table11819202310303132353839404148111518202831[[#This Row],[اجمالي الفاتوره]]-Table11819202310303132353839404148111518202831[[#This Row],[الدفعات]]</f>
        <v>136976.76</v>
      </c>
      <c r="P255" s="95"/>
    </row>
    <row r="256" spans="1:16" ht="25.2" customHeight="1" x14ac:dyDescent="0.3">
      <c r="A256" s="1"/>
      <c r="I256" s="1">
        <f>0.14*Table11819202310303132353839404148111518202831[[#This Row],[النولون]]</f>
        <v>0</v>
      </c>
      <c r="J256" s="1">
        <f>0.03*Table11819202310303132353839404148111518202831[[#This Row],[النولون]]</f>
        <v>0</v>
      </c>
      <c r="L25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56" s="1">
        <f>N255+Table11819202310303132353839404148111518202831[[#This Row],[اجمالي الفاتوره]]-Table11819202310303132353839404148111518202831[[#This Row],[الدفعات]]</f>
        <v>136976.76</v>
      </c>
      <c r="P256" s="95"/>
    </row>
    <row r="257" spans="1:16" ht="25.2" customHeight="1" x14ac:dyDescent="0.3">
      <c r="A257" s="1"/>
      <c r="I257" s="1">
        <f>0.14*Table11819202310303132353839404148111518202831[[#This Row],[النولون]]</f>
        <v>0</v>
      </c>
      <c r="J257" s="1">
        <f>0.03*Table11819202310303132353839404148111518202831[[#This Row],[النولون]]</f>
        <v>0</v>
      </c>
      <c r="L25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57" s="1">
        <f>N256+Table11819202310303132353839404148111518202831[[#This Row],[اجمالي الفاتوره]]-Table11819202310303132353839404148111518202831[[#This Row],[الدفعات]]</f>
        <v>136976.76</v>
      </c>
      <c r="P257" s="95"/>
    </row>
    <row r="258" spans="1:16" ht="25.2" customHeight="1" x14ac:dyDescent="0.3">
      <c r="A258" s="1"/>
      <c r="I258" s="1">
        <f>0.14*Table11819202310303132353839404148111518202831[[#This Row],[النولون]]</f>
        <v>0</v>
      </c>
      <c r="J258" s="1">
        <f>0.03*Table11819202310303132353839404148111518202831[[#This Row],[النولون]]</f>
        <v>0</v>
      </c>
      <c r="L25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58" s="1">
        <f>N257+Table11819202310303132353839404148111518202831[[#This Row],[اجمالي الفاتوره]]-Table11819202310303132353839404148111518202831[[#This Row],[الدفعات]]</f>
        <v>136976.76</v>
      </c>
      <c r="P258" s="95"/>
    </row>
    <row r="259" spans="1:16" ht="25.2" customHeight="1" x14ac:dyDescent="0.3">
      <c r="A259" s="1"/>
      <c r="I259" s="1">
        <f>0.14*Table11819202310303132353839404148111518202831[[#This Row],[النولون]]</f>
        <v>0</v>
      </c>
      <c r="J259" s="1">
        <f>0.03*Table11819202310303132353839404148111518202831[[#This Row],[النولون]]</f>
        <v>0</v>
      </c>
      <c r="L25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59" s="1">
        <f>N258+Table11819202310303132353839404148111518202831[[#This Row],[اجمالي الفاتوره]]-Table11819202310303132353839404148111518202831[[#This Row],[الدفعات]]</f>
        <v>136976.76</v>
      </c>
      <c r="P259" s="95"/>
    </row>
    <row r="260" spans="1:16" ht="25.2" customHeight="1" x14ac:dyDescent="0.3">
      <c r="A260" s="1"/>
      <c r="I260" s="1">
        <f>0.14*Table11819202310303132353839404148111518202831[[#This Row],[النولون]]</f>
        <v>0</v>
      </c>
      <c r="J260" s="1">
        <f>0.03*Table11819202310303132353839404148111518202831[[#This Row],[النولون]]</f>
        <v>0</v>
      </c>
      <c r="L26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60" s="1">
        <f>N259+Table11819202310303132353839404148111518202831[[#This Row],[اجمالي الفاتوره]]-Table11819202310303132353839404148111518202831[[#This Row],[الدفعات]]</f>
        <v>136976.76</v>
      </c>
      <c r="P260" s="95"/>
    </row>
    <row r="261" spans="1:16" ht="25.2" customHeight="1" x14ac:dyDescent="0.3">
      <c r="A261" s="1"/>
      <c r="I261" s="1">
        <f>0.14*Table11819202310303132353839404148111518202831[[#This Row],[النولون]]</f>
        <v>0</v>
      </c>
      <c r="J261" s="1">
        <f>0.03*Table11819202310303132353839404148111518202831[[#This Row],[النولون]]</f>
        <v>0</v>
      </c>
      <c r="L26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61" s="1">
        <f>N260+Table11819202310303132353839404148111518202831[[#This Row],[اجمالي الفاتوره]]-Table11819202310303132353839404148111518202831[[#This Row],[الدفعات]]</f>
        <v>136976.76</v>
      </c>
      <c r="P261" s="95"/>
    </row>
    <row r="262" spans="1:16" ht="25.2" customHeight="1" x14ac:dyDescent="0.3">
      <c r="A262" s="1"/>
      <c r="I262" s="1">
        <f>0.14*Table11819202310303132353839404148111518202831[[#This Row],[النولون]]</f>
        <v>0</v>
      </c>
      <c r="J262" s="1">
        <f>0.03*Table11819202310303132353839404148111518202831[[#This Row],[النولون]]</f>
        <v>0</v>
      </c>
      <c r="L26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62" s="1">
        <f>N261+Table11819202310303132353839404148111518202831[[#This Row],[اجمالي الفاتوره]]-Table11819202310303132353839404148111518202831[[#This Row],[الدفعات]]</f>
        <v>136976.76</v>
      </c>
      <c r="P262" s="95"/>
    </row>
    <row r="263" spans="1:16" ht="25.2" customHeight="1" x14ac:dyDescent="0.3">
      <c r="A263" s="1"/>
      <c r="I263" s="1">
        <f>0.14*Table11819202310303132353839404148111518202831[[#This Row],[النولون]]</f>
        <v>0</v>
      </c>
      <c r="J263" s="1">
        <f>0.03*Table11819202310303132353839404148111518202831[[#This Row],[النولون]]</f>
        <v>0</v>
      </c>
      <c r="L26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63" s="1">
        <f>N262+Table11819202310303132353839404148111518202831[[#This Row],[اجمالي الفاتوره]]-Table11819202310303132353839404148111518202831[[#This Row],[الدفعات]]</f>
        <v>136976.76</v>
      </c>
      <c r="P263" s="95"/>
    </row>
    <row r="264" spans="1:16" ht="25.2" customHeight="1" x14ac:dyDescent="0.3">
      <c r="A264" s="1"/>
      <c r="I264" s="1">
        <f>0.14*Table11819202310303132353839404148111518202831[[#This Row],[النولون]]</f>
        <v>0</v>
      </c>
      <c r="J264" s="1">
        <f>0.03*Table11819202310303132353839404148111518202831[[#This Row],[النولون]]</f>
        <v>0</v>
      </c>
      <c r="L26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64" s="1">
        <f>N263+Table11819202310303132353839404148111518202831[[#This Row],[اجمالي الفاتوره]]-Table11819202310303132353839404148111518202831[[#This Row],[الدفعات]]</f>
        <v>136976.76</v>
      </c>
      <c r="P264" s="95"/>
    </row>
    <row r="265" spans="1:16" ht="25.2" customHeight="1" x14ac:dyDescent="0.3">
      <c r="A265" s="1"/>
      <c r="I265" s="1">
        <f>0.14*Table11819202310303132353839404148111518202831[[#This Row],[النولون]]</f>
        <v>0</v>
      </c>
      <c r="J265" s="1">
        <f>0.03*Table11819202310303132353839404148111518202831[[#This Row],[النولون]]</f>
        <v>0</v>
      </c>
      <c r="L26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65" s="1">
        <f>N264+Table11819202310303132353839404148111518202831[[#This Row],[اجمالي الفاتوره]]-Table11819202310303132353839404148111518202831[[#This Row],[الدفعات]]</f>
        <v>136976.76</v>
      </c>
      <c r="P265" s="95"/>
    </row>
    <row r="266" spans="1:16" ht="25.2" customHeight="1" x14ac:dyDescent="0.3">
      <c r="A266" s="1"/>
      <c r="I266" s="1">
        <f>0.14*Table11819202310303132353839404148111518202831[[#This Row],[النولون]]</f>
        <v>0</v>
      </c>
      <c r="J266" s="1">
        <f>0.03*Table11819202310303132353839404148111518202831[[#This Row],[النولون]]</f>
        <v>0</v>
      </c>
      <c r="L26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66" s="1">
        <f>N265+Table11819202310303132353839404148111518202831[[#This Row],[اجمالي الفاتوره]]-Table11819202310303132353839404148111518202831[[#This Row],[الدفعات]]</f>
        <v>136976.76</v>
      </c>
      <c r="P266" s="95"/>
    </row>
    <row r="267" spans="1:16" ht="25.2" customHeight="1" x14ac:dyDescent="0.3">
      <c r="A267" s="1"/>
      <c r="I267" s="1">
        <f>0.14*Table11819202310303132353839404148111518202831[[#This Row],[النولون]]</f>
        <v>0</v>
      </c>
      <c r="J267" s="1">
        <f>0.03*Table11819202310303132353839404148111518202831[[#This Row],[النولون]]</f>
        <v>0</v>
      </c>
      <c r="L26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67" s="1">
        <f>N266+Table11819202310303132353839404148111518202831[[#This Row],[اجمالي الفاتوره]]-Table11819202310303132353839404148111518202831[[#This Row],[الدفعات]]</f>
        <v>136976.76</v>
      </c>
      <c r="P267" s="95"/>
    </row>
    <row r="268" spans="1:16" ht="25.2" customHeight="1" x14ac:dyDescent="0.3">
      <c r="A268" s="1"/>
      <c r="I268" s="1">
        <f>0.14*Table11819202310303132353839404148111518202831[[#This Row],[النولون]]</f>
        <v>0</v>
      </c>
      <c r="J268" s="1">
        <f>0.03*Table11819202310303132353839404148111518202831[[#This Row],[النولون]]</f>
        <v>0</v>
      </c>
      <c r="L26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68" s="1">
        <f>N267+Table11819202310303132353839404148111518202831[[#This Row],[اجمالي الفاتوره]]-Table11819202310303132353839404148111518202831[[#This Row],[الدفعات]]</f>
        <v>136976.76</v>
      </c>
      <c r="P268" s="95"/>
    </row>
    <row r="269" spans="1:16" ht="25.2" customHeight="1" x14ac:dyDescent="0.3">
      <c r="A269" s="1"/>
      <c r="I269" s="1">
        <f>0.14*Table11819202310303132353839404148111518202831[[#This Row],[النولون]]</f>
        <v>0</v>
      </c>
      <c r="J269" s="1">
        <f>0.03*Table11819202310303132353839404148111518202831[[#This Row],[النولون]]</f>
        <v>0</v>
      </c>
      <c r="L26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69" s="1">
        <f>N268+Table11819202310303132353839404148111518202831[[#This Row],[اجمالي الفاتوره]]-Table11819202310303132353839404148111518202831[[#This Row],[الدفعات]]</f>
        <v>136976.76</v>
      </c>
      <c r="P269" s="95"/>
    </row>
    <row r="270" spans="1:16" ht="25.2" customHeight="1" x14ac:dyDescent="0.3">
      <c r="A270" s="1"/>
      <c r="I270" s="1">
        <f>0.14*Table11819202310303132353839404148111518202831[[#This Row],[النولون]]</f>
        <v>0</v>
      </c>
      <c r="J270" s="1">
        <f>0.03*Table11819202310303132353839404148111518202831[[#This Row],[النولون]]</f>
        <v>0</v>
      </c>
      <c r="L27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70" s="1">
        <f>N269+Table11819202310303132353839404148111518202831[[#This Row],[اجمالي الفاتوره]]-Table11819202310303132353839404148111518202831[[#This Row],[الدفعات]]</f>
        <v>136976.76</v>
      </c>
      <c r="P270" s="95"/>
    </row>
    <row r="271" spans="1:16" ht="25.2" customHeight="1" x14ac:dyDescent="0.3">
      <c r="A271" s="1"/>
      <c r="I271" s="1">
        <f>0.14*Table11819202310303132353839404148111518202831[[#This Row],[النولون]]</f>
        <v>0</v>
      </c>
      <c r="J271" s="1">
        <f>0.03*Table11819202310303132353839404148111518202831[[#This Row],[النولون]]</f>
        <v>0</v>
      </c>
      <c r="L27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71" s="1">
        <f>N270+Table11819202310303132353839404148111518202831[[#This Row],[اجمالي الفاتوره]]-Table11819202310303132353839404148111518202831[[#This Row],[الدفعات]]</f>
        <v>136976.76</v>
      </c>
      <c r="P271" s="95"/>
    </row>
    <row r="272" spans="1:16" ht="25.2" customHeight="1" x14ac:dyDescent="0.3">
      <c r="A272" s="1"/>
      <c r="I272" s="1">
        <f>0.14*Table11819202310303132353839404148111518202831[[#This Row],[النولون]]</f>
        <v>0</v>
      </c>
      <c r="J272" s="1">
        <f>0.03*Table11819202310303132353839404148111518202831[[#This Row],[النولون]]</f>
        <v>0</v>
      </c>
      <c r="L27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72" s="1">
        <f>N271+Table11819202310303132353839404148111518202831[[#This Row],[اجمالي الفاتوره]]-Table11819202310303132353839404148111518202831[[#This Row],[الدفعات]]</f>
        <v>136976.76</v>
      </c>
      <c r="P272" s="95"/>
    </row>
    <row r="273" spans="1:16" ht="25.2" customHeight="1" x14ac:dyDescent="0.3">
      <c r="A273" s="1"/>
      <c r="I273" s="1">
        <f>0.14*Table11819202310303132353839404148111518202831[[#This Row],[النولون]]</f>
        <v>0</v>
      </c>
      <c r="J273" s="1">
        <f>0.03*Table11819202310303132353839404148111518202831[[#This Row],[النولون]]</f>
        <v>0</v>
      </c>
      <c r="L27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73" s="1">
        <f>N272+Table11819202310303132353839404148111518202831[[#This Row],[اجمالي الفاتوره]]-Table11819202310303132353839404148111518202831[[#This Row],[الدفعات]]</f>
        <v>136976.76</v>
      </c>
      <c r="P273" s="95"/>
    </row>
    <row r="274" spans="1:16" ht="25.2" customHeight="1" x14ac:dyDescent="0.3">
      <c r="A274" s="1"/>
      <c r="I274" s="1">
        <f>0.14*Table11819202310303132353839404148111518202831[[#This Row],[النولون]]</f>
        <v>0</v>
      </c>
      <c r="J274" s="1">
        <f>0.03*Table11819202310303132353839404148111518202831[[#This Row],[النولون]]</f>
        <v>0</v>
      </c>
      <c r="L27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74" s="1">
        <f>N273+Table11819202310303132353839404148111518202831[[#This Row],[اجمالي الفاتوره]]-Table11819202310303132353839404148111518202831[[#This Row],[الدفعات]]</f>
        <v>136976.76</v>
      </c>
      <c r="P274" s="95"/>
    </row>
    <row r="275" spans="1:16" ht="25.2" customHeight="1" x14ac:dyDescent="0.3">
      <c r="A275" s="1"/>
      <c r="I275" s="1">
        <f>0.14*Table11819202310303132353839404148111518202831[[#This Row],[النولون]]</f>
        <v>0</v>
      </c>
      <c r="J275" s="1">
        <f>0.03*Table11819202310303132353839404148111518202831[[#This Row],[النولون]]</f>
        <v>0</v>
      </c>
      <c r="L27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75" s="1">
        <f>N274+Table11819202310303132353839404148111518202831[[#This Row],[اجمالي الفاتوره]]-Table11819202310303132353839404148111518202831[[#This Row],[الدفعات]]</f>
        <v>136976.76</v>
      </c>
      <c r="P275" s="95"/>
    </row>
    <row r="276" spans="1:16" ht="25.2" customHeight="1" x14ac:dyDescent="0.3">
      <c r="A276" s="1"/>
      <c r="I276" s="1">
        <f>0.14*Table11819202310303132353839404148111518202831[[#This Row],[النولون]]</f>
        <v>0</v>
      </c>
      <c r="J276" s="1">
        <f>0.03*Table11819202310303132353839404148111518202831[[#This Row],[النولون]]</f>
        <v>0</v>
      </c>
      <c r="L27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76" s="1">
        <f>N275+Table11819202310303132353839404148111518202831[[#This Row],[اجمالي الفاتوره]]-Table11819202310303132353839404148111518202831[[#This Row],[الدفعات]]</f>
        <v>136976.76</v>
      </c>
      <c r="P276" s="95"/>
    </row>
    <row r="277" spans="1:16" ht="25.2" customHeight="1" x14ac:dyDescent="0.3">
      <c r="A277" s="1"/>
      <c r="I277" s="1">
        <f>0.14*Table11819202310303132353839404148111518202831[[#This Row],[النولون]]</f>
        <v>0</v>
      </c>
      <c r="J277" s="1">
        <f>0.03*Table11819202310303132353839404148111518202831[[#This Row],[النولون]]</f>
        <v>0</v>
      </c>
      <c r="L27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77" s="1">
        <f>N276+Table11819202310303132353839404148111518202831[[#This Row],[اجمالي الفاتوره]]-Table11819202310303132353839404148111518202831[[#This Row],[الدفعات]]</f>
        <v>136976.76</v>
      </c>
      <c r="P277" s="95"/>
    </row>
    <row r="278" spans="1:16" ht="25.2" customHeight="1" x14ac:dyDescent="0.3">
      <c r="A278" s="1"/>
      <c r="I278" s="1">
        <f>0.14*Table11819202310303132353839404148111518202831[[#This Row],[النولون]]</f>
        <v>0</v>
      </c>
      <c r="J278" s="1">
        <f>0.03*Table11819202310303132353839404148111518202831[[#This Row],[النولون]]</f>
        <v>0</v>
      </c>
      <c r="L27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78" s="1">
        <f>N277+Table11819202310303132353839404148111518202831[[#This Row],[اجمالي الفاتوره]]-Table11819202310303132353839404148111518202831[[#This Row],[الدفعات]]</f>
        <v>136976.76</v>
      </c>
      <c r="P278" s="95"/>
    </row>
    <row r="279" spans="1:16" ht="25.2" customHeight="1" x14ac:dyDescent="0.3">
      <c r="A279" s="1"/>
      <c r="I279" s="1">
        <f>0.14*Table11819202310303132353839404148111518202831[[#This Row],[النولون]]</f>
        <v>0</v>
      </c>
      <c r="J279" s="1">
        <f>0.03*Table11819202310303132353839404148111518202831[[#This Row],[النولون]]</f>
        <v>0</v>
      </c>
      <c r="L27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79" s="1">
        <f>N278+Table11819202310303132353839404148111518202831[[#This Row],[اجمالي الفاتوره]]-Table11819202310303132353839404148111518202831[[#This Row],[الدفعات]]</f>
        <v>136976.76</v>
      </c>
      <c r="P279" s="95"/>
    </row>
    <row r="280" spans="1:16" ht="25.2" customHeight="1" x14ac:dyDescent="0.3">
      <c r="A280" s="1"/>
      <c r="I280" s="1">
        <f>0.14*Table11819202310303132353839404148111518202831[[#This Row],[النولون]]</f>
        <v>0</v>
      </c>
      <c r="J280" s="1">
        <f>0.03*Table11819202310303132353839404148111518202831[[#This Row],[النولون]]</f>
        <v>0</v>
      </c>
      <c r="L28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80" s="1">
        <f>N279+Table11819202310303132353839404148111518202831[[#This Row],[اجمالي الفاتوره]]-Table11819202310303132353839404148111518202831[[#This Row],[الدفعات]]</f>
        <v>136976.76</v>
      </c>
      <c r="P280" s="95"/>
    </row>
    <row r="281" spans="1:16" ht="25.2" customHeight="1" x14ac:dyDescent="0.3">
      <c r="A281" s="1"/>
      <c r="I281" s="1">
        <f>0.14*Table11819202310303132353839404148111518202831[[#This Row],[النولون]]</f>
        <v>0</v>
      </c>
      <c r="J281" s="1">
        <f>0.03*Table11819202310303132353839404148111518202831[[#This Row],[النولون]]</f>
        <v>0</v>
      </c>
      <c r="L28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81" s="1">
        <f>N280+Table11819202310303132353839404148111518202831[[#This Row],[اجمالي الفاتوره]]-Table11819202310303132353839404148111518202831[[#This Row],[الدفعات]]</f>
        <v>136976.76</v>
      </c>
      <c r="P281" s="95"/>
    </row>
    <row r="282" spans="1:16" ht="25.2" customHeight="1" x14ac:dyDescent="0.3">
      <c r="A282" s="1"/>
      <c r="I282" s="1">
        <f>0.14*Table11819202310303132353839404148111518202831[[#This Row],[النولون]]</f>
        <v>0</v>
      </c>
      <c r="J282" s="1">
        <f>0.03*Table11819202310303132353839404148111518202831[[#This Row],[النولون]]</f>
        <v>0</v>
      </c>
      <c r="L28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82" s="1">
        <f>N281+Table11819202310303132353839404148111518202831[[#This Row],[اجمالي الفاتوره]]-Table11819202310303132353839404148111518202831[[#This Row],[الدفعات]]</f>
        <v>136976.76</v>
      </c>
      <c r="P282" s="95"/>
    </row>
    <row r="283" spans="1:16" ht="25.2" customHeight="1" x14ac:dyDescent="0.3">
      <c r="A283" s="1"/>
      <c r="I283" s="1">
        <f>0.14*Table11819202310303132353839404148111518202831[[#This Row],[النولون]]</f>
        <v>0</v>
      </c>
      <c r="J283" s="1">
        <f>0.03*Table11819202310303132353839404148111518202831[[#This Row],[النولون]]</f>
        <v>0</v>
      </c>
      <c r="L28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83" s="1">
        <f>N282+Table11819202310303132353839404148111518202831[[#This Row],[اجمالي الفاتوره]]-Table11819202310303132353839404148111518202831[[#This Row],[الدفعات]]</f>
        <v>136976.76</v>
      </c>
      <c r="P283" s="95"/>
    </row>
    <row r="284" spans="1:16" ht="25.2" customHeight="1" x14ac:dyDescent="0.3">
      <c r="A284" s="1"/>
      <c r="I284" s="1">
        <f>0.14*Table11819202310303132353839404148111518202831[[#This Row],[النولون]]</f>
        <v>0</v>
      </c>
      <c r="J284" s="1">
        <f>0.03*Table11819202310303132353839404148111518202831[[#This Row],[النولون]]</f>
        <v>0</v>
      </c>
      <c r="L28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84" s="1">
        <f>N283+Table11819202310303132353839404148111518202831[[#This Row],[اجمالي الفاتوره]]-Table11819202310303132353839404148111518202831[[#This Row],[الدفعات]]</f>
        <v>136976.76</v>
      </c>
      <c r="P284" s="95"/>
    </row>
    <row r="285" spans="1:16" ht="25.2" customHeight="1" x14ac:dyDescent="0.3">
      <c r="A285" s="1"/>
      <c r="I285" s="1">
        <f>0.14*Table11819202310303132353839404148111518202831[[#This Row],[النولون]]</f>
        <v>0</v>
      </c>
      <c r="J285" s="1">
        <f>0.03*Table11819202310303132353839404148111518202831[[#This Row],[النولون]]</f>
        <v>0</v>
      </c>
      <c r="L28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85" s="1">
        <f>N284+Table11819202310303132353839404148111518202831[[#This Row],[اجمالي الفاتوره]]-Table11819202310303132353839404148111518202831[[#This Row],[الدفعات]]</f>
        <v>136976.76</v>
      </c>
      <c r="P285" s="95"/>
    </row>
    <row r="286" spans="1:16" ht="25.2" customHeight="1" x14ac:dyDescent="0.3">
      <c r="A286" s="1"/>
      <c r="I286" s="1">
        <f>0.14*Table11819202310303132353839404148111518202831[[#This Row],[النولون]]</f>
        <v>0</v>
      </c>
      <c r="J286" s="1">
        <f>0.03*Table11819202310303132353839404148111518202831[[#This Row],[النولون]]</f>
        <v>0</v>
      </c>
      <c r="L28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86" s="1">
        <f>N285+Table11819202310303132353839404148111518202831[[#This Row],[اجمالي الفاتوره]]-Table11819202310303132353839404148111518202831[[#This Row],[الدفعات]]</f>
        <v>136976.76</v>
      </c>
      <c r="P286" s="95"/>
    </row>
    <row r="287" spans="1:16" ht="25.2" customHeight="1" x14ac:dyDescent="0.3">
      <c r="A287" s="1"/>
      <c r="I287" s="1">
        <f>0.14*Table11819202310303132353839404148111518202831[[#This Row],[النولون]]</f>
        <v>0</v>
      </c>
      <c r="J287" s="1">
        <f>0.03*Table11819202310303132353839404148111518202831[[#This Row],[النولون]]</f>
        <v>0</v>
      </c>
      <c r="L28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87" s="1">
        <f>N286+Table11819202310303132353839404148111518202831[[#This Row],[اجمالي الفاتوره]]-Table11819202310303132353839404148111518202831[[#This Row],[الدفعات]]</f>
        <v>136976.76</v>
      </c>
      <c r="P287" s="95"/>
    </row>
    <row r="288" spans="1:16" ht="25.2" customHeight="1" x14ac:dyDescent="0.3">
      <c r="A288" s="1"/>
      <c r="I288" s="1">
        <f>0.14*Table11819202310303132353839404148111518202831[[#This Row],[النولون]]</f>
        <v>0</v>
      </c>
      <c r="J288" s="1">
        <f>0.03*Table11819202310303132353839404148111518202831[[#This Row],[النولون]]</f>
        <v>0</v>
      </c>
      <c r="L28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88" s="1">
        <f>N287+Table11819202310303132353839404148111518202831[[#This Row],[اجمالي الفاتوره]]-Table11819202310303132353839404148111518202831[[#This Row],[الدفعات]]</f>
        <v>136976.76</v>
      </c>
      <c r="P288" s="95"/>
    </row>
    <row r="289" spans="1:16" ht="25.2" customHeight="1" x14ac:dyDescent="0.3">
      <c r="A289" s="1"/>
      <c r="I289" s="1">
        <f>0.14*Table11819202310303132353839404148111518202831[[#This Row],[النولون]]</f>
        <v>0</v>
      </c>
      <c r="J289" s="1">
        <f>0.03*Table11819202310303132353839404148111518202831[[#This Row],[النولون]]</f>
        <v>0</v>
      </c>
      <c r="L28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89" s="1">
        <f>N288+Table11819202310303132353839404148111518202831[[#This Row],[اجمالي الفاتوره]]-Table11819202310303132353839404148111518202831[[#This Row],[الدفعات]]</f>
        <v>136976.76</v>
      </c>
      <c r="P289" s="95"/>
    </row>
    <row r="290" spans="1:16" ht="25.2" customHeight="1" x14ac:dyDescent="0.3">
      <c r="A290" s="1"/>
      <c r="I290" s="1">
        <f>0.14*Table11819202310303132353839404148111518202831[[#This Row],[النولون]]</f>
        <v>0</v>
      </c>
      <c r="J290" s="1">
        <f>0.03*Table11819202310303132353839404148111518202831[[#This Row],[النولون]]</f>
        <v>0</v>
      </c>
      <c r="L29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90" s="1">
        <f>N289+Table11819202310303132353839404148111518202831[[#This Row],[اجمالي الفاتوره]]-Table11819202310303132353839404148111518202831[[#This Row],[الدفعات]]</f>
        <v>136976.76</v>
      </c>
      <c r="P290" s="95"/>
    </row>
    <row r="291" spans="1:16" ht="25.2" customHeight="1" x14ac:dyDescent="0.3">
      <c r="A291" s="1"/>
      <c r="I291" s="1">
        <f>0.14*Table11819202310303132353839404148111518202831[[#This Row],[النولون]]</f>
        <v>0</v>
      </c>
      <c r="J291" s="1">
        <f>0.03*Table11819202310303132353839404148111518202831[[#This Row],[النولون]]</f>
        <v>0</v>
      </c>
      <c r="L29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91" s="1">
        <f>N290+Table11819202310303132353839404148111518202831[[#This Row],[اجمالي الفاتوره]]-Table11819202310303132353839404148111518202831[[#This Row],[الدفعات]]</f>
        <v>136976.76</v>
      </c>
      <c r="P291" s="95"/>
    </row>
    <row r="292" spans="1:16" ht="25.2" customHeight="1" x14ac:dyDescent="0.3">
      <c r="A292" s="1"/>
      <c r="I292" s="1">
        <f>0.14*Table11819202310303132353839404148111518202831[[#This Row],[النولون]]</f>
        <v>0</v>
      </c>
      <c r="J292" s="1">
        <f>0.03*Table11819202310303132353839404148111518202831[[#This Row],[النولون]]</f>
        <v>0</v>
      </c>
      <c r="L29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92" s="1">
        <f>N291+Table11819202310303132353839404148111518202831[[#This Row],[اجمالي الفاتوره]]-Table11819202310303132353839404148111518202831[[#This Row],[الدفعات]]</f>
        <v>136976.76</v>
      </c>
      <c r="P292" s="95"/>
    </row>
    <row r="293" spans="1:16" ht="25.2" customHeight="1" x14ac:dyDescent="0.3">
      <c r="A293" s="1"/>
      <c r="I293" s="1">
        <f>0.14*Table11819202310303132353839404148111518202831[[#This Row],[النولون]]</f>
        <v>0</v>
      </c>
      <c r="J293" s="1">
        <f>0.03*Table11819202310303132353839404148111518202831[[#This Row],[النولون]]</f>
        <v>0</v>
      </c>
      <c r="L29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93" s="1">
        <f>N292+Table11819202310303132353839404148111518202831[[#This Row],[اجمالي الفاتوره]]-Table11819202310303132353839404148111518202831[[#This Row],[الدفعات]]</f>
        <v>136976.76</v>
      </c>
      <c r="P293" s="95"/>
    </row>
    <row r="294" spans="1:16" ht="25.2" customHeight="1" x14ac:dyDescent="0.3">
      <c r="A294" s="1"/>
      <c r="I294" s="1">
        <f>0.14*Table11819202310303132353839404148111518202831[[#This Row],[النولون]]</f>
        <v>0</v>
      </c>
      <c r="J294" s="1">
        <f>0.03*Table11819202310303132353839404148111518202831[[#This Row],[النولون]]</f>
        <v>0</v>
      </c>
      <c r="L29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94" s="1">
        <f>N293+Table11819202310303132353839404148111518202831[[#This Row],[اجمالي الفاتوره]]-Table11819202310303132353839404148111518202831[[#This Row],[الدفعات]]</f>
        <v>136976.76</v>
      </c>
      <c r="P294" s="95"/>
    </row>
    <row r="295" spans="1:16" ht="25.2" customHeight="1" x14ac:dyDescent="0.3">
      <c r="A295" s="1"/>
      <c r="I295" s="1">
        <f>0.14*Table11819202310303132353839404148111518202831[[#This Row],[النولون]]</f>
        <v>0</v>
      </c>
      <c r="J295" s="1">
        <f>0.03*Table11819202310303132353839404148111518202831[[#This Row],[النولون]]</f>
        <v>0</v>
      </c>
      <c r="L29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95" s="1">
        <f>N294+Table11819202310303132353839404148111518202831[[#This Row],[اجمالي الفاتوره]]-Table11819202310303132353839404148111518202831[[#This Row],[الدفعات]]</f>
        <v>136976.76</v>
      </c>
      <c r="P295" s="95"/>
    </row>
    <row r="296" spans="1:16" ht="25.2" customHeight="1" x14ac:dyDescent="0.3">
      <c r="A296" s="1"/>
      <c r="I296" s="1">
        <f>0.14*Table11819202310303132353839404148111518202831[[#This Row],[النولون]]</f>
        <v>0</v>
      </c>
      <c r="J296" s="1">
        <f>0.03*Table11819202310303132353839404148111518202831[[#This Row],[النولون]]</f>
        <v>0</v>
      </c>
      <c r="L29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96" s="1">
        <f>N295+Table11819202310303132353839404148111518202831[[#This Row],[اجمالي الفاتوره]]-Table11819202310303132353839404148111518202831[[#This Row],[الدفعات]]</f>
        <v>136976.76</v>
      </c>
      <c r="P296" s="95"/>
    </row>
    <row r="297" spans="1:16" ht="25.2" customHeight="1" x14ac:dyDescent="0.3">
      <c r="A297" s="1"/>
      <c r="I297" s="1">
        <f>0.14*Table11819202310303132353839404148111518202831[[#This Row],[النولون]]</f>
        <v>0</v>
      </c>
      <c r="J297" s="1">
        <f>0.03*Table11819202310303132353839404148111518202831[[#This Row],[النولون]]</f>
        <v>0</v>
      </c>
      <c r="L29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97" s="1">
        <f>N296+Table11819202310303132353839404148111518202831[[#This Row],[اجمالي الفاتوره]]-Table11819202310303132353839404148111518202831[[#This Row],[الدفعات]]</f>
        <v>136976.76</v>
      </c>
      <c r="P297" s="95"/>
    </row>
    <row r="298" spans="1:16" ht="25.2" customHeight="1" x14ac:dyDescent="0.3">
      <c r="A298" s="1"/>
      <c r="I298" s="1">
        <f>0.14*Table11819202310303132353839404148111518202831[[#This Row],[النولون]]</f>
        <v>0</v>
      </c>
      <c r="J298" s="1">
        <f>0.03*Table11819202310303132353839404148111518202831[[#This Row],[النولون]]</f>
        <v>0</v>
      </c>
      <c r="L29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98" s="1">
        <f>N297+Table11819202310303132353839404148111518202831[[#This Row],[اجمالي الفاتوره]]-Table11819202310303132353839404148111518202831[[#This Row],[الدفعات]]</f>
        <v>136976.76</v>
      </c>
      <c r="P298" s="95"/>
    </row>
    <row r="299" spans="1:16" ht="25.2" customHeight="1" x14ac:dyDescent="0.3">
      <c r="A299" s="1"/>
      <c r="I299" s="1">
        <f>0.14*Table11819202310303132353839404148111518202831[[#This Row],[النولون]]</f>
        <v>0</v>
      </c>
      <c r="J299" s="1">
        <f>0.03*Table11819202310303132353839404148111518202831[[#This Row],[النولون]]</f>
        <v>0</v>
      </c>
      <c r="L29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299" s="1">
        <f>N298+Table11819202310303132353839404148111518202831[[#This Row],[اجمالي الفاتوره]]-Table11819202310303132353839404148111518202831[[#This Row],[الدفعات]]</f>
        <v>136976.76</v>
      </c>
      <c r="P299" s="95"/>
    </row>
    <row r="300" spans="1:16" ht="25.2" customHeight="1" x14ac:dyDescent="0.3">
      <c r="A300" s="1"/>
      <c r="I300" s="1">
        <f>0.14*Table11819202310303132353839404148111518202831[[#This Row],[النولون]]</f>
        <v>0</v>
      </c>
      <c r="J300" s="1">
        <f>0.03*Table11819202310303132353839404148111518202831[[#This Row],[النولون]]</f>
        <v>0</v>
      </c>
      <c r="L30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00" s="1">
        <f>N299+Table11819202310303132353839404148111518202831[[#This Row],[اجمالي الفاتوره]]-Table11819202310303132353839404148111518202831[[#This Row],[الدفعات]]</f>
        <v>136976.76</v>
      </c>
      <c r="P300" s="95"/>
    </row>
    <row r="301" spans="1:16" ht="25.2" customHeight="1" x14ac:dyDescent="0.3">
      <c r="A301" s="1"/>
      <c r="I301" s="1">
        <f>0.14*Table11819202310303132353839404148111518202831[[#This Row],[النولون]]</f>
        <v>0</v>
      </c>
      <c r="J301" s="1">
        <f>0.03*Table11819202310303132353839404148111518202831[[#This Row],[النولون]]</f>
        <v>0</v>
      </c>
      <c r="L30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01" s="1">
        <f>N300+Table11819202310303132353839404148111518202831[[#This Row],[اجمالي الفاتوره]]-Table11819202310303132353839404148111518202831[[#This Row],[الدفعات]]</f>
        <v>136976.76</v>
      </c>
      <c r="P301" s="95"/>
    </row>
    <row r="302" spans="1:16" ht="25.2" customHeight="1" x14ac:dyDescent="0.3">
      <c r="A302" s="1"/>
      <c r="I302" s="1">
        <f>0.14*Table11819202310303132353839404148111518202831[[#This Row],[النولون]]</f>
        <v>0</v>
      </c>
      <c r="J302" s="1">
        <f>0.03*Table11819202310303132353839404148111518202831[[#This Row],[النولون]]</f>
        <v>0</v>
      </c>
      <c r="L30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02" s="1">
        <f>N301+Table11819202310303132353839404148111518202831[[#This Row],[اجمالي الفاتوره]]-Table11819202310303132353839404148111518202831[[#This Row],[الدفعات]]</f>
        <v>136976.76</v>
      </c>
      <c r="P302" s="95"/>
    </row>
    <row r="303" spans="1:16" ht="25.2" customHeight="1" x14ac:dyDescent="0.3">
      <c r="A303" s="1"/>
      <c r="I303" s="1">
        <f>0.14*Table11819202310303132353839404148111518202831[[#This Row],[النولون]]</f>
        <v>0</v>
      </c>
      <c r="J303" s="1">
        <f>0.03*Table11819202310303132353839404148111518202831[[#This Row],[النولون]]</f>
        <v>0</v>
      </c>
      <c r="L30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03" s="1">
        <f>N302+Table11819202310303132353839404148111518202831[[#This Row],[اجمالي الفاتوره]]-Table11819202310303132353839404148111518202831[[#This Row],[الدفعات]]</f>
        <v>136976.76</v>
      </c>
      <c r="P303" s="95"/>
    </row>
    <row r="304" spans="1:16" ht="25.2" customHeight="1" x14ac:dyDescent="0.3">
      <c r="A304" s="1"/>
      <c r="I304" s="1">
        <f>0.14*Table11819202310303132353839404148111518202831[[#This Row],[النولون]]</f>
        <v>0</v>
      </c>
      <c r="J304" s="1">
        <f>0.03*Table11819202310303132353839404148111518202831[[#This Row],[النولون]]</f>
        <v>0</v>
      </c>
      <c r="L30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04" s="1">
        <f>N303+Table11819202310303132353839404148111518202831[[#This Row],[اجمالي الفاتوره]]-Table11819202310303132353839404148111518202831[[#This Row],[الدفعات]]</f>
        <v>136976.76</v>
      </c>
      <c r="P304" s="95"/>
    </row>
    <row r="305" spans="1:16" ht="25.2" customHeight="1" x14ac:dyDescent="0.3">
      <c r="A305" s="1"/>
      <c r="I305" s="1">
        <f>0.14*Table11819202310303132353839404148111518202831[[#This Row],[النولون]]</f>
        <v>0</v>
      </c>
      <c r="J305" s="1">
        <f>0.03*Table11819202310303132353839404148111518202831[[#This Row],[النولون]]</f>
        <v>0</v>
      </c>
      <c r="L30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05" s="1">
        <f>N304+Table11819202310303132353839404148111518202831[[#This Row],[اجمالي الفاتوره]]-Table11819202310303132353839404148111518202831[[#This Row],[الدفعات]]</f>
        <v>136976.76</v>
      </c>
      <c r="P305" s="95"/>
    </row>
    <row r="306" spans="1:16" ht="25.2" customHeight="1" x14ac:dyDescent="0.3">
      <c r="A306" s="1"/>
      <c r="I306" s="1">
        <f>0.14*Table11819202310303132353839404148111518202831[[#This Row],[النولون]]</f>
        <v>0</v>
      </c>
      <c r="J306" s="1">
        <f>0.03*Table11819202310303132353839404148111518202831[[#This Row],[النولون]]</f>
        <v>0</v>
      </c>
      <c r="L30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06" s="1">
        <f>N305+Table11819202310303132353839404148111518202831[[#This Row],[اجمالي الفاتوره]]-Table11819202310303132353839404148111518202831[[#This Row],[الدفعات]]</f>
        <v>136976.76</v>
      </c>
      <c r="P306" s="95"/>
    </row>
    <row r="307" spans="1:16" ht="25.2" customHeight="1" x14ac:dyDescent="0.3">
      <c r="A307" s="1"/>
      <c r="I307" s="1">
        <f>0.14*Table11819202310303132353839404148111518202831[[#This Row],[النولون]]</f>
        <v>0</v>
      </c>
      <c r="J307" s="1">
        <f>0.03*Table11819202310303132353839404148111518202831[[#This Row],[النولون]]</f>
        <v>0</v>
      </c>
      <c r="L30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07" s="1">
        <f>N306+Table11819202310303132353839404148111518202831[[#This Row],[اجمالي الفاتوره]]-Table11819202310303132353839404148111518202831[[#This Row],[الدفعات]]</f>
        <v>136976.76</v>
      </c>
      <c r="P307" s="95"/>
    </row>
    <row r="308" spans="1:16" ht="25.2" customHeight="1" x14ac:dyDescent="0.3">
      <c r="A308" s="1"/>
      <c r="I308" s="1">
        <f>0.14*Table11819202310303132353839404148111518202831[[#This Row],[النولون]]</f>
        <v>0</v>
      </c>
      <c r="J308" s="1">
        <f>0.03*Table11819202310303132353839404148111518202831[[#This Row],[النولون]]</f>
        <v>0</v>
      </c>
      <c r="L30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08" s="1">
        <f>N307+Table11819202310303132353839404148111518202831[[#This Row],[اجمالي الفاتوره]]-Table11819202310303132353839404148111518202831[[#This Row],[الدفعات]]</f>
        <v>136976.76</v>
      </c>
      <c r="P308" s="95"/>
    </row>
    <row r="309" spans="1:16" ht="25.2" customHeight="1" x14ac:dyDescent="0.3">
      <c r="A309" s="1"/>
      <c r="I309" s="1">
        <f>0.14*Table11819202310303132353839404148111518202831[[#This Row],[النولون]]</f>
        <v>0</v>
      </c>
      <c r="J309" s="1">
        <f>0.03*Table11819202310303132353839404148111518202831[[#This Row],[النولون]]</f>
        <v>0</v>
      </c>
      <c r="L30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09" s="1">
        <f>N308+Table11819202310303132353839404148111518202831[[#This Row],[اجمالي الفاتوره]]-Table11819202310303132353839404148111518202831[[#This Row],[الدفعات]]</f>
        <v>136976.76</v>
      </c>
      <c r="P309" s="95"/>
    </row>
    <row r="310" spans="1:16" ht="25.2" customHeight="1" x14ac:dyDescent="0.3">
      <c r="A310" s="1"/>
      <c r="I310" s="1">
        <f>0.14*Table11819202310303132353839404148111518202831[[#This Row],[النولون]]</f>
        <v>0</v>
      </c>
      <c r="J310" s="1">
        <f>0.03*Table11819202310303132353839404148111518202831[[#This Row],[النولون]]</f>
        <v>0</v>
      </c>
      <c r="L31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10" s="1">
        <f>N309+Table11819202310303132353839404148111518202831[[#This Row],[اجمالي الفاتوره]]-Table11819202310303132353839404148111518202831[[#This Row],[الدفعات]]</f>
        <v>136976.76</v>
      </c>
      <c r="P310" s="95"/>
    </row>
    <row r="311" spans="1:16" ht="25.2" customHeight="1" x14ac:dyDescent="0.3">
      <c r="A311" s="1"/>
      <c r="I311" s="1">
        <f>0.14*Table11819202310303132353839404148111518202831[[#This Row],[النولون]]</f>
        <v>0</v>
      </c>
      <c r="J311" s="1">
        <f>0.03*Table11819202310303132353839404148111518202831[[#This Row],[النولون]]</f>
        <v>0</v>
      </c>
      <c r="L31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11" s="1">
        <f>N310+Table11819202310303132353839404148111518202831[[#This Row],[اجمالي الفاتوره]]-Table11819202310303132353839404148111518202831[[#This Row],[الدفعات]]</f>
        <v>136976.76</v>
      </c>
      <c r="P311" s="95"/>
    </row>
    <row r="312" spans="1:16" ht="25.2" customHeight="1" x14ac:dyDescent="0.3">
      <c r="A312" s="1"/>
      <c r="I312" s="1">
        <f>0.14*Table11819202310303132353839404148111518202831[[#This Row],[النولون]]</f>
        <v>0</v>
      </c>
      <c r="J312" s="1">
        <f>0.03*Table11819202310303132353839404148111518202831[[#This Row],[النولون]]</f>
        <v>0</v>
      </c>
      <c r="L31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12" s="1">
        <f>N311+Table11819202310303132353839404148111518202831[[#This Row],[اجمالي الفاتوره]]-Table11819202310303132353839404148111518202831[[#This Row],[الدفعات]]</f>
        <v>136976.76</v>
      </c>
      <c r="P312" s="95"/>
    </row>
    <row r="313" spans="1:16" ht="25.2" customHeight="1" x14ac:dyDescent="0.3">
      <c r="A313" s="1"/>
      <c r="I313" s="1">
        <f>0.14*Table11819202310303132353839404148111518202831[[#This Row],[النولون]]</f>
        <v>0</v>
      </c>
      <c r="J313" s="1">
        <f>0.03*Table11819202310303132353839404148111518202831[[#This Row],[النولون]]</f>
        <v>0</v>
      </c>
      <c r="L31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13" s="1">
        <f>N312+Table11819202310303132353839404148111518202831[[#This Row],[اجمالي الفاتوره]]-Table11819202310303132353839404148111518202831[[#This Row],[الدفعات]]</f>
        <v>136976.76</v>
      </c>
      <c r="P313" s="95"/>
    </row>
    <row r="314" spans="1:16" ht="25.2" customHeight="1" x14ac:dyDescent="0.3">
      <c r="A314" s="1"/>
      <c r="I314" s="1">
        <f>0.14*Table11819202310303132353839404148111518202831[[#This Row],[النولون]]</f>
        <v>0</v>
      </c>
      <c r="J314" s="1">
        <f>0.03*Table11819202310303132353839404148111518202831[[#This Row],[النولون]]</f>
        <v>0</v>
      </c>
      <c r="L31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14" s="1">
        <f>N313+Table11819202310303132353839404148111518202831[[#This Row],[اجمالي الفاتوره]]-Table11819202310303132353839404148111518202831[[#This Row],[الدفعات]]</f>
        <v>136976.76</v>
      </c>
      <c r="P314" s="95"/>
    </row>
    <row r="315" spans="1:16" ht="25.2" customHeight="1" x14ac:dyDescent="0.3">
      <c r="A315" s="1"/>
      <c r="I315" s="1">
        <f>0.14*Table11819202310303132353839404148111518202831[[#This Row],[النولون]]</f>
        <v>0</v>
      </c>
      <c r="J315" s="1">
        <f>0.03*Table11819202310303132353839404148111518202831[[#This Row],[النولون]]</f>
        <v>0</v>
      </c>
      <c r="L31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15" s="1">
        <f>N314+Table11819202310303132353839404148111518202831[[#This Row],[اجمالي الفاتوره]]-Table11819202310303132353839404148111518202831[[#This Row],[الدفعات]]</f>
        <v>136976.76</v>
      </c>
      <c r="P315" s="95"/>
    </row>
    <row r="316" spans="1:16" ht="25.2" customHeight="1" x14ac:dyDescent="0.3">
      <c r="A316" s="1"/>
      <c r="I316" s="1">
        <f>0.14*Table11819202310303132353839404148111518202831[[#This Row],[النولون]]</f>
        <v>0</v>
      </c>
      <c r="J316" s="1">
        <f>0.03*Table11819202310303132353839404148111518202831[[#This Row],[النولون]]</f>
        <v>0</v>
      </c>
      <c r="L31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16" s="1">
        <f>N315+Table11819202310303132353839404148111518202831[[#This Row],[اجمالي الفاتوره]]-Table11819202310303132353839404148111518202831[[#This Row],[الدفعات]]</f>
        <v>136976.76</v>
      </c>
      <c r="P316" s="95"/>
    </row>
    <row r="317" spans="1:16" ht="25.2" customHeight="1" x14ac:dyDescent="0.3">
      <c r="A317" s="1"/>
      <c r="I317" s="1">
        <f>0.14*Table11819202310303132353839404148111518202831[[#This Row],[النولون]]</f>
        <v>0</v>
      </c>
      <c r="J317" s="1">
        <f>0.03*Table11819202310303132353839404148111518202831[[#This Row],[النولون]]</f>
        <v>0</v>
      </c>
      <c r="L31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17" s="1">
        <f>N316+Table11819202310303132353839404148111518202831[[#This Row],[اجمالي الفاتوره]]-Table11819202310303132353839404148111518202831[[#This Row],[الدفعات]]</f>
        <v>136976.76</v>
      </c>
      <c r="P317" s="95"/>
    </row>
    <row r="318" spans="1:16" ht="25.2" customHeight="1" x14ac:dyDescent="0.3">
      <c r="A318" s="1"/>
      <c r="I318" s="1">
        <f>0.14*Table11819202310303132353839404148111518202831[[#This Row],[النولون]]</f>
        <v>0</v>
      </c>
      <c r="J318" s="1">
        <f>0.03*Table11819202310303132353839404148111518202831[[#This Row],[النولون]]</f>
        <v>0</v>
      </c>
      <c r="L31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18" s="1">
        <f>N317+Table11819202310303132353839404148111518202831[[#This Row],[اجمالي الفاتوره]]-Table11819202310303132353839404148111518202831[[#This Row],[الدفعات]]</f>
        <v>136976.76</v>
      </c>
      <c r="P318" s="95"/>
    </row>
    <row r="319" spans="1:16" ht="25.2" customHeight="1" x14ac:dyDescent="0.3">
      <c r="A319" s="1"/>
      <c r="I319" s="1">
        <f>0.14*Table11819202310303132353839404148111518202831[[#This Row],[النولون]]</f>
        <v>0</v>
      </c>
      <c r="J319" s="1">
        <f>0.03*Table11819202310303132353839404148111518202831[[#This Row],[النولون]]</f>
        <v>0</v>
      </c>
      <c r="L31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19" s="1">
        <f>N318+Table11819202310303132353839404148111518202831[[#This Row],[اجمالي الفاتوره]]-Table11819202310303132353839404148111518202831[[#This Row],[الدفعات]]</f>
        <v>136976.76</v>
      </c>
      <c r="P319" s="95"/>
    </row>
    <row r="320" spans="1:16" ht="25.2" customHeight="1" x14ac:dyDescent="0.3">
      <c r="A320" s="1"/>
      <c r="I320" s="1">
        <f>0.14*Table11819202310303132353839404148111518202831[[#This Row],[النولون]]</f>
        <v>0</v>
      </c>
      <c r="J320" s="1">
        <f>0.03*Table11819202310303132353839404148111518202831[[#This Row],[النولون]]</f>
        <v>0</v>
      </c>
      <c r="L32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20" s="1">
        <f>N319+Table11819202310303132353839404148111518202831[[#This Row],[اجمالي الفاتوره]]-Table11819202310303132353839404148111518202831[[#This Row],[الدفعات]]</f>
        <v>136976.76</v>
      </c>
      <c r="P320" s="95"/>
    </row>
    <row r="321" spans="1:16" ht="25.2" customHeight="1" x14ac:dyDescent="0.3">
      <c r="A321" s="1"/>
      <c r="I321" s="1">
        <f>0.14*Table11819202310303132353839404148111518202831[[#This Row],[النولون]]</f>
        <v>0</v>
      </c>
      <c r="J321" s="1">
        <f>0.03*Table11819202310303132353839404148111518202831[[#This Row],[النولون]]</f>
        <v>0</v>
      </c>
      <c r="L32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21" s="1">
        <f>N320+Table11819202310303132353839404148111518202831[[#This Row],[اجمالي الفاتوره]]-Table11819202310303132353839404148111518202831[[#This Row],[الدفعات]]</f>
        <v>136976.76</v>
      </c>
      <c r="P321" s="95"/>
    </row>
    <row r="322" spans="1:16" ht="25.2" customHeight="1" x14ac:dyDescent="0.3">
      <c r="A322" s="1"/>
      <c r="I322" s="1">
        <f>0.14*Table11819202310303132353839404148111518202831[[#This Row],[النولون]]</f>
        <v>0</v>
      </c>
      <c r="J322" s="1">
        <f>0.03*Table11819202310303132353839404148111518202831[[#This Row],[النولون]]</f>
        <v>0</v>
      </c>
      <c r="L32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22" s="1">
        <f>N321+Table11819202310303132353839404148111518202831[[#This Row],[اجمالي الفاتوره]]-Table11819202310303132353839404148111518202831[[#This Row],[الدفعات]]</f>
        <v>136976.76</v>
      </c>
      <c r="P322" s="95"/>
    </row>
    <row r="323" spans="1:16" ht="25.2" customHeight="1" x14ac:dyDescent="0.3">
      <c r="A323" s="1"/>
      <c r="I323" s="1">
        <f>0.14*Table11819202310303132353839404148111518202831[[#This Row],[النولون]]</f>
        <v>0</v>
      </c>
      <c r="J323" s="1">
        <f>0.03*Table11819202310303132353839404148111518202831[[#This Row],[النولون]]</f>
        <v>0</v>
      </c>
      <c r="L32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23" s="1">
        <f>N322+Table11819202310303132353839404148111518202831[[#This Row],[اجمالي الفاتوره]]-Table11819202310303132353839404148111518202831[[#This Row],[الدفعات]]</f>
        <v>136976.76</v>
      </c>
      <c r="P323" s="95"/>
    </row>
    <row r="324" spans="1:16" ht="25.2" customHeight="1" x14ac:dyDescent="0.3">
      <c r="A324" s="1"/>
      <c r="I324" s="1">
        <f>0.14*Table11819202310303132353839404148111518202831[[#This Row],[النولون]]</f>
        <v>0</v>
      </c>
      <c r="J324" s="1">
        <f>0.03*Table11819202310303132353839404148111518202831[[#This Row],[النولون]]</f>
        <v>0</v>
      </c>
      <c r="L32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24" s="1">
        <f>N323+Table11819202310303132353839404148111518202831[[#This Row],[اجمالي الفاتوره]]-Table11819202310303132353839404148111518202831[[#This Row],[الدفعات]]</f>
        <v>136976.76</v>
      </c>
      <c r="P324" s="95"/>
    </row>
    <row r="325" spans="1:16" ht="25.2" customHeight="1" x14ac:dyDescent="0.3">
      <c r="A325" s="1"/>
      <c r="I325" s="1">
        <f>0.14*Table11819202310303132353839404148111518202831[[#This Row],[النولون]]</f>
        <v>0</v>
      </c>
      <c r="J325" s="1">
        <f>0.03*Table11819202310303132353839404148111518202831[[#This Row],[النولون]]</f>
        <v>0</v>
      </c>
      <c r="L32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25" s="1">
        <f>N324+Table11819202310303132353839404148111518202831[[#This Row],[اجمالي الفاتوره]]-Table11819202310303132353839404148111518202831[[#This Row],[الدفعات]]</f>
        <v>136976.76</v>
      </c>
      <c r="P325" s="95"/>
    </row>
    <row r="326" spans="1:16" ht="25.2" customHeight="1" x14ac:dyDescent="0.3">
      <c r="A326" s="1"/>
      <c r="I326" s="1">
        <f>0.14*Table11819202310303132353839404148111518202831[[#This Row],[النولون]]</f>
        <v>0</v>
      </c>
      <c r="J326" s="1">
        <f>0.03*Table11819202310303132353839404148111518202831[[#This Row],[النولون]]</f>
        <v>0</v>
      </c>
      <c r="L32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26" s="1">
        <f>N325+Table11819202310303132353839404148111518202831[[#This Row],[اجمالي الفاتوره]]-Table11819202310303132353839404148111518202831[[#This Row],[الدفعات]]</f>
        <v>136976.76</v>
      </c>
      <c r="P326" s="95"/>
    </row>
    <row r="327" spans="1:16" ht="25.2" customHeight="1" x14ac:dyDescent="0.3">
      <c r="A327" s="1"/>
      <c r="I327" s="1">
        <f>0.14*Table11819202310303132353839404148111518202831[[#This Row],[النولون]]</f>
        <v>0</v>
      </c>
      <c r="J327" s="1">
        <f>0.03*Table11819202310303132353839404148111518202831[[#This Row],[النولون]]</f>
        <v>0</v>
      </c>
      <c r="L32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27" s="1">
        <f>N326+Table11819202310303132353839404148111518202831[[#This Row],[اجمالي الفاتوره]]-Table11819202310303132353839404148111518202831[[#This Row],[الدفعات]]</f>
        <v>136976.76</v>
      </c>
      <c r="P327" s="95"/>
    </row>
    <row r="328" spans="1:16" ht="25.2" customHeight="1" x14ac:dyDescent="0.3">
      <c r="A328" s="1"/>
      <c r="I328" s="1">
        <f>0.14*Table11819202310303132353839404148111518202831[[#This Row],[النولون]]</f>
        <v>0</v>
      </c>
      <c r="J328" s="1">
        <f>0.03*Table11819202310303132353839404148111518202831[[#This Row],[النولون]]</f>
        <v>0</v>
      </c>
      <c r="L32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28" s="1">
        <f>N327+Table11819202310303132353839404148111518202831[[#This Row],[اجمالي الفاتوره]]-Table11819202310303132353839404148111518202831[[#This Row],[الدفعات]]</f>
        <v>136976.76</v>
      </c>
      <c r="P328" s="95"/>
    </row>
    <row r="329" spans="1:16" ht="25.2" customHeight="1" x14ac:dyDescent="0.3">
      <c r="A329" s="1"/>
      <c r="I329" s="1">
        <f>0.14*Table11819202310303132353839404148111518202831[[#This Row],[النولون]]</f>
        <v>0</v>
      </c>
      <c r="J329" s="1">
        <f>0.03*Table11819202310303132353839404148111518202831[[#This Row],[النولون]]</f>
        <v>0</v>
      </c>
      <c r="L32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29" s="1">
        <f>N328+Table11819202310303132353839404148111518202831[[#This Row],[اجمالي الفاتوره]]-Table11819202310303132353839404148111518202831[[#This Row],[الدفعات]]</f>
        <v>136976.76</v>
      </c>
      <c r="P329" s="95"/>
    </row>
    <row r="330" spans="1:16" ht="25.2" customHeight="1" x14ac:dyDescent="0.3">
      <c r="A330" s="1"/>
      <c r="I330" s="1">
        <f>0.14*Table11819202310303132353839404148111518202831[[#This Row],[النولون]]</f>
        <v>0</v>
      </c>
      <c r="J330" s="1">
        <f>0.03*Table11819202310303132353839404148111518202831[[#This Row],[النولون]]</f>
        <v>0</v>
      </c>
      <c r="L330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30" s="1">
        <f>N329+Table11819202310303132353839404148111518202831[[#This Row],[اجمالي الفاتوره]]-Table11819202310303132353839404148111518202831[[#This Row],[الدفعات]]</f>
        <v>136976.76</v>
      </c>
      <c r="P330" s="95"/>
    </row>
    <row r="331" spans="1:16" ht="25.2" customHeight="1" x14ac:dyDescent="0.3">
      <c r="A331" s="1"/>
      <c r="I331" s="1">
        <f>0.14*Table11819202310303132353839404148111518202831[[#This Row],[النولون]]</f>
        <v>0</v>
      </c>
      <c r="J331" s="1">
        <f>0.03*Table11819202310303132353839404148111518202831[[#This Row],[النولون]]</f>
        <v>0</v>
      </c>
      <c r="L331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31" s="1">
        <f>N330+Table11819202310303132353839404148111518202831[[#This Row],[اجمالي الفاتوره]]-Table11819202310303132353839404148111518202831[[#This Row],[الدفعات]]</f>
        <v>136976.76</v>
      </c>
      <c r="P331" s="95"/>
    </row>
    <row r="332" spans="1:16" ht="25.2" customHeight="1" x14ac:dyDescent="0.3">
      <c r="A332" s="1"/>
      <c r="I332" s="1">
        <f>0.14*Table11819202310303132353839404148111518202831[[#This Row],[النولون]]</f>
        <v>0</v>
      </c>
      <c r="J332" s="1">
        <f>0.03*Table11819202310303132353839404148111518202831[[#This Row],[النولون]]</f>
        <v>0</v>
      </c>
      <c r="L332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32" s="1">
        <f>N331+Table11819202310303132353839404148111518202831[[#This Row],[اجمالي الفاتوره]]-Table11819202310303132353839404148111518202831[[#This Row],[الدفعات]]</f>
        <v>136976.76</v>
      </c>
      <c r="P332" s="95"/>
    </row>
    <row r="333" spans="1:16" ht="25.2" customHeight="1" x14ac:dyDescent="0.3">
      <c r="A333" s="1"/>
      <c r="I333" s="1">
        <f>0.14*Table11819202310303132353839404148111518202831[[#This Row],[النولون]]</f>
        <v>0</v>
      </c>
      <c r="J333" s="1">
        <f>0.03*Table11819202310303132353839404148111518202831[[#This Row],[النولون]]</f>
        <v>0</v>
      </c>
      <c r="L333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33" s="1">
        <f>N332+Table11819202310303132353839404148111518202831[[#This Row],[اجمالي الفاتوره]]-Table11819202310303132353839404148111518202831[[#This Row],[الدفعات]]</f>
        <v>136976.76</v>
      </c>
      <c r="P333" s="95"/>
    </row>
    <row r="334" spans="1:16" ht="25.2" customHeight="1" x14ac:dyDescent="0.3">
      <c r="A334" s="1"/>
      <c r="I334" s="1">
        <f>0.14*Table11819202310303132353839404148111518202831[[#This Row],[النولون]]</f>
        <v>0</v>
      </c>
      <c r="J334" s="1">
        <f>0.03*Table11819202310303132353839404148111518202831[[#This Row],[النولون]]</f>
        <v>0</v>
      </c>
      <c r="L334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34" s="1">
        <f>N333+Table11819202310303132353839404148111518202831[[#This Row],[اجمالي الفاتوره]]-Table11819202310303132353839404148111518202831[[#This Row],[الدفعات]]</f>
        <v>136976.76</v>
      </c>
      <c r="P334" s="95"/>
    </row>
    <row r="335" spans="1:16" ht="25.2" customHeight="1" x14ac:dyDescent="0.3">
      <c r="A335" s="1"/>
      <c r="I335" s="1">
        <f>0.14*Table11819202310303132353839404148111518202831[[#This Row],[النولون]]</f>
        <v>0</v>
      </c>
      <c r="J335" s="1">
        <f>0.03*Table11819202310303132353839404148111518202831[[#This Row],[النولون]]</f>
        <v>0</v>
      </c>
      <c r="L335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35" s="1">
        <f>N334+Table11819202310303132353839404148111518202831[[#This Row],[اجمالي الفاتوره]]-Table11819202310303132353839404148111518202831[[#This Row],[الدفعات]]</f>
        <v>136976.76</v>
      </c>
      <c r="P335" s="95"/>
    </row>
    <row r="336" spans="1:16" ht="25.2" customHeight="1" x14ac:dyDescent="0.3">
      <c r="A336" s="1"/>
      <c r="I336" s="1">
        <f>0.14*Table11819202310303132353839404148111518202831[[#This Row],[النولون]]</f>
        <v>0</v>
      </c>
      <c r="J336" s="1">
        <f>0.03*Table11819202310303132353839404148111518202831[[#This Row],[النولون]]</f>
        <v>0</v>
      </c>
      <c r="L336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36" s="1">
        <f>N335+Table11819202310303132353839404148111518202831[[#This Row],[اجمالي الفاتوره]]-Table11819202310303132353839404148111518202831[[#This Row],[الدفعات]]</f>
        <v>136976.76</v>
      </c>
      <c r="P336" s="95"/>
    </row>
    <row r="337" spans="1:16" ht="25.2" customHeight="1" x14ac:dyDescent="0.3">
      <c r="A337" s="1"/>
      <c r="I337" s="1">
        <f>0.14*Table11819202310303132353839404148111518202831[[#This Row],[النولون]]</f>
        <v>0</v>
      </c>
      <c r="J337" s="1">
        <f>0.03*Table11819202310303132353839404148111518202831[[#This Row],[النولون]]</f>
        <v>0</v>
      </c>
      <c r="L337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37" s="1">
        <f>N336+Table11819202310303132353839404148111518202831[[#This Row],[اجمالي الفاتوره]]-Table11819202310303132353839404148111518202831[[#This Row],[الدفعات]]</f>
        <v>136976.76</v>
      </c>
      <c r="P337" s="95"/>
    </row>
    <row r="338" spans="1:16" ht="25.2" customHeight="1" x14ac:dyDescent="0.3">
      <c r="A338" s="1"/>
      <c r="I338" s="1">
        <f>0.14*Table11819202310303132353839404148111518202831[[#This Row],[النولون]]</f>
        <v>0</v>
      </c>
      <c r="J338" s="1">
        <f>0.03*Table11819202310303132353839404148111518202831[[#This Row],[النولون]]</f>
        <v>0</v>
      </c>
      <c r="L338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38" s="1">
        <f>N337+Table11819202310303132353839404148111518202831[[#This Row],[اجمالي الفاتوره]]-Table11819202310303132353839404148111518202831[[#This Row],[الدفعات]]</f>
        <v>136976.76</v>
      </c>
      <c r="P338" s="95"/>
    </row>
    <row r="339" spans="1:16" ht="25.2" customHeight="1" x14ac:dyDescent="0.3">
      <c r="A339" s="1"/>
      <c r="I339" s="1">
        <f>0.14*Table11819202310303132353839404148111518202831[[#This Row],[النولون]]</f>
        <v>0</v>
      </c>
      <c r="J339" s="1">
        <f>0.03*Table11819202310303132353839404148111518202831[[#This Row],[النولون]]</f>
        <v>0</v>
      </c>
      <c r="L339" s="1">
        <f>Table11819202310303132353839404148111518202831[[#This Row],[النولون]]+Table11819202310303132353839404148111518202831[[#This Row],[الايصالات]]-Table11819202310303132353839404148111518202831[[#This Row],[خصم أ ت ص]]+Table11819202310303132353839404148111518202831[[#This Row],[قيمة مضافة]]</f>
        <v>0</v>
      </c>
      <c r="N339" s="1">
        <f>N338+Table11819202310303132353839404148111518202831[[#This Row],[اجمالي الفاتوره]]-Table11819202310303132353839404148111518202831[[#This Row],[الدفعات]]</f>
        <v>136976.76</v>
      </c>
      <c r="P339" s="95"/>
    </row>
  </sheetData>
  <phoneticPr fontId="2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F450A-B296-4039-AF4F-DC1FBBDCEF56}">
  <dimension ref="A1:O338"/>
  <sheetViews>
    <sheetView rightToLeft="1" workbookViewId="0">
      <selection activeCell="H2" sqref="H2"/>
    </sheetView>
  </sheetViews>
  <sheetFormatPr defaultColWidth="9.109375" defaultRowHeight="15.6" x14ac:dyDescent="0.3"/>
  <cols>
    <col min="1" max="1" width="5.44140625" style="6" customWidth="1"/>
    <col min="2" max="2" width="5.44140625" style="1" customWidth="1"/>
    <col min="3" max="3" width="11" style="1" customWidth="1"/>
    <col min="4" max="4" width="15.109375" style="1" customWidth="1"/>
    <col min="5" max="5" width="11.21875" style="1" customWidth="1"/>
    <col min="6" max="6" width="13.33203125" style="1" customWidth="1"/>
    <col min="7" max="7" width="11.88671875" style="1" customWidth="1"/>
    <col min="8" max="8" width="11.6640625" style="1" customWidth="1"/>
    <col min="9" max="9" width="8.33203125" style="1" customWidth="1"/>
    <col min="10" max="10" width="8.21875" style="1" customWidth="1"/>
    <col min="11" max="11" width="10.77734375" style="1" customWidth="1"/>
    <col min="12" max="12" width="12" style="1" customWidth="1"/>
    <col min="13" max="13" width="12.77734375" style="1" customWidth="1"/>
    <col min="14" max="14" width="15.21875" style="1" customWidth="1"/>
    <col min="15" max="16384" width="9.109375" style="1"/>
  </cols>
  <sheetData>
    <row r="1" spans="1:15" ht="25.2" customHeight="1" x14ac:dyDescent="0.3">
      <c r="A1" s="6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25.2" customHeight="1" x14ac:dyDescent="0.3">
      <c r="B2" s="1">
        <v>1</v>
      </c>
      <c r="C2" s="2">
        <v>46186</v>
      </c>
      <c r="D2" s="1" t="s">
        <v>606</v>
      </c>
      <c r="E2" s="1" t="s">
        <v>607</v>
      </c>
      <c r="F2" s="1">
        <v>923576</v>
      </c>
      <c r="G2" s="1" t="s">
        <v>272</v>
      </c>
      <c r="H2" s="1">
        <f>17000*2</f>
        <v>34000</v>
      </c>
      <c r="K2" s="1">
        <f>3000*2+1070+1100+105.79*2+934.4+660.75+210*2+700+798+79.8</f>
        <v>11974.529999999999</v>
      </c>
      <c r="L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45974.53</v>
      </c>
      <c r="N2" s="1">
        <f>Table118192023103031323538394041481115182028317[[#This Row],[اجمالي الفاتوره]]-Table118192023103031323538394041481115182028317[[#This Row],[الدفعات]]</f>
        <v>45974.53</v>
      </c>
    </row>
    <row r="3" spans="1:15" ht="25.2" customHeight="1" x14ac:dyDescent="0.3">
      <c r="B3" s="1">
        <v>2</v>
      </c>
      <c r="C3" s="2">
        <v>46194</v>
      </c>
      <c r="D3" s="1" t="s">
        <v>606</v>
      </c>
      <c r="E3" s="1" t="s">
        <v>607</v>
      </c>
      <c r="F3" s="1">
        <v>929405</v>
      </c>
      <c r="G3" s="1" t="s">
        <v>623</v>
      </c>
      <c r="H3" s="1">
        <f>12*18000</f>
        <v>216000</v>
      </c>
      <c r="K3" s="1">
        <f>12*3000+850+850+810+114+114+114+100+120+100+250+250+250+9*1100+3*1070+660.75+1067.97+718.59+584.92+664.37+483.63+631.88+686.06+660.8+1017.45+660.8+624.65+45.15*6+105.79+68.08+65.81+4200+4788+917.7+210</f>
        <v>72120.149999999994</v>
      </c>
      <c r="L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288120.15000000002</v>
      </c>
      <c r="N3" s="1">
        <f>N2+Table118192023103031323538394041481115182028317[[#This Row],[اجمالي الفاتوره]]-Table118192023103031323538394041481115182028317[[#This Row],[الدفعات]]</f>
        <v>334094.68000000005</v>
      </c>
    </row>
    <row r="4" spans="1:15" ht="25.2" customHeight="1" x14ac:dyDescent="0.3">
      <c r="A4" s="42"/>
      <c r="B4" s="1">
        <v>3</v>
      </c>
      <c r="C4" s="2">
        <v>46194</v>
      </c>
      <c r="D4" s="1" t="s">
        <v>606</v>
      </c>
      <c r="E4" s="1" t="s">
        <v>607</v>
      </c>
      <c r="F4" s="1">
        <v>929406</v>
      </c>
      <c r="G4" s="1" t="s">
        <v>143</v>
      </c>
      <c r="H4" s="1">
        <v>18000</v>
      </c>
      <c r="K4" s="1">
        <f>850+250+1070+105.79+807.75+210+350+399+3000</f>
        <v>7042.54</v>
      </c>
      <c r="L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25042.54</v>
      </c>
      <c r="N4" s="1">
        <f>N3+Table118192023103031323538394041481115182028317[[#This Row],[اجمالي الفاتوره]]-Table118192023103031323538394041481115182028317[[#This Row],[الدفعات]]</f>
        <v>359137.22000000003</v>
      </c>
    </row>
    <row r="5" spans="1:15" ht="25.2" customHeight="1" x14ac:dyDescent="0.3">
      <c r="C5" s="2"/>
      <c r="L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5" s="1">
        <f>N4+Table118192023103031323538394041481115182028317[[#This Row],[اجمالي الفاتوره]]-Table118192023103031323538394041481115182028317[[#This Row],[الدفعات]]</f>
        <v>359137.22000000003</v>
      </c>
    </row>
    <row r="6" spans="1:15" ht="25.2" customHeight="1" x14ac:dyDescent="0.3">
      <c r="C6" s="2"/>
      <c r="L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6" s="1">
        <f>N5+Table118192023103031323538394041481115182028317[[#This Row],[اجمالي الفاتوره]]-Table118192023103031323538394041481115182028317[[#This Row],[الدفعات]]</f>
        <v>359137.22000000003</v>
      </c>
    </row>
    <row r="7" spans="1:15" ht="25.2" customHeight="1" x14ac:dyDescent="0.3">
      <c r="C7" s="2"/>
      <c r="L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7" s="1">
        <f>N6+Table118192023103031323538394041481115182028317[[#This Row],[اجمالي الفاتوره]]-Table118192023103031323538394041481115182028317[[#This Row],[الدفعات]]</f>
        <v>359137.22000000003</v>
      </c>
    </row>
    <row r="8" spans="1:15" ht="25.2" customHeight="1" x14ac:dyDescent="0.3">
      <c r="C8" s="2"/>
      <c r="G8" s="20"/>
      <c r="L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8" s="1">
        <f>N7+Table118192023103031323538394041481115182028317[[#This Row],[اجمالي الفاتوره]]-Table118192023103031323538394041481115182028317[[#This Row],[الدفعات]]</f>
        <v>359137.22000000003</v>
      </c>
    </row>
    <row r="9" spans="1:15" ht="25.2" customHeight="1" x14ac:dyDescent="0.3">
      <c r="C9" s="2"/>
      <c r="E9" s="20"/>
      <c r="F9" s="20"/>
      <c r="L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9" s="1">
        <f>N8+Table118192023103031323538394041481115182028317[[#This Row],[اجمالي الفاتوره]]-Table118192023103031323538394041481115182028317[[#This Row],[الدفعات]]</f>
        <v>359137.22000000003</v>
      </c>
    </row>
    <row r="10" spans="1:15" ht="25.2" customHeight="1" x14ac:dyDescent="0.3">
      <c r="C10" s="2"/>
      <c r="F10" s="20"/>
      <c r="L1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0" s="1">
        <f>N9+Table118192023103031323538394041481115182028317[[#This Row],[اجمالي الفاتوره]]-Table118192023103031323538394041481115182028317[[#This Row],[الدفعات]]</f>
        <v>359137.22000000003</v>
      </c>
    </row>
    <row r="11" spans="1:15" ht="25.2" customHeight="1" x14ac:dyDescent="0.3">
      <c r="C11" s="2"/>
      <c r="F11" s="20"/>
      <c r="L1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1" s="1">
        <f>N10+Table118192023103031323538394041481115182028317[[#This Row],[اجمالي الفاتوره]]-Table118192023103031323538394041481115182028317[[#This Row],[الدفعات]]</f>
        <v>359137.22000000003</v>
      </c>
    </row>
    <row r="12" spans="1:15" ht="25.2" customHeight="1" x14ac:dyDescent="0.3">
      <c r="C12" s="2"/>
      <c r="L1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2" s="1">
        <f>N11+Table118192023103031323538394041481115182028317[[#This Row],[اجمالي الفاتوره]]-Table118192023103031323538394041481115182028317[[#This Row],[الدفعات]]</f>
        <v>359137.22000000003</v>
      </c>
      <c r="O12" s="1">
        <f>SUM(L:L)-SUM(M:M)</f>
        <v>359137.22000000003</v>
      </c>
    </row>
    <row r="13" spans="1:15" ht="25.2" customHeight="1" x14ac:dyDescent="0.3">
      <c r="C13" s="2"/>
      <c r="L1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3" s="1">
        <f>N12+Table118192023103031323538394041481115182028317[[#This Row],[اجمالي الفاتوره]]-Table118192023103031323538394041481115182028317[[#This Row],[الدفعات]]</f>
        <v>359137.22000000003</v>
      </c>
    </row>
    <row r="14" spans="1:15" ht="25.2" customHeight="1" x14ac:dyDescent="0.3">
      <c r="C14" s="2"/>
      <c r="L1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4" s="1">
        <f>N13+Table118192023103031323538394041481115182028317[[#This Row],[اجمالي الفاتوره]]-Table118192023103031323538394041481115182028317[[#This Row],[الدفعات]]</f>
        <v>359137.22000000003</v>
      </c>
    </row>
    <row r="15" spans="1:15" ht="25.2" customHeight="1" x14ac:dyDescent="0.3">
      <c r="C15" s="2"/>
      <c r="L1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5" s="1">
        <f>N14+Table118192023103031323538394041481115182028317[[#This Row],[اجمالي الفاتوره]]-Table118192023103031323538394041481115182028317[[#This Row],[الدفعات]]</f>
        <v>359137.22000000003</v>
      </c>
    </row>
    <row r="16" spans="1:15" ht="25.2" customHeight="1" x14ac:dyDescent="0.3">
      <c r="C16" s="2"/>
      <c r="L1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6" s="1">
        <f>N15+Table118192023103031323538394041481115182028317[[#This Row],[اجمالي الفاتوره]]-Table118192023103031323538394041481115182028317[[#This Row],[الدفعات]]</f>
        <v>359137.22000000003</v>
      </c>
    </row>
    <row r="17" spans="3:14" s="1" customFormat="1" ht="25.2" customHeight="1" x14ac:dyDescent="0.3">
      <c r="C17" s="2"/>
      <c r="L1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7" s="1">
        <f>N16+Table118192023103031323538394041481115182028317[[#This Row],[اجمالي الفاتوره]]-Table118192023103031323538394041481115182028317[[#This Row],[الدفعات]]</f>
        <v>359137.22000000003</v>
      </c>
    </row>
    <row r="18" spans="3:14" s="1" customFormat="1" ht="25.2" customHeight="1" x14ac:dyDescent="0.3">
      <c r="C18" s="2"/>
      <c r="L1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8" s="1">
        <f>N17+Table118192023103031323538394041481115182028317[[#This Row],[اجمالي الفاتوره]]-Table118192023103031323538394041481115182028317[[#This Row],[الدفعات]]</f>
        <v>359137.22000000003</v>
      </c>
    </row>
    <row r="19" spans="3:14" s="1" customFormat="1" ht="25.2" customHeight="1" x14ac:dyDescent="0.3">
      <c r="C19" s="2"/>
      <c r="L1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9" s="1">
        <f>N18+Table118192023103031323538394041481115182028317[[#This Row],[اجمالي الفاتوره]]-Table118192023103031323538394041481115182028317[[#This Row],[الدفعات]]</f>
        <v>359137.22000000003</v>
      </c>
    </row>
    <row r="20" spans="3:14" s="1" customFormat="1" ht="25.2" customHeight="1" x14ac:dyDescent="0.3">
      <c r="C20" s="2"/>
      <c r="L2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0" s="1">
        <f>N19+Table118192023103031323538394041481115182028317[[#This Row],[اجمالي الفاتوره]]-Table118192023103031323538394041481115182028317[[#This Row],[الدفعات]]</f>
        <v>359137.22000000003</v>
      </c>
    </row>
    <row r="21" spans="3:14" s="1" customFormat="1" ht="25.2" customHeight="1" x14ac:dyDescent="0.3">
      <c r="C21" s="2"/>
      <c r="L2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1" s="1">
        <f>N20+Table118192023103031323538394041481115182028317[[#This Row],[اجمالي الفاتوره]]-Table118192023103031323538394041481115182028317[[#This Row],[الدفعات]]</f>
        <v>359137.22000000003</v>
      </c>
    </row>
    <row r="22" spans="3:14" s="1" customFormat="1" ht="25.2" customHeight="1" x14ac:dyDescent="0.3">
      <c r="C22" s="2"/>
      <c r="L2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2" s="1">
        <f>N21+Table118192023103031323538394041481115182028317[[#This Row],[اجمالي الفاتوره]]-Table118192023103031323538394041481115182028317[[#This Row],[الدفعات]]</f>
        <v>359137.22000000003</v>
      </c>
    </row>
    <row r="23" spans="3:14" s="1" customFormat="1" ht="25.2" customHeight="1" x14ac:dyDescent="0.3">
      <c r="C23" s="2"/>
      <c r="L2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3" s="1">
        <f>N22+Table118192023103031323538394041481115182028317[[#This Row],[اجمالي الفاتوره]]-Table118192023103031323538394041481115182028317[[#This Row],[الدفعات]]</f>
        <v>359137.22000000003</v>
      </c>
    </row>
    <row r="24" spans="3:14" s="1" customFormat="1" ht="25.2" customHeight="1" x14ac:dyDescent="0.3">
      <c r="L2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4" s="1">
        <f>N23+Table118192023103031323538394041481115182028317[[#This Row],[اجمالي الفاتوره]]-Table118192023103031323538394041481115182028317[[#This Row],[الدفعات]]</f>
        <v>359137.22000000003</v>
      </c>
    </row>
    <row r="25" spans="3:14" s="1" customFormat="1" ht="25.2" customHeight="1" x14ac:dyDescent="0.3">
      <c r="L2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5" s="1">
        <f>N24+Table118192023103031323538394041481115182028317[[#This Row],[اجمالي الفاتوره]]-Table118192023103031323538394041481115182028317[[#This Row],[الدفعات]]</f>
        <v>359137.22000000003</v>
      </c>
    </row>
    <row r="26" spans="3:14" s="1" customFormat="1" ht="25.2" customHeight="1" x14ac:dyDescent="0.3">
      <c r="C26" s="2"/>
      <c r="L2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6" s="1">
        <f>N25+Table118192023103031323538394041481115182028317[[#This Row],[اجمالي الفاتوره]]-Table118192023103031323538394041481115182028317[[#This Row],[الدفعات]]</f>
        <v>359137.22000000003</v>
      </c>
    </row>
    <row r="27" spans="3:14" s="1" customFormat="1" ht="25.2" customHeight="1" x14ac:dyDescent="0.3">
      <c r="C27" s="2"/>
      <c r="L2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7" s="1">
        <f>N26+Table118192023103031323538394041481115182028317[[#This Row],[اجمالي الفاتوره]]-Table118192023103031323538394041481115182028317[[#This Row],[الدفعات]]</f>
        <v>359137.22000000003</v>
      </c>
    </row>
    <row r="28" spans="3:14" s="1" customFormat="1" ht="25.2" customHeight="1" x14ac:dyDescent="0.3">
      <c r="C28" s="2"/>
      <c r="L2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8" s="1">
        <f>N27+Table118192023103031323538394041481115182028317[[#This Row],[اجمالي الفاتوره]]-Table118192023103031323538394041481115182028317[[#This Row],[الدفعات]]</f>
        <v>359137.22000000003</v>
      </c>
    </row>
    <row r="29" spans="3:14" s="1" customFormat="1" ht="25.2" customHeight="1" x14ac:dyDescent="0.3">
      <c r="C29" s="2"/>
      <c r="L2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9" s="1">
        <f>N28+Table118192023103031323538394041481115182028317[[#This Row],[اجمالي الفاتوره]]-Table118192023103031323538394041481115182028317[[#This Row],[الدفعات]]</f>
        <v>359137.22000000003</v>
      </c>
    </row>
    <row r="30" spans="3:14" s="1" customFormat="1" ht="25.2" customHeight="1" x14ac:dyDescent="0.3">
      <c r="L3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0" s="1">
        <f>N29+Table118192023103031323538394041481115182028317[[#This Row],[اجمالي الفاتوره]]-Table118192023103031323538394041481115182028317[[#This Row],[الدفعات]]</f>
        <v>359137.22000000003</v>
      </c>
    </row>
    <row r="31" spans="3:14" s="1" customFormat="1" ht="25.2" customHeight="1" x14ac:dyDescent="0.3">
      <c r="C31" s="2"/>
      <c r="L3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1" s="1">
        <f>N30+Table118192023103031323538394041481115182028317[[#This Row],[اجمالي الفاتوره]]-Table118192023103031323538394041481115182028317[[#This Row],[الدفعات]]</f>
        <v>359137.22000000003</v>
      </c>
    </row>
    <row r="32" spans="3:14" s="1" customFormat="1" ht="25.2" customHeight="1" x14ac:dyDescent="0.3">
      <c r="L3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2" s="1">
        <f>N31+Table118192023103031323538394041481115182028317[[#This Row],[اجمالي الفاتوره]]-Table118192023103031323538394041481115182028317[[#This Row],[الدفعات]]</f>
        <v>359137.22000000003</v>
      </c>
    </row>
    <row r="33" spans="3:14" s="1" customFormat="1" ht="25.2" customHeight="1" x14ac:dyDescent="0.3">
      <c r="L3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3" s="1">
        <f>N32+Table118192023103031323538394041481115182028317[[#This Row],[اجمالي الفاتوره]]-Table118192023103031323538394041481115182028317[[#This Row],[الدفعات]]</f>
        <v>359137.22000000003</v>
      </c>
    </row>
    <row r="34" spans="3:14" s="1" customFormat="1" ht="25.2" customHeight="1" x14ac:dyDescent="0.3">
      <c r="L3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4" s="1">
        <f>N33+Table118192023103031323538394041481115182028317[[#This Row],[اجمالي الفاتوره]]-Table118192023103031323538394041481115182028317[[#This Row],[الدفعات]]</f>
        <v>359137.22000000003</v>
      </c>
    </row>
    <row r="35" spans="3:14" s="1" customFormat="1" ht="25.2" customHeight="1" x14ac:dyDescent="0.3">
      <c r="C35" s="2"/>
      <c r="D35" s="2"/>
      <c r="L3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5" s="1">
        <f>N34+Table118192023103031323538394041481115182028317[[#This Row],[اجمالي الفاتوره]]-Table118192023103031323538394041481115182028317[[#This Row],[الدفعات]]</f>
        <v>359137.22000000003</v>
      </c>
    </row>
    <row r="36" spans="3:14" s="1" customFormat="1" ht="25.2" customHeight="1" x14ac:dyDescent="0.3">
      <c r="L3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6" s="1">
        <f>N35+Table118192023103031323538394041481115182028317[[#This Row],[اجمالي الفاتوره]]-Table118192023103031323538394041481115182028317[[#This Row],[الدفعات]]</f>
        <v>359137.22000000003</v>
      </c>
    </row>
    <row r="37" spans="3:14" s="1" customFormat="1" ht="25.2" customHeight="1" x14ac:dyDescent="0.3">
      <c r="L3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7" s="1">
        <f>N36+Table118192023103031323538394041481115182028317[[#This Row],[اجمالي الفاتوره]]-Table118192023103031323538394041481115182028317[[#This Row],[الدفعات]]</f>
        <v>359137.22000000003</v>
      </c>
    </row>
    <row r="38" spans="3:14" s="1" customFormat="1" ht="25.2" customHeight="1" x14ac:dyDescent="0.3">
      <c r="L3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8" s="1">
        <f>N37+Table118192023103031323538394041481115182028317[[#This Row],[اجمالي الفاتوره]]-Table118192023103031323538394041481115182028317[[#This Row],[الدفعات]]</f>
        <v>359137.22000000003</v>
      </c>
    </row>
    <row r="39" spans="3:14" s="1" customFormat="1" ht="25.2" customHeight="1" x14ac:dyDescent="0.3">
      <c r="L3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9" s="1">
        <f>N38+Table118192023103031323538394041481115182028317[[#This Row],[اجمالي الفاتوره]]-Table118192023103031323538394041481115182028317[[#This Row],[الدفعات]]</f>
        <v>359137.22000000003</v>
      </c>
    </row>
    <row r="40" spans="3:14" s="1" customFormat="1" ht="25.2" customHeight="1" x14ac:dyDescent="0.3">
      <c r="L4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40" s="1">
        <f>N39+Table118192023103031323538394041481115182028317[[#This Row],[اجمالي الفاتوره]]-Table118192023103031323538394041481115182028317[[#This Row],[الدفعات]]</f>
        <v>359137.22000000003</v>
      </c>
    </row>
    <row r="41" spans="3:14" s="1" customFormat="1" ht="25.2" customHeight="1" x14ac:dyDescent="0.3">
      <c r="L4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41" s="1">
        <f>N40+Table118192023103031323538394041481115182028317[[#This Row],[اجمالي الفاتوره]]-Table118192023103031323538394041481115182028317[[#This Row],[الدفعات]]</f>
        <v>359137.22000000003</v>
      </c>
    </row>
    <row r="42" spans="3:14" s="1" customFormat="1" ht="25.2" customHeight="1" x14ac:dyDescent="0.3">
      <c r="L4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42" s="1">
        <f>N41+Table118192023103031323538394041481115182028317[[#This Row],[اجمالي الفاتوره]]-Table118192023103031323538394041481115182028317[[#This Row],[الدفعات]]</f>
        <v>359137.22000000003</v>
      </c>
    </row>
    <row r="43" spans="3:14" s="1" customFormat="1" ht="25.2" customHeight="1" x14ac:dyDescent="0.3">
      <c r="L4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43" s="1">
        <f>N42+Table118192023103031323538394041481115182028317[[#This Row],[اجمالي الفاتوره]]-Table118192023103031323538394041481115182028317[[#This Row],[الدفعات]]</f>
        <v>359137.22000000003</v>
      </c>
    </row>
    <row r="44" spans="3:14" s="1" customFormat="1" ht="25.2" customHeight="1" x14ac:dyDescent="0.3">
      <c r="L4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44" s="1">
        <f>N43+Table118192023103031323538394041481115182028317[[#This Row],[اجمالي الفاتوره]]-Table118192023103031323538394041481115182028317[[#This Row],[الدفعات]]</f>
        <v>359137.22000000003</v>
      </c>
    </row>
    <row r="45" spans="3:14" s="1" customFormat="1" ht="25.2" customHeight="1" x14ac:dyDescent="0.3">
      <c r="L4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45" s="1">
        <f>N44+Table118192023103031323538394041481115182028317[[#This Row],[اجمالي الفاتوره]]-Table118192023103031323538394041481115182028317[[#This Row],[الدفعات]]</f>
        <v>359137.22000000003</v>
      </c>
    </row>
    <row r="46" spans="3:14" s="1" customFormat="1" ht="25.2" customHeight="1" x14ac:dyDescent="0.3">
      <c r="L4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46" s="1">
        <f>N45+Table118192023103031323538394041481115182028317[[#This Row],[اجمالي الفاتوره]]-Table118192023103031323538394041481115182028317[[#This Row],[الدفعات]]</f>
        <v>359137.22000000003</v>
      </c>
    </row>
    <row r="47" spans="3:14" s="1" customFormat="1" ht="25.2" customHeight="1" x14ac:dyDescent="0.3">
      <c r="L4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47" s="1">
        <f>N46+Table118192023103031323538394041481115182028317[[#This Row],[اجمالي الفاتوره]]-Table118192023103031323538394041481115182028317[[#This Row],[الدفعات]]</f>
        <v>359137.22000000003</v>
      </c>
    </row>
    <row r="48" spans="3:14" s="1" customFormat="1" ht="25.2" customHeight="1" x14ac:dyDescent="0.3">
      <c r="L4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48" s="1">
        <f>N47+Table118192023103031323538394041481115182028317[[#This Row],[اجمالي الفاتوره]]-Table118192023103031323538394041481115182028317[[#This Row],[الدفعات]]</f>
        <v>359137.22000000003</v>
      </c>
    </row>
    <row r="49" spans="12:14" s="1" customFormat="1" ht="25.2" customHeight="1" x14ac:dyDescent="0.3">
      <c r="L4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49" s="1">
        <f>N48+Table118192023103031323538394041481115182028317[[#This Row],[اجمالي الفاتوره]]-Table118192023103031323538394041481115182028317[[#This Row],[الدفعات]]</f>
        <v>359137.22000000003</v>
      </c>
    </row>
    <row r="50" spans="12:14" s="1" customFormat="1" ht="25.2" customHeight="1" x14ac:dyDescent="0.3">
      <c r="L5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50" s="1">
        <f>N49+Table118192023103031323538394041481115182028317[[#This Row],[اجمالي الفاتوره]]-Table118192023103031323538394041481115182028317[[#This Row],[الدفعات]]</f>
        <v>359137.22000000003</v>
      </c>
    </row>
    <row r="51" spans="12:14" s="1" customFormat="1" ht="25.2" customHeight="1" x14ac:dyDescent="0.3">
      <c r="L5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51" s="1">
        <f>N50+Table118192023103031323538394041481115182028317[[#This Row],[اجمالي الفاتوره]]-Table118192023103031323538394041481115182028317[[#This Row],[الدفعات]]</f>
        <v>359137.22000000003</v>
      </c>
    </row>
    <row r="52" spans="12:14" s="1" customFormat="1" ht="25.2" customHeight="1" x14ac:dyDescent="0.3">
      <c r="L5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52" s="1">
        <f>N51+Table118192023103031323538394041481115182028317[[#This Row],[اجمالي الفاتوره]]-Table118192023103031323538394041481115182028317[[#This Row],[الدفعات]]</f>
        <v>359137.22000000003</v>
      </c>
    </row>
    <row r="53" spans="12:14" s="1" customFormat="1" ht="25.2" customHeight="1" x14ac:dyDescent="0.3">
      <c r="L5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53" s="1">
        <f>N52+Table118192023103031323538394041481115182028317[[#This Row],[اجمالي الفاتوره]]-Table118192023103031323538394041481115182028317[[#This Row],[الدفعات]]</f>
        <v>359137.22000000003</v>
      </c>
    </row>
    <row r="54" spans="12:14" s="1" customFormat="1" ht="25.2" customHeight="1" x14ac:dyDescent="0.3">
      <c r="L5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54" s="1">
        <f>N53+Table118192023103031323538394041481115182028317[[#This Row],[اجمالي الفاتوره]]-Table118192023103031323538394041481115182028317[[#This Row],[الدفعات]]</f>
        <v>359137.22000000003</v>
      </c>
    </row>
    <row r="55" spans="12:14" s="1" customFormat="1" ht="25.2" customHeight="1" x14ac:dyDescent="0.3">
      <c r="L5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55" s="1">
        <f>N54+Table118192023103031323538394041481115182028317[[#This Row],[اجمالي الفاتوره]]-Table118192023103031323538394041481115182028317[[#This Row],[الدفعات]]</f>
        <v>359137.22000000003</v>
      </c>
    </row>
    <row r="56" spans="12:14" s="1" customFormat="1" ht="25.2" customHeight="1" x14ac:dyDescent="0.3">
      <c r="L5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56" s="1">
        <f>N55+Table118192023103031323538394041481115182028317[[#This Row],[اجمالي الفاتوره]]-Table118192023103031323538394041481115182028317[[#This Row],[الدفعات]]</f>
        <v>359137.22000000003</v>
      </c>
    </row>
    <row r="57" spans="12:14" s="1" customFormat="1" ht="25.2" customHeight="1" x14ac:dyDescent="0.3">
      <c r="L5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57" s="1">
        <f>N56+Table118192023103031323538394041481115182028317[[#This Row],[اجمالي الفاتوره]]-Table118192023103031323538394041481115182028317[[#This Row],[الدفعات]]</f>
        <v>359137.22000000003</v>
      </c>
    </row>
    <row r="58" spans="12:14" s="1" customFormat="1" ht="25.2" customHeight="1" x14ac:dyDescent="0.3">
      <c r="L5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58" s="1">
        <f>N57+Table118192023103031323538394041481115182028317[[#This Row],[اجمالي الفاتوره]]-Table118192023103031323538394041481115182028317[[#This Row],[الدفعات]]</f>
        <v>359137.22000000003</v>
      </c>
    </row>
    <row r="59" spans="12:14" s="1" customFormat="1" ht="25.2" customHeight="1" x14ac:dyDescent="0.3">
      <c r="L5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59" s="1">
        <f>N58+Table118192023103031323538394041481115182028317[[#This Row],[اجمالي الفاتوره]]-Table118192023103031323538394041481115182028317[[#This Row],[الدفعات]]</f>
        <v>359137.22000000003</v>
      </c>
    </row>
    <row r="60" spans="12:14" s="1" customFormat="1" ht="25.2" customHeight="1" x14ac:dyDescent="0.3">
      <c r="L6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60" s="1">
        <f>N59+Table118192023103031323538394041481115182028317[[#This Row],[اجمالي الفاتوره]]-Table118192023103031323538394041481115182028317[[#This Row],[الدفعات]]</f>
        <v>359137.22000000003</v>
      </c>
    </row>
    <row r="61" spans="12:14" s="1" customFormat="1" ht="25.2" customHeight="1" x14ac:dyDescent="0.3">
      <c r="L6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61" s="1">
        <f>N60+Table118192023103031323538394041481115182028317[[#This Row],[اجمالي الفاتوره]]-Table118192023103031323538394041481115182028317[[#This Row],[الدفعات]]</f>
        <v>359137.22000000003</v>
      </c>
    </row>
    <row r="62" spans="12:14" s="1" customFormat="1" ht="25.2" customHeight="1" x14ac:dyDescent="0.3">
      <c r="L6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62" s="1">
        <f>N61+Table118192023103031323538394041481115182028317[[#This Row],[اجمالي الفاتوره]]-Table118192023103031323538394041481115182028317[[#This Row],[الدفعات]]</f>
        <v>359137.22000000003</v>
      </c>
    </row>
    <row r="63" spans="12:14" s="1" customFormat="1" ht="25.2" customHeight="1" x14ac:dyDescent="0.3">
      <c r="L6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63" s="1">
        <f>N62+Table118192023103031323538394041481115182028317[[#This Row],[اجمالي الفاتوره]]-Table118192023103031323538394041481115182028317[[#This Row],[الدفعات]]</f>
        <v>359137.22000000003</v>
      </c>
    </row>
    <row r="64" spans="12:14" s="1" customFormat="1" ht="25.2" customHeight="1" x14ac:dyDescent="0.3">
      <c r="L6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64" s="1">
        <f>N63+Table118192023103031323538394041481115182028317[[#This Row],[اجمالي الفاتوره]]-Table118192023103031323538394041481115182028317[[#This Row],[الدفعات]]</f>
        <v>359137.22000000003</v>
      </c>
    </row>
    <row r="65" spans="12:14" s="1" customFormat="1" ht="25.2" customHeight="1" x14ac:dyDescent="0.3">
      <c r="L6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65" s="1">
        <f>N64+Table118192023103031323538394041481115182028317[[#This Row],[اجمالي الفاتوره]]-Table118192023103031323538394041481115182028317[[#This Row],[الدفعات]]</f>
        <v>359137.22000000003</v>
      </c>
    </row>
    <row r="66" spans="12:14" s="1" customFormat="1" ht="25.2" customHeight="1" x14ac:dyDescent="0.3">
      <c r="L6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66" s="1">
        <f>N65+Table118192023103031323538394041481115182028317[[#This Row],[اجمالي الفاتوره]]-Table118192023103031323538394041481115182028317[[#This Row],[الدفعات]]</f>
        <v>359137.22000000003</v>
      </c>
    </row>
    <row r="67" spans="12:14" s="1" customFormat="1" ht="25.2" customHeight="1" x14ac:dyDescent="0.3">
      <c r="L6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67" s="1">
        <f>N66+Table118192023103031323538394041481115182028317[[#This Row],[اجمالي الفاتوره]]-Table118192023103031323538394041481115182028317[[#This Row],[الدفعات]]</f>
        <v>359137.22000000003</v>
      </c>
    </row>
    <row r="68" spans="12:14" s="1" customFormat="1" ht="25.2" customHeight="1" x14ac:dyDescent="0.3">
      <c r="L6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68" s="1">
        <f>N67+Table118192023103031323538394041481115182028317[[#This Row],[اجمالي الفاتوره]]-Table118192023103031323538394041481115182028317[[#This Row],[الدفعات]]</f>
        <v>359137.22000000003</v>
      </c>
    </row>
    <row r="69" spans="12:14" s="1" customFormat="1" ht="25.2" customHeight="1" x14ac:dyDescent="0.3">
      <c r="L6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69" s="1">
        <f>N68+Table118192023103031323538394041481115182028317[[#This Row],[اجمالي الفاتوره]]-Table118192023103031323538394041481115182028317[[#This Row],[الدفعات]]</f>
        <v>359137.22000000003</v>
      </c>
    </row>
    <row r="70" spans="12:14" s="1" customFormat="1" ht="25.2" customHeight="1" x14ac:dyDescent="0.3">
      <c r="L7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70" s="1">
        <f>N69+Table118192023103031323538394041481115182028317[[#This Row],[اجمالي الفاتوره]]-Table118192023103031323538394041481115182028317[[#This Row],[الدفعات]]</f>
        <v>359137.22000000003</v>
      </c>
    </row>
    <row r="71" spans="12:14" s="1" customFormat="1" ht="25.2" customHeight="1" x14ac:dyDescent="0.3">
      <c r="L7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71" s="1">
        <f>N70+Table118192023103031323538394041481115182028317[[#This Row],[اجمالي الفاتوره]]-Table118192023103031323538394041481115182028317[[#This Row],[الدفعات]]</f>
        <v>359137.22000000003</v>
      </c>
    </row>
    <row r="72" spans="12:14" s="1" customFormat="1" ht="25.2" customHeight="1" x14ac:dyDescent="0.3">
      <c r="L7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72" s="1">
        <f>N71+Table118192023103031323538394041481115182028317[[#This Row],[اجمالي الفاتوره]]-Table118192023103031323538394041481115182028317[[#This Row],[الدفعات]]</f>
        <v>359137.22000000003</v>
      </c>
    </row>
    <row r="73" spans="12:14" s="1" customFormat="1" ht="25.2" customHeight="1" x14ac:dyDescent="0.3">
      <c r="L7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73" s="1">
        <f>N72+Table118192023103031323538394041481115182028317[[#This Row],[اجمالي الفاتوره]]-Table118192023103031323538394041481115182028317[[#This Row],[الدفعات]]</f>
        <v>359137.22000000003</v>
      </c>
    </row>
    <row r="74" spans="12:14" s="1" customFormat="1" ht="25.2" customHeight="1" x14ac:dyDescent="0.3">
      <c r="L7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74" s="1">
        <f>N73+Table118192023103031323538394041481115182028317[[#This Row],[اجمالي الفاتوره]]-Table118192023103031323538394041481115182028317[[#This Row],[الدفعات]]</f>
        <v>359137.22000000003</v>
      </c>
    </row>
    <row r="75" spans="12:14" s="1" customFormat="1" ht="25.2" customHeight="1" x14ac:dyDescent="0.3">
      <c r="L7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75" s="1">
        <f>N74+Table118192023103031323538394041481115182028317[[#This Row],[اجمالي الفاتوره]]-Table118192023103031323538394041481115182028317[[#This Row],[الدفعات]]</f>
        <v>359137.22000000003</v>
      </c>
    </row>
    <row r="76" spans="12:14" s="1" customFormat="1" ht="25.2" customHeight="1" x14ac:dyDescent="0.3">
      <c r="L7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76" s="1">
        <f>N75+Table118192023103031323538394041481115182028317[[#This Row],[اجمالي الفاتوره]]-Table118192023103031323538394041481115182028317[[#This Row],[الدفعات]]</f>
        <v>359137.22000000003</v>
      </c>
    </row>
    <row r="77" spans="12:14" s="1" customFormat="1" ht="25.2" customHeight="1" x14ac:dyDescent="0.3">
      <c r="L7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77" s="1">
        <f>N76+Table118192023103031323538394041481115182028317[[#This Row],[اجمالي الفاتوره]]-Table118192023103031323538394041481115182028317[[#This Row],[الدفعات]]</f>
        <v>359137.22000000003</v>
      </c>
    </row>
    <row r="78" spans="12:14" s="1" customFormat="1" ht="25.2" customHeight="1" x14ac:dyDescent="0.3">
      <c r="L7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78" s="1">
        <f>N77+Table118192023103031323538394041481115182028317[[#This Row],[اجمالي الفاتوره]]-Table118192023103031323538394041481115182028317[[#This Row],[الدفعات]]</f>
        <v>359137.22000000003</v>
      </c>
    </row>
    <row r="79" spans="12:14" s="1" customFormat="1" ht="25.2" customHeight="1" x14ac:dyDescent="0.3">
      <c r="L7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79" s="1">
        <f>N78+Table118192023103031323538394041481115182028317[[#This Row],[اجمالي الفاتوره]]-Table118192023103031323538394041481115182028317[[#This Row],[الدفعات]]</f>
        <v>359137.22000000003</v>
      </c>
    </row>
    <row r="80" spans="12:14" s="1" customFormat="1" ht="25.2" customHeight="1" x14ac:dyDescent="0.3">
      <c r="L8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80" s="1">
        <f>N79+Table118192023103031323538394041481115182028317[[#This Row],[اجمالي الفاتوره]]-Table118192023103031323538394041481115182028317[[#This Row],[الدفعات]]</f>
        <v>359137.22000000003</v>
      </c>
    </row>
    <row r="81" spans="12:14" s="1" customFormat="1" ht="25.2" customHeight="1" x14ac:dyDescent="0.3">
      <c r="L8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81" s="1">
        <f>N80+Table118192023103031323538394041481115182028317[[#This Row],[اجمالي الفاتوره]]-Table118192023103031323538394041481115182028317[[#This Row],[الدفعات]]</f>
        <v>359137.22000000003</v>
      </c>
    </row>
    <row r="82" spans="12:14" s="1" customFormat="1" ht="25.2" customHeight="1" x14ac:dyDescent="0.3">
      <c r="L8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82" s="1">
        <f>N81+Table118192023103031323538394041481115182028317[[#This Row],[اجمالي الفاتوره]]-Table118192023103031323538394041481115182028317[[#This Row],[الدفعات]]</f>
        <v>359137.22000000003</v>
      </c>
    </row>
    <row r="83" spans="12:14" s="1" customFormat="1" ht="25.2" customHeight="1" x14ac:dyDescent="0.3">
      <c r="L8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83" s="1">
        <f>N82+Table118192023103031323538394041481115182028317[[#This Row],[اجمالي الفاتوره]]-Table118192023103031323538394041481115182028317[[#This Row],[الدفعات]]</f>
        <v>359137.22000000003</v>
      </c>
    </row>
    <row r="84" spans="12:14" s="1" customFormat="1" ht="25.2" customHeight="1" x14ac:dyDescent="0.3">
      <c r="L8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84" s="1">
        <f>N83+Table118192023103031323538394041481115182028317[[#This Row],[اجمالي الفاتوره]]-Table118192023103031323538394041481115182028317[[#This Row],[الدفعات]]</f>
        <v>359137.22000000003</v>
      </c>
    </row>
    <row r="85" spans="12:14" s="1" customFormat="1" ht="25.2" customHeight="1" x14ac:dyDescent="0.3">
      <c r="L8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85" s="1">
        <f>N84+Table118192023103031323538394041481115182028317[[#This Row],[اجمالي الفاتوره]]-Table118192023103031323538394041481115182028317[[#This Row],[الدفعات]]</f>
        <v>359137.22000000003</v>
      </c>
    </row>
    <row r="86" spans="12:14" s="1" customFormat="1" ht="25.2" customHeight="1" x14ac:dyDescent="0.3">
      <c r="L8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86" s="1">
        <f>N85+Table118192023103031323538394041481115182028317[[#This Row],[اجمالي الفاتوره]]-Table118192023103031323538394041481115182028317[[#This Row],[الدفعات]]</f>
        <v>359137.22000000003</v>
      </c>
    </row>
    <row r="87" spans="12:14" s="1" customFormat="1" ht="25.2" customHeight="1" x14ac:dyDescent="0.3">
      <c r="L8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87" s="1">
        <f>N86+Table118192023103031323538394041481115182028317[[#This Row],[اجمالي الفاتوره]]-Table118192023103031323538394041481115182028317[[#This Row],[الدفعات]]</f>
        <v>359137.22000000003</v>
      </c>
    </row>
    <row r="88" spans="12:14" s="1" customFormat="1" ht="25.2" customHeight="1" x14ac:dyDescent="0.3">
      <c r="L8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88" s="1">
        <f>N87+Table118192023103031323538394041481115182028317[[#This Row],[اجمالي الفاتوره]]-Table118192023103031323538394041481115182028317[[#This Row],[الدفعات]]</f>
        <v>359137.22000000003</v>
      </c>
    </row>
    <row r="89" spans="12:14" s="1" customFormat="1" ht="25.2" customHeight="1" x14ac:dyDescent="0.3">
      <c r="L8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89" s="1">
        <f>N88+Table118192023103031323538394041481115182028317[[#This Row],[اجمالي الفاتوره]]-Table118192023103031323538394041481115182028317[[#This Row],[الدفعات]]</f>
        <v>359137.22000000003</v>
      </c>
    </row>
    <row r="90" spans="12:14" s="1" customFormat="1" ht="25.2" customHeight="1" x14ac:dyDescent="0.3">
      <c r="L9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90" s="1">
        <f>N89+Table118192023103031323538394041481115182028317[[#This Row],[اجمالي الفاتوره]]-Table118192023103031323538394041481115182028317[[#This Row],[الدفعات]]</f>
        <v>359137.22000000003</v>
      </c>
    </row>
    <row r="91" spans="12:14" s="1" customFormat="1" ht="25.2" customHeight="1" x14ac:dyDescent="0.3">
      <c r="L9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91" s="1">
        <f>N90+Table118192023103031323538394041481115182028317[[#This Row],[اجمالي الفاتوره]]-Table118192023103031323538394041481115182028317[[#This Row],[الدفعات]]</f>
        <v>359137.22000000003</v>
      </c>
    </row>
    <row r="92" spans="12:14" s="1" customFormat="1" ht="25.2" customHeight="1" x14ac:dyDescent="0.3">
      <c r="L9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92" s="1">
        <f>N91+Table118192023103031323538394041481115182028317[[#This Row],[اجمالي الفاتوره]]-Table118192023103031323538394041481115182028317[[#This Row],[الدفعات]]</f>
        <v>359137.22000000003</v>
      </c>
    </row>
    <row r="93" spans="12:14" s="1" customFormat="1" ht="25.2" customHeight="1" x14ac:dyDescent="0.3">
      <c r="L9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93" s="1">
        <f>N92+Table118192023103031323538394041481115182028317[[#This Row],[اجمالي الفاتوره]]-Table118192023103031323538394041481115182028317[[#This Row],[الدفعات]]</f>
        <v>359137.22000000003</v>
      </c>
    </row>
    <row r="94" spans="12:14" s="1" customFormat="1" ht="25.2" customHeight="1" x14ac:dyDescent="0.3">
      <c r="L9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94" s="1">
        <f>N93+Table118192023103031323538394041481115182028317[[#This Row],[اجمالي الفاتوره]]-Table118192023103031323538394041481115182028317[[#This Row],[الدفعات]]</f>
        <v>359137.22000000003</v>
      </c>
    </row>
    <row r="95" spans="12:14" s="1" customFormat="1" ht="25.2" customHeight="1" x14ac:dyDescent="0.3">
      <c r="L9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95" s="1">
        <f>N94+Table118192023103031323538394041481115182028317[[#This Row],[اجمالي الفاتوره]]-Table118192023103031323538394041481115182028317[[#This Row],[الدفعات]]</f>
        <v>359137.22000000003</v>
      </c>
    </row>
    <row r="96" spans="12:14" s="1" customFormat="1" ht="25.2" customHeight="1" x14ac:dyDescent="0.3">
      <c r="L9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96" s="1">
        <f>N95+Table118192023103031323538394041481115182028317[[#This Row],[اجمالي الفاتوره]]-Table118192023103031323538394041481115182028317[[#This Row],[الدفعات]]</f>
        <v>359137.22000000003</v>
      </c>
    </row>
    <row r="97" spans="12:14" s="1" customFormat="1" ht="25.2" customHeight="1" x14ac:dyDescent="0.3">
      <c r="L9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97" s="1">
        <f>N96+Table118192023103031323538394041481115182028317[[#This Row],[اجمالي الفاتوره]]-Table118192023103031323538394041481115182028317[[#This Row],[الدفعات]]</f>
        <v>359137.22000000003</v>
      </c>
    </row>
    <row r="98" spans="12:14" s="1" customFormat="1" ht="25.2" customHeight="1" x14ac:dyDescent="0.3">
      <c r="L9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98" s="1">
        <f>N97+Table118192023103031323538394041481115182028317[[#This Row],[اجمالي الفاتوره]]-Table118192023103031323538394041481115182028317[[#This Row],[الدفعات]]</f>
        <v>359137.22000000003</v>
      </c>
    </row>
    <row r="99" spans="12:14" s="1" customFormat="1" ht="25.2" customHeight="1" x14ac:dyDescent="0.3">
      <c r="L9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99" s="1">
        <f>N98+Table118192023103031323538394041481115182028317[[#This Row],[اجمالي الفاتوره]]-Table118192023103031323538394041481115182028317[[#This Row],[الدفعات]]</f>
        <v>359137.22000000003</v>
      </c>
    </row>
    <row r="100" spans="12:14" s="1" customFormat="1" ht="25.2" customHeight="1" x14ac:dyDescent="0.3">
      <c r="L10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00" s="1">
        <f>N99+Table118192023103031323538394041481115182028317[[#This Row],[اجمالي الفاتوره]]-Table118192023103031323538394041481115182028317[[#This Row],[الدفعات]]</f>
        <v>359137.22000000003</v>
      </c>
    </row>
    <row r="101" spans="12:14" s="1" customFormat="1" ht="25.2" customHeight="1" x14ac:dyDescent="0.3">
      <c r="L10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01" s="1">
        <f>N100+Table118192023103031323538394041481115182028317[[#This Row],[اجمالي الفاتوره]]-Table118192023103031323538394041481115182028317[[#This Row],[الدفعات]]</f>
        <v>359137.22000000003</v>
      </c>
    </row>
    <row r="102" spans="12:14" s="1" customFormat="1" ht="25.2" customHeight="1" x14ac:dyDescent="0.3">
      <c r="L10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02" s="1">
        <f>N101+Table118192023103031323538394041481115182028317[[#This Row],[اجمالي الفاتوره]]-Table118192023103031323538394041481115182028317[[#This Row],[الدفعات]]</f>
        <v>359137.22000000003</v>
      </c>
    </row>
    <row r="103" spans="12:14" s="1" customFormat="1" ht="25.2" customHeight="1" x14ac:dyDescent="0.3">
      <c r="L10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03" s="1">
        <f>N102+Table118192023103031323538394041481115182028317[[#This Row],[اجمالي الفاتوره]]-Table118192023103031323538394041481115182028317[[#This Row],[الدفعات]]</f>
        <v>359137.22000000003</v>
      </c>
    </row>
    <row r="104" spans="12:14" s="1" customFormat="1" ht="25.2" customHeight="1" x14ac:dyDescent="0.3">
      <c r="L10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04" s="1">
        <f>N103+Table118192023103031323538394041481115182028317[[#This Row],[اجمالي الفاتوره]]-Table118192023103031323538394041481115182028317[[#This Row],[الدفعات]]</f>
        <v>359137.22000000003</v>
      </c>
    </row>
    <row r="105" spans="12:14" s="1" customFormat="1" ht="25.2" customHeight="1" x14ac:dyDescent="0.3">
      <c r="L10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05" s="1">
        <f>N104+Table118192023103031323538394041481115182028317[[#This Row],[اجمالي الفاتوره]]-Table118192023103031323538394041481115182028317[[#This Row],[الدفعات]]</f>
        <v>359137.22000000003</v>
      </c>
    </row>
    <row r="106" spans="12:14" s="1" customFormat="1" ht="25.2" customHeight="1" x14ac:dyDescent="0.3">
      <c r="L10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06" s="1">
        <f>N105+Table118192023103031323538394041481115182028317[[#This Row],[اجمالي الفاتوره]]-Table118192023103031323538394041481115182028317[[#This Row],[الدفعات]]</f>
        <v>359137.22000000003</v>
      </c>
    </row>
    <row r="107" spans="12:14" s="1" customFormat="1" ht="25.2" customHeight="1" x14ac:dyDescent="0.3">
      <c r="L10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07" s="1">
        <f>N106+Table118192023103031323538394041481115182028317[[#This Row],[اجمالي الفاتوره]]-Table118192023103031323538394041481115182028317[[#This Row],[الدفعات]]</f>
        <v>359137.22000000003</v>
      </c>
    </row>
    <row r="108" spans="12:14" s="1" customFormat="1" ht="25.2" customHeight="1" x14ac:dyDescent="0.3">
      <c r="L10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08" s="1">
        <f>N107+Table118192023103031323538394041481115182028317[[#This Row],[اجمالي الفاتوره]]-Table118192023103031323538394041481115182028317[[#This Row],[الدفعات]]</f>
        <v>359137.22000000003</v>
      </c>
    </row>
    <row r="109" spans="12:14" s="1" customFormat="1" ht="25.2" customHeight="1" x14ac:dyDescent="0.3">
      <c r="L10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09" s="1">
        <f>N108+Table118192023103031323538394041481115182028317[[#This Row],[اجمالي الفاتوره]]-Table118192023103031323538394041481115182028317[[#This Row],[الدفعات]]</f>
        <v>359137.22000000003</v>
      </c>
    </row>
    <row r="110" spans="12:14" s="1" customFormat="1" ht="25.2" customHeight="1" x14ac:dyDescent="0.3">
      <c r="L11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10" s="1">
        <f>N109+Table118192023103031323538394041481115182028317[[#This Row],[اجمالي الفاتوره]]-Table118192023103031323538394041481115182028317[[#This Row],[الدفعات]]</f>
        <v>359137.22000000003</v>
      </c>
    </row>
    <row r="111" spans="12:14" s="1" customFormat="1" ht="25.2" customHeight="1" x14ac:dyDescent="0.3">
      <c r="L11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11" s="1">
        <f>N110+Table118192023103031323538394041481115182028317[[#This Row],[اجمالي الفاتوره]]-Table118192023103031323538394041481115182028317[[#This Row],[الدفعات]]</f>
        <v>359137.22000000003</v>
      </c>
    </row>
    <row r="112" spans="12:14" s="1" customFormat="1" ht="25.2" customHeight="1" x14ac:dyDescent="0.3">
      <c r="L11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12" s="1">
        <f>N111+Table118192023103031323538394041481115182028317[[#This Row],[اجمالي الفاتوره]]-Table118192023103031323538394041481115182028317[[#This Row],[الدفعات]]</f>
        <v>359137.22000000003</v>
      </c>
    </row>
    <row r="113" spans="12:14" s="1" customFormat="1" ht="25.2" customHeight="1" x14ac:dyDescent="0.3">
      <c r="L11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13" s="1">
        <f>N112+Table118192023103031323538394041481115182028317[[#This Row],[اجمالي الفاتوره]]-Table118192023103031323538394041481115182028317[[#This Row],[الدفعات]]</f>
        <v>359137.22000000003</v>
      </c>
    </row>
    <row r="114" spans="12:14" s="1" customFormat="1" ht="25.2" customHeight="1" x14ac:dyDescent="0.3">
      <c r="L11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14" s="1">
        <f>N113+Table118192023103031323538394041481115182028317[[#This Row],[اجمالي الفاتوره]]-Table118192023103031323538394041481115182028317[[#This Row],[الدفعات]]</f>
        <v>359137.22000000003</v>
      </c>
    </row>
    <row r="115" spans="12:14" s="1" customFormat="1" ht="25.2" customHeight="1" x14ac:dyDescent="0.3">
      <c r="L11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15" s="1">
        <f>N114+Table118192023103031323538394041481115182028317[[#This Row],[اجمالي الفاتوره]]-Table118192023103031323538394041481115182028317[[#This Row],[الدفعات]]</f>
        <v>359137.22000000003</v>
      </c>
    </row>
    <row r="116" spans="12:14" s="1" customFormat="1" ht="25.2" customHeight="1" x14ac:dyDescent="0.3">
      <c r="L11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16" s="1">
        <f>N115+Table118192023103031323538394041481115182028317[[#This Row],[اجمالي الفاتوره]]-Table118192023103031323538394041481115182028317[[#This Row],[الدفعات]]</f>
        <v>359137.22000000003</v>
      </c>
    </row>
    <row r="117" spans="12:14" s="1" customFormat="1" ht="25.2" customHeight="1" x14ac:dyDescent="0.3">
      <c r="L11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17" s="1">
        <f>N116+Table118192023103031323538394041481115182028317[[#This Row],[اجمالي الفاتوره]]-Table118192023103031323538394041481115182028317[[#This Row],[الدفعات]]</f>
        <v>359137.22000000003</v>
      </c>
    </row>
    <row r="118" spans="12:14" s="1" customFormat="1" ht="25.2" customHeight="1" x14ac:dyDescent="0.3">
      <c r="L11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18" s="1">
        <f>N117+Table118192023103031323538394041481115182028317[[#This Row],[اجمالي الفاتوره]]-Table118192023103031323538394041481115182028317[[#This Row],[الدفعات]]</f>
        <v>359137.22000000003</v>
      </c>
    </row>
    <row r="119" spans="12:14" s="1" customFormat="1" ht="25.2" customHeight="1" x14ac:dyDescent="0.3">
      <c r="L11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19" s="1">
        <f>N118+Table118192023103031323538394041481115182028317[[#This Row],[اجمالي الفاتوره]]-Table118192023103031323538394041481115182028317[[#This Row],[الدفعات]]</f>
        <v>359137.22000000003</v>
      </c>
    </row>
    <row r="120" spans="12:14" s="1" customFormat="1" ht="25.2" customHeight="1" x14ac:dyDescent="0.3">
      <c r="L12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20" s="1">
        <f>N119+Table118192023103031323538394041481115182028317[[#This Row],[اجمالي الفاتوره]]-Table118192023103031323538394041481115182028317[[#This Row],[الدفعات]]</f>
        <v>359137.22000000003</v>
      </c>
    </row>
    <row r="121" spans="12:14" s="1" customFormat="1" ht="25.2" customHeight="1" x14ac:dyDescent="0.3">
      <c r="L12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21" s="1">
        <f>N120+Table118192023103031323538394041481115182028317[[#This Row],[اجمالي الفاتوره]]-Table118192023103031323538394041481115182028317[[#This Row],[الدفعات]]</f>
        <v>359137.22000000003</v>
      </c>
    </row>
    <row r="122" spans="12:14" s="1" customFormat="1" ht="25.2" customHeight="1" x14ac:dyDescent="0.3">
      <c r="L12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22" s="1">
        <f>N121+Table118192023103031323538394041481115182028317[[#This Row],[اجمالي الفاتوره]]-Table118192023103031323538394041481115182028317[[#This Row],[الدفعات]]</f>
        <v>359137.22000000003</v>
      </c>
    </row>
    <row r="123" spans="12:14" s="1" customFormat="1" ht="25.2" customHeight="1" x14ac:dyDescent="0.3">
      <c r="L12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23" s="1">
        <f>N122+Table118192023103031323538394041481115182028317[[#This Row],[اجمالي الفاتوره]]-Table118192023103031323538394041481115182028317[[#This Row],[الدفعات]]</f>
        <v>359137.22000000003</v>
      </c>
    </row>
    <row r="124" spans="12:14" s="1" customFormat="1" ht="25.2" customHeight="1" x14ac:dyDescent="0.3">
      <c r="L12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24" s="1">
        <f>N123+Table118192023103031323538394041481115182028317[[#This Row],[اجمالي الفاتوره]]-Table118192023103031323538394041481115182028317[[#This Row],[الدفعات]]</f>
        <v>359137.22000000003</v>
      </c>
    </row>
    <row r="125" spans="12:14" s="1" customFormat="1" ht="25.2" customHeight="1" x14ac:dyDescent="0.3">
      <c r="L12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25" s="1">
        <f>N124+Table118192023103031323538394041481115182028317[[#This Row],[اجمالي الفاتوره]]-Table118192023103031323538394041481115182028317[[#This Row],[الدفعات]]</f>
        <v>359137.22000000003</v>
      </c>
    </row>
    <row r="126" spans="12:14" s="1" customFormat="1" ht="25.2" customHeight="1" x14ac:dyDescent="0.3">
      <c r="L12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26" s="1">
        <f>N125+Table118192023103031323538394041481115182028317[[#This Row],[اجمالي الفاتوره]]-Table118192023103031323538394041481115182028317[[#This Row],[الدفعات]]</f>
        <v>359137.22000000003</v>
      </c>
    </row>
    <row r="127" spans="12:14" s="1" customFormat="1" ht="25.2" customHeight="1" x14ac:dyDescent="0.3">
      <c r="L12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27" s="1">
        <f>N126+Table118192023103031323538394041481115182028317[[#This Row],[اجمالي الفاتوره]]-Table118192023103031323538394041481115182028317[[#This Row],[الدفعات]]</f>
        <v>359137.22000000003</v>
      </c>
    </row>
    <row r="128" spans="12:14" s="1" customFormat="1" ht="25.2" customHeight="1" x14ac:dyDescent="0.3">
      <c r="L12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28" s="1">
        <f>N127+Table118192023103031323538394041481115182028317[[#This Row],[اجمالي الفاتوره]]-Table118192023103031323538394041481115182028317[[#This Row],[الدفعات]]</f>
        <v>359137.22000000003</v>
      </c>
    </row>
    <row r="129" spans="12:14" s="1" customFormat="1" ht="25.2" customHeight="1" x14ac:dyDescent="0.3">
      <c r="L12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29" s="1">
        <f>N128+Table118192023103031323538394041481115182028317[[#This Row],[اجمالي الفاتوره]]-Table118192023103031323538394041481115182028317[[#This Row],[الدفعات]]</f>
        <v>359137.22000000003</v>
      </c>
    </row>
    <row r="130" spans="12:14" s="1" customFormat="1" ht="25.2" customHeight="1" x14ac:dyDescent="0.3">
      <c r="L13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30" s="1">
        <f>N129+Table118192023103031323538394041481115182028317[[#This Row],[اجمالي الفاتوره]]-Table118192023103031323538394041481115182028317[[#This Row],[الدفعات]]</f>
        <v>359137.22000000003</v>
      </c>
    </row>
    <row r="131" spans="12:14" s="1" customFormat="1" ht="25.2" customHeight="1" x14ac:dyDescent="0.3">
      <c r="L13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31" s="1">
        <f>N130+Table118192023103031323538394041481115182028317[[#This Row],[اجمالي الفاتوره]]-Table118192023103031323538394041481115182028317[[#This Row],[الدفعات]]</f>
        <v>359137.22000000003</v>
      </c>
    </row>
    <row r="132" spans="12:14" s="1" customFormat="1" ht="25.2" customHeight="1" x14ac:dyDescent="0.3">
      <c r="L13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32" s="1">
        <f>N131+Table118192023103031323538394041481115182028317[[#This Row],[اجمالي الفاتوره]]-Table118192023103031323538394041481115182028317[[#This Row],[الدفعات]]</f>
        <v>359137.22000000003</v>
      </c>
    </row>
    <row r="133" spans="12:14" s="1" customFormat="1" ht="25.2" customHeight="1" x14ac:dyDescent="0.3">
      <c r="L13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33" s="1">
        <f>N132+Table118192023103031323538394041481115182028317[[#This Row],[اجمالي الفاتوره]]-Table118192023103031323538394041481115182028317[[#This Row],[الدفعات]]</f>
        <v>359137.22000000003</v>
      </c>
    </row>
    <row r="134" spans="12:14" s="1" customFormat="1" ht="25.2" customHeight="1" x14ac:dyDescent="0.3">
      <c r="L13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34" s="1">
        <f>N133+Table118192023103031323538394041481115182028317[[#This Row],[اجمالي الفاتوره]]-Table118192023103031323538394041481115182028317[[#This Row],[الدفعات]]</f>
        <v>359137.22000000003</v>
      </c>
    </row>
    <row r="135" spans="12:14" s="1" customFormat="1" ht="25.2" customHeight="1" x14ac:dyDescent="0.3">
      <c r="L13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35" s="1">
        <f>N134+Table118192023103031323538394041481115182028317[[#This Row],[اجمالي الفاتوره]]-Table118192023103031323538394041481115182028317[[#This Row],[الدفعات]]</f>
        <v>359137.22000000003</v>
      </c>
    </row>
    <row r="136" spans="12:14" s="1" customFormat="1" ht="25.2" customHeight="1" x14ac:dyDescent="0.3">
      <c r="L13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36" s="1">
        <f>N135+Table118192023103031323538394041481115182028317[[#This Row],[اجمالي الفاتوره]]-Table118192023103031323538394041481115182028317[[#This Row],[الدفعات]]</f>
        <v>359137.22000000003</v>
      </c>
    </row>
    <row r="137" spans="12:14" s="1" customFormat="1" ht="25.2" customHeight="1" x14ac:dyDescent="0.3">
      <c r="L13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37" s="1">
        <f>N136+Table118192023103031323538394041481115182028317[[#This Row],[اجمالي الفاتوره]]-Table118192023103031323538394041481115182028317[[#This Row],[الدفعات]]</f>
        <v>359137.22000000003</v>
      </c>
    </row>
    <row r="138" spans="12:14" s="1" customFormat="1" ht="25.2" customHeight="1" x14ac:dyDescent="0.3">
      <c r="L13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38" s="1">
        <f>N137+Table118192023103031323538394041481115182028317[[#This Row],[اجمالي الفاتوره]]-Table118192023103031323538394041481115182028317[[#This Row],[الدفعات]]</f>
        <v>359137.22000000003</v>
      </c>
    </row>
    <row r="139" spans="12:14" s="1" customFormat="1" ht="25.2" customHeight="1" x14ac:dyDescent="0.3">
      <c r="L13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39" s="1">
        <f>N138+Table118192023103031323538394041481115182028317[[#This Row],[اجمالي الفاتوره]]-Table118192023103031323538394041481115182028317[[#This Row],[الدفعات]]</f>
        <v>359137.22000000003</v>
      </c>
    </row>
    <row r="140" spans="12:14" s="1" customFormat="1" ht="25.2" customHeight="1" x14ac:dyDescent="0.3">
      <c r="L14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40" s="1">
        <f>N139+Table118192023103031323538394041481115182028317[[#This Row],[اجمالي الفاتوره]]-Table118192023103031323538394041481115182028317[[#This Row],[الدفعات]]</f>
        <v>359137.22000000003</v>
      </c>
    </row>
    <row r="141" spans="12:14" s="1" customFormat="1" ht="25.2" customHeight="1" x14ac:dyDescent="0.3">
      <c r="L14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41" s="1">
        <f>N140+Table118192023103031323538394041481115182028317[[#This Row],[اجمالي الفاتوره]]-Table118192023103031323538394041481115182028317[[#This Row],[الدفعات]]</f>
        <v>359137.22000000003</v>
      </c>
    </row>
    <row r="142" spans="12:14" s="1" customFormat="1" ht="25.2" customHeight="1" x14ac:dyDescent="0.3">
      <c r="L14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42" s="1">
        <f>N141+Table118192023103031323538394041481115182028317[[#This Row],[اجمالي الفاتوره]]-Table118192023103031323538394041481115182028317[[#This Row],[الدفعات]]</f>
        <v>359137.22000000003</v>
      </c>
    </row>
    <row r="143" spans="12:14" s="1" customFormat="1" ht="25.2" customHeight="1" x14ac:dyDescent="0.3">
      <c r="L14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43" s="1">
        <f>N142+Table118192023103031323538394041481115182028317[[#This Row],[اجمالي الفاتوره]]-Table118192023103031323538394041481115182028317[[#This Row],[الدفعات]]</f>
        <v>359137.22000000003</v>
      </c>
    </row>
    <row r="144" spans="12:14" s="1" customFormat="1" ht="25.2" customHeight="1" x14ac:dyDescent="0.3">
      <c r="L14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44" s="1">
        <f>N143+Table118192023103031323538394041481115182028317[[#This Row],[اجمالي الفاتوره]]-Table118192023103031323538394041481115182028317[[#This Row],[الدفعات]]</f>
        <v>359137.22000000003</v>
      </c>
    </row>
    <row r="145" spans="12:14" s="1" customFormat="1" ht="25.2" customHeight="1" x14ac:dyDescent="0.3">
      <c r="L14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45" s="1">
        <f>N144+Table118192023103031323538394041481115182028317[[#This Row],[اجمالي الفاتوره]]-Table118192023103031323538394041481115182028317[[#This Row],[الدفعات]]</f>
        <v>359137.22000000003</v>
      </c>
    </row>
    <row r="146" spans="12:14" s="1" customFormat="1" ht="25.2" customHeight="1" x14ac:dyDescent="0.3">
      <c r="L14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46" s="1">
        <f>N145+Table118192023103031323538394041481115182028317[[#This Row],[اجمالي الفاتوره]]-Table118192023103031323538394041481115182028317[[#This Row],[الدفعات]]</f>
        <v>359137.22000000003</v>
      </c>
    </row>
    <row r="147" spans="12:14" s="1" customFormat="1" ht="25.2" customHeight="1" x14ac:dyDescent="0.3">
      <c r="L14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47" s="1">
        <f>N146+Table118192023103031323538394041481115182028317[[#This Row],[اجمالي الفاتوره]]-Table118192023103031323538394041481115182028317[[#This Row],[الدفعات]]</f>
        <v>359137.22000000003</v>
      </c>
    </row>
    <row r="148" spans="12:14" s="1" customFormat="1" ht="25.2" customHeight="1" x14ac:dyDescent="0.3">
      <c r="L14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48" s="1">
        <f>N147+Table118192023103031323538394041481115182028317[[#This Row],[اجمالي الفاتوره]]-Table118192023103031323538394041481115182028317[[#This Row],[الدفعات]]</f>
        <v>359137.22000000003</v>
      </c>
    </row>
    <row r="149" spans="12:14" s="1" customFormat="1" ht="25.2" customHeight="1" x14ac:dyDescent="0.3">
      <c r="L14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49" s="1">
        <f>N148+Table118192023103031323538394041481115182028317[[#This Row],[اجمالي الفاتوره]]-Table118192023103031323538394041481115182028317[[#This Row],[الدفعات]]</f>
        <v>359137.22000000003</v>
      </c>
    </row>
    <row r="150" spans="12:14" s="1" customFormat="1" ht="25.2" customHeight="1" x14ac:dyDescent="0.3">
      <c r="L15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50" s="1">
        <f>N149+Table118192023103031323538394041481115182028317[[#This Row],[اجمالي الفاتوره]]-Table118192023103031323538394041481115182028317[[#This Row],[الدفعات]]</f>
        <v>359137.22000000003</v>
      </c>
    </row>
    <row r="151" spans="12:14" s="1" customFormat="1" ht="25.2" customHeight="1" x14ac:dyDescent="0.3">
      <c r="L15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51" s="1">
        <f>N150+Table118192023103031323538394041481115182028317[[#This Row],[اجمالي الفاتوره]]-Table118192023103031323538394041481115182028317[[#This Row],[الدفعات]]</f>
        <v>359137.22000000003</v>
      </c>
    </row>
    <row r="152" spans="12:14" s="1" customFormat="1" ht="25.2" customHeight="1" x14ac:dyDescent="0.3">
      <c r="L15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52" s="1">
        <f>N151+Table118192023103031323538394041481115182028317[[#This Row],[اجمالي الفاتوره]]-Table118192023103031323538394041481115182028317[[#This Row],[الدفعات]]</f>
        <v>359137.22000000003</v>
      </c>
    </row>
    <row r="153" spans="12:14" s="1" customFormat="1" ht="25.2" customHeight="1" x14ac:dyDescent="0.3">
      <c r="L15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53" s="1">
        <f>N152+Table118192023103031323538394041481115182028317[[#This Row],[اجمالي الفاتوره]]-Table118192023103031323538394041481115182028317[[#This Row],[الدفعات]]</f>
        <v>359137.22000000003</v>
      </c>
    </row>
    <row r="154" spans="12:14" s="1" customFormat="1" ht="25.2" customHeight="1" x14ac:dyDescent="0.3">
      <c r="L15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54" s="1">
        <f>N153+Table118192023103031323538394041481115182028317[[#This Row],[اجمالي الفاتوره]]-Table118192023103031323538394041481115182028317[[#This Row],[الدفعات]]</f>
        <v>359137.22000000003</v>
      </c>
    </row>
    <row r="155" spans="12:14" s="1" customFormat="1" ht="25.2" customHeight="1" x14ac:dyDescent="0.3">
      <c r="L15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55" s="1">
        <f>N154+Table118192023103031323538394041481115182028317[[#This Row],[اجمالي الفاتوره]]-Table118192023103031323538394041481115182028317[[#This Row],[الدفعات]]</f>
        <v>359137.22000000003</v>
      </c>
    </row>
    <row r="156" spans="12:14" s="1" customFormat="1" ht="25.2" customHeight="1" x14ac:dyDescent="0.3">
      <c r="L15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56" s="1">
        <f>N155+Table118192023103031323538394041481115182028317[[#This Row],[اجمالي الفاتوره]]-Table118192023103031323538394041481115182028317[[#This Row],[الدفعات]]</f>
        <v>359137.22000000003</v>
      </c>
    </row>
    <row r="157" spans="12:14" s="1" customFormat="1" ht="25.2" customHeight="1" x14ac:dyDescent="0.3">
      <c r="L15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57" s="1">
        <f>N156+Table118192023103031323538394041481115182028317[[#This Row],[اجمالي الفاتوره]]-Table118192023103031323538394041481115182028317[[#This Row],[الدفعات]]</f>
        <v>359137.22000000003</v>
      </c>
    </row>
    <row r="158" spans="12:14" s="1" customFormat="1" ht="25.2" customHeight="1" x14ac:dyDescent="0.3">
      <c r="L15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58" s="1">
        <f>N157+Table118192023103031323538394041481115182028317[[#This Row],[اجمالي الفاتوره]]-Table118192023103031323538394041481115182028317[[#This Row],[الدفعات]]</f>
        <v>359137.22000000003</v>
      </c>
    </row>
    <row r="159" spans="12:14" s="1" customFormat="1" ht="25.2" customHeight="1" x14ac:dyDescent="0.3">
      <c r="L15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59" s="1">
        <f>N158+Table118192023103031323538394041481115182028317[[#This Row],[اجمالي الفاتوره]]-Table118192023103031323538394041481115182028317[[#This Row],[الدفعات]]</f>
        <v>359137.22000000003</v>
      </c>
    </row>
    <row r="160" spans="12:14" s="1" customFormat="1" ht="25.2" customHeight="1" x14ac:dyDescent="0.3">
      <c r="L16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60" s="1">
        <f>N159+Table118192023103031323538394041481115182028317[[#This Row],[اجمالي الفاتوره]]-Table118192023103031323538394041481115182028317[[#This Row],[الدفعات]]</f>
        <v>359137.22000000003</v>
      </c>
    </row>
    <row r="161" spans="12:14" s="1" customFormat="1" ht="25.2" customHeight="1" x14ac:dyDescent="0.3">
      <c r="L16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61" s="1">
        <f>N160+Table118192023103031323538394041481115182028317[[#This Row],[اجمالي الفاتوره]]-Table118192023103031323538394041481115182028317[[#This Row],[الدفعات]]</f>
        <v>359137.22000000003</v>
      </c>
    </row>
    <row r="162" spans="12:14" s="1" customFormat="1" ht="25.2" customHeight="1" x14ac:dyDescent="0.3">
      <c r="L16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62" s="1">
        <f>N161+Table118192023103031323538394041481115182028317[[#This Row],[اجمالي الفاتوره]]-Table118192023103031323538394041481115182028317[[#This Row],[الدفعات]]</f>
        <v>359137.22000000003</v>
      </c>
    </row>
    <row r="163" spans="12:14" s="1" customFormat="1" ht="25.2" customHeight="1" x14ac:dyDescent="0.3">
      <c r="L16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63" s="1">
        <f>N162+Table118192023103031323538394041481115182028317[[#This Row],[اجمالي الفاتوره]]-Table118192023103031323538394041481115182028317[[#This Row],[الدفعات]]</f>
        <v>359137.22000000003</v>
      </c>
    </row>
    <row r="164" spans="12:14" s="1" customFormat="1" ht="25.2" customHeight="1" x14ac:dyDescent="0.3">
      <c r="L16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64" s="1">
        <f>N163+Table118192023103031323538394041481115182028317[[#This Row],[اجمالي الفاتوره]]-Table118192023103031323538394041481115182028317[[#This Row],[الدفعات]]</f>
        <v>359137.22000000003</v>
      </c>
    </row>
    <row r="165" spans="12:14" s="1" customFormat="1" ht="25.2" customHeight="1" x14ac:dyDescent="0.3">
      <c r="L16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65" s="1">
        <f>N164+Table118192023103031323538394041481115182028317[[#This Row],[اجمالي الفاتوره]]-Table118192023103031323538394041481115182028317[[#This Row],[الدفعات]]</f>
        <v>359137.22000000003</v>
      </c>
    </row>
    <row r="166" spans="12:14" s="1" customFormat="1" ht="25.2" customHeight="1" x14ac:dyDescent="0.3">
      <c r="L16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66" s="1">
        <f>N165+Table118192023103031323538394041481115182028317[[#This Row],[اجمالي الفاتوره]]-Table118192023103031323538394041481115182028317[[#This Row],[الدفعات]]</f>
        <v>359137.22000000003</v>
      </c>
    </row>
    <row r="167" spans="12:14" s="1" customFormat="1" ht="25.2" customHeight="1" x14ac:dyDescent="0.3">
      <c r="L16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67" s="1">
        <f>N166+Table118192023103031323538394041481115182028317[[#This Row],[اجمالي الفاتوره]]-Table118192023103031323538394041481115182028317[[#This Row],[الدفعات]]</f>
        <v>359137.22000000003</v>
      </c>
    </row>
    <row r="168" spans="12:14" s="1" customFormat="1" ht="25.2" customHeight="1" x14ac:dyDescent="0.3">
      <c r="L16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68" s="1">
        <f>N167+Table118192023103031323538394041481115182028317[[#This Row],[اجمالي الفاتوره]]-Table118192023103031323538394041481115182028317[[#This Row],[الدفعات]]</f>
        <v>359137.22000000003</v>
      </c>
    </row>
    <row r="169" spans="12:14" s="1" customFormat="1" ht="25.2" customHeight="1" x14ac:dyDescent="0.3">
      <c r="L16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69" s="1">
        <f>N168+Table118192023103031323538394041481115182028317[[#This Row],[اجمالي الفاتوره]]-Table118192023103031323538394041481115182028317[[#This Row],[الدفعات]]</f>
        <v>359137.22000000003</v>
      </c>
    </row>
    <row r="170" spans="12:14" s="1" customFormat="1" ht="25.2" customHeight="1" x14ac:dyDescent="0.3">
      <c r="L17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70" s="1">
        <f>N169+Table118192023103031323538394041481115182028317[[#This Row],[اجمالي الفاتوره]]-Table118192023103031323538394041481115182028317[[#This Row],[الدفعات]]</f>
        <v>359137.22000000003</v>
      </c>
    </row>
    <row r="171" spans="12:14" s="1" customFormat="1" ht="25.2" customHeight="1" x14ac:dyDescent="0.3">
      <c r="L17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71" s="1">
        <f>N170+Table118192023103031323538394041481115182028317[[#This Row],[اجمالي الفاتوره]]-Table118192023103031323538394041481115182028317[[#This Row],[الدفعات]]</f>
        <v>359137.22000000003</v>
      </c>
    </row>
    <row r="172" spans="12:14" s="1" customFormat="1" ht="25.2" customHeight="1" x14ac:dyDescent="0.3">
      <c r="L17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72" s="1">
        <f>N171+Table118192023103031323538394041481115182028317[[#This Row],[اجمالي الفاتوره]]-Table118192023103031323538394041481115182028317[[#This Row],[الدفعات]]</f>
        <v>359137.22000000003</v>
      </c>
    </row>
    <row r="173" spans="12:14" s="1" customFormat="1" ht="25.2" customHeight="1" x14ac:dyDescent="0.3">
      <c r="L17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73" s="1">
        <f>N172+Table118192023103031323538394041481115182028317[[#This Row],[اجمالي الفاتوره]]-Table118192023103031323538394041481115182028317[[#This Row],[الدفعات]]</f>
        <v>359137.22000000003</v>
      </c>
    </row>
    <row r="174" spans="12:14" s="1" customFormat="1" ht="25.2" customHeight="1" x14ac:dyDescent="0.3">
      <c r="L17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74" s="1">
        <f>N173+Table118192023103031323538394041481115182028317[[#This Row],[اجمالي الفاتوره]]-Table118192023103031323538394041481115182028317[[#This Row],[الدفعات]]</f>
        <v>359137.22000000003</v>
      </c>
    </row>
    <row r="175" spans="12:14" s="1" customFormat="1" ht="25.2" customHeight="1" x14ac:dyDescent="0.3">
      <c r="L17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75" s="1">
        <f>N174+Table118192023103031323538394041481115182028317[[#This Row],[اجمالي الفاتوره]]-Table118192023103031323538394041481115182028317[[#This Row],[الدفعات]]</f>
        <v>359137.22000000003</v>
      </c>
    </row>
    <row r="176" spans="12:14" s="1" customFormat="1" ht="25.2" customHeight="1" x14ac:dyDescent="0.3">
      <c r="L17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76" s="1">
        <f>N175+Table118192023103031323538394041481115182028317[[#This Row],[اجمالي الفاتوره]]-Table118192023103031323538394041481115182028317[[#This Row],[الدفعات]]</f>
        <v>359137.22000000003</v>
      </c>
    </row>
    <row r="177" spans="12:14" s="1" customFormat="1" ht="25.2" customHeight="1" x14ac:dyDescent="0.3">
      <c r="L17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77" s="1">
        <f>N176+Table118192023103031323538394041481115182028317[[#This Row],[اجمالي الفاتوره]]-Table118192023103031323538394041481115182028317[[#This Row],[الدفعات]]</f>
        <v>359137.22000000003</v>
      </c>
    </row>
    <row r="178" spans="12:14" s="1" customFormat="1" ht="25.2" customHeight="1" x14ac:dyDescent="0.3">
      <c r="L17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78" s="1">
        <f>N177+Table118192023103031323538394041481115182028317[[#This Row],[اجمالي الفاتوره]]-Table118192023103031323538394041481115182028317[[#This Row],[الدفعات]]</f>
        <v>359137.22000000003</v>
      </c>
    </row>
    <row r="179" spans="12:14" s="1" customFormat="1" ht="25.2" customHeight="1" x14ac:dyDescent="0.3">
      <c r="L17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79" s="1">
        <f>N178+Table118192023103031323538394041481115182028317[[#This Row],[اجمالي الفاتوره]]-Table118192023103031323538394041481115182028317[[#This Row],[الدفعات]]</f>
        <v>359137.22000000003</v>
      </c>
    </row>
    <row r="180" spans="12:14" s="1" customFormat="1" ht="25.2" customHeight="1" x14ac:dyDescent="0.3">
      <c r="L18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80" s="1">
        <f>N179+Table118192023103031323538394041481115182028317[[#This Row],[اجمالي الفاتوره]]-Table118192023103031323538394041481115182028317[[#This Row],[الدفعات]]</f>
        <v>359137.22000000003</v>
      </c>
    </row>
    <row r="181" spans="12:14" s="1" customFormat="1" ht="25.2" customHeight="1" x14ac:dyDescent="0.3">
      <c r="L18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81" s="1">
        <f>N180+Table118192023103031323538394041481115182028317[[#This Row],[اجمالي الفاتوره]]-Table118192023103031323538394041481115182028317[[#This Row],[الدفعات]]</f>
        <v>359137.22000000003</v>
      </c>
    </row>
    <row r="182" spans="12:14" s="1" customFormat="1" ht="25.2" customHeight="1" x14ac:dyDescent="0.3">
      <c r="L18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82" s="1">
        <f>N181+Table118192023103031323538394041481115182028317[[#This Row],[اجمالي الفاتوره]]-Table118192023103031323538394041481115182028317[[#This Row],[الدفعات]]</f>
        <v>359137.22000000003</v>
      </c>
    </row>
    <row r="183" spans="12:14" s="1" customFormat="1" ht="25.2" customHeight="1" x14ac:dyDescent="0.3">
      <c r="L18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83" s="1">
        <f>N182+Table118192023103031323538394041481115182028317[[#This Row],[اجمالي الفاتوره]]-Table118192023103031323538394041481115182028317[[#This Row],[الدفعات]]</f>
        <v>359137.22000000003</v>
      </c>
    </row>
    <row r="184" spans="12:14" s="1" customFormat="1" ht="25.2" customHeight="1" x14ac:dyDescent="0.3">
      <c r="L18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84" s="1">
        <f>N183+Table118192023103031323538394041481115182028317[[#This Row],[اجمالي الفاتوره]]-Table118192023103031323538394041481115182028317[[#This Row],[الدفعات]]</f>
        <v>359137.22000000003</v>
      </c>
    </row>
    <row r="185" spans="12:14" s="1" customFormat="1" ht="25.2" customHeight="1" x14ac:dyDescent="0.3">
      <c r="L18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85" s="1">
        <f>N184+Table118192023103031323538394041481115182028317[[#This Row],[اجمالي الفاتوره]]-Table118192023103031323538394041481115182028317[[#This Row],[الدفعات]]</f>
        <v>359137.22000000003</v>
      </c>
    </row>
    <row r="186" spans="12:14" s="1" customFormat="1" ht="25.2" customHeight="1" x14ac:dyDescent="0.3">
      <c r="L18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86" s="1">
        <f>N185+Table118192023103031323538394041481115182028317[[#This Row],[اجمالي الفاتوره]]-Table118192023103031323538394041481115182028317[[#This Row],[الدفعات]]</f>
        <v>359137.22000000003</v>
      </c>
    </row>
    <row r="187" spans="12:14" s="1" customFormat="1" ht="25.2" customHeight="1" x14ac:dyDescent="0.3">
      <c r="L18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87" s="1">
        <f>N186+Table118192023103031323538394041481115182028317[[#This Row],[اجمالي الفاتوره]]-Table118192023103031323538394041481115182028317[[#This Row],[الدفعات]]</f>
        <v>359137.22000000003</v>
      </c>
    </row>
    <row r="188" spans="12:14" s="1" customFormat="1" ht="25.2" customHeight="1" x14ac:dyDescent="0.3">
      <c r="L18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88" s="1">
        <f>N187+Table118192023103031323538394041481115182028317[[#This Row],[اجمالي الفاتوره]]-Table118192023103031323538394041481115182028317[[#This Row],[الدفعات]]</f>
        <v>359137.22000000003</v>
      </c>
    </row>
    <row r="189" spans="12:14" s="1" customFormat="1" ht="25.2" customHeight="1" x14ac:dyDescent="0.3">
      <c r="L18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89" s="1">
        <f>N188+Table118192023103031323538394041481115182028317[[#This Row],[اجمالي الفاتوره]]-Table118192023103031323538394041481115182028317[[#This Row],[الدفعات]]</f>
        <v>359137.22000000003</v>
      </c>
    </row>
    <row r="190" spans="12:14" s="1" customFormat="1" ht="25.2" customHeight="1" x14ac:dyDescent="0.3">
      <c r="L19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90" s="1">
        <f>N189+Table118192023103031323538394041481115182028317[[#This Row],[اجمالي الفاتوره]]-Table118192023103031323538394041481115182028317[[#This Row],[الدفعات]]</f>
        <v>359137.22000000003</v>
      </c>
    </row>
    <row r="191" spans="12:14" s="1" customFormat="1" ht="25.2" customHeight="1" x14ac:dyDescent="0.3">
      <c r="L19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91" s="1">
        <f>N190+Table118192023103031323538394041481115182028317[[#This Row],[اجمالي الفاتوره]]-Table118192023103031323538394041481115182028317[[#This Row],[الدفعات]]</f>
        <v>359137.22000000003</v>
      </c>
    </row>
    <row r="192" spans="12:14" s="1" customFormat="1" ht="25.2" customHeight="1" x14ac:dyDescent="0.3">
      <c r="L19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92" s="1">
        <f>N191+Table118192023103031323538394041481115182028317[[#This Row],[اجمالي الفاتوره]]-Table118192023103031323538394041481115182028317[[#This Row],[الدفعات]]</f>
        <v>359137.22000000003</v>
      </c>
    </row>
    <row r="193" spans="12:14" s="1" customFormat="1" ht="25.2" customHeight="1" x14ac:dyDescent="0.3">
      <c r="L19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93" s="1">
        <f>N192+Table118192023103031323538394041481115182028317[[#This Row],[اجمالي الفاتوره]]-Table118192023103031323538394041481115182028317[[#This Row],[الدفعات]]</f>
        <v>359137.22000000003</v>
      </c>
    </row>
    <row r="194" spans="12:14" s="1" customFormat="1" ht="25.2" customHeight="1" x14ac:dyDescent="0.3">
      <c r="L19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94" s="1">
        <f>N193+Table118192023103031323538394041481115182028317[[#This Row],[اجمالي الفاتوره]]-Table118192023103031323538394041481115182028317[[#This Row],[الدفعات]]</f>
        <v>359137.22000000003</v>
      </c>
    </row>
    <row r="195" spans="12:14" s="1" customFormat="1" ht="25.2" customHeight="1" x14ac:dyDescent="0.3">
      <c r="L19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95" s="1">
        <f>N194+Table118192023103031323538394041481115182028317[[#This Row],[اجمالي الفاتوره]]-Table118192023103031323538394041481115182028317[[#This Row],[الدفعات]]</f>
        <v>359137.22000000003</v>
      </c>
    </row>
    <row r="196" spans="12:14" s="1" customFormat="1" ht="25.2" customHeight="1" x14ac:dyDescent="0.3">
      <c r="L19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96" s="1">
        <f>N195+Table118192023103031323538394041481115182028317[[#This Row],[اجمالي الفاتوره]]-Table118192023103031323538394041481115182028317[[#This Row],[الدفعات]]</f>
        <v>359137.22000000003</v>
      </c>
    </row>
    <row r="197" spans="12:14" s="1" customFormat="1" ht="25.2" customHeight="1" x14ac:dyDescent="0.3">
      <c r="L19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97" s="1">
        <f>N196+Table118192023103031323538394041481115182028317[[#This Row],[اجمالي الفاتوره]]-Table118192023103031323538394041481115182028317[[#This Row],[الدفعات]]</f>
        <v>359137.22000000003</v>
      </c>
    </row>
    <row r="198" spans="12:14" s="1" customFormat="1" ht="25.2" customHeight="1" x14ac:dyDescent="0.3">
      <c r="L19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98" s="1">
        <f>N197+Table118192023103031323538394041481115182028317[[#This Row],[اجمالي الفاتوره]]-Table118192023103031323538394041481115182028317[[#This Row],[الدفعات]]</f>
        <v>359137.22000000003</v>
      </c>
    </row>
    <row r="199" spans="12:14" s="1" customFormat="1" ht="25.2" customHeight="1" x14ac:dyDescent="0.3">
      <c r="L19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199" s="1">
        <f>N198+Table118192023103031323538394041481115182028317[[#This Row],[اجمالي الفاتوره]]-Table118192023103031323538394041481115182028317[[#This Row],[الدفعات]]</f>
        <v>359137.22000000003</v>
      </c>
    </row>
    <row r="200" spans="12:14" s="1" customFormat="1" ht="25.2" customHeight="1" x14ac:dyDescent="0.3">
      <c r="L20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00" s="1">
        <f>N199+Table118192023103031323538394041481115182028317[[#This Row],[اجمالي الفاتوره]]-Table118192023103031323538394041481115182028317[[#This Row],[الدفعات]]</f>
        <v>359137.22000000003</v>
      </c>
    </row>
    <row r="201" spans="12:14" s="1" customFormat="1" ht="25.2" customHeight="1" x14ac:dyDescent="0.3">
      <c r="L20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01" s="1">
        <f>N200+Table118192023103031323538394041481115182028317[[#This Row],[اجمالي الفاتوره]]-Table118192023103031323538394041481115182028317[[#This Row],[الدفعات]]</f>
        <v>359137.22000000003</v>
      </c>
    </row>
    <row r="202" spans="12:14" s="1" customFormat="1" ht="25.2" customHeight="1" x14ac:dyDescent="0.3">
      <c r="L20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02" s="1">
        <f>N201+Table118192023103031323538394041481115182028317[[#This Row],[اجمالي الفاتوره]]-Table118192023103031323538394041481115182028317[[#This Row],[الدفعات]]</f>
        <v>359137.22000000003</v>
      </c>
    </row>
    <row r="203" spans="12:14" s="1" customFormat="1" ht="25.2" customHeight="1" x14ac:dyDescent="0.3">
      <c r="L20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03" s="1">
        <f>N202+Table118192023103031323538394041481115182028317[[#This Row],[اجمالي الفاتوره]]-Table118192023103031323538394041481115182028317[[#This Row],[الدفعات]]</f>
        <v>359137.22000000003</v>
      </c>
    </row>
    <row r="204" spans="12:14" s="1" customFormat="1" ht="25.2" customHeight="1" x14ac:dyDescent="0.3">
      <c r="L20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04" s="1">
        <f>N203+Table118192023103031323538394041481115182028317[[#This Row],[اجمالي الفاتوره]]-Table118192023103031323538394041481115182028317[[#This Row],[الدفعات]]</f>
        <v>359137.22000000003</v>
      </c>
    </row>
    <row r="205" spans="12:14" s="1" customFormat="1" ht="25.2" customHeight="1" x14ac:dyDescent="0.3">
      <c r="L20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05" s="1">
        <f>N204+Table118192023103031323538394041481115182028317[[#This Row],[اجمالي الفاتوره]]-Table118192023103031323538394041481115182028317[[#This Row],[الدفعات]]</f>
        <v>359137.22000000003</v>
      </c>
    </row>
    <row r="206" spans="12:14" s="1" customFormat="1" ht="25.2" customHeight="1" x14ac:dyDescent="0.3">
      <c r="L20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06" s="1">
        <f>N205+Table118192023103031323538394041481115182028317[[#This Row],[اجمالي الفاتوره]]-Table118192023103031323538394041481115182028317[[#This Row],[الدفعات]]</f>
        <v>359137.22000000003</v>
      </c>
    </row>
    <row r="207" spans="12:14" s="1" customFormat="1" ht="25.2" customHeight="1" x14ac:dyDescent="0.3">
      <c r="L20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07" s="1">
        <f>N206+Table118192023103031323538394041481115182028317[[#This Row],[اجمالي الفاتوره]]-Table118192023103031323538394041481115182028317[[#This Row],[الدفعات]]</f>
        <v>359137.22000000003</v>
      </c>
    </row>
    <row r="208" spans="12:14" s="1" customFormat="1" ht="25.2" customHeight="1" x14ac:dyDescent="0.3">
      <c r="L20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08" s="1">
        <f>N207+Table118192023103031323538394041481115182028317[[#This Row],[اجمالي الفاتوره]]-Table118192023103031323538394041481115182028317[[#This Row],[الدفعات]]</f>
        <v>359137.22000000003</v>
      </c>
    </row>
    <row r="209" spans="12:14" s="1" customFormat="1" ht="25.2" customHeight="1" x14ac:dyDescent="0.3">
      <c r="L20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09" s="1">
        <f>N208+Table118192023103031323538394041481115182028317[[#This Row],[اجمالي الفاتوره]]-Table118192023103031323538394041481115182028317[[#This Row],[الدفعات]]</f>
        <v>359137.22000000003</v>
      </c>
    </row>
    <row r="210" spans="12:14" s="1" customFormat="1" ht="25.2" customHeight="1" x14ac:dyDescent="0.3">
      <c r="L21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10" s="1">
        <f>N209+Table118192023103031323538394041481115182028317[[#This Row],[اجمالي الفاتوره]]-Table118192023103031323538394041481115182028317[[#This Row],[الدفعات]]</f>
        <v>359137.22000000003</v>
      </c>
    </row>
    <row r="211" spans="12:14" s="1" customFormat="1" ht="25.2" customHeight="1" x14ac:dyDescent="0.3">
      <c r="L21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11" s="1">
        <f>N210+Table118192023103031323538394041481115182028317[[#This Row],[اجمالي الفاتوره]]-Table118192023103031323538394041481115182028317[[#This Row],[الدفعات]]</f>
        <v>359137.22000000003</v>
      </c>
    </row>
    <row r="212" spans="12:14" s="1" customFormat="1" ht="25.2" customHeight="1" x14ac:dyDescent="0.3">
      <c r="L21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12" s="1">
        <f>N211+Table118192023103031323538394041481115182028317[[#This Row],[اجمالي الفاتوره]]-Table118192023103031323538394041481115182028317[[#This Row],[الدفعات]]</f>
        <v>359137.22000000003</v>
      </c>
    </row>
    <row r="213" spans="12:14" s="1" customFormat="1" ht="25.2" customHeight="1" x14ac:dyDescent="0.3">
      <c r="L21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13" s="1">
        <f>N212+Table118192023103031323538394041481115182028317[[#This Row],[اجمالي الفاتوره]]-Table118192023103031323538394041481115182028317[[#This Row],[الدفعات]]</f>
        <v>359137.22000000003</v>
      </c>
    </row>
    <row r="214" spans="12:14" s="1" customFormat="1" ht="25.2" customHeight="1" x14ac:dyDescent="0.3">
      <c r="L21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14" s="1">
        <f>N213+Table118192023103031323538394041481115182028317[[#This Row],[اجمالي الفاتوره]]-Table118192023103031323538394041481115182028317[[#This Row],[الدفعات]]</f>
        <v>359137.22000000003</v>
      </c>
    </row>
    <row r="215" spans="12:14" s="1" customFormat="1" ht="25.2" customHeight="1" x14ac:dyDescent="0.3">
      <c r="L21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15" s="1">
        <f>N214+Table118192023103031323538394041481115182028317[[#This Row],[اجمالي الفاتوره]]-Table118192023103031323538394041481115182028317[[#This Row],[الدفعات]]</f>
        <v>359137.22000000003</v>
      </c>
    </row>
    <row r="216" spans="12:14" s="1" customFormat="1" ht="25.2" customHeight="1" x14ac:dyDescent="0.3">
      <c r="L21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16" s="1">
        <f>N215+Table118192023103031323538394041481115182028317[[#This Row],[اجمالي الفاتوره]]-Table118192023103031323538394041481115182028317[[#This Row],[الدفعات]]</f>
        <v>359137.22000000003</v>
      </c>
    </row>
    <row r="217" spans="12:14" s="1" customFormat="1" ht="25.2" customHeight="1" x14ac:dyDescent="0.3">
      <c r="L21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17" s="1">
        <f>N216+Table118192023103031323538394041481115182028317[[#This Row],[اجمالي الفاتوره]]-Table118192023103031323538394041481115182028317[[#This Row],[الدفعات]]</f>
        <v>359137.22000000003</v>
      </c>
    </row>
    <row r="218" spans="12:14" s="1" customFormat="1" ht="25.2" customHeight="1" x14ac:dyDescent="0.3">
      <c r="L21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18" s="1">
        <f>N217+Table118192023103031323538394041481115182028317[[#This Row],[اجمالي الفاتوره]]-Table118192023103031323538394041481115182028317[[#This Row],[الدفعات]]</f>
        <v>359137.22000000003</v>
      </c>
    </row>
    <row r="219" spans="12:14" s="1" customFormat="1" ht="25.2" customHeight="1" x14ac:dyDescent="0.3">
      <c r="L21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19" s="1">
        <f>N218+Table118192023103031323538394041481115182028317[[#This Row],[اجمالي الفاتوره]]-Table118192023103031323538394041481115182028317[[#This Row],[الدفعات]]</f>
        <v>359137.22000000003</v>
      </c>
    </row>
    <row r="220" spans="12:14" s="1" customFormat="1" ht="25.2" customHeight="1" x14ac:dyDescent="0.3">
      <c r="L22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20" s="1">
        <f>N219+Table118192023103031323538394041481115182028317[[#This Row],[اجمالي الفاتوره]]-Table118192023103031323538394041481115182028317[[#This Row],[الدفعات]]</f>
        <v>359137.22000000003</v>
      </c>
    </row>
    <row r="221" spans="12:14" s="1" customFormat="1" ht="25.2" customHeight="1" x14ac:dyDescent="0.3">
      <c r="L22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21" s="1">
        <f>N220+Table118192023103031323538394041481115182028317[[#This Row],[اجمالي الفاتوره]]-Table118192023103031323538394041481115182028317[[#This Row],[الدفعات]]</f>
        <v>359137.22000000003</v>
      </c>
    </row>
    <row r="222" spans="12:14" s="1" customFormat="1" ht="25.2" customHeight="1" x14ac:dyDescent="0.3">
      <c r="L22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22" s="1">
        <f>N221+Table118192023103031323538394041481115182028317[[#This Row],[اجمالي الفاتوره]]-Table118192023103031323538394041481115182028317[[#This Row],[الدفعات]]</f>
        <v>359137.22000000003</v>
      </c>
    </row>
    <row r="223" spans="12:14" s="1" customFormat="1" ht="25.2" customHeight="1" x14ac:dyDescent="0.3">
      <c r="L22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23" s="1">
        <f>N222+Table118192023103031323538394041481115182028317[[#This Row],[اجمالي الفاتوره]]-Table118192023103031323538394041481115182028317[[#This Row],[الدفعات]]</f>
        <v>359137.22000000003</v>
      </c>
    </row>
    <row r="224" spans="12:14" s="1" customFormat="1" ht="25.2" customHeight="1" x14ac:dyDescent="0.3">
      <c r="L22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24" s="1">
        <f>N223+Table118192023103031323538394041481115182028317[[#This Row],[اجمالي الفاتوره]]-Table118192023103031323538394041481115182028317[[#This Row],[الدفعات]]</f>
        <v>359137.22000000003</v>
      </c>
    </row>
    <row r="225" spans="10:14" s="1" customFormat="1" ht="25.2" customHeight="1" x14ac:dyDescent="0.3">
      <c r="L22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25" s="1">
        <f>N224+Table118192023103031323538394041481115182028317[[#This Row],[اجمالي الفاتوره]]-Table118192023103031323538394041481115182028317[[#This Row],[الدفعات]]</f>
        <v>359137.22000000003</v>
      </c>
    </row>
    <row r="226" spans="10:14" s="1" customFormat="1" ht="25.2" customHeight="1" x14ac:dyDescent="0.3">
      <c r="L22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26" s="1">
        <f>N225+Table118192023103031323538394041481115182028317[[#This Row],[اجمالي الفاتوره]]-Table118192023103031323538394041481115182028317[[#This Row],[الدفعات]]</f>
        <v>359137.22000000003</v>
      </c>
    </row>
    <row r="227" spans="10:14" s="1" customFormat="1" ht="25.2" customHeight="1" x14ac:dyDescent="0.3">
      <c r="L22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27" s="1">
        <f>N226+Table118192023103031323538394041481115182028317[[#This Row],[اجمالي الفاتوره]]-Table118192023103031323538394041481115182028317[[#This Row],[الدفعات]]</f>
        <v>359137.22000000003</v>
      </c>
    </row>
    <row r="228" spans="10:14" s="1" customFormat="1" ht="25.2" customHeight="1" x14ac:dyDescent="0.3">
      <c r="L22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28" s="1">
        <f>N227+Table118192023103031323538394041481115182028317[[#This Row],[اجمالي الفاتوره]]-Table118192023103031323538394041481115182028317[[#This Row],[الدفعات]]</f>
        <v>359137.22000000003</v>
      </c>
    </row>
    <row r="229" spans="10:14" s="1" customFormat="1" ht="25.2" customHeight="1" x14ac:dyDescent="0.3">
      <c r="L22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29" s="1">
        <f>N228+Table118192023103031323538394041481115182028317[[#This Row],[اجمالي الفاتوره]]-Table118192023103031323538394041481115182028317[[#This Row],[الدفعات]]</f>
        <v>359137.22000000003</v>
      </c>
    </row>
    <row r="230" spans="10:14" s="1" customFormat="1" ht="25.2" customHeight="1" x14ac:dyDescent="0.3">
      <c r="L23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30" s="1">
        <f>N229+Table118192023103031323538394041481115182028317[[#This Row],[اجمالي الفاتوره]]-Table118192023103031323538394041481115182028317[[#This Row],[الدفعات]]</f>
        <v>359137.22000000003</v>
      </c>
    </row>
    <row r="231" spans="10:14" s="1" customFormat="1" ht="25.2" customHeight="1" x14ac:dyDescent="0.3">
      <c r="L23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31" s="1">
        <f>N230+Table118192023103031323538394041481115182028317[[#This Row],[اجمالي الفاتوره]]-Table118192023103031323538394041481115182028317[[#This Row],[الدفعات]]</f>
        <v>359137.22000000003</v>
      </c>
    </row>
    <row r="232" spans="10:14" s="1" customFormat="1" ht="25.2" customHeight="1" x14ac:dyDescent="0.3">
      <c r="L23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32" s="1">
        <f>N231+Table118192023103031323538394041481115182028317[[#This Row],[اجمالي الفاتوره]]-Table118192023103031323538394041481115182028317[[#This Row],[الدفعات]]</f>
        <v>359137.22000000003</v>
      </c>
    </row>
    <row r="233" spans="10:14" s="1" customFormat="1" ht="25.2" customHeight="1" x14ac:dyDescent="0.3">
      <c r="L23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33" s="1">
        <f>N232+Table118192023103031323538394041481115182028317[[#This Row],[اجمالي الفاتوره]]-Table118192023103031323538394041481115182028317[[#This Row],[الدفعات]]</f>
        <v>359137.22000000003</v>
      </c>
    </row>
    <row r="234" spans="10:14" s="1" customFormat="1" ht="25.2" customHeight="1" x14ac:dyDescent="0.3">
      <c r="L23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34" s="1">
        <f>N233+Table118192023103031323538394041481115182028317[[#This Row],[اجمالي الفاتوره]]-Table118192023103031323538394041481115182028317[[#This Row],[الدفعات]]</f>
        <v>359137.22000000003</v>
      </c>
    </row>
    <row r="235" spans="10:14" s="1" customFormat="1" ht="25.2" customHeight="1" x14ac:dyDescent="0.3">
      <c r="L23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35" s="1">
        <f>N234+Table118192023103031323538394041481115182028317[[#This Row],[اجمالي الفاتوره]]-Table118192023103031323538394041481115182028317[[#This Row],[الدفعات]]</f>
        <v>359137.22000000003</v>
      </c>
    </row>
    <row r="236" spans="10:14" s="1" customFormat="1" ht="25.2" customHeight="1" x14ac:dyDescent="0.3">
      <c r="L23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36" s="1">
        <f>N235+Table118192023103031323538394041481115182028317[[#This Row],[اجمالي الفاتوره]]-Table118192023103031323538394041481115182028317[[#This Row],[الدفعات]]</f>
        <v>359137.22000000003</v>
      </c>
    </row>
    <row r="237" spans="10:14" s="1" customFormat="1" ht="25.2" customHeight="1" x14ac:dyDescent="0.3">
      <c r="L23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37" s="1">
        <f>N236+Table118192023103031323538394041481115182028317[[#This Row],[اجمالي الفاتوره]]-Table118192023103031323538394041481115182028317[[#This Row],[الدفعات]]</f>
        <v>359137.22000000003</v>
      </c>
    </row>
    <row r="238" spans="10:14" s="1" customFormat="1" ht="25.2" customHeight="1" x14ac:dyDescent="0.3">
      <c r="J238" s="1">
        <f>0.03*Table118192023103031323538394041481115182028317[[#This Row],[النولون]]</f>
        <v>0</v>
      </c>
      <c r="L23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38" s="1">
        <f>N237+Table118192023103031323538394041481115182028317[[#This Row],[اجمالي الفاتوره]]-Table118192023103031323538394041481115182028317[[#This Row],[الدفعات]]</f>
        <v>359137.22000000003</v>
      </c>
    </row>
    <row r="239" spans="10:14" s="1" customFormat="1" ht="25.2" customHeight="1" x14ac:dyDescent="0.3">
      <c r="J239" s="1">
        <f>0.03*Table118192023103031323538394041481115182028317[[#This Row],[النولون]]</f>
        <v>0</v>
      </c>
      <c r="L23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39" s="1">
        <f>N238+Table118192023103031323538394041481115182028317[[#This Row],[اجمالي الفاتوره]]-Table118192023103031323538394041481115182028317[[#This Row],[الدفعات]]</f>
        <v>359137.22000000003</v>
      </c>
    </row>
    <row r="240" spans="10:14" s="1" customFormat="1" ht="25.2" customHeight="1" x14ac:dyDescent="0.3">
      <c r="J240" s="1">
        <f>0.03*Table118192023103031323538394041481115182028317[[#This Row],[النولون]]</f>
        <v>0</v>
      </c>
      <c r="L24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40" s="1">
        <f>N239+Table118192023103031323538394041481115182028317[[#This Row],[اجمالي الفاتوره]]-Table118192023103031323538394041481115182028317[[#This Row],[الدفعات]]</f>
        <v>359137.22000000003</v>
      </c>
    </row>
    <row r="241" spans="10:14" s="1" customFormat="1" ht="25.2" customHeight="1" x14ac:dyDescent="0.3">
      <c r="J241" s="1">
        <f>0.03*Table118192023103031323538394041481115182028317[[#This Row],[النولون]]</f>
        <v>0</v>
      </c>
      <c r="L24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41" s="1">
        <f>N240+Table118192023103031323538394041481115182028317[[#This Row],[اجمالي الفاتوره]]-Table118192023103031323538394041481115182028317[[#This Row],[الدفعات]]</f>
        <v>359137.22000000003</v>
      </c>
    </row>
    <row r="242" spans="10:14" s="1" customFormat="1" ht="25.2" customHeight="1" x14ac:dyDescent="0.3">
      <c r="J242" s="1">
        <f>0.03*Table118192023103031323538394041481115182028317[[#This Row],[النولون]]</f>
        <v>0</v>
      </c>
      <c r="L24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42" s="1">
        <f>N241+Table118192023103031323538394041481115182028317[[#This Row],[اجمالي الفاتوره]]-Table118192023103031323538394041481115182028317[[#This Row],[الدفعات]]</f>
        <v>359137.22000000003</v>
      </c>
    </row>
    <row r="243" spans="10:14" s="1" customFormat="1" ht="25.2" customHeight="1" x14ac:dyDescent="0.3">
      <c r="J243" s="1">
        <f>0.03*Table118192023103031323538394041481115182028317[[#This Row],[النولون]]</f>
        <v>0</v>
      </c>
      <c r="L24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43" s="1">
        <f>N242+Table118192023103031323538394041481115182028317[[#This Row],[اجمالي الفاتوره]]-Table118192023103031323538394041481115182028317[[#This Row],[الدفعات]]</f>
        <v>359137.22000000003</v>
      </c>
    </row>
    <row r="244" spans="10:14" s="1" customFormat="1" ht="25.2" customHeight="1" x14ac:dyDescent="0.3">
      <c r="J244" s="1">
        <f>0.03*Table118192023103031323538394041481115182028317[[#This Row],[النولون]]</f>
        <v>0</v>
      </c>
      <c r="L24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44" s="1">
        <f>N243+Table118192023103031323538394041481115182028317[[#This Row],[اجمالي الفاتوره]]-Table118192023103031323538394041481115182028317[[#This Row],[الدفعات]]</f>
        <v>359137.22000000003</v>
      </c>
    </row>
    <row r="245" spans="10:14" s="1" customFormat="1" ht="25.2" customHeight="1" x14ac:dyDescent="0.3">
      <c r="J245" s="1">
        <f>0.03*Table118192023103031323538394041481115182028317[[#This Row],[النولون]]</f>
        <v>0</v>
      </c>
      <c r="L24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45" s="1">
        <f>N244+Table118192023103031323538394041481115182028317[[#This Row],[اجمالي الفاتوره]]-Table118192023103031323538394041481115182028317[[#This Row],[الدفعات]]</f>
        <v>359137.22000000003</v>
      </c>
    </row>
    <row r="246" spans="10:14" s="1" customFormat="1" ht="25.2" customHeight="1" x14ac:dyDescent="0.3">
      <c r="J246" s="1">
        <f>0.03*Table118192023103031323538394041481115182028317[[#This Row],[النولون]]</f>
        <v>0</v>
      </c>
      <c r="L24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46" s="1">
        <f>N245+Table118192023103031323538394041481115182028317[[#This Row],[اجمالي الفاتوره]]-Table118192023103031323538394041481115182028317[[#This Row],[الدفعات]]</f>
        <v>359137.22000000003</v>
      </c>
    </row>
    <row r="247" spans="10:14" s="1" customFormat="1" ht="25.2" customHeight="1" x14ac:dyDescent="0.3">
      <c r="J247" s="1">
        <f>0.03*Table118192023103031323538394041481115182028317[[#This Row],[النولون]]</f>
        <v>0</v>
      </c>
      <c r="L24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47" s="1">
        <f>N246+Table118192023103031323538394041481115182028317[[#This Row],[اجمالي الفاتوره]]-Table118192023103031323538394041481115182028317[[#This Row],[الدفعات]]</f>
        <v>359137.22000000003</v>
      </c>
    </row>
    <row r="248" spans="10:14" s="1" customFormat="1" ht="25.2" customHeight="1" x14ac:dyDescent="0.3">
      <c r="J248" s="1">
        <f>0.03*Table118192023103031323538394041481115182028317[[#This Row],[النولون]]</f>
        <v>0</v>
      </c>
      <c r="L24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48" s="1">
        <f>N247+Table118192023103031323538394041481115182028317[[#This Row],[اجمالي الفاتوره]]-Table118192023103031323538394041481115182028317[[#This Row],[الدفعات]]</f>
        <v>359137.22000000003</v>
      </c>
    </row>
    <row r="249" spans="10:14" s="1" customFormat="1" ht="25.2" customHeight="1" x14ac:dyDescent="0.3">
      <c r="J249" s="1">
        <f>0.03*Table118192023103031323538394041481115182028317[[#This Row],[النولون]]</f>
        <v>0</v>
      </c>
      <c r="L24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49" s="1">
        <f>N248+Table118192023103031323538394041481115182028317[[#This Row],[اجمالي الفاتوره]]-Table118192023103031323538394041481115182028317[[#This Row],[الدفعات]]</f>
        <v>359137.22000000003</v>
      </c>
    </row>
    <row r="250" spans="10:14" s="1" customFormat="1" ht="25.2" customHeight="1" x14ac:dyDescent="0.3">
      <c r="J250" s="1">
        <f>0.03*Table118192023103031323538394041481115182028317[[#This Row],[النولون]]</f>
        <v>0</v>
      </c>
      <c r="L25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50" s="1">
        <f>N249+Table118192023103031323538394041481115182028317[[#This Row],[اجمالي الفاتوره]]-Table118192023103031323538394041481115182028317[[#This Row],[الدفعات]]</f>
        <v>359137.22000000003</v>
      </c>
    </row>
    <row r="251" spans="10:14" s="1" customFormat="1" ht="25.2" customHeight="1" x14ac:dyDescent="0.3">
      <c r="J251" s="1">
        <f>0.03*Table118192023103031323538394041481115182028317[[#This Row],[النولون]]</f>
        <v>0</v>
      </c>
      <c r="L25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51" s="1">
        <f>N250+Table118192023103031323538394041481115182028317[[#This Row],[اجمالي الفاتوره]]-Table118192023103031323538394041481115182028317[[#This Row],[الدفعات]]</f>
        <v>359137.22000000003</v>
      </c>
    </row>
    <row r="252" spans="10:14" s="1" customFormat="1" ht="25.2" customHeight="1" x14ac:dyDescent="0.3">
      <c r="J252" s="1">
        <f>0.03*Table118192023103031323538394041481115182028317[[#This Row],[النولون]]</f>
        <v>0</v>
      </c>
      <c r="L25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52" s="1">
        <f>N251+Table118192023103031323538394041481115182028317[[#This Row],[اجمالي الفاتوره]]-Table118192023103031323538394041481115182028317[[#This Row],[الدفعات]]</f>
        <v>359137.22000000003</v>
      </c>
    </row>
    <row r="253" spans="10:14" s="1" customFormat="1" ht="25.2" customHeight="1" x14ac:dyDescent="0.3">
      <c r="J253" s="1">
        <f>0.03*Table118192023103031323538394041481115182028317[[#This Row],[النولون]]</f>
        <v>0</v>
      </c>
      <c r="L25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53" s="1">
        <f>N252+Table118192023103031323538394041481115182028317[[#This Row],[اجمالي الفاتوره]]-Table118192023103031323538394041481115182028317[[#This Row],[الدفعات]]</f>
        <v>359137.22000000003</v>
      </c>
    </row>
    <row r="254" spans="10:14" s="1" customFormat="1" ht="25.2" customHeight="1" x14ac:dyDescent="0.3">
      <c r="J254" s="1">
        <f>0.03*Table118192023103031323538394041481115182028317[[#This Row],[النولون]]</f>
        <v>0</v>
      </c>
      <c r="L25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54" s="1">
        <f>N253+Table118192023103031323538394041481115182028317[[#This Row],[اجمالي الفاتوره]]-Table118192023103031323538394041481115182028317[[#This Row],[الدفعات]]</f>
        <v>359137.22000000003</v>
      </c>
    </row>
    <row r="255" spans="10:14" s="1" customFormat="1" ht="25.2" customHeight="1" x14ac:dyDescent="0.3">
      <c r="J255" s="1">
        <f>0.03*Table118192023103031323538394041481115182028317[[#This Row],[النولون]]</f>
        <v>0</v>
      </c>
      <c r="L25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55" s="1">
        <f>N254+Table118192023103031323538394041481115182028317[[#This Row],[اجمالي الفاتوره]]-Table118192023103031323538394041481115182028317[[#This Row],[الدفعات]]</f>
        <v>359137.22000000003</v>
      </c>
    </row>
    <row r="256" spans="10:14" s="1" customFormat="1" ht="25.2" customHeight="1" x14ac:dyDescent="0.3">
      <c r="J256" s="1">
        <f>0.03*Table118192023103031323538394041481115182028317[[#This Row],[النولون]]</f>
        <v>0</v>
      </c>
      <c r="L25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56" s="1">
        <f>N255+Table118192023103031323538394041481115182028317[[#This Row],[اجمالي الفاتوره]]-Table118192023103031323538394041481115182028317[[#This Row],[الدفعات]]</f>
        <v>359137.22000000003</v>
      </c>
    </row>
    <row r="257" spans="10:14" s="1" customFormat="1" ht="25.2" customHeight="1" x14ac:dyDescent="0.3">
      <c r="J257" s="1">
        <f>0.03*Table118192023103031323538394041481115182028317[[#This Row],[النولون]]</f>
        <v>0</v>
      </c>
      <c r="L25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57" s="1">
        <f>N256+Table118192023103031323538394041481115182028317[[#This Row],[اجمالي الفاتوره]]-Table118192023103031323538394041481115182028317[[#This Row],[الدفعات]]</f>
        <v>359137.22000000003</v>
      </c>
    </row>
    <row r="258" spans="10:14" s="1" customFormat="1" ht="25.2" customHeight="1" x14ac:dyDescent="0.3">
      <c r="J258" s="1">
        <f>0.03*Table118192023103031323538394041481115182028317[[#This Row],[النولون]]</f>
        <v>0</v>
      </c>
      <c r="L25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58" s="1">
        <f>N257+Table118192023103031323538394041481115182028317[[#This Row],[اجمالي الفاتوره]]-Table118192023103031323538394041481115182028317[[#This Row],[الدفعات]]</f>
        <v>359137.22000000003</v>
      </c>
    </row>
    <row r="259" spans="10:14" s="1" customFormat="1" ht="25.2" customHeight="1" x14ac:dyDescent="0.3">
      <c r="J259" s="1">
        <f>0.03*Table118192023103031323538394041481115182028317[[#This Row],[النولون]]</f>
        <v>0</v>
      </c>
      <c r="L25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59" s="1">
        <f>N258+Table118192023103031323538394041481115182028317[[#This Row],[اجمالي الفاتوره]]-Table118192023103031323538394041481115182028317[[#This Row],[الدفعات]]</f>
        <v>359137.22000000003</v>
      </c>
    </row>
    <row r="260" spans="10:14" s="1" customFormat="1" ht="25.2" customHeight="1" x14ac:dyDescent="0.3">
      <c r="J260" s="1">
        <f>0.03*Table118192023103031323538394041481115182028317[[#This Row],[النولون]]</f>
        <v>0</v>
      </c>
      <c r="L26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60" s="1">
        <f>N259+Table118192023103031323538394041481115182028317[[#This Row],[اجمالي الفاتوره]]-Table118192023103031323538394041481115182028317[[#This Row],[الدفعات]]</f>
        <v>359137.22000000003</v>
      </c>
    </row>
    <row r="261" spans="10:14" s="1" customFormat="1" ht="25.2" customHeight="1" x14ac:dyDescent="0.3">
      <c r="J261" s="1">
        <f>0.03*Table118192023103031323538394041481115182028317[[#This Row],[النولون]]</f>
        <v>0</v>
      </c>
      <c r="L26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61" s="1">
        <f>N260+Table118192023103031323538394041481115182028317[[#This Row],[اجمالي الفاتوره]]-Table118192023103031323538394041481115182028317[[#This Row],[الدفعات]]</f>
        <v>359137.22000000003</v>
      </c>
    </row>
    <row r="262" spans="10:14" s="1" customFormat="1" ht="25.2" customHeight="1" x14ac:dyDescent="0.3">
      <c r="J262" s="1">
        <f>0.03*Table118192023103031323538394041481115182028317[[#This Row],[النولون]]</f>
        <v>0</v>
      </c>
      <c r="L26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62" s="1">
        <f>N261+Table118192023103031323538394041481115182028317[[#This Row],[اجمالي الفاتوره]]-Table118192023103031323538394041481115182028317[[#This Row],[الدفعات]]</f>
        <v>359137.22000000003</v>
      </c>
    </row>
    <row r="263" spans="10:14" s="1" customFormat="1" ht="25.2" customHeight="1" x14ac:dyDescent="0.3">
      <c r="J263" s="1">
        <f>0.03*Table118192023103031323538394041481115182028317[[#This Row],[النولون]]</f>
        <v>0</v>
      </c>
      <c r="L26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63" s="1">
        <f>N262+Table118192023103031323538394041481115182028317[[#This Row],[اجمالي الفاتوره]]-Table118192023103031323538394041481115182028317[[#This Row],[الدفعات]]</f>
        <v>359137.22000000003</v>
      </c>
    </row>
    <row r="264" spans="10:14" s="1" customFormat="1" ht="25.2" customHeight="1" x14ac:dyDescent="0.3">
      <c r="J264" s="1">
        <f>0.03*Table118192023103031323538394041481115182028317[[#This Row],[النولون]]</f>
        <v>0</v>
      </c>
      <c r="L26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64" s="1">
        <f>N263+Table118192023103031323538394041481115182028317[[#This Row],[اجمالي الفاتوره]]-Table118192023103031323538394041481115182028317[[#This Row],[الدفعات]]</f>
        <v>359137.22000000003</v>
      </c>
    </row>
    <row r="265" spans="10:14" s="1" customFormat="1" ht="25.2" customHeight="1" x14ac:dyDescent="0.3">
      <c r="J265" s="1">
        <f>0.03*Table118192023103031323538394041481115182028317[[#This Row],[النولون]]</f>
        <v>0</v>
      </c>
      <c r="L26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65" s="1">
        <f>N264+Table118192023103031323538394041481115182028317[[#This Row],[اجمالي الفاتوره]]-Table118192023103031323538394041481115182028317[[#This Row],[الدفعات]]</f>
        <v>359137.22000000003</v>
      </c>
    </row>
    <row r="266" spans="10:14" s="1" customFormat="1" ht="25.2" customHeight="1" x14ac:dyDescent="0.3">
      <c r="J266" s="1">
        <f>0.03*Table118192023103031323538394041481115182028317[[#This Row],[النولون]]</f>
        <v>0</v>
      </c>
      <c r="L26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66" s="1">
        <f>N265+Table118192023103031323538394041481115182028317[[#This Row],[اجمالي الفاتوره]]-Table118192023103031323538394041481115182028317[[#This Row],[الدفعات]]</f>
        <v>359137.22000000003</v>
      </c>
    </row>
    <row r="267" spans="10:14" s="1" customFormat="1" ht="25.2" customHeight="1" x14ac:dyDescent="0.3">
      <c r="J267" s="1">
        <f>0.03*Table118192023103031323538394041481115182028317[[#This Row],[النولون]]</f>
        <v>0</v>
      </c>
      <c r="L26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67" s="1">
        <f>N266+Table118192023103031323538394041481115182028317[[#This Row],[اجمالي الفاتوره]]-Table118192023103031323538394041481115182028317[[#This Row],[الدفعات]]</f>
        <v>359137.22000000003</v>
      </c>
    </row>
    <row r="268" spans="10:14" s="1" customFormat="1" ht="25.2" customHeight="1" x14ac:dyDescent="0.3">
      <c r="J268" s="1">
        <f>0.03*Table118192023103031323538394041481115182028317[[#This Row],[النولون]]</f>
        <v>0</v>
      </c>
      <c r="L26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68" s="1">
        <f>N267+Table118192023103031323538394041481115182028317[[#This Row],[اجمالي الفاتوره]]-Table118192023103031323538394041481115182028317[[#This Row],[الدفعات]]</f>
        <v>359137.22000000003</v>
      </c>
    </row>
    <row r="269" spans="10:14" s="1" customFormat="1" ht="25.2" customHeight="1" x14ac:dyDescent="0.3">
      <c r="J269" s="1">
        <f>0.03*Table118192023103031323538394041481115182028317[[#This Row],[النولون]]</f>
        <v>0</v>
      </c>
      <c r="L26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69" s="1">
        <f>N268+Table118192023103031323538394041481115182028317[[#This Row],[اجمالي الفاتوره]]-Table118192023103031323538394041481115182028317[[#This Row],[الدفعات]]</f>
        <v>359137.22000000003</v>
      </c>
    </row>
    <row r="270" spans="10:14" s="1" customFormat="1" ht="25.2" customHeight="1" x14ac:dyDescent="0.3">
      <c r="J270" s="1">
        <f>0.03*Table118192023103031323538394041481115182028317[[#This Row],[النولون]]</f>
        <v>0</v>
      </c>
      <c r="L27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70" s="1">
        <f>N269+Table118192023103031323538394041481115182028317[[#This Row],[اجمالي الفاتوره]]-Table118192023103031323538394041481115182028317[[#This Row],[الدفعات]]</f>
        <v>359137.22000000003</v>
      </c>
    </row>
    <row r="271" spans="10:14" s="1" customFormat="1" ht="25.2" customHeight="1" x14ac:dyDescent="0.3">
      <c r="J271" s="1">
        <f>0.03*Table118192023103031323538394041481115182028317[[#This Row],[النولون]]</f>
        <v>0</v>
      </c>
      <c r="L27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71" s="1">
        <f>N270+Table118192023103031323538394041481115182028317[[#This Row],[اجمالي الفاتوره]]-Table118192023103031323538394041481115182028317[[#This Row],[الدفعات]]</f>
        <v>359137.22000000003</v>
      </c>
    </row>
    <row r="272" spans="10:14" s="1" customFormat="1" ht="25.2" customHeight="1" x14ac:dyDescent="0.3">
      <c r="J272" s="1">
        <f>0.03*Table118192023103031323538394041481115182028317[[#This Row],[النولون]]</f>
        <v>0</v>
      </c>
      <c r="L27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72" s="1">
        <f>N271+Table118192023103031323538394041481115182028317[[#This Row],[اجمالي الفاتوره]]-Table118192023103031323538394041481115182028317[[#This Row],[الدفعات]]</f>
        <v>359137.22000000003</v>
      </c>
    </row>
    <row r="273" spans="10:14" s="1" customFormat="1" ht="25.2" customHeight="1" x14ac:dyDescent="0.3">
      <c r="J273" s="1">
        <f>0.03*Table118192023103031323538394041481115182028317[[#This Row],[النولون]]</f>
        <v>0</v>
      </c>
      <c r="L27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73" s="1">
        <f>N272+Table118192023103031323538394041481115182028317[[#This Row],[اجمالي الفاتوره]]-Table118192023103031323538394041481115182028317[[#This Row],[الدفعات]]</f>
        <v>359137.22000000003</v>
      </c>
    </row>
    <row r="274" spans="10:14" s="1" customFormat="1" ht="25.2" customHeight="1" x14ac:dyDescent="0.3">
      <c r="J274" s="1">
        <f>0.03*Table118192023103031323538394041481115182028317[[#This Row],[النولون]]</f>
        <v>0</v>
      </c>
      <c r="L27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74" s="1">
        <f>N273+Table118192023103031323538394041481115182028317[[#This Row],[اجمالي الفاتوره]]-Table118192023103031323538394041481115182028317[[#This Row],[الدفعات]]</f>
        <v>359137.22000000003</v>
      </c>
    </row>
    <row r="275" spans="10:14" s="1" customFormat="1" ht="25.2" customHeight="1" x14ac:dyDescent="0.3">
      <c r="J275" s="1">
        <f>0.03*Table118192023103031323538394041481115182028317[[#This Row],[النولون]]</f>
        <v>0</v>
      </c>
      <c r="L27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75" s="1">
        <f>N274+Table118192023103031323538394041481115182028317[[#This Row],[اجمالي الفاتوره]]-Table118192023103031323538394041481115182028317[[#This Row],[الدفعات]]</f>
        <v>359137.22000000003</v>
      </c>
    </row>
    <row r="276" spans="10:14" s="1" customFormat="1" ht="25.2" customHeight="1" x14ac:dyDescent="0.3">
      <c r="J276" s="1">
        <f>0.03*Table118192023103031323538394041481115182028317[[#This Row],[النولون]]</f>
        <v>0</v>
      </c>
      <c r="L27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76" s="1">
        <f>N275+Table118192023103031323538394041481115182028317[[#This Row],[اجمالي الفاتوره]]-Table118192023103031323538394041481115182028317[[#This Row],[الدفعات]]</f>
        <v>359137.22000000003</v>
      </c>
    </row>
    <row r="277" spans="10:14" s="1" customFormat="1" ht="25.2" customHeight="1" x14ac:dyDescent="0.3">
      <c r="J277" s="1">
        <f>0.03*Table118192023103031323538394041481115182028317[[#This Row],[النولون]]</f>
        <v>0</v>
      </c>
      <c r="L27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77" s="1">
        <f>N276+Table118192023103031323538394041481115182028317[[#This Row],[اجمالي الفاتوره]]-Table118192023103031323538394041481115182028317[[#This Row],[الدفعات]]</f>
        <v>359137.22000000003</v>
      </c>
    </row>
    <row r="278" spans="10:14" s="1" customFormat="1" ht="25.2" customHeight="1" x14ac:dyDescent="0.3">
      <c r="J278" s="1">
        <f>0.03*Table118192023103031323538394041481115182028317[[#This Row],[النولون]]</f>
        <v>0</v>
      </c>
      <c r="L27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78" s="1">
        <f>N277+Table118192023103031323538394041481115182028317[[#This Row],[اجمالي الفاتوره]]-Table118192023103031323538394041481115182028317[[#This Row],[الدفعات]]</f>
        <v>359137.22000000003</v>
      </c>
    </row>
    <row r="279" spans="10:14" s="1" customFormat="1" ht="25.2" customHeight="1" x14ac:dyDescent="0.3">
      <c r="J279" s="1">
        <f>0.03*Table118192023103031323538394041481115182028317[[#This Row],[النولون]]</f>
        <v>0</v>
      </c>
      <c r="L27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79" s="1">
        <f>N278+Table118192023103031323538394041481115182028317[[#This Row],[اجمالي الفاتوره]]-Table118192023103031323538394041481115182028317[[#This Row],[الدفعات]]</f>
        <v>359137.22000000003</v>
      </c>
    </row>
    <row r="280" spans="10:14" s="1" customFormat="1" ht="25.2" customHeight="1" x14ac:dyDescent="0.3">
      <c r="J280" s="1">
        <f>0.03*Table118192023103031323538394041481115182028317[[#This Row],[النولون]]</f>
        <v>0</v>
      </c>
      <c r="L28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80" s="1">
        <f>N279+Table118192023103031323538394041481115182028317[[#This Row],[اجمالي الفاتوره]]-Table118192023103031323538394041481115182028317[[#This Row],[الدفعات]]</f>
        <v>359137.22000000003</v>
      </c>
    </row>
    <row r="281" spans="10:14" s="1" customFormat="1" ht="25.2" customHeight="1" x14ac:dyDescent="0.3">
      <c r="J281" s="1">
        <f>0.03*Table118192023103031323538394041481115182028317[[#This Row],[النولون]]</f>
        <v>0</v>
      </c>
      <c r="L28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81" s="1">
        <f>N280+Table118192023103031323538394041481115182028317[[#This Row],[اجمالي الفاتوره]]-Table118192023103031323538394041481115182028317[[#This Row],[الدفعات]]</f>
        <v>359137.22000000003</v>
      </c>
    </row>
    <row r="282" spans="10:14" s="1" customFormat="1" ht="25.2" customHeight="1" x14ac:dyDescent="0.3">
      <c r="J282" s="1">
        <f>0.03*Table118192023103031323538394041481115182028317[[#This Row],[النولون]]</f>
        <v>0</v>
      </c>
      <c r="L28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82" s="1">
        <f>N281+Table118192023103031323538394041481115182028317[[#This Row],[اجمالي الفاتوره]]-Table118192023103031323538394041481115182028317[[#This Row],[الدفعات]]</f>
        <v>359137.22000000003</v>
      </c>
    </row>
    <row r="283" spans="10:14" s="1" customFormat="1" ht="25.2" customHeight="1" x14ac:dyDescent="0.3">
      <c r="J283" s="1">
        <f>0.03*Table118192023103031323538394041481115182028317[[#This Row],[النولون]]</f>
        <v>0</v>
      </c>
      <c r="L28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83" s="1">
        <f>N282+Table118192023103031323538394041481115182028317[[#This Row],[اجمالي الفاتوره]]-Table118192023103031323538394041481115182028317[[#This Row],[الدفعات]]</f>
        <v>359137.22000000003</v>
      </c>
    </row>
    <row r="284" spans="10:14" s="1" customFormat="1" ht="25.2" customHeight="1" x14ac:dyDescent="0.3">
      <c r="J284" s="1">
        <f>0.03*Table118192023103031323538394041481115182028317[[#This Row],[النولون]]</f>
        <v>0</v>
      </c>
      <c r="L28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84" s="1">
        <f>N283+Table118192023103031323538394041481115182028317[[#This Row],[اجمالي الفاتوره]]-Table118192023103031323538394041481115182028317[[#This Row],[الدفعات]]</f>
        <v>359137.22000000003</v>
      </c>
    </row>
    <row r="285" spans="10:14" s="1" customFormat="1" ht="25.2" customHeight="1" x14ac:dyDescent="0.3">
      <c r="J285" s="1">
        <f>0.03*Table118192023103031323538394041481115182028317[[#This Row],[النولون]]</f>
        <v>0</v>
      </c>
      <c r="L28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85" s="1">
        <f>N284+Table118192023103031323538394041481115182028317[[#This Row],[اجمالي الفاتوره]]-Table118192023103031323538394041481115182028317[[#This Row],[الدفعات]]</f>
        <v>359137.22000000003</v>
      </c>
    </row>
    <row r="286" spans="10:14" s="1" customFormat="1" ht="25.2" customHeight="1" x14ac:dyDescent="0.3">
      <c r="J286" s="1">
        <f>0.03*Table118192023103031323538394041481115182028317[[#This Row],[النولون]]</f>
        <v>0</v>
      </c>
      <c r="L28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86" s="1">
        <f>N285+Table118192023103031323538394041481115182028317[[#This Row],[اجمالي الفاتوره]]-Table118192023103031323538394041481115182028317[[#This Row],[الدفعات]]</f>
        <v>359137.22000000003</v>
      </c>
    </row>
    <row r="287" spans="10:14" s="1" customFormat="1" ht="25.2" customHeight="1" x14ac:dyDescent="0.3">
      <c r="J287" s="1">
        <f>0.03*Table118192023103031323538394041481115182028317[[#This Row],[النولون]]</f>
        <v>0</v>
      </c>
      <c r="L28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87" s="1">
        <f>N286+Table118192023103031323538394041481115182028317[[#This Row],[اجمالي الفاتوره]]-Table118192023103031323538394041481115182028317[[#This Row],[الدفعات]]</f>
        <v>359137.22000000003</v>
      </c>
    </row>
    <row r="288" spans="10:14" s="1" customFormat="1" ht="25.2" customHeight="1" x14ac:dyDescent="0.3">
      <c r="J288" s="1">
        <f>0.03*Table118192023103031323538394041481115182028317[[#This Row],[النولون]]</f>
        <v>0</v>
      </c>
      <c r="L28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88" s="1">
        <f>N287+Table118192023103031323538394041481115182028317[[#This Row],[اجمالي الفاتوره]]-Table118192023103031323538394041481115182028317[[#This Row],[الدفعات]]</f>
        <v>359137.22000000003</v>
      </c>
    </row>
    <row r="289" spans="10:14" s="1" customFormat="1" ht="25.2" customHeight="1" x14ac:dyDescent="0.3">
      <c r="J289" s="1">
        <f>0.03*Table118192023103031323538394041481115182028317[[#This Row],[النولون]]</f>
        <v>0</v>
      </c>
      <c r="L28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89" s="1">
        <f>N288+Table118192023103031323538394041481115182028317[[#This Row],[اجمالي الفاتوره]]-Table118192023103031323538394041481115182028317[[#This Row],[الدفعات]]</f>
        <v>359137.22000000003</v>
      </c>
    </row>
    <row r="290" spans="10:14" s="1" customFormat="1" ht="25.2" customHeight="1" x14ac:dyDescent="0.3">
      <c r="J290" s="1">
        <f>0.03*Table118192023103031323538394041481115182028317[[#This Row],[النولون]]</f>
        <v>0</v>
      </c>
      <c r="L29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90" s="1">
        <f>N289+Table118192023103031323538394041481115182028317[[#This Row],[اجمالي الفاتوره]]-Table118192023103031323538394041481115182028317[[#This Row],[الدفعات]]</f>
        <v>359137.22000000003</v>
      </c>
    </row>
    <row r="291" spans="10:14" s="1" customFormat="1" ht="25.2" customHeight="1" x14ac:dyDescent="0.3">
      <c r="J291" s="1">
        <f>0.03*Table118192023103031323538394041481115182028317[[#This Row],[النولون]]</f>
        <v>0</v>
      </c>
      <c r="L29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91" s="1">
        <f>N290+Table118192023103031323538394041481115182028317[[#This Row],[اجمالي الفاتوره]]-Table118192023103031323538394041481115182028317[[#This Row],[الدفعات]]</f>
        <v>359137.22000000003</v>
      </c>
    </row>
    <row r="292" spans="10:14" s="1" customFormat="1" ht="25.2" customHeight="1" x14ac:dyDescent="0.3">
      <c r="J292" s="1">
        <f>0.03*Table118192023103031323538394041481115182028317[[#This Row],[النولون]]</f>
        <v>0</v>
      </c>
      <c r="L29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92" s="1">
        <f>N291+Table118192023103031323538394041481115182028317[[#This Row],[اجمالي الفاتوره]]-Table118192023103031323538394041481115182028317[[#This Row],[الدفعات]]</f>
        <v>359137.22000000003</v>
      </c>
    </row>
    <row r="293" spans="10:14" s="1" customFormat="1" ht="25.2" customHeight="1" x14ac:dyDescent="0.3">
      <c r="J293" s="1">
        <f>0.03*Table118192023103031323538394041481115182028317[[#This Row],[النولون]]</f>
        <v>0</v>
      </c>
      <c r="L29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93" s="1">
        <f>N292+Table118192023103031323538394041481115182028317[[#This Row],[اجمالي الفاتوره]]-Table118192023103031323538394041481115182028317[[#This Row],[الدفعات]]</f>
        <v>359137.22000000003</v>
      </c>
    </row>
    <row r="294" spans="10:14" s="1" customFormat="1" ht="25.2" customHeight="1" x14ac:dyDescent="0.3">
      <c r="J294" s="1">
        <f>0.03*Table118192023103031323538394041481115182028317[[#This Row],[النولون]]</f>
        <v>0</v>
      </c>
      <c r="L29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94" s="1">
        <f>N293+Table118192023103031323538394041481115182028317[[#This Row],[اجمالي الفاتوره]]-Table118192023103031323538394041481115182028317[[#This Row],[الدفعات]]</f>
        <v>359137.22000000003</v>
      </c>
    </row>
    <row r="295" spans="10:14" s="1" customFormat="1" ht="25.2" customHeight="1" x14ac:dyDescent="0.3">
      <c r="J295" s="1">
        <f>0.03*Table118192023103031323538394041481115182028317[[#This Row],[النولون]]</f>
        <v>0</v>
      </c>
      <c r="L29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95" s="1">
        <f>N294+Table118192023103031323538394041481115182028317[[#This Row],[اجمالي الفاتوره]]-Table118192023103031323538394041481115182028317[[#This Row],[الدفعات]]</f>
        <v>359137.22000000003</v>
      </c>
    </row>
    <row r="296" spans="10:14" s="1" customFormat="1" ht="25.2" customHeight="1" x14ac:dyDescent="0.3">
      <c r="J296" s="1">
        <f>0.03*Table118192023103031323538394041481115182028317[[#This Row],[النولون]]</f>
        <v>0</v>
      </c>
      <c r="L29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96" s="1">
        <f>N295+Table118192023103031323538394041481115182028317[[#This Row],[اجمالي الفاتوره]]-Table118192023103031323538394041481115182028317[[#This Row],[الدفعات]]</f>
        <v>359137.22000000003</v>
      </c>
    </row>
    <row r="297" spans="10:14" s="1" customFormat="1" ht="25.2" customHeight="1" x14ac:dyDescent="0.3">
      <c r="J297" s="1">
        <f>0.03*Table118192023103031323538394041481115182028317[[#This Row],[النولون]]</f>
        <v>0</v>
      </c>
      <c r="L29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97" s="1">
        <f>N296+Table118192023103031323538394041481115182028317[[#This Row],[اجمالي الفاتوره]]-Table118192023103031323538394041481115182028317[[#This Row],[الدفعات]]</f>
        <v>359137.22000000003</v>
      </c>
    </row>
    <row r="298" spans="10:14" s="1" customFormat="1" ht="25.2" customHeight="1" x14ac:dyDescent="0.3">
      <c r="J298" s="1">
        <f>0.03*Table118192023103031323538394041481115182028317[[#This Row],[النولون]]</f>
        <v>0</v>
      </c>
      <c r="L29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98" s="1">
        <f>N297+Table118192023103031323538394041481115182028317[[#This Row],[اجمالي الفاتوره]]-Table118192023103031323538394041481115182028317[[#This Row],[الدفعات]]</f>
        <v>359137.22000000003</v>
      </c>
    </row>
    <row r="299" spans="10:14" s="1" customFormat="1" ht="25.2" customHeight="1" x14ac:dyDescent="0.3">
      <c r="J299" s="1">
        <f>0.03*Table118192023103031323538394041481115182028317[[#This Row],[النولون]]</f>
        <v>0</v>
      </c>
      <c r="L29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299" s="1">
        <f>N298+Table118192023103031323538394041481115182028317[[#This Row],[اجمالي الفاتوره]]-Table118192023103031323538394041481115182028317[[#This Row],[الدفعات]]</f>
        <v>359137.22000000003</v>
      </c>
    </row>
    <row r="300" spans="10:14" s="1" customFormat="1" ht="25.2" customHeight="1" x14ac:dyDescent="0.3">
      <c r="J300" s="1">
        <f>0.03*Table118192023103031323538394041481115182028317[[#This Row],[النولون]]</f>
        <v>0</v>
      </c>
      <c r="L30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00" s="1">
        <f>N299+Table118192023103031323538394041481115182028317[[#This Row],[اجمالي الفاتوره]]-Table118192023103031323538394041481115182028317[[#This Row],[الدفعات]]</f>
        <v>359137.22000000003</v>
      </c>
    </row>
    <row r="301" spans="10:14" s="1" customFormat="1" ht="25.2" customHeight="1" x14ac:dyDescent="0.3">
      <c r="J301" s="1">
        <f>0.03*Table118192023103031323538394041481115182028317[[#This Row],[النولون]]</f>
        <v>0</v>
      </c>
      <c r="L30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01" s="1">
        <f>N300+Table118192023103031323538394041481115182028317[[#This Row],[اجمالي الفاتوره]]-Table118192023103031323538394041481115182028317[[#This Row],[الدفعات]]</f>
        <v>359137.22000000003</v>
      </c>
    </row>
    <row r="302" spans="10:14" s="1" customFormat="1" ht="25.2" customHeight="1" x14ac:dyDescent="0.3">
      <c r="J302" s="1">
        <f>0.03*Table118192023103031323538394041481115182028317[[#This Row],[النولون]]</f>
        <v>0</v>
      </c>
      <c r="L30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02" s="1">
        <f>N301+Table118192023103031323538394041481115182028317[[#This Row],[اجمالي الفاتوره]]-Table118192023103031323538394041481115182028317[[#This Row],[الدفعات]]</f>
        <v>359137.22000000003</v>
      </c>
    </row>
    <row r="303" spans="10:14" s="1" customFormat="1" ht="25.2" customHeight="1" x14ac:dyDescent="0.3">
      <c r="J303" s="1">
        <f>0.03*Table118192023103031323538394041481115182028317[[#This Row],[النولون]]</f>
        <v>0</v>
      </c>
      <c r="L30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03" s="1">
        <f>N302+Table118192023103031323538394041481115182028317[[#This Row],[اجمالي الفاتوره]]-Table118192023103031323538394041481115182028317[[#This Row],[الدفعات]]</f>
        <v>359137.22000000003</v>
      </c>
    </row>
    <row r="304" spans="10:14" s="1" customFormat="1" ht="25.2" customHeight="1" x14ac:dyDescent="0.3">
      <c r="J304" s="1">
        <f>0.03*Table118192023103031323538394041481115182028317[[#This Row],[النولون]]</f>
        <v>0</v>
      </c>
      <c r="L30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04" s="1">
        <f>N303+Table118192023103031323538394041481115182028317[[#This Row],[اجمالي الفاتوره]]-Table118192023103031323538394041481115182028317[[#This Row],[الدفعات]]</f>
        <v>359137.22000000003</v>
      </c>
    </row>
    <row r="305" spans="10:14" s="1" customFormat="1" ht="25.2" customHeight="1" x14ac:dyDescent="0.3">
      <c r="J305" s="1">
        <f>0.03*Table118192023103031323538394041481115182028317[[#This Row],[النولون]]</f>
        <v>0</v>
      </c>
      <c r="L30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05" s="1">
        <f>N304+Table118192023103031323538394041481115182028317[[#This Row],[اجمالي الفاتوره]]-Table118192023103031323538394041481115182028317[[#This Row],[الدفعات]]</f>
        <v>359137.22000000003</v>
      </c>
    </row>
    <row r="306" spans="10:14" s="1" customFormat="1" ht="25.2" customHeight="1" x14ac:dyDescent="0.3">
      <c r="J306" s="1">
        <f>0.03*Table118192023103031323538394041481115182028317[[#This Row],[النولون]]</f>
        <v>0</v>
      </c>
      <c r="L30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06" s="1">
        <f>N305+Table118192023103031323538394041481115182028317[[#This Row],[اجمالي الفاتوره]]-Table118192023103031323538394041481115182028317[[#This Row],[الدفعات]]</f>
        <v>359137.22000000003</v>
      </c>
    </row>
    <row r="307" spans="10:14" s="1" customFormat="1" ht="25.2" customHeight="1" x14ac:dyDescent="0.3">
      <c r="J307" s="1">
        <f>0.03*Table118192023103031323538394041481115182028317[[#This Row],[النولون]]</f>
        <v>0</v>
      </c>
      <c r="L30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07" s="1">
        <f>N306+Table118192023103031323538394041481115182028317[[#This Row],[اجمالي الفاتوره]]-Table118192023103031323538394041481115182028317[[#This Row],[الدفعات]]</f>
        <v>359137.22000000003</v>
      </c>
    </row>
    <row r="308" spans="10:14" s="1" customFormat="1" ht="25.2" customHeight="1" x14ac:dyDescent="0.3">
      <c r="J308" s="1">
        <f>0.03*Table118192023103031323538394041481115182028317[[#This Row],[النولون]]</f>
        <v>0</v>
      </c>
      <c r="L30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08" s="1">
        <f>N307+Table118192023103031323538394041481115182028317[[#This Row],[اجمالي الفاتوره]]-Table118192023103031323538394041481115182028317[[#This Row],[الدفعات]]</f>
        <v>359137.22000000003</v>
      </c>
    </row>
    <row r="309" spans="10:14" s="1" customFormat="1" ht="25.2" customHeight="1" x14ac:dyDescent="0.3">
      <c r="J309" s="1">
        <f>0.03*Table118192023103031323538394041481115182028317[[#This Row],[النولون]]</f>
        <v>0</v>
      </c>
      <c r="L30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09" s="1">
        <f>N308+Table118192023103031323538394041481115182028317[[#This Row],[اجمالي الفاتوره]]-Table118192023103031323538394041481115182028317[[#This Row],[الدفعات]]</f>
        <v>359137.22000000003</v>
      </c>
    </row>
    <row r="310" spans="10:14" s="1" customFormat="1" ht="25.2" customHeight="1" x14ac:dyDescent="0.3">
      <c r="J310" s="1">
        <f>0.03*Table118192023103031323538394041481115182028317[[#This Row],[النولون]]</f>
        <v>0</v>
      </c>
      <c r="L31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10" s="1">
        <f>N309+Table118192023103031323538394041481115182028317[[#This Row],[اجمالي الفاتوره]]-Table118192023103031323538394041481115182028317[[#This Row],[الدفعات]]</f>
        <v>359137.22000000003</v>
      </c>
    </row>
    <row r="311" spans="10:14" s="1" customFormat="1" ht="25.2" customHeight="1" x14ac:dyDescent="0.3">
      <c r="J311" s="1">
        <f>0.03*Table118192023103031323538394041481115182028317[[#This Row],[النولون]]</f>
        <v>0</v>
      </c>
      <c r="L31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11" s="1">
        <f>N310+Table118192023103031323538394041481115182028317[[#This Row],[اجمالي الفاتوره]]-Table118192023103031323538394041481115182028317[[#This Row],[الدفعات]]</f>
        <v>359137.22000000003</v>
      </c>
    </row>
    <row r="312" spans="10:14" s="1" customFormat="1" ht="25.2" customHeight="1" x14ac:dyDescent="0.3">
      <c r="J312" s="1">
        <f>0.03*Table118192023103031323538394041481115182028317[[#This Row],[النولون]]</f>
        <v>0</v>
      </c>
      <c r="L31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12" s="1">
        <f>N311+Table118192023103031323538394041481115182028317[[#This Row],[اجمالي الفاتوره]]-Table118192023103031323538394041481115182028317[[#This Row],[الدفعات]]</f>
        <v>359137.22000000003</v>
      </c>
    </row>
    <row r="313" spans="10:14" s="1" customFormat="1" ht="25.2" customHeight="1" x14ac:dyDescent="0.3">
      <c r="J313" s="1">
        <f>0.03*Table118192023103031323538394041481115182028317[[#This Row],[النولون]]</f>
        <v>0</v>
      </c>
      <c r="L31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13" s="1">
        <f>N312+Table118192023103031323538394041481115182028317[[#This Row],[اجمالي الفاتوره]]-Table118192023103031323538394041481115182028317[[#This Row],[الدفعات]]</f>
        <v>359137.22000000003</v>
      </c>
    </row>
    <row r="314" spans="10:14" s="1" customFormat="1" ht="25.2" customHeight="1" x14ac:dyDescent="0.3">
      <c r="J314" s="1">
        <f>0.03*Table118192023103031323538394041481115182028317[[#This Row],[النولون]]</f>
        <v>0</v>
      </c>
      <c r="L31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14" s="1">
        <f>N313+Table118192023103031323538394041481115182028317[[#This Row],[اجمالي الفاتوره]]-Table118192023103031323538394041481115182028317[[#This Row],[الدفعات]]</f>
        <v>359137.22000000003</v>
      </c>
    </row>
    <row r="315" spans="10:14" s="1" customFormat="1" ht="25.2" customHeight="1" x14ac:dyDescent="0.3">
      <c r="J315" s="1">
        <f>0.03*Table118192023103031323538394041481115182028317[[#This Row],[النولون]]</f>
        <v>0</v>
      </c>
      <c r="L31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15" s="1">
        <f>N314+Table118192023103031323538394041481115182028317[[#This Row],[اجمالي الفاتوره]]-Table118192023103031323538394041481115182028317[[#This Row],[الدفعات]]</f>
        <v>359137.22000000003</v>
      </c>
    </row>
    <row r="316" spans="10:14" s="1" customFormat="1" ht="25.2" customHeight="1" x14ac:dyDescent="0.3">
      <c r="J316" s="1">
        <f>0.03*Table118192023103031323538394041481115182028317[[#This Row],[النولون]]</f>
        <v>0</v>
      </c>
      <c r="L31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16" s="1">
        <f>N315+Table118192023103031323538394041481115182028317[[#This Row],[اجمالي الفاتوره]]-Table118192023103031323538394041481115182028317[[#This Row],[الدفعات]]</f>
        <v>359137.22000000003</v>
      </c>
    </row>
    <row r="317" spans="10:14" s="1" customFormat="1" ht="25.2" customHeight="1" x14ac:dyDescent="0.3">
      <c r="J317" s="1">
        <f>0.03*Table118192023103031323538394041481115182028317[[#This Row],[النولون]]</f>
        <v>0</v>
      </c>
      <c r="L31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17" s="1">
        <f>N316+Table118192023103031323538394041481115182028317[[#This Row],[اجمالي الفاتوره]]-Table118192023103031323538394041481115182028317[[#This Row],[الدفعات]]</f>
        <v>359137.22000000003</v>
      </c>
    </row>
    <row r="318" spans="10:14" s="1" customFormat="1" ht="25.2" customHeight="1" x14ac:dyDescent="0.3">
      <c r="J318" s="1">
        <f>0.03*Table118192023103031323538394041481115182028317[[#This Row],[النولون]]</f>
        <v>0</v>
      </c>
      <c r="L31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18" s="1">
        <f>N317+Table118192023103031323538394041481115182028317[[#This Row],[اجمالي الفاتوره]]-Table118192023103031323538394041481115182028317[[#This Row],[الدفعات]]</f>
        <v>359137.22000000003</v>
      </c>
    </row>
    <row r="319" spans="10:14" s="1" customFormat="1" ht="25.2" customHeight="1" x14ac:dyDescent="0.3">
      <c r="J319" s="1">
        <f>0.03*Table118192023103031323538394041481115182028317[[#This Row],[النولون]]</f>
        <v>0</v>
      </c>
      <c r="L31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19" s="1">
        <f>N318+Table118192023103031323538394041481115182028317[[#This Row],[اجمالي الفاتوره]]-Table118192023103031323538394041481115182028317[[#This Row],[الدفعات]]</f>
        <v>359137.22000000003</v>
      </c>
    </row>
    <row r="320" spans="10:14" s="1" customFormat="1" ht="25.2" customHeight="1" x14ac:dyDescent="0.3">
      <c r="J320" s="1">
        <f>0.03*Table118192023103031323538394041481115182028317[[#This Row],[النولون]]</f>
        <v>0</v>
      </c>
      <c r="L32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20" s="1">
        <f>N319+Table118192023103031323538394041481115182028317[[#This Row],[اجمالي الفاتوره]]-Table118192023103031323538394041481115182028317[[#This Row],[الدفعات]]</f>
        <v>359137.22000000003</v>
      </c>
    </row>
    <row r="321" spans="10:14" s="1" customFormat="1" ht="25.2" customHeight="1" x14ac:dyDescent="0.3">
      <c r="J321" s="1">
        <f>0.03*Table118192023103031323538394041481115182028317[[#This Row],[النولون]]</f>
        <v>0</v>
      </c>
      <c r="L32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21" s="1">
        <f>N320+Table118192023103031323538394041481115182028317[[#This Row],[اجمالي الفاتوره]]-Table118192023103031323538394041481115182028317[[#This Row],[الدفعات]]</f>
        <v>359137.22000000003</v>
      </c>
    </row>
    <row r="322" spans="10:14" s="1" customFormat="1" ht="25.2" customHeight="1" x14ac:dyDescent="0.3">
      <c r="J322" s="1">
        <f>0.03*Table118192023103031323538394041481115182028317[[#This Row],[النولون]]</f>
        <v>0</v>
      </c>
      <c r="L32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22" s="1">
        <f>N321+Table118192023103031323538394041481115182028317[[#This Row],[اجمالي الفاتوره]]-Table118192023103031323538394041481115182028317[[#This Row],[الدفعات]]</f>
        <v>359137.22000000003</v>
      </c>
    </row>
    <row r="323" spans="10:14" s="1" customFormat="1" ht="25.2" customHeight="1" x14ac:dyDescent="0.3">
      <c r="J323" s="1">
        <f>0.03*Table118192023103031323538394041481115182028317[[#This Row],[النولون]]</f>
        <v>0</v>
      </c>
      <c r="L32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23" s="1">
        <f>N322+Table118192023103031323538394041481115182028317[[#This Row],[اجمالي الفاتوره]]-Table118192023103031323538394041481115182028317[[#This Row],[الدفعات]]</f>
        <v>359137.22000000003</v>
      </c>
    </row>
    <row r="324" spans="10:14" s="1" customFormat="1" ht="25.2" customHeight="1" x14ac:dyDescent="0.3">
      <c r="J324" s="1">
        <f>0.03*Table118192023103031323538394041481115182028317[[#This Row],[النولون]]</f>
        <v>0</v>
      </c>
      <c r="L32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24" s="1">
        <f>N323+Table118192023103031323538394041481115182028317[[#This Row],[اجمالي الفاتوره]]-Table118192023103031323538394041481115182028317[[#This Row],[الدفعات]]</f>
        <v>359137.22000000003</v>
      </c>
    </row>
    <row r="325" spans="10:14" s="1" customFormat="1" ht="25.2" customHeight="1" x14ac:dyDescent="0.3">
      <c r="J325" s="1">
        <f>0.03*Table118192023103031323538394041481115182028317[[#This Row],[النولون]]</f>
        <v>0</v>
      </c>
      <c r="L32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25" s="1">
        <f>N324+Table118192023103031323538394041481115182028317[[#This Row],[اجمالي الفاتوره]]-Table118192023103031323538394041481115182028317[[#This Row],[الدفعات]]</f>
        <v>359137.22000000003</v>
      </c>
    </row>
    <row r="326" spans="10:14" s="1" customFormat="1" ht="25.2" customHeight="1" x14ac:dyDescent="0.3">
      <c r="J326" s="1">
        <f>0.03*Table118192023103031323538394041481115182028317[[#This Row],[النولون]]</f>
        <v>0</v>
      </c>
      <c r="L32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26" s="1">
        <f>N325+Table118192023103031323538394041481115182028317[[#This Row],[اجمالي الفاتوره]]-Table118192023103031323538394041481115182028317[[#This Row],[الدفعات]]</f>
        <v>359137.22000000003</v>
      </c>
    </row>
    <row r="327" spans="10:14" s="1" customFormat="1" ht="25.2" customHeight="1" x14ac:dyDescent="0.3">
      <c r="J327" s="1">
        <f>0.03*Table118192023103031323538394041481115182028317[[#This Row],[النولون]]</f>
        <v>0</v>
      </c>
      <c r="L32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27" s="1">
        <f>N326+Table118192023103031323538394041481115182028317[[#This Row],[اجمالي الفاتوره]]-Table118192023103031323538394041481115182028317[[#This Row],[الدفعات]]</f>
        <v>359137.22000000003</v>
      </c>
    </row>
    <row r="328" spans="10:14" s="1" customFormat="1" ht="25.2" customHeight="1" x14ac:dyDescent="0.3">
      <c r="J328" s="1">
        <f>0.03*Table118192023103031323538394041481115182028317[[#This Row],[النولون]]</f>
        <v>0</v>
      </c>
      <c r="L32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28" s="1">
        <f>N327+Table118192023103031323538394041481115182028317[[#This Row],[اجمالي الفاتوره]]-Table118192023103031323538394041481115182028317[[#This Row],[الدفعات]]</f>
        <v>359137.22000000003</v>
      </c>
    </row>
    <row r="329" spans="10:14" s="1" customFormat="1" ht="25.2" customHeight="1" x14ac:dyDescent="0.3">
      <c r="J329" s="1">
        <f>0.03*Table118192023103031323538394041481115182028317[[#This Row],[النولون]]</f>
        <v>0</v>
      </c>
      <c r="L329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29" s="1">
        <f>N328+Table118192023103031323538394041481115182028317[[#This Row],[اجمالي الفاتوره]]-Table118192023103031323538394041481115182028317[[#This Row],[الدفعات]]</f>
        <v>359137.22000000003</v>
      </c>
    </row>
    <row r="330" spans="10:14" s="1" customFormat="1" ht="25.2" customHeight="1" x14ac:dyDescent="0.3">
      <c r="J330" s="1">
        <f>0.03*Table118192023103031323538394041481115182028317[[#This Row],[النولون]]</f>
        <v>0</v>
      </c>
      <c r="L330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30" s="1">
        <f>N329+Table118192023103031323538394041481115182028317[[#This Row],[اجمالي الفاتوره]]-Table118192023103031323538394041481115182028317[[#This Row],[الدفعات]]</f>
        <v>359137.22000000003</v>
      </c>
    </row>
    <row r="331" spans="10:14" s="1" customFormat="1" ht="25.2" customHeight="1" x14ac:dyDescent="0.3">
      <c r="J331" s="1">
        <f>0.03*Table118192023103031323538394041481115182028317[[#This Row],[النولون]]</f>
        <v>0</v>
      </c>
      <c r="L331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31" s="1">
        <f>N330+Table118192023103031323538394041481115182028317[[#This Row],[اجمالي الفاتوره]]-Table118192023103031323538394041481115182028317[[#This Row],[الدفعات]]</f>
        <v>359137.22000000003</v>
      </c>
    </row>
    <row r="332" spans="10:14" s="1" customFormat="1" ht="25.2" customHeight="1" x14ac:dyDescent="0.3">
      <c r="J332" s="1">
        <f>0.03*Table118192023103031323538394041481115182028317[[#This Row],[النولون]]</f>
        <v>0</v>
      </c>
      <c r="L332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32" s="1">
        <f>N331+Table118192023103031323538394041481115182028317[[#This Row],[اجمالي الفاتوره]]-Table118192023103031323538394041481115182028317[[#This Row],[الدفعات]]</f>
        <v>359137.22000000003</v>
      </c>
    </row>
    <row r="333" spans="10:14" s="1" customFormat="1" ht="25.2" customHeight="1" x14ac:dyDescent="0.3">
      <c r="J333" s="1">
        <f>0.03*Table118192023103031323538394041481115182028317[[#This Row],[النولون]]</f>
        <v>0</v>
      </c>
      <c r="L333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33" s="1">
        <f>N332+Table118192023103031323538394041481115182028317[[#This Row],[اجمالي الفاتوره]]-Table118192023103031323538394041481115182028317[[#This Row],[الدفعات]]</f>
        <v>359137.22000000003</v>
      </c>
    </row>
    <row r="334" spans="10:14" s="1" customFormat="1" ht="25.2" customHeight="1" x14ac:dyDescent="0.3">
      <c r="J334" s="1">
        <f>0.03*Table118192023103031323538394041481115182028317[[#This Row],[النولون]]</f>
        <v>0</v>
      </c>
      <c r="L334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34" s="1">
        <f>N333+Table118192023103031323538394041481115182028317[[#This Row],[اجمالي الفاتوره]]-Table118192023103031323538394041481115182028317[[#This Row],[الدفعات]]</f>
        <v>359137.22000000003</v>
      </c>
    </row>
    <row r="335" spans="10:14" s="1" customFormat="1" ht="25.2" customHeight="1" x14ac:dyDescent="0.3">
      <c r="J335" s="1">
        <f>0.03*Table118192023103031323538394041481115182028317[[#This Row],[النولون]]</f>
        <v>0</v>
      </c>
      <c r="L335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35" s="1">
        <f>N334+Table118192023103031323538394041481115182028317[[#This Row],[اجمالي الفاتوره]]-Table118192023103031323538394041481115182028317[[#This Row],[الدفعات]]</f>
        <v>359137.22000000003</v>
      </c>
    </row>
    <row r="336" spans="10:14" s="1" customFormat="1" ht="25.2" customHeight="1" x14ac:dyDescent="0.3">
      <c r="J336" s="1">
        <f>0.03*Table118192023103031323538394041481115182028317[[#This Row],[النولون]]</f>
        <v>0</v>
      </c>
      <c r="L336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36" s="1">
        <f>N335+Table118192023103031323538394041481115182028317[[#This Row],[اجمالي الفاتوره]]-Table118192023103031323538394041481115182028317[[#This Row],[الدفعات]]</f>
        <v>359137.22000000003</v>
      </c>
    </row>
    <row r="337" spans="10:14" s="1" customFormat="1" ht="25.2" customHeight="1" x14ac:dyDescent="0.3">
      <c r="J337" s="1">
        <f>0.03*Table118192023103031323538394041481115182028317[[#This Row],[النولون]]</f>
        <v>0</v>
      </c>
      <c r="L337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37" s="1">
        <f>N336+Table118192023103031323538394041481115182028317[[#This Row],[اجمالي الفاتوره]]-Table118192023103031323538394041481115182028317[[#This Row],[الدفعات]]</f>
        <v>359137.22000000003</v>
      </c>
    </row>
    <row r="338" spans="10:14" s="1" customFormat="1" ht="25.2" customHeight="1" x14ac:dyDescent="0.3">
      <c r="J338" s="1">
        <f>0.03*Table118192023103031323538394041481115182028317[[#This Row],[النولون]]</f>
        <v>0</v>
      </c>
      <c r="L338" s="1">
        <f>Table118192023103031323538394041481115182028317[[#This Row],[النولون]]+Table118192023103031323538394041481115182028317[[#This Row],[الايصالات]]-Table118192023103031323538394041481115182028317[[#This Row],[خصم أ ت ص]]+Table118192023103031323538394041481115182028317[[#This Row],[قيمة مضافة]]</f>
        <v>0</v>
      </c>
      <c r="N338" s="1">
        <f>N337+Table118192023103031323538394041481115182028317[[#This Row],[اجمالي الفاتوره]]-Table118192023103031323538394041481115182028317[[#This Row],[الدفعات]]</f>
        <v>359137.22000000003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58E5-1AA7-45F2-B8E0-56B7A9B26049}">
  <dimension ref="A1:O338"/>
  <sheetViews>
    <sheetView rightToLeft="1" workbookViewId="0">
      <selection activeCell="G5" sqref="G5"/>
    </sheetView>
  </sheetViews>
  <sheetFormatPr defaultColWidth="9.109375" defaultRowHeight="15.6" x14ac:dyDescent="0.3"/>
  <cols>
    <col min="1" max="1" width="5.44140625" style="6" customWidth="1"/>
    <col min="2" max="2" width="5.44140625" style="1" customWidth="1"/>
    <col min="3" max="3" width="11" style="1" customWidth="1"/>
    <col min="4" max="4" width="15.109375" style="1" customWidth="1"/>
    <col min="5" max="5" width="11.21875" style="1" customWidth="1"/>
    <col min="6" max="6" width="13.33203125" style="1" customWidth="1"/>
    <col min="7" max="7" width="11.88671875" style="1" customWidth="1"/>
    <col min="8" max="8" width="11.6640625" style="1" customWidth="1"/>
    <col min="9" max="9" width="8.33203125" style="1" customWidth="1"/>
    <col min="10" max="10" width="8.21875" style="1" customWidth="1"/>
    <col min="11" max="11" width="10.77734375" style="1" customWidth="1"/>
    <col min="12" max="12" width="12" style="1" customWidth="1"/>
    <col min="13" max="13" width="12.77734375" style="1" customWidth="1"/>
    <col min="14" max="14" width="15.21875" style="1" customWidth="1"/>
    <col min="15" max="16384" width="9.109375" style="1"/>
  </cols>
  <sheetData>
    <row r="1" spans="1:15" ht="25.2" customHeight="1" x14ac:dyDescent="0.3">
      <c r="A1" s="6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25.2" customHeight="1" x14ac:dyDescent="0.3">
      <c r="B2" s="1">
        <v>1</v>
      </c>
      <c r="C2" s="2">
        <v>46195</v>
      </c>
      <c r="D2" s="1" t="s">
        <v>624</v>
      </c>
      <c r="E2" s="1" t="s">
        <v>118</v>
      </c>
      <c r="F2" s="1">
        <v>926251</v>
      </c>
      <c r="G2" s="1" t="s">
        <v>121</v>
      </c>
      <c r="H2" s="1">
        <v>14000</v>
      </c>
      <c r="K2" s="1">
        <f>1100+528.47+1140+200+285</f>
        <v>3253.4700000000003</v>
      </c>
      <c r="L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17253.47</v>
      </c>
      <c r="N2" s="1">
        <f>Table11819202310303132353839404148111518202831721[[#This Row],[اجمالي الفاتوره]]-Table11819202310303132353839404148111518202831721[[#This Row],[الدفعات]]</f>
        <v>17253.47</v>
      </c>
    </row>
    <row r="3" spans="1:15" ht="25.2" customHeight="1" x14ac:dyDescent="0.3">
      <c r="B3" s="1">
        <v>2</v>
      </c>
      <c r="C3" s="2">
        <v>46195</v>
      </c>
      <c r="D3" s="1" t="s">
        <v>624</v>
      </c>
      <c r="E3" s="1" t="s">
        <v>118</v>
      </c>
      <c r="F3" s="1" t="s">
        <v>625</v>
      </c>
      <c r="G3" s="1" t="s">
        <v>92</v>
      </c>
      <c r="H3" s="1">
        <f>2*14000</f>
        <v>28000</v>
      </c>
      <c r="K3" s="1">
        <f>1100+1130+461.01+461.01+2400+1200+400</f>
        <v>7152.02</v>
      </c>
      <c r="L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35152.020000000004</v>
      </c>
      <c r="N3" s="1">
        <f>N2+Table11819202310303132353839404148111518202831721[[#This Row],[اجمالي الفاتوره]]-Table11819202310303132353839404148111518202831721[[#This Row],[الدفعات]]</f>
        <v>52405.490000000005</v>
      </c>
    </row>
    <row r="4" spans="1:15" ht="25.2" customHeight="1" x14ac:dyDescent="0.3">
      <c r="A4" s="42"/>
      <c r="B4" s="1">
        <v>3</v>
      </c>
      <c r="C4" s="2">
        <v>46195</v>
      </c>
      <c r="D4" s="1" t="s">
        <v>624</v>
      </c>
      <c r="E4" s="1" t="s">
        <v>118</v>
      </c>
      <c r="F4" s="1" t="s">
        <v>626</v>
      </c>
      <c r="G4" s="1" t="s">
        <v>121</v>
      </c>
      <c r="H4" s="1">
        <v>14000</v>
      </c>
      <c r="K4" s="1">
        <f>1100+482.65+600+400+1200</f>
        <v>3782.65</v>
      </c>
      <c r="L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17782.650000000001</v>
      </c>
      <c r="N4" s="1">
        <f>N3+Table11819202310303132353839404148111518202831721[[#This Row],[اجمالي الفاتوره]]-Table11819202310303132353839404148111518202831721[[#This Row],[الدفعات]]</f>
        <v>70188.140000000014</v>
      </c>
    </row>
    <row r="5" spans="1:15" ht="25.2" customHeight="1" x14ac:dyDescent="0.3">
      <c r="C5" s="2"/>
      <c r="L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5" s="1">
        <f>N4+Table11819202310303132353839404148111518202831721[[#This Row],[اجمالي الفاتوره]]-Table11819202310303132353839404148111518202831721[[#This Row],[الدفعات]]</f>
        <v>70188.140000000014</v>
      </c>
    </row>
    <row r="6" spans="1:15" ht="25.2" customHeight="1" x14ac:dyDescent="0.3">
      <c r="C6" s="2"/>
      <c r="L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6" s="1">
        <f>N5+Table11819202310303132353839404148111518202831721[[#This Row],[اجمالي الفاتوره]]-Table11819202310303132353839404148111518202831721[[#This Row],[الدفعات]]</f>
        <v>70188.140000000014</v>
      </c>
    </row>
    <row r="7" spans="1:15" ht="25.2" customHeight="1" x14ac:dyDescent="0.3">
      <c r="C7" s="2"/>
      <c r="L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7" s="1">
        <f>N6+Table11819202310303132353839404148111518202831721[[#This Row],[اجمالي الفاتوره]]-Table11819202310303132353839404148111518202831721[[#This Row],[الدفعات]]</f>
        <v>70188.140000000014</v>
      </c>
    </row>
    <row r="8" spans="1:15" ht="25.2" customHeight="1" x14ac:dyDescent="0.3">
      <c r="C8" s="2"/>
      <c r="G8" s="20"/>
      <c r="L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8" s="1">
        <f>N7+Table11819202310303132353839404148111518202831721[[#This Row],[اجمالي الفاتوره]]-Table11819202310303132353839404148111518202831721[[#This Row],[الدفعات]]</f>
        <v>70188.140000000014</v>
      </c>
    </row>
    <row r="9" spans="1:15" ht="25.2" customHeight="1" x14ac:dyDescent="0.3">
      <c r="C9" s="2"/>
      <c r="E9" s="20"/>
      <c r="F9" s="20"/>
      <c r="L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9" s="1">
        <f>N8+Table11819202310303132353839404148111518202831721[[#This Row],[اجمالي الفاتوره]]-Table11819202310303132353839404148111518202831721[[#This Row],[الدفعات]]</f>
        <v>70188.140000000014</v>
      </c>
    </row>
    <row r="10" spans="1:15" ht="25.2" customHeight="1" x14ac:dyDescent="0.3">
      <c r="C10" s="2"/>
      <c r="F10" s="20"/>
      <c r="L1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0" s="1">
        <f>N9+Table11819202310303132353839404148111518202831721[[#This Row],[اجمالي الفاتوره]]-Table11819202310303132353839404148111518202831721[[#This Row],[الدفعات]]</f>
        <v>70188.140000000014</v>
      </c>
    </row>
    <row r="11" spans="1:15" ht="25.2" customHeight="1" x14ac:dyDescent="0.3">
      <c r="C11" s="2"/>
      <c r="F11" s="20"/>
      <c r="L1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1" s="1">
        <f>N10+Table11819202310303132353839404148111518202831721[[#This Row],[اجمالي الفاتوره]]-Table11819202310303132353839404148111518202831721[[#This Row],[الدفعات]]</f>
        <v>70188.140000000014</v>
      </c>
    </row>
    <row r="12" spans="1:15" ht="25.2" customHeight="1" x14ac:dyDescent="0.3">
      <c r="C12" s="2"/>
      <c r="L1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2" s="1">
        <f>N11+Table11819202310303132353839404148111518202831721[[#This Row],[اجمالي الفاتوره]]-Table11819202310303132353839404148111518202831721[[#This Row],[الدفعات]]</f>
        <v>70188.140000000014</v>
      </c>
      <c r="O12" s="1">
        <f>SUM(L:L)-SUM(M:M)</f>
        <v>70188.140000000014</v>
      </c>
    </row>
    <row r="13" spans="1:15" ht="25.2" customHeight="1" x14ac:dyDescent="0.3">
      <c r="C13" s="2"/>
      <c r="L1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3" s="1">
        <f>N12+Table11819202310303132353839404148111518202831721[[#This Row],[اجمالي الفاتوره]]-Table11819202310303132353839404148111518202831721[[#This Row],[الدفعات]]</f>
        <v>70188.140000000014</v>
      </c>
    </row>
    <row r="14" spans="1:15" ht="25.2" customHeight="1" x14ac:dyDescent="0.3">
      <c r="C14" s="2"/>
      <c r="L1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4" s="1">
        <f>N13+Table11819202310303132353839404148111518202831721[[#This Row],[اجمالي الفاتوره]]-Table11819202310303132353839404148111518202831721[[#This Row],[الدفعات]]</f>
        <v>70188.140000000014</v>
      </c>
    </row>
    <row r="15" spans="1:15" ht="25.2" customHeight="1" x14ac:dyDescent="0.3">
      <c r="C15" s="2"/>
      <c r="L1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5" s="1">
        <f>N14+Table11819202310303132353839404148111518202831721[[#This Row],[اجمالي الفاتوره]]-Table11819202310303132353839404148111518202831721[[#This Row],[الدفعات]]</f>
        <v>70188.140000000014</v>
      </c>
    </row>
    <row r="16" spans="1:15" ht="25.2" customHeight="1" x14ac:dyDescent="0.3">
      <c r="C16" s="2"/>
      <c r="L1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6" s="1">
        <f>N15+Table11819202310303132353839404148111518202831721[[#This Row],[اجمالي الفاتوره]]-Table11819202310303132353839404148111518202831721[[#This Row],[الدفعات]]</f>
        <v>70188.140000000014</v>
      </c>
    </row>
    <row r="17" spans="3:14" s="1" customFormat="1" ht="25.2" customHeight="1" x14ac:dyDescent="0.3">
      <c r="C17" s="2"/>
      <c r="L1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7" s="1">
        <f>N16+Table11819202310303132353839404148111518202831721[[#This Row],[اجمالي الفاتوره]]-Table11819202310303132353839404148111518202831721[[#This Row],[الدفعات]]</f>
        <v>70188.140000000014</v>
      </c>
    </row>
    <row r="18" spans="3:14" s="1" customFormat="1" ht="25.2" customHeight="1" x14ac:dyDescent="0.3">
      <c r="C18" s="2"/>
      <c r="L1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8" s="1">
        <f>N17+Table11819202310303132353839404148111518202831721[[#This Row],[اجمالي الفاتوره]]-Table11819202310303132353839404148111518202831721[[#This Row],[الدفعات]]</f>
        <v>70188.140000000014</v>
      </c>
    </row>
    <row r="19" spans="3:14" s="1" customFormat="1" ht="25.2" customHeight="1" x14ac:dyDescent="0.3">
      <c r="C19" s="2"/>
      <c r="L1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9" s="1">
        <f>N18+Table11819202310303132353839404148111518202831721[[#This Row],[اجمالي الفاتوره]]-Table11819202310303132353839404148111518202831721[[#This Row],[الدفعات]]</f>
        <v>70188.140000000014</v>
      </c>
    </row>
    <row r="20" spans="3:14" s="1" customFormat="1" ht="25.2" customHeight="1" x14ac:dyDescent="0.3">
      <c r="C20" s="2"/>
      <c r="L2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0" s="1">
        <f>N19+Table11819202310303132353839404148111518202831721[[#This Row],[اجمالي الفاتوره]]-Table11819202310303132353839404148111518202831721[[#This Row],[الدفعات]]</f>
        <v>70188.140000000014</v>
      </c>
    </row>
    <row r="21" spans="3:14" s="1" customFormat="1" ht="25.2" customHeight="1" x14ac:dyDescent="0.3">
      <c r="C21" s="2"/>
      <c r="L2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1" s="1">
        <f>N20+Table11819202310303132353839404148111518202831721[[#This Row],[اجمالي الفاتوره]]-Table11819202310303132353839404148111518202831721[[#This Row],[الدفعات]]</f>
        <v>70188.140000000014</v>
      </c>
    </row>
    <row r="22" spans="3:14" s="1" customFormat="1" ht="25.2" customHeight="1" x14ac:dyDescent="0.3">
      <c r="C22" s="2"/>
      <c r="L2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2" s="1">
        <f>N21+Table11819202310303132353839404148111518202831721[[#This Row],[اجمالي الفاتوره]]-Table11819202310303132353839404148111518202831721[[#This Row],[الدفعات]]</f>
        <v>70188.140000000014</v>
      </c>
    </row>
    <row r="23" spans="3:14" s="1" customFormat="1" ht="25.2" customHeight="1" x14ac:dyDescent="0.3">
      <c r="C23" s="2"/>
      <c r="L2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3" s="1">
        <f>N22+Table11819202310303132353839404148111518202831721[[#This Row],[اجمالي الفاتوره]]-Table11819202310303132353839404148111518202831721[[#This Row],[الدفعات]]</f>
        <v>70188.140000000014</v>
      </c>
    </row>
    <row r="24" spans="3:14" s="1" customFormat="1" ht="25.2" customHeight="1" x14ac:dyDescent="0.3">
      <c r="L2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4" s="1">
        <f>N23+Table11819202310303132353839404148111518202831721[[#This Row],[اجمالي الفاتوره]]-Table11819202310303132353839404148111518202831721[[#This Row],[الدفعات]]</f>
        <v>70188.140000000014</v>
      </c>
    </row>
    <row r="25" spans="3:14" s="1" customFormat="1" ht="25.2" customHeight="1" x14ac:dyDescent="0.3">
      <c r="L2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5" s="1">
        <f>N24+Table11819202310303132353839404148111518202831721[[#This Row],[اجمالي الفاتوره]]-Table11819202310303132353839404148111518202831721[[#This Row],[الدفعات]]</f>
        <v>70188.140000000014</v>
      </c>
    </row>
    <row r="26" spans="3:14" s="1" customFormat="1" ht="25.2" customHeight="1" x14ac:dyDescent="0.3">
      <c r="C26" s="2"/>
      <c r="L2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6" s="1">
        <f>N25+Table11819202310303132353839404148111518202831721[[#This Row],[اجمالي الفاتوره]]-Table11819202310303132353839404148111518202831721[[#This Row],[الدفعات]]</f>
        <v>70188.140000000014</v>
      </c>
    </row>
    <row r="27" spans="3:14" s="1" customFormat="1" ht="25.2" customHeight="1" x14ac:dyDescent="0.3">
      <c r="C27" s="2"/>
      <c r="L2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7" s="1">
        <f>N26+Table11819202310303132353839404148111518202831721[[#This Row],[اجمالي الفاتوره]]-Table11819202310303132353839404148111518202831721[[#This Row],[الدفعات]]</f>
        <v>70188.140000000014</v>
      </c>
    </row>
    <row r="28" spans="3:14" s="1" customFormat="1" ht="25.2" customHeight="1" x14ac:dyDescent="0.3">
      <c r="C28" s="2"/>
      <c r="L2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8" s="1">
        <f>N27+Table11819202310303132353839404148111518202831721[[#This Row],[اجمالي الفاتوره]]-Table11819202310303132353839404148111518202831721[[#This Row],[الدفعات]]</f>
        <v>70188.140000000014</v>
      </c>
    </row>
    <row r="29" spans="3:14" s="1" customFormat="1" ht="25.2" customHeight="1" x14ac:dyDescent="0.3">
      <c r="C29" s="2"/>
      <c r="L2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9" s="1">
        <f>N28+Table11819202310303132353839404148111518202831721[[#This Row],[اجمالي الفاتوره]]-Table11819202310303132353839404148111518202831721[[#This Row],[الدفعات]]</f>
        <v>70188.140000000014</v>
      </c>
    </row>
    <row r="30" spans="3:14" s="1" customFormat="1" ht="25.2" customHeight="1" x14ac:dyDescent="0.3">
      <c r="L3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0" s="1">
        <f>N29+Table11819202310303132353839404148111518202831721[[#This Row],[اجمالي الفاتوره]]-Table11819202310303132353839404148111518202831721[[#This Row],[الدفعات]]</f>
        <v>70188.140000000014</v>
      </c>
    </row>
    <row r="31" spans="3:14" s="1" customFormat="1" ht="25.2" customHeight="1" x14ac:dyDescent="0.3">
      <c r="C31" s="2"/>
      <c r="L3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1" s="1">
        <f>N30+Table11819202310303132353839404148111518202831721[[#This Row],[اجمالي الفاتوره]]-Table11819202310303132353839404148111518202831721[[#This Row],[الدفعات]]</f>
        <v>70188.140000000014</v>
      </c>
    </row>
    <row r="32" spans="3:14" s="1" customFormat="1" ht="25.2" customHeight="1" x14ac:dyDescent="0.3">
      <c r="L3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2" s="1">
        <f>N31+Table11819202310303132353839404148111518202831721[[#This Row],[اجمالي الفاتوره]]-Table11819202310303132353839404148111518202831721[[#This Row],[الدفعات]]</f>
        <v>70188.140000000014</v>
      </c>
    </row>
    <row r="33" spans="3:14" s="1" customFormat="1" ht="25.2" customHeight="1" x14ac:dyDescent="0.3">
      <c r="L3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3" s="1">
        <f>N32+Table11819202310303132353839404148111518202831721[[#This Row],[اجمالي الفاتوره]]-Table11819202310303132353839404148111518202831721[[#This Row],[الدفعات]]</f>
        <v>70188.140000000014</v>
      </c>
    </row>
    <row r="34" spans="3:14" s="1" customFormat="1" ht="25.2" customHeight="1" x14ac:dyDescent="0.3">
      <c r="L3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4" s="1">
        <f>N33+Table11819202310303132353839404148111518202831721[[#This Row],[اجمالي الفاتوره]]-Table11819202310303132353839404148111518202831721[[#This Row],[الدفعات]]</f>
        <v>70188.140000000014</v>
      </c>
    </row>
    <row r="35" spans="3:14" s="1" customFormat="1" ht="25.2" customHeight="1" x14ac:dyDescent="0.3">
      <c r="C35" s="2"/>
      <c r="D35" s="2"/>
      <c r="L3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5" s="1">
        <f>N34+Table11819202310303132353839404148111518202831721[[#This Row],[اجمالي الفاتوره]]-Table11819202310303132353839404148111518202831721[[#This Row],[الدفعات]]</f>
        <v>70188.140000000014</v>
      </c>
    </row>
    <row r="36" spans="3:14" s="1" customFormat="1" ht="25.2" customHeight="1" x14ac:dyDescent="0.3">
      <c r="L3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6" s="1">
        <f>N35+Table11819202310303132353839404148111518202831721[[#This Row],[اجمالي الفاتوره]]-Table11819202310303132353839404148111518202831721[[#This Row],[الدفعات]]</f>
        <v>70188.140000000014</v>
      </c>
    </row>
    <row r="37" spans="3:14" s="1" customFormat="1" ht="25.2" customHeight="1" x14ac:dyDescent="0.3">
      <c r="L3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7" s="1">
        <f>N36+Table11819202310303132353839404148111518202831721[[#This Row],[اجمالي الفاتوره]]-Table11819202310303132353839404148111518202831721[[#This Row],[الدفعات]]</f>
        <v>70188.140000000014</v>
      </c>
    </row>
    <row r="38" spans="3:14" s="1" customFormat="1" ht="25.2" customHeight="1" x14ac:dyDescent="0.3">
      <c r="L3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8" s="1">
        <f>N37+Table11819202310303132353839404148111518202831721[[#This Row],[اجمالي الفاتوره]]-Table11819202310303132353839404148111518202831721[[#This Row],[الدفعات]]</f>
        <v>70188.140000000014</v>
      </c>
    </row>
    <row r="39" spans="3:14" s="1" customFormat="1" ht="25.2" customHeight="1" x14ac:dyDescent="0.3">
      <c r="L3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9" s="1">
        <f>N38+Table11819202310303132353839404148111518202831721[[#This Row],[اجمالي الفاتوره]]-Table11819202310303132353839404148111518202831721[[#This Row],[الدفعات]]</f>
        <v>70188.140000000014</v>
      </c>
    </row>
    <row r="40" spans="3:14" s="1" customFormat="1" ht="25.2" customHeight="1" x14ac:dyDescent="0.3">
      <c r="L4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40" s="1">
        <f>N39+Table11819202310303132353839404148111518202831721[[#This Row],[اجمالي الفاتوره]]-Table11819202310303132353839404148111518202831721[[#This Row],[الدفعات]]</f>
        <v>70188.140000000014</v>
      </c>
    </row>
    <row r="41" spans="3:14" s="1" customFormat="1" ht="25.2" customHeight="1" x14ac:dyDescent="0.3">
      <c r="L4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41" s="1">
        <f>N40+Table11819202310303132353839404148111518202831721[[#This Row],[اجمالي الفاتوره]]-Table11819202310303132353839404148111518202831721[[#This Row],[الدفعات]]</f>
        <v>70188.140000000014</v>
      </c>
    </row>
    <row r="42" spans="3:14" s="1" customFormat="1" ht="25.2" customHeight="1" x14ac:dyDescent="0.3">
      <c r="L4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42" s="1">
        <f>N41+Table11819202310303132353839404148111518202831721[[#This Row],[اجمالي الفاتوره]]-Table11819202310303132353839404148111518202831721[[#This Row],[الدفعات]]</f>
        <v>70188.140000000014</v>
      </c>
    </row>
    <row r="43" spans="3:14" s="1" customFormat="1" ht="25.2" customHeight="1" x14ac:dyDescent="0.3">
      <c r="L4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43" s="1">
        <f>N42+Table11819202310303132353839404148111518202831721[[#This Row],[اجمالي الفاتوره]]-Table11819202310303132353839404148111518202831721[[#This Row],[الدفعات]]</f>
        <v>70188.140000000014</v>
      </c>
    </row>
    <row r="44" spans="3:14" s="1" customFormat="1" ht="25.2" customHeight="1" x14ac:dyDescent="0.3">
      <c r="L4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44" s="1">
        <f>N43+Table11819202310303132353839404148111518202831721[[#This Row],[اجمالي الفاتوره]]-Table11819202310303132353839404148111518202831721[[#This Row],[الدفعات]]</f>
        <v>70188.140000000014</v>
      </c>
    </row>
    <row r="45" spans="3:14" s="1" customFormat="1" ht="25.2" customHeight="1" x14ac:dyDescent="0.3">
      <c r="L4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45" s="1">
        <f>N44+Table11819202310303132353839404148111518202831721[[#This Row],[اجمالي الفاتوره]]-Table11819202310303132353839404148111518202831721[[#This Row],[الدفعات]]</f>
        <v>70188.140000000014</v>
      </c>
    </row>
    <row r="46" spans="3:14" s="1" customFormat="1" ht="25.2" customHeight="1" x14ac:dyDescent="0.3">
      <c r="L4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46" s="1">
        <f>N45+Table11819202310303132353839404148111518202831721[[#This Row],[اجمالي الفاتوره]]-Table11819202310303132353839404148111518202831721[[#This Row],[الدفعات]]</f>
        <v>70188.140000000014</v>
      </c>
    </row>
    <row r="47" spans="3:14" s="1" customFormat="1" ht="25.2" customHeight="1" x14ac:dyDescent="0.3">
      <c r="L4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47" s="1">
        <f>N46+Table11819202310303132353839404148111518202831721[[#This Row],[اجمالي الفاتوره]]-Table11819202310303132353839404148111518202831721[[#This Row],[الدفعات]]</f>
        <v>70188.140000000014</v>
      </c>
    </row>
    <row r="48" spans="3:14" s="1" customFormat="1" ht="25.2" customHeight="1" x14ac:dyDescent="0.3">
      <c r="L4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48" s="1">
        <f>N47+Table11819202310303132353839404148111518202831721[[#This Row],[اجمالي الفاتوره]]-Table11819202310303132353839404148111518202831721[[#This Row],[الدفعات]]</f>
        <v>70188.140000000014</v>
      </c>
    </row>
    <row r="49" spans="12:14" s="1" customFormat="1" ht="25.2" customHeight="1" x14ac:dyDescent="0.3">
      <c r="L4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49" s="1">
        <f>N48+Table11819202310303132353839404148111518202831721[[#This Row],[اجمالي الفاتوره]]-Table11819202310303132353839404148111518202831721[[#This Row],[الدفعات]]</f>
        <v>70188.140000000014</v>
      </c>
    </row>
    <row r="50" spans="12:14" s="1" customFormat="1" ht="25.2" customHeight="1" x14ac:dyDescent="0.3">
      <c r="L5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50" s="1">
        <f>N49+Table11819202310303132353839404148111518202831721[[#This Row],[اجمالي الفاتوره]]-Table11819202310303132353839404148111518202831721[[#This Row],[الدفعات]]</f>
        <v>70188.140000000014</v>
      </c>
    </row>
    <row r="51" spans="12:14" s="1" customFormat="1" ht="25.2" customHeight="1" x14ac:dyDescent="0.3">
      <c r="L5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51" s="1">
        <f>N50+Table11819202310303132353839404148111518202831721[[#This Row],[اجمالي الفاتوره]]-Table11819202310303132353839404148111518202831721[[#This Row],[الدفعات]]</f>
        <v>70188.140000000014</v>
      </c>
    </row>
    <row r="52" spans="12:14" s="1" customFormat="1" ht="25.2" customHeight="1" x14ac:dyDescent="0.3">
      <c r="L5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52" s="1">
        <f>N51+Table11819202310303132353839404148111518202831721[[#This Row],[اجمالي الفاتوره]]-Table11819202310303132353839404148111518202831721[[#This Row],[الدفعات]]</f>
        <v>70188.140000000014</v>
      </c>
    </row>
    <row r="53" spans="12:14" s="1" customFormat="1" ht="25.2" customHeight="1" x14ac:dyDescent="0.3">
      <c r="L5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53" s="1">
        <f>N52+Table11819202310303132353839404148111518202831721[[#This Row],[اجمالي الفاتوره]]-Table11819202310303132353839404148111518202831721[[#This Row],[الدفعات]]</f>
        <v>70188.140000000014</v>
      </c>
    </row>
    <row r="54" spans="12:14" s="1" customFormat="1" ht="25.2" customHeight="1" x14ac:dyDescent="0.3">
      <c r="L5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54" s="1">
        <f>N53+Table11819202310303132353839404148111518202831721[[#This Row],[اجمالي الفاتوره]]-Table11819202310303132353839404148111518202831721[[#This Row],[الدفعات]]</f>
        <v>70188.140000000014</v>
      </c>
    </row>
    <row r="55" spans="12:14" s="1" customFormat="1" ht="25.2" customHeight="1" x14ac:dyDescent="0.3">
      <c r="L5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55" s="1">
        <f>N54+Table11819202310303132353839404148111518202831721[[#This Row],[اجمالي الفاتوره]]-Table11819202310303132353839404148111518202831721[[#This Row],[الدفعات]]</f>
        <v>70188.140000000014</v>
      </c>
    </row>
    <row r="56" spans="12:14" s="1" customFormat="1" ht="25.2" customHeight="1" x14ac:dyDescent="0.3">
      <c r="L5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56" s="1">
        <f>N55+Table11819202310303132353839404148111518202831721[[#This Row],[اجمالي الفاتوره]]-Table11819202310303132353839404148111518202831721[[#This Row],[الدفعات]]</f>
        <v>70188.140000000014</v>
      </c>
    </row>
    <row r="57" spans="12:14" s="1" customFormat="1" ht="25.2" customHeight="1" x14ac:dyDescent="0.3">
      <c r="L5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57" s="1">
        <f>N56+Table11819202310303132353839404148111518202831721[[#This Row],[اجمالي الفاتوره]]-Table11819202310303132353839404148111518202831721[[#This Row],[الدفعات]]</f>
        <v>70188.140000000014</v>
      </c>
    </row>
    <row r="58" spans="12:14" s="1" customFormat="1" ht="25.2" customHeight="1" x14ac:dyDescent="0.3">
      <c r="L5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58" s="1">
        <f>N57+Table11819202310303132353839404148111518202831721[[#This Row],[اجمالي الفاتوره]]-Table11819202310303132353839404148111518202831721[[#This Row],[الدفعات]]</f>
        <v>70188.140000000014</v>
      </c>
    </row>
    <row r="59" spans="12:14" s="1" customFormat="1" ht="25.2" customHeight="1" x14ac:dyDescent="0.3">
      <c r="L5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59" s="1">
        <f>N58+Table11819202310303132353839404148111518202831721[[#This Row],[اجمالي الفاتوره]]-Table11819202310303132353839404148111518202831721[[#This Row],[الدفعات]]</f>
        <v>70188.140000000014</v>
      </c>
    </row>
    <row r="60" spans="12:14" s="1" customFormat="1" ht="25.2" customHeight="1" x14ac:dyDescent="0.3">
      <c r="L6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60" s="1">
        <f>N59+Table11819202310303132353839404148111518202831721[[#This Row],[اجمالي الفاتوره]]-Table11819202310303132353839404148111518202831721[[#This Row],[الدفعات]]</f>
        <v>70188.140000000014</v>
      </c>
    </row>
    <row r="61" spans="12:14" s="1" customFormat="1" ht="25.2" customHeight="1" x14ac:dyDescent="0.3">
      <c r="L6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61" s="1">
        <f>N60+Table11819202310303132353839404148111518202831721[[#This Row],[اجمالي الفاتوره]]-Table11819202310303132353839404148111518202831721[[#This Row],[الدفعات]]</f>
        <v>70188.140000000014</v>
      </c>
    </row>
    <row r="62" spans="12:14" s="1" customFormat="1" ht="25.2" customHeight="1" x14ac:dyDescent="0.3">
      <c r="L6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62" s="1">
        <f>N61+Table11819202310303132353839404148111518202831721[[#This Row],[اجمالي الفاتوره]]-Table11819202310303132353839404148111518202831721[[#This Row],[الدفعات]]</f>
        <v>70188.140000000014</v>
      </c>
    </row>
    <row r="63" spans="12:14" s="1" customFormat="1" ht="25.2" customHeight="1" x14ac:dyDescent="0.3">
      <c r="L6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63" s="1">
        <f>N62+Table11819202310303132353839404148111518202831721[[#This Row],[اجمالي الفاتوره]]-Table11819202310303132353839404148111518202831721[[#This Row],[الدفعات]]</f>
        <v>70188.140000000014</v>
      </c>
    </row>
    <row r="64" spans="12:14" s="1" customFormat="1" ht="25.2" customHeight="1" x14ac:dyDescent="0.3">
      <c r="L6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64" s="1">
        <f>N63+Table11819202310303132353839404148111518202831721[[#This Row],[اجمالي الفاتوره]]-Table11819202310303132353839404148111518202831721[[#This Row],[الدفعات]]</f>
        <v>70188.140000000014</v>
      </c>
    </row>
    <row r="65" spans="12:14" s="1" customFormat="1" ht="25.2" customHeight="1" x14ac:dyDescent="0.3">
      <c r="L6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65" s="1">
        <f>N64+Table11819202310303132353839404148111518202831721[[#This Row],[اجمالي الفاتوره]]-Table11819202310303132353839404148111518202831721[[#This Row],[الدفعات]]</f>
        <v>70188.140000000014</v>
      </c>
    </row>
    <row r="66" spans="12:14" s="1" customFormat="1" ht="25.2" customHeight="1" x14ac:dyDescent="0.3">
      <c r="L6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66" s="1">
        <f>N65+Table11819202310303132353839404148111518202831721[[#This Row],[اجمالي الفاتوره]]-Table11819202310303132353839404148111518202831721[[#This Row],[الدفعات]]</f>
        <v>70188.140000000014</v>
      </c>
    </row>
    <row r="67" spans="12:14" s="1" customFormat="1" ht="25.2" customHeight="1" x14ac:dyDescent="0.3">
      <c r="L6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67" s="1">
        <f>N66+Table11819202310303132353839404148111518202831721[[#This Row],[اجمالي الفاتوره]]-Table11819202310303132353839404148111518202831721[[#This Row],[الدفعات]]</f>
        <v>70188.140000000014</v>
      </c>
    </row>
    <row r="68" spans="12:14" s="1" customFormat="1" ht="25.2" customHeight="1" x14ac:dyDescent="0.3">
      <c r="L6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68" s="1">
        <f>N67+Table11819202310303132353839404148111518202831721[[#This Row],[اجمالي الفاتوره]]-Table11819202310303132353839404148111518202831721[[#This Row],[الدفعات]]</f>
        <v>70188.140000000014</v>
      </c>
    </row>
    <row r="69" spans="12:14" s="1" customFormat="1" ht="25.2" customHeight="1" x14ac:dyDescent="0.3">
      <c r="L6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69" s="1">
        <f>N68+Table11819202310303132353839404148111518202831721[[#This Row],[اجمالي الفاتوره]]-Table11819202310303132353839404148111518202831721[[#This Row],[الدفعات]]</f>
        <v>70188.140000000014</v>
      </c>
    </row>
    <row r="70" spans="12:14" s="1" customFormat="1" ht="25.2" customHeight="1" x14ac:dyDescent="0.3">
      <c r="L7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70" s="1">
        <f>N69+Table11819202310303132353839404148111518202831721[[#This Row],[اجمالي الفاتوره]]-Table11819202310303132353839404148111518202831721[[#This Row],[الدفعات]]</f>
        <v>70188.140000000014</v>
      </c>
    </row>
    <row r="71" spans="12:14" s="1" customFormat="1" ht="25.2" customHeight="1" x14ac:dyDescent="0.3">
      <c r="L7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71" s="1">
        <f>N70+Table11819202310303132353839404148111518202831721[[#This Row],[اجمالي الفاتوره]]-Table11819202310303132353839404148111518202831721[[#This Row],[الدفعات]]</f>
        <v>70188.140000000014</v>
      </c>
    </row>
    <row r="72" spans="12:14" s="1" customFormat="1" ht="25.2" customHeight="1" x14ac:dyDescent="0.3">
      <c r="L7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72" s="1">
        <f>N71+Table11819202310303132353839404148111518202831721[[#This Row],[اجمالي الفاتوره]]-Table11819202310303132353839404148111518202831721[[#This Row],[الدفعات]]</f>
        <v>70188.140000000014</v>
      </c>
    </row>
    <row r="73" spans="12:14" s="1" customFormat="1" ht="25.2" customHeight="1" x14ac:dyDescent="0.3">
      <c r="L7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73" s="1">
        <f>N72+Table11819202310303132353839404148111518202831721[[#This Row],[اجمالي الفاتوره]]-Table11819202310303132353839404148111518202831721[[#This Row],[الدفعات]]</f>
        <v>70188.140000000014</v>
      </c>
    </row>
    <row r="74" spans="12:14" s="1" customFormat="1" ht="25.2" customHeight="1" x14ac:dyDescent="0.3">
      <c r="L7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74" s="1">
        <f>N73+Table11819202310303132353839404148111518202831721[[#This Row],[اجمالي الفاتوره]]-Table11819202310303132353839404148111518202831721[[#This Row],[الدفعات]]</f>
        <v>70188.140000000014</v>
      </c>
    </row>
    <row r="75" spans="12:14" s="1" customFormat="1" ht="25.2" customHeight="1" x14ac:dyDescent="0.3">
      <c r="L7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75" s="1">
        <f>N74+Table11819202310303132353839404148111518202831721[[#This Row],[اجمالي الفاتوره]]-Table11819202310303132353839404148111518202831721[[#This Row],[الدفعات]]</f>
        <v>70188.140000000014</v>
      </c>
    </row>
    <row r="76" spans="12:14" s="1" customFormat="1" ht="25.2" customHeight="1" x14ac:dyDescent="0.3">
      <c r="L7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76" s="1">
        <f>N75+Table11819202310303132353839404148111518202831721[[#This Row],[اجمالي الفاتوره]]-Table11819202310303132353839404148111518202831721[[#This Row],[الدفعات]]</f>
        <v>70188.140000000014</v>
      </c>
    </row>
    <row r="77" spans="12:14" s="1" customFormat="1" ht="25.2" customHeight="1" x14ac:dyDescent="0.3">
      <c r="L7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77" s="1">
        <f>N76+Table11819202310303132353839404148111518202831721[[#This Row],[اجمالي الفاتوره]]-Table11819202310303132353839404148111518202831721[[#This Row],[الدفعات]]</f>
        <v>70188.140000000014</v>
      </c>
    </row>
    <row r="78" spans="12:14" s="1" customFormat="1" ht="25.2" customHeight="1" x14ac:dyDescent="0.3">
      <c r="L7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78" s="1">
        <f>N77+Table11819202310303132353839404148111518202831721[[#This Row],[اجمالي الفاتوره]]-Table11819202310303132353839404148111518202831721[[#This Row],[الدفعات]]</f>
        <v>70188.140000000014</v>
      </c>
    </row>
    <row r="79" spans="12:14" s="1" customFormat="1" ht="25.2" customHeight="1" x14ac:dyDescent="0.3">
      <c r="L7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79" s="1">
        <f>N78+Table11819202310303132353839404148111518202831721[[#This Row],[اجمالي الفاتوره]]-Table11819202310303132353839404148111518202831721[[#This Row],[الدفعات]]</f>
        <v>70188.140000000014</v>
      </c>
    </row>
    <row r="80" spans="12:14" s="1" customFormat="1" ht="25.2" customHeight="1" x14ac:dyDescent="0.3">
      <c r="L8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80" s="1">
        <f>N79+Table11819202310303132353839404148111518202831721[[#This Row],[اجمالي الفاتوره]]-Table11819202310303132353839404148111518202831721[[#This Row],[الدفعات]]</f>
        <v>70188.140000000014</v>
      </c>
    </row>
    <row r="81" spans="12:14" s="1" customFormat="1" ht="25.2" customHeight="1" x14ac:dyDescent="0.3">
      <c r="L8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81" s="1">
        <f>N80+Table11819202310303132353839404148111518202831721[[#This Row],[اجمالي الفاتوره]]-Table11819202310303132353839404148111518202831721[[#This Row],[الدفعات]]</f>
        <v>70188.140000000014</v>
      </c>
    </row>
    <row r="82" spans="12:14" s="1" customFormat="1" ht="25.2" customHeight="1" x14ac:dyDescent="0.3">
      <c r="L8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82" s="1">
        <f>N81+Table11819202310303132353839404148111518202831721[[#This Row],[اجمالي الفاتوره]]-Table11819202310303132353839404148111518202831721[[#This Row],[الدفعات]]</f>
        <v>70188.140000000014</v>
      </c>
    </row>
    <row r="83" spans="12:14" s="1" customFormat="1" ht="25.2" customHeight="1" x14ac:dyDescent="0.3">
      <c r="L8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83" s="1">
        <f>N82+Table11819202310303132353839404148111518202831721[[#This Row],[اجمالي الفاتوره]]-Table11819202310303132353839404148111518202831721[[#This Row],[الدفعات]]</f>
        <v>70188.140000000014</v>
      </c>
    </row>
    <row r="84" spans="12:14" s="1" customFormat="1" ht="25.2" customHeight="1" x14ac:dyDescent="0.3">
      <c r="L8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84" s="1">
        <f>N83+Table11819202310303132353839404148111518202831721[[#This Row],[اجمالي الفاتوره]]-Table11819202310303132353839404148111518202831721[[#This Row],[الدفعات]]</f>
        <v>70188.140000000014</v>
      </c>
    </row>
    <row r="85" spans="12:14" s="1" customFormat="1" ht="25.2" customHeight="1" x14ac:dyDescent="0.3">
      <c r="L8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85" s="1">
        <f>N84+Table11819202310303132353839404148111518202831721[[#This Row],[اجمالي الفاتوره]]-Table11819202310303132353839404148111518202831721[[#This Row],[الدفعات]]</f>
        <v>70188.140000000014</v>
      </c>
    </row>
    <row r="86" spans="12:14" s="1" customFormat="1" ht="25.2" customHeight="1" x14ac:dyDescent="0.3">
      <c r="L8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86" s="1">
        <f>N85+Table11819202310303132353839404148111518202831721[[#This Row],[اجمالي الفاتوره]]-Table11819202310303132353839404148111518202831721[[#This Row],[الدفعات]]</f>
        <v>70188.140000000014</v>
      </c>
    </row>
    <row r="87" spans="12:14" s="1" customFormat="1" ht="25.2" customHeight="1" x14ac:dyDescent="0.3">
      <c r="L8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87" s="1">
        <f>N86+Table11819202310303132353839404148111518202831721[[#This Row],[اجمالي الفاتوره]]-Table11819202310303132353839404148111518202831721[[#This Row],[الدفعات]]</f>
        <v>70188.140000000014</v>
      </c>
    </row>
    <row r="88" spans="12:14" s="1" customFormat="1" ht="25.2" customHeight="1" x14ac:dyDescent="0.3">
      <c r="L8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88" s="1">
        <f>N87+Table11819202310303132353839404148111518202831721[[#This Row],[اجمالي الفاتوره]]-Table11819202310303132353839404148111518202831721[[#This Row],[الدفعات]]</f>
        <v>70188.140000000014</v>
      </c>
    </row>
    <row r="89" spans="12:14" s="1" customFormat="1" ht="25.2" customHeight="1" x14ac:dyDescent="0.3">
      <c r="L8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89" s="1">
        <f>N88+Table11819202310303132353839404148111518202831721[[#This Row],[اجمالي الفاتوره]]-Table11819202310303132353839404148111518202831721[[#This Row],[الدفعات]]</f>
        <v>70188.140000000014</v>
      </c>
    </row>
    <row r="90" spans="12:14" s="1" customFormat="1" ht="25.2" customHeight="1" x14ac:dyDescent="0.3">
      <c r="L9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90" s="1">
        <f>N89+Table11819202310303132353839404148111518202831721[[#This Row],[اجمالي الفاتوره]]-Table11819202310303132353839404148111518202831721[[#This Row],[الدفعات]]</f>
        <v>70188.140000000014</v>
      </c>
    </row>
    <row r="91" spans="12:14" s="1" customFormat="1" ht="25.2" customHeight="1" x14ac:dyDescent="0.3">
      <c r="L9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91" s="1">
        <f>N90+Table11819202310303132353839404148111518202831721[[#This Row],[اجمالي الفاتوره]]-Table11819202310303132353839404148111518202831721[[#This Row],[الدفعات]]</f>
        <v>70188.140000000014</v>
      </c>
    </row>
    <row r="92" spans="12:14" s="1" customFormat="1" ht="25.2" customHeight="1" x14ac:dyDescent="0.3">
      <c r="L9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92" s="1">
        <f>N91+Table11819202310303132353839404148111518202831721[[#This Row],[اجمالي الفاتوره]]-Table11819202310303132353839404148111518202831721[[#This Row],[الدفعات]]</f>
        <v>70188.140000000014</v>
      </c>
    </row>
    <row r="93" spans="12:14" s="1" customFormat="1" ht="25.2" customHeight="1" x14ac:dyDescent="0.3">
      <c r="L9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93" s="1">
        <f>N92+Table11819202310303132353839404148111518202831721[[#This Row],[اجمالي الفاتوره]]-Table11819202310303132353839404148111518202831721[[#This Row],[الدفعات]]</f>
        <v>70188.140000000014</v>
      </c>
    </row>
    <row r="94" spans="12:14" s="1" customFormat="1" ht="25.2" customHeight="1" x14ac:dyDescent="0.3">
      <c r="L9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94" s="1">
        <f>N93+Table11819202310303132353839404148111518202831721[[#This Row],[اجمالي الفاتوره]]-Table11819202310303132353839404148111518202831721[[#This Row],[الدفعات]]</f>
        <v>70188.140000000014</v>
      </c>
    </row>
    <row r="95" spans="12:14" s="1" customFormat="1" ht="25.2" customHeight="1" x14ac:dyDescent="0.3">
      <c r="L9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95" s="1">
        <f>N94+Table11819202310303132353839404148111518202831721[[#This Row],[اجمالي الفاتوره]]-Table11819202310303132353839404148111518202831721[[#This Row],[الدفعات]]</f>
        <v>70188.140000000014</v>
      </c>
    </row>
    <row r="96" spans="12:14" s="1" customFormat="1" ht="25.2" customHeight="1" x14ac:dyDescent="0.3">
      <c r="L9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96" s="1">
        <f>N95+Table11819202310303132353839404148111518202831721[[#This Row],[اجمالي الفاتوره]]-Table11819202310303132353839404148111518202831721[[#This Row],[الدفعات]]</f>
        <v>70188.140000000014</v>
      </c>
    </row>
    <row r="97" spans="12:14" s="1" customFormat="1" ht="25.2" customHeight="1" x14ac:dyDescent="0.3">
      <c r="L9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97" s="1">
        <f>N96+Table11819202310303132353839404148111518202831721[[#This Row],[اجمالي الفاتوره]]-Table11819202310303132353839404148111518202831721[[#This Row],[الدفعات]]</f>
        <v>70188.140000000014</v>
      </c>
    </row>
    <row r="98" spans="12:14" s="1" customFormat="1" ht="25.2" customHeight="1" x14ac:dyDescent="0.3">
      <c r="L9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98" s="1">
        <f>N97+Table11819202310303132353839404148111518202831721[[#This Row],[اجمالي الفاتوره]]-Table11819202310303132353839404148111518202831721[[#This Row],[الدفعات]]</f>
        <v>70188.140000000014</v>
      </c>
    </row>
    <row r="99" spans="12:14" s="1" customFormat="1" ht="25.2" customHeight="1" x14ac:dyDescent="0.3">
      <c r="L9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99" s="1">
        <f>N98+Table11819202310303132353839404148111518202831721[[#This Row],[اجمالي الفاتوره]]-Table11819202310303132353839404148111518202831721[[#This Row],[الدفعات]]</f>
        <v>70188.140000000014</v>
      </c>
    </row>
    <row r="100" spans="12:14" s="1" customFormat="1" ht="25.2" customHeight="1" x14ac:dyDescent="0.3">
      <c r="L10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00" s="1">
        <f>N99+Table11819202310303132353839404148111518202831721[[#This Row],[اجمالي الفاتوره]]-Table11819202310303132353839404148111518202831721[[#This Row],[الدفعات]]</f>
        <v>70188.140000000014</v>
      </c>
    </row>
    <row r="101" spans="12:14" s="1" customFormat="1" ht="25.2" customHeight="1" x14ac:dyDescent="0.3">
      <c r="L10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01" s="1">
        <f>N100+Table11819202310303132353839404148111518202831721[[#This Row],[اجمالي الفاتوره]]-Table11819202310303132353839404148111518202831721[[#This Row],[الدفعات]]</f>
        <v>70188.140000000014</v>
      </c>
    </row>
    <row r="102" spans="12:14" s="1" customFormat="1" ht="25.2" customHeight="1" x14ac:dyDescent="0.3">
      <c r="L10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02" s="1">
        <f>N101+Table11819202310303132353839404148111518202831721[[#This Row],[اجمالي الفاتوره]]-Table11819202310303132353839404148111518202831721[[#This Row],[الدفعات]]</f>
        <v>70188.140000000014</v>
      </c>
    </row>
    <row r="103" spans="12:14" s="1" customFormat="1" ht="25.2" customHeight="1" x14ac:dyDescent="0.3">
      <c r="L10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03" s="1">
        <f>N102+Table11819202310303132353839404148111518202831721[[#This Row],[اجمالي الفاتوره]]-Table11819202310303132353839404148111518202831721[[#This Row],[الدفعات]]</f>
        <v>70188.140000000014</v>
      </c>
    </row>
    <row r="104" spans="12:14" s="1" customFormat="1" ht="25.2" customHeight="1" x14ac:dyDescent="0.3">
      <c r="L10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04" s="1">
        <f>N103+Table11819202310303132353839404148111518202831721[[#This Row],[اجمالي الفاتوره]]-Table11819202310303132353839404148111518202831721[[#This Row],[الدفعات]]</f>
        <v>70188.140000000014</v>
      </c>
    </row>
    <row r="105" spans="12:14" s="1" customFormat="1" ht="25.2" customHeight="1" x14ac:dyDescent="0.3">
      <c r="L10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05" s="1">
        <f>N104+Table11819202310303132353839404148111518202831721[[#This Row],[اجمالي الفاتوره]]-Table11819202310303132353839404148111518202831721[[#This Row],[الدفعات]]</f>
        <v>70188.140000000014</v>
      </c>
    </row>
    <row r="106" spans="12:14" s="1" customFormat="1" ht="25.2" customHeight="1" x14ac:dyDescent="0.3">
      <c r="L10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06" s="1">
        <f>N105+Table11819202310303132353839404148111518202831721[[#This Row],[اجمالي الفاتوره]]-Table11819202310303132353839404148111518202831721[[#This Row],[الدفعات]]</f>
        <v>70188.140000000014</v>
      </c>
    </row>
    <row r="107" spans="12:14" s="1" customFormat="1" ht="25.2" customHeight="1" x14ac:dyDescent="0.3">
      <c r="L10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07" s="1">
        <f>N106+Table11819202310303132353839404148111518202831721[[#This Row],[اجمالي الفاتوره]]-Table11819202310303132353839404148111518202831721[[#This Row],[الدفعات]]</f>
        <v>70188.140000000014</v>
      </c>
    </row>
    <row r="108" spans="12:14" s="1" customFormat="1" ht="25.2" customHeight="1" x14ac:dyDescent="0.3">
      <c r="L10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08" s="1">
        <f>N107+Table11819202310303132353839404148111518202831721[[#This Row],[اجمالي الفاتوره]]-Table11819202310303132353839404148111518202831721[[#This Row],[الدفعات]]</f>
        <v>70188.140000000014</v>
      </c>
    </row>
    <row r="109" spans="12:14" s="1" customFormat="1" ht="25.2" customHeight="1" x14ac:dyDescent="0.3">
      <c r="L10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09" s="1">
        <f>N108+Table11819202310303132353839404148111518202831721[[#This Row],[اجمالي الفاتوره]]-Table11819202310303132353839404148111518202831721[[#This Row],[الدفعات]]</f>
        <v>70188.140000000014</v>
      </c>
    </row>
    <row r="110" spans="12:14" s="1" customFormat="1" ht="25.2" customHeight="1" x14ac:dyDescent="0.3">
      <c r="L11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10" s="1">
        <f>N109+Table11819202310303132353839404148111518202831721[[#This Row],[اجمالي الفاتوره]]-Table11819202310303132353839404148111518202831721[[#This Row],[الدفعات]]</f>
        <v>70188.140000000014</v>
      </c>
    </row>
    <row r="111" spans="12:14" s="1" customFormat="1" ht="25.2" customHeight="1" x14ac:dyDescent="0.3">
      <c r="L11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11" s="1">
        <f>N110+Table11819202310303132353839404148111518202831721[[#This Row],[اجمالي الفاتوره]]-Table11819202310303132353839404148111518202831721[[#This Row],[الدفعات]]</f>
        <v>70188.140000000014</v>
      </c>
    </row>
    <row r="112" spans="12:14" s="1" customFormat="1" ht="25.2" customHeight="1" x14ac:dyDescent="0.3">
      <c r="L11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12" s="1">
        <f>N111+Table11819202310303132353839404148111518202831721[[#This Row],[اجمالي الفاتوره]]-Table11819202310303132353839404148111518202831721[[#This Row],[الدفعات]]</f>
        <v>70188.140000000014</v>
      </c>
    </row>
    <row r="113" spans="12:14" s="1" customFormat="1" ht="25.2" customHeight="1" x14ac:dyDescent="0.3">
      <c r="L11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13" s="1">
        <f>N112+Table11819202310303132353839404148111518202831721[[#This Row],[اجمالي الفاتوره]]-Table11819202310303132353839404148111518202831721[[#This Row],[الدفعات]]</f>
        <v>70188.140000000014</v>
      </c>
    </row>
    <row r="114" spans="12:14" s="1" customFormat="1" ht="25.2" customHeight="1" x14ac:dyDescent="0.3">
      <c r="L11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14" s="1">
        <f>N113+Table11819202310303132353839404148111518202831721[[#This Row],[اجمالي الفاتوره]]-Table11819202310303132353839404148111518202831721[[#This Row],[الدفعات]]</f>
        <v>70188.140000000014</v>
      </c>
    </row>
    <row r="115" spans="12:14" s="1" customFormat="1" ht="25.2" customHeight="1" x14ac:dyDescent="0.3">
      <c r="L11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15" s="1">
        <f>N114+Table11819202310303132353839404148111518202831721[[#This Row],[اجمالي الفاتوره]]-Table11819202310303132353839404148111518202831721[[#This Row],[الدفعات]]</f>
        <v>70188.140000000014</v>
      </c>
    </row>
    <row r="116" spans="12:14" s="1" customFormat="1" ht="25.2" customHeight="1" x14ac:dyDescent="0.3">
      <c r="L11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16" s="1">
        <f>N115+Table11819202310303132353839404148111518202831721[[#This Row],[اجمالي الفاتوره]]-Table11819202310303132353839404148111518202831721[[#This Row],[الدفعات]]</f>
        <v>70188.140000000014</v>
      </c>
    </row>
    <row r="117" spans="12:14" s="1" customFormat="1" ht="25.2" customHeight="1" x14ac:dyDescent="0.3">
      <c r="L11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17" s="1">
        <f>N116+Table11819202310303132353839404148111518202831721[[#This Row],[اجمالي الفاتوره]]-Table11819202310303132353839404148111518202831721[[#This Row],[الدفعات]]</f>
        <v>70188.140000000014</v>
      </c>
    </row>
    <row r="118" spans="12:14" s="1" customFormat="1" ht="25.2" customHeight="1" x14ac:dyDescent="0.3">
      <c r="L11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18" s="1">
        <f>N117+Table11819202310303132353839404148111518202831721[[#This Row],[اجمالي الفاتوره]]-Table11819202310303132353839404148111518202831721[[#This Row],[الدفعات]]</f>
        <v>70188.140000000014</v>
      </c>
    </row>
    <row r="119" spans="12:14" s="1" customFormat="1" ht="25.2" customHeight="1" x14ac:dyDescent="0.3">
      <c r="L11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19" s="1">
        <f>N118+Table11819202310303132353839404148111518202831721[[#This Row],[اجمالي الفاتوره]]-Table11819202310303132353839404148111518202831721[[#This Row],[الدفعات]]</f>
        <v>70188.140000000014</v>
      </c>
    </row>
    <row r="120" spans="12:14" s="1" customFormat="1" ht="25.2" customHeight="1" x14ac:dyDescent="0.3">
      <c r="L12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20" s="1">
        <f>N119+Table11819202310303132353839404148111518202831721[[#This Row],[اجمالي الفاتوره]]-Table11819202310303132353839404148111518202831721[[#This Row],[الدفعات]]</f>
        <v>70188.140000000014</v>
      </c>
    </row>
    <row r="121" spans="12:14" s="1" customFormat="1" ht="25.2" customHeight="1" x14ac:dyDescent="0.3">
      <c r="L12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21" s="1">
        <f>N120+Table11819202310303132353839404148111518202831721[[#This Row],[اجمالي الفاتوره]]-Table11819202310303132353839404148111518202831721[[#This Row],[الدفعات]]</f>
        <v>70188.140000000014</v>
      </c>
    </row>
    <row r="122" spans="12:14" s="1" customFormat="1" ht="25.2" customHeight="1" x14ac:dyDescent="0.3">
      <c r="L12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22" s="1">
        <f>N121+Table11819202310303132353839404148111518202831721[[#This Row],[اجمالي الفاتوره]]-Table11819202310303132353839404148111518202831721[[#This Row],[الدفعات]]</f>
        <v>70188.140000000014</v>
      </c>
    </row>
    <row r="123" spans="12:14" s="1" customFormat="1" ht="25.2" customHeight="1" x14ac:dyDescent="0.3">
      <c r="L12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23" s="1">
        <f>N122+Table11819202310303132353839404148111518202831721[[#This Row],[اجمالي الفاتوره]]-Table11819202310303132353839404148111518202831721[[#This Row],[الدفعات]]</f>
        <v>70188.140000000014</v>
      </c>
    </row>
    <row r="124" spans="12:14" s="1" customFormat="1" ht="25.2" customHeight="1" x14ac:dyDescent="0.3">
      <c r="L12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24" s="1">
        <f>N123+Table11819202310303132353839404148111518202831721[[#This Row],[اجمالي الفاتوره]]-Table11819202310303132353839404148111518202831721[[#This Row],[الدفعات]]</f>
        <v>70188.140000000014</v>
      </c>
    </row>
    <row r="125" spans="12:14" s="1" customFormat="1" ht="25.2" customHeight="1" x14ac:dyDescent="0.3">
      <c r="L12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25" s="1">
        <f>N124+Table11819202310303132353839404148111518202831721[[#This Row],[اجمالي الفاتوره]]-Table11819202310303132353839404148111518202831721[[#This Row],[الدفعات]]</f>
        <v>70188.140000000014</v>
      </c>
    </row>
    <row r="126" spans="12:14" s="1" customFormat="1" ht="25.2" customHeight="1" x14ac:dyDescent="0.3">
      <c r="L12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26" s="1">
        <f>N125+Table11819202310303132353839404148111518202831721[[#This Row],[اجمالي الفاتوره]]-Table11819202310303132353839404148111518202831721[[#This Row],[الدفعات]]</f>
        <v>70188.140000000014</v>
      </c>
    </row>
    <row r="127" spans="12:14" s="1" customFormat="1" ht="25.2" customHeight="1" x14ac:dyDescent="0.3">
      <c r="L12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27" s="1">
        <f>N126+Table11819202310303132353839404148111518202831721[[#This Row],[اجمالي الفاتوره]]-Table11819202310303132353839404148111518202831721[[#This Row],[الدفعات]]</f>
        <v>70188.140000000014</v>
      </c>
    </row>
    <row r="128" spans="12:14" s="1" customFormat="1" ht="25.2" customHeight="1" x14ac:dyDescent="0.3">
      <c r="L12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28" s="1">
        <f>N127+Table11819202310303132353839404148111518202831721[[#This Row],[اجمالي الفاتوره]]-Table11819202310303132353839404148111518202831721[[#This Row],[الدفعات]]</f>
        <v>70188.140000000014</v>
      </c>
    </row>
    <row r="129" spans="12:14" s="1" customFormat="1" ht="25.2" customHeight="1" x14ac:dyDescent="0.3">
      <c r="L12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29" s="1">
        <f>N128+Table11819202310303132353839404148111518202831721[[#This Row],[اجمالي الفاتوره]]-Table11819202310303132353839404148111518202831721[[#This Row],[الدفعات]]</f>
        <v>70188.140000000014</v>
      </c>
    </row>
    <row r="130" spans="12:14" s="1" customFormat="1" ht="25.2" customHeight="1" x14ac:dyDescent="0.3">
      <c r="L13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30" s="1">
        <f>N129+Table11819202310303132353839404148111518202831721[[#This Row],[اجمالي الفاتوره]]-Table11819202310303132353839404148111518202831721[[#This Row],[الدفعات]]</f>
        <v>70188.140000000014</v>
      </c>
    </row>
    <row r="131" spans="12:14" s="1" customFormat="1" ht="25.2" customHeight="1" x14ac:dyDescent="0.3">
      <c r="L13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31" s="1">
        <f>N130+Table11819202310303132353839404148111518202831721[[#This Row],[اجمالي الفاتوره]]-Table11819202310303132353839404148111518202831721[[#This Row],[الدفعات]]</f>
        <v>70188.140000000014</v>
      </c>
    </row>
    <row r="132" spans="12:14" s="1" customFormat="1" ht="25.2" customHeight="1" x14ac:dyDescent="0.3">
      <c r="L13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32" s="1">
        <f>N131+Table11819202310303132353839404148111518202831721[[#This Row],[اجمالي الفاتوره]]-Table11819202310303132353839404148111518202831721[[#This Row],[الدفعات]]</f>
        <v>70188.140000000014</v>
      </c>
    </row>
    <row r="133" spans="12:14" s="1" customFormat="1" ht="25.2" customHeight="1" x14ac:dyDescent="0.3">
      <c r="L13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33" s="1">
        <f>N132+Table11819202310303132353839404148111518202831721[[#This Row],[اجمالي الفاتوره]]-Table11819202310303132353839404148111518202831721[[#This Row],[الدفعات]]</f>
        <v>70188.140000000014</v>
      </c>
    </row>
    <row r="134" spans="12:14" s="1" customFormat="1" ht="25.2" customHeight="1" x14ac:dyDescent="0.3">
      <c r="L13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34" s="1">
        <f>N133+Table11819202310303132353839404148111518202831721[[#This Row],[اجمالي الفاتوره]]-Table11819202310303132353839404148111518202831721[[#This Row],[الدفعات]]</f>
        <v>70188.140000000014</v>
      </c>
    </row>
    <row r="135" spans="12:14" s="1" customFormat="1" ht="25.2" customHeight="1" x14ac:dyDescent="0.3">
      <c r="L13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35" s="1">
        <f>N134+Table11819202310303132353839404148111518202831721[[#This Row],[اجمالي الفاتوره]]-Table11819202310303132353839404148111518202831721[[#This Row],[الدفعات]]</f>
        <v>70188.140000000014</v>
      </c>
    </row>
    <row r="136" spans="12:14" s="1" customFormat="1" ht="25.2" customHeight="1" x14ac:dyDescent="0.3">
      <c r="L13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36" s="1">
        <f>N135+Table11819202310303132353839404148111518202831721[[#This Row],[اجمالي الفاتوره]]-Table11819202310303132353839404148111518202831721[[#This Row],[الدفعات]]</f>
        <v>70188.140000000014</v>
      </c>
    </row>
    <row r="137" spans="12:14" s="1" customFormat="1" ht="25.2" customHeight="1" x14ac:dyDescent="0.3">
      <c r="L13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37" s="1">
        <f>N136+Table11819202310303132353839404148111518202831721[[#This Row],[اجمالي الفاتوره]]-Table11819202310303132353839404148111518202831721[[#This Row],[الدفعات]]</f>
        <v>70188.140000000014</v>
      </c>
    </row>
    <row r="138" spans="12:14" s="1" customFormat="1" ht="25.2" customHeight="1" x14ac:dyDescent="0.3">
      <c r="L13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38" s="1">
        <f>N137+Table11819202310303132353839404148111518202831721[[#This Row],[اجمالي الفاتوره]]-Table11819202310303132353839404148111518202831721[[#This Row],[الدفعات]]</f>
        <v>70188.140000000014</v>
      </c>
    </row>
    <row r="139" spans="12:14" s="1" customFormat="1" ht="25.2" customHeight="1" x14ac:dyDescent="0.3">
      <c r="L13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39" s="1">
        <f>N138+Table11819202310303132353839404148111518202831721[[#This Row],[اجمالي الفاتوره]]-Table11819202310303132353839404148111518202831721[[#This Row],[الدفعات]]</f>
        <v>70188.140000000014</v>
      </c>
    </row>
    <row r="140" spans="12:14" s="1" customFormat="1" ht="25.2" customHeight="1" x14ac:dyDescent="0.3">
      <c r="L14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40" s="1">
        <f>N139+Table11819202310303132353839404148111518202831721[[#This Row],[اجمالي الفاتوره]]-Table11819202310303132353839404148111518202831721[[#This Row],[الدفعات]]</f>
        <v>70188.140000000014</v>
      </c>
    </row>
    <row r="141" spans="12:14" s="1" customFormat="1" ht="25.2" customHeight="1" x14ac:dyDescent="0.3">
      <c r="L14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41" s="1">
        <f>N140+Table11819202310303132353839404148111518202831721[[#This Row],[اجمالي الفاتوره]]-Table11819202310303132353839404148111518202831721[[#This Row],[الدفعات]]</f>
        <v>70188.140000000014</v>
      </c>
    </row>
    <row r="142" spans="12:14" s="1" customFormat="1" ht="25.2" customHeight="1" x14ac:dyDescent="0.3">
      <c r="L14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42" s="1">
        <f>N141+Table11819202310303132353839404148111518202831721[[#This Row],[اجمالي الفاتوره]]-Table11819202310303132353839404148111518202831721[[#This Row],[الدفعات]]</f>
        <v>70188.140000000014</v>
      </c>
    </row>
    <row r="143" spans="12:14" s="1" customFormat="1" ht="25.2" customHeight="1" x14ac:dyDescent="0.3">
      <c r="L14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43" s="1">
        <f>N142+Table11819202310303132353839404148111518202831721[[#This Row],[اجمالي الفاتوره]]-Table11819202310303132353839404148111518202831721[[#This Row],[الدفعات]]</f>
        <v>70188.140000000014</v>
      </c>
    </row>
    <row r="144" spans="12:14" s="1" customFormat="1" ht="25.2" customHeight="1" x14ac:dyDescent="0.3">
      <c r="L14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44" s="1">
        <f>N143+Table11819202310303132353839404148111518202831721[[#This Row],[اجمالي الفاتوره]]-Table11819202310303132353839404148111518202831721[[#This Row],[الدفعات]]</f>
        <v>70188.140000000014</v>
      </c>
    </row>
    <row r="145" spans="12:14" s="1" customFormat="1" ht="25.2" customHeight="1" x14ac:dyDescent="0.3">
      <c r="L14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45" s="1">
        <f>N144+Table11819202310303132353839404148111518202831721[[#This Row],[اجمالي الفاتوره]]-Table11819202310303132353839404148111518202831721[[#This Row],[الدفعات]]</f>
        <v>70188.140000000014</v>
      </c>
    </row>
    <row r="146" spans="12:14" s="1" customFormat="1" ht="25.2" customHeight="1" x14ac:dyDescent="0.3">
      <c r="L14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46" s="1">
        <f>N145+Table11819202310303132353839404148111518202831721[[#This Row],[اجمالي الفاتوره]]-Table11819202310303132353839404148111518202831721[[#This Row],[الدفعات]]</f>
        <v>70188.140000000014</v>
      </c>
    </row>
    <row r="147" spans="12:14" s="1" customFormat="1" ht="25.2" customHeight="1" x14ac:dyDescent="0.3">
      <c r="L14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47" s="1">
        <f>N146+Table11819202310303132353839404148111518202831721[[#This Row],[اجمالي الفاتوره]]-Table11819202310303132353839404148111518202831721[[#This Row],[الدفعات]]</f>
        <v>70188.140000000014</v>
      </c>
    </row>
    <row r="148" spans="12:14" s="1" customFormat="1" ht="25.2" customHeight="1" x14ac:dyDescent="0.3">
      <c r="L14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48" s="1">
        <f>N147+Table11819202310303132353839404148111518202831721[[#This Row],[اجمالي الفاتوره]]-Table11819202310303132353839404148111518202831721[[#This Row],[الدفعات]]</f>
        <v>70188.140000000014</v>
      </c>
    </row>
    <row r="149" spans="12:14" s="1" customFormat="1" ht="25.2" customHeight="1" x14ac:dyDescent="0.3">
      <c r="L14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49" s="1">
        <f>N148+Table11819202310303132353839404148111518202831721[[#This Row],[اجمالي الفاتوره]]-Table11819202310303132353839404148111518202831721[[#This Row],[الدفعات]]</f>
        <v>70188.140000000014</v>
      </c>
    </row>
    <row r="150" spans="12:14" s="1" customFormat="1" ht="25.2" customHeight="1" x14ac:dyDescent="0.3">
      <c r="L15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50" s="1">
        <f>N149+Table11819202310303132353839404148111518202831721[[#This Row],[اجمالي الفاتوره]]-Table11819202310303132353839404148111518202831721[[#This Row],[الدفعات]]</f>
        <v>70188.140000000014</v>
      </c>
    </row>
    <row r="151" spans="12:14" s="1" customFormat="1" ht="25.2" customHeight="1" x14ac:dyDescent="0.3">
      <c r="L15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51" s="1">
        <f>N150+Table11819202310303132353839404148111518202831721[[#This Row],[اجمالي الفاتوره]]-Table11819202310303132353839404148111518202831721[[#This Row],[الدفعات]]</f>
        <v>70188.140000000014</v>
      </c>
    </row>
    <row r="152" spans="12:14" s="1" customFormat="1" ht="25.2" customHeight="1" x14ac:dyDescent="0.3">
      <c r="L15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52" s="1">
        <f>N151+Table11819202310303132353839404148111518202831721[[#This Row],[اجمالي الفاتوره]]-Table11819202310303132353839404148111518202831721[[#This Row],[الدفعات]]</f>
        <v>70188.140000000014</v>
      </c>
    </row>
    <row r="153" spans="12:14" s="1" customFormat="1" ht="25.2" customHeight="1" x14ac:dyDescent="0.3">
      <c r="L15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53" s="1">
        <f>N152+Table11819202310303132353839404148111518202831721[[#This Row],[اجمالي الفاتوره]]-Table11819202310303132353839404148111518202831721[[#This Row],[الدفعات]]</f>
        <v>70188.140000000014</v>
      </c>
    </row>
    <row r="154" spans="12:14" s="1" customFormat="1" ht="25.2" customHeight="1" x14ac:dyDescent="0.3">
      <c r="L15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54" s="1">
        <f>N153+Table11819202310303132353839404148111518202831721[[#This Row],[اجمالي الفاتوره]]-Table11819202310303132353839404148111518202831721[[#This Row],[الدفعات]]</f>
        <v>70188.140000000014</v>
      </c>
    </row>
    <row r="155" spans="12:14" s="1" customFormat="1" ht="25.2" customHeight="1" x14ac:dyDescent="0.3">
      <c r="L15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55" s="1">
        <f>N154+Table11819202310303132353839404148111518202831721[[#This Row],[اجمالي الفاتوره]]-Table11819202310303132353839404148111518202831721[[#This Row],[الدفعات]]</f>
        <v>70188.140000000014</v>
      </c>
    </row>
    <row r="156" spans="12:14" s="1" customFormat="1" ht="25.2" customHeight="1" x14ac:dyDescent="0.3">
      <c r="L15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56" s="1">
        <f>N155+Table11819202310303132353839404148111518202831721[[#This Row],[اجمالي الفاتوره]]-Table11819202310303132353839404148111518202831721[[#This Row],[الدفعات]]</f>
        <v>70188.140000000014</v>
      </c>
    </row>
    <row r="157" spans="12:14" s="1" customFormat="1" ht="25.2" customHeight="1" x14ac:dyDescent="0.3">
      <c r="L15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57" s="1">
        <f>N156+Table11819202310303132353839404148111518202831721[[#This Row],[اجمالي الفاتوره]]-Table11819202310303132353839404148111518202831721[[#This Row],[الدفعات]]</f>
        <v>70188.140000000014</v>
      </c>
    </row>
    <row r="158" spans="12:14" s="1" customFormat="1" ht="25.2" customHeight="1" x14ac:dyDescent="0.3">
      <c r="L15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58" s="1">
        <f>N157+Table11819202310303132353839404148111518202831721[[#This Row],[اجمالي الفاتوره]]-Table11819202310303132353839404148111518202831721[[#This Row],[الدفعات]]</f>
        <v>70188.140000000014</v>
      </c>
    </row>
    <row r="159" spans="12:14" s="1" customFormat="1" ht="25.2" customHeight="1" x14ac:dyDescent="0.3">
      <c r="L15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59" s="1">
        <f>N158+Table11819202310303132353839404148111518202831721[[#This Row],[اجمالي الفاتوره]]-Table11819202310303132353839404148111518202831721[[#This Row],[الدفعات]]</f>
        <v>70188.140000000014</v>
      </c>
    </row>
    <row r="160" spans="12:14" s="1" customFormat="1" ht="25.2" customHeight="1" x14ac:dyDescent="0.3">
      <c r="L16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60" s="1">
        <f>N159+Table11819202310303132353839404148111518202831721[[#This Row],[اجمالي الفاتوره]]-Table11819202310303132353839404148111518202831721[[#This Row],[الدفعات]]</f>
        <v>70188.140000000014</v>
      </c>
    </row>
    <row r="161" spans="12:14" s="1" customFormat="1" ht="25.2" customHeight="1" x14ac:dyDescent="0.3">
      <c r="L16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61" s="1">
        <f>N160+Table11819202310303132353839404148111518202831721[[#This Row],[اجمالي الفاتوره]]-Table11819202310303132353839404148111518202831721[[#This Row],[الدفعات]]</f>
        <v>70188.140000000014</v>
      </c>
    </row>
    <row r="162" spans="12:14" s="1" customFormat="1" ht="25.2" customHeight="1" x14ac:dyDescent="0.3">
      <c r="L16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62" s="1">
        <f>N161+Table11819202310303132353839404148111518202831721[[#This Row],[اجمالي الفاتوره]]-Table11819202310303132353839404148111518202831721[[#This Row],[الدفعات]]</f>
        <v>70188.140000000014</v>
      </c>
    </row>
    <row r="163" spans="12:14" s="1" customFormat="1" ht="25.2" customHeight="1" x14ac:dyDescent="0.3">
      <c r="L16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63" s="1">
        <f>N162+Table11819202310303132353839404148111518202831721[[#This Row],[اجمالي الفاتوره]]-Table11819202310303132353839404148111518202831721[[#This Row],[الدفعات]]</f>
        <v>70188.140000000014</v>
      </c>
    </row>
    <row r="164" spans="12:14" s="1" customFormat="1" ht="25.2" customHeight="1" x14ac:dyDescent="0.3">
      <c r="L16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64" s="1">
        <f>N163+Table11819202310303132353839404148111518202831721[[#This Row],[اجمالي الفاتوره]]-Table11819202310303132353839404148111518202831721[[#This Row],[الدفعات]]</f>
        <v>70188.140000000014</v>
      </c>
    </row>
    <row r="165" spans="12:14" s="1" customFormat="1" ht="25.2" customHeight="1" x14ac:dyDescent="0.3">
      <c r="L16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65" s="1">
        <f>N164+Table11819202310303132353839404148111518202831721[[#This Row],[اجمالي الفاتوره]]-Table11819202310303132353839404148111518202831721[[#This Row],[الدفعات]]</f>
        <v>70188.140000000014</v>
      </c>
    </row>
    <row r="166" spans="12:14" s="1" customFormat="1" ht="25.2" customHeight="1" x14ac:dyDescent="0.3">
      <c r="L16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66" s="1">
        <f>N165+Table11819202310303132353839404148111518202831721[[#This Row],[اجمالي الفاتوره]]-Table11819202310303132353839404148111518202831721[[#This Row],[الدفعات]]</f>
        <v>70188.140000000014</v>
      </c>
    </row>
    <row r="167" spans="12:14" s="1" customFormat="1" ht="25.2" customHeight="1" x14ac:dyDescent="0.3">
      <c r="L16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67" s="1">
        <f>N166+Table11819202310303132353839404148111518202831721[[#This Row],[اجمالي الفاتوره]]-Table11819202310303132353839404148111518202831721[[#This Row],[الدفعات]]</f>
        <v>70188.140000000014</v>
      </c>
    </row>
    <row r="168" spans="12:14" s="1" customFormat="1" ht="25.2" customHeight="1" x14ac:dyDescent="0.3">
      <c r="L16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68" s="1">
        <f>N167+Table11819202310303132353839404148111518202831721[[#This Row],[اجمالي الفاتوره]]-Table11819202310303132353839404148111518202831721[[#This Row],[الدفعات]]</f>
        <v>70188.140000000014</v>
      </c>
    </row>
    <row r="169" spans="12:14" s="1" customFormat="1" ht="25.2" customHeight="1" x14ac:dyDescent="0.3">
      <c r="L16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69" s="1">
        <f>N168+Table11819202310303132353839404148111518202831721[[#This Row],[اجمالي الفاتوره]]-Table11819202310303132353839404148111518202831721[[#This Row],[الدفعات]]</f>
        <v>70188.140000000014</v>
      </c>
    </row>
    <row r="170" spans="12:14" s="1" customFormat="1" ht="25.2" customHeight="1" x14ac:dyDescent="0.3">
      <c r="L17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70" s="1">
        <f>N169+Table11819202310303132353839404148111518202831721[[#This Row],[اجمالي الفاتوره]]-Table11819202310303132353839404148111518202831721[[#This Row],[الدفعات]]</f>
        <v>70188.140000000014</v>
      </c>
    </row>
    <row r="171" spans="12:14" s="1" customFormat="1" ht="25.2" customHeight="1" x14ac:dyDescent="0.3">
      <c r="L17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71" s="1">
        <f>N170+Table11819202310303132353839404148111518202831721[[#This Row],[اجمالي الفاتوره]]-Table11819202310303132353839404148111518202831721[[#This Row],[الدفعات]]</f>
        <v>70188.140000000014</v>
      </c>
    </row>
    <row r="172" spans="12:14" s="1" customFormat="1" ht="25.2" customHeight="1" x14ac:dyDescent="0.3">
      <c r="L17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72" s="1">
        <f>N171+Table11819202310303132353839404148111518202831721[[#This Row],[اجمالي الفاتوره]]-Table11819202310303132353839404148111518202831721[[#This Row],[الدفعات]]</f>
        <v>70188.140000000014</v>
      </c>
    </row>
    <row r="173" spans="12:14" s="1" customFormat="1" ht="25.2" customHeight="1" x14ac:dyDescent="0.3">
      <c r="L17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73" s="1">
        <f>N172+Table11819202310303132353839404148111518202831721[[#This Row],[اجمالي الفاتوره]]-Table11819202310303132353839404148111518202831721[[#This Row],[الدفعات]]</f>
        <v>70188.140000000014</v>
      </c>
    </row>
    <row r="174" spans="12:14" s="1" customFormat="1" ht="25.2" customHeight="1" x14ac:dyDescent="0.3">
      <c r="L17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74" s="1">
        <f>N173+Table11819202310303132353839404148111518202831721[[#This Row],[اجمالي الفاتوره]]-Table11819202310303132353839404148111518202831721[[#This Row],[الدفعات]]</f>
        <v>70188.140000000014</v>
      </c>
    </row>
    <row r="175" spans="12:14" s="1" customFormat="1" ht="25.2" customHeight="1" x14ac:dyDescent="0.3">
      <c r="L17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75" s="1">
        <f>N174+Table11819202310303132353839404148111518202831721[[#This Row],[اجمالي الفاتوره]]-Table11819202310303132353839404148111518202831721[[#This Row],[الدفعات]]</f>
        <v>70188.140000000014</v>
      </c>
    </row>
    <row r="176" spans="12:14" s="1" customFormat="1" ht="25.2" customHeight="1" x14ac:dyDescent="0.3">
      <c r="L17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76" s="1">
        <f>N175+Table11819202310303132353839404148111518202831721[[#This Row],[اجمالي الفاتوره]]-Table11819202310303132353839404148111518202831721[[#This Row],[الدفعات]]</f>
        <v>70188.140000000014</v>
      </c>
    </row>
    <row r="177" spans="12:14" s="1" customFormat="1" ht="25.2" customHeight="1" x14ac:dyDescent="0.3">
      <c r="L17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77" s="1">
        <f>N176+Table11819202310303132353839404148111518202831721[[#This Row],[اجمالي الفاتوره]]-Table11819202310303132353839404148111518202831721[[#This Row],[الدفعات]]</f>
        <v>70188.140000000014</v>
      </c>
    </row>
    <row r="178" spans="12:14" s="1" customFormat="1" ht="25.2" customHeight="1" x14ac:dyDescent="0.3">
      <c r="L17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78" s="1">
        <f>N177+Table11819202310303132353839404148111518202831721[[#This Row],[اجمالي الفاتوره]]-Table11819202310303132353839404148111518202831721[[#This Row],[الدفعات]]</f>
        <v>70188.140000000014</v>
      </c>
    </row>
    <row r="179" spans="12:14" s="1" customFormat="1" ht="25.2" customHeight="1" x14ac:dyDescent="0.3">
      <c r="L17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79" s="1">
        <f>N178+Table11819202310303132353839404148111518202831721[[#This Row],[اجمالي الفاتوره]]-Table11819202310303132353839404148111518202831721[[#This Row],[الدفعات]]</f>
        <v>70188.140000000014</v>
      </c>
    </row>
    <row r="180" spans="12:14" s="1" customFormat="1" ht="25.2" customHeight="1" x14ac:dyDescent="0.3">
      <c r="L18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80" s="1">
        <f>N179+Table11819202310303132353839404148111518202831721[[#This Row],[اجمالي الفاتوره]]-Table11819202310303132353839404148111518202831721[[#This Row],[الدفعات]]</f>
        <v>70188.140000000014</v>
      </c>
    </row>
    <row r="181" spans="12:14" s="1" customFormat="1" ht="25.2" customHeight="1" x14ac:dyDescent="0.3">
      <c r="L18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81" s="1">
        <f>N180+Table11819202310303132353839404148111518202831721[[#This Row],[اجمالي الفاتوره]]-Table11819202310303132353839404148111518202831721[[#This Row],[الدفعات]]</f>
        <v>70188.140000000014</v>
      </c>
    </row>
    <row r="182" spans="12:14" s="1" customFormat="1" ht="25.2" customHeight="1" x14ac:dyDescent="0.3">
      <c r="L18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82" s="1">
        <f>N181+Table11819202310303132353839404148111518202831721[[#This Row],[اجمالي الفاتوره]]-Table11819202310303132353839404148111518202831721[[#This Row],[الدفعات]]</f>
        <v>70188.140000000014</v>
      </c>
    </row>
    <row r="183" spans="12:14" s="1" customFormat="1" ht="25.2" customHeight="1" x14ac:dyDescent="0.3">
      <c r="L18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83" s="1">
        <f>N182+Table11819202310303132353839404148111518202831721[[#This Row],[اجمالي الفاتوره]]-Table11819202310303132353839404148111518202831721[[#This Row],[الدفعات]]</f>
        <v>70188.140000000014</v>
      </c>
    </row>
    <row r="184" spans="12:14" s="1" customFormat="1" ht="25.2" customHeight="1" x14ac:dyDescent="0.3">
      <c r="L18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84" s="1">
        <f>N183+Table11819202310303132353839404148111518202831721[[#This Row],[اجمالي الفاتوره]]-Table11819202310303132353839404148111518202831721[[#This Row],[الدفعات]]</f>
        <v>70188.140000000014</v>
      </c>
    </row>
    <row r="185" spans="12:14" s="1" customFormat="1" ht="25.2" customHeight="1" x14ac:dyDescent="0.3">
      <c r="L18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85" s="1">
        <f>N184+Table11819202310303132353839404148111518202831721[[#This Row],[اجمالي الفاتوره]]-Table11819202310303132353839404148111518202831721[[#This Row],[الدفعات]]</f>
        <v>70188.140000000014</v>
      </c>
    </row>
    <row r="186" spans="12:14" s="1" customFormat="1" ht="25.2" customHeight="1" x14ac:dyDescent="0.3">
      <c r="L18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86" s="1">
        <f>N185+Table11819202310303132353839404148111518202831721[[#This Row],[اجمالي الفاتوره]]-Table11819202310303132353839404148111518202831721[[#This Row],[الدفعات]]</f>
        <v>70188.140000000014</v>
      </c>
    </row>
    <row r="187" spans="12:14" s="1" customFormat="1" ht="25.2" customHeight="1" x14ac:dyDescent="0.3">
      <c r="L18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87" s="1">
        <f>N186+Table11819202310303132353839404148111518202831721[[#This Row],[اجمالي الفاتوره]]-Table11819202310303132353839404148111518202831721[[#This Row],[الدفعات]]</f>
        <v>70188.140000000014</v>
      </c>
    </row>
    <row r="188" spans="12:14" s="1" customFormat="1" ht="25.2" customHeight="1" x14ac:dyDescent="0.3">
      <c r="L18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88" s="1">
        <f>N187+Table11819202310303132353839404148111518202831721[[#This Row],[اجمالي الفاتوره]]-Table11819202310303132353839404148111518202831721[[#This Row],[الدفعات]]</f>
        <v>70188.140000000014</v>
      </c>
    </row>
    <row r="189" spans="12:14" s="1" customFormat="1" ht="25.2" customHeight="1" x14ac:dyDescent="0.3">
      <c r="L18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89" s="1">
        <f>N188+Table11819202310303132353839404148111518202831721[[#This Row],[اجمالي الفاتوره]]-Table11819202310303132353839404148111518202831721[[#This Row],[الدفعات]]</f>
        <v>70188.140000000014</v>
      </c>
    </row>
    <row r="190" spans="12:14" s="1" customFormat="1" ht="25.2" customHeight="1" x14ac:dyDescent="0.3">
      <c r="L19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90" s="1">
        <f>N189+Table11819202310303132353839404148111518202831721[[#This Row],[اجمالي الفاتوره]]-Table11819202310303132353839404148111518202831721[[#This Row],[الدفعات]]</f>
        <v>70188.140000000014</v>
      </c>
    </row>
    <row r="191" spans="12:14" s="1" customFormat="1" ht="25.2" customHeight="1" x14ac:dyDescent="0.3">
      <c r="L19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91" s="1">
        <f>N190+Table11819202310303132353839404148111518202831721[[#This Row],[اجمالي الفاتوره]]-Table11819202310303132353839404148111518202831721[[#This Row],[الدفعات]]</f>
        <v>70188.140000000014</v>
      </c>
    </row>
    <row r="192" spans="12:14" s="1" customFormat="1" ht="25.2" customHeight="1" x14ac:dyDescent="0.3">
      <c r="L19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92" s="1">
        <f>N191+Table11819202310303132353839404148111518202831721[[#This Row],[اجمالي الفاتوره]]-Table11819202310303132353839404148111518202831721[[#This Row],[الدفعات]]</f>
        <v>70188.140000000014</v>
      </c>
    </row>
    <row r="193" spans="12:14" s="1" customFormat="1" ht="25.2" customHeight="1" x14ac:dyDescent="0.3">
      <c r="L19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93" s="1">
        <f>N192+Table11819202310303132353839404148111518202831721[[#This Row],[اجمالي الفاتوره]]-Table11819202310303132353839404148111518202831721[[#This Row],[الدفعات]]</f>
        <v>70188.140000000014</v>
      </c>
    </row>
    <row r="194" spans="12:14" s="1" customFormat="1" ht="25.2" customHeight="1" x14ac:dyDescent="0.3">
      <c r="L19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94" s="1">
        <f>N193+Table11819202310303132353839404148111518202831721[[#This Row],[اجمالي الفاتوره]]-Table11819202310303132353839404148111518202831721[[#This Row],[الدفعات]]</f>
        <v>70188.140000000014</v>
      </c>
    </row>
    <row r="195" spans="12:14" s="1" customFormat="1" ht="25.2" customHeight="1" x14ac:dyDescent="0.3">
      <c r="L19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95" s="1">
        <f>N194+Table11819202310303132353839404148111518202831721[[#This Row],[اجمالي الفاتوره]]-Table11819202310303132353839404148111518202831721[[#This Row],[الدفعات]]</f>
        <v>70188.140000000014</v>
      </c>
    </row>
    <row r="196" spans="12:14" s="1" customFormat="1" ht="25.2" customHeight="1" x14ac:dyDescent="0.3">
      <c r="L19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96" s="1">
        <f>N195+Table11819202310303132353839404148111518202831721[[#This Row],[اجمالي الفاتوره]]-Table11819202310303132353839404148111518202831721[[#This Row],[الدفعات]]</f>
        <v>70188.140000000014</v>
      </c>
    </row>
    <row r="197" spans="12:14" s="1" customFormat="1" ht="25.2" customHeight="1" x14ac:dyDescent="0.3">
      <c r="L19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97" s="1">
        <f>N196+Table11819202310303132353839404148111518202831721[[#This Row],[اجمالي الفاتوره]]-Table11819202310303132353839404148111518202831721[[#This Row],[الدفعات]]</f>
        <v>70188.140000000014</v>
      </c>
    </row>
    <row r="198" spans="12:14" s="1" customFormat="1" ht="25.2" customHeight="1" x14ac:dyDescent="0.3">
      <c r="L19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98" s="1">
        <f>N197+Table11819202310303132353839404148111518202831721[[#This Row],[اجمالي الفاتوره]]-Table11819202310303132353839404148111518202831721[[#This Row],[الدفعات]]</f>
        <v>70188.140000000014</v>
      </c>
    </row>
    <row r="199" spans="12:14" s="1" customFormat="1" ht="25.2" customHeight="1" x14ac:dyDescent="0.3">
      <c r="L19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199" s="1">
        <f>N198+Table11819202310303132353839404148111518202831721[[#This Row],[اجمالي الفاتوره]]-Table11819202310303132353839404148111518202831721[[#This Row],[الدفعات]]</f>
        <v>70188.140000000014</v>
      </c>
    </row>
    <row r="200" spans="12:14" s="1" customFormat="1" ht="25.2" customHeight="1" x14ac:dyDescent="0.3">
      <c r="L20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00" s="1">
        <f>N199+Table11819202310303132353839404148111518202831721[[#This Row],[اجمالي الفاتوره]]-Table11819202310303132353839404148111518202831721[[#This Row],[الدفعات]]</f>
        <v>70188.140000000014</v>
      </c>
    </row>
    <row r="201" spans="12:14" s="1" customFormat="1" ht="25.2" customHeight="1" x14ac:dyDescent="0.3">
      <c r="L20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01" s="1">
        <f>N200+Table11819202310303132353839404148111518202831721[[#This Row],[اجمالي الفاتوره]]-Table11819202310303132353839404148111518202831721[[#This Row],[الدفعات]]</f>
        <v>70188.140000000014</v>
      </c>
    </row>
    <row r="202" spans="12:14" s="1" customFormat="1" ht="25.2" customHeight="1" x14ac:dyDescent="0.3">
      <c r="L20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02" s="1">
        <f>N201+Table11819202310303132353839404148111518202831721[[#This Row],[اجمالي الفاتوره]]-Table11819202310303132353839404148111518202831721[[#This Row],[الدفعات]]</f>
        <v>70188.140000000014</v>
      </c>
    </row>
    <row r="203" spans="12:14" s="1" customFormat="1" ht="25.2" customHeight="1" x14ac:dyDescent="0.3">
      <c r="L20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03" s="1">
        <f>N202+Table11819202310303132353839404148111518202831721[[#This Row],[اجمالي الفاتوره]]-Table11819202310303132353839404148111518202831721[[#This Row],[الدفعات]]</f>
        <v>70188.140000000014</v>
      </c>
    </row>
    <row r="204" spans="12:14" s="1" customFormat="1" ht="25.2" customHeight="1" x14ac:dyDescent="0.3">
      <c r="L20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04" s="1">
        <f>N203+Table11819202310303132353839404148111518202831721[[#This Row],[اجمالي الفاتوره]]-Table11819202310303132353839404148111518202831721[[#This Row],[الدفعات]]</f>
        <v>70188.140000000014</v>
      </c>
    </row>
    <row r="205" spans="12:14" s="1" customFormat="1" ht="25.2" customHeight="1" x14ac:dyDescent="0.3">
      <c r="L20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05" s="1">
        <f>N204+Table11819202310303132353839404148111518202831721[[#This Row],[اجمالي الفاتوره]]-Table11819202310303132353839404148111518202831721[[#This Row],[الدفعات]]</f>
        <v>70188.140000000014</v>
      </c>
    </row>
    <row r="206" spans="12:14" s="1" customFormat="1" ht="25.2" customHeight="1" x14ac:dyDescent="0.3">
      <c r="L20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06" s="1">
        <f>N205+Table11819202310303132353839404148111518202831721[[#This Row],[اجمالي الفاتوره]]-Table11819202310303132353839404148111518202831721[[#This Row],[الدفعات]]</f>
        <v>70188.140000000014</v>
      </c>
    </row>
    <row r="207" spans="12:14" s="1" customFormat="1" ht="25.2" customHeight="1" x14ac:dyDescent="0.3">
      <c r="L20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07" s="1">
        <f>N206+Table11819202310303132353839404148111518202831721[[#This Row],[اجمالي الفاتوره]]-Table11819202310303132353839404148111518202831721[[#This Row],[الدفعات]]</f>
        <v>70188.140000000014</v>
      </c>
    </row>
    <row r="208" spans="12:14" s="1" customFormat="1" ht="25.2" customHeight="1" x14ac:dyDescent="0.3">
      <c r="L20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08" s="1">
        <f>N207+Table11819202310303132353839404148111518202831721[[#This Row],[اجمالي الفاتوره]]-Table11819202310303132353839404148111518202831721[[#This Row],[الدفعات]]</f>
        <v>70188.140000000014</v>
      </c>
    </row>
    <row r="209" spans="12:14" s="1" customFormat="1" ht="25.2" customHeight="1" x14ac:dyDescent="0.3">
      <c r="L20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09" s="1">
        <f>N208+Table11819202310303132353839404148111518202831721[[#This Row],[اجمالي الفاتوره]]-Table11819202310303132353839404148111518202831721[[#This Row],[الدفعات]]</f>
        <v>70188.140000000014</v>
      </c>
    </row>
    <row r="210" spans="12:14" s="1" customFormat="1" ht="25.2" customHeight="1" x14ac:dyDescent="0.3">
      <c r="L21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10" s="1">
        <f>N209+Table11819202310303132353839404148111518202831721[[#This Row],[اجمالي الفاتوره]]-Table11819202310303132353839404148111518202831721[[#This Row],[الدفعات]]</f>
        <v>70188.140000000014</v>
      </c>
    </row>
    <row r="211" spans="12:14" s="1" customFormat="1" ht="25.2" customHeight="1" x14ac:dyDescent="0.3">
      <c r="L21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11" s="1">
        <f>N210+Table11819202310303132353839404148111518202831721[[#This Row],[اجمالي الفاتوره]]-Table11819202310303132353839404148111518202831721[[#This Row],[الدفعات]]</f>
        <v>70188.140000000014</v>
      </c>
    </row>
    <row r="212" spans="12:14" s="1" customFormat="1" ht="25.2" customHeight="1" x14ac:dyDescent="0.3">
      <c r="L21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12" s="1">
        <f>N211+Table11819202310303132353839404148111518202831721[[#This Row],[اجمالي الفاتوره]]-Table11819202310303132353839404148111518202831721[[#This Row],[الدفعات]]</f>
        <v>70188.140000000014</v>
      </c>
    </row>
    <row r="213" spans="12:14" s="1" customFormat="1" ht="25.2" customHeight="1" x14ac:dyDescent="0.3">
      <c r="L21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13" s="1">
        <f>N212+Table11819202310303132353839404148111518202831721[[#This Row],[اجمالي الفاتوره]]-Table11819202310303132353839404148111518202831721[[#This Row],[الدفعات]]</f>
        <v>70188.140000000014</v>
      </c>
    </row>
    <row r="214" spans="12:14" s="1" customFormat="1" ht="25.2" customHeight="1" x14ac:dyDescent="0.3">
      <c r="L21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14" s="1">
        <f>N213+Table11819202310303132353839404148111518202831721[[#This Row],[اجمالي الفاتوره]]-Table11819202310303132353839404148111518202831721[[#This Row],[الدفعات]]</f>
        <v>70188.140000000014</v>
      </c>
    </row>
    <row r="215" spans="12:14" s="1" customFormat="1" ht="25.2" customHeight="1" x14ac:dyDescent="0.3">
      <c r="L21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15" s="1">
        <f>N214+Table11819202310303132353839404148111518202831721[[#This Row],[اجمالي الفاتوره]]-Table11819202310303132353839404148111518202831721[[#This Row],[الدفعات]]</f>
        <v>70188.140000000014</v>
      </c>
    </row>
    <row r="216" spans="12:14" s="1" customFormat="1" ht="25.2" customHeight="1" x14ac:dyDescent="0.3">
      <c r="L21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16" s="1">
        <f>N215+Table11819202310303132353839404148111518202831721[[#This Row],[اجمالي الفاتوره]]-Table11819202310303132353839404148111518202831721[[#This Row],[الدفعات]]</f>
        <v>70188.140000000014</v>
      </c>
    </row>
    <row r="217" spans="12:14" s="1" customFormat="1" ht="25.2" customHeight="1" x14ac:dyDescent="0.3">
      <c r="L21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17" s="1">
        <f>N216+Table11819202310303132353839404148111518202831721[[#This Row],[اجمالي الفاتوره]]-Table11819202310303132353839404148111518202831721[[#This Row],[الدفعات]]</f>
        <v>70188.140000000014</v>
      </c>
    </row>
    <row r="218" spans="12:14" s="1" customFormat="1" ht="25.2" customHeight="1" x14ac:dyDescent="0.3">
      <c r="L21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18" s="1">
        <f>N217+Table11819202310303132353839404148111518202831721[[#This Row],[اجمالي الفاتوره]]-Table11819202310303132353839404148111518202831721[[#This Row],[الدفعات]]</f>
        <v>70188.140000000014</v>
      </c>
    </row>
    <row r="219" spans="12:14" s="1" customFormat="1" ht="25.2" customHeight="1" x14ac:dyDescent="0.3">
      <c r="L21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19" s="1">
        <f>N218+Table11819202310303132353839404148111518202831721[[#This Row],[اجمالي الفاتوره]]-Table11819202310303132353839404148111518202831721[[#This Row],[الدفعات]]</f>
        <v>70188.140000000014</v>
      </c>
    </row>
    <row r="220" spans="12:14" s="1" customFormat="1" ht="25.2" customHeight="1" x14ac:dyDescent="0.3">
      <c r="L22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20" s="1">
        <f>N219+Table11819202310303132353839404148111518202831721[[#This Row],[اجمالي الفاتوره]]-Table11819202310303132353839404148111518202831721[[#This Row],[الدفعات]]</f>
        <v>70188.140000000014</v>
      </c>
    </row>
    <row r="221" spans="12:14" s="1" customFormat="1" ht="25.2" customHeight="1" x14ac:dyDescent="0.3">
      <c r="L22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21" s="1">
        <f>N220+Table11819202310303132353839404148111518202831721[[#This Row],[اجمالي الفاتوره]]-Table11819202310303132353839404148111518202831721[[#This Row],[الدفعات]]</f>
        <v>70188.140000000014</v>
      </c>
    </row>
    <row r="222" spans="12:14" s="1" customFormat="1" ht="25.2" customHeight="1" x14ac:dyDescent="0.3">
      <c r="L22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22" s="1">
        <f>N221+Table11819202310303132353839404148111518202831721[[#This Row],[اجمالي الفاتوره]]-Table11819202310303132353839404148111518202831721[[#This Row],[الدفعات]]</f>
        <v>70188.140000000014</v>
      </c>
    </row>
    <row r="223" spans="12:14" s="1" customFormat="1" ht="25.2" customHeight="1" x14ac:dyDescent="0.3">
      <c r="L22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23" s="1">
        <f>N222+Table11819202310303132353839404148111518202831721[[#This Row],[اجمالي الفاتوره]]-Table11819202310303132353839404148111518202831721[[#This Row],[الدفعات]]</f>
        <v>70188.140000000014</v>
      </c>
    </row>
    <row r="224" spans="12:14" s="1" customFormat="1" ht="25.2" customHeight="1" x14ac:dyDescent="0.3">
      <c r="L22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24" s="1">
        <f>N223+Table11819202310303132353839404148111518202831721[[#This Row],[اجمالي الفاتوره]]-Table11819202310303132353839404148111518202831721[[#This Row],[الدفعات]]</f>
        <v>70188.140000000014</v>
      </c>
    </row>
    <row r="225" spans="10:14" s="1" customFormat="1" ht="25.2" customHeight="1" x14ac:dyDescent="0.3">
      <c r="L22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25" s="1">
        <f>N224+Table11819202310303132353839404148111518202831721[[#This Row],[اجمالي الفاتوره]]-Table11819202310303132353839404148111518202831721[[#This Row],[الدفعات]]</f>
        <v>70188.140000000014</v>
      </c>
    </row>
    <row r="226" spans="10:14" s="1" customFormat="1" ht="25.2" customHeight="1" x14ac:dyDescent="0.3">
      <c r="L22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26" s="1">
        <f>N225+Table11819202310303132353839404148111518202831721[[#This Row],[اجمالي الفاتوره]]-Table11819202310303132353839404148111518202831721[[#This Row],[الدفعات]]</f>
        <v>70188.140000000014</v>
      </c>
    </row>
    <row r="227" spans="10:14" s="1" customFormat="1" ht="25.2" customHeight="1" x14ac:dyDescent="0.3">
      <c r="L22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27" s="1">
        <f>N226+Table11819202310303132353839404148111518202831721[[#This Row],[اجمالي الفاتوره]]-Table11819202310303132353839404148111518202831721[[#This Row],[الدفعات]]</f>
        <v>70188.140000000014</v>
      </c>
    </row>
    <row r="228" spans="10:14" s="1" customFormat="1" ht="25.2" customHeight="1" x14ac:dyDescent="0.3">
      <c r="L22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28" s="1">
        <f>N227+Table11819202310303132353839404148111518202831721[[#This Row],[اجمالي الفاتوره]]-Table11819202310303132353839404148111518202831721[[#This Row],[الدفعات]]</f>
        <v>70188.140000000014</v>
      </c>
    </row>
    <row r="229" spans="10:14" s="1" customFormat="1" ht="25.2" customHeight="1" x14ac:dyDescent="0.3">
      <c r="L22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29" s="1">
        <f>N228+Table11819202310303132353839404148111518202831721[[#This Row],[اجمالي الفاتوره]]-Table11819202310303132353839404148111518202831721[[#This Row],[الدفعات]]</f>
        <v>70188.140000000014</v>
      </c>
    </row>
    <row r="230" spans="10:14" s="1" customFormat="1" ht="25.2" customHeight="1" x14ac:dyDescent="0.3">
      <c r="L23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30" s="1">
        <f>N229+Table11819202310303132353839404148111518202831721[[#This Row],[اجمالي الفاتوره]]-Table11819202310303132353839404148111518202831721[[#This Row],[الدفعات]]</f>
        <v>70188.140000000014</v>
      </c>
    </row>
    <row r="231" spans="10:14" s="1" customFormat="1" ht="25.2" customHeight="1" x14ac:dyDescent="0.3">
      <c r="L23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31" s="1">
        <f>N230+Table11819202310303132353839404148111518202831721[[#This Row],[اجمالي الفاتوره]]-Table11819202310303132353839404148111518202831721[[#This Row],[الدفعات]]</f>
        <v>70188.140000000014</v>
      </c>
    </row>
    <row r="232" spans="10:14" s="1" customFormat="1" ht="25.2" customHeight="1" x14ac:dyDescent="0.3">
      <c r="L23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32" s="1">
        <f>N231+Table11819202310303132353839404148111518202831721[[#This Row],[اجمالي الفاتوره]]-Table11819202310303132353839404148111518202831721[[#This Row],[الدفعات]]</f>
        <v>70188.140000000014</v>
      </c>
    </row>
    <row r="233" spans="10:14" s="1" customFormat="1" ht="25.2" customHeight="1" x14ac:dyDescent="0.3">
      <c r="L23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33" s="1">
        <f>N232+Table11819202310303132353839404148111518202831721[[#This Row],[اجمالي الفاتوره]]-Table11819202310303132353839404148111518202831721[[#This Row],[الدفعات]]</f>
        <v>70188.140000000014</v>
      </c>
    </row>
    <row r="234" spans="10:14" s="1" customFormat="1" ht="25.2" customHeight="1" x14ac:dyDescent="0.3">
      <c r="L23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34" s="1">
        <f>N233+Table11819202310303132353839404148111518202831721[[#This Row],[اجمالي الفاتوره]]-Table11819202310303132353839404148111518202831721[[#This Row],[الدفعات]]</f>
        <v>70188.140000000014</v>
      </c>
    </row>
    <row r="235" spans="10:14" s="1" customFormat="1" ht="25.2" customHeight="1" x14ac:dyDescent="0.3">
      <c r="L23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35" s="1">
        <f>N234+Table11819202310303132353839404148111518202831721[[#This Row],[اجمالي الفاتوره]]-Table11819202310303132353839404148111518202831721[[#This Row],[الدفعات]]</f>
        <v>70188.140000000014</v>
      </c>
    </row>
    <row r="236" spans="10:14" s="1" customFormat="1" ht="25.2" customHeight="1" x14ac:dyDescent="0.3">
      <c r="L23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36" s="1">
        <f>N235+Table11819202310303132353839404148111518202831721[[#This Row],[اجمالي الفاتوره]]-Table11819202310303132353839404148111518202831721[[#This Row],[الدفعات]]</f>
        <v>70188.140000000014</v>
      </c>
    </row>
    <row r="237" spans="10:14" s="1" customFormat="1" ht="25.2" customHeight="1" x14ac:dyDescent="0.3">
      <c r="L23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37" s="1">
        <f>N236+Table11819202310303132353839404148111518202831721[[#This Row],[اجمالي الفاتوره]]-Table11819202310303132353839404148111518202831721[[#This Row],[الدفعات]]</f>
        <v>70188.140000000014</v>
      </c>
    </row>
    <row r="238" spans="10:14" s="1" customFormat="1" ht="25.2" customHeight="1" x14ac:dyDescent="0.3">
      <c r="J238" s="1">
        <f>0.03*Table11819202310303132353839404148111518202831721[[#This Row],[النولون]]</f>
        <v>0</v>
      </c>
      <c r="L23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38" s="1">
        <f>N237+Table11819202310303132353839404148111518202831721[[#This Row],[اجمالي الفاتوره]]-Table11819202310303132353839404148111518202831721[[#This Row],[الدفعات]]</f>
        <v>70188.140000000014</v>
      </c>
    </row>
    <row r="239" spans="10:14" s="1" customFormat="1" ht="25.2" customHeight="1" x14ac:dyDescent="0.3">
      <c r="J239" s="1">
        <f>0.03*Table11819202310303132353839404148111518202831721[[#This Row],[النولون]]</f>
        <v>0</v>
      </c>
      <c r="L23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39" s="1">
        <f>N238+Table11819202310303132353839404148111518202831721[[#This Row],[اجمالي الفاتوره]]-Table11819202310303132353839404148111518202831721[[#This Row],[الدفعات]]</f>
        <v>70188.140000000014</v>
      </c>
    </row>
    <row r="240" spans="10:14" s="1" customFormat="1" ht="25.2" customHeight="1" x14ac:dyDescent="0.3">
      <c r="J240" s="1">
        <f>0.03*Table11819202310303132353839404148111518202831721[[#This Row],[النولون]]</f>
        <v>0</v>
      </c>
      <c r="L24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40" s="1">
        <f>N239+Table11819202310303132353839404148111518202831721[[#This Row],[اجمالي الفاتوره]]-Table11819202310303132353839404148111518202831721[[#This Row],[الدفعات]]</f>
        <v>70188.140000000014</v>
      </c>
    </row>
    <row r="241" spans="10:14" s="1" customFormat="1" ht="25.2" customHeight="1" x14ac:dyDescent="0.3">
      <c r="J241" s="1">
        <f>0.03*Table11819202310303132353839404148111518202831721[[#This Row],[النولون]]</f>
        <v>0</v>
      </c>
      <c r="L24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41" s="1">
        <f>N240+Table11819202310303132353839404148111518202831721[[#This Row],[اجمالي الفاتوره]]-Table11819202310303132353839404148111518202831721[[#This Row],[الدفعات]]</f>
        <v>70188.140000000014</v>
      </c>
    </row>
    <row r="242" spans="10:14" s="1" customFormat="1" ht="25.2" customHeight="1" x14ac:dyDescent="0.3">
      <c r="J242" s="1">
        <f>0.03*Table11819202310303132353839404148111518202831721[[#This Row],[النولون]]</f>
        <v>0</v>
      </c>
      <c r="L24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42" s="1">
        <f>N241+Table11819202310303132353839404148111518202831721[[#This Row],[اجمالي الفاتوره]]-Table11819202310303132353839404148111518202831721[[#This Row],[الدفعات]]</f>
        <v>70188.140000000014</v>
      </c>
    </row>
    <row r="243" spans="10:14" s="1" customFormat="1" ht="25.2" customHeight="1" x14ac:dyDescent="0.3">
      <c r="J243" s="1">
        <f>0.03*Table11819202310303132353839404148111518202831721[[#This Row],[النولون]]</f>
        <v>0</v>
      </c>
      <c r="L24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43" s="1">
        <f>N242+Table11819202310303132353839404148111518202831721[[#This Row],[اجمالي الفاتوره]]-Table11819202310303132353839404148111518202831721[[#This Row],[الدفعات]]</f>
        <v>70188.140000000014</v>
      </c>
    </row>
    <row r="244" spans="10:14" s="1" customFormat="1" ht="25.2" customHeight="1" x14ac:dyDescent="0.3">
      <c r="J244" s="1">
        <f>0.03*Table11819202310303132353839404148111518202831721[[#This Row],[النولون]]</f>
        <v>0</v>
      </c>
      <c r="L24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44" s="1">
        <f>N243+Table11819202310303132353839404148111518202831721[[#This Row],[اجمالي الفاتوره]]-Table11819202310303132353839404148111518202831721[[#This Row],[الدفعات]]</f>
        <v>70188.140000000014</v>
      </c>
    </row>
    <row r="245" spans="10:14" s="1" customFormat="1" ht="25.2" customHeight="1" x14ac:dyDescent="0.3">
      <c r="J245" s="1">
        <f>0.03*Table11819202310303132353839404148111518202831721[[#This Row],[النولون]]</f>
        <v>0</v>
      </c>
      <c r="L24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45" s="1">
        <f>N244+Table11819202310303132353839404148111518202831721[[#This Row],[اجمالي الفاتوره]]-Table11819202310303132353839404148111518202831721[[#This Row],[الدفعات]]</f>
        <v>70188.140000000014</v>
      </c>
    </row>
    <row r="246" spans="10:14" s="1" customFormat="1" ht="25.2" customHeight="1" x14ac:dyDescent="0.3">
      <c r="J246" s="1">
        <f>0.03*Table11819202310303132353839404148111518202831721[[#This Row],[النولون]]</f>
        <v>0</v>
      </c>
      <c r="L24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46" s="1">
        <f>N245+Table11819202310303132353839404148111518202831721[[#This Row],[اجمالي الفاتوره]]-Table11819202310303132353839404148111518202831721[[#This Row],[الدفعات]]</f>
        <v>70188.140000000014</v>
      </c>
    </row>
    <row r="247" spans="10:14" s="1" customFormat="1" ht="25.2" customHeight="1" x14ac:dyDescent="0.3">
      <c r="J247" s="1">
        <f>0.03*Table11819202310303132353839404148111518202831721[[#This Row],[النولون]]</f>
        <v>0</v>
      </c>
      <c r="L24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47" s="1">
        <f>N246+Table11819202310303132353839404148111518202831721[[#This Row],[اجمالي الفاتوره]]-Table11819202310303132353839404148111518202831721[[#This Row],[الدفعات]]</f>
        <v>70188.140000000014</v>
      </c>
    </row>
    <row r="248" spans="10:14" s="1" customFormat="1" ht="25.2" customHeight="1" x14ac:dyDescent="0.3">
      <c r="J248" s="1">
        <f>0.03*Table11819202310303132353839404148111518202831721[[#This Row],[النولون]]</f>
        <v>0</v>
      </c>
      <c r="L24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48" s="1">
        <f>N247+Table11819202310303132353839404148111518202831721[[#This Row],[اجمالي الفاتوره]]-Table11819202310303132353839404148111518202831721[[#This Row],[الدفعات]]</f>
        <v>70188.140000000014</v>
      </c>
    </row>
    <row r="249" spans="10:14" s="1" customFormat="1" ht="25.2" customHeight="1" x14ac:dyDescent="0.3">
      <c r="J249" s="1">
        <f>0.03*Table11819202310303132353839404148111518202831721[[#This Row],[النولون]]</f>
        <v>0</v>
      </c>
      <c r="L24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49" s="1">
        <f>N248+Table11819202310303132353839404148111518202831721[[#This Row],[اجمالي الفاتوره]]-Table11819202310303132353839404148111518202831721[[#This Row],[الدفعات]]</f>
        <v>70188.140000000014</v>
      </c>
    </row>
    <row r="250" spans="10:14" s="1" customFormat="1" ht="25.2" customHeight="1" x14ac:dyDescent="0.3">
      <c r="J250" s="1">
        <f>0.03*Table11819202310303132353839404148111518202831721[[#This Row],[النولون]]</f>
        <v>0</v>
      </c>
      <c r="L25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50" s="1">
        <f>N249+Table11819202310303132353839404148111518202831721[[#This Row],[اجمالي الفاتوره]]-Table11819202310303132353839404148111518202831721[[#This Row],[الدفعات]]</f>
        <v>70188.140000000014</v>
      </c>
    </row>
    <row r="251" spans="10:14" s="1" customFormat="1" ht="25.2" customHeight="1" x14ac:dyDescent="0.3">
      <c r="J251" s="1">
        <f>0.03*Table11819202310303132353839404148111518202831721[[#This Row],[النولون]]</f>
        <v>0</v>
      </c>
      <c r="L25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51" s="1">
        <f>N250+Table11819202310303132353839404148111518202831721[[#This Row],[اجمالي الفاتوره]]-Table11819202310303132353839404148111518202831721[[#This Row],[الدفعات]]</f>
        <v>70188.140000000014</v>
      </c>
    </row>
    <row r="252" spans="10:14" s="1" customFormat="1" ht="25.2" customHeight="1" x14ac:dyDescent="0.3">
      <c r="J252" s="1">
        <f>0.03*Table11819202310303132353839404148111518202831721[[#This Row],[النولون]]</f>
        <v>0</v>
      </c>
      <c r="L25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52" s="1">
        <f>N251+Table11819202310303132353839404148111518202831721[[#This Row],[اجمالي الفاتوره]]-Table11819202310303132353839404148111518202831721[[#This Row],[الدفعات]]</f>
        <v>70188.140000000014</v>
      </c>
    </row>
    <row r="253" spans="10:14" s="1" customFormat="1" ht="25.2" customHeight="1" x14ac:dyDescent="0.3">
      <c r="J253" s="1">
        <f>0.03*Table11819202310303132353839404148111518202831721[[#This Row],[النولون]]</f>
        <v>0</v>
      </c>
      <c r="L25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53" s="1">
        <f>N252+Table11819202310303132353839404148111518202831721[[#This Row],[اجمالي الفاتوره]]-Table11819202310303132353839404148111518202831721[[#This Row],[الدفعات]]</f>
        <v>70188.140000000014</v>
      </c>
    </row>
    <row r="254" spans="10:14" s="1" customFormat="1" ht="25.2" customHeight="1" x14ac:dyDescent="0.3">
      <c r="J254" s="1">
        <f>0.03*Table11819202310303132353839404148111518202831721[[#This Row],[النولون]]</f>
        <v>0</v>
      </c>
      <c r="L25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54" s="1">
        <f>N253+Table11819202310303132353839404148111518202831721[[#This Row],[اجمالي الفاتوره]]-Table11819202310303132353839404148111518202831721[[#This Row],[الدفعات]]</f>
        <v>70188.140000000014</v>
      </c>
    </row>
    <row r="255" spans="10:14" s="1" customFormat="1" ht="25.2" customHeight="1" x14ac:dyDescent="0.3">
      <c r="J255" s="1">
        <f>0.03*Table11819202310303132353839404148111518202831721[[#This Row],[النولون]]</f>
        <v>0</v>
      </c>
      <c r="L25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55" s="1">
        <f>N254+Table11819202310303132353839404148111518202831721[[#This Row],[اجمالي الفاتوره]]-Table11819202310303132353839404148111518202831721[[#This Row],[الدفعات]]</f>
        <v>70188.140000000014</v>
      </c>
    </row>
    <row r="256" spans="10:14" s="1" customFormat="1" ht="25.2" customHeight="1" x14ac:dyDescent="0.3">
      <c r="J256" s="1">
        <f>0.03*Table11819202310303132353839404148111518202831721[[#This Row],[النولون]]</f>
        <v>0</v>
      </c>
      <c r="L25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56" s="1">
        <f>N255+Table11819202310303132353839404148111518202831721[[#This Row],[اجمالي الفاتوره]]-Table11819202310303132353839404148111518202831721[[#This Row],[الدفعات]]</f>
        <v>70188.140000000014</v>
      </c>
    </row>
    <row r="257" spans="10:14" s="1" customFormat="1" ht="25.2" customHeight="1" x14ac:dyDescent="0.3">
      <c r="J257" s="1">
        <f>0.03*Table11819202310303132353839404148111518202831721[[#This Row],[النولون]]</f>
        <v>0</v>
      </c>
      <c r="L25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57" s="1">
        <f>N256+Table11819202310303132353839404148111518202831721[[#This Row],[اجمالي الفاتوره]]-Table11819202310303132353839404148111518202831721[[#This Row],[الدفعات]]</f>
        <v>70188.140000000014</v>
      </c>
    </row>
    <row r="258" spans="10:14" s="1" customFormat="1" ht="25.2" customHeight="1" x14ac:dyDescent="0.3">
      <c r="J258" s="1">
        <f>0.03*Table11819202310303132353839404148111518202831721[[#This Row],[النولون]]</f>
        <v>0</v>
      </c>
      <c r="L25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58" s="1">
        <f>N257+Table11819202310303132353839404148111518202831721[[#This Row],[اجمالي الفاتوره]]-Table11819202310303132353839404148111518202831721[[#This Row],[الدفعات]]</f>
        <v>70188.140000000014</v>
      </c>
    </row>
    <row r="259" spans="10:14" s="1" customFormat="1" ht="25.2" customHeight="1" x14ac:dyDescent="0.3">
      <c r="J259" s="1">
        <f>0.03*Table11819202310303132353839404148111518202831721[[#This Row],[النولون]]</f>
        <v>0</v>
      </c>
      <c r="L25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59" s="1">
        <f>N258+Table11819202310303132353839404148111518202831721[[#This Row],[اجمالي الفاتوره]]-Table11819202310303132353839404148111518202831721[[#This Row],[الدفعات]]</f>
        <v>70188.140000000014</v>
      </c>
    </row>
    <row r="260" spans="10:14" s="1" customFormat="1" ht="25.2" customHeight="1" x14ac:dyDescent="0.3">
      <c r="J260" s="1">
        <f>0.03*Table11819202310303132353839404148111518202831721[[#This Row],[النولون]]</f>
        <v>0</v>
      </c>
      <c r="L26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60" s="1">
        <f>N259+Table11819202310303132353839404148111518202831721[[#This Row],[اجمالي الفاتوره]]-Table11819202310303132353839404148111518202831721[[#This Row],[الدفعات]]</f>
        <v>70188.140000000014</v>
      </c>
    </row>
    <row r="261" spans="10:14" s="1" customFormat="1" ht="25.2" customHeight="1" x14ac:dyDescent="0.3">
      <c r="J261" s="1">
        <f>0.03*Table11819202310303132353839404148111518202831721[[#This Row],[النولون]]</f>
        <v>0</v>
      </c>
      <c r="L26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61" s="1">
        <f>N260+Table11819202310303132353839404148111518202831721[[#This Row],[اجمالي الفاتوره]]-Table11819202310303132353839404148111518202831721[[#This Row],[الدفعات]]</f>
        <v>70188.140000000014</v>
      </c>
    </row>
    <row r="262" spans="10:14" s="1" customFormat="1" ht="25.2" customHeight="1" x14ac:dyDescent="0.3">
      <c r="J262" s="1">
        <f>0.03*Table11819202310303132353839404148111518202831721[[#This Row],[النولون]]</f>
        <v>0</v>
      </c>
      <c r="L26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62" s="1">
        <f>N261+Table11819202310303132353839404148111518202831721[[#This Row],[اجمالي الفاتوره]]-Table11819202310303132353839404148111518202831721[[#This Row],[الدفعات]]</f>
        <v>70188.140000000014</v>
      </c>
    </row>
    <row r="263" spans="10:14" s="1" customFormat="1" ht="25.2" customHeight="1" x14ac:dyDescent="0.3">
      <c r="J263" s="1">
        <f>0.03*Table11819202310303132353839404148111518202831721[[#This Row],[النولون]]</f>
        <v>0</v>
      </c>
      <c r="L26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63" s="1">
        <f>N262+Table11819202310303132353839404148111518202831721[[#This Row],[اجمالي الفاتوره]]-Table11819202310303132353839404148111518202831721[[#This Row],[الدفعات]]</f>
        <v>70188.140000000014</v>
      </c>
    </row>
    <row r="264" spans="10:14" s="1" customFormat="1" ht="25.2" customHeight="1" x14ac:dyDescent="0.3">
      <c r="J264" s="1">
        <f>0.03*Table11819202310303132353839404148111518202831721[[#This Row],[النولون]]</f>
        <v>0</v>
      </c>
      <c r="L26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64" s="1">
        <f>N263+Table11819202310303132353839404148111518202831721[[#This Row],[اجمالي الفاتوره]]-Table11819202310303132353839404148111518202831721[[#This Row],[الدفعات]]</f>
        <v>70188.140000000014</v>
      </c>
    </row>
    <row r="265" spans="10:14" s="1" customFormat="1" ht="25.2" customHeight="1" x14ac:dyDescent="0.3">
      <c r="J265" s="1">
        <f>0.03*Table11819202310303132353839404148111518202831721[[#This Row],[النولون]]</f>
        <v>0</v>
      </c>
      <c r="L26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65" s="1">
        <f>N264+Table11819202310303132353839404148111518202831721[[#This Row],[اجمالي الفاتوره]]-Table11819202310303132353839404148111518202831721[[#This Row],[الدفعات]]</f>
        <v>70188.140000000014</v>
      </c>
    </row>
    <row r="266" spans="10:14" s="1" customFormat="1" ht="25.2" customHeight="1" x14ac:dyDescent="0.3">
      <c r="J266" s="1">
        <f>0.03*Table11819202310303132353839404148111518202831721[[#This Row],[النولون]]</f>
        <v>0</v>
      </c>
      <c r="L26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66" s="1">
        <f>N265+Table11819202310303132353839404148111518202831721[[#This Row],[اجمالي الفاتوره]]-Table11819202310303132353839404148111518202831721[[#This Row],[الدفعات]]</f>
        <v>70188.140000000014</v>
      </c>
    </row>
    <row r="267" spans="10:14" s="1" customFormat="1" ht="25.2" customHeight="1" x14ac:dyDescent="0.3">
      <c r="J267" s="1">
        <f>0.03*Table11819202310303132353839404148111518202831721[[#This Row],[النولون]]</f>
        <v>0</v>
      </c>
      <c r="L26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67" s="1">
        <f>N266+Table11819202310303132353839404148111518202831721[[#This Row],[اجمالي الفاتوره]]-Table11819202310303132353839404148111518202831721[[#This Row],[الدفعات]]</f>
        <v>70188.140000000014</v>
      </c>
    </row>
    <row r="268" spans="10:14" s="1" customFormat="1" ht="25.2" customHeight="1" x14ac:dyDescent="0.3">
      <c r="J268" s="1">
        <f>0.03*Table11819202310303132353839404148111518202831721[[#This Row],[النولون]]</f>
        <v>0</v>
      </c>
      <c r="L26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68" s="1">
        <f>N267+Table11819202310303132353839404148111518202831721[[#This Row],[اجمالي الفاتوره]]-Table11819202310303132353839404148111518202831721[[#This Row],[الدفعات]]</f>
        <v>70188.140000000014</v>
      </c>
    </row>
    <row r="269" spans="10:14" s="1" customFormat="1" ht="25.2" customHeight="1" x14ac:dyDescent="0.3">
      <c r="J269" s="1">
        <f>0.03*Table11819202310303132353839404148111518202831721[[#This Row],[النولون]]</f>
        <v>0</v>
      </c>
      <c r="L26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69" s="1">
        <f>N268+Table11819202310303132353839404148111518202831721[[#This Row],[اجمالي الفاتوره]]-Table11819202310303132353839404148111518202831721[[#This Row],[الدفعات]]</f>
        <v>70188.140000000014</v>
      </c>
    </row>
    <row r="270" spans="10:14" s="1" customFormat="1" ht="25.2" customHeight="1" x14ac:dyDescent="0.3">
      <c r="J270" s="1">
        <f>0.03*Table11819202310303132353839404148111518202831721[[#This Row],[النولون]]</f>
        <v>0</v>
      </c>
      <c r="L27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70" s="1">
        <f>N269+Table11819202310303132353839404148111518202831721[[#This Row],[اجمالي الفاتوره]]-Table11819202310303132353839404148111518202831721[[#This Row],[الدفعات]]</f>
        <v>70188.140000000014</v>
      </c>
    </row>
    <row r="271" spans="10:14" s="1" customFormat="1" ht="25.2" customHeight="1" x14ac:dyDescent="0.3">
      <c r="J271" s="1">
        <f>0.03*Table11819202310303132353839404148111518202831721[[#This Row],[النولون]]</f>
        <v>0</v>
      </c>
      <c r="L27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71" s="1">
        <f>N270+Table11819202310303132353839404148111518202831721[[#This Row],[اجمالي الفاتوره]]-Table11819202310303132353839404148111518202831721[[#This Row],[الدفعات]]</f>
        <v>70188.140000000014</v>
      </c>
    </row>
    <row r="272" spans="10:14" s="1" customFormat="1" ht="25.2" customHeight="1" x14ac:dyDescent="0.3">
      <c r="J272" s="1">
        <f>0.03*Table11819202310303132353839404148111518202831721[[#This Row],[النولون]]</f>
        <v>0</v>
      </c>
      <c r="L27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72" s="1">
        <f>N271+Table11819202310303132353839404148111518202831721[[#This Row],[اجمالي الفاتوره]]-Table11819202310303132353839404148111518202831721[[#This Row],[الدفعات]]</f>
        <v>70188.140000000014</v>
      </c>
    </row>
    <row r="273" spans="10:14" s="1" customFormat="1" ht="25.2" customHeight="1" x14ac:dyDescent="0.3">
      <c r="J273" s="1">
        <f>0.03*Table11819202310303132353839404148111518202831721[[#This Row],[النولون]]</f>
        <v>0</v>
      </c>
      <c r="L27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73" s="1">
        <f>N272+Table11819202310303132353839404148111518202831721[[#This Row],[اجمالي الفاتوره]]-Table11819202310303132353839404148111518202831721[[#This Row],[الدفعات]]</f>
        <v>70188.140000000014</v>
      </c>
    </row>
    <row r="274" spans="10:14" s="1" customFormat="1" ht="25.2" customHeight="1" x14ac:dyDescent="0.3">
      <c r="J274" s="1">
        <f>0.03*Table11819202310303132353839404148111518202831721[[#This Row],[النولون]]</f>
        <v>0</v>
      </c>
      <c r="L27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74" s="1">
        <f>N273+Table11819202310303132353839404148111518202831721[[#This Row],[اجمالي الفاتوره]]-Table11819202310303132353839404148111518202831721[[#This Row],[الدفعات]]</f>
        <v>70188.140000000014</v>
      </c>
    </row>
    <row r="275" spans="10:14" s="1" customFormat="1" ht="25.2" customHeight="1" x14ac:dyDescent="0.3">
      <c r="J275" s="1">
        <f>0.03*Table11819202310303132353839404148111518202831721[[#This Row],[النولون]]</f>
        <v>0</v>
      </c>
      <c r="L27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75" s="1">
        <f>N274+Table11819202310303132353839404148111518202831721[[#This Row],[اجمالي الفاتوره]]-Table11819202310303132353839404148111518202831721[[#This Row],[الدفعات]]</f>
        <v>70188.140000000014</v>
      </c>
    </row>
    <row r="276" spans="10:14" s="1" customFormat="1" ht="25.2" customHeight="1" x14ac:dyDescent="0.3">
      <c r="J276" s="1">
        <f>0.03*Table11819202310303132353839404148111518202831721[[#This Row],[النولون]]</f>
        <v>0</v>
      </c>
      <c r="L27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76" s="1">
        <f>N275+Table11819202310303132353839404148111518202831721[[#This Row],[اجمالي الفاتوره]]-Table11819202310303132353839404148111518202831721[[#This Row],[الدفعات]]</f>
        <v>70188.140000000014</v>
      </c>
    </row>
    <row r="277" spans="10:14" s="1" customFormat="1" ht="25.2" customHeight="1" x14ac:dyDescent="0.3">
      <c r="J277" s="1">
        <f>0.03*Table11819202310303132353839404148111518202831721[[#This Row],[النولون]]</f>
        <v>0</v>
      </c>
      <c r="L27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77" s="1">
        <f>N276+Table11819202310303132353839404148111518202831721[[#This Row],[اجمالي الفاتوره]]-Table11819202310303132353839404148111518202831721[[#This Row],[الدفعات]]</f>
        <v>70188.140000000014</v>
      </c>
    </row>
    <row r="278" spans="10:14" s="1" customFormat="1" ht="25.2" customHeight="1" x14ac:dyDescent="0.3">
      <c r="J278" s="1">
        <f>0.03*Table11819202310303132353839404148111518202831721[[#This Row],[النولون]]</f>
        <v>0</v>
      </c>
      <c r="L27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78" s="1">
        <f>N277+Table11819202310303132353839404148111518202831721[[#This Row],[اجمالي الفاتوره]]-Table11819202310303132353839404148111518202831721[[#This Row],[الدفعات]]</f>
        <v>70188.140000000014</v>
      </c>
    </row>
    <row r="279" spans="10:14" s="1" customFormat="1" ht="25.2" customHeight="1" x14ac:dyDescent="0.3">
      <c r="J279" s="1">
        <f>0.03*Table11819202310303132353839404148111518202831721[[#This Row],[النولون]]</f>
        <v>0</v>
      </c>
      <c r="L27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79" s="1">
        <f>N278+Table11819202310303132353839404148111518202831721[[#This Row],[اجمالي الفاتوره]]-Table11819202310303132353839404148111518202831721[[#This Row],[الدفعات]]</f>
        <v>70188.140000000014</v>
      </c>
    </row>
    <row r="280" spans="10:14" s="1" customFormat="1" ht="25.2" customHeight="1" x14ac:dyDescent="0.3">
      <c r="J280" s="1">
        <f>0.03*Table11819202310303132353839404148111518202831721[[#This Row],[النولون]]</f>
        <v>0</v>
      </c>
      <c r="L28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80" s="1">
        <f>N279+Table11819202310303132353839404148111518202831721[[#This Row],[اجمالي الفاتوره]]-Table11819202310303132353839404148111518202831721[[#This Row],[الدفعات]]</f>
        <v>70188.140000000014</v>
      </c>
    </row>
    <row r="281" spans="10:14" s="1" customFormat="1" ht="25.2" customHeight="1" x14ac:dyDescent="0.3">
      <c r="J281" s="1">
        <f>0.03*Table11819202310303132353839404148111518202831721[[#This Row],[النولون]]</f>
        <v>0</v>
      </c>
      <c r="L28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81" s="1">
        <f>N280+Table11819202310303132353839404148111518202831721[[#This Row],[اجمالي الفاتوره]]-Table11819202310303132353839404148111518202831721[[#This Row],[الدفعات]]</f>
        <v>70188.140000000014</v>
      </c>
    </row>
    <row r="282" spans="10:14" s="1" customFormat="1" ht="25.2" customHeight="1" x14ac:dyDescent="0.3">
      <c r="J282" s="1">
        <f>0.03*Table11819202310303132353839404148111518202831721[[#This Row],[النولون]]</f>
        <v>0</v>
      </c>
      <c r="L28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82" s="1">
        <f>N281+Table11819202310303132353839404148111518202831721[[#This Row],[اجمالي الفاتوره]]-Table11819202310303132353839404148111518202831721[[#This Row],[الدفعات]]</f>
        <v>70188.140000000014</v>
      </c>
    </row>
    <row r="283" spans="10:14" s="1" customFormat="1" ht="25.2" customHeight="1" x14ac:dyDescent="0.3">
      <c r="J283" s="1">
        <f>0.03*Table11819202310303132353839404148111518202831721[[#This Row],[النولون]]</f>
        <v>0</v>
      </c>
      <c r="L28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83" s="1">
        <f>N282+Table11819202310303132353839404148111518202831721[[#This Row],[اجمالي الفاتوره]]-Table11819202310303132353839404148111518202831721[[#This Row],[الدفعات]]</f>
        <v>70188.140000000014</v>
      </c>
    </row>
    <row r="284" spans="10:14" s="1" customFormat="1" ht="25.2" customHeight="1" x14ac:dyDescent="0.3">
      <c r="J284" s="1">
        <f>0.03*Table11819202310303132353839404148111518202831721[[#This Row],[النولون]]</f>
        <v>0</v>
      </c>
      <c r="L28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84" s="1">
        <f>N283+Table11819202310303132353839404148111518202831721[[#This Row],[اجمالي الفاتوره]]-Table11819202310303132353839404148111518202831721[[#This Row],[الدفعات]]</f>
        <v>70188.140000000014</v>
      </c>
    </row>
    <row r="285" spans="10:14" s="1" customFormat="1" ht="25.2" customHeight="1" x14ac:dyDescent="0.3">
      <c r="J285" s="1">
        <f>0.03*Table11819202310303132353839404148111518202831721[[#This Row],[النولون]]</f>
        <v>0</v>
      </c>
      <c r="L28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85" s="1">
        <f>N284+Table11819202310303132353839404148111518202831721[[#This Row],[اجمالي الفاتوره]]-Table11819202310303132353839404148111518202831721[[#This Row],[الدفعات]]</f>
        <v>70188.140000000014</v>
      </c>
    </row>
    <row r="286" spans="10:14" s="1" customFormat="1" ht="25.2" customHeight="1" x14ac:dyDescent="0.3">
      <c r="J286" s="1">
        <f>0.03*Table11819202310303132353839404148111518202831721[[#This Row],[النولون]]</f>
        <v>0</v>
      </c>
      <c r="L28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86" s="1">
        <f>N285+Table11819202310303132353839404148111518202831721[[#This Row],[اجمالي الفاتوره]]-Table11819202310303132353839404148111518202831721[[#This Row],[الدفعات]]</f>
        <v>70188.140000000014</v>
      </c>
    </row>
    <row r="287" spans="10:14" s="1" customFormat="1" ht="25.2" customHeight="1" x14ac:dyDescent="0.3">
      <c r="J287" s="1">
        <f>0.03*Table11819202310303132353839404148111518202831721[[#This Row],[النولون]]</f>
        <v>0</v>
      </c>
      <c r="L28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87" s="1">
        <f>N286+Table11819202310303132353839404148111518202831721[[#This Row],[اجمالي الفاتوره]]-Table11819202310303132353839404148111518202831721[[#This Row],[الدفعات]]</f>
        <v>70188.140000000014</v>
      </c>
    </row>
    <row r="288" spans="10:14" s="1" customFormat="1" ht="25.2" customHeight="1" x14ac:dyDescent="0.3">
      <c r="J288" s="1">
        <f>0.03*Table11819202310303132353839404148111518202831721[[#This Row],[النولون]]</f>
        <v>0</v>
      </c>
      <c r="L28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88" s="1">
        <f>N287+Table11819202310303132353839404148111518202831721[[#This Row],[اجمالي الفاتوره]]-Table11819202310303132353839404148111518202831721[[#This Row],[الدفعات]]</f>
        <v>70188.140000000014</v>
      </c>
    </row>
    <row r="289" spans="10:14" s="1" customFormat="1" ht="25.2" customHeight="1" x14ac:dyDescent="0.3">
      <c r="J289" s="1">
        <f>0.03*Table11819202310303132353839404148111518202831721[[#This Row],[النولون]]</f>
        <v>0</v>
      </c>
      <c r="L28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89" s="1">
        <f>N288+Table11819202310303132353839404148111518202831721[[#This Row],[اجمالي الفاتوره]]-Table11819202310303132353839404148111518202831721[[#This Row],[الدفعات]]</f>
        <v>70188.140000000014</v>
      </c>
    </row>
    <row r="290" spans="10:14" s="1" customFormat="1" ht="25.2" customHeight="1" x14ac:dyDescent="0.3">
      <c r="J290" s="1">
        <f>0.03*Table11819202310303132353839404148111518202831721[[#This Row],[النولون]]</f>
        <v>0</v>
      </c>
      <c r="L29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90" s="1">
        <f>N289+Table11819202310303132353839404148111518202831721[[#This Row],[اجمالي الفاتوره]]-Table11819202310303132353839404148111518202831721[[#This Row],[الدفعات]]</f>
        <v>70188.140000000014</v>
      </c>
    </row>
    <row r="291" spans="10:14" s="1" customFormat="1" ht="25.2" customHeight="1" x14ac:dyDescent="0.3">
      <c r="J291" s="1">
        <f>0.03*Table11819202310303132353839404148111518202831721[[#This Row],[النولون]]</f>
        <v>0</v>
      </c>
      <c r="L29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91" s="1">
        <f>N290+Table11819202310303132353839404148111518202831721[[#This Row],[اجمالي الفاتوره]]-Table11819202310303132353839404148111518202831721[[#This Row],[الدفعات]]</f>
        <v>70188.140000000014</v>
      </c>
    </row>
    <row r="292" spans="10:14" s="1" customFormat="1" ht="25.2" customHeight="1" x14ac:dyDescent="0.3">
      <c r="J292" s="1">
        <f>0.03*Table11819202310303132353839404148111518202831721[[#This Row],[النولون]]</f>
        <v>0</v>
      </c>
      <c r="L29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92" s="1">
        <f>N291+Table11819202310303132353839404148111518202831721[[#This Row],[اجمالي الفاتوره]]-Table11819202310303132353839404148111518202831721[[#This Row],[الدفعات]]</f>
        <v>70188.140000000014</v>
      </c>
    </row>
    <row r="293" spans="10:14" s="1" customFormat="1" ht="25.2" customHeight="1" x14ac:dyDescent="0.3">
      <c r="J293" s="1">
        <f>0.03*Table11819202310303132353839404148111518202831721[[#This Row],[النولون]]</f>
        <v>0</v>
      </c>
      <c r="L29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93" s="1">
        <f>N292+Table11819202310303132353839404148111518202831721[[#This Row],[اجمالي الفاتوره]]-Table11819202310303132353839404148111518202831721[[#This Row],[الدفعات]]</f>
        <v>70188.140000000014</v>
      </c>
    </row>
    <row r="294" spans="10:14" s="1" customFormat="1" ht="25.2" customHeight="1" x14ac:dyDescent="0.3">
      <c r="J294" s="1">
        <f>0.03*Table11819202310303132353839404148111518202831721[[#This Row],[النولون]]</f>
        <v>0</v>
      </c>
      <c r="L29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94" s="1">
        <f>N293+Table11819202310303132353839404148111518202831721[[#This Row],[اجمالي الفاتوره]]-Table11819202310303132353839404148111518202831721[[#This Row],[الدفعات]]</f>
        <v>70188.140000000014</v>
      </c>
    </row>
    <row r="295" spans="10:14" s="1" customFormat="1" ht="25.2" customHeight="1" x14ac:dyDescent="0.3">
      <c r="J295" s="1">
        <f>0.03*Table11819202310303132353839404148111518202831721[[#This Row],[النولون]]</f>
        <v>0</v>
      </c>
      <c r="L29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95" s="1">
        <f>N294+Table11819202310303132353839404148111518202831721[[#This Row],[اجمالي الفاتوره]]-Table11819202310303132353839404148111518202831721[[#This Row],[الدفعات]]</f>
        <v>70188.140000000014</v>
      </c>
    </row>
    <row r="296" spans="10:14" s="1" customFormat="1" ht="25.2" customHeight="1" x14ac:dyDescent="0.3">
      <c r="J296" s="1">
        <f>0.03*Table11819202310303132353839404148111518202831721[[#This Row],[النولون]]</f>
        <v>0</v>
      </c>
      <c r="L29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96" s="1">
        <f>N295+Table11819202310303132353839404148111518202831721[[#This Row],[اجمالي الفاتوره]]-Table11819202310303132353839404148111518202831721[[#This Row],[الدفعات]]</f>
        <v>70188.140000000014</v>
      </c>
    </row>
    <row r="297" spans="10:14" s="1" customFormat="1" ht="25.2" customHeight="1" x14ac:dyDescent="0.3">
      <c r="J297" s="1">
        <f>0.03*Table11819202310303132353839404148111518202831721[[#This Row],[النولون]]</f>
        <v>0</v>
      </c>
      <c r="L29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97" s="1">
        <f>N296+Table11819202310303132353839404148111518202831721[[#This Row],[اجمالي الفاتوره]]-Table11819202310303132353839404148111518202831721[[#This Row],[الدفعات]]</f>
        <v>70188.140000000014</v>
      </c>
    </row>
    <row r="298" spans="10:14" s="1" customFormat="1" ht="25.2" customHeight="1" x14ac:dyDescent="0.3">
      <c r="J298" s="1">
        <f>0.03*Table11819202310303132353839404148111518202831721[[#This Row],[النولون]]</f>
        <v>0</v>
      </c>
      <c r="L29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98" s="1">
        <f>N297+Table11819202310303132353839404148111518202831721[[#This Row],[اجمالي الفاتوره]]-Table11819202310303132353839404148111518202831721[[#This Row],[الدفعات]]</f>
        <v>70188.140000000014</v>
      </c>
    </row>
    <row r="299" spans="10:14" s="1" customFormat="1" ht="25.2" customHeight="1" x14ac:dyDescent="0.3">
      <c r="J299" s="1">
        <f>0.03*Table11819202310303132353839404148111518202831721[[#This Row],[النولون]]</f>
        <v>0</v>
      </c>
      <c r="L29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299" s="1">
        <f>N298+Table11819202310303132353839404148111518202831721[[#This Row],[اجمالي الفاتوره]]-Table11819202310303132353839404148111518202831721[[#This Row],[الدفعات]]</f>
        <v>70188.140000000014</v>
      </c>
    </row>
    <row r="300" spans="10:14" s="1" customFormat="1" ht="25.2" customHeight="1" x14ac:dyDescent="0.3">
      <c r="J300" s="1">
        <f>0.03*Table11819202310303132353839404148111518202831721[[#This Row],[النولون]]</f>
        <v>0</v>
      </c>
      <c r="L30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00" s="1">
        <f>N299+Table11819202310303132353839404148111518202831721[[#This Row],[اجمالي الفاتوره]]-Table11819202310303132353839404148111518202831721[[#This Row],[الدفعات]]</f>
        <v>70188.140000000014</v>
      </c>
    </row>
    <row r="301" spans="10:14" s="1" customFormat="1" ht="25.2" customHeight="1" x14ac:dyDescent="0.3">
      <c r="J301" s="1">
        <f>0.03*Table11819202310303132353839404148111518202831721[[#This Row],[النولون]]</f>
        <v>0</v>
      </c>
      <c r="L30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01" s="1">
        <f>N300+Table11819202310303132353839404148111518202831721[[#This Row],[اجمالي الفاتوره]]-Table11819202310303132353839404148111518202831721[[#This Row],[الدفعات]]</f>
        <v>70188.140000000014</v>
      </c>
    </row>
    <row r="302" spans="10:14" s="1" customFormat="1" ht="25.2" customHeight="1" x14ac:dyDescent="0.3">
      <c r="J302" s="1">
        <f>0.03*Table11819202310303132353839404148111518202831721[[#This Row],[النولون]]</f>
        <v>0</v>
      </c>
      <c r="L30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02" s="1">
        <f>N301+Table11819202310303132353839404148111518202831721[[#This Row],[اجمالي الفاتوره]]-Table11819202310303132353839404148111518202831721[[#This Row],[الدفعات]]</f>
        <v>70188.140000000014</v>
      </c>
    </row>
    <row r="303" spans="10:14" s="1" customFormat="1" ht="25.2" customHeight="1" x14ac:dyDescent="0.3">
      <c r="J303" s="1">
        <f>0.03*Table11819202310303132353839404148111518202831721[[#This Row],[النولون]]</f>
        <v>0</v>
      </c>
      <c r="L30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03" s="1">
        <f>N302+Table11819202310303132353839404148111518202831721[[#This Row],[اجمالي الفاتوره]]-Table11819202310303132353839404148111518202831721[[#This Row],[الدفعات]]</f>
        <v>70188.140000000014</v>
      </c>
    </row>
    <row r="304" spans="10:14" s="1" customFormat="1" ht="25.2" customHeight="1" x14ac:dyDescent="0.3">
      <c r="J304" s="1">
        <f>0.03*Table11819202310303132353839404148111518202831721[[#This Row],[النولون]]</f>
        <v>0</v>
      </c>
      <c r="L30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04" s="1">
        <f>N303+Table11819202310303132353839404148111518202831721[[#This Row],[اجمالي الفاتوره]]-Table11819202310303132353839404148111518202831721[[#This Row],[الدفعات]]</f>
        <v>70188.140000000014</v>
      </c>
    </row>
    <row r="305" spans="10:14" s="1" customFormat="1" ht="25.2" customHeight="1" x14ac:dyDescent="0.3">
      <c r="J305" s="1">
        <f>0.03*Table11819202310303132353839404148111518202831721[[#This Row],[النولون]]</f>
        <v>0</v>
      </c>
      <c r="L30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05" s="1">
        <f>N304+Table11819202310303132353839404148111518202831721[[#This Row],[اجمالي الفاتوره]]-Table11819202310303132353839404148111518202831721[[#This Row],[الدفعات]]</f>
        <v>70188.140000000014</v>
      </c>
    </row>
    <row r="306" spans="10:14" s="1" customFormat="1" ht="25.2" customHeight="1" x14ac:dyDescent="0.3">
      <c r="J306" s="1">
        <f>0.03*Table11819202310303132353839404148111518202831721[[#This Row],[النولون]]</f>
        <v>0</v>
      </c>
      <c r="L30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06" s="1">
        <f>N305+Table11819202310303132353839404148111518202831721[[#This Row],[اجمالي الفاتوره]]-Table11819202310303132353839404148111518202831721[[#This Row],[الدفعات]]</f>
        <v>70188.140000000014</v>
      </c>
    </row>
    <row r="307" spans="10:14" s="1" customFormat="1" ht="25.2" customHeight="1" x14ac:dyDescent="0.3">
      <c r="J307" s="1">
        <f>0.03*Table11819202310303132353839404148111518202831721[[#This Row],[النولون]]</f>
        <v>0</v>
      </c>
      <c r="L30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07" s="1">
        <f>N306+Table11819202310303132353839404148111518202831721[[#This Row],[اجمالي الفاتوره]]-Table11819202310303132353839404148111518202831721[[#This Row],[الدفعات]]</f>
        <v>70188.140000000014</v>
      </c>
    </row>
    <row r="308" spans="10:14" s="1" customFormat="1" ht="25.2" customHeight="1" x14ac:dyDescent="0.3">
      <c r="J308" s="1">
        <f>0.03*Table11819202310303132353839404148111518202831721[[#This Row],[النولون]]</f>
        <v>0</v>
      </c>
      <c r="L30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08" s="1">
        <f>N307+Table11819202310303132353839404148111518202831721[[#This Row],[اجمالي الفاتوره]]-Table11819202310303132353839404148111518202831721[[#This Row],[الدفعات]]</f>
        <v>70188.140000000014</v>
      </c>
    </row>
    <row r="309" spans="10:14" s="1" customFormat="1" ht="25.2" customHeight="1" x14ac:dyDescent="0.3">
      <c r="J309" s="1">
        <f>0.03*Table11819202310303132353839404148111518202831721[[#This Row],[النولون]]</f>
        <v>0</v>
      </c>
      <c r="L30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09" s="1">
        <f>N308+Table11819202310303132353839404148111518202831721[[#This Row],[اجمالي الفاتوره]]-Table11819202310303132353839404148111518202831721[[#This Row],[الدفعات]]</f>
        <v>70188.140000000014</v>
      </c>
    </row>
    <row r="310" spans="10:14" s="1" customFormat="1" ht="25.2" customHeight="1" x14ac:dyDescent="0.3">
      <c r="J310" s="1">
        <f>0.03*Table11819202310303132353839404148111518202831721[[#This Row],[النولون]]</f>
        <v>0</v>
      </c>
      <c r="L31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10" s="1">
        <f>N309+Table11819202310303132353839404148111518202831721[[#This Row],[اجمالي الفاتوره]]-Table11819202310303132353839404148111518202831721[[#This Row],[الدفعات]]</f>
        <v>70188.140000000014</v>
      </c>
    </row>
    <row r="311" spans="10:14" s="1" customFormat="1" ht="25.2" customHeight="1" x14ac:dyDescent="0.3">
      <c r="J311" s="1">
        <f>0.03*Table11819202310303132353839404148111518202831721[[#This Row],[النولون]]</f>
        <v>0</v>
      </c>
      <c r="L31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11" s="1">
        <f>N310+Table11819202310303132353839404148111518202831721[[#This Row],[اجمالي الفاتوره]]-Table11819202310303132353839404148111518202831721[[#This Row],[الدفعات]]</f>
        <v>70188.140000000014</v>
      </c>
    </row>
    <row r="312" spans="10:14" s="1" customFormat="1" ht="25.2" customHeight="1" x14ac:dyDescent="0.3">
      <c r="J312" s="1">
        <f>0.03*Table11819202310303132353839404148111518202831721[[#This Row],[النولون]]</f>
        <v>0</v>
      </c>
      <c r="L31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12" s="1">
        <f>N311+Table11819202310303132353839404148111518202831721[[#This Row],[اجمالي الفاتوره]]-Table11819202310303132353839404148111518202831721[[#This Row],[الدفعات]]</f>
        <v>70188.140000000014</v>
      </c>
    </row>
    <row r="313" spans="10:14" s="1" customFormat="1" ht="25.2" customHeight="1" x14ac:dyDescent="0.3">
      <c r="J313" s="1">
        <f>0.03*Table11819202310303132353839404148111518202831721[[#This Row],[النولون]]</f>
        <v>0</v>
      </c>
      <c r="L31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13" s="1">
        <f>N312+Table11819202310303132353839404148111518202831721[[#This Row],[اجمالي الفاتوره]]-Table11819202310303132353839404148111518202831721[[#This Row],[الدفعات]]</f>
        <v>70188.140000000014</v>
      </c>
    </row>
    <row r="314" spans="10:14" s="1" customFormat="1" ht="25.2" customHeight="1" x14ac:dyDescent="0.3">
      <c r="J314" s="1">
        <f>0.03*Table11819202310303132353839404148111518202831721[[#This Row],[النولون]]</f>
        <v>0</v>
      </c>
      <c r="L31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14" s="1">
        <f>N313+Table11819202310303132353839404148111518202831721[[#This Row],[اجمالي الفاتوره]]-Table11819202310303132353839404148111518202831721[[#This Row],[الدفعات]]</f>
        <v>70188.140000000014</v>
      </c>
    </row>
    <row r="315" spans="10:14" s="1" customFormat="1" ht="25.2" customHeight="1" x14ac:dyDescent="0.3">
      <c r="J315" s="1">
        <f>0.03*Table11819202310303132353839404148111518202831721[[#This Row],[النولون]]</f>
        <v>0</v>
      </c>
      <c r="L31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15" s="1">
        <f>N314+Table11819202310303132353839404148111518202831721[[#This Row],[اجمالي الفاتوره]]-Table11819202310303132353839404148111518202831721[[#This Row],[الدفعات]]</f>
        <v>70188.140000000014</v>
      </c>
    </row>
    <row r="316" spans="10:14" s="1" customFormat="1" ht="25.2" customHeight="1" x14ac:dyDescent="0.3">
      <c r="J316" s="1">
        <f>0.03*Table11819202310303132353839404148111518202831721[[#This Row],[النولون]]</f>
        <v>0</v>
      </c>
      <c r="L31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16" s="1">
        <f>N315+Table11819202310303132353839404148111518202831721[[#This Row],[اجمالي الفاتوره]]-Table11819202310303132353839404148111518202831721[[#This Row],[الدفعات]]</f>
        <v>70188.140000000014</v>
      </c>
    </row>
    <row r="317" spans="10:14" s="1" customFormat="1" ht="25.2" customHeight="1" x14ac:dyDescent="0.3">
      <c r="J317" s="1">
        <f>0.03*Table11819202310303132353839404148111518202831721[[#This Row],[النولون]]</f>
        <v>0</v>
      </c>
      <c r="L31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17" s="1">
        <f>N316+Table11819202310303132353839404148111518202831721[[#This Row],[اجمالي الفاتوره]]-Table11819202310303132353839404148111518202831721[[#This Row],[الدفعات]]</f>
        <v>70188.140000000014</v>
      </c>
    </row>
    <row r="318" spans="10:14" s="1" customFormat="1" ht="25.2" customHeight="1" x14ac:dyDescent="0.3">
      <c r="J318" s="1">
        <f>0.03*Table11819202310303132353839404148111518202831721[[#This Row],[النولون]]</f>
        <v>0</v>
      </c>
      <c r="L31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18" s="1">
        <f>N317+Table11819202310303132353839404148111518202831721[[#This Row],[اجمالي الفاتوره]]-Table11819202310303132353839404148111518202831721[[#This Row],[الدفعات]]</f>
        <v>70188.140000000014</v>
      </c>
    </row>
    <row r="319" spans="10:14" s="1" customFormat="1" ht="25.2" customHeight="1" x14ac:dyDescent="0.3">
      <c r="J319" s="1">
        <f>0.03*Table11819202310303132353839404148111518202831721[[#This Row],[النولون]]</f>
        <v>0</v>
      </c>
      <c r="L31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19" s="1">
        <f>N318+Table11819202310303132353839404148111518202831721[[#This Row],[اجمالي الفاتوره]]-Table11819202310303132353839404148111518202831721[[#This Row],[الدفعات]]</f>
        <v>70188.140000000014</v>
      </c>
    </row>
    <row r="320" spans="10:14" s="1" customFormat="1" ht="25.2" customHeight="1" x14ac:dyDescent="0.3">
      <c r="J320" s="1">
        <f>0.03*Table11819202310303132353839404148111518202831721[[#This Row],[النولون]]</f>
        <v>0</v>
      </c>
      <c r="L32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20" s="1">
        <f>N319+Table11819202310303132353839404148111518202831721[[#This Row],[اجمالي الفاتوره]]-Table11819202310303132353839404148111518202831721[[#This Row],[الدفعات]]</f>
        <v>70188.140000000014</v>
      </c>
    </row>
    <row r="321" spans="10:14" s="1" customFormat="1" ht="25.2" customHeight="1" x14ac:dyDescent="0.3">
      <c r="J321" s="1">
        <f>0.03*Table11819202310303132353839404148111518202831721[[#This Row],[النولون]]</f>
        <v>0</v>
      </c>
      <c r="L32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21" s="1">
        <f>N320+Table11819202310303132353839404148111518202831721[[#This Row],[اجمالي الفاتوره]]-Table11819202310303132353839404148111518202831721[[#This Row],[الدفعات]]</f>
        <v>70188.140000000014</v>
      </c>
    </row>
    <row r="322" spans="10:14" s="1" customFormat="1" ht="25.2" customHeight="1" x14ac:dyDescent="0.3">
      <c r="J322" s="1">
        <f>0.03*Table11819202310303132353839404148111518202831721[[#This Row],[النولون]]</f>
        <v>0</v>
      </c>
      <c r="L32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22" s="1">
        <f>N321+Table11819202310303132353839404148111518202831721[[#This Row],[اجمالي الفاتوره]]-Table11819202310303132353839404148111518202831721[[#This Row],[الدفعات]]</f>
        <v>70188.140000000014</v>
      </c>
    </row>
    <row r="323" spans="10:14" s="1" customFormat="1" ht="25.2" customHeight="1" x14ac:dyDescent="0.3">
      <c r="J323" s="1">
        <f>0.03*Table11819202310303132353839404148111518202831721[[#This Row],[النولون]]</f>
        <v>0</v>
      </c>
      <c r="L32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23" s="1">
        <f>N322+Table11819202310303132353839404148111518202831721[[#This Row],[اجمالي الفاتوره]]-Table11819202310303132353839404148111518202831721[[#This Row],[الدفعات]]</f>
        <v>70188.140000000014</v>
      </c>
    </row>
    <row r="324" spans="10:14" s="1" customFormat="1" ht="25.2" customHeight="1" x14ac:dyDescent="0.3">
      <c r="J324" s="1">
        <f>0.03*Table11819202310303132353839404148111518202831721[[#This Row],[النولون]]</f>
        <v>0</v>
      </c>
      <c r="L32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24" s="1">
        <f>N323+Table11819202310303132353839404148111518202831721[[#This Row],[اجمالي الفاتوره]]-Table11819202310303132353839404148111518202831721[[#This Row],[الدفعات]]</f>
        <v>70188.140000000014</v>
      </c>
    </row>
    <row r="325" spans="10:14" s="1" customFormat="1" ht="25.2" customHeight="1" x14ac:dyDescent="0.3">
      <c r="J325" s="1">
        <f>0.03*Table11819202310303132353839404148111518202831721[[#This Row],[النولون]]</f>
        <v>0</v>
      </c>
      <c r="L32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25" s="1">
        <f>N324+Table11819202310303132353839404148111518202831721[[#This Row],[اجمالي الفاتوره]]-Table11819202310303132353839404148111518202831721[[#This Row],[الدفعات]]</f>
        <v>70188.140000000014</v>
      </c>
    </row>
    <row r="326" spans="10:14" s="1" customFormat="1" ht="25.2" customHeight="1" x14ac:dyDescent="0.3">
      <c r="J326" s="1">
        <f>0.03*Table11819202310303132353839404148111518202831721[[#This Row],[النولون]]</f>
        <v>0</v>
      </c>
      <c r="L32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26" s="1">
        <f>N325+Table11819202310303132353839404148111518202831721[[#This Row],[اجمالي الفاتوره]]-Table11819202310303132353839404148111518202831721[[#This Row],[الدفعات]]</f>
        <v>70188.140000000014</v>
      </c>
    </row>
    <row r="327" spans="10:14" s="1" customFormat="1" ht="25.2" customHeight="1" x14ac:dyDescent="0.3">
      <c r="J327" s="1">
        <f>0.03*Table11819202310303132353839404148111518202831721[[#This Row],[النولون]]</f>
        <v>0</v>
      </c>
      <c r="L32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27" s="1">
        <f>N326+Table11819202310303132353839404148111518202831721[[#This Row],[اجمالي الفاتوره]]-Table11819202310303132353839404148111518202831721[[#This Row],[الدفعات]]</f>
        <v>70188.140000000014</v>
      </c>
    </row>
    <row r="328" spans="10:14" s="1" customFormat="1" ht="25.2" customHeight="1" x14ac:dyDescent="0.3">
      <c r="J328" s="1">
        <f>0.03*Table11819202310303132353839404148111518202831721[[#This Row],[النولون]]</f>
        <v>0</v>
      </c>
      <c r="L32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28" s="1">
        <f>N327+Table11819202310303132353839404148111518202831721[[#This Row],[اجمالي الفاتوره]]-Table11819202310303132353839404148111518202831721[[#This Row],[الدفعات]]</f>
        <v>70188.140000000014</v>
      </c>
    </row>
    <row r="329" spans="10:14" s="1" customFormat="1" ht="25.2" customHeight="1" x14ac:dyDescent="0.3">
      <c r="J329" s="1">
        <f>0.03*Table11819202310303132353839404148111518202831721[[#This Row],[النولون]]</f>
        <v>0</v>
      </c>
      <c r="L329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29" s="1">
        <f>N328+Table11819202310303132353839404148111518202831721[[#This Row],[اجمالي الفاتوره]]-Table11819202310303132353839404148111518202831721[[#This Row],[الدفعات]]</f>
        <v>70188.140000000014</v>
      </c>
    </row>
    <row r="330" spans="10:14" s="1" customFormat="1" ht="25.2" customHeight="1" x14ac:dyDescent="0.3">
      <c r="J330" s="1">
        <f>0.03*Table11819202310303132353839404148111518202831721[[#This Row],[النولون]]</f>
        <v>0</v>
      </c>
      <c r="L330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30" s="1">
        <f>N329+Table11819202310303132353839404148111518202831721[[#This Row],[اجمالي الفاتوره]]-Table11819202310303132353839404148111518202831721[[#This Row],[الدفعات]]</f>
        <v>70188.140000000014</v>
      </c>
    </row>
    <row r="331" spans="10:14" s="1" customFormat="1" ht="25.2" customHeight="1" x14ac:dyDescent="0.3">
      <c r="J331" s="1">
        <f>0.03*Table11819202310303132353839404148111518202831721[[#This Row],[النولون]]</f>
        <v>0</v>
      </c>
      <c r="L331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31" s="1">
        <f>N330+Table11819202310303132353839404148111518202831721[[#This Row],[اجمالي الفاتوره]]-Table11819202310303132353839404148111518202831721[[#This Row],[الدفعات]]</f>
        <v>70188.140000000014</v>
      </c>
    </row>
    <row r="332" spans="10:14" s="1" customFormat="1" ht="25.2" customHeight="1" x14ac:dyDescent="0.3">
      <c r="J332" s="1">
        <f>0.03*Table11819202310303132353839404148111518202831721[[#This Row],[النولون]]</f>
        <v>0</v>
      </c>
      <c r="L332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32" s="1">
        <f>N331+Table11819202310303132353839404148111518202831721[[#This Row],[اجمالي الفاتوره]]-Table11819202310303132353839404148111518202831721[[#This Row],[الدفعات]]</f>
        <v>70188.140000000014</v>
      </c>
    </row>
    <row r="333" spans="10:14" s="1" customFormat="1" ht="25.2" customHeight="1" x14ac:dyDescent="0.3">
      <c r="J333" s="1">
        <f>0.03*Table11819202310303132353839404148111518202831721[[#This Row],[النولون]]</f>
        <v>0</v>
      </c>
      <c r="L333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33" s="1">
        <f>N332+Table11819202310303132353839404148111518202831721[[#This Row],[اجمالي الفاتوره]]-Table11819202310303132353839404148111518202831721[[#This Row],[الدفعات]]</f>
        <v>70188.140000000014</v>
      </c>
    </row>
    <row r="334" spans="10:14" s="1" customFormat="1" ht="25.2" customHeight="1" x14ac:dyDescent="0.3">
      <c r="J334" s="1">
        <f>0.03*Table11819202310303132353839404148111518202831721[[#This Row],[النولون]]</f>
        <v>0</v>
      </c>
      <c r="L334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34" s="1">
        <f>N333+Table11819202310303132353839404148111518202831721[[#This Row],[اجمالي الفاتوره]]-Table11819202310303132353839404148111518202831721[[#This Row],[الدفعات]]</f>
        <v>70188.140000000014</v>
      </c>
    </row>
    <row r="335" spans="10:14" s="1" customFormat="1" ht="25.2" customHeight="1" x14ac:dyDescent="0.3">
      <c r="J335" s="1">
        <f>0.03*Table11819202310303132353839404148111518202831721[[#This Row],[النولون]]</f>
        <v>0</v>
      </c>
      <c r="L335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35" s="1">
        <f>N334+Table11819202310303132353839404148111518202831721[[#This Row],[اجمالي الفاتوره]]-Table11819202310303132353839404148111518202831721[[#This Row],[الدفعات]]</f>
        <v>70188.140000000014</v>
      </c>
    </row>
    <row r="336" spans="10:14" s="1" customFormat="1" ht="25.2" customHeight="1" x14ac:dyDescent="0.3">
      <c r="J336" s="1">
        <f>0.03*Table11819202310303132353839404148111518202831721[[#This Row],[النولون]]</f>
        <v>0</v>
      </c>
      <c r="L336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36" s="1">
        <f>N335+Table11819202310303132353839404148111518202831721[[#This Row],[اجمالي الفاتوره]]-Table11819202310303132353839404148111518202831721[[#This Row],[الدفعات]]</f>
        <v>70188.140000000014</v>
      </c>
    </row>
    <row r="337" spans="10:14" s="1" customFormat="1" ht="25.2" customHeight="1" x14ac:dyDescent="0.3">
      <c r="J337" s="1">
        <f>0.03*Table11819202310303132353839404148111518202831721[[#This Row],[النولون]]</f>
        <v>0</v>
      </c>
      <c r="L337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37" s="1">
        <f>N336+Table11819202310303132353839404148111518202831721[[#This Row],[اجمالي الفاتوره]]-Table11819202310303132353839404148111518202831721[[#This Row],[الدفعات]]</f>
        <v>70188.140000000014</v>
      </c>
    </row>
    <row r="338" spans="10:14" s="1" customFormat="1" ht="25.2" customHeight="1" x14ac:dyDescent="0.3">
      <c r="J338" s="1">
        <f>0.03*Table11819202310303132353839404148111518202831721[[#This Row],[النولون]]</f>
        <v>0</v>
      </c>
      <c r="L338" s="1">
        <f>Table11819202310303132353839404148111518202831721[[#This Row],[النولون]]+Table11819202310303132353839404148111518202831721[[#This Row],[الايصالات]]-Table11819202310303132353839404148111518202831721[[#This Row],[خصم أ ت ص]]+Table11819202310303132353839404148111518202831721[[#This Row],[قيمة مضافة]]</f>
        <v>0</v>
      </c>
      <c r="N338" s="1">
        <f>N337+Table11819202310303132353839404148111518202831721[[#This Row],[اجمالي الفاتوره]]-Table11819202310303132353839404148111518202831721[[#This Row],[الدفعات]]</f>
        <v>70188.140000000014</v>
      </c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CCE43-FB8E-4EF0-9910-4E0BAD691C8C}">
  <dimension ref="A1:O338"/>
  <sheetViews>
    <sheetView rightToLeft="1" workbookViewId="0">
      <selection activeCell="J4" sqref="J4"/>
    </sheetView>
  </sheetViews>
  <sheetFormatPr defaultColWidth="9.109375" defaultRowHeight="15.6" x14ac:dyDescent="0.3"/>
  <cols>
    <col min="1" max="1" width="5.44140625" style="6" customWidth="1"/>
    <col min="2" max="2" width="5.44140625" style="1" customWidth="1"/>
    <col min="3" max="3" width="11" style="1" customWidth="1"/>
    <col min="4" max="4" width="15.109375" style="1" customWidth="1"/>
    <col min="5" max="5" width="11.21875" style="1" customWidth="1"/>
    <col min="6" max="6" width="13.33203125" style="1" customWidth="1"/>
    <col min="7" max="7" width="11.88671875" style="1" customWidth="1"/>
    <col min="8" max="8" width="11.6640625" style="1" customWidth="1"/>
    <col min="9" max="9" width="8.33203125" style="1" customWidth="1"/>
    <col min="10" max="10" width="8.21875" style="1" customWidth="1"/>
    <col min="11" max="11" width="10.77734375" style="1" customWidth="1"/>
    <col min="12" max="12" width="12" style="1" customWidth="1"/>
    <col min="13" max="13" width="12.77734375" style="1" customWidth="1"/>
    <col min="14" max="14" width="15.21875" style="1" customWidth="1"/>
    <col min="15" max="16384" width="9.109375" style="1"/>
  </cols>
  <sheetData>
    <row r="1" spans="1:15" ht="25.2" customHeight="1" x14ac:dyDescent="0.3">
      <c r="A1" s="6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25.2" customHeight="1" x14ac:dyDescent="0.3">
      <c r="B2" s="1">
        <v>1</v>
      </c>
      <c r="C2" s="2">
        <v>46189</v>
      </c>
      <c r="D2" s="1" t="s">
        <v>321</v>
      </c>
      <c r="E2" s="1" t="s">
        <v>96</v>
      </c>
      <c r="F2" s="1">
        <v>276905</v>
      </c>
      <c r="G2" s="1" t="s">
        <v>621</v>
      </c>
      <c r="H2" s="1">
        <f>16*15300+6*16500+2*8000</f>
        <v>359800</v>
      </c>
      <c r="K2" s="1">
        <f>850*2+810+120+18*1135+1100*4+1105+105.79*14+333.68+359.44+362.27+708.04+397.15+397.15+734.97+410.92+403.42+408.09+726.23+675.55+420.63+420.63+769.44+406.86+402.8+641.4+679.17+690.12+348.4+769.44+564.97+397.15+100+350+1370+1370+4790+1182.64+200+3*3500+24*250+1000</f>
        <v>69336.62000000001</v>
      </c>
      <c r="L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429136.62</v>
      </c>
      <c r="N2" s="1">
        <f>Table1181920231030313235383940414811151820283172126[[#This Row],[اجمالي الفاتوره]]-Table1181920231030313235383940414811151820283172126[[#This Row],[الدفعات]]</f>
        <v>429136.62</v>
      </c>
    </row>
    <row r="3" spans="1:15" ht="25.2" customHeight="1" x14ac:dyDescent="0.3">
      <c r="A3" s="74"/>
      <c r="B3" s="72"/>
      <c r="C3" s="73">
        <v>46186</v>
      </c>
      <c r="D3" s="72"/>
      <c r="E3" s="72"/>
      <c r="F3" s="72"/>
      <c r="G3" s="72"/>
      <c r="H3" s="72"/>
      <c r="I3" s="72"/>
      <c r="J3" s="72"/>
      <c r="K3" s="72"/>
      <c r="L3" s="72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M3" s="72">
        <v>265000</v>
      </c>
      <c r="N3" s="72">
        <f>N2+Table1181920231030313235383940414811151820283172126[[#This Row],[اجمالي الفاتوره]]-Table1181920231030313235383940414811151820283172126[[#This Row],[الدفعات]]</f>
        <v>164136.62</v>
      </c>
    </row>
    <row r="4" spans="1:15" ht="25.2" customHeight="1" x14ac:dyDescent="0.3">
      <c r="A4" s="89"/>
      <c r="B4" s="72"/>
      <c r="C4" s="73">
        <v>46204</v>
      </c>
      <c r="D4" s="72"/>
      <c r="E4" s="72"/>
      <c r="F4" s="72"/>
      <c r="G4" s="72"/>
      <c r="H4" s="72"/>
      <c r="I4" s="72"/>
      <c r="J4" s="72"/>
      <c r="K4" s="72"/>
      <c r="L4" s="72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M4" s="72">
        <v>100000</v>
      </c>
      <c r="N4" s="72">
        <f>N3+Table1181920231030313235383940414811151820283172126[[#This Row],[اجمالي الفاتوره]]-Table1181920231030313235383940414811151820283172126[[#This Row],[الدفعات]]</f>
        <v>64136.619999999995</v>
      </c>
    </row>
    <row r="5" spans="1:15" ht="25.2" customHeight="1" x14ac:dyDescent="0.3">
      <c r="C5" s="2"/>
      <c r="L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5" s="1">
        <f>N4+Table1181920231030313235383940414811151820283172126[[#This Row],[اجمالي الفاتوره]]-Table1181920231030313235383940414811151820283172126[[#This Row],[الدفعات]]</f>
        <v>64136.619999999995</v>
      </c>
    </row>
    <row r="6" spans="1:15" ht="25.2" customHeight="1" x14ac:dyDescent="0.3">
      <c r="C6" s="2"/>
      <c r="L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6" s="1">
        <f>N5+Table1181920231030313235383940414811151820283172126[[#This Row],[اجمالي الفاتوره]]-Table1181920231030313235383940414811151820283172126[[#This Row],[الدفعات]]</f>
        <v>64136.619999999995</v>
      </c>
    </row>
    <row r="7" spans="1:15" ht="25.2" customHeight="1" x14ac:dyDescent="0.3">
      <c r="C7" s="2"/>
      <c r="L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7" s="1">
        <f>N6+Table1181920231030313235383940414811151820283172126[[#This Row],[اجمالي الفاتوره]]-Table1181920231030313235383940414811151820283172126[[#This Row],[الدفعات]]</f>
        <v>64136.619999999995</v>
      </c>
    </row>
    <row r="8" spans="1:15" ht="25.2" customHeight="1" x14ac:dyDescent="0.3">
      <c r="C8" s="2"/>
      <c r="G8" s="20"/>
      <c r="L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8" s="1">
        <f>N7+Table1181920231030313235383940414811151820283172126[[#This Row],[اجمالي الفاتوره]]-Table1181920231030313235383940414811151820283172126[[#This Row],[الدفعات]]</f>
        <v>64136.619999999995</v>
      </c>
    </row>
    <row r="9" spans="1:15" ht="25.2" customHeight="1" x14ac:dyDescent="0.3">
      <c r="C9" s="2"/>
      <c r="E9" s="20"/>
      <c r="F9" s="20"/>
      <c r="L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9" s="1">
        <f>N8+Table1181920231030313235383940414811151820283172126[[#This Row],[اجمالي الفاتوره]]-Table1181920231030313235383940414811151820283172126[[#This Row],[الدفعات]]</f>
        <v>64136.619999999995</v>
      </c>
    </row>
    <row r="10" spans="1:15" ht="25.2" customHeight="1" x14ac:dyDescent="0.3">
      <c r="C10" s="2"/>
      <c r="F10" s="20"/>
      <c r="L1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0" s="1">
        <f>N9+Table1181920231030313235383940414811151820283172126[[#This Row],[اجمالي الفاتوره]]-Table1181920231030313235383940414811151820283172126[[#This Row],[الدفعات]]</f>
        <v>64136.619999999995</v>
      </c>
    </row>
    <row r="11" spans="1:15" ht="25.2" customHeight="1" x14ac:dyDescent="0.3">
      <c r="C11" s="2"/>
      <c r="F11" s="20"/>
      <c r="L1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1" s="1">
        <f>N10+Table1181920231030313235383940414811151820283172126[[#This Row],[اجمالي الفاتوره]]-Table1181920231030313235383940414811151820283172126[[#This Row],[الدفعات]]</f>
        <v>64136.619999999995</v>
      </c>
    </row>
    <row r="12" spans="1:15" ht="25.2" customHeight="1" x14ac:dyDescent="0.3">
      <c r="C12" s="2"/>
      <c r="L1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2" s="1">
        <f>N11+Table1181920231030313235383940414811151820283172126[[#This Row],[اجمالي الفاتوره]]-Table1181920231030313235383940414811151820283172126[[#This Row],[الدفعات]]</f>
        <v>64136.619999999995</v>
      </c>
      <c r="O12" s="1">
        <f>SUM(L:L)-SUM(M:M)</f>
        <v>64136.619999999995</v>
      </c>
    </row>
    <row r="13" spans="1:15" ht="25.2" customHeight="1" x14ac:dyDescent="0.3">
      <c r="C13" s="2"/>
      <c r="L1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3" s="1">
        <f>N12+Table1181920231030313235383940414811151820283172126[[#This Row],[اجمالي الفاتوره]]-Table1181920231030313235383940414811151820283172126[[#This Row],[الدفعات]]</f>
        <v>64136.619999999995</v>
      </c>
    </row>
    <row r="14" spans="1:15" ht="25.2" customHeight="1" x14ac:dyDescent="0.3">
      <c r="C14" s="2"/>
      <c r="L1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4" s="1">
        <f>N13+Table1181920231030313235383940414811151820283172126[[#This Row],[اجمالي الفاتوره]]-Table1181920231030313235383940414811151820283172126[[#This Row],[الدفعات]]</f>
        <v>64136.619999999995</v>
      </c>
    </row>
    <row r="15" spans="1:15" ht="25.2" customHeight="1" x14ac:dyDescent="0.3">
      <c r="C15" s="2"/>
      <c r="L1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5" s="1">
        <f>N14+Table1181920231030313235383940414811151820283172126[[#This Row],[اجمالي الفاتوره]]-Table1181920231030313235383940414811151820283172126[[#This Row],[الدفعات]]</f>
        <v>64136.619999999995</v>
      </c>
    </row>
    <row r="16" spans="1:15" ht="25.2" customHeight="1" x14ac:dyDescent="0.3">
      <c r="C16" s="2"/>
      <c r="L1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6" s="1">
        <f>N15+Table1181920231030313235383940414811151820283172126[[#This Row],[اجمالي الفاتوره]]-Table1181920231030313235383940414811151820283172126[[#This Row],[الدفعات]]</f>
        <v>64136.619999999995</v>
      </c>
    </row>
    <row r="17" spans="3:14" s="1" customFormat="1" ht="25.2" customHeight="1" x14ac:dyDescent="0.3">
      <c r="C17" s="2"/>
      <c r="L1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7" s="1">
        <f>N16+Table1181920231030313235383940414811151820283172126[[#This Row],[اجمالي الفاتوره]]-Table1181920231030313235383940414811151820283172126[[#This Row],[الدفعات]]</f>
        <v>64136.619999999995</v>
      </c>
    </row>
    <row r="18" spans="3:14" s="1" customFormat="1" ht="25.2" customHeight="1" x14ac:dyDescent="0.3">
      <c r="C18" s="2"/>
      <c r="L1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8" s="1">
        <f>N17+Table1181920231030313235383940414811151820283172126[[#This Row],[اجمالي الفاتوره]]-Table1181920231030313235383940414811151820283172126[[#This Row],[الدفعات]]</f>
        <v>64136.619999999995</v>
      </c>
    </row>
    <row r="19" spans="3:14" s="1" customFormat="1" ht="25.2" customHeight="1" x14ac:dyDescent="0.3">
      <c r="C19" s="2"/>
      <c r="L1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9" s="1">
        <f>N18+Table1181920231030313235383940414811151820283172126[[#This Row],[اجمالي الفاتوره]]-Table1181920231030313235383940414811151820283172126[[#This Row],[الدفعات]]</f>
        <v>64136.619999999995</v>
      </c>
    </row>
    <row r="20" spans="3:14" s="1" customFormat="1" ht="25.2" customHeight="1" x14ac:dyDescent="0.3">
      <c r="C20" s="2"/>
      <c r="L2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0" s="1">
        <f>N19+Table1181920231030313235383940414811151820283172126[[#This Row],[اجمالي الفاتوره]]-Table1181920231030313235383940414811151820283172126[[#This Row],[الدفعات]]</f>
        <v>64136.619999999995</v>
      </c>
    </row>
    <row r="21" spans="3:14" s="1" customFormat="1" ht="25.2" customHeight="1" x14ac:dyDescent="0.3">
      <c r="C21" s="2"/>
      <c r="L2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1" s="1">
        <f>N20+Table1181920231030313235383940414811151820283172126[[#This Row],[اجمالي الفاتوره]]-Table1181920231030313235383940414811151820283172126[[#This Row],[الدفعات]]</f>
        <v>64136.619999999995</v>
      </c>
    </row>
    <row r="22" spans="3:14" s="1" customFormat="1" ht="25.2" customHeight="1" x14ac:dyDescent="0.3">
      <c r="C22" s="2"/>
      <c r="L2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2" s="1">
        <f>N21+Table1181920231030313235383940414811151820283172126[[#This Row],[اجمالي الفاتوره]]-Table1181920231030313235383940414811151820283172126[[#This Row],[الدفعات]]</f>
        <v>64136.619999999995</v>
      </c>
    </row>
    <row r="23" spans="3:14" s="1" customFormat="1" ht="25.2" customHeight="1" x14ac:dyDescent="0.3">
      <c r="C23" s="2"/>
      <c r="L2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3" s="1">
        <f>N22+Table1181920231030313235383940414811151820283172126[[#This Row],[اجمالي الفاتوره]]-Table1181920231030313235383940414811151820283172126[[#This Row],[الدفعات]]</f>
        <v>64136.619999999995</v>
      </c>
    </row>
    <row r="24" spans="3:14" s="1" customFormat="1" ht="25.2" customHeight="1" x14ac:dyDescent="0.3">
      <c r="L2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4" s="1">
        <f>N23+Table1181920231030313235383940414811151820283172126[[#This Row],[اجمالي الفاتوره]]-Table1181920231030313235383940414811151820283172126[[#This Row],[الدفعات]]</f>
        <v>64136.619999999995</v>
      </c>
    </row>
    <row r="25" spans="3:14" s="1" customFormat="1" ht="25.2" customHeight="1" x14ac:dyDescent="0.3">
      <c r="L2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5" s="1">
        <f>N24+Table1181920231030313235383940414811151820283172126[[#This Row],[اجمالي الفاتوره]]-Table1181920231030313235383940414811151820283172126[[#This Row],[الدفعات]]</f>
        <v>64136.619999999995</v>
      </c>
    </row>
    <row r="26" spans="3:14" s="1" customFormat="1" ht="25.2" customHeight="1" x14ac:dyDescent="0.3">
      <c r="C26" s="2"/>
      <c r="L2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6" s="1">
        <f>N25+Table1181920231030313235383940414811151820283172126[[#This Row],[اجمالي الفاتوره]]-Table1181920231030313235383940414811151820283172126[[#This Row],[الدفعات]]</f>
        <v>64136.619999999995</v>
      </c>
    </row>
    <row r="27" spans="3:14" s="1" customFormat="1" ht="25.2" customHeight="1" x14ac:dyDescent="0.3">
      <c r="C27" s="2"/>
      <c r="L2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7" s="1">
        <f>N26+Table1181920231030313235383940414811151820283172126[[#This Row],[اجمالي الفاتوره]]-Table1181920231030313235383940414811151820283172126[[#This Row],[الدفعات]]</f>
        <v>64136.619999999995</v>
      </c>
    </row>
    <row r="28" spans="3:14" s="1" customFormat="1" ht="25.2" customHeight="1" x14ac:dyDescent="0.3">
      <c r="C28" s="2"/>
      <c r="L2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8" s="1">
        <f>N27+Table1181920231030313235383940414811151820283172126[[#This Row],[اجمالي الفاتوره]]-Table1181920231030313235383940414811151820283172126[[#This Row],[الدفعات]]</f>
        <v>64136.619999999995</v>
      </c>
    </row>
    <row r="29" spans="3:14" s="1" customFormat="1" ht="25.2" customHeight="1" x14ac:dyDescent="0.3">
      <c r="C29" s="2"/>
      <c r="L2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9" s="1">
        <f>N28+Table1181920231030313235383940414811151820283172126[[#This Row],[اجمالي الفاتوره]]-Table1181920231030313235383940414811151820283172126[[#This Row],[الدفعات]]</f>
        <v>64136.619999999995</v>
      </c>
    </row>
    <row r="30" spans="3:14" s="1" customFormat="1" ht="25.2" customHeight="1" x14ac:dyDescent="0.3">
      <c r="L3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0" s="1">
        <f>N29+Table1181920231030313235383940414811151820283172126[[#This Row],[اجمالي الفاتوره]]-Table1181920231030313235383940414811151820283172126[[#This Row],[الدفعات]]</f>
        <v>64136.619999999995</v>
      </c>
    </row>
    <row r="31" spans="3:14" s="1" customFormat="1" ht="25.2" customHeight="1" x14ac:dyDescent="0.3">
      <c r="C31" s="2"/>
      <c r="L3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1" s="1">
        <f>N30+Table1181920231030313235383940414811151820283172126[[#This Row],[اجمالي الفاتوره]]-Table1181920231030313235383940414811151820283172126[[#This Row],[الدفعات]]</f>
        <v>64136.619999999995</v>
      </c>
    </row>
    <row r="32" spans="3:14" s="1" customFormat="1" ht="25.2" customHeight="1" x14ac:dyDescent="0.3">
      <c r="L3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2" s="1">
        <f>N31+Table1181920231030313235383940414811151820283172126[[#This Row],[اجمالي الفاتوره]]-Table1181920231030313235383940414811151820283172126[[#This Row],[الدفعات]]</f>
        <v>64136.619999999995</v>
      </c>
    </row>
    <row r="33" spans="3:14" s="1" customFormat="1" ht="25.2" customHeight="1" x14ac:dyDescent="0.3">
      <c r="L3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3" s="1">
        <f>N32+Table1181920231030313235383940414811151820283172126[[#This Row],[اجمالي الفاتوره]]-Table1181920231030313235383940414811151820283172126[[#This Row],[الدفعات]]</f>
        <v>64136.619999999995</v>
      </c>
    </row>
    <row r="34" spans="3:14" s="1" customFormat="1" ht="25.2" customHeight="1" x14ac:dyDescent="0.3">
      <c r="L3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4" s="1">
        <f>N33+Table1181920231030313235383940414811151820283172126[[#This Row],[اجمالي الفاتوره]]-Table1181920231030313235383940414811151820283172126[[#This Row],[الدفعات]]</f>
        <v>64136.619999999995</v>
      </c>
    </row>
    <row r="35" spans="3:14" s="1" customFormat="1" ht="25.2" customHeight="1" x14ac:dyDescent="0.3">
      <c r="C35" s="2"/>
      <c r="D35" s="2"/>
      <c r="L3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5" s="1">
        <f>N34+Table1181920231030313235383940414811151820283172126[[#This Row],[اجمالي الفاتوره]]-Table1181920231030313235383940414811151820283172126[[#This Row],[الدفعات]]</f>
        <v>64136.619999999995</v>
      </c>
    </row>
    <row r="36" spans="3:14" s="1" customFormat="1" ht="25.2" customHeight="1" x14ac:dyDescent="0.3">
      <c r="L3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6" s="1">
        <f>N35+Table1181920231030313235383940414811151820283172126[[#This Row],[اجمالي الفاتوره]]-Table1181920231030313235383940414811151820283172126[[#This Row],[الدفعات]]</f>
        <v>64136.619999999995</v>
      </c>
    </row>
    <row r="37" spans="3:14" s="1" customFormat="1" ht="25.2" customHeight="1" x14ac:dyDescent="0.3">
      <c r="L3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7" s="1">
        <f>N36+Table1181920231030313235383940414811151820283172126[[#This Row],[اجمالي الفاتوره]]-Table1181920231030313235383940414811151820283172126[[#This Row],[الدفعات]]</f>
        <v>64136.619999999995</v>
      </c>
    </row>
    <row r="38" spans="3:14" s="1" customFormat="1" ht="25.2" customHeight="1" x14ac:dyDescent="0.3">
      <c r="L3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8" s="1">
        <f>N37+Table1181920231030313235383940414811151820283172126[[#This Row],[اجمالي الفاتوره]]-Table1181920231030313235383940414811151820283172126[[#This Row],[الدفعات]]</f>
        <v>64136.619999999995</v>
      </c>
    </row>
    <row r="39" spans="3:14" s="1" customFormat="1" ht="25.2" customHeight="1" x14ac:dyDescent="0.3">
      <c r="L3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9" s="1">
        <f>N38+Table1181920231030313235383940414811151820283172126[[#This Row],[اجمالي الفاتوره]]-Table1181920231030313235383940414811151820283172126[[#This Row],[الدفعات]]</f>
        <v>64136.619999999995</v>
      </c>
    </row>
    <row r="40" spans="3:14" s="1" customFormat="1" ht="25.2" customHeight="1" x14ac:dyDescent="0.3">
      <c r="L4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40" s="1">
        <f>N39+Table1181920231030313235383940414811151820283172126[[#This Row],[اجمالي الفاتوره]]-Table1181920231030313235383940414811151820283172126[[#This Row],[الدفعات]]</f>
        <v>64136.619999999995</v>
      </c>
    </row>
    <row r="41" spans="3:14" s="1" customFormat="1" ht="25.2" customHeight="1" x14ac:dyDescent="0.3">
      <c r="L4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41" s="1">
        <f>N40+Table1181920231030313235383940414811151820283172126[[#This Row],[اجمالي الفاتوره]]-Table1181920231030313235383940414811151820283172126[[#This Row],[الدفعات]]</f>
        <v>64136.619999999995</v>
      </c>
    </row>
    <row r="42" spans="3:14" s="1" customFormat="1" ht="25.2" customHeight="1" x14ac:dyDescent="0.3">
      <c r="L4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42" s="1">
        <f>N41+Table1181920231030313235383940414811151820283172126[[#This Row],[اجمالي الفاتوره]]-Table1181920231030313235383940414811151820283172126[[#This Row],[الدفعات]]</f>
        <v>64136.619999999995</v>
      </c>
    </row>
    <row r="43" spans="3:14" s="1" customFormat="1" ht="25.2" customHeight="1" x14ac:dyDescent="0.3">
      <c r="L4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43" s="1">
        <f>N42+Table1181920231030313235383940414811151820283172126[[#This Row],[اجمالي الفاتوره]]-Table1181920231030313235383940414811151820283172126[[#This Row],[الدفعات]]</f>
        <v>64136.619999999995</v>
      </c>
    </row>
    <row r="44" spans="3:14" s="1" customFormat="1" ht="25.2" customHeight="1" x14ac:dyDescent="0.3">
      <c r="L4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44" s="1">
        <f>N43+Table1181920231030313235383940414811151820283172126[[#This Row],[اجمالي الفاتوره]]-Table1181920231030313235383940414811151820283172126[[#This Row],[الدفعات]]</f>
        <v>64136.619999999995</v>
      </c>
    </row>
    <row r="45" spans="3:14" s="1" customFormat="1" ht="25.2" customHeight="1" x14ac:dyDescent="0.3">
      <c r="L4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45" s="1">
        <f>N44+Table1181920231030313235383940414811151820283172126[[#This Row],[اجمالي الفاتوره]]-Table1181920231030313235383940414811151820283172126[[#This Row],[الدفعات]]</f>
        <v>64136.619999999995</v>
      </c>
    </row>
    <row r="46" spans="3:14" s="1" customFormat="1" ht="25.2" customHeight="1" x14ac:dyDescent="0.3">
      <c r="L4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46" s="1">
        <f>N45+Table1181920231030313235383940414811151820283172126[[#This Row],[اجمالي الفاتوره]]-Table1181920231030313235383940414811151820283172126[[#This Row],[الدفعات]]</f>
        <v>64136.619999999995</v>
      </c>
    </row>
    <row r="47" spans="3:14" s="1" customFormat="1" ht="25.2" customHeight="1" x14ac:dyDescent="0.3">
      <c r="L4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47" s="1">
        <f>N46+Table1181920231030313235383940414811151820283172126[[#This Row],[اجمالي الفاتوره]]-Table1181920231030313235383940414811151820283172126[[#This Row],[الدفعات]]</f>
        <v>64136.619999999995</v>
      </c>
    </row>
    <row r="48" spans="3:14" s="1" customFormat="1" ht="25.2" customHeight="1" x14ac:dyDescent="0.3">
      <c r="L4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48" s="1">
        <f>N47+Table1181920231030313235383940414811151820283172126[[#This Row],[اجمالي الفاتوره]]-Table1181920231030313235383940414811151820283172126[[#This Row],[الدفعات]]</f>
        <v>64136.619999999995</v>
      </c>
    </row>
    <row r="49" spans="12:14" s="1" customFormat="1" ht="25.2" customHeight="1" x14ac:dyDescent="0.3">
      <c r="L4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49" s="1">
        <f>N48+Table1181920231030313235383940414811151820283172126[[#This Row],[اجمالي الفاتوره]]-Table1181920231030313235383940414811151820283172126[[#This Row],[الدفعات]]</f>
        <v>64136.619999999995</v>
      </c>
    </row>
    <row r="50" spans="12:14" s="1" customFormat="1" ht="25.2" customHeight="1" x14ac:dyDescent="0.3">
      <c r="L5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50" s="1">
        <f>N49+Table1181920231030313235383940414811151820283172126[[#This Row],[اجمالي الفاتوره]]-Table1181920231030313235383940414811151820283172126[[#This Row],[الدفعات]]</f>
        <v>64136.619999999995</v>
      </c>
    </row>
    <row r="51" spans="12:14" s="1" customFormat="1" ht="25.2" customHeight="1" x14ac:dyDescent="0.3">
      <c r="L5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51" s="1">
        <f>N50+Table1181920231030313235383940414811151820283172126[[#This Row],[اجمالي الفاتوره]]-Table1181920231030313235383940414811151820283172126[[#This Row],[الدفعات]]</f>
        <v>64136.619999999995</v>
      </c>
    </row>
    <row r="52" spans="12:14" s="1" customFormat="1" ht="25.2" customHeight="1" x14ac:dyDescent="0.3">
      <c r="L5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52" s="1">
        <f>N51+Table1181920231030313235383940414811151820283172126[[#This Row],[اجمالي الفاتوره]]-Table1181920231030313235383940414811151820283172126[[#This Row],[الدفعات]]</f>
        <v>64136.619999999995</v>
      </c>
    </row>
    <row r="53" spans="12:14" s="1" customFormat="1" ht="25.2" customHeight="1" x14ac:dyDescent="0.3">
      <c r="L5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53" s="1">
        <f>N52+Table1181920231030313235383940414811151820283172126[[#This Row],[اجمالي الفاتوره]]-Table1181920231030313235383940414811151820283172126[[#This Row],[الدفعات]]</f>
        <v>64136.619999999995</v>
      </c>
    </row>
    <row r="54" spans="12:14" s="1" customFormat="1" ht="25.2" customHeight="1" x14ac:dyDescent="0.3">
      <c r="L5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54" s="1">
        <f>N53+Table1181920231030313235383940414811151820283172126[[#This Row],[اجمالي الفاتوره]]-Table1181920231030313235383940414811151820283172126[[#This Row],[الدفعات]]</f>
        <v>64136.619999999995</v>
      </c>
    </row>
    <row r="55" spans="12:14" s="1" customFormat="1" ht="25.2" customHeight="1" x14ac:dyDescent="0.3">
      <c r="L5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55" s="1">
        <f>N54+Table1181920231030313235383940414811151820283172126[[#This Row],[اجمالي الفاتوره]]-Table1181920231030313235383940414811151820283172126[[#This Row],[الدفعات]]</f>
        <v>64136.619999999995</v>
      </c>
    </row>
    <row r="56" spans="12:14" s="1" customFormat="1" ht="25.2" customHeight="1" x14ac:dyDescent="0.3">
      <c r="L5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56" s="1">
        <f>N55+Table1181920231030313235383940414811151820283172126[[#This Row],[اجمالي الفاتوره]]-Table1181920231030313235383940414811151820283172126[[#This Row],[الدفعات]]</f>
        <v>64136.619999999995</v>
      </c>
    </row>
    <row r="57" spans="12:14" s="1" customFormat="1" ht="25.2" customHeight="1" x14ac:dyDescent="0.3">
      <c r="L5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57" s="1">
        <f>N56+Table1181920231030313235383940414811151820283172126[[#This Row],[اجمالي الفاتوره]]-Table1181920231030313235383940414811151820283172126[[#This Row],[الدفعات]]</f>
        <v>64136.619999999995</v>
      </c>
    </row>
    <row r="58" spans="12:14" s="1" customFormat="1" ht="25.2" customHeight="1" x14ac:dyDescent="0.3">
      <c r="L5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58" s="1">
        <f>N57+Table1181920231030313235383940414811151820283172126[[#This Row],[اجمالي الفاتوره]]-Table1181920231030313235383940414811151820283172126[[#This Row],[الدفعات]]</f>
        <v>64136.619999999995</v>
      </c>
    </row>
    <row r="59" spans="12:14" s="1" customFormat="1" ht="25.2" customHeight="1" x14ac:dyDescent="0.3">
      <c r="L5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59" s="1">
        <f>N58+Table1181920231030313235383940414811151820283172126[[#This Row],[اجمالي الفاتوره]]-Table1181920231030313235383940414811151820283172126[[#This Row],[الدفعات]]</f>
        <v>64136.619999999995</v>
      </c>
    </row>
    <row r="60" spans="12:14" s="1" customFormat="1" ht="25.2" customHeight="1" x14ac:dyDescent="0.3">
      <c r="L6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60" s="1">
        <f>N59+Table1181920231030313235383940414811151820283172126[[#This Row],[اجمالي الفاتوره]]-Table1181920231030313235383940414811151820283172126[[#This Row],[الدفعات]]</f>
        <v>64136.619999999995</v>
      </c>
    </row>
    <row r="61" spans="12:14" s="1" customFormat="1" ht="25.2" customHeight="1" x14ac:dyDescent="0.3">
      <c r="L6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61" s="1">
        <f>N60+Table1181920231030313235383940414811151820283172126[[#This Row],[اجمالي الفاتوره]]-Table1181920231030313235383940414811151820283172126[[#This Row],[الدفعات]]</f>
        <v>64136.619999999995</v>
      </c>
    </row>
    <row r="62" spans="12:14" s="1" customFormat="1" ht="25.2" customHeight="1" x14ac:dyDescent="0.3">
      <c r="L6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62" s="1">
        <f>N61+Table1181920231030313235383940414811151820283172126[[#This Row],[اجمالي الفاتوره]]-Table1181920231030313235383940414811151820283172126[[#This Row],[الدفعات]]</f>
        <v>64136.619999999995</v>
      </c>
    </row>
    <row r="63" spans="12:14" s="1" customFormat="1" ht="25.2" customHeight="1" x14ac:dyDescent="0.3">
      <c r="L6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63" s="1">
        <f>N62+Table1181920231030313235383940414811151820283172126[[#This Row],[اجمالي الفاتوره]]-Table1181920231030313235383940414811151820283172126[[#This Row],[الدفعات]]</f>
        <v>64136.619999999995</v>
      </c>
    </row>
    <row r="64" spans="12:14" s="1" customFormat="1" ht="25.2" customHeight="1" x14ac:dyDescent="0.3">
      <c r="L6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64" s="1">
        <f>N63+Table1181920231030313235383940414811151820283172126[[#This Row],[اجمالي الفاتوره]]-Table1181920231030313235383940414811151820283172126[[#This Row],[الدفعات]]</f>
        <v>64136.619999999995</v>
      </c>
    </row>
    <row r="65" spans="12:14" s="1" customFormat="1" ht="25.2" customHeight="1" x14ac:dyDescent="0.3">
      <c r="L6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65" s="1">
        <f>N64+Table1181920231030313235383940414811151820283172126[[#This Row],[اجمالي الفاتوره]]-Table1181920231030313235383940414811151820283172126[[#This Row],[الدفعات]]</f>
        <v>64136.619999999995</v>
      </c>
    </row>
    <row r="66" spans="12:14" s="1" customFormat="1" ht="25.2" customHeight="1" x14ac:dyDescent="0.3">
      <c r="L6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66" s="1">
        <f>N65+Table1181920231030313235383940414811151820283172126[[#This Row],[اجمالي الفاتوره]]-Table1181920231030313235383940414811151820283172126[[#This Row],[الدفعات]]</f>
        <v>64136.619999999995</v>
      </c>
    </row>
    <row r="67" spans="12:14" s="1" customFormat="1" ht="25.2" customHeight="1" x14ac:dyDescent="0.3">
      <c r="L6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67" s="1">
        <f>N66+Table1181920231030313235383940414811151820283172126[[#This Row],[اجمالي الفاتوره]]-Table1181920231030313235383940414811151820283172126[[#This Row],[الدفعات]]</f>
        <v>64136.619999999995</v>
      </c>
    </row>
    <row r="68" spans="12:14" s="1" customFormat="1" ht="25.2" customHeight="1" x14ac:dyDescent="0.3">
      <c r="L6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68" s="1">
        <f>N67+Table1181920231030313235383940414811151820283172126[[#This Row],[اجمالي الفاتوره]]-Table1181920231030313235383940414811151820283172126[[#This Row],[الدفعات]]</f>
        <v>64136.619999999995</v>
      </c>
    </row>
    <row r="69" spans="12:14" s="1" customFormat="1" ht="25.2" customHeight="1" x14ac:dyDescent="0.3">
      <c r="L6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69" s="1">
        <f>N68+Table1181920231030313235383940414811151820283172126[[#This Row],[اجمالي الفاتوره]]-Table1181920231030313235383940414811151820283172126[[#This Row],[الدفعات]]</f>
        <v>64136.619999999995</v>
      </c>
    </row>
    <row r="70" spans="12:14" s="1" customFormat="1" ht="25.2" customHeight="1" x14ac:dyDescent="0.3">
      <c r="L7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70" s="1">
        <f>N69+Table1181920231030313235383940414811151820283172126[[#This Row],[اجمالي الفاتوره]]-Table1181920231030313235383940414811151820283172126[[#This Row],[الدفعات]]</f>
        <v>64136.619999999995</v>
      </c>
    </row>
    <row r="71" spans="12:14" s="1" customFormat="1" ht="25.2" customHeight="1" x14ac:dyDescent="0.3">
      <c r="L7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71" s="1">
        <f>N70+Table1181920231030313235383940414811151820283172126[[#This Row],[اجمالي الفاتوره]]-Table1181920231030313235383940414811151820283172126[[#This Row],[الدفعات]]</f>
        <v>64136.619999999995</v>
      </c>
    </row>
    <row r="72" spans="12:14" s="1" customFormat="1" ht="25.2" customHeight="1" x14ac:dyDescent="0.3">
      <c r="L7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72" s="1">
        <f>N71+Table1181920231030313235383940414811151820283172126[[#This Row],[اجمالي الفاتوره]]-Table1181920231030313235383940414811151820283172126[[#This Row],[الدفعات]]</f>
        <v>64136.619999999995</v>
      </c>
    </row>
    <row r="73" spans="12:14" s="1" customFormat="1" ht="25.2" customHeight="1" x14ac:dyDescent="0.3">
      <c r="L7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73" s="1">
        <f>N72+Table1181920231030313235383940414811151820283172126[[#This Row],[اجمالي الفاتوره]]-Table1181920231030313235383940414811151820283172126[[#This Row],[الدفعات]]</f>
        <v>64136.619999999995</v>
      </c>
    </row>
    <row r="74" spans="12:14" s="1" customFormat="1" ht="25.2" customHeight="1" x14ac:dyDescent="0.3">
      <c r="L7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74" s="1">
        <f>N73+Table1181920231030313235383940414811151820283172126[[#This Row],[اجمالي الفاتوره]]-Table1181920231030313235383940414811151820283172126[[#This Row],[الدفعات]]</f>
        <v>64136.619999999995</v>
      </c>
    </row>
    <row r="75" spans="12:14" s="1" customFormat="1" ht="25.2" customHeight="1" x14ac:dyDescent="0.3">
      <c r="L7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75" s="1">
        <f>N74+Table1181920231030313235383940414811151820283172126[[#This Row],[اجمالي الفاتوره]]-Table1181920231030313235383940414811151820283172126[[#This Row],[الدفعات]]</f>
        <v>64136.619999999995</v>
      </c>
    </row>
    <row r="76" spans="12:14" s="1" customFormat="1" ht="25.2" customHeight="1" x14ac:dyDescent="0.3">
      <c r="L7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76" s="1">
        <f>N75+Table1181920231030313235383940414811151820283172126[[#This Row],[اجمالي الفاتوره]]-Table1181920231030313235383940414811151820283172126[[#This Row],[الدفعات]]</f>
        <v>64136.619999999995</v>
      </c>
    </row>
    <row r="77" spans="12:14" s="1" customFormat="1" ht="25.2" customHeight="1" x14ac:dyDescent="0.3">
      <c r="L7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77" s="1">
        <f>N76+Table1181920231030313235383940414811151820283172126[[#This Row],[اجمالي الفاتوره]]-Table1181920231030313235383940414811151820283172126[[#This Row],[الدفعات]]</f>
        <v>64136.619999999995</v>
      </c>
    </row>
    <row r="78" spans="12:14" s="1" customFormat="1" ht="25.2" customHeight="1" x14ac:dyDescent="0.3">
      <c r="L7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78" s="1">
        <f>N77+Table1181920231030313235383940414811151820283172126[[#This Row],[اجمالي الفاتوره]]-Table1181920231030313235383940414811151820283172126[[#This Row],[الدفعات]]</f>
        <v>64136.619999999995</v>
      </c>
    </row>
    <row r="79" spans="12:14" s="1" customFormat="1" ht="25.2" customHeight="1" x14ac:dyDescent="0.3">
      <c r="L7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79" s="1">
        <f>N78+Table1181920231030313235383940414811151820283172126[[#This Row],[اجمالي الفاتوره]]-Table1181920231030313235383940414811151820283172126[[#This Row],[الدفعات]]</f>
        <v>64136.619999999995</v>
      </c>
    </row>
    <row r="80" spans="12:14" s="1" customFormat="1" ht="25.2" customHeight="1" x14ac:dyDescent="0.3">
      <c r="L8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80" s="1">
        <f>N79+Table1181920231030313235383940414811151820283172126[[#This Row],[اجمالي الفاتوره]]-Table1181920231030313235383940414811151820283172126[[#This Row],[الدفعات]]</f>
        <v>64136.619999999995</v>
      </c>
    </row>
    <row r="81" spans="12:14" s="1" customFormat="1" ht="25.2" customHeight="1" x14ac:dyDescent="0.3">
      <c r="L8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81" s="1">
        <f>N80+Table1181920231030313235383940414811151820283172126[[#This Row],[اجمالي الفاتوره]]-Table1181920231030313235383940414811151820283172126[[#This Row],[الدفعات]]</f>
        <v>64136.619999999995</v>
      </c>
    </row>
    <row r="82" spans="12:14" s="1" customFormat="1" ht="25.2" customHeight="1" x14ac:dyDescent="0.3">
      <c r="L8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82" s="1">
        <f>N81+Table1181920231030313235383940414811151820283172126[[#This Row],[اجمالي الفاتوره]]-Table1181920231030313235383940414811151820283172126[[#This Row],[الدفعات]]</f>
        <v>64136.619999999995</v>
      </c>
    </row>
    <row r="83" spans="12:14" s="1" customFormat="1" ht="25.2" customHeight="1" x14ac:dyDescent="0.3">
      <c r="L8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83" s="1">
        <f>N82+Table1181920231030313235383940414811151820283172126[[#This Row],[اجمالي الفاتوره]]-Table1181920231030313235383940414811151820283172126[[#This Row],[الدفعات]]</f>
        <v>64136.619999999995</v>
      </c>
    </row>
    <row r="84" spans="12:14" s="1" customFormat="1" ht="25.2" customHeight="1" x14ac:dyDescent="0.3">
      <c r="L8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84" s="1">
        <f>N83+Table1181920231030313235383940414811151820283172126[[#This Row],[اجمالي الفاتوره]]-Table1181920231030313235383940414811151820283172126[[#This Row],[الدفعات]]</f>
        <v>64136.619999999995</v>
      </c>
    </row>
    <row r="85" spans="12:14" s="1" customFormat="1" ht="25.2" customHeight="1" x14ac:dyDescent="0.3">
      <c r="L8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85" s="1">
        <f>N84+Table1181920231030313235383940414811151820283172126[[#This Row],[اجمالي الفاتوره]]-Table1181920231030313235383940414811151820283172126[[#This Row],[الدفعات]]</f>
        <v>64136.619999999995</v>
      </c>
    </row>
    <row r="86" spans="12:14" s="1" customFormat="1" ht="25.2" customHeight="1" x14ac:dyDescent="0.3">
      <c r="L8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86" s="1">
        <f>N85+Table1181920231030313235383940414811151820283172126[[#This Row],[اجمالي الفاتوره]]-Table1181920231030313235383940414811151820283172126[[#This Row],[الدفعات]]</f>
        <v>64136.619999999995</v>
      </c>
    </row>
    <row r="87" spans="12:14" s="1" customFormat="1" ht="25.2" customHeight="1" x14ac:dyDescent="0.3">
      <c r="L8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87" s="1">
        <f>N86+Table1181920231030313235383940414811151820283172126[[#This Row],[اجمالي الفاتوره]]-Table1181920231030313235383940414811151820283172126[[#This Row],[الدفعات]]</f>
        <v>64136.619999999995</v>
      </c>
    </row>
    <row r="88" spans="12:14" s="1" customFormat="1" ht="25.2" customHeight="1" x14ac:dyDescent="0.3">
      <c r="L8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88" s="1">
        <f>N87+Table1181920231030313235383940414811151820283172126[[#This Row],[اجمالي الفاتوره]]-Table1181920231030313235383940414811151820283172126[[#This Row],[الدفعات]]</f>
        <v>64136.619999999995</v>
      </c>
    </row>
    <row r="89" spans="12:14" s="1" customFormat="1" ht="25.2" customHeight="1" x14ac:dyDescent="0.3">
      <c r="L8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89" s="1">
        <f>N88+Table1181920231030313235383940414811151820283172126[[#This Row],[اجمالي الفاتوره]]-Table1181920231030313235383940414811151820283172126[[#This Row],[الدفعات]]</f>
        <v>64136.619999999995</v>
      </c>
    </row>
    <row r="90" spans="12:14" s="1" customFormat="1" ht="25.2" customHeight="1" x14ac:dyDescent="0.3">
      <c r="L9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90" s="1">
        <f>N89+Table1181920231030313235383940414811151820283172126[[#This Row],[اجمالي الفاتوره]]-Table1181920231030313235383940414811151820283172126[[#This Row],[الدفعات]]</f>
        <v>64136.619999999995</v>
      </c>
    </row>
    <row r="91" spans="12:14" s="1" customFormat="1" ht="25.2" customHeight="1" x14ac:dyDescent="0.3">
      <c r="L9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91" s="1">
        <f>N90+Table1181920231030313235383940414811151820283172126[[#This Row],[اجمالي الفاتوره]]-Table1181920231030313235383940414811151820283172126[[#This Row],[الدفعات]]</f>
        <v>64136.619999999995</v>
      </c>
    </row>
    <row r="92" spans="12:14" s="1" customFormat="1" ht="25.2" customHeight="1" x14ac:dyDescent="0.3">
      <c r="L9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92" s="1">
        <f>N91+Table1181920231030313235383940414811151820283172126[[#This Row],[اجمالي الفاتوره]]-Table1181920231030313235383940414811151820283172126[[#This Row],[الدفعات]]</f>
        <v>64136.619999999995</v>
      </c>
    </row>
    <row r="93" spans="12:14" s="1" customFormat="1" ht="25.2" customHeight="1" x14ac:dyDescent="0.3">
      <c r="L9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93" s="1">
        <f>N92+Table1181920231030313235383940414811151820283172126[[#This Row],[اجمالي الفاتوره]]-Table1181920231030313235383940414811151820283172126[[#This Row],[الدفعات]]</f>
        <v>64136.619999999995</v>
      </c>
    </row>
    <row r="94" spans="12:14" s="1" customFormat="1" ht="25.2" customHeight="1" x14ac:dyDescent="0.3">
      <c r="L9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94" s="1">
        <f>N93+Table1181920231030313235383940414811151820283172126[[#This Row],[اجمالي الفاتوره]]-Table1181920231030313235383940414811151820283172126[[#This Row],[الدفعات]]</f>
        <v>64136.619999999995</v>
      </c>
    </row>
    <row r="95" spans="12:14" s="1" customFormat="1" ht="25.2" customHeight="1" x14ac:dyDescent="0.3">
      <c r="L9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95" s="1">
        <f>N94+Table1181920231030313235383940414811151820283172126[[#This Row],[اجمالي الفاتوره]]-Table1181920231030313235383940414811151820283172126[[#This Row],[الدفعات]]</f>
        <v>64136.619999999995</v>
      </c>
    </row>
    <row r="96" spans="12:14" s="1" customFormat="1" ht="25.2" customHeight="1" x14ac:dyDescent="0.3">
      <c r="L9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96" s="1">
        <f>N95+Table1181920231030313235383940414811151820283172126[[#This Row],[اجمالي الفاتوره]]-Table1181920231030313235383940414811151820283172126[[#This Row],[الدفعات]]</f>
        <v>64136.619999999995</v>
      </c>
    </row>
    <row r="97" spans="12:14" s="1" customFormat="1" ht="25.2" customHeight="1" x14ac:dyDescent="0.3">
      <c r="L9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97" s="1">
        <f>N96+Table1181920231030313235383940414811151820283172126[[#This Row],[اجمالي الفاتوره]]-Table1181920231030313235383940414811151820283172126[[#This Row],[الدفعات]]</f>
        <v>64136.619999999995</v>
      </c>
    </row>
    <row r="98" spans="12:14" s="1" customFormat="1" ht="25.2" customHeight="1" x14ac:dyDescent="0.3">
      <c r="L9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98" s="1">
        <f>N97+Table1181920231030313235383940414811151820283172126[[#This Row],[اجمالي الفاتوره]]-Table1181920231030313235383940414811151820283172126[[#This Row],[الدفعات]]</f>
        <v>64136.619999999995</v>
      </c>
    </row>
    <row r="99" spans="12:14" s="1" customFormat="1" ht="25.2" customHeight="1" x14ac:dyDescent="0.3">
      <c r="L9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99" s="1">
        <f>N98+Table1181920231030313235383940414811151820283172126[[#This Row],[اجمالي الفاتوره]]-Table1181920231030313235383940414811151820283172126[[#This Row],[الدفعات]]</f>
        <v>64136.619999999995</v>
      </c>
    </row>
    <row r="100" spans="12:14" s="1" customFormat="1" ht="25.2" customHeight="1" x14ac:dyDescent="0.3">
      <c r="L10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00" s="1">
        <f>N99+Table1181920231030313235383940414811151820283172126[[#This Row],[اجمالي الفاتوره]]-Table1181920231030313235383940414811151820283172126[[#This Row],[الدفعات]]</f>
        <v>64136.619999999995</v>
      </c>
    </row>
    <row r="101" spans="12:14" s="1" customFormat="1" ht="25.2" customHeight="1" x14ac:dyDescent="0.3">
      <c r="L10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01" s="1">
        <f>N100+Table1181920231030313235383940414811151820283172126[[#This Row],[اجمالي الفاتوره]]-Table1181920231030313235383940414811151820283172126[[#This Row],[الدفعات]]</f>
        <v>64136.619999999995</v>
      </c>
    </row>
    <row r="102" spans="12:14" s="1" customFormat="1" ht="25.2" customHeight="1" x14ac:dyDescent="0.3">
      <c r="L10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02" s="1">
        <f>N101+Table1181920231030313235383940414811151820283172126[[#This Row],[اجمالي الفاتوره]]-Table1181920231030313235383940414811151820283172126[[#This Row],[الدفعات]]</f>
        <v>64136.619999999995</v>
      </c>
    </row>
    <row r="103" spans="12:14" s="1" customFormat="1" ht="25.2" customHeight="1" x14ac:dyDescent="0.3">
      <c r="L10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03" s="1">
        <f>N102+Table1181920231030313235383940414811151820283172126[[#This Row],[اجمالي الفاتوره]]-Table1181920231030313235383940414811151820283172126[[#This Row],[الدفعات]]</f>
        <v>64136.619999999995</v>
      </c>
    </row>
    <row r="104" spans="12:14" s="1" customFormat="1" ht="25.2" customHeight="1" x14ac:dyDescent="0.3">
      <c r="L10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04" s="1">
        <f>N103+Table1181920231030313235383940414811151820283172126[[#This Row],[اجمالي الفاتوره]]-Table1181920231030313235383940414811151820283172126[[#This Row],[الدفعات]]</f>
        <v>64136.619999999995</v>
      </c>
    </row>
    <row r="105" spans="12:14" s="1" customFormat="1" ht="25.2" customHeight="1" x14ac:dyDescent="0.3">
      <c r="L10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05" s="1">
        <f>N104+Table1181920231030313235383940414811151820283172126[[#This Row],[اجمالي الفاتوره]]-Table1181920231030313235383940414811151820283172126[[#This Row],[الدفعات]]</f>
        <v>64136.619999999995</v>
      </c>
    </row>
    <row r="106" spans="12:14" s="1" customFormat="1" ht="25.2" customHeight="1" x14ac:dyDescent="0.3">
      <c r="L10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06" s="1">
        <f>N105+Table1181920231030313235383940414811151820283172126[[#This Row],[اجمالي الفاتوره]]-Table1181920231030313235383940414811151820283172126[[#This Row],[الدفعات]]</f>
        <v>64136.619999999995</v>
      </c>
    </row>
    <row r="107" spans="12:14" s="1" customFormat="1" ht="25.2" customHeight="1" x14ac:dyDescent="0.3">
      <c r="L10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07" s="1">
        <f>N106+Table1181920231030313235383940414811151820283172126[[#This Row],[اجمالي الفاتوره]]-Table1181920231030313235383940414811151820283172126[[#This Row],[الدفعات]]</f>
        <v>64136.619999999995</v>
      </c>
    </row>
    <row r="108" spans="12:14" s="1" customFormat="1" ht="25.2" customHeight="1" x14ac:dyDescent="0.3">
      <c r="L10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08" s="1">
        <f>N107+Table1181920231030313235383940414811151820283172126[[#This Row],[اجمالي الفاتوره]]-Table1181920231030313235383940414811151820283172126[[#This Row],[الدفعات]]</f>
        <v>64136.619999999995</v>
      </c>
    </row>
    <row r="109" spans="12:14" s="1" customFormat="1" ht="25.2" customHeight="1" x14ac:dyDescent="0.3">
      <c r="L10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09" s="1">
        <f>N108+Table1181920231030313235383940414811151820283172126[[#This Row],[اجمالي الفاتوره]]-Table1181920231030313235383940414811151820283172126[[#This Row],[الدفعات]]</f>
        <v>64136.619999999995</v>
      </c>
    </row>
    <row r="110" spans="12:14" s="1" customFormat="1" ht="25.2" customHeight="1" x14ac:dyDescent="0.3">
      <c r="L11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10" s="1">
        <f>N109+Table1181920231030313235383940414811151820283172126[[#This Row],[اجمالي الفاتوره]]-Table1181920231030313235383940414811151820283172126[[#This Row],[الدفعات]]</f>
        <v>64136.619999999995</v>
      </c>
    </row>
    <row r="111" spans="12:14" s="1" customFormat="1" ht="25.2" customHeight="1" x14ac:dyDescent="0.3">
      <c r="L11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11" s="1">
        <f>N110+Table1181920231030313235383940414811151820283172126[[#This Row],[اجمالي الفاتوره]]-Table1181920231030313235383940414811151820283172126[[#This Row],[الدفعات]]</f>
        <v>64136.619999999995</v>
      </c>
    </row>
    <row r="112" spans="12:14" s="1" customFormat="1" ht="25.2" customHeight="1" x14ac:dyDescent="0.3">
      <c r="L11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12" s="1">
        <f>N111+Table1181920231030313235383940414811151820283172126[[#This Row],[اجمالي الفاتوره]]-Table1181920231030313235383940414811151820283172126[[#This Row],[الدفعات]]</f>
        <v>64136.619999999995</v>
      </c>
    </row>
    <row r="113" spans="12:14" s="1" customFormat="1" ht="25.2" customHeight="1" x14ac:dyDescent="0.3">
      <c r="L11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13" s="1">
        <f>N112+Table1181920231030313235383940414811151820283172126[[#This Row],[اجمالي الفاتوره]]-Table1181920231030313235383940414811151820283172126[[#This Row],[الدفعات]]</f>
        <v>64136.619999999995</v>
      </c>
    </row>
    <row r="114" spans="12:14" s="1" customFormat="1" ht="25.2" customHeight="1" x14ac:dyDescent="0.3">
      <c r="L11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14" s="1">
        <f>N113+Table1181920231030313235383940414811151820283172126[[#This Row],[اجمالي الفاتوره]]-Table1181920231030313235383940414811151820283172126[[#This Row],[الدفعات]]</f>
        <v>64136.619999999995</v>
      </c>
    </row>
    <row r="115" spans="12:14" s="1" customFormat="1" ht="25.2" customHeight="1" x14ac:dyDescent="0.3">
      <c r="L11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15" s="1">
        <f>N114+Table1181920231030313235383940414811151820283172126[[#This Row],[اجمالي الفاتوره]]-Table1181920231030313235383940414811151820283172126[[#This Row],[الدفعات]]</f>
        <v>64136.619999999995</v>
      </c>
    </row>
    <row r="116" spans="12:14" s="1" customFormat="1" ht="25.2" customHeight="1" x14ac:dyDescent="0.3">
      <c r="L11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16" s="1">
        <f>N115+Table1181920231030313235383940414811151820283172126[[#This Row],[اجمالي الفاتوره]]-Table1181920231030313235383940414811151820283172126[[#This Row],[الدفعات]]</f>
        <v>64136.619999999995</v>
      </c>
    </row>
    <row r="117" spans="12:14" s="1" customFormat="1" ht="25.2" customHeight="1" x14ac:dyDescent="0.3">
      <c r="L11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17" s="1">
        <f>N116+Table1181920231030313235383940414811151820283172126[[#This Row],[اجمالي الفاتوره]]-Table1181920231030313235383940414811151820283172126[[#This Row],[الدفعات]]</f>
        <v>64136.619999999995</v>
      </c>
    </row>
    <row r="118" spans="12:14" s="1" customFormat="1" ht="25.2" customHeight="1" x14ac:dyDescent="0.3">
      <c r="L11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18" s="1">
        <f>N117+Table1181920231030313235383940414811151820283172126[[#This Row],[اجمالي الفاتوره]]-Table1181920231030313235383940414811151820283172126[[#This Row],[الدفعات]]</f>
        <v>64136.619999999995</v>
      </c>
    </row>
    <row r="119" spans="12:14" s="1" customFormat="1" ht="25.2" customHeight="1" x14ac:dyDescent="0.3">
      <c r="L11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19" s="1">
        <f>N118+Table1181920231030313235383940414811151820283172126[[#This Row],[اجمالي الفاتوره]]-Table1181920231030313235383940414811151820283172126[[#This Row],[الدفعات]]</f>
        <v>64136.619999999995</v>
      </c>
    </row>
    <row r="120" spans="12:14" s="1" customFormat="1" ht="25.2" customHeight="1" x14ac:dyDescent="0.3">
      <c r="L12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20" s="1">
        <f>N119+Table1181920231030313235383940414811151820283172126[[#This Row],[اجمالي الفاتوره]]-Table1181920231030313235383940414811151820283172126[[#This Row],[الدفعات]]</f>
        <v>64136.619999999995</v>
      </c>
    </row>
    <row r="121" spans="12:14" s="1" customFormat="1" ht="25.2" customHeight="1" x14ac:dyDescent="0.3">
      <c r="L12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21" s="1">
        <f>N120+Table1181920231030313235383940414811151820283172126[[#This Row],[اجمالي الفاتوره]]-Table1181920231030313235383940414811151820283172126[[#This Row],[الدفعات]]</f>
        <v>64136.619999999995</v>
      </c>
    </row>
    <row r="122" spans="12:14" s="1" customFormat="1" ht="25.2" customHeight="1" x14ac:dyDescent="0.3">
      <c r="L12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22" s="1">
        <f>N121+Table1181920231030313235383940414811151820283172126[[#This Row],[اجمالي الفاتوره]]-Table1181920231030313235383940414811151820283172126[[#This Row],[الدفعات]]</f>
        <v>64136.619999999995</v>
      </c>
    </row>
    <row r="123" spans="12:14" s="1" customFormat="1" ht="25.2" customHeight="1" x14ac:dyDescent="0.3">
      <c r="L12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23" s="1">
        <f>N122+Table1181920231030313235383940414811151820283172126[[#This Row],[اجمالي الفاتوره]]-Table1181920231030313235383940414811151820283172126[[#This Row],[الدفعات]]</f>
        <v>64136.619999999995</v>
      </c>
    </row>
    <row r="124" spans="12:14" s="1" customFormat="1" ht="25.2" customHeight="1" x14ac:dyDescent="0.3">
      <c r="L12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24" s="1">
        <f>N123+Table1181920231030313235383940414811151820283172126[[#This Row],[اجمالي الفاتوره]]-Table1181920231030313235383940414811151820283172126[[#This Row],[الدفعات]]</f>
        <v>64136.619999999995</v>
      </c>
    </row>
    <row r="125" spans="12:14" s="1" customFormat="1" ht="25.2" customHeight="1" x14ac:dyDescent="0.3">
      <c r="L12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25" s="1">
        <f>N124+Table1181920231030313235383940414811151820283172126[[#This Row],[اجمالي الفاتوره]]-Table1181920231030313235383940414811151820283172126[[#This Row],[الدفعات]]</f>
        <v>64136.619999999995</v>
      </c>
    </row>
    <row r="126" spans="12:14" s="1" customFormat="1" ht="25.2" customHeight="1" x14ac:dyDescent="0.3">
      <c r="L12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26" s="1">
        <f>N125+Table1181920231030313235383940414811151820283172126[[#This Row],[اجمالي الفاتوره]]-Table1181920231030313235383940414811151820283172126[[#This Row],[الدفعات]]</f>
        <v>64136.619999999995</v>
      </c>
    </row>
    <row r="127" spans="12:14" s="1" customFormat="1" ht="25.2" customHeight="1" x14ac:dyDescent="0.3">
      <c r="L12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27" s="1">
        <f>N126+Table1181920231030313235383940414811151820283172126[[#This Row],[اجمالي الفاتوره]]-Table1181920231030313235383940414811151820283172126[[#This Row],[الدفعات]]</f>
        <v>64136.619999999995</v>
      </c>
    </row>
    <row r="128" spans="12:14" s="1" customFormat="1" ht="25.2" customHeight="1" x14ac:dyDescent="0.3">
      <c r="L12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28" s="1">
        <f>N127+Table1181920231030313235383940414811151820283172126[[#This Row],[اجمالي الفاتوره]]-Table1181920231030313235383940414811151820283172126[[#This Row],[الدفعات]]</f>
        <v>64136.619999999995</v>
      </c>
    </row>
    <row r="129" spans="12:14" s="1" customFormat="1" ht="25.2" customHeight="1" x14ac:dyDescent="0.3">
      <c r="L12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29" s="1">
        <f>N128+Table1181920231030313235383940414811151820283172126[[#This Row],[اجمالي الفاتوره]]-Table1181920231030313235383940414811151820283172126[[#This Row],[الدفعات]]</f>
        <v>64136.619999999995</v>
      </c>
    </row>
    <row r="130" spans="12:14" s="1" customFormat="1" ht="25.2" customHeight="1" x14ac:dyDescent="0.3">
      <c r="L13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30" s="1">
        <f>N129+Table1181920231030313235383940414811151820283172126[[#This Row],[اجمالي الفاتوره]]-Table1181920231030313235383940414811151820283172126[[#This Row],[الدفعات]]</f>
        <v>64136.619999999995</v>
      </c>
    </row>
    <row r="131" spans="12:14" s="1" customFormat="1" ht="25.2" customHeight="1" x14ac:dyDescent="0.3">
      <c r="L13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31" s="1">
        <f>N130+Table1181920231030313235383940414811151820283172126[[#This Row],[اجمالي الفاتوره]]-Table1181920231030313235383940414811151820283172126[[#This Row],[الدفعات]]</f>
        <v>64136.619999999995</v>
      </c>
    </row>
    <row r="132" spans="12:14" s="1" customFormat="1" ht="25.2" customHeight="1" x14ac:dyDescent="0.3">
      <c r="L13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32" s="1">
        <f>N131+Table1181920231030313235383940414811151820283172126[[#This Row],[اجمالي الفاتوره]]-Table1181920231030313235383940414811151820283172126[[#This Row],[الدفعات]]</f>
        <v>64136.619999999995</v>
      </c>
    </row>
    <row r="133" spans="12:14" s="1" customFormat="1" ht="25.2" customHeight="1" x14ac:dyDescent="0.3">
      <c r="L13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33" s="1">
        <f>N132+Table1181920231030313235383940414811151820283172126[[#This Row],[اجمالي الفاتوره]]-Table1181920231030313235383940414811151820283172126[[#This Row],[الدفعات]]</f>
        <v>64136.619999999995</v>
      </c>
    </row>
    <row r="134" spans="12:14" s="1" customFormat="1" ht="25.2" customHeight="1" x14ac:dyDescent="0.3">
      <c r="L13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34" s="1">
        <f>N133+Table1181920231030313235383940414811151820283172126[[#This Row],[اجمالي الفاتوره]]-Table1181920231030313235383940414811151820283172126[[#This Row],[الدفعات]]</f>
        <v>64136.619999999995</v>
      </c>
    </row>
    <row r="135" spans="12:14" s="1" customFormat="1" ht="25.2" customHeight="1" x14ac:dyDescent="0.3">
      <c r="L13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35" s="1">
        <f>N134+Table1181920231030313235383940414811151820283172126[[#This Row],[اجمالي الفاتوره]]-Table1181920231030313235383940414811151820283172126[[#This Row],[الدفعات]]</f>
        <v>64136.619999999995</v>
      </c>
    </row>
    <row r="136" spans="12:14" s="1" customFormat="1" ht="25.2" customHeight="1" x14ac:dyDescent="0.3">
      <c r="L13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36" s="1">
        <f>N135+Table1181920231030313235383940414811151820283172126[[#This Row],[اجمالي الفاتوره]]-Table1181920231030313235383940414811151820283172126[[#This Row],[الدفعات]]</f>
        <v>64136.619999999995</v>
      </c>
    </row>
    <row r="137" spans="12:14" s="1" customFormat="1" ht="25.2" customHeight="1" x14ac:dyDescent="0.3">
      <c r="L13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37" s="1">
        <f>N136+Table1181920231030313235383940414811151820283172126[[#This Row],[اجمالي الفاتوره]]-Table1181920231030313235383940414811151820283172126[[#This Row],[الدفعات]]</f>
        <v>64136.619999999995</v>
      </c>
    </row>
    <row r="138" spans="12:14" s="1" customFormat="1" ht="25.2" customHeight="1" x14ac:dyDescent="0.3">
      <c r="L13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38" s="1">
        <f>N137+Table1181920231030313235383940414811151820283172126[[#This Row],[اجمالي الفاتوره]]-Table1181920231030313235383940414811151820283172126[[#This Row],[الدفعات]]</f>
        <v>64136.619999999995</v>
      </c>
    </row>
    <row r="139" spans="12:14" s="1" customFormat="1" ht="25.2" customHeight="1" x14ac:dyDescent="0.3">
      <c r="L13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39" s="1">
        <f>N138+Table1181920231030313235383940414811151820283172126[[#This Row],[اجمالي الفاتوره]]-Table1181920231030313235383940414811151820283172126[[#This Row],[الدفعات]]</f>
        <v>64136.619999999995</v>
      </c>
    </row>
    <row r="140" spans="12:14" s="1" customFormat="1" ht="25.2" customHeight="1" x14ac:dyDescent="0.3">
      <c r="L14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40" s="1">
        <f>N139+Table1181920231030313235383940414811151820283172126[[#This Row],[اجمالي الفاتوره]]-Table1181920231030313235383940414811151820283172126[[#This Row],[الدفعات]]</f>
        <v>64136.619999999995</v>
      </c>
    </row>
    <row r="141" spans="12:14" s="1" customFormat="1" ht="25.2" customHeight="1" x14ac:dyDescent="0.3">
      <c r="L14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41" s="1">
        <f>N140+Table1181920231030313235383940414811151820283172126[[#This Row],[اجمالي الفاتوره]]-Table1181920231030313235383940414811151820283172126[[#This Row],[الدفعات]]</f>
        <v>64136.619999999995</v>
      </c>
    </row>
    <row r="142" spans="12:14" s="1" customFormat="1" ht="25.2" customHeight="1" x14ac:dyDescent="0.3">
      <c r="L14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42" s="1">
        <f>N141+Table1181920231030313235383940414811151820283172126[[#This Row],[اجمالي الفاتوره]]-Table1181920231030313235383940414811151820283172126[[#This Row],[الدفعات]]</f>
        <v>64136.619999999995</v>
      </c>
    </row>
    <row r="143" spans="12:14" s="1" customFormat="1" ht="25.2" customHeight="1" x14ac:dyDescent="0.3">
      <c r="L14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43" s="1">
        <f>N142+Table1181920231030313235383940414811151820283172126[[#This Row],[اجمالي الفاتوره]]-Table1181920231030313235383940414811151820283172126[[#This Row],[الدفعات]]</f>
        <v>64136.619999999995</v>
      </c>
    </row>
    <row r="144" spans="12:14" s="1" customFormat="1" ht="25.2" customHeight="1" x14ac:dyDescent="0.3">
      <c r="L14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44" s="1">
        <f>N143+Table1181920231030313235383940414811151820283172126[[#This Row],[اجمالي الفاتوره]]-Table1181920231030313235383940414811151820283172126[[#This Row],[الدفعات]]</f>
        <v>64136.619999999995</v>
      </c>
    </row>
    <row r="145" spans="12:14" s="1" customFormat="1" ht="25.2" customHeight="1" x14ac:dyDescent="0.3">
      <c r="L14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45" s="1">
        <f>N144+Table1181920231030313235383940414811151820283172126[[#This Row],[اجمالي الفاتوره]]-Table1181920231030313235383940414811151820283172126[[#This Row],[الدفعات]]</f>
        <v>64136.619999999995</v>
      </c>
    </row>
    <row r="146" spans="12:14" s="1" customFormat="1" ht="25.2" customHeight="1" x14ac:dyDescent="0.3">
      <c r="L14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46" s="1">
        <f>N145+Table1181920231030313235383940414811151820283172126[[#This Row],[اجمالي الفاتوره]]-Table1181920231030313235383940414811151820283172126[[#This Row],[الدفعات]]</f>
        <v>64136.619999999995</v>
      </c>
    </row>
    <row r="147" spans="12:14" s="1" customFormat="1" ht="25.2" customHeight="1" x14ac:dyDescent="0.3">
      <c r="L14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47" s="1">
        <f>N146+Table1181920231030313235383940414811151820283172126[[#This Row],[اجمالي الفاتوره]]-Table1181920231030313235383940414811151820283172126[[#This Row],[الدفعات]]</f>
        <v>64136.619999999995</v>
      </c>
    </row>
    <row r="148" spans="12:14" s="1" customFormat="1" ht="25.2" customHeight="1" x14ac:dyDescent="0.3">
      <c r="L14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48" s="1">
        <f>N147+Table1181920231030313235383940414811151820283172126[[#This Row],[اجمالي الفاتوره]]-Table1181920231030313235383940414811151820283172126[[#This Row],[الدفعات]]</f>
        <v>64136.619999999995</v>
      </c>
    </row>
    <row r="149" spans="12:14" s="1" customFormat="1" ht="25.2" customHeight="1" x14ac:dyDescent="0.3">
      <c r="L14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49" s="1">
        <f>N148+Table1181920231030313235383940414811151820283172126[[#This Row],[اجمالي الفاتوره]]-Table1181920231030313235383940414811151820283172126[[#This Row],[الدفعات]]</f>
        <v>64136.619999999995</v>
      </c>
    </row>
    <row r="150" spans="12:14" s="1" customFormat="1" ht="25.2" customHeight="1" x14ac:dyDescent="0.3">
      <c r="L15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50" s="1">
        <f>N149+Table1181920231030313235383940414811151820283172126[[#This Row],[اجمالي الفاتوره]]-Table1181920231030313235383940414811151820283172126[[#This Row],[الدفعات]]</f>
        <v>64136.619999999995</v>
      </c>
    </row>
    <row r="151" spans="12:14" s="1" customFormat="1" ht="25.2" customHeight="1" x14ac:dyDescent="0.3">
      <c r="L15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51" s="1">
        <f>N150+Table1181920231030313235383940414811151820283172126[[#This Row],[اجمالي الفاتوره]]-Table1181920231030313235383940414811151820283172126[[#This Row],[الدفعات]]</f>
        <v>64136.619999999995</v>
      </c>
    </row>
    <row r="152" spans="12:14" s="1" customFormat="1" ht="25.2" customHeight="1" x14ac:dyDescent="0.3">
      <c r="L15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52" s="1">
        <f>N151+Table1181920231030313235383940414811151820283172126[[#This Row],[اجمالي الفاتوره]]-Table1181920231030313235383940414811151820283172126[[#This Row],[الدفعات]]</f>
        <v>64136.619999999995</v>
      </c>
    </row>
    <row r="153" spans="12:14" s="1" customFormat="1" ht="25.2" customHeight="1" x14ac:dyDescent="0.3">
      <c r="L15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53" s="1">
        <f>N152+Table1181920231030313235383940414811151820283172126[[#This Row],[اجمالي الفاتوره]]-Table1181920231030313235383940414811151820283172126[[#This Row],[الدفعات]]</f>
        <v>64136.619999999995</v>
      </c>
    </row>
    <row r="154" spans="12:14" s="1" customFormat="1" ht="25.2" customHeight="1" x14ac:dyDescent="0.3">
      <c r="L15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54" s="1">
        <f>N153+Table1181920231030313235383940414811151820283172126[[#This Row],[اجمالي الفاتوره]]-Table1181920231030313235383940414811151820283172126[[#This Row],[الدفعات]]</f>
        <v>64136.619999999995</v>
      </c>
    </row>
    <row r="155" spans="12:14" s="1" customFormat="1" ht="25.2" customHeight="1" x14ac:dyDescent="0.3">
      <c r="L15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55" s="1">
        <f>N154+Table1181920231030313235383940414811151820283172126[[#This Row],[اجمالي الفاتوره]]-Table1181920231030313235383940414811151820283172126[[#This Row],[الدفعات]]</f>
        <v>64136.619999999995</v>
      </c>
    </row>
    <row r="156" spans="12:14" s="1" customFormat="1" ht="25.2" customHeight="1" x14ac:dyDescent="0.3">
      <c r="L15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56" s="1">
        <f>N155+Table1181920231030313235383940414811151820283172126[[#This Row],[اجمالي الفاتوره]]-Table1181920231030313235383940414811151820283172126[[#This Row],[الدفعات]]</f>
        <v>64136.619999999995</v>
      </c>
    </row>
    <row r="157" spans="12:14" s="1" customFormat="1" ht="25.2" customHeight="1" x14ac:dyDescent="0.3">
      <c r="L15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57" s="1">
        <f>N156+Table1181920231030313235383940414811151820283172126[[#This Row],[اجمالي الفاتوره]]-Table1181920231030313235383940414811151820283172126[[#This Row],[الدفعات]]</f>
        <v>64136.619999999995</v>
      </c>
    </row>
    <row r="158" spans="12:14" s="1" customFormat="1" ht="25.2" customHeight="1" x14ac:dyDescent="0.3">
      <c r="L15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58" s="1">
        <f>N157+Table1181920231030313235383940414811151820283172126[[#This Row],[اجمالي الفاتوره]]-Table1181920231030313235383940414811151820283172126[[#This Row],[الدفعات]]</f>
        <v>64136.619999999995</v>
      </c>
    </row>
    <row r="159" spans="12:14" s="1" customFormat="1" ht="25.2" customHeight="1" x14ac:dyDescent="0.3">
      <c r="L15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59" s="1">
        <f>N158+Table1181920231030313235383940414811151820283172126[[#This Row],[اجمالي الفاتوره]]-Table1181920231030313235383940414811151820283172126[[#This Row],[الدفعات]]</f>
        <v>64136.619999999995</v>
      </c>
    </row>
    <row r="160" spans="12:14" s="1" customFormat="1" ht="25.2" customHeight="1" x14ac:dyDescent="0.3">
      <c r="L16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60" s="1">
        <f>N159+Table1181920231030313235383940414811151820283172126[[#This Row],[اجمالي الفاتوره]]-Table1181920231030313235383940414811151820283172126[[#This Row],[الدفعات]]</f>
        <v>64136.619999999995</v>
      </c>
    </row>
    <row r="161" spans="12:14" s="1" customFormat="1" ht="25.2" customHeight="1" x14ac:dyDescent="0.3">
      <c r="L16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61" s="1">
        <f>N160+Table1181920231030313235383940414811151820283172126[[#This Row],[اجمالي الفاتوره]]-Table1181920231030313235383940414811151820283172126[[#This Row],[الدفعات]]</f>
        <v>64136.619999999995</v>
      </c>
    </row>
    <row r="162" spans="12:14" s="1" customFormat="1" ht="25.2" customHeight="1" x14ac:dyDescent="0.3">
      <c r="L16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62" s="1">
        <f>N161+Table1181920231030313235383940414811151820283172126[[#This Row],[اجمالي الفاتوره]]-Table1181920231030313235383940414811151820283172126[[#This Row],[الدفعات]]</f>
        <v>64136.619999999995</v>
      </c>
    </row>
    <row r="163" spans="12:14" s="1" customFormat="1" ht="25.2" customHeight="1" x14ac:dyDescent="0.3">
      <c r="L16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63" s="1">
        <f>N162+Table1181920231030313235383940414811151820283172126[[#This Row],[اجمالي الفاتوره]]-Table1181920231030313235383940414811151820283172126[[#This Row],[الدفعات]]</f>
        <v>64136.619999999995</v>
      </c>
    </row>
    <row r="164" spans="12:14" s="1" customFormat="1" ht="25.2" customHeight="1" x14ac:dyDescent="0.3">
      <c r="L16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64" s="1">
        <f>N163+Table1181920231030313235383940414811151820283172126[[#This Row],[اجمالي الفاتوره]]-Table1181920231030313235383940414811151820283172126[[#This Row],[الدفعات]]</f>
        <v>64136.619999999995</v>
      </c>
    </row>
    <row r="165" spans="12:14" s="1" customFormat="1" ht="25.2" customHeight="1" x14ac:dyDescent="0.3">
      <c r="L16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65" s="1">
        <f>N164+Table1181920231030313235383940414811151820283172126[[#This Row],[اجمالي الفاتوره]]-Table1181920231030313235383940414811151820283172126[[#This Row],[الدفعات]]</f>
        <v>64136.619999999995</v>
      </c>
    </row>
    <row r="166" spans="12:14" s="1" customFormat="1" ht="25.2" customHeight="1" x14ac:dyDescent="0.3">
      <c r="L16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66" s="1">
        <f>N165+Table1181920231030313235383940414811151820283172126[[#This Row],[اجمالي الفاتوره]]-Table1181920231030313235383940414811151820283172126[[#This Row],[الدفعات]]</f>
        <v>64136.619999999995</v>
      </c>
    </row>
    <row r="167" spans="12:14" s="1" customFormat="1" ht="25.2" customHeight="1" x14ac:dyDescent="0.3">
      <c r="L16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67" s="1">
        <f>N166+Table1181920231030313235383940414811151820283172126[[#This Row],[اجمالي الفاتوره]]-Table1181920231030313235383940414811151820283172126[[#This Row],[الدفعات]]</f>
        <v>64136.619999999995</v>
      </c>
    </row>
    <row r="168" spans="12:14" s="1" customFormat="1" ht="25.2" customHeight="1" x14ac:dyDescent="0.3">
      <c r="L16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68" s="1">
        <f>N167+Table1181920231030313235383940414811151820283172126[[#This Row],[اجمالي الفاتوره]]-Table1181920231030313235383940414811151820283172126[[#This Row],[الدفعات]]</f>
        <v>64136.619999999995</v>
      </c>
    </row>
    <row r="169" spans="12:14" s="1" customFormat="1" ht="25.2" customHeight="1" x14ac:dyDescent="0.3">
      <c r="L16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69" s="1">
        <f>N168+Table1181920231030313235383940414811151820283172126[[#This Row],[اجمالي الفاتوره]]-Table1181920231030313235383940414811151820283172126[[#This Row],[الدفعات]]</f>
        <v>64136.619999999995</v>
      </c>
    </row>
    <row r="170" spans="12:14" s="1" customFormat="1" ht="25.2" customHeight="1" x14ac:dyDescent="0.3">
      <c r="L17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70" s="1">
        <f>N169+Table1181920231030313235383940414811151820283172126[[#This Row],[اجمالي الفاتوره]]-Table1181920231030313235383940414811151820283172126[[#This Row],[الدفعات]]</f>
        <v>64136.619999999995</v>
      </c>
    </row>
    <row r="171" spans="12:14" s="1" customFormat="1" ht="25.2" customHeight="1" x14ac:dyDescent="0.3">
      <c r="L17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71" s="1">
        <f>N170+Table1181920231030313235383940414811151820283172126[[#This Row],[اجمالي الفاتوره]]-Table1181920231030313235383940414811151820283172126[[#This Row],[الدفعات]]</f>
        <v>64136.619999999995</v>
      </c>
    </row>
    <row r="172" spans="12:14" s="1" customFormat="1" ht="25.2" customHeight="1" x14ac:dyDescent="0.3">
      <c r="L17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72" s="1">
        <f>N171+Table1181920231030313235383940414811151820283172126[[#This Row],[اجمالي الفاتوره]]-Table1181920231030313235383940414811151820283172126[[#This Row],[الدفعات]]</f>
        <v>64136.619999999995</v>
      </c>
    </row>
    <row r="173" spans="12:14" s="1" customFormat="1" ht="25.2" customHeight="1" x14ac:dyDescent="0.3">
      <c r="L17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73" s="1">
        <f>N172+Table1181920231030313235383940414811151820283172126[[#This Row],[اجمالي الفاتوره]]-Table1181920231030313235383940414811151820283172126[[#This Row],[الدفعات]]</f>
        <v>64136.619999999995</v>
      </c>
    </row>
    <row r="174" spans="12:14" s="1" customFormat="1" ht="25.2" customHeight="1" x14ac:dyDescent="0.3">
      <c r="L17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74" s="1">
        <f>N173+Table1181920231030313235383940414811151820283172126[[#This Row],[اجمالي الفاتوره]]-Table1181920231030313235383940414811151820283172126[[#This Row],[الدفعات]]</f>
        <v>64136.619999999995</v>
      </c>
    </row>
    <row r="175" spans="12:14" s="1" customFormat="1" ht="25.2" customHeight="1" x14ac:dyDescent="0.3">
      <c r="L17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75" s="1">
        <f>N174+Table1181920231030313235383940414811151820283172126[[#This Row],[اجمالي الفاتوره]]-Table1181920231030313235383940414811151820283172126[[#This Row],[الدفعات]]</f>
        <v>64136.619999999995</v>
      </c>
    </row>
    <row r="176" spans="12:14" s="1" customFormat="1" ht="25.2" customHeight="1" x14ac:dyDescent="0.3">
      <c r="L17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76" s="1">
        <f>N175+Table1181920231030313235383940414811151820283172126[[#This Row],[اجمالي الفاتوره]]-Table1181920231030313235383940414811151820283172126[[#This Row],[الدفعات]]</f>
        <v>64136.619999999995</v>
      </c>
    </row>
    <row r="177" spans="12:14" s="1" customFormat="1" ht="25.2" customHeight="1" x14ac:dyDescent="0.3">
      <c r="L17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77" s="1">
        <f>N176+Table1181920231030313235383940414811151820283172126[[#This Row],[اجمالي الفاتوره]]-Table1181920231030313235383940414811151820283172126[[#This Row],[الدفعات]]</f>
        <v>64136.619999999995</v>
      </c>
    </row>
    <row r="178" spans="12:14" s="1" customFormat="1" ht="25.2" customHeight="1" x14ac:dyDescent="0.3">
      <c r="L17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78" s="1">
        <f>N177+Table1181920231030313235383940414811151820283172126[[#This Row],[اجمالي الفاتوره]]-Table1181920231030313235383940414811151820283172126[[#This Row],[الدفعات]]</f>
        <v>64136.619999999995</v>
      </c>
    </row>
    <row r="179" spans="12:14" s="1" customFormat="1" ht="25.2" customHeight="1" x14ac:dyDescent="0.3">
      <c r="L17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79" s="1">
        <f>N178+Table1181920231030313235383940414811151820283172126[[#This Row],[اجمالي الفاتوره]]-Table1181920231030313235383940414811151820283172126[[#This Row],[الدفعات]]</f>
        <v>64136.619999999995</v>
      </c>
    </row>
    <row r="180" spans="12:14" s="1" customFormat="1" ht="25.2" customHeight="1" x14ac:dyDescent="0.3">
      <c r="L18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80" s="1">
        <f>N179+Table1181920231030313235383940414811151820283172126[[#This Row],[اجمالي الفاتوره]]-Table1181920231030313235383940414811151820283172126[[#This Row],[الدفعات]]</f>
        <v>64136.619999999995</v>
      </c>
    </row>
    <row r="181" spans="12:14" s="1" customFormat="1" ht="25.2" customHeight="1" x14ac:dyDescent="0.3">
      <c r="L18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81" s="1">
        <f>N180+Table1181920231030313235383940414811151820283172126[[#This Row],[اجمالي الفاتوره]]-Table1181920231030313235383940414811151820283172126[[#This Row],[الدفعات]]</f>
        <v>64136.619999999995</v>
      </c>
    </row>
    <row r="182" spans="12:14" s="1" customFormat="1" ht="25.2" customHeight="1" x14ac:dyDescent="0.3">
      <c r="L18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82" s="1">
        <f>N181+Table1181920231030313235383940414811151820283172126[[#This Row],[اجمالي الفاتوره]]-Table1181920231030313235383940414811151820283172126[[#This Row],[الدفعات]]</f>
        <v>64136.619999999995</v>
      </c>
    </row>
    <row r="183" spans="12:14" s="1" customFormat="1" ht="25.2" customHeight="1" x14ac:dyDescent="0.3">
      <c r="L18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83" s="1">
        <f>N182+Table1181920231030313235383940414811151820283172126[[#This Row],[اجمالي الفاتوره]]-Table1181920231030313235383940414811151820283172126[[#This Row],[الدفعات]]</f>
        <v>64136.619999999995</v>
      </c>
    </row>
    <row r="184" spans="12:14" s="1" customFormat="1" ht="25.2" customHeight="1" x14ac:dyDescent="0.3">
      <c r="L18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84" s="1">
        <f>N183+Table1181920231030313235383940414811151820283172126[[#This Row],[اجمالي الفاتوره]]-Table1181920231030313235383940414811151820283172126[[#This Row],[الدفعات]]</f>
        <v>64136.619999999995</v>
      </c>
    </row>
    <row r="185" spans="12:14" s="1" customFormat="1" ht="25.2" customHeight="1" x14ac:dyDescent="0.3">
      <c r="L18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85" s="1">
        <f>N184+Table1181920231030313235383940414811151820283172126[[#This Row],[اجمالي الفاتوره]]-Table1181920231030313235383940414811151820283172126[[#This Row],[الدفعات]]</f>
        <v>64136.619999999995</v>
      </c>
    </row>
    <row r="186" spans="12:14" s="1" customFormat="1" ht="25.2" customHeight="1" x14ac:dyDescent="0.3">
      <c r="L18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86" s="1">
        <f>N185+Table1181920231030313235383940414811151820283172126[[#This Row],[اجمالي الفاتوره]]-Table1181920231030313235383940414811151820283172126[[#This Row],[الدفعات]]</f>
        <v>64136.619999999995</v>
      </c>
    </row>
    <row r="187" spans="12:14" s="1" customFormat="1" ht="25.2" customHeight="1" x14ac:dyDescent="0.3">
      <c r="L18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87" s="1">
        <f>N186+Table1181920231030313235383940414811151820283172126[[#This Row],[اجمالي الفاتوره]]-Table1181920231030313235383940414811151820283172126[[#This Row],[الدفعات]]</f>
        <v>64136.619999999995</v>
      </c>
    </row>
    <row r="188" spans="12:14" s="1" customFormat="1" ht="25.2" customHeight="1" x14ac:dyDescent="0.3">
      <c r="L18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88" s="1">
        <f>N187+Table1181920231030313235383940414811151820283172126[[#This Row],[اجمالي الفاتوره]]-Table1181920231030313235383940414811151820283172126[[#This Row],[الدفعات]]</f>
        <v>64136.619999999995</v>
      </c>
    </row>
    <row r="189" spans="12:14" s="1" customFormat="1" ht="25.2" customHeight="1" x14ac:dyDescent="0.3">
      <c r="L18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89" s="1">
        <f>N188+Table1181920231030313235383940414811151820283172126[[#This Row],[اجمالي الفاتوره]]-Table1181920231030313235383940414811151820283172126[[#This Row],[الدفعات]]</f>
        <v>64136.619999999995</v>
      </c>
    </row>
    <row r="190" spans="12:14" s="1" customFormat="1" ht="25.2" customHeight="1" x14ac:dyDescent="0.3">
      <c r="L19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90" s="1">
        <f>N189+Table1181920231030313235383940414811151820283172126[[#This Row],[اجمالي الفاتوره]]-Table1181920231030313235383940414811151820283172126[[#This Row],[الدفعات]]</f>
        <v>64136.619999999995</v>
      </c>
    </row>
    <row r="191" spans="12:14" s="1" customFormat="1" ht="25.2" customHeight="1" x14ac:dyDescent="0.3">
      <c r="L19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91" s="1">
        <f>N190+Table1181920231030313235383940414811151820283172126[[#This Row],[اجمالي الفاتوره]]-Table1181920231030313235383940414811151820283172126[[#This Row],[الدفعات]]</f>
        <v>64136.619999999995</v>
      </c>
    </row>
    <row r="192" spans="12:14" s="1" customFormat="1" ht="25.2" customHeight="1" x14ac:dyDescent="0.3">
      <c r="L19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92" s="1">
        <f>N191+Table1181920231030313235383940414811151820283172126[[#This Row],[اجمالي الفاتوره]]-Table1181920231030313235383940414811151820283172126[[#This Row],[الدفعات]]</f>
        <v>64136.619999999995</v>
      </c>
    </row>
    <row r="193" spans="12:14" s="1" customFormat="1" ht="25.2" customHeight="1" x14ac:dyDescent="0.3">
      <c r="L19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93" s="1">
        <f>N192+Table1181920231030313235383940414811151820283172126[[#This Row],[اجمالي الفاتوره]]-Table1181920231030313235383940414811151820283172126[[#This Row],[الدفعات]]</f>
        <v>64136.619999999995</v>
      </c>
    </row>
    <row r="194" spans="12:14" s="1" customFormat="1" ht="25.2" customHeight="1" x14ac:dyDescent="0.3">
      <c r="L19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94" s="1">
        <f>N193+Table1181920231030313235383940414811151820283172126[[#This Row],[اجمالي الفاتوره]]-Table1181920231030313235383940414811151820283172126[[#This Row],[الدفعات]]</f>
        <v>64136.619999999995</v>
      </c>
    </row>
    <row r="195" spans="12:14" s="1" customFormat="1" ht="25.2" customHeight="1" x14ac:dyDescent="0.3">
      <c r="L19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95" s="1">
        <f>N194+Table1181920231030313235383940414811151820283172126[[#This Row],[اجمالي الفاتوره]]-Table1181920231030313235383940414811151820283172126[[#This Row],[الدفعات]]</f>
        <v>64136.619999999995</v>
      </c>
    </row>
    <row r="196" spans="12:14" s="1" customFormat="1" ht="25.2" customHeight="1" x14ac:dyDescent="0.3">
      <c r="L19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96" s="1">
        <f>N195+Table1181920231030313235383940414811151820283172126[[#This Row],[اجمالي الفاتوره]]-Table1181920231030313235383940414811151820283172126[[#This Row],[الدفعات]]</f>
        <v>64136.619999999995</v>
      </c>
    </row>
    <row r="197" spans="12:14" s="1" customFormat="1" ht="25.2" customHeight="1" x14ac:dyDescent="0.3">
      <c r="L19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97" s="1">
        <f>N196+Table1181920231030313235383940414811151820283172126[[#This Row],[اجمالي الفاتوره]]-Table1181920231030313235383940414811151820283172126[[#This Row],[الدفعات]]</f>
        <v>64136.619999999995</v>
      </c>
    </row>
    <row r="198" spans="12:14" s="1" customFormat="1" ht="25.2" customHeight="1" x14ac:dyDescent="0.3">
      <c r="L19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98" s="1">
        <f>N197+Table1181920231030313235383940414811151820283172126[[#This Row],[اجمالي الفاتوره]]-Table1181920231030313235383940414811151820283172126[[#This Row],[الدفعات]]</f>
        <v>64136.619999999995</v>
      </c>
    </row>
    <row r="199" spans="12:14" s="1" customFormat="1" ht="25.2" customHeight="1" x14ac:dyDescent="0.3">
      <c r="L19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199" s="1">
        <f>N198+Table1181920231030313235383940414811151820283172126[[#This Row],[اجمالي الفاتوره]]-Table1181920231030313235383940414811151820283172126[[#This Row],[الدفعات]]</f>
        <v>64136.619999999995</v>
      </c>
    </row>
    <row r="200" spans="12:14" s="1" customFormat="1" ht="25.2" customHeight="1" x14ac:dyDescent="0.3">
      <c r="L20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00" s="1">
        <f>N199+Table1181920231030313235383940414811151820283172126[[#This Row],[اجمالي الفاتوره]]-Table1181920231030313235383940414811151820283172126[[#This Row],[الدفعات]]</f>
        <v>64136.619999999995</v>
      </c>
    </row>
    <row r="201" spans="12:14" s="1" customFormat="1" ht="25.2" customHeight="1" x14ac:dyDescent="0.3">
      <c r="L20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01" s="1">
        <f>N200+Table1181920231030313235383940414811151820283172126[[#This Row],[اجمالي الفاتوره]]-Table1181920231030313235383940414811151820283172126[[#This Row],[الدفعات]]</f>
        <v>64136.619999999995</v>
      </c>
    </row>
    <row r="202" spans="12:14" s="1" customFormat="1" ht="25.2" customHeight="1" x14ac:dyDescent="0.3">
      <c r="L20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02" s="1">
        <f>N201+Table1181920231030313235383940414811151820283172126[[#This Row],[اجمالي الفاتوره]]-Table1181920231030313235383940414811151820283172126[[#This Row],[الدفعات]]</f>
        <v>64136.619999999995</v>
      </c>
    </row>
    <row r="203" spans="12:14" s="1" customFormat="1" ht="25.2" customHeight="1" x14ac:dyDescent="0.3">
      <c r="L20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03" s="1">
        <f>N202+Table1181920231030313235383940414811151820283172126[[#This Row],[اجمالي الفاتوره]]-Table1181920231030313235383940414811151820283172126[[#This Row],[الدفعات]]</f>
        <v>64136.619999999995</v>
      </c>
    </row>
    <row r="204" spans="12:14" s="1" customFormat="1" ht="25.2" customHeight="1" x14ac:dyDescent="0.3">
      <c r="L20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04" s="1">
        <f>N203+Table1181920231030313235383940414811151820283172126[[#This Row],[اجمالي الفاتوره]]-Table1181920231030313235383940414811151820283172126[[#This Row],[الدفعات]]</f>
        <v>64136.619999999995</v>
      </c>
    </row>
    <row r="205" spans="12:14" s="1" customFormat="1" ht="25.2" customHeight="1" x14ac:dyDescent="0.3">
      <c r="L20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05" s="1">
        <f>N204+Table1181920231030313235383940414811151820283172126[[#This Row],[اجمالي الفاتوره]]-Table1181920231030313235383940414811151820283172126[[#This Row],[الدفعات]]</f>
        <v>64136.619999999995</v>
      </c>
    </row>
    <row r="206" spans="12:14" s="1" customFormat="1" ht="25.2" customHeight="1" x14ac:dyDescent="0.3">
      <c r="L20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06" s="1">
        <f>N205+Table1181920231030313235383940414811151820283172126[[#This Row],[اجمالي الفاتوره]]-Table1181920231030313235383940414811151820283172126[[#This Row],[الدفعات]]</f>
        <v>64136.619999999995</v>
      </c>
    </row>
    <row r="207" spans="12:14" s="1" customFormat="1" ht="25.2" customHeight="1" x14ac:dyDescent="0.3">
      <c r="L20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07" s="1">
        <f>N206+Table1181920231030313235383940414811151820283172126[[#This Row],[اجمالي الفاتوره]]-Table1181920231030313235383940414811151820283172126[[#This Row],[الدفعات]]</f>
        <v>64136.619999999995</v>
      </c>
    </row>
    <row r="208" spans="12:14" s="1" customFormat="1" ht="25.2" customHeight="1" x14ac:dyDescent="0.3">
      <c r="L20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08" s="1">
        <f>N207+Table1181920231030313235383940414811151820283172126[[#This Row],[اجمالي الفاتوره]]-Table1181920231030313235383940414811151820283172126[[#This Row],[الدفعات]]</f>
        <v>64136.619999999995</v>
      </c>
    </row>
    <row r="209" spans="12:14" s="1" customFormat="1" ht="25.2" customHeight="1" x14ac:dyDescent="0.3">
      <c r="L20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09" s="1">
        <f>N208+Table1181920231030313235383940414811151820283172126[[#This Row],[اجمالي الفاتوره]]-Table1181920231030313235383940414811151820283172126[[#This Row],[الدفعات]]</f>
        <v>64136.619999999995</v>
      </c>
    </row>
    <row r="210" spans="12:14" s="1" customFormat="1" ht="25.2" customHeight="1" x14ac:dyDescent="0.3">
      <c r="L21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10" s="1">
        <f>N209+Table1181920231030313235383940414811151820283172126[[#This Row],[اجمالي الفاتوره]]-Table1181920231030313235383940414811151820283172126[[#This Row],[الدفعات]]</f>
        <v>64136.619999999995</v>
      </c>
    </row>
    <row r="211" spans="12:14" s="1" customFormat="1" ht="25.2" customHeight="1" x14ac:dyDescent="0.3">
      <c r="L21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11" s="1">
        <f>N210+Table1181920231030313235383940414811151820283172126[[#This Row],[اجمالي الفاتوره]]-Table1181920231030313235383940414811151820283172126[[#This Row],[الدفعات]]</f>
        <v>64136.619999999995</v>
      </c>
    </row>
    <row r="212" spans="12:14" s="1" customFormat="1" ht="25.2" customHeight="1" x14ac:dyDescent="0.3">
      <c r="L21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12" s="1">
        <f>N211+Table1181920231030313235383940414811151820283172126[[#This Row],[اجمالي الفاتوره]]-Table1181920231030313235383940414811151820283172126[[#This Row],[الدفعات]]</f>
        <v>64136.619999999995</v>
      </c>
    </row>
    <row r="213" spans="12:14" s="1" customFormat="1" ht="25.2" customHeight="1" x14ac:dyDescent="0.3">
      <c r="L21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13" s="1">
        <f>N212+Table1181920231030313235383940414811151820283172126[[#This Row],[اجمالي الفاتوره]]-Table1181920231030313235383940414811151820283172126[[#This Row],[الدفعات]]</f>
        <v>64136.619999999995</v>
      </c>
    </row>
    <row r="214" spans="12:14" s="1" customFormat="1" ht="25.2" customHeight="1" x14ac:dyDescent="0.3">
      <c r="L21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14" s="1">
        <f>N213+Table1181920231030313235383940414811151820283172126[[#This Row],[اجمالي الفاتوره]]-Table1181920231030313235383940414811151820283172126[[#This Row],[الدفعات]]</f>
        <v>64136.619999999995</v>
      </c>
    </row>
    <row r="215" spans="12:14" s="1" customFormat="1" ht="25.2" customHeight="1" x14ac:dyDescent="0.3">
      <c r="L21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15" s="1">
        <f>N214+Table1181920231030313235383940414811151820283172126[[#This Row],[اجمالي الفاتوره]]-Table1181920231030313235383940414811151820283172126[[#This Row],[الدفعات]]</f>
        <v>64136.619999999995</v>
      </c>
    </row>
    <row r="216" spans="12:14" s="1" customFormat="1" ht="25.2" customHeight="1" x14ac:dyDescent="0.3">
      <c r="L21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16" s="1">
        <f>N215+Table1181920231030313235383940414811151820283172126[[#This Row],[اجمالي الفاتوره]]-Table1181920231030313235383940414811151820283172126[[#This Row],[الدفعات]]</f>
        <v>64136.619999999995</v>
      </c>
    </row>
    <row r="217" spans="12:14" s="1" customFormat="1" ht="25.2" customHeight="1" x14ac:dyDescent="0.3">
      <c r="L21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17" s="1">
        <f>N216+Table1181920231030313235383940414811151820283172126[[#This Row],[اجمالي الفاتوره]]-Table1181920231030313235383940414811151820283172126[[#This Row],[الدفعات]]</f>
        <v>64136.619999999995</v>
      </c>
    </row>
    <row r="218" spans="12:14" s="1" customFormat="1" ht="25.2" customHeight="1" x14ac:dyDescent="0.3">
      <c r="L21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18" s="1">
        <f>N217+Table1181920231030313235383940414811151820283172126[[#This Row],[اجمالي الفاتوره]]-Table1181920231030313235383940414811151820283172126[[#This Row],[الدفعات]]</f>
        <v>64136.619999999995</v>
      </c>
    </row>
    <row r="219" spans="12:14" s="1" customFormat="1" ht="25.2" customHeight="1" x14ac:dyDescent="0.3">
      <c r="L21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19" s="1">
        <f>N218+Table1181920231030313235383940414811151820283172126[[#This Row],[اجمالي الفاتوره]]-Table1181920231030313235383940414811151820283172126[[#This Row],[الدفعات]]</f>
        <v>64136.619999999995</v>
      </c>
    </row>
    <row r="220" spans="12:14" s="1" customFormat="1" ht="25.2" customHeight="1" x14ac:dyDescent="0.3">
      <c r="L22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20" s="1">
        <f>N219+Table1181920231030313235383940414811151820283172126[[#This Row],[اجمالي الفاتوره]]-Table1181920231030313235383940414811151820283172126[[#This Row],[الدفعات]]</f>
        <v>64136.619999999995</v>
      </c>
    </row>
    <row r="221" spans="12:14" s="1" customFormat="1" ht="25.2" customHeight="1" x14ac:dyDescent="0.3">
      <c r="L22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21" s="1">
        <f>N220+Table1181920231030313235383940414811151820283172126[[#This Row],[اجمالي الفاتوره]]-Table1181920231030313235383940414811151820283172126[[#This Row],[الدفعات]]</f>
        <v>64136.619999999995</v>
      </c>
    </row>
    <row r="222" spans="12:14" s="1" customFormat="1" ht="25.2" customHeight="1" x14ac:dyDescent="0.3">
      <c r="L22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22" s="1">
        <f>N221+Table1181920231030313235383940414811151820283172126[[#This Row],[اجمالي الفاتوره]]-Table1181920231030313235383940414811151820283172126[[#This Row],[الدفعات]]</f>
        <v>64136.619999999995</v>
      </c>
    </row>
    <row r="223" spans="12:14" s="1" customFormat="1" ht="25.2" customHeight="1" x14ac:dyDescent="0.3">
      <c r="L22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23" s="1">
        <f>N222+Table1181920231030313235383940414811151820283172126[[#This Row],[اجمالي الفاتوره]]-Table1181920231030313235383940414811151820283172126[[#This Row],[الدفعات]]</f>
        <v>64136.619999999995</v>
      </c>
    </row>
    <row r="224" spans="12:14" s="1" customFormat="1" ht="25.2" customHeight="1" x14ac:dyDescent="0.3">
      <c r="L22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24" s="1">
        <f>N223+Table1181920231030313235383940414811151820283172126[[#This Row],[اجمالي الفاتوره]]-Table1181920231030313235383940414811151820283172126[[#This Row],[الدفعات]]</f>
        <v>64136.619999999995</v>
      </c>
    </row>
    <row r="225" spans="10:14" s="1" customFormat="1" ht="25.2" customHeight="1" x14ac:dyDescent="0.3">
      <c r="L22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25" s="1">
        <f>N224+Table1181920231030313235383940414811151820283172126[[#This Row],[اجمالي الفاتوره]]-Table1181920231030313235383940414811151820283172126[[#This Row],[الدفعات]]</f>
        <v>64136.619999999995</v>
      </c>
    </row>
    <row r="226" spans="10:14" s="1" customFormat="1" ht="25.2" customHeight="1" x14ac:dyDescent="0.3">
      <c r="L22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26" s="1">
        <f>N225+Table1181920231030313235383940414811151820283172126[[#This Row],[اجمالي الفاتوره]]-Table1181920231030313235383940414811151820283172126[[#This Row],[الدفعات]]</f>
        <v>64136.619999999995</v>
      </c>
    </row>
    <row r="227" spans="10:14" s="1" customFormat="1" ht="25.2" customHeight="1" x14ac:dyDescent="0.3">
      <c r="L22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27" s="1">
        <f>N226+Table1181920231030313235383940414811151820283172126[[#This Row],[اجمالي الفاتوره]]-Table1181920231030313235383940414811151820283172126[[#This Row],[الدفعات]]</f>
        <v>64136.619999999995</v>
      </c>
    </row>
    <row r="228" spans="10:14" s="1" customFormat="1" ht="25.2" customHeight="1" x14ac:dyDescent="0.3">
      <c r="L22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28" s="1">
        <f>N227+Table1181920231030313235383940414811151820283172126[[#This Row],[اجمالي الفاتوره]]-Table1181920231030313235383940414811151820283172126[[#This Row],[الدفعات]]</f>
        <v>64136.619999999995</v>
      </c>
    </row>
    <row r="229" spans="10:14" s="1" customFormat="1" ht="25.2" customHeight="1" x14ac:dyDescent="0.3">
      <c r="L22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29" s="1">
        <f>N228+Table1181920231030313235383940414811151820283172126[[#This Row],[اجمالي الفاتوره]]-Table1181920231030313235383940414811151820283172126[[#This Row],[الدفعات]]</f>
        <v>64136.619999999995</v>
      </c>
    </row>
    <row r="230" spans="10:14" s="1" customFormat="1" ht="25.2" customHeight="1" x14ac:dyDescent="0.3">
      <c r="L23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30" s="1">
        <f>N229+Table1181920231030313235383940414811151820283172126[[#This Row],[اجمالي الفاتوره]]-Table1181920231030313235383940414811151820283172126[[#This Row],[الدفعات]]</f>
        <v>64136.619999999995</v>
      </c>
    </row>
    <row r="231" spans="10:14" s="1" customFormat="1" ht="25.2" customHeight="1" x14ac:dyDescent="0.3">
      <c r="L23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31" s="1">
        <f>N230+Table1181920231030313235383940414811151820283172126[[#This Row],[اجمالي الفاتوره]]-Table1181920231030313235383940414811151820283172126[[#This Row],[الدفعات]]</f>
        <v>64136.619999999995</v>
      </c>
    </row>
    <row r="232" spans="10:14" s="1" customFormat="1" ht="25.2" customHeight="1" x14ac:dyDescent="0.3">
      <c r="L23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32" s="1">
        <f>N231+Table1181920231030313235383940414811151820283172126[[#This Row],[اجمالي الفاتوره]]-Table1181920231030313235383940414811151820283172126[[#This Row],[الدفعات]]</f>
        <v>64136.619999999995</v>
      </c>
    </row>
    <row r="233" spans="10:14" s="1" customFormat="1" ht="25.2" customHeight="1" x14ac:dyDescent="0.3">
      <c r="L23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33" s="1">
        <f>N232+Table1181920231030313235383940414811151820283172126[[#This Row],[اجمالي الفاتوره]]-Table1181920231030313235383940414811151820283172126[[#This Row],[الدفعات]]</f>
        <v>64136.619999999995</v>
      </c>
    </row>
    <row r="234" spans="10:14" s="1" customFormat="1" ht="25.2" customHeight="1" x14ac:dyDescent="0.3">
      <c r="L23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34" s="1">
        <f>N233+Table1181920231030313235383940414811151820283172126[[#This Row],[اجمالي الفاتوره]]-Table1181920231030313235383940414811151820283172126[[#This Row],[الدفعات]]</f>
        <v>64136.619999999995</v>
      </c>
    </row>
    <row r="235" spans="10:14" s="1" customFormat="1" ht="25.2" customHeight="1" x14ac:dyDescent="0.3">
      <c r="L23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35" s="1">
        <f>N234+Table1181920231030313235383940414811151820283172126[[#This Row],[اجمالي الفاتوره]]-Table1181920231030313235383940414811151820283172126[[#This Row],[الدفعات]]</f>
        <v>64136.619999999995</v>
      </c>
    </row>
    <row r="236" spans="10:14" s="1" customFormat="1" ht="25.2" customHeight="1" x14ac:dyDescent="0.3">
      <c r="L23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36" s="1">
        <f>N235+Table1181920231030313235383940414811151820283172126[[#This Row],[اجمالي الفاتوره]]-Table1181920231030313235383940414811151820283172126[[#This Row],[الدفعات]]</f>
        <v>64136.619999999995</v>
      </c>
    </row>
    <row r="237" spans="10:14" s="1" customFormat="1" ht="25.2" customHeight="1" x14ac:dyDescent="0.3">
      <c r="L23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37" s="1">
        <f>N236+Table1181920231030313235383940414811151820283172126[[#This Row],[اجمالي الفاتوره]]-Table1181920231030313235383940414811151820283172126[[#This Row],[الدفعات]]</f>
        <v>64136.619999999995</v>
      </c>
    </row>
    <row r="238" spans="10:14" s="1" customFormat="1" ht="25.2" customHeight="1" x14ac:dyDescent="0.3">
      <c r="J238" s="1">
        <f>0.03*Table1181920231030313235383940414811151820283172126[[#This Row],[النولون]]</f>
        <v>0</v>
      </c>
      <c r="L23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38" s="1">
        <f>N237+Table1181920231030313235383940414811151820283172126[[#This Row],[اجمالي الفاتوره]]-Table1181920231030313235383940414811151820283172126[[#This Row],[الدفعات]]</f>
        <v>64136.619999999995</v>
      </c>
    </row>
    <row r="239" spans="10:14" s="1" customFormat="1" ht="25.2" customHeight="1" x14ac:dyDescent="0.3">
      <c r="J239" s="1">
        <f>0.03*Table1181920231030313235383940414811151820283172126[[#This Row],[النولون]]</f>
        <v>0</v>
      </c>
      <c r="L23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39" s="1">
        <f>N238+Table1181920231030313235383940414811151820283172126[[#This Row],[اجمالي الفاتوره]]-Table1181920231030313235383940414811151820283172126[[#This Row],[الدفعات]]</f>
        <v>64136.619999999995</v>
      </c>
    </row>
    <row r="240" spans="10:14" s="1" customFormat="1" ht="25.2" customHeight="1" x14ac:dyDescent="0.3">
      <c r="J240" s="1">
        <f>0.03*Table1181920231030313235383940414811151820283172126[[#This Row],[النولون]]</f>
        <v>0</v>
      </c>
      <c r="L24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40" s="1">
        <f>N239+Table1181920231030313235383940414811151820283172126[[#This Row],[اجمالي الفاتوره]]-Table1181920231030313235383940414811151820283172126[[#This Row],[الدفعات]]</f>
        <v>64136.619999999995</v>
      </c>
    </row>
    <row r="241" spans="10:14" s="1" customFormat="1" ht="25.2" customHeight="1" x14ac:dyDescent="0.3">
      <c r="J241" s="1">
        <f>0.03*Table1181920231030313235383940414811151820283172126[[#This Row],[النولون]]</f>
        <v>0</v>
      </c>
      <c r="L24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41" s="1">
        <f>N240+Table1181920231030313235383940414811151820283172126[[#This Row],[اجمالي الفاتوره]]-Table1181920231030313235383940414811151820283172126[[#This Row],[الدفعات]]</f>
        <v>64136.619999999995</v>
      </c>
    </row>
    <row r="242" spans="10:14" s="1" customFormat="1" ht="25.2" customHeight="1" x14ac:dyDescent="0.3">
      <c r="J242" s="1">
        <f>0.03*Table1181920231030313235383940414811151820283172126[[#This Row],[النولون]]</f>
        <v>0</v>
      </c>
      <c r="L24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42" s="1">
        <f>N241+Table1181920231030313235383940414811151820283172126[[#This Row],[اجمالي الفاتوره]]-Table1181920231030313235383940414811151820283172126[[#This Row],[الدفعات]]</f>
        <v>64136.619999999995</v>
      </c>
    </row>
    <row r="243" spans="10:14" s="1" customFormat="1" ht="25.2" customHeight="1" x14ac:dyDescent="0.3">
      <c r="J243" s="1">
        <f>0.03*Table1181920231030313235383940414811151820283172126[[#This Row],[النولون]]</f>
        <v>0</v>
      </c>
      <c r="L24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43" s="1">
        <f>N242+Table1181920231030313235383940414811151820283172126[[#This Row],[اجمالي الفاتوره]]-Table1181920231030313235383940414811151820283172126[[#This Row],[الدفعات]]</f>
        <v>64136.619999999995</v>
      </c>
    </row>
    <row r="244" spans="10:14" s="1" customFormat="1" ht="25.2" customHeight="1" x14ac:dyDescent="0.3">
      <c r="J244" s="1">
        <f>0.03*Table1181920231030313235383940414811151820283172126[[#This Row],[النولون]]</f>
        <v>0</v>
      </c>
      <c r="L24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44" s="1">
        <f>N243+Table1181920231030313235383940414811151820283172126[[#This Row],[اجمالي الفاتوره]]-Table1181920231030313235383940414811151820283172126[[#This Row],[الدفعات]]</f>
        <v>64136.619999999995</v>
      </c>
    </row>
    <row r="245" spans="10:14" s="1" customFormat="1" ht="25.2" customHeight="1" x14ac:dyDescent="0.3">
      <c r="J245" s="1">
        <f>0.03*Table1181920231030313235383940414811151820283172126[[#This Row],[النولون]]</f>
        <v>0</v>
      </c>
      <c r="L24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45" s="1">
        <f>N244+Table1181920231030313235383940414811151820283172126[[#This Row],[اجمالي الفاتوره]]-Table1181920231030313235383940414811151820283172126[[#This Row],[الدفعات]]</f>
        <v>64136.619999999995</v>
      </c>
    </row>
    <row r="246" spans="10:14" s="1" customFormat="1" ht="25.2" customHeight="1" x14ac:dyDescent="0.3">
      <c r="J246" s="1">
        <f>0.03*Table1181920231030313235383940414811151820283172126[[#This Row],[النولون]]</f>
        <v>0</v>
      </c>
      <c r="L24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46" s="1">
        <f>N245+Table1181920231030313235383940414811151820283172126[[#This Row],[اجمالي الفاتوره]]-Table1181920231030313235383940414811151820283172126[[#This Row],[الدفعات]]</f>
        <v>64136.619999999995</v>
      </c>
    </row>
    <row r="247" spans="10:14" s="1" customFormat="1" ht="25.2" customHeight="1" x14ac:dyDescent="0.3">
      <c r="J247" s="1">
        <f>0.03*Table1181920231030313235383940414811151820283172126[[#This Row],[النولون]]</f>
        <v>0</v>
      </c>
      <c r="L24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47" s="1">
        <f>N246+Table1181920231030313235383940414811151820283172126[[#This Row],[اجمالي الفاتوره]]-Table1181920231030313235383940414811151820283172126[[#This Row],[الدفعات]]</f>
        <v>64136.619999999995</v>
      </c>
    </row>
    <row r="248" spans="10:14" s="1" customFormat="1" ht="25.2" customHeight="1" x14ac:dyDescent="0.3">
      <c r="J248" s="1">
        <f>0.03*Table1181920231030313235383940414811151820283172126[[#This Row],[النولون]]</f>
        <v>0</v>
      </c>
      <c r="L24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48" s="1">
        <f>N247+Table1181920231030313235383940414811151820283172126[[#This Row],[اجمالي الفاتوره]]-Table1181920231030313235383940414811151820283172126[[#This Row],[الدفعات]]</f>
        <v>64136.619999999995</v>
      </c>
    </row>
    <row r="249" spans="10:14" s="1" customFormat="1" ht="25.2" customHeight="1" x14ac:dyDescent="0.3">
      <c r="J249" s="1">
        <f>0.03*Table1181920231030313235383940414811151820283172126[[#This Row],[النولون]]</f>
        <v>0</v>
      </c>
      <c r="L24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49" s="1">
        <f>N248+Table1181920231030313235383940414811151820283172126[[#This Row],[اجمالي الفاتوره]]-Table1181920231030313235383940414811151820283172126[[#This Row],[الدفعات]]</f>
        <v>64136.619999999995</v>
      </c>
    </row>
    <row r="250" spans="10:14" s="1" customFormat="1" ht="25.2" customHeight="1" x14ac:dyDescent="0.3">
      <c r="J250" s="1">
        <f>0.03*Table1181920231030313235383940414811151820283172126[[#This Row],[النولون]]</f>
        <v>0</v>
      </c>
      <c r="L25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50" s="1">
        <f>N249+Table1181920231030313235383940414811151820283172126[[#This Row],[اجمالي الفاتوره]]-Table1181920231030313235383940414811151820283172126[[#This Row],[الدفعات]]</f>
        <v>64136.619999999995</v>
      </c>
    </row>
    <row r="251" spans="10:14" s="1" customFormat="1" ht="25.2" customHeight="1" x14ac:dyDescent="0.3">
      <c r="J251" s="1">
        <f>0.03*Table1181920231030313235383940414811151820283172126[[#This Row],[النولون]]</f>
        <v>0</v>
      </c>
      <c r="L25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51" s="1">
        <f>N250+Table1181920231030313235383940414811151820283172126[[#This Row],[اجمالي الفاتوره]]-Table1181920231030313235383940414811151820283172126[[#This Row],[الدفعات]]</f>
        <v>64136.619999999995</v>
      </c>
    </row>
    <row r="252" spans="10:14" s="1" customFormat="1" ht="25.2" customHeight="1" x14ac:dyDescent="0.3">
      <c r="J252" s="1">
        <f>0.03*Table1181920231030313235383940414811151820283172126[[#This Row],[النولون]]</f>
        <v>0</v>
      </c>
      <c r="L25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52" s="1">
        <f>N251+Table1181920231030313235383940414811151820283172126[[#This Row],[اجمالي الفاتوره]]-Table1181920231030313235383940414811151820283172126[[#This Row],[الدفعات]]</f>
        <v>64136.619999999995</v>
      </c>
    </row>
    <row r="253" spans="10:14" s="1" customFormat="1" ht="25.2" customHeight="1" x14ac:dyDescent="0.3">
      <c r="J253" s="1">
        <f>0.03*Table1181920231030313235383940414811151820283172126[[#This Row],[النولون]]</f>
        <v>0</v>
      </c>
      <c r="L25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53" s="1">
        <f>N252+Table1181920231030313235383940414811151820283172126[[#This Row],[اجمالي الفاتوره]]-Table1181920231030313235383940414811151820283172126[[#This Row],[الدفعات]]</f>
        <v>64136.619999999995</v>
      </c>
    </row>
    <row r="254" spans="10:14" s="1" customFormat="1" ht="25.2" customHeight="1" x14ac:dyDescent="0.3">
      <c r="J254" s="1">
        <f>0.03*Table1181920231030313235383940414811151820283172126[[#This Row],[النولون]]</f>
        <v>0</v>
      </c>
      <c r="L25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54" s="1">
        <f>N253+Table1181920231030313235383940414811151820283172126[[#This Row],[اجمالي الفاتوره]]-Table1181920231030313235383940414811151820283172126[[#This Row],[الدفعات]]</f>
        <v>64136.619999999995</v>
      </c>
    </row>
    <row r="255" spans="10:14" s="1" customFormat="1" ht="25.2" customHeight="1" x14ac:dyDescent="0.3">
      <c r="J255" s="1">
        <f>0.03*Table1181920231030313235383940414811151820283172126[[#This Row],[النولون]]</f>
        <v>0</v>
      </c>
      <c r="L25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55" s="1">
        <f>N254+Table1181920231030313235383940414811151820283172126[[#This Row],[اجمالي الفاتوره]]-Table1181920231030313235383940414811151820283172126[[#This Row],[الدفعات]]</f>
        <v>64136.619999999995</v>
      </c>
    </row>
    <row r="256" spans="10:14" s="1" customFormat="1" ht="25.2" customHeight="1" x14ac:dyDescent="0.3">
      <c r="J256" s="1">
        <f>0.03*Table1181920231030313235383940414811151820283172126[[#This Row],[النولون]]</f>
        <v>0</v>
      </c>
      <c r="L25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56" s="1">
        <f>N255+Table1181920231030313235383940414811151820283172126[[#This Row],[اجمالي الفاتوره]]-Table1181920231030313235383940414811151820283172126[[#This Row],[الدفعات]]</f>
        <v>64136.619999999995</v>
      </c>
    </row>
    <row r="257" spans="10:14" s="1" customFormat="1" ht="25.2" customHeight="1" x14ac:dyDescent="0.3">
      <c r="J257" s="1">
        <f>0.03*Table1181920231030313235383940414811151820283172126[[#This Row],[النولون]]</f>
        <v>0</v>
      </c>
      <c r="L25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57" s="1">
        <f>N256+Table1181920231030313235383940414811151820283172126[[#This Row],[اجمالي الفاتوره]]-Table1181920231030313235383940414811151820283172126[[#This Row],[الدفعات]]</f>
        <v>64136.619999999995</v>
      </c>
    </row>
    <row r="258" spans="10:14" s="1" customFormat="1" ht="25.2" customHeight="1" x14ac:dyDescent="0.3">
      <c r="J258" s="1">
        <f>0.03*Table1181920231030313235383940414811151820283172126[[#This Row],[النولون]]</f>
        <v>0</v>
      </c>
      <c r="L25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58" s="1">
        <f>N257+Table1181920231030313235383940414811151820283172126[[#This Row],[اجمالي الفاتوره]]-Table1181920231030313235383940414811151820283172126[[#This Row],[الدفعات]]</f>
        <v>64136.619999999995</v>
      </c>
    </row>
    <row r="259" spans="10:14" s="1" customFormat="1" ht="25.2" customHeight="1" x14ac:dyDescent="0.3">
      <c r="J259" s="1">
        <f>0.03*Table1181920231030313235383940414811151820283172126[[#This Row],[النولون]]</f>
        <v>0</v>
      </c>
      <c r="L25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59" s="1">
        <f>N258+Table1181920231030313235383940414811151820283172126[[#This Row],[اجمالي الفاتوره]]-Table1181920231030313235383940414811151820283172126[[#This Row],[الدفعات]]</f>
        <v>64136.619999999995</v>
      </c>
    </row>
    <row r="260" spans="10:14" s="1" customFormat="1" ht="25.2" customHeight="1" x14ac:dyDescent="0.3">
      <c r="J260" s="1">
        <f>0.03*Table1181920231030313235383940414811151820283172126[[#This Row],[النولون]]</f>
        <v>0</v>
      </c>
      <c r="L26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60" s="1">
        <f>N259+Table1181920231030313235383940414811151820283172126[[#This Row],[اجمالي الفاتوره]]-Table1181920231030313235383940414811151820283172126[[#This Row],[الدفعات]]</f>
        <v>64136.619999999995</v>
      </c>
    </row>
    <row r="261" spans="10:14" s="1" customFormat="1" ht="25.2" customHeight="1" x14ac:dyDescent="0.3">
      <c r="J261" s="1">
        <f>0.03*Table1181920231030313235383940414811151820283172126[[#This Row],[النولون]]</f>
        <v>0</v>
      </c>
      <c r="L26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61" s="1">
        <f>N260+Table1181920231030313235383940414811151820283172126[[#This Row],[اجمالي الفاتوره]]-Table1181920231030313235383940414811151820283172126[[#This Row],[الدفعات]]</f>
        <v>64136.619999999995</v>
      </c>
    </row>
    <row r="262" spans="10:14" s="1" customFormat="1" ht="25.2" customHeight="1" x14ac:dyDescent="0.3">
      <c r="J262" s="1">
        <f>0.03*Table1181920231030313235383940414811151820283172126[[#This Row],[النولون]]</f>
        <v>0</v>
      </c>
      <c r="L26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62" s="1">
        <f>N261+Table1181920231030313235383940414811151820283172126[[#This Row],[اجمالي الفاتوره]]-Table1181920231030313235383940414811151820283172126[[#This Row],[الدفعات]]</f>
        <v>64136.619999999995</v>
      </c>
    </row>
    <row r="263" spans="10:14" s="1" customFormat="1" ht="25.2" customHeight="1" x14ac:dyDescent="0.3">
      <c r="J263" s="1">
        <f>0.03*Table1181920231030313235383940414811151820283172126[[#This Row],[النولون]]</f>
        <v>0</v>
      </c>
      <c r="L26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63" s="1">
        <f>N262+Table1181920231030313235383940414811151820283172126[[#This Row],[اجمالي الفاتوره]]-Table1181920231030313235383940414811151820283172126[[#This Row],[الدفعات]]</f>
        <v>64136.619999999995</v>
      </c>
    </row>
    <row r="264" spans="10:14" s="1" customFormat="1" ht="25.2" customHeight="1" x14ac:dyDescent="0.3">
      <c r="J264" s="1">
        <f>0.03*Table1181920231030313235383940414811151820283172126[[#This Row],[النولون]]</f>
        <v>0</v>
      </c>
      <c r="L26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64" s="1">
        <f>N263+Table1181920231030313235383940414811151820283172126[[#This Row],[اجمالي الفاتوره]]-Table1181920231030313235383940414811151820283172126[[#This Row],[الدفعات]]</f>
        <v>64136.619999999995</v>
      </c>
    </row>
    <row r="265" spans="10:14" s="1" customFormat="1" ht="25.2" customHeight="1" x14ac:dyDescent="0.3">
      <c r="J265" s="1">
        <f>0.03*Table1181920231030313235383940414811151820283172126[[#This Row],[النولون]]</f>
        <v>0</v>
      </c>
      <c r="L26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65" s="1">
        <f>N264+Table1181920231030313235383940414811151820283172126[[#This Row],[اجمالي الفاتوره]]-Table1181920231030313235383940414811151820283172126[[#This Row],[الدفعات]]</f>
        <v>64136.619999999995</v>
      </c>
    </row>
    <row r="266" spans="10:14" s="1" customFormat="1" ht="25.2" customHeight="1" x14ac:dyDescent="0.3">
      <c r="J266" s="1">
        <f>0.03*Table1181920231030313235383940414811151820283172126[[#This Row],[النولون]]</f>
        <v>0</v>
      </c>
      <c r="L26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66" s="1">
        <f>N265+Table1181920231030313235383940414811151820283172126[[#This Row],[اجمالي الفاتوره]]-Table1181920231030313235383940414811151820283172126[[#This Row],[الدفعات]]</f>
        <v>64136.619999999995</v>
      </c>
    </row>
    <row r="267" spans="10:14" s="1" customFormat="1" ht="25.2" customHeight="1" x14ac:dyDescent="0.3">
      <c r="J267" s="1">
        <f>0.03*Table1181920231030313235383940414811151820283172126[[#This Row],[النولون]]</f>
        <v>0</v>
      </c>
      <c r="L26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67" s="1">
        <f>N266+Table1181920231030313235383940414811151820283172126[[#This Row],[اجمالي الفاتوره]]-Table1181920231030313235383940414811151820283172126[[#This Row],[الدفعات]]</f>
        <v>64136.619999999995</v>
      </c>
    </row>
    <row r="268" spans="10:14" s="1" customFormat="1" ht="25.2" customHeight="1" x14ac:dyDescent="0.3">
      <c r="J268" s="1">
        <f>0.03*Table1181920231030313235383940414811151820283172126[[#This Row],[النولون]]</f>
        <v>0</v>
      </c>
      <c r="L26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68" s="1">
        <f>N267+Table1181920231030313235383940414811151820283172126[[#This Row],[اجمالي الفاتوره]]-Table1181920231030313235383940414811151820283172126[[#This Row],[الدفعات]]</f>
        <v>64136.619999999995</v>
      </c>
    </row>
    <row r="269" spans="10:14" s="1" customFormat="1" ht="25.2" customHeight="1" x14ac:dyDescent="0.3">
      <c r="J269" s="1">
        <f>0.03*Table1181920231030313235383940414811151820283172126[[#This Row],[النولون]]</f>
        <v>0</v>
      </c>
      <c r="L26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69" s="1">
        <f>N268+Table1181920231030313235383940414811151820283172126[[#This Row],[اجمالي الفاتوره]]-Table1181920231030313235383940414811151820283172126[[#This Row],[الدفعات]]</f>
        <v>64136.619999999995</v>
      </c>
    </row>
    <row r="270" spans="10:14" s="1" customFormat="1" ht="25.2" customHeight="1" x14ac:dyDescent="0.3">
      <c r="J270" s="1">
        <f>0.03*Table1181920231030313235383940414811151820283172126[[#This Row],[النولون]]</f>
        <v>0</v>
      </c>
      <c r="L27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70" s="1">
        <f>N269+Table1181920231030313235383940414811151820283172126[[#This Row],[اجمالي الفاتوره]]-Table1181920231030313235383940414811151820283172126[[#This Row],[الدفعات]]</f>
        <v>64136.619999999995</v>
      </c>
    </row>
    <row r="271" spans="10:14" s="1" customFormat="1" ht="25.2" customHeight="1" x14ac:dyDescent="0.3">
      <c r="J271" s="1">
        <f>0.03*Table1181920231030313235383940414811151820283172126[[#This Row],[النولون]]</f>
        <v>0</v>
      </c>
      <c r="L27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71" s="1">
        <f>N270+Table1181920231030313235383940414811151820283172126[[#This Row],[اجمالي الفاتوره]]-Table1181920231030313235383940414811151820283172126[[#This Row],[الدفعات]]</f>
        <v>64136.619999999995</v>
      </c>
    </row>
    <row r="272" spans="10:14" s="1" customFormat="1" ht="25.2" customHeight="1" x14ac:dyDescent="0.3">
      <c r="J272" s="1">
        <f>0.03*Table1181920231030313235383940414811151820283172126[[#This Row],[النولون]]</f>
        <v>0</v>
      </c>
      <c r="L27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72" s="1">
        <f>N271+Table1181920231030313235383940414811151820283172126[[#This Row],[اجمالي الفاتوره]]-Table1181920231030313235383940414811151820283172126[[#This Row],[الدفعات]]</f>
        <v>64136.619999999995</v>
      </c>
    </row>
    <row r="273" spans="10:14" s="1" customFormat="1" ht="25.2" customHeight="1" x14ac:dyDescent="0.3">
      <c r="J273" s="1">
        <f>0.03*Table1181920231030313235383940414811151820283172126[[#This Row],[النولون]]</f>
        <v>0</v>
      </c>
      <c r="L27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73" s="1">
        <f>N272+Table1181920231030313235383940414811151820283172126[[#This Row],[اجمالي الفاتوره]]-Table1181920231030313235383940414811151820283172126[[#This Row],[الدفعات]]</f>
        <v>64136.619999999995</v>
      </c>
    </row>
    <row r="274" spans="10:14" s="1" customFormat="1" ht="25.2" customHeight="1" x14ac:dyDescent="0.3">
      <c r="J274" s="1">
        <f>0.03*Table1181920231030313235383940414811151820283172126[[#This Row],[النولون]]</f>
        <v>0</v>
      </c>
      <c r="L27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74" s="1">
        <f>N273+Table1181920231030313235383940414811151820283172126[[#This Row],[اجمالي الفاتوره]]-Table1181920231030313235383940414811151820283172126[[#This Row],[الدفعات]]</f>
        <v>64136.619999999995</v>
      </c>
    </row>
    <row r="275" spans="10:14" s="1" customFormat="1" ht="25.2" customHeight="1" x14ac:dyDescent="0.3">
      <c r="J275" s="1">
        <f>0.03*Table1181920231030313235383940414811151820283172126[[#This Row],[النولون]]</f>
        <v>0</v>
      </c>
      <c r="L27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75" s="1">
        <f>N274+Table1181920231030313235383940414811151820283172126[[#This Row],[اجمالي الفاتوره]]-Table1181920231030313235383940414811151820283172126[[#This Row],[الدفعات]]</f>
        <v>64136.619999999995</v>
      </c>
    </row>
    <row r="276" spans="10:14" s="1" customFormat="1" ht="25.2" customHeight="1" x14ac:dyDescent="0.3">
      <c r="J276" s="1">
        <f>0.03*Table1181920231030313235383940414811151820283172126[[#This Row],[النولون]]</f>
        <v>0</v>
      </c>
      <c r="L27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76" s="1">
        <f>N275+Table1181920231030313235383940414811151820283172126[[#This Row],[اجمالي الفاتوره]]-Table1181920231030313235383940414811151820283172126[[#This Row],[الدفعات]]</f>
        <v>64136.619999999995</v>
      </c>
    </row>
    <row r="277" spans="10:14" s="1" customFormat="1" ht="25.2" customHeight="1" x14ac:dyDescent="0.3">
      <c r="J277" s="1">
        <f>0.03*Table1181920231030313235383940414811151820283172126[[#This Row],[النولون]]</f>
        <v>0</v>
      </c>
      <c r="L27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77" s="1">
        <f>N276+Table1181920231030313235383940414811151820283172126[[#This Row],[اجمالي الفاتوره]]-Table1181920231030313235383940414811151820283172126[[#This Row],[الدفعات]]</f>
        <v>64136.619999999995</v>
      </c>
    </row>
    <row r="278" spans="10:14" s="1" customFormat="1" ht="25.2" customHeight="1" x14ac:dyDescent="0.3">
      <c r="J278" s="1">
        <f>0.03*Table1181920231030313235383940414811151820283172126[[#This Row],[النولون]]</f>
        <v>0</v>
      </c>
      <c r="L27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78" s="1">
        <f>N277+Table1181920231030313235383940414811151820283172126[[#This Row],[اجمالي الفاتوره]]-Table1181920231030313235383940414811151820283172126[[#This Row],[الدفعات]]</f>
        <v>64136.619999999995</v>
      </c>
    </row>
    <row r="279" spans="10:14" s="1" customFormat="1" ht="25.2" customHeight="1" x14ac:dyDescent="0.3">
      <c r="J279" s="1">
        <f>0.03*Table1181920231030313235383940414811151820283172126[[#This Row],[النولون]]</f>
        <v>0</v>
      </c>
      <c r="L27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79" s="1">
        <f>N278+Table1181920231030313235383940414811151820283172126[[#This Row],[اجمالي الفاتوره]]-Table1181920231030313235383940414811151820283172126[[#This Row],[الدفعات]]</f>
        <v>64136.619999999995</v>
      </c>
    </row>
    <row r="280" spans="10:14" s="1" customFormat="1" ht="25.2" customHeight="1" x14ac:dyDescent="0.3">
      <c r="J280" s="1">
        <f>0.03*Table1181920231030313235383940414811151820283172126[[#This Row],[النولون]]</f>
        <v>0</v>
      </c>
      <c r="L28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80" s="1">
        <f>N279+Table1181920231030313235383940414811151820283172126[[#This Row],[اجمالي الفاتوره]]-Table1181920231030313235383940414811151820283172126[[#This Row],[الدفعات]]</f>
        <v>64136.619999999995</v>
      </c>
    </row>
    <row r="281" spans="10:14" s="1" customFormat="1" ht="25.2" customHeight="1" x14ac:dyDescent="0.3">
      <c r="J281" s="1">
        <f>0.03*Table1181920231030313235383940414811151820283172126[[#This Row],[النولون]]</f>
        <v>0</v>
      </c>
      <c r="L28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81" s="1">
        <f>N280+Table1181920231030313235383940414811151820283172126[[#This Row],[اجمالي الفاتوره]]-Table1181920231030313235383940414811151820283172126[[#This Row],[الدفعات]]</f>
        <v>64136.619999999995</v>
      </c>
    </row>
    <row r="282" spans="10:14" s="1" customFormat="1" ht="25.2" customHeight="1" x14ac:dyDescent="0.3">
      <c r="J282" s="1">
        <f>0.03*Table1181920231030313235383940414811151820283172126[[#This Row],[النولون]]</f>
        <v>0</v>
      </c>
      <c r="L28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82" s="1">
        <f>N281+Table1181920231030313235383940414811151820283172126[[#This Row],[اجمالي الفاتوره]]-Table1181920231030313235383940414811151820283172126[[#This Row],[الدفعات]]</f>
        <v>64136.619999999995</v>
      </c>
    </row>
    <row r="283" spans="10:14" s="1" customFormat="1" ht="25.2" customHeight="1" x14ac:dyDescent="0.3">
      <c r="J283" s="1">
        <f>0.03*Table1181920231030313235383940414811151820283172126[[#This Row],[النولون]]</f>
        <v>0</v>
      </c>
      <c r="L28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83" s="1">
        <f>N282+Table1181920231030313235383940414811151820283172126[[#This Row],[اجمالي الفاتوره]]-Table1181920231030313235383940414811151820283172126[[#This Row],[الدفعات]]</f>
        <v>64136.619999999995</v>
      </c>
    </row>
    <row r="284" spans="10:14" s="1" customFormat="1" ht="25.2" customHeight="1" x14ac:dyDescent="0.3">
      <c r="J284" s="1">
        <f>0.03*Table1181920231030313235383940414811151820283172126[[#This Row],[النولون]]</f>
        <v>0</v>
      </c>
      <c r="L28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84" s="1">
        <f>N283+Table1181920231030313235383940414811151820283172126[[#This Row],[اجمالي الفاتوره]]-Table1181920231030313235383940414811151820283172126[[#This Row],[الدفعات]]</f>
        <v>64136.619999999995</v>
      </c>
    </row>
    <row r="285" spans="10:14" s="1" customFormat="1" ht="25.2" customHeight="1" x14ac:dyDescent="0.3">
      <c r="J285" s="1">
        <f>0.03*Table1181920231030313235383940414811151820283172126[[#This Row],[النولون]]</f>
        <v>0</v>
      </c>
      <c r="L28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85" s="1">
        <f>N284+Table1181920231030313235383940414811151820283172126[[#This Row],[اجمالي الفاتوره]]-Table1181920231030313235383940414811151820283172126[[#This Row],[الدفعات]]</f>
        <v>64136.619999999995</v>
      </c>
    </row>
    <row r="286" spans="10:14" s="1" customFormat="1" ht="25.2" customHeight="1" x14ac:dyDescent="0.3">
      <c r="J286" s="1">
        <f>0.03*Table1181920231030313235383940414811151820283172126[[#This Row],[النولون]]</f>
        <v>0</v>
      </c>
      <c r="L28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86" s="1">
        <f>N285+Table1181920231030313235383940414811151820283172126[[#This Row],[اجمالي الفاتوره]]-Table1181920231030313235383940414811151820283172126[[#This Row],[الدفعات]]</f>
        <v>64136.619999999995</v>
      </c>
    </row>
    <row r="287" spans="10:14" s="1" customFormat="1" ht="25.2" customHeight="1" x14ac:dyDescent="0.3">
      <c r="J287" s="1">
        <f>0.03*Table1181920231030313235383940414811151820283172126[[#This Row],[النولون]]</f>
        <v>0</v>
      </c>
      <c r="L28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87" s="1">
        <f>N286+Table1181920231030313235383940414811151820283172126[[#This Row],[اجمالي الفاتوره]]-Table1181920231030313235383940414811151820283172126[[#This Row],[الدفعات]]</f>
        <v>64136.619999999995</v>
      </c>
    </row>
    <row r="288" spans="10:14" s="1" customFormat="1" ht="25.2" customHeight="1" x14ac:dyDescent="0.3">
      <c r="J288" s="1">
        <f>0.03*Table1181920231030313235383940414811151820283172126[[#This Row],[النولون]]</f>
        <v>0</v>
      </c>
      <c r="L28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88" s="1">
        <f>N287+Table1181920231030313235383940414811151820283172126[[#This Row],[اجمالي الفاتوره]]-Table1181920231030313235383940414811151820283172126[[#This Row],[الدفعات]]</f>
        <v>64136.619999999995</v>
      </c>
    </row>
    <row r="289" spans="10:14" s="1" customFormat="1" ht="25.2" customHeight="1" x14ac:dyDescent="0.3">
      <c r="J289" s="1">
        <f>0.03*Table1181920231030313235383940414811151820283172126[[#This Row],[النولون]]</f>
        <v>0</v>
      </c>
      <c r="L28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89" s="1">
        <f>N288+Table1181920231030313235383940414811151820283172126[[#This Row],[اجمالي الفاتوره]]-Table1181920231030313235383940414811151820283172126[[#This Row],[الدفعات]]</f>
        <v>64136.619999999995</v>
      </c>
    </row>
    <row r="290" spans="10:14" s="1" customFormat="1" ht="25.2" customHeight="1" x14ac:dyDescent="0.3">
      <c r="J290" s="1">
        <f>0.03*Table1181920231030313235383940414811151820283172126[[#This Row],[النولون]]</f>
        <v>0</v>
      </c>
      <c r="L29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90" s="1">
        <f>N289+Table1181920231030313235383940414811151820283172126[[#This Row],[اجمالي الفاتوره]]-Table1181920231030313235383940414811151820283172126[[#This Row],[الدفعات]]</f>
        <v>64136.619999999995</v>
      </c>
    </row>
    <row r="291" spans="10:14" s="1" customFormat="1" ht="25.2" customHeight="1" x14ac:dyDescent="0.3">
      <c r="J291" s="1">
        <f>0.03*Table1181920231030313235383940414811151820283172126[[#This Row],[النولون]]</f>
        <v>0</v>
      </c>
      <c r="L29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91" s="1">
        <f>N290+Table1181920231030313235383940414811151820283172126[[#This Row],[اجمالي الفاتوره]]-Table1181920231030313235383940414811151820283172126[[#This Row],[الدفعات]]</f>
        <v>64136.619999999995</v>
      </c>
    </row>
    <row r="292" spans="10:14" s="1" customFormat="1" ht="25.2" customHeight="1" x14ac:dyDescent="0.3">
      <c r="J292" s="1">
        <f>0.03*Table1181920231030313235383940414811151820283172126[[#This Row],[النولون]]</f>
        <v>0</v>
      </c>
      <c r="L29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92" s="1">
        <f>N291+Table1181920231030313235383940414811151820283172126[[#This Row],[اجمالي الفاتوره]]-Table1181920231030313235383940414811151820283172126[[#This Row],[الدفعات]]</f>
        <v>64136.619999999995</v>
      </c>
    </row>
    <row r="293" spans="10:14" s="1" customFormat="1" ht="25.2" customHeight="1" x14ac:dyDescent="0.3">
      <c r="J293" s="1">
        <f>0.03*Table1181920231030313235383940414811151820283172126[[#This Row],[النولون]]</f>
        <v>0</v>
      </c>
      <c r="L29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93" s="1">
        <f>N292+Table1181920231030313235383940414811151820283172126[[#This Row],[اجمالي الفاتوره]]-Table1181920231030313235383940414811151820283172126[[#This Row],[الدفعات]]</f>
        <v>64136.619999999995</v>
      </c>
    </row>
    <row r="294" spans="10:14" s="1" customFormat="1" ht="25.2" customHeight="1" x14ac:dyDescent="0.3">
      <c r="J294" s="1">
        <f>0.03*Table1181920231030313235383940414811151820283172126[[#This Row],[النولون]]</f>
        <v>0</v>
      </c>
      <c r="L29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94" s="1">
        <f>N293+Table1181920231030313235383940414811151820283172126[[#This Row],[اجمالي الفاتوره]]-Table1181920231030313235383940414811151820283172126[[#This Row],[الدفعات]]</f>
        <v>64136.619999999995</v>
      </c>
    </row>
    <row r="295" spans="10:14" s="1" customFormat="1" ht="25.2" customHeight="1" x14ac:dyDescent="0.3">
      <c r="J295" s="1">
        <f>0.03*Table1181920231030313235383940414811151820283172126[[#This Row],[النولون]]</f>
        <v>0</v>
      </c>
      <c r="L29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95" s="1">
        <f>N294+Table1181920231030313235383940414811151820283172126[[#This Row],[اجمالي الفاتوره]]-Table1181920231030313235383940414811151820283172126[[#This Row],[الدفعات]]</f>
        <v>64136.619999999995</v>
      </c>
    </row>
    <row r="296" spans="10:14" s="1" customFormat="1" ht="25.2" customHeight="1" x14ac:dyDescent="0.3">
      <c r="J296" s="1">
        <f>0.03*Table1181920231030313235383940414811151820283172126[[#This Row],[النولون]]</f>
        <v>0</v>
      </c>
      <c r="L29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96" s="1">
        <f>N295+Table1181920231030313235383940414811151820283172126[[#This Row],[اجمالي الفاتوره]]-Table1181920231030313235383940414811151820283172126[[#This Row],[الدفعات]]</f>
        <v>64136.619999999995</v>
      </c>
    </row>
    <row r="297" spans="10:14" s="1" customFormat="1" ht="25.2" customHeight="1" x14ac:dyDescent="0.3">
      <c r="J297" s="1">
        <f>0.03*Table1181920231030313235383940414811151820283172126[[#This Row],[النولون]]</f>
        <v>0</v>
      </c>
      <c r="L29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97" s="1">
        <f>N296+Table1181920231030313235383940414811151820283172126[[#This Row],[اجمالي الفاتوره]]-Table1181920231030313235383940414811151820283172126[[#This Row],[الدفعات]]</f>
        <v>64136.619999999995</v>
      </c>
    </row>
    <row r="298" spans="10:14" s="1" customFormat="1" ht="25.2" customHeight="1" x14ac:dyDescent="0.3">
      <c r="J298" s="1">
        <f>0.03*Table1181920231030313235383940414811151820283172126[[#This Row],[النولون]]</f>
        <v>0</v>
      </c>
      <c r="L29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98" s="1">
        <f>N297+Table1181920231030313235383940414811151820283172126[[#This Row],[اجمالي الفاتوره]]-Table1181920231030313235383940414811151820283172126[[#This Row],[الدفعات]]</f>
        <v>64136.619999999995</v>
      </c>
    </row>
    <row r="299" spans="10:14" s="1" customFormat="1" ht="25.2" customHeight="1" x14ac:dyDescent="0.3">
      <c r="J299" s="1">
        <f>0.03*Table1181920231030313235383940414811151820283172126[[#This Row],[النولون]]</f>
        <v>0</v>
      </c>
      <c r="L29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299" s="1">
        <f>N298+Table1181920231030313235383940414811151820283172126[[#This Row],[اجمالي الفاتوره]]-Table1181920231030313235383940414811151820283172126[[#This Row],[الدفعات]]</f>
        <v>64136.619999999995</v>
      </c>
    </row>
    <row r="300" spans="10:14" s="1" customFormat="1" ht="25.2" customHeight="1" x14ac:dyDescent="0.3">
      <c r="J300" s="1">
        <f>0.03*Table1181920231030313235383940414811151820283172126[[#This Row],[النولون]]</f>
        <v>0</v>
      </c>
      <c r="L30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00" s="1">
        <f>N299+Table1181920231030313235383940414811151820283172126[[#This Row],[اجمالي الفاتوره]]-Table1181920231030313235383940414811151820283172126[[#This Row],[الدفعات]]</f>
        <v>64136.619999999995</v>
      </c>
    </row>
    <row r="301" spans="10:14" s="1" customFormat="1" ht="25.2" customHeight="1" x14ac:dyDescent="0.3">
      <c r="J301" s="1">
        <f>0.03*Table1181920231030313235383940414811151820283172126[[#This Row],[النولون]]</f>
        <v>0</v>
      </c>
      <c r="L30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01" s="1">
        <f>N300+Table1181920231030313235383940414811151820283172126[[#This Row],[اجمالي الفاتوره]]-Table1181920231030313235383940414811151820283172126[[#This Row],[الدفعات]]</f>
        <v>64136.619999999995</v>
      </c>
    </row>
    <row r="302" spans="10:14" s="1" customFormat="1" ht="25.2" customHeight="1" x14ac:dyDescent="0.3">
      <c r="J302" s="1">
        <f>0.03*Table1181920231030313235383940414811151820283172126[[#This Row],[النولون]]</f>
        <v>0</v>
      </c>
      <c r="L30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02" s="1">
        <f>N301+Table1181920231030313235383940414811151820283172126[[#This Row],[اجمالي الفاتوره]]-Table1181920231030313235383940414811151820283172126[[#This Row],[الدفعات]]</f>
        <v>64136.619999999995</v>
      </c>
    </row>
    <row r="303" spans="10:14" s="1" customFormat="1" ht="25.2" customHeight="1" x14ac:dyDescent="0.3">
      <c r="J303" s="1">
        <f>0.03*Table1181920231030313235383940414811151820283172126[[#This Row],[النولون]]</f>
        <v>0</v>
      </c>
      <c r="L30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03" s="1">
        <f>N302+Table1181920231030313235383940414811151820283172126[[#This Row],[اجمالي الفاتوره]]-Table1181920231030313235383940414811151820283172126[[#This Row],[الدفعات]]</f>
        <v>64136.619999999995</v>
      </c>
    </row>
    <row r="304" spans="10:14" s="1" customFormat="1" ht="25.2" customHeight="1" x14ac:dyDescent="0.3">
      <c r="J304" s="1">
        <f>0.03*Table1181920231030313235383940414811151820283172126[[#This Row],[النولون]]</f>
        <v>0</v>
      </c>
      <c r="L30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04" s="1">
        <f>N303+Table1181920231030313235383940414811151820283172126[[#This Row],[اجمالي الفاتوره]]-Table1181920231030313235383940414811151820283172126[[#This Row],[الدفعات]]</f>
        <v>64136.619999999995</v>
      </c>
    </row>
    <row r="305" spans="10:14" s="1" customFormat="1" ht="25.2" customHeight="1" x14ac:dyDescent="0.3">
      <c r="J305" s="1">
        <f>0.03*Table1181920231030313235383940414811151820283172126[[#This Row],[النولون]]</f>
        <v>0</v>
      </c>
      <c r="L30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05" s="1">
        <f>N304+Table1181920231030313235383940414811151820283172126[[#This Row],[اجمالي الفاتوره]]-Table1181920231030313235383940414811151820283172126[[#This Row],[الدفعات]]</f>
        <v>64136.619999999995</v>
      </c>
    </row>
    <row r="306" spans="10:14" s="1" customFormat="1" ht="25.2" customHeight="1" x14ac:dyDescent="0.3">
      <c r="J306" s="1">
        <f>0.03*Table1181920231030313235383940414811151820283172126[[#This Row],[النولون]]</f>
        <v>0</v>
      </c>
      <c r="L30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06" s="1">
        <f>N305+Table1181920231030313235383940414811151820283172126[[#This Row],[اجمالي الفاتوره]]-Table1181920231030313235383940414811151820283172126[[#This Row],[الدفعات]]</f>
        <v>64136.619999999995</v>
      </c>
    </row>
    <row r="307" spans="10:14" s="1" customFormat="1" ht="25.2" customHeight="1" x14ac:dyDescent="0.3">
      <c r="J307" s="1">
        <f>0.03*Table1181920231030313235383940414811151820283172126[[#This Row],[النولون]]</f>
        <v>0</v>
      </c>
      <c r="L30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07" s="1">
        <f>N306+Table1181920231030313235383940414811151820283172126[[#This Row],[اجمالي الفاتوره]]-Table1181920231030313235383940414811151820283172126[[#This Row],[الدفعات]]</f>
        <v>64136.619999999995</v>
      </c>
    </row>
    <row r="308" spans="10:14" s="1" customFormat="1" ht="25.2" customHeight="1" x14ac:dyDescent="0.3">
      <c r="J308" s="1">
        <f>0.03*Table1181920231030313235383940414811151820283172126[[#This Row],[النولون]]</f>
        <v>0</v>
      </c>
      <c r="L30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08" s="1">
        <f>N307+Table1181920231030313235383940414811151820283172126[[#This Row],[اجمالي الفاتوره]]-Table1181920231030313235383940414811151820283172126[[#This Row],[الدفعات]]</f>
        <v>64136.619999999995</v>
      </c>
    </row>
    <row r="309" spans="10:14" s="1" customFormat="1" ht="25.2" customHeight="1" x14ac:dyDescent="0.3">
      <c r="J309" s="1">
        <f>0.03*Table1181920231030313235383940414811151820283172126[[#This Row],[النولون]]</f>
        <v>0</v>
      </c>
      <c r="L30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09" s="1">
        <f>N308+Table1181920231030313235383940414811151820283172126[[#This Row],[اجمالي الفاتوره]]-Table1181920231030313235383940414811151820283172126[[#This Row],[الدفعات]]</f>
        <v>64136.619999999995</v>
      </c>
    </row>
    <row r="310" spans="10:14" s="1" customFormat="1" ht="25.2" customHeight="1" x14ac:dyDescent="0.3">
      <c r="J310" s="1">
        <f>0.03*Table1181920231030313235383940414811151820283172126[[#This Row],[النولون]]</f>
        <v>0</v>
      </c>
      <c r="L31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10" s="1">
        <f>N309+Table1181920231030313235383940414811151820283172126[[#This Row],[اجمالي الفاتوره]]-Table1181920231030313235383940414811151820283172126[[#This Row],[الدفعات]]</f>
        <v>64136.619999999995</v>
      </c>
    </row>
    <row r="311" spans="10:14" s="1" customFormat="1" ht="25.2" customHeight="1" x14ac:dyDescent="0.3">
      <c r="J311" s="1">
        <f>0.03*Table1181920231030313235383940414811151820283172126[[#This Row],[النولون]]</f>
        <v>0</v>
      </c>
      <c r="L31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11" s="1">
        <f>N310+Table1181920231030313235383940414811151820283172126[[#This Row],[اجمالي الفاتوره]]-Table1181920231030313235383940414811151820283172126[[#This Row],[الدفعات]]</f>
        <v>64136.619999999995</v>
      </c>
    </row>
    <row r="312" spans="10:14" s="1" customFormat="1" ht="25.2" customHeight="1" x14ac:dyDescent="0.3">
      <c r="J312" s="1">
        <f>0.03*Table1181920231030313235383940414811151820283172126[[#This Row],[النولون]]</f>
        <v>0</v>
      </c>
      <c r="L31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12" s="1">
        <f>N311+Table1181920231030313235383940414811151820283172126[[#This Row],[اجمالي الفاتوره]]-Table1181920231030313235383940414811151820283172126[[#This Row],[الدفعات]]</f>
        <v>64136.619999999995</v>
      </c>
    </row>
    <row r="313" spans="10:14" s="1" customFormat="1" ht="25.2" customHeight="1" x14ac:dyDescent="0.3">
      <c r="J313" s="1">
        <f>0.03*Table1181920231030313235383940414811151820283172126[[#This Row],[النولون]]</f>
        <v>0</v>
      </c>
      <c r="L31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13" s="1">
        <f>N312+Table1181920231030313235383940414811151820283172126[[#This Row],[اجمالي الفاتوره]]-Table1181920231030313235383940414811151820283172126[[#This Row],[الدفعات]]</f>
        <v>64136.619999999995</v>
      </c>
    </row>
    <row r="314" spans="10:14" s="1" customFormat="1" ht="25.2" customHeight="1" x14ac:dyDescent="0.3">
      <c r="J314" s="1">
        <f>0.03*Table1181920231030313235383940414811151820283172126[[#This Row],[النولون]]</f>
        <v>0</v>
      </c>
      <c r="L31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14" s="1">
        <f>N313+Table1181920231030313235383940414811151820283172126[[#This Row],[اجمالي الفاتوره]]-Table1181920231030313235383940414811151820283172126[[#This Row],[الدفعات]]</f>
        <v>64136.619999999995</v>
      </c>
    </row>
    <row r="315" spans="10:14" s="1" customFormat="1" ht="25.2" customHeight="1" x14ac:dyDescent="0.3">
      <c r="J315" s="1">
        <f>0.03*Table1181920231030313235383940414811151820283172126[[#This Row],[النولون]]</f>
        <v>0</v>
      </c>
      <c r="L31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15" s="1">
        <f>N314+Table1181920231030313235383940414811151820283172126[[#This Row],[اجمالي الفاتوره]]-Table1181920231030313235383940414811151820283172126[[#This Row],[الدفعات]]</f>
        <v>64136.619999999995</v>
      </c>
    </row>
    <row r="316" spans="10:14" s="1" customFormat="1" ht="25.2" customHeight="1" x14ac:dyDescent="0.3">
      <c r="J316" s="1">
        <f>0.03*Table1181920231030313235383940414811151820283172126[[#This Row],[النولون]]</f>
        <v>0</v>
      </c>
      <c r="L31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16" s="1">
        <f>N315+Table1181920231030313235383940414811151820283172126[[#This Row],[اجمالي الفاتوره]]-Table1181920231030313235383940414811151820283172126[[#This Row],[الدفعات]]</f>
        <v>64136.619999999995</v>
      </c>
    </row>
    <row r="317" spans="10:14" s="1" customFormat="1" ht="25.2" customHeight="1" x14ac:dyDescent="0.3">
      <c r="J317" s="1">
        <f>0.03*Table1181920231030313235383940414811151820283172126[[#This Row],[النولون]]</f>
        <v>0</v>
      </c>
      <c r="L31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17" s="1">
        <f>N316+Table1181920231030313235383940414811151820283172126[[#This Row],[اجمالي الفاتوره]]-Table1181920231030313235383940414811151820283172126[[#This Row],[الدفعات]]</f>
        <v>64136.619999999995</v>
      </c>
    </row>
    <row r="318" spans="10:14" s="1" customFormat="1" ht="25.2" customHeight="1" x14ac:dyDescent="0.3">
      <c r="J318" s="1">
        <f>0.03*Table1181920231030313235383940414811151820283172126[[#This Row],[النولون]]</f>
        <v>0</v>
      </c>
      <c r="L31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18" s="1">
        <f>N317+Table1181920231030313235383940414811151820283172126[[#This Row],[اجمالي الفاتوره]]-Table1181920231030313235383940414811151820283172126[[#This Row],[الدفعات]]</f>
        <v>64136.619999999995</v>
      </c>
    </row>
    <row r="319" spans="10:14" s="1" customFormat="1" ht="25.2" customHeight="1" x14ac:dyDescent="0.3">
      <c r="J319" s="1">
        <f>0.03*Table1181920231030313235383940414811151820283172126[[#This Row],[النولون]]</f>
        <v>0</v>
      </c>
      <c r="L31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19" s="1">
        <f>N318+Table1181920231030313235383940414811151820283172126[[#This Row],[اجمالي الفاتوره]]-Table1181920231030313235383940414811151820283172126[[#This Row],[الدفعات]]</f>
        <v>64136.619999999995</v>
      </c>
    </row>
    <row r="320" spans="10:14" s="1" customFormat="1" ht="25.2" customHeight="1" x14ac:dyDescent="0.3">
      <c r="J320" s="1">
        <f>0.03*Table1181920231030313235383940414811151820283172126[[#This Row],[النولون]]</f>
        <v>0</v>
      </c>
      <c r="L32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20" s="1">
        <f>N319+Table1181920231030313235383940414811151820283172126[[#This Row],[اجمالي الفاتوره]]-Table1181920231030313235383940414811151820283172126[[#This Row],[الدفعات]]</f>
        <v>64136.619999999995</v>
      </c>
    </row>
    <row r="321" spans="10:14" s="1" customFormat="1" ht="25.2" customHeight="1" x14ac:dyDescent="0.3">
      <c r="J321" s="1">
        <f>0.03*Table1181920231030313235383940414811151820283172126[[#This Row],[النولون]]</f>
        <v>0</v>
      </c>
      <c r="L32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21" s="1">
        <f>N320+Table1181920231030313235383940414811151820283172126[[#This Row],[اجمالي الفاتوره]]-Table1181920231030313235383940414811151820283172126[[#This Row],[الدفعات]]</f>
        <v>64136.619999999995</v>
      </c>
    </row>
    <row r="322" spans="10:14" s="1" customFormat="1" ht="25.2" customHeight="1" x14ac:dyDescent="0.3">
      <c r="J322" s="1">
        <f>0.03*Table1181920231030313235383940414811151820283172126[[#This Row],[النولون]]</f>
        <v>0</v>
      </c>
      <c r="L32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22" s="1">
        <f>N321+Table1181920231030313235383940414811151820283172126[[#This Row],[اجمالي الفاتوره]]-Table1181920231030313235383940414811151820283172126[[#This Row],[الدفعات]]</f>
        <v>64136.619999999995</v>
      </c>
    </row>
    <row r="323" spans="10:14" s="1" customFormat="1" ht="25.2" customHeight="1" x14ac:dyDescent="0.3">
      <c r="J323" s="1">
        <f>0.03*Table1181920231030313235383940414811151820283172126[[#This Row],[النولون]]</f>
        <v>0</v>
      </c>
      <c r="L32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23" s="1">
        <f>N322+Table1181920231030313235383940414811151820283172126[[#This Row],[اجمالي الفاتوره]]-Table1181920231030313235383940414811151820283172126[[#This Row],[الدفعات]]</f>
        <v>64136.619999999995</v>
      </c>
    </row>
    <row r="324" spans="10:14" s="1" customFormat="1" ht="25.2" customHeight="1" x14ac:dyDescent="0.3">
      <c r="J324" s="1">
        <f>0.03*Table1181920231030313235383940414811151820283172126[[#This Row],[النولون]]</f>
        <v>0</v>
      </c>
      <c r="L32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24" s="1">
        <f>N323+Table1181920231030313235383940414811151820283172126[[#This Row],[اجمالي الفاتوره]]-Table1181920231030313235383940414811151820283172126[[#This Row],[الدفعات]]</f>
        <v>64136.619999999995</v>
      </c>
    </row>
    <row r="325" spans="10:14" s="1" customFormat="1" ht="25.2" customHeight="1" x14ac:dyDescent="0.3">
      <c r="J325" s="1">
        <f>0.03*Table1181920231030313235383940414811151820283172126[[#This Row],[النولون]]</f>
        <v>0</v>
      </c>
      <c r="L32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25" s="1">
        <f>N324+Table1181920231030313235383940414811151820283172126[[#This Row],[اجمالي الفاتوره]]-Table1181920231030313235383940414811151820283172126[[#This Row],[الدفعات]]</f>
        <v>64136.619999999995</v>
      </c>
    </row>
    <row r="326" spans="10:14" s="1" customFormat="1" ht="25.2" customHeight="1" x14ac:dyDescent="0.3">
      <c r="J326" s="1">
        <f>0.03*Table1181920231030313235383940414811151820283172126[[#This Row],[النولون]]</f>
        <v>0</v>
      </c>
      <c r="L32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26" s="1">
        <f>N325+Table1181920231030313235383940414811151820283172126[[#This Row],[اجمالي الفاتوره]]-Table1181920231030313235383940414811151820283172126[[#This Row],[الدفعات]]</f>
        <v>64136.619999999995</v>
      </c>
    </row>
    <row r="327" spans="10:14" s="1" customFormat="1" ht="25.2" customHeight="1" x14ac:dyDescent="0.3">
      <c r="J327" s="1">
        <f>0.03*Table1181920231030313235383940414811151820283172126[[#This Row],[النولون]]</f>
        <v>0</v>
      </c>
      <c r="L32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27" s="1">
        <f>N326+Table1181920231030313235383940414811151820283172126[[#This Row],[اجمالي الفاتوره]]-Table1181920231030313235383940414811151820283172126[[#This Row],[الدفعات]]</f>
        <v>64136.619999999995</v>
      </c>
    </row>
    <row r="328" spans="10:14" s="1" customFormat="1" ht="25.2" customHeight="1" x14ac:dyDescent="0.3">
      <c r="J328" s="1">
        <f>0.03*Table1181920231030313235383940414811151820283172126[[#This Row],[النولون]]</f>
        <v>0</v>
      </c>
      <c r="L32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28" s="1">
        <f>N327+Table1181920231030313235383940414811151820283172126[[#This Row],[اجمالي الفاتوره]]-Table1181920231030313235383940414811151820283172126[[#This Row],[الدفعات]]</f>
        <v>64136.619999999995</v>
      </c>
    </row>
    <row r="329" spans="10:14" s="1" customFormat="1" ht="25.2" customHeight="1" x14ac:dyDescent="0.3">
      <c r="J329" s="1">
        <f>0.03*Table1181920231030313235383940414811151820283172126[[#This Row],[النولون]]</f>
        <v>0</v>
      </c>
      <c r="L329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29" s="1">
        <f>N328+Table1181920231030313235383940414811151820283172126[[#This Row],[اجمالي الفاتوره]]-Table1181920231030313235383940414811151820283172126[[#This Row],[الدفعات]]</f>
        <v>64136.619999999995</v>
      </c>
    </row>
    <row r="330" spans="10:14" s="1" customFormat="1" ht="25.2" customHeight="1" x14ac:dyDescent="0.3">
      <c r="J330" s="1">
        <f>0.03*Table1181920231030313235383940414811151820283172126[[#This Row],[النولون]]</f>
        <v>0</v>
      </c>
      <c r="L330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30" s="1">
        <f>N329+Table1181920231030313235383940414811151820283172126[[#This Row],[اجمالي الفاتوره]]-Table1181920231030313235383940414811151820283172126[[#This Row],[الدفعات]]</f>
        <v>64136.619999999995</v>
      </c>
    </row>
    <row r="331" spans="10:14" s="1" customFormat="1" ht="25.2" customHeight="1" x14ac:dyDescent="0.3">
      <c r="J331" s="1">
        <f>0.03*Table1181920231030313235383940414811151820283172126[[#This Row],[النولون]]</f>
        <v>0</v>
      </c>
      <c r="L331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31" s="1">
        <f>N330+Table1181920231030313235383940414811151820283172126[[#This Row],[اجمالي الفاتوره]]-Table1181920231030313235383940414811151820283172126[[#This Row],[الدفعات]]</f>
        <v>64136.619999999995</v>
      </c>
    </row>
    <row r="332" spans="10:14" s="1" customFormat="1" ht="25.2" customHeight="1" x14ac:dyDescent="0.3">
      <c r="J332" s="1">
        <f>0.03*Table1181920231030313235383940414811151820283172126[[#This Row],[النولون]]</f>
        <v>0</v>
      </c>
      <c r="L332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32" s="1">
        <f>N331+Table1181920231030313235383940414811151820283172126[[#This Row],[اجمالي الفاتوره]]-Table1181920231030313235383940414811151820283172126[[#This Row],[الدفعات]]</f>
        <v>64136.619999999995</v>
      </c>
    </row>
    <row r="333" spans="10:14" s="1" customFormat="1" ht="25.2" customHeight="1" x14ac:dyDescent="0.3">
      <c r="J333" s="1">
        <f>0.03*Table1181920231030313235383940414811151820283172126[[#This Row],[النولون]]</f>
        <v>0</v>
      </c>
      <c r="L333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33" s="1">
        <f>N332+Table1181920231030313235383940414811151820283172126[[#This Row],[اجمالي الفاتوره]]-Table1181920231030313235383940414811151820283172126[[#This Row],[الدفعات]]</f>
        <v>64136.619999999995</v>
      </c>
    </row>
    <row r="334" spans="10:14" s="1" customFormat="1" ht="25.2" customHeight="1" x14ac:dyDescent="0.3">
      <c r="J334" s="1">
        <f>0.03*Table1181920231030313235383940414811151820283172126[[#This Row],[النولون]]</f>
        <v>0</v>
      </c>
      <c r="L334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34" s="1">
        <f>N333+Table1181920231030313235383940414811151820283172126[[#This Row],[اجمالي الفاتوره]]-Table1181920231030313235383940414811151820283172126[[#This Row],[الدفعات]]</f>
        <v>64136.619999999995</v>
      </c>
    </row>
    <row r="335" spans="10:14" s="1" customFormat="1" ht="25.2" customHeight="1" x14ac:dyDescent="0.3">
      <c r="J335" s="1">
        <f>0.03*Table1181920231030313235383940414811151820283172126[[#This Row],[النولون]]</f>
        <v>0</v>
      </c>
      <c r="L335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35" s="1">
        <f>N334+Table1181920231030313235383940414811151820283172126[[#This Row],[اجمالي الفاتوره]]-Table1181920231030313235383940414811151820283172126[[#This Row],[الدفعات]]</f>
        <v>64136.619999999995</v>
      </c>
    </row>
    <row r="336" spans="10:14" s="1" customFormat="1" ht="25.2" customHeight="1" x14ac:dyDescent="0.3">
      <c r="J336" s="1">
        <f>0.03*Table1181920231030313235383940414811151820283172126[[#This Row],[النولون]]</f>
        <v>0</v>
      </c>
      <c r="L336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36" s="1">
        <f>N335+Table1181920231030313235383940414811151820283172126[[#This Row],[اجمالي الفاتوره]]-Table1181920231030313235383940414811151820283172126[[#This Row],[الدفعات]]</f>
        <v>64136.619999999995</v>
      </c>
    </row>
    <row r="337" spans="10:14" s="1" customFormat="1" ht="25.2" customHeight="1" x14ac:dyDescent="0.3">
      <c r="J337" s="1">
        <f>0.03*Table1181920231030313235383940414811151820283172126[[#This Row],[النولون]]</f>
        <v>0</v>
      </c>
      <c r="L337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37" s="1">
        <f>N336+Table1181920231030313235383940414811151820283172126[[#This Row],[اجمالي الفاتوره]]-Table1181920231030313235383940414811151820283172126[[#This Row],[الدفعات]]</f>
        <v>64136.619999999995</v>
      </c>
    </row>
    <row r="338" spans="10:14" s="1" customFormat="1" ht="25.2" customHeight="1" x14ac:dyDescent="0.3">
      <c r="J338" s="1">
        <f>0.03*Table1181920231030313235383940414811151820283172126[[#This Row],[النولون]]</f>
        <v>0</v>
      </c>
      <c r="L338" s="1">
        <f>Table1181920231030313235383940414811151820283172126[[#This Row],[النولون]]+Table1181920231030313235383940414811151820283172126[[#This Row],[الايصالات]]-Table1181920231030313235383940414811151820283172126[[#This Row],[خصم أ ت ص]]+Table1181920231030313235383940414811151820283172126[[#This Row],[قيمة مضافة]]</f>
        <v>0</v>
      </c>
      <c r="N338" s="1">
        <f>N337+Table1181920231030313235383940414811151820283172126[[#This Row],[اجمالي الفاتوره]]-Table1181920231030313235383940414811151820283172126[[#This Row],[الدفعات]]</f>
        <v>64136.619999999995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5CA46-9835-4CD0-BF09-4AD4DD9AD4C4}">
  <dimension ref="A1:O338"/>
  <sheetViews>
    <sheetView rightToLeft="1" workbookViewId="0">
      <selection activeCell="K12" sqref="K12"/>
    </sheetView>
  </sheetViews>
  <sheetFormatPr defaultColWidth="9.109375" defaultRowHeight="15.6" x14ac:dyDescent="0.3"/>
  <cols>
    <col min="1" max="1" width="5.44140625" style="6" customWidth="1"/>
    <col min="2" max="2" width="5.44140625" style="1" customWidth="1"/>
    <col min="3" max="3" width="11" style="1" customWidth="1"/>
    <col min="4" max="4" width="15.109375" style="1" customWidth="1"/>
    <col min="5" max="5" width="11.21875" style="1" customWidth="1"/>
    <col min="6" max="6" width="13.33203125" style="1" customWidth="1"/>
    <col min="7" max="7" width="11.88671875" style="1" customWidth="1"/>
    <col min="8" max="8" width="11.6640625" style="1" customWidth="1"/>
    <col min="9" max="9" width="8.33203125" style="1" customWidth="1"/>
    <col min="10" max="10" width="8.21875" style="1" customWidth="1"/>
    <col min="11" max="11" width="10.77734375" style="1" customWidth="1"/>
    <col min="12" max="12" width="12" style="1" customWidth="1"/>
    <col min="13" max="13" width="12.77734375" style="1" customWidth="1"/>
    <col min="14" max="14" width="15.21875" style="1" customWidth="1"/>
    <col min="15" max="16384" width="9.109375" style="1"/>
  </cols>
  <sheetData>
    <row r="1" spans="1:15" ht="25.2" customHeight="1" x14ac:dyDescent="0.3">
      <c r="A1" s="6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25.2" customHeight="1" x14ac:dyDescent="0.3">
      <c r="B2" s="1">
        <v>1</v>
      </c>
      <c r="C2" s="2">
        <v>46187</v>
      </c>
      <c r="D2" s="1" t="s">
        <v>632</v>
      </c>
      <c r="E2" s="1" t="s">
        <v>496</v>
      </c>
      <c r="F2" s="1">
        <v>276905</v>
      </c>
      <c r="G2" s="1" t="s">
        <v>181</v>
      </c>
      <c r="H2" s="1">
        <f>9000*4</f>
        <v>36000</v>
      </c>
      <c r="K2" s="1">
        <f>1600+28519.62</f>
        <v>30119.62</v>
      </c>
      <c r="L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66119.62</v>
      </c>
      <c r="N2" s="1">
        <f>Table118192023103031323538394041481115182028317212637[[#This Row],[اجمالي الفاتوره]]-Table118192023103031323538394041481115182028317212637[[#This Row],[الدفعات]]</f>
        <v>66119.62</v>
      </c>
    </row>
    <row r="3" spans="1:15" ht="25.2" customHeight="1" x14ac:dyDescent="0.3">
      <c r="A3" s="74"/>
      <c r="B3" s="72"/>
      <c r="C3" s="73">
        <v>46198</v>
      </c>
      <c r="D3" s="72"/>
      <c r="E3" s="72"/>
      <c r="F3" s="72"/>
      <c r="G3" s="72"/>
      <c r="H3" s="72"/>
      <c r="I3" s="72"/>
      <c r="J3" s="72"/>
      <c r="K3" s="72"/>
      <c r="L3" s="72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M3" s="72">
        <v>50000</v>
      </c>
      <c r="N3" s="72">
        <f>N2+Table118192023103031323538394041481115182028317212637[[#This Row],[اجمالي الفاتوره]]-Table118192023103031323538394041481115182028317212637[[#This Row],[الدفعات]]</f>
        <v>16119.619999999995</v>
      </c>
    </row>
    <row r="4" spans="1:15" ht="25.2" customHeight="1" x14ac:dyDescent="0.3">
      <c r="A4" s="42"/>
      <c r="B4" s="1">
        <v>2</v>
      </c>
      <c r="C4" s="2">
        <v>46200</v>
      </c>
      <c r="D4" s="1" t="s">
        <v>636</v>
      </c>
      <c r="E4" s="1" t="s">
        <v>94</v>
      </c>
      <c r="F4" s="1">
        <v>930788</v>
      </c>
      <c r="G4" s="1" t="s">
        <v>121</v>
      </c>
      <c r="H4" s="95">
        <v>17000</v>
      </c>
      <c r="K4" s="1">
        <f>210+365.21+100+150+1100+2500+200+285</f>
        <v>4910.21</v>
      </c>
      <c r="L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21910.21</v>
      </c>
      <c r="N4" s="1">
        <f>N3+Table118192023103031323538394041481115182028317212637[[#This Row],[اجمالي الفاتوره]]-Table118192023103031323538394041481115182028317212637[[#This Row],[الدفعات]]</f>
        <v>38029.829999999994</v>
      </c>
    </row>
    <row r="5" spans="1:15" ht="25.2" customHeight="1" x14ac:dyDescent="0.3">
      <c r="C5" s="2"/>
      <c r="L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5" s="1">
        <f>N4+Table118192023103031323538394041481115182028317212637[[#This Row],[اجمالي الفاتوره]]-Table118192023103031323538394041481115182028317212637[[#This Row],[الدفعات]]</f>
        <v>38029.829999999994</v>
      </c>
    </row>
    <row r="6" spans="1:15" ht="25.2" customHeight="1" x14ac:dyDescent="0.3">
      <c r="C6" s="2"/>
      <c r="L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6" s="1">
        <f>N5+Table118192023103031323538394041481115182028317212637[[#This Row],[اجمالي الفاتوره]]-Table118192023103031323538394041481115182028317212637[[#This Row],[الدفعات]]</f>
        <v>38029.829999999994</v>
      </c>
    </row>
    <row r="7" spans="1:15" ht="25.2" customHeight="1" x14ac:dyDescent="0.3">
      <c r="C7" s="2"/>
      <c r="L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7" s="1">
        <f>N6+Table118192023103031323538394041481115182028317212637[[#This Row],[اجمالي الفاتوره]]-Table118192023103031323538394041481115182028317212637[[#This Row],[الدفعات]]</f>
        <v>38029.829999999994</v>
      </c>
    </row>
    <row r="8" spans="1:15" ht="25.2" customHeight="1" x14ac:dyDescent="0.3">
      <c r="C8" s="2"/>
      <c r="G8" s="20"/>
      <c r="L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8" s="1">
        <f>N7+Table118192023103031323538394041481115182028317212637[[#This Row],[اجمالي الفاتوره]]-Table118192023103031323538394041481115182028317212637[[#This Row],[الدفعات]]</f>
        <v>38029.829999999994</v>
      </c>
    </row>
    <row r="9" spans="1:15" ht="25.2" customHeight="1" x14ac:dyDescent="0.3">
      <c r="C9" s="2"/>
      <c r="E9" s="20"/>
      <c r="F9" s="20"/>
      <c r="L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9" s="1">
        <f>N8+Table118192023103031323538394041481115182028317212637[[#This Row],[اجمالي الفاتوره]]-Table118192023103031323538394041481115182028317212637[[#This Row],[الدفعات]]</f>
        <v>38029.829999999994</v>
      </c>
    </row>
    <row r="10" spans="1:15" ht="25.2" customHeight="1" x14ac:dyDescent="0.3">
      <c r="C10" s="2"/>
      <c r="F10" s="20"/>
      <c r="L1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0" s="1">
        <f>N9+Table118192023103031323538394041481115182028317212637[[#This Row],[اجمالي الفاتوره]]-Table118192023103031323538394041481115182028317212637[[#This Row],[الدفعات]]</f>
        <v>38029.829999999994</v>
      </c>
    </row>
    <row r="11" spans="1:15" ht="25.2" customHeight="1" x14ac:dyDescent="0.3">
      <c r="C11" s="2"/>
      <c r="F11" s="20"/>
      <c r="L1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1" s="1">
        <f>N10+Table118192023103031323538394041481115182028317212637[[#This Row],[اجمالي الفاتوره]]-Table118192023103031323538394041481115182028317212637[[#This Row],[الدفعات]]</f>
        <v>38029.829999999994</v>
      </c>
    </row>
    <row r="12" spans="1:15" ht="25.2" customHeight="1" x14ac:dyDescent="0.3">
      <c r="C12" s="2"/>
      <c r="L1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2" s="1">
        <f>N11+Table118192023103031323538394041481115182028317212637[[#This Row],[اجمالي الفاتوره]]-Table118192023103031323538394041481115182028317212637[[#This Row],[الدفعات]]</f>
        <v>38029.829999999994</v>
      </c>
      <c r="O12" s="1">
        <f>SUM(L:L)-SUM(M:M)</f>
        <v>38029.829999999987</v>
      </c>
    </row>
    <row r="13" spans="1:15" ht="25.2" customHeight="1" x14ac:dyDescent="0.3">
      <c r="C13" s="2"/>
      <c r="L1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3" s="1">
        <f>N12+Table118192023103031323538394041481115182028317212637[[#This Row],[اجمالي الفاتوره]]-Table118192023103031323538394041481115182028317212637[[#This Row],[الدفعات]]</f>
        <v>38029.829999999994</v>
      </c>
    </row>
    <row r="14" spans="1:15" ht="25.2" customHeight="1" x14ac:dyDescent="0.3">
      <c r="C14" s="2"/>
      <c r="L1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4" s="1">
        <f>N13+Table118192023103031323538394041481115182028317212637[[#This Row],[اجمالي الفاتوره]]-Table118192023103031323538394041481115182028317212637[[#This Row],[الدفعات]]</f>
        <v>38029.829999999994</v>
      </c>
    </row>
    <row r="15" spans="1:15" ht="25.2" customHeight="1" x14ac:dyDescent="0.3">
      <c r="C15" s="2"/>
      <c r="L1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5" s="1">
        <f>N14+Table118192023103031323538394041481115182028317212637[[#This Row],[اجمالي الفاتوره]]-Table118192023103031323538394041481115182028317212637[[#This Row],[الدفعات]]</f>
        <v>38029.829999999994</v>
      </c>
    </row>
    <row r="16" spans="1:15" ht="25.2" customHeight="1" x14ac:dyDescent="0.3">
      <c r="C16" s="2"/>
      <c r="L1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6" s="1">
        <f>N15+Table118192023103031323538394041481115182028317212637[[#This Row],[اجمالي الفاتوره]]-Table118192023103031323538394041481115182028317212637[[#This Row],[الدفعات]]</f>
        <v>38029.829999999994</v>
      </c>
    </row>
    <row r="17" spans="3:14" s="1" customFormat="1" ht="25.2" customHeight="1" x14ac:dyDescent="0.3">
      <c r="C17" s="2"/>
      <c r="L1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7" s="1">
        <f>N16+Table118192023103031323538394041481115182028317212637[[#This Row],[اجمالي الفاتوره]]-Table118192023103031323538394041481115182028317212637[[#This Row],[الدفعات]]</f>
        <v>38029.829999999994</v>
      </c>
    </row>
    <row r="18" spans="3:14" s="1" customFormat="1" ht="25.2" customHeight="1" x14ac:dyDescent="0.3">
      <c r="C18" s="2"/>
      <c r="L1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8" s="1">
        <f>N17+Table118192023103031323538394041481115182028317212637[[#This Row],[اجمالي الفاتوره]]-Table118192023103031323538394041481115182028317212637[[#This Row],[الدفعات]]</f>
        <v>38029.829999999994</v>
      </c>
    </row>
    <row r="19" spans="3:14" s="1" customFormat="1" ht="25.2" customHeight="1" x14ac:dyDescent="0.3">
      <c r="C19" s="2"/>
      <c r="L1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9" s="1">
        <f>N18+Table118192023103031323538394041481115182028317212637[[#This Row],[اجمالي الفاتوره]]-Table118192023103031323538394041481115182028317212637[[#This Row],[الدفعات]]</f>
        <v>38029.829999999994</v>
      </c>
    </row>
    <row r="20" spans="3:14" s="1" customFormat="1" ht="25.2" customHeight="1" x14ac:dyDescent="0.3">
      <c r="C20" s="2"/>
      <c r="L2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0" s="1">
        <f>N19+Table118192023103031323538394041481115182028317212637[[#This Row],[اجمالي الفاتوره]]-Table118192023103031323538394041481115182028317212637[[#This Row],[الدفعات]]</f>
        <v>38029.829999999994</v>
      </c>
    </row>
    <row r="21" spans="3:14" s="1" customFormat="1" ht="25.2" customHeight="1" x14ac:dyDescent="0.3">
      <c r="C21" s="2"/>
      <c r="L2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1" s="1">
        <f>N20+Table118192023103031323538394041481115182028317212637[[#This Row],[اجمالي الفاتوره]]-Table118192023103031323538394041481115182028317212637[[#This Row],[الدفعات]]</f>
        <v>38029.829999999994</v>
      </c>
    </row>
    <row r="22" spans="3:14" s="1" customFormat="1" ht="25.2" customHeight="1" x14ac:dyDescent="0.3">
      <c r="C22" s="2"/>
      <c r="L2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2" s="1">
        <f>N21+Table118192023103031323538394041481115182028317212637[[#This Row],[اجمالي الفاتوره]]-Table118192023103031323538394041481115182028317212637[[#This Row],[الدفعات]]</f>
        <v>38029.829999999994</v>
      </c>
    </row>
    <row r="23" spans="3:14" s="1" customFormat="1" ht="25.2" customHeight="1" x14ac:dyDescent="0.3">
      <c r="C23" s="2"/>
      <c r="L2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3" s="1">
        <f>N22+Table118192023103031323538394041481115182028317212637[[#This Row],[اجمالي الفاتوره]]-Table118192023103031323538394041481115182028317212637[[#This Row],[الدفعات]]</f>
        <v>38029.829999999994</v>
      </c>
    </row>
    <row r="24" spans="3:14" s="1" customFormat="1" ht="25.2" customHeight="1" x14ac:dyDescent="0.3">
      <c r="L2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4" s="1">
        <f>N23+Table118192023103031323538394041481115182028317212637[[#This Row],[اجمالي الفاتوره]]-Table118192023103031323538394041481115182028317212637[[#This Row],[الدفعات]]</f>
        <v>38029.829999999994</v>
      </c>
    </row>
    <row r="25" spans="3:14" s="1" customFormat="1" ht="25.2" customHeight="1" x14ac:dyDescent="0.3">
      <c r="L2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5" s="1">
        <f>N24+Table118192023103031323538394041481115182028317212637[[#This Row],[اجمالي الفاتوره]]-Table118192023103031323538394041481115182028317212637[[#This Row],[الدفعات]]</f>
        <v>38029.829999999994</v>
      </c>
    </row>
    <row r="26" spans="3:14" s="1" customFormat="1" ht="25.2" customHeight="1" x14ac:dyDescent="0.3">
      <c r="C26" s="2"/>
      <c r="L2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6" s="1">
        <f>N25+Table118192023103031323538394041481115182028317212637[[#This Row],[اجمالي الفاتوره]]-Table118192023103031323538394041481115182028317212637[[#This Row],[الدفعات]]</f>
        <v>38029.829999999994</v>
      </c>
    </row>
    <row r="27" spans="3:14" s="1" customFormat="1" ht="25.2" customHeight="1" x14ac:dyDescent="0.3">
      <c r="C27" s="2"/>
      <c r="L2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7" s="1">
        <f>N26+Table118192023103031323538394041481115182028317212637[[#This Row],[اجمالي الفاتوره]]-Table118192023103031323538394041481115182028317212637[[#This Row],[الدفعات]]</f>
        <v>38029.829999999994</v>
      </c>
    </row>
    <row r="28" spans="3:14" s="1" customFormat="1" ht="25.2" customHeight="1" x14ac:dyDescent="0.3">
      <c r="C28" s="2"/>
      <c r="L2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8" s="1">
        <f>N27+Table118192023103031323538394041481115182028317212637[[#This Row],[اجمالي الفاتوره]]-Table118192023103031323538394041481115182028317212637[[#This Row],[الدفعات]]</f>
        <v>38029.829999999994</v>
      </c>
    </row>
    <row r="29" spans="3:14" s="1" customFormat="1" ht="25.2" customHeight="1" x14ac:dyDescent="0.3">
      <c r="C29" s="2"/>
      <c r="L2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9" s="1">
        <f>N28+Table118192023103031323538394041481115182028317212637[[#This Row],[اجمالي الفاتوره]]-Table118192023103031323538394041481115182028317212637[[#This Row],[الدفعات]]</f>
        <v>38029.829999999994</v>
      </c>
    </row>
    <row r="30" spans="3:14" s="1" customFormat="1" ht="25.2" customHeight="1" x14ac:dyDescent="0.3">
      <c r="L3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0" s="1">
        <f>N29+Table118192023103031323538394041481115182028317212637[[#This Row],[اجمالي الفاتوره]]-Table118192023103031323538394041481115182028317212637[[#This Row],[الدفعات]]</f>
        <v>38029.829999999994</v>
      </c>
    </row>
    <row r="31" spans="3:14" s="1" customFormat="1" ht="25.2" customHeight="1" x14ac:dyDescent="0.3">
      <c r="C31" s="2"/>
      <c r="L3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1" s="1">
        <f>N30+Table118192023103031323538394041481115182028317212637[[#This Row],[اجمالي الفاتوره]]-Table118192023103031323538394041481115182028317212637[[#This Row],[الدفعات]]</f>
        <v>38029.829999999994</v>
      </c>
    </row>
    <row r="32" spans="3:14" s="1" customFormat="1" ht="25.2" customHeight="1" x14ac:dyDescent="0.3">
      <c r="L3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2" s="1">
        <f>N31+Table118192023103031323538394041481115182028317212637[[#This Row],[اجمالي الفاتوره]]-Table118192023103031323538394041481115182028317212637[[#This Row],[الدفعات]]</f>
        <v>38029.829999999994</v>
      </c>
    </row>
    <row r="33" spans="3:14" s="1" customFormat="1" ht="25.2" customHeight="1" x14ac:dyDescent="0.3">
      <c r="L3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3" s="1">
        <f>N32+Table118192023103031323538394041481115182028317212637[[#This Row],[اجمالي الفاتوره]]-Table118192023103031323538394041481115182028317212637[[#This Row],[الدفعات]]</f>
        <v>38029.829999999994</v>
      </c>
    </row>
    <row r="34" spans="3:14" s="1" customFormat="1" ht="25.2" customHeight="1" x14ac:dyDescent="0.3">
      <c r="L3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4" s="1">
        <f>N33+Table118192023103031323538394041481115182028317212637[[#This Row],[اجمالي الفاتوره]]-Table118192023103031323538394041481115182028317212637[[#This Row],[الدفعات]]</f>
        <v>38029.829999999994</v>
      </c>
    </row>
    <row r="35" spans="3:14" s="1" customFormat="1" ht="25.2" customHeight="1" x14ac:dyDescent="0.3">
      <c r="C35" s="2"/>
      <c r="D35" s="2"/>
      <c r="L3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5" s="1">
        <f>N34+Table118192023103031323538394041481115182028317212637[[#This Row],[اجمالي الفاتوره]]-Table118192023103031323538394041481115182028317212637[[#This Row],[الدفعات]]</f>
        <v>38029.829999999994</v>
      </c>
    </row>
    <row r="36" spans="3:14" s="1" customFormat="1" ht="25.2" customHeight="1" x14ac:dyDescent="0.3">
      <c r="L3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6" s="1">
        <f>N35+Table118192023103031323538394041481115182028317212637[[#This Row],[اجمالي الفاتوره]]-Table118192023103031323538394041481115182028317212637[[#This Row],[الدفعات]]</f>
        <v>38029.829999999994</v>
      </c>
    </row>
    <row r="37" spans="3:14" s="1" customFormat="1" ht="25.2" customHeight="1" x14ac:dyDescent="0.3">
      <c r="L3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7" s="1">
        <f>N36+Table118192023103031323538394041481115182028317212637[[#This Row],[اجمالي الفاتوره]]-Table118192023103031323538394041481115182028317212637[[#This Row],[الدفعات]]</f>
        <v>38029.829999999994</v>
      </c>
    </row>
    <row r="38" spans="3:14" s="1" customFormat="1" ht="25.2" customHeight="1" x14ac:dyDescent="0.3">
      <c r="L3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8" s="1">
        <f>N37+Table118192023103031323538394041481115182028317212637[[#This Row],[اجمالي الفاتوره]]-Table118192023103031323538394041481115182028317212637[[#This Row],[الدفعات]]</f>
        <v>38029.829999999994</v>
      </c>
    </row>
    <row r="39" spans="3:14" s="1" customFormat="1" ht="25.2" customHeight="1" x14ac:dyDescent="0.3">
      <c r="L3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9" s="1">
        <f>N38+Table118192023103031323538394041481115182028317212637[[#This Row],[اجمالي الفاتوره]]-Table118192023103031323538394041481115182028317212637[[#This Row],[الدفعات]]</f>
        <v>38029.829999999994</v>
      </c>
    </row>
    <row r="40" spans="3:14" s="1" customFormat="1" ht="25.2" customHeight="1" x14ac:dyDescent="0.3">
      <c r="L4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40" s="1">
        <f>N39+Table118192023103031323538394041481115182028317212637[[#This Row],[اجمالي الفاتوره]]-Table118192023103031323538394041481115182028317212637[[#This Row],[الدفعات]]</f>
        <v>38029.829999999994</v>
      </c>
    </row>
    <row r="41" spans="3:14" s="1" customFormat="1" ht="25.2" customHeight="1" x14ac:dyDescent="0.3">
      <c r="L4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41" s="1">
        <f>N40+Table118192023103031323538394041481115182028317212637[[#This Row],[اجمالي الفاتوره]]-Table118192023103031323538394041481115182028317212637[[#This Row],[الدفعات]]</f>
        <v>38029.829999999994</v>
      </c>
    </row>
    <row r="42" spans="3:14" s="1" customFormat="1" ht="25.2" customHeight="1" x14ac:dyDescent="0.3">
      <c r="L4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42" s="1">
        <f>N41+Table118192023103031323538394041481115182028317212637[[#This Row],[اجمالي الفاتوره]]-Table118192023103031323538394041481115182028317212637[[#This Row],[الدفعات]]</f>
        <v>38029.829999999994</v>
      </c>
    </row>
    <row r="43" spans="3:14" s="1" customFormat="1" ht="25.2" customHeight="1" x14ac:dyDescent="0.3">
      <c r="L4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43" s="1">
        <f>N42+Table118192023103031323538394041481115182028317212637[[#This Row],[اجمالي الفاتوره]]-Table118192023103031323538394041481115182028317212637[[#This Row],[الدفعات]]</f>
        <v>38029.829999999994</v>
      </c>
    </row>
    <row r="44" spans="3:14" s="1" customFormat="1" ht="25.2" customHeight="1" x14ac:dyDescent="0.3">
      <c r="L4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44" s="1">
        <f>N43+Table118192023103031323538394041481115182028317212637[[#This Row],[اجمالي الفاتوره]]-Table118192023103031323538394041481115182028317212637[[#This Row],[الدفعات]]</f>
        <v>38029.829999999994</v>
      </c>
    </row>
    <row r="45" spans="3:14" s="1" customFormat="1" ht="25.2" customHeight="1" x14ac:dyDescent="0.3">
      <c r="L4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45" s="1">
        <f>N44+Table118192023103031323538394041481115182028317212637[[#This Row],[اجمالي الفاتوره]]-Table118192023103031323538394041481115182028317212637[[#This Row],[الدفعات]]</f>
        <v>38029.829999999994</v>
      </c>
    </row>
    <row r="46" spans="3:14" s="1" customFormat="1" ht="25.2" customHeight="1" x14ac:dyDescent="0.3">
      <c r="L4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46" s="1">
        <f>N45+Table118192023103031323538394041481115182028317212637[[#This Row],[اجمالي الفاتوره]]-Table118192023103031323538394041481115182028317212637[[#This Row],[الدفعات]]</f>
        <v>38029.829999999994</v>
      </c>
    </row>
    <row r="47" spans="3:14" s="1" customFormat="1" ht="25.2" customHeight="1" x14ac:dyDescent="0.3">
      <c r="L4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47" s="1">
        <f>N46+Table118192023103031323538394041481115182028317212637[[#This Row],[اجمالي الفاتوره]]-Table118192023103031323538394041481115182028317212637[[#This Row],[الدفعات]]</f>
        <v>38029.829999999994</v>
      </c>
    </row>
    <row r="48" spans="3:14" s="1" customFormat="1" ht="25.2" customHeight="1" x14ac:dyDescent="0.3">
      <c r="L4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48" s="1">
        <f>N47+Table118192023103031323538394041481115182028317212637[[#This Row],[اجمالي الفاتوره]]-Table118192023103031323538394041481115182028317212637[[#This Row],[الدفعات]]</f>
        <v>38029.829999999994</v>
      </c>
    </row>
    <row r="49" spans="12:14" s="1" customFormat="1" ht="25.2" customHeight="1" x14ac:dyDescent="0.3">
      <c r="L4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49" s="1">
        <f>N48+Table118192023103031323538394041481115182028317212637[[#This Row],[اجمالي الفاتوره]]-Table118192023103031323538394041481115182028317212637[[#This Row],[الدفعات]]</f>
        <v>38029.829999999994</v>
      </c>
    </row>
    <row r="50" spans="12:14" s="1" customFormat="1" ht="25.2" customHeight="1" x14ac:dyDescent="0.3">
      <c r="L5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50" s="1">
        <f>N49+Table118192023103031323538394041481115182028317212637[[#This Row],[اجمالي الفاتوره]]-Table118192023103031323538394041481115182028317212637[[#This Row],[الدفعات]]</f>
        <v>38029.829999999994</v>
      </c>
    </row>
    <row r="51" spans="12:14" s="1" customFormat="1" ht="25.2" customHeight="1" x14ac:dyDescent="0.3">
      <c r="L5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51" s="1">
        <f>N50+Table118192023103031323538394041481115182028317212637[[#This Row],[اجمالي الفاتوره]]-Table118192023103031323538394041481115182028317212637[[#This Row],[الدفعات]]</f>
        <v>38029.829999999994</v>
      </c>
    </row>
    <row r="52" spans="12:14" s="1" customFormat="1" ht="25.2" customHeight="1" x14ac:dyDescent="0.3">
      <c r="L5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52" s="1">
        <f>N51+Table118192023103031323538394041481115182028317212637[[#This Row],[اجمالي الفاتوره]]-Table118192023103031323538394041481115182028317212637[[#This Row],[الدفعات]]</f>
        <v>38029.829999999994</v>
      </c>
    </row>
    <row r="53" spans="12:14" s="1" customFormat="1" ht="25.2" customHeight="1" x14ac:dyDescent="0.3">
      <c r="L5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53" s="1">
        <f>N52+Table118192023103031323538394041481115182028317212637[[#This Row],[اجمالي الفاتوره]]-Table118192023103031323538394041481115182028317212637[[#This Row],[الدفعات]]</f>
        <v>38029.829999999994</v>
      </c>
    </row>
    <row r="54" spans="12:14" s="1" customFormat="1" ht="25.2" customHeight="1" x14ac:dyDescent="0.3">
      <c r="L5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54" s="1">
        <f>N53+Table118192023103031323538394041481115182028317212637[[#This Row],[اجمالي الفاتوره]]-Table118192023103031323538394041481115182028317212637[[#This Row],[الدفعات]]</f>
        <v>38029.829999999994</v>
      </c>
    </row>
    <row r="55" spans="12:14" s="1" customFormat="1" ht="25.2" customHeight="1" x14ac:dyDescent="0.3">
      <c r="L5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55" s="1">
        <f>N54+Table118192023103031323538394041481115182028317212637[[#This Row],[اجمالي الفاتوره]]-Table118192023103031323538394041481115182028317212637[[#This Row],[الدفعات]]</f>
        <v>38029.829999999994</v>
      </c>
    </row>
    <row r="56" spans="12:14" s="1" customFormat="1" ht="25.2" customHeight="1" x14ac:dyDescent="0.3">
      <c r="L5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56" s="1">
        <f>N55+Table118192023103031323538394041481115182028317212637[[#This Row],[اجمالي الفاتوره]]-Table118192023103031323538394041481115182028317212637[[#This Row],[الدفعات]]</f>
        <v>38029.829999999994</v>
      </c>
    </row>
    <row r="57" spans="12:14" s="1" customFormat="1" ht="25.2" customHeight="1" x14ac:dyDescent="0.3">
      <c r="L5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57" s="1">
        <f>N56+Table118192023103031323538394041481115182028317212637[[#This Row],[اجمالي الفاتوره]]-Table118192023103031323538394041481115182028317212637[[#This Row],[الدفعات]]</f>
        <v>38029.829999999994</v>
      </c>
    </row>
    <row r="58" spans="12:14" s="1" customFormat="1" ht="25.2" customHeight="1" x14ac:dyDescent="0.3">
      <c r="L5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58" s="1">
        <f>N57+Table118192023103031323538394041481115182028317212637[[#This Row],[اجمالي الفاتوره]]-Table118192023103031323538394041481115182028317212637[[#This Row],[الدفعات]]</f>
        <v>38029.829999999994</v>
      </c>
    </row>
    <row r="59" spans="12:14" s="1" customFormat="1" ht="25.2" customHeight="1" x14ac:dyDescent="0.3">
      <c r="L5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59" s="1">
        <f>N58+Table118192023103031323538394041481115182028317212637[[#This Row],[اجمالي الفاتوره]]-Table118192023103031323538394041481115182028317212637[[#This Row],[الدفعات]]</f>
        <v>38029.829999999994</v>
      </c>
    </row>
    <row r="60" spans="12:14" s="1" customFormat="1" ht="25.2" customHeight="1" x14ac:dyDescent="0.3">
      <c r="L6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60" s="1">
        <f>N59+Table118192023103031323538394041481115182028317212637[[#This Row],[اجمالي الفاتوره]]-Table118192023103031323538394041481115182028317212637[[#This Row],[الدفعات]]</f>
        <v>38029.829999999994</v>
      </c>
    </row>
    <row r="61" spans="12:14" s="1" customFormat="1" ht="25.2" customHeight="1" x14ac:dyDescent="0.3">
      <c r="L6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61" s="1">
        <f>N60+Table118192023103031323538394041481115182028317212637[[#This Row],[اجمالي الفاتوره]]-Table118192023103031323538394041481115182028317212637[[#This Row],[الدفعات]]</f>
        <v>38029.829999999994</v>
      </c>
    </row>
    <row r="62" spans="12:14" s="1" customFormat="1" ht="25.2" customHeight="1" x14ac:dyDescent="0.3">
      <c r="L6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62" s="1">
        <f>N61+Table118192023103031323538394041481115182028317212637[[#This Row],[اجمالي الفاتوره]]-Table118192023103031323538394041481115182028317212637[[#This Row],[الدفعات]]</f>
        <v>38029.829999999994</v>
      </c>
    </row>
    <row r="63" spans="12:14" s="1" customFormat="1" ht="25.2" customHeight="1" x14ac:dyDescent="0.3">
      <c r="L6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63" s="1">
        <f>N62+Table118192023103031323538394041481115182028317212637[[#This Row],[اجمالي الفاتوره]]-Table118192023103031323538394041481115182028317212637[[#This Row],[الدفعات]]</f>
        <v>38029.829999999994</v>
      </c>
    </row>
    <row r="64" spans="12:14" s="1" customFormat="1" ht="25.2" customHeight="1" x14ac:dyDescent="0.3">
      <c r="L6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64" s="1">
        <f>N63+Table118192023103031323538394041481115182028317212637[[#This Row],[اجمالي الفاتوره]]-Table118192023103031323538394041481115182028317212637[[#This Row],[الدفعات]]</f>
        <v>38029.829999999994</v>
      </c>
    </row>
    <row r="65" spans="12:14" s="1" customFormat="1" ht="25.2" customHeight="1" x14ac:dyDescent="0.3">
      <c r="L6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65" s="1">
        <f>N64+Table118192023103031323538394041481115182028317212637[[#This Row],[اجمالي الفاتوره]]-Table118192023103031323538394041481115182028317212637[[#This Row],[الدفعات]]</f>
        <v>38029.829999999994</v>
      </c>
    </row>
    <row r="66" spans="12:14" s="1" customFormat="1" ht="25.2" customHeight="1" x14ac:dyDescent="0.3">
      <c r="L6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66" s="1">
        <f>N65+Table118192023103031323538394041481115182028317212637[[#This Row],[اجمالي الفاتوره]]-Table118192023103031323538394041481115182028317212637[[#This Row],[الدفعات]]</f>
        <v>38029.829999999994</v>
      </c>
    </row>
    <row r="67" spans="12:14" s="1" customFormat="1" ht="25.2" customHeight="1" x14ac:dyDescent="0.3">
      <c r="L6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67" s="1">
        <f>N66+Table118192023103031323538394041481115182028317212637[[#This Row],[اجمالي الفاتوره]]-Table118192023103031323538394041481115182028317212637[[#This Row],[الدفعات]]</f>
        <v>38029.829999999994</v>
      </c>
    </row>
    <row r="68" spans="12:14" s="1" customFormat="1" ht="25.2" customHeight="1" x14ac:dyDescent="0.3">
      <c r="L6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68" s="1">
        <f>N67+Table118192023103031323538394041481115182028317212637[[#This Row],[اجمالي الفاتوره]]-Table118192023103031323538394041481115182028317212637[[#This Row],[الدفعات]]</f>
        <v>38029.829999999994</v>
      </c>
    </row>
    <row r="69" spans="12:14" s="1" customFormat="1" ht="25.2" customHeight="1" x14ac:dyDescent="0.3">
      <c r="L6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69" s="1">
        <f>N68+Table118192023103031323538394041481115182028317212637[[#This Row],[اجمالي الفاتوره]]-Table118192023103031323538394041481115182028317212637[[#This Row],[الدفعات]]</f>
        <v>38029.829999999994</v>
      </c>
    </row>
    <row r="70" spans="12:14" s="1" customFormat="1" ht="25.2" customHeight="1" x14ac:dyDescent="0.3">
      <c r="L7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70" s="1">
        <f>N69+Table118192023103031323538394041481115182028317212637[[#This Row],[اجمالي الفاتوره]]-Table118192023103031323538394041481115182028317212637[[#This Row],[الدفعات]]</f>
        <v>38029.829999999994</v>
      </c>
    </row>
    <row r="71" spans="12:14" s="1" customFormat="1" ht="25.2" customHeight="1" x14ac:dyDescent="0.3">
      <c r="L7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71" s="1">
        <f>N70+Table118192023103031323538394041481115182028317212637[[#This Row],[اجمالي الفاتوره]]-Table118192023103031323538394041481115182028317212637[[#This Row],[الدفعات]]</f>
        <v>38029.829999999994</v>
      </c>
    </row>
    <row r="72" spans="12:14" s="1" customFormat="1" ht="25.2" customHeight="1" x14ac:dyDescent="0.3">
      <c r="L7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72" s="1">
        <f>N71+Table118192023103031323538394041481115182028317212637[[#This Row],[اجمالي الفاتوره]]-Table118192023103031323538394041481115182028317212637[[#This Row],[الدفعات]]</f>
        <v>38029.829999999994</v>
      </c>
    </row>
    <row r="73" spans="12:14" s="1" customFormat="1" ht="25.2" customHeight="1" x14ac:dyDescent="0.3">
      <c r="L7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73" s="1">
        <f>N72+Table118192023103031323538394041481115182028317212637[[#This Row],[اجمالي الفاتوره]]-Table118192023103031323538394041481115182028317212637[[#This Row],[الدفعات]]</f>
        <v>38029.829999999994</v>
      </c>
    </row>
    <row r="74" spans="12:14" s="1" customFormat="1" ht="25.2" customHeight="1" x14ac:dyDescent="0.3">
      <c r="L7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74" s="1">
        <f>N73+Table118192023103031323538394041481115182028317212637[[#This Row],[اجمالي الفاتوره]]-Table118192023103031323538394041481115182028317212637[[#This Row],[الدفعات]]</f>
        <v>38029.829999999994</v>
      </c>
    </row>
    <row r="75" spans="12:14" s="1" customFormat="1" ht="25.2" customHeight="1" x14ac:dyDescent="0.3">
      <c r="L7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75" s="1">
        <f>N74+Table118192023103031323538394041481115182028317212637[[#This Row],[اجمالي الفاتوره]]-Table118192023103031323538394041481115182028317212637[[#This Row],[الدفعات]]</f>
        <v>38029.829999999994</v>
      </c>
    </row>
    <row r="76" spans="12:14" s="1" customFormat="1" ht="25.2" customHeight="1" x14ac:dyDescent="0.3">
      <c r="L7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76" s="1">
        <f>N75+Table118192023103031323538394041481115182028317212637[[#This Row],[اجمالي الفاتوره]]-Table118192023103031323538394041481115182028317212637[[#This Row],[الدفعات]]</f>
        <v>38029.829999999994</v>
      </c>
    </row>
    <row r="77" spans="12:14" s="1" customFormat="1" ht="25.2" customHeight="1" x14ac:dyDescent="0.3">
      <c r="L7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77" s="1">
        <f>N76+Table118192023103031323538394041481115182028317212637[[#This Row],[اجمالي الفاتوره]]-Table118192023103031323538394041481115182028317212637[[#This Row],[الدفعات]]</f>
        <v>38029.829999999994</v>
      </c>
    </row>
    <row r="78" spans="12:14" s="1" customFormat="1" ht="25.2" customHeight="1" x14ac:dyDescent="0.3">
      <c r="L7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78" s="1">
        <f>N77+Table118192023103031323538394041481115182028317212637[[#This Row],[اجمالي الفاتوره]]-Table118192023103031323538394041481115182028317212637[[#This Row],[الدفعات]]</f>
        <v>38029.829999999994</v>
      </c>
    </row>
    <row r="79" spans="12:14" s="1" customFormat="1" ht="25.2" customHeight="1" x14ac:dyDescent="0.3">
      <c r="L7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79" s="1">
        <f>N78+Table118192023103031323538394041481115182028317212637[[#This Row],[اجمالي الفاتوره]]-Table118192023103031323538394041481115182028317212637[[#This Row],[الدفعات]]</f>
        <v>38029.829999999994</v>
      </c>
    </row>
    <row r="80" spans="12:14" s="1" customFormat="1" ht="25.2" customHeight="1" x14ac:dyDescent="0.3">
      <c r="L8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80" s="1">
        <f>N79+Table118192023103031323538394041481115182028317212637[[#This Row],[اجمالي الفاتوره]]-Table118192023103031323538394041481115182028317212637[[#This Row],[الدفعات]]</f>
        <v>38029.829999999994</v>
      </c>
    </row>
    <row r="81" spans="12:14" s="1" customFormat="1" ht="25.2" customHeight="1" x14ac:dyDescent="0.3">
      <c r="L8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81" s="1">
        <f>N80+Table118192023103031323538394041481115182028317212637[[#This Row],[اجمالي الفاتوره]]-Table118192023103031323538394041481115182028317212637[[#This Row],[الدفعات]]</f>
        <v>38029.829999999994</v>
      </c>
    </row>
    <row r="82" spans="12:14" s="1" customFormat="1" ht="25.2" customHeight="1" x14ac:dyDescent="0.3">
      <c r="L8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82" s="1">
        <f>N81+Table118192023103031323538394041481115182028317212637[[#This Row],[اجمالي الفاتوره]]-Table118192023103031323538394041481115182028317212637[[#This Row],[الدفعات]]</f>
        <v>38029.829999999994</v>
      </c>
    </row>
    <row r="83" spans="12:14" s="1" customFormat="1" ht="25.2" customHeight="1" x14ac:dyDescent="0.3">
      <c r="L8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83" s="1">
        <f>N82+Table118192023103031323538394041481115182028317212637[[#This Row],[اجمالي الفاتوره]]-Table118192023103031323538394041481115182028317212637[[#This Row],[الدفعات]]</f>
        <v>38029.829999999994</v>
      </c>
    </row>
    <row r="84" spans="12:14" s="1" customFormat="1" ht="25.2" customHeight="1" x14ac:dyDescent="0.3">
      <c r="L8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84" s="1">
        <f>N83+Table118192023103031323538394041481115182028317212637[[#This Row],[اجمالي الفاتوره]]-Table118192023103031323538394041481115182028317212637[[#This Row],[الدفعات]]</f>
        <v>38029.829999999994</v>
      </c>
    </row>
    <row r="85" spans="12:14" s="1" customFormat="1" ht="25.2" customHeight="1" x14ac:dyDescent="0.3">
      <c r="L8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85" s="1">
        <f>N84+Table118192023103031323538394041481115182028317212637[[#This Row],[اجمالي الفاتوره]]-Table118192023103031323538394041481115182028317212637[[#This Row],[الدفعات]]</f>
        <v>38029.829999999994</v>
      </c>
    </row>
    <row r="86" spans="12:14" s="1" customFormat="1" ht="25.2" customHeight="1" x14ac:dyDescent="0.3">
      <c r="L8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86" s="1">
        <f>N85+Table118192023103031323538394041481115182028317212637[[#This Row],[اجمالي الفاتوره]]-Table118192023103031323538394041481115182028317212637[[#This Row],[الدفعات]]</f>
        <v>38029.829999999994</v>
      </c>
    </row>
    <row r="87" spans="12:14" s="1" customFormat="1" ht="25.2" customHeight="1" x14ac:dyDescent="0.3">
      <c r="L8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87" s="1">
        <f>N86+Table118192023103031323538394041481115182028317212637[[#This Row],[اجمالي الفاتوره]]-Table118192023103031323538394041481115182028317212637[[#This Row],[الدفعات]]</f>
        <v>38029.829999999994</v>
      </c>
    </row>
    <row r="88" spans="12:14" s="1" customFormat="1" ht="25.2" customHeight="1" x14ac:dyDescent="0.3">
      <c r="L8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88" s="1">
        <f>N87+Table118192023103031323538394041481115182028317212637[[#This Row],[اجمالي الفاتوره]]-Table118192023103031323538394041481115182028317212637[[#This Row],[الدفعات]]</f>
        <v>38029.829999999994</v>
      </c>
    </row>
    <row r="89" spans="12:14" s="1" customFormat="1" ht="25.2" customHeight="1" x14ac:dyDescent="0.3">
      <c r="L8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89" s="1">
        <f>N88+Table118192023103031323538394041481115182028317212637[[#This Row],[اجمالي الفاتوره]]-Table118192023103031323538394041481115182028317212637[[#This Row],[الدفعات]]</f>
        <v>38029.829999999994</v>
      </c>
    </row>
    <row r="90" spans="12:14" s="1" customFormat="1" ht="25.2" customHeight="1" x14ac:dyDescent="0.3">
      <c r="L9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90" s="1">
        <f>N89+Table118192023103031323538394041481115182028317212637[[#This Row],[اجمالي الفاتوره]]-Table118192023103031323538394041481115182028317212637[[#This Row],[الدفعات]]</f>
        <v>38029.829999999994</v>
      </c>
    </row>
    <row r="91" spans="12:14" s="1" customFormat="1" ht="25.2" customHeight="1" x14ac:dyDescent="0.3">
      <c r="L9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91" s="1">
        <f>N90+Table118192023103031323538394041481115182028317212637[[#This Row],[اجمالي الفاتوره]]-Table118192023103031323538394041481115182028317212637[[#This Row],[الدفعات]]</f>
        <v>38029.829999999994</v>
      </c>
    </row>
    <row r="92" spans="12:14" s="1" customFormat="1" ht="25.2" customHeight="1" x14ac:dyDescent="0.3">
      <c r="L9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92" s="1">
        <f>N91+Table118192023103031323538394041481115182028317212637[[#This Row],[اجمالي الفاتوره]]-Table118192023103031323538394041481115182028317212637[[#This Row],[الدفعات]]</f>
        <v>38029.829999999994</v>
      </c>
    </row>
    <row r="93" spans="12:14" s="1" customFormat="1" ht="25.2" customHeight="1" x14ac:dyDescent="0.3">
      <c r="L9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93" s="1">
        <f>N92+Table118192023103031323538394041481115182028317212637[[#This Row],[اجمالي الفاتوره]]-Table118192023103031323538394041481115182028317212637[[#This Row],[الدفعات]]</f>
        <v>38029.829999999994</v>
      </c>
    </row>
    <row r="94" spans="12:14" s="1" customFormat="1" ht="25.2" customHeight="1" x14ac:dyDescent="0.3">
      <c r="L9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94" s="1">
        <f>N93+Table118192023103031323538394041481115182028317212637[[#This Row],[اجمالي الفاتوره]]-Table118192023103031323538394041481115182028317212637[[#This Row],[الدفعات]]</f>
        <v>38029.829999999994</v>
      </c>
    </row>
    <row r="95" spans="12:14" s="1" customFormat="1" ht="25.2" customHeight="1" x14ac:dyDescent="0.3">
      <c r="L9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95" s="1">
        <f>N94+Table118192023103031323538394041481115182028317212637[[#This Row],[اجمالي الفاتوره]]-Table118192023103031323538394041481115182028317212637[[#This Row],[الدفعات]]</f>
        <v>38029.829999999994</v>
      </c>
    </row>
    <row r="96" spans="12:14" s="1" customFormat="1" ht="25.2" customHeight="1" x14ac:dyDescent="0.3">
      <c r="L9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96" s="1">
        <f>N95+Table118192023103031323538394041481115182028317212637[[#This Row],[اجمالي الفاتوره]]-Table118192023103031323538394041481115182028317212637[[#This Row],[الدفعات]]</f>
        <v>38029.829999999994</v>
      </c>
    </row>
    <row r="97" spans="12:14" s="1" customFormat="1" ht="25.2" customHeight="1" x14ac:dyDescent="0.3">
      <c r="L9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97" s="1">
        <f>N96+Table118192023103031323538394041481115182028317212637[[#This Row],[اجمالي الفاتوره]]-Table118192023103031323538394041481115182028317212637[[#This Row],[الدفعات]]</f>
        <v>38029.829999999994</v>
      </c>
    </row>
    <row r="98" spans="12:14" s="1" customFormat="1" ht="25.2" customHeight="1" x14ac:dyDescent="0.3">
      <c r="L9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98" s="1">
        <f>N97+Table118192023103031323538394041481115182028317212637[[#This Row],[اجمالي الفاتوره]]-Table118192023103031323538394041481115182028317212637[[#This Row],[الدفعات]]</f>
        <v>38029.829999999994</v>
      </c>
    </row>
    <row r="99" spans="12:14" s="1" customFormat="1" ht="25.2" customHeight="1" x14ac:dyDescent="0.3">
      <c r="L9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99" s="1">
        <f>N98+Table118192023103031323538394041481115182028317212637[[#This Row],[اجمالي الفاتوره]]-Table118192023103031323538394041481115182028317212637[[#This Row],[الدفعات]]</f>
        <v>38029.829999999994</v>
      </c>
    </row>
    <row r="100" spans="12:14" s="1" customFormat="1" ht="25.2" customHeight="1" x14ac:dyDescent="0.3">
      <c r="L10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00" s="1">
        <f>N99+Table118192023103031323538394041481115182028317212637[[#This Row],[اجمالي الفاتوره]]-Table118192023103031323538394041481115182028317212637[[#This Row],[الدفعات]]</f>
        <v>38029.829999999994</v>
      </c>
    </row>
    <row r="101" spans="12:14" s="1" customFormat="1" ht="25.2" customHeight="1" x14ac:dyDescent="0.3">
      <c r="L10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01" s="1">
        <f>N100+Table118192023103031323538394041481115182028317212637[[#This Row],[اجمالي الفاتوره]]-Table118192023103031323538394041481115182028317212637[[#This Row],[الدفعات]]</f>
        <v>38029.829999999994</v>
      </c>
    </row>
    <row r="102" spans="12:14" s="1" customFormat="1" ht="25.2" customHeight="1" x14ac:dyDescent="0.3">
      <c r="L10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02" s="1">
        <f>N101+Table118192023103031323538394041481115182028317212637[[#This Row],[اجمالي الفاتوره]]-Table118192023103031323538394041481115182028317212637[[#This Row],[الدفعات]]</f>
        <v>38029.829999999994</v>
      </c>
    </row>
    <row r="103" spans="12:14" s="1" customFormat="1" ht="25.2" customHeight="1" x14ac:dyDescent="0.3">
      <c r="L10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03" s="1">
        <f>N102+Table118192023103031323538394041481115182028317212637[[#This Row],[اجمالي الفاتوره]]-Table118192023103031323538394041481115182028317212637[[#This Row],[الدفعات]]</f>
        <v>38029.829999999994</v>
      </c>
    </row>
    <row r="104" spans="12:14" s="1" customFormat="1" ht="25.2" customHeight="1" x14ac:dyDescent="0.3">
      <c r="L10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04" s="1">
        <f>N103+Table118192023103031323538394041481115182028317212637[[#This Row],[اجمالي الفاتوره]]-Table118192023103031323538394041481115182028317212637[[#This Row],[الدفعات]]</f>
        <v>38029.829999999994</v>
      </c>
    </row>
    <row r="105" spans="12:14" s="1" customFormat="1" ht="25.2" customHeight="1" x14ac:dyDescent="0.3">
      <c r="L10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05" s="1">
        <f>N104+Table118192023103031323538394041481115182028317212637[[#This Row],[اجمالي الفاتوره]]-Table118192023103031323538394041481115182028317212637[[#This Row],[الدفعات]]</f>
        <v>38029.829999999994</v>
      </c>
    </row>
    <row r="106" spans="12:14" s="1" customFormat="1" ht="25.2" customHeight="1" x14ac:dyDescent="0.3">
      <c r="L10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06" s="1">
        <f>N105+Table118192023103031323538394041481115182028317212637[[#This Row],[اجمالي الفاتوره]]-Table118192023103031323538394041481115182028317212637[[#This Row],[الدفعات]]</f>
        <v>38029.829999999994</v>
      </c>
    </row>
    <row r="107" spans="12:14" s="1" customFormat="1" ht="25.2" customHeight="1" x14ac:dyDescent="0.3">
      <c r="L10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07" s="1">
        <f>N106+Table118192023103031323538394041481115182028317212637[[#This Row],[اجمالي الفاتوره]]-Table118192023103031323538394041481115182028317212637[[#This Row],[الدفعات]]</f>
        <v>38029.829999999994</v>
      </c>
    </row>
    <row r="108" spans="12:14" s="1" customFormat="1" ht="25.2" customHeight="1" x14ac:dyDescent="0.3">
      <c r="L10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08" s="1">
        <f>N107+Table118192023103031323538394041481115182028317212637[[#This Row],[اجمالي الفاتوره]]-Table118192023103031323538394041481115182028317212637[[#This Row],[الدفعات]]</f>
        <v>38029.829999999994</v>
      </c>
    </row>
    <row r="109" spans="12:14" s="1" customFormat="1" ht="25.2" customHeight="1" x14ac:dyDescent="0.3">
      <c r="L10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09" s="1">
        <f>N108+Table118192023103031323538394041481115182028317212637[[#This Row],[اجمالي الفاتوره]]-Table118192023103031323538394041481115182028317212637[[#This Row],[الدفعات]]</f>
        <v>38029.829999999994</v>
      </c>
    </row>
    <row r="110" spans="12:14" s="1" customFormat="1" ht="25.2" customHeight="1" x14ac:dyDescent="0.3">
      <c r="L11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10" s="1">
        <f>N109+Table118192023103031323538394041481115182028317212637[[#This Row],[اجمالي الفاتوره]]-Table118192023103031323538394041481115182028317212637[[#This Row],[الدفعات]]</f>
        <v>38029.829999999994</v>
      </c>
    </row>
    <row r="111" spans="12:14" s="1" customFormat="1" ht="25.2" customHeight="1" x14ac:dyDescent="0.3">
      <c r="L11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11" s="1">
        <f>N110+Table118192023103031323538394041481115182028317212637[[#This Row],[اجمالي الفاتوره]]-Table118192023103031323538394041481115182028317212637[[#This Row],[الدفعات]]</f>
        <v>38029.829999999994</v>
      </c>
    </row>
    <row r="112" spans="12:14" s="1" customFormat="1" ht="25.2" customHeight="1" x14ac:dyDescent="0.3">
      <c r="L11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12" s="1">
        <f>N111+Table118192023103031323538394041481115182028317212637[[#This Row],[اجمالي الفاتوره]]-Table118192023103031323538394041481115182028317212637[[#This Row],[الدفعات]]</f>
        <v>38029.829999999994</v>
      </c>
    </row>
    <row r="113" spans="12:14" s="1" customFormat="1" ht="25.2" customHeight="1" x14ac:dyDescent="0.3">
      <c r="L11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13" s="1">
        <f>N112+Table118192023103031323538394041481115182028317212637[[#This Row],[اجمالي الفاتوره]]-Table118192023103031323538394041481115182028317212637[[#This Row],[الدفعات]]</f>
        <v>38029.829999999994</v>
      </c>
    </row>
    <row r="114" spans="12:14" s="1" customFormat="1" ht="25.2" customHeight="1" x14ac:dyDescent="0.3">
      <c r="L11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14" s="1">
        <f>N113+Table118192023103031323538394041481115182028317212637[[#This Row],[اجمالي الفاتوره]]-Table118192023103031323538394041481115182028317212637[[#This Row],[الدفعات]]</f>
        <v>38029.829999999994</v>
      </c>
    </row>
    <row r="115" spans="12:14" s="1" customFormat="1" ht="25.2" customHeight="1" x14ac:dyDescent="0.3">
      <c r="L11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15" s="1">
        <f>N114+Table118192023103031323538394041481115182028317212637[[#This Row],[اجمالي الفاتوره]]-Table118192023103031323538394041481115182028317212637[[#This Row],[الدفعات]]</f>
        <v>38029.829999999994</v>
      </c>
    </row>
    <row r="116" spans="12:14" s="1" customFormat="1" ht="25.2" customHeight="1" x14ac:dyDescent="0.3">
      <c r="L11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16" s="1">
        <f>N115+Table118192023103031323538394041481115182028317212637[[#This Row],[اجمالي الفاتوره]]-Table118192023103031323538394041481115182028317212637[[#This Row],[الدفعات]]</f>
        <v>38029.829999999994</v>
      </c>
    </row>
    <row r="117" spans="12:14" s="1" customFormat="1" ht="25.2" customHeight="1" x14ac:dyDescent="0.3">
      <c r="L11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17" s="1">
        <f>N116+Table118192023103031323538394041481115182028317212637[[#This Row],[اجمالي الفاتوره]]-Table118192023103031323538394041481115182028317212637[[#This Row],[الدفعات]]</f>
        <v>38029.829999999994</v>
      </c>
    </row>
    <row r="118" spans="12:14" s="1" customFormat="1" ht="25.2" customHeight="1" x14ac:dyDescent="0.3">
      <c r="L11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18" s="1">
        <f>N117+Table118192023103031323538394041481115182028317212637[[#This Row],[اجمالي الفاتوره]]-Table118192023103031323538394041481115182028317212637[[#This Row],[الدفعات]]</f>
        <v>38029.829999999994</v>
      </c>
    </row>
    <row r="119" spans="12:14" s="1" customFormat="1" ht="25.2" customHeight="1" x14ac:dyDescent="0.3">
      <c r="L11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19" s="1">
        <f>N118+Table118192023103031323538394041481115182028317212637[[#This Row],[اجمالي الفاتوره]]-Table118192023103031323538394041481115182028317212637[[#This Row],[الدفعات]]</f>
        <v>38029.829999999994</v>
      </c>
    </row>
    <row r="120" spans="12:14" s="1" customFormat="1" ht="25.2" customHeight="1" x14ac:dyDescent="0.3">
      <c r="L12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20" s="1">
        <f>N119+Table118192023103031323538394041481115182028317212637[[#This Row],[اجمالي الفاتوره]]-Table118192023103031323538394041481115182028317212637[[#This Row],[الدفعات]]</f>
        <v>38029.829999999994</v>
      </c>
    </row>
    <row r="121" spans="12:14" s="1" customFormat="1" ht="25.2" customHeight="1" x14ac:dyDescent="0.3">
      <c r="L12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21" s="1">
        <f>N120+Table118192023103031323538394041481115182028317212637[[#This Row],[اجمالي الفاتوره]]-Table118192023103031323538394041481115182028317212637[[#This Row],[الدفعات]]</f>
        <v>38029.829999999994</v>
      </c>
    </row>
    <row r="122" spans="12:14" s="1" customFormat="1" ht="25.2" customHeight="1" x14ac:dyDescent="0.3">
      <c r="L12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22" s="1">
        <f>N121+Table118192023103031323538394041481115182028317212637[[#This Row],[اجمالي الفاتوره]]-Table118192023103031323538394041481115182028317212637[[#This Row],[الدفعات]]</f>
        <v>38029.829999999994</v>
      </c>
    </row>
    <row r="123" spans="12:14" s="1" customFormat="1" ht="25.2" customHeight="1" x14ac:dyDescent="0.3">
      <c r="L12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23" s="1">
        <f>N122+Table118192023103031323538394041481115182028317212637[[#This Row],[اجمالي الفاتوره]]-Table118192023103031323538394041481115182028317212637[[#This Row],[الدفعات]]</f>
        <v>38029.829999999994</v>
      </c>
    </row>
    <row r="124" spans="12:14" s="1" customFormat="1" ht="25.2" customHeight="1" x14ac:dyDescent="0.3">
      <c r="L12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24" s="1">
        <f>N123+Table118192023103031323538394041481115182028317212637[[#This Row],[اجمالي الفاتوره]]-Table118192023103031323538394041481115182028317212637[[#This Row],[الدفعات]]</f>
        <v>38029.829999999994</v>
      </c>
    </row>
    <row r="125" spans="12:14" s="1" customFormat="1" ht="25.2" customHeight="1" x14ac:dyDescent="0.3">
      <c r="L12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25" s="1">
        <f>N124+Table118192023103031323538394041481115182028317212637[[#This Row],[اجمالي الفاتوره]]-Table118192023103031323538394041481115182028317212637[[#This Row],[الدفعات]]</f>
        <v>38029.829999999994</v>
      </c>
    </row>
    <row r="126" spans="12:14" s="1" customFormat="1" ht="25.2" customHeight="1" x14ac:dyDescent="0.3">
      <c r="L12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26" s="1">
        <f>N125+Table118192023103031323538394041481115182028317212637[[#This Row],[اجمالي الفاتوره]]-Table118192023103031323538394041481115182028317212637[[#This Row],[الدفعات]]</f>
        <v>38029.829999999994</v>
      </c>
    </row>
    <row r="127" spans="12:14" s="1" customFormat="1" ht="25.2" customHeight="1" x14ac:dyDescent="0.3">
      <c r="L12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27" s="1">
        <f>N126+Table118192023103031323538394041481115182028317212637[[#This Row],[اجمالي الفاتوره]]-Table118192023103031323538394041481115182028317212637[[#This Row],[الدفعات]]</f>
        <v>38029.829999999994</v>
      </c>
    </row>
    <row r="128" spans="12:14" s="1" customFormat="1" ht="25.2" customHeight="1" x14ac:dyDescent="0.3">
      <c r="L12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28" s="1">
        <f>N127+Table118192023103031323538394041481115182028317212637[[#This Row],[اجمالي الفاتوره]]-Table118192023103031323538394041481115182028317212637[[#This Row],[الدفعات]]</f>
        <v>38029.829999999994</v>
      </c>
    </row>
    <row r="129" spans="12:14" s="1" customFormat="1" ht="25.2" customHeight="1" x14ac:dyDescent="0.3">
      <c r="L12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29" s="1">
        <f>N128+Table118192023103031323538394041481115182028317212637[[#This Row],[اجمالي الفاتوره]]-Table118192023103031323538394041481115182028317212637[[#This Row],[الدفعات]]</f>
        <v>38029.829999999994</v>
      </c>
    </row>
    <row r="130" spans="12:14" s="1" customFormat="1" ht="25.2" customHeight="1" x14ac:dyDescent="0.3">
      <c r="L13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30" s="1">
        <f>N129+Table118192023103031323538394041481115182028317212637[[#This Row],[اجمالي الفاتوره]]-Table118192023103031323538394041481115182028317212637[[#This Row],[الدفعات]]</f>
        <v>38029.829999999994</v>
      </c>
    </row>
    <row r="131" spans="12:14" s="1" customFormat="1" ht="25.2" customHeight="1" x14ac:dyDescent="0.3">
      <c r="L13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31" s="1">
        <f>N130+Table118192023103031323538394041481115182028317212637[[#This Row],[اجمالي الفاتوره]]-Table118192023103031323538394041481115182028317212637[[#This Row],[الدفعات]]</f>
        <v>38029.829999999994</v>
      </c>
    </row>
    <row r="132" spans="12:14" s="1" customFormat="1" ht="25.2" customHeight="1" x14ac:dyDescent="0.3">
      <c r="L13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32" s="1">
        <f>N131+Table118192023103031323538394041481115182028317212637[[#This Row],[اجمالي الفاتوره]]-Table118192023103031323538394041481115182028317212637[[#This Row],[الدفعات]]</f>
        <v>38029.829999999994</v>
      </c>
    </row>
    <row r="133" spans="12:14" s="1" customFormat="1" ht="25.2" customHeight="1" x14ac:dyDescent="0.3">
      <c r="L13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33" s="1">
        <f>N132+Table118192023103031323538394041481115182028317212637[[#This Row],[اجمالي الفاتوره]]-Table118192023103031323538394041481115182028317212637[[#This Row],[الدفعات]]</f>
        <v>38029.829999999994</v>
      </c>
    </row>
    <row r="134" spans="12:14" s="1" customFormat="1" ht="25.2" customHeight="1" x14ac:dyDescent="0.3">
      <c r="L13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34" s="1">
        <f>N133+Table118192023103031323538394041481115182028317212637[[#This Row],[اجمالي الفاتوره]]-Table118192023103031323538394041481115182028317212637[[#This Row],[الدفعات]]</f>
        <v>38029.829999999994</v>
      </c>
    </row>
    <row r="135" spans="12:14" s="1" customFormat="1" ht="25.2" customHeight="1" x14ac:dyDescent="0.3">
      <c r="L13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35" s="1">
        <f>N134+Table118192023103031323538394041481115182028317212637[[#This Row],[اجمالي الفاتوره]]-Table118192023103031323538394041481115182028317212637[[#This Row],[الدفعات]]</f>
        <v>38029.829999999994</v>
      </c>
    </row>
    <row r="136" spans="12:14" s="1" customFormat="1" ht="25.2" customHeight="1" x14ac:dyDescent="0.3">
      <c r="L13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36" s="1">
        <f>N135+Table118192023103031323538394041481115182028317212637[[#This Row],[اجمالي الفاتوره]]-Table118192023103031323538394041481115182028317212637[[#This Row],[الدفعات]]</f>
        <v>38029.829999999994</v>
      </c>
    </row>
    <row r="137" spans="12:14" s="1" customFormat="1" ht="25.2" customHeight="1" x14ac:dyDescent="0.3">
      <c r="L13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37" s="1">
        <f>N136+Table118192023103031323538394041481115182028317212637[[#This Row],[اجمالي الفاتوره]]-Table118192023103031323538394041481115182028317212637[[#This Row],[الدفعات]]</f>
        <v>38029.829999999994</v>
      </c>
    </row>
    <row r="138" spans="12:14" s="1" customFormat="1" ht="25.2" customHeight="1" x14ac:dyDescent="0.3">
      <c r="L13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38" s="1">
        <f>N137+Table118192023103031323538394041481115182028317212637[[#This Row],[اجمالي الفاتوره]]-Table118192023103031323538394041481115182028317212637[[#This Row],[الدفعات]]</f>
        <v>38029.829999999994</v>
      </c>
    </row>
    <row r="139" spans="12:14" s="1" customFormat="1" ht="25.2" customHeight="1" x14ac:dyDescent="0.3">
      <c r="L13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39" s="1">
        <f>N138+Table118192023103031323538394041481115182028317212637[[#This Row],[اجمالي الفاتوره]]-Table118192023103031323538394041481115182028317212637[[#This Row],[الدفعات]]</f>
        <v>38029.829999999994</v>
      </c>
    </row>
    <row r="140" spans="12:14" s="1" customFormat="1" ht="25.2" customHeight="1" x14ac:dyDescent="0.3">
      <c r="L14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40" s="1">
        <f>N139+Table118192023103031323538394041481115182028317212637[[#This Row],[اجمالي الفاتوره]]-Table118192023103031323538394041481115182028317212637[[#This Row],[الدفعات]]</f>
        <v>38029.829999999994</v>
      </c>
    </row>
    <row r="141" spans="12:14" s="1" customFormat="1" ht="25.2" customHeight="1" x14ac:dyDescent="0.3">
      <c r="L14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41" s="1">
        <f>N140+Table118192023103031323538394041481115182028317212637[[#This Row],[اجمالي الفاتوره]]-Table118192023103031323538394041481115182028317212637[[#This Row],[الدفعات]]</f>
        <v>38029.829999999994</v>
      </c>
    </row>
    <row r="142" spans="12:14" s="1" customFormat="1" ht="25.2" customHeight="1" x14ac:dyDescent="0.3">
      <c r="L14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42" s="1">
        <f>N141+Table118192023103031323538394041481115182028317212637[[#This Row],[اجمالي الفاتوره]]-Table118192023103031323538394041481115182028317212637[[#This Row],[الدفعات]]</f>
        <v>38029.829999999994</v>
      </c>
    </row>
    <row r="143" spans="12:14" s="1" customFormat="1" ht="25.2" customHeight="1" x14ac:dyDescent="0.3">
      <c r="L14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43" s="1">
        <f>N142+Table118192023103031323538394041481115182028317212637[[#This Row],[اجمالي الفاتوره]]-Table118192023103031323538394041481115182028317212637[[#This Row],[الدفعات]]</f>
        <v>38029.829999999994</v>
      </c>
    </row>
    <row r="144" spans="12:14" s="1" customFormat="1" ht="25.2" customHeight="1" x14ac:dyDescent="0.3">
      <c r="L14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44" s="1">
        <f>N143+Table118192023103031323538394041481115182028317212637[[#This Row],[اجمالي الفاتوره]]-Table118192023103031323538394041481115182028317212637[[#This Row],[الدفعات]]</f>
        <v>38029.829999999994</v>
      </c>
    </row>
    <row r="145" spans="12:14" s="1" customFormat="1" ht="25.2" customHeight="1" x14ac:dyDescent="0.3">
      <c r="L14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45" s="1">
        <f>N144+Table118192023103031323538394041481115182028317212637[[#This Row],[اجمالي الفاتوره]]-Table118192023103031323538394041481115182028317212637[[#This Row],[الدفعات]]</f>
        <v>38029.829999999994</v>
      </c>
    </row>
    <row r="146" spans="12:14" s="1" customFormat="1" ht="25.2" customHeight="1" x14ac:dyDescent="0.3">
      <c r="L14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46" s="1">
        <f>N145+Table118192023103031323538394041481115182028317212637[[#This Row],[اجمالي الفاتوره]]-Table118192023103031323538394041481115182028317212637[[#This Row],[الدفعات]]</f>
        <v>38029.829999999994</v>
      </c>
    </row>
    <row r="147" spans="12:14" s="1" customFormat="1" ht="25.2" customHeight="1" x14ac:dyDescent="0.3">
      <c r="L14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47" s="1">
        <f>N146+Table118192023103031323538394041481115182028317212637[[#This Row],[اجمالي الفاتوره]]-Table118192023103031323538394041481115182028317212637[[#This Row],[الدفعات]]</f>
        <v>38029.829999999994</v>
      </c>
    </row>
    <row r="148" spans="12:14" s="1" customFormat="1" ht="25.2" customHeight="1" x14ac:dyDescent="0.3">
      <c r="L14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48" s="1">
        <f>N147+Table118192023103031323538394041481115182028317212637[[#This Row],[اجمالي الفاتوره]]-Table118192023103031323538394041481115182028317212637[[#This Row],[الدفعات]]</f>
        <v>38029.829999999994</v>
      </c>
    </row>
    <row r="149" spans="12:14" s="1" customFormat="1" ht="25.2" customHeight="1" x14ac:dyDescent="0.3">
      <c r="L14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49" s="1">
        <f>N148+Table118192023103031323538394041481115182028317212637[[#This Row],[اجمالي الفاتوره]]-Table118192023103031323538394041481115182028317212637[[#This Row],[الدفعات]]</f>
        <v>38029.829999999994</v>
      </c>
    </row>
    <row r="150" spans="12:14" s="1" customFormat="1" ht="25.2" customHeight="1" x14ac:dyDescent="0.3">
      <c r="L15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50" s="1">
        <f>N149+Table118192023103031323538394041481115182028317212637[[#This Row],[اجمالي الفاتوره]]-Table118192023103031323538394041481115182028317212637[[#This Row],[الدفعات]]</f>
        <v>38029.829999999994</v>
      </c>
    </row>
    <row r="151" spans="12:14" s="1" customFormat="1" ht="25.2" customHeight="1" x14ac:dyDescent="0.3">
      <c r="L15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51" s="1">
        <f>N150+Table118192023103031323538394041481115182028317212637[[#This Row],[اجمالي الفاتوره]]-Table118192023103031323538394041481115182028317212637[[#This Row],[الدفعات]]</f>
        <v>38029.829999999994</v>
      </c>
    </row>
    <row r="152" spans="12:14" s="1" customFormat="1" ht="25.2" customHeight="1" x14ac:dyDescent="0.3">
      <c r="L15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52" s="1">
        <f>N151+Table118192023103031323538394041481115182028317212637[[#This Row],[اجمالي الفاتوره]]-Table118192023103031323538394041481115182028317212637[[#This Row],[الدفعات]]</f>
        <v>38029.829999999994</v>
      </c>
    </row>
    <row r="153" spans="12:14" s="1" customFormat="1" ht="25.2" customHeight="1" x14ac:dyDescent="0.3">
      <c r="L15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53" s="1">
        <f>N152+Table118192023103031323538394041481115182028317212637[[#This Row],[اجمالي الفاتوره]]-Table118192023103031323538394041481115182028317212637[[#This Row],[الدفعات]]</f>
        <v>38029.829999999994</v>
      </c>
    </row>
    <row r="154" spans="12:14" s="1" customFormat="1" ht="25.2" customHeight="1" x14ac:dyDescent="0.3">
      <c r="L15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54" s="1">
        <f>N153+Table118192023103031323538394041481115182028317212637[[#This Row],[اجمالي الفاتوره]]-Table118192023103031323538394041481115182028317212637[[#This Row],[الدفعات]]</f>
        <v>38029.829999999994</v>
      </c>
    </row>
    <row r="155" spans="12:14" s="1" customFormat="1" ht="25.2" customHeight="1" x14ac:dyDescent="0.3">
      <c r="L15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55" s="1">
        <f>N154+Table118192023103031323538394041481115182028317212637[[#This Row],[اجمالي الفاتوره]]-Table118192023103031323538394041481115182028317212637[[#This Row],[الدفعات]]</f>
        <v>38029.829999999994</v>
      </c>
    </row>
    <row r="156" spans="12:14" s="1" customFormat="1" ht="25.2" customHeight="1" x14ac:dyDescent="0.3">
      <c r="L15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56" s="1">
        <f>N155+Table118192023103031323538394041481115182028317212637[[#This Row],[اجمالي الفاتوره]]-Table118192023103031323538394041481115182028317212637[[#This Row],[الدفعات]]</f>
        <v>38029.829999999994</v>
      </c>
    </row>
    <row r="157" spans="12:14" s="1" customFormat="1" ht="25.2" customHeight="1" x14ac:dyDescent="0.3">
      <c r="L15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57" s="1">
        <f>N156+Table118192023103031323538394041481115182028317212637[[#This Row],[اجمالي الفاتوره]]-Table118192023103031323538394041481115182028317212637[[#This Row],[الدفعات]]</f>
        <v>38029.829999999994</v>
      </c>
    </row>
    <row r="158" spans="12:14" s="1" customFormat="1" ht="25.2" customHeight="1" x14ac:dyDescent="0.3">
      <c r="L15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58" s="1">
        <f>N157+Table118192023103031323538394041481115182028317212637[[#This Row],[اجمالي الفاتوره]]-Table118192023103031323538394041481115182028317212637[[#This Row],[الدفعات]]</f>
        <v>38029.829999999994</v>
      </c>
    </row>
    <row r="159" spans="12:14" s="1" customFormat="1" ht="25.2" customHeight="1" x14ac:dyDescent="0.3">
      <c r="L15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59" s="1">
        <f>N158+Table118192023103031323538394041481115182028317212637[[#This Row],[اجمالي الفاتوره]]-Table118192023103031323538394041481115182028317212637[[#This Row],[الدفعات]]</f>
        <v>38029.829999999994</v>
      </c>
    </row>
    <row r="160" spans="12:14" s="1" customFormat="1" ht="25.2" customHeight="1" x14ac:dyDescent="0.3">
      <c r="L16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60" s="1">
        <f>N159+Table118192023103031323538394041481115182028317212637[[#This Row],[اجمالي الفاتوره]]-Table118192023103031323538394041481115182028317212637[[#This Row],[الدفعات]]</f>
        <v>38029.829999999994</v>
      </c>
    </row>
    <row r="161" spans="12:14" s="1" customFormat="1" ht="25.2" customHeight="1" x14ac:dyDescent="0.3">
      <c r="L16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61" s="1">
        <f>N160+Table118192023103031323538394041481115182028317212637[[#This Row],[اجمالي الفاتوره]]-Table118192023103031323538394041481115182028317212637[[#This Row],[الدفعات]]</f>
        <v>38029.829999999994</v>
      </c>
    </row>
    <row r="162" spans="12:14" s="1" customFormat="1" ht="25.2" customHeight="1" x14ac:dyDescent="0.3">
      <c r="L16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62" s="1">
        <f>N161+Table118192023103031323538394041481115182028317212637[[#This Row],[اجمالي الفاتوره]]-Table118192023103031323538394041481115182028317212637[[#This Row],[الدفعات]]</f>
        <v>38029.829999999994</v>
      </c>
    </row>
    <row r="163" spans="12:14" s="1" customFormat="1" ht="25.2" customHeight="1" x14ac:dyDescent="0.3">
      <c r="L16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63" s="1">
        <f>N162+Table118192023103031323538394041481115182028317212637[[#This Row],[اجمالي الفاتوره]]-Table118192023103031323538394041481115182028317212637[[#This Row],[الدفعات]]</f>
        <v>38029.829999999994</v>
      </c>
    </row>
    <row r="164" spans="12:14" s="1" customFormat="1" ht="25.2" customHeight="1" x14ac:dyDescent="0.3">
      <c r="L16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64" s="1">
        <f>N163+Table118192023103031323538394041481115182028317212637[[#This Row],[اجمالي الفاتوره]]-Table118192023103031323538394041481115182028317212637[[#This Row],[الدفعات]]</f>
        <v>38029.829999999994</v>
      </c>
    </row>
    <row r="165" spans="12:14" s="1" customFormat="1" ht="25.2" customHeight="1" x14ac:dyDescent="0.3">
      <c r="L16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65" s="1">
        <f>N164+Table118192023103031323538394041481115182028317212637[[#This Row],[اجمالي الفاتوره]]-Table118192023103031323538394041481115182028317212637[[#This Row],[الدفعات]]</f>
        <v>38029.829999999994</v>
      </c>
    </row>
    <row r="166" spans="12:14" s="1" customFormat="1" ht="25.2" customHeight="1" x14ac:dyDescent="0.3">
      <c r="L16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66" s="1">
        <f>N165+Table118192023103031323538394041481115182028317212637[[#This Row],[اجمالي الفاتوره]]-Table118192023103031323538394041481115182028317212637[[#This Row],[الدفعات]]</f>
        <v>38029.829999999994</v>
      </c>
    </row>
    <row r="167" spans="12:14" s="1" customFormat="1" ht="25.2" customHeight="1" x14ac:dyDescent="0.3">
      <c r="L16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67" s="1">
        <f>N166+Table118192023103031323538394041481115182028317212637[[#This Row],[اجمالي الفاتوره]]-Table118192023103031323538394041481115182028317212637[[#This Row],[الدفعات]]</f>
        <v>38029.829999999994</v>
      </c>
    </row>
    <row r="168" spans="12:14" s="1" customFormat="1" ht="25.2" customHeight="1" x14ac:dyDescent="0.3">
      <c r="L16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68" s="1">
        <f>N167+Table118192023103031323538394041481115182028317212637[[#This Row],[اجمالي الفاتوره]]-Table118192023103031323538394041481115182028317212637[[#This Row],[الدفعات]]</f>
        <v>38029.829999999994</v>
      </c>
    </row>
    <row r="169" spans="12:14" s="1" customFormat="1" ht="25.2" customHeight="1" x14ac:dyDescent="0.3">
      <c r="L16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69" s="1">
        <f>N168+Table118192023103031323538394041481115182028317212637[[#This Row],[اجمالي الفاتوره]]-Table118192023103031323538394041481115182028317212637[[#This Row],[الدفعات]]</f>
        <v>38029.829999999994</v>
      </c>
    </row>
    <row r="170" spans="12:14" s="1" customFormat="1" ht="25.2" customHeight="1" x14ac:dyDescent="0.3">
      <c r="L17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70" s="1">
        <f>N169+Table118192023103031323538394041481115182028317212637[[#This Row],[اجمالي الفاتوره]]-Table118192023103031323538394041481115182028317212637[[#This Row],[الدفعات]]</f>
        <v>38029.829999999994</v>
      </c>
    </row>
    <row r="171" spans="12:14" s="1" customFormat="1" ht="25.2" customHeight="1" x14ac:dyDescent="0.3">
      <c r="L17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71" s="1">
        <f>N170+Table118192023103031323538394041481115182028317212637[[#This Row],[اجمالي الفاتوره]]-Table118192023103031323538394041481115182028317212637[[#This Row],[الدفعات]]</f>
        <v>38029.829999999994</v>
      </c>
    </row>
    <row r="172" spans="12:14" s="1" customFormat="1" ht="25.2" customHeight="1" x14ac:dyDescent="0.3">
      <c r="L17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72" s="1">
        <f>N171+Table118192023103031323538394041481115182028317212637[[#This Row],[اجمالي الفاتوره]]-Table118192023103031323538394041481115182028317212637[[#This Row],[الدفعات]]</f>
        <v>38029.829999999994</v>
      </c>
    </row>
    <row r="173" spans="12:14" s="1" customFormat="1" ht="25.2" customHeight="1" x14ac:dyDescent="0.3">
      <c r="L17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73" s="1">
        <f>N172+Table118192023103031323538394041481115182028317212637[[#This Row],[اجمالي الفاتوره]]-Table118192023103031323538394041481115182028317212637[[#This Row],[الدفعات]]</f>
        <v>38029.829999999994</v>
      </c>
    </row>
    <row r="174" spans="12:14" s="1" customFormat="1" ht="25.2" customHeight="1" x14ac:dyDescent="0.3">
      <c r="L17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74" s="1">
        <f>N173+Table118192023103031323538394041481115182028317212637[[#This Row],[اجمالي الفاتوره]]-Table118192023103031323538394041481115182028317212637[[#This Row],[الدفعات]]</f>
        <v>38029.829999999994</v>
      </c>
    </row>
    <row r="175" spans="12:14" s="1" customFormat="1" ht="25.2" customHeight="1" x14ac:dyDescent="0.3">
      <c r="L17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75" s="1">
        <f>N174+Table118192023103031323538394041481115182028317212637[[#This Row],[اجمالي الفاتوره]]-Table118192023103031323538394041481115182028317212637[[#This Row],[الدفعات]]</f>
        <v>38029.829999999994</v>
      </c>
    </row>
    <row r="176" spans="12:14" s="1" customFormat="1" ht="25.2" customHeight="1" x14ac:dyDescent="0.3">
      <c r="L17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76" s="1">
        <f>N175+Table118192023103031323538394041481115182028317212637[[#This Row],[اجمالي الفاتوره]]-Table118192023103031323538394041481115182028317212637[[#This Row],[الدفعات]]</f>
        <v>38029.829999999994</v>
      </c>
    </row>
    <row r="177" spans="12:14" s="1" customFormat="1" ht="25.2" customHeight="1" x14ac:dyDescent="0.3">
      <c r="L17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77" s="1">
        <f>N176+Table118192023103031323538394041481115182028317212637[[#This Row],[اجمالي الفاتوره]]-Table118192023103031323538394041481115182028317212637[[#This Row],[الدفعات]]</f>
        <v>38029.829999999994</v>
      </c>
    </row>
    <row r="178" spans="12:14" s="1" customFormat="1" ht="25.2" customHeight="1" x14ac:dyDescent="0.3">
      <c r="L17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78" s="1">
        <f>N177+Table118192023103031323538394041481115182028317212637[[#This Row],[اجمالي الفاتوره]]-Table118192023103031323538394041481115182028317212637[[#This Row],[الدفعات]]</f>
        <v>38029.829999999994</v>
      </c>
    </row>
    <row r="179" spans="12:14" s="1" customFormat="1" ht="25.2" customHeight="1" x14ac:dyDescent="0.3">
      <c r="L17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79" s="1">
        <f>N178+Table118192023103031323538394041481115182028317212637[[#This Row],[اجمالي الفاتوره]]-Table118192023103031323538394041481115182028317212637[[#This Row],[الدفعات]]</f>
        <v>38029.829999999994</v>
      </c>
    </row>
    <row r="180" spans="12:14" s="1" customFormat="1" ht="25.2" customHeight="1" x14ac:dyDescent="0.3">
      <c r="L18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80" s="1">
        <f>N179+Table118192023103031323538394041481115182028317212637[[#This Row],[اجمالي الفاتوره]]-Table118192023103031323538394041481115182028317212637[[#This Row],[الدفعات]]</f>
        <v>38029.829999999994</v>
      </c>
    </row>
    <row r="181" spans="12:14" s="1" customFormat="1" ht="25.2" customHeight="1" x14ac:dyDescent="0.3">
      <c r="L18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81" s="1">
        <f>N180+Table118192023103031323538394041481115182028317212637[[#This Row],[اجمالي الفاتوره]]-Table118192023103031323538394041481115182028317212637[[#This Row],[الدفعات]]</f>
        <v>38029.829999999994</v>
      </c>
    </row>
    <row r="182" spans="12:14" s="1" customFormat="1" ht="25.2" customHeight="1" x14ac:dyDescent="0.3">
      <c r="L18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82" s="1">
        <f>N181+Table118192023103031323538394041481115182028317212637[[#This Row],[اجمالي الفاتوره]]-Table118192023103031323538394041481115182028317212637[[#This Row],[الدفعات]]</f>
        <v>38029.829999999994</v>
      </c>
    </row>
    <row r="183" spans="12:14" s="1" customFormat="1" ht="25.2" customHeight="1" x14ac:dyDescent="0.3">
      <c r="L18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83" s="1">
        <f>N182+Table118192023103031323538394041481115182028317212637[[#This Row],[اجمالي الفاتوره]]-Table118192023103031323538394041481115182028317212637[[#This Row],[الدفعات]]</f>
        <v>38029.829999999994</v>
      </c>
    </row>
    <row r="184" spans="12:14" s="1" customFormat="1" ht="25.2" customHeight="1" x14ac:dyDescent="0.3">
      <c r="L18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84" s="1">
        <f>N183+Table118192023103031323538394041481115182028317212637[[#This Row],[اجمالي الفاتوره]]-Table118192023103031323538394041481115182028317212637[[#This Row],[الدفعات]]</f>
        <v>38029.829999999994</v>
      </c>
    </row>
    <row r="185" spans="12:14" s="1" customFormat="1" ht="25.2" customHeight="1" x14ac:dyDescent="0.3">
      <c r="L18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85" s="1">
        <f>N184+Table118192023103031323538394041481115182028317212637[[#This Row],[اجمالي الفاتوره]]-Table118192023103031323538394041481115182028317212637[[#This Row],[الدفعات]]</f>
        <v>38029.829999999994</v>
      </c>
    </row>
    <row r="186" spans="12:14" s="1" customFormat="1" ht="25.2" customHeight="1" x14ac:dyDescent="0.3">
      <c r="L18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86" s="1">
        <f>N185+Table118192023103031323538394041481115182028317212637[[#This Row],[اجمالي الفاتوره]]-Table118192023103031323538394041481115182028317212637[[#This Row],[الدفعات]]</f>
        <v>38029.829999999994</v>
      </c>
    </row>
    <row r="187" spans="12:14" s="1" customFormat="1" ht="25.2" customHeight="1" x14ac:dyDescent="0.3">
      <c r="L18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87" s="1">
        <f>N186+Table118192023103031323538394041481115182028317212637[[#This Row],[اجمالي الفاتوره]]-Table118192023103031323538394041481115182028317212637[[#This Row],[الدفعات]]</f>
        <v>38029.829999999994</v>
      </c>
    </row>
    <row r="188" spans="12:14" s="1" customFormat="1" ht="25.2" customHeight="1" x14ac:dyDescent="0.3">
      <c r="L18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88" s="1">
        <f>N187+Table118192023103031323538394041481115182028317212637[[#This Row],[اجمالي الفاتوره]]-Table118192023103031323538394041481115182028317212637[[#This Row],[الدفعات]]</f>
        <v>38029.829999999994</v>
      </c>
    </row>
    <row r="189" spans="12:14" s="1" customFormat="1" ht="25.2" customHeight="1" x14ac:dyDescent="0.3">
      <c r="L18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89" s="1">
        <f>N188+Table118192023103031323538394041481115182028317212637[[#This Row],[اجمالي الفاتوره]]-Table118192023103031323538394041481115182028317212637[[#This Row],[الدفعات]]</f>
        <v>38029.829999999994</v>
      </c>
    </row>
    <row r="190" spans="12:14" s="1" customFormat="1" ht="25.2" customHeight="1" x14ac:dyDescent="0.3">
      <c r="L19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90" s="1">
        <f>N189+Table118192023103031323538394041481115182028317212637[[#This Row],[اجمالي الفاتوره]]-Table118192023103031323538394041481115182028317212637[[#This Row],[الدفعات]]</f>
        <v>38029.829999999994</v>
      </c>
    </row>
    <row r="191" spans="12:14" s="1" customFormat="1" ht="25.2" customHeight="1" x14ac:dyDescent="0.3">
      <c r="L19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91" s="1">
        <f>N190+Table118192023103031323538394041481115182028317212637[[#This Row],[اجمالي الفاتوره]]-Table118192023103031323538394041481115182028317212637[[#This Row],[الدفعات]]</f>
        <v>38029.829999999994</v>
      </c>
    </row>
    <row r="192" spans="12:14" s="1" customFormat="1" ht="25.2" customHeight="1" x14ac:dyDescent="0.3">
      <c r="L19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92" s="1">
        <f>N191+Table118192023103031323538394041481115182028317212637[[#This Row],[اجمالي الفاتوره]]-Table118192023103031323538394041481115182028317212637[[#This Row],[الدفعات]]</f>
        <v>38029.829999999994</v>
      </c>
    </row>
    <row r="193" spans="12:14" s="1" customFormat="1" ht="25.2" customHeight="1" x14ac:dyDescent="0.3">
      <c r="L19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93" s="1">
        <f>N192+Table118192023103031323538394041481115182028317212637[[#This Row],[اجمالي الفاتوره]]-Table118192023103031323538394041481115182028317212637[[#This Row],[الدفعات]]</f>
        <v>38029.829999999994</v>
      </c>
    </row>
    <row r="194" spans="12:14" s="1" customFormat="1" ht="25.2" customHeight="1" x14ac:dyDescent="0.3">
      <c r="L19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94" s="1">
        <f>N193+Table118192023103031323538394041481115182028317212637[[#This Row],[اجمالي الفاتوره]]-Table118192023103031323538394041481115182028317212637[[#This Row],[الدفعات]]</f>
        <v>38029.829999999994</v>
      </c>
    </row>
    <row r="195" spans="12:14" s="1" customFormat="1" ht="25.2" customHeight="1" x14ac:dyDescent="0.3">
      <c r="L19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95" s="1">
        <f>N194+Table118192023103031323538394041481115182028317212637[[#This Row],[اجمالي الفاتوره]]-Table118192023103031323538394041481115182028317212637[[#This Row],[الدفعات]]</f>
        <v>38029.829999999994</v>
      </c>
    </row>
    <row r="196" spans="12:14" s="1" customFormat="1" ht="25.2" customHeight="1" x14ac:dyDescent="0.3">
      <c r="L19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96" s="1">
        <f>N195+Table118192023103031323538394041481115182028317212637[[#This Row],[اجمالي الفاتوره]]-Table118192023103031323538394041481115182028317212637[[#This Row],[الدفعات]]</f>
        <v>38029.829999999994</v>
      </c>
    </row>
    <row r="197" spans="12:14" s="1" customFormat="1" ht="25.2" customHeight="1" x14ac:dyDescent="0.3">
      <c r="L19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97" s="1">
        <f>N196+Table118192023103031323538394041481115182028317212637[[#This Row],[اجمالي الفاتوره]]-Table118192023103031323538394041481115182028317212637[[#This Row],[الدفعات]]</f>
        <v>38029.829999999994</v>
      </c>
    </row>
    <row r="198" spans="12:14" s="1" customFormat="1" ht="25.2" customHeight="1" x14ac:dyDescent="0.3">
      <c r="L19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98" s="1">
        <f>N197+Table118192023103031323538394041481115182028317212637[[#This Row],[اجمالي الفاتوره]]-Table118192023103031323538394041481115182028317212637[[#This Row],[الدفعات]]</f>
        <v>38029.829999999994</v>
      </c>
    </row>
    <row r="199" spans="12:14" s="1" customFormat="1" ht="25.2" customHeight="1" x14ac:dyDescent="0.3">
      <c r="L19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199" s="1">
        <f>N198+Table118192023103031323538394041481115182028317212637[[#This Row],[اجمالي الفاتوره]]-Table118192023103031323538394041481115182028317212637[[#This Row],[الدفعات]]</f>
        <v>38029.829999999994</v>
      </c>
    </row>
    <row r="200" spans="12:14" s="1" customFormat="1" ht="25.2" customHeight="1" x14ac:dyDescent="0.3">
      <c r="L20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00" s="1">
        <f>N199+Table118192023103031323538394041481115182028317212637[[#This Row],[اجمالي الفاتوره]]-Table118192023103031323538394041481115182028317212637[[#This Row],[الدفعات]]</f>
        <v>38029.829999999994</v>
      </c>
    </row>
    <row r="201" spans="12:14" s="1" customFormat="1" ht="25.2" customHeight="1" x14ac:dyDescent="0.3">
      <c r="L20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01" s="1">
        <f>N200+Table118192023103031323538394041481115182028317212637[[#This Row],[اجمالي الفاتوره]]-Table118192023103031323538394041481115182028317212637[[#This Row],[الدفعات]]</f>
        <v>38029.829999999994</v>
      </c>
    </row>
    <row r="202" spans="12:14" s="1" customFormat="1" ht="25.2" customHeight="1" x14ac:dyDescent="0.3">
      <c r="L20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02" s="1">
        <f>N201+Table118192023103031323538394041481115182028317212637[[#This Row],[اجمالي الفاتوره]]-Table118192023103031323538394041481115182028317212637[[#This Row],[الدفعات]]</f>
        <v>38029.829999999994</v>
      </c>
    </row>
    <row r="203" spans="12:14" s="1" customFormat="1" ht="25.2" customHeight="1" x14ac:dyDescent="0.3">
      <c r="L20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03" s="1">
        <f>N202+Table118192023103031323538394041481115182028317212637[[#This Row],[اجمالي الفاتوره]]-Table118192023103031323538394041481115182028317212637[[#This Row],[الدفعات]]</f>
        <v>38029.829999999994</v>
      </c>
    </row>
    <row r="204" spans="12:14" s="1" customFormat="1" ht="25.2" customHeight="1" x14ac:dyDescent="0.3">
      <c r="L20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04" s="1">
        <f>N203+Table118192023103031323538394041481115182028317212637[[#This Row],[اجمالي الفاتوره]]-Table118192023103031323538394041481115182028317212637[[#This Row],[الدفعات]]</f>
        <v>38029.829999999994</v>
      </c>
    </row>
    <row r="205" spans="12:14" s="1" customFormat="1" ht="25.2" customHeight="1" x14ac:dyDescent="0.3">
      <c r="L20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05" s="1">
        <f>N204+Table118192023103031323538394041481115182028317212637[[#This Row],[اجمالي الفاتوره]]-Table118192023103031323538394041481115182028317212637[[#This Row],[الدفعات]]</f>
        <v>38029.829999999994</v>
      </c>
    </row>
    <row r="206" spans="12:14" s="1" customFormat="1" ht="25.2" customHeight="1" x14ac:dyDescent="0.3">
      <c r="L20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06" s="1">
        <f>N205+Table118192023103031323538394041481115182028317212637[[#This Row],[اجمالي الفاتوره]]-Table118192023103031323538394041481115182028317212637[[#This Row],[الدفعات]]</f>
        <v>38029.829999999994</v>
      </c>
    </row>
    <row r="207" spans="12:14" s="1" customFormat="1" ht="25.2" customHeight="1" x14ac:dyDescent="0.3">
      <c r="L20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07" s="1">
        <f>N206+Table118192023103031323538394041481115182028317212637[[#This Row],[اجمالي الفاتوره]]-Table118192023103031323538394041481115182028317212637[[#This Row],[الدفعات]]</f>
        <v>38029.829999999994</v>
      </c>
    </row>
    <row r="208" spans="12:14" s="1" customFormat="1" ht="25.2" customHeight="1" x14ac:dyDescent="0.3">
      <c r="L20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08" s="1">
        <f>N207+Table118192023103031323538394041481115182028317212637[[#This Row],[اجمالي الفاتوره]]-Table118192023103031323538394041481115182028317212637[[#This Row],[الدفعات]]</f>
        <v>38029.829999999994</v>
      </c>
    </row>
    <row r="209" spans="12:14" s="1" customFormat="1" ht="25.2" customHeight="1" x14ac:dyDescent="0.3">
      <c r="L20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09" s="1">
        <f>N208+Table118192023103031323538394041481115182028317212637[[#This Row],[اجمالي الفاتوره]]-Table118192023103031323538394041481115182028317212637[[#This Row],[الدفعات]]</f>
        <v>38029.829999999994</v>
      </c>
    </row>
    <row r="210" spans="12:14" s="1" customFormat="1" ht="25.2" customHeight="1" x14ac:dyDescent="0.3">
      <c r="L21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10" s="1">
        <f>N209+Table118192023103031323538394041481115182028317212637[[#This Row],[اجمالي الفاتوره]]-Table118192023103031323538394041481115182028317212637[[#This Row],[الدفعات]]</f>
        <v>38029.829999999994</v>
      </c>
    </row>
    <row r="211" spans="12:14" s="1" customFormat="1" ht="25.2" customHeight="1" x14ac:dyDescent="0.3">
      <c r="L21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11" s="1">
        <f>N210+Table118192023103031323538394041481115182028317212637[[#This Row],[اجمالي الفاتوره]]-Table118192023103031323538394041481115182028317212637[[#This Row],[الدفعات]]</f>
        <v>38029.829999999994</v>
      </c>
    </row>
    <row r="212" spans="12:14" s="1" customFormat="1" ht="25.2" customHeight="1" x14ac:dyDescent="0.3">
      <c r="L21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12" s="1">
        <f>N211+Table118192023103031323538394041481115182028317212637[[#This Row],[اجمالي الفاتوره]]-Table118192023103031323538394041481115182028317212637[[#This Row],[الدفعات]]</f>
        <v>38029.829999999994</v>
      </c>
    </row>
    <row r="213" spans="12:14" s="1" customFormat="1" ht="25.2" customHeight="1" x14ac:dyDescent="0.3">
      <c r="L21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13" s="1">
        <f>N212+Table118192023103031323538394041481115182028317212637[[#This Row],[اجمالي الفاتوره]]-Table118192023103031323538394041481115182028317212637[[#This Row],[الدفعات]]</f>
        <v>38029.829999999994</v>
      </c>
    </row>
    <row r="214" spans="12:14" s="1" customFormat="1" ht="25.2" customHeight="1" x14ac:dyDescent="0.3">
      <c r="L21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14" s="1">
        <f>N213+Table118192023103031323538394041481115182028317212637[[#This Row],[اجمالي الفاتوره]]-Table118192023103031323538394041481115182028317212637[[#This Row],[الدفعات]]</f>
        <v>38029.829999999994</v>
      </c>
    </row>
    <row r="215" spans="12:14" s="1" customFormat="1" ht="25.2" customHeight="1" x14ac:dyDescent="0.3">
      <c r="L21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15" s="1">
        <f>N214+Table118192023103031323538394041481115182028317212637[[#This Row],[اجمالي الفاتوره]]-Table118192023103031323538394041481115182028317212637[[#This Row],[الدفعات]]</f>
        <v>38029.829999999994</v>
      </c>
    </row>
    <row r="216" spans="12:14" s="1" customFormat="1" ht="25.2" customHeight="1" x14ac:dyDescent="0.3">
      <c r="L21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16" s="1">
        <f>N215+Table118192023103031323538394041481115182028317212637[[#This Row],[اجمالي الفاتوره]]-Table118192023103031323538394041481115182028317212637[[#This Row],[الدفعات]]</f>
        <v>38029.829999999994</v>
      </c>
    </row>
    <row r="217" spans="12:14" s="1" customFormat="1" ht="25.2" customHeight="1" x14ac:dyDescent="0.3">
      <c r="L21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17" s="1">
        <f>N216+Table118192023103031323538394041481115182028317212637[[#This Row],[اجمالي الفاتوره]]-Table118192023103031323538394041481115182028317212637[[#This Row],[الدفعات]]</f>
        <v>38029.829999999994</v>
      </c>
    </row>
    <row r="218" spans="12:14" s="1" customFormat="1" ht="25.2" customHeight="1" x14ac:dyDescent="0.3">
      <c r="L21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18" s="1">
        <f>N217+Table118192023103031323538394041481115182028317212637[[#This Row],[اجمالي الفاتوره]]-Table118192023103031323538394041481115182028317212637[[#This Row],[الدفعات]]</f>
        <v>38029.829999999994</v>
      </c>
    </row>
    <row r="219" spans="12:14" s="1" customFormat="1" ht="25.2" customHeight="1" x14ac:dyDescent="0.3">
      <c r="L21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19" s="1">
        <f>N218+Table118192023103031323538394041481115182028317212637[[#This Row],[اجمالي الفاتوره]]-Table118192023103031323538394041481115182028317212637[[#This Row],[الدفعات]]</f>
        <v>38029.829999999994</v>
      </c>
    </row>
    <row r="220" spans="12:14" s="1" customFormat="1" ht="25.2" customHeight="1" x14ac:dyDescent="0.3">
      <c r="L22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20" s="1">
        <f>N219+Table118192023103031323538394041481115182028317212637[[#This Row],[اجمالي الفاتوره]]-Table118192023103031323538394041481115182028317212637[[#This Row],[الدفعات]]</f>
        <v>38029.829999999994</v>
      </c>
    </row>
    <row r="221" spans="12:14" s="1" customFormat="1" ht="25.2" customHeight="1" x14ac:dyDescent="0.3">
      <c r="L22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21" s="1">
        <f>N220+Table118192023103031323538394041481115182028317212637[[#This Row],[اجمالي الفاتوره]]-Table118192023103031323538394041481115182028317212637[[#This Row],[الدفعات]]</f>
        <v>38029.829999999994</v>
      </c>
    </row>
    <row r="222" spans="12:14" s="1" customFormat="1" ht="25.2" customHeight="1" x14ac:dyDescent="0.3">
      <c r="L22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22" s="1">
        <f>N221+Table118192023103031323538394041481115182028317212637[[#This Row],[اجمالي الفاتوره]]-Table118192023103031323538394041481115182028317212637[[#This Row],[الدفعات]]</f>
        <v>38029.829999999994</v>
      </c>
    </row>
    <row r="223" spans="12:14" s="1" customFormat="1" ht="25.2" customHeight="1" x14ac:dyDescent="0.3">
      <c r="L22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23" s="1">
        <f>N222+Table118192023103031323538394041481115182028317212637[[#This Row],[اجمالي الفاتوره]]-Table118192023103031323538394041481115182028317212637[[#This Row],[الدفعات]]</f>
        <v>38029.829999999994</v>
      </c>
    </row>
    <row r="224" spans="12:14" s="1" customFormat="1" ht="25.2" customHeight="1" x14ac:dyDescent="0.3">
      <c r="L22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24" s="1">
        <f>N223+Table118192023103031323538394041481115182028317212637[[#This Row],[اجمالي الفاتوره]]-Table118192023103031323538394041481115182028317212637[[#This Row],[الدفعات]]</f>
        <v>38029.829999999994</v>
      </c>
    </row>
    <row r="225" spans="10:14" s="1" customFormat="1" ht="25.2" customHeight="1" x14ac:dyDescent="0.3">
      <c r="L22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25" s="1">
        <f>N224+Table118192023103031323538394041481115182028317212637[[#This Row],[اجمالي الفاتوره]]-Table118192023103031323538394041481115182028317212637[[#This Row],[الدفعات]]</f>
        <v>38029.829999999994</v>
      </c>
    </row>
    <row r="226" spans="10:14" s="1" customFormat="1" ht="25.2" customHeight="1" x14ac:dyDescent="0.3">
      <c r="L22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26" s="1">
        <f>N225+Table118192023103031323538394041481115182028317212637[[#This Row],[اجمالي الفاتوره]]-Table118192023103031323538394041481115182028317212637[[#This Row],[الدفعات]]</f>
        <v>38029.829999999994</v>
      </c>
    </row>
    <row r="227" spans="10:14" s="1" customFormat="1" ht="25.2" customHeight="1" x14ac:dyDescent="0.3">
      <c r="L22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27" s="1">
        <f>N226+Table118192023103031323538394041481115182028317212637[[#This Row],[اجمالي الفاتوره]]-Table118192023103031323538394041481115182028317212637[[#This Row],[الدفعات]]</f>
        <v>38029.829999999994</v>
      </c>
    </row>
    <row r="228" spans="10:14" s="1" customFormat="1" ht="25.2" customHeight="1" x14ac:dyDescent="0.3">
      <c r="L22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28" s="1">
        <f>N227+Table118192023103031323538394041481115182028317212637[[#This Row],[اجمالي الفاتوره]]-Table118192023103031323538394041481115182028317212637[[#This Row],[الدفعات]]</f>
        <v>38029.829999999994</v>
      </c>
    </row>
    <row r="229" spans="10:14" s="1" customFormat="1" ht="25.2" customHeight="1" x14ac:dyDescent="0.3">
      <c r="L22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29" s="1">
        <f>N228+Table118192023103031323538394041481115182028317212637[[#This Row],[اجمالي الفاتوره]]-Table118192023103031323538394041481115182028317212637[[#This Row],[الدفعات]]</f>
        <v>38029.829999999994</v>
      </c>
    </row>
    <row r="230" spans="10:14" s="1" customFormat="1" ht="25.2" customHeight="1" x14ac:dyDescent="0.3">
      <c r="L23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30" s="1">
        <f>N229+Table118192023103031323538394041481115182028317212637[[#This Row],[اجمالي الفاتوره]]-Table118192023103031323538394041481115182028317212637[[#This Row],[الدفعات]]</f>
        <v>38029.829999999994</v>
      </c>
    </row>
    <row r="231" spans="10:14" s="1" customFormat="1" ht="25.2" customHeight="1" x14ac:dyDescent="0.3">
      <c r="L23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31" s="1">
        <f>N230+Table118192023103031323538394041481115182028317212637[[#This Row],[اجمالي الفاتوره]]-Table118192023103031323538394041481115182028317212637[[#This Row],[الدفعات]]</f>
        <v>38029.829999999994</v>
      </c>
    </row>
    <row r="232" spans="10:14" s="1" customFormat="1" ht="25.2" customHeight="1" x14ac:dyDescent="0.3">
      <c r="L23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32" s="1">
        <f>N231+Table118192023103031323538394041481115182028317212637[[#This Row],[اجمالي الفاتوره]]-Table118192023103031323538394041481115182028317212637[[#This Row],[الدفعات]]</f>
        <v>38029.829999999994</v>
      </c>
    </row>
    <row r="233" spans="10:14" s="1" customFormat="1" ht="25.2" customHeight="1" x14ac:dyDescent="0.3">
      <c r="L23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33" s="1">
        <f>N232+Table118192023103031323538394041481115182028317212637[[#This Row],[اجمالي الفاتوره]]-Table118192023103031323538394041481115182028317212637[[#This Row],[الدفعات]]</f>
        <v>38029.829999999994</v>
      </c>
    </row>
    <row r="234" spans="10:14" s="1" customFormat="1" ht="25.2" customHeight="1" x14ac:dyDescent="0.3">
      <c r="L23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34" s="1">
        <f>N233+Table118192023103031323538394041481115182028317212637[[#This Row],[اجمالي الفاتوره]]-Table118192023103031323538394041481115182028317212637[[#This Row],[الدفعات]]</f>
        <v>38029.829999999994</v>
      </c>
    </row>
    <row r="235" spans="10:14" s="1" customFormat="1" ht="25.2" customHeight="1" x14ac:dyDescent="0.3">
      <c r="L23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35" s="1">
        <f>N234+Table118192023103031323538394041481115182028317212637[[#This Row],[اجمالي الفاتوره]]-Table118192023103031323538394041481115182028317212637[[#This Row],[الدفعات]]</f>
        <v>38029.829999999994</v>
      </c>
    </row>
    <row r="236" spans="10:14" s="1" customFormat="1" ht="25.2" customHeight="1" x14ac:dyDescent="0.3">
      <c r="L23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36" s="1">
        <f>N235+Table118192023103031323538394041481115182028317212637[[#This Row],[اجمالي الفاتوره]]-Table118192023103031323538394041481115182028317212637[[#This Row],[الدفعات]]</f>
        <v>38029.829999999994</v>
      </c>
    </row>
    <row r="237" spans="10:14" s="1" customFormat="1" ht="25.2" customHeight="1" x14ac:dyDescent="0.3">
      <c r="L23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37" s="1">
        <f>N236+Table118192023103031323538394041481115182028317212637[[#This Row],[اجمالي الفاتوره]]-Table118192023103031323538394041481115182028317212637[[#This Row],[الدفعات]]</f>
        <v>38029.829999999994</v>
      </c>
    </row>
    <row r="238" spans="10:14" s="1" customFormat="1" ht="25.2" customHeight="1" x14ac:dyDescent="0.3">
      <c r="J238" s="1">
        <f>0.03*Table118192023103031323538394041481115182028317212637[[#This Row],[النولون]]</f>
        <v>0</v>
      </c>
      <c r="L23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38" s="1">
        <f>N237+Table118192023103031323538394041481115182028317212637[[#This Row],[اجمالي الفاتوره]]-Table118192023103031323538394041481115182028317212637[[#This Row],[الدفعات]]</f>
        <v>38029.829999999994</v>
      </c>
    </row>
    <row r="239" spans="10:14" s="1" customFormat="1" ht="25.2" customHeight="1" x14ac:dyDescent="0.3">
      <c r="J239" s="1">
        <f>0.03*Table118192023103031323538394041481115182028317212637[[#This Row],[النولون]]</f>
        <v>0</v>
      </c>
      <c r="L23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39" s="1">
        <f>N238+Table118192023103031323538394041481115182028317212637[[#This Row],[اجمالي الفاتوره]]-Table118192023103031323538394041481115182028317212637[[#This Row],[الدفعات]]</f>
        <v>38029.829999999994</v>
      </c>
    </row>
    <row r="240" spans="10:14" s="1" customFormat="1" ht="25.2" customHeight="1" x14ac:dyDescent="0.3">
      <c r="J240" s="1">
        <f>0.03*Table118192023103031323538394041481115182028317212637[[#This Row],[النولون]]</f>
        <v>0</v>
      </c>
      <c r="L24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40" s="1">
        <f>N239+Table118192023103031323538394041481115182028317212637[[#This Row],[اجمالي الفاتوره]]-Table118192023103031323538394041481115182028317212637[[#This Row],[الدفعات]]</f>
        <v>38029.829999999994</v>
      </c>
    </row>
    <row r="241" spans="10:14" s="1" customFormat="1" ht="25.2" customHeight="1" x14ac:dyDescent="0.3">
      <c r="J241" s="1">
        <f>0.03*Table118192023103031323538394041481115182028317212637[[#This Row],[النولون]]</f>
        <v>0</v>
      </c>
      <c r="L24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41" s="1">
        <f>N240+Table118192023103031323538394041481115182028317212637[[#This Row],[اجمالي الفاتوره]]-Table118192023103031323538394041481115182028317212637[[#This Row],[الدفعات]]</f>
        <v>38029.829999999994</v>
      </c>
    </row>
    <row r="242" spans="10:14" s="1" customFormat="1" ht="25.2" customHeight="1" x14ac:dyDescent="0.3">
      <c r="J242" s="1">
        <f>0.03*Table118192023103031323538394041481115182028317212637[[#This Row],[النولون]]</f>
        <v>0</v>
      </c>
      <c r="L24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42" s="1">
        <f>N241+Table118192023103031323538394041481115182028317212637[[#This Row],[اجمالي الفاتوره]]-Table118192023103031323538394041481115182028317212637[[#This Row],[الدفعات]]</f>
        <v>38029.829999999994</v>
      </c>
    </row>
    <row r="243" spans="10:14" s="1" customFormat="1" ht="25.2" customHeight="1" x14ac:dyDescent="0.3">
      <c r="J243" s="1">
        <f>0.03*Table118192023103031323538394041481115182028317212637[[#This Row],[النولون]]</f>
        <v>0</v>
      </c>
      <c r="L24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43" s="1">
        <f>N242+Table118192023103031323538394041481115182028317212637[[#This Row],[اجمالي الفاتوره]]-Table118192023103031323538394041481115182028317212637[[#This Row],[الدفعات]]</f>
        <v>38029.829999999994</v>
      </c>
    </row>
    <row r="244" spans="10:14" s="1" customFormat="1" ht="25.2" customHeight="1" x14ac:dyDescent="0.3">
      <c r="J244" s="1">
        <f>0.03*Table118192023103031323538394041481115182028317212637[[#This Row],[النولون]]</f>
        <v>0</v>
      </c>
      <c r="L24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44" s="1">
        <f>N243+Table118192023103031323538394041481115182028317212637[[#This Row],[اجمالي الفاتوره]]-Table118192023103031323538394041481115182028317212637[[#This Row],[الدفعات]]</f>
        <v>38029.829999999994</v>
      </c>
    </row>
    <row r="245" spans="10:14" s="1" customFormat="1" ht="25.2" customHeight="1" x14ac:dyDescent="0.3">
      <c r="J245" s="1">
        <f>0.03*Table118192023103031323538394041481115182028317212637[[#This Row],[النولون]]</f>
        <v>0</v>
      </c>
      <c r="L24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45" s="1">
        <f>N244+Table118192023103031323538394041481115182028317212637[[#This Row],[اجمالي الفاتوره]]-Table118192023103031323538394041481115182028317212637[[#This Row],[الدفعات]]</f>
        <v>38029.829999999994</v>
      </c>
    </row>
    <row r="246" spans="10:14" s="1" customFormat="1" ht="25.2" customHeight="1" x14ac:dyDescent="0.3">
      <c r="J246" s="1">
        <f>0.03*Table118192023103031323538394041481115182028317212637[[#This Row],[النولون]]</f>
        <v>0</v>
      </c>
      <c r="L24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46" s="1">
        <f>N245+Table118192023103031323538394041481115182028317212637[[#This Row],[اجمالي الفاتوره]]-Table118192023103031323538394041481115182028317212637[[#This Row],[الدفعات]]</f>
        <v>38029.829999999994</v>
      </c>
    </row>
    <row r="247" spans="10:14" s="1" customFormat="1" ht="25.2" customHeight="1" x14ac:dyDescent="0.3">
      <c r="J247" s="1">
        <f>0.03*Table118192023103031323538394041481115182028317212637[[#This Row],[النولون]]</f>
        <v>0</v>
      </c>
      <c r="L24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47" s="1">
        <f>N246+Table118192023103031323538394041481115182028317212637[[#This Row],[اجمالي الفاتوره]]-Table118192023103031323538394041481115182028317212637[[#This Row],[الدفعات]]</f>
        <v>38029.829999999994</v>
      </c>
    </row>
    <row r="248" spans="10:14" s="1" customFormat="1" ht="25.2" customHeight="1" x14ac:dyDescent="0.3">
      <c r="J248" s="1">
        <f>0.03*Table118192023103031323538394041481115182028317212637[[#This Row],[النولون]]</f>
        <v>0</v>
      </c>
      <c r="L24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48" s="1">
        <f>N247+Table118192023103031323538394041481115182028317212637[[#This Row],[اجمالي الفاتوره]]-Table118192023103031323538394041481115182028317212637[[#This Row],[الدفعات]]</f>
        <v>38029.829999999994</v>
      </c>
    </row>
    <row r="249" spans="10:14" s="1" customFormat="1" ht="25.2" customHeight="1" x14ac:dyDescent="0.3">
      <c r="J249" s="1">
        <f>0.03*Table118192023103031323538394041481115182028317212637[[#This Row],[النولون]]</f>
        <v>0</v>
      </c>
      <c r="L24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49" s="1">
        <f>N248+Table118192023103031323538394041481115182028317212637[[#This Row],[اجمالي الفاتوره]]-Table118192023103031323538394041481115182028317212637[[#This Row],[الدفعات]]</f>
        <v>38029.829999999994</v>
      </c>
    </row>
    <row r="250" spans="10:14" s="1" customFormat="1" ht="25.2" customHeight="1" x14ac:dyDescent="0.3">
      <c r="J250" s="1">
        <f>0.03*Table118192023103031323538394041481115182028317212637[[#This Row],[النولون]]</f>
        <v>0</v>
      </c>
      <c r="L25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50" s="1">
        <f>N249+Table118192023103031323538394041481115182028317212637[[#This Row],[اجمالي الفاتوره]]-Table118192023103031323538394041481115182028317212637[[#This Row],[الدفعات]]</f>
        <v>38029.829999999994</v>
      </c>
    </row>
    <row r="251" spans="10:14" s="1" customFormat="1" ht="25.2" customHeight="1" x14ac:dyDescent="0.3">
      <c r="J251" s="1">
        <f>0.03*Table118192023103031323538394041481115182028317212637[[#This Row],[النولون]]</f>
        <v>0</v>
      </c>
      <c r="L25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51" s="1">
        <f>N250+Table118192023103031323538394041481115182028317212637[[#This Row],[اجمالي الفاتوره]]-Table118192023103031323538394041481115182028317212637[[#This Row],[الدفعات]]</f>
        <v>38029.829999999994</v>
      </c>
    </row>
    <row r="252" spans="10:14" s="1" customFormat="1" ht="25.2" customHeight="1" x14ac:dyDescent="0.3">
      <c r="J252" s="1">
        <f>0.03*Table118192023103031323538394041481115182028317212637[[#This Row],[النولون]]</f>
        <v>0</v>
      </c>
      <c r="L25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52" s="1">
        <f>N251+Table118192023103031323538394041481115182028317212637[[#This Row],[اجمالي الفاتوره]]-Table118192023103031323538394041481115182028317212637[[#This Row],[الدفعات]]</f>
        <v>38029.829999999994</v>
      </c>
    </row>
    <row r="253" spans="10:14" s="1" customFormat="1" ht="25.2" customHeight="1" x14ac:dyDescent="0.3">
      <c r="J253" s="1">
        <f>0.03*Table118192023103031323538394041481115182028317212637[[#This Row],[النولون]]</f>
        <v>0</v>
      </c>
      <c r="L25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53" s="1">
        <f>N252+Table118192023103031323538394041481115182028317212637[[#This Row],[اجمالي الفاتوره]]-Table118192023103031323538394041481115182028317212637[[#This Row],[الدفعات]]</f>
        <v>38029.829999999994</v>
      </c>
    </row>
    <row r="254" spans="10:14" s="1" customFormat="1" ht="25.2" customHeight="1" x14ac:dyDescent="0.3">
      <c r="J254" s="1">
        <f>0.03*Table118192023103031323538394041481115182028317212637[[#This Row],[النولون]]</f>
        <v>0</v>
      </c>
      <c r="L25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54" s="1">
        <f>N253+Table118192023103031323538394041481115182028317212637[[#This Row],[اجمالي الفاتوره]]-Table118192023103031323538394041481115182028317212637[[#This Row],[الدفعات]]</f>
        <v>38029.829999999994</v>
      </c>
    </row>
    <row r="255" spans="10:14" s="1" customFormat="1" ht="25.2" customHeight="1" x14ac:dyDescent="0.3">
      <c r="J255" s="1">
        <f>0.03*Table118192023103031323538394041481115182028317212637[[#This Row],[النولون]]</f>
        <v>0</v>
      </c>
      <c r="L25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55" s="1">
        <f>N254+Table118192023103031323538394041481115182028317212637[[#This Row],[اجمالي الفاتوره]]-Table118192023103031323538394041481115182028317212637[[#This Row],[الدفعات]]</f>
        <v>38029.829999999994</v>
      </c>
    </row>
    <row r="256" spans="10:14" s="1" customFormat="1" ht="25.2" customHeight="1" x14ac:dyDescent="0.3">
      <c r="J256" s="1">
        <f>0.03*Table118192023103031323538394041481115182028317212637[[#This Row],[النولون]]</f>
        <v>0</v>
      </c>
      <c r="L25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56" s="1">
        <f>N255+Table118192023103031323538394041481115182028317212637[[#This Row],[اجمالي الفاتوره]]-Table118192023103031323538394041481115182028317212637[[#This Row],[الدفعات]]</f>
        <v>38029.829999999994</v>
      </c>
    </row>
    <row r="257" spans="10:14" s="1" customFormat="1" ht="25.2" customHeight="1" x14ac:dyDescent="0.3">
      <c r="J257" s="1">
        <f>0.03*Table118192023103031323538394041481115182028317212637[[#This Row],[النولون]]</f>
        <v>0</v>
      </c>
      <c r="L25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57" s="1">
        <f>N256+Table118192023103031323538394041481115182028317212637[[#This Row],[اجمالي الفاتوره]]-Table118192023103031323538394041481115182028317212637[[#This Row],[الدفعات]]</f>
        <v>38029.829999999994</v>
      </c>
    </row>
    <row r="258" spans="10:14" s="1" customFormat="1" ht="25.2" customHeight="1" x14ac:dyDescent="0.3">
      <c r="J258" s="1">
        <f>0.03*Table118192023103031323538394041481115182028317212637[[#This Row],[النولون]]</f>
        <v>0</v>
      </c>
      <c r="L25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58" s="1">
        <f>N257+Table118192023103031323538394041481115182028317212637[[#This Row],[اجمالي الفاتوره]]-Table118192023103031323538394041481115182028317212637[[#This Row],[الدفعات]]</f>
        <v>38029.829999999994</v>
      </c>
    </row>
    <row r="259" spans="10:14" s="1" customFormat="1" ht="25.2" customHeight="1" x14ac:dyDescent="0.3">
      <c r="J259" s="1">
        <f>0.03*Table118192023103031323538394041481115182028317212637[[#This Row],[النولون]]</f>
        <v>0</v>
      </c>
      <c r="L25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59" s="1">
        <f>N258+Table118192023103031323538394041481115182028317212637[[#This Row],[اجمالي الفاتوره]]-Table118192023103031323538394041481115182028317212637[[#This Row],[الدفعات]]</f>
        <v>38029.829999999994</v>
      </c>
    </row>
    <row r="260" spans="10:14" s="1" customFormat="1" ht="25.2" customHeight="1" x14ac:dyDescent="0.3">
      <c r="J260" s="1">
        <f>0.03*Table118192023103031323538394041481115182028317212637[[#This Row],[النولون]]</f>
        <v>0</v>
      </c>
      <c r="L26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60" s="1">
        <f>N259+Table118192023103031323538394041481115182028317212637[[#This Row],[اجمالي الفاتوره]]-Table118192023103031323538394041481115182028317212637[[#This Row],[الدفعات]]</f>
        <v>38029.829999999994</v>
      </c>
    </row>
    <row r="261" spans="10:14" s="1" customFormat="1" ht="25.2" customHeight="1" x14ac:dyDescent="0.3">
      <c r="J261" s="1">
        <f>0.03*Table118192023103031323538394041481115182028317212637[[#This Row],[النولون]]</f>
        <v>0</v>
      </c>
      <c r="L26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61" s="1">
        <f>N260+Table118192023103031323538394041481115182028317212637[[#This Row],[اجمالي الفاتوره]]-Table118192023103031323538394041481115182028317212637[[#This Row],[الدفعات]]</f>
        <v>38029.829999999994</v>
      </c>
    </row>
    <row r="262" spans="10:14" s="1" customFormat="1" ht="25.2" customHeight="1" x14ac:dyDescent="0.3">
      <c r="J262" s="1">
        <f>0.03*Table118192023103031323538394041481115182028317212637[[#This Row],[النولون]]</f>
        <v>0</v>
      </c>
      <c r="L26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62" s="1">
        <f>N261+Table118192023103031323538394041481115182028317212637[[#This Row],[اجمالي الفاتوره]]-Table118192023103031323538394041481115182028317212637[[#This Row],[الدفعات]]</f>
        <v>38029.829999999994</v>
      </c>
    </row>
    <row r="263" spans="10:14" s="1" customFormat="1" ht="25.2" customHeight="1" x14ac:dyDescent="0.3">
      <c r="J263" s="1">
        <f>0.03*Table118192023103031323538394041481115182028317212637[[#This Row],[النولون]]</f>
        <v>0</v>
      </c>
      <c r="L26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63" s="1">
        <f>N262+Table118192023103031323538394041481115182028317212637[[#This Row],[اجمالي الفاتوره]]-Table118192023103031323538394041481115182028317212637[[#This Row],[الدفعات]]</f>
        <v>38029.829999999994</v>
      </c>
    </row>
    <row r="264" spans="10:14" s="1" customFormat="1" ht="25.2" customHeight="1" x14ac:dyDescent="0.3">
      <c r="J264" s="1">
        <f>0.03*Table118192023103031323538394041481115182028317212637[[#This Row],[النولون]]</f>
        <v>0</v>
      </c>
      <c r="L26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64" s="1">
        <f>N263+Table118192023103031323538394041481115182028317212637[[#This Row],[اجمالي الفاتوره]]-Table118192023103031323538394041481115182028317212637[[#This Row],[الدفعات]]</f>
        <v>38029.829999999994</v>
      </c>
    </row>
    <row r="265" spans="10:14" s="1" customFormat="1" ht="25.2" customHeight="1" x14ac:dyDescent="0.3">
      <c r="J265" s="1">
        <f>0.03*Table118192023103031323538394041481115182028317212637[[#This Row],[النولون]]</f>
        <v>0</v>
      </c>
      <c r="L26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65" s="1">
        <f>N264+Table118192023103031323538394041481115182028317212637[[#This Row],[اجمالي الفاتوره]]-Table118192023103031323538394041481115182028317212637[[#This Row],[الدفعات]]</f>
        <v>38029.829999999994</v>
      </c>
    </row>
    <row r="266" spans="10:14" s="1" customFormat="1" ht="25.2" customHeight="1" x14ac:dyDescent="0.3">
      <c r="J266" s="1">
        <f>0.03*Table118192023103031323538394041481115182028317212637[[#This Row],[النولون]]</f>
        <v>0</v>
      </c>
      <c r="L26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66" s="1">
        <f>N265+Table118192023103031323538394041481115182028317212637[[#This Row],[اجمالي الفاتوره]]-Table118192023103031323538394041481115182028317212637[[#This Row],[الدفعات]]</f>
        <v>38029.829999999994</v>
      </c>
    </row>
    <row r="267" spans="10:14" s="1" customFormat="1" ht="25.2" customHeight="1" x14ac:dyDescent="0.3">
      <c r="J267" s="1">
        <f>0.03*Table118192023103031323538394041481115182028317212637[[#This Row],[النولون]]</f>
        <v>0</v>
      </c>
      <c r="L26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67" s="1">
        <f>N266+Table118192023103031323538394041481115182028317212637[[#This Row],[اجمالي الفاتوره]]-Table118192023103031323538394041481115182028317212637[[#This Row],[الدفعات]]</f>
        <v>38029.829999999994</v>
      </c>
    </row>
    <row r="268" spans="10:14" s="1" customFormat="1" ht="25.2" customHeight="1" x14ac:dyDescent="0.3">
      <c r="J268" s="1">
        <f>0.03*Table118192023103031323538394041481115182028317212637[[#This Row],[النولون]]</f>
        <v>0</v>
      </c>
      <c r="L26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68" s="1">
        <f>N267+Table118192023103031323538394041481115182028317212637[[#This Row],[اجمالي الفاتوره]]-Table118192023103031323538394041481115182028317212637[[#This Row],[الدفعات]]</f>
        <v>38029.829999999994</v>
      </c>
    </row>
    <row r="269" spans="10:14" s="1" customFormat="1" ht="25.2" customHeight="1" x14ac:dyDescent="0.3">
      <c r="J269" s="1">
        <f>0.03*Table118192023103031323538394041481115182028317212637[[#This Row],[النولون]]</f>
        <v>0</v>
      </c>
      <c r="L26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69" s="1">
        <f>N268+Table118192023103031323538394041481115182028317212637[[#This Row],[اجمالي الفاتوره]]-Table118192023103031323538394041481115182028317212637[[#This Row],[الدفعات]]</f>
        <v>38029.829999999994</v>
      </c>
    </row>
    <row r="270" spans="10:14" s="1" customFormat="1" ht="25.2" customHeight="1" x14ac:dyDescent="0.3">
      <c r="J270" s="1">
        <f>0.03*Table118192023103031323538394041481115182028317212637[[#This Row],[النولون]]</f>
        <v>0</v>
      </c>
      <c r="L27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70" s="1">
        <f>N269+Table118192023103031323538394041481115182028317212637[[#This Row],[اجمالي الفاتوره]]-Table118192023103031323538394041481115182028317212637[[#This Row],[الدفعات]]</f>
        <v>38029.829999999994</v>
      </c>
    </row>
    <row r="271" spans="10:14" s="1" customFormat="1" ht="25.2" customHeight="1" x14ac:dyDescent="0.3">
      <c r="J271" s="1">
        <f>0.03*Table118192023103031323538394041481115182028317212637[[#This Row],[النولون]]</f>
        <v>0</v>
      </c>
      <c r="L27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71" s="1">
        <f>N270+Table118192023103031323538394041481115182028317212637[[#This Row],[اجمالي الفاتوره]]-Table118192023103031323538394041481115182028317212637[[#This Row],[الدفعات]]</f>
        <v>38029.829999999994</v>
      </c>
    </row>
    <row r="272" spans="10:14" s="1" customFormat="1" ht="25.2" customHeight="1" x14ac:dyDescent="0.3">
      <c r="J272" s="1">
        <f>0.03*Table118192023103031323538394041481115182028317212637[[#This Row],[النولون]]</f>
        <v>0</v>
      </c>
      <c r="L27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72" s="1">
        <f>N271+Table118192023103031323538394041481115182028317212637[[#This Row],[اجمالي الفاتوره]]-Table118192023103031323538394041481115182028317212637[[#This Row],[الدفعات]]</f>
        <v>38029.829999999994</v>
      </c>
    </row>
    <row r="273" spans="10:14" s="1" customFormat="1" ht="25.2" customHeight="1" x14ac:dyDescent="0.3">
      <c r="J273" s="1">
        <f>0.03*Table118192023103031323538394041481115182028317212637[[#This Row],[النولون]]</f>
        <v>0</v>
      </c>
      <c r="L27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73" s="1">
        <f>N272+Table118192023103031323538394041481115182028317212637[[#This Row],[اجمالي الفاتوره]]-Table118192023103031323538394041481115182028317212637[[#This Row],[الدفعات]]</f>
        <v>38029.829999999994</v>
      </c>
    </row>
    <row r="274" spans="10:14" s="1" customFormat="1" ht="25.2" customHeight="1" x14ac:dyDescent="0.3">
      <c r="J274" s="1">
        <f>0.03*Table118192023103031323538394041481115182028317212637[[#This Row],[النولون]]</f>
        <v>0</v>
      </c>
      <c r="L27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74" s="1">
        <f>N273+Table118192023103031323538394041481115182028317212637[[#This Row],[اجمالي الفاتوره]]-Table118192023103031323538394041481115182028317212637[[#This Row],[الدفعات]]</f>
        <v>38029.829999999994</v>
      </c>
    </row>
    <row r="275" spans="10:14" s="1" customFormat="1" ht="25.2" customHeight="1" x14ac:dyDescent="0.3">
      <c r="J275" s="1">
        <f>0.03*Table118192023103031323538394041481115182028317212637[[#This Row],[النولون]]</f>
        <v>0</v>
      </c>
      <c r="L27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75" s="1">
        <f>N274+Table118192023103031323538394041481115182028317212637[[#This Row],[اجمالي الفاتوره]]-Table118192023103031323538394041481115182028317212637[[#This Row],[الدفعات]]</f>
        <v>38029.829999999994</v>
      </c>
    </row>
    <row r="276" spans="10:14" s="1" customFormat="1" ht="25.2" customHeight="1" x14ac:dyDescent="0.3">
      <c r="J276" s="1">
        <f>0.03*Table118192023103031323538394041481115182028317212637[[#This Row],[النولون]]</f>
        <v>0</v>
      </c>
      <c r="L27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76" s="1">
        <f>N275+Table118192023103031323538394041481115182028317212637[[#This Row],[اجمالي الفاتوره]]-Table118192023103031323538394041481115182028317212637[[#This Row],[الدفعات]]</f>
        <v>38029.829999999994</v>
      </c>
    </row>
    <row r="277" spans="10:14" s="1" customFormat="1" ht="25.2" customHeight="1" x14ac:dyDescent="0.3">
      <c r="J277" s="1">
        <f>0.03*Table118192023103031323538394041481115182028317212637[[#This Row],[النولون]]</f>
        <v>0</v>
      </c>
      <c r="L27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77" s="1">
        <f>N276+Table118192023103031323538394041481115182028317212637[[#This Row],[اجمالي الفاتوره]]-Table118192023103031323538394041481115182028317212637[[#This Row],[الدفعات]]</f>
        <v>38029.829999999994</v>
      </c>
    </row>
    <row r="278" spans="10:14" s="1" customFormat="1" ht="25.2" customHeight="1" x14ac:dyDescent="0.3">
      <c r="J278" s="1">
        <f>0.03*Table118192023103031323538394041481115182028317212637[[#This Row],[النولون]]</f>
        <v>0</v>
      </c>
      <c r="L27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78" s="1">
        <f>N277+Table118192023103031323538394041481115182028317212637[[#This Row],[اجمالي الفاتوره]]-Table118192023103031323538394041481115182028317212637[[#This Row],[الدفعات]]</f>
        <v>38029.829999999994</v>
      </c>
    </row>
    <row r="279" spans="10:14" s="1" customFormat="1" ht="25.2" customHeight="1" x14ac:dyDescent="0.3">
      <c r="J279" s="1">
        <f>0.03*Table118192023103031323538394041481115182028317212637[[#This Row],[النولون]]</f>
        <v>0</v>
      </c>
      <c r="L27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79" s="1">
        <f>N278+Table118192023103031323538394041481115182028317212637[[#This Row],[اجمالي الفاتوره]]-Table118192023103031323538394041481115182028317212637[[#This Row],[الدفعات]]</f>
        <v>38029.829999999994</v>
      </c>
    </row>
    <row r="280" spans="10:14" s="1" customFormat="1" ht="25.2" customHeight="1" x14ac:dyDescent="0.3">
      <c r="J280" s="1">
        <f>0.03*Table118192023103031323538394041481115182028317212637[[#This Row],[النولون]]</f>
        <v>0</v>
      </c>
      <c r="L28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80" s="1">
        <f>N279+Table118192023103031323538394041481115182028317212637[[#This Row],[اجمالي الفاتوره]]-Table118192023103031323538394041481115182028317212637[[#This Row],[الدفعات]]</f>
        <v>38029.829999999994</v>
      </c>
    </row>
    <row r="281" spans="10:14" s="1" customFormat="1" ht="25.2" customHeight="1" x14ac:dyDescent="0.3">
      <c r="J281" s="1">
        <f>0.03*Table118192023103031323538394041481115182028317212637[[#This Row],[النولون]]</f>
        <v>0</v>
      </c>
      <c r="L28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81" s="1">
        <f>N280+Table118192023103031323538394041481115182028317212637[[#This Row],[اجمالي الفاتوره]]-Table118192023103031323538394041481115182028317212637[[#This Row],[الدفعات]]</f>
        <v>38029.829999999994</v>
      </c>
    </row>
    <row r="282" spans="10:14" s="1" customFormat="1" ht="25.2" customHeight="1" x14ac:dyDescent="0.3">
      <c r="J282" s="1">
        <f>0.03*Table118192023103031323538394041481115182028317212637[[#This Row],[النولون]]</f>
        <v>0</v>
      </c>
      <c r="L28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82" s="1">
        <f>N281+Table118192023103031323538394041481115182028317212637[[#This Row],[اجمالي الفاتوره]]-Table118192023103031323538394041481115182028317212637[[#This Row],[الدفعات]]</f>
        <v>38029.829999999994</v>
      </c>
    </row>
    <row r="283" spans="10:14" s="1" customFormat="1" ht="25.2" customHeight="1" x14ac:dyDescent="0.3">
      <c r="J283" s="1">
        <f>0.03*Table118192023103031323538394041481115182028317212637[[#This Row],[النولون]]</f>
        <v>0</v>
      </c>
      <c r="L28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83" s="1">
        <f>N282+Table118192023103031323538394041481115182028317212637[[#This Row],[اجمالي الفاتوره]]-Table118192023103031323538394041481115182028317212637[[#This Row],[الدفعات]]</f>
        <v>38029.829999999994</v>
      </c>
    </row>
    <row r="284" spans="10:14" s="1" customFormat="1" ht="25.2" customHeight="1" x14ac:dyDescent="0.3">
      <c r="J284" s="1">
        <f>0.03*Table118192023103031323538394041481115182028317212637[[#This Row],[النولون]]</f>
        <v>0</v>
      </c>
      <c r="L28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84" s="1">
        <f>N283+Table118192023103031323538394041481115182028317212637[[#This Row],[اجمالي الفاتوره]]-Table118192023103031323538394041481115182028317212637[[#This Row],[الدفعات]]</f>
        <v>38029.829999999994</v>
      </c>
    </row>
    <row r="285" spans="10:14" s="1" customFormat="1" ht="25.2" customHeight="1" x14ac:dyDescent="0.3">
      <c r="J285" s="1">
        <f>0.03*Table118192023103031323538394041481115182028317212637[[#This Row],[النولون]]</f>
        <v>0</v>
      </c>
      <c r="L28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85" s="1">
        <f>N284+Table118192023103031323538394041481115182028317212637[[#This Row],[اجمالي الفاتوره]]-Table118192023103031323538394041481115182028317212637[[#This Row],[الدفعات]]</f>
        <v>38029.829999999994</v>
      </c>
    </row>
    <row r="286" spans="10:14" s="1" customFormat="1" ht="25.2" customHeight="1" x14ac:dyDescent="0.3">
      <c r="J286" s="1">
        <f>0.03*Table118192023103031323538394041481115182028317212637[[#This Row],[النولون]]</f>
        <v>0</v>
      </c>
      <c r="L28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86" s="1">
        <f>N285+Table118192023103031323538394041481115182028317212637[[#This Row],[اجمالي الفاتوره]]-Table118192023103031323538394041481115182028317212637[[#This Row],[الدفعات]]</f>
        <v>38029.829999999994</v>
      </c>
    </row>
    <row r="287" spans="10:14" s="1" customFormat="1" ht="25.2" customHeight="1" x14ac:dyDescent="0.3">
      <c r="J287" s="1">
        <f>0.03*Table118192023103031323538394041481115182028317212637[[#This Row],[النولون]]</f>
        <v>0</v>
      </c>
      <c r="L28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87" s="1">
        <f>N286+Table118192023103031323538394041481115182028317212637[[#This Row],[اجمالي الفاتوره]]-Table118192023103031323538394041481115182028317212637[[#This Row],[الدفعات]]</f>
        <v>38029.829999999994</v>
      </c>
    </row>
    <row r="288" spans="10:14" s="1" customFormat="1" ht="25.2" customHeight="1" x14ac:dyDescent="0.3">
      <c r="J288" s="1">
        <f>0.03*Table118192023103031323538394041481115182028317212637[[#This Row],[النولون]]</f>
        <v>0</v>
      </c>
      <c r="L28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88" s="1">
        <f>N287+Table118192023103031323538394041481115182028317212637[[#This Row],[اجمالي الفاتوره]]-Table118192023103031323538394041481115182028317212637[[#This Row],[الدفعات]]</f>
        <v>38029.829999999994</v>
      </c>
    </row>
    <row r="289" spans="10:14" s="1" customFormat="1" ht="25.2" customHeight="1" x14ac:dyDescent="0.3">
      <c r="J289" s="1">
        <f>0.03*Table118192023103031323538394041481115182028317212637[[#This Row],[النولون]]</f>
        <v>0</v>
      </c>
      <c r="L28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89" s="1">
        <f>N288+Table118192023103031323538394041481115182028317212637[[#This Row],[اجمالي الفاتوره]]-Table118192023103031323538394041481115182028317212637[[#This Row],[الدفعات]]</f>
        <v>38029.829999999994</v>
      </c>
    </row>
    <row r="290" spans="10:14" s="1" customFormat="1" ht="25.2" customHeight="1" x14ac:dyDescent="0.3">
      <c r="J290" s="1">
        <f>0.03*Table118192023103031323538394041481115182028317212637[[#This Row],[النولون]]</f>
        <v>0</v>
      </c>
      <c r="L29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90" s="1">
        <f>N289+Table118192023103031323538394041481115182028317212637[[#This Row],[اجمالي الفاتوره]]-Table118192023103031323538394041481115182028317212637[[#This Row],[الدفعات]]</f>
        <v>38029.829999999994</v>
      </c>
    </row>
    <row r="291" spans="10:14" s="1" customFormat="1" ht="25.2" customHeight="1" x14ac:dyDescent="0.3">
      <c r="J291" s="1">
        <f>0.03*Table118192023103031323538394041481115182028317212637[[#This Row],[النولون]]</f>
        <v>0</v>
      </c>
      <c r="L29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91" s="1">
        <f>N290+Table118192023103031323538394041481115182028317212637[[#This Row],[اجمالي الفاتوره]]-Table118192023103031323538394041481115182028317212637[[#This Row],[الدفعات]]</f>
        <v>38029.829999999994</v>
      </c>
    </row>
    <row r="292" spans="10:14" s="1" customFormat="1" ht="25.2" customHeight="1" x14ac:dyDescent="0.3">
      <c r="J292" s="1">
        <f>0.03*Table118192023103031323538394041481115182028317212637[[#This Row],[النولون]]</f>
        <v>0</v>
      </c>
      <c r="L29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92" s="1">
        <f>N291+Table118192023103031323538394041481115182028317212637[[#This Row],[اجمالي الفاتوره]]-Table118192023103031323538394041481115182028317212637[[#This Row],[الدفعات]]</f>
        <v>38029.829999999994</v>
      </c>
    </row>
    <row r="293" spans="10:14" s="1" customFormat="1" ht="25.2" customHeight="1" x14ac:dyDescent="0.3">
      <c r="J293" s="1">
        <f>0.03*Table118192023103031323538394041481115182028317212637[[#This Row],[النولون]]</f>
        <v>0</v>
      </c>
      <c r="L29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93" s="1">
        <f>N292+Table118192023103031323538394041481115182028317212637[[#This Row],[اجمالي الفاتوره]]-Table118192023103031323538394041481115182028317212637[[#This Row],[الدفعات]]</f>
        <v>38029.829999999994</v>
      </c>
    </row>
    <row r="294" spans="10:14" s="1" customFormat="1" ht="25.2" customHeight="1" x14ac:dyDescent="0.3">
      <c r="J294" s="1">
        <f>0.03*Table118192023103031323538394041481115182028317212637[[#This Row],[النولون]]</f>
        <v>0</v>
      </c>
      <c r="L29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94" s="1">
        <f>N293+Table118192023103031323538394041481115182028317212637[[#This Row],[اجمالي الفاتوره]]-Table118192023103031323538394041481115182028317212637[[#This Row],[الدفعات]]</f>
        <v>38029.829999999994</v>
      </c>
    </row>
    <row r="295" spans="10:14" s="1" customFormat="1" ht="25.2" customHeight="1" x14ac:dyDescent="0.3">
      <c r="J295" s="1">
        <f>0.03*Table118192023103031323538394041481115182028317212637[[#This Row],[النولون]]</f>
        <v>0</v>
      </c>
      <c r="L29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95" s="1">
        <f>N294+Table118192023103031323538394041481115182028317212637[[#This Row],[اجمالي الفاتوره]]-Table118192023103031323538394041481115182028317212637[[#This Row],[الدفعات]]</f>
        <v>38029.829999999994</v>
      </c>
    </row>
    <row r="296" spans="10:14" s="1" customFormat="1" ht="25.2" customHeight="1" x14ac:dyDescent="0.3">
      <c r="J296" s="1">
        <f>0.03*Table118192023103031323538394041481115182028317212637[[#This Row],[النولون]]</f>
        <v>0</v>
      </c>
      <c r="L29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96" s="1">
        <f>N295+Table118192023103031323538394041481115182028317212637[[#This Row],[اجمالي الفاتوره]]-Table118192023103031323538394041481115182028317212637[[#This Row],[الدفعات]]</f>
        <v>38029.829999999994</v>
      </c>
    </row>
    <row r="297" spans="10:14" s="1" customFormat="1" ht="25.2" customHeight="1" x14ac:dyDescent="0.3">
      <c r="J297" s="1">
        <f>0.03*Table118192023103031323538394041481115182028317212637[[#This Row],[النولون]]</f>
        <v>0</v>
      </c>
      <c r="L29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97" s="1">
        <f>N296+Table118192023103031323538394041481115182028317212637[[#This Row],[اجمالي الفاتوره]]-Table118192023103031323538394041481115182028317212637[[#This Row],[الدفعات]]</f>
        <v>38029.829999999994</v>
      </c>
    </row>
    <row r="298" spans="10:14" s="1" customFormat="1" ht="25.2" customHeight="1" x14ac:dyDescent="0.3">
      <c r="J298" s="1">
        <f>0.03*Table118192023103031323538394041481115182028317212637[[#This Row],[النولون]]</f>
        <v>0</v>
      </c>
      <c r="L29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98" s="1">
        <f>N297+Table118192023103031323538394041481115182028317212637[[#This Row],[اجمالي الفاتوره]]-Table118192023103031323538394041481115182028317212637[[#This Row],[الدفعات]]</f>
        <v>38029.829999999994</v>
      </c>
    </row>
    <row r="299" spans="10:14" s="1" customFormat="1" ht="25.2" customHeight="1" x14ac:dyDescent="0.3">
      <c r="J299" s="1">
        <f>0.03*Table118192023103031323538394041481115182028317212637[[#This Row],[النولون]]</f>
        <v>0</v>
      </c>
      <c r="L29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299" s="1">
        <f>N298+Table118192023103031323538394041481115182028317212637[[#This Row],[اجمالي الفاتوره]]-Table118192023103031323538394041481115182028317212637[[#This Row],[الدفعات]]</f>
        <v>38029.829999999994</v>
      </c>
    </row>
    <row r="300" spans="10:14" s="1" customFormat="1" ht="25.2" customHeight="1" x14ac:dyDescent="0.3">
      <c r="J300" s="1">
        <f>0.03*Table118192023103031323538394041481115182028317212637[[#This Row],[النولون]]</f>
        <v>0</v>
      </c>
      <c r="L30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00" s="1">
        <f>N299+Table118192023103031323538394041481115182028317212637[[#This Row],[اجمالي الفاتوره]]-Table118192023103031323538394041481115182028317212637[[#This Row],[الدفعات]]</f>
        <v>38029.829999999994</v>
      </c>
    </row>
    <row r="301" spans="10:14" s="1" customFormat="1" ht="25.2" customHeight="1" x14ac:dyDescent="0.3">
      <c r="J301" s="1">
        <f>0.03*Table118192023103031323538394041481115182028317212637[[#This Row],[النولون]]</f>
        <v>0</v>
      </c>
      <c r="L30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01" s="1">
        <f>N300+Table118192023103031323538394041481115182028317212637[[#This Row],[اجمالي الفاتوره]]-Table118192023103031323538394041481115182028317212637[[#This Row],[الدفعات]]</f>
        <v>38029.829999999994</v>
      </c>
    </row>
    <row r="302" spans="10:14" s="1" customFormat="1" ht="25.2" customHeight="1" x14ac:dyDescent="0.3">
      <c r="J302" s="1">
        <f>0.03*Table118192023103031323538394041481115182028317212637[[#This Row],[النولون]]</f>
        <v>0</v>
      </c>
      <c r="L30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02" s="1">
        <f>N301+Table118192023103031323538394041481115182028317212637[[#This Row],[اجمالي الفاتوره]]-Table118192023103031323538394041481115182028317212637[[#This Row],[الدفعات]]</f>
        <v>38029.829999999994</v>
      </c>
    </row>
    <row r="303" spans="10:14" s="1" customFormat="1" ht="25.2" customHeight="1" x14ac:dyDescent="0.3">
      <c r="J303" s="1">
        <f>0.03*Table118192023103031323538394041481115182028317212637[[#This Row],[النولون]]</f>
        <v>0</v>
      </c>
      <c r="L30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03" s="1">
        <f>N302+Table118192023103031323538394041481115182028317212637[[#This Row],[اجمالي الفاتوره]]-Table118192023103031323538394041481115182028317212637[[#This Row],[الدفعات]]</f>
        <v>38029.829999999994</v>
      </c>
    </row>
    <row r="304" spans="10:14" s="1" customFormat="1" ht="25.2" customHeight="1" x14ac:dyDescent="0.3">
      <c r="J304" s="1">
        <f>0.03*Table118192023103031323538394041481115182028317212637[[#This Row],[النولون]]</f>
        <v>0</v>
      </c>
      <c r="L30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04" s="1">
        <f>N303+Table118192023103031323538394041481115182028317212637[[#This Row],[اجمالي الفاتوره]]-Table118192023103031323538394041481115182028317212637[[#This Row],[الدفعات]]</f>
        <v>38029.829999999994</v>
      </c>
    </row>
    <row r="305" spans="10:14" s="1" customFormat="1" ht="25.2" customHeight="1" x14ac:dyDescent="0.3">
      <c r="J305" s="1">
        <f>0.03*Table118192023103031323538394041481115182028317212637[[#This Row],[النولون]]</f>
        <v>0</v>
      </c>
      <c r="L30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05" s="1">
        <f>N304+Table118192023103031323538394041481115182028317212637[[#This Row],[اجمالي الفاتوره]]-Table118192023103031323538394041481115182028317212637[[#This Row],[الدفعات]]</f>
        <v>38029.829999999994</v>
      </c>
    </row>
    <row r="306" spans="10:14" s="1" customFormat="1" ht="25.2" customHeight="1" x14ac:dyDescent="0.3">
      <c r="J306" s="1">
        <f>0.03*Table118192023103031323538394041481115182028317212637[[#This Row],[النولون]]</f>
        <v>0</v>
      </c>
      <c r="L30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06" s="1">
        <f>N305+Table118192023103031323538394041481115182028317212637[[#This Row],[اجمالي الفاتوره]]-Table118192023103031323538394041481115182028317212637[[#This Row],[الدفعات]]</f>
        <v>38029.829999999994</v>
      </c>
    </row>
    <row r="307" spans="10:14" s="1" customFormat="1" ht="25.2" customHeight="1" x14ac:dyDescent="0.3">
      <c r="J307" s="1">
        <f>0.03*Table118192023103031323538394041481115182028317212637[[#This Row],[النولون]]</f>
        <v>0</v>
      </c>
      <c r="L30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07" s="1">
        <f>N306+Table118192023103031323538394041481115182028317212637[[#This Row],[اجمالي الفاتوره]]-Table118192023103031323538394041481115182028317212637[[#This Row],[الدفعات]]</f>
        <v>38029.829999999994</v>
      </c>
    </row>
    <row r="308" spans="10:14" s="1" customFormat="1" ht="25.2" customHeight="1" x14ac:dyDescent="0.3">
      <c r="J308" s="1">
        <f>0.03*Table118192023103031323538394041481115182028317212637[[#This Row],[النولون]]</f>
        <v>0</v>
      </c>
      <c r="L30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08" s="1">
        <f>N307+Table118192023103031323538394041481115182028317212637[[#This Row],[اجمالي الفاتوره]]-Table118192023103031323538394041481115182028317212637[[#This Row],[الدفعات]]</f>
        <v>38029.829999999994</v>
      </c>
    </row>
    <row r="309" spans="10:14" s="1" customFormat="1" ht="25.2" customHeight="1" x14ac:dyDescent="0.3">
      <c r="J309" s="1">
        <f>0.03*Table118192023103031323538394041481115182028317212637[[#This Row],[النولون]]</f>
        <v>0</v>
      </c>
      <c r="L30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09" s="1">
        <f>N308+Table118192023103031323538394041481115182028317212637[[#This Row],[اجمالي الفاتوره]]-Table118192023103031323538394041481115182028317212637[[#This Row],[الدفعات]]</f>
        <v>38029.829999999994</v>
      </c>
    </row>
    <row r="310" spans="10:14" s="1" customFormat="1" ht="25.2" customHeight="1" x14ac:dyDescent="0.3">
      <c r="J310" s="1">
        <f>0.03*Table118192023103031323538394041481115182028317212637[[#This Row],[النولون]]</f>
        <v>0</v>
      </c>
      <c r="L31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10" s="1">
        <f>N309+Table118192023103031323538394041481115182028317212637[[#This Row],[اجمالي الفاتوره]]-Table118192023103031323538394041481115182028317212637[[#This Row],[الدفعات]]</f>
        <v>38029.829999999994</v>
      </c>
    </row>
    <row r="311" spans="10:14" s="1" customFormat="1" ht="25.2" customHeight="1" x14ac:dyDescent="0.3">
      <c r="J311" s="1">
        <f>0.03*Table118192023103031323538394041481115182028317212637[[#This Row],[النولون]]</f>
        <v>0</v>
      </c>
      <c r="L31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11" s="1">
        <f>N310+Table118192023103031323538394041481115182028317212637[[#This Row],[اجمالي الفاتوره]]-Table118192023103031323538394041481115182028317212637[[#This Row],[الدفعات]]</f>
        <v>38029.829999999994</v>
      </c>
    </row>
    <row r="312" spans="10:14" s="1" customFormat="1" ht="25.2" customHeight="1" x14ac:dyDescent="0.3">
      <c r="J312" s="1">
        <f>0.03*Table118192023103031323538394041481115182028317212637[[#This Row],[النولون]]</f>
        <v>0</v>
      </c>
      <c r="L31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12" s="1">
        <f>N311+Table118192023103031323538394041481115182028317212637[[#This Row],[اجمالي الفاتوره]]-Table118192023103031323538394041481115182028317212637[[#This Row],[الدفعات]]</f>
        <v>38029.829999999994</v>
      </c>
    </row>
    <row r="313" spans="10:14" s="1" customFormat="1" ht="25.2" customHeight="1" x14ac:dyDescent="0.3">
      <c r="J313" s="1">
        <f>0.03*Table118192023103031323538394041481115182028317212637[[#This Row],[النولون]]</f>
        <v>0</v>
      </c>
      <c r="L31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13" s="1">
        <f>N312+Table118192023103031323538394041481115182028317212637[[#This Row],[اجمالي الفاتوره]]-Table118192023103031323538394041481115182028317212637[[#This Row],[الدفعات]]</f>
        <v>38029.829999999994</v>
      </c>
    </row>
    <row r="314" spans="10:14" s="1" customFormat="1" ht="25.2" customHeight="1" x14ac:dyDescent="0.3">
      <c r="J314" s="1">
        <f>0.03*Table118192023103031323538394041481115182028317212637[[#This Row],[النولون]]</f>
        <v>0</v>
      </c>
      <c r="L31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14" s="1">
        <f>N313+Table118192023103031323538394041481115182028317212637[[#This Row],[اجمالي الفاتوره]]-Table118192023103031323538394041481115182028317212637[[#This Row],[الدفعات]]</f>
        <v>38029.829999999994</v>
      </c>
    </row>
    <row r="315" spans="10:14" s="1" customFormat="1" ht="25.2" customHeight="1" x14ac:dyDescent="0.3">
      <c r="J315" s="1">
        <f>0.03*Table118192023103031323538394041481115182028317212637[[#This Row],[النولون]]</f>
        <v>0</v>
      </c>
      <c r="L31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15" s="1">
        <f>N314+Table118192023103031323538394041481115182028317212637[[#This Row],[اجمالي الفاتوره]]-Table118192023103031323538394041481115182028317212637[[#This Row],[الدفعات]]</f>
        <v>38029.829999999994</v>
      </c>
    </row>
    <row r="316" spans="10:14" s="1" customFormat="1" ht="25.2" customHeight="1" x14ac:dyDescent="0.3">
      <c r="J316" s="1">
        <f>0.03*Table118192023103031323538394041481115182028317212637[[#This Row],[النولون]]</f>
        <v>0</v>
      </c>
      <c r="L31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16" s="1">
        <f>N315+Table118192023103031323538394041481115182028317212637[[#This Row],[اجمالي الفاتوره]]-Table118192023103031323538394041481115182028317212637[[#This Row],[الدفعات]]</f>
        <v>38029.829999999994</v>
      </c>
    </row>
    <row r="317" spans="10:14" s="1" customFormat="1" ht="25.2" customHeight="1" x14ac:dyDescent="0.3">
      <c r="J317" s="1">
        <f>0.03*Table118192023103031323538394041481115182028317212637[[#This Row],[النولون]]</f>
        <v>0</v>
      </c>
      <c r="L31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17" s="1">
        <f>N316+Table118192023103031323538394041481115182028317212637[[#This Row],[اجمالي الفاتوره]]-Table118192023103031323538394041481115182028317212637[[#This Row],[الدفعات]]</f>
        <v>38029.829999999994</v>
      </c>
    </row>
    <row r="318" spans="10:14" s="1" customFormat="1" ht="25.2" customHeight="1" x14ac:dyDescent="0.3">
      <c r="J318" s="1">
        <f>0.03*Table118192023103031323538394041481115182028317212637[[#This Row],[النولون]]</f>
        <v>0</v>
      </c>
      <c r="L31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18" s="1">
        <f>N317+Table118192023103031323538394041481115182028317212637[[#This Row],[اجمالي الفاتوره]]-Table118192023103031323538394041481115182028317212637[[#This Row],[الدفعات]]</f>
        <v>38029.829999999994</v>
      </c>
    </row>
    <row r="319" spans="10:14" s="1" customFormat="1" ht="25.2" customHeight="1" x14ac:dyDescent="0.3">
      <c r="J319" s="1">
        <f>0.03*Table118192023103031323538394041481115182028317212637[[#This Row],[النولون]]</f>
        <v>0</v>
      </c>
      <c r="L31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19" s="1">
        <f>N318+Table118192023103031323538394041481115182028317212637[[#This Row],[اجمالي الفاتوره]]-Table118192023103031323538394041481115182028317212637[[#This Row],[الدفعات]]</f>
        <v>38029.829999999994</v>
      </c>
    </row>
    <row r="320" spans="10:14" s="1" customFormat="1" ht="25.2" customHeight="1" x14ac:dyDescent="0.3">
      <c r="J320" s="1">
        <f>0.03*Table118192023103031323538394041481115182028317212637[[#This Row],[النولون]]</f>
        <v>0</v>
      </c>
      <c r="L32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20" s="1">
        <f>N319+Table118192023103031323538394041481115182028317212637[[#This Row],[اجمالي الفاتوره]]-Table118192023103031323538394041481115182028317212637[[#This Row],[الدفعات]]</f>
        <v>38029.829999999994</v>
      </c>
    </row>
    <row r="321" spans="10:14" s="1" customFormat="1" ht="25.2" customHeight="1" x14ac:dyDescent="0.3">
      <c r="J321" s="1">
        <f>0.03*Table118192023103031323538394041481115182028317212637[[#This Row],[النولون]]</f>
        <v>0</v>
      </c>
      <c r="L32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21" s="1">
        <f>N320+Table118192023103031323538394041481115182028317212637[[#This Row],[اجمالي الفاتوره]]-Table118192023103031323538394041481115182028317212637[[#This Row],[الدفعات]]</f>
        <v>38029.829999999994</v>
      </c>
    </row>
    <row r="322" spans="10:14" s="1" customFormat="1" ht="25.2" customHeight="1" x14ac:dyDescent="0.3">
      <c r="J322" s="1">
        <f>0.03*Table118192023103031323538394041481115182028317212637[[#This Row],[النولون]]</f>
        <v>0</v>
      </c>
      <c r="L32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22" s="1">
        <f>N321+Table118192023103031323538394041481115182028317212637[[#This Row],[اجمالي الفاتوره]]-Table118192023103031323538394041481115182028317212637[[#This Row],[الدفعات]]</f>
        <v>38029.829999999994</v>
      </c>
    </row>
    <row r="323" spans="10:14" s="1" customFormat="1" ht="25.2" customHeight="1" x14ac:dyDescent="0.3">
      <c r="J323" s="1">
        <f>0.03*Table118192023103031323538394041481115182028317212637[[#This Row],[النولون]]</f>
        <v>0</v>
      </c>
      <c r="L32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23" s="1">
        <f>N322+Table118192023103031323538394041481115182028317212637[[#This Row],[اجمالي الفاتوره]]-Table118192023103031323538394041481115182028317212637[[#This Row],[الدفعات]]</f>
        <v>38029.829999999994</v>
      </c>
    </row>
    <row r="324" spans="10:14" s="1" customFormat="1" ht="25.2" customHeight="1" x14ac:dyDescent="0.3">
      <c r="J324" s="1">
        <f>0.03*Table118192023103031323538394041481115182028317212637[[#This Row],[النولون]]</f>
        <v>0</v>
      </c>
      <c r="L32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24" s="1">
        <f>N323+Table118192023103031323538394041481115182028317212637[[#This Row],[اجمالي الفاتوره]]-Table118192023103031323538394041481115182028317212637[[#This Row],[الدفعات]]</f>
        <v>38029.829999999994</v>
      </c>
    </row>
    <row r="325" spans="10:14" s="1" customFormat="1" ht="25.2" customHeight="1" x14ac:dyDescent="0.3">
      <c r="J325" s="1">
        <f>0.03*Table118192023103031323538394041481115182028317212637[[#This Row],[النولون]]</f>
        <v>0</v>
      </c>
      <c r="L32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25" s="1">
        <f>N324+Table118192023103031323538394041481115182028317212637[[#This Row],[اجمالي الفاتوره]]-Table118192023103031323538394041481115182028317212637[[#This Row],[الدفعات]]</f>
        <v>38029.829999999994</v>
      </c>
    </row>
    <row r="326" spans="10:14" s="1" customFormat="1" ht="25.2" customHeight="1" x14ac:dyDescent="0.3">
      <c r="J326" s="1">
        <f>0.03*Table118192023103031323538394041481115182028317212637[[#This Row],[النولون]]</f>
        <v>0</v>
      </c>
      <c r="L32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26" s="1">
        <f>N325+Table118192023103031323538394041481115182028317212637[[#This Row],[اجمالي الفاتوره]]-Table118192023103031323538394041481115182028317212637[[#This Row],[الدفعات]]</f>
        <v>38029.829999999994</v>
      </c>
    </row>
    <row r="327" spans="10:14" s="1" customFormat="1" ht="25.2" customHeight="1" x14ac:dyDescent="0.3">
      <c r="J327" s="1">
        <f>0.03*Table118192023103031323538394041481115182028317212637[[#This Row],[النولون]]</f>
        <v>0</v>
      </c>
      <c r="L32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27" s="1">
        <f>N326+Table118192023103031323538394041481115182028317212637[[#This Row],[اجمالي الفاتوره]]-Table118192023103031323538394041481115182028317212637[[#This Row],[الدفعات]]</f>
        <v>38029.829999999994</v>
      </c>
    </row>
    <row r="328" spans="10:14" s="1" customFormat="1" ht="25.2" customHeight="1" x14ac:dyDescent="0.3">
      <c r="J328" s="1">
        <f>0.03*Table118192023103031323538394041481115182028317212637[[#This Row],[النولون]]</f>
        <v>0</v>
      </c>
      <c r="L32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28" s="1">
        <f>N327+Table118192023103031323538394041481115182028317212637[[#This Row],[اجمالي الفاتوره]]-Table118192023103031323538394041481115182028317212637[[#This Row],[الدفعات]]</f>
        <v>38029.829999999994</v>
      </c>
    </row>
    <row r="329" spans="10:14" s="1" customFormat="1" ht="25.2" customHeight="1" x14ac:dyDescent="0.3">
      <c r="J329" s="1">
        <f>0.03*Table118192023103031323538394041481115182028317212637[[#This Row],[النولون]]</f>
        <v>0</v>
      </c>
      <c r="L329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29" s="1">
        <f>N328+Table118192023103031323538394041481115182028317212637[[#This Row],[اجمالي الفاتوره]]-Table118192023103031323538394041481115182028317212637[[#This Row],[الدفعات]]</f>
        <v>38029.829999999994</v>
      </c>
    </row>
    <row r="330" spans="10:14" s="1" customFormat="1" ht="25.2" customHeight="1" x14ac:dyDescent="0.3">
      <c r="J330" s="1">
        <f>0.03*Table118192023103031323538394041481115182028317212637[[#This Row],[النولون]]</f>
        <v>0</v>
      </c>
      <c r="L330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30" s="1">
        <f>N329+Table118192023103031323538394041481115182028317212637[[#This Row],[اجمالي الفاتوره]]-Table118192023103031323538394041481115182028317212637[[#This Row],[الدفعات]]</f>
        <v>38029.829999999994</v>
      </c>
    </row>
    <row r="331" spans="10:14" s="1" customFormat="1" ht="25.2" customHeight="1" x14ac:dyDescent="0.3">
      <c r="J331" s="1">
        <f>0.03*Table118192023103031323538394041481115182028317212637[[#This Row],[النولون]]</f>
        <v>0</v>
      </c>
      <c r="L331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31" s="1">
        <f>N330+Table118192023103031323538394041481115182028317212637[[#This Row],[اجمالي الفاتوره]]-Table118192023103031323538394041481115182028317212637[[#This Row],[الدفعات]]</f>
        <v>38029.829999999994</v>
      </c>
    </row>
    <row r="332" spans="10:14" s="1" customFormat="1" ht="25.2" customHeight="1" x14ac:dyDescent="0.3">
      <c r="J332" s="1">
        <f>0.03*Table118192023103031323538394041481115182028317212637[[#This Row],[النولون]]</f>
        <v>0</v>
      </c>
      <c r="L332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32" s="1">
        <f>N331+Table118192023103031323538394041481115182028317212637[[#This Row],[اجمالي الفاتوره]]-Table118192023103031323538394041481115182028317212637[[#This Row],[الدفعات]]</f>
        <v>38029.829999999994</v>
      </c>
    </row>
    <row r="333" spans="10:14" s="1" customFormat="1" ht="25.2" customHeight="1" x14ac:dyDescent="0.3">
      <c r="J333" s="1">
        <f>0.03*Table118192023103031323538394041481115182028317212637[[#This Row],[النولون]]</f>
        <v>0</v>
      </c>
      <c r="L333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33" s="1">
        <f>N332+Table118192023103031323538394041481115182028317212637[[#This Row],[اجمالي الفاتوره]]-Table118192023103031323538394041481115182028317212637[[#This Row],[الدفعات]]</f>
        <v>38029.829999999994</v>
      </c>
    </row>
    <row r="334" spans="10:14" s="1" customFormat="1" ht="25.2" customHeight="1" x14ac:dyDescent="0.3">
      <c r="J334" s="1">
        <f>0.03*Table118192023103031323538394041481115182028317212637[[#This Row],[النولون]]</f>
        <v>0</v>
      </c>
      <c r="L334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34" s="1">
        <f>N333+Table118192023103031323538394041481115182028317212637[[#This Row],[اجمالي الفاتوره]]-Table118192023103031323538394041481115182028317212637[[#This Row],[الدفعات]]</f>
        <v>38029.829999999994</v>
      </c>
    </row>
    <row r="335" spans="10:14" s="1" customFormat="1" ht="25.2" customHeight="1" x14ac:dyDescent="0.3">
      <c r="J335" s="1">
        <f>0.03*Table118192023103031323538394041481115182028317212637[[#This Row],[النولون]]</f>
        <v>0</v>
      </c>
      <c r="L335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35" s="1">
        <f>N334+Table118192023103031323538394041481115182028317212637[[#This Row],[اجمالي الفاتوره]]-Table118192023103031323538394041481115182028317212637[[#This Row],[الدفعات]]</f>
        <v>38029.829999999994</v>
      </c>
    </row>
    <row r="336" spans="10:14" s="1" customFormat="1" ht="25.2" customHeight="1" x14ac:dyDescent="0.3">
      <c r="J336" s="1">
        <f>0.03*Table118192023103031323538394041481115182028317212637[[#This Row],[النولون]]</f>
        <v>0</v>
      </c>
      <c r="L336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36" s="1">
        <f>N335+Table118192023103031323538394041481115182028317212637[[#This Row],[اجمالي الفاتوره]]-Table118192023103031323538394041481115182028317212637[[#This Row],[الدفعات]]</f>
        <v>38029.829999999994</v>
      </c>
    </row>
    <row r="337" spans="10:14" s="1" customFormat="1" ht="25.2" customHeight="1" x14ac:dyDescent="0.3">
      <c r="J337" s="1">
        <f>0.03*Table118192023103031323538394041481115182028317212637[[#This Row],[النولون]]</f>
        <v>0</v>
      </c>
      <c r="L337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37" s="1">
        <f>N336+Table118192023103031323538394041481115182028317212637[[#This Row],[اجمالي الفاتوره]]-Table118192023103031323538394041481115182028317212637[[#This Row],[الدفعات]]</f>
        <v>38029.829999999994</v>
      </c>
    </row>
    <row r="338" spans="10:14" s="1" customFormat="1" ht="25.2" customHeight="1" x14ac:dyDescent="0.3">
      <c r="J338" s="1">
        <f>0.03*Table118192023103031323538394041481115182028317212637[[#This Row],[النولون]]</f>
        <v>0</v>
      </c>
      <c r="L338" s="1">
        <f>Table118192023103031323538394041481115182028317212637[[#This Row],[النولون]]+Table118192023103031323538394041481115182028317212637[[#This Row],[الايصالات]]-Table118192023103031323538394041481115182028317212637[[#This Row],[خصم أ ت ص]]+Table118192023103031323538394041481115182028317212637[[#This Row],[قيمة مضافة]]</f>
        <v>0</v>
      </c>
      <c r="N338" s="1">
        <f>N337+Table118192023103031323538394041481115182028317212637[[#This Row],[اجمالي الفاتوره]]-Table118192023103031323538394041481115182028317212637[[#This Row],[الدفعات]]</f>
        <v>38029.829999999994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DE517-6147-4E95-8152-B463AD1A0BDA}">
  <dimension ref="A1:O338"/>
  <sheetViews>
    <sheetView rightToLeft="1" tabSelected="1" workbookViewId="0">
      <selection activeCell="F5" sqref="F5"/>
    </sheetView>
  </sheetViews>
  <sheetFormatPr defaultColWidth="9.109375" defaultRowHeight="15.6" x14ac:dyDescent="0.3"/>
  <cols>
    <col min="1" max="1" width="5.44140625" style="6" customWidth="1"/>
    <col min="2" max="2" width="5.44140625" style="1" customWidth="1"/>
    <col min="3" max="3" width="11" style="1" customWidth="1"/>
    <col min="4" max="4" width="15.109375" style="1" customWidth="1"/>
    <col min="5" max="5" width="11.21875" style="1" customWidth="1"/>
    <col min="6" max="6" width="13.33203125" style="1" customWidth="1"/>
    <col min="7" max="7" width="11.88671875" style="1" customWidth="1"/>
    <col min="8" max="8" width="11.6640625" style="1" customWidth="1"/>
    <col min="9" max="9" width="8.33203125" style="1" customWidth="1"/>
    <col min="10" max="10" width="8.21875" style="1" customWidth="1"/>
    <col min="11" max="11" width="10.77734375" style="1" customWidth="1"/>
    <col min="12" max="12" width="12" style="1" customWidth="1"/>
    <col min="13" max="13" width="12.77734375" style="1" customWidth="1"/>
    <col min="14" max="14" width="15.21875" style="1" customWidth="1"/>
    <col min="15" max="16384" width="9.109375" style="1"/>
  </cols>
  <sheetData>
    <row r="1" spans="1:15" ht="25.2" customHeight="1" x14ac:dyDescent="0.3">
      <c r="A1" s="6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25.2" customHeight="1" x14ac:dyDescent="0.3">
      <c r="B2" s="1">
        <v>1</v>
      </c>
      <c r="C2" s="2">
        <v>46200</v>
      </c>
      <c r="D2" s="1" t="s">
        <v>638</v>
      </c>
      <c r="E2" s="1" t="s">
        <v>637</v>
      </c>
      <c r="F2" s="1">
        <v>292248</v>
      </c>
      <c r="G2" s="1" t="s">
        <v>92</v>
      </c>
      <c r="H2" s="1">
        <f>12300+14000</f>
        <v>26300</v>
      </c>
      <c r="K2" s="1">
        <f>1105*2+234.1+300.4+600+1300*2+517</f>
        <v>6461.5</v>
      </c>
      <c r="L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32761.5</v>
      </c>
      <c r="N2" s="1">
        <f>Table11819202310303132353839404148111518202831721263738[[#This Row],[اجمالي الفاتوره]]-Table11819202310303132353839404148111518202831721263738[[#This Row],[الدفعات]]</f>
        <v>32761.5</v>
      </c>
    </row>
    <row r="3" spans="1:15" ht="25.2" customHeight="1" x14ac:dyDescent="0.3">
      <c r="C3" s="2"/>
      <c r="L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" s="1">
        <f>N2+Table11819202310303132353839404148111518202831721263738[[#This Row],[اجمالي الفاتوره]]-Table11819202310303132353839404148111518202831721263738[[#This Row],[الدفعات]]</f>
        <v>32761.5</v>
      </c>
    </row>
    <row r="4" spans="1:15" ht="25.2" customHeight="1" x14ac:dyDescent="0.3">
      <c r="A4" s="42"/>
      <c r="C4" s="2"/>
      <c r="H4" s="95"/>
      <c r="L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4" s="1">
        <f>N3+Table11819202310303132353839404148111518202831721263738[[#This Row],[اجمالي الفاتوره]]-Table11819202310303132353839404148111518202831721263738[[#This Row],[الدفعات]]</f>
        <v>32761.5</v>
      </c>
    </row>
    <row r="5" spans="1:15" ht="25.2" customHeight="1" x14ac:dyDescent="0.3">
      <c r="C5" s="2"/>
      <c r="L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5" s="1">
        <f>N4+Table11819202310303132353839404148111518202831721263738[[#This Row],[اجمالي الفاتوره]]-Table11819202310303132353839404148111518202831721263738[[#This Row],[الدفعات]]</f>
        <v>32761.5</v>
      </c>
    </row>
    <row r="6" spans="1:15" ht="25.2" customHeight="1" x14ac:dyDescent="0.3">
      <c r="C6" s="2"/>
      <c r="L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6" s="1">
        <f>N5+Table11819202310303132353839404148111518202831721263738[[#This Row],[اجمالي الفاتوره]]-Table11819202310303132353839404148111518202831721263738[[#This Row],[الدفعات]]</f>
        <v>32761.5</v>
      </c>
    </row>
    <row r="7" spans="1:15" ht="25.2" customHeight="1" x14ac:dyDescent="0.3">
      <c r="C7" s="2"/>
      <c r="L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7" s="1">
        <f>N6+Table11819202310303132353839404148111518202831721263738[[#This Row],[اجمالي الفاتوره]]-Table11819202310303132353839404148111518202831721263738[[#This Row],[الدفعات]]</f>
        <v>32761.5</v>
      </c>
    </row>
    <row r="8" spans="1:15" ht="25.2" customHeight="1" x14ac:dyDescent="0.3">
      <c r="C8" s="2"/>
      <c r="G8" s="20"/>
      <c r="L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8" s="1">
        <f>N7+Table11819202310303132353839404148111518202831721263738[[#This Row],[اجمالي الفاتوره]]-Table11819202310303132353839404148111518202831721263738[[#This Row],[الدفعات]]</f>
        <v>32761.5</v>
      </c>
    </row>
    <row r="9" spans="1:15" ht="25.2" customHeight="1" x14ac:dyDescent="0.3">
      <c r="C9" s="2"/>
      <c r="E9" s="20"/>
      <c r="F9" s="20"/>
      <c r="L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9" s="1">
        <f>N8+Table11819202310303132353839404148111518202831721263738[[#This Row],[اجمالي الفاتوره]]-Table11819202310303132353839404148111518202831721263738[[#This Row],[الدفعات]]</f>
        <v>32761.5</v>
      </c>
    </row>
    <row r="10" spans="1:15" ht="25.2" customHeight="1" x14ac:dyDescent="0.3">
      <c r="C10" s="2"/>
      <c r="F10" s="20"/>
      <c r="L1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0" s="1">
        <f>N9+Table11819202310303132353839404148111518202831721263738[[#This Row],[اجمالي الفاتوره]]-Table11819202310303132353839404148111518202831721263738[[#This Row],[الدفعات]]</f>
        <v>32761.5</v>
      </c>
    </row>
    <row r="11" spans="1:15" ht="25.2" customHeight="1" x14ac:dyDescent="0.3">
      <c r="C11" s="2"/>
      <c r="F11" s="20"/>
      <c r="L1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1" s="1">
        <f>N10+Table11819202310303132353839404148111518202831721263738[[#This Row],[اجمالي الفاتوره]]-Table11819202310303132353839404148111518202831721263738[[#This Row],[الدفعات]]</f>
        <v>32761.5</v>
      </c>
    </row>
    <row r="12" spans="1:15" ht="25.2" customHeight="1" x14ac:dyDescent="0.3">
      <c r="C12" s="2"/>
      <c r="L1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2" s="1">
        <f>N11+Table11819202310303132353839404148111518202831721263738[[#This Row],[اجمالي الفاتوره]]-Table11819202310303132353839404148111518202831721263738[[#This Row],[الدفعات]]</f>
        <v>32761.5</v>
      </c>
      <c r="O12" s="1">
        <f>SUM(L:L)-SUM(M:M)</f>
        <v>32761.5</v>
      </c>
    </row>
    <row r="13" spans="1:15" ht="25.2" customHeight="1" x14ac:dyDescent="0.3">
      <c r="C13" s="2"/>
      <c r="L1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3" s="1">
        <f>N12+Table11819202310303132353839404148111518202831721263738[[#This Row],[اجمالي الفاتوره]]-Table11819202310303132353839404148111518202831721263738[[#This Row],[الدفعات]]</f>
        <v>32761.5</v>
      </c>
    </row>
    <row r="14" spans="1:15" ht="25.2" customHeight="1" x14ac:dyDescent="0.3">
      <c r="C14" s="2"/>
      <c r="L1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4" s="1">
        <f>N13+Table11819202310303132353839404148111518202831721263738[[#This Row],[اجمالي الفاتوره]]-Table11819202310303132353839404148111518202831721263738[[#This Row],[الدفعات]]</f>
        <v>32761.5</v>
      </c>
    </row>
    <row r="15" spans="1:15" ht="25.2" customHeight="1" x14ac:dyDescent="0.3">
      <c r="C15" s="2"/>
      <c r="L1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5" s="1">
        <f>N14+Table11819202310303132353839404148111518202831721263738[[#This Row],[اجمالي الفاتوره]]-Table11819202310303132353839404148111518202831721263738[[#This Row],[الدفعات]]</f>
        <v>32761.5</v>
      </c>
    </row>
    <row r="16" spans="1:15" ht="25.2" customHeight="1" x14ac:dyDescent="0.3">
      <c r="C16" s="2"/>
      <c r="L1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6" s="1">
        <f>N15+Table11819202310303132353839404148111518202831721263738[[#This Row],[اجمالي الفاتوره]]-Table11819202310303132353839404148111518202831721263738[[#This Row],[الدفعات]]</f>
        <v>32761.5</v>
      </c>
    </row>
    <row r="17" spans="3:14" s="1" customFormat="1" ht="25.2" customHeight="1" x14ac:dyDescent="0.3">
      <c r="C17" s="2"/>
      <c r="L1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7" s="1">
        <f>N16+Table11819202310303132353839404148111518202831721263738[[#This Row],[اجمالي الفاتوره]]-Table11819202310303132353839404148111518202831721263738[[#This Row],[الدفعات]]</f>
        <v>32761.5</v>
      </c>
    </row>
    <row r="18" spans="3:14" s="1" customFormat="1" ht="25.2" customHeight="1" x14ac:dyDescent="0.3">
      <c r="C18" s="2"/>
      <c r="L1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8" s="1">
        <f>N17+Table11819202310303132353839404148111518202831721263738[[#This Row],[اجمالي الفاتوره]]-Table11819202310303132353839404148111518202831721263738[[#This Row],[الدفعات]]</f>
        <v>32761.5</v>
      </c>
    </row>
    <row r="19" spans="3:14" s="1" customFormat="1" ht="25.2" customHeight="1" x14ac:dyDescent="0.3">
      <c r="C19" s="2"/>
      <c r="L1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9" s="1">
        <f>N18+Table11819202310303132353839404148111518202831721263738[[#This Row],[اجمالي الفاتوره]]-Table11819202310303132353839404148111518202831721263738[[#This Row],[الدفعات]]</f>
        <v>32761.5</v>
      </c>
    </row>
    <row r="20" spans="3:14" s="1" customFormat="1" ht="25.2" customHeight="1" x14ac:dyDescent="0.3">
      <c r="C20" s="2"/>
      <c r="L2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0" s="1">
        <f>N19+Table11819202310303132353839404148111518202831721263738[[#This Row],[اجمالي الفاتوره]]-Table11819202310303132353839404148111518202831721263738[[#This Row],[الدفعات]]</f>
        <v>32761.5</v>
      </c>
    </row>
    <row r="21" spans="3:14" s="1" customFormat="1" ht="25.2" customHeight="1" x14ac:dyDescent="0.3">
      <c r="C21" s="2"/>
      <c r="L2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1" s="1">
        <f>N20+Table11819202310303132353839404148111518202831721263738[[#This Row],[اجمالي الفاتوره]]-Table11819202310303132353839404148111518202831721263738[[#This Row],[الدفعات]]</f>
        <v>32761.5</v>
      </c>
    </row>
    <row r="22" spans="3:14" s="1" customFormat="1" ht="25.2" customHeight="1" x14ac:dyDescent="0.3">
      <c r="C22" s="2"/>
      <c r="L2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2" s="1">
        <f>N21+Table11819202310303132353839404148111518202831721263738[[#This Row],[اجمالي الفاتوره]]-Table11819202310303132353839404148111518202831721263738[[#This Row],[الدفعات]]</f>
        <v>32761.5</v>
      </c>
    </row>
    <row r="23" spans="3:14" s="1" customFormat="1" ht="25.2" customHeight="1" x14ac:dyDescent="0.3">
      <c r="C23" s="2"/>
      <c r="L2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3" s="1">
        <f>N22+Table11819202310303132353839404148111518202831721263738[[#This Row],[اجمالي الفاتوره]]-Table11819202310303132353839404148111518202831721263738[[#This Row],[الدفعات]]</f>
        <v>32761.5</v>
      </c>
    </row>
    <row r="24" spans="3:14" s="1" customFormat="1" ht="25.2" customHeight="1" x14ac:dyDescent="0.3">
      <c r="L2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4" s="1">
        <f>N23+Table11819202310303132353839404148111518202831721263738[[#This Row],[اجمالي الفاتوره]]-Table11819202310303132353839404148111518202831721263738[[#This Row],[الدفعات]]</f>
        <v>32761.5</v>
      </c>
    </row>
    <row r="25" spans="3:14" s="1" customFormat="1" ht="25.2" customHeight="1" x14ac:dyDescent="0.3">
      <c r="L2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5" s="1">
        <f>N24+Table11819202310303132353839404148111518202831721263738[[#This Row],[اجمالي الفاتوره]]-Table11819202310303132353839404148111518202831721263738[[#This Row],[الدفعات]]</f>
        <v>32761.5</v>
      </c>
    </row>
    <row r="26" spans="3:14" s="1" customFormat="1" ht="25.2" customHeight="1" x14ac:dyDescent="0.3">
      <c r="C26" s="2"/>
      <c r="L2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6" s="1">
        <f>N25+Table11819202310303132353839404148111518202831721263738[[#This Row],[اجمالي الفاتوره]]-Table11819202310303132353839404148111518202831721263738[[#This Row],[الدفعات]]</f>
        <v>32761.5</v>
      </c>
    </row>
    <row r="27" spans="3:14" s="1" customFormat="1" ht="25.2" customHeight="1" x14ac:dyDescent="0.3">
      <c r="C27" s="2"/>
      <c r="L2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7" s="1">
        <f>N26+Table11819202310303132353839404148111518202831721263738[[#This Row],[اجمالي الفاتوره]]-Table11819202310303132353839404148111518202831721263738[[#This Row],[الدفعات]]</f>
        <v>32761.5</v>
      </c>
    </row>
    <row r="28" spans="3:14" s="1" customFormat="1" ht="25.2" customHeight="1" x14ac:dyDescent="0.3">
      <c r="C28" s="2"/>
      <c r="L2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8" s="1">
        <f>N27+Table11819202310303132353839404148111518202831721263738[[#This Row],[اجمالي الفاتوره]]-Table11819202310303132353839404148111518202831721263738[[#This Row],[الدفعات]]</f>
        <v>32761.5</v>
      </c>
    </row>
    <row r="29" spans="3:14" s="1" customFormat="1" ht="25.2" customHeight="1" x14ac:dyDescent="0.3">
      <c r="C29" s="2"/>
      <c r="L2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9" s="1">
        <f>N28+Table11819202310303132353839404148111518202831721263738[[#This Row],[اجمالي الفاتوره]]-Table11819202310303132353839404148111518202831721263738[[#This Row],[الدفعات]]</f>
        <v>32761.5</v>
      </c>
    </row>
    <row r="30" spans="3:14" s="1" customFormat="1" ht="25.2" customHeight="1" x14ac:dyDescent="0.3">
      <c r="L3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0" s="1">
        <f>N29+Table11819202310303132353839404148111518202831721263738[[#This Row],[اجمالي الفاتوره]]-Table11819202310303132353839404148111518202831721263738[[#This Row],[الدفعات]]</f>
        <v>32761.5</v>
      </c>
    </row>
    <row r="31" spans="3:14" s="1" customFormat="1" ht="25.2" customHeight="1" x14ac:dyDescent="0.3">
      <c r="C31" s="2"/>
      <c r="L3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1" s="1">
        <f>N30+Table11819202310303132353839404148111518202831721263738[[#This Row],[اجمالي الفاتوره]]-Table11819202310303132353839404148111518202831721263738[[#This Row],[الدفعات]]</f>
        <v>32761.5</v>
      </c>
    </row>
    <row r="32" spans="3:14" s="1" customFormat="1" ht="25.2" customHeight="1" x14ac:dyDescent="0.3">
      <c r="L3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2" s="1">
        <f>N31+Table11819202310303132353839404148111518202831721263738[[#This Row],[اجمالي الفاتوره]]-Table11819202310303132353839404148111518202831721263738[[#This Row],[الدفعات]]</f>
        <v>32761.5</v>
      </c>
    </row>
    <row r="33" spans="3:14" s="1" customFormat="1" ht="25.2" customHeight="1" x14ac:dyDescent="0.3">
      <c r="L3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3" s="1">
        <f>N32+Table11819202310303132353839404148111518202831721263738[[#This Row],[اجمالي الفاتوره]]-Table11819202310303132353839404148111518202831721263738[[#This Row],[الدفعات]]</f>
        <v>32761.5</v>
      </c>
    </row>
    <row r="34" spans="3:14" s="1" customFormat="1" ht="25.2" customHeight="1" x14ac:dyDescent="0.3">
      <c r="L3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4" s="1">
        <f>N33+Table11819202310303132353839404148111518202831721263738[[#This Row],[اجمالي الفاتوره]]-Table11819202310303132353839404148111518202831721263738[[#This Row],[الدفعات]]</f>
        <v>32761.5</v>
      </c>
    </row>
    <row r="35" spans="3:14" s="1" customFormat="1" ht="25.2" customHeight="1" x14ac:dyDescent="0.3">
      <c r="C35" s="2"/>
      <c r="D35" s="2"/>
      <c r="L3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5" s="1">
        <f>N34+Table11819202310303132353839404148111518202831721263738[[#This Row],[اجمالي الفاتوره]]-Table11819202310303132353839404148111518202831721263738[[#This Row],[الدفعات]]</f>
        <v>32761.5</v>
      </c>
    </row>
    <row r="36" spans="3:14" s="1" customFormat="1" ht="25.2" customHeight="1" x14ac:dyDescent="0.3">
      <c r="L3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6" s="1">
        <f>N35+Table11819202310303132353839404148111518202831721263738[[#This Row],[اجمالي الفاتوره]]-Table11819202310303132353839404148111518202831721263738[[#This Row],[الدفعات]]</f>
        <v>32761.5</v>
      </c>
    </row>
    <row r="37" spans="3:14" s="1" customFormat="1" ht="25.2" customHeight="1" x14ac:dyDescent="0.3">
      <c r="L3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7" s="1">
        <f>N36+Table11819202310303132353839404148111518202831721263738[[#This Row],[اجمالي الفاتوره]]-Table11819202310303132353839404148111518202831721263738[[#This Row],[الدفعات]]</f>
        <v>32761.5</v>
      </c>
    </row>
    <row r="38" spans="3:14" s="1" customFormat="1" ht="25.2" customHeight="1" x14ac:dyDescent="0.3">
      <c r="L3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8" s="1">
        <f>N37+Table11819202310303132353839404148111518202831721263738[[#This Row],[اجمالي الفاتوره]]-Table11819202310303132353839404148111518202831721263738[[#This Row],[الدفعات]]</f>
        <v>32761.5</v>
      </c>
    </row>
    <row r="39" spans="3:14" s="1" customFormat="1" ht="25.2" customHeight="1" x14ac:dyDescent="0.3">
      <c r="L3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9" s="1">
        <f>N38+Table11819202310303132353839404148111518202831721263738[[#This Row],[اجمالي الفاتوره]]-Table11819202310303132353839404148111518202831721263738[[#This Row],[الدفعات]]</f>
        <v>32761.5</v>
      </c>
    </row>
    <row r="40" spans="3:14" s="1" customFormat="1" ht="25.2" customHeight="1" x14ac:dyDescent="0.3">
      <c r="L4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40" s="1">
        <f>N39+Table11819202310303132353839404148111518202831721263738[[#This Row],[اجمالي الفاتوره]]-Table11819202310303132353839404148111518202831721263738[[#This Row],[الدفعات]]</f>
        <v>32761.5</v>
      </c>
    </row>
    <row r="41" spans="3:14" s="1" customFormat="1" ht="25.2" customHeight="1" x14ac:dyDescent="0.3">
      <c r="L4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41" s="1">
        <f>N40+Table11819202310303132353839404148111518202831721263738[[#This Row],[اجمالي الفاتوره]]-Table11819202310303132353839404148111518202831721263738[[#This Row],[الدفعات]]</f>
        <v>32761.5</v>
      </c>
    </row>
    <row r="42" spans="3:14" s="1" customFormat="1" ht="25.2" customHeight="1" x14ac:dyDescent="0.3">
      <c r="L4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42" s="1">
        <f>N41+Table11819202310303132353839404148111518202831721263738[[#This Row],[اجمالي الفاتوره]]-Table11819202310303132353839404148111518202831721263738[[#This Row],[الدفعات]]</f>
        <v>32761.5</v>
      </c>
    </row>
    <row r="43" spans="3:14" s="1" customFormat="1" ht="25.2" customHeight="1" x14ac:dyDescent="0.3">
      <c r="L4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43" s="1">
        <f>N42+Table11819202310303132353839404148111518202831721263738[[#This Row],[اجمالي الفاتوره]]-Table11819202310303132353839404148111518202831721263738[[#This Row],[الدفعات]]</f>
        <v>32761.5</v>
      </c>
    </row>
    <row r="44" spans="3:14" s="1" customFormat="1" ht="25.2" customHeight="1" x14ac:dyDescent="0.3">
      <c r="L4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44" s="1">
        <f>N43+Table11819202310303132353839404148111518202831721263738[[#This Row],[اجمالي الفاتوره]]-Table11819202310303132353839404148111518202831721263738[[#This Row],[الدفعات]]</f>
        <v>32761.5</v>
      </c>
    </row>
    <row r="45" spans="3:14" s="1" customFormat="1" ht="25.2" customHeight="1" x14ac:dyDescent="0.3">
      <c r="L4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45" s="1">
        <f>N44+Table11819202310303132353839404148111518202831721263738[[#This Row],[اجمالي الفاتوره]]-Table11819202310303132353839404148111518202831721263738[[#This Row],[الدفعات]]</f>
        <v>32761.5</v>
      </c>
    </row>
    <row r="46" spans="3:14" s="1" customFormat="1" ht="25.2" customHeight="1" x14ac:dyDescent="0.3">
      <c r="L4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46" s="1">
        <f>N45+Table11819202310303132353839404148111518202831721263738[[#This Row],[اجمالي الفاتوره]]-Table11819202310303132353839404148111518202831721263738[[#This Row],[الدفعات]]</f>
        <v>32761.5</v>
      </c>
    </row>
    <row r="47" spans="3:14" s="1" customFormat="1" ht="25.2" customHeight="1" x14ac:dyDescent="0.3">
      <c r="L4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47" s="1">
        <f>N46+Table11819202310303132353839404148111518202831721263738[[#This Row],[اجمالي الفاتوره]]-Table11819202310303132353839404148111518202831721263738[[#This Row],[الدفعات]]</f>
        <v>32761.5</v>
      </c>
    </row>
    <row r="48" spans="3:14" s="1" customFormat="1" ht="25.2" customHeight="1" x14ac:dyDescent="0.3">
      <c r="L4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48" s="1">
        <f>N47+Table11819202310303132353839404148111518202831721263738[[#This Row],[اجمالي الفاتوره]]-Table11819202310303132353839404148111518202831721263738[[#This Row],[الدفعات]]</f>
        <v>32761.5</v>
      </c>
    </row>
    <row r="49" spans="12:14" s="1" customFormat="1" ht="25.2" customHeight="1" x14ac:dyDescent="0.3">
      <c r="L4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49" s="1">
        <f>N48+Table11819202310303132353839404148111518202831721263738[[#This Row],[اجمالي الفاتوره]]-Table11819202310303132353839404148111518202831721263738[[#This Row],[الدفعات]]</f>
        <v>32761.5</v>
      </c>
    </row>
    <row r="50" spans="12:14" s="1" customFormat="1" ht="25.2" customHeight="1" x14ac:dyDescent="0.3">
      <c r="L5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50" s="1">
        <f>N49+Table11819202310303132353839404148111518202831721263738[[#This Row],[اجمالي الفاتوره]]-Table11819202310303132353839404148111518202831721263738[[#This Row],[الدفعات]]</f>
        <v>32761.5</v>
      </c>
    </row>
    <row r="51" spans="12:14" s="1" customFormat="1" ht="25.2" customHeight="1" x14ac:dyDescent="0.3">
      <c r="L5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51" s="1">
        <f>N50+Table11819202310303132353839404148111518202831721263738[[#This Row],[اجمالي الفاتوره]]-Table11819202310303132353839404148111518202831721263738[[#This Row],[الدفعات]]</f>
        <v>32761.5</v>
      </c>
    </row>
    <row r="52" spans="12:14" s="1" customFormat="1" ht="25.2" customHeight="1" x14ac:dyDescent="0.3">
      <c r="L5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52" s="1">
        <f>N51+Table11819202310303132353839404148111518202831721263738[[#This Row],[اجمالي الفاتوره]]-Table11819202310303132353839404148111518202831721263738[[#This Row],[الدفعات]]</f>
        <v>32761.5</v>
      </c>
    </row>
    <row r="53" spans="12:14" s="1" customFormat="1" ht="25.2" customHeight="1" x14ac:dyDescent="0.3">
      <c r="L5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53" s="1">
        <f>N52+Table11819202310303132353839404148111518202831721263738[[#This Row],[اجمالي الفاتوره]]-Table11819202310303132353839404148111518202831721263738[[#This Row],[الدفعات]]</f>
        <v>32761.5</v>
      </c>
    </row>
    <row r="54" spans="12:14" s="1" customFormat="1" ht="25.2" customHeight="1" x14ac:dyDescent="0.3">
      <c r="L5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54" s="1">
        <f>N53+Table11819202310303132353839404148111518202831721263738[[#This Row],[اجمالي الفاتوره]]-Table11819202310303132353839404148111518202831721263738[[#This Row],[الدفعات]]</f>
        <v>32761.5</v>
      </c>
    </row>
    <row r="55" spans="12:14" s="1" customFormat="1" ht="25.2" customHeight="1" x14ac:dyDescent="0.3">
      <c r="L5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55" s="1">
        <f>N54+Table11819202310303132353839404148111518202831721263738[[#This Row],[اجمالي الفاتوره]]-Table11819202310303132353839404148111518202831721263738[[#This Row],[الدفعات]]</f>
        <v>32761.5</v>
      </c>
    </row>
    <row r="56" spans="12:14" s="1" customFormat="1" ht="25.2" customHeight="1" x14ac:dyDescent="0.3">
      <c r="L5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56" s="1">
        <f>N55+Table11819202310303132353839404148111518202831721263738[[#This Row],[اجمالي الفاتوره]]-Table11819202310303132353839404148111518202831721263738[[#This Row],[الدفعات]]</f>
        <v>32761.5</v>
      </c>
    </row>
    <row r="57" spans="12:14" s="1" customFormat="1" ht="25.2" customHeight="1" x14ac:dyDescent="0.3">
      <c r="L5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57" s="1">
        <f>N56+Table11819202310303132353839404148111518202831721263738[[#This Row],[اجمالي الفاتوره]]-Table11819202310303132353839404148111518202831721263738[[#This Row],[الدفعات]]</f>
        <v>32761.5</v>
      </c>
    </row>
    <row r="58" spans="12:14" s="1" customFormat="1" ht="25.2" customHeight="1" x14ac:dyDescent="0.3">
      <c r="L5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58" s="1">
        <f>N57+Table11819202310303132353839404148111518202831721263738[[#This Row],[اجمالي الفاتوره]]-Table11819202310303132353839404148111518202831721263738[[#This Row],[الدفعات]]</f>
        <v>32761.5</v>
      </c>
    </row>
    <row r="59" spans="12:14" s="1" customFormat="1" ht="25.2" customHeight="1" x14ac:dyDescent="0.3">
      <c r="L5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59" s="1">
        <f>N58+Table11819202310303132353839404148111518202831721263738[[#This Row],[اجمالي الفاتوره]]-Table11819202310303132353839404148111518202831721263738[[#This Row],[الدفعات]]</f>
        <v>32761.5</v>
      </c>
    </row>
    <row r="60" spans="12:14" s="1" customFormat="1" ht="25.2" customHeight="1" x14ac:dyDescent="0.3">
      <c r="L6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60" s="1">
        <f>N59+Table11819202310303132353839404148111518202831721263738[[#This Row],[اجمالي الفاتوره]]-Table11819202310303132353839404148111518202831721263738[[#This Row],[الدفعات]]</f>
        <v>32761.5</v>
      </c>
    </row>
    <row r="61" spans="12:14" s="1" customFormat="1" ht="25.2" customHeight="1" x14ac:dyDescent="0.3">
      <c r="L6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61" s="1">
        <f>N60+Table11819202310303132353839404148111518202831721263738[[#This Row],[اجمالي الفاتوره]]-Table11819202310303132353839404148111518202831721263738[[#This Row],[الدفعات]]</f>
        <v>32761.5</v>
      </c>
    </row>
    <row r="62" spans="12:14" s="1" customFormat="1" ht="25.2" customHeight="1" x14ac:dyDescent="0.3">
      <c r="L6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62" s="1">
        <f>N61+Table11819202310303132353839404148111518202831721263738[[#This Row],[اجمالي الفاتوره]]-Table11819202310303132353839404148111518202831721263738[[#This Row],[الدفعات]]</f>
        <v>32761.5</v>
      </c>
    </row>
    <row r="63" spans="12:14" s="1" customFormat="1" ht="25.2" customHeight="1" x14ac:dyDescent="0.3">
      <c r="L6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63" s="1">
        <f>N62+Table11819202310303132353839404148111518202831721263738[[#This Row],[اجمالي الفاتوره]]-Table11819202310303132353839404148111518202831721263738[[#This Row],[الدفعات]]</f>
        <v>32761.5</v>
      </c>
    </row>
    <row r="64" spans="12:14" s="1" customFormat="1" ht="25.2" customHeight="1" x14ac:dyDescent="0.3">
      <c r="L6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64" s="1">
        <f>N63+Table11819202310303132353839404148111518202831721263738[[#This Row],[اجمالي الفاتوره]]-Table11819202310303132353839404148111518202831721263738[[#This Row],[الدفعات]]</f>
        <v>32761.5</v>
      </c>
    </row>
    <row r="65" spans="12:14" s="1" customFormat="1" ht="25.2" customHeight="1" x14ac:dyDescent="0.3">
      <c r="L6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65" s="1">
        <f>N64+Table11819202310303132353839404148111518202831721263738[[#This Row],[اجمالي الفاتوره]]-Table11819202310303132353839404148111518202831721263738[[#This Row],[الدفعات]]</f>
        <v>32761.5</v>
      </c>
    </row>
    <row r="66" spans="12:14" s="1" customFormat="1" ht="25.2" customHeight="1" x14ac:dyDescent="0.3">
      <c r="L6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66" s="1">
        <f>N65+Table11819202310303132353839404148111518202831721263738[[#This Row],[اجمالي الفاتوره]]-Table11819202310303132353839404148111518202831721263738[[#This Row],[الدفعات]]</f>
        <v>32761.5</v>
      </c>
    </row>
    <row r="67" spans="12:14" s="1" customFormat="1" ht="25.2" customHeight="1" x14ac:dyDescent="0.3">
      <c r="L6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67" s="1">
        <f>N66+Table11819202310303132353839404148111518202831721263738[[#This Row],[اجمالي الفاتوره]]-Table11819202310303132353839404148111518202831721263738[[#This Row],[الدفعات]]</f>
        <v>32761.5</v>
      </c>
    </row>
    <row r="68" spans="12:14" s="1" customFormat="1" ht="25.2" customHeight="1" x14ac:dyDescent="0.3">
      <c r="L6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68" s="1">
        <f>N67+Table11819202310303132353839404148111518202831721263738[[#This Row],[اجمالي الفاتوره]]-Table11819202310303132353839404148111518202831721263738[[#This Row],[الدفعات]]</f>
        <v>32761.5</v>
      </c>
    </row>
    <row r="69" spans="12:14" s="1" customFormat="1" ht="25.2" customHeight="1" x14ac:dyDescent="0.3">
      <c r="L6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69" s="1">
        <f>N68+Table11819202310303132353839404148111518202831721263738[[#This Row],[اجمالي الفاتوره]]-Table11819202310303132353839404148111518202831721263738[[#This Row],[الدفعات]]</f>
        <v>32761.5</v>
      </c>
    </row>
    <row r="70" spans="12:14" s="1" customFormat="1" ht="25.2" customHeight="1" x14ac:dyDescent="0.3">
      <c r="L7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70" s="1">
        <f>N69+Table11819202310303132353839404148111518202831721263738[[#This Row],[اجمالي الفاتوره]]-Table11819202310303132353839404148111518202831721263738[[#This Row],[الدفعات]]</f>
        <v>32761.5</v>
      </c>
    </row>
    <row r="71" spans="12:14" s="1" customFormat="1" ht="25.2" customHeight="1" x14ac:dyDescent="0.3">
      <c r="L7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71" s="1">
        <f>N70+Table11819202310303132353839404148111518202831721263738[[#This Row],[اجمالي الفاتوره]]-Table11819202310303132353839404148111518202831721263738[[#This Row],[الدفعات]]</f>
        <v>32761.5</v>
      </c>
    </row>
    <row r="72" spans="12:14" s="1" customFormat="1" ht="25.2" customHeight="1" x14ac:dyDescent="0.3">
      <c r="L7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72" s="1">
        <f>N71+Table11819202310303132353839404148111518202831721263738[[#This Row],[اجمالي الفاتوره]]-Table11819202310303132353839404148111518202831721263738[[#This Row],[الدفعات]]</f>
        <v>32761.5</v>
      </c>
    </row>
    <row r="73" spans="12:14" s="1" customFormat="1" ht="25.2" customHeight="1" x14ac:dyDescent="0.3">
      <c r="L7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73" s="1">
        <f>N72+Table11819202310303132353839404148111518202831721263738[[#This Row],[اجمالي الفاتوره]]-Table11819202310303132353839404148111518202831721263738[[#This Row],[الدفعات]]</f>
        <v>32761.5</v>
      </c>
    </row>
    <row r="74" spans="12:14" s="1" customFormat="1" ht="25.2" customHeight="1" x14ac:dyDescent="0.3">
      <c r="L7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74" s="1">
        <f>N73+Table11819202310303132353839404148111518202831721263738[[#This Row],[اجمالي الفاتوره]]-Table11819202310303132353839404148111518202831721263738[[#This Row],[الدفعات]]</f>
        <v>32761.5</v>
      </c>
    </row>
    <row r="75" spans="12:14" s="1" customFormat="1" ht="25.2" customHeight="1" x14ac:dyDescent="0.3">
      <c r="L7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75" s="1">
        <f>N74+Table11819202310303132353839404148111518202831721263738[[#This Row],[اجمالي الفاتوره]]-Table11819202310303132353839404148111518202831721263738[[#This Row],[الدفعات]]</f>
        <v>32761.5</v>
      </c>
    </row>
    <row r="76" spans="12:14" s="1" customFormat="1" ht="25.2" customHeight="1" x14ac:dyDescent="0.3">
      <c r="L7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76" s="1">
        <f>N75+Table11819202310303132353839404148111518202831721263738[[#This Row],[اجمالي الفاتوره]]-Table11819202310303132353839404148111518202831721263738[[#This Row],[الدفعات]]</f>
        <v>32761.5</v>
      </c>
    </row>
    <row r="77" spans="12:14" s="1" customFormat="1" ht="25.2" customHeight="1" x14ac:dyDescent="0.3">
      <c r="L7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77" s="1">
        <f>N76+Table11819202310303132353839404148111518202831721263738[[#This Row],[اجمالي الفاتوره]]-Table11819202310303132353839404148111518202831721263738[[#This Row],[الدفعات]]</f>
        <v>32761.5</v>
      </c>
    </row>
    <row r="78" spans="12:14" s="1" customFormat="1" ht="25.2" customHeight="1" x14ac:dyDescent="0.3">
      <c r="L7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78" s="1">
        <f>N77+Table11819202310303132353839404148111518202831721263738[[#This Row],[اجمالي الفاتوره]]-Table11819202310303132353839404148111518202831721263738[[#This Row],[الدفعات]]</f>
        <v>32761.5</v>
      </c>
    </row>
    <row r="79" spans="12:14" s="1" customFormat="1" ht="25.2" customHeight="1" x14ac:dyDescent="0.3">
      <c r="L7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79" s="1">
        <f>N78+Table11819202310303132353839404148111518202831721263738[[#This Row],[اجمالي الفاتوره]]-Table11819202310303132353839404148111518202831721263738[[#This Row],[الدفعات]]</f>
        <v>32761.5</v>
      </c>
    </row>
    <row r="80" spans="12:14" s="1" customFormat="1" ht="25.2" customHeight="1" x14ac:dyDescent="0.3">
      <c r="L8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80" s="1">
        <f>N79+Table11819202310303132353839404148111518202831721263738[[#This Row],[اجمالي الفاتوره]]-Table11819202310303132353839404148111518202831721263738[[#This Row],[الدفعات]]</f>
        <v>32761.5</v>
      </c>
    </row>
    <row r="81" spans="12:14" s="1" customFormat="1" ht="25.2" customHeight="1" x14ac:dyDescent="0.3">
      <c r="L8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81" s="1">
        <f>N80+Table11819202310303132353839404148111518202831721263738[[#This Row],[اجمالي الفاتوره]]-Table11819202310303132353839404148111518202831721263738[[#This Row],[الدفعات]]</f>
        <v>32761.5</v>
      </c>
    </row>
    <row r="82" spans="12:14" s="1" customFormat="1" ht="25.2" customHeight="1" x14ac:dyDescent="0.3">
      <c r="L8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82" s="1">
        <f>N81+Table11819202310303132353839404148111518202831721263738[[#This Row],[اجمالي الفاتوره]]-Table11819202310303132353839404148111518202831721263738[[#This Row],[الدفعات]]</f>
        <v>32761.5</v>
      </c>
    </row>
    <row r="83" spans="12:14" s="1" customFormat="1" ht="25.2" customHeight="1" x14ac:dyDescent="0.3">
      <c r="L8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83" s="1">
        <f>N82+Table11819202310303132353839404148111518202831721263738[[#This Row],[اجمالي الفاتوره]]-Table11819202310303132353839404148111518202831721263738[[#This Row],[الدفعات]]</f>
        <v>32761.5</v>
      </c>
    </row>
    <row r="84" spans="12:14" s="1" customFormat="1" ht="25.2" customHeight="1" x14ac:dyDescent="0.3">
      <c r="L8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84" s="1">
        <f>N83+Table11819202310303132353839404148111518202831721263738[[#This Row],[اجمالي الفاتوره]]-Table11819202310303132353839404148111518202831721263738[[#This Row],[الدفعات]]</f>
        <v>32761.5</v>
      </c>
    </row>
    <row r="85" spans="12:14" s="1" customFormat="1" ht="25.2" customHeight="1" x14ac:dyDescent="0.3">
      <c r="L8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85" s="1">
        <f>N84+Table11819202310303132353839404148111518202831721263738[[#This Row],[اجمالي الفاتوره]]-Table11819202310303132353839404148111518202831721263738[[#This Row],[الدفعات]]</f>
        <v>32761.5</v>
      </c>
    </row>
    <row r="86" spans="12:14" s="1" customFormat="1" ht="25.2" customHeight="1" x14ac:dyDescent="0.3">
      <c r="L8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86" s="1">
        <f>N85+Table11819202310303132353839404148111518202831721263738[[#This Row],[اجمالي الفاتوره]]-Table11819202310303132353839404148111518202831721263738[[#This Row],[الدفعات]]</f>
        <v>32761.5</v>
      </c>
    </row>
    <row r="87" spans="12:14" s="1" customFormat="1" ht="25.2" customHeight="1" x14ac:dyDescent="0.3">
      <c r="L8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87" s="1">
        <f>N86+Table11819202310303132353839404148111518202831721263738[[#This Row],[اجمالي الفاتوره]]-Table11819202310303132353839404148111518202831721263738[[#This Row],[الدفعات]]</f>
        <v>32761.5</v>
      </c>
    </row>
    <row r="88" spans="12:14" s="1" customFormat="1" ht="25.2" customHeight="1" x14ac:dyDescent="0.3">
      <c r="L8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88" s="1">
        <f>N87+Table11819202310303132353839404148111518202831721263738[[#This Row],[اجمالي الفاتوره]]-Table11819202310303132353839404148111518202831721263738[[#This Row],[الدفعات]]</f>
        <v>32761.5</v>
      </c>
    </row>
    <row r="89" spans="12:14" s="1" customFormat="1" ht="25.2" customHeight="1" x14ac:dyDescent="0.3">
      <c r="L8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89" s="1">
        <f>N88+Table11819202310303132353839404148111518202831721263738[[#This Row],[اجمالي الفاتوره]]-Table11819202310303132353839404148111518202831721263738[[#This Row],[الدفعات]]</f>
        <v>32761.5</v>
      </c>
    </row>
    <row r="90" spans="12:14" s="1" customFormat="1" ht="25.2" customHeight="1" x14ac:dyDescent="0.3">
      <c r="L9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90" s="1">
        <f>N89+Table11819202310303132353839404148111518202831721263738[[#This Row],[اجمالي الفاتوره]]-Table11819202310303132353839404148111518202831721263738[[#This Row],[الدفعات]]</f>
        <v>32761.5</v>
      </c>
    </row>
    <row r="91" spans="12:14" s="1" customFormat="1" ht="25.2" customHeight="1" x14ac:dyDescent="0.3">
      <c r="L9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91" s="1">
        <f>N90+Table11819202310303132353839404148111518202831721263738[[#This Row],[اجمالي الفاتوره]]-Table11819202310303132353839404148111518202831721263738[[#This Row],[الدفعات]]</f>
        <v>32761.5</v>
      </c>
    </row>
    <row r="92" spans="12:14" s="1" customFormat="1" ht="25.2" customHeight="1" x14ac:dyDescent="0.3">
      <c r="L9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92" s="1">
        <f>N91+Table11819202310303132353839404148111518202831721263738[[#This Row],[اجمالي الفاتوره]]-Table11819202310303132353839404148111518202831721263738[[#This Row],[الدفعات]]</f>
        <v>32761.5</v>
      </c>
    </row>
    <row r="93" spans="12:14" s="1" customFormat="1" ht="25.2" customHeight="1" x14ac:dyDescent="0.3">
      <c r="L9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93" s="1">
        <f>N92+Table11819202310303132353839404148111518202831721263738[[#This Row],[اجمالي الفاتوره]]-Table11819202310303132353839404148111518202831721263738[[#This Row],[الدفعات]]</f>
        <v>32761.5</v>
      </c>
    </row>
    <row r="94" spans="12:14" s="1" customFormat="1" ht="25.2" customHeight="1" x14ac:dyDescent="0.3">
      <c r="L9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94" s="1">
        <f>N93+Table11819202310303132353839404148111518202831721263738[[#This Row],[اجمالي الفاتوره]]-Table11819202310303132353839404148111518202831721263738[[#This Row],[الدفعات]]</f>
        <v>32761.5</v>
      </c>
    </row>
    <row r="95" spans="12:14" s="1" customFormat="1" ht="25.2" customHeight="1" x14ac:dyDescent="0.3">
      <c r="L9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95" s="1">
        <f>N94+Table11819202310303132353839404148111518202831721263738[[#This Row],[اجمالي الفاتوره]]-Table11819202310303132353839404148111518202831721263738[[#This Row],[الدفعات]]</f>
        <v>32761.5</v>
      </c>
    </row>
    <row r="96" spans="12:14" s="1" customFormat="1" ht="25.2" customHeight="1" x14ac:dyDescent="0.3">
      <c r="L9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96" s="1">
        <f>N95+Table11819202310303132353839404148111518202831721263738[[#This Row],[اجمالي الفاتوره]]-Table11819202310303132353839404148111518202831721263738[[#This Row],[الدفعات]]</f>
        <v>32761.5</v>
      </c>
    </row>
    <row r="97" spans="12:14" s="1" customFormat="1" ht="25.2" customHeight="1" x14ac:dyDescent="0.3">
      <c r="L9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97" s="1">
        <f>N96+Table11819202310303132353839404148111518202831721263738[[#This Row],[اجمالي الفاتوره]]-Table11819202310303132353839404148111518202831721263738[[#This Row],[الدفعات]]</f>
        <v>32761.5</v>
      </c>
    </row>
    <row r="98" spans="12:14" s="1" customFormat="1" ht="25.2" customHeight="1" x14ac:dyDescent="0.3">
      <c r="L9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98" s="1">
        <f>N97+Table11819202310303132353839404148111518202831721263738[[#This Row],[اجمالي الفاتوره]]-Table11819202310303132353839404148111518202831721263738[[#This Row],[الدفعات]]</f>
        <v>32761.5</v>
      </c>
    </row>
    <row r="99" spans="12:14" s="1" customFormat="1" ht="25.2" customHeight="1" x14ac:dyDescent="0.3">
      <c r="L9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99" s="1">
        <f>N98+Table11819202310303132353839404148111518202831721263738[[#This Row],[اجمالي الفاتوره]]-Table11819202310303132353839404148111518202831721263738[[#This Row],[الدفعات]]</f>
        <v>32761.5</v>
      </c>
    </row>
    <row r="100" spans="12:14" s="1" customFormat="1" ht="25.2" customHeight="1" x14ac:dyDescent="0.3">
      <c r="L10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00" s="1">
        <f>N99+Table11819202310303132353839404148111518202831721263738[[#This Row],[اجمالي الفاتوره]]-Table11819202310303132353839404148111518202831721263738[[#This Row],[الدفعات]]</f>
        <v>32761.5</v>
      </c>
    </row>
    <row r="101" spans="12:14" s="1" customFormat="1" ht="25.2" customHeight="1" x14ac:dyDescent="0.3">
      <c r="L10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01" s="1">
        <f>N100+Table11819202310303132353839404148111518202831721263738[[#This Row],[اجمالي الفاتوره]]-Table11819202310303132353839404148111518202831721263738[[#This Row],[الدفعات]]</f>
        <v>32761.5</v>
      </c>
    </row>
    <row r="102" spans="12:14" s="1" customFormat="1" ht="25.2" customHeight="1" x14ac:dyDescent="0.3">
      <c r="L10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02" s="1">
        <f>N101+Table11819202310303132353839404148111518202831721263738[[#This Row],[اجمالي الفاتوره]]-Table11819202310303132353839404148111518202831721263738[[#This Row],[الدفعات]]</f>
        <v>32761.5</v>
      </c>
    </row>
    <row r="103" spans="12:14" s="1" customFormat="1" ht="25.2" customHeight="1" x14ac:dyDescent="0.3">
      <c r="L10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03" s="1">
        <f>N102+Table11819202310303132353839404148111518202831721263738[[#This Row],[اجمالي الفاتوره]]-Table11819202310303132353839404148111518202831721263738[[#This Row],[الدفعات]]</f>
        <v>32761.5</v>
      </c>
    </row>
    <row r="104" spans="12:14" s="1" customFormat="1" ht="25.2" customHeight="1" x14ac:dyDescent="0.3">
      <c r="L10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04" s="1">
        <f>N103+Table11819202310303132353839404148111518202831721263738[[#This Row],[اجمالي الفاتوره]]-Table11819202310303132353839404148111518202831721263738[[#This Row],[الدفعات]]</f>
        <v>32761.5</v>
      </c>
    </row>
    <row r="105" spans="12:14" s="1" customFormat="1" ht="25.2" customHeight="1" x14ac:dyDescent="0.3">
      <c r="L10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05" s="1">
        <f>N104+Table11819202310303132353839404148111518202831721263738[[#This Row],[اجمالي الفاتوره]]-Table11819202310303132353839404148111518202831721263738[[#This Row],[الدفعات]]</f>
        <v>32761.5</v>
      </c>
    </row>
    <row r="106" spans="12:14" s="1" customFormat="1" ht="25.2" customHeight="1" x14ac:dyDescent="0.3">
      <c r="L10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06" s="1">
        <f>N105+Table11819202310303132353839404148111518202831721263738[[#This Row],[اجمالي الفاتوره]]-Table11819202310303132353839404148111518202831721263738[[#This Row],[الدفعات]]</f>
        <v>32761.5</v>
      </c>
    </row>
    <row r="107" spans="12:14" s="1" customFormat="1" ht="25.2" customHeight="1" x14ac:dyDescent="0.3">
      <c r="L10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07" s="1">
        <f>N106+Table11819202310303132353839404148111518202831721263738[[#This Row],[اجمالي الفاتوره]]-Table11819202310303132353839404148111518202831721263738[[#This Row],[الدفعات]]</f>
        <v>32761.5</v>
      </c>
    </row>
    <row r="108" spans="12:14" s="1" customFormat="1" ht="25.2" customHeight="1" x14ac:dyDescent="0.3">
      <c r="L10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08" s="1">
        <f>N107+Table11819202310303132353839404148111518202831721263738[[#This Row],[اجمالي الفاتوره]]-Table11819202310303132353839404148111518202831721263738[[#This Row],[الدفعات]]</f>
        <v>32761.5</v>
      </c>
    </row>
    <row r="109" spans="12:14" s="1" customFormat="1" ht="25.2" customHeight="1" x14ac:dyDescent="0.3">
      <c r="L10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09" s="1">
        <f>N108+Table11819202310303132353839404148111518202831721263738[[#This Row],[اجمالي الفاتوره]]-Table11819202310303132353839404148111518202831721263738[[#This Row],[الدفعات]]</f>
        <v>32761.5</v>
      </c>
    </row>
    <row r="110" spans="12:14" s="1" customFormat="1" ht="25.2" customHeight="1" x14ac:dyDescent="0.3">
      <c r="L11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10" s="1">
        <f>N109+Table11819202310303132353839404148111518202831721263738[[#This Row],[اجمالي الفاتوره]]-Table11819202310303132353839404148111518202831721263738[[#This Row],[الدفعات]]</f>
        <v>32761.5</v>
      </c>
    </row>
    <row r="111" spans="12:14" s="1" customFormat="1" ht="25.2" customHeight="1" x14ac:dyDescent="0.3">
      <c r="L11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11" s="1">
        <f>N110+Table11819202310303132353839404148111518202831721263738[[#This Row],[اجمالي الفاتوره]]-Table11819202310303132353839404148111518202831721263738[[#This Row],[الدفعات]]</f>
        <v>32761.5</v>
      </c>
    </row>
    <row r="112" spans="12:14" s="1" customFormat="1" ht="25.2" customHeight="1" x14ac:dyDescent="0.3">
      <c r="L11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12" s="1">
        <f>N111+Table11819202310303132353839404148111518202831721263738[[#This Row],[اجمالي الفاتوره]]-Table11819202310303132353839404148111518202831721263738[[#This Row],[الدفعات]]</f>
        <v>32761.5</v>
      </c>
    </row>
    <row r="113" spans="12:14" s="1" customFormat="1" ht="25.2" customHeight="1" x14ac:dyDescent="0.3">
      <c r="L11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13" s="1">
        <f>N112+Table11819202310303132353839404148111518202831721263738[[#This Row],[اجمالي الفاتوره]]-Table11819202310303132353839404148111518202831721263738[[#This Row],[الدفعات]]</f>
        <v>32761.5</v>
      </c>
    </row>
    <row r="114" spans="12:14" s="1" customFormat="1" ht="25.2" customHeight="1" x14ac:dyDescent="0.3">
      <c r="L11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14" s="1">
        <f>N113+Table11819202310303132353839404148111518202831721263738[[#This Row],[اجمالي الفاتوره]]-Table11819202310303132353839404148111518202831721263738[[#This Row],[الدفعات]]</f>
        <v>32761.5</v>
      </c>
    </row>
    <row r="115" spans="12:14" s="1" customFormat="1" ht="25.2" customHeight="1" x14ac:dyDescent="0.3">
      <c r="L11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15" s="1">
        <f>N114+Table11819202310303132353839404148111518202831721263738[[#This Row],[اجمالي الفاتوره]]-Table11819202310303132353839404148111518202831721263738[[#This Row],[الدفعات]]</f>
        <v>32761.5</v>
      </c>
    </row>
    <row r="116" spans="12:14" s="1" customFormat="1" ht="25.2" customHeight="1" x14ac:dyDescent="0.3">
      <c r="L11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16" s="1">
        <f>N115+Table11819202310303132353839404148111518202831721263738[[#This Row],[اجمالي الفاتوره]]-Table11819202310303132353839404148111518202831721263738[[#This Row],[الدفعات]]</f>
        <v>32761.5</v>
      </c>
    </row>
    <row r="117" spans="12:14" s="1" customFormat="1" ht="25.2" customHeight="1" x14ac:dyDescent="0.3">
      <c r="L11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17" s="1">
        <f>N116+Table11819202310303132353839404148111518202831721263738[[#This Row],[اجمالي الفاتوره]]-Table11819202310303132353839404148111518202831721263738[[#This Row],[الدفعات]]</f>
        <v>32761.5</v>
      </c>
    </row>
    <row r="118" spans="12:14" s="1" customFormat="1" ht="25.2" customHeight="1" x14ac:dyDescent="0.3">
      <c r="L11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18" s="1">
        <f>N117+Table11819202310303132353839404148111518202831721263738[[#This Row],[اجمالي الفاتوره]]-Table11819202310303132353839404148111518202831721263738[[#This Row],[الدفعات]]</f>
        <v>32761.5</v>
      </c>
    </row>
    <row r="119" spans="12:14" s="1" customFormat="1" ht="25.2" customHeight="1" x14ac:dyDescent="0.3">
      <c r="L11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19" s="1">
        <f>N118+Table11819202310303132353839404148111518202831721263738[[#This Row],[اجمالي الفاتوره]]-Table11819202310303132353839404148111518202831721263738[[#This Row],[الدفعات]]</f>
        <v>32761.5</v>
      </c>
    </row>
    <row r="120" spans="12:14" s="1" customFormat="1" ht="25.2" customHeight="1" x14ac:dyDescent="0.3">
      <c r="L12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20" s="1">
        <f>N119+Table11819202310303132353839404148111518202831721263738[[#This Row],[اجمالي الفاتوره]]-Table11819202310303132353839404148111518202831721263738[[#This Row],[الدفعات]]</f>
        <v>32761.5</v>
      </c>
    </row>
    <row r="121" spans="12:14" s="1" customFormat="1" ht="25.2" customHeight="1" x14ac:dyDescent="0.3">
      <c r="L12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21" s="1">
        <f>N120+Table11819202310303132353839404148111518202831721263738[[#This Row],[اجمالي الفاتوره]]-Table11819202310303132353839404148111518202831721263738[[#This Row],[الدفعات]]</f>
        <v>32761.5</v>
      </c>
    </row>
    <row r="122" spans="12:14" s="1" customFormat="1" ht="25.2" customHeight="1" x14ac:dyDescent="0.3">
      <c r="L12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22" s="1">
        <f>N121+Table11819202310303132353839404148111518202831721263738[[#This Row],[اجمالي الفاتوره]]-Table11819202310303132353839404148111518202831721263738[[#This Row],[الدفعات]]</f>
        <v>32761.5</v>
      </c>
    </row>
    <row r="123" spans="12:14" s="1" customFormat="1" ht="25.2" customHeight="1" x14ac:dyDescent="0.3">
      <c r="L12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23" s="1">
        <f>N122+Table11819202310303132353839404148111518202831721263738[[#This Row],[اجمالي الفاتوره]]-Table11819202310303132353839404148111518202831721263738[[#This Row],[الدفعات]]</f>
        <v>32761.5</v>
      </c>
    </row>
    <row r="124" spans="12:14" s="1" customFormat="1" ht="25.2" customHeight="1" x14ac:dyDescent="0.3">
      <c r="L12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24" s="1">
        <f>N123+Table11819202310303132353839404148111518202831721263738[[#This Row],[اجمالي الفاتوره]]-Table11819202310303132353839404148111518202831721263738[[#This Row],[الدفعات]]</f>
        <v>32761.5</v>
      </c>
    </row>
    <row r="125" spans="12:14" s="1" customFormat="1" ht="25.2" customHeight="1" x14ac:dyDescent="0.3">
      <c r="L12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25" s="1">
        <f>N124+Table11819202310303132353839404148111518202831721263738[[#This Row],[اجمالي الفاتوره]]-Table11819202310303132353839404148111518202831721263738[[#This Row],[الدفعات]]</f>
        <v>32761.5</v>
      </c>
    </row>
    <row r="126" spans="12:14" s="1" customFormat="1" ht="25.2" customHeight="1" x14ac:dyDescent="0.3">
      <c r="L12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26" s="1">
        <f>N125+Table11819202310303132353839404148111518202831721263738[[#This Row],[اجمالي الفاتوره]]-Table11819202310303132353839404148111518202831721263738[[#This Row],[الدفعات]]</f>
        <v>32761.5</v>
      </c>
    </row>
    <row r="127" spans="12:14" s="1" customFormat="1" ht="25.2" customHeight="1" x14ac:dyDescent="0.3">
      <c r="L12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27" s="1">
        <f>N126+Table11819202310303132353839404148111518202831721263738[[#This Row],[اجمالي الفاتوره]]-Table11819202310303132353839404148111518202831721263738[[#This Row],[الدفعات]]</f>
        <v>32761.5</v>
      </c>
    </row>
    <row r="128" spans="12:14" s="1" customFormat="1" ht="25.2" customHeight="1" x14ac:dyDescent="0.3">
      <c r="L12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28" s="1">
        <f>N127+Table11819202310303132353839404148111518202831721263738[[#This Row],[اجمالي الفاتوره]]-Table11819202310303132353839404148111518202831721263738[[#This Row],[الدفعات]]</f>
        <v>32761.5</v>
      </c>
    </row>
    <row r="129" spans="12:14" s="1" customFormat="1" ht="25.2" customHeight="1" x14ac:dyDescent="0.3">
      <c r="L12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29" s="1">
        <f>N128+Table11819202310303132353839404148111518202831721263738[[#This Row],[اجمالي الفاتوره]]-Table11819202310303132353839404148111518202831721263738[[#This Row],[الدفعات]]</f>
        <v>32761.5</v>
      </c>
    </row>
    <row r="130" spans="12:14" s="1" customFormat="1" ht="25.2" customHeight="1" x14ac:dyDescent="0.3">
      <c r="L13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30" s="1">
        <f>N129+Table11819202310303132353839404148111518202831721263738[[#This Row],[اجمالي الفاتوره]]-Table11819202310303132353839404148111518202831721263738[[#This Row],[الدفعات]]</f>
        <v>32761.5</v>
      </c>
    </row>
    <row r="131" spans="12:14" s="1" customFormat="1" ht="25.2" customHeight="1" x14ac:dyDescent="0.3">
      <c r="L13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31" s="1">
        <f>N130+Table11819202310303132353839404148111518202831721263738[[#This Row],[اجمالي الفاتوره]]-Table11819202310303132353839404148111518202831721263738[[#This Row],[الدفعات]]</f>
        <v>32761.5</v>
      </c>
    </row>
    <row r="132" spans="12:14" s="1" customFormat="1" ht="25.2" customHeight="1" x14ac:dyDescent="0.3">
      <c r="L13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32" s="1">
        <f>N131+Table11819202310303132353839404148111518202831721263738[[#This Row],[اجمالي الفاتوره]]-Table11819202310303132353839404148111518202831721263738[[#This Row],[الدفعات]]</f>
        <v>32761.5</v>
      </c>
    </row>
    <row r="133" spans="12:14" s="1" customFormat="1" ht="25.2" customHeight="1" x14ac:dyDescent="0.3">
      <c r="L13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33" s="1">
        <f>N132+Table11819202310303132353839404148111518202831721263738[[#This Row],[اجمالي الفاتوره]]-Table11819202310303132353839404148111518202831721263738[[#This Row],[الدفعات]]</f>
        <v>32761.5</v>
      </c>
    </row>
    <row r="134" spans="12:14" s="1" customFormat="1" ht="25.2" customHeight="1" x14ac:dyDescent="0.3">
      <c r="L13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34" s="1">
        <f>N133+Table11819202310303132353839404148111518202831721263738[[#This Row],[اجمالي الفاتوره]]-Table11819202310303132353839404148111518202831721263738[[#This Row],[الدفعات]]</f>
        <v>32761.5</v>
      </c>
    </row>
    <row r="135" spans="12:14" s="1" customFormat="1" ht="25.2" customHeight="1" x14ac:dyDescent="0.3">
      <c r="L13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35" s="1">
        <f>N134+Table11819202310303132353839404148111518202831721263738[[#This Row],[اجمالي الفاتوره]]-Table11819202310303132353839404148111518202831721263738[[#This Row],[الدفعات]]</f>
        <v>32761.5</v>
      </c>
    </row>
    <row r="136" spans="12:14" s="1" customFormat="1" ht="25.2" customHeight="1" x14ac:dyDescent="0.3">
      <c r="L13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36" s="1">
        <f>N135+Table11819202310303132353839404148111518202831721263738[[#This Row],[اجمالي الفاتوره]]-Table11819202310303132353839404148111518202831721263738[[#This Row],[الدفعات]]</f>
        <v>32761.5</v>
      </c>
    </row>
    <row r="137" spans="12:14" s="1" customFormat="1" ht="25.2" customHeight="1" x14ac:dyDescent="0.3">
      <c r="L13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37" s="1">
        <f>N136+Table11819202310303132353839404148111518202831721263738[[#This Row],[اجمالي الفاتوره]]-Table11819202310303132353839404148111518202831721263738[[#This Row],[الدفعات]]</f>
        <v>32761.5</v>
      </c>
    </row>
    <row r="138" spans="12:14" s="1" customFormat="1" ht="25.2" customHeight="1" x14ac:dyDescent="0.3">
      <c r="L13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38" s="1">
        <f>N137+Table11819202310303132353839404148111518202831721263738[[#This Row],[اجمالي الفاتوره]]-Table11819202310303132353839404148111518202831721263738[[#This Row],[الدفعات]]</f>
        <v>32761.5</v>
      </c>
    </row>
    <row r="139" spans="12:14" s="1" customFormat="1" ht="25.2" customHeight="1" x14ac:dyDescent="0.3">
      <c r="L13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39" s="1">
        <f>N138+Table11819202310303132353839404148111518202831721263738[[#This Row],[اجمالي الفاتوره]]-Table11819202310303132353839404148111518202831721263738[[#This Row],[الدفعات]]</f>
        <v>32761.5</v>
      </c>
    </row>
    <row r="140" spans="12:14" s="1" customFormat="1" ht="25.2" customHeight="1" x14ac:dyDescent="0.3">
      <c r="L14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40" s="1">
        <f>N139+Table11819202310303132353839404148111518202831721263738[[#This Row],[اجمالي الفاتوره]]-Table11819202310303132353839404148111518202831721263738[[#This Row],[الدفعات]]</f>
        <v>32761.5</v>
      </c>
    </row>
    <row r="141" spans="12:14" s="1" customFormat="1" ht="25.2" customHeight="1" x14ac:dyDescent="0.3">
      <c r="L14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41" s="1">
        <f>N140+Table11819202310303132353839404148111518202831721263738[[#This Row],[اجمالي الفاتوره]]-Table11819202310303132353839404148111518202831721263738[[#This Row],[الدفعات]]</f>
        <v>32761.5</v>
      </c>
    </row>
    <row r="142" spans="12:14" s="1" customFormat="1" ht="25.2" customHeight="1" x14ac:dyDescent="0.3">
      <c r="L14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42" s="1">
        <f>N141+Table11819202310303132353839404148111518202831721263738[[#This Row],[اجمالي الفاتوره]]-Table11819202310303132353839404148111518202831721263738[[#This Row],[الدفعات]]</f>
        <v>32761.5</v>
      </c>
    </row>
    <row r="143" spans="12:14" s="1" customFormat="1" ht="25.2" customHeight="1" x14ac:dyDescent="0.3">
      <c r="L14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43" s="1">
        <f>N142+Table11819202310303132353839404148111518202831721263738[[#This Row],[اجمالي الفاتوره]]-Table11819202310303132353839404148111518202831721263738[[#This Row],[الدفعات]]</f>
        <v>32761.5</v>
      </c>
    </row>
    <row r="144" spans="12:14" s="1" customFormat="1" ht="25.2" customHeight="1" x14ac:dyDescent="0.3">
      <c r="L14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44" s="1">
        <f>N143+Table11819202310303132353839404148111518202831721263738[[#This Row],[اجمالي الفاتوره]]-Table11819202310303132353839404148111518202831721263738[[#This Row],[الدفعات]]</f>
        <v>32761.5</v>
      </c>
    </row>
    <row r="145" spans="12:14" s="1" customFormat="1" ht="25.2" customHeight="1" x14ac:dyDescent="0.3">
      <c r="L14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45" s="1">
        <f>N144+Table11819202310303132353839404148111518202831721263738[[#This Row],[اجمالي الفاتوره]]-Table11819202310303132353839404148111518202831721263738[[#This Row],[الدفعات]]</f>
        <v>32761.5</v>
      </c>
    </row>
    <row r="146" spans="12:14" s="1" customFormat="1" ht="25.2" customHeight="1" x14ac:dyDescent="0.3">
      <c r="L14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46" s="1">
        <f>N145+Table11819202310303132353839404148111518202831721263738[[#This Row],[اجمالي الفاتوره]]-Table11819202310303132353839404148111518202831721263738[[#This Row],[الدفعات]]</f>
        <v>32761.5</v>
      </c>
    </row>
    <row r="147" spans="12:14" s="1" customFormat="1" ht="25.2" customHeight="1" x14ac:dyDescent="0.3">
      <c r="L14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47" s="1">
        <f>N146+Table11819202310303132353839404148111518202831721263738[[#This Row],[اجمالي الفاتوره]]-Table11819202310303132353839404148111518202831721263738[[#This Row],[الدفعات]]</f>
        <v>32761.5</v>
      </c>
    </row>
    <row r="148" spans="12:14" s="1" customFormat="1" ht="25.2" customHeight="1" x14ac:dyDescent="0.3">
      <c r="L14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48" s="1">
        <f>N147+Table11819202310303132353839404148111518202831721263738[[#This Row],[اجمالي الفاتوره]]-Table11819202310303132353839404148111518202831721263738[[#This Row],[الدفعات]]</f>
        <v>32761.5</v>
      </c>
    </row>
    <row r="149" spans="12:14" s="1" customFormat="1" ht="25.2" customHeight="1" x14ac:dyDescent="0.3">
      <c r="L14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49" s="1">
        <f>N148+Table11819202310303132353839404148111518202831721263738[[#This Row],[اجمالي الفاتوره]]-Table11819202310303132353839404148111518202831721263738[[#This Row],[الدفعات]]</f>
        <v>32761.5</v>
      </c>
    </row>
    <row r="150" spans="12:14" s="1" customFormat="1" ht="25.2" customHeight="1" x14ac:dyDescent="0.3">
      <c r="L15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50" s="1">
        <f>N149+Table11819202310303132353839404148111518202831721263738[[#This Row],[اجمالي الفاتوره]]-Table11819202310303132353839404148111518202831721263738[[#This Row],[الدفعات]]</f>
        <v>32761.5</v>
      </c>
    </row>
    <row r="151" spans="12:14" s="1" customFormat="1" ht="25.2" customHeight="1" x14ac:dyDescent="0.3">
      <c r="L15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51" s="1">
        <f>N150+Table11819202310303132353839404148111518202831721263738[[#This Row],[اجمالي الفاتوره]]-Table11819202310303132353839404148111518202831721263738[[#This Row],[الدفعات]]</f>
        <v>32761.5</v>
      </c>
    </row>
    <row r="152" spans="12:14" s="1" customFormat="1" ht="25.2" customHeight="1" x14ac:dyDescent="0.3">
      <c r="L15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52" s="1">
        <f>N151+Table11819202310303132353839404148111518202831721263738[[#This Row],[اجمالي الفاتوره]]-Table11819202310303132353839404148111518202831721263738[[#This Row],[الدفعات]]</f>
        <v>32761.5</v>
      </c>
    </row>
    <row r="153" spans="12:14" s="1" customFormat="1" ht="25.2" customHeight="1" x14ac:dyDescent="0.3">
      <c r="L15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53" s="1">
        <f>N152+Table11819202310303132353839404148111518202831721263738[[#This Row],[اجمالي الفاتوره]]-Table11819202310303132353839404148111518202831721263738[[#This Row],[الدفعات]]</f>
        <v>32761.5</v>
      </c>
    </row>
    <row r="154" spans="12:14" s="1" customFormat="1" ht="25.2" customHeight="1" x14ac:dyDescent="0.3">
      <c r="L15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54" s="1">
        <f>N153+Table11819202310303132353839404148111518202831721263738[[#This Row],[اجمالي الفاتوره]]-Table11819202310303132353839404148111518202831721263738[[#This Row],[الدفعات]]</f>
        <v>32761.5</v>
      </c>
    </row>
    <row r="155" spans="12:14" s="1" customFormat="1" ht="25.2" customHeight="1" x14ac:dyDescent="0.3">
      <c r="L15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55" s="1">
        <f>N154+Table11819202310303132353839404148111518202831721263738[[#This Row],[اجمالي الفاتوره]]-Table11819202310303132353839404148111518202831721263738[[#This Row],[الدفعات]]</f>
        <v>32761.5</v>
      </c>
    </row>
    <row r="156" spans="12:14" s="1" customFormat="1" ht="25.2" customHeight="1" x14ac:dyDescent="0.3">
      <c r="L15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56" s="1">
        <f>N155+Table11819202310303132353839404148111518202831721263738[[#This Row],[اجمالي الفاتوره]]-Table11819202310303132353839404148111518202831721263738[[#This Row],[الدفعات]]</f>
        <v>32761.5</v>
      </c>
    </row>
    <row r="157" spans="12:14" s="1" customFormat="1" ht="25.2" customHeight="1" x14ac:dyDescent="0.3">
      <c r="L15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57" s="1">
        <f>N156+Table11819202310303132353839404148111518202831721263738[[#This Row],[اجمالي الفاتوره]]-Table11819202310303132353839404148111518202831721263738[[#This Row],[الدفعات]]</f>
        <v>32761.5</v>
      </c>
    </row>
    <row r="158" spans="12:14" s="1" customFormat="1" ht="25.2" customHeight="1" x14ac:dyDescent="0.3">
      <c r="L15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58" s="1">
        <f>N157+Table11819202310303132353839404148111518202831721263738[[#This Row],[اجمالي الفاتوره]]-Table11819202310303132353839404148111518202831721263738[[#This Row],[الدفعات]]</f>
        <v>32761.5</v>
      </c>
    </row>
    <row r="159" spans="12:14" s="1" customFormat="1" ht="25.2" customHeight="1" x14ac:dyDescent="0.3">
      <c r="L15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59" s="1">
        <f>N158+Table11819202310303132353839404148111518202831721263738[[#This Row],[اجمالي الفاتوره]]-Table11819202310303132353839404148111518202831721263738[[#This Row],[الدفعات]]</f>
        <v>32761.5</v>
      </c>
    </row>
    <row r="160" spans="12:14" s="1" customFormat="1" ht="25.2" customHeight="1" x14ac:dyDescent="0.3">
      <c r="L16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60" s="1">
        <f>N159+Table11819202310303132353839404148111518202831721263738[[#This Row],[اجمالي الفاتوره]]-Table11819202310303132353839404148111518202831721263738[[#This Row],[الدفعات]]</f>
        <v>32761.5</v>
      </c>
    </row>
    <row r="161" spans="12:14" s="1" customFormat="1" ht="25.2" customHeight="1" x14ac:dyDescent="0.3">
      <c r="L16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61" s="1">
        <f>N160+Table11819202310303132353839404148111518202831721263738[[#This Row],[اجمالي الفاتوره]]-Table11819202310303132353839404148111518202831721263738[[#This Row],[الدفعات]]</f>
        <v>32761.5</v>
      </c>
    </row>
    <row r="162" spans="12:14" s="1" customFormat="1" ht="25.2" customHeight="1" x14ac:dyDescent="0.3">
      <c r="L16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62" s="1">
        <f>N161+Table11819202310303132353839404148111518202831721263738[[#This Row],[اجمالي الفاتوره]]-Table11819202310303132353839404148111518202831721263738[[#This Row],[الدفعات]]</f>
        <v>32761.5</v>
      </c>
    </row>
    <row r="163" spans="12:14" s="1" customFormat="1" ht="25.2" customHeight="1" x14ac:dyDescent="0.3">
      <c r="L16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63" s="1">
        <f>N162+Table11819202310303132353839404148111518202831721263738[[#This Row],[اجمالي الفاتوره]]-Table11819202310303132353839404148111518202831721263738[[#This Row],[الدفعات]]</f>
        <v>32761.5</v>
      </c>
    </row>
    <row r="164" spans="12:14" s="1" customFormat="1" ht="25.2" customHeight="1" x14ac:dyDescent="0.3">
      <c r="L16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64" s="1">
        <f>N163+Table11819202310303132353839404148111518202831721263738[[#This Row],[اجمالي الفاتوره]]-Table11819202310303132353839404148111518202831721263738[[#This Row],[الدفعات]]</f>
        <v>32761.5</v>
      </c>
    </row>
    <row r="165" spans="12:14" s="1" customFormat="1" ht="25.2" customHeight="1" x14ac:dyDescent="0.3">
      <c r="L16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65" s="1">
        <f>N164+Table11819202310303132353839404148111518202831721263738[[#This Row],[اجمالي الفاتوره]]-Table11819202310303132353839404148111518202831721263738[[#This Row],[الدفعات]]</f>
        <v>32761.5</v>
      </c>
    </row>
    <row r="166" spans="12:14" s="1" customFormat="1" ht="25.2" customHeight="1" x14ac:dyDescent="0.3">
      <c r="L16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66" s="1">
        <f>N165+Table11819202310303132353839404148111518202831721263738[[#This Row],[اجمالي الفاتوره]]-Table11819202310303132353839404148111518202831721263738[[#This Row],[الدفعات]]</f>
        <v>32761.5</v>
      </c>
    </row>
    <row r="167" spans="12:14" s="1" customFormat="1" ht="25.2" customHeight="1" x14ac:dyDescent="0.3">
      <c r="L16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67" s="1">
        <f>N166+Table11819202310303132353839404148111518202831721263738[[#This Row],[اجمالي الفاتوره]]-Table11819202310303132353839404148111518202831721263738[[#This Row],[الدفعات]]</f>
        <v>32761.5</v>
      </c>
    </row>
    <row r="168" spans="12:14" s="1" customFormat="1" ht="25.2" customHeight="1" x14ac:dyDescent="0.3">
      <c r="L16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68" s="1">
        <f>N167+Table11819202310303132353839404148111518202831721263738[[#This Row],[اجمالي الفاتوره]]-Table11819202310303132353839404148111518202831721263738[[#This Row],[الدفعات]]</f>
        <v>32761.5</v>
      </c>
    </row>
    <row r="169" spans="12:14" s="1" customFormat="1" ht="25.2" customHeight="1" x14ac:dyDescent="0.3">
      <c r="L16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69" s="1">
        <f>N168+Table11819202310303132353839404148111518202831721263738[[#This Row],[اجمالي الفاتوره]]-Table11819202310303132353839404148111518202831721263738[[#This Row],[الدفعات]]</f>
        <v>32761.5</v>
      </c>
    </row>
    <row r="170" spans="12:14" s="1" customFormat="1" ht="25.2" customHeight="1" x14ac:dyDescent="0.3">
      <c r="L17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70" s="1">
        <f>N169+Table11819202310303132353839404148111518202831721263738[[#This Row],[اجمالي الفاتوره]]-Table11819202310303132353839404148111518202831721263738[[#This Row],[الدفعات]]</f>
        <v>32761.5</v>
      </c>
    </row>
    <row r="171" spans="12:14" s="1" customFormat="1" ht="25.2" customHeight="1" x14ac:dyDescent="0.3">
      <c r="L17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71" s="1">
        <f>N170+Table11819202310303132353839404148111518202831721263738[[#This Row],[اجمالي الفاتوره]]-Table11819202310303132353839404148111518202831721263738[[#This Row],[الدفعات]]</f>
        <v>32761.5</v>
      </c>
    </row>
    <row r="172" spans="12:14" s="1" customFormat="1" ht="25.2" customHeight="1" x14ac:dyDescent="0.3">
      <c r="L17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72" s="1">
        <f>N171+Table11819202310303132353839404148111518202831721263738[[#This Row],[اجمالي الفاتوره]]-Table11819202310303132353839404148111518202831721263738[[#This Row],[الدفعات]]</f>
        <v>32761.5</v>
      </c>
    </row>
    <row r="173" spans="12:14" s="1" customFormat="1" ht="25.2" customHeight="1" x14ac:dyDescent="0.3">
      <c r="L17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73" s="1">
        <f>N172+Table11819202310303132353839404148111518202831721263738[[#This Row],[اجمالي الفاتوره]]-Table11819202310303132353839404148111518202831721263738[[#This Row],[الدفعات]]</f>
        <v>32761.5</v>
      </c>
    </row>
    <row r="174" spans="12:14" s="1" customFormat="1" ht="25.2" customHeight="1" x14ac:dyDescent="0.3">
      <c r="L17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74" s="1">
        <f>N173+Table11819202310303132353839404148111518202831721263738[[#This Row],[اجمالي الفاتوره]]-Table11819202310303132353839404148111518202831721263738[[#This Row],[الدفعات]]</f>
        <v>32761.5</v>
      </c>
    </row>
    <row r="175" spans="12:14" s="1" customFormat="1" ht="25.2" customHeight="1" x14ac:dyDescent="0.3">
      <c r="L17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75" s="1">
        <f>N174+Table11819202310303132353839404148111518202831721263738[[#This Row],[اجمالي الفاتوره]]-Table11819202310303132353839404148111518202831721263738[[#This Row],[الدفعات]]</f>
        <v>32761.5</v>
      </c>
    </row>
    <row r="176" spans="12:14" s="1" customFormat="1" ht="25.2" customHeight="1" x14ac:dyDescent="0.3">
      <c r="L17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76" s="1">
        <f>N175+Table11819202310303132353839404148111518202831721263738[[#This Row],[اجمالي الفاتوره]]-Table11819202310303132353839404148111518202831721263738[[#This Row],[الدفعات]]</f>
        <v>32761.5</v>
      </c>
    </row>
    <row r="177" spans="12:14" s="1" customFormat="1" ht="25.2" customHeight="1" x14ac:dyDescent="0.3">
      <c r="L17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77" s="1">
        <f>N176+Table11819202310303132353839404148111518202831721263738[[#This Row],[اجمالي الفاتوره]]-Table11819202310303132353839404148111518202831721263738[[#This Row],[الدفعات]]</f>
        <v>32761.5</v>
      </c>
    </row>
    <row r="178" spans="12:14" s="1" customFormat="1" ht="25.2" customHeight="1" x14ac:dyDescent="0.3">
      <c r="L17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78" s="1">
        <f>N177+Table11819202310303132353839404148111518202831721263738[[#This Row],[اجمالي الفاتوره]]-Table11819202310303132353839404148111518202831721263738[[#This Row],[الدفعات]]</f>
        <v>32761.5</v>
      </c>
    </row>
    <row r="179" spans="12:14" s="1" customFormat="1" ht="25.2" customHeight="1" x14ac:dyDescent="0.3">
      <c r="L17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79" s="1">
        <f>N178+Table11819202310303132353839404148111518202831721263738[[#This Row],[اجمالي الفاتوره]]-Table11819202310303132353839404148111518202831721263738[[#This Row],[الدفعات]]</f>
        <v>32761.5</v>
      </c>
    </row>
    <row r="180" spans="12:14" s="1" customFormat="1" ht="25.2" customHeight="1" x14ac:dyDescent="0.3">
      <c r="L18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80" s="1">
        <f>N179+Table11819202310303132353839404148111518202831721263738[[#This Row],[اجمالي الفاتوره]]-Table11819202310303132353839404148111518202831721263738[[#This Row],[الدفعات]]</f>
        <v>32761.5</v>
      </c>
    </row>
    <row r="181" spans="12:14" s="1" customFormat="1" ht="25.2" customHeight="1" x14ac:dyDescent="0.3">
      <c r="L18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81" s="1">
        <f>N180+Table11819202310303132353839404148111518202831721263738[[#This Row],[اجمالي الفاتوره]]-Table11819202310303132353839404148111518202831721263738[[#This Row],[الدفعات]]</f>
        <v>32761.5</v>
      </c>
    </row>
    <row r="182" spans="12:14" s="1" customFormat="1" ht="25.2" customHeight="1" x14ac:dyDescent="0.3">
      <c r="L18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82" s="1">
        <f>N181+Table11819202310303132353839404148111518202831721263738[[#This Row],[اجمالي الفاتوره]]-Table11819202310303132353839404148111518202831721263738[[#This Row],[الدفعات]]</f>
        <v>32761.5</v>
      </c>
    </row>
    <row r="183" spans="12:14" s="1" customFormat="1" ht="25.2" customHeight="1" x14ac:dyDescent="0.3">
      <c r="L18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83" s="1">
        <f>N182+Table11819202310303132353839404148111518202831721263738[[#This Row],[اجمالي الفاتوره]]-Table11819202310303132353839404148111518202831721263738[[#This Row],[الدفعات]]</f>
        <v>32761.5</v>
      </c>
    </row>
    <row r="184" spans="12:14" s="1" customFormat="1" ht="25.2" customHeight="1" x14ac:dyDescent="0.3">
      <c r="L18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84" s="1">
        <f>N183+Table11819202310303132353839404148111518202831721263738[[#This Row],[اجمالي الفاتوره]]-Table11819202310303132353839404148111518202831721263738[[#This Row],[الدفعات]]</f>
        <v>32761.5</v>
      </c>
    </row>
    <row r="185" spans="12:14" s="1" customFormat="1" ht="25.2" customHeight="1" x14ac:dyDescent="0.3">
      <c r="L18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85" s="1">
        <f>N184+Table11819202310303132353839404148111518202831721263738[[#This Row],[اجمالي الفاتوره]]-Table11819202310303132353839404148111518202831721263738[[#This Row],[الدفعات]]</f>
        <v>32761.5</v>
      </c>
    </row>
    <row r="186" spans="12:14" s="1" customFormat="1" ht="25.2" customHeight="1" x14ac:dyDescent="0.3">
      <c r="L18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86" s="1">
        <f>N185+Table11819202310303132353839404148111518202831721263738[[#This Row],[اجمالي الفاتوره]]-Table11819202310303132353839404148111518202831721263738[[#This Row],[الدفعات]]</f>
        <v>32761.5</v>
      </c>
    </row>
    <row r="187" spans="12:14" s="1" customFormat="1" ht="25.2" customHeight="1" x14ac:dyDescent="0.3">
      <c r="L18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87" s="1">
        <f>N186+Table11819202310303132353839404148111518202831721263738[[#This Row],[اجمالي الفاتوره]]-Table11819202310303132353839404148111518202831721263738[[#This Row],[الدفعات]]</f>
        <v>32761.5</v>
      </c>
    </row>
    <row r="188" spans="12:14" s="1" customFormat="1" ht="25.2" customHeight="1" x14ac:dyDescent="0.3">
      <c r="L18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88" s="1">
        <f>N187+Table11819202310303132353839404148111518202831721263738[[#This Row],[اجمالي الفاتوره]]-Table11819202310303132353839404148111518202831721263738[[#This Row],[الدفعات]]</f>
        <v>32761.5</v>
      </c>
    </row>
    <row r="189" spans="12:14" s="1" customFormat="1" ht="25.2" customHeight="1" x14ac:dyDescent="0.3">
      <c r="L18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89" s="1">
        <f>N188+Table11819202310303132353839404148111518202831721263738[[#This Row],[اجمالي الفاتوره]]-Table11819202310303132353839404148111518202831721263738[[#This Row],[الدفعات]]</f>
        <v>32761.5</v>
      </c>
    </row>
    <row r="190" spans="12:14" s="1" customFormat="1" ht="25.2" customHeight="1" x14ac:dyDescent="0.3">
      <c r="L19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90" s="1">
        <f>N189+Table11819202310303132353839404148111518202831721263738[[#This Row],[اجمالي الفاتوره]]-Table11819202310303132353839404148111518202831721263738[[#This Row],[الدفعات]]</f>
        <v>32761.5</v>
      </c>
    </row>
    <row r="191" spans="12:14" s="1" customFormat="1" ht="25.2" customHeight="1" x14ac:dyDescent="0.3">
      <c r="L19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91" s="1">
        <f>N190+Table11819202310303132353839404148111518202831721263738[[#This Row],[اجمالي الفاتوره]]-Table11819202310303132353839404148111518202831721263738[[#This Row],[الدفعات]]</f>
        <v>32761.5</v>
      </c>
    </row>
    <row r="192" spans="12:14" s="1" customFormat="1" ht="25.2" customHeight="1" x14ac:dyDescent="0.3">
      <c r="L19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92" s="1">
        <f>N191+Table11819202310303132353839404148111518202831721263738[[#This Row],[اجمالي الفاتوره]]-Table11819202310303132353839404148111518202831721263738[[#This Row],[الدفعات]]</f>
        <v>32761.5</v>
      </c>
    </row>
    <row r="193" spans="12:14" s="1" customFormat="1" ht="25.2" customHeight="1" x14ac:dyDescent="0.3">
      <c r="L19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93" s="1">
        <f>N192+Table11819202310303132353839404148111518202831721263738[[#This Row],[اجمالي الفاتوره]]-Table11819202310303132353839404148111518202831721263738[[#This Row],[الدفعات]]</f>
        <v>32761.5</v>
      </c>
    </row>
    <row r="194" spans="12:14" s="1" customFormat="1" ht="25.2" customHeight="1" x14ac:dyDescent="0.3">
      <c r="L19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94" s="1">
        <f>N193+Table11819202310303132353839404148111518202831721263738[[#This Row],[اجمالي الفاتوره]]-Table11819202310303132353839404148111518202831721263738[[#This Row],[الدفعات]]</f>
        <v>32761.5</v>
      </c>
    </row>
    <row r="195" spans="12:14" s="1" customFormat="1" ht="25.2" customHeight="1" x14ac:dyDescent="0.3">
      <c r="L19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95" s="1">
        <f>N194+Table11819202310303132353839404148111518202831721263738[[#This Row],[اجمالي الفاتوره]]-Table11819202310303132353839404148111518202831721263738[[#This Row],[الدفعات]]</f>
        <v>32761.5</v>
      </c>
    </row>
    <row r="196" spans="12:14" s="1" customFormat="1" ht="25.2" customHeight="1" x14ac:dyDescent="0.3">
      <c r="L19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96" s="1">
        <f>N195+Table11819202310303132353839404148111518202831721263738[[#This Row],[اجمالي الفاتوره]]-Table11819202310303132353839404148111518202831721263738[[#This Row],[الدفعات]]</f>
        <v>32761.5</v>
      </c>
    </row>
    <row r="197" spans="12:14" s="1" customFormat="1" ht="25.2" customHeight="1" x14ac:dyDescent="0.3">
      <c r="L19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97" s="1">
        <f>N196+Table11819202310303132353839404148111518202831721263738[[#This Row],[اجمالي الفاتوره]]-Table11819202310303132353839404148111518202831721263738[[#This Row],[الدفعات]]</f>
        <v>32761.5</v>
      </c>
    </row>
    <row r="198" spans="12:14" s="1" customFormat="1" ht="25.2" customHeight="1" x14ac:dyDescent="0.3">
      <c r="L19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98" s="1">
        <f>N197+Table11819202310303132353839404148111518202831721263738[[#This Row],[اجمالي الفاتوره]]-Table11819202310303132353839404148111518202831721263738[[#This Row],[الدفعات]]</f>
        <v>32761.5</v>
      </c>
    </row>
    <row r="199" spans="12:14" s="1" customFormat="1" ht="25.2" customHeight="1" x14ac:dyDescent="0.3">
      <c r="L19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199" s="1">
        <f>N198+Table11819202310303132353839404148111518202831721263738[[#This Row],[اجمالي الفاتوره]]-Table11819202310303132353839404148111518202831721263738[[#This Row],[الدفعات]]</f>
        <v>32761.5</v>
      </c>
    </row>
    <row r="200" spans="12:14" s="1" customFormat="1" ht="25.2" customHeight="1" x14ac:dyDescent="0.3">
      <c r="L20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00" s="1">
        <f>N199+Table11819202310303132353839404148111518202831721263738[[#This Row],[اجمالي الفاتوره]]-Table11819202310303132353839404148111518202831721263738[[#This Row],[الدفعات]]</f>
        <v>32761.5</v>
      </c>
    </row>
    <row r="201" spans="12:14" s="1" customFormat="1" ht="25.2" customHeight="1" x14ac:dyDescent="0.3">
      <c r="L20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01" s="1">
        <f>N200+Table11819202310303132353839404148111518202831721263738[[#This Row],[اجمالي الفاتوره]]-Table11819202310303132353839404148111518202831721263738[[#This Row],[الدفعات]]</f>
        <v>32761.5</v>
      </c>
    </row>
    <row r="202" spans="12:14" s="1" customFormat="1" ht="25.2" customHeight="1" x14ac:dyDescent="0.3">
      <c r="L20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02" s="1">
        <f>N201+Table11819202310303132353839404148111518202831721263738[[#This Row],[اجمالي الفاتوره]]-Table11819202310303132353839404148111518202831721263738[[#This Row],[الدفعات]]</f>
        <v>32761.5</v>
      </c>
    </row>
    <row r="203" spans="12:14" s="1" customFormat="1" ht="25.2" customHeight="1" x14ac:dyDescent="0.3">
      <c r="L20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03" s="1">
        <f>N202+Table11819202310303132353839404148111518202831721263738[[#This Row],[اجمالي الفاتوره]]-Table11819202310303132353839404148111518202831721263738[[#This Row],[الدفعات]]</f>
        <v>32761.5</v>
      </c>
    </row>
    <row r="204" spans="12:14" s="1" customFormat="1" ht="25.2" customHeight="1" x14ac:dyDescent="0.3">
      <c r="L20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04" s="1">
        <f>N203+Table11819202310303132353839404148111518202831721263738[[#This Row],[اجمالي الفاتوره]]-Table11819202310303132353839404148111518202831721263738[[#This Row],[الدفعات]]</f>
        <v>32761.5</v>
      </c>
    </row>
    <row r="205" spans="12:14" s="1" customFormat="1" ht="25.2" customHeight="1" x14ac:dyDescent="0.3">
      <c r="L20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05" s="1">
        <f>N204+Table11819202310303132353839404148111518202831721263738[[#This Row],[اجمالي الفاتوره]]-Table11819202310303132353839404148111518202831721263738[[#This Row],[الدفعات]]</f>
        <v>32761.5</v>
      </c>
    </row>
    <row r="206" spans="12:14" s="1" customFormat="1" ht="25.2" customHeight="1" x14ac:dyDescent="0.3">
      <c r="L20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06" s="1">
        <f>N205+Table11819202310303132353839404148111518202831721263738[[#This Row],[اجمالي الفاتوره]]-Table11819202310303132353839404148111518202831721263738[[#This Row],[الدفعات]]</f>
        <v>32761.5</v>
      </c>
    </row>
    <row r="207" spans="12:14" s="1" customFormat="1" ht="25.2" customHeight="1" x14ac:dyDescent="0.3">
      <c r="L20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07" s="1">
        <f>N206+Table11819202310303132353839404148111518202831721263738[[#This Row],[اجمالي الفاتوره]]-Table11819202310303132353839404148111518202831721263738[[#This Row],[الدفعات]]</f>
        <v>32761.5</v>
      </c>
    </row>
    <row r="208" spans="12:14" s="1" customFormat="1" ht="25.2" customHeight="1" x14ac:dyDescent="0.3">
      <c r="L20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08" s="1">
        <f>N207+Table11819202310303132353839404148111518202831721263738[[#This Row],[اجمالي الفاتوره]]-Table11819202310303132353839404148111518202831721263738[[#This Row],[الدفعات]]</f>
        <v>32761.5</v>
      </c>
    </row>
    <row r="209" spans="12:14" s="1" customFormat="1" ht="25.2" customHeight="1" x14ac:dyDescent="0.3">
      <c r="L20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09" s="1">
        <f>N208+Table11819202310303132353839404148111518202831721263738[[#This Row],[اجمالي الفاتوره]]-Table11819202310303132353839404148111518202831721263738[[#This Row],[الدفعات]]</f>
        <v>32761.5</v>
      </c>
    </row>
    <row r="210" spans="12:14" s="1" customFormat="1" ht="25.2" customHeight="1" x14ac:dyDescent="0.3">
      <c r="L21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10" s="1">
        <f>N209+Table11819202310303132353839404148111518202831721263738[[#This Row],[اجمالي الفاتوره]]-Table11819202310303132353839404148111518202831721263738[[#This Row],[الدفعات]]</f>
        <v>32761.5</v>
      </c>
    </row>
    <row r="211" spans="12:14" s="1" customFormat="1" ht="25.2" customHeight="1" x14ac:dyDescent="0.3">
      <c r="L21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11" s="1">
        <f>N210+Table11819202310303132353839404148111518202831721263738[[#This Row],[اجمالي الفاتوره]]-Table11819202310303132353839404148111518202831721263738[[#This Row],[الدفعات]]</f>
        <v>32761.5</v>
      </c>
    </row>
    <row r="212" spans="12:14" s="1" customFormat="1" ht="25.2" customHeight="1" x14ac:dyDescent="0.3">
      <c r="L21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12" s="1">
        <f>N211+Table11819202310303132353839404148111518202831721263738[[#This Row],[اجمالي الفاتوره]]-Table11819202310303132353839404148111518202831721263738[[#This Row],[الدفعات]]</f>
        <v>32761.5</v>
      </c>
    </row>
    <row r="213" spans="12:14" s="1" customFormat="1" ht="25.2" customHeight="1" x14ac:dyDescent="0.3">
      <c r="L21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13" s="1">
        <f>N212+Table11819202310303132353839404148111518202831721263738[[#This Row],[اجمالي الفاتوره]]-Table11819202310303132353839404148111518202831721263738[[#This Row],[الدفعات]]</f>
        <v>32761.5</v>
      </c>
    </row>
    <row r="214" spans="12:14" s="1" customFormat="1" ht="25.2" customHeight="1" x14ac:dyDescent="0.3">
      <c r="L21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14" s="1">
        <f>N213+Table11819202310303132353839404148111518202831721263738[[#This Row],[اجمالي الفاتوره]]-Table11819202310303132353839404148111518202831721263738[[#This Row],[الدفعات]]</f>
        <v>32761.5</v>
      </c>
    </row>
    <row r="215" spans="12:14" s="1" customFormat="1" ht="25.2" customHeight="1" x14ac:dyDescent="0.3">
      <c r="L21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15" s="1">
        <f>N214+Table11819202310303132353839404148111518202831721263738[[#This Row],[اجمالي الفاتوره]]-Table11819202310303132353839404148111518202831721263738[[#This Row],[الدفعات]]</f>
        <v>32761.5</v>
      </c>
    </row>
    <row r="216" spans="12:14" s="1" customFormat="1" ht="25.2" customHeight="1" x14ac:dyDescent="0.3">
      <c r="L21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16" s="1">
        <f>N215+Table11819202310303132353839404148111518202831721263738[[#This Row],[اجمالي الفاتوره]]-Table11819202310303132353839404148111518202831721263738[[#This Row],[الدفعات]]</f>
        <v>32761.5</v>
      </c>
    </row>
    <row r="217" spans="12:14" s="1" customFormat="1" ht="25.2" customHeight="1" x14ac:dyDescent="0.3">
      <c r="L21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17" s="1">
        <f>N216+Table11819202310303132353839404148111518202831721263738[[#This Row],[اجمالي الفاتوره]]-Table11819202310303132353839404148111518202831721263738[[#This Row],[الدفعات]]</f>
        <v>32761.5</v>
      </c>
    </row>
    <row r="218" spans="12:14" s="1" customFormat="1" ht="25.2" customHeight="1" x14ac:dyDescent="0.3">
      <c r="L21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18" s="1">
        <f>N217+Table11819202310303132353839404148111518202831721263738[[#This Row],[اجمالي الفاتوره]]-Table11819202310303132353839404148111518202831721263738[[#This Row],[الدفعات]]</f>
        <v>32761.5</v>
      </c>
    </row>
    <row r="219" spans="12:14" s="1" customFormat="1" ht="25.2" customHeight="1" x14ac:dyDescent="0.3">
      <c r="L21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19" s="1">
        <f>N218+Table11819202310303132353839404148111518202831721263738[[#This Row],[اجمالي الفاتوره]]-Table11819202310303132353839404148111518202831721263738[[#This Row],[الدفعات]]</f>
        <v>32761.5</v>
      </c>
    </row>
    <row r="220" spans="12:14" s="1" customFormat="1" ht="25.2" customHeight="1" x14ac:dyDescent="0.3">
      <c r="L22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20" s="1">
        <f>N219+Table11819202310303132353839404148111518202831721263738[[#This Row],[اجمالي الفاتوره]]-Table11819202310303132353839404148111518202831721263738[[#This Row],[الدفعات]]</f>
        <v>32761.5</v>
      </c>
    </row>
    <row r="221" spans="12:14" s="1" customFormat="1" ht="25.2" customHeight="1" x14ac:dyDescent="0.3">
      <c r="L22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21" s="1">
        <f>N220+Table11819202310303132353839404148111518202831721263738[[#This Row],[اجمالي الفاتوره]]-Table11819202310303132353839404148111518202831721263738[[#This Row],[الدفعات]]</f>
        <v>32761.5</v>
      </c>
    </row>
    <row r="222" spans="12:14" s="1" customFormat="1" ht="25.2" customHeight="1" x14ac:dyDescent="0.3">
      <c r="L22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22" s="1">
        <f>N221+Table11819202310303132353839404148111518202831721263738[[#This Row],[اجمالي الفاتوره]]-Table11819202310303132353839404148111518202831721263738[[#This Row],[الدفعات]]</f>
        <v>32761.5</v>
      </c>
    </row>
    <row r="223" spans="12:14" s="1" customFormat="1" ht="25.2" customHeight="1" x14ac:dyDescent="0.3">
      <c r="L22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23" s="1">
        <f>N222+Table11819202310303132353839404148111518202831721263738[[#This Row],[اجمالي الفاتوره]]-Table11819202310303132353839404148111518202831721263738[[#This Row],[الدفعات]]</f>
        <v>32761.5</v>
      </c>
    </row>
    <row r="224" spans="12:14" s="1" customFormat="1" ht="25.2" customHeight="1" x14ac:dyDescent="0.3">
      <c r="L22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24" s="1">
        <f>N223+Table11819202310303132353839404148111518202831721263738[[#This Row],[اجمالي الفاتوره]]-Table11819202310303132353839404148111518202831721263738[[#This Row],[الدفعات]]</f>
        <v>32761.5</v>
      </c>
    </row>
    <row r="225" spans="10:14" s="1" customFormat="1" ht="25.2" customHeight="1" x14ac:dyDescent="0.3">
      <c r="L22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25" s="1">
        <f>N224+Table11819202310303132353839404148111518202831721263738[[#This Row],[اجمالي الفاتوره]]-Table11819202310303132353839404148111518202831721263738[[#This Row],[الدفعات]]</f>
        <v>32761.5</v>
      </c>
    </row>
    <row r="226" spans="10:14" s="1" customFormat="1" ht="25.2" customHeight="1" x14ac:dyDescent="0.3">
      <c r="L22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26" s="1">
        <f>N225+Table11819202310303132353839404148111518202831721263738[[#This Row],[اجمالي الفاتوره]]-Table11819202310303132353839404148111518202831721263738[[#This Row],[الدفعات]]</f>
        <v>32761.5</v>
      </c>
    </row>
    <row r="227" spans="10:14" s="1" customFormat="1" ht="25.2" customHeight="1" x14ac:dyDescent="0.3">
      <c r="L22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27" s="1">
        <f>N226+Table11819202310303132353839404148111518202831721263738[[#This Row],[اجمالي الفاتوره]]-Table11819202310303132353839404148111518202831721263738[[#This Row],[الدفعات]]</f>
        <v>32761.5</v>
      </c>
    </row>
    <row r="228" spans="10:14" s="1" customFormat="1" ht="25.2" customHeight="1" x14ac:dyDescent="0.3">
      <c r="L22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28" s="1">
        <f>N227+Table11819202310303132353839404148111518202831721263738[[#This Row],[اجمالي الفاتوره]]-Table11819202310303132353839404148111518202831721263738[[#This Row],[الدفعات]]</f>
        <v>32761.5</v>
      </c>
    </row>
    <row r="229" spans="10:14" s="1" customFormat="1" ht="25.2" customHeight="1" x14ac:dyDescent="0.3">
      <c r="L22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29" s="1">
        <f>N228+Table11819202310303132353839404148111518202831721263738[[#This Row],[اجمالي الفاتوره]]-Table11819202310303132353839404148111518202831721263738[[#This Row],[الدفعات]]</f>
        <v>32761.5</v>
      </c>
    </row>
    <row r="230" spans="10:14" s="1" customFormat="1" ht="25.2" customHeight="1" x14ac:dyDescent="0.3">
      <c r="L23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30" s="1">
        <f>N229+Table11819202310303132353839404148111518202831721263738[[#This Row],[اجمالي الفاتوره]]-Table11819202310303132353839404148111518202831721263738[[#This Row],[الدفعات]]</f>
        <v>32761.5</v>
      </c>
    </row>
    <row r="231" spans="10:14" s="1" customFormat="1" ht="25.2" customHeight="1" x14ac:dyDescent="0.3">
      <c r="L23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31" s="1">
        <f>N230+Table11819202310303132353839404148111518202831721263738[[#This Row],[اجمالي الفاتوره]]-Table11819202310303132353839404148111518202831721263738[[#This Row],[الدفعات]]</f>
        <v>32761.5</v>
      </c>
    </row>
    <row r="232" spans="10:14" s="1" customFormat="1" ht="25.2" customHeight="1" x14ac:dyDescent="0.3">
      <c r="L23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32" s="1">
        <f>N231+Table11819202310303132353839404148111518202831721263738[[#This Row],[اجمالي الفاتوره]]-Table11819202310303132353839404148111518202831721263738[[#This Row],[الدفعات]]</f>
        <v>32761.5</v>
      </c>
    </row>
    <row r="233" spans="10:14" s="1" customFormat="1" ht="25.2" customHeight="1" x14ac:dyDescent="0.3">
      <c r="L23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33" s="1">
        <f>N232+Table11819202310303132353839404148111518202831721263738[[#This Row],[اجمالي الفاتوره]]-Table11819202310303132353839404148111518202831721263738[[#This Row],[الدفعات]]</f>
        <v>32761.5</v>
      </c>
    </row>
    <row r="234" spans="10:14" s="1" customFormat="1" ht="25.2" customHeight="1" x14ac:dyDescent="0.3">
      <c r="L23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34" s="1">
        <f>N233+Table11819202310303132353839404148111518202831721263738[[#This Row],[اجمالي الفاتوره]]-Table11819202310303132353839404148111518202831721263738[[#This Row],[الدفعات]]</f>
        <v>32761.5</v>
      </c>
    </row>
    <row r="235" spans="10:14" s="1" customFormat="1" ht="25.2" customHeight="1" x14ac:dyDescent="0.3">
      <c r="L23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35" s="1">
        <f>N234+Table11819202310303132353839404148111518202831721263738[[#This Row],[اجمالي الفاتوره]]-Table11819202310303132353839404148111518202831721263738[[#This Row],[الدفعات]]</f>
        <v>32761.5</v>
      </c>
    </row>
    <row r="236" spans="10:14" s="1" customFormat="1" ht="25.2" customHeight="1" x14ac:dyDescent="0.3">
      <c r="L23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36" s="1">
        <f>N235+Table11819202310303132353839404148111518202831721263738[[#This Row],[اجمالي الفاتوره]]-Table11819202310303132353839404148111518202831721263738[[#This Row],[الدفعات]]</f>
        <v>32761.5</v>
      </c>
    </row>
    <row r="237" spans="10:14" s="1" customFormat="1" ht="25.2" customHeight="1" x14ac:dyDescent="0.3">
      <c r="L23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37" s="1">
        <f>N236+Table11819202310303132353839404148111518202831721263738[[#This Row],[اجمالي الفاتوره]]-Table11819202310303132353839404148111518202831721263738[[#This Row],[الدفعات]]</f>
        <v>32761.5</v>
      </c>
    </row>
    <row r="238" spans="10:14" s="1" customFormat="1" ht="25.2" customHeight="1" x14ac:dyDescent="0.3">
      <c r="J238" s="1">
        <f>0.03*Table11819202310303132353839404148111518202831721263738[[#This Row],[النولون]]</f>
        <v>0</v>
      </c>
      <c r="L23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38" s="1">
        <f>N237+Table11819202310303132353839404148111518202831721263738[[#This Row],[اجمالي الفاتوره]]-Table11819202310303132353839404148111518202831721263738[[#This Row],[الدفعات]]</f>
        <v>32761.5</v>
      </c>
    </row>
    <row r="239" spans="10:14" s="1" customFormat="1" ht="25.2" customHeight="1" x14ac:dyDescent="0.3">
      <c r="J239" s="1">
        <f>0.03*Table11819202310303132353839404148111518202831721263738[[#This Row],[النولون]]</f>
        <v>0</v>
      </c>
      <c r="L23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39" s="1">
        <f>N238+Table11819202310303132353839404148111518202831721263738[[#This Row],[اجمالي الفاتوره]]-Table11819202310303132353839404148111518202831721263738[[#This Row],[الدفعات]]</f>
        <v>32761.5</v>
      </c>
    </row>
    <row r="240" spans="10:14" s="1" customFormat="1" ht="25.2" customHeight="1" x14ac:dyDescent="0.3">
      <c r="J240" s="1">
        <f>0.03*Table11819202310303132353839404148111518202831721263738[[#This Row],[النولون]]</f>
        <v>0</v>
      </c>
      <c r="L24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40" s="1">
        <f>N239+Table11819202310303132353839404148111518202831721263738[[#This Row],[اجمالي الفاتوره]]-Table11819202310303132353839404148111518202831721263738[[#This Row],[الدفعات]]</f>
        <v>32761.5</v>
      </c>
    </row>
    <row r="241" spans="10:14" s="1" customFormat="1" ht="25.2" customHeight="1" x14ac:dyDescent="0.3">
      <c r="J241" s="1">
        <f>0.03*Table11819202310303132353839404148111518202831721263738[[#This Row],[النولون]]</f>
        <v>0</v>
      </c>
      <c r="L24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41" s="1">
        <f>N240+Table11819202310303132353839404148111518202831721263738[[#This Row],[اجمالي الفاتوره]]-Table11819202310303132353839404148111518202831721263738[[#This Row],[الدفعات]]</f>
        <v>32761.5</v>
      </c>
    </row>
    <row r="242" spans="10:14" s="1" customFormat="1" ht="25.2" customHeight="1" x14ac:dyDescent="0.3">
      <c r="J242" s="1">
        <f>0.03*Table11819202310303132353839404148111518202831721263738[[#This Row],[النولون]]</f>
        <v>0</v>
      </c>
      <c r="L24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42" s="1">
        <f>N241+Table11819202310303132353839404148111518202831721263738[[#This Row],[اجمالي الفاتوره]]-Table11819202310303132353839404148111518202831721263738[[#This Row],[الدفعات]]</f>
        <v>32761.5</v>
      </c>
    </row>
    <row r="243" spans="10:14" s="1" customFormat="1" ht="25.2" customHeight="1" x14ac:dyDescent="0.3">
      <c r="J243" s="1">
        <f>0.03*Table11819202310303132353839404148111518202831721263738[[#This Row],[النولون]]</f>
        <v>0</v>
      </c>
      <c r="L24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43" s="1">
        <f>N242+Table11819202310303132353839404148111518202831721263738[[#This Row],[اجمالي الفاتوره]]-Table11819202310303132353839404148111518202831721263738[[#This Row],[الدفعات]]</f>
        <v>32761.5</v>
      </c>
    </row>
    <row r="244" spans="10:14" s="1" customFormat="1" ht="25.2" customHeight="1" x14ac:dyDescent="0.3">
      <c r="J244" s="1">
        <f>0.03*Table11819202310303132353839404148111518202831721263738[[#This Row],[النولون]]</f>
        <v>0</v>
      </c>
      <c r="L24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44" s="1">
        <f>N243+Table11819202310303132353839404148111518202831721263738[[#This Row],[اجمالي الفاتوره]]-Table11819202310303132353839404148111518202831721263738[[#This Row],[الدفعات]]</f>
        <v>32761.5</v>
      </c>
    </row>
    <row r="245" spans="10:14" s="1" customFormat="1" ht="25.2" customHeight="1" x14ac:dyDescent="0.3">
      <c r="J245" s="1">
        <f>0.03*Table11819202310303132353839404148111518202831721263738[[#This Row],[النولون]]</f>
        <v>0</v>
      </c>
      <c r="L24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45" s="1">
        <f>N244+Table11819202310303132353839404148111518202831721263738[[#This Row],[اجمالي الفاتوره]]-Table11819202310303132353839404148111518202831721263738[[#This Row],[الدفعات]]</f>
        <v>32761.5</v>
      </c>
    </row>
    <row r="246" spans="10:14" s="1" customFormat="1" ht="25.2" customHeight="1" x14ac:dyDescent="0.3">
      <c r="J246" s="1">
        <f>0.03*Table11819202310303132353839404148111518202831721263738[[#This Row],[النولون]]</f>
        <v>0</v>
      </c>
      <c r="L24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46" s="1">
        <f>N245+Table11819202310303132353839404148111518202831721263738[[#This Row],[اجمالي الفاتوره]]-Table11819202310303132353839404148111518202831721263738[[#This Row],[الدفعات]]</f>
        <v>32761.5</v>
      </c>
    </row>
    <row r="247" spans="10:14" s="1" customFormat="1" ht="25.2" customHeight="1" x14ac:dyDescent="0.3">
      <c r="J247" s="1">
        <f>0.03*Table11819202310303132353839404148111518202831721263738[[#This Row],[النولون]]</f>
        <v>0</v>
      </c>
      <c r="L24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47" s="1">
        <f>N246+Table11819202310303132353839404148111518202831721263738[[#This Row],[اجمالي الفاتوره]]-Table11819202310303132353839404148111518202831721263738[[#This Row],[الدفعات]]</f>
        <v>32761.5</v>
      </c>
    </row>
    <row r="248" spans="10:14" s="1" customFormat="1" ht="25.2" customHeight="1" x14ac:dyDescent="0.3">
      <c r="J248" s="1">
        <f>0.03*Table11819202310303132353839404148111518202831721263738[[#This Row],[النولون]]</f>
        <v>0</v>
      </c>
      <c r="L24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48" s="1">
        <f>N247+Table11819202310303132353839404148111518202831721263738[[#This Row],[اجمالي الفاتوره]]-Table11819202310303132353839404148111518202831721263738[[#This Row],[الدفعات]]</f>
        <v>32761.5</v>
      </c>
    </row>
    <row r="249" spans="10:14" s="1" customFormat="1" ht="25.2" customHeight="1" x14ac:dyDescent="0.3">
      <c r="J249" s="1">
        <f>0.03*Table11819202310303132353839404148111518202831721263738[[#This Row],[النولون]]</f>
        <v>0</v>
      </c>
      <c r="L24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49" s="1">
        <f>N248+Table11819202310303132353839404148111518202831721263738[[#This Row],[اجمالي الفاتوره]]-Table11819202310303132353839404148111518202831721263738[[#This Row],[الدفعات]]</f>
        <v>32761.5</v>
      </c>
    </row>
    <row r="250" spans="10:14" s="1" customFormat="1" ht="25.2" customHeight="1" x14ac:dyDescent="0.3">
      <c r="J250" s="1">
        <f>0.03*Table11819202310303132353839404148111518202831721263738[[#This Row],[النولون]]</f>
        <v>0</v>
      </c>
      <c r="L25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50" s="1">
        <f>N249+Table11819202310303132353839404148111518202831721263738[[#This Row],[اجمالي الفاتوره]]-Table11819202310303132353839404148111518202831721263738[[#This Row],[الدفعات]]</f>
        <v>32761.5</v>
      </c>
    </row>
    <row r="251" spans="10:14" s="1" customFormat="1" ht="25.2" customHeight="1" x14ac:dyDescent="0.3">
      <c r="J251" s="1">
        <f>0.03*Table11819202310303132353839404148111518202831721263738[[#This Row],[النولون]]</f>
        <v>0</v>
      </c>
      <c r="L25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51" s="1">
        <f>N250+Table11819202310303132353839404148111518202831721263738[[#This Row],[اجمالي الفاتوره]]-Table11819202310303132353839404148111518202831721263738[[#This Row],[الدفعات]]</f>
        <v>32761.5</v>
      </c>
    </row>
    <row r="252" spans="10:14" s="1" customFormat="1" ht="25.2" customHeight="1" x14ac:dyDescent="0.3">
      <c r="J252" s="1">
        <f>0.03*Table11819202310303132353839404148111518202831721263738[[#This Row],[النولون]]</f>
        <v>0</v>
      </c>
      <c r="L25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52" s="1">
        <f>N251+Table11819202310303132353839404148111518202831721263738[[#This Row],[اجمالي الفاتوره]]-Table11819202310303132353839404148111518202831721263738[[#This Row],[الدفعات]]</f>
        <v>32761.5</v>
      </c>
    </row>
    <row r="253" spans="10:14" s="1" customFormat="1" ht="25.2" customHeight="1" x14ac:dyDescent="0.3">
      <c r="J253" s="1">
        <f>0.03*Table11819202310303132353839404148111518202831721263738[[#This Row],[النولون]]</f>
        <v>0</v>
      </c>
      <c r="L25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53" s="1">
        <f>N252+Table11819202310303132353839404148111518202831721263738[[#This Row],[اجمالي الفاتوره]]-Table11819202310303132353839404148111518202831721263738[[#This Row],[الدفعات]]</f>
        <v>32761.5</v>
      </c>
    </row>
    <row r="254" spans="10:14" s="1" customFormat="1" ht="25.2" customHeight="1" x14ac:dyDescent="0.3">
      <c r="J254" s="1">
        <f>0.03*Table11819202310303132353839404148111518202831721263738[[#This Row],[النولون]]</f>
        <v>0</v>
      </c>
      <c r="L25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54" s="1">
        <f>N253+Table11819202310303132353839404148111518202831721263738[[#This Row],[اجمالي الفاتوره]]-Table11819202310303132353839404148111518202831721263738[[#This Row],[الدفعات]]</f>
        <v>32761.5</v>
      </c>
    </row>
    <row r="255" spans="10:14" s="1" customFormat="1" ht="25.2" customHeight="1" x14ac:dyDescent="0.3">
      <c r="J255" s="1">
        <f>0.03*Table11819202310303132353839404148111518202831721263738[[#This Row],[النولون]]</f>
        <v>0</v>
      </c>
      <c r="L25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55" s="1">
        <f>N254+Table11819202310303132353839404148111518202831721263738[[#This Row],[اجمالي الفاتوره]]-Table11819202310303132353839404148111518202831721263738[[#This Row],[الدفعات]]</f>
        <v>32761.5</v>
      </c>
    </row>
    <row r="256" spans="10:14" s="1" customFormat="1" ht="25.2" customHeight="1" x14ac:dyDescent="0.3">
      <c r="J256" s="1">
        <f>0.03*Table11819202310303132353839404148111518202831721263738[[#This Row],[النولون]]</f>
        <v>0</v>
      </c>
      <c r="L25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56" s="1">
        <f>N255+Table11819202310303132353839404148111518202831721263738[[#This Row],[اجمالي الفاتوره]]-Table11819202310303132353839404148111518202831721263738[[#This Row],[الدفعات]]</f>
        <v>32761.5</v>
      </c>
    </row>
    <row r="257" spans="10:14" s="1" customFormat="1" ht="25.2" customHeight="1" x14ac:dyDescent="0.3">
      <c r="J257" s="1">
        <f>0.03*Table11819202310303132353839404148111518202831721263738[[#This Row],[النولون]]</f>
        <v>0</v>
      </c>
      <c r="L25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57" s="1">
        <f>N256+Table11819202310303132353839404148111518202831721263738[[#This Row],[اجمالي الفاتوره]]-Table11819202310303132353839404148111518202831721263738[[#This Row],[الدفعات]]</f>
        <v>32761.5</v>
      </c>
    </row>
    <row r="258" spans="10:14" s="1" customFormat="1" ht="25.2" customHeight="1" x14ac:dyDescent="0.3">
      <c r="J258" s="1">
        <f>0.03*Table11819202310303132353839404148111518202831721263738[[#This Row],[النولون]]</f>
        <v>0</v>
      </c>
      <c r="L25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58" s="1">
        <f>N257+Table11819202310303132353839404148111518202831721263738[[#This Row],[اجمالي الفاتوره]]-Table11819202310303132353839404148111518202831721263738[[#This Row],[الدفعات]]</f>
        <v>32761.5</v>
      </c>
    </row>
    <row r="259" spans="10:14" s="1" customFormat="1" ht="25.2" customHeight="1" x14ac:dyDescent="0.3">
      <c r="J259" s="1">
        <f>0.03*Table11819202310303132353839404148111518202831721263738[[#This Row],[النولون]]</f>
        <v>0</v>
      </c>
      <c r="L25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59" s="1">
        <f>N258+Table11819202310303132353839404148111518202831721263738[[#This Row],[اجمالي الفاتوره]]-Table11819202310303132353839404148111518202831721263738[[#This Row],[الدفعات]]</f>
        <v>32761.5</v>
      </c>
    </row>
    <row r="260" spans="10:14" s="1" customFormat="1" ht="25.2" customHeight="1" x14ac:dyDescent="0.3">
      <c r="J260" s="1">
        <f>0.03*Table11819202310303132353839404148111518202831721263738[[#This Row],[النولون]]</f>
        <v>0</v>
      </c>
      <c r="L26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60" s="1">
        <f>N259+Table11819202310303132353839404148111518202831721263738[[#This Row],[اجمالي الفاتوره]]-Table11819202310303132353839404148111518202831721263738[[#This Row],[الدفعات]]</f>
        <v>32761.5</v>
      </c>
    </row>
    <row r="261" spans="10:14" s="1" customFormat="1" ht="25.2" customHeight="1" x14ac:dyDescent="0.3">
      <c r="J261" s="1">
        <f>0.03*Table11819202310303132353839404148111518202831721263738[[#This Row],[النولون]]</f>
        <v>0</v>
      </c>
      <c r="L26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61" s="1">
        <f>N260+Table11819202310303132353839404148111518202831721263738[[#This Row],[اجمالي الفاتوره]]-Table11819202310303132353839404148111518202831721263738[[#This Row],[الدفعات]]</f>
        <v>32761.5</v>
      </c>
    </row>
    <row r="262" spans="10:14" s="1" customFormat="1" ht="25.2" customHeight="1" x14ac:dyDescent="0.3">
      <c r="J262" s="1">
        <f>0.03*Table11819202310303132353839404148111518202831721263738[[#This Row],[النولون]]</f>
        <v>0</v>
      </c>
      <c r="L26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62" s="1">
        <f>N261+Table11819202310303132353839404148111518202831721263738[[#This Row],[اجمالي الفاتوره]]-Table11819202310303132353839404148111518202831721263738[[#This Row],[الدفعات]]</f>
        <v>32761.5</v>
      </c>
    </row>
    <row r="263" spans="10:14" s="1" customFormat="1" ht="25.2" customHeight="1" x14ac:dyDescent="0.3">
      <c r="J263" s="1">
        <f>0.03*Table11819202310303132353839404148111518202831721263738[[#This Row],[النولون]]</f>
        <v>0</v>
      </c>
      <c r="L26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63" s="1">
        <f>N262+Table11819202310303132353839404148111518202831721263738[[#This Row],[اجمالي الفاتوره]]-Table11819202310303132353839404148111518202831721263738[[#This Row],[الدفعات]]</f>
        <v>32761.5</v>
      </c>
    </row>
    <row r="264" spans="10:14" s="1" customFormat="1" ht="25.2" customHeight="1" x14ac:dyDescent="0.3">
      <c r="J264" s="1">
        <f>0.03*Table11819202310303132353839404148111518202831721263738[[#This Row],[النولون]]</f>
        <v>0</v>
      </c>
      <c r="L26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64" s="1">
        <f>N263+Table11819202310303132353839404148111518202831721263738[[#This Row],[اجمالي الفاتوره]]-Table11819202310303132353839404148111518202831721263738[[#This Row],[الدفعات]]</f>
        <v>32761.5</v>
      </c>
    </row>
    <row r="265" spans="10:14" s="1" customFormat="1" ht="25.2" customHeight="1" x14ac:dyDescent="0.3">
      <c r="J265" s="1">
        <f>0.03*Table11819202310303132353839404148111518202831721263738[[#This Row],[النولون]]</f>
        <v>0</v>
      </c>
      <c r="L26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65" s="1">
        <f>N264+Table11819202310303132353839404148111518202831721263738[[#This Row],[اجمالي الفاتوره]]-Table11819202310303132353839404148111518202831721263738[[#This Row],[الدفعات]]</f>
        <v>32761.5</v>
      </c>
    </row>
    <row r="266" spans="10:14" s="1" customFormat="1" ht="25.2" customHeight="1" x14ac:dyDescent="0.3">
      <c r="J266" s="1">
        <f>0.03*Table11819202310303132353839404148111518202831721263738[[#This Row],[النولون]]</f>
        <v>0</v>
      </c>
      <c r="L26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66" s="1">
        <f>N265+Table11819202310303132353839404148111518202831721263738[[#This Row],[اجمالي الفاتوره]]-Table11819202310303132353839404148111518202831721263738[[#This Row],[الدفعات]]</f>
        <v>32761.5</v>
      </c>
    </row>
    <row r="267" spans="10:14" s="1" customFormat="1" ht="25.2" customHeight="1" x14ac:dyDescent="0.3">
      <c r="J267" s="1">
        <f>0.03*Table11819202310303132353839404148111518202831721263738[[#This Row],[النولون]]</f>
        <v>0</v>
      </c>
      <c r="L26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67" s="1">
        <f>N266+Table11819202310303132353839404148111518202831721263738[[#This Row],[اجمالي الفاتوره]]-Table11819202310303132353839404148111518202831721263738[[#This Row],[الدفعات]]</f>
        <v>32761.5</v>
      </c>
    </row>
    <row r="268" spans="10:14" s="1" customFormat="1" ht="25.2" customHeight="1" x14ac:dyDescent="0.3">
      <c r="J268" s="1">
        <f>0.03*Table11819202310303132353839404148111518202831721263738[[#This Row],[النولون]]</f>
        <v>0</v>
      </c>
      <c r="L26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68" s="1">
        <f>N267+Table11819202310303132353839404148111518202831721263738[[#This Row],[اجمالي الفاتوره]]-Table11819202310303132353839404148111518202831721263738[[#This Row],[الدفعات]]</f>
        <v>32761.5</v>
      </c>
    </row>
    <row r="269" spans="10:14" s="1" customFormat="1" ht="25.2" customHeight="1" x14ac:dyDescent="0.3">
      <c r="J269" s="1">
        <f>0.03*Table11819202310303132353839404148111518202831721263738[[#This Row],[النولون]]</f>
        <v>0</v>
      </c>
      <c r="L26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69" s="1">
        <f>N268+Table11819202310303132353839404148111518202831721263738[[#This Row],[اجمالي الفاتوره]]-Table11819202310303132353839404148111518202831721263738[[#This Row],[الدفعات]]</f>
        <v>32761.5</v>
      </c>
    </row>
    <row r="270" spans="10:14" s="1" customFormat="1" ht="25.2" customHeight="1" x14ac:dyDescent="0.3">
      <c r="J270" s="1">
        <f>0.03*Table11819202310303132353839404148111518202831721263738[[#This Row],[النولون]]</f>
        <v>0</v>
      </c>
      <c r="L27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70" s="1">
        <f>N269+Table11819202310303132353839404148111518202831721263738[[#This Row],[اجمالي الفاتوره]]-Table11819202310303132353839404148111518202831721263738[[#This Row],[الدفعات]]</f>
        <v>32761.5</v>
      </c>
    </row>
    <row r="271" spans="10:14" s="1" customFormat="1" ht="25.2" customHeight="1" x14ac:dyDescent="0.3">
      <c r="J271" s="1">
        <f>0.03*Table11819202310303132353839404148111518202831721263738[[#This Row],[النولون]]</f>
        <v>0</v>
      </c>
      <c r="L27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71" s="1">
        <f>N270+Table11819202310303132353839404148111518202831721263738[[#This Row],[اجمالي الفاتوره]]-Table11819202310303132353839404148111518202831721263738[[#This Row],[الدفعات]]</f>
        <v>32761.5</v>
      </c>
    </row>
    <row r="272" spans="10:14" s="1" customFormat="1" ht="25.2" customHeight="1" x14ac:dyDescent="0.3">
      <c r="J272" s="1">
        <f>0.03*Table11819202310303132353839404148111518202831721263738[[#This Row],[النولون]]</f>
        <v>0</v>
      </c>
      <c r="L27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72" s="1">
        <f>N271+Table11819202310303132353839404148111518202831721263738[[#This Row],[اجمالي الفاتوره]]-Table11819202310303132353839404148111518202831721263738[[#This Row],[الدفعات]]</f>
        <v>32761.5</v>
      </c>
    </row>
    <row r="273" spans="10:14" s="1" customFormat="1" ht="25.2" customHeight="1" x14ac:dyDescent="0.3">
      <c r="J273" s="1">
        <f>0.03*Table11819202310303132353839404148111518202831721263738[[#This Row],[النولون]]</f>
        <v>0</v>
      </c>
      <c r="L27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73" s="1">
        <f>N272+Table11819202310303132353839404148111518202831721263738[[#This Row],[اجمالي الفاتوره]]-Table11819202310303132353839404148111518202831721263738[[#This Row],[الدفعات]]</f>
        <v>32761.5</v>
      </c>
    </row>
    <row r="274" spans="10:14" s="1" customFormat="1" ht="25.2" customHeight="1" x14ac:dyDescent="0.3">
      <c r="J274" s="1">
        <f>0.03*Table11819202310303132353839404148111518202831721263738[[#This Row],[النولون]]</f>
        <v>0</v>
      </c>
      <c r="L27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74" s="1">
        <f>N273+Table11819202310303132353839404148111518202831721263738[[#This Row],[اجمالي الفاتوره]]-Table11819202310303132353839404148111518202831721263738[[#This Row],[الدفعات]]</f>
        <v>32761.5</v>
      </c>
    </row>
    <row r="275" spans="10:14" s="1" customFormat="1" ht="25.2" customHeight="1" x14ac:dyDescent="0.3">
      <c r="J275" s="1">
        <f>0.03*Table11819202310303132353839404148111518202831721263738[[#This Row],[النولون]]</f>
        <v>0</v>
      </c>
      <c r="L27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75" s="1">
        <f>N274+Table11819202310303132353839404148111518202831721263738[[#This Row],[اجمالي الفاتوره]]-Table11819202310303132353839404148111518202831721263738[[#This Row],[الدفعات]]</f>
        <v>32761.5</v>
      </c>
    </row>
    <row r="276" spans="10:14" s="1" customFormat="1" ht="25.2" customHeight="1" x14ac:dyDescent="0.3">
      <c r="J276" s="1">
        <f>0.03*Table11819202310303132353839404148111518202831721263738[[#This Row],[النولون]]</f>
        <v>0</v>
      </c>
      <c r="L27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76" s="1">
        <f>N275+Table11819202310303132353839404148111518202831721263738[[#This Row],[اجمالي الفاتوره]]-Table11819202310303132353839404148111518202831721263738[[#This Row],[الدفعات]]</f>
        <v>32761.5</v>
      </c>
    </row>
    <row r="277" spans="10:14" s="1" customFormat="1" ht="25.2" customHeight="1" x14ac:dyDescent="0.3">
      <c r="J277" s="1">
        <f>0.03*Table11819202310303132353839404148111518202831721263738[[#This Row],[النولون]]</f>
        <v>0</v>
      </c>
      <c r="L27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77" s="1">
        <f>N276+Table11819202310303132353839404148111518202831721263738[[#This Row],[اجمالي الفاتوره]]-Table11819202310303132353839404148111518202831721263738[[#This Row],[الدفعات]]</f>
        <v>32761.5</v>
      </c>
    </row>
    <row r="278" spans="10:14" s="1" customFormat="1" ht="25.2" customHeight="1" x14ac:dyDescent="0.3">
      <c r="J278" s="1">
        <f>0.03*Table11819202310303132353839404148111518202831721263738[[#This Row],[النولون]]</f>
        <v>0</v>
      </c>
      <c r="L27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78" s="1">
        <f>N277+Table11819202310303132353839404148111518202831721263738[[#This Row],[اجمالي الفاتوره]]-Table11819202310303132353839404148111518202831721263738[[#This Row],[الدفعات]]</f>
        <v>32761.5</v>
      </c>
    </row>
    <row r="279" spans="10:14" s="1" customFormat="1" ht="25.2" customHeight="1" x14ac:dyDescent="0.3">
      <c r="J279" s="1">
        <f>0.03*Table11819202310303132353839404148111518202831721263738[[#This Row],[النولون]]</f>
        <v>0</v>
      </c>
      <c r="L27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79" s="1">
        <f>N278+Table11819202310303132353839404148111518202831721263738[[#This Row],[اجمالي الفاتوره]]-Table11819202310303132353839404148111518202831721263738[[#This Row],[الدفعات]]</f>
        <v>32761.5</v>
      </c>
    </row>
    <row r="280" spans="10:14" s="1" customFormat="1" ht="25.2" customHeight="1" x14ac:dyDescent="0.3">
      <c r="J280" s="1">
        <f>0.03*Table11819202310303132353839404148111518202831721263738[[#This Row],[النولون]]</f>
        <v>0</v>
      </c>
      <c r="L28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80" s="1">
        <f>N279+Table11819202310303132353839404148111518202831721263738[[#This Row],[اجمالي الفاتوره]]-Table11819202310303132353839404148111518202831721263738[[#This Row],[الدفعات]]</f>
        <v>32761.5</v>
      </c>
    </row>
    <row r="281" spans="10:14" s="1" customFormat="1" ht="25.2" customHeight="1" x14ac:dyDescent="0.3">
      <c r="J281" s="1">
        <f>0.03*Table11819202310303132353839404148111518202831721263738[[#This Row],[النولون]]</f>
        <v>0</v>
      </c>
      <c r="L28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81" s="1">
        <f>N280+Table11819202310303132353839404148111518202831721263738[[#This Row],[اجمالي الفاتوره]]-Table11819202310303132353839404148111518202831721263738[[#This Row],[الدفعات]]</f>
        <v>32761.5</v>
      </c>
    </row>
    <row r="282" spans="10:14" s="1" customFormat="1" ht="25.2" customHeight="1" x14ac:dyDescent="0.3">
      <c r="J282" s="1">
        <f>0.03*Table11819202310303132353839404148111518202831721263738[[#This Row],[النولون]]</f>
        <v>0</v>
      </c>
      <c r="L28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82" s="1">
        <f>N281+Table11819202310303132353839404148111518202831721263738[[#This Row],[اجمالي الفاتوره]]-Table11819202310303132353839404148111518202831721263738[[#This Row],[الدفعات]]</f>
        <v>32761.5</v>
      </c>
    </row>
    <row r="283" spans="10:14" s="1" customFormat="1" ht="25.2" customHeight="1" x14ac:dyDescent="0.3">
      <c r="J283" s="1">
        <f>0.03*Table11819202310303132353839404148111518202831721263738[[#This Row],[النولون]]</f>
        <v>0</v>
      </c>
      <c r="L28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83" s="1">
        <f>N282+Table11819202310303132353839404148111518202831721263738[[#This Row],[اجمالي الفاتوره]]-Table11819202310303132353839404148111518202831721263738[[#This Row],[الدفعات]]</f>
        <v>32761.5</v>
      </c>
    </row>
    <row r="284" spans="10:14" s="1" customFormat="1" ht="25.2" customHeight="1" x14ac:dyDescent="0.3">
      <c r="J284" s="1">
        <f>0.03*Table11819202310303132353839404148111518202831721263738[[#This Row],[النولون]]</f>
        <v>0</v>
      </c>
      <c r="L28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84" s="1">
        <f>N283+Table11819202310303132353839404148111518202831721263738[[#This Row],[اجمالي الفاتوره]]-Table11819202310303132353839404148111518202831721263738[[#This Row],[الدفعات]]</f>
        <v>32761.5</v>
      </c>
    </row>
    <row r="285" spans="10:14" s="1" customFormat="1" ht="25.2" customHeight="1" x14ac:dyDescent="0.3">
      <c r="J285" s="1">
        <f>0.03*Table11819202310303132353839404148111518202831721263738[[#This Row],[النولون]]</f>
        <v>0</v>
      </c>
      <c r="L28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85" s="1">
        <f>N284+Table11819202310303132353839404148111518202831721263738[[#This Row],[اجمالي الفاتوره]]-Table11819202310303132353839404148111518202831721263738[[#This Row],[الدفعات]]</f>
        <v>32761.5</v>
      </c>
    </row>
    <row r="286" spans="10:14" s="1" customFormat="1" ht="25.2" customHeight="1" x14ac:dyDescent="0.3">
      <c r="J286" s="1">
        <f>0.03*Table11819202310303132353839404148111518202831721263738[[#This Row],[النولون]]</f>
        <v>0</v>
      </c>
      <c r="L28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86" s="1">
        <f>N285+Table11819202310303132353839404148111518202831721263738[[#This Row],[اجمالي الفاتوره]]-Table11819202310303132353839404148111518202831721263738[[#This Row],[الدفعات]]</f>
        <v>32761.5</v>
      </c>
    </row>
    <row r="287" spans="10:14" s="1" customFormat="1" ht="25.2" customHeight="1" x14ac:dyDescent="0.3">
      <c r="J287" s="1">
        <f>0.03*Table11819202310303132353839404148111518202831721263738[[#This Row],[النولون]]</f>
        <v>0</v>
      </c>
      <c r="L28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87" s="1">
        <f>N286+Table11819202310303132353839404148111518202831721263738[[#This Row],[اجمالي الفاتوره]]-Table11819202310303132353839404148111518202831721263738[[#This Row],[الدفعات]]</f>
        <v>32761.5</v>
      </c>
    </row>
    <row r="288" spans="10:14" s="1" customFormat="1" ht="25.2" customHeight="1" x14ac:dyDescent="0.3">
      <c r="J288" s="1">
        <f>0.03*Table11819202310303132353839404148111518202831721263738[[#This Row],[النولون]]</f>
        <v>0</v>
      </c>
      <c r="L28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88" s="1">
        <f>N287+Table11819202310303132353839404148111518202831721263738[[#This Row],[اجمالي الفاتوره]]-Table11819202310303132353839404148111518202831721263738[[#This Row],[الدفعات]]</f>
        <v>32761.5</v>
      </c>
    </row>
    <row r="289" spans="10:14" s="1" customFormat="1" ht="25.2" customHeight="1" x14ac:dyDescent="0.3">
      <c r="J289" s="1">
        <f>0.03*Table11819202310303132353839404148111518202831721263738[[#This Row],[النولون]]</f>
        <v>0</v>
      </c>
      <c r="L28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89" s="1">
        <f>N288+Table11819202310303132353839404148111518202831721263738[[#This Row],[اجمالي الفاتوره]]-Table11819202310303132353839404148111518202831721263738[[#This Row],[الدفعات]]</f>
        <v>32761.5</v>
      </c>
    </row>
    <row r="290" spans="10:14" s="1" customFormat="1" ht="25.2" customHeight="1" x14ac:dyDescent="0.3">
      <c r="J290" s="1">
        <f>0.03*Table11819202310303132353839404148111518202831721263738[[#This Row],[النولون]]</f>
        <v>0</v>
      </c>
      <c r="L29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90" s="1">
        <f>N289+Table11819202310303132353839404148111518202831721263738[[#This Row],[اجمالي الفاتوره]]-Table11819202310303132353839404148111518202831721263738[[#This Row],[الدفعات]]</f>
        <v>32761.5</v>
      </c>
    </row>
    <row r="291" spans="10:14" s="1" customFormat="1" ht="25.2" customHeight="1" x14ac:dyDescent="0.3">
      <c r="J291" s="1">
        <f>0.03*Table11819202310303132353839404148111518202831721263738[[#This Row],[النولون]]</f>
        <v>0</v>
      </c>
      <c r="L29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91" s="1">
        <f>N290+Table11819202310303132353839404148111518202831721263738[[#This Row],[اجمالي الفاتوره]]-Table11819202310303132353839404148111518202831721263738[[#This Row],[الدفعات]]</f>
        <v>32761.5</v>
      </c>
    </row>
    <row r="292" spans="10:14" s="1" customFormat="1" ht="25.2" customHeight="1" x14ac:dyDescent="0.3">
      <c r="J292" s="1">
        <f>0.03*Table11819202310303132353839404148111518202831721263738[[#This Row],[النولون]]</f>
        <v>0</v>
      </c>
      <c r="L29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92" s="1">
        <f>N291+Table11819202310303132353839404148111518202831721263738[[#This Row],[اجمالي الفاتوره]]-Table11819202310303132353839404148111518202831721263738[[#This Row],[الدفعات]]</f>
        <v>32761.5</v>
      </c>
    </row>
    <row r="293" spans="10:14" s="1" customFormat="1" ht="25.2" customHeight="1" x14ac:dyDescent="0.3">
      <c r="J293" s="1">
        <f>0.03*Table11819202310303132353839404148111518202831721263738[[#This Row],[النولون]]</f>
        <v>0</v>
      </c>
      <c r="L29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93" s="1">
        <f>N292+Table11819202310303132353839404148111518202831721263738[[#This Row],[اجمالي الفاتوره]]-Table11819202310303132353839404148111518202831721263738[[#This Row],[الدفعات]]</f>
        <v>32761.5</v>
      </c>
    </row>
    <row r="294" spans="10:14" s="1" customFormat="1" ht="25.2" customHeight="1" x14ac:dyDescent="0.3">
      <c r="J294" s="1">
        <f>0.03*Table11819202310303132353839404148111518202831721263738[[#This Row],[النولون]]</f>
        <v>0</v>
      </c>
      <c r="L29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94" s="1">
        <f>N293+Table11819202310303132353839404148111518202831721263738[[#This Row],[اجمالي الفاتوره]]-Table11819202310303132353839404148111518202831721263738[[#This Row],[الدفعات]]</f>
        <v>32761.5</v>
      </c>
    </row>
    <row r="295" spans="10:14" s="1" customFormat="1" ht="25.2" customHeight="1" x14ac:dyDescent="0.3">
      <c r="J295" s="1">
        <f>0.03*Table11819202310303132353839404148111518202831721263738[[#This Row],[النولون]]</f>
        <v>0</v>
      </c>
      <c r="L29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95" s="1">
        <f>N294+Table11819202310303132353839404148111518202831721263738[[#This Row],[اجمالي الفاتوره]]-Table11819202310303132353839404148111518202831721263738[[#This Row],[الدفعات]]</f>
        <v>32761.5</v>
      </c>
    </row>
    <row r="296" spans="10:14" s="1" customFormat="1" ht="25.2" customHeight="1" x14ac:dyDescent="0.3">
      <c r="J296" s="1">
        <f>0.03*Table11819202310303132353839404148111518202831721263738[[#This Row],[النولون]]</f>
        <v>0</v>
      </c>
      <c r="L29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96" s="1">
        <f>N295+Table11819202310303132353839404148111518202831721263738[[#This Row],[اجمالي الفاتوره]]-Table11819202310303132353839404148111518202831721263738[[#This Row],[الدفعات]]</f>
        <v>32761.5</v>
      </c>
    </row>
    <row r="297" spans="10:14" s="1" customFormat="1" ht="25.2" customHeight="1" x14ac:dyDescent="0.3">
      <c r="J297" s="1">
        <f>0.03*Table11819202310303132353839404148111518202831721263738[[#This Row],[النولون]]</f>
        <v>0</v>
      </c>
      <c r="L29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97" s="1">
        <f>N296+Table11819202310303132353839404148111518202831721263738[[#This Row],[اجمالي الفاتوره]]-Table11819202310303132353839404148111518202831721263738[[#This Row],[الدفعات]]</f>
        <v>32761.5</v>
      </c>
    </row>
    <row r="298" spans="10:14" s="1" customFormat="1" ht="25.2" customHeight="1" x14ac:dyDescent="0.3">
      <c r="J298" s="1">
        <f>0.03*Table11819202310303132353839404148111518202831721263738[[#This Row],[النولون]]</f>
        <v>0</v>
      </c>
      <c r="L29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98" s="1">
        <f>N297+Table11819202310303132353839404148111518202831721263738[[#This Row],[اجمالي الفاتوره]]-Table11819202310303132353839404148111518202831721263738[[#This Row],[الدفعات]]</f>
        <v>32761.5</v>
      </c>
    </row>
    <row r="299" spans="10:14" s="1" customFormat="1" ht="25.2" customHeight="1" x14ac:dyDescent="0.3">
      <c r="J299" s="1">
        <f>0.03*Table11819202310303132353839404148111518202831721263738[[#This Row],[النولون]]</f>
        <v>0</v>
      </c>
      <c r="L29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299" s="1">
        <f>N298+Table11819202310303132353839404148111518202831721263738[[#This Row],[اجمالي الفاتوره]]-Table11819202310303132353839404148111518202831721263738[[#This Row],[الدفعات]]</f>
        <v>32761.5</v>
      </c>
    </row>
    <row r="300" spans="10:14" s="1" customFormat="1" ht="25.2" customHeight="1" x14ac:dyDescent="0.3">
      <c r="J300" s="1">
        <f>0.03*Table11819202310303132353839404148111518202831721263738[[#This Row],[النولون]]</f>
        <v>0</v>
      </c>
      <c r="L30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00" s="1">
        <f>N299+Table11819202310303132353839404148111518202831721263738[[#This Row],[اجمالي الفاتوره]]-Table11819202310303132353839404148111518202831721263738[[#This Row],[الدفعات]]</f>
        <v>32761.5</v>
      </c>
    </row>
    <row r="301" spans="10:14" s="1" customFormat="1" ht="25.2" customHeight="1" x14ac:dyDescent="0.3">
      <c r="J301" s="1">
        <f>0.03*Table11819202310303132353839404148111518202831721263738[[#This Row],[النولون]]</f>
        <v>0</v>
      </c>
      <c r="L30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01" s="1">
        <f>N300+Table11819202310303132353839404148111518202831721263738[[#This Row],[اجمالي الفاتوره]]-Table11819202310303132353839404148111518202831721263738[[#This Row],[الدفعات]]</f>
        <v>32761.5</v>
      </c>
    </row>
    <row r="302" spans="10:14" s="1" customFormat="1" ht="25.2" customHeight="1" x14ac:dyDescent="0.3">
      <c r="J302" s="1">
        <f>0.03*Table11819202310303132353839404148111518202831721263738[[#This Row],[النولون]]</f>
        <v>0</v>
      </c>
      <c r="L30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02" s="1">
        <f>N301+Table11819202310303132353839404148111518202831721263738[[#This Row],[اجمالي الفاتوره]]-Table11819202310303132353839404148111518202831721263738[[#This Row],[الدفعات]]</f>
        <v>32761.5</v>
      </c>
    </row>
    <row r="303" spans="10:14" s="1" customFormat="1" ht="25.2" customHeight="1" x14ac:dyDescent="0.3">
      <c r="J303" s="1">
        <f>0.03*Table11819202310303132353839404148111518202831721263738[[#This Row],[النولون]]</f>
        <v>0</v>
      </c>
      <c r="L30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03" s="1">
        <f>N302+Table11819202310303132353839404148111518202831721263738[[#This Row],[اجمالي الفاتوره]]-Table11819202310303132353839404148111518202831721263738[[#This Row],[الدفعات]]</f>
        <v>32761.5</v>
      </c>
    </row>
    <row r="304" spans="10:14" s="1" customFormat="1" ht="25.2" customHeight="1" x14ac:dyDescent="0.3">
      <c r="J304" s="1">
        <f>0.03*Table11819202310303132353839404148111518202831721263738[[#This Row],[النولون]]</f>
        <v>0</v>
      </c>
      <c r="L30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04" s="1">
        <f>N303+Table11819202310303132353839404148111518202831721263738[[#This Row],[اجمالي الفاتوره]]-Table11819202310303132353839404148111518202831721263738[[#This Row],[الدفعات]]</f>
        <v>32761.5</v>
      </c>
    </row>
    <row r="305" spans="10:14" s="1" customFormat="1" ht="25.2" customHeight="1" x14ac:dyDescent="0.3">
      <c r="J305" s="1">
        <f>0.03*Table11819202310303132353839404148111518202831721263738[[#This Row],[النولون]]</f>
        <v>0</v>
      </c>
      <c r="L30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05" s="1">
        <f>N304+Table11819202310303132353839404148111518202831721263738[[#This Row],[اجمالي الفاتوره]]-Table11819202310303132353839404148111518202831721263738[[#This Row],[الدفعات]]</f>
        <v>32761.5</v>
      </c>
    </row>
    <row r="306" spans="10:14" s="1" customFormat="1" ht="25.2" customHeight="1" x14ac:dyDescent="0.3">
      <c r="J306" s="1">
        <f>0.03*Table11819202310303132353839404148111518202831721263738[[#This Row],[النولون]]</f>
        <v>0</v>
      </c>
      <c r="L30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06" s="1">
        <f>N305+Table11819202310303132353839404148111518202831721263738[[#This Row],[اجمالي الفاتوره]]-Table11819202310303132353839404148111518202831721263738[[#This Row],[الدفعات]]</f>
        <v>32761.5</v>
      </c>
    </row>
    <row r="307" spans="10:14" s="1" customFormat="1" ht="25.2" customHeight="1" x14ac:dyDescent="0.3">
      <c r="J307" s="1">
        <f>0.03*Table11819202310303132353839404148111518202831721263738[[#This Row],[النولون]]</f>
        <v>0</v>
      </c>
      <c r="L30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07" s="1">
        <f>N306+Table11819202310303132353839404148111518202831721263738[[#This Row],[اجمالي الفاتوره]]-Table11819202310303132353839404148111518202831721263738[[#This Row],[الدفعات]]</f>
        <v>32761.5</v>
      </c>
    </row>
    <row r="308" spans="10:14" s="1" customFormat="1" ht="25.2" customHeight="1" x14ac:dyDescent="0.3">
      <c r="J308" s="1">
        <f>0.03*Table11819202310303132353839404148111518202831721263738[[#This Row],[النولون]]</f>
        <v>0</v>
      </c>
      <c r="L30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08" s="1">
        <f>N307+Table11819202310303132353839404148111518202831721263738[[#This Row],[اجمالي الفاتوره]]-Table11819202310303132353839404148111518202831721263738[[#This Row],[الدفعات]]</f>
        <v>32761.5</v>
      </c>
    </row>
    <row r="309" spans="10:14" s="1" customFormat="1" ht="25.2" customHeight="1" x14ac:dyDescent="0.3">
      <c r="J309" s="1">
        <f>0.03*Table11819202310303132353839404148111518202831721263738[[#This Row],[النولون]]</f>
        <v>0</v>
      </c>
      <c r="L30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09" s="1">
        <f>N308+Table11819202310303132353839404148111518202831721263738[[#This Row],[اجمالي الفاتوره]]-Table11819202310303132353839404148111518202831721263738[[#This Row],[الدفعات]]</f>
        <v>32761.5</v>
      </c>
    </row>
    <row r="310" spans="10:14" s="1" customFormat="1" ht="25.2" customHeight="1" x14ac:dyDescent="0.3">
      <c r="J310" s="1">
        <f>0.03*Table11819202310303132353839404148111518202831721263738[[#This Row],[النولون]]</f>
        <v>0</v>
      </c>
      <c r="L31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10" s="1">
        <f>N309+Table11819202310303132353839404148111518202831721263738[[#This Row],[اجمالي الفاتوره]]-Table11819202310303132353839404148111518202831721263738[[#This Row],[الدفعات]]</f>
        <v>32761.5</v>
      </c>
    </row>
    <row r="311" spans="10:14" s="1" customFormat="1" ht="25.2" customHeight="1" x14ac:dyDescent="0.3">
      <c r="J311" s="1">
        <f>0.03*Table11819202310303132353839404148111518202831721263738[[#This Row],[النولون]]</f>
        <v>0</v>
      </c>
      <c r="L31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11" s="1">
        <f>N310+Table11819202310303132353839404148111518202831721263738[[#This Row],[اجمالي الفاتوره]]-Table11819202310303132353839404148111518202831721263738[[#This Row],[الدفعات]]</f>
        <v>32761.5</v>
      </c>
    </row>
    <row r="312" spans="10:14" s="1" customFormat="1" ht="25.2" customHeight="1" x14ac:dyDescent="0.3">
      <c r="J312" s="1">
        <f>0.03*Table11819202310303132353839404148111518202831721263738[[#This Row],[النولون]]</f>
        <v>0</v>
      </c>
      <c r="L31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12" s="1">
        <f>N311+Table11819202310303132353839404148111518202831721263738[[#This Row],[اجمالي الفاتوره]]-Table11819202310303132353839404148111518202831721263738[[#This Row],[الدفعات]]</f>
        <v>32761.5</v>
      </c>
    </row>
    <row r="313" spans="10:14" s="1" customFormat="1" ht="25.2" customHeight="1" x14ac:dyDescent="0.3">
      <c r="J313" s="1">
        <f>0.03*Table11819202310303132353839404148111518202831721263738[[#This Row],[النولون]]</f>
        <v>0</v>
      </c>
      <c r="L31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13" s="1">
        <f>N312+Table11819202310303132353839404148111518202831721263738[[#This Row],[اجمالي الفاتوره]]-Table11819202310303132353839404148111518202831721263738[[#This Row],[الدفعات]]</f>
        <v>32761.5</v>
      </c>
    </row>
    <row r="314" spans="10:14" s="1" customFormat="1" ht="25.2" customHeight="1" x14ac:dyDescent="0.3">
      <c r="J314" s="1">
        <f>0.03*Table11819202310303132353839404148111518202831721263738[[#This Row],[النولون]]</f>
        <v>0</v>
      </c>
      <c r="L31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14" s="1">
        <f>N313+Table11819202310303132353839404148111518202831721263738[[#This Row],[اجمالي الفاتوره]]-Table11819202310303132353839404148111518202831721263738[[#This Row],[الدفعات]]</f>
        <v>32761.5</v>
      </c>
    </row>
    <row r="315" spans="10:14" s="1" customFormat="1" ht="25.2" customHeight="1" x14ac:dyDescent="0.3">
      <c r="J315" s="1">
        <f>0.03*Table11819202310303132353839404148111518202831721263738[[#This Row],[النولون]]</f>
        <v>0</v>
      </c>
      <c r="L31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15" s="1">
        <f>N314+Table11819202310303132353839404148111518202831721263738[[#This Row],[اجمالي الفاتوره]]-Table11819202310303132353839404148111518202831721263738[[#This Row],[الدفعات]]</f>
        <v>32761.5</v>
      </c>
    </row>
    <row r="316" spans="10:14" s="1" customFormat="1" ht="25.2" customHeight="1" x14ac:dyDescent="0.3">
      <c r="J316" s="1">
        <f>0.03*Table11819202310303132353839404148111518202831721263738[[#This Row],[النولون]]</f>
        <v>0</v>
      </c>
      <c r="L31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16" s="1">
        <f>N315+Table11819202310303132353839404148111518202831721263738[[#This Row],[اجمالي الفاتوره]]-Table11819202310303132353839404148111518202831721263738[[#This Row],[الدفعات]]</f>
        <v>32761.5</v>
      </c>
    </row>
    <row r="317" spans="10:14" s="1" customFormat="1" ht="25.2" customHeight="1" x14ac:dyDescent="0.3">
      <c r="J317" s="1">
        <f>0.03*Table11819202310303132353839404148111518202831721263738[[#This Row],[النولون]]</f>
        <v>0</v>
      </c>
      <c r="L31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17" s="1">
        <f>N316+Table11819202310303132353839404148111518202831721263738[[#This Row],[اجمالي الفاتوره]]-Table11819202310303132353839404148111518202831721263738[[#This Row],[الدفعات]]</f>
        <v>32761.5</v>
      </c>
    </row>
    <row r="318" spans="10:14" s="1" customFormat="1" ht="25.2" customHeight="1" x14ac:dyDescent="0.3">
      <c r="J318" s="1">
        <f>0.03*Table11819202310303132353839404148111518202831721263738[[#This Row],[النولون]]</f>
        <v>0</v>
      </c>
      <c r="L31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18" s="1">
        <f>N317+Table11819202310303132353839404148111518202831721263738[[#This Row],[اجمالي الفاتوره]]-Table11819202310303132353839404148111518202831721263738[[#This Row],[الدفعات]]</f>
        <v>32761.5</v>
      </c>
    </row>
    <row r="319" spans="10:14" s="1" customFormat="1" ht="25.2" customHeight="1" x14ac:dyDescent="0.3">
      <c r="J319" s="1">
        <f>0.03*Table11819202310303132353839404148111518202831721263738[[#This Row],[النولون]]</f>
        <v>0</v>
      </c>
      <c r="L31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19" s="1">
        <f>N318+Table11819202310303132353839404148111518202831721263738[[#This Row],[اجمالي الفاتوره]]-Table11819202310303132353839404148111518202831721263738[[#This Row],[الدفعات]]</f>
        <v>32761.5</v>
      </c>
    </row>
    <row r="320" spans="10:14" s="1" customFormat="1" ht="25.2" customHeight="1" x14ac:dyDescent="0.3">
      <c r="J320" s="1">
        <f>0.03*Table11819202310303132353839404148111518202831721263738[[#This Row],[النولون]]</f>
        <v>0</v>
      </c>
      <c r="L32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20" s="1">
        <f>N319+Table11819202310303132353839404148111518202831721263738[[#This Row],[اجمالي الفاتوره]]-Table11819202310303132353839404148111518202831721263738[[#This Row],[الدفعات]]</f>
        <v>32761.5</v>
      </c>
    </row>
    <row r="321" spans="10:14" s="1" customFormat="1" ht="25.2" customHeight="1" x14ac:dyDescent="0.3">
      <c r="J321" s="1">
        <f>0.03*Table11819202310303132353839404148111518202831721263738[[#This Row],[النولون]]</f>
        <v>0</v>
      </c>
      <c r="L32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21" s="1">
        <f>N320+Table11819202310303132353839404148111518202831721263738[[#This Row],[اجمالي الفاتوره]]-Table11819202310303132353839404148111518202831721263738[[#This Row],[الدفعات]]</f>
        <v>32761.5</v>
      </c>
    </row>
    <row r="322" spans="10:14" s="1" customFormat="1" ht="25.2" customHeight="1" x14ac:dyDescent="0.3">
      <c r="J322" s="1">
        <f>0.03*Table11819202310303132353839404148111518202831721263738[[#This Row],[النولون]]</f>
        <v>0</v>
      </c>
      <c r="L32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22" s="1">
        <f>N321+Table11819202310303132353839404148111518202831721263738[[#This Row],[اجمالي الفاتوره]]-Table11819202310303132353839404148111518202831721263738[[#This Row],[الدفعات]]</f>
        <v>32761.5</v>
      </c>
    </row>
    <row r="323" spans="10:14" s="1" customFormat="1" ht="25.2" customHeight="1" x14ac:dyDescent="0.3">
      <c r="J323" s="1">
        <f>0.03*Table11819202310303132353839404148111518202831721263738[[#This Row],[النولون]]</f>
        <v>0</v>
      </c>
      <c r="L32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23" s="1">
        <f>N322+Table11819202310303132353839404148111518202831721263738[[#This Row],[اجمالي الفاتوره]]-Table11819202310303132353839404148111518202831721263738[[#This Row],[الدفعات]]</f>
        <v>32761.5</v>
      </c>
    </row>
    <row r="324" spans="10:14" s="1" customFormat="1" ht="25.2" customHeight="1" x14ac:dyDescent="0.3">
      <c r="J324" s="1">
        <f>0.03*Table11819202310303132353839404148111518202831721263738[[#This Row],[النولون]]</f>
        <v>0</v>
      </c>
      <c r="L32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24" s="1">
        <f>N323+Table11819202310303132353839404148111518202831721263738[[#This Row],[اجمالي الفاتوره]]-Table11819202310303132353839404148111518202831721263738[[#This Row],[الدفعات]]</f>
        <v>32761.5</v>
      </c>
    </row>
    <row r="325" spans="10:14" s="1" customFormat="1" ht="25.2" customHeight="1" x14ac:dyDescent="0.3">
      <c r="J325" s="1">
        <f>0.03*Table11819202310303132353839404148111518202831721263738[[#This Row],[النولون]]</f>
        <v>0</v>
      </c>
      <c r="L32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25" s="1">
        <f>N324+Table11819202310303132353839404148111518202831721263738[[#This Row],[اجمالي الفاتوره]]-Table11819202310303132353839404148111518202831721263738[[#This Row],[الدفعات]]</f>
        <v>32761.5</v>
      </c>
    </row>
    <row r="326" spans="10:14" s="1" customFormat="1" ht="25.2" customHeight="1" x14ac:dyDescent="0.3">
      <c r="J326" s="1">
        <f>0.03*Table11819202310303132353839404148111518202831721263738[[#This Row],[النولون]]</f>
        <v>0</v>
      </c>
      <c r="L32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26" s="1">
        <f>N325+Table11819202310303132353839404148111518202831721263738[[#This Row],[اجمالي الفاتوره]]-Table11819202310303132353839404148111518202831721263738[[#This Row],[الدفعات]]</f>
        <v>32761.5</v>
      </c>
    </row>
    <row r="327" spans="10:14" s="1" customFormat="1" ht="25.2" customHeight="1" x14ac:dyDescent="0.3">
      <c r="J327" s="1">
        <f>0.03*Table11819202310303132353839404148111518202831721263738[[#This Row],[النولون]]</f>
        <v>0</v>
      </c>
      <c r="L32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27" s="1">
        <f>N326+Table11819202310303132353839404148111518202831721263738[[#This Row],[اجمالي الفاتوره]]-Table11819202310303132353839404148111518202831721263738[[#This Row],[الدفعات]]</f>
        <v>32761.5</v>
      </c>
    </row>
    <row r="328" spans="10:14" s="1" customFormat="1" ht="25.2" customHeight="1" x14ac:dyDescent="0.3">
      <c r="J328" s="1">
        <f>0.03*Table11819202310303132353839404148111518202831721263738[[#This Row],[النولون]]</f>
        <v>0</v>
      </c>
      <c r="L32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28" s="1">
        <f>N327+Table11819202310303132353839404148111518202831721263738[[#This Row],[اجمالي الفاتوره]]-Table11819202310303132353839404148111518202831721263738[[#This Row],[الدفعات]]</f>
        <v>32761.5</v>
      </c>
    </row>
    <row r="329" spans="10:14" s="1" customFormat="1" ht="25.2" customHeight="1" x14ac:dyDescent="0.3">
      <c r="J329" s="1">
        <f>0.03*Table11819202310303132353839404148111518202831721263738[[#This Row],[النولون]]</f>
        <v>0</v>
      </c>
      <c r="L329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29" s="1">
        <f>N328+Table11819202310303132353839404148111518202831721263738[[#This Row],[اجمالي الفاتوره]]-Table11819202310303132353839404148111518202831721263738[[#This Row],[الدفعات]]</f>
        <v>32761.5</v>
      </c>
    </row>
    <row r="330" spans="10:14" s="1" customFormat="1" ht="25.2" customHeight="1" x14ac:dyDescent="0.3">
      <c r="J330" s="1">
        <f>0.03*Table11819202310303132353839404148111518202831721263738[[#This Row],[النولون]]</f>
        <v>0</v>
      </c>
      <c r="L330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30" s="1">
        <f>N329+Table11819202310303132353839404148111518202831721263738[[#This Row],[اجمالي الفاتوره]]-Table11819202310303132353839404148111518202831721263738[[#This Row],[الدفعات]]</f>
        <v>32761.5</v>
      </c>
    </row>
    <row r="331" spans="10:14" s="1" customFormat="1" ht="25.2" customHeight="1" x14ac:dyDescent="0.3">
      <c r="J331" s="1">
        <f>0.03*Table11819202310303132353839404148111518202831721263738[[#This Row],[النولون]]</f>
        <v>0</v>
      </c>
      <c r="L331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31" s="1">
        <f>N330+Table11819202310303132353839404148111518202831721263738[[#This Row],[اجمالي الفاتوره]]-Table11819202310303132353839404148111518202831721263738[[#This Row],[الدفعات]]</f>
        <v>32761.5</v>
      </c>
    </row>
    <row r="332" spans="10:14" s="1" customFormat="1" ht="25.2" customHeight="1" x14ac:dyDescent="0.3">
      <c r="J332" s="1">
        <f>0.03*Table11819202310303132353839404148111518202831721263738[[#This Row],[النولون]]</f>
        <v>0</v>
      </c>
      <c r="L332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32" s="1">
        <f>N331+Table11819202310303132353839404148111518202831721263738[[#This Row],[اجمالي الفاتوره]]-Table11819202310303132353839404148111518202831721263738[[#This Row],[الدفعات]]</f>
        <v>32761.5</v>
      </c>
    </row>
    <row r="333" spans="10:14" s="1" customFormat="1" ht="25.2" customHeight="1" x14ac:dyDescent="0.3">
      <c r="J333" s="1">
        <f>0.03*Table11819202310303132353839404148111518202831721263738[[#This Row],[النولون]]</f>
        <v>0</v>
      </c>
      <c r="L333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33" s="1">
        <f>N332+Table11819202310303132353839404148111518202831721263738[[#This Row],[اجمالي الفاتوره]]-Table11819202310303132353839404148111518202831721263738[[#This Row],[الدفعات]]</f>
        <v>32761.5</v>
      </c>
    </row>
    <row r="334" spans="10:14" s="1" customFormat="1" ht="25.2" customHeight="1" x14ac:dyDescent="0.3">
      <c r="J334" s="1">
        <f>0.03*Table11819202310303132353839404148111518202831721263738[[#This Row],[النولون]]</f>
        <v>0</v>
      </c>
      <c r="L334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34" s="1">
        <f>N333+Table11819202310303132353839404148111518202831721263738[[#This Row],[اجمالي الفاتوره]]-Table11819202310303132353839404148111518202831721263738[[#This Row],[الدفعات]]</f>
        <v>32761.5</v>
      </c>
    </row>
    <row r="335" spans="10:14" s="1" customFormat="1" ht="25.2" customHeight="1" x14ac:dyDescent="0.3">
      <c r="J335" s="1">
        <f>0.03*Table11819202310303132353839404148111518202831721263738[[#This Row],[النولون]]</f>
        <v>0</v>
      </c>
      <c r="L335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35" s="1">
        <f>N334+Table11819202310303132353839404148111518202831721263738[[#This Row],[اجمالي الفاتوره]]-Table11819202310303132353839404148111518202831721263738[[#This Row],[الدفعات]]</f>
        <v>32761.5</v>
      </c>
    </row>
    <row r="336" spans="10:14" s="1" customFormat="1" ht="25.2" customHeight="1" x14ac:dyDescent="0.3">
      <c r="J336" s="1">
        <f>0.03*Table11819202310303132353839404148111518202831721263738[[#This Row],[النولون]]</f>
        <v>0</v>
      </c>
      <c r="L336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36" s="1">
        <f>N335+Table11819202310303132353839404148111518202831721263738[[#This Row],[اجمالي الفاتوره]]-Table11819202310303132353839404148111518202831721263738[[#This Row],[الدفعات]]</f>
        <v>32761.5</v>
      </c>
    </row>
    <row r="337" spans="10:14" s="1" customFormat="1" ht="25.2" customHeight="1" x14ac:dyDescent="0.3">
      <c r="J337" s="1">
        <f>0.03*Table11819202310303132353839404148111518202831721263738[[#This Row],[النولون]]</f>
        <v>0</v>
      </c>
      <c r="L337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37" s="1">
        <f>N336+Table11819202310303132353839404148111518202831721263738[[#This Row],[اجمالي الفاتوره]]-Table11819202310303132353839404148111518202831721263738[[#This Row],[الدفعات]]</f>
        <v>32761.5</v>
      </c>
    </row>
    <row r="338" spans="10:14" s="1" customFormat="1" ht="25.2" customHeight="1" x14ac:dyDescent="0.3">
      <c r="J338" s="1">
        <f>0.03*Table11819202310303132353839404148111518202831721263738[[#This Row],[النولون]]</f>
        <v>0</v>
      </c>
      <c r="L338" s="1">
        <f>Table11819202310303132353839404148111518202831721263738[[#This Row],[النولون]]+Table11819202310303132353839404148111518202831721263738[[#This Row],[الايصالات]]-Table11819202310303132353839404148111518202831721263738[[#This Row],[خصم أ ت ص]]+Table11819202310303132353839404148111518202831721263738[[#This Row],[قيمة مضافة]]</f>
        <v>0</v>
      </c>
      <c r="N338" s="1">
        <f>N337+Table11819202310303132353839404148111518202831721263738[[#This Row],[اجمالي الفاتوره]]-Table11819202310303132353839404148111518202831721263738[[#This Row],[الدفعات]]</f>
        <v>32761.5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3BD6-A4D0-47AB-8E4C-C4C94D098E2A}">
  <dimension ref="A1:O338"/>
  <sheetViews>
    <sheetView rightToLeft="1" workbookViewId="0">
      <selection activeCell="C5" sqref="C5"/>
    </sheetView>
  </sheetViews>
  <sheetFormatPr defaultColWidth="9.109375" defaultRowHeight="15.6" x14ac:dyDescent="0.3"/>
  <cols>
    <col min="1" max="1" width="5.44140625" style="6" customWidth="1"/>
    <col min="2" max="2" width="5.44140625" style="1" customWidth="1"/>
    <col min="3" max="3" width="11" style="1" customWidth="1"/>
    <col min="4" max="4" width="15.109375" style="1" customWidth="1"/>
    <col min="5" max="5" width="11.21875" style="1" customWidth="1"/>
    <col min="6" max="6" width="13.33203125" style="1" customWidth="1"/>
    <col min="7" max="7" width="11.88671875" style="1" customWidth="1"/>
    <col min="8" max="8" width="11.6640625" style="1" customWidth="1"/>
    <col min="9" max="9" width="8.33203125" style="1" customWidth="1"/>
    <col min="10" max="10" width="8.21875" style="1" customWidth="1"/>
    <col min="11" max="11" width="10.77734375" style="1" customWidth="1"/>
    <col min="12" max="12" width="12" style="1" customWidth="1"/>
    <col min="13" max="13" width="12.77734375" style="1" customWidth="1"/>
    <col min="14" max="14" width="15.21875" style="1" customWidth="1"/>
    <col min="15" max="16384" width="9.109375" style="1"/>
  </cols>
  <sheetData>
    <row r="1" spans="1:15" ht="25.2" customHeight="1" x14ac:dyDescent="0.3">
      <c r="A1" s="6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25.2" customHeight="1" x14ac:dyDescent="0.3">
      <c r="B2" s="1">
        <v>1</v>
      </c>
      <c r="C2" s="2">
        <v>46201</v>
      </c>
      <c r="D2" s="1" t="s">
        <v>642</v>
      </c>
      <c r="E2" s="1" t="s">
        <v>277</v>
      </c>
      <c r="F2" s="1">
        <v>292758</v>
      </c>
      <c r="G2" s="1" t="s">
        <v>159</v>
      </c>
      <c r="H2" s="1">
        <v>13000</v>
      </c>
      <c r="K2" s="1">
        <f>25*2+560+56.61+132.88+35816.63</f>
        <v>36616.119999999995</v>
      </c>
      <c r="L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49616.119999999995</v>
      </c>
      <c r="N2" s="1">
        <f>Table1181920231030313235383940414811151820283172126373846[[#This Row],[اجمالي الفاتوره]]-Table1181920231030313235383940414811151820283172126373846[[#This Row],[الدفعات]]</f>
        <v>49616.119999999995</v>
      </c>
    </row>
    <row r="3" spans="1:15" ht="25.2" customHeight="1" x14ac:dyDescent="0.3">
      <c r="A3" s="74"/>
      <c r="B3" s="72"/>
      <c r="C3" s="73">
        <v>46201</v>
      </c>
      <c r="D3" s="72"/>
      <c r="E3" s="72"/>
      <c r="F3" s="72"/>
      <c r="G3" s="72"/>
      <c r="H3" s="72"/>
      <c r="I3" s="72"/>
      <c r="J3" s="72"/>
      <c r="K3" s="72"/>
      <c r="L3" s="72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M3" s="72">
        <v>25000</v>
      </c>
      <c r="N3" s="72">
        <f>N2+Table1181920231030313235383940414811151820283172126373846[[#This Row],[اجمالي الفاتوره]]-Table1181920231030313235383940414811151820283172126373846[[#This Row],[الدفعات]]</f>
        <v>24616.119999999995</v>
      </c>
    </row>
    <row r="4" spans="1:15" ht="25.2" customHeight="1" x14ac:dyDescent="0.3">
      <c r="A4" s="42"/>
      <c r="C4" s="2"/>
      <c r="H4" s="95"/>
      <c r="L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4" s="1">
        <f>N3+Table1181920231030313235383940414811151820283172126373846[[#This Row],[اجمالي الفاتوره]]-Table1181920231030313235383940414811151820283172126373846[[#This Row],[الدفعات]]</f>
        <v>24616.119999999995</v>
      </c>
    </row>
    <row r="5" spans="1:15" ht="25.2" customHeight="1" x14ac:dyDescent="0.3">
      <c r="C5" s="2"/>
      <c r="L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5" s="1">
        <f>N4+Table1181920231030313235383940414811151820283172126373846[[#This Row],[اجمالي الفاتوره]]-Table1181920231030313235383940414811151820283172126373846[[#This Row],[الدفعات]]</f>
        <v>24616.119999999995</v>
      </c>
    </row>
    <row r="6" spans="1:15" ht="25.2" customHeight="1" x14ac:dyDescent="0.3">
      <c r="C6" s="2"/>
      <c r="L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6" s="1">
        <f>N5+Table1181920231030313235383940414811151820283172126373846[[#This Row],[اجمالي الفاتوره]]-Table1181920231030313235383940414811151820283172126373846[[#This Row],[الدفعات]]</f>
        <v>24616.119999999995</v>
      </c>
    </row>
    <row r="7" spans="1:15" ht="25.2" customHeight="1" x14ac:dyDescent="0.3">
      <c r="C7" s="2"/>
      <c r="L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7" s="1">
        <f>N6+Table1181920231030313235383940414811151820283172126373846[[#This Row],[اجمالي الفاتوره]]-Table1181920231030313235383940414811151820283172126373846[[#This Row],[الدفعات]]</f>
        <v>24616.119999999995</v>
      </c>
    </row>
    <row r="8" spans="1:15" ht="25.2" customHeight="1" x14ac:dyDescent="0.3">
      <c r="C8" s="2"/>
      <c r="G8" s="20"/>
      <c r="L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8" s="1">
        <f>N7+Table1181920231030313235383940414811151820283172126373846[[#This Row],[اجمالي الفاتوره]]-Table1181920231030313235383940414811151820283172126373846[[#This Row],[الدفعات]]</f>
        <v>24616.119999999995</v>
      </c>
    </row>
    <row r="9" spans="1:15" ht="25.2" customHeight="1" x14ac:dyDescent="0.3">
      <c r="C9" s="2"/>
      <c r="E9" s="20"/>
      <c r="F9" s="20"/>
      <c r="L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9" s="1">
        <f>N8+Table1181920231030313235383940414811151820283172126373846[[#This Row],[اجمالي الفاتوره]]-Table1181920231030313235383940414811151820283172126373846[[#This Row],[الدفعات]]</f>
        <v>24616.119999999995</v>
      </c>
    </row>
    <row r="10" spans="1:15" ht="25.2" customHeight="1" x14ac:dyDescent="0.3">
      <c r="C10" s="2"/>
      <c r="F10" s="20"/>
      <c r="L1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0" s="1">
        <f>N9+Table1181920231030313235383940414811151820283172126373846[[#This Row],[اجمالي الفاتوره]]-Table1181920231030313235383940414811151820283172126373846[[#This Row],[الدفعات]]</f>
        <v>24616.119999999995</v>
      </c>
    </row>
    <row r="11" spans="1:15" ht="25.2" customHeight="1" x14ac:dyDescent="0.3">
      <c r="C11" s="2"/>
      <c r="F11" s="20"/>
      <c r="L1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1" s="1">
        <f>N10+Table1181920231030313235383940414811151820283172126373846[[#This Row],[اجمالي الفاتوره]]-Table1181920231030313235383940414811151820283172126373846[[#This Row],[الدفعات]]</f>
        <v>24616.119999999995</v>
      </c>
    </row>
    <row r="12" spans="1:15" ht="25.2" customHeight="1" x14ac:dyDescent="0.3">
      <c r="C12" s="2"/>
      <c r="L1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2" s="1">
        <f>N11+Table1181920231030313235383940414811151820283172126373846[[#This Row],[اجمالي الفاتوره]]-Table1181920231030313235383940414811151820283172126373846[[#This Row],[الدفعات]]</f>
        <v>24616.119999999995</v>
      </c>
      <c r="O12" s="1">
        <f>SUM(L:L)-SUM(M:M)</f>
        <v>24616.119999999995</v>
      </c>
    </row>
    <row r="13" spans="1:15" ht="25.2" customHeight="1" x14ac:dyDescent="0.3">
      <c r="C13" s="2"/>
      <c r="L1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3" s="1">
        <f>N12+Table1181920231030313235383940414811151820283172126373846[[#This Row],[اجمالي الفاتوره]]-Table1181920231030313235383940414811151820283172126373846[[#This Row],[الدفعات]]</f>
        <v>24616.119999999995</v>
      </c>
    </row>
    <row r="14" spans="1:15" ht="25.2" customHeight="1" x14ac:dyDescent="0.3">
      <c r="C14" s="2"/>
      <c r="L1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4" s="1">
        <f>N13+Table1181920231030313235383940414811151820283172126373846[[#This Row],[اجمالي الفاتوره]]-Table1181920231030313235383940414811151820283172126373846[[#This Row],[الدفعات]]</f>
        <v>24616.119999999995</v>
      </c>
    </row>
    <row r="15" spans="1:15" ht="25.2" customHeight="1" x14ac:dyDescent="0.3">
      <c r="C15" s="2"/>
      <c r="L1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5" s="1">
        <f>N14+Table1181920231030313235383940414811151820283172126373846[[#This Row],[اجمالي الفاتوره]]-Table1181920231030313235383940414811151820283172126373846[[#This Row],[الدفعات]]</f>
        <v>24616.119999999995</v>
      </c>
    </row>
    <row r="16" spans="1:15" ht="25.2" customHeight="1" x14ac:dyDescent="0.3">
      <c r="C16" s="2"/>
      <c r="L1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6" s="1">
        <f>N15+Table1181920231030313235383940414811151820283172126373846[[#This Row],[اجمالي الفاتوره]]-Table1181920231030313235383940414811151820283172126373846[[#This Row],[الدفعات]]</f>
        <v>24616.119999999995</v>
      </c>
    </row>
    <row r="17" spans="3:14" s="1" customFormat="1" ht="25.2" customHeight="1" x14ac:dyDescent="0.3">
      <c r="C17" s="2"/>
      <c r="L1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7" s="1">
        <f>N16+Table1181920231030313235383940414811151820283172126373846[[#This Row],[اجمالي الفاتوره]]-Table1181920231030313235383940414811151820283172126373846[[#This Row],[الدفعات]]</f>
        <v>24616.119999999995</v>
      </c>
    </row>
    <row r="18" spans="3:14" s="1" customFormat="1" ht="25.2" customHeight="1" x14ac:dyDescent="0.3">
      <c r="C18" s="2"/>
      <c r="L1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8" s="1">
        <f>N17+Table1181920231030313235383940414811151820283172126373846[[#This Row],[اجمالي الفاتوره]]-Table1181920231030313235383940414811151820283172126373846[[#This Row],[الدفعات]]</f>
        <v>24616.119999999995</v>
      </c>
    </row>
    <row r="19" spans="3:14" s="1" customFormat="1" ht="25.2" customHeight="1" x14ac:dyDescent="0.3">
      <c r="C19" s="2"/>
      <c r="L1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9" s="1">
        <f>N18+Table1181920231030313235383940414811151820283172126373846[[#This Row],[اجمالي الفاتوره]]-Table1181920231030313235383940414811151820283172126373846[[#This Row],[الدفعات]]</f>
        <v>24616.119999999995</v>
      </c>
    </row>
    <row r="20" spans="3:14" s="1" customFormat="1" ht="25.2" customHeight="1" x14ac:dyDescent="0.3">
      <c r="C20" s="2"/>
      <c r="L2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0" s="1">
        <f>N19+Table1181920231030313235383940414811151820283172126373846[[#This Row],[اجمالي الفاتوره]]-Table1181920231030313235383940414811151820283172126373846[[#This Row],[الدفعات]]</f>
        <v>24616.119999999995</v>
      </c>
    </row>
    <row r="21" spans="3:14" s="1" customFormat="1" ht="25.2" customHeight="1" x14ac:dyDescent="0.3">
      <c r="C21" s="2"/>
      <c r="L2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1" s="1">
        <f>N20+Table1181920231030313235383940414811151820283172126373846[[#This Row],[اجمالي الفاتوره]]-Table1181920231030313235383940414811151820283172126373846[[#This Row],[الدفعات]]</f>
        <v>24616.119999999995</v>
      </c>
    </row>
    <row r="22" spans="3:14" s="1" customFormat="1" ht="25.2" customHeight="1" x14ac:dyDescent="0.3">
      <c r="C22" s="2"/>
      <c r="L2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2" s="1">
        <f>N21+Table1181920231030313235383940414811151820283172126373846[[#This Row],[اجمالي الفاتوره]]-Table1181920231030313235383940414811151820283172126373846[[#This Row],[الدفعات]]</f>
        <v>24616.119999999995</v>
      </c>
    </row>
    <row r="23" spans="3:14" s="1" customFormat="1" ht="25.2" customHeight="1" x14ac:dyDescent="0.3">
      <c r="C23" s="2"/>
      <c r="L2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3" s="1">
        <f>N22+Table1181920231030313235383940414811151820283172126373846[[#This Row],[اجمالي الفاتوره]]-Table1181920231030313235383940414811151820283172126373846[[#This Row],[الدفعات]]</f>
        <v>24616.119999999995</v>
      </c>
    </row>
    <row r="24" spans="3:14" s="1" customFormat="1" ht="25.2" customHeight="1" x14ac:dyDescent="0.3">
      <c r="L2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4" s="1">
        <f>N23+Table1181920231030313235383940414811151820283172126373846[[#This Row],[اجمالي الفاتوره]]-Table1181920231030313235383940414811151820283172126373846[[#This Row],[الدفعات]]</f>
        <v>24616.119999999995</v>
      </c>
    </row>
    <row r="25" spans="3:14" s="1" customFormat="1" ht="25.2" customHeight="1" x14ac:dyDescent="0.3">
      <c r="L2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5" s="1">
        <f>N24+Table1181920231030313235383940414811151820283172126373846[[#This Row],[اجمالي الفاتوره]]-Table1181920231030313235383940414811151820283172126373846[[#This Row],[الدفعات]]</f>
        <v>24616.119999999995</v>
      </c>
    </row>
    <row r="26" spans="3:14" s="1" customFormat="1" ht="25.2" customHeight="1" x14ac:dyDescent="0.3">
      <c r="C26" s="2"/>
      <c r="L2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6" s="1">
        <f>N25+Table1181920231030313235383940414811151820283172126373846[[#This Row],[اجمالي الفاتوره]]-Table1181920231030313235383940414811151820283172126373846[[#This Row],[الدفعات]]</f>
        <v>24616.119999999995</v>
      </c>
    </row>
    <row r="27" spans="3:14" s="1" customFormat="1" ht="25.2" customHeight="1" x14ac:dyDescent="0.3">
      <c r="C27" s="2"/>
      <c r="L2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7" s="1">
        <f>N26+Table1181920231030313235383940414811151820283172126373846[[#This Row],[اجمالي الفاتوره]]-Table1181920231030313235383940414811151820283172126373846[[#This Row],[الدفعات]]</f>
        <v>24616.119999999995</v>
      </c>
    </row>
    <row r="28" spans="3:14" s="1" customFormat="1" ht="25.2" customHeight="1" x14ac:dyDescent="0.3">
      <c r="C28" s="2"/>
      <c r="L2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8" s="1">
        <f>N27+Table1181920231030313235383940414811151820283172126373846[[#This Row],[اجمالي الفاتوره]]-Table1181920231030313235383940414811151820283172126373846[[#This Row],[الدفعات]]</f>
        <v>24616.119999999995</v>
      </c>
    </row>
    <row r="29" spans="3:14" s="1" customFormat="1" ht="25.2" customHeight="1" x14ac:dyDescent="0.3">
      <c r="C29" s="2"/>
      <c r="L2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9" s="1">
        <f>N28+Table1181920231030313235383940414811151820283172126373846[[#This Row],[اجمالي الفاتوره]]-Table1181920231030313235383940414811151820283172126373846[[#This Row],[الدفعات]]</f>
        <v>24616.119999999995</v>
      </c>
    </row>
    <row r="30" spans="3:14" s="1" customFormat="1" ht="25.2" customHeight="1" x14ac:dyDescent="0.3">
      <c r="L3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0" s="1">
        <f>N29+Table1181920231030313235383940414811151820283172126373846[[#This Row],[اجمالي الفاتوره]]-Table1181920231030313235383940414811151820283172126373846[[#This Row],[الدفعات]]</f>
        <v>24616.119999999995</v>
      </c>
    </row>
    <row r="31" spans="3:14" s="1" customFormat="1" ht="25.2" customHeight="1" x14ac:dyDescent="0.3">
      <c r="C31" s="2"/>
      <c r="L3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1" s="1">
        <f>N30+Table1181920231030313235383940414811151820283172126373846[[#This Row],[اجمالي الفاتوره]]-Table1181920231030313235383940414811151820283172126373846[[#This Row],[الدفعات]]</f>
        <v>24616.119999999995</v>
      </c>
    </row>
    <row r="32" spans="3:14" s="1" customFormat="1" ht="25.2" customHeight="1" x14ac:dyDescent="0.3">
      <c r="L3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2" s="1">
        <f>N31+Table1181920231030313235383940414811151820283172126373846[[#This Row],[اجمالي الفاتوره]]-Table1181920231030313235383940414811151820283172126373846[[#This Row],[الدفعات]]</f>
        <v>24616.119999999995</v>
      </c>
    </row>
    <row r="33" spans="3:14" s="1" customFormat="1" ht="25.2" customHeight="1" x14ac:dyDescent="0.3">
      <c r="L3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3" s="1">
        <f>N32+Table1181920231030313235383940414811151820283172126373846[[#This Row],[اجمالي الفاتوره]]-Table1181920231030313235383940414811151820283172126373846[[#This Row],[الدفعات]]</f>
        <v>24616.119999999995</v>
      </c>
    </row>
    <row r="34" spans="3:14" s="1" customFormat="1" ht="25.2" customHeight="1" x14ac:dyDescent="0.3">
      <c r="L3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4" s="1">
        <f>N33+Table1181920231030313235383940414811151820283172126373846[[#This Row],[اجمالي الفاتوره]]-Table1181920231030313235383940414811151820283172126373846[[#This Row],[الدفعات]]</f>
        <v>24616.119999999995</v>
      </c>
    </row>
    <row r="35" spans="3:14" s="1" customFormat="1" ht="25.2" customHeight="1" x14ac:dyDescent="0.3">
      <c r="C35" s="2"/>
      <c r="D35" s="2"/>
      <c r="L3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5" s="1">
        <f>N34+Table1181920231030313235383940414811151820283172126373846[[#This Row],[اجمالي الفاتوره]]-Table1181920231030313235383940414811151820283172126373846[[#This Row],[الدفعات]]</f>
        <v>24616.119999999995</v>
      </c>
    </row>
    <row r="36" spans="3:14" s="1" customFormat="1" ht="25.2" customHeight="1" x14ac:dyDescent="0.3">
      <c r="L3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6" s="1">
        <f>N35+Table1181920231030313235383940414811151820283172126373846[[#This Row],[اجمالي الفاتوره]]-Table1181920231030313235383940414811151820283172126373846[[#This Row],[الدفعات]]</f>
        <v>24616.119999999995</v>
      </c>
    </row>
    <row r="37" spans="3:14" s="1" customFormat="1" ht="25.2" customHeight="1" x14ac:dyDescent="0.3">
      <c r="L3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7" s="1">
        <f>N36+Table1181920231030313235383940414811151820283172126373846[[#This Row],[اجمالي الفاتوره]]-Table1181920231030313235383940414811151820283172126373846[[#This Row],[الدفعات]]</f>
        <v>24616.119999999995</v>
      </c>
    </row>
    <row r="38" spans="3:14" s="1" customFormat="1" ht="25.2" customHeight="1" x14ac:dyDescent="0.3">
      <c r="L3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8" s="1">
        <f>N37+Table1181920231030313235383940414811151820283172126373846[[#This Row],[اجمالي الفاتوره]]-Table1181920231030313235383940414811151820283172126373846[[#This Row],[الدفعات]]</f>
        <v>24616.119999999995</v>
      </c>
    </row>
    <row r="39" spans="3:14" s="1" customFormat="1" ht="25.2" customHeight="1" x14ac:dyDescent="0.3">
      <c r="L3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9" s="1">
        <f>N38+Table1181920231030313235383940414811151820283172126373846[[#This Row],[اجمالي الفاتوره]]-Table1181920231030313235383940414811151820283172126373846[[#This Row],[الدفعات]]</f>
        <v>24616.119999999995</v>
      </c>
    </row>
    <row r="40" spans="3:14" s="1" customFormat="1" ht="25.2" customHeight="1" x14ac:dyDescent="0.3">
      <c r="L4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40" s="1">
        <f>N39+Table1181920231030313235383940414811151820283172126373846[[#This Row],[اجمالي الفاتوره]]-Table1181920231030313235383940414811151820283172126373846[[#This Row],[الدفعات]]</f>
        <v>24616.119999999995</v>
      </c>
    </row>
    <row r="41" spans="3:14" s="1" customFormat="1" ht="25.2" customHeight="1" x14ac:dyDescent="0.3">
      <c r="L4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41" s="1">
        <f>N40+Table1181920231030313235383940414811151820283172126373846[[#This Row],[اجمالي الفاتوره]]-Table1181920231030313235383940414811151820283172126373846[[#This Row],[الدفعات]]</f>
        <v>24616.119999999995</v>
      </c>
    </row>
    <row r="42" spans="3:14" s="1" customFormat="1" ht="25.2" customHeight="1" x14ac:dyDescent="0.3">
      <c r="L4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42" s="1">
        <f>N41+Table1181920231030313235383940414811151820283172126373846[[#This Row],[اجمالي الفاتوره]]-Table1181920231030313235383940414811151820283172126373846[[#This Row],[الدفعات]]</f>
        <v>24616.119999999995</v>
      </c>
    </row>
    <row r="43" spans="3:14" s="1" customFormat="1" ht="25.2" customHeight="1" x14ac:dyDescent="0.3">
      <c r="L4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43" s="1">
        <f>N42+Table1181920231030313235383940414811151820283172126373846[[#This Row],[اجمالي الفاتوره]]-Table1181920231030313235383940414811151820283172126373846[[#This Row],[الدفعات]]</f>
        <v>24616.119999999995</v>
      </c>
    </row>
    <row r="44" spans="3:14" s="1" customFormat="1" ht="25.2" customHeight="1" x14ac:dyDescent="0.3">
      <c r="L4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44" s="1">
        <f>N43+Table1181920231030313235383940414811151820283172126373846[[#This Row],[اجمالي الفاتوره]]-Table1181920231030313235383940414811151820283172126373846[[#This Row],[الدفعات]]</f>
        <v>24616.119999999995</v>
      </c>
    </row>
    <row r="45" spans="3:14" s="1" customFormat="1" ht="25.2" customHeight="1" x14ac:dyDescent="0.3">
      <c r="L4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45" s="1">
        <f>N44+Table1181920231030313235383940414811151820283172126373846[[#This Row],[اجمالي الفاتوره]]-Table1181920231030313235383940414811151820283172126373846[[#This Row],[الدفعات]]</f>
        <v>24616.119999999995</v>
      </c>
    </row>
    <row r="46" spans="3:14" s="1" customFormat="1" ht="25.2" customHeight="1" x14ac:dyDescent="0.3">
      <c r="L4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46" s="1">
        <f>N45+Table1181920231030313235383940414811151820283172126373846[[#This Row],[اجمالي الفاتوره]]-Table1181920231030313235383940414811151820283172126373846[[#This Row],[الدفعات]]</f>
        <v>24616.119999999995</v>
      </c>
    </row>
    <row r="47" spans="3:14" s="1" customFormat="1" ht="25.2" customHeight="1" x14ac:dyDescent="0.3">
      <c r="L4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47" s="1">
        <f>N46+Table1181920231030313235383940414811151820283172126373846[[#This Row],[اجمالي الفاتوره]]-Table1181920231030313235383940414811151820283172126373846[[#This Row],[الدفعات]]</f>
        <v>24616.119999999995</v>
      </c>
    </row>
    <row r="48" spans="3:14" s="1" customFormat="1" ht="25.2" customHeight="1" x14ac:dyDescent="0.3">
      <c r="L4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48" s="1">
        <f>N47+Table1181920231030313235383940414811151820283172126373846[[#This Row],[اجمالي الفاتوره]]-Table1181920231030313235383940414811151820283172126373846[[#This Row],[الدفعات]]</f>
        <v>24616.119999999995</v>
      </c>
    </row>
    <row r="49" spans="12:14" s="1" customFormat="1" ht="25.2" customHeight="1" x14ac:dyDescent="0.3">
      <c r="L4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49" s="1">
        <f>N48+Table1181920231030313235383940414811151820283172126373846[[#This Row],[اجمالي الفاتوره]]-Table1181920231030313235383940414811151820283172126373846[[#This Row],[الدفعات]]</f>
        <v>24616.119999999995</v>
      </c>
    </row>
    <row r="50" spans="12:14" s="1" customFormat="1" ht="25.2" customHeight="1" x14ac:dyDescent="0.3">
      <c r="L5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50" s="1">
        <f>N49+Table1181920231030313235383940414811151820283172126373846[[#This Row],[اجمالي الفاتوره]]-Table1181920231030313235383940414811151820283172126373846[[#This Row],[الدفعات]]</f>
        <v>24616.119999999995</v>
      </c>
    </row>
    <row r="51" spans="12:14" s="1" customFormat="1" ht="25.2" customHeight="1" x14ac:dyDescent="0.3">
      <c r="L5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51" s="1">
        <f>N50+Table1181920231030313235383940414811151820283172126373846[[#This Row],[اجمالي الفاتوره]]-Table1181920231030313235383940414811151820283172126373846[[#This Row],[الدفعات]]</f>
        <v>24616.119999999995</v>
      </c>
    </row>
    <row r="52" spans="12:14" s="1" customFormat="1" ht="25.2" customHeight="1" x14ac:dyDescent="0.3">
      <c r="L5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52" s="1">
        <f>N51+Table1181920231030313235383940414811151820283172126373846[[#This Row],[اجمالي الفاتوره]]-Table1181920231030313235383940414811151820283172126373846[[#This Row],[الدفعات]]</f>
        <v>24616.119999999995</v>
      </c>
    </row>
    <row r="53" spans="12:14" s="1" customFormat="1" ht="25.2" customHeight="1" x14ac:dyDescent="0.3">
      <c r="L5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53" s="1">
        <f>N52+Table1181920231030313235383940414811151820283172126373846[[#This Row],[اجمالي الفاتوره]]-Table1181920231030313235383940414811151820283172126373846[[#This Row],[الدفعات]]</f>
        <v>24616.119999999995</v>
      </c>
    </row>
    <row r="54" spans="12:14" s="1" customFormat="1" ht="25.2" customHeight="1" x14ac:dyDescent="0.3">
      <c r="L5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54" s="1">
        <f>N53+Table1181920231030313235383940414811151820283172126373846[[#This Row],[اجمالي الفاتوره]]-Table1181920231030313235383940414811151820283172126373846[[#This Row],[الدفعات]]</f>
        <v>24616.119999999995</v>
      </c>
    </row>
    <row r="55" spans="12:14" s="1" customFormat="1" ht="25.2" customHeight="1" x14ac:dyDescent="0.3">
      <c r="L5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55" s="1">
        <f>N54+Table1181920231030313235383940414811151820283172126373846[[#This Row],[اجمالي الفاتوره]]-Table1181920231030313235383940414811151820283172126373846[[#This Row],[الدفعات]]</f>
        <v>24616.119999999995</v>
      </c>
    </row>
    <row r="56" spans="12:14" s="1" customFormat="1" ht="25.2" customHeight="1" x14ac:dyDescent="0.3">
      <c r="L5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56" s="1">
        <f>N55+Table1181920231030313235383940414811151820283172126373846[[#This Row],[اجمالي الفاتوره]]-Table1181920231030313235383940414811151820283172126373846[[#This Row],[الدفعات]]</f>
        <v>24616.119999999995</v>
      </c>
    </row>
    <row r="57" spans="12:14" s="1" customFormat="1" ht="25.2" customHeight="1" x14ac:dyDescent="0.3">
      <c r="L5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57" s="1">
        <f>N56+Table1181920231030313235383940414811151820283172126373846[[#This Row],[اجمالي الفاتوره]]-Table1181920231030313235383940414811151820283172126373846[[#This Row],[الدفعات]]</f>
        <v>24616.119999999995</v>
      </c>
    </row>
    <row r="58" spans="12:14" s="1" customFormat="1" ht="25.2" customHeight="1" x14ac:dyDescent="0.3">
      <c r="L5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58" s="1">
        <f>N57+Table1181920231030313235383940414811151820283172126373846[[#This Row],[اجمالي الفاتوره]]-Table1181920231030313235383940414811151820283172126373846[[#This Row],[الدفعات]]</f>
        <v>24616.119999999995</v>
      </c>
    </row>
    <row r="59" spans="12:14" s="1" customFormat="1" ht="25.2" customHeight="1" x14ac:dyDescent="0.3">
      <c r="L5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59" s="1">
        <f>N58+Table1181920231030313235383940414811151820283172126373846[[#This Row],[اجمالي الفاتوره]]-Table1181920231030313235383940414811151820283172126373846[[#This Row],[الدفعات]]</f>
        <v>24616.119999999995</v>
      </c>
    </row>
    <row r="60" spans="12:14" s="1" customFormat="1" ht="25.2" customHeight="1" x14ac:dyDescent="0.3">
      <c r="L6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60" s="1">
        <f>N59+Table1181920231030313235383940414811151820283172126373846[[#This Row],[اجمالي الفاتوره]]-Table1181920231030313235383940414811151820283172126373846[[#This Row],[الدفعات]]</f>
        <v>24616.119999999995</v>
      </c>
    </row>
    <row r="61" spans="12:14" s="1" customFormat="1" ht="25.2" customHeight="1" x14ac:dyDescent="0.3">
      <c r="L6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61" s="1">
        <f>N60+Table1181920231030313235383940414811151820283172126373846[[#This Row],[اجمالي الفاتوره]]-Table1181920231030313235383940414811151820283172126373846[[#This Row],[الدفعات]]</f>
        <v>24616.119999999995</v>
      </c>
    </row>
    <row r="62" spans="12:14" s="1" customFormat="1" ht="25.2" customHeight="1" x14ac:dyDescent="0.3">
      <c r="L6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62" s="1">
        <f>N61+Table1181920231030313235383940414811151820283172126373846[[#This Row],[اجمالي الفاتوره]]-Table1181920231030313235383940414811151820283172126373846[[#This Row],[الدفعات]]</f>
        <v>24616.119999999995</v>
      </c>
    </row>
    <row r="63" spans="12:14" s="1" customFormat="1" ht="25.2" customHeight="1" x14ac:dyDescent="0.3">
      <c r="L6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63" s="1">
        <f>N62+Table1181920231030313235383940414811151820283172126373846[[#This Row],[اجمالي الفاتوره]]-Table1181920231030313235383940414811151820283172126373846[[#This Row],[الدفعات]]</f>
        <v>24616.119999999995</v>
      </c>
    </row>
    <row r="64" spans="12:14" s="1" customFormat="1" ht="25.2" customHeight="1" x14ac:dyDescent="0.3">
      <c r="L6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64" s="1">
        <f>N63+Table1181920231030313235383940414811151820283172126373846[[#This Row],[اجمالي الفاتوره]]-Table1181920231030313235383940414811151820283172126373846[[#This Row],[الدفعات]]</f>
        <v>24616.119999999995</v>
      </c>
    </row>
    <row r="65" spans="12:14" s="1" customFormat="1" ht="25.2" customHeight="1" x14ac:dyDescent="0.3">
      <c r="L6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65" s="1">
        <f>N64+Table1181920231030313235383940414811151820283172126373846[[#This Row],[اجمالي الفاتوره]]-Table1181920231030313235383940414811151820283172126373846[[#This Row],[الدفعات]]</f>
        <v>24616.119999999995</v>
      </c>
    </row>
    <row r="66" spans="12:14" s="1" customFormat="1" ht="25.2" customHeight="1" x14ac:dyDescent="0.3">
      <c r="L6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66" s="1">
        <f>N65+Table1181920231030313235383940414811151820283172126373846[[#This Row],[اجمالي الفاتوره]]-Table1181920231030313235383940414811151820283172126373846[[#This Row],[الدفعات]]</f>
        <v>24616.119999999995</v>
      </c>
    </row>
    <row r="67" spans="12:14" s="1" customFormat="1" ht="25.2" customHeight="1" x14ac:dyDescent="0.3">
      <c r="L6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67" s="1">
        <f>N66+Table1181920231030313235383940414811151820283172126373846[[#This Row],[اجمالي الفاتوره]]-Table1181920231030313235383940414811151820283172126373846[[#This Row],[الدفعات]]</f>
        <v>24616.119999999995</v>
      </c>
    </row>
    <row r="68" spans="12:14" s="1" customFormat="1" ht="25.2" customHeight="1" x14ac:dyDescent="0.3">
      <c r="L6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68" s="1">
        <f>N67+Table1181920231030313235383940414811151820283172126373846[[#This Row],[اجمالي الفاتوره]]-Table1181920231030313235383940414811151820283172126373846[[#This Row],[الدفعات]]</f>
        <v>24616.119999999995</v>
      </c>
    </row>
    <row r="69" spans="12:14" s="1" customFormat="1" ht="25.2" customHeight="1" x14ac:dyDescent="0.3">
      <c r="L6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69" s="1">
        <f>N68+Table1181920231030313235383940414811151820283172126373846[[#This Row],[اجمالي الفاتوره]]-Table1181920231030313235383940414811151820283172126373846[[#This Row],[الدفعات]]</f>
        <v>24616.119999999995</v>
      </c>
    </row>
    <row r="70" spans="12:14" s="1" customFormat="1" ht="25.2" customHeight="1" x14ac:dyDescent="0.3">
      <c r="L7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70" s="1">
        <f>N69+Table1181920231030313235383940414811151820283172126373846[[#This Row],[اجمالي الفاتوره]]-Table1181920231030313235383940414811151820283172126373846[[#This Row],[الدفعات]]</f>
        <v>24616.119999999995</v>
      </c>
    </row>
    <row r="71" spans="12:14" s="1" customFormat="1" ht="25.2" customHeight="1" x14ac:dyDescent="0.3">
      <c r="L7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71" s="1">
        <f>N70+Table1181920231030313235383940414811151820283172126373846[[#This Row],[اجمالي الفاتوره]]-Table1181920231030313235383940414811151820283172126373846[[#This Row],[الدفعات]]</f>
        <v>24616.119999999995</v>
      </c>
    </row>
    <row r="72" spans="12:14" s="1" customFormat="1" ht="25.2" customHeight="1" x14ac:dyDescent="0.3">
      <c r="L7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72" s="1">
        <f>N71+Table1181920231030313235383940414811151820283172126373846[[#This Row],[اجمالي الفاتوره]]-Table1181920231030313235383940414811151820283172126373846[[#This Row],[الدفعات]]</f>
        <v>24616.119999999995</v>
      </c>
    </row>
    <row r="73" spans="12:14" s="1" customFormat="1" ht="25.2" customHeight="1" x14ac:dyDescent="0.3">
      <c r="L7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73" s="1">
        <f>N72+Table1181920231030313235383940414811151820283172126373846[[#This Row],[اجمالي الفاتوره]]-Table1181920231030313235383940414811151820283172126373846[[#This Row],[الدفعات]]</f>
        <v>24616.119999999995</v>
      </c>
    </row>
    <row r="74" spans="12:14" s="1" customFormat="1" ht="25.2" customHeight="1" x14ac:dyDescent="0.3">
      <c r="L7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74" s="1">
        <f>N73+Table1181920231030313235383940414811151820283172126373846[[#This Row],[اجمالي الفاتوره]]-Table1181920231030313235383940414811151820283172126373846[[#This Row],[الدفعات]]</f>
        <v>24616.119999999995</v>
      </c>
    </row>
    <row r="75" spans="12:14" s="1" customFormat="1" ht="25.2" customHeight="1" x14ac:dyDescent="0.3">
      <c r="L7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75" s="1">
        <f>N74+Table1181920231030313235383940414811151820283172126373846[[#This Row],[اجمالي الفاتوره]]-Table1181920231030313235383940414811151820283172126373846[[#This Row],[الدفعات]]</f>
        <v>24616.119999999995</v>
      </c>
    </row>
    <row r="76" spans="12:14" s="1" customFormat="1" ht="25.2" customHeight="1" x14ac:dyDescent="0.3">
      <c r="L7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76" s="1">
        <f>N75+Table1181920231030313235383940414811151820283172126373846[[#This Row],[اجمالي الفاتوره]]-Table1181920231030313235383940414811151820283172126373846[[#This Row],[الدفعات]]</f>
        <v>24616.119999999995</v>
      </c>
    </row>
    <row r="77" spans="12:14" s="1" customFormat="1" ht="25.2" customHeight="1" x14ac:dyDescent="0.3">
      <c r="L7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77" s="1">
        <f>N76+Table1181920231030313235383940414811151820283172126373846[[#This Row],[اجمالي الفاتوره]]-Table1181920231030313235383940414811151820283172126373846[[#This Row],[الدفعات]]</f>
        <v>24616.119999999995</v>
      </c>
    </row>
    <row r="78" spans="12:14" s="1" customFormat="1" ht="25.2" customHeight="1" x14ac:dyDescent="0.3">
      <c r="L7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78" s="1">
        <f>N77+Table1181920231030313235383940414811151820283172126373846[[#This Row],[اجمالي الفاتوره]]-Table1181920231030313235383940414811151820283172126373846[[#This Row],[الدفعات]]</f>
        <v>24616.119999999995</v>
      </c>
    </row>
    <row r="79" spans="12:14" s="1" customFormat="1" ht="25.2" customHeight="1" x14ac:dyDescent="0.3">
      <c r="L7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79" s="1">
        <f>N78+Table1181920231030313235383940414811151820283172126373846[[#This Row],[اجمالي الفاتوره]]-Table1181920231030313235383940414811151820283172126373846[[#This Row],[الدفعات]]</f>
        <v>24616.119999999995</v>
      </c>
    </row>
    <row r="80" spans="12:14" s="1" customFormat="1" ht="25.2" customHeight="1" x14ac:dyDescent="0.3">
      <c r="L8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80" s="1">
        <f>N79+Table1181920231030313235383940414811151820283172126373846[[#This Row],[اجمالي الفاتوره]]-Table1181920231030313235383940414811151820283172126373846[[#This Row],[الدفعات]]</f>
        <v>24616.119999999995</v>
      </c>
    </row>
    <row r="81" spans="12:14" s="1" customFormat="1" ht="25.2" customHeight="1" x14ac:dyDescent="0.3">
      <c r="L8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81" s="1">
        <f>N80+Table1181920231030313235383940414811151820283172126373846[[#This Row],[اجمالي الفاتوره]]-Table1181920231030313235383940414811151820283172126373846[[#This Row],[الدفعات]]</f>
        <v>24616.119999999995</v>
      </c>
    </row>
    <row r="82" spans="12:14" s="1" customFormat="1" ht="25.2" customHeight="1" x14ac:dyDescent="0.3">
      <c r="L8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82" s="1">
        <f>N81+Table1181920231030313235383940414811151820283172126373846[[#This Row],[اجمالي الفاتوره]]-Table1181920231030313235383940414811151820283172126373846[[#This Row],[الدفعات]]</f>
        <v>24616.119999999995</v>
      </c>
    </row>
    <row r="83" spans="12:14" s="1" customFormat="1" ht="25.2" customHeight="1" x14ac:dyDescent="0.3">
      <c r="L8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83" s="1">
        <f>N82+Table1181920231030313235383940414811151820283172126373846[[#This Row],[اجمالي الفاتوره]]-Table1181920231030313235383940414811151820283172126373846[[#This Row],[الدفعات]]</f>
        <v>24616.119999999995</v>
      </c>
    </row>
    <row r="84" spans="12:14" s="1" customFormat="1" ht="25.2" customHeight="1" x14ac:dyDescent="0.3">
      <c r="L8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84" s="1">
        <f>N83+Table1181920231030313235383940414811151820283172126373846[[#This Row],[اجمالي الفاتوره]]-Table1181920231030313235383940414811151820283172126373846[[#This Row],[الدفعات]]</f>
        <v>24616.119999999995</v>
      </c>
    </row>
    <row r="85" spans="12:14" s="1" customFormat="1" ht="25.2" customHeight="1" x14ac:dyDescent="0.3">
      <c r="L8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85" s="1">
        <f>N84+Table1181920231030313235383940414811151820283172126373846[[#This Row],[اجمالي الفاتوره]]-Table1181920231030313235383940414811151820283172126373846[[#This Row],[الدفعات]]</f>
        <v>24616.119999999995</v>
      </c>
    </row>
    <row r="86" spans="12:14" s="1" customFormat="1" ht="25.2" customHeight="1" x14ac:dyDescent="0.3">
      <c r="L8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86" s="1">
        <f>N85+Table1181920231030313235383940414811151820283172126373846[[#This Row],[اجمالي الفاتوره]]-Table1181920231030313235383940414811151820283172126373846[[#This Row],[الدفعات]]</f>
        <v>24616.119999999995</v>
      </c>
    </row>
    <row r="87" spans="12:14" s="1" customFormat="1" ht="25.2" customHeight="1" x14ac:dyDescent="0.3">
      <c r="L8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87" s="1">
        <f>N86+Table1181920231030313235383940414811151820283172126373846[[#This Row],[اجمالي الفاتوره]]-Table1181920231030313235383940414811151820283172126373846[[#This Row],[الدفعات]]</f>
        <v>24616.119999999995</v>
      </c>
    </row>
    <row r="88" spans="12:14" s="1" customFormat="1" ht="25.2" customHeight="1" x14ac:dyDescent="0.3">
      <c r="L8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88" s="1">
        <f>N87+Table1181920231030313235383940414811151820283172126373846[[#This Row],[اجمالي الفاتوره]]-Table1181920231030313235383940414811151820283172126373846[[#This Row],[الدفعات]]</f>
        <v>24616.119999999995</v>
      </c>
    </row>
    <row r="89" spans="12:14" s="1" customFormat="1" ht="25.2" customHeight="1" x14ac:dyDescent="0.3">
      <c r="L8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89" s="1">
        <f>N88+Table1181920231030313235383940414811151820283172126373846[[#This Row],[اجمالي الفاتوره]]-Table1181920231030313235383940414811151820283172126373846[[#This Row],[الدفعات]]</f>
        <v>24616.119999999995</v>
      </c>
    </row>
    <row r="90" spans="12:14" s="1" customFormat="1" ht="25.2" customHeight="1" x14ac:dyDescent="0.3">
      <c r="L9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90" s="1">
        <f>N89+Table1181920231030313235383940414811151820283172126373846[[#This Row],[اجمالي الفاتوره]]-Table1181920231030313235383940414811151820283172126373846[[#This Row],[الدفعات]]</f>
        <v>24616.119999999995</v>
      </c>
    </row>
    <row r="91" spans="12:14" s="1" customFormat="1" ht="25.2" customHeight="1" x14ac:dyDescent="0.3">
      <c r="L9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91" s="1">
        <f>N90+Table1181920231030313235383940414811151820283172126373846[[#This Row],[اجمالي الفاتوره]]-Table1181920231030313235383940414811151820283172126373846[[#This Row],[الدفعات]]</f>
        <v>24616.119999999995</v>
      </c>
    </row>
    <row r="92" spans="12:14" s="1" customFormat="1" ht="25.2" customHeight="1" x14ac:dyDescent="0.3">
      <c r="L9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92" s="1">
        <f>N91+Table1181920231030313235383940414811151820283172126373846[[#This Row],[اجمالي الفاتوره]]-Table1181920231030313235383940414811151820283172126373846[[#This Row],[الدفعات]]</f>
        <v>24616.119999999995</v>
      </c>
    </row>
    <row r="93" spans="12:14" s="1" customFormat="1" ht="25.2" customHeight="1" x14ac:dyDescent="0.3">
      <c r="L9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93" s="1">
        <f>N92+Table1181920231030313235383940414811151820283172126373846[[#This Row],[اجمالي الفاتوره]]-Table1181920231030313235383940414811151820283172126373846[[#This Row],[الدفعات]]</f>
        <v>24616.119999999995</v>
      </c>
    </row>
    <row r="94" spans="12:14" s="1" customFormat="1" ht="25.2" customHeight="1" x14ac:dyDescent="0.3">
      <c r="L9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94" s="1">
        <f>N93+Table1181920231030313235383940414811151820283172126373846[[#This Row],[اجمالي الفاتوره]]-Table1181920231030313235383940414811151820283172126373846[[#This Row],[الدفعات]]</f>
        <v>24616.119999999995</v>
      </c>
    </row>
    <row r="95" spans="12:14" s="1" customFormat="1" ht="25.2" customHeight="1" x14ac:dyDescent="0.3">
      <c r="L9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95" s="1">
        <f>N94+Table1181920231030313235383940414811151820283172126373846[[#This Row],[اجمالي الفاتوره]]-Table1181920231030313235383940414811151820283172126373846[[#This Row],[الدفعات]]</f>
        <v>24616.119999999995</v>
      </c>
    </row>
    <row r="96" spans="12:14" s="1" customFormat="1" ht="25.2" customHeight="1" x14ac:dyDescent="0.3">
      <c r="L9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96" s="1">
        <f>N95+Table1181920231030313235383940414811151820283172126373846[[#This Row],[اجمالي الفاتوره]]-Table1181920231030313235383940414811151820283172126373846[[#This Row],[الدفعات]]</f>
        <v>24616.119999999995</v>
      </c>
    </row>
    <row r="97" spans="12:14" s="1" customFormat="1" ht="25.2" customHeight="1" x14ac:dyDescent="0.3">
      <c r="L9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97" s="1">
        <f>N96+Table1181920231030313235383940414811151820283172126373846[[#This Row],[اجمالي الفاتوره]]-Table1181920231030313235383940414811151820283172126373846[[#This Row],[الدفعات]]</f>
        <v>24616.119999999995</v>
      </c>
    </row>
    <row r="98" spans="12:14" s="1" customFormat="1" ht="25.2" customHeight="1" x14ac:dyDescent="0.3">
      <c r="L9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98" s="1">
        <f>N97+Table1181920231030313235383940414811151820283172126373846[[#This Row],[اجمالي الفاتوره]]-Table1181920231030313235383940414811151820283172126373846[[#This Row],[الدفعات]]</f>
        <v>24616.119999999995</v>
      </c>
    </row>
    <row r="99" spans="12:14" s="1" customFormat="1" ht="25.2" customHeight="1" x14ac:dyDescent="0.3">
      <c r="L9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99" s="1">
        <f>N98+Table1181920231030313235383940414811151820283172126373846[[#This Row],[اجمالي الفاتوره]]-Table1181920231030313235383940414811151820283172126373846[[#This Row],[الدفعات]]</f>
        <v>24616.119999999995</v>
      </c>
    </row>
    <row r="100" spans="12:14" s="1" customFormat="1" ht="25.2" customHeight="1" x14ac:dyDescent="0.3">
      <c r="L10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00" s="1">
        <f>N99+Table1181920231030313235383940414811151820283172126373846[[#This Row],[اجمالي الفاتوره]]-Table1181920231030313235383940414811151820283172126373846[[#This Row],[الدفعات]]</f>
        <v>24616.119999999995</v>
      </c>
    </row>
    <row r="101" spans="12:14" s="1" customFormat="1" ht="25.2" customHeight="1" x14ac:dyDescent="0.3">
      <c r="L10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01" s="1">
        <f>N100+Table1181920231030313235383940414811151820283172126373846[[#This Row],[اجمالي الفاتوره]]-Table1181920231030313235383940414811151820283172126373846[[#This Row],[الدفعات]]</f>
        <v>24616.119999999995</v>
      </c>
    </row>
    <row r="102" spans="12:14" s="1" customFormat="1" ht="25.2" customHeight="1" x14ac:dyDescent="0.3">
      <c r="L10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02" s="1">
        <f>N101+Table1181920231030313235383940414811151820283172126373846[[#This Row],[اجمالي الفاتوره]]-Table1181920231030313235383940414811151820283172126373846[[#This Row],[الدفعات]]</f>
        <v>24616.119999999995</v>
      </c>
    </row>
    <row r="103" spans="12:14" s="1" customFormat="1" ht="25.2" customHeight="1" x14ac:dyDescent="0.3">
      <c r="L10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03" s="1">
        <f>N102+Table1181920231030313235383940414811151820283172126373846[[#This Row],[اجمالي الفاتوره]]-Table1181920231030313235383940414811151820283172126373846[[#This Row],[الدفعات]]</f>
        <v>24616.119999999995</v>
      </c>
    </row>
    <row r="104" spans="12:14" s="1" customFormat="1" ht="25.2" customHeight="1" x14ac:dyDescent="0.3">
      <c r="L10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04" s="1">
        <f>N103+Table1181920231030313235383940414811151820283172126373846[[#This Row],[اجمالي الفاتوره]]-Table1181920231030313235383940414811151820283172126373846[[#This Row],[الدفعات]]</f>
        <v>24616.119999999995</v>
      </c>
    </row>
    <row r="105" spans="12:14" s="1" customFormat="1" ht="25.2" customHeight="1" x14ac:dyDescent="0.3">
      <c r="L10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05" s="1">
        <f>N104+Table1181920231030313235383940414811151820283172126373846[[#This Row],[اجمالي الفاتوره]]-Table1181920231030313235383940414811151820283172126373846[[#This Row],[الدفعات]]</f>
        <v>24616.119999999995</v>
      </c>
    </row>
    <row r="106" spans="12:14" s="1" customFormat="1" ht="25.2" customHeight="1" x14ac:dyDescent="0.3">
      <c r="L10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06" s="1">
        <f>N105+Table1181920231030313235383940414811151820283172126373846[[#This Row],[اجمالي الفاتوره]]-Table1181920231030313235383940414811151820283172126373846[[#This Row],[الدفعات]]</f>
        <v>24616.119999999995</v>
      </c>
    </row>
    <row r="107" spans="12:14" s="1" customFormat="1" ht="25.2" customHeight="1" x14ac:dyDescent="0.3">
      <c r="L10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07" s="1">
        <f>N106+Table1181920231030313235383940414811151820283172126373846[[#This Row],[اجمالي الفاتوره]]-Table1181920231030313235383940414811151820283172126373846[[#This Row],[الدفعات]]</f>
        <v>24616.119999999995</v>
      </c>
    </row>
    <row r="108" spans="12:14" s="1" customFormat="1" ht="25.2" customHeight="1" x14ac:dyDescent="0.3">
      <c r="L10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08" s="1">
        <f>N107+Table1181920231030313235383940414811151820283172126373846[[#This Row],[اجمالي الفاتوره]]-Table1181920231030313235383940414811151820283172126373846[[#This Row],[الدفعات]]</f>
        <v>24616.119999999995</v>
      </c>
    </row>
    <row r="109" spans="12:14" s="1" customFormat="1" ht="25.2" customHeight="1" x14ac:dyDescent="0.3">
      <c r="L10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09" s="1">
        <f>N108+Table1181920231030313235383940414811151820283172126373846[[#This Row],[اجمالي الفاتوره]]-Table1181920231030313235383940414811151820283172126373846[[#This Row],[الدفعات]]</f>
        <v>24616.119999999995</v>
      </c>
    </row>
    <row r="110" spans="12:14" s="1" customFormat="1" ht="25.2" customHeight="1" x14ac:dyDescent="0.3">
      <c r="L11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10" s="1">
        <f>N109+Table1181920231030313235383940414811151820283172126373846[[#This Row],[اجمالي الفاتوره]]-Table1181920231030313235383940414811151820283172126373846[[#This Row],[الدفعات]]</f>
        <v>24616.119999999995</v>
      </c>
    </row>
    <row r="111" spans="12:14" s="1" customFormat="1" ht="25.2" customHeight="1" x14ac:dyDescent="0.3">
      <c r="L11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11" s="1">
        <f>N110+Table1181920231030313235383940414811151820283172126373846[[#This Row],[اجمالي الفاتوره]]-Table1181920231030313235383940414811151820283172126373846[[#This Row],[الدفعات]]</f>
        <v>24616.119999999995</v>
      </c>
    </row>
    <row r="112" spans="12:14" s="1" customFormat="1" ht="25.2" customHeight="1" x14ac:dyDescent="0.3">
      <c r="L11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12" s="1">
        <f>N111+Table1181920231030313235383940414811151820283172126373846[[#This Row],[اجمالي الفاتوره]]-Table1181920231030313235383940414811151820283172126373846[[#This Row],[الدفعات]]</f>
        <v>24616.119999999995</v>
      </c>
    </row>
    <row r="113" spans="12:14" s="1" customFormat="1" ht="25.2" customHeight="1" x14ac:dyDescent="0.3">
      <c r="L11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13" s="1">
        <f>N112+Table1181920231030313235383940414811151820283172126373846[[#This Row],[اجمالي الفاتوره]]-Table1181920231030313235383940414811151820283172126373846[[#This Row],[الدفعات]]</f>
        <v>24616.119999999995</v>
      </c>
    </row>
    <row r="114" spans="12:14" s="1" customFormat="1" ht="25.2" customHeight="1" x14ac:dyDescent="0.3">
      <c r="L11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14" s="1">
        <f>N113+Table1181920231030313235383940414811151820283172126373846[[#This Row],[اجمالي الفاتوره]]-Table1181920231030313235383940414811151820283172126373846[[#This Row],[الدفعات]]</f>
        <v>24616.119999999995</v>
      </c>
    </row>
    <row r="115" spans="12:14" s="1" customFormat="1" ht="25.2" customHeight="1" x14ac:dyDescent="0.3">
      <c r="L11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15" s="1">
        <f>N114+Table1181920231030313235383940414811151820283172126373846[[#This Row],[اجمالي الفاتوره]]-Table1181920231030313235383940414811151820283172126373846[[#This Row],[الدفعات]]</f>
        <v>24616.119999999995</v>
      </c>
    </row>
    <row r="116" spans="12:14" s="1" customFormat="1" ht="25.2" customHeight="1" x14ac:dyDescent="0.3">
      <c r="L11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16" s="1">
        <f>N115+Table1181920231030313235383940414811151820283172126373846[[#This Row],[اجمالي الفاتوره]]-Table1181920231030313235383940414811151820283172126373846[[#This Row],[الدفعات]]</f>
        <v>24616.119999999995</v>
      </c>
    </row>
    <row r="117" spans="12:14" s="1" customFormat="1" ht="25.2" customHeight="1" x14ac:dyDescent="0.3">
      <c r="L11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17" s="1">
        <f>N116+Table1181920231030313235383940414811151820283172126373846[[#This Row],[اجمالي الفاتوره]]-Table1181920231030313235383940414811151820283172126373846[[#This Row],[الدفعات]]</f>
        <v>24616.119999999995</v>
      </c>
    </row>
    <row r="118" spans="12:14" s="1" customFormat="1" ht="25.2" customHeight="1" x14ac:dyDescent="0.3">
      <c r="L11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18" s="1">
        <f>N117+Table1181920231030313235383940414811151820283172126373846[[#This Row],[اجمالي الفاتوره]]-Table1181920231030313235383940414811151820283172126373846[[#This Row],[الدفعات]]</f>
        <v>24616.119999999995</v>
      </c>
    </row>
    <row r="119" spans="12:14" s="1" customFormat="1" ht="25.2" customHeight="1" x14ac:dyDescent="0.3">
      <c r="L11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19" s="1">
        <f>N118+Table1181920231030313235383940414811151820283172126373846[[#This Row],[اجمالي الفاتوره]]-Table1181920231030313235383940414811151820283172126373846[[#This Row],[الدفعات]]</f>
        <v>24616.119999999995</v>
      </c>
    </row>
    <row r="120" spans="12:14" s="1" customFormat="1" ht="25.2" customHeight="1" x14ac:dyDescent="0.3">
      <c r="L12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20" s="1">
        <f>N119+Table1181920231030313235383940414811151820283172126373846[[#This Row],[اجمالي الفاتوره]]-Table1181920231030313235383940414811151820283172126373846[[#This Row],[الدفعات]]</f>
        <v>24616.119999999995</v>
      </c>
    </row>
    <row r="121" spans="12:14" s="1" customFormat="1" ht="25.2" customHeight="1" x14ac:dyDescent="0.3">
      <c r="L12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21" s="1">
        <f>N120+Table1181920231030313235383940414811151820283172126373846[[#This Row],[اجمالي الفاتوره]]-Table1181920231030313235383940414811151820283172126373846[[#This Row],[الدفعات]]</f>
        <v>24616.119999999995</v>
      </c>
    </row>
    <row r="122" spans="12:14" s="1" customFormat="1" ht="25.2" customHeight="1" x14ac:dyDescent="0.3">
      <c r="L12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22" s="1">
        <f>N121+Table1181920231030313235383940414811151820283172126373846[[#This Row],[اجمالي الفاتوره]]-Table1181920231030313235383940414811151820283172126373846[[#This Row],[الدفعات]]</f>
        <v>24616.119999999995</v>
      </c>
    </row>
    <row r="123" spans="12:14" s="1" customFormat="1" ht="25.2" customHeight="1" x14ac:dyDescent="0.3">
      <c r="L12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23" s="1">
        <f>N122+Table1181920231030313235383940414811151820283172126373846[[#This Row],[اجمالي الفاتوره]]-Table1181920231030313235383940414811151820283172126373846[[#This Row],[الدفعات]]</f>
        <v>24616.119999999995</v>
      </c>
    </row>
    <row r="124" spans="12:14" s="1" customFormat="1" ht="25.2" customHeight="1" x14ac:dyDescent="0.3">
      <c r="L12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24" s="1">
        <f>N123+Table1181920231030313235383940414811151820283172126373846[[#This Row],[اجمالي الفاتوره]]-Table1181920231030313235383940414811151820283172126373846[[#This Row],[الدفعات]]</f>
        <v>24616.119999999995</v>
      </c>
    </row>
    <row r="125" spans="12:14" s="1" customFormat="1" ht="25.2" customHeight="1" x14ac:dyDescent="0.3">
      <c r="L12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25" s="1">
        <f>N124+Table1181920231030313235383940414811151820283172126373846[[#This Row],[اجمالي الفاتوره]]-Table1181920231030313235383940414811151820283172126373846[[#This Row],[الدفعات]]</f>
        <v>24616.119999999995</v>
      </c>
    </row>
    <row r="126" spans="12:14" s="1" customFormat="1" ht="25.2" customHeight="1" x14ac:dyDescent="0.3">
      <c r="L12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26" s="1">
        <f>N125+Table1181920231030313235383940414811151820283172126373846[[#This Row],[اجمالي الفاتوره]]-Table1181920231030313235383940414811151820283172126373846[[#This Row],[الدفعات]]</f>
        <v>24616.119999999995</v>
      </c>
    </row>
    <row r="127" spans="12:14" s="1" customFormat="1" ht="25.2" customHeight="1" x14ac:dyDescent="0.3">
      <c r="L12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27" s="1">
        <f>N126+Table1181920231030313235383940414811151820283172126373846[[#This Row],[اجمالي الفاتوره]]-Table1181920231030313235383940414811151820283172126373846[[#This Row],[الدفعات]]</f>
        <v>24616.119999999995</v>
      </c>
    </row>
    <row r="128" spans="12:14" s="1" customFormat="1" ht="25.2" customHeight="1" x14ac:dyDescent="0.3">
      <c r="L12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28" s="1">
        <f>N127+Table1181920231030313235383940414811151820283172126373846[[#This Row],[اجمالي الفاتوره]]-Table1181920231030313235383940414811151820283172126373846[[#This Row],[الدفعات]]</f>
        <v>24616.119999999995</v>
      </c>
    </row>
    <row r="129" spans="12:14" s="1" customFormat="1" ht="25.2" customHeight="1" x14ac:dyDescent="0.3">
      <c r="L12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29" s="1">
        <f>N128+Table1181920231030313235383940414811151820283172126373846[[#This Row],[اجمالي الفاتوره]]-Table1181920231030313235383940414811151820283172126373846[[#This Row],[الدفعات]]</f>
        <v>24616.119999999995</v>
      </c>
    </row>
    <row r="130" spans="12:14" s="1" customFormat="1" ht="25.2" customHeight="1" x14ac:dyDescent="0.3">
      <c r="L13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30" s="1">
        <f>N129+Table1181920231030313235383940414811151820283172126373846[[#This Row],[اجمالي الفاتوره]]-Table1181920231030313235383940414811151820283172126373846[[#This Row],[الدفعات]]</f>
        <v>24616.119999999995</v>
      </c>
    </row>
    <row r="131" spans="12:14" s="1" customFormat="1" ht="25.2" customHeight="1" x14ac:dyDescent="0.3">
      <c r="L13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31" s="1">
        <f>N130+Table1181920231030313235383940414811151820283172126373846[[#This Row],[اجمالي الفاتوره]]-Table1181920231030313235383940414811151820283172126373846[[#This Row],[الدفعات]]</f>
        <v>24616.119999999995</v>
      </c>
    </row>
    <row r="132" spans="12:14" s="1" customFormat="1" ht="25.2" customHeight="1" x14ac:dyDescent="0.3">
      <c r="L13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32" s="1">
        <f>N131+Table1181920231030313235383940414811151820283172126373846[[#This Row],[اجمالي الفاتوره]]-Table1181920231030313235383940414811151820283172126373846[[#This Row],[الدفعات]]</f>
        <v>24616.119999999995</v>
      </c>
    </row>
    <row r="133" spans="12:14" s="1" customFormat="1" ht="25.2" customHeight="1" x14ac:dyDescent="0.3">
      <c r="L13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33" s="1">
        <f>N132+Table1181920231030313235383940414811151820283172126373846[[#This Row],[اجمالي الفاتوره]]-Table1181920231030313235383940414811151820283172126373846[[#This Row],[الدفعات]]</f>
        <v>24616.119999999995</v>
      </c>
    </row>
    <row r="134" spans="12:14" s="1" customFormat="1" ht="25.2" customHeight="1" x14ac:dyDescent="0.3">
      <c r="L13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34" s="1">
        <f>N133+Table1181920231030313235383940414811151820283172126373846[[#This Row],[اجمالي الفاتوره]]-Table1181920231030313235383940414811151820283172126373846[[#This Row],[الدفعات]]</f>
        <v>24616.119999999995</v>
      </c>
    </row>
    <row r="135" spans="12:14" s="1" customFormat="1" ht="25.2" customHeight="1" x14ac:dyDescent="0.3">
      <c r="L13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35" s="1">
        <f>N134+Table1181920231030313235383940414811151820283172126373846[[#This Row],[اجمالي الفاتوره]]-Table1181920231030313235383940414811151820283172126373846[[#This Row],[الدفعات]]</f>
        <v>24616.119999999995</v>
      </c>
    </row>
    <row r="136" spans="12:14" s="1" customFormat="1" ht="25.2" customHeight="1" x14ac:dyDescent="0.3">
      <c r="L13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36" s="1">
        <f>N135+Table1181920231030313235383940414811151820283172126373846[[#This Row],[اجمالي الفاتوره]]-Table1181920231030313235383940414811151820283172126373846[[#This Row],[الدفعات]]</f>
        <v>24616.119999999995</v>
      </c>
    </row>
    <row r="137" spans="12:14" s="1" customFormat="1" ht="25.2" customHeight="1" x14ac:dyDescent="0.3">
      <c r="L13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37" s="1">
        <f>N136+Table1181920231030313235383940414811151820283172126373846[[#This Row],[اجمالي الفاتوره]]-Table1181920231030313235383940414811151820283172126373846[[#This Row],[الدفعات]]</f>
        <v>24616.119999999995</v>
      </c>
    </row>
    <row r="138" spans="12:14" s="1" customFormat="1" ht="25.2" customHeight="1" x14ac:dyDescent="0.3">
      <c r="L13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38" s="1">
        <f>N137+Table1181920231030313235383940414811151820283172126373846[[#This Row],[اجمالي الفاتوره]]-Table1181920231030313235383940414811151820283172126373846[[#This Row],[الدفعات]]</f>
        <v>24616.119999999995</v>
      </c>
    </row>
    <row r="139" spans="12:14" s="1" customFormat="1" ht="25.2" customHeight="1" x14ac:dyDescent="0.3">
      <c r="L13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39" s="1">
        <f>N138+Table1181920231030313235383940414811151820283172126373846[[#This Row],[اجمالي الفاتوره]]-Table1181920231030313235383940414811151820283172126373846[[#This Row],[الدفعات]]</f>
        <v>24616.119999999995</v>
      </c>
    </row>
    <row r="140" spans="12:14" s="1" customFormat="1" ht="25.2" customHeight="1" x14ac:dyDescent="0.3">
      <c r="L14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40" s="1">
        <f>N139+Table1181920231030313235383940414811151820283172126373846[[#This Row],[اجمالي الفاتوره]]-Table1181920231030313235383940414811151820283172126373846[[#This Row],[الدفعات]]</f>
        <v>24616.119999999995</v>
      </c>
    </row>
    <row r="141" spans="12:14" s="1" customFormat="1" ht="25.2" customHeight="1" x14ac:dyDescent="0.3">
      <c r="L14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41" s="1">
        <f>N140+Table1181920231030313235383940414811151820283172126373846[[#This Row],[اجمالي الفاتوره]]-Table1181920231030313235383940414811151820283172126373846[[#This Row],[الدفعات]]</f>
        <v>24616.119999999995</v>
      </c>
    </row>
    <row r="142" spans="12:14" s="1" customFormat="1" ht="25.2" customHeight="1" x14ac:dyDescent="0.3">
      <c r="L14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42" s="1">
        <f>N141+Table1181920231030313235383940414811151820283172126373846[[#This Row],[اجمالي الفاتوره]]-Table1181920231030313235383940414811151820283172126373846[[#This Row],[الدفعات]]</f>
        <v>24616.119999999995</v>
      </c>
    </row>
    <row r="143" spans="12:14" s="1" customFormat="1" ht="25.2" customHeight="1" x14ac:dyDescent="0.3">
      <c r="L14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43" s="1">
        <f>N142+Table1181920231030313235383940414811151820283172126373846[[#This Row],[اجمالي الفاتوره]]-Table1181920231030313235383940414811151820283172126373846[[#This Row],[الدفعات]]</f>
        <v>24616.119999999995</v>
      </c>
    </row>
    <row r="144" spans="12:14" s="1" customFormat="1" ht="25.2" customHeight="1" x14ac:dyDescent="0.3">
      <c r="L14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44" s="1">
        <f>N143+Table1181920231030313235383940414811151820283172126373846[[#This Row],[اجمالي الفاتوره]]-Table1181920231030313235383940414811151820283172126373846[[#This Row],[الدفعات]]</f>
        <v>24616.119999999995</v>
      </c>
    </row>
    <row r="145" spans="12:14" s="1" customFormat="1" ht="25.2" customHeight="1" x14ac:dyDescent="0.3">
      <c r="L14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45" s="1">
        <f>N144+Table1181920231030313235383940414811151820283172126373846[[#This Row],[اجمالي الفاتوره]]-Table1181920231030313235383940414811151820283172126373846[[#This Row],[الدفعات]]</f>
        <v>24616.119999999995</v>
      </c>
    </row>
    <row r="146" spans="12:14" s="1" customFormat="1" ht="25.2" customHeight="1" x14ac:dyDescent="0.3">
      <c r="L14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46" s="1">
        <f>N145+Table1181920231030313235383940414811151820283172126373846[[#This Row],[اجمالي الفاتوره]]-Table1181920231030313235383940414811151820283172126373846[[#This Row],[الدفعات]]</f>
        <v>24616.119999999995</v>
      </c>
    </row>
    <row r="147" spans="12:14" s="1" customFormat="1" ht="25.2" customHeight="1" x14ac:dyDescent="0.3">
      <c r="L14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47" s="1">
        <f>N146+Table1181920231030313235383940414811151820283172126373846[[#This Row],[اجمالي الفاتوره]]-Table1181920231030313235383940414811151820283172126373846[[#This Row],[الدفعات]]</f>
        <v>24616.119999999995</v>
      </c>
    </row>
    <row r="148" spans="12:14" s="1" customFormat="1" ht="25.2" customHeight="1" x14ac:dyDescent="0.3">
      <c r="L14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48" s="1">
        <f>N147+Table1181920231030313235383940414811151820283172126373846[[#This Row],[اجمالي الفاتوره]]-Table1181920231030313235383940414811151820283172126373846[[#This Row],[الدفعات]]</f>
        <v>24616.119999999995</v>
      </c>
    </row>
    <row r="149" spans="12:14" s="1" customFormat="1" ht="25.2" customHeight="1" x14ac:dyDescent="0.3">
      <c r="L14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49" s="1">
        <f>N148+Table1181920231030313235383940414811151820283172126373846[[#This Row],[اجمالي الفاتوره]]-Table1181920231030313235383940414811151820283172126373846[[#This Row],[الدفعات]]</f>
        <v>24616.119999999995</v>
      </c>
    </row>
    <row r="150" spans="12:14" s="1" customFormat="1" ht="25.2" customHeight="1" x14ac:dyDescent="0.3">
      <c r="L15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50" s="1">
        <f>N149+Table1181920231030313235383940414811151820283172126373846[[#This Row],[اجمالي الفاتوره]]-Table1181920231030313235383940414811151820283172126373846[[#This Row],[الدفعات]]</f>
        <v>24616.119999999995</v>
      </c>
    </row>
    <row r="151" spans="12:14" s="1" customFormat="1" ht="25.2" customHeight="1" x14ac:dyDescent="0.3">
      <c r="L15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51" s="1">
        <f>N150+Table1181920231030313235383940414811151820283172126373846[[#This Row],[اجمالي الفاتوره]]-Table1181920231030313235383940414811151820283172126373846[[#This Row],[الدفعات]]</f>
        <v>24616.119999999995</v>
      </c>
    </row>
    <row r="152" spans="12:14" s="1" customFormat="1" ht="25.2" customHeight="1" x14ac:dyDescent="0.3">
      <c r="L15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52" s="1">
        <f>N151+Table1181920231030313235383940414811151820283172126373846[[#This Row],[اجمالي الفاتوره]]-Table1181920231030313235383940414811151820283172126373846[[#This Row],[الدفعات]]</f>
        <v>24616.119999999995</v>
      </c>
    </row>
    <row r="153" spans="12:14" s="1" customFormat="1" ht="25.2" customHeight="1" x14ac:dyDescent="0.3">
      <c r="L15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53" s="1">
        <f>N152+Table1181920231030313235383940414811151820283172126373846[[#This Row],[اجمالي الفاتوره]]-Table1181920231030313235383940414811151820283172126373846[[#This Row],[الدفعات]]</f>
        <v>24616.119999999995</v>
      </c>
    </row>
    <row r="154" spans="12:14" s="1" customFormat="1" ht="25.2" customHeight="1" x14ac:dyDescent="0.3">
      <c r="L15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54" s="1">
        <f>N153+Table1181920231030313235383940414811151820283172126373846[[#This Row],[اجمالي الفاتوره]]-Table1181920231030313235383940414811151820283172126373846[[#This Row],[الدفعات]]</f>
        <v>24616.119999999995</v>
      </c>
    </row>
    <row r="155" spans="12:14" s="1" customFormat="1" ht="25.2" customHeight="1" x14ac:dyDescent="0.3">
      <c r="L15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55" s="1">
        <f>N154+Table1181920231030313235383940414811151820283172126373846[[#This Row],[اجمالي الفاتوره]]-Table1181920231030313235383940414811151820283172126373846[[#This Row],[الدفعات]]</f>
        <v>24616.119999999995</v>
      </c>
    </row>
    <row r="156" spans="12:14" s="1" customFormat="1" ht="25.2" customHeight="1" x14ac:dyDescent="0.3">
      <c r="L15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56" s="1">
        <f>N155+Table1181920231030313235383940414811151820283172126373846[[#This Row],[اجمالي الفاتوره]]-Table1181920231030313235383940414811151820283172126373846[[#This Row],[الدفعات]]</f>
        <v>24616.119999999995</v>
      </c>
    </row>
    <row r="157" spans="12:14" s="1" customFormat="1" ht="25.2" customHeight="1" x14ac:dyDescent="0.3">
      <c r="L15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57" s="1">
        <f>N156+Table1181920231030313235383940414811151820283172126373846[[#This Row],[اجمالي الفاتوره]]-Table1181920231030313235383940414811151820283172126373846[[#This Row],[الدفعات]]</f>
        <v>24616.119999999995</v>
      </c>
    </row>
    <row r="158" spans="12:14" s="1" customFormat="1" ht="25.2" customHeight="1" x14ac:dyDescent="0.3">
      <c r="L15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58" s="1">
        <f>N157+Table1181920231030313235383940414811151820283172126373846[[#This Row],[اجمالي الفاتوره]]-Table1181920231030313235383940414811151820283172126373846[[#This Row],[الدفعات]]</f>
        <v>24616.119999999995</v>
      </c>
    </row>
    <row r="159" spans="12:14" s="1" customFormat="1" ht="25.2" customHeight="1" x14ac:dyDescent="0.3">
      <c r="L15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59" s="1">
        <f>N158+Table1181920231030313235383940414811151820283172126373846[[#This Row],[اجمالي الفاتوره]]-Table1181920231030313235383940414811151820283172126373846[[#This Row],[الدفعات]]</f>
        <v>24616.119999999995</v>
      </c>
    </row>
    <row r="160" spans="12:14" s="1" customFormat="1" ht="25.2" customHeight="1" x14ac:dyDescent="0.3">
      <c r="L16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60" s="1">
        <f>N159+Table1181920231030313235383940414811151820283172126373846[[#This Row],[اجمالي الفاتوره]]-Table1181920231030313235383940414811151820283172126373846[[#This Row],[الدفعات]]</f>
        <v>24616.119999999995</v>
      </c>
    </row>
    <row r="161" spans="12:14" s="1" customFormat="1" ht="25.2" customHeight="1" x14ac:dyDescent="0.3">
      <c r="L16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61" s="1">
        <f>N160+Table1181920231030313235383940414811151820283172126373846[[#This Row],[اجمالي الفاتوره]]-Table1181920231030313235383940414811151820283172126373846[[#This Row],[الدفعات]]</f>
        <v>24616.119999999995</v>
      </c>
    </row>
    <row r="162" spans="12:14" s="1" customFormat="1" ht="25.2" customHeight="1" x14ac:dyDescent="0.3">
      <c r="L16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62" s="1">
        <f>N161+Table1181920231030313235383940414811151820283172126373846[[#This Row],[اجمالي الفاتوره]]-Table1181920231030313235383940414811151820283172126373846[[#This Row],[الدفعات]]</f>
        <v>24616.119999999995</v>
      </c>
    </row>
    <row r="163" spans="12:14" s="1" customFormat="1" ht="25.2" customHeight="1" x14ac:dyDescent="0.3">
      <c r="L16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63" s="1">
        <f>N162+Table1181920231030313235383940414811151820283172126373846[[#This Row],[اجمالي الفاتوره]]-Table1181920231030313235383940414811151820283172126373846[[#This Row],[الدفعات]]</f>
        <v>24616.119999999995</v>
      </c>
    </row>
    <row r="164" spans="12:14" s="1" customFormat="1" ht="25.2" customHeight="1" x14ac:dyDescent="0.3">
      <c r="L16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64" s="1">
        <f>N163+Table1181920231030313235383940414811151820283172126373846[[#This Row],[اجمالي الفاتوره]]-Table1181920231030313235383940414811151820283172126373846[[#This Row],[الدفعات]]</f>
        <v>24616.119999999995</v>
      </c>
    </row>
    <row r="165" spans="12:14" s="1" customFormat="1" ht="25.2" customHeight="1" x14ac:dyDescent="0.3">
      <c r="L16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65" s="1">
        <f>N164+Table1181920231030313235383940414811151820283172126373846[[#This Row],[اجمالي الفاتوره]]-Table1181920231030313235383940414811151820283172126373846[[#This Row],[الدفعات]]</f>
        <v>24616.119999999995</v>
      </c>
    </row>
    <row r="166" spans="12:14" s="1" customFormat="1" ht="25.2" customHeight="1" x14ac:dyDescent="0.3">
      <c r="L16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66" s="1">
        <f>N165+Table1181920231030313235383940414811151820283172126373846[[#This Row],[اجمالي الفاتوره]]-Table1181920231030313235383940414811151820283172126373846[[#This Row],[الدفعات]]</f>
        <v>24616.119999999995</v>
      </c>
    </row>
    <row r="167" spans="12:14" s="1" customFormat="1" ht="25.2" customHeight="1" x14ac:dyDescent="0.3">
      <c r="L16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67" s="1">
        <f>N166+Table1181920231030313235383940414811151820283172126373846[[#This Row],[اجمالي الفاتوره]]-Table1181920231030313235383940414811151820283172126373846[[#This Row],[الدفعات]]</f>
        <v>24616.119999999995</v>
      </c>
    </row>
    <row r="168" spans="12:14" s="1" customFormat="1" ht="25.2" customHeight="1" x14ac:dyDescent="0.3">
      <c r="L16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68" s="1">
        <f>N167+Table1181920231030313235383940414811151820283172126373846[[#This Row],[اجمالي الفاتوره]]-Table1181920231030313235383940414811151820283172126373846[[#This Row],[الدفعات]]</f>
        <v>24616.119999999995</v>
      </c>
    </row>
    <row r="169" spans="12:14" s="1" customFormat="1" ht="25.2" customHeight="1" x14ac:dyDescent="0.3">
      <c r="L16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69" s="1">
        <f>N168+Table1181920231030313235383940414811151820283172126373846[[#This Row],[اجمالي الفاتوره]]-Table1181920231030313235383940414811151820283172126373846[[#This Row],[الدفعات]]</f>
        <v>24616.119999999995</v>
      </c>
    </row>
    <row r="170" spans="12:14" s="1" customFormat="1" ht="25.2" customHeight="1" x14ac:dyDescent="0.3">
      <c r="L17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70" s="1">
        <f>N169+Table1181920231030313235383940414811151820283172126373846[[#This Row],[اجمالي الفاتوره]]-Table1181920231030313235383940414811151820283172126373846[[#This Row],[الدفعات]]</f>
        <v>24616.119999999995</v>
      </c>
    </row>
    <row r="171" spans="12:14" s="1" customFormat="1" ht="25.2" customHeight="1" x14ac:dyDescent="0.3">
      <c r="L17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71" s="1">
        <f>N170+Table1181920231030313235383940414811151820283172126373846[[#This Row],[اجمالي الفاتوره]]-Table1181920231030313235383940414811151820283172126373846[[#This Row],[الدفعات]]</f>
        <v>24616.119999999995</v>
      </c>
    </row>
    <row r="172" spans="12:14" s="1" customFormat="1" ht="25.2" customHeight="1" x14ac:dyDescent="0.3">
      <c r="L17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72" s="1">
        <f>N171+Table1181920231030313235383940414811151820283172126373846[[#This Row],[اجمالي الفاتوره]]-Table1181920231030313235383940414811151820283172126373846[[#This Row],[الدفعات]]</f>
        <v>24616.119999999995</v>
      </c>
    </row>
    <row r="173" spans="12:14" s="1" customFormat="1" ht="25.2" customHeight="1" x14ac:dyDescent="0.3">
      <c r="L17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73" s="1">
        <f>N172+Table1181920231030313235383940414811151820283172126373846[[#This Row],[اجمالي الفاتوره]]-Table1181920231030313235383940414811151820283172126373846[[#This Row],[الدفعات]]</f>
        <v>24616.119999999995</v>
      </c>
    </row>
    <row r="174" spans="12:14" s="1" customFormat="1" ht="25.2" customHeight="1" x14ac:dyDescent="0.3">
      <c r="L17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74" s="1">
        <f>N173+Table1181920231030313235383940414811151820283172126373846[[#This Row],[اجمالي الفاتوره]]-Table1181920231030313235383940414811151820283172126373846[[#This Row],[الدفعات]]</f>
        <v>24616.119999999995</v>
      </c>
    </row>
    <row r="175" spans="12:14" s="1" customFormat="1" ht="25.2" customHeight="1" x14ac:dyDescent="0.3">
      <c r="L17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75" s="1">
        <f>N174+Table1181920231030313235383940414811151820283172126373846[[#This Row],[اجمالي الفاتوره]]-Table1181920231030313235383940414811151820283172126373846[[#This Row],[الدفعات]]</f>
        <v>24616.119999999995</v>
      </c>
    </row>
    <row r="176" spans="12:14" s="1" customFormat="1" ht="25.2" customHeight="1" x14ac:dyDescent="0.3">
      <c r="L17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76" s="1">
        <f>N175+Table1181920231030313235383940414811151820283172126373846[[#This Row],[اجمالي الفاتوره]]-Table1181920231030313235383940414811151820283172126373846[[#This Row],[الدفعات]]</f>
        <v>24616.119999999995</v>
      </c>
    </row>
    <row r="177" spans="12:14" s="1" customFormat="1" ht="25.2" customHeight="1" x14ac:dyDescent="0.3">
      <c r="L17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77" s="1">
        <f>N176+Table1181920231030313235383940414811151820283172126373846[[#This Row],[اجمالي الفاتوره]]-Table1181920231030313235383940414811151820283172126373846[[#This Row],[الدفعات]]</f>
        <v>24616.119999999995</v>
      </c>
    </row>
    <row r="178" spans="12:14" s="1" customFormat="1" ht="25.2" customHeight="1" x14ac:dyDescent="0.3">
      <c r="L17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78" s="1">
        <f>N177+Table1181920231030313235383940414811151820283172126373846[[#This Row],[اجمالي الفاتوره]]-Table1181920231030313235383940414811151820283172126373846[[#This Row],[الدفعات]]</f>
        <v>24616.119999999995</v>
      </c>
    </row>
    <row r="179" spans="12:14" s="1" customFormat="1" ht="25.2" customHeight="1" x14ac:dyDescent="0.3">
      <c r="L17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79" s="1">
        <f>N178+Table1181920231030313235383940414811151820283172126373846[[#This Row],[اجمالي الفاتوره]]-Table1181920231030313235383940414811151820283172126373846[[#This Row],[الدفعات]]</f>
        <v>24616.119999999995</v>
      </c>
    </row>
    <row r="180" spans="12:14" s="1" customFormat="1" ht="25.2" customHeight="1" x14ac:dyDescent="0.3">
      <c r="L18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80" s="1">
        <f>N179+Table1181920231030313235383940414811151820283172126373846[[#This Row],[اجمالي الفاتوره]]-Table1181920231030313235383940414811151820283172126373846[[#This Row],[الدفعات]]</f>
        <v>24616.119999999995</v>
      </c>
    </row>
    <row r="181" spans="12:14" s="1" customFormat="1" ht="25.2" customHeight="1" x14ac:dyDescent="0.3">
      <c r="L18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81" s="1">
        <f>N180+Table1181920231030313235383940414811151820283172126373846[[#This Row],[اجمالي الفاتوره]]-Table1181920231030313235383940414811151820283172126373846[[#This Row],[الدفعات]]</f>
        <v>24616.119999999995</v>
      </c>
    </row>
    <row r="182" spans="12:14" s="1" customFormat="1" ht="25.2" customHeight="1" x14ac:dyDescent="0.3">
      <c r="L18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82" s="1">
        <f>N181+Table1181920231030313235383940414811151820283172126373846[[#This Row],[اجمالي الفاتوره]]-Table1181920231030313235383940414811151820283172126373846[[#This Row],[الدفعات]]</f>
        <v>24616.119999999995</v>
      </c>
    </row>
    <row r="183" spans="12:14" s="1" customFormat="1" ht="25.2" customHeight="1" x14ac:dyDescent="0.3">
      <c r="L18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83" s="1">
        <f>N182+Table1181920231030313235383940414811151820283172126373846[[#This Row],[اجمالي الفاتوره]]-Table1181920231030313235383940414811151820283172126373846[[#This Row],[الدفعات]]</f>
        <v>24616.119999999995</v>
      </c>
    </row>
    <row r="184" spans="12:14" s="1" customFormat="1" ht="25.2" customHeight="1" x14ac:dyDescent="0.3">
      <c r="L18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84" s="1">
        <f>N183+Table1181920231030313235383940414811151820283172126373846[[#This Row],[اجمالي الفاتوره]]-Table1181920231030313235383940414811151820283172126373846[[#This Row],[الدفعات]]</f>
        <v>24616.119999999995</v>
      </c>
    </row>
    <row r="185" spans="12:14" s="1" customFormat="1" ht="25.2" customHeight="1" x14ac:dyDescent="0.3">
      <c r="L18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85" s="1">
        <f>N184+Table1181920231030313235383940414811151820283172126373846[[#This Row],[اجمالي الفاتوره]]-Table1181920231030313235383940414811151820283172126373846[[#This Row],[الدفعات]]</f>
        <v>24616.119999999995</v>
      </c>
    </row>
    <row r="186" spans="12:14" s="1" customFormat="1" ht="25.2" customHeight="1" x14ac:dyDescent="0.3">
      <c r="L18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86" s="1">
        <f>N185+Table1181920231030313235383940414811151820283172126373846[[#This Row],[اجمالي الفاتوره]]-Table1181920231030313235383940414811151820283172126373846[[#This Row],[الدفعات]]</f>
        <v>24616.119999999995</v>
      </c>
    </row>
    <row r="187" spans="12:14" s="1" customFormat="1" ht="25.2" customHeight="1" x14ac:dyDescent="0.3">
      <c r="L18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87" s="1">
        <f>N186+Table1181920231030313235383940414811151820283172126373846[[#This Row],[اجمالي الفاتوره]]-Table1181920231030313235383940414811151820283172126373846[[#This Row],[الدفعات]]</f>
        <v>24616.119999999995</v>
      </c>
    </row>
    <row r="188" spans="12:14" s="1" customFormat="1" ht="25.2" customHeight="1" x14ac:dyDescent="0.3">
      <c r="L18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88" s="1">
        <f>N187+Table1181920231030313235383940414811151820283172126373846[[#This Row],[اجمالي الفاتوره]]-Table1181920231030313235383940414811151820283172126373846[[#This Row],[الدفعات]]</f>
        <v>24616.119999999995</v>
      </c>
    </row>
    <row r="189" spans="12:14" s="1" customFormat="1" ht="25.2" customHeight="1" x14ac:dyDescent="0.3">
      <c r="L18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89" s="1">
        <f>N188+Table1181920231030313235383940414811151820283172126373846[[#This Row],[اجمالي الفاتوره]]-Table1181920231030313235383940414811151820283172126373846[[#This Row],[الدفعات]]</f>
        <v>24616.119999999995</v>
      </c>
    </row>
    <row r="190" spans="12:14" s="1" customFormat="1" ht="25.2" customHeight="1" x14ac:dyDescent="0.3">
      <c r="L19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90" s="1">
        <f>N189+Table1181920231030313235383940414811151820283172126373846[[#This Row],[اجمالي الفاتوره]]-Table1181920231030313235383940414811151820283172126373846[[#This Row],[الدفعات]]</f>
        <v>24616.119999999995</v>
      </c>
    </row>
    <row r="191" spans="12:14" s="1" customFormat="1" ht="25.2" customHeight="1" x14ac:dyDescent="0.3">
      <c r="L19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91" s="1">
        <f>N190+Table1181920231030313235383940414811151820283172126373846[[#This Row],[اجمالي الفاتوره]]-Table1181920231030313235383940414811151820283172126373846[[#This Row],[الدفعات]]</f>
        <v>24616.119999999995</v>
      </c>
    </row>
    <row r="192" spans="12:14" s="1" customFormat="1" ht="25.2" customHeight="1" x14ac:dyDescent="0.3">
      <c r="L19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92" s="1">
        <f>N191+Table1181920231030313235383940414811151820283172126373846[[#This Row],[اجمالي الفاتوره]]-Table1181920231030313235383940414811151820283172126373846[[#This Row],[الدفعات]]</f>
        <v>24616.119999999995</v>
      </c>
    </row>
    <row r="193" spans="12:14" s="1" customFormat="1" ht="25.2" customHeight="1" x14ac:dyDescent="0.3">
      <c r="L19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93" s="1">
        <f>N192+Table1181920231030313235383940414811151820283172126373846[[#This Row],[اجمالي الفاتوره]]-Table1181920231030313235383940414811151820283172126373846[[#This Row],[الدفعات]]</f>
        <v>24616.119999999995</v>
      </c>
    </row>
    <row r="194" spans="12:14" s="1" customFormat="1" ht="25.2" customHeight="1" x14ac:dyDescent="0.3">
      <c r="L19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94" s="1">
        <f>N193+Table1181920231030313235383940414811151820283172126373846[[#This Row],[اجمالي الفاتوره]]-Table1181920231030313235383940414811151820283172126373846[[#This Row],[الدفعات]]</f>
        <v>24616.119999999995</v>
      </c>
    </row>
    <row r="195" spans="12:14" s="1" customFormat="1" ht="25.2" customHeight="1" x14ac:dyDescent="0.3">
      <c r="L19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95" s="1">
        <f>N194+Table1181920231030313235383940414811151820283172126373846[[#This Row],[اجمالي الفاتوره]]-Table1181920231030313235383940414811151820283172126373846[[#This Row],[الدفعات]]</f>
        <v>24616.119999999995</v>
      </c>
    </row>
    <row r="196" spans="12:14" s="1" customFormat="1" ht="25.2" customHeight="1" x14ac:dyDescent="0.3">
      <c r="L19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96" s="1">
        <f>N195+Table1181920231030313235383940414811151820283172126373846[[#This Row],[اجمالي الفاتوره]]-Table1181920231030313235383940414811151820283172126373846[[#This Row],[الدفعات]]</f>
        <v>24616.119999999995</v>
      </c>
    </row>
    <row r="197" spans="12:14" s="1" customFormat="1" ht="25.2" customHeight="1" x14ac:dyDescent="0.3">
      <c r="L19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97" s="1">
        <f>N196+Table1181920231030313235383940414811151820283172126373846[[#This Row],[اجمالي الفاتوره]]-Table1181920231030313235383940414811151820283172126373846[[#This Row],[الدفعات]]</f>
        <v>24616.119999999995</v>
      </c>
    </row>
    <row r="198" spans="12:14" s="1" customFormat="1" ht="25.2" customHeight="1" x14ac:dyDescent="0.3">
      <c r="L19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98" s="1">
        <f>N197+Table1181920231030313235383940414811151820283172126373846[[#This Row],[اجمالي الفاتوره]]-Table1181920231030313235383940414811151820283172126373846[[#This Row],[الدفعات]]</f>
        <v>24616.119999999995</v>
      </c>
    </row>
    <row r="199" spans="12:14" s="1" customFormat="1" ht="25.2" customHeight="1" x14ac:dyDescent="0.3">
      <c r="L19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199" s="1">
        <f>N198+Table1181920231030313235383940414811151820283172126373846[[#This Row],[اجمالي الفاتوره]]-Table1181920231030313235383940414811151820283172126373846[[#This Row],[الدفعات]]</f>
        <v>24616.119999999995</v>
      </c>
    </row>
    <row r="200" spans="12:14" s="1" customFormat="1" ht="25.2" customHeight="1" x14ac:dyDescent="0.3">
      <c r="L20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00" s="1">
        <f>N199+Table1181920231030313235383940414811151820283172126373846[[#This Row],[اجمالي الفاتوره]]-Table1181920231030313235383940414811151820283172126373846[[#This Row],[الدفعات]]</f>
        <v>24616.119999999995</v>
      </c>
    </row>
    <row r="201" spans="12:14" s="1" customFormat="1" ht="25.2" customHeight="1" x14ac:dyDescent="0.3">
      <c r="L20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01" s="1">
        <f>N200+Table1181920231030313235383940414811151820283172126373846[[#This Row],[اجمالي الفاتوره]]-Table1181920231030313235383940414811151820283172126373846[[#This Row],[الدفعات]]</f>
        <v>24616.119999999995</v>
      </c>
    </row>
    <row r="202" spans="12:14" s="1" customFormat="1" ht="25.2" customHeight="1" x14ac:dyDescent="0.3">
      <c r="L20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02" s="1">
        <f>N201+Table1181920231030313235383940414811151820283172126373846[[#This Row],[اجمالي الفاتوره]]-Table1181920231030313235383940414811151820283172126373846[[#This Row],[الدفعات]]</f>
        <v>24616.119999999995</v>
      </c>
    </row>
    <row r="203" spans="12:14" s="1" customFormat="1" ht="25.2" customHeight="1" x14ac:dyDescent="0.3">
      <c r="L20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03" s="1">
        <f>N202+Table1181920231030313235383940414811151820283172126373846[[#This Row],[اجمالي الفاتوره]]-Table1181920231030313235383940414811151820283172126373846[[#This Row],[الدفعات]]</f>
        <v>24616.119999999995</v>
      </c>
    </row>
    <row r="204" spans="12:14" s="1" customFormat="1" ht="25.2" customHeight="1" x14ac:dyDescent="0.3">
      <c r="L20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04" s="1">
        <f>N203+Table1181920231030313235383940414811151820283172126373846[[#This Row],[اجمالي الفاتوره]]-Table1181920231030313235383940414811151820283172126373846[[#This Row],[الدفعات]]</f>
        <v>24616.119999999995</v>
      </c>
    </row>
    <row r="205" spans="12:14" s="1" customFormat="1" ht="25.2" customHeight="1" x14ac:dyDescent="0.3">
      <c r="L20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05" s="1">
        <f>N204+Table1181920231030313235383940414811151820283172126373846[[#This Row],[اجمالي الفاتوره]]-Table1181920231030313235383940414811151820283172126373846[[#This Row],[الدفعات]]</f>
        <v>24616.119999999995</v>
      </c>
    </row>
    <row r="206" spans="12:14" s="1" customFormat="1" ht="25.2" customHeight="1" x14ac:dyDescent="0.3">
      <c r="L20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06" s="1">
        <f>N205+Table1181920231030313235383940414811151820283172126373846[[#This Row],[اجمالي الفاتوره]]-Table1181920231030313235383940414811151820283172126373846[[#This Row],[الدفعات]]</f>
        <v>24616.119999999995</v>
      </c>
    </row>
    <row r="207" spans="12:14" s="1" customFormat="1" ht="25.2" customHeight="1" x14ac:dyDescent="0.3">
      <c r="L20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07" s="1">
        <f>N206+Table1181920231030313235383940414811151820283172126373846[[#This Row],[اجمالي الفاتوره]]-Table1181920231030313235383940414811151820283172126373846[[#This Row],[الدفعات]]</f>
        <v>24616.119999999995</v>
      </c>
    </row>
    <row r="208" spans="12:14" s="1" customFormat="1" ht="25.2" customHeight="1" x14ac:dyDescent="0.3">
      <c r="L20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08" s="1">
        <f>N207+Table1181920231030313235383940414811151820283172126373846[[#This Row],[اجمالي الفاتوره]]-Table1181920231030313235383940414811151820283172126373846[[#This Row],[الدفعات]]</f>
        <v>24616.119999999995</v>
      </c>
    </row>
    <row r="209" spans="12:14" s="1" customFormat="1" ht="25.2" customHeight="1" x14ac:dyDescent="0.3">
      <c r="L20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09" s="1">
        <f>N208+Table1181920231030313235383940414811151820283172126373846[[#This Row],[اجمالي الفاتوره]]-Table1181920231030313235383940414811151820283172126373846[[#This Row],[الدفعات]]</f>
        <v>24616.119999999995</v>
      </c>
    </row>
    <row r="210" spans="12:14" s="1" customFormat="1" ht="25.2" customHeight="1" x14ac:dyDescent="0.3">
      <c r="L21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10" s="1">
        <f>N209+Table1181920231030313235383940414811151820283172126373846[[#This Row],[اجمالي الفاتوره]]-Table1181920231030313235383940414811151820283172126373846[[#This Row],[الدفعات]]</f>
        <v>24616.119999999995</v>
      </c>
    </row>
    <row r="211" spans="12:14" s="1" customFormat="1" ht="25.2" customHeight="1" x14ac:dyDescent="0.3">
      <c r="L21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11" s="1">
        <f>N210+Table1181920231030313235383940414811151820283172126373846[[#This Row],[اجمالي الفاتوره]]-Table1181920231030313235383940414811151820283172126373846[[#This Row],[الدفعات]]</f>
        <v>24616.119999999995</v>
      </c>
    </row>
    <row r="212" spans="12:14" s="1" customFormat="1" ht="25.2" customHeight="1" x14ac:dyDescent="0.3">
      <c r="L21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12" s="1">
        <f>N211+Table1181920231030313235383940414811151820283172126373846[[#This Row],[اجمالي الفاتوره]]-Table1181920231030313235383940414811151820283172126373846[[#This Row],[الدفعات]]</f>
        <v>24616.119999999995</v>
      </c>
    </row>
    <row r="213" spans="12:14" s="1" customFormat="1" ht="25.2" customHeight="1" x14ac:dyDescent="0.3">
      <c r="L21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13" s="1">
        <f>N212+Table1181920231030313235383940414811151820283172126373846[[#This Row],[اجمالي الفاتوره]]-Table1181920231030313235383940414811151820283172126373846[[#This Row],[الدفعات]]</f>
        <v>24616.119999999995</v>
      </c>
    </row>
    <row r="214" spans="12:14" s="1" customFormat="1" ht="25.2" customHeight="1" x14ac:dyDescent="0.3">
      <c r="L21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14" s="1">
        <f>N213+Table1181920231030313235383940414811151820283172126373846[[#This Row],[اجمالي الفاتوره]]-Table1181920231030313235383940414811151820283172126373846[[#This Row],[الدفعات]]</f>
        <v>24616.119999999995</v>
      </c>
    </row>
    <row r="215" spans="12:14" s="1" customFormat="1" ht="25.2" customHeight="1" x14ac:dyDescent="0.3">
      <c r="L21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15" s="1">
        <f>N214+Table1181920231030313235383940414811151820283172126373846[[#This Row],[اجمالي الفاتوره]]-Table1181920231030313235383940414811151820283172126373846[[#This Row],[الدفعات]]</f>
        <v>24616.119999999995</v>
      </c>
    </row>
    <row r="216" spans="12:14" s="1" customFormat="1" ht="25.2" customHeight="1" x14ac:dyDescent="0.3">
      <c r="L21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16" s="1">
        <f>N215+Table1181920231030313235383940414811151820283172126373846[[#This Row],[اجمالي الفاتوره]]-Table1181920231030313235383940414811151820283172126373846[[#This Row],[الدفعات]]</f>
        <v>24616.119999999995</v>
      </c>
    </row>
    <row r="217" spans="12:14" s="1" customFormat="1" ht="25.2" customHeight="1" x14ac:dyDescent="0.3">
      <c r="L21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17" s="1">
        <f>N216+Table1181920231030313235383940414811151820283172126373846[[#This Row],[اجمالي الفاتوره]]-Table1181920231030313235383940414811151820283172126373846[[#This Row],[الدفعات]]</f>
        <v>24616.119999999995</v>
      </c>
    </row>
    <row r="218" spans="12:14" s="1" customFormat="1" ht="25.2" customHeight="1" x14ac:dyDescent="0.3">
      <c r="L21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18" s="1">
        <f>N217+Table1181920231030313235383940414811151820283172126373846[[#This Row],[اجمالي الفاتوره]]-Table1181920231030313235383940414811151820283172126373846[[#This Row],[الدفعات]]</f>
        <v>24616.119999999995</v>
      </c>
    </row>
    <row r="219" spans="12:14" s="1" customFormat="1" ht="25.2" customHeight="1" x14ac:dyDescent="0.3">
      <c r="L21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19" s="1">
        <f>N218+Table1181920231030313235383940414811151820283172126373846[[#This Row],[اجمالي الفاتوره]]-Table1181920231030313235383940414811151820283172126373846[[#This Row],[الدفعات]]</f>
        <v>24616.119999999995</v>
      </c>
    </row>
    <row r="220" spans="12:14" s="1" customFormat="1" ht="25.2" customHeight="1" x14ac:dyDescent="0.3">
      <c r="L22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20" s="1">
        <f>N219+Table1181920231030313235383940414811151820283172126373846[[#This Row],[اجمالي الفاتوره]]-Table1181920231030313235383940414811151820283172126373846[[#This Row],[الدفعات]]</f>
        <v>24616.119999999995</v>
      </c>
    </row>
    <row r="221" spans="12:14" s="1" customFormat="1" ht="25.2" customHeight="1" x14ac:dyDescent="0.3">
      <c r="L22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21" s="1">
        <f>N220+Table1181920231030313235383940414811151820283172126373846[[#This Row],[اجمالي الفاتوره]]-Table1181920231030313235383940414811151820283172126373846[[#This Row],[الدفعات]]</f>
        <v>24616.119999999995</v>
      </c>
    </row>
    <row r="222" spans="12:14" s="1" customFormat="1" ht="25.2" customHeight="1" x14ac:dyDescent="0.3">
      <c r="L22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22" s="1">
        <f>N221+Table1181920231030313235383940414811151820283172126373846[[#This Row],[اجمالي الفاتوره]]-Table1181920231030313235383940414811151820283172126373846[[#This Row],[الدفعات]]</f>
        <v>24616.119999999995</v>
      </c>
    </row>
    <row r="223" spans="12:14" s="1" customFormat="1" ht="25.2" customHeight="1" x14ac:dyDescent="0.3">
      <c r="L22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23" s="1">
        <f>N222+Table1181920231030313235383940414811151820283172126373846[[#This Row],[اجمالي الفاتوره]]-Table1181920231030313235383940414811151820283172126373846[[#This Row],[الدفعات]]</f>
        <v>24616.119999999995</v>
      </c>
    </row>
    <row r="224" spans="12:14" s="1" customFormat="1" ht="25.2" customHeight="1" x14ac:dyDescent="0.3">
      <c r="L22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24" s="1">
        <f>N223+Table1181920231030313235383940414811151820283172126373846[[#This Row],[اجمالي الفاتوره]]-Table1181920231030313235383940414811151820283172126373846[[#This Row],[الدفعات]]</f>
        <v>24616.119999999995</v>
      </c>
    </row>
    <row r="225" spans="10:14" s="1" customFormat="1" ht="25.2" customHeight="1" x14ac:dyDescent="0.3">
      <c r="L22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25" s="1">
        <f>N224+Table1181920231030313235383940414811151820283172126373846[[#This Row],[اجمالي الفاتوره]]-Table1181920231030313235383940414811151820283172126373846[[#This Row],[الدفعات]]</f>
        <v>24616.119999999995</v>
      </c>
    </row>
    <row r="226" spans="10:14" s="1" customFormat="1" ht="25.2" customHeight="1" x14ac:dyDescent="0.3">
      <c r="L22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26" s="1">
        <f>N225+Table1181920231030313235383940414811151820283172126373846[[#This Row],[اجمالي الفاتوره]]-Table1181920231030313235383940414811151820283172126373846[[#This Row],[الدفعات]]</f>
        <v>24616.119999999995</v>
      </c>
    </row>
    <row r="227" spans="10:14" s="1" customFormat="1" ht="25.2" customHeight="1" x14ac:dyDescent="0.3">
      <c r="L22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27" s="1">
        <f>N226+Table1181920231030313235383940414811151820283172126373846[[#This Row],[اجمالي الفاتوره]]-Table1181920231030313235383940414811151820283172126373846[[#This Row],[الدفعات]]</f>
        <v>24616.119999999995</v>
      </c>
    </row>
    <row r="228" spans="10:14" s="1" customFormat="1" ht="25.2" customHeight="1" x14ac:dyDescent="0.3">
      <c r="L22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28" s="1">
        <f>N227+Table1181920231030313235383940414811151820283172126373846[[#This Row],[اجمالي الفاتوره]]-Table1181920231030313235383940414811151820283172126373846[[#This Row],[الدفعات]]</f>
        <v>24616.119999999995</v>
      </c>
    </row>
    <row r="229" spans="10:14" s="1" customFormat="1" ht="25.2" customHeight="1" x14ac:dyDescent="0.3">
      <c r="L22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29" s="1">
        <f>N228+Table1181920231030313235383940414811151820283172126373846[[#This Row],[اجمالي الفاتوره]]-Table1181920231030313235383940414811151820283172126373846[[#This Row],[الدفعات]]</f>
        <v>24616.119999999995</v>
      </c>
    </row>
    <row r="230" spans="10:14" s="1" customFormat="1" ht="25.2" customHeight="1" x14ac:dyDescent="0.3">
      <c r="L23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30" s="1">
        <f>N229+Table1181920231030313235383940414811151820283172126373846[[#This Row],[اجمالي الفاتوره]]-Table1181920231030313235383940414811151820283172126373846[[#This Row],[الدفعات]]</f>
        <v>24616.119999999995</v>
      </c>
    </row>
    <row r="231" spans="10:14" s="1" customFormat="1" ht="25.2" customHeight="1" x14ac:dyDescent="0.3">
      <c r="L23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31" s="1">
        <f>N230+Table1181920231030313235383940414811151820283172126373846[[#This Row],[اجمالي الفاتوره]]-Table1181920231030313235383940414811151820283172126373846[[#This Row],[الدفعات]]</f>
        <v>24616.119999999995</v>
      </c>
    </row>
    <row r="232" spans="10:14" s="1" customFormat="1" ht="25.2" customHeight="1" x14ac:dyDescent="0.3">
      <c r="L23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32" s="1">
        <f>N231+Table1181920231030313235383940414811151820283172126373846[[#This Row],[اجمالي الفاتوره]]-Table1181920231030313235383940414811151820283172126373846[[#This Row],[الدفعات]]</f>
        <v>24616.119999999995</v>
      </c>
    </row>
    <row r="233" spans="10:14" s="1" customFormat="1" ht="25.2" customHeight="1" x14ac:dyDescent="0.3">
      <c r="L23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33" s="1">
        <f>N232+Table1181920231030313235383940414811151820283172126373846[[#This Row],[اجمالي الفاتوره]]-Table1181920231030313235383940414811151820283172126373846[[#This Row],[الدفعات]]</f>
        <v>24616.119999999995</v>
      </c>
    </row>
    <row r="234" spans="10:14" s="1" customFormat="1" ht="25.2" customHeight="1" x14ac:dyDescent="0.3">
      <c r="L23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34" s="1">
        <f>N233+Table1181920231030313235383940414811151820283172126373846[[#This Row],[اجمالي الفاتوره]]-Table1181920231030313235383940414811151820283172126373846[[#This Row],[الدفعات]]</f>
        <v>24616.119999999995</v>
      </c>
    </row>
    <row r="235" spans="10:14" s="1" customFormat="1" ht="25.2" customHeight="1" x14ac:dyDescent="0.3">
      <c r="L23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35" s="1">
        <f>N234+Table1181920231030313235383940414811151820283172126373846[[#This Row],[اجمالي الفاتوره]]-Table1181920231030313235383940414811151820283172126373846[[#This Row],[الدفعات]]</f>
        <v>24616.119999999995</v>
      </c>
    </row>
    <row r="236" spans="10:14" s="1" customFormat="1" ht="25.2" customHeight="1" x14ac:dyDescent="0.3">
      <c r="L23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36" s="1">
        <f>N235+Table1181920231030313235383940414811151820283172126373846[[#This Row],[اجمالي الفاتوره]]-Table1181920231030313235383940414811151820283172126373846[[#This Row],[الدفعات]]</f>
        <v>24616.119999999995</v>
      </c>
    </row>
    <row r="237" spans="10:14" s="1" customFormat="1" ht="25.2" customHeight="1" x14ac:dyDescent="0.3">
      <c r="L23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37" s="1">
        <f>N236+Table1181920231030313235383940414811151820283172126373846[[#This Row],[اجمالي الفاتوره]]-Table1181920231030313235383940414811151820283172126373846[[#This Row],[الدفعات]]</f>
        <v>24616.119999999995</v>
      </c>
    </row>
    <row r="238" spans="10:14" s="1" customFormat="1" ht="25.2" customHeight="1" x14ac:dyDescent="0.3">
      <c r="J238" s="1">
        <f>0.03*Table1181920231030313235383940414811151820283172126373846[[#This Row],[النولون]]</f>
        <v>0</v>
      </c>
      <c r="L23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38" s="1">
        <f>N237+Table1181920231030313235383940414811151820283172126373846[[#This Row],[اجمالي الفاتوره]]-Table1181920231030313235383940414811151820283172126373846[[#This Row],[الدفعات]]</f>
        <v>24616.119999999995</v>
      </c>
    </row>
    <row r="239" spans="10:14" s="1" customFormat="1" ht="25.2" customHeight="1" x14ac:dyDescent="0.3">
      <c r="J239" s="1">
        <f>0.03*Table1181920231030313235383940414811151820283172126373846[[#This Row],[النولون]]</f>
        <v>0</v>
      </c>
      <c r="L23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39" s="1">
        <f>N238+Table1181920231030313235383940414811151820283172126373846[[#This Row],[اجمالي الفاتوره]]-Table1181920231030313235383940414811151820283172126373846[[#This Row],[الدفعات]]</f>
        <v>24616.119999999995</v>
      </c>
    </row>
    <row r="240" spans="10:14" s="1" customFormat="1" ht="25.2" customHeight="1" x14ac:dyDescent="0.3">
      <c r="J240" s="1">
        <f>0.03*Table1181920231030313235383940414811151820283172126373846[[#This Row],[النولون]]</f>
        <v>0</v>
      </c>
      <c r="L24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40" s="1">
        <f>N239+Table1181920231030313235383940414811151820283172126373846[[#This Row],[اجمالي الفاتوره]]-Table1181920231030313235383940414811151820283172126373846[[#This Row],[الدفعات]]</f>
        <v>24616.119999999995</v>
      </c>
    </row>
    <row r="241" spans="10:14" s="1" customFormat="1" ht="25.2" customHeight="1" x14ac:dyDescent="0.3">
      <c r="J241" s="1">
        <f>0.03*Table1181920231030313235383940414811151820283172126373846[[#This Row],[النولون]]</f>
        <v>0</v>
      </c>
      <c r="L24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41" s="1">
        <f>N240+Table1181920231030313235383940414811151820283172126373846[[#This Row],[اجمالي الفاتوره]]-Table1181920231030313235383940414811151820283172126373846[[#This Row],[الدفعات]]</f>
        <v>24616.119999999995</v>
      </c>
    </row>
    <row r="242" spans="10:14" s="1" customFormat="1" ht="25.2" customHeight="1" x14ac:dyDescent="0.3">
      <c r="J242" s="1">
        <f>0.03*Table1181920231030313235383940414811151820283172126373846[[#This Row],[النولون]]</f>
        <v>0</v>
      </c>
      <c r="L24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42" s="1">
        <f>N241+Table1181920231030313235383940414811151820283172126373846[[#This Row],[اجمالي الفاتوره]]-Table1181920231030313235383940414811151820283172126373846[[#This Row],[الدفعات]]</f>
        <v>24616.119999999995</v>
      </c>
    </row>
    <row r="243" spans="10:14" s="1" customFormat="1" ht="25.2" customHeight="1" x14ac:dyDescent="0.3">
      <c r="J243" s="1">
        <f>0.03*Table1181920231030313235383940414811151820283172126373846[[#This Row],[النولون]]</f>
        <v>0</v>
      </c>
      <c r="L24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43" s="1">
        <f>N242+Table1181920231030313235383940414811151820283172126373846[[#This Row],[اجمالي الفاتوره]]-Table1181920231030313235383940414811151820283172126373846[[#This Row],[الدفعات]]</f>
        <v>24616.119999999995</v>
      </c>
    </row>
    <row r="244" spans="10:14" s="1" customFormat="1" ht="25.2" customHeight="1" x14ac:dyDescent="0.3">
      <c r="J244" s="1">
        <f>0.03*Table1181920231030313235383940414811151820283172126373846[[#This Row],[النولون]]</f>
        <v>0</v>
      </c>
      <c r="L24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44" s="1">
        <f>N243+Table1181920231030313235383940414811151820283172126373846[[#This Row],[اجمالي الفاتوره]]-Table1181920231030313235383940414811151820283172126373846[[#This Row],[الدفعات]]</f>
        <v>24616.119999999995</v>
      </c>
    </row>
    <row r="245" spans="10:14" s="1" customFormat="1" ht="25.2" customHeight="1" x14ac:dyDescent="0.3">
      <c r="J245" s="1">
        <f>0.03*Table1181920231030313235383940414811151820283172126373846[[#This Row],[النولون]]</f>
        <v>0</v>
      </c>
      <c r="L24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45" s="1">
        <f>N244+Table1181920231030313235383940414811151820283172126373846[[#This Row],[اجمالي الفاتوره]]-Table1181920231030313235383940414811151820283172126373846[[#This Row],[الدفعات]]</f>
        <v>24616.119999999995</v>
      </c>
    </row>
    <row r="246" spans="10:14" s="1" customFormat="1" ht="25.2" customHeight="1" x14ac:dyDescent="0.3">
      <c r="J246" s="1">
        <f>0.03*Table1181920231030313235383940414811151820283172126373846[[#This Row],[النولون]]</f>
        <v>0</v>
      </c>
      <c r="L24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46" s="1">
        <f>N245+Table1181920231030313235383940414811151820283172126373846[[#This Row],[اجمالي الفاتوره]]-Table1181920231030313235383940414811151820283172126373846[[#This Row],[الدفعات]]</f>
        <v>24616.119999999995</v>
      </c>
    </row>
    <row r="247" spans="10:14" s="1" customFormat="1" ht="25.2" customHeight="1" x14ac:dyDescent="0.3">
      <c r="J247" s="1">
        <f>0.03*Table1181920231030313235383940414811151820283172126373846[[#This Row],[النولون]]</f>
        <v>0</v>
      </c>
      <c r="L24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47" s="1">
        <f>N246+Table1181920231030313235383940414811151820283172126373846[[#This Row],[اجمالي الفاتوره]]-Table1181920231030313235383940414811151820283172126373846[[#This Row],[الدفعات]]</f>
        <v>24616.119999999995</v>
      </c>
    </row>
    <row r="248" spans="10:14" s="1" customFormat="1" ht="25.2" customHeight="1" x14ac:dyDescent="0.3">
      <c r="J248" s="1">
        <f>0.03*Table1181920231030313235383940414811151820283172126373846[[#This Row],[النولون]]</f>
        <v>0</v>
      </c>
      <c r="L24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48" s="1">
        <f>N247+Table1181920231030313235383940414811151820283172126373846[[#This Row],[اجمالي الفاتوره]]-Table1181920231030313235383940414811151820283172126373846[[#This Row],[الدفعات]]</f>
        <v>24616.119999999995</v>
      </c>
    </row>
    <row r="249" spans="10:14" s="1" customFormat="1" ht="25.2" customHeight="1" x14ac:dyDescent="0.3">
      <c r="J249" s="1">
        <f>0.03*Table1181920231030313235383940414811151820283172126373846[[#This Row],[النولون]]</f>
        <v>0</v>
      </c>
      <c r="L24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49" s="1">
        <f>N248+Table1181920231030313235383940414811151820283172126373846[[#This Row],[اجمالي الفاتوره]]-Table1181920231030313235383940414811151820283172126373846[[#This Row],[الدفعات]]</f>
        <v>24616.119999999995</v>
      </c>
    </row>
    <row r="250" spans="10:14" s="1" customFormat="1" ht="25.2" customHeight="1" x14ac:dyDescent="0.3">
      <c r="J250" s="1">
        <f>0.03*Table1181920231030313235383940414811151820283172126373846[[#This Row],[النولون]]</f>
        <v>0</v>
      </c>
      <c r="L25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50" s="1">
        <f>N249+Table1181920231030313235383940414811151820283172126373846[[#This Row],[اجمالي الفاتوره]]-Table1181920231030313235383940414811151820283172126373846[[#This Row],[الدفعات]]</f>
        <v>24616.119999999995</v>
      </c>
    </row>
    <row r="251" spans="10:14" s="1" customFormat="1" ht="25.2" customHeight="1" x14ac:dyDescent="0.3">
      <c r="J251" s="1">
        <f>0.03*Table1181920231030313235383940414811151820283172126373846[[#This Row],[النولون]]</f>
        <v>0</v>
      </c>
      <c r="L25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51" s="1">
        <f>N250+Table1181920231030313235383940414811151820283172126373846[[#This Row],[اجمالي الفاتوره]]-Table1181920231030313235383940414811151820283172126373846[[#This Row],[الدفعات]]</f>
        <v>24616.119999999995</v>
      </c>
    </row>
    <row r="252" spans="10:14" s="1" customFormat="1" ht="25.2" customHeight="1" x14ac:dyDescent="0.3">
      <c r="J252" s="1">
        <f>0.03*Table1181920231030313235383940414811151820283172126373846[[#This Row],[النولون]]</f>
        <v>0</v>
      </c>
      <c r="L25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52" s="1">
        <f>N251+Table1181920231030313235383940414811151820283172126373846[[#This Row],[اجمالي الفاتوره]]-Table1181920231030313235383940414811151820283172126373846[[#This Row],[الدفعات]]</f>
        <v>24616.119999999995</v>
      </c>
    </row>
    <row r="253" spans="10:14" s="1" customFormat="1" ht="25.2" customHeight="1" x14ac:dyDescent="0.3">
      <c r="J253" s="1">
        <f>0.03*Table1181920231030313235383940414811151820283172126373846[[#This Row],[النولون]]</f>
        <v>0</v>
      </c>
      <c r="L25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53" s="1">
        <f>N252+Table1181920231030313235383940414811151820283172126373846[[#This Row],[اجمالي الفاتوره]]-Table1181920231030313235383940414811151820283172126373846[[#This Row],[الدفعات]]</f>
        <v>24616.119999999995</v>
      </c>
    </row>
    <row r="254" spans="10:14" s="1" customFormat="1" ht="25.2" customHeight="1" x14ac:dyDescent="0.3">
      <c r="J254" s="1">
        <f>0.03*Table1181920231030313235383940414811151820283172126373846[[#This Row],[النولون]]</f>
        <v>0</v>
      </c>
      <c r="L25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54" s="1">
        <f>N253+Table1181920231030313235383940414811151820283172126373846[[#This Row],[اجمالي الفاتوره]]-Table1181920231030313235383940414811151820283172126373846[[#This Row],[الدفعات]]</f>
        <v>24616.119999999995</v>
      </c>
    </row>
    <row r="255" spans="10:14" s="1" customFormat="1" ht="25.2" customHeight="1" x14ac:dyDescent="0.3">
      <c r="J255" s="1">
        <f>0.03*Table1181920231030313235383940414811151820283172126373846[[#This Row],[النولون]]</f>
        <v>0</v>
      </c>
      <c r="L25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55" s="1">
        <f>N254+Table1181920231030313235383940414811151820283172126373846[[#This Row],[اجمالي الفاتوره]]-Table1181920231030313235383940414811151820283172126373846[[#This Row],[الدفعات]]</f>
        <v>24616.119999999995</v>
      </c>
    </row>
    <row r="256" spans="10:14" s="1" customFormat="1" ht="25.2" customHeight="1" x14ac:dyDescent="0.3">
      <c r="J256" s="1">
        <f>0.03*Table1181920231030313235383940414811151820283172126373846[[#This Row],[النولون]]</f>
        <v>0</v>
      </c>
      <c r="L25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56" s="1">
        <f>N255+Table1181920231030313235383940414811151820283172126373846[[#This Row],[اجمالي الفاتوره]]-Table1181920231030313235383940414811151820283172126373846[[#This Row],[الدفعات]]</f>
        <v>24616.119999999995</v>
      </c>
    </row>
    <row r="257" spans="10:14" s="1" customFormat="1" ht="25.2" customHeight="1" x14ac:dyDescent="0.3">
      <c r="J257" s="1">
        <f>0.03*Table1181920231030313235383940414811151820283172126373846[[#This Row],[النولون]]</f>
        <v>0</v>
      </c>
      <c r="L25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57" s="1">
        <f>N256+Table1181920231030313235383940414811151820283172126373846[[#This Row],[اجمالي الفاتوره]]-Table1181920231030313235383940414811151820283172126373846[[#This Row],[الدفعات]]</f>
        <v>24616.119999999995</v>
      </c>
    </row>
    <row r="258" spans="10:14" s="1" customFormat="1" ht="25.2" customHeight="1" x14ac:dyDescent="0.3">
      <c r="J258" s="1">
        <f>0.03*Table1181920231030313235383940414811151820283172126373846[[#This Row],[النولون]]</f>
        <v>0</v>
      </c>
      <c r="L25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58" s="1">
        <f>N257+Table1181920231030313235383940414811151820283172126373846[[#This Row],[اجمالي الفاتوره]]-Table1181920231030313235383940414811151820283172126373846[[#This Row],[الدفعات]]</f>
        <v>24616.119999999995</v>
      </c>
    </row>
    <row r="259" spans="10:14" s="1" customFormat="1" ht="25.2" customHeight="1" x14ac:dyDescent="0.3">
      <c r="J259" s="1">
        <f>0.03*Table1181920231030313235383940414811151820283172126373846[[#This Row],[النولون]]</f>
        <v>0</v>
      </c>
      <c r="L25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59" s="1">
        <f>N258+Table1181920231030313235383940414811151820283172126373846[[#This Row],[اجمالي الفاتوره]]-Table1181920231030313235383940414811151820283172126373846[[#This Row],[الدفعات]]</f>
        <v>24616.119999999995</v>
      </c>
    </row>
    <row r="260" spans="10:14" s="1" customFormat="1" ht="25.2" customHeight="1" x14ac:dyDescent="0.3">
      <c r="J260" s="1">
        <f>0.03*Table1181920231030313235383940414811151820283172126373846[[#This Row],[النولون]]</f>
        <v>0</v>
      </c>
      <c r="L26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60" s="1">
        <f>N259+Table1181920231030313235383940414811151820283172126373846[[#This Row],[اجمالي الفاتوره]]-Table1181920231030313235383940414811151820283172126373846[[#This Row],[الدفعات]]</f>
        <v>24616.119999999995</v>
      </c>
    </row>
    <row r="261" spans="10:14" s="1" customFormat="1" ht="25.2" customHeight="1" x14ac:dyDescent="0.3">
      <c r="J261" s="1">
        <f>0.03*Table1181920231030313235383940414811151820283172126373846[[#This Row],[النولون]]</f>
        <v>0</v>
      </c>
      <c r="L26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61" s="1">
        <f>N260+Table1181920231030313235383940414811151820283172126373846[[#This Row],[اجمالي الفاتوره]]-Table1181920231030313235383940414811151820283172126373846[[#This Row],[الدفعات]]</f>
        <v>24616.119999999995</v>
      </c>
    </row>
    <row r="262" spans="10:14" s="1" customFormat="1" ht="25.2" customHeight="1" x14ac:dyDescent="0.3">
      <c r="J262" s="1">
        <f>0.03*Table1181920231030313235383940414811151820283172126373846[[#This Row],[النولون]]</f>
        <v>0</v>
      </c>
      <c r="L26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62" s="1">
        <f>N261+Table1181920231030313235383940414811151820283172126373846[[#This Row],[اجمالي الفاتوره]]-Table1181920231030313235383940414811151820283172126373846[[#This Row],[الدفعات]]</f>
        <v>24616.119999999995</v>
      </c>
    </row>
    <row r="263" spans="10:14" s="1" customFormat="1" ht="25.2" customHeight="1" x14ac:dyDescent="0.3">
      <c r="J263" s="1">
        <f>0.03*Table1181920231030313235383940414811151820283172126373846[[#This Row],[النولون]]</f>
        <v>0</v>
      </c>
      <c r="L26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63" s="1">
        <f>N262+Table1181920231030313235383940414811151820283172126373846[[#This Row],[اجمالي الفاتوره]]-Table1181920231030313235383940414811151820283172126373846[[#This Row],[الدفعات]]</f>
        <v>24616.119999999995</v>
      </c>
    </row>
    <row r="264" spans="10:14" s="1" customFormat="1" ht="25.2" customHeight="1" x14ac:dyDescent="0.3">
      <c r="J264" s="1">
        <f>0.03*Table1181920231030313235383940414811151820283172126373846[[#This Row],[النولون]]</f>
        <v>0</v>
      </c>
      <c r="L26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64" s="1">
        <f>N263+Table1181920231030313235383940414811151820283172126373846[[#This Row],[اجمالي الفاتوره]]-Table1181920231030313235383940414811151820283172126373846[[#This Row],[الدفعات]]</f>
        <v>24616.119999999995</v>
      </c>
    </row>
    <row r="265" spans="10:14" s="1" customFormat="1" ht="25.2" customHeight="1" x14ac:dyDescent="0.3">
      <c r="J265" s="1">
        <f>0.03*Table1181920231030313235383940414811151820283172126373846[[#This Row],[النولون]]</f>
        <v>0</v>
      </c>
      <c r="L26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65" s="1">
        <f>N264+Table1181920231030313235383940414811151820283172126373846[[#This Row],[اجمالي الفاتوره]]-Table1181920231030313235383940414811151820283172126373846[[#This Row],[الدفعات]]</f>
        <v>24616.119999999995</v>
      </c>
    </row>
    <row r="266" spans="10:14" s="1" customFormat="1" ht="25.2" customHeight="1" x14ac:dyDescent="0.3">
      <c r="J266" s="1">
        <f>0.03*Table1181920231030313235383940414811151820283172126373846[[#This Row],[النولون]]</f>
        <v>0</v>
      </c>
      <c r="L26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66" s="1">
        <f>N265+Table1181920231030313235383940414811151820283172126373846[[#This Row],[اجمالي الفاتوره]]-Table1181920231030313235383940414811151820283172126373846[[#This Row],[الدفعات]]</f>
        <v>24616.119999999995</v>
      </c>
    </row>
    <row r="267" spans="10:14" s="1" customFormat="1" ht="25.2" customHeight="1" x14ac:dyDescent="0.3">
      <c r="J267" s="1">
        <f>0.03*Table1181920231030313235383940414811151820283172126373846[[#This Row],[النولون]]</f>
        <v>0</v>
      </c>
      <c r="L26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67" s="1">
        <f>N266+Table1181920231030313235383940414811151820283172126373846[[#This Row],[اجمالي الفاتوره]]-Table1181920231030313235383940414811151820283172126373846[[#This Row],[الدفعات]]</f>
        <v>24616.119999999995</v>
      </c>
    </row>
    <row r="268" spans="10:14" s="1" customFormat="1" ht="25.2" customHeight="1" x14ac:dyDescent="0.3">
      <c r="J268" s="1">
        <f>0.03*Table1181920231030313235383940414811151820283172126373846[[#This Row],[النولون]]</f>
        <v>0</v>
      </c>
      <c r="L26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68" s="1">
        <f>N267+Table1181920231030313235383940414811151820283172126373846[[#This Row],[اجمالي الفاتوره]]-Table1181920231030313235383940414811151820283172126373846[[#This Row],[الدفعات]]</f>
        <v>24616.119999999995</v>
      </c>
    </row>
    <row r="269" spans="10:14" s="1" customFormat="1" ht="25.2" customHeight="1" x14ac:dyDescent="0.3">
      <c r="J269" s="1">
        <f>0.03*Table1181920231030313235383940414811151820283172126373846[[#This Row],[النولون]]</f>
        <v>0</v>
      </c>
      <c r="L26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69" s="1">
        <f>N268+Table1181920231030313235383940414811151820283172126373846[[#This Row],[اجمالي الفاتوره]]-Table1181920231030313235383940414811151820283172126373846[[#This Row],[الدفعات]]</f>
        <v>24616.119999999995</v>
      </c>
    </row>
    <row r="270" spans="10:14" s="1" customFormat="1" ht="25.2" customHeight="1" x14ac:dyDescent="0.3">
      <c r="J270" s="1">
        <f>0.03*Table1181920231030313235383940414811151820283172126373846[[#This Row],[النولون]]</f>
        <v>0</v>
      </c>
      <c r="L27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70" s="1">
        <f>N269+Table1181920231030313235383940414811151820283172126373846[[#This Row],[اجمالي الفاتوره]]-Table1181920231030313235383940414811151820283172126373846[[#This Row],[الدفعات]]</f>
        <v>24616.119999999995</v>
      </c>
    </row>
    <row r="271" spans="10:14" s="1" customFormat="1" ht="25.2" customHeight="1" x14ac:dyDescent="0.3">
      <c r="J271" s="1">
        <f>0.03*Table1181920231030313235383940414811151820283172126373846[[#This Row],[النولون]]</f>
        <v>0</v>
      </c>
      <c r="L27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71" s="1">
        <f>N270+Table1181920231030313235383940414811151820283172126373846[[#This Row],[اجمالي الفاتوره]]-Table1181920231030313235383940414811151820283172126373846[[#This Row],[الدفعات]]</f>
        <v>24616.119999999995</v>
      </c>
    </row>
    <row r="272" spans="10:14" s="1" customFormat="1" ht="25.2" customHeight="1" x14ac:dyDescent="0.3">
      <c r="J272" s="1">
        <f>0.03*Table1181920231030313235383940414811151820283172126373846[[#This Row],[النولون]]</f>
        <v>0</v>
      </c>
      <c r="L27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72" s="1">
        <f>N271+Table1181920231030313235383940414811151820283172126373846[[#This Row],[اجمالي الفاتوره]]-Table1181920231030313235383940414811151820283172126373846[[#This Row],[الدفعات]]</f>
        <v>24616.119999999995</v>
      </c>
    </row>
    <row r="273" spans="10:14" s="1" customFormat="1" ht="25.2" customHeight="1" x14ac:dyDescent="0.3">
      <c r="J273" s="1">
        <f>0.03*Table1181920231030313235383940414811151820283172126373846[[#This Row],[النولون]]</f>
        <v>0</v>
      </c>
      <c r="L27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73" s="1">
        <f>N272+Table1181920231030313235383940414811151820283172126373846[[#This Row],[اجمالي الفاتوره]]-Table1181920231030313235383940414811151820283172126373846[[#This Row],[الدفعات]]</f>
        <v>24616.119999999995</v>
      </c>
    </row>
    <row r="274" spans="10:14" s="1" customFormat="1" ht="25.2" customHeight="1" x14ac:dyDescent="0.3">
      <c r="J274" s="1">
        <f>0.03*Table1181920231030313235383940414811151820283172126373846[[#This Row],[النولون]]</f>
        <v>0</v>
      </c>
      <c r="L27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74" s="1">
        <f>N273+Table1181920231030313235383940414811151820283172126373846[[#This Row],[اجمالي الفاتوره]]-Table1181920231030313235383940414811151820283172126373846[[#This Row],[الدفعات]]</f>
        <v>24616.119999999995</v>
      </c>
    </row>
    <row r="275" spans="10:14" s="1" customFormat="1" ht="25.2" customHeight="1" x14ac:dyDescent="0.3">
      <c r="J275" s="1">
        <f>0.03*Table1181920231030313235383940414811151820283172126373846[[#This Row],[النولون]]</f>
        <v>0</v>
      </c>
      <c r="L27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75" s="1">
        <f>N274+Table1181920231030313235383940414811151820283172126373846[[#This Row],[اجمالي الفاتوره]]-Table1181920231030313235383940414811151820283172126373846[[#This Row],[الدفعات]]</f>
        <v>24616.119999999995</v>
      </c>
    </row>
    <row r="276" spans="10:14" s="1" customFormat="1" ht="25.2" customHeight="1" x14ac:dyDescent="0.3">
      <c r="J276" s="1">
        <f>0.03*Table1181920231030313235383940414811151820283172126373846[[#This Row],[النولون]]</f>
        <v>0</v>
      </c>
      <c r="L27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76" s="1">
        <f>N275+Table1181920231030313235383940414811151820283172126373846[[#This Row],[اجمالي الفاتوره]]-Table1181920231030313235383940414811151820283172126373846[[#This Row],[الدفعات]]</f>
        <v>24616.119999999995</v>
      </c>
    </row>
    <row r="277" spans="10:14" s="1" customFormat="1" ht="25.2" customHeight="1" x14ac:dyDescent="0.3">
      <c r="J277" s="1">
        <f>0.03*Table1181920231030313235383940414811151820283172126373846[[#This Row],[النولون]]</f>
        <v>0</v>
      </c>
      <c r="L27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77" s="1">
        <f>N276+Table1181920231030313235383940414811151820283172126373846[[#This Row],[اجمالي الفاتوره]]-Table1181920231030313235383940414811151820283172126373846[[#This Row],[الدفعات]]</f>
        <v>24616.119999999995</v>
      </c>
    </row>
    <row r="278" spans="10:14" s="1" customFormat="1" ht="25.2" customHeight="1" x14ac:dyDescent="0.3">
      <c r="J278" s="1">
        <f>0.03*Table1181920231030313235383940414811151820283172126373846[[#This Row],[النولون]]</f>
        <v>0</v>
      </c>
      <c r="L27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78" s="1">
        <f>N277+Table1181920231030313235383940414811151820283172126373846[[#This Row],[اجمالي الفاتوره]]-Table1181920231030313235383940414811151820283172126373846[[#This Row],[الدفعات]]</f>
        <v>24616.119999999995</v>
      </c>
    </row>
    <row r="279" spans="10:14" s="1" customFormat="1" ht="25.2" customHeight="1" x14ac:dyDescent="0.3">
      <c r="J279" s="1">
        <f>0.03*Table1181920231030313235383940414811151820283172126373846[[#This Row],[النولون]]</f>
        <v>0</v>
      </c>
      <c r="L27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79" s="1">
        <f>N278+Table1181920231030313235383940414811151820283172126373846[[#This Row],[اجمالي الفاتوره]]-Table1181920231030313235383940414811151820283172126373846[[#This Row],[الدفعات]]</f>
        <v>24616.119999999995</v>
      </c>
    </row>
    <row r="280" spans="10:14" s="1" customFormat="1" ht="25.2" customHeight="1" x14ac:dyDescent="0.3">
      <c r="J280" s="1">
        <f>0.03*Table1181920231030313235383940414811151820283172126373846[[#This Row],[النولون]]</f>
        <v>0</v>
      </c>
      <c r="L28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80" s="1">
        <f>N279+Table1181920231030313235383940414811151820283172126373846[[#This Row],[اجمالي الفاتوره]]-Table1181920231030313235383940414811151820283172126373846[[#This Row],[الدفعات]]</f>
        <v>24616.119999999995</v>
      </c>
    </row>
    <row r="281" spans="10:14" s="1" customFormat="1" ht="25.2" customHeight="1" x14ac:dyDescent="0.3">
      <c r="J281" s="1">
        <f>0.03*Table1181920231030313235383940414811151820283172126373846[[#This Row],[النولون]]</f>
        <v>0</v>
      </c>
      <c r="L28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81" s="1">
        <f>N280+Table1181920231030313235383940414811151820283172126373846[[#This Row],[اجمالي الفاتوره]]-Table1181920231030313235383940414811151820283172126373846[[#This Row],[الدفعات]]</f>
        <v>24616.119999999995</v>
      </c>
    </row>
    <row r="282" spans="10:14" s="1" customFormat="1" ht="25.2" customHeight="1" x14ac:dyDescent="0.3">
      <c r="J282" s="1">
        <f>0.03*Table1181920231030313235383940414811151820283172126373846[[#This Row],[النولون]]</f>
        <v>0</v>
      </c>
      <c r="L28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82" s="1">
        <f>N281+Table1181920231030313235383940414811151820283172126373846[[#This Row],[اجمالي الفاتوره]]-Table1181920231030313235383940414811151820283172126373846[[#This Row],[الدفعات]]</f>
        <v>24616.119999999995</v>
      </c>
    </row>
    <row r="283" spans="10:14" s="1" customFormat="1" ht="25.2" customHeight="1" x14ac:dyDescent="0.3">
      <c r="J283" s="1">
        <f>0.03*Table1181920231030313235383940414811151820283172126373846[[#This Row],[النولون]]</f>
        <v>0</v>
      </c>
      <c r="L28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83" s="1">
        <f>N282+Table1181920231030313235383940414811151820283172126373846[[#This Row],[اجمالي الفاتوره]]-Table1181920231030313235383940414811151820283172126373846[[#This Row],[الدفعات]]</f>
        <v>24616.119999999995</v>
      </c>
    </row>
    <row r="284" spans="10:14" s="1" customFormat="1" ht="25.2" customHeight="1" x14ac:dyDescent="0.3">
      <c r="J284" s="1">
        <f>0.03*Table1181920231030313235383940414811151820283172126373846[[#This Row],[النولون]]</f>
        <v>0</v>
      </c>
      <c r="L28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84" s="1">
        <f>N283+Table1181920231030313235383940414811151820283172126373846[[#This Row],[اجمالي الفاتوره]]-Table1181920231030313235383940414811151820283172126373846[[#This Row],[الدفعات]]</f>
        <v>24616.119999999995</v>
      </c>
    </row>
    <row r="285" spans="10:14" s="1" customFormat="1" ht="25.2" customHeight="1" x14ac:dyDescent="0.3">
      <c r="J285" s="1">
        <f>0.03*Table1181920231030313235383940414811151820283172126373846[[#This Row],[النولون]]</f>
        <v>0</v>
      </c>
      <c r="L28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85" s="1">
        <f>N284+Table1181920231030313235383940414811151820283172126373846[[#This Row],[اجمالي الفاتوره]]-Table1181920231030313235383940414811151820283172126373846[[#This Row],[الدفعات]]</f>
        <v>24616.119999999995</v>
      </c>
    </row>
    <row r="286" spans="10:14" s="1" customFormat="1" ht="25.2" customHeight="1" x14ac:dyDescent="0.3">
      <c r="J286" s="1">
        <f>0.03*Table1181920231030313235383940414811151820283172126373846[[#This Row],[النولون]]</f>
        <v>0</v>
      </c>
      <c r="L28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86" s="1">
        <f>N285+Table1181920231030313235383940414811151820283172126373846[[#This Row],[اجمالي الفاتوره]]-Table1181920231030313235383940414811151820283172126373846[[#This Row],[الدفعات]]</f>
        <v>24616.119999999995</v>
      </c>
    </row>
    <row r="287" spans="10:14" s="1" customFormat="1" ht="25.2" customHeight="1" x14ac:dyDescent="0.3">
      <c r="J287" s="1">
        <f>0.03*Table1181920231030313235383940414811151820283172126373846[[#This Row],[النولون]]</f>
        <v>0</v>
      </c>
      <c r="L28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87" s="1">
        <f>N286+Table1181920231030313235383940414811151820283172126373846[[#This Row],[اجمالي الفاتوره]]-Table1181920231030313235383940414811151820283172126373846[[#This Row],[الدفعات]]</f>
        <v>24616.119999999995</v>
      </c>
    </row>
    <row r="288" spans="10:14" s="1" customFormat="1" ht="25.2" customHeight="1" x14ac:dyDescent="0.3">
      <c r="J288" s="1">
        <f>0.03*Table1181920231030313235383940414811151820283172126373846[[#This Row],[النولون]]</f>
        <v>0</v>
      </c>
      <c r="L28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88" s="1">
        <f>N287+Table1181920231030313235383940414811151820283172126373846[[#This Row],[اجمالي الفاتوره]]-Table1181920231030313235383940414811151820283172126373846[[#This Row],[الدفعات]]</f>
        <v>24616.119999999995</v>
      </c>
    </row>
    <row r="289" spans="10:14" s="1" customFormat="1" ht="25.2" customHeight="1" x14ac:dyDescent="0.3">
      <c r="J289" s="1">
        <f>0.03*Table1181920231030313235383940414811151820283172126373846[[#This Row],[النولون]]</f>
        <v>0</v>
      </c>
      <c r="L28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89" s="1">
        <f>N288+Table1181920231030313235383940414811151820283172126373846[[#This Row],[اجمالي الفاتوره]]-Table1181920231030313235383940414811151820283172126373846[[#This Row],[الدفعات]]</f>
        <v>24616.119999999995</v>
      </c>
    </row>
    <row r="290" spans="10:14" s="1" customFormat="1" ht="25.2" customHeight="1" x14ac:dyDescent="0.3">
      <c r="J290" s="1">
        <f>0.03*Table1181920231030313235383940414811151820283172126373846[[#This Row],[النولون]]</f>
        <v>0</v>
      </c>
      <c r="L29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90" s="1">
        <f>N289+Table1181920231030313235383940414811151820283172126373846[[#This Row],[اجمالي الفاتوره]]-Table1181920231030313235383940414811151820283172126373846[[#This Row],[الدفعات]]</f>
        <v>24616.119999999995</v>
      </c>
    </row>
    <row r="291" spans="10:14" s="1" customFormat="1" ht="25.2" customHeight="1" x14ac:dyDescent="0.3">
      <c r="J291" s="1">
        <f>0.03*Table1181920231030313235383940414811151820283172126373846[[#This Row],[النولون]]</f>
        <v>0</v>
      </c>
      <c r="L29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91" s="1">
        <f>N290+Table1181920231030313235383940414811151820283172126373846[[#This Row],[اجمالي الفاتوره]]-Table1181920231030313235383940414811151820283172126373846[[#This Row],[الدفعات]]</f>
        <v>24616.119999999995</v>
      </c>
    </row>
    <row r="292" spans="10:14" s="1" customFormat="1" ht="25.2" customHeight="1" x14ac:dyDescent="0.3">
      <c r="J292" s="1">
        <f>0.03*Table1181920231030313235383940414811151820283172126373846[[#This Row],[النولون]]</f>
        <v>0</v>
      </c>
      <c r="L29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92" s="1">
        <f>N291+Table1181920231030313235383940414811151820283172126373846[[#This Row],[اجمالي الفاتوره]]-Table1181920231030313235383940414811151820283172126373846[[#This Row],[الدفعات]]</f>
        <v>24616.119999999995</v>
      </c>
    </row>
    <row r="293" spans="10:14" s="1" customFormat="1" ht="25.2" customHeight="1" x14ac:dyDescent="0.3">
      <c r="J293" s="1">
        <f>0.03*Table1181920231030313235383940414811151820283172126373846[[#This Row],[النولون]]</f>
        <v>0</v>
      </c>
      <c r="L29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93" s="1">
        <f>N292+Table1181920231030313235383940414811151820283172126373846[[#This Row],[اجمالي الفاتوره]]-Table1181920231030313235383940414811151820283172126373846[[#This Row],[الدفعات]]</f>
        <v>24616.119999999995</v>
      </c>
    </row>
    <row r="294" spans="10:14" s="1" customFormat="1" ht="25.2" customHeight="1" x14ac:dyDescent="0.3">
      <c r="J294" s="1">
        <f>0.03*Table1181920231030313235383940414811151820283172126373846[[#This Row],[النولون]]</f>
        <v>0</v>
      </c>
      <c r="L29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94" s="1">
        <f>N293+Table1181920231030313235383940414811151820283172126373846[[#This Row],[اجمالي الفاتوره]]-Table1181920231030313235383940414811151820283172126373846[[#This Row],[الدفعات]]</f>
        <v>24616.119999999995</v>
      </c>
    </row>
    <row r="295" spans="10:14" s="1" customFormat="1" ht="25.2" customHeight="1" x14ac:dyDescent="0.3">
      <c r="J295" s="1">
        <f>0.03*Table1181920231030313235383940414811151820283172126373846[[#This Row],[النولون]]</f>
        <v>0</v>
      </c>
      <c r="L29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95" s="1">
        <f>N294+Table1181920231030313235383940414811151820283172126373846[[#This Row],[اجمالي الفاتوره]]-Table1181920231030313235383940414811151820283172126373846[[#This Row],[الدفعات]]</f>
        <v>24616.119999999995</v>
      </c>
    </row>
    <row r="296" spans="10:14" s="1" customFormat="1" ht="25.2" customHeight="1" x14ac:dyDescent="0.3">
      <c r="J296" s="1">
        <f>0.03*Table1181920231030313235383940414811151820283172126373846[[#This Row],[النولون]]</f>
        <v>0</v>
      </c>
      <c r="L29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96" s="1">
        <f>N295+Table1181920231030313235383940414811151820283172126373846[[#This Row],[اجمالي الفاتوره]]-Table1181920231030313235383940414811151820283172126373846[[#This Row],[الدفعات]]</f>
        <v>24616.119999999995</v>
      </c>
    </row>
    <row r="297" spans="10:14" s="1" customFormat="1" ht="25.2" customHeight="1" x14ac:dyDescent="0.3">
      <c r="J297" s="1">
        <f>0.03*Table1181920231030313235383940414811151820283172126373846[[#This Row],[النولون]]</f>
        <v>0</v>
      </c>
      <c r="L29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97" s="1">
        <f>N296+Table1181920231030313235383940414811151820283172126373846[[#This Row],[اجمالي الفاتوره]]-Table1181920231030313235383940414811151820283172126373846[[#This Row],[الدفعات]]</f>
        <v>24616.119999999995</v>
      </c>
    </row>
    <row r="298" spans="10:14" s="1" customFormat="1" ht="25.2" customHeight="1" x14ac:dyDescent="0.3">
      <c r="J298" s="1">
        <f>0.03*Table1181920231030313235383940414811151820283172126373846[[#This Row],[النولون]]</f>
        <v>0</v>
      </c>
      <c r="L29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98" s="1">
        <f>N297+Table1181920231030313235383940414811151820283172126373846[[#This Row],[اجمالي الفاتوره]]-Table1181920231030313235383940414811151820283172126373846[[#This Row],[الدفعات]]</f>
        <v>24616.119999999995</v>
      </c>
    </row>
    <row r="299" spans="10:14" s="1" customFormat="1" ht="25.2" customHeight="1" x14ac:dyDescent="0.3">
      <c r="J299" s="1">
        <f>0.03*Table1181920231030313235383940414811151820283172126373846[[#This Row],[النولون]]</f>
        <v>0</v>
      </c>
      <c r="L29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299" s="1">
        <f>N298+Table1181920231030313235383940414811151820283172126373846[[#This Row],[اجمالي الفاتوره]]-Table1181920231030313235383940414811151820283172126373846[[#This Row],[الدفعات]]</f>
        <v>24616.119999999995</v>
      </c>
    </row>
    <row r="300" spans="10:14" s="1" customFormat="1" ht="25.2" customHeight="1" x14ac:dyDescent="0.3">
      <c r="J300" s="1">
        <f>0.03*Table1181920231030313235383940414811151820283172126373846[[#This Row],[النولون]]</f>
        <v>0</v>
      </c>
      <c r="L30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00" s="1">
        <f>N299+Table1181920231030313235383940414811151820283172126373846[[#This Row],[اجمالي الفاتوره]]-Table1181920231030313235383940414811151820283172126373846[[#This Row],[الدفعات]]</f>
        <v>24616.119999999995</v>
      </c>
    </row>
    <row r="301" spans="10:14" s="1" customFormat="1" ht="25.2" customHeight="1" x14ac:dyDescent="0.3">
      <c r="J301" s="1">
        <f>0.03*Table1181920231030313235383940414811151820283172126373846[[#This Row],[النولون]]</f>
        <v>0</v>
      </c>
      <c r="L30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01" s="1">
        <f>N300+Table1181920231030313235383940414811151820283172126373846[[#This Row],[اجمالي الفاتوره]]-Table1181920231030313235383940414811151820283172126373846[[#This Row],[الدفعات]]</f>
        <v>24616.119999999995</v>
      </c>
    </row>
    <row r="302" spans="10:14" s="1" customFormat="1" ht="25.2" customHeight="1" x14ac:dyDescent="0.3">
      <c r="J302" s="1">
        <f>0.03*Table1181920231030313235383940414811151820283172126373846[[#This Row],[النولون]]</f>
        <v>0</v>
      </c>
      <c r="L30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02" s="1">
        <f>N301+Table1181920231030313235383940414811151820283172126373846[[#This Row],[اجمالي الفاتوره]]-Table1181920231030313235383940414811151820283172126373846[[#This Row],[الدفعات]]</f>
        <v>24616.119999999995</v>
      </c>
    </row>
    <row r="303" spans="10:14" s="1" customFormat="1" ht="25.2" customHeight="1" x14ac:dyDescent="0.3">
      <c r="J303" s="1">
        <f>0.03*Table1181920231030313235383940414811151820283172126373846[[#This Row],[النولون]]</f>
        <v>0</v>
      </c>
      <c r="L30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03" s="1">
        <f>N302+Table1181920231030313235383940414811151820283172126373846[[#This Row],[اجمالي الفاتوره]]-Table1181920231030313235383940414811151820283172126373846[[#This Row],[الدفعات]]</f>
        <v>24616.119999999995</v>
      </c>
    </row>
    <row r="304" spans="10:14" s="1" customFormat="1" ht="25.2" customHeight="1" x14ac:dyDescent="0.3">
      <c r="J304" s="1">
        <f>0.03*Table1181920231030313235383940414811151820283172126373846[[#This Row],[النولون]]</f>
        <v>0</v>
      </c>
      <c r="L30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04" s="1">
        <f>N303+Table1181920231030313235383940414811151820283172126373846[[#This Row],[اجمالي الفاتوره]]-Table1181920231030313235383940414811151820283172126373846[[#This Row],[الدفعات]]</f>
        <v>24616.119999999995</v>
      </c>
    </row>
    <row r="305" spans="10:14" s="1" customFormat="1" ht="25.2" customHeight="1" x14ac:dyDescent="0.3">
      <c r="J305" s="1">
        <f>0.03*Table1181920231030313235383940414811151820283172126373846[[#This Row],[النولون]]</f>
        <v>0</v>
      </c>
      <c r="L30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05" s="1">
        <f>N304+Table1181920231030313235383940414811151820283172126373846[[#This Row],[اجمالي الفاتوره]]-Table1181920231030313235383940414811151820283172126373846[[#This Row],[الدفعات]]</f>
        <v>24616.119999999995</v>
      </c>
    </row>
    <row r="306" spans="10:14" s="1" customFormat="1" ht="25.2" customHeight="1" x14ac:dyDescent="0.3">
      <c r="J306" s="1">
        <f>0.03*Table1181920231030313235383940414811151820283172126373846[[#This Row],[النولون]]</f>
        <v>0</v>
      </c>
      <c r="L30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06" s="1">
        <f>N305+Table1181920231030313235383940414811151820283172126373846[[#This Row],[اجمالي الفاتوره]]-Table1181920231030313235383940414811151820283172126373846[[#This Row],[الدفعات]]</f>
        <v>24616.119999999995</v>
      </c>
    </row>
    <row r="307" spans="10:14" s="1" customFormat="1" ht="25.2" customHeight="1" x14ac:dyDescent="0.3">
      <c r="J307" s="1">
        <f>0.03*Table1181920231030313235383940414811151820283172126373846[[#This Row],[النولون]]</f>
        <v>0</v>
      </c>
      <c r="L30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07" s="1">
        <f>N306+Table1181920231030313235383940414811151820283172126373846[[#This Row],[اجمالي الفاتوره]]-Table1181920231030313235383940414811151820283172126373846[[#This Row],[الدفعات]]</f>
        <v>24616.119999999995</v>
      </c>
    </row>
    <row r="308" spans="10:14" s="1" customFormat="1" ht="25.2" customHeight="1" x14ac:dyDescent="0.3">
      <c r="J308" s="1">
        <f>0.03*Table1181920231030313235383940414811151820283172126373846[[#This Row],[النولون]]</f>
        <v>0</v>
      </c>
      <c r="L30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08" s="1">
        <f>N307+Table1181920231030313235383940414811151820283172126373846[[#This Row],[اجمالي الفاتوره]]-Table1181920231030313235383940414811151820283172126373846[[#This Row],[الدفعات]]</f>
        <v>24616.119999999995</v>
      </c>
    </row>
    <row r="309" spans="10:14" s="1" customFormat="1" ht="25.2" customHeight="1" x14ac:dyDescent="0.3">
      <c r="J309" s="1">
        <f>0.03*Table1181920231030313235383940414811151820283172126373846[[#This Row],[النولون]]</f>
        <v>0</v>
      </c>
      <c r="L30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09" s="1">
        <f>N308+Table1181920231030313235383940414811151820283172126373846[[#This Row],[اجمالي الفاتوره]]-Table1181920231030313235383940414811151820283172126373846[[#This Row],[الدفعات]]</f>
        <v>24616.119999999995</v>
      </c>
    </row>
    <row r="310" spans="10:14" s="1" customFormat="1" ht="25.2" customHeight="1" x14ac:dyDescent="0.3">
      <c r="J310" s="1">
        <f>0.03*Table1181920231030313235383940414811151820283172126373846[[#This Row],[النولون]]</f>
        <v>0</v>
      </c>
      <c r="L31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10" s="1">
        <f>N309+Table1181920231030313235383940414811151820283172126373846[[#This Row],[اجمالي الفاتوره]]-Table1181920231030313235383940414811151820283172126373846[[#This Row],[الدفعات]]</f>
        <v>24616.119999999995</v>
      </c>
    </row>
    <row r="311" spans="10:14" s="1" customFormat="1" ht="25.2" customHeight="1" x14ac:dyDescent="0.3">
      <c r="J311" s="1">
        <f>0.03*Table1181920231030313235383940414811151820283172126373846[[#This Row],[النولون]]</f>
        <v>0</v>
      </c>
      <c r="L31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11" s="1">
        <f>N310+Table1181920231030313235383940414811151820283172126373846[[#This Row],[اجمالي الفاتوره]]-Table1181920231030313235383940414811151820283172126373846[[#This Row],[الدفعات]]</f>
        <v>24616.119999999995</v>
      </c>
    </row>
    <row r="312" spans="10:14" s="1" customFormat="1" ht="25.2" customHeight="1" x14ac:dyDescent="0.3">
      <c r="J312" s="1">
        <f>0.03*Table1181920231030313235383940414811151820283172126373846[[#This Row],[النولون]]</f>
        <v>0</v>
      </c>
      <c r="L31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12" s="1">
        <f>N311+Table1181920231030313235383940414811151820283172126373846[[#This Row],[اجمالي الفاتوره]]-Table1181920231030313235383940414811151820283172126373846[[#This Row],[الدفعات]]</f>
        <v>24616.119999999995</v>
      </c>
    </row>
    <row r="313" spans="10:14" s="1" customFormat="1" ht="25.2" customHeight="1" x14ac:dyDescent="0.3">
      <c r="J313" s="1">
        <f>0.03*Table1181920231030313235383940414811151820283172126373846[[#This Row],[النولون]]</f>
        <v>0</v>
      </c>
      <c r="L31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13" s="1">
        <f>N312+Table1181920231030313235383940414811151820283172126373846[[#This Row],[اجمالي الفاتوره]]-Table1181920231030313235383940414811151820283172126373846[[#This Row],[الدفعات]]</f>
        <v>24616.119999999995</v>
      </c>
    </row>
    <row r="314" spans="10:14" s="1" customFormat="1" ht="25.2" customHeight="1" x14ac:dyDescent="0.3">
      <c r="J314" s="1">
        <f>0.03*Table1181920231030313235383940414811151820283172126373846[[#This Row],[النولون]]</f>
        <v>0</v>
      </c>
      <c r="L31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14" s="1">
        <f>N313+Table1181920231030313235383940414811151820283172126373846[[#This Row],[اجمالي الفاتوره]]-Table1181920231030313235383940414811151820283172126373846[[#This Row],[الدفعات]]</f>
        <v>24616.119999999995</v>
      </c>
    </row>
    <row r="315" spans="10:14" s="1" customFormat="1" ht="25.2" customHeight="1" x14ac:dyDescent="0.3">
      <c r="J315" s="1">
        <f>0.03*Table1181920231030313235383940414811151820283172126373846[[#This Row],[النولون]]</f>
        <v>0</v>
      </c>
      <c r="L31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15" s="1">
        <f>N314+Table1181920231030313235383940414811151820283172126373846[[#This Row],[اجمالي الفاتوره]]-Table1181920231030313235383940414811151820283172126373846[[#This Row],[الدفعات]]</f>
        <v>24616.119999999995</v>
      </c>
    </row>
    <row r="316" spans="10:14" s="1" customFormat="1" ht="25.2" customHeight="1" x14ac:dyDescent="0.3">
      <c r="J316" s="1">
        <f>0.03*Table1181920231030313235383940414811151820283172126373846[[#This Row],[النولون]]</f>
        <v>0</v>
      </c>
      <c r="L31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16" s="1">
        <f>N315+Table1181920231030313235383940414811151820283172126373846[[#This Row],[اجمالي الفاتوره]]-Table1181920231030313235383940414811151820283172126373846[[#This Row],[الدفعات]]</f>
        <v>24616.119999999995</v>
      </c>
    </row>
    <row r="317" spans="10:14" s="1" customFormat="1" ht="25.2" customHeight="1" x14ac:dyDescent="0.3">
      <c r="J317" s="1">
        <f>0.03*Table1181920231030313235383940414811151820283172126373846[[#This Row],[النولون]]</f>
        <v>0</v>
      </c>
      <c r="L31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17" s="1">
        <f>N316+Table1181920231030313235383940414811151820283172126373846[[#This Row],[اجمالي الفاتوره]]-Table1181920231030313235383940414811151820283172126373846[[#This Row],[الدفعات]]</f>
        <v>24616.119999999995</v>
      </c>
    </row>
    <row r="318" spans="10:14" s="1" customFormat="1" ht="25.2" customHeight="1" x14ac:dyDescent="0.3">
      <c r="J318" s="1">
        <f>0.03*Table1181920231030313235383940414811151820283172126373846[[#This Row],[النولون]]</f>
        <v>0</v>
      </c>
      <c r="L31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18" s="1">
        <f>N317+Table1181920231030313235383940414811151820283172126373846[[#This Row],[اجمالي الفاتوره]]-Table1181920231030313235383940414811151820283172126373846[[#This Row],[الدفعات]]</f>
        <v>24616.119999999995</v>
      </c>
    </row>
    <row r="319" spans="10:14" s="1" customFormat="1" ht="25.2" customHeight="1" x14ac:dyDescent="0.3">
      <c r="J319" s="1">
        <f>0.03*Table1181920231030313235383940414811151820283172126373846[[#This Row],[النولون]]</f>
        <v>0</v>
      </c>
      <c r="L31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19" s="1">
        <f>N318+Table1181920231030313235383940414811151820283172126373846[[#This Row],[اجمالي الفاتوره]]-Table1181920231030313235383940414811151820283172126373846[[#This Row],[الدفعات]]</f>
        <v>24616.119999999995</v>
      </c>
    </row>
    <row r="320" spans="10:14" s="1" customFormat="1" ht="25.2" customHeight="1" x14ac:dyDescent="0.3">
      <c r="J320" s="1">
        <f>0.03*Table1181920231030313235383940414811151820283172126373846[[#This Row],[النولون]]</f>
        <v>0</v>
      </c>
      <c r="L32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20" s="1">
        <f>N319+Table1181920231030313235383940414811151820283172126373846[[#This Row],[اجمالي الفاتوره]]-Table1181920231030313235383940414811151820283172126373846[[#This Row],[الدفعات]]</f>
        <v>24616.119999999995</v>
      </c>
    </row>
    <row r="321" spans="10:14" s="1" customFormat="1" ht="25.2" customHeight="1" x14ac:dyDescent="0.3">
      <c r="J321" s="1">
        <f>0.03*Table1181920231030313235383940414811151820283172126373846[[#This Row],[النولون]]</f>
        <v>0</v>
      </c>
      <c r="L32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21" s="1">
        <f>N320+Table1181920231030313235383940414811151820283172126373846[[#This Row],[اجمالي الفاتوره]]-Table1181920231030313235383940414811151820283172126373846[[#This Row],[الدفعات]]</f>
        <v>24616.119999999995</v>
      </c>
    </row>
    <row r="322" spans="10:14" s="1" customFormat="1" ht="25.2" customHeight="1" x14ac:dyDescent="0.3">
      <c r="J322" s="1">
        <f>0.03*Table1181920231030313235383940414811151820283172126373846[[#This Row],[النولون]]</f>
        <v>0</v>
      </c>
      <c r="L32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22" s="1">
        <f>N321+Table1181920231030313235383940414811151820283172126373846[[#This Row],[اجمالي الفاتوره]]-Table1181920231030313235383940414811151820283172126373846[[#This Row],[الدفعات]]</f>
        <v>24616.119999999995</v>
      </c>
    </row>
    <row r="323" spans="10:14" s="1" customFormat="1" ht="25.2" customHeight="1" x14ac:dyDescent="0.3">
      <c r="J323" s="1">
        <f>0.03*Table1181920231030313235383940414811151820283172126373846[[#This Row],[النولون]]</f>
        <v>0</v>
      </c>
      <c r="L32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23" s="1">
        <f>N322+Table1181920231030313235383940414811151820283172126373846[[#This Row],[اجمالي الفاتوره]]-Table1181920231030313235383940414811151820283172126373846[[#This Row],[الدفعات]]</f>
        <v>24616.119999999995</v>
      </c>
    </row>
    <row r="324" spans="10:14" s="1" customFormat="1" ht="25.2" customHeight="1" x14ac:dyDescent="0.3">
      <c r="J324" s="1">
        <f>0.03*Table1181920231030313235383940414811151820283172126373846[[#This Row],[النولون]]</f>
        <v>0</v>
      </c>
      <c r="L32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24" s="1">
        <f>N323+Table1181920231030313235383940414811151820283172126373846[[#This Row],[اجمالي الفاتوره]]-Table1181920231030313235383940414811151820283172126373846[[#This Row],[الدفعات]]</f>
        <v>24616.119999999995</v>
      </c>
    </row>
    <row r="325" spans="10:14" s="1" customFormat="1" ht="25.2" customHeight="1" x14ac:dyDescent="0.3">
      <c r="J325" s="1">
        <f>0.03*Table1181920231030313235383940414811151820283172126373846[[#This Row],[النولون]]</f>
        <v>0</v>
      </c>
      <c r="L32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25" s="1">
        <f>N324+Table1181920231030313235383940414811151820283172126373846[[#This Row],[اجمالي الفاتوره]]-Table1181920231030313235383940414811151820283172126373846[[#This Row],[الدفعات]]</f>
        <v>24616.119999999995</v>
      </c>
    </row>
    <row r="326" spans="10:14" s="1" customFormat="1" ht="25.2" customHeight="1" x14ac:dyDescent="0.3">
      <c r="J326" s="1">
        <f>0.03*Table1181920231030313235383940414811151820283172126373846[[#This Row],[النولون]]</f>
        <v>0</v>
      </c>
      <c r="L32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26" s="1">
        <f>N325+Table1181920231030313235383940414811151820283172126373846[[#This Row],[اجمالي الفاتوره]]-Table1181920231030313235383940414811151820283172126373846[[#This Row],[الدفعات]]</f>
        <v>24616.119999999995</v>
      </c>
    </row>
    <row r="327" spans="10:14" s="1" customFormat="1" ht="25.2" customHeight="1" x14ac:dyDescent="0.3">
      <c r="J327" s="1">
        <f>0.03*Table1181920231030313235383940414811151820283172126373846[[#This Row],[النولون]]</f>
        <v>0</v>
      </c>
      <c r="L32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27" s="1">
        <f>N326+Table1181920231030313235383940414811151820283172126373846[[#This Row],[اجمالي الفاتوره]]-Table1181920231030313235383940414811151820283172126373846[[#This Row],[الدفعات]]</f>
        <v>24616.119999999995</v>
      </c>
    </row>
    <row r="328" spans="10:14" s="1" customFormat="1" ht="25.2" customHeight="1" x14ac:dyDescent="0.3">
      <c r="J328" s="1">
        <f>0.03*Table1181920231030313235383940414811151820283172126373846[[#This Row],[النولون]]</f>
        <v>0</v>
      </c>
      <c r="L32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28" s="1">
        <f>N327+Table1181920231030313235383940414811151820283172126373846[[#This Row],[اجمالي الفاتوره]]-Table1181920231030313235383940414811151820283172126373846[[#This Row],[الدفعات]]</f>
        <v>24616.119999999995</v>
      </c>
    </row>
    <row r="329" spans="10:14" s="1" customFormat="1" ht="25.2" customHeight="1" x14ac:dyDescent="0.3">
      <c r="J329" s="1">
        <f>0.03*Table1181920231030313235383940414811151820283172126373846[[#This Row],[النولون]]</f>
        <v>0</v>
      </c>
      <c r="L329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29" s="1">
        <f>N328+Table1181920231030313235383940414811151820283172126373846[[#This Row],[اجمالي الفاتوره]]-Table1181920231030313235383940414811151820283172126373846[[#This Row],[الدفعات]]</f>
        <v>24616.119999999995</v>
      </c>
    </row>
    <row r="330" spans="10:14" s="1" customFormat="1" ht="25.2" customHeight="1" x14ac:dyDescent="0.3">
      <c r="J330" s="1">
        <f>0.03*Table1181920231030313235383940414811151820283172126373846[[#This Row],[النولون]]</f>
        <v>0</v>
      </c>
      <c r="L330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30" s="1">
        <f>N329+Table1181920231030313235383940414811151820283172126373846[[#This Row],[اجمالي الفاتوره]]-Table1181920231030313235383940414811151820283172126373846[[#This Row],[الدفعات]]</f>
        <v>24616.119999999995</v>
      </c>
    </row>
    <row r="331" spans="10:14" s="1" customFormat="1" ht="25.2" customHeight="1" x14ac:dyDescent="0.3">
      <c r="J331" s="1">
        <f>0.03*Table1181920231030313235383940414811151820283172126373846[[#This Row],[النولون]]</f>
        <v>0</v>
      </c>
      <c r="L331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31" s="1">
        <f>N330+Table1181920231030313235383940414811151820283172126373846[[#This Row],[اجمالي الفاتوره]]-Table1181920231030313235383940414811151820283172126373846[[#This Row],[الدفعات]]</f>
        <v>24616.119999999995</v>
      </c>
    </row>
    <row r="332" spans="10:14" s="1" customFormat="1" ht="25.2" customHeight="1" x14ac:dyDescent="0.3">
      <c r="J332" s="1">
        <f>0.03*Table1181920231030313235383940414811151820283172126373846[[#This Row],[النولون]]</f>
        <v>0</v>
      </c>
      <c r="L332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32" s="1">
        <f>N331+Table1181920231030313235383940414811151820283172126373846[[#This Row],[اجمالي الفاتوره]]-Table1181920231030313235383940414811151820283172126373846[[#This Row],[الدفعات]]</f>
        <v>24616.119999999995</v>
      </c>
    </row>
    <row r="333" spans="10:14" s="1" customFormat="1" ht="25.2" customHeight="1" x14ac:dyDescent="0.3">
      <c r="J333" s="1">
        <f>0.03*Table1181920231030313235383940414811151820283172126373846[[#This Row],[النولون]]</f>
        <v>0</v>
      </c>
      <c r="L333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33" s="1">
        <f>N332+Table1181920231030313235383940414811151820283172126373846[[#This Row],[اجمالي الفاتوره]]-Table1181920231030313235383940414811151820283172126373846[[#This Row],[الدفعات]]</f>
        <v>24616.119999999995</v>
      </c>
    </row>
    <row r="334" spans="10:14" s="1" customFormat="1" ht="25.2" customHeight="1" x14ac:dyDescent="0.3">
      <c r="J334" s="1">
        <f>0.03*Table1181920231030313235383940414811151820283172126373846[[#This Row],[النولون]]</f>
        <v>0</v>
      </c>
      <c r="L334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34" s="1">
        <f>N333+Table1181920231030313235383940414811151820283172126373846[[#This Row],[اجمالي الفاتوره]]-Table1181920231030313235383940414811151820283172126373846[[#This Row],[الدفعات]]</f>
        <v>24616.119999999995</v>
      </c>
    </row>
    <row r="335" spans="10:14" s="1" customFormat="1" ht="25.2" customHeight="1" x14ac:dyDescent="0.3">
      <c r="J335" s="1">
        <f>0.03*Table1181920231030313235383940414811151820283172126373846[[#This Row],[النولون]]</f>
        <v>0</v>
      </c>
      <c r="L335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35" s="1">
        <f>N334+Table1181920231030313235383940414811151820283172126373846[[#This Row],[اجمالي الفاتوره]]-Table1181920231030313235383940414811151820283172126373846[[#This Row],[الدفعات]]</f>
        <v>24616.119999999995</v>
      </c>
    </row>
    <row r="336" spans="10:14" s="1" customFormat="1" ht="25.2" customHeight="1" x14ac:dyDescent="0.3">
      <c r="J336" s="1">
        <f>0.03*Table1181920231030313235383940414811151820283172126373846[[#This Row],[النولون]]</f>
        <v>0</v>
      </c>
      <c r="L336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36" s="1">
        <f>N335+Table1181920231030313235383940414811151820283172126373846[[#This Row],[اجمالي الفاتوره]]-Table1181920231030313235383940414811151820283172126373846[[#This Row],[الدفعات]]</f>
        <v>24616.119999999995</v>
      </c>
    </row>
    <row r="337" spans="10:14" s="1" customFormat="1" ht="25.2" customHeight="1" x14ac:dyDescent="0.3">
      <c r="J337" s="1">
        <f>0.03*Table1181920231030313235383940414811151820283172126373846[[#This Row],[النولون]]</f>
        <v>0</v>
      </c>
      <c r="L337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37" s="1">
        <f>N336+Table1181920231030313235383940414811151820283172126373846[[#This Row],[اجمالي الفاتوره]]-Table1181920231030313235383940414811151820283172126373846[[#This Row],[الدفعات]]</f>
        <v>24616.119999999995</v>
      </c>
    </row>
    <row r="338" spans="10:14" s="1" customFormat="1" ht="25.2" customHeight="1" x14ac:dyDescent="0.3">
      <c r="J338" s="1">
        <f>0.03*Table1181920231030313235383940414811151820283172126373846[[#This Row],[النولون]]</f>
        <v>0</v>
      </c>
      <c r="L338" s="1">
        <f>Table1181920231030313235383940414811151820283172126373846[[#This Row],[النولون]]+Table1181920231030313235383940414811151820283172126373846[[#This Row],[الايصالات]]-Table1181920231030313235383940414811151820283172126373846[[#This Row],[خصم أ ت ص]]+Table1181920231030313235383940414811151820283172126373846[[#This Row],[قيمة مضافة]]</f>
        <v>0</v>
      </c>
      <c r="N338" s="1">
        <f>N337+Table1181920231030313235383940414811151820283172126373846[[#This Row],[اجمالي الفاتوره]]-Table1181920231030313235383940414811151820283172126373846[[#This Row],[الدفعات]]</f>
        <v>24616.119999999995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FD63-7A6A-4552-BCCF-3F3FE9A015C5}">
  <dimension ref="A1:O338"/>
  <sheetViews>
    <sheetView rightToLeft="1" workbookViewId="0">
      <selection activeCell="I4" sqref="I4"/>
    </sheetView>
  </sheetViews>
  <sheetFormatPr defaultColWidth="9.109375" defaultRowHeight="15.6" x14ac:dyDescent="0.3"/>
  <cols>
    <col min="1" max="1" width="5.44140625" style="6" customWidth="1"/>
    <col min="2" max="2" width="5.44140625" style="1" customWidth="1"/>
    <col min="3" max="3" width="11" style="1" customWidth="1"/>
    <col min="4" max="4" width="15.109375" style="1" customWidth="1"/>
    <col min="5" max="5" width="11.21875" style="1" customWidth="1"/>
    <col min="6" max="6" width="13.33203125" style="1" customWidth="1"/>
    <col min="7" max="7" width="11.88671875" style="1" customWidth="1"/>
    <col min="8" max="8" width="11.6640625" style="1" customWidth="1"/>
    <col min="9" max="9" width="8.33203125" style="1" customWidth="1"/>
    <col min="10" max="10" width="8.21875" style="1" customWidth="1"/>
    <col min="11" max="11" width="10.77734375" style="1" customWidth="1"/>
    <col min="12" max="12" width="12" style="1" customWidth="1"/>
    <col min="13" max="13" width="12.77734375" style="1" customWidth="1"/>
    <col min="14" max="14" width="15.21875" style="1" customWidth="1"/>
    <col min="15" max="16384" width="9.109375" style="1"/>
  </cols>
  <sheetData>
    <row r="1" spans="1:15" ht="25.2" customHeight="1" x14ac:dyDescent="0.3">
      <c r="A1" s="6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25.2" customHeight="1" x14ac:dyDescent="0.3">
      <c r="B2" s="1">
        <v>1</v>
      </c>
      <c r="C2" s="2">
        <v>46208</v>
      </c>
      <c r="D2" s="1" t="s">
        <v>632</v>
      </c>
      <c r="E2" s="1" t="s">
        <v>94</v>
      </c>
      <c r="F2" s="1">
        <v>318981</v>
      </c>
      <c r="G2" s="1" t="s">
        <v>121</v>
      </c>
      <c r="H2" s="1">
        <v>16500</v>
      </c>
      <c r="I2" s="1">
        <f>0.14*Table118192023103031323538394041481115182028317212637384651[[#This Row],[النولون]]</f>
        <v>2310</v>
      </c>
      <c r="K2" s="1">
        <f>850+1120+397.15+1345+200</f>
        <v>3912.15</v>
      </c>
      <c r="L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22722.15</v>
      </c>
      <c r="N2" s="1">
        <f>Table118192023103031323538394041481115182028317212637384651[[#This Row],[اجمالي الفاتوره]]-Table118192023103031323538394041481115182028317212637384651[[#This Row],[الدفعات]]</f>
        <v>22722.15</v>
      </c>
    </row>
    <row r="3" spans="1:15" ht="25.2" customHeight="1" x14ac:dyDescent="0.3">
      <c r="A3" s="74"/>
      <c r="B3" s="72"/>
      <c r="C3" s="73">
        <v>46201</v>
      </c>
      <c r="D3" s="72"/>
      <c r="E3" s="72"/>
      <c r="F3" s="72"/>
      <c r="G3" s="72"/>
      <c r="H3" s="72"/>
      <c r="I3" s="72">
        <f>0.14*Table118192023103031323538394041481115182028317212637384651[[#This Row],[النولون]]</f>
        <v>0</v>
      </c>
      <c r="J3" s="72"/>
      <c r="K3" s="72"/>
      <c r="L3" s="72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M3" s="72">
        <v>25000</v>
      </c>
      <c r="N3" s="72">
        <f>N2+Table118192023103031323538394041481115182028317212637384651[[#This Row],[اجمالي الفاتوره]]-Table118192023103031323538394041481115182028317212637384651[[#This Row],[الدفعات]]</f>
        <v>-2277.8499999999985</v>
      </c>
    </row>
    <row r="4" spans="1:15" ht="25.2" customHeight="1" x14ac:dyDescent="0.3">
      <c r="A4" s="42"/>
      <c r="C4" s="2"/>
      <c r="H4" s="95"/>
      <c r="I4" s="1">
        <f>0.14*Table118192023103031323538394041481115182028317212637384651[[#This Row],[النولون]]</f>
        <v>0</v>
      </c>
      <c r="L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4" s="1">
        <f>N3+Table118192023103031323538394041481115182028317212637384651[[#This Row],[اجمالي الفاتوره]]-Table118192023103031323538394041481115182028317212637384651[[#This Row],[الدفعات]]</f>
        <v>-2277.8499999999985</v>
      </c>
    </row>
    <row r="5" spans="1:15" ht="25.2" customHeight="1" x14ac:dyDescent="0.3">
      <c r="C5" s="2"/>
      <c r="I5" s="1">
        <f>0.14*Table118192023103031323538394041481115182028317212637384651[[#This Row],[النولون]]</f>
        <v>0</v>
      </c>
      <c r="L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5" s="1">
        <f>N4+Table118192023103031323538394041481115182028317212637384651[[#This Row],[اجمالي الفاتوره]]-Table118192023103031323538394041481115182028317212637384651[[#This Row],[الدفعات]]</f>
        <v>-2277.8499999999985</v>
      </c>
    </row>
    <row r="6" spans="1:15" ht="25.2" customHeight="1" x14ac:dyDescent="0.3">
      <c r="C6" s="2"/>
      <c r="I6" s="1">
        <f>0.14*Table118192023103031323538394041481115182028317212637384651[[#This Row],[النولون]]</f>
        <v>0</v>
      </c>
      <c r="L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6" s="1">
        <f>N5+Table118192023103031323538394041481115182028317212637384651[[#This Row],[اجمالي الفاتوره]]-Table118192023103031323538394041481115182028317212637384651[[#This Row],[الدفعات]]</f>
        <v>-2277.8499999999985</v>
      </c>
    </row>
    <row r="7" spans="1:15" ht="25.2" customHeight="1" x14ac:dyDescent="0.3">
      <c r="C7" s="2"/>
      <c r="I7" s="1">
        <f>0.14*Table118192023103031323538394041481115182028317212637384651[[#This Row],[النولون]]</f>
        <v>0</v>
      </c>
      <c r="L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7" s="1">
        <f>N6+Table118192023103031323538394041481115182028317212637384651[[#This Row],[اجمالي الفاتوره]]-Table118192023103031323538394041481115182028317212637384651[[#This Row],[الدفعات]]</f>
        <v>-2277.8499999999985</v>
      </c>
    </row>
    <row r="8" spans="1:15" ht="25.2" customHeight="1" x14ac:dyDescent="0.3">
      <c r="C8" s="2"/>
      <c r="G8" s="20"/>
      <c r="I8" s="1">
        <f>0.14*Table118192023103031323538394041481115182028317212637384651[[#This Row],[النولون]]</f>
        <v>0</v>
      </c>
      <c r="L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8" s="1">
        <f>N7+Table118192023103031323538394041481115182028317212637384651[[#This Row],[اجمالي الفاتوره]]-Table118192023103031323538394041481115182028317212637384651[[#This Row],[الدفعات]]</f>
        <v>-2277.8499999999985</v>
      </c>
    </row>
    <row r="9" spans="1:15" ht="25.2" customHeight="1" x14ac:dyDescent="0.3">
      <c r="C9" s="2"/>
      <c r="E9" s="20"/>
      <c r="F9" s="20"/>
      <c r="I9" s="1">
        <f>0.14*Table118192023103031323538394041481115182028317212637384651[[#This Row],[النولون]]</f>
        <v>0</v>
      </c>
      <c r="L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9" s="1">
        <f>N8+Table118192023103031323538394041481115182028317212637384651[[#This Row],[اجمالي الفاتوره]]-Table118192023103031323538394041481115182028317212637384651[[#This Row],[الدفعات]]</f>
        <v>-2277.8499999999985</v>
      </c>
    </row>
    <row r="10" spans="1:15" ht="25.2" customHeight="1" x14ac:dyDescent="0.3">
      <c r="C10" s="2"/>
      <c r="F10" s="20"/>
      <c r="I10" s="1">
        <f>0.14*Table118192023103031323538394041481115182028317212637384651[[#This Row],[النولون]]</f>
        <v>0</v>
      </c>
      <c r="L1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0" s="1">
        <f>N9+Table118192023103031323538394041481115182028317212637384651[[#This Row],[اجمالي الفاتوره]]-Table118192023103031323538394041481115182028317212637384651[[#This Row],[الدفعات]]</f>
        <v>-2277.8499999999985</v>
      </c>
    </row>
    <row r="11" spans="1:15" ht="25.2" customHeight="1" x14ac:dyDescent="0.3">
      <c r="C11" s="2"/>
      <c r="F11" s="20"/>
      <c r="I11" s="1">
        <f>0.14*Table118192023103031323538394041481115182028317212637384651[[#This Row],[النولون]]</f>
        <v>0</v>
      </c>
      <c r="L1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1" s="1">
        <f>N10+Table118192023103031323538394041481115182028317212637384651[[#This Row],[اجمالي الفاتوره]]-Table118192023103031323538394041481115182028317212637384651[[#This Row],[الدفعات]]</f>
        <v>-2277.8499999999985</v>
      </c>
    </row>
    <row r="12" spans="1:15" ht="25.2" customHeight="1" x14ac:dyDescent="0.3">
      <c r="C12" s="2"/>
      <c r="I12" s="1">
        <f>0.14*Table118192023103031323538394041481115182028317212637384651[[#This Row],[النولون]]</f>
        <v>0</v>
      </c>
      <c r="L1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2" s="1">
        <f>N11+Table118192023103031323538394041481115182028317212637384651[[#This Row],[اجمالي الفاتوره]]-Table118192023103031323538394041481115182028317212637384651[[#This Row],[الدفعات]]</f>
        <v>-2277.8499999999985</v>
      </c>
      <c r="O12" s="1">
        <f>SUM(L:L)-SUM(M:M)</f>
        <v>-2277.8499999999985</v>
      </c>
    </row>
    <row r="13" spans="1:15" ht="25.2" customHeight="1" x14ac:dyDescent="0.3">
      <c r="C13" s="2"/>
      <c r="I13" s="1">
        <f>0.14*Table118192023103031323538394041481115182028317212637384651[[#This Row],[النولون]]</f>
        <v>0</v>
      </c>
      <c r="L1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3" s="1">
        <f>N12+Table118192023103031323538394041481115182028317212637384651[[#This Row],[اجمالي الفاتوره]]-Table118192023103031323538394041481115182028317212637384651[[#This Row],[الدفعات]]</f>
        <v>-2277.8499999999985</v>
      </c>
    </row>
    <row r="14" spans="1:15" ht="25.2" customHeight="1" x14ac:dyDescent="0.3">
      <c r="C14" s="2"/>
      <c r="I14" s="1">
        <f>0.14*Table118192023103031323538394041481115182028317212637384651[[#This Row],[النولون]]</f>
        <v>0</v>
      </c>
      <c r="L1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4" s="1">
        <f>N13+Table118192023103031323538394041481115182028317212637384651[[#This Row],[اجمالي الفاتوره]]-Table118192023103031323538394041481115182028317212637384651[[#This Row],[الدفعات]]</f>
        <v>-2277.8499999999985</v>
      </c>
    </row>
    <row r="15" spans="1:15" ht="25.2" customHeight="1" x14ac:dyDescent="0.3">
      <c r="C15" s="2"/>
      <c r="I15" s="1">
        <f>0.14*Table118192023103031323538394041481115182028317212637384651[[#This Row],[النولون]]</f>
        <v>0</v>
      </c>
      <c r="L1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5" s="1">
        <f>N14+Table118192023103031323538394041481115182028317212637384651[[#This Row],[اجمالي الفاتوره]]-Table118192023103031323538394041481115182028317212637384651[[#This Row],[الدفعات]]</f>
        <v>-2277.8499999999985</v>
      </c>
    </row>
    <row r="16" spans="1:15" ht="25.2" customHeight="1" x14ac:dyDescent="0.3">
      <c r="C16" s="2"/>
      <c r="I16" s="1">
        <f>0.14*Table118192023103031323538394041481115182028317212637384651[[#This Row],[النولون]]</f>
        <v>0</v>
      </c>
      <c r="L1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6" s="1">
        <f>N15+Table118192023103031323538394041481115182028317212637384651[[#This Row],[اجمالي الفاتوره]]-Table118192023103031323538394041481115182028317212637384651[[#This Row],[الدفعات]]</f>
        <v>-2277.8499999999985</v>
      </c>
    </row>
    <row r="17" spans="3:14" s="1" customFormat="1" ht="25.2" customHeight="1" x14ac:dyDescent="0.3">
      <c r="C17" s="2"/>
      <c r="I17" s="1">
        <f>0.14*Table118192023103031323538394041481115182028317212637384651[[#This Row],[النولون]]</f>
        <v>0</v>
      </c>
      <c r="L1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7" s="1">
        <f>N16+Table118192023103031323538394041481115182028317212637384651[[#This Row],[اجمالي الفاتوره]]-Table118192023103031323538394041481115182028317212637384651[[#This Row],[الدفعات]]</f>
        <v>-2277.8499999999985</v>
      </c>
    </row>
    <row r="18" spans="3:14" s="1" customFormat="1" ht="25.2" customHeight="1" x14ac:dyDescent="0.3">
      <c r="C18" s="2"/>
      <c r="I18" s="1">
        <f>0.14*Table118192023103031323538394041481115182028317212637384651[[#This Row],[النولون]]</f>
        <v>0</v>
      </c>
      <c r="L1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8" s="1">
        <f>N17+Table118192023103031323538394041481115182028317212637384651[[#This Row],[اجمالي الفاتوره]]-Table118192023103031323538394041481115182028317212637384651[[#This Row],[الدفعات]]</f>
        <v>-2277.8499999999985</v>
      </c>
    </row>
    <row r="19" spans="3:14" s="1" customFormat="1" ht="25.2" customHeight="1" x14ac:dyDescent="0.3">
      <c r="C19" s="2"/>
      <c r="I19" s="1">
        <f>0.14*Table118192023103031323538394041481115182028317212637384651[[#This Row],[النولون]]</f>
        <v>0</v>
      </c>
      <c r="L1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9" s="1">
        <f>N18+Table118192023103031323538394041481115182028317212637384651[[#This Row],[اجمالي الفاتوره]]-Table118192023103031323538394041481115182028317212637384651[[#This Row],[الدفعات]]</f>
        <v>-2277.8499999999985</v>
      </c>
    </row>
    <row r="20" spans="3:14" s="1" customFormat="1" ht="25.2" customHeight="1" x14ac:dyDescent="0.3">
      <c r="C20" s="2"/>
      <c r="I20" s="1">
        <f>0.14*Table118192023103031323538394041481115182028317212637384651[[#This Row],[النولون]]</f>
        <v>0</v>
      </c>
      <c r="L2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0" s="1">
        <f>N19+Table118192023103031323538394041481115182028317212637384651[[#This Row],[اجمالي الفاتوره]]-Table118192023103031323538394041481115182028317212637384651[[#This Row],[الدفعات]]</f>
        <v>-2277.8499999999985</v>
      </c>
    </row>
    <row r="21" spans="3:14" s="1" customFormat="1" ht="25.2" customHeight="1" x14ac:dyDescent="0.3">
      <c r="C21" s="2"/>
      <c r="I21" s="1">
        <f>0.14*Table118192023103031323538394041481115182028317212637384651[[#This Row],[النولون]]</f>
        <v>0</v>
      </c>
      <c r="L2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1" s="1">
        <f>N20+Table118192023103031323538394041481115182028317212637384651[[#This Row],[اجمالي الفاتوره]]-Table118192023103031323538394041481115182028317212637384651[[#This Row],[الدفعات]]</f>
        <v>-2277.8499999999985</v>
      </c>
    </row>
    <row r="22" spans="3:14" s="1" customFormat="1" ht="25.2" customHeight="1" x14ac:dyDescent="0.3">
      <c r="C22" s="2"/>
      <c r="I22" s="1">
        <f>0.14*Table118192023103031323538394041481115182028317212637384651[[#This Row],[النولون]]</f>
        <v>0</v>
      </c>
      <c r="L2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2" s="1">
        <f>N21+Table118192023103031323538394041481115182028317212637384651[[#This Row],[اجمالي الفاتوره]]-Table118192023103031323538394041481115182028317212637384651[[#This Row],[الدفعات]]</f>
        <v>-2277.8499999999985</v>
      </c>
    </row>
    <row r="23" spans="3:14" s="1" customFormat="1" ht="25.2" customHeight="1" x14ac:dyDescent="0.3">
      <c r="C23" s="2"/>
      <c r="I23" s="1">
        <f>0.14*Table118192023103031323538394041481115182028317212637384651[[#This Row],[النولون]]</f>
        <v>0</v>
      </c>
      <c r="L2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3" s="1">
        <f>N22+Table118192023103031323538394041481115182028317212637384651[[#This Row],[اجمالي الفاتوره]]-Table118192023103031323538394041481115182028317212637384651[[#This Row],[الدفعات]]</f>
        <v>-2277.8499999999985</v>
      </c>
    </row>
    <row r="24" spans="3:14" s="1" customFormat="1" ht="25.2" customHeight="1" x14ac:dyDescent="0.3">
      <c r="I24" s="1">
        <f>0.14*Table118192023103031323538394041481115182028317212637384651[[#This Row],[النولون]]</f>
        <v>0</v>
      </c>
      <c r="L2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4" s="1">
        <f>N23+Table118192023103031323538394041481115182028317212637384651[[#This Row],[اجمالي الفاتوره]]-Table118192023103031323538394041481115182028317212637384651[[#This Row],[الدفعات]]</f>
        <v>-2277.8499999999985</v>
      </c>
    </row>
    <row r="25" spans="3:14" s="1" customFormat="1" ht="25.2" customHeight="1" x14ac:dyDescent="0.3">
      <c r="I25" s="1">
        <f>0.14*Table118192023103031323538394041481115182028317212637384651[[#This Row],[النولون]]</f>
        <v>0</v>
      </c>
      <c r="L2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5" s="1">
        <f>N24+Table118192023103031323538394041481115182028317212637384651[[#This Row],[اجمالي الفاتوره]]-Table118192023103031323538394041481115182028317212637384651[[#This Row],[الدفعات]]</f>
        <v>-2277.8499999999985</v>
      </c>
    </row>
    <row r="26" spans="3:14" s="1" customFormat="1" ht="25.2" customHeight="1" x14ac:dyDescent="0.3">
      <c r="C26" s="2"/>
      <c r="I26" s="1">
        <f>0.14*Table118192023103031323538394041481115182028317212637384651[[#This Row],[النولون]]</f>
        <v>0</v>
      </c>
      <c r="L2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6" s="1">
        <f>N25+Table118192023103031323538394041481115182028317212637384651[[#This Row],[اجمالي الفاتوره]]-Table118192023103031323538394041481115182028317212637384651[[#This Row],[الدفعات]]</f>
        <v>-2277.8499999999985</v>
      </c>
    </row>
    <row r="27" spans="3:14" s="1" customFormat="1" ht="25.2" customHeight="1" x14ac:dyDescent="0.3">
      <c r="C27" s="2"/>
      <c r="I27" s="1">
        <f>0.14*Table118192023103031323538394041481115182028317212637384651[[#This Row],[النولون]]</f>
        <v>0</v>
      </c>
      <c r="L2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7" s="1">
        <f>N26+Table118192023103031323538394041481115182028317212637384651[[#This Row],[اجمالي الفاتوره]]-Table118192023103031323538394041481115182028317212637384651[[#This Row],[الدفعات]]</f>
        <v>-2277.8499999999985</v>
      </c>
    </row>
    <row r="28" spans="3:14" s="1" customFormat="1" ht="25.2" customHeight="1" x14ac:dyDescent="0.3">
      <c r="C28" s="2"/>
      <c r="I28" s="1">
        <f>0.14*Table118192023103031323538394041481115182028317212637384651[[#This Row],[النولون]]</f>
        <v>0</v>
      </c>
      <c r="L2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8" s="1">
        <f>N27+Table118192023103031323538394041481115182028317212637384651[[#This Row],[اجمالي الفاتوره]]-Table118192023103031323538394041481115182028317212637384651[[#This Row],[الدفعات]]</f>
        <v>-2277.8499999999985</v>
      </c>
    </row>
    <row r="29" spans="3:14" s="1" customFormat="1" ht="25.2" customHeight="1" x14ac:dyDescent="0.3">
      <c r="C29" s="2"/>
      <c r="I29" s="1">
        <f>0.14*Table118192023103031323538394041481115182028317212637384651[[#This Row],[النولون]]</f>
        <v>0</v>
      </c>
      <c r="L2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9" s="1">
        <f>N28+Table118192023103031323538394041481115182028317212637384651[[#This Row],[اجمالي الفاتوره]]-Table118192023103031323538394041481115182028317212637384651[[#This Row],[الدفعات]]</f>
        <v>-2277.8499999999985</v>
      </c>
    </row>
    <row r="30" spans="3:14" s="1" customFormat="1" ht="25.2" customHeight="1" x14ac:dyDescent="0.3">
      <c r="I30" s="1">
        <f>0.14*Table118192023103031323538394041481115182028317212637384651[[#This Row],[النولون]]</f>
        <v>0</v>
      </c>
      <c r="L3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0" s="1">
        <f>N29+Table118192023103031323538394041481115182028317212637384651[[#This Row],[اجمالي الفاتوره]]-Table118192023103031323538394041481115182028317212637384651[[#This Row],[الدفعات]]</f>
        <v>-2277.8499999999985</v>
      </c>
    </row>
    <row r="31" spans="3:14" s="1" customFormat="1" ht="25.2" customHeight="1" x14ac:dyDescent="0.3">
      <c r="C31" s="2"/>
      <c r="I31" s="1">
        <f>0.14*Table118192023103031323538394041481115182028317212637384651[[#This Row],[النولون]]</f>
        <v>0</v>
      </c>
      <c r="L3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1" s="1">
        <f>N30+Table118192023103031323538394041481115182028317212637384651[[#This Row],[اجمالي الفاتوره]]-Table118192023103031323538394041481115182028317212637384651[[#This Row],[الدفعات]]</f>
        <v>-2277.8499999999985</v>
      </c>
    </row>
    <row r="32" spans="3:14" s="1" customFormat="1" ht="25.2" customHeight="1" x14ac:dyDescent="0.3">
      <c r="I32" s="1">
        <f>0.14*Table118192023103031323538394041481115182028317212637384651[[#This Row],[النولون]]</f>
        <v>0</v>
      </c>
      <c r="L3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2" s="1">
        <f>N31+Table118192023103031323538394041481115182028317212637384651[[#This Row],[اجمالي الفاتوره]]-Table118192023103031323538394041481115182028317212637384651[[#This Row],[الدفعات]]</f>
        <v>-2277.8499999999985</v>
      </c>
    </row>
    <row r="33" spans="3:14" s="1" customFormat="1" ht="25.2" customHeight="1" x14ac:dyDescent="0.3">
      <c r="I33" s="1">
        <f>0.14*Table118192023103031323538394041481115182028317212637384651[[#This Row],[النولون]]</f>
        <v>0</v>
      </c>
      <c r="L3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3" s="1">
        <f>N32+Table118192023103031323538394041481115182028317212637384651[[#This Row],[اجمالي الفاتوره]]-Table118192023103031323538394041481115182028317212637384651[[#This Row],[الدفعات]]</f>
        <v>-2277.8499999999985</v>
      </c>
    </row>
    <row r="34" spans="3:14" s="1" customFormat="1" ht="25.2" customHeight="1" x14ac:dyDescent="0.3">
      <c r="I34" s="1">
        <f>0.14*Table118192023103031323538394041481115182028317212637384651[[#This Row],[النولون]]</f>
        <v>0</v>
      </c>
      <c r="L3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4" s="1">
        <f>N33+Table118192023103031323538394041481115182028317212637384651[[#This Row],[اجمالي الفاتوره]]-Table118192023103031323538394041481115182028317212637384651[[#This Row],[الدفعات]]</f>
        <v>-2277.8499999999985</v>
      </c>
    </row>
    <row r="35" spans="3:14" s="1" customFormat="1" ht="25.2" customHeight="1" x14ac:dyDescent="0.3">
      <c r="C35" s="2"/>
      <c r="D35" s="2"/>
      <c r="I35" s="1">
        <f>0.14*Table118192023103031323538394041481115182028317212637384651[[#This Row],[النولون]]</f>
        <v>0</v>
      </c>
      <c r="L3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5" s="1">
        <f>N34+Table118192023103031323538394041481115182028317212637384651[[#This Row],[اجمالي الفاتوره]]-Table118192023103031323538394041481115182028317212637384651[[#This Row],[الدفعات]]</f>
        <v>-2277.8499999999985</v>
      </c>
    </row>
    <row r="36" spans="3:14" s="1" customFormat="1" ht="25.2" customHeight="1" x14ac:dyDescent="0.3">
      <c r="I36" s="1">
        <f>0.14*Table118192023103031323538394041481115182028317212637384651[[#This Row],[النولون]]</f>
        <v>0</v>
      </c>
      <c r="L3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6" s="1">
        <f>N35+Table118192023103031323538394041481115182028317212637384651[[#This Row],[اجمالي الفاتوره]]-Table118192023103031323538394041481115182028317212637384651[[#This Row],[الدفعات]]</f>
        <v>-2277.8499999999985</v>
      </c>
    </row>
    <row r="37" spans="3:14" s="1" customFormat="1" ht="25.2" customHeight="1" x14ac:dyDescent="0.3">
      <c r="I37" s="1">
        <f>0.14*Table118192023103031323538394041481115182028317212637384651[[#This Row],[النولون]]</f>
        <v>0</v>
      </c>
      <c r="L3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7" s="1">
        <f>N36+Table118192023103031323538394041481115182028317212637384651[[#This Row],[اجمالي الفاتوره]]-Table118192023103031323538394041481115182028317212637384651[[#This Row],[الدفعات]]</f>
        <v>-2277.8499999999985</v>
      </c>
    </row>
    <row r="38" spans="3:14" s="1" customFormat="1" ht="25.2" customHeight="1" x14ac:dyDescent="0.3">
      <c r="I38" s="1">
        <f>0.14*Table118192023103031323538394041481115182028317212637384651[[#This Row],[النولون]]</f>
        <v>0</v>
      </c>
      <c r="L3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8" s="1">
        <f>N37+Table118192023103031323538394041481115182028317212637384651[[#This Row],[اجمالي الفاتوره]]-Table118192023103031323538394041481115182028317212637384651[[#This Row],[الدفعات]]</f>
        <v>-2277.8499999999985</v>
      </c>
    </row>
    <row r="39" spans="3:14" s="1" customFormat="1" ht="25.2" customHeight="1" x14ac:dyDescent="0.3">
      <c r="I39" s="1">
        <f>0.14*Table118192023103031323538394041481115182028317212637384651[[#This Row],[النولون]]</f>
        <v>0</v>
      </c>
      <c r="L3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9" s="1">
        <f>N38+Table118192023103031323538394041481115182028317212637384651[[#This Row],[اجمالي الفاتوره]]-Table118192023103031323538394041481115182028317212637384651[[#This Row],[الدفعات]]</f>
        <v>-2277.8499999999985</v>
      </c>
    </row>
    <row r="40" spans="3:14" s="1" customFormat="1" ht="25.2" customHeight="1" x14ac:dyDescent="0.3">
      <c r="I40" s="1">
        <f>0.14*Table118192023103031323538394041481115182028317212637384651[[#This Row],[النولون]]</f>
        <v>0</v>
      </c>
      <c r="L4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40" s="1">
        <f>N39+Table118192023103031323538394041481115182028317212637384651[[#This Row],[اجمالي الفاتوره]]-Table118192023103031323538394041481115182028317212637384651[[#This Row],[الدفعات]]</f>
        <v>-2277.8499999999985</v>
      </c>
    </row>
    <row r="41" spans="3:14" s="1" customFormat="1" ht="25.2" customHeight="1" x14ac:dyDescent="0.3">
      <c r="I41" s="1">
        <f>0.14*Table118192023103031323538394041481115182028317212637384651[[#This Row],[النولون]]</f>
        <v>0</v>
      </c>
      <c r="L4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41" s="1">
        <f>N40+Table118192023103031323538394041481115182028317212637384651[[#This Row],[اجمالي الفاتوره]]-Table118192023103031323538394041481115182028317212637384651[[#This Row],[الدفعات]]</f>
        <v>-2277.8499999999985</v>
      </c>
    </row>
    <row r="42" spans="3:14" s="1" customFormat="1" ht="25.2" customHeight="1" x14ac:dyDescent="0.3">
      <c r="I42" s="1">
        <f>0.14*Table118192023103031323538394041481115182028317212637384651[[#This Row],[النولون]]</f>
        <v>0</v>
      </c>
      <c r="L4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42" s="1">
        <f>N41+Table118192023103031323538394041481115182028317212637384651[[#This Row],[اجمالي الفاتوره]]-Table118192023103031323538394041481115182028317212637384651[[#This Row],[الدفعات]]</f>
        <v>-2277.8499999999985</v>
      </c>
    </row>
    <row r="43" spans="3:14" s="1" customFormat="1" ht="25.2" customHeight="1" x14ac:dyDescent="0.3">
      <c r="I43" s="1">
        <f>0.14*Table118192023103031323538394041481115182028317212637384651[[#This Row],[النولون]]</f>
        <v>0</v>
      </c>
      <c r="L4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43" s="1">
        <f>N42+Table118192023103031323538394041481115182028317212637384651[[#This Row],[اجمالي الفاتوره]]-Table118192023103031323538394041481115182028317212637384651[[#This Row],[الدفعات]]</f>
        <v>-2277.8499999999985</v>
      </c>
    </row>
    <row r="44" spans="3:14" s="1" customFormat="1" ht="25.2" customHeight="1" x14ac:dyDescent="0.3">
      <c r="I44" s="1">
        <f>0.14*Table118192023103031323538394041481115182028317212637384651[[#This Row],[النولون]]</f>
        <v>0</v>
      </c>
      <c r="L4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44" s="1">
        <f>N43+Table118192023103031323538394041481115182028317212637384651[[#This Row],[اجمالي الفاتوره]]-Table118192023103031323538394041481115182028317212637384651[[#This Row],[الدفعات]]</f>
        <v>-2277.8499999999985</v>
      </c>
    </row>
    <row r="45" spans="3:14" s="1" customFormat="1" ht="25.2" customHeight="1" x14ac:dyDescent="0.3">
      <c r="I45" s="1">
        <f>0.14*Table118192023103031323538394041481115182028317212637384651[[#This Row],[النولون]]</f>
        <v>0</v>
      </c>
      <c r="L4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45" s="1">
        <f>N44+Table118192023103031323538394041481115182028317212637384651[[#This Row],[اجمالي الفاتوره]]-Table118192023103031323538394041481115182028317212637384651[[#This Row],[الدفعات]]</f>
        <v>-2277.8499999999985</v>
      </c>
    </row>
    <row r="46" spans="3:14" s="1" customFormat="1" ht="25.2" customHeight="1" x14ac:dyDescent="0.3">
      <c r="I46" s="1">
        <f>0.14*Table118192023103031323538394041481115182028317212637384651[[#This Row],[النولون]]</f>
        <v>0</v>
      </c>
      <c r="L4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46" s="1">
        <f>N45+Table118192023103031323538394041481115182028317212637384651[[#This Row],[اجمالي الفاتوره]]-Table118192023103031323538394041481115182028317212637384651[[#This Row],[الدفعات]]</f>
        <v>-2277.8499999999985</v>
      </c>
    </row>
    <row r="47" spans="3:14" s="1" customFormat="1" ht="25.2" customHeight="1" x14ac:dyDescent="0.3">
      <c r="I47" s="1">
        <f>0.14*Table118192023103031323538394041481115182028317212637384651[[#This Row],[النولون]]</f>
        <v>0</v>
      </c>
      <c r="L4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47" s="1">
        <f>N46+Table118192023103031323538394041481115182028317212637384651[[#This Row],[اجمالي الفاتوره]]-Table118192023103031323538394041481115182028317212637384651[[#This Row],[الدفعات]]</f>
        <v>-2277.8499999999985</v>
      </c>
    </row>
    <row r="48" spans="3:14" s="1" customFormat="1" ht="25.2" customHeight="1" x14ac:dyDescent="0.3">
      <c r="I48" s="1">
        <f>0.14*Table118192023103031323538394041481115182028317212637384651[[#This Row],[النولون]]</f>
        <v>0</v>
      </c>
      <c r="L4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48" s="1">
        <f>N47+Table118192023103031323538394041481115182028317212637384651[[#This Row],[اجمالي الفاتوره]]-Table118192023103031323538394041481115182028317212637384651[[#This Row],[الدفعات]]</f>
        <v>-2277.8499999999985</v>
      </c>
    </row>
    <row r="49" spans="9:14" s="1" customFormat="1" ht="25.2" customHeight="1" x14ac:dyDescent="0.3">
      <c r="I49" s="1">
        <f>0.14*Table118192023103031323538394041481115182028317212637384651[[#This Row],[النولون]]</f>
        <v>0</v>
      </c>
      <c r="L4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49" s="1">
        <f>N48+Table118192023103031323538394041481115182028317212637384651[[#This Row],[اجمالي الفاتوره]]-Table118192023103031323538394041481115182028317212637384651[[#This Row],[الدفعات]]</f>
        <v>-2277.8499999999985</v>
      </c>
    </row>
    <row r="50" spans="9:14" s="1" customFormat="1" ht="25.2" customHeight="1" x14ac:dyDescent="0.3">
      <c r="I50" s="1">
        <f>0.14*Table118192023103031323538394041481115182028317212637384651[[#This Row],[النولون]]</f>
        <v>0</v>
      </c>
      <c r="L5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50" s="1">
        <f>N49+Table118192023103031323538394041481115182028317212637384651[[#This Row],[اجمالي الفاتوره]]-Table118192023103031323538394041481115182028317212637384651[[#This Row],[الدفعات]]</f>
        <v>-2277.8499999999985</v>
      </c>
    </row>
    <row r="51" spans="9:14" s="1" customFormat="1" ht="25.2" customHeight="1" x14ac:dyDescent="0.3">
      <c r="I51" s="1">
        <f>0.14*Table118192023103031323538394041481115182028317212637384651[[#This Row],[النولون]]</f>
        <v>0</v>
      </c>
      <c r="L5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51" s="1">
        <f>N50+Table118192023103031323538394041481115182028317212637384651[[#This Row],[اجمالي الفاتوره]]-Table118192023103031323538394041481115182028317212637384651[[#This Row],[الدفعات]]</f>
        <v>-2277.8499999999985</v>
      </c>
    </row>
    <row r="52" spans="9:14" s="1" customFormat="1" ht="25.2" customHeight="1" x14ac:dyDescent="0.3">
      <c r="I52" s="1">
        <f>0.14*Table118192023103031323538394041481115182028317212637384651[[#This Row],[النولون]]</f>
        <v>0</v>
      </c>
      <c r="L5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52" s="1">
        <f>N51+Table118192023103031323538394041481115182028317212637384651[[#This Row],[اجمالي الفاتوره]]-Table118192023103031323538394041481115182028317212637384651[[#This Row],[الدفعات]]</f>
        <v>-2277.8499999999985</v>
      </c>
    </row>
    <row r="53" spans="9:14" s="1" customFormat="1" ht="25.2" customHeight="1" x14ac:dyDescent="0.3">
      <c r="I53" s="1">
        <f>0.14*Table118192023103031323538394041481115182028317212637384651[[#This Row],[النولون]]</f>
        <v>0</v>
      </c>
      <c r="L5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53" s="1">
        <f>N52+Table118192023103031323538394041481115182028317212637384651[[#This Row],[اجمالي الفاتوره]]-Table118192023103031323538394041481115182028317212637384651[[#This Row],[الدفعات]]</f>
        <v>-2277.8499999999985</v>
      </c>
    </row>
    <row r="54" spans="9:14" s="1" customFormat="1" ht="25.2" customHeight="1" x14ac:dyDescent="0.3">
      <c r="I54" s="1">
        <f>0.14*Table118192023103031323538394041481115182028317212637384651[[#This Row],[النولون]]</f>
        <v>0</v>
      </c>
      <c r="L5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54" s="1">
        <f>N53+Table118192023103031323538394041481115182028317212637384651[[#This Row],[اجمالي الفاتوره]]-Table118192023103031323538394041481115182028317212637384651[[#This Row],[الدفعات]]</f>
        <v>-2277.8499999999985</v>
      </c>
    </row>
    <row r="55" spans="9:14" s="1" customFormat="1" ht="25.2" customHeight="1" x14ac:dyDescent="0.3">
      <c r="I55" s="1">
        <f>0.14*Table118192023103031323538394041481115182028317212637384651[[#This Row],[النولون]]</f>
        <v>0</v>
      </c>
      <c r="L5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55" s="1">
        <f>N54+Table118192023103031323538394041481115182028317212637384651[[#This Row],[اجمالي الفاتوره]]-Table118192023103031323538394041481115182028317212637384651[[#This Row],[الدفعات]]</f>
        <v>-2277.8499999999985</v>
      </c>
    </row>
    <row r="56" spans="9:14" s="1" customFormat="1" ht="25.2" customHeight="1" x14ac:dyDescent="0.3">
      <c r="I56" s="1">
        <f>0.14*Table118192023103031323538394041481115182028317212637384651[[#This Row],[النولون]]</f>
        <v>0</v>
      </c>
      <c r="L5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56" s="1">
        <f>N55+Table118192023103031323538394041481115182028317212637384651[[#This Row],[اجمالي الفاتوره]]-Table118192023103031323538394041481115182028317212637384651[[#This Row],[الدفعات]]</f>
        <v>-2277.8499999999985</v>
      </c>
    </row>
    <row r="57" spans="9:14" s="1" customFormat="1" ht="25.2" customHeight="1" x14ac:dyDescent="0.3">
      <c r="I57" s="1">
        <f>0.14*Table118192023103031323538394041481115182028317212637384651[[#This Row],[النولون]]</f>
        <v>0</v>
      </c>
      <c r="L5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57" s="1">
        <f>N56+Table118192023103031323538394041481115182028317212637384651[[#This Row],[اجمالي الفاتوره]]-Table118192023103031323538394041481115182028317212637384651[[#This Row],[الدفعات]]</f>
        <v>-2277.8499999999985</v>
      </c>
    </row>
    <row r="58" spans="9:14" s="1" customFormat="1" ht="25.2" customHeight="1" x14ac:dyDescent="0.3">
      <c r="I58" s="1">
        <f>0.14*Table118192023103031323538394041481115182028317212637384651[[#This Row],[النولون]]</f>
        <v>0</v>
      </c>
      <c r="L5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58" s="1">
        <f>N57+Table118192023103031323538394041481115182028317212637384651[[#This Row],[اجمالي الفاتوره]]-Table118192023103031323538394041481115182028317212637384651[[#This Row],[الدفعات]]</f>
        <v>-2277.8499999999985</v>
      </c>
    </row>
    <row r="59" spans="9:14" s="1" customFormat="1" ht="25.2" customHeight="1" x14ac:dyDescent="0.3">
      <c r="I59" s="1">
        <f>0.14*Table118192023103031323538394041481115182028317212637384651[[#This Row],[النولون]]</f>
        <v>0</v>
      </c>
      <c r="L5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59" s="1">
        <f>N58+Table118192023103031323538394041481115182028317212637384651[[#This Row],[اجمالي الفاتوره]]-Table118192023103031323538394041481115182028317212637384651[[#This Row],[الدفعات]]</f>
        <v>-2277.8499999999985</v>
      </c>
    </row>
    <row r="60" spans="9:14" s="1" customFormat="1" ht="25.2" customHeight="1" x14ac:dyDescent="0.3">
      <c r="I60" s="1">
        <f>0.14*Table118192023103031323538394041481115182028317212637384651[[#This Row],[النولون]]</f>
        <v>0</v>
      </c>
      <c r="L6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60" s="1">
        <f>N59+Table118192023103031323538394041481115182028317212637384651[[#This Row],[اجمالي الفاتوره]]-Table118192023103031323538394041481115182028317212637384651[[#This Row],[الدفعات]]</f>
        <v>-2277.8499999999985</v>
      </c>
    </row>
    <row r="61" spans="9:14" s="1" customFormat="1" ht="25.2" customHeight="1" x14ac:dyDescent="0.3">
      <c r="I61" s="1">
        <f>0.14*Table118192023103031323538394041481115182028317212637384651[[#This Row],[النولون]]</f>
        <v>0</v>
      </c>
      <c r="L6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61" s="1">
        <f>N60+Table118192023103031323538394041481115182028317212637384651[[#This Row],[اجمالي الفاتوره]]-Table118192023103031323538394041481115182028317212637384651[[#This Row],[الدفعات]]</f>
        <v>-2277.8499999999985</v>
      </c>
    </row>
    <row r="62" spans="9:14" s="1" customFormat="1" ht="25.2" customHeight="1" x14ac:dyDescent="0.3">
      <c r="I62" s="1">
        <f>0.14*Table118192023103031323538394041481115182028317212637384651[[#This Row],[النولون]]</f>
        <v>0</v>
      </c>
      <c r="L6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62" s="1">
        <f>N61+Table118192023103031323538394041481115182028317212637384651[[#This Row],[اجمالي الفاتوره]]-Table118192023103031323538394041481115182028317212637384651[[#This Row],[الدفعات]]</f>
        <v>-2277.8499999999985</v>
      </c>
    </row>
    <row r="63" spans="9:14" s="1" customFormat="1" ht="25.2" customHeight="1" x14ac:dyDescent="0.3">
      <c r="I63" s="1">
        <f>0.14*Table118192023103031323538394041481115182028317212637384651[[#This Row],[النولون]]</f>
        <v>0</v>
      </c>
      <c r="L6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63" s="1">
        <f>N62+Table118192023103031323538394041481115182028317212637384651[[#This Row],[اجمالي الفاتوره]]-Table118192023103031323538394041481115182028317212637384651[[#This Row],[الدفعات]]</f>
        <v>-2277.8499999999985</v>
      </c>
    </row>
    <row r="64" spans="9:14" s="1" customFormat="1" ht="25.2" customHeight="1" x14ac:dyDescent="0.3">
      <c r="I64" s="1">
        <f>0.14*Table118192023103031323538394041481115182028317212637384651[[#This Row],[النولون]]</f>
        <v>0</v>
      </c>
      <c r="L6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64" s="1">
        <f>N63+Table118192023103031323538394041481115182028317212637384651[[#This Row],[اجمالي الفاتوره]]-Table118192023103031323538394041481115182028317212637384651[[#This Row],[الدفعات]]</f>
        <v>-2277.8499999999985</v>
      </c>
    </row>
    <row r="65" spans="9:14" s="1" customFormat="1" ht="25.2" customHeight="1" x14ac:dyDescent="0.3">
      <c r="I65" s="1">
        <f>0.14*Table118192023103031323538394041481115182028317212637384651[[#This Row],[النولون]]</f>
        <v>0</v>
      </c>
      <c r="L6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65" s="1">
        <f>N64+Table118192023103031323538394041481115182028317212637384651[[#This Row],[اجمالي الفاتوره]]-Table118192023103031323538394041481115182028317212637384651[[#This Row],[الدفعات]]</f>
        <v>-2277.8499999999985</v>
      </c>
    </row>
    <row r="66" spans="9:14" s="1" customFormat="1" ht="25.2" customHeight="1" x14ac:dyDescent="0.3">
      <c r="I66" s="1">
        <f>0.14*Table118192023103031323538394041481115182028317212637384651[[#This Row],[النولون]]</f>
        <v>0</v>
      </c>
      <c r="L6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66" s="1">
        <f>N65+Table118192023103031323538394041481115182028317212637384651[[#This Row],[اجمالي الفاتوره]]-Table118192023103031323538394041481115182028317212637384651[[#This Row],[الدفعات]]</f>
        <v>-2277.8499999999985</v>
      </c>
    </row>
    <row r="67" spans="9:14" s="1" customFormat="1" ht="25.2" customHeight="1" x14ac:dyDescent="0.3">
      <c r="I67" s="1">
        <f>0.14*Table118192023103031323538394041481115182028317212637384651[[#This Row],[النولون]]</f>
        <v>0</v>
      </c>
      <c r="L6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67" s="1">
        <f>N66+Table118192023103031323538394041481115182028317212637384651[[#This Row],[اجمالي الفاتوره]]-Table118192023103031323538394041481115182028317212637384651[[#This Row],[الدفعات]]</f>
        <v>-2277.8499999999985</v>
      </c>
    </row>
    <row r="68" spans="9:14" s="1" customFormat="1" ht="25.2" customHeight="1" x14ac:dyDescent="0.3">
      <c r="I68" s="1">
        <f>0.14*Table118192023103031323538394041481115182028317212637384651[[#This Row],[النولون]]</f>
        <v>0</v>
      </c>
      <c r="L6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68" s="1">
        <f>N67+Table118192023103031323538394041481115182028317212637384651[[#This Row],[اجمالي الفاتوره]]-Table118192023103031323538394041481115182028317212637384651[[#This Row],[الدفعات]]</f>
        <v>-2277.8499999999985</v>
      </c>
    </row>
    <row r="69" spans="9:14" s="1" customFormat="1" ht="25.2" customHeight="1" x14ac:dyDescent="0.3">
      <c r="I69" s="1">
        <f>0.14*Table118192023103031323538394041481115182028317212637384651[[#This Row],[النولون]]</f>
        <v>0</v>
      </c>
      <c r="L6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69" s="1">
        <f>N68+Table118192023103031323538394041481115182028317212637384651[[#This Row],[اجمالي الفاتوره]]-Table118192023103031323538394041481115182028317212637384651[[#This Row],[الدفعات]]</f>
        <v>-2277.8499999999985</v>
      </c>
    </row>
    <row r="70" spans="9:14" s="1" customFormat="1" ht="25.2" customHeight="1" x14ac:dyDescent="0.3">
      <c r="I70" s="1">
        <f>0.14*Table118192023103031323538394041481115182028317212637384651[[#This Row],[النولون]]</f>
        <v>0</v>
      </c>
      <c r="L7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70" s="1">
        <f>N69+Table118192023103031323538394041481115182028317212637384651[[#This Row],[اجمالي الفاتوره]]-Table118192023103031323538394041481115182028317212637384651[[#This Row],[الدفعات]]</f>
        <v>-2277.8499999999985</v>
      </c>
    </row>
    <row r="71" spans="9:14" s="1" customFormat="1" ht="25.2" customHeight="1" x14ac:dyDescent="0.3">
      <c r="I71" s="1">
        <f>0.14*Table118192023103031323538394041481115182028317212637384651[[#This Row],[النولون]]</f>
        <v>0</v>
      </c>
      <c r="L7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71" s="1">
        <f>N70+Table118192023103031323538394041481115182028317212637384651[[#This Row],[اجمالي الفاتوره]]-Table118192023103031323538394041481115182028317212637384651[[#This Row],[الدفعات]]</f>
        <v>-2277.8499999999985</v>
      </c>
    </row>
    <row r="72" spans="9:14" s="1" customFormat="1" ht="25.2" customHeight="1" x14ac:dyDescent="0.3">
      <c r="I72" s="1">
        <f>0.14*Table118192023103031323538394041481115182028317212637384651[[#This Row],[النولون]]</f>
        <v>0</v>
      </c>
      <c r="L7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72" s="1">
        <f>N71+Table118192023103031323538394041481115182028317212637384651[[#This Row],[اجمالي الفاتوره]]-Table118192023103031323538394041481115182028317212637384651[[#This Row],[الدفعات]]</f>
        <v>-2277.8499999999985</v>
      </c>
    </row>
    <row r="73" spans="9:14" s="1" customFormat="1" ht="25.2" customHeight="1" x14ac:dyDescent="0.3">
      <c r="I73" s="1">
        <f>0.14*Table118192023103031323538394041481115182028317212637384651[[#This Row],[النولون]]</f>
        <v>0</v>
      </c>
      <c r="L7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73" s="1">
        <f>N72+Table118192023103031323538394041481115182028317212637384651[[#This Row],[اجمالي الفاتوره]]-Table118192023103031323538394041481115182028317212637384651[[#This Row],[الدفعات]]</f>
        <v>-2277.8499999999985</v>
      </c>
    </row>
    <row r="74" spans="9:14" s="1" customFormat="1" ht="25.2" customHeight="1" x14ac:dyDescent="0.3">
      <c r="I74" s="1">
        <f>0.14*Table118192023103031323538394041481115182028317212637384651[[#This Row],[النولون]]</f>
        <v>0</v>
      </c>
      <c r="L7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74" s="1">
        <f>N73+Table118192023103031323538394041481115182028317212637384651[[#This Row],[اجمالي الفاتوره]]-Table118192023103031323538394041481115182028317212637384651[[#This Row],[الدفعات]]</f>
        <v>-2277.8499999999985</v>
      </c>
    </row>
    <row r="75" spans="9:14" s="1" customFormat="1" ht="25.2" customHeight="1" x14ac:dyDescent="0.3">
      <c r="I75" s="1">
        <f>0.14*Table118192023103031323538394041481115182028317212637384651[[#This Row],[النولون]]</f>
        <v>0</v>
      </c>
      <c r="L7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75" s="1">
        <f>N74+Table118192023103031323538394041481115182028317212637384651[[#This Row],[اجمالي الفاتوره]]-Table118192023103031323538394041481115182028317212637384651[[#This Row],[الدفعات]]</f>
        <v>-2277.8499999999985</v>
      </c>
    </row>
    <row r="76" spans="9:14" s="1" customFormat="1" ht="25.2" customHeight="1" x14ac:dyDescent="0.3">
      <c r="I76" s="1">
        <f>0.14*Table118192023103031323538394041481115182028317212637384651[[#This Row],[النولون]]</f>
        <v>0</v>
      </c>
      <c r="L7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76" s="1">
        <f>N75+Table118192023103031323538394041481115182028317212637384651[[#This Row],[اجمالي الفاتوره]]-Table118192023103031323538394041481115182028317212637384651[[#This Row],[الدفعات]]</f>
        <v>-2277.8499999999985</v>
      </c>
    </row>
    <row r="77" spans="9:14" s="1" customFormat="1" ht="25.2" customHeight="1" x14ac:dyDescent="0.3">
      <c r="I77" s="1">
        <f>0.14*Table118192023103031323538394041481115182028317212637384651[[#This Row],[النولون]]</f>
        <v>0</v>
      </c>
      <c r="L7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77" s="1">
        <f>N76+Table118192023103031323538394041481115182028317212637384651[[#This Row],[اجمالي الفاتوره]]-Table118192023103031323538394041481115182028317212637384651[[#This Row],[الدفعات]]</f>
        <v>-2277.8499999999985</v>
      </c>
    </row>
    <row r="78" spans="9:14" s="1" customFormat="1" ht="25.2" customHeight="1" x14ac:dyDescent="0.3">
      <c r="I78" s="1">
        <f>0.14*Table118192023103031323538394041481115182028317212637384651[[#This Row],[النولون]]</f>
        <v>0</v>
      </c>
      <c r="L7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78" s="1">
        <f>N77+Table118192023103031323538394041481115182028317212637384651[[#This Row],[اجمالي الفاتوره]]-Table118192023103031323538394041481115182028317212637384651[[#This Row],[الدفعات]]</f>
        <v>-2277.8499999999985</v>
      </c>
    </row>
    <row r="79" spans="9:14" s="1" customFormat="1" ht="25.2" customHeight="1" x14ac:dyDescent="0.3">
      <c r="I79" s="1">
        <f>0.14*Table118192023103031323538394041481115182028317212637384651[[#This Row],[النولون]]</f>
        <v>0</v>
      </c>
      <c r="L7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79" s="1">
        <f>N78+Table118192023103031323538394041481115182028317212637384651[[#This Row],[اجمالي الفاتوره]]-Table118192023103031323538394041481115182028317212637384651[[#This Row],[الدفعات]]</f>
        <v>-2277.8499999999985</v>
      </c>
    </row>
    <row r="80" spans="9:14" s="1" customFormat="1" ht="25.2" customHeight="1" x14ac:dyDescent="0.3">
      <c r="I80" s="1">
        <f>0.14*Table118192023103031323538394041481115182028317212637384651[[#This Row],[النولون]]</f>
        <v>0</v>
      </c>
      <c r="L8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80" s="1">
        <f>N79+Table118192023103031323538394041481115182028317212637384651[[#This Row],[اجمالي الفاتوره]]-Table118192023103031323538394041481115182028317212637384651[[#This Row],[الدفعات]]</f>
        <v>-2277.8499999999985</v>
      </c>
    </row>
    <row r="81" spans="9:14" s="1" customFormat="1" ht="25.2" customHeight="1" x14ac:dyDescent="0.3">
      <c r="I81" s="1">
        <f>0.14*Table118192023103031323538394041481115182028317212637384651[[#This Row],[النولون]]</f>
        <v>0</v>
      </c>
      <c r="L8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81" s="1">
        <f>N80+Table118192023103031323538394041481115182028317212637384651[[#This Row],[اجمالي الفاتوره]]-Table118192023103031323538394041481115182028317212637384651[[#This Row],[الدفعات]]</f>
        <v>-2277.8499999999985</v>
      </c>
    </row>
    <row r="82" spans="9:14" s="1" customFormat="1" ht="25.2" customHeight="1" x14ac:dyDescent="0.3">
      <c r="I82" s="1">
        <f>0.14*Table118192023103031323538394041481115182028317212637384651[[#This Row],[النولون]]</f>
        <v>0</v>
      </c>
      <c r="L8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82" s="1">
        <f>N81+Table118192023103031323538394041481115182028317212637384651[[#This Row],[اجمالي الفاتوره]]-Table118192023103031323538394041481115182028317212637384651[[#This Row],[الدفعات]]</f>
        <v>-2277.8499999999985</v>
      </c>
    </row>
    <row r="83" spans="9:14" s="1" customFormat="1" ht="25.2" customHeight="1" x14ac:dyDescent="0.3">
      <c r="I83" s="1">
        <f>0.14*Table118192023103031323538394041481115182028317212637384651[[#This Row],[النولون]]</f>
        <v>0</v>
      </c>
      <c r="L8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83" s="1">
        <f>N82+Table118192023103031323538394041481115182028317212637384651[[#This Row],[اجمالي الفاتوره]]-Table118192023103031323538394041481115182028317212637384651[[#This Row],[الدفعات]]</f>
        <v>-2277.8499999999985</v>
      </c>
    </row>
    <row r="84" spans="9:14" s="1" customFormat="1" ht="25.2" customHeight="1" x14ac:dyDescent="0.3">
      <c r="I84" s="1">
        <f>0.14*Table118192023103031323538394041481115182028317212637384651[[#This Row],[النولون]]</f>
        <v>0</v>
      </c>
      <c r="L8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84" s="1">
        <f>N83+Table118192023103031323538394041481115182028317212637384651[[#This Row],[اجمالي الفاتوره]]-Table118192023103031323538394041481115182028317212637384651[[#This Row],[الدفعات]]</f>
        <v>-2277.8499999999985</v>
      </c>
    </row>
    <row r="85" spans="9:14" s="1" customFormat="1" ht="25.2" customHeight="1" x14ac:dyDescent="0.3">
      <c r="I85" s="1">
        <f>0.14*Table118192023103031323538394041481115182028317212637384651[[#This Row],[النولون]]</f>
        <v>0</v>
      </c>
      <c r="L8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85" s="1">
        <f>N84+Table118192023103031323538394041481115182028317212637384651[[#This Row],[اجمالي الفاتوره]]-Table118192023103031323538394041481115182028317212637384651[[#This Row],[الدفعات]]</f>
        <v>-2277.8499999999985</v>
      </c>
    </row>
    <row r="86" spans="9:14" s="1" customFormat="1" ht="25.2" customHeight="1" x14ac:dyDescent="0.3">
      <c r="I86" s="1">
        <f>0.14*Table118192023103031323538394041481115182028317212637384651[[#This Row],[النولون]]</f>
        <v>0</v>
      </c>
      <c r="L8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86" s="1">
        <f>N85+Table118192023103031323538394041481115182028317212637384651[[#This Row],[اجمالي الفاتوره]]-Table118192023103031323538394041481115182028317212637384651[[#This Row],[الدفعات]]</f>
        <v>-2277.8499999999985</v>
      </c>
    </row>
    <row r="87" spans="9:14" s="1" customFormat="1" ht="25.2" customHeight="1" x14ac:dyDescent="0.3">
      <c r="I87" s="1">
        <f>0.14*Table118192023103031323538394041481115182028317212637384651[[#This Row],[النولون]]</f>
        <v>0</v>
      </c>
      <c r="L8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87" s="1">
        <f>N86+Table118192023103031323538394041481115182028317212637384651[[#This Row],[اجمالي الفاتوره]]-Table118192023103031323538394041481115182028317212637384651[[#This Row],[الدفعات]]</f>
        <v>-2277.8499999999985</v>
      </c>
    </row>
    <row r="88" spans="9:14" s="1" customFormat="1" ht="25.2" customHeight="1" x14ac:dyDescent="0.3">
      <c r="I88" s="1">
        <f>0.14*Table118192023103031323538394041481115182028317212637384651[[#This Row],[النولون]]</f>
        <v>0</v>
      </c>
      <c r="L8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88" s="1">
        <f>N87+Table118192023103031323538394041481115182028317212637384651[[#This Row],[اجمالي الفاتوره]]-Table118192023103031323538394041481115182028317212637384651[[#This Row],[الدفعات]]</f>
        <v>-2277.8499999999985</v>
      </c>
    </row>
    <row r="89" spans="9:14" s="1" customFormat="1" ht="25.2" customHeight="1" x14ac:dyDescent="0.3">
      <c r="I89" s="1">
        <f>0.14*Table118192023103031323538394041481115182028317212637384651[[#This Row],[النولون]]</f>
        <v>0</v>
      </c>
      <c r="L8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89" s="1">
        <f>N88+Table118192023103031323538394041481115182028317212637384651[[#This Row],[اجمالي الفاتوره]]-Table118192023103031323538394041481115182028317212637384651[[#This Row],[الدفعات]]</f>
        <v>-2277.8499999999985</v>
      </c>
    </row>
    <row r="90" spans="9:14" s="1" customFormat="1" ht="25.2" customHeight="1" x14ac:dyDescent="0.3">
      <c r="I90" s="1">
        <f>0.14*Table118192023103031323538394041481115182028317212637384651[[#This Row],[النولون]]</f>
        <v>0</v>
      </c>
      <c r="L9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90" s="1">
        <f>N89+Table118192023103031323538394041481115182028317212637384651[[#This Row],[اجمالي الفاتوره]]-Table118192023103031323538394041481115182028317212637384651[[#This Row],[الدفعات]]</f>
        <v>-2277.8499999999985</v>
      </c>
    </row>
    <row r="91" spans="9:14" s="1" customFormat="1" ht="25.2" customHeight="1" x14ac:dyDescent="0.3">
      <c r="I91" s="1">
        <f>0.14*Table118192023103031323538394041481115182028317212637384651[[#This Row],[النولون]]</f>
        <v>0</v>
      </c>
      <c r="L9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91" s="1">
        <f>N90+Table118192023103031323538394041481115182028317212637384651[[#This Row],[اجمالي الفاتوره]]-Table118192023103031323538394041481115182028317212637384651[[#This Row],[الدفعات]]</f>
        <v>-2277.8499999999985</v>
      </c>
    </row>
    <row r="92" spans="9:14" s="1" customFormat="1" ht="25.2" customHeight="1" x14ac:dyDescent="0.3">
      <c r="I92" s="1">
        <f>0.14*Table118192023103031323538394041481115182028317212637384651[[#This Row],[النولون]]</f>
        <v>0</v>
      </c>
      <c r="L9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92" s="1">
        <f>N91+Table118192023103031323538394041481115182028317212637384651[[#This Row],[اجمالي الفاتوره]]-Table118192023103031323538394041481115182028317212637384651[[#This Row],[الدفعات]]</f>
        <v>-2277.8499999999985</v>
      </c>
    </row>
    <row r="93" spans="9:14" s="1" customFormat="1" ht="25.2" customHeight="1" x14ac:dyDescent="0.3">
      <c r="I93" s="1">
        <f>0.14*Table118192023103031323538394041481115182028317212637384651[[#This Row],[النولون]]</f>
        <v>0</v>
      </c>
      <c r="L9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93" s="1">
        <f>N92+Table118192023103031323538394041481115182028317212637384651[[#This Row],[اجمالي الفاتوره]]-Table118192023103031323538394041481115182028317212637384651[[#This Row],[الدفعات]]</f>
        <v>-2277.8499999999985</v>
      </c>
    </row>
    <row r="94" spans="9:14" s="1" customFormat="1" ht="25.2" customHeight="1" x14ac:dyDescent="0.3">
      <c r="I94" s="1">
        <f>0.14*Table118192023103031323538394041481115182028317212637384651[[#This Row],[النولون]]</f>
        <v>0</v>
      </c>
      <c r="L9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94" s="1">
        <f>N93+Table118192023103031323538394041481115182028317212637384651[[#This Row],[اجمالي الفاتوره]]-Table118192023103031323538394041481115182028317212637384651[[#This Row],[الدفعات]]</f>
        <v>-2277.8499999999985</v>
      </c>
    </row>
    <row r="95" spans="9:14" s="1" customFormat="1" ht="25.2" customHeight="1" x14ac:dyDescent="0.3">
      <c r="I95" s="1">
        <f>0.14*Table118192023103031323538394041481115182028317212637384651[[#This Row],[النولون]]</f>
        <v>0</v>
      </c>
      <c r="L9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95" s="1">
        <f>N94+Table118192023103031323538394041481115182028317212637384651[[#This Row],[اجمالي الفاتوره]]-Table118192023103031323538394041481115182028317212637384651[[#This Row],[الدفعات]]</f>
        <v>-2277.8499999999985</v>
      </c>
    </row>
    <row r="96" spans="9:14" s="1" customFormat="1" ht="25.2" customHeight="1" x14ac:dyDescent="0.3">
      <c r="I96" s="1">
        <f>0.14*Table118192023103031323538394041481115182028317212637384651[[#This Row],[النولون]]</f>
        <v>0</v>
      </c>
      <c r="L9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96" s="1">
        <f>N95+Table118192023103031323538394041481115182028317212637384651[[#This Row],[اجمالي الفاتوره]]-Table118192023103031323538394041481115182028317212637384651[[#This Row],[الدفعات]]</f>
        <v>-2277.8499999999985</v>
      </c>
    </row>
    <row r="97" spans="9:14" s="1" customFormat="1" ht="25.2" customHeight="1" x14ac:dyDescent="0.3">
      <c r="I97" s="1">
        <f>0.14*Table118192023103031323538394041481115182028317212637384651[[#This Row],[النولون]]</f>
        <v>0</v>
      </c>
      <c r="L9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97" s="1">
        <f>N96+Table118192023103031323538394041481115182028317212637384651[[#This Row],[اجمالي الفاتوره]]-Table118192023103031323538394041481115182028317212637384651[[#This Row],[الدفعات]]</f>
        <v>-2277.8499999999985</v>
      </c>
    </row>
    <row r="98" spans="9:14" s="1" customFormat="1" ht="25.2" customHeight="1" x14ac:dyDescent="0.3">
      <c r="I98" s="1">
        <f>0.14*Table118192023103031323538394041481115182028317212637384651[[#This Row],[النولون]]</f>
        <v>0</v>
      </c>
      <c r="L9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98" s="1">
        <f>N97+Table118192023103031323538394041481115182028317212637384651[[#This Row],[اجمالي الفاتوره]]-Table118192023103031323538394041481115182028317212637384651[[#This Row],[الدفعات]]</f>
        <v>-2277.8499999999985</v>
      </c>
    </row>
    <row r="99" spans="9:14" s="1" customFormat="1" ht="25.2" customHeight="1" x14ac:dyDescent="0.3">
      <c r="I99" s="1">
        <f>0.14*Table118192023103031323538394041481115182028317212637384651[[#This Row],[النولون]]</f>
        <v>0</v>
      </c>
      <c r="L9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99" s="1">
        <f>N98+Table118192023103031323538394041481115182028317212637384651[[#This Row],[اجمالي الفاتوره]]-Table118192023103031323538394041481115182028317212637384651[[#This Row],[الدفعات]]</f>
        <v>-2277.8499999999985</v>
      </c>
    </row>
    <row r="100" spans="9:14" s="1" customFormat="1" ht="25.2" customHeight="1" x14ac:dyDescent="0.3">
      <c r="I100" s="1">
        <f>0.14*Table118192023103031323538394041481115182028317212637384651[[#This Row],[النولون]]</f>
        <v>0</v>
      </c>
      <c r="L10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00" s="1">
        <f>N99+Table118192023103031323538394041481115182028317212637384651[[#This Row],[اجمالي الفاتوره]]-Table118192023103031323538394041481115182028317212637384651[[#This Row],[الدفعات]]</f>
        <v>-2277.8499999999985</v>
      </c>
    </row>
    <row r="101" spans="9:14" s="1" customFormat="1" ht="25.2" customHeight="1" x14ac:dyDescent="0.3">
      <c r="I101" s="1">
        <f>0.14*Table118192023103031323538394041481115182028317212637384651[[#This Row],[النولون]]</f>
        <v>0</v>
      </c>
      <c r="L10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01" s="1">
        <f>N100+Table118192023103031323538394041481115182028317212637384651[[#This Row],[اجمالي الفاتوره]]-Table118192023103031323538394041481115182028317212637384651[[#This Row],[الدفعات]]</f>
        <v>-2277.8499999999985</v>
      </c>
    </row>
    <row r="102" spans="9:14" s="1" customFormat="1" ht="25.2" customHeight="1" x14ac:dyDescent="0.3">
      <c r="I102" s="1">
        <f>0.14*Table118192023103031323538394041481115182028317212637384651[[#This Row],[النولون]]</f>
        <v>0</v>
      </c>
      <c r="L10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02" s="1">
        <f>N101+Table118192023103031323538394041481115182028317212637384651[[#This Row],[اجمالي الفاتوره]]-Table118192023103031323538394041481115182028317212637384651[[#This Row],[الدفعات]]</f>
        <v>-2277.8499999999985</v>
      </c>
    </row>
    <row r="103" spans="9:14" s="1" customFormat="1" ht="25.2" customHeight="1" x14ac:dyDescent="0.3">
      <c r="I103" s="1">
        <f>0.14*Table118192023103031323538394041481115182028317212637384651[[#This Row],[النولون]]</f>
        <v>0</v>
      </c>
      <c r="L10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03" s="1">
        <f>N102+Table118192023103031323538394041481115182028317212637384651[[#This Row],[اجمالي الفاتوره]]-Table118192023103031323538394041481115182028317212637384651[[#This Row],[الدفعات]]</f>
        <v>-2277.8499999999985</v>
      </c>
    </row>
    <row r="104" spans="9:14" s="1" customFormat="1" ht="25.2" customHeight="1" x14ac:dyDescent="0.3">
      <c r="I104" s="1">
        <f>0.14*Table118192023103031323538394041481115182028317212637384651[[#This Row],[النولون]]</f>
        <v>0</v>
      </c>
      <c r="L10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04" s="1">
        <f>N103+Table118192023103031323538394041481115182028317212637384651[[#This Row],[اجمالي الفاتوره]]-Table118192023103031323538394041481115182028317212637384651[[#This Row],[الدفعات]]</f>
        <v>-2277.8499999999985</v>
      </c>
    </row>
    <row r="105" spans="9:14" s="1" customFormat="1" ht="25.2" customHeight="1" x14ac:dyDescent="0.3">
      <c r="I105" s="1">
        <f>0.14*Table118192023103031323538394041481115182028317212637384651[[#This Row],[النولون]]</f>
        <v>0</v>
      </c>
      <c r="L10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05" s="1">
        <f>N104+Table118192023103031323538394041481115182028317212637384651[[#This Row],[اجمالي الفاتوره]]-Table118192023103031323538394041481115182028317212637384651[[#This Row],[الدفعات]]</f>
        <v>-2277.8499999999985</v>
      </c>
    </row>
    <row r="106" spans="9:14" s="1" customFormat="1" ht="25.2" customHeight="1" x14ac:dyDescent="0.3">
      <c r="I106" s="1">
        <f>0.14*Table118192023103031323538394041481115182028317212637384651[[#This Row],[النولون]]</f>
        <v>0</v>
      </c>
      <c r="L10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06" s="1">
        <f>N105+Table118192023103031323538394041481115182028317212637384651[[#This Row],[اجمالي الفاتوره]]-Table118192023103031323538394041481115182028317212637384651[[#This Row],[الدفعات]]</f>
        <v>-2277.8499999999985</v>
      </c>
    </row>
    <row r="107" spans="9:14" s="1" customFormat="1" ht="25.2" customHeight="1" x14ac:dyDescent="0.3">
      <c r="I107" s="1">
        <f>0.14*Table118192023103031323538394041481115182028317212637384651[[#This Row],[النولون]]</f>
        <v>0</v>
      </c>
      <c r="L10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07" s="1">
        <f>N106+Table118192023103031323538394041481115182028317212637384651[[#This Row],[اجمالي الفاتوره]]-Table118192023103031323538394041481115182028317212637384651[[#This Row],[الدفعات]]</f>
        <v>-2277.8499999999985</v>
      </c>
    </row>
    <row r="108" spans="9:14" s="1" customFormat="1" ht="25.2" customHeight="1" x14ac:dyDescent="0.3">
      <c r="I108" s="1">
        <f>0.14*Table118192023103031323538394041481115182028317212637384651[[#This Row],[النولون]]</f>
        <v>0</v>
      </c>
      <c r="L10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08" s="1">
        <f>N107+Table118192023103031323538394041481115182028317212637384651[[#This Row],[اجمالي الفاتوره]]-Table118192023103031323538394041481115182028317212637384651[[#This Row],[الدفعات]]</f>
        <v>-2277.8499999999985</v>
      </c>
    </row>
    <row r="109" spans="9:14" s="1" customFormat="1" ht="25.2" customHeight="1" x14ac:dyDescent="0.3">
      <c r="I109" s="1">
        <f>0.14*Table118192023103031323538394041481115182028317212637384651[[#This Row],[النولون]]</f>
        <v>0</v>
      </c>
      <c r="L10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09" s="1">
        <f>N108+Table118192023103031323538394041481115182028317212637384651[[#This Row],[اجمالي الفاتوره]]-Table118192023103031323538394041481115182028317212637384651[[#This Row],[الدفعات]]</f>
        <v>-2277.8499999999985</v>
      </c>
    </row>
    <row r="110" spans="9:14" s="1" customFormat="1" ht="25.2" customHeight="1" x14ac:dyDescent="0.3">
      <c r="I110" s="1">
        <f>0.14*Table118192023103031323538394041481115182028317212637384651[[#This Row],[النولون]]</f>
        <v>0</v>
      </c>
      <c r="L11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10" s="1">
        <f>N109+Table118192023103031323538394041481115182028317212637384651[[#This Row],[اجمالي الفاتوره]]-Table118192023103031323538394041481115182028317212637384651[[#This Row],[الدفعات]]</f>
        <v>-2277.8499999999985</v>
      </c>
    </row>
    <row r="111" spans="9:14" s="1" customFormat="1" ht="25.2" customHeight="1" x14ac:dyDescent="0.3">
      <c r="I111" s="1">
        <f>0.14*Table118192023103031323538394041481115182028317212637384651[[#This Row],[النولون]]</f>
        <v>0</v>
      </c>
      <c r="L11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11" s="1">
        <f>N110+Table118192023103031323538394041481115182028317212637384651[[#This Row],[اجمالي الفاتوره]]-Table118192023103031323538394041481115182028317212637384651[[#This Row],[الدفعات]]</f>
        <v>-2277.8499999999985</v>
      </c>
    </row>
    <row r="112" spans="9:14" s="1" customFormat="1" ht="25.2" customHeight="1" x14ac:dyDescent="0.3">
      <c r="I112" s="1">
        <f>0.14*Table118192023103031323538394041481115182028317212637384651[[#This Row],[النولون]]</f>
        <v>0</v>
      </c>
      <c r="L11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12" s="1">
        <f>N111+Table118192023103031323538394041481115182028317212637384651[[#This Row],[اجمالي الفاتوره]]-Table118192023103031323538394041481115182028317212637384651[[#This Row],[الدفعات]]</f>
        <v>-2277.8499999999985</v>
      </c>
    </row>
    <row r="113" spans="9:14" s="1" customFormat="1" ht="25.2" customHeight="1" x14ac:dyDescent="0.3">
      <c r="I113" s="1">
        <f>0.14*Table118192023103031323538394041481115182028317212637384651[[#This Row],[النولون]]</f>
        <v>0</v>
      </c>
      <c r="L11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13" s="1">
        <f>N112+Table118192023103031323538394041481115182028317212637384651[[#This Row],[اجمالي الفاتوره]]-Table118192023103031323538394041481115182028317212637384651[[#This Row],[الدفعات]]</f>
        <v>-2277.8499999999985</v>
      </c>
    </row>
    <row r="114" spans="9:14" s="1" customFormat="1" ht="25.2" customHeight="1" x14ac:dyDescent="0.3">
      <c r="I114" s="1">
        <f>0.14*Table118192023103031323538394041481115182028317212637384651[[#This Row],[النولون]]</f>
        <v>0</v>
      </c>
      <c r="L11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14" s="1">
        <f>N113+Table118192023103031323538394041481115182028317212637384651[[#This Row],[اجمالي الفاتوره]]-Table118192023103031323538394041481115182028317212637384651[[#This Row],[الدفعات]]</f>
        <v>-2277.8499999999985</v>
      </c>
    </row>
    <row r="115" spans="9:14" s="1" customFormat="1" ht="25.2" customHeight="1" x14ac:dyDescent="0.3">
      <c r="I115" s="1">
        <f>0.14*Table118192023103031323538394041481115182028317212637384651[[#This Row],[النولون]]</f>
        <v>0</v>
      </c>
      <c r="L11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15" s="1">
        <f>N114+Table118192023103031323538394041481115182028317212637384651[[#This Row],[اجمالي الفاتوره]]-Table118192023103031323538394041481115182028317212637384651[[#This Row],[الدفعات]]</f>
        <v>-2277.8499999999985</v>
      </c>
    </row>
    <row r="116" spans="9:14" s="1" customFormat="1" ht="25.2" customHeight="1" x14ac:dyDescent="0.3">
      <c r="I116" s="1">
        <f>0.14*Table118192023103031323538394041481115182028317212637384651[[#This Row],[النولون]]</f>
        <v>0</v>
      </c>
      <c r="L11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16" s="1">
        <f>N115+Table118192023103031323538394041481115182028317212637384651[[#This Row],[اجمالي الفاتوره]]-Table118192023103031323538394041481115182028317212637384651[[#This Row],[الدفعات]]</f>
        <v>-2277.8499999999985</v>
      </c>
    </row>
    <row r="117" spans="9:14" s="1" customFormat="1" ht="25.2" customHeight="1" x14ac:dyDescent="0.3">
      <c r="I117" s="1">
        <f>0.14*Table118192023103031323538394041481115182028317212637384651[[#This Row],[النولون]]</f>
        <v>0</v>
      </c>
      <c r="L11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17" s="1">
        <f>N116+Table118192023103031323538394041481115182028317212637384651[[#This Row],[اجمالي الفاتوره]]-Table118192023103031323538394041481115182028317212637384651[[#This Row],[الدفعات]]</f>
        <v>-2277.8499999999985</v>
      </c>
    </row>
    <row r="118" spans="9:14" s="1" customFormat="1" ht="25.2" customHeight="1" x14ac:dyDescent="0.3">
      <c r="I118" s="1">
        <f>0.14*Table118192023103031323538394041481115182028317212637384651[[#This Row],[النولون]]</f>
        <v>0</v>
      </c>
      <c r="L11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18" s="1">
        <f>N117+Table118192023103031323538394041481115182028317212637384651[[#This Row],[اجمالي الفاتوره]]-Table118192023103031323538394041481115182028317212637384651[[#This Row],[الدفعات]]</f>
        <v>-2277.8499999999985</v>
      </c>
    </row>
    <row r="119" spans="9:14" s="1" customFormat="1" ht="25.2" customHeight="1" x14ac:dyDescent="0.3">
      <c r="I119" s="1">
        <f>0.14*Table118192023103031323538394041481115182028317212637384651[[#This Row],[النولون]]</f>
        <v>0</v>
      </c>
      <c r="L11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19" s="1">
        <f>N118+Table118192023103031323538394041481115182028317212637384651[[#This Row],[اجمالي الفاتوره]]-Table118192023103031323538394041481115182028317212637384651[[#This Row],[الدفعات]]</f>
        <v>-2277.8499999999985</v>
      </c>
    </row>
    <row r="120" spans="9:14" s="1" customFormat="1" ht="25.2" customHeight="1" x14ac:dyDescent="0.3">
      <c r="I120" s="1">
        <f>0.14*Table118192023103031323538394041481115182028317212637384651[[#This Row],[النولون]]</f>
        <v>0</v>
      </c>
      <c r="L12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20" s="1">
        <f>N119+Table118192023103031323538394041481115182028317212637384651[[#This Row],[اجمالي الفاتوره]]-Table118192023103031323538394041481115182028317212637384651[[#This Row],[الدفعات]]</f>
        <v>-2277.8499999999985</v>
      </c>
    </row>
    <row r="121" spans="9:14" s="1" customFormat="1" ht="25.2" customHeight="1" x14ac:dyDescent="0.3">
      <c r="I121" s="1">
        <f>0.14*Table118192023103031323538394041481115182028317212637384651[[#This Row],[النولون]]</f>
        <v>0</v>
      </c>
      <c r="L12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21" s="1">
        <f>N120+Table118192023103031323538394041481115182028317212637384651[[#This Row],[اجمالي الفاتوره]]-Table118192023103031323538394041481115182028317212637384651[[#This Row],[الدفعات]]</f>
        <v>-2277.8499999999985</v>
      </c>
    </row>
    <row r="122" spans="9:14" s="1" customFormat="1" ht="25.2" customHeight="1" x14ac:dyDescent="0.3">
      <c r="I122" s="1">
        <f>0.14*Table118192023103031323538394041481115182028317212637384651[[#This Row],[النولون]]</f>
        <v>0</v>
      </c>
      <c r="L12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22" s="1">
        <f>N121+Table118192023103031323538394041481115182028317212637384651[[#This Row],[اجمالي الفاتوره]]-Table118192023103031323538394041481115182028317212637384651[[#This Row],[الدفعات]]</f>
        <v>-2277.8499999999985</v>
      </c>
    </row>
    <row r="123" spans="9:14" s="1" customFormat="1" ht="25.2" customHeight="1" x14ac:dyDescent="0.3">
      <c r="I123" s="1">
        <f>0.14*Table118192023103031323538394041481115182028317212637384651[[#This Row],[النولون]]</f>
        <v>0</v>
      </c>
      <c r="L12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23" s="1">
        <f>N122+Table118192023103031323538394041481115182028317212637384651[[#This Row],[اجمالي الفاتوره]]-Table118192023103031323538394041481115182028317212637384651[[#This Row],[الدفعات]]</f>
        <v>-2277.8499999999985</v>
      </c>
    </row>
    <row r="124" spans="9:14" s="1" customFormat="1" ht="25.2" customHeight="1" x14ac:dyDescent="0.3">
      <c r="I124" s="1">
        <f>0.14*Table118192023103031323538394041481115182028317212637384651[[#This Row],[النولون]]</f>
        <v>0</v>
      </c>
      <c r="L12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24" s="1">
        <f>N123+Table118192023103031323538394041481115182028317212637384651[[#This Row],[اجمالي الفاتوره]]-Table118192023103031323538394041481115182028317212637384651[[#This Row],[الدفعات]]</f>
        <v>-2277.8499999999985</v>
      </c>
    </row>
    <row r="125" spans="9:14" s="1" customFormat="1" ht="25.2" customHeight="1" x14ac:dyDescent="0.3">
      <c r="I125" s="1">
        <f>0.14*Table118192023103031323538394041481115182028317212637384651[[#This Row],[النولون]]</f>
        <v>0</v>
      </c>
      <c r="L12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25" s="1">
        <f>N124+Table118192023103031323538394041481115182028317212637384651[[#This Row],[اجمالي الفاتوره]]-Table118192023103031323538394041481115182028317212637384651[[#This Row],[الدفعات]]</f>
        <v>-2277.8499999999985</v>
      </c>
    </row>
    <row r="126" spans="9:14" s="1" customFormat="1" ht="25.2" customHeight="1" x14ac:dyDescent="0.3">
      <c r="I126" s="1">
        <f>0.14*Table118192023103031323538394041481115182028317212637384651[[#This Row],[النولون]]</f>
        <v>0</v>
      </c>
      <c r="L12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26" s="1">
        <f>N125+Table118192023103031323538394041481115182028317212637384651[[#This Row],[اجمالي الفاتوره]]-Table118192023103031323538394041481115182028317212637384651[[#This Row],[الدفعات]]</f>
        <v>-2277.8499999999985</v>
      </c>
    </row>
    <row r="127" spans="9:14" s="1" customFormat="1" ht="25.2" customHeight="1" x14ac:dyDescent="0.3">
      <c r="I127" s="1">
        <f>0.14*Table118192023103031323538394041481115182028317212637384651[[#This Row],[النولون]]</f>
        <v>0</v>
      </c>
      <c r="L12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27" s="1">
        <f>N126+Table118192023103031323538394041481115182028317212637384651[[#This Row],[اجمالي الفاتوره]]-Table118192023103031323538394041481115182028317212637384651[[#This Row],[الدفعات]]</f>
        <v>-2277.8499999999985</v>
      </c>
    </row>
    <row r="128" spans="9:14" s="1" customFormat="1" ht="25.2" customHeight="1" x14ac:dyDescent="0.3">
      <c r="I128" s="1">
        <f>0.14*Table118192023103031323538394041481115182028317212637384651[[#This Row],[النولون]]</f>
        <v>0</v>
      </c>
      <c r="L12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28" s="1">
        <f>N127+Table118192023103031323538394041481115182028317212637384651[[#This Row],[اجمالي الفاتوره]]-Table118192023103031323538394041481115182028317212637384651[[#This Row],[الدفعات]]</f>
        <v>-2277.8499999999985</v>
      </c>
    </row>
    <row r="129" spans="9:14" s="1" customFormat="1" ht="25.2" customHeight="1" x14ac:dyDescent="0.3">
      <c r="I129" s="1">
        <f>0.14*Table118192023103031323538394041481115182028317212637384651[[#This Row],[النولون]]</f>
        <v>0</v>
      </c>
      <c r="L12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29" s="1">
        <f>N128+Table118192023103031323538394041481115182028317212637384651[[#This Row],[اجمالي الفاتوره]]-Table118192023103031323538394041481115182028317212637384651[[#This Row],[الدفعات]]</f>
        <v>-2277.8499999999985</v>
      </c>
    </row>
    <row r="130" spans="9:14" s="1" customFormat="1" ht="25.2" customHeight="1" x14ac:dyDescent="0.3">
      <c r="I130" s="1">
        <f>0.14*Table118192023103031323538394041481115182028317212637384651[[#This Row],[النولون]]</f>
        <v>0</v>
      </c>
      <c r="L13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30" s="1">
        <f>N129+Table118192023103031323538394041481115182028317212637384651[[#This Row],[اجمالي الفاتوره]]-Table118192023103031323538394041481115182028317212637384651[[#This Row],[الدفعات]]</f>
        <v>-2277.8499999999985</v>
      </c>
    </row>
    <row r="131" spans="9:14" s="1" customFormat="1" ht="25.2" customHeight="1" x14ac:dyDescent="0.3">
      <c r="I131" s="1">
        <f>0.14*Table118192023103031323538394041481115182028317212637384651[[#This Row],[النولون]]</f>
        <v>0</v>
      </c>
      <c r="L13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31" s="1">
        <f>N130+Table118192023103031323538394041481115182028317212637384651[[#This Row],[اجمالي الفاتوره]]-Table118192023103031323538394041481115182028317212637384651[[#This Row],[الدفعات]]</f>
        <v>-2277.8499999999985</v>
      </c>
    </row>
    <row r="132" spans="9:14" s="1" customFormat="1" ht="25.2" customHeight="1" x14ac:dyDescent="0.3">
      <c r="I132" s="1">
        <f>0.14*Table118192023103031323538394041481115182028317212637384651[[#This Row],[النولون]]</f>
        <v>0</v>
      </c>
      <c r="L13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32" s="1">
        <f>N131+Table118192023103031323538394041481115182028317212637384651[[#This Row],[اجمالي الفاتوره]]-Table118192023103031323538394041481115182028317212637384651[[#This Row],[الدفعات]]</f>
        <v>-2277.8499999999985</v>
      </c>
    </row>
    <row r="133" spans="9:14" s="1" customFormat="1" ht="25.2" customHeight="1" x14ac:dyDescent="0.3">
      <c r="I133" s="1">
        <f>0.14*Table118192023103031323538394041481115182028317212637384651[[#This Row],[النولون]]</f>
        <v>0</v>
      </c>
      <c r="L13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33" s="1">
        <f>N132+Table118192023103031323538394041481115182028317212637384651[[#This Row],[اجمالي الفاتوره]]-Table118192023103031323538394041481115182028317212637384651[[#This Row],[الدفعات]]</f>
        <v>-2277.8499999999985</v>
      </c>
    </row>
    <row r="134" spans="9:14" s="1" customFormat="1" ht="25.2" customHeight="1" x14ac:dyDescent="0.3">
      <c r="I134" s="1">
        <f>0.14*Table118192023103031323538394041481115182028317212637384651[[#This Row],[النولون]]</f>
        <v>0</v>
      </c>
      <c r="L13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34" s="1">
        <f>N133+Table118192023103031323538394041481115182028317212637384651[[#This Row],[اجمالي الفاتوره]]-Table118192023103031323538394041481115182028317212637384651[[#This Row],[الدفعات]]</f>
        <v>-2277.8499999999985</v>
      </c>
    </row>
    <row r="135" spans="9:14" s="1" customFormat="1" ht="25.2" customHeight="1" x14ac:dyDescent="0.3">
      <c r="I135" s="1">
        <f>0.14*Table118192023103031323538394041481115182028317212637384651[[#This Row],[النولون]]</f>
        <v>0</v>
      </c>
      <c r="L13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35" s="1">
        <f>N134+Table118192023103031323538394041481115182028317212637384651[[#This Row],[اجمالي الفاتوره]]-Table118192023103031323538394041481115182028317212637384651[[#This Row],[الدفعات]]</f>
        <v>-2277.8499999999985</v>
      </c>
    </row>
    <row r="136" spans="9:14" s="1" customFormat="1" ht="25.2" customHeight="1" x14ac:dyDescent="0.3">
      <c r="I136" s="1">
        <f>0.14*Table118192023103031323538394041481115182028317212637384651[[#This Row],[النولون]]</f>
        <v>0</v>
      </c>
      <c r="L13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36" s="1">
        <f>N135+Table118192023103031323538394041481115182028317212637384651[[#This Row],[اجمالي الفاتوره]]-Table118192023103031323538394041481115182028317212637384651[[#This Row],[الدفعات]]</f>
        <v>-2277.8499999999985</v>
      </c>
    </row>
    <row r="137" spans="9:14" s="1" customFormat="1" ht="25.2" customHeight="1" x14ac:dyDescent="0.3">
      <c r="I137" s="1">
        <f>0.14*Table118192023103031323538394041481115182028317212637384651[[#This Row],[النولون]]</f>
        <v>0</v>
      </c>
      <c r="L13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37" s="1">
        <f>N136+Table118192023103031323538394041481115182028317212637384651[[#This Row],[اجمالي الفاتوره]]-Table118192023103031323538394041481115182028317212637384651[[#This Row],[الدفعات]]</f>
        <v>-2277.8499999999985</v>
      </c>
    </row>
    <row r="138" spans="9:14" s="1" customFormat="1" ht="25.2" customHeight="1" x14ac:dyDescent="0.3">
      <c r="I138" s="1">
        <f>0.14*Table118192023103031323538394041481115182028317212637384651[[#This Row],[النولون]]</f>
        <v>0</v>
      </c>
      <c r="L13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38" s="1">
        <f>N137+Table118192023103031323538394041481115182028317212637384651[[#This Row],[اجمالي الفاتوره]]-Table118192023103031323538394041481115182028317212637384651[[#This Row],[الدفعات]]</f>
        <v>-2277.8499999999985</v>
      </c>
    </row>
    <row r="139" spans="9:14" s="1" customFormat="1" ht="25.2" customHeight="1" x14ac:dyDescent="0.3">
      <c r="I139" s="1">
        <f>0.14*Table118192023103031323538394041481115182028317212637384651[[#This Row],[النولون]]</f>
        <v>0</v>
      </c>
      <c r="L13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39" s="1">
        <f>N138+Table118192023103031323538394041481115182028317212637384651[[#This Row],[اجمالي الفاتوره]]-Table118192023103031323538394041481115182028317212637384651[[#This Row],[الدفعات]]</f>
        <v>-2277.8499999999985</v>
      </c>
    </row>
    <row r="140" spans="9:14" s="1" customFormat="1" ht="25.2" customHeight="1" x14ac:dyDescent="0.3">
      <c r="I140" s="1">
        <f>0.14*Table118192023103031323538394041481115182028317212637384651[[#This Row],[النولون]]</f>
        <v>0</v>
      </c>
      <c r="L14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40" s="1">
        <f>N139+Table118192023103031323538394041481115182028317212637384651[[#This Row],[اجمالي الفاتوره]]-Table118192023103031323538394041481115182028317212637384651[[#This Row],[الدفعات]]</f>
        <v>-2277.8499999999985</v>
      </c>
    </row>
    <row r="141" spans="9:14" s="1" customFormat="1" ht="25.2" customHeight="1" x14ac:dyDescent="0.3">
      <c r="I141" s="1">
        <f>0.14*Table118192023103031323538394041481115182028317212637384651[[#This Row],[النولون]]</f>
        <v>0</v>
      </c>
      <c r="L14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41" s="1">
        <f>N140+Table118192023103031323538394041481115182028317212637384651[[#This Row],[اجمالي الفاتوره]]-Table118192023103031323538394041481115182028317212637384651[[#This Row],[الدفعات]]</f>
        <v>-2277.8499999999985</v>
      </c>
    </row>
    <row r="142" spans="9:14" s="1" customFormat="1" ht="25.2" customHeight="1" x14ac:dyDescent="0.3">
      <c r="I142" s="1">
        <f>0.14*Table118192023103031323538394041481115182028317212637384651[[#This Row],[النولون]]</f>
        <v>0</v>
      </c>
      <c r="L14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42" s="1">
        <f>N141+Table118192023103031323538394041481115182028317212637384651[[#This Row],[اجمالي الفاتوره]]-Table118192023103031323538394041481115182028317212637384651[[#This Row],[الدفعات]]</f>
        <v>-2277.8499999999985</v>
      </c>
    </row>
    <row r="143" spans="9:14" s="1" customFormat="1" ht="25.2" customHeight="1" x14ac:dyDescent="0.3">
      <c r="I143" s="1">
        <f>0.14*Table118192023103031323538394041481115182028317212637384651[[#This Row],[النولون]]</f>
        <v>0</v>
      </c>
      <c r="L14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43" s="1">
        <f>N142+Table118192023103031323538394041481115182028317212637384651[[#This Row],[اجمالي الفاتوره]]-Table118192023103031323538394041481115182028317212637384651[[#This Row],[الدفعات]]</f>
        <v>-2277.8499999999985</v>
      </c>
    </row>
    <row r="144" spans="9:14" s="1" customFormat="1" ht="25.2" customHeight="1" x14ac:dyDescent="0.3">
      <c r="I144" s="1">
        <f>0.14*Table118192023103031323538394041481115182028317212637384651[[#This Row],[النولون]]</f>
        <v>0</v>
      </c>
      <c r="L14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44" s="1">
        <f>N143+Table118192023103031323538394041481115182028317212637384651[[#This Row],[اجمالي الفاتوره]]-Table118192023103031323538394041481115182028317212637384651[[#This Row],[الدفعات]]</f>
        <v>-2277.8499999999985</v>
      </c>
    </row>
    <row r="145" spans="9:14" s="1" customFormat="1" ht="25.2" customHeight="1" x14ac:dyDescent="0.3">
      <c r="I145" s="1">
        <f>0.14*Table118192023103031323538394041481115182028317212637384651[[#This Row],[النولون]]</f>
        <v>0</v>
      </c>
      <c r="L14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45" s="1">
        <f>N144+Table118192023103031323538394041481115182028317212637384651[[#This Row],[اجمالي الفاتوره]]-Table118192023103031323538394041481115182028317212637384651[[#This Row],[الدفعات]]</f>
        <v>-2277.8499999999985</v>
      </c>
    </row>
    <row r="146" spans="9:14" s="1" customFormat="1" ht="25.2" customHeight="1" x14ac:dyDescent="0.3">
      <c r="I146" s="1">
        <f>0.14*Table118192023103031323538394041481115182028317212637384651[[#This Row],[النولون]]</f>
        <v>0</v>
      </c>
      <c r="L14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46" s="1">
        <f>N145+Table118192023103031323538394041481115182028317212637384651[[#This Row],[اجمالي الفاتوره]]-Table118192023103031323538394041481115182028317212637384651[[#This Row],[الدفعات]]</f>
        <v>-2277.8499999999985</v>
      </c>
    </row>
    <row r="147" spans="9:14" s="1" customFormat="1" ht="25.2" customHeight="1" x14ac:dyDescent="0.3">
      <c r="I147" s="1">
        <f>0.14*Table118192023103031323538394041481115182028317212637384651[[#This Row],[النولون]]</f>
        <v>0</v>
      </c>
      <c r="L14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47" s="1">
        <f>N146+Table118192023103031323538394041481115182028317212637384651[[#This Row],[اجمالي الفاتوره]]-Table118192023103031323538394041481115182028317212637384651[[#This Row],[الدفعات]]</f>
        <v>-2277.8499999999985</v>
      </c>
    </row>
    <row r="148" spans="9:14" s="1" customFormat="1" ht="25.2" customHeight="1" x14ac:dyDescent="0.3">
      <c r="I148" s="1">
        <f>0.14*Table118192023103031323538394041481115182028317212637384651[[#This Row],[النولون]]</f>
        <v>0</v>
      </c>
      <c r="L14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48" s="1">
        <f>N147+Table118192023103031323538394041481115182028317212637384651[[#This Row],[اجمالي الفاتوره]]-Table118192023103031323538394041481115182028317212637384651[[#This Row],[الدفعات]]</f>
        <v>-2277.8499999999985</v>
      </c>
    </row>
    <row r="149" spans="9:14" s="1" customFormat="1" ht="25.2" customHeight="1" x14ac:dyDescent="0.3">
      <c r="I149" s="1">
        <f>0.14*Table118192023103031323538394041481115182028317212637384651[[#This Row],[النولون]]</f>
        <v>0</v>
      </c>
      <c r="L14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49" s="1">
        <f>N148+Table118192023103031323538394041481115182028317212637384651[[#This Row],[اجمالي الفاتوره]]-Table118192023103031323538394041481115182028317212637384651[[#This Row],[الدفعات]]</f>
        <v>-2277.8499999999985</v>
      </c>
    </row>
    <row r="150" spans="9:14" s="1" customFormat="1" ht="25.2" customHeight="1" x14ac:dyDescent="0.3">
      <c r="I150" s="1">
        <f>0.14*Table118192023103031323538394041481115182028317212637384651[[#This Row],[النولون]]</f>
        <v>0</v>
      </c>
      <c r="L15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50" s="1">
        <f>N149+Table118192023103031323538394041481115182028317212637384651[[#This Row],[اجمالي الفاتوره]]-Table118192023103031323538394041481115182028317212637384651[[#This Row],[الدفعات]]</f>
        <v>-2277.8499999999985</v>
      </c>
    </row>
    <row r="151" spans="9:14" s="1" customFormat="1" ht="25.2" customHeight="1" x14ac:dyDescent="0.3">
      <c r="I151" s="1">
        <f>0.14*Table118192023103031323538394041481115182028317212637384651[[#This Row],[النولون]]</f>
        <v>0</v>
      </c>
      <c r="L15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51" s="1">
        <f>N150+Table118192023103031323538394041481115182028317212637384651[[#This Row],[اجمالي الفاتوره]]-Table118192023103031323538394041481115182028317212637384651[[#This Row],[الدفعات]]</f>
        <v>-2277.8499999999985</v>
      </c>
    </row>
    <row r="152" spans="9:14" s="1" customFormat="1" ht="25.2" customHeight="1" x14ac:dyDescent="0.3">
      <c r="I152" s="1">
        <f>0.14*Table118192023103031323538394041481115182028317212637384651[[#This Row],[النولون]]</f>
        <v>0</v>
      </c>
      <c r="L15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52" s="1">
        <f>N151+Table118192023103031323538394041481115182028317212637384651[[#This Row],[اجمالي الفاتوره]]-Table118192023103031323538394041481115182028317212637384651[[#This Row],[الدفعات]]</f>
        <v>-2277.8499999999985</v>
      </c>
    </row>
    <row r="153" spans="9:14" s="1" customFormat="1" ht="25.2" customHeight="1" x14ac:dyDescent="0.3">
      <c r="I153" s="1">
        <f>0.14*Table118192023103031323538394041481115182028317212637384651[[#This Row],[النولون]]</f>
        <v>0</v>
      </c>
      <c r="L15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53" s="1">
        <f>N152+Table118192023103031323538394041481115182028317212637384651[[#This Row],[اجمالي الفاتوره]]-Table118192023103031323538394041481115182028317212637384651[[#This Row],[الدفعات]]</f>
        <v>-2277.8499999999985</v>
      </c>
    </row>
    <row r="154" spans="9:14" s="1" customFormat="1" ht="25.2" customHeight="1" x14ac:dyDescent="0.3">
      <c r="I154" s="1">
        <f>0.14*Table118192023103031323538394041481115182028317212637384651[[#This Row],[النولون]]</f>
        <v>0</v>
      </c>
      <c r="L15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54" s="1">
        <f>N153+Table118192023103031323538394041481115182028317212637384651[[#This Row],[اجمالي الفاتوره]]-Table118192023103031323538394041481115182028317212637384651[[#This Row],[الدفعات]]</f>
        <v>-2277.8499999999985</v>
      </c>
    </row>
    <row r="155" spans="9:14" s="1" customFormat="1" ht="25.2" customHeight="1" x14ac:dyDescent="0.3">
      <c r="I155" s="1">
        <f>0.14*Table118192023103031323538394041481115182028317212637384651[[#This Row],[النولون]]</f>
        <v>0</v>
      </c>
      <c r="L15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55" s="1">
        <f>N154+Table118192023103031323538394041481115182028317212637384651[[#This Row],[اجمالي الفاتوره]]-Table118192023103031323538394041481115182028317212637384651[[#This Row],[الدفعات]]</f>
        <v>-2277.8499999999985</v>
      </c>
    </row>
    <row r="156" spans="9:14" s="1" customFormat="1" ht="25.2" customHeight="1" x14ac:dyDescent="0.3">
      <c r="I156" s="1">
        <f>0.14*Table118192023103031323538394041481115182028317212637384651[[#This Row],[النولون]]</f>
        <v>0</v>
      </c>
      <c r="L15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56" s="1">
        <f>N155+Table118192023103031323538394041481115182028317212637384651[[#This Row],[اجمالي الفاتوره]]-Table118192023103031323538394041481115182028317212637384651[[#This Row],[الدفعات]]</f>
        <v>-2277.8499999999985</v>
      </c>
    </row>
    <row r="157" spans="9:14" s="1" customFormat="1" ht="25.2" customHeight="1" x14ac:dyDescent="0.3">
      <c r="I157" s="1">
        <f>0.14*Table118192023103031323538394041481115182028317212637384651[[#This Row],[النولون]]</f>
        <v>0</v>
      </c>
      <c r="L15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57" s="1">
        <f>N156+Table118192023103031323538394041481115182028317212637384651[[#This Row],[اجمالي الفاتوره]]-Table118192023103031323538394041481115182028317212637384651[[#This Row],[الدفعات]]</f>
        <v>-2277.8499999999985</v>
      </c>
    </row>
    <row r="158" spans="9:14" s="1" customFormat="1" ht="25.2" customHeight="1" x14ac:dyDescent="0.3">
      <c r="I158" s="1">
        <f>0.14*Table118192023103031323538394041481115182028317212637384651[[#This Row],[النولون]]</f>
        <v>0</v>
      </c>
      <c r="L15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58" s="1">
        <f>N157+Table118192023103031323538394041481115182028317212637384651[[#This Row],[اجمالي الفاتوره]]-Table118192023103031323538394041481115182028317212637384651[[#This Row],[الدفعات]]</f>
        <v>-2277.8499999999985</v>
      </c>
    </row>
    <row r="159" spans="9:14" s="1" customFormat="1" ht="25.2" customHeight="1" x14ac:dyDescent="0.3">
      <c r="I159" s="1">
        <f>0.14*Table118192023103031323538394041481115182028317212637384651[[#This Row],[النولون]]</f>
        <v>0</v>
      </c>
      <c r="L15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59" s="1">
        <f>N158+Table118192023103031323538394041481115182028317212637384651[[#This Row],[اجمالي الفاتوره]]-Table118192023103031323538394041481115182028317212637384651[[#This Row],[الدفعات]]</f>
        <v>-2277.8499999999985</v>
      </c>
    </row>
    <row r="160" spans="9:14" s="1" customFormat="1" ht="25.2" customHeight="1" x14ac:dyDescent="0.3">
      <c r="I160" s="1">
        <f>0.14*Table118192023103031323538394041481115182028317212637384651[[#This Row],[النولون]]</f>
        <v>0</v>
      </c>
      <c r="L16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60" s="1">
        <f>N159+Table118192023103031323538394041481115182028317212637384651[[#This Row],[اجمالي الفاتوره]]-Table118192023103031323538394041481115182028317212637384651[[#This Row],[الدفعات]]</f>
        <v>-2277.8499999999985</v>
      </c>
    </row>
    <row r="161" spans="9:14" s="1" customFormat="1" ht="25.2" customHeight="1" x14ac:dyDescent="0.3">
      <c r="I161" s="1">
        <f>0.14*Table118192023103031323538394041481115182028317212637384651[[#This Row],[النولون]]</f>
        <v>0</v>
      </c>
      <c r="L16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61" s="1">
        <f>N160+Table118192023103031323538394041481115182028317212637384651[[#This Row],[اجمالي الفاتوره]]-Table118192023103031323538394041481115182028317212637384651[[#This Row],[الدفعات]]</f>
        <v>-2277.8499999999985</v>
      </c>
    </row>
    <row r="162" spans="9:14" s="1" customFormat="1" ht="25.2" customHeight="1" x14ac:dyDescent="0.3">
      <c r="I162" s="1">
        <f>0.14*Table118192023103031323538394041481115182028317212637384651[[#This Row],[النولون]]</f>
        <v>0</v>
      </c>
      <c r="L16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62" s="1">
        <f>N161+Table118192023103031323538394041481115182028317212637384651[[#This Row],[اجمالي الفاتوره]]-Table118192023103031323538394041481115182028317212637384651[[#This Row],[الدفعات]]</f>
        <v>-2277.8499999999985</v>
      </c>
    </row>
    <row r="163" spans="9:14" s="1" customFormat="1" ht="25.2" customHeight="1" x14ac:dyDescent="0.3">
      <c r="I163" s="1">
        <f>0.14*Table118192023103031323538394041481115182028317212637384651[[#This Row],[النولون]]</f>
        <v>0</v>
      </c>
      <c r="L16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63" s="1">
        <f>N162+Table118192023103031323538394041481115182028317212637384651[[#This Row],[اجمالي الفاتوره]]-Table118192023103031323538394041481115182028317212637384651[[#This Row],[الدفعات]]</f>
        <v>-2277.8499999999985</v>
      </c>
    </row>
    <row r="164" spans="9:14" s="1" customFormat="1" ht="25.2" customHeight="1" x14ac:dyDescent="0.3">
      <c r="I164" s="1">
        <f>0.14*Table118192023103031323538394041481115182028317212637384651[[#This Row],[النولون]]</f>
        <v>0</v>
      </c>
      <c r="L16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64" s="1">
        <f>N163+Table118192023103031323538394041481115182028317212637384651[[#This Row],[اجمالي الفاتوره]]-Table118192023103031323538394041481115182028317212637384651[[#This Row],[الدفعات]]</f>
        <v>-2277.8499999999985</v>
      </c>
    </row>
    <row r="165" spans="9:14" s="1" customFormat="1" ht="25.2" customHeight="1" x14ac:dyDescent="0.3">
      <c r="I165" s="1">
        <f>0.14*Table118192023103031323538394041481115182028317212637384651[[#This Row],[النولون]]</f>
        <v>0</v>
      </c>
      <c r="L16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65" s="1">
        <f>N164+Table118192023103031323538394041481115182028317212637384651[[#This Row],[اجمالي الفاتوره]]-Table118192023103031323538394041481115182028317212637384651[[#This Row],[الدفعات]]</f>
        <v>-2277.8499999999985</v>
      </c>
    </row>
    <row r="166" spans="9:14" s="1" customFormat="1" ht="25.2" customHeight="1" x14ac:dyDescent="0.3">
      <c r="I166" s="1">
        <f>0.14*Table118192023103031323538394041481115182028317212637384651[[#This Row],[النولون]]</f>
        <v>0</v>
      </c>
      <c r="L16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66" s="1">
        <f>N165+Table118192023103031323538394041481115182028317212637384651[[#This Row],[اجمالي الفاتوره]]-Table118192023103031323538394041481115182028317212637384651[[#This Row],[الدفعات]]</f>
        <v>-2277.8499999999985</v>
      </c>
    </row>
    <row r="167" spans="9:14" s="1" customFormat="1" ht="25.2" customHeight="1" x14ac:dyDescent="0.3">
      <c r="I167" s="1">
        <f>0.14*Table118192023103031323538394041481115182028317212637384651[[#This Row],[النولون]]</f>
        <v>0</v>
      </c>
      <c r="L16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67" s="1">
        <f>N166+Table118192023103031323538394041481115182028317212637384651[[#This Row],[اجمالي الفاتوره]]-Table118192023103031323538394041481115182028317212637384651[[#This Row],[الدفعات]]</f>
        <v>-2277.8499999999985</v>
      </c>
    </row>
    <row r="168" spans="9:14" s="1" customFormat="1" ht="25.2" customHeight="1" x14ac:dyDescent="0.3">
      <c r="I168" s="1">
        <f>0.14*Table118192023103031323538394041481115182028317212637384651[[#This Row],[النولون]]</f>
        <v>0</v>
      </c>
      <c r="L16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68" s="1">
        <f>N167+Table118192023103031323538394041481115182028317212637384651[[#This Row],[اجمالي الفاتوره]]-Table118192023103031323538394041481115182028317212637384651[[#This Row],[الدفعات]]</f>
        <v>-2277.8499999999985</v>
      </c>
    </row>
    <row r="169" spans="9:14" s="1" customFormat="1" ht="25.2" customHeight="1" x14ac:dyDescent="0.3">
      <c r="I169" s="1">
        <f>0.14*Table118192023103031323538394041481115182028317212637384651[[#This Row],[النولون]]</f>
        <v>0</v>
      </c>
      <c r="L16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69" s="1">
        <f>N168+Table118192023103031323538394041481115182028317212637384651[[#This Row],[اجمالي الفاتوره]]-Table118192023103031323538394041481115182028317212637384651[[#This Row],[الدفعات]]</f>
        <v>-2277.8499999999985</v>
      </c>
    </row>
    <row r="170" spans="9:14" s="1" customFormat="1" ht="25.2" customHeight="1" x14ac:dyDescent="0.3">
      <c r="I170" s="1">
        <f>0.14*Table118192023103031323538394041481115182028317212637384651[[#This Row],[النولون]]</f>
        <v>0</v>
      </c>
      <c r="L17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70" s="1">
        <f>N169+Table118192023103031323538394041481115182028317212637384651[[#This Row],[اجمالي الفاتوره]]-Table118192023103031323538394041481115182028317212637384651[[#This Row],[الدفعات]]</f>
        <v>-2277.8499999999985</v>
      </c>
    </row>
    <row r="171" spans="9:14" s="1" customFormat="1" ht="25.2" customHeight="1" x14ac:dyDescent="0.3">
      <c r="I171" s="1">
        <f>0.14*Table118192023103031323538394041481115182028317212637384651[[#This Row],[النولون]]</f>
        <v>0</v>
      </c>
      <c r="L17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71" s="1">
        <f>N170+Table118192023103031323538394041481115182028317212637384651[[#This Row],[اجمالي الفاتوره]]-Table118192023103031323538394041481115182028317212637384651[[#This Row],[الدفعات]]</f>
        <v>-2277.8499999999985</v>
      </c>
    </row>
    <row r="172" spans="9:14" s="1" customFormat="1" ht="25.2" customHeight="1" x14ac:dyDescent="0.3">
      <c r="I172" s="1">
        <f>0.14*Table118192023103031323538394041481115182028317212637384651[[#This Row],[النولون]]</f>
        <v>0</v>
      </c>
      <c r="L17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72" s="1">
        <f>N171+Table118192023103031323538394041481115182028317212637384651[[#This Row],[اجمالي الفاتوره]]-Table118192023103031323538394041481115182028317212637384651[[#This Row],[الدفعات]]</f>
        <v>-2277.8499999999985</v>
      </c>
    </row>
    <row r="173" spans="9:14" s="1" customFormat="1" ht="25.2" customHeight="1" x14ac:dyDescent="0.3">
      <c r="I173" s="1">
        <f>0.14*Table118192023103031323538394041481115182028317212637384651[[#This Row],[النولون]]</f>
        <v>0</v>
      </c>
      <c r="L17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73" s="1">
        <f>N172+Table118192023103031323538394041481115182028317212637384651[[#This Row],[اجمالي الفاتوره]]-Table118192023103031323538394041481115182028317212637384651[[#This Row],[الدفعات]]</f>
        <v>-2277.8499999999985</v>
      </c>
    </row>
    <row r="174" spans="9:14" s="1" customFormat="1" ht="25.2" customHeight="1" x14ac:dyDescent="0.3">
      <c r="I174" s="1">
        <f>0.14*Table118192023103031323538394041481115182028317212637384651[[#This Row],[النولون]]</f>
        <v>0</v>
      </c>
      <c r="L17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74" s="1">
        <f>N173+Table118192023103031323538394041481115182028317212637384651[[#This Row],[اجمالي الفاتوره]]-Table118192023103031323538394041481115182028317212637384651[[#This Row],[الدفعات]]</f>
        <v>-2277.8499999999985</v>
      </c>
    </row>
    <row r="175" spans="9:14" s="1" customFormat="1" ht="25.2" customHeight="1" x14ac:dyDescent="0.3">
      <c r="I175" s="1">
        <f>0.14*Table118192023103031323538394041481115182028317212637384651[[#This Row],[النولون]]</f>
        <v>0</v>
      </c>
      <c r="L17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75" s="1">
        <f>N174+Table118192023103031323538394041481115182028317212637384651[[#This Row],[اجمالي الفاتوره]]-Table118192023103031323538394041481115182028317212637384651[[#This Row],[الدفعات]]</f>
        <v>-2277.8499999999985</v>
      </c>
    </row>
    <row r="176" spans="9:14" s="1" customFormat="1" ht="25.2" customHeight="1" x14ac:dyDescent="0.3">
      <c r="I176" s="1">
        <f>0.14*Table118192023103031323538394041481115182028317212637384651[[#This Row],[النولون]]</f>
        <v>0</v>
      </c>
      <c r="L17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76" s="1">
        <f>N175+Table118192023103031323538394041481115182028317212637384651[[#This Row],[اجمالي الفاتوره]]-Table118192023103031323538394041481115182028317212637384651[[#This Row],[الدفعات]]</f>
        <v>-2277.8499999999985</v>
      </c>
    </row>
    <row r="177" spans="9:14" s="1" customFormat="1" ht="25.2" customHeight="1" x14ac:dyDescent="0.3">
      <c r="I177" s="1">
        <f>0.14*Table118192023103031323538394041481115182028317212637384651[[#This Row],[النولون]]</f>
        <v>0</v>
      </c>
      <c r="L17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77" s="1">
        <f>N176+Table118192023103031323538394041481115182028317212637384651[[#This Row],[اجمالي الفاتوره]]-Table118192023103031323538394041481115182028317212637384651[[#This Row],[الدفعات]]</f>
        <v>-2277.8499999999985</v>
      </c>
    </row>
    <row r="178" spans="9:14" s="1" customFormat="1" ht="25.2" customHeight="1" x14ac:dyDescent="0.3">
      <c r="I178" s="1">
        <f>0.14*Table118192023103031323538394041481115182028317212637384651[[#This Row],[النولون]]</f>
        <v>0</v>
      </c>
      <c r="L17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78" s="1">
        <f>N177+Table118192023103031323538394041481115182028317212637384651[[#This Row],[اجمالي الفاتوره]]-Table118192023103031323538394041481115182028317212637384651[[#This Row],[الدفعات]]</f>
        <v>-2277.8499999999985</v>
      </c>
    </row>
    <row r="179" spans="9:14" s="1" customFormat="1" ht="25.2" customHeight="1" x14ac:dyDescent="0.3">
      <c r="I179" s="1">
        <f>0.14*Table118192023103031323538394041481115182028317212637384651[[#This Row],[النولون]]</f>
        <v>0</v>
      </c>
      <c r="L17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79" s="1">
        <f>N178+Table118192023103031323538394041481115182028317212637384651[[#This Row],[اجمالي الفاتوره]]-Table118192023103031323538394041481115182028317212637384651[[#This Row],[الدفعات]]</f>
        <v>-2277.8499999999985</v>
      </c>
    </row>
    <row r="180" spans="9:14" s="1" customFormat="1" ht="25.2" customHeight="1" x14ac:dyDescent="0.3">
      <c r="I180" s="1">
        <f>0.14*Table118192023103031323538394041481115182028317212637384651[[#This Row],[النولون]]</f>
        <v>0</v>
      </c>
      <c r="L18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80" s="1">
        <f>N179+Table118192023103031323538394041481115182028317212637384651[[#This Row],[اجمالي الفاتوره]]-Table118192023103031323538394041481115182028317212637384651[[#This Row],[الدفعات]]</f>
        <v>-2277.8499999999985</v>
      </c>
    </row>
    <row r="181" spans="9:14" s="1" customFormat="1" ht="25.2" customHeight="1" x14ac:dyDescent="0.3">
      <c r="I181" s="1">
        <f>0.14*Table118192023103031323538394041481115182028317212637384651[[#This Row],[النولون]]</f>
        <v>0</v>
      </c>
      <c r="L18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81" s="1">
        <f>N180+Table118192023103031323538394041481115182028317212637384651[[#This Row],[اجمالي الفاتوره]]-Table118192023103031323538394041481115182028317212637384651[[#This Row],[الدفعات]]</f>
        <v>-2277.8499999999985</v>
      </c>
    </row>
    <row r="182" spans="9:14" s="1" customFormat="1" ht="25.2" customHeight="1" x14ac:dyDescent="0.3">
      <c r="I182" s="1">
        <f>0.14*Table118192023103031323538394041481115182028317212637384651[[#This Row],[النولون]]</f>
        <v>0</v>
      </c>
      <c r="L18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82" s="1">
        <f>N181+Table118192023103031323538394041481115182028317212637384651[[#This Row],[اجمالي الفاتوره]]-Table118192023103031323538394041481115182028317212637384651[[#This Row],[الدفعات]]</f>
        <v>-2277.8499999999985</v>
      </c>
    </row>
    <row r="183" spans="9:14" s="1" customFormat="1" ht="25.2" customHeight="1" x14ac:dyDescent="0.3">
      <c r="I183" s="1">
        <f>0.14*Table118192023103031323538394041481115182028317212637384651[[#This Row],[النولون]]</f>
        <v>0</v>
      </c>
      <c r="L18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83" s="1">
        <f>N182+Table118192023103031323538394041481115182028317212637384651[[#This Row],[اجمالي الفاتوره]]-Table118192023103031323538394041481115182028317212637384651[[#This Row],[الدفعات]]</f>
        <v>-2277.8499999999985</v>
      </c>
    </row>
    <row r="184" spans="9:14" s="1" customFormat="1" ht="25.2" customHeight="1" x14ac:dyDescent="0.3">
      <c r="I184" s="1">
        <f>0.14*Table118192023103031323538394041481115182028317212637384651[[#This Row],[النولون]]</f>
        <v>0</v>
      </c>
      <c r="L18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84" s="1">
        <f>N183+Table118192023103031323538394041481115182028317212637384651[[#This Row],[اجمالي الفاتوره]]-Table118192023103031323538394041481115182028317212637384651[[#This Row],[الدفعات]]</f>
        <v>-2277.8499999999985</v>
      </c>
    </row>
    <row r="185" spans="9:14" s="1" customFormat="1" ht="25.2" customHeight="1" x14ac:dyDescent="0.3">
      <c r="I185" s="1">
        <f>0.14*Table118192023103031323538394041481115182028317212637384651[[#This Row],[النولون]]</f>
        <v>0</v>
      </c>
      <c r="L18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85" s="1">
        <f>N184+Table118192023103031323538394041481115182028317212637384651[[#This Row],[اجمالي الفاتوره]]-Table118192023103031323538394041481115182028317212637384651[[#This Row],[الدفعات]]</f>
        <v>-2277.8499999999985</v>
      </c>
    </row>
    <row r="186" spans="9:14" s="1" customFormat="1" ht="25.2" customHeight="1" x14ac:dyDescent="0.3">
      <c r="I186" s="1">
        <f>0.14*Table118192023103031323538394041481115182028317212637384651[[#This Row],[النولون]]</f>
        <v>0</v>
      </c>
      <c r="L18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86" s="1">
        <f>N185+Table118192023103031323538394041481115182028317212637384651[[#This Row],[اجمالي الفاتوره]]-Table118192023103031323538394041481115182028317212637384651[[#This Row],[الدفعات]]</f>
        <v>-2277.8499999999985</v>
      </c>
    </row>
    <row r="187" spans="9:14" s="1" customFormat="1" ht="25.2" customHeight="1" x14ac:dyDescent="0.3">
      <c r="I187" s="1">
        <f>0.14*Table118192023103031323538394041481115182028317212637384651[[#This Row],[النولون]]</f>
        <v>0</v>
      </c>
      <c r="L18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87" s="1">
        <f>N186+Table118192023103031323538394041481115182028317212637384651[[#This Row],[اجمالي الفاتوره]]-Table118192023103031323538394041481115182028317212637384651[[#This Row],[الدفعات]]</f>
        <v>-2277.8499999999985</v>
      </c>
    </row>
    <row r="188" spans="9:14" s="1" customFormat="1" ht="25.2" customHeight="1" x14ac:dyDescent="0.3">
      <c r="I188" s="1">
        <f>0.14*Table118192023103031323538394041481115182028317212637384651[[#This Row],[النولون]]</f>
        <v>0</v>
      </c>
      <c r="L18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88" s="1">
        <f>N187+Table118192023103031323538394041481115182028317212637384651[[#This Row],[اجمالي الفاتوره]]-Table118192023103031323538394041481115182028317212637384651[[#This Row],[الدفعات]]</f>
        <v>-2277.8499999999985</v>
      </c>
    </row>
    <row r="189" spans="9:14" s="1" customFormat="1" ht="25.2" customHeight="1" x14ac:dyDescent="0.3">
      <c r="I189" s="1">
        <f>0.14*Table118192023103031323538394041481115182028317212637384651[[#This Row],[النولون]]</f>
        <v>0</v>
      </c>
      <c r="L18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89" s="1">
        <f>N188+Table118192023103031323538394041481115182028317212637384651[[#This Row],[اجمالي الفاتوره]]-Table118192023103031323538394041481115182028317212637384651[[#This Row],[الدفعات]]</f>
        <v>-2277.8499999999985</v>
      </c>
    </row>
    <row r="190" spans="9:14" s="1" customFormat="1" ht="25.2" customHeight="1" x14ac:dyDescent="0.3">
      <c r="I190" s="1">
        <f>0.14*Table118192023103031323538394041481115182028317212637384651[[#This Row],[النولون]]</f>
        <v>0</v>
      </c>
      <c r="L19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90" s="1">
        <f>N189+Table118192023103031323538394041481115182028317212637384651[[#This Row],[اجمالي الفاتوره]]-Table118192023103031323538394041481115182028317212637384651[[#This Row],[الدفعات]]</f>
        <v>-2277.8499999999985</v>
      </c>
    </row>
    <row r="191" spans="9:14" s="1" customFormat="1" ht="25.2" customHeight="1" x14ac:dyDescent="0.3">
      <c r="I191" s="1">
        <f>0.14*Table118192023103031323538394041481115182028317212637384651[[#This Row],[النولون]]</f>
        <v>0</v>
      </c>
      <c r="L19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91" s="1">
        <f>N190+Table118192023103031323538394041481115182028317212637384651[[#This Row],[اجمالي الفاتوره]]-Table118192023103031323538394041481115182028317212637384651[[#This Row],[الدفعات]]</f>
        <v>-2277.8499999999985</v>
      </c>
    </row>
    <row r="192" spans="9:14" s="1" customFormat="1" ht="25.2" customHeight="1" x14ac:dyDescent="0.3">
      <c r="I192" s="1">
        <f>0.14*Table118192023103031323538394041481115182028317212637384651[[#This Row],[النولون]]</f>
        <v>0</v>
      </c>
      <c r="L19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92" s="1">
        <f>N191+Table118192023103031323538394041481115182028317212637384651[[#This Row],[اجمالي الفاتوره]]-Table118192023103031323538394041481115182028317212637384651[[#This Row],[الدفعات]]</f>
        <v>-2277.8499999999985</v>
      </c>
    </row>
    <row r="193" spans="9:14" s="1" customFormat="1" ht="25.2" customHeight="1" x14ac:dyDescent="0.3">
      <c r="I193" s="1">
        <f>0.14*Table118192023103031323538394041481115182028317212637384651[[#This Row],[النولون]]</f>
        <v>0</v>
      </c>
      <c r="L19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93" s="1">
        <f>N192+Table118192023103031323538394041481115182028317212637384651[[#This Row],[اجمالي الفاتوره]]-Table118192023103031323538394041481115182028317212637384651[[#This Row],[الدفعات]]</f>
        <v>-2277.8499999999985</v>
      </c>
    </row>
    <row r="194" spans="9:14" s="1" customFormat="1" ht="25.2" customHeight="1" x14ac:dyDescent="0.3">
      <c r="I194" s="1">
        <f>0.14*Table118192023103031323538394041481115182028317212637384651[[#This Row],[النولون]]</f>
        <v>0</v>
      </c>
      <c r="L19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94" s="1">
        <f>N193+Table118192023103031323538394041481115182028317212637384651[[#This Row],[اجمالي الفاتوره]]-Table118192023103031323538394041481115182028317212637384651[[#This Row],[الدفعات]]</f>
        <v>-2277.8499999999985</v>
      </c>
    </row>
    <row r="195" spans="9:14" s="1" customFormat="1" ht="25.2" customHeight="1" x14ac:dyDescent="0.3">
      <c r="I195" s="1">
        <f>0.14*Table118192023103031323538394041481115182028317212637384651[[#This Row],[النولون]]</f>
        <v>0</v>
      </c>
      <c r="L19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95" s="1">
        <f>N194+Table118192023103031323538394041481115182028317212637384651[[#This Row],[اجمالي الفاتوره]]-Table118192023103031323538394041481115182028317212637384651[[#This Row],[الدفعات]]</f>
        <v>-2277.8499999999985</v>
      </c>
    </row>
    <row r="196" spans="9:14" s="1" customFormat="1" ht="25.2" customHeight="1" x14ac:dyDescent="0.3">
      <c r="I196" s="1">
        <f>0.14*Table118192023103031323538394041481115182028317212637384651[[#This Row],[النولون]]</f>
        <v>0</v>
      </c>
      <c r="L19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96" s="1">
        <f>N195+Table118192023103031323538394041481115182028317212637384651[[#This Row],[اجمالي الفاتوره]]-Table118192023103031323538394041481115182028317212637384651[[#This Row],[الدفعات]]</f>
        <v>-2277.8499999999985</v>
      </c>
    </row>
    <row r="197" spans="9:14" s="1" customFormat="1" ht="25.2" customHeight="1" x14ac:dyDescent="0.3">
      <c r="I197" s="1">
        <f>0.14*Table118192023103031323538394041481115182028317212637384651[[#This Row],[النولون]]</f>
        <v>0</v>
      </c>
      <c r="L19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97" s="1">
        <f>N196+Table118192023103031323538394041481115182028317212637384651[[#This Row],[اجمالي الفاتوره]]-Table118192023103031323538394041481115182028317212637384651[[#This Row],[الدفعات]]</f>
        <v>-2277.8499999999985</v>
      </c>
    </row>
    <row r="198" spans="9:14" s="1" customFormat="1" ht="25.2" customHeight="1" x14ac:dyDescent="0.3">
      <c r="I198" s="1">
        <f>0.14*Table118192023103031323538394041481115182028317212637384651[[#This Row],[النولون]]</f>
        <v>0</v>
      </c>
      <c r="L19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98" s="1">
        <f>N197+Table118192023103031323538394041481115182028317212637384651[[#This Row],[اجمالي الفاتوره]]-Table118192023103031323538394041481115182028317212637384651[[#This Row],[الدفعات]]</f>
        <v>-2277.8499999999985</v>
      </c>
    </row>
    <row r="199" spans="9:14" s="1" customFormat="1" ht="25.2" customHeight="1" x14ac:dyDescent="0.3">
      <c r="I199" s="1">
        <f>0.14*Table118192023103031323538394041481115182028317212637384651[[#This Row],[النولون]]</f>
        <v>0</v>
      </c>
      <c r="L19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199" s="1">
        <f>N198+Table118192023103031323538394041481115182028317212637384651[[#This Row],[اجمالي الفاتوره]]-Table118192023103031323538394041481115182028317212637384651[[#This Row],[الدفعات]]</f>
        <v>-2277.8499999999985</v>
      </c>
    </row>
    <row r="200" spans="9:14" s="1" customFormat="1" ht="25.2" customHeight="1" x14ac:dyDescent="0.3">
      <c r="I200" s="1">
        <f>0.14*Table118192023103031323538394041481115182028317212637384651[[#This Row],[النولون]]</f>
        <v>0</v>
      </c>
      <c r="L20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00" s="1">
        <f>N199+Table118192023103031323538394041481115182028317212637384651[[#This Row],[اجمالي الفاتوره]]-Table118192023103031323538394041481115182028317212637384651[[#This Row],[الدفعات]]</f>
        <v>-2277.8499999999985</v>
      </c>
    </row>
    <row r="201" spans="9:14" s="1" customFormat="1" ht="25.2" customHeight="1" x14ac:dyDescent="0.3">
      <c r="I201" s="1">
        <f>0.14*Table118192023103031323538394041481115182028317212637384651[[#This Row],[النولون]]</f>
        <v>0</v>
      </c>
      <c r="L20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01" s="1">
        <f>N200+Table118192023103031323538394041481115182028317212637384651[[#This Row],[اجمالي الفاتوره]]-Table118192023103031323538394041481115182028317212637384651[[#This Row],[الدفعات]]</f>
        <v>-2277.8499999999985</v>
      </c>
    </row>
    <row r="202" spans="9:14" s="1" customFormat="1" ht="25.2" customHeight="1" x14ac:dyDescent="0.3">
      <c r="I202" s="1">
        <f>0.14*Table118192023103031323538394041481115182028317212637384651[[#This Row],[النولون]]</f>
        <v>0</v>
      </c>
      <c r="L20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02" s="1">
        <f>N201+Table118192023103031323538394041481115182028317212637384651[[#This Row],[اجمالي الفاتوره]]-Table118192023103031323538394041481115182028317212637384651[[#This Row],[الدفعات]]</f>
        <v>-2277.8499999999985</v>
      </c>
    </row>
    <row r="203" spans="9:14" s="1" customFormat="1" ht="25.2" customHeight="1" x14ac:dyDescent="0.3">
      <c r="I203" s="1">
        <f>0.14*Table118192023103031323538394041481115182028317212637384651[[#This Row],[النولون]]</f>
        <v>0</v>
      </c>
      <c r="L20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03" s="1">
        <f>N202+Table118192023103031323538394041481115182028317212637384651[[#This Row],[اجمالي الفاتوره]]-Table118192023103031323538394041481115182028317212637384651[[#This Row],[الدفعات]]</f>
        <v>-2277.8499999999985</v>
      </c>
    </row>
    <row r="204" spans="9:14" s="1" customFormat="1" ht="25.2" customHeight="1" x14ac:dyDescent="0.3">
      <c r="I204" s="1">
        <f>0.14*Table118192023103031323538394041481115182028317212637384651[[#This Row],[النولون]]</f>
        <v>0</v>
      </c>
      <c r="L20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04" s="1">
        <f>N203+Table118192023103031323538394041481115182028317212637384651[[#This Row],[اجمالي الفاتوره]]-Table118192023103031323538394041481115182028317212637384651[[#This Row],[الدفعات]]</f>
        <v>-2277.8499999999985</v>
      </c>
    </row>
    <row r="205" spans="9:14" s="1" customFormat="1" ht="25.2" customHeight="1" x14ac:dyDescent="0.3">
      <c r="I205" s="1">
        <f>0.14*Table118192023103031323538394041481115182028317212637384651[[#This Row],[النولون]]</f>
        <v>0</v>
      </c>
      <c r="L20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05" s="1">
        <f>N204+Table118192023103031323538394041481115182028317212637384651[[#This Row],[اجمالي الفاتوره]]-Table118192023103031323538394041481115182028317212637384651[[#This Row],[الدفعات]]</f>
        <v>-2277.8499999999985</v>
      </c>
    </row>
    <row r="206" spans="9:14" s="1" customFormat="1" ht="25.2" customHeight="1" x14ac:dyDescent="0.3">
      <c r="I206" s="1">
        <f>0.14*Table118192023103031323538394041481115182028317212637384651[[#This Row],[النولون]]</f>
        <v>0</v>
      </c>
      <c r="L20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06" s="1">
        <f>N205+Table118192023103031323538394041481115182028317212637384651[[#This Row],[اجمالي الفاتوره]]-Table118192023103031323538394041481115182028317212637384651[[#This Row],[الدفعات]]</f>
        <v>-2277.8499999999985</v>
      </c>
    </row>
    <row r="207" spans="9:14" s="1" customFormat="1" ht="25.2" customHeight="1" x14ac:dyDescent="0.3">
      <c r="I207" s="1">
        <f>0.14*Table118192023103031323538394041481115182028317212637384651[[#This Row],[النولون]]</f>
        <v>0</v>
      </c>
      <c r="L20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07" s="1">
        <f>N206+Table118192023103031323538394041481115182028317212637384651[[#This Row],[اجمالي الفاتوره]]-Table118192023103031323538394041481115182028317212637384651[[#This Row],[الدفعات]]</f>
        <v>-2277.8499999999985</v>
      </c>
    </row>
    <row r="208" spans="9:14" s="1" customFormat="1" ht="25.2" customHeight="1" x14ac:dyDescent="0.3">
      <c r="I208" s="1">
        <f>0.14*Table118192023103031323538394041481115182028317212637384651[[#This Row],[النولون]]</f>
        <v>0</v>
      </c>
      <c r="L20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08" s="1">
        <f>N207+Table118192023103031323538394041481115182028317212637384651[[#This Row],[اجمالي الفاتوره]]-Table118192023103031323538394041481115182028317212637384651[[#This Row],[الدفعات]]</f>
        <v>-2277.8499999999985</v>
      </c>
    </row>
    <row r="209" spans="9:14" s="1" customFormat="1" ht="25.2" customHeight="1" x14ac:dyDescent="0.3">
      <c r="I209" s="1">
        <f>0.14*Table118192023103031323538394041481115182028317212637384651[[#This Row],[النولون]]</f>
        <v>0</v>
      </c>
      <c r="L20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09" s="1">
        <f>N208+Table118192023103031323538394041481115182028317212637384651[[#This Row],[اجمالي الفاتوره]]-Table118192023103031323538394041481115182028317212637384651[[#This Row],[الدفعات]]</f>
        <v>-2277.8499999999985</v>
      </c>
    </row>
    <row r="210" spans="9:14" s="1" customFormat="1" ht="25.2" customHeight="1" x14ac:dyDescent="0.3">
      <c r="I210" s="1">
        <f>0.14*Table118192023103031323538394041481115182028317212637384651[[#This Row],[النولون]]</f>
        <v>0</v>
      </c>
      <c r="L21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10" s="1">
        <f>N209+Table118192023103031323538394041481115182028317212637384651[[#This Row],[اجمالي الفاتوره]]-Table118192023103031323538394041481115182028317212637384651[[#This Row],[الدفعات]]</f>
        <v>-2277.8499999999985</v>
      </c>
    </row>
    <row r="211" spans="9:14" s="1" customFormat="1" ht="25.2" customHeight="1" x14ac:dyDescent="0.3">
      <c r="I211" s="1">
        <f>0.14*Table118192023103031323538394041481115182028317212637384651[[#This Row],[النولون]]</f>
        <v>0</v>
      </c>
      <c r="L21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11" s="1">
        <f>N210+Table118192023103031323538394041481115182028317212637384651[[#This Row],[اجمالي الفاتوره]]-Table118192023103031323538394041481115182028317212637384651[[#This Row],[الدفعات]]</f>
        <v>-2277.8499999999985</v>
      </c>
    </row>
    <row r="212" spans="9:14" s="1" customFormat="1" ht="25.2" customHeight="1" x14ac:dyDescent="0.3">
      <c r="I212" s="1">
        <f>0.14*Table118192023103031323538394041481115182028317212637384651[[#This Row],[النولون]]</f>
        <v>0</v>
      </c>
      <c r="L21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12" s="1">
        <f>N211+Table118192023103031323538394041481115182028317212637384651[[#This Row],[اجمالي الفاتوره]]-Table118192023103031323538394041481115182028317212637384651[[#This Row],[الدفعات]]</f>
        <v>-2277.8499999999985</v>
      </c>
    </row>
    <row r="213" spans="9:14" s="1" customFormat="1" ht="25.2" customHeight="1" x14ac:dyDescent="0.3">
      <c r="I213" s="1">
        <f>0.14*Table118192023103031323538394041481115182028317212637384651[[#This Row],[النولون]]</f>
        <v>0</v>
      </c>
      <c r="L21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13" s="1">
        <f>N212+Table118192023103031323538394041481115182028317212637384651[[#This Row],[اجمالي الفاتوره]]-Table118192023103031323538394041481115182028317212637384651[[#This Row],[الدفعات]]</f>
        <v>-2277.8499999999985</v>
      </c>
    </row>
    <row r="214" spans="9:14" s="1" customFormat="1" ht="25.2" customHeight="1" x14ac:dyDescent="0.3">
      <c r="I214" s="1">
        <f>0.14*Table118192023103031323538394041481115182028317212637384651[[#This Row],[النولون]]</f>
        <v>0</v>
      </c>
      <c r="L21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14" s="1">
        <f>N213+Table118192023103031323538394041481115182028317212637384651[[#This Row],[اجمالي الفاتوره]]-Table118192023103031323538394041481115182028317212637384651[[#This Row],[الدفعات]]</f>
        <v>-2277.8499999999985</v>
      </c>
    </row>
    <row r="215" spans="9:14" s="1" customFormat="1" ht="25.2" customHeight="1" x14ac:dyDescent="0.3">
      <c r="I215" s="1">
        <f>0.14*Table118192023103031323538394041481115182028317212637384651[[#This Row],[النولون]]</f>
        <v>0</v>
      </c>
      <c r="L21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15" s="1">
        <f>N214+Table118192023103031323538394041481115182028317212637384651[[#This Row],[اجمالي الفاتوره]]-Table118192023103031323538394041481115182028317212637384651[[#This Row],[الدفعات]]</f>
        <v>-2277.8499999999985</v>
      </c>
    </row>
    <row r="216" spans="9:14" s="1" customFormat="1" ht="25.2" customHeight="1" x14ac:dyDescent="0.3">
      <c r="I216" s="1">
        <f>0.14*Table118192023103031323538394041481115182028317212637384651[[#This Row],[النولون]]</f>
        <v>0</v>
      </c>
      <c r="L21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16" s="1">
        <f>N215+Table118192023103031323538394041481115182028317212637384651[[#This Row],[اجمالي الفاتوره]]-Table118192023103031323538394041481115182028317212637384651[[#This Row],[الدفعات]]</f>
        <v>-2277.8499999999985</v>
      </c>
    </row>
    <row r="217" spans="9:14" s="1" customFormat="1" ht="25.2" customHeight="1" x14ac:dyDescent="0.3">
      <c r="I217" s="1">
        <f>0.14*Table118192023103031323538394041481115182028317212637384651[[#This Row],[النولون]]</f>
        <v>0</v>
      </c>
      <c r="L21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17" s="1">
        <f>N216+Table118192023103031323538394041481115182028317212637384651[[#This Row],[اجمالي الفاتوره]]-Table118192023103031323538394041481115182028317212637384651[[#This Row],[الدفعات]]</f>
        <v>-2277.8499999999985</v>
      </c>
    </row>
    <row r="218" spans="9:14" s="1" customFormat="1" ht="25.2" customHeight="1" x14ac:dyDescent="0.3">
      <c r="I218" s="1">
        <f>0.14*Table118192023103031323538394041481115182028317212637384651[[#This Row],[النولون]]</f>
        <v>0</v>
      </c>
      <c r="L21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18" s="1">
        <f>N217+Table118192023103031323538394041481115182028317212637384651[[#This Row],[اجمالي الفاتوره]]-Table118192023103031323538394041481115182028317212637384651[[#This Row],[الدفعات]]</f>
        <v>-2277.8499999999985</v>
      </c>
    </row>
    <row r="219" spans="9:14" s="1" customFormat="1" ht="25.2" customHeight="1" x14ac:dyDescent="0.3">
      <c r="I219" s="1">
        <f>0.14*Table118192023103031323538394041481115182028317212637384651[[#This Row],[النولون]]</f>
        <v>0</v>
      </c>
      <c r="L21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19" s="1">
        <f>N218+Table118192023103031323538394041481115182028317212637384651[[#This Row],[اجمالي الفاتوره]]-Table118192023103031323538394041481115182028317212637384651[[#This Row],[الدفعات]]</f>
        <v>-2277.8499999999985</v>
      </c>
    </row>
    <row r="220" spans="9:14" s="1" customFormat="1" ht="25.2" customHeight="1" x14ac:dyDescent="0.3">
      <c r="I220" s="1">
        <f>0.14*Table118192023103031323538394041481115182028317212637384651[[#This Row],[النولون]]</f>
        <v>0</v>
      </c>
      <c r="L22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20" s="1">
        <f>N219+Table118192023103031323538394041481115182028317212637384651[[#This Row],[اجمالي الفاتوره]]-Table118192023103031323538394041481115182028317212637384651[[#This Row],[الدفعات]]</f>
        <v>-2277.8499999999985</v>
      </c>
    </row>
    <row r="221" spans="9:14" s="1" customFormat="1" ht="25.2" customHeight="1" x14ac:dyDescent="0.3">
      <c r="I221" s="1">
        <f>0.14*Table118192023103031323538394041481115182028317212637384651[[#This Row],[النولون]]</f>
        <v>0</v>
      </c>
      <c r="L22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21" s="1">
        <f>N220+Table118192023103031323538394041481115182028317212637384651[[#This Row],[اجمالي الفاتوره]]-Table118192023103031323538394041481115182028317212637384651[[#This Row],[الدفعات]]</f>
        <v>-2277.8499999999985</v>
      </c>
    </row>
    <row r="222" spans="9:14" s="1" customFormat="1" ht="25.2" customHeight="1" x14ac:dyDescent="0.3">
      <c r="I222" s="1">
        <f>0.14*Table118192023103031323538394041481115182028317212637384651[[#This Row],[النولون]]</f>
        <v>0</v>
      </c>
      <c r="L22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22" s="1">
        <f>N221+Table118192023103031323538394041481115182028317212637384651[[#This Row],[اجمالي الفاتوره]]-Table118192023103031323538394041481115182028317212637384651[[#This Row],[الدفعات]]</f>
        <v>-2277.8499999999985</v>
      </c>
    </row>
    <row r="223" spans="9:14" s="1" customFormat="1" ht="25.2" customHeight="1" x14ac:dyDescent="0.3">
      <c r="I223" s="1">
        <f>0.14*Table118192023103031323538394041481115182028317212637384651[[#This Row],[النولون]]</f>
        <v>0</v>
      </c>
      <c r="L22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23" s="1">
        <f>N222+Table118192023103031323538394041481115182028317212637384651[[#This Row],[اجمالي الفاتوره]]-Table118192023103031323538394041481115182028317212637384651[[#This Row],[الدفعات]]</f>
        <v>-2277.8499999999985</v>
      </c>
    </row>
    <row r="224" spans="9:14" s="1" customFormat="1" ht="25.2" customHeight="1" x14ac:dyDescent="0.3">
      <c r="I224" s="1">
        <f>0.14*Table118192023103031323538394041481115182028317212637384651[[#This Row],[النولون]]</f>
        <v>0</v>
      </c>
      <c r="L22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24" s="1">
        <f>N223+Table118192023103031323538394041481115182028317212637384651[[#This Row],[اجمالي الفاتوره]]-Table118192023103031323538394041481115182028317212637384651[[#This Row],[الدفعات]]</f>
        <v>-2277.8499999999985</v>
      </c>
    </row>
    <row r="225" spans="9:14" s="1" customFormat="1" ht="25.2" customHeight="1" x14ac:dyDescent="0.3">
      <c r="I225" s="1">
        <f>0.14*Table118192023103031323538394041481115182028317212637384651[[#This Row],[النولون]]</f>
        <v>0</v>
      </c>
      <c r="L22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25" s="1">
        <f>N224+Table118192023103031323538394041481115182028317212637384651[[#This Row],[اجمالي الفاتوره]]-Table118192023103031323538394041481115182028317212637384651[[#This Row],[الدفعات]]</f>
        <v>-2277.8499999999985</v>
      </c>
    </row>
    <row r="226" spans="9:14" s="1" customFormat="1" ht="25.2" customHeight="1" x14ac:dyDescent="0.3">
      <c r="I226" s="1">
        <f>0.14*Table118192023103031323538394041481115182028317212637384651[[#This Row],[النولون]]</f>
        <v>0</v>
      </c>
      <c r="L22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26" s="1">
        <f>N225+Table118192023103031323538394041481115182028317212637384651[[#This Row],[اجمالي الفاتوره]]-Table118192023103031323538394041481115182028317212637384651[[#This Row],[الدفعات]]</f>
        <v>-2277.8499999999985</v>
      </c>
    </row>
    <row r="227" spans="9:14" s="1" customFormat="1" ht="25.2" customHeight="1" x14ac:dyDescent="0.3">
      <c r="I227" s="1">
        <f>0.14*Table118192023103031323538394041481115182028317212637384651[[#This Row],[النولون]]</f>
        <v>0</v>
      </c>
      <c r="L22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27" s="1">
        <f>N226+Table118192023103031323538394041481115182028317212637384651[[#This Row],[اجمالي الفاتوره]]-Table118192023103031323538394041481115182028317212637384651[[#This Row],[الدفعات]]</f>
        <v>-2277.8499999999985</v>
      </c>
    </row>
    <row r="228" spans="9:14" s="1" customFormat="1" ht="25.2" customHeight="1" x14ac:dyDescent="0.3">
      <c r="I228" s="1">
        <f>0.14*Table118192023103031323538394041481115182028317212637384651[[#This Row],[النولون]]</f>
        <v>0</v>
      </c>
      <c r="L22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28" s="1">
        <f>N227+Table118192023103031323538394041481115182028317212637384651[[#This Row],[اجمالي الفاتوره]]-Table118192023103031323538394041481115182028317212637384651[[#This Row],[الدفعات]]</f>
        <v>-2277.8499999999985</v>
      </c>
    </row>
    <row r="229" spans="9:14" s="1" customFormat="1" ht="25.2" customHeight="1" x14ac:dyDescent="0.3">
      <c r="I229" s="1">
        <f>0.14*Table118192023103031323538394041481115182028317212637384651[[#This Row],[النولون]]</f>
        <v>0</v>
      </c>
      <c r="L22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29" s="1">
        <f>N228+Table118192023103031323538394041481115182028317212637384651[[#This Row],[اجمالي الفاتوره]]-Table118192023103031323538394041481115182028317212637384651[[#This Row],[الدفعات]]</f>
        <v>-2277.8499999999985</v>
      </c>
    </row>
    <row r="230" spans="9:14" s="1" customFormat="1" ht="25.2" customHeight="1" x14ac:dyDescent="0.3">
      <c r="I230" s="1">
        <f>0.14*Table118192023103031323538394041481115182028317212637384651[[#This Row],[النولون]]</f>
        <v>0</v>
      </c>
      <c r="L23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30" s="1">
        <f>N229+Table118192023103031323538394041481115182028317212637384651[[#This Row],[اجمالي الفاتوره]]-Table118192023103031323538394041481115182028317212637384651[[#This Row],[الدفعات]]</f>
        <v>-2277.8499999999985</v>
      </c>
    </row>
    <row r="231" spans="9:14" s="1" customFormat="1" ht="25.2" customHeight="1" x14ac:dyDescent="0.3">
      <c r="I231" s="1">
        <f>0.14*Table118192023103031323538394041481115182028317212637384651[[#This Row],[النولون]]</f>
        <v>0</v>
      </c>
      <c r="L23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31" s="1">
        <f>N230+Table118192023103031323538394041481115182028317212637384651[[#This Row],[اجمالي الفاتوره]]-Table118192023103031323538394041481115182028317212637384651[[#This Row],[الدفعات]]</f>
        <v>-2277.8499999999985</v>
      </c>
    </row>
    <row r="232" spans="9:14" s="1" customFormat="1" ht="25.2" customHeight="1" x14ac:dyDescent="0.3">
      <c r="I232" s="1">
        <f>0.14*Table118192023103031323538394041481115182028317212637384651[[#This Row],[النولون]]</f>
        <v>0</v>
      </c>
      <c r="L23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32" s="1">
        <f>N231+Table118192023103031323538394041481115182028317212637384651[[#This Row],[اجمالي الفاتوره]]-Table118192023103031323538394041481115182028317212637384651[[#This Row],[الدفعات]]</f>
        <v>-2277.8499999999985</v>
      </c>
    </row>
    <row r="233" spans="9:14" s="1" customFormat="1" ht="25.2" customHeight="1" x14ac:dyDescent="0.3">
      <c r="I233" s="1">
        <f>0.14*Table118192023103031323538394041481115182028317212637384651[[#This Row],[النولون]]</f>
        <v>0</v>
      </c>
      <c r="L23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33" s="1">
        <f>N232+Table118192023103031323538394041481115182028317212637384651[[#This Row],[اجمالي الفاتوره]]-Table118192023103031323538394041481115182028317212637384651[[#This Row],[الدفعات]]</f>
        <v>-2277.8499999999985</v>
      </c>
    </row>
    <row r="234" spans="9:14" s="1" customFormat="1" ht="25.2" customHeight="1" x14ac:dyDescent="0.3">
      <c r="I234" s="1">
        <f>0.14*Table118192023103031323538394041481115182028317212637384651[[#This Row],[النولون]]</f>
        <v>0</v>
      </c>
      <c r="L23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34" s="1">
        <f>N233+Table118192023103031323538394041481115182028317212637384651[[#This Row],[اجمالي الفاتوره]]-Table118192023103031323538394041481115182028317212637384651[[#This Row],[الدفعات]]</f>
        <v>-2277.8499999999985</v>
      </c>
    </row>
    <row r="235" spans="9:14" s="1" customFormat="1" ht="25.2" customHeight="1" x14ac:dyDescent="0.3">
      <c r="I235" s="1">
        <f>0.14*Table118192023103031323538394041481115182028317212637384651[[#This Row],[النولون]]</f>
        <v>0</v>
      </c>
      <c r="L23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35" s="1">
        <f>N234+Table118192023103031323538394041481115182028317212637384651[[#This Row],[اجمالي الفاتوره]]-Table118192023103031323538394041481115182028317212637384651[[#This Row],[الدفعات]]</f>
        <v>-2277.8499999999985</v>
      </c>
    </row>
    <row r="236" spans="9:14" s="1" customFormat="1" ht="25.2" customHeight="1" x14ac:dyDescent="0.3">
      <c r="I236" s="1">
        <f>0.14*Table118192023103031323538394041481115182028317212637384651[[#This Row],[النولون]]</f>
        <v>0</v>
      </c>
      <c r="L23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36" s="1">
        <f>N235+Table118192023103031323538394041481115182028317212637384651[[#This Row],[اجمالي الفاتوره]]-Table118192023103031323538394041481115182028317212637384651[[#This Row],[الدفعات]]</f>
        <v>-2277.8499999999985</v>
      </c>
    </row>
    <row r="237" spans="9:14" s="1" customFormat="1" ht="25.2" customHeight="1" x14ac:dyDescent="0.3">
      <c r="I237" s="1">
        <f>0.14*Table118192023103031323538394041481115182028317212637384651[[#This Row],[النولون]]</f>
        <v>0</v>
      </c>
      <c r="L23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37" s="1">
        <f>N236+Table118192023103031323538394041481115182028317212637384651[[#This Row],[اجمالي الفاتوره]]-Table118192023103031323538394041481115182028317212637384651[[#This Row],[الدفعات]]</f>
        <v>-2277.8499999999985</v>
      </c>
    </row>
    <row r="238" spans="9:14" s="1" customFormat="1" ht="25.2" customHeight="1" x14ac:dyDescent="0.3">
      <c r="I238" s="1">
        <f>0.14*Table118192023103031323538394041481115182028317212637384651[[#This Row],[النولون]]</f>
        <v>0</v>
      </c>
      <c r="J238" s="1">
        <f>0.03*Table118192023103031323538394041481115182028317212637384651[[#This Row],[النولون]]</f>
        <v>0</v>
      </c>
      <c r="L23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38" s="1">
        <f>N237+Table118192023103031323538394041481115182028317212637384651[[#This Row],[اجمالي الفاتوره]]-Table118192023103031323538394041481115182028317212637384651[[#This Row],[الدفعات]]</f>
        <v>-2277.8499999999985</v>
      </c>
    </row>
    <row r="239" spans="9:14" s="1" customFormat="1" ht="25.2" customHeight="1" x14ac:dyDescent="0.3">
      <c r="I239" s="1">
        <f>0.14*Table118192023103031323538394041481115182028317212637384651[[#This Row],[النولون]]</f>
        <v>0</v>
      </c>
      <c r="J239" s="1">
        <f>0.03*Table118192023103031323538394041481115182028317212637384651[[#This Row],[النولون]]</f>
        <v>0</v>
      </c>
      <c r="L23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39" s="1">
        <f>N238+Table118192023103031323538394041481115182028317212637384651[[#This Row],[اجمالي الفاتوره]]-Table118192023103031323538394041481115182028317212637384651[[#This Row],[الدفعات]]</f>
        <v>-2277.8499999999985</v>
      </c>
    </row>
    <row r="240" spans="9:14" s="1" customFormat="1" ht="25.2" customHeight="1" x14ac:dyDescent="0.3">
      <c r="I240" s="1">
        <f>0.14*Table118192023103031323538394041481115182028317212637384651[[#This Row],[النولون]]</f>
        <v>0</v>
      </c>
      <c r="J240" s="1">
        <f>0.03*Table118192023103031323538394041481115182028317212637384651[[#This Row],[النولون]]</f>
        <v>0</v>
      </c>
      <c r="L24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40" s="1">
        <f>N239+Table118192023103031323538394041481115182028317212637384651[[#This Row],[اجمالي الفاتوره]]-Table118192023103031323538394041481115182028317212637384651[[#This Row],[الدفعات]]</f>
        <v>-2277.8499999999985</v>
      </c>
    </row>
    <row r="241" spans="9:14" s="1" customFormat="1" ht="25.2" customHeight="1" x14ac:dyDescent="0.3">
      <c r="I241" s="1">
        <f>0.14*Table118192023103031323538394041481115182028317212637384651[[#This Row],[النولون]]</f>
        <v>0</v>
      </c>
      <c r="J241" s="1">
        <f>0.03*Table118192023103031323538394041481115182028317212637384651[[#This Row],[النولون]]</f>
        <v>0</v>
      </c>
      <c r="L24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41" s="1">
        <f>N240+Table118192023103031323538394041481115182028317212637384651[[#This Row],[اجمالي الفاتوره]]-Table118192023103031323538394041481115182028317212637384651[[#This Row],[الدفعات]]</f>
        <v>-2277.8499999999985</v>
      </c>
    </row>
    <row r="242" spans="9:14" s="1" customFormat="1" ht="25.2" customHeight="1" x14ac:dyDescent="0.3">
      <c r="I242" s="1">
        <f>0.14*Table118192023103031323538394041481115182028317212637384651[[#This Row],[النولون]]</f>
        <v>0</v>
      </c>
      <c r="J242" s="1">
        <f>0.03*Table118192023103031323538394041481115182028317212637384651[[#This Row],[النولون]]</f>
        <v>0</v>
      </c>
      <c r="L24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42" s="1">
        <f>N241+Table118192023103031323538394041481115182028317212637384651[[#This Row],[اجمالي الفاتوره]]-Table118192023103031323538394041481115182028317212637384651[[#This Row],[الدفعات]]</f>
        <v>-2277.8499999999985</v>
      </c>
    </row>
    <row r="243" spans="9:14" s="1" customFormat="1" ht="25.2" customHeight="1" x14ac:dyDescent="0.3">
      <c r="I243" s="1">
        <f>0.14*Table118192023103031323538394041481115182028317212637384651[[#This Row],[النولون]]</f>
        <v>0</v>
      </c>
      <c r="J243" s="1">
        <f>0.03*Table118192023103031323538394041481115182028317212637384651[[#This Row],[النولون]]</f>
        <v>0</v>
      </c>
      <c r="L24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43" s="1">
        <f>N242+Table118192023103031323538394041481115182028317212637384651[[#This Row],[اجمالي الفاتوره]]-Table118192023103031323538394041481115182028317212637384651[[#This Row],[الدفعات]]</f>
        <v>-2277.8499999999985</v>
      </c>
    </row>
    <row r="244" spans="9:14" s="1" customFormat="1" ht="25.2" customHeight="1" x14ac:dyDescent="0.3">
      <c r="I244" s="1">
        <f>0.14*Table118192023103031323538394041481115182028317212637384651[[#This Row],[النولون]]</f>
        <v>0</v>
      </c>
      <c r="J244" s="1">
        <f>0.03*Table118192023103031323538394041481115182028317212637384651[[#This Row],[النولون]]</f>
        <v>0</v>
      </c>
      <c r="L24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44" s="1">
        <f>N243+Table118192023103031323538394041481115182028317212637384651[[#This Row],[اجمالي الفاتوره]]-Table118192023103031323538394041481115182028317212637384651[[#This Row],[الدفعات]]</f>
        <v>-2277.8499999999985</v>
      </c>
    </row>
    <row r="245" spans="9:14" s="1" customFormat="1" ht="25.2" customHeight="1" x14ac:dyDescent="0.3">
      <c r="I245" s="1">
        <f>0.14*Table118192023103031323538394041481115182028317212637384651[[#This Row],[النولون]]</f>
        <v>0</v>
      </c>
      <c r="J245" s="1">
        <f>0.03*Table118192023103031323538394041481115182028317212637384651[[#This Row],[النولون]]</f>
        <v>0</v>
      </c>
      <c r="L24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45" s="1">
        <f>N244+Table118192023103031323538394041481115182028317212637384651[[#This Row],[اجمالي الفاتوره]]-Table118192023103031323538394041481115182028317212637384651[[#This Row],[الدفعات]]</f>
        <v>-2277.8499999999985</v>
      </c>
    </row>
    <row r="246" spans="9:14" s="1" customFormat="1" ht="25.2" customHeight="1" x14ac:dyDescent="0.3">
      <c r="I246" s="1">
        <f>0.14*Table118192023103031323538394041481115182028317212637384651[[#This Row],[النولون]]</f>
        <v>0</v>
      </c>
      <c r="J246" s="1">
        <f>0.03*Table118192023103031323538394041481115182028317212637384651[[#This Row],[النولون]]</f>
        <v>0</v>
      </c>
      <c r="L24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46" s="1">
        <f>N245+Table118192023103031323538394041481115182028317212637384651[[#This Row],[اجمالي الفاتوره]]-Table118192023103031323538394041481115182028317212637384651[[#This Row],[الدفعات]]</f>
        <v>-2277.8499999999985</v>
      </c>
    </row>
    <row r="247" spans="9:14" s="1" customFormat="1" ht="25.2" customHeight="1" x14ac:dyDescent="0.3">
      <c r="I247" s="1">
        <f>0.14*Table118192023103031323538394041481115182028317212637384651[[#This Row],[النولون]]</f>
        <v>0</v>
      </c>
      <c r="J247" s="1">
        <f>0.03*Table118192023103031323538394041481115182028317212637384651[[#This Row],[النولون]]</f>
        <v>0</v>
      </c>
      <c r="L24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47" s="1">
        <f>N246+Table118192023103031323538394041481115182028317212637384651[[#This Row],[اجمالي الفاتوره]]-Table118192023103031323538394041481115182028317212637384651[[#This Row],[الدفعات]]</f>
        <v>-2277.8499999999985</v>
      </c>
    </row>
    <row r="248" spans="9:14" s="1" customFormat="1" ht="25.2" customHeight="1" x14ac:dyDescent="0.3">
      <c r="I248" s="1">
        <f>0.14*Table118192023103031323538394041481115182028317212637384651[[#This Row],[النولون]]</f>
        <v>0</v>
      </c>
      <c r="J248" s="1">
        <f>0.03*Table118192023103031323538394041481115182028317212637384651[[#This Row],[النولون]]</f>
        <v>0</v>
      </c>
      <c r="L24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48" s="1">
        <f>N247+Table118192023103031323538394041481115182028317212637384651[[#This Row],[اجمالي الفاتوره]]-Table118192023103031323538394041481115182028317212637384651[[#This Row],[الدفعات]]</f>
        <v>-2277.8499999999985</v>
      </c>
    </row>
    <row r="249" spans="9:14" s="1" customFormat="1" ht="25.2" customHeight="1" x14ac:dyDescent="0.3">
      <c r="I249" s="1">
        <f>0.14*Table118192023103031323538394041481115182028317212637384651[[#This Row],[النولون]]</f>
        <v>0</v>
      </c>
      <c r="J249" s="1">
        <f>0.03*Table118192023103031323538394041481115182028317212637384651[[#This Row],[النولون]]</f>
        <v>0</v>
      </c>
      <c r="L24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49" s="1">
        <f>N248+Table118192023103031323538394041481115182028317212637384651[[#This Row],[اجمالي الفاتوره]]-Table118192023103031323538394041481115182028317212637384651[[#This Row],[الدفعات]]</f>
        <v>-2277.8499999999985</v>
      </c>
    </row>
    <row r="250" spans="9:14" s="1" customFormat="1" ht="25.2" customHeight="1" x14ac:dyDescent="0.3">
      <c r="I250" s="1">
        <f>0.14*Table118192023103031323538394041481115182028317212637384651[[#This Row],[النولون]]</f>
        <v>0</v>
      </c>
      <c r="J250" s="1">
        <f>0.03*Table118192023103031323538394041481115182028317212637384651[[#This Row],[النولون]]</f>
        <v>0</v>
      </c>
      <c r="L25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50" s="1">
        <f>N249+Table118192023103031323538394041481115182028317212637384651[[#This Row],[اجمالي الفاتوره]]-Table118192023103031323538394041481115182028317212637384651[[#This Row],[الدفعات]]</f>
        <v>-2277.8499999999985</v>
      </c>
    </row>
    <row r="251" spans="9:14" s="1" customFormat="1" ht="25.2" customHeight="1" x14ac:dyDescent="0.3">
      <c r="I251" s="1">
        <f>0.14*Table118192023103031323538394041481115182028317212637384651[[#This Row],[النولون]]</f>
        <v>0</v>
      </c>
      <c r="J251" s="1">
        <f>0.03*Table118192023103031323538394041481115182028317212637384651[[#This Row],[النولون]]</f>
        <v>0</v>
      </c>
      <c r="L25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51" s="1">
        <f>N250+Table118192023103031323538394041481115182028317212637384651[[#This Row],[اجمالي الفاتوره]]-Table118192023103031323538394041481115182028317212637384651[[#This Row],[الدفعات]]</f>
        <v>-2277.8499999999985</v>
      </c>
    </row>
    <row r="252" spans="9:14" s="1" customFormat="1" ht="25.2" customHeight="1" x14ac:dyDescent="0.3">
      <c r="I252" s="1">
        <f>0.14*Table118192023103031323538394041481115182028317212637384651[[#This Row],[النولون]]</f>
        <v>0</v>
      </c>
      <c r="J252" s="1">
        <f>0.03*Table118192023103031323538394041481115182028317212637384651[[#This Row],[النولون]]</f>
        <v>0</v>
      </c>
      <c r="L25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52" s="1">
        <f>N251+Table118192023103031323538394041481115182028317212637384651[[#This Row],[اجمالي الفاتوره]]-Table118192023103031323538394041481115182028317212637384651[[#This Row],[الدفعات]]</f>
        <v>-2277.8499999999985</v>
      </c>
    </row>
    <row r="253" spans="9:14" s="1" customFormat="1" ht="25.2" customHeight="1" x14ac:dyDescent="0.3">
      <c r="I253" s="1">
        <f>0.14*Table118192023103031323538394041481115182028317212637384651[[#This Row],[النولون]]</f>
        <v>0</v>
      </c>
      <c r="J253" s="1">
        <f>0.03*Table118192023103031323538394041481115182028317212637384651[[#This Row],[النولون]]</f>
        <v>0</v>
      </c>
      <c r="L25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53" s="1">
        <f>N252+Table118192023103031323538394041481115182028317212637384651[[#This Row],[اجمالي الفاتوره]]-Table118192023103031323538394041481115182028317212637384651[[#This Row],[الدفعات]]</f>
        <v>-2277.8499999999985</v>
      </c>
    </row>
    <row r="254" spans="9:14" s="1" customFormat="1" ht="25.2" customHeight="1" x14ac:dyDescent="0.3">
      <c r="I254" s="1">
        <f>0.14*Table118192023103031323538394041481115182028317212637384651[[#This Row],[النولون]]</f>
        <v>0</v>
      </c>
      <c r="J254" s="1">
        <f>0.03*Table118192023103031323538394041481115182028317212637384651[[#This Row],[النولون]]</f>
        <v>0</v>
      </c>
      <c r="L25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54" s="1">
        <f>N253+Table118192023103031323538394041481115182028317212637384651[[#This Row],[اجمالي الفاتوره]]-Table118192023103031323538394041481115182028317212637384651[[#This Row],[الدفعات]]</f>
        <v>-2277.8499999999985</v>
      </c>
    </row>
    <row r="255" spans="9:14" s="1" customFormat="1" ht="25.2" customHeight="1" x14ac:dyDescent="0.3">
      <c r="I255" s="1">
        <f>0.14*Table118192023103031323538394041481115182028317212637384651[[#This Row],[النولون]]</f>
        <v>0</v>
      </c>
      <c r="J255" s="1">
        <f>0.03*Table118192023103031323538394041481115182028317212637384651[[#This Row],[النولون]]</f>
        <v>0</v>
      </c>
      <c r="L25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55" s="1">
        <f>N254+Table118192023103031323538394041481115182028317212637384651[[#This Row],[اجمالي الفاتوره]]-Table118192023103031323538394041481115182028317212637384651[[#This Row],[الدفعات]]</f>
        <v>-2277.8499999999985</v>
      </c>
    </row>
    <row r="256" spans="9:14" s="1" customFormat="1" ht="25.2" customHeight="1" x14ac:dyDescent="0.3">
      <c r="I256" s="1">
        <f>0.14*Table118192023103031323538394041481115182028317212637384651[[#This Row],[النولون]]</f>
        <v>0</v>
      </c>
      <c r="J256" s="1">
        <f>0.03*Table118192023103031323538394041481115182028317212637384651[[#This Row],[النولون]]</f>
        <v>0</v>
      </c>
      <c r="L25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56" s="1">
        <f>N255+Table118192023103031323538394041481115182028317212637384651[[#This Row],[اجمالي الفاتوره]]-Table118192023103031323538394041481115182028317212637384651[[#This Row],[الدفعات]]</f>
        <v>-2277.8499999999985</v>
      </c>
    </row>
    <row r="257" spans="9:14" s="1" customFormat="1" ht="25.2" customHeight="1" x14ac:dyDescent="0.3">
      <c r="I257" s="1">
        <f>0.14*Table118192023103031323538394041481115182028317212637384651[[#This Row],[النولون]]</f>
        <v>0</v>
      </c>
      <c r="J257" s="1">
        <f>0.03*Table118192023103031323538394041481115182028317212637384651[[#This Row],[النولون]]</f>
        <v>0</v>
      </c>
      <c r="L25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57" s="1">
        <f>N256+Table118192023103031323538394041481115182028317212637384651[[#This Row],[اجمالي الفاتوره]]-Table118192023103031323538394041481115182028317212637384651[[#This Row],[الدفعات]]</f>
        <v>-2277.8499999999985</v>
      </c>
    </row>
    <row r="258" spans="9:14" s="1" customFormat="1" ht="25.2" customHeight="1" x14ac:dyDescent="0.3">
      <c r="I258" s="1">
        <f>0.14*Table118192023103031323538394041481115182028317212637384651[[#This Row],[النولون]]</f>
        <v>0</v>
      </c>
      <c r="J258" s="1">
        <f>0.03*Table118192023103031323538394041481115182028317212637384651[[#This Row],[النولون]]</f>
        <v>0</v>
      </c>
      <c r="L25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58" s="1">
        <f>N257+Table118192023103031323538394041481115182028317212637384651[[#This Row],[اجمالي الفاتوره]]-Table118192023103031323538394041481115182028317212637384651[[#This Row],[الدفعات]]</f>
        <v>-2277.8499999999985</v>
      </c>
    </row>
    <row r="259" spans="9:14" s="1" customFormat="1" ht="25.2" customHeight="1" x14ac:dyDescent="0.3">
      <c r="I259" s="1">
        <f>0.14*Table118192023103031323538394041481115182028317212637384651[[#This Row],[النولون]]</f>
        <v>0</v>
      </c>
      <c r="J259" s="1">
        <f>0.03*Table118192023103031323538394041481115182028317212637384651[[#This Row],[النولون]]</f>
        <v>0</v>
      </c>
      <c r="L25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59" s="1">
        <f>N258+Table118192023103031323538394041481115182028317212637384651[[#This Row],[اجمالي الفاتوره]]-Table118192023103031323538394041481115182028317212637384651[[#This Row],[الدفعات]]</f>
        <v>-2277.8499999999985</v>
      </c>
    </row>
    <row r="260" spans="9:14" s="1" customFormat="1" ht="25.2" customHeight="1" x14ac:dyDescent="0.3">
      <c r="I260" s="1">
        <f>0.14*Table118192023103031323538394041481115182028317212637384651[[#This Row],[النولون]]</f>
        <v>0</v>
      </c>
      <c r="J260" s="1">
        <f>0.03*Table118192023103031323538394041481115182028317212637384651[[#This Row],[النولون]]</f>
        <v>0</v>
      </c>
      <c r="L26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60" s="1">
        <f>N259+Table118192023103031323538394041481115182028317212637384651[[#This Row],[اجمالي الفاتوره]]-Table118192023103031323538394041481115182028317212637384651[[#This Row],[الدفعات]]</f>
        <v>-2277.8499999999985</v>
      </c>
    </row>
    <row r="261" spans="9:14" s="1" customFormat="1" ht="25.2" customHeight="1" x14ac:dyDescent="0.3">
      <c r="I261" s="1">
        <f>0.14*Table118192023103031323538394041481115182028317212637384651[[#This Row],[النولون]]</f>
        <v>0</v>
      </c>
      <c r="J261" s="1">
        <f>0.03*Table118192023103031323538394041481115182028317212637384651[[#This Row],[النولون]]</f>
        <v>0</v>
      </c>
      <c r="L26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61" s="1">
        <f>N260+Table118192023103031323538394041481115182028317212637384651[[#This Row],[اجمالي الفاتوره]]-Table118192023103031323538394041481115182028317212637384651[[#This Row],[الدفعات]]</f>
        <v>-2277.8499999999985</v>
      </c>
    </row>
    <row r="262" spans="9:14" s="1" customFormat="1" ht="25.2" customHeight="1" x14ac:dyDescent="0.3">
      <c r="I262" s="1">
        <f>0.14*Table118192023103031323538394041481115182028317212637384651[[#This Row],[النولون]]</f>
        <v>0</v>
      </c>
      <c r="J262" s="1">
        <f>0.03*Table118192023103031323538394041481115182028317212637384651[[#This Row],[النولون]]</f>
        <v>0</v>
      </c>
      <c r="L26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62" s="1">
        <f>N261+Table118192023103031323538394041481115182028317212637384651[[#This Row],[اجمالي الفاتوره]]-Table118192023103031323538394041481115182028317212637384651[[#This Row],[الدفعات]]</f>
        <v>-2277.8499999999985</v>
      </c>
    </row>
    <row r="263" spans="9:14" s="1" customFormat="1" ht="25.2" customHeight="1" x14ac:dyDescent="0.3">
      <c r="I263" s="1">
        <f>0.14*Table118192023103031323538394041481115182028317212637384651[[#This Row],[النولون]]</f>
        <v>0</v>
      </c>
      <c r="J263" s="1">
        <f>0.03*Table118192023103031323538394041481115182028317212637384651[[#This Row],[النولون]]</f>
        <v>0</v>
      </c>
      <c r="L26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63" s="1">
        <f>N262+Table118192023103031323538394041481115182028317212637384651[[#This Row],[اجمالي الفاتوره]]-Table118192023103031323538394041481115182028317212637384651[[#This Row],[الدفعات]]</f>
        <v>-2277.8499999999985</v>
      </c>
    </row>
    <row r="264" spans="9:14" s="1" customFormat="1" ht="25.2" customHeight="1" x14ac:dyDescent="0.3">
      <c r="I264" s="1">
        <f>0.14*Table118192023103031323538394041481115182028317212637384651[[#This Row],[النولون]]</f>
        <v>0</v>
      </c>
      <c r="J264" s="1">
        <f>0.03*Table118192023103031323538394041481115182028317212637384651[[#This Row],[النولون]]</f>
        <v>0</v>
      </c>
      <c r="L26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64" s="1">
        <f>N263+Table118192023103031323538394041481115182028317212637384651[[#This Row],[اجمالي الفاتوره]]-Table118192023103031323538394041481115182028317212637384651[[#This Row],[الدفعات]]</f>
        <v>-2277.8499999999985</v>
      </c>
    </row>
    <row r="265" spans="9:14" s="1" customFormat="1" ht="25.2" customHeight="1" x14ac:dyDescent="0.3">
      <c r="I265" s="1">
        <f>0.14*Table118192023103031323538394041481115182028317212637384651[[#This Row],[النولون]]</f>
        <v>0</v>
      </c>
      <c r="J265" s="1">
        <f>0.03*Table118192023103031323538394041481115182028317212637384651[[#This Row],[النولون]]</f>
        <v>0</v>
      </c>
      <c r="L26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65" s="1">
        <f>N264+Table118192023103031323538394041481115182028317212637384651[[#This Row],[اجمالي الفاتوره]]-Table118192023103031323538394041481115182028317212637384651[[#This Row],[الدفعات]]</f>
        <v>-2277.8499999999985</v>
      </c>
    </row>
    <row r="266" spans="9:14" s="1" customFormat="1" ht="25.2" customHeight="1" x14ac:dyDescent="0.3">
      <c r="I266" s="1">
        <f>0.14*Table118192023103031323538394041481115182028317212637384651[[#This Row],[النولون]]</f>
        <v>0</v>
      </c>
      <c r="J266" s="1">
        <f>0.03*Table118192023103031323538394041481115182028317212637384651[[#This Row],[النولون]]</f>
        <v>0</v>
      </c>
      <c r="L26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66" s="1">
        <f>N265+Table118192023103031323538394041481115182028317212637384651[[#This Row],[اجمالي الفاتوره]]-Table118192023103031323538394041481115182028317212637384651[[#This Row],[الدفعات]]</f>
        <v>-2277.8499999999985</v>
      </c>
    </row>
    <row r="267" spans="9:14" s="1" customFormat="1" ht="25.2" customHeight="1" x14ac:dyDescent="0.3">
      <c r="I267" s="1">
        <f>0.14*Table118192023103031323538394041481115182028317212637384651[[#This Row],[النولون]]</f>
        <v>0</v>
      </c>
      <c r="J267" s="1">
        <f>0.03*Table118192023103031323538394041481115182028317212637384651[[#This Row],[النولون]]</f>
        <v>0</v>
      </c>
      <c r="L26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67" s="1">
        <f>N266+Table118192023103031323538394041481115182028317212637384651[[#This Row],[اجمالي الفاتوره]]-Table118192023103031323538394041481115182028317212637384651[[#This Row],[الدفعات]]</f>
        <v>-2277.8499999999985</v>
      </c>
    </row>
    <row r="268" spans="9:14" s="1" customFormat="1" ht="25.2" customHeight="1" x14ac:dyDescent="0.3">
      <c r="I268" s="1">
        <f>0.14*Table118192023103031323538394041481115182028317212637384651[[#This Row],[النولون]]</f>
        <v>0</v>
      </c>
      <c r="J268" s="1">
        <f>0.03*Table118192023103031323538394041481115182028317212637384651[[#This Row],[النولون]]</f>
        <v>0</v>
      </c>
      <c r="L26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68" s="1">
        <f>N267+Table118192023103031323538394041481115182028317212637384651[[#This Row],[اجمالي الفاتوره]]-Table118192023103031323538394041481115182028317212637384651[[#This Row],[الدفعات]]</f>
        <v>-2277.8499999999985</v>
      </c>
    </row>
    <row r="269" spans="9:14" s="1" customFormat="1" ht="25.2" customHeight="1" x14ac:dyDescent="0.3">
      <c r="I269" s="1">
        <f>0.14*Table118192023103031323538394041481115182028317212637384651[[#This Row],[النولون]]</f>
        <v>0</v>
      </c>
      <c r="J269" s="1">
        <f>0.03*Table118192023103031323538394041481115182028317212637384651[[#This Row],[النولون]]</f>
        <v>0</v>
      </c>
      <c r="L26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69" s="1">
        <f>N268+Table118192023103031323538394041481115182028317212637384651[[#This Row],[اجمالي الفاتوره]]-Table118192023103031323538394041481115182028317212637384651[[#This Row],[الدفعات]]</f>
        <v>-2277.8499999999985</v>
      </c>
    </row>
    <row r="270" spans="9:14" s="1" customFormat="1" ht="25.2" customHeight="1" x14ac:dyDescent="0.3">
      <c r="I270" s="1">
        <f>0.14*Table118192023103031323538394041481115182028317212637384651[[#This Row],[النولون]]</f>
        <v>0</v>
      </c>
      <c r="J270" s="1">
        <f>0.03*Table118192023103031323538394041481115182028317212637384651[[#This Row],[النولون]]</f>
        <v>0</v>
      </c>
      <c r="L27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70" s="1">
        <f>N269+Table118192023103031323538394041481115182028317212637384651[[#This Row],[اجمالي الفاتوره]]-Table118192023103031323538394041481115182028317212637384651[[#This Row],[الدفعات]]</f>
        <v>-2277.8499999999985</v>
      </c>
    </row>
    <row r="271" spans="9:14" s="1" customFormat="1" ht="25.2" customHeight="1" x14ac:dyDescent="0.3">
      <c r="I271" s="1">
        <f>0.14*Table118192023103031323538394041481115182028317212637384651[[#This Row],[النولون]]</f>
        <v>0</v>
      </c>
      <c r="J271" s="1">
        <f>0.03*Table118192023103031323538394041481115182028317212637384651[[#This Row],[النولون]]</f>
        <v>0</v>
      </c>
      <c r="L27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71" s="1">
        <f>N270+Table118192023103031323538394041481115182028317212637384651[[#This Row],[اجمالي الفاتوره]]-Table118192023103031323538394041481115182028317212637384651[[#This Row],[الدفعات]]</f>
        <v>-2277.8499999999985</v>
      </c>
    </row>
    <row r="272" spans="9:14" s="1" customFormat="1" ht="25.2" customHeight="1" x14ac:dyDescent="0.3">
      <c r="I272" s="1">
        <f>0.14*Table118192023103031323538394041481115182028317212637384651[[#This Row],[النولون]]</f>
        <v>0</v>
      </c>
      <c r="J272" s="1">
        <f>0.03*Table118192023103031323538394041481115182028317212637384651[[#This Row],[النولون]]</f>
        <v>0</v>
      </c>
      <c r="L27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72" s="1">
        <f>N271+Table118192023103031323538394041481115182028317212637384651[[#This Row],[اجمالي الفاتوره]]-Table118192023103031323538394041481115182028317212637384651[[#This Row],[الدفعات]]</f>
        <v>-2277.8499999999985</v>
      </c>
    </row>
    <row r="273" spans="9:14" s="1" customFormat="1" ht="25.2" customHeight="1" x14ac:dyDescent="0.3">
      <c r="I273" s="1">
        <f>0.14*Table118192023103031323538394041481115182028317212637384651[[#This Row],[النولون]]</f>
        <v>0</v>
      </c>
      <c r="J273" s="1">
        <f>0.03*Table118192023103031323538394041481115182028317212637384651[[#This Row],[النولون]]</f>
        <v>0</v>
      </c>
      <c r="L27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73" s="1">
        <f>N272+Table118192023103031323538394041481115182028317212637384651[[#This Row],[اجمالي الفاتوره]]-Table118192023103031323538394041481115182028317212637384651[[#This Row],[الدفعات]]</f>
        <v>-2277.8499999999985</v>
      </c>
    </row>
    <row r="274" spans="9:14" s="1" customFormat="1" ht="25.2" customHeight="1" x14ac:dyDescent="0.3">
      <c r="I274" s="1">
        <f>0.14*Table118192023103031323538394041481115182028317212637384651[[#This Row],[النولون]]</f>
        <v>0</v>
      </c>
      <c r="J274" s="1">
        <f>0.03*Table118192023103031323538394041481115182028317212637384651[[#This Row],[النولون]]</f>
        <v>0</v>
      </c>
      <c r="L27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74" s="1">
        <f>N273+Table118192023103031323538394041481115182028317212637384651[[#This Row],[اجمالي الفاتوره]]-Table118192023103031323538394041481115182028317212637384651[[#This Row],[الدفعات]]</f>
        <v>-2277.8499999999985</v>
      </c>
    </row>
    <row r="275" spans="9:14" s="1" customFormat="1" ht="25.2" customHeight="1" x14ac:dyDescent="0.3">
      <c r="I275" s="1">
        <f>0.14*Table118192023103031323538394041481115182028317212637384651[[#This Row],[النولون]]</f>
        <v>0</v>
      </c>
      <c r="J275" s="1">
        <f>0.03*Table118192023103031323538394041481115182028317212637384651[[#This Row],[النولون]]</f>
        <v>0</v>
      </c>
      <c r="L27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75" s="1">
        <f>N274+Table118192023103031323538394041481115182028317212637384651[[#This Row],[اجمالي الفاتوره]]-Table118192023103031323538394041481115182028317212637384651[[#This Row],[الدفعات]]</f>
        <v>-2277.8499999999985</v>
      </c>
    </row>
    <row r="276" spans="9:14" s="1" customFormat="1" ht="25.2" customHeight="1" x14ac:dyDescent="0.3">
      <c r="I276" s="1">
        <f>0.14*Table118192023103031323538394041481115182028317212637384651[[#This Row],[النولون]]</f>
        <v>0</v>
      </c>
      <c r="J276" s="1">
        <f>0.03*Table118192023103031323538394041481115182028317212637384651[[#This Row],[النولون]]</f>
        <v>0</v>
      </c>
      <c r="L27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76" s="1">
        <f>N275+Table118192023103031323538394041481115182028317212637384651[[#This Row],[اجمالي الفاتوره]]-Table118192023103031323538394041481115182028317212637384651[[#This Row],[الدفعات]]</f>
        <v>-2277.8499999999985</v>
      </c>
    </row>
    <row r="277" spans="9:14" s="1" customFormat="1" ht="25.2" customHeight="1" x14ac:dyDescent="0.3">
      <c r="I277" s="1">
        <f>0.14*Table118192023103031323538394041481115182028317212637384651[[#This Row],[النولون]]</f>
        <v>0</v>
      </c>
      <c r="J277" s="1">
        <f>0.03*Table118192023103031323538394041481115182028317212637384651[[#This Row],[النولون]]</f>
        <v>0</v>
      </c>
      <c r="L27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77" s="1">
        <f>N276+Table118192023103031323538394041481115182028317212637384651[[#This Row],[اجمالي الفاتوره]]-Table118192023103031323538394041481115182028317212637384651[[#This Row],[الدفعات]]</f>
        <v>-2277.8499999999985</v>
      </c>
    </row>
    <row r="278" spans="9:14" s="1" customFormat="1" ht="25.2" customHeight="1" x14ac:dyDescent="0.3">
      <c r="I278" s="1">
        <f>0.14*Table118192023103031323538394041481115182028317212637384651[[#This Row],[النولون]]</f>
        <v>0</v>
      </c>
      <c r="J278" s="1">
        <f>0.03*Table118192023103031323538394041481115182028317212637384651[[#This Row],[النولون]]</f>
        <v>0</v>
      </c>
      <c r="L27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78" s="1">
        <f>N277+Table118192023103031323538394041481115182028317212637384651[[#This Row],[اجمالي الفاتوره]]-Table118192023103031323538394041481115182028317212637384651[[#This Row],[الدفعات]]</f>
        <v>-2277.8499999999985</v>
      </c>
    </row>
    <row r="279" spans="9:14" s="1" customFormat="1" ht="25.2" customHeight="1" x14ac:dyDescent="0.3">
      <c r="I279" s="1">
        <f>0.14*Table118192023103031323538394041481115182028317212637384651[[#This Row],[النولون]]</f>
        <v>0</v>
      </c>
      <c r="J279" s="1">
        <f>0.03*Table118192023103031323538394041481115182028317212637384651[[#This Row],[النولون]]</f>
        <v>0</v>
      </c>
      <c r="L27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79" s="1">
        <f>N278+Table118192023103031323538394041481115182028317212637384651[[#This Row],[اجمالي الفاتوره]]-Table118192023103031323538394041481115182028317212637384651[[#This Row],[الدفعات]]</f>
        <v>-2277.8499999999985</v>
      </c>
    </row>
    <row r="280" spans="9:14" s="1" customFormat="1" ht="25.2" customHeight="1" x14ac:dyDescent="0.3">
      <c r="I280" s="1">
        <f>0.14*Table118192023103031323538394041481115182028317212637384651[[#This Row],[النولون]]</f>
        <v>0</v>
      </c>
      <c r="J280" s="1">
        <f>0.03*Table118192023103031323538394041481115182028317212637384651[[#This Row],[النولون]]</f>
        <v>0</v>
      </c>
      <c r="L28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80" s="1">
        <f>N279+Table118192023103031323538394041481115182028317212637384651[[#This Row],[اجمالي الفاتوره]]-Table118192023103031323538394041481115182028317212637384651[[#This Row],[الدفعات]]</f>
        <v>-2277.8499999999985</v>
      </c>
    </row>
    <row r="281" spans="9:14" s="1" customFormat="1" ht="25.2" customHeight="1" x14ac:dyDescent="0.3">
      <c r="I281" s="1">
        <f>0.14*Table118192023103031323538394041481115182028317212637384651[[#This Row],[النولون]]</f>
        <v>0</v>
      </c>
      <c r="J281" s="1">
        <f>0.03*Table118192023103031323538394041481115182028317212637384651[[#This Row],[النولون]]</f>
        <v>0</v>
      </c>
      <c r="L28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81" s="1">
        <f>N280+Table118192023103031323538394041481115182028317212637384651[[#This Row],[اجمالي الفاتوره]]-Table118192023103031323538394041481115182028317212637384651[[#This Row],[الدفعات]]</f>
        <v>-2277.8499999999985</v>
      </c>
    </row>
    <row r="282" spans="9:14" s="1" customFormat="1" ht="25.2" customHeight="1" x14ac:dyDescent="0.3">
      <c r="I282" s="1">
        <f>0.14*Table118192023103031323538394041481115182028317212637384651[[#This Row],[النولون]]</f>
        <v>0</v>
      </c>
      <c r="J282" s="1">
        <f>0.03*Table118192023103031323538394041481115182028317212637384651[[#This Row],[النولون]]</f>
        <v>0</v>
      </c>
      <c r="L28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82" s="1">
        <f>N281+Table118192023103031323538394041481115182028317212637384651[[#This Row],[اجمالي الفاتوره]]-Table118192023103031323538394041481115182028317212637384651[[#This Row],[الدفعات]]</f>
        <v>-2277.8499999999985</v>
      </c>
    </row>
    <row r="283" spans="9:14" s="1" customFormat="1" ht="25.2" customHeight="1" x14ac:dyDescent="0.3">
      <c r="I283" s="1">
        <f>0.14*Table118192023103031323538394041481115182028317212637384651[[#This Row],[النولون]]</f>
        <v>0</v>
      </c>
      <c r="J283" s="1">
        <f>0.03*Table118192023103031323538394041481115182028317212637384651[[#This Row],[النولون]]</f>
        <v>0</v>
      </c>
      <c r="L28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83" s="1">
        <f>N282+Table118192023103031323538394041481115182028317212637384651[[#This Row],[اجمالي الفاتوره]]-Table118192023103031323538394041481115182028317212637384651[[#This Row],[الدفعات]]</f>
        <v>-2277.8499999999985</v>
      </c>
    </row>
    <row r="284" spans="9:14" s="1" customFormat="1" ht="25.2" customHeight="1" x14ac:dyDescent="0.3">
      <c r="I284" s="1">
        <f>0.14*Table118192023103031323538394041481115182028317212637384651[[#This Row],[النولون]]</f>
        <v>0</v>
      </c>
      <c r="J284" s="1">
        <f>0.03*Table118192023103031323538394041481115182028317212637384651[[#This Row],[النولون]]</f>
        <v>0</v>
      </c>
      <c r="L28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84" s="1">
        <f>N283+Table118192023103031323538394041481115182028317212637384651[[#This Row],[اجمالي الفاتوره]]-Table118192023103031323538394041481115182028317212637384651[[#This Row],[الدفعات]]</f>
        <v>-2277.8499999999985</v>
      </c>
    </row>
    <row r="285" spans="9:14" s="1" customFormat="1" ht="25.2" customHeight="1" x14ac:dyDescent="0.3">
      <c r="I285" s="1">
        <f>0.14*Table118192023103031323538394041481115182028317212637384651[[#This Row],[النولون]]</f>
        <v>0</v>
      </c>
      <c r="J285" s="1">
        <f>0.03*Table118192023103031323538394041481115182028317212637384651[[#This Row],[النولون]]</f>
        <v>0</v>
      </c>
      <c r="L28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85" s="1">
        <f>N284+Table118192023103031323538394041481115182028317212637384651[[#This Row],[اجمالي الفاتوره]]-Table118192023103031323538394041481115182028317212637384651[[#This Row],[الدفعات]]</f>
        <v>-2277.8499999999985</v>
      </c>
    </row>
    <row r="286" spans="9:14" s="1" customFormat="1" ht="25.2" customHeight="1" x14ac:dyDescent="0.3">
      <c r="I286" s="1">
        <f>0.14*Table118192023103031323538394041481115182028317212637384651[[#This Row],[النولون]]</f>
        <v>0</v>
      </c>
      <c r="J286" s="1">
        <f>0.03*Table118192023103031323538394041481115182028317212637384651[[#This Row],[النولون]]</f>
        <v>0</v>
      </c>
      <c r="L28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86" s="1">
        <f>N285+Table118192023103031323538394041481115182028317212637384651[[#This Row],[اجمالي الفاتوره]]-Table118192023103031323538394041481115182028317212637384651[[#This Row],[الدفعات]]</f>
        <v>-2277.8499999999985</v>
      </c>
    </row>
    <row r="287" spans="9:14" s="1" customFormat="1" ht="25.2" customHeight="1" x14ac:dyDescent="0.3">
      <c r="I287" s="1">
        <f>0.14*Table118192023103031323538394041481115182028317212637384651[[#This Row],[النولون]]</f>
        <v>0</v>
      </c>
      <c r="J287" s="1">
        <f>0.03*Table118192023103031323538394041481115182028317212637384651[[#This Row],[النولون]]</f>
        <v>0</v>
      </c>
      <c r="L28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87" s="1">
        <f>N286+Table118192023103031323538394041481115182028317212637384651[[#This Row],[اجمالي الفاتوره]]-Table118192023103031323538394041481115182028317212637384651[[#This Row],[الدفعات]]</f>
        <v>-2277.8499999999985</v>
      </c>
    </row>
    <row r="288" spans="9:14" s="1" customFormat="1" ht="25.2" customHeight="1" x14ac:dyDescent="0.3">
      <c r="I288" s="1">
        <f>0.14*Table118192023103031323538394041481115182028317212637384651[[#This Row],[النولون]]</f>
        <v>0</v>
      </c>
      <c r="J288" s="1">
        <f>0.03*Table118192023103031323538394041481115182028317212637384651[[#This Row],[النولون]]</f>
        <v>0</v>
      </c>
      <c r="L28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88" s="1">
        <f>N287+Table118192023103031323538394041481115182028317212637384651[[#This Row],[اجمالي الفاتوره]]-Table118192023103031323538394041481115182028317212637384651[[#This Row],[الدفعات]]</f>
        <v>-2277.8499999999985</v>
      </c>
    </row>
    <row r="289" spans="9:14" s="1" customFormat="1" ht="25.2" customHeight="1" x14ac:dyDescent="0.3">
      <c r="I289" s="1">
        <f>0.14*Table118192023103031323538394041481115182028317212637384651[[#This Row],[النولون]]</f>
        <v>0</v>
      </c>
      <c r="J289" s="1">
        <f>0.03*Table118192023103031323538394041481115182028317212637384651[[#This Row],[النولون]]</f>
        <v>0</v>
      </c>
      <c r="L28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89" s="1">
        <f>N288+Table118192023103031323538394041481115182028317212637384651[[#This Row],[اجمالي الفاتوره]]-Table118192023103031323538394041481115182028317212637384651[[#This Row],[الدفعات]]</f>
        <v>-2277.8499999999985</v>
      </c>
    </row>
    <row r="290" spans="9:14" s="1" customFormat="1" ht="25.2" customHeight="1" x14ac:dyDescent="0.3">
      <c r="I290" s="1">
        <f>0.14*Table118192023103031323538394041481115182028317212637384651[[#This Row],[النولون]]</f>
        <v>0</v>
      </c>
      <c r="J290" s="1">
        <f>0.03*Table118192023103031323538394041481115182028317212637384651[[#This Row],[النولون]]</f>
        <v>0</v>
      </c>
      <c r="L29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90" s="1">
        <f>N289+Table118192023103031323538394041481115182028317212637384651[[#This Row],[اجمالي الفاتوره]]-Table118192023103031323538394041481115182028317212637384651[[#This Row],[الدفعات]]</f>
        <v>-2277.8499999999985</v>
      </c>
    </row>
    <row r="291" spans="9:14" s="1" customFormat="1" ht="25.2" customHeight="1" x14ac:dyDescent="0.3">
      <c r="I291" s="1">
        <f>0.14*Table118192023103031323538394041481115182028317212637384651[[#This Row],[النولون]]</f>
        <v>0</v>
      </c>
      <c r="J291" s="1">
        <f>0.03*Table118192023103031323538394041481115182028317212637384651[[#This Row],[النولون]]</f>
        <v>0</v>
      </c>
      <c r="L29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91" s="1">
        <f>N290+Table118192023103031323538394041481115182028317212637384651[[#This Row],[اجمالي الفاتوره]]-Table118192023103031323538394041481115182028317212637384651[[#This Row],[الدفعات]]</f>
        <v>-2277.8499999999985</v>
      </c>
    </row>
    <row r="292" spans="9:14" s="1" customFormat="1" ht="25.2" customHeight="1" x14ac:dyDescent="0.3">
      <c r="I292" s="1">
        <f>0.14*Table118192023103031323538394041481115182028317212637384651[[#This Row],[النولون]]</f>
        <v>0</v>
      </c>
      <c r="J292" s="1">
        <f>0.03*Table118192023103031323538394041481115182028317212637384651[[#This Row],[النولون]]</f>
        <v>0</v>
      </c>
      <c r="L29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92" s="1">
        <f>N291+Table118192023103031323538394041481115182028317212637384651[[#This Row],[اجمالي الفاتوره]]-Table118192023103031323538394041481115182028317212637384651[[#This Row],[الدفعات]]</f>
        <v>-2277.8499999999985</v>
      </c>
    </row>
    <row r="293" spans="9:14" s="1" customFormat="1" ht="25.2" customHeight="1" x14ac:dyDescent="0.3">
      <c r="I293" s="1">
        <f>0.14*Table118192023103031323538394041481115182028317212637384651[[#This Row],[النولون]]</f>
        <v>0</v>
      </c>
      <c r="J293" s="1">
        <f>0.03*Table118192023103031323538394041481115182028317212637384651[[#This Row],[النولون]]</f>
        <v>0</v>
      </c>
      <c r="L29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93" s="1">
        <f>N292+Table118192023103031323538394041481115182028317212637384651[[#This Row],[اجمالي الفاتوره]]-Table118192023103031323538394041481115182028317212637384651[[#This Row],[الدفعات]]</f>
        <v>-2277.8499999999985</v>
      </c>
    </row>
    <row r="294" spans="9:14" s="1" customFormat="1" ht="25.2" customHeight="1" x14ac:dyDescent="0.3">
      <c r="I294" s="1">
        <f>0.14*Table118192023103031323538394041481115182028317212637384651[[#This Row],[النولون]]</f>
        <v>0</v>
      </c>
      <c r="J294" s="1">
        <f>0.03*Table118192023103031323538394041481115182028317212637384651[[#This Row],[النولون]]</f>
        <v>0</v>
      </c>
      <c r="L29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94" s="1">
        <f>N293+Table118192023103031323538394041481115182028317212637384651[[#This Row],[اجمالي الفاتوره]]-Table118192023103031323538394041481115182028317212637384651[[#This Row],[الدفعات]]</f>
        <v>-2277.8499999999985</v>
      </c>
    </row>
    <row r="295" spans="9:14" s="1" customFormat="1" ht="25.2" customHeight="1" x14ac:dyDescent="0.3">
      <c r="I295" s="1">
        <f>0.14*Table118192023103031323538394041481115182028317212637384651[[#This Row],[النولون]]</f>
        <v>0</v>
      </c>
      <c r="J295" s="1">
        <f>0.03*Table118192023103031323538394041481115182028317212637384651[[#This Row],[النولون]]</f>
        <v>0</v>
      </c>
      <c r="L29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95" s="1">
        <f>N294+Table118192023103031323538394041481115182028317212637384651[[#This Row],[اجمالي الفاتوره]]-Table118192023103031323538394041481115182028317212637384651[[#This Row],[الدفعات]]</f>
        <v>-2277.8499999999985</v>
      </c>
    </row>
    <row r="296" spans="9:14" s="1" customFormat="1" ht="25.2" customHeight="1" x14ac:dyDescent="0.3">
      <c r="I296" s="1">
        <f>0.14*Table118192023103031323538394041481115182028317212637384651[[#This Row],[النولون]]</f>
        <v>0</v>
      </c>
      <c r="J296" s="1">
        <f>0.03*Table118192023103031323538394041481115182028317212637384651[[#This Row],[النولون]]</f>
        <v>0</v>
      </c>
      <c r="L29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96" s="1">
        <f>N295+Table118192023103031323538394041481115182028317212637384651[[#This Row],[اجمالي الفاتوره]]-Table118192023103031323538394041481115182028317212637384651[[#This Row],[الدفعات]]</f>
        <v>-2277.8499999999985</v>
      </c>
    </row>
    <row r="297" spans="9:14" s="1" customFormat="1" ht="25.2" customHeight="1" x14ac:dyDescent="0.3">
      <c r="I297" s="1">
        <f>0.14*Table118192023103031323538394041481115182028317212637384651[[#This Row],[النولون]]</f>
        <v>0</v>
      </c>
      <c r="J297" s="1">
        <f>0.03*Table118192023103031323538394041481115182028317212637384651[[#This Row],[النولون]]</f>
        <v>0</v>
      </c>
      <c r="L29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97" s="1">
        <f>N296+Table118192023103031323538394041481115182028317212637384651[[#This Row],[اجمالي الفاتوره]]-Table118192023103031323538394041481115182028317212637384651[[#This Row],[الدفعات]]</f>
        <v>-2277.8499999999985</v>
      </c>
    </row>
    <row r="298" spans="9:14" s="1" customFormat="1" ht="25.2" customHeight="1" x14ac:dyDescent="0.3">
      <c r="I298" s="1">
        <f>0.14*Table118192023103031323538394041481115182028317212637384651[[#This Row],[النولون]]</f>
        <v>0</v>
      </c>
      <c r="J298" s="1">
        <f>0.03*Table118192023103031323538394041481115182028317212637384651[[#This Row],[النولون]]</f>
        <v>0</v>
      </c>
      <c r="L29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98" s="1">
        <f>N297+Table118192023103031323538394041481115182028317212637384651[[#This Row],[اجمالي الفاتوره]]-Table118192023103031323538394041481115182028317212637384651[[#This Row],[الدفعات]]</f>
        <v>-2277.8499999999985</v>
      </c>
    </row>
    <row r="299" spans="9:14" s="1" customFormat="1" ht="25.2" customHeight="1" x14ac:dyDescent="0.3">
      <c r="I299" s="1">
        <f>0.14*Table118192023103031323538394041481115182028317212637384651[[#This Row],[النولون]]</f>
        <v>0</v>
      </c>
      <c r="J299" s="1">
        <f>0.03*Table118192023103031323538394041481115182028317212637384651[[#This Row],[النولون]]</f>
        <v>0</v>
      </c>
      <c r="L29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299" s="1">
        <f>N298+Table118192023103031323538394041481115182028317212637384651[[#This Row],[اجمالي الفاتوره]]-Table118192023103031323538394041481115182028317212637384651[[#This Row],[الدفعات]]</f>
        <v>-2277.8499999999985</v>
      </c>
    </row>
    <row r="300" spans="9:14" s="1" customFormat="1" ht="25.2" customHeight="1" x14ac:dyDescent="0.3">
      <c r="I300" s="1">
        <f>0.14*Table118192023103031323538394041481115182028317212637384651[[#This Row],[النولون]]</f>
        <v>0</v>
      </c>
      <c r="J300" s="1">
        <f>0.03*Table118192023103031323538394041481115182028317212637384651[[#This Row],[النولون]]</f>
        <v>0</v>
      </c>
      <c r="L30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00" s="1">
        <f>N299+Table118192023103031323538394041481115182028317212637384651[[#This Row],[اجمالي الفاتوره]]-Table118192023103031323538394041481115182028317212637384651[[#This Row],[الدفعات]]</f>
        <v>-2277.8499999999985</v>
      </c>
    </row>
    <row r="301" spans="9:14" s="1" customFormat="1" ht="25.2" customHeight="1" x14ac:dyDescent="0.3">
      <c r="I301" s="1">
        <f>0.14*Table118192023103031323538394041481115182028317212637384651[[#This Row],[النولون]]</f>
        <v>0</v>
      </c>
      <c r="J301" s="1">
        <f>0.03*Table118192023103031323538394041481115182028317212637384651[[#This Row],[النولون]]</f>
        <v>0</v>
      </c>
      <c r="L30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01" s="1">
        <f>N300+Table118192023103031323538394041481115182028317212637384651[[#This Row],[اجمالي الفاتوره]]-Table118192023103031323538394041481115182028317212637384651[[#This Row],[الدفعات]]</f>
        <v>-2277.8499999999985</v>
      </c>
    </row>
    <row r="302" spans="9:14" s="1" customFormat="1" ht="25.2" customHeight="1" x14ac:dyDescent="0.3">
      <c r="I302" s="1">
        <f>0.14*Table118192023103031323538394041481115182028317212637384651[[#This Row],[النولون]]</f>
        <v>0</v>
      </c>
      <c r="J302" s="1">
        <f>0.03*Table118192023103031323538394041481115182028317212637384651[[#This Row],[النولون]]</f>
        <v>0</v>
      </c>
      <c r="L30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02" s="1">
        <f>N301+Table118192023103031323538394041481115182028317212637384651[[#This Row],[اجمالي الفاتوره]]-Table118192023103031323538394041481115182028317212637384651[[#This Row],[الدفعات]]</f>
        <v>-2277.8499999999985</v>
      </c>
    </row>
    <row r="303" spans="9:14" s="1" customFormat="1" ht="25.2" customHeight="1" x14ac:dyDescent="0.3">
      <c r="I303" s="1">
        <f>0.14*Table118192023103031323538394041481115182028317212637384651[[#This Row],[النولون]]</f>
        <v>0</v>
      </c>
      <c r="J303" s="1">
        <f>0.03*Table118192023103031323538394041481115182028317212637384651[[#This Row],[النولون]]</f>
        <v>0</v>
      </c>
      <c r="L30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03" s="1">
        <f>N302+Table118192023103031323538394041481115182028317212637384651[[#This Row],[اجمالي الفاتوره]]-Table118192023103031323538394041481115182028317212637384651[[#This Row],[الدفعات]]</f>
        <v>-2277.8499999999985</v>
      </c>
    </row>
    <row r="304" spans="9:14" s="1" customFormat="1" ht="25.2" customHeight="1" x14ac:dyDescent="0.3">
      <c r="I304" s="1">
        <f>0.14*Table118192023103031323538394041481115182028317212637384651[[#This Row],[النولون]]</f>
        <v>0</v>
      </c>
      <c r="J304" s="1">
        <f>0.03*Table118192023103031323538394041481115182028317212637384651[[#This Row],[النولون]]</f>
        <v>0</v>
      </c>
      <c r="L30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04" s="1">
        <f>N303+Table118192023103031323538394041481115182028317212637384651[[#This Row],[اجمالي الفاتوره]]-Table118192023103031323538394041481115182028317212637384651[[#This Row],[الدفعات]]</f>
        <v>-2277.8499999999985</v>
      </c>
    </row>
    <row r="305" spans="9:14" s="1" customFormat="1" ht="25.2" customHeight="1" x14ac:dyDescent="0.3">
      <c r="I305" s="1">
        <f>0.14*Table118192023103031323538394041481115182028317212637384651[[#This Row],[النولون]]</f>
        <v>0</v>
      </c>
      <c r="J305" s="1">
        <f>0.03*Table118192023103031323538394041481115182028317212637384651[[#This Row],[النولون]]</f>
        <v>0</v>
      </c>
      <c r="L30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05" s="1">
        <f>N304+Table118192023103031323538394041481115182028317212637384651[[#This Row],[اجمالي الفاتوره]]-Table118192023103031323538394041481115182028317212637384651[[#This Row],[الدفعات]]</f>
        <v>-2277.8499999999985</v>
      </c>
    </row>
    <row r="306" spans="9:14" s="1" customFormat="1" ht="25.2" customHeight="1" x14ac:dyDescent="0.3">
      <c r="I306" s="1">
        <f>0.14*Table118192023103031323538394041481115182028317212637384651[[#This Row],[النولون]]</f>
        <v>0</v>
      </c>
      <c r="J306" s="1">
        <f>0.03*Table118192023103031323538394041481115182028317212637384651[[#This Row],[النولون]]</f>
        <v>0</v>
      </c>
      <c r="L30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06" s="1">
        <f>N305+Table118192023103031323538394041481115182028317212637384651[[#This Row],[اجمالي الفاتوره]]-Table118192023103031323538394041481115182028317212637384651[[#This Row],[الدفعات]]</f>
        <v>-2277.8499999999985</v>
      </c>
    </row>
    <row r="307" spans="9:14" s="1" customFormat="1" ht="25.2" customHeight="1" x14ac:dyDescent="0.3">
      <c r="I307" s="1">
        <f>0.14*Table118192023103031323538394041481115182028317212637384651[[#This Row],[النولون]]</f>
        <v>0</v>
      </c>
      <c r="J307" s="1">
        <f>0.03*Table118192023103031323538394041481115182028317212637384651[[#This Row],[النولون]]</f>
        <v>0</v>
      </c>
      <c r="L30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07" s="1">
        <f>N306+Table118192023103031323538394041481115182028317212637384651[[#This Row],[اجمالي الفاتوره]]-Table118192023103031323538394041481115182028317212637384651[[#This Row],[الدفعات]]</f>
        <v>-2277.8499999999985</v>
      </c>
    </row>
    <row r="308" spans="9:14" s="1" customFormat="1" ht="25.2" customHeight="1" x14ac:dyDescent="0.3">
      <c r="I308" s="1">
        <f>0.14*Table118192023103031323538394041481115182028317212637384651[[#This Row],[النولون]]</f>
        <v>0</v>
      </c>
      <c r="J308" s="1">
        <f>0.03*Table118192023103031323538394041481115182028317212637384651[[#This Row],[النولون]]</f>
        <v>0</v>
      </c>
      <c r="L30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08" s="1">
        <f>N307+Table118192023103031323538394041481115182028317212637384651[[#This Row],[اجمالي الفاتوره]]-Table118192023103031323538394041481115182028317212637384651[[#This Row],[الدفعات]]</f>
        <v>-2277.8499999999985</v>
      </c>
    </row>
    <row r="309" spans="9:14" s="1" customFormat="1" ht="25.2" customHeight="1" x14ac:dyDescent="0.3">
      <c r="I309" s="1">
        <f>0.14*Table118192023103031323538394041481115182028317212637384651[[#This Row],[النولون]]</f>
        <v>0</v>
      </c>
      <c r="J309" s="1">
        <f>0.03*Table118192023103031323538394041481115182028317212637384651[[#This Row],[النولون]]</f>
        <v>0</v>
      </c>
      <c r="L30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09" s="1">
        <f>N308+Table118192023103031323538394041481115182028317212637384651[[#This Row],[اجمالي الفاتوره]]-Table118192023103031323538394041481115182028317212637384651[[#This Row],[الدفعات]]</f>
        <v>-2277.8499999999985</v>
      </c>
    </row>
    <row r="310" spans="9:14" s="1" customFormat="1" ht="25.2" customHeight="1" x14ac:dyDescent="0.3">
      <c r="I310" s="1">
        <f>0.14*Table118192023103031323538394041481115182028317212637384651[[#This Row],[النولون]]</f>
        <v>0</v>
      </c>
      <c r="J310" s="1">
        <f>0.03*Table118192023103031323538394041481115182028317212637384651[[#This Row],[النولون]]</f>
        <v>0</v>
      </c>
      <c r="L31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10" s="1">
        <f>N309+Table118192023103031323538394041481115182028317212637384651[[#This Row],[اجمالي الفاتوره]]-Table118192023103031323538394041481115182028317212637384651[[#This Row],[الدفعات]]</f>
        <v>-2277.8499999999985</v>
      </c>
    </row>
    <row r="311" spans="9:14" s="1" customFormat="1" ht="25.2" customHeight="1" x14ac:dyDescent="0.3">
      <c r="I311" s="1">
        <f>0.14*Table118192023103031323538394041481115182028317212637384651[[#This Row],[النولون]]</f>
        <v>0</v>
      </c>
      <c r="J311" s="1">
        <f>0.03*Table118192023103031323538394041481115182028317212637384651[[#This Row],[النولون]]</f>
        <v>0</v>
      </c>
      <c r="L31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11" s="1">
        <f>N310+Table118192023103031323538394041481115182028317212637384651[[#This Row],[اجمالي الفاتوره]]-Table118192023103031323538394041481115182028317212637384651[[#This Row],[الدفعات]]</f>
        <v>-2277.8499999999985</v>
      </c>
    </row>
    <row r="312" spans="9:14" s="1" customFormat="1" ht="25.2" customHeight="1" x14ac:dyDescent="0.3">
      <c r="I312" s="1">
        <f>0.14*Table118192023103031323538394041481115182028317212637384651[[#This Row],[النولون]]</f>
        <v>0</v>
      </c>
      <c r="J312" s="1">
        <f>0.03*Table118192023103031323538394041481115182028317212637384651[[#This Row],[النولون]]</f>
        <v>0</v>
      </c>
      <c r="L31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12" s="1">
        <f>N311+Table118192023103031323538394041481115182028317212637384651[[#This Row],[اجمالي الفاتوره]]-Table118192023103031323538394041481115182028317212637384651[[#This Row],[الدفعات]]</f>
        <v>-2277.8499999999985</v>
      </c>
    </row>
    <row r="313" spans="9:14" s="1" customFormat="1" ht="25.2" customHeight="1" x14ac:dyDescent="0.3">
      <c r="I313" s="1">
        <f>0.14*Table118192023103031323538394041481115182028317212637384651[[#This Row],[النولون]]</f>
        <v>0</v>
      </c>
      <c r="J313" s="1">
        <f>0.03*Table118192023103031323538394041481115182028317212637384651[[#This Row],[النولون]]</f>
        <v>0</v>
      </c>
      <c r="L31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13" s="1">
        <f>N312+Table118192023103031323538394041481115182028317212637384651[[#This Row],[اجمالي الفاتوره]]-Table118192023103031323538394041481115182028317212637384651[[#This Row],[الدفعات]]</f>
        <v>-2277.8499999999985</v>
      </c>
    </row>
    <row r="314" spans="9:14" s="1" customFormat="1" ht="25.2" customHeight="1" x14ac:dyDescent="0.3">
      <c r="I314" s="1">
        <f>0.14*Table118192023103031323538394041481115182028317212637384651[[#This Row],[النولون]]</f>
        <v>0</v>
      </c>
      <c r="J314" s="1">
        <f>0.03*Table118192023103031323538394041481115182028317212637384651[[#This Row],[النولون]]</f>
        <v>0</v>
      </c>
      <c r="L31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14" s="1">
        <f>N313+Table118192023103031323538394041481115182028317212637384651[[#This Row],[اجمالي الفاتوره]]-Table118192023103031323538394041481115182028317212637384651[[#This Row],[الدفعات]]</f>
        <v>-2277.8499999999985</v>
      </c>
    </row>
    <row r="315" spans="9:14" s="1" customFormat="1" ht="25.2" customHeight="1" x14ac:dyDescent="0.3">
      <c r="I315" s="1">
        <f>0.14*Table118192023103031323538394041481115182028317212637384651[[#This Row],[النولون]]</f>
        <v>0</v>
      </c>
      <c r="J315" s="1">
        <f>0.03*Table118192023103031323538394041481115182028317212637384651[[#This Row],[النولون]]</f>
        <v>0</v>
      </c>
      <c r="L31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15" s="1">
        <f>N314+Table118192023103031323538394041481115182028317212637384651[[#This Row],[اجمالي الفاتوره]]-Table118192023103031323538394041481115182028317212637384651[[#This Row],[الدفعات]]</f>
        <v>-2277.8499999999985</v>
      </c>
    </row>
    <row r="316" spans="9:14" s="1" customFormat="1" ht="25.2" customHeight="1" x14ac:dyDescent="0.3">
      <c r="I316" s="1">
        <f>0.14*Table118192023103031323538394041481115182028317212637384651[[#This Row],[النولون]]</f>
        <v>0</v>
      </c>
      <c r="J316" s="1">
        <f>0.03*Table118192023103031323538394041481115182028317212637384651[[#This Row],[النولون]]</f>
        <v>0</v>
      </c>
      <c r="L31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16" s="1">
        <f>N315+Table118192023103031323538394041481115182028317212637384651[[#This Row],[اجمالي الفاتوره]]-Table118192023103031323538394041481115182028317212637384651[[#This Row],[الدفعات]]</f>
        <v>-2277.8499999999985</v>
      </c>
    </row>
    <row r="317" spans="9:14" s="1" customFormat="1" ht="25.2" customHeight="1" x14ac:dyDescent="0.3">
      <c r="I317" s="1">
        <f>0.14*Table118192023103031323538394041481115182028317212637384651[[#This Row],[النولون]]</f>
        <v>0</v>
      </c>
      <c r="J317" s="1">
        <f>0.03*Table118192023103031323538394041481115182028317212637384651[[#This Row],[النولون]]</f>
        <v>0</v>
      </c>
      <c r="L31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17" s="1">
        <f>N316+Table118192023103031323538394041481115182028317212637384651[[#This Row],[اجمالي الفاتوره]]-Table118192023103031323538394041481115182028317212637384651[[#This Row],[الدفعات]]</f>
        <v>-2277.8499999999985</v>
      </c>
    </row>
    <row r="318" spans="9:14" s="1" customFormat="1" ht="25.2" customHeight="1" x14ac:dyDescent="0.3">
      <c r="I318" s="1">
        <f>0.14*Table118192023103031323538394041481115182028317212637384651[[#This Row],[النولون]]</f>
        <v>0</v>
      </c>
      <c r="J318" s="1">
        <f>0.03*Table118192023103031323538394041481115182028317212637384651[[#This Row],[النولون]]</f>
        <v>0</v>
      </c>
      <c r="L31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18" s="1">
        <f>N317+Table118192023103031323538394041481115182028317212637384651[[#This Row],[اجمالي الفاتوره]]-Table118192023103031323538394041481115182028317212637384651[[#This Row],[الدفعات]]</f>
        <v>-2277.8499999999985</v>
      </c>
    </row>
    <row r="319" spans="9:14" s="1" customFormat="1" ht="25.2" customHeight="1" x14ac:dyDescent="0.3">
      <c r="I319" s="1">
        <f>0.14*Table118192023103031323538394041481115182028317212637384651[[#This Row],[النولون]]</f>
        <v>0</v>
      </c>
      <c r="J319" s="1">
        <f>0.03*Table118192023103031323538394041481115182028317212637384651[[#This Row],[النولون]]</f>
        <v>0</v>
      </c>
      <c r="L31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19" s="1">
        <f>N318+Table118192023103031323538394041481115182028317212637384651[[#This Row],[اجمالي الفاتوره]]-Table118192023103031323538394041481115182028317212637384651[[#This Row],[الدفعات]]</f>
        <v>-2277.8499999999985</v>
      </c>
    </row>
    <row r="320" spans="9:14" s="1" customFormat="1" ht="25.2" customHeight="1" x14ac:dyDescent="0.3">
      <c r="I320" s="1">
        <f>0.14*Table118192023103031323538394041481115182028317212637384651[[#This Row],[النولون]]</f>
        <v>0</v>
      </c>
      <c r="J320" s="1">
        <f>0.03*Table118192023103031323538394041481115182028317212637384651[[#This Row],[النولون]]</f>
        <v>0</v>
      </c>
      <c r="L32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20" s="1">
        <f>N319+Table118192023103031323538394041481115182028317212637384651[[#This Row],[اجمالي الفاتوره]]-Table118192023103031323538394041481115182028317212637384651[[#This Row],[الدفعات]]</f>
        <v>-2277.8499999999985</v>
      </c>
    </row>
    <row r="321" spans="9:14" s="1" customFormat="1" ht="25.2" customHeight="1" x14ac:dyDescent="0.3">
      <c r="I321" s="1">
        <f>0.14*Table118192023103031323538394041481115182028317212637384651[[#This Row],[النولون]]</f>
        <v>0</v>
      </c>
      <c r="J321" s="1">
        <f>0.03*Table118192023103031323538394041481115182028317212637384651[[#This Row],[النولون]]</f>
        <v>0</v>
      </c>
      <c r="L32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21" s="1">
        <f>N320+Table118192023103031323538394041481115182028317212637384651[[#This Row],[اجمالي الفاتوره]]-Table118192023103031323538394041481115182028317212637384651[[#This Row],[الدفعات]]</f>
        <v>-2277.8499999999985</v>
      </c>
    </row>
    <row r="322" spans="9:14" s="1" customFormat="1" ht="25.2" customHeight="1" x14ac:dyDescent="0.3">
      <c r="I322" s="1">
        <f>0.14*Table118192023103031323538394041481115182028317212637384651[[#This Row],[النولون]]</f>
        <v>0</v>
      </c>
      <c r="J322" s="1">
        <f>0.03*Table118192023103031323538394041481115182028317212637384651[[#This Row],[النولون]]</f>
        <v>0</v>
      </c>
      <c r="L32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22" s="1">
        <f>N321+Table118192023103031323538394041481115182028317212637384651[[#This Row],[اجمالي الفاتوره]]-Table118192023103031323538394041481115182028317212637384651[[#This Row],[الدفعات]]</f>
        <v>-2277.8499999999985</v>
      </c>
    </row>
    <row r="323" spans="9:14" s="1" customFormat="1" ht="25.2" customHeight="1" x14ac:dyDescent="0.3">
      <c r="I323" s="1">
        <f>0.14*Table118192023103031323538394041481115182028317212637384651[[#This Row],[النولون]]</f>
        <v>0</v>
      </c>
      <c r="J323" s="1">
        <f>0.03*Table118192023103031323538394041481115182028317212637384651[[#This Row],[النولون]]</f>
        <v>0</v>
      </c>
      <c r="L32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23" s="1">
        <f>N322+Table118192023103031323538394041481115182028317212637384651[[#This Row],[اجمالي الفاتوره]]-Table118192023103031323538394041481115182028317212637384651[[#This Row],[الدفعات]]</f>
        <v>-2277.8499999999985</v>
      </c>
    </row>
    <row r="324" spans="9:14" s="1" customFormat="1" ht="25.2" customHeight="1" x14ac:dyDescent="0.3">
      <c r="I324" s="1">
        <f>0.14*Table118192023103031323538394041481115182028317212637384651[[#This Row],[النولون]]</f>
        <v>0</v>
      </c>
      <c r="J324" s="1">
        <f>0.03*Table118192023103031323538394041481115182028317212637384651[[#This Row],[النولون]]</f>
        <v>0</v>
      </c>
      <c r="L32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24" s="1">
        <f>N323+Table118192023103031323538394041481115182028317212637384651[[#This Row],[اجمالي الفاتوره]]-Table118192023103031323538394041481115182028317212637384651[[#This Row],[الدفعات]]</f>
        <v>-2277.8499999999985</v>
      </c>
    </row>
    <row r="325" spans="9:14" s="1" customFormat="1" ht="25.2" customHeight="1" x14ac:dyDescent="0.3">
      <c r="I325" s="1">
        <f>0.14*Table118192023103031323538394041481115182028317212637384651[[#This Row],[النولون]]</f>
        <v>0</v>
      </c>
      <c r="J325" s="1">
        <f>0.03*Table118192023103031323538394041481115182028317212637384651[[#This Row],[النولون]]</f>
        <v>0</v>
      </c>
      <c r="L32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25" s="1">
        <f>N324+Table118192023103031323538394041481115182028317212637384651[[#This Row],[اجمالي الفاتوره]]-Table118192023103031323538394041481115182028317212637384651[[#This Row],[الدفعات]]</f>
        <v>-2277.8499999999985</v>
      </c>
    </row>
    <row r="326" spans="9:14" s="1" customFormat="1" ht="25.2" customHeight="1" x14ac:dyDescent="0.3">
      <c r="I326" s="1">
        <f>0.14*Table118192023103031323538394041481115182028317212637384651[[#This Row],[النولون]]</f>
        <v>0</v>
      </c>
      <c r="J326" s="1">
        <f>0.03*Table118192023103031323538394041481115182028317212637384651[[#This Row],[النولون]]</f>
        <v>0</v>
      </c>
      <c r="L32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26" s="1">
        <f>N325+Table118192023103031323538394041481115182028317212637384651[[#This Row],[اجمالي الفاتوره]]-Table118192023103031323538394041481115182028317212637384651[[#This Row],[الدفعات]]</f>
        <v>-2277.8499999999985</v>
      </c>
    </row>
    <row r="327" spans="9:14" s="1" customFormat="1" ht="25.2" customHeight="1" x14ac:dyDescent="0.3">
      <c r="I327" s="1">
        <f>0.14*Table118192023103031323538394041481115182028317212637384651[[#This Row],[النولون]]</f>
        <v>0</v>
      </c>
      <c r="J327" s="1">
        <f>0.03*Table118192023103031323538394041481115182028317212637384651[[#This Row],[النولون]]</f>
        <v>0</v>
      </c>
      <c r="L32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27" s="1">
        <f>N326+Table118192023103031323538394041481115182028317212637384651[[#This Row],[اجمالي الفاتوره]]-Table118192023103031323538394041481115182028317212637384651[[#This Row],[الدفعات]]</f>
        <v>-2277.8499999999985</v>
      </c>
    </row>
    <row r="328" spans="9:14" s="1" customFormat="1" ht="25.2" customHeight="1" x14ac:dyDescent="0.3">
      <c r="I328" s="1">
        <f>0.14*Table118192023103031323538394041481115182028317212637384651[[#This Row],[النولون]]</f>
        <v>0</v>
      </c>
      <c r="J328" s="1">
        <f>0.03*Table118192023103031323538394041481115182028317212637384651[[#This Row],[النولون]]</f>
        <v>0</v>
      </c>
      <c r="L32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28" s="1">
        <f>N327+Table118192023103031323538394041481115182028317212637384651[[#This Row],[اجمالي الفاتوره]]-Table118192023103031323538394041481115182028317212637384651[[#This Row],[الدفعات]]</f>
        <v>-2277.8499999999985</v>
      </c>
    </row>
    <row r="329" spans="9:14" s="1" customFormat="1" ht="25.2" customHeight="1" x14ac:dyDescent="0.3">
      <c r="I329" s="1">
        <f>0.14*Table118192023103031323538394041481115182028317212637384651[[#This Row],[النولون]]</f>
        <v>0</v>
      </c>
      <c r="J329" s="1">
        <f>0.03*Table118192023103031323538394041481115182028317212637384651[[#This Row],[النولون]]</f>
        <v>0</v>
      </c>
      <c r="L329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29" s="1">
        <f>N328+Table118192023103031323538394041481115182028317212637384651[[#This Row],[اجمالي الفاتوره]]-Table118192023103031323538394041481115182028317212637384651[[#This Row],[الدفعات]]</f>
        <v>-2277.8499999999985</v>
      </c>
    </row>
    <row r="330" spans="9:14" s="1" customFormat="1" ht="25.2" customHeight="1" x14ac:dyDescent="0.3">
      <c r="I330" s="1">
        <f>0.14*Table118192023103031323538394041481115182028317212637384651[[#This Row],[النولون]]</f>
        <v>0</v>
      </c>
      <c r="J330" s="1">
        <f>0.03*Table118192023103031323538394041481115182028317212637384651[[#This Row],[النولون]]</f>
        <v>0</v>
      </c>
      <c r="L330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30" s="1">
        <f>N329+Table118192023103031323538394041481115182028317212637384651[[#This Row],[اجمالي الفاتوره]]-Table118192023103031323538394041481115182028317212637384651[[#This Row],[الدفعات]]</f>
        <v>-2277.8499999999985</v>
      </c>
    </row>
    <row r="331" spans="9:14" s="1" customFormat="1" ht="25.2" customHeight="1" x14ac:dyDescent="0.3">
      <c r="I331" s="1">
        <f>0.14*Table118192023103031323538394041481115182028317212637384651[[#This Row],[النولون]]</f>
        <v>0</v>
      </c>
      <c r="J331" s="1">
        <f>0.03*Table118192023103031323538394041481115182028317212637384651[[#This Row],[النولون]]</f>
        <v>0</v>
      </c>
      <c r="L331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31" s="1">
        <f>N330+Table118192023103031323538394041481115182028317212637384651[[#This Row],[اجمالي الفاتوره]]-Table118192023103031323538394041481115182028317212637384651[[#This Row],[الدفعات]]</f>
        <v>-2277.8499999999985</v>
      </c>
    </row>
    <row r="332" spans="9:14" s="1" customFormat="1" ht="25.2" customHeight="1" x14ac:dyDescent="0.3">
      <c r="I332" s="1">
        <f>0.14*Table118192023103031323538394041481115182028317212637384651[[#This Row],[النولون]]</f>
        <v>0</v>
      </c>
      <c r="J332" s="1">
        <f>0.03*Table118192023103031323538394041481115182028317212637384651[[#This Row],[النولون]]</f>
        <v>0</v>
      </c>
      <c r="L332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32" s="1">
        <f>N331+Table118192023103031323538394041481115182028317212637384651[[#This Row],[اجمالي الفاتوره]]-Table118192023103031323538394041481115182028317212637384651[[#This Row],[الدفعات]]</f>
        <v>-2277.8499999999985</v>
      </c>
    </row>
    <row r="333" spans="9:14" s="1" customFormat="1" ht="25.2" customHeight="1" x14ac:dyDescent="0.3">
      <c r="I333" s="1">
        <f>0.14*Table118192023103031323538394041481115182028317212637384651[[#This Row],[النولون]]</f>
        <v>0</v>
      </c>
      <c r="J333" s="1">
        <f>0.03*Table118192023103031323538394041481115182028317212637384651[[#This Row],[النولون]]</f>
        <v>0</v>
      </c>
      <c r="L333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33" s="1">
        <f>N332+Table118192023103031323538394041481115182028317212637384651[[#This Row],[اجمالي الفاتوره]]-Table118192023103031323538394041481115182028317212637384651[[#This Row],[الدفعات]]</f>
        <v>-2277.8499999999985</v>
      </c>
    </row>
    <row r="334" spans="9:14" s="1" customFormat="1" ht="25.2" customHeight="1" x14ac:dyDescent="0.3">
      <c r="I334" s="1">
        <f>0.14*Table118192023103031323538394041481115182028317212637384651[[#This Row],[النولون]]</f>
        <v>0</v>
      </c>
      <c r="J334" s="1">
        <f>0.03*Table118192023103031323538394041481115182028317212637384651[[#This Row],[النولون]]</f>
        <v>0</v>
      </c>
      <c r="L334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34" s="1">
        <f>N333+Table118192023103031323538394041481115182028317212637384651[[#This Row],[اجمالي الفاتوره]]-Table118192023103031323538394041481115182028317212637384651[[#This Row],[الدفعات]]</f>
        <v>-2277.8499999999985</v>
      </c>
    </row>
    <row r="335" spans="9:14" s="1" customFormat="1" ht="25.2" customHeight="1" x14ac:dyDescent="0.3">
      <c r="I335" s="1">
        <f>0.14*Table118192023103031323538394041481115182028317212637384651[[#This Row],[النولون]]</f>
        <v>0</v>
      </c>
      <c r="J335" s="1">
        <f>0.03*Table118192023103031323538394041481115182028317212637384651[[#This Row],[النولون]]</f>
        <v>0</v>
      </c>
      <c r="L335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35" s="1">
        <f>N334+Table118192023103031323538394041481115182028317212637384651[[#This Row],[اجمالي الفاتوره]]-Table118192023103031323538394041481115182028317212637384651[[#This Row],[الدفعات]]</f>
        <v>-2277.8499999999985</v>
      </c>
    </row>
    <row r="336" spans="9:14" s="1" customFormat="1" ht="25.2" customHeight="1" x14ac:dyDescent="0.3">
      <c r="I336" s="1">
        <f>0.14*Table118192023103031323538394041481115182028317212637384651[[#This Row],[النولون]]</f>
        <v>0</v>
      </c>
      <c r="J336" s="1">
        <f>0.03*Table118192023103031323538394041481115182028317212637384651[[#This Row],[النولون]]</f>
        <v>0</v>
      </c>
      <c r="L336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36" s="1">
        <f>N335+Table118192023103031323538394041481115182028317212637384651[[#This Row],[اجمالي الفاتوره]]-Table118192023103031323538394041481115182028317212637384651[[#This Row],[الدفعات]]</f>
        <v>-2277.8499999999985</v>
      </c>
    </row>
    <row r="337" spans="9:14" s="1" customFormat="1" ht="25.2" customHeight="1" x14ac:dyDescent="0.3">
      <c r="I337" s="1">
        <f>0.14*Table118192023103031323538394041481115182028317212637384651[[#This Row],[النولون]]</f>
        <v>0</v>
      </c>
      <c r="J337" s="1">
        <f>0.03*Table118192023103031323538394041481115182028317212637384651[[#This Row],[النولون]]</f>
        <v>0</v>
      </c>
      <c r="L337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37" s="1">
        <f>N336+Table118192023103031323538394041481115182028317212637384651[[#This Row],[اجمالي الفاتوره]]-Table118192023103031323538394041481115182028317212637384651[[#This Row],[الدفعات]]</f>
        <v>-2277.8499999999985</v>
      </c>
    </row>
    <row r="338" spans="9:14" s="1" customFormat="1" ht="25.2" customHeight="1" x14ac:dyDescent="0.3">
      <c r="I338" s="1">
        <f>0.14*Table118192023103031323538394041481115182028317212637384651[[#This Row],[النولون]]</f>
        <v>0</v>
      </c>
      <c r="J338" s="1">
        <f>0.03*Table118192023103031323538394041481115182028317212637384651[[#This Row],[النولون]]</f>
        <v>0</v>
      </c>
      <c r="L338" s="1">
        <f>Table118192023103031323538394041481115182028317212637384651[[#This Row],[النولون]]+Table118192023103031323538394041481115182028317212637384651[[#This Row],[الايصالات]]-Table118192023103031323538394041481115182028317212637384651[[#This Row],[خصم أ ت ص]]+Table118192023103031323538394041481115182028317212637384651[[#This Row],[قيمة مضافة]]</f>
        <v>0</v>
      </c>
      <c r="N338" s="1">
        <f>N337+Table118192023103031323538394041481115182028317212637384651[[#This Row],[اجمالي الفاتوره]]-Table118192023103031323538394041481115182028317212637384651[[#This Row],[الدفعات]]</f>
        <v>-2277.8499999999985</v>
      </c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338"/>
  <sheetViews>
    <sheetView rightToLeft="1" zoomScale="110" zoomScaleNormal="110" workbookViewId="0">
      <selection activeCell="I3" sqref="I3"/>
    </sheetView>
  </sheetViews>
  <sheetFormatPr defaultColWidth="9.109375" defaultRowHeight="24" customHeight="1" x14ac:dyDescent="0.3"/>
  <cols>
    <col min="1" max="1" width="5.44140625" style="1" customWidth="1"/>
    <col min="2" max="2" width="11" style="1" customWidth="1"/>
    <col min="3" max="3" width="14.77734375" style="1" customWidth="1"/>
    <col min="4" max="4" width="11.21875" style="1" customWidth="1"/>
    <col min="5" max="5" width="13.33203125" style="1" customWidth="1"/>
    <col min="6" max="6" width="12.33203125" style="1" customWidth="1"/>
    <col min="7" max="7" width="11.6640625" style="1" customWidth="1"/>
    <col min="8" max="8" width="12.109375" style="1" customWidth="1"/>
    <col min="9" max="9" width="11.6640625" style="1" customWidth="1"/>
    <col min="10" max="10" width="15.21875" style="1" customWidth="1"/>
    <col min="11" max="16384" width="9.109375" style="1"/>
  </cols>
  <sheetData>
    <row r="1" spans="1:10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53</v>
      </c>
      <c r="G1" s="1" t="s">
        <v>6</v>
      </c>
      <c r="H1" s="1" t="s">
        <v>11</v>
      </c>
      <c r="I1" s="1" t="s">
        <v>51</v>
      </c>
      <c r="J1" s="1" t="s">
        <v>13</v>
      </c>
    </row>
    <row r="2" spans="1:10" ht="24" customHeight="1" x14ac:dyDescent="0.3">
      <c r="B2" s="2"/>
      <c r="I2" s="1">
        <v>36350</v>
      </c>
    </row>
    <row r="3" spans="1:10" ht="24" customHeight="1" x14ac:dyDescent="0.3">
      <c r="B3" s="2"/>
      <c r="I3" s="1">
        <f>I2+Table118192023103031323538394042434445[[#This Row],[النولون]]-Table118192023103031323538394042434445[[#This Row],[الدفعات]]</f>
        <v>36350</v>
      </c>
    </row>
    <row r="4" spans="1:10" ht="24" customHeight="1" x14ac:dyDescent="0.3">
      <c r="B4" s="2"/>
      <c r="I4" s="1">
        <f>I3+Table118192023103031323538394042434445[[#This Row],[النولون]]-Table118192023103031323538394042434445[[#This Row],[الدفعات]]</f>
        <v>36350</v>
      </c>
    </row>
    <row r="5" spans="1:10" ht="24" customHeight="1" x14ac:dyDescent="0.3">
      <c r="B5" s="2"/>
      <c r="I5" s="1">
        <f>I4+Table118192023103031323538394042434445[[#This Row],[النولون]]-Table118192023103031323538394042434445[[#This Row],[الدفعات]]</f>
        <v>36350</v>
      </c>
    </row>
    <row r="6" spans="1:10" ht="24" customHeight="1" x14ac:dyDescent="0.3">
      <c r="B6" s="2"/>
      <c r="I6" s="1">
        <f>I5+Table118192023103031323538394042434445[[#This Row],[النولون]]-Table118192023103031323538394042434445[[#This Row],[الدفعات]]</f>
        <v>36350</v>
      </c>
    </row>
    <row r="7" spans="1:10" ht="24" customHeight="1" x14ac:dyDescent="0.3">
      <c r="A7" s="20"/>
      <c r="B7" s="23"/>
      <c r="C7" s="20"/>
      <c r="D7" s="20"/>
      <c r="E7" s="20"/>
      <c r="F7" s="20"/>
      <c r="G7" s="20"/>
      <c r="I7" s="1">
        <f>I6+Table118192023103031323538394042434445[[#This Row],[النولون]]-Table118192023103031323538394042434445[[#This Row],[الدفعات]]</f>
        <v>36350</v>
      </c>
    </row>
    <row r="8" spans="1:10" ht="24" customHeight="1" x14ac:dyDescent="0.3">
      <c r="B8" s="2"/>
      <c r="I8" s="1">
        <f>I7+Table118192023103031323538394042434445[[#This Row],[النولون]]-Table118192023103031323538394042434445[[#This Row],[الدفعات]]</f>
        <v>36350</v>
      </c>
    </row>
    <row r="9" spans="1:10" ht="24" customHeight="1" x14ac:dyDescent="0.3">
      <c r="B9" s="2"/>
      <c r="I9" s="1">
        <f>I8+Table118192023103031323538394042434445[[#This Row],[النولون]]-Table118192023103031323538394042434445[[#This Row],[الدفعات]]</f>
        <v>36350</v>
      </c>
      <c r="J9" s="1">
        <f>SUM(G:G)-SUM(H:H)+I2</f>
        <v>36350</v>
      </c>
    </row>
    <row r="10" spans="1:10" ht="24" customHeight="1" x14ac:dyDescent="0.3">
      <c r="B10" s="2"/>
      <c r="I10" s="1">
        <f>I9+Table118192023103031323538394042434445[[#This Row],[النولون]]-Table118192023103031323538394042434445[[#This Row],[الدفعات]]</f>
        <v>36350</v>
      </c>
    </row>
    <row r="11" spans="1:10" ht="24" customHeight="1" x14ac:dyDescent="0.3">
      <c r="B11" s="2"/>
      <c r="I11" s="1">
        <f>I10+Table118192023103031323538394042434445[[#This Row],[النولون]]-Table118192023103031323538394042434445[[#This Row],[الدفعات]]</f>
        <v>36350</v>
      </c>
    </row>
    <row r="12" spans="1:10" ht="24" customHeight="1" x14ac:dyDescent="0.3">
      <c r="A12" s="34"/>
      <c r="B12" s="35"/>
      <c r="C12" s="34"/>
      <c r="D12" s="34"/>
      <c r="E12" s="34"/>
      <c r="F12" s="34"/>
      <c r="G12" s="34"/>
      <c r="H12" s="34"/>
      <c r="I12" s="34">
        <f>I11+Table118192023103031323538394042434445[[#This Row],[النولون]]-Table118192023103031323538394042434445[[#This Row],[الدفعات]]</f>
        <v>36350</v>
      </c>
    </row>
    <row r="13" spans="1:10" ht="24" customHeight="1" x14ac:dyDescent="0.3">
      <c r="B13" s="2"/>
      <c r="I13" s="1">
        <f>I12+Table118192023103031323538394042434445[[#This Row],[النولون]]-Table118192023103031323538394042434445[[#This Row],[الدفعات]]</f>
        <v>36350</v>
      </c>
    </row>
    <row r="14" spans="1:10" ht="24" customHeight="1" x14ac:dyDescent="0.3">
      <c r="B14" s="2"/>
      <c r="I14" s="1">
        <f>I13+Table118192023103031323538394042434445[[#This Row],[النولون]]-Table118192023103031323538394042434445[[#This Row],[الدفعات]]</f>
        <v>36350</v>
      </c>
    </row>
    <row r="15" spans="1:10" ht="24" customHeight="1" x14ac:dyDescent="0.3">
      <c r="B15" s="2"/>
      <c r="I15" s="1">
        <f>I14+Table118192023103031323538394042434445[[#This Row],[النولون]]-Table118192023103031323538394042434445[[#This Row],[الدفعات]]</f>
        <v>36350</v>
      </c>
    </row>
    <row r="16" spans="1:10" ht="24" customHeight="1" x14ac:dyDescent="0.3">
      <c r="B16" s="2"/>
      <c r="I16" s="1">
        <f>I15+Table118192023103031323538394042434445[[#This Row],[النولون]]-Table118192023103031323538394042434445[[#This Row],[الدفعات]]</f>
        <v>36350</v>
      </c>
    </row>
    <row r="17" spans="2:9" ht="24" customHeight="1" x14ac:dyDescent="0.3">
      <c r="B17" s="2"/>
      <c r="I17" s="1">
        <f>I16+Table118192023103031323538394042434445[[#This Row],[النولون]]-Table118192023103031323538394042434445[[#This Row],[الدفعات]]</f>
        <v>36350</v>
      </c>
    </row>
    <row r="18" spans="2:9" ht="24" customHeight="1" x14ac:dyDescent="0.3">
      <c r="B18" s="2"/>
      <c r="I18" s="1">
        <f>I17+Table118192023103031323538394042434445[[#This Row],[النولون]]-Table118192023103031323538394042434445[[#This Row],[الدفعات]]</f>
        <v>36350</v>
      </c>
    </row>
    <row r="19" spans="2:9" ht="24" customHeight="1" x14ac:dyDescent="0.3">
      <c r="B19" s="2"/>
      <c r="I19" s="1">
        <f>I18+Table118192023103031323538394042434445[[#This Row],[النولون]]-Table118192023103031323538394042434445[[#This Row],[الدفعات]]</f>
        <v>36350</v>
      </c>
    </row>
    <row r="20" spans="2:9" ht="24" customHeight="1" x14ac:dyDescent="0.3">
      <c r="B20" s="2"/>
      <c r="I20" s="1">
        <f>I19+Table118192023103031323538394042434445[[#This Row],[النولون]]-Table118192023103031323538394042434445[[#This Row],[الدفعات]]</f>
        <v>36350</v>
      </c>
    </row>
    <row r="21" spans="2:9" ht="24" customHeight="1" x14ac:dyDescent="0.3">
      <c r="B21" s="2"/>
      <c r="I21" s="1">
        <f>I20+Table118192023103031323538394042434445[[#This Row],[النولون]]-Table118192023103031323538394042434445[[#This Row],[الدفعات]]</f>
        <v>36350</v>
      </c>
    </row>
    <row r="22" spans="2:9" ht="24" customHeight="1" x14ac:dyDescent="0.3">
      <c r="B22" s="2"/>
      <c r="I22" s="1">
        <f>I21+Table118192023103031323538394042434445[[#This Row],[النولون]]-Table118192023103031323538394042434445[[#This Row],[الدفعات]]</f>
        <v>36350</v>
      </c>
    </row>
    <row r="23" spans="2:9" ht="24" customHeight="1" x14ac:dyDescent="0.3">
      <c r="B23" s="2"/>
      <c r="I23" s="1">
        <f>I22+Table118192023103031323538394042434445[[#This Row],[النولون]]-Table118192023103031323538394042434445[[#This Row],[الدفعات]]</f>
        <v>36350</v>
      </c>
    </row>
    <row r="24" spans="2:9" ht="24" customHeight="1" x14ac:dyDescent="0.3">
      <c r="B24" s="2"/>
      <c r="I24" s="1">
        <f>I23+Table118192023103031323538394042434445[[#This Row],[النولون]]-Table118192023103031323538394042434445[[#This Row],[الدفعات]]</f>
        <v>36350</v>
      </c>
    </row>
    <row r="25" spans="2:9" ht="24" customHeight="1" x14ac:dyDescent="0.3">
      <c r="B25" s="2"/>
      <c r="I25" s="1">
        <f>I24+Table118192023103031323538394042434445[[#This Row],[النولون]]-Table118192023103031323538394042434445[[#This Row],[الدفعات]]</f>
        <v>36350</v>
      </c>
    </row>
    <row r="26" spans="2:9" ht="24" customHeight="1" x14ac:dyDescent="0.3">
      <c r="B26" s="2"/>
      <c r="I26" s="1">
        <f>I25+Table118192023103031323538394042434445[[#This Row],[النولون]]-Table118192023103031323538394042434445[[#This Row],[الدفعات]]</f>
        <v>36350</v>
      </c>
    </row>
    <row r="27" spans="2:9" ht="24" customHeight="1" x14ac:dyDescent="0.3">
      <c r="B27" s="2"/>
      <c r="I27" s="1">
        <f>I26+Table118192023103031323538394042434445[[#This Row],[النولون]]-Table118192023103031323538394042434445[[#This Row],[الدفعات]]</f>
        <v>36350</v>
      </c>
    </row>
    <row r="28" spans="2:9" ht="24" customHeight="1" x14ac:dyDescent="0.3">
      <c r="B28" s="2"/>
      <c r="I28" s="1">
        <f>I27+Table118192023103031323538394042434445[[#This Row],[النولون]]-Table118192023103031323538394042434445[[#This Row],[الدفعات]]</f>
        <v>36350</v>
      </c>
    </row>
    <row r="29" spans="2:9" ht="24" customHeight="1" x14ac:dyDescent="0.3">
      <c r="B29" s="2"/>
      <c r="I29" s="1">
        <f>I28+Table118192023103031323538394042434445[[#This Row],[النولون]]-Table118192023103031323538394042434445[[#This Row],[الدفعات]]</f>
        <v>36350</v>
      </c>
    </row>
    <row r="30" spans="2:9" ht="24" customHeight="1" x14ac:dyDescent="0.3">
      <c r="B30" s="2"/>
      <c r="I30" s="1">
        <f>I29+Table118192023103031323538394042434445[[#This Row],[النولون]]-Table118192023103031323538394042434445[[#This Row],[الدفعات]]</f>
        <v>36350</v>
      </c>
    </row>
    <row r="31" spans="2:9" ht="24" customHeight="1" x14ac:dyDescent="0.3">
      <c r="B31" s="2"/>
      <c r="I31" s="1">
        <f>I30+Table118192023103031323538394042434445[[#This Row],[النولون]]-Table118192023103031323538394042434445[[#This Row],[الدفعات]]</f>
        <v>36350</v>
      </c>
    </row>
    <row r="32" spans="2:9" ht="24" customHeight="1" x14ac:dyDescent="0.3">
      <c r="B32" s="2"/>
      <c r="I32" s="1">
        <f>I31+Table118192023103031323538394042434445[[#This Row],[النولون]]-Table118192023103031323538394042434445[[#This Row],[الدفعات]]</f>
        <v>36350</v>
      </c>
    </row>
    <row r="33" spans="2:9" ht="24" customHeight="1" x14ac:dyDescent="0.3">
      <c r="B33" s="2"/>
      <c r="I33" s="1">
        <f>I32+Table118192023103031323538394042434445[[#This Row],[النولون]]-Table118192023103031323538394042434445[[#This Row],[الدفعات]]</f>
        <v>36350</v>
      </c>
    </row>
    <row r="34" spans="2:9" ht="24" customHeight="1" x14ac:dyDescent="0.3">
      <c r="B34" s="2"/>
      <c r="I34" s="1">
        <f>I33+Table118192023103031323538394042434445[[#This Row],[النولون]]-Table118192023103031323538394042434445[[#This Row],[الدفعات]]</f>
        <v>36350</v>
      </c>
    </row>
    <row r="35" spans="2:9" ht="24" customHeight="1" x14ac:dyDescent="0.3">
      <c r="B35" s="2"/>
      <c r="C35" s="2"/>
      <c r="I35" s="1">
        <f>I34+Table118192023103031323538394042434445[[#This Row],[النولون]]-Table118192023103031323538394042434445[[#This Row],[الدفعات]]</f>
        <v>36350</v>
      </c>
    </row>
    <row r="36" spans="2:9" ht="24" customHeight="1" x14ac:dyDescent="0.3">
      <c r="B36" s="2"/>
      <c r="I36" s="1">
        <f>I35+Table118192023103031323538394042434445[[#This Row],[النولون]]-Table118192023103031323538394042434445[[#This Row],[الدفعات]]</f>
        <v>36350</v>
      </c>
    </row>
    <row r="37" spans="2:9" ht="24" customHeight="1" x14ac:dyDescent="0.3">
      <c r="B37" s="2"/>
      <c r="I37" s="1">
        <f>I36+Table118192023103031323538394042434445[[#This Row],[النولون]]-Table118192023103031323538394042434445[[#This Row],[الدفعات]]</f>
        <v>36350</v>
      </c>
    </row>
    <row r="38" spans="2:9" ht="24" customHeight="1" x14ac:dyDescent="0.3">
      <c r="B38" s="2"/>
      <c r="I38" s="1">
        <f>I37+Table118192023103031323538394042434445[[#This Row],[النولون]]-Table118192023103031323538394042434445[[#This Row],[الدفعات]]</f>
        <v>36350</v>
      </c>
    </row>
    <row r="39" spans="2:9" ht="24" customHeight="1" x14ac:dyDescent="0.3">
      <c r="B39" s="2"/>
      <c r="I39" s="1">
        <f>I38+Table118192023103031323538394042434445[[#This Row],[النولون]]-Table118192023103031323538394042434445[[#This Row],[الدفعات]]</f>
        <v>36350</v>
      </c>
    </row>
    <row r="40" spans="2:9" ht="24" customHeight="1" x14ac:dyDescent="0.3">
      <c r="B40" s="2"/>
      <c r="I40" s="1">
        <f>I39+Table118192023103031323538394042434445[[#This Row],[النولون]]-Table118192023103031323538394042434445[[#This Row],[الدفعات]]</f>
        <v>36350</v>
      </c>
    </row>
    <row r="41" spans="2:9" ht="24" customHeight="1" x14ac:dyDescent="0.3">
      <c r="B41" s="2"/>
      <c r="I41" s="1">
        <f>I40+Table118192023103031323538394042434445[[#This Row],[النولون]]-Table118192023103031323538394042434445[[#This Row],[الدفعات]]</f>
        <v>36350</v>
      </c>
    </row>
    <row r="42" spans="2:9" ht="24" customHeight="1" x14ac:dyDescent="0.3">
      <c r="B42" s="2"/>
      <c r="I42" s="1">
        <f>I41+Table118192023103031323538394042434445[[#This Row],[النولون]]-Table118192023103031323538394042434445[[#This Row],[الدفعات]]</f>
        <v>36350</v>
      </c>
    </row>
    <row r="43" spans="2:9" ht="24" customHeight="1" x14ac:dyDescent="0.3">
      <c r="B43" s="2"/>
      <c r="I43" s="1">
        <f>I42+Table118192023103031323538394042434445[[#This Row],[النولون]]-Table118192023103031323538394042434445[[#This Row],[الدفعات]]</f>
        <v>36350</v>
      </c>
    </row>
    <row r="44" spans="2:9" ht="24" customHeight="1" x14ac:dyDescent="0.3">
      <c r="B44" s="2"/>
      <c r="I44" s="1">
        <f>I43+Table118192023103031323538394042434445[[#This Row],[النولون]]-Table118192023103031323538394042434445[[#This Row],[الدفعات]]</f>
        <v>36350</v>
      </c>
    </row>
    <row r="45" spans="2:9" ht="24" customHeight="1" x14ac:dyDescent="0.3">
      <c r="B45" s="2"/>
      <c r="I45" s="1">
        <f>I44+Table118192023103031323538394042434445[[#This Row],[النولون]]-Table118192023103031323538394042434445[[#This Row],[الدفعات]]</f>
        <v>36350</v>
      </c>
    </row>
    <row r="46" spans="2:9" ht="24" customHeight="1" x14ac:dyDescent="0.3">
      <c r="B46" s="2"/>
      <c r="I46" s="1">
        <f>I45+Table118192023103031323538394042434445[[#This Row],[النولون]]-Table118192023103031323538394042434445[[#This Row],[الدفعات]]</f>
        <v>36350</v>
      </c>
    </row>
    <row r="47" spans="2:9" ht="24" customHeight="1" x14ac:dyDescent="0.3">
      <c r="B47" s="2"/>
      <c r="I47" s="1">
        <f>I46+Table118192023103031323538394042434445[[#This Row],[النولون]]-Table118192023103031323538394042434445[[#This Row],[الدفعات]]</f>
        <v>36350</v>
      </c>
    </row>
    <row r="48" spans="2:9" ht="24" customHeight="1" x14ac:dyDescent="0.3">
      <c r="B48" s="2"/>
      <c r="I48" s="1">
        <f>I47+Table118192023103031323538394042434445[[#This Row],[النولون]]-Table118192023103031323538394042434445[[#This Row],[الدفعات]]</f>
        <v>36350</v>
      </c>
    </row>
    <row r="49" spans="2:9" ht="24" customHeight="1" x14ac:dyDescent="0.3">
      <c r="B49" s="2"/>
      <c r="I49" s="1">
        <f>I48+Table118192023103031323538394042434445[[#This Row],[النولون]]-Table118192023103031323538394042434445[[#This Row],[الدفعات]]</f>
        <v>36350</v>
      </c>
    </row>
    <row r="50" spans="2:9" ht="24" customHeight="1" x14ac:dyDescent="0.3">
      <c r="B50" s="2"/>
      <c r="I50" s="1">
        <f>I49+Table118192023103031323538394042434445[[#This Row],[النولون]]-Table118192023103031323538394042434445[[#This Row],[الدفعات]]</f>
        <v>36350</v>
      </c>
    </row>
    <row r="51" spans="2:9" ht="24" customHeight="1" x14ac:dyDescent="0.3">
      <c r="B51" s="2"/>
      <c r="I51" s="1">
        <f>I50+Table118192023103031323538394042434445[[#This Row],[النولون]]-Table118192023103031323538394042434445[[#This Row],[الدفعات]]</f>
        <v>36350</v>
      </c>
    </row>
    <row r="52" spans="2:9" ht="24" customHeight="1" x14ac:dyDescent="0.3">
      <c r="B52" s="2"/>
      <c r="I52" s="1">
        <f>I51+Table118192023103031323538394042434445[[#This Row],[النولون]]-Table118192023103031323538394042434445[[#This Row],[الدفعات]]</f>
        <v>36350</v>
      </c>
    </row>
    <row r="53" spans="2:9" ht="24" customHeight="1" x14ac:dyDescent="0.3">
      <c r="B53" s="2"/>
      <c r="I53" s="1">
        <f>I52+Table118192023103031323538394042434445[[#This Row],[النولون]]-Table118192023103031323538394042434445[[#This Row],[الدفعات]]</f>
        <v>36350</v>
      </c>
    </row>
    <row r="54" spans="2:9" ht="24" customHeight="1" x14ac:dyDescent="0.3">
      <c r="B54" s="2"/>
      <c r="I54" s="1">
        <f>I53+Table118192023103031323538394042434445[[#This Row],[النولون]]-Table118192023103031323538394042434445[[#This Row],[الدفعات]]</f>
        <v>36350</v>
      </c>
    </row>
    <row r="55" spans="2:9" ht="24" customHeight="1" x14ac:dyDescent="0.3">
      <c r="I55" s="1">
        <f>I54+Table118192023103031323538394042434445[[#This Row],[النولون]]-Table118192023103031323538394042434445[[#This Row],[الدفعات]]</f>
        <v>36350</v>
      </c>
    </row>
    <row r="56" spans="2:9" ht="24" customHeight="1" x14ac:dyDescent="0.3">
      <c r="B56" s="2"/>
      <c r="I56" s="1">
        <f>I55+Table118192023103031323538394042434445[[#This Row],[النولون]]-Table118192023103031323538394042434445[[#This Row],[الدفعات]]</f>
        <v>36350</v>
      </c>
    </row>
    <row r="57" spans="2:9" ht="24" customHeight="1" x14ac:dyDescent="0.3">
      <c r="B57" s="2"/>
      <c r="I57" s="1">
        <f>I56+Table118192023103031323538394042434445[[#This Row],[النولون]]-Table118192023103031323538394042434445[[#This Row],[الدفعات]]</f>
        <v>36350</v>
      </c>
    </row>
    <row r="58" spans="2:9" ht="24" customHeight="1" x14ac:dyDescent="0.3">
      <c r="B58" s="2"/>
      <c r="I58" s="1">
        <f>I57+Table118192023103031323538394042434445[[#This Row],[النولون]]-Table118192023103031323538394042434445[[#This Row],[الدفعات]]</f>
        <v>36350</v>
      </c>
    </row>
    <row r="59" spans="2:9" ht="24" customHeight="1" x14ac:dyDescent="0.3">
      <c r="B59" s="2"/>
      <c r="I59" s="1">
        <f>I58+Table118192023103031323538394042434445[[#This Row],[النولون]]-Table118192023103031323538394042434445[[#This Row],[الدفعات]]</f>
        <v>36350</v>
      </c>
    </row>
    <row r="60" spans="2:9" ht="24" customHeight="1" x14ac:dyDescent="0.3">
      <c r="B60" s="2"/>
      <c r="I60" s="1">
        <f>I59+Table118192023103031323538394042434445[[#This Row],[النولون]]-Table118192023103031323538394042434445[[#This Row],[الدفعات]]</f>
        <v>36350</v>
      </c>
    </row>
    <row r="61" spans="2:9" ht="24" customHeight="1" x14ac:dyDescent="0.3">
      <c r="B61" s="2"/>
      <c r="I61" s="1">
        <f>I60+Table118192023103031323538394042434445[[#This Row],[النولون]]-Table118192023103031323538394042434445[[#This Row],[الدفعات]]</f>
        <v>36350</v>
      </c>
    </row>
    <row r="62" spans="2:9" ht="24" customHeight="1" x14ac:dyDescent="0.3">
      <c r="B62" s="2"/>
      <c r="I62" s="1">
        <f>I61+Table118192023103031323538394042434445[[#This Row],[النولون]]-Table118192023103031323538394042434445[[#This Row],[الدفعات]]</f>
        <v>36350</v>
      </c>
    </row>
    <row r="63" spans="2:9" ht="24" customHeight="1" x14ac:dyDescent="0.3">
      <c r="B63" s="2"/>
      <c r="I63" s="1">
        <f>I62+Table118192023103031323538394042434445[[#This Row],[النولون]]-Table118192023103031323538394042434445[[#This Row],[الدفعات]]</f>
        <v>36350</v>
      </c>
    </row>
    <row r="64" spans="2:9" ht="24" customHeight="1" x14ac:dyDescent="0.3">
      <c r="B64" s="2"/>
      <c r="I64" s="1">
        <f>I63+Table118192023103031323538394042434445[[#This Row],[النولون]]-Table118192023103031323538394042434445[[#This Row],[الدفعات]]</f>
        <v>36350</v>
      </c>
    </row>
    <row r="65" spans="2:9" ht="24" customHeight="1" x14ac:dyDescent="0.3">
      <c r="B65" s="2"/>
      <c r="I65" s="1">
        <f>I64+Table118192023103031323538394042434445[[#This Row],[النولون]]-Table118192023103031323538394042434445[[#This Row],[الدفعات]]</f>
        <v>36350</v>
      </c>
    </row>
    <row r="66" spans="2:9" ht="24" customHeight="1" x14ac:dyDescent="0.3">
      <c r="B66" s="2"/>
      <c r="I66" s="1">
        <f>I65+Table118192023103031323538394042434445[[#This Row],[النولون]]-Table118192023103031323538394042434445[[#This Row],[الدفعات]]</f>
        <v>36350</v>
      </c>
    </row>
    <row r="67" spans="2:9" ht="24" customHeight="1" x14ac:dyDescent="0.3">
      <c r="B67" s="2"/>
      <c r="I67" s="1">
        <f>I66+Table118192023103031323538394042434445[[#This Row],[النولون]]-Table118192023103031323538394042434445[[#This Row],[الدفعات]]</f>
        <v>36350</v>
      </c>
    </row>
    <row r="68" spans="2:9" ht="24" customHeight="1" x14ac:dyDescent="0.3">
      <c r="B68" s="2"/>
      <c r="I68" s="1">
        <f>I67+Table118192023103031323538394042434445[[#This Row],[النولون]]-Table118192023103031323538394042434445[[#This Row],[الدفعات]]</f>
        <v>36350</v>
      </c>
    </row>
    <row r="69" spans="2:9" ht="24" customHeight="1" x14ac:dyDescent="0.3">
      <c r="B69" s="2"/>
      <c r="I69" s="1">
        <f>I68+Table118192023103031323538394042434445[[#This Row],[النولون]]-Table118192023103031323538394042434445[[#This Row],[الدفعات]]</f>
        <v>36350</v>
      </c>
    </row>
    <row r="70" spans="2:9" ht="24" customHeight="1" x14ac:dyDescent="0.3">
      <c r="B70" s="2"/>
      <c r="I70" s="1">
        <f>I69+Table118192023103031323538394042434445[[#This Row],[النولون]]-Table118192023103031323538394042434445[[#This Row],[الدفعات]]</f>
        <v>36350</v>
      </c>
    </row>
    <row r="71" spans="2:9" ht="24" customHeight="1" x14ac:dyDescent="0.3">
      <c r="B71" s="2"/>
      <c r="I71" s="1">
        <f>I70+Table118192023103031323538394042434445[[#This Row],[النولون]]-Table118192023103031323538394042434445[[#This Row],[الدفعات]]</f>
        <v>36350</v>
      </c>
    </row>
    <row r="72" spans="2:9" ht="24" customHeight="1" x14ac:dyDescent="0.3">
      <c r="B72" s="2"/>
      <c r="I72" s="1">
        <f>I71+Table118192023103031323538394042434445[[#This Row],[النولون]]-Table118192023103031323538394042434445[[#This Row],[الدفعات]]</f>
        <v>36350</v>
      </c>
    </row>
    <row r="73" spans="2:9" ht="24" customHeight="1" x14ac:dyDescent="0.3">
      <c r="B73" s="2"/>
      <c r="I73" s="1">
        <f>I72+Table118192023103031323538394042434445[[#This Row],[النولون]]-Table118192023103031323538394042434445[[#This Row],[الدفعات]]</f>
        <v>36350</v>
      </c>
    </row>
    <row r="74" spans="2:9" ht="24" customHeight="1" x14ac:dyDescent="0.3">
      <c r="B74" s="2"/>
      <c r="I74" s="1">
        <f>I73+Table118192023103031323538394042434445[[#This Row],[النولون]]-Table118192023103031323538394042434445[[#This Row],[الدفعات]]</f>
        <v>36350</v>
      </c>
    </row>
    <row r="75" spans="2:9" ht="24" customHeight="1" x14ac:dyDescent="0.3">
      <c r="B75" s="2"/>
      <c r="I75" s="1">
        <f>I74+Table118192023103031323538394042434445[[#This Row],[النولون]]-Table118192023103031323538394042434445[[#This Row],[الدفعات]]</f>
        <v>36350</v>
      </c>
    </row>
    <row r="76" spans="2:9" ht="24" customHeight="1" x14ac:dyDescent="0.3">
      <c r="B76" s="2"/>
      <c r="I76" s="1">
        <f>I75+Table118192023103031323538394042434445[[#This Row],[النولون]]-Table118192023103031323538394042434445[[#This Row],[الدفعات]]</f>
        <v>36350</v>
      </c>
    </row>
    <row r="77" spans="2:9" ht="24" customHeight="1" x14ac:dyDescent="0.3">
      <c r="B77" s="2"/>
      <c r="I77" s="1">
        <f>I76+Table118192023103031323538394042434445[[#This Row],[النولون]]-Table118192023103031323538394042434445[[#This Row],[الدفعات]]</f>
        <v>36350</v>
      </c>
    </row>
    <row r="78" spans="2:9" ht="24" customHeight="1" x14ac:dyDescent="0.3">
      <c r="B78" s="2"/>
      <c r="I78" s="1">
        <f>I77+Table118192023103031323538394042434445[[#This Row],[النولون]]-Table118192023103031323538394042434445[[#This Row],[الدفعات]]</f>
        <v>36350</v>
      </c>
    </row>
    <row r="79" spans="2:9" ht="24" customHeight="1" x14ac:dyDescent="0.3">
      <c r="B79" s="2"/>
      <c r="I79" s="1">
        <f>I78+Table118192023103031323538394042434445[[#This Row],[النولون]]-Table118192023103031323538394042434445[[#This Row],[الدفعات]]</f>
        <v>36350</v>
      </c>
    </row>
    <row r="80" spans="2:9" ht="24" customHeight="1" x14ac:dyDescent="0.3">
      <c r="B80" s="2"/>
      <c r="I80" s="1">
        <f>I79+Table118192023103031323538394042434445[[#This Row],[النولون]]-Table118192023103031323538394042434445[[#This Row],[الدفعات]]</f>
        <v>36350</v>
      </c>
    </row>
    <row r="81" spans="2:9" ht="24" customHeight="1" x14ac:dyDescent="0.3">
      <c r="B81" s="2"/>
      <c r="I81" s="1">
        <f>I80+Table118192023103031323538394042434445[[#This Row],[النولون]]-Table118192023103031323538394042434445[[#This Row],[الدفعات]]</f>
        <v>36350</v>
      </c>
    </row>
    <row r="82" spans="2:9" ht="24" customHeight="1" x14ac:dyDescent="0.3">
      <c r="B82" s="2"/>
      <c r="I82" s="1">
        <f>I81+Table118192023103031323538394042434445[[#This Row],[النولون]]-Table118192023103031323538394042434445[[#This Row],[الدفعات]]</f>
        <v>36350</v>
      </c>
    </row>
    <row r="83" spans="2:9" ht="24" customHeight="1" x14ac:dyDescent="0.3">
      <c r="B83" s="2"/>
      <c r="I83" s="1">
        <f>I82+Table118192023103031323538394042434445[[#This Row],[النولون]]-Table118192023103031323538394042434445[[#This Row],[الدفعات]]</f>
        <v>36350</v>
      </c>
    </row>
    <row r="84" spans="2:9" ht="24" customHeight="1" x14ac:dyDescent="0.3">
      <c r="B84" s="2"/>
      <c r="I84" s="1">
        <f>I83+Table118192023103031323538394042434445[[#This Row],[النولون]]-Table118192023103031323538394042434445[[#This Row],[الدفعات]]</f>
        <v>36350</v>
      </c>
    </row>
    <row r="85" spans="2:9" ht="24" customHeight="1" x14ac:dyDescent="0.3">
      <c r="B85" s="2"/>
      <c r="I85" s="1">
        <f>I84+Table118192023103031323538394042434445[[#This Row],[النولون]]-Table118192023103031323538394042434445[[#This Row],[الدفعات]]</f>
        <v>36350</v>
      </c>
    </row>
    <row r="86" spans="2:9" ht="24" customHeight="1" x14ac:dyDescent="0.3">
      <c r="B86" s="2"/>
      <c r="I86" s="1">
        <f>I85+Table118192023103031323538394042434445[[#This Row],[النولون]]-Table118192023103031323538394042434445[[#This Row],[الدفعات]]</f>
        <v>36350</v>
      </c>
    </row>
    <row r="87" spans="2:9" ht="24" customHeight="1" x14ac:dyDescent="0.3">
      <c r="B87" s="2"/>
      <c r="I87" s="1">
        <f>I86+Table118192023103031323538394042434445[[#This Row],[النولون]]-Table118192023103031323538394042434445[[#This Row],[الدفعات]]</f>
        <v>36350</v>
      </c>
    </row>
    <row r="88" spans="2:9" ht="24" customHeight="1" x14ac:dyDescent="0.3">
      <c r="B88" s="2"/>
      <c r="I88" s="1">
        <f>I87+Table118192023103031323538394042434445[[#This Row],[النولون]]-Table118192023103031323538394042434445[[#This Row],[الدفعات]]</f>
        <v>36350</v>
      </c>
    </row>
    <row r="89" spans="2:9" ht="24" customHeight="1" x14ac:dyDescent="0.3">
      <c r="B89" s="2"/>
      <c r="I89" s="1">
        <f>I88+Table118192023103031323538394042434445[[#This Row],[النولون]]-Table118192023103031323538394042434445[[#This Row],[الدفعات]]</f>
        <v>36350</v>
      </c>
    </row>
    <row r="90" spans="2:9" ht="24" customHeight="1" x14ac:dyDescent="0.3">
      <c r="B90" s="2"/>
      <c r="I90" s="1">
        <f>I89+Table118192023103031323538394042434445[[#This Row],[النولون]]-Table118192023103031323538394042434445[[#This Row],[الدفعات]]</f>
        <v>36350</v>
      </c>
    </row>
    <row r="91" spans="2:9" ht="24" customHeight="1" x14ac:dyDescent="0.3">
      <c r="B91" s="2"/>
      <c r="I91" s="1">
        <f>I90+Table118192023103031323538394042434445[[#This Row],[النولون]]-Table118192023103031323538394042434445[[#This Row],[الدفعات]]</f>
        <v>36350</v>
      </c>
    </row>
    <row r="92" spans="2:9" ht="24" customHeight="1" x14ac:dyDescent="0.3">
      <c r="B92" s="2"/>
      <c r="I92" s="1">
        <f>I91+Table118192023103031323538394042434445[[#This Row],[النولون]]-Table118192023103031323538394042434445[[#This Row],[الدفعات]]</f>
        <v>36350</v>
      </c>
    </row>
    <row r="93" spans="2:9" ht="24" customHeight="1" x14ac:dyDescent="0.3">
      <c r="B93" s="2"/>
      <c r="I93" s="1">
        <f>I92-Table118192023103031323538394042434445[[#This Row],[الدفعات]]</f>
        <v>36350</v>
      </c>
    </row>
    <row r="94" spans="2:9" ht="24" customHeight="1" x14ac:dyDescent="0.3">
      <c r="I94" s="1">
        <f>I93-Table118192023103031323538394042434445[[#This Row],[الدفعات]]</f>
        <v>36350</v>
      </c>
    </row>
    <row r="95" spans="2:9" ht="24" customHeight="1" x14ac:dyDescent="0.3">
      <c r="I95" s="1">
        <f>I94-Table118192023103031323538394042434445[[#This Row],[الدفعات]]</f>
        <v>36350</v>
      </c>
    </row>
    <row r="96" spans="2:9" ht="24" customHeight="1" x14ac:dyDescent="0.3">
      <c r="I96" s="1">
        <f>I95-Table118192023103031323538394042434445[[#This Row],[الدفعات]]</f>
        <v>36350</v>
      </c>
    </row>
    <row r="97" spans="9:9" ht="24" customHeight="1" x14ac:dyDescent="0.3">
      <c r="I97" s="1">
        <f>I96-Table118192023103031323538394042434445[[#This Row],[الدفعات]]</f>
        <v>36350</v>
      </c>
    </row>
    <row r="98" spans="9:9" ht="24" customHeight="1" x14ac:dyDescent="0.3">
      <c r="I98" s="1">
        <f>I97-Table118192023103031323538394042434445[[#This Row],[الدفعات]]</f>
        <v>36350</v>
      </c>
    </row>
    <row r="99" spans="9:9" ht="24" customHeight="1" x14ac:dyDescent="0.3">
      <c r="I99" s="1">
        <f>I98-Table118192023103031323538394042434445[[#This Row],[الدفعات]]</f>
        <v>36350</v>
      </c>
    </row>
    <row r="100" spans="9:9" ht="24" customHeight="1" x14ac:dyDescent="0.3">
      <c r="I100" s="1">
        <f>I99-Table118192023103031323538394042434445[[#This Row],[الدفعات]]</f>
        <v>36350</v>
      </c>
    </row>
    <row r="101" spans="9:9" ht="24" customHeight="1" x14ac:dyDescent="0.3">
      <c r="I101" s="1">
        <f>I100-Table118192023103031323538394042434445[[#This Row],[الدفعات]]</f>
        <v>36350</v>
      </c>
    </row>
    <row r="102" spans="9:9" ht="24" customHeight="1" x14ac:dyDescent="0.3">
      <c r="I102" s="1">
        <f>I101-Table118192023103031323538394042434445[[#This Row],[الدفعات]]</f>
        <v>36350</v>
      </c>
    </row>
    <row r="103" spans="9:9" ht="24" customHeight="1" x14ac:dyDescent="0.3">
      <c r="I103" s="1">
        <f>I102-Table118192023103031323538394042434445[[#This Row],[الدفعات]]</f>
        <v>36350</v>
      </c>
    </row>
    <row r="104" spans="9:9" ht="24" customHeight="1" x14ac:dyDescent="0.3">
      <c r="I104" s="1">
        <f>I103-Table118192023103031323538394042434445[[#This Row],[الدفعات]]</f>
        <v>36350</v>
      </c>
    </row>
    <row r="105" spans="9:9" ht="24" customHeight="1" x14ac:dyDescent="0.3">
      <c r="I105" s="1">
        <f>I104-Table118192023103031323538394042434445[[#This Row],[الدفعات]]</f>
        <v>36350</v>
      </c>
    </row>
    <row r="106" spans="9:9" ht="24" customHeight="1" x14ac:dyDescent="0.3">
      <c r="I106" s="1">
        <f>I105-Table118192023103031323538394042434445[[#This Row],[الدفعات]]</f>
        <v>36350</v>
      </c>
    </row>
    <row r="107" spans="9:9" ht="24" customHeight="1" x14ac:dyDescent="0.3">
      <c r="I107" s="1">
        <f>I106-Table118192023103031323538394042434445[[#This Row],[الدفعات]]</f>
        <v>36350</v>
      </c>
    </row>
    <row r="108" spans="9:9" ht="24" customHeight="1" x14ac:dyDescent="0.3">
      <c r="I108" s="1">
        <f>I107-Table118192023103031323538394042434445[[#This Row],[الدفعات]]</f>
        <v>36350</v>
      </c>
    </row>
    <row r="109" spans="9:9" ht="24" customHeight="1" x14ac:dyDescent="0.3">
      <c r="I109" s="1">
        <f>I108-Table118192023103031323538394042434445[[#This Row],[الدفعات]]</f>
        <v>36350</v>
      </c>
    </row>
    <row r="110" spans="9:9" ht="24" customHeight="1" x14ac:dyDescent="0.3">
      <c r="I110" s="1">
        <f>I109-Table118192023103031323538394042434445[[#This Row],[الدفعات]]</f>
        <v>36350</v>
      </c>
    </row>
    <row r="111" spans="9:9" ht="24" customHeight="1" x14ac:dyDescent="0.3">
      <c r="I111" s="1">
        <f>I110-Table118192023103031323538394042434445[[#This Row],[الدفعات]]</f>
        <v>36350</v>
      </c>
    </row>
    <row r="112" spans="9:9" ht="24" customHeight="1" x14ac:dyDescent="0.3">
      <c r="I112" s="1">
        <f>I111-Table118192023103031323538394042434445[[#This Row],[الدفعات]]</f>
        <v>36350</v>
      </c>
    </row>
    <row r="113" spans="9:9" ht="24" customHeight="1" x14ac:dyDescent="0.3">
      <c r="I113" s="1">
        <f>I112-Table118192023103031323538394042434445[[#This Row],[الدفعات]]</f>
        <v>36350</v>
      </c>
    </row>
    <row r="114" spans="9:9" ht="24" customHeight="1" x14ac:dyDescent="0.3">
      <c r="I114" s="1">
        <f>I113-Table118192023103031323538394042434445[[#This Row],[الدفعات]]</f>
        <v>36350</v>
      </c>
    </row>
    <row r="115" spans="9:9" ht="24" customHeight="1" x14ac:dyDescent="0.3">
      <c r="I115" s="1">
        <f>I114-Table118192023103031323538394042434445[[#This Row],[الدفعات]]</f>
        <v>36350</v>
      </c>
    </row>
    <row r="116" spans="9:9" ht="24" customHeight="1" x14ac:dyDescent="0.3">
      <c r="I116" s="1">
        <f>I115-Table118192023103031323538394042434445[[#This Row],[الدفعات]]</f>
        <v>36350</v>
      </c>
    </row>
    <row r="117" spans="9:9" ht="24" customHeight="1" x14ac:dyDescent="0.3">
      <c r="I117" s="1">
        <f>I116-Table118192023103031323538394042434445[[#This Row],[الدفعات]]</f>
        <v>36350</v>
      </c>
    </row>
    <row r="118" spans="9:9" ht="24" customHeight="1" x14ac:dyDescent="0.3">
      <c r="I118" s="1">
        <f>I117-Table118192023103031323538394042434445[[#This Row],[الدفعات]]</f>
        <v>36350</v>
      </c>
    </row>
    <row r="119" spans="9:9" ht="24" customHeight="1" x14ac:dyDescent="0.3">
      <c r="I119" s="1">
        <f>I118-Table118192023103031323538394042434445[[#This Row],[الدفعات]]</f>
        <v>36350</v>
      </c>
    </row>
    <row r="120" spans="9:9" ht="24" customHeight="1" x14ac:dyDescent="0.3">
      <c r="I120" s="1">
        <f>I119-Table118192023103031323538394042434445[[#This Row],[الدفعات]]</f>
        <v>36350</v>
      </c>
    </row>
    <row r="121" spans="9:9" ht="24" customHeight="1" x14ac:dyDescent="0.3">
      <c r="I121" s="1">
        <f>I120-Table118192023103031323538394042434445[[#This Row],[الدفعات]]</f>
        <v>36350</v>
      </c>
    </row>
    <row r="122" spans="9:9" ht="24" customHeight="1" x14ac:dyDescent="0.3">
      <c r="I122" s="1">
        <f>I121-Table118192023103031323538394042434445[[#This Row],[الدفعات]]</f>
        <v>36350</v>
      </c>
    </row>
    <row r="123" spans="9:9" ht="24" customHeight="1" x14ac:dyDescent="0.3">
      <c r="I123" s="1">
        <f>I122-Table118192023103031323538394042434445[[#This Row],[الدفعات]]</f>
        <v>36350</v>
      </c>
    </row>
    <row r="124" spans="9:9" ht="24" customHeight="1" x14ac:dyDescent="0.3">
      <c r="I124" s="1">
        <f>I123-Table118192023103031323538394042434445[[#This Row],[الدفعات]]</f>
        <v>36350</v>
      </c>
    </row>
    <row r="125" spans="9:9" ht="24" customHeight="1" x14ac:dyDescent="0.3">
      <c r="I125" s="1">
        <f>I124-Table118192023103031323538394042434445[[#This Row],[الدفعات]]</f>
        <v>36350</v>
      </c>
    </row>
    <row r="126" spans="9:9" ht="24" customHeight="1" x14ac:dyDescent="0.3">
      <c r="I126" s="1">
        <f>I125-Table118192023103031323538394042434445[[#This Row],[الدفعات]]</f>
        <v>36350</v>
      </c>
    </row>
    <row r="127" spans="9:9" ht="24" customHeight="1" x14ac:dyDescent="0.3">
      <c r="I127" s="1">
        <f>I126-Table118192023103031323538394042434445[[#This Row],[الدفعات]]</f>
        <v>36350</v>
      </c>
    </row>
    <row r="128" spans="9:9" ht="24" customHeight="1" x14ac:dyDescent="0.3">
      <c r="I128" s="1">
        <f>I127-Table118192023103031323538394042434445[[#This Row],[الدفعات]]</f>
        <v>36350</v>
      </c>
    </row>
    <row r="129" spans="9:9" ht="24" customHeight="1" x14ac:dyDescent="0.3">
      <c r="I129" s="1">
        <f>I128-Table118192023103031323538394042434445[[#This Row],[الدفعات]]</f>
        <v>36350</v>
      </c>
    </row>
    <row r="130" spans="9:9" ht="24" customHeight="1" x14ac:dyDescent="0.3">
      <c r="I130" s="1">
        <f>I129-Table118192023103031323538394042434445[[#This Row],[الدفعات]]</f>
        <v>36350</v>
      </c>
    </row>
    <row r="131" spans="9:9" ht="24" customHeight="1" x14ac:dyDescent="0.3">
      <c r="I131" s="1">
        <f>I130-Table118192023103031323538394042434445[[#This Row],[الدفعات]]</f>
        <v>36350</v>
      </c>
    </row>
    <row r="132" spans="9:9" ht="24" customHeight="1" x14ac:dyDescent="0.3">
      <c r="I132" s="1">
        <f>I131-Table118192023103031323538394042434445[[#This Row],[الدفعات]]</f>
        <v>36350</v>
      </c>
    </row>
    <row r="133" spans="9:9" ht="24" customHeight="1" x14ac:dyDescent="0.3">
      <c r="I133" s="1">
        <f>I132-Table118192023103031323538394042434445[[#This Row],[الدفعات]]</f>
        <v>36350</v>
      </c>
    </row>
    <row r="134" spans="9:9" ht="24" customHeight="1" x14ac:dyDescent="0.3">
      <c r="I134" s="1">
        <f>I133-Table118192023103031323538394042434445[[#This Row],[الدفعات]]</f>
        <v>36350</v>
      </c>
    </row>
    <row r="135" spans="9:9" ht="24" customHeight="1" x14ac:dyDescent="0.3">
      <c r="I135" s="1">
        <f>I134-Table118192023103031323538394042434445[[#This Row],[الدفعات]]</f>
        <v>36350</v>
      </c>
    </row>
    <row r="136" spans="9:9" ht="24" customHeight="1" x14ac:dyDescent="0.3">
      <c r="I136" s="1">
        <f>I135-Table118192023103031323538394042434445[[#This Row],[الدفعات]]</f>
        <v>36350</v>
      </c>
    </row>
    <row r="137" spans="9:9" ht="24" customHeight="1" x14ac:dyDescent="0.3">
      <c r="I137" s="1">
        <f>I136-Table118192023103031323538394042434445[[#This Row],[الدفعات]]</f>
        <v>36350</v>
      </c>
    </row>
    <row r="138" spans="9:9" ht="24" customHeight="1" x14ac:dyDescent="0.3">
      <c r="I138" s="1">
        <f>I137-Table118192023103031323538394042434445[[#This Row],[الدفعات]]</f>
        <v>36350</v>
      </c>
    </row>
    <row r="139" spans="9:9" ht="24" customHeight="1" x14ac:dyDescent="0.3">
      <c r="I139" s="1">
        <f>I138-Table118192023103031323538394042434445[[#This Row],[الدفعات]]</f>
        <v>36350</v>
      </c>
    </row>
    <row r="140" spans="9:9" ht="24" customHeight="1" x14ac:dyDescent="0.3">
      <c r="I140" s="1">
        <f>I139-Table118192023103031323538394042434445[[#This Row],[الدفعات]]</f>
        <v>36350</v>
      </c>
    </row>
    <row r="141" spans="9:9" ht="24" customHeight="1" x14ac:dyDescent="0.3">
      <c r="I141" s="1">
        <f>I140-Table118192023103031323538394042434445[[#This Row],[الدفعات]]</f>
        <v>36350</v>
      </c>
    </row>
    <row r="142" spans="9:9" ht="24" customHeight="1" x14ac:dyDescent="0.3">
      <c r="I142" s="1">
        <f>I141-Table118192023103031323538394042434445[[#This Row],[الدفعات]]</f>
        <v>36350</v>
      </c>
    </row>
    <row r="143" spans="9:9" ht="24" customHeight="1" x14ac:dyDescent="0.3">
      <c r="I143" s="1">
        <f>I142-Table118192023103031323538394042434445[[#This Row],[الدفعات]]</f>
        <v>36350</v>
      </c>
    </row>
    <row r="144" spans="9:9" ht="24" customHeight="1" x14ac:dyDescent="0.3">
      <c r="I144" s="1">
        <f>I143-Table118192023103031323538394042434445[[#This Row],[الدفعات]]</f>
        <v>36350</v>
      </c>
    </row>
    <row r="145" spans="9:9" ht="24" customHeight="1" x14ac:dyDescent="0.3">
      <c r="I145" s="1">
        <f>I144-Table118192023103031323538394042434445[[#This Row],[الدفعات]]</f>
        <v>36350</v>
      </c>
    </row>
    <row r="146" spans="9:9" ht="24" customHeight="1" x14ac:dyDescent="0.3">
      <c r="I146" s="1">
        <f>I145-Table118192023103031323538394042434445[[#This Row],[الدفعات]]</f>
        <v>36350</v>
      </c>
    </row>
    <row r="147" spans="9:9" ht="24" customHeight="1" x14ac:dyDescent="0.3">
      <c r="I147" s="1">
        <f>I146-Table118192023103031323538394042434445[[#This Row],[الدفعات]]</f>
        <v>36350</v>
      </c>
    </row>
    <row r="148" spans="9:9" ht="24" customHeight="1" x14ac:dyDescent="0.3">
      <c r="I148" s="1">
        <f>I147-Table118192023103031323538394042434445[[#This Row],[الدفعات]]</f>
        <v>36350</v>
      </c>
    </row>
    <row r="149" spans="9:9" ht="24" customHeight="1" x14ac:dyDescent="0.3">
      <c r="I149" s="1">
        <f>I148-Table118192023103031323538394042434445[[#This Row],[الدفعات]]</f>
        <v>36350</v>
      </c>
    </row>
    <row r="150" spans="9:9" ht="24" customHeight="1" x14ac:dyDescent="0.3">
      <c r="I150" s="1">
        <f>I149-Table118192023103031323538394042434445[[#This Row],[الدفعات]]</f>
        <v>36350</v>
      </c>
    </row>
    <row r="151" spans="9:9" ht="24" customHeight="1" x14ac:dyDescent="0.3">
      <c r="I151" s="1">
        <f>I150-Table118192023103031323538394042434445[[#This Row],[الدفعات]]</f>
        <v>36350</v>
      </c>
    </row>
    <row r="152" spans="9:9" ht="24" customHeight="1" x14ac:dyDescent="0.3">
      <c r="I152" s="1">
        <f>I151-Table118192023103031323538394042434445[[#This Row],[الدفعات]]</f>
        <v>36350</v>
      </c>
    </row>
    <row r="153" spans="9:9" ht="24" customHeight="1" x14ac:dyDescent="0.3">
      <c r="I153" s="1">
        <f>I152-Table118192023103031323538394042434445[[#This Row],[الدفعات]]</f>
        <v>36350</v>
      </c>
    </row>
    <row r="154" spans="9:9" ht="24" customHeight="1" x14ac:dyDescent="0.3">
      <c r="I154" s="1">
        <f>I153-Table118192023103031323538394042434445[[#This Row],[الدفعات]]</f>
        <v>36350</v>
      </c>
    </row>
    <row r="155" spans="9:9" ht="24" customHeight="1" x14ac:dyDescent="0.3">
      <c r="I155" s="1">
        <f>I154-Table118192023103031323538394042434445[[#This Row],[الدفعات]]</f>
        <v>36350</v>
      </c>
    </row>
    <row r="156" spans="9:9" ht="24" customHeight="1" x14ac:dyDescent="0.3">
      <c r="I156" s="1">
        <f>I155-Table118192023103031323538394042434445[[#This Row],[الدفعات]]</f>
        <v>36350</v>
      </c>
    </row>
    <row r="157" spans="9:9" ht="24" customHeight="1" x14ac:dyDescent="0.3">
      <c r="I157" s="1">
        <f>I156-Table118192023103031323538394042434445[[#This Row],[الدفعات]]</f>
        <v>36350</v>
      </c>
    </row>
    <row r="158" spans="9:9" ht="24" customHeight="1" x14ac:dyDescent="0.3">
      <c r="I158" s="1">
        <f>I157-Table118192023103031323538394042434445[[#This Row],[الدفعات]]</f>
        <v>36350</v>
      </c>
    </row>
    <row r="159" spans="9:9" ht="24" customHeight="1" x14ac:dyDescent="0.3">
      <c r="I159" s="1">
        <f>I158-Table118192023103031323538394042434445[[#This Row],[الدفعات]]</f>
        <v>36350</v>
      </c>
    </row>
    <row r="160" spans="9:9" ht="24" customHeight="1" x14ac:dyDescent="0.3">
      <c r="I160" s="1">
        <f>I159-Table118192023103031323538394042434445[[#This Row],[الدفعات]]</f>
        <v>36350</v>
      </c>
    </row>
    <row r="161" spans="9:9" ht="24" customHeight="1" x14ac:dyDescent="0.3">
      <c r="I161" s="1">
        <f>I160-Table118192023103031323538394042434445[[#This Row],[الدفعات]]</f>
        <v>36350</v>
      </c>
    </row>
    <row r="162" spans="9:9" ht="24" customHeight="1" x14ac:dyDescent="0.3">
      <c r="I162" s="1">
        <f>I161-Table118192023103031323538394042434445[[#This Row],[الدفعات]]</f>
        <v>36350</v>
      </c>
    </row>
    <row r="163" spans="9:9" ht="24" customHeight="1" x14ac:dyDescent="0.3">
      <c r="I163" s="1">
        <f>I162-Table118192023103031323538394042434445[[#This Row],[الدفعات]]</f>
        <v>36350</v>
      </c>
    </row>
    <row r="164" spans="9:9" ht="24" customHeight="1" x14ac:dyDescent="0.3">
      <c r="I164" s="1">
        <f>I163-Table118192023103031323538394042434445[[#This Row],[الدفعات]]</f>
        <v>36350</v>
      </c>
    </row>
    <row r="165" spans="9:9" ht="24" customHeight="1" x14ac:dyDescent="0.3">
      <c r="I165" s="1">
        <f>I164-Table118192023103031323538394042434445[[#This Row],[الدفعات]]</f>
        <v>36350</v>
      </c>
    </row>
    <row r="166" spans="9:9" ht="24" customHeight="1" x14ac:dyDescent="0.3">
      <c r="I166" s="1">
        <f>I165-Table118192023103031323538394042434445[[#This Row],[الدفعات]]</f>
        <v>36350</v>
      </c>
    </row>
    <row r="167" spans="9:9" ht="24" customHeight="1" x14ac:dyDescent="0.3">
      <c r="I167" s="1">
        <f>I166-Table118192023103031323538394042434445[[#This Row],[الدفعات]]</f>
        <v>36350</v>
      </c>
    </row>
    <row r="168" spans="9:9" ht="24" customHeight="1" x14ac:dyDescent="0.3">
      <c r="I168" s="1">
        <f>I167-Table118192023103031323538394042434445[[#This Row],[الدفعات]]</f>
        <v>36350</v>
      </c>
    </row>
    <row r="169" spans="9:9" ht="24" customHeight="1" x14ac:dyDescent="0.3">
      <c r="I169" s="1">
        <f>I168-Table118192023103031323538394042434445[[#This Row],[الدفعات]]</f>
        <v>36350</v>
      </c>
    </row>
    <row r="170" spans="9:9" ht="24" customHeight="1" x14ac:dyDescent="0.3">
      <c r="I170" s="1">
        <f>I169-Table118192023103031323538394042434445[[#This Row],[الدفعات]]</f>
        <v>36350</v>
      </c>
    </row>
    <row r="171" spans="9:9" ht="24" customHeight="1" x14ac:dyDescent="0.3">
      <c r="I171" s="1">
        <f>I170-Table118192023103031323538394042434445[[#This Row],[الدفعات]]</f>
        <v>36350</v>
      </c>
    </row>
    <row r="172" spans="9:9" ht="24" customHeight="1" x14ac:dyDescent="0.3">
      <c r="I172" s="1">
        <f>I171-Table118192023103031323538394042434445[[#This Row],[الدفعات]]</f>
        <v>36350</v>
      </c>
    </row>
    <row r="173" spans="9:9" ht="24" customHeight="1" x14ac:dyDescent="0.3">
      <c r="I173" s="1">
        <f>I172-Table118192023103031323538394042434445[[#This Row],[الدفعات]]</f>
        <v>36350</v>
      </c>
    </row>
    <row r="174" spans="9:9" ht="24" customHeight="1" x14ac:dyDescent="0.3">
      <c r="I174" s="1">
        <f>I173-Table118192023103031323538394042434445[[#This Row],[الدفعات]]</f>
        <v>36350</v>
      </c>
    </row>
    <row r="175" spans="9:9" ht="24" customHeight="1" x14ac:dyDescent="0.3">
      <c r="I175" s="1">
        <f>I174-Table118192023103031323538394042434445[[#This Row],[الدفعات]]</f>
        <v>36350</v>
      </c>
    </row>
    <row r="176" spans="9:9" ht="24" customHeight="1" x14ac:dyDescent="0.3">
      <c r="I176" s="1">
        <f>I175-Table118192023103031323538394042434445[[#This Row],[الدفعات]]</f>
        <v>36350</v>
      </c>
    </row>
    <row r="177" spans="9:9" ht="24" customHeight="1" x14ac:dyDescent="0.3">
      <c r="I177" s="1">
        <f>I176-Table118192023103031323538394042434445[[#This Row],[الدفعات]]</f>
        <v>36350</v>
      </c>
    </row>
    <row r="178" spans="9:9" ht="24" customHeight="1" x14ac:dyDescent="0.3">
      <c r="I178" s="1">
        <f>I177-Table118192023103031323538394042434445[[#This Row],[الدفعات]]</f>
        <v>36350</v>
      </c>
    </row>
    <row r="179" spans="9:9" ht="24" customHeight="1" x14ac:dyDescent="0.3">
      <c r="I179" s="1">
        <f>I178-Table118192023103031323538394042434445[[#This Row],[الدفعات]]</f>
        <v>36350</v>
      </c>
    </row>
    <row r="180" spans="9:9" ht="24" customHeight="1" x14ac:dyDescent="0.3">
      <c r="I180" s="1">
        <f>I179-Table118192023103031323538394042434445[[#This Row],[الدفعات]]</f>
        <v>36350</v>
      </c>
    </row>
    <row r="181" spans="9:9" ht="24" customHeight="1" x14ac:dyDescent="0.3">
      <c r="I181" s="1">
        <f>I180-Table118192023103031323538394042434445[[#This Row],[الدفعات]]</f>
        <v>36350</v>
      </c>
    </row>
    <row r="182" spans="9:9" ht="24" customHeight="1" x14ac:dyDescent="0.3">
      <c r="I182" s="1">
        <f>I181-Table118192023103031323538394042434445[[#This Row],[الدفعات]]</f>
        <v>36350</v>
      </c>
    </row>
    <row r="183" spans="9:9" ht="24" customHeight="1" x14ac:dyDescent="0.3">
      <c r="I183" s="1">
        <f>I182-Table118192023103031323538394042434445[[#This Row],[الدفعات]]</f>
        <v>36350</v>
      </c>
    </row>
    <row r="184" spans="9:9" ht="24" customHeight="1" x14ac:dyDescent="0.3">
      <c r="I184" s="1">
        <f>I183-Table118192023103031323538394042434445[[#This Row],[الدفعات]]</f>
        <v>36350</v>
      </c>
    </row>
    <row r="185" spans="9:9" ht="24" customHeight="1" x14ac:dyDescent="0.3">
      <c r="I185" s="1">
        <f>I184-Table118192023103031323538394042434445[[#This Row],[الدفعات]]</f>
        <v>36350</v>
      </c>
    </row>
    <row r="186" spans="9:9" ht="24" customHeight="1" x14ac:dyDescent="0.3">
      <c r="I186" s="1">
        <f>I185-Table118192023103031323538394042434445[[#This Row],[الدفعات]]</f>
        <v>36350</v>
      </c>
    </row>
    <row r="187" spans="9:9" ht="24" customHeight="1" x14ac:dyDescent="0.3">
      <c r="I187" s="1">
        <f>I186-Table118192023103031323538394042434445[[#This Row],[الدفعات]]</f>
        <v>36350</v>
      </c>
    </row>
    <row r="188" spans="9:9" ht="24" customHeight="1" x14ac:dyDescent="0.3">
      <c r="I188" s="1">
        <f>I187-Table118192023103031323538394042434445[[#This Row],[الدفعات]]</f>
        <v>36350</v>
      </c>
    </row>
    <row r="189" spans="9:9" ht="24" customHeight="1" x14ac:dyDescent="0.3">
      <c r="I189" s="1">
        <f>I188-Table118192023103031323538394042434445[[#This Row],[الدفعات]]</f>
        <v>36350</v>
      </c>
    </row>
    <row r="190" spans="9:9" ht="24" customHeight="1" x14ac:dyDescent="0.3">
      <c r="I190" s="1">
        <f>I189-Table118192023103031323538394042434445[[#This Row],[الدفعات]]</f>
        <v>36350</v>
      </c>
    </row>
    <row r="191" spans="9:9" ht="24" customHeight="1" x14ac:dyDescent="0.3">
      <c r="I191" s="1">
        <f>I190-Table118192023103031323538394042434445[[#This Row],[الدفعات]]</f>
        <v>36350</v>
      </c>
    </row>
    <row r="192" spans="9:9" ht="24" customHeight="1" x14ac:dyDescent="0.3">
      <c r="I192" s="1">
        <f>I191-Table118192023103031323538394042434445[[#This Row],[الدفعات]]</f>
        <v>36350</v>
      </c>
    </row>
    <row r="193" spans="9:9" ht="24" customHeight="1" x14ac:dyDescent="0.3">
      <c r="I193" s="1">
        <f>I192-Table118192023103031323538394042434445[[#This Row],[الدفعات]]</f>
        <v>36350</v>
      </c>
    </row>
    <row r="194" spans="9:9" ht="24" customHeight="1" x14ac:dyDescent="0.3">
      <c r="I194" s="1">
        <f>I193-Table118192023103031323538394042434445[[#This Row],[الدفعات]]</f>
        <v>36350</v>
      </c>
    </row>
    <row r="195" spans="9:9" ht="24" customHeight="1" x14ac:dyDescent="0.3">
      <c r="I195" s="1">
        <f>I194-Table118192023103031323538394042434445[[#This Row],[الدفعات]]</f>
        <v>36350</v>
      </c>
    </row>
    <row r="196" spans="9:9" ht="24" customHeight="1" x14ac:dyDescent="0.3">
      <c r="I196" s="1">
        <f>I195-Table118192023103031323538394042434445[[#This Row],[الدفعات]]</f>
        <v>36350</v>
      </c>
    </row>
    <row r="197" spans="9:9" ht="24" customHeight="1" x14ac:dyDescent="0.3">
      <c r="I197" s="1">
        <f>I196-Table118192023103031323538394042434445[[#This Row],[الدفعات]]</f>
        <v>36350</v>
      </c>
    </row>
    <row r="198" spans="9:9" ht="24" customHeight="1" x14ac:dyDescent="0.3">
      <c r="I198" s="1">
        <f>I197-Table118192023103031323538394042434445[[#This Row],[الدفعات]]</f>
        <v>36350</v>
      </c>
    </row>
    <row r="199" spans="9:9" ht="24" customHeight="1" x14ac:dyDescent="0.3">
      <c r="I199" s="1">
        <f>I198-Table118192023103031323538394042434445[[#This Row],[الدفعات]]</f>
        <v>36350</v>
      </c>
    </row>
    <row r="200" spans="9:9" ht="24" customHeight="1" x14ac:dyDescent="0.3">
      <c r="I200" s="1">
        <f>I199-Table118192023103031323538394042434445[[#This Row],[الدفعات]]</f>
        <v>36350</v>
      </c>
    </row>
    <row r="201" spans="9:9" ht="24" customHeight="1" x14ac:dyDescent="0.3">
      <c r="I201" s="1">
        <f>I200-Table118192023103031323538394042434445[[#This Row],[الدفعات]]</f>
        <v>36350</v>
      </c>
    </row>
    <row r="202" spans="9:9" ht="24" customHeight="1" x14ac:dyDescent="0.3">
      <c r="I202" s="1">
        <f>I201-Table118192023103031323538394042434445[[#This Row],[الدفعات]]</f>
        <v>36350</v>
      </c>
    </row>
    <row r="203" spans="9:9" ht="24" customHeight="1" x14ac:dyDescent="0.3">
      <c r="I203" s="1">
        <f>I202-Table118192023103031323538394042434445[[#This Row],[الدفعات]]</f>
        <v>36350</v>
      </c>
    </row>
    <row r="204" spans="9:9" ht="24" customHeight="1" x14ac:dyDescent="0.3">
      <c r="I204" s="1">
        <f>I203-Table118192023103031323538394042434445[[#This Row],[الدفعات]]</f>
        <v>36350</v>
      </c>
    </row>
    <row r="205" spans="9:9" ht="24" customHeight="1" x14ac:dyDescent="0.3">
      <c r="I205" s="1">
        <f>I204-Table118192023103031323538394042434445[[#This Row],[الدفعات]]</f>
        <v>36350</v>
      </c>
    </row>
    <row r="206" spans="9:9" ht="24" customHeight="1" x14ac:dyDescent="0.3">
      <c r="I206" s="1">
        <f>I205-Table118192023103031323538394042434445[[#This Row],[الدفعات]]</f>
        <v>36350</v>
      </c>
    </row>
    <row r="207" spans="9:9" ht="24" customHeight="1" x14ac:dyDescent="0.3">
      <c r="I207" s="1">
        <f>I206-Table118192023103031323538394042434445[[#This Row],[الدفعات]]</f>
        <v>36350</v>
      </c>
    </row>
    <row r="208" spans="9:9" ht="24" customHeight="1" x14ac:dyDescent="0.3">
      <c r="I208" s="1">
        <f>I207-Table118192023103031323538394042434445[[#This Row],[الدفعات]]</f>
        <v>36350</v>
      </c>
    </row>
    <row r="209" spans="9:9" ht="24" customHeight="1" x14ac:dyDescent="0.3">
      <c r="I209" s="1">
        <f>I208-Table118192023103031323538394042434445[[#This Row],[الدفعات]]</f>
        <v>36350</v>
      </c>
    </row>
    <row r="210" spans="9:9" ht="24" customHeight="1" x14ac:dyDescent="0.3">
      <c r="I210" s="1">
        <f>I209-Table118192023103031323538394042434445[[#This Row],[الدفعات]]</f>
        <v>36350</v>
      </c>
    </row>
    <row r="211" spans="9:9" ht="24" customHeight="1" x14ac:dyDescent="0.3">
      <c r="I211" s="1">
        <f>I210-Table118192023103031323538394042434445[[#This Row],[الدفعات]]</f>
        <v>36350</v>
      </c>
    </row>
    <row r="212" spans="9:9" ht="24" customHeight="1" x14ac:dyDescent="0.3">
      <c r="I212" s="1">
        <f>I211-Table118192023103031323538394042434445[[#This Row],[الدفعات]]</f>
        <v>36350</v>
      </c>
    </row>
    <row r="213" spans="9:9" ht="24" customHeight="1" x14ac:dyDescent="0.3">
      <c r="I213" s="1">
        <f>I212-Table118192023103031323538394042434445[[#This Row],[الدفعات]]</f>
        <v>36350</v>
      </c>
    </row>
    <row r="214" spans="9:9" ht="24" customHeight="1" x14ac:dyDescent="0.3">
      <c r="I214" s="1">
        <f>I213-Table118192023103031323538394042434445[[#This Row],[الدفعات]]</f>
        <v>36350</v>
      </c>
    </row>
    <row r="215" spans="9:9" ht="24" customHeight="1" x14ac:dyDescent="0.3">
      <c r="I215" s="1">
        <f>I214-Table118192023103031323538394042434445[[#This Row],[الدفعات]]</f>
        <v>36350</v>
      </c>
    </row>
    <row r="216" spans="9:9" ht="24" customHeight="1" x14ac:dyDescent="0.3">
      <c r="I216" s="1">
        <f>I215-Table118192023103031323538394042434445[[#This Row],[الدفعات]]</f>
        <v>36350</v>
      </c>
    </row>
    <row r="217" spans="9:9" ht="24" customHeight="1" x14ac:dyDescent="0.3">
      <c r="I217" s="1">
        <f>I216-Table118192023103031323538394042434445[[#This Row],[الدفعات]]</f>
        <v>36350</v>
      </c>
    </row>
    <row r="218" spans="9:9" ht="24" customHeight="1" x14ac:dyDescent="0.3">
      <c r="I218" s="1">
        <f>I217-Table118192023103031323538394042434445[[#This Row],[الدفعات]]</f>
        <v>36350</v>
      </c>
    </row>
    <row r="219" spans="9:9" ht="24" customHeight="1" x14ac:dyDescent="0.3">
      <c r="I219" s="1">
        <f>I218-Table118192023103031323538394042434445[[#This Row],[الدفعات]]</f>
        <v>36350</v>
      </c>
    </row>
    <row r="220" spans="9:9" ht="24" customHeight="1" x14ac:dyDescent="0.3">
      <c r="I220" s="1">
        <f>I219-Table118192023103031323538394042434445[[#This Row],[الدفعات]]</f>
        <v>36350</v>
      </c>
    </row>
    <row r="221" spans="9:9" ht="24" customHeight="1" x14ac:dyDescent="0.3">
      <c r="I221" s="1">
        <f>I220-Table118192023103031323538394042434445[[#This Row],[الدفعات]]</f>
        <v>36350</v>
      </c>
    </row>
    <row r="222" spans="9:9" ht="24" customHeight="1" x14ac:dyDescent="0.3">
      <c r="I222" s="1">
        <f>I221-Table118192023103031323538394042434445[[#This Row],[الدفعات]]</f>
        <v>36350</v>
      </c>
    </row>
    <row r="223" spans="9:9" ht="24" customHeight="1" x14ac:dyDescent="0.3">
      <c r="I223" s="1">
        <f>I222-Table118192023103031323538394042434445[[#This Row],[الدفعات]]</f>
        <v>36350</v>
      </c>
    </row>
    <row r="224" spans="9:9" ht="24" customHeight="1" x14ac:dyDescent="0.3">
      <c r="I224" s="1">
        <f>I223-Table118192023103031323538394042434445[[#This Row],[الدفعات]]</f>
        <v>36350</v>
      </c>
    </row>
    <row r="225" spans="9:9" ht="24" customHeight="1" x14ac:dyDescent="0.3">
      <c r="I225" s="1">
        <f>I224-Table118192023103031323538394042434445[[#This Row],[الدفعات]]</f>
        <v>36350</v>
      </c>
    </row>
    <row r="226" spans="9:9" ht="24" customHeight="1" x14ac:dyDescent="0.3">
      <c r="I226" s="1">
        <f>I225-Table118192023103031323538394042434445[[#This Row],[الدفعات]]</f>
        <v>36350</v>
      </c>
    </row>
    <row r="227" spans="9:9" ht="24" customHeight="1" x14ac:dyDescent="0.3">
      <c r="I227" s="1">
        <f>I226-Table118192023103031323538394042434445[[#This Row],[الدفعات]]</f>
        <v>36350</v>
      </c>
    </row>
    <row r="228" spans="9:9" ht="24" customHeight="1" x14ac:dyDescent="0.3">
      <c r="I228" s="1">
        <f>I227-Table118192023103031323538394042434445[[#This Row],[الدفعات]]</f>
        <v>36350</v>
      </c>
    </row>
    <row r="229" spans="9:9" ht="24" customHeight="1" x14ac:dyDescent="0.3">
      <c r="I229" s="1">
        <f>I228-Table118192023103031323538394042434445[[#This Row],[الدفعات]]</f>
        <v>36350</v>
      </c>
    </row>
    <row r="230" spans="9:9" ht="24" customHeight="1" x14ac:dyDescent="0.3">
      <c r="I230" s="1">
        <f>I229-Table118192023103031323538394042434445[[#This Row],[الدفعات]]</f>
        <v>36350</v>
      </c>
    </row>
    <row r="231" spans="9:9" ht="24" customHeight="1" x14ac:dyDescent="0.3">
      <c r="I231" s="1">
        <f>I230-Table118192023103031323538394042434445[[#This Row],[الدفعات]]</f>
        <v>36350</v>
      </c>
    </row>
    <row r="232" spans="9:9" ht="24" customHeight="1" x14ac:dyDescent="0.3">
      <c r="I232" s="1">
        <f>I231-Table118192023103031323538394042434445[[#This Row],[الدفعات]]</f>
        <v>36350</v>
      </c>
    </row>
    <row r="233" spans="9:9" ht="24" customHeight="1" x14ac:dyDescent="0.3">
      <c r="I233" s="1">
        <f>I232-Table118192023103031323538394042434445[[#This Row],[الدفعات]]</f>
        <v>36350</v>
      </c>
    </row>
    <row r="234" spans="9:9" ht="24" customHeight="1" x14ac:dyDescent="0.3">
      <c r="I234" s="1">
        <f>I233-Table118192023103031323538394042434445[[#This Row],[الدفعات]]</f>
        <v>36350</v>
      </c>
    </row>
    <row r="235" spans="9:9" ht="24" customHeight="1" x14ac:dyDescent="0.3">
      <c r="I235" s="1">
        <f>I234-Table118192023103031323538394042434445[[#This Row],[الدفعات]]</f>
        <v>36350</v>
      </c>
    </row>
    <row r="236" spans="9:9" ht="24" customHeight="1" x14ac:dyDescent="0.3">
      <c r="I236" s="1">
        <f>I235-Table118192023103031323538394042434445[[#This Row],[الدفعات]]</f>
        <v>36350</v>
      </c>
    </row>
    <row r="237" spans="9:9" ht="24" customHeight="1" x14ac:dyDescent="0.3">
      <c r="I237" s="1">
        <f>I236-Table118192023103031323538394042434445[[#This Row],[الدفعات]]</f>
        <v>36350</v>
      </c>
    </row>
    <row r="238" spans="9:9" ht="24" customHeight="1" x14ac:dyDescent="0.3">
      <c r="I238" s="1">
        <f>I237-Table118192023103031323538394042434445[[#This Row],[الدفعات]]</f>
        <v>36350</v>
      </c>
    </row>
    <row r="239" spans="9:9" ht="24" customHeight="1" x14ac:dyDescent="0.3">
      <c r="I239" s="1">
        <f>I238-Table118192023103031323538394042434445[[#This Row],[الدفعات]]</f>
        <v>36350</v>
      </c>
    </row>
    <row r="240" spans="9:9" ht="24" customHeight="1" x14ac:dyDescent="0.3">
      <c r="I240" s="1">
        <f>I239-Table118192023103031323538394042434445[[#This Row],[الدفعات]]</f>
        <v>36350</v>
      </c>
    </row>
    <row r="241" spans="9:9" ht="24" customHeight="1" x14ac:dyDescent="0.3">
      <c r="I241" s="1">
        <f>I240-Table118192023103031323538394042434445[[#This Row],[الدفعات]]</f>
        <v>36350</v>
      </c>
    </row>
    <row r="242" spans="9:9" ht="24" customHeight="1" x14ac:dyDescent="0.3">
      <c r="I242" s="1">
        <f>I241-Table118192023103031323538394042434445[[#This Row],[الدفعات]]</f>
        <v>36350</v>
      </c>
    </row>
    <row r="243" spans="9:9" ht="24" customHeight="1" x14ac:dyDescent="0.3">
      <c r="I243" s="1">
        <f>I242-Table118192023103031323538394042434445[[#This Row],[الدفعات]]</f>
        <v>36350</v>
      </c>
    </row>
    <row r="244" spans="9:9" ht="24" customHeight="1" x14ac:dyDescent="0.3">
      <c r="I244" s="1">
        <f>I243-Table118192023103031323538394042434445[[#This Row],[الدفعات]]</f>
        <v>36350</v>
      </c>
    </row>
    <row r="245" spans="9:9" ht="24" customHeight="1" x14ac:dyDescent="0.3">
      <c r="I245" s="1">
        <f>I244-Table118192023103031323538394042434445[[#This Row],[الدفعات]]</f>
        <v>36350</v>
      </c>
    </row>
    <row r="246" spans="9:9" ht="24" customHeight="1" x14ac:dyDescent="0.3">
      <c r="I246" s="1">
        <f>I245-Table118192023103031323538394042434445[[#This Row],[الدفعات]]</f>
        <v>36350</v>
      </c>
    </row>
    <row r="247" spans="9:9" ht="24" customHeight="1" x14ac:dyDescent="0.3">
      <c r="I247" s="1">
        <f>I246-Table118192023103031323538394042434445[[#This Row],[الدفعات]]</f>
        <v>36350</v>
      </c>
    </row>
    <row r="248" spans="9:9" ht="24" customHeight="1" x14ac:dyDescent="0.3">
      <c r="I248" s="1">
        <f>I247-Table118192023103031323538394042434445[[#This Row],[الدفعات]]</f>
        <v>36350</v>
      </c>
    </row>
    <row r="249" spans="9:9" ht="24" customHeight="1" x14ac:dyDescent="0.3">
      <c r="I249" s="1">
        <f>I248-Table118192023103031323538394042434445[[#This Row],[الدفعات]]</f>
        <v>36350</v>
      </c>
    </row>
    <row r="250" spans="9:9" ht="24" customHeight="1" x14ac:dyDescent="0.3">
      <c r="I250" s="1">
        <f>I249-Table118192023103031323538394042434445[[#This Row],[الدفعات]]</f>
        <v>36350</v>
      </c>
    </row>
    <row r="251" spans="9:9" ht="24" customHeight="1" x14ac:dyDescent="0.3">
      <c r="I251" s="1">
        <f>I250-Table118192023103031323538394042434445[[#This Row],[الدفعات]]</f>
        <v>36350</v>
      </c>
    </row>
    <row r="252" spans="9:9" ht="24" customHeight="1" x14ac:dyDescent="0.3">
      <c r="I252" s="1">
        <f>I251-Table118192023103031323538394042434445[[#This Row],[الدفعات]]</f>
        <v>36350</v>
      </c>
    </row>
    <row r="253" spans="9:9" ht="24" customHeight="1" x14ac:dyDescent="0.3">
      <c r="I253" s="1">
        <f>I252-Table118192023103031323538394042434445[[#This Row],[الدفعات]]</f>
        <v>36350</v>
      </c>
    </row>
    <row r="254" spans="9:9" ht="24" customHeight="1" x14ac:dyDescent="0.3">
      <c r="I254" s="1">
        <f>I253-Table118192023103031323538394042434445[[#This Row],[الدفعات]]</f>
        <v>36350</v>
      </c>
    </row>
    <row r="255" spans="9:9" ht="24" customHeight="1" x14ac:dyDescent="0.3">
      <c r="I255" s="1">
        <f>I254-Table118192023103031323538394042434445[[#This Row],[الدفعات]]</f>
        <v>36350</v>
      </c>
    </row>
    <row r="256" spans="9:9" ht="24" customHeight="1" x14ac:dyDescent="0.3">
      <c r="I256" s="1">
        <f>I255-Table118192023103031323538394042434445[[#This Row],[الدفعات]]</f>
        <v>36350</v>
      </c>
    </row>
    <row r="257" spans="9:9" ht="24" customHeight="1" x14ac:dyDescent="0.3">
      <c r="I257" s="1">
        <f>I256-Table118192023103031323538394042434445[[#This Row],[الدفعات]]</f>
        <v>36350</v>
      </c>
    </row>
    <row r="258" spans="9:9" ht="24" customHeight="1" x14ac:dyDescent="0.3">
      <c r="I258" s="1">
        <f>I257-Table118192023103031323538394042434445[[#This Row],[الدفعات]]</f>
        <v>36350</v>
      </c>
    </row>
    <row r="259" spans="9:9" ht="24" customHeight="1" x14ac:dyDescent="0.3">
      <c r="I259" s="1">
        <f>I258-Table118192023103031323538394042434445[[#This Row],[الدفعات]]</f>
        <v>36350</v>
      </c>
    </row>
    <row r="260" spans="9:9" ht="24" customHeight="1" x14ac:dyDescent="0.3">
      <c r="I260" s="1">
        <f>I259-Table118192023103031323538394042434445[[#This Row],[الدفعات]]</f>
        <v>36350</v>
      </c>
    </row>
    <row r="261" spans="9:9" ht="24" customHeight="1" x14ac:dyDescent="0.3">
      <c r="I261" s="1">
        <f>I260-Table118192023103031323538394042434445[[#This Row],[الدفعات]]</f>
        <v>36350</v>
      </c>
    </row>
    <row r="262" spans="9:9" ht="24" customHeight="1" x14ac:dyDescent="0.3">
      <c r="I262" s="1">
        <f>I261-Table118192023103031323538394042434445[[#This Row],[الدفعات]]</f>
        <v>36350</v>
      </c>
    </row>
    <row r="263" spans="9:9" ht="24" customHeight="1" x14ac:dyDescent="0.3">
      <c r="I263" s="1">
        <f>I262-Table118192023103031323538394042434445[[#This Row],[الدفعات]]</f>
        <v>36350</v>
      </c>
    </row>
    <row r="264" spans="9:9" ht="24" customHeight="1" x14ac:dyDescent="0.3">
      <c r="I264" s="1">
        <f>I263-Table118192023103031323538394042434445[[#This Row],[الدفعات]]</f>
        <v>36350</v>
      </c>
    </row>
    <row r="265" spans="9:9" ht="24" customHeight="1" x14ac:dyDescent="0.3">
      <c r="I265" s="1">
        <f>I264-Table118192023103031323538394042434445[[#This Row],[الدفعات]]</f>
        <v>36350</v>
      </c>
    </row>
    <row r="266" spans="9:9" ht="24" customHeight="1" x14ac:dyDescent="0.3">
      <c r="I266" s="1">
        <f>I265-Table118192023103031323538394042434445[[#This Row],[الدفعات]]</f>
        <v>36350</v>
      </c>
    </row>
    <row r="267" spans="9:9" ht="24" customHeight="1" x14ac:dyDescent="0.3">
      <c r="I267" s="1">
        <f>I266-Table118192023103031323538394042434445[[#This Row],[الدفعات]]</f>
        <v>36350</v>
      </c>
    </row>
    <row r="268" spans="9:9" ht="24" customHeight="1" x14ac:dyDescent="0.3">
      <c r="I268" s="1">
        <f>I267-Table118192023103031323538394042434445[[#This Row],[الدفعات]]</f>
        <v>36350</v>
      </c>
    </row>
    <row r="269" spans="9:9" ht="24" customHeight="1" x14ac:dyDescent="0.3">
      <c r="I269" s="1">
        <f>I268-Table118192023103031323538394042434445[[#This Row],[الدفعات]]</f>
        <v>36350</v>
      </c>
    </row>
    <row r="270" spans="9:9" ht="24" customHeight="1" x14ac:dyDescent="0.3">
      <c r="I270" s="1">
        <f>I269-Table118192023103031323538394042434445[[#This Row],[الدفعات]]</f>
        <v>36350</v>
      </c>
    </row>
    <row r="271" spans="9:9" ht="24" customHeight="1" x14ac:dyDescent="0.3">
      <c r="I271" s="1">
        <f>I270-Table118192023103031323538394042434445[[#This Row],[الدفعات]]</f>
        <v>36350</v>
      </c>
    </row>
    <row r="272" spans="9:9" ht="24" customHeight="1" x14ac:dyDescent="0.3">
      <c r="I272" s="1">
        <f>I271-Table118192023103031323538394042434445[[#This Row],[الدفعات]]</f>
        <v>36350</v>
      </c>
    </row>
    <row r="273" spans="9:9" ht="24" customHeight="1" x14ac:dyDescent="0.3">
      <c r="I273" s="1">
        <f>I272-Table118192023103031323538394042434445[[#This Row],[الدفعات]]</f>
        <v>36350</v>
      </c>
    </row>
    <row r="274" spans="9:9" ht="24" customHeight="1" x14ac:dyDescent="0.3">
      <c r="I274" s="1">
        <f>I273-Table118192023103031323538394042434445[[#This Row],[الدفعات]]</f>
        <v>36350</v>
      </c>
    </row>
    <row r="275" spans="9:9" ht="24" customHeight="1" x14ac:dyDescent="0.3">
      <c r="I275" s="1">
        <f>I274-Table118192023103031323538394042434445[[#This Row],[الدفعات]]</f>
        <v>36350</v>
      </c>
    </row>
    <row r="276" spans="9:9" ht="24" customHeight="1" x14ac:dyDescent="0.3">
      <c r="I276" s="1">
        <f>I275-Table118192023103031323538394042434445[[#This Row],[الدفعات]]</f>
        <v>36350</v>
      </c>
    </row>
    <row r="277" spans="9:9" ht="24" customHeight="1" x14ac:dyDescent="0.3">
      <c r="I277" s="1">
        <f>I276-Table118192023103031323538394042434445[[#This Row],[الدفعات]]</f>
        <v>36350</v>
      </c>
    </row>
    <row r="278" spans="9:9" ht="24" customHeight="1" x14ac:dyDescent="0.3">
      <c r="I278" s="1">
        <f>I277-Table118192023103031323538394042434445[[#This Row],[الدفعات]]</f>
        <v>36350</v>
      </c>
    </row>
    <row r="279" spans="9:9" ht="24" customHeight="1" x14ac:dyDescent="0.3">
      <c r="I279" s="1">
        <f>I278-Table118192023103031323538394042434445[[#This Row],[الدفعات]]</f>
        <v>36350</v>
      </c>
    </row>
    <row r="280" spans="9:9" ht="24" customHeight="1" x14ac:dyDescent="0.3">
      <c r="I280" s="1">
        <f>I279-Table118192023103031323538394042434445[[#This Row],[الدفعات]]</f>
        <v>36350</v>
      </c>
    </row>
    <row r="281" spans="9:9" ht="24" customHeight="1" x14ac:dyDescent="0.3">
      <c r="I281" s="1">
        <f>I280-Table118192023103031323538394042434445[[#This Row],[الدفعات]]</f>
        <v>36350</v>
      </c>
    </row>
    <row r="282" spans="9:9" ht="24" customHeight="1" x14ac:dyDescent="0.3">
      <c r="I282" s="1">
        <f>I281-Table118192023103031323538394042434445[[#This Row],[الدفعات]]</f>
        <v>36350</v>
      </c>
    </row>
    <row r="283" spans="9:9" ht="24" customHeight="1" x14ac:dyDescent="0.3">
      <c r="I283" s="1">
        <f>I282-Table118192023103031323538394042434445[[#This Row],[الدفعات]]</f>
        <v>36350</v>
      </c>
    </row>
    <row r="284" spans="9:9" ht="24" customHeight="1" x14ac:dyDescent="0.3">
      <c r="I284" s="1">
        <f>I283-Table118192023103031323538394042434445[[#This Row],[الدفعات]]</f>
        <v>36350</v>
      </c>
    </row>
    <row r="285" spans="9:9" ht="24" customHeight="1" x14ac:dyDescent="0.3">
      <c r="I285" s="1">
        <f>I284-Table118192023103031323538394042434445[[#This Row],[الدفعات]]</f>
        <v>36350</v>
      </c>
    </row>
    <row r="286" spans="9:9" ht="24" customHeight="1" x14ac:dyDescent="0.3">
      <c r="I286" s="1">
        <f>I285-Table118192023103031323538394042434445[[#This Row],[الدفعات]]</f>
        <v>36350</v>
      </c>
    </row>
    <row r="287" spans="9:9" ht="24" customHeight="1" x14ac:dyDescent="0.3">
      <c r="I287" s="1">
        <f>I286-Table118192023103031323538394042434445[[#This Row],[الدفعات]]</f>
        <v>36350</v>
      </c>
    </row>
    <row r="288" spans="9:9" ht="24" customHeight="1" x14ac:dyDescent="0.3">
      <c r="I288" s="1">
        <f>I287-Table118192023103031323538394042434445[[#This Row],[الدفعات]]</f>
        <v>36350</v>
      </c>
    </row>
    <row r="289" spans="9:9" ht="24" customHeight="1" x14ac:dyDescent="0.3">
      <c r="I289" s="1">
        <f>I288-Table118192023103031323538394042434445[[#This Row],[الدفعات]]</f>
        <v>36350</v>
      </c>
    </row>
    <row r="290" spans="9:9" ht="24" customHeight="1" x14ac:dyDescent="0.3">
      <c r="I290" s="1">
        <f>I289-Table118192023103031323538394042434445[[#This Row],[الدفعات]]</f>
        <v>36350</v>
      </c>
    </row>
    <row r="291" spans="9:9" ht="24" customHeight="1" x14ac:dyDescent="0.3">
      <c r="I291" s="1">
        <f>I290-Table118192023103031323538394042434445[[#This Row],[الدفعات]]</f>
        <v>36350</v>
      </c>
    </row>
    <row r="292" spans="9:9" ht="24" customHeight="1" x14ac:dyDescent="0.3">
      <c r="I292" s="1">
        <f>I291-Table118192023103031323538394042434445[[#This Row],[الدفعات]]</f>
        <v>36350</v>
      </c>
    </row>
    <row r="293" spans="9:9" ht="24" customHeight="1" x14ac:dyDescent="0.3">
      <c r="I293" s="1">
        <f>I292-Table118192023103031323538394042434445[[#This Row],[الدفعات]]</f>
        <v>36350</v>
      </c>
    </row>
    <row r="294" spans="9:9" ht="24" customHeight="1" x14ac:dyDescent="0.3">
      <c r="I294" s="1">
        <f>I293-Table118192023103031323538394042434445[[#This Row],[الدفعات]]</f>
        <v>36350</v>
      </c>
    </row>
    <row r="295" spans="9:9" ht="24" customHeight="1" x14ac:dyDescent="0.3">
      <c r="I295" s="1">
        <f>I294-Table118192023103031323538394042434445[[#This Row],[الدفعات]]</f>
        <v>36350</v>
      </c>
    </row>
    <row r="296" spans="9:9" ht="24" customHeight="1" x14ac:dyDescent="0.3">
      <c r="I296" s="1">
        <f>I295-Table118192023103031323538394042434445[[#This Row],[الدفعات]]</f>
        <v>36350</v>
      </c>
    </row>
    <row r="297" spans="9:9" ht="24" customHeight="1" x14ac:dyDescent="0.3">
      <c r="I297" s="1">
        <f>I296-Table118192023103031323538394042434445[[#This Row],[الدفعات]]</f>
        <v>36350</v>
      </c>
    </row>
    <row r="298" spans="9:9" ht="24" customHeight="1" x14ac:dyDescent="0.3">
      <c r="I298" s="1">
        <f>I297-Table118192023103031323538394042434445[[#This Row],[الدفعات]]</f>
        <v>36350</v>
      </c>
    </row>
    <row r="299" spans="9:9" ht="24" customHeight="1" x14ac:dyDescent="0.3">
      <c r="I299" s="1">
        <f>I298-Table118192023103031323538394042434445[[#This Row],[الدفعات]]</f>
        <v>36350</v>
      </c>
    </row>
    <row r="300" spans="9:9" ht="24" customHeight="1" x14ac:dyDescent="0.3">
      <c r="I300" s="1">
        <f>I299-Table118192023103031323538394042434445[[#This Row],[الدفعات]]</f>
        <v>36350</v>
      </c>
    </row>
    <row r="301" spans="9:9" ht="24" customHeight="1" x14ac:dyDescent="0.3">
      <c r="I301" s="1">
        <f>I300-Table118192023103031323538394042434445[[#This Row],[الدفعات]]</f>
        <v>36350</v>
      </c>
    </row>
    <row r="302" spans="9:9" ht="24" customHeight="1" x14ac:dyDescent="0.3">
      <c r="I302" s="1">
        <f>I301-Table118192023103031323538394042434445[[#This Row],[الدفعات]]</f>
        <v>36350</v>
      </c>
    </row>
    <row r="303" spans="9:9" ht="24" customHeight="1" x14ac:dyDescent="0.3">
      <c r="I303" s="1">
        <f>I302-Table118192023103031323538394042434445[[#This Row],[الدفعات]]</f>
        <v>36350</v>
      </c>
    </row>
    <row r="304" spans="9:9" ht="24" customHeight="1" x14ac:dyDescent="0.3">
      <c r="I304" s="1">
        <f>I303-Table118192023103031323538394042434445[[#This Row],[الدفعات]]</f>
        <v>36350</v>
      </c>
    </row>
    <row r="305" spans="9:9" ht="24" customHeight="1" x14ac:dyDescent="0.3">
      <c r="I305" s="1">
        <f>I304-Table118192023103031323538394042434445[[#This Row],[الدفعات]]</f>
        <v>36350</v>
      </c>
    </row>
    <row r="306" spans="9:9" ht="24" customHeight="1" x14ac:dyDescent="0.3">
      <c r="I306" s="1">
        <f>I305-Table118192023103031323538394042434445[[#This Row],[الدفعات]]</f>
        <v>36350</v>
      </c>
    </row>
    <row r="307" spans="9:9" ht="24" customHeight="1" x14ac:dyDescent="0.3">
      <c r="I307" s="1">
        <f>I306-Table118192023103031323538394042434445[[#This Row],[الدفعات]]</f>
        <v>36350</v>
      </c>
    </row>
    <row r="308" spans="9:9" ht="24" customHeight="1" x14ac:dyDescent="0.3">
      <c r="I308" s="1">
        <f>I307-Table118192023103031323538394042434445[[#This Row],[الدفعات]]</f>
        <v>36350</v>
      </c>
    </row>
    <row r="309" spans="9:9" ht="24" customHeight="1" x14ac:dyDescent="0.3">
      <c r="I309" s="1">
        <f>I308-Table118192023103031323538394042434445[[#This Row],[الدفعات]]</f>
        <v>36350</v>
      </c>
    </row>
    <row r="310" spans="9:9" ht="24" customHeight="1" x14ac:dyDescent="0.3">
      <c r="I310" s="1">
        <f>I309-Table118192023103031323538394042434445[[#This Row],[الدفعات]]</f>
        <v>36350</v>
      </c>
    </row>
    <row r="311" spans="9:9" ht="24" customHeight="1" x14ac:dyDescent="0.3">
      <c r="I311" s="1">
        <f>I310-Table118192023103031323538394042434445[[#This Row],[الدفعات]]</f>
        <v>36350</v>
      </c>
    </row>
    <row r="312" spans="9:9" ht="24" customHeight="1" x14ac:dyDescent="0.3">
      <c r="I312" s="1">
        <f>I311-Table118192023103031323538394042434445[[#This Row],[الدفعات]]</f>
        <v>36350</v>
      </c>
    </row>
    <row r="313" spans="9:9" ht="24" customHeight="1" x14ac:dyDescent="0.3">
      <c r="I313" s="1">
        <f>I312-Table118192023103031323538394042434445[[#This Row],[الدفعات]]</f>
        <v>36350</v>
      </c>
    </row>
    <row r="314" spans="9:9" ht="24" customHeight="1" x14ac:dyDescent="0.3">
      <c r="I314" s="1">
        <f>I313-Table118192023103031323538394042434445[[#This Row],[الدفعات]]</f>
        <v>36350</v>
      </c>
    </row>
    <row r="315" spans="9:9" ht="24" customHeight="1" x14ac:dyDescent="0.3">
      <c r="I315" s="1">
        <f>I314-Table118192023103031323538394042434445[[#This Row],[الدفعات]]</f>
        <v>36350</v>
      </c>
    </row>
    <row r="316" spans="9:9" ht="24" customHeight="1" x14ac:dyDescent="0.3">
      <c r="I316" s="1">
        <f>I315-Table118192023103031323538394042434445[[#This Row],[الدفعات]]</f>
        <v>36350</v>
      </c>
    </row>
    <row r="317" spans="9:9" ht="24" customHeight="1" x14ac:dyDescent="0.3">
      <c r="I317" s="1">
        <f>I316-Table118192023103031323538394042434445[[#This Row],[الدفعات]]</f>
        <v>36350</v>
      </c>
    </row>
    <row r="318" spans="9:9" ht="24" customHeight="1" x14ac:dyDescent="0.3">
      <c r="I318" s="1">
        <f>I317-Table118192023103031323538394042434445[[#This Row],[الدفعات]]</f>
        <v>36350</v>
      </c>
    </row>
    <row r="319" spans="9:9" ht="24" customHeight="1" x14ac:dyDescent="0.3">
      <c r="I319" s="1">
        <f>I318-Table118192023103031323538394042434445[[#This Row],[الدفعات]]</f>
        <v>36350</v>
      </c>
    </row>
    <row r="320" spans="9:9" ht="24" customHeight="1" x14ac:dyDescent="0.3">
      <c r="I320" s="1">
        <f>I319-Table118192023103031323538394042434445[[#This Row],[الدفعات]]</f>
        <v>36350</v>
      </c>
    </row>
    <row r="321" spans="9:9" ht="24" customHeight="1" x14ac:dyDescent="0.3">
      <c r="I321" s="1">
        <f>I320-Table118192023103031323538394042434445[[#This Row],[الدفعات]]</f>
        <v>36350</v>
      </c>
    </row>
    <row r="322" spans="9:9" ht="24" customHeight="1" x14ac:dyDescent="0.3">
      <c r="I322" s="1">
        <f>I321-Table118192023103031323538394042434445[[#This Row],[الدفعات]]</f>
        <v>36350</v>
      </c>
    </row>
    <row r="323" spans="9:9" ht="24" customHeight="1" x14ac:dyDescent="0.3">
      <c r="I323" s="1">
        <f>I322-Table118192023103031323538394042434445[[#This Row],[الدفعات]]</f>
        <v>36350</v>
      </c>
    </row>
    <row r="324" spans="9:9" ht="24" customHeight="1" x14ac:dyDescent="0.3">
      <c r="I324" s="1">
        <f>I323-Table118192023103031323538394042434445[[#This Row],[الدفعات]]</f>
        <v>36350</v>
      </c>
    </row>
    <row r="325" spans="9:9" ht="24" customHeight="1" x14ac:dyDescent="0.3">
      <c r="I325" s="1">
        <f>I324-Table118192023103031323538394042434445[[#This Row],[الدفعات]]</f>
        <v>36350</v>
      </c>
    </row>
    <row r="326" spans="9:9" ht="24" customHeight="1" x14ac:dyDescent="0.3">
      <c r="I326" s="1">
        <f>I325-Table118192023103031323538394042434445[[#This Row],[الدفعات]]</f>
        <v>36350</v>
      </c>
    </row>
    <row r="327" spans="9:9" ht="24" customHeight="1" x14ac:dyDescent="0.3">
      <c r="I327" s="1">
        <f>I326-Table118192023103031323538394042434445[[#This Row],[الدفعات]]</f>
        <v>36350</v>
      </c>
    </row>
    <row r="328" spans="9:9" ht="24" customHeight="1" x14ac:dyDescent="0.3">
      <c r="I328" s="1">
        <f>I327-Table118192023103031323538394042434445[[#This Row],[الدفعات]]</f>
        <v>36350</v>
      </c>
    </row>
    <row r="329" spans="9:9" ht="24" customHeight="1" x14ac:dyDescent="0.3">
      <c r="I329" s="1">
        <f>I328-Table118192023103031323538394042434445[[#This Row],[الدفعات]]</f>
        <v>36350</v>
      </c>
    </row>
    <row r="330" spans="9:9" ht="24" customHeight="1" x14ac:dyDescent="0.3">
      <c r="I330" s="1">
        <f>I329-Table118192023103031323538394042434445[[#This Row],[الدفعات]]</f>
        <v>36350</v>
      </c>
    </row>
    <row r="331" spans="9:9" ht="24" customHeight="1" x14ac:dyDescent="0.3">
      <c r="I331" s="1">
        <f>I330-Table118192023103031323538394042434445[[#This Row],[الدفعات]]</f>
        <v>36350</v>
      </c>
    </row>
    <row r="332" spans="9:9" ht="24" customHeight="1" x14ac:dyDescent="0.3">
      <c r="I332" s="1">
        <f>I331-Table118192023103031323538394042434445[[#This Row],[الدفعات]]</f>
        <v>36350</v>
      </c>
    </row>
    <row r="333" spans="9:9" ht="24" customHeight="1" x14ac:dyDescent="0.3">
      <c r="I333" s="1">
        <f>I332-Table118192023103031323538394042434445[[#This Row],[الدفعات]]</f>
        <v>36350</v>
      </c>
    </row>
    <row r="334" spans="9:9" ht="24" customHeight="1" x14ac:dyDescent="0.3">
      <c r="I334" s="1">
        <f>I333-Table118192023103031323538394042434445[[#This Row],[الدفعات]]</f>
        <v>36350</v>
      </c>
    </row>
    <row r="335" spans="9:9" ht="24" customHeight="1" x14ac:dyDescent="0.3">
      <c r="I335" s="1">
        <f>I334-Table118192023103031323538394042434445[[#This Row],[الدفعات]]</f>
        <v>36350</v>
      </c>
    </row>
    <row r="336" spans="9:9" ht="24" customHeight="1" x14ac:dyDescent="0.3">
      <c r="I336" s="1">
        <f>I335-Table118192023103031323538394042434445[[#This Row],[الدفعات]]</f>
        <v>36350</v>
      </c>
    </row>
    <row r="337" spans="9:9" ht="24" customHeight="1" x14ac:dyDescent="0.3">
      <c r="I337" s="1">
        <f>I336-Table118192023103031323538394042434445[[#This Row],[الدفعات]]</f>
        <v>36350</v>
      </c>
    </row>
    <row r="338" spans="9:9" ht="24" customHeight="1" x14ac:dyDescent="0.3">
      <c r="I338" s="1">
        <f>I337-Table118192023103031323538394042434445[[#This Row],[الدفعات]]</f>
        <v>36350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R4000"/>
  <sheetViews>
    <sheetView rightToLeft="1" zoomScale="60" zoomScaleNormal="60" zoomScaleSheetLayoutView="50" workbookViewId="0">
      <pane ySplit="1" topLeftCell="A2" activePane="bottomLeft" state="frozen"/>
      <selection activeCell="C17" sqref="C17"/>
      <selection pane="bottomLeft" activeCell="A2" sqref="A2"/>
    </sheetView>
  </sheetViews>
  <sheetFormatPr defaultColWidth="11.21875" defaultRowHeight="30.75" customHeight="1" x14ac:dyDescent="0.3"/>
  <cols>
    <col min="1" max="1" width="22" style="31" customWidth="1"/>
    <col min="2" max="2" width="15.6640625" style="31" customWidth="1"/>
    <col min="3" max="3" width="13.109375" style="31" customWidth="1"/>
    <col min="4" max="4" width="12.77734375" style="31" bestFit="1" customWidth="1"/>
    <col min="5" max="5" width="23.77734375" style="31" customWidth="1"/>
    <col min="6" max="6" width="22" style="31" bestFit="1" customWidth="1"/>
    <col min="7" max="7" width="26.44140625" style="33" customWidth="1"/>
    <col min="8" max="8" width="18.109375" style="31" customWidth="1"/>
    <col min="9" max="9" width="18.44140625" style="31" bestFit="1" customWidth="1"/>
    <col min="10" max="10" width="20.109375" style="31" customWidth="1"/>
    <col min="11" max="11" width="16.44140625" style="31" bestFit="1" customWidth="1"/>
    <col min="12" max="12" width="11.33203125" style="31" bestFit="1" customWidth="1"/>
    <col min="13" max="13" width="12.33203125" style="31" bestFit="1" customWidth="1"/>
    <col min="14" max="14" width="11.109375" style="31" bestFit="1" customWidth="1"/>
    <col min="15" max="15" width="13.109375" style="31" customWidth="1"/>
    <col min="16" max="16" width="14.44140625" style="31" bestFit="1" customWidth="1"/>
    <col min="17" max="17" width="11.109375" style="31" bestFit="1" customWidth="1"/>
    <col min="18" max="18" width="16" style="31" customWidth="1"/>
    <col min="19" max="16384" width="11.21875" style="31"/>
  </cols>
  <sheetData>
    <row r="1" spans="1:18" ht="30.75" customHeight="1" x14ac:dyDescent="0.3">
      <c r="A1" s="65" t="s">
        <v>56</v>
      </c>
      <c r="B1" s="65" t="s">
        <v>37</v>
      </c>
      <c r="C1" s="65" t="s">
        <v>38</v>
      </c>
      <c r="D1" s="65" t="s">
        <v>57</v>
      </c>
      <c r="E1" s="65" t="s">
        <v>39</v>
      </c>
      <c r="F1" s="65" t="s">
        <v>40</v>
      </c>
      <c r="G1" s="66" t="s">
        <v>41</v>
      </c>
      <c r="H1" s="65" t="s">
        <v>42</v>
      </c>
      <c r="I1" s="65" t="s">
        <v>43</v>
      </c>
      <c r="J1" s="65" t="s">
        <v>44</v>
      </c>
      <c r="K1" s="65" t="s">
        <v>45</v>
      </c>
      <c r="L1" s="65" t="s">
        <v>31</v>
      </c>
      <c r="M1" s="65" t="s">
        <v>59</v>
      </c>
      <c r="N1" s="65" t="s">
        <v>58</v>
      </c>
      <c r="O1" s="65" t="s">
        <v>46</v>
      </c>
      <c r="P1" s="65" t="s">
        <v>47</v>
      </c>
      <c r="Q1" s="65" t="s">
        <v>78</v>
      </c>
      <c r="R1" s="65" t="s">
        <v>48</v>
      </c>
    </row>
    <row r="2" spans="1:18" ht="30.75" customHeight="1" x14ac:dyDescent="0.3">
      <c r="B2" s="32"/>
      <c r="P2" s="31">
        <f t="shared" ref="P2:P9" si="0">K2-L2-M2-N2+O2</f>
        <v>0</v>
      </c>
    </row>
    <row r="3" spans="1:18" ht="30.75" customHeight="1" x14ac:dyDescent="0.3">
      <c r="B3" s="32"/>
      <c r="P3" s="31">
        <f t="shared" si="0"/>
        <v>0</v>
      </c>
      <c r="R3" s="31">
        <f t="shared" ref="R3:R8" si="1">K3-L3-M3-N3+O3-Q3</f>
        <v>0</v>
      </c>
    </row>
    <row r="4" spans="1:18" ht="30.75" customHeight="1" x14ac:dyDescent="0.3">
      <c r="B4" s="32"/>
      <c r="P4" s="31">
        <f t="shared" si="0"/>
        <v>0</v>
      </c>
      <c r="R4" s="31">
        <f t="shared" si="1"/>
        <v>0</v>
      </c>
    </row>
    <row r="5" spans="1:18" ht="30.75" customHeight="1" x14ac:dyDescent="0.3">
      <c r="B5" s="32"/>
      <c r="P5" s="31">
        <f t="shared" si="0"/>
        <v>0</v>
      </c>
      <c r="R5" s="31">
        <f t="shared" si="1"/>
        <v>0</v>
      </c>
    </row>
    <row r="6" spans="1:18" ht="30.75" customHeight="1" x14ac:dyDescent="0.3">
      <c r="B6" s="32"/>
      <c r="P6" s="31">
        <f t="shared" si="0"/>
        <v>0</v>
      </c>
      <c r="R6" s="31">
        <f t="shared" si="1"/>
        <v>0</v>
      </c>
    </row>
    <row r="7" spans="1:18" ht="30.75" customHeight="1" x14ac:dyDescent="0.3">
      <c r="B7" s="32"/>
      <c r="P7" s="31">
        <f t="shared" si="0"/>
        <v>0</v>
      </c>
      <c r="R7" s="31">
        <f t="shared" si="1"/>
        <v>0</v>
      </c>
    </row>
    <row r="8" spans="1:18" ht="30.75" customHeight="1" x14ac:dyDescent="0.3">
      <c r="B8" s="32"/>
      <c r="P8" s="31">
        <f t="shared" si="0"/>
        <v>0</v>
      </c>
      <c r="R8" s="31">
        <f t="shared" si="1"/>
        <v>0</v>
      </c>
    </row>
    <row r="9" spans="1:18" ht="30.75" customHeight="1" x14ac:dyDescent="0.3">
      <c r="B9" s="32"/>
      <c r="P9" s="31">
        <f t="shared" si="0"/>
        <v>0</v>
      </c>
      <c r="R9" s="31">
        <f>K9-L9-M9-N9+O9-Q9</f>
        <v>0</v>
      </c>
    </row>
    <row r="10" spans="1:18" ht="30.75" customHeight="1" x14ac:dyDescent="0.3">
      <c r="B10" s="32"/>
      <c r="P10" s="31">
        <f t="shared" ref="P10:P73" si="2">K10-L10-M10-N10+O10</f>
        <v>0</v>
      </c>
      <c r="R10" s="31">
        <f t="shared" ref="R10:R73" si="3">R9+K10-L10-M10-N10+O10-Q10</f>
        <v>0</v>
      </c>
    </row>
    <row r="11" spans="1:18" ht="30.75" customHeight="1" x14ac:dyDescent="0.3">
      <c r="B11" s="32"/>
      <c r="P11" s="31">
        <f t="shared" si="2"/>
        <v>0</v>
      </c>
      <c r="R11" s="31">
        <f t="shared" si="3"/>
        <v>0</v>
      </c>
    </row>
    <row r="12" spans="1:18" ht="30.75" customHeight="1" x14ac:dyDescent="0.3">
      <c r="B12" s="32"/>
      <c r="P12" s="31">
        <f t="shared" si="2"/>
        <v>0</v>
      </c>
      <c r="R12" s="31">
        <f t="shared" si="3"/>
        <v>0</v>
      </c>
    </row>
    <row r="13" spans="1:18" ht="30.75" customHeight="1" x14ac:dyDescent="0.3">
      <c r="B13" s="32"/>
      <c r="P13" s="31">
        <f t="shared" si="2"/>
        <v>0</v>
      </c>
      <c r="R13" s="31">
        <f t="shared" si="3"/>
        <v>0</v>
      </c>
    </row>
    <row r="14" spans="1:18" ht="30.75" customHeight="1" x14ac:dyDescent="0.3">
      <c r="B14" s="32"/>
      <c r="P14" s="31">
        <f t="shared" si="2"/>
        <v>0</v>
      </c>
      <c r="R14" s="31">
        <f t="shared" si="3"/>
        <v>0</v>
      </c>
    </row>
    <row r="15" spans="1:18" ht="30.75" customHeight="1" x14ac:dyDescent="0.3">
      <c r="B15" s="32"/>
      <c r="P15" s="31">
        <f t="shared" si="2"/>
        <v>0</v>
      </c>
      <c r="R15" s="31">
        <f t="shared" si="3"/>
        <v>0</v>
      </c>
    </row>
    <row r="16" spans="1:18" ht="30.75" customHeight="1" x14ac:dyDescent="0.3">
      <c r="B16" s="32"/>
      <c r="P16" s="31">
        <f t="shared" si="2"/>
        <v>0</v>
      </c>
      <c r="R16" s="31">
        <f t="shared" si="3"/>
        <v>0</v>
      </c>
    </row>
    <row r="17" spans="2:18" ht="30.75" customHeight="1" x14ac:dyDescent="0.3">
      <c r="B17" s="32"/>
      <c r="P17" s="31">
        <f t="shared" si="2"/>
        <v>0</v>
      </c>
      <c r="R17" s="31">
        <f t="shared" si="3"/>
        <v>0</v>
      </c>
    </row>
    <row r="18" spans="2:18" ht="30.75" customHeight="1" x14ac:dyDescent="0.3">
      <c r="B18" s="32"/>
      <c r="P18" s="31">
        <f t="shared" si="2"/>
        <v>0</v>
      </c>
      <c r="R18" s="31">
        <f t="shared" si="3"/>
        <v>0</v>
      </c>
    </row>
    <row r="19" spans="2:18" ht="30.75" customHeight="1" x14ac:dyDescent="0.3">
      <c r="B19" s="32"/>
      <c r="P19" s="31">
        <f t="shared" si="2"/>
        <v>0</v>
      </c>
      <c r="R19" s="31">
        <f t="shared" si="3"/>
        <v>0</v>
      </c>
    </row>
    <row r="20" spans="2:18" ht="30.75" customHeight="1" x14ac:dyDescent="0.3">
      <c r="B20" s="32"/>
      <c r="P20" s="31">
        <f t="shared" si="2"/>
        <v>0</v>
      </c>
      <c r="R20" s="31">
        <f t="shared" si="3"/>
        <v>0</v>
      </c>
    </row>
    <row r="21" spans="2:18" ht="30.75" customHeight="1" x14ac:dyDescent="0.3">
      <c r="B21" s="32"/>
      <c r="P21" s="31">
        <f t="shared" si="2"/>
        <v>0</v>
      </c>
      <c r="R21" s="31">
        <f t="shared" si="3"/>
        <v>0</v>
      </c>
    </row>
    <row r="22" spans="2:18" ht="30.75" customHeight="1" x14ac:dyDescent="0.3">
      <c r="B22" s="32"/>
      <c r="P22" s="31">
        <f t="shared" si="2"/>
        <v>0</v>
      </c>
      <c r="R22" s="31">
        <f t="shared" si="3"/>
        <v>0</v>
      </c>
    </row>
    <row r="23" spans="2:18" ht="30.75" customHeight="1" x14ac:dyDescent="0.3">
      <c r="B23" s="32"/>
      <c r="P23" s="31">
        <f t="shared" si="2"/>
        <v>0</v>
      </c>
      <c r="R23" s="31">
        <f t="shared" si="3"/>
        <v>0</v>
      </c>
    </row>
    <row r="24" spans="2:18" ht="30.75" customHeight="1" x14ac:dyDescent="0.3">
      <c r="B24" s="32"/>
      <c r="P24" s="31">
        <f t="shared" si="2"/>
        <v>0</v>
      </c>
      <c r="R24" s="31">
        <f t="shared" si="3"/>
        <v>0</v>
      </c>
    </row>
    <row r="25" spans="2:18" ht="30.75" customHeight="1" x14ac:dyDescent="0.3">
      <c r="B25" s="32"/>
      <c r="P25" s="31">
        <f t="shared" si="2"/>
        <v>0</v>
      </c>
      <c r="R25" s="31">
        <f t="shared" si="3"/>
        <v>0</v>
      </c>
    </row>
    <row r="26" spans="2:18" ht="30.75" customHeight="1" x14ac:dyDescent="0.3">
      <c r="B26" s="32"/>
      <c r="P26" s="31">
        <f t="shared" si="2"/>
        <v>0</v>
      </c>
      <c r="R26" s="31">
        <f t="shared" si="3"/>
        <v>0</v>
      </c>
    </row>
    <row r="27" spans="2:18" ht="30.75" customHeight="1" x14ac:dyDescent="0.3">
      <c r="B27" s="32"/>
      <c r="P27" s="31">
        <f t="shared" si="2"/>
        <v>0</v>
      </c>
      <c r="R27" s="31">
        <f t="shared" si="3"/>
        <v>0</v>
      </c>
    </row>
    <row r="28" spans="2:18" ht="30.75" customHeight="1" x14ac:dyDescent="0.3">
      <c r="B28" s="32"/>
      <c r="P28" s="31">
        <f t="shared" si="2"/>
        <v>0</v>
      </c>
      <c r="R28" s="31">
        <f t="shared" si="3"/>
        <v>0</v>
      </c>
    </row>
    <row r="29" spans="2:18" ht="30.75" customHeight="1" x14ac:dyDescent="0.3">
      <c r="B29" s="32"/>
      <c r="P29" s="31">
        <f t="shared" si="2"/>
        <v>0</v>
      </c>
      <c r="R29" s="31">
        <f t="shared" si="3"/>
        <v>0</v>
      </c>
    </row>
    <row r="30" spans="2:18" ht="30.75" customHeight="1" x14ac:dyDescent="0.3">
      <c r="B30" s="32"/>
      <c r="P30" s="31">
        <f t="shared" si="2"/>
        <v>0</v>
      </c>
      <c r="R30" s="31">
        <f t="shared" si="3"/>
        <v>0</v>
      </c>
    </row>
    <row r="31" spans="2:18" ht="30.75" customHeight="1" x14ac:dyDescent="0.3">
      <c r="B31" s="32"/>
      <c r="P31" s="31">
        <f t="shared" si="2"/>
        <v>0</v>
      </c>
      <c r="R31" s="31">
        <f t="shared" si="3"/>
        <v>0</v>
      </c>
    </row>
    <row r="32" spans="2:18" ht="30.75" customHeight="1" x14ac:dyDescent="0.3">
      <c r="B32" s="32"/>
      <c r="P32" s="31">
        <f t="shared" si="2"/>
        <v>0</v>
      </c>
      <c r="R32" s="31">
        <f t="shared" si="3"/>
        <v>0</v>
      </c>
    </row>
    <row r="33" spans="2:18" ht="30.75" customHeight="1" x14ac:dyDescent="0.3">
      <c r="B33" s="32"/>
      <c r="P33" s="31">
        <f t="shared" si="2"/>
        <v>0</v>
      </c>
      <c r="R33" s="31">
        <f t="shared" si="3"/>
        <v>0</v>
      </c>
    </row>
    <row r="34" spans="2:18" ht="30.75" customHeight="1" x14ac:dyDescent="0.3">
      <c r="B34" s="32"/>
      <c r="P34" s="31">
        <f t="shared" si="2"/>
        <v>0</v>
      </c>
      <c r="R34" s="31">
        <f t="shared" si="3"/>
        <v>0</v>
      </c>
    </row>
    <row r="35" spans="2:18" ht="30.75" customHeight="1" x14ac:dyDescent="0.3">
      <c r="B35" s="32"/>
      <c r="P35" s="31">
        <f t="shared" si="2"/>
        <v>0</v>
      </c>
      <c r="R35" s="31">
        <f t="shared" si="3"/>
        <v>0</v>
      </c>
    </row>
    <row r="36" spans="2:18" ht="30.75" customHeight="1" x14ac:dyDescent="0.3">
      <c r="B36" s="32"/>
      <c r="P36" s="31">
        <f t="shared" si="2"/>
        <v>0</v>
      </c>
      <c r="R36" s="31">
        <f t="shared" si="3"/>
        <v>0</v>
      </c>
    </row>
    <row r="37" spans="2:18" ht="30.75" customHeight="1" x14ac:dyDescent="0.3">
      <c r="B37" s="32"/>
      <c r="P37" s="31">
        <f t="shared" si="2"/>
        <v>0</v>
      </c>
      <c r="R37" s="31">
        <f t="shared" si="3"/>
        <v>0</v>
      </c>
    </row>
    <row r="38" spans="2:18" ht="30.75" customHeight="1" x14ac:dyDescent="0.3">
      <c r="B38" s="32"/>
      <c r="P38" s="31">
        <f t="shared" si="2"/>
        <v>0</v>
      </c>
      <c r="R38" s="31">
        <f t="shared" si="3"/>
        <v>0</v>
      </c>
    </row>
    <row r="39" spans="2:18" ht="30.75" customHeight="1" x14ac:dyDescent="0.3">
      <c r="B39" s="32"/>
      <c r="P39" s="31">
        <f t="shared" si="2"/>
        <v>0</v>
      </c>
      <c r="R39" s="31">
        <f t="shared" si="3"/>
        <v>0</v>
      </c>
    </row>
    <row r="40" spans="2:18" ht="30.75" customHeight="1" x14ac:dyDescent="0.3">
      <c r="B40" s="32"/>
      <c r="P40" s="31">
        <f t="shared" si="2"/>
        <v>0</v>
      </c>
      <c r="R40" s="31">
        <f t="shared" si="3"/>
        <v>0</v>
      </c>
    </row>
    <row r="41" spans="2:18" ht="30.75" customHeight="1" x14ac:dyDescent="0.3">
      <c r="B41" s="32"/>
      <c r="P41" s="31">
        <f t="shared" si="2"/>
        <v>0</v>
      </c>
      <c r="R41" s="31">
        <f t="shared" si="3"/>
        <v>0</v>
      </c>
    </row>
    <row r="42" spans="2:18" ht="30.75" customHeight="1" x14ac:dyDescent="0.3">
      <c r="B42" s="32"/>
      <c r="P42" s="31">
        <f t="shared" si="2"/>
        <v>0</v>
      </c>
      <c r="R42" s="31">
        <f t="shared" si="3"/>
        <v>0</v>
      </c>
    </row>
    <row r="43" spans="2:18" ht="30.75" customHeight="1" x14ac:dyDescent="0.3">
      <c r="B43" s="32"/>
      <c r="P43" s="31">
        <f t="shared" si="2"/>
        <v>0</v>
      </c>
      <c r="R43" s="31">
        <f t="shared" si="3"/>
        <v>0</v>
      </c>
    </row>
    <row r="44" spans="2:18" ht="30.75" customHeight="1" x14ac:dyDescent="0.3">
      <c r="B44" s="32"/>
      <c r="P44" s="31">
        <f t="shared" si="2"/>
        <v>0</v>
      </c>
      <c r="R44" s="31">
        <f t="shared" si="3"/>
        <v>0</v>
      </c>
    </row>
    <row r="45" spans="2:18" ht="30.75" customHeight="1" x14ac:dyDescent="0.3">
      <c r="B45" s="32"/>
      <c r="P45" s="31">
        <f t="shared" si="2"/>
        <v>0</v>
      </c>
      <c r="R45" s="31">
        <f t="shared" si="3"/>
        <v>0</v>
      </c>
    </row>
    <row r="46" spans="2:18" ht="30.75" customHeight="1" x14ac:dyDescent="0.3">
      <c r="B46" s="32"/>
      <c r="P46" s="31">
        <f t="shared" si="2"/>
        <v>0</v>
      </c>
      <c r="R46" s="31">
        <f t="shared" si="3"/>
        <v>0</v>
      </c>
    </row>
    <row r="47" spans="2:18" ht="30.75" customHeight="1" x14ac:dyDescent="0.3">
      <c r="B47" s="32"/>
      <c r="P47" s="31">
        <f t="shared" si="2"/>
        <v>0</v>
      </c>
      <c r="R47" s="31">
        <f t="shared" si="3"/>
        <v>0</v>
      </c>
    </row>
    <row r="48" spans="2:18" ht="30.75" customHeight="1" x14ac:dyDescent="0.3">
      <c r="B48" s="32"/>
      <c r="P48" s="31">
        <f t="shared" si="2"/>
        <v>0</v>
      </c>
      <c r="R48" s="31">
        <f t="shared" si="3"/>
        <v>0</v>
      </c>
    </row>
    <row r="49" spans="2:18" ht="30.75" customHeight="1" x14ac:dyDescent="0.3">
      <c r="B49" s="32"/>
      <c r="P49" s="31">
        <f t="shared" si="2"/>
        <v>0</v>
      </c>
      <c r="R49" s="31">
        <f t="shared" si="3"/>
        <v>0</v>
      </c>
    </row>
    <row r="50" spans="2:18" ht="30.75" customHeight="1" x14ac:dyDescent="0.3">
      <c r="B50" s="32"/>
      <c r="P50" s="31">
        <f t="shared" si="2"/>
        <v>0</v>
      </c>
      <c r="R50" s="31">
        <f t="shared" si="3"/>
        <v>0</v>
      </c>
    </row>
    <row r="51" spans="2:18" ht="30.75" customHeight="1" x14ac:dyDescent="0.3">
      <c r="B51" s="32"/>
      <c r="P51" s="31">
        <f t="shared" si="2"/>
        <v>0</v>
      </c>
      <c r="R51" s="31">
        <f t="shared" si="3"/>
        <v>0</v>
      </c>
    </row>
    <row r="52" spans="2:18" ht="30.75" customHeight="1" x14ac:dyDescent="0.3">
      <c r="B52" s="32"/>
      <c r="P52" s="31">
        <f t="shared" si="2"/>
        <v>0</v>
      </c>
      <c r="R52" s="31">
        <f t="shared" si="3"/>
        <v>0</v>
      </c>
    </row>
    <row r="53" spans="2:18" ht="30.75" customHeight="1" x14ac:dyDescent="0.3">
      <c r="B53" s="32"/>
      <c r="P53" s="31">
        <f t="shared" si="2"/>
        <v>0</v>
      </c>
      <c r="R53" s="31">
        <f t="shared" si="3"/>
        <v>0</v>
      </c>
    </row>
    <row r="54" spans="2:18" ht="30.75" customHeight="1" x14ac:dyDescent="0.3">
      <c r="B54" s="32"/>
      <c r="P54" s="31">
        <f t="shared" si="2"/>
        <v>0</v>
      </c>
      <c r="R54" s="31">
        <f t="shared" si="3"/>
        <v>0</v>
      </c>
    </row>
    <row r="55" spans="2:18" ht="30.75" customHeight="1" x14ac:dyDescent="0.3">
      <c r="B55" s="32"/>
      <c r="P55" s="31">
        <f t="shared" si="2"/>
        <v>0</v>
      </c>
      <c r="R55" s="31">
        <f t="shared" si="3"/>
        <v>0</v>
      </c>
    </row>
    <row r="56" spans="2:18" ht="30.75" customHeight="1" x14ac:dyDescent="0.3">
      <c r="B56" s="32"/>
      <c r="P56" s="31">
        <f t="shared" si="2"/>
        <v>0</v>
      </c>
      <c r="R56" s="31">
        <f t="shared" si="3"/>
        <v>0</v>
      </c>
    </row>
    <row r="57" spans="2:18" ht="30.75" customHeight="1" x14ac:dyDescent="0.3">
      <c r="B57" s="32"/>
      <c r="P57" s="31">
        <f t="shared" si="2"/>
        <v>0</v>
      </c>
      <c r="R57" s="31">
        <f t="shared" si="3"/>
        <v>0</v>
      </c>
    </row>
    <row r="58" spans="2:18" ht="30.75" customHeight="1" x14ac:dyDescent="0.3">
      <c r="B58" s="32"/>
      <c r="P58" s="31">
        <f t="shared" si="2"/>
        <v>0</v>
      </c>
      <c r="R58" s="31">
        <f t="shared" si="3"/>
        <v>0</v>
      </c>
    </row>
    <row r="59" spans="2:18" ht="30.75" customHeight="1" x14ac:dyDescent="0.3">
      <c r="B59" s="32"/>
      <c r="P59" s="31">
        <f t="shared" si="2"/>
        <v>0</v>
      </c>
      <c r="R59" s="31">
        <f t="shared" si="3"/>
        <v>0</v>
      </c>
    </row>
    <row r="60" spans="2:18" ht="30.75" customHeight="1" x14ac:dyDescent="0.3">
      <c r="B60" s="32"/>
      <c r="P60" s="31">
        <f t="shared" si="2"/>
        <v>0</v>
      </c>
      <c r="R60" s="31">
        <f t="shared" si="3"/>
        <v>0</v>
      </c>
    </row>
    <row r="61" spans="2:18" ht="30.75" customHeight="1" x14ac:dyDescent="0.3">
      <c r="B61" s="32"/>
      <c r="P61" s="31">
        <f t="shared" si="2"/>
        <v>0</v>
      </c>
      <c r="R61" s="31">
        <f t="shared" si="3"/>
        <v>0</v>
      </c>
    </row>
    <row r="62" spans="2:18" ht="30.75" customHeight="1" x14ac:dyDescent="0.3">
      <c r="B62" s="32"/>
      <c r="P62" s="31">
        <f t="shared" si="2"/>
        <v>0</v>
      </c>
      <c r="R62" s="31">
        <f t="shared" si="3"/>
        <v>0</v>
      </c>
    </row>
    <row r="63" spans="2:18" ht="30.75" customHeight="1" x14ac:dyDescent="0.3">
      <c r="B63" s="32"/>
      <c r="P63" s="31">
        <f t="shared" si="2"/>
        <v>0</v>
      </c>
      <c r="R63" s="31">
        <f t="shared" si="3"/>
        <v>0</v>
      </c>
    </row>
    <row r="64" spans="2:18" ht="30.75" customHeight="1" x14ac:dyDescent="0.3">
      <c r="B64" s="32"/>
      <c r="P64" s="31">
        <f t="shared" si="2"/>
        <v>0</v>
      </c>
      <c r="R64" s="31">
        <f t="shared" si="3"/>
        <v>0</v>
      </c>
    </row>
    <row r="65" spans="2:18" ht="30.75" customHeight="1" x14ac:dyDescent="0.3">
      <c r="B65" s="32"/>
      <c r="P65" s="31">
        <f t="shared" si="2"/>
        <v>0</v>
      </c>
      <c r="R65" s="31">
        <f t="shared" si="3"/>
        <v>0</v>
      </c>
    </row>
    <row r="66" spans="2:18" ht="30.75" customHeight="1" x14ac:dyDescent="0.3">
      <c r="B66" s="32"/>
      <c r="P66" s="31">
        <f t="shared" si="2"/>
        <v>0</v>
      </c>
      <c r="R66" s="31">
        <f t="shared" si="3"/>
        <v>0</v>
      </c>
    </row>
    <row r="67" spans="2:18" ht="30.75" customHeight="1" x14ac:dyDescent="0.3">
      <c r="B67" s="32"/>
      <c r="P67" s="31">
        <f t="shared" si="2"/>
        <v>0</v>
      </c>
      <c r="R67" s="31">
        <f t="shared" si="3"/>
        <v>0</v>
      </c>
    </row>
    <row r="68" spans="2:18" ht="30.75" customHeight="1" x14ac:dyDescent="0.3">
      <c r="B68" s="32"/>
      <c r="P68" s="31">
        <f t="shared" si="2"/>
        <v>0</v>
      </c>
      <c r="R68" s="31">
        <f t="shared" si="3"/>
        <v>0</v>
      </c>
    </row>
    <row r="69" spans="2:18" ht="30.75" customHeight="1" x14ac:dyDescent="0.3">
      <c r="B69" s="32"/>
      <c r="P69" s="31">
        <f t="shared" si="2"/>
        <v>0</v>
      </c>
      <c r="R69" s="31">
        <f t="shared" si="3"/>
        <v>0</v>
      </c>
    </row>
    <row r="70" spans="2:18" ht="30.75" customHeight="1" x14ac:dyDescent="0.3">
      <c r="B70" s="32"/>
      <c r="P70" s="31">
        <f t="shared" si="2"/>
        <v>0</v>
      </c>
      <c r="R70" s="31">
        <f t="shared" si="3"/>
        <v>0</v>
      </c>
    </row>
    <row r="71" spans="2:18" ht="30.75" customHeight="1" x14ac:dyDescent="0.3">
      <c r="B71" s="32"/>
      <c r="P71" s="31">
        <f t="shared" si="2"/>
        <v>0</v>
      </c>
      <c r="R71" s="31">
        <f t="shared" si="3"/>
        <v>0</v>
      </c>
    </row>
    <row r="72" spans="2:18" ht="30.75" customHeight="1" x14ac:dyDescent="0.3">
      <c r="B72" s="32"/>
      <c r="P72" s="31">
        <f t="shared" si="2"/>
        <v>0</v>
      </c>
      <c r="R72" s="31">
        <f t="shared" si="3"/>
        <v>0</v>
      </c>
    </row>
    <row r="73" spans="2:18" ht="30.75" customHeight="1" x14ac:dyDescent="0.3">
      <c r="B73" s="32"/>
      <c r="P73" s="31">
        <f t="shared" si="2"/>
        <v>0</v>
      </c>
      <c r="R73" s="31">
        <f t="shared" si="3"/>
        <v>0</v>
      </c>
    </row>
    <row r="74" spans="2:18" ht="30.75" customHeight="1" x14ac:dyDescent="0.3">
      <c r="B74" s="32"/>
      <c r="P74" s="31">
        <f t="shared" ref="P74:P137" si="4">K74-L74-M74-N74+O74</f>
        <v>0</v>
      </c>
      <c r="R74" s="31">
        <f t="shared" ref="R74:R137" si="5">R73+K74-L74-M74-N74+O74-Q74</f>
        <v>0</v>
      </c>
    </row>
    <row r="75" spans="2:18" ht="30.75" customHeight="1" x14ac:dyDescent="0.3">
      <c r="B75" s="32"/>
      <c r="P75" s="31">
        <f t="shared" si="4"/>
        <v>0</v>
      </c>
      <c r="R75" s="31">
        <f t="shared" si="5"/>
        <v>0</v>
      </c>
    </row>
    <row r="76" spans="2:18" ht="30.75" customHeight="1" x14ac:dyDescent="0.3">
      <c r="B76" s="32"/>
      <c r="P76" s="31">
        <f t="shared" si="4"/>
        <v>0</v>
      </c>
      <c r="R76" s="31">
        <f t="shared" si="5"/>
        <v>0</v>
      </c>
    </row>
    <row r="77" spans="2:18" ht="30.75" customHeight="1" x14ac:dyDescent="0.3">
      <c r="B77" s="32"/>
      <c r="P77" s="31">
        <f t="shared" si="4"/>
        <v>0</v>
      </c>
      <c r="R77" s="31">
        <f t="shared" si="5"/>
        <v>0</v>
      </c>
    </row>
    <row r="78" spans="2:18" ht="30.75" customHeight="1" x14ac:dyDescent="0.3">
      <c r="B78" s="32"/>
      <c r="P78" s="31">
        <f t="shared" si="4"/>
        <v>0</v>
      </c>
      <c r="R78" s="31">
        <f t="shared" si="5"/>
        <v>0</v>
      </c>
    </row>
    <row r="79" spans="2:18" ht="30.75" customHeight="1" x14ac:dyDescent="0.3">
      <c r="B79" s="32"/>
      <c r="P79" s="31">
        <f t="shared" si="4"/>
        <v>0</v>
      </c>
      <c r="R79" s="31">
        <f t="shared" si="5"/>
        <v>0</v>
      </c>
    </row>
    <row r="80" spans="2:18" ht="30.75" customHeight="1" x14ac:dyDescent="0.3">
      <c r="B80" s="32"/>
      <c r="P80" s="31">
        <f t="shared" si="4"/>
        <v>0</v>
      </c>
      <c r="R80" s="31">
        <f t="shared" si="5"/>
        <v>0</v>
      </c>
    </row>
    <row r="81" spans="2:18" ht="30.75" customHeight="1" x14ac:dyDescent="0.3">
      <c r="B81" s="32"/>
      <c r="P81" s="31">
        <f t="shared" si="4"/>
        <v>0</v>
      </c>
      <c r="R81" s="31">
        <f t="shared" si="5"/>
        <v>0</v>
      </c>
    </row>
    <row r="82" spans="2:18" ht="30.75" customHeight="1" x14ac:dyDescent="0.3">
      <c r="B82" s="32"/>
      <c r="P82" s="31">
        <f t="shared" si="4"/>
        <v>0</v>
      </c>
      <c r="R82" s="31">
        <f t="shared" si="5"/>
        <v>0</v>
      </c>
    </row>
    <row r="83" spans="2:18" ht="30.75" customHeight="1" x14ac:dyDescent="0.3">
      <c r="B83" s="32"/>
      <c r="P83" s="31">
        <f t="shared" si="4"/>
        <v>0</v>
      </c>
      <c r="R83" s="31">
        <f t="shared" si="5"/>
        <v>0</v>
      </c>
    </row>
    <row r="84" spans="2:18" ht="30.75" customHeight="1" x14ac:dyDescent="0.3">
      <c r="B84" s="32"/>
      <c r="P84" s="31">
        <f t="shared" si="4"/>
        <v>0</v>
      </c>
      <c r="R84" s="31">
        <f t="shared" si="5"/>
        <v>0</v>
      </c>
    </row>
    <row r="85" spans="2:18" ht="30.75" customHeight="1" x14ac:dyDescent="0.3">
      <c r="B85" s="32"/>
      <c r="P85" s="31">
        <f t="shared" si="4"/>
        <v>0</v>
      </c>
      <c r="R85" s="31">
        <f t="shared" si="5"/>
        <v>0</v>
      </c>
    </row>
    <row r="86" spans="2:18" ht="30.75" customHeight="1" x14ac:dyDescent="0.3">
      <c r="B86" s="32"/>
      <c r="P86" s="31">
        <f t="shared" si="4"/>
        <v>0</v>
      </c>
      <c r="R86" s="31">
        <f t="shared" si="5"/>
        <v>0</v>
      </c>
    </row>
    <row r="87" spans="2:18" ht="30.75" customHeight="1" x14ac:dyDescent="0.3">
      <c r="B87" s="32"/>
      <c r="P87" s="31">
        <f t="shared" si="4"/>
        <v>0</v>
      </c>
      <c r="R87" s="31">
        <f t="shared" si="5"/>
        <v>0</v>
      </c>
    </row>
    <row r="88" spans="2:18" ht="30.75" customHeight="1" x14ac:dyDescent="0.3">
      <c r="B88" s="32"/>
      <c r="P88" s="31">
        <f t="shared" si="4"/>
        <v>0</v>
      </c>
      <c r="R88" s="31">
        <f t="shared" si="5"/>
        <v>0</v>
      </c>
    </row>
    <row r="89" spans="2:18" ht="30.75" customHeight="1" x14ac:dyDescent="0.3">
      <c r="B89" s="32"/>
      <c r="P89" s="31">
        <f t="shared" si="4"/>
        <v>0</v>
      </c>
      <c r="R89" s="31">
        <f t="shared" si="5"/>
        <v>0</v>
      </c>
    </row>
    <row r="90" spans="2:18" ht="30.75" customHeight="1" x14ac:dyDescent="0.3">
      <c r="B90" s="32"/>
      <c r="P90" s="31">
        <f t="shared" si="4"/>
        <v>0</v>
      </c>
      <c r="R90" s="31">
        <f t="shared" si="5"/>
        <v>0</v>
      </c>
    </row>
    <row r="91" spans="2:18" ht="30.75" customHeight="1" x14ac:dyDescent="0.3">
      <c r="B91" s="32"/>
      <c r="P91" s="31">
        <f t="shared" si="4"/>
        <v>0</v>
      </c>
      <c r="R91" s="31">
        <f t="shared" si="5"/>
        <v>0</v>
      </c>
    </row>
    <row r="92" spans="2:18" ht="30.75" customHeight="1" x14ac:dyDescent="0.3">
      <c r="B92" s="32"/>
      <c r="P92" s="31">
        <f t="shared" si="4"/>
        <v>0</v>
      </c>
      <c r="R92" s="31">
        <f t="shared" si="5"/>
        <v>0</v>
      </c>
    </row>
    <row r="93" spans="2:18" ht="30.75" customHeight="1" x14ac:dyDescent="0.3">
      <c r="B93" s="32"/>
      <c r="P93" s="31">
        <f t="shared" si="4"/>
        <v>0</v>
      </c>
      <c r="R93" s="31">
        <f t="shared" si="5"/>
        <v>0</v>
      </c>
    </row>
    <row r="94" spans="2:18" ht="30.75" customHeight="1" x14ac:dyDescent="0.3">
      <c r="B94" s="32"/>
      <c r="P94" s="31">
        <f t="shared" si="4"/>
        <v>0</v>
      </c>
      <c r="R94" s="31">
        <f t="shared" si="5"/>
        <v>0</v>
      </c>
    </row>
    <row r="95" spans="2:18" ht="30.75" customHeight="1" x14ac:dyDescent="0.3">
      <c r="B95" s="32"/>
      <c r="P95" s="31">
        <f t="shared" si="4"/>
        <v>0</v>
      </c>
      <c r="R95" s="31">
        <f t="shared" si="5"/>
        <v>0</v>
      </c>
    </row>
    <row r="96" spans="2:18" ht="30.75" customHeight="1" x14ac:dyDescent="0.3">
      <c r="B96" s="32"/>
      <c r="P96" s="31">
        <f t="shared" si="4"/>
        <v>0</v>
      </c>
      <c r="R96" s="31">
        <f t="shared" si="5"/>
        <v>0</v>
      </c>
    </row>
    <row r="97" spans="2:18" ht="30.75" customHeight="1" x14ac:dyDescent="0.3">
      <c r="B97" s="32"/>
      <c r="P97" s="31">
        <f t="shared" si="4"/>
        <v>0</v>
      </c>
      <c r="R97" s="31">
        <f t="shared" si="5"/>
        <v>0</v>
      </c>
    </row>
    <row r="98" spans="2:18" ht="30.75" customHeight="1" x14ac:dyDescent="0.3">
      <c r="B98" s="32"/>
      <c r="P98" s="31">
        <f t="shared" si="4"/>
        <v>0</v>
      </c>
      <c r="R98" s="31">
        <f t="shared" si="5"/>
        <v>0</v>
      </c>
    </row>
    <row r="99" spans="2:18" ht="30.75" customHeight="1" x14ac:dyDescent="0.3">
      <c r="B99" s="32"/>
      <c r="P99" s="31">
        <f t="shared" si="4"/>
        <v>0</v>
      </c>
      <c r="R99" s="31">
        <f t="shared" si="5"/>
        <v>0</v>
      </c>
    </row>
    <row r="100" spans="2:18" ht="30.75" customHeight="1" x14ac:dyDescent="0.3">
      <c r="B100" s="32"/>
      <c r="P100" s="31">
        <f t="shared" si="4"/>
        <v>0</v>
      </c>
      <c r="R100" s="31">
        <f t="shared" si="5"/>
        <v>0</v>
      </c>
    </row>
    <row r="101" spans="2:18" ht="30.75" customHeight="1" x14ac:dyDescent="0.3">
      <c r="B101" s="32"/>
      <c r="P101" s="31">
        <f t="shared" si="4"/>
        <v>0</v>
      </c>
      <c r="R101" s="31">
        <f t="shared" si="5"/>
        <v>0</v>
      </c>
    </row>
    <row r="102" spans="2:18" ht="30.75" customHeight="1" x14ac:dyDescent="0.3">
      <c r="B102" s="32"/>
      <c r="P102" s="31">
        <f t="shared" si="4"/>
        <v>0</v>
      </c>
      <c r="R102" s="31">
        <f t="shared" si="5"/>
        <v>0</v>
      </c>
    </row>
    <row r="103" spans="2:18" ht="30.75" customHeight="1" x14ac:dyDescent="0.3">
      <c r="B103" s="32"/>
      <c r="P103" s="31">
        <f t="shared" si="4"/>
        <v>0</v>
      </c>
      <c r="R103" s="31">
        <f t="shared" si="5"/>
        <v>0</v>
      </c>
    </row>
    <row r="104" spans="2:18" ht="30.75" customHeight="1" x14ac:dyDescent="0.3">
      <c r="B104" s="32"/>
      <c r="P104" s="31">
        <f t="shared" si="4"/>
        <v>0</v>
      </c>
      <c r="R104" s="31">
        <f t="shared" si="5"/>
        <v>0</v>
      </c>
    </row>
    <row r="105" spans="2:18" ht="30.75" customHeight="1" x14ac:dyDescent="0.3">
      <c r="B105" s="32"/>
      <c r="P105" s="31">
        <f t="shared" si="4"/>
        <v>0</v>
      </c>
      <c r="R105" s="31">
        <f t="shared" si="5"/>
        <v>0</v>
      </c>
    </row>
    <row r="106" spans="2:18" ht="30.75" customHeight="1" x14ac:dyDescent="0.3">
      <c r="B106" s="32"/>
      <c r="P106" s="31">
        <f t="shared" si="4"/>
        <v>0</v>
      </c>
      <c r="R106" s="31">
        <f t="shared" si="5"/>
        <v>0</v>
      </c>
    </row>
    <row r="107" spans="2:18" ht="30.75" customHeight="1" x14ac:dyDescent="0.3">
      <c r="B107" s="32"/>
      <c r="P107" s="31">
        <f t="shared" si="4"/>
        <v>0</v>
      </c>
      <c r="R107" s="31">
        <f t="shared" si="5"/>
        <v>0</v>
      </c>
    </row>
    <row r="108" spans="2:18" ht="30.75" customHeight="1" x14ac:dyDescent="0.3">
      <c r="B108" s="32"/>
      <c r="P108" s="31">
        <f t="shared" si="4"/>
        <v>0</v>
      </c>
      <c r="R108" s="31">
        <f t="shared" si="5"/>
        <v>0</v>
      </c>
    </row>
    <row r="109" spans="2:18" ht="30.75" customHeight="1" x14ac:dyDescent="0.3">
      <c r="B109" s="32"/>
      <c r="P109" s="31">
        <f t="shared" si="4"/>
        <v>0</v>
      </c>
      <c r="R109" s="31">
        <f t="shared" si="5"/>
        <v>0</v>
      </c>
    </row>
    <row r="110" spans="2:18" ht="30.75" customHeight="1" x14ac:dyDescent="0.3">
      <c r="B110" s="32"/>
      <c r="P110" s="31">
        <f t="shared" si="4"/>
        <v>0</v>
      </c>
      <c r="R110" s="31">
        <f t="shared" si="5"/>
        <v>0</v>
      </c>
    </row>
    <row r="111" spans="2:18" ht="30.75" customHeight="1" x14ac:dyDescent="0.3">
      <c r="B111" s="32"/>
      <c r="P111" s="31">
        <f t="shared" si="4"/>
        <v>0</v>
      </c>
      <c r="R111" s="31">
        <f t="shared" si="5"/>
        <v>0</v>
      </c>
    </row>
    <row r="112" spans="2:18" ht="30.75" customHeight="1" x14ac:dyDescent="0.3">
      <c r="B112" s="32"/>
      <c r="P112" s="31">
        <f t="shared" si="4"/>
        <v>0</v>
      </c>
      <c r="R112" s="31">
        <f t="shared" si="5"/>
        <v>0</v>
      </c>
    </row>
    <row r="113" spans="2:18" ht="30.75" customHeight="1" x14ac:dyDescent="0.3">
      <c r="B113" s="32"/>
      <c r="P113" s="31">
        <f t="shared" si="4"/>
        <v>0</v>
      </c>
      <c r="R113" s="31">
        <f t="shared" si="5"/>
        <v>0</v>
      </c>
    </row>
    <row r="114" spans="2:18" ht="30.75" customHeight="1" x14ac:dyDescent="0.3">
      <c r="B114" s="32"/>
      <c r="P114" s="31">
        <f t="shared" si="4"/>
        <v>0</v>
      </c>
      <c r="R114" s="31">
        <f t="shared" si="5"/>
        <v>0</v>
      </c>
    </row>
    <row r="115" spans="2:18" ht="30.75" customHeight="1" x14ac:dyDescent="0.3">
      <c r="B115" s="32"/>
      <c r="P115" s="31">
        <f t="shared" si="4"/>
        <v>0</v>
      </c>
      <c r="R115" s="31">
        <f t="shared" si="5"/>
        <v>0</v>
      </c>
    </row>
    <row r="116" spans="2:18" ht="30.75" customHeight="1" x14ac:dyDescent="0.3">
      <c r="B116" s="32"/>
      <c r="P116" s="31">
        <f t="shared" si="4"/>
        <v>0</v>
      </c>
      <c r="R116" s="31">
        <f t="shared" si="5"/>
        <v>0</v>
      </c>
    </row>
    <row r="117" spans="2:18" ht="30.75" customHeight="1" x14ac:dyDescent="0.3">
      <c r="B117" s="32"/>
      <c r="P117" s="31">
        <f t="shared" si="4"/>
        <v>0</v>
      </c>
      <c r="R117" s="31">
        <f t="shared" si="5"/>
        <v>0</v>
      </c>
    </row>
    <row r="118" spans="2:18" ht="30.75" customHeight="1" x14ac:dyDescent="0.3">
      <c r="B118" s="32"/>
      <c r="P118" s="31">
        <f t="shared" si="4"/>
        <v>0</v>
      </c>
      <c r="R118" s="31">
        <f t="shared" si="5"/>
        <v>0</v>
      </c>
    </row>
    <row r="119" spans="2:18" ht="30.75" customHeight="1" x14ac:dyDescent="0.3">
      <c r="B119" s="32"/>
      <c r="P119" s="31">
        <f t="shared" si="4"/>
        <v>0</v>
      </c>
      <c r="R119" s="31">
        <f t="shared" si="5"/>
        <v>0</v>
      </c>
    </row>
    <row r="120" spans="2:18" ht="30.75" customHeight="1" x14ac:dyDescent="0.3">
      <c r="B120" s="32"/>
      <c r="P120" s="31">
        <f t="shared" si="4"/>
        <v>0</v>
      </c>
      <c r="R120" s="31">
        <f t="shared" si="5"/>
        <v>0</v>
      </c>
    </row>
    <row r="121" spans="2:18" ht="30.75" customHeight="1" x14ac:dyDescent="0.3">
      <c r="B121" s="32"/>
      <c r="P121" s="31">
        <f t="shared" si="4"/>
        <v>0</v>
      </c>
      <c r="R121" s="31">
        <f t="shared" si="5"/>
        <v>0</v>
      </c>
    </row>
    <row r="122" spans="2:18" ht="30.75" customHeight="1" x14ac:dyDescent="0.3">
      <c r="B122" s="32"/>
      <c r="P122" s="31">
        <f t="shared" si="4"/>
        <v>0</v>
      </c>
      <c r="R122" s="31">
        <f t="shared" si="5"/>
        <v>0</v>
      </c>
    </row>
    <row r="123" spans="2:18" ht="30.75" customHeight="1" x14ac:dyDescent="0.3">
      <c r="B123" s="32"/>
      <c r="P123" s="31">
        <f t="shared" si="4"/>
        <v>0</v>
      </c>
      <c r="R123" s="31">
        <f t="shared" si="5"/>
        <v>0</v>
      </c>
    </row>
    <row r="124" spans="2:18" ht="30.75" customHeight="1" x14ac:dyDescent="0.3">
      <c r="B124" s="32"/>
      <c r="P124" s="31">
        <f t="shared" si="4"/>
        <v>0</v>
      </c>
      <c r="R124" s="31">
        <f t="shared" si="5"/>
        <v>0</v>
      </c>
    </row>
    <row r="125" spans="2:18" ht="30.75" customHeight="1" x14ac:dyDescent="0.3">
      <c r="B125" s="32"/>
      <c r="P125" s="31">
        <f t="shared" si="4"/>
        <v>0</v>
      </c>
      <c r="R125" s="31">
        <f t="shared" si="5"/>
        <v>0</v>
      </c>
    </row>
    <row r="126" spans="2:18" ht="30.75" customHeight="1" x14ac:dyDescent="0.3">
      <c r="B126" s="32"/>
      <c r="P126" s="31">
        <f t="shared" si="4"/>
        <v>0</v>
      </c>
      <c r="R126" s="31">
        <f t="shared" si="5"/>
        <v>0</v>
      </c>
    </row>
    <row r="127" spans="2:18" ht="30.75" customHeight="1" x14ac:dyDescent="0.3">
      <c r="B127" s="32"/>
      <c r="P127" s="31">
        <f t="shared" si="4"/>
        <v>0</v>
      </c>
      <c r="R127" s="31">
        <f t="shared" si="5"/>
        <v>0</v>
      </c>
    </row>
    <row r="128" spans="2:18" ht="30.75" customHeight="1" x14ac:dyDescent="0.3">
      <c r="B128" s="32"/>
      <c r="P128" s="31">
        <f t="shared" si="4"/>
        <v>0</v>
      </c>
      <c r="R128" s="31">
        <f t="shared" si="5"/>
        <v>0</v>
      </c>
    </row>
    <row r="129" spans="2:18" ht="30.75" customHeight="1" x14ac:dyDescent="0.3">
      <c r="B129" s="32"/>
      <c r="P129" s="31">
        <f t="shared" si="4"/>
        <v>0</v>
      </c>
      <c r="R129" s="31">
        <f t="shared" si="5"/>
        <v>0</v>
      </c>
    </row>
    <row r="130" spans="2:18" ht="30.75" customHeight="1" x14ac:dyDescent="0.3">
      <c r="B130" s="32"/>
      <c r="P130" s="31">
        <f t="shared" si="4"/>
        <v>0</v>
      </c>
      <c r="R130" s="31">
        <f t="shared" si="5"/>
        <v>0</v>
      </c>
    </row>
    <row r="131" spans="2:18" ht="30.75" customHeight="1" x14ac:dyDescent="0.3">
      <c r="B131" s="32"/>
      <c r="P131" s="31">
        <f t="shared" si="4"/>
        <v>0</v>
      </c>
      <c r="R131" s="31">
        <f t="shared" si="5"/>
        <v>0</v>
      </c>
    </row>
    <row r="132" spans="2:18" ht="30.75" customHeight="1" x14ac:dyDescent="0.3">
      <c r="B132" s="32"/>
      <c r="P132" s="31">
        <f t="shared" si="4"/>
        <v>0</v>
      </c>
      <c r="R132" s="31">
        <f t="shared" si="5"/>
        <v>0</v>
      </c>
    </row>
    <row r="133" spans="2:18" ht="30.75" customHeight="1" x14ac:dyDescent="0.3">
      <c r="B133" s="32"/>
      <c r="P133" s="31">
        <f t="shared" si="4"/>
        <v>0</v>
      </c>
      <c r="R133" s="31">
        <f t="shared" si="5"/>
        <v>0</v>
      </c>
    </row>
    <row r="134" spans="2:18" ht="30.75" customHeight="1" x14ac:dyDescent="0.3">
      <c r="B134" s="32"/>
      <c r="P134" s="31">
        <f t="shared" si="4"/>
        <v>0</v>
      </c>
      <c r="R134" s="31">
        <f t="shared" si="5"/>
        <v>0</v>
      </c>
    </row>
    <row r="135" spans="2:18" ht="30.75" customHeight="1" x14ac:dyDescent="0.3">
      <c r="B135" s="32"/>
      <c r="P135" s="31">
        <f t="shared" si="4"/>
        <v>0</v>
      </c>
      <c r="R135" s="31">
        <f t="shared" si="5"/>
        <v>0</v>
      </c>
    </row>
    <row r="136" spans="2:18" ht="30.75" customHeight="1" x14ac:dyDescent="0.3">
      <c r="B136" s="32"/>
      <c r="P136" s="31">
        <f t="shared" si="4"/>
        <v>0</v>
      </c>
      <c r="R136" s="31">
        <f t="shared" si="5"/>
        <v>0</v>
      </c>
    </row>
    <row r="137" spans="2:18" ht="30.75" customHeight="1" x14ac:dyDescent="0.3">
      <c r="B137" s="32"/>
      <c r="P137" s="31">
        <f t="shared" si="4"/>
        <v>0</v>
      </c>
      <c r="R137" s="31">
        <f t="shared" si="5"/>
        <v>0</v>
      </c>
    </row>
    <row r="138" spans="2:18" ht="30.75" customHeight="1" x14ac:dyDescent="0.3">
      <c r="B138" s="32"/>
      <c r="P138" s="31">
        <f t="shared" ref="P138:P201" si="6">K138-L138-M138-N138+O138</f>
        <v>0</v>
      </c>
      <c r="R138" s="31">
        <f t="shared" ref="R138:R201" si="7">R137+K138-L138-M138-N138+O138-Q138</f>
        <v>0</v>
      </c>
    </row>
    <row r="139" spans="2:18" ht="30.75" customHeight="1" x14ac:dyDescent="0.3">
      <c r="B139" s="32"/>
      <c r="P139" s="31">
        <f t="shared" si="6"/>
        <v>0</v>
      </c>
      <c r="R139" s="31">
        <f t="shared" si="7"/>
        <v>0</v>
      </c>
    </row>
    <row r="140" spans="2:18" ht="30.75" customHeight="1" x14ac:dyDescent="0.3">
      <c r="B140" s="32"/>
      <c r="P140" s="31">
        <f t="shared" si="6"/>
        <v>0</v>
      </c>
      <c r="R140" s="31">
        <f t="shared" si="7"/>
        <v>0</v>
      </c>
    </row>
    <row r="141" spans="2:18" ht="30.75" customHeight="1" x14ac:dyDescent="0.3">
      <c r="B141" s="32"/>
      <c r="P141" s="31">
        <f t="shared" si="6"/>
        <v>0</v>
      </c>
      <c r="R141" s="31">
        <f t="shared" si="7"/>
        <v>0</v>
      </c>
    </row>
    <row r="142" spans="2:18" ht="30.75" customHeight="1" x14ac:dyDescent="0.3">
      <c r="B142" s="32"/>
      <c r="P142" s="31">
        <f t="shared" si="6"/>
        <v>0</v>
      </c>
      <c r="R142" s="31">
        <f t="shared" si="7"/>
        <v>0</v>
      </c>
    </row>
    <row r="143" spans="2:18" ht="30.75" customHeight="1" x14ac:dyDescent="0.3">
      <c r="B143" s="32"/>
      <c r="P143" s="31">
        <f t="shared" si="6"/>
        <v>0</v>
      </c>
      <c r="R143" s="31">
        <f t="shared" si="7"/>
        <v>0</v>
      </c>
    </row>
    <row r="144" spans="2:18" ht="30.75" customHeight="1" x14ac:dyDescent="0.3">
      <c r="B144" s="32"/>
      <c r="P144" s="31">
        <f t="shared" si="6"/>
        <v>0</v>
      </c>
      <c r="R144" s="31">
        <f t="shared" si="7"/>
        <v>0</v>
      </c>
    </row>
    <row r="145" spans="2:18" ht="30.75" customHeight="1" x14ac:dyDescent="0.3">
      <c r="B145" s="32"/>
      <c r="P145" s="31">
        <f t="shared" si="6"/>
        <v>0</v>
      </c>
      <c r="R145" s="31">
        <f t="shared" si="7"/>
        <v>0</v>
      </c>
    </row>
    <row r="146" spans="2:18" ht="30.75" customHeight="1" x14ac:dyDescent="0.3">
      <c r="B146" s="32"/>
      <c r="P146" s="31">
        <f t="shared" si="6"/>
        <v>0</v>
      </c>
      <c r="R146" s="31">
        <f t="shared" si="7"/>
        <v>0</v>
      </c>
    </row>
    <row r="147" spans="2:18" ht="30.75" customHeight="1" x14ac:dyDescent="0.3">
      <c r="B147" s="32"/>
      <c r="P147" s="31">
        <f t="shared" si="6"/>
        <v>0</v>
      </c>
      <c r="R147" s="31">
        <f t="shared" si="7"/>
        <v>0</v>
      </c>
    </row>
    <row r="148" spans="2:18" ht="30.75" customHeight="1" x14ac:dyDescent="0.3">
      <c r="B148" s="32"/>
      <c r="P148" s="31">
        <f t="shared" si="6"/>
        <v>0</v>
      </c>
      <c r="R148" s="31">
        <f t="shared" si="7"/>
        <v>0</v>
      </c>
    </row>
    <row r="149" spans="2:18" ht="30.75" customHeight="1" x14ac:dyDescent="0.3">
      <c r="B149" s="32"/>
      <c r="P149" s="31">
        <f t="shared" si="6"/>
        <v>0</v>
      </c>
      <c r="R149" s="31">
        <f t="shared" si="7"/>
        <v>0</v>
      </c>
    </row>
    <row r="150" spans="2:18" ht="30.75" customHeight="1" x14ac:dyDescent="0.3">
      <c r="B150" s="32"/>
      <c r="P150" s="31">
        <f t="shared" si="6"/>
        <v>0</v>
      </c>
      <c r="R150" s="31">
        <f t="shared" si="7"/>
        <v>0</v>
      </c>
    </row>
    <row r="151" spans="2:18" ht="30.75" customHeight="1" x14ac:dyDescent="0.3">
      <c r="B151" s="32"/>
      <c r="P151" s="31">
        <f t="shared" si="6"/>
        <v>0</v>
      </c>
      <c r="R151" s="31">
        <f t="shared" si="7"/>
        <v>0</v>
      </c>
    </row>
    <row r="152" spans="2:18" ht="30.75" customHeight="1" x14ac:dyDescent="0.3">
      <c r="B152" s="32"/>
      <c r="P152" s="31">
        <f t="shared" si="6"/>
        <v>0</v>
      </c>
      <c r="R152" s="31">
        <f t="shared" si="7"/>
        <v>0</v>
      </c>
    </row>
    <row r="153" spans="2:18" ht="30.75" customHeight="1" x14ac:dyDescent="0.3">
      <c r="B153" s="32"/>
      <c r="P153" s="31">
        <f t="shared" si="6"/>
        <v>0</v>
      </c>
      <c r="R153" s="31">
        <f t="shared" si="7"/>
        <v>0</v>
      </c>
    </row>
    <row r="154" spans="2:18" ht="30.75" customHeight="1" x14ac:dyDescent="0.3">
      <c r="B154" s="32"/>
      <c r="P154" s="31">
        <f t="shared" si="6"/>
        <v>0</v>
      </c>
      <c r="R154" s="31">
        <f t="shared" si="7"/>
        <v>0</v>
      </c>
    </row>
    <row r="155" spans="2:18" ht="30.75" customHeight="1" x14ac:dyDescent="0.3">
      <c r="B155" s="32"/>
      <c r="P155" s="31">
        <f t="shared" si="6"/>
        <v>0</v>
      </c>
      <c r="R155" s="31">
        <f t="shared" si="7"/>
        <v>0</v>
      </c>
    </row>
    <row r="156" spans="2:18" ht="30.75" customHeight="1" x14ac:dyDescent="0.3">
      <c r="B156" s="32"/>
      <c r="P156" s="31">
        <f t="shared" si="6"/>
        <v>0</v>
      </c>
      <c r="R156" s="31">
        <f t="shared" si="7"/>
        <v>0</v>
      </c>
    </row>
    <row r="157" spans="2:18" ht="30.75" customHeight="1" x14ac:dyDescent="0.3">
      <c r="B157" s="32"/>
      <c r="P157" s="31">
        <f t="shared" si="6"/>
        <v>0</v>
      </c>
      <c r="R157" s="31">
        <f t="shared" si="7"/>
        <v>0</v>
      </c>
    </row>
    <row r="158" spans="2:18" ht="30.75" customHeight="1" x14ac:dyDescent="0.3">
      <c r="B158" s="32"/>
      <c r="P158" s="31">
        <f t="shared" si="6"/>
        <v>0</v>
      </c>
      <c r="R158" s="31">
        <f t="shared" si="7"/>
        <v>0</v>
      </c>
    </row>
    <row r="159" spans="2:18" ht="30.75" customHeight="1" x14ac:dyDescent="0.3">
      <c r="B159" s="32"/>
      <c r="P159" s="31">
        <f t="shared" si="6"/>
        <v>0</v>
      </c>
      <c r="R159" s="31">
        <f t="shared" si="7"/>
        <v>0</v>
      </c>
    </row>
    <row r="160" spans="2:18" ht="30.75" customHeight="1" x14ac:dyDescent="0.3">
      <c r="B160" s="32"/>
      <c r="P160" s="31">
        <f t="shared" si="6"/>
        <v>0</v>
      </c>
      <c r="R160" s="31">
        <f t="shared" si="7"/>
        <v>0</v>
      </c>
    </row>
    <row r="161" spans="2:18" ht="30.75" customHeight="1" x14ac:dyDescent="0.3">
      <c r="B161" s="32"/>
      <c r="P161" s="31">
        <f t="shared" si="6"/>
        <v>0</v>
      </c>
      <c r="R161" s="31">
        <f t="shared" si="7"/>
        <v>0</v>
      </c>
    </row>
    <row r="162" spans="2:18" ht="30.75" customHeight="1" x14ac:dyDescent="0.3">
      <c r="B162" s="32"/>
      <c r="P162" s="31">
        <f t="shared" si="6"/>
        <v>0</v>
      </c>
      <c r="R162" s="31">
        <f t="shared" si="7"/>
        <v>0</v>
      </c>
    </row>
    <row r="163" spans="2:18" ht="30.75" customHeight="1" x14ac:dyDescent="0.3">
      <c r="B163" s="32"/>
      <c r="P163" s="31">
        <f t="shared" si="6"/>
        <v>0</v>
      </c>
      <c r="R163" s="31">
        <f t="shared" si="7"/>
        <v>0</v>
      </c>
    </row>
    <row r="164" spans="2:18" ht="30.75" customHeight="1" x14ac:dyDescent="0.3">
      <c r="B164" s="32"/>
      <c r="P164" s="31">
        <f t="shared" si="6"/>
        <v>0</v>
      </c>
      <c r="R164" s="31">
        <f t="shared" si="7"/>
        <v>0</v>
      </c>
    </row>
    <row r="165" spans="2:18" ht="30.75" customHeight="1" x14ac:dyDescent="0.3">
      <c r="B165" s="32"/>
      <c r="P165" s="31">
        <f t="shared" si="6"/>
        <v>0</v>
      </c>
      <c r="R165" s="31">
        <f t="shared" si="7"/>
        <v>0</v>
      </c>
    </row>
    <row r="166" spans="2:18" ht="30.75" customHeight="1" x14ac:dyDescent="0.3">
      <c r="B166" s="32"/>
      <c r="P166" s="31">
        <f t="shared" si="6"/>
        <v>0</v>
      </c>
      <c r="R166" s="31">
        <f t="shared" si="7"/>
        <v>0</v>
      </c>
    </row>
    <row r="167" spans="2:18" ht="30.75" customHeight="1" x14ac:dyDescent="0.3">
      <c r="B167" s="32"/>
      <c r="P167" s="31">
        <f t="shared" si="6"/>
        <v>0</v>
      </c>
      <c r="R167" s="31">
        <f t="shared" si="7"/>
        <v>0</v>
      </c>
    </row>
    <row r="168" spans="2:18" ht="30.75" customHeight="1" x14ac:dyDescent="0.3">
      <c r="B168" s="32"/>
      <c r="P168" s="31">
        <f t="shared" si="6"/>
        <v>0</v>
      </c>
      <c r="R168" s="31">
        <f t="shared" si="7"/>
        <v>0</v>
      </c>
    </row>
    <row r="169" spans="2:18" ht="30.75" customHeight="1" x14ac:dyDescent="0.3">
      <c r="B169" s="32"/>
      <c r="P169" s="31">
        <f t="shared" si="6"/>
        <v>0</v>
      </c>
      <c r="R169" s="31">
        <f t="shared" si="7"/>
        <v>0</v>
      </c>
    </row>
    <row r="170" spans="2:18" ht="30.75" customHeight="1" x14ac:dyDescent="0.3">
      <c r="B170" s="32"/>
      <c r="P170" s="31">
        <f t="shared" si="6"/>
        <v>0</v>
      </c>
      <c r="R170" s="31">
        <f t="shared" si="7"/>
        <v>0</v>
      </c>
    </row>
    <row r="171" spans="2:18" ht="30.75" customHeight="1" x14ac:dyDescent="0.3">
      <c r="B171" s="32"/>
      <c r="P171" s="31">
        <f t="shared" si="6"/>
        <v>0</v>
      </c>
      <c r="R171" s="31">
        <f t="shared" si="7"/>
        <v>0</v>
      </c>
    </row>
    <row r="172" spans="2:18" ht="30.75" customHeight="1" x14ac:dyDescent="0.3">
      <c r="B172" s="32"/>
      <c r="P172" s="31">
        <f t="shared" si="6"/>
        <v>0</v>
      </c>
      <c r="R172" s="31">
        <f t="shared" si="7"/>
        <v>0</v>
      </c>
    </row>
    <row r="173" spans="2:18" ht="30.75" customHeight="1" x14ac:dyDescent="0.3">
      <c r="B173" s="32"/>
      <c r="P173" s="31">
        <f t="shared" si="6"/>
        <v>0</v>
      </c>
      <c r="R173" s="31">
        <f t="shared" si="7"/>
        <v>0</v>
      </c>
    </row>
    <row r="174" spans="2:18" ht="30.75" customHeight="1" x14ac:dyDescent="0.3">
      <c r="B174" s="32"/>
      <c r="P174" s="31">
        <f t="shared" si="6"/>
        <v>0</v>
      </c>
      <c r="R174" s="31">
        <f t="shared" si="7"/>
        <v>0</v>
      </c>
    </row>
    <row r="175" spans="2:18" ht="30.75" customHeight="1" x14ac:dyDescent="0.3">
      <c r="B175" s="32"/>
      <c r="P175" s="31">
        <f t="shared" si="6"/>
        <v>0</v>
      </c>
      <c r="R175" s="31">
        <f t="shared" si="7"/>
        <v>0</v>
      </c>
    </row>
    <row r="176" spans="2:18" ht="30.75" customHeight="1" x14ac:dyDescent="0.3">
      <c r="B176" s="32"/>
      <c r="P176" s="31">
        <f t="shared" si="6"/>
        <v>0</v>
      </c>
      <c r="R176" s="31">
        <f t="shared" si="7"/>
        <v>0</v>
      </c>
    </row>
    <row r="177" spans="2:18" ht="30.75" customHeight="1" x14ac:dyDescent="0.3">
      <c r="B177" s="32"/>
      <c r="P177" s="31">
        <f t="shared" si="6"/>
        <v>0</v>
      </c>
      <c r="R177" s="31">
        <f t="shared" si="7"/>
        <v>0</v>
      </c>
    </row>
    <row r="178" spans="2:18" ht="30.75" customHeight="1" x14ac:dyDescent="0.3">
      <c r="B178" s="32"/>
      <c r="P178" s="31">
        <f t="shared" si="6"/>
        <v>0</v>
      </c>
      <c r="R178" s="31">
        <f t="shared" si="7"/>
        <v>0</v>
      </c>
    </row>
    <row r="179" spans="2:18" ht="30.75" customHeight="1" x14ac:dyDescent="0.3">
      <c r="B179" s="32"/>
      <c r="P179" s="31">
        <f t="shared" si="6"/>
        <v>0</v>
      </c>
      <c r="R179" s="31">
        <f t="shared" si="7"/>
        <v>0</v>
      </c>
    </row>
    <row r="180" spans="2:18" ht="30.75" customHeight="1" x14ac:dyDescent="0.3">
      <c r="B180" s="32"/>
      <c r="P180" s="31">
        <f t="shared" si="6"/>
        <v>0</v>
      </c>
      <c r="R180" s="31">
        <f t="shared" si="7"/>
        <v>0</v>
      </c>
    </row>
    <row r="181" spans="2:18" ht="30.75" customHeight="1" x14ac:dyDescent="0.3">
      <c r="B181" s="32"/>
      <c r="P181" s="31">
        <f t="shared" si="6"/>
        <v>0</v>
      </c>
      <c r="R181" s="31">
        <f t="shared" si="7"/>
        <v>0</v>
      </c>
    </row>
    <row r="182" spans="2:18" ht="30.75" customHeight="1" x14ac:dyDescent="0.3">
      <c r="B182" s="32"/>
      <c r="P182" s="31">
        <f t="shared" si="6"/>
        <v>0</v>
      </c>
      <c r="R182" s="31">
        <f t="shared" si="7"/>
        <v>0</v>
      </c>
    </row>
    <row r="183" spans="2:18" ht="30.75" customHeight="1" x14ac:dyDescent="0.3">
      <c r="B183" s="32"/>
      <c r="P183" s="31">
        <f t="shared" si="6"/>
        <v>0</v>
      </c>
      <c r="R183" s="31">
        <f t="shared" si="7"/>
        <v>0</v>
      </c>
    </row>
    <row r="184" spans="2:18" ht="30.75" customHeight="1" x14ac:dyDescent="0.3">
      <c r="B184" s="32"/>
      <c r="P184" s="31">
        <f t="shared" si="6"/>
        <v>0</v>
      </c>
      <c r="R184" s="31">
        <f t="shared" si="7"/>
        <v>0</v>
      </c>
    </row>
    <row r="185" spans="2:18" ht="30.75" customHeight="1" x14ac:dyDescent="0.3">
      <c r="B185" s="32"/>
      <c r="P185" s="31">
        <f t="shared" si="6"/>
        <v>0</v>
      </c>
      <c r="R185" s="31">
        <f t="shared" si="7"/>
        <v>0</v>
      </c>
    </row>
    <row r="186" spans="2:18" ht="30.75" customHeight="1" x14ac:dyDescent="0.3">
      <c r="B186" s="32"/>
      <c r="P186" s="31">
        <f t="shared" si="6"/>
        <v>0</v>
      </c>
      <c r="R186" s="31">
        <f t="shared" si="7"/>
        <v>0</v>
      </c>
    </row>
    <row r="187" spans="2:18" ht="30.75" customHeight="1" x14ac:dyDescent="0.3">
      <c r="B187" s="32"/>
      <c r="P187" s="31">
        <f t="shared" si="6"/>
        <v>0</v>
      </c>
      <c r="R187" s="31">
        <f t="shared" si="7"/>
        <v>0</v>
      </c>
    </row>
    <row r="188" spans="2:18" ht="30.75" customHeight="1" x14ac:dyDescent="0.3">
      <c r="B188" s="32"/>
      <c r="P188" s="31">
        <f t="shared" si="6"/>
        <v>0</v>
      </c>
      <c r="R188" s="31">
        <f t="shared" si="7"/>
        <v>0</v>
      </c>
    </row>
    <row r="189" spans="2:18" ht="30.75" customHeight="1" x14ac:dyDescent="0.3">
      <c r="B189" s="32"/>
      <c r="P189" s="31">
        <f t="shared" si="6"/>
        <v>0</v>
      </c>
      <c r="R189" s="31">
        <f t="shared" si="7"/>
        <v>0</v>
      </c>
    </row>
    <row r="190" spans="2:18" ht="30.75" customHeight="1" x14ac:dyDescent="0.3">
      <c r="B190" s="32"/>
      <c r="P190" s="31">
        <f t="shared" si="6"/>
        <v>0</v>
      </c>
      <c r="R190" s="31">
        <f t="shared" si="7"/>
        <v>0</v>
      </c>
    </row>
    <row r="191" spans="2:18" ht="30.75" customHeight="1" x14ac:dyDescent="0.3">
      <c r="B191" s="32"/>
      <c r="P191" s="31">
        <f t="shared" si="6"/>
        <v>0</v>
      </c>
      <c r="R191" s="31">
        <f t="shared" si="7"/>
        <v>0</v>
      </c>
    </row>
    <row r="192" spans="2:18" ht="30.75" customHeight="1" x14ac:dyDescent="0.3">
      <c r="B192" s="32"/>
      <c r="P192" s="31">
        <f t="shared" si="6"/>
        <v>0</v>
      </c>
      <c r="R192" s="31">
        <f t="shared" si="7"/>
        <v>0</v>
      </c>
    </row>
    <row r="193" spans="2:18" ht="30.75" customHeight="1" x14ac:dyDescent="0.3">
      <c r="B193" s="32"/>
      <c r="P193" s="31">
        <f t="shared" si="6"/>
        <v>0</v>
      </c>
      <c r="R193" s="31">
        <f t="shared" si="7"/>
        <v>0</v>
      </c>
    </row>
    <row r="194" spans="2:18" ht="30.75" customHeight="1" x14ac:dyDescent="0.3">
      <c r="B194" s="32"/>
      <c r="P194" s="31">
        <f t="shared" si="6"/>
        <v>0</v>
      </c>
      <c r="R194" s="31">
        <f t="shared" si="7"/>
        <v>0</v>
      </c>
    </row>
    <row r="195" spans="2:18" ht="30.75" customHeight="1" x14ac:dyDescent="0.3">
      <c r="B195" s="32"/>
      <c r="P195" s="31">
        <f t="shared" si="6"/>
        <v>0</v>
      </c>
      <c r="R195" s="31">
        <f t="shared" si="7"/>
        <v>0</v>
      </c>
    </row>
    <row r="196" spans="2:18" ht="30.75" customHeight="1" x14ac:dyDescent="0.3">
      <c r="B196" s="32"/>
      <c r="P196" s="31">
        <f t="shared" si="6"/>
        <v>0</v>
      </c>
      <c r="R196" s="31">
        <f t="shared" si="7"/>
        <v>0</v>
      </c>
    </row>
    <row r="197" spans="2:18" ht="30.75" customHeight="1" x14ac:dyDescent="0.3">
      <c r="B197" s="32"/>
      <c r="P197" s="31">
        <f t="shared" si="6"/>
        <v>0</v>
      </c>
      <c r="R197" s="31">
        <f t="shared" si="7"/>
        <v>0</v>
      </c>
    </row>
    <row r="198" spans="2:18" ht="30.75" customHeight="1" x14ac:dyDescent="0.3">
      <c r="B198" s="32"/>
      <c r="P198" s="31">
        <f t="shared" si="6"/>
        <v>0</v>
      </c>
      <c r="R198" s="31">
        <f t="shared" si="7"/>
        <v>0</v>
      </c>
    </row>
    <row r="199" spans="2:18" ht="30.75" customHeight="1" x14ac:dyDescent="0.3">
      <c r="B199" s="32"/>
      <c r="P199" s="31">
        <f t="shared" si="6"/>
        <v>0</v>
      </c>
      <c r="R199" s="31">
        <f t="shared" si="7"/>
        <v>0</v>
      </c>
    </row>
    <row r="200" spans="2:18" ht="30.75" customHeight="1" x14ac:dyDescent="0.3">
      <c r="B200" s="32"/>
      <c r="P200" s="31">
        <f t="shared" si="6"/>
        <v>0</v>
      </c>
      <c r="R200" s="31">
        <f t="shared" si="7"/>
        <v>0</v>
      </c>
    </row>
    <row r="201" spans="2:18" ht="30.75" customHeight="1" x14ac:dyDescent="0.3">
      <c r="B201" s="32"/>
      <c r="P201" s="31">
        <f t="shared" si="6"/>
        <v>0</v>
      </c>
      <c r="R201" s="31">
        <f t="shared" si="7"/>
        <v>0</v>
      </c>
    </row>
    <row r="202" spans="2:18" ht="30.75" customHeight="1" x14ac:dyDescent="0.3">
      <c r="B202" s="32"/>
      <c r="P202" s="31">
        <f t="shared" ref="P202:P265" si="8">K202-L202-M202-N202+O202</f>
        <v>0</v>
      </c>
      <c r="R202" s="31">
        <f t="shared" ref="R202:R265" si="9">R201+K202-L202-M202-N202+O202-Q202</f>
        <v>0</v>
      </c>
    </row>
    <row r="203" spans="2:18" ht="30.75" customHeight="1" x14ac:dyDescent="0.3">
      <c r="B203" s="32"/>
      <c r="P203" s="31">
        <f t="shared" si="8"/>
        <v>0</v>
      </c>
      <c r="R203" s="31">
        <f t="shared" si="9"/>
        <v>0</v>
      </c>
    </row>
    <row r="204" spans="2:18" ht="30.75" customHeight="1" x14ac:dyDescent="0.3">
      <c r="B204" s="32"/>
      <c r="P204" s="31">
        <f t="shared" si="8"/>
        <v>0</v>
      </c>
      <c r="R204" s="31">
        <f t="shared" si="9"/>
        <v>0</v>
      </c>
    </row>
    <row r="205" spans="2:18" ht="30.75" customHeight="1" x14ac:dyDescent="0.3">
      <c r="B205" s="32"/>
      <c r="P205" s="31">
        <f t="shared" si="8"/>
        <v>0</v>
      </c>
      <c r="R205" s="31">
        <f t="shared" si="9"/>
        <v>0</v>
      </c>
    </row>
    <row r="206" spans="2:18" ht="30.75" customHeight="1" x14ac:dyDescent="0.3">
      <c r="B206" s="32"/>
      <c r="P206" s="31">
        <f t="shared" si="8"/>
        <v>0</v>
      </c>
      <c r="R206" s="31">
        <f t="shared" si="9"/>
        <v>0</v>
      </c>
    </row>
    <row r="207" spans="2:18" ht="30.75" customHeight="1" x14ac:dyDescent="0.3">
      <c r="B207" s="32"/>
      <c r="P207" s="31">
        <f t="shared" si="8"/>
        <v>0</v>
      </c>
      <c r="R207" s="31">
        <f t="shared" si="9"/>
        <v>0</v>
      </c>
    </row>
    <row r="208" spans="2:18" ht="30.75" customHeight="1" x14ac:dyDescent="0.3">
      <c r="B208" s="32"/>
      <c r="P208" s="31">
        <f t="shared" si="8"/>
        <v>0</v>
      </c>
      <c r="R208" s="31">
        <f t="shared" si="9"/>
        <v>0</v>
      </c>
    </row>
    <row r="209" spans="2:18" ht="30.75" customHeight="1" x14ac:dyDescent="0.3">
      <c r="B209" s="32"/>
      <c r="P209" s="31">
        <f t="shared" si="8"/>
        <v>0</v>
      </c>
      <c r="R209" s="31">
        <f t="shared" si="9"/>
        <v>0</v>
      </c>
    </row>
    <row r="210" spans="2:18" ht="30.75" customHeight="1" x14ac:dyDescent="0.3">
      <c r="B210" s="32"/>
      <c r="P210" s="31">
        <f t="shared" si="8"/>
        <v>0</v>
      </c>
      <c r="R210" s="31">
        <f t="shared" si="9"/>
        <v>0</v>
      </c>
    </row>
    <row r="211" spans="2:18" ht="30.75" customHeight="1" x14ac:dyDescent="0.3">
      <c r="B211" s="32"/>
      <c r="P211" s="31">
        <f t="shared" si="8"/>
        <v>0</v>
      </c>
      <c r="R211" s="31">
        <f t="shared" si="9"/>
        <v>0</v>
      </c>
    </row>
    <row r="212" spans="2:18" ht="30.75" customHeight="1" x14ac:dyDescent="0.3">
      <c r="B212" s="32"/>
      <c r="P212" s="31">
        <f t="shared" si="8"/>
        <v>0</v>
      </c>
      <c r="R212" s="31">
        <f t="shared" si="9"/>
        <v>0</v>
      </c>
    </row>
    <row r="213" spans="2:18" ht="30.75" customHeight="1" x14ac:dyDescent="0.3">
      <c r="B213" s="32"/>
      <c r="P213" s="31">
        <f t="shared" si="8"/>
        <v>0</v>
      </c>
      <c r="R213" s="31">
        <f t="shared" si="9"/>
        <v>0</v>
      </c>
    </row>
    <row r="214" spans="2:18" ht="30.75" customHeight="1" x14ac:dyDescent="0.3">
      <c r="B214" s="32"/>
      <c r="P214" s="31">
        <f t="shared" si="8"/>
        <v>0</v>
      </c>
      <c r="R214" s="31">
        <f t="shared" si="9"/>
        <v>0</v>
      </c>
    </row>
    <row r="215" spans="2:18" ht="30.75" customHeight="1" x14ac:dyDescent="0.3">
      <c r="B215" s="32"/>
      <c r="P215" s="31">
        <f t="shared" si="8"/>
        <v>0</v>
      </c>
      <c r="R215" s="31">
        <f t="shared" si="9"/>
        <v>0</v>
      </c>
    </row>
    <row r="216" spans="2:18" ht="30.75" customHeight="1" x14ac:dyDescent="0.3">
      <c r="B216" s="32"/>
      <c r="P216" s="31">
        <f t="shared" si="8"/>
        <v>0</v>
      </c>
      <c r="R216" s="31">
        <f t="shared" si="9"/>
        <v>0</v>
      </c>
    </row>
    <row r="217" spans="2:18" ht="30.75" customHeight="1" x14ac:dyDescent="0.3">
      <c r="B217" s="32"/>
      <c r="P217" s="31">
        <f t="shared" si="8"/>
        <v>0</v>
      </c>
      <c r="R217" s="31">
        <f t="shared" si="9"/>
        <v>0</v>
      </c>
    </row>
    <row r="218" spans="2:18" ht="30.75" customHeight="1" x14ac:dyDescent="0.3">
      <c r="B218" s="32"/>
      <c r="P218" s="31">
        <f t="shared" si="8"/>
        <v>0</v>
      </c>
      <c r="R218" s="31">
        <f t="shared" si="9"/>
        <v>0</v>
      </c>
    </row>
    <row r="219" spans="2:18" ht="30.75" customHeight="1" x14ac:dyDescent="0.3">
      <c r="B219" s="32"/>
      <c r="D219" s="32"/>
      <c r="P219" s="31">
        <f t="shared" si="8"/>
        <v>0</v>
      </c>
      <c r="R219" s="31">
        <f t="shared" si="9"/>
        <v>0</v>
      </c>
    </row>
    <row r="220" spans="2:18" ht="30.75" customHeight="1" x14ac:dyDescent="0.3">
      <c r="B220" s="32"/>
      <c r="P220" s="31">
        <f t="shared" si="8"/>
        <v>0</v>
      </c>
      <c r="R220" s="31">
        <f t="shared" si="9"/>
        <v>0</v>
      </c>
    </row>
    <row r="221" spans="2:18" ht="30.75" customHeight="1" x14ac:dyDescent="0.3">
      <c r="B221" s="32"/>
      <c r="P221" s="31">
        <f t="shared" si="8"/>
        <v>0</v>
      </c>
      <c r="R221" s="31">
        <f t="shared" si="9"/>
        <v>0</v>
      </c>
    </row>
    <row r="222" spans="2:18" ht="30.75" customHeight="1" x14ac:dyDescent="0.3">
      <c r="B222" s="32"/>
      <c r="P222" s="31">
        <f t="shared" si="8"/>
        <v>0</v>
      </c>
      <c r="R222" s="31">
        <f t="shared" si="9"/>
        <v>0</v>
      </c>
    </row>
    <row r="223" spans="2:18" ht="30.75" customHeight="1" x14ac:dyDescent="0.3">
      <c r="B223" s="32"/>
      <c r="P223" s="31">
        <f t="shared" si="8"/>
        <v>0</v>
      </c>
      <c r="R223" s="31">
        <f t="shared" si="9"/>
        <v>0</v>
      </c>
    </row>
    <row r="224" spans="2:18" ht="30.75" customHeight="1" x14ac:dyDescent="0.3">
      <c r="B224" s="32"/>
      <c r="P224" s="31">
        <f t="shared" si="8"/>
        <v>0</v>
      </c>
      <c r="R224" s="31">
        <f t="shared" si="9"/>
        <v>0</v>
      </c>
    </row>
    <row r="225" spans="2:18" ht="30.75" customHeight="1" x14ac:dyDescent="0.3">
      <c r="B225" s="32"/>
      <c r="D225" s="32"/>
      <c r="P225" s="31">
        <f t="shared" si="8"/>
        <v>0</v>
      </c>
      <c r="R225" s="31">
        <f t="shared" si="9"/>
        <v>0</v>
      </c>
    </row>
    <row r="226" spans="2:18" ht="30.75" customHeight="1" x14ac:dyDescent="0.3">
      <c r="B226" s="32"/>
      <c r="P226" s="31">
        <f t="shared" si="8"/>
        <v>0</v>
      </c>
      <c r="R226" s="31">
        <f t="shared" si="9"/>
        <v>0</v>
      </c>
    </row>
    <row r="227" spans="2:18" ht="30.75" customHeight="1" x14ac:dyDescent="0.3">
      <c r="B227" s="32"/>
      <c r="P227" s="31">
        <f t="shared" si="8"/>
        <v>0</v>
      </c>
      <c r="R227" s="31">
        <f t="shared" si="9"/>
        <v>0</v>
      </c>
    </row>
    <row r="228" spans="2:18" ht="30.75" customHeight="1" x14ac:dyDescent="0.3">
      <c r="B228" s="32"/>
      <c r="P228" s="31">
        <f t="shared" si="8"/>
        <v>0</v>
      </c>
      <c r="R228" s="31">
        <f t="shared" si="9"/>
        <v>0</v>
      </c>
    </row>
    <row r="229" spans="2:18" ht="30.75" customHeight="1" x14ac:dyDescent="0.3">
      <c r="B229" s="32"/>
      <c r="P229" s="31">
        <f t="shared" si="8"/>
        <v>0</v>
      </c>
      <c r="R229" s="31">
        <f t="shared" si="9"/>
        <v>0</v>
      </c>
    </row>
    <row r="230" spans="2:18" ht="30.75" customHeight="1" x14ac:dyDescent="0.3">
      <c r="B230" s="32"/>
      <c r="P230" s="31">
        <f t="shared" si="8"/>
        <v>0</v>
      </c>
      <c r="R230" s="31">
        <f t="shared" si="9"/>
        <v>0</v>
      </c>
    </row>
    <row r="231" spans="2:18" ht="30.75" customHeight="1" x14ac:dyDescent="0.3">
      <c r="B231" s="32"/>
      <c r="P231" s="31">
        <f t="shared" si="8"/>
        <v>0</v>
      </c>
      <c r="R231" s="31">
        <f t="shared" si="9"/>
        <v>0</v>
      </c>
    </row>
    <row r="232" spans="2:18" ht="30.75" customHeight="1" x14ac:dyDescent="0.3">
      <c r="B232" s="32"/>
      <c r="P232" s="31">
        <f t="shared" si="8"/>
        <v>0</v>
      </c>
      <c r="R232" s="31">
        <f t="shared" si="9"/>
        <v>0</v>
      </c>
    </row>
    <row r="233" spans="2:18" ht="30.75" customHeight="1" x14ac:dyDescent="0.3">
      <c r="B233" s="32"/>
      <c r="P233" s="31">
        <f t="shared" si="8"/>
        <v>0</v>
      </c>
      <c r="R233" s="31">
        <f t="shared" si="9"/>
        <v>0</v>
      </c>
    </row>
    <row r="234" spans="2:18" ht="30.75" customHeight="1" x14ac:dyDescent="0.3">
      <c r="B234" s="32"/>
      <c r="P234" s="31">
        <f t="shared" si="8"/>
        <v>0</v>
      </c>
      <c r="R234" s="31">
        <f t="shared" si="9"/>
        <v>0</v>
      </c>
    </row>
    <row r="235" spans="2:18" ht="30.75" customHeight="1" x14ac:dyDescent="0.3">
      <c r="B235" s="32"/>
      <c r="P235" s="31">
        <f t="shared" si="8"/>
        <v>0</v>
      </c>
      <c r="R235" s="31">
        <f t="shared" si="9"/>
        <v>0</v>
      </c>
    </row>
    <row r="236" spans="2:18" ht="30.75" customHeight="1" x14ac:dyDescent="0.3">
      <c r="B236" s="32"/>
      <c r="P236" s="31">
        <f t="shared" si="8"/>
        <v>0</v>
      </c>
      <c r="R236" s="31">
        <f t="shared" si="9"/>
        <v>0</v>
      </c>
    </row>
    <row r="237" spans="2:18" ht="30.75" customHeight="1" x14ac:dyDescent="0.3">
      <c r="B237" s="32"/>
      <c r="P237" s="31">
        <f t="shared" si="8"/>
        <v>0</v>
      </c>
      <c r="R237" s="31">
        <f t="shared" si="9"/>
        <v>0</v>
      </c>
    </row>
    <row r="238" spans="2:18" ht="30.75" customHeight="1" x14ac:dyDescent="0.3">
      <c r="B238" s="32"/>
      <c r="P238" s="31">
        <f t="shared" si="8"/>
        <v>0</v>
      </c>
      <c r="R238" s="31">
        <f t="shared" si="9"/>
        <v>0</v>
      </c>
    </row>
    <row r="239" spans="2:18" ht="30.75" customHeight="1" x14ac:dyDescent="0.3">
      <c r="B239" s="32"/>
      <c r="P239" s="31">
        <f t="shared" si="8"/>
        <v>0</v>
      </c>
      <c r="R239" s="31">
        <f t="shared" si="9"/>
        <v>0</v>
      </c>
    </row>
    <row r="240" spans="2:18" ht="30.75" customHeight="1" x14ac:dyDescent="0.3">
      <c r="B240" s="32"/>
      <c r="P240" s="31">
        <f t="shared" si="8"/>
        <v>0</v>
      </c>
      <c r="R240" s="31">
        <f t="shared" si="9"/>
        <v>0</v>
      </c>
    </row>
    <row r="241" spans="2:18" ht="30.75" customHeight="1" x14ac:dyDescent="0.3">
      <c r="B241" s="32"/>
      <c r="P241" s="31">
        <f t="shared" si="8"/>
        <v>0</v>
      </c>
      <c r="R241" s="31">
        <f t="shared" si="9"/>
        <v>0</v>
      </c>
    </row>
    <row r="242" spans="2:18" ht="30.75" customHeight="1" x14ac:dyDescent="0.3">
      <c r="B242" s="32"/>
      <c r="P242" s="31">
        <f t="shared" si="8"/>
        <v>0</v>
      </c>
      <c r="R242" s="31">
        <f t="shared" si="9"/>
        <v>0</v>
      </c>
    </row>
    <row r="243" spans="2:18" ht="30.75" customHeight="1" x14ac:dyDescent="0.3">
      <c r="B243" s="32"/>
      <c r="P243" s="31">
        <f t="shared" si="8"/>
        <v>0</v>
      </c>
      <c r="R243" s="31">
        <f t="shared" si="9"/>
        <v>0</v>
      </c>
    </row>
    <row r="244" spans="2:18" ht="30.75" customHeight="1" x14ac:dyDescent="0.3">
      <c r="B244" s="32"/>
      <c r="P244" s="31">
        <f t="shared" si="8"/>
        <v>0</v>
      </c>
      <c r="R244" s="31">
        <f t="shared" si="9"/>
        <v>0</v>
      </c>
    </row>
    <row r="245" spans="2:18" ht="30.75" customHeight="1" x14ac:dyDescent="0.3">
      <c r="B245" s="32"/>
      <c r="P245" s="31">
        <f t="shared" si="8"/>
        <v>0</v>
      </c>
      <c r="R245" s="31">
        <f t="shared" si="9"/>
        <v>0</v>
      </c>
    </row>
    <row r="246" spans="2:18" ht="30.75" customHeight="1" x14ac:dyDescent="0.3">
      <c r="B246" s="32"/>
      <c r="P246" s="31">
        <f t="shared" si="8"/>
        <v>0</v>
      </c>
      <c r="R246" s="31">
        <f t="shared" si="9"/>
        <v>0</v>
      </c>
    </row>
    <row r="247" spans="2:18" ht="30.75" customHeight="1" x14ac:dyDescent="0.3">
      <c r="B247" s="32"/>
      <c r="P247" s="31">
        <f t="shared" si="8"/>
        <v>0</v>
      </c>
      <c r="R247" s="31">
        <f t="shared" si="9"/>
        <v>0</v>
      </c>
    </row>
    <row r="248" spans="2:18" ht="30.75" customHeight="1" x14ac:dyDescent="0.3">
      <c r="B248" s="32"/>
      <c r="P248" s="31">
        <f t="shared" si="8"/>
        <v>0</v>
      </c>
      <c r="R248" s="31">
        <f t="shared" si="9"/>
        <v>0</v>
      </c>
    </row>
    <row r="249" spans="2:18" ht="30.75" customHeight="1" x14ac:dyDescent="0.3">
      <c r="B249" s="32"/>
      <c r="P249" s="31">
        <f t="shared" si="8"/>
        <v>0</v>
      </c>
      <c r="R249" s="31">
        <f t="shared" si="9"/>
        <v>0</v>
      </c>
    </row>
    <row r="250" spans="2:18" ht="30.75" customHeight="1" x14ac:dyDescent="0.3">
      <c r="B250" s="32"/>
      <c r="P250" s="31">
        <f t="shared" si="8"/>
        <v>0</v>
      </c>
      <c r="R250" s="31">
        <f t="shared" si="9"/>
        <v>0</v>
      </c>
    </row>
    <row r="251" spans="2:18" ht="30.75" customHeight="1" x14ac:dyDescent="0.3">
      <c r="B251" s="32"/>
      <c r="P251" s="31">
        <f t="shared" si="8"/>
        <v>0</v>
      </c>
      <c r="R251" s="31">
        <f t="shared" si="9"/>
        <v>0</v>
      </c>
    </row>
    <row r="252" spans="2:18" ht="30.75" customHeight="1" x14ac:dyDescent="0.3">
      <c r="B252" s="32"/>
      <c r="P252" s="31">
        <f t="shared" si="8"/>
        <v>0</v>
      </c>
      <c r="R252" s="31">
        <f t="shared" si="9"/>
        <v>0</v>
      </c>
    </row>
    <row r="253" spans="2:18" ht="30.75" customHeight="1" x14ac:dyDescent="0.3">
      <c r="B253" s="32"/>
      <c r="P253" s="31">
        <f t="shared" si="8"/>
        <v>0</v>
      </c>
      <c r="R253" s="31">
        <f t="shared" si="9"/>
        <v>0</v>
      </c>
    </row>
    <row r="254" spans="2:18" ht="30.75" customHeight="1" x14ac:dyDescent="0.3">
      <c r="B254" s="32"/>
      <c r="P254" s="31">
        <f t="shared" si="8"/>
        <v>0</v>
      </c>
      <c r="R254" s="31">
        <f t="shared" si="9"/>
        <v>0</v>
      </c>
    </row>
    <row r="255" spans="2:18" ht="30.75" customHeight="1" x14ac:dyDescent="0.3">
      <c r="B255" s="32"/>
      <c r="P255" s="31">
        <f t="shared" si="8"/>
        <v>0</v>
      </c>
      <c r="R255" s="31">
        <f t="shared" si="9"/>
        <v>0</v>
      </c>
    </row>
    <row r="256" spans="2:18" ht="30.75" customHeight="1" x14ac:dyDescent="0.3">
      <c r="B256" s="32"/>
      <c r="P256" s="31">
        <f t="shared" si="8"/>
        <v>0</v>
      </c>
      <c r="R256" s="31">
        <f t="shared" si="9"/>
        <v>0</v>
      </c>
    </row>
    <row r="257" spans="2:18" ht="30.75" customHeight="1" x14ac:dyDescent="0.3">
      <c r="B257" s="32"/>
      <c r="P257" s="31">
        <f t="shared" si="8"/>
        <v>0</v>
      </c>
      <c r="R257" s="31">
        <f t="shared" si="9"/>
        <v>0</v>
      </c>
    </row>
    <row r="258" spans="2:18" ht="30.75" customHeight="1" x14ac:dyDescent="0.3">
      <c r="B258" s="32"/>
      <c r="P258" s="31">
        <f t="shared" si="8"/>
        <v>0</v>
      </c>
      <c r="R258" s="31">
        <f t="shared" si="9"/>
        <v>0</v>
      </c>
    </row>
    <row r="259" spans="2:18" ht="30.75" customHeight="1" x14ac:dyDescent="0.3">
      <c r="B259" s="32"/>
      <c r="P259" s="31">
        <f t="shared" si="8"/>
        <v>0</v>
      </c>
      <c r="R259" s="31">
        <f t="shared" si="9"/>
        <v>0</v>
      </c>
    </row>
    <row r="260" spans="2:18" ht="30.75" customHeight="1" x14ac:dyDescent="0.3">
      <c r="B260" s="32"/>
      <c r="P260" s="31">
        <f t="shared" si="8"/>
        <v>0</v>
      </c>
      <c r="R260" s="31">
        <f t="shared" si="9"/>
        <v>0</v>
      </c>
    </row>
    <row r="261" spans="2:18" ht="30.75" customHeight="1" x14ac:dyDescent="0.3">
      <c r="B261" s="32"/>
      <c r="P261" s="31">
        <f t="shared" si="8"/>
        <v>0</v>
      </c>
      <c r="R261" s="31">
        <f t="shared" si="9"/>
        <v>0</v>
      </c>
    </row>
    <row r="262" spans="2:18" ht="30.75" customHeight="1" x14ac:dyDescent="0.3">
      <c r="B262" s="32"/>
      <c r="P262" s="31">
        <f t="shared" si="8"/>
        <v>0</v>
      </c>
      <c r="R262" s="31">
        <f t="shared" si="9"/>
        <v>0</v>
      </c>
    </row>
    <row r="263" spans="2:18" ht="30.75" customHeight="1" x14ac:dyDescent="0.3">
      <c r="B263" s="32"/>
      <c r="P263" s="31">
        <f t="shared" si="8"/>
        <v>0</v>
      </c>
      <c r="R263" s="31">
        <f t="shared" si="9"/>
        <v>0</v>
      </c>
    </row>
    <row r="264" spans="2:18" ht="30.75" customHeight="1" x14ac:dyDescent="0.3">
      <c r="B264" s="32"/>
      <c r="P264" s="31">
        <f t="shared" si="8"/>
        <v>0</v>
      </c>
      <c r="R264" s="31">
        <f t="shared" si="9"/>
        <v>0</v>
      </c>
    </row>
    <row r="265" spans="2:18" ht="30.75" customHeight="1" x14ac:dyDescent="0.3">
      <c r="B265" s="32"/>
      <c r="P265" s="31">
        <f t="shared" si="8"/>
        <v>0</v>
      </c>
      <c r="R265" s="31">
        <f t="shared" si="9"/>
        <v>0</v>
      </c>
    </row>
    <row r="266" spans="2:18" ht="30.75" customHeight="1" x14ac:dyDescent="0.3">
      <c r="B266" s="32"/>
      <c r="P266" s="31">
        <f t="shared" ref="P266:P329" si="10">K266-L266-M266-N266+O266</f>
        <v>0</v>
      </c>
      <c r="R266" s="31">
        <f t="shared" ref="R266:R329" si="11">R265+K266-L266-M266-N266+O266-Q266</f>
        <v>0</v>
      </c>
    </row>
    <row r="267" spans="2:18" ht="30.75" customHeight="1" x14ac:dyDescent="0.3">
      <c r="B267" s="32"/>
      <c r="P267" s="31">
        <f t="shared" si="10"/>
        <v>0</v>
      </c>
      <c r="R267" s="31">
        <f t="shared" si="11"/>
        <v>0</v>
      </c>
    </row>
    <row r="268" spans="2:18" ht="30.75" customHeight="1" x14ac:dyDescent="0.3">
      <c r="B268" s="32"/>
      <c r="P268" s="31">
        <f t="shared" si="10"/>
        <v>0</v>
      </c>
      <c r="R268" s="31">
        <f t="shared" si="11"/>
        <v>0</v>
      </c>
    </row>
    <row r="269" spans="2:18" ht="30.75" customHeight="1" x14ac:dyDescent="0.3">
      <c r="B269" s="32"/>
      <c r="P269" s="31">
        <f t="shared" si="10"/>
        <v>0</v>
      </c>
      <c r="R269" s="31">
        <f t="shared" si="11"/>
        <v>0</v>
      </c>
    </row>
    <row r="270" spans="2:18" ht="30.75" customHeight="1" x14ac:dyDescent="0.3">
      <c r="B270" s="32"/>
      <c r="P270" s="31">
        <f t="shared" si="10"/>
        <v>0</v>
      </c>
      <c r="R270" s="31">
        <f t="shared" si="11"/>
        <v>0</v>
      </c>
    </row>
    <row r="271" spans="2:18" ht="30.75" customHeight="1" x14ac:dyDescent="0.3">
      <c r="B271" s="32"/>
      <c r="P271" s="31">
        <f t="shared" si="10"/>
        <v>0</v>
      </c>
      <c r="R271" s="31">
        <f t="shared" si="11"/>
        <v>0</v>
      </c>
    </row>
    <row r="272" spans="2:18" ht="30.75" customHeight="1" x14ac:dyDescent="0.3">
      <c r="B272" s="32"/>
      <c r="P272" s="31">
        <f t="shared" si="10"/>
        <v>0</v>
      </c>
      <c r="R272" s="31">
        <f t="shared" si="11"/>
        <v>0</v>
      </c>
    </row>
    <row r="273" spans="2:18" ht="30.75" customHeight="1" x14ac:dyDescent="0.3">
      <c r="B273" s="32"/>
      <c r="P273" s="31">
        <f t="shared" si="10"/>
        <v>0</v>
      </c>
      <c r="R273" s="31">
        <f t="shared" si="11"/>
        <v>0</v>
      </c>
    </row>
    <row r="274" spans="2:18" ht="30.75" customHeight="1" x14ac:dyDescent="0.3">
      <c r="B274" s="32"/>
      <c r="P274" s="31">
        <f t="shared" si="10"/>
        <v>0</v>
      </c>
      <c r="R274" s="31">
        <f t="shared" si="11"/>
        <v>0</v>
      </c>
    </row>
    <row r="275" spans="2:18" ht="30.75" customHeight="1" x14ac:dyDescent="0.3">
      <c r="B275" s="32"/>
      <c r="P275" s="31">
        <f t="shared" si="10"/>
        <v>0</v>
      </c>
      <c r="R275" s="31">
        <f t="shared" si="11"/>
        <v>0</v>
      </c>
    </row>
    <row r="276" spans="2:18" ht="30.75" customHeight="1" x14ac:dyDescent="0.3">
      <c r="B276" s="32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31">
        <f t="shared" si="10"/>
        <v>0</v>
      </c>
      <c r="Q276" s="56"/>
      <c r="R276" s="31">
        <f t="shared" si="11"/>
        <v>0</v>
      </c>
    </row>
    <row r="277" spans="2:18" ht="30.75" customHeight="1" x14ac:dyDescent="0.3">
      <c r="B277" s="32"/>
      <c r="C277" s="56"/>
      <c r="D277" s="56"/>
      <c r="E277" s="56"/>
      <c r="F277" s="56"/>
      <c r="G277" s="57"/>
      <c r="H277" s="56"/>
      <c r="I277" s="56"/>
      <c r="J277" s="56"/>
      <c r="K277" s="56"/>
      <c r="L277" s="56"/>
      <c r="M277" s="56"/>
      <c r="N277" s="56"/>
      <c r="O277" s="56"/>
      <c r="P277" s="31">
        <f t="shared" si="10"/>
        <v>0</v>
      </c>
      <c r="Q277" s="56"/>
      <c r="R277" s="31">
        <f t="shared" si="11"/>
        <v>0</v>
      </c>
    </row>
    <row r="278" spans="2:18" ht="30.75" customHeight="1" x14ac:dyDescent="0.3">
      <c r="B278" s="32"/>
      <c r="P278" s="31">
        <f t="shared" si="10"/>
        <v>0</v>
      </c>
      <c r="R278" s="31">
        <f t="shared" si="11"/>
        <v>0</v>
      </c>
    </row>
    <row r="279" spans="2:18" ht="30.75" customHeight="1" x14ac:dyDescent="0.3">
      <c r="B279" s="32"/>
      <c r="P279" s="31">
        <f t="shared" si="10"/>
        <v>0</v>
      </c>
      <c r="R279" s="31">
        <f t="shared" si="11"/>
        <v>0</v>
      </c>
    </row>
    <row r="280" spans="2:18" ht="30.75" customHeight="1" x14ac:dyDescent="0.3">
      <c r="B280" s="32"/>
      <c r="P280" s="31">
        <f t="shared" si="10"/>
        <v>0</v>
      </c>
      <c r="R280" s="31">
        <f t="shared" si="11"/>
        <v>0</v>
      </c>
    </row>
    <row r="281" spans="2:18" ht="30.75" customHeight="1" x14ac:dyDescent="0.3">
      <c r="B281" s="32"/>
      <c r="P281" s="31">
        <f t="shared" si="10"/>
        <v>0</v>
      </c>
      <c r="R281" s="31">
        <f t="shared" si="11"/>
        <v>0</v>
      </c>
    </row>
    <row r="282" spans="2:18" ht="30.75" customHeight="1" x14ac:dyDescent="0.3">
      <c r="B282" s="32"/>
      <c r="P282" s="31">
        <f t="shared" si="10"/>
        <v>0</v>
      </c>
      <c r="R282" s="31">
        <f t="shared" si="11"/>
        <v>0</v>
      </c>
    </row>
    <row r="283" spans="2:18" ht="30.75" customHeight="1" x14ac:dyDescent="0.3">
      <c r="B283" s="32"/>
      <c r="P283" s="31">
        <f t="shared" si="10"/>
        <v>0</v>
      </c>
      <c r="R283" s="31">
        <f t="shared" si="11"/>
        <v>0</v>
      </c>
    </row>
    <row r="284" spans="2:18" ht="30.75" customHeight="1" x14ac:dyDescent="0.3">
      <c r="B284" s="32"/>
      <c r="P284" s="31">
        <f t="shared" si="10"/>
        <v>0</v>
      </c>
      <c r="R284" s="31">
        <f t="shared" si="11"/>
        <v>0</v>
      </c>
    </row>
    <row r="285" spans="2:18" ht="30.75" customHeight="1" x14ac:dyDescent="0.3">
      <c r="B285" s="32"/>
      <c r="C285" s="56"/>
      <c r="D285" s="56"/>
      <c r="E285" s="56"/>
      <c r="F285" s="56"/>
      <c r="G285" s="57"/>
      <c r="H285" s="56"/>
      <c r="I285" s="56"/>
      <c r="J285" s="56"/>
      <c r="K285" s="56"/>
      <c r="L285" s="56"/>
      <c r="M285" s="56"/>
      <c r="N285" s="56"/>
      <c r="O285" s="56"/>
      <c r="P285" s="31">
        <f t="shared" si="10"/>
        <v>0</v>
      </c>
      <c r="Q285" s="56"/>
      <c r="R285" s="31">
        <f t="shared" si="11"/>
        <v>0</v>
      </c>
    </row>
    <row r="286" spans="2:18" ht="30.75" customHeight="1" x14ac:dyDescent="0.3">
      <c r="B286" s="32"/>
      <c r="P286" s="31">
        <f t="shared" si="10"/>
        <v>0</v>
      </c>
      <c r="R286" s="31">
        <f t="shared" si="11"/>
        <v>0</v>
      </c>
    </row>
    <row r="287" spans="2:18" ht="30.75" customHeight="1" x14ac:dyDescent="0.3">
      <c r="B287" s="32"/>
      <c r="O287" s="56"/>
      <c r="P287" s="31">
        <f t="shared" si="10"/>
        <v>0</v>
      </c>
      <c r="R287" s="31">
        <f t="shared" si="11"/>
        <v>0</v>
      </c>
    </row>
    <row r="288" spans="2:18" ht="30.75" customHeight="1" x14ac:dyDescent="0.3">
      <c r="B288" s="32"/>
      <c r="P288" s="31">
        <f t="shared" si="10"/>
        <v>0</v>
      </c>
      <c r="R288" s="31">
        <f t="shared" si="11"/>
        <v>0</v>
      </c>
    </row>
    <row r="289" spans="2:18" ht="30.75" customHeight="1" x14ac:dyDescent="0.3">
      <c r="B289" s="32"/>
      <c r="P289" s="31">
        <f t="shared" si="10"/>
        <v>0</v>
      </c>
      <c r="R289" s="31">
        <f t="shared" si="11"/>
        <v>0</v>
      </c>
    </row>
    <row r="290" spans="2:18" ht="30.75" customHeight="1" x14ac:dyDescent="0.3">
      <c r="B290" s="32"/>
      <c r="P290" s="31">
        <f t="shared" si="10"/>
        <v>0</v>
      </c>
      <c r="R290" s="31">
        <f t="shared" si="11"/>
        <v>0</v>
      </c>
    </row>
    <row r="291" spans="2:18" ht="30.75" customHeight="1" x14ac:dyDescent="0.3">
      <c r="B291" s="32"/>
      <c r="P291" s="31">
        <f t="shared" si="10"/>
        <v>0</v>
      </c>
      <c r="R291" s="31">
        <f t="shared" si="11"/>
        <v>0</v>
      </c>
    </row>
    <row r="292" spans="2:18" ht="30.75" customHeight="1" x14ac:dyDescent="0.3">
      <c r="B292" s="32"/>
      <c r="P292" s="31">
        <f t="shared" si="10"/>
        <v>0</v>
      </c>
      <c r="R292" s="31">
        <f t="shared" si="11"/>
        <v>0</v>
      </c>
    </row>
    <row r="293" spans="2:18" ht="30.75" customHeight="1" x14ac:dyDescent="0.3">
      <c r="B293" s="32"/>
      <c r="P293" s="31">
        <f t="shared" si="10"/>
        <v>0</v>
      </c>
      <c r="R293" s="31">
        <f t="shared" si="11"/>
        <v>0</v>
      </c>
    </row>
    <row r="294" spans="2:18" ht="30.75" customHeight="1" x14ac:dyDescent="0.3">
      <c r="B294" s="32"/>
      <c r="P294" s="31">
        <f t="shared" si="10"/>
        <v>0</v>
      </c>
      <c r="R294" s="31">
        <f t="shared" si="11"/>
        <v>0</v>
      </c>
    </row>
    <row r="295" spans="2:18" ht="30.75" customHeight="1" x14ac:dyDescent="0.3">
      <c r="B295" s="32"/>
      <c r="P295" s="31">
        <f t="shared" si="10"/>
        <v>0</v>
      </c>
      <c r="R295" s="31">
        <f t="shared" si="11"/>
        <v>0</v>
      </c>
    </row>
    <row r="296" spans="2:18" ht="30.75" customHeight="1" x14ac:dyDescent="0.3">
      <c r="B296" s="32"/>
      <c r="P296" s="31">
        <f t="shared" si="10"/>
        <v>0</v>
      </c>
      <c r="R296" s="31">
        <f t="shared" si="11"/>
        <v>0</v>
      </c>
    </row>
    <row r="297" spans="2:18" ht="30.75" customHeight="1" x14ac:dyDescent="0.3">
      <c r="B297" s="32"/>
      <c r="P297" s="31">
        <f t="shared" si="10"/>
        <v>0</v>
      </c>
      <c r="R297" s="31">
        <f t="shared" si="11"/>
        <v>0</v>
      </c>
    </row>
    <row r="298" spans="2:18" ht="30.75" customHeight="1" x14ac:dyDescent="0.3">
      <c r="B298" s="32"/>
      <c r="P298" s="31">
        <f t="shared" si="10"/>
        <v>0</v>
      </c>
      <c r="R298" s="31">
        <f t="shared" si="11"/>
        <v>0</v>
      </c>
    </row>
    <row r="299" spans="2:18" ht="30.75" customHeight="1" x14ac:dyDescent="0.3">
      <c r="B299" s="32"/>
      <c r="P299" s="31">
        <f t="shared" si="10"/>
        <v>0</v>
      </c>
      <c r="R299" s="31">
        <f t="shared" si="11"/>
        <v>0</v>
      </c>
    </row>
    <row r="300" spans="2:18" ht="30.75" customHeight="1" x14ac:dyDescent="0.3">
      <c r="B300" s="32"/>
      <c r="P300" s="31">
        <f t="shared" si="10"/>
        <v>0</v>
      </c>
      <c r="R300" s="31">
        <f t="shared" si="11"/>
        <v>0</v>
      </c>
    </row>
    <row r="301" spans="2:18" ht="30.75" customHeight="1" x14ac:dyDescent="0.3">
      <c r="B301" s="32"/>
      <c r="P301" s="31">
        <f t="shared" si="10"/>
        <v>0</v>
      </c>
      <c r="R301" s="31">
        <f t="shared" si="11"/>
        <v>0</v>
      </c>
    </row>
    <row r="302" spans="2:18" ht="30.75" customHeight="1" x14ac:dyDescent="0.3">
      <c r="B302" s="32"/>
      <c r="P302" s="31">
        <f t="shared" si="10"/>
        <v>0</v>
      </c>
      <c r="R302" s="31">
        <f t="shared" si="11"/>
        <v>0</v>
      </c>
    </row>
    <row r="303" spans="2:18" ht="30.75" customHeight="1" x14ac:dyDescent="0.3">
      <c r="B303" s="32"/>
      <c r="P303" s="31">
        <f t="shared" si="10"/>
        <v>0</v>
      </c>
      <c r="R303" s="31">
        <f t="shared" si="11"/>
        <v>0</v>
      </c>
    </row>
    <row r="304" spans="2:18" ht="30.75" customHeight="1" x14ac:dyDescent="0.3">
      <c r="B304" s="32"/>
      <c r="P304" s="31">
        <f t="shared" si="10"/>
        <v>0</v>
      </c>
      <c r="R304" s="31">
        <f t="shared" si="11"/>
        <v>0</v>
      </c>
    </row>
    <row r="305" spans="2:18" ht="30.75" customHeight="1" x14ac:dyDescent="0.3">
      <c r="B305" s="32"/>
      <c r="P305" s="31">
        <f t="shared" si="10"/>
        <v>0</v>
      </c>
      <c r="R305" s="31">
        <f t="shared" si="11"/>
        <v>0</v>
      </c>
    </row>
    <row r="306" spans="2:18" ht="30.75" customHeight="1" x14ac:dyDescent="0.3">
      <c r="B306" s="32"/>
      <c r="P306" s="31">
        <f t="shared" si="10"/>
        <v>0</v>
      </c>
      <c r="R306" s="31">
        <f t="shared" si="11"/>
        <v>0</v>
      </c>
    </row>
    <row r="307" spans="2:18" ht="30.75" customHeight="1" x14ac:dyDescent="0.3">
      <c r="B307" s="32"/>
      <c r="P307" s="31">
        <f t="shared" si="10"/>
        <v>0</v>
      </c>
      <c r="R307" s="31">
        <f t="shared" si="11"/>
        <v>0</v>
      </c>
    </row>
    <row r="308" spans="2:18" ht="30.75" customHeight="1" x14ac:dyDescent="0.3">
      <c r="B308" s="32"/>
      <c r="P308" s="31">
        <f t="shared" si="10"/>
        <v>0</v>
      </c>
      <c r="R308" s="31">
        <f t="shared" si="11"/>
        <v>0</v>
      </c>
    </row>
    <row r="309" spans="2:18" ht="30.75" customHeight="1" x14ac:dyDescent="0.3">
      <c r="B309" s="32"/>
      <c r="P309" s="31">
        <f t="shared" si="10"/>
        <v>0</v>
      </c>
      <c r="R309" s="31">
        <f t="shared" si="11"/>
        <v>0</v>
      </c>
    </row>
    <row r="310" spans="2:18" ht="30.75" customHeight="1" x14ac:dyDescent="0.3">
      <c r="B310" s="32"/>
      <c r="P310" s="31">
        <f t="shared" si="10"/>
        <v>0</v>
      </c>
      <c r="R310" s="31">
        <f t="shared" si="11"/>
        <v>0</v>
      </c>
    </row>
    <row r="311" spans="2:18" ht="30.75" customHeight="1" x14ac:dyDescent="0.3">
      <c r="B311" s="32"/>
      <c r="P311" s="31">
        <f t="shared" si="10"/>
        <v>0</v>
      </c>
      <c r="R311" s="31">
        <f t="shared" si="11"/>
        <v>0</v>
      </c>
    </row>
    <row r="312" spans="2:18" ht="30.75" customHeight="1" x14ac:dyDescent="0.3">
      <c r="B312" s="32"/>
      <c r="P312" s="31">
        <f t="shared" si="10"/>
        <v>0</v>
      </c>
      <c r="R312" s="31">
        <f t="shared" si="11"/>
        <v>0</v>
      </c>
    </row>
    <row r="313" spans="2:18" ht="30.75" customHeight="1" x14ac:dyDescent="0.3">
      <c r="B313" s="32"/>
      <c r="P313" s="31">
        <f t="shared" si="10"/>
        <v>0</v>
      </c>
      <c r="R313" s="31">
        <f t="shared" si="11"/>
        <v>0</v>
      </c>
    </row>
    <row r="314" spans="2:18" ht="30.75" customHeight="1" x14ac:dyDescent="0.3">
      <c r="B314" s="32"/>
      <c r="P314" s="31">
        <f t="shared" si="10"/>
        <v>0</v>
      </c>
      <c r="R314" s="31">
        <f t="shared" si="11"/>
        <v>0</v>
      </c>
    </row>
    <row r="315" spans="2:18" ht="30.75" customHeight="1" x14ac:dyDescent="0.3">
      <c r="B315" s="32"/>
      <c r="P315" s="31">
        <f t="shared" si="10"/>
        <v>0</v>
      </c>
      <c r="R315" s="31">
        <f t="shared" si="11"/>
        <v>0</v>
      </c>
    </row>
    <row r="316" spans="2:18" ht="30.75" customHeight="1" x14ac:dyDescent="0.3">
      <c r="B316" s="32"/>
      <c r="P316" s="31">
        <f t="shared" si="10"/>
        <v>0</v>
      </c>
      <c r="R316" s="31">
        <f t="shared" si="11"/>
        <v>0</v>
      </c>
    </row>
    <row r="317" spans="2:18" ht="30.75" customHeight="1" x14ac:dyDescent="0.3">
      <c r="B317" s="32"/>
      <c r="P317" s="31">
        <f t="shared" si="10"/>
        <v>0</v>
      </c>
      <c r="R317" s="31">
        <f t="shared" si="11"/>
        <v>0</v>
      </c>
    </row>
    <row r="318" spans="2:18" ht="30.75" customHeight="1" x14ac:dyDescent="0.3">
      <c r="B318" s="32"/>
      <c r="P318" s="31">
        <f t="shared" si="10"/>
        <v>0</v>
      </c>
      <c r="R318" s="31">
        <f t="shared" si="11"/>
        <v>0</v>
      </c>
    </row>
    <row r="319" spans="2:18" ht="30.75" customHeight="1" x14ac:dyDescent="0.3">
      <c r="B319" s="32"/>
      <c r="P319" s="31">
        <f t="shared" si="10"/>
        <v>0</v>
      </c>
      <c r="R319" s="31">
        <f t="shared" si="11"/>
        <v>0</v>
      </c>
    </row>
    <row r="320" spans="2:18" ht="30.75" customHeight="1" x14ac:dyDescent="0.3">
      <c r="B320" s="32"/>
      <c r="P320" s="31">
        <f t="shared" si="10"/>
        <v>0</v>
      </c>
      <c r="R320" s="31">
        <f t="shared" si="11"/>
        <v>0</v>
      </c>
    </row>
    <row r="321" spans="2:18" ht="30.75" customHeight="1" x14ac:dyDescent="0.3">
      <c r="B321" s="32"/>
      <c r="P321" s="31">
        <f t="shared" si="10"/>
        <v>0</v>
      </c>
      <c r="R321" s="31">
        <f t="shared" si="11"/>
        <v>0</v>
      </c>
    </row>
    <row r="322" spans="2:18" ht="30.75" customHeight="1" x14ac:dyDescent="0.3">
      <c r="B322" s="32"/>
      <c r="P322" s="31">
        <f t="shared" si="10"/>
        <v>0</v>
      </c>
      <c r="R322" s="31">
        <f t="shared" si="11"/>
        <v>0</v>
      </c>
    </row>
    <row r="323" spans="2:18" ht="30.75" customHeight="1" x14ac:dyDescent="0.3">
      <c r="B323" s="32"/>
      <c r="P323" s="31">
        <f t="shared" si="10"/>
        <v>0</v>
      </c>
      <c r="R323" s="31">
        <f t="shared" si="11"/>
        <v>0</v>
      </c>
    </row>
    <row r="324" spans="2:18" ht="30.75" customHeight="1" x14ac:dyDescent="0.3">
      <c r="B324" s="32"/>
      <c r="P324" s="31">
        <f t="shared" si="10"/>
        <v>0</v>
      </c>
      <c r="R324" s="31">
        <f t="shared" si="11"/>
        <v>0</v>
      </c>
    </row>
    <row r="325" spans="2:18" ht="30.75" customHeight="1" x14ac:dyDescent="0.3">
      <c r="B325" s="32"/>
      <c r="P325" s="31">
        <f t="shared" si="10"/>
        <v>0</v>
      </c>
      <c r="R325" s="31">
        <f t="shared" si="11"/>
        <v>0</v>
      </c>
    </row>
    <row r="326" spans="2:18" ht="30.75" customHeight="1" x14ac:dyDescent="0.3">
      <c r="B326" s="32"/>
      <c r="P326" s="31">
        <f t="shared" si="10"/>
        <v>0</v>
      </c>
      <c r="R326" s="31">
        <f t="shared" si="11"/>
        <v>0</v>
      </c>
    </row>
    <row r="327" spans="2:18" ht="30.75" customHeight="1" x14ac:dyDescent="0.3">
      <c r="B327" s="32"/>
      <c r="P327" s="31">
        <f t="shared" si="10"/>
        <v>0</v>
      </c>
      <c r="R327" s="31">
        <f t="shared" si="11"/>
        <v>0</v>
      </c>
    </row>
    <row r="328" spans="2:18" ht="30.75" customHeight="1" x14ac:dyDescent="0.3">
      <c r="B328" s="32"/>
      <c r="P328" s="31">
        <f t="shared" si="10"/>
        <v>0</v>
      </c>
      <c r="R328" s="31">
        <f t="shared" si="11"/>
        <v>0</v>
      </c>
    </row>
    <row r="329" spans="2:18" ht="30.75" customHeight="1" x14ac:dyDescent="0.3">
      <c r="B329" s="32"/>
      <c r="P329" s="31">
        <f t="shared" si="10"/>
        <v>0</v>
      </c>
      <c r="R329" s="31">
        <f t="shared" si="11"/>
        <v>0</v>
      </c>
    </row>
    <row r="330" spans="2:18" ht="30.75" customHeight="1" x14ac:dyDescent="0.3">
      <c r="B330" s="32"/>
      <c r="P330" s="31">
        <f t="shared" ref="P330:P393" si="12">K330-L330-M330-N330+O330</f>
        <v>0</v>
      </c>
      <c r="R330" s="31">
        <f t="shared" ref="R330:R393" si="13">R329+K330-L330-M330-N330+O330-Q330</f>
        <v>0</v>
      </c>
    </row>
    <row r="331" spans="2:18" ht="30.75" customHeight="1" x14ac:dyDescent="0.3">
      <c r="B331" s="32"/>
      <c r="P331" s="31">
        <f t="shared" si="12"/>
        <v>0</v>
      </c>
      <c r="R331" s="31">
        <f t="shared" si="13"/>
        <v>0</v>
      </c>
    </row>
    <row r="332" spans="2:18" ht="30.75" customHeight="1" x14ac:dyDescent="0.3">
      <c r="B332" s="32"/>
      <c r="P332" s="31">
        <f t="shared" si="12"/>
        <v>0</v>
      </c>
      <c r="R332" s="31">
        <f t="shared" si="13"/>
        <v>0</v>
      </c>
    </row>
    <row r="333" spans="2:18" ht="30.75" customHeight="1" x14ac:dyDescent="0.3">
      <c r="B333" s="32"/>
      <c r="P333" s="31">
        <f t="shared" si="12"/>
        <v>0</v>
      </c>
      <c r="R333" s="31">
        <f t="shared" si="13"/>
        <v>0</v>
      </c>
    </row>
    <row r="334" spans="2:18" ht="30.75" customHeight="1" x14ac:dyDescent="0.3">
      <c r="B334" s="32"/>
      <c r="P334" s="31">
        <f t="shared" si="12"/>
        <v>0</v>
      </c>
      <c r="R334" s="31">
        <f t="shared" si="13"/>
        <v>0</v>
      </c>
    </row>
    <row r="335" spans="2:18" ht="30.75" customHeight="1" x14ac:dyDescent="0.3">
      <c r="B335" s="32"/>
      <c r="P335" s="31">
        <f t="shared" si="12"/>
        <v>0</v>
      </c>
      <c r="R335" s="31">
        <f t="shared" si="13"/>
        <v>0</v>
      </c>
    </row>
    <row r="336" spans="2:18" ht="30.75" customHeight="1" x14ac:dyDescent="0.3">
      <c r="B336" s="32"/>
      <c r="P336" s="31">
        <f t="shared" si="12"/>
        <v>0</v>
      </c>
      <c r="R336" s="31">
        <f t="shared" si="13"/>
        <v>0</v>
      </c>
    </row>
    <row r="337" spans="2:18" ht="30.75" customHeight="1" x14ac:dyDescent="0.3">
      <c r="B337" s="32"/>
      <c r="P337" s="31">
        <f t="shared" si="12"/>
        <v>0</v>
      </c>
      <c r="R337" s="31">
        <f t="shared" si="13"/>
        <v>0</v>
      </c>
    </row>
    <row r="338" spans="2:18" ht="30.75" customHeight="1" x14ac:dyDescent="0.3">
      <c r="B338" s="32"/>
      <c r="P338" s="31">
        <f t="shared" si="12"/>
        <v>0</v>
      </c>
      <c r="R338" s="31">
        <f t="shared" si="13"/>
        <v>0</v>
      </c>
    </row>
    <row r="339" spans="2:18" ht="30.75" customHeight="1" x14ac:dyDescent="0.3">
      <c r="B339" s="32"/>
      <c r="P339" s="31">
        <f t="shared" si="12"/>
        <v>0</v>
      </c>
      <c r="R339" s="31">
        <f t="shared" si="13"/>
        <v>0</v>
      </c>
    </row>
    <row r="340" spans="2:18" ht="30.75" customHeight="1" x14ac:dyDescent="0.3">
      <c r="B340" s="32"/>
      <c r="P340" s="31">
        <f t="shared" si="12"/>
        <v>0</v>
      </c>
      <c r="R340" s="31">
        <f t="shared" si="13"/>
        <v>0</v>
      </c>
    </row>
    <row r="341" spans="2:18" ht="30.75" customHeight="1" x14ac:dyDescent="0.3">
      <c r="B341" s="32"/>
      <c r="P341" s="31">
        <f t="shared" si="12"/>
        <v>0</v>
      </c>
      <c r="R341" s="31">
        <f t="shared" si="13"/>
        <v>0</v>
      </c>
    </row>
    <row r="342" spans="2:18" ht="30.75" customHeight="1" x14ac:dyDescent="0.3">
      <c r="B342" s="32"/>
      <c r="P342" s="31">
        <f t="shared" si="12"/>
        <v>0</v>
      </c>
      <c r="R342" s="31">
        <f t="shared" si="13"/>
        <v>0</v>
      </c>
    </row>
    <row r="343" spans="2:18" ht="30.75" customHeight="1" x14ac:dyDescent="0.3">
      <c r="B343" s="32"/>
      <c r="P343" s="31">
        <f t="shared" si="12"/>
        <v>0</v>
      </c>
      <c r="R343" s="31">
        <f t="shared" si="13"/>
        <v>0</v>
      </c>
    </row>
    <row r="344" spans="2:18" ht="30.75" customHeight="1" x14ac:dyDescent="0.3">
      <c r="B344" s="32"/>
      <c r="P344" s="31">
        <f t="shared" si="12"/>
        <v>0</v>
      </c>
      <c r="R344" s="31">
        <f t="shared" si="13"/>
        <v>0</v>
      </c>
    </row>
    <row r="345" spans="2:18" ht="30.75" customHeight="1" x14ac:dyDescent="0.3">
      <c r="B345" s="32"/>
      <c r="P345" s="31">
        <f t="shared" si="12"/>
        <v>0</v>
      </c>
      <c r="R345" s="31">
        <f t="shared" si="13"/>
        <v>0</v>
      </c>
    </row>
    <row r="346" spans="2:18" ht="30.75" customHeight="1" x14ac:dyDescent="0.3">
      <c r="B346" s="32"/>
      <c r="P346" s="31">
        <f t="shared" si="12"/>
        <v>0</v>
      </c>
      <c r="R346" s="31">
        <f t="shared" si="13"/>
        <v>0</v>
      </c>
    </row>
    <row r="347" spans="2:18" ht="30.75" customHeight="1" x14ac:dyDescent="0.3">
      <c r="B347" s="32"/>
      <c r="P347" s="31">
        <f t="shared" si="12"/>
        <v>0</v>
      </c>
      <c r="Q347" s="56"/>
      <c r="R347" s="31">
        <f t="shared" si="13"/>
        <v>0</v>
      </c>
    </row>
    <row r="348" spans="2:18" ht="30.75" customHeight="1" x14ac:dyDescent="0.3">
      <c r="B348" s="32"/>
      <c r="P348" s="31">
        <f t="shared" si="12"/>
        <v>0</v>
      </c>
      <c r="R348" s="31">
        <f t="shared" si="13"/>
        <v>0</v>
      </c>
    </row>
    <row r="349" spans="2:18" ht="30.75" customHeight="1" x14ac:dyDescent="0.3">
      <c r="B349" s="32"/>
      <c r="P349" s="31">
        <f t="shared" si="12"/>
        <v>0</v>
      </c>
      <c r="R349" s="31">
        <f t="shared" si="13"/>
        <v>0</v>
      </c>
    </row>
    <row r="350" spans="2:18" ht="30.75" customHeight="1" x14ac:dyDescent="0.3">
      <c r="B350" s="32"/>
      <c r="P350" s="31">
        <f t="shared" si="12"/>
        <v>0</v>
      </c>
      <c r="R350" s="31">
        <f t="shared" si="13"/>
        <v>0</v>
      </c>
    </row>
    <row r="351" spans="2:18" ht="30.75" customHeight="1" x14ac:dyDescent="0.3">
      <c r="B351" s="32"/>
      <c r="P351" s="31">
        <f t="shared" si="12"/>
        <v>0</v>
      </c>
      <c r="R351" s="31">
        <f t="shared" si="13"/>
        <v>0</v>
      </c>
    </row>
    <row r="352" spans="2:18" ht="30.75" customHeight="1" x14ac:dyDescent="0.3">
      <c r="B352" s="32"/>
      <c r="P352" s="31">
        <f t="shared" si="12"/>
        <v>0</v>
      </c>
      <c r="R352" s="31">
        <f t="shared" si="13"/>
        <v>0</v>
      </c>
    </row>
    <row r="353" spans="2:18" ht="30.75" customHeight="1" x14ac:dyDescent="0.3">
      <c r="B353" s="32"/>
      <c r="P353" s="31">
        <f t="shared" si="12"/>
        <v>0</v>
      </c>
      <c r="R353" s="31">
        <f t="shared" si="13"/>
        <v>0</v>
      </c>
    </row>
    <row r="354" spans="2:18" ht="30.75" customHeight="1" x14ac:dyDescent="0.3">
      <c r="B354" s="32"/>
      <c r="P354" s="31">
        <f t="shared" si="12"/>
        <v>0</v>
      </c>
      <c r="R354" s="31">
        <f t="shared" si="13"/>
        <v>0</v>
      </c>
    </row>
    <row r="355" spans="2:18" ht="30.75" customHeight="1" x14ac:dyDescent="0.3">
      <c r="B355" s="32"/>
      <c r="P355" s="31">
        <f t="shared" si="12"/>
        <v>0</v>
      </c>
      <c r="R355" s="31">
        <f t="shared" si="13"/>
        <v>0</v>
      </c>
    </row>
    <row r="356" spans="2:18" ht="30.75" customHeight="1" x14ac:dyDescent="0.3">
      <c r="B356" s="32"/>
      <c r="P356" s="31">
        <f t="shared" si="12"/>
        <v>0</v>
      </c>
      <c r="R356" s="31">
        <f t="shared" si="13"/>
        <v>0</v>
      </c>
    </row>
    <row r="357" spans="2:18" ht="30.75" customHeight="1" x14ac:dyDescent="0.3">
      <c r="B357" s="32"/>
      <c r="P357" s="31">
        <f t="shared" si="12"/>
        <v>0</v>
      </c>
      <c r="R357" s="31">
        <f t="shared" si="13"/>
        <v>0</v>
      </c>
    </row>
    <row r="358" spans="2:18" ht="30.75" customHeight="1" x14ac:dyDescent="0.3">
      <c r="B358" s="32"/>
      <c r="P358" s="31">
        <f t="shared" si="12"/>
        <v>0</v>
      </c>
      <c r="R358" s="31">
        <f t="shared" si="13"/>
        <v>0</v>
      </c>
    </row>
    <row r="359" spans="2:18" ht="30.75" customHeight="1" x14ac:dyDescent="0.3">
      <c r="B359" s="32"/>
      <c r="P359" s="31">
        <f t="shared" si="12"/>
        <v>0</v>
      </c>
      <c r="R359" s="31">
        <f t="shared" si="13"/>
        <v>0</v>
      </c>
    </row>
    <row r="360" spans="2:18" ht="30.75" customHeight="1" x14ac:dyDescent="0.3">
      <c r="B360" s="32"/>
      <c r="P360" s="31">
        <f t="shared" si="12"/>
        <v>0</v>
      </c>
      <c r="R360" s="31">
        <f t="shared" si="13"/>
        <v>0</v>
      </c>
    </row>
    <row r="361" spans="2:18" ht="30.75" customHeight="1" x14ac:dyDescent="0.3">
      <c r="B361" s="32"/>
      <c r="P361" s="31">
        <f t="shared" si="12"/>
        <v>0</v>
      </c>
      <c r="R361" s="31">
        <f t="shared" si="13"/>
        <v>0</v>
      </c>
    </row>
    <row r="362" spans="2:18" ht="30.75" customHeight="1" x14ac:dyDescent="0.3">
      <c r="B362" s="32"/>
      <c r="P362" s="31">
        <f t="shared" si="12"/>
        <v>0</v>
      </c>
      <c r="R362" s="31">
        <f t="shared" si="13"/>
        <v>0</v>
      </c>
    </row>
    <row r="363" spans="2:18" ht="30.75" customHeight="1" x14ac:dyDescent="0.3">
      <c r="B363" s="32"/>
      <c r="P363" s="31">
        <f t="shared" si="12"/>
        <v>0</v>
      </c>
      <c r="R363" s="31">
        <f t="shared" si="13"/>
        <v>0</v>
      </c>
    </row>
    <row r="364" spans="2:18" ht="30.75" customHeight="1" x14ac:dyDescent="0.3">
      <c r="B364" s="32"/>
      <c r="P364" s="31">
        <f t="shared" si="12"/>
        <v>0</v>
      </c>
      <c r="R364" s="31">
        <f t="shared" si="13"/>
        <v>0</v>
      </c>
    </row>
    <row r="365" spans="2:18" ht="30.75" customHeight="1" x14ac:dyDescent="0.3">
      <c r="B365" s="32"/>
      <c r="P365" s="31">
        <f t="shared" si="12"/>
        <v>0</v>
      </c>
      <c r="R365" s="31">
        <f t="shared" si="13"/>
        <v>0</v>
      </c>
    </row>
    <row r="366" spans="2:18" ht="30.75" customHeight="1" x14ac:dyDescent="0.3">
      <c r="B366" s="32"/>
      <c r="P366" s="31">
        <f t="shared" si="12"/>
        <v>0</v>
      </c>
      <c r="R366" s="31">
        <f t="shared" si="13"/>
        <v>0</v>
      </c>
    </row>
    <row r="367" spans="2:18" ht="30.75" customHeight="1" x14ac:dyDescent="0.3">
      <c r="B367" s="32"/>
      <c r="P367" s="31">
        <f t="shared" si="12"/>
        <v>0</v>
      </c>
      <c r="R367" s="31">
        <f t="shared" si="13"/>
        <v>0</v>
      </c>
    </row>
    <row r="368" spans="2:18" ht="30.75" customHeight="1" x14ac:dyDescent="0.3">
      <c r="B368" s="32"/>
      <c r="P368" s="31">
        <f t="shared" si="12"/>
        <v>0</v>
      </c>
      <c r="R368" s="31">
        <f t="shared" si="13"/>
        <v>0</v>
      </c>
    </row>
    <row r="369" spans="2:18" ht="30.75" customHeight="1" x14ac:dyDescent="0.3">
      <c r="B369" s="32"/>
      <c r="P369" s="31">
        <f t="shared" si="12"/>
        <v>0</v>
      </c>
      <c r="R369" s="31">
        <f t="shared" si="13"/>
        <v>0</v>
      </c>
    </row>
    <row r="370" spans="2:18" ht="30.75" customHeight="1" x14ac:dyDescent="0.3">
      <c r="B370" s="32"/>
      <c r="P370" s="31">
        <f t="shared" si="12"/>
        <v>0</v>
      </c>
      <c r="R370" s="31">
        <f t="shared" si="13"/>
        <v>0</v>
      </c>
    </row>
    <row r="371" spans="2:18" ht="30.75" customHeight="1" x14ac:dyDescent="0.3">
      <c r="B371" s="32"/>
      <c r="P371" s="31">
        <f t="shared" si="12"/>
        <v>0</v>
      </c>
      <c r="R371" s="31">
        <f t="shared" si="13"/>
        <v>0</v>
      </c>
    </row>
    <row r="372" spans="2:18" ht="30.75" customHeight="1" x14ac:dyDescent="0.3">
      <c r="B372" s="32"/>
      <c r="P372" s="31">
        <f t="shared" si="12"/>
        <v>0</v>
      </c>
      <c r="R372" s="31">
        <f t="shared" si="13"/>
        <v>0</v>
      </c>
    </row>
    <row r="373" spans="2:18" ht="30.75" customHeight="1" x14ac:dyDescent="0.3">
      <c r="B373" s="32"/>
      <c r="P373" s="31">
        <f t="shared" si="12"/>
        <v>0</v>
      </c>
      <c r="R373" s="31">
        <f t="shared" si="13"/>
        <v>0</v>
      </c>
    </row>
    <row r="374" spans="2:18" ht="30.75" customHeight="1" x14ac:dyDescent="0.3">
      <c r="B374" s="32"/>
      <c r="P374" s="31">
        <f t="shared" si="12"/>
        <v>0</v>
      </c>
      <c r="R374" s="31">
        <f t="shared" si="13"/>
        <v>0</v>
      </c>
    </row>
    <row r="375" spans="2:18" ht="30.75" customHeight="1" x14ac:dyDescent="0.3">
      <c r="B375" s="32"/>
      <c r="P375" s="31">
        <f t="shared" si="12"/>
        <v>0</v>
      </c>
      <c r="R375" s="31">
        <f t="shared" si="13"/>
        <v>0</v>
      </c>
    </row>
    <row r="376" spans="2:18" ht="30.75" customHeight="1" x14ac:dyDescent="0.3">
      <c r="B376" s="32"/>
      <c r="P376" s="31">
        <f t="shared" si="12"/>
        <v>0</v>
      </c>
      <c r="R376" s="31">
        <f t="shared" si="13"/>
        <v>0</v>
      </c>
    </row>
    <row r="377" spans="2:18" ht="30.75" customHeight="1" x14ac:dyDescent="0.3">
      <c r="B377" s="32"/>
      <c r="P377" s="31">
        <f t="shared" si="12"/>
        <v>0</v>
      </c>
      <c r="R377" s="31">
        <f t="shared" si="13"/>
        <v>0</v>
      </c>
    </row>
    <row r="378" spans="2:18" ht="30.75" customHeight="1" x14ac:dyDescent="0.3">
      <c r="B378" s="32"/>
      <c r="P378" s="31">
        <f t="shared" si="12"/>
        <v>0</v>
      </c>
      <c r="R378" s="31">
        <f t="shared" si="13"/>
        <v>0</v>
      </c>
    </row>
    <row r="379" spans="2:18" ht="30.75" customHeight="1" x14ac:dyDescent="0.3">
      <c r="B379" s="32"/>
      <c r="P379" s="31">
        <f t="shared" si="12"/>
        <v>0</v>
      </c>
      <c r="R379" s="31">
        <f t="shared" si="13"/>
        <v>0</v>
      </c>
    </row>
    <row r="380" spans="2:18" ht="30.75" customHeight="1" x14ac:dyDescent="0.3">
      <c r="B380" s="32"/>
      <c r="P380" s="31">
        <f t="shared" si="12"/>
        <v>0</v>
      </c>
      <c r="R380" s="31">
        <f t="shared" si="13"/>
        <v>0</v>
      </c>
    </row>
    <row r="381" spans="2:18" ht="30.75" customHeight="1" x14ac:dyDescent="0.3">
      <c r="B381" s="32"/>
      <c r="P381" s="31">
        <f t="shared" si="12"/>
        <v>0</v>
      </c>
      <c r="R381" s="31">
        <f t="shared" si="13"/>
        <v>0</v>
      </c>
    </row>
    <row r="382" spans="2:18" ht="30.75" customHeight="1" x14ac:dyDescent="0.3">
      <c r="B382" s="32"/>
      <c r="P382" s="31">
        <f t="shared" si="12"/>
        <v>0</v>
      </c>
      <c r="R382" s="31">
        <f t="shared" si="13"/>
        <v>0</v>
      </c>
    </row>
    <row r="383" spans="2:18" ht="30.75" customHeight="1" x14ac:dyDescent="0.3">
      <c r="B383" s="32"/>
      <c r="P383" s="31">
        <f t="shared" si="12"/>
        <v>0</v>
      </c>
      <c r="R383" s="31">
        <f t="shared" si="13"/>
        <v>0</v>
      </c>
    </row>
    <row r="384" spans="2:18" ht="30.75" customHeight="1" x14ac:dyDescent="0.3">
      <c r="B384" s="32"/>
      <c r="P384" s="31">
        <f t="shared" si="12"/>
        <v>0</v>
      </c>
      <c r="R384" s="31">
        <f t="shared" si="13"/>
        <v>0</v>
      </c>
    </row>
    <row r="385" spans="2:18" ht="30.75" customHeight="1" x14ac:dyDescent="0.3">
      <c r="B385" s="32"/>
      <c r="P385" s="31">
        <f t="shared" si="12"/>
        <v>0</v>
      </c>
      <c r="R385" s="31">
        <f t="shared" si="13"/>
        <v>0</v>
      </c>
    </row>
    <row r="386" spans="2:18" ht="30.75" customHeight="1" x14ac:dyDescent="0.3">
      <c r="B386" s="32"/>
      <c r="P386" s="31">
        <f t="shared" si="12"/>
        <v>0</v>
      </c>
      <c r="R386" s="31">
        <f t="shared" si="13"/>
        <v>0</v>
      </c>
    </row>
    <row r="387" spans="2:18" ht="30.75" customHeight="1" x14ac:dyDescent="0.3">
      <c r="B387" s="32"/>
      <c r="P387" s="31">
        <f t="shared" si="12"/>
        <v>0</v>
      </c>
      <c r="R387" s="31">
        <f t="shared" si="13"/>
        <v>0</v>
      </c>
    </row>
    <row r="388" spans="2:18" ht="30.75" customHeight="1" x14ac:dyDescent="0.3">
      <c r="B388" s="32"/>
      <c r="P388" s="31">
        <f t="shared" si="12"/>
        <v>0</v>
      </c>
      <c r="R388" s="31">
        <f t="shared" si="13"/>
        <v>0</v>
      </c>
    </row>
    <row r="389" spans="2:18" ht="30.75" customHeight="1" x14ac:dyDescent="0.3">
      <c r="B389" s="32"/>
      <c r="P389" s="31">
        <f t="shared" si="12"/>
        <v>0</v>
      </c>
      <c r="R389" s="31">
        <f t="shared" si="13"/>
        <v>0</v>
      </c>
    </row>
    <row r="390" spans="2:18" ht="30.75" customHeight="1" x14ac:dyDescent="0.3">
      <c r="B390" s="32"/>
      <c r="P390" s="31">
        <f t="shared" si="12"/>
        <v>0</v>
      </c>
      <c r="R390" s="31">
        <f t="shared" si="13"/>
        <v>0</v>
      </c>
    </row>
    <row r="391" spans="2:18" ht="30.75" customHeight="1" x14ac:dyDescent="0.3">
      <c r="B391" s="32"/>
      <c r="D391" s="58"/>
      <c r="P391" s="31">
        <f t="shared" si="12"/>
        <v>0</v>
      </c>
      <c r="R391" s="31">
        <f t="shared" si="13"/>
        <v>0</v>
      </c>
    </row>
    <row r="392" spans="2:18" ht="30.75" customHeight="1" x14ac:dyDescent="0.3">
      <c r="B392" s="32"/>
      <c r="P392" s="31">
        <f t="shared" si="12"/>
        <v>0</v>
      </c>
      <c r="R392" s="31">
        <f t="shared" si="13"/>
        <v>0</v>
      </c>
    </row>
    <row r="393" spans="2:18" ht="30.75" customHeight="1" x14ac:dyDescent="0.3">
      <c r="B393" s="59"/>
      <c r="C393" s="56"/>
      <c r="D393" s="56"/>
      <c r="E393" s="56"/>
      <c r="F393" s="56"/>
      <c r="G393" s="57"/>
      <c r="H393" s="56"/>
      <c r="I393" s="56"/>
      <c r="J393" s="56"/>
      <c r="K393" s="56"/>
      <c r="L393" s="56"/>
      <c r="M393" s="56"/>
      <c r="N393" s="56"/>
      <c r="O393" s="56"/>
      <c r="P393" s="31">
        <f t="shared" si="12"/>
        <v>0</v>
      </c>
      <c r="Q393" s="56"/>
      <c r="R393" s="31">
        <f t="shared" si="13"/>
        <v>0</v>
      </c>
    </row>
    <row r="394" spans="2:18" ht="30.75" customHeight="1" x14ac:dyDescent="0.3">
      <c r="B394" s="32"/>
      <c r="P394" s="31">
        <f t="shared" ref="P394:P457" si="14">K394-L394-M394-N394+O394</f>
        <v>0</v>
      </c>
      <c r="R394" s="31">
        <f t="shared" ref="R394:R457" si="15">R393+K394-L394-M394-N394+O394-Q394</f>
        <v>0</v>
      </c>
    </row>
    <row r="395" spans="2:18" ht="30.75" customHeight="1" x14ac:dyDescent="0.3">
      <c r="B395" s="32"/>
      <c r="P395" s="31">
        <f t="shared" si="14"/>
        <v>0</v>
      </c>
      <c r="R395" s="31">
        <f t="shared" si="15"/>
        <v>0</v>
      </c>
    </row>
    <row r="396" spans="2:18" ht="30.75" customHeight="1" x14ac:dyDescent="0.3">
      <c r="B396" s="32"/>
      <c r="P396" s="31">
        <f t="shared" si="14"/>
        <v>0</v>
      </c>
      <c r="R396" s="31">
        <f t="shared" si="15"/>
        <v>0</v>
      </c>
    </row>
    <row r="397" spans="2:18" ht="30.75" customHeight="1" x14ac:dyDescent="0.3">
      <c r="B397" s="32"/>
      <c r="P397" s="31">
        <f t="shared" si="14"/>
        <v>0</v>
      </c>
      <c r="R397" s="31">
        <f t="shared" si="15"/>
        <v>0</v>
      </c>
    </row>
    <row r="398" spans="2:18" ht="30.75" customHeight="1" x14ac:dyDescent="0.3">
      <c r="B398" s="59"/>
      <c r="C398" s="56"/>
      <c r="D398" s="56"/>
      <c r="E398" s="56"/>
      <c r="F398" s="56"/>
      <c r="G398" s="57"/>
      <c r="H398" s="56"/>
      <c r="I398" s="56"/>
      <c r="J398" s="56"/>
      <c r="K398" s="56"/>
      <c r="L398" s="56"/>
      <c r="M398" s="56"/>
      <c r="N398" s="56"/>
      <c r="O398" s="56"/>
      <c r="P398" s="31">
        <f t="shared" si="14"/>
        <v>0</v>
      </c>
      <c r="Q398" s="56"/>
      <c r="R398" s="31">
        <f t="shared" si="15"/>
        <v>0</v>
      </c>
    </row>
    <row r="399" spans="2:18" ht="30.75" customHeight="1" x14ac:dyDescent="0.3">
      <c r="B399" s="59"/>
      <c r="C399" s="56"/>
      <c r="D399" s="56"/>
      <c r="E399" s="56"/>
      <c r="F399" s="56"/>
      <c r="G399" s="57"/>
      <c r="H399" s="56"/>
      <c r="I399" s="56"/>
      <c r="J399" s="56"/>
      <c r="K399" s="56"/>
      <c r="L399" s="56"/>
      <c r="M399" s="56"/>
      <c r="N399" s="56"/>
      <c r="O399" s="56"/>
      <c r="P399" s="31">
        <f t="shared" si="14"/>
        <v>0</v>
      </c>
      <c r="Q399" s="56"/>
      <c r="R399" s="31">
        <f t="shared" si="15"/>
        <v>0</v>
      </c>
    </row>
    <row r="400" spans="2:18" ht="30.75" customHeight="1" x14ac:dyDescent="0.3">
      <c r="B400" s="32"/>
      <c r="P400" s="31">
        <f t="shared" si="14"/>
        <v>0</v>
      </c>
      <c r="R400" s="31">
        <f t="shared" si="15"/>
        <v>0</v>
      </c>
    </row>
    <row r="401" spans="2:18" ht="30.75" customHeight="1" x14ac:dyDescent="0.3">
      <c r="B401" s="32"/>
      <c r="P401" s="31">
        <f t="shared" si="14"/>
        <v>0</v>
      </c>
      <c r="R401" s="31">
        <f t="shared" si="15"/>
        <v>0</v>
      </c>
    </row>
    <row r="402" spans="2:18" ht="30.75" customHeight="1" x14ac:dyDescent="0.3">
      <c r="B402" s="32"/>
      <c r="P402" s="31">
        <f t="shared" si="14"/>
        <v>0</v>
      </c>
      <c r="R402" s="31">
        <f t="shared" si="15"/>
        <v>0</v>
      </c>
    </row>
    <row r="403" spans="2:18" ht="30.75" customHeight="1" x14ac:dyDescent="0.3">
      <c r="B403" s="32"/>
      <c r="P403" s="31">
        <f t="shared" si="14"/>
        <v>0</v>
      </c>
      <c r="R403" s="31">
        <f t="shared" si="15"/>
        <v>0</v>
      </c>
    </row>
    <row r="404" spans="2:18" ht="30.75" customHeight="1" x14ac:dyDescent="0.3">
      <c r="B404" s="32"/>
      <c r="P404" s="31">
        <f t="shared" si="14"/>
        <v>0</v>
      </c>
      <c r="R404" s="31">
        <f t="shared" si="15"/>
        <v>0</v>
      </c>
    </row>
    <row r="405" spans="2:18" ht="30.75" customHeight="1" x14ac:dyDescent="0.3">
      <c r="B405" s="32"/>
      <c r="P405" s="31">
        <f t="shared" si="14"/>
        <v>0</v>
      </c>
      <c r="R405" s="31">
        <f t="shared" si="15"/>
        <v>0</v>
      </c>
    </row>
    <row r="406" spans="2:18" ht="30.75" customHeight="1" x14ac:dyDescent="0.3">
      <c r="B406" s="32"/>
      <c r="P406" s="31">
        <f t="shared" si="14"/>
        <v>0</v>
      </c>
      <c r="R406" s="31">
        <f t="shared" si="15"/>
        <v>0</v>
      </c>
    </row>
    <row r="407" spans="2:18" ht="30.75" customHeight="1" x14ac:dyDescent="0.3">
      <c r="B407" s="32"/>
      <c r="P407" s="31">
        <f t="shared" si="14"/>
        <v>0</v>
      </c>
      <c r="R407" s="31">
        <f t="shared" si="15"/>
        <v>0</v>
      </c>
    </row>
    <row r="408" spans="2:18" ht="30.75" customHeight="1" x14ac:dyDescent="0.3">
      <c r="B408" s="32"/>
      <c r="P408" s="31">
        <f t="shared" si="14"/>
        <v>0</v>
      </c>
      <c r="R408" s="31">
        <f t="shared" si="15"/>
        <v>0</v>
      </c>
    </row>
    <row r="409" spans="2:18" ht="30.75" customHeight="1" x14ac:dyDescent="0.3">
      <c r="B409" s="32"/>
      <c r="P409" s="31">
        <f t="shared" si="14"/>
        <v>0</v>
      </c>
      <c r="R409" s="31">
        <f t="shared" si="15"/>
        <v>0</v>
      </c>
    </row>
    <row r="410" spans="2:18" ht="30.75" customHeight="1" x14ac:dyDescent="0.3">
      <c r="B410" s="32"/>
      <c r="P410" s="31">
        <f t="shared" si="14"/>
        <v>0</v>
      </c>
      <c r="R410" s="31">
        <f t="shared" si="15"/>
        <v>0</v>
      </c>
    </row>
    <row r="411" spans="2:18" ht="30.75" customHeight="1" x14ac:dyDescent="0.3">
      <c r="B411" s="32"/>
      <c r="P411" s="31">
        <f t="shared" si="14"/>
        <v>0</v>
      </c>
      <c r="R411" s="31">
        <f t="shared" si="15"/>
        <v>0</v>
      </c>
    </row>
    <row r="412" spans="2:18" ht="30.75" customHeight="1" x14ac:dyDescent="0.3">
      <c r="B412" s="32"/>
      <c r="P412" s="31">
        <f t="shared" si="14"/>
        <v>0</v>
      </c>
      <c r="R412" s="31">
        <f t="shared" si="15"/>
        <v>0</v>
      </c>
    </row>
    <row r="413" spans="2:18" ht="30.75" customHeight="1" x14ac:dyDescent="0.3">
      <c r="B413" s="59"/>
      <c r="C413" s="56"/>
      <c r="D413" s="56"/>
      <c r="E413" s="56"/>
      <c r="F413" s="56"/>
      <c r="G413" s="57"/>
      <c r="H413" s="56"/>
      <c r="I413" s="56"/>
      <c r="J413" s="56"/>
      <c r="K413" s="56"/>
      <c r="L413" s="56"/>
      <c r="M413" s="56"/>
      <c r="N413" s="56"/>
      <c r="O413" s="56"/>
      <c r="P413" s="31">
        <f t="shared" si="14"/>
        <v>0</v>
      </c>
      <c r="Q413" s="56"/>
      <c r="R413" s="31">
        <f t="shared" si="15"/>
        <v>0</v>
      </c>
    </row>
    <row r="414" spans="2:18" ht="30.75" customHeight="1" x14ac:dyDescent="0.3">
      <c r="B414" s="32"/>
      <c r="P414" s="31">
        <f t="shared" si="14"/>
        <v>0</v>
      </c>
      <c r="R414" s="31">
        <f t="shared" si="15"/>
        <v>0</v>
      </c>
    </row>
    <row r="415" spans="2:18" ht="30.75" customHeight="1" x14ac:dyDescent="0.3">
      <c r="B415" s="32"/>
      <c r="P415" s="31">
        <f t="shared" si="14"/>
        <v>0</v>
      </c>
      <c r="R415" s="31">
        <f t="shared" si="15"/>
        <v>0</v>
      </c>
    </row>
    <row r="416" spans="2:18" ht="30.75" customHeight="1" x14ac:dyDescent="0.3">
      <c r="B416" s="32"/>
      <c r="P416" s="31">
        <f t="shared" si="14"/>
        <v>0</v>
      </c>
      <c r="R416" s="31">
        <f t="shared" si="15"/>
        <v>0</v>
      </c>
    </row>
    <row r="417" spans="2:18" ht="30.75" customHeight="1" x14ac:dyDescent="0.3">
      <c r="B417" s="32"/>
      <c r="P417" s="31">
        <f t="shared" si="14"/>
        <v>0</v>
      </c>
      <c r="R417" s="31">
        <f t="shared" si="15"/>
        <v>0</v>
      </c>
    </row>
    <row r="418" spans="2:18" ht="30.75" customHeight="1" x14ac:dyDescent="0.3">
      <c r="B418" s="32"/>
      <c r="P418" s="31">
        <f t="shared" si="14"/>
        <v>0</v>
      </c>
      <c r="R418" s="31">
        <f t="shared" si="15"/>
        <v>0</v>
      </c>
    </row>
    <row r="419" spans="2:18" ht="30.75" customHeight="1" x14ac:dyDescent="0.3">
      <c r="B419" s="32"/>
      <c r="P419" s="31">
        <f t="shared" si="14"/>
        <v>0</v>
      </c>
      <c r="R419" s="31">
        <f t="shared" si="15"/>
        <v>0</v>
      </c>
    </row>
    <row r="420" spans="2:18" ht="30.75" customHeight="1" x14ac:dyDescent="0.3">
      <c r="B420" s="32"/>
      <c r="P420" s="31">
        <f t="shared" si="14"/>
        <v>0</v>
      </c>
      <c r="R420" s="31">
        <f t="shared" si="15"/>
        <v>0</v>
      </c>
    </row>
    <row r="421" spans="2:18" ht="30.75" customHeight="1" x14ac:dyDescent="0.3">
      <c r="B421" s="32"/>
      <c r="P421" s="31">
        <f t="shared" si="14"/>
        <v>0</v>
      </c>
      <c r="R421" s="31">
        <f t="shared" si="15"/>
        <v>0</v>
      </c>
    </row>
    <row r="422" spans="2:18" ht="30.75" customHeight="1" x14ac:dyDescent="0.3">
      <c r="B422" s="32"/>
      <c r="P422" s="31">
        <f t="shared" si="14"/>
        <v>0</v>
      </c>
      <c r="R422" s="31">
        <f t="shared" si="15"/>
        <v>0</v>
      </c>
    </row>
    <row r="423" spans="2:18" ht="30.75" customHeight="1" x14ac:dyDescent="0.3">
      <c r="B423" s="32"/>
      <c r="P423" s="31">
        <f t="shared" si="14"/>
        <v>0</v>
      </c>
      <c r="R423" s="31">
        <f t="shared" si="15"/>
        <v>0</v>
      </c>
    </row>
    <row r="424" spans="2:18" ht="30.75" customHeight="1" x14ac:dyDescent="0.3">
      <c r="B424" s="32"/>
      <c r="P424" s="31">
        <f t="shared" si="14"/>
        <v>0</v>
      </c>
      <c r="R424" s="31">
        <f t="shared" si="15"/>
        <v>0</v>
      </c>
    </row>
    <row r="425" spans="2:18" ht="30.75" customHeight="1" x14ac:dyDescent="0.3">
      <c r="B425" s="32"/>
      <c r="P425" s="31">
        <f t="shared" si="14"/>
        <v>0</v>
      </c>
      <c r="R425" s="31">
        <f t="shared" si="15"/>
        <v>0</v>
      </c>
    </row>
    <row r="426" spans="2:18" ht="30.75" customHeight="1" x14ac:dyDescent="0.3">
      <c r="B426" s="32"/>
      <c r="P426" s="31">
        <f t="shared" si="14"/>
        <v>0</v>
      </c>
      <c r="R426" s="31">
        <f t="shared" si="15"/>
        <v>0</v>
      </c>
    </row>
    <row r="427" spans="2:18" ht="30.75" customHeight="1" x14ac:dyDescent="0.3">
      <c r="B427" s="32"/>
      <c r="P427" s="31">
        <f t="shared" si="14"/>
        <v>0</v>
      </c>
      <c r="R427" s="31">
        <f t="shared" si="15"/>
        <v>0</v>
      </c>
    </row>
    <row r="428" spans="2:18" ht="30.75" customHeight="1" x14ac:dyDescent="0.3">
      <c r="B428" s="32"/>
      <c r="P428" s="31">
        <f t="shared" si="14"/>
        <v>0</v>
      </c>
      <c r="R428" s="31">
        <f t="shared" si="15"/>
        <v>0</v>
      </c>
    </row>
    <row r="429" spans="2:18" ht="30.75" customHeight="1" x14ac:dyDescent="0.3">
      <c r="B429" s="32"/>
      <c r="P429" s="31">
        <f t="shared" si="14"/>
        <v>0</v>
      </c>
      <c r="R429" s="31">
        <f t="shared" si="15"/>
        <v>0</v>
      </c>
    </row>
    <row r="430" spans="2:18" ht="30.75" customHeight="1" x14ac:dyDescent="0.3">
      <c r="B430" s="32"/>
      <c r="P430" s="31">
        <f t="shared" si="14"/>
        <v>0</v>
      </c>
      <c r="R430" s="31">
        <f t="shared" si="15"/>
        <v>0</v>
      </c>
    </row>
    <row r="431" spans="2:18" ht="30.75" customHeight="1" x14ac:dyDescent="0.3">
      <c r="B431" s="32"/>
      <c r="P431" s="31">
        <f t="shared" si="14"/>
        <v>0</v>
      </c>
      <c r="R431" s="31">
        <f t="shared" si="15"/>
        <v>0</v>
      </c>
    </row>
    <row r="432" spans="2:18" ht="30.75" customHeight="1" x14ac:dyDescent="0.3">
      <c r="B432" s="32"/>
      <c r="P432" s="31">
        <f t="shared" si="14"/>
        <v>0</v>
      </c>
      <c r="R432" s="31">
        <f t="shared" si="15"/>
        <v>0</v>
      </c>
    </row>
    <row r="433" spans="2:18" ht="30.75" customHeight="1" x14ac:dyDescent="0.3">
      <c r="B433" s="32"/>
      <c r="P433" s="31">
        <f t="shared" si="14"/>
        <v>0</v>
      </c>
      <c r="R433" s="31">
        <f t="shared" si="15"/>
        <v>0</v>
      </c>
    </row>
    <row r="434" spans="2:18" ht="30.75" customHeight="1" x14ac:dyDescent="0.3">
      <c r="B434" s="32"/>
      <c r="P434" s="31">
        <f t="shared" si="14"/>
        <v>0</v>
      </c>
      <c r="R434" s="31">
        <f t="shared" si="15"/>
        <v>0</v>
      </c>
    </row>
    <row r="435" spans="2:18" ht="30.75" customHeight="1" x14ac:dyDescent="0.3">
      <c r="B435" s="32"/>
      <c r="P435" s="31">
        <f t="shared" si="14"/>
        <v>0</v>
      </c>
      <c r="R435" s="31">
        <f t="shared" si="15"/>
        <v>0</v>
      </c>
    </row>
    <row r="436" spans="2:18" ht="30.75" customHeight="1" x14ac:dyDescent="0.3">
      <c r="B436" s="32"/>
      <c r="P436" s="31">
        <f t="shared" si="14"/>
        <v>0</v>
      </c>
      <c r="R436" s="31">
        <f t="shared" si="15"/>
        <v>0</v>
      </c>
    </row>
    <row r="437" spans="2:18" ht="30.75" customHeight="1" x14ac:dyDescent="0.3">
      <c r="B437" s="32"/>
      <c r="P437" s="31">
        <f t="shared" si="14"/>
        <v>0</v>
      </c>
      <c r="R437" s="31">
        <f t="shared" si="15"/>
        <v>0</v>
      </c>
    </row>
    <row r="438" spans="2:18" ht="30.75" customHeight="1" x14ac:dyDescent="0.3">
      <c r="B438" s="32"/>
      <c r="P438" s="31">
        <f t="shared" si="14"/>
        <v>0</v>
      </c>
      <c r="R438" s="31">
        <f t="shared" si="15"/>
        <v>0</v>
      </c>
    </row>
    <row r="439" spans="2:18" ht="30.75" customHeight="1" x14ac:dyDescent="0.3">
      <c r="B439" s="32"/>
      <c r="P439" s="31">
        <f t="shared" si="14"/>
        <v>0</v>
      </c>
      <c r="R439" s="31">
        <f t="shared" si="15"/>
        <v>0</v>
      </c>
    </row>
    <row r="440" spans="2:18" ht="30.75" customHeight="1" x14ac:dyDescent="0.3">
      <c r="B440" s="32"/>
      <c r="P440" s="31">
        <f t="shared" si="14"/>
        <v>0</v>
      </c>
      <c r="R440" s="31">
        <f t="shared" si="15"/>
        <v>0</v>
      </c>
    </row>
    <row r="441" spans="2:18" ht="30.75" customHeight="1" x14ac:dyDescent="0.3">
      <c r="B441" s="32"/>
      <c r="P441" s="31">
        <f t="shared" si="14"/>
        <v>0</v>
      </c>
      <c r="R441" s="31">
        <f t="shared" si="15"/>
        <v>0</v>
      </c>
    </row>
    <row r="442" spans="2:18" ht="30.75" customHeight="1" x14ac:dyDescent="0.3">
      <c r="B442" s="32"/>
      <c r="P442" s="31">
        <f t="shared" si="14"/>
        <v>0</v>
      </c>
      <c r="R442" s="31">
        <f t="shared" si="15"/>
        <v>0</v>
      </c>
    </row>
    <row r="443" spans="2:18" ht="30.75" customHeight="1" x14ac:dyDescent="0.3">
      <c r="B443" s="32"/>
      <c r="P443" s="31">
        <f t="shared" si="14"/>
        <v>0</v>
      </c>
      <c r="R443" s="31">
        <f t="shared" si="15"/>
        <v>0</v>
      </c>
    </row>
    <row r="444" spans="2:18" ht="30.75" customHeight="1" x14ac:dyDescent="0.3">
      <c r="B444" s="32"/>
      <c r="P444" s="31">
        <f t="shared" si="14"/>
        <v>0</v>
      </c>
      <c r="R444" s="31">
        <f t="shared" si="15"/>
        <v>0</v>
      </c>
    </row>
    <row r="445" spans="2:18" ht="30.75" customHeight="1" x14ac:dyDescent="0.3">
      <c r="B445" s="32"/>
      <c r="P445" s="31">
        <f t="shared" si="14"/>
        <v>0</v>
      </c>
      <c r="R445" s="31">
        <f t="shared" si="15"/>
        <v>0</v>
      </c>
    </row>
    <row r="446" spans="2:18" ht="30.75" customHeight="1" x14ac:dyDescent="0.3">
      <c r="B446" s="32"/>
      <c r="P446" s="31">
        <f t="shared" si="14"/>
        <v>0</v>
      </c>
      <c r="R446" s="31">
        <f t="shared" si="15"/>
        <v>0</v>
      </c>
    </row>
    <row r="447" spans="2:18" ht="30.75" customHeight="1" x14ac:dyDescent="0.3">
      <c r="B447" s="32"/>
      <c r="P447" s="31">
        <f t="shared" si="14"/>
        <v>0</v>
      </c>
      <c r="R447" s="31">
        <f t="shared" si="15"/>
        <v>0</v>
      </c>
    </row>
    <row r="448" spans="2:18" ht="30.75" customHeight="1" x14ac:dyDescent="0.3">
      <c r="B448" s="32"/>
      <c r="P448" s="31">
        <f t="shared" si="14"/>
        <v>0</v>
      </c>
      <c r="R448" s="31">
        <f t="shared" si="15"/>
        <v>0</v>
      </c>
    </row>
    <row r="449" spans="2:18" ht="30.75" customHeight="1" x14ac:dyDescent="0.3">
      <c r="B449" s="32"/>
      <c r="P449" s="31">
        <f t="shared" si="14"/>
        <v>0</v>
      </c>
      <c r="R449" s="31">
        <f t="shared" si="15"/>
        <v>0</v>
      </c>
    </row>
    <row r="450" spans="2:18" ht="30.75" customHeight="1" x14ac:dyDescent="0.3">
      <c r="B450" s="32"/>
      <c r="P450" s="31">
        <f t="shared" si="14"/>
        <v>0</v>
      </c>
      <c r="R450" s="31">
        <f t="shared" si="15"/>
        <v>0</v>
      </c>
    </row>
    <row r="451" spans="2:18" ht="30.75" customHeight="1" x14ac:dyDescent="0.3">
      <c r="B451" s="32"/>
      <c r="P451" s="31">
        <f t="shared" si="14"/>
        <v>0</v>
      </c>
      <c r="R451" s="31">
        <f t="shared" si="15"/>
        <v>0</v>
      </c>
    </row>
    <row r="452" spans="2:18" ht="30.75" customHeight="1" x14ac:dyDescent="0.3">
      <c r="B452" s="32"/>
      <c r="P452" s="31">
        <f t="shared" si="14"/>
        <v>0</v>
      </c>
      <c r="R452" s="31">
        <f t="shared" si="15"/>
        <v>0</v>
      </c>
    </row>
    <row r="453" spans="2:18" ht="30.75" customHeight="1" x14ac:dyDescent="0.3">
      <c r="B453" s="32"/>
      <c r="P453" s="31">
        <f t="shared" si="14"/>
        <v>0</v>
      </c>
      <c r="R453" s="31">
        <f t="shared" si="15"/>
        <v>0</v>
      </c>
    </row>
    <row r="454" spans="2:18" ht="30.75" customHeight="1" x14ac:dyDescent="0.3">
      <c r="B454" s="32"/>
      <c r="P454" s="31">
        <f t="shared" si="14"/>
        <v>0</v>
      </c>
      <c r="R454" s="31">
        <f t="shared" si="15"/>
        <v>0</v>
      </c>
    </row>
    <row r="455" spans="2:18" ht="30.75" customHeight="1" x14ac:dyDescent="0.3">
      <c r="B455" s="32"/>
      <c r="P455" s="31">
        <f t="shared" si="14"/>
        <v>0</v>
      </c>
      <c r="R455" s="31">
        <f t="shared" si="15"/>
        <v>0</v>
      </c>
    </row>
    <row r="456" spans="2:18" ht="30.75" customHeight="1" x14ac:dyDescent="0.3">
      <c r="B456" s="32"/>
      <c r="P456" s="31">
        <f t="shared" si="14"/>
        <v>0</v>
      </c>
      <c r="R456" s="31">
        <f t="shared" si="15"/>
        <v>0</v>
      </c>
    </row>
    <row r="457" spans="2:18" ht="30.75" customHeight="1" x14ac:dyDescent="0.3">
      <c r="B457" s="32"/>
      <c r="P457" s="31">
        <f t="shared" si="14"/>
        <v>0</v>
      </c>
      <c r="R457" s="31">
        <f t="shared" si="15"/>
        <v>0</v>
      </c>
    </row>
    <row r="458" spans="2:18" ht="30.75" customHeight="1" x14ac:dyDescent="0.3">
      <c r="B458" s="32"/>
      <c r="P458" s="31">
        <f t="shared" ref="P458:P521" si="16">K458-L458-M458-N458+O458</f>
        <v>0</v>
      </c>
      <c r="R458" s="31">
        <f t="shared" ref="R458:R521" si="17">R457+K458-L458-M458-N458+O458-Q458</f>
        <v>0</v>
      </c>
    </row>
    <row r="459" spans="2:18" ht="30.75" customHeight="1" x14ac:dyDescent="0.3">
      <c r="B459" s="32"/>
      <c r="P459" s="31">
        <f t="shared" si="16"/>
        <v>0</v>
      </c>
      <c r="R459" s="31">
        <f t="shared" si="17"/>
        <v>0</v>
      </c>
    </row>
    <row r="460" spans="2:18" ht="30.75" customHeight="1" x14ac:dyDescent="0.3">
      <c r="B460" s="32"/>
      <c r="P460" s="31">
        <f t="shared" si="16"/>
        <v>0</v>
      </c>
      <c r="R460" s="31">
        <f t="shared" si="17"/>
        <v>0</v>
      </c>
    </row>
    <row r="461" spans="2:18" ht="30.75" customHeight="1" x14ac:dyDescent="0.3">
      <c r="B461" s="32"/>
      <c r="P461" s="31">
        <f t="shared" si="16"/>
        <v>0</v>
      </c>
      <c r="R461" s="31">
        <f t="shared" si="17"/>
        <v>0</v>
      </c>
    </row>
    <row r="462" spans="2:18" ht="30.75" customHeight="1" x14ac:dyDescent="0.3">
      <c r="B462" s="32"/>
      <c r="P462" s="31">
        <f t="shared" si="16"/>
        <v>0</v>
      </c>
      <c r="R462" s="31">
        <f t="shared" si="17"/>
        <v>0</v>
      </c>
    </row>
    <row r="463" spans="2:18" ht="30.75" customHeight="1" x14ac:dyDescent="0.3">
      <c r="B463" s="32"/>
      <c r="P463" s="31">
        <f t="shared" si="16"/>
        <v>0</v>
      </c>
      <c r="R463" s="31">
        <f t="shared" si="17"/>
        <v>0</v>
      </c>
    </row>
    <row r="464" spans="2:18" ht="30.75" customHeight="1" x14ac:dyDescent="0.3">
      <c r="B464" s="32"/>
      <c r="P464" s="31">
        <f t="shared" si="16"/>
        <v>0</v>
      </c>
      <c r="R464" s="31">
        <f t="shared" si="17"/>
        <v>0</v>
      </c>
    </row>
    <row r="465" spans="2:18" ht="30.75" customHeight="1" x14ac:dyDescent="0.3">
      <c r="B465" s="59"/>
      <c r="C465" s="56"/>
      <c r="D465" s="56"/>
      <c r="E465" s="56"/>
      <c r="F465" s="56"/>
      <c r="G465" s="57"/>
      <c r="H465" s="56"/>
      <c r="I465" s="56"/>
      <c r="J465" s="56"/>
      <c r="K465" s="56"/>
      <c r="L465" s="56"/>
      <c r="M465" s="56"/>
      <c r="N465" s="56"/>
      <c r="O465" s="56"/>
      <c r="P465" s="31">
        <f t="shared" si="16"/>
        <v>0</v>
      </c>
      <c r="Q465" s="56"/>
      <c r="R465" s="31">
        <f t="shared" si="17"/>
        <v>0</v>
      </c>
    </row>
    <row r="466" spans="2:18" ht="30.75" customHeight="1" x14ac:dyDescent="0.3">
      <c r="B466" s="32"/>
      <c r="P466" s="31">
        <f t="shared" si="16"/>
        <v>0</v>
      </c>
      <c r="R466" s="31">
        <f t="shared" si="17"/>
        <v>0</v>
      </c>
    </row>
    <row r="467" spans="2:18" ht="30.75" customHeight="1" x14ac:dyDescent="0.3">
      <c r="B467" s="32"/>
      <c r="P467" s="31">
        <f t="shared" si="16"/>
        <v>0</v>
      </c>
      <c r="R467" s="31">
        <f t="shared" si="17"/>
        <v>0</v>
      </c>
    </row>
    <row r="468" spans="2:18" ht="30.75" customHeight="1" x14ac:dyDescent="0.3">
      <c r="B468" s="32"/>
      <c r="P468" s="31">
        <f t="shared" si="16"/>
        <v>0</v>
      </c>
      <c r="R468" s="31">
        <f t="shared" si="17"/>
        <v>0</v>
      </c>
    </row>
    <row r="469" spans="2:18" ht="30.75" customHeight="1" x14ac:dyDescent="0.3">
      <c r="B469" s="32"/>
      <c r="P469" s="31">
        <f t="shared" si="16"/>
        <v>0</v>
      </c>
      <c r="R469" s="31">
        <f t="shared" si="17"/>
        <v>0</v>
      </c>
    </row>
    <row r="470" spans="2:18" ht="30.75" customHeight="1" x14ac:dyDescent="0.3">
      <c r="B470" s="32"/>
      <c r="P470" s="31">
        <f t="shared" si="16"/>
        <v>0</v>
      </c>
      <c r="R470" s="31">
        <f t="shared" si="17"/>
        <v>0</v>
      </c>
    </row>
    <row r="471" spans="2:18" ht="30.75" customHeight="1" x14ac:dyDescent="0.3">
      <c r="B471" s="32"/>
      <c r="P471" s="31">
        <f t="shared" si="16"/>
        <v>0</v>
      </c>
      <c r="R471" s="31">
        <f t="shared" si="17"/>
        <v>0</v>
      </c>
    </row>
    <row r="472" spans="2:18" ht="30.75" customHeight="1" x14ac:dyDescent="0.3">
      <c r="B472" s="32"/>
      <c r="P472" s="31">
        <f t="shared" si="16"/>
        <v>0</v>
      </c>
      <c r="R472" s="31">
        <f t="shared" si="17"/>
        <v>0</v>
      </c>
    </row>
    <row r="473" spans="2:18" ht="30.75" customHeight="1" x14ac:dyDescent="0.3">
      <c r="B473" s="32"/>
      <c r="P473" s="31">
        <f t="shared" si="16"/>
        <v>0</v>
      </c>
      <c r="R473" s="31">
        <f t="shared" si="17"/>
        <v>0</v>
      </c>
    </row>
    <row r="474" spans="2:18" ht="30.75" customHeight="1" x14ac:dyDescent="0.3">
      <c r="B474" s="32"/>
      <c r="P474" s="31">
        <f t="shared" si="16"/>
        <v>0</v>
      </c>
      <c r="R474" s="31">
        <f t="shared" si="17"/>
        <v>0</v>
      </c>
    </row>
    <row r="475" spans="2:18" ht="30.75" customHeight="1" x14ac:dyDescent="0.3">
      <c r="B475" s="32"/>
      <c r="P475" s="31">
        <f t="shared" si="16"/>
        <v>0</v>
      </c>
      <c r="R475" s="31">
        <f t="shared" si="17"/>
        <v>0</v>
      </c>
    </row>
    <row r="476" spans="2:18" ht="30.75" customHeight="1" x14ac:dyDescent="0.3">
      <c r="B476" s="59"/>
      <c r="C476" s="56"/>
      <c r="D476" s="56"/>
      <c r="E476" s="56"/>
      <c r="F476" s="56"/>
      <c r="G476" s="57"/>
      <c r="H476" s="56"/>
      <c r="I476" s="56"/>
      <c r="J476" s="56"/>
      <c r="K476" s="56"/>
      <c r="L476" s="56"/>
      <c r="M476" s="56"/>
      <c r="N476" s="56"/>
      <c r="O476" s="56"/>
      <c r="P476" s="31">
        <f t="shared" si="16"/>
        <v>0</v>
      </c>
      <c r="Q476" s="56"/>
      <c r="R476" s="31">
        <f t="shared" si="17"/>
        <v>0</v>
      </c>
    </row>
    <row r="477" spans="2:18" ht="30.75" customHeight="1" x14ac:dyDescent="0.3">
      <c r="B477" s="32"/>
      <c r="P477" s="31">
        <f t="shared" si="16"/>
        <v>0</v>
      </c>
      <c r="R477" s="31">
        <f t="shared" si="17"/>
        <v>0</v>
      </c>
    </row>
    <row r="478" spans="2:18" ht="30.75" customHeight="1" x14ac:dyDescent="0.3">
      <c r="B478" s="32"/>
      <c r="P478" s="31">
        <f t="shared" si="16"/>
        <v>0</v>
      </c>
      <c r="R478" s="31">
        <f t="shared" si="17"/>
        <v>0</v>
      </c>
    </row>
    <row r="479" spans="2:18" ht="30.75" customHeight="1" x14ac:dyDescent="0.3">
      <c r="B479" s="32"/>
      <c r="P479" s="31">
        <f t="shared" si="16"/>
        <v>0</v>
      </c>
      <c r="R479" s="31">
        <f t="shared" si="17"/>
        <v>0</v>
      </c>
    </row>
    <row r="480" spans="2:18" ht="30.75" customHeight="1" x14ac:dyDescent="0.3">
      <c r="B480" s="32"/>
      <c r="P480" s="31">
        <f t="shared" si="16"/>
        <v>0</v>
      </c>
      <c r="R480" s="31">
        <f t="shared" si="17"/>
        <v>0</v>
      </c>
    </row>
    <row r="481" spans="2:18" ht="30.75" customHeight="1" x14ac:dyDescent="0.3">
      <c r="B481" s="32"/>
      <c r="P481" s="31">
        <f t="shared" si="16"/>
        <v>0</v>
      </c>
      <c r="R481" s="31">
        <f t="shared" si="17"/>
        <v>0</v>
      </c>
    </row>
    <row r="482" spans="2:18" ht="30.75" customHeight="1" x14ac:dyDescent="0.3">
      <c r="B482" s="32"/>
      <c r="P482" s="31">
        <f t="shared" si="16"/>
        <v>0</v>
      </c>
      <c r="R482" s="31">
        <f t="shared" si="17"/>
        <v>0</v>
      </c>
    </row>
    <row r="483" spans="2:18" ht="30.75" customHeight="1" x14ac:dyDescent="0.3">
      <c r="B483" s="32"/>
      <c r="P483" s="31">
        <f t="shared" si="16"/>
        <v>0</v>
      </c>
      <c r="R483" s="31">
        <f t="shared" si="17"/>
        <v>0</v>
      </c>
    </row>
    <row r="484" spans="2:18" ht="30.75" customHeight="1" x14ac:dyDescent="0.3">
      <c r="B484" s="32"/>
      <c r="P484" s="31">
        <f t="shared" si="16"/>
        <v>0</v>
      </c>
      <c r="R484" s="31">
        <f t="shared" si="17"/>
        <v>0</v>
      </c>
    </row>
    <row r="485" spans="2:18" ht="30.75" customHeight="1" x14ac:dyDescent="0.3">
      <c r="B485" s="59"/>
      <c r="C485" s="56"/>
      <c r="D485" s="56"/>
      <c r="E485" s="56"/>
      <c r="F485" s="56"/>
      <c r="G485" s="57"/>
      <c r="H485" s="56"/>
      <c r="I485" s="56"/>
      <c r="J485" s="56"/>
      <c r="K485" s="56"/>
      <c r="L485" s="56"/>
      <c r="M485" s="56"/>
      <c r="N485" s="56"/>
      <c r="O485" s="56"/>
      <c r="P485" s="31">
        <f t="shared" si="16"/>
        <v>0</v>
      </c>
      <c r="Q485" s="56"/>
      <c r="R485" s="31">
        <f t="shared" si="17"/>
        <v>0</v>
      </c>
    </row>
    <row r="486" spans="2:18" ht="30.75" customHeight="1" x14ac:dyDescent="0.3">
      <c r="B486" s="59"/>
      <c r="C486" s="56"/>
      <c r="D486" s="56"/>
      <c r="E486" s="56"/>
      <c r="F486" s="56"/>
      <c r="G486" s="57"/>
      <c r="H486" s="56"/>
      <c r="I486" s="56"/>
      <c r="J486" s="56"/>
      <c r="K486" s="56"/>
      <c r="L486" s="56"/>
      <c r="M486" s="56"/>
      <c r="N486" s="56"/>
      <c r="O486" s="56"/>
      <c r="P486" s="31">
        <f t="shared" si="16"/>
        <v>0</v>
      </c>
      <c r="Q486" s="56"/>
      <c r="R486" s="31">
        <f t="shared" si="17"/>
        <v>0</v>
      </c>
    </row>
    <row r="487" spans="2:18" ht="30.75" customHeight="1" x14ac:dyDescent="0.3">
      <c r="B487" s="32"/>
      <c r="P487" s="31">
        <f t="shared" si="16"/>
        <v>0</v>
      </c>
      <c r="R487" s="31">
        <f t="shared" si="17"/>
        <v>0</v>
      </c>
    </row>
    <row r="488" spans="2:18" ht="30.75" customHeight="1" x14ac:dyDescent="0.3">
      <c r="B488" s="32"/>
      <c r="P488" s="31">
        <f t="shared" si="16"/>
        <v>0</v>
      </c>
      <c r="R488" s="31">
        <f t="shared" si="17"/>
        <v>0</v>
      </c>
    </row>
    <row r="489" spans="2:18" ht="30.75" customHeight="1" x14ac:dyDescent="0.3">
      <c r="B489" s="32"/>
      <c r="C489" s="60"/>
      <c r="P489" s="31">
        <f t="shared" si="16"/>
        <v>0</v>
      </c>
      <c r="R489" s="31">
        <f t="shared" si="17"/>
        <v>0</v>
      </c>
    </row>
    <row r="490" spans="2:18" ht="30.75" customHeight="1" x14ac:dyDescent="0.3">
      <c r="B490" s="32"/>
      <c r="C490" s="60"/>
      <c r="P490" s="31">
        <f t="shared" si="16"/>
        <v>0</v>
      </c>
      <c r="R490" s="31">
        <f t="shared" si="17"/>
        <v>0</v>
      </c>
    </row>
    <row r="491" spans="2:18" ht="30.75" customHeight="1" x14ac:dyDescent="0.3">
      <c r="B491" s="32"/>
      <c r="C491" s="60"/>
      <c r="P491" s="31">
        <f t="shared" si="16"/>
        <v>0</v>
      </c>
      <c r="R491" s="31">
        <f t="shared" si="17"/>
        <v>0</v>
      </c>
    </row>
    <row r="492" spans="2:18" ht="30.75" customHeight="1" x14ac:dyDescent="0.3">
      <c r="B492" s="32"/>
      <c r="C492" s="60"/>
      <c r="P492" s="31">
        <f t="shared" si="16"/>
        <v>0</v>
      </c>
      <c r="R492" s="31">
        <f t="shared" si="17"/>
        <v>0</v>
      </c>
    </row>
    <row r="493" spans="2:18" ht="30.75" customHeight="1" x14ac:dyDescent="0.3">
      <c r="B493" s="32"/>
      <c r="P493" s="31">
        <f t="shared" si="16"/>
        <v>0</v>
      </c>
      <c r="R493" s="31">
        <f t="shared" si="17"/>
        <v>0</v>
      </c>
    </row>
    <row r="494" spans="2:18" ht="30.75" customHeight="1" x14ac:dyDescent="0.3">
      <c r="B494" s="32"/>
      <c r="P494" s="31">
        <f t="shared" si="16"/>
        <v>0</v>
      </c>
      <c r="R494" s="31">
        <f t="shared" si="17"/>
        <v>0</v>
      </c>
    </row>
    <row r="495" spans="2:18" ht="30.75" customHeight="1" x14ac:dyDescent="0.3">
      <c r="B495" s="32"/>
      <c r="P495" s="31">
        <f t="shared" si="16"/>
        <v>0</v>
      </c>
      <c r="R495" s="31">
        <f t="shared" si="17"/>
        <v>0</v>
      </c>
    </row>
    <row r="496" spans="2:18" ht="30.75" customHeight="1" x14ac:dyDescent="0.3">
      <c r="B496" s="59"/>
      <c r="C496" s="56"/>
      <c r="D496" s="56"/>
      <c r="E496" s="56"/>
      <c r="F496" s="56"/>
      <c r="G496" s="57"/>
      <c r="H496" s="56"/>
      <c r="I496" s="56"/>
      <c r="J496" s="56"/>
      <c r="K496" s="56"/>
      <c r="L496" s="56"/>
      <c r="M496" s="56"/>
      <c r="N496" s="56"/>
      <c r="O496" s="56"/>
      <c r="P496" s="31">
        <f t="shared" si="16"/>
        <v>0</v>
      </c>
      <c r="Q496" s="56"/>
      <c r="R496" s="31">
        <f t="shared" si="17"/>
        <v>0</v>
      </c>
    </row>
    <row r="497" spans="2:18" ht="30.75" customHeight="1" x14ac:dyDescent="0.3">
      <c r="B497" s="32"/>
      <c r="C497" s="60"/>
      <c r="P497" s="31">
        <f t="shared" si="16"/>
        <v>0</v>
      </c>
      <c r="R497" s="31">
        <f t="shared" si="17"/>
        <v>0</v>
      </c>
    </row>
    <row r="498" spans="2:18" ht="30.75" customHeight="1" x14ac:dyDescent="0.3">
      <c r="B498" s="32"/>
      <c r="C498" s="60"/>
      <c r="P498" s="31">
        <f t="shared" si="16"/>
        <v>0</v>
      </c>
      <c r="R498" s="31">
        <f t="shared" si="17"/>
        <v>0</v>
      </c>
    </row>
    <row r="499" spans="2:18" ht="30.75" customHeight="1" x14ac:dyDescent="0.3">
      <c r="B499" s="32"/>
      <c r="P499" s="31">
        <f t="shared" si="16"/>
        <v>0</v>
      </c>
      <c r="R499" s="31">
        <f t="shared" si="17"/>
        <v>0</v>
      </c>
    </row>
    <row r="500" spans="2:18" ht="30.75" customHeight="1" x14ac:dyDescent="0.3">
      <c r="B500" s="32"/>
      <c r="P500" s="31">
        <f t="shared" si="16"/>
        <v>0</v>
      </c>
      <c r="R500" s="31">
        <f t="shared" si="17"/>
        <v>0</v>
      </c>
    </row>
    <row r="501" spans="2:18" ht="30.75" customHeight="1" x14ac:dyDescent="0.3">
      <c r="B501" s="32"/>
      <c r="P501" s="31">
        <f t="shared" si="16"/>
        <v>0</v>
      </c>
      <c r="R501" s="31">
        <f t="shared" si="17"/>
        <v>0</v>
      </c>
    </row>
    <row r="502" spans="2:18" ht="30.75" customHeight="1" x14ac:dyDescent="0.3">
      <c r="B502" s="32"/>
      <c r="P502" s="31">
        <f t="shared" si="16"/>
        <v>0</v>
      </c>
      <c r="R502" s="31">
        <f t="shared" si="17"/>
        <v>0</v>
      </c>
    </row>
    <row r="503" spans="2:18" ht="30.75" customHeight="1" x14ac:dyDescent="0.3">
      <c r="B503" s="32"/>
      <c r="P503" s="31">
        <f t="shared" si="16"/>
        <v>0</v>
      </c>
      <c r="R503" s="31">
        <f t="shared" si="17"/>
        <v>0</v>
      </c>
    </row>
    <row r="504" spans="2:18" ht="30.75" customHeight="1" x14ac:dyDescent="0.3">
      <c r="B504" s="32"/>
      <c r="C504" s="60"/>
      <c r="P504" s="31">
        <f t="shared" si="16"/>
        <v>0</v>
      </c>
      <c r="R504" s="31">
        <f t="shared" si="17"/>
        <v>0</v>
      </c>
    </row>
    <row r="505" spans="2:18" ht="30.75" customHeight="1" x14ac:dyDescent="0.3">
      <c r="B505" s="32"/>
      <c r="P505" s="31">
        <f t="shared" si="16"/>
        <v>0</v>
      </c>
      <c r="R505" s="31">
        <f t="shared" si="17"/>
        <v>0</v>
      </c>
    </row>
    <row r="506" spans="2:18" ht="30.75" customHeight="1" x14ac:dyDescent="0.3">
      <c r="B506" s="32"/>
      <c r="P506" s="31">
        <f t="shared" si="16"/>
        <v>0</v>
      </c>
      <c r="R506" s="31">
        <f t="shared" si="17"/>
        <v>0</v>
      </c>
    </row>
    <row r="507" spans="2:18" ht="30.75" customHeight="1" x14ac:dyDescent="0.3">
      <c r="B507" s="32"/>
      <c r="P507" s="31">
        <f t="shared" si="16"/>
        <v>0</v>
      </c>
      <c r="R507" s="31">
        <f t="shared" si="17"/>
        <v>0</v>
      </c>
    </row>
    <row r="508" spans="2:18" ht="30.75" customHeight="1" x14ac:dyDescent="0.3">
      <c r="B508" s="32"/>
      <c r="P508" s="31">
        <f t="shared" si="16"/>
        <v>0</v>
      </c>
      <c r="R508" s="31">
        <f t="shared" si="17"/>
        <v>0</v>
      </c>
    </row>
    <row r="509" spans="2:18" ht="30.75" customHeight="1" x14ac:dyDescent="0.3">
      <c r="B509" s="32"/>
      <c r="P509" s="31">
        <f t="shared" si="16"/>
        <v>0</v>
      </c>
      <c r="R509" s="31">
        <f t="shared" si="17"/>
        <v>0</v>
      </c>
    </row>
    <row r="510" spans="2:18" ht="30.75" customHeight="1" x14ac:dyDescent="0.3">
      <c r="B510" s="32"/>
      <c r="C510" s="60"/>
      <c r="P510" s="31">
        <f t="shared" si="16"/>
        <v>0</v>
      </c>
      <c r="R510" s="31">
        <f t="shared" si="17"/>
        <v>0</v>
      </c>
    </row>
    <row r="511" spans="2:18" ht="30.75" customHeight="1" x14ac:dyDescent="0.3">
      <c r="B511" s="32"/>
      <c r="C511" s="60"/>
      <c r="P511" s="31">
        <f t="shared" si="16"/>
        <v>0</v>
      </c>
      <c r="R511" s="31">
        <f t="shared" si="17"/>
        <v>0</v>
      </c>
    </row>
    <row r="512" spans="2:18" ht="30.75" customHeight="1" x14ac:dyDescent="0.3">
      <c r="B512" s="32"/>
      <c r="C512" s="60"/>
      <c r="P512" s="31">
        <f t="shared" si="16"/>
        <v>0</v>
      </c>
      <c r="R512" s="31">
        <f t="shared" si="17"/>
        <v>0</v>
      </c>
    </row>
    <row r="513" spans="2:18" ht="30.75" customHeight="1" x14ac:dyDescent="0.3">
      <c r="B513" s="32"/>
      <c r="P513" s="31">
        <f t="shared" si="16"/>
        <v>0</v>
      </c>
      <c r="R513" s="31">
        <f t="shared" si="17"/>
        <v>0</v>
      </c>
    </row>
    <row r="514" spans="2:18" ht="30.75" customHeight="1" x14ac:dyDescent="0.3">
      <c r="B514" s="32"/>
      <c r="P514" s="31">
        <f t="shared" si="16"/>
        <v>0</v>
      </c>
      <c r="R514" s="31">
        <f t="shared" si="17"/>
        <v>0</v>
      </c>
    </row>
    <row r="515" spans="2:18" ht="30.75" customHeight="1" x14ac:dyDescent="0.3">
      <c r="B515" s="32"/>
      <c r="P515" s="31">
        <f t="shared" si="16"/>
        <v>0</v>
      </c>
      <c r="R515" s="31">
        <f t="shared" si="17"/>
        <v>0</v>
      </c>
    </row>
    <row r="516" spans="2:18" ht="30.75" customHeight="1" x14ac:dyDescent="0.3">
      <c r="B516" s="32"/>
      <c r="C516" s="60"/>
      <c r="P516" s="31">
        <f t="shared" si="16"/>
        <v>0</v>
      </c>
      <c r="R516" s="31">
        <f t="shared" si="17"/>
        <v>0</v>
      </c>
    </row>
    <row r="517" spans="2:18" ht="30.75" customHeight="1" x14ac:dyDescent="0.3">
      <c r="B517" s="32"/>
      <c r="C517" s="60"/>
      <c r="P517" s="31">
        <f t="shared" si="16"/>
        <v>0</v>
      </c>
      <c r="R517" s="31">
        <f t="shared" si="17"/>
        <v>0</v>
      </c>
    </row>
    <row r="518" spans="2:18" ht="30.75" customHeight="1" x14ac:dyDescent="0.3">
      <c r="B518" s="32"/>
      <c r="C518" s="60"/>
      <c r="P518" s="31">
        <f t="shared" si="16"/>
        <v>0</v>
      </c>
      <c r="R518" s="31">
        <f t="shared" si="17"/>
        <v>0</v>
      </c>
    </row>
    <row r="519" spans="2:18" ht="30.75" customHeight="1" x14ac:dyDescent="0.3">
      <c r="B519" s="32"/>
      <c r="C519" s="60"/>
      <c r="P519" s="31">
        <f t="shared" si="16"/>
        <v>0</v>
      </c>
      <c r="R519" s="31">
        <f t="shared" si="17"/>
        <v>0</v>
      </c>
    </row>
    <row r="520" spans="2:18" ht="30.75" customHeight="1" x14ac:dyDescent="0.3">
      <c r="B520" s="32"/>
      <c r="P520" s="31">
        <f t="shared" si="16"/>
        <v>0</v>
      </c>
      <c r="R520" s="31">
        <f t="shared" si="17"/>
        <v>0</v>
      </c>
    </row>
    <row r="521" spans="2:18" ht="30.75" customHeight="1" x14ac:dyDescent="0.3">
      <c r="B521" s="32"/>
      <c r="P521" s="31">
        <f t="shared" si="16"/>
        <v>0</v>
      </c>
      <c r="R521" s="31">
        <f t="shared" si="17"/>
        <v>0</v>
      </c>
    </row>
    <row r="522" spans="2:18" ht="30.75" customHeight="1" x14ac:dyDescent="0.3">
      <c r="B522" s="32"/>
      <c r="P522" s="31">
        <f t="shared" ref="P522:P585" si="18">K522-L522-M522-N522+O522</f>
        <v>0</v>
      </c>
      <c r="R522" s="31">
        <f t="shared" ref="R522:R585" si="19">R521+K522-L522-M522-N522+O522-Q522</f>
        <v>0</v>
      </c>
    </row>
    <row r="523" spans="2:18" ht="30.75" customHeight="1" x14ac:dyDescent="0.3">
      <c r="B523" s="32"/>
      <c r="P523" s="31">
        <f t="shared" si="18"/>
        <v>0</v>
      </c>
      <c r="R523" s="31">
        <f t="shared" si="19"/>
        <v>0</v>
      </c>
    </row>
    <row r="524" spans="2:18" ht="30.75" customHeight="1" x14ac:dyDescent="0.3">
      <c r="B524" s="32"/>
      <c r="P524" s="31">
        <f t="shared" si="18"/>
        <v>0</v>
      </c>
      <c r="R524" s="31">
        <f t="shared" si="19"/>
        <v>0</v>
      </c>
    </row>
    <row r="525" spans="2:18" ht="30.75" customHeight="1" x14ac:dyDescent="0.3">
      <c r="B525" s="32"/>
      <c r="P525" s="31">
        <f t="shared" si="18"/>
        <v>0</v>
      </c>
      <c r="R525" s="31">
        <f t="shared" si="19"/>
        <v>0</v>
      </c>
    </row>
    <row r="526" spans="2:18" ht="30.75" customHeight="1" x14ac:dyDescent="0.3">
      <c r="B526" s="32"/>
      <c r="P526" s="31">
        <f t="shared" si="18"/>
        <v>0</v>
      </c>
      <c r="R526" s="31">
        <f t="shared" si="19"/>
        <v>0</v>
      </c>
    </row>
    <row r="527" spans="2:18" ht="30.75" customHeight="1" x14ac:dyDescent="0.3">
      <c r="B527" s="32"/>
      <c r="P527" s="31">
        <f t="shared" si="18"/>
        <v>0</v>
      </c>
      <c r="R527" s="31">
        <f t="shared" si="19"/>
        <v>0</v>
      </c>
    </row>
    <row r="528" spans="2:18" ht="30.75" customHeight="1" x14ac:dyDescent="0.3">
      <c r="B528" s="32"/>
      <c r="P528" s="31">
        <f t="shared" si="18"/>
        <v>0</v>
      </c>
      <c r="R528" s="31">
        <f t="shared" si="19"/>
        <v>0</v>
      </c>
    </row>
    <row r="529" spans="2:18" ht="30.75" customHeight="1" x14ac:dyDescent="0.3">
      <c r="B529" s="32"/>
      <c r="P529" s="31">
        <f t="shared" si="18"/>
        <v>0</v>
      </c>
      <c r="R529" s="31">
        <f t="shared" si="19"/>
        <v>0</v>
      </c>
    </row>
    <row r="530" spans="2:18" ht="30.75" customHeight="1" x14ac:dyDescent="0.3">
      <c r="B530" s="32"/>
      <c r="C530" s="60"/>
      <c r="P530" s="31">
        <f t="shared" si="18"/>
        <v>0</v>
      </c>
      <c r="R530" s="31">
        <f t="shared" si="19"/>
        <v>0</v>
      </c>
    </row>
    <row r="531" spans="2:18" ht="30.75" customHeight="1" x14ac:dyDescent="0.3">
      <c r="B531" s="32"/>
      <c r="C531" s="60"/>
      <c r="P531" s="31">
        <f t="shared" si="18"/>
        <v>0</v>
      </c>
      <c r="R531" s="31">
        <f t="shared" si="19"/>
        <v>0</v>
      </c>
    </row>
    <row r="532" spans="2:18" ht="30.75" customHeight="1" x14ac:dyDescent="0.3">
      <c r="B532" s="32"/>
      <c r="C532" s="60"/>
      <c r="P532" s="31">
        <f t="shared" si="18"/>
        <v>0</v>
      </c>
      <c r="R532" s="31">
        <f t="shared" si="19"/>
        <v>0</v>
      </c>
    </row>
    <row r="533" spans="2:18" ht="30.75" customHeight="1" x14ac:dyDescent="0.3">
      <c r="B533" s="32"/>
      <c r="C533" s="60"/>
      <c r="P533" s="31">
        <f t="shared" si="18"/>
        <v>0</v>
      </c>
      <c r="R533" s="31">
        <f t="shared" si="19"/>
        <v>0</v>
      </c>
    </row>
    <row r="534" spans="2:18" ht="30.75" customHeight="1" x14ac:dyDescent="0.3">
      <c r="B534" s="32"/>
      <c r="P534" s="31">
        <f t="shared" si="18"/>
        <v>0</v>
      </c>
      <c r="R534" s="31">
        <f t="shared" si="19"/>
        <v>0</v>
      </c>
    </row>
    <row r="535" spans="2:18" ht="30.75" customHeight="1" x14ac:dyDescent="0.3">
      <c r="B535" s="32"/>
      <c r="P535" s="31">
        <f t="shared" si="18"/>
        <v>0</v>
      </c>
      <c r="R535" s="31">
        <f t="shared" si="19"/>
        <v>0</v>
      </c>
    </row>
    <row r="536" spans="2:18" ht="30.75" customHeight="1" x14ac:dyDescent="0.3">
      <c r="B536" s="59"/>
      <c r="C536" s="56"/>
      <c r="D536" s="56"/>
      <c r="E536" s="56"/>
      <c r="F536" s="56"/>
      <c r="G536" s="57"/>
      <c r="H536" s="56"/>
      <c r="I536" s="56"/>
      <c r="J536" s="56"/>
      <c r="K536" s="56"/>
      <c r="L536" s="56"/>
      <c r="M536" s="56"/>
      <c r="N536" s="56"/>
      <c r="O536" s="56"/>
      <c r="P536" s="31">
        <f t="shared" si="18"/>
        <v>0</v>
      </c>
      <c r="Q536" s="56"/>
      <c r="R536" s="31">
        <f t="shared" si="19"/>
        <v>0</v>
      </c>
    </row>
    <row r="537" spans="2:18" ht="30.75" customHeight="1" x14ac:dyDescent="0.3">
      <c r="B537" s="32"/>
      <c r="P537" s="31">
        <f t="shared" si="18"/>
        <v>0</v>
      </c>
      <c r="R537" s="31">
        <f t="shared" si="19"/>
        <v>0</v>
      </c>
    </row>
    <row r="538" spans="2:18" ht="30.75" customHeight="1" x14ac:dyDescent="0.3">
      <c r="B538" s="32"/>
      <c r="P538" s="31">
        <f t="shared" si="18"/>
        <v>0</v>
      </c>
      <c r="R538" s="31">
        <f t="shared" si="19"/>
        <v>0</v>
      </c>
    </row>
    <row r="539" spans="2:18" ht="30.75" customHeight="1" x14ac:dyDescent="0.3">
      <c r="B539" s="32"/>
      <c r="P539" s="31">
        <f t="shared" si="18"/>
        <v>0</v>
      </c>
      <c r="R539" s="31">
        <f t="shared" si="19"/>
        <v>0</v>
      </c>
    </row>
    <row r="540" spans="2:18" ht="30.75" customHeight="1" x14ac:dyDescent="0.3">
      <c r="B540" s="32"/>
      <c r="P540" s="31">
        <f t="shared" si="18"/>
        <v>0</v>
      </c>
      <c r="R540" s="31">
        <f t="shared" si="19"/>
        <v>0</v>
      </c>
    </row>
    <row r="541" spans="2:18" ht="30.75" customHeight="1" x14ac:dyDescent="0.3">
      <c r="B541" s="32"/>
      <c r="P541" s="31">
        <f t="shared" si="18"/>
        <v>0</v>
      </c>
      <c r="R541" s="31">
        <f t="shared" si="19"/>
        <v>0</v>
      </c>
    </row>
    <row r="542" spans="2:18" ht="30.75" customHeight="1" x14ac:dyDescent="0.3">
      <c r="B542" s="32"/>
      <c r="P542" s="31">
        <f t="shared" si="18"/>
        <v>0</v>
      </c>
      <c r="R542" s="31">
        <f t="shared" si="19"/>
        <v>0</v>
      </c>
    </row>
    <row r="543" spans="2:18" ht="30.75" customHeight="1" x14ac:dyDescent="0.3">
      <c r="B543" s="32"/>
      <c r="P543" s="31">
        <f t="shared" si="18"/>
        <v>0</v>
      </c>
      <c r="R543" s="31">
        <f t="shared" si="19"/>
        <v>0</v>
      </c>
    </row>
    <row r="544" spans="2:18" ht="30.75" customHeight="1" x14ac:dyDescent="0.3">
      <c r="B544" s="32"/>
      <c r="P544" s="31">
        <f t="shared" si="18"/>
        <v>0</v>
      </c>
      <c r="R544" s="31">
        <f t="shared" si="19"/>
        <v>0</v>
      </c>
    </row>
    <row r="545" spans="2:18" ht="30.75" customHeight="1" x14ac:dyDescent="0.3">
      <c r="B545" s="32"/>
      <c r="P545" s="31">
        <f t="shared" si="18"/>
        <v>0</v>
      </c>
      <c r="R545" s="31">
        <f t="shared" si="19"/>
        <v>0</v>
      </c>
    </row>
    <row r="546" spans="2:18" ht="30.75" customHeight="1" x14ac:dyDescent="0.3">
      <c r="B546" s="32"/>
      <c r="P546" s="31">
        <f t="shared" si="18"/>
        <v>0</v>
      </c>
      <c r="R546" s="31">
        <f t="shared" si="19"/>
        <v>0</v>
      </c>
    </row>
    <row r="547" spans="2:18" ht="30.75" customHeight="1" x14ac:dyDescent="0.3">
      <c r="B547" s="32"/>
      <c r="P547" s="31">
        <f t="shared" si="18"/>
        <v>0</v>
      </c>
      <c r="R547" s="31">
        <f t="shared" si="19"/>
        <v>0</v>
      </c>
    </row>
    <row r="548" spans="2:18" ht="30.75" customHeight="1" x14ac:dyDescent="0.3">
      <c r="B548" s="32"/>
      <c r="P548" s="31">
        <f t="shared" si="18"/>
        <v>0</v>
      </c>
      <c r="R548" s="31">
        <f t="shared" si="19"/>
        <v>0</v>
      </c>
    </row>
    <row r="549" spans="2:18" ht="30.75" customHeight="1" x14ac:dyDescent="0.3">
      <c r="B549" s="32"/>
      <c r="P549" s="31">
        <f t="shared" si="18"/>
        <v>0</v>
      </c>
      <c r="R549" s="31">
        <f t="shared" si="19"/>
        <v>0</v>
      </c>
    </row>
    <row r="550" spans="2:18" ht="30.75" customHeight="1" x14ac:dyDescent="0.3">
      <c r="B550" s="32"/>
      <c r="P550" s="31">
        <f t="shared" si="18"/>
        <v>0</v>
      </c>
      <c r="R550" s="31">
        <f t="shared" si="19"/>
        <v>0</v>
      </c>
    </row>
    <row r="551" spans="2:18" ht="30.75" customHeight="1" x14ac:dyDescent="0.3">
      <c r="B551" s="32"/>
      <c r="P551" s="31">
        <f t="shared" si="18"/>
        <v>0</v>
      </c>
      <c r="R551" s="31">
        <f t="shared" si="19"/>
        <v>0</v>
      </c>
    </row>
    <row r="552" spans="2:18" ht="30.75" customHeight="1" x14ac:dyDescent="0.3">
      <c r="B552" s="32"/>
      <c r="P552" s="31">
        <f t="shared" si="18"/>
        <v>0</v>
      </c>
      <c r="R552" s="31">
        <f t="shared" si="19"/>
        <v>0</v>
      </c>
    </row>
    <row r="553" spans="2:18" ht="30.75" customHeight="1" x14ac:dyDescent="0.3">
      <c r="B553" s="32"/>
      <c r="P553" s="31">
        <f t="shared" si="18"/>
        <v>0</v>
      </c>
      <c r="R553" s="31">
        <f t="shared" si="19"/>
        <v>0</v>
      </c>
    </row>
    <row r="554" spans="2:18" ht="30.75" customHeight="1" x14ac:dyDescent="0.3">
      <c r="B554" s="32"/>
      <c r="P554" s="31">
        <f t="shared" si="18"/>
        <v>0</v>
      </c>
      <c r="R554" s="31">
        <f t="shared" si="19"/>
        <v>0</v>
      </c>
    </row>
    <row r="555" spans="2:18" ht="30.75" customHeight="1" x14ac:dyDescent="0.3">
      <c r="B555" s="32"/>
      <c r="P555" s="31">
        <f t="shared" si="18"/>
        <v>0</v>
      </c>
      <c r="R555" s="31">
        <f t="shared" si="19"/>
        <v>0</v>
      </c>
    </row>
    <row r="556" spans="2:18" ht="30.75" customHeight="1" x14ac:dyDescent="0.3">
      <c r="B556" s="32"/>
      <c r="P556" s="31">
        <f t="shared" si="18"/>
        <v>0</v>
      </c>
      <c r="R556" s="31">
        <f t="shared" si="19"/>
        <v>0</v>
      </c>
    </row>
    <row r="557" spans="2:18" ht="30.75" customHeight="1" x14ac:dyDescent="0.3">
      <c r="B557" s="32"/>
      <c r="P557" s="31">
        <f t="shared" si="18"/>
        <v>0</v>
      </c>
      <c r="R557" s="31">
        <f t="shared" si="19"/>
        <v>0</v>
      </c>
    </row>
    <row r="558" spans="2:18" ht="30.75" customHeight="1" x14ac:dyDescent="0.3">
      <c r="B558" s="32"/>
      <c r="P558" s="31">
        <f t="shared" si="18"/>
        <v>0</v>
      </c>
      <c r="R558" s="31">
        <f t="shared" si="19"/>
        <v>0</v>
      </c>
    </row>
    <row r="559" spans="2:18" ht="30.75" customHeight="1" x14ac:dyDescent="0.3">
      <c r="B559" s="32"/>
      <c r="P559" s="31">
        <f t="shared" si="18"/>
        <v>0</v>
      </c>
      <c r="R559" s="31">
        <f t="shared" si="19"/>
        <v>0</v>
      </c>
    </row>
    <row r="560" spans="2:18" ht="30.75" customHeight="1" x14ac:dyDescent="0.3">
      <c r="B560" s="32"/>
      <c r="P560" s="31">
        <f t="shared" si="18"/>
        <v>0</v>
      </c>
      <c r="R560" s="31">
        <f t="shared" si="19"/>
        <v>0</v>
      </c>
    </row>
    <row r="561" spans="2:18" ht="30.75" customHeight="1" x14ac:dyDescent="0.3">
      <c r="B561" s="32"/>
      <c r="P561" s="31">
        <f t="shared" si="18"/>
        <v>0</v>
      </c>
      <c r="R561" s="31">
        <f t="shared" si="19"/>
        <v>0</v>
      </c>
    </row>
    <row r="562" spans="2:18" ht="30.75" customHeight="1" x14ac:dyDescent="0.3">
      <c r="B562" s="32"/>
      <c r="P562" s="31">
        <f t="shared" si="18"/>
        <v>0</v>
      </c>
      <c r="R562" s="31">
        <f t="shared" si="19"/>
        <v>0</v>
      </c>
    </row>
    <row r="563" spans="2:18" ht="30.75" customHeight="1" x14ac:dyDescent="0.3">
      <c r="B563" s="32"/>
      <c r="P563" s="31">
        <f t="shared" si="18"/>
        <v>0</v>
      </c>
      <c r="R563" s="31">
        <f t="shared" si="19"/>
        <v>0</v>
      </c>
    </row>
    <row r="564" spans="2:18" ht="30.75" customHeight="1" x14ac:dyDescent="0.3">
      <c r="B564" s="32"/>
      <c r="P564" s="31">
        <f t="shared" si="18"/>
        <v>0</v>
      </c>
      <c r="R564" s="31">
        <f t="shared" si="19"/>
        <v>0</v>
      </c>
    </row>
    <row r="565" spans="2:18" ht="30.75" customHeight="1" x14ac:dyDescent="0.3">
      <c r="B565" s="32"/>
      <c r="P565" s="31">
        <f t="shared" si="18"/>
        <v>0</v>
      </c>
      <c r="R565" s="31">
        <f t="shared" si="19"/>
        <v>0</v>
      </c>
    </row>
    <row r="566" spans="2:18" ht="30.75" customHeight="1" x14ac:dyDescent="0.3">
      <c r="B566" s="32"/>
      <c r="P566" s="31">
        <f t="shared" si="18"/>
        <v>0</v>
      </c>
      <c r="R566" s="31">
        <f t="shared" si="19"/>
        <v>0</v>
      </c>
    </row>
    <row r="567" spans="2:18" ht="30.75" customHeight="1" x14ac:dyDescent="0.3">
      <c r="B567" s="32"/>
      <c r="P567" s="31">
        <f t="shared" si="18"/>
        <v>0</v>
      </c>
      <c r="R567" s="31">
        <f t="shared" si="19"/>
        <v>0</v>
      </c>
    </row>
    <row r="568" spans="2:18" ht="30.75" customHeight="1" x14ac:dyDescent="0.3">
      <c r="B568" s="32"/>
      <c r="P568" s="31">
        <f t="shared" si="18"/>
        <v>0</v>
      </c>
      <c r="R568" s="31">
        <f t="shared" si="19"/>
        <v>0</v>
      </c>
    </row>
    <row r="569" spans="2:18" ht="30.75" customHeight="1" x14ac:dyDescent="0.3">
      <c r="B569" s="32"/>
      <c r="P569" s="31">
        <f t="shared" si="18"/>
        <v>0</v>
      </c>
      <c r="R569" s="31">
        <f t="shared" si="19"/>
        <v>0</v>
      </c>
    </row>
    <row r="570" spans="2:18" ht="30.75" customHeight="1" x14ac:dyDescent="0.3">
      <c r="B570" s="32"/>
      <c r="P570" s="31">
        <f t="shared" si="18"/>
        <v>0</v>
      </c>
      <c r="R570" s="31">
        <f t="shared" si="19"/>
        <v>0</v>
      </c>
    </row>
    <row r="571" spans="2:18" ht="30.75" customHeight="1" x14ac:dyDescent="0.3">
      <c r="B571" s="32"/>
      <c r="P571" s="31">
        <f t="shared" si="18"/>
        <v>0</v>
      </c>
      <c r="R571" s="31">
        <f t="shared" si="19"/>
        <v>0</v>
      </c>
    </row>
    <row r="572" spans="2:18" ht="30.75" customHeight="1" x14ac:dyDescent="0.3">
      <c r="B572" s="32"/>
      <c r="P572" s="31">
        <f t="shared" si="18"/>
        <v>0</v>
      </c>
      <c r="R572" s="31">
        <f t="shared" si="19"/>
        <v>0</v>
      </c>
    </row>
    <row r="573" spans="2:18" ht="30.75" customHeight="1" x14ac:dyDescent="0.3">
      <c r="B573" s="32"/>
      <c r="P573" s="31">
        <f t="shared" si="18"/>
        <v>0</v>
      </c>
      <c r="R573" s="31">
        <f t="shared" si="19"/>
        <v>0</v>
      </c>
    </row>
    <row r="574" spans="2:18" ht="30.75" customHeight="1" x14ac:dyDescent="0.3">
      <c r="B574" s="32"/>
      <c r="P574" s="31">
        <f t="shared" si="18"/>
        <v>0</v>
      </c>
      <c r="R574" s="31">
        <f t="shared" si="19"/>
        <v>0</v>
      </c>
    </row>
    <row r="575" spans="2:18" ht="30.75" customHeight="1" x14ac:dyDescent="0.3">
      <c r="B575" s="32"/>
      <c r="P575" s="31">
        <f t="shared" si="18"/>
        <v>0</v>
      </c>
      <c r="R575" s="31">
        <f t="shared" si="19"/>
        <v>0</v>
      </c>
    </row>
    <row r="576" spans="2:18" ht="30.75" customHeight="1" x14ac:dyDescent="0.3">
      <c r="B576" s="32"/>
      <c r="P576" s="31">
        <f t="shared" si="18"/>
        <v>0</v>
      </c>
      <c r="R576" s="31">
        <f t="shared" si="19"/>
        <v>0</v>
      </c>
    </row>
    <row r="577" spans="2:18" ht="30.75" customHeight="1" x14ac:dyDescent="0.3">
      <c r="B577" s="32"/>
      <c r="P577" s="31">
        <f t="shared" si="18"/>
        <v>0</v>
      </c>
      <c r="R577" s="31">
        <f t="shared" si="19"/>
        <v>0</v>
      </c>
    </row>
    <row r="578" spans="2:18" ht="30.75" customHeight="1" x14ac:dyDescent="0.3">
      <c r="B578" s="32"/>
      <c r="P578" s="31">
        <f t="shared" si="18"/>
        <v>0</v>
      </c>
      <c r="R578" s="31">
        <f t="shared" si="19"/>
        <v>0</v>
      </c>
    </row>
    <row r="579" spans="2:18" ht="30.75" customHeight="1" x14ac:dyDescent="0.3">
      <c r="B579" s="32"/>
      <c r="P579" s="31">
        <f t="shared" si="18"/>
        <v>0</v>
      </c>
      <c r="R579" s="31">
        <f t="shared" si="19"/>
        <v>0</v>
      </c>
    </row>
    <row r="580" spans="2:18" ht="30.75" customHeight="1" x14ac:dyDescent="0.3">
      <c r="B580" s="32"/>
      <c r="P580" s="31">
        <f t="shared" si="18"/>
        <v>0</v>
      </c>
      <c r="R580" s="31">
        <f t="shared" si="19"/>
        <v>0</v>
      </c>
    </row>
    <row r="581" spans="2:18" ht="30.75" customHeight="1" x14ac:dyDescent="0.3">
      <c r="B581" s="32"/>
      <c r="P581" s="31">
        <f t="shared" si="18"/>
        <v>0</v>
      </c>
      <c r="R581" s="31">
        <f t="shared" si="19"/>
        <v>0</v>
      </c>
    </row>
    <row r="582" spans="2:18" ht="30.75" customHeight="1" x14ac:dyDescent="0.3">
      <c r="B582" s="32"/>
      <c r="P582" s="31">
        <f t="shared" si="18"/>
        <v>0</v>
      </c>
      <c r="R582" s="31">
        <f t="shared" si="19"/>
        <v>0</v>
      </c>
    </row>
    <row r="583" spans="2:18" ht="30.75" customHeight="1" x14ac:dyDescent="0.3">
      <c r="B583" s="32"/>
      <c r="P583" s="31">
        <f t="shared" si="18"/>
        <v>0</v>
      </c>
      <c r="R583" s="31">
        <f t="shared" si="19"/>
        <v>0</v>
      </c>
    </row>
    <row r="584" spans="2:18" ht="30.75" customHeight="1" x14ac:dyDescent="0.3">
      <c r="B584" s="32"/>
      <c r="P584" s="31">
        <f t="shared" si="18"/>
        <v>0</v>
      </c>
      <c r="R584" s="31">
        <f t="shared" si="19"/>
        <v>0</v>
      </c>
    </row>
    <row r="585" spans="2:18" ht="30.75" customHeight="1" x14ac:dyDescent="0.3">
      <c r="B585" s="32"/>
      <c r="P585" s="31">
        <f t="shared" si="18"/>
        <v>0</v>
      </c>
      <c r="R585" s="31">
        <f t="shared" si="19"/>
        <v>0</v>
      </c>
    </row>
    <row r="586" spans="2:18" ht="30.75" customHeight="1" x14ac:dyDescent="0.3">
      <c r="B586" s="32"/>
      <c r="P586" s="31">
        <f t="shared" ref="P586:P649" si="20">K586-L586-M586-N586+O586</f>
        <v>0</v>
      </c>
      <c r="R586" s="31">
        <f t="shared" ref="R586:R649" si="21">R585+K586-L586-M586-N586+O586-Q586</f>
        <v>0</v>
      </c>
    </row>
    <row r="587" spans="2:18" ht="30.75" customHeight="1" x14ac:dyDescent="0.3">
      <c r="B587" s="32"/>
      <c r="P587" s="31">
        <f t="shared" si="20"/>
        <v>0</v>
      </c>
      <c r="R587" s="31">
        <f t="shared" si="21"/>
        <v>0</v>
      </c>
    </row>
    <row r="588" spans="2:18" ht="30.75" customHeight="1" x14ac:dyDescent="0.3">
      <c r="B588" s="32"/>
      <c r="P588" s="31">
        <f t="shared" si="20"/>
        <v>0</v>
      </c>
      <c r="R588" s="31">
        <f t="shared" si="21"/>
        <v>0</v>
      </c>
    </row>
    <row r="589" spans="2:18" ht="30.75" customHeight="1" x14ac:dyDescent="0.3">
      <c r="B589" s="32"/>
      <c r="P589" s="31">
        <f t="shared" si="20"/>
        <v>0</v>
      </c>
      <c r="R589" s="31">
        <f t="shared" si="21"/>
        <v>0</v>
      </c>
    </row>
    <row r="590" spans="2:18" ht="30.75" customHeight="1" x14ac:dyDescent="0.3">
      <c r="B590" s="32"/>
      <c r="P590" s="31">
        <f t="shared" si="20"/>
        <v>0</v>
      </c>
      <c r="R590" s="31">
        <f t="shared" si="21"/>
        <v>0</v>
      </c>
    </row>
    <row r="591" spans="2:18" ht="30.75" customHeight="1" x14ac:dyDescent="0.3">
      <c r="B591" s="32"/>
      <c r="P591" s="31">
        <f t="shared" si="20"/>
        <v>0</v>
      </c>
      <c r="R591" s="31">
        <f t="shared" si="21"/>
        <v>0</v>
      </c>
    </row>
    <row r="592" spans="2:18" ht="30.75" customHeight="1" x14ac:dyDescent="0.3">
      <c r="B592" s="32"/>
      <c r="P592" s="31">
        <f t="shared" si="20"/>
        <v>0</v>
      </c>
      <c r="R592" s="31">
        <f t="shared" si="21"/>
        <v>0</v>
      </c>
    </row>
    <row r="593" spans="2:18" ht="30.75" customHeight="1" x14ac:dyDescent="0.3">
      <c r="B593" s="32"/>
      <c r="P593" s="31">
        <f t="shared" si="20"/>
        <v>0</v>
      </c>
      <c r="R593" s="31">
        <f t="shared" si="21"/>
        <v>0</v>
      </c>
    </row>
    <row r="594" spans="2:18" ht="30.75" customHeight="1" x14ac:dyDescent="0.3">
      <c r="B594" s="32"/>
      <c r="P594" s="31">
        <f t="shared" si="20"/>
        <v>0</v>
      </c>
      <c r="R594" s="31">
        <f t="shared" si="21"/>
        <v>0</v>
      </c>
    </row>
    <row r="595" spans="2:18" ht="30.75" customHeight="1" x14ac:dyDescent="0.3">
      <c r="B595" s="32"/>
      <c r="P595" s="31">
        <f t="shared" si="20"/>
        <v>0</v>
      </c>
      <c r="R595" s="31">
        <f t="shared" si="21"/>
        <v>0</v>
      </c>
    </row>
    <row r="596" spans="2:18" ht="30.75" customHeight="1" x14ac:dyDescent="0.3">
      <c r="B596" s="32"/>
      <c r="P596" s="31">
        <f t="shared" si="20"/>
        <v>0</v>
      </c>
      <c r="R596" s="31">
        <f t="shared" si="21"/>
        <v>0</v>
      </c>
    </row>
    <row r="597" spans="2:18" ht="30.75" customHeight="1" x14ac:dyDescent="0.3">
      <c r="B597" s="32"/>
      <c r="P597" s="31">
        <f t="shared" si="20"/>
        <v>0</v>
      </c>
      <c r="R597" s="31">
        <f t="shared" si="21"/>
        <v>0</v>
      </c>
    </row>
    <row r="598" spans="2:18" ht="30.75" customHeight="1" x14ac:dyDescent="0.3">
      <c r="B598" s="32"/>
      <c r="P598" s="31">
        <f t="shared" si="20"/>
        <v>0</v>
      </c>
      <c r="R598" s="31">
        <f t="shared" si="21"/>
        <v>0</v>
      </c>
    </row>
    <row r="599" spans="2:18" ht="30.75" customHeight="1" x14ac:dyDescent="0.3">
      <c r="B599" s="32"/>
      <c r="P599" s="31">
        <f t="shared" si="20"/>
        <v>0</v>
      </c>
      <c r="R599" s="31">
        <f t="shared" si="21"/>
        <v>0</v>
      </c>
    </row>
    <row r="600" spans="2:18" ht="30.75" customHeight="1" x14ac:dyDescent="0.3">
      <c r="B600" s="32"/>
      <c r="P600" s="31">
        <f t="shared" si="20"/>
        <v>0</v>
      </c>
      <c r="R600" s="31">
        <f t="shared" si="21"/>
        <v>0</v>
      </c>
    </row>
    <row r="601" spans="2:18" ht="30.75" customHeight="1" x14ac:dyDescent="0.3">
      <c r="B601" s="32"/>
      <c r="P601" s="31">
        <f t="shared" si="20"/>
        <v>0</v>
      </c>
      <c r="R601" s="31">
        <f t="shared" si="21"/>
        <v>0</v>
      </c>
    </row>
    <row r="602" spans="2:18" ht="30.75" customHeight="1" x14ac:dyDescent="0.3">
      <c r="B602" s="32"/>
      <c r="P602" s="31">
        <f t="shared" si="20"/>
        <v>0</v>
      </c>
      <c r="R602" s="31">
        <f t="shared" si="21"/>
        <v>0</v>
      </c>
    </row>
    <row r="603" spans="2:18" ht="30.75" customHeight="1" x14ac:dyDescent="0.3">
      <c r="B603" s="32"/>
      <c r="P603" s="31">
        <f t="shared" si="20"/>
        <v>0</v>
      </c>
      <c r="R603" s="31">
        <f t="shared" si="21"/>
        <v>0</v>
      </c>
    </row>
    <row r="604" spans="2:18" ht="30.75" customHeight="1" x14ac:dyDescent="0.3">
      <c r="B604" s="32"/>
      <c r="P604" s="31">
        <f t="shared" si="20"/>
        <v>0</v>
      </c>
      <c r="R604" s="31">
        <f t="shared" si="21"/>
        <v>0</v>
      </c>
    </row>
    <row r="605" spans="2:18" ht="30.75" customHeight="1" x14ac:dyDescent="0.3">
      <c r="B605" s="32"/>
      <c r="P605" s="31">
        <f t="shared" si="20"/>
        <v>0</v>
      </c>
      <c r="R605" s="31">
        <f t="shared" si="21"/>
        <v>0</v>
      </c>
    </row>
    <row r="606" spans="2:18" ht="30.75" customHeight="1" x14ac:dyDescent="0.3">
      <c r="B606" s="32"/>
      <c r="P606" s="31">
        <f t="shared" si="20"/>
        <v>0</v>
      </c>
      <c r="R606" s="31">
        <f t="shared" si="21"/>
        <v>0</v>
      </c>
    </row>
    <row r="607" spans="2:18" ht="30.75" customHeight="1" x14ac:dyDescent="0.3">
      <c r="B607" s="32"/>
      <c r="P607" s="31">
        <f t="shared" si="20"/>
        <v>0</v>
      </c>
      <c r="R607" s="31">
        <f t="shared" si="21"/>
        <v>0</v>
      </c>
    </row>
    <row r="608" spans="2:18" ht="30.75" customHeight="1" x14ac:dyDescent="0.3">
      <c r="B608" s="32"/>
      <c r="P608" s="31">
        <f t="shared" si="20"/>
        <v>0</v>
      </c>
      <c r="R608" s="31">
        <f t="shared" si="21"/>
        <v>0</v>
      </c>
    </row>
    <row r="609" spans="2:18" ht="30.75" customHeight="1" x14ac:dyDescent="0.3">
      <c r="B609" s="32"/>
      <c r="P609" s="31">
        <f t="shared" si="20"/>
        <v>0</v>
      </c>
      <c r="R609" s="31">
        <f t="shared" si="21"/>
        <v>0</v>
      </c>
    </row>
    <row r="610" spans="2:18" ht="30.75" customHeight="1" x14ac:dyDescent="0.3">
      <c r="B610" s="32"/>
      <c r="P610" s="31">
        <f t="shared" si="20"/>
        <v>0</v>
      </c>
      <c r="R610" s="31">
        <f t="shared" si="21"/>
        <v>0</v>
      </c>
    </row>
    <row r="611" spans="2:18" ht="30.75" customHeight="1" x14ac:dyDescent="0.3">
      <c r="B611" s="32"/>
      <c r="P611" s="31">
        <f t="shared" si="20"/>
        <v>0</v>
      </c>
      <c r="R611" s="31">
        <f t="shared" si="21"/>
        <v>0</v>
      </c>
    </row>
    <row r="612" spans="2:18" ht="30.75" customHeight="1" x14ac:dyDescent="0.3">
      <c r="B612" s="32"/>
      <c r="P612" s="31">
        <f t="shared" si="20"/>
        <v>0</v>
      </c>
      <c r="R612" s="31">
        <f t="shared" si="21"/>
        <v>0</v>
      </c>
    </row>
    <row r="613" spans="2:18" ht="30.75" customHeight="1" x14ac:dyDescent="0.3">
      <c r="B613" s="32"/>
      <c r="P613" s="31">
        <f t="shared" si="20"/>
        <v>0</v>
      </c>
      <c r="R613" s="31">
        <f t="shared" si="21"/>
        <v>0</v>
      </c>
    </row>
    <row r="614" spans="2:18" ht="30.75" customHeight="1" x14ac:dyDescent="0.3">
      <c r="B614" s="32"/>
      <c r="P614" s="31">
        <f t="shared" si="20"/>
        <v>0</v>
      </c>
      <c r="R614" s="31">
        <f t="shared" si="21"/>
        <v>0</v>
      </c>
    </row>
    <row r="615" spans="2:18" ht="30.75" customHeight="1" x14ac:dyDescent="0.3">
      <c r="B615" s="32"/>
      <c r="P615" s="31">
        <f t="shared" si="20"/>
        <v>0</v>
      </c>
      <c r="R615" s="31">
        <f t="shared" si="21"/>
        <v>0</v>
      </c>
    </row>
    <row r="616" spans="2:18" ht="30.75" customHeight="1" x14ac:dyDescent="0.3">
      <c r="B616" s="32"/>
      <c r="P616" s="31">
        <f t="shared" si="20"/>
        <v>0</v>
      </c>
      <c r="R616" s="31">
        <f t="shared" si="21"/>
        <v>0</v>
      </c>
    </row>
    <row r="617" spans="2:18" ht="30.75" customHeight="1" x14ac:dyDescent="0.3">
      <c r="B617" s="32"/>
      <c r="P617" s="31">
        <f t="shared" si="20"/>
        <v>0</v>
      </c>
      <c r="R617" s="31">
        <f t="shared" si="21"/>
        <v>0</v>
      </c>
    </row>
    <row r="618" spans="2:18" ht="30.75" customHeight="1" x14ac:dyDescent="0.3">
      <c r="B618" s="32"/>
      <c r="P618" s="31">
        <f t="shared" si="20"/>
        <v>0</v>
      </c>
      <c r="R618" s="31">
        <f t="shared" si="21"/>
        <v>0</v>
      </c>
    </row>
    <row r="619" spans="2:18" ht="30.75" customHeight="1" x14ac:dyDescent="0.3">
      <c r="B619" s="32"/>
      <c r="P619" s="31">
        <f t="shared" si="20"/>
        <v>0</v>
      </c>
      <c r="R619" s="31">
        <f t="shared" si="21"/>
        <v>0</v>
      </c>
    </row>
    <row r="620" spans="2:18" ht="30.75" customHeight="1" x14ac:dyDescent="0.3">
      <c r="B620" s="32"/>
      <c r="P620" s="31">
        <f t="shared" si="20"/>
        <v>0</v>
      </c>
      <c r="R620" s="31">
        <f t="shared" si="21"/>
        <v>0</v>
      </c>
    </row>
    <row r="621" spans="2:18" ht="30.75" customHeight="1" x14ac:dyDescent="0.3">
      <c r="B621" s="32"/>
      <c r="P621" s="31">
        <f t="shared" si="20"/>
        <v>0</v>
      </c>
      <c r="R621" s="31">
        <f t="shared" si="21"/>
        <v>0</v>
      </c>
    </row>
    <row r="622" spans="2:18" ht="30.75" customHeight="1" x14ac:dyDescent="0.3">
      <c r="B622" s="32"/>
      <c r="P622" s="31">
        <f t="shared" si="20"/>
        <v>0</v>
      </c>
      <c r="R622" s="31">
        <f t="shared" si="21"/>
        <v>0</v>
      </c>
    </row>
    <row r="623" spans="2:18" ht="30.75" customHeight="1" x14ac:dyDescent="0.3">
      <c r="B623" s="32"/>
      <c r="P623" s="31">
        <f t="shared" si="20"/>
        <v>0</v>
      </c>
      <c r="R623" s="31">
        <f t="shared" si="21"/>
        <v>0</v>
      </c>
    </row>
    <row r="624" spans="2:18" ht="30.75" customHeight="1" x14ac:dyDescent="0.3">
      <c r="B624" s="32"/>
      <c r="P624" s="31">
        <f t="shared" si="20"/>
        <v>0</v>
      </c>
      <c r="R624" s="31">
        <f t="shared" si="21"/>
        <v>0</v>
      </c>
    </row>
    <row r="625" spans="2:18" ht="30.75" customHeight="1" x14ac:dyDescent="0.3">
      <c r="B625" s="32"/>
      <c r="P625" s="31">
        <f t="shared" si="20"/>
        <v>0</v>
      </c>
      <c r="R625" s="31">
        <f t="shared" si="21"/>
        <v>0</v>
      </c>
    </row>
    <row r="626" spans="2:18" ht="30.75" customHeight="1" x14ac:dyDescent="0.3">
      <c r="B626" s="32"/>
      <c r="P626" s="31">
        <f t="shared" si="20"/>
        <v>0</v>
      </c>
      <c r="R626" s="31">
        <f t="shared" si="21"/>
        <v>0</v>
      </c>
    </row>
    <row r="627" spans="2:18" ht="30.75" customHeight="1" x14ac:dyDescent="0.3">
      <c r="B627" s="32"/>
      <c r="P627" s="31">
        <f t="shared" si="20"/>
        <v>0</v>
      </c>
      <c r="R627" s="31">
        <f t="shared" si="21"/>
        <v>0</v>
      </c>
    </row>
    <row r="628" spans="2:18" ht="30.75" customHeight="1" x14ac:dyDescent="0.3">
      <c r="B628" s="32"/>
      <c r="P628" s="31">
        <f t="shared" si="20"/>
        <v>0</v>
      </c>
      <c r="R628" s="31">
        <f t="shared" si="21"/>
        <v>0</v>
      </c>
    </row>
    <row r="629" spans="2:18" ht="30.75" customHeight="1" x14ac:dyDescent="0.3">
      <c r="B629" s="32"/>
      <c r="P629" s="31">
        <f t="shared" si="20"/>
        <v>0</v>
      </c>
      <c r="R629" s="31">
        <f t="shared" si="21"/>
        <v>0</v>
      </c>
    </row>
    <row r="630" spans="2:18" ht="30.75" customHeight="1" x14ac:dyDescent="0.3">
      <c r="B630" s="32"/>
      <c r="P630" s="31">
        <f t="shared" si="20"/>
        <v>0</v>
      </c>
      <c r="R630" s="31">
        <f t="shared" si="21"/>
        <v>0</v>
      </c>
    </row>
    <row r="631" spans="2:18" ht="30.75" customHeight="1" x14ac:dyDescent="0.3">
      <c r="B631" s="32"/>
      <c r="P631" s="31">
        <f t="shared" si="20"/>
        <v>0</v>
      </c>
      <c r="R631" s="31">
        <f t="shared" si="21"/>
        <v>0</v>
      </c>
    </row>
    <row r="632" spans="2:18" ht="30.75" customHeight="1" x14ac:dyDescent="0.3">
      <c r="B632" s="32"/>
      <c r="P632" s="31">
        <f t="shared" si="20"/>
        <v>0</v>
      </c>
      <c r="R632" s="31">
        <f t="shared" si="21"/>
        <v>0</v>
      </c>
    </row>
    <row r="633" spans="2:18" ht="30.75" customHeight="1" x14ac:dyDescent="0.3">
      <c r="B633" s="32"/>
      <c r="P633" s="31">
        <f t="shared" si="20"/>
        <v>0</v>
      </c>
      <c r="R633" s="31">
        <f t="shared" si="21"/>
        <v>0</v>
      </c>
    </row>
    <row r="634" spans="2:18" ht="30.75" customHeight="1" x14ac:dyDescent="0.3">
      <c r="B634" s="32"/>
      <c r="P634" s="31">
        <f t="shared" si="20"/>
        <v>0</v>
      </c>
      <c r="R634" s="31">
        <f t="shared" si="21"/>
        <v>0</v>
      </c>
    </row>
    <row r="635" spans="2:18" ht="30.75" customHeight="1" x14ac:dyDescent="0.3">
      <c r="B635" s="32"/>
      <c r="P635" s="31">
        <f t="shared" si="20"/>
        <v>0</v>
      </c>
      <c r="R635" s="31">
        <f t="shared" si="21"/>
        <v>0</v>
      </c>
    </row>
    <row r="636" spans="2:18" ht="30.75" customHeight="1" x14ac:dyDescent="0.3">
      <c r="B636" s="32"/>
      <c r="P636" s="31">
        <f t="shared" si="20"/>
        <v>0</v>
      </c>
      <c r="R636" s="31">
        <f t="shared" si="21"/>
        <v>0</v>
      </c>
    </row>
    <row r="637" spans="2:18" ht="30.75" customHeight="1" x14ac:dyDescent="0.3">
      <c r="B637" s="32"/>
      <c r="P637" s="31">
        <f t="shared" si="20"/>
        <v>0</v>
      </c>
      <c r="R637" s="31">
        <f t="shared" si="21"/>
        <v>0</v>
      </c>
    </row>
    <row r="638" spans="2:18" ht="30.75" customHeight="1" x14ac:dyDescent="0.3">
      <c r="B638" s="32"/>
      <c r="P638" s="31">
        <f t="shared" si="20"/>
        <v>0</v>
      </c>
      <c r="R638" s="31">
        <f t="shared" si="21"/>
        <v>0</v>
      </c>
    </row>
    <row r="639" spans="2:18" ht="30.75" customHeight="1" x14ac:dyDescent="0.3">
      <c r="B639" s="32"/>
      <c r="P639" s="31">
        <f t="shared" si="20"/>
        <v>0</v>
      </c>
      <c r="R639" s="31">
        <f t="shared" si="21"/>
        <v>0</v>
      </c>
    </row>
    <row r="640" spans="2:18" ht="30.75" customHeight="1" x14ac:dyDescent="0.3">
      <c r="B640" s="32"/>
      <c r="P640" s="31">
        <f t="shared" si="20"/>
        <v>0</v>
      </c>
      <c r="R640" s="31">
        <f t="shared" si="21"/>
        <v>0</v>
      </c>
    </row>
    <row r="641" spans="2:18" ht="30.75" customHeight="1" x14ac:dyDescent="0.3">
      <c r="B641" s="32"/>
      <c r="P641" s="31">
        <f t="shared" si="20"/>
        <v>0</v>
      </c>
      <c r="R641" s="31">
        <f t="shared" si="21"/>
        <v>0</v>
      </c>
    </row>
    <row r="642" spans="2:18" ht="30.75" customHeight="1" x14ac:dyDescent="0.3">
      <c r="B642" s="32"/>
      <c r="P642" s="31">
        <f t="shared" si="20"/>
        <v>0</v>
      </c>
      <c r="R642" s="31">
        <f t="shared" si="21"/>
        <v>0</v>
      </c>
    </row>
    <row r="643" spans="2:18" ht="30.75" customHeight="1" x14ac:dyDescent="0.3">
      <c r="B643" s="32"/>
      <c r="P643" s="31">
        <f t="shared" si="20"/>
        <v>0</v>
      </c>
      <c r="R643" s="31">
        <f t="shared" si="21"/>
        <v>0</v>
      </c>
    </row>
    <row r="644" spans="2:18" ht="30.75" customHeight="1" x14ac:dyDescent="0.3">
      <c r="B644" s="32"/>
      <c r="P644" s="31">
        <f t="shared" si="20"/>
        <v>0</v>
      </c>
      <c r="R644" s="31">
        <f t="shared" si="21"/>
        <v>0</v>
      </c>
    </row>
    <row r="645" spans="2:18" ht="30.75" customHeight="1" x14ac:dyDescent="0.3">
      <c r="B645" s="32"/>
      <c r="P645" s="31">
        <f t="shared" si="20"/>
        <v>0</v>
      </c>
      <c r="R645" s="31">
        <f t="shared" si="21"/>
        <v>0</v>
      </c>
    </row>
    <row r="646" spans="2:18" ht="30.75" customHeight="1" x14ac:dyDescent="0.3">
      <c r="B646" s="32"/>
      <c r="P646" s="31">
        <f t="shared" si="20"/>
        <v>0</v>
      </c>
      <c r="R646" s="31">
        <f t="shared" si="21"/>
        <v>0</v>
      </c>
    </row>
    <row r="647" spans="2:18" ht="30.75" customHeight="1" x14ac:dyDescent="0.3">
      <c r="B647" s="32"/>
      <c r="P647" s="31">
        <f t="shared" si="20"/>
        <v>0</v>
      </c>
      <c r="R647" s="31">
        <f t="shared" si="21"/>
        <v>0</v>
      </c>
    </row>
    <row r="648" spans="2:18" ht="30.75" customHeight="1" x14ac:dyDescent="0.3">
      <c r="B648" s="32"/>
      <c r="P648" s="31">
        <f t="shared" si="20"/>
        <v>0</v>
      </c>
      <c r="R648" s="31">
        <f t="shared" si="21"/>
        <v>0</v>
      </c>
    </row>
    <row r="649" spans="2:18" ht="30.75" customHeight="1" x14ac:dyDescent="0.3">
      <c r="B649" s="32"/>
      <c r="P649" s="31">
        <f t="shared" si="20"/>
        <v>0</v>
      </c>
      <c r="R649" s="31">
        <f t="shared" si="21"/>
        <v>0</v>
      </c>
    </row>
    <row r="650" spans="2:18" ht="30.75" customHeight="1" x14ac:dyDescent="0.3">
      <c r="B650" s="32"/>
      <c r="P650" s="31">
        <f t="shared" ref="P650:P713" si="22">K650-L650-M650-N650+O650</f>
        <v>0</v>
      </c>
      <c r="R650" s="31">
        <f t="shared" ref="R650:R713" si="23">R649+K650-L650-M650-N650+O650-Q650</f>
        <v>0</v>
      </c>
    </row>
    <row r="651" spans="2:18" ht="30.75" customHeight="1" x14ac:dyDescent="0.3">
      <c r="B651" s="32"/>
      <c r="P651" s="31">
        <f t="shared" si="22"/>
        <v>0</v>
      </c>
      <c r="R651" s="31">
        <f t="shared" si="23"/>
        <v>0</v>
      </c>
    </row>
    <row r="652" spans="2:18" ht="30.75" customHeight="1" x14ac:dyDescent="0.3">
      <c r="B652" s="32"/>
      <c r="P652" s="31">
        <f t="shared" si="22"/>
        <v>0</v>
      </c>
      <c r="R652" s="31">
        <f t="shared" si="23"/>
        <v>0</v>
      </c>
    </row>
    <row r="653" spans="2:18" ht="30.75" customHeight="1" x14ac:dyDescent="0.3">
      <c r="B653" s="32"/>
      <c r="P653" s="31">
        <f t="shared" si="22"/>
        <v>0</v>
      </c>
      <c r="R653" s="31">
        <f t="shared" si="23"/>
        <v>0</v>
      </c>
    </row>
    <row r="654" spans="2:18" ht="30.75" customHeight="1" x14ac:dyDescent="0.3">
      <c r="B654" s="32"/>
      <c r="P654" s="31">
        <f t="shared" si="22"/>
        <v>0</v>
      </c>
      <c r="R654" s="31">
        <f t="shared" si="23"/>
        <v>0</v>
      </c>
    </row>
    <row r="655" spans="2:18" ht="30.75" customHeight="1" x14ac:dyDescent="0.3">
      <c r="B655" s="32"/>
      <c r="P655" s="31">
        <f t="shared" si="22"/>
        <v>0</v>
      </c>
      <c r="R655" s="31">
        <f t="shared" si="23"/>
        <v>0</v>
      </c>
    </row>
    <row r="656" spans="2:18" ht="30.75" customHeight="1" x14ac:dyDescent="0.3">
      <c r="B656" s="32"/>
      <c r="P656" s="31">
        <f t="shared" si="22"/>
        <v>0</v>
      </c>
      <c r="R656" s="31">
        <f t="shared" si="23"/>
        <v>0</v>
      </c>
    </row>
    <row r="657" spans="2:18" ht="30.75" customHeight="1" x14ac:dyDescent="0.3">
      <c r="B657" s="32"/>
      <c r="P657" s="31">
        <f t="shared" si="22"/>
        <v>0</v>
      </c>
      <c r="R657" s="31">
        <f t="shared" si="23"/>
        <v>0</v>
      </c>
    </row>
    <row r="658" spans="2:18" ht="30.75" customHeight="1" x14ac:dyDescent="0.3">
      <c r="B658" s="32"/>
      <c r="P658" s="31">
        <f t="shared" si="22"/>
        <v>0</v>
      </c>
      <c r="R658" s="31">
        <f t="shared" si="23"/>
        <v>0</v>
      </c>
    </row>
    <row r="659" spans="2:18" ht="30.75" customHeight="1" x14ac:dyDescent="0.3">
      <c r="B659" s="32"/>
      <c r="P659" s="31">
        <f t="shared" si="22"/>
        <v>0</v>
      </c>
      <c r="R659" s="31">
        <f t="shared" si="23"/>
        <v>0</v>
      </c>
    </row>
    <row r="660" spans="2:18" ht="30.75" customHeight="1" x14ac:dyDescent="0.3">
      <c r="B660" s="32"/>
      <c r="P660" s="31">
        <f t="shared" si="22"/>
        <v>0</v>
      </c>
      <c r="R660" s="31">
        <f t="shared" si="23"/>
        <v>0</v>
      </c>
    </row>
    <row r="661" spans="2:18" ht="30.75" customHeight="1" x14ac:dyDescent="0.3">
      <c r="B661" s="32"/>
      <c r="P661" s="31">
        <f t="shared" si="22"/>
        <v>0</v>
      </c>
      <c r="R661" s="31">
        <f t="shared" si="23"/>
        <v>0</v>
      </c>
    </row>
    <row r="662" spans="2:18" ht="30.75" customHeight="1" x14ac:dyDescent="0.3">
      <c r="B662" s="32"/>
      <c r="P662" s="31">
        <f t="shared" si="22"/>
        <v>0</v>
      </c>
      <c r="R662" s="31">
        <f t="shared" si="23"/>
        <v>0</v>
      </c>
    </row>
    <row r="663" spans="2:18" ht="30.75" customHeight="1" x14ac:dyDescent="0.3">
      <c r="B663" s="32"/>
      <c r="P663" s="31">
        <f t="shared" si="22"/>
        <v>0</v>
      </c>
      <c r="R663" s="31">
        <f t="shared" si="23"/>
        <v>0</v>
      </c>
    </row>
    <row r="664" spans="2:18" ht="30.75" customHeight="1" x14ac:dyDescent="0.3">
      <c r="B664" s="32"/>
      <c r="P664" s="31">
        <f t="shared" si="22"/>
        <v>0</v>
      </c>
      <c r="R664" s="31">
        <f t="shared" si="23"/>
        <v>0</v>
      </c>
    </row>
    <row r="665" spans="2:18" ht="30.75" customHeight="1" x14ac:dyDescent="0.3">
      <c r="B665" s="32"/>
      <c r="P665" s="31">
        <f t="shared" si="22"/>
        <v>0</v>
      </c>
      <c r="R665" s="31">
        <f t="shared" si="23"/>
        <v>0</v>
      </c>
    </row>
    <row r="666" spans="2:18" ht="30.75" customHeight="1" x14ac:dyDescent="0.3">
      <c r="B666" s="32"/>
      <c r="P666" s="31">
        <f t="shared" si="22"/>
        <v>0</v>
      </c>
      <c r="R666" s="31">
        <f t="shared" si="23"/>
        <v>0</v>
      </c>
    </row>
    <row r="667" spans="2:18" ht="30.75" customHeight="1" x14ac:dyDescent="0.3">
      <c r="B667" s="32"/>
      <c r="P667" s="31">
        <f t="shared" si="22"/>
        <v>0</v>
      </c>
      <c r="R667" s="31">
        <f t="shared" si="23"/>
        <v>0</v>
      </c>
    </row>
    <row r="668" spans="2:18" ht="30.75" customHeight="1" x14ac:dyDescent="0.3">
      <c r="B668" s="32"/>
      <c r="P668" s="31">
        <f t="shared" si="22"/>
        <v>0</v>
      </c>
      <c r="R668" s="31">
        <f t="shared" si="23"/>
        <v>0</v>
      </c>
    </row>
    <row r="669" spans="2:18" ht="30.75" customHeight="1" x14ac:dyDescent="0.3">
      <c r="B669" s="32"/>
      <c r="P669" s="31">
        <f t="shared" si="22"/>
        <v>0</v>
      </c>
      <c r="R669" s="31">
        <f t="shared" si="23"/>
        <v>0</v>
      </c>
    </row>
    <row r="670" spans="2:18" ht="30.75" customHeight="1" x14ac:dyDescent="0.3">
      <c r="B670" s="32"/>
      <c r="P670" s="31">
        <f t="shared" si="22"/>
        <v>0</v>
      </c>
      <c r="R670" s="31">
        <f t="shared" si="23"/>
        <v>0</v>
      </c>
    </row>
    <row r="671" spans="2:18" ht="30.75" customHeight="1" x14ac:dyDescent="0.3">
      <c r="B671" s="32"/>
      <c r="P671" s="31">
        <f t="shared" si="22"/>
        <v>0</v>
      </c>
      <c r="R671" s="31">
        <f t="shared" si="23"/>
        <v>0</v>
      </c>
    </row>
    <row r="672" spans="2:18" ht="30.75" customHeight="1" x14ac:dyDescent="0.3">
      <c r="B672" s="32"/>
      <c r="P672" s="31">
        <f t="shared" si="22"/>
        <v>0</v>
      </c>
      <c r="R672" s="31">
        <f t="shared" si="23"/>
        <v>0</v>
      </c>
    </row>
    <row r="673" spans="2:18" ht="30.75" customHeight="1" x14ac:dyDescent="0.3">
      <c r="B673" s="32"/>
      <c r="P673" s="31">
        <f t="shared" si="22"/>
        <v>0</v>
      </c>
      <c r="R673" s="31">
        <f t="shared" si="23"/>
        <v>0</v>
      </c>
    </row>
    <row r="674" spans="2:18" ht="30.75" customHeight="1" x14ac:dyDescent="0.3">
      <c r="B674" s="32"/>
      <c r="P674" s="31">
        <f t="shared" si="22"/>
        <v>0</v>
      </c>
      <c r="R674" s="31">
        <f t="shared" si="23"/>
        <v>0</v>
      </c>
    </row>
    <row r="675" spans="2:18" ht="30.75" customHeight="1" x14ac:dyDescent="0.3">
      <c r="B675" s="32"/>
      <c r="P675" s="31">
        <f t="shared" si="22"/>
        <v>0</v>
      </c>
      <c r="R675" s="31">
        <f t="shared" si="23"/>
        <v>0</v>
      </c>
    </row>
    <row r="676" spans="2:18" ht="30.75" customHeight="1" x14ac:dyDescent="0.3">
      <c r="B676" s="32"/>
      <c r="P676" s="31">
        <f t="shared" si="22"/>
        <v>0</v>
      </c>
      <c r="R676" s="31">
        <f t="shared" si="23"/>
        <v>0</v>
      </c>
    </row>
    <row r="677" spans="2:18" ht="30.75" customHeight="1" x14ac:dyDescent="0.3">
      <c r="B677" s="32"/>
      <c r="P677" s="31">
        <f t="shared" si="22"/>
        <v>0</v>
      </c>
      <c r="R677" s="31">
        <f t="shared" si="23"/>
        <v>0</v>
      </c>
    </row>
    <row r="678" spans="2:18" ht="30.75" customHeight="1" x14ac:dyDescent="0.3">
      <c r="B678" s="32"/>
      <c r="P678" s="31">
        <f t="shared" si="22"/>
        <v>0</v>
      </c>
      <c r="R678" s="31">
        <f t="shared" si="23"/>
        <v>0</v>
      </c>
    </row>
    <row r="679" spans="2:18" ht="30.75" customHeight="1" x14ac:dyDescent="0.3">
      <c r="B679" s="32"/>
      <c r="P679" s="31">
        <f t="shared" si="22"/>
        <v>0</v>
      </c>
      <c r="R679" s="31">
        <f t="shared" si="23"/>
        <v>0</v>
      </c>
    </row>
    <row r="680" spans="2:18" ht="30.75" customHeight="1" x14ac:dyDescent="0.3">
      <c r="B680" s="32"/>
      <c r="P680" s="31">
        <f t="shared" si="22"/>
        <v>0</v>
      </c>
      <c r="R680" s="31">
        <f t="shared" si="23"/>
        <v>0</v>
      </c>
    </row>
    <row r="681" spans="2:18" ht="30.75" customHeight="1" x14ac:dyDescent="0.3">
      <c r="B681" s="32"/>
      <c r="P681" s="31">
        <f t="shared" si="22"/>
        <v>0</v>
      </c>
      <c r="R681" s="31">
        <f t="shared" si="23"/>
        <v>0</v>
      </c>
    </row>
    <row r="682" spans="2:18" ht="30.75" customHeight="1" x14ac:dyDescent="0.3">
      <c r="B682" s="32"/>
      <c r="P682" s="31">
        <f t="shared" si="22"/>
        <v>0</v>
      </c>
      <c r="R682" s="31">
        <f t="shared" si="23"/>
        <v>0</v>
      </c>
    </row>
    <row r="683" spans="2:18" ht="30.75" customHeight="1" x14ac:dyDescent="0.3">
      <c r="B683" s="32"/>
      <c r="P683" s="31">
        <f t="shared" si="22"/>
        <v>0</v>
      </c>
      <c r="R683" s="31">
        <f t="shared" si="23"/>
        <v>0</v>
      </c>
    </row>
    <row r="684" spans="2:18" ht="30.75" customHeight="1" x14ac:dyDescent="0.3">
      <c r="B684" s="32"/>
      <c r="P684" s="31">
        <f t="shared" si="22"/>
        <v>0</v>
      </c>
      <c r="R684" s="31">
        <f t="shared" si="23"/>
        <v>0</v>
      </c>
    </row>
    <row r="685" spans="2:18" ht="30.75" customHeight="1" x14ac:dyDescent="0.3">
      <c r="B685" s="32"/>
      <c r="P685" s="31">
        <f t="shared" si="22"/>
        <v>0</v>
      </c>
      <c r="R685" s="31">
        <f t="shared" si="23"/>
        <v>0</v>
      </c>
    </row>
    <row r="686" spans="2:18" ht="30.75" customHeight="1" x14ac:dyDescent="0.3">
      <c r="B686" s="32"/>
      <c r="P686" s="31">
        <f t="shared" si="22"/>
        <v>0</v>
      </c>
      <c r="R686" s="31">
        <f t="shared" si="23"/>
        <v>0</v>
      </c>
    </row>
    <row r="687" spans="2:18" ht="30.75" customHeight="1" x14ac:dyDescent="0.3">
      <c r="B687" s="32"/>
      <c r="P687" s="31">
        <f t="shared" si="22"/>
        <v>0</v>
      </c>
      <c r="R687" s="31">
        <f t="shared" si="23"/>
        <v>0</v>
      </c>
    </row>
    <row r="688" spans="2:18" ht="30.75" customHeight="1" x14ac:dyDescent="0.3">
      <c r="B688" s="32"/>
      <c r="P688" s="31">
        <f t="shared" si="22"/>
        <v>0</v>
      </c>
      <c r="R688" s="31">
        <f t="shared" si="23"/>
        <v>0</v>
      </c>
    </row>
    <row r="689" spans="2:18" ht="30.75" customHeight="1" x14ac:dyDescent="0.3">
      <c r="B689" s="32"/>
      <c r="P689" s="31">
        <f t="shared" si="22"/>
        <v>0</v>
      </c>
      <c r="R689" s="31">
        <f t="shared" si="23"/>
        <v>0</v>
      </c>
    </row>
    <row r="690" spans="2:18" ht="30.75" customHeight="1" x14ac:dyDescent="0.3">
      <c r="B690" s="32"/>
      <c r="P690" s="31">
        <f t="shared" si="22"/>
        <v>0</v>
      </c>
      <c r="R690" s="31">
        <f t="shared" si="23"/>
        <v>0</v>
      </c>
    </row>
    <row r="691" spans="2:18" ht="30.75" customHeight="1" x14ac:dyDescent="0.3">
      <c r="B691" s="32"/>
      <c r="P691" s="31">
        <f t="shared" si="22"/>
        <v>0</v>
      </c>
      <c r="R691" s="31">
        <f t="shared" si="23"/>
        <v>0</v>
      </c>
    </row>
    <row r="692" spans="2:18" ht="30.75" customHeight="1" x14ac:dyDescent="0.3">
      <c r="B692" s="32"/>
      <c r="P692" s="31">
        <f t="shared" si="22"/>
        <v>0</v>
      </c>
      <c r="R692" s="31">
        <f t="shared" si="23"/>
        <v>0</v>
      </c>
    </row>
    <row r="693" spans="2:18" ht="30.75" customHeight="1" x14ac:dyDescent="0.3">
      <c r="B693" s="32"/>
      <c r="P693" s="31">
        <f t="shared" si="22"/>
        <v>0</v>
      </c>
      <c r="R693" s="31">
        <f t="shared" si="23"/>
        <v>0</v>
      </c>
    </row>
    <row r="694" spans="2:18" ht="30.75" customHeight="1" x14ac:dyDescent="0.3">
      <c r="B694" s="32"/>
      <c r="P694" s="31">
        <f t="shared" si="22"/>
        <v>0</v>
      </c>
      <c r="R694" s="31">
        <f t="shared" si="23"/>
        <v>0</v>
      </c>
    </row>
    <row r="695" spans="2:18" ht="30.75" customHeight="1" x14ac:dyDescent="0.3">
      <c r="B695" s="32"/>
      <c r="P695" s="31">
        <f t="shared" si="22"/>
        <v>0</v>
      </c>
      <c r="R695" s="31">
        <f t="shared" si="23"/>
        <v>0</v>
      </c>
    </row>
    <row r="696" spans="2:18" ht="30.75" customHeight="1" x14ac:dyDescent="0.3">
      <c r="B696" s="32"/>
      <c r="P696" s="31">
        <f t="shared" si="22"/>
        <v>0</v>
      </c>
      <c r="R696" s="31">
        <f t="shared" si="23"/>
        <v>0</v>
      </c>
    </row>
    <row r="697" spans="2:18" ht="30.75" customHeight="1" x14ac:dyDescent="0.3">
      <c r="B697" s="32"/>
      <c r="P697" s="31">
        <f t="shared" si="22"/>
        <v>0</v>
      </c>
      <c r="R697" s="31">
        <f t="shared" si="23"/>
        <v>0</v>
      </c>
    </row>
    <row r="698" spans="2:18" ht="30.75" customHeight="1" x14ac:dyDescent="0.3">
      <c r="B698" s="32"/>
      <c r="P698" s="31">
        <f t="shared" si="22"/>
        <v>0</v>
      </c>
      <c r="R698" s="31">
        <f t="shared" si="23"/>
        <v>0</v>
      </c>
    </row>
    <row r="699" spans="2:18" ht="30.75" customHeight="1" x14ac:dyDescent="0.3">
      <c r="B699" s="32"/>
      <c r="P699" s="31">
        <f t="shared" si="22"/>
        <v>0</v>
      </c>
      <c r="R699" s="31">
        <f t="shared" si="23"/>
        <v>0</v>
      </c>
    </row>
    <row r="700" spans="2:18" ht="30.75" customHeight="1" x14ac:dyDescent="0.3">
      <c r="B700" s="32"/>
      <c r="P700" s="31">
        <f t="shared" si="22"/>
        <v>0</v>
      </c>
      <c r="R700" s="31">
        <f t="shared" si="23"/>
        <v>0</v>
      </c>
    </row>
    <row r="701" spans="2:18" ht="30.75" customHeight="1" x14ac:dyDescent="0.3">
      <c r="B701" s="32"/>
      <c r="P701" s="31">
        <f t="shared" si="22"/>
        <v>0</v>
      </c>
      <c r="R701" s="31">
        <f t="shared" si="23"/>
        <v>0</v>
      </c>
    </row>
    <row r="702" spans="2:18" ht="30.75" customHeight="1" x14ac:dyDescent="0.3">
      <c r="B702" s="32"/>
      <c r="P702" s="31">
        <f t="shared" si="22"/>
        <v>0</v>
      </c>
      <c r="R702" s="31">
        <f t="shared" si="23"/>
        <v>0</v>
      </c>
    </row>
    <row r="703" spans="2:18" ht="30.75" customHeight="1" x14ac:dyDescent="0.3">
      <c r="B703" s="32"/>
      <c r="P703" s="31">
        <f t="shared" si="22"/>
        <v>0</v>
      </c>
      <c r="R703" s="31">
        <f t="shared" si="23"/>
        <v>0</v>
      </c>
    </row>
    <row r="704" spans="2:18" ht="30.75" customHeight="1" x14ac:dyDescent="0.3">
      <c r="B704" s="32"/>
      <c r="P704" s="31">
        <f t="shared" si="22"/>
        <v>0</v>
      </c>
      <c r="R704" s="31">
        <f t="shared" si="23"/>
        <v>0</v>
      </c>
    </row>
    <row r="705" spans="2:18" ht="30.75" customHeight="1" x14ac:dyDescent="0.3">
      <c r="B705" s="32"/>
      <c r="P705" s="31">
        <f t="shared" si="22"/>
        <v>0</v>
      </c>
      <c r="R705" s="31">
        <f t="shared" si="23"/>
        <v>0</v>
      </c>
    </row>
    <row r="706" spans="2:18" ht="30.75" customHeight="1" x14ac:dyDescent="0.3">
      <c r="B706" s="32"/>
      <c r="P706" s="31">
        <f t="shared" si="22"/>
        <v>0</v>
      </c>
      <c r="R706" s="31">
        <f t="shared" si="23"/>
        <v>0</v>
      </c>
    </row>
    <row r="707" spans="2:18" ht="33.75" customHeight="1" x14ac:dyDescent="0.3">
      <c r="B707" s="32"/>
      <c r="P707" s="31">
        <f t="shared" si="22"/>
        <v>0</v>
      </c>
      <c r="R707" s="31">
        <f t="shared" si="23"/>
        <v>0</v>
      </c>
    </row>
    <row r="708" spans="2:18" ht="30.75" customHeight="1" x14ac:dyDescent="0.3">
      <c r="B708" s="32"/>
      <c r="P708" s="31">
        <f t="shared" si="22"/>
        <v>0</v>
      </c>
      <c r="R708" s="31">
        <f t="shared" si="23"/>
        <v>0</v>
      </c>
    </row>
    <row r="709" spans="2:18" ht="30.75" customHeight="1" x14ac:dyDescent="0.3">
      <c r="B709" s="32"/>
      <c r="P709" s="31">
        <f t="shared" si="22"/>
        <v>0</v>
      </c>
      <c r="R709" s="31">
        <f t="shared" si="23"/>
        <v>0</v>
      </c>
    </row>
    <row r="710" spans="2:18" ht="30.75" customHeight="1" x14ac:dyDescent="0.3">
      <c r="B710" s="32"/>
      <c r="P710" s="31">
        <f t="shared" si="22"/>
        <v>0</v>
      </c>
      <c r="R710" s="31">
        <f t="shared" si="23"/>
        <v>0</v>
      </c>
    </row>
    <row r="711" spans="2:18" ht="30.75" customHeight="1" x14ac:dyDescent="0.3">
      <c r="B711" s="32"/>
      <c r="P711" s="31">
        <f t="shared" si="22"/>
        <v>0</v>
      </c>
      <c r="R711" s="31">
        <f t="shared" si="23"/>
        <v>0</v>
      </c>
    </row>
    <row r="712" spans="2:18" ht="30.75" customHeight="1" x14ac:dyDescent="0.3">
      <c r="B712" s="32"/>
      <c r="P712" s="31">
        <f t="shared" si="22"/>
        <v>0</v>
      </c>
      <c r="R712" s="31">
        <f t="shared" si="23"/>
        <v>0</v>
      </c>
    </row>
    <row r="713" spans="2:18" ht="30.75" customHeight="1" x14ac:dyDescent="0.3">
      <c r="B713" s="32"/>
      <c r="P713" s="31">
        <f t="shared" si="22"/>
        <v>0</v>
      </c>
      <c r="R713" s="31">
        <f t="shared" si="23"/>
        <v>0</v>
      </c>
    </row>
    <row r="714" spans="2:18" ht="30.75" customHeight="1" x14ac:dyDescent="0.3">
      <c r="B714" s="32"/>
      <c r="P714" s="31">
        <f t="shared" ref="P714:P777" si="24">K714-L714-M714-N714+O714</f>
        <v>0</v>
      </c>
      <c r="R714" s="31">
        <f t="shared" ref="R714:R777" si="25">R713+K714-L714-M714-N714+O714-Q714</f>
        <v>0</v>
      </c>
    </row>
    <row r="715" spans="2:18" ht="30.75" customHeight="1" x14ac:dyDescent="0.3">
      <c r="B715" s="32"/>
      <c r="P715" s="31">
        <f t="shared" si="24"/>
        <v>0</v>
      </c>
      <c r="R715" s="31">
        <f t="shared" si="25"/>
        <v>0</v>
      </c>
    </row>
    <row r="716" spans="2:18" ht="30.75" customHeight="1" x14ac:dyDescent="0.3">
      <c r="B716" s="32"/>
      <c r="P716" s="31">
        <f t="shared" si="24"/>
        <v>0</v>
      </c>
      <c r="R716" s="31">
        <f t="shared" si="25"/>
        <v>0</v>
      </c>
    </row>
    <row r="717" spans="2:18" ht="30.75" customHeight="1" x14ac:dyDescent="0.3">
      <c r="B717" s="32"/>
      <c r="P717" s="31">
        <f t="shared" si="24"/>
        <v>0</v>
      </c>
      <c r="R717" s="31">
        <f t="shared" si="25"/>
        <v>0</v>
      </c>
    </row>
    <row r="718" spans="2:18" ht="30.75" customHeight="1" x14ac:dyDescent="0.3">
      <c r="B718" s="32"/>
      <c r="P718" s="31">
        <f t="shared" si="24"/>
        <v>0</v>
      </c>
      <c r="R718" s="31">
        <f t="shared" si="25"/>
        <v>0</v>
      </c>
    </row>
    <row r="719" spans="2:18" ht="30.75" customHeight="1" x14ac:dyDescent="0.3">
      <c r="B719" s="32"/>
      <c r="P719" s="31">
        <f t="shared" si="24"/>
        <v>0</v>
      </c>
      <c r="R719" s="31">
        <f t="shared" si="25"/>
        <v>0</v>
      </c>
    </row>
    <row r="720" spans="2:18" ht="30.75" customHeight="1" x14ac:dyDescent="0.3">
      <c r="B720" s="32"/>
      <c r="P720" s="31">
        <f t="shared" si="24"/>
        <v>0</v>
      </c>
      <c r="R720" s="31">
        <f t="shared" si="25"/>
        <v>0</v>
      </c>
    </row>
    <row r="721" spans="2:18" ht="30.75" customHeight="1" x14ac:dyDescent="0.3">
      <c r="B721" s="32"/>
      <c r="P721" s="31">
        <f t="shared" si="24"/>
        <v>0</v>
      </c>
      <c r="R721" s="31">
        <f t="shared" si="25"/>
        <v>0</v>
      </c>
    </row>
    <row r="722" spans="2:18" ht="30.75" customHeight="1" x14ac:dyDescent="0.3">
      <c r="B722" s="32"/>
      <c r="P722" s="31">
        <f t="shared" si="24"/>
        <v>0</v>
      </c>
      <c r="R722" s="31">
        <f t="shared" si="25"/>
        <v>0</v>
      </c>
    </row>
    <row r="723" spans="2:18" ht="30.75" customHeight="1" x14ac:dyDescent="0.3">
      <c r="B723" s="32"/>
      <c r="P723" s="31">
        <f t="shared" si="24"/>
        <v>0</v>
      </c>
      <c r="R723" s="31">
        <f t="shared" si="25"/>
        <v>0</v>
      </c>
    </row>
    <row r="724" spans="2:18" ht="30.75" customHeight="1" x14ac:dyDescent="0.3">
      <c r="B724" s="32"/>
      <c r="P724" s="31">
        <f t="shared" si="24"/>
        <v>0</v>
      </c>
      <c r="R724" s="31">
        <f t="shared" si="25"/>
        <v>0</v>
      </c>
    </row>
    <row r="725" spans="2:18" ht="30.75" customHeight="1" x14ac:dyDescent="0.3">
      <c r="B725" s="32"/>
      <c r="P725" s="31">
        <f t="shared" si="24"/>
        <v>0</v>
      </c>
      <c r="R725" s="31">
        <f t="shared" si="25"/>
        <v>0</v>
      </c>
    </row>
    <row r="726" spans="2:18" ht="30.75" customHeight="1" x14ac:dyDescent="0.3">
      <c r="B726" s="32"/>
      <c r="P726" s="31">
        <f t="shared" si="24"/>
        <v>0</v>
      </c>
      <c r="R726" s="31">
        <f t="shared" si="25"/>
        <v>0</v>
      </c>
    </row>
    <row r="727" spans="2:18" ht="30.75" customHeight="1" x14ac:dyDescent="0.3">
      <c r="B727" s="32"/>
      <c r="P727" s="31">
        <f t="shared" si="24"/>
        <v>0</v>
      </c>
      <c r="R727" s="31">
        <f t="shared" si="25"/>
        <v>0</v>
      </c>
    </row>
    <row r="728" spans="2:18" ht="30.75" customHeight="1" x14ac:dyDescent="0.3">
      <c r="B728" s="32"/>
      <c r="P728" s="31">
        <f t="shared" si="24"/>
        <v>0</v>
      </c>
      <c r="R728" s="31">
        <f t="shared" si="25"/>
        <v>0</v>
      </c>
    </row>
    <row r="729" spans="2:18" ht="30.75" customHeight="1" x14ac:dyDescent="0.3">
      <c r="B729" s="32"/>
      <c r="P729" s="31">
        <f t="shared" si="24"/>
        <v>0</v>
      </c>
      <c r="R729" s="31">
        <f t="shared" si="25"/>
        <v>0</v>
      </c>
    </row>
    <row r="730" spans="2:18" ht="30.75" customHeight="1" x14ac:dyDescent="0.3">
      <c r="B730" s="32"/>
      <c r="P730" s="31">
        <f t="shared" si="24"/>
        <v>0</v>
      </c>
      <c r="R730" s="31">
        <f t="shared" si="25"/>
        <v>0</v>
      </c>
    </row>
    <row r="731" spans="2:18" ht="30.75" customHeight="1" x14ac:dyDescent="0.3">
      <c r="B731" s="32"/>
      <c r="P731" s="31">
        <f t="shared" si="24"/>
        <v>0</v>
      </c>
      <c r="R731" s="31">
        <f t="shared" si="25"/>
        <v>0</v>
      </c>
    </row>
    <row r="732" spans="2:18" ht="30.75" customHeight="1" x14ac:dyDescent="0.3">
      <c r="B732" s="32"/>
      <c r="P732" s="31">
        <f t="shared" si="24"/>
        <v>0</v>
      </c>
      <c r="R732" s="31">
        <f t="shared" si="25"/>
        <v>0</v>
      </c>
    </row>
    <row r="733" spans="2:18" ht="30.75" customHeight="1" x14ac:dyDescent="0.3">
      <c r="B733" s="32"/>
      <c r="P733" s="31">
        <f t="shared" si="24"/>
        <v>0</v>
      </c>
      <c r="R733" s="31">
        <f t="shared" si="25"/>
        <v>0</v>
      </c>
    </row>
    <row r="734" spans="2:18" ht="30.75" customHeight="1" x14ac:dyDescent="0.3">
      <c r="B734" s="32"/>
      <c r="P734" s="31">
        <f t="shared" si="24"/>
        <v>0</v>
      </c>
      <c r="R734" s="31">
        <f t="shared" si="25"/>
        <v>0</v>
      </c>
    </row>
    <row r="735" spans="2:18" ht="30.75" customHeight="1" x14ac:dyDescent="0.3">
      <c r="B735" s="32"/>
      <c r="G735" s="31"/>
      <c r="P735" s="31">
        <f t="shared" si="24"/>
        <v>0</v>
      </c>
      <c r="R735" s="31">
        <f t="shared" si="25"/>
        <v>0</v>
      </c>
    </row>
    <row r="736" spans="2:18" ht="30.75" customHeight="1" x14ac:dyDescent="0.3">
      <c r="B736" s="32"/>
      <c r="P736" s="31">
        <f t="shared" si="24"/>
        <v>0</v>
      </c>
      <c r="R736" s="31">
        <f t="shared" si="25"/>
        <v>0</v>
      </c>
    </row>
    <row r="737" spans="2:18" ht="30.75" customHeight="1" x14ac:dyDescent="0.3">
      <c r="B737" s="32"/>
      <c r="P737" s="31">
        <f t="shared" si="24"/>
        <v>0</v>
      </c>
      <c r="R737" s="31">
        <f t="shared" si="25"/>
        <v>0</v>
      </c>
    </row>
    <row r="738" spans="2:18" ht="30.75" customHeight="1" x14ac:dyDescent="0.3">
      <c r="B738" s="32"/>
      <c r="P738" s="31">
        <f t="shared" si="24"/>
        <v>0</v>
      </c>
      <c r="R738" s="31">
        <f t="shared" si="25"/>
        <v>0</v>
      </c>
    </row>
    <row r="739" spans="2:18" ht="30.75" customHeight="1" x14ac:dyDescent="0.3">
      <c r="B739" s="32"/>
      <c r="P739" s="31">
        <f t="shared" si="24"/>
        <v>0</v>
      </c>
      <c r="R739" s="31">
        <f t="shared" si="25"/>
        <v>0</v>
      </c>
    </row>
    <row r="740" spans="2:18" ht="30.75" customHeight="1" x14ac:dyDescent="0.3">
      <c r="B740" s="32"/>
      <c r="P740" s="31">
        <f t="shared" si="24"/>
        <v>0</v>
      </c>
      <c r="R740" s="31">
        <f t="shared" si="25"/>
        <v>0</v>
      </c>
    </row>
    <row r="741" spans="2:18" ht="30.75" customHeight="1" x14ac:dyDescent="0.3">
      <c r="B741" s="32"/>
      <c r="P741" s="31">
        <f t="shared" si="24"/>
        <v>0</v>
      </c>
      <c r="R741" s="31">
        <f t="shared" si="25"/>
        <v>0</v>
      </c>
    </row>
    <row r="742" spans="2:18" ht="30.75" customHeight="1" x14ac:dyDescent="0.3">
      <c r="B742" s="32"/>
      <c r="P742" s="31">
        <f t="shared" si="24"/>
        <v>0</v>
      </c>
      <c r="R742" s="31">
        <f t="shared" si="25"/>
        <v>0</v>
      </c>
    </row>
    <row r="743" spans="2:18" ht="30.75" customHeight="1" x14ac:dyDescent="0.3">
      <c r="B743" s="32"/>
      <c r="P743" s="31">
        <f t="shared" si="24"/>
        <v>0</v>
      </c>
      <c r="R743" s="31">
        <f t="shared" si="25"/>
        <v>0</v>
      </c>
    </row>
    <row r="744" spans="2:18" ht="30.75" customHeight="1" x14ac:dyDescent="0.3">
      <c r="B744" s="32"/>
      <c r="P744" s="31">
        <f t="shared" si="24"/>
        <v>0</v>
      </c>
      <c r="R744" s="31">
        <f t="shared" si="25"/>
        <v>0</v>
      </c>
    </row>
    <row r="745" spans="2:18" ht="30.75" customHeight="1" x14ac:dyDescent="0.3">
      <c r="B745" s="32"/>
      <c r="P745" s="31">
        <f t="shared" si="24"/>
        <v>0</v>
      </c>
      <c r="R745" s="31">
        <f t="shared" si="25"/>
        <v>0</v>
      </c>
    </row>
    <row r="746" spans="2:18" ht="30.75" customHeight="1" x14ac:dyDescent="0.3">
      <c r="B746" s="32"/>
      <c r="P746" s="31">
        <f t="shared" si="24"/>
        <v>0</v>
      </c>
      <c r="R746" s="31">
        <f t="shared" si="25"/>
        <v>0</v>
      </c>
    </row>
    <row r="747" spans="2:18" ht="30.75" customHeight="1" x14ac:dyDescent="0.3">
      <c r="B747" s="32"/>
      <c r="P747" s="31">
        <f t="shared" si="24"/>
        <v>0</v>
      </c>
      <c r="R747" s="31">
        <f t="shared" si="25"/>
        <v>0</v>
      </c>
    </row>
    <row r="748" spans="2:18" ht="30.75" customHeight="1" x14ac:dyDescent="0.3">
      <c r="B748" s="32"/>
      <c r="P748" s="31">
        <f t="shared" si="24"/>
        <v>0</v>
      </c>
      <c r="R748" s="31">
        <f t="shared" si="25"/>
        <v>0</v>
      </c>
    </row>
    <row r="749" spans="2:18" ht="30.75" customHeight="1" x14ac:dyDescent="0.3">
      <c r="B749" s="32"/>
      <c r="P749" s="31">
        <f t="shared" si="24"/>
        <v>0</v>
      </c>
      <c r="R749" s="31">
        <f t="shared" si="25"/>
        <v>0</v>
      </c>
    </row>
    <row r="750" spans="2:18" ht="30.75" customHeight="1" x14ac:dyDescent="0.3">
      <c r="B750" s="32"/>
      <c r="P750" s="31">
        <f t="shared" si="24"/>
        <v>0</v>
      </c>
      <c r="R750" s="31">
        <f t="shared" si="25"/>
        <v>0</v>
      </c>
    </row>
    <row r="751" spans="2:18" ht="30.75" customHeight="1" x14ac:dyDescent="0.3">
      <c r="B751" s="32"/>
      <c r="P751" s="31">
        <f t="shared" si="24"/>
        <v>0</v>
      </c>
      <c r="R751" s="31">
        <f t="shared" si="25"/>
        <v>0</v>
      </c>
    </row>
    <row r="752" spans="2:18" ht="30.75" customHeight="1" x14ac:dyDescent="0.3">
      <c r="B752" s="32"/>
      <c r="P752" s="31">
        <f t="shared" si="24"/>
        <v>0</v>
      </c>
      <c r="R752" s="31">
        <f t="shared" si="25"/>
        <v>0</v>
      </c>
    </row>
    <row r="753" spans="2:18" ht="30.75" customHeight="1" x14ac:dyDescent="0.3">
      <c r="B753" s="32"/>
      <c r="P753" s="31">
        <f t="shared" si="24"/>
        <v>0</v>
      </c>
      <c r="R753" s="31">
        <f t="shared" si="25"/>
        <v>0</v>
      </c>
    </row>
    <row r="754" spans="2:18" ht="30.75" customHeight="1" x14ac:dyDescent="0.3">
      <c r="B754" s="32"/>
      <c r="P754" s="31">
        <f t="shared" si="24"/>
        <v>0</v>
      </c>
      <c r="R754" s="31">
        <f t="shared" si="25"/>
        <v>0</v>
      </c>
    </row>
    <row r="755" spans="2:18" ht="30.75" customHeight="1" x14ac:dyDescent="0.3">
      <c r="B755" s="32"/>
      <c r="P755" s="31">
        <f t="shared" si="24"/>
        <v>0</v>
      </c>
      <c r="R755" s="31">
        <f t="shared" si="25"/>
        <v>0</v>
      </c>
    </row>
    <row r="756" spans="2:18" ht="30.75" customHeight="1" x14ac:dyDescent="0.3">
      <c r="B756" s="32"/>
      <c r="P756" s="31">
        <f t="shared" si="24"/>
        <v>0</v>
      </c>
      <c r="R756" s="31">
        <f t="shared" si="25"/>
        <v>0</v>
      </c>
    </row>
    <row r="757" spans="2:18" ht="30.75" customHeight="1" x14ac:dyDescent="0.3">
      <c r="B757" s="32"/>
      <c r="P757" s="31">
        <f t="shared" si="24"/>
        <v>0</v>
      </c>
      <c r="R757" s="31">
        <f t="shared" si="25"/>
        <v>0</v>
      </c>
    </row>
    <row r="758" spans="2:18" ht="30.75" customHeight="1" x14ac:dyDescent="0.3">
      <c r="B758" s="32"/>
      <c r="P758" s="31">
        <f t="shared" si="24"/>
        <v>0</v>
      </c>
      <c r="R758" s="31">
        <f t="shared" si="25"/>
        <v>0</v>
      </c>
    </row>
    <row r="759" spans="2:18" ht="30.75" customHeight="1" x14ac:dyDescent="0.3">
      <c r="B759" s="32"/>
      <c r="P759" s="31">
        <f t="shared" si="24"/>
        <v>0</v>
      </c>
      <c r="R759" s="31">
        <f t="shared" si="25"/>
        <v>0</v>
      </c>
    </row>
    <row r="760" spans="2:18" ht="30.75" customHeight="1" x14ac:dyDescent="0.3">
      <c r="B760" s="32"/>
      <c r="P760" s="31">
        <f t="shared" si="24"/>
        <v>0</v>
      </c>
      <c r="R760" s="31">
        <f t="shared" si="25"/>
        <v>0</v>
      </c>
    </row>
    <row r="761" spans="2:18" ht="30.75" customHeight="1" x14ac:dyDescent="0.3">
      <c r="B761" s="32"/>
      <c r="P761" s="31">
        <f t="shared" si="24"/>
        <v>0</v>
      </c>
      <c r="R761" s="31">
        <f t="shared" si="25"/>
        <v>0</v>
      </c>
    </row>
    <row r="762" spans="2:18" ht="30.75" customHeight="1" x14ac:dyDescent="0.3">
      <c r="B762" s="32"/>
      <c r="P762" s="31">
        <f t="shared" si="24"/>
        <v>0</v>
      </c>
      <c r="R762" s="31">
        <f t="shared" si="25"/>
        <v>0</v>
      </c>
    </row>
    <row r="763" spans="2:18" ht="30.75" customHeight="1" x14ac:dyDescent="0.3">
      <c r="B763" s="32"/>
      <c r="P763" s="31">
        <f t="shared" si="24"/>
        <v>0</v>
      </c>
      <c r="R763" s="31">
        <f t="shared" si="25"/>
        <v>0</v>
      </c>
    </row>
    <row r="764" spans="2:18" ht="30.75" customHeight="1" x14ac:dyDescent="0.3">
      <c r="B764" s="32"/>
      <c r="P764" s="31">
        <f t="shared" si="24"/>
        <v>0</v>
      </c>
      <c r="R764" s="31">
        <f t="shared" si="25"/>
        <v>0</v>
      </c>
    </row>
    <row r="765" spans="2:18" ht="30.75" customHeight="1" x14ac:dyDescent="0.3">
      <c r="B765" s="32"/>
      <c r="P765" s="31">
        <f t="shared" si="24"/>
        <v>0</v>
      </c>
      <c r="R765" s="31">
        <f t="shared" si="25"/>
        <v>0</v>
      </c>
    </row>
    <row r="766" spans="2:18" ht="30.75" customHeight="1" x14ac:dyDescent="0.3">
      <c r="B766" s="32"/>
      <c r="P766" s="31">
        <f t="shared" si="24"/>
        <v>0</v>
      </c>
      <c r="R766" s="31">
        <f t="shared" si="25"/>
        <v>0</v>
      </c>
    </row>
    <row r="767" spans="2:18" ht="30.75" customHeight="1" x14ac:dyDescent="0.3">
      <c r="B767" s="32"/>
      <c r="P767" s="31">
        <f t="shared" si="24"/>
        <v>0</v>
      </c>
      <c r="R767" s="31">
        <f t="shared" si="25"/>
        <v>0</v>
      </c>
    </row>
    <row r="768" spans="2:18" ht="30.75" customHeight="1" x14ac:dyDescent="0.3">
      <c r="B768" s="32"/>
      <c r="P768" s="31">
        <f t="shared" si="24"/>
        <v>0</v>
      </c>
      <c r="R768" s="31">
        <f t="shared" si="25"/>
        <v>0</v>
      </c>
    </row>
    <row r="769" spans="2:18" ht="30.75" customHeight="1" x14ac:dyDescent="0.3">
      <c r="B769" s="32"/>
      <c r="P769" s="31">
        <f t="shared" si="24"/>
        <v>0</v>
      </c>
      <c r="R769" s="31">
        <f t="shared" si="25"/>
        <v>0</v>
      </c>
    </row>
    <row r="770" spans="2:18" ht="30.75" customHeight="1" x14ac:dyDescent="0.3">
      <c r="B770" s="32"/>
      <c r="P770" s="31">
        <f t="shared" si="24"/>
        <v>0</v>
      </c>
      <c r="R770" s="31">
        <f t="shared" si="25"/>
        <v>0</v>
      </c>
    </row>
    <row r="771" spans="2:18" ht="30.75" customHeight="1" x14ac:dyDescent="0.3">
      <c r="B771" s="32"/>
      <c r="P771" s="31">
        <f t="shared" si="24"/>
        <v>0</v>
      </c>
      <c r="R771" s="31">
        <f t="shared" si="25"/>
        <v>0</v>
      </c>
    </row>
    <row r="772" spans="2:18" ht="30.75" customHeight="1" x14ac:dyDescent="0.3">
      <c r="B772" s="32"/>
      <c r="P772" s="31">
        <f t="shared" si="24"/>
        <v>0</v>
      </c>
      <c r="R772" s="31">
        <f t="shared" si="25"/>
        <v>0</v>
      </c>
    </row>
    <row r="773" spans="2:18" ht="30.75" customHeight="1" x14ac:dyDescent="0.3">
      <c r="B773" s="32"/>
      <c r="P773" s="31">
        <f t="shared" si="24"/>
        <v>0</v>
      </c>
      <c r="R773" s="31">
        <f t="shared" si="25"/>
        <v>0</v>
      </c>
    </row>
    <row r="774" spans="2:18" ht="30.75" customHeight="1" x14ac:dyDescent="0.3">
      <c r="B774" s="32"/>
      <c r="P774" s="31">
        <f t="shared" si="24"/>
        <v>0</v>
      </c>
      <c r="R774" s="31">
        <f t="shared" si="25"/>
        <v>0</v>
      </c>
    </row>
    <row r="775" spans="2:18" ht="30.75" customHeight="1" x14ac:dyDescent="0.3">
      <c r="B775" s="32"/>
      <c r="P775" s="31">
        <f t="shared" si="24"/>
        <v>0</v>
      </c>
      <c r="R775" s="31">
        <f t="shared" si="25"/>
        <v>0</v>
      </c>
    </row>
    <row r="776" spans="2:18" ht="30.75" customHeight="1" x14ac:dyDescent="0.3">
      <c r="B776" s="32"/>
      <c r="P776" s="31">
        <f t="shared" si="24"/>
        <v>0</v>
      </c>
      <c r="R776" s="31">
        <f t="shared" si="25"/>
        <v>0</v>
      </c>
    </row>
    <row r="777" spans="2:18" ht="30.75" customHeight="1" x14ac:dyDescent="0.3">
      <c r="B777" s="32"/>
      <c r="P777" s="31">
        <f t="shared" si="24"/>
        <v>0</v>
      </c>
      <c r="R777" s="31">
        <f t="shared" si="25"/>
        <v>0</v>
      </c>
    </row>
    <row r="778" spans="2:18" ht="30.75" customHeight="1" x14ac:dyDescent="0.3">
      <c r="B778" s="32"/>
      <c r="P778" s="31">
        <f t="shared" ref="P778:P841" si="26">K778-L778-M778-N778+O778</f>
        <v>0</v>
      </c>
      <c r="R778" s="31">
        <f t="shared" ref="R778:R841" si="27">R777+K778-L778-M778-N778+O778-Q778</f>
        <v>0</v>
      </c>
    </row>
    <row r="779" spans="2:18" ht="30.75" customHeight="1" x14ac:dyDescent="0.3">
      <c r="B779" s="32"/>
      <c r="P779" s="31">
        <f t="shared" si="26"/>
        <v>0</v>
      </c>
      <c r="R779" s="31">
        <f t="shared" si="27"/>
        <v>0</v>
      </c>
    </row>
    <row r="780" spans="2:18" ht="30.75" customHeight="1" x14ac:dyDescent="0.3">
      <c r="B780" s="32"/>
      <c r="P780" s="31">
        <f t="shared" si="26"/>
        <v>0</v>
      </c>
      <c r="R780" s="31">
        <f t="shared" si="27"/>
        <v>0</v>
      </c>
    </row>
    <row r="781" spans="2:18" ht="30.75" customHeight="1" x14ac:dyDescent="0.3">
      <c r="B781" s="32"/>
      <c r="P781" s="31">
        <f t="shared" si="26"/>
        <v>0</v>
      </c>
      <c r="R781" s="31">
        <f t="shared" si="27"/>
        <v>0</v>
      </c>
    </row>
    <row r="782" spans="2:18" ht="30.75" customHeight="1" x14ac:dyDescent="0.3">
      <c r="B782" s="32"/>
      <c r="P782" s="31">
        <f t="shared" si="26"/>
        <v>0</v>
      </c>
      <c r="R782" s="31">
        <f t="shared" si="27"/>
        <v>0</v>
      </c>
    </row>
    <row r="783" spans="2:18" ht="30.75" customHeight="1" x14ac:dyDescent="0.3">
      <c r="B783" s="32"/>
      <c r="P783" s="31">
        <f t="shared" si="26"/>
        <v>0</v>
      </c>
      <c r="R783" s="31">
        <f t="shared" si="27"/>
        <v>0</v>
      </c>
    </row>
    <row r="784" spans="2:18" ht="30.75" customHeight="1" x14ac:dyDescent="0.3">
      <c r="B784" s="32"/>
      <c r="P784" s="31">
        <f t="shared" si="26"/>
        <v>0</v>
      </c>
      <c r="R784" s="31">
        <f t="shared" si="27"/>
        <v>0</v>
      </c>
    </row>
    <row r="785" spans="2:18" ht="30.75" customHeight="1" x14ac:dyDescent="0.3">
      <c r="B785" s="32"/>
      <c r="P785" s="31">
        <f t="shared" si="26"/>
        <v>0</v>
      </c>
      <c r="R785" s="31">
        <f t="shared" si="27"/>
        <v>0</v>
      </c>
    </row>
    <row r="786" spans="2:18" ht="30.75" customHeight="1" x14ac:dyDescent="0.3">
      <c r="B786" s="32"/>
      <c r="P786" s="31">
        <f t="shared" si="26"/>
        <v>0</v>
      </c>
      <c r="R786" s="31">
        <f t="shared" si="27"/>
        <v>0</v>
      </c>
    </row>
    <row r="787" spans="2:18" ht="30.75" customHeight="1" x14ac:dyDescent="0.3">
      <c r="B787" s="32"/>
      <c r="P787" s="31">
        <f t="shared" si="26"/>
        <v>0</v>
      </c>
      <c r="R787" s="31">
        <f t="shared" si="27"/>
        <v>0</v>
      </c>
    </row>
    <row r="788" spans="2:18" ht="30.75" customHeight="1" x14ac:dyDescent="0.3">
      <c r="B788" s="32"/>
      <c r="P788" s="31">
        <f t="shared" si="26"/>
        <v>0</v>
      </c>
      <c r="R788" s="31">
        <f t="shared" si="27"/>
        <v>0</v>
      </c>
    </row>
    <row r="789" spans="2:18" ht="30.75" customHeight="1" x14ac:dyDescent="0.3">
      <c r="B789" s="32"/>
      <c r="P789" s="31">
        <f t="shared" si="26"/>
        <v>0</v>
      </c>
      <c r="R789" s="31">
        <f t="shared" si="27"/>
        <v>0</v>
      </c>
    </row>
    <row r="790" spans="2:18" ht="30.75" customHeight="1" x14ac:dyDescent="0.3">
      <c r="B790" s="32"/>
      <c r="P790" s="31">
        <f t="shared" si="26"/>
        <v>0</v>
      </c>
      <c r="R790" s="31">
        <f t="shared" si="27"/>
        <v>0</v>
      </c>
    </row>
    <row r="791" spans="2:18" ht="30.75" customHeight="1" x14ac:dyDescent="0.3">
      <c r="B791" s="32"/>
      <c r="P791" s="31">
        <f t="shared" si="26"/>
        <v>0</v>
      </c>
      <c r="R791" s="31">
        <f t="shared" si="27"/>
        <v>0</v>
      </c>
    </row>
    <row r="792" spans="2:18" ht="30.75" customHeight="1" x14ac:dyDescent="0.3">
      <c r="B792" s="32"/>
      <c r="P792" s="31">
        <f t="shared" si="26"/>
        <v>0</v>
      </c>
      <c r="R792" s="31">
        <f t="shared" si="27"/>
        <v>0</v>
      </c>
    </row>
    <row r="793" spans="2:18" ht="30.75" customHeight="1" x14ac:dyDescent="0.3">
      <c r="B793" s="32"/>
      <c r="P793" s="31">
        <f t="shared" si="26"/>
        <v>0</v>
      </c>
      <c r="R793" s="31">
        <f t="shared" si="27"/>
        <v>0</v>
      </c>
    </row>
    <row r="794" spans="2:18" ht="30.75" customHeight="1" x14ac:dyDescent="0.3">
      <c r="B794" s="32"/>
      <c r="P794" s="31">
        <f t="shared" si="26"/>
        <v>0</v>
      </c>
      <c r="R794" s="31">
        <f t="shared" si="27"/>
        <v>0</v>
      </c>
    </row>
    <row r="795" spans="2:18" ht="30.75" customHeight="1" x14ac:dyDescent="0.3">
      <c r="B795" s="32"/>
      <c r="P795" s="31">
        <f t="shared" si="26"/>
        <v>0</v>
      </c>
      <c r="R795" s="31">
        <f t="shared" si="27"/>
        <v>0</v>
      </c>
    </row>
    <row r="796" spans="2:18" ht="30.75" customHeight="1" x14ac:dyDescent="0.3">
      <c r="B796" s="32"/>
      <c r="P796" s="31">
        <f t="shared" si="26"/>
        <v>0</v>
      </c>
      <c r="R796" s="31">
        <f t="shared" si="27"/>
        <v>0</v>
      </c>
    </row>
    <row r="797" spans="2:18" ht="30.75" customHeight="1" x14ac:dyDescent="0.3">
      <c r="B797" s="32"/>
      <c r="P797" s="31">
        <f t="shared" si="26"/>
        <v>0</v>
      </c>
      <c r="R797" s="31">
        <f t="shared" si="27"/>
        <v>0</v>
      </c>
    </row>
    <row r="798" spans="2:18" ht="30.75" customHeight="1" x14ac:dyDescent="0.3">
      <c r="B798" s="32"/>
      <c r="P798" s="31">
        <f t="shared" si="26"/>
        <v>0</v>
      </c>
      <c r="R798" s="31">
        <f t="shared" si="27"/>
        <v>0</v>
      </c>
    </row>
    <row r="799" spans="2:18" ht="30.75" customHeight="1" x14ac:dyDescent="0.3">
      <c r="B799" s="32"/>
      <c r="P799" s="31">
        <f t="shared" si="26"/>
        <v>0</v>
      </c>
      <c r="R799" s="31">
        <f t="shared" si="27"/>
        <v>0</v>
      </c>
    </row>
    <row r="800" spans="2:18" ht="30.75" customHeight="1" x14ac:dyDescent="0.3">
      <c r="B800" s="32"/>
      <c r="P800" s="31">
        <f t="shared" si="26"/>
        <v>0</v>
      </c>
      <c r="R800" s="31">
        <f t="shared" si="27"/>
        <v>0</v>
      </c>
    </row>
    <row r="801" spans="2:18" ht="30.75" customHeight="1" x14ac:dyDescent="0.3">
      <c r="B801" s="32"/>
      <c r="P801" s="31">
        <f t="shared" si="26"/>
        <v>0</v>
      </c>
      <c r="R801" s="31">
        <f t="shared" si="27"/>
        <v>0</v>
      </c>
    </row>
    <row r="802" spans="2:18" ht="30.75" customHeight="1" x14ac:dyDescent="0.3">
      <c r="B802" s="32"/>
      <c r="P802" s="31">
        <f t="shared" si="26"/>
        <v>0</v>
      </c>
      <c r="R802" s="31">
        <f t="shared" si="27"/>
        <v>0</v>
      </c>
    </row>
    <row r="803" spans="2:18" ht="30.75" customHeight="1" x14ac:dyDescent="0.3">
      <c r="B803" s="32"/>
      <c r="P803" s="31">
        <f t="shared" si="26"/>
        <v>0</v>
      </c>
      <c r="R803" s="31">
        <f t="shared" si="27"/>
        <v>0</v>
      </c>
    </row>
    <row r="804" spans="2:18" ht="30.75" customHeight="1" x14ac:dyDescent="0.3">
      <c r="B804" s="32"/>
      <c r="P804" s="31">
        <f t="shared" si="26"/>
        <v>0</v>
      </c>
      <c r="R804" s="31">
        <f t="shared" si="27"/>
        <v>0</v>
      </c>
    </row>
    <row r="805" spans="2:18" ht="30.75" customHeight="1" x14ac:dyDescent="0.3">
      <c r="B805" s="32"/>
      <c r="P805" s="31">
        <f t="shared" si="26"/>
        <v>0</v>
      </c>
      <c r="R805" s="31">
        <f t="shared" si="27"/>
        <v>0</v>
      </c>
    </row>
    <row r="806" spans="2:18" ht="30.75" customHeight="1" x14ac:dyDescent="0.3">
      <c r="B806" s="32"/>
      <c r="P806" s="31">
        <f t="shared" si="26"/>
        <v>0</v>
      </c>
      <c r="R806" s="31">
        <f t="shared" si="27"/>
        <v>0</v>
      </c>
    </row>
    <row r="807" spans="2:18" ht="30.75" customHeight="1" x14ac:dyDescent="0.3">
      <c r="B807" s="32"/>
      <c r="P807" s="31">
        <f t="shared" si="26"/>
        <v>0</v>
      </c>
      <c r="R807" s="31">
        <f t="shared" si="27"/>
        <v>0</v>
      </c>
    </row>
    <row r="808" spans="2:18" ht="30.75" customHeight="1" x14ac:dyDescent="0.3">
      <c r="B808" s="32"/>
      <c r="P808" s="31">
        <f t="shared" si="26"/>
        <v>0</v>
      </c>
      <c r="R808" s="31">
        <f t="shared" si="27"/>
        <v>0</v>
      </c>
    </row>
    <row r="809" spans="2:18" ht="30.75" customHeight="1" x14ac:dyDescent="0.3">
      <c r="B809" s="32"/>
      <c r="P809" s="31">
        <f t="shared" si="26"/>
        <v>0</v>
      </c>
      <c r="R809" s="31">
        <f t="shared" si="27"/>
        <v>0</v>
      </c>
    </row>
    <row r="810" spans="2:18" ht="30.75" customHeight="1" x14ac:dyDescent="0.3">
      <c r="B810" s="32"/>
      <c r="P810" s="31">
        <f t="shared" si="26"/>
        <v>0</v>
      </c>
      <c r="R810" s="31">
        <f t="shared" si="27"/>
        <v>0</v>
      </c>
    </row>
    <row r="811" spans="2:18" ht="30.75" customHeight="1" x14ac:dyDescent="0.3">
      <c r="B811" s="32"/>
      <c r="P811" s="31">
        <f t="shared" si="26"/>
        <v>0</v>
      </c>
      <c r="R811" s="31">
        <f t="shared" si="27"/>
        <v>0</v>
      </c>
    </row>
    <row r="812" spans="2:18" ht="30.75" customHeight="1" x14ac:dyDescent="0.3">
      <c r="B812" s="32"/>
      <c r="P812" s="31">
        <f t="shared" si="26"/>
        <v>0</v>
      </c>
      <c r="R812" s="31">
        <f t="shared" si="27"/>
        <v>0</v>
      </c>
    </row>
    <row r="813" spans="2:18" ht="30.75" customHeight="1" x14ac:dyDescent="0.3">
      <c r="B813" s="32"/>
      <c r="P813" s="31">
        <f t="shared" si="26"/>
        <v>0</v>
      </c>
      <c r="R813" s="31">
        <f t="shared" si="27"/>
        <v>0</v>
      </c>
    </row>
    <row r="814" spans="2:18" ht="30.75" customHeight="1" x14ac:dyDescent="0.3">
      <c r="B814" s="32"/>
      <c r="P814" s="31">
        <f t="shared" si="26"/>
        <v>0</v>
      </c>
      <c r="R814" s="31">
        <f t="shared" si="27"/>
        <v>0</v>
      </c>
    </row>
    <row r="815" spans="2:18" ht="30.75" customHeight="1" x14ac:dyDescent="0.3">
      <c r="B815" s="32"/>
      <c r="P815" s="31">
        <f t="shared" si="26"/>
        <v>0</v>
      </c>
      <c r="R815" s="31">
        <f t="shared" si="27"/>
        <v>0</v>
      </c>
    </row>
    <row r="816" spans="2:18" ht="30.75" customHeight="1" x14ac:dyDescent="0.3">
      <c r="B816" s="32"/>
      <c r="P816" s="31">
        <f t="shared" si="26"/>
        <v>0</v>
      </c>
      <c r="R816" s="31">
        <f t="shared" si="27"/>
        <v>0</v>
      </c>
    </row>
    <row r="817" spans="2:18" ht="30.75" customHeight="1" x14ac:dyDescent="0.3">
      <c r="B817" s="32"/>
      <c r="P817" s="31">
        <f t="shared" si="26"/>
        <v>0</v>
      </c>
      <c r="R817" s="31">
        <f t="shared" si="27"/>
        <v>0</v>
      </c>
    </row>
    <row r="818" spans="2:18" ht="30.75" customHeight="1" x14ac:dyDescent="0.3">
      <c r="B818" s="32"/>
      <c r="P818" s="31">
        <f t="shared" si="26"/>
        <v>0</v>
      </c>
      <c r="R818" s="31">
        <f t="shared" si="27"/>
        <v>0</v>
      </c>
    </row>
    <row r="819" spans="2:18" ht="30.75" customHeight="1" x14ac:dyDescent="0.3">
      <c r="B819" s="32"/>
      <c r="P819" s="31">
        <f t="shared" si="26"/>
        <v>0</v>
      </c>
      <c r="R819" s="31">
        <f t="shared" si="27"/>
        <v>0</v>
      </c>
    </row>
    <row r="820" spans="2:18" ht="30.75" customHeight="1" x14ac:dyDescent="0.3">
      <c r="B820" s="32"/>
      <c r="P820" s="31">
        <f t="shared" si="26"/>
        <v>0</v>
      </c>
      <c r="R820" s="31">
        <f t="shared" si="27"/>
        <v>0</v>
      </c>
    </row>
    <row r="821" spans="2:18" ht="30.75" customHeight="1" x14ac:dyDescent="0.3">
      <c r="B821" s="32"/>
      <c r="P821" s="31">
        <f t="shared" si="26"/>
        <v>0</v>
      </c>
      <c r="R821" s="31">
        <f t="shared" si="27"/>
        <v>0</v>
      </c>
    </row>
    <row r="822" spans="2:18" ht="30.75" customHeight="1" x14ac:dyDescent="0.3">
      <c r="B822" s="32"/>
      <c r="P822" s="31">
        <f t="shared" si="26"/>
        <v>0</v>
      </c>
      <c r="R822" s="31">
        <f t="shared" si="27"/>
        <v>0</v>
      </c>
    </row>
    <row r="823" spans="2:18" ht="30.75" customHeight="1" x14ac:dyDescent="0.3">
      <c r="B823" s="32"/>
      <c r="P823" s="31">
        <f t="shared" si="26"/>
        <v>0</v>
      </c>
      <c r="R823" s="31">
        <f t="shared" si="27"/>
        <v>0</v>
      </c>
    </row>
    <row r="824" spans="2:18" ht="30.75" customHeight="1" x14ac:dyDescent="0.3">
      <c r="B824" s="32"/>
      <c r="P824" s="31">
        <f t="shared" si="26"/>
        <v>0</v>
      </c>
      <c r="R824" s="31">
        <f t="shared" si="27"/>
        <v>0</v>
      </c>
    </row>
    <row r="825" spans="2:18" ht="30.75" customHeight="1" x14ac:dyDescent="0.3">
      <c r="B825" s="32"/>
      <c r="P825" s="31">
        <f t="shared" si="26"/>
        <v>0</v>
      </c>
      <c r="R825" s="31">
        <f t="shared" si="27"/>
        <v>0</v>
      </c>
    </row>
    <row r="826" spans="2:18" ht="30.75" customHeight="1" x14ac:dyDescent="0.3">
      <c r="B826" s="32"/>
      <c r="P826" s="31">
        <f t="shared" si="26"/>
        <v>0</v>
      </c>
      <c r="R826" s="31">
        <f t="shared" si="27"/>
        <v>0</v>
      </c>
    </row>
    <row r="827" spans="2:18" ht="30.75" customHeight="1" x14ac:dyDescent="0.3">
      <c r="B827" s="32"/>
      <c r="P827" s="31">
        <f t="shared" si="26"/>
        <v>0</v>
      </c>
      <c r="R827" s="31">
        <f t="shared" si="27"/>
        <v>0</v>
      </c>
    </row>
    <row r="828" spans="2:18" ht="30.75" customHeight="1" x14ac:dyDescent="0.3">
      <c r="B828" s="32"/>
      <c r="P828" s="31">
        <f t="shared" si="26"/>
        <v>0</v>
      </c>
      <c r="R828" s="31">
        <f t="shared" si="27"/>
        <v>0</v>
      </c>
    </row>
    <row r="829" spans="2:18" ht="30.75" customHeight="1" x14ac:dyDescent="0.3">
      <c r="B829" s="32"/>
      <c r="P829" s="31">
        <f t="shared" si="26"/>
        <v>0</v>
      </c>
      <c r="R829" s="31">
        <f t="shared" si="27"/>
        <v>0</v>
      </c>
    </row>
    <row r="830" spans="2:18" ht="30.75" customHeight="1" x14ac:dyDescent="0.3">
      <c r="B830" s="32"/>
      <c r="P830" s="31">
        <f t="shared" si="26"/>
        <v>0</v>
      </c>
      <c r="R830" s="31">
        <f t="shared" si="27"/>
        <v>0</v>
      </c>
    </row>
    <row r="831" spans="2:18" ht="30.75" customHeight="1" x14ac:dyDescent="0.3">
      <c r="B831" s="32"/>
      <c r="P831" s="31">
        <f t="shared" si="26"/>
        <v>0</v>
      </c>
      <c r="R831" s="31">
        <f t="shared" si="27"/>
        <v>0</v>
      </c>
    </row>
    <row r="832" spans="2:18" ht="30.75" customHeight="1" x14ac:dyDescent="0.3">
      <c r="B832" s="32"/>
      <c r="P832" s="31">
        <f t="shared" si="26"/>
        <v>0</v>
      </c>
      <c r="R832" s="31">
        <f t="shared" si="27"/>
        <v>0</v>
      </c>
    </row>
    <row r="833" spans="2:18" ht="30.75" customHeight="1" x14ac:dyDescent="0.3">
      <c r="B833" s="32"/>
      <c r="P833" s="31">
        <f t="shared" si="26"/>
        <v>0</v>
      </c>
      <c r="R833" s="31">
        <f t="shared" si="27"/>
        <v>0</v>
      </c>
    </row>
    <row r="834" spans="2:18" ht="30.75" customHeight="1" x14ac:dyDescent="0.3">
      <c r="B834" s="32"/>
      <c r="P834" s="31">
        <f t="shared" si="26"/>
        <v>0</v>
      </c>
      <c r="R834" s="31">
        <f t="shared" si="27"/>
        <v>0</v>
      </c>
    </row>
    <row r="835" spans="2:18" ht="30.75" customHeight="1" x14ac:dyDescent="0.3">
      <c r="B835" s="32"/>
      <c r="P835" s="31">
        <f t="shared" si="26"/>
        <v>0</v>
      </c>
      <c r="R835" s="31">
        <f t="shared" si="27"/>
        <v>0</v>
      </c>
    </row>
    <row r="836" spans="2:18" ht="30.75" customHeight="1" x14ac:dyDescent="0.3">
      <c r="B836" s="32"/>
      <c r="P836" s="31">
        <f t="shared" si="26"/>
        <v>0</v>
      </c>
      <c r="R836" s="31">
        <f t="shared" si="27"/>
        <v>0</v>
      </c>
    </row>
    <row r="837" spans="2:18" ht="30.75" customHeight="1" x14ac:dyDescent="0.3">
      <c r="B837" s="32"/>
      <c r="P837" s="31">
        <f t="shared" si="26"/>
        <v>0</v>
      </c>
      <c r="R837" s="31">
        <f t="shared" si="27"/>
        <v>0</v>
      </c>
    </row>
    <row r="838" spans="2:18" ht="30.75" customHeight="1" x14ac:dyDescent="0.3">
      <c r="B838" s="32"/>
      <c r="P838" s="31">
        <f t="shared" si="26"/>
        <v>0</v>
      </c>
      <c r="R838" s="31">
        <f t="shared" si="27"/>
        <v>0</v>
      </c>
    </row>
    <row r="839" spans="2:18" ht="30.75" customHeight="1" x14ac:dyDescent="0.3">
      <c r="B839" s="32"/>
      <c r="P839" s="31">
        <f t="shared" si="26"/>
        <v>0</v>
      </c>
      <c r="R839" s="31">
        <f t="shared" si="27"/>
        <v>0</v>
      </c>
    </row>
    <row r="840" spans="2:18" ht="30.75" customHeight="1" x14ac:dyDescent="0.3">
      <c r="B840" s="32"/>
      <c r="P840" s="31">
        <f t="shared" si="26"/>
        <v>0</v>
      </c>
      <c r="R840" s="31">
        <f t="shared" si="27"/>
        <v>0</v>
      </c>
    </row>
    <row r="841" spans="2:18" ht="30.75" customHeight="1" x14ac:dyDescent="0.3">
      <c r="B841" s="32"/>
      <c r="P841" s="31">
        <f t="shared" si="26"/>
        <v>0</v>
      </c>
      <c r="R841" s="31">
        <f t="shared" si="27"/>
        <v>0</v>
      </c>
    </row>
    <row r="842" spans="2:18" ht="30.75" customHeight="1" x14ac:dyDescent="0.3">
      <c r="B842" s="32"/>
      <c r="P842" s="31">
        <f t="shared" ref="P842:P905" si="28">K842-L842-M842-N842+O842</f>
        <v>0</v>
      </c>
      <c r="R842" s="31">
        <f t="shared" ref="R842:R905" si="29">R841+K842-L842-M842-N842+O842-Q842</f>
        <v>0</v>
      </c>
    </row>
    <row r="843" spans="2:18" ht="30.75" customHeight="1" x14ac:dyDescent="0.3">
      <c r="B843" s="32"/>
      <c r="P843" s="31">
        <f t="shared" si="28"/>
        <v>0</v>
      </c>
      <c r="R843" s="31">
        <f t="shared" si="29"/>
        <v>0</v>
      </c>
    </row>
    <row r="844" spans="2:18" ht="30.75" customHeight="1" x14ac:dyDescent="0.3">
      <c r="B844" s="32"/>
      <c r="P844" s="31">
        <f t="shared" si="28"/>
        <v>0</v>
      </c>
      <c r="R844" s="31">
        <f t="shared" si="29"/>
        <v>0</v>
      </c>
    </row>
    <row r="845" spans="2:18" ht="30.75" customHeight="1" x14ac:dyDescent="0.3">
      <c r="B845" s="32"/>
      <c r="P845" s="31">
        <f t="shared" si="28"/>
        <v>0</v>
      </c>
      <c r="R845" s="31">
        <f t="shared" si="29"/>
        <v>0</v>
      </c>
    </row>
    <row r="846" spans="2:18" ht="30.75" customHeight="1" x14ac:dyDescent="0.3">
      <c r="B846" s="32"/>
      <c r="P846" s="31">
        <f t="shared" si="28"/>
        <v>0</v>
      </c>
      <c r="R846" s="31">
        <f t="shared" si="29"/>
        <v>0</v>
      </c>
    </row>
    <row r="847" spans="2:18" ht="30.75" customHeight="1" x14ac:dyDescent="0.3">
      <c r="B847" s="32"/>
      <c r="P847" s="31">
        <f t="shared" si="28"/>
        <v>0</v>
      </c>
      <c r="R847" s="31">
        <f t="shared" si="29"/>
        <v>0</v>
      </c>
    </row>
    <row r="848" spans="2:18" ht="30.75" customHeight="1" x14ac:dyDescent="0.3">
      <c r="B848" s="32"/>
      <c r="P848" s="31">
        <f t="shared" si="28"/>
        <v>0</v>
      </c>
      <c r="R848" s="31">
        <f t="shared" si="29"/>
        <v>0</v>
      </c>
    </row>
    <row r="849" spans="2:18" ht="30.75" customHeight="1" x14ac:dyDescent="0.3">
      <c r="B849" s="32"/>
      <c r="P849" s="31">
        <f t="shared" si="28"/>
        <v>0</v>
      </c>
      <c r="R849" s="31">
        <f t="shared" si="29"/>
        <v>0</v>
      </c>
    </row>
    <row r="850" spans="2:18" ht="30.75" customHeight="1" x14ac:dyDescent="0.3">
      <c r="B850" s="32"/>
      <c r="P850" s="31">
        <f t="shared" si="28"/>
        <v>0</v>
      </c>
      <c r="R850" s="31">
        <f t="shared" si="29"/>
        <v>0</v>
      </c>
    </row>
    <row r="851" spans="2:18" ht="30.75" customHeight="1" x14ac:dyDescent="0.3">
      <c r="B851" s="32"/>
      <c r="P851" s="31">
        <f t="shared" si="28"/>
        <v>0</v>
      </c>
      <c r="R851" s="31">
        <f t="shared" si="29"/>
        <v>0</v>
      </c>
    </row>
    <row r="852" spans="2:18" ht="30.75" customHeight="1" x14ac:dyDescent="0.3">
      <c r="B852" s="32"/>
      <c r="P852" s="31">
        <f t="shared" si="28"/>
        <v>0</v>
      </c>
      <c r="R852" s="31">
        <f t="shared" si="29"/>
        <v>0</v>
      </c>
    </row>
    <row r="853" spans="2:18" ht="30.75" customHeight="1" x14ac:dyDescent="0.3">
      <c r="B853" s="32"/>
      <c r="P853" s="31">
        <f t="shared" si="28"/>
        <v>0</v>
      </c>
      <c r="R853" s="31">
        <f t="shared" si="29"/>
        <v>0</v>
      </c>
    </row>
    <row r="854" spans="2:18" ht="30.75" customHeight="1" x14ac:dyDescent="0.3">
      <c r="B854" s="32"/>
      <c r="P854" s="31">
        <f t="shared" si="28"/>
        <v>0</v>
      </c>
      <c r="R854" s="31">
        <f t="shared" si="29"/>
        <v>0</v>
      </c>
    </row>
    <row r="855" spans="2:18" ht="30.75" customHeight="1" x14ac:dyDescent="0.3">
      <c r="B855" s="32"/>
      <c r="P855" s="31">
        <f t="shared" si="28"/>
        <v>0</v>
      </c>
      <c r="R855" s="31">
        <f t="shared" si="29"/>
        <v>0</v>
      </c>
    </row>
    <row r="856" spans="2:18" ht="30.75" customHeight="1" x14ac:dyDescent="0.3">
      <c r="B856" s="32"/>
      <c r="P856" s="31">
        <f t="shared" si="28"/>
        <v>0</v>
      </c>
      <c r="R856" s="31">
        <f t="shared" si="29"/>
        <v>0</v>
      </c>
    </row>
    <row r="857" spans="2:18" ht="30.75" customHeight="1" x14ac:dyDescent="0.3">
      <c r="B857" s="32"/>
      <c r="P857" s="31">
        <f t="shared" si="28"/>
        <v>0</v>
      </c>
      <c r="R857" s="31">
        <f t="shared" si="29"/>
        <v>0</v>
      </c>
    </row>
    <row r="858" spans="2:18" ht="30.75" customHeight="1" x14ac:dyDescent="0.3">
      <c r="B858" s="32"/>
      <c r="P858" s="31">
        <f t="shared" si="28"/>
        <v>0</v>
      </c>
      <c r="R858" s="31">
        <f t="shared" si="29"/>
        <v>0</v>
      </c>
    </row>
    <row r="859" spans="2:18" ht="30.75" customHeight="1" x14ac:dyDescent="0.3">
      <c r="B859" s="32"/>
      <c r="P859" s="31">
        <f t="shared" si="28"/>
        <v>0</v>
      </c>
      <c r="R859" s="31">
        <f t="shared" si="29"/>
        <v>0</v>
      </c>
    </row>
    <row r="860" spans="2:18" ht="30.75" customHeight="1" x14ac:dyDescent="0.3">
      <c r="B860" s="32"/>
      <c r="P860" s="31">
        <f t="shared" si="28"/>
        <v>0</v>
      </c>
      <c r="R860" s="31">
        <f t="shared" si="29"/>
        <v>0</v>
      </c>
    </row>
    <row r="861" spans="2:18" ht="30.75" customHeight="1" x14ac:dyDescent="0.3">
      <c r="B861" s="32"/>
      <c r="P861" s="31">
        <f t="shared" si="28"/>
        <v>0</v>
      </c>
      <c r="R861" s="31">
        <f t="shared" si="29"/>
        <v>0</v>
      </c>
    </row>
    <row r="862" spans="2:18" ht="30.75" customHeight="1" x14ac:dyDescent="0.3">
      <c r="B862" s="32"/>
      <c r="P862" s="31">
        <f t="shared" si="28"/>
        <v>0</v>
      </c>
      <c r="R862" s="31">
        <f t="shared" si="29"/>
        <v>0</v>
      </c>
    </row>
    <row r="863" spans="2:18" ht="30.75" customHeight="1" x14ac:dyDescent="0.3">
      <c r="B863" s="32"/>
      <c r="P863" s="31">
        <f t="shared" si="28"/>
        <v>0</v>
      </c>
      <c r="R863" s="31">
        <f t="shared" si="29"/>
        <v>0</v>
      </c>
    </row>
    <row r="864" spans="2:18" ht="30.75" customHeight="1" x14ac:dyDescent="0.3">
      <c r="B864" s="32"/>
      <c r="P864" s="31">
        <f t="shared" si="28"/>
        <v>0</v>
      </c>
      <c r="R864" s="31">
        <f t="shared" si="29"/>
        <v>0</v>
      </c>
    </row>
    <row r="865" spans="2:18" ht="30.75" customHeight="1" x14ac:dyDescent="0.3">
      <c r="B865" s="32"/>
      <c r="P865" s="31">
        <f t="shared" si="28"/>
        <v>0</v>
      </c>
      <c r="R865" s="31">
        <f t="shared" si="29"/>
        <v>0</v>
      </c>
    </row>
    <row r="866" spans="2:18" ht="30.75" customHeight="1" x14ac:dyDescent="0.3">
      <c r="B866" s="32"/>
      <c r="P866" s="31">
        <f t="shared" si="28"/>
        <v>0</v>
      </c>
      <c r="R866" s="31">
        <f t="shared" si="29"/>
        <v>0</v>
      </c>
    </row>
    <row r="867" spans="2:18" ht="30.75" customHeight="1" x14ac:dyDescent="0.3">
      <c r="B867" s="32"/>
      <c r="P867" s="31">
        <f t="shared" si="28"/>
        <v>0</v>
      </c>
      <c r="R867" s="31">
        <f t="shared" si="29"/>
        <v>0</v>
      </c>
    </row>
    <row r="868" spans="2:18" ht="30.75" customHeight="1" x14ac:dyDescent="0.3">
      <c r="B868" s="32"/>
      <c r="P868" s="31">
        <f t="shared" si="28"/>
        <v>0</v>
      </c>
      <c r="R868" s="31">
        <f t="shared" si="29"/>
        <v>0</v>
      </c>
    </row>
    <row r="869" spans="2:18" ht="30.75" customHeight="1" x14ac:dyDescent="0.3">
      <c r="B869" s="32"/>
      <c r="P869" s="31">
        <f t="shared" si="28"/>
        <v>0</v>
      </c>
      <c r="R869" s="31">
        <f t="shared" si="29"/>
        <v>0</v>
      </c>
    </row>
    <row r="870" spans="2:18" ht="30.75" customHeight="1" x14ac:dyDescent="0.3">
      <c r="B870" s="32"/>
      <c r="P870" s="31">
        <f t="shared" si="28"/>
        <v>0</v>
      </c>
      <c r="R870" s="31">
        <f t="shared" si="29"/>
        <v>0</v>
      </c>
    </row>
    <row r="871" spans="2:18" ht="30.75" customHeight="1" x14ac:dyDescent="0.3">
      <c r="B871" s="32"/>
      <c r="P871" s="31">
        <f t="shared" si="28"/>
        <v>0</v>
      </c>
      <c r="R871" s="31">
        <f t="shared" si="29"/>
        <v>0</v>
      </c>
    </row>
    <row r="872" spans="2:18" ht="30.75" customHeight="1" x14ac:dyDescent="0.3">
      <c r="B872" s="32"/>
      <c r="P872" s="31">
        <f t="shared" si="28"/>
        <v>0</v>
      </c>
      <c r="R872" s="31">
        <f t="shared" si="29"/>
        <v>0</v>
      </c>
    </row>
    <row r="873" spans="2:18" ht="30.75" customHeight="1" x14ac:dyDescent="0.3">
      <c r="B873" s="32"/>
      <c r="P873" s="31">
        <f t="shared" si="28"/>
        <v>0</v>
      </c>
      <c r="R873" s="31">
        <f t="shared" si="29"/>
        <v>0</v>
      </c>
    </row>
    <row r="874" spans="2:18" ht="30.75" customHeight="1" x14ac:dyDescent="0.3">
      <c r="B874" s="32"/>
      <c r="P874" s="31">
        <f t="shared" si="28"/>
        <v>0</v>
      </c>
      <c r="R874" s="31">
        <f t="shared" si="29"/>
        <v>0</v>
      </c>
    </row>
    <row r="875" spans="2:18" ht="30.75" customHeight="1" x14ac:dyDescent="0.3">
      <c r="B875" s="32"/>
      <c r="P875" s="31">
        <f t="shared" si="28"/>
        <v>0</v>
      </c>
      <c r="R875" s="31">
        <f t="shared" si="29"/>
        <v>0</v>
      </c>
    </row>
    <row r="876" spans="2:18" ht="30.75" customHeight="1" x14ac:dyDescent="0.3">
      <c r="B876" s="32"/>
      <c r="P876" s="31">
        <f t="shared" si="28"/>
        <v>0</v>
      </c>
      <c r="R876" s="31">
        <f t="shared" si="29"/>
        <v>0</v>
      </c>
    </row>
    <row r="877" spans="2:18" ht="30.75" customHeight="1" x14ac:dyDescent="0.3">
      <c r="B877" s="32"/>
      <c r="P877" s="31">
        <f t="shared" si="28"/>
        <v>0</v>
      </c>
      <c r="R877" s="31">
        <f t="shared" si="29"/>
        <v>0</v>
      </c>
    </row>
    <row r="878" spans="2:18" ht="30.75" customHeight="1" x14ac:dyDescent="0.3">
      <c r="B878" s="32"/>
      <c r="P878" s="31">
        <f t="shared" si="28"/>
        <v>0</v>
      </c>
      <c r="R878" s="31">
        <f t="shared" si="29"/>
        <v>0</v>
      </c>
    </row>
    <row r="879" spans="2:18" ht="30.75" customHeight="1" x14ac:dyDescent="0.3">
      <c r="B879" s="32"/>
      <c r="P879" s="31">
        <f t="shared" si="28"/>
        <v>0</v>
      </c>
      <c r="R879" s="31">
        <f t="shared" si="29"/>
        <v>0</v>
      </c>
    </row>
    <row r="880" spans="2:18" ht="30.75" customHeight="1" x14ac:dyDescent="0.3">
      <c r="B880" s="32"/>
      <c r="P880" s="31">
        <f t="shared" si="28"/>
        <v>0</v>
      </c>
      <c r="R880" s="31">
        <f t="shared" si="29"/>
        <v>0</v>
      </c>
    </row>
    <row r="881" spans="2:18" ht="30.75" customHeight="1" x14ac:dyDescent="0.3">
      <c r="B881" s="32"/>
      <c r="P881" s="31">
        <f t="shared" si="28"/>
        <v>0</v>
      </c>
      <c r="R881" s="31">
        <f t="shared" si="29"/>
        <v>0</v>
      </c>
    </row>
    <row r="882" spans="2:18" ht="30.75" customHeight="1" x14ac:dyDescent="0.3">
      <c r="B882" s="32"/>
      <c r="P882" s="31">
        <f t="shared" si="28"/>
        <v>0</v>
      </c>
      <c r="R882" s="31">
        <f t="shared" si="29"/>
        <v>0</v>
      </c>
    </row>
    <row r="883" spans="2:18" ht="30.75" customHeight="1" x14ac:dyDescent="0.3">
      <c r="B883" s="32"/>
      <c r="P883" s="31">
        <f t="shared" si="28"/>
        <v>0</v>
      </c>
      <c r="R883" s="31">
        <f t="shared" si="29"/>
        <v>0</v>
      </c>
    </row>
    <row r="884" spans="2:18" ht="30.75" customHeight="1" x14ac:dyDescent="0.3">
      <c r="B884" s="32"/>
      <c r="P884" s="31">
        <f t="shared" si="28"/>
        <v>0</v>
      </c>
      <c r="R884" s="31">
        <f t="shared" si="29"/>
        <v>0</v>
      </c>
    </row>
    <row r="885" spans="2:18" ht="30.75" customHeight="1" x14ac:dyDescent="0.3">
      <c r="B885" s="32"/>
      <c r="P885" s="31">
        <f t="shared" si="28"/>
        <v>0</v>
      </c>
      <c r="R885" s="31">
        <f t="shared" si="29"/>
        <v>0</v>
      </c>
    </row>
    <row r="886" spans="2:18" ht="30.75" customHeight="1" x14ac:dyDescent="0.3">
      <c r="B886" s="32"/>
      <c r="P886" s="31">
        <f t="shared" si="28"/>
        <v>0</v>
      </c>
      <c r="R886" s="31">
        <f t="shared" si="29"/>
        <v>0</v>
      </c>
    </row>
    <row r="887" spans="2:18" ht="30.75" customHeight="1" x14ac:dyDescent="0.3">
      <c r="B887" s="32"/>
      <c r="P887" s="31">
        <f t="shared" si="28"/>
        <v>0</v>
      </c>
      <c r="R887" s="31">
        <f t="shared" si="29"/>
        <v>0</v>
      </c>
    </row>
    <row r="888" spans="2:18" ht="30.75" customHeight="1" x14ac:dyDescent="0.3">
      <c r="B888" s="32"/>
      <c r="P888" s="31">
        <f t="shared" si="28"/>
        <v>0</v>
      </c>
      <c r="R888" s="31">
        <f t="shared" si="29"/>
        <v>0</v>
      </c>
    </row>
    <row r="889" spans="2:18" ht="30.75" customHeight="1" x14ac:dyDescent="0.3">
      <c r="B889" s="32"/>
      <c r="P889" s="31">
        <f t="shared" si="28"/>
        <v>0</v>
      </c>
      <c r="R889" s="31">
        <f t="shared" si="29"/>
        <v>0</v>
      </c>
    </row>
    <row r="890" spans="2:18" ht="30.75" customHeight="1" x14ac:dyDescent="0.3">
      <c r="B890" s="32"/>
      <c r="P890" s="31">
        <f t="shared" si="28"/>
        <v>0</v>
      </c>
      <c r="R890" s="31">
        <f t="shared" si="29"/>
        <v>0</v>
      </c>
    </row>
    <row r="891" spans="2:18" ht="30.75" customHeight="1" x14ac:dyDescent="0.3">
      <c r="B891" s="32"/>
      <c r="P891" s="31">
        <f t="shared" si="28"/>
        <v>0</v>
      </c>
      <c r="R891" s="31">
        <f t="shared" si="29"/>
        <v>0</v>
      </c>
    </row>
    <row r="892" spans="2:18" ht="30.75" customHeight="1" x14ac:dyDescent="0.3">
      <c r="B892" s="32"/>
      <c r="P892" s="31">
        <f t="shared" si="28"/>
        <v>0</v>
      </c>
      <c r="R892" s="31">
        <f t="shared" si="29"/>
        <v>0</v>
      </c>
    </row>
    <row r="893" spans="2:18" ht="30.75" customHeight="1" x14ac:dyDescent="0.3">
      <c r="B893" s="32"/>
      <c r="P893" s="31">
        <f t="shared" si="28"/>
        <v>0</v>
      </c>
      <c r="R893" s="31">
        <f t="shared" si="29"/>
        <v>0</v>
      </c>
    </row>
    <row r="894" spans="2:18" ht="30.75" customHeight="1" x14ac:dyDescent="0.3">
      <c r="B894" s="32"/>
      <c r="P894" s="31">
        <f t="shared" si="28"/>
        <v>0</v>
      </c>
      <c r="R894" s="31">
        <f t="shared" si="29"/>
        <v>0</v>
      </c>
    </row>
    <row r="895" spans="2:18" ht="30.75" customHeight="1" x14ac:dyDescent="0.3">
      <c r="B895" s="32"/>
      <c r="P895" s="31">
        <f t="shared" si="28"/>
        <v>0</v>
      </c>
      <c r="R895" s="31">
        <f t="shared" si="29"/>
        <v>0</v>
      </c>
    </row>
    <row r="896" spans="2:18" ht="30.75" customHeight="1" x14ac:dyDescent="0.3">
      <c r="B896" s="32"/>
      <c r="P896" s="31">
        <f t="shared" si="28"/>
        <v>0</v>
      </c>
      <c r="R896" s="31">
        <f t="shared" si="29"/>
        <v>0</v>
      </c>
    </row>
    <row r="897" spans="2:18" ht="30.75" customHeight="1" x14ac:dyDescent="0.3">
      <c r="B897" s="32"/>
      <c r="P897" s="31">
        <f t="shared" si="28"/>
        <v>0</v>
      </c>
      <c r="R897" s="31">
        <f t="shared" si="29"/>
        <v>0</v>
      </c>
    </row>
    <row r="898" spans="2:18" ht="30.75" customHeight="1" x14ac:dyDescent="0.3">
      <c r="B898" s="32"/>
      <c r="P898" s="31">
        <f t="shared" si="28"/>
        <v>0</v>
      </c>
      <c r="R898" s="31">
        <f t="shared" si="29"/>
        <v>0</v>
      </c>
    </row>
    <row r="899" spans="2:18" ht="30.75" customHeight="1" x14ac:dyDescent="0.3">
      <c r="B899" s="32"/>
      <c r="P899" s="31">
        <f t="shared" si="28"/>
        <v>0</v>
      </c>
      <c r="R899" s="31">
        <f t="shared" si="29"/>
        <v>0</v>
      </c>
    </row>
    <row r="900" spans="2:18" ht="30.75" customHeight="1" x14ac:dyDescent="0.3">
      <c r="B900" s="32"/>
      <c r="P900" s="31">
        <f t="shared" si="28"/>
        <v>0</v>
      </c>
      <c r="R900" s="31">
        <f t="shared" si="29"/>
        <v>0</v>
      </c>
    </row>
    <row r="901" spans="2:18" ht="30.75" customHeight="1" x14ac:dyDescent="0.3">
      <c r="B901" s="32"/>
      <c r="P901" s="31">
        <f t="shared" si="28"/>
        <v>0</v>
      </c>
      <c r="R901" s="31">
        <f t="shared" si="29"/>
        <v>0</v>
      </c>
    </row>
    <row r="902" spans="2:18" ht="30.75" customHeight="1" x14ac:dyDescent="0.3">
      <c r="B902" s="32"/>
      <c r="P902" s="31">
        <f t="shared" si="28"/>
        <v>0</v>
      </c>
      <c r="R902" s="31">
        <f t="shared" si="29"/>
        <v>0</v>
      </c>
    </row>
    <row r="903" spans="2:18" ht="30.75" customHeight="1" x14ac:dyDescent="0.3">
      <c r="B903" s="32"/>
      <c r="P903" s="31">
        <f t="shared" si="28"/>
        <v>0</v>
      </c>
      <c r="R903" s="31">
        <f t="shared" si="29"/>
        <v>0</v>
      </c>
    </row>
    <row r="904" spans="2:18" ht="30.75" customHeight="1" x14ac:dyDescent="0.3">
      <c r="B904" s="32"/>
      <c r="P904" s="31">
        <f t="shared" si="28"/>
        <v>0</v>
      </c>
      <c r="R904" s="31">
        <f t="shared" si="29"/>
        <v>0</v>
      </c>
    </row>
    <row r="905" spans="2:18" ht="30.75" customHeight="1" x14ac:dyDescent="0.3">
      <c r="B905" s="32"/>
      <c r="P905" s="31">
        <f t="shared" si="28"/>
        <v>0</v>
      </c>
      <c r="R905" s="31">
        <f t="shared" si="29"/>
        <v>0</v>
      </c>
    </row>
    <row r="906" spans="2:18" ht="30.75" customHeight="1" x14ac:dyDescent="0.3">
      <c r="B906" s="32"/>
      <c r="P906" s="31">
        <f t="shared" ref="P906:P969" si="30">K906-L906-M906-N906+O906</f>
        <v>0</v>
      </c>
      <c r="R906" s="31">
        <f t="shared" ref="R906:R969" si="31">R905+K906-L906-M906-N906+O906-Q906</f>
        <v>0</v>
      </c>
    </row>
    <row r="907" spans="2:18" ht="30.75" customHeight="1" x14ac:dyDescent="0.3">
      <c r="B907" s="32"/>
      <c r="P907" s="31">
        <f t="shared" si="30"/>
        <v>0</v>
      </c>
      <c r="R907" s="31">
        <f t="shared" si="31"/>
        <v>0</v>
      </c>
    </row>
    <row r="908" spans="2:18" ht="30.75" customHeight="1" x14ac:dyDescent="0.3">
      <c r="B908" s="32"/>
      <c r="P908" s="31">
        <f t="shared" si="30"/>
        <v>0</v>
      </c>
      <c r="R908" s="31">
        <f t="shared" si="31"/>
        <v>0</v>
      </c>
    </row>
    <row r="909" spans="2:18" ht="30.75" customHeight="1" x14ac:dyDescent="0.3">
      <c r="B909" s="32"/>
      <c r="P909" s="31">
        <f t="shared" si="30"/>
        <v>0</v>
      </c>
      <c r="R909" s="31">
        <f t="shared" si="31"/>
        <v>0</v>
      </c>
    </row>
    <row r="910" spans="2:18" ht="30.75" customHeight="1" x14ac:dyDescent="0.3">
      <c r="B910" s="32"/>
      <c r="P910" s="31">
        <f t="shared" si="30"/>
        <v>0</v>
      </c>
      <c r="R910" s="31">
        <f t="shared" si="31"/>
        <v>0</v>
      </c>
    </row>
    <row r="911" spans="2:18" ht="30.75" customHeight="1" x14ac:dyDescent="0.3">
      <c r="B911" s="32"/>
      <c r="P911" s="31">
        <f t="shared" si="30"/>
        <v>0</v>
      </c>
      <c r="R911" s="31">
        <f t="shared" si="31"/>
        <v>0</v>
      </c>
    </row>
    <row r="912" spans="2:18" ht="30.75" customHeight="1" x14ac:dyDescent="0.3">
      <c r="B912" s="32"/>
      <c r="P912" s="31">
        <f t="shared" si="30"/>
        <v>0</v>
      </c>
      <c r="R912" s="31">
        <f t="shared" si="31"/>
        <v>0</v>
      </c>
    </row>
    <row r="913" spans="2:18" ht="30.75" customHeight="1" x14ac:dyDescent="0.3">
      <c r="B913" s="32"/>
      <c r="P913" s="31">
        <f t="shared" si="30"/>
        <v>0</v>
      </c>
      <c r="R913" s="31">
        <f t="shared" si="31"/>
        <v>0</v>
      </c>
    </row>
    <row r="914" spans="2:18" ht="30.75" customHeight="1" x14ac:dyDescent="0.3">
      <c r="B914" s="32"/>
      <c r="P914" s="31">
        <f t="shared" si="30"/>
        <v>0</v>
      </c>
      <c r="R914" s="31">
        <f t="shared" si="31"/>
        <v>0</v>
      </c>
    </row>
    <row r="915" spans="2:18" ht="30.75" customHeight="1" x14ac:dyDescent="0.3">
      <c r="B915" s="32"/>
      <c r="P915" s="31">
        <f t="shared" si="30"/>
        <v>0</v>
      </c>
      <c r="R915" s="31">
        <f t="shared" si="31"/>
        <v>0</v>
      </c>
    </row>
    <row r="916" spans="2:18" ht="30.75" customHeight="1" x14ac:dyDescent="0.3">
      <c r="B916" s="32"/>
      <c r="P916" s="31">
        <f t="shared" si="30"/>
        <v>0</v>
      </c>
      <c r="R916" s="31">
        <f t="shared" si="31"/>
        <v>0</v>
      </c>
    </row>
    <row r="917" spans="2:18" ht="30.75" customHeight="1" x14ac:dyDescent="0.3">
      <c r="B917" s="32"/>
      <c r="P917" s="31">
        <f t="shared" si="30"/>
        <v>0</v>
      </c>
      <c r="R917" s="31">
        <f t="shared" si="31"/>
        <v>0</v>
      </c>
    </row>
    <row r="918" spans="2:18" ht="30.75" customHeight="1" x14ac:dyDescent="0.3">
      <c r="B918" s="32"/>
      <c r="P918" s="31">
        <f t="shared" si="30"/>
        <v>0</v>
      </c>
      <c r="R918" s="31">
        <f t="shared" si="31"/>
        <v>0</v>
      </c>
    </row>
    <row r="919" spans="2:18" ht="30.75" customHeight="1" x14ac:dyDescent="0.3">
      <c r="B919" s="32"/>
      <c r="P919" s="31">
        <f t="shared" si="30"/>
        <v>0</v>
      </c>
      <c r="R919" s="31">
        <f t="shared" si="31"/>
        <v>0</v>
      </c>
    </row>
    <row r="920" spans="2:18" ht="30.75" customHeight="1" x14ac:dyDescent="0.3">
      <c r="B920" s="32"/>
      <c r="P920" s="31">
        <f t="shared" si="30"/>
        <v>0</v>
      </c>
      <c r="R920" s="31">
        <f t="shared" si="31"/>
        <v>0</v>
      </c>
    </row>
    <row r="921" spans="2:18" ht="30.75" customHeight="1" x14ac:dyDescent="0.3">
      <c r="B921" s="32"/>
      <c r="P921" s="31">
        <f t="shared" si="30"/>
        <v>0</v>
      </c>
      <c r="R921" s="31">
        <f t="shared" si="31"/>
        <v>0</v>
      </c>
    </row>
    <row r="922" spans="2:18" ht="30.75" customHeight="1" x14ac:dyDescent="0.3">
      <c r="B922" s="32"/>
      <c r="P922" s="31">
        <f t="shared" si="30"/>
        <v>0</v>
      </c>
      <c r="R922" s="31">
        <f t="shared" si="31"/>
        <v>0</v>
      </c>
    </row>
    <row r="923" spans="2:18" ht="30.75" customHeight="1" x14ac:dyDescent="0.3">
      <c r="B923" s="32"/>
      <c r="P923" s="31">
        <f t="shared" si="30"/>
        <v>0</v>
      </c>
      <c r="R923" s="31">
        <f t="shared" si="31"/>
        <v>0</v>
      </c>
    </row>
    <row r="924" spans="2:18" ht="30.75" customHeight="1" x14ac:dyDescent="0.3">
      <c r="B924" s="32"/>
      <c r="P924" s="31">
        <f t="shared" si="30"/>
        <v>0</v>
      </c>
      <c r="R924" s="31">
        <f t="shared" si="31"/>
        <v>0</v>
      </c>
    </row>
    <row r="925" spans="2:18" ht="30.75" customHeight="1" x14ac:dyDescent="0.3">
      <c r="B925" s="32"/>
      <c r="P925" s="31">
        <f t="shared" si="30"/>
        <v>0</v>
      </c>
      <c r="R925" s="31">
        <f t="shared" si="31"/>
        <v>0</v>
      </c>
    </row>
    <row r="926" spans="2:18" ht="30.75" customHeight="1" x14ac:dyDescent="0.3">
      <c r="B926" s="32"/>
      <c r="P926" s="31">
        <f t="shared" si="30"/>
        <v>0</v>
      </c>
      <c r="R926" s="31">
        <f t="shared" si="31"/>
        <v>0</v>
      </c>
    </row>
    <row r="927" spans="2:18" ht="30.75" customHeight="1" x14ac:dyDescent="0.3">
      <c r="B927" s="32"/>
      <c r="P927" s="31">
        <f t="shared" si="30"/>
        <v>0</v>
      </c>
      <c r="R927" s="31">
        <f t="shared" si="31"/>
        <v>0</v>
      </c>
    </row>
    <row r="928" spans="2:18" ht="30.75" customHeight="1" x14ac:dyDescent="0.3">
      <c r="B928" s="32"/>
      <c r="P928" s="31">
        <f t="shared" si="30"/>
        <v>0</v>
      </c>
      <c r="R928" s="31">
        <f t="shared" si="31"/>
        <v>0</v>
      </c>
    </row>
    <row r="929" spans="2:18" ht="30.75" customHeight="1" x14ac:dyDescent="0.3">
      <c r="B929" s="32"/>
      <c r="P929" s="31">
        <f t="shared" si="30"/>
        <v>0</v>
      </c>
      <c r="R929" s="31">
        <f t="shared" si="31"/>
        <v>0</v>
      </c>
    </row>
    <row r="930" spans="2:18" ht="30.75" customHeight="1" x14ac:dyDescent="0.3">
      <c r="B930" s="32"/>
      <c r="P930" s="31">
        <f t="shared" si="30"/>
        <v>0</v>
      </c>
      <c r="R930" s="31">
        <f t="shared" si="31"/>
        <v>0</v>
      </c>
    </row>
    <row r="931" spans="2:18" ht="30.75" customHeight="1" x14ac:dyDescent="0.3">
      <c r="B931" s="32"/>
      <c r="P931" s="31">
        <f t="shared" si="30"/>
        <v>0</v>
      </c>
      <c r="R931" s="31">
        <f t="shared" si="31"/>
        <v>0</v>
      </c>
    </row>
    <row r="932" spans="2:18" ht="30.75" customHeight="1" x14ac:dyDescent="0.3">
      <c r="B932" s="32"/>
      <c r="P932" s="31">
        <f t="shared" si="30"/>
        <v>0</v>
      </c>
      <c r="R932" s="31">
        <f t="shared" si="31"/>
        <v>0</v>
      </c>
    </row>
    <row r="933" spans="2:18" ht="30.75" customHeight="1" x14ac:dyDescent="0.3">
      <c r="B933" s="32"/>
      <c r="P933" s="31">
        <f t="shared" si="30"/>
        <v>0</v>
      </c>
      <c r="R933" s="31">
        <f t="shared" si="31"/>
        <v>0</v>
      </c>
    </row>
    <row r="934" spans="2:18" ht="30.75" customHeight="1" x14ac:dyDescent="0.3">
      <c r="B934" s="32"/>
      <c r="P934" s="31">
        <f t="shared" si="30"/>
        <v>0</v>
      </c>
      <c r="R934" s="31">
        <f t="shared" si="31"/>
        <v>0</v>
      </c>
    </row>
    <row r="935" spans="2:18" ht="30.75" customHeight="1" x14ac:dyDescent="0.3">
      <c r="B935" s="32"/>
      <c r="P935" s="31">
        <f t="shared" si="30"/>
        <v>0</v>
      </c>
      <c r="R935" s="31">
        <f t="shared" si="31"/>
        <v>0</v>
      </c>
    </row>
    <row r="936" spans="2:18" ht="30.75" customHeight="1" x14ac:dyDescent="0.3">
      <c r="B936" s="32"/>
      <c r="P936" s="31">
        <f t="shared" si="30"/>
        <v>0</v>
      </c>
      <c r="R936" s="31">
        <f t="shared" si="31"/>
        <v>0</v>
      </c>
    </row>
    <row r="937" spans="2:18" ht="30.75" customHeight="1" x14ac:dyDescent="0.3">
      <c r="B937" s="32"/>
      <c r="P937" s="31">
        <f t="shared" si="30"/>
        <v>0</v>
      </c>
      <c r="R937" s="31">
        <f t="shared" si="31"/>
        <v>0</v>
      </c>
    </row>
    <row r="938" spans="2:18" ht="30.75" customHeight="1" x14ac:dyDescent="0.3">
      <c r="B938" s="32"/>
      <c r="P938" s="31">
        <f t="shared" si="30"/>
        <v>0</v>
      </c>
      <c r="R938" s="31">
        <f t="shared" si="31"/>
        <v>0</v>
      </c>
    </row>
    <row r="939" spans="2:18" ht="30.75" customHeight="1" x14ac:dyDescent="0.3">
      <c r="B939" s="32"/>
      <c r="P939" s="31">
        <f t="shared" si="30"/>
        <v>0</v>
      </c>
      <c r="R939" s="31">
        <f t="shared" si="31"/>
        <v>0</v>
      </c>
    </row>
    <row r="940" spans="2:18" ht="30.75" customHeight="1" x14ac:dyDescent="0.3">
      <c r="B940" s="32"/>
      <c r="P940" s="31">
        <f t="shared" si="30"/>
        <v>0</v>
      </c>
      <c r="R940" s="31">
        <f t="shared" si="31"/>
        <v>0</v>
      </c>
    </row>
    <row r="941" spans="2:18" ht="30.75" customHeight="1" x14ac:dyDescent="0.3">
      <c r="B941" s="32"/>
      <c r="P941" s="31">
        <f t="shared" si="30"/>
        <v>0</v>
      </c>
      <c r="R941" s="31">
        <f t="shared" si="31"/>
        <v>0</v>
      </c>
    </row>
    <row r="942" spans="2:18" ht="30.75" customHeight="1" x14ac:dyDescent="0.3">
      <c r="B942" s="32"/>
      <c r="P942" s="31">
        <f t="shared" si="30"/>
        <v>0</v>
      </c>
      <c r="R942" s="31">
        <f t="shared" si="31"/>
        <v>0</v>
      </c>
    </row>
    <row r="943" spans="2:18" ht="30.75" customHeight="1" x14ac:dyDescent="0.3">
      <c r="B943" s="32"/>
      <c r="P943" s="31">
        <f t="shared" si="30"/>
        <v>0</v>
      </c>
      <c r="R943" s="31">
        <f t="shared" si="31"/>
        <v>0</v>
      </c>
    </row>
    <row r="944" spans="2:18" ht="30.75" customHeight="1" x14ac:dyDescent="0.3">
      <c r="B944" s="32"/>
      <c r="P944" s="31">
        <f t="shared" si="30"/>
        <v>0</v>
      </c>
      <c r="R944" s="31">
        <f t="shared" si="31"/>
        <v>0</v>
      </c>
    </row>
    <row r="945" spans="2:18" ht="30.75" customHeight="1" x14ac:dyDescent="0.3">
      <c r="B945" s="32"/>
      <c r="P945" s="31">
        <f t="shared" si="30"/>
        <v>0</v>
      </c>
      <c r="R945" s="31">
        <f t="shared" si="31"/>
        <v>0</v>
      </c>
    </row>
    <row r="946" spans="2:18" ht="30.75" customHeight="1" x14ac:dyDescent="0.3">
      <c r="B946" s="32"/>
      <c r="P946" s="31">
        <f t="shared" si="30"/>
        <v>0</v>
      </c>
      <c r="R946" s="31">
        <f t="shared" si="31"/>
        <v>0</v>
      </c>
    </row>
    <row r="947" spans="2:18" ht="30.75" customHeight="1" x14ac:dyDescent="0.3">
      <c r="B947" s="32"/>
      <c r="P947" s="31">
        <f t="shared" si="30"/>
        <v>0</v>
      </c>
      <c r="R947" s="31">
        <f t="shared" si="31"/>
        <v>0</v>
      </c>
    </row>
    <row r="948" spans="2:18" ht="30.75" customHeight="1" x14ac:dyDescent="0.3">
      <c r="B948" s="32"/>
      <c r="P948" s="31">
        <f t="shared" si="30"/>
        <v>0</v>
      </c>
      <c r="R948" s="31">
        <f t="shared" si="31"/>
        <v>0</v>
      </c>
    </row>
    <row r="949" spans="2:18" ht="30.75" customHeight="1" x14ac:dyDescent="0.3">
      <c r="B949" s="32"/>
      <c r="P949" s="31">
        <f t="shared" si="30"/>
        <v>0</v>
      </c>
      <c r="R949" s="31">
        <f t="shared" si="31"/>
        <v>0</v>
      </c>
    </row>
    <row r="950" spans="2:18" ht="30.75" customHeight="1" x14ac:dyDescent="0.3">
      <c r="B950" s="32"/>
      <c r="P950" s="31">
        <f t="shared" si="30"/>
        <v>0</v>
      </c>
      <c r="R950" s="31">
        <f t="shared" si="31"/>
        <v>0</v>
      </c>
    </row>
    <row r="951" spans="2:18" ht="30.75" customHeight="1" x14ac:dyDescent="0.3">
      <c r="B951" s="32"/>
      <c r="P951" s="31">
        <f t="shared" si="30"/>
        <v>0</v>
      </c>
      <c r="R951" s="31">
        <f t="shared" si="31"/>
        <v>0</v>
      </c>
    </row>
    <row r="952" spans="2:18" ht="30.75" customHeight="1" x14ac:dyDescent="0.3">
      <c r="B952" s="32"/>
      <c r="P952" s="31">
        <f t="shared" si="30"/>
        <v>0</v>
      </c>
      <c r="R952" s="31">
        <f t="shared" si="31"/>
        <v>0</v>
      </c>
    </row>
    <row r="953" spans="2:18" ht="30.75" customHeight="1" x14ac:dyDescent="0.3">
      <c r="B953" s="32"/>
      <c r="P953" s="31">
        <f t="shared" si="30"/>
        <v>0</v>
      </c>
      <c r="R953" s="31">
        <f t="shared" si="31"/>
        <v>0</v>
      </c>
    </row>
    <row r="954" spans="2:18" ht="30.75" customHeight="1" x14ac:dyDescent="0.3">
      <c r="B954" s="32"/>
      <c r="P954" s="31">
        <f t="shared" si="30"/>
        <v>0</v>
      </c>
      <c r="R954" s="31">
        <f t="shared" si="31"/>
        <v>0</v>
      </c>
    </row>
    <row r="955" spans="2:18" ht="30.75" customHeight="1" x14ac:dyDescent="0.3">
      <c r="B955" s="32"/>
      <c r="P955" s="31">
        <f t="shared" si="30"/>
        <v>0</v>
      </c>
      <c r="R955" s="31">
        <f t="shared" si="31"/>
        <v>0</v>
      </c>
    </row>
    <row r="956" spans="2:18" ht="30.75" customHeight="1" x14ac:dyDescent="0.3">
      <c r="B956" s="32"/>
      <c r="P956" s="31">
        <f t="shared" si="30"/>
        <v>0</v>
      </c>
      <c r="R956" s="31">
        <f t="shared" si="31"/>
        <v>0</v>
      </c>
    </row>
    <row r="957" spans="2:18" ht="30.75" customHeight="1" x14ac:dyDescent="0.3">
      <c r="B957" s="32"/>
      <c r="P957" s="31">
        <f t="shared" si="30"/>
        <v>0</v>
      </c>
      <c r="R957" s="31">
        <f t="shared" si="31"/>
        <v>0</v>
      </c>
    </row>
    <row r="958" spans="2:18" ht="30.75" customHeight="1" x14ac:dyDescent="0.3">
      <c r="B958" s="32"/>
      <c r="P958" s="31">
        <f t="shared" si="30"/>
        <v>0</v>
      </c>
      <c r="R958" s="31">
        <f t="shared" si="31"/>
        <v>0</v>
      </c>
    </row>
    <row r="959" spans="2:18" ht="30.75" customHeight="1" x14ac:dyDescent="0.3">
      <c r="B959" s="32"/>
      <c r="P959" s="31">
        <f t="shared" si="30"/>
        <v>0</v>
      </c>
      <c r="R959" s="31">
        <f t="shared" si="31"/>
        <v>0</v>
      </c>
    </row>
    <row r="960" spans="2:18" ht="30.75" customHeight="1" x14ac:dyDescent="0.3">
      <c r="B960" s="32"/>
      <c r="P960" s="31">
        <f t="shared" si="30"/>
        <v>0</v>
      </c>
      <c r="R960" s="31">
        <f t="shared" si="31"/>
        <v>0</v>
      </c>
    </row>
    <row r="961" spans="2:18" ht="30.75" customHeight="1" x14ac:dyDescent="0.3">
      <c r="B961" s="32"/>
      <c r="P961" s="31">
        <f t="shared" si="30"/>
        <v>0</v>
      </c>
      <c r="R961" s="31">
        <f t="shared" si="31"/>
        <v>0</v>
      </c>
    </row>
    <row r="962" spans="2:18" ht="30.75" customHeight="1" x14ac:dyDescent="0.3">
      <c r="B962" s="32"/>
      <c r="P962" s="31">
        <f t="shared" si="30"/>
        <v>0</v>
      </c>
      <c r="R962" s="31">
        <f t="shared" si="31"/>
        <v>0</v>
      </c>
    </row>
    <row r="963" spans="2:18" ht="30.75" customHeight="1" x14ac:dyDescent="0.3">
      <c r="B963" s="32"/>
      <c r="P963" s="31">
        <f t="shared" si="30"/>
        <v>0</v>
      </c>
      <c r="R963" s="31">
        <f t="shared" si="31"/>
        <v>0</v>
      </c>
    </row>
    <row r="964" spans="2:18" ht="30.75" customHeight="1" x14ac:dyDescent="0.3">
      <c r="B964" s="32"/>
      <c r="P964" s="31">
        <f t="shared" si="30"/>
        <v>0</v>
      </c>
      <c r="R964" s="31">
        <f t="shared" si="31"/>
        <v>0</v>
      </c>
    </row>
    <row r="965" spans="2:18" ht="30.75" customHeight="1" x14ac:dyDescent="0.3">
      <c r="B965" s="32"/>
      <c r="P965" s="31">
        <f t="shared" si="30"/>
        <v>0</v>
      </c>
      <c r="R965" s="31">
        <f t="shared" si="31"/>
        <v>0</v>
      </c>
    </row>
    <row r="966" spans="2:18" ht="30.75" customHeight="1" x14ac:dyDescent="0.3">
      <c r="B966" s="32"/>
      <c r="P966" s="31">
        <f t="shared" si="30"/>
        <v>0</v>
      </c>
      <c r="R966" s="31">
        <f t="shared" si="31"/>
        <v>0</v>
      </c>
    </row>
    <row r="967" spans="2:18" ht="30.75" customHeight="1" x14ac:dyDescent="0.3">
      <c r="B967" s="32"/>
      <c r="P967" s="31">
        <f t="shared" si="30"/>
        <v>0</v>
      </c>
      <c r="R967" s="31">
        <f t="shared" si="31"/>
        <v>0</v>
      </c>
    </row>
    <row r="968" spans="2:18" ht="30.75" customHeight="1" x14ac:dyDescent="0.3">
      <c r="B968" s="32"/>
      <c r="P968" s="31">
        <f t="shared" si="30"/>
        <v>0</v>
      </c>
      <c r="R968" s="31">
        <f t="shared" si="31"/>
        <v>0</v>
      </c>
    </row>
    <row r="969" spans="2:18" ht="30.75" customHeight="1" x14ac:dyDescent="0.3">
      <c r="B969" s="32"/>
      <c r="P969" s="31">
        <f t="shared" si="30"/>
        <v>0</v>
      </c>
      <c r="R969" s="31">
        <f t="shared" si="31"/>
        <v>0</v>
      </c>
    </row>
    <row r="970" spans="2:18" ht="30.75" customHeight="1" x14ac:dyDescent="0.3">
      <c r="B970" s="32"/>
      <c r="P970" s="31">
        <f t="shared" ref="P970:P1033" si="32">K970-L970-M970-N970+O970</f>
        <v>0</v>
      </c>
      <c r="R970" s="31">
        <f t="shared" ref="R970:R1033" si="33">R969+K970-L970-M970-N970+O970-Q970</f>
        <v>0</v>
      </c>
    </row>
    <row r="971" spans="2:18" ht="30.75" customHeight="1" x14ac:dyDescent="0.3">
      <c r="B971" s="32"/>
      <c r="P971" s="31">
        <f t="shared" si="32"/>
        <v>0</v>
      </c>
      <c r="R971" s="31">
        <f t="shared" si="33"/>
        <v>0</v>
      </c>
    </row>
    <row r="972" spans="2:18" ht="30.75" customHeight="1" x14ac:dyDescent="0.3">
      <c r="B972" s="32"/>
      <c r="P972" s="31">
        <f t="shared" si="32"/>
        <v>0</v>
      </c>
      <c r="R972" s="31">
        <f t="shared" si="33"/>
        <v>0</v>
      </c>
    </row>
    <row r="973" spans="2:18" ht="30.75" customHeight="1" x14ac:dyDescent="0.3">
      <c r="B973" s="32"/>
      <c r="P973" s="31">
        <f t="shared" si="32"/>
        <v>0</v>
      </c>
      <c r="R973" s="31">
        <f t="shared" si="33"/>
        <v>0</v>
      </c>
    </row>
    <row r="974" spans="2:18" ht="30.75" customHeight="1" x14ac:dyDescent="0.3">
      <c r="B974" s="32"/>
      <c r="P974" s="31">
        <f t="shared" si="32"/>
        <v>0</v>
      </c>
      <c r="R974" s="31">
        <f t="shared" si="33"/>
        <v>0</v>
      </c>
    </row>
    <row r="975" spans="2:18" ht="30.75" customHeight="1" x14ac:dyDescent="0.3">
      <c r="B975" s="32"/>
      <c r="P975" s="31">
        <f t="shared" si="32"/>
        <v>0</v>
      </c>
      <c r="R975" s="31">
        <f t="shared" si="33"/>
        <v>0</v>
      </c>
    </row>
    <row r="976" spans="2:18" ht="30.75" customHeight="1" x14ac:dyDescent="0.3">
      <c r="B976" s="32"/>
      <c r="P976" s="31">
        <f t="shared" si="32"/>
        <v>0</v>
      </c>
      <c r="R976" s="31">
        <f t="shared" si="33"/>
        <v>0</v>
      </c>
    </row>
    <row r="977" spans="2:18" ht="30.75" customHeight="1" x14ac:dyDescent="0.3">
      <c r="B977" s="32"/>
      <c r="P977" s="31">
        <f t="shared" si="32"/>
        <v>0</v>
      </c>
      <c r="R977" s="31">
        <f t="shared" si="33"/>
        <v>0</v>
      </c>
    </row>
    <row r="978" spans="2:18" ht="30.75" customHeight="1" x14ac:dyDescent="0.3">
      <c r="B978" s="32"/>
      <c r="P978" s="31">
        <f t="shared" si="32"/>
        <v>0</v>
      </c>
      <c r="R978" s="31">
        <f t="shared" si="33"/>
        <v>0</v>
      </c>
    </row>
    <row r="979" spans="2:18" ht="30.75" customHeight="1" x14ac:dyDescent="0.3">
      <c r="B979" s="32"/>
      <c r="P979" s="31">
        <f t="shared" si="32"/>
        <v>0</v>
      </c>
      <c r="R979" s="31">
        <f t="shared" si="33"/>
        <v>0</v>
      </c>
    </row>
    <row r="980" spans="2:18" ht="30.75" customHeight="1" x14ac:dyDescent="0.3">
      <c r="B980" s="32"/>
      <c r="P980" s="31">
        <f t="shared" si="32"/>
        <v>0</v>
      </c>
      <c r="R980" s="31">
        <f t="shared" si="33"/>
        <v>0</v>
      </c>
    </row>
    <row r="981" spans="2:18" ht="30.75" customHeight="1" x14ac:dyDescent="0.3">
      <c r="B981" s="32"/>
      <c r="P981" s="31">
        <f t="shared" si="32"/>
        <v>0</v>
      </c>
      <c r="R981" s="31">
        <f t="shared" si="33"/>
        <v>0</v>
      </c>
    </row>
    <row r="982" spans="2:18" ht="30.75" customHeight="1" x14ac:dyDescent="0.3">
      <c r="B982" s="32"/>
      <c r="P982" s="31">
        <f t="shared" si="32"/>
        <v>0</v>
      </c>
      <c r="R982" s="31">
        <f t="shared" si="33"/>
        <v>0</v>
      </c>
    </row>
    <row r="983" spans="2:18" ht="30.75" customHeight="1" x14ac:dyDescent="0.3">
      <c r="B983" s="32"/>
      <c r="P983" s="31">
        <f t="shared" si="32"/>
        <v>0</v>
      </c>
      <c r="R983" s="31">
        <f t="shared" si="33"/>
        <v>0</v>
      </c>
    </row>
    <row r="984" spans="2:18" ht="30.75" customHeight="1" x14ac:dyDescent="0.3">
      <c r="B984" s="32"/>
      <c r="P984" s="31">
        <f t="shared" si="32"/>
        <v>0</v>
      </c>
      <c r="R984" s="31">
        <f t="shared" si="33"/>
        <v>0</v>
      </c>
    </row>
    <row r="985" spans="2:18" ht="30.75" customHeight="1" x14ac:dyDescent="0.3">
      <c r="B985" s="32"/>
      <c r="P985" s="31">
        <f t="shared" si="32"/>
        <v>0</v>
      </c>
      <c r="R985" s="31">
        <f t="shared" si="33"/>
        <v>0</v>
      </c>
    </row>
    <row r="986" spans="2:18" ht="30.75" customHeight="1" x14ac:dyDescent="0.3">
      <c r="B986" s="32"/>
      <c r="P986" s="31">
        <f t="shared" si="32"/>
        <v>0</v>
      </c>
      <c r="R986" s="31">
        <f t="shared" si="33"/>
        <v>0</v>
      </c>
    </row>
    <row r="987" spans="2:18" ht="30.75" customHeight="1" x14ac:dyDescent="0.3">
      <c r="B987" s="32"/>
      <c r="P987" s="31">
        <f t="shared" si="32"/>
        <v>0</v>
      </c>
      <c r="R987" s="31">
        <f t="shared" si="33"/>
        <v>0</v>
      </c>
    </row>
    <row r="988" spans="2:18" ht="30.75" customHeight="1" x14ac:dyDescent="0.3">
      <c r="B988" s="32"/>
      <c r="P988" s="31">
        <f t="shared" si="32"/>
        <v>0</v>
      </c>
      <c r="R988" s="31">
        <f t="shared" si="33"/>
        <v>0</v>
      </c>
    </row>
    <row r="989" spans="2:18" ht="30.75" customHeight="1" x14ac:dyDescent="0.3">
      <c r="B989" s="32"/>
      <c r="P989" s="31">
        <f t="shared" si="32"/>
        <v>0</v>
      </c>
      <c r="R989" s="31">
        <f t="shared" si="33"/>
        <v>0</v>
      </c>
    </row>
    <row r="990" spans="2:18" ht="30.75" customHeight="1" x14ac:dyDescent="0.3">
      <c r="B990" s="32"/>
      <c r="P990" s="31">
        <f t="shared" si="32"/>
        <v>0</v>
      </c>
      <c r="R990" s="31">
        <f t="shared" si="33"/>
        <v>0</v>
      </c>
    </row>
    <row r="991" spans="2:18" ht="30.75" customHeight="1" x14ac:dyDescent="0.3">
      <c r="B991" s="32"/>
      <c r="P991" s="31">
        <f t="shared" si="32"/>
        <v>0</v>
      </c>
      <c r="R991" s="31">
        <f t="shared" si="33"/>
        <v>0</v>
      </c>
    </row>
    <row r="992" spans="2:18" ht="30.75" customHeight="1" x14ac:dyDescent="0.3">
      <c r="B992" s="32"/>
      <c r="P992" s="31">
        <f t="shared" si="32"/>
        <v>0</v>
      </c>
      <c r="R992" s="31">
        <f t="shared" si="33"/>
        <v>0</v>
      </c>
    </row>
    <row r="993" spans="2:18" ht="30.75" customHeight="1" x14ac:dyDescent="0.3">
      <c r="B993" s="32"/>
      <c r="P993" s="31">
        <f t="shared" si="32"/>
        <v>0</v>
      </c>
      <c r="R993" s="31">
        <f t="shared" si="33"/>
        <v>0</v>
      </c>
    </row>
    <row r="994" spans="2:18" ht="30.75" customHeight="1" x14ac:dyDescent="0.3">
      <c r="B994" s="32"/>
      <c r="P994" s="31">
        <f t="shared" si="32"/>
        <v>0</v>
      </c>
      <c r="R994" s="31">
        <f t="shared" si="33"/>
        <v>0</v>
      </c>
    </row>
    <row r="995" spans="2:18" ht="30.75" customHeight="1" x14ac:dyDescent="0.3">
      <c r="B995" s="32"/>
      <c r="P995" s="31">
        <f t="shared" si="32"/>
        <v>0</v>
      </c>
      <c r="R995" s="31">
        <f t="shared" si="33"/>
        <v>0</v>
      </c>
    </row>
    <row r="996" spans="2:18" ht="30.75" customHeight="1" x14ac:dyDescent="0.3">
      <c r="B996" s="32"/>
      <c r="P996" s="31">
        <f t="shared" si="32"/>
        <v>0</v>
      </c>
      <c r="R996" s="31">
        <f t="shared" si="33"/>
        <v>0</v>
      </c>
    </row>
    <row r="997" spans="2:18" ht="30.75" customHeight="1" x14ac:dyDescent="0.3">
      <c r="B997" s="32"/>
      <c r="P997" s="31">
        <f t="shared" si="32"/>
        <v>0</v>
      </c>
      <c r="R997" s="31">
        <f t="shared" si="33"/>
        <v>0</v>
      </c>
    </row>
    <row r="998" spans="2:18" ht="30.75" customHeight="1" x14ac:dyDescent="0.3">
      <c r="B998" s="32"/>
      <c r="P998" s="31">
        <f t="shared" si="32"/>
        <v>0</v>
      </c>
      <c r="R998" s="31">
        <f t="shared" si="33"/>
        <v>0</v>
      </c>
    </row>
    <row r="999" spans="2:18" ht="30.75" customHeight="1" x14ac:dyDescent="0.3">
      <c r="B999" s="32"/>
      <c r="P999" s="31">
        <f t="shared" si="32"/>
        <v>0</v>
      </c>
      <c r="R999" s="31">
        <f t="shared" si="33"/>
        <v>0</v>
      </c>
    </row>
    <row r="1000" spans="2:18" ht="30.75" customHeight="1" x14ac:dyDescent="0.3">
      <c r="B1000" s="32"/>
      <c r="P1000" s="31">
        <f t="shared" si="32"/>
        <v>0</v>
      </c>
      <c r="R1000" s="31">
        <f t="shared" si="33"/>
        <v>0</v>
      </c>
    </row>
    <row r="1001" spans="2:18" ht="30.75" customHeight="1" x14ac:dyDescent="0.3">
      <c r="B1001" s="32"/>
      <c r="P1001" s="31">
        <f t="shared" si="32"/>
        <v>0</v>
      </c>
      <c r="R1001" s="31">
        <f t="shared" si="33"/>
        <v>0</v>
      </c>
    </row>
    <row r="1002" spans="2:18" ht="30.75" customHeight="1" x14ac:dyDescent="0.3">
      <c r="B1002" s="32"/>
      <c r="P1002" s="31">
        <f t="shared" si="32"/>
        <v>0</v>
      </c>
      <c r="R1002" s="31">
        <f t="shared" si="33"/>
        <v>0</v>
      </c>
    </row>
    <row r="1003" spans="2:18" ht="30.75" customHeight="1" x14ac:dyDescent="0.3">
      <c r="B1003" s="32"/>
      <c r="P1003" s="31">
        <f t="shared" si="32"/>
        <v>0</v>
      </c>
      <c r="R1003" s="31">
        <f t="shared" si="33"/>
        <v>0</v>
      </c>
    </row>
    <row r="1004" spans="2:18" ht="30.75" customHeight="1" x14ac:dyDescent="0.3">
      <c r="B1004" s="32"/>
      <c r="P1004" s="31">
        <f t="shared" si="32"/>
        <v>0</v>
      </c>
      <c r="R1004" s="31">
        <f t="shared" si="33"/>
        <v>0</v>
      </c>
    </row>
    <row r="1005" spans="2:18" ht="30.75" customHeight="1" x14ac:dyDescent="0.3">
      <c r="B1005" s="32"/>
      <c r="P1005" s="31">
        <f t="shared" si="32"/>
        <v>0</v>
      </c>
      <c r="R1005" s="31">
        <f t="shared" si="33"/>
        <v>0</v>
      </c>
    </row>
    <row r="1006" spans="2:18" ht="30.75" customHeight="1" x14ac:dyDescent="0.3">
      <c r="B1006" s="32"/>
      <c r="P1006" s="31">
        <f t="shared" si="32"/>
        <v>0</v>
      </c>
      <c r="R1006" s="31">
        <f t="shared" si="33"/>
        <v>0</v>
      </c>
    </row>
    <row r="1007" spans="2:18" ht="30.75" customHeight="1" x14ac:dyDescent="0.3">
      <c r="B1007" s="32"/>
      <c r="P1007" s="31">
        <f t="shared" si="32"/>
        <v>0</v>
      </c>
      <c r="R1007" s="31">
        <f t="shared" si="33"/>
        <v>0</v>
      </c>
    </row>
    <row r="1008" spans="2:18" ht="30.75" customHeight="1" x14ac:dyDescent="0.3">
      <c r="B1008" s="32"/>
      <c r="P1008" s="31">
        <f t="shared" si="32"/>
        <v>0</v>
      </c>
      <c r="R1008" s="31">
        <f t="shared" si="33"/>
        <v>0</v>
      </c>
    </row>
    <row r="1009" spans="2:18" ht="30.75" customHeight="1" x14ac:dyDescent="0.3">
      <c r="B1009" s="32"/>
      <c r="P1009" s="31">
        <f t="shared" si="32"/>
        <v>0</v>
      </c>
      <c r="R1009" s="31">
        <f t="shared" si="33"/>
        <v>0</v>
      </c>
    </row>
    <row r="1010" spans="2:18" ht="30.75" customHeight="1" x14ac:dyDescent="0.3">
      <c r="B1010" s="32"/>
      <c r="P1010" s="31">
        <f t="shared" si="32"/>
        <v>0</v>
      </c>
      <c r="R1010" s="31">
        <f t="shared" si="33"/>
        <v>0</v>
      </c>
    </row>
    <row r="1011" spans="2:18" ht="30.75" customHeight="1" x14ac:dyDescent="0.3">
      <c r="B1011" s="32"/>
      <c r="P1011" s="31">
        <f t="shared" si="32"/>
        <v>0</v>
      </c>
      <c r="R1011" s="31">
        <f t="shared" si="33"/>
        <v>0</v>
      </c>
    </row>
    <row r="1012" spans="2:18" ht="30.75" customHeight="1" x14ac:dyDescent="0.3">
      <c r="B1012" s="32"/>
      <c r="P1012" s="31">
        <f t="shared" si="32"/>
        <v>0</v>
      </c>
      <c r="R1012" s="31">
        <f t="shared" si="33"/>
        <v>0</v>
      </c>
    </row>
    <row r="1013" spans="2:18" ht="30.75" customHeight="1" x14ac:dyDescent="0.3">
      <c r="B1013" s="32"/>
      <c r="P1013" s="31">
        <f t="shared" si="32"/>
        <v>0</v>
      </c>
      <c r="R1013" s="31">
        <f t="shared" si="33"/>
        <v>0</v>
      </c>
    </row>
    <row r="1014" spans="2:18" ht="30.75" customHeight="1" x14ac:dyDescent="0.3">
      <c r="B1014" s="32"/>
      <c r="P1014" s="31">
        <f t="shared" si="32"/>
        <v>0</v>
      </c>
      <c r="R1014" s="31">
        <f t="shared" si="33"/>
        <v>0</v>
      </c>
    </row>
    <row r="1015" spans="2:18" ht="30.75" customHeight="1" x14ac:dyDescent="0.3">
      <c r="B1015" s="32"/>
      <c r="P1015" s="31">
        <f t="shared" si="32"/>
        <v>0</v>
      </c>
      <c r="R1015" s="31">
        <f t="shared" si="33"/>
        <v>0</v>
      </c>
    </row>
    <row r="1016" spans="2:18" ht="30.75" customHeight="1" x14ac:dyDescent="0.3">
      <c r="B1016" s="32"/>
      <c r="P1016" s="31">
        <f t="shared" si="32"/>
        <v>0</v>
      </c>
      <c r="R1016" s="31">
        <f t="shared" si="33"/>
        <v>0</v>
      </c>
    </row>
    <row r="1017" spans="2:18" ht="30.75" customHeight="1" x14ac:dyDescent="0.3">
      <c r="B1017" s="32"/>
      <c r="P1017" s="31">
        <f t="shared" si="32"/>
        <v>0</v>
      </c>
      <c r="R1017" s="31">
        <f t="shared" si="33"/>
        <v>0</v>
      </c>
    </row>
    <row r="1018" spans="2:18" ht="30.75" customHeight="1" x14ac:dyDescent="0.3">
      <c r="B1018" s="32"/>
      <c r="P1018" s="31">
        <f t="shared" si="32"/>
        <v>0</v>
      </c>
      <c r="R1018" s="31">
        <f t="shared" si="33"/>
        <v>0</v>
      </c>
    </row>
    <row r="1019" spans="2:18" ht="30.75" customHeight="1" x14ac:dyDescent="0.3">
      <c r="B1019" s="32"/>
      <c r="P1019" s="31">
        <f t="shared" si="32"/>
        <v>0</v>
      </c>
      <c r="R1019" s="31">
        <f t="shared" si="33"/>
        <v>0</v>
      </c>
    </row>
    <row r="1020" spans="2:18" ht="30.75" customHeight="1" x14ac:dyDescent="0.3">
      <c r="B1020" s="32"/>
      <c r="P1020" s="31">
        <f t="shared" si="32"/>
        <v>0</v>
      </c>
      <c r="R1020" s="31">
        <f t="shared" si="33"/>
        <v>0</v>
      </c>
    </row>
    <row r="1021" spans="2:18" ht="30.75" customHeight="1" x14ac:dyDescent="0.3">
      <c r="B1021" s="32"/>
      <c r="P1021" s="31">
        <f t="shared" si="32"/>
        <v>0</v>
      </c>
      <c r="R1021" s="31">
        <f t="shared" si="33"/>
        <v>0</v>
      </c>
    </row>
    <row r="1022" spans="2:18" ht="30.75" customHeight="1" x14ac:dyDescent="0.3">
      <c r="B1022" s="32"/>
      <c r="P1022" s="31">
        <f t="shared" si="32"/>
        <v>0</v>
      </c>
      <c r="R1022" s="31">
        <f t="shared" si="33"/>
        <v>0</v>
      </c>
    </row>
    <row r="1023" spans="2:18" ht="30.75" customHeight="1" x14ac:dyDescent="0.3">
      <c r="B1023" s="32"/>
      <c r="P1023" s="31">
        <f t="shared" si="32"/>
        <v>0</v>
      </c>
      <c r="R1023" s="31">
        <f t="shared" si="33"/>
        <v>0</v>
      </c>
    </row>
    <row r="1024" spans="2:18" ht="30.75" customHeight="1" x14ac:dyDescent="0.3">
      <c r="B1024" s="32"/>
      <c r="P1024" s="31">
        <f t="shared" si="32"/>
        <v>0</v>
      </c>
      <c r="R1024" s="31">
        <f t="shared" si="33"/>
        <v>0</v>
      </c>
    </row>
    <row r="1025" spans="2:18" ht="30.75" customHeight="1" x14ac:dyDescent="0.3">
      <c r="B1025" s="32"/>
      <c r="P1025" s="31">
        <f t="shared" si="32"/>
        <v>0</v>
      </c>
      <c r="R1025" s="31">
        <f t="shared" si="33"/>
        <v>0</v>
      </c>
    </row>
    <row r="1026" spans="2:18" ht="30.75" customHeight="1" x14ac:dyDescent="0.3">
      <c r="B1026" s="32"/>
      <c r="P1026" s="31">
        <f t="shared" si="32"/>
        <v>0</v>
      </c>
      <c r="R1026" s="31">
        <f t="shared" si="33"/>
        <v>0</v>
      </c>
    </row>
    <row r="1027" spans="2:18" ht="30.75" customHeight="1" x14ac:dyDescent="0.3">
      <c r="B1027" s="32"/>
      <c r="P1027" s="31">
        <f t="shared" si="32"/>
        <v>0</v>
      </c>
      <c r="R1027" s="31">
        <f t="shared" si="33"/>
        <v>0</v>
      </c>
    </row>
    <row r="1028" spans="2:18" ht="30.75" customHeight="1" x14ac:dyDescent="0.3">
      <c r="B1028" s="32"/>
      <c r="P1028" s="31">
        <f t="shared" si="32"/>
        <v>0</v>
      </c>
      <c r="R1028" s="31">
        <f t="shared" si="33"/>
        <v>0</v>
      </c>
    </row>
    <row r="1029" spans="2:18" ht="30.75" customHeight="1" x14ac:dyDescent="0.3">
      <c r="B1029" s="32"/>
      <c r="P1029" s="31">
        <f t="shared" si="32"/>
        <v>0</v>
      </c>
      <c r="R1029" s="31">
        <f t="shared" si="33"/>
        <v>0</v>
      </c>
    </row>
    <row r="1030" spans="2:18" ht="30.75" customHeight="1" x14ac:dyDescent="0.3">
      <c r="B1030" s="32"/>
      <c r="P1030" s="31">
        <f t="shared" si="32"/>
        <v>0</v>
      </c>
      <c r="R1030" s="31">
        <f t="shared" si="33"/>
        <v>0</v>
      </c>
    </row>
    <row r="1031" spans="2:18" ht="30.75" customHeight="1" x14ac:dyDescent="0.3">
      <c r="B1031" s="32"/>
      <c r="F1031" s="32"/>
      <c r="P1031" s="31">
        <f t="shared" si="32"/>
        <v>0</v>
      </c>
      <c r="R1031" s="31">
        <f t="shared" si="33"/>
        <v>0</v>
      </c>
    </row>
    <row r="1032" spans="2:18" ht="30.75" customHeight="1" x14ac:dyDescent="0.3">
      <c r="B1032" s="32"/>
      <c r="P1032" s="31">
        <f t="shared" si="32"/>
        <v>0</v>
      </c>
      <c r="R1032" s="31">
        <f t="shared" si="33"/>
        <v>0</v>
      </c>
    </row>
    <row r="1033" spans="2:18" ht="30.75" customHeight="1" x14ac:dyDescent="0.3">
      <c r="B1033" s="32"/>
      <c r="P1033" s="31">
        <f t="shared" si="32"/>
        <v>0</v>
      </c>
      <c r="R1033" s="31">
        <f t="shared" si="33"/>
        <v>0</v>
      </c>
    </row>
    <row r="1034" spans="2:18" ht="30.75" customHeight="1" x14ac:dyDescent="0.3">
      <c r="B1034" s="32"/>
      <c r="P1034" s="31">
        <f>K1034-L1034-M1034-N1034+O1034</f>
        <v>0</v>
      </c>
      <c r="R1034" s="31">
        <f>R1033+K1034-L1034-M1034-N1034+O1034-Q1034</f>
        <v>0</v>
      </c>
    </row>
    <row r="1035" spans="2:18" ht="30.75" customHeight="1" x14ac:dyDescent="0.3">
      <c r="B1035" s="32"/>
      <c r="P1035" s="31">
        <f>K1035-L1035-M1035-N1035+O1035</f>
        <v>0</v>
      </c>
      <c r="R1035" s="31">
        <f>R1034+K1035-L1035-M1035-N1035+O1035-Q1035</f>
        <v>0</v>
      </c>
    </row>
    <row r="1036" spans="2:18" ht="30.75" customHeight="1" x14ac:dyDescent="0.3">
      <c r="B1036" s="32"/>
      <c r="P1036" s="31">
        <f t="shared" ref="P1036:P1099" si="34">K1036-L1036-M1036-N1036+O1036</f>
        <v>0</v>
      </c>
      <c r="R1036" s="31">
        <f t="shared" ref="R1036:R1071" si="35">R1035+K1036-L1036-M1036-N1036+O1036-Q1036</f>
        <v>0</v>
      </c>
    </row>
    <row r="1037" spans="2:18" ht="30.75" customHeight="1" x14ac:dyDescent="0.3">
      <c r="B1037" s="32"/>
      <c r="P1037" s="31">
        <f t="shared" si="34"/>
        <v>0</v>
      </c>
      <c r="R1037" s="31">
        <f t="shared" si="35"/>
        <v>0</v>
      </c>
    </row>
    <row r="1038" spans="2:18" ht="30.75" customHeight="1" x14ac:dyDescent="0.3">
      <c r="B1038" s="32"/>
      <c r="P1038" s="31">
        <f t="shared" si="34"/>
        <v>0</v>
      </c>
      <c r="R1038" s="31">
        <f t="shared" si="35"/>
        <v>0</v>
      </c>
    </row>
    <row r="1039" spans="2:18" ht="30.75" customHeight="1" x14ac:dyDescent="0.3">
      <c r="B1039" s="32"/>
      <c r="P1039" s="31">
        <f t="shared" si="34"/>
        <v>0</v>
      </c>
      <c r="R1039" s="31">
        <f t="shared" si="35"/>
        <v>0</v>
      </c>
    </row>
    <row r="1040" spans="2:18" ht="30.75" customHeight="1" x14ac:dyDescent="0.3">
      <c r="B1040" s="32"/>
      <c r="P1040" s="31">
        <f t="shared" si="34"/>
        <v>0</v>
      </c>
      <c r="R1040" s="31">
        <f t="shared" si="35"/>
        <v>0</v>
      </c>
    </row>
    <row r="1041" spans="2:18" ht="30.75" customHeight="1" x14ac:dyDescent="0.3">
      <c r="B1041" s="32"/>
      <c r="P1041" s="31">
        <f t="shared" si="34"/>
        <v>0</v>
      </c>
      <c r="R1041" s="31">
        <f t="shared" si="35"/>
        <v>0</v>
      </c>
    </row>
    <row r="1042" spans="2:18" ht="30.75" customHeight="1" x14ac:dyDescent="0.3">
      <c r="B1042" s="32"/>
      <c r="P1042" s="31">
        <f t="shared" si="34"/>
        <v>0</v>
      </c>
      <c r="R1042" s="31">
        <f t="shared" si="35"/>
        <v>0</v>
      </c>
    </row>
    <row r="1043" spans="2:18" ht="30.75" customHeight="1" x14ac:dyDescent="0.3">
      <c r="B1043" s="32"/>
      <c r="P1043" s="31">
        <f t="shared" si="34"/>
        <v>0</v>
      </c>
      <c r="R1043" s="31">
        <f t="shared" si="35"/>
        <v>0</v>
      </c>
    </row>
    <row r="1044" spans="2:18" ht="30.75" customHeight="1" x14ac:dyDescent="0.3">
      <c r="B1044" s="32"/>
      <c r="P1044" s="31">
        <f t="shared" si="34"/>
        <v>0</v>
      </c>
      <c r="R1044" s="31">
        <f t="shared" si="35"/>
        <v>0</v>
      </c>
    </row>
    <row r="1045" spans="2:18" ht="30.75" customHeight="1" x14ac:dyDescent="0.3">
      <c r="B1045" s="32"/>
      <c r="P1045" s="31">
        <f t="shared" si="34"/>
        <v>0</v>
      </c>
      <c r="R1045" s="31">
        <f t="shared" si="35"/>
        <v>0</v>
      </c>
    </row>
    <row r="1046" spans="2:18" ht="30.75" customHeight="1" x14ac:dyDescent="0.3">
      <c r="B1046" s="32"/>
      <c r="P1046" s="31">
        <f t="shared" si="34"/>
        <v>0</v>
      </c>
      <c r="R1046" s="31">
        <f t="shared" si="35"/>
        <v>0</v>
      </c>
    </row>
    <row r="1047" spans="2:18" ht="30.75" customHeight="1" x14ac:dyDescent="0.3">
      <c r="B1047" s="32"/>
      <c r="P1047" s="31">
        <f t="shared" si="34"/>
        <v>0</v>
      </c>
      <c r="R1047" s="31">
        <f t="shared" si="35"/>
        <v>0</v>
      </c>
    </row>
    <row r="1048" spans="2:18" ht="30.75" customHeight="1" x14ac:dyDescent="0.3">
      <c r="B1048" s="32"/>
      <c r="P1048" s="31">
        <f t="shared" si="34"/>
        <v>0</v>
      </c>
      <c r="R1048" s="31">
        <f t="shared" si="35"/>
        <v>0</v>
      </c>
    </row>
    <row r="1049" spans="2:18" ht="30.75" customHeight="1" x14ac:dyDescent="0.3">
      <c r="B1049" s="32"/>
      <c r="P1049" s="31">
        <f t="shared" si="34"/>
        <v>0</v>
      </c>
      <c r="R1049" s="31">
        <f t="shared" si="35"/>
        <v>0</v>
      </c>
    </row>
    <row r="1050" spans="2:18" ht="30.75" customHeight="1" x14ac:dyDescent="0.3">
      <c r="B1050" s="32"/>
      <c r="P1050" s="31">
        <f t="shared" si="34"/>
        <v>0</v>
      </c>
      <c r="R1050" s="31">
        <f t="shared" si="35"/>
        <v>0</v>
      </c>
    </row>
    <row r="1051" spans="2:18" ht="30.75" customHeight="1" x14ac:dyDescent="0.3">
      <c r="B1051" s="32"/>
      <c r="P1051" s="31">
        <f t="shared" si="34"/>
        <v>0</v>
      </c>
      <c r="R1051" s="31">
        <f t="shared" si="35"/>
        <v>0</v>
      </c>
    </row>
    <row r="1052" spans="2:18" ht="30.75" customHeight="1" x14ac:dyDescent="0.3">
      <c r="B1052" s="32"/>
      <c r="P1052" s="31">
        <f t="shared" si="34"/>
        <v>0</v>
      </c>
      <c r="R1052" s="31">
        <f t="shared" si="35"/>
        <v>0</v>
      </c>
    </row>
    <row r="1053" spans="2:18" ht="30.75" customHeight="1" x14ac:dyDescent="0.3">
      <c r="B1053" s="32"/>
      <c r="P1053" s="31">
        <f t="shared" si="34"/>
        <v>0</v>
      </c>
      <c r="R1053" s="31">
        <f t="shared" si="35"/>
        <v>0</v>
      </c>
    </row>
    <row r="1054" spans="2:18" ht="30.75" customHeight="1" x14ac:dyDescent="0.3">
      <c r="B1054" s="32"/>
      <c r="P1054" s="31">
        <f t="shared" si="34"/>
        <v>0</v>
      </c>
      <c r="R1054" s="31">
        <f t="shared" si="35"/>
        <v>0</v>
      </c>
    </row>
    <row r="1055" spans="2:18" ht="30.75" customHeight="1" x14ac:dyDescent="0.3">
      <c r="B1055" s="32"/>
      <c r="P1055" s="31">
        <f t="shared" si="34"/>
        <v>0</v>
      </c>
      <c r="R1055" s="31">
        <f t="shared" si="35"/>
        <v>0</v>
      </c>
    </row>
    <row r="1056" spans="2:18" ht="30.75" customHeight="1" x14ac:dyDescent="0.3">
      <c r="B1056" s="32"/>
      <c r="P1056" s="31">
        <f t="shared" si="34"/>
        <v>0</v>
      </c>
      <c r="R1056" s="31">
        <f t="shared" si="35"/>
        <v>0</v>
      </c>
    </row>
    <row r="1057" spans="2:18" ht="30.75" customHeight="1" x14ac:dyDescent="0.3">
      <c r="B1057" s="32"/>
      <c r="P1057" s="31">
        <f t="shared" si="34"/>
        <v>0</v>
      </c>
      <c r="R1057" s="31">
        <f t="shared" si="35"/>
        <v>0</v>
      </c>
    </row>
    <row r="1058" spans="2:18" ht="30.75" customHeight="1" x14ac:dyDescent="0.3">
      <c r="B1058" s="32"/>
      <c r="P1058" s="31">
        <f t="shared" si="34"/>
        <v>0</v>
      </c>
      <c r="R1058" s="31">
        <f t="shared" si="35"/>
        <v>0</v>
      </c>
    </row>
    <row r="1059" spans="2:18" ht="30.75" customHeight="1" x14ac:dyDescent="0.3">
      <c r="B1059" s="32"/>
      <c r="P1059" s="31">
        <f t="shared" si="34"/>
        <v>0</v>
      </c>
      <c r="R1059" s="31">
        <f t="shared" si="35"/>
        <v>0</v>
      </c>
    </row>
    <row r="1060" spans="2:18" ht="30.75" customHeight="1" x14ac:dyDescent="0.3">
      <c r="B1060" s="32"/>
      <c r="P1060" s="31">
        <f t="shared" si="34"/>
        <v>0</v>
      </c>
      <c r="R1060" s="31">
        <f t="shared" si="35"/>
        <v>0</v>
      </c>
    </row>
    <row r="1061" spans="2:18" ht="30.75" customHeight="1" x14ac:dyDescent="0.3">
      <c r="B1061" s="32"/>
      <c r="P1061" s="31">
        <f t="shared" si="34"/>
        <v>0</v>
      </c>
      <c r="R1061" s="31">
        <f t="shared" si="35"/>
        <v>0</v>
      </c>
    </row>
    <row r="1062" spans="2:18" ht="30.75" customHeight="1" x14ac:dyDescent="0.3">
      <c r="B1062" s="32"/>
      <c r="P1062" s="31">
        <f t="shared" si="34"/>
        <v>0</v>
      </c>
      <c r="R1062" s="31">
        <f t="shared" si="35"/>
        <v>0</v>
      </c>
    </row>
    <row r="1063" spans="2:18" ht="30.75" customHeight="1" x14ac:dyDescent="0.3">
      <c r="B1063" s="32"/>
      <c r="P1063" s="31">
        <f t="shared" si="34"/>
        <v>0</v>
      </c>
      <c r="R1063" s="31">
        <f t="shared" si="35"/>
        <v>0</v>
      </c>
    </row>
    <row r="1064" spans="2:18" ht="30.75" customHeight="1" x14ac:dyDescent="0.3">
      <c r="B1064" s="32"/>
      <c r="P1064" s="31">
        <f t="shared" si="34"/>
        <v>0</v>
      </c>
      <c r="R1064" s="31">
        <f t="shared" si="35"/>
        <v>0</v>
      </c>
    </row>
    <row r="1065" spans="2:18" ht="30.75" customHeight="1" x14ac:dyDescent="0.3">
      <c r="B1065" s="32"/>
      <c r="P1065" s="31">
        <f t="shared" si="34"/>
        <v>0</v>
      </c>
      <c r="R1065" s="31">
        <f t="shared" si="35"/>
        <v>0</v>
      </c>
    </row>
    <row r="1066" spans="2:18" ht="30.75" customHeight="1" x14ac:dyDescent="0.3">
      <c r="B1066" s="32"/>
      <c r="P1066" s="31">
        <f t="shared" si="34"/>
        <v>0</v>
      </c>
      <c r="R1066" s="31">
        <f t="shared" si="35"/>
        <v>0</v>
      </c>
    </row>
    <row r="1067" spans="2:18" ht="30.75" customHeight="1" x14ac:dyDescent="0.3">
      <c r="B1067" s="32"/>
      <c r="P1067" s="31">
        <f t="shared" si="34"/>
        <v>0</v>
      </c>
      <c r="R1067" s="31">
        <f t="shared" si="35"/>
        <v>0</v>
      </c>
    </row>
    <row r="1068" spans="2:18" ht="30.75" customHeight="1" x14ac:dyDescent="0.3">
      <c r="B1068" s="32"/>
      <c r="P1068" s="31">
        <f t="shared" si="34"/>
        <v>0</v>
      </c>
      <c r="R1068" s="31">
        <f t="shared" si="35"/>
        <v>0</v>
      </c>
    </row>
    <row r="1069" spans="2:18" ht="30.75" customHeight="1" x14ac:dyDescent="0.3">
      <c r="B1069" s="32"/>
      <c r="P1069" s="31">
        <f t="shared" si="34"/>
        <v>0</v>
      </c>
      <c r="R1069" s="31">
        <f t="shared" si="35"/>
        <v>0</v>
      </c>
    </row>
    <row r="1070" spans="2:18" ht="30.75" customHeight="1" x14ac:dyDescent="0.3">
      <c r="B1070" s="32"/>
      <c r="P1070" s="31">
        <f t="shared" si="34"/>
        <v>0</v>
      </c>
      <c r="R1070" s="31">
        <f t="shared" si="35"/>
        <v>0</v>
      </c>
    </row>
    <row r="1071" spans="2:18" ht="30.75" customHeight="1" x14ac:dyDescent="0.3">
      <c r="B1071" s="32"/>
      <c r="P1071" s="31">
        <f t="shared" si="34"/>
        <v>0</v>
      </c>
      <c r="R1071" s="31">
        <f t="shared" si="35"/>
        <v>0</v>
      </c>
    </row>
    <row r="1072" spans="2:18" ht="30.75" customHeight="1" x14ac:dyDescent="0.3">
      <c r="B1072" s="32"/>
      <c r="P1072" s="31">
        <f t="shared" si="34"/>
        <v>0</v>
      </c>
      <c r="R1072" s="31">
        <f>R1070+K1072-L1072-M1072-N1072+O1072-Q1072</f>
        <v>0</v>
      </c>
    </row>
    <row r="1073" spans="2:18" ht="30.75" customHeight="1" x14ac:dyDescent="0.3">
      <c r="B1073" s="32"/>
      <c r="P1073" s="31">
        <f t="shared" si="34"/>
        <v>0</v>
      </c>
      <c r="R1073" s="31">
        <f t="shared" ref="R1073:R1136" si="36">R1072+K1073-L1073-M1073-N1073+O1073-Q1073</f>
        <v>0</v>
      </c>
    </row>
    <row r="1074" spans="2:18" ht="30.75" customHeight="1" x14ac:dyDescent="0.3">
      <c r="B1074" s="32"/>
      <c r="P1074" s="31">
        <f t="shared" si="34"/>
        <v>0</v>
      </c>
      <c r="R1074" s="31">
        <f t="shared" si="36"/>
        <v>0</v>
      </c>
    </row>
    <row r="1075" spans="2:18" ht="30.75" customHeight="1" x14ac:dyDescent="0.3">
      <c r="B1075" s="32"/>
      <c r="P1075" s="31">
        <f t="shared" si="34"/>
        <v>0</v>
      </c>
      <c r="R1075" s="31">
        <f t="shared" si="36"/>
        <v>0</v>
      </c>
    </row>
    <row r="1076" spans="2:18" ht="30.75" customHeight="1" x14ac:dyDescent="0.3">
      <c r="B1076" s="32"/>
      <c r="P1076" s="31">
        <f t="shared" si="34"/>
        <v>0</v>
      </c>
      <c r="R1076" s="31">
        <f t="shared" si="36"/>
        <v>0</v>
      </c>
    </row>
    <row r="1077" spans="2:18" ht="30.75" customHeight="1" x14ac:dyDescent="0.3">
      <c r="B1077" s="32"/>
      <c r="P1077" s="31">
        <f t="shared" si="34"/>
        <v>0</v>
      </c>
      <c r="R1077" s="31">
        <f t="shared" si="36"/>
        <v>0</v>
      </c>
    </row>
    <row r="1078" spans="2:18" ht="30.75" customHeight="1" x14ac:dyDescent="0.3">
      <c r="B1078" s="32"/>
      <c r="P1078" s="31">
        <f t="shared" si="34"/>
        <v>0</v>
      </c>
      <c r="R1078" s="31">
        <f t="shared" si="36"/>
        <v>0</v>
      </c>
    </row>
    <row r="1079" spans="2:18" ht="30.75" customHeight="1" x14ac:dyDescent="0.3">
      <c r="B1079" s="32"/>
      <c r="P1079" s="31">
        <f t="shared" si="34"/>
        <v>0</v>
      </c>
      <c r="R1079" s="31">
        <f t="shared" si="36"/>
        <v>0</v>
      </c>
    </row>
    <row r="1080" spans="2:18" ht="30.75" customHeight="1" x14ac:dyDescent="0.3">
      <c r="B1080" s="32"/>
      <c r="P1080" s="31">
        <f t="shared" si="34"/>
        <v>0</v>
      </c>
      <c r="R1080" s="31">
        <f t="shared" si="36"/>
        <v>0</v>
      </c>
    </row>
    <row r="1081" spans="2:18" ht="30.75" customHeight="1" x14ac:dyDescent="0.3">
      <c r="B1081" s="32"/>
      <c r="P1081" s="31">
        <f t="shared" si="34"/>
        <v>0</v>
      </c>
      <c r="R1081" s="31">
        <f t="shared" si="36"/>
        <v>0</v>
      </c>
    </row>
    <row r="1082" spans="2:18" ht="30.75" customHeight="1" x14ac:dyDescent="0.3">
      <c r="B1082" s="32"/>
      <c r="P1082" s="31">
        <f t="shared" si="34"/>
        <v>0</v>
      </c>
      <c r="R1082" s="31">
        <f t="shared" si="36"/>
        <v>0</v>
      </c>
    </row>
    <row r="1083" spans="2:18" ht="30.75" customHeight="1" x14ac:dyDescent="0.3">
      <c r="B1083" s="32"/>
      <c r="P1083" s="31">
        <f t="shared" si="34"/>
        <v>0</v>
      </c>
      <c r="R1083" s="31">
        <f t="shared" si="36"/>
        <v>0</v>
      </c>
    </row>
    <row r="1084" spans="2:18" ht="30.75" customHeight="1" x14ac:dyDescent="0.3">
      <c r="B1084" s="32"/>
      <c r="P1084" s="31">
        <f t="shared" si="34"/>
        <v>0</v>
      </c>
      <c r="R1084" s="31">
        <f t="shared" si="36"/>
        <v>0</v>
      </c>
    </row>
    <row r="1085" spans="2:18" ht="30.75" customHeight="1" x14ac:dyDescent="0.3">
      <c r="B1085" s="32"/>
      <c r="P1085" s="31">
        <f t="shared" si="34"/>
        <v>0</v>
      </c>
      <c r="R1085" s="31">
        <f t="shared" si="36"/>
        <v>0</v>
      </c>
    </row>
    <row r="1086" spans="2:18" ht="30.75" customHeight="1" x14ac:dyDescent="0.3">
      <c r="B1086" s="32"/>
      <c r="P1086" s="31">
        <f t="shared" si="34"/>
        <v>0</v>
      </c>
      <c r="R1086" s="31">
        <f t="shared" si="36"/>
        <v>0</v>
      </c>
    </row>
    <row r="1087" spans="2:18" ht="30.75" customHeight="1" x14ac:dyDescent="0.3">
      <c r="B1087" s="32"/>
      <c r="P1087" s="31">
        <f t="shared" si="34"/>
        <v>0</v>
      </c>
      <c r="R1087" s="31">
        <f t="shared" si="36"/>
        <v>0</v>
      </c>
    </row>
    <row r="1088" spans="2:18" ht="30.75" customHeight="1" x14ac:dyDescent="0.3">
      <c r="B1088" s="32"/>
      <c r="P1088" s="31">
        <f t="shared" si="34"/>
        <v>0</v>
      </c>
      <c r="R1088" s="31">
        <f t="shared" si="36"/>
        <v>0</v>
      </c>
    </row>
    <row r="1089" spans="2:18" ht="30.75" customHeight="1" x14ac:dyDescent="0.3">
      <c r="B1089" s="32"/>
      <c r="P1089" s="31">
        <f t="shared" si="34"/>
        <v>0</v>
      </c>
      <c r="R1089" s="31">
        <f t="shared" si="36"/>
        <v>0</v>
      </c>
    </row>
    <row r="1090" spans="2:18" ht="30.75" customHeight="1" x14ac:dyDescent="0.3">
      <c r="B1090" s="32"/>
      <c r="P1090" s="31">
        <f t="shared" si="34"/>
        <v>0</v>
      </c>
      <c r="R1090" s="31">
        <f t="shared" si="36"/>
        <v>0</v>
      </c>
    </row>
    <row r="1091" spans="2:18" ht="30.75" customHeight="1" x14ac:dyDescent="0.3">
      <c r="B1091" s="32"/>
      <c r="P1091" s="31">
        <f t="shared" si="34"/>
        <v>0</v>
      </c>
      <c r="R1091" s="31">
        <f t="shared" si="36"/>
        <v>0</v>
      </c>
    </row>
    <row r="1092" spans="2:18" ht="30.75" customHeight="1" x14ac:dyDescent="0.3">
      <c r="B1092" s="32"/>
      <c r="P1092" s="31">
        <f t="shared" si="34"/>
        <v>0</v>
      </c>
      <c r="R1092" s="31">
        <f t="shared" si="36"/>
        <v>0</v>
      </c>
    </row>
    <row r="1093" spans="2:18" ht="30.75" customHeight="1" x14ac:dyDescent="0.3">
      <c r="B1093" s="32"/>
      <c r="P1093" s="31">
        <f t="shared" si="34"/>
        <v>0</v>
      </c>
      <c r="R1093" s="31">
        <f t="shared" si="36"/>
        <v>0</v>
      </c>
    </row>
    <row r="1094" spans="2:18" ht="30.75" customHeight="1" x14ac:dyDescent="0.3">
      <c r="B1094" s="32"/>
      <c r="P1094" s="31">
        <f t="shared" si="34"/>
        <v>0</v>
      </c>
      <c r="R1094" s="31">
        <f t="shared" si="36"/>
        <v>0</v>
      </c>
    </row>
    <row r="1095" spans="2:18" ht="30.75" customHeight="1" x14ac:dyDescent="0.3">
      <c r="B1095" s="32"/>
      <c r="P1095" s="31">
        <f t="shared" si="34"/>
        <v>0</v>
      </c>
      <c r="R1095" s="31">
        <f t="shared" si="36"/>
        <v>0</v>
      </c>
    </row>
    <row r="1096" spans="2:18" ht="30.75" customHeight="1" x14ac:dyDescent="0.3">
      <c r="B1096" s="32"/>
      <c r="P1096" s="31">
        <f t="shared" si="34"/>
        <v>0</v>
      </c>
      <c r="R1096" s="31">
        <f t="shared" si="36"/>
        <v>0</v>
      </c>
    </row>
    <row r="1097" spans="2:18" ht="30.75" customHeight="1" x14ac:dyDescent="0.3">
      <c r="B1097" s="32"/>
      <c r="P1097" s="31">
        <f t="shared" si="34"/>
        <v>0</v>
      </c>
      <c r="R1097" s="31">
        <f t="shared" si="36"/>
        <v>0</v>
      </c>
    </row>
    <row r="1098" spans="2:18" ht="30.75" customHeight="1" x14ac:dyDescent="0.3">
      <c r="B1098" s="32"/>
      <c r="P1098" s="31">
        <f t="shared" si="34"/>
        <v>0</v>
      </c>
      <c r="R1098" s="31">
        <f t="shared" si="36"/>
        <v>0</v>
      </c>
    </row>
    <row r="1099" spans="2:18" ht="30.75" customHeight="1" x14ac:dyDescent="0.3">
      <c r="B1099" s="32"/>
      <c r="P1099" s="31">
        <f t="shared" si="34"/>
        <v>0</v>
      </c>
      <c r="R1099" s="31">
        <f t="shared" si="36"/>
        <v>0</v>
      </c>
    </row>
    <row r="1100" spans="2:18" ht="30.75" customHeight="1" x14ac:dyDescent="0.3">
      <c r="B1100" s="32"/>
      <c r="P1100" s="31">
        <f t="shared" ref="P1100:P1163" si="37">K1100-L1100-M1100-N1100+O1100</f>
        <v>0</v>
      </c>
      <c r="R1100" s="31">
        <f t="shared" si="36"/>
        <v>0</v>
      </c>
    </row>
    <row r="1101" spans="2:18" ht="30.75" customHeight="1" x14ac:dyDescent="0.3">
      <c r="B1101" s="32"/>
      <c r="P1101" s="31">
        <f t="shared" si="37"/>
        <v>0</v>
      </c>
      <c r="R1101" s="31">
        <f t="shared" si="36"/>
        <v>0</v>
      </c>
    </row>
    <row r="1102" spans="2:18" ht="30.75" customHeight="1" x14ac:dyDescent="0.3">
      <c r="B1102" s="32"/>
      <c r="P1102" s="31">
        <f t="shared" si="37"/>
        <v>0</v>
      </c>
      <c r="R1102" s="31">
        <f t="shared" si="36"/>
        <v>0</v>
      </c>
    </row>
    <row r="1103" spans="2:18" ht="30.75" customHeight="1" x14ac:dyDescent="0.3">
      <c r="B1103" s="32"/>
      <c r="P1103" s="31">
        <f t="shared" si="37"/>
        <v>0</v>
      </c>
      <c r="R1103" s="31">
        <f t="shared" si="36"/>
        <v>0</v>
      </c>
    </row>
    <row r="1104" spans="2:18" ht="30.75" customHeight="1" x14ac:dyDescent="0.3">
      <c r="B1104" s="32"/>
      <c r="P1104" s="31">
        <f t="shared" si="37"/>
        <v>0</v>
      </c>
      <c r="R1104" s="31">
        <f t="shared" si="36"/>
        <v>0</v>
      </c>
    </row>
    <row r="1105" spans="2:18" ht="30.75" customHeight="1" x14ac:dyDescent="0.3">
      <c r="B1105" s="32"/>
      <c r="P1105" s="31">
        <f t="shared" si="37"/>
        <v>0</v>
      </c>
      <c r="R1105" s="31">
        <f t="shared" si="36"/>
        <v>0</v>
      </c>
    </row>
    <row r="1106" spans="2:18" ht="30.75" customHeight="1" x14ac:dyDescent="0.3">
      <c r="B1106" s="32"/>
      <c r="P1106" s="31">
        <f t="shared" si="37"/>
        <v>0</v>
      </c>
      <c r="R1106" s="31">
        <f t="shared" si="36"/>
        <v>0</v>
      </c>
    </row>
    <row r="1107" spans="2:18" ht="30.75" customHeight="1" x14ac:dyDescent="0.3">
      <c r="B1107" s="32"/>
      <c r="P1107" s="31">
        <f t="shared" si="37"/>
        <v>0</v>
      </c>
      <c r="R1107" s="31">
        <f t="shared" si="36"/>
        <v>0</v>
      </c>
    </row>
    <row r="1108" spans="2:18" ht="30.75" customHeight="1" x14ac:dyDescent="0.3">
      <c r="B1108" s="32"/>
      <c r="P1108" s="31">
        <f t="shared" si="37"/>
        <v>0</v>
      </c>
      <c r="R1108" s="31">
        <f t="shared" si="36"/>
        <v>0</v>
      </c>
    </row>
    <row r="1109" spans="2:18" ht="30.75" customHeight="1" x14ac:dyDescent="0.3">
      <c r="B1109" s="32"/>
      <c r="P1109" s="31">
        <f t="shared" si="37"/>
        <v>0</v>
      </c>
      <c r="R1109" s="31">
        <f t="shared" si="36"/>
        <v>0</v>
      </c>
    </row>
    <row r="1110" spans="2:18" ht="30.75" customHeight="1" x14ac:dyDescent="0.3">
      <c r="B1110" s="32"/>
      <c r="P1110" s="31">
        <f t="shared" si="37"/>
        <v>0</v>
      </c>
      <c r="R1110" s="31">
        <f t="shared" si="36"/>
        <v>0</v>
      </c>
    </row>
    <row r="1111" spans="2:18" ht="30.75" customHeight="1" x14ac:dyDescent="0.3">
      <c r="B1111" s="32"/>
      <c r="P1111" s="31">
        <f t="shared" si="37"/>
        <v>0</v>
      </c>
      <c r="R1111" s="31">
        <f t="shared" si="36"/>
        <v>0</v>
      </c>
    </row>
    <row r="1112" spans="2:18" ht="30.75" customHeight="1" x14ac:dyDescent="0.3">
      <c r="B1112" s="32"/>
      <c r="P1112" s="31">
        <f t="shared" si="37"/>
        <v>0</v>
      </c>
      <c r="R1112" s="31">
        <f t="shared" si="36"/>
        <v>0</v>
      </c>
    </row>
    <row r="1113" spans="2:18" ht="30.75" customHeight="1" x14ac:dyDescent="0.3">
      <c r="B1113" s="32"/>
      <c r="P1113" s="31">
        <f t="shared" si="37"/>
        <v>0</v>
      </c>
      <c r="R1113" s="31">
        <f t="shared" si="36"/>
        <v>0</v>
      </c>
    </row>
    <row r="1114" spans="2:18" ht="30.75" customHeight="1" x14ac:dyDescent="0.3">
      <c r="B1114" s="32"/>
      <c r="P1114" s="31">
        <f t="shared" si="37"/>
        <v>0</v>
      </c>
      <c r="R1114" s="31">
        <f t="shared" si="36"/>
        <v>0</v>
      </c>
    </row>
    <row r="1115" spans="2:18" ht="30.75" customHeight="1" x14ac:dyDescent="0.3">
      <c r="B1115" s="32"/>
      <c r="P1115" s="31">
        <f t="shared" si="37"/>
        <v>0</v>
      </c>
      <c r="R1115" s="31">
        <f t="shared" si="36"/>
        <v>0</v>
      </c>
    </row>
    <row r="1116" spans="2:18" ht="30.75" customHeight="1" x14ac:dyDescent="0.3">
      <c r="B1116" s="32"/>
      <c r="P1116" s="31">
        <f t="shared" si="37"/>
        <v>0</v>
      </c>
      <c r="R1116" s="31">
        <f t="shared" si="36"/>
        <v>0</v>
      </c>
    </row>
    <row r="1117" spans="2:18" ht="30.75" customHeight="1" x14ac:dyDescent="0.3">
      <c r="B1117" s="32"/>
      <c r="P1117" s="31">
        <f t="shared" si="37"/>
        <v>0</v>
      </c>
      <c r="R1117" s="31">
        <f t="shared" si="36"/>
        <v>0</v>
      </c>
    </row>
    <row r="1118" spans="2:18" ht="30.75" customHeight="1" x14ac:dyDescent="0.3">
      <c r="B1118" s="32"/>
      <c r="P1118" s="31">
        <f t="shared" si="37"/>
        <v>0</v>
      </c>
      <c r="R1118" s="31">
        <f t="shared" si="36"/>
        <v>0</v>
      </c>
    </row>
    <row r="1119" spans="2:18" ht="30.75" customHeight="1" x14ac:dyDescent="0.3">
      <c r="B1119" s="32"/>
      <c r="P1119" s="31">
        <f t="shared" si="37"/>
        <v>0</v>
      </c>
      <c r="R1119" s="31">
        <f t="shared" si="36"/>
        <v>0</v>
      </c>
    </row>
    <row r="1120" spans="2:18" ht="30.75" customHeight="1" x14ac:dyDescent="0.3">
      <c r="B1120" s="32"/>
      <c r="P1120" s="31">
        <f t="shared" si="37"/>
        <v>0</v>
      </c>
      <c r="R1120" s="31">
        <f t="shared" si="36"/>
        <v>0</v>
      </c>
    </row>
    <row r="1121" spans="2:18" ht="30.75" customHeight="1" x14ac:dyDescent="0.3">
      <c r="B1121" s="32"/>
      <c r="P1121" s="31">
        <f t="shared" si="37"/>
        <v>0</v>
      </c>
      <c r="R1121" s="31">
        <f t="shared" si="36"/>
        <v>0</v>
      </c>
    </row>
    <row r="1122" spans="2:18" ht="30.75" customHeight="1" x14ac:dyDescent="0.3">
      <c r="B1122" s="32"/>
      <c r="P1122" s="31">
        <f t="shared" si="37"/>
        <v>0</v>
      </c>
      <c r="R1122" s="31">
        <f t="shared" si="36"/>
        <v>0</v>
      </c>
    </row>
    <row r="1123" spans="2:18" ht="30.75" customHeight="1" x14ac:dyDescent="0.3">
      <c r="B1123" s="32"/>
      <c r="P1123" s="31">
        <f t="shared" si="37"/>
        <v>0</v>
      </c>
      <c r="R1123" s="31">
        <f t="shared" si="36"/>
        <v>0</v>
      </c>
    </row>
    <row r="1124" spans="2:18" ht="30.75" customHeight="1" x14ac:dyDescent="0.3">
      <c r="B1124" s="32"/>
      <c r="P1124" s="31">
        <f t="shared" si="37"/>
        <v>0</v>
      </c>
      <c r="R1124" s="31">
        <f t="shared" si="36"/>
        <v>0</v>
      </c>
    </row>
    <row r="1125" spans="2:18" ht="30.75" customHeight="1" x14ac:dyDescent="0.3">
      <c r="B1125" s="32"/>
      <c r="P1125" s="31">
        <f t="shared" si="37"/>
        <v>0</v>
      </c>
      <c r="R1125" s="31">
        <f t="shared" si="36"/>
        <v>0</v>
      </c>
    </row>
    <row r="1126" spans="2:18" ht="30.75" customHeight="1" x14ac:dyDescent="0.3">
      <c r="B1126" s="32"/>
      <c r="P1126" s="31">
        <f t="shared" si="37"/>
        <v>0</v>
      </c>
      <c r="R1126" s="31">
        <f t="shared" si="36"/>
        <v>0</v>
      </c>
    </row>
    <row r="1127" spans="2:18" ht="30.75" customHeight="1" x14ac:dyDescent="0.3">
      <c r="B1127" s="32"/>
      <c r="P1127" s="31">
        <f t="shared" si="37"/>
        <v>0</v>
      </c>
      <c r="R1127" s="31">
        <f t="shared" si="36"/>
        <v>0</v>
      </c>
    </row>
    <row r="1128" spans="2:18" ht="30.75" customHeight="1" x14ac:dyDescent="0.3">
      <c r="B1128" s="32"/>
      <c r="P1128" s="31">
        <f t="shared" si="37"/>
        <v>0</v>
      </c>
      <c r="R1128" s="31">
        <f t="shared" si="36"/>
        <v>0</v>
      </c>
    </row>
    <row r="1129" spans="2:18" ht="30.75" customHeight="1" x14ac:dyDescent="0.3">
      <c r="B1129" s="32"/>
      <c r="P1129" s="31">
        <f t="shared" si="37"/>
        <v>0</v>
      </c>
      <c r="R1129" s="31">
        <f t="shared" si="36"/>
        <v>0</v>
      </c>
    </row>
    <row r="1130" spans="2:18" ht="30.75" customHeight="1" x14ac:dyDescent="0.3">
      <c r="B1130" s="32"/>
      <c r="P1130" s="31">
        <f t="shared" si="37"/>
        <v>0</v>
      </c>
      <c r="R1130" s="31">
        <f t="shared" si="36"/>
        <v>0</v>
      </c>
    </row>
    <row r="1131" spans="2:18" ht="30.75" customHeight="1" x14ac:dyDescent="0.3">
      <c r="B1131" s="32"/>
      <c r="P1131" s="31">
        <f t="shared" si="37"/>
        <v>0</v>
      </c>
      <c r="R1131" s="31">
        <f t="shared" si="36"/>
        <v>0</v>
      </c>
    </row>
    <row r="1132" spans="2:18" ht="30.75" customHeight="1" x14ac:dyDescent="0.3">
      <c r="B1132" s="32"/>
      <c r="P1132" s="31">
        <f t="shared" si="37"/>
        <v>0</v>
      </c>
      <c r="R1132" s="31">
        <f t="shared" si="36"/>
        <v>0</v>
      </c>
    </row>
    <row r="1133" spans="2:18" ht="30.75" customHeight="1" x14ac:dyDescent="0.3">
      <c r="B1133" s="32"/>
      <c r="P1133" s="31">
        <f t="shared" si="37"/>
        <v>0</v>
      </c>
      <c r="R1133" s="31">
        <f t="shared" si="36"/>
        <v>0</v>
      </c>
    </row>
    <row r="1134" spans="2:18" ht="30.75" customHeight="1" x14ac:dyDescent="0.3">
      <c r="B1134" s="32"/>
      <c r="P1134" s="31">
        <f t="shared" si="37"/>
        <v>0</v>
      </c>
      <c r="R1134" s="31">
        <f t="shared" si="36"/>
        <v>0</v>
      </c>
    </row>
    <row r="1135" spans="2:18" ht="30.75" customHeight="1" x14ac:dyDescent="0.3">
      <c r="B1135" s="32"/>
      <c r="P1135" s="31">
        <f t="shared" si="37"/>
        <v>0</v>
      </c>
      <c r="R1135" s="31">
        <f t="shared" si="36"/>
        <v>0</v>
      </c>
    </row>
    <row r="1136" spans="2:18" ht="30.75" customHeight="1" x14ac:dyDescent="0.3">
      <c r="B1136" s="32"/>
      <c r="P1136" s="31">
        <f t="shared" si="37"/>
        <v>0</v>
      </c>
      <c r="R1136" s="31">
        <f t="shared" si="36"/>
        <v>0</v>
      </c>
    </row>
    <row r="1137" spans="2:18" ht="30.75" customHeight="1" x14ac:dyDescent="0.3">
      <c r="B1137" s="32"/>
      <c r="P1137" s="31">
        <f t="shared" si="37"/>
        <v>0</v>
      </c>
      <c r="R1137" s="31">
        <f t="shared" ref="R1137:R1200" si="38">R1136+K1137-L1137-M1137-N1137+O1137-Q1137</f>
        <v>0</v>
      </c>
    </row>
    <row r="1138" spans="2:18" ht="30.75" customHeight="1" x14ac:dyDescent="0.3">
      <c r="B1138" s="32"/>
      <c r="P1138" s="31">
        <f t="shared" si="37"/>
        <v>0</v>
      </c>
      <c r="R1138" s="31">
        <f t="shared" si="38"/>
        <v>0</v>
      </c>
    </row>
    <row r="1139" spans="2:18" ht="30.75" customHeight="1" x14ac:dyDescent="0.3">
      <c r="B1139" s="32"/>
      <c r="P1139" s="31">
        <f t="shared" si="37"/>
        <v>0</v>
      </c>
      <c r="R1139" s="31">
        <f t="shared" si="38"/>
        <v>0</v>
      </c>
    </row>
    <row r="1140" spans="2:18" ht="30.75" customHeight="1" x14ac:dyDescent="0.3">
      <c r="B1140" s="32"/>
      <c r="P1140" s="31">
        <f t="shared" si="37"/>
        <v>0</v>
      </c>
      <c r="R1140" s="31">
        <f t="shared" si="38"/>
        <v>0</v>
      </c>
    </row>
    <row r="1141" spans="2:18" ht="30.75" customHeight="1" x14ac:dyDescent="0.3">
      <c r="B1141" s="32"/>
      <c r="P1141" s="31">
        <f t="shared" si="37"/>
        <v>0</v>
      </c>
      <c r="R1141" s="31">
        <f t="shared" si="38"/>
        <v>0</v>
      </c>
    </row>
    <row r="1142" spans="2:18" ht="30.75" customHeight="1" x14ac:dyDescent="0.3">
      <c r="B1142" s="32"/>
      <c r="P1142" s="31">
        <f t="shared" si="37"/>
        <v>0</v>
      </c>
      <c r="R1142" s="31">
        <f t="shared" si="38"/>
        <v>0</v>
      </c>
    </row>
    <row r="1143" spans="2:18" ht="30.75" customHeight="1" x14ac:dyDescent="0.3">
      <c r="B1143" s="32"/>
      <c r="P1143" s="31">
        <f t="shared" si="37"/>
        <v>0</v>
      </c>
      <c r="R1143" s="31">
        <f t="shared" si="38"/>
        <v>0</v>
      </c>
    </row>
    <row r="1144" spans="2:18" ht="30.75" customHeight="1" x14ac:dyDescent="0.3">
      <c r="B1144" s="32"/>
      <c r="P1144" s="31">
        <f t="shared" si="37"/>
        <v>0</v>
      </c>
      <c r="R1144" s="31">
        <f t="shared" si="38"/>
        <v>0</v>
      </c>
    </row>
    <row r="1145" spans="2:18" ht="30.75" customHeight="1" x14ac:dyDescent="0.3">
      <c r="B1145" s="32"/>
      <c r="P1145" s="31">
        <f t="shared" si="37"/>
        <v>0</v>
      </c>
      <c r="R1145" s="31">
        <f t="shared" si="38"/>
        <v>0</v>
      </c>
    </row>
    <row r="1146" spans="2:18" ht="30.75" customHeight="1" x14ac:dyDescent="0.3">
      <c r="B1146" s="32"/>
      <c r="P1146" s="31">
        <f t="shared" si="37"/>
        <v>0</v>
      </c>
      <c r="R1146" s="31">
        <f t="shared" si="38"/>
        <v>0</v>
      </c>
    </row>
    <row r="1147" spans="2:18" ht="30.75" customHeight="1" x14ac:dyDescent="0.3">
      <c r="B1147" s="32"/>
      <c r="P1147" s="31">
        <f t="shared" si="37"/>
        <v>0</v>
      </c>
      <c r="R1147" s="31">
        <f t="shared" si="38"/>
        <v>0</v>
      </c>
    </row>
    <row r="1148" spans="2:18" ht="30.75" customHeight="1" x14ac:dyDescent="0.3">
      <c r="B1148" s="32"/>
      <c r="P1148" s="31">
        <f t="shared" si="37"/>
        <v>0</v>
      </c>
      <c r="R1148" s="31">
        <f t="shared" si="38"/>
        <v>0</v>
      </c>
    </row>
    <row r="1149" spans="2:18" ht="30.75" customHeight="1" x14ac:dyDescent="0.3">
      <c r="B1149" s="32"/>
      <c r="P1149" s="31">
        <f t="shared" si="37"/>
        <v>0</v>
      </c>
      <c r="R1149" s="31">
        <f t="shared" si="38"/>
        <v>0</v>
      </c>
    </row>
    <row r="1150" spans="2:18" ht="30.75" customHeight="1" x14ac:dyDescent="0.3">
      <c r="B1150" s="32"/>
      <c r="P1150" s="31">
        <f t="shared" si="37"/>
        <v>0</v>
      </c>
      <c r="R1150" s="31">
        <f t="shared" si="38"/>
        <v>0</v>
      </c>
    </row>
    <row r="1151" spans="2:18" ht="30.75" customHeight="1" x14ac:dyDescent="0.3">
      <c r="B1151" s="32"/>
      <c r="P1151" s="31">
        <f t="shared" si="37"/>
        <v>0</v>
      </c>
      <c r="R1151" s="31">
        <f t="shared" si="38"/>
        <v>0</v>
      </c>
    </row>
    <row r="1152" spans="2:18" ht="30.75" customHeight="1" x14ac:dyDescent="0.3">
      <c r="B1152" s="32"/>
      <c r="P1152" s="31">
        <f t="shared" si="37"/>
        <v>0</v>
      </c>
      <c r="R1152" s="31">
        <f t="shared" si="38"/>
        <v>0</v>
      </c>
    </row>
    <row r="1153" spans="2:18" ht="30.75" customHeight="1" x14ac:dyDescent="0.3">
      <c r="B1153" s="32"/>
      <c r="P1153" s="31">
        <f t="shared" si="37"/>
        <v>0</v>
      </c>
      <c r="R1153" s="31">
        <f t="shared" si="38"/>
        <v>0</v>
      </c>
    </row>
    <row r="1154" spans="2:18" ht="30.75" customHeight="1" x14ac:dyDescent="0.3">
      <c r="B1154" s="32"/>
      <c r="P1154" s="31">
        <f t="shared" si="37"/>
        <v>0</v>
      </c>
      <c r="R1154" s="31">
        <f t="shared" si="38"/>
        <v>0</v>
      </c>
    </row>
    <row r="1155" spans="2:18" ht="30.75" customHeight="1" x14ac:dyDescent="0.3">
      <c r="B1155" s="32"/>
      <c r="P1155" s="31">
        <f t="shared" si="37"/>
        <v>0</v>
      </c>
      <c r="R1155" s="31">
        <f t="shared" si="38"/>
        <v>0</v>
      </c>
    </row>
    <row r="1156" spans="2:18" ht="30.75" customHeight="1" x14ac:dyDescent="0.3">
      <c r="B1156" s="32"/>
      <c r="P1156" s="31">
        <f t="shared" si="37"/>
        <v>0</v>
      </c>
      <c r="R1156" s="31">
        <f t="shared" si="38"/>
        <v>0</v>
      </c>
    </row>
    <row r="1157" spans="2:18" ht="30.75" customHeight="1" x14ac:dyDescent="0.3">
      <c r="B1157" s="32"/>
      <c r="P1157" s="31">
        <f t="shared" si="37"/>
        <v>0</v>
      </c>
      <c r="R1157" s="31">
        <f t="shared" si="38"/>
        <v>0</v>
      </c>
    </row>
    <row r="1158" spans="2:18" ht="30.75" customHeight="1" x14ac:dyDescent="0.3">
      <c r="B1158" s="32"/>
      <c r="P1158" s="31">
        <f t="shared" si="37"/>
        <v>0</v>
      </c>
      <c r="R1158" s="31">
        <f t="shared" si="38"/>
        <v>0</v>
      </c>
    </row>
    <row r="1159" spans="2:18" ht="30.75" customHeight="1" x14ac:dyDescent="0.3">
      <c r="B1159" s="32"/>
      <c r="P1159" s="31">
        <f t="shared" si="37"/>
        <v>0</v>
      </c>
      <c r="R1159" s="31">
        <f t="shared" si="38"/>
        <v>0</v>
      </c>
    </row>
    <row r="1160" spans="2:18" ht="30.75" customHeight="1" x14ac:dyDescent="0.3">
      <c r="B1160" s="32"/>
      <c r="P1160" s="31">
        <f t="shared" si="37"/>
        <v>0</v>
      </c>
      <c r="R1160" s="31">
        <f t="shared" si="38"/>
        <v>0</v>
      </c>
    </row>
    <row r="1161" spans="2:18" ht="30.75" customHeight="1" x14ac:dyDescent="0.3">
      <c r="B1161" s="32"/>
      <c r="P1161" s="31">
        <f t="shared" si="37"/>
        <v>0</v>
      </c>
      <c r="R1161" s="31">
        <f t="shared" si="38"/>
        <v>0</v>
      </c>
    </row>
    <row r="1162" spans="2:18" ht="30.75" customHeight="1" x14ac:dyDescent="0.3">
      <c r="B1162" s="32"/>
      <c r="P1162" s="31">
        <f t="shared" si="37"/>
        <v>0</v>
      </c>
      <c r="R1162" s="31">
        <f t="shared" si="38"/>
        <v>0</v>
      </c>
    </row>
    <row r="1163" spans="2:18" ht="30.75" customHeight="1" x14ac:dyDescent="0.3">
      <c r="B1163" s="32"/>
      <c r="P1163" s="31">
        <f t="shared" si="37"/>
        <v>0</v>
      </c>
      <c r="R1163" s="31">
        <f t="shared" si="38"/>
        <v>0</v>
      </c>
    </row>
    <row r="1164" spans="2:18" ht="30.75" customHeight="1" x14ac:dyDescent="0.3">
      <c r="B1164" s="32"/>
      <c r="P1164" s="31">
        <f t="shared" ref="P1164:P1227" si="39">K1164-L1164-M1164-N1164+O1164</f>
        <v>0</v>
      </c>
      <c r="R1164" s="31">
        <f t="shared" si="38"/>
        <v>0</v>
      </c>
    </row>
    <row r="1165" spans="2:18" ht="30.75" customHeight="1" x14ac:dyDescent="0.3">
      <c r="B1165" s="32"/>
      <c r="P1165" s="31">
        <f t="shared" si="39"/>
        <v>0</v>
      </c>
      <c r="R1165" s="31">
        <f t="shared" si="38"/>
        <v>0</v>
      </c>
    </row>
    <row r="1166" spans="2:18" ht="30.75" customHeight="1" x14ac:dyDescent="0.3">
      <c r="B1166" s="32"/>
      <c r="P1166" s="31">
        <f t="shared" si="39"/>
        <v>0</v>
      </c>
      <c r="R1166" s="31">
        <f t="shared" si="38"/>
        <v>0</v>
      </c>
    </row>
    <row r="1167" spans="2:18" ht="30.75" customHeight="1" x14ac:dyDescent="0.3">
      <c r="B1167" s="32"/>
      <c r="P1167" s="31">
        <f t="shared" si="39"/>
        <v>0</v>
      </c>
      <c r="R1167" s="31">
        <f t="shared" si="38"/>
        <v>0</v>
      </c>
    </row>
    <row r="1168" spans="2:18" ht="30.75" customHeight="1" x14ac:dyDescent="0.3">
      <c r="B1168" s="32"/>
      <c r="P1168" s="31">
        <f t="shared" si="39"/>
        <v>0</v>
      </c>
      <c r="R1168" s="31">
        <f t="shared" si="38"/>
        <v>0</v>
      </c>
    </row>
    <row r="1169" spans="2:18" ht="30.75" customHeight="1" x14ac:dyDescent="0.3">
      <c r="B1169" s="32"/>
      <c r="P1169" s="31">
        <f t="shared" si="39"/>
        <v>0</v>
      </c>
      <c r="R1169" s="31">
        <f t="shared" si="38"/>
        <v>0</v>
      </c>
    </row>
    <row r="1170" spans="2:18" ht="30.75" customHeight="1" x14ac:dyDescent="0.3">
      <c r="B1170" s="32"/>
      <c r="P1170" s="31">
        <f t="shared" si="39"/>
        <v>0</v>
      </c>
      <c r="R1170" s="31">
        <f t="shared" si="38"/>
        <v>0</v>
      </c>
    </row>
    <row r="1171" spans="2:18" ht="30.75" customHeight="1" x14ac:dyDescent="0.3">
      <c r="B1171" s="32"/>
      <c r="P1171" s="31">
        <f t="shared" si="39"/>
        <v>0</v>
      </c>
      <c r="R1171" s="31">
        <f t="shared" si="38"/>
        <v>0</v>
      </c>
    </row>
    <row r="1172" spans="2:18" ht="30.75" customHeight="1" x14ac:dyDescent="0.3">
      <c r="B1172" s="32"/>
      <c r="P1172" s="31">
        <f t="shared" si="39"/>
        <v>0</v>
      </c>
      <c r="R1172" s="31">
        <f t="shared" si="38"/>
        <v>0</v>
      </c>
    </row>
    <row r="1173" spans="2:18" ht="30.75" customHeight="1" x14ac:dyDescent="0.3">
      <c r="B1173" s="32"/>
      <c r="P1173" s="31">
        <f t="shared" si="39"/>
        <v>0</v>
      </c>
      <c r="R1173" s="31">
        <f t="shared" si="38"/>
        <v>0</v>
      </c>
    </row>
    <row r="1174" spans="2:18" ht="30.75" customHeight="1" x14ac:dyDescent="0.3">
      <c r="B1174" s="32"/>
      <c r="P1174" s="31">
        <f t="shared" si="39"/>
        <v>0</v>
      </c>
      <c r="R1174" s="31">
        <f t="shared" si="38"/>
        <v>0</v>
      </c>
    </row>
    <row r="1175" spans="2:18" ht="30.75" customHeight="1" x14ac:dyDescent="0.3">
      <c r="B1175" s="32"/>
      <c r="P1175" s="31">
        <f t="shared" si="39"/>
        <v>0</v>
      </c>
      <c r="R1175" s="31">
        <f t="shared" si="38"/>
        <v>0</v>
      </c>
    </row>
    <row r="1176" spans="2:18" ht="30.75" customHeight="1" x14ac:dyDescent="0.3">
      <c r="B1176" s="32"/>
      <c r="P1176" s="31">
        <f t="shared" si="39"/>
        <v>0</v>
      </c>
      <c r="R1176" s="31">
        <f t="shared" si="38"/>
        <v>0</v>
      </c>
    </row>
    <row r="1177" spans="2:18" ht="30.75" customHeight="1" x14ac:dyDescent="0.3">
      <c r="B1177" s="32"/>
      <c r="P1177" s="31">
        <f t="shared" si="39"/>
        <v>0</v>
      </c>
      <c r="R1177" s="31">
        <f t="shared" si="38"/>
        <v>0</v>
      </c>
    </row>
    <row r="1178" spans="2:18" ht="30.75" customHeight="1" x14ac:dyDescent="0.3">
      <c r="B1178" s="32"/>
      <c r="P1178" s="31">
        <f t="shared" si="39"/>
        <v>0</v>
      </c>
      <c r="R1178" s="31">
        <f t="shared" si="38"/>
        <v>0</v>
      </c>
    </row>
    <row r="1179" spans="2:18" ht="30.75" customHeight="1" x14ac:dyDescent="0.3">
      <c r="B1179" s="32"/>
      <c r="P1179" s="31">
        <f t="shared" si="39"/>
        <v>0</v>
      </c>
      <c r="R1179" s="31">
        <f t="shared" si="38"/>
        <v>0</v>
      </c>
    </row>
    <row r="1180" spans="2:18" ht="30.75" customHeight="1" x14ac:dyDescent="0.3">
      <c r="B1180" s="32"/>
      <c r="P1180" s="31">
        <f t="shared" si="39"/>
        <v>0</v>
      </c>
      <c r="R1180" s="31">
        <f t="shared" si="38"/>
        <v>0</v>
      </c>
    </row>
    <row r="1181" spans="2:18" ht="30.75" customHeight="1" x14ac:dyDescent="0.3">
      <c r="B1181" s="32"/>
      <c r="P1181" s="31">
        <f t="shared" si="39"/>
        <v>0</v>
      </c>
      <c r="R1181" s="31">
        <f t="shared" si="38"/>
        <v>0</v>
      </c>
    </row>
    <row r="1182" spans="2:18" ht="30.75" customHeight="1" x14ac:dyDescent="0.3">
      <c r="B1182" s="32"/>
      <c r="P1182" s="31">
        <f t="shared" si="39"/>
        <v>0</v>
      </c>
      <c r="R1182" s="31">
        <f t="shared" si="38"/>
        <v>0</v>
      </c>
    </row>
    <row r="1183" spans="2:18" ht="30.75" customHeight="1" x14ac:dyDescent="0.3">
      <c r="B1183" s="32"/>
      <c r="P1183" s="31">
        <f t="shared" si="39"/>
        <v>0</v>
      </c>
      <c r="R1183" s="31">
        <f t="shared" si="38"/>
        <v>0</v>
      </c>
    </row>
    <row r="1184" spans="2:18" ht="30.75" customHeight="1" x14ac:dyDescent="0.3">
      <c r="B1184" s="32"/>
      <c r="P1184" s="31">
        <f t="shared" si="39"/>
        <v>0</v>
      </c>
      <c r="R1184" s="31">
        <f t="shared" si="38"/>
        <v>0</v>
      </c>
    </row>
    <row r="1185" spans="2:18" ht="30.75" customHeight="1" x14ac:dyDescent="0.3">
      <c r="B1185" s="32"/>
      <c r="P1185" s="31">
        <f t="shared" si="39"/>
        <v>0</v>
      </c>
      <c r="R1185" s="31">
        <f t="shared" si="38"/>
        <v>0</v>
      </c>
    </row>
    <row r="1186" spans="2:18" ht="30.75" customHeight="1" x14ac:dyDescent="0.3">
      <c r="B1186" s="32"/>
      <c r="P1186" s="31">
        <f t="shared" si="39"/>
        <v>0</v>
      </c>
      <c r="R1186" s="31">
        <f t="shared" si="38"/>
        <v>0</v>
      </c>
    </row>
    <row r="1187" spans="2:18" ht="30.75" customHeight="1" x14ac:dyDescent="0.3">
      <c r="B1187" s="32"/>
      <c r="P1187" s="31">
        <f t="shared" si="39"/>
        <v>0</v>
      </c>
      <c r="R1187" s="31">
        <f t="shared" si="38"/>
        <v>0</v>
      </c>
    </row>
    <row r="1188" spans="2:18" ht="30.75" customHeight="1" x14ac:dyDescent="0.3">
      <c r="B1188" s="32"/>
      <c r="D1188" s="58"/>
      <c r="P1188" s="31">
        <f t="shared" si="39"/>
        <v>0</v>
      </c>
      <c r="R1188" s="31">
        <f t="shared" si="38"/>
        <v>0</v>
      </c>
    </row>
    <row r="1189" spans="2:18" ht="30.75" customHeight="1" x14ac:dyDescent="0.3">
      <c r="B1189" s="32"/>
      <c r="P1189" s="31">
        <f t="shared" si="39"/>
        <v>0</v>
      </c>
      <c r="R1189" s="31">
        <f t="shared" si="38"/>
        <v>0</v>
      </c>
    </row>
    <row r="1190" spans="2:18" ht="30.75" customHeight="1" x14ac:dyDescent="0.3">
      <c r="B1190" s="32"/>
      <c r="P1190" s="31">
        <f t="shared" si="39"/>
        <v>0</v>
      </c>
      <c r="R1190" s="31">
        <f t="shared" si="38"/>
        <v>0</v>
      </c>
    </row>
    <row r="1191" spans="2:18" ht="30.75" customHeight="1" x14ac:dyDescent="0.3">
      <c r="B1191" s="32"/>
      <c r="P1191" s="31">
        <f t="shared" si="39"/>
        <v>0</v>
      </c>
      <c r="R1191" s="31">
        <f t="shared" si="38"/>
        <v>0</v>
      </c>
    </row>
    <row r="1192" spans="2:18" ht="30.75" customHeight="1" x14ac:dyDescent="0.3">
      <c r="B1192" s="32"/>
      <c r="P1192" s="31">
        <f t="shared" si="39"/>
        <v>0</v>
      </c>
      <c r="R1192" s="31">
        <f t="shared" si="38"/>
        <v>0</v>
      </c>
    </row>
    <row r="1193" spans="2:18" ht="30.75" customHeight="1" x14ac:dyDescent="0.3">
      <c r="B1193" s="32"/>
      <c r="P1193" s="31">
        <f t="shared" si="39"/>
        <v>0</v>
      </c>
      <c r="R1193" s="31">
        <f t="shared" si="38"/>
        <v>0</v>
      </c>
    </row>
    <row r="1194" spans="2:18" ht="30.75" customHeight="1" x14ac:dyDescent="0.3">
      <c r="B1194" s="32"/>
      <c r="P1194" s="31">
        <f t="shared" si="39"/>
        <v>0</v>
      </c>
      <c r="R1194" s="31">
        <f t="shared" si="38"/>
        <v>0</v>
      </c>
    </row>
    <row r="1195" spans="2:18" ht="30.75" customHeight="1" x14ac:dyDescent="0.3">
      <c r="B1195" s="32"/>
      <c r="P1195" s="31">
        <f t="shared" si="39"/>
        <v>0</v>
      </c>
      <c r="R1195" s="31">
        <f t="shared" si="38"/>
        <v>0</v>
      </c>
    </row>
    <row r="1196" spans="2:18" ht="30.75" customHeight="1" x14ac:dyDescent="0.3">
      <c r="B1196" s="32"/>
      <c r="P1196" s="31">
        <f t="shared" si="39"/>
        <v>0</v>
      </c>
      <c r="R1196" s="31">
        <f t="shared" si="38"/>
        <v>0</v>
      </c>
    </row>
    <row r="1197" spans="2:18" ht="30.75" customHeight="1" x14ac:dyDescent="0.3">
      <c r="B1197" s="32"/>
      <c r="P1197" s="31">
        <f t="shared" si="39"/>
        <v>0</v>
      </c>
      <c r="R1197" s="31">
        <f t="shared" si="38"/>
        <v>0</v>
      </c>
    </row>
    <row r="1198" spans="2:18" ht="30.75" customHeight="1" x14ac:dyDescent="0.3">
      <c r="B1198" s="32"/>
      <c r="P1198" s="31">
        <f t="shared" si="39"/>
        <v>0</v>
      </c>
      <c r="R1198" s="31">
        <f t="shared" si="38"/>
        <v>0</v>
      </c>
    </row>
    <row r="1199" spans="2:18" ht="30.75" customHeight="1" x14ac:dyDescent="0.3">
      <c r="B1199" s="32"/>
      <c r="P1199" s="31">
        <f t="shared" si="39"/>
        <v>0</v>
      </c>
      <c r="R1199" s="31">
        <f t="shared" si="38"/>
        <v>0</v>
      </c>
    </row>
    <row r="1200" spans="2:18" ht="30.75" customHeight="1" x14ac:dyDescent="0.3">
      <c r="B1200" s="32"/>
      <c r="P1200" s="31">
        <f t="shared" si="39"/>
        <v>0</v>
      </c>
      <c r="R1200" s="31">
        <f t="shared" si="38"/>
        <v>0</v>
      </c>
    </row>
    <row r="1201" spans="2:18" ht="30.75" customHeight="1" x14ac:dyDescent="0.3">
      <c r="B1201" s="32"/>
      <c r="P1201" s="31">
        <f t="shared" si="39"/>
        <v>0</v>
      </c>
      <c r="R1201" s="31">
        <f t="shared" ref="R1201:R1264" si="40">R1200+K1201-L1201-M1201-N1201+O1201-Q1201</f>
        <v>0</v>
      </c>
    </row>
    <row r="1202" spans="2:18" ht="30.75" customHeight="1" x14ac:dyDescent="0.3">
      <c r="B1202" s="32"/>
      <c r="P1202" s="31">
        <f t="shared" si="39"/>
        <v>0</v>
      </c>
      <c r="R1202" s="31">
        <f t="shared" si="40"/>
        <v>0</v>
      </c>
    </row>
    <row r="1203" spans="2:18" ht="30.75" customHeight="1" x14ac:dyDescent="0.3">
      <c r="B1203" s="32"/>
      <c r="P1203" s="31">
        <f t="shared" si="39"/>
        <v>0</v>
      </c>
      <c r="R1203" s="31">
        <f t="shared" si="40"/>
        <v>0</v>
      </c>
    </row>
    <row r="1204" spans="2:18" ht="30.75" customHeight="1" x14ac:dyDescent="0.3">
      <c r="B1204" s="32"/>
      <c r="P1204" s="31">
        <f t="shared" si="39"/>
        <v>0</v>
      </c>
      <c r="R1204" s="31">
        <f t="shared" si="40"/>
        <v>0</v>
      </c>
    </row>
    <row r="1205" spans="2:18" ht="30.75" customHeight="1" x14ac:dyDescent="0.3">
      <c r="B1205" s="32"/>
      <c r="P1205" s="31">
        <f t="shared" si="39"/>
        <v>0</v>
      </c>
      <c r="R1205" s="31">
        <f t="shared" si="40"/>
        <v>0</v>
      </c>
    </row>
    <row r="1206" spans="2:18" ht="30.75" customHeight="1" x14ac:dyDescent="0.3">
      <c r="B1206" s="32"/>
      <c r="P1206" s="31">
        <f t="shared" si="39"/>
        <v>0</v>
      </c>
      <c r="R1206" s="31">
        <f t="shared" si="40"/>
        <v>0</v>
      </c>
    </row>
    <row r="1207" spans="2:18" ht="30.75" customHeight="1" x14ac:dyDescent="0.3">
      <c r="B1207" s="32"/>
      <c r="P1207" s="31">
        <f t="shared" si="39"/>
        <v>0</v>
      </c>
      <c r="R1207" s="31">
        <f t="shared" si="40"/>
        <v>0</v>
      </c>
    </row>
    <row r="1208" spans="2:18" ht="30.75" customHeight="1" x14ac:dyDescent="0.3">
      <c r="B1208" s="32"/>
      <c r="P1208" s="31">
        <f t="shared" si="39"/>
        <v>0</v>
      </c>
      <c r="R1208" s="31">
        <f t="shared" si="40"/>
        <v>0</v>
      </c>
    </row>
    <row r="1209" spans="2:18" ht="30.75" customHeight="1" x14ac:dyDescent="0.3">
      <c r="B1209" s="32"/>
      <c r="P1209" s="31">
        <f t="shared" si="39"/>
        <v>0</v>
      </c>
      <c r="R1209" s="31">
        <f t="shared" si="40"/>
        <v>0</v>
      </c>
    </row>
    <row r="1210" spans="2:18" ht="30.75" customHeight="1" x14ac:dyDescent="0.3">
      <c r="B1210" s="32"/>
      <c r="P1210" s="31">
        <f t="shared" si="39"/>
        <v>0</v>
      </c>
      <c r="R1210" s="31">
        <f t="shared" si="40"/>
        <v>0</v>
      </c>
    </row>
    <row r="1211" spans="2:18" ht="30.75" customHeight="1" x14ac:dyDescent="0.3">
      <c r="B1211" s="32"/>
      <c r="P1211" s="31">
        <f t="shared" si="39"/>
        <v>0</v>
      </c>
      <c r="R1211" s="31">
        <f t="shared" si="40"/>
        <v>0</v>
      </c>
    </row>
    <row r="1212" spans="2:18" ht="30.75" customHeight="1" x14ac:dyDescent="0.3">
      <c r="B1212" s="32"/>
      <c r="P1212" s="31">
        <f t="shared" si="39"/>
        <v>0</v>
      </c>
      <c r="R1212" s="31">
        <f t="shared" si="40"/>
        <v>0</v>
      </c>
    </row>
    <row r="1213" spans="2:18" ht="30.75" customHeight="1" x14ac:dyDescent="0.3">
      <c r="B1213" s="32"/>
      <c r="P1213" s="31">
        <f t="shared" si="39"/>
        <v>0</v>
      </c>
      <c r="R1213" s="31">
        <f t="shared" si="40"/>
        <v>0</v>
      </c>
    </row>
    <row r="1214" spans="2:18" ht="30.75" customHeight="1" x14ac:dyDescent="0.3">
      <c r="B1214" s="32"/>
      <c r="P1214" s="31">
        <f t="shared" si="39"/>
        <v>0</v>
      </c>
      <c r="R1214" s="31">
        <f t="shared" si="40"/>
        <v>0</v>
      </c>
    </row>
    <row r="1215" spans="2:18" ht="30.75" customHeight="1" x14ac:dyDescent="0.3">
      <c r="B1215" s="32"/>
      <c r="P1215" s="31">
        <f t="shared" si="39"/>
        <v>0</v>
      </c>
      <c r="R1215" s="31">
        <f t="shared" si="40"/>
        <v>0</v>
      </c>
    </row>
    <row r="1216" spans="2:18" ht="30.75" customHeight="1" x14ac:dyDescent="0.3">
      <c r="B1216" s="32"/>
      <c r="P1216" s="31">
        <f t="shared" si="39"/>
        <v>0</v>
      </c>
      <c r="R1216" s="31">
        <f t="shared" si="40"/>
        <v>0</v>
      </c>
    </row>
    <row r="1217" spans="2:18" ht="30.75" customHeight="1" x14ac:dyDescent="0.3">
      <c r="B1217" s="32"/>
      <c r="P1217" s="31">
        <f t="shared" si="39"/>
        <v>0</v>
      </c>
      <c r="R1217" s="31">
        <f t="shared" si="40"/>
        <v>0</v>
      </c>
    </row>
    <row r="1218" spans="2:18" ht="30.75" customHeight="1" x14ac:dyDescent="0.3">
      <c r="B1218" s="32"/>
      <c r="P1218" s="31">
        <f t="shared" si="39"/>
        <v>0</v>
      </c>
      <c r="R1218" s="31">
        <f t="shared" si="40"/>
        <v>0</v>
      </c>
    </row>
    <row r="1219" spans="2:18" ht="30.75" customHeight="1" x14ac:dyDescent="0.3">
      <c r="B1219" s="32"/>
      <c r="P1219" s="31">
        <f t="shared" si="39"/>
        <v>0</v>
      </c>
      <c r="R1219" s="31">
        <f t="shared" si="40"/>
        <v>0</v>
      </c>
    </row>
    <row r="1220" spans="2:18" ht="30.75" customHeight="1" x14ac:dyDescent="0.3">
      <c r="B1220" s="32"/>
      <c r="P1220" s="31">
        <f t="shared" si="39"/>
        <v>0</v>
      </c>
      <c r="R1220" s="31">
        <f t="shared" si="40"/>
        <v>0</v>
      </c>
    </row>
    <row r="1221" spans="2:18" ht="30.75" customHeight="1" x14ac:dyDescent="0.3">
      <c r="B1221" s="32"/>
      <c r="P1221" s="31">
        <f t="shared" si="39"/>
        <v>0</v>
      </c>
      <c r="R1221" s="31">
        <f t="shared" si="40"/>
        <v>0</v>
      </c>
    </row>
    <row r="1222" spans="2:18" ht="30.75" customHeight="1" x14ac:dyDescent="0.3">
      <c r="B1222" s="32"/>
      <c r="P1222" s="31">
        <f t="shared" si="39"/>
        <v>0</v>
      </c>
      <c r="R1222" s="31">
        <f t="shared" si="40"/>
        <v>0</v>
      </c>
    </row>
    <row r="1223" spans="2:18" ht="30.75" customHeight="1" x14ac:dyDescent="0.3">
      <c r="B1223" s="32"/>
      <c r="P1223" s="31">
        <f t="shared" si="39"/>
        <v>0</v>
      </c>
      <c r="R1223" s="31">
        <f t="shared" si="40"/>
        <v>0</v>
      </c>
    </row>
    <row r="1224" spans="2:18" ht="30.75" customHeight="1" x14ac:dyDescent="0.3">
      <c r="B1224" s="32"/>
      <c r="P1224" s="31">
        <f t="shared" si="39"/>
        <v>0</v>
      </c>
      <c r="R1224" s="31">
        <f t="shared" si="40"/>
        <v>0</v>
      </c>
    </row>
    <row r="1225" spans="2:18" ht="30.75" customHeight="1" x14ac:dyDescent="0.3">
      <c r="B1225" s="32"/>
      <c r="P1225" s="31">
        <f t="shared" si="39"/>
        <v>0</v>
      </c>
      <c r="R1225" s="31">
        <f t="shared" si="40"/>
        <v>0</v>
      </c>
    </row>
    <row r="1226" spans="2:18" ht="30.75" customHeight="1" x14ac:dyDescent="0.3">
      <c r="B1226" s="32"/>
      <c r="P1226" s="31">
        <f t="shared" si="39"/>
        <v>0</v>
      </c>
      <c r="R1226" s="31">
        <f t="shared" si="40"/>
        <v>0</v>
      </c>
    </row>
    <row r="1227" spans="2:18" ht="30.75" customHeight="1" x14ac:dyDescent="0.3">
      <c r="B1227" s="32"/>
      <c r="P1227" s="31">
        <f t="shared" si="39"/>
        <v>0</v>
      </c>
      <c r="R1227" s="31">
        <f t="shared" si="40"/>
        <v>0</v>
      </c>
    </row>
    <row r="1228" spans="2:18" ht="30.75" customHeight="1" x14ac:dyDescent="0.3">
      <c r="B1228" s="32"/>
      <c r="P1228" s="31">
        <f t="shared" ref="P1228:P1291" si="41">K1228-L1228-M1228-N1228+O1228</f>
        <v>0</v>
      </c>
      <c r="R1228" s="31">
        <f t="shared" si="40"/>
        <v>0</v>
      </c>
    </row>
    <row r="1229" spans="2:18" ht="30.75" customHeight="1" x14ac:dyDescent="0.3">
      <c r="B1229" s="32"/>
      <c r="P1229" s="31">
        <f t="shared" si="41"/>
        <v>0</v>
      </c>
      <c r="R1229" s="31">
        <f t="shared" si="40"/>
        <v>0</v>
      </c>
    </row>
    <row r="1230" spans="2:18" ht="30.75" customHeight="1" x14ac:dyDescent="0.3">
      <c r="B1230" s="32"/>
      <c r="P1230" s="31">
        <f t="shared" si="41"/>
        <v>0</v>
      </c>
      <c r="R1230" s="31">
        <f t="shared" si="40"/>
        <v>0</v>
      </c>
    </row>
    <row r="1231" spans="2:18" ht="30.75" customHeight="1" x14ac:dyDescent="0.3">
      <c r="B1231" s="32"/>
      <c r="P1231" s="31">
        <f t="shared" si="41"/>
        <v>0</v>
      </c>
      <c r="R1231" s="31">
        <f t="shared" si="40"/>
        <v>0</v>
      </c>
    </row>
    <row r="1232" spans="2:18" ht="30.75" customHeight="1" x14ac:dyDescent="0.3">
      <c r="B1232" s="32"/>
      <c r="P1232" s="31">
        <f t="shared" si="41"/>
        <v>0</v>
      </c>
      <c r="R1232" s="31">
        <f t="shared" si="40"/>
        <v>0</v>
      </c>
    </row>
    <row r="1233" spans="2:18" ht="30.75" customHeight="1" x14ac:dyDescent="0.3">
      <c r="B1233" s="32"/>
      <c r="P1233" s="31">
        <f t="shared" si="41"/>
        <v>0</v>
      </c>
      <c r="R1233" s="31">
        <f t="shared" si="40"/>
        <v>0</v>
      </c>
    </row>
    <row r="1234" spans="2:18" ht="30.75" customHeight="1" x14ac:dyDescent="0.3">
      <c r="B1234" s="32"/>
      <c r="P1234" s="31">
        <f t="shared" si="41"/>
        <v>0</v>
      </c>
      <c r="R1234" s="31">
        <f t="shared" si="40"/>
        <v>0</v>
      </c>
    </row>
    <row r="1235" spans="2:18" ht="30.75" customHeight="1" x14ac:dyDescent="0.3">
      <c r="B1235" s="32"/>
      <c r="P1235" s="31">
        <f t="shared" si="41"/>
        <v>0</v>
      </c>
      <c r="R1235" s="31">
        <f t="shared" si="40"/>
        <v>0</v>
      </c>
    </row>
    <row r="1236" spans="2:18" ht="30.75" customHeight="1" x14ac:dyDescent="0.3">
      <c r="B1236" s="32"/>
      <c r="P1236" s="31">
        <f t="shared" si="41"/>
        <v>0</v>
      </c>
      <c r="R1236" s="31">
        <f t="shared" si="40"/>
        <v>0</v>
      </c>
    </row>
    <row r="1237" spans="2:18" ht="30.75" customHeight="1" x14ac:dyDescent="0.3">
      <c r="B1237" s="32"/>
      <c r="P1237" s="31">
        <f t="shared" si="41"/>
        <v>0</v>
      </c>
      <c r="R1237" s="31">
        <f t="shared" si="40"/>
        <v>0</v>
      </c>
    </row>
    <row r="1238" spans="2:18" ht="30.75" customHeight="1" x14ac:dyDescent="0.3">
      <c r="B1238" s="32"/>
      <c r="P1238" s="31">
        <f t="shared" si="41"/>
        <v>0</v>
      </c>
      <c r="R1238" s="31">
        <f t="shared" si="40"/>
        <v>0</v>
      </c>
    </row>
    <row r="1239" spans="2:18" ht="30.75" customHeight="1" x14ac:dyDescent="0.3">
      <c r="B1239" s="32"/>
      <c r="P1239" s="31">
        <f t="shared" si="41"/>
        <v>0</v>
      </c>
      <c r="R1239" s="31">
        <f t="shared" si="40"/>
        <v>0</v>
      </c>
    </row>
    <row r="1240" spans="2:18" ht="30.75" customHeight="1" x14ac:dyDescent="0.3">
      <c r="B1240" s="32"/>
      <c r="P1240" s="31">
        <f t="shared" si="41"/>
        <v>0</v>
      </c>
      <c r="R1240" s="31">
        <f t="shared" si="40"/>
        <v>0</v>
      </c>
    </row>
    <row r="1241" spans="2:18" ht="30.75" customHeight="1" x14ac:dyDescent="0.3">
      <c r="B1241" s="32"/>
      <c r="P1241" s="31">
        <f t="shared" si="41"/>
        <v>0</v>
      </c>
      <c r="R1241" s="31">
        <f t="shared" si="40"/>
        <v>0</v>
      </c>
    </row>
    <row r="1242" spans="2:18" ht="30.75" customHeight="1" x14ac:dyDescent="0.3">
      <c r="B1242" s="32"/>
      <c r="P1242" s="31">
        <f t="shared" si="41"/>
        <v>0</v>
      </c>
      <c r="R1242" s="31">
        <f t="shared" si="40"/>
        <v>0</v>
      </c>
    </row>
    <row r="1243" spans="2:18" ht="30.75" customHeight="1" x14ac:dyDescent="0.3">
      <c r="B1243" s="32"/>
      <c r="P1243" s="31">
        <f t="shared" si="41"/>
        <v>0</v>
      </c>
      <c r="R1243" s="31">
        <f t="shared" si="40"/>
        <v>0</v>
      </c>
    </row>
    <row r="1244" spans="2:18" ht="30.75" customHeight="1" x14ac:dyDescent="0.3">
      <c r="B1244" s="32"/>
      <c r="P1244" s="31">
        <f t="shared" si="41"/>
        <v>0</v>
      </c>
      <c r="R1244" s="31">
        <f t="shared" si="40"/>
        <v>0</v>
      </c>
    </row>
    <row r="1245" spans="2:18" ht="30.75" customHeight="1" x14ac:dyDescent="0.3">
      <c r="B1245" s="32"/>
      <c r="P1245" s="31">
        <f t="shared" si="41"/>
        <v>0</v>
      </c>
      <c r="R1245" s="31">
        <f t="shared" si="40"/>
        <v>0</v>
      </c>
    </row>
    <row r="1246" spans="2:18" ht="30.75" customHeight="1" x14ac:dyDescent="0.3">
      <c r="B1246" s="32"/>
      <c r="P1246" s="31">
        <f t="shared" si="41"/>
        <v>0</v>
      </c>
      <c r="R1246" s="31">
        <f t="shared" si="40"/>
        <v>0</v>
      </c>
    </row>
    <row r="1247" spans="2:18" ht="30.75" customHeight="1" x14ac:dyDescent="0.3">
      <c r="B1247" s="32"/>
      <c r="P1247" s="31">
        <f t="shared" si="41"/>
        <v>0</v>
      </c>
      <c r="R1247" s="31">
        <f t="shared" si="40"/>
        <v>0</v>
      </c>
    </row>
    <row r="1248" spans="2:18" ht="30.75" customHeight="1" x14ac:dyDescent="0.3">
      <c r="B1248" s="32"/>
      <c r="P1248" s="31">
        <f t="shared" si="41"/>
        <v>0</v>
      </c>
      <c r="R1248" s="31">
        <f t="shared" si="40"/>
        <v>0</v>
      </c>
    </row>
    <row r="1249" spans="2:18" ht="30.75" customHeight="1" x14ac:dyDescent="0.3">
      <c r="B1249" s="32"/>
      <c r="P1249" s="31">
        <f t="shared" si="41"/>
        <v>0</v>
      </c>
      <c r="R1249" s="31">
        <f t="shared" si="40"/>
        <v>0</v>
      </c>
    </row>
    <row r="1250" spans="2:18" ht="30.75" customHeight="1" x14ac:dyDescent="0.3">
      <c r="B1250" s="32"/>
      <c r="P1250" s="31">
        <f t="shared" si="41"/>
        <v>0</v>
      </c>
      <c r="R1250" s="31">
        <f t="shared" si="40"/>
        <v>0</v>
      </c>
    </row>
    <row r="1251" spans="2:18" ht="30.75" customHeight="1" x14ac:dyDescent="0.3">
      <c r="B1251" s="32"/>
      <c r="P1251" s="31">
        <f t="shared" si="41"/>
        <v>0</v>
      </c>
      <c r="R1251" s="31">
        <f t="shared" si="40"/>
        <v>0</v>
      </c>
    </row>
    <row r="1252" spans="2:18" ht="30.75" customHeight="1" x14ac:dyDescent="0.3">
      <c r="B1252" s="32"/>
      <c r="P1252" s="31">
        <f t="shared" si="41"/>
        <v>0</v>
      </c>
      <c r="R1252" s="31">
        <f t="shared" si="40"/>
        <v>0</v>
      </c>
    </row>
    <row r="1253" spans="2:18" ht="30.75" customHeight="1" x14ac:dyDescent="0.3">
      <c r="B1253" s="32"/>
      <c r="P1253" s="31">
        <f t="shared" si="41"/>
        <v>0</v>
      </c>
      <c r="R1253" s="31">
        <f t="shared" si="40"/>
        <v>0</v>
      </c>
    </row>
    <row r="1254" spans="2:18" ht="30.75" customHeight="1" x14ac:dyDescent="0.3">
      <c r="B1254" s="32"/>
      <c r="P1254" s="31">
        <f t="shared" si="41"/>
        <v>0</v>
      </c>
      <c r="R1254" s="31">
        <f t="shared" si="40"/>
        <v>0</v>
      </c>
    </row>
    <row r="1255" spans="2:18" ht="30.75" customHeight="1" x14ac:dyDescent="0.3">
      <c r="B1255" s="32"/>
      <c r="P1255" s="31">
        <f t="shared" si="41"/>
        <v>0</v>
      </c>
      <c r="R1255" s="31">
        <f t="shared" si="40"/>
        <v>0</v>
      </c>
    </row>
    <row r="1256" spans="2:18" ht="30.75" customHeight="1" x14ac:dyDescent="0.3">
      <c r="B1256" s="32"/>
      <c r="P1256" s="31">
        <f t="shared" si="41"/>
        <v>0</v>
      </c>
      <c r="R1256" s="31">
        <f t="shared" si="40"/>
        <v>0</v>
      </c>
    </row>
    <row r="1257" spans="2:18" ht="30.75" customHeight="1" x14ac:dyDescent="0.3">
      <c r="B1257" s="32"/>
      <c r="P1257" s="31">
        <f t="shared" si="41"/>
        <v>0</v>
      </c>
      <c r="R1257" s="31">
        <f t="shared" si="40"/>
        <v>0</v>
      </c>
    </row>
    <row r="1258" spans="2:18" ht="30.75" customHeight="1" x14ac:dyDescent="0.3">
      <c r="B1258" s="32"/>
      <c r="P1258" s="31">
        <f t="shared" si="41"/>
        <v>0</v>
      </c>
      <c r="R1258" s="31">
        <f t="shared" si="40"/>
        <v>0</v>
      </c>
    </row>
    <row r="1259" spans="2:18" ht="30.75" customHeight="1" x14ac:dyDescent="0.3">
      <c r="B1259" s="32"/>
      <c r="P1259" s="31">
        <f t="shared" si="41"/>
        <v>0</v>
      </c>
      <c r="R1259" s="31">
        <f t="shared" si="40"/>
        <v>0</v>
      </c>
    </row>
    <row r="1260" spans="2:18" ht="30.75" customHeight="1" x14ac:dyDescent="0.3">
      <c r="B1260" s="32"/>
      <c r="P1260" s="31">
        <f t="shared" si="41"/>
        <v>0</v>
      </c>
      <c r="R1260" s="31">
        <f t="shared" si="40"/>
        <v>0</v>
      </c>
    </row>
    <row r="1261" spans="2:18" ht="30.75" customHeight="1" x14ac:dyDescent="0.3">
      <c r="B1261" s="32"/>
      <c r="P1261" s="31">
        <f t="shared" si="41"/>
        <v>0</v>
      </c>
      <c r="R1261" s="31">
        <f t="shared" si="40"/>
        <v>0</v>
      </c>
    </row>
    <row r="1262" spans="2:18" ht="30.75" customHeight="1" x14ac:dyDescent="0.3">
      <c r="B1262" s="32"/>
      <c r="P1262" s="31">
        <f t="shared" si="41"/>
        <v>0</v>
      </c>
      <c r="R1262" s="31">
        <f t="shared" si="40"/>
        <v>0</v>
      </c>
    </row>
    <row r="1263" spans="2:18" ht="30.75" customHeight="1" x14ac:dyDescent="0.3">
      <c r="B1263" s="32"/>
      <c r="P1263" s="31">
        <f t="shared" si="41"/>
        <v>0</v>
      </c>
      <c r="R1263" s="31">
        <f t="shared" si="40"/>
        <v>0</v>
      </c>
    </row>
    <row r="1264" spans="2:18" ht="30.75" customHeight="1" x14ac:dyDescent="0.3">
      <c r="B1264" s="32"/>
      <c r="P1264" s="31">
        <f t="shared" si="41"/>
        <v>0</v>
      </c>
      <c r="R1264" s="31">
        <f t="shared" si="40"/>
        <v>0</v>
      </c>
    </row>
    <row r="1265" spans="2:18" ht="30.75" customHeight="1" x14ac:dyDescent="0.3">
      <c r="B1265" s="32"/>
      <c r="P1265" s="31">
        <f t="shared" si="41"/>
        <v>0</v>
      </c>
      <c r="R1265" s="31">
        <f t="shared" ref="R1265:R1328" si="42">R1264+K1265-L1265-M1265-N1265+O1265-Q1265</f>
        <v>0</v>
      </c>
    </row>
    <row r="1266" spans="2:18" ht="30.75" customHeight="1" x14ac:dyDescent="0.3">
      <c r="B1266" s="32"/>
      <c r="P1266" s="31">
        <f t="shared" si="41"/>
        <v>0</v>
      </c>
      <c r="R1266" s="31">
        <f t="shared" si="42"/>
        <v>0</v>
      </c>
    </row>
    <row r="1267" spans="2:18" ht="30.75" customHeight="1" x14ac:dyDescent="0.3">
      <c r="B1267" s="32"/>
      <c r="P1267" s="31">
        <f t="shared" si="41"/>
        <v>0</v>
      </c>
      <c r="R1267" s="31">
        <f t="shared" si="42"/>
        <v>0</v>
      </c>
    </row>
    <row r="1268" spans="2:18" ht="30.75" customHeight="1" x14ac:dyDescent="0.3">
      <c r="B1268" s="32"/>
      <c r="P1268" s="31">
        <f t="shared" si="41"/>
        <v>0</v>
      </c>
      <c r="R1268" s="31">
        <f t="shared" si="42"/>
        <v>0</v>
      </c>
    </row>
    <row r="1269" spans="2:18" ht="30.75" customHeight="1" x14ac:dyDescent="0.3">
      <c r="B1269" s="32"/>
      <c r="P1269" s="31">
        <f t="shared" si="41"/>
        <v>0</v>
      </c>
      <c r="R1269" s="31">
        <f t="shared" si="42"/>
        <v>0</v>
      </c>
    </row>
    <row r="1270" spans="2:18" ht="30.75" customHeight="1" x14ac:dyDescent="0.3">
      <c r="B1270" s="32"/>
      <c r="P1270" s="31">
        <f t="shared" si="41"/>
        <v>0</v>
      </c>
      <c r="R1270" s="31">
        <f t="shared" si="42"/>
        <v>0</v>
      </c>
    </row>
    <row r="1271" spans="2:18" ht="30.75" customHeight="1" x14ac:dyDescent="0.3">
      <c r="B1271" s="32"/>
      <c r="P1271" s="31">
        <f t="shared" si="41"/>
        <v>0</v>
      </c>
      <c r="R1271" s="31">
        <f t="shared" si="42"/>
        <v>0</v>
      </c>
    </row>
    <row r="1272" spans="2:18" ht="30.75" customHeight="1" x14ac:dyDescent="0.3">
      <c r="B1272" s="32"/>
      <c r="P1272" s="31">
        <f t="shared" si="41"/>
        <v>0</v>
      </c>
      <c r="R1272" s="31">
        <f t="shared" si="42"/>
        <v>0</v>
      </c>
    </row>
    <row r="1273" spans="2:18" ht="30.75" customHeight="1" x14ac:dyDescent="0.3">
      <c r="B1273" s="32"/>
      <c r="P1273" s="31">
        <f t="shared" si="41"/>
        <v>0</v>
      </c>
      <c r="R1273" s="31">
        <f t="shared" si="42"/>
        <v>0</v>
      </c>
    </row>
    <row r="1274" spans="2:18" ht="30.75" customHeight="1" x14ac:dyDescent="0.3">
      <c r="B1274" s="32"/>
      <c r="P1274" s="31">
        <f t="shared" si="41"/>
        <v>0</v>
      </c>
      <c r="R1274" s="31">
        <f t="shared" si="42"/>
        <v>0</v>
      </c>
    </row>
    <row r="1275" spans="2:18" ht="30.75" customHeight="1" x14ac:dyDescent="0.3">
      <c r="B1275" s="32"/>
      <c r="P1275" s="31">
        <f t="shared" si="41"/>
        <v>0</v>
      </c>
      <c r="R1275" s="31">
        <f t="shared" si="42"/>
        <v>0</v>
      </c>
    </row>
    <row r="1276" spans="2:18" ht="30.75" customHeight="1" x14ac:dyDescent="0.3">
      <c r="B1276" s="32"/>
      <c r="P1276" s="31">
        <f t="shared" si="41"/>
        <v>0</v>
      </c>
      <c r="R1276" s="31">
        <f t="shared" si="42"/>
        <v>0</v>
      </c>
    </row>
    <row r="1277" spans="2:18" ht="30.75" customHeight="1" x14ac:dyDescent="0.3">
      <c r="B1277" s="32"/>
      <c r="P1277" s="31">
        <f t="shared" si="41"/>
        <v>0</v>
      </c>
      <c r="R1277" s="31">
        <f t="shared" si="42"/>
        <v>0</v>
      </c>
    </row>
    <row r="1278" spans="2:18" ht="30.75" customHeight="1" x14ac:dyDescent="0.3">
      <c r="B1278" s="32"/>
      <c r="P1278" s="31">
        <f t="shared" si="41"/>
        <v>0</v>
      </c>
      <c r="R1278" s="31">
        <f t="shared" si="42"/>
        <v>0</v>
      </c>
    </row>
    <row r="1279" spans="2:18" ht="30.75" customHeight="1" x14ac:dyDescent="0.3">
      <c r="B1279" s="32"/>
      <c r="P1279" s="31">
        <f t="shared" si="41"/>
        <v>0</v>
      </c>
      <c r="R1279" s="31">
        <f t="shared" si="42"/>
        <v>0</v>
      </c>
    </row>
    <row r="1280" spans="2:18" ht="30.75" customHeight="1" x14ac:dyDescent="0.3">
      <c r="B1280" s="32"/>
      <c r="P1280" s="31">
        <f t="shared" si="41"/>
        <v>0</v>
      </c>
      <c r="R1280" s="31">
        <f t="shared" si="42"/>
        <v>0</v>
      </c>
    </row>
    <row r="1281" spans="2:18" ht="30.75" customHeight="1" x14ac:dyDescent="0.3">
      <c r="B1281" s="32"/>
      <c r="P1281" s="31">
        <f t="shared" si="41"/>
        <v>0</v>
      </c>
      <c r="R1281" s="31">
        <f t="shared" si="42"/>
        <v>0</v>
      </c>
    </row>
    <row r="1282" spans="2:18" ht="30.75" customHeight="1" x14ac:dyDescent="0.3">
      <c r="B1282" s="32"/>
      <c r="P1282" s="31">
        <f t="shared" si="41"/>
        <v>0</v>
      </c>
      <c r="R1282" s="31">
        <f t="shared" si="42"/>
        <v>0</v>
      </c>
    </row>
    <row r="1283" spans="2:18" ht="30.75" customHeight="1" x14ac:dyDescent="0.3">
      <c r="B1283" s="32"/>
      <c r="P1283" s="31">
        <f t="shared" si="41"/>
        <v>0</v>
      </c>
      <c r="R1283" s="31">
        <f t="shared" si="42"/>
        <v>0</v>
      </c>
    </row>
    <row r="1284" spans="2:18" ht="30.75" customHeight="1" x14ac:dyDescent="0.3">
      <c r="B1284" s="32"/>
      <c r="P1284" s="31">
        <f t="shared" si="41"/>
        <v>0</v>
      </c>
      <c r="R1284" s="31">
        <f t="shared" si="42"/>
        <v>0</v>
      </c>
    </row>
    <row r="1285" spans="2:18" ht="30.75" customHeight="1" x14ac:dyDescent="0.3">
      <c r="B1285" s="32"/>
      <c r="P1285" s="31">
        <f t="shared" si="41"/>
        <v>0</v>
      </c>
      <c r="R1285" s="31">
        <f t="shared" si="42"/>
        <v>0</v>
      </c>
    </row>
    <row r="1286" spans="2:18" ht="30.75" customHeight="1" x14ac:dyDescent="0.3">
      <c r="B1286" s="32"/>
      <c r="P1286" s="31">
        <f t="shared" si="41"/>
        <v>0</v>
      </c>
      <c r="R1286" s="31">
        <f t="shared" si="42"/>
        <v>0</v>
      </c>
    </row>
    <row r="1287" spans="2:18" ht="30.75" customHeight="1" x14ac:dyDescent="0.3">
      <c r="B1287" s="32"/>
      <c r="P1287" s="31">
        <f t="shared" si="41"/>
        <v>0</v>
      </c>
      <c r="R1287" s="31">
        <f t="shared" si="42"/>
        <v>0</v>
      </c>
    </row>
    <row r="1288" spans="2:18" ht="30.75" customHeight="1" x14ac:dyDescent="0.3">
      <c r="B1288" s="32"/>
      <c r="P1288" s="31">
        <f t="shared" si="41"/>
        <v>0</v>
      </c>
      <c r="R1288" s="31">
        <f t="shared" si="42"/>
        <v>0</v>
      </c>
    </row>
    <row r="1289" spans="2:18" ht="30.75" customHeight="1" x14ac:dyDescent="0.3">
      <c r="B1289" s="32"/>
      <c r="P1289" s="31">
        <f t="shared" si="41"/>
        <v>0</v>
      </c>
      <c r="R1289" s="31">
        <f t="shared" si="42"/>
        <v>0</v>
      </c>
    </row>
    <row r="1290" spans="2:18" ht="30.75" customHeight="1" x14ac:dyDescent="0.3">
      <c r="B1290" s="32"/>
      <c r="P1290" s="31">
        <f t="shared" si="41"/>
        <v>0</v>
      </c>
      <c r="R1290" s="31">
        <f t="shared" si="42"/>
        <v>0</v>
      </c>
    </row>
    <row r="1291" spans="2:18" ht="30.75" customHeight="1" x14ac:dyDescent="0.3">
      <c r="B1291" s="32"/>
      <c r="P1291" s="31">
        <f t="shared" si="41"/>
        <v>0</v>
      </c>
      <c r="R1291" s="31">
        <f t="shared" si="42"/>
        <v>0</v>
      </c>
    </row>
    <row r="1292" spans="2:18" ht="30.75" customHeight="1" x14ac:dyDescent="0.3">
      <c r="B1292" s="32"/>
      <c r="P1292" s="31">
        <f t="shared" ref="P1292:P1355" si="43">K1292-L1292-M1292-N1292+O1292</f>
        <v>0</v>
      </c>
      <c r="R1292" s="31">
        <f t="shared" si="42"/>
        <v>0</v>
      </c>
    </row>
    <row r="1293" spans="2:18" ht="30.75" customHeight="1" x14ac:dyDescent="0.3">
      <c r="B1293" s="32"/>
      <c r="P1293" s="31">
        <f t="shared" si="43"/>
        <v>0</v>
      </c>
      <c r="R1293" s="31">
        <f t="shared" si="42"/>
        <v>0</v>
      </c>
    </row>
    <row r="1294" spans="2:18" ht="30.75" customHeight="1" x14ac:dyDescent="0.3">
      <c r="B1294" s="32"/>
      <c r="P1294" s="31">
        <f t="shared" si="43"/>
        <v>0</v>
      </c>
      <c r="R1294" s="31">
        <f t="shared" si="42"/>
        <v>0</v>
      </c>
    </row>
    <row r="1295" spans="2:18" ht="30.75" customHeight="1" x14ac:dyDescent="0.3">
      <c r="B1295" s="32"/>
      <c r="P1295" s="31">
        <f t="shared" si="43"/>
        <v>0</v>
      </c>
      <c r="R1295" s="31">
        <f t="shared" si="42"/>
        <v>0</v>
      </c>
    </row>
    <row r="1296" spans="2:18" ht="30.75" customHeight="1" x14ac:dyDescent="0.3">
      <c r="B1296" s="32"/>
      <c r="P1296" s="31">
        <f t="shared" si="43"/>
        <v>0</v>
      </c>
      <c r="R1296" s="31">
        <f t="shared" si="42"/>
        <v>0</v>
      </c>
    </row>
    <row r="1297" spans="2:18" ht="30.75" customHeight="1" x14ac:dyDescent="0.3">
      <c r="B1297" s="32"/>
      <c r="P1297" s="31">
        <f t="shared" si="43"/>
        <v>0</v>
      </c>
      <c r="R1297" s="31">
        <f t="shared" si="42"/>
        <v>0</v>
      </c>
    </row>
    <row r="1298" spans="2:18" ht="30.75" customHeight="1" x14ac:dyDescent="0.3">
      <c r="B1298" s="32"/>
      <c r="P1298" s="31">
        <f t="shared" si="43"/>
        <v>0</v>
      </c>
      <c r="R1298" s="31">
        <f t="shared" si="42"/>
        <v>0</v>
      </c>
    </row>
    <row r="1299" spans="2:18" ht="30.75" customHeight="1" x14ac:dyDescent="0.3">
      <c r="B1299" s="32"/>
      <c r="P1299" s="31">
        <f t="shared" si="43"/>
        <v>0</v>
      </c>
      <c r="R1299" s="31">
        <f t="shared" si="42"/>
        <v>0</v>
      </c>
    </row>
    <row r="1300" spans="2:18" ht="30.75" customHeight="1" x14ac:dyDescent="0.3">
      <c r="B1300" s="32"/>
      <c r="P1300" s="31">
        <f t="shared" si="43"/>
        <v>0</v>
      </c>
      <c r="R1300" s="31">
        <f t="shared" si="42"/>
        <v>0</v>
      </c>
    </row>
    <row r="1301" spans="2:18" ht="30.75" customHeight="1" x14ac:dyDescent="0.3">
      <c r="B1301" s="32"/>
      <c r="P1301" s="31">
        <f t="shared" si="43"/>
        <v>0</v>
      </c>
      <c r="R1301" s="31">
        <f t="shared" si="42"/>
        <v>0</v>
      </c>
    </row>
    <row r="1302" spans="2:18" ht="30.75" customHeight="1" x14ac:dyDescent="0.3">
      <c r="B1302" s="32"/>
      <c r="P1302" s="31">
        <f t="shared" si="43"/>
        <v>0</v>
      </c>
      <c r="R1302" s="31">
        <f t="shared" si="42"/>
        <v>0</v>
      </c>
    </row>
    <row r="1303" spans="2:18" ht="30.75" customHeight="1" x14ac:dyDescent="0.3">
      <c r="B1303" s="32"/>
      <c r="P1303" s="31">
        <f t="shared" si="43"/>
        <v>0</v>
      </c>
      <c r="R1303" s="31">
        <f t="shared" si="42"/>
        <v>0</v>
      </c>
    </row>
    <row r="1304" spans="2:18" ht="30.75" customHeight="1" x14ac:dyDescent="0.3">
      <c r="B1304" s="32"/>
      <c r="P1304" s="31">
        <f t="shared" si="43"/>
        <v>0</v>
      </c>
      <c r="R1304" s="31">
        <f t="shared" si="42"/>
        <v>0</v>
      </c>
    </row>
    <row r="1305" spans="2:18" ht="30.75" customHeight="1" x14ac:dyDescent="0.3">
      <c r="B1305" s="32"/>
      <c r="P1305" s="31">
        <f t="shared" si="43"/>
        <v>0</v>
      </c>
      <c r="R1305" s="31">
        <f t="shared" si="42"/>
        <v>0</v>
      </c>
    </row>
    <row r="1306" spans="2:18" ht="30.75" customHeight="1" x14ac:dyDescent="0.3">
      <c r="B1306" s="32"/>
      <c r="P1306" s="31">
        <f t="shared" si="43"/>
        <v>0</v>
      </c>
      <c r="R1306" s="31">
        <f t="shared" si="42"/>
        <v>0</v>
      </c>
    </row>
    <row r="1307" spans="2:18" ht="30.75" customHeight="1" x14ac:dyDescent="0.3">
      <c r="B1307" s="32"/>
      <c r="P1307" s="31">
        <f t="shared" si="43"/>
        <v>0</v>
      </c>
      <c r="R1307" s="31">
        <f t="shared" si="42"/>
        <v>0</v>
      </c>
    </row>
    <row r="1308" spans="2:18" ht="30.75" customHeight="1" x14ac:dyDescent="0.3">
      <c r="B1308" s="32"/>
      <c r="P1308" s="31">
        <f t="shared" si="43"/>
        <v>0</v>
      </c>
      <c r="R1308" s="31">
        <f t="shared" si="42"/>
        <v>0</v>
      </c>
    </row>
    <row r="1309" spans="2:18" ht="30.75" customHeight="1" x14ac:dyDescent="0.3">
      <c r="B1309" s="32"/>
      <c r="P1309" s="31">
        <f t="shared" si="43"/>
        <v>0</v>
      </c>
      <c r="R1309" s="31">
        <f t="shared" si="42"/>
        <v>0</v>
      </c>
    </row>
    <row r="1310" spans="2:18" ht="30.75" customHeight="1" x14ac:dyDescent="0.3">
      <c r="B1310" s="32"/>
      <c r="P1310" s="31">
        <f t="shared" si="43"/>
        <v>0</v>
      </c>
      <c r="R1310" s="31">
        <f t="shared" si="42"/>
        <v>0</v>
      </c>
    </row>
    <row r="1311" spans="2:18" ht="30.75" customHeight="1" x14ac:dyDescent="0.3">
      <c r="B1311" s="32"/>
      <c r="P1311" s="31">
        <f t="shared" si="43"/>
        <v>0</v>
      </c>
      <c r="R1311" s="31">
        <f t="shared" si="42"/>
        <v>0</v>
      </c>
    </row>
    <row r="1312" spans="2:18" ht="30.75" customHeight="1" x14ac:dyDescent="0.3">
      <c r="B1312" s="32"/>
      <c r="P1312" s="31">
        <f t="shared" si="43"/>
        <v>0</v>
      </c>
      <c r="R1312" s="31">
        <f t="shared" si="42"/>
        <v>0</v>
      </c>
    </row>
    <row r="1313" spans="2:18" ht="30.75" customHeight="1" x14ac:dyDescent="0.3">
      <c r="B1313" s="32"/>
      <c r="P1313" s="31">
        <f t="shared" si="43"/>
        <v>0</v>
      </c>
      <c r="R1313" s="31">
        <f t="shared" si="42"/>
        <v>0</v>
      </c>
    </row>
    <row r="1314" spans="2:18" ht="30.75" customHeight="1" x14ac:dyDescent="0.3">
      <c r="B1314" s="32"/>
      <c r="P1314" s="31">
        <f t="shared" si="43"/>
        <v>0</v>
      </c>
      <c r="R1314" s="31">
        <f t="shared" si="42"/>
        <v>0</v>
      </c>
    </row>
    <row r="1315" spans="2:18" ht="30.75" customHeight="1" x14ac:dyDescent="0.3">
      <c r="B1315" s="32"/>
      <c r="P1315" s="31">
        <f t="shared" si="43"/>
        <v>0</v>
      </c>
      <c r="R1315" s="31">
        <f t="shared" si="42"/>
        <v>0</v>
      </c>
    </row>
    <row r="1316" spans="2:18" ht="30.75" customHeight="1" x14ac:dyDescent="0.3">
      <c r="B1316" s="32"/>
      <c r="P1316" s="31">
        <f t="shared" si="43"/>
        <v>0</v>
      </c>
      <c r="R1316" s="31">
        <f t="shared" si="42"/>
        <v>0</v>
      </c>
    </row>
    <row r="1317" spans="2:18" ht="30.75" customHeight="1" x14ac:dyDescent="0.3">
      <c r="B1317" s="32"/>
      <c r="P1317" s="31">
        <f t="shared" si="43"/>
        <v>0</v>
      </c>
      <c r="R1317" s="31">
        <f t="shared" si="42"/>
        <v>0</v>
      </c>
    </row>
    <row r="1318" spans="2:18" ht="30.75" customHeight="1" x14ac:dyDescent="0.3">
      <c r="B1318" s="32"/>
      <c r="P1318" s="31">
        <f t="shared" si="43"/>
        <v>0</v>
      </c>
      <c r="R1318" s="31">
        <f t="shared" si="42"/>
        <v>0</v>
      </c>
    </row>
    <row r="1319" spans="2:18" ht="30.75" customHeight="1" x14ac:dyDescent="0.3">
      <c r="B1319" s="32"/>
      <c r="P1319" s="31">
        <f t="shared" si="43"/>
        <v>0</v>
      </c>
      <c r="R1319" s="31">
        <f t="shared" si="42"/>
        <v>0</v>
      </c>
    </row>
    <row r="1320" spans="2:18" ht="30.75" customHeight="1" x14ac:dyDescent="0.3">
      <c r="B1320" s="32"/>
      <c r="P1320" s="31">
        <f t="shared" si="43"/>
        <v>0</v>
      </c>
      <c r="R1320" s="31">
        <f t="shared" si="42"/>
        <v>0</v>
      </c>
    </row>
    <row r="1321" spans="2:18" ht="30.75" customHeight="1" x14ac:dyDescent="0.3">
      <c r="B1321" s="32"/>
      <c r="P1321" s="31">
        <f t="shared" si="43"/>
        <v>0</v>
      </c>
      <c r="R1321" s="31">
        <f t="shared" si="42"/>
        <v>0</v>
      </c>
    </row>
    <row r="1322" spans="2:18" ht="30.75" customHeight="1" x14ac:dyDescent="0.3">
      <c r="B1322" s="32"/>
      <c r="P1322" s="31">
        <f t="shared" si="43"/>
        <v>0</v>
      </c>
      <c r="R1322" s="31">
        <f t="shared" si="42"/>
        <v>0</v>
      </c>
    </row>
    <row r="1323" spans="2:18" ht="30.75" customHeight="1" x14ac:dyDescent="0.3">
      <c r="B1323" s="32"/>
      <c r="P1323" s="31">
        <f t="shared" si="43"/>
        <v>0</v>
      </c>
      <c r="R1323" s="31">
        <f t="shared" si="42"/>
        <v>0</v>
      </c>
    </row>
    <row r="1324" spans="2:18" ht="30.75" customHeight="1" x14ac:dyDescent="0.3">
      <c r="B1324" s="32"/>
      <c r="P1324" s="31">
        <f t="shared" si="43"/>
        <v>0</v>
      </c>
      <c r="R1324" s="31">
        <f t="shared" si="42"/>
        <v>0</v>
      </c>
    </row>
    <row r="1325" spans="2:18" ht="30.75" customHeight="1" x14ac:dyDescent="0.3">
      <c r="B1325" s="32"/>
      <c r="P1325" s="31">
        <f t="shared" si="43"/>
        <v>0</v>
      </c>
      <c r="R1325" s="31">
        <f t="shared" si="42"/>
        <v>0</v>
      </c>
    </row>
    <row r="1326" spans="2:18" ht="30.75" customHeight="1" x14ac:dyDescent="0.3">
      <c r="B1326" s="32"/>
      <c r="P1326" s="31">
        <f t="shared" si="43"/>
        <v>0</v>
      </c>
      <c r="R1326" s="31">
        <f t="shared" si="42"/>
        <v>0</v>
      </c>
    </row>
    <row r="1327" spans="2:18" ht="30.75" customHeight="1" x14ac:dyDescent="0.3">
      <c r="B1327" s="32"/>
      <c r="P1327" s="31">
        <f t="shared" si="43"/>
        <v>0</v>
      </c>
      <c r="R1327" s="31">
        <f t="shared" si="42"/>
        <v>0</v>
      </c>
    </row>
    <row r="1328" spans="2:18" ht="30.75" customHeight="1" x14ac:dyDescent="0.3">
      <c r="B1328" s="32"/>
      <c r="P1328" s="31">
        <f t="shared" si="43"/>
        <v>0</v>
      </c>
      <c r="R1328" s="31">
        <f t="shared" si="42"/>
        <v>0</v>
      </c>
    </row>
    <row r="1329" spans="2:18" ht="30.75" customHeight="1" x14ac:dyDescent="0.3">
      <c r="B1329" s="32"/>
      <c r="P1329" s="31">
        <f t="shared" si="43"/>
        <v>0</v>
      </c>
      <c r="R1329" s="31">
        <f t="shared" ref="R1329:R1392" si="44">R1328+K1329-L1329-M1329-N1329+O1329-Q1329</f>
        <v>0</v>
      </c>
    </row>
    <row r="1330" spans="2:18" ht="30.75" customHeight="1" x14ac:dyDescent="0.3">
      <c r="B1330" s="32"/>
      <c r="P1330" s="31">
        <f t="shared" si="43"/>
        <v>0</v>
      </c>
      <c r="R1330" s="31">
        <f t="shared" si="44"/>
        <v>0</v>
      </c>
    </row>
    <row r="1331" spans="2:18" ht="30.75" customHeight="1" x14ac:dyDescent="0.3">
      <c r="B1331" s="32"/>
      <c r="P1331" s="31">
        <f t="shared" si="43"/>
        <v>0</v>
      </c>
      <c r="R1331" s="31">
        <f t="shared" si="44"/>
        <v>0</v>
      </c>
    </row>
    <row r="1332" spans="2:18" ht="30.75" customHeight="1" x14ac:dyDescent="0.3">
      <c r="B1332" s="32"/>
      <c r="P1332" s="31">
        <f t="shared" si="43"/>
        <v>0</v>
      </c>
      <c r="R1332" s="31">
        <f t="shared" si="44"/>
        <v>0</v>
      </c>
    </row>
    <row r="1333" spans="2:18" ht="30.75" customHeight="1" x14ac:dyDescent="0.3">
      <c r="B1333" s="32"/>
      <c r="P1333" s="31">
        <f t="shared" si="43"/>
        <v>0</v>
      </c>
      <c r="R1333" s="31">
        <f t="shared" si="44"/>
        <v>0</v>
      </c>
    </row>
    <row r="1334" spans="2:18" ht="30.75" customHeight="1" x14ac:dyDescent="0.3">
      <c r="B1334" s="32"/>
      <c r="P1334" s="31">
        <f t="shared" si="43"/>
        <v>0</v>
      </c>
      <c r="R1334" s="31">
        <f t="shared" si="44"/>
        <v>0</v>
      </c>
    </row>
    <row r="1335" spans="2:18" ht="30.75" customHeight="1" x14ac:dyDescent="0.3">
      <c r="B1335" s="32"/>
      <c r="P1335" s="31">
        <f t="shared" si="43"/>
        <v>0</v>
      </c>
      <c r="R1335" s="31">
        <f t="shared" si="44"/>
        <v>0</v>
      </c>
    </row>
    <row r="1336" spans="2:18" ht="30.75" customHeight="1" x14ac:dyDescent="0.3">
      <c r="B1336" s="32"/>
      <c r="P1336" s="31">
        <f t="shared" si="43"/>
        <v>0</v>
      </c>
      <c r="R1336" s="31">
        <f t="shared" si="44"/>
        <v>0</v>
      </c>
    </row>
    <row r="1337" spans="2:18" ht="30.75" customHeight="1" x14ac:dyDescent="0.3">
      <c r="B1337" s="32"/>
      <c r="P1337" s="31">
        <f t="shared" si="43"/>
        <v>0</v>
      </c>
      <c r="R1337" s="31">
        <f t="shared" si="44"/>
        <v>0</v>
      </c>
    </row>
    <row r="1338" spans="2:18" ht="30.75" customHeight="1" x14ac:dyDescent="0.3">
      <c r="B1338" s="32"/>
      <c r="P1338" s="31">
        <f t="shared" si="43"/>
        <v>0</v>
      </c>
      <c r="R1338" s="31">
        <f t="shared" si="44"/>
        <v>0</v>
      </c>
    </row>
    <row r="1339" spans="2:18" ht="30.75" customHeight="1" x14ac:dyDescent="0.3">
      <c r="B1339" s="32"/>
      <c r="P1339" s="31">
        <f t="shared" si="43"/>
        <v>0</v>
      </c>
      <c r="R1339" s="31">
        <f t="shared" si="44"/>
        <v>0</v>
      </c>
    </row>
    <row r="1340" spans="2:18" ht="30.75" customHeight="1" x14ac:dyDescent="0.3">
      <c r="B1340" s="32"/>
      <c r="P1340" s="31">
        <f t="shared" si="43"/>
        <v>0</v>
      </c>
      <c r="R1340" s="31">
        <f t="shared" si="44"/>
        <v>0</v>
      </c>
    </row>
    <row r="1341" spans="2:18" ht="30.75" customHeight="1" x14ac:dyDescent="0.3">
      <c r="B1341" s="32"/>
      <c r="P1341" s="31">
        <f t="shared" si="43"/>
        <v>0</v>
      </c>
      <c r="R1341" s="31">
        <f t="shared" si="44"/>
        <v>0</v>
      </c>
    </row>
    <row r="1342" spans="2:18" ht="30.75" customHeight="1" x14ac:dyDescent="0.3">
      <c r="B1342" s="32"/>
      <c r="P1342" s="31">
        <f t="shared" si="43"/>
        <v>0</v>
      </c>
      <c r="R1342" s="31">
        <f t="shared" si="44"/>
        <v>0</v>
      </c>
    </row>
    <row r="1343" spans="2:18" ht="30.75" customHeight="1" x14ac:dyDescent="0.3">
      <c r="B1343" s="32"/>
      <c r="P1343" s="31">
        <f t="shared" si="43"/>
        <v>0</v>
      </c>
      <c r="R1343" s="31">
        <f t="shared" si="44"/>
        <v>0</v>
      </c>
    </row>
    <row r="1344" spans="2:18" ht="30.75" customHeight="1" x14ac:dyDescent="0.3">
      <c r="B1344" s="32"/>
      <c r="P1344" s="31">
        <f t="shared" si="43"/>
        <v>0</v>
      </c>
      <c r="R1344" s="31">
        <f t="shared" si="44"/>
        <v>0</v>
      </c>
    </row>
    <row r="1345" spans="2:18" ht="30.75" customHeight="1" x14ac:dyDescent="0.3">
      <c r="B1345" s="32"/>
      <c r="P1345" s="31">
        <f t="shared" si="43"/>
        <v>0</v>
      </c>
      <c r="R1345" s="31">
        <f t="shared" si="44"/>
        <v>0</v>
      </c>
    </row>
    <row r="1346" spans="2:18" ht="30.75" customHeight="1" x14ac:dyDescent="0.3">
      <c r="B1346" s="32"/>
      <c r="P1346" s="31">
        <f t="shared" si="43"/>
        <v>0</v>
      </c>
      <c r="R1346" s="31">
        <f t="shared" si="44"/>
        <v>0</v>
      </c>
    </row>
    <row r="1347" spans="2:18" ht="30.75" customHeight="1" x14ac:dyDescent="0.3">
      <c r="B1347" s="32"/>
      <c r="P1347" s="31">
        <f t="shared" si="43"/>
        <v>0</v>
      </c>
      <c r="R1347" s="31">
        <f t="shared" si="44"/>
        <v>0</v>
      </c>
    </row>
    <row r="1348" spans="2:18" ht="30.75" customHeight="1" x14ac:dyDescent="0.3">
      <c r="B1348" s="32"/>
      <c r="P1348" s="31">
        <f t="shared" si="43"/>
        <v>0</v>
      </c>
      <c r="R1348" s="31">
        <f t="shared" si="44"/>
        <v>0</v>
      </c>
    </row>
    <row r="1349" spans="2:18" ht="30.75" customHeight="1" x14ac:dyDescent="0.3">
      <c r="B1349" s="32"/>
      <c r="P1349" s="31">
        <f t="shared" si="43"/>
        <v>0</v>
      </c>
      <c r="R1349" s="31">
        <f t="shared" si="44"/>
        <v>0</v>
      </c>
    </row>
    <row r="1350" spans="2:18" ht="30.75" customHeight="1" x14ac:dyDescent="0.3">
      <c r="B1350" s="32"/>
      <c r="P1350" s="31">
        <f t="shared" si="43"/>
        <v>0</v>
      </c>
      <c r="R1350" s="31">
        <f t="shared" si="44"/>
        <v>0</v>
      </c>
    </row>
    <row r="1351" spans="2:18" ht="30.75" customHeight="1" x14ac:dyDescent="0.3">
      <c r="B1351" s="32"/>
      <c r="P1351" s="31">
        <f t="shared" si="43"/>
        <v>0</v>
      </c>
      <c r="R1351" s="31">
        <f t="shared" si="44"/>
        <v>0</v>
      </c>
    </row>
    <row r="1352" spans="2:18" ht="30.75" customHeight="1" x14ac:dyDescent="0.3">
      <c r="B1352" s="32"/>
      <c r="P1352" s="31">
        <f t="shared" si="43"/>
        <v>0</v>
      </c>
      <c r="R1352" s="31">
        <f t="shared" si="44"/>
        <v>0</v>
      </c>
    </row>
    <row r="1353" spans="2:18" ht="30.75" customHeight="1" x14ac:dyDescent="0.3">
      <c r="B1353" s="32"/>
      <c r="P1353" s="31">
        <f t="shared" si="43"/>
        <v>0</v>
      </c>
      <c r="R1353" s="31">
        <f t="shared" si="44"/>
        <v>0</v>
      </c>
    </row>
    <row r="1354" spans="2:18" ht="30.75" customHeight="1" x14ac:dyDescent="0.3">
      <c r="B1354" s="32"/>
      <c r="P1354" s="31">
        <f t="shared" si="43"/>
        <v>0</v>
      </c>
      <c r="R1354" s="31">
        <f t="shared" si="44"/>
        <v>0</v>
      </c>
    </row>
    <row r="1355" spans="2:18" ht="30.75" customHeight="1" x14ac:dyDescent="0.3">
      <c r="B1355" s="32"/>
      <c r="P1355" s="31">
        <f t="shared" si="43"/>
        <v>0</v>
      </c>
      <c r="R1355" s="31">
        <f t="shared" si="44"/>
        <v>0</v>
      </c>
    </row>
    <row r="1356" spans="2:18" ht="30.75" customHeight="1" x14ac:dyDescent="0.3">
      <c r="B1356" s="32"/>
      <c r="P1356" s="31">
        <f t="shared" ref="P1356:P1419" si="45">K1356-L1356-M1356-N1356+O1356</f>
        <v>0</v>
      </c>
      <c r="R1356" s="31">
        <f t="shared" si="44"/>
        <v>0</v>
      </c>
    </row>
    <row r="1357" spans="2:18" ht="30.75" customHeight="1" x14ac:dyDescent="0.3">
      <c r="B1357" s="32"/>
      <c r="P1357" s="31">
        <f t="shared" si="45"/>
        <v>0</v>
      </c>
      <c r="R1357" s="31">
        <f t="shared" si="44"/>
        <v>0</v>
      </c>
    </row>
    <row r="1358" spans="2:18" ht="30.75" customHeight="1" x14ac:dyDescent="0.3">
      <c r="B1358" s="32"/>
      <c r="P1358" s="31">
        <f t="shared" si="45"/>
        <v>0</v>
      </c>
      <c r="R1358" s="31">
        <f t="shared" si="44"/>
        <v>0</v>
      </c>
    </row>
    <row r="1359" spans="2:18" ht="30.75" customHeight="1" x14ac:dyDescent="0.3">
      <c r="B1359" s="32"/>
      <c r="P1359" s="31">
        <f t="shared" si="45"/>
        <v>0</v>
      </c>
      <c r="R1359" s="31">
        <f t="shared" si="44"/>
        <v>0</v>
      </c>
    </row>
    <row r="1360" spans="2:18" ht="30.75" customHeight="1" x14ac:dyDescent="0.3">
      <c r="B1360" s="32"/>
      <c r="P1360" s="31">
        <f t="shared" si="45"/>
        <v>0</v>
      </c>
      <c r="R1360" s="31">
        <f t="shared" si="44"/>
        <v>0</v>
      </c>
    </row>
    <row r="1361" spans="2:18" ht="30.75" customHeight="1" x14ac:dyDescent="0.3">
      <c r="B1361" s="32"/>
      <c r="P1361" s="31">
        <f t="shared" si="45"/>
        <v>0</v>
      </c>
      <c r="R1361" s="31">
        <f t="shared" si="44"/>
        <v>0</v>
      </c>
    </row>
    <row r="1362" spans="2:18" ht="30.75" customHeight="1" x14ac:dyDescent="0.3">
      <c r="B1362" s="32"/>
      <c r="P1362" s="31">
        <f t="shared" si="45"/>
        <v>0</v>
      </c>
      <c r="R1362" s="31">
        <f t="shared" si="44"/>
        <v>0</v>
      </c>
    </row>
    <row r="1363" spans="2:18" ht="30.75" customHeight="1" x14ac:dyDescent="0.3">
      <c r="B1363" s="32"/>
      <c r="P1363" s="31">
        <f t="shared" si="45"/>
        <v>0</v>
      </c>
      <c r="R1363" s="31">
        <f t="shared" si="44"/>
        <v>0</v>
      </c>
    </row>
    <row r="1364" spans="2:18" ht="30.75" customHeight="1" x14ac:dyDescent="0.3">
      <c r="B1364" s="32"/>
      <c r="P1364" s="31">
        <f t="shared" si="45"/>
        <v>0</v>
      </c>
      <c r="R1364" s="31">
        <f t="shared" si="44"/>
        <v>0</v>
      </c>
    </row>
    <row r="1365" spans="2:18" ht="30.75" customHeight="1" x14ac:dyDescent="0.3">
      <c r="B1365" s="32"/>
      <c r="P1365" s="31">
        <f t="shared" si="45"/>
        <v>0</v>
      </c>
      <c r="R1365" s="31">
        <f t="shared" si="44"/>
        <v>0</v>
      </c>
    </row>
    <row r="1366" spans="2:18" ht="30.75" customHeight="1" x14ac:dyDescent="0.3">
      <c r="B1366" s="32"/>
      <c r="P1366" s="31">
        <f t="shared" si="45"/>
        <v>0</v>
      </c>
      <c r="R1366" s="31">
        <f t="shared" si="44"/>
        <v>0</v>
      </c>
    </row>
    <row r="1367" spans="2:18" ht="30.75" customHeight="1" x14ac:dyDescent="0.3">
      <c r="B1367" s="32"/>
      <c r="P1367" s="31">
        <f t="shared" si="45"/>
        <v>0</v>
      </c>
      <c r="R1367" s="31">
        <f t="shared" si="44"/>
        <v>0</v>
      </c>
    </row>
    <row r="1368" spans="2:18" ht="30.75" customHeight="1" x14ac:dyDescent="0.3">
      <c r="B1368" s="32"/>
      <c r="P1368" s="31">
        <f t="shared" si="45"/>
        <v>0</v>
      </c>
      <c r="R1368" s="31">
        <f t="shared" si="44"/>
        <v>0</v>
      </c>
    </row>
    <row r="1369" spans="2:18" ht="30.75" customHeight="1" x14ac:dyDescent="0.3">
      <c r="B1369" s="32"/>
      <c r="P1369" s="31">
        <f t="shared" si="45"/>
        <v>0</v>
      </c>
      <c r="R1369" s="31">
        <f t="shared" si="44"/>
        <v>0</v>
      </c>
    </row>
    <row r="1370" spans="2:18" ht="30.75" customHeight="1" x14ac:dyDescent="0.3">
      <c r="B1370" s="32"/>
      <c r="P1370" s="31">
        <f t="shared" si="45"/>
        <v>0</v>
      </c>
      <c r="R1370" s="31">
        <f t="shared" si="44"/>
        <v>0</v>
      </c>
    </row>
    <row r="1371" spans="2:18" ht="30.75" customHeight="1" x14ac:dyDescent="0.3">
      <c r="B1371" s="32"/>
      <c r="P1371" s="31">
        <f t="shared" si="45"/>
        <v>0</v>
      </c>
      <c r="R1371" s="31">
        <f t="shared" si="44"/>
        <v>0</v>
      </c>
    </row>
    <row r="1372" spans="2:18" ht="30.75" customHeight="1" x14ac:dyDescent="0.3">
      <c r="B1372" s="32"/>
      <c r="P1372" s="31">
        <f t="shared" si="45"/>
        <v>0</v>
      </c>
      <c r="R1372" s="31">
        <f t="shared" si="44"/>
        <v>0</v>
      </c>
    </row>
    <row r="1373" spans="2:18" ht="30.75" customHeight="1" x14ac:dyDescent="0.3">
      <c r="B1373" s="32"/>
      <c r="P1373" s="31">
        <f t="shared" si="45"/>
        <v>0</v>
      </c>
      <c r="R1373" s="31">
        <f t="shared" si="44"/>
        <v>0</v>
      </c>
    </row>
    <row r="1374" spans="2:18" ht="30.75" customHeight="1" x14ac:dyDescent="0.3">
      <c r="B1374" s="32"/>
      <c r="P1374" s="31">
        <f t="shared" si="45"/>
        <v>0</v>
      </c>
      <c r="R1374" s="31">
        <f t="shared" si="44"/>
        <v>0</v>
      </c>
    </row>
    <row r="1375" spans="2:18" ht="30.75" customHeight="1" x14ac:dyDescent="0.3">
      <c r="B1375" s="32"/>
      <c r="P1375" s="31">
        <f t="shared" si="45"/>
        <v>0</v>
      </c>
      <c r="R1375" s="31">
        <f t="shared" si="44"/>
        <v>0</v>
      </c>
    </row>
    <row r="1376" spans="2:18" ht="30.75" customHeight="1" x14ac:dyDescent="0.3">
      <c r="B1376" s="32"/>
      <c r="P1376" s="31">
        <f t="shared" si="45"/>
        <v>0</v>
      </c>
      <c r="R1376" s="31">
        <f t="shared" si="44"/>
        <v>0</v>
      </c>
    </row>
    <row r="1377" spans="2:18" ht="30.75" customHeight="1" x14ac:dyDescent="0.3">
      <c r="B1377" s="32"/>
      <c r="P1377" s="31">
        <f t="shared" si="45"/>
        <v>0</v>
      </c>
      <c r="R1377" s="31">
        <f t="shared" si="44"/>
        <v>0</v>
      </c>
    </row>
    <row r="1378" spans="2:18" ht="30.75" customHeight="1" x14ac:dyDescent="0.3">
      <c r="B1378" s="32"/>
      <c r="P1378" s="31">
        <f t="shared" si="45"/>
        <v>0</v>
      </c>
      <c r="R1378" s="31">
        <f t="shared" si="44"/>
        <v>0</v>
      </c>
    </row>
    <row r="1379" spans="2:18" ht="30.75" customHeight="1" x14ac:dyDescent="0.3">
      <c r="B1379" s="32"/>
      <c r="P1379" s="31">
        <f t="shared" si="45"/>
        <v>0</v>
      </c>
      <c r="R1379" s="31">
        <f t="shared" si="44"/>
        <v>0</v>
      </c>
    </row>
    <row r="1380" spans="2:18" ht="30.75" customHeight="1" x14ac:dyDescent="0.3">
      <c r="B1380" s="32"/>
      <c r="P1380" s="31">
        <f t="shared" si="45"/>
        <v>0</v>
      </c>
      <c r="R1380" s="31">
        <f t="shared" si="44"/>
        <v>0</v>
      </c>
    </row>
    <row r="1381" spans="2:18" ht="30.75" customHeight="1" x14ac:dyDescent="0.3">
      <c r="B1381" s="32"/>
      <c r="P1381" s="31">
        <f t="shared" si="45"/>
        <v>0</v>
      </c>
      <c r="R1381" s="31">
        <f t="shared" si="44"/>
        <v>0</v>
      </c>
    </row>
    <row r="1382" spans="2:18" ht="30.75" customHeight="1" x14ac:dyDescent="0.3">
      <c r="B1382" s="32"/>
      <c r="P1382" s="31">
        <f t="shared" si="45"/>
        <v>0</v>
      </c>
      <c r="R1382" s="31">
        <f t="shared" si="44"/>
        <v>0</v>
      </c>
    </row>
    <row r="1383" spans="2:18" ht="30.75" customHeight="1" x14ac:dyDescent="0.3">
      <c r="B1383" s="32"/>
      <c r="P1383" s="31">
        <f t="shared" si="45"/>
        <v>0</v>
      </c>
      <c r="R1383" s="31">
        <f t="shared" si="44"/>
        <v>0</v>
      </c>
    </row>
    <row r="1384" spans="2:18" ht="30.75" customHeight="1" x14ac:dyDescent="0.3">
      <c r="B1384" s="32"/>
      <c r="P1384" s="31">
        <f t="shared" si="45"/>
        <v>0</v>
      </c>
      <c r="R1384" s="31">
        <f t="shared" si="44"/>
        <v>0</v>
      </c>
    </row>
    <row r="1385" spans="2:18" ht="30.75" customHeight="1" x14ac:dyDescent="0.3">
      <c r="B1385" s="32"/>
      <c r="P1385" s="31">
        <f t="shared" si="45"/>
        <v>0</v>
      </c>
      <c r="R1385" s="31">
        <f t="shared" si="44"/>
        <v>0</v>
      </c>
    </row>
    <row r="1386" spans="2:18" ht="30.75" customHeight="1" x14ac:dyDescent="0.3">
      <c r="B1386" s="32"/>
      <c r="P1386" s="31">
        <f t="shared" si="45"/>
        <v>0</v>
      </c>
      <c r="R1386" s="31">
        <f t="shared" si="44"/>
        <v>0</v>
      </c>
    </row>
    <row r="1387" spans="2:18" ht="30.75" customHeight="1" x14ac:dyDescent="0.3">
      <c r="B1387" s="32"/>
      <c r="P1387" s="31">
        <f t="shared" si="45"/>
        <v>0</v>
      </c>
      <c r="R1387" s="31">
        <f t="shared" si="44"/>
        <v>0</v>
      </c>
    </row>
    <row r="1388" spans="2:18" ht="30.75" customHeight="1" x14ac:dyDescent="0.3">
      <c r="B1388" s="32"/>
      <c r="P1388" s="31">
        <f t="shared" si="45"/>
        <v>0</v>
      </c>
      <c r="R1388" s="31">
        <f t="shared" si="44"/>
        <v>0</v>
      </c>
    </row>
    <row r="1389" spans="2:18" ht="30.75" customHeight="1" x14ac:dyDescent="0.3">
      <c r="B1389" s="32"/>
      <c r="C1389" s="56"/>
      <c r="P1389" s="31">
        <f t="shared" si="45"/>
        <v>0</v>
      </c>
      <c r="R1389" s="31">
        <f t="shared" si="44"/>
        <v>0</v>
      </c>
    </row>
    <row r="1390" spans="2:18" ht="30.75" customHeight="1" x14ac:dyDescent="0.3">
      <c r="B1390" s="32"/>
      <c r="P1390" s="31">
        <f t="shared" si="45"/>
        <v>0</v>
      </c>
      <c r="R1390" s="31">
        <f t="shared" si="44"/>
        <v>0</v>
      </c>
    </row>
    <row r="1391" spans="2:18" ht="30.75" customHeight="1" x14ac:dyDescent="0.3">
      <c r="B1391" s="32"/>
      <c r="P1391" s="31">
        <f t="shared" si="45"/>
        <v>0</v>
      </c>
      <c r="R1391" s="31">
        <f t="shared" si="44"/>
        <v>0</v>
      </c>
    </row>
    <row r="1392" spans="2:18" ht="30.75" customHeight="1" x14ac:dyDescent="0.3">
      <c r="B1392" s="32"/>
      <c r="P1392" s="31">
        <f t="shared" si="45"/>
        <v>0</v>
      </c>
      <c r="R1392" s="31">
        <f t="shared" si="44"/>
        <v>0</v>
      </c>
    </row>
    <row r="1393" spans="2:18" ht="30.75" customHeight="1" x14ac:dyDescent="0.3">
      <c r="B1393" s="32"/>
      <c r="P1393" s="31">
        <f t="shared" si="45"/>
        <v>0</v>
      </c>
      <c r="R1393" s="31">
        <f t="shared" ref="R1393:R1456" si="46">R1392+K1393-L1393-M1393-N1393+O1393-Q1393</f>
        <v>0</v>
      </c>
    </row>
    <row r="1394" spans="2:18" ht="30.75" customHeight="1" x14ac:dyDescent="0.3">
      <c r="B1394" s="32"/>
      <c r="P1394" s="31">
        <f t="shared" si="45"/>
        <v>0</v>
      </c>
      <c r="R1394" s="31">
        <f t="shared" si="46"/>
        <v>0</v>
      </c>
    </row>
    <row r="1395" spans="2:18" ht="30.75" customHeight="1" x14ac:dyDescent="0.3">
      <c r="B1395" s="32"/>
      <c r="P1395" s="31">
        <f t="shared" si="45"/>
        <v>0</v>
      </c>
      <c r="R1395" s="31">
        <f t="shared" si="46"/>
        <v>0</v>
      </c>
    </row>
    <row r="1396" spans="2:18" ht="30.75" customHeight="1" x14ac:dyDescent="0.3">
      <c r="B1396" s="32"/>
      <c r="P1396" s="31">
        <f t="shared" si="45"/>
        <v>0</v>
      </c>
      <c r="R1396" s="31">
        <f t="shared" si="46"/>
        <v>0</v>
      </c>
    </row>
    <row r="1397" spans="2:18" ht="30.75" customHeight="1" x14ac:dyDescent="0.3">
      <c r="B1397" s="32"/>
      <c r="P1397" s="31">
        <f t="shared" si="45"/>
        <v>0</v>
      </c>
      <c r="R1397" s="31">
        <f t="shared" si="46"/>
        <v>0</v>
      </c>
    </row>
    <row r="1398" spans="2:18" ht="30.75" customHeight="1" x14ac:dyDescent="0.3">
      <c r="B1398" s="32"/>
      <c r="P1398" s="31">
        <f t="shared" si="45"/>
        <v>0</v>
      </c>
      <c r="R1398" s="31">
        <f t="shared" si="46"/>
        <v>0</v>
      </c>
    </row>
    <row r="1399" spans="2:18" ht="30.75" customHeight="1" x14ac:dyDescent="0.3">
      <c r="B1399" s="32"/>
      <c r="P1399" s="31">
        <f t="shared" si="45"/>
        <v>0</v>
      </c>
      <c r="R1399" s="31">
        <f t="shared" si="46"/>
        <v>0</v>
      </c>
    </row>
    <row r="1400" spans="2:18" ht="30.75" customHeight="1" x14ac:dyDescent="0.3">
      <c r="B1400" s="32"/>
      <c r="P1400" s="31">
        <f t="shared" si="45"/>
        <v>0</v>
      </c>
      <c r="R1400" s="31">
        <f t="shared" si="46"/>
        <v>0</v>
      </c>
    </row>
    <row r="1401" spans="2:18" ht="30.75" customHeight="1" x14ac:dyDescent="0.3">
      <c r="B1401" s="32"/>
      <c r="P1401" s="31">
        <f t="shared" si="45"/>
        <v>0</v>
      </c>
      <c r="R1401" s="31">
        <f t="shared" si="46"/>
        <v>0</v>
      </c>
    </row>
    <row r="1402" spans="2:18" ht="30.75" customHeight="1" x14ac:dyDescent="0.3">
      <c r="B1402" s="32"/>
      <c r="P1402" s="31">
        <f t="shared" si="45"/>
        <v>0</v>
      </c>
      <c r="R1402" s="31">
        <f t="shared" si="46"/>
        <v>0</v>
      </c>
    </row>
    <row r="1403" spans="2:18" ht="30.75" customHeight="1" x14ac:dyDescent="0.3">
      <c r="B1403" s="32"/>
      <c r="P1403" s="31">
        <f t="shared" si="45"/>
        <v>0</v>
      </c>
      <c r="R1403" s="31">
        <f t="shared" si="46"/>
        <v>0</v>
      </c>
    </row>
    <row r="1404" spans="2:18" ht="30.75" customHeight="1" x14ac:dyDescent="0.3">
      <c r="B1404" s="32"/>
      <c r="P1404" s="31">
        <f t="shared" si="45"/>
        <v>0</v>
      </c>
      <c r="R1404" s="31">
        <f t="shared" si="46"/>
        <v>0</v>
      </c>
    </row>
    <row r="1405" spans="2:18" ht="30.75" customHeight="1" x14ac:dyDescent="0.3">
      <c r="B1405" s="32"/>
      <c r="P1405" s="31">
        <f t="shared" si="45"/>
        <v>0</v>
      </c>
      <c r="R1405" s="31">
        <f t="shared" si="46"/>
        <v>0</v>
      </c>
    </row>
    <row r="1406" spans="2:18" ht="30.75" customHeight="1" x14ac:dyDescent="0.3">
      <c r="B1406" s="32"/>
      <c r="P1406" s="31">
        <f t="shared" si="45"/>
        <v>0</v>
      </c>
      <c r="R1406" s="31">
        <f t="shared" si="46"/>
        <v>0</v>
      </c>
    </row>
    <row r="1407" spans="2:18" ht="30.75" customHeight="1" x14ac:dyDescent="0.3">
      <c r="B1407" s="32"/>
      <c r="P1407" s="31">
        <f t="shared" si="45"/>
        <v>0</v>
      </c>
      <c r="R1407" s="31">
        <f t="shared" si="46"/>
        <v>0</v>
      </c>
    </row>
    <row r="1408" spans="2:18" ht="30.75" customHeight="1" x14ac:dyDescent="0.3">
      <c r="B1408" s="32"/>
      <c r="P1408" s="31">
        <f t="shared" si="45"/>
        <v>0</v>
      </c>
      <c r="R1408" s="31">
        <f t="shared" si="46"/>
        <v>0</v>
      </c>
    </row>
    <row r="1409" spans="2:18" ht="30.75" customHeight="1" x14ac:dyDescent="0.3">
      <c r="B1409" s="32"/>
      <c r="P1409" s="31">
        <f t="shared" si="45"/>
        <v>0</v>
      </c>
      <c r="R1409" s="31">
        <f t="shared" si="46"/>
        <v>0</v>
      </c>
    </row>
    <row r="1410" spans="2:18" ht="30.75" customHeight="1" x14ac:dyDescent="0.3">
      <c r="B1410" s="32"/>
      <c r="P1410" s="31">
        <f t="shared" si="45"/>
        <v>0</v>
      </c>
      <c r="R1410" s="31">
        <f t="shared" si="46"/>
        <v>0</v>
      </c>
    </row>
    <row r="1411" spans="2:18" ht="30.75" customHeight="1" x14ac:dyDescent="0.3">
      <c r="B1411" s="32"/>
      <c r="P1411" s="31">
        <f t="shared" si="45"/>
        <v>0</v>
      </c>
      <c r="R1411" s="31">
        <f t="shared" si="46"/>
        <v>0</v>
      </c>
    </row>
    <row r="1412" spans="2:18" ht="30.75" customHeight="1" x14ac:dyDescent="0.3">
      <c r="B1412" s="32"/>
      <c r="P1412" s="31">
        <f t="shared" si="45"/>
        <v>0</v>
      </c>
      <c r="R1412" s="31">
        <f t="shared" si="46"/>
        <v>0</v>
      </c>
    </row>
    <row r="1413" spans="2:18" ht="30.75" customHeight="1" x14ac:dyDescent="0.3">
      <c r="B1413" s="32"/>
      <c r="P1413" s="31">
        <f t="shared" si="45"/>
        <v>0</v>
      </c>
      <c r="R1413" s="31">
        <f t="shared" si="46"/>
        <v>0</v>
      </c>
    </row>
    <row r="1414" spans="2:18" ht="30.75" customHeight="1" x14ac:dyDescent="0.3">
      <c r="B1414" s="32"/>
      <c r="P1414" s="31">
        <f t="shared" si="45"/>
        <v>0</v>
      </c>
      <c r="R1414" s="31">
        <f t="shared" si="46"/>
        <v>0</v>
      </c>
    </row>
    <row r="1415" spans="2:18" ht="30.75" customHeight="1" x14ac:dyDescent="0.3">
      <c r="B1415" s="32"/>
      <c r="P1415" s="31">
        <f t="shared" si="45"/>
        <v>0</v>
      </c>
      <c r="R1415" s="31">
        <f t="shared" si="46"/>
        <v>0</v>
      </c>
    </row>
    <row r="1416" spans="2:18" ht="30.75" customHeight="1" x14ac:dyDescent="0.3">
      <c r="B1416" s="32"/>
      <c r="P1416" s="31">
        <f t="shared" si="45"/>
        <v>0</v>
      </c>
      <c r="R1416" s="31">
        <f t="shared" si="46"/>
        <v>0</v>
      </c>
    </row>
    <row r="1417" spans="2:18" ht="30.75" customHeight="1" x14ac:dyDescent="0.3">
      <c r="B1417" s="32"/>
      <c r="P1417" s="31">
        <f t="shared" si="45"/>
        <v>0</v>
      </c>
      <c r="R1417" s="31">
        <f t="shared" si="46"/>
        <v>0</v>
      </c>
    </row>
    <row r="1418" spans="2:18" ht="30.75" customHeight="1" x14ac:dyDescent="0.3">
      <c r="B1418" s="32"/>
      <c r="P1418" s="31">
        <f t="shared" si="45"/>
        <v>0</v>
      </c>
      <c r="R1418" s="31">
        <f t="shared" si="46"/>
        <v>0</v>
      </c>
    </row>
    <row r="1419" spans="2:18" ht="30.75" customHeight="1" x14ac:dyDescent="0.3">
      <c r="B1419" s="32"/>
      <c r="P1419" s="31">
        <f t="shared" si="45"/>
        <v>0</v>
      </c>
      <c r="R1419" s="31">
        <f t="shared" si="46"/>
        <v>0</v>
      </c>
    </row>
    <row r="1420" spans="2:18" ht="30.75" customHeight="1" x14ac:dyDescent="0.3">
      <c r="B1420" s="32"/>
      <c r="P1420" s="31">
        <f t="shared" ref="P1420:P1483" si="47">K1420-L1420-M1420-N1420+O1420</f>
        <v>0</v>
      </c>
      <c r="R1420" s="31">
        <f t="shared" si="46"/>
        <v>0</v>
      </c>
    </row>
    <row r="1421" spans="2:18" ht="30.75" customHeight="1" x14ac:dyDescent="0.3">
      <c r="B1421" s="32"/>
      <c r="P1421" s="31">
        <f t="shared" si="47"/>
        <v>0</v>
      </c>
      <c r="R1421" s="31">
        <f t="shared" si="46"/>
        <v>0</v>
      </c>
    </row>
    <row r="1422" spans="2:18" ht="30.75" customHeight="1" x14ac:dyDescent="0.3">
      <c r="B1422" s="32"/>
      <c r="P1422" s="31">
        <f t="shared" si="47"/>
        <v>0</v>
      </c>
      <c r="R1422" s="31">
        <f t="shared" si="46"/>
        <v>0</v>
      </c>
    </row>
    <row r="1423" spans="2:18" ht="30.75" customHeight="1" x14ac:dyDescent="0.3">
      <c r="B1423" s="32"/>
      <c r="P1423" s="31">
        <f t="shared" si="47"/>
        <v>0</v>
      </c>
      <c r="R1423" s="31">
        <f t="shared" si="46"/>
        <v>0</v>
      </c>
    </row>
    <row r="1424" spans="2:18" ht="30.75" customHeight="1" x14ac:dyDescent="0.3">
      <c r="B1424" s="32"/>
      <c r="P1424" s="31">
        <f t="shared" si="47"/>
        <v>0</v>
      </c>
      <c r="R1424" s="31">
        <f t="shared" si="46"/>
        <v>0</v>
      </c>
    </row>
    <row r="1425" spans="2:18" ht="30.75" customHeight="1" x14ac:dyDescent="0.3">
      <c r="B1425" s="32"/>
      <c r="P1425" s="31">
        <f t="shared" si="47"/>
        <v>0</v>
      </c>
      <c r="R1425" s="31">
        <f t="shared" si="46"/>
        <v>0</v>
      </c>
    </row>
    <row r="1426" spans="2:18" ht="30.75" customHeight="1" x14ac:dyDescent="0.3">
      <c r="B1426" s="32"/>
      <c r="P1426" s="31">
        <f t="shared" si="47"/>
        <v>0</v>
      </c>
      <c r="R1426" s="31">
        <f t="shared" si="46"/>
        <v>0</v>
      </c>
    </row>
    <row r="1427" spans="2:18" ht="30.75" customHeight="1" x14ac:dyDescent="0.3">
      <c r="B1427" s="32"/>
      <c r="P1427" s="31">
        <f t="shared" si="47"/>
        <v>0</v>
      </c>
      <c r="R1427" s="31">
        <f t="shared" si="46"/>
        <v>0</v>
      </c>
    </row>
    <row r="1428" spans="2:18" ht="30.75" customHeight="1" x14ac:dyDescent="0.3">
      <c r="B1428" s="32"/>
      <c r="P1428" s="31">
        <f t="shared" si="47"/>
        <v>0</v>
      </c>
      <c r="R1428" s="31">
        <f t="shared" si="46"/>
        <v>0</v>
      </c>
    </row>
    <row r="1429" spans="2:18" ht="30.75" customHeight="1" x14ac:dyDescent="0.3">
      <c r="B1429" s="32"/>
      <c r="P1429" s="31">
        <f t="shared" si="47"/>
        <v>0</v>
      </c>
      <c r="R1429" s="31">
        <f t="shared" si="46"/>
        <v>0</v>
      </c>
    </row>
    <row r="1430" spans="2:18" ht="30.75" customHeight="1" x14ac:dyDescent="0.3">
      <c r="B1430" s="32"/>
      <c r="P1430" s="31">
        <f t="shared" si="47"/>
        <v>0</v>
      </c>
      <c r="R1430" s="31">
        <f t="shared" si="46"/>
        <v>0</v>
      </c>
    </row>
    <row r="1431" spans="2:18" ht="30.75" customHeight="1" x14ac:dyDescent="0.3">
      <c r="B1431" s="32"/>
      <c r="P1431" s="31">
        <f t="shared" si="47"/>
        <v>0</v>
      </c>
      <c r="R1431" s="31">
        <f t="shared" si="46"/>
        <v>0</v>
      </c>
    </row>
    <row r="1432" spans="2:18" ht="30.75" customHeight="1" x14ac:dyDescent="0.3">
      <c r="B1432" s="32"/>
      <c r="P1432" s="31">
        <f t="shared" si="47"/>
        <v>0</v>
      </c>
      <c r="R1432" s="31">
        <f t="shared" si="46"/>
        <v>0</v>
      </c>
    </row>
    <row r="1433" spans="2:18" ht="30.75" customHeight="1" x14ac:dyDescent="0.3">
      <c r="B1433" s="32"/>
      <c r="P1433" s="31">
        <f t="shared" si="47"/>
        <v>0</v>
      </c>
      <c r="R1433" s="31">
        <f t="shared" si="46"/>
        <v>0</v>
      </c>
    </row>
    <row r="1434" spans="2:18" ht="30.75" customHeight="1" x14ac:dyDescent="0.3">
      <c r="B1434" s="32"/>
      <c r="P1434" s="31">
        <f t="shared" si="47"/>
        <v>0</v>
      </c>
      <c r="R1434" s="31">
        <f t="shared" si="46"/>
        <v>0</v>
      </c>
    </row>
    <row r="1435" spans="2:18" ht="30.75" customHeight="1" x14ac:dyDescent="0.3">
      <c r="B1435" s="32"/>
      <c r="P1435" s="31">
        <f t="shared" si="47"/>
        <v>0</v>
      </c>
      <c r="R1435" s="31">
        <f t="shared" si="46"/>
        <v>0</v>
      </c>
    </row>
    <row r="1436" spans="2:18" ht="30.75" customHeight="1" x14ac:dyDescent="0.3">
      <c r="B1436" s="32"/>
      <c r="P1436" s="31">
        <f t="shared" si="47"/>
        <v>0</v>
      </c>
      <c r="R1436" s="31">
        <f t="shared" si="46"/>
        <v>0</v>
      </c>
    </row>
    <row r="1437" spans="2:18" ht="30.75" customHeight="1" x14ac:dyDescent="0.3">
      <c r="B1437" s="32"/>
      <c r="P1437" s="31">
        <f t="shared" si="47"/>
        <v>0</v>
      </c>
      <c r="R1437" s="31">
        <f t="shared" si="46"/>
        <v>0</v>
      </c>
    </row>
    <row r="1438" spans="2:18" ht="30.75" customHeight="1" x14ac:dyDescent="0.3">
      <c r="B1438" s="32"/>
      <c r="P1438" s="31">
        <f t="shared" si="47"/>
        <v>0</v>
      </c>
      <c r="R1438" s="31">
        <f t="shared" si="46"/>
        <v>0</v>
      </c>
    </row>
    <row r="1439" spans="2:18" ht="30.75" customHeight="1" x14ac:dyDescent="0.3">
      <c r="B1439" s="32"/>
      <c r="P1439" s="31">
        <f t="shared" si="47"/>
        <v>0</v>
      </c>
      <c r="R1439" s="31">
        <f t="shared" si="46"/>
        <v>0</v>
      </c>
    </row>
    <row r="1440" spans="2:18" ht="30.75" customHeight="1" x14ac:dyDescent="0.3">
      <c r="B1440" s="32"/>
      <c r="P1440" s="31">
        <f t="shared" si="47"/>
        <v>0</v>
      </c>
      <c r="R1440" s="31">
        <f t="shared" si="46"/>
        <v>0</v>
      </c>
    </row>
    <row r="1441" spans="2:18" ht="30.75" customHeight="1" x14ac:dyDescent="0.3">
      <c r="B1441" s="32"/>
      <c r="P1441" s="31">
        <f t="shared" si="47"/>
        <v>0</v>
      </c>
      <c r="R1441" s="31">
        <f t="shared" si="46"/>
        <v>0</v>
      </c>
    </row>
    <row r="1442" spans="2:18" ht="30.75" customHeight="1" x14ac:dyDescent="0.3">
      <c r="B1442" s="32"/>
      <c r="P1442" s="31">
        <f t="shared" si="47"/>
        <v>0</v>
      </c>
      <c r="R1442" s="31">
        <f t="shared" si="46"/>
        <v>0</v>
      </c>
    </row>
    <row r="1443" spans="2:18" ht="30.75" customHeight="1" x14ac:dyDescent="0.3">
      <c r="B1443" s="32"/>
      <c r="P1443" s="31">
        <f t="shared" si="47"/>
        <v>0</v>
      </c>
      <c r="R1443" s="31">
        <f t="shared" si="46"/>
        <v>0</v>
      </c>
    </row>
    <row r="1444" spans="2:18" ht="30.75" customHeight="1" x14ac:dyDescent="0.3">
      <c r="B1444" s="32"/>
      <c r="P1444" s="31">
        <f t="shared" si="47"/>
        <v>0</v>
      </c>
      <c r="R1444" s="31">
        <f t="shared" si="46"/>
        <v>0</v>
      </c>
    </row>
    <row r="1445" spans="2:18" ht="30.75" customHeight="1" x14ac:dyDescent="0.3">
      <c r="B1445" s="32"/>
      <c r="P1445" s="31">
        <f t="shared" si="47"/>
        <v>0</v>
      </c>
      <c r="R1445" s="31">
        <f t="shared" si="46"/>
        <v>0</v>
      </c>
    </row>
    <row r="1446" spans="2:18" ht="30.75" customHeight="1" x14ac:dyDescent="0.3">
      <c r="B1446" s="32"/>
      <c r="P1446" s="31">
        <f t="shared" si="47"/>
        <v>0</v>
      </c>
      <c r="R1446" s="31">
        <f t="shared" si="46"/>
        <v>0</v>
      </c>
    </row>
    <row r="1447" spans="2:18" ht="30.75" customHeight="1" x14ac:dyDescent="0.3">
      <c r="B1447" s="32"/>
      <c r="P1447" s="31">
        <f t="shared" si="47"/>
        <v>0</v>
      </c>
      <c r="R1447" s="31">
        <f t="shared" si="46"/>
        <v>0</v>
      </c>
    </row>
    <row r="1448" spans="2:18" ht="30.75" customHeight="1" x14ac:dyDescent="0.3">
      <c r="B1448" s="32"/>
      <c r="P1448" s="31">
        <f t="shared" si="47"/>
        <v>0</v>
      </c>
      <c r="R1448" s="31">
        <f t="shared" si="46"/>
        <v>0</v>
      </c>
    </row>
    <row r="1449" spans="2:18" ht="30.75" customHeight="1" x14ac:dyDescent="0.3">
      <c r="B1449" s="32"/>
      <c r="P1449" s="31">
        <f t="shared" si="47"/>
        <v>0</v>
      </c>
      <c r="R1449" s="31">
        <f t="shared" si="46"/>
        <v>0</v>
      </c>
    </row>
    <row r="1450" spans="2:18" ht="30.75" customHeight="1" x14ac:dyDescent="0.3">
      <c r="B1450" s="32"/>
      <c r="P1450" s="31">
        <f t="shared" si="47"/>
        <v>0</v>
      </c>
      <c r="R1450" s="31">
        <f t="shared" si="46"/>
        <v>0</v>
      </c>
    </row>
    <row r="1451" spans="2:18" ht="30.75" customHeight="1" x14ac:dyDescent="0.3">
      <c r="B1451" s="32"/>
      <c r="P1451" s="31">
        <f t="shared" si="47"/>
        <v>0</v>
      </c>
      <c r="R1451" s="31">
        <f t="shared" si="46"/>
        <v>0</v>
      </c>
    </row>
    <row r="1452" spans="2:18" ht="30.75" customHeight="1" x14ac:dyDescent="0.3">
      <c r="B1452" s="32"/>
      <c r="P1452" s="31">
        <f t="shared" si="47"/>
        <v>0</v>
      </c>
      <c r="R1452" s="31">
        <f t="shared" si="46"/>
        <v>0</v>
      </c>
    </row>
    <row r="1453" spans="2:18" ht="30.75" customHeight="1" x14ac:dyDescent="0.3">
      <c r="B1453" s="32"/>
      <c r="P1453" s="31">
        <f t="shared" si="47"/>
        <v>0</v>
      </c>
      <c r="R1453" s="31">
        <f t="shared" si="46"/>
        <v>0</v>
      </c>
    </row>
    <row r="1454" spans="2:18" ht="30.75" customHeight="1" x14ac:dyDescent="0.3">
      <c r="B1454" s="32"/>
      <c r="P1454" s="31">
        <f t="shared" si="47"/>
        <v>0</v>
      </c>
      <c r="R1454" s="31">
        <f t="shared" si="46"/>
        <v>0</v>
      </c>
    </row>
    <row r="1455" spans="2:18" ht="30.75" customHeight="1" x14ac:dyDescent="0.3">
      <c r="B1455" s="32"/>
      <c r="P1455" s="31">
        <f t="shared" si="47"/>
        <v>0</v>
      </c>
      <c r="R1455" s="31">
        <f t="shared" si="46"/>
        <v>0</v>
      </c>
    </row>
    <row r="1456" spans="2:18" ht="30.75" customHeight="1" x14ac:dyDescent="0.3">
      <c r="B1456" s="32"/>
      <c r="P1456" s="31">
        <f t="shared" si="47"/>
        <v>0</v>
      </c>
      <c r="R1456" s="31">
        <f t="shared" si="46"/>
        <v>0</v>
      </c>
    </row>
    <row r="1457" spans="2:18" ht="30.75" customHeight="1" x14ac:dyDescent="0.3">
      <c r="B1457" s="32"/>
      <c r="P1457" s="31">
        <f t="shared" si="47"/>
        <v>0</v>
      </c>
      <c r="R1457" s="31">
        <f t="shared" ref="R1457:R1520" si="48">R1456+K1457-L1457-M1457-N1457+O1457-Q1457</f>
        <v>0</v>
      </c>
    </row>
    <row r="1458" spans="2:18" ht="30.75" customHeight="1" x14ac:dyDescent="0.3">
      <c r="B1458" s="32"/>
      <c r="P1458" s="31">
        <f t="shared" si="47"/>
        <v>0</v>
      </c>
      <c r="R1458" s="31">
        <f t="shared" si="48"/>
        <v>0</v>
      </c>
    </row>
    <row r="1459" spans="2:18" ht="30.75" customHeight="1" x14ac:dyDescent="0.3">
      <c r="B1459" s="32"/>
      <c r="P1459" s="31">
        <f t="shared" si="47"/>
        <v>0</v>
      </c>
      <c r="R1459" s="31">
        <f t="shared" si="48"/>
        <v>0</v>
      </c>
    </row>
    <row r="1460" spans="2:18" ht="30.75" customHeight="1" x14ac:dyDescent="0.3">
      <c r="B1460" s="32"/>
      <c r="P1460" s="31">
        <f t="shared" si="47"/>
        <v>0</v>
      </c>
      <c r="R1460" s="31">
        <f t="shared" si="48"/>
        <v>0</v>
      </c>
    </row>
    <row r="1461" spans="2:18" ht="30.75" customHeight="1" x14ac:dyDescent="0.3">
      <c r="B1461" s="32"/>
      <c r="P1461" s="31">
        <f t="shared" si="47"/>
        <v>0</v>
      </c>
      <c r="R1461" s="31">
        <f t="shared" si="48"/>
        <v>0</v>
      </c>
    </row>
    <row r="1462" spans="2:18" ht="30.75" customHeight="1" x14ac:dyDescent="0.3">
      <c r="B1462" s="32"/>
      <c r="P1462" s="31">
        <f t="shared" si="47"/>
        <v>0</v>
      </c>
      <c r="R1462" s="31">
        <f t="shared" si="48"/>
        <v>0</v>
      </c>
    </row>
    <row r="1463" spans="2:18" ht="30.75" customHeight="1" x14ac:dyDescent="0.3">
      <c r="B1463" s="32"/>
      <c r="P1463" s="31">
        <f t="shared" si="47"/>
        <v>0</v>
      </c>
      <c r="R1463" s="31">
        <f t="shared" si="48"/>
        <v>0</v>
      </c>
    </row>
    <row r="1464" spans="2:18" ht="30.75" customHeight="1" x14ac:dyDescent="0.3">
      <c r="B1464" s="32"/>
      <c r="P1464" s="31">
        <f t="shared" si="47"/>
        <v>0</v>
      </c>
      <c r="R1464" s="31">
        <f t="shared" si="48"/>
        <v>0</v>
      </c>
    </row>
    <row r="1465" spans="2:18" ht="30.75" customHeight="1" x14ac:dyDescent="0.3">
      <c r="B1465" s="32"/>
      <c r="P1465" s="31">
        <f t="shared" si="47"/>
        <v>0</v>
      </c>
      <c r="R1465" s="31">
        <f t="shared" si="48"/>
        <v>0</v>
      </c>
    </row>
    <row r="1466" spans="2:18" ht="30.75" customHeight="1" x14ac:dyDescent="0.3">
      <c r="B1466" s="32"/>
      <c r="P1466" s="31">
        <f t="shared" si="47"/>
        <v>0</v>
      </c>
      <c r="R1466" s="31">
        <f t="shared" si="48"/>
        <v>0</v>
      </c>
    </row>
    <row r="1467" spans="2:18" ht="30.75" customHeight="1" x14ac:dyDescent="0.3">
      <c r="B1467" s="32"/>
      <c r="P1467" s="31">
        <f t="shared" si="47"/>
        <v>0</v>
      </c>
      <c r="R1467" s="31">
        <f t="shared" si="48"/>
        <v>0</v>
      </c>
    </row>
    <row r="1468" spans="2:18" ht="30.75" customHeight="1" x14ac:dyDescent="0.3">
      <c r="B1468" s="32"/>
      <c r="P1468" s="31">
        <f t="shared" si="47"/>
        <v>0</v>
      </c>
      <c r="R1468" s="31">
        <f t="shared" si="48"/>
        <v>0</v>
      </c>
    </row>
    <row r="1469" spans="2:18" ht="30.75" customHeight="1" x14ac:dyDescent="0.3">
      <c r="B1469" s="32"/>
      <c r="P1469" s="31">
        <f t="shared" si="47"/>
        <v>0</v>
      </c>
      <c r="R1469" s="31">
        <f t="shared" si="48"/>
        <v>0</v>
      </c>
    </row>
    <row r="1470" spans="2:18" ht="30.75" customHeight="1" x14ac:dyDescent="0.3">
      <c r="B1470" s="32"/>
      <c r="P1470" s="31">
        <f t="shared" si="47"/>
        <v>0</v>
      </c>
      <c r="R1470" s="31">
        <f t="shared" si="48"/>
        <v>0</v>
      </c>
    </row>
    <row r="1471" spans="2:18" ht="30.75" customHeight="1" x14ac:dyDescent="0.3">
      <c r="B1471" s="32"/>
      <c r="P1471" s="31">
        <f t="shared" si="47"/>
        <v>0</v>
      </c>
      <c r="R1471" s="31">
        <f t="shared" si="48"/>
        <v>0</v>
      </c>
    </row>
    <row r="1472" spans="2:18" ht="30.75" customHeight="1" x14ac:dyDescent="0.3">
      <c r="B1472" s="32"/>
      <c r="P1472" s="31">
        <f t="shared" si="47"/>
        <v>0</v>
      </c>
      <c r="R1472" s="31">
        <f t="shared" si="48"/>
        <v>0</v>
      </c>
    </row>
    <row r="1473" spans="2:18" ht="30.75" customHeight="1" x14ac:dyDescent="0.3">
      <c r="B1473" s="32"/>
      <c r="P1473" s="31">
        <f t="shared" si="47"/>
        <v>0</v>
      </c>
      <c r="R1473" s="31">
        <f t="shared" si="48"/>
        <v>0</v>
      </c>
    </row>
    <row r="1474" spans="2:18" ht="30.75" customHeight="1" x14ac:dyDescent="0.3">
      <c r="B1474" s="32"/>
      <c r="P1474" s="31">
        <f t="shared" si="47"/>
        <v>0</v>
      </c>
      <c r="R1474" s="31">
        <f t="shared" si="48"/>
        <v>0</v>
      </c>
    </row>
    <row r="1475" spans="2:18" ht="30.75" customHeight="1" x14ac:dyDescent="0.3">
      <c r="B1475" s="32"/>
      <c r="P1475" s="31">
        <f t="shared" si="47"/>
        <v>0</v>
      </c>
      <c r="R1475" s="31">
        <f t="shared" si="48"/>
        <v>0</v>
      </c>
    </row>
    <row r="1476" spans="2:18" ht="30.75" customHeight="1" x14ac:dyDescent="0.3">
      <c r="B1476" s="32"/>
      <c r="P1476" s="31">
        <f t="shared" si="47"/>
        <v>0</v>
      </c>
      <c r="R1476" s="31">
        <f t="shared" si="48"/>
        <v>0</v>
      </c>
    </row>
    <row r="1477" spans="2:18" ht="30.75" customHeight="1" x14ac:dyDescent="0.3">
      <c r="B1477" s="32"/>
      <c r="P1477" s="31">
        <f t="shared" si="47"/>
        <v>0</v>
      </c>
      <c r="R1477" s="31">
        <f t="shared" si="48"/>
        <v>0</v>
      </c>
    </row>
    <row r="1478" spans="2:18" ht="30.75" customHeight="1" x14ac:dyDescent="0.3">
      <c r="B1478" s="32"/>
      <c r="P1478" s="31">
        <f t="shared" si="47"/>
        <v>0</v>
      </c>
      <c r="R1478" s="31">
        <f t="shared" si="48"/>
        <v>0</v>
      </c>
    </row>
    <row r="1479" spans="2:18" ht="30.75" customHeight="1" x14ac:dyDescent="0.3">
      <c r="B1479" s="32"/>
      <c r="P1479" s="31">
        <f t="shared" si="47"/>
        <v>0</v>
      </c>
      <c r="R1479" s="31">
        <f t="shared" si="48"/>
        <v>0</v>
      </c>
    </row>
    <row r="1480" spans="2:18" ht="30.75" customHeight="1" x14ac:dyDescent="0.3">
      <c r="B1480" s="32"/>
      <c r="P1480" s="31">
        <f t="shared" si="47"/>
        <v>0</v>
      </c>
      <c r="R1480" s="31">
        <f t="shared" si="48"/>
        <v>0</v>
      </c>
    </row>
    <row r="1481" spans="2:18" ht="30.75" customHeight="1" x14ac:dyDescent="0.3">
      <c r="B1481" s="32"/>
      <c r="P1481" s="31">
        <f t="shared" si="47"/>
        <v>0</v>
      </c>
      <c r="R1481" s="31">
        <f t="shared" si="48"/>
        <v>0</v>
      </c>
    </row>
    <row r="1482" spans="2:18" ht="30.75" customHeight="1" x14ac:dyDescent="0.3">
      <c r="B1482" s="32"/>
      <c r="P1482" s="31">
        <f t="shared" si="47"/>
        <v>0</v>
      </c>
      <c r="R1482" s="31">
        <f t="shared" si="48"/>
        <v>0</v>
      </c>
    </row>
    <row r="1483" spans="2:18" ht="30.75" customHeight="1" x14ac:dyDescent="0.3">
      <c r="B1483" s="32"/>
      <c r="P1483" s="31">
        <f t="shared" si="47"/>
        <v>0</v>
      </c>
      <c r="R1483" s="31">
        <f t="shared" si="48"/>
        <v>0</v>
      </c>
    </row>
    <row r="1484" spans="2:18" ht="30.75" customHeight="1" x14ac:dyDescent="0.3">
      <c r="B1484" s="32"/>
      <c r="P1484" s="31">
        <f t="shared" ref="P1484:P1547" si="49">K1484-L1484-M1484-N1484+O1484</f>
        <v>0</v>
      </c>
      <c r="R1484" s="31">
        <f t="shared" si="48"/>
        <v>0</v>
      </c>
    </row>
    <row r="1485" spans="2:18" ht="30.75" customHeight="1" x14ac:dyDescent="0.3">
      <c r="B1485" s="32"/>
      <c r="P1485" s="31">
        <f t="shared" si="49"/>
        <v>0</v>
      </c>
      <c r="R1485" s="31">
        <f t="shared" si="48"/>
        <v>0</v>
      </c>
    </row>
    <row r="1486" spans="2:18" ht="30.75" customHeight="1" x14ac:dyDescent="0.3">
      <c r="B1486" s="32"/>
      <c r="P1486" s="31">
        <f t="shared" si="49"/>
        <v>0</v>
      </c>
      <c r="R1486" s="31">
        <f t="shared" si="48"/>
        <v>0</v>
      </c>
    </row>
    <row r="1487" spans="2:18" ht="30.75" customHeight="1" x14ac:dyDescent="0.3">
      <c r="B1487" s="32"/>
      <c r="P1487" s="31">
        <f t="shared" si="49"/>
        <v>0</v>
      </c>
      <c r="R1487" s="31">
        <f t="shared" si="48"/>
        <v>0</v>
      </c>
    </row>
    <row r="1488" spans="2:18" ht="30.75" customHeight="1" x14ac:dyDescent="0.3">
      <c r="B1488" s="32"/>
      <c r="P1488" s="31">
        <f t="shared" si="49"/>
        <v>0</v>
      </c>
      <c r="R1488" s="31">
        <f t="shared" si="48"/>
        <v>0</v>
      </c>
    </row>
    <row r="1489" spans="2:18" ht="30.75" customHeight="1" x14ac:dyDescent="0.3">
      <c r="B1489" s="32"/>
      <c r="P1489" s="31">
        <f t="shared" si="49"/>
        <v>0</v>
      </c>
      <c r="R1489" s="31">
        <f t="shared" si="48"/>
        <v>0</v>
      </c>
    </row>
    <row r="1490" spans="2:18" ht="30.75" customHeight="1" x14ac:dyDescent="0.3">
      <c r="B1490" s="32"/>
      <c r="P1490" s="31">
        <f t="shared" si="49"/>
        <v>0</v>
      </c>
      <c r="R1490" s="31">
        <f t="shared" si="48"/>
        <v>0</v>
      </c>
    </row>
    <row r="1491" spans="2:18" ht="30.75" customHeight="1" x14ac:dyDescent="0.3">
      <c r="B1491" s="32"/>
      <c r="P1491" s="31">
        <f t="shared" si="49"/>
        <v>0</v>
      </c>
      <c r="R1491" s="31">
        <f t="shared" si="48"/>
        <v>0</v>
      </c>
    </row>
    <row r="1492" spans="2:18" ht="30.75" customHeight="1" x14ac:dyDescent="0.3">
      <c r="B1492" s="32"/>
      <c r="P1492" s="31">
        <f t="shared" si="49"/>
        <v>0</v>
      </c>
      <c r="R1492" s="31">
        <f t="shared" si="48"/>
        <v>0</v>
      </c>
    </row>
    <row r="1493" spans="2:18" ht="30.75" customHeight="1" x14ac:dyDescent="0.3">
      <c r="B1493" s="32"/>
      <c r="P1493" s="31">
        <f t="shared" si="49"/>
        <v>0</v>
      </c>
      <c r="R1493" s="31">
        <f t="shared" si="48"/>
        <v>0</v>
      </c>
    </row>
    <row r="1494" spans="2:18" ht="30.75" customHeight="1" x14ac:dyDescent="0.3">
      <c r="B1494" s="32"/>
      <c r="P1494" s="31">
        <f t="shared" si="49"/>
        <v>0</v>
      </c>
      <c r="R1494" s="31">
        <f t="shared" si="48"/>
        <v>0</v>
      </c>
    </row>
    <row r="1495" spans="2:18" ht="30.75" customHeight="1" x14ac:dyDescent="0.3">
      <c r="B1495" s="32"/>
      <c r="P1495" s="31">
        <f t="shared" si="49"/>
        <v>0</v>
      </c>
      <c r="R1495" s="31">
        <f t="shared" si="48"/>
        <v>0</v>
      </c>
    </row>
    <row r="1496" spans="2:18" ht="30.75" customHeight="1" x14ac:dyDescent="0.3">
      <c r="B1496" s="32"/>
      <c r="P1496" s="31">
        <f t="shared" si="49"/>
        <v>0</v>
      </c>
      <c r="R1496" s="31">
        <f t="shared" si="48"/>
        <v>0</v>
      </c>
    </row>
    <row r="1497" spans="2:18" ht="30.75" customHeight="1" x14ac:dyDescent="0.3">
      <c r="B1497" s="32"/>
      <c r="P1497" s="31">
        <f t="shared" si="49"/>
        <v>0</v>
      </c>
      <c r="R1497" s="31">
        <f t="shared" si="48"/>
        <v>0</v>
      </c>
    </row>
    <row r="1498" spans="2:18" ht="30.75" customHeight="1" x14ac:dyDescent="0.3">
      <c r="B1498" s="32"/>
      <c r="P1498" s="31">
        <f t="shared" si="49"/>
        <v>0</v>
      </c>
      <c r="R1498" s="31">
        <f t="shared" si="48"/>
        <v>0</v>
      </c>
    </row>
    <row r="1499" spans="2:18" ht="30.75" customHeight="1" x14ac:dyDescent="0.3">
      <c r="B1499" s="32"/>
      <c r="P1499" s="31">
        <f t="shared" si="49"/>
        <v>0</v>
      </c>
      <c r="R1499" s="31">
        <f t="shared" si="48"/>
        <v>0</v>
      </c>
    </row>
    <row r="1500" spans="2:18" ht="30.75" customHeight="1" x14ac:dyDescent="0.3">
      <c r="B1500" s="32"/>
      <c r="P1500" s="31">
        <f t="shared" si="49"/>
        <v>0</v>
      </c>
      <c r="R1500" s="31">
        <f t="shared" si="48"/>
        <v>0</v>
      </c>
    </row>
    <row r="1501" spans="2:18" ht="30.75" customHeight="1" x14ac:dyDescent="0.3">
      <c r="B1501" s="32"/>
      <c r="P1501" s="31">
        <f t="shared" si="49"/>
        <v>0</v>
      </c>
      <c r="R1501" s="31">
        <f t="shared" si="48"/>
        <v>0</v>
      </c>
    </row>
    <row r="1502" spans="2:18" ht="30.75" customHeight="1" x14ac:dyDescent="0.3">
      <c r="B1502" s="32"/>
      <c r="P1502" s="31">
        <f t="shared" si="49"/>
        <v>0</v>
      </c>
      <c r="R1502" s="31">
        <f t="shared" si="48"/>
        <v>0</v>
      </c>
    </row>
    <row r="1503" spans="2:18" ht="30.75" customHeight="1" x14ac:dyDescent="0.3">
      <c r="B1503" s="32"/>
      <c r="P1503" s="31">
        <f t="shared" si="49"/>
        <v>0</v>
      </c>
      <c r="R1503" s="31">
        <f t="shared" si="48"/>
        <v>0</v>
      </c>
    </row>
    <row r="1504" spans="2:18" ht="30.75" customHeight="1" x14ac:dyDescent="0.3">
      <c r="B1504" s="32"/>
      <c r="P1504" s="31">
        <f t="shared" si="49"/>
        <v>0</v>
      </c>
      <c r="R1504" s="31">
        <f t="shared" si="48"/>
        <v>0</v>
      </c>
    </row>
    <row r="1505" spans="2:18" ht="30.75" customHeight="1" x14ac:dyDescent="0.3">
      <c r="B1505" s="32"/>
      <c r="P1505" s="31">
        <f t="shared" si="49"/>
        <v>0</v>
      </c>
      <c r="R1505" s="31">
        <f t="shared" si="48"/>
        <v>0</v>
      </c>
    </row>
    <row r="1506" spans="2:18" ht="30.75" customHeight="1" x14ac:dyDescent="0.3">
      <c r="B1506" s="32"/>
      <c r="P1506" s="31">
        <f t="shared" si="49"/>
        <v>0</v>
      </c>
      <c r="R1506" s="31">
        <f t="shared" si="48"/>
        <v>0</v>
      </c>
    </row>
    <row r="1507" spans="2:18" ht="30.75" customHeight="1" x14ac:dyDescent="0.3">
      <c r="B1507" s="32"/>
      <c r="P1507" s="31">
        <f t="shared" si="49"/>
        <v>0</v>
      </c>
      <c r="R1507" s="31">
        <f t="shared" si="48"/>
        <v>0</v>
      </c>
    </row>
    <row r="1508" spans="2:18" ht="30.75" customHeight="1" x14ac:dyDescent="0.3">
      <c r="B1508" s="32"/>
      <c r="P1508" s="31">
        <f t="shared" si="49"/>
        <v>0</v>
      </c>
      <c r="R1508" s="31">
        <f t="shared" si="48"/>
        <v>0</v>
      </c>
    </row>
    <row r="1509" spans="2:18" ht="30.75" customHeight="1" x14ac:dyDescent="0.3">
      <c r="B1509" s="32"/>
      <c r="P1509" s="31">
        <f t="shared" si="49"/>
        <v>0</v>
      </c>
      <c r="R1509" s="31">
        <f t="shared" si="48"/>
        <v>0</v>
      </c>
    </row>
    <row r="1510" spans="2:18" ht="30.75" customHeight="1" x14ac:dyDescent="0.3">
      <c r="B1510" s="32"/>
      <c r="P1510" s="31">
        <f t="shared" si="49"/>
        <v>0</v>
      </c>
      <c r="R1510" s="31">
        <f t="shared" si="48"/>
        <v>0</v>
      </c>
    </row>
    <row r="1511" spans="2:18" ht="30.75" customHeight="1" x14ac:dyDescent="0.3">
      <c r="B1511" s="32"/>
      <c r="P1511" s="31">
        <f t="shared" si="49"/>
        <v>0</v>
      </c>
      <c r="R1511" s="31">
        <f t="shared" si="48"/>
        <v>0</v>
      </c>
    </row>
    <row r="1512" spans="2:18" ht="30.75" customHeight="1" x14ac:dyDescent="0.3">
      <c r="B1512" s="32"/>
      <c r="P1512" s="31">
        <f t="shared" si="49"/>
        <v>0</v>
      </c>
      <c r="R1512" s="31">
        <f t="shared" si="48"/>
        <v>0</v>
      </c>
    </row>
    <row r="1513" spans="2:18" ht="30.75" customHeight="1" x14ac:dyDescent="0.3">
      <c r="B1513" s="32"/>
      <c r="P1513" s="31">
        <f t="shared" si="49"/>
        <v>0</v>
      </c>
      <c r="R1513" s="31">
        <f t="shared" si="48"/>
        <v>0</v>
      </c>
    </row>
    <row r="1514" spans="2:18" ht="30.75" customHeight="1" x14ac:dyDescent="0.3">
      <c r="B1514" s="32"/>
      <c r="P1514" s="31">
        <f t="shared" si="49"/>
        <v>0</v>
      </c>
      <c r="R1514" s="31">
        <f t="shared" si="48"/>
        <v>0</v>
      </c>
    </row>
    <row r="1515" spans="2:18" ht="30.75" customHeight="1" x14ac:dyDescent="0.3">
      <c r="B1515" s="32"/>
      <c r="P1515" s="31">
        <f t="shared" si="49"/>
        <v>0</v>
      </c>
      <c r="R1515" s="31">
        <f t="shared" si="48"/>
        <v>0</v>
      </c>
    </row>
    <row r="1516" spans="2:18" ht="30.75" customHeight="1" x14ac:dyDescent="0.3">
      <c r="B1516" s="32"/>
      <c r="P1516" s="31">
        <f t="shared" si="49"/>
        <v>0</v>
      </c>
      <c r="R1516" s="31">
        <f t="shared" si="48"/>
        <v>0</v>
      </c>
    </row>
    <row r="1517" spans="2:18" ht="30.75" customHeight="1" x14ac:dyDescent="0.3">
      <c r="B1517" s="32"/>
      <c r="P1517" s="31">
        <f t="shared" si="49"/>
        <v>0</v>
      </c>
      <c r="R1517" s="31">
        <f t="shared" si="48"/>
        <v>0</v>
      </c>
    </row>
    <row r="1518" spans="2:18" ht="30.75" customHeight="1" x14ac:dyDescent="0.3">
      <c r="B1518" s="32"/>
      <c r="P1518" s="31">
        <f t="shared" si="49"/>
        <v>0</v>
      </c>
      <c r="R1518" s="31">
        <f t="shared" si="48"/>
        <v>0</v>
      </c>
    </row>
    <row r="1519" spans="2:18" ht="30.75" customHeight="1" x14ac:dyDescent="0.3">
      <c r="B1519" s="32"/>
      <c r="P1519" s="31">
        <f t="shared" si="49"/>
        <v>0</v>
      </c>
      <c r="R1519" s="31">
        <f t="shared" si="48"/>
        <v>0</v>
      </c>
    </row>
    <row r="1520" spans="2:18" ht="30.75" customHeight="1" x14ac:dyDescent="0.3">
      <c r="B1520" s="32"/>
      <c r="P1520" s="31">
        <f t="shared" si="49"/>
        <v>0</v>
      </c>
      <c r="R1520" s="31">
        <f t="shared" si="48"/>
        <v>0</v>
      </c>
    </row>
    <row r="1521" spans="2:18" ht="30.75" customHeight="1" x14ac:dyDescent="0.3">
      <c r="B1521" s="32"/>
      <c r="P1521" s="31">
        <f t="shared" si="49"/>
        <v>0</v>
      </c>
      <c r="R1521" s="31">
        <f t="shared" ref="R1521:R1584" si="50">R1520+K1521-L1521-M1521-N1521+O1521-Q1521</f>
        <v>0</v>
      </c>
    </row>
    <row r="1522" spans="2:18" ht="30.75" customHeight="1" x14ac:dyDescent="0.3">
      <c r="B1522" s="32"/>
      <c r="P1522" s="31">
        <f t="shared" si="49"/>
        <v>0</v>
      </c>
      <c r="R1522" s="31">
        <f t="shared" si="50"/>
        <v>0</v>
      </c>
    </row>
    <row r="1523" spans="2:18" ht="30.75" customHeight="1" x14ac:dyDescent="0.3">
      <c r="B1523" s="32"/>
      <c r="P1523" s="31">
        <f t="shared" si="49"/>
        <v>0</v>
      </c>
      <c r="R1523" s="31">
        <f t="shared" si="50"/>
        <v>0</v>
      </c>
    </row>
    <row r="1524" spans="2:18" ht="30.75" customHeight="1" x14ac:dyDescent="0.3">
      <c r="B1524" s="32"/>
      <c r="P1524" s="31">
        <f t="shared" si="49"/>
        <v>0</v>
      </c>
      <c r="R1524" s="31">
        <f t="shared" si="50"/>
        <v>0</v>
      </c>
    </row>
    <row r="1525" spans="2:18" ht="30.75" customHeight="1" x14ac:dyDescent="0.3">
      <c r="B1525" s="32"/>
      <c r="P1525" s="31">
        <f t="shared" si="49"/>
        <v>0</v>
      </c>
      <c r="R1525" s="31">
        <f t="shared" si="50"/>
        <v>0</v>
      </c>
    </row>
    <row r="1526" spans="2:18" ht="30.75" customHeight="1" x14ac:dyDescent="0.3">
      <c r="B1526" s="32"/>
      <c r="P1526" s="31">
        <f t="shared" si="49"/>
        <v>0</v>
      </c>
      <c r="R1526" s="31">
        <f t="shared" si="50"/>
        <v>0</v>
      </c>
    </row>
    <row r="1527" spans="2:18" ht="30.75" customHeight="1" x14ac:dyDescent="0.3">
      <c r="B1527" s="32"/>
      <c r="P1527" s="31">
        <f t="shared" si="49"/>
        <v>0</v>
      </c>
      <c r="R1527" s="31">
        <f t="shared" si="50"/>
        <v>0</v>
      </c>
    </row>
    <row r="1528" spans="2:18" ht="30.75" customHeight="1" x14ac:dyDescent="0.3">
      <c r="B1528" s="32"/>
      <c r="P1528" s="31">
        <f t="shared" si="49"/>
        <v>0</v>
      </c>
      <c r="R1528" s="31">
        <f t="shared" si="50"/>
        <v>0</v>
      </c>
    </row>
    <row r="1529" spans="2:18" ht="30.75" customHeight="1" x14ac:dyDescent="0.3">
      <c r="B1529" s="32"/>
      <c r="P1529" s="31">
        <f t="shared" si="49"/>
        <v>0</v>
      </c>
      <c r="R1529" s="31">
        <f t="shared" si="50"/>
        <v>0</v>
      </c>
    </row>
    <row r="1530" spans="2:18" ht="30.75" customHeight="1" x14ac:dyDescent="0.3">
      <c r="B1530" s="32"/>
      <c r="P1530" s="31">
        <f t="shared" si="49"/>
        <v>0</v>
      </c>
      <c r="R1530" s="31">
        <f t="shared" si="50"/>
        <v>0</v>
      </c>
    </row>
    <row r="1531" spans="2:18" ht="30.75" customHeight="1" x14ac:dyDescent="0.3">
      <c r="B1531" s="32"/>
      <c r="P1531" s="31">
        <f t="shared" si="49"/>
        <v>0</v>
      </c>
      <c r="R1531" s="31">
        <f t="shared" si="50"/>
        <v>0</v>
      </c>
    </row>
    <row r="1532" spans="2:18" ht="30.75" customHeight="1" x14ac:dyDescent="0.3">
      <c r="B1532" s="32"/>
      <c r="P1532" s="31">
        <f t="shared" si="49"/>
        <v>0</v>
      </c>
      <c r="R1532" s="31">
        <f t="shared" si="50"/>
        <v>0</v>
      </c>
    </row>
    <row r="1533" spans="2:18" ht="30.75" customHeight="1" x14ac:dyDescent="0.3">
      <c r="B1533" s="32"/>
      <c r="P1533" s="31">
        <f t="shared" si="49"/>
        <v>0</v>
      </c>
      <c r="R1533" s="31">
        <f t="shared" si="50"/>
        <v>0</v>
      </c>
    </row>
    <row r="1534" spans="2:18" ht="30.75" customHeight="1" x14ac:dyDescent="0.3">
      <c r="B1534" s="32"/>
      <c r="P1534" s="31">
        <f t="shared" si="49"/>
        <v>0</v>
      </c>
      <c r="R1534" s="31">
        <f t="shared" si="50"/>
        <v>0</v>
      </c>
    </row>
    <row r="1535" spans="2:18" ht="30.75" customHeight="1" x14ac:dyDescent="0.3">
      <c r="B1535" s="32"/>
      <c r="P1535" s="31">
        <f t="shared" si="49"/>
        <v>0</v>
      </c>
      <c r="R1535" s="31">
        <f t="shared" si="50"/>
        <v>0</v>
      </c>
    </row>
    <row r="1536" spans="2:18" ht="30.75" customHeight="1" x14ac:dyDescent="0.3">
      <c r="B1536" s="32"/>
      <c r="P1536" s="31">
        <f t="shared" si="49"/>
        <v>0</v>
      </c>
      <c r="R1536" s="31">
        <f t="shared" si="50"/>
        <v>0</v>
      </c>
    </row>
    <row r="1537" spans="2:18" ht="30.75" customHeight="1" x14ac:dyDescent="0.3">
      <c r="B1537" s="32"/>
      <c r="P1537" s="31">
        <f t="shared" si="49"/>
        <v>0</v>
      </c>
      <c r="R1537" s="31">
        <f t="shared" si="50"/>
        <v>0</v>
      </c>
    </row>
    <row r="1538" spans="2:18" ht="30.75" customHeight="1" x14ac:dyDescent="0.3">
      <c r="B1538" s="32"/>
      <c r="P1538" s="31">
        <f t="shared" si="49"/>
        <v>0</v>
      </c>
      <c r="R1538" s="31">
        <f t="shared" si="50"/>
        <v>0</v>
      </c>
    </row>
    <row r="1539" spans="2:18" ht="30.75" customHeight="1" x14ac:dyDescent="0.3">
      <c r="B1539" s="32"/>
      <c r="P1539" s="31">
        <f t="shared" si="49"/>
        <v>0</v>
      </c>
      <c r="R1539" s="31">
        <f t="shared" si="50"/>
        <v>0</v>
      </c>
    </row>
    <row r="1540" spans="2:18" ht="30.75" customHeight="1" x14ac:dyDescent="0.3">
      <c r="B1540" s="32"/>
      <c r="P1540" s="31">
        <f t="shared" si="49"/>
        <v>0</v>
      </c>
      <c r="R1540" s="31">
        <f t="shared" si="50"/>
        <v>0</v>
      </c>
    </row>
    <row r="1541" spans="2:18" ht="30.75" customHeight="1" x14ac:dyDescent="0.3">
      <c r="B1541" s="32"/>
      <c r="P1541" s="31">
        <f t="shared" si="49"/>
        <v>0</v>
      </c>
      <c r="R1541" s="31">
        <f t="shared" si="50"/>
        <v>0</v>
      </c>
    </row>
    <row r="1542" spans="2:18" ht="30.75" customHeight="1" x14ac:dyDescent="0.3">
      <c r="B1542" s="32"/>
      <c r="P1542" s="31">
        <f t="shared" si="49"/>
        <v>0</v>
      </c>
      <c r="R1542" s="31">
        <f t="shared" si="50"/>
        <v>0</v>
      </c>
    </row>
    <row r="1543" spans="2:18" ht="30.75" customHeight="1" x14ac:dyDescent="0.3">
      <c r="B1543" s="32"/>
      <c r="P1543" s="31">
        <f t="shared" si="49"/>
        <v>0</v>
      </c>
      <c r="R1543" s="31">
        <f t="shared" si="50"/>
        <v>0</v>
      </c>
    </row>
    <row r="1544" spans="2:18" ht="30.75" customHeight="1" x14ac:dyDescent="0.3">
      <c r="B1544" s="32"/>
      <c r="P1544" s="31">
        <f t="shared" si="49"/>
        <v>0</v>
      </c>
      <c r="R1544" s="31">
        <f t="shared" si="50"/>
        <v>0</v>
      </c>
    </row>
    <row r="1545" spans="2:18" ht="30.75" customHeight="1" x14ac:dyDescent="0.3">
      <c r="B1545" s="32"/>
      <c r="P1545" s="31">
        <f t="shared" si="49"/>
        <v>0</v>
      </c>
      <c r="R1545" s="31">
        <f t="shared" si="50"/>
        <v>0</v>
      </c>
    </row>
    <row r="1546" spans="2:18" ht="30.75" customHeight="1" x14ac:dyDescent="0.3">
      <c r="B1546" s="32"/>
      <c r="P1546" s="31">
        <f t="shared" si="49"/>
        <v>0</v>
      </c>
      <c r="R1546" s="31">
        <f t="shared" si="50"/>
        <v>0</v>
      </c>
    </row>
    <row r="1547" spans="2:18" ht="30.75" customHeight="1" x14ac:dyDescent="0.3">
      <c r="B1547" s="32"/>
      <c r="P1547" s="31">
        <f t="shared" si="49"/>
        <v>0</v>
      </c>
      <c r="R1547" s="31">
        <f t="shared" si="50"/>
        <v>0</v>
      </c>
    </row>
    <row r="1548" spans="2:18" ht="30.75" customHeight="1" x14ac:dyDescent="0.3">
      <c r="B1548" s="32"/>
      <c r="P1548" s="31">
        <f t="shared" ref="P1548:P1611" si="51">K1548-L1548-M1548-N1548+O1548</f>
        <v>0</v>
      </c>
      <c r="R1548" s="31">
        <f t="shared" si="50"/>
        <v>0</v>
      </c>
    </row>
    <row r="1549" spans="2:18" ht="30.75" customHeight="1" x14ac:dyDescent="0.3">
      <c r="B1549" s="32"/>
      <c r="P1549" s="31">
        <f t="shared" si="51"/>
        <v>0</v>
      </c>
      <c r="R1549" s="31">
        <f t="shared" si="50"/>
        <v>0</v>
      </c>
    </row>
    <row r="1550" spans="2:18" ht="30.75" customHeight="1" x14ac:dyDescent="0.3">
      <c r="B1550" s="32"/>
      <c r="P1550" s="31">
        <f t="shared" si="51"/>
        <v>0</v>
      </c>
      <c r="R1550" s="31">
        <f t="shared" si="50"/>
        <v>0</v>
      </c>
    </row>
    <row r="1551" spans="2:18" ht="30.75" customHeight="1" x14ac:dyDescent="0.3">
      <c r="B1551" s="32"/>
      <c r="P1551" s="31">
        <f t="shared" si="51"/>
        <v>0</v>
      </c>
      <c r="R1551" s="31">
        <f t="shared" si="50"/>
        <v>0</v>
      </c>
    </row>
    <row r="1552" spans="2:18" ht="30.75" customHeight="1" x14ac:dyDescent="0.3">
      <c r="B1552" s="32"/>
      <c r="P1552" s="31">
        <f t="shared" si="51"/>
        <v>0</v>
      </c>
      <c r="R1552" s="31">
        <f t="shared" si="50"/>
        <v>0</v>
      </c>
    </row>
    <row r="1553" spans="2:18" ht="30.75" customHeight="1" x14ac:dyDescent="0.3">
      <c r="B1553" s="32"/>
      <c r="P1553" s="31">
        <f t="shared" si="51"/>
        <v>0</v>
      </c>
      <c r="R1553" s="31">
        <f t="shared" si="50"/>
        <v>0</v>
      </c>
    </row>
    <row r="1554" spans="2:18" ht="30.75" customHeight="1" x14ac:dyDescent="0.3">
      <c r="B1554" s="32"/>
      <c r="P1554" s="31">
        <f t="shared" si="51"/>
        <v>0</v>
      </c>
      <c r="R1554" s="31">
        <f t="shared" si="50"/>
        <v>0</v>
      </c>
    </row>
    <row r="1555" spans="2:18" ht="30.75" customHeight="1" x14ac:dyDescent="0.3">
      <c r="B1555" s="32"/>
      <c r="P1555" s="31">
        <f t="shared" si="51"/>
        <v>0</v>
      </c>
      <c r="R1555" s="31">
        <f t="shared" si="50"/>
        <v>0</v>
      </c>
    </row>
    <row r="1556" spans="2:18" ht="30.75" customHeight="1" x14ac:dyDescent="0.3">
      <c r="B1556" s="32"/>
      <c r="P1556" s="31">
        <f t="shared" si="51"/>
        <v>0</v>
      </c>
      <c r="R1556" s="31">
        <f t="shared" si="50"/>
        <v>0</v>
      </c>
    </row>
    <row r="1557" spans="2:18" ht="30.75" customHeight="1" x14ac:dyDescent="0.3">
      <c r="B1557" s="32"/>
      <c r="P1557" s="31">
        <f t="shared" si="51"/>
        <v>0</v>
      </c>
      <c r="R1557" s="31">
        <f t="shared" si="50"/>
        <v>0</v>
      </c>
    </row>
    <row r="1558" spans="2:18" ht="30.75" customHeight="1" x14ac:dyDescent="0.3">
      <c r="B1558" s="32"/>
      <c r="P1558" s="31">
        <f t="shared" si="51"/>
        <v>0</v>
      </c>
      <c r="R1558" s="31">
        <f t="shared" si="50"/>
        <v>0</v>
      </c>
    </row>
    <row r="1559" spans="2:18" ht="30.75" customHeight="1" x14ac:dyDescent="0.3">
      <c r="B1559" s="32"/>
      <c r="P1559" s="31">
        <f t="shared" si="51"/>
        <v>0</v>
      </c>
      <c r="R1559" s="31">
        <f t="shared" si="50"/>
        <v>0</v>
      </c>
    </row>
    <row r="1560" spans="2:18" ht="30.75" customHeight="1" x14ac:dyDescent="0.3">
      <c r="B1560" s="32"/>
      <c r="P1560" s="31">
        <f t="shared" si="51"/>
        <v>0</v>
      </c>
      <c r="R1560" s="31">
        <f t="shared" si="50"/>
        <v>0</v>
      </c>
    </row>
    <row r="1561" spans="2:18" ht="30.75" customHeight="1" x14ac:dyDescent="0.3">
      <c r="B1561" s="32"/>
      <c r="P1561" s="31">
        <f t="shared" si="51"/>
        <v>0</v>
      </c>
      <c r="R1561" s="31">
        <f t="shared" si="50"/>
        <v>0</v>
      </c>
    </row>
    <row r="1562" spans="2:18" ht="30.75" customHeight="1" x14ac:dyDescent="0.3">
      <c r="B1562" s="32"/>
      <c r="P1562" s="31">
        <f t="shared" si="51"/>
        <v>0</v>
      </c>
      <c r="R1562" s="31">
        <f t="shared" si="50"/>
        <v>0</v>
      </c>
    </row>
    <row r="1563" spans="2:18" ht="30.75" customHeight="1" x14ac:dyDescent="0.3">
      <c r="B1563" s="32"/>
      <c r="P1563" s="31">
        <f t="shared" si="51"/>
        <v>0</v>
      </c>
      <c r="R1563" s="31">
        <f t="shared" si="50"/>
        <v>0</v>
      </c>
    </row>
    <row r="1564" spans="2:18" ht="30.75" customHeight="1" x14ac:dyDescent="0.3">
      <c r="B1564" s="32"/>
      <c r="P1564" s="31">
        <f t="shared" si="51"/>
        <v>0</v>
      </c>
      <c r="R1564" s="31">
        <f t="shared" si="50"/>
        <v>0</v>
      </c>
    </row>
    <row r="1565" spans="2:18" ht="30.75" customHeight="1" x14ac:dyDescent="0.3">
      <c r="B1565" s="32"/>
      <c r="P1565" s="31">
        <f t="shared" si="51"/>
        <v>0</v>
      </c>
      <c r="R1565" s="31">
        <f t="shared" si="50"/>
        <v>0</v>
      </c>
    </row>
    <row r="1566" spans="2:18" ht="30.75" customHeight="1" x14ac:dyDescent="0.3">
      <c r="B1566" s="32"/>
      <c r="P1566" s="31">
        <f t="shared" si="51"/>
        <v>0</v>
      </c>
      <c r="R1566" s="31">
        <f t="shared" si="50"/>
        <v>0</v>
      </c>
    </row>
    <row r="1567" spans="2:18" ht="30.75" customHeight="1" x14ac:dyDescent="0.3">
      <c r="B1567" s="32"/>
      <c r="P1567" s="31">
        <f t="shared" si="51"/>
        <v>0</v>
      </c>
      <c r="R1567" s="31">
        <f t="shared" si="50"/>
        <v>0</v>
      </c>
    </row>
    <row r="1568" spans="2:18" ht="30.75" customHeight="1" x14ac:dyDescent="0.3">
      <c r="B1568" s="32"/>
      <c r="P1568" s="31">
        <f t="shared" si="51"/>
        <v>0</v>
      </c>
      <c r="R1568" s="31">
        <f t="shared" si="50"/>
        <v>0</v>
      </c>
    </row>
    <row r="1569" spans="2:18" ht="30.75" customHeight="1" x14ac:dyDescent="0.3">
      <c r="B1569" s="32"/>
      <c r="P1569" s="31">
        <f t="shared" si="51"/>
        <v>0</v>
      </c>
      <c r="R1569" s="31">
        <f t="shared" si="50"/>
        <v>0</v>
      </c>
    </row>
    <row r="1570" spans="2:18" ht="30.75" customHeight="1" x14ac:dyDescent="0.3">
      <c r="B1570" s="32"/>
      <c r="P1570" s="31">
        <f t="shared" si="51"/>
        <v>0</v>
      </c>
      <c r="R1570" s="31">
        <f t="shared" si="50"/>
        <v>0</v>
      </c>
    </row>
    <row r="1571" spans="2:18" ht="30.75" customHeight="1" x14ac:dyDescent="0.3">
      <c r="B1571" s="32"/>
      <c r="P1571" s="31">
        <f t="shared" si="51"/>
        <v>0</v>
      </c>
      <c r="R1571" s="31">
        <f t="shared" si="50"/>
        <v>0</v>
      </c>
    </row>
    <row r="1572" spans="2:18" ht="30.75" customHeight="1" x14ac:dyDescent="0.3">
      <c r="B1572" s="32"/>
      <c r="P1572" s="31">
        <f t="shared" si="51"/>
        <v>0</v>
      </c>
      <c r="R1572" s="31">
        <f t="shared" si="50"/>
        <v>0</v>
      </c>
    </row>
    <row r="1573" spans="2:18" ht="30.75" customHeight="1" x14ac:dyDescent="0.3">
      <c r="B1573" s="32"/>
      <c r="P1573" s="31">
        <f t="shared" si="51"/>
        <v>0</v>
      </c>
      <c r="R1573" s="31">
        <f t="shared" si="50"/>
        <v>0</v>
      </c>
    </row>
    <row r="1574" spans="2:18" ht="30.75" customHeight="1" x14ac:dyDescent="0.3">
      <c r="B1574" s="32"/>
      <c r="P1574" s="31">
        <f t="shared" si="51"/>
        <v>0</v>
      </c>
      <c r="R1574" s="31">
        <f t="shared" si="50"/>
        <v>0</v>
      </c>
    </row>
    <row r="1575" spans="2:18" ht="30.75" customHeight="1" x14ac:dyDescent="0.3">
      <c r="B1575" s="32"/>
      <c r="P1575" s="31">
        <f t="shared" si="51"/>
        <v>0</v>
      </c>
      <c r="R1575" s="31">
        <f t="shared" si="50"/>
        <v>0</v>
      </c>
    </row>
    <row r="1576" spans="2:18" ht="30.75" customHeight="1" x14ac:dyDescent="0.3">
      <c r="B1576" s="32"/>
      <c r="P1576" s="31">
        <f t="shared" si="51"/>
        <v>0</v>
      </c>
      <c r="R1576" s="31">
        <f t="shared" si="50"/>
        <v>0</v>
      </c>
    </row>
    <row r="1577" spans="2:18" ht="30.75" customHeight="1" x14ac:dyDescent="0.3">
      <c r="B1577" s="32"/>
      <c r="P1577" s="31">
        <f t="shared" si="51"/>
        <v>0</v>
      </c>
      <c r="R1577" s="31">
        <f t="shared" si="50"/>
        <v>0</v>
      </c>
    </row>
    <row r="1578" spans="2:18" ht="30.75" customHeight="1" x14ac:dyDescent="0.3">
      <c r="B1578" s="32"/>
      <c r="P1578" s="31">
        <f t="shared" si="51"/>
        <v>0</v>
      </c>
      <c r="R1578" s="31">
        <f t="shared" si="50"/>
        <v>0</v>
      </c>
    </row>
    <row r="1579" spans="2:18" ht="30.75" customHeight="1" x14ac:dyDescent="0.3">
      <c r="B1579" s="32"/>
      <c r="P1579" s="31">
        <f t="shared" si="51"/>
        <v>0</v>
      </c>
      <c r="R1579" s="31">
        <f t="shared" si="50"/>
        <v>0</v>
      </c>
    </row>
    <row r="1580" spans="2:18" ht="30.75" customHeight="1" x14ac:dyDescent="0.3">
      <c r="B1580" s="32"/>
      <c r="P1580" s="31">
        <f t="shared" si="51"/>
        <v>0</v>
      </c>
      <c r="R1580" s="31">
        <f t="shared" si="50"/>
        <v>0</v>
      </c>
    </row>
    <row r="1581" spans="2:18" ht="30.75" customHeight="1" x14ac:dyDescent="0.3">
      <c r="B1581" s="32"/>
      <c r="P1581" s="31">
        <f t="shared" si="51"/>
        <v>0</v>
      </c>
      <c r="R1581" s="31">
        <f t="shared" si="50"/>
        <v>0</v>
      </c>
    </row>
    <row r="1582" spans="2:18" ht="30.75" customHeight="1" x14ac:dyDescent="0.3">
      <c r="B1582" s="32"/>
      <c r="P1582" s="31">
        <f t="shared" si="51"/>
        <v>0</v>
      </c>
      <c r="R1582" s="31">
        <f t="shared" si="50"/>
        <v>0</v>
      </c>
    </row>
    <row r="1583" spans="2:18" ht="30.75" customHeight="1" x14ac:dyDescent="0.3">
      <c r="B1583" s="32"/>
      <c r="P1583" s="31">
        <f t="shared" si="51"/>
        <v>0</v>
      </c>
      <c r="R1583" s="31">
        <f t="shared" si="50"/>
        <v>0</v>
      </c>
    </row>
    <row r="1584" spans="2:18" ht="30.75" customHeight="1" x14ac:dyDescent="0.3">
      <c r="B1584" s="32"/>
      <c r="P1584" s="31">
        <f t="shared" si="51"/>
        <v>0</v>
      </c>
      <c r="R1584" s="31">
        <f t="shared" si="50"/>
        <v>0</v>
      </c>
    </row>
    <row r="1585" spans="2:18" ht="30.75" customHeight="1" x14ac:dyDescent="0.3">
      <c r="B1585" s="32"/>
      <c r="P1585" s="31">
        <f t="shared" si="51"/>
        <v>0</v>
      </c>
      <c r="R1585" s="31">
        <f t="shared" ref="R1585:R1648" si="52">R1584+K1585-L1585-M1585-N1585+O1585-Q1585</f>
        <v>0</v>
      </c>
    </row>
    <row r="1586" spans="2:18" ht="30.75" customHeight="1" x14ac:dyDescent="0.3">
      <c r="B1586" s="32"/>
      <c r="P1586" s="31">
        <f t="shared" si="51"/>
        <v>0</v>
      </c>
      <c r="R1586" s="31">
        <f t="shared" si="52"/>
        <v>0</v>
      </c>
    </row>
    <row r="1587" spans="2:18" ht="30.75" customHeight="1" x14ac:dyDescent="0.3">
      <c r="B1587" s="32"/>
      <c r="P1587" s="31">
        <f t="shared" si="51"/>
        <v>0</v>
      </c>
      <c r="R1587" s="31">
        <f t="shared" si="52"/>
        <v>0</v>
      </c>
    </row>
    <row r="1588" spans="2:18" ht="30.75" customHeight="1" x14ac:dyDescent="0.3">
      <c r="B1588" s="32"/>
      <c r="P1588" s="31">
        <f t="shared" si="51"/>
        <v>0</v>
      </c>
      <c r="R1588" s="31">
        <f t="shared" si="52"/>
        <v>0</v>
      </c>
    </row>
    <row r="1589" spans="2:18" ht="30.75" customHeight="1" x14ac:dyDescent="0.3">
      <c r="B1589" s="32"/>
      <c r="P1589" s="31">
        <f t="shared" si="51"/>
        <v>0</v>
      </c>
      <c r="R1589" s="31">
        <f t="shared" si="52"/>
        <v>0</v>
      </c>
    </row>
    <row r="1590" spans="2:18" ht="30.75" customHeight="1" x14ac:dyDescent="0.3">
      <c r="B1590" s="32"/>
      <c r="P1590" s="31">
        <f t="shared" si="51"/>
        <v>0</v>
      </c>
      <c r="R1590" s="31">
        <f t="shared" si="52"/>
        <v>0</v>
      </c>
    </row>
    <row r="1591" spans="2:18" ht="30.75" customHeight="1" x14ac:dyDescent="0.3">
      <c r="B1591" s="32"/>
      <c r="P1591" s="31">
        <f t="shared" si="51"/>
        <v>0</v>
      </c>
      <c r="R1591" s="31">
        <f t="shared" si="52"/>
        <v>0</v>
      </c>
    </row>
    <row r="1592" spans="2:18" ht="30.75" customHeight="1" x14ac:dyDescent="0.3">
      <c r="B1592" s="32"/>
      <c r="P1592" s="31">
        <f t="shared" si="51"/>
        <v>0</v>
      </c>
      <c r="R1592" s="31">
        <f t="shared" si="52"/>
        <v>0</v>
      </c>
    </row>
    <row r="1593" spans="2:18" ht="30.75" customHeight="1" x14ac:dyDescent="0.3">
      <c r="B1593" s="32"/>
      <c r="P1593" s="31">
        <f t="shared" si="51"/>
        <v>0</v>
      </c>
      <c r="R1593" s="31">
        <f t="shared" si="52"/>
        <v>0</v>
      </c>
    </row>
    <row r="1594" spans="2:18" ht="30.75" customHeight="1" x14ac:dyDescent="0.3">
      <c r="B1594" s="32"/>
      <c r="P1594" s="31">
        <f t="shared" si="51"/>
        <v>0</v>
      </c>
      <c r="R1594" s="31">
        <f t="shared" si="52"/>
        <v>0</v>
      </c>
    </row>
    <row r="1595" spans="2:18" ht="30.75" customHeight="1" x14ac:dyDescent="0.3">
      <c r="B1595" s="32"/>
      <c r="P1595" s="31">
        <f t="shared" si="51"/>
        <v>0</v>
      </c>
      <c r="R1595" s="31">
        <f t="shared" si="52"/>
        <v>0</v>
      </c>
    </row>
    <row r="1596" spans="2:18" ht="30.75" customHeight="1" x14ac:dyDescent="0.3">
      <c r="B1596" s="32"/>
      <c r="P1596" s="31">
        <f t="shared" si="51"/>
        <v>0</v>
      </c>
      <c r="R1596" s="31">
        <f t="shared" si="52"/>
        <v>0</v>
      </c>
    </row>
    <row r="1597" spans="2:18" ht="30.75" customHeight="1" x14ac:dyDescent="0.3">
      <c r="B1597" s="32"/>
      <c r="P1597" s="31">
        <f t="shared" si="51"/>
        <v>0</v>
      </c>
      <c r="R1597" s="31">
        <f t="shared" si="52"/>
        <v>0</v>
      </c>
    </row>
    <row r="1598" spans="2:18" ht="30.75" customHeight="1" x14ac:dyDescent="0.3">
      <c r="B1598" s="32"/>
      <c r="P1598" s="31">
        <f t="shared" si="51"/>
        <v>0</v>
      </c>
      <c r="R1598" s="31">
        <f t="shared" si="52"/>
        <v>0</v>
      </c>
    </row>
    <row r="1599" spans="2:18" ht="30.75" customHeight="1" x14ac:dyDescent="0.3">
      <c r="B1599" s="32"/>
      <c r="P1599" s="31">
        <f t="shared" si="51"/>
        <v>0</v>
      </c>
      <c r="R1599" s="31">
        <f t="shared" si="52"/>
        <v>0</v>
      </c>
    </row>
    <row r="1600" spans="2:18" ht="30.75" customHeight="1" x14ac:dyDescent="0.3">
      <c r="B1600" s="32"/>
      <c r="P1600" s="31">
        <f t="shared" si="51"/>
        <v>0</v>
      </c>
      <c r="R1600" s="31">
        <f t="shared" si="52"/>
        <v>0</v>
      </c>
    </row>
    <row r="1601" spans="2:18" ht="30.75" customHeight="1" x14ac:dyDescent="0.3">
      <c r="B1601" s="32"/>
      <c r="P1601" s="31">
        <f t="shared" si="51"/>
        <v>0</v>
      </c>
      <c r="R1601" s="31">
        <f t="shared" si="52"/>
        <v>0</v>
      </c>
    </row>
    <row r="1602" spans="2:18" ht="30.75" customHeight="1" x14ac:dyDescent="0.3">
      <c r="B1602" s="32"/>
      <c r="P1602" s="31">
        <f t="shared" si="51"/>
        <v>0</v>
      </c>
      <c r="R1602" s="31">
        <f t="shared" si="52"/>
        <v>0</v>
      </c>
    </row>
    <row r="1603" spans="2:18" ht="30.75" customHeight="1" x14ac:dyDescent="0.3">
      <c r="B1603" s="32"/>
      <c r="P1603" s="31">
        <f t="shared" si="51"/>
        <v>0</v>
      </c>
      <c r="R1603" s="31">
        <f t="shared" si="52"/>
        <v>0</v>
      </c>
    </row>
    <row r="1604" spans="2:18" ht="30.75" customHeight="1" x14ac:dyDescent="0.3">
      <c r="B1604" s="32"/>
      <c r="P1604" s="31">
        <f t="shared" si="51"/>
        <v>0</v>
      </c>
      <c r="R1604" s="31">
        <f t="shared" si="52"/>
        <v>0</v>
      </c>
    </row>
    <row r="1605" spans="2:18" ht="30.75" customHeight="1" x14ac:dyDescent="0.3">
      <c r="B1605" s="32"/>
      <c r="P1605" s="31">
        <f t="shared" si="51"/>
        <v>0</v>
      </c>
      <c r="R1605" s="31">
        <f t="shared" si="52"/>
        <v>0</v>
      </c>
    </row>
    <row r="1606" spans="2:18" ht="30.75" customHeight="1" x14ac:dyDescent="0.3">
      <c r="B1606" s="32"/>
      <c r="P1606" s="31">
        <f t="shared" si="51"/>
        <v>0</v>
      </c>
      <c r="R1606" s="31">
        <f t="shared" si="52"/>
        <v>0</v>
      </c>
    </row>
    <row r="1607" spans="2:18" ht="30.75" customHeight="1" x14ac:dyDescent="0.3">
      <c r="B1607" s="32"/>
      <c r="P1607" s="31">
        <f t="shared" si="51"/>
        <v>0</v>
      </c>
      <c r="R1607" s="31">
        <f t="shared" si="52"/>
        <v>0</v>
      </c>
    </row>
    <row r="1608" spans="2:18" ht="30.75" customHeight="1" x14ac:dyDescent="0.3">
      <c r="B1608" s="32"/>
      <c r="P1608" s="31">
        <f t="shared" si="51"/>
        <v>0</v>
      </c>
      <c r="R1608" s="31">
        <f t="shared" si="52"/>
        <v>0</v>
      </c>
    </row>
    <row r="1609" spans="2:18" ht="30.75" customHeight="1" x14ac:dyDescent="0.3">
      <c r="B1609" s="32"/>
      <c r="P1609" s="31">
        <f t="shared" si="51"/>
        <v>0</v>
      </c>
      <c r="R1609" s="31">
        <f t="shared" si="52"/>
        <v>0</v>
      </c>
    </row>
    <row r="1610" spans="2:18" ht="30.75" customHeight="1" x14ac:dyDescent="0.3">
      <c r="B1610" s="32"/>
      <c r="P1610" s="31">
        <f t="shared" si="51"/>
        <v>0</v>
      </c>
      <c r="R1610" s="31">
        <f t="shared" si="52"/>
        <v>0</v>
      </c>
    </row>
    <row r="1611" spans="2:18" ht="30.75" customHeight="1" x14ac:dyDescent="0.3">
      <c r="B1611" s="32"/>
      <c r="P1611" s="31">
        <f t="shared" si="51"/>
        <v>0</v>
      </c>
      <c r="R1611" s="31">
        <f t="shared" si="52"/>
        <v>0</v>
      </c>
    </row>
    <row r="1612" spans="2:18" ht="30.75" customHeight="1" x14ac:dyDescent="0.3">
      <c r="B1612" s="32"/>
      <c r="P1612" s="31">
        <f t="shared" ref="P1612:P1675" si="53">K1612-L1612-M1612-N1612+O1612</f>
        <v>0</v>
      </c>
      <c r="R1612" s="31">
        <f t="shared" si="52"/>
        <v>0</v>
      </c>
    </row>
    <row r="1613" spans="2:18" ht="30.75" customHeight="1" x14ac:dyDescent="0.3">
      <c r="B1613" s="32"/>
      <c r="P1613" s="31">
        <f t="shared" si="53"/>
        <v>0</v>
      </c>
      <c r="R1613" s="31">
        <f t="shared" si="52"/>
        <v>0</v>
      </c>
    </row>
    <row r="1614" spans="2:18" ht="30.75" customHeight="1" x14ac:dyDescent="0.3">
      <c r="B1614" s="32"/>
      <c r="P1614" s="31">
        <f t="shared" si="53"/>
        <v>0</v>
      </c>
      <c r="R1614" s="31">
        <f t="shared" si="52"/>
        <v>0</v>
      </c>
    </row>
    <row r="1615" spans="2:18" ht="30.75" customHeight="1" x14ac:dyDescent="0.3">
      <c r="B1615" s="32"/>
      <c r="P1615" s="31">
        <f t="shared" si="53"/>
        <v>0</v>
      </c>
      <c r="R1615" s="31">
        <f t="shared" si="52"/>
        <v>0</v>
      </c>
    </row>
    <row r="1616" spans="2:18" ht="30.75" customHeight="1" x14ac:dyDescent="0.3">
      <c r="B1616" s="32"/>
      <c r="P1616" s="31">
        <f t="shared" si="53"/>
        <v>0</v>
      </c>
      <c r="R1616" s="31">
        <f t="shared" si="52"/>
        <v>0</v>
      </c>
    </row>
    <row r="1617" spans="2:18" ht="30.75" customHeight="1" x14ac:dyDescent="0.3">
      <c r="B1617" s="32"/>
      <c r="P1617" s="31">
        <f t="shared" si="53"/>
        <v>0</v>
      </c>
      <c r="R1617" s="31">
        <f t="shared" si="52"/>
        <v>0</v>
      </c>
    </row>
    <row r="1618" spans="2:18" ht="30.75" customHeight="1" x14ac:dyDescent="0.3">
      <c r="B1618" s="32"/>
      <c r="P1618" s="31">
        <f t="shared" si="53"/>
        <v>0</v>
      </c>
      <c r="R1618" s="31">
        <f t="shared" si="52"/>
        <v>0</v>
      </c>
    </row>
    <row r="1619" spans="2:18" ht="30.75" customHeight="1" x14ac:dyDescent="0.3">
      <c r="B1619" s="32"/>
      <c r="P1619" s="31">
        <f t="shared" si="53"/>
        <v>0</v>
      </c>
      <c r="R1619" s="31">
        <f t="shared" si="52"/>
        <v>0</v>
      </c>
    </row>
    <row r="1620" spans="2:18" ht="30.75" customHeight="1" x14ac:dyDescent="0.3">
      <c r="B1620" s="32"/>
      <c r="P1620" s="31">
        <f t="shared" si="53"/>
        <v>0</v>
      </c>
      <c r="R1620" s="31">
        <f t="shared" si="52"/>
        <v>0</v>
      </c>
    </row>
    <row r="1621" spans="2:18" ht="30.75" customHeight="1" x14ac:dyDescent="0.3">
      <c r="B1621" s="32"/>
      <c r="P1621" s="31">
        <f t="shared" si="53"/>
        <v>0</v>
      </c>
      <c r="R1621" s="31">
        <f t="shared" si="52"/>
        <v>0</v>
      </c>
    </row>
    <row r="1622" spans="2:18" ht="30.75" customHeight="1" x14ac:dyDescent="0.3">
      <c r="B1622" s="32"/>
      <c r="P1622" s="31">
        <f t="shared" si="53"/>
        <v>0</v>
      </c>
      <c r="R1622" s="31">
        <f t="shared" si="52"/>
        <v>0</v>
      </c>
    </row>
    <row r="1623" spans="2:18" ht="30.75" customHeight="1" x14ac:dyDescent="0.3">
      <c r="B1623" s="32"/>
      <c r="P1623" s="31">
        <f t="shared" si="53"/>
        <v>0</v>
      </c>
      <c r="R1623" s="31">
        <f t="shared" si="52"/>
        <v>0</v>
      </c>
    </row>
    <row r="1624" spans="2:18" ht="30.75" customHeight="1" x14ac:dyDescent="0.3">
      <c r="B1624" s="32"/>
      <c r="P1624" s="31">
        <f t="shared" si="53"/>
        <v>0</v>
      </c>
      <c r="R1624" s="31">
        <f t="shared" si="52"/>
        <v>0</v>
      </c>
    </row>
    <row r="1625" spans="2:18" ht="30.75" customHeight="1" x14ac:dyDescent="0.3">
      <c r="B1625" s="32"/>
      <c r="P1625" s="31">
        <f t="shared" si="53"/>
        <v>0</v>
      </c>
      <c r="R1625" s="31">
        <f t="shared" si="52"/>
        <v>0</v>
      </c>
    </row>
    <row r="1626" spans="2:18" ht="30.75" customHeight="1" x14ac:dyDescent="0.3">
      <c r="B1626" s="32"/>
      <c r="P1626" s="31">
        <f t="shared" si="53"/>
        <v>0</v>
      </c>
      <c r="R1626" s="31">
        <f t="shared" si="52"/>
        <v>0</v>
      </c>
    </row>
    <row r="1627" spans="2:18" ht="30.75" customHeight="1" x14ac:dyDescent="0.3">
      <c r="B1627" s="32"/>
      <c r="P1627" s="31">
        <f t="shared" si="53"/>
        <v>0</v>
      </c>
      <c r="R1627" s="31">
        <f t="shared" si="52"/>
        <v>0</v>
      </c>
    </row>
    <row r="1628" spans="2:18" ht="30.75" customHeight="1" x14ac:dyDescent="0.3">
      <c r="B1628" s="32"/>
      <c r="P1628" s="31">
        <f t="shared" si="53"/>
        <v>0</v>
      </c>
      <c r="R1628" s="31">
        <f t="shared" si="52"/>
        <v>0</v>
      </c>
    </row>
    <row r="1629" spans="2:18" ht="30.75" customHeight="1" x14ac:dyDescent="0.3">
      <c r="B1629" s="32"/>
      <c r="P1629" s="31">
        <f t="shared" si="53"/>
        <v>0</v>
      </c>
      <c r="R1629" s="31">
        <f t="shared" si="52"/>
        <v>0</v>
      </c>
    </row>
    <row r="1630" spans="2:18" ht="30.75" customHeight="1" x14ac:dyDescent="0.3">
      <c r="B1630" s="32"/>
      <c r="P1630" s="31">
        <f t="shared" si="53"/>
        <v>0</v>
      </c>
      <c r="R1630" s="31">
        <f t="shared" si="52"/>
        <v>0</v>
      </c>
    </row>
    <row r="1631" spans="2:18" ht="30.75" customHeight="1" x14ac:dyDescent="0.3">
      <c r="B1631" s="32"/>
      <c r="P1631" s="31">
        <f t="shared" si="53"/>
        <v>0</v>
      </c>
      <c r="R1631" s="31">
        <f t="shared" si="52"/>
        <v>0</v>
      </c>
    </row>
    <row r="1632" spans="2:18" ht="30.75" customHeight="1" x14ac:dyDescent="0.3">
      <c r="B1632" s="32"/>
      <c r="P1632" s="31">
        <f t="shared" si="53"/>
        <v>0</v>
      </c>
      <c r="R1632" s="31">
        <f t="shared" si="52"/>
        <v>0</v>
      </c>
    </row>
    <row r="1633" spans="2:18" ht="30.75" customHeight="1" x14ac:dyDescent="0.3">
      <c r="B1633" s="32"/>
      <c r="P1633" s="31">
        <f t="shared" si="53"/>
        <v>0</v>
      </c>
      <c r="R1633" s="31">
        <f t="shared" si="52"/>
        <v>0</v>
      </c>
    </row>
    <row r="1634" spans="2:18" ht="30.75" customHeight="1" x14ac:dyDescent="0.3">
      <c r="B1634" s="32"/>
      <c r="P1634" s="31">
        <f t="shared" si="53"/>
        <v>0</v>
      </c>
      <c r="R1634" s="31">
        <f t="shared" si="52"/>
        <v>0</v>
      </c>
    </row>
    <row r="1635" spans="2:18" ht="30.75" customHeight="1" x14ac:dyDescent="0.3">
      <c r="B1635" s="32"/>
      <c r="P1635" s="31">
        <f t="shared" si="53"/>
        <v>0</v>
      </c>
      <c r="R1635" s="31">
        <f t="shared" si="52"/>
        <v>0</v>
      </c>
    </row>
    <row r="1636" spans="2:18" ht="30.75" customHeight="1" x14ac:dyDescent="0.3">
      <c r="B1636" s="32"/>
      <c r="P1636" s="31">
        <f t="shared" si="53"/>
        <v>0</v>
      </c>
      <c r="R1636" s="31">
        <f t="shared" si="52"/>
        <v>0</v>
      </c>
    </row>
    <row r="1637" spans="2:18" ht="30.75" customHeight="1" x14ac:dyDescent="0.3">
      <c r="B1637" s="32"/>
      <c r="P1637" s="31">
        <f t="shared" si="53"/>
        <v>0</v>
      </c>
      <c r="R1637" s="31">
        <f t="shared" si="52"/>
        <v>0</v>
      </c>
    </row>
    <row r="1638" spans="2:18" ht="30.75" customHeight="1" x14ac:dyDescent="0.3">
      <c r="B1638" s="32"/>
      <c r="P1638" s="31">
        <f t="shared" si="53"/>
        <v>0</v>
      </c>
      <c r="R1638" s="31">
        <f t="shared" si="52"/>
        <v>0</v>
      </c>
    </row>
    <row r="1639" spans="2:18" ht="30.75" customHeight="1" x14ac:dyDescent="0.3">
      <c r="B1639" s="32"/>
      <c r="P1639" s="31">
        <f t="shared" si="53"/>
        <v>0</v>
      </c>
      <c r="R1639" s="31">
        <f t="shared" si="52"/>
        <v>0</v>
      </c>
    </row>
    <row r="1640" spans="2:18" ht="30.75" customHeight="1" x14ac:dyDescent="0.3">
      <c r="B1640" s="32"/>
      <c r="P1640" s="31">
        <f t="shared" si="53"/>
        <v>0</v>
      </c>
      <c r="R1640" s="31">
        <f t="shared" si="52"/>
        <v>0</v>
      </c>
    </row>
    <row r="1641" spans="2:18" ht="30.75" customHeight="1" x14ac:dyDescent="0.3">
      <c r="B1641" s="32"/>
      <c r="P1641" s="31">
        <f t="shared" si="53"/>
        <v>0</v>
      </c>
      <c r="R1641" s="31">
        <f t="shared" si="52"/>
        <v>0</v>
      </c>
    </row>
    <row r="1642" spans="2:18" ht="30.75" customHeight="1" x14ac:dyDescent="0.3">
      <c r="B1642" s="32"/>
      <c r="P1642" s="31">
        <f t="shared" si="53"/>
        <v>0</v>
      </c>
      <c r="R1642" s="31">
        <f t="shared" si="52"/>
        <v>0</v>
      </c>
    </row>
    <row r="1643" spans="2:18" ht="30.75" customHeight="1" x14ac:dyDescent="0.3">
      <c r="B1643" s="32"/>
      <c r="P1643" s="31">
        <f t="shared" si="53"/>
        <v>0</v>
      </c>
      <c r="R1643" s="31">
        <f t="shared" si="52"/>
        <v>0</v>
      </c>
    </row>
    <row r="1644" spans="2:18" ht="30.75" customHeight="1" x14ac:dyDescent="0.3">
      <c r="B1644" s="32"/>
      <c r="P1644" s="31">
        <f t="shared" si="53"/>
        <v>0</v>
      </c>
      <c r="R1644" s="31">
        <f t="shared" si="52"/>
        <v>0</v>
      </c>
    </row>
    <row r="1645" spans="2:18" ht="30.75" customHeight="1" x14ac:dyDescent="0.3">
      <c r="B1645" s="32"/>
      <c r="P1645" s="31">
        <f t="shared" si="53"/>
        <v>0</v>
      </c>
      <c r="R1645" s="31">
        <f t="shared" si="52"/>
        <v>0</v>
      </c>
    </row>
    <row r="1646" spans="2:18" ht="30.75" customHeight="1" x14ac:dyDescent="0.3">
      <c r="B1646" s="32"/>
      <c r="P1646" s="31">
        <f t="shared" si="53"/>
        <v>0</v>
      </c>
      <c r="R1646" s="31">
        <f t="shared" si="52"/>
        <v>0</v>
      </c>
    </row>
    <row r="1647" spans="2:18" ht="30.75" customHeight="1" x14ac:dyDescent="0.3">
      <c r="B1647" s="32"/>
      <c r="P1647" s="31">
        <f t="shared" si="53"/>
        <v>0</v>
      </c>
      <c r="R1647" s="31">
        <f t="shared" si="52"/>
        <v>0</v>
      </c>
    </row>
    <row r="1648" spans="2:18" ht="30.75" customHeight="1" x14ac:dyDescent="0.3">
      <c r="B1648" s="32"/>
      <c r="P1648" s="31">
        <f t="shared" si="53"/>
        <v>0</v>
      </c>
      <c r="R1648" s="31">
        <f t="shared" si="52"/>
        <v>0</v>
      </c>
    </row>
    <row r="1649" spans="2:18" ht="30.75" customHeight="1" x14ac:dyDescent="0.3">
      <c r="B1649" s="32"/>
      <c r="P1649" s="31">
        <f t="shared" si="53"/>
        <v>0</v>
      </c>
      <c r="R1649" s="31">
        <f t="shared" ref="R1649:R1712" si="54">R1648+K1649-L1649-M1649-N1649+O1649-Q1649</f>
        <v>0</v>
      </c>
    </row>
    <row r="1650" spans="2:18" ht="30.75" customHeight="1" x14ac:dyDescent="0.3">
      <c r="B1650" s="32"/>
      <c r="P1650" s="31">
        <f t="shared" si="53"/>
        <v>0</v>
      </c>
      <c r="R1650" s="31">
        <f t="shared" si="54"/>
        <v>0</v>
      </c>
    </row>
    <row r="1651" spans="2:18" ht="30.75" customHeight="1" x14ac:dyDescent="0.3">
      <c r="B1651" s="32"/>
      <c r="P1651" s="31">
        <f t="shared" si="53"/>
        <v>0</v>
      </c>
      <c r="R1651" s="31">
        <f t="shared" si="54"/>
        <v>0</v>
      </c>
    </row>
    <row r="1652" spans="2:18" ht="30.75" customHeight="1" x14ac:dyDescent="0.3">
      <c r="B1652" s="32"/>
      <c r="P1652" s="31">
        <f t="shared" si="53"/>
        <v>0</v>
      </c>
      <c r="R1652" s="31">
        <f t="shared" si="54"/>
        <v>0</v>
      </c>
    </row>
    <row r="1653" spans="2:18" ht="30.75" customHeight="1" x14ac:dyDescent="0.3">
      <c r="B1653" s="32"/>
      <c r="P1653" s="31">
        <f t="shared" si="53"/>
        <v>0</v>
      </c>
      <c r="R1653" s="31">
        <f t="shared" si="54"/>
        <v>0</v>
      </c>
    </row>
    <row r="1654" spans="2:18" ht="30.75" customHeight="1" x14ac:dyDescent="0.3">
      <c r="B1654" s="32"/>
      <c r="P1654" s="31">
        <f t="shared" si="53"/>
        <v>0</v>
      </c>
      <c r="R1654" s="31">
        <f t="shared" si="54"/>
        <v>0</v>
      </c>
    </row>
    <row r="1655" spans="2:18" ht="30.75" customHeight="1" x14ac:dyDescent="0.3">
      <c r="B1655" s="32"/>
      <c r="P1655" s="31">
        <f t="shared" si="53"/>
        <v>0</v>
      </c>
      <c r="R1655" s="31">
        <f t="shared" si="54"/>
        <v>0</v>
      </c>
    </row>
    <row r="1656" spans="2:18" ht="30.75" customHeight="1" x14ac:dyDescent="0.3">
      <c r="B1656" s="32"/>
      <c r="P1656" s="31">
        <f t="shared" si="53"/>
        <v>0</v>
      </c>
      <c r="R1656" s="31">
        <f t="shared" si="54"/>
        <v>0</v>
      </c>
    </row>
    <row r="1657" spans="2:18" ht="30.75" customHeight="1" x14ac:dyDescent="0.3">
      <c r="B1657" s="32"/>
      <c r="P1657" s="31">
        <f t="shared" si="53"/>
        <v>0</v>
      </c>
      <c r="R1657" s="31">
        <f t="shared" si="54"/>
        <v>0</v>
      </c>
    </row>
    <row r="1658" spans="2:18" ht="30.75" customHeight="1" x14ac:dyDescent="0.3">
      <c r="B1658" s="32"/>
      <c r="P1658" s="31">
        <f t="shared" si="53"/>
        <v>0</v>
      </c>
      <c r="R1658" s="31">
        <f t="shared" si="54"/>
        <v>0</v>
      </c>
    </row>
    <row r="1659" spans="2:18" ht="30.75" customHeight="1" x14ac:dyDescent="0.3">
      <c r="B1659" s="32"/>
      <c r="P1659" s="31">
        <f t="shared" si="53"/>
        <v>0</v>
      </c>
      <c r="R1659" s="31">
        <f t="shared" si="54"/>
        <v>0</v>
      </c>
    </row>
    <row r="1660" spans="2:18" ht="30.75" customHeight="1" x14ac:dyDescent="0.3">
      <c r="B1660" s="32"/>
      <c r="P1660" s="31">
        <f t="shared" si="53"/>
        <v>0</v>
      </c>
      <c r="R1660" s="31">
        <f t="shared" si="54"/>
        <v>0</v>
      </c>
    </row>
    <row r="1661" spans="2:18" ht="30.75" customHeight="1" x14ac:dyDescent="0.3">
      <c r="B1661" s="32"/>
      <c r="P1661" s="31">
        <f t="shared" si="53"/>
        <v>0</v>
      </c>
      <c r="R1661" s="31">
        <f t="shared" si="54"/>
        <v>0</v>
      </c>
    </row>
    <row r="1662" spans="2:18" ht="30.75" customHeight="1" x14ac:dyDescent="0.3">
      <c r="B1662" s="32"/>
      <c r="P1662" s="31">
        <f t="shared" si="53"/>
        <v>0</v>
      </c>
      <c r="R1662" s="31">
        <f t="shared" si="54"/>
        <v>0</v>
      </c>
    </row>
    <row r="1663" spans="2:18" ht="30.75" customHeight="1" x14ac:dyDescent="0.3">
      <c r="B1663" s="32"/>
      <c r="P1663" s="31">
        <f t="shared" si="53"/>
        <v>0</v>
      </c>
      <c r="R1663" s="31">
        <f t="shared" si="54"/>
        <v>0</v>
      </c>
    </row>
    <row r="1664" spans="2:18" ht="30.75" customHeight="1" x14ac:dyDescent="0.3">
      <c r="B1664" s="32"/>
      <c r="P1664" s="31">
        <f t="shared" si="53"/>
        <v>0</v>
      </c>
      <c r="R1664" s="31">
        <f t="shared" si="54"/>
        <v>0</v>
      </c>
    </row>
    <row r="1665" spans="2:18" ht="30.75" customHeight="1" x14ac:dyDescent="0.3">
      <c r="B1665" s="32"/>
      <c r="P1665" s="31">
        <f t="shared" si="53"/>
        <v>0</v>
      </c>
      <c r="R1665" s="31">
        <f t="shared" si="54"/>
        <v>0</v>
      </c>
    </row>
    <row r="1666" spans="2:18" ht="30.75" customHeight="1" x14ac:dyDescent="0.3">
      <c r="B1666" s="32"/>
      <c r="P1666" s="31">
        <f t="shared" si="53"/>
        <v>0</v>
      </c>
      <c r="R1666" s="31">
        <f t="shared" si="54"/>
        <v>0</v>
      </c>
    </row>
    <row r="1667" spans="2:18" ht="30.75" customHeight="1" x14ac:dyDescent="0.3">
      <c r="B1667" s="32"/>
      <c r="P1667" s="31">
        <f t="shared" si="53"/>
        <v>0</v>
      </c>
      <c r="R1667" s="31">
        <f t="shared" si="54"/>
        <v>0</v>
      </c>
    </row>
    <row r="1668" spans="2:18" ht="30.75" customHeight="1" x14ac:dyDescent="0.3">
      <c r="B1668" s="32"/>
      <c r="P1668" s="31">
        <f t="shared" si="53"/>
        <v>0</v>
      </c>
      <c r="R1668" s="31">
        <f t="shared" si="54"/>
        <v>0</v>
      </c>
    </row>
    <row r="1669" spans="2:18" ht="30.75" customHeight="1" x14ac:dyDescent="0.3">
      <c r="B1669" s="32"/>
      <c r="P1669" s="31">
        <f t="shared" si="53"/>
        <v>0</v>
      </c>
      <c r="R1669" s="31">
        <f t="shared" si="54"/>
        <v>0</v>
      </c>
    </row>
    <row r="1670" spans="2:18" ht="30.75" customHeight="1" x14ac:dyDescent="0.3">
      <c r="B1670" s="32"/>
      <c r="P1670" s="31">
        <f t="shared" si="53"/>
        <v>0</v>
      </c>
      <c r="R1670" s="31">
        <f t="shared" si="54"/>
        <v>0</v>
      </c>
    </row>
    <row r="1671" spans="2:18" ht="30.75" customHeight="1" x14ac:dyDescent="0.3">
      <c r="B1671" s="32"/>
      <c r="P1671" s="31">
        <f t="shared" si="53"/>
        <v>0</v>
      </c>
      <c r="R1671" s="31">
        <f t="shared" si="54"/>
        <v>0</v>
      </c>
    </row>
    <row r="1672" spans="2:18" ht="30.75" customHeight="1" x14ac:dyDescent="0.3">
      <c r="B1672" s="32"/>
      <c r="P1672" s="31">
        <f t="shared" si="53"/>
        <v>0</v>
      </c>
      <c r="R1672" s="31">
        <f t="shared" si="54"/>
        <v>0</v>
      </c>
    </row>
    <row r="1673" spans="2:18" ht="30.75" customHeight="1" x14ac:dyDescent="0.3">
      <c r="B1673" s="32"/>
      <c r="P1673" s="31">
        <f t="shared" si="53"/>
        <v>0</v>
      </c>
      <c r="R1673" s="31">
        <f t="shared" si="54"/>
        <v>0</v>
      </c>
    </row>
    <row r="1674" spans="2:18" ht="30.75" customHeight="1" x14ac:dyDescent="0.3">
      <c r="B1674" s="32"/>
      <c r="P1674" s="31">
        <f t="shared" si="53"/>
        <v>0</v>
      </c>
      <c r="R1674" s="31">
        <f t="shared" si="54"/>
        <v>0</v>
      </c>
    </row>
    <row r="1675" spans="2:18" ht="30.75" customHeight="1" x14ac:dyDescent="0.3">
      <c r="B1675" s="32"/>
      <c r="P1675" s="31">
        <f t="shared" si="53"/>
        <v>0</v>
      </c>
      <c r="R1675" s="31">
        <f t="shared" si="54"/>
        <v>0</v>
      </c>
    </row>
    <row r="1676" spans="2:18" ht="30.75" customHeight="1" x14ac:dyDescent="0.3">
      <c r="B1676" s="32"/>
      <c r="P1676" s="31">
        <f t="shared" ref="P1676:P1739" si="55">K1676-L1676-M1676-N1676+O1676</f>
        <v>0</v>
      </c>
      <c r="R1676" s="31">
        <f t="shared" si="54"/>
        <v>0</v>
      </c>
    </row>
    <row r="1677" spans="2:18" ht="30.75" customHeight="1" x14ac:dyDescent="0.3">
      <c r="B1677" s="32"/>
      <c r="P1677" s="31">
        <f t="shared" si="55"/>
        <v>0</v>
      </c>
      <c r="R1677" s="31">
        <f t="shared" si="54"/>
        <v>0</v>
      </c>
    </row>
    <row r="1678" spans="2:18" ht="30.75" customHeight="1" x14ac:dyDescent="0.3">
      <c r="B1678" s="32"/>
      <c r="P1678" s="31">
        <f t="shared" si="55"/>
        <v>0</v>
      </c>
      <c r="R1678" s="31">
        <f t="shared" si="54"/>
        <v>0</v>
      </c>
    </row>
    <row r="1679" spans="2:18" ht="30.75" customHeight="1" x14ac:dyDescent="0.3">
      <c r="B1679" s="32"/>
      <c r="P1679" s="31">
        <f t="shared" si="55"/>
        <v>0</v>
      </c>
      <c r="R1679" s="31">
        <f t="shared" si="54"/>
        <v>0</v>
      </c>
    </row>
    <row r="1680" spans="2:18" ht="30.75" customHeight="1" x14ac:dyDescent="0.3">
      <c r="B1680" s="32"/>
      <c r="P1680" s="31">
        <f t="shared" si="55"/>
        <v>0</v>
      </c>
      <c r="R1680" s="31">
        <f t="shared" si="54"/>
        <v>0</v>
      </c>
    </row>
    <row r="1681" spans="2:18" ht="30.75" customHeight="1" x14ac:dyDescent="0.3">
      <c r="B1681" s="32"/>
      <c r="P1681" s="31">
        <f t="shared" si="55"/>
        <v>0</v>
      </c>
      <c r="R1681" s="31">
        <f t="shared" si="54"/>
        <v>0</v>
      </c>
    </row>
    <row r="1682" spans="2:18" ht="30.75" customHeight="1" x14ac:dyDescent="0.3">
      <c r="B1682" s="32"/>
      <c r="P1682" s="31">
        <f t="shared" si="55"/>
        <v>0</v>
      </c>
      <c r="R1682" s="31">
        <f t="shared" si="54"/>
        <v>0</v>
      </c>
    </row>
    <row r="1683" spans="2:18" ht="30.75" customHeight="1" x14ac:dyDescent="0.3">
      <c r="B1683" s="32"/>
      <c r="P1683" s="31">
        <f t="shared" si="55"/>
        <v>0</v>
      </c>
      <c r="R1683" s="31">
        <f t="shared" si="54"/>
        <v>0</v>
      </c>
    </row>
    <row r="1684" spans="2:18" ht="30.75" customHeight="1" x14ac:dyDescent="0.3">
      <c r="B1684" s="32"/>
      <c r="P1684" s="31">
        <f t="shared" si="55"/>
        <v>0</v>
      </c>
      <c r="R1684" s="31">
        <f t="shared" si="54"/>
        <v>0</v>
      </c>
    </row>
    <row r="1685" spans="2:18" ht="30.75" customHeight="1" x14ac:dyDescent="0.3">
      <c r="B1685" s="32"/>
      <c r="P1685" s="31">
        <f t="shared" si="55"/>
        <v>0</v>
      </c>
      <c r="R1685" s="31">
        <f t="shared" si="54"/>
        <v>0</v>
      </c>
    </row>
    <row r="1686" spans="2:18" ht="30.75" customHeight="1" x14ac:dyDescent="0.3">
      <c r="B1686" s="32"/>
      <c r="P1686" s="31">
        <f t="shared" si="55"/>
        <v>0</v>
      </c>
      <c r="R1686" s="31">
        <f t="shared" si="54"/>
        <v>0</v>
      </c>
    </row>
    <row r="1687" spans="2:18" ht="30.75" customHeight="1" x14ac:dyDescent="0.3">
      <c r="B1687" s="32"/>
      <c r="P1687" s="31">
        <f t="shared" si="55"/>
        <v>0</v>
      </c>
      <c r="R1687" s="31">
        <f t="shared" si="54"/>
        <v>0</v>
      </c>
    </row>
    <row r="1688" spans="2:18" ht="30.75" customHeight="1" x14ac:dyDescent="0.3">
      <c r="B1688" s="32"/>
      <c r="P1688" s="31">
        <f t="shared" si="55"/>
        <v>0</v>
      </c>
      <c r="R1688" s="31">
        <f t="shared" si="54"/>
        <v>0</v>
      </c>
    </row>
    <row r="1689" spans="2:18" ht="30.75" customHeight="1" x14ac:dyDescent="0.3">
      <c r="B1689" s="32"/>
      <c r="P1689" s="31">
        <f t="shared" si="55"/>
        <v>0</v>
      </c>
      <c r="R1689" s="31">
        <f t="shared" si="54"/>
        <v>0</v>
      </c>
    </row>
    <row r="1690" spans="2:18" ht="30.75" customHeight="1" x14ac:dyDescent="0.3">
      <c r="B1690" s="32"/>
      <c r="P1690" s="31">
        <f t="shared" si="55"/>
        <v>0</v>
      </c>
      <c r="R1690" s="31">
        <f t="shared" si="54"/>
        <v>0</v>
      </c>
    </row>
    <row r="1691" spans="2:18" ht="30.75" customHeight="1" x14ac:dyDescent="0.3">
      <c r="B1691" s="32"/>
      <c r="P1691" s="31">
        <f t="shared" si="55"/>
        <v>0</v>
      </c>
      <c r="R1691" s="31">
        <f t="shared" si="54"/>
        <v>0</v>
      </c>
    </row>
    <row r="1692" spans="2:18" ht="30.75" customHeight="1" x14ac:dyDescent="0.3">
      <c r="B1692" s="32"/>
      <c r="P1692" s="31">
        <f t="shared" si="55"/>
        <v>0</v>
      </c>
      <c r="R1692" s="31">
        <f t="shared" si="54"/>
        <v>0</v>
      </c>
    </row>
    <row r="1693" spans="2:18" ht="30.75" customHeight="1" x14ac:dyDescent="0.3">
      <c r="B1693" s="32"/>
      <c r="P1693" s="31">
        <f t="shared" si="55"/>
        <v>0</v>
      </c>
      <c r="R1693" s="31">
        <f t="shared" si="54"/>
        <v>0</v>
      </c>
    </row>
    <row r="1694" spans="2:18" ht="30.75" customHeight="1" x14ac:dyDescent="0.3">
      <c r="B1694" s="32"/>
      <c r="P1694" s="31">
        <f t="shared" si="55"/>
        <v>0</v>
      </c>
      <c r="R1694" s="31">
        <f t="shared" si="54"/>
        <v>0</v>
      </c>
    </row>
    <row r="1695" spans="2:18" ht="30.75" customHeight="1" x14ac:dyDescent="0.3">
      <c r="B1695" s="32"/>
      <c r="R1695" s="31">
        <f t="shared" si="54"/>
        <v>0</v>
      </c>
    </row>
    <row r="1696" spans="2:18" ht="30.75" customHeight="1" x14ac:dyDescent="0.3">
      <c r="B1696" s="32"/>
      <c r="P1696" s="31">
        <f t="shared" si="55"/>
        <v>0</v>
      </c>
      <c r="R1696" s="31">
        <f t="shared" si="54"/>
        <v>0</v>
      </c>
    </row>
    <row r="1697" spans="2:18" ht="30.75" customHeight="1" x14ac:dyDescent="0.3">
      <c r="B1697" s="32"/>
      <c r="P1697" s="31">
        <f t="shared" si="55"/>
        <v>0</v>
      </c>
      <c r="R1697" s="31">
        <f t="shared" si="54"/>
        <v>0</v>
      </c>
    </row>
    <row r="1698" spans="2:18" ht="30.75" customHeight="1" x14ac:dyDescent="0.3">
      <c r="B1698" s="32"/>
      <c r="P1698" s="31">
        <f t="shared" si="55"/>
        <v>0</v>
      </c>
      <c r="R1698" s="31">
        <f t="shared" si="54"/>
        <v>0</v>
      </c>
    </row>
    <row r="1699" spans="2:18" ht="30.75" customHeight="1" x14ac:dyDescent="0.3">
      <c r="B1699" s="32"/>
      <c r="P1699" s="31">
        <f t="shared" si="55"/>
        <v>0</v>
      </c>
      <c r="R1699" s="31">
        <f t="shared" si="54"/>
        <v>0</v>
      </c>
    </row>
    <row r="1700" spans="2:18" ht="30.75" customHeight="1" x14ac:dyDescent="0.3">
      <c r="B1700" s="32"/>
      <c r="P1700" s="31">
        <f t="shared" si="55"/>
        <v>0</v>
      </c>
      <c r="R1700" s="31">
        <f t="shared" si="54"/>
        <v>0</v>
      </c>
    </row>
    <row r="1701" spans="2:18" ht="30.75" customHeight="1" x14ac:dyDescent="0.3">
      <c r="B1701" s="32"/>
      <c r="P1701" s="31">
        <f t="shared" si="55"/>
        <v>0</v>
      </c>
      <c r="R1701" s="31">
        <f t="shared" si="54"/>
        <v>0</v>
      </c>
    </row>
    <row r="1702" spans="2:18" ht="30.75" customHeight="1" x14ac:dyDescent="0.3">
      <c r="B1702" s="32"/>
      <c r="P1702" s="31">
        <f t="shared" si="55"/>
        <v>0</v>
      </c>
      <c r="R1702" s="31">
        <f t="shared" si="54"/>
        <v>0</v>
      </c>
    </row>
    <row r="1703" spans="2:18" ht="30.75" customHeight="1" x14ac:dyDescent="0.3">
      <c r="B1703" s="32"/>
      <c r="P1703" s="31">
        <f t="shared" si="55"/>
        <v>0</v>
      </c>
      <c r="R1703" s="31">
        <f t="shared" si="54"/>
        <v>0</v>
      </c>
    </row>
    <row r="1704" spans="2:18" ht="30.75" customHeight="1" x14ac:dyDescent="0.3">
      <c r="B1704" s="32"/>
      <c r="P1704" s="31">
        <f t="shared" si="55"/>
        <v>0</v>
      </c>
      <c r="R1704" s="31">
        <f t="shared" si="54"/>
        <v>0</v>
      </c>
    </row>
    <row r="1705" spans="2:18" ht="30.75" customHeight="1" x14ac:dyDescent="0.3">
      <c r="B1705" s="32"/>
      <c r="P1705" s="31">
        <f t="shared" si="55"/>
        <v>0</v>
      </c>
      <c r="R1705" s="31">
        <f t="shared" si="54"/>
        <v>0</v>
      </c>
    </row>
    <row r="1706" spans="2:18" ht="30.75" customHeight="1" x14ac:dyDescent="0.3">
      <c r="B1706" s="32"/>
      <c r="P1706" s="31">
        <f t="shared" si="55"/>
        <v>0</v>
      </c>
      <c r="R1706" s="31">
        <f t="shared" si="54"/>
        <v>0</v>
      </c>
    </row>
    <row r="1707" spans="2:18" ht="30.75" customHeight="1" x14ac:dyDescent="0.3">
      <c r="B1707" s="32"/>
      <c r="P1707" s="31">
        <f t="shared" si="55"/>
        <v>0</v>
      </c>
      <c r="R1707" s="31">
        <f t="shared" si="54"/>
        <v>0</v>
      </c>
    </row>
    <row r="1708" spans="2:18" ht="30.75" customHeight="1" x14ac:dyDescent="0.3">
      <c r="B1708" s="32"/>
      <c r="P1708" s="31">
        <f t="shared" si="55"/>
        <v>0</v>
      </c>
      <c r="R1708" s="31">
        <f t="shared" si="54"/>
        <v>0</v>
      </c>
    </row>
    <row r="1709" spans="2:18" ht="30.75" customHeight="1" x14ac:dyDescent="0.3">
      <c r="B1709" s="32"/>
      <c r="P1709" s="31">
        <f t="shared" si="55"/>
        <v>0</v>
      </c>
      <c r="R1709" s="31">
        <f t="shared" si="54"/>
        <v>0</v>
      </c>
    </row>
    <row r="1710" spans="2:18" ht="30.75" customHeight="1" x14ac:dyDescent="0.3">
      <c r="B1710" s="32"/>
      <c r="P1710" s="31">
        <f t="shared" si="55"/>
        <v>0</v>
      </c>
      <c r="R1710" s="31">
        <f t="shared" si="54"/>
        <v>0</v>
      </c>
    </row>
    <row r="1711" spans="2:18" ht="30.75" customHeight="1" x14ac:dyDescent="0.3">
      <c r="B1711" s="32"/>
      <c r="P1711" s="31">
        <f t="shared" si="55"/>
        <v>0</v>
      </c>
      <c r="R1711" s="31">
        <f t="shared" si="54"/>
        <v>0</v>
      </c>
    </row>
    <row r="1712" spans="2:18" ht="30.75" customHeight="1" x14ac:dyDescent="0.3">
      <c r="B1712" s="32"/>
      <c r="P1712" s="31">
        <f t="shared" si="55"/>
        <v>0</v>
      </c>
      <c r="R1712" s="31">
        <f t="shared" si="54"/>
        <v>0</v>
      </c>
    </row>
    <row r="1713" spans="2:18" ht="30.75" customHeight="1" x14ac:dyDescent="0.3">
      <c r="B1713" s="32"/>
      <c r="P1713" s="31">
        <f t="shared" si="55"/>
        <v>0</v>
      </c>
      <c r="R1713" s="31">
        <f t="shared" ref="R1713:R1776" si="56">R1712+K1713-L1713-M1713-N1713+O1713-Q1713</f>
        <v>0</v>
      </c>
    </row>
    <row r="1714" spans="2:18" ht="30.75" customHeight="1" x14ac:dyDescent="0.3">
      <c r="B1714" s="32"/>
      <c r="P1714" s="31">
        <f t="shared" si="55"/>
        <v>0</v>
      </c>
      <c r="R1714" s="31">
        <f t="shared" si="56"/>
        <v>0</v>
      </c>
    </row>
    <row r="1715" spans="2:18" ht="30.75" customHeight="1" x14ac:dyDescent="0.3">
      <c r="B1715" s="32"/>
      <c r="P1715" s="31">
        <f t="shared" si="55"/>
        <v>0</v>
      </c>
      <c r="R1715" s="31">
        <f t="shared" si="56"/>
        <v>0</v>
      </c>
    </row>
    <row r="1716" spans="2:18" ht="30.75" customHeight="1" x14ac:dyDescent="0.3">
      <c r="B1716" s="32"/>
      <c r="P1716" s="31">
        <f t="shared" si="55"/>
        <v>0</v>
      </c>
      <c r="R1716" s="31">
        <f t="shared" si="56"/>
        <v>0</v>
      </c>
    </row>
    <row r="1717" spans="2:18" ht="30.75" customHeight="1" x14ac:dyDescent="0.3">
      <c r="B1717" s="32"/>
      <c r="P1717" s="31">
        <f t="shared" si="55"/>
        <v>0</v>
      </c>
      <c r="R1717" s="31">
        <f t="shared" si="56"/>
        <v>0</v>
      </c>
    </row>
    <row r="1718" spans="2:18" ht="30.75" customHeight="1" x14ac:dyDescent="0.3">
      <c r="B1718" s="32"/>
      <c r="P1718" s="31">
        <f t="shared" si="55"/>
        <v>0</v>
      </c>
      <c r="R1718" s="31">
        <f t="shared" si="56"/>
        <v>0</v>
      </c>
    </row>
    <row r="1719" spans="2:18" ht="30.75" customHeight="1" x14ac:dyDescent="0.3">
      <c r="B1719" s="32"/>
      <c r="P1719" s="31">
        <f t="shared" si="55"/>
        <v>0</v>
      </c>
      <c r="R1719" s="31">
        <f t="shared" si="56"/>
        <v>0</v>
      </c>
    </row>
    <row r="1720" spans="2:18" ht="30.75" customHeight="1" x14ac:dyDescent="0.3">
      <c r="B1720" s="32"/>
      <c r="P1720" s="31">
        <f t="shared" si="55"/>
        <v>0</v>
      </c>
      <c r="R1720" s="31">
        <f t="shared" si="56"/>
        <v>0</v>
      </c>
    </row>
    <row r="1721" spans="2:18" ht="30.75" customHeight="1" x14ac:dyDescent="0.3">
      <c r="B1721" s="32"/>
      <c r="P1721" s="31">
        <f t="shared" si="55"/>
        <v>0</v>
      </c>
      <c r="R1721" s="31">
        <f t="shared" si="56"/>
        <v>0</v>
      </c>
    </row>
    <row r="1722" spans="2:18" ht="30.75" customHeight="1" x14ac:dyDescent="0.3">
      <c r="B1722" s="32"/>
      <c r="P1722" s="31">
        <f t="shared" si="55"/>
        <v>0</v>
      </c>
      <c r="R1722" s="31">
        <f t="shared" si="56"/>
        <v>0</v>
      </c>
    </row>
    <row r="1723" spans="2:18" ht="30.75" customHeight="1" x14ac:dyDescent="0.3">
      <c r="B1723" s="32"/>
      <c r="P1723" s="31">
        <f t="shared" si="55"/>
        <v>0</v>
      </c>
      <c r="R1723" s="31">
        <f t="shared" si="56"/>
        <v>0</v>
      </c>
    </row>
    <row r="1724" spans="2:18" ht="30.75" customHeight="1" x14ac:dyDescent="0.3">
      <c r="B1724" s="32"/>
      <c r="P1724" s="31">
        <f t="shared" si="55"/>
        <v>0</v>
      </c>
      <c r="R1724" s="31">
        <f t="shared" si="56"/>
        <v>0</v>
      </c>
    </row>
    <row r="1725" spans="2:18" ht="30.75" customHeight="1" x14ac:dyDescent="0.3">
      <c r="B1725" s="32"/>
      <c r="P1725" s="31">
        <f t="shared" si="55"/>
        <v>0</v>
      </c>
      <c r="R1725" s="31">
        <f t="shared" si="56"/>
        <v>0</v>
      </c>
    </row>
    <row r="1726" spans="2:18" ht="30.75" customHeight="1" x14ac:dyDescent="0.3">
      <c r="B1726" s="32"/>
      <c r="P1726" s="31">
        <f t="shared" si="55"/>
        <v>0</v>
      </c>
      <c r="R1726" s="31">
        <f t="shared" si="56"/>
        <v>0</v>
      </c>
    </row>
    <row r="1727" spans="2:18" ht="30.75" customHeight="1" x14ac:dyDescent="0.3">
      <c r="B1727" s="32"/>
      <c r="P1727" s="31">
        <f t="shared" si="55"/>
        <v>0</v>
      </c>
      <c r="R1727" s="31">
        <f t="shared" si="56"/>
        <v>0</v>
      </c>
    </row>
    <row r="1728" spans="2:18" ht="30.75" customHeight="1" x14ac:dyDescent="0.3">
      <c r="B1728" s="32"/>
      <c r="P1728" s="31">
        <f t="shared" si="55"/>
        <v>0</v>
      </c>
      <c r="R1728" s="31">
        <f t="shared" si="56"/>
        <v>0</v>
      </c>
    </row>
    <row r="1729" spans="2:18" ht="30.75" customHeight="1" x14ac:dyDescent="0.3">
      <c r="B1729" s="32"/>
      <c r="P1729" s="31">
        <f t="shared" si="55"/>
        <v>0</v>
      </c>
      <c r="R1729" s="31">
        <f t="shared" si="56"/>
        <v>0</v>
      </c>
    </row>
    <row r="1730" spans="2:18" ht="30.75" customHeight="1" x14ac:dyDescent="0.3">
      <c r="B1730" s="32"/>
      <c r="P1730" s="31">
        <f t="shared" si="55"/>
        <v>0</v>
      </c>
      <c r="R1730" s="31">
        <f t="shared" si="56"/>
        <v>0</v>
      </c>
    </row>
    <row r="1731" spans="2:18" ht="30.75" customHeight="1" x14ac:dyDescent="0.3">
      <c r="B1731" s="32"/>
      <c r="P1731" s="31">
        <f t="shared" si="55"/>
        <v>0</v>
      </c>
      <c r="R1731" s="31">
        <f t="shared" si="56"/>
        <v>0</v>
      </c>
    </row>
    <row r="1732" spans="2:18" ht="30.75" customHeight="1" x14ac:dyDescent="0.3">
      <c r="B1732" s="32"/>
      <c r="P1732" s="31">
        <f t="shared" si="55"/>
        <v>0</v>
      </c>
      <c r="R1732" s="31">
        <f t="shared" si="56"/>
        <v>0</v>
      </c>
    </row>
    <row r="1733" spans="2:18" ht="30.75" customHeight="1" x14ac:dyDescent="0.3">
      <c r="B1733" s="32"/>
      <c r="P1733" s="31">
        <f t="shared" si="55"/>
        <v>0</v>
      </c>
      <c r="R1733" s="31">
        <f t="shared" si="56"/>
        <v>0</v>
      </c>
    </row>
    <row r="1734" spans="2:18" ht="30.75" customHeight="1" x14ac:dyDescent="0.3">
      <c r="B1734" s="32"/>
      <c r="P1734" s="31">
        <f t="shared" si="55"/>
        <v>0</v>
      </c>
      <c r="R1734" s="31">
        <f t="shared" si="56"/>
        <v>0</v>
      </c>
    </row>
    <row r="1735" spans="2:18" ht="30.75" customHeight="1" x14ac:dyDescent="0.3">
      <c r="B1735" s="32"/>
      <c r="P1735" s="31">
        <f t="shared" si="55"/>
        <v>0</v>
      </c>
      <c r="R1735" s="31">
        <f t="shared" si="56"/>
        <v>0</v>
      </c>
    </row>
    <row r="1736" spans="2:18" ht="30.75" customHeight="1" x14ac:dyDescent="0.3">
      <c r="B1736" s="32"/>
      <c r="P1736" s="31">
        <f t="shared" si="55"/>
        <v>0</v>
      </c>
      <c r="R1736" s="31">
        <f t="shared" si="56"/>
        <v>0</v>
      </c>
    </row>
    <row r="1737" spans="2:18" ht="30.75" customHeight="1" x14ac:dyDescent="0.3">
      <c r="B1737" s="32"/>
      <c r="P1737" s="31">
        <f t="shared" si="55"/>
        <v>0</v>
      </c>
      <c r="R1737" s="31">
        <f t="shared" si="56"/>
        <v>0</v>
      </c>
    </row>
    <row r="1738" spans="2:18" ht="30.75" customHeight="1" x14ac:dyDescent="0.3">
      <c r="B1738" s="32"/>
      <c r="P1738" s="31">
        <f t="shared" si="55"/>
        <v>0</v>
      </c>
      <c r="R1738" s="31">
        <f t="shared" si="56"/>
        <v>0</v>
      </c>
    </row>
    <row r="1739" spans="2:18" ht="30.75" customHeight="1" x14ac:dyDescent="0.3">
      <c r="B1739" s="32"/>
      <c r="P1739" s="31">
        <f t="shared" si="55"/>
        <v>0</v>
      </c>
      <c r="R1739" s="31">
        <f t="shared" si="56"/>
        <v>0</v>
      </c>
    </row>
    <row r="1740" spans="2:18" ht="30.75" customHeight="1" x14ac:dyDescent="0.3">
      <c r="B1740" s="32"/>
      <c r="P1740" s="31">
        <f t="shared" ref="P1740:P1804" si="57">K1740-L1740-M1740-N1740+O1740</f>
        <v>0</v>
      </c>
      <c r="R1740" s="31">
        <f t="shared" si="56"/>
        <v>0</v>
      </c>
    </row>
    <row r="1741" spans="2:18" ht="30.75" customHeight="1" x14ac:dyDescent="0.3">
      <c r="B1741" s="32"/>
      <c r="P1741" s="31">
        <f t="shared" si="57"/>
        <v>0</v>
      </c>
      <c r="R1741" s="31">
        <f t="shared" si="56"/>
        <v>0</v>
      </c>
    </row>
    <row r="1742" spans="2:18" ht="30.75" customHeight="1" x14ac:dyDescent="0.3">
      <c r="B1742" s="32"/>
      <c r="P1742" s="31">
        <f t="shared" si="57"/>
        <v>0</v>
      </c>
      <c r="R1742" s="31">
        <f t="shared" si="56"/>
        <v>0</v>
      </c>
    </row>
    <row r="1743" spans="2:18" ht="30.75" customHeight="1" x14ac:dyDescent="0.3">
      <c r="B1743" s="32"/>
      <c r="P1743" s="31">
        <f t="shared" si="57"/>
        <v>0</v>
      </c>
      <c r="R1743" s="31">
        <f t="shared" si="56"/>
        <v>0</v>
      </c>
    </row>
    <row r="1744" spans="2:18" ht="30.75" customHeight="1" x14ac:dyDescent="0.3">
      <c r="B1744" s="32"/>
      <c r="P1744" s="31">
        <f t="shared" si="57"/>
        <v>0</v>
      </c>
      <c r="R1744" s="31">
        <f t="shared" si="56"/>
        <v>0</v>
      </c>
    </row>
    <row r="1745" spans="2:18" ht="30.75" customHeight="1" x14ac:dyDescent="0.3">
      <c r="B1745" s="32"/>
      <c r="P1745" s="31">
        <f t="shared" si="57"/>
        <v>0</v>
      </c>
      <c r="R1745" s="31">
        <f t="shared" si="56"/>
        <v>0</v>
      </c>
    </row>
    <row r="1746" spans="2:18" ht="30.75" customHeight="1" x14ac:dyDescent="0.3">
      <c r="B1746" s="32"/>
      <c r="P1746" s="31">
        <f t="shared" si="57"/>
        <v>0</v>
      </c>
      <c r="R1746" s="31">
        <f t="shared" si="56"/>
        <v>0</v>
      </c>
    </row>
    <row r="1747" spans="2:18" ht="30.75" customHeight="1" x14ac:dyDescent="0.3">
      <c r="B1747" s="32"/>
      <c r="P1747" s="31">
        <f t="shared" si="57"/>
        <v>0</v>
      </c>
      <c r="R1747" s="31">
        <f t="shared" si="56"/>
        <v>0</v>
      </c>
    </row>
    <row r="1748" spans="2:18" ht="30.75" customHeight="1" x14ac:dyDescent="0.3">
      <c r="B1748" s="32"/>
      <c r="P1748" s="31">
        <f t="shared" si="57"/>
        <v>0</v>
      </c>
      <c r="R1748" s="31">
        <f t="shared" si="56"/>
        <v>0</v>
      </c>
    </row>
    <row r="1749" spans="2:18" ht="30.75" customHeight="1" x14ac:dyDescent="0.3">
      <c r="B1749" s="32"/>
      <c r="P1749" s="31">
        <f t="shared" si="57"/>
        <v>0</v>
      </c>
      <c r="R1749" s="31">
        <f t="shared" si="56"/>
        <v>0</v>
      </c>
    </row>
    <row r="1750" spans="2:18" ht="30.75" customHeight="1" x14ac:dyDescent="0.3">
      <c r="B1750" s="32"/>
      <c r="P1750" s="31">
        <f t="shared" si="57"/>
        <v>0</v>
      </c>
      <c r="R1750" s="31">
        <f t="shared" si="56"/>
        <v>0</v>
      </c>
    </row>
    <row r="1751" spans="2:18" ht="30.75" customHeight="1" x14ac:dyDescent="0.3">
      <c r="B1751" s="32"/>
      <c r="P1751" s="31">
        <f t="shared" si="57"/>
        <v>0</v>
      </c>
      <c r="R1751" s="31">
        <f t="shared" si="56"/>
        <v>0</v>
      </c>
    </row>
    <row r="1752" spans="2:18" ht="30.75" customHeight="1" x14ac:dyDescent="0.3">
      <c r="B1752" s="32"/>
      <c r="P1752" s="31">
        <f t="shared" si="57"/>
        <v>0</v>
      </c>
      <c r="R1752" s="31">
        <f t="shared" si="56"/>
        <v>0</v>
      </c>
    </row>
    <row r="1753" spans="2:18" ht="30.75" customHeight="1" x14ac:dyDescent="0.3">
      <c r="B1753" s="32"/>
      <c r="G1753" s="31"/>
      <c r="P1753" s="31">
        <f t="shared" si="57"/>
        <v>0</v>
      </c>
      <c r="R1753" s="31">
        <f t="shared" si="56"/>
        <v>0</v>
      </c>
    </row>
    <row r="1754" spans="2:18" ht="30.75" customHeight="1" x14ac:dyDescent="0.3">
      <c r="B1754" s="32"/>
      <c r="P1754" s="31">
        <f t="shared" si="57"/>
        <v>0</v>
      </c>
      <c r="R1754" s="31">
        <f t="shared" si="56"/>
        <v>0</v>
      </c>
    </row>
    <row r="1755" spans="2:18" ht="30.75" customHeight="1" x14ac:dyDescent="0.3">
      <c r="B1755" s="32"/>
      <c r="P1755" s="31">
        <f t="shared" si="57"/>
        <v>0</v>
      </c>
      <c r="R1755" s="31">
        <f t="shared" si="56"/>
        <v>0</v>
      </c>
    </row>
    <row r="1756" spans="2:18" ht="30.75" customHeight="1" x14ac:dyDescent="0.3">
      <c r="B1756" s="32"/>
      <c r="P1756" s="31">
        <f t="shared" si="57"/>
        <v>0</v>
      </c>
      <c r="R1756" s="31">
        <f t="shared" si="56"/>
        <v>0</v>
      </c>
    </row>
    <row r="1757" spans="2:18" ht="30.75" customHeight="1" x14ac:dyDescent="0.3">
      <c r="B1757" s="32"/>
      <c r="P1757" s="31">
        <f t="shared" si="57"/>
        <v>0</v>
      </c>
      <c r="R1757" s="31">
        <f t="shared" si="56"/>
        <v>0</v>
      </c>
    </row>
    <row r="1758" spans="2:18" ht="30.75" customHeight="1" x14ac:dyDescent="0.3">
      <c r="B1758" s="32"/>
      <c r="P1758" s="31">
        <f t="shared" si="57"/>
        <v>0</v>
      </c>
      <c r="R1758" s="31">
        <f t="shared" si="56"/>
        <v>0</v>
      </c>
    </row>
    <row r="1759" spans="2:18" ht="30.75" customHeight="1" x14ac:dyDescent="0.3">
      <c r="B1759" s="32"/>
      <c r="P1759" s="31">
        <f t="shared" si="57"/>
        <v>0</v>
      </c>
      <c r="R1759" s="31">
        <v>0</v>
      </c>
    </row>
    <row r="1760" spans="2:18" ht="30.75" customHeight="1" x14ac:dyDescent="0.3">
      <c r="B1760" s="32"/>
      <c r="P1760" s="31">
        <f t="shared" si="57"/>
        <v>0</v>
      </c>
      <c r="R1760" s="31">
        <f t="shared" si="56"/>
        <v>0</v>
      </c>
    </row>
    <row r="1761" spans="2:18" ht="30.75" customHeight="1" x14ac:dyDescent="0.3">
      <c r="B1761" s="32"/>
      <c r="P1761" s="31">
        <f t="shared" si="57"/>
        <v>0</v>
      </c>
      <c r="R1761" s="31">
        <f t="shared" si="56"/>
        <v>0</v>
      </c>
    </row>
    <row r="1762" spans="2:18" ht="30.75" customHeight="1" x14ac:dyDescent="0.3">
      <c r="B1762" s="32"/>
      <c r="P1762" s="31">
        <f t="shared" si="57"/>
        <v>0</v>
      </c>
      <c r="R1762" s="31">
        <f t="shared" si="56"/>
        <v>0</v>
      </c>
    </row>
    <row r="1763" spans="2:18" ht="30.75" customHeight="1" x14ac:dyDescent="0.3">
      <c r="B1763" s="32"/>
      <c r="P1763" s="31">
        <f t="shared" si="57"/>
        <v>0</v>
      </c>
      <c r="R1763" s="31">
        <f t="shared" si="56"/>
        <v>0</v>
      </c>
    </row>
    <row r="1764" spans="2:18" ht="30.75" customHeight="1" x14ac:dyDescent="0.3">
      <c r="B1764" s="32"/>
      <c r="P1764" s="31">
        <f t="shared" si="57"/>
        <v>0</v>
      </c>
      <c r="R1764" s="31">
        <f t="shared" si="56"/>
        <v>0</v>
      </c>
    </row>
    <row r="1765" spans="2:18" ht="30.75" customHeight="1" x14ac:dyDescent="0.3">
      <c r="B1765" s="32"/>
      <c r="P1765" s="31">
        <f t="shared" si="57"/>
        <v>0</v>
      </c>
      <c r="R1765" s="31">
        <f t="shared" si="56"/>
        <v>0</v>
      </c>
    </row>
    <row r="1766" spans="2:18" ht="30.75" customHeight="1" x14ac:dyDescent="0.3">
      <c r="B1766" s="32"/>
      <c r="P1766" s="31">
        <f t="shared" si="57"/>
        <v>0</v>
      </c>
      <c r="R1766" s="31">
        <f t="shared" si="56"/>
        <v>0</v>
      </c>
    </row>
    <row r="1767" spans="2:18" ht="30.75" customHeight="1" x14ac:dyDescent="0.3">
      <c r="B1767" s="32"/>
      <c r="P1767" s="31">
        <f t="shared" si="57"/>
        <v>0</v>
      </c>
      <c r="R1767" s="31">
        <f t="shared" si="56"/>
        <v>0</v>
      </c>
    </row>
    <row r="1768" spans="2:18" ht="30.75" customHeight="1" x14ac:dyDescent="0.3">
      <c r="B1768" s="32"/>
      <c r="P1768" s="31">
        <f t="shared" si="57"/>
        <v>0</v>
      </c>
      <c r="R1768" s="31">
        <f t="shared" si="56"/>
        <v>0</v>
      </c>
    </row>
    <row r="1769" spans="2:18" ht="30.75" customHeight="1" x14ac:dyDescent="0.3">
      <c r="B1769" s="32"/>
      <c r="P1769" s="31">
        <f t="shared" si="57"/>
        <v>0</v>
      </c>
      <c r="R1769" s="31">
        <f t="shared" si="56"/>
        <v>0</v>
      </c>
    </row>
    <row r="1770" spans="2:18" ht="30.75" customHeight="1" x14ac:dyDescent="0.3">
      <c r="B1770" s="32"/>
      <c r="P1770" s="31">
        <f t="shared" si="57"/>
        <v>0</v>
      </c>
      <c r="R1770" s="31">
        <f t="shared" si="56"/>
        <v>0</v>
      </c>
    </row>
    <row r="1771" spans="2:18" ht="30.75" customHeight="1" x14ac:dyDescent="0.3">
      <c r="B1771" s="32"/>
      <c r="P1771" s="31">
        <f t="shared" si="57"/>
        <v>0</v>
      </c>
      <c r="R1771" s="31">
        <f t="shared" si="56"/>
        <v>0</v>
      </c>
    </row>
    <row r="1772" spans="2:18" ht="30.75" customHeight="1" x14ac:dyDescent="0.3">
      <c r="B1772" s="32"/>
      <c r="P1772" s="31">
        <f t="shared" si="57"/>
        <v>0</v>
      </c>
      <c r="R1772" s="31">
        <f t="shared" si="56"/>
        <v>0</v>
      </c>
    </row>
    <row r="1773" spans="2:18" ht="30.75" customHeight="1" x14ac:dyDescent="0.3">
      <c r="B1773" s="32"/>
      <c r="P1773" s="31">
        <f t="shared" si="57"/>
        <v>0</v>
      </c>
      <c r="R1773" s="31">
        <f t="shared" si="56"/>
        <v>0</v>
      </c>
    </row>
    <row r="1774" spans="2:18" ht="30.75" customHeight="1" x14ac:dyDescent="0.3">
      <c r="B1774" s="32"/>
      <c r="P1774" s="31">
        <f t="shared" si="57"/>
        <v>0</v>
      </c>
      <c r="R1774" s="31">
        <f t="shared" si="56"/>
        <v>0</v>
      </c>
    </row>
    <row r="1775" spans="2:18" ht="30.75" customHeight="1" x14ac:dyDescent="0.3">
      <c r="B1775" s="32"/>
      <c r="P1775" s="31">
        <f t="shared" si="57"/>
        <v>0</v>
      </c>
      <c r="R1775" s="31">
        <f t="shared" si="56"/>
        <v>0</v>
      </c>
    </row>
    <row r="1776" spans="2:18" ht="30.75" customHeight="1" x14ac:dyDescent="0.3">
      <c r="B1776" s="32"/>
      <c r="P1776" s="31">
        <f t="shared" si="57"/>
        <v>0</v>
      </c>
      <c r="R1776" s="31">
        <f t="shared" si="56"/>
        <v>0</v>
      </c>
    </row>
    <row r="1777" spans="2:18" ht="30.75" customHeight="1" x14ac:dyDescent="0.3">
      <c r="B1777" s="32"/>
      <c r="P1777" s="31">
        <f t="shared" si="57"/>
        <v>0</v>
      </c>
      <c r="R1777" s="31">
        <f t="shared" ref="R1777:R1840" si="58">R1776+K1777-L1777-M1777-N1777+O1777-Q1777</f>
        <v>0</v>
      </c>
    </row>
    <row r="1778" spans="2:18" ht="30.75" customHeight="1" x14ac:dyDescent="0.3">
      <c r="B1778" s="32"/>
      <c r="P1778" s="31">
        <f t="shared" si="57"/>
        <v>0</v>
      </c>
      <c r="R1778" s="31">
        <f t="shared" si="58"/>
        <v>0</v>
      </c>
    </row>
    <row r="1779" spans="2:18" ht="30.75" customHeight="1" x14ac:dyDescent="0.3">
      <c r="B1779" s="32"/>
      <c r="P1779" s="31">
        <f t="shared" si="57"/>
        <v>0</v>
      </c>
      <c r="R1779" s="31">
        <f t="shared" si="58"/>
        <v>0</v>
      </c>
    </row>
    <row r="1780" spans="2:18" ht="30.75" customHeight="1" x14ac:dyDescent="0.3">
      <c r="B1780" s="32"/>
      <c r="P1780" s="31">
        <f t="shared" si="57"/>
        <v>0</v>
      </c>
      <c r="R1780" s="31">
        <f t="shared" si="58"/>
        <v>0</v>
      </c>
    </row>
    <row r="1781" spans="2:18" ht="30.75" customHeight="1" x14ac:dyDescent="0.3">
      <c r="B1781" s="32"/>
      <c r="P1781" s="31">
        <f t="shared" si="57"/>
        <v>0</v>
      </c>
      <c r="R1781" s="31">
        <f t="shared" si="58"/>
        <v>0</v>
      </c>
    </row>
    <row r="1782" spans="2:18" ht="30.75" customHeight="1" x14ac:dyDescent="0.3">
      <c r="B1782" s="32"/>
      <c r="P1782" s="31">
        <f t="shared" si="57"/>
        <v>0</v>
      </c>
      <c r="R1782" s="31">
        <f t="shared" si="58"/>
        <v>0</v>
      </c>
    </row>
    <row r="1783" spans="2:18" ht="30.75" customHeight="1" x14ac:dyDescent="0.3">
      <c r="B1783" s="32"/>
      <c r="P1783" s="31">
        <f t="shared" si="57"/>
        <v>0</v>
      </c>
      <c r="R1783" s="31">
        <f t="shared" si="58"/>
        <v>0</v>
      </c>
    </row>
    <row r="1784" spans="2:18" ht="30.75" customHeight="1" x14ac:dyDescent="0.3">
      <c r="B1784" s="32"/>
      <c r="P1784" s="31">
        <f t="shared" si="57"/>
        <v>0</v>
      </c>
      <c r="R1784" s="31">
        <f t="shared" si="58"/>
        <v>0</v>
      </c>
    </row>
    <row r="1785" spans="2:18" ht="30.75" customHeight="1" x14ac:dyDescent="0.3">
      <c r="B1785" s="32"/>
      <c r="P1785" s="31">
        <f t="shared" si="57"/>
        <v>0</v>
      </c>
      <c r="R1785" s="31">
        <f t="shared" si="58"/>
        <v>0</v>
      </c>
    </row>
    <row r="1786" spans="2:18" ht="30.75" customHeight="1" x14ac:dyDescent="0.3">
      <c r="B1786" s="32"/>
      <c r="P1786" s="31">
        <f t="shared" si="57"/>
        <v>0</v>
      </c>
      <c r="R1786" s="31">
        <f t="shared" si="58"/>
        <v>0</v>
      </c>
    </row>
    <row r="1787" spans="2:18" ht="30.75" customHeight="1" x14ac:dyDescent="0.3">
      <c r="B1787" s="32"/>
      <c r="P1787" s="31">
        <f t="shared" si="57"/>
        <v>0</v>
      </c>
      <c r="R1787" s="31">
        <f t="shared" si="58"/>
        <v>0</v>
      </c>
    </row>
    <row r="1788" spans="2:18" ht="30.75" customHeight="1" x14ac:dyDescent="0.3">
      <c r="B1788" s="32"/>
      <c r="P1788" s="31">
        <f t="shared" si="57"/>
        <v>0</v>
      </c>
      <c r="R1788" s="31">
        <f t="shared" si="58"/>
        <v>0</v>
      </c>
    </row>
    <row r="1789" spans="2:18" ht="30.75" customHeight="1" x14ac:dyDescent="0.3">
      <c r="B1789" s="32"/>
      <c r="P1789" s="31">
        <f t="shared" si="57"/>
        <v>0</v>
      </c>
      <c r="R1789" s="31">
        <f t="shared" si="58"/>
        <v>0</v>
      </c>
    </row>
    <row r="1790" spans="2:18" ht="30.75" customHeight="1" x14ac:dyDescent="0.3">
      <c r="B1790" s="32"/>
      <c r="P1790" s="31">
        <f t="shared" si="57"/>
        <v>0</v>
      </c>
      <c r="R1790" s="31">
        <f t="shared" si="58"/>
        <v>0</v>
      </c>
    </row>
    <row r="1791" spans="2:18" ht="30.75" customHeight="1" x14ac:dyDescent="0.3">
      <c r="B1791" s="32"/>
      <c r="P1791" s="31">
        <f t="shared" si="57"/>
        <v>0</v>
      </c>
      <c r="R1791" s="31">
        <f t="shared" si="58"/>
        <v>0</v>
      </c>
    </row>
    <row r="1792" spans="2:18" ht="30.75" customHeight="1" x14ac:dyDescent="0.3">
      <c r="B1792" s="32"/>
      <c r="P1792" s="31">
        <f t="shared" si="57"/>
        <v>0</v>
      </c>
      <c r="R1792" s="31">
        <f t="shared" si="58"/>
        <v>0</v>
      </c>
    </row>
    <row r="1793" spans="2:18" ht="30.75" customHeight="1" x14ac:dyDescent="0.3">
      <c r="B1793" s="32"/>
      <c r="P1793" s="31">
        <f t="shared" si="57"/>
        <v>0</v>
      </c>
      <c r="R1793" s="31">
        <f t="shared" si="58"/>
        <v>0</v>
      </c>
    </row>
    <row r="1794" spans="2:18" ht="30.75" customHeight="1" x14ac:dyDescent="0.3">
      <c r="B1794" s="32"/>
      <c r="P1794" s="31">
        <f t="shared" si="57"/>
        <v>0</v>
      </c>
      <c r="R1794" s="31">
        <f t="shared" si="58"/>
        <v>0</v>
      </c>
    </row>
    <row r="1795" spans="2:18" ht="30.75" customHeight="1" x14ac:dyDescent="0.3">
      <c r="B1795" s="32"/>
      <c r="P1795" s="31">
        <f t="shared" si="57"/>
        <v>0</v>
      </c>
      <c r="R1795" s="31">
        <f t="shared" si="58"/>
        <v>0</v>
      </c>
    </row>
    <row r="1796" spans="2:18" ht="30.75" customHeight="1" x14ac:dyDescent="0.3">
      <c r="B1796" s="32"/>
      <c r="P1796" s="31">
        <f t="shared" si="57"/>
        <v>0</v>
      </c>
      <c r="R1796" s="31">
        <f t="shared" si="58"/>
        <v>0</v>
      </c>
    </row>
    <row r="1797" spans="2:18" ht="30.75" customHeight="1" x14ac:dyDescent="0.3">
      <c r="B1797" s="32"/>
      <c r="P1797" s="31">
        <f t="shared" si="57"/>
        <v>0</v>
      </c>
      <c r="R1797" s="31">
        <f t="shared" si="58"/>
        <v>0</v>
      </c>
    </row>
    <row r="1798" spans="2:18" ht="30.75" customHeight="1" x14ac:dyDescent="0.3">
      <c r="B1798" s="32"/>
      <c r="P1798" s="31">
        <f t="shared" si="57"/>
        <v>0</v>
      </c>
      <c r="R1798" s="31">
        <f t="shared" si="58"/>
        <v>0</v>
      </c>
    </row>
    <row r="1799" spans="2:18" ht="30.75" customHeight="1" x14ac:dyDescent="0.3">
      <c r="B1799" s="32"/>
      <c r="P1799" s="31">
        <f t="shared" si="57"/>
        <v>0</v>
      </c>
      <c r="R1799" s="31">
        <f t="shared" si="58"/>
        <v>0</v>
      </c>
    </row>
    <row r="1800" spans="2:18" ht="30.75" customHeight="1" x14ac:dyDescent="0.3">
      <c r="B1800" s="32"/>
      <c r="P1800" s="31">
        <f t="shared" si="57"/>
        <v>0</v>
      </c>
      <c r="R1800" s="31">
        <f t="shared" si="58"/>
        <v>0</v>
      </c>
    </row>
    <row r="1801" spans="2:18" ht="30.75" customHeight="1" x14ac:dyDescent="0.3">
      <c r="B1801" s="32"/>
      <c r="P1801" s="31">
        <f t="shared" si="57"/>
        <v>0</v>
      </c>
      <c r="R1801" s="31">
        <f t="shared" si="58"/>
        <v>0</v>
      </c>
    </row>
    <row r="1802" spans="2:18" ht="30.75" customHeight="1" x14ac:dyDescent="0.3">
      <c r="B1802" s="32"/>
      <c r="P1802" s="31">
        <f t="shared" si="57"/>
        <v>0</v>
      </c>
      <c r="R1802" s="31">
        <f t="shared" si="58"/>
        <v>0</v>
      </c>
    </row>
    <row r="1803" spans="2:18" ht="30.75" customHeight="1" x14ac:dyDescent="0.3">
      <c r="B1803" s="32"/>
      <c r="P1803" s="31">
        <f t="shared" si="57"/>
        <v>0</v>
      </c>
      <c r="R1803" s="31">
        <f t="shared" si="58"/>
        <v>0</v>
      </c>
    </row>
    <row r="1804" spans="2:18" ht="30.75" customHeight="1" x14ac:dyDescent="0.3">
      <c r="B1804" s="32"/>
      <c r="P1804" s="31">
        <f t="shared" si="57"/>
        <v>0</v>
      </c>
      <c r="R1804" s="31">
        <f t="shared" si="58"/>
        <v>0</v>
      </c>
    </row>
    <row r="1805" spans="2:18" ht="30.75" customHeight="1" x14ac:dyDescent="0.3">
      <c r="B1805" s="32"/>
      <c r="P1805" s="31">
        <f>K1805-L1805-M1805-N1805+O1805</f>
        <v>0</v>
      </c>
      <c r="R1805" s="31">
        <f t="shared" si="58"/>
        <v>0</v>
      </c>
    </row>
    <row r="1806" spans="2:18" ht="30.75" customHeight="1" x14ac:dyDescent="0.3">
      <c r="B1806" s="32"/>
      <c r="P1806" s="31">
        <f t="shared" ref="P1806:P1870" si="59">K1806-L1806-M1806-N1806+O1806</f>
        <v>0</v>
      </c>
      <c r="R1806" s="31">
        <f t="shared" si="58"/>
        <v>0</v>
      </c>
    </row>
    <row r="1807" spans="2:18" ht="30.75" customHeight="1" x14ac:dyDescent="0.3">
      <c r="B1807" s="32"/>
      <c r="P1807" s="31">
        <f t="shared" si="59"/>
        <v>0</v>
      </c>
      <c r="R1807" s="31">
        <f t="shared" si="58"/>
        <v>0</v>
      </c>
    </row>
    <row r="1808" spans="2:18" ht="30.75" customHeight="1" x14ac:dyDescent="0.3">
      <c r="B1808" s="32"/>
      <c r="P1808" s="31">
        <f t="shared" si="59"/>
        <v>0</v>
      </c>
      <c r="R1808" s="31">
        <f t="shared" si="58"/>
        <v>0</v>
      </c>
    </row>
    <row r="1809" spans="2:18" ht="30.75" customHeight="1" x14ac:dyDescent="0.3">
      <c r="B1809" s="32"/>
      <c r="P1809" s="31">
        <f t="shared" si="59"/>
        <v>0</v>
      </c>
      <c r="R1809" s="31">
        <f t="shared" si="58"/>
        <v>0</v>
      </c>
    </row>
    <row r="1810" spans="2:18" ht="30.75" customHeight="1" x14ac:dyDescent="0.3">
      <c r="B1810" s="32"/>
      <c r="P1810" s="31">
        <f t="shared" si="59"/>
        <v>0</v>
      </c>
      <c r="R1810" s="31">
        <f t="shared" si="58"/>
        <v>0</v>
      </c>
    </row>
    <row r="1811" spans="2:18" ht="30.75" customHeight="1" x14ac:dyDescent="0.3">
      <c r="B1811" s="32"/>
      <c r="P1811" s="31">
        <f t="shared" si="59"/>
        <v>0</v>
      </c>
      <c r="R1811" s="31">
        <f t="shared" si="58"/>
        <v>0</v>
      </c>
    </row>
    <row r="1812" spans="2:18" ht="30.75" customHeight="1" x14ac:dyDescent="0.3">
      <c r="B1812" s="32"/>
      <c r="P1812" s="31">
        <f t="shared" si="59"/>
        <v>0</v>
      </c>
      <c r="R1812" s="31">
        <f t="shared" si="58"/>
        <v>0</v>
      </c>
    </row>
    <row r="1813" spans="2:18" ht="30.75" customHeight="1" x14ac:dyDescent="0.3">
      <c r="B1813" s="32"/>
      <c r="P1813" s="31">
        <f t="shared" si="59"/>
        <v>0</v>
      </c>
      <c r="R1813" s="31">
        <f t="shared" si="58"/>
        <v>0</v>
      </c>
    </row>
    <row r="1814" spans="2:18" ht="30.75" customHeight="1" x14ac:dyDescent="0.3">
      <c r="B1814" s="32"/>
      <c r="P1814" s="31">
        <f t="shared" si="59"/>
        <v>0</v>
      </c>
      <c r="R1814" s="31">
        <f t="shared" si="58"/>
        <v>0</v>
      </c>
    </row>
    <row r="1815" spans="2:18" ht="30.75" customHeight="1" x14ac:dyDescent="0.3">
      <c r="B1815" s="32"/>
      <c r="P1815" s="31">
        <f t="shared" si="59"/>
        <v>0</v>
      </c>
      <c r="R1815" s="31">
        <f t="shared" si="58"/>
        <v>0</v>
      </c>
    </row>
    <row r="1816" spans="2:18" ht="30.75" customHeight="1" x14ac:dyDescent="0.3">
      <c r="B1816" s="32"/>
      <c r="P1816" s="31">
        <f t="shared" si="59"/>
        <v>0</v>
      </c>
      <c r="R1816" s="31">
        <f t="shared" si="58"/>
        <v>0</v>
      </c>
    </row>
    <row r="1817" spans="2:18" ht="30.75" customHeight="1" x14ac:dyDescent="0.3">
      <c r="B1817" s="32"/>
      <c r="P1817" s="31">
        <f t="shared" si="59"/>
        <v>0</v>
      </c>
      <c r="R1817" s="31">
        <f t="shared" si="58"/>
        <v>0</v>
      </c>
    </row>
    <row r="1818" spans="2:18" ht="30.75" customHeight="1" x14ac:dyDescent="0.3">
      <c r="B1818" s="32"/>
      <c r="P1818" s="31">
        <f t="shared" si="59"/>
        <v>0</v>
      </c>
      <c r="R1818" s="31">
        <f t="shared" si="58"/>
        <v>0</v>
      </c>
    </row>
    <row r="1819" spans="2:18" ht="30.75" customHeight="1" x14ac:dyDescent="0.3">
      <c r="B1819" s="32"/>
      <c r="P1819" s="31">
        <f t="shared" si="59"/>
        <v>0</v>
      </c>
      <c r="R1819" s="31">
        <f t="shared" si="58"/>
        <v>0</v>
      </c>
    </row>
    <row r="1820" spans="2:18" ht="30.75" customHeight="1" x14ac:dyDescent="0.3">
      <c r="B1820" s="32"/>
      <c r="P1820" s="31">
        <f t="shared" si="59"/>
        <v>0</v>
      </c>
      <c r="R1820" s="31">
        <f t="shared" si="58"/>
        <v>0</v>
      </c>
    </row>
    <row r="1821" spans="2:18" ht="30.75" customHeight="1" x14ac:dyDescent="0.3">
      <c r="B1821" s="32"/>
      <c r="P1821" s="31">
        <f t="shared" si="59"/>
        <v>0</v>
      </c>
      <c r="R1821" s="31">
        <f t="shared" si="58"/>
        <v>0</v>
      </c>
    </row>
    <row r="1822" spans="2:18" ht="30.75" customHeight="1" x14ac:dyDescent="0.3">
      <c r="B1822" s="32"/>
      <c r="P1822" s="31">
        <f t="shared" si="59"/>
        <v>0</v>
      </c>
      <c r="R1822" s="31">
        <f t="shared" si="58"/>
        <v>0</v>
      </c>
    </row>
    <row r="1823" spans="2:18" ht="30.75" customHeight="1" x14ac:dyDescent="0.3">
      <c r="B1823" s="32"/>
      <c r="P1823" s="31">
        <f t="shared" si="59"/>
        <v>0</v>
      </c>
      <c r="R1823" s="31">
        <f t="shared" si="58"/>
        <v>0</v>
      </c>
    </row>
    <row r="1824" spans="2:18" ht="30.75" customHeight="1" x14ac:dyDescent="0.3">
      <c r="B1824" s="32"/>
      <c r="P1824" s="31">
        <f t="shared" si="59"/>
        <v>0</v>
      </c>
      <c r="R1824" s="31">
        <f t="shared" si="58"/>
        <v>0</v>
      </c>
    </row>
    <row r="1825" spans="2:18" ht="30.75" customHeight="1" x14ac:dyDescent="0.3">
      <c r="B1825" s="32"/>
      <c r="P1825" s="31">
        <f t="shared" si="59"/>
        <v>0</v>
      </c>
      <c r="R1825" s="31">
        <f t="shared" si="58"/>
        <v>0</v>
      </c>
    </row>
    <row r="1826" spans="2:18" ht="30.75" customHeight="1" x14ac:dyDescent="0.3">
      <c r="B1826" s="32"/>
      <c r="P1826" s="31">
        <f t="shared" si="59"/>
        <v>0</v>
      </c>
      <c r="R1826" s="31">
        <f t="shared" si="58"/>
        <v>0</v>
      </c>
    </row>
    <row r="1827" spans="2:18" ht="30.75" customHeight="1" x14ac:dyDescent="0.3">
      <c r="B1827" s="32"/>
      <c r="P1827" s="31">
        <f t="shared" si="59"/>
        <v>0</v>
      </c>
      <c r="R1827" s="31">
        <f t="shared" si="58"/>
        <v>0</v>
      </c>
    </row>
    <row r="1828" spans="2:18" ht="30.75" customHeight="1" x14ac:dyDescent="0.3">
      <c r="B1828" s="32"/>
      <c r="P1828" s="31">
        <f t="shared" si="59"/>
        <v>0</v>
      </c>
      <c r="R1828" s="31">
        <f t="shared" si="58"/>
        <v>0</v>
      </c>
    </row>
    <row r="1829" spans="2:18" ht="30.75" customHeight="1" x14ac:dyDescent="0.3">
      <c r="B1829" s="32"/>
      <c r="P1829" s="31">
        <f t="shared" si="59"/>
        <v>0</v>
      </c>
      <c r="R1829" s="31">
        <f t="shared" si="58"/>
        <v>0</v>
      </c>
    </row>
    <row r="1830" spans="2:18" ht="30.75" customHeight="1" x14ac:dyDescent="0.3">
      <c r="B1830" s="32"/>
      <c r="P1830" s="31">
        <f t="shared" si="59"/>
        <v>0</v>
      </c>
      <c r="R1830" s="31">
        <f t="shared" si="58"/>
        <v>0</v>
      </c>
    </row>
    <row r="1831" spans="2:18" ht="30.75" customHeight="1" x14ac:dyDescent="0.3">
      <c r="B1831" s="32"/>
      <c r="P1831" s="31">
        <f t="shared" si="59"/>
        <v>0</v>
      </c>
      <c r="R1831" s="31">
        <f t="shared" si="58"/>
        <v>0</v>
      </c>
    </row>
    <row r="1832" spans="2:18" ht="30.75" customHeight="1" x14ac:dyDescent="0.3">
      <c r="B1832" s="32"/>
      <c r="P1832" s="31">
        <f t="shared" si="59"/>
        <v>0</v>
      </c>
      <c r="R1832" s="31">
        <f t="shared" si="58"/>
        <v>0</v>
      </c>
    </row>
    <row r="1833" spans="2:18" ht="30.75" customHeight="1" x14ac:dyDescent="0.3">
      <c r="B1833" s="32"/>
      <c r="P1833" s="31">
        <f t="shared" si="59"/>
        <v>0</v>
      </c>
      <c r="R1833" s="31">
        <f t="shared" si="58"/>
        <v>0</v>
      </c>
    </row>
    <row r="1834" spans="2:18" ht="30.75" customHeight="1" x14ac:dyDescent="0.3">
      <c r="B1834" s="32"/>
      <c r="P1834" s="31">
        <f t="shared" si="59"/>
        <v>0</v>
      </c>
      <c r="R1834" s="31">
        <f t="shared" si="58"/>
        <v>0</v>
      </c>
    </row>
    <row r="1835" spans="2:18" ht="30.75" customHeight="1" x14ac:dyDescent="0.3">
      <c r="B1835" s="32"/>
      <c r="P1835" s="31">
        <f t="shared" si="59"/>
        <v>0</v>
      </c>
      <c r="R1835" s="31">
        <f t="shared" si="58"/>
        <v>0</v>
      </c>
    </row>
    <row r="1836" spans="2:18" ht="30.75" customHeight="1" x14ac:dyDescent="0.3">
      <c r="B1836" s="32"/>
      <c r="P1836" s="31">
        <f t="shared" si="59"/>
        <v>0</v>
      </c>
      <c r="R1836" s="31">
        <f t="shared" si="58"/>
        <v>0</v>
      </c>
    </row>
    <row r="1837" spans="2:18" ht="30.75" customHeight="1" x14ac:dyDescent="0.3">
      <c r="B1837" s="32"/>
      <c r="P1837" s="31">
        <f t="shared" si="59"/>
        <v>0</v>
      </c>
      <c r="R1837" s="31">
        <f t="shared" si="58"/>
        <v>0</v>
      </c>
    </row>
    <row r="1838" spans="2:18" ht="30.75" customHeight="1" x14ac:dyDescent="0.3">
      <c r="B1838" s="32"/>
      <c r="P1838" s="31">
        <f t="shared" si="59"/>
        <v>0</v>
      </c>
      <c r="R1838" s="31">
        <f t="shared" si="58"/>
        <v>0</v>
      </c>
    </row>
    <row r="1839" spans="2:18" ht="30.75" customHeight="1" x14ac:dyDescent="0.3">
      <c r="B1839" s="32"/>
      <c r="P1839" s="31">
        <f t="shared" si="59"/>
        <v>0</v>
      </c>
      <c r="R1839" s="31">
        <f t="shared" si="58"/>
        <v>0</v>
      </c>
    </row>
    <row r="1840" spans="2:18" ht="30.75" customHeight="1" x14ac:dyDescent="0.3">
      <c r="B1840" s="32"/>
      <c r="P1840" s="31">
        <f t="shared" si="59"/>
        <v>0</v>
      </c>
      <c r="R1840" s="31">
        <f t="shared" si="58"/>
        <v>0</v>
      </c>
    </row>
    <row r="1841" spans="2:18" ht="30.75" customHeight="1" x14ac:dyDescent="0.3">
      <c r="B1841" s="32"/>
      <c r="P1841" s="31">
        <f t="shared" si="59"/>
        <v>0</v>
      </c>
      <c r="R1841" s="31">
        <f t="shared" ref="R1841:R1907" si="60">R1840+K1841-L1841-M1841-N1841+O1841-Q1841</f>
        <v>0</v>
      </c>
    </row>
    <row r="1842" spans="2:18" ht="30.75" customHeight="1" x14ac:dyDescent="0.3">
      <c r="B1842" s="32"/>
      <c r="P1842" s="31">
        <f t="shared" si="59"/>
        <v>0</v>
      </c>
      <c r="R1842" s="31">
        <f t="shared" si="60"/>
        <v>0</v>
      </c>
    </row>
    <row r="1843" spans="2:18" ht="30.75" customHeight="1" x14ac:dyDescent="0.3">
      <c r="B1843" s="32"/>
      <c r="P1843" s="31">
        <f t="shared" si="59"/>
        <v>0</v>
      </c>
      <c r="R1843" s="31">
        <f t="shared" si="60"/>
        <v>0</v>
      </c>
    </row>
    <row r="1844" spans="2:18" ht="30.75" customHeight="1" x14ac:dyDescent="0.3">
      <c r="B1844" s="32"/>
      <c r="P1844" s="31">
        <f t="shared" si="59"/>
        <v>0</v>
      </c>
      <c r="R1844" s="31">
        <f t="shared" si="60"/>
        <v>0</v>
      </c>
    </row>
    <row r="1845" spans="2:18" ht="30.75" customHeight="1" x14ac:dyDescent="0.3">
      <c r="B1845" s="32"/>
      <c r="P1845" s="31">
        <f t="shared" si="59"/>
        <v>0</v>
      </c>
      <c r="R1845" s="31">
        <f t="shared" si="60"/>
        <v>0</v>
      </c>
    </row>
    <row r="1846" spans="2:18" ht="30.75" customHeight="1" x14ac:dyDescent="0.3">
      <c r="B1846" s="32"/>
      <c r="P1846" s="31">
        <f t="shared" si="59"/>
        <v>0</v>
      </c>
      <c r="R1846" s="31">
        <f t="shared" si="60"/>
        <v>0</v>
      </c>
    </row>
    <row r="1847" spans="2:18" ht="30.75" customHeight="1" x14ac:dyDescent="0.3">
      <c r="B1847" s="32"/>
      <c r="P1847" s="31">
        <f t="shared" si="59"/>
        <v>0</v>
      </c>
      <c r="R1847" s="31">
        <f t="shared" si="60"/>
        <v>0</v>
      </c>
    </row>
    <row r="1848" spans="2:18" ht="30.75" customHeight="1" x14ac:dyDescent="0.3">
      <c r="B1848" s="32"/>
      <c r="P1848" s="31">
        <f t="shared" si="59"/>
        <v>0</v>
      </c>
      <c r="R1848" s="31">
        <f t="shared" si="60"/>
        <v>0</v>
      </c>
    </row>
    <row r="1849" spans="2:18" ht="30.75" customHeight="1" x14ac:dyDescent="0.3">
      <c r="B1849" s="32"/>
      <c r="P1849" s="31">
        <f t="shared" si="59"/>
        <v>0</v>
      </c>
      <c r="R1849" s="31">
        <f t="shared" si="60"/>
        <v>0</v>
      </c>
    </row>
    <row r="1850" spans="2:18" ht="30.75" customHeight="1" x14ac:dyDescent="0.3">
      <c r="B1850" s="32"/>
      <c r="P1850" s="31">
        <f t="shared" si="59"/>
        <v>0</v>
      </c>
      <c r="R1850" s="31">
        <f t="shared" si="60"/>
        <v>0</v>
      </c>
    </row>
    <row r="1851" spans="2:18" ht="30.75" customHeight="1" x14ac:dyDescent="0.3">
      <c r="B1851" s="32"/>
      <c r="P1851" s="31">
        <f t="shared" si="59"/>
        <v>0</v>
      </c>
      <c r="R1851" s="31">
        <f t="shared" si="60"/>
        <v>0</v>
      </c>
    </row>
    <row r="1852" spans="2:18" ht="30.75" customHeight="1" x14ac:dyDescent="0.3">
      <c r="B1852" s="32"/>
      <c r="P1852" s="31">
        <f t="shared" si="59"/>
        <v>0</v>
      </c>
      <c r="R1852" s="31">
        <f t="shared" si="60"/>
        <v>0</v>
      </c>
    </row>
    <row r="1853" spans="2:18" ht="30.75" customHeight="1" x14ac:dyDescent="0.3">
      <c r="B1853" s="32"/>
      <c r="P1853" s="31">
        <f t="shared" si="59"/>
        <v>0</v>
      </c>
      <c r="R1853" s="31">
        <f t="shared" si="60"/>
        <v>0</v>
      </c>
    </row>
    <row r="1854" spans="2:18" ht="30.75" customHeight="1" x14ac:dyDescent="0.3">
      <c r="B1854" s="32"/>
      <c r="P1854" s="31">
        <f t="shared" si="59"/>
        <v>0</v>
      </c>
      <c r="R1854" s="31">
        <f t="shared" si="60"/>
        <v>0</v>
      </c>
    </row>
    <row r="1855" spans="2:18" ht="30.75" customHeight="1" x14ac:dyDescent="0.3">
      <c r="B1855" s="32"/>
      <c r="P1855" s="31">
        <f t="shared" si="59"/>
        <v>0</v>
      </c>
      <c r="R1855" s="31">
        <f t="shared" si="60"/>
        <v>0</v>
      </c>
    </row>
    <row r="1856" spans="2:18" ht="30.75" customHeight="1" x14ac:dyDescent="0.3">
      <c r="B1856" s="32"/>
      <c r="P1856" s="31">
        <f t="shared" si="59"/>
        <v>0</v>
      </c>
      <c r="R1856" s="31">
        <f t="shared" si="60"/>
        <v>0</v>
      </c>
    </row>
    <row r="1857" spans="2:18" ht="30.75" customHeight="1" x14ac:dyDescent="0.3">
      <c r="B1857" s="32"/>
      <c r="P1857" s="31">
        <f t="shared" si="59"/>
        <v>0</v>
      </c>
      <c r="R1857" s="31">
        <f t="shared" si="60"/>
        <v>0</v>
      </c>
    </row>
    <row r="1858" spans="2:18" ht="30.75" customHeight="1" x14ac:dyDescent="0.3">
      <c r="B1858" s="32"/>
      <c r="P1858" s="31">
        <f t="shared" si="59"/>
        <v>0</v>
      </c>
      <c r="R1858" s="31">
        <f t="shared" si="60"/>
        <v>0</v>
      </c>
    </row>
    <row r="1859" spans="2:18" ht="30.75" customHeight="1" x14ac:dyDescent="0.3">
      <c r="B1859" s="32"/>
      <c r="P1859" s="31">
        <f t="shared" si="59"/>
        <v>0</v>
      </c>
      <c r="R1859" s="31">
        <f t="shared" si="60"/>
        <v>0</v>
      </c>
    </row>
    <row r="1860" spans="2:18" ht="30.75" customHeight="1" x14ac:dyDescent="0.3">
      <c r="B1860" s="32"/>
      <c r="P1860" s="31">
        <f t="shared" si="59"/>
        <v>0</v>
      </c>
      <c r="R1860" s="31">
        <f t="shared" si="60"/>
        <v>0</v>
      </c>
    </row>
    <row r="1861" spans="2:18" ht="30.75" customHeight="1" x14ac:dyDescent="0.3">
      <c r="B1861" s="32"/>
      <c r="P1861" s="31">
        <f t="shared" si="59"/>
        <v>0</v>
      </c>
      <c r="R1861" s="31">
        <f t="shared" si="60"/>
        <v>0</v>
      </c>
    </row>
    <row r="1862" spans="2:18" ht="30.75" customHeight="1" x14ac:dyDescent="0.3">
      <c r="B1862" s="32"/>
      <c r="P1862" s="31">
        <f t="shared" si="59"/>
        <v>0</v>
      </c>
      <c r="R1862" s="31">
        <f t="shared" si="60"/>
        <v>0</v>
      </c>
    </row>
    <row r="1863" spans="2:18" ht="30.75" customHeight="1" x14ac:dyDescent="0.3">
      <c r="B1863" s="32"/>
      <c r="P1863" s="31">
        <f t="shared" si="59"/>
        <v>0</v>
      </c>
      <c r="R1863" s="31">
        <f t="shared" si="60"/>
        <v>0</v>
      </c>
    </row>
    <row r="1864" spans="2:18" ht="30.75" customHeight="1" x14ac:dyDescent="0.3">
      <c r="B1864" s="32"/>
      <c r="P1864" s="31">
        <f t="shared" si="59"/>
        <v>0</v>
      </c>
      <c r="R1864" s="31">
        <f t="shared" si="60"/>
        <v>0</v>
      </c>
    </row>
    <row r="1865" spans="2:18" ht="30.75" customHeight="1" x14ac:dyDescent="0.3">
      <c r="B1865" s="32"/>
      <c r="P1865" s="31">
        <f t="shared" si="59"/>
        <v>0</v>
      </c>
      <c r="R1865" s="31">
        <f t="shared" si="60"/>
        <v>0</v>
      </c>
    </row>
    <row r="1866" spans="2:18" ht="30.75" customHeight="1" x14ac:dyDescent="0.3">
      <c r="B1866" s="32"/>
      <c r="P1866" s="31">
        <f t="shared" si="59"/>
        <v>0</v>
      </c>
      <c r="R1866" s="31">
        <f t="shared" si="60"/>
        <v>0</v>
      </c>
    </row>
    <row r="1867" spans="2:18" ht="30.75" customHeight="1" x14ac:dyDescent="0.3">
      <c r="B1867" s="32"/>
      <c r="P1867" s="31">
        <f t="shared" si="59"/>
        <v>0</v>
      </c>
      <c r="R1867" s="31">
        <f t="shared" si="60"/>
        <v>0</v>
      </c>
    </row>
    <row r="1868" spans="2:18" ht="30.75" customHeight="1" x14ac:dyDescent="0.3">
      <c r="B1868" s="32"/>
      <c r="P1868" s="31">
        <f t="shared" si="59"/>
        <v>0</v>
      </c>
      <c r="R1868" s="31">
        <f t="shared" si="60"/>
        <v>0</v>
      </c>
    </row>
    <row r="1869" spans="2:18" ht="30.75" customHeight="1" x14ac:dyDescent="0.3">
      <c r="B1869" s="32"/>
      <c r="P1869" s="31">
        <f t="shared" si="59"/>
        <v>0</v>
      </c>
      <c r="R1869" s="31">
        <f t="shared" si="60"/>
        <v>0</v>
      </c>
    </row>
    <row r="1870" spans="2:18" ht="30.75" customHeight="1" x14ac:dyDescent="0.3">
      <c r="B1870" s="32"/>
      <c r="P1870" s="31">
        <f t="shared" si="59"/>
        <v>0</v>
      </c>
      <c r="R1870" s="31">
        <f t="shared" si="60"/>
        <v>0</v>
      </c>
    </row>
    <row r="1871" spans="2:18" ht="30.75" customHeight="1" x14ac:dyDescent="0.3">
      <c r="B1871" s="32"/>
      <c r="P1871" s="31">
        <f t="shared" ref="P1871:P1935" si="61">K1871-L1871-M1871-N1871+O1871</f>
        <v>0</v>
      </c>
      <c r="R1871" s="31">
        <f t="shared" si="60"/>
        <v>0</v>
      </c>
    </row>
    <row r="1872" spans="2:18" ht="30.75" customHeight="1" x14ac:dyDescent="0.3">
      <c r="B1872" s="32"/>
      <c r="P1872" s="31">
        <f t="shared" si="61"/>
        <v>0</v>
      </c>
      <c r="R1872" s="31">
        <f t="shared" si="60"/>
        <v>0</v>
      </c>
    </row>
    <row r="1873" spans="2:18" ht="30.75" customHeight="1" x14ac:dyDescent="0.3">
      <c r="B1873" s="32"/>
      <c r="P1873" s="31">
        <f t="shared" si="61"/>
        <v>0</v>
      </c>
      <c r="R1873" s="31">
        <f t="shared" si="60"/>
        <v>0</v>
      </c>
    </row>
    <row r="1874" spans="2:18" ht="30.75" customHeight="1" x14ac:dyDescent="0.3">
      <c r="B1874" s="32"/>
      <c r="P1874" s="31">
        <f t="shared" si="61"/>
        <v>0</v>
      </c>
      <c r="R1874" s="31">
        <f t="shared" si="60"/>
        <v>0</v>
      </c>
    </row>
    <row r="1875" spans="2:18" ht="30.75" customHeight="1" x14ac:dyDescent="0.3">
      <c r="B1875" s="32"/>
      <c r="P1875" s="31">
        <f t="shared" si="61"/>
        <v>0</v>
      </c>
      <c r="R1875" s="31">
        <f t="shared" si="60"/>
        <v>0</v>
      </c>
    </row>
    <row r="1876" spans="2:18" ht="30.75" customHeight="1" x14ac:dyDescent="0.3">
      <c r="B1876" s="32"/>
      <c r="P1876" s="31">
        <f t="shared" si="61"/>
        <v>0</v>
      </c>
      <c r="R1876" s="31">
        <f t="shared" si="60"/>
        <v>0</v>
      </c>
    </row>
    <row r="1877" spans="2:18" ht="30.75" customHeight="1" x14ac:dyDescent="0.3">
      <c r="B1877" s="32"/>
      <c r="P1877" s="31">
        <f t="shared" si="61"/>
        <v>0</v>
      </c>
      <c r="R1877" s="31">
        <f t="shared" si="60"/>
        <v>0</v>
      </c>
    </row>
    <row r="1878" spans="2:18" ht="30.75" customHeight="1" x14ac:dyDescent="0.3">
      <c r="B1878" s="32"/>
      <c r="P1878" s="31">
        <f t="shared" si="61"/>
        <v>0</v>
      </c>
      <c r="R1878" s="31">
        <f t="shared" si="60"/>
        <v>0</v>
      </c>
    </row>
    <row r="1879" spans="2:18" ht="30.75" customHeight="1" x14ac:dyDescent="0.3">
      <c r="B1879" s="32"/>
      <c r="P1879" s="31">
        <f t="shared" si="61"/>
        <v>0</v>
      </c>
      <c r="R1879" s="31">
        <f t="shared" si="60"/>
        <v>0</v>
      </c>
    </row>
    <row r="1880" spans="2:18" ht="30.75" customHeight="1" x14ac:dyDescent="0.3">
      <c r="B1880" s="32"/>
      <c r="P1880" s="31">
        <f t="shared" si="61"/>
        <v>0</v>
      </c>
      <c r="R1880" s="31">
        <f t="shared" si="60"/>
        <v>0</v>
      </c>
    </row>
    <row r="1881" spans="2:18" ht="30.75" customHeight="1" x14ac:dyDescent="0.3">
      <c r="B1881" s="32"/>
      <c r="P1881" s="31">
        <f t="shared" si="61"/>
        <v>0</v>
      </c>
      <c r="R1881" s="31">
        <f t="shared" si="60"/>
        <v>0</v>
      </c>
    </row>
    <row r="1882" spans="2:18" ht="30.75" customHeight="1" x14ac:dyDescent="0.3">
      <c r="B1882" s="32"/>
      <c r="P1882" s="31">
        <f t="shared" si="61"/>
        <v>0</v>
      </c>
      <c r="R1882" s="31">
        <f t="shared" si="60"/>
        <v>0</v>
      </c>
    </row>
    <row r="1883" spans="2:18" ht="30.75" customHeight="1" x14ac:dyDescent="0.3">
      <c r="B1883" s="32"/>
      <c r="P1883" s="31">
        <f t="shared" si="61"/>
        <v>0</v>
      </c>
      <c r="R1883" s="31">
        <f t="shared" si="60"/>
        <v>0</v>
      </c>
    </row>
    <row r="1884" spans="2:18" ht="30.75" customHeight="1" x14ac:dyDescent="0.3">
      <c r="B1884" s="32"/>
      <c r="J1884" s="61"/>
      <c r="P1884" s="31">
        <f t="shared" si="61"/>
        <v>0</v>
      </c>
      <c r="R1884" s="31">
        <f t="shared" si="60"/>
        <v>0</v>
      </c>
    </row>
    <row r="1885" spans="2:18" ht="30.75" customHeight="1" x14ac:dyDescent="0.3">
      <c r="B1885" s="32"/>
      <c r="P1885" s="31">
        <f t="shared" si="61"/>
        <v>0</v>
      </c>
      <c r="R1885" s="31">
        <f t="shared" si="60"/>
        <v>0</v>
      </c>
    </row>
    <row r="1886" spans="2:18" ht="30.75" customHeight="1" x14ac:dyDescent="0.3">
      <c r="B1886" s="32"/>
      <c r="P1886" s="31">
        <f t="shared" si="61"/>
        <v>0</v>
      </c>
      <c r="R1886" s="31">
        <f t="shared" si="60"/>
        <v>0</v>
      </c>
    </row>
    <row r="1887" spans="2:18" ht="30.75" customHeight="1" x14ac:dyDescent="0.3">
      <c r="B1887" s="32"/>
      <c r="P1887" s="31">
        <f t="shared" si="61"/>
        <v>0</v>
      </c>
      <c r="R1887" s="31">
        <f t="shared" si="60"/>
        <v>0</v>
      </c>
    </row>
    <row r="1888" spans="2:18" ht="30.75" customHeight="1" x14ac:dyDescent="0.3">
      <c r="B1888" s="32"/>
      <c r="P1888" s="31">
        <f t="shared" si="61"/>
        <v>0</v>
      </c>
      <c r="R1888" s="31">
        <f t="shared" si="60"/>
        <v>0</v>
      </c>
    </row>
    <row r="1889" spans="2:18" ht="30.75" customHeight="1" x14ac:dyDescent="0.3">
      <c r="B1889" s="32"/>
      <c r="P1889" s="31">
        <f t="shared" si="61"/>
        <v>0</v>
      </c>
      <c r="R1889" s="31">
        <f t="shared" si="60"/>
        <v>0</v>
      </c>
    </row>
    <row r="1890" spans="2:18" ht="30.75" customHeight="1" x14ac:dyDescent="0.3">
      <c r="B1890" s="32"/>
      <c r="P1890" s="31">
        <f t="shared" si="61"/>
        <v>0</v>
      </c>
      <c r="R1890" s="31">
        <f t="shared" si="60"/>
        <v>0</v>
      </c>
    </row>
    <row r="1891" spans="2:18" ht="30.75" customHeight="1" x14ac:dyDescent="0.3">
      <c r="B1891" s="32"/>
      <c r="P1891" s="31">
        <f t="shared" si="61"/>
        <v>0</v>
      </c>
      <c r="R1891" s="31">
        <f t="shared" si="60"/>
        <v>0</v>
      </c>
    </row>
    <row r="1892" spans="2:18" ht="30.75" customHeight="1" x14ac:dyDescent="0.3">
      <c r="B1892" s="32"/>
      <c r="P1892" s="31">
        <f t="shared" si="61"/>
        <v>0</v>
      </c>
      <c r="R1892" s="31">
        <f t="shared" si="60"/>
        <v>0</v>
      </c>
    </row>
    <row r="1893" spans="2:18" ht="30.75" customHeight="1" x14ac:dyDescent="0.3">
      <c r="B1893" s="32"/>
      <c r="P1893" s="31">
        <f t="shared" si="61"/>
        <v>0</v>
      </c>
      <c r="R1893" s="31">
        <f t="shared" si="60"/>
        <v>0</v>
      </c>
    </row>
    <row r="1894" spans="2:18" ht="30.75" customHeight="1" x14ac:dyDescent="0.3">
      <c r="B1894" s="32"/>
      <c r="P1894" s="31">
        <f t="shared" si="61"/>
        <v>0</v>
      </c>
      <c r="R1894" s="31">
        <f t="shared" si="60"/>
        <v>0</v>
      </c>
    </row>
    <row r="1895" spans="2:18" ht="30.75" customHeight="1" x14ac:dyDescent="0.3">
      <c r="B1895" s="32"/>
      <c r="P1895" s="31">
        <f t="shared" si="61"/>
        <v>0</v>
      </c>
      <c r="R1895" s="31">
        <f t="shared" si="60"/>
        <v>0</v>
      </c>
    </row>
    <row r="1896" spans="2:18" ht="30.75" customHeight="1" x14ac:dyDescent="0.3">
      <c r="B1896" s="32"/>
      <c r="P1896" s="31">
        <f t="shared" si="61"/>
        <v>0</v>
      </c>
      <c r="R1896" s="31">
        <f t="shared" si="60"/>
        <v>0</v>
      </c>
    </row>
    <row r="1897" spans="2:18" ht="30.75" customHeight="1" x14ac:dyDescent="0.3">
      <c r="B1897" s="32"/>
      <c r="P1897" s="31">
        <f t="shared" si="61"/>
        <v>0</v>
      </c>
      <c r="R1897" s="31">
        <f t="shared" si="60"/>
        <v>0</v>
      </c>
    </row>
    <row r="1898" spans="2:18" ht="30.75" customHeight="1" x14ac:dyDescent="0.3">
      <c r="B1898" s="32"/>
      <c r="P1898" s="31">
        <f t="shared" si="61"/>
        <v>0</v>
      </c>
      <c r="R1898" s="31">
        <f t="shared" si="60"/>
        <v>0</v>
      </c>
    </row>
    <row r="1899" spans="2:18" ht="30.75" customHeight="1" x14ac:dyDescent="0.3">
      <c r="B1899" s="32"/>
      <c r="P1899" s="31">
        <f t="shared" si="61"/>
        <v>0</v>
      </c>
      <c r="R1899" s="31">
        <f t="shared" si="60"/>
        <v>0</v>
      </c>
    </row>
    <row r="1900" spans="2:18" ht="30.75" customHeight="1" x14ac:dyDescent="0.3">
      <c r="B1900" s="32"/>
      <c r="P1900" s="31">
        <f t="shared" si="61"/>
        <v>0</v>
      </c>
      <c r="R1900" s="31">
        <f t="shared" si="60"/>
        <v>0</v>
      </c>
    </row>
    <row r="1901" spans="2:18" ht="30.75" customHeight="1" x14ac:dyDescent="0.3">
      <c r="B1901" s="32"/>
      <c r="P1901" s="31">
        <f t="shared" si="61"/>
        <v>0</v>
      </c>
      <c r="R1901" s="31">
        <f t="shared" si="60"/>
        <v>0</v>
      </c>
    </row>
    <row r="1902" spans="2:18" ht="30.75" customHeight="1" x14ac:dyDescent="0.3">
      <c r="B1902" s="32"/>
      <c r="P1902" s="31">
        <f t="shared" si="61"/>
        <v>0</v>
      </c>
      <c r="R1902" s="31">
        <f t="shared" si="60"/>
        <v>0</v>
      </c>
    </row>
    <row r="1903" spans="2:18" ht="30.75" customHeight="1" x14ac:dyDescent="0.3">
      <c r="B1903" s="32"/>
      <c r="P1903" s="31">
        <f t="shared" si="61"/>
        <v>0</v>
      </c>
      <c r="R1903" s="31">
        <f t="shared" si="60"/>
        <v>0</v>
      </c>
    </row>
    <row r="1904" spans="2:18" ht="30.75" customHeight="1" x14ac:dyDescent="0.3">
      <c r="B1904" s="32"/>
      <c r="P1904" s="31">
        <f t="shared" si="61"/>
        <v>0</v>
      </c>
      <c r="R1904" s="31">
        <f t="shared" si="60"/>
        <v>0</v>
      </c>
    </row>
    <row r="1905" spans="2:18" ht="30.75" customHeight="1" x14ac:dyDescent="0.3">
      <c r="B1905" s="32"/>
      <c r="P1905" s="31">
        <f t="shared" si="61"/>
        <v>0</v>
      </c>
      <c r="R1905" s="31">
        <f t="shared" si="60"/>
        <v>0</v>
      </c>
    </row>
    <row r="1906" spans="2:18" ht="30.75" customHeight="1" x14ac:dyDescent="0.3">
      <c r="B1906" s="32"/>
      <c r="P1906" s="31">
        <f t="shared" si="61"/>
        <v>0</v>
      </c>
      <c r="R1906" s="31">
        <f t="shared" si="60"/>
        <v>0</v>
      </c>
    </row>
    <row r="1907" spans="2:18" ht="30.75" customHeight="1" x14ac:dyDescent="0.3">
      <c r="B1907" s="32"/>
      <c r="P1907" s="31">
        <f t="shared" si="61"/>
        <v>0</v>
      </c>
      <c r="R1907" s="31">
        <f t="shared" si="60"/>
        <v>0</v>
      </c>
    </row>
    <row r="1908" spans="2:18" ht="30.75" customHeight="1" x14ac:dyDescent="0.3">
      <c r="B1908" s="32"/>
      <c r="P1908" s="31">
        <f t="shared" si="61"/>
        <v>0</v>
      </c>
      <c r="R1908" s="31">
        <f t="shared" ref="R1908:R1972" si="62">R1907+K1908-L1908-M1908-N1908+O1908-Q1908</f>
        <v>0</v>
      </c>
    </row>
    <row r="1909" spans="2:18" ht="30.75" customHeight="1" x14ac:dyDescent="0.3">
      <c r="B1909" s="32"/>
      <c r="P1909" s="31">
        <f t="shared" si="61"/>
        <v>0</v>
      </c>
      <c r="R1909" s="31">
        <f t="shared" si="62"/>
        <v>0</v>
      </c>
    </row>
    <row r="1910" spans="2:18" ht="30.75" customHeight="1" x14ac:dyDescent="0.3">
      <c r="B1910" s="32"/>
      <c r="P1910" s="31">
        <f t="shared" si="61"/>
        <v>0</v>
      </c>
      <c r="R1910" s="31">
        <f t="shared" si="62"/>
        <v>0</v>
      </c>
    </row>
    <row r="1911" spans="2:18" ht="30.75" customHeight="1" x14ac:dyDescent="0.3">
      <c r="B1911" s="32"/>
      <c r="P1911" s="31">
        <f t="shared" si="61"/>
        <v>0</v>
      </c>
      <c r="R1911" s="31">
        <f t="shared" si="62"/>
        <v>0</v>
      </c>
    </row>
    <row r="1912" spans="2:18" ht="30.75" customHeight="1" x14ac:dyDescent="0.3">
      <c r="B1912" s="32"/>
      <c r="P1912" s="31">
        <f t="shared" si="61"/>
        <v>0</v>
      </c>
      <c r="R1912" s="31">
        <f t="shared" si="62"/>
        <v>0</v>
      </c>
    </row>
    <row r="1913" spans="2:18" ht="30.75" customHeight="1" x14ac:dyDescent="0.3">
      <c r="B1913" s="32"/>
      <c r="P1913" s="31">
        <f t="shared" si="61"/>
        <v>0</v>
      </c>
      <c r="R1913" s="31">
        <f t="shared" si="62"/>
        <v>0</v>
      </c>
    </row>
    <row r="1914" spans="2:18" ht="30.75" customHeight="1" x14ac:dyDescent="0.3">
      <c r="B1914" s="32"/>
      <c r="P1914" s="31">
        <f t="shared" si="61"/>
        <v>0</v>
      </c>
      <c r="R1914" s="31">
        <f t="shared" si="62"/>
        <v>0</v>
      </c>
    </row>
    <row r="1915" spans="2:18" ht="30.75" customHeight="1" x14ac:dyDescent="0.3">
      <c r="B1915" s="32"/>
      <c r="P1915" s="31">
        <f t="shared" si="61"/>
        <v>0</v>
      </c>
      <c r="R1915" s="31">
        <f t="shared" si="62"/>
        <v>0</v>
      </c>
    </row>
    <row r="1916" spans="2:18" ht="30.75" customHeight="1" x14ac:dyDescent="0.3">
      <c r="B1916" s="32"/>
      <c r="P1916" s="31">
        <f t="shared" si="61"/>
        <v>0</v>
      </c>
      <c r="R1916" s="31">
        <f t="shared" si="62"/>
        <v>0</v>
      </c>
    </row>
    <row r="1917" spans="2:18" ht="30.75" customHeight="1" x14ac:dyDescent="0.3">
      <c r="B1917" s="32"/>
      <c r="P1917" s="31">
        <f t="shared" si="61"/>
        <v>0</v>
      </c>
      <c r="R1917" s="31">
        <f t="shared" si="62"/>
        <v>0</v>
      </c>
    </row>
    <row r="1918" spans="2:18" ht="30.75" customHeight="1" x14ac:dyDescent="0.3">
      <c r="B1918" s="32"/>
      <c r="P1918" s="31">
        <f t="shared" si="61"/>
        <v>0</v>
      </c>
      <c r="R1918" s="31">
        <f t="shared" si="62"/>
        <v>0</v>
      </c>
    </row>
    <row r="1919" spans="2:18" ht="30.75" customHeight="1" x14ac:dyDescent="0.3">
      <c r="B1919" s="32"/>
      <c r="P1919" s="31">
        <f t="shared" si="61"/>
        <v>0</v>
      </c>
      <c r="R1919" s="31">
        <f t="shared" si="62"/>
        <v>0</v>
      </c>
    </row>
    <row r="1920" spans="2:18" ht="30.75" customHeight="1" x14ac:dyDescent="0.3">
      <c r="B1920" s="32"/>
      <c r="P1920" s="31">
        <f t="shared" si="61"/>
        <v>0</v>
      </c>
      <c r="R1920" s="31">
        <f>R1919+K1920-L1920-M1920-N1920+O1920-Q1920</f>
        <v>0</v>
      </c>
    </row>
    <row r="1921" spans="2:18" ht="30.75" customHeight="1" x14ac:dyDescent="0.3">
      <c r="B1921" s="32"/>
      <c r="P1921" s="31">
        <f t="shared" si="61"/>
        <v>0</v>
      </c>
      <c r="R1921" s="31">
        <f>R1920+K1921-L1921-M1921-N1921+O1921-Q1921</f>
        <v>0</v>
      </c>
    </row>
    <row r="1922" spans="2:18" ht="30.75" customHeight="1" x14ac:dyDescent="0.3">
      <c r="B1922" s="32"/>
      <c r="P1922" s="31">
        <f t="shared" si="61"/>
        <v>0</v>
      </c>
      <c r="R1922" s="31">
        <f>R1921+K1922-L1922-M1922-N1922+O1922-Q1922</f>
        <v>0</v>
      </c>
    </row>
    <row r="1923" spans="2:18" ht="30.75" customHeight="1" x14ac:dyDescent="0.3">
      <c r="B1923" s="32"/>
      <c r="P1923" s="31">
        <f t="shared" si="61"/>
        <v>0</v>
      </c>
      <c r="R1923" s="31">
        <f t="shared" si="62"/>
        <v>0</v>
      </c>
    </row>
    <row r="1924" spans="2:18" ht="30.75" customHeight="1" x14ac:dyDescent="0.3">
      <c r="B1924" s="32"/>
      <c r="P1924" s="31">
        <f t="shared" si="61"/>
        <v>0</v>
      </c>
      <c r="R1924" s="31">
        <f t="shared" si="62"/>
        <v>0</v>
      </c>
    </row>
    <row r="1925" spans="2:18" ht="30.75" customHeight="1" x14ac:dyDescent="0.3">
      <c r="B1925" s="32"/>
      <c r="P1925" s="31">
        <f t="shared" si="61"/>
        <v>0</v>
      </c>
      <c r="R1925" s="31">
        <f t="shared" si="62"/>
        <v>0</v>
      </c>
    </row>
    <row r="1926" spans="2:18" ht="30.75" customHeight="1" x14ac:dyDescent="0.3">
      <c r="B1926" s="32"/>
      <c r="P1926" s="31">
        <f t="shared" si="61"/>
        <v>0</v>
      </c>
      <c r="R1926" s="31">
        <f t="shared" si="62"/>
        <v>0</v>
      </c>
    </row>
    <row r="1927" spans="2:18" ht="30.75" customHeight="1" x14ac:dyDescent="0.3">
      <c r="B1927" s="32"/>
      <c r="P1927" s="31">
        <f t="shared" si="61"/>
        <v>0</v>
      </c>
      <c r="R1927" s="31">
        <f t="shared" si="62"/>
        <v>0</v>
      </c>
    </row>
    <row r="1928" spans="2:18" ht="30.75" customHeight="1" x14ac:dyDescent="0.3">
      <c r="B1928" s="32"/>
      <c r="P1928" s="31">
        <f t="shared" si="61"/>
        <v>0</v>
      </c>
      <c r="R1928" s="31">
        <f t="shared" si="62"/>
        <v>0</v>
      </c>
    </row>
    <row r="1929" spans="2:18" ht="30.75" customHeight="1" x14ac:dyDescent="0.3">
      <c r="B1929" s="32"/>
      <c r="P1929" s="31">
        <f t="shared" si="61"/>
        <v>0</v>
      </c>
      <c r="R1929" s="31">
        <f t="shared" si="62"/>
        <v>0</v>
      </c>
    </row>
    <row r="1930" spans="2:18" ht="30.75" customHeight="1" x14ac:dyDescent="0.3">
      <c r="B1930" s="32"/>
      <c r="P1930" s="31">
        <f t="shared" si="61"/>
        <v>0</v>
      </c>
      <c r="R1930" s="31">
        <f t="shared" si="62"/>
        <v>0</v>
      </c>
    </row>
    <row r="1931" spans="2:18" ht="30.75" customHeight="1" x14ac:dyDescent="0.3">
      <c r="B1931" s="32"/>
      <c r="P1931" s="31">
        <f t="shared" si="61"/>
        <v>0</v>
      </c>
      <c r="R1931" s="31">
        <f t="shared" si="62"/>
        <v>0</v>
      </c>
    </row>
    <row r="1932" spans="2:18" ht="30.75" customHeight="1" x14ac:dyDescent="0.3">
      <c r="B1932" s="32"/>
      <c r="P1932" s="31">
        <f t="shared" si="61"/>
        <v>0</v>
      </c>
      <c r="R1932" s="31">
        <f t="shared" si="62"/>
        <v>0</v>
      </c>
    </row>
    <row r="1933" spans="2:18" ht="30.75" customHeight="1" x14ac:dyDescent="0.3">
      <c r="B1933" s="32"/>
      <c r="P1933" s="31">
        <f t="shared" si="61"/>
        <v>0</v>
      </c>
      <c r="R1933" s="31">
        <f t="shared" si="62"/>
        <v>0</v>
      </c>
    </row>
    <row r="1934" spans="2:18" ht="30.75" customHeight="1" x14ac:dyDescent="0.3">
      <c r="B1934" s="32"/>
      <c r="P1934" s="31">
        <f t="shared" si="61"/>
        <v>0</v>
      </c>
      <c r="R1934" s="31">
        <f t="shared" si="62"/>
        <v>0</v>
      </c>
    </row>
    <row r="1935" spans="2:18" ht="30.75" customHeight="1" x14ac:dyDescent="0.3">
      <c r="B1935" s="32"/>
      <c r="P1935" s="31">
        <f t="shared" si="61"/>
        <v>0</v>
      </c>
      <c r="R1935" s="31">
        <f t="shared" si="62"/>
        <v>0</v>
      </c>
    </row>
    <row r="1936" spans="2:18" ht="30.75" customHeight="1" x14ac:dyDescent="0.3">
      <c r="B1936" s="32"/>
      <c r="P1936" s="31">
        <f t="shared" ref="P1936:P1999" si="63">K1936-L1936-M1936-N1936+O1936</f>
        <v>0</v>
      </c>
      <c r="R1936" s="31">
        <f t="shared" si="62"/>
        <v>0</v>
      </c>
    </row>
    <row r="1937" spans="2:18" ht="30.75" customHeight="1" x14ac:dyDescent="0.3">
      <c r="B1937" s="32"/>
      <c r="P1937" s="31">
        <f t="shared" si="63"/>
        <v>0</v>
      </c>
      <c r="R1937" s="31">
        <f t="shared" si="62"/>
        <v>0</v>
      </c>
    </row>
    <row r="1938" spans="2:18" ht="30.75" customHeight="1" x14ac:dyDescent="0.3">
      <c r="B1938" s="32"/>
      <c r="P1938" s="31">
        <f t="shared" si="63"/>
        <v>0</v>
      </c>
      <c r="R1938" s="31">
        <f t="shared" si="62"/>
        <v>0</v>
      </c>
    </row>
    <row r="1939" spans="2:18" ht="30.75" customHeight="1" x14ac:dyDescent="0.3">
      <c r="B1939" s="32"/>
      <c r="P1939" s="31">
        <f t="shared" si="63"/>
        <v>0</v>
      </c>
      <c r="R1939" s="31">
        <f t="shared" si="62"/>
        <v>0</v>
      </c>
    </row>
    <row r="1940" spans="2:18" ht="30.75" customHeight="1" x14ac:dyDescent="0.3">
      <c r="B1940" s="32"/>
      <c r="P1940" s="31">
        <f t="shared" si="63"/>
        <v>0</v>
      </c>
      <c r="R1940" s="31">
        <f t="shared" si="62"/>
        <v>0</v>
      </c>
    </row>
    <row r="1941" spans="2:18" ht="30.75" customHeight="1" x14ac:dyDescent="0.3">
      <c r="B1941" s="32"/>
      <c r="P1941" s="31">
        <f t="shared" si="63"/>
        <v>0</v>
      </c>
      <c r="R1941" s="31">
        <f t="shared" si="62"/>
        <v>0</v>
      </c>
    </row>
    <row r="1942" spans="2:18" ht="30.75" customHeight="1" x14ac:dyDescent="0.3">
      <c r="B1942" s="32"/>
      <c r="P1942" s="31">
        <f t="shared" si="63"/>
        <v>0</v>
      </c>
      <c r="R1942" s="31">
        <f t="shared" si="62"/>
        <v>0</v>
      </c>
    </row>
    <row r="1943" spans="2:18" ht="30.75" customHeight="1" x14ac:dyDescent="0.3">
      <c r="B1943" s="32"/>
      <c r="P1943" s="31">
        <f t="shared" si="63"/>
        <v>0</v>
      </c>
      <c r="R1943" s="31">
        <f t="shared" si="62"/>
        <v>0</v>
      </c>
    </row>
    <row r="1944" spans="2:18" ht="30.75" customHeight="1" x14ac:dyDescent="0.3">
      <c r="B1944" s="32"/>
      <c r="P1944" s="31">
        <f t="shared" si="63"/>
        <v>0</v>
      </c>
      <c r="R1944" s="31">
        <f t="shared" si="62"/>
        <v>0</v>
      </c>
    </row>
    <row r="1945" spans="2:18" ht="30.75" customHeight="1" x14ac:dyDescent="0.3">
      <c r="B1945" s="32"/>
      <c r="P1945" s="31">
        <f t="shared" si="63"/>
        <v>0</v>
      </c>
      <c r="R1945" s="31">
        <f t="shared" si="62"/>
        <v>0</v>
      </c>
    </row>
    <row r="1946" spans="2:18" ht="30.75" customHeight="1" x14ac:dyDescent="0.3">
      <c r="B1946" s="32"/>
      <c r="P1946" s="31">
        <f t="shared" si="63"/>
        <v>0</v>
      </c>
      <c r="R1946" s="31">
        <f t="shared" si="62"/>
        <v>0</v>
      </c>
    </row>
    <row r="1947" spans="2:18" ht="30.75" customHeight="1" x14ac:dyDescent="0.3">
      <c r="B1947" s="32"/>
      <c r="P1947" s="31">
        <f t="shared" si="63"/>
        <v>0</v>
      </c>
      <c r="R1947" s="31">
        <f t="shared" si="62"/>
        <v>0</v>
      </c>
    </row>
    <row r="1948" spans="2:18" ht="30.75" customHeight="1" x14ac:dyDescent="0.3">
      <c r="B1948" s="32"/>
      <c r="P1948" s="31">
        <f t="shared" si="63"/>
        <v>0</v>
      </c>
      <c r="R1948" s="31">
        <f t="shared" si="62"/>
        <v>0</v>
      </c>
    </row>
    <row r="1949" spans="2:18" ht="30.75" customHeight="1" x14ac:dyDescent="0.3">
      <c r="B1949" s="32"/>
      <c r="P1949" s="31">
        <f t="shared" si="63"/>
        <v>0</v>
      </c>
      <c r="R1949" s="31">
        <f t="shared" si="62"/>
        <v>0</v>
      </c>
    </row>
    <row r="1950" spans="2:18" ht="30.75" customHeight="1" x14ac:dyDescent="0.3">
      <c r="B1950" s="32"/>
      <c r="P1950" s="31">
        <f t="shared" si="63"/>
        <v>0</v>
      </c>
      <c r="R1950" s="31">
        <f t="shared" si="62"/>
        <v>0</v>
      </c>
    </row>
    <row r="1951" spans="2:18" ht="30.75" customHeight="1" x14ac:dyDescent="0.3">
      <c r="B1951" s="32"/>
      <c r="P1951" s="31">
        <f t="shared" si="63"/>
        <v>0</v>
      </c>
      <c r="R1951" s="31">
        <f t="shared" si="62"/>
        <v>0</v>
      </c>
    </row>
    <row r="1952" spans="2:18" ht="30.75" customHeight="1" x14ac:dyDescent="0.3">
      <c r="B1952" s="32"/>
      <c r="P1952" s="31">
        <f t="shared" si="63"/>
        <v>0</v>
      </c>
      <c r="R1952" s="31">
        <f t="shared" si="62"/>
        <v>0</v>
      </c>
    </row>
    <row r="1953" spans="2:18" ht="30.75" customHeight="1" x14ac:dyDescent="0.3">
      <c r="B1953" s="32"/>
      <c r="P1953" s="31">
        <f t="shared" si="63"/>
        <v>0</v>
      </c>
      <c r="R1953" s="31">
        <f t="shared" si="62"/>
        <v>0</v>
      </c>
    </row>
    <row r="1954" spans="2:18" ht="30.75" customHeight="1" x14ac:dyDescent="0.3">
      <c r="B1954" s="32"/>
      <c r="P1954" s="31">
        <f t="shared" si="63"/>
        <v>0</v>
      </c>
      <c r="R1954" s="31">
        <f t="shared" si="62"/>
        <v>0</v>
      </c>
    </row>
    <row r="1955" spans="2:18" ht="30.75" customHeight="1" x14ac:dyDescent="0.3">
      <c r="B1955" s="32"/>
      <c r="P1955" s="31">
        <f t="shared" si="63"/>
        <v>0</v>
      </c>
      <c r="R1955" s="31">
        <f t="shared" si="62"/>
        <v>0</v>
      </c>
    </row>
    <row r="1956" spans="2:18" ht="30.75" customHeight="1" x14ac:dyDescent="0.3">
      <c r="B1956" s="32"/>
      <c r="P1956" s="31">
        <f t="shared" si="63"/>
        <v>0</v>
      </c>
      <c r="R1956" s="31">
        <f t="shared" si="62"/>
        <v>0</v>
      </c>
    </row>
    <row r="1957" spans="2:18" ht="30.75" customHeight="1" x14ac:dyDescent="0.3">
      <c r="B1957" s="32"/>
      <c r="P1957" s="31">
        <f t="shared" si="63"/>
        <v>0</v>
      </c>
      <c r="R1957" s="31">
        <f t="shared" si="62"/>
        <v>0</v>
      </c>
    </row>
    <row r="1958" spans="2:18" ht="30.75" customHeight="1" x14ac:dyDescent="0.3">
      <c r="B1958" s="32"/>
      <c r="P1958" s="31">
        <f t="shared" si="63"/>
        <v>0</v>
      </c>
      <c r="R1958" s="31">
        <f t="shared" si="62"/>
        <v>0</v>
      </c>
    </row>
    <row r="1959" spans="2:18" ht="30.75" customHeight="1" x14ac:dyDescent="0.3">
      <c r="B1959" s="32"/>
      <c r="P1959" s="31">
        <f t="shared" si="63"/>
        <v>0</v>
      </c>
      <c r="R1959" s="31">
        <f t="shared" si="62"/>
        <v>0</v>
      </c>
    </row>
    <row r="1960" spans="2:18" ht="30.75" customHeight="1" x14ac:dyDescent="0.3">
      <c r="B1960" s="32"/>
      <c r="P1960" s="31">
        <f t="shared" si="63"/>
        <v>0</v>
      </c>
      <c r="R1960" s="31">
        <f t="shared" si="62"/>
        <v>0</v>
      </c>
    </row>
    <row r="1961" spans="2:18" ht="30.75" customHeight="1" x14ac:dyDescent="0.3">
      <c r="B1961" s="32"/>
      <c r="P1961" s="31">
        <f t="shared" si="63"/>
        <v>0</v>
      </c>
      <c r="R1961" s="31">
        <f t="shared" si="62"/>
        <v>0</v>
      </c>
    </row>
    <row r="1962" spans="2:18" ht="30.75" customHeight="1" x14ac:dyDescent="0.3">
      <c r="B1962" s="32"/>
      <c r="P1962" s="31">
        <f t="shared" si="63"/>
        <v>0</v>
      </c>
      <c r="R1962" s="31">
        <f t="shared" si="62"/>
        <v>0</v>
      </c>
    </row>
    <row r="1963" spans="2:18" ht="30.75" customHeight="1" x14ac:dyDescent="0.3">
      <c r="B1963" s="32"/>
      <c r="P1963" s="31">
        <f t="shared" si="63"/>
        <v>0</v>
      </c>
      <c r="R1963" s="31">
        <f t="shared" si="62"/>
        <v>0</v>
      </c>
    </row>
    <row r="1964" spans="2:18" ht="30.75" customHeight="1" x14ac:dyDescent="0.3">
      <c r="B1964" s="32"/>
      <c r="P1964" s="31">
        <f t="shared" si="63"/>
        <v>0</v>
      </c>
      <c r="R1964" s="31">
        <f t="shared" si="62"/>
        <v>0</v>
      </c>
    </row>
    <row r="1965" spans="2:18" ht="30.75" customHeight="1" x14ac:dyDescent="0.3">
      <c r="B1965" s="32"/>
      <c r="P1965" s="31">
        <f t="shared" si="63"/>
        <v>0</v>
      </c>
      <c r="R1965" s="31">
        <f t="shared" si="62"/>
        <v>0</v>
      </c>
    </row>
    <row r="1966" spans="2:18" ht="30.75" customHeight="1" x14ac:dyDescent="0.3">
      <c r="B1966" s="32"/>
      <c r="P1966" s="31">
        <f t="shared" si="63"/>
        <v>0</v>
      </c>
      <c r="R1966" s="31">
        <f t="shared" si="62"/>
        <v>0</v>
      </c>
    </row>
    <row r="1967" spans="2:18" ht="30.75" customHeight="1" x14ac:dyDescent="0.3">
      <c r="B1967" s="32"/>
      <c r="P1967" s="31">
        <f t="shared" si="63"/>
        <v>0</v>
      </c>
      <c r="R1967" s="31">
        <f t="shared" si="62"/>
        <v>0</v>
      </c>
    </row>
    <row r="1968" spans="2:18" ht="30.75" customHeight="1" x14ac:dyDescent="0.3">
      <c r="B1968" s="32"/>
      <c r="P1968" s="31">
        <f t="shared" si="63"/>
        <v>0</v>
      </c>
      <c r="R1968" s="31">
        <f t="shared" si="62"/>
        <v>0</v>
      </c>
    </row>
    <row r="1969" spans="2:18" ht="30.75" customHeight="1" x14ac:dyDescent="0.3">
      <c r="B1969" s="32"/>
      <c r="P1969" s="31">
        <f t="shared" si="63"/>
        <v>0</v>
      </c>
      <c r="R1969" s="31">
        <f t="shared" si="62"/>
        <v>0</v>
      </c>
    </row>
    <row r="1970" spans="2:18" ht="30.75" customHeight="1" x14ac:dyDescent="0.3">
      <c r="B1970" s="32"/>
      <c r="P1970" s="31">
        <f t="shared" si="63"/>
        <v>0</v>
      </c>
      <c r="R1970" s="31">
        <f t="shared" si="62"/>
        <v>0</v>
      </c>
    </row>
    <row r="1971" spans="2:18" ht="30.75" customHeight="1" x14ac:dyDescent="0.3">
      <c r="B1971" s="32"/>
      <c r="P1971" s="31">
        <f t="shared" si="63"/>
        <v>0</v>
      </c>
      <c r="R1971" s="31">
        <f t="shared" si="62"/>
        <v>0</v>
      </c>
    </row>
    <row r="1972" spans="2:18" ht="30.75" customHeight="1" x14ac:dyDescent="0.3">
      <c r="B1972" s="32"/>
      <c r="P1972" s="31">
        <f t="shared" si="63"/>
        <v>0</v>
      </c>
      <c r="R1972" s="31">
        <f t="shared" si="62"/>
        <v>0</v>
      </c>
    </row>
    <row r="1973" spans="2:18" ht="30.75" customHeight="1" x14ac:dyDescent="0.3">
      <c r="B1973" s="32"/>
      <c r="P1973" s="31">
        <f t="shared" si="63"/>
        <v>0</v>
      </c>
      <c r="R1973" s="31">
        <f t="shared" ref="R1973:R2036" si="64">R1972+K1973-L1973-M1973-N1973+O1973-Q1973</f>
        <v>0</v>
      </c>
    </row>
    <row r="1974" spans="2:18" ht="30.75" customHeight="1" x14ac:dyDescent="0.3">
      <c r="B1974" s="32"/>
      <c r="P1974" s="31">
        <f t="shared" si="63"/>
        <v>0</v>
      </c>
      <c r="R1974" s="31">
        <f t="shared" si="64"/>
        <v>0</v>
      </c>
    </row>
    <row r="1975" spans="2:18" ht="30.75" customHeight="1" x14ac:dyDescent="0.3">
      <c r="B1975" s="32"/>
      <c r="P1975" s="31">
        <f t="shared" si="63"/>
        <v>0</v>
      </c>
      <c r="R1975" s="31">
        <f t="shared" si="64"/>
        <v>0</v>
      </c>
    </row>
    <row r="1976" spans="2:18" ht="30.75" customHeight="1" x14ac:dyDescent="0.3">
      <c r="B1976" s="32"/>
      <c r="P1976" s="31">
        <f t="shared" si="63"/>
        <v>0</v>
      </c>
      <c r="R1976" s="31">
        <f t="shared" si="64"/>
        <v>0</v>
      </c>
    </row>
    <row r="1977" spans="2:18" ht="30.75" customHeight="1" x14ac:dyDescent="0.3">
      <c r="B1977" s="32"/>
      <c r="P1977" s="31">
        <f t="shared" si="63"/>
        <v>0</v>
      </c>
      <c r="R1977" s="31">
        <f t="shared" si="64"/>
        <v>0</v>
      </c>
    </row>
    <row r="1978" spans="2:18" ht="30.75" customHeight="1" x14ac:dyDescent="0.3">
      <c r="B1978" s="32"/>
      <c r="P1978" s="31">
        <f t="shared" si="63"/>
        <v>0</v>
      </c>
      <c r="R1978" s="31">
        <f t="shared" si="64"/>
        <v>0</v>
      </c>
    </row>
    <row r="1979" spans="2:18" ht="30.75" customHeight="1" x14ac:dyDescent="0.3">
      <c r="B1979" s="32"/>
      <c r="P1979" s="31">
        <f t="shared" si="63"/>
        <v>0</v>
      </c>
      <c r="R1979" s="31">
        <f t="shared" si="64"/>
        <v>0</v>
      </c>
    </row>
    <row r="1980" spans="2:18" ht="30.75" customHeight="1" x14ac:dyDescent="0.3">
      <c r="B1980" s="32"/>
      <c r="P1980" s="31">
        <f t="shared" si="63"/>
        <v>0</v>
      </c>
      <c r="R1980" s="31">
        <f t="shared" si="64"/>
        <v>0</v>
      </c>
    </row>
    <row r="1981" spans="2:18" ht="30.75" customHeight="1" x14ac:dyDescent="0.3">
      <c r="B1981" s="32"/>
      <c r="P1981" s="31">
        <f t="shared" si="63"/>
        <v>0</v>
      </c>
      <c r="R1981" s="31">
        <f t="shared" si="64"/>
        <v>0</v>
      </c>
    </row>
    <row r="1982" spans="2:18" ht="30.75" customHeight="1" x14ac:dyDescent="0.3">
      <c r="B1982" s="32"/>
      <c r="P1982" s="31">
        <f t="shared" si="63"/>
        <v>0</v>
      </c>
      <c r="R1982" s="31">
        <f t="shared" si="64"/>
        <v>0</v>
      </c>
    </row>
    <row r="1983" spans="2:18" ht="30.75" customHeight="1" x14ac:dyDescent="0.3">
      <c r="B1983" s="32"/>
      <c r="P1983" s="31">
        <f t="shared" si="63"/>
        <v>0</v>
      </c>
      <c r="R1983" s="31">
        <f t="shared" si="64"/>
        <v>0</v>
      </c>
    </row>
    <row r="1984" spans="2:18" ht="30.75" customHeight="1" x14ac:dyDescent="0.3">
      <c r="B1984" s="32"/>
      <c r="P1984" s="31">
        <f t="shared" si="63"/>
        <v>0</v>
      </c>
      <c r="R1984" s="31">
        <f t="shared" si="64"/>
        <v>0</v>
      </c>
    </row>
    <row r="1985" spans="2:18" ht="30.75" customHeight="1" x14ac:dyDescent="0.3">
      <c r="B1985" s="32"/>
      <c r="P1985" s="31">
        <f t="shared" si="63"/>
        <v>0</v>
      </c>
      <c r="R1985" s="31">
        <f t="shared" si="64"/>
        <v>0</v>
      </c>
    </row>
    <row r="1986" spans="2:18" ht="30.75" customHeight="1" x14ac:dyDescent="0.3">
      <c r="B1986" s="32"/>
      <c r="P1986" s="31">
        <f t="shared" si="63"/>
        <v>0</v>
      </c>
      <c r="R1986" s="31">
        <f t="shared" si="64"/>
        <v>0</v>
      </c>
    </row>
    <row r="1987" spans="2:18" ht="30.75" customHeight="1" x14ac:dyDescent="0.3">
      <c r="B1987" s="32"/>
      <c r="P1987" s="31">
        <f t="shared" si="63"/>
        <v>0</v>
      </c>
      <c r="R1987" s="31">
        <f t="shared" si="64"/>
        <v>0</v>
      </c>
    </row>
    <row r="1988" spans="2:18" ht="30.75" customHeight="1" x14ac:dyDescent="0.3">
      <c r="B1988" s="32"/>
      <c r="P1988" s="31">
        <f t="shared" si="63"/>
        <v>0</v>
      </c>
      <c r="R1988" s="31">
        <f t="shared" si="64"/>
        <v>0</v>
      </c>
    </row>
    <row r="1989" spans="2:18" ht="30.75" customHeight="1" x14ac:dyDescent="0.3">
      <c r="B1989" s="32"/>
      <c r="P1989" s="31">
        <f t="shared" si="63"/>
        <v>0</v>
      </c>
      <c r="R1989" s="31">
        <f t="shared" si="64"/>
        <v>0</v>
      </c>
    </row>
    <row r="1990" spans="2:18" ht="30.75" customHeight="1" x14ac:dyDescent="0.3">
      <c r="B1990" s="32"/>
      <c r="P1990" s="31">
        <f t="shared" si="63"/>
        <v>0</v>
      </c>
      <c r="R1990" s="31">
        <f t="shared" si="64"/>
        <v>0</v>
      </c>
    </row>
    <row r="1991" spans="2:18" ht="30.75" customHeight="1" x14ac:dyDescent="0.3">
      <c r="B1991" s="32"/>
      <c r="P1991" s="31">
        <f t="shared" si="63"/>
        <v>0</v>
      </c>
      <c r="R1991" s="31">
        <f t="shared" si="64"/>
        <v>0</v>
      </c>
    </row>
    <row r="1992" spans="2:18" ht="30.75" customHeight="1" x14ac:dyDescent="0.3">
      <c r="B1992" s="32"/>
      <c r="P1992" s="31">
        <f t="shared" si="63"/>
        <v>0</v>
      </c>
      <c r="R1992" s="31">
        <f t="shared" si="64"/>
        <v>0</v>
      </c>
    </row>
    <row r="1993" spans="2:18" ht="30.75" customHeight="1" x14ac:dyDescent="0.3">
      <c r="B1993" s="32"/>
      <c r="P1993" s="31">
        <f t="shared" si="63"/>
        <v>0</v>
      </c>
      <c r="R1993" s="31">
        <f t="shared" si="64"/>
        <v>0</v>
      </c>
    </row>
    <row r="1994" spans="2:18" ht="30.75" customHeight="1" x14ac:dyDescent="0.3">
      <c r="B1994" s="32"/>
      <c r="P1994" s="31">
        <f t="shared" si="63"/>
        <v>0</v>
      </c>
      <c r="R1994" s="31">
        <f t="shared" si="64"/>
        <v>0</v>
      </c>
    </row>
    <row r="1995" spans="2:18" ht="30.75" customHeight="1" x14ac:dyDescent="0.3">
      <c r="B1995" s="32"/>
      <c r="P1995" s="31">
        <f t="shared" si="63"/>
        <v>0</v>
      </c>
      <c r="R1995" s="31">
        <f t="shared" si="64"/>
        <v>0</v>
      </c>
    </row>
    <row r="1996" spans="2:18" ht="30.75" customHeight="1" x14ac:dyDescent="0.3">
      <c r="B1996" s="32"/>
      <c r="P1996" s="31">
        <f t="shared" si="63"/>
        <v>0</v>
      </c>
      <c r="R1996" s="31">
        <f t="shared" si="64"/>
        <v>0</v>
      </c>
    </row>
    <row r="1997" spans="2:18" ht="30.75" customHeight="1" x14ac:dyDescent="0.3">
      <c r="B1997" s="32"/>
      <c r="P1997" s="31">
        <f t="shared" si="63"/>
        <v>0</v>
      </c>
      <c r="R1997" s="31">
        <f t="shared" si="64"/>
        <v>0</v>
      </c>
    </row>
    <row r="1998" spans="2:18" ht="30.75" customHeight="1" x14ac:dyDescent="0.3">
      <c r="B1998" s="32"/>
      <c r="P1998" s="31">
        <f t="shared" si="63"/>
        <v>0</v>
      </c>
      <c r="R1998" s="31">
        <f t="shared" si="64"/>
        <v>0</v>
      </c>
    </row>
    <row r="1999" spans="2:18" ht="30.75" customHeight="1" x14ac:dyDescent="0.3">
      <c r="B1999" s="32"/>
      <c r="P1999" s="31">
        <f t="shared" si="63"/>
        <v>0</v>
      </c>
      <c r="R1999" s="31">
        <f t="shared" si="64"/>
        <v>0</v>
      </c>
    </row>
    <row r="2000" spans="2:18" ht="30.75" customHeight="1" x14ac:dyDescent="0.3">
      <c r="B2000" s="32"/>
      <c r="P2000" s="31">
        <f t="shared" ref="P2000:P2077" si="65">K2000-L2000-M2000-N2000+O2000</f>
        <v>0</v>
      </c>
      <c r="R2000" s="31">
        <f t="shared" si="64"/>
        <v>0</v>
      </c>
    </row>
    <row r="2001" spans="2:18" ht="30.75" customHeight="1" x14ac:dyDescent="0.3">
      <c r="B2001" s="32"/>
      <c r="P2001" s="31">
        <f t="shared" si="65"/>
        <v>0</v>
      </c>
      <c r="R2001" s="31">
        <f t="shared" si="64"/>
        <v>0</v>
      </c>
    </row>
    <row r="2002" spans="2:18" ht="30.75" customHeight="1" x14ac:dyDescent="0.3">
      <c r="B2002" s="32"/>
      <c r="P2002" s="31">
        <f t="shared" si="65"/>
        <v>0</v>
      </c>
      <c r="R2002" s="31">
        <f t="shared" si="64"/>
        <v>0</v>
      </c>
    </row>
    <row r="2003" spans="2:18" ht="30.75" customHeight="1" x14ac:dyDescent="0.3">
      <c r="B2003" s="32"/>
      <c r="P2003" s="31">
        <f t="shared" si="65"/>
        <v>0</v>
      </c>
      <c r="R2003" s="31">
        <f t="shared" si="64"/>
        <v>0</v>
      </c>
    </row>
    <row r="2004" spans="2:18" ht="30.75" customHeight="1" x14ac:dyDescent="0.3">
      <c r="B2004" s="32"/>
      <c r="P2004" s="31">
        <f t="shared" si="65"/>
        <v>0</v>
      </c>
      <c r="R2004" s="31">
        <f t="shared" si="64"/>
        <v>0</v>
      </c>
    </row>
    <row r="2005" spans="2:18" ht="30.75" customHeight="1" x14ac:dyDescent="0.3">
      <c r="B2005" s="32"/>
      <c r="P2005" s="31">
        <f t="shared" si="65"/>
        <v>0</v>
      </c>
      <c r="R2005" s="31">
        <f t="shared" si="64"/>
        <v>0</v>
      </c>
    </row>
    <row r="2006" spans="2:18" ht="30.75" customHeight="1" x14ac:dyDescent="0.3">
      <c r="B2006" s="32"/>
      <c r="P2006" s="31">
        <f t="shared" si="65"/>
        <v>0</v>
      </c>
      <c r="R2006" s="31">
        <f t="shared" si="64"/>
        <v>0</v>
      </c>
    </row>
    <row r="2007" spans="2:18" ht="30.75" customHeight="1" x14ac:dyDescent="0.3">
      <c r="B2007" s="32"/>
      <c r="P2007" s="31">
        <f t="shared" si="65"/>
        <v>0</v>
      </c>
      <c r="R2007" s="31">
        <f t="shared" si="64"/>
        <v>0</v>
      </c>
    </row>
    <row r="2008" spans="2:18" ht="30.75" customHeight="1" x14ac:dyDescent="0.3">
      <c r="B2008" s="32"/>
      <c r="P2008" s="31">
        <f t="shared" si="65"/>
        <v>0</v>
      </c>
      <c r="R2008" s="31">
        <f t="shared" si="64"/>
        <v>0</v>
      </c>
    </row>
    <row r="2009" spans="2:18" ht="30.75" customHeight="1" x14ac:dyDescent="0.3">
      <c r="B2009" s="32"/>
      <c r="P2009" s="31">
        <f t="shared" si="65"/>
        <v>0</v>
      </c>
      <c r="R2009" s="31">
        <f t="shared" si="64"/>
        <v>0</v>
      </c>
    </row>
    <row r="2010" spans="2:18" ht="30.75" customHeight="1" x14ac:dyDescent="0.3">
      <c r="B2010" s="32"/>
      <c r="P2010" s="31">
        <f t="shared" si="65"/>
        <v>0</v>
      </c>
      <c r="R2010" s="31">
        <f t="shared" si="64"/>
        <v>0</v>
      </c>
    </row>
    <row r="2011" spans="2:18" ht="30.75" customHeight="1" x14ac:dyDescent="0.3">
      <c r="B2011" s="32"/>
      <c r="P2011" s="31">
        <f t="shared" si="65"/>
        <v>0</v>
      </c>
      <c r="R2011" s="31">
        <f t="shared" si="64"/>
        <v>0</v>
      </c>
    </row>
    <row r="2012" spans="2:18" ht="30.75" customHeight="1" x14ac:dyDescent="0.3">
      <c r="B2012" s="32"/>
      <c r="P2012" s="31">
        <f t="shared" si="65"/>
        <v>0</v>
      </c>
      <c r="R2012" s="31">
        <f t="shared" si="64"/>
        <v>0</v>
      </c>
    </row>
    <row r="2013" spans="2:18" ht="30.75" customHeight="1" x14ac:dyDescent="0.3">
      <c r="B2013" s="32"/>
      <c r="P2013" s="31">
        <f t="shared" si="65"/>
        <v>0</v>
      </c>
      <c r="R2013" s="31">
        <f t="shared" si="64"/>
        <v>0</v>
      </c>
    </row>
    <row r="2014" spans="2:18" ht="30.75" customHeight="1" x14ac:dyDescent="0.3">
      <c r="B2014" s="32"/>
      <c r="P2014" s="31">
        <f t="shared" si="65"/>
        <v>0</v>
      </c>
      <c r="R2014" s="31">
        <f t="shared" si="64"/>
        <v>0</v>
      </c>
    </row>
    <row r="2015" spans="2:18" ht="30.75" customHeight="1" x14ac:dyDescent="0.3">
      <c r="B2015" s="32"/>
      <c r="P2015" s="31">
        <f t="shared" si="65"/>
        <v>0</v>
      </c>
      <c r="R2015" s="31">
        <f t="shared" si="64"/>
        <v>0</v>
      </c>
    </row>
    <row r="2016" spans="2:18" ht="30.75" customHeight="1" x14ac:dyDescent="0.3">
      <c r="B2016" s="32"/>
      <c r="P2016" s="31">
        <f t="shared" si="65"/>
        <v>0</v>
      </c>
      <c r="R2016" s="31">
        <f t="shared" si="64"/>
        <v>0</v>
      </c>
    </row>
    <row r="2017" spans="2:18" ht="30.75" customHeight="1" x14ac:dyDescent="0.3">
      <c r="B2017" s="32"/>
      <c r="P2017" s="31">
        <f t="shared" si="65"/>
        <v>0</v>
      </c>
      <c r="R2017" s="31">
        <f t="shared" si="64"/>
        <v>0</v>
      </c>
    </row>
    <row r="2018" spans="2:18" ht="30.75" customHeight="1" x14ac:dyDescent="0.3">
      <c r="B2018" s="32"/>
      <c r="P2018" s="31">
        <f t="shared" si="65"/>
        <v>0</v>
      </c>
      <c r="R2018" s="31">
        <f t="shared" si="64"/>
        <v>0</v>
      </c>
    </row>
    <row r="2019" spans="2:18" ht="30.75" customHeight="1" x14ac:dyDescent="0.3">
      <c r="B2019" s="32"/>
      <c r="P2019" s="31">
        <f t="shared" si="65"/>
        <v>0</v>
      </c>
      <c r="R2019" s="31">
        <f t="shared" si="64"/>
        <v>0</v>
      </c>
    </row>
    <row r="2020" spans="2:18" ht="30.75" customHeight="1" x14ac:dyDescent="0.3">
      <c r="B2020" s="32"/>
      <c r="P2020" s="31">
        <f t="shared" si="65"/>
        <v>0</v>
      </c>
      <c r="R2020" s="31">
        <f t="shared" si="64"/>
        <v>0</v>
      </c>
    </row>
    <row r="2021" spans="2:18" ht="30.75" customHeight="1" x14ac:dyDescent="0.3">
      <c r="B2021" s="32"/>
      <c r="P2021" s="31">
        <f t="shared" si="65"/>
        <v>0</v>
      </c>
      <c r="R2021" s="31">
        <f t="shared" si="64"/>
        <v>0</v>
      </c>
    </row>
    <row r="2022" spans="2:18" ht="30.75" customHeight="1" x14ac:dyDescent="0.3">
      <c r="B2022" s="32"/>
      <c r="P2022" s="31">
        <f t="shared" si="65"/>
        <v>0</v>
      </c>
      <c r="R2022" s="31">
        <f t="shared" si="64"/>
        <v>0</v>
      </c>
    </row>
    <row r="2023" spans="2:18" ht="30.75" customHeight="1" x14ac:dyDescent="0.3">
      <c r="B2023" s="32"/>
      <c r="P2023" s="31">
        <f t="shared" si="65"/>
        <v>0</v>
      </c>
      <c r="R2023" s="31">
        <f t="shared" si="64"/>
        <v>0</v>
      </c>
    </row>
    <row r="2024" spans="2:18" ht="30.75" customHeight="1" x14ac:dyDescent="0.3">
      <c r="B2024" s="32"/>
      <c r="P2024" s="31">
        <f t="shared" si="65"/>
        <v>0</v>
      </c>
      <c r="R2024" s="31">
        <f t="shared" si="64"/>
        <v>0</v>
      </c>
    </row>
    <row r="2025" spans="2:18" ht="30.75" customHeight="1" x14ac:dyDescent="0.3">
      <c r="B2025" s="32"/>
      <c r="P2025" s="31">
        <f t="shared" si="65"/>
        <v>0</v>
      </c>
      <c r="R2025" s="31">
        <f t="shared" si="64"/>
        <v>0</v>
      </c>
    </row>
    <row r="2026" spans="2:18" ht="30.75" customHeight="1" x14ac:dyDescent="0.3">
      <c r="B2026" s="32"/>
      <c r="P2026" s="31">
        <f t="shared" si="65"/>
        <v>0</v>
      </c>
      <c r="R2026" s="31">
        <f t="shared" si="64"/>
        <v>0</v>
      </c>
    </row>
    <row r="2027" spans="2:18" ht="30.75" customHeight="1" x14ac:dyDescent="0.3">
      <c r="B2027" s="32"/>
      <c r="P2027" s="31">
        <f t="shared" si="65"/>
        <v>0</v>
      </c>
      <c r="R2027" s="31">
        <f t="shared" si="64"/>
        <v>0</v>
      </c>
    </row>
    <row r="2028" spans="2:18" ht="30.75" customHeight="1" x14ac:dyDescent="0.3">
      <c r="B2028" s="32"/>
      <c r="P2028" s="31">
        <f t="shared" si="65"/>
        <v>0</v>
      </c>
      <c r="R2028" s="31">
        <f t="shared" si="64"/>
        <v>0</v>
      </c>
    </row>
    <row r="2029" spans="2:18" ht="30.75" customHeight="1" x14ac:dyDescent="0.3">
      <c r="B2029" s="32"/>
      <c r="P2029" s="31">
        <f t="shared" si="65"/>
        <v>0</v>
      </c>
      <c r="R2029" s="31">
        <f t="shared" si="64"/>
        <v>0</v>
      </c>
    </row>
    <row r="2030" spans="2:18" ht="30.75" customHeight="1" x14ac:dyDescent="0.3">
      <c r="B2030" s="32"/>
      <c r="P2030" s="31">
        <f t="shared" si="65"/>
        <v>0</v>
      </c>
      <c r="R2030" s="31">
        <f t="shared" si="64"/>
        <v>0</v>
      </c>
    </row>
    <row r="2031" spans="2:18" ht="30.75" customHeight="1" x14ac:dyDescent="0.3">
      <c r="B2031" s="32"/>
      <c r="P2031" s="31">
        <f t="shared" si="65"/>
        <v>0</v>
      </c>
      <c r="R2031" s="31">
        <f t="shared" si="64"/>
        <v>0</v>
      </c>
    </row>
    <row r="2032" spans="2:18" ht="30.75" customHeight="1" x14ac:dyDescent="0.3">
      <c r="B2032" s="32"/>
      <c r="P2032" s="31">
        <f t="shared" si="65"/>
        <v>0</v>
      </c>
      <c r="R2032" s="31">
        <f t="shared" si="64"/>
        <v>0</v>
      </c>
    </row>
    <row r="2033" spans="2:18" ht="30.75" customHeight="1" x14ac:dyDescent="0.3">
      <c r="B2033" s="32"/>
      <c r="P2033" s="31">
        <f t="shared" si="65"/>
        <v>0</v>
      </c>
      <c r="R2033" s="31">
        <f t="shared" si="64"/>
        <v>0</v>
      </c>
    </row>
    <row r="2034" spans="2:18" ht="30.75" customHeight="1" x14ac:dyDescent="0.3">
      <c r="B2034" s="32"/>
      <c r="P2034" s="31">
        <f t="shared" si="65"/>
        <v>0</v>
      </c>
      <c r="R2034" s="31">
        <f t="shared" si="64"/>
        <v>0</v>
      </c>
    </row>
    <row r="2035" spans="2:18" ht="30.75" customHeight="1" x14ac:dyDescent="0.3">
      <c r="B2035" s="32"/>
      <c r="P2035" s="31">
        <f t="shared" si="65"/>
        <v>0</v>
      </c>
      <c r="R2035" s="31">
        <f t="shared" si="64"/>
        <v>0</v>
      </c>
    </row>
    <row r="2036" spans="2:18" ht="30.75" customHeight="1" x14ac:dyDescent="0.3">
      <c r="B2036" s="32"/>
      <c r="P2036" s="31">
        <f t="shared" si="65"/>
        <v>0</v>
      </c>
      <c r="R2036" s="31">
        <f t="shared" si="64"/>
        <v>0</v>
      </c>
    </row>
    <row r="2037" spans="2:18" ht="30.75" customHeight="1" x14ac:dyDescent="0.3">
      <c r="B2037" s="32"/>
      <c r="P2037" s="31">
        <f t="shared" si="65"/>
        <v>0</v>
      </c>
      <c r="R2037" s="31">
        <f t="shared" ref="R2037:R2100" si="66">R2036+K2037-L2037-M2037-N2037+O2037-Q2037</f>
        <v>0</v>
      </c>
    </row>
    <row r="2038" spans="2:18" ht="30.75" customHeight="1" x14ac:dyDescent="0.3">
      <c r="B2038" s="32"/>
      <c r="P2038" s="31">
        <f t="shared" si="65"/>
        <v>0</v>
      </c>
      <c r="R2038" s="31">
        <f t="shared" si="66"/>
        <v>0</v>
      </c>
    </row>
    <row r="2039" spans="2:18" ht="30.75" customHeight="1" x14ac:dyDescent="0.3">
      <c r="B2039" s="32"/>
      <c r="P2039" s="31">
        <f t="shared" si="65"/>
        <v>0</v>
      </c>
      <c r="R2039" s="31">
        <f t="shared" si="66"/>
        <v>0</v>
      </c>
    </row>
    <row r="2040" spans="2:18" ht="30.75" customHeight="1" x14ac:dyDescent="0.3">
      <c r="B2040" s="32"/>
      <c r="P2040" s="31">
        <f t="shared" si="65"/>
        <v>0</v>
      </c>
      <c r="R2040" s="31">
        <f t="shared" si="66"/>
        <v>0</v>
      </c>
    </row>
    <row r="2041" spans="2:18" ht="30.75" customHeight="1" x14ac:dyDescent="0.3">
      <c r="B2041" s="32"/>
      <c r="P2041" s="31">
        <f t="shared" si="65"/>
        <v>0</v>
      </c>
      <c r="R2041" s="31">
        <f t="shared" si="66"/>
        <v>0</v>
      </c>
    </row>
    <row r="2042" spans="2:18" ht="30.75" customHeight="1" x14ac:dyDescent="0.3">
      <c r="B2042" s="32"/>
      <c r="P2042" s="31">
        <f t="shared" si="65"/>
        <v>0</v>
      </c>
      <c r="R2042" s="31">
        <f t="shared" si="66"/>
        <v>0</v>
      </c>
    </row>
    <row r="2043" spans="2:18" ht="30.75" customHeight="1" x14ac:dyDescent="0.3">
      <c r="B2043" s="32"/>
      <c r="P2043" s="31">
        <f t="shared" si="65"/>
        <v>0</v>
      </c>
      <c r="R2043" s="31">
        <f t="shared" si="66"/>
        <v>0</v>
      </c>
    </row>
    <row r="2044" spans="2:18" ht="30.75" customHeight="1" x14ac:dyDescent="0.3">
      <c r="B2044" s="32"/>
      <c r="P2044" s="31">
        <f t="shared" si="65"/>
        <v>0</v>
      </c>
      <c r="R2044" s="31">
        <f t="shared" si="66"/>
        <v>0</v>
      </c>
    </row>
    <row r="2045" spans="2:18" ht="30.75" customHeight="1" x14ac:dyDescent="0.3">
      <c r="B2045" s="32"/>
      <c r="P2045" s="31">
        <f t="shared" si="65"/>
        <v>0</v>
      </c>
      <c r="R2045" s="31">
        <f t="shared" si="66"/>
        <v>0</v>
      </c>
    </row>
    <row r="2046" spans="2:18" ht="30.75" customHeight="1" x14ac:dyDescent="0.3">
      <c r="B2046" s="32"/>
      <c r="P2046" s="31">
        <f t="shared" si="65"/>
        <v>0</v>
      </c>
      <c r="R2046" s="31">
        <f t="shared" si="66"/>
        <v>0</v>
      </c>
    </row>
    <row r="2047" spans="2:18" ht="30.75" customHeight="1" x14ac:dyDescent="0.3">
      <c r="B2047" s="32"/>
      <c r="P2047" s="31">
        <f t="shared" si="65"/>
        <v>0</v>
      </c>
      <c r="R2047" s="31">
        <f t="shared" si="66"/>
        <v>0</v>
      </c>
    </row>
    <row r="2048" spans="2:18" ht="30.75" customHeight="1" x14ac:dyDescent="0.3">
      <c r="B2048" s="32"/>
      <c r="P2048" s="31">
        <f t="shared" si="65"/>
        <v>0</v>
      </c>
      <c r="R2048" s="31">
        <f t="shared" si="66"/>
        <v>0</v>
      </c>
    </row>
    <row r="2049" spans="2:18" ht="30.75" customHeight="1" x14ac:dyDescent="0.3">
      <c r="B2049" s="32"/>
      <c r="P2049" s="31">
        <f t="shared" si="65"/>
        <v>0</v>
      </c>
      <c r="R2049" s="31">
        <f t="shared" si="66"/>
        <v>0</v>
      </c>
    </row>
    <row r="2050" spans="2:18" ht="30.75" customHeight="1" x14ac:dyDescent="0.3">
      <c r="B2050" s="32"/>
      <c r="P2050" s="31">
        <f t="shared" si="65"/>
        <v>0</v>
      </c>
      <c r="R2050" s="31">
        <f t="shared" si="66"/>
        <v>0</v>
      </c>
    </row>
    <row r="2051" spans="2:18" ht="30.75" customHeight="1" x14ac:dyDescent="0.3">
      <c r="B2051" s="32"/>
      <c r="P2051" s="31">
        <f t="shared" si="65"/>
        <v>0</v>
      </c>
      <c r="R2051" s="31">
        <f t="shared" si="66"/>
        <v>0</v>
      </c>
    </row>
    <row r="2052" spans="2:18" ht="30.75" customHeight="1" x14ac:dyDescent="0.3">
      <c r="B2052" s="32"/>
      <c r="P2052" s="31">
        <f t="shared" si="65"/>
        <v>0</v>
      </c>
      <c r="R2052" s="31">
        <f t="shared" si="66"/>
        <v>0</v>
      </c>
    </row>
    <row r="2053" spans="2:18" ht="30.75" customHeight="1" x14ac:dyDescent="0.3">
      <c r="B2053" s="32"/>
      <c r="P2053" s="31">
        <f t="shared" si="65"/>
        <v>0</v>
      </c>
      <c r="R2053" s="31">
        <f t="shared" si="66"/>
        <v>0</v>
      </c>
    </row>
    <row r="2054" spans="2:18" ht="30.75" customHeight="1" x14ac:dyDescent="0.3">
      <c r="B2054" s="32"/>
      <c r="P2054" s="31">
        <f t="shared" si="65"/>
        <v>0</v>
      </c>
      <c r="R2054" s="31">
        <f t="shared" si="66"/>
        <v>0</v>
      </c>
    </row>
    <row r="2055" spans="2:18" ht="30.75" customHeight="1" x14ac:dyDescent="0.3">
      <c r="B2055" s="32"/>
      <c r="P2055" s="31">
        <f t="shared" si="65"/>
        <v>0</v>
      </c>
      <c r="R2055" s="31">
        <f t="shared" si="66"/>
        <v>0</v>
      </c>
    </row>
    <row r="2056" spans="2:18" ht="30.75" customHeight="1" x14ac:dyDescent="0.3">
      <c r="B2056" s="32"/>
      <c r="P2056" s="31">
        <f t="shared" si="65"/>
        <v>0</v>
      </c>
      <c r="R2056" s="31">
        <f t="shared" si="66"/>
        <v>0</v>
      </c>
    </row>
    <row r="2057" spans="2:18" ht="30.75" customHeight="1" x14ac:dyDescent="0.3">
      <c r="B2057" s="32"/>
      <c r="P2057" s="31">
        <f t="shared" si="65"/>
        <v>0</v>
      </c>
      <c r="R2057" s="31">
        <f t="shared" si="66"/>
        <v>0</v>
      </c>
    </row>
    <row r="2058" spans="2:18" ht="30.75" customHeight="1" x14ac:dyDescent="0.3">
      <c r="B2058" s="32"/>
      <c r="P2058" s="31">
        <f t="shared" si="65"/>
        <v>0</v>
      </c>
      <c r="R2058" s="31">
        <f t="shared" si="66"/>
        <v>0</v>
      </c>
    </row>
    <row r="2059" spans="2:18" ht="30.75" customHeight="1" x14ac:dyDescent="0.3">
      <c r="B2059" s="32"/>
      <c r="P2059" s="31">
        <f t="shared" si="65"/>
        <v>0</v>
      </c>
      <c r="R2059" s="31">
        <f t="shared" si="66"/>
        <v>0</v>
      </c>
    </row>
    <row r="2060" spans="2:18" ht="30.75" customHeight="1" x14ac:dyDescent="0.3">
      <c r="B2060" s="32"/>
      <c r="P2060" s="31">
        <f t="shared" si="65"/>
        <v>0</v>
      </c>
      <c r="R2060" s="31">
        <f t="shared" si="66"/>
        <v>0</v>
      </c>
    </row>
    <row r="2061" spans="2:18" ht="30.75" customHeight="1" x14ac:dyDescent="0.3">
      <c r="B2061" s="32"/>
      <c r="P2061" s="31">
        <f t="shared" si="65"/>
        <v>0</v>
      </c>
      <c r="R2061" s="31">
        <f t="shared" si="66"/>
        <v>0</v>
      </c>
    </row>
    <row r="2062" spans="2:18" ht="30.75" customHeight="1" x14ac:dyDescent="0.3">
      <c r="B2062" s="32"/>
      <c r="P2062" s="31">
        <f t="shared" si="65"/>
        <v>0</v>
      </c>
      <c r="R2062" s="31">
        <f t="shared" si="66"/>
        <v>0</v>
      </c>
    </row>
    <row r="2063" spans="2:18" ht="30.75" customHeight="1" x14ac:dyDescent="0.3">
      <c r="B2063" s="32"/>
      <c r="P2063" s="31">
        <f t="shared" si="65"/>
        <v>0</v>
      </c>
      <c r="R2063" s="31">
        <f t="shared" si="66"/>
        <v>0</v>
      </c>
    </row>
    <row r="2064" spans="2:18" ht="30.75" customHeight="1" x14ac:dyDescent="0.3">
      <c r="B2064" s="32"/>
      <c r="P2064" s="31">
        <f t="shared" si="65"/>
        <v>0</v>
      </c>
      <c r="R2064" s="31">
        <f t="shared" si="66"/>
        <v>0</v>
      </c>
    </row>
    <row r="2065" spans="2:18" ht="30.75" customHeight="1" x14ac:dyDescent="0.3">
      <c r="B2065" s="32"/>
      <c r="P2065" s="31">
        <f t="shared" si="65"/>
        <v>0</v>
      </c>
      <c r="R2065" s="31">
        <f t="shared" si="66"/>
        <v>0</v>
      </c>
    </row>
    <row r="2066" spans="2:18" ht="30.75" customHeight="1" x14ac:dyDescent="0.3">
      <c r="B2066" s="32"/>
      <c r="P2066" s="31">
        <f t="shared" si="65"/>
        <v>0</v>
      </c>
      <c r="R2066" s="31">
        <f t="shared" si="66"/>
        <v>0</v>
      </c>
    </row>
    <row r="2067" spans="2:18" ht="30.75" customHeight="1" x14ac:dyDescent="0.3">
      <c r="B2067" s="32"/>
      <c r="P2067" s="31">
        <f t="shared" si="65"/>
        <v>0</v>
      </c>
      <c r="R2067" s="31">
        <f t="shared" si="66"/>
        <v>0</v>
      </c>
    </row>
    <row r="2068" spans="2:18" ht="30.75" customHeight="1" x14ac:dyDescent="0.3">
      <c r="B2068" s="32"/>
      <c r="P2068" s="31">
        <f t="shared" si="65"/>
        <v>0</v>
      </c>
      <c r="R2068" s="31">
        <f t="shared" si="66"/>
        <v>0</v>
      </c>
    </row>
    <row r="2069" spans="2:18" ht="30.75" customHeight="1" x14ac:dyDescent="0.3">
      <c r="B2069" s="32"/>
      <c r="P2069" s="31">
        <f t="shared" si="65"/>
        <v>0</v>
      </c>
      <c r="R2069" s="31">
        <f t="shared" si="66"/>
        <v>0</v>
      </c>
    </row>
    <row r="2070" spans="2:18" ht="30.75" customHeight="1" x14ac:dyDescent="0.3">
      <c r="B2070" s="32"/>
      <c r="P2070" s="31">
        <f t="shared" si="65"/>
        <v>0</v>
      </c>
      <c r="R2070" s="31">
        <f t="shared" si="66"/>
        <v>0</v>
      </c>
    </row>
    <row r="2071" spans="2:18" ht="30.75" customHeight="1" x14ac:dyDescent="0.3">
      <c r="B2071" s="32"/>
      <c r="P2071" s="31">
        <f t="shared" si="65"/>
        <v>0</v>
      </c>
      <c r="R2071" s="31">
        <f t="shared" si="66"/>
        <v>0</v>
      </c>
    </row>
    <row r="2072" spans="2:18" ht="30.75" customHeight="1" x14ac:dyDescent="0.3">
      <c r="B2072" s="32"/>
      <c r="P2072" s="31">
        <f t="shared" si="65"/>
        <v>0</v>
      </c>
      <c r="R2072" s="31">
        <f t="shared" si="66"/>
        <v>0</v>
      </c>
    </row>
    <row r="2073" spans="2:18" ht="30.75" customHeight="1" x14ac:dyDescent="0.3">
      <c r="B2073" s="32"/>
      <c r="P2073" s="31">
        <f t="shared" si="65"/>
        <v>0</v>
      </c>
      <c r="R2073" s="31">
        <f t="shared" si="66"/>
        <v>0</v>
      </c>
    </row>
    <row r="2074" spans="2:18" ht="30.75" customHeight="1" x14ac:dyDescent="0.3">
      <c r="B2074" s="32"/>
      <c r="P2074" s="31">
        <f t="shared" si="65"/>
        <v>0</v>
      </c>
      <c r="R2074" s="31">
        <f t="shared" si="66"/>
        <v>0</v>
      </c>
    </row>
    <row r="2075" spans="2:18" ht="30.75" customHeight="1" x14ac:dyDescent="0.3">
      <c r="B2075" s="32"/>
      <c r="P2075" s="31">
        <f t="shared" si="65"/>
        <v>0</v>
      </c>
      <c r="R2075" s="31">
        <f t="shared" si="66"/>
        <v>0</v>
      </c>
    </row>
    <row r="2076" spans="2:18" ht="30.75" customHeight="1" x14ac:dyDescent="0.3">
      <c r="B2076" s="32"/>
      <c r="P2076" s="31">
        <f t="shared" si="65"/>
        <v>0</v>
      </c>
      <c r="R2076" s="31">
        <f t="shared" si="66"/>
        <v>0</v>
      </c>
    </row>
    <row r="2077" spans="2:18" ht="30.75" customHeight="1" x14ac:dyDescent="0.3">
      <c r="B2077" s="32"/>
      <c r="P2077" s="31">
        <f t="shared" si="65"/>
        <v>0</v>
      </c>
      <c r="R2077" s="31">
        <f t="shared" si="66"/>
        <v>0</v>
      </c>
    </row>
    <row r="2078" spans="2:18" ht="30.75" customHeight="1" x14ac:dyDescent="0.3">
      <c r="B2078" s="32"/>
      <c r="P2078" s="31">
        <f t="shared" ref="P2078:P2105" si="67">K2078-L2078-M2078-N2078+O2078</f>
        <v>0</v>
      </c>
      <c r="R2078" s="31">
        <f t="shared" si="66"/>
        <v>0</v>
      </c>
    </row>
    <row r="2079" spans="2:18" ht="30.75" customHeight="1" x14ac:dyDescent="0.3">
      <c r="B2079" s="32"/>
      <c r="P2079" s="31">
        <f t="shared" si="67"/>
        <v>0</v>
      </c>
      <c r="R2079" s="31">
        <f t="shared" si="66"/>
        <v>0</v>
      </c>
    </row>
    <row r="2080" spans="2:18" ht="30.75" customHeight="1" x14ac:dyDescent="0.3">
      <c r="B2080" s="32"/>
      <c r="P2080" s="31">
        <f t="shared" si="67"/>
        <v>0</v>
      </c>
      <c r="R2080" s="31">
        <f t="shared" si="66"/>
        <v>0</v>
      </c>
    </row>
    <row r="2081" spans="2:18" ht="30.75" customHeight="1" x14ac:dyDescent="0.3">
      <c r="B2081" s="32"/>
      <c r="P2081" s="31">
        <f t="shared" si="67"/>
        <v>0</v>
      </c>
      <c r="R2081" s="31">
        <f t="shared" si="66"/>
        <v>0</v>
      </c>
    </row>
    <row r="2082" spans="2:18" ht="30.75" customHeight="1" x14ac:dyDescent="0.3">
      <c r="B2082" s="32"/>
      <c r="P2082" s="31">
        <f t="shared" si="67"/>
        <v>0</v>
      </c>
      <c r="R2082" s="31">
        <f t="shared" si="66"/>
        <v>0</v>
      </c>
    </row>
    <row r="2083" spans="2:18" ht="30.75" customHeight="1" x14ac:dyDescent="0.3">
      <c r="B2083" s="32"/>
      <c r="P2083" s="31">
        <f t="shared" si="67"/>
        <v>0</v>
      </c>
      <c r="R2083" s="31">
        <f t="shared" si="66"/>
        <v>0</v>
      </c>
    </row>
    <row r="2084" spans="2:18" ht="30.75" customHeight="1" x14ac:dyDescent="0.3">
      <c r="B2084" s="32"/>
      <c r="P2084" s="31">
        <f t="shared" si="67"/>
        <v>0</v>
      </c>
      <c r="R2084" s="31">
        <f t="shared" si="66"/>
        <v>0</v>
      </c>
    </row>
    <row r="2085" spans="2:18" ht="30.75" customHeight="1" x14ac:dyDescent="0.3">
      <c r="B2085" s="32"/>
      <c r="P2085" s="31">
        <f t="shared" si="67"/>
        <v>0</v>
      </c>
      <c r="R2085" s="31">
        <f t="shared" si="66"/>
        <v>0</v>
      </c>
    </row>
    <row r="2086" spans="2:18" ht="30.75" customHeight="1" x14ac:dyDescent="0.3">
      <c r="B2086" s="32"/>
      <c r="P2086" s="31">
        <f t="shared" si="67"/>
        <v>0</v>
      </c>
      <c r="R2086" s="31">
        <f t="shared" si="66"/>
        <v>0</v>
      </c>
    </row>
    <row r="2087" spans="2:18" ht="30.75" customHeight="1" x14ac:dyDescent="0.3">
      <c r="B2087" s="32"/>
      <c r="P2087" s="31">
        <f t="shared" si="67"/>
        <v>0</v>
      </c>
      <c r="R2087" s="31">
        <f t="shared" si="66"/>
        <v>0</v>
      </c>
    </row>
    <row r="2088" spans="2:18" ht="30.75" customHeight="1" x14ac:dyDescent="0.3">
      <c r="B2088" s="32"/>
      <c r="P2088" s="31">
        <f t="shared" si="67"/>
        <v>0</v>
      </c>
      <c r="R2088" s="31">
        <f t="shared" si="66"/>
        <v>0</v>
      </c>
    </row>
    <row r="2089" spans="2:18" ht="30.75" customHeight="1" x14ac:dyDescent="0.3">
      <c r="B2089" s="32"/>
      <c r="P2089" s="31">
        <f t="shared" si="67"/>
        <v>0</v>
      </c>
      <c r="R2089" s="31">
        <f t="shared" si="66"/>
        <v>0</v>
      </c>
    </row>
    <row r="2090" spans="2:18" ht="30.75" customHeight="1" x14ac:dyDescent="0.3">
      <c r="B2090" s="32"/>
      <c r="P2090" s="31">
        <f t="shared" si="67"/>
        <v>0</v>
      </c>
      <c r="R2090" s="31">
        <f t="shared" si="66"/>
        <v>0</v>
      </c>
    </row>
    <row r="2091" spans="2:18" ht="30.75" customHeight="1" x14ac:dyDescent="0.3">
      <c r="B2091" s="32"/>
      <c r="P2091" s="31">
        <f t="shared" si="67"/>
        <v>0</v>
      </c>
      <c r="R2091" s="31">
        <f t="shared" si="66"/>
        <v>0</v>
      </c>
    </row>
    <row r="2092" spans="2:18" ht="30.75" customHeight="1" x14ac:dyDescent="0.3">
      <c r="B2092" s="32"/>
      <c r="P2092" s="31">
        <f t="shared" si="67"/>
        <v>0</v>
      </c>
      <c r="R2092" s="31">
        <f t="shared" si="66"/>
        <v>0</v>
      </c>
    </row>
    <row r="2093" spans="2:18" ht="30.75" customHeight="1" x14ac:dyDescent="0.3">
      <c r="B2093" s="32"/>
      <c r="P2093" s="31">
        <f t="shared" si="67"/>
        <v>0</v>
      </c>
      <c r="R2093" s="31">
        <f t="shared" si="66"/>
        <v>0</v>
      </c>
    </row>
    <row r="2094" spans="2:18" ht="30.75" customHeight="1" x14ac:dyDescent="0.3">
      <c r="B2094" s="32"/>
      <c r="P2094" s="31">
        <f t="shared" si="67"/>
        <v>0</v>
      </c>
      <c r="R2094" s="31">
        <f t="shared" si="66"/>
        <v>0</v>
      </c>
    </row>
    <row r="2095" spans="2:18" ht="30.75" customHeight="1" x14ac:dyDescent="0.3">
      <c r="B2095" s="32"/>
      <c r="P2095" s="31">
        <f t="shared" si="67"/>
        <v>0</v>
      </c>
      <c r="R2095" s="31">
        <f t="shared" si="66"/>
        <v>0</v>
      </c>
    </row>
    <row r="2096" spans="2:18" ht="30.75" customHeight="1" x14ac:dyDescent="0.3">
      <c r="B2096" s="32"/>
      <c r="P2096" s="31">
        <f t="shared" si="67"/>
        <v>0</v>
      </c>
      <c r="R2096" s="31">
        <f t="shared" si="66"/>
        <v>0</v>
      </c>
    </row>
    <row r="2097" spans="2:18" ht="30.75" customHeight="1" x14ac:dyDescent="0.3">
      <c r="B2097" s="32"/>
      <c r="P2097" s="31">
        <f t="shared" si="67"/>
        <v>0</v>
      </c>
      <c r="R2097" s="31">
        <f t="shared" si="66"/>
        <v>0</v>
      </c>
    </row>
    <row r="2098" spans="2:18" ht="30.75" customHeight="1" x14ac:dyDescent="0.3">
      <c r="B2098" s="32"/>
      <c r="P2098" s="31">
        <f t="shared" si="67"/>
        <v>0</v>
      </c>
      <c r="R2098" s="31">
        <f t="shared" si="66"/>
        <v>0</v>
      </c>
    </row>
    <row r="2099" spans="2:18" ht="30.75" customHeight="1" x14ac:dyDescent="0.3">
      <c r="B2099" s="32"/>
      <c r="P2099" s="31">
        <f t="shared" si="67"/>
        <v>0</v>
      </c>
      <c r="R2099" s="31">
        <f t="shared" si="66"/>
        <v>0</v>
      </c>
    </row>
    <row r="2100" spans="2:18" ht="30.75" customHeight="1" x14ac:dyDescent="0.3">
      <c r="B2100" s="32"/>
      <c r="P2100" s="31">
        <f t="shared" si="67"/>
        <v>0</v>
      </c>
      <c r="R2100" s="31">
        <f t="shared" si="66"/>
        <v>0</v>
      </c>
    </row>
    <row r="2101" spans="2:18" ht="30.75" customHeight="1" x14ac:dyDescent="0.3">
      <c r="B2101" s="32"/>
      <c r="P2101" s="31">
        <f t="shared" si="67"/>
        <v>0</v>
      </c>
      <c r="R2101" s="31">
        <f>R2100+K2101-L2101-M2101-N2101+O2101-Q2101</f>
        <v>0</v>
      </c>
    </row>
    <row r="2102" spans="2:18" ht="30.75" customHeight="1" x14ac:dyDescent="0.3">
      <c r="B2102" s="32"/>
      <c r="P2102" s="31">
        <f t="shared" si="67"/>
        <v>0</v>
      </c>
      <c r="R2102" s="31">
        <f>R2101+K2102-L2102-M2102-N2102+O2102-Q2102</f>
        <v>0</v>
      </c>
    </row>
    <row r="2103" spans="2:18" ht="30.75" customHeight="1" x14ac:dyDescent="0.3">
      <c r="B2103" s="32"/>
      <c r="P2103" s="31">
        <f t="shared" si="67"/>
        <v>0</v>
      </c>
      <c r="R2103" s="31">
        <f>R2102+K2103-L2103-M2103-N2103+O2103-Q2103</f>
        <v>0</v>
      </c>
    </row>
    <row r="2104" spans="2:18" ht="30.75" customHeight="1" x14ac:dyDescent="0.3">
      <c r="B2104" s="32"/>
      <c r="P2104" s="31">
        <f t="shared" si="67"/>
        <v>0</v>
      </c>
      <c r="R2104" s="31">
        <f>R2103+K2104-L2104-M2104-N2104+O2104-Q2104</f>
        <v>0</v>
      </c>
    </row>
    <row r="2105" spans="2:18" ht="30.75" customHeight="1" x14ac:dyDescent="0.3">
      <c r="B2105" s="32"/>
      <c r="P2105" s="31">
        <f t="shared" si="67"/>
        <v>0</v>
      </c>
      <c r="R2105" s="31">
        <f>R2104+K2105-L2105-M2105-N2105+O2105-Q2105</f>
        <v>0</v>
      </c>
    </row>
    <row r="2106" spans="2:18" ht="30.75" customHeight="1" x14ac:dyDescent="0.3">
      <c r="B2106" s="32"/>
      <c r="P2106" s="31">
        <f t="shared" ref="P2106:P2169" si="68">K2106-L2106-M2106-N2106+O2106</f>
        <v>0</v>
      </c>
      <c r="R2106" s="31">
        <f t="shared" ref="R2106:R2169" si="69">R2105+K2106-L2106-M2106-N2106+O2106-Q2106</f>
        <v>0</v>
      </c>
    </row>
    <row r="2107" spans="2:18" ht="30.75" customHeight="1" x14ac:dyDescent="0.3">
      <c r="B2107" s="32"/>
      <c r="P2107" s="31">
        <f t="shared" si="68"/>
        <v>0</v>
      </c>
      <c r="R2107" s="31">
        <f t="shared" si="69"/>
        <v>0</v>
      </c>
    </row>
    <row r="2108" spans="2:18" ht="32.25" customHeight="1" x14ac:dyDescent="0.3">
      <c r="B2108" s="32"/>
      <c r="P2108" s="31">
        <f t="shared" si="68"/>
        <v>0</v>
      </c>
      <c r="R2108" s="31">
        <f t="shared" si="69"/>
        <v>0</v>
      </c>
    </row>
    <row r="2109" spans="2:18" ht="30.75" customHeight="1" x14ac:dyDescent="0.3">
      <c r="B2109" s="32"/>
      <c r="J2109" s="56"/>
      <c r="P2109" s="31">
        <f t="shared" si="68"/>
        <v>0</v>
      </c>
      <c r="R2109" s="31">
        <f t="shared" si="69"/>
        <v>0</v>
      </c>
    </row>
    <row r="2110" spans="2:18" ht="30.75" customHeight="1" x14ac:dyDescent="0.3">
      <c r="B2110" s="32"/>
      <c r="P2110" s="31">
        <f t="shared" si="68"/>
        <v>0</v>
      </c>
      <c r="R2110" s="31">
        <f t="shared" si="69"/>
        <v>0</v>
      </c>
    </row>
    <row r="2111" spans="2:18" ht="30.75" customHeight="1" x14ac:dyDescent="0.3">
      <c r="B2111" s="32"/>
      <c r="P2111" s="31">
        <f t="shared" si="68"/>
        <v>0</v>
      </c>
      <c r="R2111" s="31">
        <f t="shared" si="69"/>
        <v>0</v>
      </c>
    </row>
    <row r="2112" spans="2:18" ht="30.75" customHeight="1" x14ac:dyDescent="0.3">
      <c r="B2112" s="32"/>
      <c r="P2112" s="31">
        <f t="shared" si="68"/>
        <v>0</v>
      </c>
      <c r="R2112" s="31">
        <f t="shared" si="69"/>
        <v>0</v>
      </c>
    </row>
    <row r="2113" spans="2:18" ht="30.75" customHeight="1" x14ac:dyDescent="0.3">
      <c r="B2113" s="32"/>
      <c r="P2113" s="31">
        <f t="shared" si="68"/>
        <v>0</v>
      </c>
      <c r="R2113" s="31">
        <f t="shared" si="69"/>
        <v>0</v>
      </c>
    </row>
    <row r="2114" spans="2:18" ht="30.75" customHeight="1" x14ac:dyDescent="0.3">
      <c r="B2114" s="32"/>
      <c r="P2114" s="31">
        <f t="shared" si="68"/>
        <v>0</v>
      </c>
      <c r="R2114" s="31">
        <f t="shared" si="69"/>
        <v>0</v>
      </c>
    </row>
    <row r="2115" spans="2:18" ht="30.75" customHeight="1" x14ac:dyDescent="0.3">
      <c r="B2115" s="32"/>
      <c r="P2115" s="31">
        <f t="shared" si="68"/>
        <v>0</v>
      </c>
      <c r="R2115" s="31">
        <f t="shared" si="69"/>
        <v>0</v>
      </c>
    </row>
    <row r="2116" spans="2:18" ht="30.75" customHeight="1" x14ac:dyDescent="0.3">
      <c r="B2116" s="32"/>
      <c r="P2116" s="31">
        <f t="shared" si="68"/>
        <v>0</v>
      </c>
      <c r="R2116" s="31">
        <f t="shared" si="69"/>
        <v>0</v>
      </c>
    </row>
    <row r="2117" spans="2:18" ht="30.75" customHeight="1" x14ac:dyDescent="0.3">
      <c r="B2117" s="32"/>
      <c r="P2117" s="31">
        <f t="shared" si="68"/>
        <v>0</v>
      </c>
      <c r="R2117" s="31">
        <f t="shared" si="69"/>
        <v>0</v>
      </c>
    </row>
    <row r="2118" spans="2:18" ht="30.75" customHeight="1" x14ac:dyDescent="0.3">
      <c r="B2118" s="32"/>
      <c r="P2118" s="31">
        <f t="shared" si="68"/>
        <v>0</v>
      </c>
      <c r="R2118" s="31">
        <f t="shared" si="69"/>
        <v>0</v>
      </c>
    </row>
    <row r="2119" spans="2:18" ht="30.75" customHeight="1" x14ac:dyDescent="0.3">
      <c r="B2119" s="32"/>
      <c r="P2119" s="31">
        <f t="shared" si="68"/>
        <v>0</v>
      </c>
      <c r="R2119" s="31">
        <f t="shared" si="69"/>
        <v>0</v>
      </c>
    </row>
    <row r="2120" spans="2:18" ht="30.75" customHeight="1" x14ac:dyDescent="0.3">
      <c r="B2120" s="32"/>
      <c r="P2120" s="31">
        <f t="shared" si="68"/>
        <v>0</v>
      </c>
      <c r="R2120" s="31">
        <f t="shared" si="69"/>
        <v>0</v>
      </c>
    </row>
    <row r="2121" spans="2:18" ht="30.75" customHeight="1" x14ac:dyDescent="0.3">
      <c r="B2121" s="32"/>
      <c r="P2121" s="31">
        <f t="shared" si="68"/>
        <v>0</v>
      </c>
      <c r="R2121" s="31">
        <f t="shared" si="69"/>
        <v>0</v>
      </c>
    </row>
    <row r="2122" spans="2:18" ht="30.75" customHeight="1" x14ac:dyDescent="0.3">
      <c r="B2122" s="32"/>
      <c r="P2122" s="31">
        <f t="shared" si="68"/>
        <v>0</v>
      </c>
      <c r="R2122" s="31">
        <f t="shared" si="69"/>
        <v>0</v>
      </c>
    </row>
    <row r="2123" spans="2:18" ht="30.75" customHeight="1" x14ac:dyDescent="0.3">
      <c r="B2123" s="32"/>
      <c r="P2123" s="31">
        <f t="shared" si="68"/>
        <v>0</v>
      </c>
      <c r="R2123" s="31">
        <f t="shared" si="69"/>
        <v>0</v>
      </c>
    </row>
    <row r="2124" spans="2:18" ht="30.75" customHeight="1" x14ac:dyDescent="0.3">
      <c r="B2124" s="32"/>
      <c r="P2124" s="31">
        <f t="shared" si="68"/>
        <v>0</v>
      </c>
      <c r="R2124" s="31">
        <f t="shared" si="69"/>
        <v>0</v>
      </c>
    </row>
    <row r="2125" spans="2:18" ht="30.75" customHeight="1" x14ac:dyDescent="0.3">
      <c r="B2125" s="32"/>
      <c r="P2125" s="31">
        <f t="shared" si="68"/>
        <v>0</v>
      </c>
      <c r="R2125" s="31">
        <f t="shared" si="69"/>
        <v>0</v>
      </c>
    </row>
    <row r="2126" spans="2:18" ht="30.75" customHeight="1" x14ac:dyDescent="0.3">
      <c r="B2126" s="32"/>
      <c r="P2126" s="31">
        <f t="shared" si="68"/>
        <v>0</v>
      </c>
      <c r="R2126" s="31">
        <f t="shared" si="69"/>
        <v>0</v>
      </c>
    </row>
    <row r="2127" spans="2:18" ht="30.75" customHeight="1" x14ac:dyDescent="0.3">
      <c r="B2127" s="32"/>
      <c r="P2127" s="31">
        <f t="shared" si="68"/>
        <v>0</v>
      </c>
      <c r="R2127" s="31">
        <f t="shared" si="69"/>
        <v>0</v>
      </c>
    </row>
    <row r="2128" spans="2:18" ht="30.75" customHeight="1" x14ac:dyDescent="0.3">
      <c r="B2128" s="32"/>
      <c r="P2128" s="31">
        <f t="shared" si="68"/>
        <v>0</v>
      </c>
      <c r="R2128" s="31">
        <f t="shared" si="69"/>
        <v>0</v>
      </c>
    </row>
    <row r="2129" spans="2:18" ht="30.75" customHeight="1" x14ac:dyDescent="0.3">
      <c r="B2129" s="32"/>
      <c r="P2129" s="31">
        <f t="shared" si="68"/>
        <v>0</v>
      </c>
      <c r="R2129" s="31">
        <f t="shared" si="69"/>
        <v>0</v>
      </c>
    </row>
    <row r="2130" spans="2:18" ht="30.75" customHeight="1" x14ac:dyDescent="0.3">
      <c r="B2130" s="32"/>
      <c r="P2130" s="31">
        <f t="shared" si="68"/>
        <v>0</v>
      </c>
      <c r="R2130" s="31">
        <f t="shared" si="69"/>
        <v>0</v>
      </c>
    </row>
    <row r="2131" spans="2:18" ht="30.75" customHeight="1" x14ac:dyDescent="0.3">
      <c r="B2131" s="32"/>
      <c r="P2131" s="31">
        <f t="shared" si="68"/>
        <v>0</v>
      </c>
      <c r="R2131" s="31">
        <f t="shared" si="69"/>
        <v>0</v>
      </c>
    </row>
    <row r="2132" spans="2:18" ht="30.75" customHeight="1" x14ac:dyDescent="0.3">
      <c r="B2132" s="32"/>
      <c r="P2132" s="31">
        <f t="shared" si="68"/>
        <v>0</v>
      </c>
      <c r="R2132" s="31">
        <f t="shared" si="69"/>
        <v>0</v>
      </c>
    </row>
    <row r="2133" spans="2:18" ht="30.75" customHeight="1" x14ac:dyDescent="0.3">
      <c r="B2133" s="32"/>
      <c r="P2133" s="31">
        <f t="shared" si="68"/>
        <v>0</v>
      </c>
      <c r="R2133" s="31">
        <f t="shared" si="69"/>
        <v>0</v>
      </c>
    </row>
    <row r="2134" spans="2:18" ht="30.75" customHeight="1" x14ac:dyDescent="0.3">
      <c r="B2134" s="32"/>
      <c r="P2134" s="31">
        <f t="shared" si="68"/>
        <v>0</v>
      </c>
      <c r="R2134" s="31">
        <f t="shared" si="69"/>
        <v>0</v>
      </c>
    </row>
    <row r="2135" spans="2:18" ht="30.75" customHeight="1" x14ac:dyDescent="0.3">
      <c r="B2135" s="32"/>
      <c r="P2135" s="31">
        <f t="shared" si="68"/>
        <v>0</v>
      </c>
      <c r="R2135" s="31">
        <f t="shared" si="69"/>
        <v>0</v>
      </c>
    </row>
    <row r="2136" spans="2:18" ht="30.75" customHeight="1" x14ac:dyDescent="0.3">
      <c r="B2136" s="32"/>
      <c r="P2136" s="31">
        <f t="shared" si="68"/>
        <v>0</v>
      </c>
      <c r="R2136" s="31">
        <f t="shared" si="69"/>
        <v>0</v>
      </c>
    </row>
    <row r="2137" spans="2:18" ht="30.75" customHeight="1" x14ac:dyDescent="0.3">
      <c r="B2137" s="32"/>
      <c r="P2137" s="31">
        <f t="shared" si="68"/>
        <v>0</v>
      </c>
      <c r="R2137" s="31">
        <f t="shared" si="69"/>
        <v>0</v>
      </c>
    </row>
    <row r="2138" spans="2:18" ht="30.75" customHeight="1" x14ac:dyDescent="0.3">
      <c r="B2138" s="32"/>
      <c r="P2138" s="31">
        <f t="shared" si="68"/>
        <v>0</v>
      </c>
      <c r="R2138" s="31">
        <f t="shared" si="69"/>
        <v>0</v>
      </c>
    </row>
    <row r="2139" spans="2:18" ht="30.75" customHeight="1" x14ac:dyDescent="0.3">
      <c r="B2139" s="32"/>
      <c r="P2139" s="31">
        <f t="shared" si="68"/>
        <v>0</v>
      </c>
      <c r="R2139" s="31">
        <f t="shared" si="69"/>
        <v>0</v>
      </c>
    </row>
    <row r="2140" spans="2:18" ht="30.75" customHeight="1" x14ac:dyDescent="0.3">
      <c r="B2140" s="32"/>
      <c r="P2140" s="31">
        <f t="shared" si="68"/>
        <v>0</v>
      </c>
      <c r="R2140" s="31">
        <f t="shared" si="69"/>
        <v>0</v>
      </c>
    </row>
    <row r="2141" spans="2:18" ht="30.75" customHeight="1" x14ac:dyDescent="0.3">
      <c r="B2141" s="32"/>
      <c r="P2141" s="31">
        <f t="shared" si="68"/>
        <v>0</v>
      </c>
      <c r="R2141" s="31">
        <f t="shared" si="69"/>
        <v>0</v>
      </c>
    </row>
    <row r="2142" spans="2:18" ht="30.75" customHeight="1" x14ac:dyDescent="0.3">
      <c r="B2142" s="32"/>
      <c r="P2142" s="31">
        <f t="shared" si="68"/>
        <v>0</v>
      </c>
      <c r="R2142" s="31">
        <f t="shared" si="69"/>
        <v>0</v>
      </c>
    </row>
    <row r="2143" spans="2:18" ht="30.75" customHeight="1" x14ac:dyDescent="0.3">
      <c r="B2143" s="32"/>
      <c r="P2143" s="31">
        <f t="shared" si="68"/>
        <v>0</v>
      </c>
      <c r="R2143" s="31">
        <f t="shared" si="69"/>
        <v>0</v>
      </c>
    </row>
    <row r="2144" spans="2:18" ht="30.75" customHeight="1" x14ac:dyDescent="0.3">
      <c r="B2144" s="32"/>
      <c r="P2144" s="31">
        <f t="shared" si="68"/>
        <v>0</v>
      </c>
      <c r="R2144" s="31">
        <f t="shared" si="69"/>
        <v>0</v>
      </c>
    </row>
    <row r="2145" spans="2:18" ht="30.75" customHeight="1" x14ac:dyDescent="0.3">
      <c r="B2145" s="32"/>
      <c r="P2145" s="31">
        <f t="shared" si="68"/>
        <v>0</v>
      </c>
      <c r="R2145" s="31">
        <f t="shared" si="69"/>
        <v>0</v>
      </c>
    </row>
    <row r="2146" spans="2:18" ht="30.75" customHeight="1" x14ac:dyDescent="0.3">
      <c r="B2146" s="32"/>
      <c r="P2146" s="31">
        <f t="shared" si="68"/>
        <v>0</v>
      </c>
      <c r="R2146" s="31">
        <f t="shared" si="69"/>
        <v>0</v>
      </c>
    </row>
    <row r="2147" spans="2:18" ht="30.75" customHeight="1" x14ac:dyDescent="0.3">
      <c r="B2147" s="32"/>
      <c r="P2147" s="31">
        <f t="shared" si="68"/>
        <v>0</v>
      </c>
      <c r="R2147" s="31">
        <f t="shared" si="69"/>
        <v>0</v>
      </c>
    </row>
    <row r="2148" spans="2:18" ht="30.75" customHeight="1" x14ac:dyDescent="0.3">
      <c r="B2148" s="32"/>
      <c r="P2148" s="31">
        <f t="shared" si="68"/>
        <v>0</v>
      </c>
      <c r="R2148" s="31">
        <f t="shared" si="69"/>
        <v>0</v>
      </c>
    </row>
    <row r="2149" spans="2:18" ht="30.75" customHeight="1" x14ac:dyDescent="0.3">
      <c r="B2149" s="32"/>
      <c r="G2149" s="31"/>
      <c r="P2149" s="31">
        <f t="shared" si="68"/>
        <v>0</v>
      </c>
      <c r="R2149" s="31">
        <f t="shared" si="69"/>
        <v>0</v>
      </c>
    </row>
    <row r="2150" spans="2:18" ht="30.75" customHeight="1" x14ac:dyDescent="0.3">
      <c r="B2150" s="32"/>
      <c r="P2150" s="31">
        <f t="shared" si="68"/>
        <v>0</v>
      </c>
      <c r="R2150" s="31">
        <f t="shared" si="69"/>
        <v>0</v>
      </c>
    </row>
    <row r="2151" spans="2:18" ht="30.75" customHeight="1" x14ac:dyDescent="0.3">
      <c r="B2151" s="32"/>
      <c r="P2151" s="31">
        <f t="shared" si="68"/>
        <v>0</v>
      </c>
      <c r="R2151" s="31">
        <f t="shared" si="69"/>
        <v>0</v>
      </c>
    </row>
    <row r="2152" spans="2:18" ht="30.75" customHeight="1" x14ac:dyDescent="0.3">
      <c r="B2152" s="32"/>
      <c r="P2152" s="31">
        <f t="shared" si="68"/>
        <v>0</v>
      </c>
      <c r="R2152" s="31">
        <f t="shared" si="69"/>
        <v>0</v>
      </c>
    </row>
    <row r="2153" spans="2:18" ht="30.75" customHeight="1" x14ac:dyDescent="0.3">
      <c r="B2153" s="32"/>
      <c r="P2153" s="31">
        <f t="shared" si="68"/>
        <v>0</v>
      </c>
      <c r="R2153" s="31">
        <f t="shared" si="69"/>
        <v>0</v>
      </c>
    </row>
    <row r="2154" spans="2:18" ht="30.75" customHeight="1" x14ac:dyDescent="0.3">
      <c r="B2154" s="32"/>
      <c r="P2154" s="31">
        <f t="shared" si="68"/>
        <v>0</v>
      </c>
      <c r="R2154" s="31">
        <f t="shared" si="69"/>
        <v>0</v>
      </c>
    </row>
    <row r="2155" spans="2:18" ht="30.75" customHeight="1" x14ac:dyDescent="0.3">
      <c r="B2155" s="32"/>
      <c r="P2155" s="31">
        <f t="shared" si="68"/>
        <v>0</v>
      </c>
      <c r="R2155" s="31">
        <f t="shared" si="69"/>
        <v>0</v>
      </c>
    </row>
    <row r="2156" spans="2:18" ht="30.75" customHeight="1" x14ac:dyDescent="0.3">
      <c r="B2156" s="32"/>
      <c r="P2156" s="31">
        <f t="shared" si="68"/>
        <v>0</v>
      </c>
      <c r="R2156" s="31">
        <f t="shared" si="69"/>
        <v>0</v>
      </c>
    </row>
    <row r="2157" spans="2:18" ht="30.75" customHeight="1" x14ac:dyDescent="0.3">
      <c r="B2157" s="32"/>
      <c r="P2157" s="31">
        <f t="shared" si="68"/>
        <v>0</v>
      </c>
      <c r="R2157" s="31">
        <f t="shared" si="69"/>
        <v>0</v>
      </c>
    </row>
    <row r="2158" spans="2:18" ht="30.75" customHeight="1" x14ac:dyDescent="0.3">
      <c r="B2158" s="32"/>
      <c r="P2158" s="31">
        <f t="shared" si="68"/>
        <v>0</v>
      </c>
      <c r="R2158" s="31">
        <f t="shared" si="69"/>
        <v>0</v>
      </c>
    </row>
    <row r="2159" spans="2:18" ht="30.75" customHeight="1" x14ac:dyDescent="0.3">
      <c r="B2159" s="32"/>
      <c r="P2159" s="31">
        <f t="shared" si="68"/>
        <v>0</v>
      </c>
      <c r="R2159" s="31">
        <f t="shared" si="69"/>
        <v>0</v>
      </c>
    </row>
    <row r="2160" spans="2:18" ht="30.75" customHeight="1" x14ac:dyDescent="0.3">
      <c r="B2160" s="32"/>
      <c r="P2160" s="31">
        <f t="shared" si="68"/>
        <v>0</v>
      </c>
      <c r="R2160" s="31">
        <f t="shared" si="69"/>
        <v>0</v>
      </c>
    </row>
    <row r="2161" spans="2:18" ht="30.75" customHeight="1" x14ac:dyDescent="0.3">
      <c r="B2161" s="32"/>
      <c r="P2161" s="31">
        <f t="shared" si="68"/>
        <v>0</v>
      </c>
      <c r="R2161" s="31">
        <f t="shared" si="69"/>
        <v>0</v>
      </c>
    </row>
    <row r="2162" spans="2:18" ht="30.75" customHeight="1" x14ac:dyDescent="0.3">
      <c r="B2162" s="32"/>
      <c r="P2162" s="31">
        <f t="shared" si="68"/>
        <v>0</v>
      </c>
      <c r="R2162" s="31">
        <f t="shared" si="69"/>
        <v>0</v>
      </c>
    </row>
    <row r="2163" spans="2:18" ht="30.75" customHeight="1" x14ac:dyDescent="0.3">
      <c r="B2163" s="32"/>
      <c r="P2163" s="31">
        <f t="shared" si="68"/>
        <v>0</v>
      </c>
      <c r="R2163" s="31">
        <f t="shared" si="69"/>
        <v>0</v>
      </c>
    </row>
    <row r="2164" spans="2:18" ht="30.75" customHeight="1" x14ac:dyDescent="0.3">
      <c r="B2164" s="32"/>
      <c r="P2164" s="31">
        <f t="shared" si="68"/>
        <v>0</v>
      </c>
      <c r="R2164" s="31">
        <f t="shared" si="69"/>
        <v>0</v>
      </c>
    </row>
    <row r="2165" spans="2:18" ht="30.75" customHeight="1" x14ac:dyDescent="0.3">
      <c r="B2165" s="32"/>
      <c r="P2165" s="31">
        <f t="shared" si="68"/>
        <v>0</v>
      </c>
      <c r="R2165" s="31">
        <f t="shared" si="69"/>
        <v>0</v>
      </c>
    </row>
    <row r="2166" spans="2:18" ht="30.75" customHeight="1" x14ac:dyDescent="0.3">
      <c r="B2166" s="32"/>
      <c r="P2166" s="31">
        <f t="shared" si="68"/>
        <v>0</v>
      </c>
      <c r="R2166" s="31">
        <f t="shared" si="69"/>
        <v>0</v>
      </c>
    </row>
    <row r="2167" spans="2:18" ht="30.75" customHeight="1" x14ac:dyDescent="0.3">
      <c r="B2167" s="32"/>
      <c r="P2167" s="31">
        <f t="shared" si="68"/>
        <v>0</v>
      </c>
      <c r="R2167" s="31">
        <f t="shared" si="69"/>
        <v>0</v>
      </c>
    </row>
    <row r="2168" spans="2:18" ht="30.75" customHeight="1" x14ac:dyDescent="0.3">
      <c r="B2168" s="32"/>
      <c r="P2168" s="31">
        <f t="shared" si="68"/>
        <v>0</v>
      </c>
      <c r="R2168" s="31">
        <f t="shared" si="69"/>
        <v>0</v>
      </c>
    </row>
    <row r="2169" spans="2:18" ht="30.75" customHeight="1" x14ac:dyDescent="0.3">
      <c r="B2169" s="32"/>
      <c r="P2169" s="31">
        <f t="shared" si="68"/>
        <v>0</v>
      </c>
      <c r="R2169" s="31">
        <f t="shared" si="69"/>
        <v>0</v>
      </c>
    </row>
    <row r="2170" spans="2:18" ht="30.75" customHeight="1" x14ac:dyDescent="0.3">
      <c r="B2170" s="32"/>
      <c r="P2170" s="31">
        <f t="shared" ref="P2170:P2233" si="70">K2170-L2170-M2170-N2170+O2170</f>
        <v>0</v>
      </c>
      <c r="R2170" s="31">
        <f t="shared" ref="R2170:R2233" si="71">R2169+K2170-L2170-M2170-N2170+O2170-Q2170</f>
        <v>0</v>
      </c>
    </row>
    <row r="2171" spans="2:18" ht="30.75" customHeight="1" x14ac:dyDescent="0.3">
      <c r="B2171" s="32"/>
      <c r="P2171" s="31">
        <f t="shared" si="70"/>
        <v>0</v>
      </c>
      <c r="R2171" s="31">
        <f t="shared" si="71"/>
        <v>0</v>
      </c>
    </row>
    <row r="2172" spans="2:18" ht="30.75" customHeight="1" x14ac:dyDescent="0.3">
      <c r="B2172" s="32"/>
      <c r="P2172" s="31">
        <f t="shared" si="70"/>
        <v>0</v>
      </c>
      <c r="R2172" s="31">
        <f t="shared" si="71"/>
        <v>0</v>
      </c>
    </row>
    <row r="2173" spans="2:18" ht="30.75" customHeight="1" x14ac:dyDescent="0.3">
      <c r="B2173" s="32"/>
      <c r="P2173" s="31">
        <f t="shared" si="70"/>
        <v>0</v>
      </c>
      <c r="R2173" s="31">
        <f t="shared" si="71"/>
        <v>0</v>
      </c>
    </row>
    <row r="2174" spans="2:18" ht="30.75" customHeight="1" x14ac:dyDescent="0.3">
      <c r="B2174" s="32"/>
      <c r="P2174" s="31">
        <f t="shared" si="70"/>
        <v>0</v>
      </c>
      <c r="R2174" s="31">
        <f t="shared" si="71"/>
        <v>0</v>
      </c>
    </row>
    <row r="2175" spans="2:18" ht="30.75" customHeight="1" x14ac:dyDescent="0.3">
      <c r="B2175" s="32"/>
      <c r="P2175" s="31">
        <f t="shared" si="70"/>
        <v>0</v>
      </c>
      <c r="R2175" s="31">
        <f t="shared" si="71"/>
        <v>0</v>
      </c>
    </row>
    <row r="2176" spans="2:18" ht="30.75" customHeight="1" x14ac:dyDescent="0.3">
      <c r="B2176" s="32"/>
      <c r="P2176" s="31">
        <f t="shared" si="70"/>
        <v>0</v>
      </c>
      <c r="R2176" s="31">
        <f t="shared" si="71"/>
        <v>0</v>
      </c>
    </row>
    <row r="2177" spans="2:18" ht="30.75" customHeight="1" x14ac:dyDescent="0.3">
      <c r="B2177" s="32"/>
      <c r="P2177" s="31">
        <f t="shared" si="70"/>
        <v>0</v>
      </c>
      <c r="R2177" s="31">
        <f t="shared" si="71"/>
        <v>0</v>
      </c>
    </row>
    <row r="2178" spans="2:18" ht="30.75" customHeight="1" x14ac:dyDescent="0.3">
      <c r="B2178" s="32"/>
      <c r="P2178" s="31">
        <f t="shared" si="70"/>
        <v>0</v>
      </c>
      <c r="R2178" s="31">
        <f t="shared" si="71"/>
        <v>0</v>
      </c>
    </row>
    <row r="2179" spans="2:18" ht="30.75" customHeight="1" x14ac:dyDescent="0.3">
      <c r="B2179" s="32"/>
      <c r="P2179" s="31">
        <f t="shared" si="70"/>
        <v>0</v>
      </c>
      <c r="R2179" s="31">
        <f t="shared" si="71"/>
        <v>0</v>
      </c>
    </row>
    <row r="2180" spans="2:18" ht="30.75" customHeight="1" x14ac:dyDescent="0.3">
      <c r="B2180" s="32"/>
      <c r="P2180" s="31">
        <f t="shared" si="70"/>
        <v>0</v>
      </c>
      <c r="R2180" s="31">
        <f t="shared" si="71"/>
        <v>0</v>
      </c>
    </row>
    <row r="2181" spans="2:18" ht="30.75" customHeight="1" x14ac:dyDescent="0.3">
      <c r="B2181" s="32"/>
      <c r="P2181" s="31">
        <f t="shared" si="70"/>
        <v>0</v>
      </c>
      <c r="R2181" s="31">
        <f t="shared" si="71"/>
        <v>0</v>
      </c>
    </row>
    <row r="2182" spans="2:18" ht="30.75" customHeight="1" x14ac:dyDescent="0.3">
      <c r="B2182" s="32"/>
      <c r="P2182" s="31">
        <f t="shared" si="70"/>
        <v>0</v>
      </c>
      <c r="R2182" s="31">
        <f t="shared" si="71"/>
        <v>0</v>
      </c>
    </row>
    <row r="2183" spans="2:18" ht="30.75" customHeight="1" x14ac:dyDescent="0.3">
      <c r="B2183" s="32"/>
      <c r="P2183" s="31">
        <f>K2183-L2183-M2183-N2183+O2183</f>
        <v>0</v>
      </c>
      <c r="R2183" s="31">
        <f>R2182+K2183-L2183-M2183-N2183+O2183-Q2183</f>
        <v>0</v>
      </c>
    </row>
    <row r="2184" spans="2:18" ht="30.75" customHeight="1" x14ac:dyDescent="0.3">
      <c r="B2184" s="32"/>
      <c r="P2184" s="31">
        <f t="shared" si="70"/>
        <v>0</v>
      </c>
      <c r="R2184" s="31">
        <f t="shared" si="71"/>
        <v>0</v>
      </c>
    </row>
    <row r="2185" spans="2:18" ht="30.75" customHeight="1" x14ac:dyDescent="0.3">
      <c r="B2185" s="32"/>
      <c r="P2185" s="31">
        <f t="shared" si="70"/>
        <v>0</v>
      </c>
      <c r="R2185" s="31">
        <f t="shared" si="71"/>
        <v>0</v>
      </c>
    </row>
    <row r="2186" spans="2:18" ht="30.75" customHeight="1" x14ac:dyDescent="0.3">
      <c r="B2186" s="32"/>
      <c r="P2186" s="31">
        <f t="shared" si="70"/>
        <v>0</v>
      </c>
      <c r="R2186" s="31">
        <f t="shared" si="71"/>
        <v>0</v>
      </c>
    </row>
    <row r="2187" spans="2:18" ht="30.75" customHeight="1" x14ac:dyDescent="0.3">
      <c r="B2187" s="32"/>
      <c r="P2187" s="31">
        <f t="shared" si="70"/>
        <v>0</v>
      </c>
      <c r="R2187" s="31">
        <f t="shared" si="71"/>
        <v>0</v>
      </c>
    </row>
    <row r="2188" spans="2:18" ht="30.75" customHeight="1" x14ac:dyDescent="0.3">
      <c r="B2188" s="32"/>
      <c r="P2188" s="31">
        <f t="shared" si="70"/>
        <v>0</v>
      </c>
      <c r="R2188" s="31">
        <f t="shared" si="71"/>
        <v>0</v>
      </c>
    </row>
    <row r="2189" spans="2:18" ht="30.75" customHeight="1" x14ac:dyDescent="0.3">
      <c r="B2189" s="32"/>
      <c r="P2189" s="31">
        <f t="shared" si="70"/>
        <v>0</v>
      </c>
      <c r="R2189" s="31">
        <f t="shared" si="71"/>
        <v>0</v>
      </c>
    </row>
    <row r="2190" spans="2:18" ht="30.75" customHeight="1" x14ac:dyDescent="0.3">
      <c r="B2190" s="32"/>
      <c r="P2190" s="31">
        <f t="shared" si="70"/>
        <v>0</v>
      </c>
      <c r="R2190" s="31">
        <f t="shared" si="71"/>
        <v>0</v>
      </c>
    </row>
    <row r="2191" spans="2:18" ht="30.75" customHeight="1" x14ac:dyDescent="0.3">
      <c r="B2191" s="32"/>
      <c r="P2191" s="31">
        <f t="shared" si="70"/>
        <v>0</v>
      </c>
      <c r="R2191" s="31">
        <f t="shared" si="71"/>
        <v>0</v>
      </c>
    </row>
    <row r="2192" spans="2:18" ht="30.75" customHeight="1" x14ac:dyDescent="0.3">
      <c r="B2192" s="32"/>
      <c r="P2192" s="31">
        <f t="shared" si="70"/>
        <v>0</v>
      </c>
      <c r="R2192" s="31">
        <f t="shared" si="71"/>
        <v>0</v>
      </c>
    </row>
    <row r="2193" spans="2:18" ht="30.75" customHeight="1" x14ac:dyDescent="0.3">
      <c r="B2193" s="32"/>
      <c r="P2193" s="31">
        <f t="shared" si="70"/>
        <v>0</v>
      </c>
      <c r="R2193" s="31">
        <f t="shared" si="71"/>
        <v>0</v>
      </c>
    </row>
    <row r="2194" spans="2:18" ht="30.75" customHeight="1" x14ac:dyDescent="0.3">
      <c r="B2194" s="32"/>
      <c r="P2194" s="31">
        <f t="shared" si="70"/>
        <v>0</v>
      </c>
      <c r="R2194" s="31">
        <f t="shared" si="71"/>
        <v>0</v>
      </c>
    </row>
    <row r="2195" spans="2:18" ht="30.75" customHeight="1" x14ac:dyDescent="0.3">
      <c r="B2195" s="32"/>
      <c r="P2195" s="31">
        <f t="shared" si="70"/>
        <v>0</v>
      </c>
      <c r="R2195" s="31">
        <f t="shared" si="71"/>
        <v>0</v>
      </c>
    </row>
    <row r="2196" spans="2:18" ht="30.75" customHeight="1" x14ac:dyDescent="0.3">
      <c r="B2196" s="32"/>
      <c r="P2196" s="31">
        <f t="shared" si="70"/>
        <v>0</v>
      </c>
      <c r="R2196" s="31">
        <f t="shared" si="71"/>
        <v>0</v>
      </c>
    </row>
    <row r="2197" spans="2:18" ht="30.75" customHeight="1" x14ac:dyDescent="0.3">
      <c r="B2197" s="32"/>
      <c r="P2197" s="31">
        <f t="shared" si="70"/>
        <v>0</v>
      </c>
      <c r="R2197" s="31">
        <f t="shared" si="71"/>
        <v>0</v>
      </c>
    </row>
    <row r="2198" spans="2:18" ht="30.75" customHeight="1" x14ac:dyDescent="0.3">
      <c r="B2198" s="32"/>
      <c r="P2198" s="31">
        <f t="shared" si="70"/>
        <v>0</v>
      </c>
      <c r="R2198" s="31">
        <f t="shared" si="71"/>
        <v>0</v>
      </c>
    </row>
    <row r="2199" spans="2:18" ht="30.75" customHeight="1" x14ac:dyDescent="0.3">
      <c r="B2199" s="32"/>
      <c r="P2199" s="31">
        <f t="shared" si="70"/>
        <v>0</v>
      </c>
      <c r="R2199" s="31">
        <f t="shared" si="71"/>
        <v>0</v>
      </c>
    </row>
    <row r="2200" spans="2:18" ht="30.75" customHeight="1" x14ac:dyDescent="0.3">
      <c r="B2200" s="32"/>
      <c r="P2200" s="31">
        <f t="shared" si="70"/>
        <v>0</v>
      </c>
      <c r="R2200" s="31">
        <f t="shared" si="71"/>
        <v>0</v>
      </c>
    </row>
    <row r="2201" spans="2:18" ht="30.75" customHeight="1" x14ac:dyDescent="0.3">
      <c r="B2201" s="32"/>
      <c r="P2201" s="31">
        <f t="shared" si="70"/>
        <v>0</v>
      </c>
      <c r="R2201" s="31">
        <f t="shared" si="71"/>
        <v>0</v>
      </c>
    </row>
    <row r="2202" spans="2:18" ht="30.75" customHeight="1" x14ac:dyDescent="0.3">
      <c r="B2202" s="32"/>
      <c r="P2202" s="31">
        <f t="shared" si="70"/>
        <v>0</v>
      </c>
      <c r="R2202" s="31">
        <f t="shared" si="71"/>
        <v>0</v>
      </c>
    </row>
    <row r="2203" spans="2:18" ht="30.75" customHeight="1" x14ac:dyDescent="0.3">
      <c r="B2203" s="32"/>
      <c r="P2203" s="31">
        <f t="shared" si="70"/>
        <v>0</v>
      </c>
      <c r="R2203" s="31">
        <f t="shared" si="71"/>
        <v>0</v>
      </c>
    </row>
    <row r="2204" spans="2:18" ht="30.75" customHeight="1" x14ac:dyDescent="0.3">
      <c r="B2204" s="32"/>
      <c r="P2204" s="31">
        <f t="shared" si="70"/>
        <v>0</v>
      </c>
      <c r="R2204" s="31">
        <f t="shared" si="71"/>
        <v>0</v>
      </c>
    </row>
    <row r="2205" spans="2:18" ht="30.75" customHeight="1" x14ac:dyDescent="0.3">
      <c r="B2205" s="32"/>
      <c r="P2205" s="31">
        <f t="shared" si="70"/>
        <v>0</v>
      </c>
      <c r="R2205" s="31">
        <f t="shared" si="71"/>
        <v>0</v>
      </c>
    </row>
    <row r="2206" spans="2:18" ht="30.75" customHeight="1" x14ac:dyDescent="0.3">
      <c r="B2206" s="32"/>
      <c r="P2206" s="31">
        <f t="shared" si="70"/>
        <v>0</v>
      </c>
      <c r="R2206" s="31">
        <f t="shared" si="71"/>
        <v>0</v>
      </c>
    </row>
    <row r="2207" spans="2:18" ht="30.75" customHeight="1" x14ac:dyDescent="0.3">
      <c r="B2207" s="32"/>
      <c r="P2207" s="31">
        <f t="shared" si="70"/>
        <v>0</v>
      </c>
      <c r="R2207" s="31">
        <f t="shared" si="71"/>
        <v>0</v>
      </c>
    </row>
    <row r="2208" spans="2:18" ht="30.75" customHeight="1" x14ac:dyDescent="0.3">
      <c r="B2208" s="32"/>
      <c r="P2208" s="31">
        <f t="shared" si="70"/>
        <v>0</v>
      </c>
      <c r="R2208" s="31">
        <f t="shared" si="71"/>
        <v>0</v>
      </c>
    </row>
    <row r="2209" spans="2:18" ht="30.75" customHeight="1" x14ac:dyDescent="0.3">
      <c r="B2209" s="32"/>
      <c r="P2209" s="31">
        <f t="shared" si="70"/>
        <v>0</v>
      </c>
      <c r="R2209" s="31">
        <f t="shared" si="71"/>
        <v>0</v>
      </c>
    </row>
    <row r="2210" spans="2:18" ht="30.75" customHeight="1" x14ac:dyDescent="0.3">
      <c r="B2210" s="32"/>
      <c r="P2210" s="31">
        <f t="shared" si="70"/>
        <v>0</v>
      </c>
      <c r="R2210" s="31">
        <f t="shared" si="71"/>
        <v>0</v>
      </c>
    </row>
    <row r="2211" spans="2:18" ht="30.75" customHeight="1" x14ac:dyDescent="0.3">
      <c r="B2211" s="32"/>
      <c r="P2211" s="31">
        <f t="shared" si="70"/>
        <v>0</v>
      </c>
      <c r="R2211" s="31">
        <f t="shared" si="71"/>
        <v>0</v>
      </c>
    </row>
    <row r="2212" spans="2:18" ht="30.75" customHeight="1" x14ac:dyDescent="0.3">
      <c r="B2212" s="32"/>
      <c r="P2212" s="31">
        <f t="shared" si="70"/>
        <v>0</v>
      </c>
      <c r="R2212" s="31">
        <f t="shared" si="71"/>
        <v>0</v>
      </c>
    </row>
    <row r="2213" spans="2:18" ht="30.75" customHeight="1" x14ac:dyDescent="0.3">
      <c r="B2213" s="32"/>
      <c r="P2213" s="31">
        <f t="shared" si="70"/>
        <v>0</v>
      </c>
      <c r="R2213" s="31">
        <f t="shared" si="71"/>
        <v>0</v>
      </c>
    </row>
    <row r="2214" spans="2:18" ht="30.75" customHeight="1" x14ac:dyDescent="0.3">
      <c r="B2214" s="32"/>
      <c r="P2214" s="31">
        <f t="shared" si="70"/>
        <v>0</v>
      </c>
      <c r="R2214" s="31">
        <f t="shared" si="71"/>
        <v>0</v>
      </c>
    </row>
    <row r="2215" spans="2:18" ht="30.75" customHeight="1" x14ac:dyDescent="0.3">
      <c r="B2215" s="32"/>
      <c r="P2215" s="31">
        <f t="shared" si="70"/>
        <v>0</v>
      </c>
      <c r="R2215" s="31">
        <f t="shared" si="71"/>
        <v>0</v>
      </c>
    </row>
    <row r="2216" spans="2:18" ht="30.75" customHeight="1" x14ac:dyDescent="0.3">
      <c r="B2216" s="32"/>
      <c r="P2216" s="31">
        <f t="shared" si="70"/>
        <v>0</v>
      </c>
      <c r="R2216" s="31">
        <f t="shared" si="71"/>
        <v>0</v>
      </c>
    </row>
    <row r="2217" spans="2:18" ht="30.75" customHeight="1" x14ac:dyDescent="0.3">
      <c r="B2217" s="32"/>
      <c r="P2217" s="31">
        <f t="shared" si="70"/>
        <v>0</v>
      </c>
      <c r="R2217" s="31">
        <f t="shared" si="71"/>
        <v>0</v>
      </c>
    </row>
    <row r="2218" spans="2:18" ht="30.75" customHeight="1" x14ac:dyDescent="0.3">
      <c r="B2218" s="32"/>
      <c r="P2218" s="31">
        <f t="shared" si="70"/>
        <v>0</v>
      </c>
      <c r="R2218" s="31">
        <f t="shared" si="71"/>
        <v>0</v>
      </c>
    </row>
    <row r="2219" spans="2:18" ht="30.75" customHeight="1" x14ac:dyDescent="0.3">
      <c r="B2219" s="32"/>
      <c r="P2219" s="31">
        <f t="shared" si="70"/>
        <v>0</v>
      </c>
      <c r="R2219" s="31">
        <f t="shared" si="71"/>
        <v>0</v>
      </c>
    </row>
    <row r="2220" spans="2:18" ht="30.75" customHeight="1" x14ac:dyDescent="0.3">
      <c r="B2220" s="32"/>
      <c r="P2220" s="31">
        <f t="shared" si="70"/>
        <v>0</v>
      </c>
      <c r="R2220" s="31">
        <f t="shared" si="71"/>
        <v>0</v>
      </c>
    </row>
    <row r="2221" spans="2:18" ht="30.75" customHeight="1" x14ac:dyDescent="0.3">
      <c r="B2221" s="32"/>
      <c r="P2221" s="31">
        <f t="shared" si="70"/>
        <v>0</v>
      </c>
      <c r="R2221" s="31">
        <f t="shared" si="71"/>
        <v>0</v>
      </c>
    </row>
    <row r="2222" spans="2:18" ht="30.75" customHeight="1" x14ac:dyDescent="0.3">
      <c r="B2222" s="32"/>
      <c r="P2222" s="31">
        <f t="shared" si="70"/>
        <v>0</v>
      </c>
      <c r="R2222" s="31">
        <f t="shared" si="71"/>
        <v>0</v>
      </c>
    </row>
    <row r="2223" spans="2:18" ht="30.75" customHeight="1" x14ac:dyDescent="0.3">
      <c r="B2223" s="32"/>
      <c r="P2223" s="31">
        <f t="shared" si="70"/>
        <v>0</v>
      </c>
      <c r="R2223" s="31">
        <f t="shared" si="71"/>
        <v>0</v>
      </c>
    </row>
    <row r="2224" spans="2:18" ht="30.75" customHeight="1" x14ac:dyDescent="0.3">
      <c r="B2224" s="32"/>
      <c r="P2224" s="31">
        <f t="shared" si="70"/>
        <v>0</v>
      </c>
      <c r="R2224" s="31">
        <f t="shared" si="71"/>
        <v>0</v>
      </c>
    </row>
    <row r="2225" spans="2:18" ht="30.75" customHeight="1" x14ac:dyDescent="0.3">
      <c r="B2225" s="32"/>
      <c r="P2225" s="31">
        <f t="shared" si="70"/>
        <v>0</v>
      </c>
      <c r="R2225" s="31">
        <f t="shared" si="71"/>
        <v>0</v>
      </c>
    </row>
    <row r="2226" spans="2:18" ht="30.75" customHeight="1" x14ac:dyDescent="0.3">
      <c r="B2226" s="32"/>
      <c r="P2226" s="31">
        <f t="shared" si="70"/>
        <v>0</v>
      </c>
      <c r="R2226" s="31">
        <f t="shared" si="71"/>
        <v>0</v>
      </c>
    </row>
    <row r="2227" spans="2:18" ht="30.75" customHeight="1" x14ac:dyDescent="0.3">
      <c r="B2227" s="32"/>
      <c r="P2227" s="31">
        <f t="shared" si="70"/>
        <v>0</v>
      </c>
      <c r="R2227" s="31">
        <f t="shared" si="71"/>
        <v>0</v>
      </c>
    </row>
    <row r="2228" spans="2:18" ht="30.75" customHeight="1" x14ac:dyDescent="0.3">
      <c r="B2228" s="32"/>
      <c r="P2228" s="31">
        <f t="shared" si="70"/>
        <v>0</v>
      </c>
      <c r="R2228" s="31">
        <f t="shared" si="71"/>
        <v>0</v>
      </c>
    </row>
    <row r="2229" spans="2:18" ht="30.75" customHeight="1" x14ac:dyDescent="0.3">
      <c r="B2229" s="32"/>
      <c r="P2229" s="31">
        <f t="shared" si="70"/>
        <v>0</v>
      </c>
      <c r="R2229" s="31">
        <f t="shared" si="71"/>
        <v>0</v>
      </c>
    </row>
    <row r="2230" spans="2:18" ht="30.75" customHeight="1" x14ac:dyDescent="0.3">
      <c r="B2230" s="32"/>
      <c r="P2230" s="31">
        <f t="shared" si="70"/>
        <v>0</v>
      </c>
      <c r="R2230" s="31">
        <f t="shared" si="71"/>
        <v>0</v>
      </c>
    </row>
    <row r="2231" spans="2:18" ht="30.75" customHeight="1" x14ac:dyDescent="0.3">
      <c r="B2231" s="32"/>
      <c r="P2231" s="31">
        <f t="shared" si="70"/>
        <v>0</v>
      </c>
      <c r="R2231" s="31">
        <f t="shared" si="71"/>
        <v>0</v>
      </c>
    </row>
    <row r="2232" spans="2:18" ht="30.75" customHeight="1" x14ac:dyDescent="0.3">
      <c r="B2232" s="32"/>
      <c r="P2232" s="31">
        <f t="shared" si="70"/>
        <v>0</v>
      </c>
      <c r="R2232" s="31">
        <f t="shared" si="71"/>
        <v>0</v>
      </c>
    </row>
    <row r="2233" spans="2:18" ht="30.75" customHeight="1" x14ac:dyDescent="0.3">
      <c r="B2233" s="32"/>
      <c r="P2233" s="31">
        <f t="shared" si="70"/>
        <v>0</v>
      </c>
      <c r="R2233" s="31">
        <f t="shared" si="71"/>
        <v>0</v>
      </c>
    </row>
    <row r="2234" spans="2:18" ht="30.75" customHeight="1" x14ac:dyDescent="0.3">
      <c r="B2234" s="32"/>
      <c r="P2234" s="31">
        <f t="shared" ref="P2234:P2297" si="72">K2234-L2234-M2234-N2234+O2234</f>
        <v>0</v>
      </c>
      <c r="R2234" s="31">
        <f t="shared" ref="R2234:R2297" si="73">R2233+K2234-L2234-M2234-N2234+O2234-Q2234</f>
        <v>0</v>
      </c>
    </row>
    <row r="2235" spans="2:18" ht="30.75" customHeight="1" x14ac:dyDescent="0.3">
      <c r="B2235" s="32"/>
      <c r="P2235" s="31">
        <f t="shared" si="72"/>
        <v>0</v>
      </c>
      <c r="R2235" s="31">
        <f t="shared" si="73"/>
        <v>0</v>
      </c>
    </row>
    <row r="2236" spans="2:18" ht="30.75" customHeight="1" x14ac:dyDescent="0.3">
      <c r="B2236" s="32"/>
      <c r="P2236" s="31">
        <f t="shared" si="72"/>
        <v>0</v>
      </c>
      <c r="R2236" s="31">
        <f t="shared" si="73"/>
        <v>0</v>
      </c>
    </row>
    <row r="2237" spans="2:18" ht="30.75" customHeight="1" x14ac:dyDescent="0.3">
      <c r="B2237" s="32"/>
      <c r="P2237" s="31">
        <f t="shared" si="72"/>
        <v>0</v>
      </c>
      <c r="R2237" s="31">
        <f t="shared" si="73"/>
        <v>0</v>
      </c>
    </row>
    <row r="2238" spans="2:18" ht="30.75" customHeight="1" x14ac:dyDescent="0.3">
      <c r="B2238" s="32"/>
      <c r="P2238" s="31">
        <f t="shared" si="72"/>
        <v>0</v>
      </c>
      <c r="R2238" s="31">
        <f t="shared" si="73"/>
        <v>0</v>
      </c>
    </row>
    <row r="2239" spans="2:18" ht="30.75" customHeight="1" x14ac:dyDescent="0.3">
      <c r="B2239" s="32"/>
      <c r="P2239" s="31">
        <f t="shared" si="72"/>
        <v>0</v>
      </c>
      <c r="R2239" s="31">
        <f t="shared" si="73"/>
        <v>0</v>
      </c>
    </row>
    <row r="2240" spans="2:18" ht="30.75" customHeight="1" x14ac:dyDescent="0.3">
      <c r="B2240" s="32"/>
      <c r="P2240" s="31">
        <f t="shared" si="72"/>
        <v>0</v>
      </c>
      <c r="R2240" s="31">
        <f t="shared" si="73"/>
        <v>0</v>
      </c>
    </row>
    <row r="2241" spans="2:18" ht="30.75" customHeight="1" x14ac:dyDescent="0.3">
      <c r="B2241" s="32"/>
      <c r="P2241" s="31">
        <f t="shared" si="72"/>
        <v>0</v>
      </c>
      <c r="R2241" s="31">
        <f t="shared" si="73"/>
        <v>0</v>
      </c>
    </row>
    <row r="2242" spans="2:18" ht="30.75" customHeight="1" x14ac:dyDescent="0.3">
      <c r="B2242" s="32"/>
      <c r="P2242" s="31">
        <f t="shared" si="72"/>
        <v>0</v>
      </c>
      <c r="R2242" s="31">
        <f t="shared" si="73"/>
        <v>0</v>
      </c>
    </row>
    <row r="2243" spans="2:18" ht="30.75" customHeight="1" x14ac:dyDescent="0.3">
      <c r="B2243" s="32"/>
      <c r="P2243" s="31">
        <f t="shared" si="72"/>
        <v>0</v>
      </c>
      <c r="R2243" s="31">
        <f t="shared" si="73"/>
        <v>0</v>
      </c>
    </row>
    <row r="2244" spans="2:18" ht="30.75" customHeight="1" x14ac:dyDescent="0.3">
      <c r="B2244" s="32"/>
      <c r="P2244" s="31">
        <f t="shared" si="72"/>
        <v>0</v>
      </c>
      <c r="R2244" s="31">
        <f t="shared" si="73"/>
        <v>0</v>
      </c>
    </row>
    <row r="2245" spans="2:18" ht="30.75" customHeight="1" x14ac:dyDescent="0.3">
      <c r="B2245" s="32"/>
      <c r="P2245" s="31">
        <f t="shared" si="72"/>
        <v>0</v>
      </c>
      <c r="R2245" s="31">
        <f t="shared" si="73"/>
        <v>0</v>
      </c>
    </row>
    <row r="2246" spans="2:18" ht="30.75" customHeight="1" x14ac:dyDescent="0.3">
      <c r="B2246" s="32"/>
      <c r="P2246" s="31">
        <f t="shared" si="72"/>
        <v>0</v>
      </c>
      <c r="R2246" s="31">
        <f t="shared" si="73"/>
        <v>0</v>
      </c>
    </row>
    <row r="2247" spans="2:18" ht="30.75" customHeight="1" x14ac:dyDescent="0.3">
      <c r="B2247" s="32"/>
      <c r="P2247" s="31">
        <f t="shared" si="72"/>
        <v>0</v>
      </c>
      <c r="R2247" s="31">
        <f t="shared" si="73"/>
        <v>0</v>
      </c>
    </row>
    <row r="2248" spans="2:18" ht="30.75" customHeight="1" x14ac:dyDescent="0.3">
      <c r="B2248" s="32"/>
      <c r="P2248" s="31">
        <f t="shared" si="72"/>
        <v>0</v>
      </c>
      <c r="R2248" s="31">
        <f t="shared" si="73"/>
        <v>0</v>
      </c>
    </row>
    <row r="2249" spans="2:18" ht="30.75" customHeight="1" x14ac:dyDescent="0.3">
      <c r="B2249" s="32"/>
      <c r="P2249" s="31">
        <f t="shared" si="72"/>
        <v>0</v>
      </c>
      <c r="R2249" s="31">
        <f t="shared" si="73"/>
        <v>0</v>
      </c>
    </row>
    <row r="2250" spans="2:18" ht="30.75" customHeight="1" x14ac:dyDescent="0.3">
      <c r="B2250" s="32"/>
      <c r="P2250" s="31">
        <f t="shared" si="72"/>
        <v>0</v>
      </c>
      <c r="R2250" s="31">
        <f t="shared" si="73"/>
        <v>0</v>
      </c>
    </row>
    <row r="2251" spans="2:18" ht="30.75" customHeight="1" x14ac:dyDescent="0.3">
      <c r="B2251" s="32"/>
      <c r="P2251" s="31">
        <f t="shared" si="72"/>
        <v>0</v>
      </c>
      <c r="R2251" s="31">
        <f t="shared" si="73"/>
        <v>0</v>
      </c>
    </row>
    <row r="2252" spans="2:18" ht="30.75" customHeight="1" x14ac:dyDescent="0.3">
      <c r="B2252" s="32"/>
      <c r="P2252" s="31">
        <f t="shared" si="72"/>
        <v>0</v>
      </c>
      <c r="R2252" s="31">
        <f t="shared" si="73"/>
        <v>0</v>
      </c>
    </row>
    <row r="2253" spans="2:18" ht="30.75" customHeight="1" x14ac:dyDescent="0.3">
      <c r="B2253" s="32"/>
      <c r="P2253" s="31">
        <f t="shared" si="72"/>
        <v>0</v>
      </c>
      <c r="R2253" s="31">
        <f t="shared" si="73"/>
        <v>0</v>
      </c>
    </row>
    <row r="2254" spans="2:18" ht="30.75" customHeight="1" x14ac:dyDescent="0.3">
      <c r="B2254" s="32"/>
      <c r="P2254" s="31">
        <f t="shared" si="72"/>
        <v>0</v>
      </c>
      <c r="R2254" s="31">
        <f t="shared" si="73"/>
        <v>0</v>
      </c>
    </row>
    <row r="2255" spans="2:18" ht="30.75" customHeight="1" x14ac:dyDescent="0.3">
      <c r="B2255" s="32"/>
      <c r="P2255" s="31">
        <f t="shared" si="72"/>
        <v>0</v>
      </c>
      <c r="R2255" s="31">
        <f t="shared" si="73"/>
        <v>0</v>
      </c>
    </row>
    <row r="2256" spans="2:18" ht="30.75" customHeight="1" x14ac:dyDescent="0.3">
      <c r="B2256" s="32"/>
      <c r="P2256" s="31">
        <f t="shared" si="72"/>
        <v>0</v>
      </c>
      <c r="R2256" s="31">
        <f t="shared" si="73"/>
        <v>0</v>
      </c>
    </row>
    <row r="2257" spans="2:18" ht="30.75" customHeight="1" x14ac:dyDescent="0.3">
      <c r="B2257" s="32"/>
      <c r="P2257" s="31">
        <f t="shared" si="72"/>
        <v>0</v>
      </c>
      <c r="R2257" s="31">
        <f t="shared" si="73"/>
        <v>0</v>
      </c>
    </row>
    <row r="2258" spans="2:18" ht="30.75" customHeight="1" x14ac:dyDescent="0.3">
      <c r="B2258" s="32"/>
      <c r="P2258" s="31">
        <f t="shared" si="72"/>
        <v>0</v>
      </c>
      <c r="R2258" s="31">
        <f t="shared" si="73"/>
        <v>0</v>
      </c>
    </row>
    <row r="2259" spans="2:18" ht="30.75" customHeight="1" x14ac:dyDescent="0.3">
      <c r="B2259" s="32"/>
      <c r="P2259" s="31">
        <f t="shared" si="72"/>
        <v>0</v>
      </c>
      <c r="R2259" s="31">
        <f t="shared" si="73"/>
        <v>0</v>
      </c>
    </row>
    <row r="2260" spans="2:18" ht="30.75" customHeight="1" x14ac:dyDescent="0.3">
      <c r="B2260" s="32"/>
      <c r="P2260" s="31">
        <f t="shared" si="72"/>
        <v>0</v>
      </c>
      <c r="R2260" s="31">
        <f t="shared" si="73"/>
        <v>0</v>
      </c>
    </row>
    <row r="2261" spans="2:18" ht="30.75" customHeight="1" x14ac:dyDescent="0.3">
      <c r="B2261" s="32"/>
      <c r="P2261" s="31">
        <f t="shared" si="72"/>
        <v>0</v>
      </c>
      <c r="R2261" s="31">
        <f t="shared" si="73"/>
        <v>0</v>
      </c>
    </row>
    <row r="2262" spans="2:18" ht="30.75" customHeight="1" x14ac:dyDescent="0.3">
      <c r="B2262" s="32"/>
      <c r="P2262" s="31">
        <f t="shared" si="72"/>
        <v>0</v>
      </c>
      <c r="R2262" s="31">
        <f t="shared" si="73"/>
        <v>0</v>
      </c>
    </row>
    <row r="2263" spans="2:18" ht="30.75" customHeight="1" x14ac:dyDescent="0.3">
      <c r="B2263" s="32"/>
      <c r="P2263" s="31">
        <f t="shared" si="72"/>
        <v>0</v>
      </c>
      <c r="R2263" s="31">
        <f t="shared" si="73"/>
        <v>0</v>
      </c>
    </row>
    <row r="2264" spans="2:18" ht="30.75" customHeight="1" x14ac:dyDescent="0.3">
      <c r="B2264" s="32"/>
      <c r="P2264" s="31">
        <f t="shared" si="72"/>
        <v>0</v>
      </c>
      <c r="R2264" s="31">
        <f t="shared" si="73"/>
        <v>0</v>
      </c>
    </row>
    <row r="2265" spans="2:18" ht="30.75" customHeight="1" x14ac:dyDescent="0.3">
      <c r="B2265" s="32"/>
      <c r="P2265" s="31">
        <f t="shared" si="72"/>
        <v>0</v>
      </c>
      <c r="R2265" s="31">
        <f t="shared" si="73"/>
        <v>0</v>
      </c>
    </row>
    <row r="2266" spans="2:18" ht="30.75" customHeight="1" x14ac:dyDescent="0.3">
      <c r="B2266" s="32"/>
      <c r="P2266" s="31">
        <f t="shared" si="72"/>
        <v>0</v>
      </c>
      <c r="R2266" s="31">
        <f t="shared" si="73"/>
        <v>0</v>
      </c>
    </row>
    <row r="2267" spans="2:18" ht="30.75" customHeight="1" x14ac:dyDescent="0.3">
      <c r="B2267" s="32"/>
      <c r="P2267" s="31">
        <f t="shared" si="72"/>
        <v>0</v>
      </c>
      <c r="R2267" s="31">
        <f t="shared" si="73"/>
        <v>0</v>
      </c>
    </row>
    <row r="2268" spans="2:18" ht="30.75" customHeight="1" x14ac:dyDescent="0.3">
      <c r="B2268" s="32"/>
      <c r="P2268" s="31">
        <f t="shared" si="72"/>
        <v>0</v>
      </c>
      <c r="R2268" s="31">
        <f t="shared" si="73"/>
        <v>0</v>
      </c>
    </row>
    <row r="2269" spans="2:18" ht="30.75" customHeight="1" x14ac:dyDescent="0.3">
      <c r="B2269" s="32"/>
      <c r="P2269" s="31">
        <f t="shared" si="72"/>
        <v>0</v>
      </c>
      <c r="R2269" s="31">
        <f t="shared" si="73"/>
        <v>0</v>
      </c>
    </row>
    <row r="2270" spans="2:18" ht="30.75" customHeight="1" x14ac:dyDescent="0.3">
      <c r="B2270" s="32"/>
      <c r="P2270" s="31">
        <f t="shared" si="72"/>
        <v>0</v>
      </c>
      <c r="R2270" s="31">
        <f t="shared" si="73"/>
        <v>0</v>
      </c>
    </row>
    <row r="2271" spans="2:18" ht="30.75" customHeight="1" x14ac:dyDescent="0.3">
      <c r="B2271" s="32"/>
      <c r="P2271" s="31">
        <f t="shared" si="72"/>
        <v>0</v>
      </c>
      <c r="R2271" s="31">
        <f t="shared" si="73"/>
        <v>0</v>
      </c>
    </row>
    <row r="2272" spans="2:18" ht="30.75" customHeight="1" x14ac:dyDescent="0.3">
      <c r="B2272" s="32"/>
      <c r="P2272" s="31">
        <f t="shared" si="72"/>
        <v>0</v>
      </c>
      <c r="R2272" s="31">
        <f t="shared" si="73"/>
        <v>0</v>
      </c>
    </row>
    <row r="2273" spans="2:18" ht="30.75" customHeight="1" x14ac:dyDescent="0.3">
      <c r="B2273" s="32"/>
      <c r="P2273" s="31">
        <f t="shared" si="72"/>
        <v>0</v>
      </c>
      <c r="R2273" s="31">
        <f t="shared" si="73"/>
        <v>0</v>
      </c>
    </row>
    <row r="2274" spans="2:18" ht="30.75" customHeight="1" x14ac:dyDescent="0.3">
      <c r="B2274" s="32"/>
      <c r="P2274" s="31">
        <f t="shared" si="72"/>
        <v>0</v>
      </c>
      <c r="R2274" s="31">
        <f t="shared" si="73"/>
        <v>0</v>
      </c>
    </row>
    <row r="2275" spans="2:18" ht="30.75" customHeight="1" x14ac:dyDescent="0.3">
      <c r="B2275" s="32"/>
      <c r="P2275" s="31">
        <f t="shared" si="72"/>
        <v>0</v>
      </c>
      <c r="R2275" s="31">
        <f t="shared" si="73"/>
        <v>0</v>
      </c>
    </row>
    <row r="2276" spans="2:18" ht="30.75" customHeight="1" x14ac:dyDescent="0.3">
      <c r="B2276" s="32"/>
      <c r="P2276" s="31">
        <f t="shared" si="72"/>
        <v>0</v>
      </c>
      <c r="R2276" s="31">
        <f t="shared" si="73"/>
        <v>0</v>
      </c>
    </row>
    <row r="2277" spans="2:18" ht="30.75" customHeight="1" x14ac:dyDescent="0.3">
      <c r="B2277" s="32"/>
      <c r="P2277" s="31">
        <f t="shared" si="72"/>
        <v>0</v>
      </c>
      <c r="R2277" s="31">
        <f t="shared" si="73"/>
        <v>0</v>
      </c>
    </row>
    <row r="2278" spans="2:18" ht="30.75" customHeight="1" x14ac:dyDescent="0.3">
      <c r="B2278" s="32"/>
      <c r="P2278" s="31">
        <f t="shared" si="72"/>
        <v>0</v>
      </c>
      <c r="R2278" s="31">
        <f t="shared" si="73"/>
        <v>0</v>
      </c>
    </row>
    <row r="2279" spans="2:18" ht="30.75" customHeight="1" x14ac:dyDescent="0.3">
      <c r="B2279" s="32"/>
      <c r="P2279" s="31">
        <f t="shared" si="72"/>
        <v>0</v>
      </c>
      <c r="R2279" s="31">
        <f t="shared" si="73"/>
        <v>0</v>
      </c>
    </row>
    <row r="2280" spans="2:18" ht="30.75" customHeight="1" x14ac:dyDescent="0.3">
      <c r="B2280" s="32"/>
      <c r="P2280" s="31">
        <f t="shared" si="72"/>
        <v>0</v>
      </c>
      <c r="R2280" s="31">
        <f t="shared" si="73"/>
        <v>0</v>
      </c>
    </row>
    <row r="2281" spans="2:18" ht="30.75" customHeight="1" x14ac:dyDescent="0.3">
      <c r="B2281" s="32"/>
      <c r="P2281" s="31">
        <f t="shared" si="72"/>
        <v>0</v>
      </c>
      <c r="R2281" s="31">
        <f t="shared" si="73"/>
        <v>0</v>
      </c>
    </row>
    <row r="2282" spans="2:18" ht="30.75" customHeight="1" x14ac:dyDescent="0.3">
      <c r="B2282" s="32"/>
      <c r="P2282" s="31">
        <f t="shared" si="72"/>
        <v>0</v>
      </c>
      <c r="R2282" s="31">
        <f t="shared" si="73"/>
        <v>0</v>
      </c>
    </row>
    <row r="2283" spans="2:18" ht="30.75" customHeight="1" x14ac:dyDescent="0.3">
      <c r="B2283" s="32"/>
      <c r="P2283" s="31">
        <f t="shared" si="72"/>
        <v>0</v>
      </c>
      <c r="R2283" s="31">
        <f t="shared" si="73"/>
        <v>0</v>
      </c>
    </row>
    <row r="2284" spans="2:18" ht="30.75" customHeight="1" x14ac:dyDescent="0.3">
      <c r="B2284" s="32"/>
      <c r="P2284" s="31">
        <f t="shared" si="72"/>
        <v>0</v>
      </c>
      <c r="R2284" s="31">
        <f t="shared" si="73"/>
        <v>0</v>
      </c>
    </row>
    <row r="2285" spans="2:18" ht="30.75" customHeight="1" x14ac:dyDescent="0.3">
      <c r="B2285" s="32"/>
      <c r="P2285" s="31">
        <f t="shared" si="72"/>
        <v>0</v>
      </c>
      <c r="R2285" s="31">
        <f t="shared" si="73"/>
        <v>0</v>
      </c>
    </row>
    <row r="2286" spans="2:18" ht="30.75" customHeight="1" x14ac:dyDescent="0.3">
      <c r="B2286" s="32"/>
      <c r="P2286" s="31">
        <f t="shared" si="72"/>
        <v>0</v>
      </c>
      <c r="R2286" s="31">
        <f t="shared" si="73"/>
        <v>0</v>
      </c>
    </row>
    <row r="2287" spans="2:18" ht="30.75" customHeight="1" x14ac:dyDescent="0.3">
      <c r="B2287" s="32"/>
      <c r="P2287" s="31">
        <f t="shared" si="72"/>
        <v>0</v>
      </c>
      <c r="R2287" s="31">
        <f t="shared" si="73"/>
        <v>0</v>
      </c>
    </row>
    <row r="2288" spans="2:18" ht="30.75" customHeight="1" x14ac:dyDescent="0.3">
      <c r="B2288" s="32"/>
      <c r="P2288" s="31">
        <f t="shared" si="72"/>
        <v>0</v>
      </c>
      <c r="R2288" s="31">
        <f t="shared" si="73"/>
        <v>0</v>
      </c>
    </row>
    <row r="2289" spans="2:18" ht="30.75" customHeight="1" x14ac:dyDescent="0.3">
      <c r="B2289" s="32"/>
      <c r="P2289" s="31">
        <f t="shared" si="72"/>
        <v>0</v>
      </c>
      <c r="R2289" s="31">
        <f t="shared" si="73"/>
        <v>0</v>
      </c>
    </row>
    <row r="2290" spans="2:18" ht="30.75" customHeight="1" x14ac:dyDescent="0.3">
      <c r="B2290" s="32"/>
      <c r="P2290" s="31">
        <f t="shared" si="72"/>
        <v>0</v>
      </c>
      <c r="R2290" s="31">
        <f t="shared" si="73"/>
        <v>0</v>
      </c>
    </row>
    <row r="2291" spans="2:18" ht="30.75" customHeight="1" x14ac:dyDescent="0.3">
      <c r="B2291" s="32"/>
      <c r="P2291" s="31">
        <f t="shared" si="72"/>
        <v>0</v>
      </c>
      <c r="R2291" s="31">
        <f t="shared" si="73"/>
        <v>0</v>
      </c>
    </row>
    <row r="2292" spans="2:18" ht="30.75" customHeight="1" x14ac:dyDescent="0.3">
      <c r="B2292" s="32"/>
      <c r="P2292" s="31">
        <f t="shared" si="72"/>
        <v>0</v>
      </c>
      <c r="R2292" s="31">
        <f t="shared" si="73"/>
        <v>0</v>
      </c>
    </row>
    <row r="2293" spans="2:18" ht="30.75" customHeight="1" x14ac:dyDescent="0.3">
      <c r="B2293" s="32"/>
      <c r="P2293" s="31">
        <f t="shared" si="72"/>
        <v>0</v>
      </c>
      <c r="R2293" s="31">
        <f t="shared" si="73"/>
        <v>0</v>
      </c>
    </row>
    <row r="2294" spans="2:18" ht="30.75" customHeight="1" x14ac:dyDescent="0.3">
      <c r="B2294" s="32"/>
      <c r="P2294" s="31">
        <f t="shared" si="72"/>
        <v>0</v>
      </c>
      <c r="R2294" s="31">
        <f t="shared" si="73"/>
        <v>0</v>
      </c>
    </row>
    <row r="2295" spans="2:18" ht="30.75" customHeight="1" x14ac:dyDescent="0.3">
      <c r="B2295" s="32"/>
      <c r="P2295" s="31">
        <f t="shared" si="72"/>
        <v>0</v>
      </c>
      <c r="R2295" s="31">
        <f t="shared" si="73"/>
        <v>0</v>
      </c>
    </row>
    <row r="2296" spans="2:18" ht="30.75" customHeight="1" x14ac:dyDescent="0.3">
      <c r="B2296" s="32"/>
      <c r="P2296" s="31">
        <f t="shared" si="72"/>
        <v>0</v>
      </c>
      <c r="R2296" s="31">
        <f t="shared" si="73"/>
        <v>0</v>
      </c>
    </row>
    <row r="2297" spans="2:18" ht="30.75" customHeight="1" x14ac:dyDescent="0.3">
      <c r="B2297" s="32"/>
      <c r="P2297" s="31">
        <f t="shared" si="72"/>
        <v>0</v>
      </c>
      <c r="R2297" s="31">
        <f t="shared" si="73"/>
        <v>0</v>
      </c>
    </row>
    <row r="2298" spans="2:18" ht="30.75" customHeight="1" x14ac:dyDescent="0.3">
      <c r="B2298" s="32"/>
      <c r="P2298" s="31">
        <f t="shared" ref="P2298:P2361" si="74">K2298-L2298-M2298-N2298+O2298</f>
        <v>0</v>
      </c>
      <c r="R2298" s="31">
        <f t="shared" ref="R2298:R2361" si="75">R2297+K2298-L2298-M2298-N2298+O2298-Q2298</f>
        <v>0</v>
      </c>
    </row>
    <row r="2299" spans="2:18" ht="30.75" customHeight="1" x14ac:dyDescent="0.3">
      <c r="B2299" s="32"/>
      <c r="P2299" s="31">
        <f t="shared" si="74"/>
        <v>0</v>
      </c>
      <c r="R2299" s="31">
        <f t="shared" si="75"/>
        <v>0</v>
      </c>
    </row>
    <row r="2300" spans="2:18" ht="30.75" customHeight="1" x14ac:dyDescent="0.3">
      <c r="B2300" s="32"/>
      <c r="P2300" s="31">
        <f t="shared" si="74"/>
        <v>0</v>
      </c>
      <c r="R2300" s="31">
        <f t="shared" si="75"/>
        <v>0</v>
      </c>
    </row>
    <row r="2301" spans="2:18" ht="30.75" customHeight="1" x14ac:dyDescent="0.3">
      <c r="B2301" s="32"/>
      <c r="P2301" s="31">
        <f t="shared" si="74"/>
        <v>0</v>
      </c>
      <c r="R2301" s="31">
        <f t="shared" si="75"/>
        <v>0</v>
      </c>
    </row>
    <row r="2302" spans="2:18" ht="30.75" customHeight="1" x14ac:dyDescent="0.3">
      <c r="B2302" s="32"/>
      <c r="P2302" s="31">
        <f t="shared" si="74"/>
        <v>0</v>
      </c>
      <c r="R2302" s="31">
        <f t="shared" si="75"/>
        <v>0</v>
      </c>
    </row>
    <row r="2303" spans="2:18" ht="30.75" customHeight="1" x14ac:dyDescent="0.3">
      <c r="B2303" s="32"/>
      <c r="P2303" s="31">
        <f t="shared" si="74"/>
        <v>0</v>
      </c>
      <c r="R2303" s="31">
        <f t="shared" si="75"/>
        <v>0</v>
      </c>
    </row>
    <row r="2304" spans="2:18" ht="30.75" customHeight="1" x14ac:dyDescent="0.3">
      <c r="B2304" s="32"/>
      <c r="P2304" s="31">
        <f t="shared" si="74"/>
        <v>0</v>
      </c>
      <c r="R2304" s="31">
        <f t="shared" si="75"/>
        <v>0</v>
      </c>
    </row>
    <row r="2305" spans="2:18" ht="30.75" customHeight="1" x14ac:dyDescent="0.3">
      <c r="B2305" s="32"/>
      <c r="P2305" s="31">
        <f t="shared" si="74"/>
        <v>0</v>
      </c>
      <c r="R2305" s="31">
        <f t="shared" si="75"/>
        <v>0</v>
      </c>
    </row>
    <row r="2306" spans="2:18" ht="30.75" customHeight="1" x14ac:dyDescent="0.3">
      <c r="B2306" s="32"/>
      <c r="P2306" s="31">
        <f t="shared" si="74"/>
        <v>0</v>
      </c>
      <c r="R2306" s="31">
        <f t="shared" si="75"/>
        <v>0</v>
      </c>
    </row>
    <row r="2307" spans="2:18" ht="30.75" customHeight="1" x14ac:dyDescent="0.3">
      <c r="B2307" s="32"/>
      <c r="P2307" s="31">
        <f t="shared" si="74"/>
        <v>0</v>
      </c>
      <c r="R2307" s="31">
        <f t="shared" si="75"/>
        <v>0</v>
      </c>
    </row>
    <row r="2308" spans="2:18" ht="30.75" customHeight="1" x14ac:dyDescent="0.3">
      <c r="B2308" s="32"/>
      <c r="P2308" s="31">
        <f t="shared" si="74"/>
        <v>0</v>
      </c>
      <c r="R2308" s="31">
        <f t="shared" si="75"/>
        <v>0</v>
      </c>
    </row>
    <row r="2309" spans="2:18" ht="30.75" customHeight="1" x14ac:dyDescent="0.3">
      <c r="B2309" s="32"/>
      <c r="P2309" s="31">
        <f t="shared" si="74"/>
        <v>0</v>
      </c>
      <c r="R2309" s="31">
        <f t="shared" si="75"/>
        <v>0</v>
      </c>
    </row>
    <row r="2310" spans="2:18" ht="30.75" customHeight="1" x14ac:dyDescent="0.3">
      <c r="B2310" s="32"/>
      <c r="P2310" s="31">
        <f t="shared" si="74"/>
        <v>0</v>
      </c>
      <c r="R2310" s="31">
        <f t="shared" si="75"/>
        <v>0</v>
      </c>
    </row>
    <row r="2311" spans="2:18" ht="30.75" customHeight="1" x14ac:dyDescent="0.3">
      <c r="B2311" s="32"/>
      <c r="P2311" s="31">
        <f t="shared" si="74"/>
        <v>0</v>
      </c>
      <c r="R2311" s="31">
        <f t="shared" si="75"/>
        <v>0</v>
      </c>
    </row>
    <row r="2312" spans="2:18" ht="30.75" customHeight="1" x14ac:dyDescent="0.3">
      <c r="B2312" s="32"/>
      <c r="P2312" s="31">
        <f t="shared" si="74"/>
        <v>0</v>
      </c>
      <c r="R2312" s="31">
        <f t="shared" si="75"/>
        <v>0</v>
      </c>
    </row>
    <row r="2313" spans="2:18" ht="30.75" customHeight="1" x14ac:dyDescent="0.3">
      <c r="B2313" s="32"/>
      <c r="P2313" s="31">
        <f t="shared" si="74"/>
        <v>0</v>
      </c>
      <c r="R2313" s="31">
        <f t="shared" si="75"/>
        <v>0</v>
      </c>
    </row>
    <row r="2314" spans="2:18" ht="30.75" customHeight="1" x14ac:dyDescent="0.3">
      <c r="B2314" s="32"/>
      <c r="P2314" s="31">
        <f t="shared" si="74"/>
        <v>0</v>
      </c>
      <c r="R2314" s="31">
        <f t="shared" si="75"/>
        <v>0</v>
      </c>
    </row>
    <row r="2315" spans="2:18" ht="30.75" customHeight="1" x14ac:dyDescent="0.3">
      <c r="B2315" s="32"/>
      <c r="P2315" s="31">
        <f t="shared" si="74"/>
        <v>0</v>
      </c>
      <c r="R2315" s="31">
        <f t="shared" si="75"/>
        <v>0</v>
      </c>
    </row>
    <row r="2316" spans="2:18" ht="30.75" customHeight="1" x14ac:dyDescent="0.3">
      <c r="B2316" s="32"/>
      <c r="P2316" s="31">
        <f t="shared" si="74"/>
        <v>0</v>
      </c>
      <c r="R2316" s="31">
        <f t="shared" si="75"/>
        <v>0</v>
      </c>
    </row>
    <row r="2317" spans="2:18" ht="30.75" customHeight="1" x14ac:dyDescent="0.3">
      <c r="B2317" s="32"/>
      <c r="P2317" s="31">
        <f t="shared" si="74"/>
        <v>0</v>
      </c>
      <c r="R2317" s="31">
        <f t="shared" si="75"/>
        <v>0</v>
      </c>
    </row>
    <row r="2318" spans="2:18" ht="30.75" customHeight="1" x14ac:dyDescent="0.3">
      <c r="B2318" s="32"/>
      <c r="P2318" s="31">
        <f t="shared" si="74"/>
        <v>0</v>
      </c>
      <c r="R2318" s="31">
        <f t="shared" si="75"/>
        <v>0</v>
      </c>
    </row>
    <row r="2319" spans="2:18" ht="30.75" customHeight="1" x14ac:dyDescent="0.3">
      <c r="B2319" s="32"/>
      <c r="P2319" s="31">
        <f t="shared" si="74"/>
        <v>0</v>
      </c>
      <c r="R2319" s="31">
        <f t="shared" si="75"/>
        <v>0</v>
      </c>
    </row>
    <row r="2320" spans="2:18" ht="30.75" customHeight="1" x14ac:dyDescent="0.3">
      <c r="B2320" s="32"/>
      <c r="P2320" s="31">
        <f t="shared" si="74"/>
        <v>0</v>
      </c>
      <c r="R2320" s="31">
        <f t="shared" si="75"/>
        <v>0</v>
      </c>
    </row>
    <row r="2321" spans="2:18" ht="30.75" customHeight="1" x14ac:dyDescent="0.3">
      <c r="B2321" s="32"/>
      <c r="P2321" s="31">
        <f t="shared" si="74"/>
        <v>0</v>
      </c>
      <c r="R2321" s="31">
        <f t="shared" si="75"/>
        <v>0</v>
      </c>
    </row>
    <row r="2322" spans="2:18" ht="30.75" customHeight="1" x14ac:dyDescent="0.3">
      <c r="B2322" s="32"/>
      <c r="P2322" s="31">
        <f t="shared" si="74"/>
        <v>0</v>
      </c>
      <c r="R2322" s="31">
        <f t="shared" si="75"/>
        <v>0</v>
      </c>
    </row>
    <row r="2323" spans="2:18" ht="30.75" customHeight="1" x14ac:dyDescent="0.3">
      <c r="B2323" s="32"/>
      <c r="P2323" s="31">
        <f t="shared" si="74"/>
        <v>0</v>
      </c>
      <c r="R2323" s="31">
        <f t="shared" si="75"/>
        <v>0</v>
      </c>
    </row>
    <row r="2324" spans="2:18" ht="30.75" customHeight="1" x14ac:dyDescent="0.3">
      <c r="B2324" s="32"/>
      <c r="P2324" s="31">
        <f t="shared" si="74"/>
        <v>0</v>
      </c>
      <c r="R2324" s="31">
        <f t="shared" si="75"/>
        <v>0</v>
      </c>
    </row>
    <row r="2325" spans="2:18" ht="30.75" customHeight="1" x14ac:dyDescent="0.3">
      <c r="B2325" s="32"/>
      <c r="P2325" s="31">
        <f t="shared" si="74"/>
        <v>0</v>
      </c>
      <c r="R2325" s="31">
        <f t="shared" si="75"/>
        <v>0</v>
      </c>
    </row>
    <row r="2326" spans="2:18" ht="30.75" customHeight="1" x14ac:dyDescent="0.3">
      <c r="B2326" s="32"/>
      <c r="P2326" s="31">
        <f t="shared" si="74"/>
        <v>0</v>
      </c>
      <c r="R2326" s="31">
        <f t="shared" si="75"/>
        <v>0</v>
      </c>
    </row>
    <row r="2327" spans="2:18" ht="30.75" customHeight="1" x14ac:dyDescent="0.3">
      <c r="B2327" s="32"/>
      <c r="P2327" s="31">
        <f t="shared" si="74"/>
        <v>0</v>
      </c>
      <c r="R2327" s="31">
        <f t="shared" si="75"/>
        <v>0</v>
      </c>
    </row>
    <row r="2328" spans="2:18" ht="30.75" customHeight="1" x14ac:dyDescent="0.3">
      <c r="B2328" s="32"/>
      <c r="P2328" s="31">
        <f t="shared" si="74"/>
        <v>0</v>
      </c>
      <c r="R2328" s="31">
        <f t="shared" si="75"/>
        <v>0</v>
      </c>
    </row>
    <row r="2329" spans="2:18" ht="30.75" customHeight="1" x14ac:dyDescent="0.3">
      <c r="B2329" s="32"/>
      <c r="P2329" s="31">
        <f t="shared" si="74"/>
        <v>0</v>
      </c>
      <c r="R2329" s="31">
        <f t="shared" si="75"/>
        <v>0</v>
      </c>
    </row>
    <row r="2330" spans="2:18" ht="30.75" customHeight="1" x14ac:dyDescent="0.3">
      <c r="B2330" s="32"/>
      <c r="P2330" s="31">
        <f t="shared" si="74"/>
        <v>0</v>
      </c>
      <c r="R2330" s="31">
        <f t="shared" si="75"/>
        <v>0</v>
      </c>
    </row>
    <row r="2331" spans="2:18" ht="30.75" customHeight="1" x14ac:dyDescent="0.3">
      <c r="B2331" s="32"/>
      <c r="P2331" s="31">
        <f t="shared" si="74"/>
        <v>0</v>
      </c>
      <c r="R2331" s="31">
        <f t="shared" si="75"/>
        <v>0</v>
      </c>
    </row>
    <row r="2332" spans="2:18" ht="30.75" customHeight="1" x14ac:dyDescent="0.3">
      <c r="B2332" s="32"/>
      <c r="P2332" s="31">
        <f t="shared" si="74"/>
        <v>0</v>
      </c>
      <c r="R2332" s="31">
        <f t="shared" si="75"/>
        <v>0</v>
      </c>
    </row>
    <row r="2333" spans="2:18" ht="30.75" customHeight="1" x14ac:dyDescent="0.3">
      <c r="B2333" s="32"/>
      <c r="P2333" s="31">
        <f t="shared" si="74"/>
        <v>0</v>
      </c>
      <c r="R2333" s="31">
        <f t="shared" si="75"/>
        <v>0</v>
      </c>
    </row>
    <row r="2334" spans="2:18" ht="30.75" customHeight="1" x14ac:dyDescent="0.3">
      <c r="B2334" s="32"/>
      <c r="P2334" s="31">
        <f t="shared" si="74"/>
        <v>0</v>
      </c>
      <c r="R2334" s="31">
        <f t="shared" si="75"/>
        <v>0</v>
      </c>
    </row>
    <row r="2335" spans="2:18" ht="30.75" customHeight="1" x14ac:dyDescent="0.3">
      <c r="B2335" s="32"/>
      <c r="P2335" s="31">
        <f t="shared" si="74"/>
        <v>0</v>
      </c>
      <c r="R2335" s="31">
        <f t="shared" si="75"/>
        <v>0</v>
      </c>
    </row>
    <row r="2336" spans="2:18" ht="30.75" customHeight="1" x14ac:dyDescent="0.3">
      <c r="B2336" s="32"/>
      <c r="P2336" s="31">
        <f t="shared" si="74"/>
        <v>0</v>
      </c>
      <c r="R2336" s="31">
        <f t="shared" si="75"/>
        <v>0</v>
      </c>
    </row>
    <row r="2337" spans="2:18" ht="30.75" customHeight="1" x14ac:dyDescent="0.3">
      <c r="B2337" s="32"/>
      <c r="P2337" s="31">
        <f t="shared" si="74"/>
        <v>0</v>
      </c>
      <c r="R2337" s="31">
        <f t="shared" si="75"/>
        <v>0</v>
      </c>
    </row>
    <row r="2338" spans="2:18" ht="30.75" customHeight="1" x14ac:dyDescent="0.3">
      <c r="B2338" s="32"/>
      <c r="P2338" s="31">
        <f t="shared" si="74"/>
        <v>0</v>
      </c>
      <c r="R2338" s="31">
        <f t="shared" si="75"/>
        <v>0</v>
      </c>
    </row>
    <row r="2339" spans="2:18" ht="30.75" customHeight="1" x14ac:dyDescent="0.3">
      <c r="B2339" s="32"/>
      <c r="P2339" s="31">
        <f t="shared" si="74"/>
        <v>0</v>
      </c>
      <c r="R2339" s="31">
        <f t="shared" si="75"/>
        <v>0</v>
      </c>
    </row>
    <row r="2340" spans="2:18" ht="30.75" customHeight="1" x14ac:dyDescent="0.3">
      <c r="B2340" s="32"/>
      <c r="P2340" s="31">
        <f t="shared" si="74"/>
        <v>0</v>
      </c>
      <c r="R2340" s="31">
        <f t="shared" si="75"/>
        <v>0</v>
      </c>
    </row>
    <row r="2341" spans="2:18" ht="30.75" customHeight="1" x14ac:dyDescent="0.3">
      <c r="B2341" s="32"/>
      <c r="P2341" s="31">
        <f t="shared" si="74"/>
        <v>0</v>
      </c>
      <c r="R2341" s="31">
        <f t="shared" si="75"/>
        <v>0</v>
      </c>
    </row>
    <row r="2342" spans="2:18" ht="30.75" customHeight="1" x14ac:dyDescent="0.3">
      <c r="B2342" s="32"/>
      <c r="P2342" s="31">
        <f t="shared" si="74"/>
        <v>0</v>
      </c>
      <c r="R2342" s="31">
        <f t="shared" si="75"/>
        <v>0</v>
      </c>
    </row>
    <row r="2343" spans="2:18" ht="30.75" customHeight="1" x14ac:dyDescent="0.3">
      <c r="B2343" s="32"/>
      <c r="P2343" s="31">
        <f t="shared" si="74"/>
        <v>0</v>
      </c>
      <c r="R2343" s="31">
        <f t="shared" si="75"/>
        <v>0</v>
      </c>
    </row>
    <row r="2344" spans="2:18" ht="30.75" customHeight="1" x14ac:dyDescent="0.3">
      <c r="B2344" s="32"/>
      <c r="P2344" s="31">
        <f t="shared" si="74"/>
        <v>0</v>
      </c>
      <c r="R2344" s="31">
        <f t="shared" si="75"/>
        <v>0</v>
      </c>
    </row>
    <row r="2345" spans="2:18" ht="30.75" customHeight="1" x14ac:dyDescent="0.3">
      <c r="B2345" s="32"/>
      <c r="P2345" s="31">
        <f t="shared" si="74"/>
        <v>0</v>
      </c>
      <c r="R2345" s="31">
        <f t="shared" si="75"/>
        <v>0</v>
      </c>
    </row>
    <row r="2346" spans="2:18" ht="30.75" customHeight="1" x14ac:dyDescent="0.3">
      <c r="B2346" s="32"/>
      <c r="P2346" s="31">
        <f t="shared" si="74"/>
        <v>0</v>
      </c>
      <c r="R2346" s="31">
        <f t="shared" si="75"/>
        <v>0</v>
      </c>
    </row>
    <row r="2347" spans="2:18" ht="30.75" customHeight="1" x14ac:dyDescent="0.3">
      <c r="B2347" s="32"/>
      <c r="P2347" s="31">
        <f t="shared" si="74"/>
        <v>0</v>
      </c>
      <c r="R2347" s="31">
        <f t="shared" si="75"/>
        <v>0</v>
      </c>
    </row>
    <row r="2348" spans="2:18" ht="30.75" customHeight="1" x14ac:dyDescent="0.3">
      <c r="B2348" s="32"/>
      <c r="P2348" s="31">
        <f t="shared" si="74"/>
        <v>0</v>
      </c>
      <c r="R2348" s="31">
        <f t="shared" si="75"/>
        <v>0</v>
      </c>
    </row>
    <row r="2349" spans="2:18" ht="30.75" customHeight="1" x14ac:dyDescent="0.3">
      <c r="B2349" s="32"/>
      <c r="P2349" s="31">
        <f t="shared" si="74"/>
        <v>0</v>
      </c>
      <c r="R2349" s="31">
        <f t="shared" si="75"/>
        <v>0</v>
      </c>
    </row>
    <row r="2350" spans="2:18" ht="30.75" customHeight="1" x14ac:dyDescent="0.3">
      <c r="B2350" s="32"/>
      <c r="P2350" s="31">
        <f t="shared" si="74"/>
        <v>0</v>
      </c>
      <c r="R2350" s="31">
        <f t="shared" si="75"/>
        <v>0</v>
      </c>
    </row>
    <row r="2351" spans="2:18" ht="30.75" customHeight="1" x14ac:dyDescent="0.3">
      <c r="B2351" s="32"/>
      <c r="P2351" s="31">
        <f t="shared" si="74"/>
        <v>0</v>
      </c>
      <c r="R2351" s="31">
        <f t="shared" si="75"/>
        <v>0</v>
      </c>
    </row>
    <row r="2352" spans="2:18" ht="30.75" customHeight="1" x14ac:dyDescent="0.3">
      <c r="B2352" s="32"/>
      <c r="P2352" s="31">
        <f t="shared" si="74"/>
        <v>0</v>
      </c>
      <c r="R2352" s="31">
        <f t="shared" si="75"/>
        <v>0</v>
      </c>
    </row>
    <row r="2353" spans="2:18" ht="30.75" customHeight="1" x14ac:dyDescent="0.3">
      <c r="B2353" s="32"/>
      <c r="P2353" s="31">
        <f t="shared" si="74"/>
        <v>0</v>
      </c>
      <c r="R2353" s="31">
        <f t="shared" si="75"/>
        <v>0</v>
      </c>
    </row>
    <row r="2354" spans="2:18" ht="30.75" customHeight="1" x14ac:dyDescent="0.3">
      <c r="B2354" s="32"/>
      <c r="P2354" s="31">
        <f t="shared" si="74"/>
        <v>0</v>
      </c>
      <c r="R2354" s="31">
        <f t="shared" si="75"/>
        <v>0</v>
      </c>
    </row>
    <row r="2355" spans="2:18" ht="30.75" customHeight="1" x14ac:dyDescent="0.3">
      <c r="B2355" s="32"/>
      <c r="P2355" s="31">
        <f t="shared" si="74"/>
        <v>0</v>
      </c>
      <c r="R2355" s="31">
        <f t="shared" si="75"/>
        <v>0</v>
      </c>
    </row>
    <row r="2356" spans="2:18" ht="30.75" customHeight="1" x14ac:dyDescent="0.3">
      <c r="B2356" s="32"/>
      <c r="P2356" s="31">
        <f t="shared" si="74"/>
        <v>0</v>
      </c>
      <c r="R2356" s="31">
        <f t="shared" si="75"/>
        <v>0</v>
      </c>
    </row>
    <row r="2357" spans="2:18" ht="30.75" customHeight="1" x14ac:dyDescent="0.3">
      <c r="B2357" s="32"/>
      <c r="P2357" s="31">
        <f t="shared" si="74"/>
        <v>0</v>
      </c>
      <c r="R2357" s="31">
        <f t="shared" si="75"/>
        <v>0</v>
      </c>
    </row>
    <row r="2358" spans="2:18" ht="30.75" customHeight="1" x14ac:dyDescent="0.3">
      <c r="B2358" s="32"/>
      <c r="P2358" s="31">
        <f t="shared" si="74"/>
        <v>0</v>
      </c>
      <c r="R2358" s="31">
        <f t="shared" si="75"/>
        <v>0</v>
      </c>
    </row>
    <row r="2359" spans="2:18" ht="30.75" customHeight="1" x14ac:dyDescent="0.3">
      <c r="B2359" s="32"/>
      <c r="P2359" s="31">
        <f t="shared" si="74"/>
        <v>0</v>
      </c>
      <c r="R2359" s="31">
        <f t="shared" si="75"/>
        <v>0</v>
      </c>
    </row>
    <row r="2360" spans="2:18" ht="30.75" customHeight="1" x14ac:dyDescent="0.3">
      <c r="B2360" s="32"/>
      <c r="P2360" s="31">
        <f t="shared" si="74"/>
        <v>0</v>
      </c>
      <c r="R2360" s="31">
        <f t="shared" si="75"/>
        <v>0</v>
      </c>
    </row>
    <row r="2361" spans="2:18" ht="30.75" customHeight="1" x14ac:dyDescent="0.3">
      <c r="B2361" s="32"/>
      <c r="P2361" s="31">
        <f t="shared" si="74"/>
        <v>0</v>
      </c>
      <c r="R2361" s="31">
        <f t="shared" si="75"/>
        <v>0</v>
      </c>
    </row>
    <row r="2362" spans="2:18" ht="30.75" customHeight="1" x14ac:dyDescent="0.3">
      <c r="B2362" s="32"/>
      <c r="P2362" s="31">
        <f t="shared" ref="P2362:P2425" si="76">K2362-L2362-M2362-N2362+O2362</f>
        <v>0</v>
      </c>
      <c r="R2362" s="31">
        <f t="shared" ref="R2362:R2425" si="77">R2361+K2362-L2362-M2362-N2362+O2362-Q2362</f>
        <v>0</v>
      </c>
    </row>
    <row r="2363" spans="2:18" ht="30.75" customHeight="1" x14ac:dyDescent="0.3">
      <c r="B2363" s="32"/>
      <c r="P2363" s="31">
        <f t="shared" si="76"/>
        <v>0</v>
      </c>
      <c r="R2363" s="31">
        <f t="shared" si="77"/>
        <v>0</v>
      </c>
    </row>
    <row r="2364" spans="2:18" ht="30.75" customHeight="1" x14ac:dyDescent="0.3">
      <c r="B2364" s="32"/>
      <c r="P2364" s="31">
        <f t="shared" si="76"/>
        <v>0</v>
      </c>
      <c r="R2364" s="31">
        <f t="shared" si="77"/>
        <v>0</v>
      </c>
    </row>
    <row r="2365" spans="2:18" ht="30.75" customHeight="1" x14ac:dyDescent="0.3">
      <c r="B2365" s="32"/>
      <c r="P2365" s="31">
        <f t="shared" si="76"/>
        <v>0</v>
      </c>
      <c r="R2365" s="31">
        <f t="shared" si="77"/>
        <v>0</v>
      </c>
    </row>
    <row r="2366" spans="2:18" ht="30.75" customHeight="1" x14ac:dyDescent="0.3">
      <c r="B2366" s="32"/>
      <c r="P2366" s="31">
        <f t="shared" si="76"/>
        <v>0</v>
      </c>
      <c r="R2366" s="31">
        <f t="shared" si="77"/>
        <v>0</v>
      </c>
    </row>
    <row r="2367" spans="2:18" ht="30.75" customHeight="1" x14ac:dyDescent="0.3">
      <c r="B2367" s="32"/>
      <c r="P2367" s="31">
        <f t="shared" si="76"/>
        <v>0</v>
      </c>
      <c r="R2367" s="31">
        <f t="shared" si="77"/>
        <v>0</v>
      </c>
    </row>
    <row r="2368" spans="2:18" ht="30.75" customHeight="1" x14ac:dyDescent="0.3">
      <c r="B2368" s="32"/>
      <c r="P2368" s="31">
        <f t="shared" si="76"/>
        <v>0</v>
      </c>
      <c r="R2368" s="31">
        <f t="shared" si="77"/>
        <v>0</v>
      </c>
    </row>
    <row r="2369" spans="2:18" ht="30.75" customHeight="1" x14ac:dyDescent="0.3">
      <c r="B2369" s="32"/>
      <c r="P2369" s="31">
        <f t="shared" si="76"/>
        <v>0</v>
      </c>
      <c r="R2369" s="31">
        <f t="shared" si="77"/>
        <v>0</v>
      </c>
    </row>
    <row r="2370" spans="2:18" ht="30.75" customHeight="1" x14ac:dyDescent="0.3">
      <c r="B2370" s="32"/>
      <c r="P2370" s="31">
        <f t="shared" si="76"/>
        <v>0</v>
      </c>
      <c r="R2370" s="31">
        <f t="shared" si="77"/>
        <v>0</v>
      </c>
    </row>
    <row r="2371" spans="2:18" ht="30.75" customHeight="1" x14ac:dyDescent="0.3">
      <c r="B2371" s="32"/>
      <c r="P2371" s="31">
        <f t="shared" si="76"/>
        <v>0</v>
      </c>
      <c r="R2371" s="31">
        <f t="shared" si="77"/>
        <v>0</v>
      </c>
    </row>
    <row r="2372" spans="2:18" ht="30.75" customHeight="1" x14ac:dyDescent="0.3">
      <c r="B2372" s="32"/>
      <c r="P2372" s="31">
        <f t="shared" si="76"/>
        <v>0</v>
      </c>
      <c r="R2372" s="31">
        <f t="shared" si="77"/>
        <v>0</v>
      </c>
    </row>
    <row r="2373" spans="2:18" ht="30.75" customHeight="1" x14ac:dyDescent="0.3">
      <c r="B2373" s="32"/>
      <c r="P2373" s="31">
        <f t="shared" si="76"/>
        <v>0</v>
      </c>
      <c r="R2373" s="31">
        <f t="shared" si="77"/>
        <v>0</v>
      </c>
    </row>
    <row r="2374" spans="2:18" ht="30.75" customHeight="1" x14ac:dyDescent="0.3">
      <c r="B2374" s="32"/>
      <c r="P2374" s="31">
        <f t="shared" si="76"/>
        <v>0</v>
      </c>
      <c r="R2374" s="31">
        <f t="shared" si="77"/>
        <v>0</v>
      </c>
    </row>
    <row r="2375" spans="2:18" ht="30.75" customHeight="1" x14ac:dyDescent="0.3">
      <c r="B2375" s="32"/>
      <c r="P2375" s="31">
        <f t="shared" si="76"/>
        <v>0</v>
      </c>
      <c r="R2375" s="31">
        <f t="shared" si="77"/>
        <v>0</v>
      </c>
    </row>
    <row r="2376" spans="2:18" ht="30.75" customHeight="1" x14ac:dyDescent="0.3">
      <c r="B2376" s="32"/>
      <c r="P2376" s="31">
        <f t="shared" si="76"/>
        <v>0</v>
      </c>
      <c r="R2376" s="31">
        <f t="shared" si="77"/>
        <v>0</v>
      </c>
    </row>
    <row r="2377" spans="2:18" ht="30.75" customHeight="1" x14ac:dyDescent="0.3">
      <c r="B2377" s="32"/>
      <c r="P2377" s="31">
        <f t="shared" si="76"/>
        <v>0</v>
      </c>
      <c r="R2377" s="31">
        <f t="shared" si="77"/>
        <v>0</v>
      </c>
    </row>
    <row r="2378" spans="2:18" ht="30.75" customHeight="1" x14ac:dyDescent="0.3">
      <c r="B2378" s="32"/>
      <c r="P2378" s="31">
        <f t="shared" si="76"/>
        <v>0</v>
      </c>
      <c r="R2378" s="31">
        <f t="shared" si="77"/>
        <v>0</v>
      </c>
    </row>
    <row r="2379" spans="2:18" ht="30.75" customHeight="1" x14ac:dyDescent="0.3">
      <c r="B2379" s="32"/>
      <c r="P2379" s="31">
        <f t="shared" si="76"/>
        <v>0</v>
      </c>
      <c r="R2379" s="31">
        <f t="shared" si="77"/>
        <v>0</v>
      </c>
    </row>
    <row r="2380" spans="2:18" ht="30.75" customHeight="1" x14ac:dyDescent="0.3">
      <c r="B2380" s="32"/>
      <c r="P2380" s="31">
        <f t="shared" si="76"/>
        <v>0</v>
      </c>
      <c r="R2380" s="31">
        <f t="shared" si="77"/>
        <v>0</v>
      </c>
    </row>
    <row r="2381" spans="2:18" ht="30.75" customHeight="1" x14ac:dyDescent="0.3">
      <c r="B2381" s="32"/>
      <c r="P2381" s="31">
        <f t="shared" si="76"/>
        <v>0</v>
      </c>
      <c r="R2381" s="31">
        <f t="shared" si="77"/>
        <v>0</v>
      </c>
    </row>
    <row r="2382" spans="2:18" ht="30.75" customHeight="1" x14ac:dyDescent="0.3">
      <c r="B2382" s="32"/>
      <c r="P2382" s="31">
        <f t="shared" si="76"/>
        <v>0</v>
      </c>
      <c r="R2382" s="31">
        <f t="shared" si="77"/>
        <v>0</v>
      </c>
    </row>
    <row r="2383" spans="2:18" ht="30.75" customHeight="1" x14ac:dyDescent="0.3">
      <c r="B2383" s="32"/>
      <c r="P2383" s="31">
        <f t="shared" si="76"/>
        <v>0</v>
      </c>
      <c r="R2383" s="31">
        <f t="shared" si="77"/>
        <v>0</v>
      </c>
    </row>
    <row r="2384" spans="2:18" ht="30.75" customHeight="1" x14ac:dyDescent="0.3">
      <c r="B2384" s="32"/>
      <c r="P2384" s="31">
        <f t="shared" si="76"/>
        <v>0</v>
      </c>
      <c r="R2384" s="31">
        <f t="shared" si="77"/>
        <v>0</v>
      </c>
    </row>
    <row r="2385" spans="2:18" ht="30.75" customHeight="1" x14ac:dyDescent="0.3">
      <c r="B2385" s="32"/>
      <c r="P2385" s="31">
        <f t="shared" si="76"/>
        <v>0</v>
      </c>
      <c r="R2385" s="31">
        <f t="shared" si="77"/>
        <v>0</v>
      </c>
    </row>
    <row r="2386" spans="2:18" ht="30.75" customHeight="1" x14ac:dyDescent="0.3">
      <c r="B2386" s="32"/>
      <c r="P2386" s="31">
        <f t="shared" si="76"/>
        <v>0</v>
      </c>
      <c r="R2386" s="31">
        <f t="shared" si="77"/>
        <v>0</v>
      </c>
    </row>
    <row r="2387" spans="2:18" ht="30.75" customHeight="1" x14ac:dyDescent="0.3">
      <c r="B2387" s="32"/>
      <c r="P2387" s="31">
        <f t="shared" si="76"/>
        <v>0</v>
      </c>
      <c r="R2387" s="31">
        <f t="shared" si="77"/>
        <v>0</v>
      </c>
    </row>
    <row r="2388" spans="2:18" ht="30.75" customHeight="1" x14ac:dyDescent="0.3">
      <c r="B2388" s="32"/>
      <c r="P2388" s="31">
        <f t="shared" si="76"/>
        <v>0</v>
      </c>
      <c r="R2388" s="31">
        <f t="shared" si="77"/>
        <v>0</v>
      </c>
    </row>
    <row r="2389" spans="2:18" ht="30.75" customHeight="1" x14ac:dyDescent="0.3">
      <c r="B2389" s="32"/>
      <c r="P2389" s="31">
        <f t="shared" si="76"/>
        <v>0</v>
      </c>
      <c r="R2389" s="31">
        <f t="shared" si="77"/>
        <v>0</v>
      </c>
    </row>
    <row r="2390" spans="2:18" ht="30.75" customHeight="1" x14ac:dyDescent="0.3">
      <c r="B2390" s="32"/>
      <c r="P2390" s="31">
        <f t="shared" si="76"/>
        <v>0</v>
      </c>
      <c r="R2390" s="31">
        <f t="shared" si="77"/>
        <v>0</v>
      </c>
    </row>
    <row r="2391" spans="2:18" ht="30.75" customHeight="1" x14ac:dyDescent="0.3">
      <c r="B2391" s="32"/>
      <c r="P2391" s="31">
        <f t="shared" si="76"/>
        <v>0</v>
      </c>
      <c r="R2391" s="31">
        <f t="shared" si="77"/>
        <v>0</v>
      </c>
    </row>
    <row r="2392" spans="2:18" ht="30.75" customHeight="1" x14ac:dyDescent="0.3">
      <c r="B2392" s="32"/>
      <c r="P2392" s="31">
        <f t="shared" si="76"/>
        <v>0</v>
      </c>
      <c r="R2392" s="31">
        <f t="shared" si="77"/>
        <v>0</v>
      </c>
    </row>
    <row r="2393" spans="2:18" ht="30.75" customHeight="1" x14ac:dyDescent="0.3">
      <c r="B2393" s="32"/>
      <c r="P2393" s="31">
        <f t="shared" si="76"/>
        <v>0</v>
      </c>
      <c r="R2393" s="31">
        <f t="shared" si="77"/>
        <v>0</v>
      </c>
    </row>
    <row r="2394" spans="2:18" ht="30.75" customHeight="1" x14ac:dyDescent="0.3">
      <c r="B2394" s="32"/>
      <c r="P2394" s="31">
        <f t="shared" si="76"/>
        <v>0</v>
      </c>
      <c r="R2394" s="31">
        <f t="shared" si="77"/>
        <v>0</v>
      </c>
    </row>
    <row r="2395" spans="2:18" ht="30.75" customHeight="1" x14ac:dyDescent="0.3">
      <c r="B2395" s="32"/>
      <c r="P2395" s="31">
        <f t="shared" si="76"/>
        <v>0</v>
      </c>
      <c r="R2395" s="31">
        <f t="shared" si="77"/>
        <v>0</v>
      </c>
    </row>
    <row r="2396" spans="2:18" ht="30.75" customHeight="1" x14ac:dyDescent="0.3">
      <c r="B2396" s="32"/>
      <c r="P2396" s="31">
        <f t="shared" si="76"/>
        <v>0</v>
      </c>
      <c r="R2396" s="31">
        <f t="shared" si="77"/>
        <v>0</v>
      </c>
    </row>
    <row r="2397" spans="2:18" ht="30.75" customHeight="1" x14ac:dyDescent="0.3">
      <c r="B2397" s="32"/>
      <c r="P2397" s="31">
        <f t="shared" si="76"/>
        <v>0</v>
      </c>
      <c r="R2397" s="31">
        <f t="shared" si="77"/>
        <v>0</v>
      </c>
    </row>
    <row r="2398" spans="2:18" ht="30.75" customHeight="1" x14ac:dyDescent="0.3">
      <c r="B2398" s="32"/>
      <c r="P2398" s="31">
        <f t="shared" si="76"/>
        <v>0</v>
      </c>
      <c r="R2398" s="31">
        <f t="shared" si="77"/>
        <v>0</v>
      </c>
    </row>
    <row r="2399" spans="2:18" ht="30.75" customHeight="1" x14ac:dyDescent="0.3">
      <c r="B2399" s="32"/>
      <c r="P2399" s="31">
        <f t="shared" si="76"/>
        <v>0</v>
      </c>
      <c r="R2399" s="31">
        <f t="shared" si="77"/>
        <v>0</v>
      </c>
    </row>
    <row r="2400" spans="2:18" ht="30.75" customHeight="1" x14ac:dyDescent="0.3">
      <c r="B2400" s="32"/>
      <c r="P2400" s="31">
        <f t="shared" si="76"/>
        <v>0</v>
      </c>
      <c r="R2400" s="31">
        <f t="shared" si="77"/>
        <v>0</v>
      </c>
    </row>
    <row r="2401" spans="2:18" ht="30.75" customHeight="1" x14ac:dyDescent="0.3">
      <c r="B2401" s="32"/>
      <c r="P2401" s="31">
        <f t="shared" si="76"/>
        <v>0</v>
      </c>
      <c r="R2401" s="31">
        <f t="shared" si="77"/>
        <v>0</v>
      </c>
    </row>
    <row r="2402" spans="2:18" ht="30.75" customHeight="1" x14ac:dyDescent="0.3">
      <c r="B2402" s="32"/>
      <c r="P2402" s="31">
        <f t="shared" si="76"/>
        <v>0</v>
      </c>
      <c r="R2402" s="31">
        <f t="shared" si="77"/>
        <v>0</v>
      </c>
    </row>
    <row r="2403" spans="2:18" ht="30.75" customHeight="1" x14ac:dyDescent="0.3">
      <c r="B2403" s="32"/>
      <c r="P2403" s="31">
        <f t="shared" si="76"/>
        <v>0</v>
      </c>
      <c r="R2403" s="31">
        <f t="shared" si="77"/>
        <v>0</v>
      </c>
    </row>
    <row r="2404" spans="2:18" ht="30.75" customHeight="1" x14ac:dyDescent="0.3">
      <c r="B2404" s="32"/>
      <c r="P2404" s="31">
        <f t="shared" si="76"/>
        <v>0</v>
      </c>
      <c r="R2404" s="31">
        <f t="shared" si="77"/>
        <v>0</v>
      </c>
    </row>
    <row r="2405" spans="2:18" ht="30.75" customHeight="1" x14ac:dyDescent="0.3">
      <c r="B2405" s="32"/>
      <c r="P2405" s="31">
        <f t="shared" si="76"/>
        <v>0</v>
      </c>
      <c r="R2405" s="31">
        <f t="shared" si="77"/>
        <v>0</v>
      </c>
    </row>
    <row r="2406" spans="2:18" ht="30.75" customHeight="1" x14ac:dyDescent="0.3">
      <c r="B2406" s="32"/>
      <c r="P2406" s="31">
        <f t="shared" si="76"/>
        <v>0</v>
      </c>
      <c r="R2406" s="31">
        <f t="shared" si="77"/>
        <v>0</v>
      </c>
    </row>
    <row r="2407" spans="2:18" ht="30.75" customHeight="1" x14ac:dyDescent="0.3">
      <c r="B2407" s="32"/>
      <c r="P2407" s="31">
        <f t="shared" si="76"/>
        <v>0</v>
      </c>
      <c r="R2407" s="31">
        <f t="shared" si="77"/>
        <v>0</v>
      </c>
    </row>
    <row r="2408" spans="2:18" ht="30.75" customHeight="1" x14ac:dyDescent="0.3">
      <c r="B2408" s="32"/>
      <c r="P2408" s="31">
        <f t="shared" si="76"/>
        <v>0</v>
      </c>
      <c r="R2408" s="31">
        <f t="shared" si="77"/>
        <v>0</v>
      </c>
    </row>
    <row r="2409" spans="2:18" ht="30.75" customHeight="1" x14ac:dyDescent="0.3">
      <c r="B2409" s="32"/>
      <c r="P2409" s="31">
        <f t="shared" si="76"/>
        <v>0</v>
      </c>
      <c r="R2409" s="31">
        <f t="shared" si="77"/>
        <v>0</v>
      </c>
    </row>
    <row r="2410" spans="2:18" ht="30.75" customHeight="1" x14ac:dyDescent="0.3">
      <c r="B2410" s="32"/>
      <c r="P2410" s="31">
        <f t="shared" si="76"/>
        <v>0</v>
      </c>
      <c r="R2410" s="31">
        <f t="shared" si="77"/>
        <v>0</v>
      </c>
    </row>
    <row r="2411" spans="2:18" ht="30.75" customHeight="1" x14ac:dyDescent="0.3">
      <c r="B2411" s="32"/>
      <c r="P2411" s="31">
        <f t="shared" si="76"/>
        <v>0</v>
      </c>
      <c r="R2411" s="31">
        <f t="shared" si="77"/>
        <v>0</v>
      </c>
    </row>
    <row r="2412" spans="2:18" ht="30.75" customHeight="1" x14ac:dyDescent="0.3">
      <c r="B2412" s="32"/>
      <c r="P2412" s="31">
        <f t="shared" si="76"/>
        <v>0</v>
      </c>
      <c r="R2412" s="31">
        <f t="shared" si="77"/>
        <v>0</v>
      </c>
    </row>
    <row r="2413" spans="2:18" ht="30.75" customHeight="1" x14ac:dyDescent="0.3">
      <c r="B2413" s="32"/>
      <c r="P2413" s="31">
        <f t="shared" si="76"/>
        <v>0</v>
      </c>
      <c r="R2413" s="31">
        <f t="shared" si="77"/>
        <v>0</v>
      </c>
    </row>
    <row r="2414" spans="2:18" ht="30.75" customHeight="1" x14ac:dyDescent="0.3">
      <c r="B2414" s="32"/>
      <c r="P2414" s="31">
        <f t="shared" si="76"/>
        <v>0</v>
      </c>
      <c r="R2414" s="31">
        <f t="shared" si="77"/>
        <v>0</v>
      </c>
    </row>
    <row r="2415" spans="2:18" ht="30.75" customHeight="1" x14ac:dyDescent="0.3">
      <c r="B2415" s="32"/>
      <c r="P2415" s="31">
        <f t="shared" si="76"/>
        <v>0</v>
      </c>
      <c r="R2415" s="31">
        <f t="shared" si="77"/>
        <v>0</v>
      </c>
    </row>
    <row r="2416" spans="2:18" ht="30.75" customHeight="1" x14ac:dyDescent="0.3">
      <c r="B2416" s="32"/>
      <c r="P2416" s="31">
        <f t="shared" si="76"/>
        <v>0</v>
      </c>
      <c r="R2416" s="31">
        <f t="shared" si="77"/>
        <v>0</v>
      </c>
    </row>
    <row r="2417" spans="2:18" ht="30.75" customHeight="1" x14ac:dyDescent="0.3">
      <c r="B2417" s="32"/>
      <c r="P2417" s="31">
        <f t="shared" si="76"/>
        <v>0</v>
      </c>
      <c r="R2417" s="31">
        <f t="shared" si="77"/>
        <v>0</v>
      </c>
    </row>
    <row r="2418" spans="2:18" ht="30.75" customHeight="1" x14ac:dyDescent="0.3">
      <c r="B2418" s="32"/>
      <c r="P2418" s="31">
        <f t="shared" si="76"/>
        <v>0</v>
      </c>
      <c r="R2418" s="31">
        <f t="shared" si="77"/>
        <v>0</v>
      </c>
    </row>
    <row r="2419" spans="2:18" ht="30.75" customHeight="1" x14ac:dyDescent="0.3">
      <c r="B2419" s="32"/>
      <c r="P2419" s="31">
        <f t="shared" si="76"/>
        <v>0</v>
      </c>
      <c r="R2419" s="31">
        <f t="shared" si="77"/>
        <v>0</v>
      </c>
    </row>
    <row r="2420" spans="2:18" ht="30.75" customHeight="1" x14ac:dyDescent="0.3">
      <c r="B2420" s="32"/>
      <c r="P2420" s="31">
        <f t="shared" si="76"/>
        <v>0</v>
      </c>
      <c r="R2420" s="31">
        <f t="shared" si="77"/>
        <v>0</v>
      </c>
    </row>
    <row r="2421" spans="2:18" ht="30.75" customHeight="1" x14ac:dyDescent="0.3">
      <c r="B2421" s="32"/>
      <c r="P2421" s="31">
        <f t="shared" si="76"/>
        <v>0</v>
      </c>
      <c r="R2421" s="31">
        <f t="shared" si="77"/>
        <v>0</v>
      </c>
    </row>
    <row r="2422" spans="2:18" ht="30.75" customHeight="1" x14ac:dyDescent="0.3">
      <c r="B2422" s="32"/>
      <c r="P2422" s="31">
        <f t="shared" si="76"/>
        <v>0</v>
      </c>
      <c r="R2422" s="31">
        <f t="shared" si="77"/>
        <v>0</v>
      </c>
    </row>
    <row r="2423" spans="2:18" ht="30.75" customHeight="1" x14ac:dyDescent="0.3">
      <c r="B2423" s="32"/>
      <c r="P2423" s="31">
        <f t="shared" si="76"/>
        <v>0</v>
      </c>
      <c r="R2423" s="31">
        <f t="shared" si="77"/>
        <v>0</v>
      </c>
    </row>
    <row r="2424" spans="2:18" ht="30.75" customHeight="1" x14ac:dyDescent="0.3">
      <c r="B2424" s="32"/>
      <c r="P2424" s="31">
        <f t="shared" si="76"/>
        <v>0</v>
      </c>
      <c r="R2424" s="31">
        <f t="shared" si="77"/>
        <v>0</v>
      </c>
    </row>
    <row r="2425" spans="2:18" ht="30.75" customHeight="1" x14ac:dyDescent="0.3">
      <c r="B2425" s="32"/>
      <c r="P2425" s="31">
        <f t="shared" si="76"/>
        <v>0</v>
      </c>
      <c r="R2425" s="31">
        <f t="shared" si="77"/>
        <v>0</v>
      </c>
    </row>
    <row r="2426" spans="2:18" ht="30.75" customHeight="1" x14ac:dyDescent="0.3">
      <c r="B2426" s="32"/>
      <c r="P2426" s="31">
        <f t="shared" ref="P2426:P2489" si="78">K2426-L2426-M2426-N2426+O2426</f>
        <v>0</v>
      </c>
      <c r="R2426" s="31">
        <f t="shared" ref="R2426:R2489" si="79">R2425+K2426-L2426-M2426-N2426+O2426-Q2426</f>
        <v>0</v>
      </c>
    </row>
    <row r="2427" spans="2:18" ht="30.75" customHeight="1" x14ac:dyDescent="0.3">
      <c r="B2427" s="32"/>
      <c r="P2427" s="31">
        <f t="shared" si="78"/>
        <v>0</v>
      </c>
      <c r="R2427" s="31">
        <f t="shared" si="79"/>
        <v>0</v>
      </c>
    </row>
    <row r="2428" spans="2:18" ht="30.75" customHeight="1" x14ac:dyDescent="0.3">
      <c r="B2428" s="32"/>
      <c r="P2428" s="31">
        <f t="shared" si="78"/>
        <v>0</v>
      </c>
      <c r="R2428" s="31">
        <f t="shared" si="79"/>
        <v>0</v>
      </c>
    </row>
    <row r="2429" spans="2:18" ht="30.75" customHeight="1" x14ac:dyDescent="0.3">
      <c r="B2429" s="32"/>
      <c r="P2429" s="31">
        <f t="shared" si="78"/>
        <v>0</v>
      </c>
      <c r="R2429" s="31">
        <f t="shared" si="79"/>
        <v>0</v>
      </c>
    </row>
    <row r="2430" spans="2:18" ht="30.75" customHeight="1" x14ac:dyDescent="0.3">
      <c r="B2430" s="32"/>
      <c r="P2430" s="31">
        <f t="shared" si="78"/>
        <v>0</v>
      </c>
      <c r="R2430" s="31">
        <f t="shared" si="79"/>
        <v>0</v>
      </c>
    </row>
    <row r="2431" spans="2:18" ht="30.75" customHeight="1" x14ac:dyDescent="0.3">
      <c r="B2431" s="32"/>
      <c r="P2431" s="31">
        <f t="shared" si="78"/>
        <v>0</v>
      </c>
      <c r="R2431" s="31">
        <f t="shared" si="79"/>
        <v>0</v>
      </c>
    </row>
    <row r="2432" spans="2:18" ht="30.75" customHeight="1" x14ac:dyDescent="0.3">
      <c r="B2432" s="32"/>
      <c r="P2432" s="31">
        <f t="shared" si="78"/>
        <v>0</v>
      </c>
      <c r="R2432" s="31">
        <f t="shared" si="79"/>
        <v>0</v>
      </c>
    </row>
    <row r="2433" spans="2:18" ht="30.75" customHeight="1" x14ac:dyDescent="0.3">
      <c r="B2433" s="32"/>
      <c r="P2433" s="31">
        <f t="shared" si="78"/>
        <v>0</v>
      </c>
      <c r="R2433" s="31">
        <f t="shared" si="79"/>
        <v>0</v>
      </c>
    </row>
    <row r="2434" spans="2:18" ht="30.75" customHeight="1" x14ac:dyDescent="0.3">
      <c r="B2434" s="32"/>
      <c r="P2434" s="31">
        <f t="shared" si="78"/>
        <v>0</v>
      </c>
      <c r="R2434" s="31">
        <f t="shared" si="79"/>
        <v>0</v>
      </c>
    </row>
    <row r="2435" spans="2:18" ht="30.75" customHeight="1" x14ac:dyDescent="0.3">
      <c r="B2435" s="32"/>
      <c r="P2435" s="31">
        <f t="shared" si="78"/>
        <v>0</v>
      </c>
      <c r="R2435" s="31">
        <f t="shared" si="79"/>
        <v>0</v>
      </c>
    </row>
    <row r="2436" spans="2:18" ht="30.75" customHeight="1" x14ac:dyDescent="0.3">
      <c r="B2436" s="32"/>
      <c r="P2436" s="31">
        <f t="shared" si="78"/>
        <v>0</v>
      </c>
      <c r="R2436" s="31">
        <f t="shared" si="79"/>
        <v>0</v>
      </c>
    </row>
    <row r="2437" spans="2:18" ht="30.75" customHeight="1" x14ac:dyDescent="0.3">
      <c r="B2437" s="32"/>
      <c r="P2437" s="31">
        <f t="shared" si="78"/>
        <v>0</v>
      </c>
      <c r="R2437" s="31">
        <f t="shared" si="79"/>
        <v>0</v>
      </c>
    </row>
    <row r="2438" spans="2:18" ht="30.75" customHeight="1" x14ac:dyDescent="0.3">
      <c r="B2438" s="32"/>
      <c r="P2438" s="31">
        <f t="shared" si="78"/>
        <v>0</v>
      </c>
      <c r="R2438" s="31">
        <f t="shared" si="79"/>
        <v>0</v>
      </c>
    </row>
    <row r="2439" spans="2:18" ht="30.75" customHeight="1" x14ac:dyDescent="0.3">
      <c r="B2439" s="32"/>
      <c r="P2439" s="31">
        <f t="shared" si="78"/>
        <v>0</v>
      </c>
      <c r="R2439" s="31">
        <f t="shared" si="79"/>
        <v>0</v>
      </c>
    </row>
    <row r="2440" spans="2:18" ht="30.75" customHeight="1" x14ac:dyDescent="0.3">
      <c r="B2440" s="32"/>
      <c r="P2440" s="31">
        <f t="shared" si="78"/>
        <v>0</v>
      </c>
      <c r="R2440" s="31">
        <f t="shared" si="79"/>
        <v>0</v>
      </c>
    </row>
    <row r="2441" spans="2:18" ht="30.75" customHeight="1" x14ac:dyDescent="0.3">
      <c r="B2441" s="32"/>
      <c r="P2441" s="31">
        <f t="shared" si="78"/>
        <v>0</v>
      </c>
      <c r="R2441" s="31">
        <f t="shared" si="79"/>
        <v>0</v>
      </c>
    </row>
    <row r="2442" spans="2:18" ht="30.75" customHeight="1" x14ac:dyDescent="0.3">
      <c r="B2442" s="32"/>
      <c r="P2442" s="31">
        <f t="shared" si="78"/>
        <v>0</v>
      </c>
      <c r="R2442" s="31">
        <f t="shared" si="79"/>
        <v>0</v>
      </c>
    </row>
    <row r="2443" spans="2:18" ht="30.75" customHeight="1" x14ac:dyDescent="0.3">
      <c r="B2443" s="32"/>
      <c r="P2443" s="31">
        <f t="shared" si="78"/>
        <v>0</v>
      </c>
      <c r="R2443" s="31">
        <f t="shared" si="79"/>
        <v>0</v>
      </c>
    </row>
    <row r="2444" spans="2:18" ht="30.75" customHeight="1" x14ac:dyDescent="0.3">
      <c r="B2444" s="32"/>
      <c r="P2444" s="31">
        <f t="shared" si="78"/>
        <v>0</v>
      </c>
      <c r="R2444" s="31">
        <f t="shared" si="79"/>
        <v>0</v>
      </c>
    </row>
    <row r="2445" spans="2:18" ht="30.75" customHeight="1" x14ac:dyDescent="0.3">
      <c r="B2445" s="32"/>
      <c r="P2445" s="31">
        <f t="shared" si="78"/>
        <v>0</v>
      </c>
      <c r="R2445" s="31">
        <f t="shared" si="79"/>
        <v>0</v>
      </c>
    </row>
    <row r="2446" spans="2:18" ht="30.75" customHeight="1" x14ac:dyDescent="0.3">
      <c r="B2446" s="32"/>
      <c r="P2446" s="31">
        <f t="shared" si="78"/>
        <v>0</v>
      </c>
      <c r="R2446" s="31">
        <f t="shared" si="79"/>
        <v>0</v>
      </c>
    </row>
    <row r="2447" spans="2:18" ht="30.75" customHeight="1" x14ac:dyDescent="0.3">
      <c r="B2447" s="32"/>
      <c r="P2447" s="31">
        <f t="shared" si="78"/>
        <v>0</v>
      </c>
      <c r="R2447" s="31">
        <f t="shared" si="79"/>
        <v>0</v>
      </c>
    </row>
    <row r="2448" spans="2:18" ht="30.75" customHeight="1" x14ac:dyDescent="0.3">
      <c r="B2448" s="32"/>
      <c r="P2448" s="31">
        <f t="shared" si="78"/>
        <v>0</v>
      </c>
      <c r="R2448" s="31">
        <f t="shared" si="79"/>
        <v>0</v>
      </c>
    </row>
    <row r="2449" spans="2:18" ht="30.75" customHeight="1" x14ac:dyDescent="0.3">
      <c r="B2449" s="32"/>
      <c r="P2449" s="31">
        <f t="shared" si="78"/>
        <v>0</v>
      </c>
      <c r="R2449" s="31">
        <f t="shared" si="79"/>
        <v>0</v>
      </c>
    </row>
    <row r="2450" spans="2:18" ht="30.75" customHeight="1" x14ac:dyDescent="0.3">
      <c r="B2450" s="32"/>
      <c r="P2450" s="31">
        <f t="shared" si="78"/>
        <v>0</v>
      </c>
      <c r="R2450" s="31">
        <f t="shared" si="79"/>
        <v>0</v>
      </c>
    </row>
    <row r="2451" spans="2:18" ht="30.75" customHeight="1" x14ac:dyDescent="0.3">
      <c r="B2451" s="32"/>
      <c r="P2451" s="31">
        <f t="shared" si="78"/>
        <v>0</v>
      </c>
      <c r="R2451" s="31">
        <f t="shared" si="79"/>
        <v>0</v>
      </c>
    </row>
    <row r="2452" spans="2:18" ht="30.75" customHeight="1" x14ac:dyDescent="0.3">
      <c r="B2452" s="32"/>
      <c r="P2452" s="31">
        <f t="shared" si="78"/>
        <v>0</v>
      </c>
      <c r="R2452" s="31">
        <f t="shared" si="79"/>
        <v>0</v>
      </c>
    </row>
    <row r="2453" spans="2:18" ht="30.75" customHeight="1" x14ac:dyDescent="0.3">
      <c r="B2453" s="32"/>
      <c r="P2453" s="31">
        <f t="shared" si="78"/>
        <v>0</v>
      </c>
      <c r="R2453" s="31">
        <f t="shared" si="79"/>
        <v>0</v>
      </c>
    </row>
    <row r="2454" spans="2:18" ht="30.75" customHeight="1" x14ac:dyDescent="0.3">
      <c r="B2454" s="32"/>
      <c r="P2454" s="31">
        <f t="shared" si="78"/>
        <v>0</v>
      </c>
      <c r="R2454" s="31">
        <f t="shared" si="79"/>
        <v>0</v>
      </c>
    </row>
    <row r="2455" spans="2:18" ht="30.75" customHeight="1" x14ac:dyDescent="0.3">
      <c r="B2455" s="32"/>
      <c r="P2455" s="31">
        <f t="shared" si="78"/>
        <v>0</v>
      </c>
      <c r="R2455" s="31">
        <f t="shared" si="79"/>
        <v>0</v>
      </c>
    </row>
    <row r="2456" spans="2:18" ht="30.75" customHeight="1" x14ac:dyDescent="0.3">
      <c r="B2456" s="32"/>
      <c r="P2456" s="31">
        <f t="shared" si="78"/>
        <v>0</v>
      </c>
      <c r="R2456" s="31">
        <f t="shared" si="79"/>
        <v>0</v>
      </c>
    </row>
    <row r="2457" spans="2:18" ht="30.75" customHeight="1" x14ac:dyDescent="0.3">
      <c r="B2457" s="32"/>
      <c r="P2457" s="31">
        <f t="shared" si="78"/>
        <v>0</v>
      </c>
      <c r="R2457" s="31">
        <f t="shared" si="79"/>
        <v>0</v>
      </c>
    </row>
    <row r="2458" spans="2:18" ht="30.75" customHeight="1" x14ac:dyDescent="0.3">
      <c r="B2458" s="32"/>
      <c r="P2458" s="31">
        <f t="shared" si="78"/>
        <v>0</v>
      </c>
      <c r="R2458" s="31">
        <f t="shared" si="79"/>
        <v>0</v>
      </c>
    </row>
    <row r="2459" spans="2:18" ht="30.75" customHeight="1" x14ac:dyDescent="0.3">
      <c r="B2459" s="32"/>
      <c r="P2459" s="31">
        <f t="shared" si="78"/>
        <v>0</v>
      </c>
      <c r="R2459" s="31">
        <f t="shared" si="79"/>
        <v>0</v>
      </c>
    </row>
    <row r="2460" spans="2:18" ht="30.75" customHeight="1" x14ac:dyDescent="0.3">
      <c r="B2460" s="32"/>
      <c r="P2460" s="31">
        <f t="shared" si="78"/>
        <v>0</v>
      </c>
      <c r="R2460" s="31">
        <f t="shared" si="79"/>
        <v>0</v>
      </c>
    </row>
    <row r="2461" spans="2:18" ht="30.75" customHeight="1" x14ac:dyDescent="0.3">
      <c r="B2461" s="32"/>
      <c r="P2461" s="31">
        <f t="shared" si="78"/>
        <v>0</v>
      </c>
      <c r="R2461" s="31">
        <f t="shared" si="79"/>
        <v>0</v>
      </c>
    </row>
    <row r="2462" spans="2:18" ht="30.75" customHeight="1" x14ac:dyDescent="0.3">
      <c r="B2462" s="32"/>
      <c r="P2462" s="31">
        <f t="shared" si="78"/>
        <v>0</v>
      </c>
      <c r="R2462" s="31">
        <f t="shared" si="79"/>
        <v>0</v>
      </c>
    </row>
    <row r="2463" spans="2:18" ht="30.75" customHeight="1" x14ac:dyDescent="0.3">
      <c r="B2463" s="32"/>
      <c r="P2463" s="31">
        <f t="shared" si="78"/>
        <v>0</v>
      </c>
      <c r="R2463" s="31">
        <f t="shared" si="79"/>
        <v>0</v>
      </c>
    </row>
    <row r="2464" spans="2:18" ht="30.75" customHeight="1" x14ac:dyDescent="0.3">
      <c r="B2464" s="32"/>
      <c r="P2464" s="31">
        <f t="shared" si="78"/>
        <v>0</v>
      </c>
      <c r="R2464" s="31">
        <f t="shared" si="79"/>
        <v>0</v>
      </c>
    </row>
    <row r="2465" spans="2:18" ht="30.75" customHeight="1" x14ac:dyDescent="0.3">
      <c r="B2465" s="32"/>
      <c r="P2465" s="31">
        <f t="shared" si="78"/>
        <v>0</v>
      </c>
      <c r="R2465" s="31">
        <f t="shared" si="79"/>
        <v>0</v>
      </c>
    </row>
    <row r="2466" spans="2:18" ht="30.75" customHeight="1" x14ac:dyDescent="0.3">
      <c r="B2466" s="32"/>
      <c r="P2466" s="31">
        <f t="shared" si="78"/>
        <v>0</v>
      </c>
      <c r="R2466" s="31">
        <f t="shared" si="79"/>
        <v>0</v>
      </c>
    </row>
    <row r="2467" spans="2:18" ht="30.75" customHeight="1" x14ac:dyDescent="0.3">
      <c r="B2467" s="32"/>
      <c r="P2467" s="31">
        <f t="shared" si="78"/>
        <v>0</v>
      </c>
      <c r="R2467" s="31">
        <f t="shared" si="79"/>
        <v>0</v>
      </c>
    </row>
    <row r="2468" spans="2:18" ht="30.75" customHeight="1" x14ac:dyDescent="0.3">
      <c r="B2468" s="32"/>
      <c r="P2468" s="31">
        <f t="shared" si="78"/>
        <v>0</v>
      </c>
      <c r="R2468" s="31">
        <f t="shared" si="79"/>
        <v>0</v>
      </c>
    </row>
    <row r="2469" spans="2:18" ht="30.75" customHeight="1" x14ac:dyDescent="0.3">
      <c r="B2469" s="32"/>
      <c r="P2469" s="31">
        <f t="shared" si="78"/>
        <v>0</v>
      </c>
      <c r="R2469" s="31">
        <f t="shared" si="79"/>
        <v>0</v>
      </c>
    </row>
    <row r="2470" spans="2:18" ht="30.75" customHeight="1" x14ac:dyDescent="0.3">
      <c r="B2470" s="32"/>
      <c r="P2470" s="31">
        <f t="shared" si="78"/>
        <v>0</v>
      </c>
      <c r="R2470" s="31">
        <f t="shared" si="79"/>
        <v>0</v>
      </c>
    </row>
    <row r="2471" spans="2:18" ht="30.75" customHeight="1" x14ac:dyDescent="0.3">
      <c r="B2471" s="32"/>
      <c r="P2471" s="31">
        <f t="shared" si="78"/>
        <v>0</v>
      </c>
      <c r="R2471" s="31">
        <f t="shared" si="79"/>
        <v>0</v>
      </c>
    </row>
    <row r="2472" spans="2:18" ht="30.75" customHeight="1" x14ac:dyDescent="0.3">
      <c r="B2472" s="32"/>
      <c r="P2472" s="31">
        <f t="shared" si="78"/>
        <v>0</v>
      </c>
      <c r="R2472" s="31">
        <f t="shared" si="79"/>
        <v>0</v>
      </c>
    </row>
    <row r="2473" spans="2:18" ht="30.75" customHeight="1" x14ac:dyDescent="0.3">
      <c r="B2473" s="32"/>
      <c r="P2473" s="31">
        <f t="shared" si="78"/>
        <v>0</v>
      </c>
      <c r="R2473" s="31">
        <f t="shared" si="79"/>
        <v>0</v>
      </c>
    </row>
    <row r="2474" spans="2:18" ht="30.75" customHeight="1" x14ac:dyDescent="0.3">
      <c r="B2474" s="32"/>
      <c r="P2474" s="31">
        <f t="shared" si="78"/>
        <v>0</v>
      </c>
      <c r="R2474" s="31">
        <f t="shared" si="79"/>
        <v>0</v>
      </c>
    </row>
    <row r="2475" spans="2:18" ht="30.75" customHeight="1" x14ac:dyDescent="0.3">
      <c r="B2475" s="32"/>
      <c r="P2475" s="31">
        <f t="shared" si="78"/>
        <v>0</v>
      </c>
      <c r="R2475" s="31">
        <f t="shared" si="79"/>
        <v>0</v>
      </c>
    </row>
    <row r="2476" spans="2:18" ht="30.75" customHeight="1" x14ac:dyDescent="0.3">
      <c r="B2476" s="32"/>
      <c r="P2476" s="31">
        <f t="shared" si="78"/>
        <v>0</v>
      </c>
      <c r="R2476" s="31">
        <f t="shared" si="79"/>
        <v>0</v>
      </c>
    </row>
    <row r="2477" spans="2:18" ht="30.75" customHeight="1" x14ac:dyDescent="0.3">
      <c r="B2477" s="32"/>
      <c r="P2477" s="31">
        <f t="shared" si="78"/>
        <v>0</v>
      </c>
      <c r="R2477" s="31">
        <f t="shared" si="79"/>
        <v>0</v>
      </c>
    </row>
    <row r="2478" spans="2:18" ht="30.75" customHeight="1" x14ac:dyDescent="0.3">
      <c r="B2478" s="32"/>
      <c r="P2478" s="31">
        <f t="shared" si="78"/>
        <v>0</v>
      </c>
      <c r="R2478" s="31">
        <f t="shared" si="79"/>
        <v>0</v>
      </c>
    </row>
    <row r="2479" spans="2:18" ht="30.75" customHeight="1" x14ac:dyDescent="0.3">
      <c r="B2479" s="32"/>
      <c r="P2479" s="31">
        <f t="shared" si="78"/>
        <v>0</v>
      </c>
      <c r="R2479" s="31">
        <f t="shared" si="79"/>
        <v>0</v>
      </c>
    </row>
    <row r="2480" spans="2:18" ht="30.75" customHeight="1" x14ac:dyDescent="0.3">
      <c r="B2480" s="32"/>
      <c r="P2480" s="31">
        <f t="shared" si="78"/>
        <v>0</v>
      </c>
      <c r="R2480" s="31">
        <f t="shared" si="79"/>
        <v>0</v>
      </c>
    </row>
    <row r="2481" spans="2:18" ht="30.75" customHeight="1" x14ac:dyDescent="0.3">
      <c r="B2481" s="32"/>
      <c r="P2481" s="31">
        <f t="shared" si="78"/>
        <v>0</v>
      </c>
      <c r="R2481" s="31">
        <f t="shared" si="79"/>
        <v>0</v>
      </c>
    </row>
    <row r="2482" spans="2:18" ht="30.75" customHeight="1" x14ac:dyDescent="0.3">
      <c r="B2482" s="32"/>
      <c r="P2482" s="31">
        <f t="shared" si="78"/>
        <v>0</v>
      </c>
      <c r="R2482" s="31">
        <f t="shared" si="79"/>
        <v>0</v>
      </c>
    </row>
    <row r="2483" spans="2:18" ht="30.75" customHeight="1" x14ac:dyDescent="0.3">
      <c r="B2483" s="32"/>
      <c r="P2483" s="31">
        <f t="shared" si="78"/>
        <v>0</v>
      </c>
      <c r="R2483" s="31">
        <f t="shared" si="79"/>
        <v>0</v>
      </c>
    </row>
    <row r="2484" spans="2:18" ht="30.75" customHeight="1" x14ac:dyDescent="0.3">
      <c r="B2484" s="32"/>
      <c r="P2484" s="31">
        <f t="shared" si="78"/>
        <v>0</v>
      </c>
      <c r="R2484" s="31">
        <f t="shared" si="79"/>
        <v>0</v>
      </c>
    </row>
    <row r="2485" spans="2:18" ht="30.75" customHeight="1" x14ac:dyDescent="0.3">
      <c r="B2485" s="32"/>
      <c r="P2485" s="31">
        <f t="shared" si="78"/>
        <v>0</v>
      </c>
      <c r="R2485" s="31">
        <f t="shared" si="79"/>
        <v>0</v>
      </c>
    </row>
    <row r="2486" spans="2:18" ht="30.75" customHeight="1" x14ac:dyDescent="0.3">
      <c r="B2486" s="32"/>
      <c r="P2486" s="31">
        <f t="shared" si="78"/>
        <v>0</v>
      </c>
      <c r="R2486" s="31">
        <f t="shared" si="79"/>
        <v>0</v>
      </c>
    </row>
    <row r="2487" spans="2:18" ht="30.75" customHeight="1" x14ac:dyDescent="0.3">
      <c r="B2487" s="32"/>
      <c r="P2487" s="31">
        <f t="shared" si="78"/>
        <v>0</v>
      </c>
      <c r="R2487" s="31">
        <f t="shared" si="79"/>
        <v>0</v>
      </c>
    </row>
    <row r="2488" spans="2:18" ht="30.75" customHeight="1" x14ac:dyDescent="0.3">
      <c r="B2488" s="32"/>
      <c r="P2488" s="31">
        <f t="shared" si="78"/>
        <v>0</v>
      </c>
      <c r="R2488" s="31">
        <f t="shared" si="79"/>
        <v>0</v>
      </c>
    </row>
    <row r="2489" spans="2:18" ht="30.75" customHeight="1" x14ac:dyDescent="0.3">
      <c r="B2489" s="32"/>
      <c r="P2489" s="31">
        <f t="shared" si="78"/>
        <v>0</v>
      </c>
      <c r="R2489" s="31">
        <f t="shared" si="79"/>
        <v>0</v>
      </c>
    </row>
    <row r="2490" spans="2:18" ht="30.75" customHeight="1" x14ac:dyDescent="0.3">
      <c r="B2490" s="32"/>
      <c r="P2490" s="31">
        <f t="shared" ref="P2490:P2535" si="80">K2490-L2490-M2490-N2490+O2490</f>
        <v>0</v>
      </c>
      <c r="R2490" s="31">
        <f t="shared" ref="R2490:R2535" si="81">R2489+K2490-L2490-M2490-N2490+O2490-Q2490</f>
        <v>0</v>
      </c>
    </row>
    <row r="2491" spans="2:18" ht="30.75" customHeight="1" x14ac:dyDescent="0.3">
      <c r="B2491" s="32"/>
      <c r="P2491" s="31">
        <f t="shared" si="80"/>
        <v>0</v>
      </c>
      <c r="R2491" s="31">
        <f t="shared" si="81"/>
        <v>0</v>
      </c>
    </row>
    <row r="2492" spans="2:18" ht="30.75" customHeight="1" x14ac:dyDescent="0.3">
      <c r="B2492" s="32"/>
      <c r="P2492" s="31">
        <f t="shared" si="80"/>
        <v>0</v>
      </c>
      <c r="R2492" s="31">
        <f t="shared" si="81"/>
        <v>0</v>
      </c>
    </row>
    <row r="2493" spans="2:18" ht="30.75" customHeight="1" x14ac:dyDescent="0.3">
      <c r="B2493" s="32"/>
      <c r="P2493" s="31">
        <f t="shared" si="80"/>
        <v>0</v>
      </c>
      <c r="R2493" s="31">
        <f t="shared" si="81"/>
        <v>0</v>
      </c>
    </row>
    <row r="2494" spans="2:18" ht="30.75" customHeight="1" x14ac:dyDescent="0.3">
      <c r="B2494" s="32"/>
      <c r="P2494" s="31">
        <f t="shared" si="80"/>
        <v>0</v>
      </c>
      <c r="R2494" s="31">
        <f t="shared" si="81"/>
        <v>0</v>
      </c>
    </row>
    <row r="2495" spans="2:18" ht="30.75" customHeight="1" x14ac:dyDescent="0.3">
      <c r="B2495" s="32"/>
      <c r="P2495" s="31">
        <f t="shared" si="80"/>
        <v>0</v>
      </c>
      <c r="R2495" s="31">
        <f t="shared" si="81"/>
        <v>0</v>
      </c>
    </row>
    <row r="2496" spans="2:18" ht="30.75" customHeight="1" x14ac:dyDescent="0.3">
      <c r="B2496" s="32"/>
      <c r="P2496" s="31">
        <f t="shared" si="80"/>
        <v>0</v>
      </c>
      <c r="R2496" s="31">
        <f t="shared" si="81"/>
        <v>0</v>
      </c>
    </row>
    <row r="2497" spans="2:18" ht="30.75" customHeight="1" x14ac:dyDescent="0.3">
      <c r="B2497" s="32"/>
      <c r="P2497" s="31">
        <f t="shared" si="80"/>
        <v>0</v>
      </c>
      <c r="R2497" s="31">
        <f t="shared" si="81"/>
        <v>0</v>
      </c>
    </row>
    <row r="2498" spans="2:18" ht="30.75" customHeight="1" x14ac:dyDescent="0.3">
      <c r="B2498" s="32"/>
      <c r="P2498" s="31">
        <f t="shared" si="80"/>
        <v>0</v>
      </c>
      <c r="R2498" s="31">
        <f t="shared" si="81"/>
        <v>0</v>
      </c>
    </row>
    <row r="2499" spans="2:18" ht="30.75" customHeight="1" x14ac:dyDescent="0.3">
      <c r="B2499" s="32"/>
      <c r="P2499" s="31">
        <f t="shared" si="80"/>
        <v>0</v>
      </c>
      <c r="R2499" s="31">
        <f t="shared" si="81"/>
        <v>0</v>
      </c>
    </row>
    <row r="2500" spans="2:18" ht="30.75" customHeight="1" x14ac:dyDescent="0.3">
      <c r="B2500" s="32"/>
      <c r="P2500" s="31">
        <f t="shared" si="80"/>
        <v>0</v>
      </c>
      <c r="R2500" s="31">
        <f t="shared" si="81"/>
        <v>0</v>
      </c>
    </row>
    <row r="2501" spans="2:18" ht="30.75" customHeight="1" x14ac:dyDescent="0.3">
      <c r="B2501" s="32"/>
      <c r="P2501" s="31">
        <f t="shared" si="80"/>
        <v>0</v>
      </c>
      <c r="R2501" s="31">
        <f t="shared" si="81"/>
        <v>0</v>
      </c>
    </row>
    <row r="2502" spans="2:18" ht="30.75" customHeight="1" x14ac:dyDescent="0.3">
      <c r="B2502" s="32"/>
      <c r="P2502" s="31">
        <f t="shared" si="80"/>
        <v>0</v>
      </c>
      <c r="R2502" s="31">
        <f t="shared" si="81"/>
        <v>0</v>
      </c>
    </row>
    <row r="2503" spans="2:18" ht="30.75" customHeight="1" x14ac:dyDescent="0.3">
      <c r="B2503" s="32"/>
      <c r="P2503" s="31">
        <f t="shared" si="80"/>
        <v>0</v>
      </c>
      <c r="R2503" s="31">
        <f t="shared" si="81"/>
        <v>0</v>
      </c>
    </row>
    <row r="2504" spans="2:18" ht="30.75" customHeight="1" x14ac:dyDescent="0.3">
      <c r="B2504" s="32"/>
      <c r="P2504" s="31">
        <f t="shared" si="80"/>
        <v>0</v>
      </c>
      <c r="R2504" s="31">
        <f t="shared" si="81"/>
        <v>0</v>
      </c>
    </row>
    <row r="2505" spans="2:18" ht="30.75" customHeight="1" x14ac:dyDescent="0.3">
      <c r="B2505" s="32"/>
      <c r="P2505" s="31">
        <f t="shared" si="80"/>
        <v>0</v>
      </c>
      <c r="R2505" s="31">
        <f t="shared" si="81"/>
        <v>0</v>
      </c>
    </row>
    <row r="2506" spans="2:18" ht="30.75" customHeight="1" x14ac:dyDescent="0.3">
      <c r="B2506" s="32"/>
      <c r="P2506" s="31">
        <f t="shared" si="80"/>
        <v>0</v>
      </c>
      <c r="R2506" s="31">
        <f t="shared" si="81"/>
        <v>0</v>
      </c>
    </row>
    <row r="2507" spans="2:18" ht="30.75" customHeight="1" x14ac:dyDescent="0.3">
      <c r="B2507" s="32"/>
      <c r="P2507" s="31">
        <f t="shared" si="80"/>
        <v>0</v>
      </c>
      <c r="R2507" s="31">
        <f t="shared" si="81"/>
        <v>0</v>
      </c>
    </row>
    <row r="2508" spans="2:18" ht="30.75" customHeight="1" x14ac:dyDescent="0.3">
      <c r="B2508" s="32"/>
      <c r="P2508" s="31">
        <f t="shared" si="80"/>
        <v>0</v>
      </c>
      <c r="R2508" s="31">
        <f t="shared" si="81"/>
        <v>0</v>
      </c>
    </row>
    <row r="2509" spans="2:18" ht="30.75" customHeight="1" x14ac:dyDescent="0.3">
      <c r="B2509" s="32"/>
      <c r="P2509" s="31">
        <f t="shared" si="80"/>
        <v>0</v>
      </c>
      <c r="R2509" s="31">
        <f t="shared" si="81"/>
        <v>0</v>
      </c>
    </row>
    <row r="2510" spans="2:18" ht="30.75" customHeight="1" x14ac:dyDescent="0.3">
      <c r="B2510" s="32"/>
      <c r="P2510" s="31">
        <f t="shared" si="80"/>
        <v>0</v>
      </c>
      <c r="R2510" s="31">
        <f t="shared" si="81"/>
        <v>0</v>
      </c>
    </row>
    <row r="2511" spans="2:18" ht="30.75" customHeight="1" x14ac:dyDescent="0.3">
      <c r="B2511" s="32"/>
      <c r="P2511" s="31">
        <f t="shared" si="80"/>
        <v>0</v>
      </c>
      <c r="R2511" s="31">
        <f t="shared" si="81"/>
        <v>0</v>
      </c>
    </row>
    <row r="2512" spans="2:18" ht="30.75" customHeight="1" x14ac:dyDescent="0.3">
      <c r="B2512" s="32"/>
      <c r="P2512" s="31">
        <f t="shared" si="80"/>
        <v>0</v>
      </c>
      <c r="R2512" s="31">
        <f t="shared" si="81"/>
        <v>0</v>
      </c>
    </row>
    <row r="2513" spans="2:18" ht="30.75" customHeight="1" x14ac:dyDescent="0.3">
      <c r="B2513" s="32"/>
      <c r="P2513" s="31">
        <f t="shared" si="80"/>
        <v>0</v>
      </c>
      <c r="R2513" s="31">
        <f t="shared" si="81"/>
        <v>0</v>
      </c>
    </row>
    <row r="2514" spans="2:18" ht="30.75" customHeight="1" x14ac:dyDescent="0.3">
      <c r="B2514" s="32"/>
      <c r="P2514" s="31">
        <f t="shared" si="80"/>
        <v>0</v>
      </c>
      <c r="R2514" s="31">
        <f t="shared" si="81"/>
        <v>0</v>
      </c>
    </row>
    <row r="2515" spans="2:18" ht="30.75" customHeight="1" x14ac:dyDescent="0.3">
      <c r="B2515" s="32"/>
      <c r="P2515" s="31">
        <f t="shared" si="80"/>
        <v>0</v>
      </c>
      <c r="R2515" s="31">
        <f t="shared" si="81"/>
        <v>0</v>
      </c>
    </row>
    <row r="2516" spans="2:18" ht="30.75" customHeight="1" x14ac:dyDescent="0.3">
      <c r="B2516" s="32"/>
      <c r="P2516" s="31">
        <f t="shared" si="80"/>
        <v>0</v>
      </c>
      <c r="R2516" s="31">
        <f t="shared" si="81"/>
        <v>0</v>
      </c>
    </row>
    <row r="2517" spans="2:18" ht="30.75" customHeight="1" x14ac:dyDescent="0.3">
      <c r="B2517" s="32"/>
      <c r="P2517" s="31">
        <f t="shared" si="80"/>
        <v>0</v>
      </c>
      <c r="R2517" s="31">
        <f t="shared" si="81"/>
        <v>0</v>
      </c>
    </row>
    <row r="2518" spans="2:18" ht="30.75" customHeight="1" x14ac:dyDescent="0.3">
      <c r="B2518" s="32"/>
      <c r="P2518" s="31">
        <f t="shared" si="80"/>
        <v>0</v>
      </c>
      <c r="R2518" s="31">
        <f t="shared" si="81"/>
        <v>0</v>
      </c>
    </row>
    <row r="2519" spans="2:18" ht="30.75" customHeight="1" x14ac:dyDescent="0.3">
      <c r="B2519" s="32"/>
      <c r="P2519" s="31">
        <f t="shared" si="80"/>
        <v>0</v>
      </c>
      <c r="R2519" s="31">
        <f t="shared" si="81"/>
        <v>0</v>
      </c>
    </row>
    <row r="2520" spans="2:18" ht="30.75" customHeight="1" x14ac:dyDescent="0.3">
      <c r="B2520" s="32"/>
      <c r="P2520" s="31">
        <f t="shared" si="80"/>
        <v>0</v>
      </c>
      <c r="R2520" s="31">
        <f t="shared" si="81"/>
        <v>0</v>
      </c>
    </row>
    <row r="2521" spans="2:18" ht="30.75" customHeight="1" x14ac:dyDescent="0.3">
      <c r="B2521" s="32"/>
      <c r="P2521" s="31">
        <f t="shared" si="80"/>
        <v>0</v>
      </c>
      <c r="R2521" s="31">
        <f t="shared" si="81"/>
        <v>0</v>
      </c>
    </row>
    <row r="2522" spans="2:18" ht="30.75" customHeight="1" x14ac:dyDescent="0.3">
      <c r="B2522" s="32"/>
      <c r="P2522" s="31">
        <f t="shared" si="80"/>
        <v>0</v>
      </c>
      <c r="R2522" s="31">
        <f t="shared" si="81"/>
        <v>0</v>
      </c>
    </row>
    <row r="2523" spans="2:18" ht="30.75" customHeight="1" x14ac:dyDescent="0.3">
      <c r="B2523" s="32"/>
      <c r="P2523" s="31">
        <f t="shared" si="80"/>
        <v>0</v>
      </c>
      <c r="R2523" s="31">
        <f t="shared" si="81"/>
        <v>0</v>
      </c>
    </row>
    <row r="2524" spans="2:18" ht="30.75" customHeight="1" x14ac:dyDescent="0.3">
      <c r="B2524" s="32"/>
      <c r="P2524" s="31">
        <f t="shared" si="80"/>
        <v>0</v>
      </c>
      <c r="R2524" s="31">
        <f t="shared" si="81"/>
        <v>0</v>
      </c>
    </row>
    <row r="2525" spans="2:18" ht="30.75" customHeight="1" x14ac:dyDescent="0.3">
      <c r="B2525" s="32"/>
      <c r="P2525" s="31">
        <f t="shared" si="80"/>
        <v>0</v>
      </c>
      <c r="R2525" s="31">
        <f t="shared" si="81"/>
        <v>0</v>
      </c>
    </row>
    <row r="2526" spans="2:18" ht="30.75" customHeight="1" x14ac:dyDescent="0.3">
      <c r="B2526" s="32"/>
      <c r="P2526" s="31">
        <f t="shared" si="80"/>
        <v>0</v>
      </c>
      <c r="R2526" s="31">
        <f t="shared" si="81"/>
        <v>0</v>
      </c>
    </row>
    <row r="2527" spans="2:18" ht="30.75" customHeight="1" x14ac:dyDescent="0.3">
      <c r="B2527" s="32"/>
      <c r="P2527" s="31">
        <f t="shared" si="80"/>
        <v>0</v>
      </c>
      <c r="R2527" s="31">
        <f t="shared" si="81"/>
        <v>0</v>
      </c>
    </row>
    <row r="2528" spans="2:18" ht="30.75" customHeight="1" x14ac:dyDescent="0.3">
      <c r="B2528" s="32"/>
      <c r="P2528" s="31">
        <f t="shared" si="80"/>
        <v>0</v>
      </c>
      <c r="R2528" s="31">
        <f t="shared" si="81"/>
        <v>0</v>
      </c>
    </row>
    <row r="2529" spans="2:18" ht="30.75" customHeight="1" x14ac:dyDescent="0.3">
      <c r="B2529" s="32"/>
      <c r="P2529" s="31">
        <f t="shared" si="80"/>
        <v>0</v>
      </c>
      <c r="R2529" s="31">
        <f t="shared" si="81"/>
        <v>0</v>
      </c>
    </row>
    <row r="2530" spans="2:18" ht="30.75" customHeight="1" x14ac:dyDescent="0.3">
      <c r="B2530" s="32"/>
      <c r="P2530" s="31">
        <f t="shared" si="80"/>
        <v>0</v>
      </c>
      <c r="R2530" s="31">
        <f t="shared" si="81"/>
        <v>0</v>
      </c>
    </row>
    <row r="2531" spans="2:18" ht="30.75" customHeight="1" x14ac:dyDescent="0.3">
      <c r="B2531" s="32"/>
      <c r="P2531" s="31">
        <f t="shared" si="80"/>
        <v>0</v>
      </c>
      <c r="R2531" s="31">
        <f t="shared" si="81"/>
        <v>0</v>
      </c>
    </row>
    <row r="2532" spans="2:18" ht="30.75" customHeight="1" x14ac:dyDescent="0.3">
      <c r="B2532" s="32"/>
      <c r="P2532" s="31">
        <f t="shared" si="80"/>
        <v>0</v>
      </c>
      <c r="R2532" s="31">
        <f t="shared" si="81"/>
        <v>0</v>
      </c>
    </row>
    <row r="2533" spans="2:18" ht="30.75" customHeight="1" x14ac:dyDescent="0.3">
      <c r="B2533" s="32"/>
      <c r="P2533" s="31">
        <f t="shared" si="80"/>
        <v>0</v>
      </c>
      <c r="R2533" s="31">
        <f t="shared" si="81"/>
        <v>0</v>
      </c>
    </row>
    <row r="2534" spans="2:18" ht="30.75" customHeight="1" x14ac:dyDescent="0.3">
      <c r="B2534" s="32"/>
      <c r="P2534" s="31">
        <f t="shared" si="80"/>
        <v>0</v>
      </c>
      <c r="R2534" s="31">
        <f t="shared" si="81"/>
        <v>0</v>
      </c>
    </row>
    <row r="2535" spans="2:18" ht="30.75" customHeight="1" x14ac:dyDescent="0.3">
      <c r="B2535" s="32"/>
      <c r="P2535" s="31">
        <f t="shared" si="80"/>
        <v>0</v>
      </c>
      <c r="R2535" s="31">
        <f t="shared" si="81"/>
        <v>0</v>
      </c>
    </row>
    <row r="2536" spans="2:18" ht="30.75" customHeight="1" x14ac:dyDescent="0.3">
      <c r="B2536" s="32"/>
      <c r="P2536" s="31">
        <f t="shared" ref="P2536:P2599" si="82">K2536-L2536-M2536-N2536+O2536</f>
        <v>0</v>
      </c>
      <c r="R2536" s="31">
        <f t="shared" ref="R2536:R2599" si="83">R2535+K2536-L2536-M2536-N2536+O2536-Q2536</f>
        <v>0</v>
      </c>
    </row>
    <row r="2537" spans="2:18" ht="30.75" customHeight="1" x14ac:dyDescent="0.3">
      <c r="B2537" s="32"/>
      <c r="P2537" s="31">
        <f t="shared" si="82"/>
        <v>0</v>
      </c>
      <c r="R2537" s="31">
        <f t="shared" si="83"/>
        <v>0</v>
      </c>
    </row>
    <row r="2538" spans="2:18" ht="30.75" customHeight="1" x14ac:dyDescent="0.3">
      <c r="B2538" s="32"/>
      <c r="P2538" s="31">
        <f t="shared" si="82"/>
        <v>0</v>
      </c>
      <c r="R2538" s="31">
        <f t="shared" si="83"/>
        <v>0</v>
      </c>
    </row>
    <row r="2539" spans="2:18" ht="30.75" customHeight="1" x14ac:dyDescent="0.3">
      <c r="B2539" s="32"/>
      <c r="P2539" s="31">
        <f t="shared" si="82"/>
        <v>0</v>
      </c>
      <c r="R2539" s="31">
        <f t="shared" si="83"/>
        <v>0</v>
      </c>
    </row>
    <row r="2540" spans="2:18" ht="30.75" customHeight="1" x14ac:dyDescent="0.3">
      <c r="B2540" s="32"/>
      <c r="P2540" s="31">
        <f t="shared" si="82"/>
        <v>0</v>
      </c>
      <c r="R2540" s="31">
        <f t="shared" si="83"/>
        <v>0</v>
      </c>
    </row>
    <row r="2541" spans="2:18" ht="30.75" customHeight="1" x14ac:dyDescent="0.3">
      <c r="B2541" s="32"/>
      <c r="P2541" s="31">
        <f t="shared" si="82"/>
        <v>0</v>
      </c>
      <c r="R2541" s="31">
        <f t="shared" si="83"/>
        <v>0</v>
      </c>
    </row>
    <row r="2542" spans="2:18" ht="30.75" customHeight="1" x14ac:dyDescent="0.3">
      <c r="B2542" s="32"/>
      <c r="P2542" s="31">
        <f t="shared" si="82"/>
        <v>0</v>
      </c>
      <c r="R2542" s="31">
        <f t="shared" si="83"/>
        <v>0</v>
      </c>
    </row>
    <row r="2543" spans="2:18" ht="30.75" customHeight="1" x14ac:dyDescent="0.3">
      <c r="B2543" s="32"/>
      <c r="P2543" s="31">
        <f t="shared" si="82"/>
        <v>0</v>
      </c>
      <c r="R2543" s="31">
        <f t="shared" si="83"/>
        <v>0</v>
      </c>
    </row>
    <row r="2544" spans="2:18" ht="30.75" customHeight="1" x14ac:dyDescent="0.3">
      <c r="B2544" s="32"/>
      <c r="P2544" s="31">
        <f t="shared" si="82"/>
        <v>0</v>
      </c>
      <c r="R2544" s="31">
        <f t="shared" si="83"/>
        <v>0</v>
      </c>
    </row>
    <row r="2545" spans="2:18" ht="30.75" customHeight="1" x14ac:dyDescent="0.3">
      <c r="B2545" s="32"/>
      <c r="P2545" s="31">
        <f t="shared" si="82"/>
        <v>0</v>
      </c>
      <c r="R2545" s="31">
        <f t="shared" si="83"/>
        <v>0</v>
      </c>
    </row>
    <row r="2546" spans="2:18" ht="30.75" customHeight="1" x14ac:dyDescent="0.3">
      <c r="B2546" s="32"/>
      <c r="P2546" s="31">
        <f t="shared" si="82"/>
        <v>0</v>
      </c>
      <c r="R2546" s="31">
        <f t="shared" si="83"/>
        <v>0</v>
      </c>
    </row>
    <row r="2547" spans="2:18" ht="30.75" customHeight="1" x14ac:dyDescent="0.3">
      <c r="B2547" s="32"/>
      <c r="P2547" s="31">
        <f t="shared" si="82"/>
        <v>0</v>
      </c>
      <c r="R2547" s="31">
        <f t="shared" si="83"/>
        <v>0</v>
      </c>
    </row>
    <row r="2548" spans="2:18" ht="30.75" customHeight="1" x14ac:dyDescent="0.3">
      <c r="B2548" s="32"/>
      <c r="P2548" s="31">
        <f t="shared" si="82"/>
        <v>0</v>
      </c>
      <c r="R2548" s="31">
        <f t="shared" si="83"/>
        <v>0</v>
      </c>
    </row>
    <row r="2549" spans="2:18" ht="30.75" customHeight="1" x14ac:dyDescent="0.3">
      <c r="B2549" s="32"/>
      <c r="P2549" s="31">
        <f t="shared" si="82"/>
        <v>0</v>
      </c>
      <c r="R2549" s="31">
        <f t="shared" si="83"/>
        <v>0</v>
      </c>
    </row>
    <row r="2550" spans="2:18" ht="30.75" customHeight="1" x14ac:dyDescent="0.3">
      <c r="B2550" s="32"/>
      <c r="P2550" s="31">
        <f t="shared" si="82"/>
        <v>0</v>
      </c>
      <c r="R2550" s="31">
        <f t="shared" si="83"/>
        <v>0</v>
      </c>
    </row>
    <row r="2551" spans="2:18" ht="30.75" customHeight="1" x14ac:dyDescent="0.3">
      <c r="B2551" s="32"/>
      <c r="P2551" s="31">
        <f t="shared" si="82"/>
        <v>0</v>
      </c>
      <c r="R2551" s="31">
        <f t="shared" si="83"/>
        <v>0</v>
      </c>
    </row>
    <row r="2552" spans="2:18" ht="30.75" customHeight="1" x14ac:dyDescent="0.3">
      <c r="B2552" s="32"/>
      <c r="P2552" s="31">
        <f t="shared" si="82"/>
        <v>0</v>
      </c>
      <c r="R2552" s="31">
        <f t="shared" si="83"/>
        <v>0</v>
      </c>
    </row>
    <row r="2553" spans="2:18" ht="30.75" customHeight="1" x14ac:dyDescent="0.3">
      <c r="B2553" s="32"/>
      <c r="P2553" s="31">
        <f t="shared" si="82"/>
        <v>0</v>
      </c>
      <c r="R2553" s="31">
        <f t="shared" si="83"/>
        <v>0</v>
      </c>
    </row>
    <row r="2554" spans="2:18" ht="30.75" customHeight="1" x14ac:dyDescent="0.3">
      <c r="B2554" s="32"/>
      <c r="P2554" s="31">
        <f t="shared" si="82"/>
        <v>0</v>
      </c>
      <c r="R2554" s="31">
        <f t="shared" si="83"/>
        <v>0</v>
      </c>
    </row>
    <row r="2555" spans="2:18" ht="30.75" customHeight="1" x14ac:dyDescent="0.3">
      <c r="B2555" s="32"/>
      <c r="P2555" s="31">
        <f t="shared" si="82"/>
        <v>0</v>
      </c>
      <c r="R2555" s="31">
        <f t="shared" si="83"/>
        <v>0</v>
      </c>
    </row>
    <row r="2556" spans="2:18" ht="30.75" customHeight="1" x14ac:dyDescent="0.3">
      <c r="B2556" s="32"/>
      <c r="P2556" s="31">
        <f t="shared" si="82"/>
        <v>0</v>
      </c>
      <c r="R2556" s="31">
        <f t="shared" si="83"/>
        <v>0</v>
      </c>
    </row>
    <row r="2557" spans="2:18" ht="30.75" customHeight="1" x14ac:dyDescent="0.3">
      <c r="B2557" s="32"/>
      <c r="P2557" s="31">
        <f t="shared" si="82"/>
        <v>0</v>
      </c>
      <c r="R2557" s="31">
        <f t="shared" si="83"/>
        <v>0</v>
      </c>
    </row>
    <row r="2558" spans="2:18" ht="30.75" customHeight="1" x14ac:dyDescent="0.3">
      <c r="B2558" s="32"/>
      <c r="P2558" s="31">
        <f t="shared" si="82"/>
        <v>0</v>
      </c>
      <c r="R2558" s="31">
        <f t="shared" si="83"/>
        <v>0</v>
      </c>
    </row>
    <row r="2559" spans="2:18" ht="30.75" customHeight="1" x14ac:dyDescent="0.3">
      <c r="B2559" s="32"/>
      <c r="P2559" s="31">
        <f t="shared" si="82"/>
        <v>0</v>
      </c>
      <c r="R2559" s="31">
        <f t="shared" si="83"/>
        <v>0</v>
      </c>
    </row>
    <row r="2560" spans="2:18" ht="30.75" customHeight="1" x14ac:dyDescent="0.3">
      <c r="B2560" s="32"/>
      <c r="P2560" s="31">
        <f t="shared" si="82"/>
        <v>0</v>
      </c>
      <c r="R2560" s="31">
        <f t="shared" si="83"/>
        <v>0</v>
      </c>
    </row>
    <row r="2561" spans="2:18" ht="30.75" customHeight="1" x14ac:dyDescent="0.3">
      <c r="B2561" s="32"/>
      <c r="P2561" s="31">
        <f t="shared" si="82"/>
        <v>0</v>
      </c>
      <c r="R2561" s="31">
        <f t="shared" si="83"/>
        <v>0</v>
      </c>
    </row>
    <row r="2562" spans="2:18" ht="30.75" customHeight="1" x14ac:dyDescent="0.3">
      <c r="B2562" s="32"/>
      <c r="P2562" s="31">
        <f t="shared" si="82"/>
        <v>0</v>
      </c>
      <c r="R2562" s="31">
        <f t="shared" si="83"/>
        <v>0</v>
      </c>
    </row>
    <row r="2563" spans="2:18" ht="30.75" customHeight="1" x14ac:dyDescent="0.3">
      <c r="B2563" s="32"/>
      <c r="P2563" s="31">
        <f t="shared" si="82"/>
        <v>0</v>
      </c>
      <c r="R2563" s="31">
        <f t="shared" si="83"/>
        <v>0</v>
      </c>
    </row>
    <row r="2564" spans="2:18" ht="30.75" customHeight="1" x14ac:dyDescent="0.3">
      <c r="B2564" s="32"/>
      <c r="P2564" s="31">
        <f t="shared" si="82"/>
        <v>0</v>
      </c>
      <c r="R2564" s="31">
        <f t="shared" si="83"/>
        <v>0</v>
      </c>
    </row>
    <row r="2565" spans="2:18" ht="30.75" customHeight="1" x14ac:dyDescent="0.3">
      <c r="B2565" s="32"/>
      <c r="P2565" s="31">
        <f t="shared" si="82"/>
        <v>0</v>
      </c>
      <c r="R2565" s="31">
        <f t="shared" si="83"/>
        <v>0</v>
      </c>
    </row>
    <row r="2566" spans="2:18" ht="30.75" customHeight="1" x14ac:dyDescent="0.3">
      <c r="B2566" s="32"/>
      <c r="P2566" s="31">
        <f t="shared" si="82"/>
        <v>0</v>
      </c>
      <c r="R2566" s="31">
        <f t="shared" si="83"/>
        <v>0</v>
      </c>
    </row>
    <row r="2567" spans="2:18" ht="30.75" customHeight="1" x14ac:dyDescent="0.3">
      <c r="B2567" s="32"/>
      <c r="P2567" s="31">
        <f t="shared" si="82"/>
        <v>0</v>
      </c>
      <c r="R2567" s="31">
        <f t="shared" si="83"/>
        <v>0</v>
      </c>
    </row>
    <row r="2568" spans="2:18" ht="30.75" customHeight="1" x14ac:dyDescent="0.3">
      <c r="B2568" s="32"/>
      <c r="P2568" s="31">
        <f t="shared" si="82"/>
        <v>0</v>
      </c>
      <c r="R2568" s="31">
        <f t="shared" si="83"/>
        <v>0</v>
      </c>
    </row>
    <row r="2569" spans="2:18" ht="30.75" customHeight="1" x14ac:dyDescent="0.3">
      <c r="B2569" s="32"/>
      <c r="P2569" s="31">
        <f t="shared" si="82"/>
        <v>0</v>
      </c>
      <c r="R2569" s="31">
        <f t="shared" si="83"/>
        <v>0</v>
      </c>
    </row>
    <row r="2570" spans="2:18" ht="30.75" customHeight="1" x14ac:dyDescent="0.3">
      <c r="B2570" s="32"/>
      <c r="P2570" s="31">
        <f t="shared" si="82"/>
        <v>0</v>
      </c>
      <c r="R2570" s="31">
        <f t="shared" si="83"/>
        <v>0</v>
      </c>
    </row>
    <row r="2571" spans="2:18" ht="30.75" customHeight="1" x14ac:dyDescent="0.3">
      <c r="B2571" s="32"/>
      <c r="P2571" s="31">
        <f t="shared" si="82"/>
        <v>0</v>
      </c>
      <c r="R2571" s="31">
        <f t="shared" si="83"/>
        <v>0</v>
      </c>
    </row>
    <row r="2572" spans="2:18" ht="30.75" customHeight="1" x14ac:dyDescent="0.3">
      <c r="B2572" s="32"/>
      <c r="P2572" s="31">
        <f t="shared" si="82"/>
        <v>0</v>
      </c>
      <c r="R2572" s="31">
        <f t="shared" si="83"/>
        <v>0</v>
      </c>
    </row>
    <row r="2573" spans="2:18" ht="30.75" customHeight="1" x14ac:dyDescent="0.3">
      <c r="B2573" s="32"/>
      <c r="P2573" s="31">
        <f t="shared" si="82"/>
        <v>0</v>
      </c>
      <c r="R2573" s="31">
        <f t="shared" si="83"/>
        <v>0</v>
      </c>
    </row>
    <row r="2574" spans="2:18" ht="30.75" customHeight="1" x14ac:dyDescent="0.3">
      <c r="B2574" s="32"/>
      <c r="P2574" s="31">
        <f t="shared" si="82"/>
        <v>0</v>
      </c>
      <c r="R2574" s="31">
        <f t="shared" si="83"/>
        <v>0</v>
      </c>
    </row>
    <row r="2575" spans="2:18" ht="30.75" customHeight="1" x14ac:dyDescent="0.3">
      <c r="B2575" s="32"/>
      <c r="P2575" s="31">
        <f t="shared" si="82"/>
        <v>0</v>
      </c>
      <c r="R2575" s="31">
        <f t="shared" si="83"/>
        <v>0</v>
      </c>
    </row>
    <row r="2576" spans="2:18" ht="30.75" customHeight="1" x14ac:dyDescent="0.3">
      <c r="B2576" s="32"/>
      <c r="P2576" s="31">
        <f t="shared" si="82"/>
        <v>0</v>
      </c>
      <c r="R2576" s="31">
        <f t="shared" si="83"/>
        <v>0</v>
      </c>
    </row>
    <row r="2577" spans="2:18" ht="30.75" customHeight="1" x14ac:dyDescent="0.3">
      <c r="B2577" s="32"/>
      <c r="P2577" s="31">
        <f t="shared" si="82"/>
        <v>0</v>
      </c>
      <c r="R2577" s="31">
        <f t="shared" si="83"/>
        <v>0</v>
      </c>
    </row>
    <row r="2578" spans="2:18" ht="30.75" customHeight="1" x14ac:dyDescent="0.3">
      <c r="B2578" s="32"/>
      <c r="P2578" s="31">
        <f t="shared" si="82"/>
        <v>0</v>
      </c>
      <c r="R2578" s="31">
        <f t="shared" si="83"/>
        <v>0</v>
      </c>
    </row>
    <row r="2579" spans="2:18" ht="30.75" customHeight="1" x14ac:dyDescent="0.3">
      <c r="B2579" s="32"/>
      <c r="P2579" s="31">
        <f t="shared" si="82"/>
        <v>0</v>
      </c>
      <c r="R2579" s="31">
        <f t="shared" si="83"/>
        <v>0</v>
      </c>
    </row>
    <row r="2580" spans="2:18" ht="30.75" customHeight="1" x14ac:dyDescent="0.3">
      <c r="B2580" s="32"/>
      <c r="P2580" s="31">
        <f t="shared" si="82"/>
        <v>0</v>
      </c>
      <c r="R2580" s="31">
        <f t="shared" si="83"/>
        <v>0</v>
      </c>
    </row>
    <row r="2581" spans="2:18" ht="30.75" customHeight="1" x14ac:dyDescent="0.3">
      <c r="B2581" s="32"/>
      <c r="P2581" s="31">
        <f t="shared" si="82"/>
        <v>0</v>
      </c>
      <c r="R2581" s="31">
        <f t="shared" si="83"/>
        <v>0</v>
      </c>
    </row>
    <row r="2582" spans="2:18" ht="30.75" customHeight="1" x14ac:dyDescent="0.3">
      <c r="B2582" s="32"/>
      <c r="P2582" s="31">
        <f t="shared" si="82"/>
        <v>0</v>
      </c>
      <c r="R2582" s="31">
        <f t="shared" si="83"/>
        <v>0</v>
      </c>
    </row>
    <row r="2583" spans="2:18" ht="30.75" customHeight="1" x14ac:dyDescent="0.3">
      <c r="B2583" s="32"/>
      <c r="P2583" s="31">
        <f t="shared" si="82"/>
        <v>0</v>
      </c>
      <c r="R2583" s="31">
        <f t="shared" si="83"/>
        <v>0</v>
      </c>
    </row>
    <row r="2584" spans="2:18" ht="30.75" customHeight="1" x14ac:dyDescent="0.3">
      <c r="B2584" s="32"/>
      <c r="P2584" s="31">
        <f t="shared" si="82"/>
        <v>0</v>
      </c>
      <c r="R2584" s="31">
        <f t="shared" si="83"/>
        <v>0</v>
      </c>
    </row>
    <row r="2585" spans="2:18" ht="30.75" customHeight="1" x14ac:dyDescent="0.3">
      <c r="B2585" s="32"/>
      <c r="P2585" s="31">
        <f t="shared" si="82"/>
        <v>0</v>
      </c>
      <c r="R2585" s="31">
        <f t="shared" si="83"/>
        <v>0</v>
      </c>
    </row>
    <row r="2586" spans="2:18" ht="30.75" customHeight="1" x14ac:dyDescent="0.3">
      <c r="B2586" s="32"/>
      <c r="P2586" s="31">
        <f t="shared" si="82"/>
        <v>0</v>
      </c>
      <c r="R2586" s="31">
        <f t="shared" si="83"/>
        <v>0</v>
      </c>
    </row>
    <row r="2587" spans="2:18" ht="30.75" customHeight="1" x14ac:dyDescent="0.3">
      <c r="B2587" s="32"/>
      <c r="P2587" s="31">
        <f t="shared" si="82"/>
        <v>0</v>
      </c>
      <c r="R2587" s="31">
        <f t="shared" si="83"/>
        <v>0</v>
      </c>
    </row>
    <row r="2588" spans="2:18" ht="30.75" customHeight="1" x14ac:dyDescent="0.3">
      <c r="B2588" s="32"/>
      <c r="P2588" s="31">
        <f t="shared" si="82"/>
        <v>0</v>
      </c>
      <c r="R2588" s="31">
        <f t="shared" si="83"/>
        <v>0</v>
      </c>
    </row>
    <row r="2589" spans="2:18" ht="30.75" customHeight="1" x14ac:dyDescent="0.3">
      <c r="B2589" s="32"/>
      <c r="P2589" s="31">
        <f t="shared" si="82"/>
        <v>0</v>
      </c>
      <c r="R2589" s="31">
        <f t="shared" si="83"/>
        <v>0</v>
      </c>
    </row>
    <row r="2590" spans="2:18" ht="30.75" customHeight="1" x14ac:dyDescent="0.3">
      <c r="B2590" s="32"/>
      <c r="P2590" s="31">
        <f t="shared" si="82"/>
        <v>0</v>
      </c>
      <c r="R2590" s="31">
        <f t="shared" si="83"/>
        <v>0</v>
      </c>
    </row>
    <row r="2591" spans="2:18" ht="30.75" customHeight="1" x14ac:dyDescent="0.3">
      <c r="B2591" s="32"/>
      <c r="P2591" s="31">
        <f t="shared" si="82"/>
        <v>0</v>
      </c>
      <c r="R2591" s="31">
        <f t="shared" si="83"/>
        <v>0</v>
      </c>
    </row>
    <row r="2592" spans="2:18" ht="30.75" customHeight="1" x14ac:dyDescent="0.3">
      <c r="B2592" s="32"/>
      <c r="P2592" s="31">
        <f t="shared" si="82"/>
        <v>0</v>
      </c>
      <c r="R2592" s="31">
        <f t="shared" si="83"/>
        <v>0</v>
      </c>
    </row>
    <row r="2593" spans="2:18" ht="30.75" customHeight="1" x14ac:dyDescent="0.3">
      <c r="B2593" s="32"/>
      <c r="P2593" s="31">
        <f t="shared" si="82"/>
        <v>0</v>
      </c>
      <c r="R2593" s="31">
        <f t="shared" si="83"/>
        <v>0</v>
      </c>
    </row>
    <row r="2594" spans="2:18" ht="30.75" customHeight="1" x14ac:dyDescent="0.3">
      <c r="B2594" s="32"/>
      <c r="P2594" s="31">
        <f t="shared" si="82"/>
        <v>0</v>
      </c>
      <c r="R2594" s="31">
        <f t="shared" si="83"/>
        <v>0</v>
      </c>
    </row>
    <row r="2595" spans="2:18" ht="30.75" customHeight="1" x14ac:dyDescent="0.3">
      <c r="B2595" s="32"/>
      <c r="P2595" s="31">
        <f t="shared" si="82"/>
        <v>0</v>
      </c>
      <c r="R2595" s="31">
        <f t="shared" si="83"/>
        <v>0</v>
      </c>
    </row>
    <row r="2596" spans="2:18" ht="30.75" customHeight="1" x14ac:dyDescent="0.3">
      <c r="B2596" s="32"/>
      <c r="P2596" s="31">
        <f t="shared" si="82"/>
        <v>0</v>
      </c>
      <c r="R2596" s="31">
        <f t="shared" si="83"/>
        <v>0</v>
      </c>
    </row>
    <row r="2597" spans="2:18" ht="30.75" customHeight="1" x14ac:dyDescent="0.3">
      <c r="B2597" s="32"/>
      <c r="P2597" s="31">
        <f t="shared" si="82"/>
        <v>0</v>
      </c>
      <c r="R2597" s="31">
        <f t="shared" si="83"/>
        <v>0</v>
      </c>
    </row>
    <row r="2598" spans="2:18" ht="30.75" customHeight="1" x14ac:dyDescent="0.3">
      <c r="B2598" s="32"/>
      <c r="P2598" s="31">
        <f t="shared" si="82"/>
        <v>0</v>
      </c>
      <c r="R2598" s="31">
        <f t="shared" si="83"/>
        <v>0</v>
      </c>
    </row>
    <row r="2599" spans="2:18" ht="30.75" customHeight="1" x14ac:dyDescent="0.3">
      <c r="B2599" s="32"/>
      <c r="P2599" s="31">
        <f t="shared" si="82"/>
        <v>0</v>
      </c>
      <c r="R2599" s="31">
        <f t="shared" si="83"/>
        <v>0</v>
      </c>
    </row>
    <row r="2600" spans="2:18" ht="30.75" customHeight="1" x14ac:dyDescent="0.3">
      <c r="B2600" s="32"/>
      <c r="P2600" s="31">
        <f t="shared" ref="P2600:P2663" si="84">K2600-L2600-M2600-N2600+O2600</f>
        <v>0</v>
      </c>
      <c r="R2600" s="31">
        <f t="shared" ref="R2600:R2663" si="85">R2599+K2600-L2600-M2600-N2600+O2600-Q2600</f>
        <v>0</v>
      </c>
    </row>
    <row r="2601" spans="2:18" ht="30.75" customHeight="1" x14ac:dyDescent="0.3">
      <c r="B2601" s="32"/>
      <c r="P2601" s="31">
        <f t="shared" si="84"/>
        <v>0</v>
      </c>
      <c r="R2601" s="31">
        <f t="shared" si="85"/>
        <v>0</v>
      </c>
    </row>
    <row r="2602" spans="2:18" ht="30.75" customHeight="1" x14ac:dyDescent="0.3">
      <c r="B2602" s="32"/>
      <c r="P2602" s="31">
        <f t="shared" si="84"/>
        <v>0</v>
      </c>
      <c r="R2602" s="31">
        <f t="shared" si="85"/>
        <v>0</v>
      </c>
    </row>
    <row r="2603" spans="2:18" ht="30.75" customHeight="1" x14ac:dyDescent="0.3">
      <c r="B2603" s="32"/>
      <c r="P2603" s="31">
        <f t="shared" si="84"/>
        <v>0</v>
      </c>
      <c r="R2603" s="31">
        <f t="shared" si="85"/>
        <v>0</v>
      </c>
    </row>
    <row r="2604" spans="2:18" ht="30.75" customHeight="1" x14ac:dyDescent="0.3">
      <c r="B2604" s="32"/>
      <c r="P2604" s="31">
        <f t="shared" si="84"/>
        <v>0</v>
      </c>
      <c r="R2604" s="31">
        <f t="shared" si="85"/>
        <v>0</v>
      </c>
    </row>
    <row r="2605" spans="2:18" ht="30.75" customHeight="1" x14ac:dyDescent="0.3">
      <c r="B2605" s="32"/>
      <c r="P2605" s="31">
        <f t="shared" si="84"/>
        <v>0</v>
      </c>
      <c r="R2605" s="31">
        <f t="shared" si="85"/>
        <v>0</v>
      </c>
    </row>
    <row r="2606" spans="2:18" ht="30.75" customHeight="1" x14ac:dyDescent="0.3">
      <c r="B2606" s="32"/>
      <c r="P2606" s="31">
        <f t="shared" si="84"/>
        <v>0</v>
      </c>
      <c r="R2606" s="31">
        <f t="shared" si="85"/>
        <v>0</v>
      </c>
    </row>
    <row r="2607" spans="2:18" ht="30.75" customHeight="1" x14ac:dyDescent="0.3">
      <c r="B2607" s="32"/>
      <c r="P2607" s="31">
        <f t="shared" si="84"/>
        <v>0</v>
      </c>
      <c r="R2607" s="31">
        <f t="shared" si="85"/>
        <v>0</v>
      </c>
    </row>
    <row r="2608" spans="2:18" ht="30.75" customHeight="1" x14ac:dyDescent="0.3">
      <c r="B2608" s="32"/>
      <c r="P2608" s="31">
        <f t="shared" si="84"/>
        <v>0</v>
      </c>
      <c r="R2608" s="31">
        <f t="shared" si="85"/>
        <v>0</v>
      </c>
    </row>
    <row r="2609" spans="2:18" ht="30.75" customHeight="1" x14ac:dyDescent="0.3">
      <c r="B2609" s="32"/>
      <c r="P2609" s="31">
        <f t="shared" si="84"/>
        <v>0</v>
      </c>
      <c r="R2609" s="31">
        <f t="shared" si="85"/>
        <v>0</v>
      </c>
    </row>
    <row r="2610" spans="2:18" ht="30.75" customHeight="1" x14ac:dyDescent="0.3">
      <c r="B2610" s="32"/>
      <c r="P2610" s="31">
        <f t="shared" si="84"/>
        <v>0</v>
      </c>
      <c r="R2610" s="31">
        <f t="shared" si="85"/>
        <v>0</v>
      </c>
    </row>
    <row r="2611" spans="2:18" ht="30.75" customHeight="1" x14ac:dyDescent="0.3">
      <c r="B2611" s="32"/>
      <c r="P2611" s="31">
        <f t="shared" si="84"/>
        <v>0</v>
      </c>
      <c r="R2611" s="31">
        <f t="shared" si="85"/>
        <v>0</v>
      </c>
    </row>
    <row r="2612" spans="2:18" ht="30.75" customHeight="1" x14ac:dyDescent="0.3">
      <c r="B2612" s="32"/>
      <c r="P2612" s="31">
        <f t="shared" si="84"/>
        <v>0</v>
      </c>
      <c r="R2612" s="31">
        <f t="shared" si="85"/>
        <v>0</v>
      </c>
    </row>
    <row r="2613" spans="2:18" ht="30.75" customHeight="1" x14ac:dyDescent="0.3">
      <c r="B2613" s="32"/>
      <c r="P2613" s="31">
        <f t="shared" si="84"/>
        <v>0</v>
      </c>
      <c r="R2613" s="31">
        <f t="shared" si="85"/>
        <v>0</v>
      </c>
    </row>
    <row r="2614" spans="2:18" ht="30.75" customHeight="1" x14ac:dyDescent="0.3">
      <c r="B2614" s="32"/>
      <c r="P2614" s="31">
        <f t="shared" si="84"/>
        <v>0</v>
      </c>
      <c r="R2614" s="31">
        <f t="shared" si="85"/>
        <v>0</v>
      </c>
    </row>
    <row r="2615" spans="2:18" ht="30.75" customHeight="1" x14ac:dyDescent="0.3">
      <c r="B2615" s="32"/>
      <c r="P2615" s="31">
        <f t="shared" si="84"/>
        <v>0</v>
      </c>
      <c r="R2615" s="31">
        <f t="shared" si="85"/>
        <v>0</v>
      </c>
    </row>
    <row r="2616" spans="2:18" ht="30.75" customHeight="1" x14ac:dyDescent="0.3">
      <c r="B2616" s="32"/>
      <c r="P2616" s="31">
        <f t="shared" si="84"/>
        <v>0</v>
      </c>
      <c r="R2616" s="31">
        <f t="shared" si="85"/>
        <v>0</v>
      </c>
    </row>
    <row r="2617" spans="2:18" ht="30.75" customHeight="1" x14ac:dyDescent="0.3">
      <c r="B2617" s="32"/>
      <c r="P2617" s="31">
        <f t="shared" si="84"/>
        <v>0</v>
      </c>
      <c r="R2617" s="31">
        <f t="shared" si="85"/>
        <v>0</v>
      </c>
    </row>
    <row r="2618" spans="2:18" ht="30.75" customHeight="1" x14ac:dyDescent="0.3">
      <c r="B2618" s="32"/>
      <c r="P2618" s="31">
        <f t="shared" si="84"/>
        <v>0</v>
      </c>
      <c r="R2618" s="31">
        <f t="shared" si="85"/>
        <v>0</v>
      </c>
    </row>
    <row r="2619" spans="2:18" ht="30.75" customHeight="1" x14ac:dyDescent="0.3">
      <c r="B2619" s="32"/>
      <c r="P2619" s="31">
        <f t="shared" si="84"/>
        <v>0</v>
      </c>
      <c r="R2619" s="31">
        <f t="shared" si="85"/>
        <v>0</v>
      </c>
    </row>
    <row r="2620" spans="2:18" ht="30.75" customHeight="1" x14ac:dyDescent="0.3">
      <c r="B2620" s="32"/>
      <c r="P2620" s="31">
        <f t="shared" si="84"/>
        <v>0</v>
      </c>
      <c r="R2620" s="31">
        <f t="shared" si="85"/>
        <v>0</v>
      </c>
    </row>
    <row r="2621" spans="2:18" ht="30.75" customHeight="1" x14ac:dyDescent="0.3">
      <c r="B2621" s="32"/>
      <c r="P2621" s="31">
        <f t="shared" si="84"/>
        <v>0</v>
      </c>
      <c r="R2621" s="31">
        <f t="shared" si="85"/>
        <v>0</v>
      </c>
    </row>
    <row r="2622" spans="2:18" ht="30.75" customHeight="1" x14ac:dyDescent="0.3">
      <c r="B2622" s="32"/>
      <c r="P2622" s="31">
        <f t="shared" si="84"/>
        <v>0</v>
      </c>
      <c r="R2622" s="31">
        <f t="shared" si="85"/>
        <v>0</v>
      </c>
    </row>
    <row r="2623" spans="2:18" ht="30.75" customHeight="1" x14ac:dyDescent="0.3">
      <c r="B2623" s="32"/>
      <c r="P2623" s="31">
        <f t="shared" si="84"/>
        <v>0</v>
      </c>
      <c r="R2623" s="31">
        <f t="shared" si="85"/>
        <v>0</v>
      </c>
    </row>
    <row r="2624" spans="2:18" ht="30.75" customHeight="1" x14ac:dyDescent="0.3">
      <c r="B2624" s="32"/>
      <c r="P2624" s="31">
        <f t="shared" si="84"/>
        <v>0</v>
      </c>
      <c r="R2624" s="31">
        <f t="shared" si="85"/>
        <v>0</v>
      </c>
    </row>
    <row r="2625" spans="2:18" ht="30.75" customHeight="1" x14ac:dyDescent="0.3">
      <c r="B2625" s="32"/>
      <c r="P2625" s="31">
        <f t="shared" si="84"/>
        <v>0</v>
      </c>
      <c r="R2625" s="31">
        <f t="shared" si="85"/>
        <v>0</v>
      </c>
    </row>
    <row r="2626" spans="2:18" ht="30.75" customHeight="1" x14ac:dyDescent="0.3">
      <c r="B2626" s="32"/>
      <c r="P2626" s="31">
        <f t="shared" si="84"/>
        <v>0</v>
      </c>
      <c r="R2626" s="31">
        <f t="shared" si="85"/>
        <v>0</v>
      </c>
    </row>
    <row r="2627" spans="2:18" ht="30.75" customHeight="1" x14ac:dyDescent="0.3">
      <c r="B2627" s="32"/>
      <c r="P2627" s="31">
        <f t="shared" si="84"/>
        <v>0</v>
      </c>
      <c r="R2627" s="31">
        <f t="shared" si="85"/>
        <v>0</v>
      </c>
    </row>
    <row r="2628" spans="2:18" ht="30.75" customHeight="1" x14ac:dyDescent="0.3">
      <c r="B2628" s="32"/>
      <c r="P2628" s="31">
        <f t="shared" si="84"/>
        <v>0</v>
      </c>
      <c r="R2628" s="31">
        <f t="shared" si="85"/>
        <v>0</v>
      </c>
    </row>
    <row r="2629" spans="2:18" ht="30.75" customHeight="1" x14ac:dyDescent="0.3">
      <c r="B2629" s="32"/>
      <c r="P2629" s="31">
        <f t="shared" si="84"/>
        <v>0</v>
      </c>
      <c r="R2629" s="31">
        <f t="shared" si="85"/>
        <v>0</v>
      </c>
    </row>
    <row r="2630" spans="2:18" ht="30.75" customHeight="1" x14ac:dyDescent="0.3">
      <c r="B2630" s="32"/>
      <c r="P2630" s="31">
        <f t="shared" si="84"/>
        <v>0</v>
      </c>
      <c r="R2630" s="31">
        <f t="shared" si="85"/>
        <v>0</v>
      </c>
    </row>
    <row r="2631" spans="2:18" ht="30.75" customHeight="1" x14ac:dyDescent="0.3">
      <c r="B2631" s="32"/>
      <c r="P2631" s="31">
        <f t="shared" si="84"/>
        <v>0</v>
      </c>
      <c r="R2631" s="31">
        <f t="shared" si="85"/>
        <v>0</v>
      </c>
    </row>
    <row r="2632" spans="2:18" ht="30.75" customHeight="1" x14ac:dyDescent="0.3">
      <c r="B2632" s="32"/>
      <c r="P2632" s="31">
        <f t="shared" si="84"/>
        <v>0</v>
      </c>
      <c r="R2632" s="31">
        <f t="shared" si="85"/>
        <v>0</v>
      </c>
    </row>
    <row r="2633" spans="2:18" ht="30.75" customHeight="1" x14ac:dyDescent="0.3">
      <c r="B2633" s="32"/>
      <c r="P2633" s="31">
        <f t="shared" si="84"/>
        <v>0</v>
      </c>
      <c r="R2633" s="31">
        <f t="shared" si="85"/>
        <v>0</v>
      </c>
    </row>
    <row r="2634" spans="2:18" ht="30.75" customHeight="1" x14ac:dyDescent="0.3">
      <c r="B2634" s="32"/>
      <c r="P2634" s="31">
        <f t="shared" si="84"/>
        <v>0</v>
      </c>
      <c r="R2634" s="31">
        <f t="shared" si="85"/>
        <v>0</v>
      </c>
    </row>
    <row r="2635" spans="2:18" ht="30.75" customHeight="1" x14ac:dyDescent="0.3">
      <c r="B2635" s="32"/>
      <c r="P2635" s="31">
        <f t="shared" si="84"/>
        <v>0</v>
      </c>
      <c r="R2635" s="31">
        <f t="shared" si="85"/>
        <v>0</v>
      </c>
    </row>
    <row r="2636" spans="2:18" ht="30.75" customHeight="1" x14ac:dyDescent="0.3">
      <c r="B2636" s="32"/>
      <c r="P2636" s="31">
        <f t="shared" si="84"/>
        <v>0</v>
      </c>
      <c r="R2636" s="31">
        <f t="shared" si="85"/>
        <v>0</v>
      </c>
    </row>
    <row r="2637" spans="2:18" ht="30.75" customHeight="1" x14ac:dyDescent="0.3">
      <c r="B2637" s="32"/>
      <c r="P2637" s="31">
        <f t="shared" si="84"/>
        <v>0</v>
      </c>
      <c r="R2637" s="31">
        <f t="shared" si="85"/>
        <v>0</v>
      </c>
    </row>
    <row r="2638" spans="2:18" ht="30.75" customHeight="1" x14ac:dyDescent="0.3">
      <c r="B2638" s="32"/>
      <c r="P2638" s="31">
        <f t="shared" si="84"/>
        <v>0</v>
      </c>
      <c r="R2638" s="31">
        <f t="shared" si="85"/>
        <v>0</v>
      </c>
    </row>
    <row r="2639" spans="2:18" ht="30.75" customHeight="1" x14ac:dyDescent="0.3">
      <c r="B2639" s="32"/>
      <c r="P2639" s="31">
        <f t="shared" si="84"/>
        <v>0</v>
      </c>
      <c r="R2639" s="31">
        <f t="shared" si="85"/>
        <v>0</v>
      </c>
    </row>
    <row r="2640" spans="2:18" ht="30.75" customHeight="1" x14ac:dyDescent="0.3">
      <c r="B2640" s="32"/>
      <c r="P2640" s="31">
        <f t="shared" si="84"/>
        <v>0</v>
      </c>
      <c r="R2640" s="31">
        <f t="shared" si="85"/>
        <v>0</v>
      </c>
    </row>
    <row r="2641" spans="2:18" ht="30.75" customHeight="1" x14ac:dyDescent="0.3">
      <c r="B2641" s="32"/>
      <c r="P2641" s="31">
        <f t="shared" si="84"/>
        <v>0</v>
      </c>
      <c r="R2641" s="31">
        <f t="shared" si="85"/>
        <v>0</v>
      </c>
    </row>
    <row r="2642" spans="2:18" ht="30.75" customHeight="1" x14ac:dyDescent="0.3">
      <c r="B2642" s="32"/>
      <c r="P2642" s="31">
        <f t="shared" si="84"/>
        <v>0</v>
      </c>
      <c r="R2642" s="31">
        <f t="shared" si="85"/>
        <v>0</v>
      </c>
    </row>
    <row r="2643" spans="2:18" ht="30.75" customHeight="1" x14ac:dyDescent="0.3">
      <c r="B2643" s="32"/>
      <c r="P2643" s="31">
        <f t="shared" si="84"/>
        <v>0</v>
      </c>
      <c r="R2643" s="31">
        <f t="shared" si="85"/>
        <v>0</v>
      </c>
    </row>
    <row r="2644" spans="2:18" ht="30.75" customHeight="1" x14ac:dyDescent="0.3">
      <c r="B2644" s="32"/>
      <c r="P2644" s="31">
        <f t="shared" si="84"/>
        <v>0</v>
      </c>
      <c r="R2644" s="31">
        <f t="shared" si="85"/>
        <v>0</v>
      </c>
    </row>
    <row r="2645" spans="2:18" ht="30.75" customHeight="1" x14ac:dyDescent="0.3">
      <c r="B2645" s="32"/>
      <c r="P2645" s="31">
        <f t="shared" si="84"/>
        <v>0</v>
      </c>
      <c r="R2645" s="31">
        <f t="shared" si="85"/>
        <v>0</v>
      </c>
    </row>
    <row r="2646" spans="2:18" ht="30.75" customHeight="1" x14ac:dyDescent="0.3">
      <c r="B2646" s="32"/>
      <c r="P2646" s="31">
        <f t="shared" si="84"/>
        <v>0</v>
      </c>
      <c r="R2646" s="31">
        <f t="shared" si="85"/>
        <v>0</v>
      </c>
    </row>
    <row r="2647" spans="2:18" ht="30.75" customHeight="1" x14ac:dyDescent="0.3">
      <c r="B2647" s="32"/>
      <c r="P2647" s="31">
        <f t="shared" si="84"/>
        <v>0</v>
      </c>
      <c r="R2647" s="31">
        <f t="shared" si="85"/>
        <v>0</v>
      </c>
    </row>
    <row r="2648" spans="2:18" ht="30.75" customHeight="1" x14ac:dyDescent="0.3">
      <c r="B2648" s="32"/>
      <c r="P2648" s="31">
        <f t="shared" si="84"/>
        <v>0</v>
      </c>
      <c r="R2648" s="31">
        <f t="shared" si="85"/>
        <v>0</v>
      </c>
    </row>
    <row r="2649" spans="2:18" ht="30.75" customHeight="1" x14ac:dyDescent="0.3">
      <c r="B2649" s="32"/>
      <c r="P2649" s="31">
        <f t="shared" si="84"/>
        <v>0</v>
      </c>
      <c r="R2649" s="31">
        <f t="shared" si="85"/>
        <v>0</v>
      </c>
    </row>
    <row r="2650" spans="2:18" ht="30.75" customHeight="1" x14ac:dyDescent="0.3">
      <c r="B2650" s="32"/>
      <c r="P2650" s="31">
        <f t="shared" si="84"/>
        <v>0</v>
      </c>
      <c r="R2650" s="31">
        <f t="shared" si="85"/>
        <v>0</v>
      </c>
    </row>
    <row r="2651" spans="2:18" ht="30.75" customHeight="1" x14ac:dyDescent="0.3">
      <c r="B2651" s="32"/>
      <c r="P2651" s="31">
        <f t="shared" si="84"/>
        <v>0</v>
      </c>
      <c r="R2651" s="31">
        <f t="shared" si="85"/>
        <v>0</v>
      </c>
    </row>
    <row r="2652" spans="2:18" ht="30.75" customHeight="1" x14ac:dyDescent="0.3">
      <c r="B2652" s="32"/>
      <c r="P2652" s="31">
        <f t="shared" si="84"/>
        <v>0</v>
      </c>
      <c r="R2652" s="31">
        <f t="shared" si="85"/>
        <v>0</v>
      </c>
    </row>
    <row r="2653" spans="2:18" ht="30.75" customHeight="1" x14ac:dyDescent="0.3">
      <c r="B2653" s="32"/>
      <c r="P2653" s="31">
        <f t="shared" si="84"/>
        <v>0</v>
      </c>
      <c r="R2653" s="31">
        <f t="shared" si="85"/>
        <v>0</v>
      </c>
    </row>
    <row r="2654" spans="2:18" ht="30.75" customHeight="1" x14ac:dyDescent="0.3">
      <c r="B2654" s="32"/>
      <c r="P2654" s="31">
        <f t="shared" si="84"/>
        <v>0</v>
      </c>
      <c r="R2654" s="31">
        <f t="shared" si="85"/>
        <v>0</v>
      </c>
    </row>
    <row r="2655" spans="2:18" ht="30.75" customHeight="1" x14ac:dyDescent="0.3">
      <c r="B2655" s="32"/>
      <c r="P2655" s="31">
        <f t="shared" si="84"/>
        <v>0</v>
      </c>
      <c r="R2655" s="31">
        <f t="shared" si="85"/>
        <v>0</v>
      </c>
    </row>
    <row r="2656" spans="2:18" ht="30.75" customHeight="1" x14ac:dyDescent="0.3">
      <c r="B2656" s="32"/>
      <c r="P2656" s="31">
        <f t="shared" si="84"/>
        <v>0</v>
      </c>
      <c r="R2656" s="31">
        <f t="shared" si="85"/>
        <v>0</v>
      </c>
    </row>
    <row r="2657" spans="2:18" ht="30.75" customHeight="1" x14ac:dyDescent="0.3">
      <c r="B2657" s="32"/>
      <c r="P2657" s="31">
        <f t="shared" si="84"/>
        <v>0</v>
      </c>
      <c r="R2657" s="31">
        <f t="shared" si="85"/>
        <v>0</v>
      </c>
    </row>
    <row r="2658" spans="2:18" ht="30.75" customHeight="1" x14ac:dyDescent="0.3">
      <c r="B2658" s="32"/>
      <c r="P2658" s="31">
        <f t="shared" si="84"/>
        <v>0</v>
      </c>
      <c r="R2658" s="31">
        <f t="shared" si="85"/>
        <v>0</v>
      </c>
    </row>
    <row r="2659" spans="2:18" ht="30.75" customHeight="1" x14ac:dyDescent="0.3">
      <c r="B2659" s="32"/>
      <c r="P2659" s="31">
        <f t="shared" si="84"/>
        <v>0</v>
      </c>
      <c r="R2659" s="31">
        <f t="shared" si="85"/>
        <v>0</v>
      </c>
    </row>
    <row r="2660" spans="2:18" ht="30.75" customHeight="1" x14ac:dyDescent="0.3">
      <c r="B2660" s="32"/>
      <c r="P2660" s="31">
        <f t="shared" si="84"/>
        <v>0</v>
      </c>
      <c r="R2660" s="31">
        <f t="shared" si="85"/>
        <v>0</v>
      </c>
    </row>
    <row r="2661" spans="2:18" ht="30.75" customHeight="1" x14ac:dyDescent="0.3">
      <c r="B2661" s="32"/>
      <c r="P2661" s="31">
        <f t="shared" si="84"/>
        <v>0</v>
      </c>
      <c r="R2661" s="31">
        <f t="shared" si="85"/>
        <v>0</v>
      </c>
    </row>
    <row r="2662" spans="2:18" ht="30.75" customHeight="1" x14ac:dyDescent="0.3">
      <c r="B2662" s="32"/>
      <c r="P2662" s="31">
        <f t="shared" si="84"/>
        <v>0</v>
      </c>
      <c r="R2662" s="31">
        <f t="shared" si="85"/>
        <v>0</v>
      </c>
    </row>
    <row r="2663" spans="2:18" ht="30.75" customHeight="1" x14ac:dyDescent="0.3">
      <c r="B2663" s="32"/>
      <c r="P2663" s="31">
        <f t="shared" si="84"/>
        <v>0</v>
      </c>
      <c r="R2663" s="31">
        <f t="shared" si="85"/>
        <v>0</v>
      </c>
    </row>
    <row r="2664" spans="2:18" ht="30.75" customHeight="1" x14ac:dyDescent="0.3">
      <c r="B2664" s="32"/>
      <c r="P2664" s="31">
        <f t="shared" ref="P2664:P2727" si="86">K2664-L2664-M2664-N2664+O2664</f>
        <v>0</v>
      </c>
      <c r="R2664" s="31">
        <f t="shared" ref="R2664:R2727" si="87">R2663+K2664-L2664-M2664-N2664+O2664-Q2664</f>
        <v>0</v>
      </c>
    </row>
    <row r="2665" spans="2:18" ht="30.75" customHeight="1" x14ac:dyDescent="0.3">
      <c r="B2665" s="32"/>
      <c r="P2665" s="31">
        <f t="shared" si="86"/>
        <v>0</v>
      </c>
      <c r="R2665" s="31">
        <f t="shared" si="87"/>
        <v>0</v>
      </c>
    </row>
    <row r="2666" spans="2:18" ht="30.75" customHeight="1" x14ac:dyDescent="0.3">
      <c r="B2666" s="32"/>
      <c r="P2666" s="31">
        <f t="shared" si="86"/>
        <v>0</v>
      </c>
      <c r="R2666" s="31">
        <f t="shared" si="87"/>
        <v>0</v>
      </c>
    </row>
    <row r="2667" spans="2:18" ht="30.75" customHeight="1" x14ac:dyDescent="0.3">
      <c r="B2667" s="32"/>
      <c r="P2667" s="31">
        <f t="shared" si="86"/>
        <v>0</v>
      </c>
      <c r="R2667" s="31">
        <f t="shared" si="87"/>
        <v>0</v>
      </c>
    </row>
    <row r="2668" spans="2:18" ht="30.75" customHeight="1" x14ac:dyDescent="0.3">
      <c r="B2668" s="32"/>
      <c r="P2668" s="31">
        <f t="shared" si="86"/>
        <v>0</v>
      </c>
      <c r="R2668" s="31">
        <f t="shared" si="87"/>
        <v>0</v>
      </c>
    </row>
    <row r="2669" spans="2:18" ht="30.75" customHeight="1" x14ac:dyDescent="0.3">
      <c r="B2669" s="32"/>
      <c r="P2669" s="31">
        <f t="shared" si="86"/>
        <v>0</v>
      </c>
      <c r="R2669" s="31">
        <f t="shared" si="87"/>
        <v>0</v>
      </c>
    </row>
    <row r="2670" spans="2:18" ht="30.75" customHeight="1" x14ac:dyDescent="0.3">
      <c r="B2670" s="32"/>
      <c r="P2670" s="31">
        <f t="shared" si="86"/>
        <v>0</v>
      </c>
      <c r="R2670" s="31">
        <f t="shared" si="87"/>
        <v>0</v>
      </c>
    </row>
    <row r="2671" spans="2:18" ht="30.75" customHeight="1" x14ac:dyDescent="0.3">
      <c r="B2671" s="32"/>
      <c r="P2671" s="31">
        <f t="shared" si="86"/>
        <v>0</v>
      </c>
      <c r="R2671" s="31">
        <f t="shared" si="87"/>
        <v>0</v>
      </c>
    </row>
    <row r="2672" spans="2:18" ht="30.75" customHeight="1" x14ac:dyDescent="0.3">
      <c r="B2672" s="32"/>
      <c r="P2672" s="31">
        <f t="shared" si="86"/>
        <v>0</v>
      </c>
      <c r="R2672" s="31">
        <f t="shared" si="87"/>
        <v>0</v>
      </c>
    </row>
    <row r="2673" spans="2:18" ht="30.75" customHeight="1" x14ac:dyDescent="0.3">
      <c r="B2673" s="32"/>
      <c r="P2673" s="31">
        <f t="shared" si="86"/>
        <v>0</v>
      </c>
      <c r="R2673" s="31">
        <f t="shared" si="87"/>
        <v>0</v>
      </c>
    </row>
    <row r="2674" spans="2:18" ht="30.75" customHeight="1" x14ac:dyDescent="0.3">
      <c r="B2674" s="32"/>
      <c r="P2674" s="31">
        <f t="shared" si="86"/>
        <v>0</v>
      </c>
      <c r="R2674" s="31">
        <f t="shared" si="87"/>
        <v>0</v>
      </c>
    </row>
    <row r="2675" spans="2:18" ht="30.75" customHeight="1" x14ac:dyDescent="0.3">
      <c r="B2675" s="32"/>
      <c r="P2675" s="31">
        <f t="shared" si="86"/>
        <v>0</v>
      </c>
      <c r="R2675" s="31">
        <f t="shared" si="87"/>
        <v>0</v>
      </c>
    </row>
    <row r="2676" spans="2:18" ht="30.75" customHeight="1" x14ac:dyDescent="0.3">
      <c r="B2676" s="32"/>
      <c r="P2676" s="31">
        <f t="shared" si="86"/>
        <v>0</v>
      </c>
      <c r="R2676" s="31">
        <f t="shared" si="87"/>
        <v>0</v>
      </c>
    </row>
    <row r="2677" spans="2:18" ht="30.75" customHeight="1" x14ac:dyDescent="0.3">
      <c r="B2677" s="32"/>
      <c r="P2677" s="31">
        <f t="shared" si="86"/>
        <v>0</v>
      </c>
      <c r="R2677" s="31">
        <f t="shared" si="87"/>
        <v>0</v>
      </c>
    </row>
    <row r="2678" spans="2:18" ht="30.75" customHeight="1" x14ac:dyDescent="0.3">
      <c r="B2678" s="32"/>
      <c r="P2678" s="31">
        <f t="shared" si="86"/>
        <v>0</v>
      </c>
      <c r="R2678" s="31">
        <f t="shared" si="87"/>
        <v>0</v>
      </c>
    </row>
    <row r="2679" spans="2:18" ht="30.75" customHeight="1" x14ac:dyDescent="0.3">
      <c r="B2679" s="32"/>
      <c r="P2679" s="31">
        <f t="shared" si="86"/>
        <v>0</v>
      </c>
      <c r="R2679" s="31">
        <f t="shared" si="87"/>
        <v>0</v>
      </c>
    </row>
    <row r="2680" spans="2:18" ht="30.75" customHeight="1" x14ac:dyDescent="0.3">
      <c r="B2680" s="32"/>
      <c r="P2680" s="31">
        <f t="shared" si="86"/>
        <v>0</v>
      </c>
      <c r="R2680" s="31">
        <f t="shared" si="87"/>
        <v>0</v>
      </c>
    </row>
    <row r="2681" spans="2:18" ht="30.75" customHeight="1" x14ac:dyDescent="0.3">
      <c r="B2681" s="32"/>
      <c r="P2681" s="31">
        <f t="shared" si="86"/>
        <v>0</v>
      </c>
      <c r="R2681" s="31">
        <f t="shared" si="87"/>
        <v>0</v>
      </c>
    </row>
    <row r="2682" spans="2:18" ht="30.75" customHeight="1" x14ac:dyDescent="0.3">
      <c r="B2682" s="32"/>
      <c r="P2682" s="31">
        <f t="shared" si="86"/>
        <v>0</v>
      </c>
      <c r="R2682" s="31">
        <f t="shared" si="87"/>
        <v>0</v>
      </c>
    </row>
    <row r="2683" spans="2:18" ht="30.75" customHeight="1" x14ac:dyDescent="0.3">
      <c r="B2683" s="32"/>
      <c r="P2683" s="31">
        <f t="shared" si="86"/>
        <v>0</v>
      </c>
      <c r="R2683" s="31">
        <f t="shared" si="87"/>
        <v>0</v>
      </c>
    </row>
    <row r="2684" spans="2:18" ht="30.75" customHeight="1" x14ac:dyDescent="0.3">
      <c r="B2684" s="32"/>
      <c r="P2684" s="31">
        <f t="shared" si="86"/>
        <v>0</v>
      </c>
      <c r="R2684" s="31">
        <f t="shared" si="87"/>
        <v>0</v>
      </c>
    </row>
    <row r="2685" spans="2:18" ht="30.75" customHeight="1" x14ac:dyDescent="0.3">
      <c r="B2685" s="32"/>
      <c r="P2685" s="31">
        <f t="shared" si="86"/>
        <v>0</v>
      </c>
      <c r="R2685" s="31">
        <f t="shared" si="87"/>
        <v>0</v>
      </c>
    </row>
    <row r="2686" spans="2:18" ht="30.75" customHeight="1" x14ac:dyDescent="0.3">
      <c r="B2686" s="32"/>
      <c r="P2686" s="31">
        <f t="shared" si="86"/>
        <v>0</v>
      </c>
      <c r="R2686" s="31">
        <f t="shared" si="87"/>
        <v>0</v>
      </c>
    </row>
    <row r="2687" spans="2:18" ht="30.75" customHeight="1" x14ac:dyDescent="0.3">
      <c r="B2687" s="32"/>
      <c r="P2687" s="31">
        <f t="shared" si="86"/>
        <v>0</v>
      </c>
      <c r="R2687" s="31">
        <f t="shared" si="87"/>
        <v>0</v>
      </c>
    </row>
    <row r="2688" spans="2:18" ht="30.75" customHeight="1" x14ac:dyDescent="0.3">
      <c r="B2688" s="32"/>
      <c r="D2688" s="32"/>
      <c r="P2688" s="31">
        <f t="shared" si="86"/>
        <v>0</v>
      </c>
      <c r="R2688" s="31">
        <f t="shared" si="87"/>
        <v>0</v>
      </c>
    </row>
    <row r="2689" spans="2:18" ht="30.75" customHeight="1" x14ac:dyDescent="0.3">
      <c r="B2689" s="32"/>
      <c r="P2689" s="31">
        <f t="shared" si="86"/>
        <v>0</v>
      </c>
      <c r="R2689" s="31">
        <f t="shared" si="87"/>
        <v>0</v>
      </c>
    </row>
    <row r="2690" spans="2:18" ht="30.75" customHeight="1" x14ac:dyDescent="0.3">
      <c r="B2690" s="32"/>
      <c r="P2690" s="31">
        <f t="shared" si="86"/>
        <v>0</v>
      </c>
      <c r="R2690" s="31">
        <f t="shared" si="87"/>
        <v>0</v>
      </c>
    </row>
    <row r="2691" spans="2:18" ht="30.75" customHeight="1" x14ac:dyDescent="0.3">
      <c r="B2691" s="32"/>
      <c r="P2691" s="31">
        <f t="shared" si="86"/>
        <v>0</v>
      </c>
      <c r="R2691" s="31">
        <f t="shared" si="87"/>
        <v>0</v>
      </c>
    </row>
    <row r="2692" spans="2:18" ht="30.75" customHeight="1" x14ac:dyDescent="0.3">
      <c r="B2692" s="32"/>
      <c r="P2692" s="31">
        <f t="shared" si="86"/>
        <v>0</v>
      </c>
      <c r="R2692" s="31">
        <f t="shared" si="87"/>
        <v>0</v>
      </c>
    </row>
    <row r="2693" spans="2:18" ht="30.75" customHeight="1" x14ac:dyDescent="0.3">
      <c r="B2693" s="32"/>
      <c r="P2693" s="31">
        <f t="shared" si="86"/>
        <v>0</v>
      </c>
      <c r="R2693" s="31">
        <f t="shared" si="87"/>
        <v>0</v>
      </c>
    </row>
    <row r="2694" spans="2:18" ht="30.75" customHeight="1" x14ac:dyDescent="0.3">
      <c r="B2694" s="32"/>
      <c r="P2694" s="31">
        <f t="shared" si="86"/>
        <v>0</v>
      </c>
      <c r="R2694" s="31">
        <f t="shared" si="87"/>
        <v>0</v>
      </c>
    </row>
    <row r="2695" spans="2:18" ht="30.75" customHeight="1" x14ac:dyDescent="0.3">
      <c r="B2695" s="32"/>
      <c r="P2695" s="31">
        <f t="shared" si="86"/>
        <v>0</v>
      </c>
      <c r="R2695" s="31">
        <f t="shared" si="87"/>
        <v>0</v>
      </c>
    </row>
    <row r="2696" spans="2:18" ht="30.75" customHeight="1" x14ac:dyDescent="0.3">
      <c r="B2696" s="32"/>
      <c r="P2696" s="31">
        <f t="shared" si="86"/>
        <v>0</v>
      </c>
      <c r="R2696" s="31">
        <f t="shared" si="87"/>
        <v>0</v>
      </c>
    </row>
    <row r="2697" spans="2:18" ht="30.75" customHeight="1" x14ac:dyDescent="0.3">
      <c r="B2697" s="32"/>
      <c r="P2697" s="31">
        <f t="shared" si="86"/>
        <v>0</v>
      </c>
      <c r="R2697" s="31">
        <f t="shared" si="87"/>
        <v>0</v>
      </c>
    </row>
    <row r="2698" spans="2:18" ht="30.75" customHeight="1" x14ac:dyDescent="0.3">
      <c r="B2698" s="32"/>
      <c r="P2698" s="31">
        <f t="shared" si="86"/>
        <v>0</v>
      </c>
      <c r="R2698" s="31">
        <f t="shared" si="87"/>
        <v>0</v>
      </c>
    </row>
    <row r="2699" spans="2:18" ht="30.75" customHeight="1" x14ac:dyDescent="0.3">
      <c r="B2699" s="32"/>
      <c r="P2699" s="31">
        <f t="shared" si="86"/>
        <v>0</v>
      </c>
      <c r="R2699" s="31">
        <f t="shared" si="87"/>
        <v>0</v>
      </c>
    </row>
    <row r="2700" spans="2:18" ht="30.75" customHeight="1" x14ac:dyDescent="0.3">
      <c r="B2700" s="32"/>
      <c r="P2700" s="31">
        <f t="shared" si="86"/>
        <v>0</v>
      </c>
      <c r="R2700" s="31">
        <f t="shared" si="87"/>
        <v>0</v>
      </c>
    </row>
    <row r="2701" spans="2:18" ht="30.75" customHeight="1" x14ac:dyDescent="0.3">
      <c r="B2701" s="32"/>
      <c r="P2701" s="31">
        <f t="shared" si="86"/>
        <v>0</v>
      </c>
      <c r="R2701" s="31">
        <f t="shared" si="87"/>
        <v>0</v>
      </c>
    </row>
    <row r="2702" spans="2:18" ht="30.75" customHeight="1" x14ac:dyDescent="0.3">
      <c r="B2702" s="32"/>
      <c r="P2702" s="31">
        <f t="shared" si="86"/>
        <v>0</v>
      </c>
      <c r="R2702" s="31">
        <f t="shared" si="87"/>
        <v>0</v>
      </c>
    </row>
    <row r="2703" spans="2:18" ht="30.75" customHeight="1" x14ac:dyDescent="0.3">
      <c r="B2703" s="32"/>
      <c r="P2703" s="31">
        <f t="shared" si="86"/>
        <v>0</v>
      </c>
      <c r="R2703" s="31">
        <f t="shared" si="87"/>
        <v>0</v>
      </c>
    </row>
    <row r="2704" spans="2:18" ht="30.75" customHeight="1" x14ac:dyDescent="0.3">
      <c r="B2704" s="32"/>
      <c r="P2704" s="31">
        <f t="shared" si="86"/>
        <v>0</v>
      </c>
      <c r="R2704" s="31">
        <f t="shared" si="87"/>
        <v>0</v>
      </c>
    </row>
    <row r="2705" spans="2:18" ht="30.75" customHeight="1" x14ac:dyDescent="0.3">
      <c r="B2705" s="32"/>
      <c r="P2705" s="31">
        <f t="shared" si="86"/>
        <v>0</v>
      </c>
      <c r="R2705" s="31">
        <f t="shared" si="87"/>
        <v>0</v>
      </c>
    </row>
    <row r="2706" spans="2:18" ht="30.75" customHeight="1" x14ac:dyDescent="0.3">
      <c r="B2706" s="32"/>
      <c r="P2706" s="31">
        <f t="shared" si="86"/>
        <v>0</v>
      </c>
      <c r="R2706" s="31">
        <f t="shared" si="87"/>
        <v>0</v>
      </c>
    </row>
    <row r="2707" spans="2:18" ht="30.75" customHeight="1" x14ac:dyDescent="0.3">
      <c r="B2707" s="32"/>
      <c r="P2707" s="31">
        <f t="shared" si="86"/>
        <v>0</v>
      </c>
      <c r="R2707" s="31">
        <f t="shared" si="87"/>
        <v>0</v>
      </c>
    </row>
    <row r="2708" spans="2:18" ht="30.75" customHeight="1" x14ac:dyDescent="0.3">
      <c r="B2708" s="32"/>
      <c r="P2708" s="31">
        <f t="shared" si="86"/>
        <v>0</v>
      </c>
      <c r="R2708" s="31">
        <f t="shared" si="87"/>
        <v>0</v>
      </c>
    </row>
    <row r="2709" spans="2:18" ht="30.75" customHeight="1" x14ac:dyDescent="0.3">
      <c r="B2709" s="32"/>
      <c r="P2709" s="31">
        <f t="shared" si="86"/>
        <v>0</v>
      </c>
      <c r="R2709" s="31">
        <f t="shared" si="87"/>
        <v>0</v>
      </c>
    </row>
    <row r="2710" spans="2:18" ht="30.75" customHeight="1" x14ac:dyDescent="0.3">
      <c r="B2710" s="32"/>
      <c r="P2710" s="31">
        <f t="shared" si="86"/>
        <v>0</v>
      </c>
      <c r="R2710" s="31">
        <f t="shared" si="87"/>
        <v>0</v>
      </c>
    </row>
    <row r="2711" spans="2:18" ht="30.75" customHeight="1" x14ac:dyDescent="0.3">
      <c r="B2711" s="32"/>
      <c r="P2711" s="31">
        <f t="shared" si="86"/>
        <v>0</v>
      </c>
      <c r="R2711" s="31">
        <f t="shared" si="87"/>
        <v>0</v>
      </c>
    </row>
    <row r="2712" spans="2:18" ht="30.75" customHeight="1" x14ac:dyDescent="0.3">
      <c r="B2712" s="32"/>
      <c r="P2712" s="31">
        <f t="shared" si="86"/>
        <v>0</v>
      </c>
      <c r="R2712" s="31">
        <f t="shared" si="87"/>
        <v>0</v>
      </c>
    </row>
    <row r="2713" spans="2:18" ht="30.75" customHeight="1" x14ac:dyDescent="0.3">
      <c r="B2713" s="32"/>
      <c r="P2713" s="31">
        <f t="shared" si="86"/>
        <v>0</v>
      </c>
      <c r="R2713" s="31">
        <f t="shared" si="87"/>
        <v>0</v>
      </c>
    </row>
    <row r="2714" spans="2:18" ht="30.75" customHeight="1" x14ac:dyDescent="0.3">
      <c r="B2714" s="32"/>
      <c r="P2714" s="31">
        <f t="shared" si="86"/>
        <v>0</v>
      </c>
      <c r="R2714" s="31">
        <f t="shared" si="87"/>
        <v>0</v>
      </c>
    </row>
    <row r="2715" spans="2:18" ht="30.75" customHeight="1" x14ac:dyDescent="0.3">
      <c r="B2715" s="32"/>
      <c r="P2715" s="31">
        <f t="shared" si="86"/>
        <v>0</v>
      </c>
      <c r="R2715" s="31">
        <f t="shared" si="87"/>
        <v>0</v>
      </c>
    </row>
    <row r="2716" spans="2:18" ht="30.75" customHeight="1" x14ac:dyDescent="0.3">
      <c r="B2716" s="32"/>
      <c r="P2716" s="31">
        <f t="shared" si="86"/>
        <v>0</v>
      </c>
      <c r="R2716" s="31">
        <f t="shared" si="87"/>
        <v>0</v>
      </c>
    </row>
    <row r="2717" spans="2:18" ht="30.75" customHeight="1" x14ac:dyDescent="0.3">
      <c r="B2717" s="32"/>
      <c r="P2717" s="31">
        <f t="shared" si="86"/>
        <v>0</v>
      </c>
      <c r="R2717" s="31">
        <f t="shared" si="87"/>
        <v>0</v>
      </c>
    </row>
    <row r="2718" spans="2:18" ht="30.75" customHeight="1" x14ac:dyDescent="0.3">
      <c r="B2718" s="32"/>
      <c r="P2718" s="31">
        <f t="shared" si="86"/>
        <v>0</v>
      </c>
      <c r="R2718" s="31">
        <f t="shared" si="87"/>
        <v>0</v>
      </c>
    </row>
    <row r="2719" spans="2:18" ht="30.75" customHeight="1" x14ac:dyDescent="0.3">
      <c r="B2719" s="32"/>
      <c r="P2719" s="31">
        <f t="shared" si="86"/>
        <v>0</v>
      </c>
      <c r="R2719" s="31">
        <f t="shared" si="87"/>
        <v>0</v>
      </c>
    </row>
    <row r="2720" spans="2:18" ht="30.75" customHeight="1" x14ac:dyDescent="0.3">
      <c r="B2720" s="32"/>
      <c r="P2720" s="31">
        <f t="shared" si="86"/>
        <v>0</v>
      </c>
      <c r="R2720" s="31">
        <f t="shared" si="87"/>
        <v>0</v>
      </c>
    </row>
    <row r="2721" spans="2:18" ht="30.75" customHeight="1" x14ac:dyDescent="0.3">
      <c r="B2721" s="32"/>
      <c r="P2721" s="31">
        <f t="shared" si="86"/>
        <v>0</v>
      </c>
      <c r="R2721" s="31">
        <f t="shared" si="87"/>
        <v>0</v>
      </c>
    </row>
    <row r="2722" spans="2:18" ht="30.75" customHeight="1" x14ac:dyDescent="0.3">
      <c r="B2722" s="32"/>
      <c r="P2722" s="31">
        <f t="shared" si="86"/>
        <v>0</v>
      </c>
      <c r="R2722" s="31">
        <f t="shared" si="87"/>
        <v>0</v>
      </c>
    </row>
    <row r="2723" spans="2:18" ht="30.75" customHeight="1" x14ac:dyDescent="0.3">
      <c r="B2723" s="32"/>
      <c r="P2723" s="31">
        <f t="shared" si="86"/>
        <v>0</v>
      </c>
      <c r="R2723" s="31">
        <f t="shared" si="87"/>
        <v>0</v>
      </c>
    </row>
    <row r="2724" spans="2:18" ht="30.75" customHeight="1" x14ac:dyDescent="0.3">
      <c r="B2724" s="32"/>
      <c r="P2724" s="31">
        <f t="shared" si="86"/>
        <v>0</v>
      </c>
      <c r="R2724" s="31">
        <f t="shared" si="87"/>
        <v>0</v>
      </c>
    </row>
    <row r="2725" spans="2:18" ht="30.75" customHeight="1" x14ac:dyDescent="0.3">
      <c r="B2725" s="32"/>
      <c r="P2725" s="31">
        <f t="shared" si="86"/>
        <v>0</v>
      </c>
      <c r="R2725" s="31">
        <f t="shared" si="87"/>
        <v>0</v>
      </c>
    </row>
    <row r="2726" spans="2:18" ht="30.75" customHeight="1" x14ac:dyDescent="0.3">
      <c r="B2726" s="32"/>
      <c r="P2726" s="31">
        <f t="shared" si="86"/>
        <v>0</v>
      </c>
      <c r="R2726" s="31">
        <f t="shared" si="87"/>
        <v>0</v>
      </c>
    </row>
    <row r="2727" spans="2:18" ht="30.75" customHeight="1" x14ac:dyDescent="0.3">
      <c r="B2727" s="32"/>
      <c r="P2727" s="31">
        <f t="shared" si="86"/>
        <v>0</v>
      </c>
      <c r="R2727" s="31">
        <f t="shared" si="87"/>
        <v>0</v>
      </c>
    </row>
    <row r="2728" spans="2:18" ht="30.75" customHeight="1" x14ac:dyDescent="0.3">
      <c r="B2728" s="32"/>
      <c r="P2728" s="31">
        <f t="shared" ref="P2728:P2791" si="88">K2728-L2728-M2728-N2728+O2728</f>
        <v>0</v>
      </c>
      <c r="R2728" s="31">
        <f t="shared" ref="R2728:R2791" si="89">R2727+K2728-L2728-M2728-N2728+O2728-Q2728</f>
        <v>0</v>
      </c>
    </row>
    <row r="2729" spans="2:18" ht="30.75" customHeight="1" x14ac:dyDescent="0.3">
      <c r="B2729" s="32"/>
      <c r="P2729" s="31">
        <f t="shared" si="88"/>
        <v>0</v>
      </c>
      <c r="R2729" s="31">
        <f t="shared" si="89"/>
        <v>0</v>
      </c>
    </row>
    <row r="2730" spans="2:18" ht="30.75" customHeight="1" x14ac:dyDescent="0.3">
      <c r="B2730" s="32"/>
      <c r="P2730" s="31">
        <f t="shared" si="88"/>
        <v>0</v>
      </c>
      <c r="R2730" s="31">
        <f t="shared" si="89"/>
        <v>0</v>
      </c>
    </row>
    <row r="2731" spans="2:18" ht="30.75" customHeight="1" x14ac:dyDescent="0.3">
      <c r="B2731" s="32"/>
      <c r="P2731" s="31">
        <f t="shared" si="88"/>
        <v>0</v>
      </c>
      <c r="R2731" s="31">
        <f t="shared" si="89"/>
        <v>0</v>
      </c>
    </row>
    <row r="2732" spans="2:18" ht="30.75" customHeight="1" x14ac:dyDescent="0.3">
      <c r="B2732" s="32"/>
      <c r="P2732" s="31">
        <f t="shared" si="88"/>
        <v>0</v>
      </c>
      <c r="R2732" s="31">
        <f t="shared" si="89"/>
        <v>0</v>
      </c>
    </row>
    <row r="2733" spans="2:18" ht="30.75" customHeight="1" x14ac:dyDescent="0.3">
      <c r="B2733" s="32"/>
      <c r="P2733" s="31">
        <f t="shared" si="88"/>
        <v>0</v>
      </c>
      <c r="R2733" s="31">
        <f t="shared" si="89"/>
        <v>0</v>
      </c>
    </row>
    <row r="2734" spans="2:18" ht="30.75" customHeight="1" x14ac:dyDescent="0.3">
      <c r="B2734" s="32"/>
      <c r="P2734" s="31">
        <f t="shared" si="88"/>
        <v>0</v>
      </c>
      <c r="R2734" s="31">
        <f t="shared" si="89"/>
        <v>0</v>
      </c>
    </row>
    <row r="2735" spans="2:18" ht="30.75" customHeight="1" x14ac:dyDescent="0.3">
      <c r="B2735" s="32"/>
      <c r="P2735" s="31">
        <f t="shared" si="88"/>
        <v>0</v>
      </c>
      <c r="R2735" s="31">
        <f t="shared" si="89"/>
        <v>0</v>
      </c>
    </row>
    <row r="2736" spans="2:18" ht="30.75" customHeight="1" x14ac:dyDescent="0.3">
      <c r="B2736" s="32"/>
      <c r="P2736" s="31">
        <f t="shared" si="88"/>
        <v>0</v>
      </c>
      <c r="R2736" s="31">
        <f t="shared" si="89"/>
        <v>0</v>
      </c>
    </row>
    <row r="2737" spans="2:18" ht="30.75" customHeight="1" x14ac:dyDescent="0.3">
      <c r="B2737" s="32"/>
      <c r="P2737" s="31">
        <f t="shared" si="88"/>
        <v>0</v>
      </c>
      <c r="R2737" s="31">
        <f t="shared" si="89"/>
        <v>0</v>
      </c>
    </row>
    <row r="2738" spans="2:18" ht="30.75" customHeight="1" x14ac:dyDescent="0.3">
      <c r="B2738" s="32"/>
      <c r="P2738" s="31">
        <f t="shared" si="88"/>
        <v>0</v>
      </c>
      <c r="R2738" s="31">
        <f t="shared" si="89"/>
        <v>0</v>
      </c>
    </row>
    <row r="2739" spans="2:18" ht="30.75" customHeight="1" x14ac:dyDescent="0.3">
      <c r="B2739" s="32"/>
      <c r="P2739" s="31">
        <f t="shared" si="88"/>
        <v>0</v>
      </c>
      <c r="R2739" s="31">
        <f t="shared" si="89"/>
        <v>0</v>
      </c>
    </row>
    <row r="2740" spans="2:18" ht="30.75" customHeight="1" x14ac:dyDescent="0.3">
      <c r="B2740" s="32"/>
      <c r="P2740" s="31">
        <f t="shared" si="88"/>
        <v>0</v>
      </c>
      <c r="R2740" s="31">
        <f t="shared" si="89"/>
        <v>0</v>
      </c>
    </row>
    <row r="2741" spans="2:18" ht="30.75" customHeight="1" x14ac:dyDescent="0.3">
      <c r="B2741" s="32"/>
      <c r="P2741" s="31">
        <f t="shared" si="88"/>
        <v>0</v>
      </c>
      <c r="R2741" s="31">
        <f t="shared" si="89"/>
        <v>0</v>
      </c>
    </row>
    <row r="2742" spans="2:18" ht="30.75" customHeight="1" x14ac:dyDescent="0.3">
      <c r="B2742" s="32"/>
      <c r="P2742" s="31">
        <f t="shared" si="88"/>
        <v>0</v>
      </c>
      <c r="R2742" s="31">
        <f t="shared" si="89"/>
        <v>0</v>
      </c>
    </row>
    <row r="2743" spans="2:18" ht="30.75" customHeight="1" x14ac:dyDescent="0.3">
      <c r="B2743" s="32"/>
      <c r="P2743" s="31">
        <f t="shared" si="88"/>
        <v>0</v>
      </c>
      <c r="R2743" s="31">
        <f t="shared" si="89"/>
        <v>0</v>
      </c>
    </row>
    <row r="2744" spans="2:18" ht="30.75" customHeight="1" x14ac:dyDescent="0.3">
      <c r="B2744" s="32"/>
      <c r="P2744" s="31">
        <f t="shared" si="88"/>
        <v>0</v>
      </c>
      <c r="R2744" s="31">
        <f t="shared" si="89"/>
        <v>0</v>
      </c>
    </row>
    <row r="2745" spans="2:18" ht="30.75" customHeight="1" x14ac:dyDescent="0.3">
      <c r="B2745" s="32"/>
      <c r="P2745" s="31">
        <f t="shared" si="88"/>
        <v>0</v>
      </c>
      <c r="R2745" s="31">
        <f t="shared" si="89"/>
        <v>0</v>
      </c>
    </row>
    <row r="2746" spans="2:18" ht="30.75" customHeight="1" x14ac:dyDescent="0.3">
      <c r="B2746" s="32"/>
      <c r="P2746" s="31">
        <f t="shared" si="88"/>
        <v>0</v>
      </c>
      <c r="R2746" s="31">
        <f t="shared" si="89"/>
        <v>0</v>
      </c>
    </row>
    <row r="2747" spans="2:18" ht="30.75" customHeight="1" x14ac:dyDescent="0.3">
      <c r="B2747" s="32"/>
      <c r="P2747" s="31">
        <f t="shared" si="88"/>
        <v>0</v>
      </c>
      <c r="R2747" s="31">
        <f t="shared" si="89"/>
        <v>0</v>
      </c>
    </row>
    <row r="2748" spans="2:18" ht="30.75" customHeight="1" x14ac:dyDescent="0.3">
      <c r="B2748" s="32"/>
      <c r="P2748" s="31">
        <f t="shared" si="88"/>
        <v>0</v>
      </c>
      <c r="R2748" s="31">
        <f t="shared" si="89"/>
        <v>0</v>
      </c>
    </row>
    <row r="2749" spans="2:18" ht="30.75" customHeight="1" x14ac:dyDescent="0.3">
      <c r="B2749" s="32"/>
      <c r="P2749" s="31">
        <f t="shared" si="88"/>
        <v>0</v>
      </c>
      <c r="R2749" s="31">
        <f t="shared" si="89"/>
        <v>0</v>
      </c>
    </row>
    <row r="2750" spans="2:18" ht="30.75" customHeight="1" x14ac:dyDescent="0.3">
      <c r="B2750" s="32"/>
      <c r="P2750" s="31">
        <f t="shared" si="88"/>
        <v>0</v>
      </c>
      <c r="R2750" s="31">
        <f t="shared" si="89"/>
        <v>0</v>
      </c>
    </row>
    <row r="2751" spans="2:18" ht="30.75" customHeight="1" x14ac:dyDescent="0.3">
      <c r="B2751" s="32"/>
      <c r="P2751" s="31">
        <f t="shared" si="88"/>
        <v>0</v>
      </c>
      <c r="R2751" s="31">
        <f t="shared" si="89"/>
        <v>0</v>
      </c>
    </row>
    <row r="2752" spans="2:18" ht="30.75" customHeight="1" x14ac:dyDescent="0.3">
      <c r="B2752" s="32"/>
      <c r="P2752" s="31">
        <f t="shared" si="88"/>
        <v>0</v>
      </c>
      <c r="R2752" s="31">
        <f t="shared" si="89"/>
        <v>0</v>
      </c>
    </row>
    <row r="2753" spans="2:18" ht="30.75" customHeight="1" x14ac:dyDescent="0.3">
      <c r="B2753" s="32"/>
      <c r="P2753" s="31">
        <f t="shared" si="88"/>
        <v>0</v>
      </c>
      <c r="R2753" s="31">
        <f t="shared" si="89"/>
        <v>0</v>
      </c>
    </row>
    <row r="2754" spans="2:18" ht="30.75" customHeight="1" x14ac:dyDescent="0.3">
      <c r="B2754" s="32"/>
      <c r="P2754" s="31">
        <f t="shared" si="88"/>
        <v>0</v>
      </c>
      <c r="R2754" s="31">
        <f t="shared" si="89"/>
        <v>0</v>
      </c>
    </row>
    <row r="2755" spans="2:18" ht="30.75" customHeight="1" x14ac:dyDescent="0.3">
      <c r="B2755" s="32"/>
      <c r="P2755" s="31">
        <f t="shared" si="88"/>
        <v>0</v>
      </c>
      <c r="R2755" s="31">
        <f t="shared" si="89"/>
        <v>0</v>
      </c>
    </row>
    <row r="2756" spans="2:18" ht="30.75" customHeight="1" x14ac:dyDescent="0.3">
      <c r="B2756" s="32"/>
      <c r="P2756" s="31">
        <f t="shared" si="88"/>
        <v>0</v>
      </c>
      <c r="R2756" s="31">
        <f t="shared" si="89"/>
        <v>0</v>
      </c>
    </row>
    <row r="2757" spans="2:18" ht="30.75" customHeight="1" x14ac:dyDescent="0.3">
      <c r="B2757" s="32"/>
      <c r="P2757" s="31">
        <f t="shared" si="88"/>
        <v>0</v>
      </c>
      <c r="R2757" s="31">
        <f t="shared" si="89"/>
        <v>0</v>
      </c>
    </row>
    <row r="2758" spans="2:18" ht="30.75" customHeight="1" x14ac:dyDescent="0.3">
      <c r="B2758" s="32"/>
      <c r="P2758" s="31">
        <f t="shared" si="88"/>
        <v>0</v>
      </c>
      <c r="R2758" s="31">
        <f t="shared" si="89"/>
        <v>0</v>
      </c>
    </row>
    <row r="2759" spans="2:18" ht="30.75" customHeight="1" x14ac:dyDescent="0.3">
      <c r="B2759" s="32"/>
      <c r="P2759" s="31">
        <f t="shared" si="88"/>
        <v>0</v>
      </c>
      <c r="R2759" s="31">
        <f t="shared" si="89"/>
        <v>0</v>
      </c>
    </row>
    <row r="2760" spans="2:18" ht="30.75" customHeight="1" x14ac:dyDescent="0.3">
      <c r="B2760" s="32"/>
      <c r="P2760" s="31">
        <f t="shared" si="88"/>
        <v>0</v>
      </c>
      <c r="R2760" s="31">
        <f t="shared" si="89"/>
        <v>0</v>
      </c>
    </row>
    <row r="2761" spans="2:18" ht="30.75" customHeight="1" x14ac:dyDescent="0.3">
      <c r="B2761" s="32"/>
      <c r="P2761" s="31">
        <f t="shared" si="88"/>
        <v>0</v>
      </c>
      <c r="R2761" s="31">
        <f t="shared" si="89"/>
        <v>0</v>
      </c>
    </row>
    <row r="2762" spans="2:18" ht="30.75" customHeight="1" x14ac:dyDescent="0.3">
      <c r="B2762" s="32"/>
      <c r="P2762" s="31">
        <f t="shared" si="88"/>
        <v>0</v>
      </c>
      <c r="R2762" s="31">
        <f t="shared" si="89"/>
        <v>0</v>
      </c>
    </row>
    <row r="2763" spans="2:18" ht="30.75" customHeight="1" x14ac:dyDescent="0.3">
      <c r="B2763" s="32"/>
      <c r="P2763" s="31">
        <f t="shared" si="88"/>
        <v>0</v>
      </c>
      <c r="R2763" s="31">
        <f t="shared" si="89"/>
        <v>0</v>
      </c>
    </row>
    <row r="2764" spans="2:18" ht="30.75" customHeight="1" x14ac:dyDescent="0.3">
      <c r="B2764" s="32"/>
      <c r="P2764" s="31">
        <f t="shared" si="88"/>
        <v>0</v>
      </c>
      <c r="R2764" s="31">
        <f t="shared" si="89"/>
        <v>0</v>
      </c>
    </row>
    <row r="2765" spans="2:18" ht="30.75" customHeight="1" x14ac:dyDescent="0.3">
      <c r="B2765" s="32"/>
      <c r="P2765" s="31">
        <f t="shared" si="88"/>
        <v>0</v>
      </c>
      <c r="R2765" s="31">
        <f t="shared" si="89"/>
        <v>0</v>
      </c>
    </row>
    <row r="2766" spans="2:18" ht="30.75" customHeight="1" x14ac:dyDescent="0.3">
      <c r="B2766" s="32"/>
      <c r="P2766" s="31">
        <f t="shared" si="88"/>
        <v>0</v>
      </c>
      <c r="R2766" s="31">
        <f t="shared" si="89"/>
        <v>0</v>
      </c>
    </row>
    <row r="2767" spans="2:18" ht="30.75" customHeight="1" x14ac:dyDescent="0.3">
      <c r="B2767" s="32"/>
      <c r="P2767" s="31">
        <f t="shared" si="88"/>
        <v>0</v>
      </c>
      <c r="R2767" s="31">
        <f t="shared" si="89"/>
        <v>0</v>
      </c>
    </row>
    <row r="2768" spans="2:18" ht="30.75" customHeight="1" x14ac:dyDescent="0.3">
      <c r="B2768" s="32"/>
      <c r="P2768" s="31">
        <f t="shared" si="88"/>
        <v>0</v>
      </c>
      <c r="R2768" s="31">
        <f t="shared" si="89"/>
        <v>0</v>
      </c>
    </row>
    <row r="2769" spans="2:18" ht="30.75" customHeight="1" x14ac:dyDescent="0.3">
      <c r="B2769" s="32"/>
      <c r="P2769" s="31">
        <f t="shared" si="88"/>
        <v>0</v>
      </c>
      <c r="R2769" s="31">
        <f t="shared" si="89"/>
        <v>0</v>
      </c>
    </row>
    <row r="2770" spans="2:18" ht="30.75" customHeight="1" x14ac:dyDescent="0.3">
      <c r="B2770" s="32"/>
      <c r="P2770" s="31">
        <f t="shared" si="88"/>
        <v>0</v>
      </c>
      <c r="R2770" s="31">
        <f t="shared" si="89"/>
        <v>0</v>
      </c>
    </row>
    <row r="2771" spans="2:18" ht="30.75" customHeight="1" x14ac:dyDescent="0.3">
      <c r="B2771" s="32"/>
      <c r="P2771" s="31">
        <f t="shared" si="88"/>
        <v>0</v>
      </c>
      <c r="R2771" s="31">
        <f t="shared" si="89"/>
        <v>0</v>
      </c>
    </row>
    <row r="2772" spans="2:18" ht="30.75" customHeight="1" x14ac:dyDescent="0.3">
      <c r="B2772" s="32"/>
      <c r="P2772" s="31">
        <f t="shared" si="88"/>
        <v>0</v>
      </c>
      <c r="R2772" s="31">
        <f t="shared" si="89"/>
        <v>0</v>
      </c>
    </row>
    <row r="2773" spans="2:18" ht="30.75" customHeight="1" x14ac:dyDescent="0.3">
      <c r="B2773" s="32"/>
      <c r="P2773" s="31">
        <f t="shared" si="88"/>
        <v>0</v>
      </c>
      <c r="R2773" s="31">
        <f t="shared" si="89"/>
        <v>0</v>
      </c>
    </row>
    <row r="2774" spans="2:18" ht="30.75" customHeight="1" x14ac:dyDescent="0.3">
      <c r="B2774" s="32"/>
      <c r="P2774" s="31">
        <f t="shared" si="88"/>
        <v>0</v>
      </c>
      <c r="R2774" s="31">
        <f t="shared" si="89"/>
        <v>0</v>
      </c>
    </row>
    <row r="2775" spans="2:18" ht="30.75" customHeight="1" x14ac:dyDescent="0.3">
      <c r="B2775" s="32"/>
      <c r="P2775" s="31">
        <f t="shared" si="88"/>
        <v>0</v>
      </c>
      <c r="R2775" s="31">
        <f t="shared" si="89"/>
        <v>0</v>
      </c>
    </row>
    <row r="2776" spans="2:18" ht="30.75" customHeight="1" x14ac:dyDescent="0.3">
      <c r="B2776" s="32"/>
      <c r="P2776" s="31">
        <f t="shared" si="88"/>
        <v>0</v>
      </c>
      <c r="R2776" s="31">
        <f t="shared" si="89"/>
        <v>0</v>
      </c>
    </row>
    <row r="2777" spans="2:18" ht="30.75" customHeight="1" x14ac:dyDescent="0.3">
      <c r="B2777" s="32"/>
      <c r="P2777" s="31">
        <f t="shared" si="88"/>
        <v>0</v>
      </c>
      <c r="R2777" s="31">
        <f t="shared" si="89"/>
        <v>0</v>
      </c>
    </row>
    <row r="2778" spans="2:18" ht="30.75" customHeight="1" x14ac:dyDescent="0.3">
      <c r="B2778" s="32"/>
      <c r="P2778" s="31">
        <f t="shared" si="88"/>
        <v>0</v>
      </c>
      <c r="R2778" s="31">
        <f t="shared" si="89"/>
        <v>0</v>
      </c>
    </row>
    <row r="2779" spans="2:18" ht="30.75" customHeight="1" x14ac:dyDescent="0.3">
      <c r="B2779" s="32"/>
      <c r="P2779" s="31">
        <f t="shared" si="88"/>
        <v>0</v>
      </c>
      <c r="R2779" s="31">
        <f t="shared" si="89"/>
        <v>0</v>
      </c>
    </row>
    <row r="2780" spans="2:18" ht="30.75" customHeight="1" x14ac:dyDescent="0.3">
      <c r="B2780" s="32"/>
      <c r="P2780" s="31">
        <f t="shared" si="88"/>
        <v>0</v>
      </c>
      <c r="R2780" s="31">
        <f t="shared" si="89"/>
        <v>0</v>
      </c>
    </row>
    <row r="2781" spans="2:18" ht="30.75" customHeight="1" x14ac:dyDescent="0.3">
      <c r="B2781" s="32"/>
      <c r="P2781" s="31">
        <f t="shared" si="88"/>
        <v>0</v>
      </c>
      <c r="R2781" s="31">
        <f t="shared" si="89"/>
        <v>0</v>
      </c>
    </row>
    <row r="2782" spans="2:18" ht="30.75" customHeight="1" x14ac:dyDescent="0.3">
      <c r="B2782" s="32"/>
      <c r="P2782" s="31">
        <f t="shared" si="88"/>
        <v>0</v>
      </c>
      <c r="R2782" s="31">
        <f t="shared" si="89"/>
        <v>0</v>
      </c>
    </row>
    <row r="2783" spans="2:18" ht="30.75" customHeight="1" x14ac:dyDescent="0.3">
      <c r="B2783" s="32"/>
      <c r="P2783" s="31">
        <f t="shared" si="88"/>
        <v>0</v>
      </c>
      <c r="R2783" s="31">
        <f t="shared" si="89"/>
        <v>0</v>
      </c>
    </row>
    <row r="2784" spans="2:18" ht="30.75" customHeight="1" x14ac:dyDescent="0.3">
      <c r="B2784" s="32"/>
      <c r="P2784" s="31">
        <f t="shared" si="88"/>
        <v>0</v>
      </c>
      <c r="R2784" s="31">
        <f t="shared" si="89"/>
        <v>0</v>
      </c>
    </row>
    <row r="2785" spans="2:18" ht="30.75" customHeight="1" x14ac:dyDescent="0.3">
      <c r="B2785" s="32"/>
      <c r="P2785" s="31">
        <f t="shared" si="88"/>
        <v>0</v>
      </c>
      <c r="R2785" s="31">
        <f t="shared" si="89"/>
        <v>0</v>
      </c>
    </row>
    <row r="2786" spans="2:18" ht="30.75" customHeight="1" x14ac:dyDescent="0.3">
      <c r="B2786" s="32"/>
      <c r="P2786" s="31">
        <f t="shared" si="88"/>
        <v>0</v>
      </c>
      <c r="R2786" s="31">
        <f t="shared" si="89"/>
        <v>0</v>
      </c>
    </row>
    <row r="2787" spans="2:18" ht="30.75" customHeight="1" x14ac:dyDescent="0.3">
      <c r="B2787" s="32"/>
      <c r="P2787" s="31">
        <f t="shared" si="88"/>
        <v>0</v>
      </c>
      <c r="R2787" s="31">
        <f t="shared" si="89"/>
        <v>0</v>
      </c>
    </row>
    <row r="2788" spans="2:18" ht="30.75" customHeight="1" x14ac:dyDescent="0.3">
      <c r="B2788" s="32"/>
      <c r="P2788" s="31">
        <f t="shared" si="88"/>
        <v>0</v>
      </c>
      <c r="R2788" s="31">
        <f t="shared" si="89"/>
        <v>0</v>
      </c>
    </row>
    <row r="2789" spans="2:18" ht="30.75" customHeight="1" x14ac:dyDescent="0.3">
      <c r="B2789" s="32"/>
      <c r="P2789" s="31">
        <f t="shared" si="88"/>
        <v>0</v>
      </c>
      <c r="R2789" s="31">
        <f t="shared" si="89"/>
        <v>0</v>
      </c>
    </row>
    <row r="2790" spans="2:18" ht="30.75" customHeight="1" x14ac:dyDescent="0.3">
      <c r="B2790" s="32"/>
      <c r="P2790" s="31">
        <f t="shared" si="88"/>
        <v>0</v>
      </c>
      <c r="R2790" s="31">
        <f t="shared" si="89"/>
        <v>0</v>
      </c>
    </row>
    <row r="2791" spans="2:18" ht="30.75" customHeight="1" x14ac:dyDescent="0.3">
      <c r="B2791" s="32"/>
      <c r="P2791" s="31">
        <f t="shared" si="88"/>
        <v>0</v>
      </c>
      <c r="R2791" s="31">
        <f t="shared" si="89"/>
        <v>0</v>
      </c>
    </row>
    <row r="2792" spans="2:18" ht="30.75" customHeight="1" x14ac:dyDescent="0.3">
      <c r="B2792" s="32"/>
      <c r="P2792" s="31">
        <f t="shared" ref="P2792:P2855" si="90">K2792-L2792-M2792-N2792+O2792</f>
        <v>0</v>
      </c>
      <c r="R2792" s="31">
        <f t="shared" ref="R2792:R2855" si="91">R2791+K2792-L2792-M2792-N2792+O2792-Q2792</f>
        <v>0</v>
      </c>
    </row>
    <row r="2793" spans="2:18" ht="30.75" customHeight="1" x14ac:dyDescent="0.3">
      <c r="B2793" s="32"/>
      <c r="P2793" s="31">
        <f t="shared" si="90"/>
        <v>0</v>
      </c>
      <c r="R2793" s="31">
        <f t="shared" si="91"/>
        <v>0</v>
      </c>
    </row>
    <row r="2794" spans="2:18" ht="30.75" customHeight="1" x14ac:dyDescent="0.3">
      <c r="B2794" s="32"/>
      <c r="P2794" s="31">
        <f t="shared" si="90"/>
        <v>0</v>
      </c>
      <c r="R2794" s="31">
        <f t="shared" si="91"/>
        <v>0</v>
      </c>
    </row>
    <row r="2795" spans="2:18" ht="30.75" customHeight="1" x14ac:dyDescent="0.3">
      <c r="B2795" s="32"/>
      <c r="P2795" s="31">
        <f t="shared" si="90"/>
        <v>0</v>
      </c>
      <c r="R2795" s="31">
        <f t="shared" si="91"/>
        <v>0</v>
      </c>
    </row>
    <row r="2796" spans="2:18" ht="30.75" customHeight="1" x14ac:dyDescent="0.3">
      <c r="B2796" s="32"/>
      <c r="P2796" s="31">
        <f t="shared" si="90"/>
        <v>0</v>
      </c>
      <c r="R2796" s="31">
        <f t="shared" si="91"/>
        <v>0</v>
      </c>
    </row>
    <row r="2797" spans="2:18" ht="30.75" customHeight="1" x14ac:dyDescent="0.3">
      <c r="B2797" s="32"/>
      <c r="P2797" s="31">
        <f t="shared" si="90"/>
        <v>0</v>
      </c>
      <c r="R2797" s="31">
        <f t="shared" si="91"/>
        <v>0</v>
      </c>
    </row>
    <row r="2798" spans="2:18" ht="30.75" customHeight="1" x14ac:dyDescent="0.3">
      <c r="B2798" s="32"/>
      <c r="P2798" s="31">
        <f t="shared" si="90"/>
        <v>0</v>
      </c>
      <c r="R2798" s="31">
        <f t="shared" si="91"/>
        <v>0</v>
      </c>
    </row>
    <row r="2799" spans="2:18" ht="30.75" customHeight="1" x14ac:dyDescent="0.3">
      <c r="B2799" s="32"/>
      <c r="P2799" s="31">
        <f t="shared" si="90"/>
        <v>0</v>
      </c>
      <c r="R2799" s="31">
        <f t="shared" si="91"/>
        <v>0</v>
      </c>
    </row>
    <row r="2800" spans="2:18" ht="30.75" customHeight="1" x14ac:dyDescent="0.3">
      <c r="B2800" s="32"/>
      <c r="P2800" s="31">
        <f t="shared" si="90"/>
        <v>0</v>
      </c>
      <c r="R2800" s="31">
        <f t="shared" si="91"/>
        <v>0</v>
      </c>
    </row>
    <row r="2801" spans="2:18" ht="30.75" customHeight="1" x14ac:dyDescent="0.3">
      <c r="B2801" s="32"/>
      <c r="P2801" s="31">
        <f t="shared" si="90"/>
        <v>0</v>
      </c>
      <c r="R2801" s="31">
        <f t="shared" si="91"/>
        <v>0</v>
      </c>
    </row>
    <row r="2802" spans="2:18" ht="30.75" customHeight="1" x14ac:dyDescent="0.3">
      <c r="B2802" s="32"/>
      <c r="P2802" s="31">
        <f t="shared" si="90"/>
        <v>0</v>
      </c>
      <c r="R2802" s="31">
        <f t="shared" si="91"/>
        <v>0</v>
      </c>
    </row>
    <row r="2803" spans="2:18" ht="30.75" customHeight="1" x14ac:dyDescent="0.3">
      <c r="B2803" s="32"/>
      <c r="P2803" s="31">
        <f t="shared" si="90"/>
        <v>0</v>
      </c>
      <c r="R2803" s="31">
        <f t="shared" si="91"/>
        <v>0</v>
      </c>
    </row>
    <row r="2804" spans="2:18" ht="30.75" customHeight="1" x14ac:dyDescent="0.3">
      <c r="B2804" s="32"/>
      <c r="P2804" s="31">
        <f t="shared" si="90"/>
        <v>0</v>
      </c>
      <c r="R2804" s="31">
        <f t="shared" si="91"/>
        <v>0</v>
      </c>
    </row>
    <row r="2805" spans="2:18" ht="30.75" customHeight="1" x14ac:dyDescent="0.3">
      <c r="B2805" s="32"/>
      <c r="P2805" s="31">
        <f t="shared" si="90"/>
        <v>0</v>
      </c>
      <c r="R2805" s="31">
        <f t="shared" si="91"/>
        <v>0</v>
      </c>
    </row>
    <row r="2806" spans="2:18" ht="30.75" customHeight="1" x14ac:dyDescent="0.3">
      <c r="B2806" s="32"/>
      <c r="P2806" s="31">
        <f t="shared" si="90"/>
        <v>0</v>
      </c>
      <c r="R2806" s="31">
        <f t="shared" si="91"/>
        <v>0</v>
      </c>
    </row>
    <row r="2807" spans="2:18" ht="30.75" customHeight="1" x14ac:dyDescent="0.3">
      <c r="B2807" s="32"/>
      <c r="P2807" s="31">
        <f t="shared" si="90"/>
        <v>0</v>
      </c>
      <c r="R2807" s="31">
        <f t="shared" si="91"/>
        <v>0</v>
      </c>
    </row>
    <row r="2808" spans="2:18" ht="30.75" customHeight="1" x14ac:dyDescent="0.3">
      <c r="B2808" s="32"/>
      <c r="P2808" s="31">
        <f t="shared" si="90"/>
        <v>0</v>
      </c>
      <c r="R2808" s="31">
        <f t="shared" si="91"/>
        <v>0</v>
      </c>
    </row>
    <row r="2809" spans="2:18" ht="30.75" customHeight="1" x14ac:dyDescent="0.3">
      <c r="B2809" s="32"/>
      <c r="P2809" s="31">
        <f t="shared" si="90"/>
        <v>0</v>
      </c>
      <c r="R2809" s="31">
        <f t="shared" si="91"/>
        <v>0</v>
      </c>
    </row>
    <row r="2810" spans="2:18" ht="30.75" customHeight="1" x14ac:dyDescent="0.3">
      <c r="B2810" s="32"/>
      <c r="P2810" s="31">
        <f t="shared" si="90"/>
        <v>0</v>
      </c>
      <c r="R2810" s="31">
        <f t="shared" si="91"/>
        <v>0</v>
      </c>
    </row>
    <row r="2811" spans="2:18" ht="30.75" customHeight="1" x14ac:dyDescent="0.3">
      <c r="B2811" s="32"/>
      <c r="P2811" s="31">
        <f t="shared" si="90"/>
        <v>0</v>
      </c>
      <c r="R2811" s="31">
        <f t="shared" si="91"/>
        <v>0</v>
      </c>
    </row>
    <row r="2812" spans="2:18" ht="30.75" customHeight="1" x14ac:dyDescent="0.3">
      <c r="B2812" s="32"/>
      <c r="P2812" s="31">
        <f t="shared" si="90"/>
        <v>0</v>
      </c>
      <c r="R2812" s="31">
        <f t="shared" si="91"/>
        <v>0</v>
      </c>
    </row>
    <row r="2813" spans="2:18" ht="30.75" customHeight="1" x14ac:dyDescent="0.3">
      <c r="B2813" s="32"/>
      <c r="P2813" s="31">
        <f t="shared" si="90"/>
        <v>0</v>
      </c>
      <c r="R2813" s="31">
        <f t="shared" si="91"/>
        <v>0</v>
      </c>
    </row>
    <row r="2814" spans="2:18" ht="30.75" customHeight="1" x14ac:dyDescent="0.3">
      <c r="B2814" s="32"/>
      <c r="P2814" s="31">
        <f t="shared" si="90"/>
        <v>0</v>
      </c>
      <c r="R2814" s="31">
        <f t="shared" si="91"/>
        <v>0</v>
      </c>
    </row>
    <row r="2815" spans="2:18" ht="30.75" customHeight="1" x14ac:dyDescent="0.3">
      <c r="B2815" s="32"/>
      <c r="P2815" s="31">
        <f t="shared" si="90"/>
        <v>0</v>
      </c>
      <c r="R2815" s="31">
        <f t="shared" si="91"/>
        <v>0</v>
      </c>
    </row>
    <row r="2816" spans="2:18" ht="30.75" customHeight="1" x14ac:dyDescent="0.3">
      <c r="B2816" s="32"/>
      <c r="P2816" s="31">
        <f t="shared" si="90"/>
        <v>0</v>
      </c>
      <c r="R2816" s="31">
        <f t="shared" si="91"/>
        <v>0</v>
      </c>
    </row>
    <row r="2817" spans="2:18" ht="30.75" customHeight="1" x14ac:dyDescent="0.3">
      <c r="B2817" s="32"/>
      <c r="P2817" s="31">
        <f t="shared" si="90"/>
        <v>0</v>
      </c>
      <c r="R2817" s="31">
        <f t="shared" si="91"/>
        <v>0</v>
      </c>
    </row>
    <row r="2818" spans="2:18" ht="30.75" customHeight="1" x14ac:dyDescent="0.3">
      <c r="B2818" s="32"/>
      <c r="P2818" s="31">
        <f t="shared" si="90"/>
        <v>0</v>
      </c>
      <c r="R2818" s="31">
        <f t="shared" si="91"/>
        <v>0</v>
      </c>
    </row>
    <row r="2819" spans="2:18" ht="30.75" customHeight="1" x14ac:dyDescent="0.3">
      <c r="B2819" s="32"/>
      <c r="P2819" s="31">
        <f t="shared" si="90"/>
        <v>0</v>
      </c>
      <c r="R2819" s="31">
        <f t="shared" si="91"/>
        <v>0</v>
      </c>
    </row>
    <row r="2820" spans="2:18" ht="30.75" customHeight="1" x14ac:dyDescent="0.3">
      <c r="B2820" s="32"/>
      <c r="P2820" s="31">
        <f t="shared" si="90"/>
        <v>0</v>
      </c>
      <c r="R2820" s="31">
        <f t="shared" si="91"/>
        <v>0</v>
      </c>
    </row>
    <row r="2821" spans="2:18" ht="30.75" customHeight="1" x14ac:dyDescent="0.3">
      <c r="B2821" s="32"/>
      <c r="P2821" s="31">
        <f t="shared" si="90"/>
        <v>0</v>
      </c>
      <c r="R2821" s="31">
        <f t="shared" si="91"/>
        <v>0</v>
      </c>
    </row>
    <row r="2822" spans="2:18" ht="30.75" customHeight="1" x14ac:dyDescent="0.3">
      <c r="B2822" s="32"/>
      <c r="P2822" s="31">
        <f t="shared" si="90"/>
        <v>0</v>
      </c>
      <c r="R2822" s="31">
        <f t="shared" si="91"/>
        <v>0</v>
      </c>
    </row>
    <row r="2823" spans="2:18" ht="30.75" customHeight="1" x14ac:dyDescent="0.3">
      <c r="B2823" s="32"/>
      <c r="P2823" s="31">
        <f t="shared" si="90"/>
        <v>0</v>
      </c>
      <c r="R2823" s="31">
        <f t="shared" si="91"/>
        <v>0</v>
      </c>
    </row>
    <row r="2824" spans="2:18" ht="30.75" customHeight="1" x14ac:dyDescent="0.3">
      <c r="B2824" s="32"/>
      <c r="P2824" s="31">
        <f t="shared" si="90"/>
        <v>0</v>
      </c>
      <c r="R2824" s="31">
        <f t="shared" si="91"/>
        <v>0</v>
      </c>
    </row>
    <row r="2825" spans="2:18" ht="30.75" customHeight="1" x14ac:dyDescent="0.3">
      <c r="B2825" s="32"/>
      <c r="P2825" s="31">
        <f t="shared" si="90"/>
        <v>0</v>
      </c>
      <c r="R2825" s="31">
        <f t="shared" si="91"/>
        <v>0</v>
      </c>
    </row>
    <row r="2826" spans="2:18" ht="30.75" customHeight="1" x14ac:dyDescent="0.3">
      <c r="B2826" s="32"/>
      <c r="P2826" s="31">
        <f t="shared" si="90"/>
        <v>0</v>
      </c>
      <c r="R2826" s="31">
        <f t="shared" si="91"/>
        <v>0</v>
      </c>
    </row>
    <row r="2827" spans="2:18" ht="30.75" customHeight="1" x14ac:dyDescent="0.3">
      <c r="B2827" s="32"/>
      <c r="P2827" s="31">
        <f t="shared" si="90"/>
        <v>0</v>
      </c>
      <c r="R2827" s="31">
        <f t="shared" si="91"/>
        <v>0</v>
      </c>
    </row>
    <row r="2828" spans="2:18" ht="30.75" customHeight="1" x14ac:dyDescent="0.3">
      <c r="B2828" s="32"/>
      <c r="P2828" s="31">
        <f t="shared" si="90"/>
        <v>0</v>
      </c>
      <c r="R2828" s="31">
        <f t="shared" si="91"/>
        <v>0</v>
      </c>
    </row>
    <row r="2829" spans="2:18" ht="30.75" customHeight="1" x14ac:dyDescent="0.3">
      <c r="B2829" s="32"/>
      <c r="P2829" s="31">
        <f t="shared" si="90"/>
        <v>0</v>
      </c>
      <c r="R2829" s="31">
        <f t="shared" si="91"/>
        <v>0</v>
      </c>
    </row>
    <row r="2830" spans="2:18" ht="30.75" customHeight="1" x14ac:dyDescent="0.3">
      <c r="B2830" s="32"/>
      <c r="P2830" s="31">
        <f t="shared" si="90"/>
        <v>0</v>
      </c>
      <c r="R2830" s="31">
        <f t="shared" si="91"/>
        <v>0</v>
      </c>
    </row>
    <row r="2831" spans="2:18" ht="30.75" customHeight="1" x14ac:dyDescent="0.3">
      <c r="B2831" s="32"/>
      <c r="P2831" s="31">
        <f t="shared" si="90"/>
        <v>0</v>
      </c>
      <c r="R2831" s="31">
        <f t="shared" si="91"/>
        <v>0</v>
      </c>
    </row>
    <row r="2832" spans="2:18" ht="30.75" customHeight="1" x14ac:dyDescent="0.3">
      <c r="B2832" s="32"/>
      <c r="P2832" s="31">
        <f t="shared" si="90"/>
        <v>0</v>
      </c>
      <c r="R2832" s="31">
        <f t="shared" si="91"/>
        <v>0</v>
      </c>
    </row>
    <row r="2833" spans="2:18" ht="30.75" customHeight="1" x14ac:dyDescent="0.3">
      <c r="B2833" s="32"/>
      <c r="P2833" s="31">
        <f t="shared" si="90"/>
        <v>0</v>
      </c>
      <c r="R2833" s="31">
        <f t="shared" si="91"/>
        <v>0</v>
      </c>
    </row>
    <row r="2834" spans="2:18" ht="30.75" customHeight="1" x14ac:dyDescent="0.3">
      <c r="B2834" s="32"/>
      <c r="P2834" s="31">
        <f t="shared" si="90"/>
        <v>0</v>
      </c>
      <c r="R2834" s="31">
        <f t="shared" si="91"/>
        <v>0</v>
      </c>
    </row>
    <row r="2835" spans="2:18" ht="30.75" customHeight="1" x14ac:dyDescent="0.3">
      <c r="B2835" s="32"/>
      <c r="P2835" s="31">
        <f t="shared" si="90"/>
        <v>0</v>
      </c>
      <c r="R2835" s="31">
        <f t="shared" si="91"/>
        <v>0</v>
      </c>
    </row>
    <row r="2836" spans="2:18" ht="30.75" customHeight="1" x14ac:dyDescent="0.3">
      <c r="B2836" s="32"/>
      <c r="P2836" s="31">
        <f t="shared" si="90"/>
        <v>0</v>
      </c>
      <c r="R2836" s="31">
        <f t="shared" si="91"/>
        <v>0</v>
      </c>
    </row>
    <row r="2837" spans="2:18" ht="30.75" customHeight="1" x14ac:dyDescent="0.3">
      <c r="B2837" s="32"/>
      <c r="P2837" s="31">
        <f t="shared" si="90"/>
        <v>0</v>
      </c>
      <c r="R2837" s="31">
        <f t="shared" si="91"/>
        <v>0</v>
      </c>
    </row>
    <row r="2838" spans="2:18" ht="30.75" customHeight="1" x14ac:dyDescent="0.3">
      <c r="B2838" s="32"/>
      <c r="P2838" s="31">
        <f t="shared" si="90"/>
        <v>0</v>
      </c>
      <c r="R2838" s="31">
        <f t="shared" si="91"/>
        <v>0</v>
      </c>
    </row>
    <row r="2839" spans="2:18" ht="30.75" customHeight="1" x14ac:dyDescent="0.3">
      <c r="B2839" s="32"/>
      <c r="P2839" s="31">
        <f t="shared" si="90"/>
        <v>0</v>
      </c>
      <c r="R2839" s="31">
        <f t="shared" si="91"/>
        <v>0</v>
      </c>
    </row>
    <row r="2840" spans="2:18" ht="30.75" customHeight="1" x14ac:dyDescent="0.3">
      <c r="B2840" s="32"/>
      <c r="P2840" s="31">
        <f t="shared" si="90"/>
        <v>0</v>
      </c>
      <c r="R2840" s="31">
        <f t="shared" si="91"/>
        <v>0</v>
      </c>
    </row>
    <row r="2841" spans="2:18" ht="30.75" customHeight="1" x14ac:dyDescent="0.3">
      <c r="B2841" s="32"/>
      <c r="P2841" s="31">
        <f t="shared" si="90"/>
        <v>0</v>
      </c>
      <c r="R2841" s="31">
        <f t="shared" si="91"/>
        <v>0</v>
      </c>
    </row>
    <row r="2842" spans="2:18" ht="30.75" customHeight="1" x14ac:dyDescent="0.3">
      <c r="B2842" s="32"/>
      <c r="P2842" s="31">
        <f t="shared" si="90"/>
        <v>0</v>
      </c>
      <c r="R2842" s="31">
        <f t="shared" si="91"/>
        <v>0</v>
      </c>
    </row>
    <row r="2843" spans="2:18" ht="30.75" customHeight="1" x14ac:dyDescent="0.3">
      <c r="B2843" s="32"/>
      <c r="P2843" s="31">
        <f t="shared" si="90"/>
        <v>0</v>
      </c>
      <c r="R2843" s="31">
        <f t="shared" si="91"/>
        <v>0</v>
      </c>
    </row>
    <row r="2844" spans="2:18" ht="30.75" customHeight="1" x14ac:dyDescent="0.3">
      <c r="B2844" s="32"/>
      <c r="P2844" s="31">
        <f t="shared" si="90"/>
        <v>0</v>
      </c>
      <c r="R2844" s="31">
        <f t="shared" si="91"/>
        <v>0</v>
      </c>
    </row>
    <row r="2845" spans="2:18" ht="30.75" customHeight="1" x14ac:dyDescent="0.3">
      <c r="B2845" s="32"/>
      <c r="P2845" s="31">
        <f t="shared" si="90"/>
        <v>0</v>
      </c>
      <c r="R2845" s="31">
        <f t="shared" si="91"/>
        <v>0</v>
      </c>
    </row>
    <row r="2846" spans="2:18" ht="30.75" customHeight="1" x14ac:dyDescent="0.3">
      <c r="B2846" s="32"/>
      <c r="P2846" s="31">
        <f t="shared" si="90"/>
        <v>0</v>
      </c>
      <c r="R2846" s="31">
        <f t="shared" si="91"/>
        <v>0</v>
      </c>
    </row>
    <row r="2847" spans="2:18" ht="30.75" customHeight="1" x14ac:dyDescent="0.3">
      <c r="B2847" s="32"/>
      <c r="P2847" s="31">
        <f t="shared" si="90"/>
        <v>0</v>
      </c>
      <c r="R2847" s="31">
        <f t="shared" si="91"/>
        <v>0</v>
      </c>
    </row>
    <row r="2848" spans="2:18" ht="30.75" customHeight="1" x14ac:dyDescent="0.3">
      <c r="B2848" s="32"/>
      <c r="P2848" s="31">
        <f t="shared" si="90"/>
        <v>0</v>
      </c>
      <c r="R2848" s="31">
        <f t="shared" si="91"/>
        <v>0</v>
      </c>
    </row>
    <row r="2849" spans="2:18" ht="30.75" customHeight="1" x14ac:dyDescent="0.3">
      <c r="B2849" s="32"/>
      <c r="P2849" s="31">
        <f t="shared" si="90"/>
        <v>0</v>
      </c>
      <c r="R2849" s="31">
        <f t="shared" si="91"/>
        <v>0</v>
      </c>
    </row>
    <row r="2850" spans="2:18" ht="30.75" customHeight="1" x14ac:dyDescent="0.3">
      <c r="B2850" s="32"/>
      <c r="P2850" s="31">
        <f t="shared" si="90"/>
        <v>0</v>
      </c>
      <c r="R2850" s="31">
        <f t="shared" si="91"/>
        <v>0</v>
      </c>
    </row>
    <row r="2851" spans="2:18" ht="30.75" customHeight="1" x14ac:dyDescent="0.3">
      <c r="B2851" s="32"/>
      <c r="P2851" s="31">
        <f t="shared" si="90"/>
        <v>0</v>
      </c>
      <c r="R2851" s="31">
        <f t="shared" si="91"/>
        <v>0</v>
      </c>
    </row>
    <row r="2852" spans="2:18" ht="30.75" customHeight="1" x14ac:dyDescent="0.3">
      <c r="B2852" s="32"/>
      <c r="P2852" s="31">
        <f t="shared" si="90"/>
        <v>0</v>
      </c>
      <c r="R2852" s="31">
        <f t="shared" si="91"/>
        <v>0</v>
      </c>
    </row>
    <row r="2853" spans="2:18" ht="30.75" customHeight="1" x14ac:dyDescent="0.3">
      <c r="B2853" s="32"/>
      <c r="P2853" s="31">
        <f t="shared" si="90"/>
        <v>0</v>
      </c>
      <c r="R2853" s="31">
        <f t="shared" si="91"/>
        <v>0</v>
      </c>
    </row>
    <row r="2854" spans="2:18" ht="30.75" customHeight="1" x14ac:dyDescent="0.3">
      <c r="B2854" s="32"/>
      <c r="P2854" s="31">
        <f t="shared" si="90"/>
        <v>0</v>
      </c>
      <c r="R2854" s="31">
        <f t="shared" si="91"/>
        <v>0</v>
      </c>
    </row>
    <row r="2855" spans="2:18" ht="30.75" customHeight="1" x14ac:dyDescent="0.3">
      <c r="B2855" s="32"/>
      <c r="P2855" s="31">
        <f t="shared" si="90"/>
        <v>0</v>
      </c>
      <c r="R2855" s="31">
        <f t="shared" si="91"/>
        <v>0</v>
      </c>
    </row>
    <row r="2856" spans="2:18" ht="30.75" customHeight="1" x14ac:dyDescent="0.3">
      <c r="B2856" s="32"/>
      <c r="P2856" s="31">
        <f t="shared" ref="P2856:P2919" si="92">K2856-L2856-M2856-N2856+O2856</f>
        <v>0</v>
      </c>
      <c r="R2856" s="31">
        <f t="shared" ref="R2856:R2919" si="93">R2855+K2856-L2856-M2856-N2856+O2856-Q2856</f>
        <v>0</v>
      </c>
    </row>
    <row r="2857" spans="2:18" ht="30.75" customHeight="1" x14ac:dyDescent="0.3">
      <c r="B2857" s="32"/>
      <c r="P2857" s="31">
        <f t="shared" si="92"/>
        <v>0</v>
      </c>
      <c r="R2857" s="31">
        <f t="shared" si="93"/>
        <v>0</v>
      </c>
    </row>
    <row r="2858" spans="2:18" ht="30.75" customHeight="1" x14ac:dyDescent="0.3">
      <c r="B2858" s="32"/>
      <c r="P2858" s="31">
        <f t="shared" si="92"/>
        <v>0</v>
      </c>
      <c r="R2858" s="31">
        <f t="shared" si="93"/>
        <v>0</v>
      </c>
    </row>
    <row r="2859" spans="2:18" ht="30.75" customHeight="1" x14ac:dyDescent="0.3">
      <c r="B2859" s="32"/>
      <c r="P2859" s="31">
        <f t="shared" si="92"/>
        <v>0</v>
      </c>
      <c r="R2859" s="31">
        <f t="shared" si="93"/>
        <v>0</v>
      </c>
    </row>
    <row r="2860" spans="2:18" ht="30.75" customHeight="1" x14ac:dyDescent="0.3">
      <c r="B2860" s="32"/>
      <c r="P2860" s="31">
        <f t="shared" si="92"/>
        <v>0</v>
      </c>
      <c r="R2860" s="31">
        <f t="shared" si="93"/>
        <v>0</v>
      </c>
    </row>
    <row r="2861" spans="2:18" ht="30.75" customHeight="1" x14ac:dyDescent="0.3">
      <c r="B2861" s="32"/>
      <c r="P2861" s="31">
        <f t="shared" si="92"/>
        <v>0</v>
      </c>
      <c r="R2861" s="31">
        <f t="shared" si="93"/>
        <v>0</v>
      </c>
    </row>
    <row r="2862" spans="2:18" ht="30.75" customHeight="1" x14ac:dyDescent="0.3">
      <c r="B2862" s="32"/>
      <c r="P2862" s="31">
        <f t="shared" si="92"/>
        <v>0</v>
      </c>
      <c r="R2862" s="31">
        <f t="shared" si="93"/>
        <v>0</v>
      </c>
    </row>
    <row r="2863" spans="2:18" ht="30.75" customHeight="1" x14ac:dyDescent="0.3">
      <c r="B2863" s="32"/>
      <c r="P2863" s="31">
        <f t="shared" si="92"/>
        <v>0</v>
      </c>
      <c r="R2863" s="31">
        <f t="shared" si="93"/>
        <v>0</v>
      </c>
    </row>
    <row r="2864" spans="2:18" ht="30.75" customHeight="1" x14ac:dyDescent="0.3">
      <c r="B2864" s="32"/>
      <c r="P2864" s="31">
        <f t="shared" si="92"/>
        <v>0</v>
      </c>
      <c r="R2864" s="31">
        <f t="shared" si="93"/>
        <v>0</v>
      </c>
    </row>
    <row r="2865" spans="2:18" ht="30.75" customHeight="1" x14ac:dyDescent="0.3">
      <c r="B2865" s="32"/>
      <c r="P2865" s="31">
        <f t="shared" si="92"/>
        <v>0</v>
      </c>
      <c r="R2865" s="31">
        <f t="shared" si="93"/>
        <v>0</v>
      </c>
    </row>
    <row r="2866" spans="2:18" ht="30.75" customHeight="1" x14ac:dyDescent="0.3">
      <c r="B2866" s="32"/>
      <c r="P2866" s="31">
        <f t="shared" si="92"/>
        <v>0</v>
      </c>
      <c r="R2866" s="31">
        <f t="shared" si="93"/>
        <v>0</v>
      </c>
    </row>
    <row r="2867" spans="2:18" ht="30.75" customHeight="1" x14ac:dyDescent="0.3">
      <c r="B2867" s="32"/>
      <c r="P2867" s="31">
        <f t="shared" si="92"/>
        <v>0</v>
      </c>
      <c r="R2867" s="31">
        <f t="shared" si="93"/>
        <v>0</v>
      </c>
    </row>
    <row r="2868" spans="2:18" ht="30.75" customHeight="1" x14ac:dyDescent="0.3">
      <c r="B2868" s="32"/>
      <c r="P2868" s="31">
        <f t="shared" si="92"/>
        <v>0</v>
      </c>
      <c r="R2868" s="31">
        <f t="shared" si="93"/>
        <v>0</v>
      </c>
    </row>
    <row r="2869" spans="2:18" ht="30.75" customHeight="1" x14ac:dyDescent="0.3">
      <c r="B2869" s="32"/>
      <c r="P2869" s="31">
        <f t="shared" si="92"/>
        <v>0</v>
      </c>
      <c r="R2869" s="31">
        <f t="shared" si="93"/>
        <v>0</v>
      </c>
    </row>
    <row r="2870" spans="2:18" ht="30.75" customHeight="1" x14ac:dyDescent="0.3">
      <c r="B2870" s="32"/>
      <c r="P2870" s="31">
        <f t="shared" si="92"/>
        <v>0</v>
      </c>
      <c r="R2870" s="31">
        <f t="shared" si="93"/>
        <v>0</v>
      </c>
    </row>
    <row r="2871" spans="2:18" ht="30.75" customHeight="1" x14ac:dyDescent="0.3">
      <c r="B2871" s="32"/>
      <c r="P2871" s="31">
        <f t="shared" si="92"/>
        <v>0</v>
      </c>
      <c r="R2871" s="31">
        <f t="shared" si="93"/>
        <v>0</v>
      </c>
    </row>
    <row r="2872" spans="2:18" ht="30.75" customHeight="1" x14ac:dyDescent="0.3">
      <c r="B2872" s="32"/>
      <c r="P2872" s="31">
        <f t="shared" si="92"/>
        <v>0</v>
      </c>
      <c r="R2872" s="31">
        <f t="shared" si="93"/>
        <v>0</v>
      </c>
    </row>
    <row r="2873" spans="2:18" ht="30.75" customHeight="1" x14ac:dyDescent="0.3">
      <c r="B2873" s="32"/>
      <c r="P2873" s="31">
        <f t="shared" si="92"/>
        <v>0</v>
      </c>
      <c r="R2873" s="31">
        <f t="shared" si="93"/>
        <v>0</v>
      </c>
    </row>
    <row r="2874" spans="2:18" ht="30.75" customHeight="1" x14ac:dyDescent="0.3">
      <c r="B2874" s="32"/>
      <c r="P2874" s="31">
        <f t="shared" si="92"/>
        <v>0</v>
      </c>
      <c r="R2874" s="31">
        <f t="shared" si="93"/>
        <v>0</v>
      </c>
    </row>
    <row r="2875" spans="2:18" ht="30.75" customHeight="1" x14ac:dyDescent="0.3">
      <c r="B2875" s="32"/>
      <c r="P2875" s="31">
        <f t="shared" si="92"/>
        <v>0</v>
      </c>
      <c r="R2875" s="31">
        <f t="shared" si="93"/>
        <v>0</v>
      </c>
    </row>
    <row r="2876" spans="2:18" ht="30.75" customHeight="1" x14ac:dyDescent="0.3">
      <c r="B2876" s="32"/>
      <c r="P2876" s="31">
        <f t="shared" si="92"/>
        <v>0</v>
      </c>
      <c r="R2876" s="31">
        <f t="shared" si="93"/>
        <v>0</v>
      </c>
    </row>
    <row r="2877" spans="2:18" ht="30.75" customHeight="1" x14ac:dyDescent="0.3">
      <c r="B2877" s="32"/>
      <c r="P2877" s="31">
        <f t="shared" si="92"/>
        <v>0</v>
      </c>
      <c r="R2877" s="31">
        <f t="shared" si="93"/>
        <v>0</v>
      </c>
    </row>
    <row r="2878" spans="2:18" ht="30.75" customHeight="1" x14ac:dyDescent="0.3">
      <c r="B2878" s="32"/>
      <c r="P2878" s="31">
        <f t="shared" si="92"/>
        <v>0</v>
      </c>
      <c r="R2878" s="31">
        <f t="shared" si="93"/>
        <v>0</v>
      </c>
    </row>
    <row r="2879" spans="2:18" ht="30.75" customHeight="1" x14ac:dyDescent="0.3">
      <c r="B2879" s="32"/>
      <c r="P2879" s="31">
        <f t="shared" si="92"/>
        <v>0</v>
      </c>
      <c r="R2879" s="31">
        <f t="shared" si="93"/>
        <v>0</v>
      </c>
    </row>
    <row r="2880" spans="2:18" ht="30.75" customHeight="1" x14ac:dyDescent="0.3">
      <c r="B2880" s="32"/>
      <c r="P2880" s="31">
        <f t="shared" si="92"/>
        <v>0</v>
      </c>
      <c r="R2880" s="31">
        <f t="shared" si="93"/>
        <v>0</v>
      </c>
    </row>
    <row r="2881" spans="2:18" ht="30.75" customHeight="1" x14ac:dyDescent="0.3">
      <c r="B2881" s="32"/>
      <c r="P2881" s="31">
        <f t="shared" si="92"/>
        <v>0</v>
      </c>
      <c r="R2881" s="31">
        <f t="shared" si="93"/>
        <v>0</v>
      </c>
    </row>
    <row r="2882" spans="2:18" ht="30.75" customHeight="1" x14ac:dyDescent="0.3">
      <c r="B2882" s="32"/>
      <c r="P2882" s="31">
        <f t="shared" si="92"/>
        <v>0</v>
      </c>
      <c r="R2882" s="31">
        <f t="shared" si="93"/>
        <v>0</v>
      </c>
    </row>
    <row r="2883" spans="2:18" ht="30.75" customHeight="1" x14ac:dyDescent="0.3">
      <c r="B2883" s="32"/>
      <c r="P2883" s="31">
        <f t="shared" si="92"/>
        <v>0</v>
      </c>
      <c r="R2883" s="31">
        <f t="shared" si="93"/>
        <v>0</v>
      </c>
    </row>
    <row r="2884" spans="2:18" ht="30.75" customHeight="1" x14ac:dyDescent="0.3">
      <c r="B2884" s="32"/>
      <c r="P2884" s="31">
        <f t="shared" si="92"/>
        <v>0</v>
      </c>
      <c r="R2884" s="31">
        <f t="shared" si="93"/>
        <v>0</v>
      </c>
    </row>
    <row r="2885" spans="2:18" ht="30.75" customHeight="1" x14ac:dyDescent="0.3">
      <c r="B2885" s="32"/>
      <c r="P2885" s="31">
        <f t="shared" si="92"/>
        <v>0</v>
      </c>
      <c r="R2885" s="31">
        <f t="shared" si="93"/>
        <v>0</v>
      </c>
    </row>
    <row r="2886" spans="2:18" ht="30.75" customHeight="1" x14ac:dyDescent="0.3">
      <c r="B2886" s="32"/>
      <c r="P2886" s="31">
        <f t="shared" si="92"/>
        <v>0</v>
      </c>
      <c r="R2886" s="31">
        <f t="shared" si="93"/>
        <v>0</v>
      </c>
    </row>
    <row r="2887" spans="2:18" ht="30.75" customHeight="1" x14ac:dyDescent="0.3">
      <c r="B2887" s="32"/>
      <c r="P2887" s="31">
        <f t="shared" si="92"/>
        <v>0</v>
      </c>
      <c r="R2887" s="31">
        <f t="shared" si="93"/>
        <v>0</v>
      </c>
    </row>
    <row r="2888" spans="2:18" ht="30.75" customHeight="1" x14ac:dyDescent="0.3">
      <c r="B2888" s="32"/>
      <c r="P2888" s="31">
        <f t="shared" si="92"/>
        <v>0</v>
      </c>
      <c r="R2888" s="31">
        <f t="shared" si="93"/>
        <v>0</v>
      </c>
    </row>
    <row r="2889" spans="2:18" ht="30.75" customHeight="1" x14ac:dyDescent="0.3">
      <c r="B2889" s="32"/>
      <c r="P2889" s="31">
        <f t="shared" si="92"/>
        <v>0</v>
      </c>
      <c r="R2889" s="31">
        <f t="shared" si="93"/>
        <v>0</v>
      </c>
    </row>
    <row r="2890" spans="2:18" ht="30.75" customHeight="1" x14ac:dyDescent="0.3">
      <c r="B2890" s="32"/>
      <c r="P2890" s="31">
        <f t="shared" si="92"/>
        <v>0</v>
      </c>
      <c r="R2890" s="31">
        <f t="shared" si="93"/>
        <v>0</v>
      </c>
    </row>
    <row r="2891" spans="2:18" ht="30.75" customHeight="1" x14ac:dyDescent="0.3">
      <c r="B2891" s="32"/>
      <c r="P2891" s="31">
        <f t="shared" si="92"/>
        <v>0</v>
      </c>
      <c r="R2891" s="31">
        <f t="shared" si="93"/>
        <v>0</v>
      </c>
    </row>
    <row r="2892" spans="2:18" ht="30.75" customHeight="1" x14ac:dyDescent="0.3">
      <c r="B2892" s="32"/>
      <c r="P2892" s="31">
        <f t="shared" si="92"/>
        <v>0</v>
      </c>
      <c r="R2892" s="31">
        <f t="shared" si="93"/>
        <v>0</v>
      </c>
    </row>
    <row r="2893" spans="2:18" ht="30.75" customHeight="1" x14ac:dyDescent="0.3">
      <c r="B2893" s="32"/>
      <c r="P2893" s="31">
        <f t="shared" si="92"/>
        <v>0</v>
      </c>
      <c r="R2893" s="31">
        <f t="shared" si="93"/>
        <v>0</v>
      </c>
    </row>
    <row r="2894" spans="2:18" ht="30.75" customHeight="1" x14ac:dyDescent="0.3">
      <c r="B2894" s="32"/>
      <c r="P2894" s="31">
        <f t="shared" si="92"/>
        <v>0</v>
      </c>
      <c r="R2894" s="31">
        <f t="shared" si="93"/>
        <v>0</v>
      </c>
    </row>
    <row r="2895" spans="2:18" ht="30.75" customHeight="1" x14ac:dyDescent="0.3">
      <c r="B2895" s="32"/>
      <c r="P2895" s="31">
        <f t="shared" si="92"/>
        <v>0</v>
      </c>
      <c r="R2895" s="31">
        <f t="shared" si="93"/>
        <v>0</v>
      </c>
    </row>
    <row r="2896" spans="2:18" ht="30.75" customHeight="1" x14ac:dyDescent="0.3">
      <c r="B2896" s="32"/>
      <c r="P2896" s="31">
        <f t="shared" si="92"/>
        <v>0</v>
      </c>
      <c r="R2896" s="31">
        <f t="shared" si="93"/>
        <v>0</v>
      </c>
    </row>
    <row r="2897" spans="2:18" ht="30.75" customHeight="1" x14ac:dyDescent="0.3">
      <c r="B2897" s="32"/>
      <c r="P2897" s="31">
        <f t="shared" si="92"/>
        <v>0</v>
      </c>
      <c r="R2897" s="31">
        <f t="shared" si="93"/>
        <v>0</v>
      </c>
    </row>
    <row r="2898" spans="2:18" ht="30.75" customHeight="1" x14ac:dyDescent="0.3">
      <c r="B2898" s="32"/>
      <c r="P2898" s="31">
        <f t="shared" si="92"/>
        <v>0</v>
      </c>
      <c r="R2898" s="31">
        <f t="shared" si="93"/>
        <v>0</v>
      </c>
    </row>
    <row r="2899" spans="2:18" ht="30.75" customHeight="1" x14ac:dyDescent="0.3">
      <c r="B2899" s="32"/>
      <c r="P2899" s="31">
        <f t="shared" si="92"/>
        <v>0</v>
      </c>
      <c r="R2899" s="31">
        <f t="shared" si="93"/>
        <v>0</v>
      </c>
    </row>
    <row r="2900" spans="2:18" ht="30.75" customHeight="1" x14ac:dyDescent="0.3">
      <c r="B2900" s="32"/>
      <c r="P2900" s="31">
        <f t="shared" si="92"/>
        <v>0</v>
      </c>
      <c r="R2900" s="31">
        <f t="shared" si="93"/>
        <v>0</v>
      </c>
    </row>
    <row r="2901" spans="2:18" ht="30.75" customHeight="1" x14ac:dyDescent="0.3">
      <c r="B2901" s="32"/>
      <c r="P2901" s="31">
        <f t="shared" si="92"/>
        <v>0</v>
      </c>
      <c r="R2901" s="31">
        <f t="shared" si="93"/>
        <v>0</v>
      </c>
    </row>
    <row r="2902" spans="2:18" ht="30.75" customHeight="1" x14ac:dyDescent="0.3">
      <c r="B2902" s="32"/>
      <c r="P2902" s="31">
        <f t="shared" si="92"/>
        <v>0</v>
      </c>
      <c r="R2902" s="31">
        <f t="shared" si="93"/>
        <v>0</v>
      </c>
    </row>
    <row r="2903" spans="2:18" ht="30.75" customHeight="1" x14ac:dyDescent="0.3">
      <c r="B2903" s="32"/>
      <c r="P2903" s="31">
        <f t="shared" si="92"/>
        <v>0</v>
      </c>
      <c r="R2903" s="31">
        <f t="shared" si="93"/>
        <v>0</v>
      </c>
    </row>
    <row r="2904" spans="2:18" ht="30.75" customHeight="1" x14ac:dyDescent="0.3">
      <c r="B2904" s="32"/>
      <c r="P2904" s="31">
        <f t="shared" si="92"/>
        <v>0</v>
      </c>
      <c r="R2904" s="31">
        <f t="shared" si="93"/>
        <v>0</v>
      </c>
    </row>
    <row r="2905" spans="2:18" ht="30.75" customHeight="1" x14ac:dyDescent="0.3">
      <c r="B2905" s="32"/>
      <c r="P2905" s="31">
        <f t="shared" si="92"/>
        <v>0</v>
      </c>
      <c r="R2905" s="31">
        <f t="shared" si="93"/>
        <v>0</v>
      </c>
    </row>
    <row r="2906" spans="2:18" ht="30.75" customHeight="1" x14ac:dyDescent="0.3">
      <c r="B2906" s="32"/>
      <c r="P2906" s="31">
        <f t="shared" si="92"/>
        <v>0</v>
      </c>
      <c r="R2906" s="31">
        <f t="shared" si="93"/>
        <v>0</v>
      </c>
    </row>
    <row r="2907" spans="2:18" ht="30.75" customHeight="1" x14ac:dyDescent="0.3">
      <c r="B2907" s="32"/>
      <c r="P2907" s="31">
        <f t="shared" si="92"/>
        <v>0</v>
      </c>
      <c r="R2907" s="31">
        <f t="shared" si="93"/>
        <v>0</v>
      </c>
    </row>
    <row r="2908" spans="2:18" ht="30.75" customHeight="1" x14ac:dyDescent="0.3">
      <c r="B2908" s="32"/>
      <c r="P2908" s="31">
        <f t="shared" si="92"/>
        <v>0</v>
      </c>
      <c r="R2908" s="31">
        <f t="shared" si="93"/>
        <v>0</v>
      </c>
    </row>
    <row r="2909" spans="2:18" ht="30.75" customHeight="1" x14ac:dyDescent="0.3">
      <c r="B2909" s="32"/>
      <c r="P2909" s="31">
        <f t="shared" si="92"/>
        <v>0</v>
      </c>
      <c r="R2909" s="31">
        <f t="shared" si="93"/>
        <v>0</v>
      </c>
    </row>
    <row r="2910" spans="2:18" ht="30.75" customHeight="1" x14ac:dyDescent="0.3">
      <c r="B2910" s="32"/>
      <c r="P2910" s="31">
        <f t="shared" si="92"/>
        <v>0</v>
      </c>
      <c r="R2910" s="31">
        <f t="shared" si="93"/>
        <v>0</v>
      </c>
    </row>
    <row r="2911" spans="2:18" ht="30.75" customHeight="1" x14ac:dyDescent="0.3">
      <c r="B2911" s="32"/>
      <c r="P2911" s="31">
        <f t="shared" si="92"/>
        <v>0</v>
      </c>
      <c r="R2911" s="31">
        <f t="shared" si="93"/>
        <v>0</v>
      </c>
    </row>
    <row r="2912" spans="2:18" ht="30.75" customHeight="1" x14ac:dyDescent="0.3">
      <c r="B2912" s="32"/>
      <c r="P2912" s="31">
        <f t="shared" si="92"/>
        <v>0</v>
      </c>
      <c r="R2912" s="31">
        <f t="shared" si="93"/>
        <v>0</v>
      </c>
    </row>
    <row r="2913" spans="2:18" ht="30.75" customHeight="1" x14ac:dyDescent="0.3">
      <c r="B2913" s="32"/>
      <c r="P2913" s="31">
        <f t="shared" si="92"/>
        <v>0</v>
      </c>
      <c r="R2913" s="31">
        <f t="shared" si="93"/>
        <v>0</v>
      </c>
    </row>
    <row r="2914" spans="2:18" ht="30.75" customHeight="1" x14ac:dyDescent="0.3">
      <c r="B2914" s="32"/>
      <c r="P2914" s="31">
        <f t="shared" si="92"/>
        <v>0</v>
      </c>
      <c r="R2914" s="31">
        <f t="shared" si="93"/>
        <v>0</v>
      </c>
    </row>
    <row r="2915" spans="2:18" ht="30.75" customHeight="1" x14ac:dyDescent="0.3">
      <c r="B2915" s="32"/>
      <c r="P2915" s="31">
        <f t="shared" si="92"/>
        <v>0</v>
      </c>
      <c r="R2915" s="31">
        <f t="shared" si="93"/>
        <v>0</v>
      </c>
    </row>
    <row r="2916" spans="2:18" ht="30.75" customHeight="1" x14ac:dyDescent="0.3">
      <c r="B2916" s="32"/>
      <c r="P2916" s="31">
        <f t="shared" si="92"/>
        <v>0</v>
      </c>
      <c r="R2916" s="31">
        <f t="shared" si="93"/>
        <v>0</v>
      </c>
    </row>
    <row r="2917" spans="2:18" ht="30.75" customHeight="1" x14ac:dyDescent="0.3">
      <c r="B2917" s="32"/>
      <c r="P2917" s="31">
        <f t="shared" si="92"/>
        <v>0</v>
      </c>
      <c r="R2917" s="31">
        <f t="shared" si="93"/>
        <v>0</v>
      </c>
    </row>
    <row r="2918" spans="2:18" ht="30.75" customHeight="1" x14ac:dyDescent="0.3">
      <c r="B2918" s="32"/>
      <c r="P2918" s="31">
        <f t="shared" si="92"/>
        <v>0</v>
      </c>
      <c r="R2918" s="31">
        <f t="shared" si="93"/>
        <v>0</v>
      </c>
    </row>
    <row r="2919" spans="2:18" ht="30.75" customHeight="1" x14ac:dyDescent="0.3">
      <c r="B2919" s="32"/>
      <c r="P2919" s="31">
        <f t="shared" si="92"/>
        <v>0</v>
      </c>
      <c r="R2919" s="31">
        <f t="shared" si="93"/>
        <v>0</v>
      </c>
    </row>
    <row r="2920" spans="2:18" ht="30.75" customHeight="1" x14ac:dyDescent="0.3">
      <c r="B2920" s="32"/>
      <c r="P2920" s="31">
        <f t="shared" ref="P2920:P2983" si="94">K2920-L2920-M2920-N2920+O2920</f>
        <v>0</v>
      </c>
      <c r="R2920" s="31">
        <f t="shared" ref="R2920:R2983" si="95">R2919+K2920-L2920-M2920-N2920+O2920-Q2920</f>
        <v>0</v>
      </c>
    </row>
    <row r="2921" spans="2:18" ht="30.75" customHeight="1" x14ac:dyDescent="0.3">
      <c r="B2921" s="32"/>
      <c r="P2921" s="31">
        <f t="shared" si="94"/>
        <v>0</v>
      </c>
      <c r="R2921" s="31">
        <f t="shared" si="95"/>
        <v>0</v>
      </c>
    </row>
    <row r="2922" spans="2:18" ht="30.75" customHeight="1" x14ac:dyDescent="0.3">
      <c r="B2922" s="32"/>
      <c r="P2922" s="31">
        <f t="shared" si="94"/>
        <v>0</v>
      </c>
      <c r="R2922" s="31">
        <f t="shared" si="95"/>
        <v>0</v>
      </c>
    </row>
    <row r="2923" spans="2:18" ht="30.75" customHeight="1" x14ac:dyDescent="0.3">
      <c r="B2923" s="32"/>
      <c r="P2923" s="31">
        <f t="shared" si="94"/>
        <v>0</v>
      </c>
      <c r="R2923" s="31">
        <f t="shared" si="95"/>
        <v>0</v>
      </c>
    </row>
    <row r="2924" spans="2:18" ht="30.75" customHeight="1" x14ac:dyDescent="0.3">
      <c r="B2924" s="32"/>
      <c r="P2924" s="31">
        <f t="shared" si="94"/>
        <v>0</v>
      </c>
      <c r="R2924" s="31">
        <f t="shared" si="95"/>
        <v>0</v>
      </c>
    </row>
    <row r="2925" spans="2:18" ht="30.75" customHeight="1" x14ac:dyDescent="0.3">
      <c r="B2925" s="32"/>
      <c r="P2925" s="31">
        <f t="shared" si="94"/>
        <v>0</v>
      </c>
      <c r="R2925" s="31">
        <f t="shared" si="95"/>
        <v>0</v>
      </c>
    </row>
    <row r="2926" spans="2:18" ht="30.75" customHeight="1" x14ac:dyDescent="0.3">
      <c r="B2926" s="32"/>
      <c r="P2926" s="31">
        <f t="shared" si="94"/>
        <v>0</v>
      </c>
      <c r="R2926" s="31">
        <f t="shared" si="95"/>
        <v>0</v>
      </c>
    </row>
    <row r="2927" spans="2:18" ht="30.75" customHeight="1" x14ac:dyDescent="0.3">
      <c r="B2927" s="32"/>
      <c r="P2927" s="31">
        <f t="shared" si="94"/>
        <v>0</v>
      </c>
      <c r="R2927" s="31">
        <f t="shared" si="95"/>
        <v>0</v>
      </c>
    </row>
    <row r="2928" spans="2:18" ht="30.75" customHeight="1" x14ac:dyDescent="0.3">
      <c r="P2928" s="31">
        <f t="shared" si="94"/>
        <v>0</v>
      </c>
      <c r="R2928" s="31">
        <f t="shared" si="95"/>
        <v>0</v>
      </c>
    </row>
    <row r="2929" spans="16:18" ht="30.75" customHeight="1" x14ac:dyDescent="0.3">
      <c r="P2929" s="31">
        <f t="shared" si="94"/>
        <v>0</v>
      </c>
      <c r="R2929" s="31">
        <f t="shared" si="95"/>
        <v>0</v>
      </c>
    </row>
    <row r="2930" spans="16:18" ht="30.75" customHeight="1" x14ac:dyDescent="0.3">
      <c r="P2930" s="31">
        <f t="shared" si="94"/>
        <v>0</v>
      </c>
      <c r="R2930" s="31">
        <f t="shared" si="95"/>
        <v>0</v>
      </c>
    </row>
    <row r="2931" spans="16:18" ht="30.75" customHeight="1" x14ac:dyDescent="0.3">
      <c r="P2931" s="31">
        <f t="shared" si="94"/>
        <v>0</v>
      </c>
      <c r="R2931" s="31">
        <f t="shared" si="95"/>
        <v>0</v>
      </c>
    </row>
    <row r="2932" spans="16:18" ht="30.75" customHeight="1" x14ac:dyDescent="0.3">
      <c r="P2932" s="31">
        <f t="shared" si="94"/>
        <v>0</v>
      </c>
      <c r="R2932" s="31">
        <f t="shared" si="95"/>
        <v>0</v>
      </c>
    </row>
    <row r="2933" spans="16:18" ht="30.75" customHeight="1" x14ac:dyDescent="0.3">
      <c r="P2933" s="31">
        <f t="shared" si="94"/>
        <v>0</v>
      </c>
      <c r="R2933" s="31">
        <f t="shared" si="95"/>
        <v>0</v>
      </c>
    </row>
    <row r="2934" spans="16:18" ht="30.75" customHeight="1" x14ac:dyDescent="0.3">
      <c r="P2934" s="31">
        <f t="shared" si="94"/>
        <v>0</v>
      </c>
      <c r="R2934" s="31">
        <f t="shared" si="95"/>
        <v>0</v>
      </c>
    </row>
    <row r="2935" spans="16:18" ht="30.75" customHeight="1" x14ac:dyDescent="0.3">
      <c r="P2935" s="31">
        <f t="shared" si="94"/>
        <v>0</v>
      </c>
      <c r="R2935" s="31">
        <f t="shared" si="95"/>
        <v>0</v>
      </c>
    </row>
    <row r="2936" spans="16:18" ht="30.75" customHeight="1" x14ac:dyDescent="0.3">
      <c r="P2936" s="31">
        <f t="shared" si="94"/>
        <v>0</v>
      </c>
      <c r="R2936" s="31">
        <f t="shared" si="95"/>
        <v>0</v>
      </c>
    </row>
    <row r="2937" spans="16:18" ht="30.75" customHeight="1" x14ac:dyDescent="0.3">
      <c r="P2937" s="31">
        <f t="shared" si="94"/>
        <v>0</v>
      </c>
      <c r="R2937" s="31">
        <f t="shared" si="95"/>
        <v>0</v>
      </c>
    </row>
    <row r="2938" spans="16:18" ht="30.75" customHeight="1" x14ac:dyDescent="0.3">
      <c r="P2938" s="31">
        <f t="shared" si="94"/>
        <v>0</v>
      </c>
      <c r="R2938" s="31">
        <f t="shared" si="95"/>
        <v>0</v>
      </c>
    </row>
    <row r="2939" spans="16:18" ht="30.75" customHeight="1" x14ac:dyDescent="0.3">
      <c r="P2939" s="31">
        <f t="shared" si="94"/>
        <v>0</v>
      </c>
      <c r="R2939" s="31">
        <f t="shared" si="95"/>
        <v>0</v>
      </c>
    </row>
    <row r="2940" spans="16:18" ht="30.75" customHeight="1" x14ac:dyDescent="0.3">
      <c r="P2940" s="31">
        <f t="shared" si="94"/>
        <v>0</v>
      </c>
      <c r="R2940" s="31">
        <f t="shared" si="95"/>
        <v>0</v>
      </c>
    </row>
    <row r="2941" spans="16:18" ht="30.75" customHeight="1" x14ac:dyDescent="0.3">
      <c r="P2941" s="31">
        <f t="shared" si="94"/>
        <v>0</v>
      </c>
      <c r="R2941" s="31">
        <f t="shared" si="95"/>
        <v>0</v>
      </c>
    </row>
    <row r="2942" spans="16:18" ht="30.75" customHeight="1" x14ac:dyDescent="0.3">
      <c r="P2942" s="31">
        <f t="shared" si="94"/>
        <v>0</v>
      </c>
      <c r="R2942" s="31">
        <f t="shared" si="95"/>
        <v>0</v>
      </c>
    </row>
    <row r="2943" spans="16:18" ht="30.75" customHeight="1" x14ac:dyDescent="0.3">
      <c r="P2943" s="31">
        <f t="shared" si="94"/>
        <v>0</v>
      </c>
      <c r="R2943" s="31">
        <f t="shared" si="95"/>
        <v>0</v>
      </c>
    </row>
    <row r="2944" spans="16:18" ht="30.75" customHeight="1" x14ac:dyDescent="0.3">
      <c r="P2944" s="31">
        <f t="shared" si="94"/>
        <v>0</v>
      </c>
      <c r="R2944" s="31">
        <f t="shared" si="95"/>
        <v>0</v>
      </c>
    </row>
    <row r="2945" spans="16:18" ht="30.75" customHeight="1" x14ac:dyDescent="0.3">
      <c r="P2945" s="31">
        <f t="shared" si="94"/>
        <v>0</v>
      </c>
      <c r="R2945" s="31">
        <f t="shared" si="95"/>
        <v>0</v>
      </c>
    </row>
    <row r="2946" spans="16:18" ht="30.75" customHeight="1" x14ac:dyDescent="0.3">
      <c r="P2946" s="31">
        <f t="shared" si="94"/>
        <v>0</v>
      </c>
      <c r="R2946" s="31">
        <f t="shared" si="95"/>
        <v>0</v>
      </c>
    </row>
    <row r="2947" spans="16:18" ht="30.75" customHeight="1" x14ac:dyDescent="0.3">
      <c r="P2947" s="31">
        <f t="shared" si="94"/>
        <v>0</v>
      </c>
      <c r="R2947" s="31">
        <f t="shared" si="95"/>
        <v>0</v>
      </c>
    </row>
    <row r="2948" spans="16:18" ht="30.75" customHeight="1" x14ac:dyDescent="0.3">
      <c r="P2948" s="31">
        <f t="shared" si="94"/>
        <v>0</v>
      </c>
      <c r="R2948" s="31">
        <f t="shared" si="95"/>
        <v>0</v>
      </c>
    </row>
    <row r="2949" spans="16:18" ht="30.75" customHeight="1" x14ac:dyDescent="0.3">
      <c r="P2949" s="31">
        <f t="shared" si="94"/>
        <v>0</v>
      </c>
      <c r="R2949" s="31">
        <f t="shared" si="95"/>
        <v>0</v>
      </c>
    </row>
    <row r="2950" spans="16:18" ht="30.75" customHeight="1" x14ac:dyDescent="0.3">
      <c r="P2950" s="31">
        <f t="shared" si="94"/>
        <v>0</v>
      </c>
      <c r="R2950" s="31">
        <f t="shared" si="95"/>
        <v>0</v>
      </c>
    </row>
    <row r="2951" spans="16:18" ht="30.75" customHeight="1" x14ac:dyDescent="0.3">
      <c r="P2951" s="31">
        <f t="shared" si="94"/>
        <v>0</v>
      </c>
      <c r="R2951" s="31">
        <f t="shared" si="95"/>
        <v>0</v>
      </c>
    </row>
    <row r="2952" spans="16:18" ht="30.75" customHeight="1" x14ac:dyDescent="0.3">
      <c r="P2952" s="31">
        <f t="shared" si="94"/>
        <v>0</v>
      </c>
      <c r="R2952" s="31">
        <f t="shared" si="95"/>
        <v>0</v>
      </c>
    </row>
    <row r="2953" spans="16:18" ht="30.75" customHeight="1" x14ac:dyDescent="0.3">
      <c r="P2953" s="31">
        <f t="shared" si="94"/>
        <v>0</v>
      </c>
      <c r="R2953" s="31">
        <f t="shared" si="95"/>
        <v>0</v>
      </c>
    </row>
    <row r="2954" spans="16:18" ht="30.75" customHeight="1" x14ac:dyDescent="0.3">
      <c r="P2954" s="31">
        <f t="shared" si="94"/>
        <v>0</v>
      </c>
      <c r="R2954" s="31">
        <f t="shared" si="95"/>
        <v>0</v>
      </c>
    </row>
    <row r="2955" spans="16:18" ht="30.75" customHeight="1" x14ac:dyDescent="0.3">
      <c r="P2955" s="31">
        <f t="shared" si="94"/>
        <v>0</v>
      </c>
      <c r="R2955" s="31">
        <f t="shared" si="95"/>
        <v>0</v>
      </c>
    </row>
    <row r="2956" spans="16:18" ht="30.75" customHeight="1" x14ac:dyDescent="0.3">
      <c r="P2956" s="31">
        <f t="shared" si="94"/>
        <v>0</v>
      </c>
      <c r="R2956" s="31">
        <f t="shared" si="95"/>
        <v>0</v>
      </c>
    </row>
    <row r="2957" spans="16:18" ht="30.75" customHeight="1" x14ac:dyDescent="0.3">
      <c r="P2957" s="31">
        <f t="shared" si="94"/>
        <v>0</v>
      </c>
      <c r="R2957" s="31">
        <f t="shared" si="95"/>
        <v>0</v>
      </c>
    </row>
    <row r="2958" spans="16:18" ht="30.75" customHeight="1" x14ac:dyDescent="0.3">
      <c r="P2958" s="31">
        <f t="shared" si="94"/>
        <v>0</v>
      </c>
      <c r="R2958" s="31">
        <f t="shared" si="95"/>
        <v>0</v>
      </c>
    </row>
    <row r="2959" spans="16:18" ht="30.75" customHeight="1" x14ac:dyDescent="0.3">
      <c r="P2959" s="31">
        <f t="shared" si="94"/>
        <v>0</v>
      </c>
      <c r="R2959" s="31">
        <f t="shared" si="95"/>
        <v>0</v>
      </c>
    </row>
    <row r="2960" spans="16:18" ht="30.75" customHeight="1" x14ac:dyDescent="0.3">
      <c r="P2960" s="31">
        <f t="shared" si="94"/>
        <v>0</v>
      </c>
      <c r="R2960" s="31">
        <f t="shared" si="95"/>
        <v>0</v>
      </c>
    </row>
    <row r="2961" spans="16:18" ht="30.75" customHeight="1" x14ac:dyDescent="0.3">
      <c r="P2961" s="31">
        <f t="shared" si="94"/>
        <v>0</v>
      </c>
      <c r="R2961" s="31">
        <f t="shared" si="95"/>
        <v>0</v>
      </c>
    </row>
    <row r="2962" spans="16:18" ht="30.75" customHeight="1" x14ac:dyDescent="0.3">
      <c r="P2962" s="31">
        <f t="shared" si="94"/>
        <v>0</v>
      </c>
      <c r="R2962" s="31">
        <f t="shared" si="95"/>
        <v>0</v>
      </c>
    </row>
    <row r="2963" spans="16:18" ht="30.75" customHeight="1" x14ac:dyDescent="0.3">
      <c r="P2963" s="31">
        <f t="shared" si="94"/>
        <v>0</v>
      </c>
      <c r="R2963" s="31">
        <f t="shared" si="95"/>
        <v>0</v>
      </c>
    </row>
    <row r="2964" spans="16:18" ht="30.75" customHeight="1" x14ac:dyDescent="0.3">
      <c r="P2964" s="31">
        <f t="shared" si="94"/>
        <v>0</v>
      </c>
      <c r="R2964" s="31">
        <f t="shared" si="95"/>
        <v>0</v>
      </c>
    </row>
    <row r="2965" spans="16:18" ht="30.75" customHeight="1" x14ac:dyDescent="0.3">
      <c r="P2965" s="31">
        <f t="shared" si="94"/>
        <v>0</v>
      </c>
      <c r="R2965" s="31">
        <f t="shared" si="95"/>
        <v>0</v>
      </c>
    </row>
    <row r="2966" spans="16:18" ht="30.75" customHeight="1" x14ac:dyDescent="0.3">
      <c r="P2966" s="31">
        <f t="shared" si="94"/>
        <v>0</v>
      </c>
      <c r="R2966" s="31">
        <f t="shared" si="95"/>
        <v>0</v>
      </c>
    </row>
    <row r="2967" spans="16:18" ht="30.75" customHeight="1" x14ac:dyDescent="0.3">
      <c r="P2967" s="31">
        <f t="shared" si="94"/>
        <v>0</v>
      </c>
      <c r="R2967" s="31">
        <f t="shared" si="95"/>
        <v>0</v>
      </c>
    </row>
    <row r="2968" spans="16:18" ht="30.75" customHeight="1" x14ac:dyDescent="0.3">
      <c r="P2968" s="31">
        <f t="shared" si="94"/>
        <v>0</v>
      </c>
      <c r="R2968" s="31">
        <f t="shared" si="95"/>
        <v>0</v>
      </c>
    </row>
    <row r="2969" spans="16:18" ht="30.75" customHeight="1" x14ac:dyDescent="0.3">
      <c r="P2969" s="31">
        <f t="shared" si="94"/>
        <v>0</v>
      </c>
      <c r="R2969" s="31">
        <f t="shared" si="95"/>
        <v>0</v>
      </c>
    </row>
    <row r="2970" spans="16:18" ht="30.75" customHeight="1" x14ac:dyDescent="0.3">
      <c r="P2970" s="31">
        <f t="shared" si="94"/>
        <v>0</v>
      </c>
      <c r="R2970" s="31">
        <f t="shared" si="95"/>
        <v>0</v>
      </c>
    </row>
    <row r="2971" spans="16:18" ht="30.75" customHeight="1" x14ac:dyDescent="0.3">
      <c r="P2971" s="31">
        <f t="shared" si="94"/>
        <v>0</v>
      </c>
      <c r="R2971" s="31">
        <f t="shared" si="95"/>
        <v>0</v>
      </c>
    </row>
    <row r="2972" spans="16:18" ht="30.75" customHeight="1" x14ac:dyDescent="0.3">
      <c r="P2972" s="31">
        <f t="shared" si="94"/>
        <v>0</v>
      </c>
      <c r="R2972" s="31">
        <f t="shared" si="95"/>
        <v>0</v>
      </c>
    </row>
    <row r="2973" spans="16:18" ht="30.75" customHeight="1" x14ac:dyDescent="0.3">
      <c r="P2973" s="31">
        <f t="shared" si="94"/>
        <v>0</v>
      </c>
      <c r="R2973" s="31">
        <f t="shared" si="95"/>
        <v>0</v>
      </c>
    </row>
    <row r="2974" spans="16:18" ht="30.75" customHeight="1" x14ac:dyDescent="0.3">
      <c r="P2974" s="31">
        <f t="shared" si="94"/>
        <v>0</v>
      </c>
      <c r="R2974" s="31">
        <f t="shared" si="95"/>
        <v>0</v>
      </c>
    </row>
    <row r="2975" spans="16:18" ht="30.75" customHeight="1" x14ac:dyDescent="0.3">
      <c r="P2975" s="31">
        <f t="shared" si="94"/>
        <v>0</v>
      </c>
      <c r="R2975" s="31">
        <f t="shared" si="95"/>
        <v>0</v>
      </c>
    </row>
    <row r="2976" spans="16:18" ht="30.75" customHeight="1" x14ac:dyDescent="0.3">
      <c r="P2976" s="31">
        <f t="shared" si="94"/>
        <v>0</v>
      </c>
      <c r="R2976" s="31">
        <f t="shared" si="95"/>
        <v>0</v>
      </c>
    </row>
    <row r="2977" spans="16:18" ht="30.75" customHeight="1" x14ac:dyDescent="0.3">
      <c r="P2977" s="31">
        <f t="shared" si="94"/>
        <v>0</v>
      </c>
      <c r="R2977" s="31">
        <f t="shared" si="95"/>
        <v>0</v>
      </c>
    </row>
    <row r="2978" spans="16:18" ht="30.75" customHeight="1" x14ac:dyDescent="0.3">
      <c r="P2978" s="31">
        <f t="shared" si="94"/>
        <v>0</v>
      </c>
      <c r="R2978" s="31">
        <f t="shared" si="95"/>
        <v>0</v>
      </c>
    </row>
    <row r="2979" spans="16:18" ht="30.75" customHeight="1" x14ac:dyDescent="0.3">
      <c r="P2979" s="31">
        <f t="shared" si="94"/>
        <v>0</v>
      </c>
      <c r="R2979" s="31">
        <f t="shared" si="95"/>
        <v>0</v>
      </c>
    </row>
    <row r="2980" spans="16:18" ht="30.75" customHeight="1" x14ac:dyDescent="0.3">
      <c r="P2980" s="31">
        <f t="shared" si="94"/>
        <v>0</v>
      </c>
      <c r="R2980" s="31">
        <f t="shared" si="95"/>
        <v>0</v>
      </c>
    </row>
    <row r="2981" spans="16:18" ht="30.75" customHeight="1" x14ac:dyDescent="0.3">
      <c r="P2981" s="31">
        <f t="shared" si="94"/>
        <v>0</v>
      </c>
      <c r="R2981" s="31">
        <f t="shared" si="95"/>
        <v>0</v>
      </c>
    </row>
    <row r="2982" spans="16:18" ht="30.75" customHeight="1" x14ac:dyDescent="0.3">
      <c r="P2982" s="31">
        <f t="shared" si="94"/>
        <v>0</v>
      </c>
      <c r="R2982" s="31">
        <f t="shared" si="95"/>
        <v>0</v>
      </c>
    </row>
    <row r="2983" spans="16:18" ht="30.75" customHeight="1" x14ac:dyDescent="0.3">
      <c r="P2983" s="31">
        <f t="shared" si="94"/>
        <v>0</v>
      </c>
      <c r="R2983" s="31">
        <f t="shared" si="95"/>
        <v>0</v>
      </c>
    </row>
    <row r="2984" spans="16:18" ht="30.75" customHeight="1" x14ac:dyDescent="0.3">
      <c r="P2984" s="31">
        <f t="shared" ref="P2984:P3047" si="96">K2984-L2984-M2984-N2984+O2984</f>
        <v>0</v>
      </c>
      <c r="R2984" s="31">
        <f t="shared" ref="R2984:R3047" si="97">R2983+K2984-L2984-M2984-N2984+O2984-Q2984</f>
        <v>0</v>
      </c>
    </row>
    <row r="2985" spans="16:18" ht="30.75" customHeight="1" x14ac:dyDescent="0.3">
      <c r="P2985" s="31">
        <f t="shared" si="96"/>
        <v>0</v>
      </c>
      <c r="R2985" s="31">
        <f t="shared" si="97"/>
        <v>0</v>
      </c>
    </row>
    <row r="2986" spans="16:18" ht="30.75" customHeight="1" x14ac:dyDescent="0.3">
      <c r="P2986" s="31">
        <f t="shared" si="96"/>
        <v>0</v>
      </c>
      <c r="R2986" s="31">
        <f t="shared" si="97"/>
        <v>0</v>
      </c>
    </row>
    <row r="2987" spans="16:18" ht="30.75" customHeight="1" x14ac:dyDescent="0.3">
      <c r="P2987" s="31">
        <f t="shared" si="96"/>
        <v>0</v>
      </c>
      <c r="R2987" s="31">
        <f t="shared" si="97"/>
        <v>0</v>
      </c>
    </row>
    <row r="2988" spans="16:18" ht="30.75" customHeight="1" x14ac:dyDescent="0.3">
      <c r="P2988" s="31">
        <f t="shared" si="96"/>
        <v>0</v>
      </c>
      <c r="R2988" s="31">
        <f t="shared" si="97"/>
        <v>0</v>
      </c>
    </row>
    <row r="2989" spans="16:18" ht="30.75" customHeight="1" x14ac:dyDescent="0.3">
      <c r="P2989" s="31">
        <f t="shared" si="96"/>
        <v>0</v>
      </c>
      <c r="R2989" s="31">
        <f t="shared" si="97"/>
        <v>0</v>
      </c>
    </row>
    <row r="2990" spans="16:18" ht="30.75" customHeight="1" x14ac:dyDescent="0.3">
      <c r="P2990" s="31">
        <f t="shared" si="96"/>
        <v>0</v>
      </c>
      <c r="R2990" s="31">
        <f t="shared" si="97"/>
        <v>0</v>
      </c>
    </row>
    <row r="2991" spans="16:18" ht="30.75" customHeight="1" x14ac:dyDescent="0.3">
      <c r="P2991" s="31">
        <f t="shared" si="96"/>
        <v>0</v>
      </c>
      <c r="R2991" s="31">
        <f t="shared" si="97"/>
        <v>0</v>
      </c>
    </row>
    <row r="2992" spans="16:18" ht="30.75" customHeight="1" x14ac:dyDescent="0.3">
      <c r="P2992" s="31">
        <f t="shared" si="96"/>
        <v>0</v>
      </c>
      <c r="R2992" s="31">
        <f t="shared" si="97"/>
        <v>0</v>
      </c>
    </row>
    <row r="2993" spans="16:18" ht="30.75" customHeight="1" x14ac:dyDescent="0.3">
      <c r="P2993" s="31">
        <f t="shared" si="96"/>
        <v>0</v>
      </c>
      <c r="R2993" s="31">
        <f t="shared" si="97"/>
        <v>0</v>
      </c>
    </row>
    <row r="2994" spans="16:18" ht="30.75" customHeight="1" x14ac:dyDescent="0.3">
      <c r="P2994" s="31">
        <f t="shared" si="96"/>
        <v>0</v>
      </c>
      <c r="R2994" s="31">
        <f t="shared" si="97"/>
        <v>0</v>
      </c>
    </row>
    <row r="2995" spans="16:18" ht="30.75" customHeight="1" x14ac:dyDescent="0.3">
      <c r="P2995" s="31">
        <f t="shared" si="96"/>
        <v>0</v>
      </c>
      <c r="R2995" s="31">
        <f t="shared" si="97"/>
        <v>0</v>
      </c>
    </row>
    <row r="2996" spans="16:18" ht="30.75" customHeight="1" x14ac:dyDescent="0.3">
      <c r="P2996" s="31">
        <f t="shared" si="96"/>
        <v>0</v>
      </c>
      <c r="R2996" s="31">
        <f t="shared" si="97"/>
        <v>0</v>
      </c>
    </row>
    <row r="2997" spans="16:18" ht="30.75" customHeight="1" x14ac:dyDescent="0.3">
      <c r="P2997" s="31">
        <f t="shared" si="96"/>
        <v>0</v>
      </c>
      <c r="R2997" s="31">
        <f t="shared" si="97"/>
        <v>0</v>
      </c>
    </row>
    <row r="2998" spans="16:18" ht="30.75" customHeight="1" x14ac:dyDescent="0.3">
      <c r="P2998" s="31">
        <f t="shared" si="96"/>
        <v>0</v>
      </c>
      <c r="R2998" s="31">
        <f t="shared" si="97"/>
        <v>0</v>
      </c>
    </row>
    <row r="2999" spans="16:18" ht="30.75" customHeight="1" x14ac:dyDescent="0.3">
      <c r="P2999" s="31">
        <f t="shared" si="96"/>
        <v>0</v>
      </c>
      <c r="R2999" s="31">
        <f t="shared" si="97"/>
        <v>0</v>
      </c>
    </row>
    <row r="3000" spans="16:18" ht="30.75" customHeight="1" x14ac:dyDescent="0.3">
      <c r="P3000" s="31">
        <f t="shared" si="96"/>
        <v>0</v>
      </c>
      <c r="R3000" s="31">
        <f t="shared" si="97"/>
        <v>0</v>
      </c>
    </row>
    <row r="3001" spans="16:18" ht="30.75" customHeight="1" x14ac:dyDescent="0.3">
      <c r="P3001" s="31">
        <f t="shared" si="96"/>
        <v>0</v>
      </c>
      <c r="R3001" s="31">
        <f t="shared" si="97"/>
        <v>0</v>
      </c>
    </row>
    <row r="3002" spans="16:18" ht="30.75" customHeight="1" x14ac:dyDescent="0.3">
      <c r="P3002" s="31">
        <f t="shared" si="96"/>
        <v>0</v>
      </c>
      <c r="R3002" s="31">
        <f t="shared" si="97"/>
        <v>0</v>
      </c>
    </row>
    <row r="3003" spans="16:18" ht="30.75" customHeight="1" x14ac:dyDescent="0.3">
      <c r="P3003" s="31">
        <f t="shared" si="96"/>
        <v>0</v>
      </c>
      <c r="R3003" s="31">
        <f t="shared" si="97"/>
        <v>0</v>
      </c>
    </row>
    <row r="3004" spans="16:18" ht="30.75" customHeight="1" x14ac:dyDescent="0.3">
      <c r="P3004" s="31">
        <f t="shared" si="96"/>
        <v>0</v>
      </c>
      <c r="R3004" s="31">
        <f t="shared" si="97"/>
        <v>0</v>
      </c>
    </row>
    <row r="3005" spans="16:18" ht="30.75" customHeight="1" x14ac:dyDescent="0.3">
      <c r="P3005" s="31">
        <f t="shared" si="96"/>
        <v>0</v>
      </c>
      <c r="R3005" s="31">
        <f t="shared" si="97"/>
        <v>0</v>
      </c>
    </row>
    <row r="3006" spans="16:18" ht="30.75" customHeight="1" x14ac:dyDescent="0.3">
      <c r="P3006" s="31">
        <f t="shared" si="96"/>
        <v>0</v>
      </c>
      <c r="R3006" s="31">
        <f t="shared" si="97"/>
        <v>0</v>
      </c>
    </row>
    <row r="3007" spans="16:18" ht="30.75" customHeight="1" x14ac:dyDescent="0.3">
      <c r="P3007" s="31">
        <f t="shared" si="96"/>
        <v>0</v>
      </c>
      <c r="R3007" s="31">
        <f t="shared" si="97"/>
        <v>0</v>
      </c>
    </row>
    <row r="3008" spans="16:18" ht="30.75" customHeight="1" x14ac:dyDescent="0.3">
      <c r="P3008" s="31">
        <f t="shared" si="96"/>
        <v>0</v>
      </c>
      <c r="R3008" s="31">
        <f t="shared" si="97"/>
        <v>0</v>
      </c>
    </row>
    <row r="3009" spans="16:18" ht="30.75" customHeight="1" x14ac:dyDescent="0.3">
      <c r="P3009" s="31">
        <f t="shared" si="96"/>
        <v>0</v>
      </c>
      <c r="R3009" s="31">
        <f t="shared" si="97"/>
        <v>0</v>
      </c>
    </row>
    <row r="3010" spans="16:18" ht="30.75" customHeight="1" x14ac:dyDescent="0.3">
      <c r="P3010" s="31">
        <f t="shared" si="96"/>
        <v>0</v>
      </c>
      <c r="R3010" s="31">
        <f t="shared" si="97"/>
        <v>0</v>
      </c>
    </row>
    <row r="3011" spans="16:18" ht="30.75" customHeight="1" x14ac:dyDescent="0.3">
      <c r="P3011" s="31">
        <f t="shared" si="96"/>
        <v>0</v>
      </c>
      <c r="R3011" s="31">
        <f t="shared" si="97"/>
        <v>0</v>
      </c>
    </row>
    <row r="3012" spans="16:18" ht="30.75" customHeight="1" x14ac:dyDescent="0.3">
      <c r="P3012" s="31">
        <f t="shared" si="96"/>
        <v>0</v>
      </c>
      <c r="R3012" s="31">
        <f t="shared" si="97"/>
        <v>0</v>
      </c>
    </row>
    <row r="3013" spans="16:18" ht="30.75" customHeight="1" x14ac:dyDescent="0.3">
      <c r="P3013" s="31">
        <f t="shared" si="96"/>
        <v>0</v>
      </c>
      <c r="R3013" s="31">
        <f t="shared" si="97"/>
        <v>0</v>
      </c>
    </row>
    <row r="3014" spans="16:18" ht="30.75" customHeight="1" x14ac:dyDescent="0.3">
      <c r="P3014" s="31">
        <f t="shared" si="96"/>
        <v>0</v>
      </c>
      <c r="R3014" s="31">
        <f t="shared" si="97"/>
        <v>0</v>
      </c>
    </row>
    <row r="3015" spans="16:18" ht="30.75" customHeight="1" x14ac:dyDescent="0.3">
      <c r="P3015" s="31">
        <f t="shared" si="96"/>
        <v>0</v>
      </c>
      <c r="R3015" s="31">
        <f t="shared" si="97"/>
        <v>0</v>
      </c>
    </row>
    <row r="3016" spans="16:18" ht="30.75" customHeight="1" x14ac:dyDescent="0.3">
      <c r="P3016" s="31">
        <f t="shared" si="96"/>
        <v>0</v>
      </c>
      <c r="R3016" s="31">
        <f t="shared" si="97"/>
        <v>0</v>
      </c>
    </row>
    <row r="3017" spans="16:18" ht="30.75" customHeight="1" x14ac:dyDescent="0.3">
      <c r="P3017" s="31">
        <f t="shared" si="96"/>
        <v>0</v>
      </c>
      <c r="R3017" s="31">
        <f t="shared" si="97"/>
        <v>0</v>
      </c>
    </row>
    <row r="3018" spans="16:18" ht="30.75" customHeight="1" x14ac:dyDescent="0.3">
      <c r="P3018" s="31">
        <f t="shared" si="96"/>
        <v>0</v>
      </c>
      <c r="R3018" s="31">
        <f t="shared" si="97"/>
        <v>0</v>
      </c>
    </row>
    <row r="3019" spans="16:18" ht="30.75" customHeight="1" x14ac:dyDescent="0.3">
      <c r="P3019" s="31">
        <f t="shared" si="96"/>
        <v>0</v>
      </c>
      <c r="R3019" s="31">
        <f t="shared" si="97"/>
        <v>0</v>
      </c>
    </row>
    <row r="3020" spans="16:18" ht="30.75" customHeight="1" x14ac:dyDescent="0.3">
      <c r="P3020" s="31">
        <f t="shared" si="96"/>
        <v>0</v>
      </c>
      <c r="R3020" s="31">
        <f t="shared" si="97"/>
        <v>0</v>
      </c>
    </row>
    <row r="3021" spans="16:18" ht="30.75" customHeight="1" x14ac:dyDescent="0.3">
      <c r="P3021" s="31">
        <f t="shared" si="96"/>
        <v>0</v>
      </c>
      <c r="R3021" s="31">
        <f t="shared" si="97"/>
        <v>0</v>
      </c>
    </row>
    <row r="3022" spans="16:18" ht="30.75" customHeight="1" x14ac:dyDescent="0.3">
      <c r="P3022" s="31">
        <f t="shared" si="96"/>
        <v>0</v>
      </c>
      <c r="R3022" s="31">
        <f t="shared" si="97"/>
        <v>0</v>
      </c>
    </row>
    <row r="3023" spans="16:18" ht="30.75" customHeight="1" x14ac:dyDescent="0.3">
      <c r="P3023" s="31">
        <f t="shared" si="96"/>
        <v>0</v>
      </c>
      <c r="R3023" s="31">
        <f t="shared" si="97"/>
        <v>0</v>
      </c>
    </row>
    <row r="3024" spans="16:18" ht="30.75" customHeight="1" x14ac:dyDescent="0.3">
      <c r="P3024" s="31">
        <f t="shared" si="96"/>
        <v>0</v>
      </c>
      <c r="R3024" s="31">
        <f t="shared" si="97"/>
        <v>0</v>
      </c>
    </row>
    <row r="3025" spans="16:18" ht="30.75" customHeight="1" x14ac:dyDescent="0.3">
      <c r="P3025" s="31">
        <f t="shared" si="96"/>
        <v>0</v>
      </c>
      <c r="R3025" s="31">
        <f t="shared" si="97"/>
        <v>0</v>
      </c>
    </row>
    <row r="3026" spans="16:18" ht="30.75" customHeight="1" x14ac:dyDescent="0.3">
      <c r="P3026" s="31">
        <f t="shared" si="96"/>
        <v>0</v>
      </c>
      <c r="R3026" s="31">
        <f t="shared" si="97"/>
        <v>0</v>
      </c>
    </row>
    <row r="3027" spans="16:18" ht="30.75" customHeight="1" x14ac:dyDescent="0.3">
      <c r="P3027" s="31">
        <f t="shared" si="96"/>
        <v>0</v>
      </c>
      <c r="R3027" s="31">
        <f t="shared" si="97"/>
        <v>0</v>
      </c>
    </row>
    <row r="3028" spans="16:18" ht="30.75" customHeight="1" x14ac:dyDescent="0.3">
      <c r="P3028" s="31">
        <f t="shared" si="96"/>
        <v>0</v>
      </c>
      <c r="R3028" s="31">
        <f t="shared" si="97"/>
        <v>0</v>
      </c>
    </row>
    <row r="3029" spans="16:18" ht="30.75" customHeight="1" x14ac:dyDescent="0.3">
      <c r="P3029" s="31">
        <f t="shared" si="96"/>
        <v>0</v>
      </c>
      <c r="R3029" s="31">
        <f t="shared" si="97"/>
        <v>0</v>
      </c>
    </row>
    <row r="3030" spans="16:18" ht="30.75" customHeight="1" x14ac:dyDescent="0.3">
      <c r="P3030" s="31">
        <f t="shared" si="96"/>
        <v>0</v>
      </c>
      <c r="R3030" s="31">
        <f t="shared" si="97"/>
        <v>0</v>
      </c>
    </row>
    <row r="3031" spans="16:18" ht="30.75" customHeight="1" x14ac:dyDescent="0.3">
      <c r="P3031" s="31">
        <f t="shared" si="96"/>
        <v>0</v>
      </c>
      <c r="R3031" s="31">
        <f t="shared" si="97"/>
        <v>0</v>
      </c>
    </row>
    <row r="3032" spans="16:18" ht="30.75" customHeight="1" x14ac:dyDescent="0.3">
      <c r="P3032" s="31">
        <f t="shared" si="96"/>
        <v>0</v>
      </c>
      <c r="R3032" s="31">
        <f t="shared" si="97"/>
        <v>0</v>
      </c>
    </row>
    <row r="3033" spans="16:18" ht="30.75" customHeight="1" x14ac:dyDescent="0.3">
      <c r="P3033" s="31">
        <f t="shared" si="96"/>
        <v>0</v>
      </c>
      <c r="R3033" s="31">
        <f t="shared" si="97"/>
        <v>0</v>
      </c>
    </row>
    <row r="3034" spans="16:18" ht="30.75" customHeight="1" x14ac:dyDescent="0.3">
      <c r="P3034" s="31">
        <f t="shared" si="96"/>
        <v>0</v>
      </c>
      <c r="R3034" s="31">
        <f t="shared" si="97"/>
        <v>0</v>
      </c>
    </row>
    <row r="3035" spans="16:18" ht="30.75" customHeight="1" x14ac:dyDescent="0.3">
      <c r="P3035" s="31">
        <f t="shared" si="96"/>
        <v>0</v>
      </c>
      <c r="R3035" s="31">
        <f t="shared" si="97"/>
        <v>0</v>
      </c>
    </row>
    <row r="3036" spans="16:18" ht="30.75" customHeight="1" x14ac:dyDescent="0.3">
      <c r="P3036" s="31">
        <f t="shared" si="96"/>
        <v>0</v>
      </c>
      <c r="R3036" s="31">
        <f t="shared" si="97"/>
        <v>0</v>
      </c>
    </row>
    <row r="3037" spans="16:18" ht="30.75" customHeight="1" x14ac:dyDescent="0.3">
      <c r="P3037" s="31">
        <f t="shared" si="96"/>
        <v>0</v>
      </c>
      <c r="R3037" s="31">
        <f t="shared" si="97"/>
        <v>0</v>
      </c>
    </row>
    <row r="3038" spans="16:18" ht="30.75" customHeight="1" x14ac:dyDescent="0.3">
      <c r="P3038" s="31">
        <f t="shared" si="96"/>
        <v>0</v>
      </c>
      <c r="R3038" s="31">
        <f t="shared" si="97"/>
        <v>0</v>
      </c>
    </row>
    <row r="3039" spans="16:18" ht="30.75" customHeight="1" x14ac:dyDescent="0.3">
      <c r="P3039" s="31">
        <f t="shared" si="96"/>
        <v>0</v>
      </c>
      <c r="R3039" s="31">
        <f t="shared" si="97"/>
        <v>0</v>
      </c>
    </row>
    <row r="3040" spans="16:18" ht="30.75" customHeight="1" x14ac:dyDescent="0.3">
      <c r="P3040" s="31">
        <f t="shared" si="96"/>
        <v>0</v>
      </c>
      <c r="R3040" s="31">
        <f t="shared" si="97"/>
        <v>0</v>
      </c>
    </row>
    <row r="3041" spans="16:18" ht="30.75" customHeight="1" x14ac:dyDescent="0.3">
      <c r="P3041" s="31">
        <f t="shared" si="96"/>
        <v>0</v>
      </c>
      <c r="R3041" s="31">
        <f t="shared" si="97"/>
        <v>0</v>
      </c>
    </row>
    <row r="3042" spans="16:18" ht="30.75" customHeight="1" x14ac:dyDescent="0.3">
      <c r="P3042" s="31">
        <f t="shared" si="96"/>
        <v>0</v>
      </c>
      <c r="R3042" s="31">
        <f t="shared" si="97"/>
        <v>0</v>
      </c>
    </row>
    <row r="3043" spans="16:18" ht="30.75" customHeight="1" x14ac:dyDescent="0.3">
      <c r="P3043" s="31">
        <f t="shared" si="96"/>
        <v>0</v>
      </c>
      <c r="R3043" s="31">
        <f t="shared" si="97"/>
        <v>0</v>
      </c>
    </row>
    <row r="3044" spans="16:18" ht="30.75" customHeight="1" x14ac:dyDescent="0.3">
      <c r="P3044" s="31">
        <f t="shared" si="96"/>
        <v>0</v>
      </c>
      <c r="R3044" s="31">
        <f t="shared" si="97"/>
        <v>0</v>
      </c>
    </row>
    <row r="3045" spans="16:18" ht="30.75" customHeight="1" x14ac:dyDescent="0.3">
      <c r="P3045" s="31">
        <f t="shared" si="96"/>
        <v>0</v>
      </c>
      <c r="R3045" s="31">
        <f t="shared" si="97"/>
        <v>0</v>
      </c>
    </row>
    <row r="3046" spans="16:18" ht="30.75" customHeight="1" x14ac:dyDescent="0.3">
      <c r="P3046" s="31">
        <f t="shared" si="96"/>
        <v>0</v>
      </c>
      <c r="R3046" s="31">
        <f t="shared" si="97"/>
        <v>0</v>
      </c>
    </row>
    <row r="3047" spans="16:18" ht="30.75" customHeight="1" x14ac:dyDescent="0.3">
      <c r="P3047" s="31">
        <f t="shared" si="96"/>
        <v>0</v>
      </c>
      <c r="R3047" s="31">
        <f t="shared" si="97"/>
        <v>0</v>
      </c>
    </row>
    <row r="3048" spans="16:18" ht="30.75" customHeight="1" x14ac:dyDescent="0.3">
      <c r="P3048" s="31">
        <f t="shared" ref="P3048:P3111" si="98">K3048-L3048-M3048-N3048+O3048</f>
        <v>0</v>
      </c>
      <c r="R3048" s="31">
        <f t="shared" ref="R3048:R3111" si="99">R3047+K3048-L3048-M3048-N3048+O3048-Q3048</f>
        <v>0</v>
      </c>
    </row>
    <row r="3049" spans="16:18" ht="30.75" customHeight="1" x14ac:dyDescent="0.3">
      <c r="P3049" s="31">
        <f t="shared" si="98"/>
        <v>0</v>
      </c>
      <c r="R3049" s="31">
        <f t="shared" si="99"/>
        <v>0</v>
      </c>
    </row>
    <row r="3050" spans="16:18" ht="30.75" customHeight="1" x14ac:dyDescent="0.3">
      <c r="P3050" s="31">
        <f t="shared" si="98"/>
        <v>0</v>
      </c>
      <c r="R3050" s="31">
        <f t="shared" si="99"/>
        <v>0</v>
      </c>
    </row>
    <row r="3051" spans="16:18" ht="30.75" customHeight="1" x14ac:dyDescent="0.3">
      <c r="P3051" s="31">
        <f t="shared" si="98"/>
        <v>0</v>
      </c>
      <c r="R3051" s="31">
        <f t="shared" si="99"/>
        <v>0</v>
      </c>
    </row>
    <row r="3052" spans="16:18" ht="30.75" customHeight="1" x14ac:dyDescent="0.3">
      <c r="P3052" s="31">
        <f t="shared" si="98"/>
        <v>0</v>
      </c>
      <c r="R3052" s="31">
        <f t="shared" si="99"/>
        <v>0</v>
      </c>
    </row>
    <row r="3053" spans="16:18" ht="30.75" customHeight="1" x14ac:dyDescent="0.3">
      <c r="P3053" s="31">
        <f t="shared" si="98"/>
        <v>0</v>
      </c>
      <c r="R3053" s="31">
        <f t="shared" si="99"/>
        <v>0</v>
      </c>
    </row>
    <row r="3054" spans="16:18" ht="30.75" customHeight="1" x14ac:dyDescent="0.3">
      <c r="P3054" s="31">
        <f t="shared" si="98"/>
        <v>0</v>
      </c>
      <c r="R3054" s="31">
        <f t="shared" si="99"/>
        <v>0</v>
      </c>
    </row>
    <row r="3055" spans="16:18" ht="30.75" customHeight="1" x14ac:dyDescent="0.3">
      <c r="P3055" s="31">
        <f t="shared" si="98"/>
        <v>0</v>
      </c>
      <c r="R3055" s="31">
        <f t="shared" si="99"/>
        <v>0</v>
      </c>
    </row>
    <row r="3056" spans="16:18" ht="30.75" customHeight="1" x14ac:dyDescent="0.3">
      <c r="P3056" s="31">
        <f t="shared" si="98"/>
        <v>0</v>
      </c>
      <c r="R3056" s="31">
        <f t="shared" si="99"/>
        <v>0</v>
      </c>
    </row>
    <row r="3057" spans="16:18" ht="30.75" customHeight="1" x14ac:dyDescent="0.3">
      <c r="P3057" s="31">
        <f t="shared" si="98"/>
        <v>0</v>
      </c>
      <c r="R3057" s="31">
        <f t="shared" si="99"/>
        <v>0</v>
      </c>
    </row>
    <row r="3058" spans="16:18" ht="30.75" customHeight="1" x14ac:dyDescent="0.3">
      <c r="P3058" s="31">
        <f t="shared" si="98"/>
        <v>0</v>
      </c>
      <c r="R3058" s="31">
        <f t="shared" si="99"/>
        <v>0</v>
      </c>
    </row>
    <row r="3059" spans="16:18" ht="30.75" customHeight="1" x14ac:dyDescent="0.3">
      <c r="P3059" s="31">
        <f t="shared" si="98"/>
        <v>0</v>
      </c>
      <c r="R3059" s="31">
        <f t="shared" si="99"/>
        <v>0</v>
      </c>
    </row>
    <row r="3060" spans="16:18" ht="30.75" customHeight="1" x14ac:dyDescent="0.3">
      <c r="P3060" s="31">
        <f t="shared" si="98"/>
        <v>0</v>
      </c>
      <c r="R3060" s="31">
        <f t="shared" si="99"/>
        <v>0</v>
      </c>
    </row>
    <row r="3061" spans="16:18" ht="30.75" customHeight="1" x14ac:dyDescent="0.3">
      <c r="P3061" s="31">
        <f t="shared" si="98"/>
        <v>0</v>
      </c>
      <c r="R3061" s="31">
        <f t="shared" si="99"/>
        <v>0</v>
      </c>
    </row>
    <row r="3062" spans="16:18" ht="30.75" customHeight="1" x14ac:dyDescent="0.3">
      <c r="P3062" s="31">
        <f t="shared" si="98"/>
        <v>0</v>
      </c>
      <c r="R3062" s="31">
        <f t="shared" si="99"/>
        <v>0</v>
      </c>
    </row>
    <row r="3063" spans="16:18" ht="30.75" customHeight="1" x14ac:dyDescent="0.3">
      <c r="P3063" s="31">
        <f t="shared" si="98"/>
        <v>0</v>
      </c>
      <c r="R3063" s="31">
        <f t="shared" si="99"/>
        <v>0</v>
      </c>
    </row>
    <row r="3064" spans="16:18" ht="30.75" customHeight="1" x14ac:dyDescent="0.3">
      <c r="P3064" s="31">
        <f t="shared" si="98"/>
        <v>0</v>
      </c>
      <c r="R3064" s="31">
        <f t="shared" si="99"/>
        <v>0</v>
      </c>
    </row>
    <row r="3065" spans="16:18" ht="30.75" customHeight="1" x14ac:dyDescent="0.3">
      <c r="P3065" s="31">
        <f t="shared" si="98"/>
        <v>0</v>
      </c>
      <c r="R3065" s="31">
        <f t="shared" si="99"/>
        <v>0</v>
      </c>
    </row>
    <row r="3066" spans="16:18" ht="30.75" customHeight="1" x14ac:dyDescent="0.3">
      <c r="P3066" s="31">
        <f t="shared" si="98"/>
        <v>0</v>
      </c>
      <c r="R3066" s="31">
        <f t="shared" si="99"/>
        <v>0</v>
      </c>
    </row>
    <row r="3067" spans="16:18" ht="30.75" customHeight="1" x14ac:dyDescent="0.3">
      <c r="P3067" s="31">
        <f t="shared" si="98"/>
        <v>0</v>
      </c>
      <c r="R3067" s="31">
        <f t="shared" si="99"/>
        <v>0</v>
      </c>
    </row>
    <row r="3068" spans="16:18" ht="30.75" customHeight="1" x14ac:dyDescent="0.3">
      <c r="P3068" s="31">
        <f t="shared" si="98"/>
        <v>0</v>
      </c>
      <c r="R3068" s="31">
        <f t="shared" si="99"/>
        <v>0</v>
      </c>
    </row>
    <row r="3069" spans="16:18" ht="30.75" customHeight="1" x14ac:dyDescent="0.3">
      <c r="P3069" s="31">
        <f t="shared" si="98"/>
        <v>0</v>
      </c>
      <c r="R3069" s="31">
        <f t="shared" si="99"/>
        <v>0</v>
      </c>
    </row>
    <row r="3070" spans="16:18" ht="30.75" customHeight="1" x14ac:dyDescent="0.3">
      <c r="P3070" s="31">
        <f t="shared" si="98"/>
        <v>0</v>
      </c>
      <c r="R3070" s="31">
        <f t="shared" si="99"/>
        <v>0</v>
      </c>
    </row>
    <row r="3071" spans="16:18" ht="30.75" customHeight="1" x14ac:dyDescent="0.3">
      <c r="P3071" s="31">
        <f t="shared" si="98"/>
        <v>0</v>
      </c>
      <c r="R3071" s="31">
        <f t="shared" si="99"/>
        <v>0</v>
      </c>
    </row>
    <row r="3072" spans="16:18" ht="30.75" customHeight="1" x14ac:dyDescent="0.3">
      <c r="P3072" s="31">
        <f t="shared" si="98"/>
        <v>0</v>
      </c>
      <c r="R3072" s="31">
        <f t="shared" si="99"/>
        <v>0</v>
      </c>
    </row>
    <row r="3073" spans="16:18" ht="30.75" customHeight="1" x14ac:dyDescent="0.3">
      <c r="P3073" s="31">
        <f t="shared" si="98"/>
        <v>0</v>
      </c>
      <c r="R3073" s="31">
        <f t="shared" si="99"/>
        <v>0</v>
      </c>
    </row>
    <row r="3074" spans="16:18" ht="30.75" customHeight="1" x14ac:dyDescent="0.3">
      <c r="P3074" s="31">
        <f t="shared" si="98"/>
        <v>0</v>
      </c>
      <c r="R3074" s="31">
        <f t="shared" si="99"/>
        <v>0</v>
      </c>
    </row>
    <row r="3075" spans="16:18" ht="30.75" customHeight="1" x14ac:dyDescent="0.3">
      <c r="P3075" s="31">
        <f t="shared" si="98"/>
        <v>0</v>
      </c>
      <c r="R3075" s="31">
        <f t="shared" si="99"/>
        <v>0</v>
      </c>
    </row>
    <row r="3076" spans="16:18" ht="30.75" customHeight="1" x14ac:dyDescent="0.3">
      <c r="P3076" s="31">
        <f t="shared" si="98"/>
        <v>0</v>
      </c>
      <c r="R3076" s="31">
        <f t="shared" si="99"/>
        <v>0</v>
      </c>
    </row>
    <row r="3077" spans="16:18" ht="30.75" customHeight="1" x14ac:dyDescent="0.3">
      <c r="P3077" s="31">
        <f t="shared" si="98"/>
        <v>0</v>
      </c>
      <c r="R3077" s="31">
        <f t="shared" si="99"/>
        <v>0</v>
      </c>
    </row>
    <row r="3078" spans="16:18" ht="30.75" customHeight="1" x14ac:dyDescent="0.3">
      <c r="P3078" s="31">
        <f t="shared" si="98"/>
        <v>0</v>
      </c>
      <c r="R3078" s="31">
        <f t="shared" si="99"/>
        <v>0</v>
      </c>
    </row>
    <row r="3079" spans="16:18" ht="30.75" customHeight="1" x14ac:dyDescent="0.3">
      <c r="P3079" s="31">
        <f t="shared" si="98"/>
        <v>0</v>
      </c>
      <c r="R3079" s="31">
        <f t="shared" si="99"/>
        <v>0</v>
      </c>
    </row>
    <row r="3080" spans="16:18" ht="30.75" customHeight="1" x14ac:dyDescent="0.3">
      <c r="P3080" s="31">
        <f t="shared" si="98"/>
        <v>0</v>
      </c>
      <c r="R3080" s="31">
        <f t="shared" si="99"/>
        <v>0</v>
      </c>
    </row>
    <row r="3081" spans="16:18" ht="30.75" customHeight="1" x14ac:dyDescent="0.3">
      <c r="P3081" s="31">
        <f t="shared" si="98"/>
        <v>0</v>
      </c>
      <c r="R3081" s="31">
        <f t="shared" si="99"/>
        <v>0</v>
      </c>
    </row>
    <row r="3082" spans="16:18" ht="30.75" customHeight="1" x14ac:dyDescent="0.3">
      <c r="P3082" s="31">
        <f t="shared" si="98"/>
        <v>0</v>
      </c>
      <c r="R3082" s="31">
        <f t="shared" si="99"/>
        <v>0</v>
      </c>
    </row>
    <row r="3083" spans="16:18" ht="30.75" customHeight="1" x14ac:dyDescent="0.3">
      <c r="P3083" s="31">
        <f t="shared" si="98"/>
        <v>0</v>
      </c>
      <c r="R3083" s="31">
        <f t="shared" si="99"/>
        <v>0</v>
      </c>
    </row>
    <row r="3084" spans="16:18" ht="30.75" customHeight="1" x14ac:dyDescent="0.3">
      <c r="P3084" s="31">
        <f t="shared" si="98"/>
        <v>0</v>
      </c>
      <c r="R3084" s="31">
        <f t="shared" si="99"/>
        <v>0</v>
      </c>
    </row>
    <row r="3085" spans="16:18" ht="30.75" customHeight="1" x14ac:dyDescent="0.3">
      <c r="P3085" s="31">
        <f t="shared" si="98"/>
        <v>0</v>
      </c>
      <c r="R3085" s="31">
        <f t="shared" si="99"/>
        <v>0</v>
      </c>
    </row>
    <row r="3086" spans="16:18" ht="30.75" customHeight="1" x14ac:dyDescent="0.3">
      <c r="P3086" s="31">
        <f t="shared" si="98"/>
        <v>0</v>
      </c>
      <c r="R3086" s="31">
        <f t="shared" si="99"/>
        <v>0</v>
      </c>
    </row>
    <row r="3087" spans="16:18" ht="30.75" customHeight="1" x14ac:dyDescent="0.3">
      <c r="P3087" s="31">
        <f t="shared" si="98"/>
        <v>0</v>
      </c>
      <c r="R3087" s="31">
        <f t="shared" si="99"/>
        <v>0</v>
      </c>
    </row>
    <row r="3088" spans="16:18" ht="30.75" customHeight="1" x14ac:dyDescent="0.3">
      <c r="P3088" s="31">
        <f t="shared" si="98"/>
        <v>0</v>
      </c>
      <c r="R3088" s="31">
        <f t="shared" si="99"/>
        <v>0</v>
      </c>
    </row>
    <row r="3089" spans="16:18" ht="30.75" customHeight="1" x14ac:dyDescent="0.3">
      <c r="P3089" s="31">
        <f t="shared" si="98"/>
        <v>0</v>
      </c>
      <c r="R3089" s="31">
        <f t="shared" si="99"/>
        <v>0</v>
      </c>
    </row>
    <row r="3090" spans="16:18" ht="30.75" customHeight="1" x14ac:dyDescent="0.3">
      <c r="P3090" s="31">
        <f t="shared" si="98"/>
        <v>0</v>
      </c>
      <c r="R3090" s="31">
        <f t="shared" si="99"/>
        <v>0</v>
      </c>
    </row>
    <row r="3091" spans="16:18" ht="30.75" customHeight="1" x14ac:dyDescent="0.3">
      <c r="P3091" s="31">
        <f t="shared" si="98"/>
        <v>0</v>
      </c>
      <c r="R3091" s="31">
        <f t="shared" si="99"/>
        <v>0</v>
      </c>
    </row>
    <row r="3092" spans="16:18" ht="30.75" customHeight="1" x14ac:dyDescent="0.3">
      <c r="P3092" s="31">
        <f t="shared" si="98"/>
        <v>0</v>
      </c>
      <c r="R3092" s="31">
        <f t="shared" si="99"/>
        <v>0</v>
      </c>
    </row>
    <row r="3093" spans="16:18" ht="30.75" customHeight="1" x14ac:dyDescent="0.3">
      <c r="P3093" s="31">
        <f t="shared" si="98"/>
        <v>0</v>
      </c>
      <c r="R3093" s="31">
        <f t="shared" si="99"/>
        <v>0</v>
      </c>
    </row>
    <row r="3094" spans="16:18" ht="30.75" customHeight="1" x14ac:dyDescent="0.3">
      <c r="P3094" s="31">
        <f t="shared" si="98"/>
        <v>0</v>
      </c>
      <c r="R3094" s="31">
        <f t="shared" si="99"/>
        <v>0</v>
      </c>
    </row>
    <row r="3095" spans="16:18" ht="30.75" customHeight="1" x14ac:dyDescent="0.3">
      <c r="P3095" s="31">
        <f t="shared" si="98"/>
        <v>0</v>
      </c>
      <c r="R3095" s="31">
        <f t="shared" si="99"/>
        <v>0</v>
      </c>
    </row>
    <row r="3096" spans="16:18" ht="30.75" customHeight="1" x14ac:dyDescent="0.3">
      <c r="P3096" s="31">
        <f t="shared" si="98"/>
        <v>0</v>
      </c>
      <c r="R3096" s="31">
        <f t="shared" si="99"/>
        <v>0</v>
      </c>
    </row>
    <row r="3097" spans="16:18" ht="30.75" customHeight="1" x14ac:dyDescent="0.3">
      <c r="P3097" s="31">
        <f t="shared" si="98"/>
        <v>0</v>
      </c>
      <c r="R3097" s="31">
        <f t="shared" si="99"/>
        <v>0</v>
      </c>
    </row>
    <row r="3098" spans="16:18" ht="30.75" customHeight="1" x14ac:dyDescent="0.3">
      <c r="P3098" s="31">
        <f t="shared" si="98"/>
        <v>0</v>
      </c>
      <c r="R3098" s="31">
        <f t="shared" si="99"/>
        <v>0</v>
      </c>
    </row>
    <row r="3099" spans="16:18" ht="30.75" customHeight="1" x14ac:dyDescent="0.3">
      <c r="P3099" s="31">
        <f t="shared" si="98"/>
        <v>0</v>
      </c>
      <c r="R3099" s="31">
        <f t="shared" si="99"/>
        <v>0</v>
      </c>
    </row>
    <row r="3100" spans="16:18" ht="30.75" customHeight="1" x14ac:dyDescent="0.3">
      <c r="P3100" s="31">
        <f t="shared" si="98"/>
        <v>0</v>
      </c>
      <c r="R3100" s="31">
        <f t="shared" si="99"/>
        <v>0</v>
      </c>
    </row>
    <row r="3101" spans="16:18" ht="30.75" customHeight="1" x14ac:dyDescent="0.3">
      <c r="P3101" s="31">
        <f t="shared" si="98"/>
        <v>0</v>
      </c>
      <c r="R3101" s="31">
        <f t="shared" si="99"/>
        <v>0</v>
      </c>
    </row>
    <row r="3102" spans="16:18" ht="30.75" customHeight="1" x14ac:dyDescent="0.3">
      <c r="P3102" s="31">
        <f t="shared" si="98"/>
        <v>0</v>
      </c>
      <c r="R3102" s="31">
        <f t="shared" si="99"/>
        <v>0</v>
      </c>
    </row>
    <row r="3103" spans="16:18" ht="30.75" customHeight="1" x14ac:dyDescent="0.3">
      <c r="P3103" s="31">
        <f t="shared" si="98"/>
        <v>0</v>
      </c>
      <c r="R3103" s="31">
        <f t="shared" si="99"/>
        <v>0</v>
      </c>
    </row>
    <row r="3104" spans="16:18" ht="30.75" customHeight="1" x14ac:dyDescent="0.3">
      <c r="P3104" s="31">
        <f t="shared" si="98"/>
        <v>0</v>
      </c>
      <c r="R3104" s="31">
        <f t="shared" si="99"/>
        <v>0</v>
      </c>
    </row>
    <row r="3105" spans="16:18" ht="30.75" customHeight="1" x14ac:dyDescent="0.3">
      <c r="P3105" s="31">
        <f t="shared" si="98"/>
        <v>0</v>
      </c>
      <c r="R3105" s="31">
        <f t="shared" si="99"/>
        <v>0</v>
      </c>
    </row>
    <row r="3106" spans="16:18" ht="30.75" customHeight="1" x14ac:dyDescent="0.3">
      <c r="P3106" s="31">
        <f t="shared" si="98"/>
        <v>0</v>
      </c>
      <c r="R3106" s="31">
        <f t="shared" si="99"/>
        <v>0</v>
      </c>
    </row>
    <row r="3107" spans="16:18" ht="30.75" customHeight="1" x14ac:dyDescent="0.3">
      <c r="P3107" s="31">
        <f t="shared" si="98"/>
        <v>0</v>
      </c>
      <c r="R3107" s="31">
        <f t="shared" si="99"/>
        <v>0</v>
      </c>
    </row>
    <row r="3108" spans="16:18" ht="30.75" customHeight="1" x14ac:dyDescent="0.3">
      <c r="P3108" s="31">
        <f t="shared" si="98"/>
        <v>0</v>
      </c>
      <c r="R3108" s="31">
        <f t="shared" si="99"/>
        <v>0</v>
      </c>
    </row>
    <row r="3109" spans="16:18" ht="30.75" customHeight="1" x14ac:dyDescent="0.3">
      <c r="P3109" s="31">
        <f t="shared" si="98"/>
        <v>0</v>
      </c>
      <c r="R3109" s="31">
        <f t="shared" si="99"/>
        <v>0</v>
      </c>
    </row>
    <row r="3110" spans="16:18" ht="30.75" customHeight="1" x14ac:dyDescent="0.3">
      <c r="P3110" s="31">
        <f t="shared" si="98"/>
        <v>0</v>
      </c>
      <c r="R3110" s="31">
        <f t="shared" si="99"/>
        <v>0</v>
      </c>
    </row>
    <row r="3111" spans="16:18" ht="30.75" customHeight="1" x14ac:dyDescent="0.3">
      <c r="P3111" s="31">
        <f t="shared" si="98"/>
        <v>0</v>
      </c>
      <c r="R3111" s="31">
        <f t="shared" si="99"/>
        <v>0</v>
      </c>
    </row>
    <row r="3112" spans="16:18" ht="30.75" customHeight="1" x14ac:dyDescent="0.3">
      <c r="P3112" s="31">
        <f t="shared" ref="P3112:P3175" si="100">K3112-L3112-M3112-N3112+O3112</f>
        <v>0</v>
      </c>
      <c r="R3112" s="31">
        <f t="shared" ref="R3112:R3175" si="101">R3111+K3112-L3112-M3112-N3112+O3112-Q3112</f>
        <v>0</v>
      </c>
    </row>
    <row r="3113" spans="16:18" ht="30.75" customHeight="1" x14ac:dyDescent="0.3">
      <c r="P3113" s="31">
        <f t="shared" si="100"/>
        <v>0</v>
      </c>
      <c r="R3113" s="31">
        <f t="shared" si="101"/>
        <v>0</v>
      </c>
    </row>
    <row r="3114" spans="16:18" ht="30.75" customHeight="1" x14ac:dyDescent="0.3">
      <c r="P3114" s="31">
        <f t="shared" si="100"/>
        <v>0</v>
      </c>
      <c r="R3114" s="31">
        <f t="shared" si="101"/>
        <v>0</v>
      </c>
    </row>
    <row r="3115" spans="16:18" ht="30.75" customHeight="1" x14ac:dyDescent="0.3">
      <c r="P3115" s="31">
        <f t="shared" si="100"/>
        <v>0</v>
      </c>
      <c r="R3115" s="31">
        <f t="shared" si="101"/>
        <v>0</v>
      </c>
    </row>
    <row r="3116" spans="16:18" ht="30.75" customHeight="1" x14ac:dyDescent="0.3">
      <c r="P3116" s="31">
        <f t="shared" si="100"/>
        <v>0</v>
      </c>
      <c r="R3116" s="31">
        <f t="shared" si="101"/>
        <v>0</v>
      </c>
    </row>
    <row r="3117" spans="16:18" ht="30.75" customHeight="1" x14ac:dyDescent="0.3">
      <c r="P3117" s="31">
        <f t="shared" si="100"/>
        <v>0</v>
      </c>
      <c r="R3117" s="31">
        <f t="shared" si="101"/>
        <v>0</v>
      </c>
    </row>
    <row r="3118" spans="16:18" ht="30.75" customHeight="1" x14ac:dyDescent="0.3">
      <c r="P3118" s="31">
        <f t="shared" si="100"/>
        <v>0</v>
      </c>
      <c r="R3118" s="31">
        <f t="shared" si="101"/>
        <v>0</v>
      </c>
    </row>
    <row r="3119" spans="16:18" ht="30.75" customHeight="1" x14ac:dyDescent="0.3">
      <c r="P3119" s="31">
        <f t="shared" si="100"/>
        <v>0</v>
      </c>
      <c r="R3119" s="31">
        <f t="shared" si="101"/>
        <v>0</v>
      </c>
    </row>
    <row r="3120" spans="16:18" ht="30.75" customHeight="1" x14ac:dyDescent="0.3">
      <c r="P3120" s="31">
        <f t="shared" si="100"/>
        <v>0</v>
      </c>
      <c r="R3120" s="31">
        <f t="shared" si="101"/>
        <v>0</v>
      </c>
    </row>
    <row r="3121" spans="16:18" ht="30.75" customHeight="1" x14ac:dyDescent="0.3">
      <c r="P3121" s="31">
        <f t="shared" si="100"/>
        <v>0</v>
      </c>
      <c r="R3121" s="31">
        <f t="shared" si="101"/>
        <v>0</v>
      </c>
    </row>
    <row r="3122" spans="16:18" ht="30.75" customHeight="1" x14ac:dyDescent="0.3">
      <c r="P3122" s="31">
        <f t="shared" si="100"/>
        <v>0</v>
      </c>
      <c r="R3122" s="31">
        <f t="shared" si="101"/>
        <v>0</v>
      </c>
    </row>
    <row r="3123" spans="16:18" ht="30.75" customHeight="1" x14ac:dyDescent="0.3">
      <c r="P3123" s="31">
        <f t="shared" si="100"/>
        <v>0</v>
      </c>
      <c r="R3123" s="31">
        <f t="shared" si="101"/>
        <v>0</v>
      </c>
    </row>
    <row r="3124" spans="16:18" ht="30.75" customHeight="1" x14ac:dyDescent="0.3">
      <c r="P3124" s="31">
        <f t="shared" si="100"/>
        <v>0</v>
      </c>
      <c r="R3124" s="31">
        <f t="shared" si="101"/>
        <v>0</v>
      </c>
    </row>
    <row r="3125" spans="16:18" ht="30.75" customHeight="1" x14ac:dyDescent="0.3">
      <c r="P3125" s="31">
        <f t="shared" si="100"/>
        <v>0</v>
      </c>
      <c r="R3125" s="31">
        <f t="shared" si="101"/>
        <v>0</v>
      </c>
    </row>
    <row r="3126" spans="16:18" ht="30.75" customHeight="1" x14ac:dyDescent="0.3">
      <c r="P3126" s="31">
        <f t="shared" si="100"/>
        <v>0</v>
      </c>
      <c r="R3126" s="31">
        <f t="shared" si="101"/>
        <v>0</v>
      </c>
    </row>
    <row r="3127" spans="16:18" ht="30.75" customHeight="1" x14ac:dyDescent="0.3">
      <c r="P3127" s="31">
        <f t="shared" si="100"/>
        <v>0</v>
      </c>
      <c r="R3127" s="31">
        <f t="shared" si="101"/>
        <v>0</v>
      </c>
    </row>
    <row r="3128" spans="16:18" ht="30.75" customHeight="1" x14ac:dyDescent="0.3">
      <c r="P3128" s="31">
        <f t="shared" si="100"/>
        <v>0</v>
      </c>
      <c r="R3128" s="31">
        <f t="shared" si="101"/>
        <v>0</v>
      </c>
    </row>
    <row r="3129" spans="16:18" ht="30.75" customHeight="1" x14ac:dyDescent="0.3">
      <c r="P3129" s="31">
        <f t="shared" si="100"/>
        <v>0</v>
      </c>
      <c r="R3129" s="31">
        <f t="shared" si="101"/>
        <v>0</v>
      </c>
    </row>
    <row r="3130" spans="16:18" ht="30.75" customHeight="1" x14ac:dyDescent="0.3">
      <c r="P3130" s="31">
        <f t="shared" si="100"/>
        <v>0</v>
      </c>
      <c r="R3130" s="31">
        <f t="shared" si="101"/>
        <v>0</v>
      </c>
    </row>
    <row r="3131" spans="16:18" ht="30.75" customHeight="1" x14ac:dyDescent="0.3">
      <c r="P3131" s="31">
        <f t="shared" si="100"/>
        <v>0</v>
      </c>
      <c r="R3131" s="31">
        <f t="shared" si="101"/>
        <v>0</v>
      </c>
    </row>
    <row r="3132" spans="16:18" ht="30.75" customHeight="1" x14ac:dyDescent="0.3">
      <c r="P3132" s="31">
        <f t="shared" si="100"/>
        <v>0</v>
      </c>
      <c r="R3132" s="31">
        <f t="shared" si="101"/>
        <v>0</v>
      </c>
    </row>
    <row r="3133" spans="16:18" ht="30.75" customHeight="1" x14ac:dyDescent="0.3">
      <c r="P3133" s="31">
        <f t="shared" si="100"/>
        <v>0</v>
      </c>
      <c r="R3133" s="31">
        <f t="shared" si="101"/>
        <v>0</v>
      </c>
    </row>
    <row r="3134" spans="16:18" ht="30.75" customHeight="1" x14ac:dyDescent="0.3">
      <c r="P3134" s="31">
        <f t="shared" si="100"/>
        <v>0</v>
      </c>
      <c r="R3134" s="31">
        <f t="shared" si="101"/>
        <v>0</v>
      </c>
    </row>
    <row r="3135" spans="16:18" ht="30.75" customHeight="1" x14ac:dyDescent="0.3">
      <c r="P3135" s="31">
        <f t="shared" si="100"/>
        <v>0</v>
      </c>
      <c r="R3135" s="31">
        <f t="shared" si="101"/>
        <v>0</v>
      </c>
    </row>
    <row r="3136" spans="16:18" ht="30.75" customHeight="1" x14ac:dyDescent="0.3">
      <c r="P3136" s="31">
        <f t="shared" si="100"/>
        <v>0</v>
      </c>
      <c r="R3136" s="31">
        <f t="shared" si="101"/>
        <v>0</v>
      </c>
    </row>
    <row r="3137" spans="16:18" ht="30.75" customHeight="1" x14ac:dyDescent="0.3">
      <c r="P3137" s="31">
        <f t="shared" si="100"/>
        <v>0</v>
      </c>
      <c r="R3137" s="31">
        <f t="shared" si="101"/>
        <v>0</v>
      </c>
    </row>
    <row r="3138" spans="16:18" ht="30.75" customHeight="1" x14ac:dyDescent="0.3">
      <c r="P3138" s="31">
        <f t="shared" si="100"/>
        <v>0</v>
      </c>
      <c r="R3138" s="31">
        <f t="shared" si="101"/>
        <v>0</v>
      </c>
    </row>
    <row r="3139" spans="16:18" ht="30.75" customHeight="1" x14ac:dyDescent="0.3">
      <c r="P3139" s="31">
        <f t="shared" si="100"/>
        <v>0</v>
      </c>
      <c r="R3139" s="31">
        <f t="shared" si="101"/>
        <v>0</v>
      </c>
    </row>
    <row r="3140" spans="16:18" ht="30.75" customHeight="1" x14ac:dyDescent="0.3">
      <c r="P3140" s="31">
        <f t="shared" si="100"/>
        <v>0</v>
      </c>
      <c r="R3140" s="31">
        <f t="shared" si="101"/>
        <v>0</v>
      </c>
    </row>
    <row r="3141" spans="16:18" ht="30.75" customHeight="1" x14ac:dyDescent="0.3">
      <c r="P3141" s="31">
        <f t="shared" si="100"/>
        <v>0</v>
      </c>
      <c r="R3141" s="31">
        <f t="shared" si="101"/>
        <v>0</v>
      </c>
    </row>
    <row r="3142" spans="16:18" ht="30.75" customHeight="1" x14ac:dyDescent="0.3">
      <c r="P3142" s="31">
        <f t="shared" si="100"/>
        <v>0</v>
      </c>
      <c r="R3142" s="31">
        <f t="shared" si="101"/>
        <v>0</v>
      </c>
    </row>
    <row r="3143" spans="16:18" ht="30.75" customHeight="1" x14ac:dyDescent="0.3">
      <c r="P3143" s="31">
        <f t="shared" si="100"/>
        <v>0</v>
      </c>
      <c r="R3143" s="31">
        <f t="shared" si="101"/>
        <v>0</v>
      </c>
    </row>
    <row r="3144" spans="16:18" ht="30.75" customHeight="1" x14ac:dyDescent="0.3">
      <c r="P3144" s="31">
        <f t="shared" si="100"/>
        <v>0</v>
      </c>
      <c r="R3144" s="31">
        <f t="shared" si="101"/>
        <v>0</v>
      </c>
    </row>
    <row r="3145" spans="16:18" ht="30.75" customHeight="1" x14ac:dyDescent="0.3">
      <c r="P3145" s="31">
        <f t="shared" si="100"/>
        <v>0</v>
      </c>
      <c r="R3145" s="31">
        <f t="shared" si="101"/>
        <v>0</v>
      </c>
    </row>
    <row r="3146" spans="16:18" ht="30.75" customHeight="1" x14ac:dyDescent="0.3">
      <c r="P3146" s="31">
        <f t="shared" si="100"/>
        <v>0</v>
      </c>
      <c r="R3146" s="31">
        <f t="shared" si="101"/>
        <v>0</v>
      </c>
    </row>
    <row r="3147" spans="16:18" ht="30.75" customHeight="1" x14ac:dyDescent="0.3">
      <c r="P3147" s="31">
        <f t="shared" si="100"/>
        <v>0</v>
      </c>
      <c r="R3147" s="31">
        <f t="shared" si="101"/>
        <v>0</v>
      </c>
    </row>
    <row r="3148" spans="16:18" ht="30.75" customHeight="1" x14ac:dyDescent="0.3">
      <c r="P3148" s="31">
        <f t="shared" si="100"/>
        <v>0</v>
      </c>
      <c r="R3148" s="31">
        <f t="shared" si="101"/>
        <v>0</v>
      </c>
    </row>
    <row r="3149" spans="16:18" ht="30.75" customHeight="1" x14ac:dyDescent="0.3">
      <c r="P3149" s="31">
        <f t="shared" si="100"/>
        <v>0</v>
      </c>
      <c r="R3149" s="31">
        <f t="shared" si="101"/>
        <v>0</v>
      </c>
    </row>
    <row r="3150" spans="16:18" ht="30.75" customHeight="1" x14ac:dyDescent="0.3">
      <c r="P3150" s="31">
        <f t="shared" si="100"/>
        <v>0</v>
      </c>
      <c r="R3150" s="31">
        <f t="shared" si="101"/>
        <v>0</v>
      </c>
    </row>
    <row r="3151" spans="16:18" ht="30.75" customHeight="1" x14ac:dyDescent="0.3">
      <c r="P3151" s="31">
        <f t="shared" si="100"/>
        <v>0</v>
      </c>
      <c r="R3151" s="31">
        <f t="shared" si="101"/>
        <v>0</v>
      </c>
    </row>
    <row r="3152" spans="16:18" ht="30.75" customHeight="1" x14ac:dyDescent="0.3">
      <c r="P3152" s="31">
        <f t="shared" si="100"/>
        <v>0</v>
      </c>
      <c r="R3152" s="31">
        <f t="shared" si="101"/>
        <v>0</v>
      </c>
    </row>
    <row r="3153" spans="16:18" ht="30.75" customHeight="1" x14ac:dyDescent="0.3">
      <c r="P3153" s="31">
        <f t="shared" si="100"/>
        <v>0</v>
      </c>
      <c r="R3153" s="31">
        <f t="shared" si="101"/>
        <v>0</v>
      </c>
    </row>
    <row r="3154" spans="16:18" ht="30.75" customHeight="1" x14ac:dyDescent="0.3">
      <c r="P3154" s="31">
        <f t="shared" si="100"/>
        <v>0</v>
      </c>
      <c r="R3154" s="31">
        <f t="shared" si="101"/>
        <v>0</v>
      </c>
    </row>
    <row r="3155" spans="16:18" ht="30.75" customHeight="1" x14ac:dyDescent="0.3">
      <c r="P3155" s="31">
        <f t="shared" si="100"/>
        <v>0</v>
      </c>
      <c r="R3155" s="31">
        <f t="shared" si="101"/>
        <v>0</v>
      </c>
    </row>
    <row r="3156" spans="16:18" ht="30.75" customHeight="1" x14ac:dyDescent="0.3">
      <c r="P3156" s="31">
        <f t="shared" si="100"/>
        <v>0</v>
      </c>
      <c r="R3156" s="31">
        <f t="shared" si="101"/>
        <v>0</v>
      </c>
    </row>
    <row r="3157" spans="16:18" ht="30.75" customHeight="1" x14ac:dyDescent="0.3">
      <c r="P3157" s="31">
        <f t="shared" si="100"/>
        <v>0</v>
      </c>
      <c r="R3157" s="31">
        <f t="shared" si="101"/>
        <v>0</v>
      </c>
    </row>
    <row r="3158" spans="16:18" ht="30.75" customHeight="1" x14ac:dyDescent="0.3">
      <c r="P3158" s="31">
        <f t="shared" si="100"/>
        <v>0</v>
      </c>
      <c r="R3158" s="31">
        <f t="shared" si="101"/>
        <v>0</v>
      </c>
    </row>
    <row r="3159" spans="16:18" ht="30.75" customHeight="1" x14ac:dyDescent="0.3">
      <c r="P3159" s="31">
        <f t="shared" si="100"/>
        <v>0</v>
      </c>
      <c r="R3159" s="31">
        <f t="shared" si="101"/>
        <v>0</v>
      </c>
    </row>
    <row r="3160" spans="16:18" ht="30.75" customHeight="1" x14ac:dyDescent="0.3">
      <c r="P3160" s="31">
        <f t="shared" si="100"/>
        <v>0</v>
      </c>
      <c r="R3160" s="31">
        <f t="shared" si="101"/>
        <v>0</v>
      </c>
    </row>
    <row r="3161" spans="16:18" ht="30.75" customHeight="1" x14ac:dyDescent="0.3">
      <c r="P3161" s="31">
        <f t="shared" si="100"/>
        <v>0</v>
      </c>
      <c r="R3161" s="31">
        <f t="shared" si="101"/>
        <v>0</v>
      </c>
    </row>
    <row r="3162" spans="16:18" ht="30.75" customHeight="1" x14ac:dyDescent="0.3">
      <c r="P3162" s="31">
        <f t="shared" si="100"/>
        <v>0</v>
      </c>
      <c r="R3162" s="31">
        <f t="shared" si="101"/>
        <v>0</v>
      </c>
    </row>
    <row r="3163" spans="16:18" ht="30.75" customHeight="1" x14ac:dyDescent="0.3">
      <c r="P3163" s="31">
        <f t="shared" si="100"/>
        <v>0</v>
      </c>
      <c r="R3163" s="31">
        <f t="shared" si="101"/>
        <v>0</v>
      </c>
    </row>
    <row r="3164" spans="16:18" ht="30.75" customHeight="1" x14ac:dyDescent="0.3">
      <c r="P3164" s="31">
        <f t="shared" si="100"/>
        <v>0</v>
      </c>
      <c r="R3164" s="31">
        <f t="shared" si="101"/>
        <v>0</v>
      </c>
    </row>
    <row r="3165" spans="16:18" ht="30.75" customHeight="1" x14ac:dyDescent="0.3">
      <c r="P3165" s="31">
        <f t="shared" si="100"/>
        <v>0</v>
      </c>
      <c r="R3165" s="31">
        <f t="shared" si="101"/>
        <v>0</v>
      </c>
    </row>
    <row r="3166" spans="16:18" ht="30.75" customHeight="1" x14ac:dyDescent="0.3">
      <c r="P3166" s="31">
        <f t="shared" si="100"/>
        <v>0</v>
      </c>
      <c r="R3166" s="31">
        <f t="shared" si="101"/>
        <v>0</v>
      </c>
    </row>
    <row r="3167" spans="16:18" ht="30.75" customHeight="1" x14ac:dyDescent="0.3">
      <c r="P3167" s="31">
        <f t="shared" si="100"/>
        <v>0</v>
      </c>
      <c r="R3167" s="31">
        <f t="shared" si="101"/>
        <v>0</v>
      </c>
    </row>
    <row r="3168" spans="16:18" ht="30.75" customHeight="1" x14ac:dyDescent="0.3">
      <c r="P3168" s="31">
        <f t="shared" si="100"/>
        <v>0</v>
      </c>
      <c r="R3168" s="31">
        <f t="shared" si="101"/>
        <v>0</v>
      </c>
    </row>
    <row r="3169" spans="16:18" ht="30.75" customHeight="1" x14ac:dyDescent="0.3">
      <c r="P3169" s="31">
        <f t="shared" si="100"/>
        <v>0</v>
      </c>
      <c r="R3169" s="31">
        <f t="shared" si="101"/>
        <v>0</v>
      </c>
    </row>
    <row r="3170" spans="16:18" ht="30.75" customHeight="1" x14ac:dyDescent="0.3">
      <c r="P3170" s="31">
        <f t="shared" si="100"/>
        <v>0</v>
      </c>
      <c r="R3170" s="31">
        <f t="shared" si="101"/>
        <v>0</v>
      </c>
    </row>
    <row r="3171" spans="16:18" ht="30.75" customHeight="1" x14ac:dyDescent="0.3">
      <c r="P3171" s="31">
        <f t="shared" si="100"/>
        <v>0</v>
      </c>
      <c r="R3171" s="31">
        <f t="shared" si="101"/>
        <v>0</v>
      </c>
    </row>
    <row r="3172" spans="16:18" ht="30.75" customHeight="1" x14ac:dyDescent="0.3">
      <c r="P3172" s="31">
        <f t="shared" si="100"/>
        <v>0</v>
      </c>
      <c r="R3172" s="31">
        <f t="shared" si="101"/>
        <v>0</v>
      </c>
    </row>
    <row r="3173" spans="16:18" ht="30.75" customHeight="1" x14ac:dyDescent="0.3">
      <c r="P3173" s="31">
        <f t="shared" si="100"/>
        <v>0</v>
      </c>
      <c r="R3173" s="31">
        <f t="shared" si="101"/>
        <v>0</v>
      </c>
    </row>
    <row r="3174" spans="16:18" ht="30.75" customHeight="1" x14ac:dyDescent="0.3">
      <c r="P3174" s="31">
        <f t="shared" si="100"/>
        <v>0</v>
      </c>
      <c r="R3174" s="31">
        <f t="shared" si="101"/>
        <v>0</v>
      </c>
    </row>
    <row r="3175" spans="16:18" ht="30.75" customHeight="1" x14ac:dyDescent="0.3">
      <c r="P3175" s="31">
        <f t="shared" si="100"/>
        <v>0</v>
      </c>
      <c r="R3175" s="31">
        <f t="shared" si="101"/>
        <v>0</v>
      </c>
    </row>
    <row r="3176" spans="16:18" ht="30.75" customHeight="1" x14ac:dyDescent="0.3">
      <c r="P3176" s="31">
        <f t="shared" ref="P3176:P3239" si="102">K3176-L3176-M3176-N3176+O3176</f>
        <v>0</v>
      </c>
      <c r="R3176" s="31">
        <f t="shared" ref="R3176:R3239" si="103">R3175+K3176-L3176-M3176-N3176+O3176-Q3176</f>
        <v>0</v>
      </c>
    </row>
    <row r="3177" spans="16:18" ht="30.75" customHeight="1" x14ac:dyDescent="0.3">
      <c r="P3177" s="31">
        <f t="shared" si="102"/>
        <v>0</v>
      </c>
      <c r="R3177" s="31">
        <f t="shared" si="103"/>
        <v>0</v>
      </c>
    </row>
    <row r="3178" spans="16:18" ht="30.75" customHeight="1" x14ac:dyDescent="0.3">
      <c r="P3178" s="31">
        <f t="shared" si="102"/>
        <v>0</v>
      </c>
      <c r="R3178" s="31">
        <f t="shared" si="103"/>
        <v>0</v>
      </c>
    </row>
    <row r="3179" spans="16:18" ht="30.75" customHeight="1" x14ac:dyDescent="0.3">
      <c r="P3179" s="31">
        <f t="shared" si="102"/>
        <v>0</v>
      </c>
      <c r="R3179" s="31">
        <f t="shared" si="103"/>
        <v>0</v>
      </c>
    </row>
    <row r="3180" spans="16:18" ht="30.75" customHeight="1" x14ac:dyDescent="0.3">
      <c r="P3180" s="31">
        <f t="shared" si="102"/>
        <v>0</v>
      </c>
      <c r="R3180" s="31">
        <f t="shared" si="103"/>
        <v>0</v>
      </c>
    </row>
    <row r="3181" spans="16:18" ht="30.75" customHeight="1" x14ac:dyDescent="0.3">
      <c r="P3181" s="31">
        <f t="shared" si="102"/>
        <v>0</v>
      </c>
      <c r="R3181" s="31">
        <f t="shared" si="103"/>
        <v>0</v>
      </c>
    </row>
    <row r="3182" spans="16:18" ht="30.75" customHeight="1" x14ac:dyDescent="0.3">
      <c r="P3182" s="31">
        <f t="shared" si="102"/>
        <v>0</v>
      </c>
      <c r="R3182" s="31">
        <f t="shared" si="103"/>
        <v>0</v>
      </c>
    </row>
    <row r="3183" spans="16:18" ht="30.75" customHeight="1" x14ac:dyDescent="0.3">
      <c r="P3183" s="31">
        <f t="shared" si="102"/>
        <v>0</v>
      </c>
      <c r="R3183" s="31">
        <f t="shared" si="103"/>
        <v>0</v>
      </c>
    </row>
    <row r="3184" spans="16:18" ht="30.75" customHeight="1" x14ac:dyDescent="0.3">
      <c r="P3184" s="31">
        <f t="shared" si="102"/>
        <v>0</v>
      </c>
      <c r="R3184" s="31">
        <f t="shared" si="103"/>
        <v>0</v>
      </c>
    </row>
    <row r="3185" spans="16:18" ht="30.75" customHeight="1" x14ac:dyDescent="0.3">
      <c r="P3185" s="31">
        <f t="shared" si="102"/>
        <v>0</v>
      </c>
      <c r="R3185" s="31">
        <f t="shared" si="103"/>
        <v>0</v>
      </c>
    </row>
    <row r="3186" spans="16:18" ht="30.75" customHeight="1" x14ac:dyDescent="0.3">
      <c r="P3186" s="31">
        <f t="shared" si="102"/>
        <v>0</v>
      </c>
      <c r="R3186" s="31">
        <f t="shared" si="103"/>
        <v>0</v>
      </c>
    </row>
    <row r="3187" spans="16:18" ht="30.75" customHeight="1" x14ac:dyDescent="0.3">
      <c r="P3187" s="31">
        <f t="shared" si="102"/>
        <v>0</v>
      </c>
      <c r="R3187" s="31">
        <f t="shared" si="103"/>
        <v>0</v>
      </c>
    </row>
    <row r="3188" spans="16:18" ht="30.75" customHeight="1" x14ac:dyDescent="0.3">
      <c r="P3188" s="31">
        <f t="shared" si="102"/>
        <v>0</v>
      </c>
      <c r="R3188" s="31">
        <f t="shared" si="103"/>
        <v>0</v>
      </c>
    </row>
    <row r="3189" spans="16:18" ht="30.75" customHeight="1" x14ac:dyDescent="0.3">
      <c r="P3189" s="31">
        <f t="shared" si="102"/>
        <v>0</v>
      </c>
      <c r="R3189" s="31">
        <f t="shared" si="103"/>
        <v>0</v>
      </c>
    </row>
    <row r="3190" spans="16:18" ht="30.75" customHeight="1" x14ac:dyDescent="0.3">
      <c r="P3190" s="31">
        <f t="shared" si="102"/>
        <v>0</v>
      </c>
      <c r="R3190" s="31">
        <f t="shared" si="103"/>
        <v>0</v>
      </c>
    </row>
    <row r="3191" spans="16:18" ht="30.75" customHeight="1" x14ac:dyDescent="0.3">
      <c r="P3191" s="31">
        <f t="shared" si="102"/>
        <v>0</v>
      </c>
      <c r="R3191" s="31">
        <f t="shared" si="103"/>
        <v>0</v>
      </c>
    </row>
    <row r="3192" spans="16:18" ht="30.75" customHeight="1" x14ac:dyDescent="0.3">
      <c r="P3192" s="31">
        <f t="shared" si="102"/>
        <v>0</v>
      </c>
      <c r="R3192" s="31">
        <f t="shared" si="103"/>
        <v>0</v>
      </c>
    </row>
    <row r="3193" spans="16:18" ht="30.75" customHeight="1" x14ac:dyDescent="0.3">
      <c r="P3193" s="31">
        <f t="shared" si="102"/>
        <v>0</v>
      </c>
      <c r="R3193" s="31">
        <f t="shared" si="103"/>
        <v>0</v>
      </c>
    </row>
    <row r="3194" spans="16:18" ht="30.75" customHeight="1" x14ac:dyDescent="0.3">
      <c r="P3194" s="31">
        <f t="shared" si="102"/>
        <v>0</v>
      </c>
      <c r="R3194" s="31">
        <f t="shared" si="103"/>
        <v>0</v>
      </c>
    </row>
    <row r="3195" spans="16:18" ht="30.75" customHeight="1" x14ac:dyDescent="0.3">
      <c r="P3195" s="31">
        <f t="shared" si="102"/>
        <v>0</v>
      </c>
      <c r="R3195" s="31">
        <f t="shared" si="103"/>
        <v>0</v>
      </c>
    </row>
    <row r="3196" spans="16:18" ht="30.75" customHeight="1" x14ac:dyDescent="0.3">
      <c r="P3196" s="31">
        <f t="shared" si="102"/>
        <v>0</v>
      </c>
      <c r="R3196" s="31">
        <f t="shared" si="103"/>
        <v>0</v>
      </c>
    </row>
    <row r="3197" spans="16:18" ht="30.75" customHeight="1" x14ac:dyDescent="0.3">
      <c r="P3197" s="31">
        <f t="shared" si="102"/>
        <v>0</v>
      </c>
      <c r="R3197" s="31">
        <f t="shared" si="103"/>
        <v>0</v>
      </c>
    </row>
    <row r="3198" spans="16:18" ht="30.75" customHeight="1" x14ac:dyDescent="0.3">
      <c r="P3198" s="31">
        <f t="shared" si="102"/>
        <v>0</v>
      </c>
      <c r="R3198" s="31">
        <f t="shared" si="103"/>
        <v>0</v>
      </c>
    </row>
    <row r="3199" spans="16:18" ht="30.75" customHeight="1" x14ac:dyDescent="0.3">
      <c r="P3199" s="31">
        <f t="shared" si="102"/>
        <v>0</v>
      </c>
      <c r="R3199" s="31">
        <f t="shared" si="103"/>
        <v>0</v>
      </c>
    </row>
    <row r="3200" spans="16:18" ht="30.75" customHeight="1" x14ac:dyDescent="0.3">
      <c r="P3200" s="31">
        <f t="shared" si="102"/>
        <v>0</v>
      </c>
      <c r="R3200" s="31">
        <f t="shared" si="103"/>
        <v>0</v>
      </c>
    </row>
    <row r="3201" spans="16:18" ht="30.75" customHeight="1" x14ac:dyDescent="0.3">
      <c r="P3201" s="31">
        <f t="shared" si="102"/>
        <v>0</v>
      </c>
      <c r="R3201" s="31">
        <f t="shared" si="103"/>
        <v>0</v>
      </c>
    </row>
    <row r="3202" spans="16:18" ht="30.75" customHeight="1" x14ac:dyDescent="0.3">
      <c r="P3202" s="31">
        <f t="shared" si="102"/>
        <v>0</v>
      </c>
      <c r="R3202" s="31">
        <f t="shared" si="103"/>
        <v>0</v>
      </c>
    </row>
    <row r="3203" spans="16:18" ht="30.75" customHeight="1" x14ac:dyDescent="0.3">
      <c r="P3203" s="31">
        <f t="shared" si="102"/>
        <v>0</v>
      </c>
      <c r="R3203" s="31">
        <f t="shared" si="103"/>
        <v>0</v>
      </c>
    </row>
    <row r="3204" spans="16:18" ht="30.75" customHeight="1" x14ac:dyDescent="0.3">
      <c r="P3204" s="31">
        <f t="shared" si="102"/>
        <v>0</v>
      </c>
      <c r="R3204" s="31">
        <f t="shared" si="103"/>
        <v>0</v>
      </c>
    </row>
    <row r="3205" spans="16:18" ht="30.75" customHeight="1" x14ac:dyDescent="0.3">
      <c r="P3205" s="31">
        <f t="shared" si="102"/>
        <v>0</v>
      </c>
      <c r="R3205" s="31">
        <f t="shared" si="103"/>
        <v>0</v>
      </c>
    </row>
    <row r="3206" spans="16:18" ht="30.75" customHeight="1" x14ac:dyDescent="0.3">
      <c r="P3206" s="31">
        <f t="shared" si="102"/>
        <v>0</v>
      </c>
      <c r="R3206" s="31">
        <f t="shared" si="103"/>
        <v>0</v>
      </c>
    </row>
    <row r="3207" spans="16:18" ht="30.75" customHeight="1" x14ac:dyDescent="0.3">
      <c r="P3207" s="31">
        <f t="shared" si="102"/>
        <v>0</v>
      </c>
      <c r="R3207" s="31">
        <f t="shared" si="103"/>
        <v>0</v>
      </c>
    </row>
    <row r="3208" spans="16:18" ht="30.75" customHeight="1" x14ac:dyDescent="0.3">
      <c r="P3208" s="31">
        <f t="shared" si="102"/>
        <v>0</v>
      </c>
      <c r="R3208" s="31">
        <f t="shared" si="103"/>
        <v>0</v>
      </c>
    </row>
    <row r="3209" spans="16:18" ht="30.75" customHeight="1" x14ac:dyDescent="0.3">
      <c r="P3209" s="31">
        <f t="shared" si="102"/>
        <v>0</v>
      </c>
      <c r="R3209" s="31">
        <f t="shared" si="103"/>
        <v>0</v>
      </c>
    </row>
    <row r="3210" spans="16:18" ht="30.75" customHeight="1" x14ac:dyDescent="0.3">
      <c r="P3210" s="31">
        <f t="shared" si="102"/>
        <v>0</v>
      </c>
      <c r="R3210" s="31">
        <f t="shared" si="103"/>
        <v>0</v>
      </c>
    </row>
    <row r="3211" spans="16:18" ht="30.75" customHeight="1" x14ac:dyDescent="0.3">
      <c r="P3211" s="31">
        <f t="shared" si="102"/>
        <v>0</v>
      </c>
      <c r="R3211" s="31">
        <f t="shared" si="103"/>
        <v>0</v>
      </c>
    </row>
    <row r="3212" spans="16:18" ht="30.75" customHeight="1" x14ac:dyDescent="0.3">
      <c r="P3212" s="31">
        <f t="shared" si="102"/>
        <v>0</v>
      </c>
      <c r="R3212" s="31">
        <f t="shared" si="103"/>
        <v>0</v>
      </c>
    </row>
    <row r="3213" spans="16:18" ht="30.75" customHeight="1" x14ac:dyDescent="0.3">
      <c r="P3213" s="31">
        <f t="shared" si="102"/>
        <v>0</v>
      </c>
      <c r="R3213" s="31">
        <f t="shared" si="103"/>
        <v>0</v>
      </c>
    </row>
    <row r="3214" spans="16:18" ht="30.75" customHeight="1" x14ac:dyDescent="0.3">
      <c r="P3214" s="31">
        <f t="shared" si="102"/>
        <v>0</v>
      </c>
      <c r="R3214" s="31">
        <f t="shared" si="103"/>
        <v>0</v>
      </c>
    </row>
    <row r="3215" spans="16:18" ht="30.75" customHeight="1" x14ac:dyDescent="0.3">
      <c r="P3215" s="31">
        <f t="shared" si="102"/>
        <v>0</v>
      </c>
      <c r="R3215" s="31">
        <f t="shared" si="103"/>
        <v>0</v>
      </c>
    </row>
    <row r="3216" spans="16:18" ht="30.75" customHeight="1" x14ac:dyDescent="0.3">
      <c r="P3216" s="31">
        <f t="shared" si="102"/>
        <v>0</v>
      </c>
      <c r="R3216" s="31">
        <f t="shared" si="103"/>
        <v>0</v>
      </c>
    </row>
    <row r="3217" spans="16:18" ht="30.75" customHeight="1" x14ac:dyDescent="0.3">
      <c r="P3217" s="31">
        <f t="shared" si="102"/>
        <v>0</v>
      </c>
      <c r="R3217" s="31">
        <f t="shared" si="103"/>
        <v>0</v>
      </c>
    </row>
    <row r="3218" spans="16:18" ht="30.75" customHeight="1" x14ac:dyDescent="0.3">
      <c r="P3218" s="31">
        <f t="shared" si="102"/>
        <v>0</v>
      </c>
      <c r="R3218" s="31">
        <f t="shared" si="103"/>
        <v>0</v>
      </c>
    </row>
    <row r="3219" spans="16:18" ht="30.75" customHeight="1" x14ac:dyDescent="0.3">
      <c r="P3219" s="31">
        <f t="shared" si="102"/>
        <v>0</v>
      </c>
      <c r="R3219" s="31">
        <f t="shared" si="103"/>
        <v>0</v>
      </c>
    </row>
    <row r="3220" spans="16:18" ht="30.75" customHeight="1" x14ac:dyDescent="0.3">
      <c r="P3220" s="31">
        <f t="shared" si="102"/>
        <v>0</v>
      </c>
      <c r="R3220" s="31">
        <f t="shared" si="103"/>
        <v>0</v>
      </c>
    </row>
    <row r="3221" spans="16:18" ht="30.75" customHeight="1" x14ac:dyDescent="0.3">
      <c r="P3221" s="31">
        <f t="shared" si="102"/>
        <v>0</v>
      </c>
      <c r="R3221" s="31">
        <f t="shared" si="103"/>
        <v>0</v>
      </c>
    </row>
    <row r="3222" spans="16:18" ht="30.75" customHeight="1" x14ac:dyDescent="0.3">
      <c r="P3222" s="31">
        <f t="shared" si="102"/>
        <v>0</v>
      </c>
      <c r="R3222" s="31">
        <f t="shared" si="103"/>
        <v>0</v>
      </c>
    </row>
    <row r="3223" spans="16:18" ht="30.75" customHeight="1" x14ac:dyDescent="0.3">
      <c r="P3223" s="31">
        <f t="shared" si="102"/>
        <v>0</v>
      </c>
      <c r="R3223" s="31">
        <f t="shared" si="103"/>
        <v>0</v>
      </c>
    </row>
    <row r="3224" spans="16:18" ht="30.75" customHeight="1" x14ac:dyDescent="0.3">
      <c r="P3224" s="31">
        <f t="shared" si="102"/>
        <v>0</v>
      </c>
      <c r="R3224" s="31">
        <f t="shared" si="103"/>
        <v>0</v>
      </c>
    </row>
    <row r="3225" spans="16:18" ht="30.75" customHeight="1" x14ac:dyDescent="0.3">
      <c r="P3225" s="31">
        <f t="shared" si="102"/>
        <v>0</v>
      </c>
      <c r="R3225" s="31">
        <f t="shared" si="103"/>
        <v>0</v>
      </c>
    </row>
    <row r="3226" spans="16:18" ht="30.75" customHeight="1" x14ac:dyDescent="0.3">
      <c r="P3226" s="31">
        <f t="shared" si="102"/>
        <v>0</v>
      </c>
      <c r="R3226" s="31">
        <f t="shared" si="103"/>
        <v>0</v>
      </c>
    </row>
    <row r="3227" spans="16:18" ht="30.75" customHeight="1" x14ac:dyDescent="0.3">
      <c r="P3227" s="31">
        <f t="shared" si="102"/>
        <v>0</v>
      </c>
      <c r="R3227" s="31">
        <f t="shared" si="103"/>
        <v>0</v>
      </c>
    </row>
    <row r="3228" spans="16:18" ht="30.75" customHeight="1" x14ac:dyDescent="0.3">
      <c r="P3228" s="31">
        <f t="shared" si="102"/>
        <v>0</v>
      </c>
      <c r="R3228" s="31">
        <f t="shared" si="103"/>
        <v>0</v>
      </c>
    </row>
    <row r="3229" spans="16:18" ht="30.75" customHeight="1" x14ac:dyDescent="0.3">
      <c r="P3229" s="31">
        <f t="shared" si="102"/>
        <v>0</v>
      </c>
      <c r="R3229" s="31">
        <f t="shared" si="103"/>
        <v>0</v>
      </c>
    </row>
    <row r="3230" spans="16:18" ht="30.75" customHeight="1" x14ac:dyDescent="0.3">
      <c r="P3230" s="31">
        <f t="shared" si="102"/>
        <v>0</v>
      </c>
      <c r="R3230" s="31">
        <f t="shared" si="103"/>
        <v>0</v>
      </c>
    </row>
    <row r="3231" spans="16:18" ht="30.75" customHeight="1" x14ac:dyDescent="0.3">
      <c r="P3231" s="31">
        <f t="shared" si="102"/>
        <v>0</v>
      </c>
      <c r="R3231" s="31">
        <f t="shared" si="103"/>
        <v>0</v>
      </c>
    </row>
    <row r="3232" spans="16:18" ht="30.75" customHeight="1" x14ac:dyDescent="0.3">
      <c r="P3232" s="31">
        <f t="shared" si="102"/>
        <v>0</v>
      </c>
      <c r="R3232" s="31">
        <f t="shared" si="103"/>
        <v>0</v>
      </c>
    </row>
    <row r="3233" spans="16:18" ht="30.75" customHeight="1" x14ac:dyDescent="0.3">
      <c r="P3233" s="31">
        <f t="shared" si="102"/>
        <v>0</v>
      </c>
      <c r="R3233" s="31">
        <f t="shared" si="103"/>
        <v>0</v>
      </c>
    </row>
    <row r="3234" spans="16:18" ht="30.75" customHeight="1" x14ac:dyDescent="0.3">
      <c r="P3234" s="31">
        <f t="shared" si="102"/>
        <v>0</v>
      </c>
      <c r="R3234" s="31">
        <f t="shared" si="103"/>
        <v>0</v>
      </c>
    </row>
    <row r="3235" spans="16:18" ht="30.75" customHeight="1" x14ac:dyDescent="0.3">
      <c r="P3235" s="31">
        <f t="shared" si="102"/>
        <v>0</v>
      </c>
      <c r="R3235" s="31">
        <f t="shared" si="103"/>
        <v>0</v>
      </c>
    </row>
    <row r="3236" spans="16:18" ht="30.75" customHeight="1" x14ac:dyDescent="0.3">
      <c r="P3236" s="31">
        <f t="shared" si="102"/>
        <v>0</v>
      </c>
      <c r="R3236" s="31">
        <f t="shared" si="103"/>
        <v>0</v>
      </c>
    </row>
    <row r="3237" spans="16:18" ht="30.75" customHeight="1" x14ac:dyDescent="0.3">
      <c r="P3237" s="31">
        <f t="shared" si="102"/>
        <v>0</v>
      </c>
      <c r="R3237" s="31">
        <f t="shared" si="103"/>
        <v>0</v>
      </c>
    </row>
    <row r="3238" spans="16:18" ht="30.75" customHeight="1" x14ac:dyDescent="0.3">
      <c r="P3238" s="31">
        <f t="shared" si="102"/>
        <v>0</v>
      </c>
      <c r="R3238" s="31">
        <f t="shared" si="103"/>
        <v>0</v>
      </c>
    </row>
    <row r="3239" spans="16:18" ht="30.75" customHeight="1" x14ac:dyDescent="0.3">
      <c r="P3239" s="31">
        <f t="shared" si="102"/>
        <v>0</v>
      </c>
      <c r="R3239" s="31">
        <f t="shared" si="103"/>
        <v>0</v>
      </c>
    </row>
    <row r="3240" spans="16:18" ht="30.75" customHeight="1" x14ac:dyDescent="0.3">
      <c r="P3240" s="31">
        <f t="shared" ref="P3240:P3303" si="104">K3240-L3240-M3240-N3240+O3240</f>
        <v>0</v>
      </c>
      <c r="R3240" s="31">
        <f t="shared" ref="R3240:R3303" si="105">R3239+K3240-L3240-M3240-N3240+O3240-Q3240</f>
        <v>0</v>
      </c>
    </row>
    <row r="3241" spans="16:18" ht="30.75" customHeight="1" x14ac:dyDescent="0.3">
      <c r="P3241" s="31">
        <f t="shared" si="104"/>
        <v>0</v>
      </c>
      <c r="R3241" s="31">
        <f t="shared" si="105"/>
        <v>0</v>
      </c>
    </row>
    <row r="3242" spans="16:18" ht="30.75" customHeight="1" x14ac:dyDescent="0.3">
      <c r="P3242" s="31">
        <f t="shared" si="104"/>
        <v>0</v>
      </c>
      <c r="R3242" s="31">
        <f t="shared" si="105"/>
        <v>0</v>
      </c>
    </row>
    <row r="3243" spans="16:18" ht="30.75" customHeight="1" x14ac:dyDescent="0.3">
      <c r="P3243" s="31">
        <f t="shared" si="104"/>
        <v>0</v>
      </c>
      <c r="R3243" s="31">
        <f t="shared" si="105"/>
        <v>0</v>
      </c>
    </row>
    <row r="3244" spans="16:18" ht="30.75" customHeight="1" x14ac:dyDescent="0.3">
      <c r="P3244" s="31">
        <f t="shared" si="104"/>
        <v>0</v>
      </c>
      <c r="R3244" s="31">
        <f t="shared" si="105"/>
        <v>0</v>
      </c>
    </row>
    <row r="3245" spans="16:18" ht="30.75" customHeight="1" x14ac:dyDescent="0.3">
      <c r="P3245" s="31">
        <f t="shared" si="104"/>
        <v>0</v>
      </c>
      <c r="R3245" s="31">
        <f t="shared" si="105"/>
        <v>0</v>
      </c>
    </row>
    <row r="3246" spans="16:18" ht="30.75" customHeight="1" x14ac:dyDescent="0.3">
      <c r="P3246" s="31">
        <f t="shared" si="104"/>
        <v>0</v>
      </c>
      <c r="R3246" s="31">
        <f t="shared" si="105"/>
        <v>0</v>
      </c>
    </row>
    <row r="3247" spans="16:18" ht="30.75" customHeight="1" x14ac:dyDescent="0.3">
      <c r="P3247" s="31">
        <f t="shared" si="104"/>
        <v>0</v>
      </c>
      <c r="R3247" s="31">
        <f t="shared" si="105"/>
        <v>0</v>
      </c>
    </row>
    <row r="3248" spans="16:18" ht="30.75" customHeight="1" x14ac:dyDescent="0.3">
      <c r="P3248" s="31">
        <f t="shared" si="104"/>
        <v>0</v>
      </c>
      <c r="R3248" s="31">
        <f t="shared" si="105"/>
        <v>0</v>
      </c>
    </row>
    <row r="3249" spans="16:18" ht="30.75" customHeight="1" x14ac:dyDescent="0.3">
      <c r="P3249" s="31">
        <f t="shared" si="104"/>
        <v>0</v>
      </c>
      <c r="R3249" s="31">
        <f t="shared" si="105"/>
        <v>0</v>
      </c>
    </row>
    <row r="3250" spans="16:18" ht="30.75" customHeight="1" x14ac:dyDescent="0.3">
      <c r="P3250" s="31">
        <f t="shared" si="104"/>
        <v>0</v>
      </c>
      <c r="R3250" s="31">
        <f t="shared" si="105"/>
        <v>0</v>
      </c>
    </row>
    <row r="3251" spans="16:18" ht="30.75" customHeight="1" x14ac:dyDescent="0.3">
      <c r="P3251" s="31">
        <f t="shared" si="104"/>
        <v>0</v>
      </c>
      <c r="R3251" s="31">
        <f t="shared" si="105"/>
        <v>0</v>
      </c>
    </row>
    <row r="3252" spans="16:18" ht="30.75" customHeight="1" x14ac:dyDescent="0.3">
      <c r="P3252" s="31">
        <f t="shared" si="104"/>
        <v>0</v>
      </c>
      <c r="R3252" s="31">
        <f t="shared" si="105"/>
        <v>0</v>
      </c>
    </row>
    <row r="3253" spans="16:18" ht="30.75" customHeight="1" x14ac:dyDescent="0.3">
      <c r="P3253" s="31">
        <f t="shared" si="104"/>
        <v>0</v>
      </c>
      <c r="R3253" s="31">
        <f t="shared" si="105"/>
        <v>0</v>
      </c>
    </row>
    <row r="3254" spans="16:18" ht="30.75" customHeight="1" x14ac:dyDescent="0.3">
      <c r="P3254" s="31">
        <f t="shared" si="104"/>
        <v>0</v>
      </c>
      <c r="R3254" s="31">
        <f t="shared" si="105"/>
        <v>0</v>
      </c>
    </row>
    <row r="3255" spans="16:18" ht="30.75" customHeight="1" x14ac:dyDescent="0.3">
      <c r="P3255" s="31">
        <f t="shared" si="104"/>
        <v>0</v>
      </c>
      <c r="R3255" s="31">
        <f t="shared" si="105"/>
        <v>0</v>
      </c>
    </row>
    <row r="3256" spans="16:18" ht="30.75" customHeight="1" x14ac:dyDescent="0.3">
      <c r="P3256" s="31">
        <f t="shared" si="104"/>
        <v>0</v>
      </c>
      <c r="R3256" s="31">
        <f t="shared" si="105"/>
        <v>0</v>
      </c>
    </row>
    <row r="3257" spans="16:18" ht="30.75" customHeight="1" x14ac:dyDescent="0.3">
      <c r="P3257" s="31">
        <f t="shared" si="104"/>
        <v>0</v>
      </c>
      <c r="R3257" s="31">
        <f t="shared" si="105"/>
        <v>0</v>
      </c>
    </row>
    <row r="3258" spans="16:18" ht="30.75" customHeight="1" x14ac:dyDescent="0.3">
      <c r="P3258" s="31">
        <f t="shared" si="104"/>
        <v>0</v>
      </c>
      <c r="R3258" s="31">
        <f t="shared" si="105"/>
        <v>0</v>
      </c>
    </row>
    <row r="3259" spans="16:18" ht="30.75" customHeight="1" x14ac:dyDescent="0.3">
      <c r="P3259" s="31">
        <f t="shared" si="104"/>
        <v>0</v>
      </c>
      <c r="R3259" s="31">
        <f t="shared" si="105"/>
        <v>0</v>
      </c>
    </row>
    <row r="3260" spans="16:18" ht="30.75" customHeight="1" x14ac:dyDescent="0.3">
      <c r="P3260" s="31">
        <f t="shared" si="104"/>
        <v>0</v>
      </c>
      <c r="R3260" s="31">
        <f t="shared" si="105"/>
        <v>0</v>
      </c>
    </row>
    <row r="3261" spans="16:18" ht="30.75" customHeight="1" x14ac:dyDescent="0.3">
      <c r="P3261" s="31">
        <f t="shared" si="104"/>
        <v>0</v>
      </c>
      <c r="R3261" s="31">
        <f t="shared" si="105"/>
        <v>0</v>
      </c>
    </row>
    <row r="3262" spans="16:18" ht="30.75" customHeight="1" x14ac:dyDescent="0.3">
      <c r="P3262" s="31">
        <f t="shared" si="104"/>
        <v>0</v>
      </c>
      <c r="R3262" s="31">
        <f t="shared" si="105"/>
        <v>0</v>
      </c>
    </row>
    <row r="3263" spans="16:18" ht="30.75" customHeight="1" x14ac:dyDescent="0.3">
      <c r="P3263" s="31">
        <f t="shared" si="104"/>
        <v>0</v>
      </c>
      <c r="R3263" s="31">
        <f t="shared" si="105"/>
        <v>0</v>
      </c>
    </row>
    <row r="3264" spans="16:18" ht="30.75" customHeight="1" x14ac:dyDescent="0.3">
      <c r="P3264" s="31">
        <f t="shared" si="104"/>
        <v>0</v>
      </c>
      <c r="R3264" s="31">
        <f t="shared" si="105"/>
        <v>0</v>
      </c>
    </row>
    <row r="3265" spans="16:18" ht="30.75" customHeight="1" x14ac:dyDescent="0.3">
      <c r="P3265" s="31">
        <f t="shared" si="104"/>
        <v>0</v>
      </c>
      <c r="R3265" s="31">
        <f t="shared" si="105"/>
        <v>0</v>
      </c>
    </row>
    <row r="3266" spans="16:18" ht="30.75" customHeight="1" x14ac:dyDescent="0.3">
      <c r="P3266" s="31">
        <f t="shared" si="104"/>
        <v>0</v>
      </c>
      <c r="R3266" s="31">
        <f t="shared" si="105"/>
        <v>0</v>
      </c>
    </row>
    <row r="3267" spans="16:18" ht="30.75" customHeight="1" x14ac:dyDescent="0.3">
      <c r="P3267" s="31">
        <f t="shared" si="104"/>
        <v>0</v>
      </c>
      <c r="R3267" s="31">
        <f t="shared" si="105"/>
        <v>0</v>
      </c>
    </row>
    <row r="3268" spans="16:18" ht="30.75" customHeight="1" x14ac:dyDescent="0.3">
      <c r="P3268" s="31">
        <f t="shared" si="104"/>
        <v>0</v>
      </c>
      <c r="R3268" s="31">
        <f t="shared" si="105"/>
        <v>0</v>
      </c>
    </row>
    <row r="3269" spans="16:18" ht="30.75" customHeight="1" x14ac:dyDescent="0.3">
      <c r="P3269" s="31">
        <f t="shared" si="104"/>
        <v>0</v>
      </c>
      <c r="R3269" s="31">
        <f t="shared" si="105"/>
        <v>0</v>
      </c>
    </row>
    <row r="3270" spans="16:18" ht="30.75" customHeight="1" x14ac:dyDescent="0.3">
      <c r="P3270" s="31">
        <f t="shared" si="104"/>
        <v>0</v>
      </c>
      <c r="R3270" s="31">
        <f t="shared" si="105"/>
        <v>0</v>
      </c>
    </row>
    <row r="3271" spans="16:18" ht="30.75" customHeight="1" x14ac:dyDescent="0.3">
      <c r="P3271" s="31">
        <f t="shared" si="104"/>
        <v>0</v>
      </c>
      <c r="R3271" s="31">
        <f t="shared" si="105"/>
        <v>0</v>
      </c>
    </row>
    <row r="3272" spans="16:18" ht="30.75" customHeight="1" x14ac:dyDescent="0.3">
      <c r="P3272" s="31">
        <f t="shared" si="104"/>
        <v>0</v>
      </c>
      <c r="R3272" s="31">
        <f t="shared" si="105"/>
        <v>0</v>
      </c>
    </row>
    <row r="3273" spans="16:18" ht="30.75" customHeight="1" x14ac:dyDescent="0.3">
      <c r="P3273" s="31">
        <f t="shared" si="104"/>
        <v>0</v>
      </c>
      <c r="R3273" s="31">
        <f t="shared" si="105"/>
        <v>0</v>
      </c>
    </row>
    <row r="3274" spans="16:18" ht="30.75" customHeight="1" x14ac:dyDescent="0.3">
      <c r="P3274" s="31">
        <f t="shared" si="104"/>
        <v>0</v>
      </c>
      <c r="R3274" s="31">
        <f t="shared" si="105"/>
        <v>0</v>
      </c>
    </row>
    <row r="3275" spans="16:18" ht="30.75" customHeight="1" x14ac:dyDescent="0.3">
      <c r="P3275" s="31">
        <f t="shared" si="104"/>
        <v>0</v>
      </c>
      <c r="R3275" s="31">
        <f t="shared" si="105"/>
        <v>0</v>
      </c>
    </row>
    <row r="3276" spans="16:18" ht="30.75" customHeight="1" x14ac:dyDescent="0.3">
      <c r="P3276" s="31">
        <f t="shared" si="104"/>
        <v>0</v>
      </c>
      <c r="R3276" s="31">
        <f t="shared" si="105"/>
        <v>0</v>
      </c>
    </row>
    <row r="3277" spans="16:18" ht="30.75" customHeight="1" x14ac:dyDescent="0.3">
      <c r="P3277" s="31">
        <f t="shared" si="104"/>
        <v>0</v>
      </c>
      <c r="R3277" s="31">
        <f t="shared" si="105"/>
        <v>0</v>
      </c>
    </row>
    <row r="3278" spans="16:18" ht="30.75" customHeight="1" x14ac:dyDescent="0.3">
      <c r="P3278" s="31">
        <f t="shared" si="104"/>
        <v>0</v>
      </c>
      <c r="R3278" s="31">
        <f t="shared" si="105"/>
        <v>0</v>
      </c>
    </row>
    <row r="3279" spans="16:18" ht="30.75" customHeight="1" x14ac:dyDescent="0.3">
      <c r="P3279" s="31">
        <f t="shared" si="104"/>
        <v>0</v>
      </c>
      <c r="R3279" s="31">
        <f t="shared" si="105"/>
        <v>0</v>
      </c>
    </row>
    <row r="3280" spans="16:18" ht="30.75" customHeight="1" x14ac:dyDescent="0.3">
      <c r="P3280" s="31">
        <f t="shared" si="104"/>
        <v>0</v>
      </c>
      <c r="R3280" s="31">
        <f t="shared" si="105"/>
        <v>0</v>
      </c>
    </row>
    <row r="3281" spans="16:18" ht="30.75" customHeight="1" x14ac:dyDescent="0.3">
      <c r="P3281" s="31">
        <f t="shared" si="104"/>
        <v>0</v>
      </c>
      <c r="R3281" s="31">
        <f t="shared" si="105"/>
        <v>0</v>
      </c>
    </row>
    <row r="3282" spans="16:18" ht="30.75" customHeight="1" x14ac:dyDescent="0.3">
      <c r="P3282" s="31">
        <f t="shared" si="104"/>
        <v>0</v>
      </c>
      <c r="R3282" s="31">
        <f t="shared" si="105"/>
        <v>0</v>
      </c>
    </row>
    <row r="3283" spans="16:18" ht="30.75" customHeight="1" x14ac:dyDescent="0.3">
      <c r="P3283" s="31">
        <f t="shared" si="104"/>
        <v>0</v>
      </c>
      <c r="R3283" s="31">
        <f t="shared" si="105"/>
        <v>0</v>
      </c>
    </row>
    <row r="3284" spans="16:18" ht="30.75" customHeight="1" x14ac:dyDescent="0.3">
      <c r="P3284" s="31">
        <f t="shared" si="104"/>
        <v>0</v>
      </c>
      <c r="R3284" s="31">
        <f t="shared" si="105"/>
        <v>0</v>
      </c>
    </row>
    <row r="3285" spans="16:18" ht="30.75" customHeight="1" x14ac:dyDescent="0.3">
      <c r="P3285" s="31">
        <f t="shared" si="104"/>
        <v>0</v>
      </c>
      <c r="R3285" s="31">
        <f t="shared" si="105"/>
        <v>0</v>
      </c>
    </row>
    <row r="3286" spans="16:18" ht="30.75" customHeight="1" x14ac:dyDescent="0.3">
      <c r="P3286" s="31">
        <f t="shared" si="104"/>
        <v>0</v>
      </c>
      <c r="R3286" s="31">
        <f t="shared" si="105"/>
        <v>0</v>
      </c>
    </row>
    <row r="3287" spans="16:18" ht="30.75" customHeight="1" x14ac:dyDescent="0.3">
      <c r="P3287" s="31">
        <f t="shared" si="104"/>
        <v>0</v>
      </c>
      <c r="R3287" s="31">
        <f t="shared" si="105"/>
        <v>0</v>
      </c>
    </row>
    <row r="3288" spans="16:18" ht="30.75" customHeight="1" x14ac:dyDescent="0.3">
      <c r="P3288" s="31">
        <f t="shared" si="104"/>
        <v>0</v>
      </c>
      <c r="R3288" s="31">
        <f t="shared" si="105"/>
        <v>0</v>
      </c>
    </row>
    <row r="3289" spans="16:18" ht="30.75" customHeight="1" x14ac:dyDescent="0.3">
      <c r="P3289" s="31">
        <f t="shared" si="104"/>
        <v>0</v>
      </c>
      <c r="R3289" s="31">
        <f t="shared" si="105"/>
        <v>0</v>
      </c>
    </row>
    <row r="3290" spans="16:18" ht="30.75" customHeight="1" x14ac:dyDescent="0.3">
      <c r="P3290" s="31">
        <f t="shared" si="104"/>
        <v>0</v>
      </c>
      <c r="R3290" s="31">
        <f t="shared" si="105"/>
        <v>0</v>
      </c>
    </row>
    <row r="3291" spans="16:18" ht="30.75" customHeight="1" x14ac:dyDescent="0.3">
      <c r="P3291" s="31">
        <f t="shared" si="104"/>
        <v>0</v>
      </c>
      <c r="R3291" s="31">
        <f t="shared" si="105"/>
        <v>0</v>
      </c>
    </row>
    <row r="3292" spans="16:18" ht="30.75" customHeight="1" x14ac:dyDescent="0.3">
      <c r="P3292" s="31">
        <f t="shared" si="104"/>
        <v>0</v>
      </c>
      <c r="R3292" s="31">
        <f t="shared" si="105"/>
        <v>0</v>
      </c>
    </row>
    <row r="3293" spans="16:18" ht="30.75" customHeight="1" x14ac:dyDescent="0.3">
      <c r="P3293" s="31">
        <f t="shared" si="104"/>
        <v>0</v>
      </c>
      <c r="R3293" s="31">
        <f t="shared" si="105"/>
        <v>0</v>
      </c>
    </row>
    <row r="3294" spans="16:18" ht="30.75" customHeight="1" x14ac:dyDescent="0.3">
      <c r="P3294" s="31">
        <f t="shared" si="104"/>
        <v>0</v>
      </c>
      <c r="R3294" s="31">
        <f t="shared" si="105"/>
        <v>0</v>
      </c>
    </row>
    <row r="3295" spans="16:18" ht="30.75" customHeight="1" x14ac:dyDescent="0.3">
      <c r="P3295" s="31">
        <f t="shared" si="104"/>
        <v>0</v>
      </c>
      <c r="R3295" s="31">
        <f t="shared" si="105"/>
        <v>0</v>
      </c>
    </row>
    <row r="3296" spans="16:18" ht="30.75" customHeight="1" x14ac:dyDescent="0.3">
      <c r="P3296" s="31">
        <f t="shared" si="104"/>
        <v>0</v>
      </c>
      <c r="R3296" s="31">
        <f t="shared" si="105"/>
        <v>0</v>
      </c>
    </row>
    <row r="3297" spans="16:18" ht="30.75" customHeight="1" x14ac:dyDescent="0.3">
      <c r="P3297" s="31">
        <f t="shared" si="104"/>
        <v>0</v>
      </c>
      <c r="R3297" s="31">
        <f t="shared" si="105"/>
        <v>0</v>
      </c>
    </row>
    <row r="3298" spans="16:18" ht="30.75" customHeight="1" x14ac:dyDescent="0.3">
      <c r="P3298" s="31">
        <f t="shared" si="104"/>
        <v>0</v>
      </c>
      <c r="R3298" s="31">
        <f t="shared" si="105"/>
        <v>0</v>
      </c>
    </row>
    <row r="3299" spans="16:18" ht="30.75" customHeight="1" x14ac:dyDescent="0.3">
      <c r="P3299" s="31">
        <f t="shared" si="104"/>
        <v>0</v>
      </c>
      <c r="R3299" s="31">
        <f t="shared" si="105"/>
        <v>0</v>
      </c>
    </row>
    <row r="3300" spans="16:18" ht="30.75" customHeight="1" x14ac:dyDescent="0.3">
      <c r="P3300" s="31">
        <f t="shared" si="104"/>
        <v>0</v>
      </c>
      <c r="R3300" s="31">
        <f t="shared" si="105"/>
        <v>0</v>
      </c>
    </row>
    <row r="3301" spans="16:18" ht="30.75" customHeight="1" x14ac:dyDescent="0.3">
      <c r="P3301" s="31">
        <f t="shared" si="104"/>
        <v>0</v>
      </c>
      <c r="R3301" s="31">
        <f t="shared" si="105"/>
        <v>0</v>
      </c>
    </row>
    <row r="3302" spans="16:18" ht="30.75" customHeight="1" x14ac:dyDescent="0.3">
      <c r="P3302" s="31">
        <f t="shared" si="104"/>
        <v>0</v>
      </c>
      <c r="R3302" s="31">
        <f t="shared" si="105"/>
        <v>0</v>
      </c>
    </row>
    <row r="3303" spans="16:18" ht="30.75" customHeight="1" x14ac:dyDescent="0.3">
      <c r="P3303" s="31">
        <f t="shared" si="104"/>
        <v>0</v>
      </c>
      <c r="R3303" s="31">
        <f t="shared" si="105"/>
        <v>0</v>
      </c>
    </row>
    <row r="3304" spans="16:18" ht="30.75" customHeight="1" x14ac:dyDescent="0.3">
      <c r="P3304" s="31">
        <f t="shared" ref="P3304:P3367" si="106">K3304-L3304-M3304-N3304+O3304</f>
        <v>0</v>
      </c>
      <c r="R3304" s="31">
        <f t="shared" ref="R3304:R3367" si="107">R3303+K3304-L3304-M3304-N3304+O3304-Q3304</f>
        <v>0</v>
      </c>
    </row>
    <row r="3305" spans="16:18" ht="30.75" customHeight="1" x14ac:dyDescent="0.3">
      <c r="P3305" s="31">
        <f t="shared" si="106"/>
        <v>0</v>
      </c>
      <c r="R3305" s="31">
        <f t="shared" si="107"/>
        <v>0</v>
      </c>
    </row>
    <row r="3306" spans="16:18" ht="30.75" customHeight="1" x14ac:dyDescent="0.3">
      <c r="P3306" s="31">
        <f t="shared" si="106"/>
        <v>0</v>
      </c>
      <c r="R3306" s="31">
        <f t="shared" si="107"/>
        <v>0</v>
      </c>
    </row>
    <row r="3307" spans="16:18" ht="30.75" customHeight="1" x14ac:dyDescent="0.3">
      <c r="P3307" s="31">
        <f t="shared" si="106"/>
        <v>0</v>
      </c>
      <c r="R3307" s="31">
        <f t="shared" si="107"/>
        <v>0</v>
      </c>
    </row>
    <row r="3308" spans="16:18" ht="30.75" customHeight="1" x14ac:dyDescent="0.3">
      <c r="P3308" s="31">
        <f t="shared" si="106"/>
        <v>0</v>
      </c>
      <c r="R3308" s="31">
        <f t="shared" si="107"/>
        <v>0</v>
      </c>
    </row>
    <row r="3309" spans="16:18" ht="30.75" customHeight="1" x14ac:dyDescent="0.3">
      <c r="P3309" s="31">
        <f t="shared" si="106"/>
        <v>0</v>
      </c>
      <c r="R3309" s="31">
        <f t="shared" si="107"/>
        <v>0</v>
      </c>
    </row>
    <row r="3310" spans="16:18" ht="30.75" customHeight="1" x14ac:dyDescent="0.3">
      <c r="P3310" s="31">
        <f t="shared" si="106"/>
        <v>0</v>
      </c>
      <c r="R3310" s="31">
        <f t="shared" si="107"/>
        <v>0</v>
      </c>
    </row>
    <row r="3311" spans="16:18" ht="30.75" customHeight="1" x14ac:dyDescent="0.3">
      <c r="P3311" s="31">
        <f t="shared" si="106"/>
        <v>0</v>
      </c>
      <c r="R3311" s="31">
        <f t="shared" si="107"/>
        <v>0</v>
      </c>
    </row>
    <row r="3312" spans="16:18" ht="30.75" customHeight="1" x14ac:dyDescent="0.3">
      <c r="P3312" s="31">
        <f t="shared" si="106"/>
        <v>0</v>
      </c>
      <c r="R3312" s="31">
        <f t="shared" si="107"/>
        <v>0</v>
      </c>
    </row>
    <row r="3313" spans="16:18" ht="30.75" customHeight="1" x14ac:dyDescent="0.3">
      <c r="P3313" s="31">
        <f t="shared" si="106"/>
        <v>0</v>
      </c>
      <c r="R3313" s="31">
        <f t="shared" si="107"/>
        <v>0</v>
      </c>
    </row>
    <row r="3314" spans="16:18" ht="30.75" customHeight="1" x14ac:dyDescent="0.3">
      <c r="P3314" s="31">
        <f t="shared" si="106"/>
        <v>0</v>
      </c>
      <c r="R3314" s="31">
        <f t="shared" si="107"/>
        <v>0</v>
      </c>
    </row>
    <row r="3315" spans="16:18" ht="30.75" customHeight="1" x14ac:dyDescent="0.3">
      <c r="P3315" s="31">
        <f t="shared" si="106"/>
        <v>0</v>
      </c>
      <c r="R3315" s="31">
        <f t="shared" si="107"/>
        <v>0</v>
      </c>
    </row>
    <row r="3316" spans="16:18" ht="30.75" customHeight="1" x14ac:dyDescent="0.3">
      <c r="P3316" s="31">
        <f t="shared" si="106"/>
        <v>0</v>
      </c>
      <c r="R3316" s="31">
        <f t="shared" si="107"/>
        <v>0</v>
      </c>
    </row>
    <row r="3317" spans="16:18" ht="30.75" customHeight="1" x14ac:dyDescent="0.3">
      <c r="P3317" s="31">
        <f t="shared" si="106"/>
        <v>0</v>
      </c>
      <c r="R3317" s="31">
        <f t="shared" si="107"/>
        <v>0</v>
      </c>
    </row>
    <row r="3318" spans="16:18" ht="30.75" customHeight="1" x14ac:dyDescent="0.3">
      <c r="P3318" s="31">
        <f t="shared" si="106"/>
        <v>0</v>
      </c>
      <c r="R3318" s="31">
        <f t="shared" si="107"/>
        <v>0</v>
      </c>
    </row>
    <row r="3319" spans="16:18" ht="30.75" customHeight="1" x14ac:dyDescent="0.3">
      <c r="P3319" s="31">
        <f t="shared" si="106"/>
        <v>0</v>
      </c>
      <c r="R3319" s="31">
        <f t="shared" si="107"/>
        <v>0</v>
      </c>
    </row>
    <row r="3320" spans="16:18" ht="30.75" customHeight="1" x14ac:dyDescent="0.3">
      <c r="P3320" s="31">
        <f t="shared" si="106"/>
        <v>0</v>
      </c>
      <c r="R3320" s="31">
        <f t="shared" si="107"/>
        <v>0</v>
      </c>
    </row>
    <row r="3321" spans="16:18" ht="30.75" customHeight="1" x14ac:dyDescent="0.3">
      <c r="P3321" s="31">
        <f t="shared" si="106"/>
        <v>0</v>
      </c>
      <c r="R3321" s="31">
        <f t="shared" si="107"/>
        <v>0</v>
      </c>
    </row>
    <row r="3322" spans="16:18" ht="30.75" customHeight="1" x14ac:dyDescent="0.3">
      <c r="P3322" s="31">
        <f t="shared" si="106"/>
        <v>0</v>
      </c>
      <c r="R3322" s="31">
        <f t="shared" si="107"/>
        <v>0</v>
      </c>
    </row>
    <row r="3323" spans="16:18" ht="30.75" customHeight="1" x14ac:dyDescent="0.3">
      <c r="P3323" s="31">
        <f t="shared" si="106"/>
        <v>0</v>
      </c>
      <c r="R3323" s="31">
        <f t="shared" si="107"/>
        <v>0</v>
      </c>
    </row>
    <row r="3324" spans="16:18" ht="30.75" customHeight="1" x14ac:dyDescent="0.3">
      <c r="P3324" s="31">
        <f t="shared" si="106"/>
        <v>0</v>
      </c>
      <c r="R3324" s="31">
        <f t="shared" si="107"/>
        <v>0</v>
      </c>
    </row>
    <row r="3325" spans="16:18" ht="30.75" customHeight="1" x14ac:dyDescent="0.3">
      <c r="P3325" s="31">
        <f t="shared" si="106"/>
        <v>0</v>
      </c>
      <c r="R3325" s="31">
        <f t="shared" si="107"/>
        <v>0</v>
      </c>
    </row>
    <row r="3326" spans="16:18" ht="30.75" customHeight="1" x14ac:dyDescent="0.3">
      <c r="P3326" s="31">
        <f t="shared" si="106"/>
        <v>0</v>
      </c>
      <c r="R3326" s="31">
        <f t="shared" si="107"/>
        <v>0</v>
      </c>
    </row>
    <row r="3327" spans="16:18" ht="30.75" customHeight="1" x14ac:dyDescent="0.3">
      <c r="P3327" s="31">
        <f t="shared" si="106"/>
        <v>0</v>
      </c>
      <c r="R3327" s="31">
        <f t="shared" si="107"/>
        <v>0</v>
      </c>
    </row>
    <row r="3328" spans="16:18" ht="30.75" customHeight="1" x14ac:dyDescent="0.3">
      <c r="P3328" s="31">
        <f t="shared" si="106"/>
        <v>0</v>
      </c>
      <c r="R3328" s="31">
        <f t="shared" si="107"/>
        <v>0</v>
      </c>
    </row>
    <row r="3329" spans="16:18" ht="30.75" customHeight="1" x14ac:dyDescent="0.3">
      <c r="P3329" s="31">
        <f t="shared" si="106"/>
        <v>0</v>
      </c>
      <c r="R3329" s="31">
        <f t="shared" si="107"/>
        <v>0</v>
      </c>
    </row>
    <row r="3330" spans="16:18" ht="30.75" customHeight="1" x14ac:dyDescent="0.3">
      <c r="P3330" s="31">
        <f t="shared" si="106"/>
        <v>0</v>
      </c>
      <c r="R3330" s="31">
        <f t="shared" si="107"/>
        <v>0</v>
      </c>
    </row>
    <row r="3331" spans="16:18" ht="30.75" customHeight="1" x14ac:dyDescent="0.3">
      <c r="P3331" s="31">
        <f t="shared" si="106"/>
        <v>0</v>
      </c>
      <c r="R3331" s="31">
        <f t="shared" si="107"/>
        <v>0</v>
      </c>
    </row>
    <row r="3332" spans="16:18" ht="30.75" customHeight="1" x14ac:dyDescent="0.3">
      <c r="P3332" s="31">
        <f t="shared" si="106"/>
        <v>0</v>
      </c>
      <c r="R3332" s="31">
        <f t="shared" si="107"/>
        <v>0</v>
      </c>
    </row>
    <row r="3333" spans="16:18" ht="30.75" customHeight="1" x14ac:dyDescent="0.3">
      <c r="P3333" s="31">
        <f t="shared" si="106"/>
        <v>0</v>
      </c>
      <c r="R3333" s="31">
        <f t="shared" si="107"/>
        <v>0</v>
      </c>
    </row>
    <row r="3334" spans="16:18" ht="30.75" customHeight="1" x14ac:dyDescent="0.3">
      <c r="P3334" s="31">
        <f t="shared" si="106"/>
        <v>0</v>
      </c>
      <c r="R3334" s="31">
        <f t="shared" si="107"/>
        <v>0</v>
      </c>
    </row>
    <row r="3335" spans="16:18" ht="30.75" customHeight="1" x14ac:dyDescent="0.3">
      <c r="P3335" s="31">
        <f t="shared" si="106"/>
        <v>0</v>
      </c>
      <c r="R3335" s="31">
        <f t="shared" si="107"/>
        <v>0</v>
      </c>
    </row>
    <row r="3336" spans="16:18" ht="30.75" customHeight="1" x14ac:dyDescent="0.3">
      <c r="P3336" s="31">
        <f t="shared" si="106"/>
        <v>0</v>
      </c>
      <c r="R3336" s="31">
        <f t="shared" si="107"/>
        <v>0</v>
      </c>
    </row>
    <row r="3337" spans="16:18" ht="30.75" customHeight="1" x14ac:dyDescent="0.3">
      <c r="P3337" s="31">
        <f t="shared" si="106"/>
        <v>0</v>
      </c>
      <c r="R3337" s="31">
        <f t="shared" si="107"/>
        <v>0</v>
      </c>
    </row>
    <row r="3338" spans="16:18" ht="30.75" customHeight="1" x14ac:dyDescent="0.3">
      <c r="P3338" s="31">
        <f t="shared" si="106"/>
        <v>0</v>
      </c>
      <c r="R3338" s="31">
        <f t="shared" si="107"/>
        <v>0</v>
      </c>
    </row>
    <row r="3339" spans="16:18" ht="30.75" customHeight="1" x14ac:dyDescent="0.3">
      <c r="P3339" s="31">
        <f t="shared" si="106"/>
        <v>0</v>
      </c>
      <c r="R3339" s="31">
        <f t="shared" si="107"/>
        <v>0</v>
      </c>
    </row>
    <row r="3340" spans="16:18" ht="30.75" customHeight="1" x14ac:dyDescent="0.3">
      <c r="P3340" s="31">
        <f t="shared" si="106"/>
        <v>0</v>
      </c>
      <c r="R3340" s="31">
        <f t="shared" si="107"/>
        <v>0</v>
      </c>
    </row>
    <row r="3341" spans="16:18" ht="30.75" customHeight="1" x14ac:dyDescent="0.3">
      <c r="P3341" s="31">
        <f t="shared" si="106"/>
        <v>0</v>
      </c>
      <c r="R3341" s="31">
        <f t="shared" si="107"/>
        <v>0</v>
      </c>
    </row>
    <row r="3342" spans="16:18" ht="30.75" customHeight="1" x14ac:dyDescent="0.3">
      <c r="P3342" s="31">
        <f t="shared" si="106"/>
        <v>0</v>
      </c>
      <c r="R3342" s="31">
        <f t="shared" si="107"/>
        <v>0</v>
      </c>
    </row>
    <row r="3343" spans="16:18" ht="30.75" customHeight="1" x14ac:dyDescent="0.3">
      <c r="P3343" s="31">
        <f t="shared" si="106"/>
        <v>0</v>
      </c>
      <c r="R3343" s="31">
        <f t="shared" si="107"/>
        <v>0</v>
      </c>
    </row>
    <row r="3344" spans="16:18" ht="30.75" customHeight="1" x14ac:dyDescent="0.3">
      <c r="P3344" s="31">
        <f t="shared" si="106"/>
        <v>0</v>
      </c>
      <c r="R3344" s="31">
        <f t="shared" si="107"/>
        <v>0</v>
      </c>
    </row>
    <row r="3345" spans="16:18" ht="30.75" customHeight="1" x14ac:dyDescent="0.3">
      <c r="P3345" s="31">
        <f t="shared" si="106"/>
        <v>0</v>
      </c>
      <c r="R3345" s="31">
        <f t="shared" si="107"/>
        <v>0</v>
      </c>
    </row>
    <row r="3346" spans="16:18" ht="30.75" customHeight="1" x14ac:dyDescent="0.3">
      <c r="P3346" s="31">
        <f t="shared" si="106"/>
        <v>0</v>
      </c>
      <c r="R3346" s="31">
        <f t="shared" si="107"/>
        <v>0</v>
      </c>
    </row>
    <row r="3347" spans="16:18" ht="30.75" customHeight="1" x14ac:dyDescent="0.3">
      <c r="P3347" s="31">
        <f t="shared" si="106"/>
        <v>0</v>
      </c>
      <c r="R3347" s="31">
        <f t="shared" si="107"/>
        <v>0</v>
      </c>
    </row>
    <row r="3348" spans="16:18" ht="30.75" customHeight="1" x14ac:dyDescent="0.3">
      <c r="P3348" s="31">
        <f t="shared" si="106"/>
        <v>0</v>
      </c>
      <c r="R3348" s="31">
        <f t="shared" si="107"/>
        <v>0</v>
      </c>
    </row>
    <row r="3349" spans="16:18" ht="30.75" customHeight="1" x14ac:dyDescent="0.3">
      <c r="P3349" s="31">
        <f t="shared" si="106"/>
        <v>0</v>
      </c>
      <c r="R3349" s="31">
        <f t="shared" si="107"/>
        <v>0</v>
      </c>
    </row>
    <row r="3350" spans="16:18" ht="30.75" customHeight="1" x14ac:dyDescent="0.3">
      <c r="P3350" s="31">
        <f t="shared" si="106"/>
        <v>0</v>
      </c>
      <c r="R3350" s="31">
        <f t="shared" si="107"/>
        <v>0</v>
      </c>
    </row>
    <row r="3351" spans="16:18" ht="30.75" customHeight="1" x14ac:dyDescent="0.3">
      <c r="P3351" s="31">
        <f t="shared" si="106"/>
        <v>0</v>
      </c>
      <c r="R3351" s="31">
        <f t="shared" si="107"/>
        <v>0</v>
      </c>
    </row>
    <row r="3352" spans="16:18" ht="30.75" customHeight="1" x14ac:dyDescent="0.3">
      <c r="P3352" s="31">
        <f t="shared" si="106"/>
        <v>0</v>
      </c>
      <c r="R3352" s="31">
        <f t="shared" si="107"/>
        <v>0</v>
      </c>
    </row>
    <row r="3353" spans="16:18" ht="30.75" customHeight="1" x14ac:dyDescent="0.3">
      <c r="P3353" s="31">
        <f t="shared" si="106"/>
        <v>0</v>
      </c>
      <c r="R3353" s="31">
        <f t="shared" si="107"/>
        <v>0</v>
      </c>
    </row>
    <row r="3354" spans="16:18" ht="30.75" customHeight="1" x14ac:dyDescent="0.3">
      <c r="P3354" s="31">
        <f t="shared" si="106"/>
        <v>0</v>
      </c>
      <c r="R3354" s="31">
        <f t="shared" si="107"/>
        <v>0</v>
      </c>
    </row>
    <row r="3355" spans="16:18" ht="30.75" customHeight="1" x14ac:dyDescent="0.3">
      <c r="P3355" s="31">
        <f t="shared" si="106"/>
        <v>0</v>
      </c>
      <c r="R3355" s="31">
        <f t="shared" si="107"/>
        <v>0</v>
      </c>
    </row>
    <row r="3356" spans="16:18" ht="30.75" customHeight="1" x14ac:dyDescent="0.3">
      <c r="P3356" s="31">
        <f t="shared" si="106"/>
        <v>0</v>
      </c>
      <c r="R3356" s="31">
        <f t="shared" si="107"/>
        <v>0</v>
      </c>
    </row>
    <row r="3357" spans="16:18" ht="30.75" customHeight="1" x14ac:dyDescent="0.3">
      <c r="P3357" s="31">
        <f t="shared" si="106"/>
        <v>0</v>
      </c>
      <c r="R3357" s="31">
        <f t="shared" si="107"/>
        <v>0</v>
      </c>
    </row>
    <row r="3358" spans="16:18" ht="30.75" customHeight="1" x14ac:dyDescent="0.3">
      <c r="P3358" s="31">
        <f t="shared" si="106"/>
        <v>0</v>
      </c>
      <c r="R3358" s="31">
        <f t="shared" si="107"/>
        <v>0</v>
      </c>
    </row>
    <row r="3359" spans="16:18" ht="30.75" customHeight="1" x14ac:dyDescent="0.3">
      <c r="P3359" s="31">
        <f t="shared" si="106"/>
        <v>0</v>
      </c>
      <c r="R3359" s="31">
        <f t="shared" si="107"/>
        <v>0</v>
      </c>
    </row>
    <row r="3360" spans="16:18" ht="30.75" customHeight="1" x14ac:dyDescent="0.3">
      <c r="P3360" s="31">
        <f t="shared" si="106"/>
        <v>0</v>
      </c>
      <c r="R3360" s="31">
        <f t="shared" si="107"/>
        <v>0</v>
      </c>
    </row>
    <row r="3361" spans="16:18" ht="30.75" customHeight="1" x14ac:dyDescent="0.3">
      <c r="P3361" s="31">
        <f t="shared" si="106"/>
        <v>0</v>
      </c>
      <c r="R3361" s="31">
        <f t="shared" si="107"/>
        <v>0</v>
      </c>
    </row>
    <row r="3362" spans="16:18" ht="30.75" customHeight="1" x14ac:dyDescent="0.3">
      <c r="P3362" s="31">
        <f t="shared" si="106"/>
        <v>0</v>
      </c>
      <c r="R3362" s="31">
        <f t="shared" si="107"/>
        <v>0</v>
      </c>
    </row>
    <row r="3363" spans="16:18" ht="30.75" customHeight="1" x14ac:dyDescent="0.3">
      <c r="P3363" s="31">
        <f t="shared" si="106"/>
        <v>0</v>
      </c>
      <c r="R3363" s="31">
        <f t="shared" si="107"/>
        <v>0</v>
      </c>
    </row>
    <row r="3364" spans="16:18" ht="30.75" customHeight="1" x14ac:dyDescent="0.3">
      <c r="P3364" s="31">
        <f t="shared" si="106"/>
        <v>0</v>
      </c>
      <c r="R3364" s="31">
        <f t="shared" si="107"/>
        <v>0</v>
      </c>
    </row>
    <row r="3365" spans="16:18" ht="30.75" customHeight="1" x14ac:dyDescent="0.3">
      <c r="P3365" s="31">
        <f t="shared" si="106"/>
        <v>0</v>
      </c>
      <c r="R3365" s="31">
        <f t="shared" si="107"/>
        <v>0</v>
      </c>
    </row>
    <row r="3366" spans="16:18" ht="30.75" customHeight="1" x14ac:dyDescent="0.3">
      <c r="P3366" s="31">
        <f t="shared" si="106"/>
        <v>0</v>
      </c>
      <c r="R3366" s="31">
        <f t="shared" si="107"/>
        <v>0</v>
      </c>
    </row>
    <row r="3367" spans="16:18" ht="30.75" customHeight="1" x14ac:dyDescent="0.3">
      <c r="P3367" s="31">
        <f t="shared" si="106"/>
        <v>0</v>
      </c>
      <c r="R3367" s="31">
        <f t="shared" si="107"/>
        <v>0</v>
      </c>
    </row>
    <row r="3368" spans="16:18" ht="30.75" customHeight="1" x14ac:dyDescent="0.3">
      <c r="P3368" s="31">
        <f t="shared" ref="P3368:P3431" si="108">K3368-L3368-M3368-N3368+O3368</f>
        <v>0</v>
      </c>
      <c r="R3368" s="31">
        <f t="shared" ref="R3368:R3431" si="109">R3367+K3368-L3368-M3368-N3368+O3368-Q3368</f>
        <v>0</v>
      </c>
    </row>
    <row r="3369" spans="16:18" ht="30.75" customHeight="1" x14ac:dyDescent="0.3">
      <c r="P3369" s="31">
        <f t="shared" si="108"/>
        <v>0</v>
      </c>
      <c r="R3369" s="31">
        <f t="shared" si="109"/>
        <v>0</v>
      </c>
    </row>
    <row r="3370" spans="16:18" ht="30.75" customHeight="1" x14ac:dyDescent="0.3">
      <c r="P3370" s="31">
        <f t="shared" si="108"/>
        <v>0</v>
      </c>
      <c r="R3370" s="31">
        <f t="shared" si="109"/>
        <v>0</v>
      </c>
    </row>
    <row r="3371" spans="16:18" ht="30.75" customHeight="1" x14ac:dyDescent="0.3">
      <c r="P3371" s="31">
        <f t="shared" si="108"/>
        <v>0</v>
      </c>
      <c r="R3371" s="31">
        <f t="shared" si="109"/>
        <v>0</v>
      </c>
    </row>
    <row r="3372" spans="16:18" ht="30.75" customHeight="1" x14ac:dyDescent="0.3">
      <c r="P3372" s="31">
        <f t="shared" si="108"/>
        <v>0</v>
      </c>
      <c r="R3372" s="31">
        <f t="shared" si="109"/>
        <v>0</v>
      </c>
    </row>
    <row r="3373" spans="16:18" ht="30.75" customHeight="1" x14ac:dyDescent="0.3">
      <c r="P3373" s="31">
        <f t="shared" si="108"/>
        <v>0</v>
      </c>
      <c r="R3373" s="31">
        <f t="shared" si="109"/>
        <v>0</v>
      </c>
    </row>
    <row r="3374" spans="16:18" ht="30.75" customHeight="1" x14ac:dyDescent="0.3">
      <c r="P3374" s="31">
        <f t="shared" si="108"/>
        <v>0</v>
      </c>
      <c r="R3374" s="31">
        <f t="shared" si="109"/>
        <v>0</v>
      </c>
    </row>
    <row r="3375" spans="16:18" ht="30.75" customHeight="1" x14ac:dyDescent="0.3">
      <c r="P3375" s="31">
        <f t="shared" si="108"/>
        <v>0</v>
      </c>
      <c r="R3375" s="31">
        <f t="shared" si="109"/>
        <v>0</v>
      </c>
    </row>
    <row r="3376" spans="16:18" ht="30.75" customHeight="1" x14ac:dyDescent="0.3">
      <c r="P3376" s="31">
        <f t="shared" si="108"/>
        <v>0</v>
      </c>
      <c r="R3376" s="31">
        <f t="shared" si="109"/>
        <v>0</v>
      </c>
    </row>
    <row r="3377" spans="16:18" ht="30.75" customHeight="1" x14ac:dyDescent="0.3">
      <c r="P3377" s="31">
        <f t="shared" si="108"/>
        <v>0</v>
      </c>
      <c r="R3377" s="31">
        <f t="shared" si="109"/>
        <v>0</v>
      </c>
    </row>
    <row r="3378" spans="16:18" ht="30.75" customHeight="1" x14ac:dyDescent="0.3">
      <c r="P3378" s="31">
        <f t="shared" si="108"/>
        <v>0</v>
      </c>
      <c r="R3378" s="31">
        <f t="shared" si="109"/>
        <v>0</v>
      </c>
    </row>
    <row r="3379" spans="16:18" ht="30.75" customHeight="1" x14ac:dyDescent="0.3">
      <c r="P3379" s="31">
        <f t="shared" si="108"/>
        <v>0</v>
      </c>
      <c r="R3379" s="31">
        <f t="shared" si="109"/>
        <v>0</v>
      </c>
    </row>
    <row r="3380" spans="16:18" ht="30.75" customHeight="1" x14ac:dyDescent="0.3">
      <c r="P3380" s="31">
        <f t="shared" si="108"/>
        <v>0</v>
      </c>
      <c r="R3380" s="31">
        <f t="shared" si="109"/>
        <v>0</v>
      </c>
    </row>
    <row r="3381" spans="16:18" ht="30.75" customHeight="1" x14ac:dyDescent="0.3">
      <c r="P3381" s="31">
        <f t="shared" si="108"/>
        <v>0</v>
      </c>
      <c r="R3381" s="31">
        <f t="shared" si="109"/>
        <v>0</v>
      </c>
    </row>
    <row r="3382" spans="16:18" ht="30.75" customHeight="1" x14ac:dyDescent="0.3">
      <c r="P3382" s="31">
        <f t="shared" si="108"/>
        <v>0</v>
      </c>
      <c r="R3382" s="31">
        <f t="shared" si="109"/>
        <v>0</v>
      </c>
    </row>
    <row r="3383" spans="16:18" ht="30.75" customHeight="1" x14ac:dyDescent="0.3">
      <c r="P3383" s="31">
        <f t="shared" si="108"/>
        <v>0</v>
      </c>
      <c r="R3383" s="31">
        <f t="shared" si="109"/>
        <v>0</v>
      </c>
    </row>
    <row r="3384" spans="16:18" ht="30.75" customHeight="1" x14ac:dyDescent="0.3">
      <c r="P3384" s="31">
        <f t="shared" si="108"/>
        <v>0</v>
      </c>
      <c r="R3384" s="31">
        <f t="shared" si="109"/>
        <v>0</v>
      </c>
    </row>
    <row r="3385" spans="16:18" ht="30.75" customHeight="1" x14ac:dyDescent="0.3">
      <c r="P3385" s="31">
        <f t="shared" si="108"/>
        <v>0</v>
      </c>
      <c r="R3385" s="31">
        <f t="shared" si="109"/>
        <v>0</v>
      </c>
    </row>
    <row r="3386" spans="16:18" ht="30.75" customHeight="1" x14ac:dyDescent="0.3">
      <c r="P3386" s="31">
        <f t="shared" si="108"/>
        <v>0</v>
      </c>
      <c r="R3386" s="31">
        <f t="shared" si="109"/>
        <v>0</v>
      </c>
    </row>
    <row r="3387" spans="16:18" ht="30.75" customHeight="1" x14ac:dyDescent="0.3">
      <c r="P3387" s="31">
        <f t="shared" si="108"/>
        <v>0</v>
      </c>
      <c r="R3387" s="31">
        <f t="shared" si="109"/>
        <v>0</v>
      </c>
    </row>
    <row r="3388" spans="16:18" ht="30.75" customHeight="1" x14ac:dyDescent="0.3">
      <c r="P3388" s="31">
        <f t="shared" si="108"/>
        <v>0</v>
      </c>
      <c r="R3388" s="31">
        <f t="shared" si="109"/>
        <v>0</v>
      </c>
    </row>
    <row r="3389" spans="16:18" ht="30.75" customHeight="1" x14ac:dyDescent="0.3">
      <c r="P3389" s="31">
        <f t="shared" si="108"/>
        <v>0</v>
      </c>
      <c r="R3389" s="31">
        <f t="shared" si="109"/>
        <v>0</v>
      </c>
    </row>
    <row r="3390" spans="16:18" ht="30.75" customHeight="1" x14ac:dyDescent="0.3">
      <c r="P3390" s="31">
        <f t="shared" si="108"/>
        <v>0</v>
      </c>
      <c r="R3390" s="31">
        <f t="shared" si="109"/>
        <v>0</v>
      </c>
    </row>
    <row r="3391" spans="16:18" ht="30.75" customHeight="1" x14ac:dyDescent="0.3">
      <c r="P3391" s="31">
        <f t="shared" si="108"/>
        <v>0</v>
      </c>
      <c r="R3391" s="31">
        <f t="shared" si="109"/>
        <v>0</v>
      </c>
    </row>
    <row r="3392" spans="16:18" ht="30.75" customHeight="1" x14ac:dyDescent="0.3">
      <c r="P3392" s="31">
        <f t="shared" si="108"/>
        <v>0</v>
      </c>
      <c r="R3392" s="31">
        <f t="shared" si="109"/>
        <v>0</v>
      </c>
    </row>
    <row r="3393" spans="16:18" ht="30.75" customHeight="1" x14ac:dyDescent="0.3">
      <c r="P3393" s="31">
        <f t="shared" si="108"/>
        <v>0</v>
      </c>
      <c r="R3393" s="31">
        <f t="shared" si="109"/>
        <v>0</v>
      </c>
    </row>
    <row r="3394" spans="16:18" ht="30.75" customHeight="1" x14ac:dyDescent="0.3">
      <c r="P3394" s="31">
        <f t="shared" si="108"/>
        <v>0</v>
      </c>
      <c r="R3394" s="31">
        <f t="shared" si="109"/>
        <v>0</v>
      </c>
    </row>
    <row r="3395" spans="16:18" ht="30.75" customHeight="1" x14ac:dyDescent="0.3">
      <c r="P3395" s="31">
        <f t="shared" si="108"/>
        <v>0</v>
      </c>
      <c r="R3395" s="31">
        <f t="shared" si="109"/>
        <v>0</v>
      </c>
    </row>
    <row r="3396" spans="16:18" ht="30.75" customHeight="1" x14ac:dyDescent="0.3">
      <c r="P3396" s="31">
        <f t="shared" si="108"/>
        <v>0</v>
      </c>
      <c r="R3396" s="31">
        <f t="shared" si="109"/>
        <v>0</v>
      </c>
    </row>
    <row r="3397" spans="16:18" ht="30.75" customHeight="1" x14ac:dyDescent="0.3">
      <c r="P3397" s="31">
        <f t="shared" si="108"/>
        <v>0</v>
      </c>
      <c r="R3397" s="31">
        <f t="shared" si="109"/>
        <v>0</v>
      </c>
    </row>
    <row r="3398" spans="16:18" ht="30.75" customHeight="1" x14ac:dyDescent="0.3">
      <c r="P3398" s="31">
        <f t="shared" si="108"/>
        <v>0</v>
      </c>
      <c r="R3398" s="31">
        <f t="shared" si="109"/>
        <v>0</v>
      </c>
    </row>
    <row r="3399" spans="16:18" ht="30.75" customHeight="1" x14ac:dyDescent="0.3">
      <c r="P3399" s="31">
        <f t="shared" si="108"/>
        <v>0</v>
      </c>
      <c r="R3399" s="31">
        <f t="shared" si="109"/>
        <v>0</v>
      </c>
    </row>
    <row r="3400" spans="16:18" ht="30.75" customHeight="1" x14ac:dyDescent="0.3">
      <c r="P3400" s="31">
        <f t="shared" si="108"/>
        <v>0</v>
      </c>
      <c r="R3400" s="31">
        <f t="shared" si="109"/>
        <v>0</v>
      </c>
    </row>
    <row r="3401" spans="16:18" ht="30.75" customHeight="1" x14ac:dyDescent="0.3">
      <c r="P3401" s="31">
        <f t="shared" si="108"/>
        <v>0</v>
      </c>
      <c r="R3401" s="31">
        <f t="shared" si="109"/>
        <v>0</v>
      </c>
    </row>
    <row r="3402" spans="16:18" ht="30.75" customHeight="1" x14ac:dyDescent="0.3">
      <c r="P3402" s="31">
        <f t="shared" si="108"/>
        <v>0</v>
      </c>
      <c r="R3402" s="31">
        <f t="shared" si="109"/>
        <v>0</v>
      </c>
    </row>
    <row r="3403" spans="16:18" ht="30.75" customHeight="1" x14ac:dyDescent="0.3">
      <c r="P3403" s="31">
        <f t="shared" si="108"/>
        <v>0</v>
      </c>
      <c r="R3403" s="31">
        <f t="shared" si="109"/>
        <v>0</v>
      </c>
    </row>
    <row r="3404" spans="16:18" ht="30.75" customHeight="1" x14ac:dyDescent="0.3">
      <c r="P3404" s="31">
        <f t="shared" si="108"/>
        <v>0</v>
      </c>
      <c r="R3404" s="31">
        <f t="shared" si="109"/>
        <v>0</v>
      </c>
    </row>
    <row r="3405" spans="16:18" ht="30.75" customHeight="1" x14ac:dyDescent="0.3">
      <c r="P3405" s="31">
        <f t="shared" si="108"/>
        <v>0</v>
      </c>
      <c r="R3405" s="31">
        <f t="shared" si="109"/>
        <v>0</v>
      </c>
    </row>
    <row r="3406" spans="16:18" ht="30.75" customHeight="1" x14ac:dyDescent="0.3">
      <c r="P3406" s="31">
        <f t="shared" si="108"/>
        <v>0</v>
      </c>
      <c r="R3406" s="31">
        <f t="shared" si="109"/>
        <v>0</v>
      </c>
    </row>
    <row r="3407" spans="16:18" ht="30.75" customHeight="1" x14ac:dyDescent="0.3">
      <c r="P3407" s="31">
        <f t="shared" si="108"/>
        <v>0</v>
      </c>
      <c r="R3407" s="31">
        <f t="shared" si="109"/>
        <v>0</v>
      </c>
    </row>
    <row r="3408" spans="16:18" ht="30.75" customHeight="1" x14ac:dyDescent="0.3">
      <c r="P3408" s="31">
        <f t="shared" si="108"/>
        <v>0</v>
      </c>
      <c r="R3408" s="31">
        <f t="shared" si="109"/>
        <v>0</v>
      </c>
    </row>
    <row r="3409" spans="16:18" ht="30.75" customHeight="1" x14ac:dyDescent="0.3">
      <c r="P3409" s="31">
        <f t="shared" si="108"/>
        <v>0</v>
      </c>
      <c r="R3409" s="31">
        <f t="shared" si="109"/>
        <v>0</v>
      </c>
    </row>
    <row r="3410" spans="16:18" ht="30.75" customHeight="1" x14ac:dyDescent="0.3">
      <c r="P3410" s="31">
        <f t="shared" si="108"/>
        <v>0</v>
      </c>
      <c r="R3410" s="31">
        <f t="shared" si="109"/>
        <v>0</v>
      </c>
    </row>
    <row r="3411" spans="16:18" ht="30.75" customHeight="1" x14ac:dyDescent="0.3">
      <c r="P3411" s="31">
        <f t="shared" si="108"/>
        <v>0</v>
      </c>
      <c r="R3411" s="31">
        <f t="shared" si="109"/>
        <v>0</v>
      </c>
    </row>
    <row r="3412" spans="16:18" ht="30.75" customHeight="1" x14ac:dyDescent="0.3">
      <c r="P3412" s="31">
        <f t="shared" si="108"/>
        <v>0</v>
      </c>
      <c r="R3412" s="31">
        <f t="shared" si="109"/>
        <v>0</v>
      </c>
    </row>
    <row r="3413" spans="16:18" ht="30.75" customHeight="1" x14ac:dyDescent="0.3">
      <c r="P3413" s="31">
        <f t="shared" si="108"/>
        <v>0</v>
      </c>
      <c r="R3413" s="31">
        <f t="shared" si="109"/>
        <v>0</v>
      </c>
    </row>
    <row r="3414" spans="16:18" ht="30.75" customHeight="1" x14ac:dyDescent="0.3">
      <c r="P3414" s="31">
        <f t="shared" si="108"/>
        <v>0</v>
      </c>
      <c r="R3414" s="31">
        <f t="shared" si="109"/>
        <v>0</v>
      </c>
    </row>
    <row r="3415" spans="16:18" ht="30.75" customHeight="1" x14ac:dyDescent="0.3">
      <c r="P3415" s="31">
        <f t="shared" si="108"/>
        <v>0</v>
      </c>
      <c r="R3415" s="31">
        <f t="shared" si="109"/>
        <v>0</v>
      </c>
    </row>
    <row r="3416" spans="16:18" ht="30.75" customHeight="1" x14ac:dyDescent="0.3">
      <c r="P3416" s="31">
        <f t="shared" si="108"/>
        <v>0</v>
      </c>
      <c r="R3416" s="31">
        <f t="shared" si="109"/>
        <v>0</v>
      </c>
    </row>
    <row r="3417" spans="16:18" ht="30.75" customHeight="1" x14ac:dyDescent="0.3">
      <c r="P3417" s="31">
        <f t="shared" si="108"/>
        <v>0</v>
      </c>
      <c r="R3417" s="31">
        <f t="shared" si="109"/>
        <v>0</v>
      </c>
    </row>
    <row r="3418" spans="16:18" ht="30.75" customHeight="1" x14ac:dyDescent="0.3">
      <c r="P3418" s="31">
        <f t="shared" si="108"/>
        <v>0</v>
      </c>
      <c r="R3418" s="31">
        <f t="shared" si="109"/>
        <v>0</v>
      </c>
    </row>
    <row r="3419" spans="16:18" ht="30.75" customHeight="1" x14ac:dyDescent="0.3">
      <c r="P3419" s="31">
        <f t="shared" si="108"/>
        <v>0</v>
      </c>
      <c r="R3419" s="31">
        <f t="shared" si="109"/>
        <v>0</v>
      </c>
    </row>
    <row r="3420" spans="16:18" ht="30.75" customHeight="1" x14ac:dyDescent="0.3">
      <c r="P3420" s="31">
        <f t="shared" si="108"/>
        <v>0</v>
      </c>
      <c r="R3420" s="31">
        <f t="shared" si="109"/>
        <v>0</v>
      </c>
    </row>
    <row r="3421" spans="16:18" ht="30.75" customHeight="1" x14ac:dyDescent="0.3">
      <c r="P3421" s="31">
        <f t="shared" si="108"/>
        <v>0</v>
      </c>
      <c r="R3421" s="31">
        <f t="shared" si="109"/>
        <v>0</v>
      </c>
    </row>
    <row r="3422" spans="16:18" ht="30.75" customHeight="1" x14ac:dyDescent="0.3">
      <c r="P3422" s="31">
        <f t="shared" si="108"/>
        <v>0</v>
      </c>
      <c r="R3422" s="31">
        <f t="shared" si="109"/>
        <v>0</v>
      </c>
    </row>
    <row r="3423" spans="16:18" ht="30.75" customHeight="1" x14ac:dyDescent="0.3">
      <c r="P3423" s="31">
        <f t="shared" si="108"/>
        <v>0</v>
      </c>
      <c r="R3423" s="31">
        <f t="shared" si="109"/>
        <v>0</v>
      </c>
    </row>
    <row r="3424" spans="16:18" ht="30.75" customHeight="1" x14ac:dyDescent="0.3">
      <c r="P3424" s="31">
        <f t="shared" si="108"/>
        <v>0</v>
      </c>
      <c r="R3424" s="31">
        <f t="shared" si="109"/>
        <v>0</v>
      </c>
    </row>
    <row r="3425" spans="16:18" ht="30.75" customHeight="1" x14ac:dyDescent="0.3">
      <c r="P3425" s="31">
        <f t="shared" si="108"/>
        <v>0</v>
      </c>
      <c r="R3425" s="31">
        <f t="shared" si="109"/>
        <v>0</v>
      </c>
    </row>
    <row r="3426" spans="16:18" ht="30.75" customHeight="1" x14ac:dyDescent="0.3">
      <c r="P3426" s="31">
        <f t="shared" si="108"/>
        <v>0</v>
      </c>
      <c r="R3426" s="31">
        <f t="shared" si="109"/>
        <v>0</v>
      </c>
    </row>
    <row r="3427" spans="16:18" ht="30.75" customHeight="1" x14ac:dyDescent="0.3">
      <c r="P3427" s="31">
        <f t="shared" si="108"/>
        <v>0</v>
      </c>
      <c r="R3427" s="31">
        <f t="shared" si="109"/>
        <v>0</v>
      </c>
    </row>
    <row r="3428" spans="16:18" ht="30.75" customHeight="1" x14ac:dyDescent="0.3">
      <c r="P3428" s="31">
        <f t="shared" si="108"/>
        <v>0</v>
      </c>
      <c r="R3428" s="31">
        <f t="shared" si="109"/>
        <v>0</v>
      </c>
    </row>
    <row r="3429" spans="16:18" ht="30.75" customHeight="1" x14ac:dyDescent="0.3">
      <c r="P3429" s="31">
        <f t="shared" si="108"/>
        <v>0</v>
      </c>
      <c r="R3429" s="31">
        <f t="shared" si="109"/>
        <v>0</v>
      </c>
    </row>
    <row r="3430" spans="16:18" ht="30.75" customHeight="1" x14ac:dyDescent="0.3">
      <c r="P3430" s="31">
        <f t="shared" si="108"/>
        <v>0</v>
      </c>
      <c r="R3430" s="31">
        <f t="shared" si="109"/>
        <v>0</v>
      </c>
    </row>
    <row r="3431" spans="16:18" ht="30.75" customHeight="1" x14ac:dyDescent="0.3">
      <c r="P3431" s="31">
        <f t="shared" si="108"/>
        <v>0</v>
      </c>
      <c r="R3431" s="31">
        <f t="shared" si="109"/>
        <v>0</v>
      </c>
    </row>
    <row r="3432" spans="16:18" ht="30.75" customHeight="1" x14ac:dyDescent="0.3">
      <c r="P3432" s="31">
        <f t="shared" ref="P3432:P3495" si="110">K3432-L3432-M3432-N3432+O3432</f>
        <v>0</v>
      </c>
      <c r="R3432" s="31">
        <f t="shared" ref="R3432:R3495" si="111">R3431+K3432-L3432-M3432-N3432+O3432-Q3432</f>
        <v>0</v>
      </c>
    </row>
    <row r="3433" spans="16:18" ht="30.75" customHeight="1" x14ac:dyDescent="0.3">
      <c r="P3433" s="31">
        <f t="shared" si="110"/>
        <v>0</v>
      </c>
      <c r="R3433" s="31">
        <f t="shared" si="111"/>
        <v>0</v>
      </c>
    </row>
    <row r="3434" spans="16:18" ht="30.75" customHeight="1" x14ac:dyDescent="0.3">
      <c r="P3434" s="31">
        <f t="shared" si="110"/>
        <v>0</v>
      </c>
      <c r="R3434" s="31">
        <f t="shared" si="111"/>
        <v>0</v>
      </c>
    </row>
    <row r="3435" spans="16:18" ht="30.75" customHeight="1" x14ac:dyDescent="0.3">
      <c r="P3435" s="31">
        <f t="shared" si="110"/>
        <v>0</v>
      </c>
      <c r="R3435" s="31">
        <f t="shared" si="111"/>
        <v>0</v>
      </c>
    </row>
    <row r="3436" spans="16:18" ht="30.75" customHeight="1" x14ac:dyDescent="0.3">
      <c r="P3436" s="31">
        <f t="shared" si="110"/>
        <v>0</v>
      </c>
      <c r="R3436" s="31">
        <f t="shared" si="111"/>
        <v>0</v>
      </c>
    </row>
    <row r="3437" spans="16:18" ht="30.75" customHeight="1" x14ac:dyDescent="0.3">
      <c r="P3437" s="31">
        <f t="shared" si="110"/>
        <v>0</v>
      </c>
      <c r="R3437" s="31">
        <f t="shared" si="111"/>
        <v>0</v>
      </c>
    </row>
    <row r="3438" spans="16:18" ht="30.75" customHeight="1" x14ac:dyDescent="0.3">
      <c r="P3438" s="31">
        <f t="shared" si="110"/>
        <v>0</v>
      </c>
      <c r="R3438" s="31">
        <f t="shared" si="111"/>
        <v>0</v>
      </c>
    </row>
    <row r="3439" spans="16:18" ht="30.75" customHeight="1" x14ac:dyDescent="0.3">
      <c r="P3439" s="31">
        <f t="shared" si="110"/>
        <v>0</v>
      </c>
      <c r="R3439" s="31">
        <f t="shared" si="111"/>
        <v>0</v>
      </c>
    </row>
    <row r="3440" spans="16:18" ht="30.75" customHeight="1" x14ac:dyDescent="0.3">
      <c r="P3440" s="31">
        <f t="shared" si="110"/>
        <v>0</v>
      </c>
      <c r="R3440" s="31">
        <f t="shared" si="111"/>
        <v>0</v>
      </c>
    </row>
    <row r="3441" spans="16:18" ht="30.75" customHeight="1" x14ac:dyDescent="0.3">
      <c r="P3441" s="31">
        <f t="shared" si="110"/>
        <v>0</v>
      </c>
      <c r="R3441" s="31">
        <f t="shared" si="111"/>
        <v>0</v>
      </c>
    </row>
    <row r="3442" spans="16:18" ht="30.75" customHeight="1" x14ac:dyDescent="0.3">
      <c r="P3442" s="31">
        <f t="shared" si="110"/>
        <v>0</v>
      </c>
      <c r="R3442" s="31">
        <f t="shared" si="111"/>
        <v>0</v>
      </c>
    </row>
    <row r="3443" spans="16:18" ht="30.75" customHeight="1" x14ac:dyDescent="0.3">
      <c r="P3443" s="31">
        <f t="shared" si="110"/>
        <v>0</v>
      </c>
      <c r="R3443" s="31">
        <f t="shared" si="111"/>
        <v>0</v>
      </c>
    </row>
    <row r="3444" spans="16:18" ht="30.75" customHeight="1" x14ac:dyDescent="0.3">
      <c r="P3444" s="31">
        <f t="shared" si="110"/>
        <v>0</v>
      </c>
      <c r="R3444" s="31">
        <f t="shared" si="111"/>
        <v>0</v>
      </c>
    </row>
    <row r="3445" spans="16:18" ht="30.75" customHeight="1" x14ac:dyDescent="0.3">
      <c r="P3445" s="31">
        <f t="shared" si="110"/>
        <v>0</v>
      </c>
      <c r="R3445" s="31">
        <f t="shared" si="111"/>
        <v>0</v>
      </c>
    </row>
    <row r="3446" spans="16:18" ht="30.75" customHeight="1" x14ac:dyDescent="0.3">
      <c r="P3446" s="31">
        <f t="shared" si="110"/>
        <v>0</v>
      </c>
      <c r="R3446" s="31">
        <f t="shared" si="111"/>
        <v>0</v>
      </c>
    </row>
    <row r="3447" spans="16:18" ht="30.75" customHeight="1" x14ac:dyDescent="0.3">
      <c r="P3447" s="31">
        <f t="shared" si="110"/>
        <v>0</v>
      </c>
      <c r="R3447" s="31">
        <f t="shared" si="111"/>
        <v>0</v>
      </c>
    </row>
    <row r="3448" spans="16:18" ht="30.75" customHeight="1" x14ac:dyDescent="0.3">
      <c r="P3448" s="31">
        <f t="shared" si="110"/>
        <v>0</v>
      </c>
      <c r="R3448" s="31">
        <f t="shared" si="111"/>
        <v>0</v>
      </c>
    </row>
    <row r="3449" spans="16:18" ht="30.75" customHeight="1" x14ac:dyDescent="0.3">
      <c r="P3449" s="31">
        <f t="shared" si="110"/>
        <v>0</v>
      </c>
      <c r="R3449" s="31">
        <f t="shared" si="111"/>
        <v>0</v>
      </c>
    </row>
    <row r="3450" spans="16:18" ht="30.75" customHeight="1" x14ac:dyDescent="0.3">
      <c r="P3450" s="31">
        <f t="shared" si="110"/>
        <v>0</v>
      </c>
      <c r="R3450" s="31">
        <f t="shared" si="111"/>
        <v>0</v>
      </c>
    </row>
    <row r="3451" spans="16:18" ht="30.75" customHeight="1" x14ac:dyDescent="0.3">
      <c r="P3451" s="31">
        <f t="shared" si="110"/>
        <v>0</v>
      </c>
      <c r="R3451" s="31">
        <f t="shared" si="111"/>
        <v>0</v>
      </c>
    </row>
    <row r="3452" spans="16:18" ht="30.75" customHeight="1" x14ac:dyDescent="0.3">
      <c r="P3452" s="31">
        <f t="shared" si="110"/>
        <v>0</v>
      </c>
      <c r="R3452" s="31">
        <f t="shared" si="111"/>
        <v>0</v>
      </c>
    </row>
    <row r="3453" spans="16:18" ht="30.75" customHeight="1" x14ac:dyDescent="0.3">
      <c r="P3453" s="31">
        <f t="shared" si="110"/>
        <v>0</v>
      </c>
      <c r="R3453" s="31">
        <f t="shared" si="111"/>
        <v>0</v>
      </c>
    </row>
    <row r="3454" spans="16:18" ht="30.75" customHeight="1" x14ac:dyDescent="0.3">
      <c r="P3454" s="31">
        <f t="shared" si="110"/>
        <v>0</v>
      </c>
      <c r="R3454" s="31">
        <f t="shared" si="111"/>
        <v>0</v>
      </c>
    </row>
    <row r="3455" spans="16:18" ht="30.75" customHeight="1" x14ac:dyDescent="0.3">
      <c r="P3455" s="31">
        <f t="shared" si="110"/>
        <v>0</v>
      </c>
      <c r="R3455" s="31">
        <f t="shared" si="111"/>
        <v>0</v>
      </c>
    </row>
    <row r="3456" spans="16:18" ht="30.75" customHeight="1" x14ac:dyDescent="0.3">
      <c r="P3456" s="31">
        <f t="shared" si="110"/>
        <v>0</v>
      </c>
      <c r="R3456" s="31">
        <f t="shared" si="111"/>
        <v>0</v>
      </c>
    </row>
    <row r="3457" spans="16:18" ht="30.75" customHeight="1" x14ac:dyDescent="0.3">
      <c r="P3457" s="31">
        <f t="shared" si="110"/>
        <v>0</v>
      </c>
      <c r="R3457" s="31">
        <f t="shared" si="111"/>
        <v>0</v>
      </c>
    </row>
    <row r="3458" spans="16:18" ht="30.75" customHeight="1" x14ac:dyDescent="0.3">
      <c r="P3458" s="31">
        <f t="shared" si="110"/>
        <v>0</v>
      </c>
      <c r="R3458" s="31">
        <f t="shared" si="111"/>
        <v>0</v>
      </c>
    </row>
    <row r="3459" spans="16:18" ht="30.75" customHeight="1" x14ac:dyDescent="0.3">
      <c r="P3459" s="31">
        <f t="shared" si="110"/>
        <v>0</v>
      </c>
      <c r="R3459" s="31">
        <f t="shared" si="111"/>
        <v>0</v>
      </c>
    </row>
    <row r="3460" spans="16:18" ht="30.75" customHeight="1" x14ac:dyDescent="0.3">
      <c r="P3460" s="31">
        <f t="shared" si="110"/>
        <v>0</v>
      </c>
      <c r="R3460" s="31">
        <f t="shared" si="111"/>
        <v>0</v>
      </c>
    </row>
    <row r="3461" spans="16:18" ht="30.75" customHeight="1" x14ac:dyDescent="0.3">
      <c r="P3461" s="31">
        <f t="shared" si="110"/>
        <v>0</v>
      </c>
      <c r="R3461" s="31">
        <f t="shared" si="111"/>
        <v>0</v>
      </c>
    </row>
    <row r="3462" spans="16:18" ht="30.75" customHeight="1" x14ac:dyDescent="0.3">
      <c r="P3462" s="31">
        <f t="shared" si="110"/>
        <v>0</v>
      </c>
      <c r="R3462" s="31">
        <f t="shared" si="111"/>
        <v>0</v>
      </c>
    </row>
    <row r="3463" spans="16:18" ht="30.75" customHeight="1" x14ac:dyDescent="0.3">
      <c r="P3463" s="31">
        <f t="shared" si="110"/>
        <v>0</v>
      </c>
      <c r="R3463" s="31">
        <f t="shared" si="111"/>
        <v>0</v>
      </c>
    </row>
    <row r="3464" spans="16:18" ht="30.75" customHeight="1" x14ac:dyDescent="0.3">
      <c r="P3464" s="31">
        <f t="shared" si="110"/>
        <v>0</v>
      </c>
      <c r="R3464" s="31">
        <f t="shared" si="111"/>
        <v>0</v>
      </c>
    </row>
    <row r="3465" spans="16:18" ht="30.75" customHeight="1" x14ac:dyDescent="0.3">
      <c r="P3465" s="31">
        <f t="shared" si="110"/>
        <v>0</v>
      </c>
      <c r="R3465" s="31">
        <f t="shared" si="111"/>
        <v>0</v>
      </c>
    </row>
    <row r="3466" spans="16:18" ht="30.75" customHeight="1" x14ac:dyDescent="0.3">
      <c r="P3466" s="31">
        <f t="shared" si="110"/>
        <v>0</v>
      </c>
      <c r="R3466" s="31">
        <f t="shared" si="111"/>
        <v>0</v>
      </c>
    </row>
    <row r="3467" spans="16:18" ht="30.75" customHeight="1" x14ac:dyDescent="0.3">
      <c r="P3467" s="31">
        <f t="shared" si="110"/>
        <v>0</v>
      </c>
      <c r="R3467" s="31">
        <f t="shared" si="111"/>
        <v>0</v>
      </c>
    </row>
    <row r="3468" spans="16:18" ht="30.75" customHeight="1" x14ac:dyDescent="0.3">
      <c r="P3468" s="31">
        <f t="shared" si="110"/>
        <v>0</v>
      </c>
      <c r="R3468" s="31">
        <f t="shared" si="111"/>
        <v>0</v>
      </c>
    </row>
    <row r="3469" spans="16:18" ht="30.75" customHeight="1" x14ac:dyDescent="0.3">
      <c r="P3469" s="31">
        <f t="shared" si="110"/>
        <v>0</v>
      </c>
      <c r="R3469" s="31">
        <f t="shared" si="111"/>
        <v>0</v>
      </c>
    </row>
    <row r="3470" spans="16:18" ht="30.75" customHeight="1" x14ac:dyDescent="0.3">
      <c r="P3470" s="31">
        <f t="shared" si="110"/>
        <v>0</v>
      </c>
      <c r="R3470" s="31">
        <f t="shared" si="111"/>
        <v>0</v>
      </c>
    </row>
    <row r="3471" spans="16:18" ht="30.75" customHeight="1" x14ac:dyDescent="0.3">
      <c r="P3471" s="31">
        <f t="shared" si="110"/>
        <v>0</v>
      </c>
      <c r="R3471" s="31">
        <f t="shared" si="111"/>
        <v>0</v>
      </c>
    </row>
    <row r="3472" spans="16:18" ht="30.75" customHeight="1" x14ac:dyDescent="0.3">
      <c r="P3472" s="31">
        <f t="shared" si="110"/>
        <v>0</v>
      </c>
      <c r="R3472" s="31">
        <f t="shared" si="111"/>
        <v>0</v>
      </c>
    </row>
    <row r="3473" spans="16:18" ht="30.75" customHeight="1" x14ac:dyDescent="0.3">
      <c r="P3473" s="31">
        <f t="shared" si="110"/>
        <v>0</v>
      </c>
      <c r="R3473" s="31">
        <f t="shared" si="111"/>
        <v>0</v>
      </c>
    </row>
    <row r="3474" spans="16:18" ht="30.75" customHeight="1" x14ac:dyDescent="0.3">
      <c r="P3474" s="31">
        <f t="shared" si="110"/>
        <v>0</v>
      </c>
      <c r="R3474" s="31">
        <f t="shared" si="111"/>
        <v>0</v>
      </c>
    </row>
    <row r="3475" spans="16:18" ht="30.75" customHeight="1" x14ac:dyDescent="0.3">
      <c r="P3475" s="31">
        <f t="shared" si="110"/>
        <v>0</v>
      </c>
      <c r="R3475" s="31">
        <f t="shared" si="111"/>
        <v>0</v>
      </c>
    </row>
    <row r="3476" spans="16:18" ht="30.75" customHeight="1" x14ac:dyDescent="0.3">
      <c r="P3476" s="31">
        <f t="shared" si="110"/>
        <v>0</v>
      </c>
      <c r="R3476" s="31">
        <f t="shared" si="111"/>
        <v>0</v>
      </c>
    </row>
    <row r="3477" spans="16:18" ht="30.75" customHeight="1" x14ac:dyDescent="0.3">
      <c r="P3477" s="31">
        <f t="shared" si="110"/>
        <v>0</v>
      </c>
      <c r="R3477" s="31">
        <f t="shared" si="111"/>
        <v>0</v>
      </c>
    </row>
    <row r="3478" spans="16:18" ht="30.75" customHeight="1" x14ac:dyDescent="0.3">
      <c r="P3478" s="31">
        <f t="shared" si="110"/>
        <v>0</v>
      </c>
      <c r="R3478" s="31">
        <f t="shared" si="111"/>
        <v>0</v>
      </c>
    </row>
    <row r="3479" spans="16:18" ht="30.75" customHeight="1" x14ac:dyDescent="0.3">
      <c r="P3479" s="31">
        <f t="shared" si="110"/>
        <v>0</v>
      </c>
      <c r="R3479" s="31">
        <f t="shared" si="111"/>
        <v>0</v>
      </c>
    </row>
    <row r="3480" spans="16:18" ht="30.75" customHeight="1" x14ac:dyDescent="0.3">
      <c r="P3480" s="31">
        <f t="shared" si="110"/>
        <v>0</v>
      </c>
      <c r="R3480" s="31">
        <f t="shared" si="111"/>
        <v>0</v>
      </c>
    </row>
    <row r="3481" spans="16:18" ht="30.75" customHeight="1" x14ac:dyDescent="0.3">
      <c r="P3481" s="31">
        <f t="shared" si="110"/>
        <v>0</v>
      </c>
      <c r="R3481" s="31">
        <f t="shared" si="111"/>
        <v>0</v>
      </c>
    </row>
    <row r="3482" spans="16:18" ht="30.75" customHeight="1" x14ac:dyDescent="0.3">
      <c r="P3482" s="31">
        <f t="shared" si="110"/>
        <v>0</v>
      </c>
      <c r="R3482" s="31">
        <f t="shared" si="111"/>
        <v>0</v>
      </c>
    </row>
    <row r="3483" spans="16:18" ht="30.75" customHeight="1" x14ac:dyDescent="0.3">
      <c r="P3483" s="31">
        <f t="shared" si="110"/>
        <v>0</v>
      </c>
      <c r="R3483" s="31">
        <f t="shared" si="111"/>
        <v>0</v>
      </c>
    </row>
    <row r="3484" spans="16:18" ht="30.75" customHeight="1" x14ac:dyDescent="0.3">
      <c r="P3484" s="31">
        <f t="shared" si="110"/>
        <v>0</v>
      </c>
      <c r="R3484" s="31">
        <f t="shared" si="111"/>
        <v>0</v>
      </c>
    </row>
    <row r="3485" spans="16:18" ht="30.75" customHeight="1" x14ac:dyDescent="0.3">
      <c r="P3485" s="31">
        <f t="shared" si="110"/>
        <v>0</v>
      </c>
      <c r="R3485" s="31">
        <f t="shared" si="111"/>
        <v>0</v>
      </c>
    </row>
    <row r="3486" spans="16:18" ht="30.75" customHeight="1" x14ac:dyDescent="0.3">
      <c r="P3486" s="31">
        <f t="shared" si="110"/>
        <v>0</v>
      </c>
      <c r="R3486" s="31">
        <f t="shared" si="111"/>
        <v>0</v>
      </c>
    </row>
    <row r="3487" spans="16:18" ht="30.75" customHeight="1" x14ac:dyDescent="0.3">
      <c r="P3487" s="31">
        <f t="shared" si="110"/>
        <v>0</v>
      </c>
      <c r="R3487" s="31">
        <f t="shared" si="111"/>
        <v>0</v>
      </c>
    </row>
    <row r="3488" spans="16:18" ht="30.75" customHeight="1" x14ac:dyDescent="0.3">
      <c r="P3488" s="31">
        <f t="shared" si="110"/>
        <v>0</v>
      </c>
      <c r="R3488" s="31">
        <f t="shared" si="111"/>
        <v>0</v>
      </c>
    </row>
    <row r="3489" spans="16:18" ht="30.75" customHeight="1" x14ac:dyDescent="0.3">
      <c r="P3489" s="31">
        <f t="shared" si="110"/>
        <v>0</v>
      </c>
      <c r="R3489" s="31">
        <f t="shared" si="111"/>
        <v>0</v>
      </c>
    </row>
    <row r="3490" spans="16:18" ht="30.75" customHeight="1" x14ac:dyDescent="0.3">
      <c r="P3490" s="31">
        <f t="shared" si="110"/>
        <v>0</v>
      </c>
      <c r="R3490" s="31">
        <f t="shared" si="111"/>
        <v>0</v>
      </c>
    </row>
    <row r="3491" spans="16:18" ht="30.75" customHeight="1" x14ac:dyDescent="0.3">
      <c r="P3491" s="31">
        <f t="shared" si="110"/>
        <v>0</v>
      </c>
      <c r="R3491" s="31">
        <f t="shared" si="111"/>
        <v>0</v>
      </c>
    </row>
    <row r="3492" spans="16:18" ht="30.75" customHeight="1" x14ac:dyDescent="0.3">
      <c r="P3492" s="31">
        <f t="shared" si="110"/>
        <v>0</v>
      </c>
      <c r="R3492" s="31">
        <f t="shared" si="111"/>
        <v>0</v>
      </c>
    </row>
    <row r="3493" spans="16:18" ht="30.75" customHeight="1" x14ac:dyDescent="0.3">
      <c r="P3493" s="31">
        <f t="shared" si="110"/>
        <v>0</v>
      </c>
      <c r="R3493" s="31">
        <f t="shared" si="111"/>
        <v>0</v>
      </c>
    </row>
    <row r="3494" spans="16:18" ht="30.75" customHeight="1" x14ac:dyDescent="0.3">
      <c r="P3494" s="31">
        <f t="shared" si="110"/>
        <v>0</v>
      </c>
      <c r="R3494" s="31">
        <f t="shared" si="111"/>
        <v>0</v>
      </c>
    </row>
    <row r="3495" spans="16:18" ht="30.75" customHeight="1" x14ac:dyDescent="0.3">
      <c r="P3495" s="31">
        <f t="shared" si="110"/>
        <v>0</v>
      </c>
      <c r="R3495" s="31">
        <f t="shared" si="111"/>
        <v>0</v>
      </c>
    </row>
    <row r="3496" spans="16:18" ht="30.75" customHeight="1" x14ac:dyDescent="0.3">
      <c r="P3496" s="31">
        <f t="shared" ref="P3496:P3559" si="112">K3496-L3496-M3496-N3496+O3496</f>
        <v>0</v>
      </c>
      <c r="R3496" s="31">
        <f t="shared" ref="R3496:R3559" si="113">R3495+K3496-L3496-M3496-N3496+O3496-Q3496</f>
        <v>0</v>
      </c>
    </row>
    <row r="3497" spans="16:18" ht="30.75" customHeight="1" x14ac:dyDescent="0.3">
      <c r="P3497" s="31">
        <f t="shared" si="112"/>
        <v>0</v>
      </c>
      <c r="R3497" s="31">
        <f t="shared" si="113"/>
        <v>0</v>
      </c>
    </row>
    <row r="3498" spans="16:18" ht="30.75" customHeight="1" x14ac:dyDescent="0.3">
      <c r="P3498" s="31">
        <f t="shared" si="112"/>
        <v>0</v>
      </c>
      <c r="R3498" s="31">
        <f t="shared" si="113"/>
        <v>0</v>
      </c>
    </row>
    <row r="3499" spans="16:18" ht="30.75" customHeight="1" x14ac:dyDescent="0.3">
      <c r="P3499" s="31">
        <f t="shared" si="112"/>
        <v>0</v>
      </c>
      <c r="R3499" s="31">
        <f t="shared" si="113"/>
        <v>0</v>
      </c>
    </row>
    <row r="3500" spans="16:18" ht="30.75" customHeight="1" x14ac:dyDescent="0.3">
      <c r="P3500" s="31">
        <f t="shared" si="112"/>
        <v>0</v>
      </c>
      <c r="R3500" s="31">
        <f t="shared" si="113"/>
        <v>0</v>
      </c>
    </row>
    <row r="3501" spans="16:18" ht="30.75" customHeight="1" x14ac:dyDescent="0.3">
      <c r="P3501" s="31">
        <f t="shared" si="112"/>
        <v>0</v>
      </c>
      <c r="R3501" s="31">
        <f t="shared" si="113"/>
        <v>0</v>
      </c>
    </row>
    <row r="3502" spans="16:18" ht="30.75" customHeight="1" x14ac:dyDescent="0.3">
      <c r="P3502" s="31">
        <f t="shared" si="112"/>
        <v>0</v>
      </c>
      <c r="R3502" s="31">
        <f t="shared" si="113"/>
        <v>0</v>
      </c>
    </row>
    <row r="3503" spans="16:18" ht="30.75" customHeight="1" x14ac:dyDescent="0.3">
      <c r="P3503" s="31">
        <f t="shared" si="112"/>
        <v>0</v>
      </c>
      <c r="R3503" s="31">
        <f t="shared" si="113"/>
        <v>0</v>
      </c>
    </row>
    <row r="3504" spans="16:18" ht="30.75" customHeight="1" x14ac:dyDescent="0.3">
      <c r="P3504" s="31">
        <f t="shared" si="112"/>
        <v>0</v>
      </c>
      <c r="R3504" s="31">
        <f t="shared" si="113"/>
        <v>0</v>
      </c>
    </row>
    <row r="3505" spans="16:18" ht="30.75" customHeight="1" x14ac:dyDescent="0.3">
      <c r="P3505" s="31">
        <f t="shared" si="112"/>
        <v>0</v>
      </c>
      <c r="R3505" s="31">
        <f t="shared" si="113"/>
        <v>0</v>
      </c>
    </row>
    <row r="3506" spans="16:18" ht="30.75" customHeight="1" x14ac:dyDescent="0.3">
      <c r="P3506" s="31">
        <f t="shared" si="112"/>
        <v>0</v>
      </c>
      <c r="R3506" s="31">
        <f t="shared" si="113"/>
        <v>0</v>
      </c>
    </row>
    <row r="3507" spans="16:18" ht="30.75" customHeight="1" x14ac:dyDescent="0.3">
      <c r="P3507" s="31">
        <f t="shared" si="112"/>
        <v>0</v>
      </c>
      <c r="R3507" s="31">
        <f t="shared" si="113"/>
        <v>0</v>
      </c>
    </row>
    <row r="3508" spans="16:18" ht="30.75" customHeight="1" x14ac:dyDescent="0.3">
      <c r="P3508" s="31">
        <f t="shared" si="112"/>
        <v>0</v>
      </c>
      <c r="R3508" s="31">
        <f t="shared" si="113"/>
        <v>0</v>
      </c>
    </row>
    <row r="3509" spans="16:18" ht="30.75" customHeight="1" x14ac:dyDescent="0.3">
      <c r="P3509" s="31">
        <f t="shared" si="112"/>
        <v>0</v>
      </c>
      <c r="R3509" s="31">
        <f t="shared" si="113"/>
        <v>0</v>
      </c>
    </row>
    <row r="3510" spans="16:18" ht="30.75" customHeight="1" x14ac:dyDescent="0.3">
      <c r="P3510" s="31">
        <f t="shared" si="112"/>
        <v>0</v>
      </c>
      <c r="R3510" s="31">
        <f t="shared" si="113"/>
        <v>0</v>
      </c>
    </row>
    <row r="3511" spans="16:18" ht="30.75" customHeight="1" x14ac:dyDescent="0.3">
      <c r="P3511" s="31">
        <f t="shared" si="112"/>
        <v>0</v>
      </c>
      <c r="R3511" s="31">
        <f t="shared" si="113"/>
        <v>0</v>
      </c>
    </row>
    <row r="3512" spans="16:18" ht="30.75" customHeight="1" x14ac:dyDescent="0.3">
      <c r="P3512" s="31">
        <f t="shared" si="112"/>
        <v>0</v>
      </c>
      <c r="R3512" s="31">
        <f t="shared" si="113"/>
        <v>0</v>
      </c>
    </row>
    <row r="3513" spans="16:18" ht="30.75" customHeight="1" x14ac:dyDescent="0.3">
      <c r="P3513" s="31">
        <f t="shared" si="112"/>
        <v>0</v>
      </c>
      <c r="R3513" s="31">
        <f t="shared" si="113"/>
        <v>0</v>
      </c>
    </row>
    <row r="3514" spans="16:18" ht="30.75" customHeight="1" x14ac:dyDescent="0.3">
      <c r="P3514" s="31">
        <f t="shared" si="112"/>
        <v>0</v>
      </c>
      <c r="R3514" s="31">
        <f t="shared" si="113"/>
        <v>0</v>
      </c>
    </row>
    <row r="3515" spans="16:18" ht="30.75" customHeight="1" x14ac:dyDescent="0.3">
      <c r="P3515" s="31">
        <f t="shared" si="112"/>
        <v>0</v>
      </c>
      <c r="R3515" s="31">
        <f t="shared" si="113"/>
        <v>0</v>
      </c>
    </row>
    <row r="3516" spans="16:18" ht="30.75" customHeight="1" x14ac:dyDescent="0.3">
      <c r="P3516" s="31">
        <f t="shared" si="112"/>
        <v>0</v>
      </c>
      <c r="R3516" s="31">
        <f t="shared" si="113"/>
        <v>0</v>
      </c>
    </row>
    <row r="3517" spans="16:18" ht="30.75" customHeight="1" x14ac:dyDescent="0.3">
      <c r="P3517" s="31">
        <f t="shared" si="112"/>
        <v>0</v>
      </c>
      <c r="R3517" s="31">
        <f t="shared" si="113"/>
        <v>0</v>
      </c>
    </row>
    <row r="3518" spans="16:18" ht="30.75" customHeight="1" x14ac:dyDescent="0.3">
      <c r="P3518" s="31">
        <f t="shared" si="112"/>
        <v>0</v>
      </c>
      <c r="R3518" s="31">
        <f t="shared" si="113"/>
        <v>0</v>
      </c>
    </row>
    <row r="3519" spans="16:18" ht="30.75" customHeight="1" x14ac:dyDescent="0.3">
      <c r="P3519" s="31">
        <f t="shared" si="112"/>
        <v>0</v>
      </c>
      <c r="R3519" s="31">
        <f t="shared" si="113"/>
        <v>0</v>
      </c>
    </row>
    <row r="3520" spans="16:18" ht="30.75" customHeight="1" x14ac:dyDescent="0.3">
      <c r="P3520" s="31">
        <f t="shared" si="112"/>
        <v>0</v>
      </c>
      <c r="R3520" s="31">
        <f t="shared" si="113"/>
        <v>0</v>
      </c>
    </row>
    <row r="3521" spans="16:18" ht="30.75" customHeight="1" x14ac:dyDescent="0.3">
      <c r="P3521" s="31">
        <f t="shared" si="112"/>
        <v>0</v>
      </c>
      <c r="R3521" s="31">
        <f t="shared" si="113"/>
        <v>0</v>
      </c>
    </row>
    <row r="3522" spans="16:18" ht="30.75" customHeight="1" x14ac:dyDescent="0.3">
      <c r="P3522" s="31">
        <f t="shared" si="112"/>
        <v>0</v>
      </c>
      <c r="R3522" s="31">
        <f t="shared" si="113"/>
        <v>0</v>
      </c>
    </row>
    <row r="3523" spans="16:18" ht="30.75" customHeight="1" x14ac:dyDescent="0.3">
      <c r="P3523" s="31">
        <f t="shared" si="112"/>
        <v>0</v>
      </c>
      <c r="R3523" s="31">
        <f t="shared" si="113"/>
        <v>0</v>
      </c>
    </row>
    <row r="3524" spans="16:18" ht="30.75" customHeight="1" x14ac:dyDescent="0.3">
      <c r="P3524" s="31">
        <f t="shared" si="112"/>
        <v>0</v>
      </c>
      <c r="R3524" s="31">
        <f t="shared" si="113"/>
        <v>0</v>
      </c>
    </row>
    <row r="3525" spans="16:18" ht="30.75" customHeight="1" x14ac:dyDescent="0.3">
      <c r="P3525" s="31">
        <f t="shared" si="112"/>
        <v>0</v>
      </c>
      <c r="R3525" s="31">
        <f t="shared" si="113"/>
        <v>0</v>
      </c>
    </row>
    <row r="3526" spans="16:18" ht="30.75" customHeight="1" x14ac:dyDescent="0.3">
      <c r="P3526" s="31">
        <f t="shared" si="112"/>
        <v>0</v>
      </c>
      <c r="R3526" s="31">
        <f t="shared" si="113"/>
        <v>0</v>
      </c>
    </row>
    <row r="3527" spans="16:18" ht="30.75" customHeight="1" x14ac:dyDescent="0.3">
      <c r="P3527" s="31">
        <f t="shared" si="112"/>
        <v>0</v>
      </c>
      <c r="R3527" s="31">
        <f t="shared" si="113"/>
        <v>0</v>
      </c>
    </row>
    <row r="3528" spans="16:18" ht="30.75" customHeight="1" x14ac:dyDescent="0.3">
      <c r="P3528" s="31">
        <f t="shared" si="112"/>
        <v>0</v>
      </c>
      <c r="R3528" s="31">
        <f t="shared" si="113"/>
        <v>0</v>
      </c>
    </row>
    <row r="3529" spans="16:18" ht="30.75" customHeight="1" x14ac:dyDescent="0.3">
      <c r="P3529" s="31">
        <f t="shared" si="112"/>
        <v>0</v>
      </c>
      <c r="R3529" s="31">
        <f t="shared" si="113"/>
        <v>0</v>
      </c>
    </row>
    <row r="3530" spans="16:18" ht="30.75" customHeight="1" x14ac:dyDescent="0.3">
      <c r="P3530" s="31">
        <f t="shared" si="112"/>
        <v>0</v>
      </c>
      <c r="R3530" s="31">
        <f t="shared" si="113"/>
        <v>0</v>
      </c>
    </row>
    <row r="3531" spans="16:18" ht="30.75" customHeight="1" x14ac:dyDescent="0.3">
      <c r="P3531" s="31">
        <f t="shared" si="112"/>
        <v>0</v>
      </c>
      <c r="R3531" s="31">
        <f t="shared" si="113"/>
        <v>0</v>
      </c>
    </row>
    <row r="3532" spans="16:18" ht="30.75" customHeight="1" x14ac:dyDescent="0.3">
      <c r="P3532" s="31">
        <f t="shared" si="112"/>
        <v>0</v>
      </c>
      <c r="R3532" s="31">
        <f t="shared" si="113"/>
        <v>0</v>
      </c>
    </row>
    <row r="3533" spans="16:18" ht="30.75" customHeight="1" x14ac:dyDescent="0.3">
      <c r="P3533" s="31">
        <f t="shared" si="112"/>
        <v>0</v>
      </c>
      <c r="R3533" s="31">
        <f t="shared" si="113"/>
        <v>0</v>
      </c>
    </row>
    <row r="3534" spans="16:18" ht="30.75" customHeight="1" x14ac:dyDescent="0.3">
      <c r="P3534" s="31">
        <f t="shared" si="112"/>
        <v>0</v>
      </c>
      <c r="R3534" s="31">
        <f t="shared" si="113"/>
        <v>0</v>
      </c>
    </row>
    <row r="3535" spans="16:18" ht="30.75" customHeight="1" x14ac:dyDescent="0.3">
      <c r="P3535" s="31">
        <f t="shared" si="112"/>
        <v>0</v>
      </c>
      <c r="R3535" s="31">
        <f t="shared" si="113"/>
        <v>0</v>
      </c>
    </row>
    <row r="3536" spans="16:18" ht="30.75" customHeight="1" x14ac:dyDescent="0.3">
      <c r="P3536" s="31">
        <f t="shared" si="112"/>
        <v>0</v>
      </c>
      <c r="R3536" s="31">
        <f t="shared" si="113"/>
        <v>0</v>
      </c>
    </row>
    <row r="3537" spans="16:18" ht="30.75" customHeight="1" x14ac:dyDescent="0.3">
      <c r="P3537" s="31">
        <f t="shared" si="112"/>
        <v>0</v>
      </c>
      <c r="R3537" s="31">
        <f t="shared" si="113"/>
        <v>0</v>
      </c>
    </row>
    <row r="3538" spans="16:18" ht="30.75" customHeight="1" x14ac:dyDescent="0.3">
      <c r="P3538" s="31">
        <f t="shared" si="112"/>
        <v>0</v>
      </c>
      <c r="R3538" s="31">
        <f t="shared" si="113"/>
        <v>0</v>
      </c>
    </row>
    <row r="3539" spans="16:18" ht="30.75" customHeight="1" x14ac:dyDescent="0.3">
      <c r="P3539" s="31">
        <f t="shared" si="112"/>
        <v>0</v>
      </c>
      <c r="R3539" s="31">
        <f t="shared" si="113"/>
        <v>0</v>
      </c>
    </row>
    <row r="3540" spans="16:18" ht="30.75" customHeight="1" x14ac:dyDescent="0.3">
      <c r="P3540" s="31">
        <f t="shared" si="112"/>
        <v>0</v>
      </c>
      <c r="R3540" s="31">
        <f t="shared" si="113"/>
        <v>0</v>
      </c>
    </row>
    <row r="3541" spans="16:18" ht="30.75" customHeight="1" x14ac:dyDescent="0.3">
      <c r="P3541" s="31">
        <f t="shared" si="112"/>
        <v>0</v>
      </c>
      <c r="R3541" s="31">
        <f t="shared" si="113"/>
        <v>0</v>
      </c>
    </row>
    <row r="3542" spans="16:18" ht="30.75" customHeight="1" x14ac:dyDescent="0.3">
      <c r="P3542" s="31">
        <f t="shared" si="112"/>
        <v>0</v>
      </c>
      <c r="R3542" s="31">
        <f t="shared" si="113"/>
        <v>0</v>
      </c>
    </row>
    <row r="3543" spans="16:18" ht="30.75" customHeight="1" x14ac:dyDescent="0.3">
      <c r="P3543" s="31">
        <f t="shared" si="112"/>
        <v>0</v>
      </c>
      <c r="R3543" s="31">
        <f t="shared" si="113"/>
        <v>0</v>
      </c>
    </row>
    <row r="3544" spans="16:18" ht="30.75" customHeight="1" x14ac:dyDescent="0.3">
      <c r="P3544" s="31">
        <f t="shared" si="112"/>
        <v>0</v>
      </c>
      <c r="R3544" s="31">
        <f t="shared" si="113"/>
        <v>0</v>
      </c>
    </row>
    <row r="3545" spans="16:18" ht="30.75" customHeight="1" x14ac:dyDescent="0.3">
      <c r="P3545" s="31">
        <f t="shared" si="112"/>
        <v>0</v>
      </c>
      <c r="R3545" s="31">
        <f t="shared" si="113"/>
        <v>0</v>
      </c>
    </row>
    <row r="3546" spans="16:18" ht="30.75" customHeight="1" x14ac:dyDescent="0.3">
      <c r="P3546" s="31">
        <f t="shared" si="112"/>
        <v>0</v>
      </c>
      <c r="R3546" s="31">
        <f t="shared" si="113"/>
        <v>0</v>
      </c>
    </row>
    <row r="3547" spans="16:18" ht="30.75" customHeight="1" x14ac:dyDescent="0.3">
      <c r="P3547" s="31">
        <f t="shared" si="112"/>
        <v>0</v>
      </c>
      <c r="R3547" s="31">
        <f t="shared" si="113"/>
        <v>0</v>
      </c>
    </row>
    <row r="3548" spans="16:18" ht="30.75" customHeight="1" x14ac:dyDescent="0.3">
      <c r="P3548" s="31">
        <f t="shared" si="112"/>
        <v>0</v>
      </c>
      <c r="R3548" s="31">
        <f t="shared" si="113"/>
        <v>0</v>
      </c>
    </row>
    <row r="3549" spans="16:18" ht="30.75" customHeight="1" x14ac:dyDescent="0.3">
      <c r="P3549" s="31">
        <f t="shared" si="112"/>
        <v>0</v>
      </c>
      <c r="R3549" s="31">
        <f t="shared" si="113"/>
        <v>0</v>
      </c>
    </row>
    <row r="3550" spans="16:18" ht="30.75" customHeight="1" x14ac:dyDescent="0.3">
      <c r="P3550" s="31">
        <f t="shared" si="112"/>
        <v>0</v>
      </c>
      <c r="R3550" s="31">
        <f t="shared" si="113"/>
        <v>0</v>
      </c>
    </row>
    <row r="3551" spans="16:18" ht="30.75" customHeight="1" x14ac:dyDescent="0.3">
      <c r="P3551" s="31">
        <f t="shared" si="112"/>
        <v>0</v>
      </c>
      <c r="R3551" s="31">
        <f t="shared" si="113"/>
        <v>0</v>
      </c>
    </row>
    <row r="3552" spans="16:18" ht="30.75" customHeight="1" x14ac:dyDescent="0.3">
      <c r="P3552" s="31">
        <f t="shared" si="112"/>
        <v>0</v>
      </c>
      <c r="R3552" s="31">
        <f t="shared" si="113"/>
        <v>0</v>
      </c>
    </row>
    <row r="3553" spans="16:18" ht="30.75" customHeight="1" x14ac:dyDescent="0.3">
      <c r="P3553" s="31">
        <f t="shared" si="112"/>
        <v>0</v>
      </c>
      <c r="R3553" s="31">
        <f t="shared" si="113"/>
        <v>0</v>
      </c>
    </row>
    <row r="3554" spans="16:18" ht="30.75" customHeight="1" x14ac:dyDescent="0.3">
      <c r="P3554" s="31">
        <f t="shared" si="112"/>
        <v>0</v>
      </c>
      <c r="R3554" s="31">
        <f t="shared" si="113"/>
        <v>0</v>
      </c>
    </row>
    <row r="3555" spans="16:18" ht="30.75" customHeight="1" x14ac:dyDescent="0.3">
      <c r="P3555" s="31">
        <f t="shared" si="112"/>
        <v>0</v>
      </c>
      <c r="R3555" s="31">
        <f t="shared" si="113"/>
        <v>0</v>
      </c>
    </row>
    <row r="3556" spans="16:18" ht="30.75" customHeight="1" x14ac:dyDescent="0.3">
      <c r="P3556" s="31">
        <f t="shared" si="112"/>
        <v>0</v>
      </c>
      <c r="R3556" s="31">
        <f t="shared" si="113"/>
        <v>0</v>
      </c>
    </row>
    <row r="3557" spans="16:18" ht="30.75" customHeight="1" x14ac:dyDescent="0.3">
      <c r="P3557" s="31">
        <f t="shared" si="112"/>
        <v>0</v>
      </c>
      <c r="R3557" s="31">
        <f t="shared" si="113"/>
        <v>0</v>
      </c>
    </row>
    <row r="3558" spans="16:18" ht="30.75" customHeight="1" x14ac:dyDescent="0.3">
      <c r="P3558" s="31">
        <f t="shared" si="112"/>
        <v>0</v>
      </c>
      <c r="R3558" s="31">
        <f t="shared" si="113"/>
        <v>0</v>
      </c>
    </row>
    <row r="3559" spans="16:18" ht="30.75" customHeight="1" x14ac:dyDescent="0.3">
      <c r="P3559" s="31">
        <f t="shared" si="112"/>
        <v>0</v>
      </c>
      <c r="R3559" s="31">
        <f t="shared" si="113"/>
        <v>0</v>
      </c>
    </row>
    <row r="3560" spans="16:18" ht="30.75" customHeight="1" x14ac:dyDescent="0.3">
      <c r="P3560" s="31">
        <f t="shared" ref="P3560:P3623" si="114">K3560-L3560-M3560-N3560+O3560</f>
        <v>0</v>
      </c>
      <c r="R3560" s="31">
        <f t="shared" ref="R3560:R3623" si="115">R3559+K3560-L3560-M3560-N3560+O3560-Q3560</f>
        <v>0</v>
      </c>
    </row>
    <row r="3561" spans="16:18" ht="30.75" customHeight="1" x14ac:dyDescent="0.3">
      <c r="P3561" s="31">
        <f t="shared" si="114"/>
        <v>0</v>
      </c>
      <c r="R3561" s="31">
        <f t="shared" si="115"/>
        <v>0</v>
      </c>
    </row>
    <row r="3562" spans="16:18" ht="30.75" customHeight="1" x14ac:dyDescent="0.3">
      <c r="P3562" s="31">
        <f t="shared" si="114"/>
        <v>0</v>
      </c>
      <c r="R3562" s="31">
        <f t="shared" si="115"/>
        <v>0</v>
      </c>
    </row>
    <row r="3563" spans="16:18" ht="30.75" customHeight="1" x14ac:dyDescent="0.3">
      <c r="P3563" s="31">
        <f t="shared" si="114"/>
        <v>0</v>
      </c>
      <c r="R3563" s="31">
        <f t="shared" si="115"/>
        <v>0</v>
      </c>
    </row>
    <row r="3564" spans="16:18" ht="30.75" customHeight="1" x14ac:dyDescent="0.3">
      <c r="P3564" s="31">
        <f t="shared" si="114"/>
        <v>0</v>
      </c>
      <c r="R3564" s="31">
        <f t="shared" si="115"/>
        <v>0</v>
      </c>
    </row>
    <row r="3565" spans="16:18" ht="30.75" customHeight="1" x14ac:dyDescent="0.3">
      <c r="P3565" s="31">
        <f t="shared" si="114"/>
        <v>0</v>
      </c>
      <c r="R3565" s="31">
        <f t="shared" si="115"/>
        <v>0</v>
      </c>
    </row>
    <row r="3566" spans="16:18" ht="30.75" customHeight="1" x14ac:dyDescent="0.3">
      <c r="P3566" s="31">
        <f t="shared" si="114"/>
        <v>0</v>
      </c>
      <c r="R3566" s="31">
        <f t="shared" si="115"/>
        <v>0</v>
      </c>
    </row>
    <row r="3567" spans="16:18" ht="30.75" customHeight="1" x14ac:dyDescent="0.3">
      <c r="P3567" s="31">
        <f t="shared" si="114"/>
        <v>0</v>
      </c>
      <c r="R3567" s="31">
        <f t="shared" si="115"/>
        <v>0</v>
      </c>
    </row>
    <row r="3568" spans="16:18" ht="30.75" customHeight="1" x14ac:dyDescent="0.3">
      <c r="P3568" s="31">
        <f t="shared" si="114"/>
        <v>0</v>
      </c>
      <c r="R3568" s="31">
        <f t="shared" si="115"/>
        <v>0</v>
      </c>
    </row>
    <row r="3569" spans="16:18" ht="30.75" customHeight="1" x14ac:dyDescent="0.3">
      <c r="P3569" s="31">
        <f t="shared" si="114"/>
        <v>0</v>
      </c>
      <c r="R3569" s="31">
        <f t="shared" si="115"/>
        <v>0</v>
      </c>
    </row>
    <row r="3570" spans="16:18" ht="30.75" customHeight="1" x14ac:dyDescent="0.3">
      <c r="P3570" s="31">
        <f t="shared" si="114"/>
        <v>0</v>
      </c>
      <c r="R3570" s="31">
        <f t="shared" si="115"/>
        <v>0</v>
      </c>
    </row>
    <row r="3571" spans="16:18" ht="30.75" customHeight="1" x14ac:dyDescent="0.3">
      <c r="P3571" s="31">
        <f t="shared" si="114"/>
        <v>0</v>
      </c>
      <c r="R3571" s="31">
        <f t="shared" si="115"/>
        <v>0</v>
      </c>
    </row>
    <row r="3572" spans="16:18" ht="30.75" customHeight="1" x14ac:dyDescent="0.3">
      <c r="P3572" s="31">
        <f t="shared" si="114"/>
        <v>0</v>
      </c>
      <c r="R3572" s="31">
        <f t="shared" si="115"/>
        <v>0</v>
      </c>
    </row>
    <row r="3573" spans="16:18" ht="30.75" customHeight="1" x14ac:dyDescent="0.3">
      <c r="P3573" s="31">
        <f t="shared" si="114"/>
        <v>0</v>
      </c>
      <c r="R3573" s="31">
        <f t="shared" si="115"/>
        <v>0</v>
      </c>
    </row>
    <row r="3574" spans="16:18" ht="30.75" customHeight="1" x14ac:dyDescent="0.3">
      <c r="P3574" s="31">
        <f t="shared" si="114"/>
        <v>0</v>
      </c>
      <c r="R3574" s="31">
        <f t="shared" si="115"/>
        <v>0</v>
      </c>
    </row>
    <row r="3575" spans="16:18" ht="30.75" customHeight="1" x14ac:dyDescent="0.3">
      <c r="P3575" s="31">
        <f t="shared" si="114"/>
        <v>0</v>
      </c>
      <c r="R3575" s="31">
        <f t="shared" si="115"/>
        <v>0</v>
      </c>
    </row>
    <row r="3576" spans="16:18" ht="30.75" customHeight="1" x14ac:dyDescent="0.3">
      <c r="P3576" s="31">
        <f t="shared" si="114"/>
        <v>0</v>
      </c>
      <c r="R3576" s="31">
        <f t="shared" si="115"/>
        <v>0</v>
      </c>
    </row>
    <row r="3577" spans="16:18" ht="30.75" customHeight="1" x14ac:dyDescent="0.3">
      <c r="P3577" s="31">
        <f t="shared" si="114"/>
        <v>0</v>
      </c>
      <c r="R3577" s="31">
        <f t="shared" si="115"/>
        <v>0</v>
      </c>
    </row>
    <row r="3578" spans="16:18" ht="30.75" customHeight="1" x14ac:dyDescent="0.3">
      <c r="P3578" s="31">
        <f t="shared" si="114"/>
        <v>0</v>
      </c>
      <c r="R3578" s="31">
        <f t="shared" si="115"/>
        <v>0</v>
      </c>
    </row>
    <row r="3579" spans="16:18" ht="30.75" customHeight="1" x14ac:dyDescent="0.3">
      <c r="P3579" s="31">
        <f t="shared" si="114"/>
        <v>0</v>
      </c>
      <c r="R3579" s="31">
        <f t="shared" si="115"/>
        <v>0</v>
      </c>
    </row>
    <row r="3580" spans="16:18" ht="30.75" customHeight="1" x14ac:dyDescent="0.3">
      <c r="P3580" s="31">
        <f t="shared" si="114"/>
        <v>0</v>
      </c>
      <c r="R3580" s="31">
        <f t="shared" si="115"/>
        <v>0</v>
      </c>
    </row>
    <row r="3581" spans="16:18" ht="30.75" customHeight="1" x14ac:dyDescent="0.3">
      <c r="P3581" s="31">
        <f t="shared" si="114"/>
        <v>0</v>
      </c>
      <c r="R3581" s="31">
        <f t="shared" si="115"/>
        <v>0</v>
      </c>
    </row>
    <row r="3582" spans="16:18" ht="30.75" customHeight="1" x14ac:dyDescent="0.3">
      <c r="P3582" s="31">
        <f t="shared" si="114"/>
        <v>0</v>
      </c>
      <c r="R3582" s="31">
        <f t="shared" si="115"/>
        <v>0</v>
      </c>
    </row>
    <row r="3583" spans="16:18" ht="30.75" customHeight="1" x14ac:dyDescent="0.3">
      <c r="P3583" s="31">
        <f t="shared" si="114"/>
        <v>0</v>
      </c>
      <c r="R3583" s="31">
        <f t="shared" si="115"/>
        <v>0</v>
      </c>
    </row>
    <row r="3584" spans="16:18" ht="30.75" customHeight="1" x14ac:dyDescent="0.3">
      <c r="P3584" s="31">
        <f t="shared" si="114"/>
        <v>0</v>
      </c>
      <c r="R3584" s="31">
        <f t="shared" si="115"/>
        <v>0</v>
      </c>
    </row>
    <row r="3585" spans="16:18" ht="30.75" customHeight="1" x14ac:dyDescent="0.3">
      <c r="P3585" s="31">
        <f t="shared" si="114"/>
        <v>0</v>
      </c>
      <c r="R3585" s="31">
        <f t="shared" si="115"/>
        <v>0</v>
      </c>
    </row>
    <row r="3586" spans="16:18" ht="30.75" customHeight="1" x14ac:dyDescent="0.3">
      <c r="P3586" s="31">
        <f t="shared" si="114"/>
        <v>0</v>
      </c>
      <c r="R3586" s="31">
        <f t="shared" si="115"/>
        <v>0</v>
      </c>
    </row>
    <row r="3587" spans="16:18" ht="30.75" customHeight="1" x14ac:dyDescent="0.3">
      <c r="P3587" s="31">
        <f t="shared" si="114"/>
        <v>0</v>
      </c>
      <c r="R3587" s="31">
        <f t="shared" si="115"/>
        <v>0</v>
      </c>
    </row>
    <row r="3588" spans="16:18" ht="30.75" customHeight="1" x14ac:dyDescent="0.3">
      <c r="P3588" s="31">
        <f t="shared" si="114"/>
        <v>0</v>
      </c>
      <c r="R3588" s="31">
        <f t="shared" si="115"/>
        <v>0</v>
      </c>
    </row>
    <row r="3589" spans="16:18" ht="30.75" customHeight="1" x14ac:dyDescent="0.3">
      <c r="P3589" s="31">
        <f t="shared" si="114"/>
        <v>0</v>
      </c>
      <c r="R3589" s="31">
        <f t="shared" si="115"/>
        <v>0</v>
      </c>
    </row>
    <row r="3590" spans="16:18" ht="30.75" customHeight="1" x14ac:dyDescent="0.3">
      <c r="P3590" s="31">
        <f t="shared" si="114"/>
        <v>0</v>
      </c>
      <c r="R3590" s="31">
        <f t="shared" si="115"/>
        <v>0</v>
      </c>
    </row>
    <row r="3591" spans="16:18" ht="30.75" customHeight="1" x14ac:dyDescent="0.3">
      <c r="P3591" s="31">
        <f t="shared" si="114"/>
        <v>0</v>
      </c>
      <c r="R3591" s="31">
        <f t="shared" si="115"/>
        <v>0</v>
      </c>
    </row>
    <row r="3592" spans="16:18" ht="30.75" customHeight="1" x14ac:dyDescent="0.3">
      <c r="P3592" s="31">
        <f t="shared" si="114"/>
        <v>0</v>
      </c>
      <c r="R3592" s="31">
        <f t="shared" si="115"/>
        <v>0</v>
      </c>
    </row>
    <row r="3593" spans="16:18" ht="30.75" customHeight="1" x14ac:dyDescent="0.3">
      <c r="P3593" s="31">
        <f t="shared" si="114"/>
        <v>0</v>
      </c>
      <c r="R3593" s="31">
        <f t="shared" si="115"/>
        <v>0</v>
      </c>
    </row>
    <row r="3594" spans="16:18" ht="30.75" customHeight="1" x14ac:dyDescent="0.3">
      <c r="P3594" s="31">
        <f t="shared" si="114"/>
        <v>0</v>
      </c>
      <c r="R3594" s="31">
        <f t="shared" si="115"/>
        <v>0</v>
      </c>
    </row>
    <row r="3595" spans="16:18" ht="30.75" customHeight="1" x14ac:dyDescent="0.3">
      <c r="P3595" s="31">
        <f t="shared" si="114"/>
        <v>0</v>
      </c>
      <c r="R3595" s="31">
        <f t="shared" si="115"/>
        <v>0</v>
      </c>
    </row>
    <row r="3596" spans="16:18" ht="30.75" customHeight="1" x14ac:dyDescent="0.3">
      <c r="P3596" s="31">
        <f t="shared" si="114"/>
        <v>0</v>
      </c>
      <c r="R3596" s="31">
        <f t="shared" si="115"/>
        <v>0</v>
      </c>
    </row>
    <row r="3597" spans="16:18" ht="30.75" customHeight="1" x14ac:dyDescent="0.3">
      <c r="P3597" s="31">
        <f t="shared" si="114"/>
        <v>0</v>
      </c>
      <c r="R3597" s="31">
        <f t="shared" si="115"/>
        <v>0</v>
      </c>
    </row>
    <row r="3598" spans="16:18" ht="30.75" customHeight="1" x14ac:dyDescent="0.3">
      <c r="P3598" s="31">
        <f t="shared" si="114"/>
        <v>0</v>
      </c>
      <c r="R3598" s="31">
        <f t="shared" si="115"/>
        <v>0</v>
      </c>
    </row>
    <row r="3599" spans="16:18" ht="30.75" customHeight="1" x14ac:dyDescent="0.3">
      <c r="P3599" s="31">
        <f t="shared" si="114"/>
        <v>0</v>
      </c>
      <c r="R3599" s="31">
        <f t="shared" si="115"/>
        <v>0</v>
      </c>
    </row>
    <row r="3600" spans="16:18" ht="30.75" customHeight="1" x14ac:dyDescent="0.3">
      <c r="P3600" s="31">
        <f t="shared" si="114"/>
        <v>0</v>
      </c>
      <c r="R3600" s="31">
        <f t="shared" si="115"/>
        <v>0</v>
      </c>
    </row>
    <row r="3601" spans="16:18" ht="30.75" customHeight="1" x14ac:dyDescent="0.3">
      <c r="P3601" s="31">
        <f t="shared" si="114"/>
        <v>0</v>
      </c>
      <c r="R3601" s="31">
        <f t="shared" si="115"/>
        <v>0</v>
      </c>
    </row>
    <row r="3602" spans="16:18" ht="30.75" customHeight="1" x14ac:dyDescent="0.3">
      <c r="P3602" s="31">
        <f t="shared" si="114"/>
        <v>0</v>
      </c>
      <c r="R3602" s="31">
        <f t="shared" si="115"/>
        <v>0</v>
      </c>
    </row>
    <row r="3603" spans="16:18" ht="30.75" customHeight="1" x14ac:dyDescent="0.3">
      <c r="P3603" s="31">
        <f t="shared" si="114"/>
        <v>0</v>
      </c>
      <c r="R3603" s="31">
        <f t="shared" si="115"/>
        <v>0</v>
      </c>
    </row>
    <row r="3604" spans="16:18" ht="30.75" customHeight="1" x14ac:dyDescent="0.3">
      <c r="P3604" s="31">
        <f t="shared" si="114"/>
        <v>0</v>
      </c>
      <c r="R3604" s="31">
        <f t="shared" si="115"/>
        <v>0</v>
      </c>
    </row>
    <row r="3605" spans="16:18" ht="30.75" customHeight="1" x14ac:dyDescent="0.3">
      <c r="P3605" s="31">
        <f t="shared" si="114"/>
        <v>0</v>
      </c>
      <c r="R3605" s="31">
        <f t="shared" si="115"/>
        <v>0</v>
      </c>
    </row>
    <row r="3606" spans="16:18" ht="30.75" customHeight="1" x14ac:dyDescent="0.3">
      <c r="P3606" s="31">
        <f t="shared" si="114"/>
        <v>0</v>
      </c>
      <c r="R3606" s="31">
        <f t="shared" si="115"/>
        <v>0</v>
      </c>
    </row>
    <row r="3607" spans="16:18" ht="30.75" customHeight="1" x14ac:dyDescent="0.3">
      <c r="P3607" s="31">
        <f t="shared" si="114"/>
        <v>0</v>
      </c>
      <c r="R3607" s="31">
        <f t="shared" si="115"/>
        <v>0</v>
      </c>
    </row>
    <row r="3608" spans="16:18" ht="30.75" customHeight="1" x14ac:dyDescent="0.3">
      <c r="P3608" s="31">
        <f t="shared" si="114"/>
        <v>0</v>
      </c>
      <c r="R3608" s="31">
        <f t="shared" si="115"/>
        <v>0</v>
      </c>
    </row>
    <row r="3609" spans="16:18" ht="30.75" customHeight="1" x14ac:dyDescent="0.3">
      <c r="P3609" s="31">
        <f t="shared" si="114"/>
        <v>0</v>
      </c>
      <c r="R3609" s="31">
        <f t="shared" si="115"/>
        <v>0</v>
      </c>
    </row>
    <row r="3610" spans="16:18" ht="30.75" customHeight="1" x14ac:dyDescent="0.3">
      <c r="P3610" s="31">
        <f t="shared" si="114"/>
        <v>0</v>
      </c>
      <c r="R3610" s="31">
        <f t="shared" si="115"/>
        <v>0</v>
      </c>
    </row>
    <row r="3611" spans="16:18" ht="30.75" customHeight="1" x14ac:dyDescent="0.3">
      <c r="P3611" s="31">
        <f t="shared" si="114"/>
        <v>0</v>
      </c>
      <c r="R3611" s="31">
        <f t="shared" si="115"/>
        <v>0</v>
      </c>
    </row>
    <row r="3612" spans="16:18" ht="30.75" customHeight="1" x14ac:dyDescent="0.3">
      <c r="P3612" s="31">
        <f t="shared" si="114"/>
        <v>0</v>
      </c>
      <c r="R3612" s="31">
        <f t="shared" si="115"/>
        <v>0</v>
      </c>
    </row>
    <row r="3613" spans="16:18" ht="30.75" customHeight="1" x14ac:dyDescent="0.3">
      <c r="P3613" s="31">
        <f t="shared" si="114"/>
        <v>0</v>
      </c>
      <c r="R3613" s="31">
        <f t="shared" si="115"/>
        <v>0</v>
      </c>
    </row>
    <row r="3614" spans="16:18" ht="30.75" customHeight="1" x14ac:dyDescent="0.3">
      <c r="P3614" s="31">
        <f t="shared" si="114"/>
        <v>0</v>
      </c>
      <c r="R3614" s="31">
        <f t="shared" si="115"/>
        <v>0</v>
      </c>
    </row>
    <row r="3615" spans="16:18" ht="30.75" customHeight="1" x14ac:dyDescent="0.3">
      <c r="P3615" s="31">
        <f t="shared" si="114"/>
        <v>0</v>
      </c>
      <c r="R3615" s="31">
        <f t="shared" si="115"/>
        <v>0</v>
      </c>
    </row>
    <row r="3616" spans="16:18" ht="30.75" customHeight="1" x14ac:dyDescent="0.3">
      <c r="P3616" s="31">
        <f t="shared" si="114"/>
        <v>0</v>
      </c>
      <c r="R3616" s="31">
        <f t="shared" si="115"/>
        <v>0</v>
      </c>
    </row>
    <row r="3617" spans="16:18" ht="30.75" customHeight="1" x14ac:dyDescent="0.3">
      <c r="P3617" s="31">
        <f t="shared" si="114"/>
        <v>0</v>
      </c>
      <c r="R3617" s="31">
        <f t="shared" si="115"/>
        <v>0</v>
      </c>
    </row>
    <row r="3618" spans="16:18" ht="30.75" customHeight="1" x14ac:dyDescent="0.3">
      <c r="P3618" s="31">
        <f t="shared" si="114"/>
        <v>0</v>
      </c>
      <c r="R3618" s="31">
        <f t="shared" si="115"/>
        <v>0</v>
      </c>
    </row>
    <row r="3619" spans="16:18" ht="30.75" customHeight="1" x14ac:dyDescent="0.3">
      <c r="P3619" s="31">
        <f t="shared" si="114"/>
        <v>0</v>
      </c>
      <c r="R3619" s="31">
        <f t="shared" si="115"/>
        <v>0</v>
      </c>
    </row>
    <row r="3620" spans="16:18" ht="30.75" customHeight="1" x14ac:dyDescent="0.3">
      <c r="P3620" s="31">
        <f t="shared" si="114"/>
        <v>0</v>
      </c>
      <c r="R3620" s="31">
        <f t="shared" si="115"/>
        <v>0</v>
      </c>
    </row>
    <row r="3621" spans="16:18" ht="30.75" customHeight="1" x14ac:dyDescent="0.3">
      <c r="P3621" s="31">
        <f t="shared" si="114"/>
        <v>0</v>
      </c>
      <c r="R3621" s="31">
        <f t="shared" si="115"/>
        <v>0</v>
      </c>
    </row>
    <row r="3622" spans="16:18" ht="30.75" customHeight="1" x14ac:dyDescent="0.3">
      <c r="P3622" s="31">
        <f t="shared" si="114"/>
        <v>0</v>
      </c>
      <c r="R3622" s="31">
        <f t="shared" si="115"/>
        <v>0</v>
      </c>
    </row>
    <row r="3623" spans="16:18" ht="30.75" customHeight="1" x14ac:dyDescent="0.3">
      <c r="P3623" s="31">
        <f t="shared" si="114"/>
        <v>0</v>
      </c>
      <c r="R3623" s="31">
        <f t="shared" si="115"/>
        <v>0</v>
      </c>
    </row>
    <row r="3624" spans="16:18" ht="30.75" customHeight="1" x14ac:dyDescent="0.3">
      <c r="P3624" s="31">
        <f t="shared" ref="P3624:P3687" si="116">K3624-L3624-M3624-N3624+O3624</f>
        <v>0</v>
      </c>
      <c r="R3624" s="31">
        <f t="shared" ref="R3624:R3687" si="117">R3623+K3624-L3624-M3624-N3624+O3624-Q3624</f>
        <v>0</v>
      </c>
    </row>
    <row r="3625" spans="16:18" ht="30.75" customHeight="1" x14ac:dyDescent="0.3">
      <c r="P3625" s="31">
        <f t="shared" si="116"/>
        <v>0</v>
      </c>
      <c r="R3625" s="31">
        <f t="shared" si="117"/>
        <v>0</v>
      </c>
    </row>
    <row r="3626" spans="16:18" ht="30.75" customHeight="1" x14ac:dyDescent="0.3">
      <c r="P3626" s="31">
        <f t="shared" si="116"/>
        <v>0</v>
      </c>
      <c r="R3626" s="31">
        <f t="shared" si="117"/>
        <v>0</v>
      </c>
    </row>
    <row r="3627" spans="16:18" ht="30.75" customHeight="1" x14ac:dyDescent="0.3">
      <c r="P3627" s="31">
        <f t="shared" si="116"/>
        <v>0</v>
      </c>
      <c r="R3627" s="31">
        <f t="shared" si="117"/>
        <v>0</v>
      </c>
    </row>
    <row r="3628" spans="16:18" ht="30.75" customHeight="1" x14ac:dyDescent="0.3">
      <c r="P3628" s="31">
        <f t="shared" si="116"/>
        <v>0</v>
      </c>
      <c r="R3628" s="31">
        <f t="shared" si="117"/>
        <v>0</v>
      </c>
    </row>
    <row r="3629" spans="16:18" ht="30.75" customHeight="1" x14ac:dyDescent="0.3">
      <c r="P3629" s="31">
        <f t="shared" si="116"/>
        <v>0</v>
      </c>
      <c r="R3629" s="31">
        <f t="shared" si="117"/>
        <v>0</v>
      </c>
    </row>
    <row r="3630" spans="16:18" ht="30.75" customHeight="1" x14ac:dyDescent="0.3">
      <c r="P3630" s="31">
        <f t="shared" si="116"/>
        <v>0</v>
      </c>
      <c r="R3630" s="31">
        <f t="shared" si="117"/>
        <v>0</v>
      </c>
    </row>
    <row r="3631" spans="16:18" ht="30.75" customHeight="1" x14ac:dyDescent="0.3">
      <c r="P3631" s="31">
        <f t="shared" si="116"/>
        <v>0</v>
      </c>
      <c r="R3631" s="31">
        <f t="shared" si="117"/>
        <v>0</v>
      </c>
    </row>
    <row r="3632" spans="16:18" ht="30.75" customHeight="1" x14ac:dyDescent="0.3">
      <c r="P3632" s="31">
        <f t="shared" si="116"/>
        <v>0</v>
      </c>
      <c r="R3632" s="31">
        <f t="shared" si="117"/>
        <v>0</v>
      </c>
    </row>
    <row r="3633" spans="16:18" ht="30.75" customHeight="1" x14ac:dyDescent="0.3">
      <c r="P3633" s="31">
        <f t="shared" si="116"/>
        <v>0</v>
      </c>
      <c r="R3633" s="31">
        <f t="shared" si="117"/>
        <v>0</v>
      </c>
    </row>
    <row r="3634" spans="16:18" ht="30.75" customHeight="1" x14ac:dyDescent="0.3">
      <c r="P3634" s="31">
        <f t="shared" si="116"/>
        <v>0</v>
      </c>
      <c r="R3634" s="31">
        <f t="shared" si="117"/>
        <v>0</v>
      </c>
    </row>
    <row r="3635" spans="16:18" ht="30.75" customHeight="1" x14ac:dyDescent="0.3">
      <c r="P3635" s="31">
        <f t="shared" si="116"/>
        <v>0</v>
      </c>
      <c r="R3635" s="31">
        <f t="shared" si="117"/>
        <v>0</v>
      </c>
    </row>
    <row r="3636" spans="16:18" ht="30.75" customHeight="1" x14ac:dyDescent="0.3">
      <c r="P3636" s="31">
        <f t="shared" si="116"/>
        <v>0</v>
      </c>
      <c r="R3636" s="31">
        <f t="shared" si="117"/>
        <v>0</v>
      </c>
    </row>
    <row r="3637" spans="16:18" ht="30.75" customHeight="1" x14ac:dyDescent="0.3">
      <c r="P3637" s="31">
        <f t="shared" si="116"/>
        <v>0</v>
      </c>
      <c r="R3637" s="31">
        <f t="shared" si="117"/>
        <v>0</v>
      </c>
    </row>
    <row r="3638" spans="16:18" ht="30.75" customHeight="1" x14ac:dyDescent="0.3">
      <c r="P3638" s="31">
        <f t="shared" si="116"/>
        <v>0</v>
      </c>
      <c r="R3638" s="31">
        <f t="shared" si="117"/>
        <v>0</v>
      </c>
    </row>
    <row r="3639" spans="16:18" ht="30.75" customHeight="1" x14ac:dyDescent="0.3">
      <c r="P3639" s="31">
        <f t="shared" si="116"/>
        <v>0</v>
      </c>
      <c r="R3639" s="31">
        <f t="shared" si="117"/>
        <v>0</v>
      </c>
    </row>
    <row r="3640" spans="16:18" ht="30.75" customHeight="1" x14ac:dyDescent="0.3">
      <c r="P3640" s="31">
        <f t="shared" si="116"/>
        <v>0</v>
      </c>
      <c r="R3640" s="31">
        <f t="shared" si="117"/>
        <v>0</v>
      </c>
    </row>
    <row r="3641" spans="16:18" ht="30.75" customHeight="1" x14ac:dyDescent="0.3">
      <c r="P3641" s="31">
        <f t="shared" si="116"/>
        <v>0</v>
      </c>
      <c r="R3641" s="31">
        <f t="shared" si="117"/>
        <v>0</v>
      </c>
    </row>
    <row r="3642" spans="16:18" ht="30.75" customHeight="1" x14ac:dyDescent="0.3">
      <c r="P3642" s="31">
        <f t="shared" si="116"/>
        <v>0</v>
      </c>
      <c r="R3642" s="31">
        <f t="shared" si="117"/>
        <v>0</v>
      </c>
    </row>
    <row r="3643" spans="16:18" ht="30.75" customHeight="1" x14ac:dyDescent="0.3">
      <c r="P3643" s="31">
        <f t="shared" si="116"/>
        <v>0</v>
      </c>
      <c r="R3643" s="31">
        <f t="shared" si="117"/>
        <v>0</v>
      </c>
    </row>
    <row r="3644" spans="16:18" ht="30.75" customHeight="1" x14ac:dyDescent="0.3">
      <c r="P3644" s="31">
        <f t="shared" si="116"/>
        <v>0</v>
      </c>
      <c r="R3644" s="31">
        <f t="shared" si="117"/>
        <v>0</v>
      </c>
    </row>
    <row r="3645" spans="16:18" ht="30.75" customHeight="1" x14ac:dyDescent="0.3">
      <c r="P3645" s="31">
        <f t="shared" si="116"/>
        <v>0</v>
      </c>
      <c r="R3645" s="31">
        <f t="shared" si="117"/>
        <v>0</v>
      </c>
    </row>
    <row r="3646" spans="16:18" ht="30.75" customHeight="1" x14ac:dyDescent="0.3">
      <c r="P3646" s="31">
        <f t="shared" si="116"/>
        <v>0</v>
      </c>
      <c r="R3646" s="31">
        <f t="shared" si="117"/>
        <v>0</v>
      </c>
    </row>
    <row r="3647" spans="16:18" ht="30.75" customHeight="1" x14ac:dyDescent="0.3">
      <c r="P3647" s="31">
        <f t="shared" si="116"/>
        <v>0</v>
      </c>
      <c r="R3647" s="31">
        <f t="shared" si="117"/>
        <v>0</v>
      </c>
    </row>
    <row r="3648" spans="16:18" ht="30.75" customHeight="1" x14ac:dyDescent="0.3">
      <c r="P3648" s="31">
        <f t="shared" si="116"/>
        <v>0</v>
      </c>
      <c r="R3648" s="31">
        <f t="shared" si="117"/>
        <v>0</v>
      </c>
    </row>
    <row r="3649" spans="16:18" ht="30.75" customHeight="1" x14ac:dyDescent="0.3">
      <c r="P3649" s="31">
        <f t="shared" si="116"/>
        <v>0</v>
      </c>
      <c r="R3649" s="31">
        <f t="shared" si="117"/>
        <v>0</v>
      </c>
    </row>
    <row r="3650" spans="16:18" ht="30.75" customHeight="1" x14ac:dyDescent="0.3">
      <c r="P3650" s="31">
        <f t="shared" si="116"/>
        <v>0</v>
      </c>
      <c r="R3650" s="31">
        <f t="shared" si="117"/>
        <v>0</v>
      </c>
    </row>
    <row r="3651" spans="16:18" ht="30.75" customHeight="1" x14ac:dyDescent="0.3">
      <c r="P3651" s="31">
        <f t="shared" si="116"/>
        <v>0</v>
      </c>
      <c r="R3651" s="31">
        <f t="shared" si="117"/>
        <v>0</v>
      </c>
    </row>
    <row r="3652" spans="16:18" ht="30.75" customHeight="1" x14ac:dyDescent="0.3">
      <c r="P3652" s="31">
        <f t="shared" si="116"/>
        <v>0</v>
      </c>
      <c r="R3652" s="31">
        <f t="shared" si="117"/>
        <v>0</v>
      </c>
    </row>
    <row r="3653" spans="16:18" ht="30.75" customHeight="1" x14ac:dyDescent="0.3">
      <c r="P3653" s="31">
        <f t="shared" si="116"/>
        <v>0</v>
      </c>
      <c r="R3653" s="31">
        <f t="shared" si="117"/>
        <v>0</v>
      </c>
    </row>
    <row r="3654" spans="16:18" ht="30.75" customHeight="1" x14ac:dyDescent="0.3">
      <c r="P3654" s="31">
        <f t="shared" si="116"/>
        <v>0</v>
      </c>
      <c r="R3654" s="31">
        <f t="shared" si="117"/>
        <v>0</v>
      </c>
    </row>
    <row r="3655" spans="16:18" ht="30.75" customHeight="1" x14ac:dyDescent="0.3">
      <c r="P3655" s="31">
        <f t="shared" si="116"/>
        <v>0</v>
      </c>
      <c r="R3655" s="31">
        <f t="shared" si="117"/>
        <v>0</v>
      </c>
    </row>
    <row r="3656" spans="16:18" ht="30.75" customHeight="1" x14ac:dyDescent="0.3">
      <c r="P3656" s="31">
        <f t="shared" si="116"/>
        <v>0</v>
      </c>
      <c r="R3656" s="31">
        <f t="shared" si="117"/>
        <v>0</v>
      </c>
    </row>
    <row r="3657" spans="16:18" ht="30.75" customHeight="1" x14ac:dyDescent="0.3">
      <c r="P3657" s="31">
        <f t="shared" si="116"/>
        <v>0</v>
      </c>
      <c r="R3657" s="31">
        <f t="shared" si="117"/>
        <v>0</v>
      </c>
    </row>
    <row r="3658" spans="16:18" ht="30.75" customHeight="1" x14ac:dyDescent="0.3">
      <c r="P3658" s="31">
        <f t="shared" si="116"/>
        <v>0</v>
      </c>
      <c r="R3658" s="31">
        <f t="shared" si="117"/>
        <v>0</v>
      </c>
    </row>
    <row r="3659" spans="16:18" ht="30.75" customHeight="1" x14ac:dyDescent="0.3">
      <c r="P3659" s="31">
        <f t="shared" si="116"/>
        <v>0</v>
      </c>
      <c r="R3659" s="31">
        <f t="shared" si="117"/>
        <v>0</v>
      </c>
    </row>
    <row r="3660" spans="16:18" ht="30.75" customHeight="1" x14ac:dyDescent="0.3">
      <c r="P3660" s="31">
        <f t="shared" si="116"/>
        <v>0</v>
      </c>
      <c r="R3660" s="31">
        <f t="shared" si="117"/>
        <v>0</v>
      </c>
    </row>
    <row r="3661" spans="16:18" ht="30.75" customHeight="1" x14ac:dyDescent="0.3">
      <c r="P3661" s="31">
        <f t="shared" si="116"/>
        <v>0</v>
      </c>
      <c r="R3661" s="31">
        <f t="shared" si="117"/>
        <v>0</v>
      </c>
    </row>
    <row r="3662" spans="16:18" ht="30.75" customHeight="1" x14ac:dyDescent="0.3">
      <c r="P3662" s="31">
        <f t="shared" si="116"/>
        <v>0</v>
      </c>
      <c r="R3662" s="31">
        <f t="shared" si="117"/>
        <v>0</v>
      </c>
    </row>
    <row r="3663" spans="16:18" ht="30.75" customHeight="1" x14ac:dyDescent="0.3">
      <c r="P3663" s="31">
        <f t="shared" si="116"/>
        <v>0</v>
      </c>
      <c r="R3663" s="31">
        <f t="shared" si="117"/>
        <v>0</v>
      </c>
    </row>
    <row r="3664" spans="16:18" ht="30.75" customHeight="1" x14ac:dyDescent="0.3">
      <c r="P3664" s="31">
        <f t="shared" si="116"/>
        <v>0</v>
      </c>
      <c r="R3664" s="31">
        <f t="shared" si="117"/>
        <v>0</v>
      </c>
    </row>
    <row r="3665" spans="16:18" ht="30.75" customHeight="1" x14ac:dyDescent="0.3">
      <c r="P3665" s="31">
        <f t="shared" si="116"/>
        <v>0</v>
      </c>
      <c r="R3665" s="31">
        <f t="shared" si="117"/>
        <v>0</v>
      </c>
    </row>
    <row r="3666" spans="16:18" ht="30.75" customHeight="1" x14ac:dyDescent="0.3">
      <c r="P3666" s="31">
        <f t="shared" si="116"/>
        <v>0</v>
      </c>
      <c r="R3666" s="31">
        <f t="shared" si="117"/>
        <v>0</v>
      </c>
    </row>
    <row r="3667" spans="16:18" ht="30.75" customHeight="1" x14ac:dyDescent="0.3">
      <c r="P3667" s="31">
        <f t="shared" si="116"/>
        <v>0</v>
      </c>
      <c r="R3667" s="31">
        <f t="shared" si="117"/>
        <v>0</v>
      </c>
    </row>
    <row r="3668" spans="16:18" ht="30.75" customHeight="1" x14ac:dyDescent="0.3">
      <c r="P3668" s="31">
        <f t="shared" si="116"/>
        <v>0</v>
      </c>
      <c r="R3668" s="31">
        <f t="shared" si="117"/>
        <v>0</v>
      </c>
    </row>
    <row r="3669" spans="16:18" ht="30.75" customHeight="1" x14ac:dyDescent="0.3">
      <c r="P3669" s="31">
        <f t="shared" si="116"/>
        <v>0</v>
      </c>
      <c r="R3669" s="31">
        <f t="shared" si="117"/>
        <v>0</v>
      </c>
    </row>
    <row r="3670" spans="16:18" ht="30.75" customHeight="1" x14ac:dyDescent="0.3">
      <c r="P3670" s="31">
        <f t="shared" si="116"/>
        <v>0</v>
      </c>
      <c r="R3670" s="31">
        <f t="shared" si="117"/>
        <v>0</v>
      </c>
    </row>
    <row r="3671" spans="16:18" ht="30.75" customHeight="1" x14ac:dyDescent="0.3">
      <c r="P3671" s="31">
        <f t="shared" si="116"/>
        <v>0</v>
      </c>
      <c r="R3671" s="31">
        <f t="shared" si="117"/>
        <v>0</v>
      </c>
    </row>
    <row r="3672" spans="16:18" ht="30.75" customHeight="1" x14ac:dyDescent="0.3">
      <c r="P3672" s="31">
        <f t="shared" si="116"/>
        <v>0</v>
      </c>
      <c r="R3672" s="31">
        <f t="shared" si="117"/>
        <v>0</v>
      </c>
    </row>
    <row r="3673" spans="16:18" ht="30.75" customHeight="1" x14ac:dyDescent="0.3">
      <c r="P3673" s="31">
        <f t="shared" si="116"/>
        <v>0</v>
      </c>
      <c r="R3673" s="31">
        <f t="shared" si="117"/>
        <v>0</v>
      </c>
    </row>
    <row r="3674" spans="16:18" ht="30.75" customHeight="1" x14ac:dyDescent="0.3">
      <c r="P3674" s="31">
        <f t="shared" si="116"/>
        <v>0</v>
      </c>
      <c r="R3674" s="31">
        <f t="shared" si="117"/>
        <v>0</v>
      </c>
    </row>
    <row r="3675" spans="16:18" ht="30.75" customHeight="1" x14ac:dyDescent="0.3">
      <c r="P3675" s="31">
        <f t="shared" si="116"/>
        <v>0</v>
      </c>
      <c r="R3675" s="31">
        <f t="shared" si="117"/>
        <v>0</v>
      </c>
    </row>
    <row r="3676" spans="16:18" ht="30.75" customHeight="1" x14ac:dyDescent="0.3">
      <c r="P3676" s="31">
        <f t="shared" si="116"/>
        <v>0</v>
      </c>
      <c r="R3676" s="31">
        <f t="shared" si="117"/>
        <v>0</v>
      </c>
    </row>
    <row r="3677" spans="16:18" ht="30.75" customHeight="1" x14ac:dyDescent="0.3">
      <c r="P3677" s="31">
        <f t="shared" si="116"/>
        <v>0</v>
      </c>
      <c r="R3677" s="31">
        <f t="shared" si="117"/>
        <v>0</v>
      </c>
    </row>
    <row r="3678" spans="16:18" ht="30.75" customHeight="1" x14ac:dyDescent="0.3">
      <c r="P3678" s="31">
        <f t="shared" si="116"/>
        <v>0</v>
      </c>
      <c r="R3678" s="31">
        <f t="shared" si="117"/>
        <v>0</v>
      </c>
    </row>
    <row r="3679" spans="16:18" ht="30.75" customHeight="1" x14ac:dyDescent="0.3">
      <c r="P3679" s="31">
        <f t="shared" si="116"/>
        <v>0</v>
      </c>
      <c r="R3679" s="31">
        <f t="shared" si="117"/>
        <v>0</v>
      </c>
    </row>
    <row r="3680" spans="16:18" ht="30.75" customHeight="1" x14ac:dyDescent="0.3">
      <c r="P3680" s="31">
        <f t="shared" si="116"/>
        <v>0</v>
      </c>
      <c r="R3680" s="31">
        <f t="shared" si="117"/>
        <v>0</v>
      </c>
    </row>
    <row r="3681" spans="16:18" ht="30.75" customHeight="1" x14ac:dyDescent="0.3">
      <c r="P3681" s="31">
        <f t="shared" si="116"/>
        <v>0</v>
      </c>
      <c r="R3681" s="31">
        <f t="shared" si="117"/>
        <v>0</v>
      </c>
    </row>
    <row r="3682" spans="16:18" ht="30.75" customHeight="1" x14ac:dyDescent="0.3">
      <c r="P3682" s="31">
        <f t="shared" si="116"/>
        <v>0</v>
      </c>
      <c r="R3682" s="31">
        <f t="shared" si="117"/>
        <v>0</v>
      </c>
    </row>
    <row r="3683" spans="16:18" ht="30.75" customHeight="1" x14ac:dyDescent="0.3">
      <c r="P3683" s="31">
        <f t="shared" si="116"/>
        <v>0</v>
      </c>
      <c r="R3683" s="31">
        <f t="shared" si="117"/>
        <v>0</v>
      </c>
    </row>
    <row r="3684" spans="16:18" ht="30.75" customHeight="1" x14ac:dyDescent="0.3">
      <c r="P3684" s="31">
        <f t="shared" si="116"/>
        <v>0</v>
      </c>
      <c r="R3684" s="31">
        <f t="shared" si="117"/>
        <v>0</v>
      </c>
    </row>
    <row r="3685" spans="16:18" ht="30.75" customHeight="1" x14ac:dyDescent="0.3">
      <c r="P3685" s="31">
        <f t="shared" si="116"/>
        <v>0</v>
      </c>
      <c r="R3685" s="31">
        <f t="shared" si="117"/>
        <v>0</v>
      </c>
    </row>
    <row r="3686" spans="16:18" ht="30.75" customHeight="1" x14ac:dyDescent="0.3">
      <c r="P3686" s="31">
        <f t="shared" si="116"/>
        <v>0</v>
      </c>
      <c r="R3686" s="31">
        <f t="shared" si="117"/>
        <v>0</v>
      </c>
    </row>
    <row r="3687" spans="16:18" ht="30.75" customHeight="1" x14ac:dyDescent="0.3">
      <c r="P3687" s="31">
        <f t="shared" si="116"/>
        <v>0</v>
      </c>
      <c r="R3687" s="31">
        <f t="shared" si="117"/>
        <v>0</v>
      </c>
    </row>
    <row r="3688" spans="16:18" ht="30.75" customHeight="1" x14ac:dyDescent="0.3">
      <c r="P3688" s="31">
        <f t="shared" ref="P3688:P3751" si="118">K3688-L3688-M3688-N3688+O3688</f>
        <v>0</v>
      </c>
      <c r="R3688" s="31">
        <f t="shared" ref="R3688:R3751" si="119">R3687+K3688-L3688-M3688-N3688+O3688-Q3688</f>
        <v>0</v>
      </c>
    </row>
    <row r="3689" spans="16:18" ht="30.75" customHeight="1" x14ac:dyDescent="0.3">
      <c r="P3689" s="31">
        <f t="shared" si="118"/>
        <v>0</v>
      </c>
      <c r="R3689" s="31">
        <f t="shared" si="119"/>
        <v>0</v>
      </c>
    </row>
    <row r="3690" spans="16:18" ht="30.75" customHeight="1" x14ac:dyDescent="0.3">
      <c r="P3690" s="31">
        <f t="shared" si="118"/>
        <v>0</v>
      </c>
      <c r="R3690" s="31">
        <f t="shared" si="119"/>
        <v>0</v>
      </c>
    </row>
    <row r="3691" spans="16:18" ht="30.75" customHeight="1" x14ac:dyDescent="0.3">
      <c r="P3691" s="31">
        <f t="shared" si="118"/>
        <v>0</v>
      </c>
      <c r="R3691" s="31">
        <f t="shared" si="119"/>
        <v>0</v>
      </c>
    </row>
    <row r="3692" spans="16:18" ht="30.75" customHeight="1" x14ac:dyDescent="0.3">
      <c r="P3692" s="31">
        <f t="shared" si="118"/>
        <v>0</v>
      </c>
      <c r="R3692" s="31">
        <f t="shared" si="119"/>
        <v>0</v>
      </c>
    </row>
    <row r="3693" spans="16:18" ht="30.75" customHeight="1" x14ac:dyDescent="0.3">
      <c r="P3693" s="31">
        <f t="shared" si="118"/>
        <v>0</v>
      </c>
      <c r="R3693" s="31">
        <f t="shared" si="119"/>
        <v>0</v>
      </c>
    </row>
    <row r="3694" spans="16:18" ht="30.75" customHeight="1" x14ac:dyDescent="0.3">
      <c r="P3694" s="31">
        <f t="shared" si="118"/>
        <v>0</v>
      </c>
      <c r="R3694" s="31">
        <f t="shared" si="119"/>
        <v>0</v>
      </c>
    </row>
    <row r="3695" spans="16:18" ht="30.75" customHeight="1" x14ac:dyDescent="0.3">
      <c r="P3695" s="31">
        <f t="shared" si="118"/>
        <v>0</v>
      </c>
      <c r="R3695" s="31">
        <f t="shared" si="119"/>
        <v>0</v>
      </c>
    </row>
    <row r="3696" spans="16:18" ht="30.75" customHeight="1" x14ac:dyDescent="0.3">
      <c r="P3696" s="31">
        <f t="shared" si="118"/>
        <v>0</v>
      </c>
      <c r="R3696" s="31">
        <f t="shared" si="119"/>
        <v>0</v>
      </c>
    </row>
    <row r="3697" spans="16:18" ht="30.75" customHeight="1" x14ac:dyDescent="0.3">
      <c r="P3697" s="31">
        <f t="shared" si="118"/>
        <v>0</v>
      </c>
      <c r="R3697" s="31">
        <f t="shared" si="119"/>
        <v>0</v>
      </c>
    </row>
    <row r="3698" spans="16:18" ht="30.75" customHeight="1" x14ac:dyDescent="0.3">
      <c r="P3698" s="31">
        <f t="shared" si="118"/>
        <v>0</v>
      </c>
      <c r="R3698" s="31">
        <f t="shared" si="119"/>
        <v>0</v>
      </c>
    </row>
    <row r="3699" spans="16:18" ht="30.75" customHeight="1" x14ac:dyDescent="0.3">
      <c r="P3699" s="31">
        <f t="shared" si="118"/>
        <v>0</v>
      </c>
      <c r="R3699" s="31">
        <f t="shared" si="119"/>
        <v>0</v>
      </c>
    </row>
    <row r="3700" spans="16:18" ht="30.75" customHeight="1" x14ac:dyDescent="0.3">
      <c r="P3700" s="31">
        <f t="shared" si="118"/>
        <v>0</v>
      </c>
      <c r="R3700" s="31">
        <f t="shared" si="119"/>
        <v>0</v>
      </c>
    </row>
    <row r="3701" spans="16:18" ht="30.75" customHeight="1" x14ac:dyDescent="0.3">
      <c r="P3701" s="31">
        <f t="shared" si="118"/>
        <v>0</v>
      </c>
      <c r="R3701" s="31">
        <f t="shared" si="119"/>
        <v>0</v>
      </c>
    </row>
    <row r="3702" spans="16:18" ht="30.75" customHeight="1" x14ac:dyDescent="0.3">
      <c r="P3702" s="31">
        <f t="shared" si="118"/>
        <v>0</v>
      </c>
      <c r="R3702" s="31">
        <f t="shared" si="119"/>
        <v>0</v>
      </c>
    </row>
    <row r="3703" spans="16:18" ht="30.75" customHeight="1" x14ac:dyDescent="0.3">
      <c r="P3703" s="31">
        <f t="shared" si="118"/>
        <v>0</v>
      </c>
      <c r="R3703" s="31">
        <f t="shared" si="119"/>
        <v>0</v>
      </c>
    </row>
    <row r="3704" spans="16:18" ht="30.75" customHeight="1" x14ac:dyDescent="0.3">
      <c r="P3704" s="31">
        <f t="shared" si="118"/>
        <v>0</v>
      </c>
      <c r="R3704" s="31">
        <f t="shared" si="119"/>
        <v>0</v>
      </c>
    </row>
    <row r="3705" spans="16:18" ht="30.75" customHeight="1" x14ac:dyDescent="0.3">
      <c r="P3705" s="31">
        <f t="shared" si="118"/>
        <v>0</v>
      </c>
      <c r="R3705" s="31">
        <f t="shared" si="119"/>
        <v>0</v>
      </c>
    </row>
    <row r="3706" spans="16:18" ht="30.75" customHeight="1" x14ac:dyDescent="0.3">
      <c r="P3706" s="31">
        <f t="shared" si="118"/>
        <v>0</v>
      </c>
      <c r="R3706" s="31">
        <f t="shared" si="119"/>
        <v>0</v>
      </c>
    </row>
    <row r="3707" spans="16:18" ht="30.75" customHeight="1" x14ac:dyDescent="0.3">
      <c r="P3707" s="31">
        <f t="shared" si="118"/>
        <v>0</v>
      </c>
      <c r="R3707" s="31">
        <f t="shared" si="119"/>
        <v>0</v>
      </c>
    </row>
    <row r="3708" spans="16:18" ht="30.75" customHeight="1" x14ac:dyDescent="0.3">
      <c r="P3708" s="31">
        <f t="shared" si="118"/>
        <v>0</v>
      </c>
      <c r="R3708" s="31">
        <f t="shared" si="119"/>
        <v>0</v>
      </c>
    </row>
    <row r="3709" spans="16:18" ht="30.75" customHeight="1" x14ac:dyDescent="0.3">
      <c r="P3709" s="31">
        <f t="shared" si="118"/>
        <v>0</v>
      </c>
      <c r="R3709" s="31">
        <f t="shared" si="119"/>
        <v>0</v>
      </c>
    </row>
    <row r="3710" spans="16:18" ht="30.75" customHeight="1" x14ac:dyDescent="0.3">
      <c r="P3710" s="31">
        <f t="shared" si="118"/>
        <v>0</v>
      </c>
      <c r="R3710" s="31">
        <f t="shared" si="119"/>
        <v>0</v>
      </c>
    </row>
    <row r="3711" spans="16:18" ht="30.75" customHeight="1" x14ac:dyDescent="0.3">
      <c r="P3711" s="31">
        <f t="shared" si="118"/>
        <v>0</v>
      </c>
      <c r="R3711" s="31">
        <f t="shared" si="119"/>
        <v>0</v>
      </c>
    </row>
    <row r="3712" spans="16:18" ht="30.75" customHeight="1" x14ac:dyDescent="0.3">
      <c r="P3712" s="31">
        <f t="shared" si="118"/>
        <v>0</v>
      </c>
      <c r="R3712" s="31">
        <f t="shared" si="119"/>
        <v>0</v>
      </c>
    </row>
    <row r="3713" spans="16:18" ht="30.75" customHeight="1" x14ac:dyDescent="0.3">
      <c r="P3713" s="31">
        <f t="shared" si="118"/>
        <v>0</v>
      </c>
      <c r="R3713" s="31">
        <f t="shared" si="119"/>
        <v>0</v>
      </c>
    </row>
    <row r="3714" spans="16:18" ht="30.75" customHeight="1" x14ac:dyDescent="0.3">
      <c r="P3714" s="31">
        <f t="shared" si="118"/>
        <v>0</v>
      </c>
      <c r="R3714" s="31">
        <f t="shared" si="119"/>
        <v>0</v>
      </c>
    </row>
    <row r="3715" spans="16:18" ht="30.75" customHeight="1" x14ac:dyDescent="0.3">
      <c r="P3715" s="31">
        <f t="shared" si="118"/>
        <v>0</v>
      </c>
      <c r="R3715" s="31">
        <f t="shared" si="119"/>
        <v>0</v>
      </c>
    </row>
    <row r="3716" spans="16:18" ht="30.75" customHeight="1" x14ac:dyDescent="0.3">
      <c r="P3716" s="31">
        <f t="shared" si="118"/>
        <v>0</v>
      </c>
      <c r="R3716" s="31">
        <f t="shared" si="119"/>
        <v>0</v>
      </c>
    </row>
    <row r="3717" spans="16:18" ht="30.75" customHeight="1" x14ac:dyDescent="0.3">
      <c r="P3717" s="31">
        <f t="shared" si="118"/>
        <v>0</v>
      </c>
      <c r="R3717" s="31">
        <f t="shared" si="119"/>
        <v>0</v>
      </c>
    </row>
    <row r="3718" spans="16:18" ht="30.75" customHeight="1" x14ac:dyDescent="0.3">
      <c r="P3718" s="31">
        <f t="shared" si="118"/>
        <v>0</v>
      </c>
      <c r="R3718" s="31">
        <f t="shared" si="119"/>
        <v>0</v>
      </c>
    </row>
    <row r="3719" spans="16:18" ht="30.75" customHeight="1" x14ac:dyDescent="0.3">
      <c r="P3719" s="31">
        <f t="shared" si="118"/>
        <v>0</v>
      </c>
      <c r="R3719" s="31">
        <f t="shared" si="119"/>
        <v>0</v>
      </c>
    </row>
    <row r="3720" spans="16:18" ht="30.75" customHeight="1" x14ac:dyDescent="0.3">
      <c r="P3720" s="31">
        <f t="shared" si="118"/>
        <v>0</v>
      </c>
      <c r="R3720" s="31">
        <f t="shared" si="119"/>
        <v>0</v>
      </c>
    </row>
    <row r="3721" spans="16:18" ht="30.75" customHeight="1" x14ac:dyDescent="0.3">
      <c r="P3721" s="31">
        <f t="shared" si="118"/>
        <v>0</v>
      </c>
      <c r="R3721" s="31">
        <f t="shared" si="119"/>
        <v>0</v>
      </c>
    </row>
    <row r="3722" spans="16:18" ht="30.75" customHeight="1" x14ac:dyDescent="0.3">
      <c r="P3722" s="31">
        <f t="shared" si="118"/>
        <v>0</v>
      </c>
      <c r="R3722" s="31">
        <f t="shared" si="119"/>
        <v>0</v>
      </c>
    </row>
    <row r="3723" spans="16:18" ht="30.75" customHeight="1" x14ac:dyDescent="0.3">
      <c r="P3723" s="31">
        <f t="shared" si="118"/>
        <v>0</v>
      </c>
      <c r="R3723" s="31">
        <f t="shared" si="119"/>
        <v>0</v>
      </c>
    </row>
    <row r="3724" spans="16:18" ht="30.75" customHeight="1" x14ac:dyDescent="0.3">
      <c r="P3724" s="31">
        <f t="shared" si="118"/>
        <v>0</v>
      </c>
      <c r="R3724" s="31">
        <f t="shared" si="119"/>
        <v>0</v>
      </c>
    </row>
    <row r="3725" spans="16:18" ht="30.75" customHeight="1" x14ac:dyDescent="0.3">
      <c r="P3725" s="31">
        <f t="shared" si="118"/>
        <v>0</v>
      </c>
      <c r="R3725" s="31">
        <f t="shared" si="119"/>
        <v>0</v>
      </c>
    </row>
    <row r="3726" spans="16:18" ht="30.75" customHeight="1" x14ac:dyDescent="0.3">
      <c r="P3726" s="31">
        <f t="shared" si="118"/>
        <v>0</v>
      </c>
      <c r="R3726" s="31">
        <f t="shared" si="119"/>
        <v>0</v>
      </c>
    </row>
    <row r="3727" spans="16:18" ht="30.75" customHeight="1" x14ac:dyDescent="0.3">
      <c r="P3727" s="31">
        <f t="shared" si="118"/>
        <v>0</v>
      </c>
      <c r="R3727" s="31">
        <f t="shared" si="119"/>
        <v>0</v>
      </c>
    </row>
    <row r="3728" spans="16:18" ht="30.75" customHeight="1" x14ac:dyDescent="0.3">
      <c r="P3728" s="31">
        <f t="shared" si="118"/>
        <v>0</v>
      </c>
      <c r="R3728" s="31">
        <f t="shared" si="119"/>
        <v>0</v>
      </c>
    </row>
    <row r="3729" spans="16:18" ht="30.75" customHeight="1" x14ac:dyDescent="0.3">
      <c r="P3729" s="31">
        <f t="shared" si="118"/>
        <v>0</v>
      </c>
      <c r="R3729" s="31">
        <f t="shared" si="119"/>
        <v>0</v>
      </c>
    </row>
    <row r="3730" spans="16:18" ht="30.75" customHeight="1" x14ac:dyDescent="0.3">
      <c r="P3730" s="31">
        <f t="shared" si="118"/>
        <v>0</v>
      </c>
      <c r="R3730" s="31">
        <f t="shared" si="119"/>
        <v>0</v>
      </c>
    </row>
    <row r="3731" spans="16:18" ht="30.75" customHeight="1" x14ac:dyDescent="0.3">
      <c r="P3731" s="31">
        <f t="shared" si="118"/>
        <v>0</v>
      </c>
      <c r="R3731" s="31">
        <f t="shared" si="119"/>
        <v>0</v>
      </c>
    </row>
    <row r="3732" spans="16:18" ht="30.75" customHeight="1" x14ac:dyDescent="0.3">
      <c r="P3732" s="31">
        <f t="shared" si="118"/>
        <v>0</v>
      </c>
      <c r="R3732" s="31">
        <f t="shared" si="119"/>
        <v>0</v>
      </c>
    </row>
    <row r="3733" spans="16:18" ht="30.75" customHeight="1" x14ac:dyDescent="0.3">
      <c r="P3733" s="31">
        <f t="shared" si="118"/>
        <v>0</v>
      </c>
      <c r="R3733" s="31">
        <f t="shared" si="119"/>
        <v>0</v>
      </c>
    </row>
    <row r="3734" spans="16:18" ht="30.75" customHeight="1" x14ac:dyDescent="0.3">
      <c r="P3734" s="31">
        <f t="shared" si="118"/>
        <v>0</v>
      </c>
      <c r="R3734" s="31">
        <f t="shared" si="119"/>
        <v>0</v>
      </c>
    </row>
    <row r="3735" spans="16:18" ht="30.75" customHeight="1" x14ac:dyDescent="0.3">
      <c r="P3735" s="31">
        <f t="shared" si="118"/>
        <v>0</v>
      </c>
      <c r="R3735" s="31">
        <f t="shared" si="119"/>
        <v>0</v>
      </c>
    </row>
    <row r="3736" spans="16:18" ht="30.75" customHeight="1" x14ac:dyDescent="0.3">
      <c r="P3736" s="31">
        <f t="shared" si="118"/>
        <v>0</v>
      </c>
      <c r="R3736" s="31">
        <f t="shared" si="119"/>
        <v>0</v>
      </c>
    </row>
    <row r="3737" spans="16:18" ht="30.75" customHeight="1" x14ac:dyDescent="0.3">
      <c r="P3737" s="31">
        <f t="shared" si="118"/>
        <v>0</v>
      </c>
      <c r="R3737" s="31">
        <f t="shared" si="119"/>
        <v>0</v>
      </c>
    </row>
    <row r="3738" spans="16:18" ht="30.75" customHeight="1" x14ac:dyDescent="0.3">
      <c r="P3738" s="31">
        <f t="shared" si="118"/>
        <v>0</v>
      </c>
      <c r="R3738" s="31">
        <f t="shared" si="119"/>
        <v>0</v>
      </c>
    </row>
    <row r="3739" spans="16:18" ht="30.75" customHeight="1" x14ac:dyDescent="0.3">
      <c r="P3739" s="31">
        <f t="shared" si="118"/>
        <v>0</v>
      </c>
      <c r="R3739" s="31">
        <f t="shared" si="119"/>
        <v>0</v>
      </c>
    </row>
    <row r="3740" spans="16:18" ht="30.75" customHeight="1" x14ac:dyDescent="0.3">
      <c r="P3740" s="31">
        <f t="shared" si="118"/>
        <v>0</v>
      </c>
      <c r="R3740" s="31">
        <f t="shared" si="119"/>
        <v>0</v>
      </c>
    </row>
    <row r="3741" spans="16:18" ht="30.75" customHeight="1" x14ac:dyDescent="0.3">
      <c r="P3741" s="31">
        <f t="shared" si="118"/>
        <v>0</v>
      </c>
      <c r="R3741" s="31">
        <f t="shared" si="119"/>
        <v>0</v>
      </c>
    </row>
    <row r="3742" spans="16:18" ht="30.75" customHeight="1" x14ac:dyDescent="0.3">
      <c r="P3742" s="31">
        <f t="shared" si="118"/>
        <v>0</v>
      </c>
      <c r="R3742" s="31">
        <f t="shared" si="119"/>
        <v>0</v>
      </c>
    </row>
    <row r="3743" spans="16:18" ht="30.75" customHeight="1" x14ac:dyDescent="0.3">
      <c r="P3743" s="31">
        <f t="shared" si="118"/>
        <v>0</v>
      </c>
      <c r="R3743" s="31">
        <f t="shared" si="119"/>
        <v>0</v>
      </c>
    </row>
    <row r="3744" spans="16:18" ht="30.75" customHeight="1" x14ac:dyDescent="0.3">
      <c r="P3744" s="31">
        <f t="shared" si="118"/>
        <v>0</v>
      </c>
      <c r="R3744" s="31">
        <f t="shared" si="119"/>
        <v>0</v>
      </c>
    </row>
    <row r="3745" spans="16:18" ht="30.75" customHeight="1" x14ac:dyDescent="0.3">
      <c r="P3745" s="31">
        <f t="shared" si="118"/>
        <v>0</v>
      </c>
      <c r="R3745" s="31">
        <f t="shared" si="119"/>
        <v>0</v>
      </c>
    </row>
    <row r="3746" spans="16:18" ht="30.75" customHeight="1" x14ac:dyDescent="0.3">
      <c r="P3746" s="31">
        <f t="shared" si="118"/>
        <v>0</v>
      </c>
      <c r="R3746" s="31">
        <f t="shared" si="119"/>
        <v>0</v>
      </c>
    </row>
    <row r="3747" spans="16:18" ht="30.75" customHeight="1" x14ac:dyDescent="0.3">
      <c r="P3747" s="31">
        <f t="shared" si="118"/>
        <v>0</v>
      </c>
      <c r="R3747" s="31">
        <f t="shared" si="119"/>
        <v>0</v>
      </c>
    </row>
    <row r="3748" spans="16:18" ht="30.75" customHeight="1" x14ac:dyDescent="0.3">
      <c r="P3748" s="31">
        <f t="shared" si="118"/>
        <v>0</v>
      </c>
      <c r="R3748" s="31">
        <f t="shared" si="119"/>
        <v>0</v>
      </c>
    </row>
    <row r="3749" spans="16:18" ht="30.75" customHeight="1" x14ac:dyDescent="0.3">
      <c r="P3749" s="31">
        <f t="shared" si="118"/>
        <v>0</v>
      </c>
      <c r="R3749" s="31">
        <f t="shared" si="119"/>
        <v>0</v>
      </c>
    </row>
    <row r="3750" spans="16:18" ht="30.75" customHeight="1" x14ac:dyDescent="0.3">
      <c r="P3750" s="31">
        <f t="shared" si="118"/>
        <v>0</v>
      </c>
      <c r="R3750" s="31">
        <f t="shared" si="119"/>
        <v>0</v>
      </c>
    </row>
    <row r="3751" spans="16:18" ht="30.75" customHeight="1" x14ac:dyDescent="0.3">
      <c r="P3751" s="31">
        <f t="shared" si="118"/>
        <v>0</v>
      </c>
      <c r="R3751" s="31">
        <f t="shared" si="119"/>
        <v>0</v>
      </c>
    </row>
    <row r="3752" spans="16:18" ht="30.75" customHeight="1" x14ac:dyDescent="0.3">
      <c r="P3752" s="31">
        <f t="shared" ref="P3752:P3815" si="120">K3752-L3752-M3752-N3752+O3752</f>
        <v>0</v>
      </c>
      <c r="R3752" s="31">
        <f t="shared" ref="R3752:R3815" si="121">R3751+K3752-L3752-M3752-N3752+O3752-Q3752</f>
        <v>0</v>
      </c>
    </row>
    <row r="3753" spans="16:18" ht="30.75" customHeight="1" x14ac:dyDescent="0.3">
      <c r="P3753" s="31">
        <f t="shared" si="120"/>
        <v>0</v>
      </c>
      <c r="R3753" s="31">
        <f t="shared" si="121"/>
        <v>0</v>
      </c>
    </row>
    <row r="3754" spans="16:18" ht="30.75" customHeight="1" x14ac:dyDescent="0.3">
      <c r="P3754" s="31">
        <f t="shared" si="120"/>
        <v>0</v>
      </c>
      <c r="R3754" s="31">
        <f t="shared" si="121"/>
        <v>0</v>
      </c>
    </row>
    <row r="3755" spans="16:18" ht="30.75" customHeight="1" x14ac:dyDescent="0.3">
      <c r="P3755" s="31">
        <f t="shared" si="120"/>
        <v>0</v>
      </c>
      <c r="R3755" s="31">
        <f t="shared" si="121"/>
        <v>0</v>
      </c>
    </row>
    <row r="3756" spans="16:18" ht="30.75" customHeight="1" x14ac:dyDescent="0.3">
      <c r="P3756" s="31">
        <f t="shared" si="120"/>
        <v>0</v>
      </c>
      <c r="R3756" s="31">
        <f t="shared" si="121"/>
        <v>0</v>
      </c>
    </row>
    <row r="3757" spans="16:18" ht="30.75" customHeight="1" x14ac:dyDescent="0.3">
      <c r="P3757" s="31">
        <f t="shared" si="120"/>
        <v>0</v>
      </c>
      <c r="R3757" s="31">
        <f t="shared" si="121"/>
        <v>0</v>
      </c>
    </row>
    <row r="3758" spans="16:18" ht="30.75" customHeight="1" x14ac:dyDescent="0.3">
      <c r="P3758" s="31">
        <f t="shared" si="120"/>
        <v>0</v>
      </c>
      <c r="R3758" s="31">
        <f t="shared" si="121"/>
        <v>0</v>
      </c>
    </row>
    <row r="3759" spans="16:18" ht="30.75" customHeight="1" x14ac:dyDescent="0.3">
      <c r="P3759" s="31">
        <f t="shared" si="120"/>
        <v>0</v>
      </c>
      <c r="R3759" s="31">
        <f t="shared" si="121"/>
        <v>0</v>
      </c>
    </row>
    <row r="3760" spans="16:18" ht="30.75" customHeight="1" x14ac:dyDescent="0.3">
      <c r="P3760" s="31">
        <f t="shared" si="120"/>
        <v>0</v>
      </c>
      <c r="R3760" s="31">
        <f t="shared" si="121"/>
        <v>0</v>
      </c>
    </row>
    <row r="3761" spans="16:18" ht="30.75" customHeight="1" x14ac:dyDescent="0.3">
      <c r="P3761" s="31">
        <f t="shared" si="120"/>
        <v>0</v>
      </c>
      <c r="R3761" s="31">
        <f t="shared" si="121"/>
        <v>0</v>
      </c>
    </row>
    <row r="3762" spans="16:18" ht="30.75" customHeight="1" x14ac:dyDescent="0.3">
      <c r="P3762" s="31">
        <f t="shared" si="120"/>
        <v>0</v>
      </c>
      <c r="R3762" s="31">
        <f t="shared" si="121"/>
        <v>0</v>
      </c>
    </row>
    <row r="3763" spans="16:18" ht="30.75" customHeight="1" x14ac:dyDescent="0.3">
      <c r="P3763" s="31">
        <f t="shared" si="120"/>
        <v>0</v>
      </c>
      <c r="R3763" s="31">
        <f t="shared" si="121"/>
        <v>0</v>
      </c>
    </row>
    <row r="3764" spans="16:18" ht="30.75" customHeight="1" x14ac:dyDescent="0.3">
      <c r="P3764" s="31">
        <f t="shared" si="120"/>
        <v>0</v>
      </c>
      <c r="R3764" s="31">
        <f t="shared" si="121"/>
        <v>0</v>
      </c>
    </row>
    <row r="3765" spans="16:18" ht="30.75" customHeight="1" x14ac:dyDescent="0.3">
      <c r="P3765" s="31">
        <f t="shared" si="120"/>
        <v>0</v>
      </c>
      <c r="R3765" s="31">
        <f t="shared" si="121"/>
        <v>0</v>
      </c>
    </row>
    <row r="3766" spans="16:18" ht="30.75" customHeight="1" x14ac:dyDescent="0.3">
      <c r="P3766" s="31">
        <f t="shared" si="120"/>
        <v>0</v>
      </c>
      <c r="R3766" s="31">
        <f t="shared" si="121"/>
        <v>0</v>
      </c>
    </row>
    <row r="3767" spans="16:18" ht="30.75" customHeight="1" x14ac:dyDescent="0.3">
      <c r="P3767" s="31">
        <f t="shared" si="120"/>
        <v>0</v>
      </c>
      <c r="R3767" s="31">
        <f t="shared" si="121"/>
        <v>0</v>
      </c>
    </row>
    <row r="3768" spans="16:18" ht="30.75" customHeight="1" x14ac:dyDescent="0.3">
      <c r="P3768" s="31">
        <f t="shared" si="120"/>
        <v>0</v>
      </c>
      <c r="R3768" s="31">
        <f t="shared" si="121"/>
        <v>0</v>
      </c>
    </row>
    <row r="3769" spans="16:18" ht="30.75" customHeight="1" x14ac:dyDescent="0.3">
      <c r="P3769" s="31">
        <f t="shared" si="120"/>
        <v>0</v>
      </c>
      <c r="R3769" s="31">
        <f t="shared" si="121"/>
        <v>0</v>
      </c>
    </row>
    <row r="3770" spans="16:18" ht="30.75" customHeight="1" x14ac:dyDescent="0.3">
      <c r="P3770" s="31">
        <f t="shared" si="120"/>
        <v>0</v>
      </c>
      <c r="R3770" s="31">
        <f t="shared" si="121"/>
        <v>0</v>
      </c>
    </row>
    <row r="3771" spans="16:18" ht="30.75" customHeight="1" x14ac:dyDescent="0.3">
      <c r="P3771" s="31">
        <f t="shared" si="120"/>
        <v>0</v>
      </c>
      <c r="R3771" s="31">
        <f t="shared" si="121"/>
        <v>0</v>
      </c>
    </row>
    <row r="3772" spans="16:18" ht="30.75" customHeight="1" x14ac:dyDescent="0.3">
      <c r="P3772" s="31">
        <f t="shared" si="120"/>
        <v>0</v>
      </c>
      <c r="R3772" s="31">
        <f t="shared" si="121"/>
        <v>0</v>
      </c>
    </row>
    <row r="3773" spans="16:18" ht="30.75" customHeight="1" x14ac:dyDescent="0.3">
      <c r="P3773" s="31">
        <f t="shared" si="120"/>
        <v>0</v>
      </c>
      <c r="R3773" s="31">
        <f t="shared" si="121"/>
        <v>0</v>
      </c>
    </row>
    <row r="3774" spans="16:18" ht="30.75" customHeight="1" x14ac:dyDescent="0.3">
      <c r="P3774" s="31">
        <f t="shared" si="120"/>
        <v>0</v>
      </c>
      <c r="R3774" s="31">
        <f t="shared" si="121"/>
        <v>0</v>
      </c>
    </row>
    <row r="3775" spans="16:18" ht="30.75" customHeight="1" x14ac:dyDescent="0.3">
      <c r="P3775" s="31">
        <f t="shared" si="120"/>
        <v>0</v>
      </c>
      <c r="R3775" s="31">
        <f t="shared" si="121"/>
        <v>0</v>
      </c>
    </row>
    <row r="3776" spans="16:18" ht="30.75" customHeight="1" x14ac:dyDescent="0.3">
      <c r="P3776" s="31">
        <f t="shared" si="120"/>
        <v>0</v>
      </c>
      <c r="R3776" s="31">
        <f t="shared" si="121"/>
        <v>0</v>
      </c>
    </row>
    <row r="3777" spans="16:18" ht="30.75" customHeight="1" x14ac:dyDescent="0.3">
      <c r="P3777" s="31">
        <f t="shared" si="120"/>
        <v>0</v>
      </c>
      <c r="R3777" s="31">
        <f t="shared" si="121"/>
        <v>0</v>
      </c>
    </row>
    <row r="3778" spans="16:18" ht="30.75" customHeight="1" x14ac:dyDescent="0.3">
      <c r="P3778" s="31">
        <f t="shared" si="120"/>
        <v>0</v>
      </c>
      <c r="R3778" s="31">
        <f t="shared" si="121"/>
        <v>0</v>
      </c>
    </row>
    <row r="3779" spans="16:18" ht="30.75" customHeight="1" x14ac:dyDescent="0.3">
      <c r="P3779" s="31">
        <f t="shared" si="120"/>
        <v>0</v>
      </c>
      <c r="R3779" s="31">
        <f t="shared" si="121"/>
        <v>0</v>
      </c>
    </row>
    <row r="3780" spans="16:18" ht="30.75" customHeight="1" x14ac:dyDescent="0.3">
      <c r="P3780" s="31">
        <f t="shared" si="120"/>
        <v>0</v>
      </c>
      <c r="R3780" s="31">
        <f t="shared" si="121"/>
        <v>0</v>
      </c>
    </row>
    <row r="3781" spans="16:18" ht="30.75" customHeight="1" x14ac:dyDescent="0.3">
      <c r="P3781" s="31">
        <f t="shared" si="120"/>
        <v>0</v>
      </c>
      <c r="R3781" s="31">
        <f t="shared" si="121"/>
        <v>0</v>
      </c>
    </row>
    <row r="3782" spans="16:18" ht="30.75" customHeight="1" x14ac:dyDescent="0.3">
      <c r="P3782" s="31">
        <f t="shared" si="120"/>
        <v>0</v>
      </c>
      <c r="R3782" s="31">
        <f t="shared" si="121"/>
        <v>0</v>
      </c>
    </row>
    <row r="3783" spans="16:18" ht="30.75" customHeight="1" x14ac:dyDescent="0.3">
      <c r="P3783" s="31">
        <f t="shared" si="120"/>
        <v>0</v>
      </c>
      <c r="R3783" s="31">
        <f t="shared" si="121"/>
        <v>0</v>
      </c>
    </row>
    <row r="3784" spans="16:18" ht="30.75" customHeight="1" x14ac:dyDescent="0.3">
      <c r="P3784" s="31">
        <f t="shared" si="120"/>
        <v>0</v>
      </c>
      <c r="R3784" s="31">
        <f t="shared" si="121"/>
        <v>0</v>
      </c>
    </row>
    <row r="3785" spans="16:18" ht="30.75" customHeight="1" x14ac:dyDescent="0.3">
      <c r="P3785" s="31">
        <f t="shared" si="120"/>
        <v>0</v>
      </c>
      <c r="R3785" s="31">
        <f t="shared" si="121"/>
        <v>0</v>
      </c>
    </row>
    <row r="3786" spans="16:18" ht="30.75" customHeight="1" x14ac:dyDescent="0.3">
      <c r="P3786" s="31">
        <f t="shared" si="120"/>
        <v>0</v>
      </c>
      <c r="R3786" s="31">
        <f t="shared" si="121"/>
        <v>0</v>
      </c>
    </row>
    <row r="3787" spans="16:18" ht="30.75" customHeight="1" x14ac:dyDescent="0.3">
      <c r="P3787" s="31">
        <f t="shared" si="120"/>
        <v>0</v>
      </c>
      <c r="R3787" s="31">
        <f t="shared" si="121"/>
        <v>0</v>
      </c>
    </row>
    <row r="3788" spans="16:18" ht="30.75" customHeight="1" x14ac:dyDescent="0.3">
      <c r="P3788" s="31">
        <f t="shared" si="120"/>
        <v>0</v>
      </c>
      <c r="R3788" s="31">
        <f t="shared" si="121"/>
        <v>0</v>
      </c>
    </row>
    <row r="3789" spans="16:18" ht="30.75" customHeight="1" x14ac:dyDescent="0.3">
      <c r="P3789" s="31">
        <f t="shared" si="120"/>
        <v>0</v>
      </c>
      <c r="R3789" s="31">
        <f t="shared" si="121"/>
        <v>0</v>
      </c>
    </row>
    <row r="3790" spans="16:18" ht="30.75" customHeight="1" x14ac:dyDescent="0.3">
      <c r="P3790" s="31">
        <f t="shared" si="120"/>
        <v>0</v>
      </c>
      <c r="R3790" s="31">
        <f t="shared" si="121"/>
        <v>0</v>
      </c>
    </row>
    <row r="3791" spans="16:18" ht="30.75" customHeight="1" x14ac:dyDescent="0.3">
      <c r="P3791" s="31">
        <f t="shared" si="120"/>
        <v>0</v>
      </c>
      <c r="R3791" s="31">
        <f t="shared" si="121"/>
        <v>0</v>
      </c>
    </row>
    <row r="3792" spans="16:18" ht="30.75" customHeight="1" x14ac:dyDescent="0.3">
      <c r="P3792" s="31">
        <f t="shared" si="120"/>
        <v>0</v>
      </c>
      <c r="R3792" s="31">
        <f t="shared" si="121"/>
        <v>0</v>
      </c>
    </row>
    <row r="3793" spans="16:18" ht="30.75" customHeight="1" x14ac:dyDescent="0.3">
      <c r="P3793" s="31">
        <f t="shared" si="120"/>
        <v>0</v>
      </c>
      <c r="R3793" s="31">
        <f t="shared" si="121"/>
        <v>0</v>
      </c>
    </row>
    <row r="3794" spans="16:18" ht="30.75" customHeight="1" x14ac:dyDescent="0.3">
      <c r="P3794" s="31">
        <f t="shared" si="120"/>
        <v>0</v>
      </c>
      <c r="R3794" s="31">
        <f t="shared" si="121"/>
        <v>0</v>
      </c>
    </row>
    <row r="3795" spans="16:18" ht="30.75" customHeight="1" x14ac:dyDescent="0.3">
      <c r="P3795" s="31">
        <f t="shared" si="120"/>
        <v>0</v>
      </c>
      <c r="R3795" s="31">
        <f t="shared" si="121"/>
        <v>0</v>
      </c>
    </row>
    <row r="3796" spans="16:18" ht="30.75" customHeight="1" x14ac:dyDescent="0.3">
      <c r="P3796" s="31">
        <f t="shared" si="120"/>
        <v>0</v>
      </c>
      <c r="R3796" s="31">
        <f t="shared" si="121"/>
        <v>0</v>
      </c>
    </row>
    <row r="3797" spans="16:18" ht="30.75" customHeight="1" x14ac:dyDescent="0.3">
      <c r="P3797" s="31">
        <f t="shared" si="120"/>
        <v>0</v>
      </c>
      <c r="R3797" s="31">
        <f t="shared" si="121"/>
        <v>0</v>
      </c>
    </row>
    <row r="3798" spans="16:18" ht="30.75" customHeight="1" x14ac:dyDescent="0.3">
      <c r="P3798" s="31">
        <f t="shared" si="120"/>
        <v>0</v>
      </c>
      <c r="R3798" s="31">
        <f t="shared" si="121"/>
        <v>0</v>
      </c>
    </row>
    <row r="3799" spans="16:18" ht="30.75" customHeight="1" x14ac:dyDescent="0.3">
      <c r="P3799" s="31">
        <f t="shared" si="120"/>
        <v>0</v>
      </c>
      <c r="R3799" s="31">
        <f t="shared" si="121"/>
        <v>0</v>
      </c>
    </row>
    <row r="3800" spans="16:18" ht="30.75" customHeight="1" x14ac:dyDescent="0.3">
      <c r="P3800" s="31">
        <f t="shared" si="120"/>
        <v>0</v>
      </c>
      <c r="R3800" s="31">
        <f t="shared" si="121"/>
        <v>0</v>
      </c>
    </row>
    <row r="3801" spans="16:18" ht="30.75" customHeight="1" x14ac:dyDescent="0.3">
      <c r="P3801" s="31">
        <f t="shared" si="120"/>
        <v>0</v>
      </c>
      <c r="R3801" s="31">
        <f t="shared" si="121"/>
        <v>0</v>
      </c>
    </row>
    <row r="3802" spans="16:18" ht="30.75" customHeight="1" x14ac:dyDescent="0.3">
      <c r="P3802" s="31">
        <f t="shared" si="120"/>
        <v>0</v>
      </c>
      <c r="R3802" s="31">
        <f t="shared" si="121"/>
        <v>0</v>
      </c>
    </row>
    <row r="3803" spans="16:18" ht="30.75" customHeight="1" x14ac:dyDescent="0.3">
      <c r="P3803" s="31">
        <f t="shared" si="120"/>
        <v>0</v>
      </c>
      <c r="R3803" s="31">
        <f t="shared" si="121"/>
        <v>0</v>
      </c>
    </row>
    <row r="3804" spans="16:18" ht="30.75" customHeight="1" x14ac:dyDescent="0.3">
      <c r="P3804" s="31">
        <f t="shared" si="120"/>
        <v>0</v>
      </c>
      <c r="R3804" s="31">
        <f t="shared" si="121"/>
        <v>0</v>
      </c>
    </row>
    <row r="3805" spans="16:18" ht="30.75" customHeight="1" x14ac:dyDescent="0.3">
      <c r="P3805" s="31">
        <f t="shared" si="120"/>
        <v>0</v>
      </c>
      <c r="R3805" s="31">
        <f t="shared" si="121"/>
        <v>0</v>
      </c>
    </row>
    <row r="3806" spans="16:18" ht="30.75" customHeight="1" x14ac:dyDescent="0.3">
      <c r="P3806" s="31">
        <f t="shared" si="120"/>
        <v>0</v>
      </c>
      <c r="R3806" s="31">
        <f t="shared" si="121"/>
        <v>0</v>
      </c>
    </row>
    <row r="3807" spans="16:18" ht="30.75" customHeight="1" x14ac:dyDescent="0.3">
      <c r="P3807" s="31">
        <f t="shared" si="120"/>
        <v>0</v>
      </c>
      <c r="R3807" s="31">
        <f t="shared" si="121"/>
        <v>0</v>
      </c>
    </row>
    <row r="3808" spans="16:18" ht="30.75" customHeight="1" x14ac:dyDescent="0.3">
      <c r="P3808" s="31">
        <f t="shared" si="120"/>
        <v>0</v>
      </c>
      <c r="R3808" s="31">
        <f t="shared" si="121"/>
        <v>0</v>
      </c>
    </row>
    <row r="3809" spans="16:18" ht="30.75" customHeight="1" x14ac:dyDescent="0.3">
      <c r="P3809" s="31">
        <f t="shared" si="120"/>
        <v>0</v>
      </c>
      <c r="R3809" s="31">
        <f t="shared" si="121"/>
        <v>0</v>
      </c>
    </row>
    <row r="3810" spans="16:18" ht="30.75" customHeight="1" x14ac:dyDescent="0.3">
      <c r="P3810" s="31">
        <f t="shared" si="120"/>
        <v>0</v>
      </c>
      <c r="R3810" s="31">
        <f t="shared" si="121"/>
        <v>0</v>
      </c>
    </row>
    <row r="3811" spans="16:18" ht="30.75" customHeight="1" x14ac:dyDescent="0.3">
      <c r="P3811" s="31">
        <f t="shared" si="120"/>
        <v>0</v>
      </c>
      <c r="R3811" s="31">
        <f t="shared" si="121"/>
        <v>0</v>
      </c>
    </row>
    <row r="3812" spans="16:18" ht="30.75" customHeight="1" x14ac:dyDescent="0.3">
      <c r="P3812" s="31">
        <f t="shared" si="120"/>
        <v>0</v>
      </c>
      <c r="R3812" s="31">
        <f t="shared" si="121"/>
        <v>0</v>
      </c>
    </row>
    <row r="3813" spans="16:18" ht="30.75" customHeight="1" x14ac:dyDescent="0.3">
      <c r="P3813" s="31">
        <f t="shared" si="120"/>
        <v>0</v>
      </c>
      <c r="R3813" s="31">
        <f t="shared" si="121"/>
        <v>0</v>
      </c>
    </row>
    <row r="3814" spans="16:18" ht="30.75" customHeight="1" x14ac:dyDescent="0.3">
      <c r="P3814" s="31">
        <f t="shared" si="120"/>
        <v>0</v>
      </c>
      <c r="R3814" s="31">
        <f t="shared" si="121"/>
        <v>0</v>
      </c>
    </row>
    <row r="3815" spans="16:18" ht="30.75" customHeight="1" x14ac:dyDescent="0.3">
      <c r="P3815" s="31">
        <f t="shared" si="120"/>
        <v>0</v>
      </c>
      <c r="R3815" s="31">
        <f t="shared" si="121"/>
        <v>0</v>
      </c>
    </row>
    <row r="3816" spans="16:18" ht="30.75" customHeight="1" x14ac:dyDescent="0.3">
      <c r="P3816" s="31">
        <f t="shared" ref="P3816:P3879" si="122">K3816-L3816-M3816-N3816+O3816</f>
        <v>0</v>
      </c>
      <c r="R3816" s="31">
        <f t="shared" ref="R3816:R3879" si="123">R3815+K3816-L3816-M3816-N3816+O3816-Q3816</f>
        <v>0</v>
      </c>
    </row>
    <row r="3817" spans="16:18" ht="30.75" customHeight="1" x14ac:dyDescent="0.3">
      <c r="P3817" s="31">
        <f t="shared" si="122"/>
        <v>0</v>
      </c>
      <c r="R3817" s="31">
        <f t="shared" si="123"/>
        <v>0</v>
      </c>
    </row>
    <row r="3818" spans="16:18" ht="30.75" customHeight="1" x14ac:dyDescent="0.3">
      <c r="P3818" s="31">
        <f t="shared" si="122"/>
        <v>0</v>
      </c>
      <c r="R3818" s="31">
        <f t="shared" si="123"/>
        <v>0</v>
      </c>
    </row>
    <row r="3819" spans="16:18" ht="30.75" customHeight="1" x14ac:dyDescent="0.3">
      <c r="P3819" s="31">
        <f t="shared" si="122"/>
        <v>0</v>
      </c>
      <c r="R3819" s="31">
        <f t="shared" si="123"/>
        <v>0</v>
      </c>
    </row>
    <row r="3820" spans="16:18" ht="30.75" customHeight="1" x14ac:dyDescent="0.3">
      <c r="P3820" s="31">
        <f t="shared" si="122"/>
        <v>0</v>
      </c>
      <c r="R3820" s="31">
        <f t="shared" si="123"/>
        <v>0</v>
      </c>
    </row>
    <row r="3821" spans="16:18" ht="30.75" customHeight="1" x14ac:dyDescent="0.3">
      <c r="P3821" s="31">
        <f t="shared" si="122"/>
        <v>0</v>
      </c>
      <c r="R3821" s="31">
        <f t="shared" si="123"/>
        <v>0</v>
      </c>
    </row>
    <row r="3822" spans="16:18" ht="30.75" customHeight="1" x14ac:dyDescent="0.3">
      <c r="P3822" s="31">
        <f t="shared" si="122"/>
        <v>0</v>
      </c>
      <c r="R3822" s="31">
        <f t="shared" si="123"/>
        <v>0</v>
      </c>
    </row>
    <row r="3823" spans="16:18" ht="30.75" customHeight="1" x14ac:dyDescent="0.3">
      <c r="P3823" s="31">
        <f t="shared" si="122"/>
        <v>0</v>
      </c>
      <c r="R3823" s="31">
        <f t="shared" si="123"/>
        <v>0</v>
      </c>
    </row>
    <row r="3824" spans="16:18" ht="30.75" customHeight="1" x14ac:dyDescent="0.3">
      <c r="P3824" s="31">
        <f t="shared" si="122"/>
        <v>0</v>
      </c>
      <c r="R3824" s="31">
        <f t="shared" si="123"/>
        <v>0</v>
      </c>
    </row>
    <row r="3825" spans="16:18" ht="30.75" customHeight="1" x14ac:dyDescent="0.3">
      <c r="P3825" s="31">
        <f t="shared" si="122"/>
        <v>0</v>
      </c>
      <c r="R3825" s="31">
        <f t="shared" si="123"/>
        <v>0</v>
      </c>
    </row>
    <row r="3826" spans="16:18" ht="30.75" customHeight="1" x14ac:dyDescent="0.3">
      <c r="P3826" s="31">
        <f t="shared" si="122"/>
        <v>0</v>
      </c>
      <c r="R3826" s="31">
        <f t="shared" si="123"/>
        <v>0</v>
      </c>
    </row>
    <row r="3827" spans="16:18" ht="30.75" customHeight="1" x14ac:dyDescent="0.3">
      <c r="P3827" s="31">
        <f t="shared" si="122"/>
        <v>0</v>
      </c>
      <c r="R3827" s="31">
        <f t="shared" si="123"/>
        <v>0</v>
      </c>
    </row>
    <row r="3828" spans="16:18" ht="30.75" customHeight="1" x14ac:dyDescent="0.3">
      <c r="P3828" s="31">
        <f t="shared" si="122"/>
        <v>0</v>
      </c>
      <c r="R3828" s="31">
        <f t="shared" si="123"/>
        <v>0</v>
      </c>
    </row>
    <row r="3829" spans="16:18" ht="30.75" customHeight="1" x14ac:dyDescent="0.3">
      <c r="P3829" s="31">
        <f t="shared" si="122"/>
        <v>0</v>
      </c>
      <c r="R3829" s="31">
        <f t="shared" si="123"/>
        <v>0</v>
      </c>
    </row>
    <row r="3830" spans="16:18" ht="30.75" customHeight="1" x14ac:dyDescent="0.3">
      <c r="P3830" s="31">
        <f t="shared" si="122"/>
        <v>0</v>
      </c>
      <c r="R3830" s="31">
        <f t="shared" si="123"/>
        <v>0</v>
      </c>
    </row>
    <row r="3831" spans="16:18" ht="30.75" customHeight="1" x14ac:dyDescent="0.3">
      <c r="P3831" s="31">
        <f t="shared" si="122"/>
        <v>0</v>
      </c>
      <c r="R3831" s="31">
        <f t="shared" si="123"/>
        <v>0</v>
      </c>
    </row>
    <row r="3832" spans="16:18" ht="30.75" customHeight="1" x14ac:dyDescent="0.3">
      <c r="P3832" s="31">
        <f t="shared" si="122"/>
        <v>0</v>
      </c>
      <c r="R3832" s="31">
        <f t="shared" si="123"/>
        <v>0</v>
      </c>
    </row>
    <row r="3833" spans="16:18" ht="30.75" customHeight="1" x14ac:dyDescent="0.3">
      <c r="P3833" s="31">
        <f t="shared" si="122"/>
        <v>0</v>
      </c>
      <c r="R3833" s="31">
        <f t="shared" si="123"/>
        <v>0</v>
      </c>
    </row>
    <row r="3834" spans="16:18" ht="30.75" customHeight="1" x14ac:dyDescent="0.3">
      <c r="P3834" s="31">
        <f t="shared" si="122"/>
        <v>0</v>
      </c>
      <c r="R3834" s="31">
        <f t="shared" si="123"/>
        <v>0</v>
      </c>
    </row>
    <row r="3835" spans="16:18" ht="30.75" customHeight="1" x14ac:dyDescent="0.3">
      <c r="P3835" s="31">
        <f t="shared" si="122"/>
        <v>0</v>
      </c>
      <c r="R3835" s="31">
        <f t="shared" si="123"/>
        <v>0</v>
      </c>
    </row>
    <row r="3836" spans="16:18" ht="30.75" customHeight="1" x14ac:dyDescent="0.3">
      <c r="P3836" s="31">
        <f t="shared" si="122"/>
        <v>0</v>
      </c>
      <c r="R3836" s="31">
        <f t="shared" si="123"/>
        <v>0</v>
      </c>
    </row>
    <row r="3837" spans="16:18" ht="30.75" customHeight="1" x14ac:dyDescent="0.3">
      <c r="P3837" s="31">
        <f t="shared" si="122"/>
        <v>0</v>
      </c>
      <c r="R3837" s="31">
        <f t="shared" si="123"/>
        <v>0</v>
      </c>
    </row>
    <row r="3838" spans="16:18" ht="30.75" customHeight="1" x14ac:dyDescent="0.3">
      <c r="P3838" s="31">
        <f t="shared" si="122"/>
        <v>0</v>
      </c>
      <c r="R3838" s="31">
        <f t="shared" si="123"/>
        <v>0</v>
      </c>
    </row>
    <row r="3839" spans="16:18" ht="30.75" customHeight="1" x14ac:dyDescent="0.3">
      <c r="P3839" s="31">
        <f t="shared" si="122"/>
        <v>0</v>
      </c>
      <c r="R3839" s="31">
        <f t="shared" si="123"/>
        <v>0</v>
      </c>
    </row>
    <row r="3840" spans="16:18" ht="30.75" customHeight="1" x14ac:dyDescent="0.3">
      <c r="P3840" s="31">
        <f t="shared" si="122"/>
        <v>0</v>
      </c>
      <c r="R3840" s="31">
        <f t="shared" si="123"/>
        <v>0</v>
      </c>
    </row>
    <row r="3841" spans="16:18" ht="30.75" customHeight="1" x14ac:dyDescent="0.3">
      <c r="P3841" s="31">
        <f t="shared" si="122"/>
        <v>0</v>
      </c>
      <c r="R3841" s="31">
        <f t="shared" si="123"/>
        <v>0</v>
      </c>
    </row>
    <row r="3842" spans="16:18" ht="30.75" customHeight="1" x14ac:dyDescent="0.3">
      <c r="P3842" s="31">
        <f t="shared" si="122"/>
        <v>0</v>
      </c>
      <c r="R3842" s="31">
        <f t="shared" si="123"/>
        <v>0</v>
      </c>
    </row>
    <row r="3843" spans="16:18" ht="30.75" customHeight="1" x14ac:dyDescent="0.3">
      <c r="P3843" s="31">
        <f t="shared" si="122"/>
        <v>0</v>
      </c>
      <c r="R3843" s="31">
        <f t="shared" si="123"/>
        <v>0</v>
      </c>
    </row>
    <row r="3844" spans="16:18" ht="30.75" customHeight="1" x14ac:dyDescent="0.3">
      <c r="P3844" s="31">
        <f t="shared" si="122"/>
        <v>0</v>
      </c>
      <c r="R3844" s="31">
        <f t="shared" si="123"/>
        <v>0</v>
      </c>
    </row>
    <row r="3845" spans="16:18" ht="30.75" customHeight="1" x14ac:dyDescent="0.3">
      <c r="P3845" s="31">
        <f t="shared" si="122"/>
        <v>0</v>
      </c>
      <c r="R3845" s="31">
        <f t="shared" si="123"/>
        <v>0</v>
      </c>
    </row>
    <row r="3846" spans="16:18" ht="30.75" customHeight="1" x14ac:dyDescent="0.3">
      <c r="P3846" s="31">
        <f t="shared" si="122"/>
        <v>0</v>
      </c>
      <c r="R3846" s="31">
        <f t="shared" si="123"/>
        <v>0</v>
      </c>
    </row>
    <row r="3847" spans="16:18" ht="30.75" customHeight="1" x14ac:dyDescent="0.3">
      <c r="P3847" s="31">
        <f t="shared" si="122"/>
        <v>0</v>
      </c>
      <c r="R3847" s="31">
        <f t="shared" si="123"/>
        <v>0</v>
      </c>
    </row>
    <row r="3848" spans="16:18" ht="30.75" customHeight="1" x14ac:dyDescent="0.3">
      <c r="P3848" s="31">
        <f t="shared" si="122"/>
        <v>0</v>
      </c>
      <c r="R3848" s="31">
        <f t="shared" si="123"/>
        <v>0</v>
      </c>
    </row>
    <row r="3849" spans="16:18" ht="30.75" customHeight="1" x14ac:dyDescent="0.3">
      <c r="P3849" s="31">
        <f t="shared" si="122"/>
        <v>0</v>
      </c>
      <c r="R3849" s="31">
        <f t="shared" si="123"/>
        <v>0</v>
      </c>
    </row>
    <row r="3850" spans="16:18" ht="30.75" customHeight="1" x14ac:dyDescent="0.3">
      <c r="P3850" s="31">
        <f t="shared" si="122"/>
        <v>0</v>
      </c>
      <c r="R3850" s="31">
        <f t="shared" si="123"/>
        <v>0</v>
      </c>
    </row>
    <row r="3851" spans="16:18" ht="30.75" customHeight="1" x14ac:dyDescent="0.3">
      <c r="P3851" s="31">
        <f t="shared" si="122"/>
        <v>0</v>
      </c>
      <c r="R3851" s="31">
        <f t="shared" si="123"/>
        <v>0</v>
      </c>
    </row>
    <row r="3852" spans="16:18" ht="30.75" customHeight="1" x14ac:dyDescent="0.3">
      <c r="P3852" s="31">
        <f t="shared" si="122"/>
        <v>0</v>
      </c>
      <c r="R3852" s="31">
        <f t="shared" si="123"/>
        <v>0</v>
      </c>
    </row>
    <row r="3853" spans="16:18" ht="30.75" customHeight="1" x14ac:dyDescent="0.3">
      <c r="P3853" s="31">
        <f t="shared" si="122"/>
        <v>0</v>
      </c>
      <c r="R3853" s="31">
        <f t="shared" si="123"/>
        <v>0</v>
      </c>
    </row>
    <row r="3854" spans="16:18" ht="30.75" customHeight="1" x14ac:dyDescent="0.3">
      <c r="P3854" s="31">
        <f t="shared" si="122"/>
        <v>0</v>
      </c>
      <c r="R3854" s="31">
        <f t="shared" si="123"/>
        <v>0</v>
      </c>
    </row>
    <row r="3855" spans="16:18" ht="30.75" customHeight="1" x14ac:dyDescent="0.3">
      <c r="P3855" s="31">
        <f t="shared" si="122"/>
        <v>0</v>
      </c>
      <c r="R3855" s="31">
        <f t="shared" si="123"/>
        <v>0</v>
      </c>
    </row>
    <row r="3856" spans="16:18" ht="30.75" customHeight="1" x14ac:dyDescent="0.3">
      <c r="P3856" s="31">
        <f t="shared" si="122"/>
        <v>0</v>
      </c>
      <c r="R3856" s="31">
        <f t="shared" si="123"/>
        <v>0</v>
      </c>
    </row>
    <row r="3857" spans="16:18" ht="30.75" customHeight="1" x14ac:dyDescent="0.3">
      <c r="P3857" s="31">
        <f t="shared" si="122"/>
        <v>0</v>
      </c>
      <c r="R3857" s="31">
        <f t="shared" si="123"/>
        <v>0</v>
      </c>
    </row>
    <row r="3858" spans="16:18" ht="30.75" customHeight="1" x14ac:dyDescent="0.3">
      <c r="P3858" s="31">
        <f t="shared" si="122"/>
        <v>0</v>
      </c>
      <c r="R3858" s="31">
        <f t="shared" si="123"/>
        <v>0</v>
      </c>
    </row>
    <row r="3859" spans="16:18" ht="30.75" customHeight="1" x14ac:dyDescent="0.3">
      <c r="P3859" s="31">
        <f t="shared" si="122"/>
        <v>0</v>
      </c>
      <c r="R3859" s="31">
        <f t="shared" si="123"/>
        <v>0</v>
      </c>
    </row>
    <row r="3860" spans="16:18" ht="30.75" customHeight="1" x14ac:dyDescent="0.3">
      <c r="P3860" s="31">
        <f t="shared" si="122"/>
        <v>0</v>
      </c>
      <c r="R3860" s="31">
        <f t="shared" si="123"/>
        <v>0</v>
      </c>
    </row>
    <row r="3861" spans="16:18" ht="30.75" customHeight="1" x14ac:dyDescent="0.3">
      <c r="P3861" s="31">
        <f t="shared" si="122"/>
        <v>0</v>
      </c>
      <c r="R3861" s="31">
        <f t="shared" si="123"/>
        <v>0</v>
      </c>
    </row>
    <row r="3862" spans="16:18" ht="30.75" customHeight="1" x14ac:dyDescent="0.3">
      <c r="P3862" s="31">
        <f t="shared" si="122"/>
        <v>0</v>
      </c>
      <c r="R3862" s="31">
        <f t="shared" si="123"/>
        <v>0</v>
      </c>
    </row>
    <row r="3863" spans="16:18" ht="30.75" customHeight="1" x14ac:dyDescent="0.3">
      <c r="P3863" s="31">
        <f t="shared" si="122"/>
        <v>0</v>
      </c>
      <c r="R3863" s="31">
        <f t="shared" si="123"/>
        <v>0</v>
      </c>
    </row>
    <row r="3864" spans="16:18" ht="30.75" customHeight="1" x14ac:dyDescent="0.3">
      <c r="P3864" s="31">
        <f t="shared" si="122"/>
        <v>0</v>
      </c>
      <c r="R3864" s="31">
        <f t="shared" si="123"/>
        <v>0</v>
      </c>
    </row>
    <row r="3865" spans="16:18" ht="30.75" customHeight="1" x14ac:dyDescent="0.3">
      <c r="P3865" s="31">
        <f t="shared" si="122"/>
        <v>0</v>
      </c>
      <c r="R3865" s="31">
        <f t="shared" si="123"/>
        <v>0</v>
      </c>
    </row>
    <row r="3866" spans="16:18" ht="30.75" customHeight="1" x14ac:dyDescent="0.3">
      <c r="P3866" s="31">
        <f t="shared" si="122"/>
        <v>0</v>
      </c>
      <c r="R3866" s="31">
        <f t="shared" si="123"/>
        <v>0</v>
      </c>
    </row>
    <row r="3867" spans="16:18" ht="30.75" customHeight="1" x14ac:dyDescent="0.3">
      <c r="P3867" s="31">
        <f t="shared" si="122"/>
        <v>0</v>
      </c>
      <c r="R3867" s="31">
        <f t="shared" si="123"/>
        <v>0</v>
      </c>
    </row>
    <row r="3868" spans="16:18" ht="30.75" customHeight="1" x14ac:dyDescent="0.3">
      <c r="P3868" s="31">
        <f t="shared" si="122"/>
        <v>0</v>
      </c>
      <c r="R3868" s="31">
        <f t="shared" si="123"/>
        <v>0</v>
      </c>
    </row>
    <row r="3869" spans="16:18" ht="30.75" customHeight="1" x14ac:dyDescent="0.3">
      <c r="P3869" s="31">
        <f t="shared" si="122"/>
        <v>0</v>
      </c>
      <c r="R3869" s="31">
        <f t="shared" si="123"/>
        <v>0</v>
      </c>
    </row>
    <row r="3870" spans="16:18" ht="30.75" customHeight="1" x14ac:dyDescent="0.3">
      <c r="P3870" s="31">
        <f t="shared" si="122"/>
        <v>0</v>
      </c>
      <c r="R3870" s="31">
        <f t="shared" si="123"/>
        <v>0</v>
      </c>
    </row>
    <row r="3871" spans="16:18" ht="30.75" customHeight="1" x14ac:dyDescent="0.3">
      <c r="P3871" s="31">
        <f t="shared" si="122"/>
        <v>0</v>
      </c>
      <c r="R3871" s="31">
        <f t="shared" si="123"/>
        <v>0</v>
      </c>
    </row>
    <row r="3872" spans="16:18" ht="30.75" customHeight="1" x14ac:dyDescent="0.3">
      <c r="P3872" s="31">
        <f t="shared" si="122"/>
        <v>0</v>
      </c>
      <c r="R3872" s="31">
        <f t="shared" si="123"/>
        <v>0</v>
      </c>
    </row>
    <row r="3873" spans="16:18" ht="30.75" customHeight="1" x14ac:dyDescent="0.3">
      <c r="P3873" s="31">
        <f t="shared" si="122"/>
        <v>0</v>
      </c>
      <c r="R3873" s="31">
        <f t="shared" si="123"/>
        <v>0</v>
      </c>
    </row>
    <row r="3874" spans="16:18" ht="30.75" customHeight="1" x14ac:dyDescent="0.3">
      <c r="P3874" s="31">
        <f t="shared" si="122"/>
        <v>0</v>
      </c>
      <c r="R3874" s="31">
        <f t="shared" si="123"/>
        <v>0</v>
      </c>
    </row>
    <row r="3875" spans="16:18" ht="30.75" customHeight="1" x14ac:dyDescent="0.3">
      <c r="P3875" s="31">
        <f t="shared" si="122"/>
        <v>0</v>
      </c>
      <c r="R3875" s="31">
        <f t="shared" si="123"/>
        <v>0</v>
      </c>
    </row>
    <row r="3876" spans="16:18" ht="30.75" customHeight="1" x14ac:dyDescent="0.3">
      <c r="P3876" s="31">
        <f t="shared" si="122"/>
        <v>0</v>
      </c>
      <c r="R3876" s="31">
        <f t="shared" si="123"/>
        <v>0</v>
      </c>
    </row>
    <row r="3877" spans="16:18" ht="30.75" customHeight="1" x14ac:dyDescent="0.3">
      <c r="P3877" s="31">
        <f t="shared" si="122"/>
        <v>0</v>
      </c>
      <c r="R3877" s="31">
        <f t="shared" si="123"/>
        <v>0</v>
      </c>
    </row>
    <row r="3878" spans="16:18" ht="30.75" customHeight="1" x14ac:dyDescent="0.3">
      <c r="P3878" s="31">
        <f t="shared" si="122"/>
        <v>0</v>
      </c>
      <c r="R3878" s="31">
        <f t="shared" si="123"/>
        <v>0</v>
      </c>
    </row>
    <row r="3879" spans="16:18" ht="30.75" customHeight="1" x14ac:dyDescent="0.3">
      <c r="P3879" s="31">
        <f t="shared" si="122"/>
        <v>0</v>
      </c>
      <c r="R3879" s="31">
        <f t="shared" si="123"/>
        <v>0</v>
      </c>
    </row>
    <row r="3880" spans="16:18" ht="30.75" customHeight="1" x14ac:dyDescent="0.3">
      <c r="P3880" s="31">
        <f t="shared" ref="P3880:P3943" si="124">K3880-L3880-M3880-N3880+O3880</f>
        <v>0</v>
      </c>
      <c r="R3880" s="31">
        <f t="shared" ref="R3880:R3943" si="125">R3879+K3880-L3880-M3880-N3880+O3880-Q3880</f>
        <v>0</v>
      </c>
    </row>
    <row r="3881" spans="16:18" ht="30.75" customHeight="1" x14ac:dyDescent="0.3">
      <c r="P3881" s="31">
        <f t="shared" si="124"/>
        <v>0</v>
      </c>
      <c r="R3881" s="31">
        <f t="shared" si="125"/>
        <v>0</v>
      </c>
    </row>
    <row r="3882" spans="16:18" ht="30.75" customHeight="1" x14ac:dyDescent="0.3">
      <c r="P3882" s="31">
        <f t="shared" si="124"/>
        <v>0</v>
      </c>
      <c r="R3882" s="31">
        <f t="shared" si="125"/>
        <v>0</v>
      </c>
    </row>
    <row r="3883" spans="16:18" ht="30.75" customHeight="1" x14ac:dyDescent="0.3">
      <c r="P3883" s="31">
        <f t="shared" si="124"/>
        <v>0</v>
      </c>
      <c r="R3883" s="31">
        <f t="shared" si="125"/>
        <v>0</v>
      </c>
    </row>
    <row r="3884" spans="16:18" ht="30.75" customHeight="1" x14ac:dyDescent="0.3">
      <c r="P3884" s="31">
        <f t="shared" si="124"/>
        <v>0</v>
      </c>
      <c r="R3884" s="31">
        <f t="shared" si="125"/>
        <v>0</v>
      </c>
    </row>
    <row r="3885" spans="16:18" ht="30.75" customHeight="1" x14ac:dyDescent="0.3">
      <c r="P3885" s="31">
        <f t="shared" si="124"/>
        <v>0</v>
      </c>
      <c r="R3885" s="31">
        <f t="shared" si="125"/>
        <v>0</v>
      </c>
    </row>
    <row r="3886" spans="16:18" ht="30.75" customHeight="1" x14ac:dyDescent="0.3">
      <c r="P3886" s="31">
        <f t="shared" si="124"/>
        <v>0</v>
      </c>
      <c r="R3886" s="31">
        <f t="shared" si="125"/>
        <v>0</v>
      </c>
    </row>
    <row r="3887" spans="16:18" ht="30.75" customHeight="1" x14ac:dyDescent="0.3">
      <c r="P3887" s="31">
        <f t="shared" si="124"/>
        <v>0</v>
      </c>
      <c r="R3887" s="31">
        <f t="shared" si="125"/>
        <v>0</v>
      </c>
    </row>
    <row r="3888" spans="16:18" ht="30.75" customHeight="1" x14ac:dyDescent="0.3">
      <c r="P3888" s="31">
        <f t="shared" si="124"/>
        <v>0</v>
      </c>
      <c r="R3888" s="31">
        <f t="shared" si="125"/>
        <v>0</v>
      </c>
    </row>
    <row r="3889" spans="16:18" ht="30.75" customHeight="1" x14ac:dyDescent="0.3">
      <c r="P3889" s="31">
        <f t="shared" si="124"/>
        <v>0</v>
      </c>
      <c r="R3889" s="31">
        <f t="shared" si="125"/>
        <v>0</v>
      </c>
    </row>
    <row r="3890" spans="16:18" ht="30.75" customHeight="1" x14ac:dyDescent="0.3">
      <c r="P3890" s="31">
        <f t="shared" si="124"/>
        <v>0</v>
      </c>
      <c r="R3890" s="31">
        <f t="shared" si="125"/>
        <v>0</v>
      </c>
    </row>
    <row r="3891" spans="16:18" ht="30.75" customHeight="1" x14ac:dyDescent="0.3">
      <c r="P3891" s="31">
        <f t="shared" si="124"/>
        <v>0</v>
      </c>
      <c r="R3891" s="31">
        <f t="shared" si="125"/>
        <v>0</v>
      </c>
    </row>
    <row r="3892" spans="16:18" ht="30.75" customHeight="1" x14ac:dyDescent="0.3">
      <c r="P3892" s="31">
        <f t="shared" si="124"/>
        <v>0</v>
      </c>
      <c r="R3892" s="31">
        <f t="shared" si="125"/>
        <v>0</v>
      </c>
    </row>
    <row r="3893" spans="16:18" ht="30.75" customHeight="1" x14ac:dyDescent="0.3">
      <c r="P3893" s="31">
        <f t="shared" si="124"/>
        <v>0</v>
      </c>
      <c r="R3893" s="31">
        <f t="shared" si="125"/>
        <v>0</v>
      </c>
    </row>
    <row r="3894" spans="16:18" ht="30.75" customHeight="1" x14ac:dyDescent="0.3">
      <c r="P3894" s="31">
        <f t="shared" si="124"/>
        <v>0</v>
      </c>
      <c r="R3894" s="31">
        <f t="shared" si="125"/>
        <v>0</v>
      </c>
    </row>
    <row r="3895" spans="16:18" ht="30.75" customHeight="1" x14ac:dyDescent="0.3">
      <c r="P3895" s="31">
        <f t="shared" si="124"/>
        <v>0</v>
      </c>
      <c r="R3895" s="31">
        <f t="shared" si="125"/>
        <v>0</v>
      </c>
    </row>
    <row r="3896" spans="16:18" ht="30.75" customHeight="1" x14ac:dyDescent="0.3">
      <c r="P3896" s="31">
        <f t="shared" si="124"/>
        <v>0</v>
      </c>
      <c r="R3896" s="31">
        <f t="shared" si="125"/>
        <v>0</v>
      </c>
    </row>
    <row r="3897" spans="16:18" ht="30.75" customHeight="1" x14ac:dyDescent="0.3">
      <c r="P3897" s="31">
        <f t="shared" si="124"/>
        <v>0</v>
      </c>
      <c r="R3897" s="31">
        <f t="shared" si="125"/>
        <v>0</v>
      </c>
    </row>
    <row r="3898" spans="16:18" ht="30.75" customHeight="1" x14ac:dyDescent="0.3">
      <c r="P3898" s="31">
        <f t="shared" si="124"/>
        <v>0</v>
      </c>
      <c r="R3898" s="31">
        <f t="shared" si="125"/>
        <v>0</v>
      </c>
    </row>
    <row r="3899" spans="16:18" ht="30.75" customHeight="1" x14ac:dyDescent="0.3">
      <c r="P3899" s="31">
        <f t="shared" si="124"/>
        <v>0</v>
      </c>
      <c r="R3899" s="31">
        <f t="shared" si="125"/>
        <v>0</v>
      </c>
    </row>
    <row r="3900" spans="16:18" ht="30.75" customHeight="1" x14ac:dyDescent="0.3">
      <c r="P3900" s="31">
        <f t="shared" si="124"/>
        <v>0</v>
      </c>
      <c r="R3900" s="31">
        <f t="shared" si="125"/>
        <v>0</v>
      </c>
    </row>
    <row r="3901" spans="16:18" ht="30.75" customHeight="1" x14ac:dyDescent="0.3">
      <c r="P3901" s="31">
        <f t="shared" si="124"/>
        <v>0</v>
      </c>
      <c r="R3901" s="31">
        <f t="shared" si="125"/>
        <v>0</v>
      </c>
    </row>
    <row r="3902" spans="16:18" ht="30.75" customHeight="1" x14ac:dyDescent="0.3">
      <c r="P3902" s="31">
        <f t="shared" si="124"/>
        <v>0</v>
      </c>
      <c r="R3902" s="31">
        <f t="shared" si="125"/>
        <v>0</v>
      </c>
    </row>
    <row r="3903" spans="16:18" ht="30.75" customHeight="1" x14ac:dyDescent="0.3">
      <c r="P3903" s="31">
        <f t="shared" si="124"/>
        <v>0</v>
      </c>
      <c r="R3903" s="31">
        <f t="shared" si="125"/>
        <v>0</v>
      </c>
    </row>
    <row r="3904" spans="16:18" ht="30.75" customHeight="1" x14ac:dyDescent="0.3">
      <c r="P3904" s="31">
        <f t="shared" si="124"/>
        <v>0</v>
      </c>
      <c r="R3904" s="31">
        <f t="shared" si="125"/>
        <v>0</v>
      </c>
    </row>
    <row r="3905" spans="16:18" ht="30.75" customHeight="1" x14ac:dyDescent="0.3">
      <c r="P3905" s="31">
        <f t="shared" si="124"/>
        <v>0</v>
      </c>
      <c r="R3905" s="31">
        <f t="shared" si="125"/>
        <v>0</v>
      </c>
    </row>
    <row r="3906" spans="16:18" ht="30.75" customHeight="1" x14ac:dyDescent="0.3">
      <c r="P3906" s="31">
        <f t="shared" si="124"/>
        <v>0</v>
      </c>
      <c r="R3906" s="31">
        <f t="shared" si="125"/>
        <v>0</v>
      </c>
    </row>
    <row r="3907" spans="16:18" ht="30.75" customHeight="1" x14ac:dyDescent="0.3">
      <c r="P3907" s="31">
        <f t="shared" si="124"/>
        <v>0</v>
      </c>
      <c r="R3907" s="31">
        <f t="shared" si="125"/>
        <v>0</v>
      </c>
    </row>
    <row r="3908" spans="16:18" ht="30.75" customHeight="1" x14ac:dyDescent="0.3">
      <c r="P3908" s="31">
        <f t="shared" si="124"/>
        <v>0</v>
      </c>
      <c r="R3908" s="31">
        <f t="shared" si="125"/>
        <v>0</v>
      </c>
    </row>
    <row r="3909" spans="16:18" ht="30.75" customHeight="1" x14ac:dyDescent="0.3">
      <c r="P3909" s="31">
        <f t="shared" si="124"/>
        <v>0</v>
      </c>
      <c r="R3909" s="31">
        <f t="shared" si="125"/>
        <v>0</v>
      </c>
    </row>
    <row r="3910" spans="16:18" ht="30.75" customHeight="1" x14ac:dyDescent="0.3">
      <c r="P3910" s="31">
        <f t="shared" si="124"/>
        <v>0</v>
      </c>
      <c r="R3910" s="31">
        <f t="shared" si="125"/>
        <v>0</v>
      </c>
    </row>
    <row r="3911" spans="16:18" ht="30.75" customHeight="1" x14ac:dyDescent="0.3">
      <c r="P3911" s="31">
        <f t="shared" si="124"/>
        <v>0</v>
      </c>
      <c r="R3911" s="31">
        <f t="shared" si="125"/>
        <v>0</v>
      </c>
    </row>
    <row r="3912" spans="16:18" ht="30.75" customHeight="1" x14ac:dyDescent="0.3">
      <c r="P3912" s="31">
        <f t="shared" si="124"/>
        <v>0</v>
      </c>
      <c r="R3912" s="31">
        <f t="shared" si="125"/>
        <v>0</v>
      </c>
    </row>
    <row r="3913" spans="16:18" ht="30.75" customHeight="1" x14ac:dyDescent="0.3">
      <c r="P3913" s="31">
        <f t="shared" si="124"/>
        <v>0</v>
      </c>
      <c r="R3913" s="31">
        <f t="shared" si="125"/>
        <v>0</v>
      </c>
    </row>
    <row r="3914" spans="16:18" ht="30.75" customHeight="1" x14ac:dyDescent="0.3">
      <c r="P3914" s="31">
        <f t="shared" si="124"/>
        <v>0</v>
      </c>
      <c r="R3914" s="31">
        <f t="shared" si="125"/>
        <v>0</v>
      </c>
    </row>
    <row r="3915" spans="16:18" ht="30.75" customHeight="1" x14ac:dyDescent="0.3">
      <c r="P3915" s="31">
        <f t="shared" si="124"/>
        <v>0</v>
      </c>
      <c r="R3915" s="31">
        <f t="shared" si="125"/>
        <v>0</v>
      </c>
    </row>
    <row r="3916" spans="16:18" ht="30.75" customHeight="1" x14ac:dyDescent="0.3">
      <c r="P3916" s="31">
        <f t="shared" si="124"/>
        <v>0</v>
      </c>
      <c r="R3916" s="31">
        <f t="shared" si="125"/>
        <v>0</v>
      </c>
    </row>
    <row r="3917" spans="16:18" ht="30.75" customHeight="1" x14ac:dyDescent="0.3">
      <c r="P3917" s="31">
        <f t="shared" si="124"/>
        <v>0</v>
      </c>
      <c r="R3917" s="31">
        <f t="shared" si="125"/>
        <v>0</v>
      </c>
    </row>
    <row r="3918" spans="16:18" ht="30.75" customHeight="1" x14ac:dyDescent="0.3">
      <c r="P3918" s="31">
        <f t="shared" si="124"/>
        <v>0</v>
      </c>
      <c r="R3918" s="31">
        <f t="shared" si="125"/>
        <v>0</v>
      </c>
    </row>
    <row r="3919" spans="16:18" ht="30.75" customHeight="1" x14ac:dyDescent="0.3">
      <c r="P3919" s="31">
        <f t="shared" si="124"/>
        <v>0</v>
      </c>
      <c r="R3919" s="31">
        <f t="shared" si="125"/>
        <v>0</v>
      </c>
    </row>
    <row r="3920" spans="16:18" ht="30.75" customHeight="1" x14ac:dyDescent="0.3">
      <c r="P3920" s="31">
        <f t="shared" si="124"/>
        <v>0</v>
      </c>
      <c r="R3920" s="31">
        <f t="shared" si="125"/>
        <v>0</v>
      </c>
    </row>
    <row r="3921" spans="16:18" ht="30.75" customHeight="1" x14ac:dyDescent="0.3">
      <c r="P3921" s="31">
        <f t="shared" si="124"/>
        <v>0</v>
      </c>
      <c r="R3921" s="31">
        <f t="shared" si="125"/>
        <v>0</v>
      </c>
    </row>
    <row r="3922" spans="16:18" ht="30.75" customHeight="1" x14ac:dyDescent="0.3">
      <c r="P3922" s="31">
        <f t="shared" si="124"/>
        <v>0</v>
      </c>
      <c r="R3922" s="31">
        <f t="shared" si="125"/>
        <v>0</v>
      </c>
    </row>
    <row r="3923" spans="16:18" ht="30.75" customHeight="1" x14ac:dyDescent="0.3">
      <c r="P3923" s="31">
        <f t="shared" si="124"/>
        <v>0</v>
      </c>
      <c r="R3923" s="31">
        <f t="shared" si="125"/>
        <v>0</v>
      </c>
    </row>
    <row r="3924" spans="16:18" ht="30.75" customHeight="1" x14ac:dyDescent="0.3">
      <c r="P3924" s="31">
        <f t="shared" si="124"/>
        <v>0</v>
      </c>
      <c r="R3924" s="31">
        <f t="shared" si="125"/>
        <v>0</v>
      </c>
    </row>
    <row r="3925" spans="16:18" ht="30.75" customHeight="1" x14ac:dyDescent="0.3">
      <c r="P3925" s="31">
        <f t="shared" si="124"/>
        <v>0</v>
      </c>
      <c r="R3925" s="31">
        <f t="shared" si="125"/>
        <v>0</v>
      </c>
    </row>
    <row r="3926" spans="16:18" ht="30.75" customHeight="1" x14ac:dyDescent="0.3">
      <c r="P3926" s="31">
        <f t="shared" si="124"/>
        <v>0</v>
      </c>
      <c r="R3926" s="31">
        <f t="shared" si="125"/>
        <v>0</v>
      </c>
    </row>
    <row r="3927" spans="16:18" ht="30.75" customHeight="1" x14ac:dyDescent="0.3">
      <c r="P3927" s="31">
        <f t="shared" si="124"/>
        <v>0</v>
      </c>
      <c r="R3927" s="31">
        <f t="shared" si="125"/>
        <v>0</v>
      </c>
    </row>
    <row r="3928" spans="16:18" ht="30.75" customHeight="1" x14ac:dyDescent="0.3">
      <c r="P3928" s="31">
        <f t="shared" si="124"/>
        <v>0</v>
      </c>
      <c r="R3928" s="31">
        <f t="shared" si="125"/>
        <v>0</v>
      </c>
    </row>
    <row r="3929" spans="16:18" ht="30.75" customHeight="1" x14ac:dyDescent="0.3">
      <c r="P3929" s="31">
        <f t="shared" si="124"/>
        <v>0</v>
      </c>
      <c r="R3929" s="31">
        <f t="shared" si="125"/>
        <v>0</v>
      </c>
    </row>
    <row r="3930" spans="16:18" ht="30.75" customHeight="1" x14ac:dyDescent="0.3">
      <c r="P3930" s="31">
        <f t="shared" si="124"/>
        <v>0</v>
      </c>
      <c r="R3930" s="31">
        <f t="shared" si="125"/>
        <v>0</v>
      </c>
    </row>
    <row r="3931" spans="16:18" ht="30.75" customHeight="1" x14ac:dyDescent="0.3">
      <c r="P3931" s="31">
        <f t="shared" si="124"/>
        <v>0</v>
      </c>
      <c r="R3931" s="31">
        <f t="shared" si="125"/>
        <v>0</v>
      </c>
    </row>
    <row r="3932" spans="16:18" ht="30.75" customHeight="1" x14ac:dyDescent="0.3">
      <c r="P3932" s="31">
        <f t="shared" si="124"/>
        <v>0</v>
      </c>
      <c r="R3932" s="31">
        <f t="shared" si="125"/>
        <v>0</v>
      </c>
    </row>
    <row r="3933" spans="16:18" ht="30.75" customHeight="1" x14ac:dyDescent="0.3">
      <c r="P3933" s="31">
        <f t="shared" si="124"/>
        <v>0</v>
      </c>
      <c r="R3933" s="31">
        <f t="shared" si="125"/>
        <v>0</v>
      </c>
    </row>
    <row r="3934" spans="16:18" ht="30.75" customHeight="1" x14ac:dyDescent="0.3">
      <c r="P3934" s="31">
        <f t="shared" si="124"/>
        <v>0</v>
      </c>
      <c r="R3934" s="31">
        <f t="shared" si="125"/>
        <v>0</v>
      </c>
    </row>
    <row r="3935" spans="16:18" ht="30.75" customHeight="1" x14ac:dyDescent="0.3">
      <c r="P3935" s="31">
        <f t="shared" si="124"/>
        <v>0</v>
      </c>
      <c r="R3935" s="31">
        <f t="shared" si="125"/>
        <v>0</v>
      </c>
    </row>
    <row r="3936" spans="16:18" ht="30.75" customHeight="1" x14ac:dyDescent="0.3">
      <c r="P3936" s="31">
        <f t="shared" si="124"/>
        <v>0</v>
      </c>
      <c r="R3936" s="31">
        <f t="shared" si="125"/>
        <v>0</v>
      </c>
    </row>
    <row r="3937" spans="16:18" ht="30.75" customHeight="1" x14ac:dyDescent="0.3">
      <c r="P3937" s="31">
        <f t="shared" si="124"/>
        <v>0</v>
      </c>
      <c r="R3937" s="31">
        <f t="shared" si="125"/>
        <v>0</v>
      </c>
    </row>
    <row r="3938" spans="16:18" ht="30.75" customHeight="1" x14ac:dyDescent="0.3">
      <c r="P3938" s="31">
        <f t="shared" si="124"/>
        <v>0</v>
      </c>
      <c r="R3938" s="31">
        <f t="shared" si="125"/>
        <v>0</v>
      </c>
    </row>
    <row r="3939" spans="16:18" ht="30.75" customHeight="1" x14ac:dyDescent="0.3">
      <c r="P3939" s="31">
        <f t="shared" si="124"/>
        <v>0</v>
      </c>
      <c r="R3939" s="31">
        <f t="shared" si="125"/>
        <v>0</v>
      </c>
    </row>
    <row r="3940" spans="16:18" ht="30.75" customHeight="1" x14ac:dyDescent="0.3">
      <c r="P3940" s="31">
        <f t="shared" si="124"/>
        <v>0</v>
      </c>
      <c r="R3940" s="31">
        <f t="shared" si="125"/>
        <v>0</v>
      </c>
    </row>
    <row r="3941" spans="16:18" ht="30.75" customHeight="1" x14ac:dyDescent="0.3">
      <c r="P3941" s="31">
        <f t="shared" si="124"/>
        <v>0</v>
      </c>
      <c r="R3941" s="31">
        <f t="shared" si="125"/>
        <v>0</v>
      </c>
    </row>
    <row r="3942" spans="16:18" ht="30.75" customHeight="1" x14ac:dyDescent="0.3">
      <c r="P3942" s="31">
        <f t="shared" si="124"/>
        <v>0</v>
      </c>
      <c r="R3942" s="31">
        <f t="shared" si="125"/>
        <v>0</v>
      </c>
    </row>
    <row r="3943" spans="16:18" ht="30.75" customHeight="1" x14ac:dyDescent="0.3">
      <c r="P3943" s="31">
        <f t="shared" si="124"/>
        <v>0</v>
      </c>
      <c r="R3943" s="31">
        <f t="shared" si="125"/>
        <v>0</v>
      </c>
    </row>
    <row r="3944" spans="16:18" ht="30.75" customHeight="1" x14ac:dyDescent="0.3">
      <c r="P3944" s="31">
        <f t="shared" ref="P3944:P3999" si="126">K3944-L3944-M3944-N3944+O3944</f>
        <v>0</v>
      </c>
      <c r="R3944" s="31">
        <f t="shared" ref="R3944:R3999" si="127">R3943+K3944-L3944-M3944-N3944+O3944-Q3944</f>
        <v>0</v>
      </c>
    </row>
    <row r="3945" spans="16:18" ht="30.75" customHeight="1" x14ac:dyDescent="0.3">
      <c r="P3945" s="31">
        <f t="shared" si="126"/>
        <v>0</v>
      </c>
      <c r="R3945" s="31">
        <f t="shared" si="127"/>
        <v>0</v>
      </c>
    </row>
    <row r="3946" spans="16:18" ht="30.75" customHeight="1" x14ac:dyDescent="0.3">
      <c r="P3946" s="31">
        <f t="shared" si="126"/>
        <v>0</v>
      </c>
      <c r="R3946" s="31">
        <f t="shared" si="127"/>
        <v>0</v>
      </c>
    </row>
    <row r="3947" spans="16:18" ht="30.75" customHeight="1" x14ac:dyDescent="0.3">
      <c r="P3947" s="31">
        <f t="shared" si="126"/>
        <v>0</v>
      </c>
      <c r="R3947" s="31">
        <f t="shared" si="127"/>
        <v>0</v>
      </c>
    </row>
    <row r="3948" spans="16:18" ht="30.75" customHeight="1" x14ac:dyDescent="0.3">
      <c r="P3948" s="31">
        <f t="shared" si="126"/>
        <v>0</v>
      </c>
      <c r="R3948" s="31">
        <f t="shared" si="127"/>
        <v>0</v>
      </c>
    </row>
    <row r="3949" spans="16:18" ht="30.75" customHeight="1" x14ac:dyDescent="0.3">
      <c r="P3949" s="31">
        <f t="shared" si="126"/>
        <v>0</v>
      </c>
      <c r="R3949" s="31">
        <f t="shared" si="127"/>
        <v>0</v>
      </c>
    </row>
    <row r="3950" spans="16:18" ht="30.75" customHeight="1" x14ac:dyDescent="0.3">
      <c r="P3950" s="31">
        <f t="shared" si="126"/>
        <v>0</v>
      </c>
      <c r="R3950" s="31">
        <f t="shared" si="127"/>
        <v>0</v>
      </c>
    </row>
    <row r="3951" spans="16:18" ht="30.75" customHeight="1" x14ac:dyDescent="0.3">
      <c r="P3951" s="31">
        <f t="shared" si="126"/>
        <v>0</v>
      </c>
      <c r="R3951" s="31">
        <f t="shared" si="127"/>
        <v>0</v>
      </c>
    </row>
    <row r="3952" spans="16:18" ht="30.75" customHeight="1" x14ac:dyDescent="0.3">
      <c r="P3952" s="31">
        <f t="shared" si="126"/>
        <v>0</v>
      </c>
      <c r="R3952" s="31">
        <f t="shared" si="127"/>
        <v>0</v>
      </c>
    </row>
    <row r="3953" spans="16:18" ht="30.75" customHeight="1" x14ac:dyDescent="0.3">
      <c r="P3953" s="31">
        <f t="shared" si="126"/>
        <v>0</v>
      </c>
      <c r="R3953" s="31">
        <f t="shared" si="127"/>
        <v>0</v>
      </c>
    </row>
    <row r="3954" spans="16:18" ht="30.75" customHeight="1" x14ac:dyDescent="0.3">
      <c r="P3954" s="31">
        <f t="shared" si="126"/>
        <v>0</v>
      </c>
      <c r="R3954" s="31">
        <f t="shared" si="127"/>
        <v>0</v>
      </c>
    </row>
    <row r="3955" spans="16:18" ht="30.75" customHeight="1" x14ac:dyDescent="0.3">
      <c r="P3955" s="31">
        <f t="shared" si="126"/>
        <v>0</v>
      </c>
      <c r="R3955" s="31">
        <f t="shared" si="127"/>
        <v>0</v>
      </c>
    </row>
    <row r="3956" spans="16:18" ht="30.75" customHeight="1" x14ac:dyDescent="0.3">
      <c r="P3956" s="31">
        <f t="shared" si="126"/>
        <v>0</v>
      </c>
      <c r="R3956" s="31">
        <f t="shared" si="127"/>
        <v>0</v>
      </c>
    </row>
    <row r="3957" spans="16:18" ht="30.75" customHeight="1" x14ac:dyDescent="0.3">
      <c r="P3957" s="31">
        <f t="shared" si="126"/>
        <v>0</v>
      </c>
      <c r="R3957" s="31">
        <f t="shared" si="127"/>
        <v>0</v>
      </c>
    </row>
    <row r="3958" spans="16:18" ht="30.75" customHeight="1" x14ac:dyDescent="0.3">
      <c r="P3958" s="31">
        <f t="shared" si="126"/>
        <v>0</v>
      </c>
      <c r="R3958" s="31">
        <f t="shared" si="127"/>
        <v>0</v>
      </c>
    </row>
    <row r="3959" spans="16:18" ht="30.75" customHeight="1" x14ac:dyDescent="0.3">
      <c r="P3959" s="31">
        <f t="shared" si="126"/>
        <v>0</v>
      </c>
      <c r="R3959" s="31">
        <f t="shared" si="127"/>
        <v>0</v>
      </c>
    </row>
    <row r="3960" spans="16:18" ht="30.75" customHeight="1" x14ac:dyDescent="0.3">
      <c r="P3960" s="31">
        <f t="shared" si="126"/>
        <v>0</v>
      </c>
      <c r="R3960" s="31">
        <f t="shared" si="127"/>
        <v>0</v>
      </c>
    </row>
    <row r="3961" spans="16:18" ht="30.75" customHeight="1" x14ac:dyDescent="0.3">
      <c r="P3961" s="31">
        <f t="shared" si="126"/>
        <v>0</v>
      </c>
      <c r="R3961" s="31">
        <f t="shared" si="127"/>
        <v>0</v>
      </c>
    </row>
    <row r="3962" spans="16:18" ht="30.75" customHeight="1" x14ac:dyDescent="0.3">
      <c r="P3962" s="31">
        <f t="shared" si="126"/>
        <v>0</v>
      </c>
      <c r="R3962" s="31">
        <f t="shared" si="127"/>
        <v>0</v>
      </c>
    </row>
    <row r="3963" spans="16:18" ht="30.75" customHeight="1" x14ac:dyDescent="0.3">
      <c r="P3963" s="31">
        <f t="shared" si="126"/>
        <v>0</v>
      </c>
      <c r="R3963" s="31">
        <f t="shared" si="127"/>
        <v>0</v>
      </c>
    </row>
    <row r="3964" spans="16:18" ht="30.75" customHeight="1" x14ac:dyDescent="0.3">
      <c r="P3964" s="31">
        <f t="shared" si="126"/>
        <v>0</v>
      </c>
      <c r="R3964" s="31">
        <f t="shared" si="127"/>
        <v>0</v>
      </c>
    </row>
    <row r="3965" spans="16:18" ht="30.75" customHeight="1" x14ac:dyDescent="0.3">
      <c r="P3965" s="31">
        <f t="shared" si="126"/>
        <v>0</v>
      </c>
      <c r="R3965" s="31">
        <f t="shared" si="127"/>
        <v>0</v>
      </c>
    </row>
    <row r="3966" spans="16:18" ht="30.75" customHeight="1" x14ac:dyDescent="0.3">
      <c r="P3966" s="31">
        <f t="shared" si="126"/>
        <v>0</v>
      </c>
      <c r="R3966" s="31">
        <f t="shared" si="127"/>
        <v>0</v>
      </c>
    </row>
    <row r="3967" spans="16:18" ht="30.75" customHeight="1" x14ac:dyDescent="0.3">
      <c r="P3967" s="31">
        <f t="shared" si="126"/>
        <v>0</v>
      </c>
      <c r="R3967" s="31">
        <f t="shared" si="127"/>
        <v>0</v>
      </c>
    </row>
    <row r="3968" spans="16:18" ht="30.75" customHeight="1" x14ac:dyDescent="0.3">
      <c r="P3968" s="31">
        <f t="shared" si="126"/>
        <v>0</v>
      </c>
      <c r="R3968" s="31">
        <f t="shared" si="127"/>
        <v>0</v>
      </c>
    </row>
    <row r="3969" spans="16:18" ht="30.75" customHeight="1" x14ac:dyDescent="0.3">
      <c r="P3969" s="31">
        <f t="shared" si="126"/>
        <v>0</v>
      </c>
      <c r="R3969" s="31">
        <f t="shared" si="127"/>
        <v>0</v>
      </c>
    </row>
    <row r="3970" spans="16:18" ht="30.75" customHeight="1" x14ac:dyDescent="0.3">
      <c r="P3970" s="31">
        <f t="shared" si="126"/>
        <v>0</v>
      </c>
      <c r="R3970" s="31">
        <f t="shared" si="127"/>
        <v>0</v>
      </c>
    </row>
    <row r="3971" spans="16:18" ht="30.75" customHeight="1" x14ac:dyDescent="0.3">
      <c r="P3971" s="31">
        <f t="shared" si="126"/>
        <v>0</v>
      </c>
      <c r="R3971" s="31">
        <f t="shared" si="127"/>
        <v>0</v>
      </c>
    </row>
    <row r="3972" spans="16:18" ht="30.75" customHeight="1" x14ac:dyDescent="0.3">
      <c r="P3972" s="31">
        <f t="shared" si="126"/>
        <v>0</v>
      </c>
      <c r="R3972" s="31">
        <f t="shared" si="127"/>
        <v>0</v>
      </c>
    </row>
    <row r="3973" spans="16:18" ht="30.75" customHeight="1" x14ac:dyDescent="0.3">
      <c r="P3973" s="31">
        <f t="shared" si="126"/>
        <v>0</v>
      </c>
      <c r="R3973" s="31">
        <f t="shared" si="127"/>
        <v>0</v>
      </c>
    </row>
    <row r="3974" spans="16:18" ht="30.75" customHeight="1" x14ac:dyDescent="0.3">
      <c r="P3974" s="31">
        <f t="shared" si="126"/>
        <v>0</v>
      </c>
      <c r="R3974" s="31">
        <f t="shared" si="127"/>
        <v>0</v>
      </c>
    </row>
    <row r="3975" spans="16:18" ht="30.75" customHeight="1" x14ac:dyDescent="0.3">
      <c r="P3975" s="31">
        <f t="shared" si="126"/>
        <v>0</v>
      </c>
      <c r="R3975" s="31">
        <f t="shared" si="127"/>
        <v>0</v>
      </c>
    </row>
    <row r="3976" spans="16:18" ht="30.75" customHeight="1" x14ac:dyDescent="0.3">
      <c r="P3976" s="31">
        <f t="shared" si="126"/>
        <v>0</v>
      </c>
      <c r="R3976" s="31">
        <f t="shared" si="127"/>
        <v>0</v>
      </c>
    </row>
    <row r="3977" spans="16:18" ht="30.75" customHeight="1" x14ac:dyDescent="0.3">
      <c r="P3977" s="31">
        <f t="shared" si="126"/>
        <v>0</v>
      </c>
      <c r="R3977" s="31">
        <f t="shared" si="127"/>
        <v>0</v>
      </c>
    </row>
    <row r="3978" spans="16:18" ht="30.75" customHeight="1" x14ac:dyDescent="0.3">
      <c r="P3978" s="31">
        <f t="shared" si="126"/>
        <v>0</v>
      </c>
      <c r="R3978" s="31">
        <f t="shared" si="127"/>
        <v>0</v>
      </c>
    </row>
    <row r="3979" spans="16:18" ht="30.75" customHeight="1" x14ac:dyDescent="0.3">
      <c r="P3979" s="31">
        <f t="shared" si="126"/>
        <v>0</v>
      </c>
      <c r="R3979" s="31">
        <f t="shared" si="127"/>
        <v>0</v>
      </c>
    </row>
    <row r="3980" spans="16:18" ht="30.75" customHeight="1" x14ac:dyDescent="0.3">
      <c r="P3980" s="31">
        <f t="shared" si="126"/>
        <v>0</v>
      </c>
      <c r="R3980" s="31">
        <f t="shared" si="127"/>
        <v>0</v>
      </c>
    </row>
    <row r="3981" spans="16:18" ht="30.75" customHeight="1" x14ac:dyDescent="0.3">
      <c r="P3981" s="31">
        <f t="shared" si="126"/>
        <v>0</v>
      </c>
      <c r="R3981" s="31">
        <f t="shared" si="127"/>
        <v>0</v>
      </c>
    </row>
    <row r="3982" spans="16:18" ht="30.75" customHeight="1" x14ac:dyDescent="0.3">
      <c r="P3982" s="31">
        <f t="shared" si="126"/>
        <v>0</v>
      </c>
      <c r="R3982" s="31">
        <f t="shared" si="127"/>
        <v>0</v>
      </c>
    </row>
    <row r="3983" spans="16:18" ht="30.75" customHeight="1" x14ac:dyDescent="0.3">
      <c r="P3983" s="31">
        <f t="shared" si="126"/>
        <v>0</v>
      </c>
      <c r="R3983" s="31">
        <f t="shared" si="127"/>
        <v>0</v>
      </c>
    </row>
    <row r="3984" spans="16:18" ht="30.75" customHeight="1" x14ac:dyDescent="0.3">
      <c r="P3984" s="31">
        <f t="shared" si="126"/>
        <v>0</v>
      </c>
      <c r="R3984" s="31">
        <f t="shared" si="127"/>
        <v>0</v>
      </c>
    </row>
    <row r="3985" spans="1:18" ht="30.75" customHeight="1" x14ac:dyDescent="0.3">
      <c r="P3985" s="31">
        <f t="shared" si="126"/>
        <v>0</v>
      </c>
      <c r="R3985" s="31">
        <f t="shared" si="127"/>
        <v>0</v>
      </c>
    </row>
    <row r="3986" spans="1:18" ht="30.75" customHeight="1" x14ac:dyDescent="0.3">
      <c r="P3986" s="31">
        <f t="shared" si="126"/>
        <v>0</v>
      </c>
      <c r="R3986" s="31">
        <f t="shared" si="127"/>
        <v>0</v>
      </c>
    </row>
    <row r="3987" spans="1:18" ht="30.75" customHeight="1" x14ac:dyDescent="0.3">
      <c r="P3987" s="31">
        <f t="shared" si="126"/>
        <v>0</v>
      </c>
      <c r="R3987" s="31">
        <f t="shared" si="127"/>
        <v>0</v>
      </c>
    </row>
    <row r="3988" spans="1:18" ht="30.75" customHeight="1" x14ac:dyDescent="0.3">
      <c r="P3988" s="31">
        <f t="shared" si="126"/>
        <v>0</v>
      </c>
      <c r="R3988" s="31">
        <f t="shared" si="127"/>
        <v>0</v>
      </c>
    </row>
    <row r="3989" spans="1:18" ht="30.75" customHeight="1" x14ac:dyDescent="0.3">
      <c r="P3989" s="31">
        <f t="shared" si="126"/>
        <v>0</v>
      </c>
      <c r="R3989" s="31">
        <f t="shared" si="127"/>
        <v>0</v>
      </c>
    </row>
    <row r="3990" spans="1:18" ht="30.75" customHeight="1" x14ac:dyDescent="0.3">
      <c r="P3990" s="31">
        <f t="shared" si="126"/>
        <v>0</v>
      </c>
      <c r="R3990" s="31">
        <f t="shared" si="127"/>
        <v>0</v>
      </c>
    </row>
    <row r="3991" spans="1:18" ht="30.75" customHeight="1" x14ac:dyDescent="0.3">
      <c r="P3991" s="31">
        <f t="shared" si="126"/>
        <v>0</v>
      </c>
      <c r="R3991" s="31">
        <f t="shared" si="127"/>
        <v>0</v>
      </c>
    </row>
    <row r="3992" spans="1:18" ht="30.75" customHeight="1" x14ac:dyDescent="0.3">
      <c r="P3992" s="31">
        <f t="shared" si="126"/>
        <v>0</v>
      </c>
      <c r="R3992" s="31">
        <f t="shared" si="127"/>
        <v>0</v>
      </c>
    </row>
    <row r="3993" spans="1:18" ht="30.75" customHeight="1" x14ac:dyDescent="0.3">
      <c r="P3993" s="31">
        <f t="shared" si="126"/>
        <v>0</v>
      </c>
      <c r="R3993" s="31">
        <f t="shared" si="127"/>
        <v>0</v>
      </c>
    </row>
    <row r="3994" spans="1:18" ht="30.75" customHeight="1" x14ac:dyDescent="0.3">
      <c r="P3994" s="31">
        <f t="shared" si="126"/>
        <v>0</v>
      </c>
      <c r="R3994" s="31">
        <f t="shared" si="127"/>
        <v>0</v>
      </c>
    </row>
    <row r="3995" spans="1:18" ht="30.75" customHeight="1" x14ac:dyDescent="0.3">
      <c r="P3995" s="31">
        <f t="shared" si="126"/>
        <v>0</v>
      </c>
      <c r="R3995" s="31">
        <f t="shared" si="127"/>
        <v>0</v>
      </c>
    </row>
    <row r="3996" spans="1:18" ht="30.75" customHeight="1" x14ac:dyDescent="0.3">
      <c r="P3996" s="31">
        <f t="shared" si="126"/>
        <v>0</v>
      </c>
      <c r="R3996" s="31">
        <f t="shared" si="127"/>
        <v>0</v>
      </c>
    </row>
    <row r="3997" spans="1:18" ht="30.75" customHeight="1" x14ac:dyDescent="0.3">
      <c r="P3997" s="31">
        <f t="shared" si="126"/>
        <v>0</v>
      </c>
      <c r="R3997" s="31">
        <f t="shared" si="127"/>
        <v>0</v>
      </c>
    </row>
    <row r="3998" spans="1:18" ht="30.75" customHeight="1" x14ac:dyDescent="0.3">
      <c r="P3998" s="31">
        <f t="shared" si="126"/>
        <v>0</v>
      </c>
      <c r="R3998" s="31">
        <f t="shared" si="127"/>
        <v>0</v>
      </c>
    </row>
    <row r="3999" spans="1:18" ht="30.75" customHeight="1" x14ac:dyDescent="0.3">
      <c r="P3999" s="31">
        <f t="shared" si="126"/>
        <v>0</v>
      </c>
      <c r="R3999" s="31">
        <f t="shared" si="127"/>
        <v>0</v>
      </c>
    </row>
    <row r="4000" spans="1:18" ht="30.75" customHeight="1" x14ac:dyDescent="0.3">
      <c r="A4000" s="32" t="s">
        <v>69</v>
      </c>
      <c r="B4000" s="60"/>
      <c r="C4000" s="60"/>
      <c r="D4000" s="56" t="s">
        <v>60</v>
      </c>
      <c r="E4000" s="60"/>
      <c r="F4000" s="60"/>
      <c r="G4000" s="62"/>
      <c r="H4000" s="60"/>
      <c r="I4000" s="60"/>
      <c r="J4000" s="60"/>
      <c r="K4000" s="60"/>
      <c r="L4000" s="60"/>
      <c r="M4000" s="60"/>
      <c r="N4000" s="60"/>
      <c r="O4000" s="56">
        <f>SUBTOTAL(109,P2:P4000)-SUBTOTAL(109,Q1:Q4000)</f>
        <v>0</v>
      </c>
    </row>
  </sheetData>
  <protectedRanges>
    <protectedRange sqref="H6" name="Range1"/>
  </protectedRanges>
  <autoFilter ref="A1:R4000" xr:uid="{00000000-0009-0000-0000-000038000000}">
    <sortState xmlns:xlrd2="http://schemas.microsoft.com/office/spreadsheetml/2017/richdata2" ref="A1874:R1874">
      <sortCondition ref="C1:C2105"/>
    </sortState>
  </autoFilter>
  <printOptions horizontalCentered="1" verticalCentered="1"/>
  <pageMargins left="0.25" right="0.25" top="0.75" bottom="0.75" header="0.3" footer="0.3"/>
  <pageSetup paperSize="9" scale="10" orientation="landscape" r:id="rId1"/>
  <rowBreaks count="6" manualBreakCount="6">
    <brk id="23" max="16383" man="1"/>
    <brk id="61" max="16383" man="1"/>
    <brk id="322" max="16383" man="1"/>
    <brk id="487" max="16383" man="1"/>
    <brk id="539" max="16383" man="1"/>
    <brk id="1870" max="16383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X53"/>
  <sheetViews>
    <sheetView rightToLeft="1" zoomScale="90" zoomScaleNormal="90" workbookViewId="0">
      <selection activeCell="D8" sqref="D8"/>
    </sheetView>
  </sheetViews>
  <sheetFormatPr defaultColWidth="9" defaultRowHeight="22.5" customHeight="1" x14ac:dyDescent="0.3"/>
  <cols>
    <col min="1" max="1" width="15" style="13" customWidth="1"/>
    <col min="2" max="2" width="15" style="14" customWidth="1"/>
    <col min="3" max="3" width="14.21875" style="15" customWidth="1"/>
    <col min="4" max="4" width="11.21875" style="16" customWidth="1"/>
    <col min="5" max="5" width="13.21875" style="17" customWidth="1"/>
    <col min="6" max="6" width="10.33203125" style="18" customWidth="1"/>
    <col min="7" max="7" width="7.77734375" style="6" customWidth="1"/>
    <col min="8" max="8" width="12.6640625" style="6" customWidth="1"/>
    <col min="9" max="9" width="9" style="5"/>
    <col min="10" max="10" width="12.33203125" style="5" bestFit="1" customWidth="1"/>
    <col min="11" max="11" width="9" style="5"/>
    <col min="12" max="12" width="12" style="5" customWidth="1"/>
    <col min="13" max="14" width="9" style="5"/>
    <col min="15" max="15" width="6.77734375" style="5" customWidth="1"/>
    <col min="16" max="16" width="9.44140625" style="5" bestFit="1" customWidth="1"/>
    <col min="17" max="17" width="14.77734375" style="5" customWidth="1"/>
    <col min="18" max="18" width="12.44140625" style="5" customWidth="1"/>
    <col min="19" max="22" width="9" style="5"/>
    <col min="23" max="23" width="14.109375" style="7" customWidth="1"/>
    <col min="24" max="24" width="11.88671875" style="7" customWidth="1"/>
    <col min="25" max="16384" width="9" style="7"/>
  </cols>
  <sheetData>
    <row r="1" spans="1:24" ht="22.5" customHeight="1" x14ac:dyDescent="0.3">
      <c r="A1" s="22" t="s">
        <v>50</v>
      </c>
      <c r="B1" s="22" t="s">
        <v>16</v>
      </c>
      <c r="C1" s="22" t="s">
        <v>21</v>
      </c>
      <c r="D1" s="22" t="s">
        <v>16</v>
      </c>
      <c r="E1" s="22"/>
      <c r="F1" s="22"/>
      <c r="G1" s="22"/>
      <c r="H1" s="22" t="s">
        <v>35</v>
      </c>
      <c r="I1" s="22"/>
      <c r="J1" s="22" t="s">
        <v>33</v>
      </c>
      <c r="K1" s="22"/>
      <c r="L1" s="22" t="s">
        <v>34</v>
      </c>
      <c r="M1" s="22"/>
      <c r="N1" s="22"/>
      <c r="O1" s="22"/>
      <c r="P1" s="22"/>
    </row>
    <row r="2" spans="1:24" ht="22.5" customHeight="1" x14ac:dyDescent="0.3">
      <c r="A2" s="13" t="s">
        <v>52</v>
      </c>
      <c r="B2" s="14">
        <f>اكما!L18</f>
        <v>2221981.4</v>
      </c>
      <c r="C2" s="15" t="s">
        <v>22</v>
      </c>
      <c r="D2" s="16">
        <v>500000</v>
      </c>
      <c r="E2" s="17">
        <v>200000</v>
      </c>
      <c r="H2" s="6">
        <f>SUM(B:B)-SUM(D:D)</f>
        <v>4825098.1500000004</v>
      </c>
      <c r="J2" s="6">
        <f>SUM(B:B)</f>
        <v>10062382.15</v>
      </c>
      <c r="K2" s="6"/>
      <c r="L2" s="6">
        <f>SUM(D:D)</f>
        <v>5237284</v>
      </c>
      <c r="M2" s="6"/>
      <c r="O2" s="6"/>
      <c r="P2" s="6"/>
      <c r="W2" s="107" t="s">
        <v>340</v>
      </c>
      <c r="X2" s="107"/>
    </row>
    <row r="3" spans="1:24" ht="22.5" customHeight="1" x14ac:dyDescent="0.3">
      <c r="A3" s="13" t="s">
        <v>79</v>
      </c>
      <c r="B3" s="14">
        <f>mfb!N9</f>
        <v>0</v>
      </c>
      <c r="C3" s="15" t="s">
        <v>23</v>
      </c>
      <c r="D3" s="16">
        <v>20000</v>
      </c>
      <c r="E3" s="19"/>
      <c r="Q3" s="64" t="s">
        <v>103</v>
      </c>
      <c r="R3" s="64">
        <f>SUM(اكما!M18+mfb!O9+ريجينا!N14+'اسمنت مصر'!O13+'الدولية للملاحة '!O13+سيلوباك!O13+برفكت!O10+يونايتد!N9+فيرتكس!N15+بيردس!O16+CMS!O13+تيفاني!P27+ags!O21+النهار!N15+ورلد!N18+نيو!O16+ماستر!O12+برنتو!O20+فوكس!O10+'احمد عبدالله'!P18+العسل!O16)+ميرسك!N13+يوروتال!O9+الزيوت!O13+يوروفان!P13+نافيكس!O13+البستانية!M12+ولاء!O13+اوربت!O13+GFS!P13</f>
        <v>860372.8</v>
      </c>
      <c r="W3" s="5">
        <v>200000</v>
      </c>
      <c r="X3" s="5" t="s">
        <v>341</v>
      </c>
    </row>
    <row r="4" spans="1:24" ht="22.5" customHeight="1" x14ac:dyDescent="0.3">
      <c r="A4" s="13" t="s">
        <v>71</v>
      </c>
      <c r="B4" s="14">
        <f>ريجينا!M14</f>
        <v>712185.53</v>
      </c>
      <c r="C4" s="15" t="s">
        <v>24</v>
      </c>
      <c r="D4" s="16">
        <v>10000</v>
      </c>
      <c r="E4" s="17">
        <v>20000</v>
      </c>
      <c r="Q4" s="63">
        <v>1</v>
      </c>
      <c r="R4" s="63">
        <v>104524</v>
      </c>
      <c r="W4" s="5">
        <v>50000</v>
      </c>
      <c r="X4" s="5" t="s">
        <v>291</v>
      </c>
    </row>
    <row r="5" spans="1:24" ht="22.5" customHeight="1" x14ac:dyDescent="0.3">
      <c r="A5" s="13" t="s">
        <v>76</v>
      </c>
      <c r="B5" s="14">
        <f>'اسمنت مصر'!N13</f>
        <v>1770.4000000000233</v>
      </c>
      <c r="C5" s="15" t="s">
        <v>25</v>
      </c>
      <c r="D5" s="16">
        <v>15000</v>
      </c>
      <c r="E5" s="19"/>
      <c r="Q5" s="63">
        <v>2</v>
      </c>
      <c r="R5" s="63">
        <v>59962</v>
      </c>
      <c r="W5" s="5">
        <v>50000</v>
      </c>
      <c r="X5" s="5" t="s">
        <v>390</v>
      </c>
    </row>
    <row r="6" spans="1:24" ht="22.5" customHeight="1" x14ac:dyDescent="0.3">
      <c r="A6" s="13" t="s">
        <v>77</v>
      </c>
      <c r="B6" s="14">
        <f>'الدولية للملاحة '!N13</f>
        <v>40931.379999999888</v>
      </c>
      <c r="C6" s="15" t="s">
        <v>26</v>
      </c>
      <c r="D6" s="16">
        <v>54000</v>
      </c>
      <c r="Q6" s="63">
        <v>3</v>
      </c>
      <c r="R6" s="63">
        <v>55902</v>
      </c>
      <c r="W6" s="5">
        <v>100000</v>
      </c>
      <c r="X6" s="90" t="s">
        <v>572</v>
      </c>
    </row>
    <row r="7" spans="1:24" ht="22.5" customHeight="1" x14ac:dyDescent="0.3">
      <c r="A7" s="13" t="s">
        <v>586</v>
      </c>
      <c r="B7" s="14">
        <f>سيلوباك!N13</f>
        <v>17972</v>
      </c>
      <c r="C7" s="15" t="s">
        <v>49</v>
      </c>
      <c r="D7" s="16">
        <v>4500000</v>
      </c>
      <c r="Q7" s="63">
        <v>4</v>
      </c>
      <c r="R7" s="63">
        <v>261128</v>
      </c>
      <c r="W7" s="5"/>
      <c r="X7" s="90"/>
    </row>
    <row r="8" spans="1:24" ht="22.5" customHeight="1" x14ac:dyDescent="0.3">
      <c r="A8" s="13" t="s">
        <v>64</v>
      </c>
      <c r="B8" s="14">
        <f>برفكت!N10</f>
        <v>744759.3900000006</v>
      </c>
      <c r="C8" s="15" t="s">
        <v>75</v>
      </c>
      <c r="D8" s="16">
        <v>70000</v>
      </c>
      <c r="E8" s="19"/>
      <c r="Q8" s="63">
        <v>5</v>
      </c>
      <c r="R8" s="63">
        <v>159488</v>
      </c>
      <c r="W8" s="5"/>
      <c r="X8" s="5"/>
    </row>
    <row r="9" spans="1:24" ht="22.5" customHeight="1" x14ac:dyDescent="0.3">
      <c r="A9" s="13" t="s">
        <v>30</v>
      </c>
      <c r="B9" s="14">
        <f>Table1181920231030313235[[#This Row],[Column1]]</f>
        <v>605591.88999999966</v>
      </c>
      <c r="C9" s="15" t="s">
        <v>54</v>
      </c>
      <c r="D9" s="16">
        <v>40000</v>
      </c>
      <c r="Q9" s="63">
        <v>6</v>
      </c>
      <c r="R9" s="63">
        <v>201084.79999999999</v>
      </c>
    </row>
    <row r="10" spans="1:24" ht="22.5" customHeight="1" x14ac:dyDescent="0.3">
      <c r="A10" s="13" t="s">
        <v>19</v>
      </c>
      <c r="B10" s="14">
        <f>فيرتكس!M15</f>
        <v>1055860.3799999992</v>
      </c>
      <c r="C10" s="15" t="s">
        <v>99</v>
      </c>
      <c r="D10" s="16">
        <v>0</v>
      </c>
      <c r="Q10" s="63">
        <v>7</v>
      </c>
      <c r="R10" s="63"/>
    </row>
    <row r="11" spans="1:24" ht="22.5" customHeight="1" x14ac:dyDescent="0.3">
      <c r="A11" s="13" t="s">
        <v>70</v>
      </c>
      <c r="B11" s="14">
        <f>بيردس!N16</f>
        <v>997504.09999999916</v>
      </c>
      <c r="C11" s="21" t="s">
        <v>7</v>
      </c>
      <c r="D11" s="16">
        <f>R16</f>
        <v>18284</v>
      </c>
      <c r="Q11" s="63">
        <v>8</v>
      </c>
      <c r="R11" s="63"/>
    </row>
    <row r="12" spans="1:24" ht="22.5" customHeight="1" x14ac:dyDescent="0.3">
      <c r="A12" s="13" t="s">
        <v>66</v>
      </c>
      <c r="B12" s="14">
        <f>CMS!N13</f>
        <v>311103.97999999986</v>
      </c>
      <c r="C12" s="15">
        <v>2</v>
      </c>
      <c r="Q12" s="63">
        <v>9</v>
      </c>
      <c r="R12" s="63"/>
    </row>
    <row r="13" spans="1:24" ht="22.5" customHeight="1" x14ac:dyDescent="0.3">
      <c r="A13" s="13" t="s">
        <v>55</v>
      </c>
      <c r="B13" s="14">
        <f>تيفاني!O27</f>
        <v>0</v>
      </c>
      <c r="C13" s="21" t="s">
        <v>339</v>
      </c>
      <c r="D13" s="16">
        <v>10000</v>
      </c>
      <c r="Q13" s="63">
        <v>10</v>
      </c>
      <c r="R13" s="63"/>
    </row>
    <row r="14" spans="1:24" ht="22.5" customHeight="1" x14ac:dyDescent="0.3">
      <c r="A14" s="13" t="s">
        <v>80</v>
      </c>
      <c r="B14" s="14">
        <f>ags!N21</f>
        <v>223.97999999998137</v>
      </c>
      <c r="C14" s="21"/>
      <c r="Q14" s="63">
        <v>11</v>
      </c>
      <c r="R14" s="63"/>
    </row>
    <row r="15" spans="1:24" ht="22.5" customHeight="1" x14ac:dyDescent="0.3">
      <c r="A15" s="13" t="s">
        <v>65</v>
      </c>
      <c r="B15" s="14">
        <f>النهار!M15</f>
        <v>167068.43999999994</v>
      </c>
      <c r="C15" s="21"/>
      <c r="Q15" s="63">
        <v>12</v>
      </c>
      <c r="R15" s="63"/>
    </row>
    <row r="16" spans="1:24" ht="22.5" customHeight="1" x14ac:dyDescent="0.3">
      <c r="A16" s="13" t="s">
        <v>81</v>
      </c>
      <c r="B16" s="14">
        <f>ورلد!M18</f>
        <v>-1.1200000001117587</v>
      </c>
      <c r="C16" s="21"/>
      <c r="Q16" s="64" t="s">
        <v>104</v>
      </c>
      <c r="R16" s="64">
        <f>R3-SUM(R4:R15)</f>
        <v>18284</v>
      </c>
    </row>
    <row r="17" spans="1:3" ht="22.5" customHeight="1" x14ac:dyDescent="0.3">
      <c r="A17" s="13" t="s">
        <v>82</v>
      </c>
      <c r="B17" s="14">
        <f>نيو!N16</f>
        <v>110479.34</v>
      </c>
      <c r="C17" s="21"/>
    </row>
    <row r="18" spans="1:3" ht="22.5" customHeight="1" x14ac:dyDescent="0.3">
      <c r="A18" s="13" t="s">
        <v>73</v>
      </c>
      <c r="B18" s="14">
        <f>ماستر!N12</f>
        <v>152.31999999994878</v>
      </c>
      <c r="C18" s="21"/>
    </row>
    <row r="19" spans="1:3" ht="22.5" customHeight="1" x14ac:dyDescent="0.3">
      <c r="A19" s="13" t="s">
        <v>83</v>
      </c>
      <c r="B19" s="14">
        <f>برنتو!N20</f>
        <v>74.190000000046567</v>
      </c>
      <c r="C19" s="21"/>
    </row>
    <row r="20" spans="1:3" ht="22.5" customHeight="1" x14ac:dyDescent="0.3">
      <c r="A20" s="13" t="s">
        <v>63</v>
      </c>
      <c r="B20" s="14">
        <f>فوكس!N10</f>
        <v>107595.19</v>
      </c>
    </row>
    <row r="21" spans="1:3" ht="22.5" customHeight="1" x14ac:dyDescent="0.3">
      <c r="A21" s="13" t="s">
        <v>62</v>
      </c>
      <c r="B21" s="14">
        <f>'احمد عبدالله'!O18</f>
        <v>595534.24</v>
      </c>
    </row>
    <row r="22" spans="1:3" ht="22.5" customHeight="1" x14ac:dyDescent="0.3">
      <c r="A22" s="13" t="s">
        <v>17</v>
      </c>
      <c r="B22" s="14">
        <f>فاطمة!N9</f>
        <v>229525.46000000043</v>
      </c>
    </row>
    <row r="23" spans="1:3" ht="22.5" customHeight="1" x14ac:dyDescent="0.3">
      <c r="A23" s="13" t="s">
        <v>36</v>
      </c>
      <c r="B23" s="14">
        <f>اسلام!N15</f>
        <v>34156.989999999991</v>
      </c>
    </row>
    <row r="24" spans="1:3" ht="22.5" customHeight="1" x14ac:dyDescent="0.3">
      <c r="A24" s="13" t="s">
        <v>72</v>
      </c>
      <c r="B24" s="14">
        <f>'احمد بحر'!O13</f>
        <v>14439.190000000017</v>
      </c>
    </row>
    <row r="25" spans="1:3" ht="22.5" customHeight="1" x14ac:dyDescent="0.3">
      <c r="A25" s="13" t="s">
        <v>29</v>
      </c>
      <c r="B25" s="14">
        <f>'علاء جمعة'!N14</f>
        <v>19994.239999999991</v>
      </c>
    </row>
    <row r="26" spans="1:3" ht="22.5" customHeight="1" x14ac:dyDescent="0.3">
      <c r="A26" s="13" t="s">
        <v>28</v>
      </c>
      <c r="B26" s="14">
        <f>'الشيخ حسن'!N16</f>
        <v>0</v>
      </c>
    </row>
    <row r="27" spans="1:3" ht="22.5" customHeight="1" x14ac:dyDescent="0.3">
      <c r="A27" s="13" t="s">
        <v>27</v>
      </c>
      <c r="B27" s="14">
        <f>'احمد سنبل'!N11</f>
        <v>0</v>
      </c>
    </row>
    <row r="28" spans="1:3" ht="22.5" customHeight="1" x14ac:dyDescent="0.3">
      <c r="A28" s="13" t="s">
        <v>472</v>
      </c>
      <c r="B28" s="14">
        <f>نافيكس!N13</f>
        <v>163138.15000000026</v>
      </c>
    </row>
    <row r="29" spans="1:3" ht="22.5" customHeight="1" x14ac:dyDescent="0.3">
      <c r="A29" s="13" t="s">
        <v>84</v>
      </c>
      <c r="B29" s="14">
        <f>'محمد عزت'!O12</f>
        <v>70885.97999999988</v>
      </c>
    </row>
    <row r="30" spans="1:3" ht="22.5" customHeight="1" x14ac:dyDescent="0.3">
      <c r="A30" s="13" t="s">
        <v>85</v>
      </c>
      <c r="B30" s="14">
        <f>'سامي جرين اب'!O14</f>
        <v>1.4899999999906868</v>
      </c>
    </row>
    <row r="31" spans="1:3" ht="22.5" customHeight="1" x14ac:dyDescent="0.3">
      <c r="A31" s="13" t="s">
        <v>521</v>
      </c>
      <c r="B31" s="14">
        <f>البستانية!L12</f>
        <v>0.87999999988824129</v>
      </c>
    </row>
    <row r="32" spans="1:3" ht="22.5" customHeight="1" x14ac:dyDescent="0.3">
      <c r="A32" s="13" t="s">
        <v>522</v>
      </c>
      <c r="B32" s="14">
        <f>ولاء!N13</f>
        <v>14302.690000000002</v>
      </c>
    </row>
    <row r="33" spans="1:2" ht="22.5" customHeight="1" x14ac:dyDescent="0.3">
      <c r="A33" s="13" t="s">
        <v>18</v>
      </c>
      <c r="B33" s="14">
        <f>'عرب اوشن'!N17</f>
        <v>1.4900000000197906</v>
      </c>
    </row>
    <row r="34" spans="1:2" ht="22.5" customHeight="1" x14ac:dyDescent="0.3">
      <c r="A34" s="13" t="s">
        <v>61</v>
      </c>
      <c r="B34" s="14">
        <f>رويال!O9</f>
        <v>122178.35000000006</v>
      </c>
    </row>
    <row r="35" spans="1:2" ht="22.5" customHeight="1" x14ac:dyDescent="0.3">
      <c r="A35" s="13" t="s">
        <v>560</v>
      </c>
      <c r="B35" s="14">
        <f>'كرو شيبنج'!N13</f>
        <v>345785.31999999995</v>
      </c>
    </row>
    <row r="36" spans="1:2" ht="22.5" customHeight="1" x14ac:dyDescent="0.3">
      <c r="A36" s="13" t="s">
        <v>98</v>
      </c>
      <c r="B36" s="14">
        <f>العسل!N16</f>
        <v>0</v>
      </c>
    </row>
    <row r="37" spans="1:2" ht="22.5" customHeight="1" x14ac:dyDescent="0.3">
      <c r="A37" s="13" t="s">
        <v>100</v>
      </c>
      <c r="B37" s="14">
        <f>اوربت!N13</f>
        <v>53530.729999999981</v>
      </c>
    </row>
    <row r="38" spans="1:2" ht="22.5" customHeight="1" x14ac:dyDescent="0.3">
      <c r="A38" s="13" t="s">
        <v>144</v>
      </c>
      <c r="B38" s="14">
        <f>'سي فريجو'!N12</f>
        <v>330996.88000000012</v>
      </c>
    </row>
    <row r="39" spans="1:2" ht="22.5" customHeight="1" x14ac:dyDescent="0.3">
      <c r="A39" s="13" t="s">
        <v>282</v>
      </c>
      <c r="B39" s="14">
        <f>'سي ستار'!N12</f>
        <v>0</v>
      </c>
    </row>
    <row r="40" spans="1:2" ht="22.5" customHeight="1" x14ac:dyDescent="0.3">
      <c r="A40" s="13" t="s">
        <v>89</v>
      </c>
      <c r="B40" s="14">
        <f>ميرسك!M13</f>
        <v>0</v>
      </c>
    </row>
    <row r="41" spans="1:2" ht="22.5" customHeight="1" x14ac:dyDescent="0.3">
      <c r="A41" s="13" t="s">
        <v>329</v>
      </c>
      <c r="B41" s="14">
        <f>يوروتال!N9</f>
        <v>0.99999999994179234</v>
      </c>
    </row>
    <row r="42" spans="1:2" ht="22.5" customHeight="1" x14ac:dyDescent="0.3">
      <c r="A42" s="13" t="s">
        <v>439</v>
      </c>
      <c r="B42" s="14">
        <f>يوروفان!O13</f>
        <v>93298.37</v>
      </c>
    </row>
    <row r="43" spans="1:2" ht="22.5" customHeight="1" x14ac:dyDescent="0.3">
      <c r="A43" s="13" t="s">
        <v>562</v>
      </c>
      <c r="B43" s="14">
        <f>'محمد خالد'!N13</f>
        <v>99994.84</v>
      </c>
    </row>
    <row r="44" spans="1:2" ht="22.5" customHeight="1" x14ac:dyDescent="0.3">
      <c r="A44" s="13" t="s">
        <v>561</v>
      </c>
      <c r="B44" s="14">
        <f>'ايمن رضوان'!O12</f>
        <v>0</v>
      </c>
    </row>
    <row r="45" spans="1:2" ht="22.5" customHeight="1" x14ac:dyDescent="0.3">
      <c r="A45" s="13" t="s">
        <v>616</v>
      </c>
      <c r="B45" s="14">
        <f>GFS!O13</f>
        <v>136976.76</v>
      </c>
    </row>
    <row r="46" spans="1:2" ht="22.5" customHeight="1" x14ac:dyDescent="0.3">
      <c r="A46" s="13" t="s">
        <v>606</v>
      </c>
      <c r="B46" s="14">
        <f>الخليج!O12</f>
        <v>359137.22000000003</v>
      </c>
    </row>
    <row r="47" spans="1:2" ht="22.5" customHeight="1" x14ac:dyDescent="0.3">
      <c r="A47" s="13" t="s">
        <v>622</v>
      </c>
      <c r="B47" s="14">
        <f>روتس!O12</f>
        <v>70188.140000000014</v>
      </c>
    </row>
    <row r="48" spans="1:2" ht="22.5" customHeight="1" x14ac:dyDescent="0.3">
      <c r="A48" s="13" t="s">
        <v>321</v>
      </c>
      <c r="B48" s="14">
        <f>ناتورالي!O12</f>
        <v>64136.619999999995</v>
      </c>
    </row>
    <row r="49" spans="1:2" ht="22.5" customHeight="1" x14ac:dyDescent="0.3">
      <c r="A49" s="13" t="s">
        <v>640</v>
      </c>
      <c r="B49" s="14">
        <f>'احمد نصر'!O12</f>
        <v>38029.829999999987</v>
      </c>
    </row>
    <row r="50" spans="1:2" ht="22.5" customHeight="1" x14ac:dyDescent="0.3">
      <c r="A50" s="13" t="s">
        <v>641</v>
      </c>
      <c r="B50" s="14">
        <f>'يوسف مجدي'!O12</f>
        <v>32761.5</v>
      </c>
    </row>
    <row r="51" spans="1:2" ht="22.5" customHeight="1" x14ac:dyDescent="0.3">
      <c r="A51" s="13" t="s">
        <v>630</v>
      </c>
      <c r="B51" s="14">
        <f>الزيوت!N13</f>
        <v>55794.73000000001</v>
      </c>
    </row>
    <row r="52" spans="1:2" ht="22.5" customHeight="1" x14ac:dyDescent="0.3">
      <c r="A52" s="13" t="s">
        <v>652</v>
      </c>
      <c r="B52" s="14">
        <f>'حمادة سخنة'!O12</f>
        <v>24616.119999999995</v>
      </c>
    </row>
    <row r="53" spans="1:2" ht="22.5" customHeight="1" x14ac:dyDescent="0.3">
      <c r="A53" s="13" t="s">
        <v>632</v>
      </c>
      <c r="B53" s="14">
        <f>العالمية!O12</f>
        <v>-2277.8499999999985</v>
      </c>
    </row>
  </sheetData>
  <mergeCells count="1">
    <mergeCell ref="W2:X2"/>
  </mergeCell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D0508-AF92-485C-B01D-CC97D7F258CB}">
  <dimension ref="A1:J62"/>
  <sheetViews>
    <sheetView rightToLeft="1" workbookViewId="0">
      <pane ySplit="1" topLeftCell="A10" activePane="bottomLeft" state="frozen"/>
      <selection pane="bottomLeft" activeCell="D15" sqref="D15"/>
    </sheetView>
  </sheetViews>
  <sheetFormatPr defaultColWidth="10.44140625" defaultRowHeight="23.4" customHeight="1" x14ac:dyDescent="0.3"/>
  <cols>
    <col min="1" max="16384" width="10.44140625" style="68"/>
  </cols>
  <sheetData>
    <row r="1" spans="1:10" ht="23.4" customHeight="1" x14ac:dyDescent="0.3">
      <c r="A1" s="67" t="s">
        <v>105</v>
      </c>
      <c r="B1" s="67" t="s">
        <v>5</v>
      </c>
      <c r="C1" s="67" t="s">
        <v>106</v>
      </c>
      <c r="D1" s="67" t="s">
        <v>108</v>
      </c>
      <c r="E1" s="67" t="s">
        <v>107</v>
      </c>
      <c r="F1" s="67" t="s">
        <v>6</v>
      </c>
      <c r="G1" s="67" t="s">
        <v>104</v>
      </c>
      <c r="H1" s="67" t="s">
        <v>109</v>
      </c>
      <c r="I1" s="67"/>
      <c r="J1" s="69">
        <f>SUM(G:G)-SUM(H:H)</f>
        <v>419200</v>
      </c>
    </row>
    <row r="2" spans="1:10" ht="23.4" customHeight="1" x14ac:dyDescent="0.3">
      <c r="A2" s="68" t="s">
        <v>110</v>
      </c>
      <c r="B2" s="68">
        <v>3</v>
      </c>
      <c r="C2" s="68">
        <v>20000</v>
      </c>
      <c r="D2" s="68">
        <v>200</v>
      </c>
      <c r="E2" s="68">
        <f>200*B2</f>
        <v>600</v>
      </c>
      <c r="F2" s="68">
        <v>38900</v>
      </c>
      <c r="G2" s="68">
        <f>F2-E2-D2-C2</f>
        <v>18100</v>
      </c>
    </row>
    <row r="3" spans="1:10" ht="23.4" customHeight="1" x14ac:dyDescent="0.3">
      <c r="A3" s="68" t="s">
        <v>86</v>
      </c>
      <c r="B3" s="68">
        <v>8</v>
      </c>
      <c r="C3" s="68">
        <v>45000</v>
      </c>
      <c r="D3" s="68">
        <v>700</v>
      </c>
      <c r="E3" s="68">
        <v>1600</v>
      </c>
      <c r="F3" s="68">
        <v>89700</v>
      </c>
      <c r="G3" s="68">
        <f t="shared" ref="G3:G62" si="0">F3-E3-D3-C3</f>
        <v>42400</v>
      </c>
    </row>
    <row r="4" spans="1:10" ht="23.4" customHeight="1" x14ac:dyDescent="0.3">
      <c r="A4" s="68" t="s">
        <v>111</v>
      </c>
      <c r="B4" s="68">
        <v>7</v>
      </c>
      <c r="C4" s="68">
        <v>46500</v>
      </c>
      <c r="D4" s="68">
        <v>600</v>
      </c>
      <c r="E4" s="68">
        <v>1400</v>
      </c>
      <c r="F4" s="68">
        <v>91600</v>
      </c>
      <c r="G4" s="68">
        <f t="shared" si="0"/>
        <v>43100</v>
      </c>
    </row>
    <row r="5" spans="1:10" ht="23.4" customHeight="1" x14ac:dyDescent="0.3">
      <c r="A5" s="70" t="s">
        <v>110</v>
      </c>
      <c r="B5" s="70"/>
      <c r="C5" s="70"/>
      <c r="D5" s="70"/>
      <c r="E5" s="70"/>
      <c r="F5" s="70"/>
      <c r="G5" s="70">
        <f t="shared" si="0"/>
        <v>0</v>
      </c>
      <c r="H5" s="70">
        <v>3700</v>
      </c>
    </row>
    <row r="6" spans="1:10" ht="23.4" customHeight="1" x14ac:dyDescent="0.3">
      <c r="A6" s="68" t="s">
        <v>217</v>
      </c>
      <c r="B6" s="68">
        <v>6</v>
      </c>
      <c r="C6" s="68">
        <v>41500</v>
      </c>
      <c r="D6" s="68">
        <v>600</v>
      </c>
      <c r="E6" s="68">
        <v>1200</v>
      </c>
      <c r="F6" s="68">
        <v>84900</v>
      </c>
      <c r="G6" s="68">
        <f t="shared" si="0"/>
        <v>41600</v>
      </c>
    </row>
    <row r="7" spans="1:10" ht="23.4" customHeight="1" x14ac:dyDescent="0.3">
      <c r="A7" s="75" t="s">
        <v>112</v>
      </c>
      <c r="B7" s="68">
        <v>3</v>
      </c>
      <c r="C7" s="68">
        <v>21000</v>
      </c>
      <c r="D7" s="68">
        <v>200</v>
      </c>
      <c r="E7" s="68">
        <v>400</v>
      </c>
      <c r="F7" s="68">
        <v>38000</v>
      </c>
      <c r="G7" s="68">
        <f t="shared" si="0"/>
        <v>16400</v>
      </c>
    </row>
    <row r="8" spans="1:10" ht="23.4" customHeight="1" x14ac:dyDescent="0.3">
      <c r="A8" s="68" t="s">
        <v>218</v>
      </c>
      <c r="B8" s="68">
        <v>1</v>
      </c>
      <c r="C8" s="68">
        <v>7000</v>
      </c>
      <c r="D8" s="68">
        <v>200</v>
      </c>
      <c r="E8" s="68">
        <v>100</v>
      </c>
      <c r="F8" s="68">
        <v>13500</v>
      </c>
      <c r="G8" s="68">
        <f t="shared" si="0"/>
        <v>6200</v>
      </c>
    </row>
    <row r="9" spans="1:10" ht="23.4" customHeight="1" x14ac:dyDescent="0.3">
      <c r="A9" s="68" t="s">
        <v>113</v>
      </c>
      <c r="B9" s="68">
        <v>6</v>
      </c>
      <c r="C9" s="68">
        <v>38000</v>
      </c>
      <c r="D9" s="68">
        <v>500</v>
      </c>
      <c r="E9" s="68">
        <v>1000</v>
      </c>
      <c r="F9" s="68">
        <v>66800</v>
      </c>
      <c r="G9" s="68">
        <f t="shared" si="0"/>
        <v>27300</v>
      </c>
    </row>
    <row r="10" spans="1:10" ht="23.4" customHeight="1" x14ac:dyDescent="0.3">
      <c r="A10" s="68" t="s">
        <v>219</v>
      </c>
      <c r="B10" s="68">
        <v>1</v>
      </c>
      <c r="C10" s="68">
        <v>5000</v>
      </c>
      <c r="D10" s="68">
        <v>100</v>
      </c>
      <c r="E10" s="68">
        <v>200</v>
      </c>
      <c r="F10" s="68">
        <v>9000</v>
      </c>
      <c r="G10" s="68">
        <f t="shared" si="0"/>
        <v>3700</v>
      </c>
    </row>
    <row r="11" spans="1:10" ht="23.4" customHeight="1" x14ac:dyDescent="0.3">
      <c r="A11" s="68" t="s">
        <v>135</v>
      </c>
      <c r="B11" s="68">
        <v>4</v>
      </c>
      <c r="C11" s="68">
        <v>33000</v>
      </c>
      <c r="D11" s="68">
        <v>300</v>
      </c>
      <c r="E11" s="68">
        <v>600</v>
      </c>
      <c r="F11" s="68">
        <v>58200</v>
      </c>
      <c r="G11" s="68">
        <f t="shared" si="0"/>
        <v>24300</v>
      </c>
    </row>
    <row r="12" spans="1:10" ht="23.4" customHeight="1" x14ac:dyDescent="0.3">
      <c r="A12" s="68" t="s">
        <v>220</v>
      </c>
      <c r="B12" s="68">
        <v>5</v>
      </c>
      <c r="C12" s="68">
        <v>37400</v>
      </c>
      <c r="D12" s="68">
        <v>400</v>
      </c>
      <c r="E12" s="68">
        <v>800</v>
      </c>
      <c r="F12" s="68">
        <v>64500</v>
      </c>
      <c r="G12" s="68">
        <f t="shared" si="0"/>
        <v>25900</v>
      </c>
    </row>
    <row r="13" spans="1:10" ht="23.4" customHeight="1" x14ac:dyDescent="0.3">
      <c r="A13" s="68" t="s">
        <v>146</v>
      </c>
      <c r="B13" s="68">
        <v>14</v>
      </c>
      <c r="C13" s="68">
        <v>104000</v>
      </c>
      <c r="D13" s="68">
        <v>1300</v>
      </c>
      <c r="E13" s="68">
        <v>2600</v>
      </c>
      <c r="F13" s="68">
        <v>183100</v>
      </c>
      <c r="G13" s="68">
        <f t="shared" si="0"/>
        <v>75200</v>
      </c>
    </row>
    <row r="14" spans="1:10" ht="23.4" customHeight="1" x14ac:dyDescent="0.3">
      <c r="A14" s="68" t="s">
        <v>221</v>
      </c>
      <c r="B14" s="68">
        <v>18</v>
      </c>
      <c r="C14" s="68">
        <f>139000+1100</f>
        <v>140100</v>
      </c>
      <c r="D14" s="68">
        <v>1700</v>
      </c>
      <c r="E14" s="68">
        <v>3400</v>
      </c>
      <c r="F14" s="68">
        <v>255000</v>
      </c>
      <c r="G14" s="68">
        <f t="shared" si="0"/>
        <v>109800</v>
      </c>
    </row>
    <row r="15" spans="1:10" ht="23.4" customHeight="1" x14ac:dyDescent="0.3">
      <c r="A15" s="68" t="s">
        <v>149</v>
      </c>
      <c r="B15" s="68">
        <v>2</v>
      </c>
      <c r="C15" s="68">
        <v>11100</v>
      </c>
      <c r="G15" s="68">
        <f t="shared" si="0"/>
        <v>-11100</v>
      </c>
    </row>
    <row r="16" spans="1:10" ht="23.4" customHeight="1" x14ac:dyDescent="0.3">
      <c r="A16" s="68" t="s">
        <v>148</v>
      </c>
      <c r="G16" s="68">
        <f t="shared" si="0"/>
        <v>0</v>
      </c>
    </row>
    <row r="17" spans="1:7" ht="23.4" customHeight="1" x14ac:dyDescent="0.3">
      <c r="A17" s="68" t="s">
        <v>150</v>
      </c>
      <c r="G17" s="68">
        <f t="shared" si="0"/>
        <v>0</v>
      </c>
    </row>
    <row r="18" spans="1:7" ht="23.4" customHeight="1" x14ac:dyDescent="0.3">
      <c r="A18" s="68" t="s">
        <v>182</v>
      </c>
      <c r="G18" s="68">
        <f t="shared" si="0"/>
        <v>0</v>
      </c>
    </row>
    <row r="19" spans="1:7" ht="23.4" customHeight="1" x14ac:dyDescent="0.3">
      <c r="A19" s="68" t="s">
        <v>188</v>
      </c>
      <c r="G19" s="68">
        <f t="shared" si="0"/>
        <v>0</v>
      </c>
    </row>
    <row r="20" spans="1:7" ht="23.4" customHeight="1" x14ac:dyDescent="0.3">
      <c r="A20" s="68" t="s">
        <v>187</v>
      </c>
      <c r="G20" s="68">
        <f t="shared" si="0"/>
        <v>0</v>
      </c>
    </row>
    <row r="21" spans="1:7" ht="23.4" customHeight="1" x14ac:dyDescent="0.3">
      <c r="A21" s="68" t="s">
        <v>198</v>
      </c>
      <c r="G21" s="68">
        <f t="shared" si="0"/>
        <v>0</v>
      </c>
    </row>
    <row r="22" spans="1:7" ht="23.4" customHeight="1" x14ac:dyDescent="0.3">
      <c r="A22" s="68" t="s">
        <v>199</v>
      </c>
      <c r="G22" s="68">
        <f t="shared" si="0"/>
        <v>0</v>
      </c>
    </row>
    <row r="23" spans="1:7" ht="23.4" customHeight="1" x14ac:dyDescent="0.3">
      <c r="G23" s="68">
        <f t="shared" si="0"/>
        <v>0</v>
      </c>
    </row>
    <row r="24" spans="1:7" ht="23.4" customHeight="1" x14ac:dyDescent="0.3">
      <c r="G24" s="68">
        <f t="shared" si="0"/>
        <v>0</v>
      </c>
    </row>
    <row r="25" spans="1:7" ht="23.4" customHeight="1" x14ac:dyDescent="0.3">
      <c r="G25" s="68">
        <f t="shared" si="0"/>
        <v>0</v>
      </c>
    </row>
    <row r="26" spans="1:7" ht="23.4" customHeight="1" x14ac:dyDescent="0.3">
      <c r="G26" s="68">
        <f t="shared" si="0"/>
        <v>0</v>
      </c>
    </row>
    <row r="27" spans="1:7" ht="23.4" customHeight="1" x14ac:dyDescent="0.3">
      <c r="G27" s="68">
        <f t="shared" si="0"/>
        <v>0</v>
      </c>
    </row>
    <row r="28" spans="1:7" ht="23.4" customHeight="1" x14ac:dyDescent="0.3">
      <c r="G28" s="68">
        <f t="shared" si="0"/>
        <v>0</v>
      </c>
    </row>
    <row r="29" spans="1:7" ht="23.4" customHeight="1" x14ac:dyDescent="0.3">
      <c r="G29" s="68">
        <f t="shared" si="0"/>
        <v>0</v>
      </c>
    </row>
    <row r="30" spans="1:7" ht="23.4" customHeight="1" x14ac:dyDescent="0.3">
      <c r="G30" s="68">
        <f t="shared" si="0"/>
        <v>0</v>
      </c>
    </row>
    <row r="31" spans="1:7" ht="23.4" customHeight="1" x14ac:dyDescent="0.3">
      <c r="G31" s="68">
        <f t="shared" si="0"/>
        <v>0</v>
      </c>
    </row>
    <row r="32" spans="1:7" ht="23.4" customHeight="1" x14ac:dyDescent="0.3">
      <c r="G32" s="68">
        <f t="shared" si="0"/>
        <v>0</v>
      </c>
    </row>
    <row r="33" spans="7:7" ht="23.4" customHeight="1" x14ac:dyDescent="0.3">
      <c r="G33" s="68">
        <f t="shared" si="0"/>
        <v>0</v>
      </c>
    </row>
    <row r="34" spans="7:7" ht="23.4" customHeight="1" x14ac:dyDescent="0.3">
      <c r="G34" s="68">
        <f t="shared" si="0"/>
        <v>0</v>
      </c>
    </row>
    <row r="35" spans="7:7" ht="23.4" customHeight="1" x14ac:dyDescent="0.3">
      <c r="G35" s="68">
        <f t="shared" si="0"/>
        <v>0</v>
      </c>
    </row>
    <row r="36" spans="7:7" ht="23.4" customHeight="1" x14ac:dyDescent="0.3">
      <c r="G36" s="68">
        <f t="shared" si="0"/>
        <v>0</v>
      </c>
    </row>
    <row r="37" spans="7:7" ht="23.4" customHeight="1" x14ac:dyDescent="0.3">
      <c r="G37" s="68">
        <f t="shared" si="0"/>
        <v>0</v>
      </c>
    </row>
    <row r="38" spans="7:7" ht="23.4" customHeight="1" x14ac:dyDescent="0.3">
      <c r="G38" s="68">
        <f t="shared" si="0"/>
        <v>0</v>
      </c>
    </row>
    <row r="39" spans="7:7" ht="23.4" customHeight="1" x14ac:dyDescent="0.3">
      <c r="G39" s="68">
        <f t="shared" si="0"/>
        <v>0</v>
      </c>
    </row>
    <row r="40" spans="7:7" ht="23.4" customHeight="1" x14ac:dyDescent="0.3">
      <c r="G40" s="68">
        <f t="shared" si="0"/>
        <v>0</v>
      </c>
    </row>
    <row r="41" spans="7:7" ht="23.4" customHeight="1" x14ac:dyDescent="0.3">
      <c r="G41" s="68">
        <f t="shared" si="0"/>
        <v>0</v>
      </c>
    </row>
    <row r="42" spans="7:7" ht="23.4" customHeight="1" x14ac:dyDescent="0.3">
      <c r="G42" s="68">
        <f t="shared" si="0"/>
        <v>0</v>
      </c>
    </row>
    <row r="43" spans="7:7" ht="23.4" customHeight="1" x14ac:dyDescent="0.3">
      <c r="G43" s="68">
        <f t="shared" si="0"/>
        <v>0</v>
      </c>
    </row>
    <row r="44" spans="7:7" ht="23.4" customHeight="1" x14ac:dyDescent="0.3">
      <c r="G44" s="68">
        <f t="shared" si="0"/>
        <v>0</v>
      </c>
    </row>
    <row r="45" spans="7:7" ht="23.4" customHeight="1" x14ac:dyDescent="0.3">
      <c r="G45" s="68">
        <f t="shared" si="0"/>
        <v>0</v>
      </c>
    </row>
    <row r="46" spans="7:7" ht="23.4" customHeight="1" x14ac:dyDescent="0.3">
      <c r="G46" s="68">
        <f t="shared" si="0"/>
        <v>0</v>
      </c>
    </row>
    <row r="47" spans="7:7" ht="23.4" customHeight="1" x14ac:dyDescent="0.3">
      <c r="G47" s="68">
        <f t="shared" si="0"/>
        <v>0</v>
      </c>
    </row>
    <row r="48" spans="7:7" ht="23.4" customHeight="1" x14ac:dyDescent="0.3">
      <c r="G48" s="68">
        <f t="shared" si="0"/>
        <v>0</v>
      </c>
    </row>
    <row r="49" spans="7:7" ht="23.4" customHeight="1" x14ac:dyDescent="0.3">
      <c r="G49" s="68">
        <f t="shared" si="0"/>
        <v>0</v>
      </c>
    </row>
    <row r="50" spans="7:7" ht="23.4" customHeight="1" x14ac:dyDescent="0.3">
      <c r="G50" s="68">
        <f t="shared" si="0"/>
        <v>0</v>
      </c>
    </row>
    <row r="51" spans="7:7" ht="23.4" customHeight="1" x14ac:dyDescent="0.3">
      <c r="G51" s="68">
        <f t="shared" si="0"/>
        <v>0</v>
      </c>
    </row>
    <row r="52" spans="7:7" ht="23.4" customHeight="1" x14ac:dyDescent="0.3">
      <c r="G52" s="68">
        <f t="shared" si="0"/>
        <v>0</v>
      </c>
    </row>
    <row r="53" spans="7:7" ht="23.4" customHeight="1" x14ac:dyDescent="0.3">
      <c r="G53" s="68">
        <f t="shared" si="0"/>
        <v>0</v>
      </c>
    </row>
    <row r="54" spans="7:7" ht="23.4" customHeight="1" x14ac:dyDescent="0.3">
      <c r="G54" s="68">
        <f t="shared" si="0"/>
        <v>0</v>
      </c>
    </row>
    <row r="55" spans="7:7" ht="23.4" customHeight="1" x14ac:dyDescent="0.3">
      <c r="G55" s="68">
        <f t="shared" si="0"/>
        <v>0</v>
      </c>
    </row>
    <row r="56" spans="7:7" ht="23.4" customHeight="1" x14ac:dyDescent="0.3">
      <c r="G56" s="68">
        <f t="shared" si="0"/>
        <v>0</v>
      </c>
    </row>
    <row r="57" spans="7:7" ht="23.4" customHeight="1" x14ac:dyDescent="0.3">
      <c r="G57" s="68">
        <f t="shared" si="0"/>
        <v>0</v>
      </c>
    </row>
    <row r="58" spans="7:7" ht="23.4" customHeight="1" x14ac:dyDescent="0.3">
      <c r="G58" s="68">
        <f t="shared" si="0"/>
        <v>0</v>
      </c>
    </row>
    <row r="59" spans="7:7" ht="23.4" customHeight="1" x14ac:dyDescent="0.3">
      <c r="G59" s="68">
        <f t="shared" si="0"/>
        <v>0</v>
      </c>
    </row>
    <row r="60" spans="7:7" ht="23.4" customHeight="1" x14ac:dyDescent="0.3">
      <c r="G60" s="68">
        <f t="shared" si="0"/>
        <v>0</v>
      </c>
    </row>
    <row r="61" spans="7:7" ht="23.4" customHeight="1" x14ac:dyDescent="0.3">
      <c r="G61" s="68">
        <f t="shared" si="0"/>
        <v>0</v>
      </c>
    </row>
    <row r="62" spans="7:7" ht="23.4" customHeight="1" x14ac:dyDescent="0.3">
      <c r="G62" s="68">
        <f t="shared" si="0"/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6E75-CA31-4E19-8E53-B71035BC4340}">
  <dimension ref="A1"/>
  <sheetViews>
    <sheetView rightToLeft="1" workbookViewId="0"/>
  </sheetViews>
  <sheetFormatPr defaultColWidth="20.21875" defaultRowHeight="33" customHeight="1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57</vt:i4>
      </vt:variant>
      <vt:variant>
        <vt:lpstr>Named Ranges</vt:lpstr>
      </vt:variant>
      <vt:variant>
        <vt:i4>2</vt:i4>
      </vt:variant>
    </vt:vector>
  </HeadingPairs>
  <TitlesOfParts>
    <vt:vector size="59" baseType="lpstr">
      <vt:lpstr>اكما</vt:lpstr>
      <vt:lpstr>mfb</vt:lpstr>
      <vt:lpstr>ريجينا</vt:lpstr>
      <vt:lpstr>اسمنت مصر</vt:lpstr>
      <vt:lpstr>الدولية للملاحة </vt:lpstr>
      <vt:lpstr>الزيوت</vt:lpstr>
      <vt:lpstr>سيلوباك</vt:lpstr>
      <vt:lpstr>برفكت</vt:lpstr>
      <vt:lpstr>يونايتد</vt:lpstr>
      <vt:lpstr>فيرتكس</vt:lpstr>
      <vt:lpstr>بيردس</vt:lpstr>
      <vt:lpstr>CMS</vt:lpstr>
      <vt:lpstr>تيفاني</vt:lpstr>
      <vt:lpstr>ags</vt:lpstr>
      <vt:lpstr>النهار</vt:lpstr>
      <vt:lpstr>ورلد</vt:lpstr>
      <vt:lpstr>نيو</vt:lpstr>
      <vt:lpstr>ماستر</vt:lpstr>
      <vt:lpstr>برنتو</vt:lpstr>
      <vt:lpstr>فوكس</vt:lpstr>
      <vt:lpstr>احمد عبدالله</vt:lpstr>
      <vt:lpstr>فاطمة</vt:lpstr>
      <vt:lpstr>اسلام</vt:lpstr>
      <vt:lpstr>احمد بحر</vt:lpstr>
      <vt:lpstr>علاء جمعة</vt:lpstr>
      <vt:lpstr>الشيخ حسن</vt:lpstr>
      <vt:lpstr>احمد سنبل</vt:lpstr>
      <vt:lpstr>نافيكس</vt:lpstr>
      <vt:lpstr>محمد عزت</vt:lpstr>
      <vt:lpstr>سامي جرين اب</vt:lpstr>
      <vt:lpstr>البستانية</vt:lpstr>
      <vt:lpstr>ولاء</vt:lpstr>
      <vt:lpstr>عرب اوشن</vt:lpstr>
      <vt:lpstr>رويال</vt:lpstr>
      <vt:lpstr>كرو شيبنج</vt:lpstr>
      <vt:lpstr>العسل</vt:lpstr>
      <vt:lpstr>اوربت</vt:lpstr>
      <vt:lpstr>سي فريجو</vt:lpstr>
      <vt:lpstr>سي ستار</vt:lpstr>
      <vt:lpstr>ميرسك</vt:lpstr>
      <vt:lpstr>يوروتال</vt:lpstr>
      <vt:lpstr>يوروفان</vt:lpstr>
      <vt:lpstr>محمد خالد</vt:lpstr>
      <vt:lpstr>ايمن رضوان</vt:lpstr>
      <vt:lpstr>GFS</vt:lpstr>
      <vt:lpstr>الخليج</vt:lpstr>
      <vt:lpstr>روتس</vt:lpstr>
      <vt:lpstr>ناتورالي</vt:lpstr>
      <vt:lpstr>احمد نصر</vt:lpstr>
      <vt:lpstr>يوسف مجدي</vt:lpstr>
      <vt:lpstr>حمادة سخنة</vt:lpstr>
      <vt:lpstr>العالمية</vt:lpstr>
      <vt:lpstr>مولدات</vt:lpstr>
      <vt:lpstr>بوالص</vt:lpstr>
      <vt:lpstr>اجمالي</vt:lpstr>
      <vt:lpstr>اجمالي بوالص</vt:lpstr>
      <vt:lpstr>cib</vt:lpstr>
      <vt:lpstr>بوالص!Print_Area</vt:lpstr>
      <vt:lpstr>'علاء جمعة'!Print_Area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2026-07-08T11:34:51Z</dcterms:modified>
</cp:coreProperties>
</file>